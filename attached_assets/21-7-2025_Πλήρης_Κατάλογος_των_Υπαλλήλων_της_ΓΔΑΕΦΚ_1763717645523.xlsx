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kyriakou\Downloads\"/>
    </mc:Choice>
  </mc:AlternateContent>
  <xr:revisionPtr revIDLastSave="0" documentId="13_ncr:1_{FC994F8A-58A4-4C2C-A95C-C927841D9E80}" xr6:coauthVersionLast="47" xr6:coauthVersionMax="47" xr10:uidLastSave="{00000000-0000-0000-0000-000000000000}"/>
  <bookViews>
    <workbookView xWindow="-120" yWindow="-120" windowWidth="29040" windowHeight="15720" tabRatio="601" firstSheet="2" activeTab="2" autoFilterDateGrouping="0" xr2:uid="{00000000-000D-0000-FFFF-FFFF00000000}"/>
  </bookViews>
  <sheets>
    <sheet name="βοηθητικό" sheetId="25" state="hidden" r:id="rId1"/>
    <sheet name="ΜΗΧΑΝΙΚΟΙ" sheetId="38" state="hidden" r:id="rId2"/>
    <sheet name="ΥΠΑΛΛΗΛΟΙ ΓΔΑΕΦΚ" sheetId="34" r:id="rId3"/>
    <sheet name="Sheet1" sheetId="42" state="hidden" r:id="rId4"/>
    <sheet name="ΑΠΟΧΩΡΗΣΑΝΤΕΣ" sheetId="41" state="hidden" r:id="rId5"/>
    <sheet name="ΕΠΙΦΥΛΑΚΗ" sheetId="33" state="hidden" r:id="rId6"/>
  </sheets>
  <externalReferences>
    <externalReference r:id="rId7"/>
  </externalReferences>
  <definedNames>
    <definedName name="_xlnm._FilterDatabase" localSheetId="4" hidden="1">ΑΠΟΧΩΡΗΣΑΝΤΕΣ!$B$2:$AB$25</definedName>
    <definedName name="_xlnm._FilterDatabase" localSheetId="0" hidden="1">βοηθητικό!$Q$1:$Q$354</definedName>
    <definedName name="_xlnm._FilterDatabase" localSheetId="5" hidden="1">ΕΠΙΦΥΛΑΚΗ!$B$3:$CU$1004</definedName>
    <definedName name="_xlnm._FilterDatabase" localSheetId="1" hidden="1">ΜΗΧΑΝΙΚΟΙ!$B$2:$K$260</definedName>
    <definedName name="_xlnm._FilterDatabase" localSheetId="2" hidden="1">'ΥΠΑΛΛΗΛΟΙ ΓΔΑΕΦΚ'!$A$1:$H$447</definedName>
    <definedName name="EIDIK">βοηθητικό!$AC$1:$AC$3</definedName>
    <definedName name="EIDIKOTHTA">_xlfn._TRO_TRAILING(βοηθητικό!$AE$1:$AE$42)</definedName>
    <definedName name="EIDOS">[1]data!$F$2:$F$33</definedName>
    <definedName name="EPILOGH">βοηθητικό!$V$2:$V$4</definedName>
    <definedName name="MHXANIKOS">βοηθητικό!$J$2:$J$354</definedName>
    <definedName name="ORARIO">βοηθητικό!$A$2:$A$7</definedName>
    <definedName name="_xlnm.Print_Area" localSheetId="2">'ΥΠΑΛΛΗΛΟΙ ΓΔΑΕΦΚ'!$A$2:$H$406</definedName>
    <definedName name="SYMVAN">βοηθητικό!$Q$2:$Q$16</definedName>
    <definedName name="YPALLHLOS">ΕΠΙΦΥΛΑΚΗ!$E$5:$E$358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" i="25" l="1" a="1"/>
  <c r="AE1" i="25" s="1"/>
  <c r="A36" i="41"/>
  <c r="H36" i="41"/>
  <c r="I36" i="41" s="1"/>
  <c r="A5" i="41"/>
  <c r="A6" i="41"/>
  <c r="A7" i="41"/>
  <c r="A8" i="41"/>
  <c r="A9" i="41"/>
  <c r="A10" i="41"/>
  <c r="A11" i="41"/>
  <c r="A12" i="41"/>
  <c r="A13" i="41"/>
  <c r="A14" i="41"/>
  <c r="A15" i="41"/>
  <c r="A16" i="41"/>
  <c r="A17" i="41"/>
  <c r="A18" i="41"/>
  <c r="A19" i="41"/>
  <c r="A20" i="41"/>
  <c r="A21" i="41"/>
  <c r="A22" i="41"/>
  <c r="A23" i="41"/>
  <c r="A24" i="41"/>
  <c r="A25" i="41"/>
  <c r="A26" i="41"/>
  <c r="A27" i="41"/>
  <c r="A28" i="41"/>
  <c r="A29" i="41"/>
  <c r="A30" i="41"/>
  <c r="A31" i="41"/>
  <c r="A32" i="41"/>
  <c r="A33" i="41"/>
  <c r="A34" i="41"/>
  <c r="A35" i="41"/>
  <c r="H12" i="41"/>
  <c r="I12" i="41" s="1"/>
  <c r="A4" i="41"/>
  <c r="H24" i="41"/>
  <c r="I24" i="41" s="1"/>
  <c r="H23" i="41"/>
  <c r="I23" i="41" s="1"/>
  <c r="H18" i="41"/>
  <c r="I18" i="41" s="1"/>
  <c r="H33" i="41"/>
  <c r="I33" i="41" s="1"/>
  <c r="H13" i="41"/>
  <c r="I13" i="41" s="1"/>
  <c r="H31" i="41"/>
  <c r="I31" i="41" s="1"/>
  <c r="H5" i="41"/>
  <c r="I5" i="41" s="1"/>
  <c r="H3" i="41"/>
  <c r="I3" i="41" s="1"/>
  <c r="L4" i="38"/>
  <c r="L5" i="38"/>
  <c r="L6" i="38"/>
  <c r="L7" i="38"/>
  <c r="L8" i="38"/>
  <c r="L9" i="38"/>
  <c r="L10" i="38"/>
  <c r="L11" i="38"/>
  <c r="L12" i="38"/>
  <c r="L13" i="38"/>
  <c r="L14" i="38"/>
  <c r="L15" i="38"/>
  <c r="L16" i="38"/>
  <c r="L17" i="38"/>
  <c r="L18" i="38"/>
  <c r="L19" i="38"/>
  <c r="L20" i="38"/>
  <c r="L21" i="38"/>
  <c r="L22" i="38"/>
  <c r="L23" i="38"/>
  <c r="L24" i="38"/>
  <c r="L25" i="38"/>
  <c r="L26" i="38"/>
  <c r="L27" i="38"/>
  <c r="L28" i="38"/>
  <c r="L29" i="38"/>
  <c r="L30" i="38"/>
  <c r="L31" i="38"/>
  <c r="L32" i="38"/>
  <c r="L33" i="38"/>
  <c r="L34" i="38"/>
  <c r="L35" i="38"/>
  <c r="L36" i="38"/>
  <c r="L37" i="38"/>
  <c r="L38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56" i="38"/>
  <c r="L57" i="38"/>
  <c r="L58" i="38"/>
  <c r="L59" i="38"/>
  <c r="L60" i="38"/>
  <c r="L61" i="38"/>
  <c r="L62" i="38"/>
  <c r="L63" i="38"/>
  <c r="L64" i="38"/>
  <c r="L65" i="38"/>
  <c r="L66" i="38"/>
  <c r="L67" i="38"/>
  <c r="L68" i="38"/>
  <c r="L69" i="38"/>
  <c r="L70" i="38"/>
  <c r="L71" i="38"/>
  <c r="L72" i="38"/>
  <c r="L73" i="38"/>
  <c r="L74" i="38"/>
  <c r="L75" i="38"/>
  <c r="L76" i="38"/>
  <c r="L77" i="38"/>
  <c r="L78" i="38"/>
  <c r="L79" i="38"/>
  <c r="L80" i="38"/>
  <c r="L81" i="38"/>
  <c r="L82" i="38"/>
  <c r="L83" i="38"/>
  <c r="L84" i="38"/>
  <c r="L85" i="38"/>
  <c r="L86" i="38"/>
  <c r="L87" i="38"/>
  <c r="L88" i="38"/>
  <c r="L89" i="38"/>
  <c r="L90" i="38"/>
  <c r="L91" i="38"/>
  <c r="L92" i="38"/>
  <c r="L93" i="38"/>
  <c r="L94" i="38"/>
  <c r="L95" i="38"/>
  <c r="L96" i="38"/>
  <c r="L97" i="38"/>
  <c r="L98" i="38"/>
  <c r="L99" i="38"/>
  <c r="L100" i="38"/>
  <c r="L101" i="38"/>
  <c r="L102" i="38"/>
  <c r="L103" i="38"/>
  <c r="L104" i="38"/>
  <c r="L105" i="38"/>
  <c r="L106" i="38"/>
  <c r="L107" i="38"/>
  <c r="L108" i="38"/>
  <c r="L109" i="38"/>
  <c r="L110" i="38"/>
  <c r="L111" i="38"/>
  <c r="L112" i="38"/>
  <c r="L113" i="38"/>
  <c r="L114" i="38"/>
  <c r="L115" i="38"/>
  <c r="L116" i="38"/>
  <c r="L117" i="38"/>
  <c r="L118" i="38"/>
  <c r="L119" i="38"/>
  <c r="L120" i="38"/>
  <c r="L121" i="38"/>
  <c r="L122" i="38"/>
  <c r="L123" i="38"/>
  <c r="L124" i="38"/>
  <c r="L125" i="38"/>
  <c r="L126" i="38"/>
  <c r="L127" i="38"/>
  <c r="L128" i="38"/>
  <c r="L129" i="38"/>
  <c r="L130" i="38"/>
  <c r="L131" i="38"/>
  <c r="L132" i="38"/>
  <c r="L133" i="38"/>
  <c r="L134" i="38"/>
  <c r="L135" i="38"/>
  <c r="L136" i="38"/>
  <c r="L137" i="38"/>
  <c r="L138" i="38"/>
  <c r="L139" i="38"/>
  <c r="L140" i="38"/>
  <c r="L141" i="38"/>
  <c r="L142" i="38"/>
  <c r="L143" i="38"/>
  <c r="L144" i="38"/>
  <c r="L145" i="38"/>
  <c r="L146" i="38"/>
  <c r="L147" i="38"/>
  <c r="L148" i="38"/>
  <c r="L149" i="38"/>
  <c r="L150" i="38"/>
  <c r="L151" i="38"/>
  <c r="L152" i="38"/>
  <c r="L153" i="38"/>
  <c r="L154" i="38"/>
  <c r="L155" i="38"/>
  <c r="L156" i="38"/>
  <c r="L157" i="38"/>
  <c r="L158" i="38"/>
  <c r="L159" i="38"/>
  <c r="L160" i="38"/>
  <c r="L161" i="38"/>
  <c r="L162" i="38"/>
  <c r="L163" i="38"/>
  <c r="L164" i="38"/>
  <c r="L165" i="38"/>
  <c r="L166" i="38"/>
  <c r="L167" i="38"/>
  <c r="L168" i="38"/>
  <c r="L169" i="38"/>
  <c r="L170" i="38"/>
  <c r="L171" i="38"/>
  <c r="L172" i="38"/>
  <c r="L173" i="38"/>
  <c r="L174" i="38"/>
  <c r="L175" i="38"/>
  <c r="L176" i="38"/>
  <c r="L177" i="38"/>
  <c r="L178" i="38"/>
  <c r="L179" i="38"/>
  <c r="L180" i="38"/>
  <c r="L181" i="38"/>
  <c r="L182" i="38"/>
  <c r="L183" i="38"/>
  <c r="L184" i="38"/>
  <c r="L185" i="38"/>
  <c r="L186" i="38"/>
  <c r="L187" i="38"/>
  <c r="L188" i="38"/>
  <c r="L189" i="38"/>
  <c r="L190" i="38"/>
  <c r="L191" i="38"/>
  <c r="L192" i="38"/>
  <c r="L193" i="38"/>
  <c r="L194" i="38"/>
  <c r="L195" i="38"/>
  <c r="L196" i="38"/>
  <c r="L197" i="38"/>
  <c r="L198" i="38"/>
  <c r="L199" i="38"/>
  <c r="L200" i="38"/>
  <c r="L201" i="38"/>
  <c r="L202" i="38"/>
  <c r="L203" i="38"/>
  <c r="L204" i="38"/>
  <c r="L205" i="38"/>
  <c r="L206" i="38"/>
  <c r="L207" i="38"/>
  <c r="L208" i="38"/>
  <c r="L209" i="38"/>
  <c r="L210" i="38"/>
  <c r="L211" i="38"/>
  <c r="L212" i="38"/>
  <c r="L213" i="38"/>
  <c r="L214" i="38"/>
  <c r="L215" i="38"/>
  <c r="L216" i="38"/>
  <c r="L217" i="38"/>
  <c r="L218" i="38"/>
  <c r="L219" i="38"/>
  <c r="L220" i="38"/>
  <c r="L221" i="38"/>
  <c r="L222" i="38"/>
  <c r="L223" i="38"/>
  <c r="L224" i="38"/>
  <c r="L225" i="38"/>
  <c r="L226" i="38"/>
  <c r="L227" i="38"/>
  <c r="L228" i="38"/>
  <c r="L229" i="38"/>
  <c r="L230" i="38"/>
  <c r="L231" i="38"/>
  <c r="L232" i="38"/>
  <c r="L233" i="38"/>
  <c r="L234" i="38"/>
  <c r="L235" i="38"/>
  <c r="L236" i="38"/>
  <c r="L237" i="38"/>
  <c r="L238" i="38"/>
  <c r="L239" i="38"/>
  <c r="L240" i="38"/>
  <c r="L241" i="38"/>
  <c r="L242" i="38"/>
  <c r="L243" i="38"/>
  <c r="L244" i="38"/>
  <c r="L245" i="38"/>
  <c r="L246" i="38"/>
  <c r="L247" i="38"/>
  <c r="L248" i="38"/>
  <c r="L249" i="38"/>
  <c r="L250" i="38"/>
  <c r="L251" i="38"/>
  <c r="L252" i="38"/>
  <c r="L253" i="38"/>
  <c r="L254" i="38"/>
  <c r="L255" i="38"/>
  <c r="L256" i="38"/>
  <c r="L257" i="38"/>
  <c r="L258" i="38"/>
  <c r="L259" i="38"/>
  <c r="L260" i="38"/>
  <c r="L3" i="38"/>
  <c r="A256" i="38"/>
  <c r="A257" i="38"/>
  <c r="A258" i="38"/>
  <c r="A259" i="38"/>
  <c r="A260" i="38"/>
  <c r="A4" i="38" l="1"/>
  <c r="A5" i="38"/>
  <c r="A6" i="38"/>
  <c r="A7" i="38"/>
  <c r="A8" i="38"/>
  <c r="A9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29" i="38"/>
  <c r="A30" i="38"/>
  <c r="A31" i="38"/>
  <c r="A32" i="38"/>
  <c r="A33" i="38"/>
  <c r="A34" i="38"/>
  <c r="A35" i="38"/>
  <c r="A36" i="38"/>
  <c r="A37" i="38"/>
  <c r="A38" i="38"/>
  <c r="A39" i="38"/>
  <c r="A40" i="38"/>
  <c r="A41" i="38"/>
  <c r="A42" i="38"/>
  <c r="A43" i="38"/>
  <c r="A44" i="38"/>
  <c r="A45" i="38"/>
  <c r="A46" i="38"/>
  <c r="A47" i="38"/>
  <c r="A48" i="38"/>
  <c r="A49" i="38"/>
  <c r="A50" i="38"/>
  <c r="A51" i="38"/>
  <c r="A52" i="38"/>
  <c r="A53" i="38"/>
  <c r="A54" i="38"/>
  <c r="A55" i="38"/>
  <c r="A56" i="38"/>
  <c r="A57" i="38"/>
  <c r="A58" i="38"/>
  <c r="A59" i="38"/>
  <c r="A60" i="38"/>
  <c r="A61" i="38"/>
  <c r="A62" i="38"/>
  <c r="A63" i="38"/>
  <c r="A64" i="38"/>
  <c r="A65" i="38"/>
  <c r="A66" i="38"/>
  <c r="A67" i="38"/>
  <c r="A68" i="38"/>
  <c r="A69" i="38"/>
  <c r="A70" i="38"/>
  <c r="A71" i="38"/>
  <c r="A72" i="38"/>
  <c r="A73" i="38"/>
  <c r="A74" i="38"/>
  <c r="A75" i="38"/>
  <c r="A76" i="38"/>
  <c r="A77" i="38"/>
  <c r="A78" i="38"/>
  <c r="A79" i="38"/>
  <c r="A80" i="38"/>
  <c r="A81" i="38"/>
  <c r="A82" i="38"/>
  <c r="A83" i="38"/>
  <c r="A84" i="38"/>
  <c r="A85" i="38"/>
  <c r="A86" i="38"/>
  <c r="A87" i="38"/>
  <c r="A88" i="38"/>
  <c r="A89" i="38"/>
  <c r="A90" i="38"/>
  <c r="A91" i="38"/>
  <c r="A92" i="38"/>
  <c r="A93" i="38"/>
  <c r="A94" i="38"/>
  <c r="A95" i="38"/>
  <c r="A96" i="38"/>
  <c r="A97" i="38"/>
  <c r="A98" i="38"/>
  <c r="A99" i="38"/>
  <c r="A100" i="38"/>
  <c r="A101" i="38"/>
  <c r="A102" i="38"/>
  <c r="A103" i="38"/>
  <c r="A104" i="38"/>
  <c r="A105" i="38"/>
  <c r="A106" i="38"/>
  <c r="A107" i="38"/>
  <c r="A108" i="38"/>
  <c r="A109" i="38"/>
  <c r="A110" i="38"/>
  <c r="A111" i="38"/>
  <c r="A112" i="38"/>
  <c r="A113" i="38"/>
  <c r="A114" i="38"/>
  <c r="A115" i="38"/>
  <c r="A116" i="38"/>
  <c r="A117" i="38"/>
  <c r="A118" i="38"/>
  <c r="A119" i="38"/>
  <c r="A120" i="38"/>
  <c r="A121" i="38"/>
  <c r="A122" i="38"/>
  <c r="A123" i="38"/>
  <c r="A124" i="38"/>
  <c r="A125" i="38"/>
  <c r="A126" i="38"/>
  <c r="A127" i="38"/>
  <c r="A128" i="38"/>
  <c r="A129" i="38"/>
  <c r="A130" i="38"/>
  <c r="A131" i="38"/>
  <c r="A132" i="38"/>
  <c r="A133" i="38"/>
  <c r="A134" i="38"/>
  <c r="A135" i="38"/>
  <c r="A136" i="38"/>
  <c r="A137" i="38"/>
  <c r="A138" i="38"/>
  <c r="A139" i="38"/>
  <c r="A140" i="38"/>
  <c r="A141" i="38"/>
  <c r="A142" i="38"/>
  <c r="A143" i="38"/>
  <c r="A144" i="38"/>
  <c r="A145" i="38"/>
  <c r="A146" i="38"/>
  <c r="A147" i="38"/>
  <c r="A148" i="38"/>
  <c r="A149" i="38"/>
  <c r="A150" i="38"/>
  <c r="A151" i="38"/>
  <c r="A152" i="38"/>
  <c r="A153" i="38"/>
  <c r="A154" i="38"/>
  <c r="A155" i="38"/>
  <c r="A156" i="38"/>
  <c r="A157" i="38"/>
  <c r="A158" i="38"/>
  <c r="A159" i="38"/>
  <c r="A160" i="38"/>
  <c r="A161" i="38"/>
  <c r="A162" i="38"/>
  <c r="A163" i="38"/>
  <c r="A164" i="38"/>
  <c r="A165" i="38"/>
  <c r="A166" i="38"/>
  <c r="A167" i="38"/>
  <c r="A168" i="38"/>
  <c r="A169" i="38"/>
  <c r="A170" i="38"/>
  <c r="A171" i="38"/>
  <c r="A172" i="38"/>
  <c r="A173" i="38"/>
  <c r="A174" i="38"/>
  <c r="A175" i="38"/>
  <c r="A176" i="38"/>
  <c r="A177" i="38"/>
  <c r="A178" i="38"/>
  <c r="A179" i="38"/>
  <c r="A180" i="38"/>
  <c r="A181" i="38"/>
  <c r="A182" i="38"/>
  <c r="A183" i="38"/>
  <c r="A184" i="38"/>
  <c r="A185" i="38"/>
  <c r="A186" i="38"/>
  <c r="A187" i="38"/>
  <c r="A188" i="38"/>
  <c r="A189" i="38"/>
  <c r="A190" i="38"/>
  <c r="A191" i="38"/>
  <c r="A192" i="38"/>
  <c r="A193" i="38"/>
  <c r="A194" i="38"/>
  <c r="A195" i="38"/>
  <c r="A196" i="38"/>
  <c r="A197" i="38"/>
  <c r="A198" i="38"/>
  <c r="A199" i="38"/>
  <c r="A200" i="38"/>
  <c r="A201" i="38"/>
  <c r="A202" i="38"/>
  <c r="A203" i="38"/>
  <c r="A204" i="38"/>
  <c r="A205" i="38"/>
  <c r="A206" i="38"/>
  <c r="A207" i="38"/>
  <c r="A208" i="38"/>
  <c r="A209" i="38"/>
  <c r="A210" i="38"/>
  <c r="A211" i="38"/>
  <c r="A212" i="38"/>
  <c r="A213" i="38"/>
  <c r="A214" i="38"/>
  <c r="A215" i="38"/>
  <c r="A216" i="38"/>
  <c r="A217" i="38"/>
  <c r="A218" i="38"/>
  <c r="A219" i="38"/>
  <c r="A220" i="38"/>
  <c r="A221" i="38"/>
  <c r="A222" i="38"/>
  <c r="A223" i="38"/>
  <c r="A224" i="38"/>
  <c r="A225" i="38"/>
  <c r="A226" i="38"/>
  <c r="A227" i="38"/>
  <c r="A228" i="38"/>
  <c r="A229" i="38"/>
  <c r="A230" i="38"/>
  <c r="A231" i="38"/>
  <c r="A232" i="38"/>
  <c r="A233" i="38"/>
  <c r="A234" i="38"/>
  <c r="A235" i="38"/>
  <c r="A236" i="38"/>
  <c r="A237" i="38"/>
  <c r="A238" i="38"/>
  <c r="A239" i="38"/>
  <c r="A240" i="38"/>
  <c r="A241" i="38"/>
  <c r="A242" i="38"/>
  <c r="A243" i="38"/>
  <c r="A244" i="38"/>
  <c r="A245" i="38"/>
  <c r="A246" i="38"/>
  <c r="A247" i="38"/>
  <c r="A248" i="38"/>
  <c r="A249" i="38"/>
  <c r="A250" i="38"/>
  <c r="A251" i="38"/>
  <c r="A252" i="38"/>
  <c r="A253" i="38"/>
  <c r="A254" i="38"/>
  <c r="A255" i="38"/>
  <c r="A3" i="38"/>
  <c r="P35" i="41"/>
  <c r="H35" i="41"/>
  <c r="I35" i="41" s="1"/>
  <c r="A3" i="41" l="1"/>
  <c r="P34" i="41" l="1"/>
  <c r="H34" i="41"/>
  <c r="I34" i="41" s="1"/>
  <c r="P32" i="41"/>
  <c r="H32" i="41"/>
  <c r="I32" i="41" s="1"/>
  <c r="P30" i="41"/>
  <c r="H30" i="41"/>
  <c r="I30" i="41" s="1"/>
  <c r="P29" i="41"/>
  <c r="H29" i="41"/>
  <c r="I29" i="41" s="1"/>
  <c r="P27" i="41"/>
  <c r="H27" i="41"/>
  <c r="I27" i="41" s="1"/>
  <c r="P26" i="41"/>
  <c r="H26" i="41"/>
  <c r="I26" i="41" s="1"/>
  <c r="P25" i="41"/>
  <c r="H25" i="41"/>
  <c r="I25" i="41" s="1"/>
  <c r="P22" i="41"/>
  <c r="H22" i="41"/>
  <c r="I22" i="41" s="1"/>
  <c r="P21" i="41"/>
  <c r="H21" i="41"/>
  <c r="I21" i="41" s="1"/>
  <c r="P16" i="41"/>
  <c r="H16" i="41"/>
  <c r="I16" i="41" s="1"/>
  <c r="P15" i="41"/>
  <c r="H15" i="41"/>
  <c r="I15" i="41" s="1"/>
  <c r="P14" i="41"/>
  <c r="H14" i="41"/>
  <c r="I14" i="41" s="1"/>
  <c r="P11" i="41"/>
  <c r="H11" i="41"/>
  <c r="I11" i="41" s="1"/>
  <c r="P10" i="41"/>
  <c r="H10" i="41"/>
  <c r="I10" i="41" s="1"/>
  <c r="P8" i="41"/>
  <c r="H8" i="41"/>
  <c r="I8" i="41" s="1"/>
  <c r="P7" i="41"/>
  <c r="H7" i="41"/>
  <c r="I7" i="41" s="1"/>
  <c r="P6" i="41"/>
  <c r="H6" i="41"/>
  <c r="I6" i="41" s="1"/>
  <c r="P4" i="41"/>
  <c r="H4" i="41"/>
  <c r="I4" i="41" s="1"/>
  <c r="BD141" i="33" l="1"/>
  <c r="BD142" i="33"/>
  <c r="BD143" i="33"/>
  <c r="BD144" i="33"/>
  <c r="BD145" i="33"/>
  <c r="BD146" i="33"/>
  <c r="BD147" i="33"/>
  <c r="BD148" i="33"/>
  <c r="BD149" i="33"/>
  <c r="BD150" i="33"/>
  <c r="BD151" i="33"/>
  <c r="BD152" i="33"/>
  <c r="BD153" i="33"/>
  <c r="BD154" i="33"/>
  <c r="BD155" i="33"/>
  <c r="BD156" i="33"/>
  <c r="BD157" i="33"/>
  <c r="BD158" i="33"/>
  <c r="BD159" i="33"/>
  <c r="BD160" i="33"/>
  <c r="BD161" i="33"/>
  <c r="BD162" i="33"/>
  <c r="BD163" i="33"/>
  <c r="BD164" i="33"/>
  <c r="BD165" i="33"/>
  <c r="BD166" i="33"/>
  <c r="BD167" i="33"/>
  <c r="BD168" i="33"/>
  <c r="BD169" i="33"/>
  <c r="BD170" i="33"/>
  <c r="BD171" i="33"/>
  <c r="BD172" i="33"/>
  <c r="BD173" i="33"/>
  <c r="BD174" i="33"/>
  <c r="BD175" i="33"/>
  <c r="BD176" i="33"/>
  <c r="BD177" i="33"/>
  <c r="BD178" i="33"/>
  <c r="BD179" i="33"/>
  <c r="BD180" i="33"/>
  <c r="BD181" i="33"/>
  <c r="BD182" i="33"/>
  <c r="BD183" i="33"/>
  <c r="BD184" i="33"/>
  <c r="BD185" i="33"/>
  <c r="BD186" i="33"/>
  <c r="BD187" i="33"/>
  <c r="BD188" i="33"/>
  <c r="BD189" i="33"/>
  <c r="BD190" i="33"/>
  <c r="BD191" i="33"/>
  <c r="BD192" i="33"/>
  <c r="BD193" i="33"/>
  <c r="BD194" i="33"/>
  <c r="BD195" i="33"/>
  <c r="BD196" i="33"/>
  <c r="BD197" i="33"/>
  <c r="BD198" i="33"/>
  <c r="BD199" i="33"/>
  <c r="BD200" i="33"/>
  <c r="BD201" i="33"/>
  <c r="BD202" i="33"/>
  <c r="BD203" i="33"/>
  <c r="BD204" i="33"/>
  <c r="BD205" i="33"/>
  <c r="BD206" i="33"/>
  <c r="BD207" i="33"/>
  <c r="BD208" i="33"/>
  <c r="BD209" i="33"/>
  <c r="BD210" i="33"/>
  <c r="BD211" i="33"/>
  <c r="BD212" i="33"/>
  <c r="BD213" i="33"/>
  <c r="BD214" i="33"/>
  <c r="BD215" i="33"/>
  <c r="BD216" i="33"/>
  <c r="BD217" i="33"/>
  <c r="BD218" i="33"/>
  <c r="BD219" i="33"/>
  <c r="BD220" i="33"/>
  <c r="BD221" i="33"/>
  <c r="BD222" i="33"/>
  <c r="BD223" i="33"/>
  <c r="BD224" i="33"/>
  <c r="BD225" i="33"/>
  <c r="BD226" i="33"/>
  <c r="BD227" i="33"/>
  <c r="BD228" i="33"/>
  <c r="BD229" i="33"/>
  <c r="BD230" i="33"/>
  <c r="BD231" i="33"/>
  <c r="BD232" i="33"/>
  <c r="BD233" i="33"/>
  <c r="BD234" i="33"/>
  <c r="BD235" i="33"/>
  <c r="BD236" i="33"/>
  <c r="BD237" i="33"/>
  <c r="BD238" i="33"/>
  <c r="BD239" i="33"/>
  <c r="BD240" i="33"/>
  <c r="BD241" i="33"/>
  <c r="BD242" i="33"/>
  <c r="BD243" i="33"/>
  <c r="BD244" i="33"/>
  <c r="BD245" i="33"/>
  <c r="BD246" i="33"/>
  <c r="BD247" i="33"/>
  <c r="BD248" i="33"/>
  <c r="BD249" i="33"/>
  <c r="BD250" i="33"/>
  <c r="BD251" i="33"/>
  <c r="BD252" i="33"/>
  <c r="BD253" i="33"/>
  <c r="BD254" i="33"/>
  <c r="BD255" i="33"/>
  <c r="BD256" i="33"/>
  <c r="BD257" i="33"/>
  <c r="BD258" i="33"/>
  <c r="BD259" i="33"/>
  <c r="BD260" i="33"/>
  <c r="BD261" i="33"/>
  <c r="BD262" i="33"/>
  <c r="BD263" i="33"/>
  <c r="BD264" i="33"/>
  <c r="BD265" i="33"/>
  <c r="BD266" i="33"/>
  <c r="BD267" i="33"/>
  <c r="BD268" i="33"/>
  <c r="BD269" i="33"/>
  <c r="BD270" i="33"/>
  <c r="BD271" i="33"/>
  <c r="BD272" i="33"/>
  <c r="BD273" i="33"/>
  <c r="BD274" i="33"/>
  <c r="BD275" i="33"/>
  <c r="BD276" i="33"/>
  <c r="BD277" i="33"/>
  <c r="BD278" i="33"/>
  <c r="BD279" i="33"/>
  <c r="BD280" i="33"/>
  <c r="BD281" i="33"/>
  <c r="BD282" i="33"/>
  <c r="BD283" i="33"/>
  <c r="BD284" i="33"/>
  <c r="BD285" i="33"/>
  <c r="BD286" i="33"/>
  <c r="BD287" i="33"/>
  <c r="BD288" i="33"/>
  <c r="BD289" i="33"/>
  <c r="BD290" i="33"/>
  <c r="BD291" i="33"/>
  <c r="BD292" i="33"/>
  <c r="BD293" i="33"/>
  <c r="BD294" i="33"/>
  <c r="BD295" i="33"/>
  <c r="BD296" i="33"/>
  <c r="BD297" i="33"/>
  <c r="BD298" i="33"/>
  <c r="BD299" i="33"/>
  <c r="BD300" i="33"/>
  <c r="BD301" i="33"/>
  <c r="BD302" i="33"/>
  <c r="BD303" i="33"/>
  <c r="BD304" i="33"/>
  <c r="BD305" i="33"/>
  <c r="BD306" i="33"/>
  <c r="BD307" i="33"/>
  <c r="BD308" i="33"/>
  <c r="BD309" i="33"/>
  <c r="BD310" i="33"/>
  <c r="BD311" i="33"/>
  <c r="BD312" i="33"/>
  <c r="BD313" i="33"/>
  <c r="BD314" i="33"/>
  <c r="BD315" i="33"/>
  <c r="BD316" i="33"/>
  <c r="BD317" i="33"/>
  <c r="BD318" i="33"/>
  <c r="BD319" i="33"/>
  <c r="BD320" i="33"/>
  <c r="BD321" i="33"/>
  <c r="BD322" i="33"/>
  <c r="BD323" i="33"/>
  <c r="BD324" i="33"/>
  <c r="BD325" i="33"/>
  <c r="BD326" i="33"/>
  <c r="BD327" i="33"/>
  <c r="BD328" i="33"/>
  <c r="BD329" i="33"/>
  <c r="BD330" i="33"/>
  <c r="BD331" i="33"/>
  <c r="BD332" i="33"/>
  <c r="BD333" i="33"/>
  <c r="BD334" i="33"/>
  <c r="BD335" i="33"/>
  <c r="BD336" i="33"/>
  <c r="BD337" i="33"/>
  <c r="BD338" i="33"/>
  <c r="BD339" i="33"/>
  <c r="BD340" i="33"/>
  <c r="BD341" i="33"/>
  <c r="BD342" i="33"/>
  <c r="BD343" i="33"/>
  <c r="BD344" i="33"/>
  <c r="BD345" i="33"/>
  <c r="BD346" i="33"/>
  <c r="BD347" i="33"/>
  <c r="BD348" i="33"/>
  <c r="BD349" i="33"/>
  <c r="BD350" i="33"/>
  <c r="BD351" i="33"/>
  <c r="BD352" i="33"/>
  <c r="BD353" i="33"/>
  <c r="BD354" i="33"/>
  <c r="BD355" i="33"/>
  <c r="BD356" i="33"/>
  <c r="BD357" i="33"/>
  <c r="BD358" i="33"/>
  <c r="BD359" i="33"/>
  <c r="BD360" i="33"/>
  <c r="BD361" i="33"/>
  <c r="BD362" i="33"/>
  <c r="BD363" i="33"/>
  <c r="BD364" i="33"/>
  <c r="BD365" i="33"/>
  <c r="BD366" i="33"/>
  <c r="BD367" i="33"/>
  <c r="BD368" i="33"/>
  <c r="BD369" i="33"/>
  <c r="BD370" i="33"/>
  <c r="BD371" i="33"/>
  <c r="BD372" i="33"/>
  <c r="BD373" i="33"/>
  <c r="BD374" i="33"/>
  <c r="BD375" i="33"/>
  <c r="BD376" i="33"/>
  <c r="BD377" i="33"/>
  <c r="BD378" i="33"/>
  <c r="BD379" i="33"/>
  <c r="BD380" i="33"/>
  <c r="BD381" i="33"/>
  <c r="BD382" i="33"/>
  <c r="BD383" i="33"/>
  <c r="BD384" i="33"/>
  <c r="BD385" i="33"/>
  <c r="BD386" i="33"/>
  <c r="BD387" i="33"/>
  <c r="BD388" i="33"/>
  <c r="BD389" i="33"/>
  <c r="BD390" i="33"/>
  <c r="BD391" i="33"/>
  <c r="BD392" i="33"/>
  <c r="BD393" i="33"/>
  <c r="BD394" i="33"/>
  <c r="BD395" i="33"/>
  <c r="BD396" i="33"/>
  <c r="BD397" i="33"/>
  <c r="BD398" i="33"/>
  <c r="BD399" i="33"/>
  <c r="BD400" i="33"/>
  <c r="BD401" i="33"/>
  <c r="BD402" i="33"/>
  <c r="BD403" i="33"/>
  <c r="BD404" i="33"/>
  <c r="BD405" i="33"/>
  <c r="BD406" i="33"/>
  <c r="BD407" i="33"/>
  <c r="BD408" i="33"/>
  <c r="BD409" i="33"/>
  <c r="BD410" i="33"/>
  <c r="BD411" i="33"/>
  <c r="BD412" i="33"/>
  <c r="BD413" i="33"/>
  <c r="BD414" i="33"/>
  <c r="BD415" i="33"/>
  <c r="BD416" i="33"/>
  <c r="BD417" i="33"/>
  <c r="BD418" i="33"/>
  <c r="BD419" i="33"/>
  <c r="BD420" i="33"/>
  <c r="BD421" i="33"/>
  <c r="BD422" i="33"/>
  <c r="BD423" i="33"/>
  <c r="BD424" i="33"/>
  <c r="BD425" i="33"/>
  <c r="BD426" i="33"/>
  <c r="BD427" i="33"/>
  <c r="BD428" i="33"/>
  <c r="BD429" i="33"/>
  <c r="BD430" i="33"/>
  <c r="BD431" i="33"/>
  <c r="BD432" i="33"/>
  <c r="BD433" i="33"/>
  <c r="BD434" i="33"/>
  <c r="BD435" i="33"/>
  <c r="BD436" i="33"/>
  <c r="BD437" i="33"/>
  <c r="BD438" i="33"/>
  <c r="BD439" i="33"/>
  <c r="BD440" i="33"/>
  <c r="BD441" i="33"/>
  <c r="BD442" i="33"/>
  <c r="BD443" i="33"/>
  <c r="BD444" i="33"/>
  <c r="BD445" i="33"/>
  <c r="BD446" i="33"/>
  <c r="BD447" i="33"/>
  <c r="BD448" i="33"/>
  <c r="BD449" i="33"/>
  <c r="BD450" i="33"/>
  <c r="BD451" i="33"/>
  <c r="BD452" i="33"/>
  <c r="BD453" i="33"/>
  <c r="BD454" i="33"/>
  <c r="BD455" i="33"/>
  <c r="BD456" i="33"/>
  <c r="BD457" i="33"/>
  <c r="BD458" i="33"/>
  <c r="BD459" i="33"/>
  <c r="BD460" i="33"/>
  <c r="BD461" i="33"/>
  <c r="BD462" i="33"/>
  <c r="BD463" i="33"/>
  <c r="BD464" i="33"/>
  <c r="BD465" i="33"/>
  <c r="BD466" i="33"/>
  <c r="BD467" i="33"/>
  <c r="BD468" i="33"/>
  <c r="BD469" i="33"/>
  <c r="BD470" i="33"/>
  <c r="BD471" i="33"/>
  <c r="BD472" i="33"/>
  <c r="BD473" i="33"/>
  <c r="BD474" i="33"/>
  <c r="BD475" i="33"/>
  <c r="BD476" i="33"/>
  <c r="BD477" i="33"/>
  <c r="BD478" i="33"/>
  <c r="BD479" i="33"/>
  <c r="BD480" i="33"/>
  <c r="BD481" i="33"/>
  <c r="BD482" i="33"/>
  <c r="BD483" i="33"/>
  <c r="BD484" i="33"/>
  <c r="BD485" i="33"/>
  <c r="BD486" i="33"/>
  <c r="BD487" i="33"/>
  <c r="BD488" i="33"/>
  <c r="BD489" i="33"/>
  <c r="BD490" i="33"/>
  <c r="BD491" i="33"/>
  <c r="BD492" i="33"/>
  <c r="BD493" i="33"/>
  <c r="BD494" i="33"/>
  <c r="BD495" i="33"/>
  <c r="BD496" i="33"/>
  <c r="BD497" i="33"/>
  <c r="BD498" i="33"/>
  <c r="BD499" i="33"/>
  <c r="BD500" i="33"/>
  <c r="BD501" i="33"/>
  <c r="BD502" i="33"/>
  <c r="BD503" i="33"/>
  <c r="BD504" i="33"/>
  <c r="BD505" i="33"/>
  <c r="BD506" i="33"/>
  <c r="BD507" i="33"/>
  <c r="BD508" i="33"/>
  <c r="BD509" i="33"/>
  <c r="BD510" i="33"/>
  <c r="BD511" i="33"/>
  <c r="BD512" i="33"/>
  <c r="BD513" i="33"/>
  <c r="BD514" i="33"/>
  <c r="BD515" i="33"/>
  <c r="BD516" i="33"/>
  <c r="BD517" i="33"/>
  <c r="BD518" i="33"/>
  <c r="BD519" i="33"/>
  <c r="BD520" i="33"/>
  <c r="BD521" i="33"/>
  <c r="BD522" i="33"/>
  <c r="BD523" i="33"/>
  <c r="BD524" i="33"/>
  <c r="BD525" i="33"/>
  <c r="BD526" i="33"/>
  <c r="BD527" i="33"/>
  <c r="BD528" i="33"/>
  <c r="BD529" i="33"/>
  <c r="BD530" i="33"/>
  <c r="BD531" i="33"/>
  <c r="BD532" i="33"/>
  <c r="BD533" i="33"/>
  <c r="BD534" i="33"/>
  <c r="BD535" i="33"/>
  <c r="BD536" i="33"/>
  <c r="BD537" i="33"/>
  <c r="BD538" i="33"/>
  <c r="BD539" i="33"/>
  <c r="BD540" i="33"/>
  <c r="BD541" i="33"/>
  <c r="BD542" i="33"/>
  <c r="BD543" i="33"/>
  <c r="BD544" i="33"/>
  <c r="BD545" i="33"/>
  <c r="BD546" i="33"/>
  <c r="BD547" i="33"/>
  <c r="BD548" i="33"/>
  <c r="BD549" i="33"/>
  <c r="BD550" i="33"/>
  <c r="BD551" i="33"/>
  <c r="BD552" i="33"/>
  <c r="BD553" i="33"/>
  <c r="BD554" i="33"/>
  <c r="BD555" i="33"/>
  <c r="BD556" i="33"/>
  <c r="BD557" i="33"/>
  <c r="BD558" i="33"/>
  <c r="BD559" i="33"/>
  <c r="BD560" i="33"/>
  <c r="BD561" i="33"/>
  <c r="BD562" i="33"/>
  <c r="BD563" i="33"/>
  <c r="BD564" i="33"/>
  <c r="BD565" i="33"/>
  <c r="BD566" i="33"/>
  <c r="BD567" i="33"/>
  <c r="BD568" i="33"/>
  <c r="BD569" i="33"/>
  <c r="BD570" i="33"/>
  <c r="BD571" i="33"/>
  <c r="BD572" i="33"/>
  <c r="BD573" i="33"/>
  <c r="BD574" i="33"/>
  <c r="BD575" i="33"/>
  <c r="BD576" i="33"/>
  <c r="BD577" i="33"/>
  <c r="BD578" i="33"/>
  <c r="BD579" i="33"/>
  <c r="BD580" i="33"/>
  <c r="BD581" i="33"/>
  <c r="BD582" i="33"/>
  <c r="BD583" i="33"/>
  <c r="BD584" i="33"/>
  <c r="BD585" i="33"/>
  <c r="BD586" i="33"/>
  <c r="BD587" i="33"/>
  <c r="BD588" i="33"/>
  <c r="BD589" i="33"/>
  <c r="BD590" i="33"/>
  <c r="BD591" i="33"/>
  <c r="BD592" i="33"/>
  <c r="BD593" i="33"/>
  <c r="BD594" i="33"/>
  <c r="BD595" i="33"/>
  <c r="BD596" i="33"/>
  <c r="BD597" i="33"/>
  <c r="BD598" i="33"/>
  <c r="BD599" i="33"/>
  <c r="BD600" i="33"/>
  <c r="BD601" i="33"/>
  <c r="BD602" i="33"/>
  <c r="BD603" i="33"/>
  <c r="BD604" i="33"/>
  <c r="BD605" i="33"/>
  <c r="BD606" i="33"/>
  <c r="BD607" i="33"/>
  <c r="BD608" i="33"/>
  <c r="BD609" i="33"/>
  <c r="BD610" i="33"/>
  <c r="BD611" i="33"/>
  <c r="BD612" i="33"/>
  <c r="BD613" i="33"/>
  <c r="BD614" i="33"/>
  <c r="BD615" i="33"/>
  <c r="BD616" i="33"/>
  <c r="BD617" i="33"/>
  <c r="BD618" i="33"/>
  <c r="BD619" i="33"/>
  <c r="BD620" i="33"/>
  <c r="BD621" i="33"/>
  <c r="BD622" i="33"/>
  <c r="BD623" i="33"/>
  <c r="BD624" i="33"/>
  <c r="BD625" i="33"/>
  <c r="BD626" i="33"/>
  <c r="BD627" i="33"/>
  <c r="BD628" i="33"/>
  <c r="BD629" i="33"/>
  <c r="BD630" i="33"/>
  <c r="BD631" i="33"/>
  <c r="BD632" i="33"/>
  <c r="BD633" i="33"/>
  <c r="BD634" i="33"/>
  <c r="BD635" i="33"/>
  <c r="BD636" i="33"/>
  <c r="BD637" i="33"/>
  <c r="BD638" i="33"/>
  <c r="BD639" i="33"/>
  <c r="BD640" i="33"/>
  <c r="BD641" i="33"/>
  <c r="BD642" i="33"/>
  <c r="BD643" i="33"/>
  <c r="BD644" i="33"/>
  <c r="BD645" i="33"/>
  <c r="BD646" i="33"/>
  <c r="BD647" i="33"/>
  <c r="BD648" i="33"/>
  <c r="BD649" i="33"/>
  <c r="BD650" i="33"/>
  <c r="BD651" i="33"/>
  <c r="BD652" i="33"/>
  <c r="BD653" i="33"/>
  <c r="BD654" i="33"/>
  <c r="BD655" i="33"/>
  <c r="BD656" i="33"/>
  <c r="BD657" i="33"/>
  <c r="BD658" i="33"/>
  <c r="BD659" i="33"/>
  <c r="BD660" i="33"/>
  <c r="BD661" i="33"/>
  <c r="BD662" i="33"/>
  <c r="BD663" i="33"/>
  <c r="BD664" i="33"/>
  <c r="BD665" i="33"/>
  <c r="BD666" i="33"/>
  <c r="BD667" i="33"/>
  <c r="BD668" i="33"/>
  <c r="BD669" i="33"/>
  <c r="BD670" i="33"/>
  <c r="BD671" i="33"/>
  <c r="BD672" i="33"/>
  <c r="BD673" i="33"/>
  <c r="BD674" i="33"/>
  <c r="BD675" i="33"/>
  <c r="BD676" i="33"/>
  <c r="BD677" i="33"/>
  <c r="BD678" i="33"/>
  <c r="BD679" i="33"/>
  <c r="BD680" i="33"/>
  <c r="BD681" i="33"/>
  <c r="BD682" i="33"/>
  <c r="BD683" i="33"/>
  <c r="BD684" i="33"/>
  <c r="BD685" i="33"/>
  <c r="BD686" i="33"/>
  <c r="BD687" i="33"/>
  <c r="BD688" i="33"/>
  <c r="BD689" i="33"/>
  <c r="BD690" i="33"/>
  <c r="BD691" i="33"/>
  <c r="BD692" i="33"/>
  <c r="BD693" i="33"/>
  <c r="BD694" i="33"/>
  <c r="BD695" i="33"/>
  <c r="BD696" i="33"/>
  <c r="BD697" i="33"/>
  <c r="BD698" i="33"/>
  <c r="BD699" i="33"/>
  <c r="BD700" i="33"/>
  <c r="BD701" i="33"/>
  <c r="BD702" i="33"/>
  <c r="BD703" i="33"/>
  <c r="BD704" i="33"/>
  <c r="BD705" i="33"/>
  <c r="BD706" i="33"/>
  <c r="BD707" i="33"/>
  <c r="BD708" i="33"/>
  <c r="BD709" i="33"/>
  <c r="BD710" i="33"/>
  <c r="BD711" i="33"/>
  <c r="BD712" i="33"/>
  <c r="BD713" i="33"/>
  <c r="BD714" i="33"/>
  <c r="BD715" i="33"/>
  <c r="BD716" i="33"/>
  <c r="BD717" i="33"/>
  <c r="BD718" i="33"/>
  <c r="BD719" i="33"/>
  <c r="BD720" i="33"/>
  <c r="BD721" i="33"/>
  <c r="BD722" i="33"/>
  <c r="BD723" i="33"/>
  <c r="BD724" i="33"/>
  <c r="BD725" i="33"/>
  <c r="BD726" i="33"/>
  <c r="BD727" i="33"/>
  <c r="BD728" i="33"/>
  <c r="BD729" i="33"/>
  <c r="BD730" i="33"/>
  <c r="BD731" i="33"/>
  <c r="BD732" i="33"/>
  <c r="BD733" i="33"/>
  <c r="BD734" i="33"/>
  <c r="BD735" i="33"/>
  <c r="BD736" i="33"/>
  <c r="BD737" i="33"/>
  <c r="BD738" i="33"/>
  <c r="BD739" i="33"/>
  <c r="BD740" i="33"/>
  <c r="BD741" i="33"/>
  <c r="BD742" i="33"/>
  <c r="BD743" i="33"/>
  <c r="BD744" i="33"/>
  <c r="BD745" i="33"/>
  <c r="BD746" i="33"/>
  <c r="BD747" i="33"/>
  <c r="BD748" i="33"/>
  <c r="BD749" i="33"/>
  <c r="BD750" i="33"/>
  <c r="BD751" i="33"/>
  <c r="BD752" i="33"/>
  <c r="BD753" i="33"/>
  <c r="BD754" i="33"/>
  <c r="BD755" i="33"/>
  <c r="BD756" i="33"/>
  <c r="BD757" i="33"/>
  <c r="BD758" i="33"/>
  <c r="BD759" i="33"/>
  <c r="BD760" i="33"/>
  <c r="BD761" i="33"/>
  <c r="BD762" i="33"/>
  <c r="BD763" i="33"/>
  <c r="BD764" i="33"/>
  <c r="BD765" i="33"/>
  <c r="BD766" i="33"/>
  <c r="BD767" i="33"/>
  <c r="BD768" i="33"/>
  <c r="BD769" i="33"/>
  <c r="BD770" i="33"/>
  <c r="BD771" i="33"/>
  <c r="BD772" i="33"/>
  <c r="BD773" i="33"/>
  <c r="BD774" i="33"/>
  <c r="BD775" i="33"/>
  <c r="BD776" i="33"/>
  <c r="BD777" i="33"/>
  <c r="BD778" i="33"/>
  <c r="BD779" i="33"/>
  <c r="BD780" i="33"/>
  <c r="BD781" i="33"/>
  <c r="BD782" i="33"/>
  <c r="BD783" i="33"/>
  <c r="BD784" i="33"/>
  <c r="BD785" i="33"/>
  <c r="BD786" i="33"/>
  <c r="BD787" i="33"/>
  <c r="BD788" i="33"/>
  <c r="BD789" i="33"/>
  <c r="BD790" i="33"/>
  <c r="BD791" i="33"/>
  <c r="BD792" i="33"/>
  <c r="BD793" i="33"/>
  <c r="BD794" i="33"/>
  <c r="BD795" i="33"/>
  <c r="BD796" i="33"/>
  <c r="BD797" i="33"/>
  <c r="BD798" i="33"/>
  <c r="BD799" i="33"/>
  <c r="BD800" i="33"/>
  <c r="BD801" i="33"/>
  <c r="BD802" i="33"/>
  <c r="BD803" i="33"/>
  <c r="BD804" i="33"/>
  <c r="BD805" i="33"/>
  <c r="BD806" i="33"/>
  <c r="BD807" i="33"/>
  <c r="BD808" i="33"/>
  <c r="BD809" i="33"/>
  <c r="BD810" i="33"/>
  <c r="BD811" i="33"/>
  <c r="BD812" i="33"/>
  <c r="BD813" i="33"/>
  <c r="BD814" i="33"/>
  <c r="BD815" i="33"/>
  <c r="BD816" i="33"/>
  <c r="BD817" i="33"/>
  <c r="BD818" i="33"/>
  <c r="BD819" i="33"/>
  <c r="BD820" i="33"/>
  <c r="BD821" i="33"/>
  <c r="BD822" i="33"/>
  <c r="BD823" i="33"/>
  <c r="BD824" i="33"/>
  <c r="BD825" i="33"/>
  <c r="BD826" i="33"/>
  <c r="BD827" i="33"/>
  <c r="BD828" i="33"/>
  <c r="BD829" i="33"/>
  <c r="BD830" i="33"/>
  <c r="BD831" i="33"/>
  <c r="BD832" i="33"/>
  <c r="BD833" i="33"/>
  <c r="BD834" i="33"/>
  <c r="BD835" i="33"/>
  <c r="BD836" i="33"/>
  <c r="BD837" i="33"/>
  <c r="BD838" i="33"/>
  <c r="BD839" i="33"/>
  <c r="BD840" i="33"/>
  <c r="BD841" i="33"/>
  <c r="BD842" i="33"/>
  <c r="BD843" i="33"/>
  <c r="BD844" i="33"/>
  <c r="BD845" i="33"/>
  <c r="BD846" i="33"/>
  <c r="BD847" i="33"/>
  <c r="BD848" i="33"/>
  <c r="BD849" i="33"/>
  <c r="BD850" i="33"/>
  <c r="BD851" i="33"/>
  <c r="BD852" i="33"/>
  <c r="BD853" i="33"/>
  <c r="BD854" i="33"/>
  <c r="BD855" i="33"/>
  <c r="BD856" i="33"/>
  <c r="BD857" i="33"/>
  <c r="BD858" i="33"/>
  <c r="BD859" i="33"/>
  <c r="BD860" i="33"/>
  <c r="BD861" i="33"/>
  <c r="BD862" i="33"/>
  <c r="BD863" i="33"/>
  <c r="BD864" i="33"/>
  <c r="BD865" i="33"/>
  <c r="BD866" i="33"/>
  <c r="BD867" i="33"/>
  <c r="BD868" i="33"/>
  <c r="BD869" i="33"/>
  <c r="BD870" i="33"/>
  <c r="BD871" i="33"/>
  <c r="BD872" i="33"/>
  <c r="BD873" i="33"/>
  <c r="BD874" i="33"/>
  <c r="BD875" i="33"/>
  <c r="BD876" i="33"/>
  <c r="BD877" i="33"/>
  <c r="BD878" i="33"/>
  <c r="BD879" i="33"/>
  <c r="BD880" i="33"/>
  <c r="BD881" i="33"/>
  <c r="BD882" i="33"/>
  <c r="BD883" i="33"/>
  <c r="BD884" i="33"/>
  <c r="BD885" i="33"/>
  <c r="BD886" i="33"/>
  <c r="BD887" i="33"/>
  <c r="BD888" i="33"/>
  <c r="BD889" i="33"/>
  <c r="BD890" i="33"/>
  <c r="BD891" i="33"/>
  <c r="BD892" i="33"/>
  <c r="BD893" i="33"/>
  <c r="BD894" i="33"/>
  <c r="BD895" i="33"/>
  <c r="BD896" i="33"/>
  <c r="BD897" i="33"/>
  <c r="BD898" i="33"/>
  <c r="BD899" i="33"/>
  <c r="BD900" i="33"/>
  <c r="BD901" i="33"/>
  <c r="BD902" i="33"/>
  <c r="BD903" i="33"/>
  <c r="BD904" i="33"/>
  <c r="BD905" i="33"/>
  <c r="BD906" i="33"/>
  <c r="BD907" i="33"/>
  <c r="BD908" i="33"/>
  <c r="BD909" i="33"/>
  <c r="BD910" i="33"/>
  <c r="BD911" i="33"/>
  <c r="BD912" i="33"/>
  <c r="BD913" i="33"/>
  <c r="BD914" i="33"/>
  <c r="BD915" i="33"/>
  <c r="BD916" i="33"/>
  <c r="BD917" i="33"/>
  <c r="BD918" i="33"/>
  <c r="BD919" i="33"/>
  <c r="BD920" i="33"/>
  <c r="BD921" i="33"/>
  <c r="BD922" i="33"/>
  <c r="BD923" i="33"/>
  <c r="BD924" i="33"/>
  <c r="BD925" i="33"/>
  <c r="BD926" i="33"/>
  <c r="BD927" i="33"/>
  <c r="BD928" i="33"/>
  <c r="BD929" i="33"/>
  <c r="BD930" i="33"/>
  <c r="BD931" i="33"/>
  <c r="BD932" i="33"/>
  <c r="BD933" i="33"/>
  <c r="BD934" i="33"/>
  <c r="BD935" i="33"/>
  <c r="BD936" i="33"/>
  <c r="BD937" i="33"/>
  <c r="BD938" i="33"/>
  <c r="BD939" i="33"/>
  <c r="BD940" i="33"/>
  <c r="BD941" i="33"/>
  <c r="BD942" i="33"/>
  <c r="BD943" i="33"/>
  <c r="BD944" i="33"/>
  <c r="BD945" i="33"/>
  <c r="BD946" i="33"/>
  <c r="BD947" i="33"/>
  <c r="BD948" i="33"/>
  <c r="BD949" i="33"/>
  <c r="BD950" i="33"/>
  <c r="BD951" i="33"/>
  <c r="BD952" i="33"/>
  <c r="BD953" i="33"/>
  <c r="BD954" i="33"/>
  <c r="BD955" i="33"/>
  <c r="BD956" i="33"/>
  <c r="BD957" i="33"/>
  <c r="BD958" i="33"/>
  <c r="BD959" i="33"/>
  <c r="BD960" i="33"/>
  <c r="BD961" i="33"/>
  <c r="BD962" i="33"/>
  <c r="BD963" i="33"/>
  <c r="BD964" i="33"/>
  <c r="BD965" i="33"/>
  <c r="BD966" i="33"/>
  <c r="BD967" i="33"/>
  <c r="BD968" i="33"/>
  <c r="BD969" i="33"/>
  <c r="BD970" i="33"/>
  <c r="BD971" i="33"/>
  <c r="BD972" i="33"/>
  <c r="BD973" i="33"/>
  <c r="BD974" i="33"/>
  <c r="BD975" i="33"/>
  <c r="BD976" i="33"/>
  <c r="BD977" i="33"/>
  <c r="BD978" i="33"/>
  <c r="BD979" i="33"/>
  <c r="BD980" i="33"/>
  <c r="BD981" i="33"/>
  <c r="BD982" i="33"/>
  <c r="BD983" i="33"/>
  <c r="BD984" i="33"/>
  <c r="BD985" i="33"/>
  <c r="BD986" i="33"/>
  <c r="BD987" i="33"/>
  <c r="BD988" i="33"/>
  <c r="BD989" i="33"/>
  <c r="BD990" i="33"/>
  <c r="BD991" i="33"/>
  <c r="BD992" i="33"/>
  <c r="BD993" i="33"/>
  <c r="BD994" i="33"/>
  <c r="BD995" i="33"/>
  <c r="BD996" i="33"/>
  <c r="BD997" i="33"/>
  <c r="BD998" i="33"/>
  <c r="BD999" i="33"/>
  <c r="BD1000" i="33"/>
  <c r="BD1001" i="33"/>
  <c r="BD1002" i="33"/>
  <c r="BD1003" i="33"/>
  <c r="BD1004" i="33"/>
  <c r="BA141" i="33"/>
  <c r="BA142" i="33"/>
  <c r="BA143" i="33"/>
  <c r="BA144" i="33"/>
  <c r="BA145" i="33"/>
  <c r="BA146" i="33"/>
  <c r="BA147" i="33"/>
  <c r="BA148" i="33"/>
  <c r="BA149" i="33"/>
  <c r="BA150" i="33"/>
  <c r="BA151" i="33"/>
  <c r="BA152" i="33"/>
  <c r="BA153" i="33"/>
  <c r="BA154" i="33"/>
  <c r="BA155" i="33"/>
  <c r="BA156" i="33"/>
  <c r="BA157" i="33"/>
  <c r="BA158" i="33"/>
  <c r="BA159" i="33"/>
  <c r="BA160" i="33"/>
  <c r="BA161" i="33"/>
  <c r="BA162" i="33"/>
  <c r="BA163" i="33"/>
  <c r="BA164" i="33"/>
  <c r="BA165" i="33"/>
  <c r="BA166" i="33"/>
  <c r="BA167" i="33"/>
  <c r="BA168" i="33"/>
  <c r="BA169" i="33"/>
  <c r="BA170" i="33"/>
  <c r="BA171" i="33"/>
  <c r="BA172" i="33"/>
  <c r="BA173" i="33"/>
  <c r="BA174" i="33"/>
  <c r="BA175" i="33"/>
  <c r="BA176" i="33"/>
  <c r="BA177" i="33"/>
  <c r="BA178" i="33"/>
  <c r="BA179" i="33"/>
  <c r="BA180" i="33"/>
  <c r="BA181" i="33"/>
  <c r="BA182" i="33"/>
  <c r="BA183" i="33"/>
  <c r="BA184" i="33"/>
  <c r="BA185" i="33"/>
  <c r="BA186" i="33"/>
  <c r="BA187" i="33"/>
  <c r="BA188" i="33"/>
  <c r="BA189" i="33"/>
  <c r="BA190" i="33"/>
  <c r="BA191" i="33"/>
  <c r="BA192" i="33"/>
  <c r="BA193" i="33"/>
  <c r="BA194" i="33"/>
  <c r="BA195" i="33"/>
  <c r="BA196" i="33"/>
  <c r="BA197" i="33"/>
  <c r="BA198" i="33"/>
  <c r="BA199" i="33"/>
  <c r="BA200" i="33"/>
  <c r="BA201" i="33"/>
  <c r="BA202" i="33"/>
  <c r="BA203" i="33"/>
  <c r="BA204" i="33"/>
  <c r="BA205" i="33"/>
  <c r="BA206" i="33"/>
  <c r="BA207" i="33"/>
  <c r="BA208" i="33"/>
  <c r="BA209" i="33"/>
  <c r="BA210" i="33"/>
  <c r="BA211" i="33"/>
  <c r="BA212" i="33"/>
  <c r="BA213" i="33"/>
  <c r="BA214" i="33"/>
  <c r="BA215" i="33"/>
  <c r="BA216" i="33"/>
  <c r="BA217" i="33"/>
  <c r="BA218" i="33"/>
  <c r="BA219" i="33"/>
  <c r="BA220" i="33"/>
  <c r="BA221" i="33"/>
  <c r="BA222" i="33"/>
  <c r="BA223" i="33"/>
  <c r="BA224" i="33"/>
  <c r="BA225" i="33"/>
  <c r="BA226" i="33"/>
  <c r="BA227" i="33"/>
  <c r="BA228" i="33"/>
  <c r="BA229" i="33"/>
  <c r="BA230" i="33"/>
  <c r="BA231" i="33"/>
  <c r="BA232" i="33"/>
  <c r="BA233" i="33"/>
  <c r="BA234" i="33"/>
  <c r="BA235" i="33"/>
  <c r="BA236" i="33"/>
  <c r="BA237" i="33"/>
  <c r="BA238" i="33"/>
  <c r="BA239" i="33"/>
  <c r="BA240" i="33"/>
  <c r="BA241" i="33"/>
  <c r="BA242" i="33"/>
  <c r="BA243" i="33"/>
  <c r="BA244" i="33"/>
  <c r="BA245" i="33"/>
  <c r="BA246" i="33"/>
  <c r="BA247" i="33"/>
  <c r="BA248" i="33"/>
  <c r="BA249" i="33"/>
  <c r="BA250" i="33"/>
  <c r="BA251" i="33"/>
  <c r="BA252" i="33"/>
  <c r="BA253" i="33"/>
  <c r="BA254" i="33"/>
  <c r="BA255" i="33"/>
  <c r="BA256" i="33"/>
  <c r="BA257" i="33"/>
  <c r="BA258" i="33"/>
  <c r="BA259" i="33"/>
  <c r="BA260" i="33"/>
  <c r="BA261" i="33"/>
  <c r="BA262" i="33"/>
  <c r="BA263" i="33"/>
  <c r="BA264" i="33"/>
  <c r="BA265" i="33"/>
  <c r="BA266" i="33"/>
  <c r="BA267" i="33"/>
  <c r="BA268" i="33"/>
  <c r="BA269" i="33"/>
  <c r="BA270" i="33"/>
  <c r="BA271" i="33"/>
  <c r="BA272" i="33"/>
  <c r="BA273" i="33"/>
  <c r="BA274" i="33"/>
  <c r="BA275" i="33"/>
  <c r="BA276" i="33"/>
  <c r="BA277" i="33"/>
  <c r="BA278" i="33"/>
  <c r="BA279" i="33"/>
  <c r="BA280" i="33"/>
  <c r="BA281" i="33"/>
  <c r="BA282" i="33"/>
  <c r="BA283" i="33"/>
  <c r="BA284" i="33"/>
  <c r="BA285" i="33"/>
  <c r="BA286" i="33"/>
  <c r="BA287" i="33"/>
  <c r="BA288" i="33"/>
  <c r="BA289" i="33"/>
  <c r="BA290" i="33"/>
  <c r="BA291" i="33"/>
  <c r="BA292" i="33"/>
  <c r="BA293" i="33"/>
  <c r="BA294" i="33"/>
  <c r="BA295" i="33"/>
  <c r="BA296" i="33"/>
  <c r="BA297" i="33"/>
  <c r="BA298" i="33"/>
  <c r="BA299" i="33"/>
  <c r="BA300" i="33"/>
  <c r="BA301" i="33"/>
  <c r="BA302" i="33"/>
  <c r="BA303" i="33"/>
  <c r="BA304" i="33"/>
  <c r="BA305" i="33"/>
  <c r="BA306" i="33"/>
  <c r="BA307" i="33"/>
  <c r="BA308" i="33"/>
  <c r="BA309" i="33"/>
  <c r="BA310" i="33"/>
  <c r="BA311" i="33"/>
  <c r="BA312" i="33"/>
  <c r="BA313" i="33"/>
  <c r="BA314" i="33"/>
  <c r="BA315" i="33"/>
  <c r="BA316" i="33"/>
  <c r="BA317" i="33"/>
  <c r="BA318" i="33"/>
  <c r="BA319" i="33"/>
  <c r="BA320" i="33"/>
  <c r="BA321" i="33"/>
  <c r="BA322" i="33"/>
  <c r="BA323" i="33"/>
  <c r="BA324" i="33"/>
  <c r="BA325" i="33"/>
  <c r="BA326" i="33"/>
  <c r="BA327" i="33"/>
  <c r="BA328" i="33"/>
  <c r="BA329" i="33"/>
  <c r="BA330" i="33"/>
  <c r="BA331" i="33"/>
  <c r="BA332" i="33"/>
  <c r="BA333" i="33"/>
  <c r="BA334" i="33"/>
  <c r="BA335" i="33"/>
  <c r="BA336" i="33"/>
  <c r="BA337" i="33"/>
  <c r="BA338" i="33"/>
  <c r="BA339" i="33"/>
  <c r="BA340" i="33"/>
  <c r="BA341" i="33"/>
  <c r="BA342" i="33"/>
  <c r="BA343" i="33"/>
  <c r="BA344" i="33"/>
  <c r="BA345" i="33"/>
  <c r="BA346" i="33"/>
  <c r="BA347" i="33"/>
  <c r="BA348" i="33"/>
  <c r="BA349" i="33"/>
  <c r="BA350" i="33"/>
  <c r="BA351" i="33"/>
  <c r="BA352" i="33"/>
  <c r="BA353" i="33"/>
  <c r="BA354" i="33"/>
  <c r="BA355" i="33"/>
  <c r="BA356" i="33"/>
  <c r="BA357" i="33"/>
  <c r="BA358" i="33"/>
  <c r="BA359" i="33"/>
  <c r="BA360" i="33"/>
  <c r="BA361" i="33"/>
  <c r="BA362" i="33"/>
  <c r="BA363" i="33"/>
  <c r="BA364" i="33"/>
  <c r="BA365" i="33"/>
  <c r="BA366" i="33"/>
  <c r="BA367" i="33"/>
  <c r="BA368" i="33"/>
  <c r="BA369" i="33"/>
  <c r="BA370" i="33"/>
  <c r="BA371" i="33"/>
  <c r="BA372" i="33"/>
  <c r="BA373" i="33"/>
  <c r="BA374" i="33"/>
  <c r="BA375" i="33"/>
  <c r="BA376" i="33"/>
  <c r="BA377" i="33"/>
  <c r="BA378" i="33"/>
  <c r="BA379" i="33"/>
  <c r="BA380" i="33"/>
  <c r="BA381" i="33"/>
  <c r="BA382" i="33"/>
  <c r="BA383" i="33"/>
  <c r="BA384" i="33"/>
  <c r="BA385" i="33"/>
  <c r="BA386" i="33"/>
  <c r="BA387" i="33"/>
  <c r="BA388" i="33"/>
  <c r="BA389" i="33"/>
  <c r="BA390" i="33"/>
  <c r="BA391" i="33"/>
  <c r="BA392" i="33"/>
  <c r="BA393" i="33"/>
  <c r="BA394" i="33"/>
  <c r="BA395" i="33"/>
  <c r="BA396" i="33"/>
  <c r="BA397" i="33"/>
  <c r="BA398" i="33"/>
  <c r="BA399" i="33"/>
  <c r="BA400" i="33"/>
  <c r="BA401" i="33"/>
  <c r="BA402" i="33"/>
  <c r="BA403" i="33"/>
  <c r="BA404" i="33"/>
  <c r="BA405" i="33"/>
  <c r="BA406" i="33"/>
  <c r="BA407" i="33"/>
  <c r="BA408" i="33"/>
  <c r="BA409" i="33"/>
  <c r="BA410" i="33"/>
  <c r="BA411" i="33"/>
  <c r="BA412" i="33"/>
  <c r="BA413" i="33"/>
  <c r="BA414" i="33"/>
  <c r="BA415" i="33"/>
  <c r="BA416" i="33"/>
  <c r="BA417" i="33"/>
  <c r="BA418" i="33"/>
  <c r="BA419" i="33"/>
  <c r="BA420" i="33"/>
  <c r="BA421" i="33"/>
  <c r="BA422" i="33"/>
  <c r="BA423" i="33"/>
  <c r="BA424" i="33"/>
  <c r="BA425" i="33"/>
  <c r="BA426" i="33"/>
  <c r="BA427" i="33"/>
  <c r="BA428" i="33"/>
  <c r="BA429" i="33"/>
  <c r="BA430" i="33"/>
  <c r="BA431" i="33"/>
  <c r="BA432" i="33"/>
  <c r="BA433" i="33"/>
  <c r="BA434" i="33"/>
  <c r="BA435" i="33"/>
  <c r="BA436" i="33"/>
  <c r="BA437" i="33"/>
  <c r="BA438" i="33"/>
  <c r="BA439" i="33"/>
  <c r="BA440" i="33"/>
  <c r="BA441" i="33"/>
  <c r="BA442" i="33"/>
  <c r="BA443" i="33"/>
  <c r="BA444" i="33"/>
  <c r="BA445" i="33"/>
  <c r="BA446" i="33"/>
  <c r="BA447" i="33"/>
  <c r="BA448" i="33"/>
  <c r="BA449" i="33"/>
  <c r="BA450" i="33"/>
  <c r="BA451" i="33"/>
  <c r="BA452" i="33"/>
  <c r="BA453" i="33"/>
  <c r="BA454" i="33"/>
  <c r="BA455" i="33"/>
  <c r="BA456" i="33"/>
  <c r="BA457" i="33"/>
  <c r="BA458" i="33"/>
  <c r="BA459" i="33"/>
  <c r="BA460" i="33"/>
  <c r="BA461" i="33"/>
  <c r="BA462" i="33"/>
  <c r="BA463" i="33"/>
  <c r="BA464" i="33"/>
  <c r="BA465" i="33"/>
  <c r="BA466" i="33"/>
  <c r="BA467" i="33"/>
  <c r="BA468" i="33"/>
  <c r="BA469" i="33"/>
  <c r="BA470" i="33"/>
  <c r="BA471" i="33"/>
  <c r="BA472" i="33"/>
  <c r="BA473" i="33"/>
  <c r="BA474" i="33"/>
  <c r="BA475" i="33"/>
  <c r="BA476" i="33"/>
  <c r="BA477" i="33"/>
  <c r="BA478" i="33"/>
  <c r="BA479" i="33"/>
  <c r="BA480" i="33"/>
  <c r="BA481" i="33"/>
  <c r="BA482" i="33"/>
  <c r="BA483" i="33"/>
  <c r="BA484" i="33"/>
  <c r="BA485" i="33"/>
  <c r="BA486" i="33"/>
  <c r="BA487" i="33"/>
  <c r="BA488" i="33"/>
  <c r="BA489" i="33"/>
  <c r="BA490" i="33"/>
  <c r="BA491" i="33"/>
  <c r="BA492" i="33"/>
  <c r="BA493" i="33"/>
  <c r="BA494" i="33"/>
  <c r="BA495" i="33"/>
  <c r="BA496" i="33"/>
  <c r="BA497" i="33"/>
  <c r="BA498" i="33"/>
  <c r="BA499" i="33"/>
  <c r="BA500" i="33"/>
  <c r="BA501" i="33"/>
  <c r="BA502" i="33"/>
  <c r="BA503" i="33"/>
  <c r="BA504" i="33"/>
  <c r="BA505" i="33"/>
  <c r="BA506" i="33"/>
  <c r="BA507" i="33"/>
  <c r="BA508" i="33"/>
  <c r="BA509" i="33"/>
  <c r="BA510" i="33"/>
  <c r="BA511" i="33"/>
  <c r="BA512" i="33"/>
  <c r="BA513" i="33"/>
  <c r="BA514" i="33"/>
  <c r="BA515" i="33"/>
  <c r="BA516" i="33"/>
  <c r="BA517" i="33"/>
  <c r="BA518" i="33"/>
  <c r="BA519" i="33"/>
  <c r="BA520" i="33"/>
  <c r="BA521" i="33"/>
  <c r="BA522" i="33"/>
  <c r="BA523" i="33"/>
  <c r="BA524" i="33"/>
  <c r="BA525" i="33"/>
  <c r="BA526" i="33"/>
  <c r="BA527" i="33"/>
  <c r="BA528" i="33"/>
  <c r="BA529" i="33"/>
  <c r="BA530" i="33"/>
  <c r="BA531" i="33"/>
  <c r="BA532" i="33"/>
  <c r="BA533" i="33"/>
  <c r="BA534" i="33"/>
  <c r="BA535" i="33"/>
  <c r="BA536" i="33"/>
  <c r="BA537" i="33"/>
  <c r="BA538" i="33"/>
  <c r="BA539" i="33"/>
  <c r="BA540" i="33"/>
  <c r="BA541" i="33"/>
  <c r="BA542" i="33"/>
  <c r="BA543" i="33"/>
  <c r="BA544" i="33"/>
  <c r="BA545" i="33"/>
  <c r="BA546" i="33"/>
  <c r="BA547" i="33"/>
  <c r="BA548" i="33"/>
  <c r="BA549" i="33"/>
  <c r="BA550" i="33"/>
  <c r="BA551" i="33"/>
  <c r="BA552" i="33"/>
  <c r="BA553" i="33"/>
  <c r="BA554" i="33"/>
  <c r="BA555" i="33"/>
  <c r="BA556" i="33"/>
  <c r="BA557" i="33"/>
  <c r="BA558" i="33"/>
  <c r="BA559" i="33"/>
  <c r="BA560" i="33"/>
  <c r="BA561" i="33"/>
  <c r="BA562" i="33"/>
  <c r="BA563" i="33"/>
  <c r="BA564" i="33"/>
  <c r="BA565" i="33"/>
  <c r="BA566" i="33"/>
  <c r="BA567" i="33"/>
  <c r="BA568" i="33"/>
  <c r="BA569" i="33"/>
  <c r="BA570" i="33"/>
  <c r="BA571" i="33"/>
  <c r="BA572" i="33"/>
  <c r="BA573" i="33"/>
  <c r="BA574" i="33"/>
  <c r="BA575" i="33"/>
  <c r="BA576" i="33"/>
  <c r="BA577" i="33"/>
  <c r="BA578" i="33"/>
  <c r="BA579" i="33"/>
  <c r="BA580" i="33"/>
  <c r="BA581" i="33"/>
  <c r="BA582" i="33"/>
  <c r="BA583" i="33"/>
  <c r="BA584" i="33"/>
  <c r="BA585" i="33"/>
  <c r="BA586" i="33"/>
  <c r="BA587" i="33"/>
  <c r="BA588" i="33"/>
  <c r="BA589" i="33"/>
  <c r="BA590" i="33"/>
  <c r="BA591" i="33"/>
  <c r="BA592" i="33"/>
  <c r="BA593" i="33"/>
  <c r="BA594" i="33"/>
  <c r="BA595" i="33"/>
  <c r="BA596" i="33"/>
  <c r="BA597" i="33"/>
  <c r="BA598" i="33"/>
  <c r="BA599" i="33"/>
  <c r="BA600" i="33"/>
  <c r="BA601" i="33"/>
  <c r="BA602" i="33"/>
  <c r="BA603" i="33"/>
  <c r="BA604" i="33"/>
  <c r="BA605" i="33"/>
  <c r="BA606" i="33"/>
  <c r="BA607" i="33"/>
  <c r="BA608" i="33"/>
  <c r="BA609" i="33"/>
  <c r="BA610" i="33"/>
  <c r="BA611" i="33"/>
  <c r="BA612" i="33"/>
  <c r="BA613" i="33"/>
  <c r="BA614" i="33"/>
  <c r="BA615" i="33"/>
  <c r="BA616" i="33"/>
  <c r="BA617" i="33"/>
  <c r="BA618" i="33"/>
  <c r="BA619" i="33"/>
  <c r="BA620" i="33"/>
  <c r="BA621" i="33"/>
  <c r="BA622" i="33"/>
  <c r="BA623" i="33"/>
  <c r="BA624" i="33"/>
  <c r="BA625" i="33"/>
  <c r="BA626" i="33"/>
  <c r="BA627" i="33"/>
  <c r="BA628" i="33"/>
  <c r="BA629" i="33"/>
  <c r="BA630" i="33"/>
  <c r="BA631" i="33"/>
  <c r="BA632" i="33"/>
  <c r="BA633" i="33"/>
  <c r="BA634" i="33"/>
  <c r="BA635" i="33"/>
  <c r="BA636" i="33"/>
  <c r="BA637" i="33"/>
  <c r="BA638" i="33"/>
  <c r="BA639" i="33"/>
  <c r="BA640" i="33"/>
  <c r="BA641" i="33"/>
  <c r="BA642" i="33"/>
  <c r="BA643" i="33"/>
  <c r="BA644" i="33"/>
  <c r="BA645" i="33"/>
  <c r="BA646" i="33"/>
  <c r="BA647" i="33"/>
  <c r="BA648" i="33"/>
  <c r="BA649" i="33"/>
  <c r="BA650" i="33"/>
  <c r="BA651" i="33"/>
  <c r="BA652" i="33"/>
  <c r="BA653" i="33"/>
  <c r="BA654" i="33"/>
  <c r="BA655" i="33"/>
  <c r="BA656" i="33"/>
  <c r="BA657" i="33"/>
  <c r="BA658" i="33"/>
  <c r="BA659" i="33"/>
  <c r="BA660" i="33"/>
  <c r="BA661" i="33"/>
  <c r="BA662" i="33"/>
  <c r="BA663" i="33"/>
  <c r="BA664" i="33"/>
  <c r="BA665" i="33"/>
  <c r="BA666" i="33"/>
  <c r="BA667" i="33"/>
  <c r="BA668" i="33"/>
  <c r="BA669" i="33"/>
  <c r="BA670" i="33"/>
  <c r="BA671" i="33"/>
  <c r="BA672" i="33"/>
  <c r="BA673" i="33"/>
  <c r="BA674" i="33"/>
  <c r="BA675" i="33"/>
  <c r="BA676" i="33"/>
  <c r="BA677" i="33"/>
  <c r="BA678" i="33"/>
  <c r="BA679" i="33"/>
  <c r="BA680" i="33"/>
  <c r="BA681" i="33"/>
  <c r="BA682" i="33"/>
  <c r="BA683" i="33"/>
  <c r="BA684" i="33"/>
  <c r="BA685" i="33"/>
  <c r="BA686" i="33"/>
  <c r="BA687" i="33"/>
  <c r="BA688" i="33"/>
  <c r="BA689" i="33"/>
  <c r="BA690" i="33"/>
  <c r="BA691" i="33"/>
  <c r="BA692" i="33"/>
  <c r="BA693" i="33"/>
  <c r="BA694" i="33"/>
  <c r="BA695" i="33"/>
  <c r="BA696" i="33"/>
  <c r="BA697" i="33"/>
  <c r="BA698" i="33"/>
  <c r="BA699" i="33"/>
  <c r="BA700" i="33"/>
  <c r="BA701" i="33"/>
  <c r="BA702" i="33"/>
  <c r="BA703" i="33"/>
  <c r="BA704" i="33"/>
  <c r="BA705" i="33"/>
  <c r="BA706" i="33"/>
  <c r="BA707" i="33"/>
  <c r="BA708" i="33"/>
  <c r="BA709" i="33"/>
  <c r="BA710" i="33"/>
  <c r="BA711" i="33"/>
  <c r="BA712" i="33"/>
  <c r="BA713" i="33"/>
  <c r="BA714" i="33"/>
  <c r="BA715" i="33"/>
  <c r="BA716" i="33"/>
  <c r="BA717" i="33"/>
  <c r="BA718" i="33"/>
  <c r="BA719" i="33"/>
  <c r="BA720" i="33"/>
  <c r="BA721" i="33"/>
  <c r="BA722" i="33"/>
  <c r="BA723" i="33"/>
  <c r="BA724" i="33"/>
  <c r="BA725" i="33"/>
  <c r="BA726" i="33"/>
  <c r="BA727" i="33"/>
  <c r="BA728" i="33"/>
  <c r="BA729" i="33"/>
  <c r="BA730" i="33"/>
  <c r="BA731" i="33"/>
  <c r="BA732" i="33"/>
  <c r="BA733" i="33"/>
  <c r="BA734" i="33"/>
  <c r="BA735" i="33"/>
  <c r="BA736" i="33"/>
  <c r="BA737" i="33"/>
  <c r="BA738" i="33"/>
  <c r="BA739" i="33"/>
  <c r="BA740" i="33"/>
  <c r="BA741" i="33"/>
  <c r="BA742" i="33"/>
  <c r="BA743" i="33"/>
  <c r="BA744" i="33"/>
  <c r="BA745" i="33"/>
  <c r="BA746" i="33"/>
  <c r="BA747" i="33"/>
  <c r="BA748" i="33"/>
  <c r="BA749" i="33"/>
  <c r="BA750" i="33"/>
  <c r="BA751" i="33"/>
  <c r="BA752" i="33"/>
  <c r="BA753" i="33"/>
  <c r="BA754" i="33"/>
  <c r="BA755" i="33"/>
  <c r="BA756" i="33"/>
  <c r="BA757" i="33"/>
  <c r="BA758" i="33"/>
  <c r="BA759" i="33"/>
  <c r="BA760" i="33"/>
  <c r="BA761" i="33"/>
  <c r="BA762" i="33"/>
  <c r="BA763" i="33"/>
  <c r="BA764" i="33"/>
  <c r="BA765" i="33"/>
  <c r="BA766" i="33"/>
  <c r="BA767" i="33"/>
  <c r="BA768" i="33"/>
  <c r="BA769" i="33"/>
  <c r="BA770" i="33"/>
  <c r="BA771" i="33"/>
  <c r="BA772" i="33"/>
  <c r="BA773" i="33"/>
  <c r="BA774" i="33"/>
  <c r="BA775" i="33"/>
  <c r="BA776" i="33"/>
  <c r="BA777" i="33"/>
  <c r="BA778" i="33"/>
  <c r="BA779" i="33"/>
  <c r="BA780" i="33"/>
  <c r="BA781" i="33"/>
  <c r="BA782" i="33"/>
  <c r="BA783" i="33"/>
  <c r="BA784" i="33"/>
  <c r="BA785" i="33"/>
  <c r="BA786" i="33"/>
  <c r="BA787" i="33"/>
  <c r="BA788" i="33"/>
  <c r="BA789" i="33"/>
  <c r="BA790" i="33"/>
  <c r="BA791" i="33"/>
  <c r="BA792" i="33"/>
  <c r="BA793" i="33"/>
  <c r="BA794" i="33"/>
  <c r="BA795" i="33"/>
  <c r="BA796" i="33"/>
  <c r="BA797" i="33"/>
  <c r="BA798" i="33"/>
  <c r="BA799" i="33"/>
  <c r="BA800" i="33"/>
  <c r="BA801" i="33"/>
  <c r="BA802" i="33"/>
  <c r="BA803" i="33"/>
  <c r="BA804" i="33"/>
  <c r="BA805" i="33"/>
  <c r="BA806" i="33"/>
  <c r="BA807" i="33"/>
  <c r="BA808" i="33"/>
  <c r="BA809" i="33"/>
  <c r="BA810" i="33"/>
  <c r="BA811" i="33"/>
  <c r="BA812" i="33"/>
  <c r="BA813" i="33"/>
  <c r="BA814" i="33"/>
  <c r="BA815" i="33"/>
  <c r="BA816" i="33"/>
  <c r="BA817" i="33"/>
  <c r="BA818" i="33"/>
  <c r="BA819" i="33"/>
  <c r="BA820" i="33"/>
  <c r="BA821" i="33"/>
  <c r="BA822" i="33"/>
  <c r="BA823" i="33"/>
  <c r="BA824" i="33"/>
  <c r="BA825" i="33"/>
  <c r="BA826" i="33"/>
  <c r="BA827" i="33"/>
  <c r="BA828" i="33"/>
  <c r="BA829" i="33"/>
  <c r="BA830" i="33"/>
  <c r="BA831" i="33"/>
  <c r="BA832" i="33"/>
  <c r="BA833" i="33"/>
  <c r="BA834" i="33"/>
  <c r="BA835" i="33"/>
  <c r="BA836" i="33"/>
  <c r="BA837" i="33"/>
  <c r="BA838" i="33"/>
  <c r="BA839" i="33"/>
  <c r="BA840" i="33"/>
  <c r="BA841" i="33"/>
  <c r="BA842" i="33"/>
  <c r="BA843" i="33"/>
  <c r="BA844" i="33"/>
  <c r="BA845" i="33"/>
  <c r="BA846" i="33"/>
  <c r="BA847" i="33"/>
  <c r="BA848" i="33"/>
  <c r="BA849" i="33"/>
  <c r="BA850" i="33"/>
  <c r="BA851" i="33"/>
  <c r="BA852" i="33"/>
  <c r="BA853" i="33"/>
  <c r="BA854" i="33"/>
  <c r="BA855" i="33"/>
  <c r="BA856" i="33"/>
  <c r="BA857" i="33"/>
  <c r="BA858" i="33"/>
  <c r="BA859" i="33"/>
  <c r="BA860" i="33"/>
  <c r="BA861" i="33"/>
  <c r="BA862" i="33"/>
  <c r="BA863" i="33"/>
  <c r="BA864" i="33"/>
  <c r="BA865" i="33"/>
  <c r="BA866" i="33"/>
  <c r="BA867" i="33"/>
  <c r="BA868" i="33"/>
  <c r="BA869" i="33"/>
  <c r="BA870" i="33"/>
  <c r="BA871" i="33"/>
  <c r="BA872" i="33"/>
  <c r="BA873" i="33"/>
  <c r="BA874" i="33"/>
  <c r="BA875" i="33"/>
  <c r="BA876" i="33"/>
  <c r="BA877" i="33"/>
  <c r="BA878" i="33"/>
  <c r="BA879" i="33"/>
  <c r="BA880" i="33"/>
  <c r="BA881" i="33"/>
  <c r="BA882" i="33"/>
  <c r="BA883" i="33"/>
  <c r="BA884" i="33"/>
  <c r="BA885" i="33"/>
  <c r="BA886" i="33"/>
  <c r="BA887" i="33"/>
  <c r="BA888" i="33"/>
  <c r="BA889" i="33"/>
  <c r="BA890" i="33"/>
  <c r="BA891" i="33"/>
  <c r="BA892" i="33"/>
  <c r="BA893" i="33"/>
  <c r="BA894" i="33"/>
  <c r="BA895" i="33"/>
  <c r="BA896" i="33"/>
  <c r="BA897" i="33"/>
  <c r="BA898" i="33"/>
  <c r="BA899" i="33"/>
  <c r="BA900" i="33"/>
  <c r="BA901" i="33"/>
  <c r="BA902" i="33"/>
  <c r="BA903" i="33"/>
  <c r="BA904" i="33"/>
  <c r="BA905" i="33"/>
  <c r="BA906" i="33"/>
  <c r="BA907" i="33"/>
  <c r="BA908" i="33"/>
  <c r="BA909" i="33"/>
  <c r="BA910" i="33"/>
  <c r="BA911" i="33"/>
  <c r="BA912" i="33"/>
  <c r="BA913" i="33"/>
  <c r="BA914" i="33"/>
  <c r="BA915" i="33"/>
  <c r="BA916" i="33"/>
  <c r="BA917" i="33"/>
  <c r="BA918" i="33"/>
  <c r="BA919" i="33"/>
  <c r="BA920" i="33"/>
  <c r="BA921" i="33"/>
  <c r="BA922" i="33"/>
  <c r="BA923" i="33"/>
  <c r="BA924" i="33"/>
  <c r="BA925" i="33"/>
  <c r="BA926" i="33"/>
  <c r="BA927" i="33"/>
  <c r="BA928" i="33"/>
  <c r="BA929" i="33"/>
  <c r="BA930" i="33"/>
  <c r="BA931" i="33"/>
  <c r="BA932" i="33"/>
  <c r="BA933" i="33"/>
  <c r="BA934" i="33"/>
  <c r="BA935" i="33"/>
  <c r="BA936" i="33"/>
  <c r="BA937" i="33"/>
  <c r="BA938" i="33"/>
  <c r="BA939" i="33"/>
  <c r="BA940" i="33"/>
  <c r="BA941" i="33"/>
  <c r="BA942" i="33"/>
  <c r="BA943" i="33"/>
  <c r="BA944" i="33"/>
  <c r="BA945" i="33"/>
  <c r="BA946" i="33"/>
  <c r="BA947" i="33"/>
  <c r="BA948" i="33"/>
  <c r="BA949" i="33"/>
  <c r="BA950" i="33"/>
  <c r="BA951" i="33"/>
  <c r="BA952" i="33"/>
  <c r="BA953" i="33"/>
  <c r="BA954" i="33"/>
  <c r="BA955" i="33"/>
  <c r="BA956" i="33"/>
  <c r="BA957" i="33"/>
  <c r="BA958" i="33"/>
  <c r="BA959" i="33"/>
  <c r="BA960" i="33"/>
  <c r="BA961" i="33"/>
  <c r="BA962" i="33"/>
  <c r="BA963" i="33"/>
  <c r="BA964" i="33"/>
  <c r="BA965" i="33"/>
  <c r="BA966" i="33"/>
  <c r="BA967" i="33"/>
  <c r="BA968" i="33"/>
  <c r="BA969" i="33"/>
  <c r="BA970" i="33"/>
  <c r="BA971" i="33"/>
  <c r="BA972" i="33"/>
  <c r="BA973" i="33"/>
  <c r="BA974" i="33"/>
  <c r="BA975" i="33"/>
  <c r="BA976" i="33"/>
  <c r="BA977" i="33"/>
  <c r="BA978" i="33"/>
  <c r="BA979" i="33"/>
  <c r="BA980" i="33"/>
  <c r="BA981" i="33"/>
  <c r="BA982" i="33"/>
  <c r="BA983" i="33"/>
  <c r="BA984" i="33"/>
  <c r="BA985" i="33"/>
  <c r="BA986" i="33"/>
  <c r="BA987" i="33"/>
  <c r="BA988" i="33"/>
  <c r="BA989" i="33"/>
  <c r="BA990" i="33"/>
  <c r="BA991" i="33"/>
  <c r="BA992" i="33"/>
  <c r="BA993" i="33"/>
  <c r="BA994" i="33"/>
  <c r="BA995" i="33"/>
  <c r="BA996" i="33"/>
  <c r="BA997" i="33"/>
  <c r="BA998" i="33"/>
  <c r="BA999" i="33"/>
  <c r="BA1000" i="33"/>
  <c r="BA1001" i="33"/>
  <c r="BA1002" i="33"/>
  <c r="BA1003" i="33"/>
  <c r="BA1004" i="33"/>
  <c r="AX141" i="33"/>
  <c r="AX142" i="33"/>
  <c r="AX143" i="33"/>
  <c r="AX144" i="33"/>
  <c r="AX145" i="33"/>
  <c r="AX146" i="33"/>
  <c r="AX147" i="33"/>
  <c r="AX148" i="33"/>
  <c r="AX149" i="33"/>
  <c r="AX150" i="33"/>
  <c r="AX151" i="33"/>
  <c r="AX152" i="33"/>
  <c r="AX153" i="33"/>
  <c r="AX154" i="33"/>
  <c r="AX155" i="33"/>
  <c r="AX156" i="33"/>
  <c r="AX157" i="33"/>
  <c r="AX158" i="33"/>
  <c r="AX159" i="33"/>
  <c r="AX160" i="33"/>
  <c r="AX161" i="33"/>
  <c r="AX162" i="33"/>
  <c r="AX163" i="33"/>
  <c r="AX164" i="33"/>
  <c r="AX165" i="33"/>
  <c r="AX166" i="33"/>
  <c r="AX167" i="33"/>
  <c r="AX168" i="33"/>
  <c r="AX169" i="33"/>
  <c r="AX170" i="33"/>
  <c r="AX171" i="33"/>
  <c r="AX172" i="33"/>
  <c r="AX173" i="33"/>
  <c r="AX174" i="33"/>
  <c r="AX175" i="33"/>
  <c r="AX176" i="33"/>
  <c r="AX177" i="33"/>
  <c r="AX178" i="33"/>
  <c r="AX179" i="33"/>
  <c r="AX180" i="33"/>
  <c r="AX181" i="33"/>
  <c r="AX182" i="33"/>
  <c r="AX183" i="33"/>
  <c r="AX184" i="33"/>
  <c r="AX185" i="33"/>
  <c r="AX186" i="33"/>
  <c r="AX187" i="33"/>
  <c r="AX188" i="33"/>
  <c r="AX189" i="33"/>
  <c r="AX190" i="33"/>
  <c r="AX191" i="33"/>
  <c r="AX192" i="33"/>
  <c r="AX193" i="33"/>
  <c r="AX194" i="33"/>
  <c r="AX195" i="33"/>
  <c r="AX196" i="33"/>
  <c r="AX197" i="33"/>
  <c r="AX198" i="33"/>
  <c r="AX199" i="33"/>
  <c r="AX200" i="33"/>
  <c r="AX201" i="33"/>
  <c r="AX202" i="33"/>
  <c r="AX203" i="33"/>
  <c r="AX204" i="33"/>
  <c r="AX205" i="33"/>
  <c r="AX206" i="33"/>
  <c r="AX207" i="33"/>
  <c r="AX208" i="33"/>
  <c r="AX209" i="33"/>
  <c r="AX210" i="33"/>
  <c r="AX211" i="33"/>
  <c r="AX212" i="33"/>
  <c r="AX213" i="33"/>
  <c r="AX214" i="33"/>
  <c r="AX215" i="33"/>
  <c r="AX216" i="33"/>
  <c r="AX217" i="33"/>
  <c r="AX218" i="33"/>
  <c r="AX219" i="33"/>
  <c r="AX220" i="33"/>
  <c r="AX221" i="33"/>
  <c r="AX222" i="33"/>
  <c r="AX223" i="33"/>
  <c r="AX224" i="33"/>
  <c r="AX225" i="33"/>
  <c r="AX226" i="33"/>
  <c r="AX227" i="33"/>
  <c r="AX228" i="33"/>
  <c r="AX229" i="33"/>
  <c r="AX230" i="33"/>
  <c r="AX231" i="33"/>
  <c r="AX232" i="33"/>
  <c r="AX233" i="33"/>
  <c r="AX234" i="33"/>
  <c r="AX235" i="33"/>
  <c r="AX236" i="33"/>
  <c r="AX237" i="33"/>
  <c r="AX238" i="33"/>
  <c r="AX239" i="33"/>
  <c r="AX240" i="33"/>
  <c r="AX241" i="33"/>
  <c r="AX242" i="33"/>
  <c r="AX243" i="33"/>
  <c r="AX244" i="33"/>
  <c r="AX245" i="33"/>
  <c r="AX246" i="33"/>
  <c r="AX247" i="33"/>
  <c r="AX248" i="33"/>
  <c r="AX249" i="33"/>
  <c r="AX250" i="33"/>
  <c r="AX251" i="33"/>
  <c r="AX252" i="33"/>
  <c r="AX253" i="33"/>
  <c r="AX254" i="33"/>
  <c r="AX255" i="33"/>
  <c r="AX256" i="33"/>
  <c r="AX257" i="33"/>
  <c r="AX258" i="33"/>
  <c r="AX259" i="33"/>
  <c r="AX260" i="33"/>
  <c r="AX261" i="33"/>
  <c r="AX262" i="33"/>
  <c r="AX263" i="33"/>
  <c r="AX264" i="33"/>
  <c r="AX265" i="33"/>
  <c r="AX266" i="33"/>
  <c r="AX267" i="33"/>
  <c r="AX268" i="33"/>
  <c r="AX269" i="33"/>
  <c r="AX270" i="33"/>
  <c r="AX271" i="33"/>
  <c r="AX272" i="33"/>
  <c r="AX273" i="33"/>
  <c r="AX274" i="33"/>
  <c r="AX275" i="33"/>
  <c r="AX276" i="33"/>
  <c r="AX277" i="33"/>
  <c r="AX278" i="33"/>
  <c r="AX279" i="33"/>
  <c r="AX280" i="33"/>
  <c r="AX281" i="33"/>
  <c r="AX282" i="33"/>
  <c r="AX283" i="33"/>
  <c r="AX284" i="33"/>
  <c r="AX285" i="33"/>
  <c r="AX286" i="33"/>
  <c r="AX287" i="33"/>
  <c r="AX288" i="33"/>
  <c r="AX289" i="33"/>
  <c r="AX290" i="33"/>
  <c r="AX291" i="33"/>
  <c r="AX292" i="33"/>
  <c r="AX293" i="33"/>
  <c r="AX294" i="33"/>
  <c r="AX295" i="33"/>
  <c r="AX296" i="33"/>
  <c r="AX297" i="33"/>
  <c r="AX298" i="33"/>
  <c r="AX299" i="33"/>
  <c r="AX300" i="33"/>
  <c r="AX301" i="33"/>
  <c r="AX302" i="33"/>
  <c r="AX303" i="33"/>
  <c r="AX304" i="33"/>
  <c r="AX305" i="33"/>
  <c r="AX306" i="33"/>
  <c r="AX307" i="33"/>
  <c r="AX308" i="33"/>
  <c r="AX309" i="33"/>
  <c r="AX310" i="33"/>
  <c r="AX311" i="33"/>
  <c r="AX312" i="33"/>
  <c r="AX313" i="33"/>
  <c r="AX314" i="33"/>
  <c r="AX315" i="33"/>
  <c r="AX316" i="33"/>
  <c r="AX317" i="33"/>
  <c r="AX318" i="33"/>
  <c r="AX319" i="33"/>
  <c r="AX320" i="33"/>
  <c r="AX321" i="33"/>
  <c r="AX322" i="33"/>
  <c r="AX323" i="33"/>
  <c r="AX324" i="33"/>
  <c r="AX325" i="33"/>
  <c r="AX326" i="33"/>
  <c r="AX327" i="33"/>
  <c r="AX328" i="33"/>
  <c r="AX329" i="33"/>
  <c r="AX330" i="33"/>
  <c r="AX331" i="33"/>
  <c r="AX332" i="33"/>
  <c r="AX333" i="33"/>
  <c r="AX334" i="33"/>
  <c r="AX335" i="33"/>
  <c r="AX336" i="33"/>
  <c r="AX337" i="33"/>
  <c r="AX338" i="33"/>
  <c r="AX339" i="33"/>
  <c r="AX340" i="33"/>
  <c r="AX341" i="33"/>
  <c r="AX342" i="33"/>
  <c r="AX343" i="33"/>
  <c r="AX344" i="33"/>
  <c r="AX345" i="33"/>
  <c r="AX346" i="33"/>
  <c r="AX347" i="33"/>
  <c r="AX348" i="33"/>
  <c r="AX349" i="33"/>
  <c r="AX350" i="33"/>
  <c r="AX351" i="33"/>
  <c r="AX352" i="33"/>
  <c r="AX353" i="33"/>
  <c r="AX354" i="33"/>
  <c r="AX355" i="33"/>
  <c r="AX356" i="33"/>
  <c r="AX357" i="33"/>
  <c r="AX358" i="33"/>
  <c r="AX359" i="33"/>
  <c r="AX360" i="33"/>
  <c r="AX361" i="33"/>
  <c r="AX362" i="33"/>
  <c r="AX363" i="33"/>
  <c r="AX364" i="33"/>
  <c r="AX365" i="33"/>
  <c r="AX366" i="33"/>
  <c r="AX367" i="33"/>
  <c r="AX368" i="33"/>
  <c r="AX369" i="33"/>
  <c r="AX370" i="33"/>
  <c r="AX371" i="33"/>
  <c r="AX372" i="33"/>
  <c r="AX373" i="33"/>
  <c r="AX374" i="33"/>
  <c r="AX375" i="33"/>
  <c r="AX376" i="33"/>
  <c r="AX377" i="33"/>
  <c r="AX378" i="33"/>
  <c r="AX379" i="33"/>
  <c r="AX380" i="33"/>
  <c r="AX381" i="33"/>
  <c r="AX382" i="33"/>
  <c r="AX383" i="33"/>
  <c r="AX384" i="33"/>
  <c r="AX385" i="33"/>
  <c r="AX386" i="33"/>
  <c r="AX387" i="33"/>
  <c r="AX388" i="33"/>
  <c r="AX389" i="33"/>
  <c r="AX390" i="33"/>
  <c r="AX391" i="33"/>
  <c r="AX392" i="33"/>
  <c r="AX393" i="33"/>
  <c r="AX394" i="33"/>
  <c r="AX395" i="33"/>
  <c r="AX396" i="33"/>
  <c r="AX397" i="33"/>
  <c r="AX398" i="33"/>
  <c r="AX399" i="33"/>
  <c r="AX400" i="33"/>
  <c r="AX401" i="33"/>
  <c r="AX402" i="33"/>
  <c r="AX403" i="33"/>
  <c r="AX404" i="33"/>
  <c r="AX405" i="33"/>
  <c r="AX406" i="33"/>
  <c r="AX407" i="33"/>
  <c r="AX408" i="33"/>
  <c r="AX409" i="33"/>
  <c r="AX410" i="33"/>
  <c r="AX411" i="33"/>
  <c r="AX412" i="33"/>
  <c r="AX413" i="33"/>
  <c r="AX414" i="33"/>
  <c r="AX415" i="33"/>
  <c r="AX416" i="33"/>
  <c r="AX417" i="33"/>
  <c r="AX418" i="33"/>
  <c r="AX419" i="33"/>
  <c r="AX420" i="33"/>
  <c r="AX421" i="33"/>
  <c r="AX422" i="33"/>
  <c r="AX423" i="33"/>
  <c r="AX424" i="33"/>
  <c r="AX425" i="33"/>
  <c r="AX426" i="33"/>
  <c r="AX427" i="33"/>
  <c r="AX428" i="33"/>
  <c r="AX429" i="33"/>
  <c r="AX430" i="33"/>
  <c r="AX431" i="33"/>
  <c r="AX432" i="33"/>
  <c r="AX433" i="33"/>
  <c r="AX434" i="33"/>
  <c r="AX435" i="33"/>
  <c r="AX436" i="33"/>
  <c r="AX437" i="33"/>
  <c r="AX438" i="33"/>
  <c r="AX439" i="33"/>
  <c r="AX440" i="33"/>
  <c r="AX441" i="33"/>
  <c r="AX442" i="33"/>
  <c r="AX443" i="33"/>
  <c r="AX444" i="33"/>
  <c r="AX445" i="33"/>
  <c r="AX446" i="33"/>
  <c r="AX447" i="33"/>
  <c r="AX448" i="33"/>
  <c r="AX449" i="33"/>
  <c r="AX450" i="33"/>
  <c r="AX451" i="33"/>
  <c r="AX452" i="33"/>
  <c r="AX453" i="33"/>
  <c r="AX454" i="33"/>
  <c r="AX455" i="33"/>
  <c r="AX456" i="33"/>
  <c r="AX457" i="33"/>
  <c r="AX458" i="33"/>
  <c r="AX459" i="33"/>
  <c r="AX460" i="33"/>
  <c r="AX461" i="33"/>
  <c r="AX462" i="33"/>
  <c r="AX463" i="33"/>
  <c r="AX464" i="33"/>
  <c r="AX465" i="33"/>
  <c r="AX466" i="33"/>
  <c r="AX467" i="33"/>
  <c r="AX468" i="33"/>
  <c r="AX469" i="33"/>
  <c r="AX470" i="33"/>
  <c r="AX471" i="33"/>
  <c r="AX472" i="33"/>
  <c r="AX473" i="33"/>
  <c r="AX474" i="33"/>
  <c r="AX475" i="33"/>
  <c r="AX476" i="33"/>
  <c r="AX477" i="33"/>
  <c r="AX478" i="33"/>
  <c r="AX479" i="33"/>
  <c r="AX480" i="33"/>
  <c r="AX481" i="33"/>
  <c r="AX482" i="33"/>
  <c r="AX483" i="33"/>
  <c r="AX484" i="33"/>
  <c r="AX485" i="33"/>
  <c r="AX486" i="33"/>
  <c r="AX487" i="33"/>
  <c r="AX488" i="33"/>
  <c r="AX489" i="33"/>
  <c r="AX490" i="33"/>
  <c r="AX491" i="33"/>
  <c r="AX492" i="33"/>
  <c r="AX493" i="33"/>
  <c r="AX494" i="33"/>
  <c r="AX495" i="33"/>
  <c r="AX496" i="33"/>
  <c r="AX497" i="33"/>
  <c r="AX498" i="33"/>
  <c r="AX499" i="33"/>
  <c r="AX500" i="33"/>
  <c r="AX501" i="33"/>
  <c r="AX502" i="33"/>
  <c r="AX503" i="33"/>
  <c r="AX504" i="33"/>
  <c r="AX505" i="33"/>
  <c r="AX506" i="33"/>
  <c r="AX507" i="33"/>
  <c r="AX508" i="33"/>
  <c r="AX509" i="33"/>
  <c r="AX510" i="33"/>
  <c r="AX511" i="33"/>
  <c r="AX512" i="33"/>
  <c r="AX513" i="33"/>
  <c r="AX514" i="33"/>
  <c r="AX515" i="33"/>
  <c r="AX516" i="33"/>
  <c r="AX517" i="33"/>
  <c r="AX518" i="33"/>
  <c r="AX519" i="33"/>
  <c r="AX520" i="33"/>
  <c r="AX521" i="33"/>
  <c r="AX522" i="33"/>
  <c r="AX523" i="33"/>
  <c r="AX524" i="33"/>
  <c r="AX525" i="33"/>
  <c r="AX526" i="33"/>
  <c r="AX527" i="33"/>
  <c r="AX528" i="33"/>
  <c r="AX529" i="33"/>
  <c r="AX530" i="33"/>
  <c r="AX531" i="33"/>
  <c r="AX532" i="33"/>
  <c r="AX533" i="33"/>
  <c r="AX534" i="33"/>
  <c r="AX535" i="33"/>
  <c r="AX536" i="33"/>
  <c r="AX537" i="33"/>
  <c r="AX538" i="33"/>
  <c r="AX539" i="33"/>
  <c r="AX540" i="33"/>
  <c r="AX541" i="33"/>
  <c r="AX542" i="33"/>
  <c r="AX543" i="33"/>
  <c r="AX544" i="33"/>
  <c r="AX545" i="33"/>
  <c r="AX546" i="33"/>
  <c r="AX547" i="33"/>
  <c r="AX548" i="33"/>
  <c r="AX549" i="33"/>
  <c r="AX550" i="33"/>
  <c r="AX551" i="33"/>
  <c r="AX552" i="33"/>
  <c r="AX553" i="33"/>
  <c r="AX554" i="33"/>
  <c r="AX555" i="33"/>
  <c r="AX556" i="33"/>
  <c r="AX557" i="33"/>
  <c r="AX558" i="33"/>
  <c r="AX559" i="33"/>
  <c r="AX560" i="33"/>
  <c r="AX561" i="33"/>
  <c r="AX562" i="33"/>
  <c r="AX563" i="33"/>
  <c r="AX564" i="33"/>
  <c r="AX565" i="33"/>
  <c r="AX566" i="33"/>
  <c r="AX567" i="33"/>
  <c r="AX568" i="33"/>
  <c r="AX569" i="33"/>
  <c r="AX570" i="33"/>
  <c r="AX571" i="33"/>
  <c r="AX572" i="33"/>
  <c r="AX573" i="33"/>
  <c r="AX574" i="33"/>
  <c r="AX575" i="33"/>
  <c r="AX576" i="33"/>
  <c r="AX577" i="33"/>
  <c r="AX578" i="33"/>
  <c r="AX579" i="33"/>
  <c r="AX580" i="33"/>
  <c r="AX581" i="33"/>
  <c r="AX582" i="33"/>
  <c r="AX583" i="33"/>
  <c r="AX584" i="33"/>
  <c r="AX585" i="33"/>
  <c r="AX586" i="33"/>
  <c r="AX587" i="33"/>
  <c r="AX588" i="33"/>
  <c r="AX589" i="33"/>
  <c r="AX590" i="33"/>
  <c r="AX591" i="33"/>
  <c r="AX592" i="33"/>
  <c r="AX593" i="33"/>
  <c r="AX594" i="33"/>
  <c r="AX595" i="33"/>
  <c r="AX596" i="33"/>
  <c r="AX597" i="33"/>
  <c r="AX598" i="33"/>
  <c r="AX599" i="33"/>
  <c r="AX600" i="33"/>
  <c r="AX601" i="33"/>
  <c r="AX602" i="33"/>
  <c r="AX603" i="33"/>
  <c r="AX604" i="33"/>
  <c r="AX605" i="33"/>
  <c r="AX606" i="33"/>
  <c r="AX607" i="33"/>
  <c r="AX608" i="33"/>
  <c r="AX609" i="33"/>
  <c r="AX610" i="33"/>
  <c r="AX611" i="33"/>
  <c r="AX612" i="33"/>
  <c r="AX613" i="33"/>
  <c r="AX614" i="33"/>
  <c r="AX615" i="33"/>
  <c r="AX616" i="33"/>
  <c r="AX617" i="33"/>
  <c r="AX618" i="33"/>
  <c r="AX619" i="33"/>
  <c r="AX620" i="33"/>
  <c r="AX621" i="33"/>
  <c r="AX622" i="33"/>
  <c r="AX623" i="33"/>
  <c r="AX624" i="33"/>
  <c r="AX625" i="33"/>
  <c r="AX626" i="33"/>
  <c r="AX627" i="33"/>
  <c r="AX628" i="33"/>
  <c r="AX629" i="33"/>
  <c r="AX630" i="33"/>
  <c r="AX631" i="33"/>
  <c r="AX632" i="33"/>
  <c r="AX633" i="33"/>
  <c r="AX634" i="33"/>
  <c r="AX635" i="33"/>
  <c r="AX636" i="33"/>
  <c r="AX637" i="33"/>
  <c r="AX638" i="33"/>
  <c r="AX639" i="33"/>
  <c r="AX640" i="33"/>
  <c r="AX641" i="33"/>
  <c r="AX642" i="33"/>
  <c r="AX643" i="33"/>
  <c r="AX644" i="33"/>
  <c r="AX645" i="33"/>
  <c r="AX646" i="33"/>
  <c r="AX647" i="33"/>
  <c r="AX648" i="33"/>
  <c r="AX649" i="33"/>
  <c r="AX650" i="33"/>
  <c r="AX651" i="33"/>
  <c r="AX652" i="33"/>
  <c r="AX653" i="33"/>
  <c r="AX654" i="33"/>
  <c r="AX655" i="33"/>
  <c r="AX656" i="33"/>
  <c r="AX657" i="33"/>
  <c r="AX658" i="33"/>
  <c r="AX659" i="33"/>
  <c r="AX660" i="33"/>
  <c r="AX661" i="33"/>
  <c r="AX662" i="33"/>
  <c r="AX663" i="33"/>
  <c r="AX664" i="33"/>
  <c r="AX665" i="33"/>
  <c r="AX666" i="33"/>
  <c r="AX667" i="33"/>
  <c r="AX668" i="33"/>
  <c r="AX669" i="33"/>
  <c r="AX670" i="33"/>
  <c r="AX671" i="33"/>
  <c r="AX672" i="33"/>
  <c r="AX673" i="33"/>
  <c r="AX674" i="33"/>
  <c r="AX675" i="33"/>
  <c r="AX676" i="33"/>
  <c r="AX677" i="33"/>
  <c r="AX678" i="33"/>
  <c r="AX679" i="33"/>
  <c r="AX680" i="33"/>
  <c r="AX681" i="33"/>
  <c r="AX682" i="33"/>
  <c r="AX683" i="33"/>
  <c r="AX684" i="33"/>
  <c r="AX685" i="33"/>
  <c r="AX686" i="33"/>
  <c r="AX687" i="33"/>
  <c r="AX688" i="33"/>
  <c r="AX689" i="33"/>
  <c r="AX690" i="33"/>
  <c r="AX691" i="33"/>
  <c r="AX692" i="33"/>
  <c r="AX693" i="33"/>
  <c r="AX694" i="33"/>
  <c r="AX695" i="33"/>
  <c r="AX696" i="33"/>
  <c r="AX697" i="33"/>
  <c r="AX698" i="33"/>
  <c r="AX699" i="33"/>
  <c r="AX700" i="33"/>
  <c r="AX701" i="33"/>
  <c r="AX702" i="33"/>
  <c r="AX703" i="33"/>
  <c r="AX704" i="33"/>
  <c r="AX705" i="33"/>
  <c r="AX706" i="33"/>
  <c r="AX707" i="33"/>
  <c r="AX708" i="33"/>
  <c r="AX709" i="33"/>
  <c r="AX710" i="33"/>
  <c r="AX711" i="33"/>
  <c r="AX712" i="33"/>
  <c r="AX713" i="33"/>
  <c r="AX714" i="33"/>
  <c r="AX715" i="33"/>
  <c r="AX716" i="33"/>
  <c r="AX717" i="33"/>
  <c r="AX718" i="33"/>
  <c r="AX719" i="33"/>
  <c r="AX720" i="33"/>
  <c r="AX721" i="33"/>
  <c r="AX722" i="33"/>
  <c r="AX723" i="33"/>
  <c r="AX724" i="33"/>
  <c r="AX725" i="33"/>
  <c r="AX726" i="33"/>
  <c r="AX727" i="33"/>
  <c r="AX728" i="33"/>
  <c r="AX729" i="33"/>
  <c r="AX730" i="33"/>
  <c r="AX731" i="33"/>
  <c r="AX732" i="33"/>
  <c r="AX733" i="33"/>
  <c r="AX734" i="33"/>
  <c r="AX735" i="33"/>
  <c r="AX736" i="33"/>
  <c r="AX737" i="33"/>
  <c r="AX738" i="33"/>
  <c r="AX739" i="33"/>
  <c r="AX740" i="33"/>
  <c r="AX741" i="33"/>
  <c r="AX742" i="33"/>
  <c r="AX743" i="33"/>
  <c r="AX744" i="33"/>
  <c r="AX745" i="33"/>
  <c r="AX746" i="33"/>
  <c r="AX747" i="33"/>
  <c r="AX748" i="33"/>
  <c r="AX749" i="33"/>
  <c r="AX750" i="33"/>
  <c r="AX751" i="33"/>
  <c r="AX752" i="33"/>
  <c r="AX753" i="33"/>
  <c r="AX754" i="33"/>
  <c r="AX755" i="33"/>
  <c r="AX756" i="33"/>
  <c r="AX757" i="33"/>
  <c r="AX758" i="33"/>
  <c r="AX759" i="33"/>
  <c r="AX760" i="33"/>
  <c r="AX761" i="33"/>
  <c r="AX762" i="33"/>
  <c r="AX763" i="33"/>
  <c r="AX764" i="33"/>
  <c r="AX765" i="33"/>
  <c r="AX766" i="33"/>
  <c r="AX767" i="33"/>
  <c r="AX768" i="33"/>
  <c r="AX769" i="33"/>
  <c r="AX770" i="33"/>
  <c r="AX771" i="33"/>
  <c r="AX772" i="33"/>
  <c r="AX773" i="33"/>
  <c r="AX774" i="33"/>
  <c r="AX775" i="33"/>
  <c r="AX776" i="33"/>
  <c r="AX777" i="33"/>
  <c r="AX778" i="33"/>
  <c r="AX779" i="33"/>
  <c r="AX780" i="33"/>
  <c r="AX781" i="33"/>
  <c r="AX782" i="33"/>
  <c r="AX783" i="33"/>
  <c r="AX784" i="33"/>
  <c r="AX785" i="33"/>
  <c r="AX786" i="33"/>
  <c r="AX787" i="33"/>
  <c r="AX788" i="33"/>
  <c r="AX789" i="33"/>
  <c r="AX790" i="33"/>
  <c r="AX791" i="33"/>
  <c r="AX792" i="33"/>
  <c r="AX793" i="33"/>
  <c r="AX794" i="33"/>
  <c r="AX795" i="33"/>
  <c r="AX796" i="33"/>
  <c r="AX797" i="33"/>
  <c r="AX798" i="33"/>
  <c r="AX799" i="33"/>
  <c r="AX800" i="33"/>
  <c r="AX801" i="33"/>
  <c r="AX802" i="33"/>
  <c r="AX803" i="33"/>
  <c r="AX804" i="33"/>
  <c r="AX805" i="33"/>
  <c r="AX806" i="33"/>
  <c r="AX807" i="33"/>
  <c r="AX808" i="33"/>
  <c r="AX809" i="33"/>
  <c r="AX810" i="33"/>
  <c r="AX811" i="33"/>
  <c r="AX812" i="33"/>
  <c r="AX813" i="33"/>
  <c r="AX814" i="33"/>
  <c r="AX815" i="33"/>
  <c r="AX816" i="33"/>
  <c r="AX817" i="33"/>
  <c r="AX818" i="33"/>
  <c r="AX819" i="33"/>
  <c r="AX820" i="33"/>
  <c r="AX821" i="33"/>
  <c r="AX822" i="33"/>
  <c r="AX823" i="33"/>
  <c r="AX824" i="33"/>
  <c r="AX825" i="33"/>
  <c r="AX826" i="33"/>
  <c r="AX827" i="33"/>
  <c r="AX828" i="33"/>
  <c r="AX829" i="33"/>
  <c r="AX830" i="33"/>
  <c r="AX831" i="33"/>
  <c r="AX832" i="33"/>
  <c r="AX833" i="33"/>
  <c r="AX834" i="33"/>
  <c r="AX835" i="33"/>
  <c r="AX836" i="33"/>
  <c r="AX837" i="33"/>
  <c r="AX838" i="33"/>
  <c r="AX839" i="33"/>
  <c r="AX840" i="33"/>
  <c r="AX841" i="33"/>
  <c r="AX842" i="33"/>
  <c r="AX843" i="33"/>
  <c r="AX844" i="33"/>
  <c r="AX845" i="33"/>
  <c r="AX846" i="33"/>
  <c r="AX847" i="33"/>
  <c r="AX848" i="33"/>
  <c r="AX849" i="33"/>
  <c r="AX850" i="33"/>
  <c r="AX851" i="33"/>
  <c r="AX852" i="33"/>
  <c r="AX853" i="33"/>
  <c r="AX854" i="33"/>
  <c r="AX855" i="33"/>
  <c r="AX856" i="33"/>
  <c r="AX857" i="33"/>
  <c r="AX858" i="33"/>
  <c r="AX859" i="33"/>
  <c r="AX860" i="33"/>
  <c r="AX861" i="33"/>
  <c r="AX862" i="33"/>
  <c r="AX863" i="33"/>
  <c r="AX864" i="33"/>
  <c r="AX865" i="33"/>
  <c r="AX866" i="33"/>
  <c r="AX867" i="33"/>
  <c r="AX868" i="33"/>
  <c r="AX869" i="33"/>
  <c r="AX870" i="33"/>
  <c r="AX871" i="33"/>
  <c r="AX872" i="33"/>
  <c r="AX873" i="33"/>
  <c r="AX874" i="33"/>
  <c r="AX875" i="33"/>
  <c r="AX876" i="33"/>
  <c r="AX877" i="33"/>
  <c r="AX878" i="33"/>
  <c r="AX879" i="33"/>
  <c r="AX880" i="33"/>
  <c r="AX881" i="33"/>
  <c r="AX882" i="33"/>
  <c r="AX883" i="33"/>
  <c r="AX884" i="33"/>
  <c r="AX885" i="33"/>
  <c r="AX886" i="33"/>
  <c r="AX887" i="33"/>
  <c r="AX888" i="33"/>
  <c r="AX889" i="33"/>
  <c r="AX890" i="33"/>
  <c r="AX891" i="33"/>
  <c r="AX892" i="33"/>
  <c r="AX893" i="33"/>
  <c r="AX894" i="33"/>
  <c r="AX895" i="33"/>
  <c r="AX896" i="33"/>
  <c r="AX897" i="33"/>
  <c r="AX898" i="33"/>
  <c r="AX899" i="33"/>
  <c r="AX900" i="33"/>
  <c r="AX901" i="33"/>
  <c r="AX902" i="33"/>
  <c r="AX903" i="33"/>
  <c r="AX904" i="33"/>
  <c r="AX905" i="33"/>
  <c r="AX906" i="33"/>
  <c r="AX907" i="33"/>
  <c r="AX908" i="33"/>
  <c r="AX909" i="33"/>
  <c r="AX910" i="33"/>
  <c r="AX911" i="33"/>
  <c r="AX912" i="33"/>
  <c r="AX913" i="33"/>
  <c r="AX914" i="33"/>
  <c r="AX915" i="33"/>
  <c r="AX916" i="33"/>
  <c r="AX917" i="33"/>
  <c r="AX918" i="33"/>
  <c r="AX919" i="33"/>
  <c r="AX920" i="33"/>
  <c r="AX921" i="33"/>
  <c r="AX922" i="33"/>
  <c r="AX923" i="33"/>
  <c r="AX924" i="33"/>
  <c r="AX925" i="33"/>
  <c r="AX926" i="33"/>
  <c r="AX927" i="33"/>
  <c r="AX928" i="33"/>
  <c r="AX929" i="33"/>
  <c r="AX930" i="33"/>
  <c r="AX931" i="33"/>
  <c r="AX932" i="33"/>
  <c r="AX933" i="33"/>
  <c r="AX934" i="33"/>
  <c r="AX935" i="33"/>
  <c r="AX936" i="33"/>
  <c r="AX937" i="33"/>
  <c r="AX938" i="33"/>
  <c r="AX939" i="33"/>
  <c r="AX940" i="33"/>
  <c r="AX941" i="33"/>
  <c r="AX942" i="33"/>
  <c r="AX943" i="33"/>
  <c r="AX944" i="33"/>
  <c r="AX945" i="33"/>
  <c r="AX946" i="33"/>
  <c r="AX947" i="33"/>
  <c r="AX948" i="33"/>
  <c r="AX949" i="33"/>
  <c r="AX950" i="33"/>
  <c r="AX951" i="33"/>
  <c r="AX952" i="33"/>
  <c r="AX953" i="33"/>
  <c r="AX954" i="33"/>
  <c r="AX955" i="33"/>
  <c r="AX956" i="33"/>
  <c r="AX957" i="33"/>
  <c r="AX958" i="33"/>
  <c r="AX959" i="33"/>
  <c r="AX960" i="33"/>
  <c r="AX961" i="33"/>
  <c r="AX962" i="33"/>
  <c r="AX963" i="33"/>
  <c r="AX964" i="33"/>
  <c r="AX965" i="33"/>
  <c r="AX966" i="33"/>
  <c r="AX967" i="33"/>
  <c r="AX968" i="33"/>
  <c r="AX969" i="33"/>
  <c r="AX970" i="33"/>
  <c r="AX971" i="33"/>
  <c r="AX972" i="33"/>
  <c r="AX973" i="33"/>
  <c r="AX974" i="33"/>
  <c r="AX975" i="33"/>
  <c r="AX976" i="33"/>
  <c r="AX977" i="33"/>
  <c r="AX978" i="33"/>
  <c r="AX979" i="33"/>
  <c r="AX980" i="33"/>
  <c r="AX981" i="33"/>
  <c r="AX982" i="33"/>
  <c r="AX983" i="33"/>
  <c r="AX984" i="33"/>
  <c r="AX985" i="33"/>
  <c r="AX986" i="33"/>
  <c r="AX987" i="33"/>
  <c r="AX988" i="33"/>
  <c r="AX989" i="33"/>
  <c r="AX990" i="33"/>
  <c r="AX991" i="33"/>
  <c r="AX992" i="33"/>
  <c r="AX993" i="33"/>
  <c r="AX994" i="33"/>
  <c r="AX995" i="33"/>
  <c r="AX996" i="33"/>
  <c r="AX997" i="33"/>
  <c r="AX998" i="33"/>
  <c r="AX999" i="33"/>
  <c r="AX1000" i="33"/>
  <c r="AX1001" i="33"/>
  <c r="AX1002" i="33"/>
  <c r="AX1003" i="33"/>
  <c r="AX1004" i="33"/>
  <c r="AU141" i="33"/>
  <c r="AU142" i="33"/>
  <c r="AU143" i="33"/>
  <c r="AU144" i="33"/>
  <c r="AU145" i="33"/>
  <c r="AU146" i="33"/>
  <c r="AU147" i="33"/>
  <c r="AU148" i="33"/>
  <c r="AU149" i="33"/>
  <c r="AU150" i="33"/>
  <c r="AU151" i="33"/>
  <c r="AU152" i="33"/>
  <c r="AU153" i="33"/>
  <c r="AU154" i="33"/>
  <c r="AU155" i="33"/>
  <c r="AU156" i="33"/>
  <c r="AU157" i="33"/>
  <c r="AU158" i="33"/>
  <c r="AU159" i="33"/>
  <c r="AU160" i="33"/>
  <c r="AU161" i="33"/>
  <c r="AU162" i="33"/>
  <c r="AU163" i="33"/>
  <c r="AU164" i="33"/>
  <c r="AU165" i="33"/>
  <c r="AU166" i="33"/>
  <c r="AU167" i="33"/>
  <c r="AU168" i="33"/>
  <c r="AU169" i="33"/>
  <c r="AU170" i="33"/>
  <c r="AU171" i="33"/>
  <c r="AU172" i="33"/>
  <c r="AU173" i="33"/>
  <c r="AU174" i="33"/>
  <c r="AU175" i="33"/>
  <c r="AU176" i="33"/>
  <c r="AU177" i="33"/>
  <c r="AU178" i="33"/>
  <c r="AU179" i="33"/>
  <c r="AU180" i="33"/>
  <c r="AU181" i="33"/>
  <c r="AU182" i="33"/>
  <c r="AU183" i="33"/>
  <c r="AU184" i="33"/>
  <c r="AU185" i="33"/>
  <c r="AU186" i="33"/>
  <c r="AU187" i="33"/>
  <c r="AU188" i="33"/>
  <c r="AU189" i="33"/>
  <c r="AU190" i="33"/>
  <c r="AU191" i="33"/>
  <c r="AU192" i="33"/>
  <c r="AU193" i="33"/>
  <c r="AU194" i="33"/>
  <c r="AU195" i="33"/>
  <c r="AU196" i="33"/>
  <c r="AU197" i="33"/>
  <c r="AU198" i="33"/>
  <c r="AU199" i="33"/>
  <c r="AU200" i="33"/>
  <c r="AU201" i="33"/>
  <c r="AU202" i="33"/>
  <c r="AU203" i="33"/>
  <c r="AU204" i="33"/>
  <c r="AU205" i="33"/>
  <c r="AU206" i="33"/>
  <c r="AU207" i="33"/>
  <c r="AU208" i="33"/>
  <c r="AU209" i="33"/>
  <c r="AU210" i="33"/>
  <c r="AU211" i="33"/>
  <c r="AU212" i="33"/>
  <c r="AU213" i="33"/>
  <c r="AU214" i="33"/>
  <c r="AU215" i="33"/>
  <c r="AU216" i="33"/>
  <c r="AU217" i="33"/>
  <c r="AU218" i="33"/>
  <c r="AU219" i="33"/>
  <c r="AU220" i="33"/>
  <c r="AU221" i="33"/>
  <c r="AU222" i="33"/>
  <c r="AU223" i="33"/>
  <c r="AU224" i="33"/>
  <c r="AU225" i="33"/>
  <c r="AU226" i="33"/>
  <c r="AU227" i="33"/>
  <c r="AU228" i="33"/>
  <c r="AU229" i="33"/>
  <c r="AU230" i="33"/>
  <c r="AU231" i="33"/>
  <c r="AU232" i="33"/>
  <c r="AU233" i="33"/>
  <c r="AU234" i="33"/>
  <c r="AU235" i="33"/>
  <c r="AU236" i="33"/>
  <c r="AU237" i="33"/>
  <c r="AU238" i="33"/>
  <c r="AU239" i="33"/>
  <c r="AU240" i="33"/>
  <c r="AU241" i="33"/>
  <c r="AU242" i="33"/>
  <c r="AU243" i="33"/>
  <c r="AU244" i="33"/>
  <c r="AU245" i="33"/>
  <c r="AU246" i="33"/>
  <c r="AU247" i="33"/>
  <c r="AU248" i="33"/>
  <c r="AU249" i="33"/>
  <c r="AU250" i="33"/>
  <c r="AU251" i="33"/>
  <c r="AU252" i="33"/>
  <c r="AU253" i="33"/>
  <c r="AU254" i="33"/>
  <c r="AU255" i="33"/>
  <c r="AU256" i="33"/>
  <c r="AU257" i="33"/>
  <c r="AU258" i="33"/>
  <c r="AU259" i="33"/>
  <c r="AU260" i="33"/>
  <c r="AU261" i="33"/>
  <c r="AU262" i="33"/>
  <c r="AU263" i="33"/>
  <c r="AU264" i="33"/>
  <c r="AU265" i="33"/>
  <c r="AU266" i="33"/>
  <c r="AU267" i="33"/>
  <c r="AU268" i="33"/>
  <c r="AU269" i="33"/>
  <c r="AU270" i="33"/>
  <c r="AU271" i="33"/>
  <c r="AU272" i="33"/>
  <c r="AU273" i="33"/>
  <c r="AU274" i="33"/>
  <c r="AU275" i="33"/>
  <c r="AU276" i="33"/>
  <c r="AU277" i="33"/>
  <c r="AU278" i="33"/>
  <c r="AU279" i="33"/>
  <c r="AU280" i="33"/>
  <c r="AU281" i="33"/>
  <c r="AU282" i="33"/>
  <c r="AU283" i="33"/>
  <c r="AU284" i="33"/>
  <c r="AU285" i="33"/>
  <c r="AU286" i="33"/>
  <c r="AU287" i="33"/>
  <c r="AU288" i="33"/>
  <c r="AU289" i="33"/>
  <c r="AU290" i="33"/>
  <c r="AU291" i="33"/>
  <c r="AU292" i="33"/>
  <c r="AU293" i="33"/>
  <c r="AU294" i="33"/>
  <c r="AU295" i="33"/>
  <c r="AU296" i="33"/>
  <c r="AU297" i="33"/>
  <c r="AU298" i="33"/>
  <c r="AU299" i="33"/>
  <c r="AU300" i="33"/>
  <c r="AU301" i="33"/>
  <c r="AU302" i="33"/>
  <c r="AU303" i="33"/>
  <c r="AU304" i="33"/>
  <c r="AU305" i="33"/>
  <c r="AU306" i="33"/>
  <c r="AU307" i="33"/>
  <c r="AU308" i="33"/>
  <c r="AU309" i="33"/>
  <c r="AU310" i="33"/>
  <c r="AU311" i="33"/>
  <c r="AU312" i="33"/>
  <c r="AU313" i="33"/>
  <c r="AU314" i="33"/>
  <c r="AU315" i="33"/>
  <c r="AU316" i="33"/>
  <c r="AU317" i="33"/>
  <c r="AU318" i="33"/>
  <c r="AU319" i="33"/>
  <c r="AU320" i="33"/>
  <c r="AU321" i="33"/>
  <c r="AU322" i="33"/>
  <c r="AU323" i="33"/>
  <c r="AU324" i="33"/>
  <c r="AU325" i="33"/>
  <c r="AU326" i="33"/>
  <c r="AU327" i="33"/>
  <c r="AU328" i="33"/>
  <c r="AU329" i="33"/>
  <c r="AU330" i="33"/>
  <c r="AU331" i="33"/>
  <c r="AU332" i="33"/>
  <c r="AU333" i="33"/>
  <c r="AU334" i="33"/>
  <c r="AU335" i="33"/>
  <c r="AU336" i="33"/>
  <c r="AU337" i="33"/>
  <c r="AU338" i="33"/>
  <c r="AU339" i="33"/>
  <c r="AU340" i="33"/>
  <c r="AU341" i="33"/>
  <c r="AU342" i="33"/>
  <c r="AU343" i="33"/>
  <c r="AU344" i="33"/>
  <c r="AU345" i="33"/>
  <c r="AU346" i="33"/>
  <c r="AU347" i="33"/>
  <c r="AU348" i="33"/>
  <c r="AU349" i="33"/>
  <c r="AU350" i="33"/>
  <c r="AU351" i="33"/>
  <c r="AU352" i="33"/>
  <c r="AU353" i="33"/>
  <c r="AU354" i="33"/>
  <c r="AU355" i="33"/>
  <c r="AU356" i="33"/>
  <c r="AU357" i="33"/>
  <c r="AU358" i="33"/>
  <c r="AU359" i="33"/>
  <c r="AU360" i="33"/>
  <c r="AU361" i="33"/>
  <c r="AU362" i="33"/>
  <c r="AU363" i="33"/>
  <c r="AU364" i="33"/>
  <c r="AU365" i="33"/>
  <c r="AU366" i="33"/>
  <c r="AU367" i="33"/>
  <c r="AU368" i="33"/>
  <c r="AU369" i="33"/>
  <c r="AU370" i="33"/>
  <c r="AU371" i="33"/>
  <c r="AU372" i="33"/>
  <c r="AU373" i="33"/>
  <c r="AU374" i="33"/>
  <c r="AU375" i="33"/>
  <c r="AU376" i="33"/>
  <c r="AU377" i="33"/>
  <c r="AU378" i="33"/>
  <c r="AU379" i="33"/>
  <c r="AU380" i="33"/>
  <c r="AU381" i="33"/>
  <c r="AU382" i="33"/>
  <c r="AU383" i="33"/>
  <c r="AU384" i="33"/>
  <c r="AU385" i="33"/>
  <c r="AU386" i="33"/>
  <c r="AU387" i="33"/>
  <c r="AU388" i="33"/>
  <c r="AU389" i="33"/>
  <c r="AU390" i="33"/>
  <c r="AU391" i="33"/>
  <c r="AU392" i="33"/>
  <c r="AU393" i="33"/>
  <c r="AU394" i="33"/>
  <c r="AU395" i="33"/>
  <c r="AU396" i="33"/>
  <c r="AU397" i="33"/>
  <c r="AU398" i="33"/>
  <c r="AU399" i="33"/>
  <c r="AU400" i="33"/>
  <c r="AU401" i="33"/>
  <c r="AU402" i="33"/>
  <c r="AU403" i="33"/>
  <c r="AU404" i="33"/>
  <c r="AU405" i="33"/>
  <c r="AU406" i="33"/>
  <c r="AU407" i="33"/>
  <c r="AU408" i="33"/>
  <c r="AU409" i="33"/>
  <c r="AU410" i="33"/>
  <c r="AU411" i="33"/>
  <c r="AU412" i="33"/>
  <c r="AU413" i="33"/>
  <c r="AU414" i="33"/>
  <c r="AU415" i="33"/>
  <c r="AU416" i="33"/>
  <c r="AU417" i="33"/>
  <c r="AU418" i="33"/>
  <c r="AU419" i="33"/>
  <c r="AU420" i="33"/>
  <c r="AU421" i="33"/>
  <c r="AU422" i="33"/>
  <c r="AU423" i="33"/>
  <c r="AU424" i="33"/>
  <c r="AU425" i="33"/>
  <c r="AU426" i="33"/>
  <c r="AU427" i="33"/>
  <c r="AU428" i="33"/>
  <c r="AU429" i="33"/>
  <c r="AU430" i="33"/>
  <c r="AU431" i="33"/>
  <c r="AU432" i="33"/>
  <c r="AU433" i="33"/>
  <c r="AU434" i="33"/>
  <c r="AU435" i="33"/>
  <c r="AU436" i="33"/>
  <c r="AU437" i="33"/>
  <c r="AU438" i="33"/>
  <c r="AU439" i="33"/>
  <c r="AU440" i="33"/>
  <c r="AU441" i="33"/>
  <c r="AU442" i="33"/>
  <c r="AU443" i="33"/>
  <c r="AU444" i="33"/>
  <c r="AU445" i="33"/>
  <c r="AU446" i="33"/>
  <c r="AU447" i="33"/>
  <c r="AU448" i="33"/>
  <c r="AU449" i="33"/>
  <c r="AU450" i="33"/>
  <c r="AU451" i="33"/>
  <c r="AU452" i="33"/>
  <c r="AU453" i="33"/>
  <c r="AU454" i="33"/>
  <c r="AU455" i="33"/>
  <c r="AU456" i="33"/>
  <c r="AU457" i="33"/>
  <c r="AU458" i="33"/>
  <c r="AU459" i="33"/>
  <c r="AU460" i="33"/>
  <c r="AU461" i="33"/>
  <c r="AU462" i="33"/>
  <c r="AU463" i="33"/>
  <c r="AU464" i="33"/>
  <c r="AU465" i="33"/>
  <c r="AU466" i="33"/>
  <c r="AU467" i="33"/>
  <c r="AU468" i="33"/>
  <c r="AU469" i="33"/>
  <c r="AU470" i="33"/>
  <c r="AU471" i="33"/>
  <c r="AU472" i="33"/>
  <c r="AU473" i="33"/>
  <c r="AU474" i="33"/>
  <c r="AU475" i="33"/>
  <c r="AU476" i="33"/>
  <c r="AU477" i="33"/>
  <c r="AU478" i="33"/>
  <c r="AU479" i="33"/>
  <c r="AU480" i="33"/>
  <c r="AU481" i="33"/>
  <c r="AU482" i="33"/>
  <c r="AU483" i="33"/>
  <c r="AU484" i="33"/>
  <c r="AU485" i="33"/>
  <c r="AU486" i="33"/>
  <c r="AU487" i="33"/>
  <c r="AU488" i="33"/>
  <c r="AU489" i="33"/>
  <c r="AU490" i="33"/>
  <c r="AU491" i="33"/>
  <c r="AU492" i="33"/>
  <c r="AU493" i="33"/>
  <c r="AU494" i="33"/>
  <c r="AU495" i="33"/>
  <c r="AU496" i="33"/>
  <c r="AU497" i="33"/>
  <c r="AU498" i="33"/>
  <c r="AU499" i="33"/>
  <c r="AU500" i="33"/>
  <c r="AU501" i="33"/>
  <c r="AU502" i="33"/>
  <c r="AU503" i="33"/>
  <c r="AU504" i="33"/>
  <c r="AU505" i="33"/>
  <c r="AU506" i="33"/>
  <c r="AU507" i="33"/>
  <c r="AU508" i="33"/>
  <c r="AU509" i="33"/>
  <c r="AU510" i="33"/>
  <c r="AU511" i="33"/>
  <c r="AU512" i="33"/>
  <c r="AU513" i="33"/>
  <c r="AU514" i="33"/>
  <c r="AU515" i="33"/>
  <c r="AU516" i="33"/>
  <c r="AU517" i="33"/>
  <c r="AU518" i="33"/>
  <c r="AU519" i="33"/>
  <c r="AU520" i="33"/>
  <c r="AU521" i="33"/>
  <c r="AU522" i="33"/>
  <c r="AU523" i="33"/>
  <c r="AU524" i="33"/>
  <c r="AU525" i="33"/>
  <c r="AU526" i="33"/>
  <c r="AU527" i="33"/>
  <c r="AU528" i="33"/>
  <c r="AU529" i="33"/>
  <c r="AU530" i="33"/>
  <c r="AU531" i="33"/>
  <c r="AU532" i="33"/>
  <c r="AU533" i="33"/>
  <c r="AU534" i="33"/>
  <c r="AU535" i="33"/>
  <c r="AU536" i="33"/>
  <c r="AU537" i="33"/>
  <c r="AU538" i="33"/>
  <c r="AU539" i="33"/>
  <c r="AU540" i="33"/>
  <c r="AU541" i="33"/>
  <c r="AU542" i="33"/>
  <c r="AU543" i="33"/>
  <c r="AU544" i="33"/>
  <c r="AU545" i="33"/>
  <c r="AU546" i="33"/>
  <c r="AU547" i="33"/>
  <c r="AU548" i="33"/>
  <c r="AU549" i="33"/>
  <c r="AU550" i="33"/>
  <c r="AU551" i="33"/>
  <c r="AU552" i="33"/>
  <c r="AU553" i="33"/>
  <c r="AU554" i="33"/>
  <c r="AU555" i="33"/>
  <c r="AU556" i="33"/>
  <c r="AU557" i="33"/>
  <c r="AU558" i="33"/>
  <c r="AU559" i="33"/>
  <c r="AU560" i="33"/>
  <c r="AU561" i="33"/>
  <c r="AU562" i="33"/>
  <c r="AU563" i="33"/>
  <c r="AU564" i="33"/>
  <c r="AU565" i="33"/>
  <c r="AU566" i="33"/>
  <c r="AU567" i="33"/>
  <c r="AU568" i="33"/>
  <c r="AU569" i="33"/>
  <c r="AU570" i="33"/>
  <c r="AU571" i="33"/>
  <c r="AU572" i="33"/>
  <c r="AU573" i="33"/>
  <c r="AU574" i="33"/>
  <c r="AU575" i="33"/>
  <c r="AU576" i="33"/>
  <c r="AU577" i="33"/>
  <c r="AU578" i="33"/>
  <c r="AU579" i="33"/>
  <c r="AU580" i="33"/>
  <c r="AU581" i="33"/>
  <c r="AU582" i="33"/>
  <c r="AU583" i="33"/>
  <c r="AU584" i="33"/>
  <c r="AU585" i="33"/>
  <c r="AU586" i="33"/>
  <c r="AU587" i="33"/>
  <c r="AU588" i="33"/>
  <c r="AU589" i="33"/>
  <c r="AU590" i="33"/>
  <c r="AU591" i="33"/>
  <c r="AU592" i="33"/>
  <c r="AU593" i="33"/>
  <c r="AU594" i="33"/>
  <c r="AU595" i="33"/>
  <c r="AU596" i="33"/>
  <c r="AU597" i="33"/>
  <c r="AU598" i="33"/>
  <c r="AU599" i="33"/>
  <c r="AU600" i="33"/>
  <c r="AU601" i="33"/>
  <c r="AU602" i="33"/>
  <c r="AU603" i="33"/>
  <c r="AU604" i="33"/>
  <c r="AU605" i="33"/>
  <c r="AU606" i="33"/>
  <c r="AU607" i="33"/>
  <c r="AU608" i="33"/>
  <c r="AU609" i="33"/>
  <c r="AU610" i="33"/>
  <c r="AU611" i="33"/>
  <c r="AU612" i="33"/>
  <c r="AU613" i="33"/>
  <c r="AU614" i="33"/>
  <c r="AU615" i="33"/>
  <c r="AU616" i="33"/>
  <c r="AU617" i="33"/>
  <c r="AU618" i="33"/>
  <c r="AU619" i="33"/>
  <c r="AU620" i="33"/>
  <c r="AU621" i="33"/>
  <c r="AU622" i="33"/>
  <c r="AU623" i="33"/>
  <c r="AU624" i="33"/>
  <c r="AU625" i="33"/>
  <c r="AU626" i="33"/>
  <c r="AU627" i="33"/>
  <c r="AU628" i="33"/>
  <c r="AU629" i="33"/>
  <c r="AU630" i="33"/>
  <c r="AU631" i="33"/>
  <c r="AU632" i="33"/>
  <c r="AU633" i="33"/>
  <c r="AU634" i="33"/>
  <c r="AU635" i="33"/>
  <c r="AU636" i="33"/>
  <c r="AU637" i="33"/>
  <c r="AU638" i="33"/>
  <c r="AU639" i="33"/>
  <c r="AU640" i="33"/>
  <c r="AU641" i="33"/>
  <c r="AU642" i="33"/>
  <c r="AU643" i="33"/>
  <c r="AU644" i="33"/>
  <c r="AU645" i="33"/>
  <c r="AU646" i="33"/>
  <c r="AU647" i="33"/>
  <c r="AU648" i="33"/>
  <c r="AU649" i="33"/>
  <c r="AU650" i="33"/>
  <c r="AU651" i="33"/>
  <c r="AU652" i="33"/>
  <c r="AU653" i="33"/>
  <c r="AU654" i="33"/>
  <c r="AU655" i="33"/>
  <c r="AU656" i="33"/>
  <c r="AU657" i="33"/>
  <c r="AU658" i="33"/>
  <c r="AU659" i="33"/>
  <c r="AU660" i="33"/>
  <c r="AU661" i="33"/>
  <c r="AU662" i="33"/>
  <c r="AU663" i="33"/>
  <c r="AU664" i="33"/>
  <c r="AU665" i="33"/>
  <c r="AU666" i="33"/>
  <c r="AU667" i="33"/>
  <c r="AU668" i="33"/>
  <c r="AU669" i="33"/>
  <c r="AU670" i="33"/>
  <c r="AU671" i="33"/>
  <c r="AU672" i="33"/>
  <c r="AU673" i="33"/>
  <c r="AU674" i="33"/>
  <c r="AU675" i="33"/>
  <c r="AU676" i="33"/>
  <c r="AU677" i="33"/>
  <c r="AU678" i="33"/>
  <c r="AU679" i="33"/>
  <c r="AU680" i="33"/>
  <c r="AU681" i="33"/>
  <c r="AU682" i="33"/>
  <c r="AU683" i="33"/>
  <c r="AU684" i="33"/>
  <c r="AU685" i="33"/>
  <c r="AU686" i="33"/>
  <c r="AU687" i="33"/>
  <c r="AU688" i="33"/>
  <c r="AU689" i="33"/>
  <c r="AU690" i="33"/>
  <c r="AU691" i="33"/>
  <c r="AU692" i="33"/>
  <c r="AU693" i="33"/>
  <c r="AU694" i="33"/>
  <c r="AU695" i="33"/>
  <c r="AU696" i="33"/>
  <c r="AU697" i="33"/>
  <c r="AU698" i="33"/>
  <c r="AU699" i="33"/>
  <c r="AU700" i="33"/>
  <c r="AU701" i="33"/>
  <c r="AU702" i="33"/>
  <c r="AU703" i="33"/>
  <c r="AU704" i="33"/>
  <c r="AU705" i="33"/>
  <c r="AU706" i="33"/>
  <c r="AU707" i="33"/>
  <c r="AU708" i="33"/>
  <c r="AU709" i="33"/>
  <c r="AU710" i="33"/>
  <c r="AU711" i="33"/>
  <c r="AU712" i="33"/>
  <c r="AU713" i="33"/>
  <c r="AU714" i="33"/>
  <c r="AU715" i="33"/>
  <c r="AU716" i="33"/>
  <c r="AU717" i="33"/>
  <c r="AU718" i="33"/>
  <c r="AU719" i="33"/>
  <c r="AU720" i="33"/>
  <c r="AU721" i="33"/>
  <c r="AU722" i="33"/>
  <c r="AU723" i="33"/>
  <c r="AU724" i="33"/>
  <c r="AU725" i="33"/>
  <c r="AU726" i="33"/>
  <c r="AU727" i="33"/>
  <c r="AU728" i="33"/>
  <c r="AU729" i="33"/>
  <c r="AU730" i="33"/>
  <c r="AU731" i="33"/>
  <c r="AU732" i="33"/>
  <c r="AU733" i="33"/>
  <c r="AU734" i="33"/>
  <c r="AU735" i="33"/>
  <c r="AU736" i="33"/>
  <c r="AU737" i="33"/>
  <c r="AU738" i="33"/>
  <c r="AU739" i="33"/>
  <c r="AU740" i="33"/>
  <c r="AU741" i="33"/>
  <c r="AU742" i="33"/>
  <c r="AU743" i="33"/>
  <c r="AU744" i="33"/>
  <c r="AU745" i="33"/>
  <c r="AU746" i="33"/>
  <c r="AU747" i="33"/>
  <c r="AU748" i="33"/>
  <c r="AU749" i="33"/>
  <c r="AU750" i="33"/>
  <c r="AU751" i="33"/>
  <c r="AU752" i="33"/>
  <c r="AU753" i="33"/>
  <c r="AU754" i="33"/>
  <c r="AU755" i="33"/>
  <c r="AU756" i="33"/>
  <c r="AU757" i="33"/>
  <c r="AU758" i="33"/>
  <c r="AU759" i="33"/>
  <c r="AU760" i="33"/>
  <c r="AU761" i="33"/>
  <c r="AU762" i="33"/>
  <c r="AU763" i="33"/>
  <c r="AU764" i="33"/>
  <c r="AU765" i="33"/>
  <c r="AU766" i="33"/>
  <c r="AU767" i="33"/>
  <c r="AU768" i="33"/>
  <c r="AU769" i="33"/>
  <c r="AU770" i="33"/>
  <c r="AU771" i="33"/>
  <c r="AU772" i="33"/>
  <c r="AU773" i="33"/>
  <c r="AU774" i="33"/>
  <c r="AU775" i="33"/>
  <c r="AU776" i="33"/>
  <c r="AU777" i="33"/>
  <c r="AU778" i="33"/>
  <c r="AU779" i="33"/>
  <c r="AU780" i="33"/>
  <c r="AU781" i="33"/>
  <c r="AU782" i="33"/>
  <c r="AU783" i="33"/>
  <c r="AU784" i="33"/>
  <c r="AU785" i="33"/>
  <c r="AU786" i="33"/>
  <c r="AU787" i="33"/>
  <c r="AU788" i="33"/>
  <c r="AU789" i="33"/>
  <c r="AU790" i="33"/>
  <c r="AU791" i="33"/>
  <c r="AU792" i="33"/>
  <c r="AU793" i="33"/>
  <c r="AU794" i="33"/>
  <c r="AU795" i="33"/>
  <c r="AU796" i="33"/>
  <c r="AU797" i="33"/>
  <c r="AU798" i="33"/>
  <c r="AU799" i="33"/>
  <c r="AU800" i="33"/>
  <c r="AU801" i="33"/>
  <c r="AU802" i="33"/>
  <c r="AU803" i="33"/>
  <c r="AU804" i="33"/>
  <c r="AU805" i="33"/>
  <c r="AU806" i="33"/>
  <c r="AU807" i="33"/>
  <c r="AU808" i="33"/>
  <c r="AU809" i="33"/>
  <c r="AU810" i="33"/>
  <c r="AU811" i="33"/>
  <c r="AU812" i="33"/>
  <c r="AU813" i="33"/>
  <c r="AU814" i="33"/>
  <c r="AU815" i="33"/>
  <c r="AU816" i="33"/>
  <c r="AU817" i="33"/>
  <c r="AU818" i="33"/>
  <c r="AU819" i="33"/>
  <c r="AU820" i="33"/>
  <c r="AU821" i="33"/>
  <c r="AU822" i="33"/>
  <c r="AU823" i="33"/>
  <c r="AU824" i="33"/>
  <c r="AU825" i="33"/>
  <c r="AU826" i="33"/>
  <c r="AU827" i="33"/>
  <c r="AU828" i="33"/>
  <c r="AU829" i="33"/>
  <c r="AU830" i="33"/>
  <c r="AU831" i="33"/>
  <c r="AU832" i="33"/>
  <c r="AU833" i="33"/>
  <c r="AU834" i="33"/>
  <c r="AU835" i="33"/>
  <c r="AU836" i="33"/>
  <c r="AU837" i="33"/>
  <c r="AU838" i="33"/>
  <c r="AU839" i="33"/>
  <c r="AU840" i="33"/>
  <c r="AU841" i="33"/>
  <c r="AU842" i="33"/>
  <c r="AU843" i="33"/>
  <c r="AU844" i="33"/>
  <c r="AU845" i="33"/>
  <c r="AU846" i="33"/>
  <c r="AU847" i="33"/>
  <c r="AU848" i="33"/>
  <c r="AU849" i="33"/>
  <c r="AU850" i="33"/>
  <c r="AU851" i="33"/>
  <c r="AU852" i="33"/>
  <c r="AU853" i="33"/>
  <c r="AU854" i="33"/>
  <c r="AU855" i="33"/>
  <c r="AU856" i="33"/>
  <c r="AU857" i="33"/>
  <c r="AU858" i="33"/>
  <c r="AU859" i="33"/>
  <c r="AU860" i="33"/>
  <c r="AU861" i="33"/>
  <c r="AU862" i="33"/>
  <c r="AU863" i="33"/>
  <c r="AU864" i="33"/>
  <c r="AU865" i="33"/>
  <c r="AU866" i="33"/>
  <c r="AU867" i="33"/>
  <c r="AU868" i="33"/>
  <c r="AU869" i="33"/>
  <c r="AU870" i="33"/>
  <c r="AU871" i="33"/>
  <c r="AU872" i="33"/>
  <c r="AU873" i="33"/>
  <c r="AU874" i="33"/>
  <c r="AU875" i="33"/>
  <c r="AU876" i="33"/>
  <c r="AU877" i="33"/>
  <c r="AU878" i="33"/>
  <c r="AU879" i="33"/>
  <c r="AU880" i="33"/>
  <c r="AU881" i="33"/>
  <c r="AU882" i="33"/>
  <c r="AU883" i="33"/>
  <c r="AU884" i="33"/>
  <c r="AU885" i="33"/>
  <c r="AU886" i="33"/>
  <c r="AU887" i="33"/>
  <c r="AU888" i="33"/>
  <c r="AU889" i="33"/>
  <c r="AU890" i="33"/>
  <c r="AU891" i="33"/>
  <c r="AU892" i="33"/>
  <c r="AU893" i="33"/>
  <c r="AU894" i="33"/>
  <c r="AU895" i="33"/>
  <c r="AU896" i="33"/>
  <c r="AU897" i="33"/>
  <c r="AU898" i="33"/>
  <c r="AU899" i="33"/>
  <c r="AU900" i="33"/>
  <c r="AU901" i="33"/>
  <c r="AU902" i="33"/>
  <c r="AU903" i="33"/>
  <c r="AU904" i="33"/>
  <c r="AU905" i="33"/>
  <c r="AU906" i="33"/>
  <c r="AU907" i="33"/>
  <c r="AU908" i="33"/>
  <c r="AU909" i="33"/>
  <c r="AU910" i="33"/>
  <c r="AU911" i="33"/>
  <c r="AU912" i="33"/>
  <c r="AU913" i="33"/>
  <c r="AU914" i="33"/>
  <c r="AU915" i="33"/>
  <c r="AU916" i="33"/>
  <c r="AU917" i="33"/>
  <c r="AU918" i="33"/>
  <c r="AU919" i="33"/>
  <c r="AU920" i="33"/>
  <c r="AU921" i="33"/>
  <c r="AU922" i="33"/>
  <c r="AU923" i="33"/>
  <c r="AU924" i="33"/>
  <c r="AU925" i="33"/>
  <c r="AU926" i="33"/>
  <c r="AU927" i="33"/>
  <c r="AU928" i="33"/>
  <c r="AU929" i="33"/>
  <c r="AU930" i="33"/>
  <c r="AU931" i="33"/>
  <c r="AU932" i="33"/>
  <c r="AU933" i="33"/>
  <c r="AU934" i="33"/>
  <c r="AU935" i="33"/>
  <c r="AU936" i="33"/>
  <c r="AU937" i="33"/>
  <c r="AU938" i="33"/>
  <c r="AU939" i="33"/>
  <c r="AU940" i="33"/>
  <c r="AU941" i="33"/>
  <c r="AU942" i="33"/>
  <c r="AU943" i="33"/>
  <c r="AU944" i="33"/>
  <c r="AU945" i="33"/>
  <c r="AU946" i="33"/>
  <c r="AU947" i="33"/>
  <c r="AU948" i="33"/>
  <c r="AU949" i="33"/>
  <c r="AU950" i="33"/>
  <c r="AU951" i="33"/>
  <c r="AU952" i="33"/>
  <c r="AU953" i="33"/>
  <c r="AU954" i="33"/>
  <c r="AU955" i="33"/>
  <c r="AU956" i="33"/>
  <c r="AU957" i="33"/>
  <c r="AU958" i="33"/>
  <c r="AU959" i="33"/>
  <c r="AU960" i="33"/>
  <c r="AU961" i="33"/>
  <c r="AU962" i="33"/>
  <c r="AU963" i="33"/>
  <c r="AU964" i="33"/>
  <c r="AU965" i="33"/>
  <c r="AU966" i="33"/>
  <c r="AU967" i="33"/>
  <c r="AU968" i="33"/>
  <c r="AU969" i="33"/>
  <c r="AU970" i="33"/>
  <c r="AU971" i="33"/>
  <c r="AU972" i="33"/>
  <c r="AU973" i="33"/>
  <c r="AU974" i="33"/>
  <c r="AU975" i="33"/>
  <c r="AU976" i="33"/>
  <c r="AU977" i="33"/>
  <c r="AU978" i="33"/>
  <c r="AU979" i="33"/>
  <c r="AU980" i="33"/>
  <c r="AU981" i="33"/>
  <c r="AU982" i="33"/>
  <c r="AU983" i="33"/>
  <c r="AU984" i="33"/>
  <c r="AU985" i="33"/>
  <c r="AU986" i="33"/>
  <c r="AU987" i="33"/>
  <c r="AU988" i="33"/>
  <c r="AU989" i="33"/>
  <c r="AU990" i="33"/>
  <c r="AU991" i="33"/>
  <c r="AU992" i="33"/>
  <c r="AU993" i="33"/>
  <c r="AU994" i="33"/>
  <c r="AU995" i="33"/>
  <c r="AU996" i="33"/>
  <c r="AU997" i="33"/>
  <c r="AU998" i="33"/>
  <c r="AU999" i="33"/>
  <c r="AU1000" i="33"/>
  <c r="AU1001" i="33"/>
  <c r="AU1002" i="33"/>
  <c r="AU1003" i="33"/>
  <c r="AU1004" i="33"/>
  <c r="AR141" i="33"/>
  <c r="AR142" i="33"/>
  <c r="AR143" i="33"/>
  <c r="AR144" i="33"/>
  <c r="AR145" i="33"/>
  <c r="AR146" i="33"/>
  <c r="AR147" i="33"/>
  <c r="AR148" i="33"/>
  <c r="AR149" i="33"/>
  <c r="AR150" i="33"/>
  <c r="AR151" i="33"/>
  <c r="AR152" i="33"/>
  <c r="AR153" i="33"/>
  <c r="AR154" i="33"/>
  <c r="AR155" i="33"/>
  <c r="AR156" i="33"/>
  <c r="AR157" i="33"/>
  <c r="AR158" i="33"/>
  <c r="AR159" i="33"/>
  <c r="AR160" i="33"/>
  <c r="AR161" i="33"/>
  <c r="AR162" i="33"/>
  <c r="AR163" i="33"/>
  <c r="AR164" i="33"/>
  <c r="AR165" i="33"/>
  <c r="AR166" i="33"/>
  <c r="AR167" i="33"/>
  <c r="AR168" i="33"/>
  <c r="AR169" i="33"/>
  <c r="AR170" i="33"/>
  <c r="AR171" i="33"/>
  <c r="AR172" i="33"/>
  <c r="AR173" i="33"/>
  <c r="AR174" i="33"/>
  <c r="AR175" i="33"/>
  <c r="AR176" i="33"/>
  <c r="AR177" i="33"/>
  <c r="AR178" i="33"/>
  <c r="AR179" i="33"/>
  <c r="AR180" i="33"/>
  <c r="AR181" i="33"/>
  <c r="AR182" i="33"/>
  <c r="AR183" i="33"/>
  <c r="AR184" i="33"/>
  <c r="AR185" i="33"/>
  <c r="AR186" i="33"/>
  <c r="AR187" i="33"/>
  <c r="AR188" i="33"/>
  <c r="AR189" i="33"/>
  <c r="AR190" i="33"/>
  <c r="AR191" i="33"/>
  <c r="AR192" i="33"/>
  <c r="AR193" i="33"/>
  <c r="AR194" i="33"/>
  <c r="AR195" i="33"/>
  <c r="AR196" i="33"/>
  <c r="AR197" i="33"/>
  <c r="AR198" i="33"/>
  <c r="AR199" i="33"/>
  <c r="AR200" i="33"/>
  <c r="AR201" i="33"/>
  <c r="AR202" i="33"/>
  <c r="AR203" i="33"/>
  <c r="AR204" i="33"/>
  <c r="AR205" i="33"/>
  <c r="AR206" i="33"/>
  <c r="AR207" i="33"/>
  <c r="AR208" i="33"/>
  <c r="AR209" i="33"/>
  <c r="AR210" i="33"/>
  <c r="AR211" i="33"/>
  <c r="AR212" i="33"/>
  <c r="AR213" i="33"/>
  <c r="AR214" i="33"/>
  <c r="AR215" i="33"/>
  <c r="AR216" i="33"/>
  <c r="AR217" i="33"/>
  <c r="AR218" i="33"/>
  <c r="AR219" i="33"/>
  <c r="AR220" i="33"/>
  <c r="AR221" i="33"/>
  <c r="AR222" i="33"/>
  <c r="AR223" i="33"/>
  <c r="AR224" i="33"/>
  <c r="AR225" i="33"/>
  <c r="AR226" i="33"/>
  <c r="AR227" i="33"/>
  <c r="AR228" i="33"/>
  <c r="AR229" i="33"/>
  <c r="AR230" i="33"/>
  <c r="AR231" i="33"/>
  <c r="AR232" i="33"/>
  <c r="AR233" i="33"/>
  <c r="AR234" i="33"/>
  <c r="AR235" i="33"/>
  <c r="AR236" i="33"/>
  <c r="AR237" i="33"/>
  <c r="AR238" i="33"/>
  <c r="AR239" i="33"/>
  <c r="AR240" i="33"/>
  <c r="AR241" i="33"/>
  <c r="AR242" i="33"/>
  <c r="AR243" i="33"/>
  <c r="AR244" i="33"/>
  <c r="AR245" i="33"/>
  <c r="AR246" i="33"/>
  <c r="AR247" i="33"/>
  <c r="AR248" i="33"/>
  <c r="AR249" i="33"/>
  <c r="AR250" i="33"/>
  <c r="AR251" i="33"/>
  <c r="AR252" i="33"/>
  <c r="AR253" i="33"/>
  <c r="AR254" i="33"/>
  <c r="AR255" i="33"/>
  <c r="AR256" i="33"/>
  <c r="AR257" i="33"/>
  <c r="AR258" i="33"/>
  <c r="AR259" i="33"/>
  <c r="AR260" i="33"/>
  <c r="AR261" i="33"/>
  <c r="AR262" i="33"/>
  <c r="AR263" i="33"/>
  <c r="AR264" i="33"/>
  <c r="AR265" i="33"/>
  <c r="AR266" i="33"/>
  <c r="AR267" i="33"/>
  <c r="AR268" i="33"/>
  <c r="AR269" i="33"/>
  <c r="AR270" i="33"/>
  <c r="AR271" i="33"/>
  <c r="AR272" i="33"/>
  <c r="AR273" i="33"/>
  <c r="AR274" i="33"/>
  <c r="AR275" i="33"/>
  <c r="AR276" i="33"/>
  <c r="AR277" i="33"/>
  <c r="AR278" i="33"/>
  <c r="AR279" i="33"/>
  <c r="AR280" i="33"/>
  <c r="AR281" i="33"/>
  <c r="AR282" i="33"/>
  <c r="AR283" i="33"/>
  <c r="AR284" i="33"/>
  <c r="AR285" i="33"/>
  <c r="AR286" i="33"/>
  <c r="AR287" i="33"/>
  <c r="AR288" i="33"/>
  <c r="AR289" i="33"/>
  <c r="AR290" i="33"/>
  <c r="AR291" i="33"/>
  <c r="AR292" i="33"/>
  <c r="AR293" i="33"/>
  <c r="AR294" i="33"/>
  <c r="AR295" i="33"/>
  <c r="AR296" i="33"/>
  <c r="AR297" i="33"/>
  <c r="AR298" i="33"/>
  <c r="AR299" i="33"/>
  <c r="AR300" i="33"/>
  <c r="AR301" i="33"/>
  <c r="AR302" i="33"/>
  <c r="AR303" i="33"/>
  <c r="AR304" i="33"/>
  <c r="AR305" i="33"/>
  <c r="AR306" i="33"/>
  <c r="AR307" i="33"/>
  <c r="AR308" i="33"/>
  <c r="AR309" i="33"/>
  <c r="AR310" i="33"/>
  <c r="AR311" i="33"/>
  <c r="AR312" i="33"/>
  <c r="AR313" i="33"/>
  <c r="AR314" i="33"/>
  <c r="AR315" i="33"/>
  <c r="AR316" i="33"/>
  <c r="AR317" i="33"/>
  <c r="AR318" i="33"/>
  <c r="AR319" i="33"/>
  <c r="AR320" i="33"/>
  <c r="AR321" i="33"/>
  <c r="AR322" i="33"/>
  <c r="AR323" i="33"/>
  <c r="AR324" i="33"/>
  <c r="AR325" i="33"/>
  <c r="AR326" i="33"/>
  <c r="AR327" i="33"/>
  <c r="AR328" i="33"/>
  <c r="AR329" i="33"/>
  <c r="AR330" i="33"/>
  <c r="AR331" i="33"/>
  <c r="AR332" i="33"/>
  <c r="AR333" i="33"/>
  <c r="AR334" i="33"/>
  <c r="AR335" i="33"/>
  <c r="AR336" i="33"/>
  <c r="AR337" i="33"/>
  <c r="AR338" i="33"/>
  <c r="AR339" i="33"/>
  <c r="AR340" i="33"/>
  <c r="AR341" i="33"/>
  <c r="AR342" i="33"/>
  <c r="AR343" i="33"/>
  <c r="AR344" i="33"/>
  <c r="AR345" i="33"/>
  <c r="AR346" i="33"/>
  <c r="AR347" i="33"/>
  <c r="AR348" i="33"/>
  <c r="AR349" i="33"/>
  <c r="AR350" i="33"/>
  <c r="AR351" i="33"/>
  <c r="AR352" i="33"/>
  <c r="AR353" i="33"/>
  <c r="AR354" i="33"/>
  <c r="AR355" i="33"/>
  <c r="AR356" i="33"/>
  <c r="AR357" i="33"/>
  <c r="AR358" i="33"/>
  <c r="AR359" i="33"/>
  <c r="AR360" i="33"/>
  <c r="AR361" i="33"/>
  <c r="AR362" i="33"/>
  <c r="AR363" i="33"/>
  <c r="AR364" i="33"/>
  <c r="AR365" i="33"/>
  <c r="AR366" i="33"/>
  <c r="AR367" i="33"/>
  <c r="AR368" i="33"/>
  <c r="AR369" i="33"/>
  <c r="AR370" i="33"/>
  <c r="AR371" i="33"/>
  <c r="AR372" i="33"/>
  <c r="AR373" i="33"/>
  <c r="AR374" i="33"/>
  <c r="AR375" i="33"/>
  <c r="AR376" i="33"/>
  <c r="AR377" i="33"/>
  <c r="AR378" i="33"/>
  <c r="AR379" i="33"/>
  <c r="AR380" i="33"/>
  <c r="AR381" i="33"/>
  <c r="AR382" i="33"/>
  <c r="AR383" i="33"/>
  <c r="AR384" i="33"/>
  <c r="AR385" i="33"/>
  <c r="AR386" i="33"/>
  <c r="AR387" i="33"/>
  <c r="AR388" i="33"/>
  <c r="AR389" i="33"/>
  <c r="AR390" i="33"/>
  <c r="AR391" i="33"/>
  <c r="AR392" i="33"/>
  <c r="AR393" i="33"/>
  <c r="AR394" i="33"/>
  <c r="AR395" i="33"/>
  <c r="AR396" i="33"/>
  <c r="AR397" i="33"/>
  <c r="AR398" i="33"/>
  <c r="AR399" i="33"/>
  <c r="AR400" i="33"/>
  <c r="AR401" i="33"/>
  <c r="AR402" i="33"/>
  <c r="AR403" i="33"/>
  <c r="AR404" i="33"/>
  <c r="AR405" i="33"/>
  <c r="AR406" i="33"/>
  <c r="AR407" i="33"/>
  <c r="AR408" i="33"/>
  <c r="AR409" i="33"/>
  <c r="AR410" i="33"/>
  <c r="AR411" i="33"/>
  <c r="AR412" i="33"/>
  <c r="AR413" i="33"/>
  <c r="AR414" i="33"/>
  <c r="AR415" i="33"/>
  <c r="AR416" i="33"/>
  <c r="AR417" i="33"/>
  <c r="AR418" i="33"/>
  <c r="AR419" i="33"/>
  <c r="AR420" i="33"/>
  <c r="AR421" i="33"/>
  <c r="AR422" i="33"/>
  <c r="AR423" i="33"/>
  <c r="AR424" i="33"/>
  <c r="AR425" i="33"/>
  <c r="AR426" i="33"/>
  <c r="AR427" i="33"/>
  <c r="AR428" i="33"/>
  <c r="AR429" i="33"/>
  <c r="AR430" i="33"/>
  <c r="AR431" i="33"/>
  <c r="AR432" i="33"/>
  <c r="AR433" i="33"/>
  <c r="AR434" i="33"/>
  <c r="AR435" i="33"/>
  <c r="AR436" i="33"/>
  <c r="AR437" i="33"/>
  <c r="AR438" i="33"/>
  <c r="AR439" i="33"/>
  <c r="AR440" i="33"/>
  <c r="AR441" i="33"/>
  <c r="AR442" i="33"/>
  <c r="AR443" i="33"/>
  <c r="AR444" i="33"/>
  <c r="AR445" i="33"/>
  <c r="AR446" i="33"/>
  <c r="AR447" i="33"/>
  <c r="AR448" i="33"/>
  <c r="AR449" i="33"/>
  <c r="AR450" i="33"/>
  <c r="AR451" i="33"/>
  <c r="AR452" i="33"/>
  <c r="AR453" i="33"/>
  <c r="AR454" i="33"/>
  <c r="AR455" i="33"/>
  <c r="AR456" i="33"/>
  <c r="AR457" i="33"/>
  <c r="AR458" i="33"/>
  <c r="AR459" i="33"/>
  <c r="AR460" i="33"/>
  <c r="AR461" i="33"/>
  <c r="AR462" i="33"/>
  <c r="AR463" i="33"/>
  <c r="AR464" i="33"/>
  <c r="AR465" i="33"/>
  <c r="AR466" i="33"/>
  <c r="AR467" i="33"/>
  <c r="AR468" i="33"/>
  <c r="AR469" i="33"/>
  <c r="AR470" i="33"/>
  <c r="AR471" i="33"/>
  <c r="AR472" i="33"/>
  <c r="AR473" i="33"/>
  <c r="AR474" i="33"/>
  <c r="AR475" i="33"/>
  <c r="AR476" i="33"/>
  <c r="AR477" i="33"/>
  <c r="AR478" i="33"/>
  <c r="AR479" i="33"/>
  <c r="AR480" i="33"/>
  <c r="AR481" i="33"/>
  <c r="AR482" i="33"/>
  <c r="AR483" i="33"/>
  <c r="AR484" i="33"/>
  <c r="AR485" i="33"/>
  <c r="AR486" i="33"/>
  <c r="AR487" i="33"/>
  <c r="AR488" i="33"/>
  <c r="AR489" i="33"/>
  <c r="AR490" i="33"/>
  <c r="AR491" i="33"/>
  <c r="AR492" i="33"/>
  <c r="AR493" i="33"/>
  <c r="AR494" i="33"/>
  <c r="AR495" i="33"/>
  <c r="AR496" i="33"/>
  <c r="AR497" i="33"/>
  <c r="AR498" i="33"/>
  <c r="AR499" i="33"/>
  <c r="AR500" i="33"/>
  <c r="AR501" i="33"/>
  <c r="AR502" i="33"/>
  <c r="AR503" i="33"/>
  <c r="AR504" i="33"/>
  <c r="AR505" i="33"/>
  <c r="AR506" i="33"/>
  <c r="AR507" i="33"/>
  <c r="AR508" i="33"/>
  <c r="AR509" i="33"/>
  <c r="AR510" i="33"/>
  <c r="AR511" i="33"/>
  <c r="AR512" i="33"/>
  <c r="AR513" i="33"/>
  <c r="AR514" i="33"/>
  <c r="AR515" i="33"/>
  <c r="AR516" i="33"/>
  <c r="AR517" i="33"/>
  <c r="AR518" i="33"/>
  <c r="AR519" i="33"/>
  <c r="AR520" i="33"/>
  <c r="AR521" i="33"/>
  <c r="AR522" i="33"/>
  <c r="AR523" i="33"/>
  <c r="AR524" i="33"/>
  <c r="AR525" i="33"/>
  <c r="AR526" i="33"/>
  <c r="AR527" i="33"/>
  <c r="AR528" i="33"/>
  <c r="AR529" i="33"/>
  <c r="AR530" i="33"/>
  <c r="AR531" i="33"/>
  <c r="AR532" i="33"/>
  <c r="AR533" i="33"/>
  <c r="AR534" i="33"/>
  <c r="AR535" i="33"/>
  <c r="AR536" i="33"/>
  <c r="AR537" i="33"/>
  <c r="AR538" i="33"/>
  <c r="AR539" i="33"/>
  <c r="AR540" i="33"/>
  <c r="AR541" i="33"/>
  <c r="AR542" i="33"/>
  <c r="AR543" i="33"/>
  <c r="AR544" i="33"/>
  <c r="AR545" i="33"/>
  <c r="AR546" i="33"/>
  <c r="AR547" i="33"/>
  <c r="AR548" i="33"/>
  <c r="AR549" i="33"/>
  <c r="AR550" i="33"/>
  <c r="AR551" i="33"/>
  <c r="AR552" i="33"/>
  <c r="AR553" i="33"/>
  <c r="AR554" i="33"/>
  <c r="AR555" i="33"/>
  <c r="AR556" i="33"/>
  <c r="AR557" i="33"/>
  <c r="AR558" i="33"/>
  <c r="AR559" i="33"/>
  <c r="AR560" i="33"/>
  <c r="AR561" i="33"/>
  <c r="AR562" i="33"/>
  <c r="AR563" i="33"/>
  <c r="AR564" i="33"/>
  <c r="AR565" i="33"/>
  <c r="AR566" i="33"/>
  <c r="AR567" i="33"/>
  <c r="AR568" i="33"/>
  <c r="AR569" i="33"/>
  <c r="AR570" i="33"/>
  <c r="AR571" i="33"/>
  <c r="AR572" i="33"/>
  <c r="AR573" i="33"/>
  <c r="AR574" i="33"/>
  <c r="AR575" i="33"/>
  <c r="AR576" i="33"/>
  <c r="AR577" i="33"/>
  <c r="AR578" i="33"/>
  <c r="AR579" i="33"/>
  <c r="AR580" i="33"/>
  <c r="AR581" i="33"/>
  <c r="AR582" i="33"/>
  <c r="AR583" i="33"/>
  <c r="AR584" i="33"/>
  <c r="AR585" i="33"/>
  <c r="AR586" i="33"/>
  <c r="AR587" i="33"/>
  <c r="AR588" i="33"/>
  <c r="AR589" i="33"/>
  <c r="AR590" i="33"/>
  <c r="AR591" i="33"/>
  <c r="AR592" i="33"/>
  <c r="AR593" i="33"/>
  <c r="AR594" i="33"/>
  <c r="AR595" i="33"/>
  <c r="AR596" i="33"/>
  <c r="AR597" i="33"/>
  <c r="AR598" i="33"/>
  <c r="AR599" i="33"/>
  <c r="AR600" i="33"/>
  <c r="AR601" i="33"/>
  <c r="AR602" i="33"/>
  <c r="AR603" i="33"/>
  <c r="AR604" i="33"/>
  <c r="AR605" i="33"/>
  <c r="AR606" i="33"/>
  <c r="AR607" i="33"/>
  <c r="AR608" i="33"/>
  <c r="AR609" i="33"/>
  <c r="AR610" i="33"/>
  <c r="AR611" i="33"/>
  <c r="AR612" i="33"/>
  <c r="AR613" i="33"/>
  <c r="AR614" i="33"/>
  <c r="AR615" i="33"/>
  <c r="AR616" i="33"/>
  <c r="AR617" i="33"/>
  <c r="AR618" i="33"/>
  <c r="AR619" i="33"/>
  <c r="AR620" i="33"/>
  <c r="AR621" i="33"/>
  <c r="AR622" i="33"/>
  <c r="AR623" i="33"/>
  <c r="AR624" i="33"/>
  <c r="AR625" i="33"/>
  <c r="AR626" i="33"/>
  <c r="AR627" i="33"/>
  <c r="AR628" i="33"/>
  <c r="AR629" i="33"/>
  <c r="AR630" i="33"/>
  <c r="AR631" i="33"/>
  <c r="AR632" i="33"/>
  <c r="AR633" i="33"/>
  <c r="AR634" i="33"/>
  <c r="AR635" i="33"/>
  <c r="AR636" i="33"/>
  <c r="AR637" i="33"/>
  <c r="AR638" i="33"/>
  <c r="AR639" i="33"/>
  <c r="AR640" i="33"/>
  <c r="AR641" i="33"/>
  <c r="AR642" i="33"/>
  <c r="AR643" i="33"/>
  <c r="AR644" i="33"/>
  <c r="AR645" i="33"/>
  <c r="AR646" i="33"/>
  <c r="AR647" i="33"/>
  <c r="AR648" i="33"/>
  <c r="AR649" i="33"/>
  <c r="AR650" i="33"/>
  <c r="AR651" i="33"/>
  <c r="AR652" i="33"/>
  <c r="AR653" i="33"/>
  <c r="AR654" i="33"/>
  <c r="AR655" i="33"/>
  <c r="AR656" i="33"/>
  <c r="AR657" i="33"/>
  <c r="AR658" i="33"/>
  <c r="AR659" i="33"/>
  <c r="AR660" i="33"/>
  <c r="AR661" i="33"/>
  <c r="AR662" i="33"/>
  <c r="AR663" i="33"/>
  <c r="AR664" i="33"/>
  <c r="AR665" i="33"/>
  <c r="AR666" i="33"/>
  <c r="AR667" i="33"/>
  <c r="AR668" i="33"/>
  <c r="AR669" i="33"/>
  <c r="AR670" i="33"/>
  <c r="AR671" i="33"/>
  <c r="AR672" i="33"/>
  <c r="AR673" i="33"/>
  <c r="AR674" i="33"/>
  <c r="AR675" i="33"/>
  <c r="AR676" i="33"/>
  <c r="AR677" i="33"/>
  <c r="AR678" i="33"/>
  <c r="AR679" i="33"/>
  <c r="AR680" i="33"/>
  <c r="AR681" i="33"/>
  <c r="AR682" i="33"/>
  <c r="AR683" i="33"/>
  <c r="AR684" i="33"/>
  <c r="AR685" i="33"/>
  <c r="AR686" i="33"/>
  <c r="AR687" i="33"/>
  <c r="AR688" i="33"/>
  <c r="AR689" i="33"/>
  <c r="AR690" i="33"/>
  <c r="AR691" i="33"/>
  <c r="AR692" i="33"/>
  <c r="AR693" i="33"/>
  <c r="AR694" i="33"/>
  <c r="AR695" i="33"/>
  <c r="AR696" i="33"/>
  <c r="AR697" i="33"/>
  <c r="AR698" i="33"/>
  <c r="AR699" i="33"/>
  <c r="AR700" i="33"/>
  <c r="AR701" i="33"/>
  <c r="AR702" i="33"/>
  <c r="AR703" i="33"/>
  <c r="AR704" i="33"/>
  <c r="AR705" i="33"/>
  <c r="AR706" i="33"/>
  <c r="AR707" i="33"/>
  <c r="AR708" i="33"/>
  <c r="AR709" i="33"/>
  <c r="AR710" i="33"/>
  <c r="AR711" i="33"/>
  <c r="AR712" i="33"/>
  <c r="AR713" i="33"/>
  <c r="AR714" i="33"/>
  <c r="AR715" i="33"/>
  <c r="AR716" i="33"/>
  <c r="AR717" i="33"/>
  <c r="AR718" i="33"/>
  <c r="AR719" i="33"/>
  <c r="AR720" i="33"/>
  <c r="AR721" i="33"/>
  <c r="AR722" i="33"/>
  <c r="AR723" i="33"/>
  <c r="AR724" i="33"/>
  <c r="AR725" i="33"/>
  <c r="AR726" i="33"/>
  <c r="AR727" i="33"/>
  <c r="AR728" i="33"/>
  <c r="AR729" i="33"/>
  <c r="AR730" i="33"/>
  <c r="AR731" i="33"/>
  <c r="AR732" i="33"/>
  <c r="AR733" i="33"/>
  <c r="AR734" i="33"/>
  <c r="AR735" i="33"/>
  <c r="AR736" i="33"/>
  <c r="AR737" i="33"/>
  <c r="AR738" i="33"/>
  <c r="AR739" i="33"/>
  <c r="AR740" i="33"/>
  <c r="AR741" i="33"/>
  <c r="AR742" i="33"/>
  <c r="AR743" i="33"/>
  <c r="AR744" i="33"/>
  <c r="AR745" i="33"/>
  <c r="AR746" i="33"/>
  <c r="AR747" i="33"/>
  <c r="AR748" i="33"/>
  <c r="AR749" i="33"/>
  <c r="AR750" i="33"/>
  <c r="AR751" i="33"/>
  <c r="AR752" i="33"/>
  <c r="AR753" i="33"/>
  <c r="AR754" i="33"/>
  <c r="AR755" i="33"/>
  <c r="AR756" i="33"/>
  <c r="AR757" i="33"/>
  <c r="AR758" i="33"/>
  <c r="AR759" i="33"/>
  <c r="AR760" i="33"/>
  <c r="AR761" i="33"/>
  <c r="AR762" i="33"/>
  <c r="AR763" i="33"/>
  <c r="AR764" i="33"/>
  <c r="AR765" i="33"/>
  <c r="AR766" i="33"/>
  <c r="AR767" i="33"/>
  <c r="AR768" i="33"/>
  <c r="AR769" i="33"/>
  <c r="AR770" i="33"/>
  <c r="AR771" i="33"/>
  <c r="AR772" i="33"/>
  <c r="AR773" i="33"/>
  <c r="AR774" i="33"/>
  <c r="AR775" i="33"/>
  <c r="AR776" i="33"/>
  <c r="AR777" i="33"/>
  <c r="AR778" i="33"/>
  <c r="AR779" i="33"/>
  <c r="AR780" i="33"/>
  <c r="AR781" i="33"/>
  <c r="AR782" i="33"/>
  <c r="AR783" i="33"/>
  <c r="AR784" i="33"/>
  <c r="AR785" i="33"/>
  <c r="AR786" i="33"/>
  <c r="AR787" i="33"/>
  <c r="AR788" i="33"/>
  <c r="AR789" i="33"/>
  <c r="AR790" i="33"/>
  <c r="AR791" i="33"/>
  <c r="AR792" i="33"/>
  <c r="AR793" i="33"/>
  <c r="AR794" i="33"/>
  <c r="AR795" i="33"/>
  <c r="AR796" i="33"/>
  <c r="AR797" i="33"/>
  <c r="AR798" i="33"/>
  <c r="AR799" i="33"/>
  <c r="AR800" i="33"/>
  <c r="AR801" i="33"/>
  <c r="AR802" i="33"/>
  <c r="AR803" i="33"/>
  <c r="AR804" i="33"/>
  <c r="AR805" i="33"/>
  <c r="AR806" i="33"/>
  <c r="AR807" i="33"/>
  <c r="AR808" i="33"/>
  <c r="AR809" i="33"/>
  <c r="AR810" i="33"/>
  <c r="AR811" i="33"/>
  <c r="AR812" i="33"/>
  <c r="AR813" i="33"/>
  <c r="AR814" i="33"/>
  <c r="AR815" i="33"/>
  <c r="AR816" i="33"/>
  <c r="AR817" i="33"/>
  <c r="AR818" i="33"/>
  <c r="AR819" i="33"/>
  <c r="AR820" i="33"/>
  <c r="AR821" i="33"/>
  <c r="AR822" i="33"/>
  <c r="AR823" i="33"/>
  <c r="AR824" i="33"/>
  <c r="AR825" i="33"/>
  <c r="AR826" i="33"/>
  <c r="AR827" i="33"/>
  <c r="AR828" i="33"/>
  <c r="AR829" i="33"/>
  <c r="AR830" i="33"/>
  <c r="AR831" i="33"/>
  <c r="AR832" i="33"/>
  <c r="AR833" i="33"/>
  <c r="AR834" i="33"/>
  <c r="AR835" i="33"/>
  <c r="AR836" i="33"/>
  <c r="AR837" i="33"/>
  <c r="AR838" i="33"/>
  <c r="AR839" i="33"/>
  <c r="AR840" i="33"/>
  <c r="AR841" i="33"/>
  <c r="AR842" i="33"/>
  <c r="AR843" i="33"/>
  <c r="AR844" i="33"/>
  <c r="AR845" i="33"/>
  <c r="AR846" i="33"/>
  <c r="AR847" i="33"/>
  <c r="AR848" i="33"/>
  <c r="AR849" i="33"/>
  <c r="AR850" i="33"/>
  <c r="AR851" i="33"/>
  <c r="AR852" i="33"/>
  <c r="AR853" i="33"/>
  <c r="AR854" i="33"/>
  <c r="AR855" i="33"/>
  <c r="AR856" i="33"/>
  <c r="AR857" i="33"/>
  <c r="AR858" i="33"/>
  <c r="AR859" i="33"/>
  <c r="AR860" i="33"/>
  <c r="AR861" i="33"/>
  <c r="AR862" i="33"/>
  <c r="AR863" i="33"/>
  <c r="AR864" i="33"/>
  <c r="AR865" i="33"/>
  <c r="AR866" i="33"/>
  <c r="AR867" i="33"/>
  <c r="AR868" i="33"/>
  <c r="AR869" i="33"/>
  <c r="AR870" i="33"/>
  <c r="AR871" i="33"/>
  <c r="AR872" i="33"/>
  <c r="AR873" i="33"/>
  <c r="AR874" i="33"/>
  <c r="AR875" i="33"/>
  <c r="AR876" i="33"/>
  <c r="AR877" i="33"/>
  <c r="AR878" i="33"/>
  <c r="AR879" i="33"/>
  <c r="AR880" i="33"/>
  <c r="AR881" i="33"/>
  <c r="AR882" i="33"/>
  <c r="AR883" i="33"/>
  <c r="AR884" i="33"/>
  <c r="AR885" i="33"/>
  <c r="AR886" i="33"/>
  <c r="AR887" i="33"/>
  <c r="AR888" i="33"/>
  <c r="AR889" i="33"/>
  <c r="AR890" i="33"/>
  <c r="AR891" i="33"/>
  <c r="AR892" i="33"/>
  <c r="AR893" i="33"/>
  <c r="AR894" i="33"/>
  <c r="AR895" i="33"/>
  <c r="AR896" i="33"/>
  <c r="AR897" i="33"/>
  <c r="AR898" i="33"/>
  <c r="AR899" i="33"/>
  <c r="AR900" i="33"/>
  <c r="AR901" i="33"/>
  <c r="AR902" i="33"/>
  <c r="AR903" i="33"/>
  <c r="AR904" i="33"/>
  <c r="AR905" i="33"/>
  <c r="AR906" i="33"/>
  <c r="AR907" i="33"/>
  <c r="AR908" i="33"/>
  <c r="AR909" i="33"/>
  <c r="AR910" i="33"/>
  <c r="AR911" i="33"/>
  <c r="AR912" i="33"/>
  <c r="AR913" i="33"/>
  <c r="AR914" i="33"/>
  <c r="AR915" i="33"/>
  <c r="AR916" i="33"/>
  <c r="AR917" i="33"/>
  <c r="AR918" i="33"/>
  <c r="AR919" i="33"/>
  <c r="AR920" i="33"/>
  <c r="AR921" i="33"/>
  <c r="AR922" i="33"/>
  <c r="AR923" i="33"/>
  <c r="AR924" i="33"/>
  <c r="AR925" i="33"/>
  <c r="AR926" i="33"/>
  <c r="AR927" i="33"/>
  <c r="AR928" i="33"/>
  <c r="AR929" i="33"/>
  <c r="AR930" i="33"/>
  <c r="AR931" i="33"/>
  <c r="AR932" i="33"/>
  <c r="AR933" i="33"/>
  <c r="AR934" i="33"/>
  <c r="AR935" i="33"/>
  <c r="AR936" i="33"/>
  <c r="AR937" i="33"/>
  <c r="AR938" i="33"/>
  <c r="AR939" i="33"/>
  <c r="AR940" i="33"/>
  <c r="AR941" i="33"/>
  <c r="AR942" i="33"/>
  <c r="AR943" i="33"/>
  <c r="AR944" i="33"/>
  <c r="AR945" i="33"/>
  <c r="AR946" i="33"/>
  <c r="AR947" i="33"/>
  <c r="AR948" i="33"/>
  <c r="AR949" i="33"/>
  <c r="AR950" i="33"/>
  <c r="AR951" i="33"/>
  <c r="AR952" i="33"/>
  <c r="AR953" i="33"/>
  <c r="AR954" i="33"/>
  <c r="AR955" i="33"/>
  <c r="AR956" i="33"/>
  <c r="AR957" i="33"/>
  <c r="AR958" i="33"/>
  <c r="AR959" i="33"/>
  <c r="AR960" i="33"/>
  <c r="AR961" i="33"/>
  <c r="AR962" i="33"/>
  <c r="AR963" i="33"/>
  <c r="AR964" i="33"/>
  <c r="AR965" i="33"/>
  <c r="AR966" i="33"/>
  <c r="AR967" i="33"/>
  <c r="AR968" i="33"/>
  <c r="AR969" i="33"/>
  <c r="AR970" i="33"/>
  <c r="AR971" i="33"/>
  <c r="AR972" i="33"/>
  <c r="AR973" i="33"/>
  <c r="AR974" i="33"/>
  <c r="AR975" i="33"/>
  <c r="AR976" i="33"/>
  <c r="AR977" i="33"/>
  <c r="AR978" i="33"/>
  <c r="AR979" i="33"/>
  <c r="AR980" i="33"/>
  <c r="AR981" i="33"/>
  <c r="AR982" i="33"/>
  <c r="AR983" i="33"/>
  <c r="AR984" i="33"/>
  <c r="AR985" i="33"/>
  <c r="AR986" i="33"/>
  <c r="AR987" i="33"/>
  <c r="AR988" i="33"/>
  <c r="AR989" i="33"/>
  <c r="AR990" i="33"/>
  <c r="AR991" i="33"/>
  <c r="AR992" i="33"/>
  <c r="AR993" i="33"/>
  <c r="AR994" i="33"/>
  <c r="AR995" i="33"/>
  <c r="AR996" i="33"/>
  <c r="AR997" i="33"/>
  <c r="AR998" i="33"/>
  <c r="AR999" i="33"/>
  <c r="AR1000" i="33"/>
  <c r="AR1001" i="33"/>
  <c r="AR1002" i="33"/>
  <c r="AR1003" i="33"/>
  <c r="AR1004" i="33"/>
  <c r="AO141" i="33"/>
  <c r="AO142" i="33"/>
  <c r="AO143" i="33"/>
  <c r="AO144" i="33"/>
  <c r="AO145" i="33"/>
  <c r="AO146" i="33"/>
  <c r="AO147" i="33"/>
  <c r="AO148" i="33"/>
  <c r="AO149" i="33"/>
  <c r="AO150" i="33"/>
  <c r="AO151" i="33"/>
  <c r="AO152" i="33"/>
  <c r="AO153" i="33"/>
  <c r="AO154" i="33"/>
  <c r="AO155" i="33"/>
  <c r="AO156" i="33"/>
  <c r="AO157" i="33"/>
  <c r="AO158" i="33"/>
  <c r="AO159" i="33"/>
  <c r="AO160" i="33"/>
  <c r="AO161" i="33"/>
  <c r="AO162" i="33"/>
  <c r="AO163" i="33"/>
  <c r="AO164" i="33"/>
  <c r="AO165" i="33"/>
  <c r="AO166" i="33"/>
  <c r="AO167" i="33"/>
  <c r="AO168" i="33"/>
  <c r="AO169" i="33"/>
  <c r="AO170" i="33"/>
  <c r="AO171" i="33"/>
  <c r="AO172" i="33"/>
  <c r="AO173" i="33"/>
  <c r="AO174" i="33"/>
  <c r="AO175" i="33"/>
  <c r="AO176" i="33"/>
  <c r="AO177" i="33"/>
  <c r="AO178" i="33"/>
  <c r="AO179" i="33"/>
  <c r="AO180" i="33"/>
  <c r="AO181" i="33"/>
  <c r="AO182" i="33"/>
  <c r="AO183" i="33"/>
  <c r="AO184" i="33"/>
  <c r="AO185" i="33"/>
  <c r="AO186" i="33"/>
  <c r="AO187" i="33"/>
  <c r="AO188" i="33"/>
  <c r="AO189" i="33"/>
  <c r="AO190" i="33"/>
  <c r="AO191" i="33"/>
  <c r="AO192" i="33"/>
  <c r="AO193" i="33"/>
  <c r="AO194" i="33"/>
  <c r="AO195" i="33"/>
  <c r="AO196" i="33"/>
  <c r="AO197" i="33"/>
  <c r="AO198" i="33"/>
  <c r="AO199" i="33"/>
  <c r="AO200" i="33"/>
  <c r="AO201" i="33"/>
  <c r="AO202" i="33"/>
  <c r="AO203" i="33"/>
  <c r="AO204" i="33"/>
  <c r="AO205" i="33"/>
  <c r="AO206" i="33"/>
  <c r="AO207" i="33"/>
  <c r="AO208" i="33"/>
  <c r="AO209" i="33"/>
  <c r="AO210" i="33"/>
  <c r="AO211" i="33"/>
  <c r="AO212" i="33"/>
  <c r="AO213" i="33"/>
  <c r="AO214" i="33"/>
  <c r="AO215" i="33"/>
  <c r="AO216" i="33"/>
  <c r="AO217" i="33"/>
  <c r="AO218" i="33"/>
  <c r="AO219" i="33"/>
  <c r="AO220" i="33"/>
  <c r="AO221" i="33"/>
  <c r="AO222" i="33"/>
  <c r="AO223" i="33"/>
  <c r="AO224" i="33"/>
  <c r="AO225" i="33"/>
  <c r="AO226" i="33"/>
  <c r="AO227" i="33"/>
  <c r="AO228" i="33"/>
  <c r="AO229" i="33"/>
  <c r="AO230" i="33"/>
  <c r="AO231" i="33"/>
  <c r="AO232" i="33"/>
  <c r="AO233" i="33"/>
  <c r="AO234" i="33"/>
  <c r="AO235" i="33"/>
  <c r="AO236" i="33"/>
  <c r="AO237" i="33"/>
  <c r="AO238" i="33"/>
  <c r="AO239" i="33"/>
  <c r="AO240" i="33"/>
  <c r="AO241" i="33"/>
  <c r="AO242" i="33"/>
  <c r="AO243" i="33"/>
  <c r="AO244" i="33"/>
  <c r="AO245" i="33"/>
  <c r="AO246" i="33"/>
  <c r="AO247" i="33"/>
  <c r="AO248" i="33"/>
  <c r="AO249" i="33"/>
  <c r="AO250" i="33"/>
  <c r="AO251" i="33"/>
  <c r="AO252" i="33"/>
  <c r="AO253" i="33"/>
  <c r="AO254" i="33"/>
  <c r="AO255" i="33"/>
  <c r="AO256" i="33"/>
  <c r="AO257" i="33"/>
  <c r="AO258" i="33"/>
  <c r="AO259" i="33"/>
  <c r="AO260" i="33"/>
  <c r="AO261" i="33"/>
  <c r="AO262" i="33"/>
  <c r="AO263" i="33"/>
  <c r="AO264" i="33"/>
  <c r="AO265" i="33"/>
  <c r="AO266" i="33"/>
  <c r="AO267" i="33"/>
  <c r="AO268" i="33"/>
  <c r="AO269" i="33"/>
  <c r="AO270" i="33"/>
  <c r="AO271" i="33"/>
  <c r="AO272" i="33"/>
  <c r="AO273" i="33"/>
  <c r="AO274" i="33"/>
  <c r="AO275" i="33"/>
  <c r="AO276" i="33"/>
  <c r="AO277" i="33"/>
  <c r="AO278" i="33"/>
  <c r="AO279" i="33"/>
  <c r="AO280" i="33"/>
  <c r="AO281" i="33"/>
  <c r="AO282" i="33"/>
  <c r="AO283" i="33"/>
  <c r="AO284" i="33"/>
  <c r="AO285" i="33"/>
  <c r="AO286" i="33"/>
  <c r="AO287" i="33"/>
  <c r="AO288" i="33"/>
  <c r="AO289" i="33"/>
  <c r="AO290" i="33"/>
  <c r="AO291" i="33"/>
  <c r="AO292" i="33"/>
  <c r="AO293" i="33"/>
  <c r="AO294" i="33"/>
  <c r="AO295" i="33"/>
  <c r="AO296" i="33"/>
  <c r="AO297" i="33"/>
  <c r="AO298" i="33"/>
  <c r="AO299" i="33"/>
  <c r="AO300" i="33"/>
  <c r="AO301" i="33"/>
  <c r="AO302" i="33"/>
  <c r="AO303" i="33"/>
  <c r="AO304" i="33"/>
  <c r="AO305" i="33"/>
  <c r="AO306" i="33"/>
  <c r="AO307" i="33"/>
  <c r="AO308" i="33"/>
  <c r="AO309" i="33"/>
  <c r="AO310" i="33"/>
  <c r="AO311" i="33"/>
  <c r="AO312" i="33"/>
  <c r="AO313" i="33"/>
  <c r="AO314" i="33"/>
  <c r="AO315" i="33"/>
  <c r="AO316" i="33"/>
  <c r="AO317" i="33"/>
  <c r="AO318" i="33"/>
  <c r="AO319" i="33"/>
  <c r="AO320" i="33"/>
  <c r="AO321" i="33"/>
  <c r="AO322" i="33"/>
  <c r="AO323" i="33"/>
  <c r="AO324" i="33"/>
  <c r="AO325" i="33"/>
  <c r="AO326" i="33"/>
  <c r="AO327" i="33"/>
  <c r="AO328" i="33"/>
  <c r="AO329" i="33"/>
  <c r="AO330" i="33"/>
  <c r="AO331" i="33"/>
  <c r="AO332" i="33"/>
  <c r="AO333" i="33"/>
  <c r="AO334" i="33"/>
  <c r="AO335" i="33"/>
  <c r="AO336" i="33"/>
  <c r="AO337" i="33"/>
  <c r="AO338" i="33"/>
  <c r="AO339" i="33"/>
  <c r="AO340" i="33"/>
  <c r="AO341" i="33"/>
  <c r="AO342" i="33"/>
  <c r="AO343" i="33"/>
  <c r="AO344" i="33"/>
  <c r="AO345" i="33"/>
  <c r="AO346" i="33"/>
  <c r="AO347" i="33"/>
  <c r="AO348" i="33"/>
  <c r="AO349" i="33"/>
  <c r="AO350" i="33"/>
  <c r="AO351" i="33"/>
  <c r="AO352" i="33"/>
  <c r="AO353" i="33"/>
  <c r="AO354" i="33"/>
  <c r="AO355" i="33"/>
  <c r="AO356" i="33"/>
  <c r="AO357" i="33"/>
  <c r="AO358" i="33"/>
  <c r="AO359" i="33"/>
  <c r="AO360" i="33"/>
  <c r="AO361" i="33"/>
  <c r="AO362" i="33"/>
  <c r="AO363" i="33"/>
  <c r="AO364" i="33"/>
  <c r="AO365" i="33"/>
  <c r="AO366" i="33"/>
  <c r="AO367" i="33"/>
  <c r="AO368" i="33"/>
  <c r="AO369" i="33"/>
  <c r="AO370" i="33"/>
  <c r="AO371" i="33"/>
  <c r="AO372" i="33"/>
  <c r="AO373" i="33"/>
  <c r="AO374" i="33"/>
  <c r="AO375" i="33"/>
  <c r="AO376" i="33"/>
  <c r="AO377" i="33"/>
  <c r="AO378" i="33"/>
  <c r="AO379" i="33"/>
  <c r="AO380" i="33"/>
  <c r="AO381" i="33"/>
  <c r="AO382" i="33"/>
  <c r="AO383" i="33"/>
  <c r="AO384" i="33"/>
  <c r="AO385" i="33"/>
  <c r="AO386" i="33"/>
  <c r="AO387" i="33"/>
  <c r="AO388" i="33"/>
  <c r="AO389" i="33"/>
  <c r="AO390" i="33"/>
  <c r="AO391" i="33"/>
  <c r="AO392" i="33"/>
  <c r="AO393" i="33"/>
  <c r="AO394" i="33"/>
  <c r="AO395" i="33"/>
  <c r="AO396" i="33"/>
  <c r="AO397" i="33"/>
  <c r="AO398" i="33"/>
  <c r="AO399" i="33"/>
  <c r="AO400" i="33"/>
  <c r="AO401" i="33"/>
  <c r="AO402" i="33"/>
  <c r="AO403" i="33"/>
  <c r="AO404" i="33"/>
  <c r="AO405" i="33"/>
  <c r="AO406" i="33"/>
  <c r="AO407" i="33"/>
  <c r="AO408" i="33"/>
  <c r="AO409" i="33"/>
  <c r="AO410" i="33"/>
  <c r="AO411" i="33"/>
  <c r="AO412" i="33"/>
  <c r="AO413" i="33"/>
  <c r="AO414" i="33"/>
  <c r="AO415" i="33"/>
  <c r="AO416" i="33"/>
  <c r="AO417" i="33"/>
  <c r="AO418" i="33"/>
  <c r="AO419" i="33"/>
  <c r="AO420" i="33"/>
  <c r="AO421" i="33"/>
  <c r="AO422" i="33"/>
  <c r="AO423" i="33"/>
  <c r="AO424" i="33"/>
  <c r="AO425" i="33"/>
  <c r="AO426" i="33"/>
  <c r="AO427" i="33"/>
  <c r="AO428" i="33"/>
  <c r="AO429" i="33"/>
  <c r="AO430" i="33"/>
  <c r="AO431" i="33"/>
  <c r="AO432" i="33"/>
  <c r="AO433" i="33"/>
  <c r="AO434" i="33"/>
  <c r="AO435" i="33"/>
  <c r="AO436" i="33"/>
  <c r="AO437" i="33"/>
  <c r="AO438" i="33"/>
  <c r="AO439" i="33"/>
  <c r="AO440" i="33"/>
  <c r="AO441" i="33"/>
  <c r="AO442" i="33"/>
  <c r="AO443" i="33"/>
  <c r="AO444" i="33"/>
  <c r="AO445" i="33"/>
  <c r="AO446" i="33"/>
  <c r="AO447" i="33"/>
  <c r="AO448" i="33"/>
  <c r="AO449" i="33"/>
  <c r="AO450" i="33"/>
  <c r="AO451" i="33"/>
  <c r="AO452" i="33"/>
  <c r="AO453" i="33"/>
  <c r="AO454" i="33"/>
  <c r="AO455" i="33"/>
  <c r="AO456" i="33"/>
  <c r="AO457" i="33"/>
  <c r="AO458" i="33"/>
  <c r="AO459" i="33"/>
  <c r="AO460" i="33"/>
  <c r="AO461" i="33"/>
  <c r="AO462" i="33"/>
  <c r="AO463" i="33"/>
  <c r="AO464" i="33"/>
  <c r="AO465" i="33"/>
  <c r="AO466" i="33"/>
  <c r="AO467" i="33"/>
  <c r="AO468" i="33"/>
  <c r="AO469" i="33"/>
  <c r="AO470" i="33"/>
  <c r="AO471" i="33"/>
  <c r="AO472" i="33"/>
  <c r="AO473" i="33"/>
  <c r="AO474" i="33"/>
  <c r="AO475" i="33"/>
  <c r="AO476" i="33"/>
  <c r="AO477" i="33"/>
  <c r="AO478" i="33"/>
  <c r="AO479" i="33"/>
  <c r="AO480" i="33"/>
  <c r="AO481" i="33"/>
  <c r="AO482" i="33"/>
  <c r="AO483" i="33"/>
  <c r="AO484" i="33"/>
  <c r="AO485" i="33"/>
  <c r="AO486" i="33"/>
  <c r="AO487" i="33"/>
  <c r="AO488" i="33"/>
  <c r="AO489" i="33"/>
  <c r="AO490" i="33"/>
  <c r="AO491" i="33"/>
  <c r="AO492" i="33"/>
  <c r="AO493" i="33"/>
  <c r="AO494" i="33"/>
  <c r="AO495" i="33"/>
  <c r="AO496" i="33"/>
  <c r="AO497" i="33"/>
  <c r="AO498" i="33"/>
  <c r="AO499" i="33"/>
  <c r="AO500" i="33"/>
  <c r="AO501" i="33"/>
  <c r="AO502" i="33"/>
  <c r="AO503" i="33"/>
  <c r="AO504" i="33"/>
  <c r="AO505" i="33"/>
  <c r="AO506" i="33"/>
  <c r="AO507" i="33"/>
  <c r="AO508" i="33"/>
  <c r="AO509" i="33"/>
  <c r="AO510" i="33"/>
  <c r="AO511" i="33"/>
  <c r="AO512" i="33"/>
  <c r="AO513" i="33"/>
  <c r="AO514" i="33"/>
  <c r="AO515" i="33"/>
  <c r="AO516" i="33"/>
  <c r="AO517" i="33"/>
  <c r="AO518" i="33"/>
  <c r="AO519" i="33"/>
  <c r="AO520" i="33"/>
  <c r="AO521" i="33"/>
  <c r="AO522" i="33"/>
  <c r="AO523" i="33"/>
  <c r="AO524" i="33"/>
  <c r="AO525" i="33"/>
  <c r="AO526" i="33"/>
  <c r="AO527" i="33"/>
  <c r="AO528" i="33"/>
  <c r="AO529" i="33"/>
  <c r="AO530" i="33"/>
  <c r="AO531" i="33"/>
  <c r="AO532" i="33"/>
  <c r="AO533" i="33"/>
  <c r="AO534" i="33"/>
  <c r="AO535" i="33"/>
  <c r="AO536" i="33"/>
  <c r="AO537" i="33"/>
  <c r="AO538" i="33"/>
  <c r="AO539" i="33"/>
  <c r="AO540" i="33"/>
  <c r="AO541" i="33"/>
  <c r="AO542" i="33"/>
  <c r="AO543" i="33"/>
  <c r="AO544" i="33"/>
  <c r="AO545" i="33"/>
  <c r="AO546" i="33"/>
  <c r="AO547" i="33"/>
  <c r="AO548" i="33"/>
  <c r="AO549" i="33"/>
  <c r="AO550" i="33"/>
  <c r="AO551" i="33"/>
  <c r="AO552" i="33"/>
  <c r="AO553" i="33"/>
  <c r="AO554" i="33"/>
  <c r="AO555" i="33"/>
  <c r="AO556" i="33"/>
  <c r="AO557" i="33"/>
  <c r="AO558" i="33"/>
  <c r="AO559" i="33"/>
  <c r="AO560" i="33"/>
  <c r="AO561" i="33"/>
  <c r="AO562" i="33"/>
  <c r="AO563" i="33"/>
  <c r="AO564" i="33"/>
  <c r="AO565" i="33"/>
  <c r="AO566" i="33"/>
  <c r="AO567" i="33"/>
  <c r="AO568" i="33"/>
  <c r="AO569" i="33"/>
  <c r="AO570" i="33"/>
  <c r="AO571" i="33"/>
  <c r="AO572" i="33"/>
  <c r="AO573" i="33"/>
  <c r="AO574" i="33"/>
  <c r="AO575" i="33"/>
  <c r="AO576" i="33"/>
  <c r="AO577" i="33"/>
  <c r="AO578" i="33"/>
  <c r="AO579" i="33"/>
  <c r="AO580" i="33"/>
  <c r="AO581" i="33"/>
  <c r="AO582" i="33"/>
  <c r="AO583" i="33"/>
  <c r="AO584" i="33"/>
  <c r="AO585" i="33"/>
  <c r="AO586" i="33"/>
  <c r="AO587" i="33"/>
  <c r="AO588" i="33"/>
  <c r="AO589" i="33"/>
  <c r="AO590" i="33"/>
  <c r="AO591" i="33"/>
  <c r="AO592" i="33"/>
  <c r="AO593" i="33"/>
  <c r="AO594" i="33"/>
  <c r="AO595" i="33"/>
  <c r="AO596" i="33"/>
  <c r="AO597" i="33"/>
  <c r="AO598" i="33"/>
  <c r="AO599" i="33"/>
  <c r="AO600" i="33"/>
  <c r="AO601" i="33"/>
  <c r="AO602" i="33"/>
  <c r="AO603" i="33"/>
  <c r="AO604" i="33"/>
  <c r="AO605" i="33"/>
  <c r="AO606" i="33"/>
  <c r="AO607" i="33"/>
  <c r="AO608" i="33"/>
  <c r="AO609" i="33"/>
  <c r="AO610" i="33"/>
  <c r="AO611" i="33"/>
  <c r="AO612" i="33"/>
  <c r="AO613" i="33"/>
  <c r="AO614" i="33"/>
  <c r="AO615" i="33"/>
  <c r="AO616" i="33"/>
  <c r="AO617" i="33"/>
  <c r="AO618" i="33"/>
  <c r="AO619" i="33"/>
  <c r="AO620" i="33"/>
  <c r="AO621" i="33"/>
  <c r="AO622" i="33"/>
  <c r="AO623" i="33"/>
  <c r="AO624" i="33"/>
  <c r="AO625" i="33"/>
  <c r="AO626" i="33"/>
  <c r="AO627" i="33"/>
  <c r="AO628" i="33"/>
  <c r="AO629" i="33"/>
  <c r="AO630" i="33"/>
  <c r="AO631" i="33"/>
  <c r="AO632" i="33"/>
  <c r="AO633" i="33"/>
  <c r="AO634" i="33"/>
  <c r="AO635" i="33"/>
  <c r="AO636" i="33"/>
  <c r="AO637" i="33"/>
  <c r="AO638" i="33"/>
  <c r="AO639" i="33"/>
  <c r="AO640" i="33"/>
  <c r="AO641" i="33"/>
  <c r="AO642" i="33"/>
  <c r="AO643" i="33"/>
  <c r="AO644" i="33"/>
  <c r="AO645" i="33"/>
  <c r="AO646" i="33"/>
  <c r="AO647" i="33"/>
  <c r="AO648" i="33"/>
  <c r="AO649" i="33"/>
  <c r="AO650" i="33"/>
  <c r="AO651" i="33"/>
  <c r="AO652" i="33"/>
  <c r="AO653" i="33"/>
  <c r="AO654" i="33"/>
  <c r="AO655" i="33"/>
  <c r="AO656" i="33"/>
  <c r="AO657" i="33"/>
  <c r="AO658" i="33"/>
  <c r="AO659" i="33"/>
  <c r="AO660" i="33"/>
  <c r="AO661" i="33"/>
  <c r="AO662" i="33"/>
  <c r="AO663" i="33"/>
  <c r="AO664" i="33"/>
  <c r="AO665" i="33"/>
  <c r="AO666" i="33"/>
  <c r="AO667" i="33"/>
  <c r="AO668" i="33"/>
  <c r="AO669" i="33"/>
  <c r="AO670" i="33"/>
  <c r="AO671" i="33"/>
  <c r="AO672" i="33"/>
  <c r="AO673" i="33"/>
  <c r="AO674" i="33"/>
  <c r="AO675" i="33"/>
  <c r="AO676" i="33"/>
  <c r="AO677" i="33"/>
  <c r="AO678" i="33"/>
  <c r="AO679" i="33"/>
  <c r="AO680" i="33"/>
  <c r="AO681" i="33"/>
  <c r="AO682" i="33"/>
  <c r="AO683" i="33"/>
  <c r="AO684" i="33"/>
  <c r="AO685" i="33"/>
  <c r="AO686" i="33"/>
  <c r="AO687" i="33"/>
  <c r="AO688" i="33"/>
  <c r="AO689" i="33"/>
  <c r="AO690" i="33"/>
  <c r="AO691" i="33"/>
  <c r="AO692" i="33"/>
  <c r="AO693" i="33"/>
  <c r="AO694" i="33"/>
  <c r="AO695" i="33"/>
  <c r="AO696" i="33"/>
  <c r="AO697" i="33"/>
  <c r="AO698" i="33"/>
  <c r="AO699" i="33"/>
  <c r="AO700" i="33"/>
  <c r="AO701" i="33"/>
  <c r="AO702" i="33"/>
  <c r="AO703" i="33"/>
  <c r="AO704" i="33"/>
  <c r="AO705" i="33"/>
  <c r="AO706" i="33"/>
  <c r="AO707" i="33"/>
  <c r="AO708" i="33"/>
  <c r="AO709" i="33"/>
  <c r="AO710" i="33"/>
  <c r="AO711" i="33"/>
  <c r="AO712" i="33"/>
  <c r="AO713" i="33"/>
  <c r="AO714" i="33"/>
  <c r="AO715" i="33"/>
  <c r="AO716" i="33"/>
  <c r="AO717" i="33"/>
  <c r="AO718" i="33"/>
  <c r="AO719" i="33"/>
  <c r="AO720" i="33"/>
  <c r="AO721" i="33"/>
  <c r="AO722" i="33"/>
  <c r="AO723" i="33"/>
  <c r="AO724" i="33"/>
  <c r="AO725" i="33"/>
  <c r="AO726" i="33"/>
  <c r="AO727" i="33"/>
  <c r="AO728" i="33"/>
  <c r="AO729" i="33"/>
  <c r="AO730" i="33"/>
  <c r="AO731" i="33"/>
  <c r="AO732" i="33"/>
  <c r="AO733" i="33"/>
  <c r="AO734" i="33"/>
  <c r="AO735" i="33"/>
  <c r="AO736" i="33"/>
  <c r="AO737" i="33"/>
  <c r="AO738" i="33"/>
  <c r="AO739" i="33"/>
  <c r="AO740" i="33"/>
  <c r="AO741" i="33"/>
  <c r="AO742" i="33"/>
  <c r="AO743" i="33"/>
  <c r="AO744" i="33"/>
  <c r="AO745" i="33"/>
  <c r="AO746" i="33"/>
  <c r="AO747" i="33"/>
  <c r="AO748" i="33"/>
  <c r="AO749" i="33"/>
  <c r="AO750" i="33"/>
  <c r="AO751" i="33"/>
  <c r="AO752" i="33"/>
  <c r="AO753" i="33"/>
  <c r="AO754" i="33"/>
  <c r="AO755" i="33"/>
  <c r="AO756" i="33"/>
  <c r="AO757" i="33"/>
  <c r="AO758" i="33"/>
  <c r="AO759" i="33"/>
  <c r="AO760" i="33"/>
  <c r="AO761" i="33"/>
  <c r="AO762" i="33"/>
  <c r="AO763" i="33"/>
  <c r="AO764" i="33"/>
  <c r="AO765" i="33"/>
  <c r="AO766" i="33"/>
  <c r="AO767" i="33"/>
  <c r="AO768" i="33"/>
  <c r="AO769" i="33"/>
  <c r="AO770" i="33"/>
  <c r="AO771" i="33"/>
  <c r="AO772" i="33"/>
  <c r="AO773" i="33"/>
  <c r="AO774" i="33"/>
  <c r="AO775" i="33"/>
  <c r="AO776" i="33"/>
  <c r="AO777" i="33"/>
  <c r="AO778" i="33"/>
  <c r="AO779" i="33"/>
  <c r="AO780" i="33"/>
  <c r="AO781" i="33"/>
  <c r="AO782" i="33"/>
  <c r="AO783" i="33"/>
  <c r="AO784" i="33"/>
  <c r="AO785" i="33"/>
  <c r="AO786" i="33"/>
  <c r="AO787" i="33"/>
  <c r="AO788" i="33"/>
  <c r="AO789" i="33"/>
  <c r="AO790" i="33"/>
  <c r="AO791" i="33"/>
  <c r="AO792" i="33"/>
  <c r="AO793" i="33"/>
  <c r="AO794" i="33"/>
  <c r="AO795" i="33"/>
  <c r="AO796" i="33"/>
  <c r="AO797" i="33"/>
  <c r="AO798" i="33"/>
  <c r="AO799" i="33"/>
  <c r="AO800" i="33"/>
  <c r="AO801" i="33"/>
  <c r="AO802" i="33"/>
  <c r="AO803" i="33"/>
  <c r="AO804" i="33"/>
  <c r="AO805" i="33"/>
  <c r="AO806" i="33"/>
  <c r="AO807" i="33"/>
  <c r="AO808" i="33"/>
  <c r="AO809" i="33"/>
  <c r="AO810" i="33"/>
  <c r="AO811" i="33"/>
  <c r="AO812" i="33"/>
  <c r="AO813" i="33"/>
  <c r="AO814" i="33"/>
  <c r="AO815" i="33"/>
  <c r="AO816" i="33"/>
  <c r="AO817" i="33"/>
  <c r="AO818" i="33"/>
  <c r="AO819" i="33"/>
  <c r="AO820" i="33"/>
  <c r="AO821" i="33"/>
  <c r="AO822" i="33"/>
  <c r="AO823" i="33"/>
  <c r="AO824" i="33"/>
  <c r="AO825" i="33"/>
  <c r="AO826" i="33"/>
  <c r="AO827" i="33"/>
  <c r="AO828" i="33"/>
  <c r="AO829" i="33"/>
  <c r="AO830" i="33"/>
  <c r="AO831" i="33"/>
  <c r="AO832" i="33"/>
  <c r="AO833" i="33"/>
  <c r="AO834" i="33"/>
  <c r="AO835" i="33"/>
  <c r="AO836" i="33"/>
  <c r="AO837" i="33"/>
  <c r="AO838" i="33"/>
  <c r="AO839" i="33"/>
  <c r="AO840" i="33"/>
  <c r="AO841" i="33"/>
  <c r="AO842" i="33"/>
  <c r="AO843" i="33"/>
  <c r="AO844" i="33"/>
  <c r="AO845" i="33"/>
  <c r="AO846" i="33"/>
  <c r="AO847" i="33"/>
  <c r="AO848" i="33"/>
  <c r="AO849" i="33"/>
  <c r="AO850" i="33"/>
  <c r="AO851" i="33"/>
  <c r="AO852" i="33"/>
  <c r="AO853" i="33"/>
  <c r="AO854" i="33"/>
  <c r="AO855" i="33"/>
  <c r="AO856" i="33"/>
  <c r="AO857" i="33"/>
  <c r="AO858" i="33"/>
  <c r="AO859" i="33"/>
  <c r="AO860" i="33"/>
  <c r="AO861" i="33"/>
  <c r="AO862" i="33"/>
  <c r="AO863" i="33"/>
  <c r="AO864" i="33"/>
  <c r="AO865" i="33"/>
  <c r="AO866" i="33"/>
  <c r="AO867" i="33"/>
  <c r="AO868" i="33"/>
  <c r="AO869" i="33"/>
  <c r="AO870" i="33"/>
  <c r="AO871" i="33"/>
  <c r="AO872" i="33"/>
  <c r="AO873" i="33"/>
  <c r="AO874" i="33"/>
  <c r="AO875" i="33"/>
  <c r="AO876" i="33"/>
  <c r="AO877" i="33"/>
  <c r="AO878" i="33"/>
  <c r="AO879" i="33"/>
  <c r="AO880" i="33"/>
  <c r="AO881" i="33"/>
  <c r="AO882" i="33"/>
  <c r="AO883" i="33"/>
  <c r="AO884" i="33"/>
  <c r="AO885" i="33"/>
  <c r="AO886" i="33"/>
  <c r="AO887" i="33"/>
  <c r="AO888" i="33"/>
  <c r="AO889" i="33"/>
  <c r="AO890" i="33"/>
  <c r="AO891" i="33"/>
  <c r="AO892" i="33"/>
  <c r="AO893" i="33"/>
  <c r="AO894" i="33"/>
  <c r="AO895" i="33"/>
  <c r="AO896" i="33"/>
  <c r="AO897" i="33"/>
  <c r="AO898" i="33"/>
  <c r="AO899" i="33"/>
  <c r="AO900" i="33"/>
  <c r="AO901" i="33"/>
  <c r="AO902" i="33"/>
  <c r="AO903" i="33"/>
  <c r="AO904" i="33"/>
  <c r="AO905" i="33"/>
  <c r="AO906" i="33"/>
  <c r="AO907" i="33"/>
  <c r="AO908" i="33"/>
  <c r="AO909" i="33"/>
  <c r="AO910" i="33"/>
  <c r="AO911" i="33"/>
  <c r="AO912" i="33"/>
  <c r="AO913" i="33"/>
  <c r="AO914" i="33"/>
  <c r="AO915" i="33"/>
  <c r="AO916" i="33"/>
  <c r="AO917" i="33"/>
  <c r="AO918" i="33"/>
  <c r="AO919" i="33"/>
  <c r="AO920" i="33"/>
  <c r="AO921" i="33"/>
  <c r="AO922" i="33"/>
  <c r="AO923" i="33"/>
  <c r="AO924" i="33"/>
  <c r="AO925" i="33"/>
  <c r="AO926" i="33"/>
  <c r="AO927" i="33"/>
  <c r="AO928" i="33"/>
  <c r="AO929" i="33"/>
  <c r="AO930" i="33"/>
  <c r="AO931" i="33"/>
  <c r="AO932" i="33"/>
  <c r="AO933" i="33"/>
  <c r="AO934" i="33"/>
  <c r="AO935" i="33"/>
  <c r="AO936" i="33"/>
  <c r="AO937" i="33"/>
  <c r="AO938" i="33"/>
  <c r="AO939" i="33"/>
  <c r="AO940" i="33"/>
  <c r="AO941" i="33"/>
  <c r="AO942" i="33"/>
  <c r="AO943" i="33"/>
  <c r="AO944" i="33"/>
  <c r="AO945" i="33"/>
  <c r="AO946" i="33"/>
  <c r="AO947" i="33"/>
  <c r="AO948" i="33"/>
  <c r="AO949" i="33"/>
  <c r="AO950" i="33"/>
  <c r="AO951" i="33"/>
  <c r="AO952" i="33"/>
  <c r="AO953" i="33"/>
  <c r="AO954" i="33"/>
  <c r="AO955" i="33"/>
  <c r="AO956" i="33"/>
  <c r="AO957" i="33"/>
  <c r="AO958" i="33"/>
  <c r="AO959" i="33"/>
  <c r="AO960" i="33"/>
  <c r="AO961" i="33"/>
  <c r="AO962" i="33"/>
  <c r="AO963" i="33"/>
  <c r="AO964" i="33"/>
  <c r="AO965" i="33"/>
  <c r="AO966" i="33"/>
  <c r="AO967" i="33"/>
  <c r="AO968" i="33"/>
  <c r="AO969" i="33"/>
  <c r="AO970" i="33"/>
  <c r="AO971" i="33"/>
  <c r="AO972" i="33"/>
  <c r="AO973" i="33"/>
  <c r="AO974" i="33"/>
  <c r="AO975" i="33"/>
  <c r="AO976" i="33"/>
  <c r="AO977" i="33"/>
  <c r="AO978" i="33"/>
  <c r="AO979" i="33"/>
  <c r="AO980" i="33"/>
  <c r="AO981" i="33"/>
  <c r="AO982" i="33"/>
  <c r="AO983" i="33"/>
  <c r="AO984" i="33"/>
  <c r="AO985" i="33"/>
  <c r="AO986" i="33"/>
  <c r="AO987" i="33"/>
  <c r="AO988" i="33"/>
  <c r="AO989" i="33"/>
  <c r="AO990" i="33"/>
  <c r="AO991" i="33"/>
  <c r="AO992" i="33"/>
  <c r="AO993" i="33"/>
  <c r="AO994" i="33"/>
  <c r="AO995" i="33"/>
  <c r="AO996" i="33"/>
  <c r="AO997" i="33"/>
  <c r="AO998" i="33"/>
  <c r="AO999" i="33"/>
  <c r="AO1000" i="33"/>
  <c r="AO1001" i="33"/>
  <c r="AO1002" i="33"/>
  <c r="AO1003" i="33"/>
  <c r="AO1004" i="33"/>
  <c r="AL141" i="33"/>
  <c r="AL142" i="33"/>
  <c r="AL143" i="33"/>
  <c r="AL144" i="33"/>
  <c r="AL145" i="33"/>
  <c r="AL146" i="33"/>
  <c r="AL147" i="33"/>
  <c r="AL148" i="33"/>
  <c r="AL149" i="33"/>
  <c r="AL150" i="33"/>
  <c r="AL151" i="33"/>
  <c r="AL152" i="33"/>
  <c r="AL153" i="33"/>
  <c r="AL154" i="33"/>
  <c r="AL155" i="33"/>
  <c r="AL156" i="33"/>
  <c r="AL157" i="33"/>
  <c r="AL158" i="33"/>
  <c r="AL159" i="33"/>
  <c r="AL160" i="33"/>
  <c r="AL161" i="33"/>
  <c r="AL162" i="33"/>
  <c r="AL163" i="33"/>
  <c r="AL164" i="33"/>
  <c r="AL165" i="33"/>
  <c r="AL166" i="33"/>
  <c r="AL167" i="33"/>
  <c r="AL168" i="33"/>
  <c r="AL169" i="33"/>
  <c r="AL170" i="33"/>
  <c r="AL171" i="33"/>
  <c r="AL172" i="33"/>
  <c r="AL173" i="33"/>
  <c r="AL174" i="33"/>
  <c r="AL175" i="33"/>
  <c r="AL176" i="33"/>
  <c r="AL177" i="33"/>
  <c r="AL178" i="33"/>
  <c r="AL179" i="33"/>
  <c r="AL180" i="33"/>
  <c r="AL181" i="33"/>
  <c r="AL182" i="33"/>
  <c r="AL183" i="33"/>
  <c r="AL184" i="33"/>
  <c r="AL185" i="33"/>
  <c r="AL186" i="33"/>
  <c r="AL187" i="33"/>
  <c r="AL188" i="33"/>
  <c r="AL189" i="33"/>
  <c r="AL190" i="33"/>
  <c r="AL191" i="33"/>
  <c r="AL192" i="33"/>
  <c r="AL193" i="33"/>
  <c r="AL194" i="33"/>
  <c r="AL195" i="33"/>
  <c r="AL196" i="33"/>
  <c r="AL197" i="33"/>
  <c r="AL198" i="33"/>
  <c r="AL199" i="33"/>
  <c r="AL200" i="33"/>
  <c r="AL201" i="33"/>
  <c r="AL202" i="33"/>
  <c r="AL203" i="33"/>
  <c r="AL204" i="33"/>
  <c r="AL205" i="33"/>
  <c r="AL206" i="33"/>
  <c r="AL207" i="33"/>
  <c r="AL208" i="33"/>
  <c r="AL209" i="33"/>
  <c r="AL210" i="33"/>
  <c r="AL211" i="33"/>
  <c r="AL212" i="33"/>
  <c r="AL213" i="33"/>
  <c r="AL214" i="33"/>
  <c r="AL215" i="33"/>
  <c r="AL216" i="33"/>
  <c r="AL217" i="33"/>
  <c r="AL218" i="33"/>
  <c r="AL219" i="33"/>
  <c r="AL220" i="33"/>
  <c r="AL221" i="33"/>
  <c r="AL222" i="33"/>
  <c r="AL223" i="33"/>
  <c r="AL224" i="33"/>
  <c r="AL225" i="33"/>
  <c r="AL226" i="33"/>
  <c r="AL227" i="33"/>
  <c r="AL228" i="33"/>
  <c r="AL229" i="33"/>
  <c r="AL230" i="33"/>
  <c r="AL231" i="33"/>
  <c r="AL232" i="33"/>
  <c r="AL233" i="33"/>
  <c r="AL234" i="33"/>
  <c r="AL235" i="33"/>
  <c r="AL236" i="33"/>
  <c r="AL237" i="33"/>
  <c r="AL238" i="33"/>
  <c r="AL239" i="33"/>
  <c r="AL240" i="33"/>
  <c r="AL241" i="33"/>
  <c r="AL242" i="33"/>
  <c r="AL243" i="33"/>
  <c r="AL244" i="33"/>
  <c r="AL245" i="33"/>
  <c r="AL246" i="33"/>
  <c r="AL247" i="33"/>
  <c r="AL248" i="33"/>
  <c r="AL249" i="33"/>
  <c r="AL250" i="33"/>
  <c r="AL251" i="33"/>
  <c r="AL252" i="33"/>
  <c r="AL253" i="33"/>
  <c r="AL254" i="33"/>
  <c r="AL255" i="33"/>
  <c r="AL256" i="33"/>
  <c r="AL257" i="33"/>
  <c r="AL258" i="33"/>
  <c r="AL259" i="33"/>
  <c r="AL260" i="33"/>
  <c r="AL261" i="33"/>
  <c r="AL262" i="33"/>
  <c r="AL263" i="33"/>
  <c r="AL264" i="33"/>
  <c r="AL265" i="33"/>
  <c r="AL266" i="33"/>
  <c r="AL267" i="33"/>
  <c r="AL268" i="33"/>
  <c r="AL269" i="33"/>
  <c r="AL270" i="33"/>
  <c r="AL271" i="33"/>
  <c r="AL272" i="33"/>
  <c r="AL273" i="33"/>
  <c r="AL274" i="33"/>
  <c r="AL275" i="33"/>
  <c r="AL276" i="33"/>
  <c r="AL277" i="33"/>
  <c r="AL278" i="33"/>
  <c r="AL279" i="33"/>
  <c r="AL280" i="33"/>
  <c r="AL281" i="33"/>
  <c r="AL282" i="33"/>
  <c r="AL283" i="33"/>
  <c r="AL284" i="33"/>
  <c r="AL285" i="33"/>
  <c r="AL286" i="33"/>
  <c r="AL287" i="33"/>
  <c r="AL288" i="33"/>
  <c r="AL289" i="33"/>
  <c r="AL290" i="33"/>
  <c r="AL291" i="33"/>
  <c r="AL292" i="33"/>
  <c r="AL293" i="33"/>
  <c r="AL294" i="33"/>
  <c r="AL295" i="33"/>
  <c r="AL296" i="33"/>
  <c r="AL297" i="33"/>
  <c r="AL298" i="33"/>
  <c r="AL299" i="33"/>
  <c r="AL300" i="33"/>
  <c r="AL301" i="33"/>
  <c r="AL302" i="33"/>
  <c r="AL303" i="33"/>
  <c r="AL304" i="33"/>
  <c r="AL305" i="33"/>
  <c r="AL306" i="33"/>
  <c r="AL307" i="33"/>
  <c r="AL308" i="33"/>
  <c r="AL309" i="33"/>
  <c r="AL310" i="33"/>
  <c r="AL311" i="33"/>
  <c r="AL312" i="33"/>
  <c r="AL313" i="33"/>
  <c r="AL314" i="33"/>
  <c r="AL315" i="33"/>
  <c r="AL316" i="33"/>
  <c r="AL317" i="33"/>
  <c r="AL318" i="33"/>
  <c r="AL319" i="33"/>
  <c r="AL320" i="33"/>
  <c r="AL321" i="33"/>
  <c r="AL322" i="33"/>
  <c r="AL323" i="33"/>
  <c r="AL324" i="33"/>
  <c r="AL325" i="33"/>
  <c r="AL326" i="33"/>
  <c r="AL327" i="33"/>
  <c r="AL328" i="33"/>
  <c r="AL329" i="33"/>
  <c r="AL330" i="33"/>
  <c r="AL331" i="33"/>
  <c r="AL332" i="33"/>
  <c r="AL333" i="33"/>
  <c r="AL334" i="33"/>
  <c r="AL335" i="33"/>
  <c r="AL336" i="33"/>
  <c r="AL337" i="33"/>
  <c r="AL338" i="33"/>
  <c r="AL339" i="33"/>
  <c r="AL340" i="33"/>
  <c r="AL341" i="33"/>
  <c r="AL342" i="33"/>
  <c r="AL343" i="33"/>
  <c r="AL344" i="33"/>
  <c r="AL345" i="33"/>
  <c r="AL346" i="33"/>
  <c r="AL347" i="33"/>
  <c r="AL348" i="33"/>
  <c r="AL349" i="33"/>
  <c r="AL350" i="33"/>
  <c r="AL351" i="33"/>
  <c r="AL352" i="33"/>
  <c r="AL353" i="33"/>
  <c r="AL354" i="33"/>
  <c r="AL355" i="33"/>
  <c r="AL356" i="33"/>
  <c r="AL357" i="33"/>
  <c r="AL358" i="33"/>
  <c r="AL359" i="33"/>
  <c r="AL360" i="33"/>
  <c r="AL361" i="33"/>
  <c r="AL362" i="33"/>
  <c r="AL363" i="33"/>
  <c r="AL364" i="33"/>
  <c r="AL365" i="33"/>
  <c r="AL366" i="33"/>
  <c r="AL367" i="33"/>
  <c r="AL368" i="33"/>
  <c r="AL369" i="33"/>
  <c r="AL370" i="33"/>
  <c r="AL371" i="33"/>
  <c r="AL372" i="33"/>
  <c r="AL373" i="33"/>
  <c r="AL374" i="33"/>
  <c r="AL375" i="33"/>
  <c r="AL376" i="33"/>
  <c r="AL377" i="33"/>
  <c r="AL378" i="33"/>
  <c r="AL379" i="33"/>
  <c r="AL380" i="33"/>
  <c r="AL381" i="33"/>
  <c r="AL382" i="33"/>
  <c r="AL383" i="33"/>
  <c r="AL384" i="33"/>
  <c r="AL385" i="33"/>
  <c r="AL386" i="33"/>
  <c r="AL387" i="33"/>
  <c r="AL388" i="33"/>
  <c r="AL389" i="33"/>
  <c r="AL390" i="33"/>
  <c r="AL391" i="33"/>
  <c r="AL392" i="33"/>
  <c r="AL393" i="33"/>
  <c r="AL394" i="33"/>
  <c r="AL395" i="33"/>
  <c r="AL396" i="33"/>
  <c r="AL397" i="33"/>
  <c r="AL398" i="33"/>
  <c r="AL399" i="33"/>
  <c r="AL400" i="33"/>
  <c r="AL401" i="33"/>
  <c r="AL402" i="33"/>
  <c r="AL403" i="33"/>
  <c r="AL404" i="33"/>
  <c r="AL405" i="33"/>
  <c r="AL406" i="33"/>
  <c r="AL407" i="33"/>
  <c r="AL408" i="33"/>
  <c r="AL409" i="33"/>
  <c r="AL410" i="33"/>
  <c r="AL411" i="33"/>
  <c r="AL412" i="33"/>
  <c r="AL413" i="33"/>
  <c r="AL414" i="33"/>
  <c r="AL415" i="33"/>
  <c r="AL416" i="33"/>
  <c r="AL417" i="33"/>
  <c r="AL418" i="33"/>
  <c r="AL419" i="33"/>
  <c r="AL420" i="33"/>
  <c r="AL421" i="33"/>
  <c r="AL422" i="33"/>
  <c r="AL423" i="33"/>
  <c r="AL424" i="33"/>
  <c r="AL425" i="33"/>
  <c r="AL426" i="33"/>
  <c r="AL427" i="33"/>
  <c r="AL428" i="33"/>
  <c r="AL429" i="33"/>
  <c r="AL430" i="33"/>
  <c r="AL431" i="33"/>
  <c r="AL432" i="33"/>
  <c r="AL433" i="33"/>
  <c r="AL434" i="33"/>
  <c r="AL435" i="33"/>
  <c r="AL436" i="33"/>
  <c r="AL437" i="33"/>
  <c r="AL438" i="33"/>
  <c r="AL439" i="33"/>
  <c r="AL440" i="33"/>
  <c r="AL441" i="33"/>
  <c r="AL442" i="33"/>
  <c r="AL443" i="33"/>
  <c r="AL444" i="33"/>
  <c r="AL445" i="33"/>
  <c r="AL446" i="33"/>
  <c r="AL447" i="33"/>
  <c r="AL448" i="33"/>
  <c r="AL449" i="33"/>
  <c r="AL450" i="33"/>
  <c r="AL451" i="33"/>
  <c r="AL452" i="33"/>
  <c r="AL453" i="33"/>
  <c r="AL454" i="33"/>
  <c r="AL455" i="33"/>
  <c r="AL456" i="33"/>
  <c r="AL457" i="33"/>
  <c r="AL458" i="33"/>
  <c r="AL459" i="33"/>
  <c r="AL460" i="33"/>
  <c r="AL461" i="33"/>
  <c r="AL462" i="33"/>
  <c r="AL463" i="33"/>
  <c r="AL464" i="33"/>
  <c r="AL465" i="33"/>
  <c r="AL466" i="33"/>
  <c r="AL467" i="33"/>
  <c r="AL468" i="33"/>
  <c r="AL469" i="33"/>
  <c r="AL470" i="33"/>
  <c r="AL471" i="33"/>
  <c r="AL472" i="33"/>
  <c r="AL473" i="33"/>
  <c r="AL474" i="33"/>
  <c r="AL475" i="33"/>
  <c r="AL476" i="33"/>
  <c r="AL477" i="33"/>
  <c r="AL478" i="33"/>
  <c r="AL479" i="33"/>
  <c r="AL480" i="33"/>
  <c r="AL481" i="33"/>
  <c r="AL482" i="33"/>
  <c r="AL483" i="33"/>
  <c r="AL484" i="33"/>
  <c r="AL485" i="33"/>
  <c r="AL486" i="33"/>
  <c r="AL487" i="33"/>
  <c r="AL488" i="33"/>
  <c r="AL489" i="33"/>
  <c r="AL490" i="33"/>
  <c r="AL491" i="33"/>
  <c r="AL492" i="33"/>
  <c r="AL493" i="33"/>
  <c r="AL494" i="33"/>
  <c r="AL495" i="33"/>
  <c r="AL496" i="33"/>
  <c r="AL497" i="33"/>
  <c r="AL498" i="33"/>
  <c r="AL499" i="33"/>
  <c r="AL500" i="33"/>
  <c r="AL501" i="33"/>
  <c r="AL502" i="33"/>
  <c r="AL503" i="33"/>
  <c r="AL504" i="33"/>
  <c r="AL505" i="33"/>
  <c r="AL506" i="33"/>
  <c r="AL507" i="33"/>
  <c r="AL508" i="33"/>
  <c r="AL509" i="33"/>
  <c r="AL510" i="33"/>
  <c r="AL511" i="33"/>
  <c r="AL512" i="33"/>
  <c r="AL513" i="33"/>
  <c r="AL514" i="33"/>
  <c r="AL515" i="33"/>
  <c r="AL516" i="33"/>
  <c r="AL517" i="33"/>
  <c r="AL518" i="33"/>
  <c r="AL519" i="33"/>
  <c r="AL520" i="33"/>
  <c r="AL521" i="33"/>
  <c r="AL522" i="33"/>
  <c r="AL523" i="33"/>
  <c r="AL524" i="33"/>
  <c r="AL525" i="33"/>
  <c r="AL526" i="33"/>
  <c r="AL527" i="33"/>
  <c r="AL528" i="33"/>
  <c r="AL529" i="33"/>
  <c r="AL530" i="33"/>
  <c r="AL531" i="33"/>
  <c r="AL532" i="33"/>
  <c r="AL533" i="33"/>
  <c r="AL534" i="33"/>
  <c r="AL535" i="33"/>
  <c r="AL536" i="33"/>
  <c r="AL537" i="33"/>
  <c r="AL538" i="33"/>
  <c r="AL539" i="33"/>
  <c r="AL540" i="33"/>
  <c r="AL541" i="33"/>
  <c r="AL542" i="33"/>
  <c r="AL543" i="33"/>
  <c r="AL544" i="33"/>
  <c r="AL545" i="33"/>
  <c r="AL546" i="33"/>
  <c r="AL547" i="33"/>
  <c r="AL548" i="33"/>
  <c r="AL549" i="33"/>
  <c r="AL550" i="33"/>
  <c r="AL551" i="33"/>
  <c r="AL552" i="33"/>
  <c r="AL553" i="33"/>
  <c r="AL554" i="33"/>
  <c r="AL555" i="33"/>
  <c r="AL556" i="33"/>
  <c r="AL557" i="33"/>
  <c r="AL558" i="33"/>
  <c r="AL559" i="33"/>
  <c r="AL560" i="33"/>
  <c r="AL561" i="33"/>
  <c r="AL562" i="33"/>
  <c r="AL563" i="33"/>
  <c r="AL564" i="33"/>
  <c r="AL565" i="33"/>
  <c r="AL566" i="33"/>
  <c r="AL567" i="33"/>
  <c r="AL568" i="33"/>
  <c r="AL569" i="33"/>
  <c r="AL570" i="33"/>
  <c r="AL571" i="33"/>
  <c r="AL572" i="33"/>
  <c r="AL573" i="33"/>
  <c r="AL574" i="33"/>
  <c r="AL575" i="33"/>
  <c r="AL576" i="33"/>
  <c r="AL577" i="33"/>
  <c r="AL578" i="33"/>
  <c r="AL579" i="33"/>
  <c r="AL580" i="33"/>
  <c r="AL581" i="33"/>
  <c r="AL582" i="33"/>
  <c r="AL583" i="33"/>
  <c r="AL584" i="33"/>
  <c r="AL585" i="33"/>
  <c r="AL586" i="33"/>
  <c r="AL587" i="33"/>
  <c r="AL588" i="33"/>
  <c r="AL589" i="33"/>
  <c r="AL590" i="33"/>
  <c r="AL591" i="33"/>
  <c r="AL592" i="33"/>
  <c r="AL593" i="33"/>
  <c r="AL594" i="33"/>
  <c r="AL595" i="33"/>
  <c r="AL596" i="33"/>
  <c r="AL597" i="33"/>
  <c r="AL598" i="33"/>
  <c r="AL599" i="33"/>
  <c r="AL600" i="33"/>
  <c r="AL601" i="33"/>
  <c r="AL602" i="33"/>
  <c r="AL603" i="33"/>
  <c r="AL604" i="33"/>
  <c r="AL605" i="33"/>
  <c r="AL606" i="33"/>
  <c r="AL607" i="33"/>
  <c r="AL608" i="33"/>
  <c r="AL609" i="33"/>
  <c r="AL610" i="33"/>
  <c r="AL611" i="33"/>
  <c r="AL612" i="33"/>
  <c r="AL613" i="33"/>
  <c r="AL614" i="33"/>
  <c r="AL615" i="33"/>
  <c r="AL616" i="33"/>
  <c r="AL617" i="33"/>
  <c r="AL618" i="33"/>
  <c r="AL619" i="33"/>
  <c r="AL620" i="33"/>
  <c r="AL621" i="33"/>
  <c r="AL622" i="33"/>
  <c r="AL623" i="33"/>
  <c r="AL624" i="33"/>
  <c r="AL625" i="33"/>
  <c r="AL626" i="33"/>
  <c r="AL627" i="33"/>
  <c r="AL628" i="33"/>
  <c r="AL629" i="33"/>
  <c r="AL630" i="33"/>
  <c r="AL631" i="33"/>
  <c r="AL632" i="33"/>
  <c r="AL633" i="33"/>
  <c r="AL634" i="33"/>
  <c r="AL635" i="33"/>
  <c r="AL636" i="33"/>
  <c r="AL637" i="33"/>
  <c r="AL638" i="33"/>
  <c r="AL639" i="33"/>
  <c r="AL640" i="33"/>
  <c r="AL641" i="33"/>
  <c r="AL642" i="33"/>
  <c r="AL643" i="33"/>
  <c r="AL644" i="33"/>
  <c r="AL645" i="33"/>
  <c r="AL646" i="33"/>
  <c r="AL647" i="33"/>
  <c r="AL648" i="33"/>
  <c r="AL649" i="33"/>
  <c r="AL650" i="33"/>
  <c r="AL651" i="33"/>
  <c r="AL652" i="33"/>
  <c r="AL653" i="33"/>
  <c r="AL654" i="33"/>
  <c r="AL655" i="33"/>
  <c r="AL656" i="33"/>
  <c r="AL657" i="33"/>
  <c r="AL658" i="33"/>
  <c r="AL659" i="33"/>
  <c r="AL660" i="33"/>
  <c r="AL661" i="33"/>
  <c r="AL662" i="33"/>
  <c r="AL663" i="33"/>
  <c r="AL664" i="33"/>
  <c r="AL665" i="33"/>
  <c r="AL666" i="33"/>
  <c r="AL667" i="33"/>
  <c r="AL668" i="33"/>
  <c r="AL669" i="33"/>
  <c r="AL670" i="33"/>
  <c r="AL671" i="33"/>
  <c r="AL672" i="33"/>
  <c r="AL673" i="33"/>
  <c r="AL674" i="33"/>
  <c r="AL675" i="33"/>
  <c r="AL676" i="33"/>
  <c r="AL677" i="33"/>
  <c r="AL678" i="33"/>
  <c r="AL679" i="33"/>
  <c r="AL680" i="33"/>
  <c r="AL681" i="33"/>
  <c r="AL682" i="33"/>
  <c r="AL683" i="33"/>
  <c r="AL684" i="33"/>
  <c r="AL685" i="33"/>
  <c r="AL686" i="33"/>
  <c r="AL687" i="33"/>
  <c r="AL688" i="33"/>
  <c r="AL689" i="33"/>
  <c r="AL690" i="33"/>
  <c r="AL691" i="33"/>
  <c r="AL692" i="33"/>
  <c r="AL693" i="33"/>
  <c r="AL694" i="33"/>
  <c r="AL695" i="33"/>
  <c r="AL696" i="33"/>
  <c r="AL697" i="33"/>
  <c r="AL698" i="33"/>
  <c r="AL699" i="33"/>
  <c r="AL700" i="33"/>
  <c r="AL701" i="33"/>
  <c r="AL702" i="33"/>
  <c r="AL703" i="33"/>
  <c r="AL704" i="33"/>
  <c r="AL705" i="33"/>
  <c r="AL706" i="33"/>
  <c r="AL707" i="33"/>
  <c r="AL708" i="33"/>
  <c r="AL709" i="33"/>
  <c r="AL710" i="33"/>
  <c r="AL711" i="33"/>
  <c r="AL712" i="33"/>
  <c r="AL713" i="33"/>
  <c r="AL714" i="33"/>
  <c r="AL715" i="33"/>
  <c r="AL716" i="33"/>
  <c r="AL717" i="33"/>
  <c r="AL718" i="33"/>
  <c r="AL719" i="33"/>
  <c r="AL720" i="33"/>
  <c r="AL721" i="33"/>
  <c r="AL722" i="33"/>
  <c r="AL723" i="33"/>
  <c r="AL724" i="33"/>
  <c r="AL725" i="33"/>
  <c r="AL726" i="33"/>
  <c r="AL727" i="33"/>
  <c r="AL728" i="33"/>
  <c r="AL729" i="33"/>
  <c r="AL730" i="33"/>
  <c r="AL731" i="33"/>
  <c r="AL732" i="33"/>
  <c r="AL733" i="33"/>
  <c r="AL734" i="33"/>
  <c r="AL735" i="33"/>
  <c r="AL736" i="33"/>
  <c r="AL737" i="33"/>
  <c r="AL738" i="33"/>
  <c r="AL739" i="33"/>
  <c r="AL740" i="33"/>
  <c r="AL741" i="33"/>
  <c r="AL742" i="33"/>
  <c r="AL743" i="33"/>
  <c r="AL744" i="33"/>
  <c r="AL745" i="33"/>
  <c r="AL746" i="33"/>
  <c r="AL747" i="33"/>
  <c r="AL748" i="33"/>
  <c r="AL749" i="33"/>
  <c r="AL750" i="33"/>
  <c r="AL751" i="33"/>
  <c r="AL752" i="33"/>
  <c r="AL753" i="33"/>
  <c r="AL754" i="33"/>
  <c r="AL755" i="33"/>
  <c r="AL756" i="33"/>
  <c r="AL757" i="33"/>
  <c r="AL758" i="33"/>
  <c r="AL759" i="33"/>
  <c r="AL760" i="33"/>
  <c r="AL761" i="33"/>
  <c r="AL762" i="33"/>
  <c r="AL763" i="33"/>
  <c r="AL764" i="33"/>
  <c r="AL765" i="33"/>
  <c r="AL766" i="33"/>
  <c r="AL767" i="33"/>
  <c r="AL768" i="33"/>
  <c r="AL769" i="33"/>
  <c r="AL770" i="33"/>
  <c r="AL771" i="33"/>
  <c r="AL772" i="33"/>
  <c r="AL773" i="33"/>
  <c r="AL774" i="33"/>
  <c r="AL775" i="33"/>
  <c r="AL776" i="33"/>
  <c r="AL777" i="33"/>
  <c r="AL778" i="33"/>
  <c r="AL779" i="33"/>
  <c r="AL780" i="33"/>
  <c r="AL781" i="33"/>
  <c r="AL782" i="33"/>
  <c r="AL783" i="33"/>
  <c r="AL784" i="33"/>
  <c r="AL785" i="33"/>
  <c r="AL786" i="33"/>
  <c r="AL787" i="33"/>
  <c r="AL788" i="33"/>
  <c r="AL789" i="33"/>
  <c r="AL790" i="33"/>
  <c r="AL791" i="33"/>
  <c r="AL792" i="33"/>
  <c r="AL793" i="33"/>
  <c r="AL794" i="33"/>
  <c r="AL795" i="33"/>
  <c r="AL796" i="33"/>
  <c r="AL797" i="33"/>
  <c r="AL798" i="33"/>
  <c r="AL799" i="33"/>
  <c r="AL800" i="33"/>
  <c r="AL801" i="33"/>
  <c r="AL802" i="33"/>
  <c r="AL803" i="33"/>
  <c r="AL804" i="33"/>
  <c r="AL805" i="33"/>
  <c r="AL806" i="33"/>
  <c r="AL807" i="33"/>
  <c r="AL808" i="33"/>
  <c r="AL809" i="33"/>
  <c r="AL810" i="33"/>
  <c r="AL811" i="33"/>
  <c r="AL812" i="33"/>
  <c r="AL813" i="33"/>
  <c r="AL814" i="33"/>
  <c r="AL815" i="33"/>
  <c r="AL816" i="33"/>
  <c r="AL817" i="33"/>
  <c r="AL818" i="33"/>
  <c r="AL819" i="33"/>
  <c r="AL820" i="33"/>
  <c r="AL821" i="33"/>
  <c r="AL822" i="33"/>
  <c r="AL823" i="33"/>
  <c r="AL824" i="33"/>
  <c r="AL825" i="33"/>
  <c r="AL826" i="33"/>
  <c r="AL827" i="33"/>
  <c r="AL828" i="33"/>
  <c r="AL829" i="33"/>
  <c r="AL830" i="33"/>
  <c r="AL831" i="33"/>
  <c r="AL832" i="33"/>
  <c r="AL833" i="33"/>
  <c r="AL834" i="33"/>
  <c r="AL835" i="33"/>
  <c r="AL836" i="33"/>
  <c r="AL837" i="33"/>
  <c r="AL838" i="33"/>
  <c r="AL839" i="33"/>
  <c r="AL840" i="33"/>
  <c r="AL841" i="33"/>
  <c r="AL842" i="33"/>
  <c r="AL843" i="33"/>
  <c r="AL844" i="33"/>
  <c r="AL845" i="33"/>
  <c r="AL846" i="33"/>
  <c r="AL847" i="33"/>
  <c r="AL848" i="33"/>
  <c r="AL849" i="33"/>
  <c r="AL850" i="33"/>
  <c r="AL851" i="33"/>
  <c r="AL852" i="33"/>
  <c r="AL853" i="33"/>
  <c r="AL854" i="33"/>
  <c r="AL855" i="33"/>
  <c r="AL856" i="33"/>
  <c r="AL857" i="33"/>
  <c r="AL858" i="33"/>
  <c r="AL859" i="33"/>
  <c r="AL860" i="33"/>
  <c r="AL861" i="33"/>
  <c r="AL862" i="33"/>
  <c r="AL863" i="33"/>
  <c r="AL864" i="33"/>
  <c r="AL865" i="33"/>
  <c r="AL866" i="33"/>
  <c r="AL867" i="33"/>
  <c r="AL868" i="33"/>
  <c r="AL869" i="33"/>
  <c r="AL870" i="33"/>
  <c r="AL871" i="33"/>
  <c r="AL872" i="33"/>
  <c r="AL873" i="33"/>
  <c r="AL874" i="33"/>
  <c r="AL875" i="33"/>
  <c r="AL876" i="33"/>
  <c r="AL877" i="33"/>
  <c r="AL878" i="33"/>
  <c r="AL879" i="33"/>
  <c r="AL880" i="33"/>
  <c r="AL881" i="33"/>
  <c r="AL882" i="33"/>
  <c r="AL883" i="33"/>
  <c r="AL884" i="33"/>
  <c r="AL885" i="33"/>
  <c r="AL886" i="33"/>
  <c r="AL887" i="33"/>
  <c r="AL888" i="33"/>
  <c r="AL889" i="33"/>
  <c r="AL890" i="33"/>
  <c r="AL891" i="33"/>
  <c r="AL892" i="33"/>
  <c r="AL893" i="33"/>
  <c r="AL894" i="33"/>
  <c r="AL895" i="33"/>
  <c r="AL896" i="33"/>
  <c r="AL897" i="33"/>
  <c r="AL898" i="33"/>
  <c r="AL899" i="33"/>
  <c r="AL900" i="33"/>
  <c r="AL901" i="33"/>
  <c r="AL902" i="33"/>
  <c r="AL903" i="33"/>
  <c r="AL904" i="33"/>
  <c r="AL905" i="33"/>
  <c r="AL906" i="33"/>
  <c r="AL907" i="33"/>
  <c r="AL908" i="33"/>
  <c r="AL909" i="33"/>
  <c r="AL910" i="33"/>
  <c r="AL911" i="33"/>
  <c r="AL912" i="33"/>
  <c r="AL913" i="33"/>
  <c r="AL914" i="33"/>
  <c r="AL915" i="33"/>
  <c r="AL916" i="33"/>
  <c r="AL917" i="33"/>
  <c r="AL918" i="33"/>
  <c r="AL919" i="33"/>
  <c r="AL920" i="33"/>
  <c r="AL921" i="33"/>
  <c r="AL922" i="33"/>
  <c r="AL923" i="33"/>
  <c r="AL924" i="33"/>
  <c r="AL925" i="33"/>
  <c r="AL926" i="33"/>
  <c r="AL927" i="33"/>
  <c r="AL928" i="33"/>
  <c r="AL929" i="33"/>
  <c r="AL930" i="33"/>
  <c r="AL931" i="33"/>
  <c r="AL932" i="33"/>
  <c r="AL933" i="33"/>
  <c r="AL934" i="33"/>
  <c r="AL935" i="33"/>
  <c r="AL936" i="33"/>
  <c r="AL937" i="33"/>
  <c r="AL938" i="33"/>
  <c r="AL939" i="33"/>
  <c r="AL940" i="33"/>
  <c r="AL941" i="33"/>
  <c r="AL942" i="33"/>
  <c r="AL943" i="33"/>
  <c r="AL944" i="33"/>
  <c r="AL945" i="33"/>
  <c r="AL946" i="33"/>
  <c r="AL947" i="33"/>
  <c r="AL948" i="33"/>
  <c r="AL949" i="33"/>
  <c r="AL950" i="33"/>
  <c r="AL951" i="33"/>
  <c r="AL952" i="33"/>
  <c r="AL953" i="33"/>
  <c r="AL954" i="33"/>
  <c r="AL955" i="33"/>
  <c r="AL956" i="33"/>
  <c r="AL957" i="33"/>
  <c r="AL958" i="33"/>
  <c r="AL959" i="33"/>
  <c r="AL960" i="33"/>
  <c r="AL961" i="33"/>
  <c r="AL962" i="33"/>
  <c r="AL963" i="33"/>
  <c r="AL964" i="33"/>
  <c r="AL965" i="33"/>
  <c r="AL966" i="33"/>
  <c r="AL967" i="33"/>
  <c r="AL968" i="33"/>
  <c r="AL969" i="33"/>
  <c r="AL970" i="33"/>
  <c r="AL971" i="33"/>
  <c r="AL972" i="33"/>
  <c r="AL973" i="33"/>
  <c r="AL974" i="33"/>
  <c r="AL975" i="33"/>
  <c r="AL976" i="33"/>
  <c r="AL977" i="33"/>
  <c r="AL978" i="33"/>
  <c r="AL979" i="33"/>
  <c r="AL980" i="33"/>
  <c r="AL981" i="33"/>
  <c r="AL982" i="33"/>
  <c r="AL983" i="33"/>
  <c r="AL984" i="33"/>
  <c r="AL985" i="33"/>
  <c r="AL986" i="33"/>
  <c r="AL987" i="33"/>
  <c r="AL988" i="33"/>
  <c r="AL989" i="33"/>
  <c r="AL990" i="33"/>
  <c r="AL991" i="33"/>
  <c r="AL992" i="33"/>
  <c r="AL993" i="33"/>
  <c r="AL994" i="33"/>
  <c r="AL995" i="33"/>
  <c r="AL996" i="33"/>
  <c r="AL997" i="33"/>
  <c r="AL998" i="33"/>
  <c r="AL999" i="33"/>
  <c r="AL1000" i="33"/>
  <c r="AL1001" i="33"/>
  <c r="AL1002" i="33"/>
  <c r="AL1003" i="33"/>
  <c r="AL1004" i="33"/>
  <c r="AI141" i="33"/>
  <c r="AI142" i="33"/>
  <c r="AI143" i="33"/>
  <c r="AI144" i="33"/>
  <c r="AI145" i="33"/>
  <c r="AI146" i="33"/>
  <c r="AI147" i="33"/>
  <c r="AI148" i="33"/>
  <c r="AI149" i="33"/>
  <c r="AI150" i="33"/>
  <c r="AI151" i="33"/>
  <c r="AI152" i="33"/>
  <c r="AI153" i="33"/>
  <c r="AI154" i="33"/>
  <c r="AI155" i="33"/>
  <c r="AI156" i="33"/>
  <c r="AI157" i="33"/>
  <c r="AI158" i="33"/>
  <c r="AI159" i="33"/>
  <c r="AI160" i="33"/>
  <c r="AI161" i="33"/>
  <c r="AI162" i="33"/>
  <c r="AI163" i="33"/>
  <c r="AI164" i="33"/>
  <c r="AI165" i="33"/>
  <c r="AI166" i="33"/>
  <c r="AI167" i="33"/>
  <c r="AI168" i="33"/>
  <c r="AI169" i="33"/>
  <c r="AI170" i="33"/>
  <c r="AI171" i="33"/>
  <c r="AI172" i="33"/>
  <c r="AI173" i="33"/>
  <c r="AI174" i="33"/>
  <c r="AI175" i="33"/>
  <c r="AI176" i="33"/>
  <c r="AI177" i="33"/>
  <c r="AI178" i="33"/>
  <c r="AI179" i="33"/>
  <c r="AI180" i="33"/>
  <c r="AI181" i="33"/>
  <c r="AI182" i="33"/>
  <c r="AI183" i="33"/>
  <c r="AI184" i="33"/>
  <c r="AI185" i="33"/>
  <c r="AI186" i="33"/>
  <c r="AI187" i="33"/>
  <c r="AI188" i="33"/>
  <c r="AI189" i="33"/>
  <c r="AI190" i="33"/>
  <c r="AI191" i="33"/>
  <c r="AI192" i="33"/>
  <c r="AI193" i="33"/>
  <c r="AI194" i="33"/>
  <c r="AI195" i="33"/>
  <c r="AI196" i="33"/>
  <c r="AI197" i="33"/>
  <c r="AI198" i="33"/>
  <c r="AI199" i="33"/>
  <c r="AI200" i="33"/>
  <c r="AI201" i="33"/>
  <c r="AI202" i="33"/>
  <c r="AI203" i="33"/>
  <c r="AI204" i="33"/>
  <c r="AI205" i="33"/>
  <c r="AI206" i="33"/>
  <c r="AI207" i="33"/>
  <c r="AI208" i="33"/>
  <c r="AI209" i="33"/>
  <c r="AI210" i="33"/>
  <c r="AI211" i="33"/>
  <c r="AI212" i="33"/>
  <c r="AI213" i="33"/>
  <c r="AI214" i="33"/>
  <c r="AI215" i="33"/>
  <c r="AI216" i="33"/>
  <c r="AI217" i="33"/>
  <c r="AI218" i="33"/>
  <c r="AI219" i="33"/>
  <c r="AI220" i="33"/>
  <c r="AI221" i="33"/>
  <c r="AI222" i="33"/>
  <c r="AI223" i="33"/>
  <c r="AI224" i="33"/>
  <c r="AI225" i="33"/>
  <c r="AI226" i="33"/>
  <c r="AI227" i="33"/>
  <c r="AI228" i="33"/>
  <c r="AI229" i="33"/>
  <c r="AI230" i="33"/>
  <c r="AI231" i="33"/>
  <c r="AI232" i="33"/>
  <c r="AI233" i="33"/>
  <c r="AI234" i="33"/>
  <c r="AI235" i="33"/>
  <c r="AI236" i="33"/>
  <c r="AI237" i="33"/>
  <c r="AI238" i="33"/>
  <c r="AI239" i="33"/>
  <c r="AI240" i="33"/>
  <c r="AI241" i="33"/>
  <c r="AI242" i="33"/>
  <c r="AI243" i="33"/>
  <c r="AI244" i="33"/>
  <c r="AI245" i="33"/>
  <c r="AI246" i="33"/>
  <c r="AI247" i="33"/>
  <c r="AI248" i="33"/>
  <c r="AI249" i="33"/>
  <c r="AI250" i="33"/>
  <c r="AI251" i="33"/>
  <c r="AI252" i="33"/>
  <c r="AI253" i="33"/>
  <c r="AI254" i="33"/>
  <c r="AI255" i="33"/>
  <c r="AI256" i="33"/>
  <c r="AI257" i="33"/>
  <c r="AI258" i="33"/>
  <c r="AI259" i="33"/>
  <c r="AI260" i="33"/>
  <c r="AI261" i="33"/>
  <c r="AI262" i="33"/>
  <c r="AI263" i="33"/>
  <c r="AI264" i="33"/>
  <c r="AI265" i="33"/>
  <c r="AI266" i="33"/>
  <c r="AI267" i="33"/>
  <c r="AI268" i="33"/>
  <c r="AI269" i="33"/>
  <c r="AI270" i="33"/>
  <c r="AI271" i="33"/>
  <c r="AI272" i="33"/>
  <c r="AI273" i="33"/>
  <c r="AI274" i="33"/>
  <c r="AI275" i="33"/>
  <c r="AI276" i="33"/>
  <c r="AI277" i="33"/>
  <c r="AI278" i="33"/>
  <c r="AI279" i="33"/>
  <c r="AI280" i="33"/>
  <c r="AI281" i="33"/>
  <c r="AI282" i="33"/>
  <c r="AI283" i="33"/>
  <c r="AI284" i="33"/>
  <c r="AI285" i="33"/>
  <c r="AI286" i="33"/>
  <c r="AI287" i="33"/>
  <c r="AI288" i="33"/>
  <c r="AI289" i="33"/>
  <c r="AI290" i="33"/>
  <c r="AI291" i="33"/>
  <c r="AI292" i="33"/>
  <c r="AI293" i="33"/>
  <c r="AI294" i="33"/>
  <c r="AI295" i="33"/>
  <c r="AI296" i="33"/>
  <c r="AI297" i="33"/>
  <c r="AI298" i="33"/>
  <c r="AI299" i="33"/>
  <c r="AI300" i="33"/>
  <c r="AI301" i="33"/>
  <c r="AI302" i="33"/>
  <c r="AI303" i="33"/>
  <c r="AI304" i="33"/>
  <c r="AI305" i="33"/>
  <c r="AI306" i="33"/>
  <c r="AI307" i="33"/>
  <c r="AI308" i="33"/>
  <c r="AI309" i="33"/>
  <c r="AI310" i="33"/>
  <c r="AI311" i="33"/>
  <c r="AI312" i="33"/>
  <c r="AI313" i="33"/>
  <c r="AI314" i="33"/>
  <c r="AI315" i="33"/>
  <c r="AI316" i="33"/>
  <c r="AI317" i="33"/>
  <c r="AI318" i="33"/>
  <c r="AI319" i="33"/>
  <c r="AI320" i="33"/>
  <c r="AI321" i="33"/>
  <c r="AI322" i="33"/>
  <c r="AI323" i="33"/>
  <c r="AI324" i="33"/>
  <c r="AI325" i="33"/>
  <c r="AI326" i="33"/>
  <c r="AI327" i="33"/>
  <c r="AI328" i="33"/>
  <c r="AI329" i="33"/>
  <c r="AI330" i="33"/>
  <c r="AI331" i="33"/>
  <c r="AI332" i="33"/>
  <c r="AI333" i="33"/>
  <c r="AI334" i="33"/>
  <c r="AI335" i="33"/>
  <c r="AI336" i="33"/>
  <c r="AI337" i="33"/>
  <c r="AI338" i="33"/>
  <c r="AI339" i="33"/>
  <c r="AI340" i="33"/>
  <c r="AI341" i="33"/>
  <c r="AI342" i="33"/>
  <c r="AI343" i="33"/>
  <c r="AI344" i="33"/>
  <c r="AI345" i="33"/>
  <c r="AI346" i="33"/>
  <c r="AI347" i="33"/>
  <c r="AI348" i="33"/>
  <c r="AI349" i="33"/>
  <c r="AI350" i="33"/>
  <c r="AI351" i="33"/>
  <c r="AI352" i="33"/>
  <c r="AI353" i="33"/>
  <c r="AI354" i="33"/>
  <c r="AI355" i="33"/>
  <c r="AI356" i="33"/>
  <c r="AI357" i="33"/>
  <c r="AI358" i="33"/>
  <c r="AI359" i="33"/>
  <c r="AI360" i="33"/>
  <c r="AI361" i="33"/>
  <c r="AI362" i="33"/>
  <c r="AI363" i="33"/>
  <c r="AI364" i="33"/>
  <c r="AI365" i="33"/>
  <c r="AI366" i="33"/>
  <c r="AI367" i="33"/>
  <c r="AI368" i="33"/>
  <c r="AI369" i="33"/>
  <c r="AI370" i="33"/>
  <c r="AI371" i="33"/>
  <c r="AI372" i="33"/>
  <c r="AI373" i="33"/>
  <c r="AI374" i="33"/>
  <c r="AI375" i="33"/>
  <c r="AI376" i="33"/>
  <c r="AI377" i="33"/>
  <c r="AI378" i="33"/>
  <c r="AI379" i="33"/>
  <c r="AI380" i="33"/>
  <c r="AI381" i="33"/>
  <c r="AI382" i="33"/>
  <c r="AI383" i="33"/>
  <c r="AI384" i="33"/>
  <c r="AI385" i="33"/>
  <c r="AI386" i="33"/>
  <c r="AI387" i="33"/>
  <c r="AI388" i="33"/>
  <c r="AI389" i="33"/>
  <c r="AI390" i="33"/>
  <c r="AI391" i="33"/>
  <c r="AI392" i="33"/>
  <c r="AI393" i="33"/>
  <c r="AI394" i="33"/>
  <c r="AI395" i="33"/>
  <c r="AI396" i="33"/>
  <c r="AI397" i="33"/>
  <c r="AI398" i="33"/>
  <c r="AI399" i="33"/>
  <c r="AI400" i="33"/>
  <c r="AI401" i="33"/>
  <c r="AI402" i="33"/>
  <c r="AI403" i="33"/>
  <c r="AI404" i="33"/>
  <c r="AI405" i="33"/>
  <c r="AI406" i="33"/>
  <c r="AI407" i="33"/>
  <c r="AI408" i="33"/>
  <c r="AI409" i="33"/>
  <c r="AI410" i="33"/>
  <c r="AI411" i="33"/>
  <c r="AI412" i="33"/>
  <c r="AI413" i="33"/>
  <c r="AI414" i="33"/>
  <c r="AI415" i="33"/>
  <c r="AI416" i="33"/>
  <c r="AI417" i="33"/>
  <c r="AI418" i="33"/>
  <c r="AI419" i="33"/>
  <c r="AI420" i="33"/>
  <c r="AI421" i="33"/>
  <c r="AI422" i="33"/>
  <c r="AI423" i="33"/>
  <c r="AI424" i="33"/>
  <c r="AI425" i="33"/>
  <c r="AI426" i="33"/>
  <c r="AI427" i="33"/>
  <c r="AI428" i="33"/>
  <c r="AI429" i="33"/>
  <c r="AI430" i="33"/>
  <c r="AI431" i="33"/>
  <c r="AI432" i="33"/>
  <c r="AI433" i="33"/>
  <c r="AI434" i="33"/>
  <c r="AI435" i="33"/>
  <c r="AI436" i="33"/>
  <c r="AI437" i="33"/>
  <c r="AI438" i="33"/>
  <c r="AI439" i="33"/>
  <c r="AI440" i="33"/>
  <c r="AI441" i="33"/>
  <c r="AI442" i="33"/>
  <c r="AI443" i="33"/>
  <c r="AI444" i="33"/>
  <c r="AI445" i="33"/>
  <c r="AI446" i="33"/>
  <c r="AI447" i="33"/>
  <c r="AI448" i="33"/>
  <c r="AI449" i="33"/>
  <c r="AI450" i="33"/>
  <c r="AI451" i="33"/>
  <c r="AI452" i="33"/>
  <c r="AI453" i="33"/>
  <c r="AI454" i="33"/>
  <c r="AI455" i="33"/>
  <c r="AI456" i="33"/>
  <c r="AI457" i="33"/>
  <c r="AI458" i="33"/>
  <c r="AI459" i="33"/>
  <c r="AI460" i="33"/>
  <c r="AI461" i="33"/>
  <c r="AI462" i="33"/>
  <c r="AI463" i="33"/>
  <c r="AI464" i="33"/>
  <c r="AI465" i="33"/>
  <c r="AI466" i="33"/>
  <c r="AI467" i="33"/>
  <c r="AI468" i="33"/>
  <c r="AI469" i="33"/>
  <c r="AI470" i="33"/>
  <c r="AI471" i="33"/>
  <c r="AI472" i="33"/>
  <c r="AI473" i="33"/>
  <c r="AI474" i="33"/>
  <c r="AI475" i="33"/>
  <c r="AI476" i="33"/>
  <c r="AI477" i="33"/>
  <c r="AI478" i="33"/>
  <c r="AI479" i="33"/>
  <c r="AI480" i="33"/>
  <c r="AI481" i="33"/>
  <c r="AI482" i="33"/>
  <c r="AI483" i="33"/>
  <c r="AI484" i="33"/>
  <c r="AI485" i="33"/>
  <c r="AI486" i="33"/>
  <c r="AI487" i="33"/>
  <c r="AI488" i="33"/>
  <c r="AI489" i="33"/>
  <c r="AI490" i="33"/>
  <c r="AI491" i="33"/>
  <c r="AI492" i="33"/>
  <c r="AI493" i="33"/>
  <c r="AI494" i="33"/>
  <c r="AI495" i="33"/>
  <c r="AI496" i="33"/>
  <c r="AI497" i="33"/>
  <c r="AI498" i="33"/>
  <c r="AI499" i="33"/>
  <c r="AI500" i="33"/>
  <c r="AI501" i="33"/>
  <c r="AI502" i="33"/>
  <c r="AI503" i="33"/>
  <c r="AI504" i="33"/>
  <c r="AI505" i="33"/>
  <c r="AI506" i="33"/>
  <c r="AI507" i="33"/>
  <c r="AI508" i="33"/>
  <c r="AI509" i="33"/>
  <c r="AI510" i="33"/>
  <c r="AI511" i="33"/>
  <c r="AI512" i="33"/>
  <c r="AI513" i="33"/>
  <c r="AI514" i="33"/>
  <c r="AI515" i="33"/>
  <c r="AI516" i="33"/>
  <c r="AI517" i="33"/>
  <c r="AI518" i="33"/>
  <c r="AI519" i="33"/>
  <c r="AI520" i="33"/>
  <c r="AI521" i="33"/>
  <c r="AI522" i="33"/>
  <c r="AI523" i="33"/>
  <c r="AI524" i="33"/>
  <c r="AI525" i="33"/>
  <c r="AI526" i="33"/>
  <c r="AI527" i="33"/>
  <c r="AI528" i="33"/>
  <c r="AI529" i="33"/>
  <c r="AI530" i="33"/>
  <c r="AI531" i="33"/>
  <c r="AI532" i="33"/>
  <c r="AI533" i="33"/>
  <c r="AI534" i="33"/>
  <c r="AI535" i="33"/>
  <c r="AI536" i="33"/>
  <c r="AI537" i="33"/>
  <c r="AI538" i="33"/>
  <c r="AI539" i="33"/>
  <c r="AI540" i="33"/>
  <c r="AI541" i="33"/>
  <c r="AI542" i="33"/>
  <c r="AI543" i="33"/>
  <c r="AI544" i="33"/>
  <c r="AI545" i="33"/>
  <c r="AI546" i="33"/>
  <c r="AI547" i="33"/>
  <c r="AI548" i="33"/>
  <c r="AI549" i="33"/>
  <c r="AI550" i="33"/>
  <c r="AI551" i="33"/>
  <c r="AI552" i="33"/>
  <c r="AI553" i="33"/>
  <c r="AI554" i="33"/>
  <c r="AI555" i="33"/>
  <c r="AI556" i="33"/>
  <c r="AI557" i="33"/>
  <c r="AI558" i="33"/>
  <c r="AI559" i="33"/>
  <c r="AI560" i="33"/>
  <c r="AI561" i="33"/>
  <c r="AI562" i="33"/>
  <c r="AI563" i="33"/>
  <c r="AI564" i="33"/>
  <c r="AI565" i="33"/>
  <c r="AI566" i="33"/>
  <c r="AI567" i="33"/>
  <c r="AI568" i="33"/>
  <c r="AI569" i="33"/>
  <c r="AI570" i="33"/>
  <c r="AI571" i="33"/>
  <c r="AI572" i="33"/>
  <c r="AI573" i="33"/>
  <c r="AI574" i="33"/>
  <c r="AI575" i="33"/>
  <c r="AI576" i="33"/>
  <c r="AI577" i="33"/>
  <c r="AI578" i="33"/>
  <c r="AI579" i="33"/>
  <c r="AI580" i="33"/>
  <c r="AI581" i="33"/>
  <c r="AI582" i="33"/>
  <c r="AI583" i="33"/>
  <c r="AI584" i="33"/>
  <c r="AI585" i="33"/>
  <c r="AI586" i="33"/>
  <c r="AI587" i="33"/>
  <c r="AI588" i="33"/>
  <c r="AI589" i="33"/>
  <c r="AI590" i="33"/>
  <c r="AI591" i="33"/>
  <c r="AI592" i="33"/>
  <c r="AI593" i="33"/>
  <c r="AI594" i="33"/>
  <c r="AI595" i="33"/>
  <c r="AI596" i="33"/>
  <c r="AI597" i="33"/>
  <c r="AI598" i="33"/>
  <c r="AI599" i="33"/>
  <c r="AI600" i="33"/>
  <c r="AI601" i="33"/>
  <c r="AI602" i="33"/>
  <c r="AI603" i="33"/>
  <c r="AI604" i="33"/>
  <c r="AI605" i="33"/>
  <c r="AI606" i="33"/>
  <c r="AI607" i="33"/>
  <c r="AI608" i="33"/>
  <c r="AI609" i="33"/>
  <c r="AI610" i="33"/>
  <c r="AI611" i="33"/>
  <c r="AI612" i="33"/>
  <c r="AI613" i="33"/>
  <c r="AI614" i="33"/>
  <c r="AI615" i="33"/>
  <c r="AI616" i="33"/>
  <c r="AI617" i="33"/>
  <c r="AI618" i="33"/>
  <c r="AI619" i="33"/>
  <c r="AI620" i="33"/>
  <c r="AI621" i="33"/>
  <c r="AI622" i="33"/>
  <c r="AI623" i="33"/>
  <c r="AI624" i="33"/>
  <c r="AI625" i="33"/>
  <c r="AI626" i="33"/>
  <c r="AI627" i="33"/>
  <c r="AI628" i="33"/>
  <c r="AI629" i="33"/>
  <c r="AI630" i="33"/>
  <c r="AI631" i="33"/>
  <c r="AI632" i="33"/>
  <c r="AI633" i="33"/>
  <c r="AI634" i="33"/>
  <c r="AI635" i="33"/>
  <c r="AI636" i="33"/>
  <c r="AI637" i="33"/>
  <c r="AI638" i="33"/>
  <c r="AI639" i="33"/>
  <c r="AI640" i="33"/>
  <c r="AI641" i="33"/>
  <c r="AI642" i="33"/>
  <c r="AI643" i="33"/>
  <c r="AI644" i="33"/>
  <c r="AI645" i="33"/>
  <c r="AI646" i="33"/>
  <c r="AI647" i="33"/>
  <c r="AI648" i="33"/>
  <c r="AI649" i="33"/>
  <c r="AI650" i="33"/>
  <c r="AI651" i="33"/>
  <c r="AI652" i="33"/>
  <c r="AI653" i="33"/>
  <c r="AI654" i="33"/>
  <c r="AI655" i="33"/>
  <c r="AI656" i="33"/>
  <c r="AI657" i="33"/>
  <c r="AI658" i="33"/>
  <c r="AI659" i="33"/>
  <c r="AI660" i="33"/>
  <c r="AI661" i="33"/>
  <c r="AI662" i="33"/>
  <c r="AI663" i="33"/>
  <c r="AI664" i="33"/>
  <c r="AI665" i="33"/>
  <c r="AI666" i="33"/>
  <c r="AI667" i="33"/>
  <c r="AI668" i="33"/>
  <c r="AI669" i="33"/>
  <c r="AI670" i="33"/>
  <c r="AI671" i="33"/>
  <c r="AI672" i="33"/>
  <c r="AI673" i="33"/>
  <c r="AI674" i="33"/>
  <c r="AI675" i="33"/>
  <c r="AI676" i="33"/>
  <c r="AI677" i="33"/>
  <c r="AI678" i="33"/>
  <c r="AI679" i="33"/>
  <c r="AI680" i="33"/>
  <c r="AI681" i="33"/>
  <c r="AI682" i="33"/>
  <c r="AI683" i="33"/>
  <c r="AI684" i="33"/>
  <c r="AI685" i="33"/>
  <c r="AI686" i="33"/>
  <c r="AI687" i="33"/>
  <c r="AI688" i="33"/>
  <c r="AI689" i="33"/>
  <c r="AI690" i="33"/>
  <c r="AI691" i="33"/>
  <c r="AI692" i="33"/>
  <c r="AI693" i="33"/>
  <c r="AI694" i="33"/>
  <c r="AI695" i="33"/>
  <c r="AI696" i="33"/>
  <c r="AI697" i="33"/>
  <c r="AI698" i="33"/>
  <c r="AI699" i="33"/>
  <c r="AI700" i="33"/>
  <c r="AI701" i="33"/>
  <c r="AI702" i="33"/>
  <c r="AI703" i="33"/>
  <c r="AI704" i="33"/>
  <c r="AI705" i="33"/>
  <c r="AI706" i="33"/>
  <c r="AI707" i="33"/>
  <c r="AI708" i="33"/>
  <c r="AI709" i="33"/>
  <c r="AI710" i="33"/>
  <c r="AI711" i="33"/>
  <c r="AI712" i="33"/>
  <c r="AI713" i="33"/>
  <c r="AI714" i="33"/>
  <c r="AI715" i="33"/>
  <c r="AI716" i="33"/>
  <c r="AI717" i="33"/>
  <c r="AI718" i="33"/>
  <c r="AI719" i="33"/>
  <c r="AI720" i="33"/>
  <c r="AI721" i="33"/>
  <c r="AI722" i="33"/>
  <c r="AI723" i="33"/>
  <c r="AI724" i="33"/>
  <c r="AI725" i="33"/>
  <c r="AI726" i="33"/>
  <c r="AI727" i="33"/>
  <c r="AI728" i="33"/>
  <c r="AI729" i="33"/>
  <c r="AI730" i="33"/>
  <c r="AI731" i="33"/>
  <c r="AI732" i="33"/>
  <c r="AI733" i="33"/>
  <c r="AI734" i="33"/>
  <c r="AI735" i="33"/>
  <c r="AI736" i="33"/>
  <c r="AI737" i="33"/>
  <c r="AI738" i="33"/>
  <c r="AI739" i="33"/>
  <c r="AI740" i="33"/>
  <c r="AI741" i="33"/>
  <c r="AI742" i="33"/>
  <c r="AI743" i="33"/>
  <c r="AI744" i="33"/>
  <c r="AI745" i="33"/>
  <c r="AI746" i="33"/>
  <c r="AI747" i="33"/>
  <c r="AI748" i="33"/>
  <c r="AI749" i="33"/>
  <c r="AI750" i="33"/>
  <c r="AI751" i="33"/>
  <c r="AI752" i="33"/>
  <c r="AI753" i="33"/>
  <c r="AI754" i="33"/>
  <c r="AI755" i="33"/>
  <c r="AI756" i="33"/>
  <c r="AI757" i="33"/>
  <c r="AI758" i="33"/>
  <c r="AI759" i="33"/>
  <c r="AI760" i="33"/>
  <c r="AI761" i="33"/>
  <c r="AI762" i="33"/>
  <c r="AI763" i="33"/>
  <c r="AI764" i="33"/>
  <c r="AI765" i="33"/>
  <c r="AI766" i="33"/>
  <c r="AI767" i="33"/>
  <c r="AI768" i="33"/>
  <c r="AI769" i="33"/>
  <c r="AI770" i="33"/>
  <c r="AI771" i="33"/>
  <c r="AI772" i="33"/>
  <c r="AI773" i="33"/>
  <c r="AI774" i="33"/>
  <c r="AI775" i="33"/>
  <c r="AI776" i="33"/>
  <c r="AI777" i="33"/>
  <c r="AI778" i="33"/>
  <c r="AI779" i="33"/>
  <c r="AI780" i="33"/>
  <c r="AI781" i="33"/>
  <c r="AI782" i="33"/>
  <c r="AI783" i="33"/>
  <c r="AI784" i="33"/>
  <c r="AI785" i="33"/>
  <c r="AI786" i="33"/>
  <c r="AI787" i="33"/>
  <c r="AI788" i="33"/>
  <c r="AI789" i="33"/>
  <c r="AI790" i="33"/>
  <c r="AI791" i="33"/>
  <c r="AI792" i="33"/>
  <c r="AI793" i="33"/>
  <c r="AI794" i="33"/>
  <c r="AI795" i="33"/>
  <c r="AI796" i="33"/>
  <c r="AI797" i="33"/>
  <c r="AI798" i="33"/>
  <c r="AI799" i="33"/>
  <c r="AI800" i="33"/>
  <c r="AI801" i="33"/>
  <c r="AI802" i="33"/>
  <c r="AI803" i="33"/>
  <c r="AI804" i="33"/>
  <c r="AI805" i="33"/>
  <c r="AI806" i="33"/>
  <c r="AI807" i="33"/>
  <c r="AI808" i="33"/>
  <c r="AI809" i="33"/>
  <c r="AI810" i="33"/>
  <c r="AI811" i="33"/>
  <c r="AI812" i="33"/>
  <c r="AI813" i="33"/>
  <c r="AI814" i="33"/>
  <c r="AI815" i="33"/>
  <c r="AI816" i="33"/>
  <c r="AI817" i="33"/>
  <c r="AI818" i="33"/>
  <c r="AI819" i="33"/>
  <c r="AI820" i="33"/>
  <c r="AI821" i="33"/>
  <c r="AI822" i="33"/>
  <c r="AI823" i="33"/>
  <c r="AI824" i="33"/>
  <c r="AI825" i="33"/>
  <c r="AI826" i="33"/>
  <c r="AI827" i="33"/>
  <c r="AI828" i="33"/>
  <c r="AI829" i="33"/>
  <c r="AI830" i="33"/>
  <c r="AI831" i="33"/>
  <c r="AI832" i="33"/>
  <c r="AI833" i="33"/>
  <c r="AI834" i="33"/>
  <c r="AI835" i="33"/>
  <c r="AI836" i="33"/>
  <c r="AI837" i="33"/>
  <c r="AI838" i="33"/>
  <c r="AI839" i="33"/>
  <c r="AI840" i="33"/>
  <c r="AI841" i="33"/>
  <c r="AI842" i="33"/>
  <c r="AI843" i="33"/>
  <c r="AI844" i="33"/>
  <c r="AI845" i="33"/>
  <c r="AI846" i="33"/>
  <c r="AI847" i="33"/>
  <c r="AI848" i="33"/>
  <c r="AI849" i="33"/>
  <c r="AI850" i="33"/>
  <c r="AI851" i="33"/>
  <c r="AI852" i="33"/>
  <c r="AI853" i="33"/>
  <c r="AI854" i="33"/>
  <c r="AI855" i="33"/>
  <c r="AI856" i="33"/>
  <c r="AI857" i="33"/>
  <c r="AI858" i="33"/>
  <c r="AI859" i="33"/>
  <c r="AI860" i="33"/>
  <c r="AI861" i="33"/>
  <c r="AI862" i="33"/>
  <c r="AI863" i="33"/>
  <c r="AI864" i="33"/>
  <c r="AI865" i="33"/>
  <c r="AI866" i="33"/>
  <c r="AI867" i="33"/>
  <c r="AI868" i="33"/>
  <c r="AI869" i="33"/>
  <c r="AI870" i="33"/>
  <c r="AI871" i="33"/>
  <c r="AI872" i="33"/>
  <c r="AI873" i="33"/>
  <c r="AI874" i="33"/>
  <c r="AI875" i="33"/>
  <c r="AI876" i="33"/>
  <c r="AI877" i="33"/>
  <c r="AI878" i="33"/>
  <c r="AI879" i="33"/>
  <c r="AI880" i="33"/>
  <c r="AI881" i="33"/>
  <c r="AI882" i="33"/>
  <c r="AI883" i="33"/>
  <c r="AI884" i="33"/>
  <c r="AI885" i="33"/>
  <c r="AI886" i="33"/>
  <c r="AI887" i="33"/>
  <c r="AI888" i="33"/>
  <c r="AI889" i="33"/>
  <c r="AI890" i="33"/>
  <c r="AI891" i="33"/>
  <c r="AI892" i="33"/>
  <c r="AI893" i="33"/>
  <c r="AI894" i="33"/>
  <c r="AI895" i="33"/>
  <c r="AI896" i="33"/>
  <c r="AI897" i="33"/>
  <c r="AI898" i="33"/>
  <c r="AI899" i="33"/>
  <c r="AI900" i="33"/>
  <c r="AI901" i="33"/>
  <c r="AI902" i="33"/>
  <c r="AI903" i="33"/>
  <c r="AI904" i="33"/>
  <c r="AI905" i="33"/>
  <c r="AI906" i="33"/>
  <c r="AI907" i="33"/>
  <c r="AI908" i="33"/>
  <c r="AI909" i="33"/>
  <c r="AI910" i="33"/>
  <c r="AI911" i="33"/>
  <c r="AI912" i="33"/>
  <c r="AI913" i="33"/>
  <c r="AI914" i="33"/>
  <c r="AI915" i="33"/>
  <c r="AI916" i="33"/>
  <c r="AI917" i="33"/>
  <c r="AI918" i="33"/>
  <c r="AI919" i="33"/>
  <c r="AI920" i="33"/>
  <c r="AI921" i="33"/>
  <c r="AI922" i="33"/>
  <c r="AI923" i="33"/>
  <c r="AI924" i="33"/>
  <c r="AI925" i="33"/>
  <c r="AI926" i="33"/>
  <c r="AI927" i="33"/>
  <c r="AI928" i="33"/>
  <c r="AI929" i="33"/>
  <c r="AI930" i="33"/>
  <c r="AI931" i="33"/>
  <c r="AI932" i="33"/>
  <c r="AI933" i="33"/>
  <c r="AI934" i="33"/>
  <c r="AI935" i="33"/>
  <c r="AI936" i="33"/>
  <c r="AI937" i="33"/>
  <c r="AI938" i="33"/>
  <c r="AI939" i="33"/>
  <c r="AI940" i="33"/>
  <c r="AI941" i="33"/>
  <c r="AI942" i="33"/>
  <c r="AI943" i="33"/>
  <c r="AI944" i="33"/>
  <c r="AI945" i="33"/>
  <c r="AI946" i="33"/>
  <c r="AI947" i="33"/>
  <c r="AI948" i="33"/>
  <c r="AI949" i="33"/>
  <c r="AI950" i="33"/>
  <c r="AI951" i="33"/>
  <c r="AI952" i="33"/>
  <c r="AI953" i="33"/>
  <c r="AI954" i="33"/>
  <c r="AI955" i="33"/>
  <c r="AI956" i="33"/>
  <c r="AI957" i="33"/>
  <c r="AI958" i="33"/>
  <c r="AI959" i="33"/>
  <c r="AI960" i="33"/>
  <c r="AI961" i="33"/>
  <c r="AI962" i="33"/>
  <c r="AI963" i="33"/>
  <c r="AI964" i="33"/>
  <c r="AI965" i="33"/>
  <c r="AI966" i="33"/>
  <c r="AI967" i="33"/>
  <c r="AI968" i="33"/>
  <c r="AI969" i="33"/>
  <c r="AI970" i="33"/>
  <c r="AI971" i="33"/>
  <c r="AI972" i="33"/>
  <c r="AI973" i="33"/>
  <c r="AI974" i="33"/>
  <c r="AI975" i="33"/>
  <c r="AI976" i="33"/>
  <c r="AI977" i="33"/>
  <c r="AI978" i="33"/>
  <c r="AI979" i="33"/>
  <c r="AI980" i="33"/>
  <c r="AI981" i="33"/>
  <c r="AI982" i="33"/>
  <c r="AI983" i="33"/>
  <c r="AI984" i="33"/>
  <c r="AI985" i="33"/>
  <c r="AI986" i="33"/>
  <c r="AI987" i="33"/>
  <c r="AI988" i="33"/>
  <c r="AI989" i="33"/>
  <c r="AI990" i="33"/>
  <c r="AI991" i="33"/>
  <c r="AI992" i="33"/>
  <c r="AI993" i="33"/>
  <c r="AI994" i="33"/>
  <c r="AI995" i="33"/>
  <c r="AI996" i="33"/>
  <c r="AI997" i="33"/>
  <c r="AI998" i="33"/>
  <c r="AI999" i="33"/>
  <c r="AI1000" i="33"/>
  <c r="AI1001" i="33"/>
  <c r="AI1002" i="33"/>
  <c r="AI1003" i="33"/>
  <c r="AI1004" i="33"/>
  <c r="AF141" i="33"/>
  <c r="AF142" i="33"/>
  <c r="AF143" i="33"/>
  <c r="AF144" i="33"/>
  <c r="AF145" i="33"/>
  <c r="AF146" i="33"/>
  <c r="AF147" i="33"/>
  <c r="AF148" i="33"/>
  <c r="AF149" i="33"/>
  <c r="AF150" i="33"/>
  <c r="AF151" i="33"/>
  <c r="AF152" i="33"/>
  <c r="AF153" i="33"/>
  <c r="AF154" i="33"/>
  <c r="AF155" i="33"/>
  <c r="AF156" i="33"/>
  <c r="AF157" i="33"/>
  <c r="AF158" i="33"/>
  <c r="AF159" i="33"/>
  <c r="AF160" i="33"/>
  <c r="AF161" i="33"/>
  <c r="AF162" i="33"/>
  <c r="AF163" i="33"/>
  <c r="AF164" i="33"/>
  <c r="AF165" i="33"/>
  <c r="AF166" i="33"/>
  <c r="AF167" i="33"/>
  <c r="AF168" i="33"/>
  <c r="AF169" i="33"/>
  <c r="AF170" i="33"/>
  <c r="AF171" i="33"/>
  <c r="AF172" i="33"/>
  <c r="AF173" i="33"/>
  <c r="AF174" i="33"/>
  <c r="AF175" i="33"/>
  <c r="AF176" i="33"/>
  <c r="AF177" i="33"/>
  <c r="AF178" i="33"/>
  <c r="AF179" i="33"/>
  <c r="AF180" i="33"/>
  <c r="AF181" i="33"/>
  <c r="AF182" i="33"/>
  <c r="AF183" i="33"/>
  <c r="AF184" i="33"/>
  <c r="AF185" i="33"/>
  <c r="AF186" i="33"/>
  <c r="AF187" i="33"/>
  <c r="AF188" i="33"/>
  <c r="AF189" i="33"/>
  <c r="AF190" i="33"/>
  <c r="AF191" i="33"/>
  <c r="AF192" i="33"/>
  <c r="AF193" i="33"/>
  <c r="AF194" i="33"/>
  <c r="AF195" i="33"/>
  <c r="AF196" i="33"/>
  <c r="AF197" i="33"/>
  <c r="AF198" i="33"/>
  <c r="AF199" i="33"/>
  <c r="AF200" i="33"/>
  <c r="AF201" i="33"/>
  <c r="AF202" i="33"/>
  <c r="AF203" i="33"/>
  <c r="AF204" i="33"/>
  <c r="AF205" i="33"/>
  <c r="AF206" i="33"/>
  <c r="AF207" i="33"/>
  <c r="AF208" i="33"/>
  <c r="AF209" i="33"/>
  <c r="AF210" i="33"/>
  <c r="AF211" i="33"/>
  <c r="AF212" i="33"/>
  <c r="AF213" i="33"/>
  <c r="AF214" i="33"/>
  <c r="AF215" i="33"/>
  <c r="AF216" i="33"/>
  <c r="AF217" i="33"/>
  <c r="AF218" i="33"/>
  <c r="AF219" i="33"/>
  <c r="AF220" i="33"/>
  <c r="AF221" i="33"/>
  <c r="AF222" i="33"/>
  <c r="AF223" i="33"/>
  <c r="AF224" i="33"/>
  <c r="AF225" i="33"/>
  <c r="AF226" i="33"/>
  <c r="AF227" i="33"/>
  <c r="AF228" i="33"/>
  <c r="AF229" i="33"/>
  <c r="AF230" i="33"/>
  <c r="AF231" i="33"/>
  <c r="AF232" i="33"/>
  <c r="AF233" i="33"/>
  <c r="AF234" i="33"/>
  <c r="AF235" i="33"/>
  <c r="AF236" i="33"/>
  <c r="AF237" i="33"/>
  <c r="AF238" i="33"/>
  <c r="AF239" i="33"/>
  <c r="AF240" i="33"/>
  <c r="AF241" i="33"/>
  <c r="AF242" i="33"/>
  <c r="AF243" i="33"/>
  <c r="AF244" i="33"/>
  <c r="AF245" i="33"/>
  <c r="AF246" i="33"/>
  <c r="AF247" i="33"/>
  <c r="AF248" i="33"/>
  <c r="AF249" i="33"/>
  <c r="AF250" i="33"/>
  <c r="AF251" i="33"/>
  <c r="AF252" i="33"/>
  <c r="AF253" i="33"/>
  <c r="AF254" i="33"/>
  <c r="AF255" i="33"/>
  <c r="AF256" i="33"/>
  <c r="AF257" i="33"/>
  <c r="AF258" i="33"/>
  <c r="AF259" i="33"/>
  <c r="AF260" i="33"/>
  <c r="AF261" i="33"/>
  <c r="AF262" i="33"/>
  <c r="AF263" i="33"/>
  <c r="AF264" i="33"/>
  <c r="AF265" i="33"/>
  <c r="AF266" i="33"/>
  <c r="AF267" i="33"/>
  <c r="AF268" i="33"/>
  <c r="AF269" i="33"/>
  <c r="AF270" i="33"/>
  <c r="AF271" i="33"/>
  <c r="AF272" i="33"/>
  <c r="AF273" i="33"/>
  <c r="AF274" i="33"/>
  <c r="AF275" i="33"/>
  <c r="AF276" i="33"/>
  <c r="AF277" i="33"/>
  <c r="AF278" i="33"/>
  <c r="AF279" i="33"/>
  <c r="AF280" i="33"/>
  <c r="AF281" i="33"/>
  <c r="AF282" i="33"/>
  <c r="AF283" i="33"/>
  <c r="AF284" i="33"/>
  <c r="AF285" i="33"/>
  <c r="AF286" i="33"/>
  <c r="AF287" i="33"/>
  <c r="AF288" i="33"/>
  <c r="AF289" i="33"/>
  <c r="AF290" i="33"/>
  <c r="AF291" i="33"/>
  <c r="AF292" i="33"/>
  <c r="AF293" i="33"/>
  <c r="AF294" i="33"/>
  <c r="AF295" i="33"/>
  <c r="AF296" i="33"/>
  <c r="AF297" i="33"/>
  <c r="AF298" i="33"/>
  <c r="AF299" i="33"/>
  <c r="AF300" i="33"/>
  <c r="AF301" i="33"/>
  <c r="AF302" i="33"/>
  <c r="AF303" i="33"/>
  <c r="AF304" i="33"/>
  <c r="AF305" i="33"/>
  <c r="AF306" i="33"/>
  <c r="AF307" i="33"/>
  <c r="AF308" i="33"/>
  <c r="AF309" i="33"/>
  <c r="AF310" i="33"/>
  <c r="AF311" i="33"/>
  <c r="AF312" i="33"/>
  <c r="AF313" i="33"/>
  <c r="AF314" i="33"/>
  <c r="AF315" i="33"/>
  <c r="AF316" i="33"/>
  <c r="AF317" i="33"/>
  <c r="AF318" i="33"/>
  <c r="AF319" i="33"/>
  <c r="AF320" i="33"/>
  <c r="AF321" i="33"/>
  <c r="AF322" i="33"/>
  <c r="AF323" i="33"/>
  <c r="AF324" i="33"/>
  <c r="AF325" i="33"/>
  <c r="AF326" i="33"/>
  <c r="AF327" i="33"/>
  <c r="AF328" i="33"/>
  <c r="AF329" i="33"/>
  <c r="AF330" i="33"/>
  <c r="AF331" i="33"/>
  <c r="AF332" i="33"/>
  <c r="AF333" i="33"/>
  <c r="AF334" i="33"/>
  <c r="AF335" i="33"/>
  <c r="AF336" i="33"/>
  <c r="AF337" i="33"/>
  <c r="AF338" i="33"/>
  <c r="AF339" i="33"/>
  <c r="AF340" i="33"/>
  <c r="AF341" i="33"/>
  <c r="AF342" i="33"/>
  <c r="AF343" i="33"/>
  <c r="AF344" i="33"/>
  <c r="AF345" i="33"/>
  <c r="AF346" i="33"/>
  <c r="AF347" i="33"/>
  <c r="AF348" i="33"/>
  <c r="AF349" i="33"/>
  <c r="AF350" i="33"/>
  <c r="AF351" i="33"/>
  <c r="AF352" i="33"/>
  <c r="AF353" i="33"/>
  <c r="AF354" i="33"/>
  <c r="AF355" i="33"/>
  <c r="AF356" i="33"/>
  <c r="AF357" i="33"/>
  <c r="AF358" i="33"/>
  <c r="AF359" i="33"/>
  <c r="AF360" i="33"/>
  <c r="AF361" i="33"/>
  <c r="AF362" i="33"/>
  <c r="AF363" i="33"/>
  <c r="AF364" i="33"/>
  <c r="AF365" i="33"/>
  <c r="AF366" i="33"/>
  <c r="AF367" i="33"/>
  <c r="AF368" i="33"/>
  <c r="AF369" i="33"/>
  <c r="AF370" i="33"/>
  <c r="AF371" i="33"/>
  <c r="AF372" i="33"/>
  <c r="AF373" i="33"/>
  <c r="AF374" i="33"/>
  <c r="AF375" i="33"/>
  <c r="AF376" i="33"/>
  <c r="AF377" i="33"/>
  <c r="AF378" i="33"/>
  <c r="AF379" i="33"/>
  <c r="AF380" i="33"/>
  <c r="AF381" i="33"/>
  <c r="AF382" i="33"/>
  <c r="AF383" i="33"/>
  <c r="AF384" i="33"/>
  <c r="AF385" i="33"/>
  <c r="AF386" i="33"/>
  <c r="AF387" i="33"/>
  <c r="AF388" i="33"/>
  <c r="AF389" i="33"/>
  <c r="AF390" i="33"/>
  <c r="AF391" i="33"/>
  <c r="AF392" i="33"/>
  <c r="AF393" i="33"/>
  <c r="AF394" i="33"/>
  <c r="AF395" i="33"/>
  <c r="AF396" i="33"/>
  <c r="AF397" i="33"/>
  <c r="AF398" i="33"/>
  <c r="AF399" i="33"/>
  <c r="AF400" i="33"/>
  <c r="AF401" i="33"/>
  <c r="AF402" i="33"/>
  <c r="AF403" i="33"/>
  <c r="AF404" i="33"/>
  <c r="AF405" i="33"/>
  <c r="AF406" i="33"/>
  <c r="AF407" i="33"/>
  <c r="AF408" i="33"/>
  <c r="AF409" i="33"/>
  <c r="AF410" i="33"/>
  <c r="AF411" i="33"/>
  <c r="AF412" i="33"/>
  <c r="AF413" i="33"/>
  <c r="AF414" i="33"/>
  <c r="AF415" i="33"/>
  <c r="AF416" i="33"/>
  <c r="AF417" i="33"/>
  <c r="AF418" i="33"/>
  <c r="AF419" i="33"/>
  <c r="AF420" i="33"/>
  <c r="AF421" i="33"/>
  <c r="AF422" i="33"/>
  <c r="AF423" i="33"/>
  <c r="AF424" i="33"/>
  <c r="AF425" i="33"/>
  <c r="AF426" i="33"/>
  <c r="AF427" i="33"/>
  <c r="AF428" i="33"/>
  <c r="AF429" i="33"/>
  <c r="AF430" i="33"/>
  <c r="AF431" i="33"/>
  <c r="AF432" i="33"/>
  <c r="AF433" i="33"/>
  <c r="AF434" i="33"/>
  <c r="AF435" i="33"/>
  <c r="AF436" i="33"/>
  <c r="AF437" i="33"/>
  <c r="AF438" i="33"/>
  <c r="AF439" i="33"/>
  <c r="AF440" i="33"/>
  <c r="AF441" i="33"/>
  <c r="AF442" i="33"/>
  <c r="AF443" i="33"/>
  <c r="AF444" i="33"/>
  <c r="AF445" i="33"/>
  <c r="AF446" i="33"/>
  <c r="AF447" i="33"/>
  <c r="AF448" i="33"/>
  <c r="AF449" i="33"/>
  <c r="AF450" i="33"/>
  <c r="AF451" i="33"/>
  <c r="AF452" i="33"/>
  <c r="AF453" i="33"/>
  <c r="AF454" i="33"/>
  <c r="AF455" i="33"/>
  <c r="AF456" i="33"/>
  <c r="AF457" i="33"/>
  <c r="AF458" i="33"/>
  <c r="AF459" i="33"/>
  <c r="AF460" i="33"/>
  <c r="AF461" i="33"/>
  <c r="AF462" i="33"/>
  <c r="AF463" i="33"/>
  <c r="AF464" i="33"/>
  <c r="AF465" i="33"/>
  <c r="AF466" i="33"/>
  <c r="AF467" i="33"/>
  <c r="AF468" i="33"/>
  <c r="AF469" i="33"/>
  <c r="AF470" i="33"/>
  <c r="AF471" i="33"/>
  <c r="AF472" i="33"/>
  <c r="AF473" i="33"/>
  <c r="AF474" i="33"/>
  <c r="AF475" i="33"/>
  <c r="AF476" i="33"/>
  <c r="AF477" i="33"/>
  <c r="AF478" i="33"/>
  <c r="AF479" i="33"/>
  <c r="AF480" i="33"/>
  <c r="AF481" i="33"/>
  <c r="AF482" i="33"/>
  <c r="AF483" i="33"/>
  <c r="AF484" i="33"/>
  <c r="AF485" i="33"/>
  <c r="AF486" i="33"/>
  <c r="AF487" i="33"/>
  <c r="AF488" i="33"/>
  <c r="AF489" i="33"/>
  <c r="AF490" i="33"/>
  <c r="AF491" i="33"/>
  <c r="AF492" i="33"/>
  <c r="AF493" i="33"/>
  <c r="AF494" i="33"/>
  <c r="AF495" i="33"/>
  <c r="AF496" i="33"/>
  <c r="AF497" i="33"/>
  <c r="AF498" i="33"/>
  <c r="AF499" i="33"/>
  <c r="AF500" i="33"/>
  <c r="AF501" i="33"/>
  <c r="AF502" i="33"/>
  <c r="AF503" i="33"/>
  <c r="AF504" i="33"/>
  <c r="AF505" i="33"/>
  <c r="AF506" i="33"/>
  <c r="AF507" i="33"/>
  <c r="AF508" i="33"/>
  <c r="AF509" i="33"/>
  <c r="AF510" i="33"/>
  <c r="AF511" i="33"/>
  <c r="AF512" i="33"/>
  <c r="AF513" i="33"/>
  <c r="AF514" i="33"/>
  <c r="AF515" i="33"/>
  <c r="AF516" i="33"/>
  <c r="AF517" i="33"/>
  <c r="AF518" i="33"/>
  <c r="AF519" i="33"/>
  <c r="AF520" i="33"/>
  <c r="AF521" i="33"/>
  <c r="AF522" i="33"/>
  <c r="AF523" i="33"/>
  <c r="AF524" i="33"/>
  <c r="AF525" i="33"/>
  <c r="AF526" i="33"/>
  <c r="AF527" i="33"/>
  <c r="AF528" i="33"/>
  <c r="AF529" i="33"/>
  <c r="AF530" i="33"/>
  <c r="AF531" i="33"/>
  <c r="AF532" i="33"/>
  <c r="AF533" i="33"/>
  <c r="AF534" i="33"/>
  <c r="AF535" i="33"/>
  <c r="AF536" i="33"/>
  <c r="AF537" i="33"/>
  <c r="AF538" i="33"/>
  <c r="AF539" i="33"/>
  <c r="AF540" i="33"/>
  <c r="AF541" i="33"/>
  <c r="AF542" i="33"/>
  <c r="AF543" i="33"/>
  <c r="AF544" i="33"/>
  <c r="AF545" i="33"/>
  <c r="AF546" i="33"/>
  <c r="AF547" i="33"/>
  <c r="AF548" i="33"/>
  <c r="AF549" i="33"/>
  <c r="AF550" i="33"/>
  <c r="AF551" i="33"/>
  <c r="AF552" i="33"/>
  <c r="AF553" i="33"/>
  <c r="AF554" i="33"/>
  <c r="AF555" i="33"/>
  <c r="AF556" i="33"/>
  <c r="AF557" i="33"/>
  <c r="AF558" i="33"/>
  <c r="AF559" i="33"/>
  <c r="AF560" i="33"/>
  <c r="AF561" i="33"/>
  <c r="AF562" i="33"/>
  <c r="AF563" i="33"/>
  <c r="AF564" i="33"/>
  <c r="AF565" i="33"/>
  <c r="AF566" i="33"/>
  <c r="AF567" i="33"/>
  <c r="AF568" i="33"/>
  <c r="AF569" i="33"/>
  <c r="AF570" i="33"/>
  <c r="AF571" i="33"/>
  <c r="AF572" i="33"/>
  <c r="AF573" i="33"/>
  <c r="AF574" i="33"/>
  <c r="AF575" i="33"/>
  <c r="AF576" i="33"/>
  <c r="AF577" i="33"/>
  <c r="AF578" i="33"/>
  <c r="AF579" i="33"/>
  <c r="AF580" i="33"/>
  <c r="AF581" i="33"/>
  <c r="AF582" i="33"/>
  <c r="AF583" i="33"/>
  <c r="AF584" i="33"/>
  <c r="AF585" i="33"/>
  <c r="AF586" i="33"/>
  <c r="AF587" i="33"/>
  <c r="AF588" i="33"/>
  <c r="AF589" i="33"/>
  <c r="AF590" i="33"/>
  <c r="AF591" i="33"/>
  <c r="AF592" i="33"/>
  <c r="AF593" i="33"/>
  <c r="AF594" i="33"/>
  <c r="AF595" i="33"/>
  <c r="AF596" i="33"/>
  <c r="AF597" i="33"/>
  <c r="AF598" i="33"/>
  <c r="AF599" i="33"/>
  <c r="AF600" i="33"/>
  <c r="AF601" i="33"/>
  <c r="AF602" i="33"/>
  <c r="AF603" i="33"/>
  <c r="AF604" i="33"/>
  <c r="AF605" i="33"/>
  <c r="AF606" i="33"/>
  <c r="AF607" i="33"/>
  <c r="AF608" i="33"/>
  <c r="AF609" i="33"/>
  <c r="AF610" i="33"/>
  <c r="AF611" i="33"/>
  <c r="AF612" i="33"/>
  <c r="AF613" i="33"/>
  <c r="AF614" i="33"/>
  <c r="AF615" i="33"/>
  <c r="AF616" i="33"/>
  <c r="AF617" i="33"/>
  <c r="AF618" i="33"/>
  <c r="AF619" i="33"/>
  <c r="AF620" i="33"/>
  <c r="AF621" i="33"/>
  <c r="AF622" i="33"/>
  <c r="AF623" i="33"/>
  <c r="AF624" i="33"/>
  <c r="AF625" i="33"/>
  <c r="AF626" i="33"/>
  <c r="AF627" i="33"/>
  <c r="AF628" i="33"/>
  <c r="AF629" i="33"/>
  <c r="AF630" i="33"/>
  <c r="AF631" i="33"/>
  <c r="AF632" i="33"/>
  <c r="AF633" i="33"/>
  <c r="AF634" i="33"/>
  <c r="AF635" i="33"/>
  <c r="AF636" i="33"/>
  <c r="AF637" i="33"/>
  <c r="AF638" i="33"/>
  <c r="AF639" i="33"/>
  <c r="AF640" i="33"/>
  <c r="AF641" i="33"/>
  <c r="AF642" i="33"/>
  <c r="AF643" i="33"/>
  <c r="AF644" i="33"/>
  <c r="AF645" i="33"/>
  <c r="AF646" i="33"/>
  <c r="AF647" i="33"/>
  <c r="AF648" i="33"/>
  <c r="AF649" i="33"/>
  <c r="AF650" i="33"/>
  <c r="AF651" i="33"/>
  <c r="AF652" i="33"/>
  <c r="AF653" i="33"/>
  <c r="AF654" i="33"/>
  <c r="AF655" i="33"/>
  <c r="AF656" i="33"/>
  <c r="AF657" i="33"/>
  <c r="AF658" i="33"/>
  <c r="AF659" i="33"/>
  <c r="AF660" i="33"/>
  <c r="AF661" i="33"/>
  <c r="AF662" i="33"/>
  <c r="AF663" i="33"/>
  <c r="AF664" i="33"/>
  <c r="AF665" i="33"/>
  <c r="AF666" i="33"/>
  <c r="AF667" i="33"/>
  <c r="AF668" i="33"/>
  <c r="AF669" i="33"/>
  <c r="AF670" i="33"/>
  <c r="AF671" i="33"/>
  <c r="AF672" i="33"/>
  <c r="AF673" i="33"/>
  <c r="AF674" i="33"/>
  <c r="AF675" i="33"/>
  <c r="AF676" i="33"/>
  <c r="AF677" i="33"/>
  <c r="AF678" i="33"/>
  <c r="AF679" i="33"/>
  <c r="AF680" i="33"/>
  <c r="AF681" i="33"/>
  <c r="AF682" i="33"/>
  <c r="AF683" i="33"/>
  <c r="AF684" i="33"/>
  <c r="AF685" i="33"/>
  <c r="AF686" i="33"/>
  <c r="AF687" i="33"/>
  <c r="AF688" i="33"/>
  <c r="AF689" i="33"/>
  <c r="AF690" i="33"/>
  <c r="AF691" i="33"/>
  <c r="AF692" i="33"/>
  <c r="AF693" i="33"/>
  <c r="AF694" i="33"/>
  <c r="AF695" i="33"/>
  <c r="AF696" i="33"/>
  <c r="AF697" i="33"/>
  <c r="AF698" i="33"/>
  <c r="AF699" i="33"/>
  <c r="AF700" i="33"/>
  <c r="AF701" i="33"/>
  <c r="AF702" i="33"/>
  <c r="AF703" i="33"/>
  <c r="AF704" i="33"/>
  <c r="AF705" i="33"/>
  <c r="AF706" i="33"/>
  <c r="AF707" i="33"/>
  <c r="AF708" i="33"/>
  <c r="AF709" i="33"/>
  <c r="AF710" i="33"/>
  <c r="AF711" i="33"/>
  <c r="AF712" i="33"/>
  <c r="AF713" i="33"/>
  <c r="AF714" i="33"/>
  <c r="AF715" i="33"/>
  <c r="AF716" i="33"/>
  <c r="AF717" i="33"/>
  <c r="AF718" i="33"/>
  <c r="AF719" i="33"/>
  <c r="AF720" i="33"/>
  <c r="AF721" i="33"/>
  <c r="AF722" i="33"/>
  <c r="AF723" i="33"/>
  <c r="AF724" i="33"/>
  <c r="AF725" i="33"/>
  <c r="AF726" i="33"/>
  <c r="AF727" i="33"/>
  <c r="AF728" i="33"/>
  <c r="AF729" i="33"/>
  <c r="AF730" i="33"/>
  <c r="AF731" i="33"/>
  <c r="AF732" i="33"/>
  <c r="AF733" i="33"/>
  <c r="AF734" i="33"/>
  <c r="AF735" i="33"/>
  <c r="AF736" i="33"/>
  <c r="AF737" i="33"/>
  <c r="AF738" i="33"/>
  <c r="AF739" i="33"/>
  <c r="AF740" i="33"/>
  <c r="AF741" i="33"/>
  <c r="AF742" i="33"/>
  <c r="AF743" i="33"/>
  <c r="AF744" i="33"/>
  <c r="AF745" i="33"/>
  <c r="AF746" i="33"/>
  <c r="AF747" i="33"/>
  <c r="AF748" i="33"/>
  <c r="AF749" i="33"/>
  <c r="AF750" i="33"/>
  <c r="AF751" i="33"/>
  <c r="AF752" i="33"/>
  <c r="AF753" i="33"/>
  <c r="AF754" i="33"/>
  <c r="AF755" i="33"/>
  <c r="AF756" i="33"/>
  <c r="AF757" i="33"/>
  <c r="AF758" i="33"/>
  <c r="AF759" i="33"/>
  <c r="AF760" i="33"/>
  <c r="AF761" i="33"/>
  <c r="AF762" i="33"/>
  <c r="AF763" i="33"/>
  <c r="AF764" i="33"/>
  <c r="AF765" i="33"/>
  <c r="AF766" i="33"/>
  <c r="AF767" i="33"/>
  <c r="AF768" i="33"/>
  <c r="AF769" i="33"/>
  <c r="AF770" i="33"/>
  <c r="AF771" i="33"/>
  <c r="AF772" i="33"/>
  <c r="AF773" i="33"/>
  <c r="AF774" i="33"/>
  <c r="AF775" i="33"/>
  <c r="AF776" i="33"/>
  <c r="AF777" i="33"/>
  <c r="AF778" i="33"/>
  <c r="AF779" i="33"/>
  <c r="AF780" i="33"/>
  <c r="AF781" i="33"/>
  <c r="AF782" i="33"/>
  <c r="AF783" i="33"/>
  <c r="AF784" i="33"/>
  <c r="AF785" i="33"/>
  <c r="AF786" i="33"/>
  <c r="AF787" i="33"/>
  <c r="AF788" i="33"/>
  <c r="AF789" i="33"/>
  <c r="AF790" i="33"/>
  <c r="AF791" i="33"/>
  <c r="AF792" i="33"/>
  <c r="AF793" i="33"/>
  <c r="AF794" i="33"/>
  <c r="AF795" i="33"/>
  <c r="AF796" i="33"/>
  <c r="AF797" i="33"/>
  <c r="AF798" i="33"/>
  <c r="AF799" i="33"/>
  <c r="AF800" i="33"/>
  <c r="AF801" i="33"/>
  <c r="AF802" i="33"/>
  <c r="AF803" i="33"/>
  <c r="AF804" i="33"/>
  <c r="AF805" i="33"/>
  <c r="AF806" i="33"/>
  <c r="AF807" i="33"/>
  <c r="AF808" i="33"/>
  <c r="AF809" i="33"/>
  <c r="AF810" i="33"/>
  <c r="AF811" i="33"/>
  <c r="AF812" i="33"/>
  <c r="AF813" i="33"/>
  <c r="AF814" i="33"/>
  <c r="AF815" i="33"/>
  <c r="AF816" i="33"/>
  <c r="AF817" i="33"/>
  <c r="AF818" i="33"/>
  <c r="AF819" i="33"/>
  <c r="AF820" i="33"/>
  <c r="AF821" i="33"/>
  <c r="AF822" i="33"/>
  <c r="AF823" i="33"/>
  <c r="AF824" i="33"/>
  <c r="AF825" i="33"/>
  <c r="AF826" i="33"/>
  <c r="AF827" i="33"/>
  <c r="AF828" i="33"/>
  <c r="AF829" i="33"/>
  <c r="AF830" i="33"/>
  <c r="AF831" i="33"/>
  <c r="AF832" i="33"/>
  <c r="AF833" i="33"/>
  <c r="AF834" i="33"/>
  <c r="AF835" i="33"/>
  <c r="AF836" i="33"/>
  <c r="AF837" i="33"/>
  <c r="AF838" i="33"/>
  <c r="AF839" i="33"/>
  <c r="AF840" i="33"/>
  <c r="AF841" i="33"/>
  <c r="AF842" i="33"/>
  <c r="AF843" i="33"/>
  <c r="AF844" i="33"/>
  <c r="AF845" i="33"/>
  <c r="AF846" i="33"/>
  <c r="AF847" i="33"/>
  <c r="AF848" i="33"/>
  <c r="AF849" i="33"/>
  <c r="AF850" i="33"/>
  <c r="AF851" i="33"/>
  <c r="AF852" i="33"/>
  <c r="AF853" i="33"/>
  <c r="AF854" i="33"/>
  <c r="AF855" i="33"/>
  <c r="AF856" i="33"/>
  <c r="AF857" i="33"/>
  <c r="AF858" i="33"/>
  <c r="AF859" i="33"/>
  <c r="AF860" i="33"/>
  <c r="AF861" i="33"/>
  <c r="AF862" i="33"/>
  <c r="AF863" i="33"/>
  <c r="AF864" i="33"/>
  <c r="AF865" i="33"/>
  <c r="AF866" i="33"/>
  <c r="AF867" i="33"/>
  <c r="AF868" i="33"/>
  <c r="AF869" i="33"/>
  <c r="AF870" i="33"/>
  <c r="AF871" i="33"/>
  <c r="AF872" i="33"/>
  <c r="AF873" i="33"/>
  <c r="AF874" i="33"/>
  <c r="AF875" i="33"/>
  <c r="AF876" i="33"/>
  <c r="AF877" i="33"/>
  <c r="AF878" i="33"/>
  <c r="AF879" i="33"/>
  <c r="AF880" i="33"/>
  <c r="AF881" i="33"/>
  <c r="AF882" i="33"/>
  <c r="AF883" i="33"/>
  <c r="AF884" i="33"/>
  <c r="AF885" i="33"/>
  <c r="AF886" i="33"/>
  <c r="AF887" i="33"/>
  <c r="AF888" i="33"/>
  <c r="AF889" i="33"/>
  <c r="AF890" i="33"/>
  <c r="AF891" i="33"/>
  <c r="AF892" i="33"/>
  <c r="AF893" i="33"/>
  <c r="AF894" i="33"/>
  <c r="AF895" i="33"/>
  <c r="AF896" i="33"/>
  <c r="AF897" i="33"/>
  <c r="AF898" i="33"/>
  <c r="AF899" i="33"/>
  <c r="AF900" i="33"/>
  <c r="AF901" i="33"/>
  <c r="AF902" i="33"/>
  <c r="AF903" i="33"/>
  <c r="AF904" i="33"/>
  <c r="AF905" i="33"/>
  <c r="AF906" i="33"/>
  <c r="AF907" i="33"/>
  <c r="AF908" i="33"/>
  <c r="AF909" i="33"/>
  <c r="AF910" i="33"/>
  <c r="AF911" i="33"/>
  <c r="AF912" i="33"/>
  <c r="AF913" i="33"/>
  <c r="AF914" i="33"/>
  <c r="AF915" i="33"/>
  <c r="AF916" i="33"/>
  <c r="AF917" i="33"/>
  <c r="AF918" i="33"/>
  <c r="AF919" i="33"/>
  <c r="AF920" i="33"/>
  <c r="AF921" i="33"/>
  <c r="AF922" i="33"/>
  <c r="AF923" i="33"/>
  <c r="AF924" i="33"/>
  <c r="AF925" i="33"/>
  <c r="AF926" i="33"/>
  <c r="AF927" i="33"/>
  <c r="AF928" i="33"/>
  <c r="AF929" i="33"/>
  <c r="AF930" i="33"/>
  <c r="AF931" i="33"/>
  <c r="AF932" i="33"/>
  <c r="AF933" i="33"/>
  <c r="AF934" i="33"/>
  <c r="AF935" i="33"/>
  <c r="AF936" i="33"/>
  <c r="AF937" i="33"/>
  <c r="AF938" i="33"/>
  <c r="AF939" i="33"/>
  <c r="AF940" i="33"/>
  <c r="AF941" i="33"/>
  <c r="AF942" i="33"/>
  <c r="AF943" i="33"/>
  <c r="AF944" i="33"/>
  <c r="AF945" i="33"/>
  <c r="AF946" i="33"/>
  <c r="AF947" i="33"/>
  <c r="AF948" i="33"/>
  <c r="AF949" i="33"/>
  <c r="AF950" i="33"/>
  <c r="AF951" i="33"/>
  <c r="AF952" i="33"/>
  <c r="AF953" i="33"/>
  <c r="AF954" i="33"/>
  <c r="AF955" i="33"/>
  <c r="AF956" i="33"/>
  <c r="AF957" i="33"/>
  <c r="AF958" i="33"/>
  <c r="AF959" i="33"/>
  <c r="AF960" i="33"/>
  <c r="AF961" i="33"/>
  <c r="AF962" i="33"/>
  <c r="AF963" i="33"/>
  <c r="AF964" i="33"/>
  <c r="AF965" i="33"/>
  <c r="AF966" i="33"/>
  <c r="AF967" i="33"/>
  <c r="AF968" i="33"/>
  <c r="AF969" i="33"/>
  <c r="AF970" i="33"/>
  <c r="AF971" i="33"/>
  <c r="AF972" i="33"/>
  <c r="AF973" i="33"/>
  <c r="AF974" i="33"/>
  <c r="AF975" i="33"/>
  <c r="AF976" i="33"/>
  <c r="AF977" i="33"/>
  <c r="AF978" i="33"/>
  <c r="AF979" i="33"/>
  <c r="AF980" i="33"/>
  <c r="AF981" i="33"/>
  <c r="AF982" i="33"/>
  <c r="AF983" i="33"/>
  <c r="AF984" i="33"/>
  <c r="AF985" i="33"/>
  <c r="AF986" i="33"/>
  <c r="AF987" i="33"/>
  <c r="AF988" i="33"/>
  <c r="AF989" i="33"/>
  <c r="AF990" i="33"/>
  <c r="AF991" i="33"/>
  <c r="AF992" i="33"/>
  <c r="AF993" i="33"/>
  <c r="AF994" i="33"/>
  <c r="AF995" i="33"/>
  <c r="AF996" i="33"/>
  <c r="AF997" i="33"/>
  <c r="AF998" i="33"/>
  <c r="AF999" i="33"/>
  <c r="AF1000" i="33"/>
  <c r="AF1001" i="33"/>
  <c r="AF1002" i="33"/>
  <c r="AF1003" i="33"/>
  <c r="AF1004" i="33"/>
  <c r="AC141" i="33"/>
  <c r="AC142" i="33"/>
  <c r="AC143" i="33"/>
  <c r="AC144" i="33"/>
  <c r="AC145" i="33"/>
  <c r="AC146" i="33"/>
  <c r="AC147" i="33"/>
  <c r="AC148" i="33"/>
  <c r="AC149" i="33"/>
  <c r="AC150" i="33"/>
  <c r="AC151" i="33"/>
  <c r="AC152" i="33"/>
  <c r="AC153" i="33"/>
  <c r="AC154" i="33"/>
  <c r="AC155" i="33"/>
  <c r="AC156" i="33"/>
  <c r="AC157" i="33"/>
  <c r="AC158" i="33"/>
  <c r="AC159" i="33"/>
  <c r="AC160" i="33"/>
  <c r="AC161" i="33"/>
  <c r="AC162" i="33"/>
  <c r="AC163" i="33"/>
  <c r="AC164" i="33"/>
  <c r="AC165" i="33"/>
  <c r="AC166" i="33"/>
  <c r="AC167" i="33"/>
  <c r="AC168" i="33"/>
  <c r="AC169" i="33"/>
  <c r="AC170" i="33"/>
  <c r="AC171" i="33"/>
  <c r="AC172" i="33"/>
  <c r="AC173" i="33"/>
  <c r="AC174" i="33"/>
  <c r="AC175" i="33"/>
  <c r="AC176" i="33"/>
  <c r="AC177" i="33"/>
  <c r="AC178" i="33"/>
  <c r="AC179" i="33"/>
  <c r="AC180" i="33"/>
  <c r="AC181" i="33"/>
  <c r="AC182" i="33"/>
  <c r="AC183" i="33"/>
  <c r="AC184" i="33"/>
  <c r="AC185" i="33"/>
  <c r="AC186" i="33"/>
  <c r="AC187" i="33"/>
  <c r="AC188" i="33"/>
  <c r="AC189" i="33"/>
  <c r="AC190" i="33"/>
  <c r="AC191" i="33"/>
  <c r="AC192" i="33"/>
  <c r="AC193" i="33"/>
  <c r="AC194" i="33"/>
  <c r="AC195" i="33"/>
  <c r="AC196" i="33"/>
  <c r="AC197" i="33"/>
  <c r="AC198" i="33"/>
  <c r="AC199" i="33"/>
  <c r="AC200" i="33"/>
  <c r="AC201" i="33"/>
  <c r="AC202" i="33"/>
  <c r="AC203" i="33"/>
  <c r="AC204" i="33"/>
  <c r="AC205" i="33"/>
  <c r="AC206" i="33"/>
  <c r="AC207" i="33"/>
  <c r="AC208" i="33"/>
  <c r="AC209" i="33"/>
  <c r="AC210" i="33"/>
  <c r="AC211" i="33"/>
  <c r="AC212" i="33"/>
  <c r="AC213" i="33"/>
  <c r="AC214" i="33"/>
  <c r="AC215" i="33"/>
  <c r="AC216" i="33"/>
  <c r="AC217" i="33"/>
  <c r="AC218" i="33"/>
  <c r="AC219" i="33"/>
  <c r="AC220" i="33"/>
  <c r="AC221" i="33"/>
  <c r="AC222" i="33"/>
  <c r="AC223" i="33"/>
  <c r="AC224" i="33"/>
  <c r="AC225" i="33"/>
  <c r="AC226" i="33"/>
  <c r="AC227" i="33"/>
  <c r="AC228" i="33"/>
  <c r="AC229" i="33"/>
  <c r="AC230" i="33"/>
  <c r="AC231" i="33"/>
  <c r="AC232" i="33"/>
  <c r="AC233" i="33"/>
  <c r="AC234" i="33"/>
  <c r="AC235" i="33"/>
  <c r="AC236" i="33"/>
  <c r="AC237" i="33"/>
  <c r="AC238" i="33"/>
  <c r="AC239" i="33"/>
  <c r="AC240" i="33"/>
  <c r="AC241" i="33"/>
  <c r="AC242" i="33"/>
  <c r="AC243" i="33"/>
  <c r="AC244" i="33"/>
  <c r="AC245" i="33"/>
  <c r="AC246" i="33"/>
  <c r="AC247" i="33"/>
  <c r="AC248" i="33"/>
  <c r="AC249" i="33"/>
  <c r="AC250" i="33"/>
  <c r="AC251" i="33"/>
  <c r="AC252" i="33"/>
  <c r="AC253" i="33"/>
  <c r="AC254" i="33"/>
  <c r="AC255" i="33"/>
  <c r="AC256" i="33"/>
  <c r="AC257" i="33"/>
  <c r="AC258" i="33"/>
  <c r="AC259" i="33"/>
  <c r="AC260" i="33"/>
  <c r="AC261" i="33"/>
  <c r="AC262" i="33"/>
  <c r="AC263" i="33"/>
  <c r="AC264" i="33"/>
  <c r="AC265" i="33"/>
  <c r="AC266" i="33"/>
  <c r="AC267" i="33"/>
  <c r="AC268" i="33"/>
  <c r="AC269" i="33"/>
  <c r="AC270" i="33"/>
  <c r="AC271" i="33"/>
  <c r="AC272" i="33"/>
  <c r="AC273" i="33"/>
  <c r="AC274" i="33"/>
  <c r="AC275" i="33"/>
  <c r="AC276" i="33"/>
  <c r="AC277" i="33"/>
  <c r="AC278" i="33"/>
  <c r="AC279" i="33"/>
  <c r="AC280" i="33"/>
  <c r="AC281" i="33"/>
  <c r="AC282" i="33"/>
  <c r="AC283" i="33"/>
  <c r="AC284" i="33"/>
  <c r="AC285" i="33"/>
  <c r="AC286" i="33"/>
  <c r="AC287" i="33"/>
  <c r="AC288" i="33"/>
  <c r="AC289" i="33"/>
  <c r="AC290" i="33"/>
  <c r="AC291" i="33"/>
  <c r="AC292" i="33"/>
  <c r="AC293" i="33"/>
  <c r="AC294" i="33"/>
  <c r="AC295" i="33"/>
  <c r="AC296" i="33"/>
  <c r="AC297" i="33"/>
  <c r="AC298" i="33"/>
  <c r="AC299" i="33"/>
  <c r="AC300" i="33"/>
  <c r="AC301" i="33"/>
  <c r="AC302" i="33"/>
  <c r="AC303" i="33"/>
  <c r="AC304" i="33"/>
  <c r="AC305" i="33"/>
  <c r="AC306" i="33"/>
  <c r="AC307" i="33"/>
  <c r="AC308" i="33"/>
  <c r="AC309" i="33"/>
  <c r="AC310" i="33"/>
  <c r="AC311" i="33"/>
  <c r="AC312" i="33"/>
  <c r="AC313" i="33"/>
  <c r="AC314" i="33"/>
  <c r="AC315" i="33"/>
  <c r="AC316" i="33"/>
  <c r="AC317" i="33"/>
  <c r="AC318" i="33"/>
  <c r="AC319" i="33"/>
  <c r="AC320" i="33"/>
  <c r="AC321" i="33"/>
  <c r="AC322" i="33"/>
  <c r="AC323" i="33"/>
  <c r="AC324" i="33"/>
  <c r="AC325" i="33"/>
  <c r="AC326" i="33"/>
  <c r="AC327" i="33"/>
  <c r="AC328" i="33"/>
  <c r="AC329" i="33"/>
  <c r="AC330" i="33"/>
  <c r="AC331" i="33"/>
  <c r="AC332" i="33"/>
  <c r="AC333" i="33"/>
  <c r="AC334" i="33"/>
  <c r="AC335" i="33"/>
  <c r="AC336" i="33"/>
  <c r="AC337" i="33"/>
  <c r="AC338" i="33"/>
  <c r="AC339" i="33"/>
  <c r="AC340" i="33"/>
  <c r="AC341" i="33"/>
  <c r="AC342" i="33"/>
  <c r="AC343" i="33"/>
  <c r="AC344" i="33"/>
  <c r="AC345" i="33"/>
  <c r="AC346" i="33"/>
  <c r="AC347" i="33"/>
  <c r="AC348" i="33"/>
  <c r="AC349" i="33"/>
  <c r="AC350" i="33"/>
  <c r="AC351" i="33"/>
  <c r="AC352" i="33"/>
  <c r="AC353" i="33"/>
  <c r="AC354" i="33"/>
  <c r="AC355" i="33"/>
  <c r="AC356" i="33"/>
  <c r="AC357" i="33"/>
  <c r="AC358" i="33"/>
  <c r="AC359" i="33"/>
  <c r="AC360" i="33"/>
  <c r="AC361" i="33"/>
  <c r="AC362" i="33"/>
  <c r="AC363" i="33"/>
  <c r="AC364" i="33"/>
  <c r="AC365" i="33"/>
  <c r="AC366" i="33"/>
  <c r="AC367" i="33"/>
  <c r="AC368" i="33"/>
  <c r="AC369" i="33"/>
  <c r="AC370" i="33"/>
  <c r="AC371" i="33"/>
  <c r="AC372" i="33"/>
  <c r="AC373" i="33"/>
  <c r="AC374" i="33"/>
  <c r="AC375" i="33"/>
  <c r="AC376" i="33"/>
  <c r="AC377" i="33"/>
  <c r="AC378" i="33"/>
  <c r="AC379" i="33"/>
  <c r="AC380" i="33"/>
  <c r="AC381" i="33"/>
  <c r="AC382" i="33"/>
  <c r="AC383" i="33"/>
  <c r="AC384" i="33"/>
  <c r="AC385" i="33"/>
  <c r="AC386" i="33"/>
  <c r="AC387" i="33"/>
  <c r="AC388" i="33"/>
  <c r="AC389" i="33"/>
  <c r="AC390" i="33"/>
  <c r="AC391" i="33"/>
  <c r="AC392" i="33"/>
  <c r="AC393" i="33"/>
  <c r="AC394" i="33"/>
  <c r="AC395" i="33"/>
  <c r="AC396" i="33"/>
  <c r="AC397" i="33"/>
  <c r="AC398" i="33"/>
  <c r="AC399" i="33"/>
  <c r="AC400" i="33"/>
  <c r="AC401" i="33"/>
  <c r="AC402" i="33"/>
  <c r="AC403" i="33"/>
  <c r="AC404" i="33"/>
  <c r="AC405" i="33"/>
  <c r="AC406" i="33"/>
  <c r="AC407" i="33"/>
  <c r="AC408" i="33"/>
  <c r="AC409" i="33"/>
  <c r="AC410" i="33"/>
  <c r="AC411" i="33"/>
  <c r="AC412" i="33"/>
  <c r="AC413" i="33"/>
  <c r="AC414" i="33"/>
  <c r="AC415" i="33"/>
  <c r="AC416" i="33"/>
  <c r="AC417" i="33"/>
  <c r="AC418" i="33"/>
  <c r="AC419" i="33"/>
  <c r="AC420" i="33"/>
  <c r="AC421" i="33"/>
  <c r="AC422" i="33"/>
  <c r="AC423" i="33"/>
  <c r="AC424" i="33"/>
  <c r="AC425" i="33"/>
  <c r="AC426" i="33"/>
  <c r="AC427" i="33"/>
  <c r="AC428" i="33"/>
  <c r="AC429" i="33"/>
  <c r="AC430" i="33"/>
  <c r="AC431" i="33"/>
  <c r="AC432" i="33"/>
  <c r="AC433" i="33"/>
  <c r="AC434" i="33"/>
  <c r="AC435" i="33"/>
  <c r="AC436" i="33"/>
  <c r="AC437" i="33"/>
  <c r="AC438" i="33"/>
  <c r="AC439" i="33"/>
  <c r="AC440" i="33"/>
  <c r="AC441" i="33"/>
  <c r="AC442" i="33"/>
  <c r="AC443" i="33"/>
  <c r="AC444" i="33"/>
  <c r="AC445" i="33"/>
  <c r="AC446" i="33"/>
  <c r="AC447" i="33"/>
  <c r="AC448" i="33"/>
  <c r="AC449" i="33"/>
  <c r="AC450" i="33"/>
  <c r="AC451" i="33"/>
  <c r="AC452" i="33"/>
  <c r="AC453" i="33"/>
  <c r="AC454" i="33"/>
  <c r="AC455" i="33"/>
  <c r="AC456" i="33"/>
  <c r="AC457" i="33"/>
  <c r="AC458" i="33"/>
  <c r="AC459" i="33"/>
  <c r="AC460" i="33"/>
  <c r="AC461" i="33"/>
  <c r="AC462" i="33"/>
  <c r="AC463" i="33"/>
  <c r="AC464" i="33"/>
  <c r="AC465" i="33"/>
  <c r="AC466" i="33"/>
  <c r="AC467" i="33"/>
  <c r="AC468" i="33"/>
  <c r="AC469" i="33"/>
  <c r="AC470" i="33"/>
  <c r="AC471" i="33"/>
  <c r="AC472" i="33"/>
  <c r="AC473" i="33"/>
  <c r="AC474" i="33"/>
  <c r="AC475" i="33"/>
  <c r="AC476" i="33"/>
  <c r="AC477" i="33"/>
  <c r="AC478" i="33"/>
  <c r="AC479" i="33"/>
  <c r="AC480" i="33"/>
  <c r="AC481" i="33"/>
  <c r="AC482" i="33"/>
  <c r="AC483" i="33"/>
  <c r="AC484" i="33"/>
  <c r="AC485" i="33"/>
  <c r="AC486" i="33"/>
  <c r="AC487" i="33"/>
  <c r="AC488" i="33"/>
  <c r="AC489" i="33"/>
  <c r="AC490" i="33"/>
  <c r="AC491" i="33"/>
  <c r="AC492" i="33"/>
  <c r="AC493" i="33"/>
  <c r="AC494" i="33"/>
  <c r="AC495" i="33"/>
  <c r="AC496" i="33"/>
  <c r="AC497" i="33"/>
  <c r="AC498" i="33"/>
  <c r="AC499" i="33"/>
  <c r="AC500" i="33"/>
  <c r="AC501" i="33"/>
  <c r="AC502" i="33"/>
  <c r="AC503" i="33"/>
  <c r="AC504" i="33"/>
  <c r="AC505" i="33"/>
  <c r="AC506" i="33"/>
  <c r="AC507" i="33"/>
  <c r="AC508" i="33"/>
  <c r="AC509" i="33"/>
  <c r="AC510" i="33"/>
  <c r="AC511" i="33"/>
  <c r="AC512" i="33"/>
  <c r="AC513" i="33"/>
  <c r="AC514" i="33"/>
  <c r="AC515" i="33"/>
  <c r="AC516" i="33"/>
  <c r="AC517" i="33"/>
  <c r="AC518" i="33"/>
  <c r="AC519" i="33"/>
  <c r="AC520" i="33"/>
  <c r="AC521" i="33"/>
  <c r="AC522" i="33"/>
  <c r="AC523" i="33"/>
  <c r="AC524" i="33"/>
  <c r="AC525" i="33"/>
  <c r="AC526" i="33"/>
  <c r="AC527" i="33"/>
  <c r="AC528" i="33"/>
  <c r="AC529" i="33"/>
  <c r="AC530" i="33"/>
  <c r="AC531" i="33"/>
  <c r="AC532" i="33"/>
  <c r="AC533" i="33"/>
  <c r="AC534" i="33"/>
  <c r="AC535" i="33"/>
  <c r="AC536" i="33"/>
  <c r="AC537" i="33"/>
  <c r="AC538" i="33"/>
  <c r="AC539" i="33"/>
  <c r="AC540" i="33"/>
  <c r="AC541" i="33"/>
  <c r="AC542" i="33"/>
  <c r="AC543" i="33"/>
  <c r="AC544" i="33"/>
  <c r="AC545" i="33"/>
  <c r="AC546" i="33"/>
  <c r="AC547" i="33"/>
  <c r="AC548" i="33"/>
  <c r="AC549" i="33"/>
  <c r="AC550" i="33"/>
  <c r="AC551" i="33"/>
  <c r="AC552" i="33"/>
  <c r="AC553" i="33"/>
  <c r="AC554" i="33"/>
  <c r="AC555" i="33"/>
  <c r="AC556" i="33"/>
  <c r="AC557" i="33"/>
  <c r="AC558" i="33"/>
  <c r="AC559" i="33"/>
  <c r="AC560" i="33"/>
  <c r="AC561" i="33"/>
  <c r="AC562" i="33"/>
  <c r="AC563" i="33"/>
  <c r="AC564" i="33"/>
  <c r="AC565" i="33"/>
  <c r="AC566" i="33"/>
  <c r="AC567" i="33"/>
  <c r="AC568" i="33"/>
  <c r="AC569" i="33"/>
  <c r="AC570" i="33"/>
  <c r="AC571" i="33"/>
  <c r="AC572" i="33"/>
  <c r="AC573" i="33"/>
  <c r="AC574" i="33"/>
  <c r="AC575" i="33"/>
  <c r="AC576" i="33"/>
  <c r="AC577" i="33"/>
  <c r="AC578" i="33"/>
  <c r="AC579" i="33"/>
  <c r="AC580" i="33"/>
  <c r="AC581" i="33"/>
  <c r="AC582" i="33"/>
  <c r="AC583" i="33"/>
  <c r="AC584" i="33"/>
  <c r="AC585" i="33"/>
  <c r="AC586" i="33"/>
  <c r="AC587" i="33"/>
  <c r="AC588" i="33"/>
  <c r="AC589" i="33"/>
  <c r="AC590" i="33"/>
  <c r="AC591" i="33"/>
  <c r="AC592" i="33"/>
  <c r="AC593" i="33"/>
  <c r="AC594" i="33"/>
  <c r="AC595" i="33"/>
  <c r="AC596" i="33"/>
  <c r="AC597" i="33"/>
  <c r="AC598" i="33"/>
  <c r="AC599" i="33"/>
  <c r="AC600" i="33"/>
  <c r="AC601" i="33"/>
  <c r="AC602" i="33"/>
  <c r="AC603" i="33"/>
  <c r="AC604" i="33"/>
  <c r="AC605" i="33"/>
  <c r="AC606" i="33"/>
  <c r="AC607" i="33"/>
  <c r="AC608" i="33"/>
  <c r="AC609" i="33"/>
  <c r="AC610" i="33"/>
  <c r="AC611" i="33"/>
  <c r="AC612" i="33"/>
  <c r="AC613" i="33"/>
  <c r="AC614" i="33"/>
  <c r="AC615" i="33"/>
  <c r="AC616" i="33"/>
  <c r="AC617" i="33"/>
  <c r="AC618" i="33"/>
  <c r="AC619" i="33"/>
  <c r="AC620" i="33"/>
  <c r="AC621" i="33"/>
  <c r="AC622" i="33"/>
  <c r="AC623" i="33"/>
  <c r="AC624" i="33"/>
  <c r="AC625" i="33"/>
  <c r="AC626" i="33"/>
  <c r="AC627" i="33"/>
  <c r="AC628" i="33"/>
  <c r="AC629" i="33"/>
  <c r="AC630" i="33"/>
  <c r="AC631" i="33"/>
  <c r="AC632" i="33"/>
  <c r="AC633" i="33"/>
  <c r="AC634" i="33"/>
  <c r="AC635" i="33"/>
  <c r="AC636" i="33"/>
  <c r="AC637" i="33"/>
  <c r="AC638" i="33"/>
  <c r="AC639" i="33"/>
  <c r="AC640" i="33"/>
  <c r="AC641" i="33"/>
  <c r="AC642" i="33"/>
  <c r="AC643" i="33"/>
  <c r="AC644" i="33"/>
  <c r="AC645" i="33"/>
  <c r="AC646" i="33"/>
  <c r="AC647" i="33"/>
  <c r="AC648" i="33"/>
  <c r="AC649" i="33"/>
  <c r="AC650" i="33"/>
  <c r="AC651" i="33"/>
  <c r="AC652" i="33"/>
  <c r="AC653" i="33"/>
  <c r="AC654" i="33"/>
  <c r="AC655" i="33"/>
  <c r="AC656" i="33"/>
  <c r="AC657" i="33"/>
  <c r="AC658" i="33"/>
  <c r="AC659" i="33"/>
  <c r="AC660" i="33"/>
  <c r="AC661" i="33"/>
  <c r="AC662" i="33"/>
  <c r="AC663" i="33"/>
  <c r="AC664" i="33"/>
  <c r="AC665" i="33"/>
  <c r="AC666" i="33"/>
  <c r="AC667" i="33"/>
  <c r="AC668" i="33"/>
  <c r="AC669" i="33"/>
  <c r="AC670" i="33"/>
  <c r="AC671" i="33"/>
  <c r="AC672" i="33"/>
  <c r="AC673" i="33"/>
  <c r="AC674" i="33"/>
  <c r="AC675" i="33"/>
  <c r="AC676" i="33"/>
  <c r="AC677" i="33"/>
  <c r="AC678" i="33"/>
  <c r="AC679" i="33"/>
  <c r="AC680" i="33"/>
  <c r="AC681" i="33"/>
  <c r="AC682" i="33"/>
  <c r="AC683" i="33"/>
  <c r="AC684" i="33"/>
  <c r="AC685" i="33"/>
  <c r="AC686" i="33"/>
  <c r="AC687" i="33"/>
  <c r="AC688" i="33"/>
  <c r="AC689" i="33"/>
  <c r="AC690" i="33"/>
  <c r="AC691" i="33"/>
  <c r="AC692" i="33"/>
  <c r="AC693" i="33"/>
  <c r="AC694" i="33"/>
  <c r="AC695" i="33"/>
  <c r="AC696" i="33"/>
  <c r="AC697" i="33"/>
  <c r="AC698" i="33"/>
  <c r="AC699" i="33"/>
  <c r="AC700" i="33"/>
  <c r="AC701" i="33"/>
  <c r="AC702" i="33"/>
  <c r="AC703" i="33"/>
  <c r="AC704" i="33"/>
  <c r="AC705" i="33"/>
  <c r="AC706" i="33"/>
  <c r="AC707" i="33"/>
  <c r="AC708" i="33"/>
  <c r="AC709" i="33"/>
  <c r="AC710" i="33"/>
  <c r="AC711" i="33"/>
  <c r="AC712" i="33"/>
  <c r="AC713" i="33"/>
  <c r="AC714" i="33"/>
  <c r="AC715" i="33"/>
  <c r="AC716" i="33"/>
  <c r="AC717" i="33"/>
  <c r="AC718" i="33"/>
  <c r="AC719" i="33"/>
  <c r="AC720" i="33"/>
  <c r="AC721" i="33"/>
  <c r="AC722" i="33"/>
  <c r="AC723" i="33"/>
  <c r="AC724" i="33"/>
  <c r="AC725" i="33"/>
  <c r="AC726" i="33"/>
  <c r="AC727" i="33"/>
  <c r="AC728" i="33"/>
  <c r="AC729" i="33"/>
  <c r="AC730" i="33"/>
  <c r="AC731" i="33"/>
  <c r="AC732" i="33"/>
  <c r="AC733" i="33"/>
  <c r="AC734" i="33"/>
  <c r="AC735" i="33"/>
  <c r="AC736" i="33"/>
  <c r="AC737" i="33"/>
  <c r="AC738" i="33"/>
  <c r="AC739" i="33"/>
  <c r="AC740" i="33"/>
  <c r="AC741" i="33"/>
  <c r="AC742" i="33"/>
  <c r="AC743" i="33"/>
  <c r="AC744" i="33"/>
  <c r="AC745" i="33"/>
  <c r="AC746" i="33"/>
  <c r="AC747" i="33"/>
  <c r="AC748" i="33"/>
  <c r="AC749" i="33"/>
  <c r="AC750" i="33"/>
  <c r="AC751" i="33"/>
  <c r="AC752" i="33"/>
  <c r="AC753" i="33"/>
  <c r="AC754" i="33"/>
  <c r="AC755" i="33"/>
  <c r="AC756" i="33"/>
  <c r="AC757" i="33"/>
  <c r="AC758" i="33"/>
  <c r="AC759" i="33"/>
  <c r="AC760" i="33"/>
  <c r="AC761" i="33"/>
  <c r="AC762" i="33"/>
  <c r="AC763" i="33"/>
  <c r="AC764" i="33"/>
  <c r="AC765" i="33"/>
  <c r="AC766" i="33"/>
  <c r="AC767" i="33"/>
  <c r="AC768" i="33"/>
  <c r="AC769" i="33"/>
  <c r="AC770" i="33"/>
  <c r="AC771" i="33"/>
  <c r="AC772" i="33"/>
  <c r="AC773" i="33"/>
  <c r="AC774" i="33"/>
  <c r="AC775" i="33"/>
  <c r="AC776" i="33"/>
  <c r="AC777" i="33"/>
  <c r="AC778" i="33"/>
  <c r="AC779" i="33"/>
  <c r="AC780" i="33"/>
  <c r="AC781" i="33"/>
  <c r="AC782" i="33"/>
  <c r="AC783" i="33"/>
  <c r="AC784" i="33"/>
  <c r="AC785" i="33"/>
  <c r="AC786" i="33"/>
  <c r="AC787" i="33"/>
  <c r="AC788" i="33"/>
  <c r="AC789" i="33"/>
  <c r="AC790" i="33"/>
  <c r="AC791" i="33"/>
  <c r="AC792" i="33"/>
  <c r="AC793" i="33"/>
  <c r="AC794" i="33"/>
  <c r="AC795" i="33"/>
  <c r="AC796" i="33"/>
  <c r="AC797" i="33"/>
  <c r="AC798" i="33"/>
  <c r="AC799" i="33"/>
  <c r="AC800" i="33"/>
  <c r="AC801" i="33"/>
  <c r="AC802" i="33"/>
  <c r="AC803" i="33"/>
  <c r="AC804" i="33"/>
  <c r="AC805" i="33"/>
  <c r="AC806" i="33"/>
  <c r="AC807" i="33"/>
  <c r="AC808" i="33"/>
  <c r="AC809" i="33"/>
  <c r="AC810" i="33"/>
  <c r="AC811" i="33"/>
  <c r="AC812" i="33"/>
  <c r="AC813" i="33"/>
  <c r="AC814" i="33"/>
  <c r="AC815" i="33"/>
  <c r="AC816" i="33"/>
  <c r="AC817" i="33"/>
  <c r="AC818" i="33"/>
  <c r="AC819" i="33"/>
  <c r="AC820" i="33"/>
  <c r="AC821" i="33"/>
  <c r="AC822" i="33"/>
  <c r="AC823" i="33"/>
  <c r="AC824" i="33"/>
  <c r="AC825" i="33"/>
  <c r="AC826" i="33"/>
  <c r="AC827" i="33"/>
  <c r="AC828" i="33"/>
  <c r="AC829" i="33"/>
  <c r="AC830" i="33"/>
  <c r="AC831" i="33"/>
  <c r="AC832" i="33"/>
  <c r="AC833" i="33"/>
  <c r="AC834" i="33"/>
  <c r="AC835" i="33"/>
  <c r="AC836" i="33"/>
  <c r="AC837" i="33"/>
  <c r="AC838" i="33"/>
  <c r="AC839" i="33"/>
  <c r="AC840" i="33"/>
  <c r="AC841" i="33"/>
  <c r="AC842" i="33"/>
  <c r="AC843" i="33"/>
  <c r="AC844" i="33"/>
  <c r="AC845" i="33"/>
  <c r="AC846" i="33"/>
  <c r="AC847" i="33"/>
  <c r="AC848" i="33"/>
  <c r="AC849" i="33"/>
  <c r="AC850" i="33"/>
  <c r="AC851" i="33"/>
  <c r="AC852" i="33"/>
  <c r="AC853" i="33"/>
  <c r="AC854" i="33"/>
  <c r="AC855" i="33"/>
  <c r="AC856" i="33"/>
  <c r="AC857" i="33"/>
  <c r="AC858" i="33"/>
  <c r="AC859" i="33"/>
  <c r="AC860" i="33"/>
  <c r="AC861" i="33"/>
  <c r="AC862" i="33"/>
  <c r="AC863" i="33"/>
  <c r="AC864" i="33"/>
  <c r="AC865" i="33"/>
  <c r="AC866" i="33"/>
  <c r="AC867" i="33"/>
  <c r="AC868" i="33"/>
  <c r="AC869" i="33"/>
  <c r="AC870" i="33"/>
  <c r="AC871" i="33"/>
  <c r="AC872" i="33"/>
  <c r="AC873" i="33"/>
  <c r="AC874" i="33"/>
  <c r="AC875" i="33"/>
  <c r="AC876" i="33"/>
  <c r="AC877" i="33"/>
  <c r="AC878" i="33"/>
  <c r="AC879" i="33"/>
  <c r="AC880" i="33"/>
  <c r="AC881" i="33"/>
  <c r="AC882" i="33"/>
  <c r="AC883" i="33"/>
  <c r="AC884" i="33"/>
  <c r="AC885" i="33"/>
  <c r="AC886" i="33"/>
  <c r="AC887" i="33"/>
  <c r="AC888" i="33"/>
  <c r="AC889" i="33"/>
  <c r="AC890" i="33"/>
  <c r="AC891" i="33"/>
  <c r="AC892" i="33"/>
  <c r="AC893" i="33"/>
  <c r="AC894" i="33"/>
  <c r="AC895" i="33"/>
  <c r="AC896" i="33"/>
  <c r="AC897" i="33"/>
  <c r="AC898" i="33"/>
  <c r="AC899" i="33"/>
  <c r="AC900" i="33"/>
  <c r="AC901" i="33"/>
  <c r="AC902" i="33"/>
  <c r="AC903" i="33"/>
  <c r="AC904" i="33"/>
  <c r="AC905" i="33"/>
  <c r="AC906" i="33"/>
  <c r="AC907" i="33"/>
  <c r="AC908" i="33"/>
  <c r="AC909" i="33"/>
  <c r="AC910" i="33"/>
  <c r="AC911" i="33"/>
  <c r="AC912" i="33"/>
  <c r="AC913" i="33"/>
  <c r="AC914" i="33"/>
  <c r="AC915" i="33"/>
  <c r="AC916" i="33"/>
  <c r="AC917" i="33"/>
  <c r="AC918" i="33"/>
  <c r="AC919" i="33"/>
  <c r="AC920" i="33"/>
  <c r="AC921" i="33"/>
  <c r="AC922" i="33"/>
  <c r="AC923" i="33"/>
  <c r="AC924" i="33"/>
  <c r="AC925" i="33"/>
  <c r="AC926" i="33"/>
  <c r="AC927" i="33"/>
  <c r="AC928" i="33"/>
  <c r="AC929" i="33"/>
  <c r="AC930" i="33"/>
  <c r="AC931" i="33"/>
  <c r="AC932" i="33"/>
  <c r="AC933" i="33"/>
  <c r="AC934" i="33"/>
  <c r="AC935" i="33"/>
  <c r="AC936" i="33"/>
  <c r="AC937" i="33"/>
  <c r="AC938" i="33"/>
  <c r="AC939" i="33"/>
  <c r="AC940" i="33"/>
  <c r="AC941" i="33"/>
  <c r="AC942" i="33"/>
  <c r="AC943" i="33"/>
  <c r="AC944" i="33"/>
  <c r="AC945" i="33"/>
  <c r="AC946" i="33"/>
  <c r="AC947" i="33"/>
  <c r="AC948" i="33"/>
  <c r="AC949" i="33"/>
  <c r="AC950" i="33"/>
  <c r="AC951" i="33"/>
  <c r="AC952" i="33"/>
  <c r="AC953" i="33"/>
  <c r="AC954" i="33"/>
  <c r="AC955" i="33"/>
  <c r="AC956" i="33"/>
  <c r="AC957" i="33"/>
  <c r="AC958" i="33"/>
  <c r="AC959" i="33"/>
  <c r="AC960" i="33"/>
  <c r="AC961" i="33"/>
  <c r="AC962" i="33"/>
  <c r="AC963" i="33"/>
  <c r="AC964" i="33"/>
  <c r="AC965" i="33"/>
  <c r="AC966" i="33"/>
  <c r="AC967" i="33"/>
  <c r="AC968" i="33"/>
  <c r="AC969" i="33"/>
  <c r="AC970" i="33"/>
  <c r="AC971" i="33"/>
  <c r="AC972" i="33"/>
  <c r="AC973" i="33"/>
  <c r="AC974" i="33"/>
  <c r="AC975" i="33"/>
  <c r="AC976" i="33"/>
  <c r="AC977" i="33"/>
  <c r="AC978" i="33"/>
  <c r="AC979" i="33"/>
  <c r="AC980" i="33"/>
  <c r="AC981" i="33"/>
  <c r="AC982" i="33"/>
  <c r="AC983" i="33"/>
  <c r="AC984" i="33"/>
  <c r="AC985" i="33"/>
  <c r="AC986" i="33"/>
  <c r="AC987" i="33"/>
  <c r="AC988" i="33"/>
  <c r="AC989" i="33"/>
  <c r="AC990" i="33"/>
  <c r="AC991" i="33"/>
  <c r="AC992" i="33"/>
  <c r="AC993" i="33"/>
  <c r="AC994" i="33"/>
  <c r="AC995" i="33"/>
  <c r="AC996" i="33"/>
  <c r="AC997" i="33"/>
  <c r="AC998" i="33"/>
  <c r="AC999" i="33"/>
  <c r="AC1000" i="33"/>
  <c r="AC1001" i="33"/>
  <c r="AC1002" i="33"/>
  <c r="AC1003" i="33"/>
  <c r="AC1004" i="33"/>
  <c r="Z141" i="33"/>
  <c r="Z142" i="33"/>
  <c r="Z143" i="33"/>
  <c r="Z144" i="33"/>
  <c r="Z145" i="33"/>
  <c r="Z146" i="33"/>
  <c r="Z147" i="33"/>
  <c r="Z148" i="33"/>
  <c r="Z149" i="33"/>
  <c r="Z150" i="33"/>
  <c r="Z151" i="33"/>
  <c r="Z152" i="33"/>
  <c r="Z153" i="33"/>
  <c r="Z154" i="33"/>
  <c r="Z155" i="33"/>
  <c r="Z156" i="33"/>
  <c r="Z157" i="33"/>
  <c r="Z158" i="33"/>
  <c r="Z159" i="33"/>
  <c r="Z160" i="33"/>
  <c r="Z161" i="33"/>
  <c r="Z162" i="33"/>
  <c r="Z163" i="33"/>
  <c r="Z164" i="33"/>
  <c r="Z165" i="33"/>
  <c r="Z166" i="33"/>
  <c r="Z167" i="33"/>
  <c r="Z168" i="33"/>
  <c r="Z169" i="33"/>
  <c r="Z170" i="33"/>
  <c r="Z171" i="33"/>
  <c r="Z172" i="33"/>
  <c r="Z173" i="33"/>
  <c r="Z174" i="33"/>
  <c r="Z175" i="33"/>
  <c r="Z176" i="33"/>
  <c r="Z177" i="33"/>
  <c r="Z178" i="33"/>
  <c r="Z179" i="33"/>
  <c r="Z180" i="33"/>
  <c r="Z181" i="33"/>
  <c r="Z182" i="33"/>
  <c r="Z183" i="33"/>
  <c r="Z184" i="33"/>
  <c r="Z185" i="33"/>
  <c r="Z186" i="33"/>
  <c r="Z187" i="33"/>
  <c r="Z188" i="33"/>
  <c r="Z189" i="33"/>
  <c r="Z190" i="33"/>
  <c r="Z191" i="33"/>
  <c r="Z192" i="33"/>
  <c r="Z193" i="33"/>
  <c r="Z194" i="33"/>
  <c r="Z195" i="33"/>
  <c r="Z196" i="33"/>
  <c r="Z197" i="33"/>
  <c r="Z198" i="33"/>
  <c r="Z199" i="33"/>
  <c r="Z200" i="33"/>
  <c r="Z201" i="33"/>
  <c r="Z202" i="33"/>
  <c r="Z203" i="33"/>
  <c r="Z204" i="33"/>
  <c r="Z205" i="33"/>
  <c r="Z206" i="33"/>
  <c r="Z207" i="33"/>
  <c r="Z208" i="33"/>
  <c r="Z209" i="33"/>
  <c r="Z210" i="33"/>
  <c r="Z211" i="33"/>
  <c r="Z212" i="33"/>
  <c r="Z213" i="33"/>
  <c r="Z214" i="33"/>
  <c r="Z215" i="33"/>
  <c r="Z216" i="33"/>
  <c r="Z217" i="33"/>
  <c r="Z218" i="33"/>
  <c r="Z219" i="33"/>
  <c r="Z220" i="33"/>
  <c r="Z221" i="33"/>
  <c r="Z222" i="33"/>
  <c r="Z223" i="33"/>
  <c r="Z224" i="33"/>
  <c r="Z225" i="33"/>
  <c r="Z226" i="33"/>
  <c r="Z227" i="33"/>
  <c r="Z228" i="33"/>
  <c r="Z229" i="33"/>
  <c r="Z230" i="33"/>
  <c r="Z231" i="33"/>
  <c r="Z232" i="33"/>
  <c r="Z233" i="33"/>
  <c r="Z234" i="33"/>
  <c r="Z235" i="33"/>
  <c r="Z236" i="33"/>
  <c r="Z237" i="33"/>
  <c r="Z238" i="33"/>
  <c r="Z239" i="33"/>
  <c r="Z240" i="33"/>
  <c r="Z241" i="33"/>
  <c r="Z242" i="33"/>
  <c r="Z243" i="33"/>
  <c r="Z244" i="33"/>
  <c r="Z245" i="33"/>
  <c r="Z246" i="33"/>
  <c r="Z247" i="33"/>
  <c r="Z248" i="33"/>
  <c r="Z249" i="33"/>
  <c r="Z250" i="33"/>
  <c r="Z251" i="33"/>
  <c r="Z252" i="33"/>
  <c r="Z253" i="33"/>
  <c r="Z254" i="33"/>
  <c r="Z255" i="33"/>
  <c r="Z256" i="33"/>
  <c r="Z257" i="33"/>
  <c r="Z258" i="33"/>
  <c r="Z259" i="33"/>
  <c r="Z260" i="33"/>
  <c r="Z261" i="33"/>
  <c r="Z262" i="33"/>
  <c r="Z263" i="33"/>
  <c r="Z264" i="33"/>
  <c r="Z265" i="33"/>
  <c r="Z266" i="33"/>
  <c r="Z267" i="33"/>
  <c r="Z268" i="33"/>
  <c r="Z269" i="33"/>
  <c r="Z270" i="33"/>
  <c r="Z271" i="33"/>
  <c r="Z272" i="33"/>
  <c r="Z273" i="33"/>
  <c r="Z274" i="33"/>
  <c r="Z275" i="33"/>
  <c r="Z276" i="33"/>
  <c r="Z277" i="33"/>
  <c r="Z278" i="33"/>
  <c r="Z279" i="33"/>
  <c r="Z280" i="33"/>
  <c r="Z281" i="33"/>
  <c r="Z282" i="33"/>
  <c r="Z283" i="33"/>
  <c r="Z284" i="33"/>
  <c r="Z285" i="33"/>
  <c r="Z286" i="33"/>
  <c r="Z287" i="33"/>
  <c r="Z288" i="33"/>
  <c r="Z289" i="33"/>
  <c r="Z290" i="33"/>
  <c r="Z291" i="33"/>
  <c r="Z292" i="33"/>
  <c r="Z293" i="33"/>
  <c r="Z294" i="33"/>
  <c r="Z295" i="33"/>
  <c r="Z296" i="33"/>
  <c r="Z297" i="33"/>
  <c r="Z298" i="33"/>
  <c r="Z299" i="33"/>
  <c r="Z300" i="33"/>
  <c r="Z301" i="33"/>
  <c r="Z302" i="33"/>
  <c r="Z303" i="33"/>
  <c r="Z304" i="33"/>
  <c r="Z305" i="33"/>
  <c r="Z306" i="33"/>
  <c r="Z307" i="33"/>
  <c r="Z308" i="33"/>
  <c r="Z309" i="33"/>
  <c r="Z310" i="33"/>
  <c r="Z311" i="33"/>
  <c r="Z312" i="33"/>
  <c r="Z313" i="33"/>
  <c r="Z314" i="33"/>
  <c r="Z315" i="33"/>
  <c r="Z316" i="33"/>
  <c r="Z317" i="33"/>
  <c r="Z318" i="33"/>
  <c r="Z319" i="33"/>
  <c r="Z320" i="33"/>
  <c r="Z321" i="33"/>
  <c r="Z322" i="33"/>
  <c r="Z323" i="33"/>
  <c r="Z324" i="33"/>
  <c r="Z325" i="33"/>
  <c r="Z326" i="33"/>
  <c r="Z327" i="33"/>
  <c r="Z328" i="33"/>
  <c r="Z329" i="33"/>
  <c r="Z330" i="33"/>
  <c r="Z331" i="33"/>
  <c r="Z332" i="33"/>
  <c r="Z333" i="33"/>
  <c r="Z334" i="33"/>
  <c r="Z335" i="33"/>
  <c r="Z336" i="33"/>
  <c r="Z337" i="33"/>
  <c r="Z338" i="33"/>
  <c r="Z339" i="33"/>
  <c r="Z340" i="33"/>
  <c r="Z341" i="33"/>
  <c r="Z342" i="33"/>
  <c r="Z343" i="33"/>
  <c r="Z344" i="33"/>
  <c r="Z345" i="33"/>
  <c r="Z346" i="33"/>
  <c r="Z347" i="33"/>
  <c r="Z348" i="33"/>
  <c r="Z349" i="33"/>
  <c r="Z350" i="33"/>
  <c r="Z351" i="33"/>
  <c r="Z352" i="33"/>
  <c r="Z353" i="33"/>
  <c r="Z354" i="33"/>
  <c r="Z355" i="33"/>
  <c r="Z356" i="33"/>
  <c r="Z357" i="33"/>
  <c r="Z358" i="33"/>
  <c r="Z359" i="33"/>
  <c r="Z360" i="33"/>
  <c r="Z361" i="33"/>
  <c r="Z362" i="33"/>
  <c r="Z363" i="33"/>
  <c r="Z364" i="33"/>
  <c r="Z365" i="33"/>
  <c r="Z366" i="33"/>
  <c r="Z367" i="33"/>
  <c r="Z368" i="33"/>
  <c r="Z369" i="33"/>
  <c r="Z370" i="33"/>
  <c r="Z371" i="33"/>
  <c r="Z372" i="33"/>
  <c r="Z373" i="33"/>
  <c r="Z374" i="33"/>
  <c r="Z375" i="33"/>
  <c r="Z376" i="33"/>
  <c r="Z377" i="33"/>
  <c r="Z378" i="33"/>
  <c r="Z379" i="33"/>
  <c r="Z380" i="33"/>
  <c r="Z381" i="33"/>
  <c r="Z382" i="33"/>
  <c r="Z383" i="33"/>
  <c r="Z384" i="33"/>
  <c r="Z385" i="33"/>
  <c r="Z386" i="33"/>
  <c r="Z387" i="33"/>
  <c r="Z388" i="33"/>
  <c r="Z389" i="33"/>
  <c r="Z390" i="33"/>
  <c r="Z391" i="33"/>
  <c r="Z392" i="33"/>
  <c r="Z393" i="33"/>
  <c r="Z394" i="33"/>
  <c r="Z395" i="33"/>
  <c r="Z396" i="33"/>
  <c r="Z397" i="33"/>
  <c r="Z398" i="33"/>
  <c r="Z399" i="33"/>
  <c r="Z400" i="33"/>
  <c r="Z401" i="33"/>
  <c r="Z402" i="33"/>
  <c r="Z403" i="33"/>
  <c r="Z404" i="33"/>
  <c r="Z405" i="33"/>
  <c r="Z406" i="33"/>
  <c r="Z407" i="33"/>
  <c r="Z408" i="33"/>
  <c r="Z409" i="33"/>
  <c r="Z410" i="33"/>
  <c r="Z411" i="33"/>
  <c r="Z412" i="33"/>
  <c r="Z413" i="33"/>
  <c r="Z414" i="33"/>
  <c r="Z415" i="33"/>
  <c r="Z416" i="33"/>
  <c r="Z417" i="33"/>
  <c r="Z418" i="33"/>
  <c r="Z419" i="33"/>
  <c r="Z420" i="33"/>
  <c r="Z421" i="33"/>
  <c r="Z422" i="33"/>
  <c r="Z423" i="33"/>
  <c r="Z424" i="33"/>
  <c r="Z425" i="33"/>
  <c r="Z426" i="33"/>
  <c r="Z427" i="33"/>
  <c r="Z428" i="33"/>
  <c r="Z429" i="33"/>
  <c r="Z430" i="33"/>
  <c r="Z431" i="33"/>
  <c r="Z432" i="33"/>
  <c r="Z433" i="33"/>
  <c r="Z434" i="33"/>
  <c r="Z435" i="33"/>
  <c r="Z436" i="33"/>
  <c r="Z437" i="33"/>
  <c r="Z438" i="33"/>
  <c r="Z439" i="33"/>
  <c r="Z440" i="33"/>
  <c r="Z441" i="33"/>
  <c r="Z442" i="33"/>
  <c r="Z443" i="33"/>
  <c r="Z444" i="33"/>
  <c r="Z445" i="33"/>
  <c r="Z446" i="33"/>
  <c r="Z447" i="33"/>
  <c r="Z448" i="33"/>
  <c r="Z449" i="33"/>
  <c r="Z450" i="33"/>
  <c r="Z451" i="33"/>
  <c r="Z452" i="33"/>
  <c r="Z453" i="33"/>
  <c r="Z454" i="33"/>
  <c r="Z455" i="33"/>
  <c r="Z456" i="33"/>
  <c r="Z457" i="33"/>
  <c r="Z458" i="33"/>
  <c r="Z459" i="33"/>
  <c r="Z460" i="33"/>
  <c r="Z461" i="33"/>
  <c r="Z462" i="33"/>
  <c r="Z463" i="33"/>
  <c r="Z464" i="33"/>
  <c r="Z465" i="33"/>
  <c r="Z466" i="33"/>
  <c r="Z467" i="33"/>
  <c r="Z468" i="33"/>
  <c r="Z469" i="33"/>
  <c r="Z470" i="33"/>
  <c r="Z471" i="33"/>
  <c r="Z472" i="33"/>
  <c r="Z473" i="33"/>
  <c r="Z474" i="33"/>
  <c r="Z475" i="33"/>
  <c r="Z476" i="33"/>
  <c r="Z477" i="33"/>
  <c r="Z478" i="33"/>
  <c r="Z479" i="33"/>
  <c r="Z480" i="33"/>
  <c r="Z481" i="33"/>
  <c r="Z482" i="33"/>
  <c r="Z483" i="33"/>
  <c r="Z484" i="33"/>
  <c r="Z485" i="33"/>
  <c r="Z486" i="33"/>
  <c r="Z487" i="33"/>
  <c r="Z488" i="33"/>
  <c r="Z489" i="33"/>
  <c r="Z490" i="33"/>
  <c r="Z491" i="33"/>
  <c r="Z492" i="33"/>
  <c r="Z493" i="33"/>
  <c r="Z494" i="33"/>
  <c r="Z495" i="33"/>
  <c r="Z496" i="33"/>
  <c r="Z497" i="33"/>
  <c r="Z498" i="33"/>
  <c r="Z499" i="33"/>
  <c r="Z500" i="33"/>
  <c r="Z501" i="33"/>
  <c r="Z502" i="33"/>
  <c r="Z503" i="33"/>
  <c r="Z504" i="33"/>
  <c r="Z505" i="33"/>
  <c r="Z506" i="33"/>
  <c r="Z507" i="33"/>
  <c r="Z508" i="33"/>
  <c r="Z509" i="33"/>
  <c r="Z510" i="33"/>
  <c r="Z511" i="33"/>
  <c r="Z512" i="33"/>
  <c r="Z513" i="33"/>
  <c r="Z514" i="33"/>
  <c r="Z515" i="33"/>
  <c r="Z516" i="33"/>
  <c r="Z517" i="33"/>
  <c r="Z518" i="33"/>
  <c r="Z519" i="33"/>
  <c r="Z520" i="33"/>
  <c r="Z521" i="33"/>
  <c r="Z522" i="33"/>
  <c r="Z523" i="33"/>
  <c r="Z524" i="33"/>
  <c r="Z525" i="33"/>
  <c r="Z526" i="33"/>
  <c r="Z527" i="33"/>
  <c r="Z528" i="33"/>
  <c r="Z529" i="33"/>
  <c r="Z530" i="33"/>
  <c r="Z531" i="33"/>
  <c r="Z532" i="33"/>
  <c r="Z533" i="33"/>
  <c r="Z534" i="33"/>
  <c r="Z535" i="33"/>
  <c r="Z536" i="33"/>
  <c r="Z537" i="33"/>
  <c r="Z538" i="33"/>
  <c r="Z539" i="33"/>
  <c r="Z540" i="33"/>
  <c r="Z541" i="33"/>
  <c r="Z542" i="33"/>
  <c r="Z543" i="33"/>
  <c r="Z544" i="33"/>
  <c r="Z545" i="33"/>
  <c r="Z546" i="33"/>
  <c r="Z547" i="33"/>
  <c r="Z548" i="33"/>
  <c r="Z549" i="33"/>
  <c r="Z550" i="33"/>
  <c r="Z551" i="33"/>
  <c r="Z552" i="33"/>
  <c r="Z553" i="33"/>
  <c r="Z554" i="33"/>
  <c r="Z555" i="33"/>
  <c r="Z556" i="33"/>
  <c r="Z557" i="33"/>
  <c r="Z558" i="33"/>
  <c r="Z559" i="33"/>
  <c r="Z560" i="33"/>
  <c r="Z561" i="33"/>
  <c r="Z562" i="33"/>
  <c r="Z563" i="33"/>
  <c r="Z564" i="33"/>
  <c r="Z565" i="33"/>
  <c r="Z566" i="33"/>
  <c r="Z567" i="33"/>
  <c r="Z568" i="33"/>
  <c r="Z569" i="33"/>
  <c r="Z570" i="33"/>
  <c r="Z571" i="33"/>
  <c r="Z572" i="33"/>
  <c r="Z573" i="33"/>
  <c r="Z574" i="33"/>
  <c r="Z575" i="33"/>
  <c r="Z576" i="33"/>
  <c r="Z577" i="33"/>
  <c r="Z578" i="33"/>
  <c r="Z579" i="33"/>
  <c r="Z580" i="33"/>
  <c r="Z581" i="33"/>
  <c r="Z582" i="33"/>
  <c r="Z583" i="33"/>
  <c r="Z584" i="33"/>
  <c r="Z585" i="33"/>
  <c r="Z586" i="33"/>
  <c r="Z587" i="33"/>
  <c r="Z588" i="33"/>
  <c r="Z589" i="33"/>
  <c r="Z590" i="33"/>
  <c r="Z591" i="33"/>
  <c r="Z592" i="33"/>
  <c r="Z593" i="33"/>
  <c r="Z594" i="33"/>
  <c r="Z595" i="33"/>
  <c r="Z596" i="33"/>
  <c r="Z597" i="33"/>
  <c r="Z598" i="33"/>
  <c r="Z599" i="33"/>
  <c r="Z600" i="33"/>
  <c r="Z601" i="33"/>
  <c r="Z602" i="33"/>
  <c r="Z603" i="33"/>
  <c r="Z604" i="33"/>
  <c r="Z605" i="33"/>
  <c r="Z606" i="33"/>
  <c r="Z607" i="33"/>
  <c r="Z608" i="33"/>
  <c r="Z609" i="33"/>
  <c r="Z610" i="33"/>
  <c r="Z611" i="33"/>
  <c r="Z612" i="33"/>
  <c r="Z613" i="33"/>
  <c r="Z614" i="33"/>
  <c r="Z615" i="33"/>
  <c r="Z616" i="33"/>
  <c r="Z617" i="33"/>
  <c r="Z618" i="33"/>
  <c r="Z619" i="33"/>
  <c r="Z620" i="33"/>
  <c r="Z621" i="33"/>
  <c r="Z622" i="33"/>
  <c r="Z623" i="33"/>
  <c r="Z624" i="33"/>
  <c r="Z625" i="33"/>
  <c r="Z626" i="33"/>
  <c r="Z627" i="33"/>
  <c r="Z628" i="33"/>
  <c r="Z629" i="33"/>
  <c r="Z630" i="33"/>
  <c r="Z631" i="33"/>
  <c r="Z632" i="33"/>
  <c r="Z633" i="33"/>
  <c r="Z634" i="33"/>
  <c r="Z635" i="33"/>
  <c r="Z636" i="33"/>
  <c r="Z637" i="33"/>
  <c r="Z638" i="33"/>
  <c r="Z639" i="33"/>
  <c r="Z640" i="33"/>
  <c r="Z641" i="33"/>
  <c r="Z642" i="33"/>
  <c r="Z643" i="33"/>
  <c r="Z644" i="33"/>
  <c r="Z645" i="33"/>
  <c r="Z646" i="33"/>
  <c r="Z647" i="33"/>
  <c r="Z648" i="33"/>
  <c r="Z649" i="33"/>
  <c r="Z650" i="33"/>
  <c r="Z651" i="33"/>
  <c r="Z652" i="33"/>
  <c r="Z653" i="33"/>
  <c r="Z654" i="33"/>
  <c r="Z655" i="33"/>
  <c r="Z656" i="33"/>
  <c r="Z657" i="33"/>
  <c r="Z658" i="33"/>
  <c r="Z659" i="33"/>
  <c r="Z660" i="33"/>
  <c r="Z661" i="33"/>
  <c r="Z662" i="33"/>
  <c r="Z663" i="33"/>
  <c r="Z664" i="33"/>
  <c r="Z665" i="33"/>
  <c r="Z666" i="33"/>
  <c r="Z667" i="33"/>
  <c r="Z668" i="33"/>
  <c r="Z669" i="33"/>
  <c r="Z670" i="33"/>
  <c r="Z671" i="33"/>
  <c r="Z672" i="33"/>
  <c r="Z673" i="33"/>
  <c r="Z674" i="33"/>
  <c r="Z675" i="33"/>
  <c r="Z676" i="33"/>
  <c r="Z677" i="33"/>
  <c r="Z678" i="33"/>
  <c r="Z679" i="33"/>
  <c r="Z680" i="33"/>
  <c r="Z681" i="33"/>
  <c r="Z682" i="33"/>
  <c r="Z683" i="33"/>
  <c r="Z684" i="33"/>
  <c r="Z685" i="33"/>
  <c r="Z686" i="33"/>
  <c r="Z687" i="33"/>
  <c r="Z688" i="33"/>
  <c r="Z689" i="33"/>
  <c r="Z690" i="33"/>
  <c r="Z691" i="33"/>
  <c r="Z692" i="33"/>
  <c r="Z693" i="33"/>
  <c r="Z694" i="33"/>
  <c r="Z695" i="33"/>
  <c r="Z696" i="33"/>
  <c r="Z697" i="33"/>
  <c r="Z698" i="33"/>
  <c r="Z699" i="33"/>
  <c r="Z700" i="33"/>
  <c r="Z701" i="33"/>
  <c r="Z702" i="33"/>
  <c r="Z703" i="33"/>
  <c r="Z704" i="33"/>
  <c r="Z705" i="33"/>
  <c r="Z706" i="33"/>
  <c r="Z707" i="33"/>
  <c r="Z708" i="33"/>
  <c r="Z709" i="33"/>
  <c r="Z710" i="33"/>
  <c r="Z711" i="33"/>
  <c r="Z712" i="33"/>
  <c r="Z713" i="33"/>
  <c r="Z714" i="33"/>
  <c r="Z715" i="33"/>
  <c r="Z716" i="33"/>
  <c r="Z717" i="33"/>
  <c r="Z718" i="33"/>
  <c r="Z719" i="33"/>
  <c r="Z720" i="33"/>
  <c r="Z721" i="33"/>
  <c r="Z722" i="33"/>
  <c r="Z723" i="33"/>
  <c r="Z724" i="33"/>
  <c r="Z725" i="33"/>
  <c r="Z726" i="33"/>
  <c r="Z727" i="33"/>
  <c r="Z728" i="33"/>
  <c r="Z729" i="33"/>
  <c r="Z730" i="33"/>
  <c r="Z731" i="33"/>
  <c r="Z732" i="33"/>
  <c r="Z733" i="33"/>
  <c r="Z734" i="33"/>
  <c r="Z735" i="33"/>
  <c r="Z736" i="33"/>
  <c r="Z737" i="33"/>
  <c r="Z738" i="33"/>
  <c r="Z739" i="33"/>
  <c r="Z740" i="33"/>
  <c r="Z741" i="33"/>
  <c r="Z742" i="33"/>
  <c r="Z743" i="33"/>
  <c r="Z744" i="33"/>
  <c r="Z745" i="33"/>
  <c r="Z746" i="33"/>
  <c r="Z747" i="33"/>
  <c r="Z748" i="33"/>
  <c r="Z749" i="33"/>
  <c r="Z750" i="33"/>
  <c r="Z751" i="33"/>
  <c r="Z752" i="33"/>
  <c r="Z753" i="33"/>
  <c r="Z754" i="33"/>
  <c r="Z755" i="33"/>
  <c r="Z756" i="33"/>
  <c r="Z757" i="33"/>
  <c r="Z758" i="33"/>
  <c r="Z759" i="33"/>
  <c r="Z760" i="33"/>
  <c r="Z761" i="33"/>
  <c r="Z762" i="33"/>
  <c r="Z763" i="33"/>
  <c r="Z764" i="33"/>
  <c r="Z765" i="33"/>
  <c r="Z766" i="33"/>
  <c r="Z767" i="33"/>
  <c r="Z768" i="33"/>
  <c r="Z769" i="33"/>
  <c r="Z770" i="33"/>
  <c r="Z771" i="33"/>
  <c r="Z772" i="33"/>
  <c r="Z773" i="33"/>
  <c r="Z774" i="33"/>
  <c r="Z775" i="33"/>
  <c r="Z776" i="33"/>
  <c r="Z777" i="33"/>
  <c r="Z778" i="33"/>
  <c r="Z779" i="33"/>
  <c r="Z780" i="33"/>
  <c r="Z781" i="33"/>
  <c r="Z782" i="33"/>
  <c r="Z783" i="33"/>
  <c r="Z784" i="33"/>
  <c r="Z785" i="33"/>
  <c r="Z786" i="33"/>
  <c r="Z787" i="33"/>
  <c r="Z788" i="33"/>
  <c r="Z789" i="33"/>
  <c r="Z790" i="33"/>
  <c r="Z791" i="33"/>
  <c r="Z792" i="33"/>
  <c r="Z793" i="33"/>
  <c r="Z794" i="33"/>
  <c r="Z795" i="33"/>
  <c r="Z796" i="33"/>
  <c r="Z797" i="33"/>
  <c r="Z798" i="33"/>
  <c r="Z799" i="33"/>
  <c r="Z800" i="33"/>
  <c r="Z801" i="33"/>
  <c r="Z802" i="33"/>
  <c r="Z803" i="33"/>
  <c r="Z804" i="33"/>
  <c r="Z805" i="33"/>
  <c r="Z806" i="33"/>
  <c r="Z807" i="33"/>
  <c r="Z808" i="33"/>
  <c r="Z809" i="33"/>
  <c r="Z810" i="33"/>
  <c r="Z811" i="33"/>
  <c r="Z812" i="33"/>
  <c r="Z813" i="33"/>
  <c r="Z814" i="33"/>
  <c r="Z815" i="33"/>
  <c r="Z816" i="33"/>
  <c r="Z817" i="33"/>
  <c r="Z818" i="33"/>
  <c r="Z819" i="33"/>
  <c r="Z820" i="33"/>
  <c r="Z821" i="33"/>
  <c r="Z822" i="33"/>
  <c r="Z823" i="33"/>
  <c r="Z824" i="33"/>
  <c r="Z825" i="33"/>
  <c r="Z826" i="33"/>
  <c r="Z827" i="33"/>
  <c r="Z828" i="33"/>
  <c r="Z829" i="33"/>
  <c r="Z830" i="33"/>
  <c r="Z831" i="33"/>
  <c r="Z832" i="33"/>
  <c r="Z833" i="33"/>
  <c r="Z834" i="33"/>
  <c r="Z835" i="33"/>
  <c r="Z836" i="33"/>
  <c r="Z837" i="33"/>
  <c r="Z838" i="33"/>
  <c r="Z839" i="33"/>
  <c r="Z840" i="33"/>
  <c r="Z841" i="33"/>
  <c r="Z842" i="33"/>
  <c r="Z843" i="33"/>
  <c r="Z844" i="33"/>
  <c r="Z845" i="33"/>
  <c r="Z846" i="33"/>
  <c r="Z847" i="33"/>
  <c r="Z848" i="33"/>
  <c r="Z849" i="33"/>
  <c r="Z850" i="33"/>
  <c r="Z851" i="33"/>
  <c r="Z852" i="33"/>
  <c r="Z853" i="33"/>
  <c r="Z854" i="33"/>
  <c r="Z855" i="33"/>
  <c r="Z856" i="33"/>
  <c r="Z857" i="33"/>
  <c r="Z858" i="33"/>
  <c r="Z859" i="33"/>
  <c r="Z860" i="33"/>
  <c r="Z861" i="33"/>
  <c r="Z862" i="33"/>
  <c r="Z863" i="33"/>
  <c r="Z864" i="33"/>
  <c r="Z865" i="33"/>
  <c r="Z866" i="33"/>
  <c r="Z867" i="33"/>
  <c r="Z868" i="33"/>
  <c r="Z869" i="33"/>
  <c r="Z870" i="33"/>
  <c r="Z871" i="33"/>
  <c r="Z872" i="33"/>
  <c r="Z873" i="33"/>
  <c r="Z874" i="33"/>
  <c r="Z875" i="33"/>
  <c r="Z876" i="33"/>
  <c r="Z877" i="33"/>
  <c r="Z878" i="33"/>
  <c r="Z879" i="33"/>
  <c r="Z880" i="33"/>
  <c r="Z881" i="33"/>
  <c r="Z882" i="33"/>
  <c r="Z883" i="33"/>
  <c r="Z884" i="33"/>
  <c r="Z885" i="33"/>
  <c r="Z886" i="33"/>
  <c r="Z887" i="33"/>
  <c r="Z888" i="33"/>
  <c r="Z889" i="33"/>
  <c r="Z890" i="33"/>
  <c r="Z891" i="33"/>
  <c r="Z892" i="33"/>
  <c r="Z893" i="33"/>
  <c r="Z894" i="33"/>
  <c r="Z895" i="33"/>
  <c r="Z896" i="33"/>
  <c r="Z897" i="33"/>
  <c r="Z898" i="33"/>
  <c r="Z899" i="33"/>
  <c r="Z900" i="33"/>
  <c r="Z901" i="33"/>
  <c r="Z902" i="33"/>
  <c r="Z903" i="33"/>
  <c r="Z904" i="33"/>
  <c r="Z905" i="33"/>
  <c r="Z906" i="33"/>
  <c r="Z907" i="33"/>
  <c r="Z908" i="33"/>
  <c r="Z909" i="33"/>
  <c r="Z910" i="33"/>
  <c r="Z911" i="33"/>
  <c r="Z912" i="33"/>
  <c r="Z913" i="33"/>
  <c r="Z914" i="33"/>
  <c r="Z915" i="33"/>
  <c r="Z916" i="33"/>
  <c r="Z917" i="33"/>
  <c r="Z918" i="33"/>
  <c r="Z919" i="33"/>
  <c r="Z920" i="33"/>
  <c r="Z921" i="33"/>
  <c r="Z922" i="33"/>
  <c r="Z923" i="33"/>
  <c r="Z924" i="33"/>
  <c r="Z925" i="33"/>
  <c r="Z926" i="33"/>
  <c r="Z927" i="33"/>
  <c r="Z928" i="33"/>
  <c r="Z929" i="33"/>
  <c r="Z930" i="33"/>
  <c r="Z931" i="33"/>
  <c r="Z932" i="33"/>
  <c r="Z933" i="33"/>
  <c r="Z934" i="33"/>
  <c r="Z935" i="33"/>
  <c r="Z936" i="33"/>
  <c r="Z937" i="33"/>
  <c r="Z938" i="33"/>
  <c r="Z939" i="33"/>
  <c r="Z940" i="33"/>
  <c r="Z941" i="33"/>
  <c r="Z942" i="33"/>
  <c r="Z943" i="33"/>
  <c r="Z944" i="33"/>
  <c r="Z945" i="33"/>
  <c r="Z946" i="33"/>
  <c r="Z947" i="33"/>
  <c r="Z948" i="33"/>
  <c r="Z949" i="33"/>
  <c r="Z950" i="33"/>
  <c r="Z951" i="33"/>
  <c r="Z952" i="33"/>
  <c r="Z953" i="33"/>
  <c r="Z954" i="33"/>
  <c r="Z955" i="33"/>
  <c r="Z956" i="33"/>
  <c r="Z957" i="33"/>
  <c r="Z958" i="33"/>
  <c r="Z959" i="33"/>
  <c r="Z960" i="33"/>
  <c r="Z961" i="33"/>
  <c r="Z962" i="33"/>
  <c r="Z963" i="33"/>
  <c r="Z964" i="33"/>
  <c r="Z965" i="33"/>
  <c r="Z966" i="33"/>
  <c r="Z967" i="33"/>
  <c r="Z968" i="33"/>
  <c r="Z969" i="33"/>
  <c r="Z970" i="33"/>
  <c r="Z971" i="33"/>
  <c r="Z972" i="33"/>
  <c r="Z973" i="33"/>
  <c r="Z974" i="33"/>
  <c r="Z975" i="33"/>
  <c r="Z976" i="33"/>
  <c r="Z977" i="33"/>
  <c r="Z978" i="33"/>
  <c r="Z979" i="33"/>
  <c r="Z980" i="33"/>
  <c r="Z981" i="33"/>
  <c r="Z982" i="33"/>
  <c r="Z983" i="33"/>
  <c r="Z984" i="33"/>
  <c r="Z985" i="33"/>
  <c r="Z986" i="33"/>
  <c r="Z987" i="33"/>
  <c r="Z988" i="33"/>
  <c r="Z989" i="33"/>
  <c r="Z990" i="33"/>
  <c r="Z991" i="33"/>
  <c r="Z992" i="33"/>
  <c r="Z993" i="33"/>
  <c r="Z994" i="33"/>
  <c r="Z995" i="33"/>
  <c r="Z996" i="33"/>
  <c r="Z997" i="33"/>
  <c r="Z998" i="33"/>
  <c r="Z999" i="33"/>
  <c r="Z1000" i="33"/>
  <c r="Z1001" i="33"/>
  <c r="Z1002" i="33"/>
  <c r="Z1003" i="33"/>
  <c r="Z1004" i="33"/>
  <c r="W141" i="33"/>
  <c r="W142" i="33"/>
  <c r="W143" i="33"/>
  <c r="W144" i="33"/>
  <c r="W145" i="33"/>
  <c r="W146" i="33"/>
  <c r="W147" i="33"/>
  <c r="W148" i="33"/>
  <c r="W149" i="33"/>
  <c r="W150" i="33"/>
  <c r="W151" i="33"/>
  <c r="W152" i="33"/>
  <c r="W153" i="33"/>
  <c r="W154" i="33"/>
  <c r="W155" i="33"/>
  <c r="W156" i="33"/>
  <c r="W157" i="33"/>
  <c r="W158" i="33"/>
  <c r="W159" i="33"/>
  <c r="W160" i="33"/>
  <c r="W161" i="33"/>
  <c r="W162" i="33"/>
  <c r="W163" i="33"/>
  <c r="W164" i="33"/>
  <c r="W165" i="33"/>
  <c r="W166" i="33"/>
  <c r="W167" i="33"/>
  <c r="W168" i="33"/>
  <c r="W169" i="33"/>
  <c r="W170" i="33"/>
  <c r="W171" i="33"/>
  <c r="W172" i="33"/>
  <c r="W173" i="33"/>
  <c r="W174" i="33"/>
  <c r="W175" i="33"/>
  <c r="W176" i="33"/>
  <c r="W177" i="33"/>
  <c r="W178" i="33"/>
  <c r="W179" i="33"/>
  <c r="W180" i="33"/>
  <c r="W181" i="33"/>
  <c r="W182" i="33"/>
  <c r="W183" i="33"/>
  <c r="W184" i="33"/>
  <c r="W185" i="33"/>
  <c r="W186" i="33"/>
  <c r="W187" i="33"/>
  <c r="W188" i="33"/>
  <c r="W189" i="33"/>
  <c r="W190" i="33"/>
  <c r="W191" i="33"/>
  <c r="W192" i="33"/>
  <c r="W193" i="33"/>
  <c r="W194" i="33"/>
  <c r="W195" i="33"/>
  <c r="W196" i="33"/>
  <c r="W197" i="33"/>
  <c r="W198" i="33"/>
  <c r="W199" i="33"/>
  <c r="W200" i="33"/>
  <c r="W201" i="33"/>
  <c r="W202" i="33"/>
  <c r="W203" i="33"/>
  <c r="W204" i="33"/>
  <c r="W205" i="33"/>
  <c r="W206" i="33"/>
  <c r="W207" i="33"/>
  <c r="W208" i="33"/>
  <c r="W209" i="33"/>
  <c r="W210" i="33"/>
  <c r="W211" i="33"/>
  <c r="W212" i="33"/>
  <c r="W213" i="33"/>
  <c r="W214" i="33"/>
  <c r="W215" i="33"/>
  <c r="W216" i="33"/>
  <c r="W217" i="33"/>
  <c r="W218" i="33"/>
  <c r="W219" i="33"/>
  <c r="W220" i="33"/>
  <c r="W221" i="33"/>
  <c r="W222" i="33"/>
  <c r="W223" i="33"/>
  <c r="W224" i="33"/>
  <c r="W225" i="33"/>
  <c r="W226" i="33"/>
  <c r="W227" i="33"/>
  <c r="W228" i="33"/>
  <c r="W229" i="33"/>
  <c r="W230" i="33"/>
  <c r="W231" i="33"/>
  <c r="W232" i="33"/>
  <c r="W233" i="33"/>
  <c r="W234" i="33"/>
  <c r="W235" i="33"/>
  <c r="W236" i="33"/>
  <c r="W237" i="33"/>
  <c r="W238" i="33"/>
  <c r="W239" i="33"/>
  <c r="W240" i="33"/>
  <c r="W241" i="33"/>
  <c r="W242" i="33"/>
  <c r="W243" i="33"/>
  <c r="W244" i="33"/>
  <c r="W245" i="33"/>
  <c r="W246" i="33"/>
  <c r="W247" i="33"/>
  <c r="W248" i="33"/>
  <c r="W249" i="33"/>
  <c r="W250" i="33"/>
  <c r="W251" i="33"/>
  <c r="W252" i="33"/>
  <c r="W253" i="33"/>
  <c r="W254" i="33"/>
  <c r="W255" i="33"/>
  <c r="W256" i="33"/>
  <c r="W257" i="33"/>
  <c r="W258" i="33"/>
  <c r="W259" i="33"/>
  <c r="W260" i="33"/>
  <c r="W261" i="33"/>
  <c r="W262" i="33"/>
  <c r="W263" i="33"/>
  <c r="W264" i="33"/>
  <c r="W265" i="33"/>
  <c r="W266" i="33"/>
  <c r="W267" i="33"/>
  <c r="W268" i="33"/>
  <c r="W269" i="33"/>
  <c r="W270" i="33"/>
  <c r="W271" i="33"/>
  <c r="W272" i="33"/>
  <c r="W273" i="33"/>
  <c r="W274" i="33"/>
  <c r="W275" i="33"/>
  <c r="W276" i="33"/>
  <c r="W277" i="33"/>
  <c r="W278" i="33"/>
  <c r="W279" i="33"/>
  <c r="W280" i="33"/>
  <c r="W281" i="33"/>
  <c r="W282" i="33"/>
  <c r="W283" i="33"/>
  <c r="W284" i="33"/>
  <c r="W285" i="33"/>
  <c r="W286" i="33"/>
  <c r="W287" i="33"/>
  <c r="W288" i="33"/>
  <c r="W289" i="33"/>
  <c r="W290" i="33"/>
  <c r="W291" i="33"/>
  <c r="W292" i="33"/>
  <c r="W293" i="33"/>
  <c r="W294" i="33"/>
  <c r="W295" i="33"/>
  <c r="W296" i="33"/>
  <c r="W297" i="33"/>
  <c r="W298" i="33"/>
  <c r="W299" i="33"/>
  <c r="W300" i="33"/>
  <c r="W301" i="33"/>
  <c r="W302" i="33"/>
  <c r="W303" i="33"/>
  <c r="W304" i="33"/>
  <c r="W305" i="33"/>
  <c r="W306" i="33"/>
  <c r="W307" i="33"/>
  <c r="W308" i="33"/>
  <c r="W309" i="33"/>
  <c r="W310" i="33"/>
  <c r="W311" i="33"/>
  <c r="W312" i="33"/>
  <c r="W313" i="33"/>
  <c r="W314" i="33"/>
  <c r="W315" i="33"/>
  <c r="W316" i="33"/>
  <c r="W317" i="33"/>
  <c r="W318" i="33"/>
  <c r="W319" i="33"/>
  <c r="W320" i="33"/>
  <c r="W321" i="33"/>
  <c r="W322" i="33"/>
  <c r="W323" i="33"/>
  <c r="W324" i="33"/>
  <c r="W325" i="33"/>
  <c r="W326" i="33"/>
  <c r="W327" i="33"/>
  <c r="W328" i="33"/>
  <c r="W329" i="33"/>
  <c r="W330" i="33"/>
  <c r="W331" i="33"/>
  <c r="W332" i="33"/>
  <c r="W333" i="33"/>
  <c r="W334" i="33"/>
  <c r="W335" i="33"/>
  <c r="W336" i="33"/>
  <c r="W337" i="33"/>
  <c r="W338" i="33"/>
  <c r="W339" i="33"/>
  <c r="W340" i="33"/>
  <c r="W341" i="33"/>
  <c r="W342" i="33"/>
  <c r="W343" i="33"/>
  <c r="W344" i="33"/>
  <c r="W345" i="33"/>
  <c r="W346" i="33"/>
  <c r="W347" i="33"/>
  <c r="W348" i="33"/>
  <c r="W349" i="33"/>
  <c r="W350" i="33"/>
  <c r="W351" i="33"/>
  <c r="W352" i="33"/>
  <c r="W353" i="33"/>
  <c r="W354" i="33"/>
  <c r="W355" i="33"/>
  <c r="W356" i="33"/>
  <c r="W357" i="33"/>
  <c r="W358" i="33"/>
  <c r="W359" i="33"/>
  <c r="W360" i="33"/>
  <c r="W361" i="33"/>
  <c r="W362" i="33"/>
  <c r="W363" i="33"/>
  <c r="W364" i="33"/>
  <c r="W365" i="33"/>
  <c r="W366" i="33"/>
  <c r="W367" i="33"/>
  <c r="W368" i="33"/>
  <c r="W369" i="33"/>
  <c r="W370" i="33"/>
  <c r="W371" i="33"/>
  <c r="W372" i="33"/>
  <c r="W373" i="33"/>
  <c r="W374" i="33"/>
  <c r="W375" i="33"/>
  <c r="W376" i="33"/>
  <c r="W377" i="33"/>
  <c r="W378" i="33"/>
  <c r="W379" i="33"/>
  <c r="W380" i="33"/>
  <c r="W381" i="33"/>
  <c r="W382" i="33"/>
  <c r="W383" i="33"/>
  <c r="W384" i="33"/>
  <c r="W385" i="33"/>
  <c r="W386" i="33"/>
  <c r="W387" i="33"/>
  <c r="W388" i="33"/>
  <c r="W389" i="33"/>
  <c r="W390" i="33"/>
  <c r="W391" i="33"/>
  <c r="W392" i="33"/>
  <c r="W393" i="33"/>
  <c r="W394" i="33"/>
  <c r="W395" i="33"/>
  <c r="W396" i="33"/>
  <c r="W397" i="33"/>
  <c r="W398" i="33"/>
  <c r="W399" i="33"/>
  <c r="W400" i="33"/>
  <c r="W401" i="33"/>
  <c r="W402" i="33"/>
  <c r="W403" i="33"/>
  <c r="W404" i="33"/>
  <c r="W405" i="33"/>
  <c r="W406" i="33"/>
  <c r="W407" i="33"/>
  <c r="W408" i="33"/>
  <c r="W409" i="33"/>
  <c r="W410" i="33"/>
  <c r="W411" i="33"/>
  <c r="W412" i="33"/>
  <c r="W413" i="33"/>
  <c r="W414" i="33"/>
  <c r="W415" i="33"/>
  <c r="W416" i="33"/>
  <c r="W417" i="33"/>
  <c r="W418" i="33"/>
  <c r="W419" i="33"/>
  <c r="W420" i="33"/>
  <c r="W421" i="33"/>
  <c r="W422" i="33"/>
  <c r="W423" i="33"/>
  <c r="W424" i="33"/>
  <c r="W425" i="33"/>
  <c r="W426" i="33"/>
  <c r="W427" i="33"/>
  <c r="W428" i="33"/>
  <c r="W429" i="33"/>
  <c r="W430" i="33"/>
  <c r="W431" i="33"/>
  <c r="W432" i="33"/>
  <c r="W433" i="33"/>
  <c r="W434" i="33"/>
  <c r="W435" i="33"/>
  <c r="W436" i="33"/>
  <c r="W437" i="33"/>
  <c r="W438" i="33"/>
  <c r="W439" i="33"/>
  <c r="W440" i="33"/>
  <c r="W441" i="33"/>
  <c r="W442" i="33"/>
  <c r="W443" i="33"/>
  <c r="W444" i="33"/>
  <c r="W445" i="33"/>
  <c r="W446" i="33"/>
  <c r="W447" i="33"/>
  <c r="W448" i="33"/>
  <c r="W449" i="33"/>
  <c r="W450" i="33"/>
  <c r="W451" i="33"/>
  <c r="W452" i="33"/>
  <c r="W453" i="33"/>
  <c r="W454" i="33"/>
  <c r="W455" i="33"/>
  <c r="W456" i="33"/>
  <c r="W457" i="33"/>
  <c r="W458" i="33"/>
  <c r="W459" i="33"/>
  <c r="W460" i="33"/>
  <c r="W461" i="33"/>
  <c r="W462" i="33"/>
  <c r="W463" i="33"/>
  <c r="W464" i="33"/>
  <c r="W465" i="33"/>
  <c r="W466" i="33"/>
  <c r="W467" i="33"/>
  <c r="W468" i="33"/>
  <c r="W469" i="33"/>
  <c r="W470" i="33"/>
  <c r="W471" i="33"/>
  <c r="W472" i="33"/>
  <c r="W473" i="33"/>
  <c r="W474" i="33"/>
  <c r="W475" i="33"/>
  <c r="W476" i="33"/>
  <c r="W477" i="33"/>
  <c r="W478" i="33"/>
  <c r="W479" i="33"/>
  <c r="W480" i="33"/>
  <c r="W481" i="33"/>
  <c r="W482" i="33"/>
  <c r="W483" i="33"/>
  <c r="W484" i="33"/>
  <c r="W485" i="33"/>
  <c r="W486" i="33"/>
  <c r="W487" i="33"/>
  <c r="W488" i="33"/>
  <c r="W489" i="33"/>
  <c r="W490" i="33"/>
  <c r="W491" i="33"/>
  <c r="W492" i="33"/>
  <c r="W493" i="33"/>
  <c r="W494" i="33"/>
  <c r="W495" i="33"/>
  <c r="W496" i="33"/>
  <c r="W497" i="33"/>
  <c r="W498" i="33"/>
  <c r="W499" i="33"/>
  <c r="W500" i="33"/>
  <c r="W501" i="33"/>
  <c r="W502" i="33"/>
  <c r="W503" i="33"/>
  <c r="W504" i="33"/>
  <c r="W505" i="33"/>
  <c r="W506" i="33"/>
  <c r="W507" i="33"/>
  <c r="W508" i="33"/>
  <c r="W509" i="33"/>
  <c r="W510" i="33"/>
  <c r="W511" i="33"/>
  <c r="W512" i="33"/>
  <c r="W513" i="33"/>
  <c r="W514" i="33"/>
  <c r="W515" i="33"/>
  <c r="W516" i="33"/>
  <c r="W517" i="33"/>
  <c r="W518" i="33"/>
  <c r="W519" i="33"/>
  <c r="W520" i="33"/>
  <c r="W521" i="33"/>
  <c r="W522" i="33"/>
  <c r="W523" i="33"/>
  <c r="W524" i="33"/>
  <c r="W525" i="33"/>
  <c r="W526" i="33"/>
  <c r="W527" i="33"/>
  <c r="W528" i="33"/>
  <c r="W529" i="33"/>
  <c r="W530" i="33"/>
  <c r="W531" i="33"/>
  <c r="W532" i="33"/>
  <c r="W533" i="33"/>
  <c r="W534" i="33"/>
  <c r="W535" i="33"/>
  <c r="W536" i="33"/>
  <c r="W537" i="33"/>
  <c r="W538" i="33"/>
  <c r="W539" i="33"/>
  <c r="W540" i="33"/>
  <c r="W541" i="33"/>
  <c r="W542" i="33"/>
  <c r="W543" i="33"/>
  <c r="W544" i="33"/>
  <c r="W545" i="33"/>
  <c r="W546" i="33"/>
  <c r="W547" i="33"/>
  <c r="W548" i="33"/>
  <c r="W549" i="33"/>
  <c r="W550" i="33"/>
  <c r="W551" i="33"/>
  <c r="W552" i="33"/>
  <c r="W553" i="33"/>
  <c r="W554" i="33"/>
  <c r="W555" i="33"/>
  <c r="W556" i="33"/>
  <c r="W557" i="33"/>
  <c r="W558" i="33"/>
  <c r="W559" i="33"/>
  <c r="W560" i="33"/>
  <c r="W561" i="33"/>
  <c r="W562" i="33"/>
  <c r="W563" i="33"/>
  <c r="W564" i="33"/>
  <c r="W565" i="33"/>
  <c r="W566" i="33"/>
  <c r="W567" i="33"/>
  <c r="W568" i="33"/>
  <c r="W569" i="33"/>
  <c r="W570" i="33"/>
  <c r="W571" i="33"/>
  <c r="W572" i="33"/>
  <c r="W573" i="33"/>
  <c r="W574" i="33"/>
  <c r="W575" i="33"/>
  <c r="W576" i="33"/>
  <c r="W577" i="33"/>
  <c r="W578" i="33"/>
  <c r="W579" i="33"/>
  <c r="W580" i="33"/>
  <c r="W581" i="33"/>
  <c r="W582" i="33"/>
  <c r="W583" i="33"/>
  <c r="W584" i="33"/>
  <c r="W585" i="33"/>
  <c r="W586" i="33"/>
  <c r="W587" i="33"/>
  <c r="W588" i="33"/>
  <c r="W589" i="33"/>
  <c r="W590" i="33"/>
  <c r="W591" i="33"/>
  <c r="W592" i="33"/>
  <c r="W593" i="33"/>
  <c r="W594" i="33"/>
  <c r="W595" i="33"/>
  <c r="W596" i="33"/>
  <c r="W597" i="33"/>
  <c r="W598" i="33"/>
  <c r="W599" i="33"/>
  <c r="W600" i="33"/>
  <c r="W601" i="33"/>
  <c r="W602" i="33"/>
  <c r="W603" i="33"/>
  <c r="W604" i="33"/>
  <c r="W605" i="33"/>
  <c r="W606" i="33"/>
  <c r="W607" i="33"/>
  <c r="W608" i="33"/>
  <c r="W609" i="33"/>
  <c r="W610" i="33"/>
  <c r="W611" i="33"/>
  <c r="W612" i="33"/>
  <c r="W613" i="33"/>
  <c r="W614" i="33"/>
  <c r="W615" i="33"/>
  <c r="W616" i="33"/>
  <c r="W617" i="33"/>
  <c r="W618" i="33"/>
  <c r="W619" i="33"/>
  <c r="W620" i="33"/>
  <c r="W621" i="33"/>
  <c r="W622" i="33"/>
  <c r="W623" i="33"/>
  <c r="W624" i="33"/>
  <c r="W625" i="33"/>
  <c r="W626" i="33"/>
  <c r="W627" i="33"/>
  <c r="W628" i="33"/>
  <c r="W629" i="33"/>
  <c r="W630" i="33"/>
  <c r="W631" i="33"/>
  <c r="W632" i="33"/>
  <c r="W633" i="33"/>
  <c r="W634" i="33"/>
  <c r="W635" i="33"/>
  <c r="W636" i="33"/>
  <c r="W637" i="33"/>
  <c r="W638" i="33"/>
  <c r="W639" i="33"/>
  <c r="W640" i="33"/>
  <c r="W641" i="33"/>
  <c r="W642" i="33"/>
  <c r="W643" i="33"/>
  <c r="W644" i="33"/>
  <c r="W645" i="33"/>
  <c r="W646" i="33"/>
  <c r="W647" i="33"/>
  <c r="W648" i="33"/>
  <c r="W649" i="33"/>
  <c r="W650" i="33"/>
  <c r="W651" i="33"/>
  <c r="W652" i="33"/>
  <c r="W653" i="33"/>
  <c r="W654" i="33"/>
  <c r="W655" i="33"/>
  <c r="W656" i="33"/>
  <c r="W657" i="33"/>
  <c r="W658" i="33"/>
  <c r="W659" i="33"/>
  <c r="W660" i="33"/>
  <c r="W661" i="33"/>
  <c r="W662" i="33"/>
  <c r="W663" i="33"/>
  <c r="W664" i="33"/>
  <c r="W665" i="33"/>
  <c r="W666" i="33"/>
  <c r="W667" i="33"/>
  <c r="W668" i="33"/>
  <c r="W669" i="33"/>
  <c r="W670" i="33"/>
  <c r="W671" i="33"/>
  <c r="W672" i="33"/>
  <c r="W673" i="33"/>
  <c r="W674" i="33"/>
  <c r="W675" i="33"/>
  <c r="W676" i="33"/>
  <c r="W677" i="33"/>
  <c r="W678" i="33"/>
  <c r="W679" i="33"/>
  <c r="W680" i="33"/>
  <c r="W681" i="33"/>
  <c r="W682" i="33"/>
  <c r="W683" i="33"/>
  <c r="W684" i="33"/>
  <c r="W685" i="33"/>
  <c r="W686" i="33"/>
  <c r="W687" i="33"/>
  <c r="W688" i="33"/>
  <c r="W689" i="33"/>
  <c r="W690" i="33"/>
  <c r="W691" i="33"/>
  <c r="W692" i="33"/>
  <c r="W693" i="33"/>
  <c r="W694" i="33"/>
  <c r="W695" i="33"/>
  <c r="W696" i="33"/>
  <c r="W697" i="33"/>
  <c r="W698" i="33"/>
  <c r="W699" i="33"/>
  <c r="W700" i="33"/>
  <c r="W701" i="33"/>
  <c r="W702" i="33"/>
  <c r="W703" i="33"/>
  <c r="W704" i="33"/>
  <c r="W705" i="33"/>
  <c r="W706" i="33"/>
  <c r="W707" i="33"/>
  <c r="W708" i="33"/>
  <c r="W709" i="33"/>
  <c r="W710" i="33"/>
  <c r="W711" i="33"/>
  <c r="W712" i="33"/>
  <c r="W713" i="33"/>
  <c r="W714" i="33"/>
  <c r="W715" i="33"/>
  <c r="W716" i="33"/>
  <c r="W717" i="33"/>
  <c r="W718" i="33"/>
  <c r="W719" i="33"/>
  <c r="W720" i="33"/>
  <c r="W721" i="33"/>
  <c r="W722" i="33"/>
  <c r="W723" i="33"/>
  <c r="W724" i="33"/>
  <c r="W725" i="33"/>
  <c r="W726" i="33"/>
  <c r="W727" i="33"/>
  <c r="W728" i="33"/>
  <c r="W729" i="33"/>
  <c r="W730" i="33"/>
  <c r="W731" i="33"/>
  <c r="W732" i="33"/>
  <c r="W733" i="33"/>
  <c r="W734" i="33"/>
  <c r="W735" i="33"/>
  <c r="W736" i="33"/>
  <c r="W737" i="33"/>
  <c r="W738" i="33"/>
  <c r="W739" i="33"/>
  <c r="W740" i="33"/>
  <c r="W741" i="33"/>
  <c r="W742" i="33"/>
  <c r="W743" i="33"/>
  <c r="W744" i="33"/>
  <c r="W745" i="33"/>
  <c r="W746" i="33"/>
  <c r="W747" i="33"/>
  <c r="W748" i="33"/>
  <c r="W749" i="33"/>
  <c r="W750" i="33"/>
  <c r="W751" i="33"/>
  <c r="W752" i="33"/>
  <c r="W753" i="33"/>
  <c r="W754" i="33"/>
  <c r="W755" i="33"/>
  <c r="W756" i="33"/>
  <c r="W757" i="33"/>
  <c r="W758" i="33"/>
  <c r="W759" i="33"/>
  <c r="W760" i="33"/>
  <c r="W761" i="33"/>
  <c r="W762" i="33"/>
  <c r="W763" i="33"/>
  <c r="W764" i="33"/>
  <c r="W765" i="33"/>
  <c r="W766" i="33"/>
  <c r="W767" i="33"/>
  <c r="W768" i="33"/>
  <c r="W769" i="33"/>
  <c r="W770" i="33"/>
  <c r="W771" i="33"/>
  <c r="W772" i="33"/>
  <c r="W773" i="33"/>
  <c r="W774" i="33"/>
  <c r="W775" i="33"/>
  <c r="W776" i="33"/>
  <c r="W777" i="33"/>
  <c r="W778" i="33"/>
  <c r="W779" i="33"/>
  <c r="W780" i="33"/>
  <c r="W781" i="33"/>
  <c r="W782" i="33"/>
  <c r="W783" i="33"/>
  <c r="W784" i="33"/>
  <c r="W785" i="33"/>
  <c r="W786" i="33"/>
  <c r="W787" i="33"/>
  <c r="W788" i="33"/>
  <c r="W789" i="33"/>
  <c r="W790" i="33"/>
  <c r="W791" i="33"/>
  <c r="W792" i="33"/>
  <c r="W793" i="33"/>
  <c r="W794" i="33"/>
  <c r="W795" i="33"/>
  <c r="W796" i="33"/>
  <c r="W797" i="33"/>
  <c r="W798" i="33"/>
  <c r="W799" i="33"/>
  <c r="W800" i="33"/>
  <c r="W801" i="33"/>
  <c r="W802" i="33"/>
  <c r="W803" i="33"/>
  <c r="W804" i="33"/>
  <c r="W805" i="33"/>
  <c r="W806" i="33"/>
  <c r="W807" i="33"/>
  <c r="W808" i="33"/>
  <c r="W809" i="33"/>
  <c r="W810" i="33"/>
  <c r="W811" i="33"/>
  <c r="W812" i="33"/>
  <c r="W813" i="33"/>
  <c r="W814" i="33"/>
  <c r="W815" i="33"/>
  <c r="W816" i="33"/>
  <c r="W817" i="33"/>
  <c r="W818" i="33"/>
  <c r="W819" i="33"/>
  <c r="W820" i="33"/>
  <c r="W821" i="33"/>
  <c r="W822" i="33"/>
  <c r="W823" i="33"/>
  <c r="W824" i="33"/>
  <c r="W825" i="33"/>
  <c r="W826" i="33"/>
  <c r="W827" i="33"/>
  <c r="W828" i="33"/>
  <c r="W829" i="33"/>
  <c r="W830" i="33"/>
  <c r="W831" i="33"/>
  <c r="W832" i="33"/>
  <c r="W833" i="33"/>
  <c r="W834" i="33"/>
  <c r="W835" i="33"/>
  <c r="W836" i="33"/>
  <c r="W837" i="33"/>
  <c r="W838" i="33"/>
  <c r="W839" i="33"/>
  <c r="W840" i="33"/>
  <c r="W841" i="33"/>
  <c r="W842" i="33"/>
  <c r="W843" i="33"/>
  <c r="W844" i="33"/>
  <c r="W845" i="33"/>
  <c r="W846" i="33"/>
  <c r="W847" i="33"/>
  <c r="W848" i="33"/>
  <c r="W849" i="33"/>
  <c r="W850" i="33"/>
  <c r="W851" i="33"/>
  <c r="W852" i="33"/>
  <c r="W853" i="33"/>
  <c r="W854" i="33"/>
  <c r="W855" i="33"/>
  <c r="W856" i="33"/>
  <c r="W857" i="33"/>
  <c r="W858" i="33"/>
  <c r="W859" i="33"/>
  <c r="W860" i="33"/>
  <c r="W861" i="33"/>
  <c r="W862" i="33"/>
  <c r="W863" i="33"/>
  <c r="W864" i="33"/>
  <c r="W865" i="33"/>
  <c r="W866" i="33"/>
  <c r="W867" i="33"/>
  <c r="W868" i="33"/>
  <c r="W869" i="33"/>
  <c r="W870" i="33"/>
  <c r="W871" i="33"/>
  <c r="W872" i="33"/>
  <c r="W873" i="33"/>
  <c r="W874" i="33"/>
  <c r="W875" i="33"/>
  <c r="W876" i="33"/>
  <c r="W877" i="33"/>
  <c r="W878" i="33"/>
  <c r="W879" i="33"/>
  <c r="W880" i="33"/>
  <c r="W881" i="33"/>
  <c r="W882" i="33"/>
  <c r="W883" i="33"/>
  <c r="W884" i="33"/>
  <c r="W885" i="33"/>
  <c r="W886" i="33"/>
  <c r="W887" i="33"/>
  <c r="W888" i="33"/>
  <c r="W889" i="33"/>
  <c r="W890" i="33"/>
  <c r="W891" i="33"/>
  <c r="W892" i="33"/>
  <c r="W893" i="33"/>
  <c r="W894" i="33"/>
  <c r="W895" i="33"/>
  <c r="W896" i="33"/>
  <c r="W897" i="33"/>
  <c r="W898" i="33"/>
  <c r="W899" i="33"/>
  <c r="W900" i="33"/>
  <c r="W901" i="33"/>
  <c r="W902" i="33"/>
  <c r="W903" i="33"/>
  <c r="W904" i="33"/>
  <c r="W905" i="33"/>
  <c r="W906" i="33"/>
  <c r="W907" i="33"/>
  <c r="W908" i="33"/>
  <c r="W909" i="33"/>
  <c r="W910" i="33"/>
  <c r="W911" i="33"/>
  <c r="W912" i="33"/>
  <c r="W913" i="33"/>
  <c r="W914" i="33"/>
  <c r="W915" i="33"/>
  <c r="W916" i="33"/>
  <c r="W917" i="33"/>
  <c r="W918" i="33"/>
  <c r="W919" i="33"/>
  <c r="W920" i="33"/>
  <c r="W921" i="33"/>
  <c r="W922" i="33"/>
  <c r="W923" i="33"/>
  <c r="W924" i="33"/>
  <c r="W925" i="33"/>
  <c r="W926" i="33"/>
  <c r="W927" i="33"/>
  <c r="W928" i="33"/>
  <c r="W929" i="33"/>
  <c r="W930" i="33"/>
  <c r="W931" i="33"/>
  <c r="W932" i="33"/>
  <c r="W933" i="33"/>
  <c r="W934" i="33"/>
  <c r="W935" i="33"/>
  <c r="W936" i="33"/>
  <c r="W937" i="33"/>
  <c r="W938" i="33"/>
  <c r="W939" i="33"/>
  <c r="W940" i="33"/>
  <c r="W941" i="33"/>
  <c r="W942" i="33"/>
  <c r="W943" i="33"/>
  <c r="W944" i="33"/>
  <c r="W945" i="33"/>
  <c r="W946" i="33"/>
  <c r="W947" i="33"/>
  <c r="W948" i="33"/>
  <c r="W949" i="33"/>
  <c r="W950" i="33"/>
  <c r="W951" i="33"/>
  <c r="W952" i="33"/>
  <c r="W953" i="33"/>
  <c r="W954" i="33"/>
  <c r="W955" i="33"/>
  <c r="W956" i="33"/>
  <c r="W957" i="33"/>
  <c r="W958" i="33"/>
  <c r="W959" i="33"/>
  <c r="W960" i="33"/>
  <c r="W961" i="33"/>
  <c r="W962" i="33"/>
  <c r="W963" i="33"/>
  <c r="W964" i="33"/>
  <c r="W965" i="33"/>
  <c r="W966" i="33"/>
  <c r="W967" i="33"/>
  <c r="W968" i="33"/>
  <c r="W969" i="33"/>
  <c r="W970" i="33"/>
  <c r="W971" i="33"/>
  <c r="W972" i="33"/>
  <c r="W973" i="33"/>
  <c r="W974" i="33"/>
  <c r="W975" i="33"/>
  <c r="W976" i="33"/>
  <c r="W977" i="33"/>
  <c r="W978" i="33"/>
  <c r="W979" i="33"/>
  <c r="W980" i="33"/>
  <c r="W981" i="33"/>
  <c r="W982" i="33"/>
  <c r="W983" i="33"/>
  <c r="W984" i="33"/>
  <c r="W985" i="33"/>
  <c r="W986" i="33"/>
  <c r="W987" i="33"/>
  <c r="W988" i="33"/>
  <c r="W989" i="33"/>
  <c r="W990" i="33"/>
  <c r="W991" i="33"/>
  <c r="W992" i="33"/>
  <c r="W993" i="33"/>
  <c r="W994" i="33"/>
  <c r="W995" i="33"/>
  <c r="W996" i="33"/>
  <c r="W997" i="33"/>
  <c r="W998" i="33"/>
  <c r="W999" i="33"/>
  <c r="W1000" i="33"/>
  <c r="W1001" i="33"/>
  <c r="W1002" i="33"/>
  <c r="W1003" i="33"/>
  <c r="W1004" i="33"/>
  <c r="T141" i="33"/>
  <c r="T142" i="33"/>
  <c r="T143" i="33"/>
  <c r="T144" i="33"/>
  <c r="T145" i="33"/>
  <c r="T146" i="33"/>
  <c r="T147" i="33"/>
  <c r="T148" i="33"/>
  <c r="T149" i="33"/>
  <c r="T150" i="33"/>
  <c r="T151" i="33"/>
  <c r="T152" i="33"/>
  <c r="T153" i="33"/>
  <c r="T154" i="33"/>
  <c r="T155" i="33"/>
  <c r="T156" i="33"/>
  <c r="T157" i="33"/>
  <c r="T158" i="33"/>
  <c r="T159" i="33"/>
  <c r="T160" i="33"/>
  <c r="T161" i="33"/>
  <c r="T162" i="33"/>
  <c r="T163" i="33"/>
  <c r="T164" i="33"/>
  <c r="T165" i="33"/>
  <c r="T166" i="33"/>
  <c r="T167" i="33"/>
  <c r="T168" i="33"/>
  <c r="T169" i="33"/>
  <c r="T170" i="33"/>
  <c r="T171" i="33"/>
  <c r="T172" i="33"/>
  <c r="T173" i="33"/>
  <c r="T174" i="33"/>
  <c r="T175" i="33"/>
  <c r="T176" i="33"/>
  <c r="T177" i="33"/>
  <c r="T178" i="33"/>
  <c r="T179" i="33"/>
  <c r="T180" i="33"/>
  <c r="T181" i="33"/>
  <c r="T182" i="33"/>
  <c r="T183" i="33"/>
  <c r="T184" i="33"/>
  <c r="T185" i="33"/>
  <c r="T186" i="33"/>
  <c r="T187" i="33"/>
  <c r="T188" i="33"/>
  <c r="T189" i="33"/>
  <c r="Q141" i="33"/>
  <c r="Q142" i="33"/>
  <c r="Q143" i="33"/>
  <c r="Q144" i="33"/>
  <c r="Q145" i="33"/>
  <c r="Q146" i="33"/>
  <c r="Q147" i="33"/>
  <c r="Q148" i="33"/>
  <c r="Q149" i="33"/>
  <c r="Q150" i="33"/>
  <c r="Q151" i="33"/>
  <c r="Q152" i="33"/>
  <c r="Q153" i="33"/>
  <c r="Q154" i="33"/>
  <c r="Q155" i="33"/>
  <c r="Q156" i="33"/>
  <c r="Q157" i="33"/>
  <c r="Q158" i="33"/>
  <c r="Q159" i="33"/>
  <c r="Q160" i="33"/>
  <c r="Q161" i="33"/>
  <c r="Q162" i="33"/>
  <c r="Q163" i="33"/>
  <c r="Q164" i="33"/>
  <c r="Q165" i="33"/>
  <c r="Q166" i="33"/>
  <c r="Q167" i="33"/>
  <c r="Q168" i="33"/>
  <c r="Q169" i="33"/>
  <c r="Q170" i="33"/>
  <c r="Q171" i="33"/>
  <c r="Q172" i="33"/>
  <c r="Q173" i="33"/>
  <c r="Q174" i="33"/>
  <c r="Q175" i="33"/>
  <c r="Q176" i="33"/>
  <c r="Q177" i="33"/>
  <c r="Q178" i="33"/>
  <c r="Q179" i="33"/>
  <c r="Q180" i="33"/>
  <c r="Q181" i="33"/>
  <c r="Q182" i="33"/>
  <c r="Q183" i="33"/>
  <c r="Q184" i="33"/>
  <c r="Q185" i="33"/>
  <c r="Q186" i="33"/>
  <c r="Q187" i="33"/>
  <c r="Q188" i="33"/>
  <c r="Q189" i="33"/>
  <c r="Q190" i="33"/>
  <c r="Q191" i="33"/>
  <c r="Q192" i="33"/>
  <c r="Q193" i="33"/>
  <c r="Q194" i="33"/>
  <c r="Q195" i="33"/>
  <c r="Q196" i="33"/>
  <c r="Q197" i="33"/>
  <c r="Q198" i="33"/>
  <c r="Q199" i="33"/>
  <c r="Q200" i="33"/>
  <c r="Q201" i="33"/>
  <c r="Q202" i="33"/>
  <c r="Q203" i="33"/>
  <c r="Q204" i="33"/>
  <c r="Q205" i="33"/>
  <c r="Q206" i="33"/>
  <c r="Q207" i="33"/>
  <c r="Q208" i="33"/>
  <c r="Q209" i="33"/>
  <c r="Q210" i="33"/>
  <c r="Q211" i="33"/>
  <c r="Q212" i="33"/>
  <c r="Q213" i="33"/>
  <c r="Q214" i="33"/>
  <c r="Q215" i="33"/>
  <c r="Q216" i="33"/>
  <c r="Q217" i="33"/>
  <c r="Q218" i="33"/>
  <c r="Q219" i="33"/>
  <c r="Q220" i="33"/>
  <c r="Q221" i="33"/>
  <c r="Q222" i="33"/>
  <c r="Q223" i="33"/>
  <c r="Q224" i="33"/>
  <c r="Q225" i="33"/>
  <c r="Q226" i="33"/>
  <c r="Q227" i="33"/>
  <c r="Q228" i="33"/>
  <c r="Q229" i="33"/>
  <c r="Q230" i="33"/>
  <c r="Q231" i="33"/>
  <c r="Q232" i="33"/>
  <c r="Q233" i="33"/>
  <c r="Q234" i="33"/>
  <c r="Q235" i="33"/>
  <c r="Q236" i="33"/>
  <c r="Q237" i="33"/>
  <c r="Q238" i="33"/>
  <c r="Q239" i="33"/>
  <c r="Q240" i="33"/>
  <c r="Q241" i="33"/>
  <c r="Q242" i="33"/>
  <c r="Q243" i="33"/>
  <c r="Q244" i="33"/>
  <c r="Q245" i="33"/>
  <c r="Q246" i="33"/>
  <c r="Q247" i="33"/>
  <c r="Q248" i="33"/>
  <c r="Q249" i="33"/>
  <c r="Q250" i="33"/>
  <c r="Q251" i="33"/>
  <c r="Q252" i="33"/>
  <c r="Q253" i="33"/>
  <c r="Q254" i="33"/>
  <c r="Q255" i="33"/>
  <c r="Q256" i="33"/>
  <c r="Q257" i="33"/>
  <c r="Q258" i="33"/>
  <c r="Q259" i="33"/>
  <c r="Q260" i="33"/>
  <c r="Q261" i="33"/>
  <c r="Q262" i="33"/>
  <c r="Q263" i="33"/>
  <c r="Q264" i="33"/>
  <c r="Q265" i="33"/>
  <c r="Q266" i="33"/>
  <c r="Q267" i="33"/>
  <c r="Q268" i="33"/>
  <c r="Q269" i="33"/>
  <c r="Q270" i="33"/>
  <c r="Q271" i="33"/>
  <c r="Q272" i="33"/>
  <c r="Q273" i="33"/>
  <c r="Q274" i="33"/>
  <c r="Q275" i="33"/>
  <c r="Q276" i="33"/>
  <c r="Q277" i="33"/>
  <c r="Q278" i="33"/>
  <c r="Q279" i="33"/>
  <c r="Q280" i="33"/>
  <c r="Q281" i="33"/>
  <c r="Q282" i="33"/>
  <c r="Q283" i="33"/>
  <c r="Q284" i="33"/>
  <c r="Q285" i="33"/>
  <c r="Q286" i="33"/>
  <c r="Q287" i="33"/>
  <c r="Q288" i="33"/>
  <c r="Q289" i="33"/>
  <c r="Q290" i="33"/>
  <c r="Q291" i="33"/>
  <c r="Q292" i="33"/>
  <c r="Q293" i="33"/>
  <c r="Q294" i="33"/>
  <c r="Q295" i="33"/>
  <c r="Q296" i="33"/>
  <c r="Q297" i="33"/>
  <c r="Q298" i="33"/>
  <c r="Q299" i="33"/>
  <c r="Q300" i="33"/>
  <c r="Q301" i="33"/>
  <c r="Q302" i="33"/>
  <c r="Q303" i="33"/>
  <c r="Q304" i="33"/>
  <c r="Q305" i="33"/>
  <c r="Q306" i="33"/>
  <c r="Q307" i="33"/>
  <c r="Q308" i="33"/>
  <c r="Q309" i="33"/>
  <c r="Q310" i="33"/>
  <c r="Q311" i="33"/>
  <c r="Q312" i="33"/>
  <c r="Q313" i="33"/>
  <c r="Q314" i="33"/>
  <c r="Q315" i="33"/>
  <c r="Q316" i="33"/>
  <c r="Q317" i="33"/>
  <c r="Q318" i="33"/>
  <c r="Q319" i="33"/>
  <c r="Q320" i="33"/>
  <c r="Q321" i="33"/>
  <c r="Q322" i="33"/>
  <c r="Q323" i="33"/>
  <c r="Q324" i="33"/>
  <c r="Q325" i="33"/>
  <c r="Q326" i="33"/>
  <c r="Q327" i="33"/>
  <c r="Q328" i="33"/>
  <c r="Q329" i="33"/>
  <c r="Q330" i="33"/>
  <c r="Q331" i="33"/>
  <c r="Q332" i="33"/>
  <c r="Q333" i="33"/>
  <c r="Q334" i="33"/>
  <c r="Q335" i="33"/>
  <c r="Q336" i="33"/>
  <c r="Q337" i="33"/>
  <c r="Q338" i="33"/>
  <c r="Q339" i="33"/>
  <c r="Q340" i="33"/>
  <c r="Q341" i="33"/>
  <c r="Q342" i="33"/>
  <c r="Q343" i="33"/>
  <c r="Q344" i="33"/>
  <c r="Q345" i="33"/>
  <c r="Q346" i="33"/>
  <c r="Q347" i="33"/>
  <c r="Q348" i="33"/>
  <c r="Q349" i="33"/>
  <c r="Q350" i="33"/>
  <c r="Q351" i="33"/>
  <c r="Q352" i="33"/>
  <c r="Q353" i="33"/>
  <c r="Q354" i="33"/>
  <c r="Q355" i="33"/>
  <c r="Q356" i="33"/>
  <c r="Q357" i="33"/>
  <c r="Q358" i="33"/>
  <c r="Q359" i="33"/>
  <c r="Q360" i="33"/>
  <c r="Q361" i="33"/>
  <c r="Q362" i="33"/>
  <c r="Q363" i="33"/>
  <c r="Q364" i="33"/>
  <c r="Q365" i="33"/>
  <c r="Q366" i="33"/>
  <c r="Q367" i="33"/>
  <c r="Q368" i="33"/>
  <c r="Q369" i="33"/>
  <c r="Q370" i="33"/>
  <c r="Q371" i="33"/>
  <c r="Q372" i="33"/>
  <c r="Q373" i="33"/>
  <c r="Q374" i="33"/>
  <c r="Q375" i="33"/>
  <c r="Q376" i="33"/>
  <c r="Q377" i="33"/>
  <c r="Q378" i="33"/>
  <c r="Q379" i="33"/>
  <c r="Q380" i="33"/>
  <c r="Q381" i="33"/>
  <c r="Q382" i="33"/>
  <c r="Q383" i="33"/>
  <c r="Q384" i="33"/>
  <c r="Q385" i="33"/>
  <c r="Q386" i="33"/>
  <c r="Q387" i="33"/>
  <c r="Q388" i="33"/>
  <c r="Q389" i="33"/>
  <c r="Q390" i="33"/>
  <c r="Q391" i="33"/>
  <c r="Q392" i="33"/>
  <c r="Q393" i="33"/>
  <c r="Q394" i="33"/>
  <c r="Q395" i="33"/>
  <c r="Q396" i="33"/>
  <c r="Q397" i="33"/>
  <c r="Q398" i="33"/>
  <c r="Q399" i="33"/>
  <c r="Q400" i="33"/>
  <c r="Q401" i="33"/>
  <c r="Q402" i="33"/>
  <c r="Q403" i="33"/>
  <c r="Q404" i="33"/>
  <c r="Q405" i="33"/>
  <c r="Q406" i="33"/>
  <c r="Q407" i="33"/>
  <c r="Q408" i="33"/>
  <c r="Q409" i="33"/>
  <c r="Q410" i="33"/>
  <c r="Q411" i="33"/>
  <c r="Q412" i="33"/>
  <c r="Q413" i="33"/>
  <c r="Q414" i="33"/>
  <c r="Q415" i="33"/>
  <c r="Q416" i="33"/>
  <c r="Q417" i="33"/>
  <c r="Q418" i="33"/>
  <c r="Q419" i="33"/>
  <c r="Q420" i="33"/>
  <c r="Q421" i="33"/>
  <c r="Q422" i="33"/>
  <c r="Q423" i="33"/>
  <c r="Q424" i="33"/>
  <c r="Q425" i="33"/>
  <c r="Q426" i="33"/>
  <c r="Q427" i="33"/>
  <c r="Q428" i="33"/>
  <c r="Q429" i="33"/>
  <c r="Q430" i="33"/>
  <c r="Q431" i="33"/>
  <c r="Q432" i="33"/>
  <c r="Q433" i="33"/>
  <c r="Q434" i="33"/>
  <c r="Q435" i="33"/>
  <c r="Q436" i="33"/>
  <c r="Q437" i="33"/>
  <c r="Q438" i="33"/>
  <c r="Q439" i="33"/>
  <c r="Q440" i="33"/>
  <c r="Q441" i="33"/>
  <c r="Q442" i="33"/>
  <c r="Q443" i="33"/>
  <c r="Q444" i="33"/>
  <c r="Q445" i="33"/>
  <c r="Q446" i="33"/>
  <c r="Q447" i="33"/>
  <c r="Q448" i="33"/>
  <c r="Q449" i="33"/>
  <c r="Q450" i="33"/>
  <c r="Q451" i="33"/>
  <c r="Q452" i="33"/>
  <c r="Q453" i="33"/>
  <c r="Q454" i="33"/>
  <c r="Q455" i="33"/>
  <c r="Q456" i="33"/>
  <c r="Q457" i="33"/>
  <c r="Q458" i="33"/>
  <c r="Q459" i="33"/>
  <c r="Q460" i="33"/>
  <c r="Q461" i="33"/>
  <c r="Q462" i="33"/>
  <c r="Q463" i="33"/>
  <c r="Q464" i="33"/>
  <c r="Q465" i="33"/>
  <c r="Q466" i="33"/>
  <c r="Q467" i="33"/>
  <c r="Q468" i="33"/>
  <c r="Q469" i="33"/>
  <c r="Q470" i="33"/>
  <c r="Q471" i="33"/>
  <c r="Q472" i="33"/>
  <c r="Q473" i="33"/>
  <c r="Q474" i="33"/>
  <c r="Q475" i="33"/>
  <c r="Q476" i="33"/>
  <c r="Q477" i="33"/>
  <c r="Q478" i="33"/>
  <c r="Q479" i="33"/>
  <c r="Q480" i="33"/>
  <c r="Q481" i="33"/>
  <c r="Q482" i="33"/>
  <c r="Q483" i="33"/>
  <c r="Q484" i="33"/>
  <c r="Q485" i="33"/>
  <c r="Q486" i="33"/>
  <c r="Q487" i="33"/>
  <c r="Q488" i="33"/>
  <c r="Q489" i="33"/>
  <c r="Q490" i="33"/>
  <c r="Q491" i="33"/>
  <c r="Q492" i="33"/>
  <c r="Q493" i="33"/>
  <c r="Q494" i="33"/>
  <c r="Q495" i="33"/>
  <c r="Q496" i="33"/>
  <c r="Q497" i="33"/>
  <c r="Q498" i="33"/>
  <c r="Q499" i="33"/>
  <c r="Q500" i="33"/>
  <c r="Q501" i="33"/>
  <c r="Q502" i="33"/>
  <c r="Q503" i="33"/>
  <c r="Q504" i="33"/>
  <c r="Q505" i="33"/>
  <c r="Q506" i="33"/>
  <c r="Q507" i="33"/>
  <c r="Q508" i="33"/>
  <c r="Q509" i="33"/>
  <c r="Q510" i="33"/>
  <c r="Q511" i="33"/>
  <c r="Q512" i="33"/>
  <c r="Q513" i="33"/>
  <c r="Q514" i="33"/>
  <c r="Q515" i="33"/>
  <c r="Q516" i="33"/>
  <c r="Q517" i="33"/>
  <c r="Q518" i="33"/>
  <c r="Q519" i="33"/>
  <c r="Q520" i="33"/>
  <c r="Q521" i="33"/>
  <c r="Q522" i="33"/>
  <c r="Q523" i="33"/>
  <c r="Q524" i="33"/>
  <c r="Q525" i="33"/>
  <c r="Q526" i="33"/>
  <c r="Q527" i="33"/>
  <c r="Q528" i="33"/>
  <c r="Q529" i="33"/>
  <c r="Q530" i="33"/>
  <c r="Q531" i="33"/>
  <c r="Q532" i="33"/>
  <c r="Q533" i="33"/>
  <c r="Q534" i="33"/>
  <c r="Q535" i="33"/>
  <c r="Q536" i="33"/>
  <c r="Q537" i="33"/>
  <c r="Q538" i="33"/>
  <c r="Q539" i="33"/>
  <c r="Q540" i="33"/>
  <c r="Q541" i="33"/>
  <c r="Q542" i="33"/>
  <c r="Q543" i="33"/>
  <c r="Q544" i="33"/>
  <c r="Q545" i="33"/>
  <c r="Q546" i="33"/>
  <c r="Q547" i="33"/>
  <c r="Q548" i="33"/>
  <c r="Q549" i="33"/>
  <c r="Q550" i="33"/>
  <c r="Q551" i="33"/>
  <c r="Q552" i="33"/>
  <c r="Q553" i="33"/>
  <c r="Q554" i="33"/>
  <c r="Q555" i="33"/>
  <c r="Q556" i="33"/>
  <c r="Q557" i="33"/>
  <c r="Q558" i="33"/>
  <c r="Q559" i="33"/>
  <c r="Q560" i="33"/>
  <c r="Q561" i="33"/>
  <c r="Q562" i="33"/>
  <c r="Q563" i="33"/>
  <c r="Q564" i="33"/>
  <c r="Q565" i="33"/>
  <c r="Q566" i="33"/>
  <c r="Q567" i="33"/>
  <c r="Q568" i="33"/>
  <c r="Q569" i="33"/>
  <c r="Q570" i="33"/>
  <c r="Q571" i="33"/>
  <c r="Q572" i="33"/>
  <c r="Q573" i="33"/>
  <c r="Q574" i="33"/>
  <c r="Q575" i="33"/>
  <c r="Q576" i="33"/>
  <c r="Q577" i="33"/>
  <c r="Q578" i="33"/>
  <c r="Q579" i="33"/>
  <c r="Q580" i="33"/>
  <c r="Q581" i="33"/>
  <c r="Q582" i="33"/>
  <c r="Q583" i="33"/>
  <c r="Q584" i="33"/>
  <c r="Q585" i="33"/>
  <c r="Q586" i="33"/>
  <c r="Q587" i="33"/>
  <c r="Q588" i="33"/>
  <c r="Q589" i="33"/>
  <c r="Q590" i="33"/>
  <c r="Q591" i="33"/>
  <c r="Q592" i="33"/>
  <c r="Q593" i="33"/>
  <c r="Q594" i="33"/>
  <c r="Q595" i="33"/>
  <c r="Q596" i="33"/>
  <c r="Q597" i="33"/>
  <c r="Q598" i="33"/>
  <c r="Q599" i="33"/>
  <c r="Q600" i="33"/>
  <c r="Q601" i="33"/>
  <c r="Q602" i="33"/>
  <c r="Q603" i="33"/>
  <c r="Q604" i="33"/>
  <c r="Q605" i="33"/>
  <c r="Q606" i="33"/>
  <c r="Q607" i="33"/>
  <c r="Q608" i="33"/>
  <c r="Q609" i="33"/>
  <c r="Q610" i="33"/>
  <c r="Q611" i="33"/>
  <c r="Q612" i="33"/>
  <c r="Q613" i="33"/>
  <c r="Q614" i="33"/>
  <c r="Q615" i="33"/>
  <c r="Q616" i="33"/>
  <c r="Q617" i="33"/>
  <c r="Q618" i="33"/>
  <c r="Q619" i="33"/>
  <c r="Q620" i="33"/>
  <c r="Q621" i="33"/>
  <c r="Q622" i="33"/>
  <c r="Q623" i="33"/>
  <c r="Q624" i="33"/>
  <c r="Q625" i="33"/>
  <c r="Q626" i="33"/>
  <c r="Q627" i="33"/>
  <c r="Q628" i="33"/>
  <c r="Q629" i="33"/>
  <c r="Q630" i="33"/>
  <c r="Q631" i="33"/>
  <c r="Q632" i="33"/>
  <c r="Q633" i="33"/>
  <c r="Q634" i="33"/>
  <c r="Q635" i="33"/>
  <c r="Q636" i="33"/>
  <c r="Q637" i="33"/>
  <c r="Q638" i="33"/>
  <c r="Q639" i="33"/>
  <c r="Q640" i="33"/>
  <c r="Q641" i="33"/>
  <c r="Q642" i="33"/>
  <c r="Q643" i="33"/>
  <c r="Q644" i="33"/>
  <c r="Q645" i="33"/>
  <c r="Q646" i="33"/>
  <c r="Q647" i="33"/>
  <c r="Q648" i="33"/>
  <c r="Q649" i="33"/>
  <c r="Q650" i="33"/>
  <c r="Q651" i="33"/>
  <c r="Q652" i="33"/>
  <c r="Q653" i="33"/>
  <c r="Q654" i="33"/>
  <c r="Q655" i="33"/>
  <c r="Q656" i="33"/>
  <c r="Q657" i="33"/>
  <c r="Q658" i="33"/>
  <c r="Q659" i="33"/>
  <c r="Q660" i="33"/>
  <c r="Q661" i="33"/>
  <c r="Q662" i="33"/>
  <c r="Q663" i="33"/>
  <c r="Q664" i="33"/>
  <c r="Q665" i="33"/>
  <c r="Q666" i="33"/>
  <c r="Q667" i="33"/>
  <c r="Q668" i="33"/>
  <c r="Q669" i="33"/>
  <c r="Q670" i="33"/>
  <c r="Q671" i="33"/>
  <c r="Q672" i="33"/>
  <c r="Q673" i="33"/>
  <c r="Q674" i="33"/>
  <c r="Q675" i="33"/>
  <c r="Q676" i="33"/>
  <c r="Q677" i="33"/>
  <c r="Q678" i="33"/>
  <c r="Q679" i="33"/>
  <c r="Q680" i="33"/>
  <c r="Q681" i="33"/>
  <c r="Q682" i="33"/>
  <c r="Q683" i="33"/>
  <c r="Q684" i="33"/>
  <c r="Q685" i="33"/>
  <c r="Q686" i="33"/>
  <c r="Q687" i="33"/>
  <c r="Q688" i="33"/>
  <c r="Q689" i="33"/>
  <c r="Q690" i="33"/>
  <c r="Q691" i="33"/>
  <c r="Q692" i="33"/>
  <c r="Q693" i="33"/>
  <c r="Q694" i="33"/>
  <c r="Q695" i="33"/>
  <c r="Q696" i="33"/>
  <c r="Q697" i="33"/>
  <c r="Q698" i="33"/>
  <c r="Q699" i="33"/>
  <c r="Q700" i="33"/>
  <c r="Q701" i="33"/>
  <c r="Q702" i="33"/>
  <c r="Q703" i="33"/>
  <c r="Q704" i="33"/>
  <c r="Q705" i="33"/>
  <c r="Q706" i="33"/>
  <c r="Q707" i="33"/>
  <c r="Q708" i="33"/>
  <c r="Q709" i="33"/>
  <c r="Q710" i="33"/>
  <c r="Q711" i="33"/>
  <c r="Q712" i="33"/>
  <c r="Q713" i="33"/>
  <c r="Q714" i="33"/>
  <c r="Q715" i="33"/>
  <c r="Q716" i="33"/>
  <c r="Q717" i="33"/>
  <c r="Q718" i="33"/>
  <c r="Q719" i="33"/>
  <c r="Q720" i="33"/>
  <c r="Q721" i="33"/>
  <c r="Q722" i="33"/>
  <c r="Q723" i="33"/>
  <c r="Q724" i="33"/>
  <c r="Q725" i="33"/>
  <c r="Q726" i="33"/>
  <c r="Q727" i="33"/>
  <c r="Q728" i="33"/>
  <c r="Q729" i="33"/>
  <c r="Q730" i="33"/>
  <c r="Q731" i="33"/>
  <c r="Q732" i="33"/>
  <c r="Q733" i="33"/>
  <c r="Q734" i="33"/>
  <c r="Q735" i="33"/>
  <c r="Q736" i="33"/>
  <c r="Q737" i="33"/>
  <c r="Q738" i="33"/>
  <c r="Q739" i="33"/>
  <c r="Q740" i="33"/>
  <c r="Q741" i="33"/>
  <c r="Q742" i="33"/>
  <c r="Q743" i="33"/>
  <c r="Q744" i="33"/>
  <c r="Q745" i="33"/>
  <c r="Q746" i="33"/>
  <c r="Q747" i="33"/>
  <c r="Q748" i="33"/>
  <c r="Q749" i="33"/>
  <c r="Q750" i="33"/>
  <c r="Q751" i="33"/>
  <c r="Q752" i="33"/>
  <c r="Q753" i="33"/>
  <c r="Q754" i="33"/>
  <c r="Q755" i="33"/>
  <c r="Q756" i="33"/>
  <c r="Q757" i="33"/>
  <c r="Q758" i="33"/>
  <c r="Q759" i="33"/>
  <c r="Q760" i="33"/>
  <c r="Q761" i="33"/>
  <c r="Q762" i="33"/>
  <c r="Q763" i="33"/>
  <c r="Q764" i="33"/>
  <c r="Q765" i="33"/>
  <c r="Q766" i="33"/>
  <c r="Q767" i="33"/>
  <c r="Q768" i="33"/>
  <c r="Q769" i="33"/>
  <c r="Q770" i="33"/>
  <c r="Q771" i="33"/>
  <c r="Q772" i="33"/>
  <c r="Q773" i="33"/>
  <c r="Q774" i="33"/>
  <c r="Q775" i="33"/>
  <c r="Q776" i="33"/>
  <c r="Q777" i="33"/>
  <c r="Q778" i="33"/>
  <c r="Q779" i="33"/>
  <c r="Q780" i="33"/>
  <c r="Q781" i="33"/>
  <c r="Q782" i="33"/>
  <c r="Q783" i="33"/>
  <c r="Q784" i="33"/>
  <c r="Q785" i="33"/>
  <c r="Q786" i="33"/>
  <c r="Q787" i="33"/>
  <c r="Q788" i="33"/>
  <c r="Q789" i="33"/>
  <c r="Q790" i="33"/>
  <c r="Q791" i="33"/>
  <c r="Q792" i="33"/>
  <c r="Q793" i="33"/>
  <c r="Q794" i="33"/>
  <c r="Q795" i="33"/>
  <c r="Q796" i="33"/>
  <c r="Q797" i="33"/>
  <c r="Q798" i="33"/>
  <c r="Q799" i="33"/>
  <c r="Q800" i="33"/>
  <c r="Q801" i="33"/>
  <c r="Q802" i="33"/>
  <c r="Q803" i="33"/>
  <c r="Q804" i="33"/>
  <c r="Q805" i="33"/>
  <c r="Q806" i="33"/>
  <c r="Q807" i="33"/>
  <c r="Q808" i="33"/>
  <c r="Q809" i="33"/>
  <c r="Q810" i="33"/>
  <c r="Q811" i="33"/>
  <c r="Q812" i="33"/>
  <c r="Q813" i="33"/>
  <c r="Q814" i="33"/>
  <c r="Q815" i="33"/>
  <c r="Q816" i="33"/>
  <c r="Q817" i="33"/>
  <c r="Q818" i="33"/>
  <c r="Q819" i="33"/>
  <c r="Q820" i="33"/>
  <c r="Q821" i="33"/>
  <c r="Q822" i="33"/>
  <c r="Q823" i="33"/>
  <c r="Q824" i="33"/>
  <c r="Q825" i="33"/>
  <c r="Q826" i="33"/>
  <c r="Q827" i="33"/>
  <c r="Q828" i="33"/>
  <c r="Q829" i="33"/>
  <c r="Q830" i="33"/>
  <c r="Q831" i="33"/>
  <c r="Q832" i="33"/>
  <c r="Q833" i="33"/>
  <c r="Q834" i="33"/>
  <c r="Q835" i="33"/>
  <c r="Q836" i="33"/>
  <c r="Q837" i="33"/>
  <c r="Q838" i="33"/>
  <c r="Q839" i="33"/>
  <c r="Q840" i="33"/>
  <c r="Q841" i="33"/>
  <c r="Q842" i="33"/>
  <c r="Q843" i="33"/>
  <c r="Q844" i="33"/>
  <c r="Q845" i="33"/>
  <c r="Q846" i="33"/>
  <c r="Q847" i="33"/>
  <c r="Q848" i="33"/>
  <c r="Q849" i="33"/>
  <c r="Q850" i="33"/>
  <c r="Q851" i="33"/>
  <c r="Q852" i="33"/>
  <c r="Q853" i="33"/>
  <c r="Q854" i="33"/>
  <c r="Q855" i="33"/>
  <c r="Q856" i="33"/>
  <c r="Q857" i="33"/>
  <c r="Q858" i="33"/>
  <c r="Q859" i="33"/>
  <c r="Q860" i="33"/>
  <c r="Q861" i="33"/>
  <c r="Q862" i="33"/>
  <c r="Q863" i="33"/>
  <c r="Q864" i="33"/>
  <c r="Q865" i="33"/>
  <c r="Q866" i="33"/>
  <c r="Q867" i="33"/>
  <c r="Q868" i="33"/>
  <c r="Q869" i="33"/>
  <c r="Q870" i="33"/>
  <c r="Q871" i="33"/>
  <c r="Q872" i="33"/>
  <c r="Q873" i="33"/>
  <c r="Q874" i="33"/>
  <c r="Q875" i="33"/>
  <c r="Q876" i="33"/>
  <c r="Q877" i="33"/>
  <c r="Q878" i="33"/>
  <c r="Q879" i="33"/>
  <c r="Q880" i="33"/>
  <c r="Q881" i="33"/>
  <c r="Q882" i="33"/>
  <c r="Q883" i="33"/>
  <c r="Q884" i="33"/>
  <c r="Q885" i="33"/>
  <c r="Q886" i="33"/>
  <c r="Q887" i="33"/>
  <c r="Q888" i="33"/>
  <c r="Q889" i="33"/>
  <c r="Q890" i="33"/>
  <c r="Q891" i="33"/>
  <c r="Q892" i="33"/>
  <c r="Q893" i="33"/>
  <c r="Q894" i="33"/>
  <c r="Q895" i="33"/>
  <c r="Q896" i="33"/>
  <c r="Q897" i="33"/>
  <c r="Q898" i="33"/>
  <c r="Q899" i="33"/>
  <c r="Q900" i="33"/>
  <c r="Q901" i="33"/>
  <c r="Q902" i="33"/>
  <c r="Q903" i="33"/>
  <c r="Q904" i="33"/>
  <c r="Q905" i="33"/>
  <c r="Q906" i="33"/>
  <c r="Q907" i="33"/>
  <c r="Q908" i="33"/>
  <c r="Q909" i="33"/>
  <c r="Q910" i="33"/>
  <c r="Q911" i="33"/>
  <c r="Q912" i="33"/>
  <c r="Q913" i="33"/>
  <c r="Q914" i="33"/>
  <c r="Q915" i="33"/>
  <c r="Q916" i="33"/>
  <c r="Q917" i="33"/>
  <c r="Q918" i="33"/>
  <c r="Q919" i="33"/>
  <c r="Q920" i="33"/>
  <c r="Q921" i="33"/>
  <c r="Q922" i="33"/>
  <c r="Q923" i="33"/>
  <c r="Q924" i="33"/>
  <c r="Q925" i="33"/>
  <c r="Q926" i="33"/>
  <c r="Q927" i="33"/>
  <c r="Q928" i="33"/>
  <c r="Q929" i="33"/>
  <c r="Q930" i="33"/>
  <c r="Q931" i="33"/>
  <c r="Q932" i="33"/>
  <c r="Q933" i="33"/>
  <c r="Q934" i="33"/>
  <c r="Q935" i="33"/>
  <c r="Q936" i="33"/>
  <c r="Q937" i="33"/>
  <c r="Q938" i="33"/>
  <c r="Q939" i="33"/>
  <c r="Q940" i="33"/>
  <c r="Q941" i="33"/>
  <c r="Q942" i="33"/>
  <c r="Q943" i="33"/>
  <c r="Q944" i="33"/>
  <c r="Q945" i="33"/>
  <c r="Q946" i="33"/>
  <c r="Q947" i="33"/>
  <c r="Q948" i="33"/>
  <c r="Q949" i="33"/>
  <c r="Q950" i="33"/>
  <c r="Q951" i="33"/>
  <c r="Q952" i="33"/>
  <c r="Q953" i="33"/>
  <c r="Q954" i="33"/>
  <c r="Q955" i="33"/>
  <c r="Q956" i="33"/>
  <c r="Q957" i="33"/>
  <c r="Q958" i="33"/>
  <c r="Q959" i="33"/>
  <c r="Q960" i="33"/>
  <c r="Q961" i="33"/>
  <c r="Q962" i="33"/>
  <c r="Q963" i="33"/>
  <c r="Q964" i="33"/>
  <c r="Q965" i="33"/>
  <c r="Q966" i="33"/>
  <c r="Q967" i="33"/>
  <c r="Q968" i="33"/>
  <c r="Q969" i="33"/>
  <c r="Q970" i="33"/>
  <c r="Q971" i="33"/>
  <c r="Q972" i="33"/>
  <c r="Q973" i="33"/>
  <c r="Q974" i="33"/>
  <c r="Q975" i="33"/>
  <c r="Q976" i="33"/>
  <c r="Q977" i="33"/>
  <c r="Q978" i="33"/>
  <c r="Q979" i="33"/>
  <c r="Q980" i="33"/>
  <c r="Q981" i="33"/>
  <c r="Q982" i="33"/>
  <c r="Q983" i="33"/>
  <c r="Q984" i="33"/>
  <c r="Q985" i="33"/>
  <c r="Q986" i="33"/>
  <c r="Q987" i="33"/>
  <c r="Q988" i="33"/>
  <c r="Q989" i="33"/>
  <c r="Q990" i="33"/>
  <c r="Q991" i="33"/>
  <c r="Q992" i="33"/>
  <c r="Q993" i="33"/>
  <c r="Q994" i="33"/>
  <c r="Q995" i="33"/>
  <c r="Q996" i="33"/>
  <c r="Q997" i="33"/>
  <c r="Q998" i="33"/>
  <c r="Q999" i="33"/>
  <c r="Q1000" i="33"/>
  <c r="Q1001" i="33"/>
  <c r="Q1002" i="33"/>
  <c r="Q1003" i="33"/>
  <c r="Q1004" i="33"/>
  <c r="N141" i="33"/>
  <c r="N142" i="33"/>
  <c r="N143" i="33"/>
  <c r="N144" i="33"/>
  <c r="N145" i="33"/>
  <c r="N146" i="33"/>
  <c r="N147" i="33"/>
  <c r="N148" i="33"/>
  <c r="N149" i="33"/>
  <c r="N150" i="33"/>
  <c r="N151" i="33"/>
  <c r="N152" i="33"/>
  <c r="N153" i="33"/>
  <c r="N154" i="33"/>
  <c r="N155" i="33"/>
  <c r="N156" i="33"/>
  <c r="N157" i="33"/>
  <c r="N158" i="33"/>
  <c r="N159" i="33"/>
  <c r="N160" i="33"/>
  <c r="N161" i="33"/>
  <c r="N162" i="33"/>
  <c r="N163" i="33"/>
  <c r="N164" i="33"/>
  <c r="N165" i="33"/>
  <c r="N166" i="33"/>
  <c r="N167" i="33"/>
  <c r="N168" i="33"/>
  <c r="N169" i="33"/>
  <c r="N170" i="33"/>
  <c r="N171" i="33"/>
  <c r="N172" i="33"/>
  <c r="N173" i="33"/>
  <c r="N174" i="33"/>
  <c r="N175" i="33"/>
  <c r="N176" i="33"/>
  <c r="N177" i="33"/>
  <c r="N178" i="33"/>
  <c r="N179" i="33"/>
  <c r="N180" i="33"/>
  <c r="N181" i="33"/>
  <c r="N182" i="33"/>
  <c r="N183" i="33"/>
  <c r="N184" i="33"/>
  <c r="N185" i="33"/>
  <c r="N186" i="33"/>
  <c r="N187" i="33"/>
  <c r="N188" i="33"/>
  <c r="N189" i="33"/>
  <c r="N190" i="33"/>
  <c r="N191" i="33"/>
  <c r="N192" i="33"/>
  <c r="N193" i="33"/>
  <c r="N194" i="33"/>
  <c r="N195" i="33"/>
  <c r="N196" i="33"/>
  <c r="N197" i="33"/>
  <c r="N198" i="33"/>
  <c r="N199" i="33"/>
  <c r="N200" i="33"/>
  <c r="N201" i="33"/>
  <c r="N202" i="33"/>
  <c r="N203" i="33"/>
  <c r="N204" i="33"/>
  <c r="N205" i="33"/>
  <c r="N206" i="33"/>
  <c r="N207" i="33"/>
  <c r="N208" i="33"/>
  <c r="N209" i="33"/>
  <c r="N210" i="33"/>
  <c r="N211" i="33"/>
  <c r="N212" i="33"/>
  <c r="N213" i="33"/>
  <c r="N214" i="33"/>
  <c r="N215" i="33"/>
  <c r="N216" i="33"/>
  <c r="N217" i="33"/>
  <c r="N218" i="33"/>
  <c r="N219" i="33"/>
  <c r="N220" i="33"/>
  <c r="N221" i="33"/>
  <c r="N222" i="33"/>
  <c r="N223" i="33"/>
  <c r="N224" i="33"/>
  <c r="N225" i="33"/>
  <c r="N226" i="33"/>
  <c r="N227" i="33"/>
  <c r="N228" i="33"/>
  <c r="N229" i="33"/>
  <c r="N230" i="33"/>
  <c r="N231" i="33"/>
  <c r="N232" i="33"/>
  <c r="N233" i="33"/>
  <c r="N234" i="33"/>
  <c r="N235" i="33"/>
  <c r="N236" i="33"/>
  <c r="N237" i="33"/>
  <c r="N238" i="33"/>
  <c r="N239" i="33"/>
  <c r="N240" i="33"/>
  <c r="N241" i="33"/>
  <c r="N242" i="33"/>
  <c r="N243" i="33"/>
  <c r="N244" i="33"/>
  <c r="N245" i="33"/>
  <c r="N246" i="33"/>
  <c r="N247" i="33"/>
  <c r="N248" i="33"/>
  <c r="N249" i="33"/>
  <c r="N250" i="33"/>
  <c r="N251" i="33"/>
  <c r="N252" i="33"/>
  <c r="N253" i="33"/>
  <c r="N254" i="33"/>
  <c r="N255" i="33"/>
  <c r="N256" i="33"/>
  <c r="N257" i="33"/>
  <c r="N258" i="33"/>
  <c r="N259" i="33"/>
  <c r="N260" i="33"/>
  <c r="N261" i="33"/>
  <c r="N262" i="33"/>
  <c r="N263" i="33"/>
  <c r="N264" i="33"/>
  <c r="N265" i="33"/>
  <c r="N266" i="33"/>
  <c r="N267" i="33"/>
  <c r="N268" i="33"/>
  <c r="N269" i="33"/>
  <c r="N270" i="33"/>
  <c r="N271" i="33"/>
  <c r="N272" i="33"/>
  <c r="N273" i="33"/>
  <c r="N274" i="33"/>
  <c r="N275" i="33"/>
  <c r="N276" i="33"/>
  <c r="N277" i="33"/>
  <c r="N278" i="33"/>
  <c r="N279" i="33"/>
  <c r="N280" i="33"/>
  <c r="N281" i="33"/>
  <c r="N282" i="33"/>
  <c r="N283" i="33"/>
  <c r="N284" i="33"/>
  <c r="N285" i="33"/>
  <c r="N286" i="33"/>
  <c r="N287" i="33"/>
  <c r="N288" i="33"/>
  <c r="N289" i="33"/>
  <c r="N290" i="33"/>
  <c r="N291" i="33"/>
  <c r="N292" i="33"/>
  <c r="N293" i="33"/>
  <c r="N294" i="33"/>
  <c r="N295" i="33"/>
  <c r="N296" i="33"/>
  <c r="N297" i="33"/>
  <c r="N298" i="33"/>
  <c r="N299" i="33"/>
  <c r="N300" i="33"/>
  <c r="N301" i="33"/>
  <c r="N302" i="33"/>
  <c r="N303" i="33"/>
  <c r="N304" i="33"/>
  <c r="N305" i="33"/>
  <c r="N306" i="33"/>
  <c r="N307" i="33"/>
  <c r="N308" i="33"/>
  <c r="N309" i="33"/>
  <c r="N310" i="33"/>
  <c r="N311" i="33"/>
  <c r="N312" i="33"/>
  <c r="N313" i="33"/>
  <c r="N314" i="33"/>
  <c r="N315" i="33"/>
  <c r="N316" i="33"/>
  <c r="N317" i="33"/>
  <c r="N318" i="33"/>
  <c r="N319" i="33"/>
  <c r="N320" i="33"/>
  <c r="N321" i="33"/>
  <c r="N322" i="33"/>
  <c r="N323" i="33"/>
  <c r="N324" i="33"/>
  <c r="N325" i="33"/>
  <c r="N326" i="33"/>
  <c r="N327" i="33"/>
  <c r="N328" i="33"/>
  <c r="N329" i="33"/>
  <c r="N330" i="33"/>
  <c r="N331" i="33"/>
  <c r="N332" i="33"/>
  <c r="N333" i="33"/>
  <c r="N334" i="33"/>
  <c r="N335" i="33"/>
  <c r="N336" i="33"/>
  <c r="N337" i="33"/>
  <c r="N338" i="33"/>
  <c r="N339" i="33"/>
  <c r="N340" i="33"/>
  <c r="N341" i="33"/>
  <c r="N342" i="33"/>
  <c r="N343" i="33"/>
  <c r="N344" i="33"/>
  <c r="N345" i="33"/>
  <c r="N346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62" i="33"/>
  <c r="N363" i="33"/>
  <c r="N364" i="33"/>
  <c r="N365" i="33"/>
  <c r="N366" i="33"/>
  <c r="N367" i="33"/>
  <c r="N368" i="33"/>
  <c r="N369" i="33"/>
  <c r="N370" i="33"/>
  <c r="N371" i="33"/>
  <c r="N372" i="33"/>
  <c r="N373" i="33"/>
  <c r="N374" i="33"/>
  <c r="N375" i="33"/>
  <c r="N376" i="33"/>
  <c r="N377" i="33"/>
  <c r="N378" i="33"/>
  <c r="N379" i="33"/>
  <c r="N380" i="33"/>
  <c r="N381" i="33"/>
  <c r="N382" i="33"/>
  <c r="N383" i="33"/>
  <c r="N384" i="33"/>
  <c r="N385" i="33"/>
  <c r="N386" i="33"/>
  <c r="N387" i="33"/>
  <c r="N388" i="33"/>
  <c r="N389" i="33"/>
  <c r="N390" i="33"/>
  <c r="N391" i="33"/>
  <c r="N392" i="33"/>
  <c r="N393" i="33"/>
  <c r="N394" i="33"/>
  <c r="N395" i="33"/>
  <c r="N396" i="33"/>
  <c r="N397" i="33"/>
  <c r="N398" i="33"/>
  <c r="N399" i="33"/>
  <c r="N400" i="33"/>
  <c r="N401" i="33"/>
  <c r="N402" i="33"/>
  <c r="N403" i="33"/>
  <c r="N404" i="33"/>
  <c r="N405" i="33"/>
  <c r="N406" i="33"/>
  <c r="N407" i="33"/>
  <c r="N408" i="33"/>
  <c r="N409" i="33"/>
  <c r="N410" i="33"/>
  <c r="N411" i="33"/>
  <c r="N412" i="33"/>
  <c r="N413" i="33"/>
  <c r="N414" i="33"/>
  <c r="N415" i="33"/>
  <c r="N416" i="33"/>
  <c r="N417" i="33"/>
  <c r="N418" i="33"/>
  <c r="N419" i="33"/>
  <c r="N420" i="33"/>
  <c r="N421" i="33"/>
  <c r="N422" i="33"/>
  <c r="N423" i="33"/>
  <c r="N424" i="33"/>
  <c r="N425" i="33"/>
  <c r="N426" i="33"/>
  <c r="N427" i="33"/>
  <c r="N428" i="33"/>
  <c r="N429" i="33"/>
  <c r="N430" i="33"/>
  <c r="N431" i="33"/>
  <c r="N432" i="33"/>
  <c r="N433" i="33"/>
  <c r="N434" i="33"/>
  <c r="N435" i="33"/>
  <c r="N436" i="33"/>
  <c r="N437" i="33"/>
  <c r="N438" i="33"/>
  <c r="N439" i="33"/>
  <c r="N440" i="33"/>
  <c r="N441" i="33"/>
  <c r="N442" i="33"/>
  <c r="N443" i="33"/>
  <c r="N444" i="33"/>
  <c r="N445" i="33"/>
  <c r="N446" i="33"/>
  <c r="N447" i="33"/>
  <c r="N448" i="33"/>
  <c r="N449" i="33"/>
  <c r="N450" i="33"/>
  <c r="N451" i="33"/>
  <c r="N452" i="33"/>
  <c r="N453" i="33"/>
  <c r="N454" i="33"/>
  <c r="N455" i="33"/>
  <c r="N456" i="33"/>
  <c r="N457" i="33"/>
  <c r="N458" i="33"/>
  <c r="N459" i="33"/>
  <c r="N460" i="33"/>
  <c r="N461" i="33"/>
  <c r="N462" i="33"/>
  <c r="N463" i="33"/>
  <c r="N464" i="33"/>
  <c r="N465" i="33"/>
  <c r="N466" i="33"/>
  <c r="N467" i="33"/>
  <c r="N468" i="33"/>
  <c r="N469" i="33"/>
  <c r="N470" i="33"/>
  <c r="N471" i="33"/>
  <c r="N472" i="33"/>
  <c r="N473" i="33"/>
  <c r="N474" i="33"/>
  <c r="N475" i="33"/>
  <c r="N476" i="33"/>
  <c r="N477" i="33"/>
  <c r="N478" i="33"/>
  <c r="N479" i="33"/>
  <c r="N480" i="33"/>
  <c r="N481" i="33"/>
  <c r="N482" i="33"/>
  <c r="N483" i="33"/>
  <c r="N484" i="33"/>
  <c r="N485" i="33"/>
  <c r="N486" i="33"/>
  <c r="N487" i="33"/>
  <c r="N488" i="33"/>
  <c r="N489" i="33"/>
  <c r="N490" i="33"/>
  <c r="N491" i="33"/>
  <c r="N492" i="33"/>
  <c r="N493" i="33"/>
  <c r="N494" i="33"/>
  <c r="N495" i="33"/>
  <c r="N496" i="33"/>
  <c r="N497" i="33"/>
  <c r="N498" i="33"/>
  <c r="N499" i="33"/>
  <c r="N500" i="33"/>
  <c r="N501" i="33"/>
  <c r="N502" i="33"/>
  <c r="N503" i="33"/>
  <c r="N504" i="33"/>
  <c r="N505" i="33"/>
  <c r="N506" i="33"/>
  <c r="N507" i="33"/>
  <c r="N508" i="33"/>
  <c r="N509" i="33"/>
  <c r="N510" i="33"/>
  <c r="N511" i="33"/>
  <c r="N512" i="33"/>
  <c r="N513" i="33"/>
  <c r="N514" i="33"/>
  <c r="N515" i="33"/>
  <c r="N516" i="33"/>
  <c r="N517" i="33"/>
  <c r="N518" i="33"/>
  <c r="N519" i="33"/>
  <c r="N520" i="33"/>
  <c r="N521" i="33"/>
  <c r="N522" i="33"/>
  <c r="N523" i="33"/>
  <c r="N524" i="33"/>
  <c r="N525" i="33"/>
  <c r="N526" i="33"/>
  <c r="N527" i="33"/>
  <c r="N528" i="33"/>
  <c r="N529" i="33"/>
  <c r="N530" i="33"/>
  <c r="N531" i="33"/>
  <c r="N532" i="33"/>
  <c r="N533" i="33"/>
  <c r="N534" i="33"/>
  <c r="N535" i="33"/>
  <c r="N536" i="33"/>
  <c r="N537" i="33"/>
  <c r="N538" i="33"/>
  <c r="N539" i="33"/>
  <c r="N540" i="33"/>
  <c r="N541" i="33"/>
  <c r="N542" i="33"/>
  <c r="N543" i="33"/>
  <c r="N544" i="33"/>
  <c r="N545" i="33"/>
  <c r="N546" i="33"/>
  <c r="N547" i="33"/>
  <c r="N548" i="33"/>
  <c r="N549" i="33"/>
  <c r="N550" i="33"/>
  <c r="N551" i="33"/>
  <c r="N552" i="33"/>
  <c r="N553" i="33"/>
  <c r="N554" i="33"/>
  <c r="N555" i="33"/>
  <c r="N556" i="33"/>
  <c r="N557" i="33"/>
  <c r="N558" i="33"/>
  <c r="N559" i="33"/>
  <c r="N560" i="33"/>
  <c r="N561" i="33"/>
  <c r="N562" i="33"/>
  <c r="N563" i="33"/>
  <c r="N564" i="33"/>
  <c r="N565" i="33"/>
  <c r="N566" i="33"/>
  <c r="N567" i="33"/>
  <c r="N568" i="33"/>
  <c r="N569" i="33"/>
  <c r="N570" i="33"/>
  <c r="N571" i="33"/>
  <c r="N572" i="33"/>
  <c r="N573" i="33"/>
  <c r="N574" i="33"/>
  <c r="N575" i="33"/>
  <c r="N576" i="33"/>
  <c r="N577" i="33"/>
  <c r="N578" i="33"/>
  <c r="N579" i="33"/>
  <c r="N580" i="33"/>
  <c r="N581" i="33"/>
  <c r="N582" i="33"/>
  <c r="N583" i="33"/>
  <c r="N584" i="33"/>
  <c r="N585" i="33"/>
  <c r="N586" i="33"/>
  <c r="N587" i="33"/>
  <c r="N588" i="33"/>
  <c r="N589" i="33"/>
  <c r="N590" i="33"/>
  <c r="N591" i="33"/>
  <c r="N592" i="33"/>
  <c r="N593" i="33"/>
  <c r="N594" i="33"/>
  <c r="N595" i="33"/>
  <c r="N596" i="33"/>
  <c r="N597" i="33"/>
  <c r="N598" i="33"/>
  <c r="N599" i="33"/>
  <c r="N600" i="33"/>
  <c r="N601" i="33"/>
  <c r="N602" i="33"/>
  <c r="N603" i="33"/>
  <c r="N604" i="33"/>
  <c r="N605" i="33"/>
  <c r="N606" i="33"/>
  <c r="N607" i="33"/>
  <c r="N608" i="33"/>
  <c r="N609" i="33"/>
  <c r="N610" i="33"/>
  <c r="N611" i="33"/>
  <c r="N612" i="33"/>
  <c r="N613" i="33"/>
  <c r="N614" i="33"/>
  <c r="N615" i="33"/>
  <c r="N616" i="33"/>
  <c r="N617" i="33"/>
  <c r="N618" i="33"/>
  <c r="N619" i="33"/>
  <c r="N620" i="33"/>
  <c r="N621" i="33"/>
  <c r="N622" i="33"/>
  <c r="N623" i="33"/>
  <c r="N624" i="33"/>
  <c r="N625" i="33"/>
  <c r="N626" i="33"/>
  <c r="N627" i="33"/>
  <c r="N628" i="33"/>
  <c r="N629" i="33"/>
  <c r="N630" i="33"/>
  <c r="N631" i="33"/>
  <c r="N632" i="33"/>
  <c r="N633" i="33"/>
  <c r="N634" i="33"/>
  <c r="N635" i="33"/>
  <c r="N636" i="33"/>
  <c r="N637" i="33"/>
  <c r="N638" i="33"/>
  <c r="N639" i="33"/>
  <c r="N640" i="33"/>
  <c r="N641" i="33"/>
  <c r="N642" i="33"/>
  <c r="N643" i="33"/>
  <c r="N644" i="33"/>
  <c r="N645" i="33"/>
  <c r="N646" i="33"/>
  <c r="N647" i="33"/>
  <c r="N648" i="33"/>
  <c r="N649" i="33"/>
  <c r="N650" i="33"/>
  <c r="N651" i="33"/>
  <c r="N652" i="33"/>
  <c r="N653" i="33"/>
  <c r="N654" i="33"/>
  <c r="N655" i="33"/>
  <c r="N656" i="33"/>
  <c r="N657" i="33"/>
  <c r="N658" i="33"/>
  <c r="N659" i="33"/>
  <c r="N660" i="33"/>
  <c r="N661" i="33"/>
  <c r="N662" i="33"/>
  <c r="N663" i="33"/>
  <c r="N664" i="33"/>
  <c r="N665" i="33"/>
  <c r="N666" i="33"/>
  <c r="N667" i="33"/>
  <c r="N668" i="33"/>
  <c r="N669" i="33"/>
  <c r="N670" i="33"/>
  <c r="N671" i="33"/>
  <c r="N672" i="33"/>
  <c r="N673" i="33"/>
  <c r="N674" i="33"/>
  <c r="N675" i="33"/>
  <c r="N676" i="33"/>
  <c r="N677" i="33"/>
  <c r="N678" i="33"/>
  <c r="N679" i="33"/>
  <c r="N680" i="33"/>
  <c r="N681" i="33"/>
  <c r="N682" i="33"/>
  <c r="N683" i="33"/>
  <c r="N684" i="33"/>
  <c r="N685" i="33"/>
  <c r="N686" i="33"/>
  <c r="N687" i="33"/>
  <c r="N688" i="33"/>
  <c r="N689" i="33"/>
  <c r="N690" i="33"/>
  <c r="N691" i="33"/>
  <c r="N692" i="33"/>
  <c r="N693" i="33"/>
  <c r="N694" i="33"/>
  <c r="N695" i="33"/>
  <c r="N696" i="33"/>
  <c r="N697" i="33"/>
  <c r="N698" i="33"/>
  <c r="N699" i="33"/>
  <c r="N700" i="33"/>
  <c r="N701" i="33"/>
  <c r="N702" i="33"/>
  <c r="N703" i="33"/>
  <c r="N704" i="33"/>
  <c r="N705" i="33"/>
  <c r="N706" i="33"/>
  <c r="N707" i="33"/>
  <c r="N708" i="33"/>
  <c r="N709" i="33"/>
  <c r="N710" i="33"/>
  <c r="N711" i="33"/>
  <c r="N712" i="33"/>
  <c r="N713" i="33"/>
  <c r="N714" i="33"/>
  <c r="N715" i="33"/>
  <c r="N716" i="33"/>
  <c r="N717" i="33"/>
  <c r="N718" i="33"/>
  <c r="N719" i="33"/>
  <c r="N720" i="33"/>
  <c r="N721" i="33"/>
  <c r="N722" i="33"/>
  <c r="N723" i="33"/>
  <c r="N724" i="33"/>
  <c r="N725" i="33"/>
  <c r="N726" i="33"/>
  <c r="N727" i="33"/>
  <c r="N728" i="33"/>
  <c r="N729" i="33"/>
  <c r="N730" i="33"/>
  <c r="N731" i="33"/>
  <c r="N732" i="33"/>
  <c r="N733" i="33"/>
  <c r="N734" i="33"/>
  <c r="N735" i="33"/>
  <c r="N736" i="33"/>
  <c r="N737" i="33"/>
  <c r="N738" i="33"/>
  <c r="N739" i="33"/>
  <c r="N740" i="33"/>
  <c r="N741" i="33"/>
  <c r="N742" i="33"/>
  <c r="N743" i="33"/>
  <c r="N744" i="33"/>
  <c r="N745" i="33"/>
  <c r="N746" i="33"/>
  <c r="N747" i="33"/>
  <c r="N748" i="33"/>
  <c r="N749" i="33"/>
  <c r="N750" i="33"/>
  <c r="N751" i="33"/>
  <c r="N752" i="33"/>
  <c r="N753" i="33"/>
  <c r="N754" i="33"/>
  <c r="N755" i="33"/>
  <c r="N756" i="33"/>
  <c r="N757" i="33"/>
  <c r="N758" i="33"/>
  <c r="N759" i="33"/>
  <c r="N760" i="33"/>
  <c r="N761" i="33"/>
  <c r="N762" i="33"/>
  <c r="N763" i="33"/>
  <c r="N764" i="33"/>
  <c r="N765" i="33"/>
  <c r="N766" i="33"/>
  <c r="N767" i="33"/>
  <c r="N768" i="33"/>
  <c r="N769" i="33"/>
  <c r="N770" i="33"/>
  <c r="N771" i="33"/>
  <c r="N772" i="33"/>
  <c r="N773" i="33"/>
  <c r="N774" i="33"/>
  <c r="N775" i="33"/>
  <c r="N776" i="33"/>
  <c r="N777" i="33"/>
  <c r="N778" i="33"/>
  <c r="N779" i="33"/>
  <c r="N780" i="33"/>
  <c r="N781" i="33"/>
  <c r="N782" i="33"/>
  <c r="N783" i="33"/>
  <c r="N784" i="33"/>
  <c r="N785" i="33"/>
  <c r="N786" i="33"/>
  <c r="N787" i="33"/>
  <c r="N788" i="33"/>
  <c r="N789" i="33"/>
  <c r="N790" i="33"/>
  <c r="N791" i="33"/>
  <c r="N792" i="33"/>
  <c r="N793" i="33"/>
  <c r="N794" i="33"/>
  <c r="N795" i="33"/>
  <c r="N796" i="33"/>
  <c r="N797" i="33"/>
  <c r="N798" i="33"/>
  <c r="N799" i="33"/>
  <c r="N800" i="33"/>
  <c r="N801" i="33"/>
  <c r="N802" i="33"/>
  <c r="N803" i="33"/>
  <c r="N804" i="33"/>
  <c r="N805" i="33"/>
  <c r="N806" i="33"/>
  <c r="N807" i="33"/>
  <c r="N808" i="33"/>
  <c r="N809" i="33"/>
  <c r="N810" i="33"/>
  <c r="N811" i="33"/>
  <c r="N812" i="33"/>
  <c r="N813" i="33"/>
  <c r="N814" i="33"/>
  <c r="N815" i="33"/>
  <c r="N816" i="33"/>
  <c r="N817" i="33"/>
  <c r="N818" i="33"/>
  <c r="N819" i="33"/>
  <c r="N820" i="33"/>
  <c r="N821" i="33"/>
  <c r="N822" i="33"/>
  <c r="N823" i="33"/>
  <c r="N824" i="33"/>
  <c r="N825" i="33"/>
  <c r="N826" i="33"/>
  <c r="N827" i="33"/>
  <c r="N828" i="33"/>
  <c r="N829" i="33"/>
  <c r="N830" i="33"/>
  <c r="N831" i="33"/>
  <c r="N832" i="33"/>
  <c r="N833" i="33"/>
  <c r="N834" i="33"/>
  <c r="N835" i="33"/>
  <c r="N836" i="33"/>
  <c r="N837" i="33"/>
  <c r="N838" i="33"/>
  <c r="N839" i="33"/>
  <c r="N840" i="33"/>
  <c r="N841" i="33"/>
  <c r="N842" i="33"/>
  <c r="N843" i="33"/>
  <c r="N844" i="33"/>
  <c r="N845" i="33"/>
  <c r="N846" i="33"/>
  <c r="N847" i="33"/>
  <c r="N848" i="33"/>
  <c r="N849" i="33"/>
  <c r="N850" i="33"/>
  <c r="N851" i="33"/>
  <c r="N852" i="33"/>
  <c r="N853" i="33"/>
  <c r="N854" i="33"/>
  <c r="N855" i="33"/>
  <c r="N856" i="33"/>
  <c r="N857" i="33"/>
  <c r="N858" i="33"/>
  <c r="N859" i="33"/>
  <c r="N860" i="33"/>
  <c r="N861" i="33"/>
  <c r="N862" i="33"/>
  <c r="N863" i="33"/>
  <c r="N864" i="33"/>
  <c r="N865" i="33"/>
  <c r="N866" i="33"/>
  <c r="N867" i="33"/>
  <c r="N868" i="33"/>
  <c r="N869" i="33"/>
  <c r="N870" i="33"/>
  <c r="N871" i="33"/>
  <c r="N872" i="33"/>
  <c r="N873" i="33"/>
  <c r="N874" i="33"/>
  <c r="N875" i="33"/>
  <c r="N876" i="33"/>
  <c r="N877" i="33"/>
  <c r="N878" i="33"/>
  <c r="N879" i="33"/>
  <c r="N880" i="33"/>
  <c r="N881" i="33"/>
  <c r="N882" i="33"/>
  <c r="N883" i="33"/>
  <c r="N884" i="33"/>
  <c r="N885" i="33"/>
  <c r="N886" i="33"/>
  <c r="N887" i="33"/>
  <c r="N888" i="33"/>
  <c r="N889" i="33"/>
  <c r="N890" i="33"/>
  <c r="N891" i="33"/>
  <c r="N892" i="33"/>
  <c r="N893" i="33"/>
  <c r="N894" i="33"/>
  <c r="N895" i="33"/>
  <c r="N896" i="33"/>
  <c r="N897" i="33"/>
  <c r="N898" i="33"/>
  <c r="N899" i="33"/>
  <c r="N900" i="33"/>
  <c r="N901" i="33"/>
  <c r="N902" i="33"/>
  <c r="N903" i="33"/>
  <c r="N904" i="33"/>
  <c r="N905" i="33"/>
  <c r="N906" i="33"/>
  <c r="N907" i="33"/>
  <c r="N908" i="33"/>
  <c r="N909" i="33"/>
  <c r="N910" i="33"/>
  <c r="N911" i="33"/>
  <c r="N912" i="33"/>
  <c r="N913" i="33"/>
  <c r="N914" i="33"/>
  <c r="N915" i="33"/>
  <c r="N916" i="33"/>
  <c r="N917" i="33"/>
  <c r="N918" i="33"/>
  <c r="N919" i="33"/>
  <c r="N920" i="33"/>
  <c r="N921" i="33"/>
  <c r="N922" i="33"/>
  <c r="N923" i="33"/>
  <c r="N924" i="33"/>
  <c r="N925" i="33"/>
  <c r="N926" i="33"/>
  <c r="N927" i="33"/>
  <c r="N928" i="33"/>
  <c r="N929" i="33"/>
  <c r="N930" i="33"/>
  <c r="N931" i="33"/>
  <c r="N932" i="33"/>
  <c r="N933" i="33"/>
  <c r="N934" i="33"/>
  <c r="N935" i="33"/>
  <c r="N936" i="33"/>
  <c r="N937" i="33"/>
  <c r="N938" i="33"/>
  <c r="N939" i="33"/>
  <c r="N940" i="33"/>
  <c r="N941" i="33"/>
  <c r="N942" i="33"/>
  <c r="N943" i="33"/>
  <c r="N944" i="33"/>
  <c r="N945" i="33"/>
  <c r="N946" i="33"/>
  <c r="N947" i="33"/>
  <c r="N948" i="33"/>
  <c r="N949" i="33"/>
  <c r="N950" i="33"/>
  <c r="N951" i="33"/>
  <c r="N952" i="33"/>
  <c r="N953" i="33"/>
  <c r="N954" i="33"/>
  <c r="N955" i="33"/>
  <c r="N956" i="33"/>
  <c r="N957" i="33"/>
  <c r="N958" i="33"/>
  <c r="N959" i="33"/>
  <c r="N960" i="33"/>
  <c r="N961" i="33"/>
  <c r="N962" i="33"/>
  <c r="N963" i="33"/>
  <c r="N964" i="33"/>
  <c r="N965" i="33"/>
  <c r="N966" i="33"/>
  <c r="N967" i="33"/>
  <c r="N968" i="33"/>
  <c r="N969" i="33"/>
  <c r="N970" i="33"/>
  <c r="N971" i="33"/>
  <c r="N972" i="33"/>
  <c r="N973" i="33"/>
  <c r="N974" i="33"/>
  <c r="N975" i="33"/>
  <c r="N976" i="33"/>
  <c r="N977" i="33"/>
  <c r="N978" i="33"/>
  <c r="N979" i="33"/>
  <c r="N980" i="33"/>
  <c r="N981" i="33"/>
  <c r="N982" i="33"/>
  <c r="N983" i="33"/>
  <c r="N984" i="33"/>
  <c r="N985" i="33"/>
  <c r="N986" i="33"/>
  <c r="N987" i="33"/>
  <c r="N988" i="33"/>
  <c r="N989" i="33"/>
  <c r="N990" i="33"/>
  <c r="N991" i="33"/>
  <c r="N992" i="33"/>
  <c r="N993" i="33"/>
  <c r="N994" i="33"/>
  <c r="N995" i="33"/>
  <c r="N996" i="33"/>
  <c r="N997" i="33"/>
  <c r="N998" i="33"/>
  <c r="N999" i="33"/>
  <c r="N1000" i="33"/>
  <c r="N1001" i="33"/>
  <c r="N1002" i="33"/>
  <c r="N1003" i="33"/>
  <c r="N1004" i="33"/>
  <c r="K141" i="33"/>
  <c r="K142" i="33"/>
  <c r="K143" i="33"/>
  <c r="K144" i="33"/>
  <c r="K145" i="33"/>
  <c r="K146" i="33"/>
  <c r="K147" i="33"/>
  <c r="K148" i="33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7" i="33"/>
  <c r="K178" i="33"/>
  <c r="K179" i="33"/>
  <c r="K180" i="33"/>
  <c r="K181" i="33"/>
  <c r="K182" i="33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K215" i="33"/>
  <c r="K216" i="33"/>
  <c r="K217" i="33"/>
  <c r="K218" i="33"/>
  <c r="K219" i="33"/>
  <c r="K220" i="33"/>
  <c r="K221" i="33"/>
  <c r="K222" i="33"/>
  <c r="K223" i="33"/>
  <c r="K224" i="33"/>
  <c r="K225" i="33"/>
  <c r="K226" i="33"/>
  <c r="K227" i="33"/>
  <c r="K228" i="33"/>
  <c r="K229" i="33"/>
  <c r="K230" i="33"/>
  <c r="K231" i="33"/>
  <c r="K232" i="33"/>
  <c r="K233" i="33"/>
  <c r="K234" i="33"/>
  <c r="K235" i="33"/>
  <c r="K236" i="33"/>
  <c r="K237" i="33"/>
  <c r="K238" i="33"/>
  <c r="K239" i="33"/>
  <c r="K240" i="33"/>
  <c r="K241" i="33"/>
  <c r="K242" i="33"/>
  <c r="K243" i="33"/>
  <c r="K244" i="33"/>
  <c r="K245" i="33"/>
  <c r="K246" i="33"/>
  <c r="K247" i="33"/>
  <c r="K248" i="33"/>
  <c r="K249" i="33"/>
  <c r="K250" i="33"/>
  <c r="K251" i="33"/>
  <c r="K252" i="33"/>
  <c r="K253" i="33"/>
  <c r="K254" i="33"/>
  <c r="K255" i="33"/>
  <c r="K256" i="33"/>
  <c r="K257" i="33"/>
  <c r="K258" i="33"/>
  <c r="K259" i="33"/>
  <c r="K260" i="33"/>
  <c r="K261" i="33"/>
  <c r="K262" i="33"/>
  <c r="K263" i="33"/>
  <c r="K264" i="33"/>
  <c r="K265" i="33"/>
  <c r="K266" i="33"/>
  <c r="K267" i="33"/>
  <c r="K268" i="33"/>
  <c r="K269" i="33"/>
  <c r="K270" i="33"/>
  <c r="K271" i="33"/>
  <c r="K272" i="33"/>
  <c r="K273" i="33"/>
  <c r="K274" i="33"/>
  <c r="K275" i="33"/>
  <c r="K276" i="33"/>
  <c r="K277" i="33"/>
  <c r="K278" i="33"/>
  <c r="K279" i="33"/>
  <c r="K280" i="33"/>
  <c r="K281" i="33"/>
  <c r="K282" i="33"/>
  <c r="K283" i="33"/>
  <c r="K284" i="33"/>
  <c r="K285" i="33"/>
  <c r="K286" i="33"/>
  <c r="K287" i="33"/>
  <c r="K288" i="33"/>
  <c r="K289" i="33"/>
  <c r="K290" i="33"/>
  <c r="K291" i="33"/>
  <c r="K292" i="33"/>
  <c r="K293" i="33"/>
  <c r="K294" i="33"/>
  <c r="K295" i="33"/>
  <c r="K296" i="33"/>
  <c r="K297" i="33"/>
  <c r="K298" i="33"/>
  <c r="K299" i="33"/>
  <c r="K300" i="33"/>
  <c r="K301" i="33"/>
  <c r="K302" i="33"/>
  <c r="K303" i="33"/>
  <c r="K304" i="33"/>
  <c r="K305" i="33"/>
  <c r="K306" i="33"/>
  <c r="K307" i="33"/>
  <c r="K308" i="33"/>
  <c r="K309" i="33"/>
  <c r="K310" i="33"/>
  <c r="K311" i="33"/>
  <c r="K312" i="33"/>
  <c r="K313" i="33"/>
  <c r="K314" i="33"/>
  <c r="K315" i="33"/>
  <c r="K316" i="33"/>
  <c r="K317" i="33"/>
  <c r="K318" i="33"/>
  <c r="K319" i="33"/>
  <c r="K320" i="33"/>
  <c r="K321" i="33"/>
  <c r="K322" i="33"/>
  <c r="K323" i="33"/>
  <c r="K324" i="33"/>
  <c r="K325" i="33"/>
  <c r="K326" i="33"/>
  <c r="K327" i="33"/>
  <c r="K328" i="33"/>
  <c r="K329" i="33"/>
  <c r="K330" i="33"/>
  <c r="K331" i="33"/>
  <c r="K332" i="33"/>
  <c r="K333" i="33"/>
  <c r="K334" i="33"/>
  <c r="K335" i="33"/>
  <c r="K336" i="33"/>
  <c r="K337" i="33"/>
  <c r="K338" i="33"/>
  <c r="K339" i="33"/>
  <c r="K340" i="33"/>
  <c r="K341" i="33"/>
  <c r="K342" i="33"/>
  <c r="K343" i="33"/>
  <c r="K344" i="33"/>
  <c r="K345" i="33"/>
  <c r="K346" i="33"/>
  <c r="K347" i="33"/>
  <c r="K348" i="33"/>
  <c r="K349" i="33"/>
  <c r="K350" i="33"/>
  <c r="K351" i="33"/>
  <c r="K352" i="33"/>
  <c r="K353" i="33"/>
  <c r="K354" i="33"/>
  <c r="K355" i="33"/>
  <c r="K356" i="33"/>
  <c r="K357" i="33"/>
  <c r="K358" i="33"/>
  <c r="K359" i="33"/>
  <c r="K360" i="33"/>
  <c r="K361" i="33"/>
  <c r="K362" i="33"/>
  <c r="K363" i="33"/>
  <c r="K364" i="33"/>
  <c r="K365" i="33"/>
  <c r="K366" i="33"/>
  <c r="K367" i="33"/>
  <c r="K368" i="33"/>
  <c r="K369" i="33"/>
  <c r="K370" i="33"/>
  <c r="K371" i="33"/>
  <c r="K372" i="33"/>
  <c r="K373" i="33"/>
  <c r="K374" i="33"/>
  <c r="K375" i="33"/>
  <c r="K376" i="33"/>
  <c r="K377" i="33"/>
  <c r="K378" i="33"/>
  <c r="K379" i="33"/>
  <c r="K380" i="33"/>
  <c r="K381" i="33"/>
  <c r="K382" i="33"/>
  <c r="K383" i="33"/>
  <c r="K384" i="33"/>
  <c r="K385" i="33"/>
  <c r="K386" i="33"/>
  <c r="K387" i="33"/>
  <c r="K388" i="33"/>
  <c r="K389" i="33"/>
  <c r="K390" i="33"/>
  <c r="K391" i="33"/>
  <c r="K392" i="33"/>
  <c r="K393" i="33"/>
  <c r="K394" i="33"/>
  <c r="K395" i="33"/>
  <c r="K396" i="33"/>
  <c r="K397" i="33"/>
  <c r="K398" i="33"/>
  <c r="K399" i="33"/>
  <c r="K400" i="33"/>
  <c r="K401" i="33"/>
  <c r="K402" i="33"/>
  <c r="K403" i="33"/>
  <c r="K404" i="33"/>
  <c r="K405" i="33"/>
  <c r="K406" i="33"/>
  <c r="K407" i="33"/>
  <c r="K408" i="33"/>
  <c r="K409" i="33"/>
  <c r="K410" i="33"/>
  <c r="K411" i="33"/>
  <c r="K412" i="33"/>
  <c r="K413" i="33"/>
  <c r="K414" i="33"/>
  <c r="K415" i="33"/>
  <c r="K416" i="33"/>
  <c r="K417" i="33"/>
  <c r="K418" i="33"/>
  <c r="K419" i="33"/>
  <c r="K420" i="33"/>
  <c r="K421" i="33"/>
  <c r="K422" i="33"/>
  <c r="K423" i="33"/>
  <c r="K424" i="33"/>
  <c r="K425" i="33"/>
  <c r="K426" i="33"/>
  <c r="K427" i="33"/>
  <c r="K428" i="33"/>
  <c r="K429" i="33"/>
  <c r="K430" i="33"/>
  <c r="K431" i="33"/>
  <c r="K432" i="33"/>
  <c r="K433" i="33"/>
  <c r="K434" i="33"/>
  <c r="K435" i="33"/>
  <c r="K436" i="33"/>
  <c r="K437" i="33"/>
  <c r="K438" i="33"/>
  <c r="K439" i="33"/>
  <c r="K440" i="33"/>
  <c r="K441" i="33"/>
  <c r="K442" i="33"/>
  <c r="K443" i="33"/>
  <c r="K444" i="33"/>
  <c r="K445" i="33"/>
  <c r="K446" i="33"/>
  <c r="K447" i="33"/>
  <c r="K448" i="33"/>
  <c r="K449" i="33"/>
  <c r="K450" i="33"/>
  <c r="K451" i="33"/>
  <c r="K452" i="33"/>
  <c r="K453" i="33"/>
  <c r="K454" i="33"/>
  <c r="K455" i="33"/>
  <c r="K456" i="33"/>
  <c r="K457" i="33"/>
  <c r="K458" i="33"/>
  <c r="K459" i="33"/>
  <c r="K460" i="33"/>
  <c r="K461" i="33"/>
  <c r="K462" i="33"/>
  <c r="K463" i="33"/>
  <c r="K464" i="33"/>
  <c r="K465" i="33"/>
  <c r="K466" i="33"/>
  <c r="K467" i="33"/>
  <c r="K468" i="33"/>
  <c r="K469" i="33"/>
  <c r="K470" i="33"/>
  <c r="K471" i="33"/>
  <c r="K472" i="33"/>
  <c r="K473" i="33"/>
  <c r="K474" i="33"/>
  <c r="K475" i="33"/>
  <c r="K476" i="33"/>
  <c r="K477" i="33"/>
  <c r="K478" i="33"/>
  <c r="K479" i="33"/>
  <c r="K480" i="33"/>
  <c r="K481" i="33"/>
  <c r="K482" i="33"/>
  <c r="K483" i="33"/>
  <c r="K484" i="33"/>
  <c r="K485" i="33"/>
  <c r="K486" i="33"/>
  <c r="K487" i="33"/>
  <c r="K488" i="33"/>
  <c r="K489" i="33"/>
  <c r="K490" i="33"/>
  <c r="K491" i="33"/>
  <c r="K492" i="33"/>
  <c r="K493" i="33"/>
  <c r="K494" i="33"/>
  <c r="K495" i="33"/>
  <c r="K496" i="33"/>
  <c r="K497" i="33"/>
  <c r="K498" i="33"/>
  <c r="K499" i="33"/>
  <c r="K500" i="33"/>
  <c r="K501" i="33"/>
  <c r="K502" i="33"/>
  <c r="K503" i="33"/>
  <c r="K504" i="33"/>
  <c r="K505" i="33"/>
  <c r="K506" i="33"/>
  <c r="K507" i="33"/>
  <c r="K508" i="33"/>
  <c r="K509" i="33"/>
  <c r="K510" i="33"/>
  <c r="K511" i="33"/>
  <c r="K512" i="33"/>
  <c r="K513" i="33"/>
  <c r="K514" i="33"/>
  <c r="K515" i="33"/>
  <c r="K516" i="33"/>
  <c r="K517" i="33"/>
  <c r="K518" i="33"/>
  <c r="K519" i="33"/>
  <c r="K520" i="33"/>
  <c r="K521" i="33"/>
  <c r="K522" i="33"/>
  <c r="K523" i="33"/>
  <c r="K524" i="33"/>
  <c r="K525" i="33"/>
  <c r="K526" i="33"/>
  <c r="K527" i="33"/>
  <c r="K528" i="33"/>
  <c r="K529" i="33"/>
  <c r="K530" i="33"/>
  <c r="K531" i="33"/>
  <c r="K532" i="33"/>
  <c r="K533" i="33"/>
  <c r="K534" i="33"/>
  <c r="K535" i="33"/>
  <c r="K536" i="33"/>
  <c r="K537" i="33"/>
  <c r="K538" i="33"/>
  <c r="K539" i="33"/>
  <c r="K540" i="33"/>
  <c r="K541" i="33"/>
  <c r="K542" i="33"/>
  <c r="K543" i="33"/>
  <c r="K544" i="33"/>
  <c r="K545" i="33"/>
  <c r="K546" i="33"/>
  <c r="K547" i="33"/>
  <c r="K548" i="33"/>
  <c r="K549" i="33"/>
  <c r="K550" i="33"/>
  <c r="K551" i="33"/>
  <c r="K552" i="33"/>
  <c r="K553" i="33"/>
  <c r="K554" i="33"/>
  <c r="K555" i="33"/>
  <c r="K556" i="33"/>
  <c r="K557" i="33"/>
  <c r="K558" i="33"/>
  <c r="K559" i="33"/>
  <c r="K560" i="33"/>
  <c r="K561" i="33"/>
  <c r="K562" i="33"/>
  <c r="K563" i="33"/>
  <c r="K564" i="33"/>
  <c r="K565" i="33"/>
  <c r="K566" i="33"/>
  <c r="K567" i="33"/>
  <c r="K568" i="33"/>
  <c r="K569" i="33"/>
  <c r="K570" i="33"/>
  <c r="K571" i="33"/>
  <c r="K572" i="33"/>
  <c r="K573" i="33"/>
  <c r="K574" i="33"/>
  <c r="K575" i="33"/>
  <c r="K576" i="33"/>
  <c r="K577" i="33"/>
  <c r="K578" i="33"/>
  <c r="K579" i="33"/>
  <c r="K580" i="33"/>
  <c r="K581" i="33"/>
  <c r="K582" i="33"/>
  <c r="K583" i="33"/>
  <c r="K584" i="33"/>
  <c r="K585" i="33"/>
  <c r="K586" i="33"/>
  <c r="K587" i="33"/>
  <c r="K588" i="33"/>
  <c r="K589" i="33"/>
  <c r="K590" i="33"/>
  <c r="K591" i="33"/>
  <c r="K592" i="33"/>
  <c r="K593" i="33"/>
  <c r="K594" i="33"/>
  <c r="K595" i="33"/>
  <c r="K596" i="33"/>
  <c r="K597" i="33"/>
  <c r="K598" i="33"/>
  <c r="K599" i="33"/>
  <c r="K600" i="33"/>
  <c r="K601" i="33"/>
  <c r="K602" i="33"/>
  <c r="K603" i="33"/>
  <c r="K604" i="33"/>
  <c r="K605" i="33"/>
  <c r="K606" i="33"/>
  <c r="K607" i="33"/>
  <c r="K608" i="33"/>
  <c r="K609" i="33"/>
  <c r="K610" i="33"/>
  <c r="K611" i="33"/>
  <c r="K612" i="33"/>
  <c r="K613" i="33"/>
  <c r="K614" i="33"/>
  <c r="K615" i="33"/>
  <c r="K616" i="33"/>
  <c r="K617" i="33"/>
  <c r="K618" i="33"/>
  <c r="K619" i="33"/>
  <c r="K620" i="33"/>
  <c r="K621" i="33"/>
  <c r="K622" i="33"/>
  <c r="K623" i="33"/>
  <c r="K624" i="33"/>
  <c r="K625" i="33"/>
  <c r="K626" i="33"/>
  <c r="K627" i="33"/>
  <c r="K628" i="33"/>
  <c r="K629" i="33"/>
  <c r="K630" i="33"/>
  <c r="K631" i="33"/>
  <c r="K632" i="33"/>
  <c r="K633" i="33"/>
  <c r="K634" i="33"/>
  <c r="K635" i="33"/>
  <c r="K636" i="33"/>
  <c r="K637" i="33"/>
  <c r="K638" i="33"/>
  <c r="K639" i="33"/>
  <c r="K640" i="33"/>
  <c r="K641" i="33"/>
  <c r="K642" i="33"/>
  <c r="K643" i="33"/>
  <c r="K644" i="33"/>
  <c r="K645" i="33"/>
  <c r="K646" i="33"/>
  <c r="K647" i="33"/>
  <c r="K648" i="33"/>
  <c r="K649" i="33"/>
  <c r="K650" i="33"/>
  <c r="K651" i="33"/>
  <c r="K652" i="33"/>
  <c r="K653" i="33"/>
  <c r="K654" i="33"/>
  <c r="K655" i="33"/>
  <c r="K656" i="33"/>
  <c r="K657" i="33"/>
  <c r="K658" i="33"/>
  <c r="K659" i="33"/>
  <c r="K660" i="33"/>
  <c r="K661" i="33"/>
  <c r="K662" i="33"/>
  <c r="K663" i="33"/>
  <c r="K664" i="33"/>
  <c r="K665" i="33"/>
  <c r="K666" i="33"/>
  <c r="K667" i="33"/>
  <c r="K668" i="33"/>
  <c r="K669" i="33"/>
  <c r="K670" i="33"/>
  <c r="K671" i="33"/>
  <c r="K672" i="33"/>
  <c r="K673" i="33"/>
  <c r="K674" i="33"/>
  <c r="K675" i="33"/>
  <c r="K676" i="33"/>
  <c r="K677" i="33"/>
  <c r="K678" i="33"/>
  <c r="K679" i="33"/>
  <c r="K680" i="33"/>
  <c r="K681" i="33"/>
  <c r="K682" i="33"/>
  <c r="K683" i="33"/>
  <c r="K684" i="33"/>
  <c r="K685" i="33"/>
  <c r="K686" i="33"/>
  <c r="K687" i="33"/>
  <c r="K688" i="33"/>
  <c r="K689" i="33"/>
  <c r="K690" i="33"/>
  <c r="K691" i="33"/>
  <c r="K692" i="33"/>
  <c r="K693" i="33"/>
  <c r="K694" i="33"/>
  <c r="K695" i="33"/>
  <c r="K696" i="33"/>
  <c r="K697" i="33"/>
  <c r="K698" i="33"/>
  <c r="K699" i="33"/>
  <c r="K700" i="33"/>
  <c r="K701" i="33"/>
  <c r="K702" i="33"/>
  <c r="K703" i="33"/>
  <c r="K704" i="33"/>
  <c r="K705" i="33"/>
  <c r="K706" i="33"/>
  <c r="K707" i="33"/>
  <c r="K708" i="33"/>
  <c r="K709" i="33"/>
  <c r="K710" i="33"/>
  <c r="K711" i="33"/>
  <c r="K712" i="33"/>
  <c r="K713" i="33"/>
  <c r="K714" i="33"/>
  <c r="K715" i="33"/>
  <c r="K716" i="33"/>
  <c r="K717" i="33"/>
  <c r="K718" i="33"/>
  <c r="K719" i="33"/>
  <c r="K720" i="33"/>
  <c r="K721" i="33"/>
  <c r="K722" i="33"/>
  <c r="K723" i="33"/>
  <c r="K724" i="33"/>
  <c r="K725" i="33"/>
  <c r="K726" i="33"/>
  <c r="K727" i="33"/>
  <c r="K728" i="33"/>
  <c r="K729" i="33"/>
  <c r="K730" i="33"/>
  <c r="K731" i="33"/>
  <c r="K732" i="33"/>
  <c r="K733" i="33"/>
  <c r="K734" i="33"/>
  <c r="K735" i="33"/>
  <c r="K736" i="33"/>
  <c r="K737" i="33"/>
  <c r="K738" i="33"/>
  <c r="K739" i="33"/>
  <c r="K740" i="33"/>
  <c r="K741" i="33"/>
  <c r="K742" i="33"/>
  <c r="K743" i="33"/>
  <c r="K744" i="33"/>
  <c r="K745" i="33"/>
  <c r="K746" i="33"/>
  <c r="K747" i="33"/>
  <c r="K748" i="33"/>
  <c r="K749" i="33"/>
  <c r="K750" i="33"/>
  <c r="K751" i="33"/>
  <c r="K752" i="33"/>
  <c r="K753" i="33"/>
  <c r="K754" i="33"/>
  <c r="K755" i="33"/>
  <c r="K756" i="33"/>
  <c r="K757" i="33"/>
  <c r="K758" i="33"/>
  <c r="K759" i="33"/>
  <c r="K760" i="33"/>
  <c r="K761" i="33"/>
  <c r="K762" i="33"/>
  <c r="K763" i="33"/>
  <c r="K764" i="33"/>
  <c r="K765" i="33"/>
  <c r="K766" i="33"/>
  <c r="K767" i="33"/>
  <c r="K768" i="33"/>
  <c r="K769" i="33"/>
  <c r="K770" i="33"/>
  <c r="K771" i="33"/>
  <c r="K772" i="33"/>
  <c r="K773" i="33"/>
  <c r="K774" i="33"/>
  <c r="K775" i="33"/>
  <c r="K776" i="33"/>
  <c r="K777" i="33"/>
  <c r="K778" i="33"/>
  <c r="K779" i="33"/>
  <c r="K780" i="33"/>
  <c r="K781" i="33"/>
  <c r="K782" i="33"/>
  <c r="K783" i="33"/>
  <c r="K784" i="33"/>
  <c r="K785" i="33"/>
  <c r="K786" i="33"/>
  <c r="K787" i="33"/>
  <c r="K788" i="33"/>
  <c r="K789" i="33"/>
  <c r="K790" i="33"/>
  <c r="K791" i="33"/>
  <c r="K792" i="33"/>
  <c r="K793" i="33"/>
  <c r="K794" i="33"/>
  <c r="K795" i="33"/>
  <c r="K796" i="33"/>
  <c r="K797" i="33"/>
  <c r="K798" i="33"/>
  <c r="K799" i="33"/>
  <c r="K800" i="33"/>
  <c r="K801" i="33"/>
  <c r="K802" i="33"/>
  <c r="K803" i="33"/>
  <c r="K804" i="33"/>
  <c r="K805" i="33"/>
  <c r="K806" i="33"/>
  <c r="K807" i="33"/>
  <c r="K808" i="33"/>
  <c r="K809" i="33"/>
  <c r="K810" i="33"/>
  <c r="K811" i="33"/>
  <c r="K812" i="33"/>
  <c r="K813" i="33"/>
  <c r="K814" i="33"/>
  <c r="K815" i="33"/>
  <c r="K816" i="33"/>
  <c r="K817" i="33"/>
  <c r="K818" i="33"/>
  <c r="K819" i="33"/>
  <c r="K820" i="33"/>
  <c r="K821" i="33"/>
  <c r="K822" i="33"/>
  <c r="K823" i="33"/>
  <c r="K824" i="33"/>
  <c r="K825" i="33"/>
  <c r="K826" i="33"/>
  <c r="K827" i="33"/>
  <c r="K828" i="33"/>
  <c r="K829" i="33"/>
  <c r="K830" i="33"/>
  <c r="K831" i="33"/>
  <c r="K832" i="33"/>
  <c r="K833" i="33"/>
  <c r="K834" i="33"/>
  <c r="K835" i="33"/>
  <c r="K836" i="33"/>
  <c r="K837" i="33"/>
  <c r="K838" i="33"/>
  <c r="K839" i="33"/>
  <c r="K840" i="33"/>
  <c r="K841" i="33"/>
  <c r="K842" i="33"/>
  <c r="K843" i="33"/>
  <c r="K844" i="33"/>
  <c r="K845" i="33"/>
  <c r="K846" i="33"/>
  <c r="K847" i="33"/>
  <c r="K848" i="33"/>
  <c r="K849" i="33"/>
  <c r="K850" i="33"/>
  <c r="K851" i="33"/>
  <c r="K852" i="33"/>
  <c r="K853" i="33"/>
  <c r="K854" i="33"/>
  <c r="K855" i="33"/>
  <c r="K856" i="33"/>
  <c r="K857" i="33"/>
  <c r="K858" i="33"/>
  <c r="K859" i="33"/>
  <c r="K860" i="33"/>
  <c r="K861" i="33"/>
  <c r="K862" i="33"/>
  <c r="K863" i="33"/>
  <c r="K864" i="33"/>
  <c r="K865" i="33"/>
  <c r="K866" i="33"/>
  <c r="K867" i="33"/>
  <c r="K868" i="33"/>
  <c r="K869" i="33"/>
  <c r="K870" i="33"/>
  <c r="K871" i="33"/>
  <c r="K872" i="33"/>
  <c r="K873" i="33"/>
  <c r="K874" i="33"/>
  <c r="K875" i="33"/>
  <c r="K876" i="33"/>
  <c r="K877" i="33"/>
  <c r="K878" i="33"/>
  <c r="K879" i="33"/>
  <c r="K880" i="33"/>
  <c r="K881" i="33"/>
  <c r="K882" i="33"/>
  <c r="K883" i="33"/>
  <c r="K884" i="33"/>
  <c r="K885" i="33"/>
  <c r="K886" i="33"/>
  <c r="K887" i="33"/>
  <c r="K888" i="33"/>
  <c r="K889" i="33"/>
  <c r="K890" i="33"/>
  <c r="K891" i="33"/>
  <c r="K892" i="33"/>
  <c r="K893" i="33"/>
  <c r="K894" i="33"/>
  <c r="K895" i="33"/>
  <c r="K896" i="33"/>
  <c r="K897" i="33"/>
  <c r="K898" i="33"/>
  <c r="K899" i="33"/>
  <c r="K900" i="33"/>
  <c r="K901" i="33"/>
  <c r="K902" i="33"/>
  <c r="K903" i="33"/>
  <c r="K904" i="33"/>
  <c r="K905" i="33"/>
  <c r="K906" i="33"/>
  <c r="K907" i="33"/>
  <c r="K908" i="33"/>
  <c r="K909" i="33"/>
  <c r="K910" i="33"/>
  <c r="K911" i="33"/>
  <c r="K912" i="33"/>
  <c r="K913" i="33"/>
  <c r="K914" i="33"/>
  <c r="K915" i="33"/>
  <c r="K916" i="33"/>
  <c r="K917" i="33"/>
  <c r="K918" i="33"/>
  <c r="K919" i="33"/>
  <c r="K920" i="33"/>
  <c r="K921" i="33"/>
  <c r="K922" i="33"/>
  <c r="K923" i="33"/>
  <c r="K924" i="33"/>
  <c r="K925" i="33"/>
  <c r="K926" i="33"/>
  <c r="K927" i="33"/>
  <c r="K928" i="33"/>
  <c r="K929" i="33"/>
  <c r="K930" i="33"/>
  <c r="K931" i="33"/>
  <c r="K932" i="33"/>
  <c r="K933" i="33"/>
  <c r="K934" i="33"/>
  <c r="K935" i="33"/>
  <c r="K936" i="33"/>
  <c r="K937" i="33"/>
  <c r="K938" i="33"/>
  <c r="K939" i="33"/>
  <c r="K940" i="33"/>
  <c r="K941" i="33"/>
  <c r="K942" i="33"/>
  <c r="K943" i="33"/>
  <c r="K944" i="33"/>
  <c r="K945" i="33"/>
  <c r="K946" i="33"/>
  <c r="K947" i="33"/>
  <c r="K948" i="33"/>
  <c r="K949" i="33"/>
  <c r="K950" i="33"/>
  <c r="K951" i="33"/>
  <c r="K952" i="33"/>
  <c r="K953" i="33"/>
  <c r="K954" i="33"/>
  <c r="K955" i="33"/>
  <c r="K956" i="33"/>
  <c r="K957" i="33"/>
  <c r="K958" i="33"/>
  <c r="K959" i="33"/>
  <c r="K960" i="33"/>
  <c r="K961" i="33"/>
  <c r="K962" i="33"/>
  <c r="K963" i="33"/>
  <c r="K964" i="33"/>
  <c r="K965" i="33"/>
  <c r="K966" i="33"/>
  <c r="K967" i="33"/>
  <c r="K968" i="33"/>
  <c r="K969" i="33"/>
  <c r="K970" i="33"/>
  <c r="K971" i="33"/>
  <c r="K972" i="33"/>
  <c r="K973" i="33"/>
  <c r="K974" i="33"/>
  <c r="K975" i="33"/>
  <c r="K976" i="33"/>
  <c r="K977" i="33"/>
  <c r="K978" i="33"/>
  <c r="K979" i="33"/>
  <c r="K980" i="33"/>
  <c r="K981" i="33"/>
  <c r="K982" i="33"/>
  <c r="K983" i="33"/>
  <c r="K984" i="33"/>
  <c r="K985" i="33"/>
  <c r="K986" i="33"/>
  <c r="K987" i="33"/>
  <c r="K988" i="33"/>
  <c r="K989" i="33"/>
  <c r="K990" i="33"/>
  <c r="K991" i="33"/>
  <c r="K992" i="33"/>
  <c r="K993" i="33"/>
  <c r="K994" i="33"/>
  <c r="K995" i="33"/>
  <c r="K996" i="33"/>
  <c r="K997" i="33"/>
  <c r="K998" i="33"/>
  <c r="K999" i="33"/>
  <c r="K1000" i="33"/>
  <c r="K1001" i="33"/>
  <c r="K1002" i="33"/>
  <c r="K1003" i="33"/>
  <c r="K1004" i="33"/>
  <c r="T196" i="33" l="1"/>
  <c r="T197" i="33"/>
  <c r="T198" i="33"/>
  <c r="T199" i="33"/>
  <c r="T200" i="33"/>
  <c r="AI133" i="33" l="1"/>
  <c r="AI134" i="33"/>
  <c r="AI135" i="33"/>
  <c r="AI136" i="33"/>
  <c r="AI137" i="33"/>
  <c r="AI138" i="33"/>
  <c r="AI139" i="33"/>
  <c r="AI140" i="33"/>
  <c r="AF133" i="33"/>
  <c r="AF134" i="33"/>
  <c r="AF135" i="33"/>
  <c r="AF136" i="33"/>
  <c r="AF137" i="33"/>
  <c r="AF138" i="33"/>
  <c r="AF139" i="33"/>
  <c r="AF140" i="33"/>
  <c r="AC132" i="33"/>
  <c r="AC133" i="33"/>
  <c r="AC134" i="33"/>
  <c r="AC135" i="33"/>
  <c r="AC136" i="33"/>
  <c r="AC137" i="33"/>
  <c r="AC138" i="33"/>
  <c r="AC139" i="33"/>
  <c r="AC140" i="33"/>
  <c r="Z135" i="33"/>
  <c r="Z136" i="33"/>
  <c r="Z137" i="33"/>
  <c r="Z138" i="33"/>
  <c r="Z139" i="33"/>
  <c r="Z140" i="33"/>
  <c r="W135" i="33"/>
  <c r="W136" i="33"/>
  <c r="W137" i="33"/>
  <c r="W138" i="33"/>
  <c r="W139" i="33"/>
  <c r="W140" i="33"/>
  <c r="T135" i="33"/>
  <c r="T136" i="33"/>
  <c r="T137" i="33"/>
  <c r="T138" i="33"/>
  <c r="T139" i="33"/>
  <c r="T140" i="33"/>
  <c r="T201" i="33"/>
  <c r="T202" i="33"/>
  <c r="T203" i="33"/>
  <c r="T204" i="33"/>
  <c r="T205" i="33"/>
  <c r="T206" i="33"/>
  <c r="T207" i="33"/>
  <c r="T208" i="33"/>
  <c r="T209" i="33"/>
  <c r="T210" i="33"/>
  <c r="T211" i="33"/>
  <c r="T212" i="33"/>
  <c r="T213" i="33"/>
  <c r="T214" i="33"/>
  <c r="T215" i="33"/>
  <c r="T216" i="33"/>
  <c r="T217" i="33"/>
  <c r="T218" i="33"/>
  <c r="T219" i="33"/>
  <c r="T220" i="33"/>
  <c r="T221" i="33"/>
  <c r="T222" i="33"/>
  <c r="T223" i="33"/>
  <c r="T224" i="33"/>
  <c r="T225" i="33"/>
  <c r="T226" i="33"/>
  <c r="T227" i="33"/>
  <c r="T228" i="33"/>
  <c r="T229" i="33"/>
  <c r="T230" i="33"/>
  <c r="T231" i="33"/>
  <c r="T232" i="33"/>
  <c r="T233" i="33"/>
  <c r="T234" i="33"/>
  <c r="T235" i="33"/>
  <c r="T236" i="33"/>
  <c r="T237" i="33"/>
  <c r="T238" i="33"/>
  <c r="T239" i="33"/>
  <c r="T240" i="33"/>
  <c r="T241" i="33"/>
  <c r="T242" i="33"/>
  <c r="T243" i="33"/>
  <c r="T244" i="33"/>
  <c r="T245" i="33"/>
  <c r="T246" i="33"/>
  <c r="T247" i="33"/>
  <c r="T248" i="33"/>
  <c r="T249" i="33"/>
  <c r="T250" i="33"/>
  <c r="T251" i="33"/>
  <c r="T252" i="33"/>
  <c r="T253" i="33"/>
  <c r="T254" i="33"/>
  <c r="T255" i="33"/>
  <c r="T256" i="33"/>
  <c r="T257" i="33"/>
  <c r="T258" i="33"/>
  <c r="T259" i="33"/>
  <c r="T260" i="33"/>
  <c r="T261" i="33"/>
  <c r="T262" i="33"/>
  <c r="T263" i="33"/>
  <c r="T264" i="33"/>
  <c r="T265" i="33"/>
  <c r="T266" i="33"/>
  <c r="T267" i="33"/>
  <c r="T268" i="33"/>
  <c r="T269" i="33"/>
  <c r="T270" i="33"/>
  <c r="T271" i="33"/>
  <c r="T272" i="33"/>
  <c r="T273" i="33"/>
  <c r="T274" i="33"/>
  <c r="T275" i="33"/>
  <c r="T276" i="33"/>
  <c r="T277" i="33"/>
  <c r="T278" i="33"/>
  <c r="T279" i="33"/>
  <c r="T280" i="33"/>
  <c r="T281" i="33"/>
  <c r="T282" i="33"/>
  <c r="T283" i="33"/>
  <c r="T284" i="33"/>
  <c r="T285" i="33"/>
  <c r="T286" i="33"/>
  <c r="T287" i="33"/>
  <c r="T288" i="33"/>
  <c r="T289" i="33"/>
  <c r="T290" i="33"/>
  <c r="T291" i="33"/>
  <c r="T292" i="33"/>
  <c r="T293" i="33"/>
  <c r="T294" i="33"/>
  <c r="T295" i="33"/>
  <c r="T296" i="33"/>
  <c r="T297" i="33"/>
  <c r="T298" i="33"/>
  <c r="T299" i="33"/>
  <c r="T300" i="33"/>
  <c r="T301" i="33"/>
  <c r="T302" i="33"/>
  <c r="T303" i="33"/>
  <c r="T304" i="33"/>
  <c r="T305" i="33"/>
  <c r="T306" i="33"/>
  <c r="T307" i="33"/>
  <c r="T308" i="33"/>
  <c r="T309" i="33"/>
  <c r="T310" i="33"/>
  <c r="T311" i="33"/>
  <c r="T312" i="33"/>
  <c r="T313" i="33"/>
  <c r="T314" i="33"/>
  <c r="T315" i="33"/>
  <c r="T316" i="33"/>
  <c r="T317" i="33"/>
  <c r="T318" i="33"/>
  <c r="T319" i="33"/>
  <c r="T320" i="33"/>
  <c r="T321" i="33"/>
  <c r="T322" i="33"/>
  <c r="T323" i="33"/>
  <c r="T324" i="33"/>
  <c r="T325" i="33"/>
  <c r="T326" i="33"/>
  <c r="T327" i="33"/>
  <c r="T328" i="33"/>
  <c r="T329" i="33"/>
  <c r="T330" i="33"/>
  <c r="T331" i="33"/>
  <c r="T332" i="33"/>
  <c r="T333" i="33"/>
  <c r="T334" i="33"/>
  <c r="T335" i="33"/>
  <c r="T336" i="33"/>
  <c r="T337" i="33"/>
  <c r="T338" i="33"/>
  <c r="T339" i="33"/>
  <c r="T340" i="33"/>
  <c r="T341" i="33"/>
  <c r="T342" i="33"/>
  <c r="T343" i="33"/>
  <c r="T344" i="33"/>
  <c r="T345" i="33"/>
  <c r="T346" i="33"/>
  <c r="T347" i="33"/>
  <c r="T348" i="33"/>
  <c r="T349" i="33"/>
  <c r="T350" i="33"/>
  <c r="T351" i="33"/>
  <c r="T352" i="33"/>
  <c r="T353" i="33"/>
  <c r="T354" i="33"/>
  <c r="T355" i="33"/>
  <c r="T356" i="33"/>
  <c r="T357" i="33"/>
  <c r="T358" i="33"/>
  <c r="T359" i="33"/>
  <c r="T360" i="33"/>
  <c r="T361" i="33"/>
  <c r="T362" i="33"/>
  <c r="T363" i="33"/>
  <c r="T364" i="33"/>
  <c r="T365" i="33"/>
  <c r="T366" i="33"/>
  <c r="T367" i="33"/>
  <c r="T368" i="33"/>
  <c r="T369" i="33"/>
  <c r="T370" i="33"/>
  <c r="T371" i="33"/>
  <c r="T372" i="33"/>
  <c r="T373" i="33"/>
  <c r="T374" i="33"/>
  <c r="T375" i="33"/>
  <c r="T376" i="33"/>
  <c r="T377" i="33"/>
  <c r="T378" i="33"/>
  <c r="T379" i="33"/>
  <c r="T380" i="33"/>
  <c r="T381" i="33"/>
  <c r="T382" i="33"/>
  <c r="T383" i="33"/>
  <c r="T384" i="33"/>
  <c r="T385" i="33"/>
  <c r="T386" i="33"/>
  <c r="T387" i="33"/>
  <c r="T388" i="33"/>
  <c r="T389" i="33"/>
  <c r="T390" i="33"/>
  <c r="T391" i="33"/>
  <c r="T392" i="33"/>
  <c r="T393" i="33"/>
  <c r="T394" i="33"/>
  <c r="T395" i="33"/>
  <c r="T396" i="33"/>
  <c r="T397" i="33"/>
  <c r="T398" i="33"/>
  <c r="T399" i="33"/>
  <c r="T400" i="33"/>
  <c r="T401" i="33"/>
  <c r="T402" i="33"/>
  <c r="T403" i="33"/>
  <c r="T404" i="33"/>
  <c r="T405" i="33"/>
  <c r="T406" i="33"/>
  <c r="T407" i="33"/>
  <c r="T408" i="33"/>
  <c r="T409" i="33"/>
  <c r="T410" i="33"/>
  <c r="T411" i="33"/>
  <c r="T412" i="33"/>
  <c r="T413" i="33"/>
  <c r="T414" i="33"/>
  <c r="T415" i="33"/>
  <c r="T416" i="33"/>
  <c r="T417" i="33"/>
  <c r="T418" i="33"/>
  <c r="T419" i="33"/>
  <c r="T420" i="33"/>
  <c r="T421" i="33"/>
  <c r="T422" i="33"/>
  <c r="T423" i="33"/>
  <c r="T424" i="33"/>
  <c r="T425" i="33"/>
  <c r="T426" i="33"/>
  <c r="T427" i="33"/>
  <c r="T428" i="33"/>
  <c r="T429" i="33"/>
  <c r="T430" i="33"/>
  <c r="T431" i="33"/>
  <c r="T432" i="33"/>
  <c r="T433" i="33"/>
  <c r="T434" i="33"/>
  <c r="T435" i="33"/>
  <c r="T436" i="33"/>
  <c r="T437" i="33"/>
  <c r="T438" i="33"/>
  <c r="T439" i="33"/>
  <c r="T440" i="33"/>
  <c r="T441" i="33"/>
  <c r="T442" i="33"/>
  <c r="T443" i="33"/>
  <c r="T444" i="33"/>
  <c r="T445" i="33"/>
  <c r="T446" i="33"/>
  <c r="T447" i="33"/>
  <c r="T448" i="33"/>
  <c r="T449" i="33"/>
  <c r="T450" i="33"/>
  <c r="T451" i="33"/>
  <c r="T452" i="33"/>
  <c r="T453" i="33"/>
  <c r="T454" i="33"/>
  <c r="T455" i="33"/>
  <c r="T456" i="33"/>
  <c r="T457" i="33"/>
  <c r="T458" i="33"/>
  <c r="T459" i="33"/>
  <c r="T460" i="33"/>
  <c r="T461" i="33"/>
  <c r="T462" i="33"/>
  <c r="T463" i="33"/>
  <c r="T464" i="33"/>
  <c r="T465" i="33"/>
  <c r="T466" i="33"/>
  <c r="T467" i="33"/>
  <c r="T468" i="33"/>
  <c r="T469" i="33"/>
  <c r="T470" i="33"/>
  <c r="T471" i="33"/>
  <c r="T472" i="33"/>
  <c r="T473" i="33"/>
  <c r="T474" i="33"/>
  <c r="T475" i="33"/>
  <c r="T476" i="33"/>
  <c r="T477" i="33"/>
  <c r="T478" i="33"/>
  <c r="T479" i="33"/>
  <c r="T480" i="33"/>
  <c r="T481" i="33"/>
  <c r="T482" i="33"/>
  <c r="T483" i="33"/>
  <c r="T484" i="33"/>
  <c r="T485" i="33"/>
  <c r="T486" i="33"/>
  <c r="T487" i="33"/>
  <c r="T488" i="33"/>
  <c r="T489" i="33"/>
  <c r="T490" i="33"/>
  <c r="T491" i="33"/>
  <c r="T492" i="33"/>
  <c r="T493" i="33"/>
  <c r="T494" i="33"/>
  <c r="T495" i="33"/>
  <c r="T496" i="33"/>
  <c r="T497" i="33"/>
  <c r="T498" i="33"/>
  <c r="T499" i="33"/>
  <c r="T500" i="33"/>
  <c r="T501" i="33"/>
  <c r="T502" i="33"/>
  <c r="T503" i="33"/>
  <c r="T504" i="33"/>
  <c r="T505" i="33"/>
  <c r="T506" i="33"/>
  <c r="T507" i="33"/>
  <c r="T508" i="33"/>
  <c r="T509" i="33"/>
  <c r="T510" i="33"/>
  <c r="T511" i="33"/>
  <c r="T512" i="33"/>
  <c r="T513" i="33"/>
  <c r="T514" i="33"/>
  <c r="T515" i="33"/>
  <c r="T516" i="33"/>
  <c r="T517" i="33"/>
  <c r="T518" i="33"/>
  <c r="T519" i="33"/>
  <c r="T520" i="33"/>
  <c r="T521" i="33"/>
  <c r="T522" i="33"/>
  <c r="T523" i="33"/>
  <c r="T524" i="33"/>
  <c r="T525" i="33"/>
  <c r="T526" i="33"/>
  <c r="T527" i="33"/>
  <c r="T528" i="33"/>
  <c r="T529" i="33"/>
  <c r="T530" i="33"/>
  <c r="T531" i="33"/>
  <c r="T532" i="33"/>
  <c r="T533" i="33"/>
  <c r="T534" i="33"/>
  <c r="T535" i="33"/>
  <c r="T536" i="33"/>
  <c r="T537" i="33"/>
  <c r="T538" i="33"/>
  <c r="T539" i="33"/>
  <c r="T540" i="33"/>
  <c r="T541" i="33"/>
  <c r="T542" i="33"/>
  <c r="T543" i="33"/>
  <c r="T544" i="33"/>
  <c r="T545" i="33"/>
  <c r="T546" i="33"/>
  <c r="T547" i="33"/>
  <c r="T548" i="33"/>
  <c r="T549" i="33"/>
  <c r="T550" i="33"/>
  <c r="T551" i="33"/>
  <c r="T552" i="33"/>
  <c r="T553" i="33"/>
  <c r="T554" i="33"/>
  <c r="T555" i="33"/>
  <c r="T556" i="33"/>
  <c r="T557" i="33"/>
  <c r="T558" i="33"/>
  <c r="T559" i="33"/>
  <c r="T560" i="33"/>
  <c r="T561" i="33"/>
  <c r="T562" i="33"/>
  <c r="T563" i="33"/>
  <c r="T564" i="33"/>
  <c r="T565" i="33"/>
  <c r="T566" i="33"/>
  <c r="T567" i="33"/>
  <c r="T568" i="33"/>
  <c r="T569" i="33"/>
  <c r="T570" i="33"/>
  <c r="T571" i="33"/>
  <c r="T572" i="33"/>
  <c r="T573" i="33"/>
  <c r="T574" i="33"/>
  <c r="T575" i="33"/>
  <c r="T576" i="33"/>
  <c r="T577" i="33"/>
  <c r="T578" i="33"/>
  <c r="T579" i="33"/>
  <c r="T580" i="33"/>
  <c r="T581" i="33"/>
  <c r="T582" i="33"/>
  <c r="T583" i="33"/>
  <c r="T584" i="33"/>
  <c r="T585" i="33"/>
  <c r="T586" i="33"/>
  <c r="T587" i="33"/>
  <c r="T588" i="33"/>
  <c r="T589" i="33"/>
  <c r="T590" i="33"/>
  <c r="T591" i="33"/>
  <c r="T592" i="33"/>
  <c r="T593" i="33"/>
  <c r="T594" i="33"/>
  <c r="T595" i="33"/>
  <c r="T596" i="33"/>
  <c r="T597" i="33"/>
  <c r="T598" i="33"/>
  <c r="T599" i="33"/>
  <c r="T600" i="33"/>
  <c r="T601" i="33"/>
  <c r="T602" i="33"/>
  <c r="T603" i="33"/>
  <c r="T604" i="33"/>
  <c r="T605" i="33"/>
  <c r="T606" i="33"/>
  <c r="T607" i="33"/>
  <c r="T608" i="33"/>
  <c r="T609" i="33"/>
  <c r="T610" i="33"/>
  <c r="T611" i="33"/>
  <c r="T612" i="33"/>
  <c r="T613" i="33"/>
  <c r="T614" i="33"/>
  <c r="T615" i="33"/>
  <c r="T616" i="33"/>
  <c r="T617" i="33"/>
  <c r="T618" i="33"/>
  <c r="T619" i="33"/>
  <c r="T620" i="33"/>
  <c r="T621" i="33"/>
  <c r="T622" i="33"/>
  <c r="T623" i="33"/>
  <c r="T624" i="33"/>
  <c r="T625" i="33"/>
  <c r="T626" i="33"/>
  <c r="T627" i="33"/>
  <c r="T628" i="33"/>
  <c r="T629" i="33"/>
  <c r="T630" i="33"/>
  <c r="T631" i="33"/>
  <c r="T632" i="33"/>
  <c r="T633" i="33"/>
  <c r="T634" i="33"/>
  <c r="T635" i="33"/>
  <c r="T636" i="33"/>
  <c r="T637" i="33"/>
  <c r="T638" i="33"/>
  <c r="T639" i="33"/>
  <c r="T640" i="33"/>
  <c r="T641" i="33"/>
  <c r="T642" i="33"/>
  <c r="T643" i="33"/>
  <c r="T644" i="33"/>
  <c r="T645" i="33"/>
  <c r="T646" i="33"/>
  <c r="T647" i="33"/>
  <c r="T648" i="33"/>
  <c r="T649" i="33"/>
  <c r="T650" i="33"/>
  <c r="T651" i="33"/>
  <c r="T652" i="33"/>
  <c r="T653" i="33"/>
  <c r="T654" i="33"/>
  <c r="T655" i="33"/>
  <c r="T656" i="33"/>
  <c r="T657" i="33"/>
  <c r="T658" i="33"/>
  <c r="T659" i="33"/>
  <c r="T660" i="33"/>
  <c r="T661" i="33"/>
  <c r="T662" i="33"/>
  <c r="T663" i="33"/>
  <c r="T664" i="33"/>
  <c r="T665" i="33"/>
  <c r="T666" i="33"/>
  <c r="T667" i="33"/>
  <c r="T668" i="33"/>
  <c r="T669" i="33"/>
  <c r="T670" i="33"/>
  <c r="T671" i="33"/>
  <c r="T672" i="33"/>
  <c r="T673" i="33"/>
  <c r="T674" i="33"/>
  <c r="T675" i="33"/>
  <c r="T676" i="33"/>
  <c r="T677" i="33"/>
  <c r="T678" i="33"/>
  <c r="T679" i="33"/>
  <c r="T680" i="33"/>
  <c r="T681" i="33"/>
  <c r="T682" i="33"/>
  <c r="T683" i="33"/>
  <c r="T684" i="33"/>
  <c r="T685" i="33"/>
  <c r="T686" i="33"/>
  <c r="T687" i="33"/>
  <c r="T688" i="33"/>
  <c r="T689" i="33"/>
  <c r="T690" i="33"/>
  <c r="T691" i="33"/>
  <c r="T692" i="33"/>
  <c r="T693" i="33"/>
  <c r="T694" i="33"/>
  <c r="T695" i="33"/>
  <c r="T696" i="33"/>
  <c r="T697" i="33"/>
  <c r="T698" i="33"/>
  <c r="T699" i="33"/>
  <c r="T700" i="33"/>
  <c r="T701" i="33"/>
  <c r="T702" i="33"/>
  <c r="T703" i="33"/>
  <c r="T704" i="33"/>
  <c r="T705" i="33"/>
  <c r="T706" i="33"/>
  <c r="T707" i="33"/>
  <c r="T708" i="33"/>
  <c r="T709" i="33"/>
  <c r="T710" i="33"/>
  <c r="T711" i="33"/>
  <c r="T712" i="33"/>
  <c r="T713" i="33"/>
  <c r="T714" i="33"/>
  <c r="T715" i="33"/>
  <c r="T716" i="33"/>
  <c r="T717" i="33"/>
  <c r="T718" i="33"/>
  <c r="T719" i="33"/>
  <c r="T720" i="33"/>
  <c r="T721" i="33"/>
  <c r="T722" i="33"/>
  <c r="T723" i="33"/>
  <c r="T724" i="33"/>
  <c r="T725" i="33"/>
  <c r="T726" i="33"/>
  <c r="T727" i="33"/>
  <c r="T728" i="33"/>
  <c r="T729" i="33"/>
  <c r="T730" i="33"/>
  <c r="T731" i="33"/>
  <c r="T732" i="33"/>
  <c r="T733" i="33"/>
  <c r="T734" i="33"/>
  <c r="T735" i="33"/>
  <c r="T736" i="33"/>
  <c r="T737" i="33"/>
  <c r="T738" i="33"/>
  <c r="T739" i="33"/>
  <c r="T740" i="33"/>
  <c r="T741" i="33"/>
  <c r="T742" i="33"/>
  <c r="T743" i="33"/>
  <c r="T744" i="33"/>
  <c r="T745" i="33"/>
  <c r="T746" i="33"/>
  <c r="T747" i="33"/>
  <c r="T748" i="33"/>
  <c r="T749" i="33"/>
  <c r="T750" i="33"/>
  <c r="T751" i="33"/>
  <c r="T752" i="33"/>
  <c r="T753" i="33"/>
  <c r="T754" i="33"/>
  <c r="T755" i="33"/>
  <c r="T756" i="33"/>
  <c r="T757" i="33"/>
  <c r="T758" i="33"/>
  <c r="T759" i="33"/>
  <c r="T760" i="33"/>
  <c r="T761" i="33"/>
  <c r="T762" i="33"/>
  <c r="T763" i="33"/>
  <c r="T764" i="33"/>
  <c r="T765" i="33"/>
  <c r="T766" i="33"/>
  <c r="T767" i="33"/>
  <c r="T768" i="33"/>
  <c r="T769" i="33"/>
  <c r="T770" i="33"/>
  <c r="T771" i="33"/>
  <c r="T772" i="33"/>
  <c r="T773" i="33"/>
  <c r="T774" i="33"/>
  <c r="T775" i="33"/>
  <c r="T776" i="33"/>
  <c r="T777" i="33"/>
  <c r="T778" i="33"/>
  <c r="T779" i="33"/>
  <c r="T780" i="33"/>
  <c r="T781" i="33"/>
  <c r="T782" i="33"/>
  <c r="T783" i="33"/>
  <c r="T784" i="33"/>
  <c r="T785" i="33"/>
  <c r="T786" i="33"/>
  <c r="T787" i="33"/>
  <c r="T788" i="33"/>
  <c r="T789" i="33"/>
  <c r="T790" i="33"/>
  <c r="T791" i="33"/>
  <c r="T792" i="33"/>
  <c r="T793" i="33"/>
  <c r="T794" i="33"/>
  <c r="T795" i="33"/>
  <c r="T796" i="33"/>
  <c r="T797" i="33"/>
  <c r="T798" i="33"/>
  <c r="T799" i="33"/>
  <c r="T800" i="33"/>
  <c r="T801" i="33"/>
  <c r="T802" i="33"/>
  <c r="T803" i="33"/>
  <c r="T804" i="33"/>
  <c r="T805" i="33"/>
  <c r="T806" i="33"/>
  <c r="T807" i="33"/>
  <c r="T808" i="33"/>
  <c r="T809" i="33"/>
  <c r="T810" i="33"/>
  <c r="T811" i="33"/>
  <c r="T812" i="33"/>
  <c r="T813" i="33"/>
  <c r="T814" i="33"/>
  <c r="T815" i="33"/>
  <c r="T816" i="33"/>
  <c r="T817" i="33"/>
  <c r="T818" i="33"/>
  <c r="T819" i="33"/>
  <c r="T820" i="33"/>
  <c r="T821" i="33"/>
  <c r="T822" i="33"/>
  <c r="T823" i="33"/>
  <c r="T824" i="33"/>
  <c r="T825" i="33"/>
  <c r="T826" i="33"/>
  <c r="T827" i="33"/>
  <c r="T828" i="33"/>
  <c r="T829" i="33"/>
  <c r="T830" i="33"/>
  <c r="T831" i="33"/>
  <c r="T832" i="33"/>
  <c r="T833" i="33"/>
  <c r="T834" i="33"/>
  <c r="T835" i="33"/>
  <c r="T836" i="33"/>
  <c r="T837" i="33"/>
  <c r="T838" i="33"/>
  <c r="T839" i="33"/>
  <c r="T840" i="33"/>
  <c r="T841" i="33"/>
  <c r="T842" i="33"/>
  <c r="T843" i="33"/>
  <c r="T844" i="33"/>
  <c r="T845" i="33"/>
  <c r="T846" i="33"/>
  <c r="T847" i="33"/>
  <c r="T848" i="33"/>
  <c r="T849" i="33"/>
  <c r="T850" i="33"/>
  <c r="T851" i="33"/>
  <c r="T852" i="33"/>
  <c r="T853" i="33"/>
  <c r="T854" i="33"/>
  <c r="T855" i="33"/>
  <c r="T856" i="33"/>
  <c r="T857" i="33"/>
  <c r="T858" i="33"/>
  <c r="T859" i="33"/>
  <c r="T860" i="33"/>
  <c r="T861" i="33"/>
  <c r="T862" i="33"/>
  <c r="T863" i="33"/>
  <c r="T864" i="33"/>
  <c r="T865" i="33"/>
  <c r="T866" i="33"/>
  <c r="T867" i="33"/>
  <c r="T868" i="33"/>
  <c r="T869" i="33"/>
  <c r="T870" i="33"/>
  <c r="T871" i="33"/>
  <c r="T872" i="33"/>
  <c r="T873" i="33"/>
  <c r="T874" i="33"/>
  <c r="T875" i="33"/>
  <c r="T876" i="33"/>
  <c r="T877" i="33"/>
  <c r="T878" i="33"/>
  <c r="T879" i="33"/>
  <c r="T880" i="33"/>
  <c r="T881" i="33"/>
  <c r="T882" i="33"/>
  <c r="T883" i="33"/>
  <c r="T884" i="33"/>
  <c r="T885" i="33"/>
  <c r="T886" i="33"/>
  <c r="T887" i="33"/>
  <c r="T888" i="33"/>
  <c r="T889" i="33"/>
  <c r="T890" i="33"/>
  <c r="T891" i="33"/>
  <c r="T892" i="33"/>
  <c r="T893" i="33"/>
  <c r="T894" i="33"/>
  <c r="T895" i="33"/>
  <c r="T896" i="33"/>
  <c r="T897" i="33"/>
  <c r="T898" i="33"/>
  <c r="T899" i="33"/>
  <c r="T900" i="33"/>
  <c r="T901" i="33"/>
  <c r="T902" i="33"/>
  <c r="T903" i="33"/>
  <c r="T904" i="33"/>
  <c r="T905" i="33"/>
  <c r="T906" i="33"/>
  <c r="T907" i="33"/>
  <c r="T908" i="33"/>
  <c r="T909" i="33"/>
  <c r="T910" i="33"/>
  <c r="T911" i="33"/>
  <c r="T912" i="33"/>
  <c r="T913" i="33"/>
  <c r="T914" i="33"/>
  <c r="T915" i="33"/>
  <c r="T916" i="33"/>
  <c r="T917" i="33"/>
  <c r="T918" i="33"/>
  <c r="T919" i="33"/>
  <c r="T920" i="33"/>
  <c r="T921" i="33"/>
  <c r="T922" i="33"/>
  <c r="T923" i="33"/>
  <c r="T924" i="33"/>
  <c r="T925" i="33"/>
  <c r="T926" i="33"/>
  <c r="T927" i="33"/>
  <c r="T928" i="33"/>
  <c r="T929" i="33"/>
  <c r="T930" i="33"/>
  <c r="T931" i="33"/>
  <c r="T932" i="33"/>
  <c r="T933" i="33"/>
  <c r="T934" i="33"/>
  <c r="T935" i="33"/>
  <c r="T936" i="33"/>
  <c r="T937" i="33"/>
  <c r="T938" i="33"/>
  <c r="T939" i="33"/>
  <c r="T940" i="33"/>
  <c r="T941" i="33"/>
  <c r="T942" i="33"/>
  <c r="T943" i="33"/>
  <c r="T944" i="33"/>
  <c r="T945" i="33"/>
  <c r="T946" i="33"/>
  <c r="T947" i="33"/>
  <c r="T948" i="33"/>
  <c r="T949" i="33"/>
  <c r="T950" i="33"/>
  <c r="T951" i="33"/>
  <c r="T952" i="33"/>
  <c r="T953" i="33"/>
  <c r="T954" i="33"/>
  <c r="T955" i="33"/>
  <c r="T956" i="33"/>
  <c r="T957" i="33"/>
  <c r="T958" i="33"/>
  <c r="T959" i="33"/>
  <c r="T960" i="33"/>
  <c r="T961" i="33"/>
  <c r="T962" i="33"/>
  <c r="T963" i="33"/>
  <c r="T964" i="33"/>
  <c r="T965" i="33"/>
  <c r="T966" i="33"/>
  <c r="T967" i="33"/>
  <c r="T968" i="33"/>
  <c r="T969" i="33"/>
  <c r="T970" i="33"/>
  <c r="T971" i="33"/>
  <c r="T972" i="33"/>
  <c r="T973" i="33"/>
  <c r="T974" i="33"/>
  <c r="T975" i="33"/>
  <c r="T976" i="33"/>
  <c r="T977" i="33"/>
  <c r="T978" i="33"/>
  <c r="T979" i="33"/>
  <c r="T980" i="33"/>
  <c r="T981" i="33"/>
  <c r="T982" i="33"/>
  <c r="T983" i="33"/>
  <c r="T984" i="33"/>
  <c r="T985" i="33"/>
  <c r="T986" i="33"/>
  <c r="T987" i="33"/>
  <c r="T988" i="33"/>
  <c r="T989" i="33"/>
  <c r="T990" i="33"/>
  <c r="T991" i="33"/>
  <c r="T992" i="33"/>
  <c r="T993" i="33"/>
  <c r="T994" i="33"/>
  <c r="T995" i="33"/>
  <c r="T996" i="33"/>
  <c r="T997" i="33"/>
  <c r="T998" i="33"/>
  <c r="T999" i="33"/>
  <c r="T1000" i="33"/>
  <c r="T1001" i="33"/>
  <c r="T1002" i="33"/>
  <c r="T1003" i="33"/>
  <c r="T1004" i="33"/>
  <c r="Q134" i="33"/>
  <c r="Q135" i="33"/>
  <c r="Q136" i="33"/>
  <c r="Q137" i="33"/>
  <c r="Q138" i="33"/>
  <c r="Q139" i="33"/>
  <c r="Q140" i="33"/>
  <c r="N134" i="33"/>
  <c r="N135" i="33"/>
  <c r="N136" i="33"/>
  <c r="N137" i="33"/>
  <c r="N138" i="33"/>
  <c r="N139" i="33"/>
  <c r="N140" i="33"/>
  <c r="K134" i="33"/>
  <c r="K135" i="33"/>
  <c r="K136" i="33"/>
  <c r="K137" i="33"/>
  <c r="K138" i="33"/>
  <c r="K139" i="33"/>
  <c r="K140" i="33"/>
  <c r="AU131" i="33" l="1"/>
  <c r="AU132" i="33"/>
  <c r="AU133" i="33"/>
  <c r="AU134" i="33"/>
  <c r="AU135" i="33"/>
  <c r="AU136" i="33"/>
  <c r="AU137" i="33"/>
  <c r="AU138" i="33"/>
  <c r="AU139" i="33"/>
  <c r="AU140" i="33"/>
  <c r="AR131" i="33"/>
  <c r="AR132" i="33"/>
  <c r="AR133" i="33"/>
  <c r="AR134" i="33"/>
  <c r="AR135" i="33"/>
  <c r="AR136" i="33"/>
  <c r="AR137" i="33"/>
  <c r="AR138" i="33"/>
  <c r="AR139" i="33"/>
  <c r="AR140" i="33"/>
  <c r="AO131" i="33"/>
  <c r="AO132" i="33"/>
  <c r="AO133" i="33"/>
  <c r="AO134" i="33"/>
  <c r="AO135" i="33"/>
  <c r="AO136" i="33"/>
  <c r="AO137" i="33"/>
  <c r="AO138" i="33"/>
  <c r="AO139" i="33"/>
  <c r="AO140" i="33"/>
  <c r="AL131" i="33"/>
  <c r="AL132" i="33"/>
  <c r="AL133" i="33"/>
  <c r="AL134" i="33"/>
  <c r="AL135" i="33"/>
  <c r="AL136" i="33"/>
  <c r="AL137" i="33"/>
  <c r="AL138" i="33"/>
  <c r="AL139" i="33"/>
  <c r="AL140" i="33"/>
  <c r="AI131" i="33"/>
  <c r="AI132" i="33"/>
  <c r="AF131" i="33"/>
  <c r="AF132" i="33"/>
  <c r="AC131" i="33"/>
  <c r="Z131" i="33"/>
  <c r="Z132" i="33"/>
  <c r="Z133" i="33"/>
  <c r="Z134" i="33"/>
  <c r="W131" i="33"/>
  <c r="W132" i="33"/>
  <c r="W133" i="33"/>
  <c r="W134" i="33"/>
  <c r="T131" i="33"/>
  <c r="T132" i="33"/>
  <c r="T133" i="33"/>
  <c r="T134" i="33"/>
  <c r="Q130" i="33"/>
  <c r="Q131" i="33"/>
  <c r="Q132" i="33"/>
  <c r="Q133" i="33"/>
  <c r="N130" i="33"/>
  <c r="N131" i="33"/>
  <c r="N132" i="33"/>
  <c r="N133" i="33"/>
  <c r="K131" i="33"/>
  <c r="K132" i="33"/>
  <c r="K133" i="33"/>
  <c r="BD103" i="33"/>
  <c r="BD104" i="33"/>
  <c r="BD105" i="33"/>
  <c r="BD106" i="33"/>
  <c r="BD107" i="33"/>
  <c r="BD108" i="33"/>
  <c r="BD109" i="33"/>
  <c r="BD110" i="33"/>
  <c r="BD111" i="33"/>
  <c r="BD112" i="33"/>
  <c r="BD113" i="33"/>
  <c r="BD114" i="33"/>
  <c r="BD115" i="33"/>
  <c r="BD116" i="33"/>
  <c r="BD117" i="33"/>
  <c r="BD118" i="33"/>
  <c r="BD119" i="33"/>
  <c r="BD120" i="33"/>
  <c r="BD121" i="33"/>
  <c r="BD122" i="33"/>
  <c r="BD123" i="33"/>
  <c r="BD124" i="33"/>
  <c r="BD125" i="33"/>
  <c r="BD126" i="33"/>
  <c r="BD127" i="33"/>
  <c r="BD128" i="33"/>
  <c r="BD129" i="33"/>
  <c r="BD130" i="33"/>
  <c r="BD131" i="33"/>
  <c r="BD132" i="33"/>
  <c r="BD133" i="33"/>
  <c r="BD134" i="33"/>
  <c r="BD135" i="33"/>
  <c r="BD136" i="33"/>
  <c r="BD137" i="33"/>
  <c r="BD138" i="33"/>
  <c r="BD139" i="33"/>
  <c r="BD140" i="33"/>
  <c r="BA104" i="33"/>
  <c r="BA105" i="33"/>
  <c r="BA106" i="33"/>
  <c r="BA107" i="33"/>
  <c r="BA108" i="33"/>
  <c r="BA109" i="33"/>
  <c r="BA110" i="33"/>
  <c r="BA111" i="33"/>
  <c r="BA112" i="33"/>
  <c r="BA113" i="33"/>
  <c r="BA114" i="33"/>
  <c r="BA115" i="33"/>
  <c r="BA116" i="33"/>
  <c r="BA117" i="33"/>
  <c r="BA118" i="33"/>
  <c r="BA119" i="33"/>
  <c r="BA120" i="33"/>
  <c r="BA121" i="33"/>
  <c r="BA122" i="33"/>
  <c r="BA123" i="33"/>
  <c r="BA124" i="33"/>
  <c r="BA125" i="33"/>
  <c r="BA126" i="33"/>
  <c r="BA127" i="33"/>
  <c r="BA128" i="33"/>
  <c r="BA129" i="33"/>
  <c r="BA130" i="33"/>
  <c r="BA131" i="33"/>
  <c r="BA132" i="33"/>
  <c r="BA133" i="33"/>
  <c r="BA134" i="33"/>
  <c r="BA135" i="33"/>
  <c r="BA136" i="33"/>
  <c r="BA137" i="33"/>
  <c r="BA138" i="33"/>
  <c r="BA139" i="33"/>
  <c r="BA140" i="33"/>
  <c r="AX104" i="33"/>
  <c r="AX105" i="33"/>
  <c r="AX106" i="33"/>
  <c r="AX107" i="33"/>
  <c r="AX108" i="33"/>
  <c r="AX109" i="33"/>
  <c r="AX110" i="33"/>
  <c r="AX111" i="33"/>
  <c r="AX112" i="33"/>
  <c r="AX113" i="33"/>
  <c r="AX114" i="33"/>
  <c r="AX115" i="33"/>
  <c r="AX116" i="33"/>
  <c r="AX117" i="33"/>
  <c r="AX118" i="33"/>
  <c r="AX119" i="33"/>
  <c r="AX120" i="33"/>
  <c r="AX121" i="33"/>
  <c r="AX122" i="33"/>
  <c r="AX123" i="33"/>
  <c r="AX124" i="33"/>
  <c r="AX125" i="33"/>
  <c r="AX126" i="33"/>
  <c r="AX127" i="33"/>
  <c r="AX128" i="33"/>
  <c r="AX129" i="33"/>
  <c r="AX130" i="33"/>
  <c r="AX131" i="33"/>
  <c r="AX132" i="33"/>
  <c r="AX133" i="33"/>
  <c r="AX134" i="33"/>
  <c r="AX135" i="33"/>
  <c r="AX136" i="33"/>
  <c r="AX137" i="33"/>
  <c r="AX138" i="33"/>
  <c r="AX139" i="33"/>
  <c r="AX140" i="33"/>
  <c r="AU104" i="33"/>
  <c r="AU105" i="33"/>
  <c r="AU106" i="33"/>
  <c r="AU107" i="33"/>
  <c r="AU108" i="33"/>
  <c r="AU109" i="33"/>
  <c r="AU110" i="33"/>
  <c r="AU111" i="33"/>
  <c r="AU112" i="33"/>
  <c r="AU113" i="33"/>
  <c r="AU114" i="33"/>
  <c r="AU115" i="33"/>
  <c r="AU116" i="33"/>
  <c r="AU117" i="33"/>
  <c r="AU118" i="33"/>
  <c r="AU119" i="33"/>
  <c r="AU120" i="33"/>
  <c r="AU121" i="33"/>
  <c r="AU122" i="33"/>
  <c r="AU123" i="33"/>
  <c r="AU124" i="33"/>
  <c r="AU125" i="33"/>
  <c r="AU126" i="33"/>
  <c r="AU127" i="33"/>
  <c r="AU128" i="33"/>
  <c r="AU129" i="33"/>
  <c r="AU130" i="33"/>
  <c r="AR104" i="33"/>
  <c r="AR105" i="33"/>
  <c r="AR106" i="33"/>
  <c r="AR107" i="33"/>
  <c r="AR108" i="33"/>
  <c r="AR109" i="33"/>
  <c r="AR110" i="33"/>
  <c r="AR111" i="33"/>
  <c r="AR112" i="33"/>
  <c r="AR113" i="33"/>
  <c r="AR114" i="33"/>
  <c r="AR115" i="33"/>
  <c r="AR116" i="33"/>
  <c r="AR117" i="33"/>
  <c r="AR118" i="33"/>
  <c r="AR119" i="33"/>
  <c r="AR120" i="33"/>
  <c r="AR121" i="33"/>
  <c r="AR122" i="33"/>
  <c r="AR123" i="33"/>
  <c r="AR124" i="33"/>
  <c r="AR125" i="33"/>
  <c r="AR126" i="33"/>
  <c r="AR127" i="33"/>
  <c r="AR128" i="33"/>
  <c r="AR129" i="33"/>
  <c r="AR130" i="33"/>
  <c r="AO104" i="33"/>
  <c r="AO105" i="33"/>
  <c r="AO106" i="33"/>
  <c r="AO107" i="33"/>
  <c r="AO108" i="33"/>
  <c r="AO109" i="33"/>
  <c r="AO110" i="33"/>
  <c r="AO111" i="33"/>
  <c r="AO112" i="33"/>
  <c r="AO113" i="33"/>
  <c r="AO114" i="33"/>
  <c r="AO115" i="33"/>
  <c r="AO116" i="33"/>
  <c r="AO117" i="33"/>
  <c r="AO118" i="33"/>
  <c r="AO119" i="33"/>
  <c r="AO120" i="33"/>
  <c r="AO121" i="33"/>
  <c r="AO122" i="33"/>
  <c r="AO123" i="33"/>
  <c r="AO124" i="33"/>
  <c r="AO125" i="33"/>
  <c r="AO126" i="33"/>
  <c r="AO127" i="33"/>
  <c r="AO128" i="33"/>
  <c r="AO129" i="33"/>
  <c r="AO130" i="33"/>
  <c r="AL105" i="33"/>
  <c r="AL106" i="33"/>
  <c r="AL107" i="33"/>
  <c r="AL108" i="33"/>
  <c r="AL109" i="33"/>
  <c r="AL110" i="33"/>
  <c r="AL111" i="33"/>
  <c r="AL112" i="33"/>
  <c r="AL113" i="33"/>
  <c r="AL114" i="33"/>
  <c r="AL115" i="33"/>
  <c r="AL116" i="33"/>
  <c r="AL117" i="33"/>
  <c r="AL118" i="33"/>
  <c r="AL119" i="33"/>
  <c r="AL120" i="33"/>
  <c r="AL121" i="33"/>
  <c r="AL122" i="33"/>
  <c r="AL123" i="33"/>
  <c r="AL124" i="33"/>
  <c r="AL125" i="33"/>
  <c r="AL126" i="33"/>
  <c r="AL127" i="33"/>
  <c r="AL128" i="33"/>
  <c r="AL129" i="33"/>
  <c r="AL130" i="33"/>
  <c r="AI105" i="33"/>
  <c r="AI106" i="33"/>
  <c r="AI107" i="33"/>
  <c r="AI108" i="33"/>
  <c r="AI109" i="33"/>
  <c r="AI110" i="33"/>
  <c r="AI111" i="33"/>
  <c r="AI112" i="33"/>
  <c r="AI113" i="33"/>
  <c r="AI114" i="33"/>
  <c r="AI115" i="33"/>
  <c r="AI116" i="33"/>
  <c r="AI117" i="33"/>
  <c r="AI118" i="33"/>
  <c r="AI119" i="33"/>
  <c r="AI120" i="33"/>
  <c r="AI121" i="33"/>
  <c r="AI122" i="33"/>
  <c r="AI123" i="33"/>
  <c r="AI124" i="33"/>
  <c r="AI125" i="33"/>
  <c r="AI126" i="33"/>
  <c r="AI127" i="33"/>
  <c r="AI128" i="33"/>
  <c r="AI129" i="33"/>
  <c r="AI130" i="33"/>
  <c r="AF105" i="33"/>
  <c r="AF106" i="33"/>
  <c r="AF107" i="33"/>
  <c r="AF108" i="33"/>
  <c r="AF109" i="33"/>
  <c r="AF110" i="33"/>
  <c r="AF111" i="33"/>
  <c r="AF112" i="33"/>
  <c r="AF113" i="33"/>
  <c r="AF114" i="33"/>
  <c r="AF115" i="33"/>
  <c r="AF116" i="33"/>
  <c r="AF117" i="33"/>
  <c r="AF118" i="33"/>
  <c r="AF119" i="33"/>
  <c r="AF120" i="33"/>
  <c r="AF121" i="33"/>
  <c r="AF122" i="33"/>
  <c r="AF123" i="33"/>
  <c r="AF124" i="33"/>
  <c r="AF125" i="33"/>
  <c r="AF126" i="33"/>
  <c r="AF127" i="33"/>
  <c r="AF128" i="33"/>
  <c r="AF129" i="33"/>
  <c r="AF130" i="33"/>
  <c r="AC106" i="33"/>
  <c r="AC107" i="33"/>
  <c r="AC108" i="33"/>
  <c r="AC109" i="33"/>
  <c r="AC110" i="33"/>
  <c r="AC111" i="33"/>
  <c r="AC112" i="33"/>
  <c r="AC113" i="33"/>
  <c r="AC114" i="33"/>
  <c r="AC115" i="33"/>
  <c r="AC116" i="33"/>
  <c r="AC117" i="33"/>
  <c r="AC118" i="33"/>
  <c r="AC119" i="33"/>
  <c r="AC120" i="33"/>
  <c r="AC121" i="33"/>
  <c r="AC122" i="33"/>
  <c r="AC123" i="33"/>
  <c r="AC124" i="33"/>
  <c r="AC125" i="33"/>
  <c r="AC126" i="33"/>
  <c r="AC127" i="33"/>
  <c r="AC128" i="33"/>
  <c r="AC129" i="33"/>
  <c r="AC130" i="33"/>
  <c r="Z108" i="33"/>
  <c r="Z109" i="33"/>
  <c r="Z110" i="33"/>
  <c r="Z111" i="33"/>
  <c r="Z112" i="33"/>
  <c r="Z113" i="33"/>
  <c r="Z114" i="33"/>
  <c r="Z115" i="33"/>
  <c r="Z116" i="33"/>
  <c r="Z117" i="33"/>
  <c r="Z118" i="33"/>
  <c r="Z119" i="33"/>
  <c r="Z120" i="33"/>
  <c r="Z121" i="33"/>
  <c r="Z122" i="33"/>
  <c r="Z123" i="33"/>
  <c r="Z124" i="33"/>
  <c r="Z125" i="33"/>
  <c r="Z126" i="33"/>
  <c r="Z127" i="33"/>
  <c r="Z128" i="33"/>
  <c r="Z129" i="33"/>
  <c r="Z130" i="33"/>
  <c r="W108" i="33"/>
  <c r="W109" i="33"/>
  <c r="W110" i="33"/>
  <c r="W111" i="33"/>
  <c r="W112" i="33"/>
  <c r="W113" i="33"/>
  <c r="W114" i="33"/>
  <c r="W115" i="33"/>
  <c r="W116" i="33"/>
  <c r="W117" i="33"/>
  <c r="W118" i="33"/>
  <c r="W119" i="33"/>
  <c r="W120" i="33"/>
  <c r="W121" i="33"/>
  <c r="W122" i="33"/>
  <c r="W123" i="33"/>
  <c r="W124" i="33"/>
  <c r="W125" i="33"/>
  <c r="W126" i="33"/>
  <c r="W127" i="33"/>
  <c r="W128" i="33"/>
  <c r="W129" i="33"/>
  <c r="W130" i="33"/>
  <c r="T108" i="33"/>
  <c r="T109" i="33"/>
  <c r="T110" i="33"/>
  <c r="T111" i="33"/>
  <c r="T112" i="33"/>
  <c r="T113" i="33"/>
  <c r="T114" i="33"/>
  <c r="T115" i="33"/>
  <c r="T116" i="33"/>
  <c r="T117" i="33"/>
  <c r="T118" i="33"/>
  <c r="T119" i="33"/>
  <c r="T120" i="33"/>
  <c r="T121" i="33"/>
  <c r="T122" i="33"/>
  <c r="T123" i="33"/>
  <c r="T124" i="33"/>
  <c r="T125" i="33"/>
  <c r="T126" i="33"/>
  <c r="T127" i="33"/>
  <c r="T128" i="33"/>
  <c r="T129" i="33"/>
  <c r="T130" i="33"/>
  <c r="Q108" i="33"/>
  <c r="Q109" i="33"/>
  <c r="Q110" i="33"/>
  <c r="Q111" i="33"/>
  <c r="Q112" i="33"/>
  <c r="Q113" i="33"/>
  <c r="Q114" i="33"/>
  <c r="Q115" i="33"/>
  <c r="Q116" i="33"/>
  <c r="Q117" i="33"/>
  <c r="Q118" i="33"/>
  <c r="Q119" i="33"/>
  <c r="Q120" i="33"/>
  <c r="Q121" i="33"/>
  <c r="Q122" i="33"/>
  <c r="Q123" i="33"/>
  <c r="Q124" i="33"/>
  <c r="Q125" i="33"/>
  <c r="Q126" i="33"/>
  <c r="Q127" i="33"/>
  <c r="Q128" i="33"/>
  <c r="Q129" i="33"/>
  <c r="N108" i="33"/>
  <c r="N109" i="33"/>
  <c r="N110" i="33"/>
  <c r="N111" i="33"/>
  <c r="N112" i="33"/>
  <c r="N113" i="33"/>
  <c r="N114" i="33"/>
  <c r="N115" i="33"/>
  <c r="N116" i="33"/>
  <c r="N117" i="33"/>
  <c r="N118" i="33"/>
  <c r="N119" i="33"/>
  <c r="N120" i="33"/>
  <c r="N121" i="33"/>
  <c r="N122" i="33"/>
  <c r="N123" i="33"/>
  <c r="N124" i="33"/>
  <c r="N125" i="33"/>
  <c r="N126" i="33"/>
  <c r="N127" i="33"/>
  <c r="N128" i="33"/>
  <c r="N129" i="33"/>
  <c r="K108" i="33"/>
  <c r="K109" i="33"/>
  <c r="K110" i="33"/>
  <c r="K111" i="33"/>
  <c r="K112" i="33"/>
  <c r="K113" i="33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6" i="33"/>
  <c r="K127" i="33"/>
  <c r="K128" i="33"/>
  <c r="K129" i="33"/>
  <c r="K130" i="33"/>
  <c r="K106" i="33" l="1"/>
  <c r="K107" i="33"/>
  <c r="AI82" i="33" l="1"/>
  <c r="AI83" i="33"/>
  <c r="AI84" i="33"/>
  <c r="AI85" i="33"/>
  <c r="AI86" i="33"/>
  <c r="AI87" i="33"/>
  <c r="AI88" i="33"/>
  <c r="AI89" i="33"/>
  <c r="AI90" i="33"/>
  <c r="AI95" i="33"/>
  <c r="AI96" i="33"/>
  <c r="AI97" i="33"/>
  <c r="AI98" i="33"/>
  <c r="AI99" i="33"/>
  <c r="AI100" i="33"/>
  <c r="AI101" i="33"/>
  <c r="AI102" i="33"/>
  <c r="AF82" i="33"/>
  <c r="AF83" i="33"/>
  <c r="AF85" i="33"/>
  <c r="AF86" i="33"/>
  <c r="AF87" i="33"/>
  <c r="AF88" i="33"/>
  <c r="AF89" i="33"/>
  <c r="AF90" i="33"/>
  <c r="AF95" i="33"/>
  <c r="AF97" i="33"/>
  <c r="AF99" i="33"/>
  <c r="AF100" i="33"/>
  <c r="AF101" i="33"/>
  <c r="AF102" i="33"/>
  <c r="AC86" i="33"/>
  <c r="AC87" i="33"/>
  <c r="AC88" i="33"/>
  <c r="AC89" i="33"/>
  <c r="AC90" i="33"/>
  <c r="AC99" i="33"/>
  <c r="AC100" i="33"/>
  <c r="AC101" i="33"/>
  <c r="AC102" i="33"/>
  <c r="Z86" i="33"/>
  <c r="Z87" i="33"/>
  <c r="Z88" i="33"/>
  <c r="Z89" i="33"/>
  <c r="Z90" i="33"/>
  <c r="Z99" i="33"/>
  <c r="Z100" i="33"/>
  <c r="Z101" i="33"/>
  <c r="Z102" i="33"/>
  <c r="W87" i="33"/>
  <c r="W88" i="33"/>
  <c r="W89" i="33"/>
  <c r="W90" i="33"/>
  <c r="W99" i="33"/>
  <c r="W100" i="33"/>
  <c r="W102" i="33"/>
  <c r="AU90" i="33" l="1"/>
  <c r="AU91" i="33"/>
  <c r="AU92" i="33"/>
  <c r="AU93" i="33"/>
  <c r="AU94" i="33"/>
  <c r="AU95" i="33"/>
  <c r="AU96" i="33"/>
  <c r="AU97" i="33"/>
  <c r="AU98" i="33"/>
  <c r="AU99" i="33"/>
  <c r="AU100" i="33"/>
  <c r="AU101" i="33"/>
  <c r="AU102" i="33"/>
  <c r="AU103" i="33"/>
  <c r="AR91" i="33"/>
  <c r="AR93" i="33"/>
  <c r="AR95" i="33"/>
  <c r="AR96" i="33"/>
  <c r="AR97" i="33"/>
  <c r="AR98" i="33"/>
  <c r="AR99" i="33"/>
  <c r="AR100" i="33"/>
  <c r="AR101" i="33"/>
  <c r="AR102" i="33"/>
  <c r="AR103" i="33"/>
  <c r="AO90" i="33"/>
  <c r="AO95" i="33"/>
  <c r="AO96" i="33"/>
  <c r="AO97" i="33"/>
  <c r="AO98" i="33"/>
  <c r="AO99" i="33"/>
  <c r="AO100" i="33"/>
  <c r="AO101" i="33"/>
  <c r="AO102" i="33"/>
  <c r="AO103" i="33"/>
  <c r="AL90" i="33"/>
  <c r="AL95" i="33"/>
  <c r="AL96" i="33"/>
  <c r="AL97" i="33"/>
  <c r="AL98" i="33"/>
  <c r="AL99" i="33"/>
  <c r="AL100" i="33"/>
  <c r="AL101" i="33"/>
  <c r="AL102" i="33"/>
  <c r="AL103" i="33"/>
  <c r="AL104" i="33"/>
  <c r="BA70" i="33" l="1"/>
  <c r="BA71" i="33"/>
  <c r="BA72" i="33"/>
  <c r="BA73" i="33"/>
  <c r="BA74" i="33"/>
  <c r="BA75" i="33"/>
  <c r="BA76" i="33"/>
  <c r="BA77" i="33"/>
  <c r="BA78" i="33"/>
  <c r="BA79" i="33"/>
  <c r="BA80" i="33"/>
  <c r="BA81" i="33"/>
  <c r="BA82" i="33"/>
  <c r="BA83" i="33"/>
  <c r="BA84" i="33"/>
  <c r="BA85" i="33"/>
  <c r="BA86" i="33"/>
  <c r="BA87" i="33"/>
  <c r="BA88" i="33"/>
  <c r="BA89" i="33"/>
  <c r="BA90" i="33"/>
  <c r="BA91" i="33"/>
  <c r="BA92" i="33"/>
  <c r="BA93" i="33"/>
  <c r="BA94" i="33"/>
  <c r="BA95" i="33"/>
  <c r="BA96" i="33"/>
  <c r="BA97" i="33"/>
  <c r="BA98" i="33"/>
  <c r="BA99" i="33"/>
  <c r="BA100" i="33"/>
  <c r="BA101" i="33"/>
  <c r="BA102" i="33"/>
  <c r="BA103" i="33"/>
  <c r="AX70" i="33"/>
  <c r="AX71" i="33"/>
  <c r="AX72" i="33"/>
  <c r="AX74" i="33"/>
  <c r="AX75" i="33"/>
  <c r="AX76" i="33"/>
  <c r="AX77" i="33"/>
  <c r="AX78" i="33"/>
  <c r="AX79" i="33"/>
  <c r="AX80" i="33"/>
  <c r="AX81" i="33"/>
  <c r="AX82" i="33"/>
  <c r="AX83" i="33"/>
  <c r="AX84" i="33"/>
  <c r="AX85" i="33"/>
  <c r="AX86" i="33"/>
  <c r="AX87" i="33"/>
  <c r="AX88" i="33"/>
  <c r="AX89" i="33"/>
  <c r="AX90" i="33"/>
  <c r="AX91" i="33"/>
  <c r="AX92" i="33"/>
  <c r="AX93" i="33"/>
  <c r="AX94" i="33"/>
  <c r="AX95" i="33"/>
  <c r="AX96" i="33"/>
  <c r="AX97" i="33"/>
  <c r="AX98" i="33"/>
  <c r="AX99" i="33"/>
  <c r="AX100" i="33"/>
  <c r="AX101" i="33"/>
  <c r="AX102" i="33"/>
  <c r="AX103" i="33"/>
  <c r="AU70" i="33"/>
  <c r="AU75" i="33"/>
  <c r="AU76" i="33"/>
  <c r="AU77" i="33"/>
  <c r="AU78" i="33"/>
  <c r="AU79" i="33"/>
  <c r="AU80" i="33"/>
  <c r="AU81" i="33"/>
  <c r="AU82" i="33"/>
  <c r="AU83" i="33"/>
  <c r="AU84" i="33"/>
  <c r="AU85" i="33"/>
  <c r="AU86" i="33"/>
  <c r="AU87" i="33"/>
  <c r="AU88" i="33"/>
  <c r="AU89" i="33"/>
  <c r="AR69" i="33"/>
  <c r="AR70" i="33"/>
  <c r="AR75" i="33"/>
  <c r="AR76" i="33"/>
  <c r="AR77" i="33"/>
  <c r="AR78" i="33"/>
  <c r="AR79" i="33"/>
  <c r="AR80" i="33"/>
  <c r="AR81" i="33"/>
  <c r="AR82" i="33"/>
  <c r="AR83" i="33"/>
  <c r="AR84" i="33"/>
  <c r="AR85" i="33"/>
  <c r="AR86" i="33"/>
  <c r="AR87" i="33"/>
  <c r="AR88" i="33"/>
  <c r="AR89" i="33"/>
  <c r="AR90" i="33"/>
  <c r="AO70" i="33"/>
  <c r="AO75" i="33"/>
  <c r="AO76" i="33"/>
  <c r="AO77" i="33"/>
  <c r="AO78" i="33"/>
  <c r="AO79" i="33"/>
  <c r="AO80" i="33"/>
  <c r="AO81" i="33"/>
  <c r="AO82" i="33"/>
  <c r="AO83" i="33"/>
  <c r="AO84" i="33"/>
  <c r="AO85" i="33"/>
  <c r="AO86" i="33"/>
  <c r="AO87" i="33"/>
  <c r="AO88" i="33"/>
  <c r="AO89" i="33"/>
  <c r="AL70" i="33"/>
  <c r="AL75" i="33"/>
  <c r="AL76" i="33"/>
  <c r="AL77" i="33"/>
  <c r="AL78" i="33"/>
  <c r="AL79" i="33"/>
  <c r="AL80" i="33"/>
  <c r="AL81" i="33"/>
  <c r="AL82" i="33"/>
  <c r="AL83" i="33"/>
  <c r="AL84" i="33"/>
  <c r="AL85" i="33"/>
  <c r="AL86" i="33"/>
  <c r="AL87" i="33"/>
  <c r="AL88" i="33"/>
  <c r="AL89" i="33"/>
  <c r="AI70" i="33"/>
  <c r="AI75" i="33"/>
  <c r="AI76" i="33"/>
  <c r="AI77" i="33"/>
  <c r="AI78" i="33"/>
  <c r="AI79" i="33"/>
  <c r="AI80" i="33"/>
  <c r="AI81" i="33"/>
  <c r="AF70" i="33"/>
  <c r="AF75" i="33"/>
  <c r="AF76" i="33"/>
  <c r="AF77" i="33"/>
  <c r="AF78" i="33"/>
  <c r="AF79" i="33"/>
  <c r="AF80" i="33"/>
  <c r="AF81" i="33"/>
  <c r="AC70" i="33"/>
  <c r="AC75" i="33"/>
  <c r="AC76" i="33"/>
  <c r="AC77" i="33"/>
  <c r="AC78" i="33"/>
  <c r="T13" i="33" l="1"/>
  <c r="Q27" i="33"/>
  <c r="G5" i="33" l="1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33" i="33"/>
  <c r="G134" i="33"/>
  <c r="G135" i="33"/>
  <c r="G136" i="33"/>
  <c r="G137" i="33"/>
  <c r="G138" i="33"/>
  <c r="G139" i="33"/>
  <c r="G140" i="33"/>
  <c r="G141" i="33"/>
  <c r="G142" i="33"/>
  <c r="G143" i="33"/>
  <c r="G144" i="33"/>
  <c r="G145" i="33"/>
  <c r="G146" i="33"/>
  <c r="G147" i="33"/>
  <c r="G148" i="33"/>
  <c r="G149" i="33"/>
  <c r="G150" i="33"/>
  <c r="G151" i="33"/>
  <c r="G152" i="33"/>
  <c r="G153" i="33"/>
  <c r="G154" i="33"/>
  <c r="G155" i="33"/>
  <c r="G156" i="33"/>
  <c r="G157" i="33"/>
  <c r="G158" i="33"/>
  <c r="G159" i="33"/>
  <c r="G160" i="33"/>
  <c r="G161" i="33"/>
  <c r="G162" i="33"/>
  <c r="G163" i="33"/>
  <c r="G164" i="33"/>
  <c r="G165" i="33"/>
  <c r="G166" i="33"/>
  <c r="G167" i="33"/>
  <c r="G168" i="33"/>
  <c r="G169" i="33"/>
  <c r="G170" i="33"/>
  <c r="G171" i="33"/>
  <c r="G172" i="33"/>
  <c r="G173" i="33"/>
  <c r="G174" i="33"/>
  <c r="G175" i="33"/>
  <c r="G176" i="33"/>
  <c r="G177" i="33"/>
  <c r="G178" i="33"/>
  <c r="G179" i="33"/>
  <c r="G180" i="33"/>
  <c r="G181" i="33"/>
  <c r="G182" i="33"/>
  <c r="G183" i="33"/>
  <c r="G184" i="33"/>
  <c r="G185" i="33"/>
  <c r="G186" i="33"/>
  <c r="G187" i="33"/>
  <c r="G188" i="33"/>
  <c r="G189" i="33"/>
  <c r="G190" i="33"/>
  <c r="G191" i="33"/>
  <c r="G192" i="33"/>
  <c r="G193" i="33"/>
  <c r="G194" i="33"/>
  <c r="G195" i="33"/>
  <c r="G196" i="33"/>
  <c r="G197" i="33"/>
  <c r="G198" i="33"/>
  <c r="G199" i="33"/>
  <c r="G200" i="33"/>
  <c r="G201" i="33"/>
  <c r="G202" i="33"/>
  <c r="G203" i="33"/>
  <c r="G204" i="33"/>
  <c r="G205" i="33"/>
  <c r="G206" i="33"/>
  <c r="G207" i="33"/>
  <c r="G208" i="33"/>
  <c r="G209" i="33"/>
  <c r="G210" i="33"/>
  <c r="G211" i="33"/>
  <c r="G212" i="33"/>
  <c r="G213" i="33"/>
  <c r="G214" i="33"/>
  <c r="G215" i="33"/>
  <c r="G216" i="33"/>
  <c r="G217" i="33"/>
  <c r="G218" i="33"/>
  <c r="G219" i="33"/>
  <c r="G220" i="33"/>
  <c r="G221" i="33"/>
  <c r="G222" i="33"/>
  <c r="G223" i="33"/>
  <c r="G224" i="33"/>
  <c r="G225" i="33"/>
  <c r="G226" i="33"/>
  <c r="G227" i="33"/>
  <c r="G228" i="33"/>
  <c r="G229" i="33"/>
  <c r="G230" i="33"/>
  <c r="G231" i="33"/>
  <c r="G232" i="33"/>
  <c r="G233" i="33"/>
  <c r="G234" i="33"/>
  <c r="G235" i="33"/>
  <c r="G236" i="33"/>
  <c r="G237" i="33"/>
  <c r="G238" i="33"/>
  <c r="G239" i="33"/>
  <c r="G240" i="33"/>
  <c r="G241" i="33"/>
  <c r="G242" i="33"/>
  <c r="G243" i="33"/>
  <c r="G244" i="33"/>
  <c r="G245" i="33"/>
  <c r="G246" i="33"/>
  <c r="G247" i="33"/>
  <c r="G248" i="33"/>
  <c r="G249" i="33"/>
  <c r="G250" i="33"/>
  <c r="G251" i="33"/>
  <c r="G252" i="33"/>
  <c r="G253" i="33"/>
  <c r="G254" i="33"/>
  <c r="G255" i="33"/>
  <c r="G256" i="33"/>
  <c r="G257" i="33"/>
  <c r="G258" i="33"/>
  <c r="G259" i="33"/>
  <c r="G260" i="33"/>
  <c r="G261" i="33"/>
  <c r="G262" i="33"/>
  <c r="G263" i="33"/>
  <c r="G264" i="33"/>
  <c r="G265" i="33"/>
  <c r="G266" i="33"/>
  <c r="G267" i="33"/>
  <c r="G268" i="33"/>
  <c r="G269" i="33"/>
  <c r="G270" i="33"/>
  <c r="G271" i="33"/>
  <c r="G272" i="33"/>
  <c r="G273" i="33"/>
  <c r="G274" i="33"/>
  <c r="G275" i="33"/>
  <c r="G276" i="33"/>
  <c r="G277" i="33"/>
  <c r="G278" i="33"/>
  <c r="G279" i="33"/>
  <c r="G280" i="33"/>
  <c r="G281" i="33"/>
  <c r="G282" i="33"/>
  <c r="G283" i="33"/>
  <c r="G284" i="33"/>
  <c r="G285" i="33"/>
  <c r="G286" i="33"/>
  <c r="G287" i="33"/>
  <c r="G288" i="33"/>
  <c r="G289" i="33"/>
  <c r="G290" i="33"/>
  <c r="G291" i="33"/>
  <c r="G292" i="33"/>
  <c r="G293" i="33"/>
  <c r="G294" i="33"/>
  <c r="G295" i="33"/>
  <c r="G296" i="33"/>
  <c r="G297" i="33"/>
  <c r="G298" i="33"/>
  <c r="G299" i="33"/>
  <c r="G300" i="33"/>
  <c r="G301" i="33"/>
  <c r="G302" i="33"/>
  <c r="G303" i="33"/>
  <c r="G304" i="33"/>
  <c r="G305" i="33"/>
  <c r="G306" i="33"/>
  <c r="G307" i="33"/>
  <c r="G308" i="33"/>
  <c r="G309" i="33"/>
  <c r="G310" i="33"/>
  <c r="G311" i="33"/>
  <c r="G312" i="33"/>
  <c r="G313" i="33"/>
  <c r="G314" i="33"/>
  <c r="G315" i="33"/>
  <c r="G316" i="33"/>
  <c r="G317" i="33"/>
  <c r="G318" i="33"/>
  <c r="G319" i="33"/>
  <c r="G320" i="33"/>
  <c r="G321" i="33"/>
  <c r="G322" i="33"/>
  <c r="G323" i="33"/>
  <c r="G324" i="33"/>
  <c r="G325" i="33"/>
  <c r="G326" i="33"/>
  <c r="G327" i="33"/>
  <c r="G328" i="33"/>
  <c r="G329" i="33"/>
  <c r="G330" i="33"/>
  <c r="G331" i="33"/>
  <c r="G332" i="33"/>
  <c r="G333" i="33"/>
  <c r="G334" i="33"/>
  <c r="G335" i="33"/>
  <c r="G336" i="33"/>
  <c r="G337" i="33"/>
  <c r="G338" i="33"/>
  <c r="G339" i="33"/>
  <c r="G340" i="33"/>
  <c r="G341" i="33"/>
  <c r="G342" i="33"/>
  <c r="G343" i="33"/>
  <c r="G344" i="33"/>
  <c r="G345" i="33"/>
  <c r="G346" i="33"/>
  <c r="G347" i="33"/>
  <c r="G348" i="33"/>
  <c r="G349" i="33"/>
  <c r="G350" i="33"/>
  <c r="G351" i="33"/>
  <c r="G352" i="33"/>
  <c r="G353" i="33"/>
  <c r="G354" i="33"/>
  <c r="G355" i="33"/>
  <c r="G356" i="33"/>
  <c r="G357" i="33"/>
  <c r="G358" i="33"/>
  <c r="G359" i="33"/>
  <c r="G360" i="33"/>
  <c r="G361" i="33"/>
  <c r="G362" i="33"/>
  <c r="G363" i="33"/>
  <c r="G364" i="33"/>
  <c r="G365" i="33"/>
  <c r="G366" i="33"/>
  <c r="G367" i="33"/>
  <c r="G368" i="33"/>
  <c r="G369" i="33"/>
  <c r="G370" i="33"/>
  <c r="G371" i="33"/>
  <c r="G372" i="33"/>
  <c r="G373" i="33"/>
  <c r="G374" i="33"/>
  <c r="G375" i="33"/>
  <c r="G376" i="33"/>
  <c r="G377" i="33"/>
  <c r="G378" i="33"/>
  <c r="G379" i="33"/>
  <c r="G380" i="33"/>
  <c r="G381" i="33"/>
  <c r="G382" i="33"/>
  <c r="G383" i="33"/>
  <c r="G384" i="33"/>
  <c r="G385" i="33"/>
  <c r="G386" i="33"/>
  <c r="G387" i="33"/>
  <c r="G388" i="33"/>
  <c r="G389" i="33"/>
  <c r="G390" i="33"/>
  <c r="G391" i="33"/>
  <c r="G392" i="33"/>
  <c r="G393" i="33"/>
  <c r="G394" i="33"/>
  <c r="G395" i="33"/>
  <c r="G396" i="33"/>
  <c r="G397" i="33"/>
  <c r="G398" i="33"/>
  <c r="G399" i="33"/>
  <c r="G400" i="33"/>
  <c r="G401" i="33"/>
  <c r="G402" i="33"/>
  <c r="G403" i="33"/>
  <c r="G404" i="33"/>
  <c r="G405" i="33"/>
  <c r="G406" i="33"/>
  <c r="G407" i="33"/>
  <c r="G408" i="33"/>
  <c r="G409" i="33"/>
  <c r="G410" i="33"/>
  <c r="G411" i="33"/>
  <c r="G412" i="33"/>
  <c r="G413" i="33"/>
  <c r="G414" i="33"/>
  <c r="G415" i="33"/>
  <c r="G416" i="33"/>
  <c r="G417" i="33"/>
  <c r="G418" i="33"/>
  <c r="G419" i="33"/>
  <c r="G420" i="33"/>
  <c r="G421" i="33"/>
  <c r="G422" i="33"/>
  <c r="G423" i="33"/>
  <c r="G424" i="33"/>
  <c r="G425" i="33"/>
  <c r="G426" i="33"/>
  <c r="G427" i="33"/>
  <c r="G428" i="33"/>
  <c r="G429" i="33"/>
  <c r="G430" i="33"/>
  <c r="G431" i="33"/>
  <c r="G432" i="33"/>
  <c r="G433" i="33"/>
  <c r="G434" i="33"/>
  <c r="G435" i="33"/>
  <c r="G436" i="33"/>
  <c r="G437" i="33"/>
  <c r="G438" i="33"/>
  <c r="G439" i="33"/>
  <c r="G440" i="33"/>
  <c r="G441" i="33"/>
  <c r="G442" i="33"/>
  <c r="G443" i="33"/>
  <c r="G444" i="33"/>
  <c r="G445" i="33"/>
  <c r="G446" i="33"/>
  <c r="G447" i="33"/>
  <c r="G448" i="33"/>
  <c r="G449" i="33"/>
  <c r="G450" i="33"/>
  <c r="G451" i="33"/>
  <c r="G452" i="33"/>
  <c r="G453" i="33"/>
  <c r="G454" i="33"/>
  <c r="G455" i="33"/>
  <c r="G456" i="33"/>
  <c r="G457" i="33"/>
  <c r="G458" i="33"/>
  <c r="G459" i="33"/>
  <c r="G460" i="33"/>
  <c r="G461" i="33"/>
  <c r="G462" i="33"/>
  <c r="G463" i="33"/>
  <c r="G464" i="33"/>
  <c r="G465" i="33"/>
  <c r="G466" i="33"/>
  <c r="G467" i="33"/>
  <c r="G468" i="33"/>
  <c r="G469" i="33"/>
  <c r="G470" i="33"/>
  <c r="G471" i="33"/>
  <c r="G472" i="33"/>
  <c r="G473" i="33"/>
  <c r="G474" i="33"/>
  <c r="G475" i="33"/>
  <c r="G476" i="33"/>
  <c r="G477" i="33"/>
  <c r="G478" i="33"/>
  <c r="G479" i="33"/>
  <c r="G480" i="33"/>
  <c r="G4" i="33" l="1"/>
  <c r="BR1" i="33"/>
  <c r="BT1" i="33"/>
  <c r="BU1" i="33"/>
  <c r="BW1" i="33"/>
  <c r="BX1" i="33"/>
  <c r="BZ1" i="33"/>
  <c r="CA1" i="33"/>
  <c r="CC1" i="33"/>
  <c r="CD1" i="33"/>
  <c r="CF1" i="33"/>
  <c r="CG1" i="33"/>
  <c r="CI1" i="33"/>
  <c r="CJ1" i="33"/>
  <c r="CL1" i="33"/>
  <c r="CM1" i="33"/>
  <c r="CO1" i="33"/>
  <c r="CP1" i="33"/>
  <c r="CR1" i="33"/>
  <c r="CS1" i="33"/>
  <c r="CU1" i="33"/>
  <c r="AR73" i="33" l="1"/>
  <c r="AO73" i="33"/>
  <c r="Q72" i="33"/>
  <c r="T73" i="33"/>
  <c r="W75" i="33"/>
  <c r="AC82" i="33"/>
  <c r="N83" i="33"/>
  <c r="N90" i="33"/>
  <c r="T91" i="33"/>
  <c r="W94" i="33"/>
  <c r="AI93" i="33"/>
  <c r="Z72" i="33"/>
  <c r="N100" i="33"/>
  <c r="K102" i="33"/>
  <c r="Z106" i="33"/>
  <c r="Z107" i="33"/>
  <c r="K72" i="33"/>
  <c r="Z83" i="33"/>
  <c r="Q93" i="33"/>
  <c r="AF104" i="33"/>
  <c r="N73" i="33"/>
  <c r="AO71" i="33"/>
  <c r="AC74" i="33"/>
  <c r="AF72" i="33"/>
  <c r="Z76" i="33"/>
  <c r="K77" i="33"/>
  <c r="K81" i="33"/>
  <c r="Q80" i="33"/>
  <c r="AC81" i="33"/>
  <c r="T84" i="33"/>
  <c r="AC83" i="33"/>
  <c r="K93" i="33"/>
  <c r="Q94" i="33"/>
  <c r="AI91" i="33"/>
  <c r="T96" i="33"/>
  <c r="Q95" i="33"/>
  <c r="N104" i="33"/>
  <c r="Q103" i="33"/>
  <c r="W107" i="33"/>
  <c r="AL72" i="33"/>
  <c r="AL71" i="33"/>
  <c r="K79" i="33"/>
  <c r="T92" i="33"/>
  <c r="K104" i="33"/>
  <c r="W80" i="33"/>
  <c r="W93" i="33"/>
  <c r="Q100" i="33"/>
  <c r="W71" i="33"/>
  <c r="T74" i="33"/>
  <c r="AU72" i="33"/>
  <c r="N82" i="33"/>
  <c r="AC79" i="33"/>
  <c r="Q85" i="33"/>
  <c r="Q86" i="33"/>
  <c r="K89" i="33"/>
  <c r="AI94" i="33"/>
  <c r="Z92" i="33"/>
  <c r="T93" i="33"/>
  <c r="K91" i="33"/>
  <c r="AO94" i="33"/>
  <c r="W96" i="33"/>
  <c r="T95" i="33"/>
  <c r="AC72" i="33"/>
  <c r="T100" i="33"/>
  <c r="Q102" i="33"/>
  <c r="W103" i="33"/>
  <c r="W73" i="33"/>
  <c r="AI74" i="33"/>
  <c r="Z81" i="33"/>
  <c r="AC85" i="33"/>
  <c r="W98" i="33"/>
  <c r="T86" i="33"/>
  <c r="AC95" i="33"/>
  <c r="AF71" i="33"/>
  <c r="AR74" i="33"/>
  <c r="T77" i="33"/>
  <c r="Q82" i="33"/>
  <c r="Z80" i="33"/>
  <c r="Q83" i="33"/>
  <c r="AF84" i="33"/>
  <c r="K88" i="33"/>
  <c r="K94" i="33"/>
  <c r="K92" i="33"/>
  <c r="N94" i="33"/>
  <c r="AI92" i="33"/>
  <c r="K97" i="33"/>
  <c r="W95" i="33"/>
  <c r="Q99" i="33"/>
  <c r="K100" i="33"/>
  <c r="N103" i="33"/>
  <c r="Q105" i="33"/>
  <c r="T106" i="33"/>
  <c r="K71" i="33"/>
  <c r="Q84" i="33"/>
  <c r="AF98" i="33"/>
  <c r="AX73" i="33"/>
  <c r="W97" i="33"/>
  <c r="N72" i="33"/>
  <c r="AU73" i="33"/>
  <c r="N79" i="33"/>
  <c r="W79" i="33"/>
  <c r="T85" i="33"/>
  <c r="K87" i="33"/>
  <c r="AR94" i="33"/>
  <c r="Z94" i="33"/>
  <c r="AL91" i="33"/>
  <c r="T94" i="33"/>
  <c r="K95" i="33"/>
  <c r="AC96" i="33"/>
  <c r="Z73" i="33"/>
  <c r="K99" i="33"/>
  <c r="T99" i="33"/>
  <c r="AC104" i="33"/>
  <c r="Q106" i="33"/>
  <c r="AI103" i="33"/>
  <c r="Z71" i="33"/>
  <c r="N80" i="33"/>
  <c r="N87" i="33"/>
  <c r="Q101" i="33"/>
  <c r="N74" i="33"/>
  <c r="AF93" i="33"/>
  <c r="T104" i="33"/>
  <c r="AR71" i="33"/>
  <c r="N76" i="33"/>
  <c r="Q79" i="33"/>
  <c r="T82" i="33"/>
  <c r="N81" i="33"/>
  <c r="W82" i="33"/>
  <c r="W85" i="33"/>
  <c r="Z85" i="33"/>
  <c r="N89" i="33"/>
  <c r="W91" i="33"/>
  <c r="AC93" i="33"/>
  <c r="AF91" i="33"/>
  <c r="N95" i="33"/>
  <c r="AC73" i="33"/>
  <c r="N101" i="33"/>
  <c r="Z103" i="33"/>
  <c r="W104" i="33"/>
  <c r="W72" i="33"/>
  <c r="N71" i="33"/>
  <c r="AR92" i="33"/>
  <c r="W84" i="33"/>
  <c r="Q73" i="33"/>
  <c r="K75" i="33"/>
  <c r="K76" i="33"/>
  <c r="T79" i="33"/>
  <c r="AC80" i="33"/>
  <c r="W81" i="33"/>
  <c r="T83" i="33"/>
  <c r="K90" i="33"/>
  <c r="Z93" i="33"/>
  <c r="AO92" i="33"/>
  <c r="Q91" i="33"/>
  <c r="Z91" i="33"/>
  <c r="K96" i="33"/>
  <c r="Z96" i="33"/>
  <c r="Z74" i="33"/>
  <c r="Z105" i="33"/>
  <c r="W105" i="33"/>
  <c r="N107" i="33"/>
  <c r="AR72" i="33"/>
  <c r="N98" i="33"/>
  <c r="T76" i="33"/>
  <c r="Q98" i="33"/>
  <c r="AI104" i="33"/>
  <c r="AU74" i="33"/>
  <c r="AL92" i="33"/>
  <c r="N88" i="33"/>
  <c r="Z82" i="33"/>
  <c r="K83" i="33"/>
  <c r="AO93" i="33"/>
  <c r="AC91" i="33"/>
  <c r="W92" i="33"/>
  <c r="N91" i="33"/>
  <c r="K98" i="33"/>
  <c r="AO74" i="33"/>
  <c r="T101" i="33"/>
  <c r="Z104" i="33"/>
  <c r="AC105" i="33"/>
  <c r="AL73" i="33"/>
  <c r="AC71" i="33"/>
  <c r="Q75" i="33"/>
  <c r="N85" i="33"/>
  <c r="AF74" i="33"/>
  <c r="Q76" i="33"/>
  <c r="Z75" i="33"/>
  <c r="K82" i="33"/>
  <c r="T80" i="33"/>
  <c r="N84" i="33"/>
  <c r="W83" i="33"/>
  <c r="AC84" i="33"/>
  <c r="N93" i="33"/>
  <c r="AC92" i="33"/>
  <c r="Q92" i="33"/>
  <c r="AF92" i="33"/>
  <c r="N96" i="33"/>
  <c r="AC98" i="33"/>
  <c r="AF73" i="33"/>
  <c r="N102" i="33"/>
  <c r="Q104" i="33"/>
  <c r="T107" i="33"/>
  <c r="Q74" i="33"/>
  <c r="Q71" i="33"/>
  <c r="W101" i="33"/>
  <c r="T72" i="33"/>
  <c r="W76" i="33"/>
  <c r="N77" i="33"/>
  <c r="Z79" i="33"/>
  <c r="K86" i="33"/>
  <c r="K85" i="33"/>
  <c r="N86" i="33"/>
  <c r="AF94" i="33"/>
  <c r="AO91" i="33"/>
  <c r="AC94" i="33"/>
  <c r="Q96" i="33"/>
  <c r="Z95" i="33"/>
  <c r="T105" i="33"/>
  <c r="T103" i="33"/>
  <c r="AF103" i="33"/>
  <c r="K73" i="33"/>
  <c r="AU71" i="33"/>
  <c r="AL93" i="33"/>
  <c r="Q81" i="33"/>
  <c r="N92" i="33"/>
  <c r="T102" i="33" l="1"/>
  <c r="AL74" i="33"/>
  <c r="T81" i="33"/>
  <c r="T71" i="33"/>
  <c r="T98" i="33"/>
  <c r="N75" i="33"/>
  <c r="N99" i="33"/>
  <c r="K84" i="33"/>
  <c r="AL94" i="33"/>
  <c r="AI73" i="33"/>
  <c r="Q107" i="33"/>
  <c r="T75" i="33"/>
  <c r="N106" i="33"/>
  <c r="K80" i="33"/>
  <c r="K101" i="33"/>
  <c r="W106" i="33"/>
  <c r="AI72" i="33"/>
  <c r="W86" i="33"/>
  <c r="Z84" i="33"/>
  <c r="T90" i="33"/>
  <c r="Q89" i="33"/>
  <c r="T87" i="33"/>
  <c r="T89" i="33"/>
  <c r="W70" i="33"/>
  <c r="W78" i="33"/>
  <c r="T88" i="33"/>
  <c r="Q87" i="33"/>
  <c r="AC44" i="33"/>
  <c r="Z98" i="33"/>
  <c r="K44" i="33"/>
  <c r="N97" i="33"/>
  <c r="Q70" i="33"/>
  <c r="Q78" i="33"/>
  <c r="N44" i="33"/>
  <c r="T97" i="33"/>
  <c r="Z44" i="33"/>
  <c r="Q97" i="33"/>
  <c r="T44" i="33"/>
  <c r="AF96" i="33"/>
  <c r="Q88" i="33"/>
  <c r="Q90" i="33"/>
  <c r="AL6" i="33"/>
  <c r="AC103" i="33"/>
  <c r="W69" i="33"/>
  <c r="W77" i="33"/>
  <c r="Z69" i="33"/>
  <c r="Z77" i="33"/>
  <c r="Z70" i="33"/>
  <c r="Z78" i="33"/>
  <c r="Q44" i="33"/>
  <c r="AC97" i="33"/>
  <c r="T70" i="33"/>
  <c r="T78" i="33"/>
  <c r="Q6" i="33"/>
  <c r="K103" i="33"/>
  <c r="K70" i="33"/>
  <c r="K78" i="33"/>
  <c r="K105" i="33"/>
  <c r="N105" i="33"/>
  <c r="W44" i="33"/>
  <c r="Z97" i="33"/>
  <c r="N70" i="33"/>
  <c r="N78" i="33"/>
  <c r="Q69" i="33"/>
  <c r="Q77" i="33"/>
  <c r="Z8" i="33"/>
  <c r="W74" i="33"/>
  <c r="AR22" i="33"/>
  <c r="AI71" i="33"/>
  <c r="N8" i="33"/>
  <c r="K74" i="33"/>
  <c r="AO8" i="33"/>
  <c r="AO72" i="33"/>
  <c r="N20" i="33"/>
  <c r="AF29" i="33"/>
  <c r="K26" i="33"/>
  <c r="W4" i="33"/>
  <c r="T26" i="33"/>
  <c r="Z23" i="33"/>
  <c r="AC23" i="33"/>
  <c r="AX15" i="33"/>
  <c r="T15" i="33"/>
  <c r="Q4" i="33"/>
  <c r="K9" i="33"/>
  <c r="AC15" i="33"/>
  <c r="AF22" i="33"/>
  <c r="T20" i="33"/>
  <c r="AO12" i="33"/>
  <c r="W27" i="33"/>
  <c r="N19" i="33"/>
  <c r="AC4" i="33"/>
  <c r="Q28" i="33"/>
  <c r="AI27" i="33"/>
  <c r="Z13" i="33"/>
  <c r="N4" i="33"/>
  <c r="K27" i="33"/>
  <c r="W22" i="33"/>
  <c r="AC19" i="33"/>
  <c r="T16" i="33"/>
  <c r="T14" i="33"/>
  <c r="AL5" i="33"/>
  <c r="AI19" i="33"/>
  <c r="Z22" i="33"/>
  <c r="N27" i="33"/>
  <c r="Q18" i="33"/>
  <c r="AU4" i="33"/>
  <c r="AX8" i="33"/>
  <c r="K28" i="33"/>
  <c r="Q24" i="33"/>
  <c r="W9" i="33"/>
  <c r="K14" i="33"/>
  <c r="AF26" i="33"/>
  <c r="AF24" i="33"/>
  <c r="K15" i="33"/>
  <c r="K13" i="33"/>
  <c r="Q15" i="33"/>
  <c r="AR4" i="33"/>
  <c r="W15" i="33"/>
  <c r="N30" i="33"/>
  <c r="Z15" i="33"/>
  <c r="K12" i="33"/>
  <c r="Q22" i="33"/>
  <c r="W29" i="33"/>
  <c r="Z7" i="33"/>
  <c r="Z14" i="33"/>
  <c r="N24" i="33"/>
  <c r="N29" i="33"/>
  <c r="AI6" i="33"/>
  <c r="Z12" i="33"/>
  <c r="Z16" i="33"/>
  <c r="AL8" i="33"/>
  <c r="AO26" i="33"/>
  <c r="N12" i="33"/>
  <c r="Q13" i="33"/>
  <c r="W21" i="33"/>
  <c r="W5" i="33"/>
  <c r="N21" i="33"/>
  <c r="W20" i="33"/>
  <c r="AI5" i="33"/>
  <c r="T5" i="33"/>
  <c r="AU29" i="33"/>
  <c r="T27" i="33"/>
  <c r="T28" i="33"/>
  <c r="AC12" i="33"/>
  <c r="N17" i="33"/>
  <c r="K20" i="33"/>
  <c r="Z29" i="33"/>
  <c r="T9" i="33"/>
  <c r="AI20" i="33"/>
  <c r="AL19" i="33"/>
  <c r="T7" i="33"/>
  <c r="AO5" i="33"/>
  <c r="Z26" i="33"/>
  <c r="N23" i="33"/>
  <c r="AU8" i="33"/>
  <c r="K6" i="33"/>
  <c r="N5" i="33"/>
  <c r="Q26" i="33"/>
  <c r="Z28" i="33"/>
  <c r="K24" i="33"/>
  <c r="Q21" i="33"/>
  <c r="AC22" i="33"/>
  <c r="AF20" i="33"/>
  <c r="AF12" i="33"/>
  <c r="AX29" i="33"/>
  <c r="AO22" i="33"/>
  <c r="T29" i="33"/>
  <c r="AC24" i="33"/>
  <c r="N28" i="33"/>
  <c r="AC13" i="33"/>
  <c r="T12" i="33"/>
  <c r="AI4" i="33"/>
  <c r="AF15" i="33"/>
  <c r="N22" i="33"/>
  <c r="AI29" i="33"/>
  <c r="K18" i="33"/>
  <c r="AF27" i="33"/>
  <c r="K23" i="33"/>
  <c r="W8" i="33"/>
  <c r="W30" i="33"/>
  <c r="W23" i="33"/>
  <c r="N6" i="33"/>
  <c r="AU15" i="33"/>
  <c r="Z17" i="33"/>
  <c r="Z19" i="33"/>
  <c r="AI8" i="33"/>
  <c r="W7" i="33"/>
  <c r="K5" i="33"/>
  <c r="T4" i="33"/>
  <c r="W14" i="33"/>
  <c r="K21" i="33"/>
  <c r="AI13" i="33"/>
  <c r="AL4" i="33"/>
  <c r="Q9" i="33"/>
  <c r="K22" i="33"/>
  <c r="AO4" i="33"/>
  <c r="Q7" i="33"/>
  <c r="N18" i="33"/>
  <c r="Q8" i="33"/>
  <c r="AO15" i="33"/>
  <c r="AI15" i="33"/>
  <c r="AC6" i="33"/>
  <c r="W19" i="33"/>
  <c r="N16" i="33"/>
  <c r="AF13" i="33"/>
  <c r="Q12" i="33"/>
  <c r="AL26" i="33"/>
  <c r="N14" i="33"/>
  <c r="Q10" i="33"/>
  <c r="AL22" i="33"/>
  <c r="T6" i="33"/>
  <c r="Q5" i="33"/>
  <c r="AL29" i="33"/>
  <c r="T17" i="33"/>
  <c r="AO29" i="33"/>
  <c r="K8" i="33"/>
  <c r="W13" i="33"/>
  <c r="T22" i="33"/>
  <c r="Q14" i="33"/>
  <c r="AF4" i="33"/>
  <c r="AI12" i="33"/>
  <c r="Z10" i="33"/>
  <c r="T8" i="33"/>
  <c r="K17" i="33"/>
  <c r="AF8" i="33"/>
  <c r="Q30" i="33"/>
  <c r="K19" i="33"/>
  <c r="T21" i="33"/>
  <c r="N15" i="33"/>
  <c r="AF10" i="33"/>
  <c r="AC29" i="33"/>
  <c r="T24" i="33"/>
  <c r="AI22" i="33"/>
  <c r="AF19" i="33"/>
  <c r="K30" i="33"/>
  <c r="W28" i="33"/>
  <c r="W6" i="33"/>
  <c r="AC5" i="33"/>
  <c r="W16" i="33"/>
  <c r="Q23" i="33"/>
  <c r="AR15" i="33"/>
  <c r="K10" i="33"/>
  <c r="AC8" i="33"/>
  <c r="N9" i="33"/>
  <c r="Q20" i="33"/>
  <c r="K4" i="33"/>
  <c r="Q19" i="33"/>
  <c r="W10" i="33"/>
  <c r="AR29" i="33"/>
  <c r="N10" i="33"/>
  <c r="N13" i="33"/>
  <c r="Z5" i="33"/>
  <c r="K16" i="33"/>
  <c r="T19" i="33"/>
  <c r="Q29" i="33"/>
  <c r="Z6" i="33"/>
  <c r="Q16" i="33"/>
  <c r="AL13" i="33"/>
  <c r="Q17" i="33"/>
  <c r="Z20" i="33"/>
  <c r="AL12" i="33"/>
  <c r="K7" i="33"/>
  <c r="AF5" i="33"/>
  <c r="AF6" i="33"/>
  <c r="N26" i="33"/>
  <c r="T23" i="33"/>
  <c r="Z4" i="33"/>
  <c r="AC27" i="33"/>
  <c r="W12" i="33"/>
  <c r="N7" i="33"/>
  <c r="AC20" i="33"/>
  <c r="AC10" i="33"/>
  <c r="Z9" i="33"/>
  <c r="W26" i="33"/>
  <c r="AR8" i="33"/>
  <c r="Z27" i="33"/>
  <c r="AL15" i="33"/>
  <c r="T30" i="33"/>
  <c r="Z21" i="33"/>
  <c r="CT1001" i="33"/>
  <c r="CT997" i="33"/>
  <c r="CQ1001" i="33"/>
  <c r="CQ997" i="33"/>
  <c r="CQ993" i="33"/>
  <c r="CQ989" i="33"/>
  <c r="CQ985" i="33"/>
  <c r="CQ981" i="33"/>
  <c r="CQ977" i="33"/>
  <c r="CQ973" i="33"/>
  <c r="CQ969" i="33"/>
  <c r="CQ965" i="33"/>
  <c r="CQ961" i="33"/>
  <c r="CQ957" i="33"/>
  <c r="CQ953" i="33"/>
  <c r="CQ949" i="33"/>
  <c r="CQ945" i="33"/>
  <c r="CQ941" i="33"/>
  <c r="CQ937" i="33"/>
  <c r="CQ933" i="33"/>
  <c r="CQ929" i="33"/>
  <c r="CQ925" i="33"/>
  <c r="CQ921" i="33"/>
  <c r="CQ917" i="33"/>
  <c r="CQ913" i="33"/>
  <c r="CQ909" i="33"/>
  <c r="CQ905" i="33"/>
  <c r="CQ901" i="33"/>
  <c r="CQ897" i="33"/>
  <c r="CQ893" i="33"/>
  <c r="CQ889" i="33"/>
  <c r="CQ885" i="33"/>
  <c r="CQ881" i="33"/>
  <c r="CQ877" i="33"/>
  <c r="CQ873" i="33"/>
  <c r="CQ869" i="33"/>
  <c r="CQ865" i="33"/>
  <c r="CQ861" i="33"/>
  <c r="CQ857" i="33"/>
  <c r="CQ853" i="33"/>
  <c r="CQ849" i="33"/>
  <c r="CQ845" i="33"/>
  <c r="CQ841" i="33"/>
  <c r="CQ837" i="33"/>
  <c r="CQ833" i="33"/>
  <c r="CQ829" i="33"/>
  <c r="CQ825" i="33"/>
  <c r="CQ821" i="33"/>
  <c r="CQ817" i="33"/>
  <c r="CQ813" i="33"/>
  <c r="CQ809" i="33"/>
  <c r="CQ805" i="33"/>
  <c r="CQ801" i="33"/>
  <c r="CQ797" i="33"/>
  <c r="CQ793" i="33"/>
  <c r="CQ789" i="33"/>
  <c r="CQ785" i="33"/>
  <c r="CQ781" i="33"/>
  <c r="CQ777" i="33"/>
  <c r="CQ773" i="33"/>
  <c r="CQ769" i="33"/>
  <c r="CQ765" i="33"/>
  <c r="CQ761" i="33"/>
  <c r="CQ757" i="33"/>
  <c r="CT1004" i="33"/>
  <c r="CT1000" i="33"/>
  <c r="CT996" i="33"/>
  <c r="CT992" i="33"/>
  <c r="CT988" i="33"/>
  <c r="CT984" i="33"/>
  <c r="CT980" i="33"/>
  <c r="CT976" i="33"/>
  <c r="CT972" i="33"/>
  <c r="CT968" i="33"/>
  <c r="CT964" i="33"/>
  <c r="CT960" i="33"/>
  <c r="CT956" i="33"/>
  <c r="CT952" i="33"/>
  <c r="CT948" i="33"/>
  <c r="CT944" i="33"/>
  <c r="CT940" i="33"/>
  <c r="CT936" i="33"/>
  <c r="CT932" i="33"/>
  <c r="CT928" i="33"/>
  <c r="CT924" i="33"/>
  <c r="CT920" i="33"/>
  <c r="CT916" i="33"/>
  <c r="CT912" i="33"/>
  <c r="CT908" i="33"/>
  <c r="CT904" i="33"/>
  <c r="CT900" i="33"/>
  <c r="CT896" i="33"/>
  <c r="CT892" i="33"/>
  <c r="CT888" i="33"/>
  <c r="CT884" i="33"/>
  <c r="CT880" i="33"/>
  <c r="CT876" i="33"/>
  <c r="CT872" i="33"/>
  <c r="CT868" i="33"/>
  <c r="CT864" i="33"/>
  <c r="CT860" i="33"/>
  <c r="CT856" i="33"/>
  <c r="CT852" i="33"/>
  <c r="CT848" i="33"/>
  <c r="CT844" i="33"/>
  <c r="CT840" i="33"/>
  <c r="CT836" i="33"/>
  <c r="CT832" i="33"/>
  <c r="CT828" i="33"/>
  <c r="CT824" i="33"/>
  <c r="CT820" i="33"/>
  <c r="CT816" i="33"/>
  <c r="CT812" i="33"/>
  <c r="CT808" i="33"/>
  <c r="CT804" i="33"/>
  <c r="CT800" i="33"/>
  <c r="CT796" i="33"/>
  <c r="CT792" i="33"/>
  <c r="CT788" i="33"/>
  <c r="CT784" i="33"/>
  <c r="CT780" i="33"/>
  <c r="CT776" i="33"/>
  <c r="CT772" i="33"/>
  <c r="CT768" i="33"/>
  <c r="CT764" i="33"/>
  <c r="CT760" i="33"/>
  <c r="CT756" i="33"/>
  <c r="CT752" i="33"/>
  <c r="CT748" i="33"/>
  <c r="CT744" i="33"/>
  <c r="CT740" i="33"/>
  <c r="CT736" i="33"/>
  <c r="CT732" i="33"/>
  <c r="CT728" i="33"/>
  <c r="CT724" i="33"/>
  <c r="CT720" i="33"/>
  <c r="CT716" i="33"/>
  <c r="CT712" i="33"/>
  <c r="CT708" i="33"/>
  <c r="CT704" i="33"/>
  <c r="CT700" i="33"/>
  <c r="CT696" i="33"/>
  <c r="CT692" i="33"/>
  <c r="CT688" i="33"/>
  <c r="CT684" i="33"/>
  <c r="CT680" i="33"/>
  <c r="CT676" i="33"/>
  <c r="CT672" i="33"/>
  <c r="CT668" i="33"/>
  <c r="CQ1004" i="33"/>
  <c r="CQ1000" i="33"/>
  <c r="CQ996" i="33"/>
  <c r="CQ992" i="33"/>
  <c r="CQ988" i="33"/>
  <c r="CQ984" i="33"/>
  <c r="CQ980" i="33"/>
  <c r="CQ976" i="33"/>
  <c r="CQ972" i="33"/>
  <c r="CT1002" i="33"/>
  <c r="CT998" i="33"/>
  <c r="CT994" i="33"/>
  <c r="CT990" i="33"/>
  <c r="CT986" i="33"/>
  <c r="CT982" i="33"/>
  <c r="CT978" i="33"/>
  <c r="CT974" i="33"/>
  <c r="CT970" i="33"/>
  <c r="CT966" i="33"/>
  <c r="CT962" i="33"/>
  <c r="CT958" i="33"/>
  <c r="CT954" i="33"/>
  <c r="CT950" i="33"/>
  <c r="CT946" i="33"/>
  <c r="CT942" i="33"/>
  <c r="CT938" i="33"/>
  <c r="CT934" i="33"/>
  <c r="CT930" i="33"/>
  <c r="CT926" i="33"/>
  <c r="CT922" i="33"/>
  <c r="CT918" i="33"/>
  <c r="CT914" i="33"/>
  <c r="CT910" i="33"/>
  <c r="CT906" i="33"/>
  <c r="CT902" i="33"/>
  <c r="CT898" i="33"/>
  <c r="CT894" i="33"/>
  <c r="CT890" i="33"/>
  <c r="CT886" i="33"/>
  <c r="CT882" i="33"/>
  <c r="CT878" i="33"/>
  <c r="CT874" i="33"/>
  <c r="CT870" i="33"/>
  <c r="CT866" i="33"/>
  <c r="CT862" i="33"/>
  <c r="CT858" i="33"/>
  <c r="CT854" i="33"/>
  <c r="CT850" i="33"/>
  <c r="CT846" i="33"/>
  <c r="CT842" i="33"/>
  <c r="CT838" i="33"/>
  <c r="CT834" i="33"/>
  <c r="CT830" i="33"/>
  <c r="CT826" i="33"/>
  <c r="CT822" i="33"/>
  <c r="CT818" i="33"/>
  <c r="CT814" i="33"/>
  <c r="CT810" i="33"/>
  <c r="CT806" i="33"/>
  <c r="CT802" i="33"/>
  <c r="CT798" i="33"/>
  <c r="CT794" i="33"/>
  <c r="CT790" i="33"/>
  <c r="CT786" i="33"/>
  <c r="CT782" i="33"/>
  <c r="CT778" i="33"/>
  <c r="CT774" i="33"/>
  <c r="CT770" i="33"/>
  <c r="CT766" i="33"/>
  <c r="CT762" i="33"/>
  <c r="CT758" i="33"/>
  <c r="CT754" i="33"/>
  <c r="CT750" i="33"/>
  <c r="CT746" i="33"/>
  <c r="CT742" i="33"/>
  <c r="CT738" i="33"/>
  <c r="CT734" i="33"/>
  <c r="CT730" i="33"/>
  <c r="CT726" i="33"/>
  <c r="CT722" i="33"/>
  <c r="CT718" i="33"/>
  <c r="CT714" i="33"/>
  <c r="CT710" i="33"/>
  <c r="CT706" i="33"/>
  <c r="CT702" i="33"/>
  <c r="CT698" i="33"/>
  <c r="CT694" i="33"/>
  <c r="CT690" i="33"/>
  <c r="CT686" i="33"/>
  <c r="CT682" i="33"/>
  <c r="CT678" i="33"/>
  <c r="CT674" i="33"/>
  <c r="CT670" i="33"/>
  <c r="CT666" i="33"/>
  <c r="CQ998" i="33"/>
  <c r="CT989" i="33"/>
  <c r="CT981" i="33"/>
  <c r="CT973" i="33"/>
  <c r="CQ966" i="33"/>
  <c r="CT959" i="33"/>
  <c r="CT953" i="33"/>
  <c r="CQ947" i="33"/>
  <c r="CQ940" i="33"/>
  <c r="CQ934" i="33"/>
  <c r="CT927" i="33"/>
  <c r="CT921" i="33"/>
  <c r="CQ915" i="33"/>
  <c r="CQ908" i="33"/>
  <c r="CQ902" i="33"/>
  <c r="CT895" i="33"/>
  <c r="CT889" i="33"/>
  <c r="CQ883" i="33"/>
  <c r="CQ876" i="33"/>
  <c r="CQ870" i="33"/>
  <c r="CT863" i="33"/>
  <c r="CT857" i="33"/>
  <c r="CQ851" i="33"/>
  <c r="CQ844" i="33"/>
  <c r="CQ838" i="33"/>
  <c r="CT831" i="33"/>
  <c r="CT825" i="33"/>
  <c r="CQ819" i="33"/>
  <c r="CQ812" i="33"/>
  <c r="CQ806" i="33"/>
  <c r="CT799" i="33"/>
  <c r="CT793" i="33"/>
  <c r="CQ787" i="33"/>
  <c r="CQ780" i="33"/>
  <c r="CQ774" i="33"/>
  <c r="CT767" i="33"/>
  <c r="CT761" i="33"/>
  <c r="CQ755" i="33"/>
  <c r="CT749" i="33"/>
  <c r="CQ744" i="33"/>
  <c r="CQ739" i="33"/>
  <c r="CT733" i="33"/>
  <c r="CQ728" i="33"/>
  <c r="CQ723" i="33"/>
  <c r="CT717" i="33"/>
  <c r="CQ712" i="33"/>
  <c r="CQ707" i="33"/>
  <c r="CT995" i="33"/>
  <c r="CT987" i="33"/>
  <c r="CT979" i="33"/>
  <c r="CT971" i="33"/>
  <c r="CT965" i="33"/>
  <c r="CQ959" i="33"/>
  <c r="CQ952" i="33"/>
  <c r="CQ946" i="33"/>
  <c r="CT939" i="33"/>
  <c r="CT933" i="33"/>
  <c r="CQ927" i="33"/>
  <c r="CQ920" i="33"/>
  <c r="CQ914" i="33"/>
  <c r="CT907" i="33"/>
  <c r="CT901" i="33"/>
  <c r="CQ895" i="33"/>
  <c r="CQ888" i="33"/>
  <c r="CQ882" i="33"/>
  <c r="CT875" i="33"/>
  <c r="CT869" i="33"/>
  <c r="CQ863" i="33"/>
  <c r="CQ856" i="33"/>
  <c r="CQ850" i="33"/>
  <c r="CT843" i="33"/>
  <c r="CT837" i="33"/>
  <c r="CQ831" i="33"/>
  <c r="CQ824" i="33"/>
  <c r="CQ818" i="33"/>
  <c r="CT811" i="33"/>
  <c r="CT805" i="33"/>
  <c r="CQ799" i="33"/>
  <c r="CQ995" i="33"/>
  <c r="CQ987" i="33"/>
  <c r="CQ979" i="33"/>
  <c r="CQ971" i="33"/>
  <c r="CQ964" i="33"/>
  <c r="CQ958" i="33"/>
  <c r="CT951" i="33"/>
  <c r="CT945" i="33"/>
  <c r="CQ939" i="33"/>
  <c r="CQ932" i="33"/>
  <c r="CQ926" i="33"/>
  <c r="CT919" i="33"/>
  <c r="CT913" i="33"/>
  <c r="CQ907" i="33"/>
  <c r="CQ900" i="33"/>
  <c r="CQ894" i="33"/>
  <c r="CT887" i="33"/>
  <c r="CT881" i="33"/>
  <c r="CQ875" i="33"/>
  <c r="CQ868" i="33"/>
  <c r="CQ862" i="33"/>
  <c r="CT855" i="33"/>
  <c r="CT849" i="33"/>
  <c r="CQ843" i="33"/>
  <c r="CQ836" i="33"/>
  <c r="CQ830" i="33"/>
  <c r="CT823" i="33"/>
  <c r="CT817" i="33"/>
  <c r="CQ811" i="33"/>
  <c r="CQ804" i="33"/>
  <c r="CQ798" i="33"/>
  <c r="CT1003" i="33"/>
  <c r="CQ994" i="33"/>
  <c r="CQ986" i="33"/>
  <c r="CQ978" i="33"/>
  <c r="CQ970" i="33"/>
  <c r="CT963" i="33"/>
  <c r="CT957" i="33"/>
  <c r="CQ951" i="33"/>
  <c r="CQ944" i="33"/>
  <c r="CQ938" i="33"/>
  <c r="CT931" i="33"/>
  <c r="CT925" i="33"/>
  <c r="CQ919" i="33"/>
  <c r="CQ912" i="33"/>
  <c r="CQ906" i="33"/>
  <c r="CT899" i="33"/>
  <c r="CT893" i="33"/>
  <c r="CQ887" i="33"/>
  <c r="CQ880" i="33"/>
  <c r="CQ874" i="33"/>
  <c r="CT867" i="33"/>
  <c r="CT861" i="33"/>
  <c r="CQ855" i="33"/>
  <c r="CQ848" i="33"/>
  <c r="CQ842" i="33"/>
  <c r="CT835" i="33"/>
  <c r="CT829" i="33"/>
  <c r="CQ823" i="33"/>
  <c r="CQ816" i="33"/>
  <c r="CQ810" i="33"/>
  <c r="CT803" i="33"/>
  <c r="CT797" i="33"/>
  <c r="CQ791" i="33"/>
  <c r="CQ784" i="33"/>
  <c r="CQ778" i="33"/>
  <c r="CT771" i="33"/>
  <c r="CT765" i="33"/>
  <c r="CQ759" i="33"/>
  <c r="CQ753" i="33"/>
  <c r="CT747" i="33"/>
  <c r="CQ742" i="33"/>
  <c r="CQ737" i="33"/>
  <c r="CT731" i="33"/>
  <c r="CQ726" i="33"/>
  <c r="CQ721" i="33"/>
  <c r="CT715" i="33"/>
  <c r="CQ710" i="33"/>
  <c r="CQ705" i="33"/>
  <c r="CT699" i="33"/>
  <c r="CQ694" i="33"/>
  <c r="CQ689" i="33"/>
  <c r="CT683" i="33"/>
  <c r="CQ678" i="33"/>
  <c r="CQ673" i="33"/>
  <c r="CT667" i="33"/>
  <c r="CQ663" i="33"/>
  <c r="CQ659" i="33"/>
  <c r="CQ655" i="33"/>
  <c r="CQ651" i="33"/>
  <c r="CQ647" i="33"/>
  <c r="CQ643" i="33"/>
  <c r="CQ639" i="33"/>
  <c r="CQ635" i="33"/>
  <c r="CQ631" i="33"/>
  <c r="CQ627" i="33"/>
  <c r="CQ623" i="33"/>
  <c r="CQ619" i="33"/>
  <c r="CQ615" i="33"/>
  <c r="CQ611" i="33"/>
  <c r="CQ607" i="33"/>
  <c r="CQ603" i="33"/>
  <c r="CQ599" i="33"/>
  <c r="CQ595" i="33"/>
  <c r="CQ591" i="33"/>
  <c r="CQ587" i="33"/>
  <c r="CQ583" i="33"/>
  <c r="CQ579" i="33"/>
  <c r="CQ575" i="33"/>
  <c r="CQ571" i="33"/>
  <c r="CQ567" i="33"/>
  <c r="CQ563" i="33"/>
  <c r="CQ559" i="33"/>
  <c r="CQ555" i="33"/>
  <c r="CQ551" i="33"/>
  <c r="CQ547" i="33"/>
  <c r="CQ543" i="33"/>
  <c r="CQ1003" i="33"/>
  <c r="CT993" i="33"/>
  <c r="CT985" i="33"/>
  <c r="CT977" i="33"/>
  <c r="CT969" i="33"/>
  <c r="CQ963" i="33"/>
  <c r="CQ956" i="33"/>
  <c r="CQ950" i="33"/>
  <c r="CT943" i="33"/>
  <c r="CT937" i="33"/>
  <c r="CQ931" i="33"/>
  <c r="CQ924" i="33"/>
  <c r="CQ918" i="33"/>
  <c r="CT911" i="33"/>
  <c r="CT905" i="33"/>
  <c r="CQ899" i="33"/>
  <c r="CQ892" i="33"/>
  <c r="CQ886" i="33"/>
  <c r="CT879" i="33"/>
  <c r="CT873" i="33"/>
  <c r="CQ867" i="33"/>
  <c r="CQ860" i="33"/>
  <c r="CQ854" i="33"/>
  <c r="CT847" i="33"/>
  <c r="CT841" i="33"/>
  <c r="CQ835" i="33"/>
  <c r="CQ828" i="33"/>
  <c r="CQ822" i="33"/>
  <c r="CT815" i="33"/>
  <c r="CT809" i="33"/>
  <c r="CQ803" i="33"/>
  <c r="CQ796" i="33"/>
  <c r="CQ790" i="33"/>
  <c r="CT783" i="33"/>
  <c r="CT777" i="33"/>
  <c r="CQ771" i="33"/>
  <c r="CQ764" i="33"/>
  <c r="CQ758" i="33"/>
  <c r="CQ752" i="33"/>
  <c r="CQ747" i="33"/>
  <c r="CT741" i="33"/>
  <c r="CQ736" i="33"/>
  <c r="CQ731" i="33"/>
  <c r="CT725" i="33"/>
  <c r="CQ720" i="33"/>
  <c r="CQ715" i="33"/>
  <c r="CT709" i="33"/>
  <c r="CQ999" i="33"/>
  <c r="CQ990" i="33"/>
  <c r="CQ982" i="33"/>
  <c r="CQ974" i="33"/>
  <c r="CQ967" i="33"/>
  <c r="CQ960" i="33"/>
  <c r="CQ954" i="33"/>
  <c r="CT947" i="33"/>
  <c r="CT941" i="33"/>
  <c r="CQ935" i="33"/>
  <c r="CQ928" i="33"/>
  <c r="CQ922" i="33"/>
  <c r="CT915" i="33"/>
  <c r="CT909" i="33"/>
  <c r="CQ903" i="33"/>
  <c r="CQ896" i="33"/>
  <c r="CQ890" i="33"/>
  <c r="CT883" i="33"/>
  <c r="CT877" i="33"/>
  <c r="CQ871" i="33"/>
  <c r="CQ864" i="33"/>
  <c r="CQ858" i="33"/>
  <c r="CT851" i="33"/>
  <c r="CT845" i="33"/>
  <c r="CQ839" i="33"/>
  <c r="CQ832" i="33"/>
  <c r="CQ826" i="33"/>
  <c r="CT819" i="33"/>
  <c r="CT813" i="33"/>
  <c r="CQ807" i="33"/>
  <c r="CQ800" i="33"/>
  <c r="CQ794" i="33"/>
  <c r="CT787" i="33"/>
  <c r="CT781" i="33"/>
  <c r="CQ775" i="33"/>
  <c r="CQ768" i="33"/>
  <c r="CQ762" i="33"/>
  <c r="CT755" i="33"/>
  <c r="CQ750" i="33"/>
  <c r="CQ745" i="33"/>
  <c r="CT739" i="33"/>
  <c r="CQ734" i="33"/>
  <c r="CQ729" i="33"/>
  <c r="CT723" i="33"/>
  <c r="CQ718" i="33"/>
  <c r="CQ713" i="33"/>
  <c r="CT707" i="33"/>
  <c r="CQ702" i="33"/>
  <c r="CQ697" i="33"/>
  <c r="CT691" i="33"/>
  <c r="CQ686" i="33"/>
  <c r="CQ681" i="33"/>
  <c r="CT675" i="33"/>
  <c r="CQ670" i="33"/>
  <c r="CQ665" i="33"/>
  <c r="CQ661" i="33"/>
  <c r="CQ657" i="33"/>
  <c r="CQ653" i="33"/>
  <c r="CQ649" i="33"/>
  <c r="CQ645" i="33"/>
  <c r="CQ641" i="33"/>
  <c r="CQ637" i="33"/>
  <c r="CQ633" i="33"/>
  <c r="CQ629" i="33"/>
  <c r="CQ625" i="33"/>
  <c r="CQ621" i="33"/>
  <c r="CQ617" i="33"/>
  <c r="CQ613" i="33"/>
  <c r="CQ609" i="33"/>
  <c r="CQ605" i="33"/>
  <c r="CQ601" i="33"/>
  <c r="CQ597" i="33"/>
  <c r="CQ593" i="33"/>
  <c r="CQ589" i="33"/>
  <c r="CQ585" i="33"/>
  <c r="CQ581" i="33"/>
  <c r="CQ577" i="33"/>
  <c r="CQ573" i="33"/>
  <c r="CQ569" i="33"/>
  <c r="CQ565" i="33"/>
  <c r="CQ561" i="33"/>
  <c r="CQ557" i="33"/>
  <c r="CQ553" i="33"/>
  <c r="CQ549" i="33"/>
  <c r="CQ545" i="33"/>
  <c r="CQ983" i="33"/>
  <c r="CQ955" i="33"/>
  <c r="CT929" i="33"/>
  <c r="CT903" i="33"/>
  <c r="CQ878" i="33"/>
  <c r="CQ852" i="33"/>
  <c r="CQ827" i="33"/>
  <c r="CT801" i="33"/>
  <c r="CT785" i="33"/>
  <c r="CQ772" i="33"/>
  <c r="CT759" i="33"/>
  <c r="CQ748" i="33"/>
  <c r="CT737" i="33"/>
  <c r="CQ727" i="33"/>
  <c r="CQ716" i="33"/>
  <c r="CT705" i="33"/>
  <c r="CQ698" i="33"/>
  <c r="CQ691" i="33"/>
  <c r="CQ684" i="33"/>
  <c r="CQ677" i="33"/>
  <c r="CT669" i="33"/>
  <c r="CT663" i="33"/>
  <c r="CQ658" i="33"/>
  <c r="CT652" i="33"/>
  <c r="CT647" i="33"/>
  <c r="CQ642" i="33"/>
  <c r="CT636" i="33"/>
  <c r="CT631" i="33"/>
  <c r="CQ626" i="33"/>
  <c r="CT620" i="33"/>
  <c r="CT615" i="33"/>
  <c r="CQ610" i="33"/>
  <c r="CT604" i="33"/>
  <c r="CT599" i="33"/>
  <c r="CQ594" i="33"/>
  <c r="CT588" i="33"/>
  <c r="CT583" i="33"/>
  <c r="CQ578" i="33"/>
  <c r="CT572" i="33"/>
  <c r="CT567" i="33"/>
  <c r="CQ562" i="33"/>
  <c r="CT556" i="33"/>
  <c r="CT551" i="33"/>
  <c r="CQ546" i="33"/>
  <c r="CQ541" i="33"/>
  <c r="CQ537" i="33"/>
  <c r="CQ533" i="33"/>
  <c r="CQ529" i="33"/>
  <c r="CQ525" i="33"/>
  <c r="CQ521" i="33"/>
  <c r="CQ517" i="33"/>
  <c r="CQ513" i="33"/>
  <c r="CQ509" i="33"/>
  <c r="CQ505" i="33"/>
  <c r="CQ501" i="33"/>
  <c r="CQ497" i="33"/>
  <c r="CQ493" i="33"/>
  <c r="CQ489" i="33"/>
  <c r="CQ485" i="33"/>
  <c r="CQ481" i="33"/>
  <c r="CQ477" i="33"/>
  <c r="CQ473" i="33"/>
  <c r="CQ469" i="33"/>
  <c r="CQ465" i="33"/>
  <c r="CQ461" i="33"/>
  <c r="CQ457" i="33"/>
  <c r="CQ453" i="33"/>
  <c r="CQ449" i="33"/>
  <c r="CQ445" i="33"/>
  <c r="CQ441" i="33"/>
  <c r="CQ437" i="33"/>
  <c r="CQ433" i="33"/>
  <c r="CQ429" i="33"/>
  <c r="CQ425" i="33"/>
  <c r="CQ421" i="33"/>
  <c r="CQ417" i="33"/>
  <c r="CQ413" i="33"/>
  <c r="CQ409" i="33"/>
  <c r="CQ405" i="33"/>
  <c r="CQ401" i="33"/>
  <c r="CQ397" i="33"/>
  <c r="CQ393" i="33"/>
  <c r="CQ389" i="33"/>
  <c r="CQ385" i="33"/>
  <c r="CQ381" i="33"/>
  <c r="CT975" i="33"/>
  <c r="CT949" i="33"/>
  <c r="CT923" i="33"/>
  <c r="CQ898" i="33"/>
  <c r="CQ872" i="33"/>
  <c r="CQ847" i="33"/>
  <c r="CT821" i="33"/>
  <c r="CT795" i="33"/>
  <c r="CQ783" i="33"/>
  <c r="CQ770" i="33"/>
  <c r="CT757" i="33"/>
  <c r="CQ746" i="33"/>
  <c r="CT735" i="33"/>
  <c r="CQ725" i="33"/>
  <c r="CQ714" i="33"/>
  <c r="CQ704" i="33"/>
  <c r="CT697" i="33"/>
  <c r="CQ690" i="33"/>
  <c r="CQ683" i="33"/>
  <c r="CQ676" i="33"/>
  <c r="CQ669" i="33"/>
  <c r="CT662" i="33"/>
  <c r="CT657" i="33"/>
  <c r="CQ652" i="33"/>
  <c r="CT646" i="33"/>
  <c r="CT641" i="33"/>
  <c r="CQ636" i="33"/>
  <c r="CT630" i="33"/>
  <c r="CT625" i="33"/>
  <c r="CQ620" i="33"/>
  <c r="CT614" i="33"/>
  <c r="CT609" i="33"/>
  <c r="CQ604" i="33"/>
  <c r="CT598" i="33"/>
  <c r="CT593" i="33"/>
  <c r="CQ588" i="33"/>
  <c r="CT582" i="33"/>
  <c r="CT577" i="33"/>
  <c r="CQ572" i="33"/>
  <c r="CT566" i="33"/>
  <c r="CT561" i="33"/>
  <c r="CQ556" i="33"/>
  <c r="CT550" i="33"/>
  <c r="CT545" i="33"/>
  <c r="CT540" i="33"/>
  <c r="CT536" i="33"/>
  <c r="CT532" i="33"/>
  <c r="CT528" i="33"/>
  <c r="CT524" i="33"/>
  <c r="CT520" i="33"/>
  <c r="CT516" i="33"/>
  <c r="CT512" i="33"/>
  <c r="CT508" i="33"/>
  <c r="CT504" i="33"/>
  <c r="CT500" i="33"/>
  <c r="CT496" i="33"/>
  <c r="CT492" i="33"/>
  <c r="CT488" i="33"/>
  <c r="CT484" i="33"/>
  <c r="CT480" i="33"/>
  <c r="CT476" i="33"/>
  <c r="CT472" i="33"/>
  <c r="CT468" i="33"/>
  <c r="CT464" i="33"/>
  <c r="CT460" i="33"/>
  <c r="CT456" i="33"/>
  <c r="CT452" i="33"/>
  <c r="CT448" i="33"/>
  <c r="CQ975" i="33"/>
  <c r="CQ948" i="33"/>
  <c r="CQ923" i="33"/>
  <c r="CT897" i="33"/>
  <c r="CT871" i="33"/>
  <c r="CQ846" i="33"/>
  <c r="CQ820" i="33"/>
  <c r="CQ795" i="33"/>
  <c r="CQ782" i="33"/>
  <c r="CT769" i="33"/>
  <c r="CQ756" i="33"/>
  <c r="CT745" i="33"/>
  <c r="CQ735" i="33"/>
  <c r="CQ724" i="33"/>
  <c r="CT713" i="33"/>
  <c r="CT703" i="33"/>
  <c r="CQ696" i="33"/>
  <c r="CT689" i="33"/>
  <c r="CQ682" i="33"/>
  <c r="CQ675" i="33"/>
  <c r="CQ668" i="33"/>
  <c r="CQ662" i="33"/>
  <c r="CT656" i="33"/>
  <c r="CT651" i="33"/>
  <c r="CQ646" i="33"/>
  <c r="CT640" i="33"/>
  <c r="CT635" i="33"/>
  <c r="CQ630" i="33"/>
  <c r="CT624" i="33"/>
  <c r="CT619" i="33"/>
  <c r="CQ614" i="33"/>
  <c r="CT608" i="33"/>
  <c r="CT603" i="33"/>
  <c r="CQ598" i="33"/>
  <c r="CT592" i="33"/>
  <c r="CT587" i="33"/>
  <c r="CQ582" i="33"/>
  <c r="CT576" i="33"/>
  <c r="CT571" i="33"/>
  <c r="CQ566" i="33"/>
  <c r="CT560" i="33"/>
  <c r="CT555" i="33"/>
  <c r="CQ550" i="33"/>
  <c r="CT544" i="33"/>
  <c r="CQ540" i="33"/>
  <c r="CQ536" i="33"/>
  <c r="CQ532" i="33"/>
  <c r="CQ528" i="33"/>
  <c r="CQ524" i="33"/>
  <c r="CQ520" i="33"/>
  <c r="CQ516" i="33"/>
  <c r="CQ512" i="33"/>
  <c r="CQ508" i="33"/>
  <c r="CQ504" i="33"/>
  <c r="CQ500" i="33"/>
  <c r="CQ496" i="33"/>
  <c r="CQ492" i="33"/>
  <c r="CQ488" i="33"/>
  <c r="CQ484" i="33"/>
  <c r="CQ480" i="33"/>
  <c r="CQ476" i="33"/>
  <c r="CQ472" i="33"/>
  <c r="CQ468" i="33"/>
  <c r="CQ464" i="33"/>
  <c r="CQ460" i="33"/>
  <c r="CQ456" i="33"/>
  <c r="CQ452" i="33"/>
  <c r="CQ448" i="33"/>
  <c r="CQ1002" i="33"/>
  <c r="CQ968" i="33"/>
  <c r="CQ943" i="33"/>
  <c r="CT917" i="33"/>
  <c r="CT891" i="33"/>
  <c r="CQ866" i="33"/>
  <c r="CQ840" i="33"/>
  <c r="CQ815" i="33"/>
  <c r="CQ792" i="33"/>
  <c r="CT779" i="33"/>
  <c r="CQ767" i="33"/>
  <c r="CQ754" i="33"/>
  <c r="CT743" i="33"/>
  <c r="CQ733" i="33"/>
  <c r="CQ722" i="33"/>
  <c r="CT711" i="33"/>
  <c r="CQ703" i="33"/>
  <c r="CT695" i="33"/>
  <c r="CQ688" i="33"/>
  <c r="CT681" i="33"/>
  <c r="CQ674" i="33"/>
  <c r="CQ667" i="33"/>
  <c r="CT661" i="33"/>
  <c r="CQ656" i="33"/>
  <c r="CT650" i="33"/>
  <c r="CT645" i="33"/>
  <c r="CQ640" i="33"/>
  <c r="CT634" i="33"/>
  <c r="CT629" i="33"/>
  <c r="CQ624" i="33"/>
  <c r="CT618" i="33"/>
  <c r="CT613" i="33"/>
  <c r="CQ608" i="33"/>
  <c r="CT602" i="33"/>
  <c r="CT597" i="33"/>
  <c r="CQ592" i="33"/>
  <c r="CT586" i="33"/>
  <c r="CT581" i="33"/>
  <c r="CQ576" i="33"/>
  <c r="CT570" i="33"/>
  <c r="CT565" i="33"/>
  <c r="CQ560" i="33"/>
  <c r="CT554" i="33"/>
  <c r="CT549" i="33"/>
  <c r="CQ544" i="33"/>
  <c r="CT539" i="33"/>
  <c r="CT535" i="33"/>
  <c r="CT531" i="33"/>
  <c r="CT527" i="33"/>
  <c r="CT523" i="33"/>
  <c r="CT519" i="33"/>
  <c r="CT515" i="33"/>
  <c r="CT511" i="33"/>
  <c r="CT507" i="33"/>
  <c r="CT503" i="33"/>
  <c r="CT499" i="33"/>
  <c r="CT495" i="33"/>
  <c r="CT491" i="33"/>
  <c r="CT487" i="33"/>
  <c r="CT483" i="33"/>
  <c r="CT479" i="33"/>
  <c r="CT475" i="33"/>
  <c r="CT471" i="33"/>
  <c r="CT467" i="33"/>
  <c r="CT463" i="33"/>
  <c r="CT459" i="33"/>
  <c r="CT455" i="33"/>
  <c r="CT451" i="33"/>
  <c r="CT447" i="33"/>
  <c r="CT443" i="33"/>
  <c r="CT439" i="33"/>
  <c r="CT435" i="33"/>
  <c r="CT431" i="33"/>
  <c r="CT427" i="33"/>
  <c r="CT423" i="33"/>
  <c r="CT419" i="33"/>
  <c r="CT415" i="33"/>
  <c r="CT411" i="33"/>
  <c r="CT407" i="33"/>
  <c r="CT403" i="33"/>
  <c r="CT399" i="33"/>
  <c r="CT395" i="33"/>
  <c r="CT391" i="33"/>
  <c r="CT387" i="33"/>
  <c r="CT383" i="33"/>
  <c r="CT379" i="33"/>
  <c r="CT375" i="33"/>
  <c r="CT371" i="33"/>
  <c r="CT367" i="33"/>
  <c r="CT363" i="33"/>
  <c r="CT359" i="33"/>
  <c r="CT355" i="33"/>
  <c r="CT351" i="33"/>
  <c r="CT347" i="33"/>
  <c r="CT343" i="33"/>
  <c r="CT339" i="33"/>
  <c r="CT335" i="33"/>
  <c r="CT331" i="33"/>
  <c r="CT327" i="33"/>
  <c r="CT323" i="33"/>
  <c r="CT319" i="33"/>
  <c r="CT315" i="33"/>
  <c r="CT311" i="33"/>
  <c r="CT307" i="33"/>
  <c r="CT303" i="33"/>
  <c r="CT299" i="33"/>
  <c r="CT295" i="33"/>
  <c r="CT291" i="33"/>
  <c r="CT287" i="33"/>
  <c r="CT283" i="33"/>
  <c r="CT279" i="33"/>
  <c r="CT275" i="33"/>
  <c r="CT271" i="33"/>
  <c r="CT267" i="33"/>
  <c r="CT263" i="33"/>
  <c r="CT259" i="33"/>
  <c r="CT255" i="33"/>
  <c r="CT251" i="33"/>
  <c r="CT999" i="33"/>
  <c r="CT967" i="33"/>
  <c r="CQ942" i="33"/>
  <c r="CQ916" i="33"/>
  <c r="CQ891" i="33"/>
  <c r="CT865" i="33"/>
  <c r="CT839" i="33"/>
  <c r="CQ814" i="33"/>
  <c r="CT791" i="33"/>
  <c r="CQ779" i="33"/>
  <c r="CQ766" i="33"/>
  <c r="CT753" i="33"/>
  <c r="CQ743" i="33"/>
  <c r="CQ732" i="33"/>
  <c r="CT721" i="33"/>
  <c r="CQ711" i="33"/>
  <c r="CT701" i="33"/>
  <c r="CQ695" i="33"/>
  <c r="CT687" i="33"/>
  <c r="CQ680" i="33"/>
  <c r="CT673" i="33"/>
  <c r="CQ666" i="33"/>
  <c r="CT660" i="33"/>
  <c r="CT655" i="33"/>
  <c r="CQ650" i="33"/>
  <c r="CT644" i="33"/>
  <c r="CT639" i="33"/>
  <c r="CQ634" i="33"/>
  <c r="CT628" i="33"/>
  <c r="CT623" i="33"/>
  <c r="CQ618" i="33"/>
  <c r="CT612" i="33"/>
  <c r="CT607" i="33"/>
  <c r="CQ602" i="33"/>
  <c r="CT596" i="33"/>
  <c r="CT591" i="33"/>
  <c r="CQ586" i="33"/>
  <c r="CT580" i="33"/>
  <c r="CT575" i="33"/>
  <c r="CQ570" i="33"/>
  <c r="CT564" i="33"/>
  <c r="CT559" i="33"/>
  <c r="CQ554" i="33"/>
  <c r="CT548" i="33"/>
  <c r="CT543" i="33"/>
  <c r="CQ539" i="33"/>
  <c r="CQ535" i="33"/>
  <c r="CQ531" i="33"/>
  <c r="CQ527" i="33"/>
  <c r="CQ523" i="33"/>
  <c r="CQ519" i="33"/>
  <c r="CQ515" i="33"/>
  <c r="CQ511" i="33"/>
  <c r="CQ507" i="33"/>
  <c r="CQ503" i="33"/>
  <c r="CQ499" i="33"/>
  <c r="CQ495" i="33"/>
  <c r="CQ491" i="33"/>
  <c r="CQ487" i="33"/>
  <c r="CQ483" i="33"/>
  <c r="CQ479" i="33"/>
  <c r="CQ475" i="33"/>
  <c r="CQ471" i="33"/>
  <c r="CQ467" i="33"/>
  <c r="CQ463" i="33"/>
  <c r="CQ459" i="33"/>
  <c r="CQ455" i="33"/>
  <c r="CQ451" i="33"/>
  <c r="CQ447" i="33"/>
  <c r="CQ443" i="33"/>
  <c r="CQ439" i="33"/>
  <c r="CQ435" i="33"/>
  <c r="CQ431" i="33"/>
  <c r="CQ427" i="33"/>
  <c r="CQ423" i="33"/>
  <c r="CQ419" i="33"/>
  <c r="CQ415" i="33"/>
  <c r="CQ411" i="33"/>
  <c r="CQ407" i="33"/>
  <c r="CQ403" i="33"/>
  <c r="CQ399" i="33"/>
  <c r="CQ395" i="33"/>
  <c r="CQ391" i="33"/>
  <c r="CQ387" i="33"/>
  <c r="CQ383" i="33"/>
  <c r="CT991" i="33"/>
  <c r="CQ962" i="33"/>
  <c r="CQ936" i="33"/>
  <c r="CQ911" i="33"/>
  <c r="CT885" i="33"/>
  <c r="CT859" i="33"/>
  <c r="CQ834" i="33"/>
  <c r="CQ808" i="33"/>
  <c r="CT789" i="33"/>
  <c r="CQ776" i="33"/>
  <c r="CT763" i="33"/>
  <c r="CT751" i="33"/>
  <c r="CQ741" i="33"/>
  <c r="CQ730" i="33"/>
  <c r="CT719" i="33"/>
  <c r="CQ709" i="33"/>
  <c r="CQ701" i="33"/>
  <c r="CT693" i="33"/>
  <c r="CQ687" i="33"/>
  <c r="CT679" i="33"/>
  <c r="CQ672" i="33"/>
  <c r="CT665" i="33"/>
  <c r="CQ660" i="33"/>
  <c r="CT654" i="33"/>
  <c r="CT649" i="33"/>
  <c r="CQ644" i="33"/>
  <c r="CT638" i="33"/>
  <c r="CT633" i="33"/>
  <c r="CQ628" i="33"/>
  <c r="CT622" i="33"/>
  <c r="CT617" i="33"/>
  <c r="CQ612" i="33"/>
  <c r="CT606" i="33"/>
  <c r="CT601" i="33"/>
  <c r="CQ596" i="33"/>
  <c r="CT590" i="33"/>
  <c r="CT585" i="33"/>
  <c r="CQ580" i="33"/>
  <c r="CT574" i="33"/>
  <c r="CT569" i="33"/>
  <c r="CQ564" i="33"/>
  <c r="CT558" i="33"/>
  <c r="CT553" i="33"/>
  <c r="CQ548" i="33"/>
  <c r="CT542" i="33"/>
  <c r="CT538" i="33"/>
  <c r="CQ991" i="33"/>
  <c r="CT961" i="33"/>
  <c r="CT935" i="33"/>
  <c r="CQ910" i="33"/>
  <c r="CQ884" i="33"/>
  <c r="CQ859" i="33"/>
  <c r="CT833" i="33"/>
  <c r="CT807" i="33"/>
  <c r="CQ788" i="33"/>
  <c r="CT775" i="33"/>
  <c r="CQ763" i="33"/>
  <c r="CQ751" i="33"/>
  <c r="CQ740" i="33"/>
  <c r="CT729" i="33"/>
  <c r="CQ719" i="33"/>
  <c r="CQ708" i="33"/>
  <c r="CQ700" i="33"/>
  <c r="CQ693" i="33"/>
  <c r="CT685" i="33"/>
  <c r="CQ679" i="33"/>
  <c r="CT671" i="33"/>
  <c r="CT664" i="33"/>
  <c r="CT659" i="33"/>
  <c r="CQ654" i="33"/>
  <c r="CT648" i="33"/>
  <c r="CT643" i="33"/>
  <c r="CQ638" i="33"/>
  <c r="CT632" i="33"/>
  <c r="CT627" i="33"/>
  <c r="CQ622" i="33"/>
  <c r="CT616" i="33"/>
  <c r="CT611" i="33"/>
  <c r="CQ606" i="33"/>
  <c r="CT600" i="33"/>
  <c r="CT595" i="33"/>
  <c r="CQ590" i="33"/>
  <c r="CT584" i="33"/>
  <c r="CT579" i="33"/>
  <c r="CQ574" i="33"/>
  <c r="CT568" i="33"/>
  <c r="CT563" i="33"/>
  <c r="CQ558" i="33"/>
  <c r="CT552" i="33"/>
  <c r="CT547" i="33"/>
  <c r="CQ542" i="33"/>
  <c r="CQ538" i="33"/>
  <c r="CQ534" i="33"/>
  <c r="CQ530" i="33"/>
  <c r="CQ526" i="33"/>
  <c r="CQ522" i="33"/>
  <c r="CQ518" i="33"/>
  <c r="CQ514" i="33"/>
  <c r="CQ510" i="33"/>
  <c r="CQ506" i="33"/>
  <c r="CQ502" i="33"/>
  <c r="CQ498" i="33"/>
  <c r="CQ494" i="33"/>
  <c r="CQ490" i="33"/>
  <c r="CQ486" i="33"/>
  <c r="CQ482" i="33"/>
  <c r="CQ478" i="33"/>
  <c r="CQ474" i="33"/>
  <c r="CQ470" i="33"/>
  <c r="CQ466" i="33"/>
  <c r="CQ462" i="33"/>
  <c r="CQ458" i="33"/>
  <c r="CQ454" i="33"/>
  <c r="CQ450" i="33"/>
  <c r="CT983" i="33"/>
  <c r="CT955" i="33"/>
  <c r="CQ930" i="33"/>
  <c r="CQ904" i="33"/>
  <c r="CQ879" i="33"/>
  <c r="CT853" i="33"/>
  <c r="CT827" i="33"/>
  <c r="CQ802" i="33"/>
  <c r="CQ786" i="33"/>
  <c r="CT773" i="33"/>
  <c r="CQ760" i="33"/>
  <c r="CQ749" i="33"/>
  <c r="CQ738" i="33"/>
  <c r="CT727" i="33"/>
  <c r="CQ717" i="33"/>
  <c r="CQ706" i="33"/>
  <c r="CQ699" i="33"/>
  <c r="CQ692" i="33"/>
  <c r="CQ685" i="33"/>
  <c r="CT677" i="33"/>
  <c r="CQ671" i="33"/>
  <c r="CQ664" i="33"/>
  <c r="CT658" i="33"/>
  <c r="CT653" i="33"/>
  <c r="CQ648" i="33"/>
  <c r="CT642" i="33"/>
  <c r="CT637" i="33"/>
  <c r="CQ632" i="33"/>
  <c r="CT626" i="33"/>
  <c r="CT621" i="33"/>
  <c r="CQ616" i="33"/>
  <c r="CT610" i="33"/>
  <c r="CT605" i="33"/>
  <c r="CQ600" i="33"/>
  <c r="CT594" i="33"/>
  <c r="CT589" i="33"/>
  <c r="CQ584" i="33"/>
  <c r="CT578" i="33"/>
  <c r="CT573" i="33"/>
  <c r="CQ568" i="33"/>
  <c r="CT562" i="33"/>
  <c r="CT557" i="33"/>
  <c r="CQ552" i="33"/>
  <c r="CT546" i="33"/>
  <c r="CT541" i="33"/>
  <c r="CT537" i="33"/>
  <c r="CT533" i="33"/>
  <c r="CT529" i="33"/>
  <c r="CT525" i="33"/>
  <c r="CT521" i="33"/>
  <c r="CT517" i="33"/>
  <c r="CT513" i="33"/>
  <c r="CT509" i="33"/>
  <c r="CT505" i="33"/>
  <c r="CT501" i="33"/>
  <c r="CT497" i="33"/>
  <c r="CT493" i="33"/>
  <c r="CT489" i="33"/>
  <c r="CT485" i="33"/>
  <c r="CT481" i="33"/>
  <c r="CT477" i="33"/>
  <c r="CT473" i="33"/>
  <c r="CT469" i="33"/>
  <c r="CT465" i="33"/>
  <c r="CT461" i="33"/>
  <c r="CT457" i="33"/>
  <c r="CT453" i="33"/>
  <c r="CT449" i="33"/>
  <c r="CT445" i="33"/>
  <c r="CT441" i="33"/>
  <c r="CT437" i="33"/>
  <c r="CT433" i="33"/>
  <c r="CT429" i="33"/>
  <c r="CT425" i="33"/>
  <c r="CT421" i="33"/>
  <c r="CT417" i="33"/>
  <c r="CT413" i="33"/>
  <c r="CT409" i="33"/>
  <c r="CT405" i="33"/>
  <c r="CT401" i="33"/>
  <c r="CT397" i="33"/>
  <c r="CT393" i="33"/>
  <c r="CT389" i="33"/>
  <c r="CT385" i="33"/>
  <c r="CT381" i="33"/>
  <c r="CT377" i="33"/>
  <c r="CT373" i="33"/>
  <c r="CT369" i="33"/>
  <c r="CT365" i="33"/>
  <c r="CT361" i="33"/>
  <c r="CT357" i="33"/>
  <c r="CT353" i="33"/>
  <c r="CT349" i="33"/>
  <c r="CT345" i="33"/>
  <c r="CT341" i="33"/>
  <c r="CT337" i="33"/>
  <c r="CT333" i="33"/>
  <c r="CT329" i="33"/>
  <c r="CT325" i="33"/>
  <c r="CT321" i="33"/>
  <c r="CT317" i="33"/>
  <c r="CT313" i="33"/>
  <c r="CT309" i="33"/>
  <c r="CT305" i="33"/>
  <c r="CT301" i="33"/>
  <c r="CT297" i="33"/>
  <c r="CT293" i="33"/>
  <c r="CT289" i="33"/>
  <c r="CT285" i="33"/>
  <c r="CT281" i="33"/>
  <c r="CT277" i="33"/>
  <c r="CT273" i="33"/>
  <c r="CT269" i="33"/>
  <c r="CT265" i="33"/>
  <c r="CT261" i="33"/>
  <c r="CT257" i="33"/>
  <c r="CT253" i="33"/>
  <c r="CT249" i="33"/>
  <c r="CT514" i="33"/>
  <c r="CT482" i="33"/>
  <c r="CT450" i="33"/>
  <c r="CQ440" i="33"/>
  <c r="CQ432" i="33"/>
  <c r="CQ424" i="33"/>
  <c r="CQ416" i="33"/>
  <c r="CQ408" i="33"/>
  <c r="CQ400" i="33"/>
  <c r="CQ392" i="33"/>
  <c r="CQ384" i="33"/>
  <c r="CQ377" i="33"/>
  <c r="CQ372" i="33"/>
  <c r="CT366" i="33"/>
  <c r="CQ361" i="33"/>
  <c r="CQ356" i="33"/>
  <c r="CT350" i="33"/>
  <c r="CQ345" i="33"/>
  <c r="CQ340" i="33"/>
  <c r="CT334" i="33"/>
  <c r="CQ329" i="33"/>
  <c r="CQ324" i="33"/>
  <c r="CT318" i="33"/>
  <c r="CQ313" i="33"/>
  <c r="CQ308" i="33"/>
  <c r="CT302" i="33"/>
  <c r="CQ297" i="33"/>
  <c r="CQ292" i="33"/>
  <c r="CT286" i="33"/>
  <c r="CQ281" i="33"/>
  <c r="CQ276" i="33"/>
  <c r="CT270" i="33"/>
  <c r="CQ265" i="33"/>
  <c r="CQ260" i="33"/>
  <c r="CT254" i="33"/>
  <c r="CQ249" i="33"/>
  <c r="CQ245" i="33"/>
  <c r="CQ241" i="33"/>
  <c r="CQ237" i="33"/>
  <c r="CQ233" i="33"/>
  <c r="CQ229" i="33"/>
  <c r="CQ225" i="33"/>
  <c r="CQ221" i="33"/>
  <c r="CQ217" i="33"/>
  <c r="CQ213" i="33"/>
  <c r="CQ209" i="33"/>
  <c r="CQ205" i="33"/>
  <c r="CQ201" i="33"/>
  <c r="CQ197" i="33"/>
  <c r="CQ193" i="33"/>
  <c r="CQ189" i="33"/>
  <c r="CQ185" i="33"/>
  <c r="CQ181" i="33"/>
  <c r="CQ177" i="33"/>
  <c r="CQ173" i="33"/>
  <c r="CQ169" i="33"/>
  <c r="CQ165" i="33"/>
  <c r="CQ161" i="33"/>
  <c r="CQ157" i="33"/>
  <c r="CQ153" i="33"/>
  <c r="CQ149" i="33"/>
  <c r="CQ145" i="33"/>
  <c r="CQ141" i="33"/>
  <c r="CQ137" i="33"/>
  <c r="CQ133" i="33"/>
  <c r="CQ129" i="33"/>
  <c r="CQ125" i="33"/>
  <c r="CQ121" i="33"/>
  <c r="CQ117" i="33"/>
  <c r="CQ113" i="33"/>
  <c r="CQ109" i="33"/>
  <c r="CQ105" i="33"/>
  <c r="CQ101" i="33"/>
  <c r="CQ97" i="33"/>
  <c r="CQ93" i="33"/>
  <c r="CQ89" i="33"/>
  <c r="CQ85" i="33"/>
  <c r="CQ81" i="33"/>
  <c r="CQ77" i="33"/>
  <c r="CQ73" i="33"/>
  <c r="CQ69" i="33"/>
  <c r="CQ65" i="33"/>
  <c r="CQ61" i="33"/>
  <c r="CQ57" i="33"/>
  <c r="CQ53" i="33"/>
  <c r="CT510" i="33"/>
  <c r="CT478" i="33"/>
  <c r="CT446" i="33"/>
  <c r="CT438" i="33"/>
  <c r="CT430" i="33"/>
  <c r="CT422" i="33"/>
  <c r="CT414" i="33"/>
  <c r="CT406" i="33"/>
  <c r="CT398" i="33"/>
  <c r="CT390" i="33"/>
  <c r="CT382" i="33"/>
  <c r="CT376" i="33"/>
  <c r="CQ371" i="33"/>
  <c r="CQ366" i="33"/>
  <c r="CT360" i="33"/>
  <c r="CQ355" i="33"/>
  <c r="CQ350" i="33"/>
  <c r="CT344" i="33"/>
  <c r="CQ339" i="33"/>
  <c r="CQ334" i="33"/>
  <c r="CT328" i="33"/>
  <c r="CQ323" i="33"/>
  <c r="CQ318" i="33"/>
  <c r="CT312" i="33"/>
  <c r="CQ307" i="33"/>
  <c r="CQ302" i="33"/>
  <c r="CT296" i="33"/>
  <c r="CQ291" i="33"/>
  <c r="CQ286" i="33"/>
  <c r="CT280" i="33"/>
  <c r="CQ275" i="33"/>
  <c r="CQ270" i="33"/>
  <c r="CT264" i="33"/>
  <c r="CQ259" i="33"/>
  <c r="CQ254" i="33"/>
  <c r="CT248" i="33"/>
  <c r="CT244" i="33"/>
  <c r="CT240" i="33"/>
  <c r="CT236" i="33"/>
  <c r="CT232" i="33"/>
  <c r="CT228" i="33"/>
  <c r="CT224" i="33"/>
  <c r="CT220" i="33"/>
  <c r="CT216" i="33"/>
  <c r="CT212" i="33"/>
  <c r="CT208" i="33"/>
  <c r="CT204" i="33"/>
  <c r="CT200" i="33"/>
  <c r="CT196" i="33"/>
  <c r="CT192" i="33"/>
  <c r="CT188" i="33"/>
  <c r="CT184" i="33"/>
  <c r="CT180" i="33"/>
  <c r="CT176" i="33"/>
  <c r="CT172" i="33"/>
  <c r="CT168" i="33"/>
  <c r="CT164" i="33"/>
  <c r="CT160" i="33"/>
  <c r="CT156" i="33"/>
  <c r="CT152" i="33"/>
  <c r="CT148" i="33"/>
  <c r="CT144" i="33"/>
  <c r="CT140" i="33"/>
  <c r="CT136" i="33"/>
  <c r="CT132" i="33"/>
  <c r="CT128" i="33"/>
  <c r="CT124" i="33"/>
  <c r="CT120" i="33"/>
  <c r="CT116" i="33"/>
  <c r="CT112" i="33"/>
  <c r="CT108" i="33"/>
  <c r="CT104" i="33"/>
  <c r="CT506" i="33"/>
  <c r="CT474" i="33"/>
  <c r="CQ446" i="33"/>
  <c r="CQ438" i="33"/>
  <c r="CQ430" i="33"/>
  <c r="CQ422" i="33"/>
  <c r="CQ414" i="33"/>
  <c r="CQ406" i="33"/>
  <c r="CQ398" i="33"/>
  <c r="CQ390" i="33"/>
  <c r="CQ382" i="33"/>
  <c r="CQ376" i="33"/>
  <c r="CT370" i="33"/>
  <c r="CQ365" i="33"/>
  <c r="CQ360" i="33"/>
  <c r="CT354" i="33"/>
  <c r="CQ349" i="33"/>
  <c r="CQ344" i="33"/>
  <c r="CT338" i="33"/>
  <c r="CQ333" i="33"/>
  <c r="CQ328" i="33"/>
  <c r="CT322" i="33"/>
  <c r="CQ317" i="33"/>
  <c r="CQ312" i="33"/>
  <c r="CT306" i="33"/>
  <c r="CQ301" i="33"/>
  <c r="CQ296" i="33"/>
  <c r="CT290" i="33"/>
  <c r="CQ285" i="33"/>
  <c r="CQ280" i="33"/>
  <c r="CT274" i="33"/>
  <c r="CQ269" i="33"/>
  <c r="CQ264" i="33"/>
  <c r="CT258" i="33"/>
  <c r="CQ253" i="33"/>
  <c r="CQ248" i="33"/>
  <c r="CQ244" i="33"/>
  <c r="CQ240" i="33"/>
  <c r="CQ236" i="33"/>
  <c r="CQ232" i="33"/>
  <c r="CQ228" i="33"/>
  <c r="CQ224" i="33"/>
  <c r="CQ220" i="33"/>
  <c r="CQ216" i="33"/>
  <c r="CQ212" i="33"/>
  <c r="CQ208" i="33"/>
  <c r="CQ204" i="33"/>
  <c r="CQ200" i="33"/>
  <c r="CQ196" i="33"/>
  <c r="CQ192" i="33"/>
  <c r="CQ188" i="33"/>
  <c r="CQ184" i="33"/>
  <c r="CQ180" i="33"/>
  <c r="CQ176" i="33"/>
  <c r="CQ172" i="33"/>
  <c r="CQ168" i="33"/>
  <c r="CQ164" i="33"/>
  <c r="CQ160" i="33"/>
  <c r="CQ156" i="33"/>
  <c r="CQ152" i="33"/>
  <c r="CQ148" i="33"/>
  <c r="CQ144" i="33"/>
  <c r="CQ140" i="33"/>
  <c r="CQ136" i="33"/>
  <c r="CQ132" i="33"/>
  <c r="CQ128" i="33"/>
  <c r="CQ124" i="33"/>
  <c r="CQ120" i="33"/>
  <c r="CQ116" i="33"/>
  <c r="CQ112" i="33"/>
  <c r="CQ108" i="33"/>
  <c r="CT534" i="33"/>
  <c r="CT502" i="33"/>
  <c r="CT470" i="33"/>
  <c r="CT444" i="33"/>
  <c r="CT436" i="33"/>
  <c r="CT428" i="33"/>
  <c r="CT420" i="33"/>
  <c r="CT412" i="33"/>
  <c r="CT404" i="33"/>
  <c r="CT396" i="33"/>
  <c r="CT388" i="33"/>
  <c r="CT380" i="33"/>
  <c r="CQ375" i="33"/>
  <c r="CQ370" i="33"/>
  <c r="CT364" i="33"/>
  <c r="CQ359" i="33"/>
  <c r="CQ354" i="33"/>
  <c r="CT348" i="33"/>
  <c r="CQ343" i="33"/>
  <c r="CQ338" i="33"/>
  <c r="CT332" i="33"/>
  <c r="CQ327" i="33"/>
  <c r="CQ322" i="33"/>
  <c r="CT316" i="33"/>
  <c r="CQ311" i="33"/>
  <c r="CQ306" i="33"/>
  <c r="CT300" i="33"/>
  <c r="CQ295" i="33"/>
  <c r="CQ290" i="33"/>
  <c r="CT284" i="33"/>
  <c r="CQ279" i="33"/>
  <c r="CQ274" i="33"/>
  <c r="CT268" i="33"/>
  <c r="CQ263" i="33"/>
  <c r="CQ258" i="33"/>
  <c r="CT252" i="33"/>
  <c r="CT247" i="33"/>
  <c r="CT243" i="33"/>
  <c r="CT239" i="33"/>
  <c r="CT235" i="33"/>
  <c r="CT231" i="33"/>
  <c r="CT227" i="33"/>
  <c r="CT223" i="33"/>
  <c r="CT219" i="33"/>
  <c r="CT215" i="33"/>
  <c r="CT211" i="33"/>
  <c r="CT207" i="33"/>
  <c r="CT203" i="33"/>
  <c r="CT199" i="33"/>
  <c r="CT195" i="33"/>
  <c r="CT191" i="33"/>
  <c r="CT187" i="33"/>
  <c r="CT183" i="33"/>
  <c r="CT179" i="33"/>
  <c r="CT175" i="33"/>
  <c r="CT171" i="33"/>
  <c r="CT167" i="33"/>
  <c r="CT163" i="33"/>
  <c r="CT159" i="33"/>
  <c r="CT155" i="33"/>
  <c r="CT151" i="33"/>
  <c r="CT147" i="33"/>
  <c r="CT143" i="33"/>
  <c r="CT139" i="33"/>
  <c r="CT135" i="33"/>
  <c r="CT131" i="33"/>
  <c r="CT127" i="33"/>
  <c r="CT123" i="33"/>
  <c r="CT119" i="33"/>
  <c r="CT115" i="33"/>
  <c r="CT111" i="33"/>
  <c r="CT107" i="33"/>
  <c r="CT103" i="33"/>
  <c r="CT99" i="33"/>
  <c r="CT95" i="33"/>
  <c r="CT91" i="33"/>
  <c r="CT87" i="33"/>
  <c r="CT83" i="33"/>
  <c r="CT79" i="33"/>
  <c r="CT75" i="33"/>
  <c r="CT71" i="33"/>
  <c r="CT67" i="33"/>
  <c r="CT63" i="33"/>
  <c r="CT59" i="33"/>
  <c r="CT55" i="33"/>
  <c r="CT51" i="33"/>
  <c r="CT47" i="33"/>
  <c r="CT43" i="33"/>
  <c r="CT39" i="33"/>
  <c r="CT35" i="33"/>
  <c r="CT31" i="33"/>
  <c r="CT27" i="33"/>
  <c r="CT23" i="33"/>
  <c r="CT19" i="33"/>
  <c r="CT15" i="33"/>
  <c r="CT11" i="33"/>
  <c r="CT7" i="33"/>
  <c r="CN1004" i="33"/>
  <c r="CH1003" i="33"/>
  <c r="CB1002" i="33"/>
  <c r="CN1000" i="33"/>
  <c r="CH999" i="33"/>
  <c r="CB998" i="33"/>
  <c r="CN996" i="33"/>
  <c r="CH995" i="33"/>
  <c r="CB994" i="33"/>
  <c r="CN992" i="33"/>
  <c r="CH991" i="33"/>
  <c r="CB990" i="33"/>
  <c r="CN988" i="33"/>
  <c r="CH987" i="33"/>
  <c r="CB986" i="33"/>
  <c r="CN984" i="33"/>
  <c r="CH983" i="33"/>
  <c r="CB982" i="33"/>
  <c r="CN980" i="33"/>
  <c r="CH979" i="33"/>
  <c r="CB978" i="33"/>
  <c r="CN976" i="33"/>
  <c r="CH975" i="33"/>
  <c r="CB974" i="33"/>
  <c r="CT530" i="33"/>
  <c r="CT498" i="33"/>
  <c r="CT466" i="33"/>
  <c r="CQ444" i="33"/>
  <c r="CQ436" i="33"/>
  <c r="CQ428" i="33"/>
  <c r="CQ420" i="33"/>
  <c r="CQ412" i="33"/>
  <c r="CQ404" i="33"/>
  <c r="CQ396" i="33"/>
  <c r="CQ388" i="33"/>
  <c r="CQ380" i="33"/>
  <c r="CT374" i="33"/>
  <c r="CQ369" i="33"/>
  <c r="CQ364" i="33"/>
  <c r="CT358" i="33"/>
  <c r="CQ353" i="33"/>
  <c r="CQ348" i="33"/>
  <c r="CT342" i="33"/>
  <c r="CQ337" i="33"/>
  <c r="CQ332" i="33"/>
  <c r="CT326" i="33"/>
  <c r="CQ321" i="33"/>
  <c r="CQ316" i="33"/>
  <c r="CT310" i="33"/>
  <c r="CQ305" i="33"/>
  <c r="CQ300" i="33"/>
  <c r="CT294" i="33"/>
  <c r="CQ289" i="33"/>
  <c r="CQ284" i="33"/>
  <c r="CT278" i="33"/>
  <c r="CQ273" i="33"/>
  <c r="CQ268" i="33"/>
  <c r="CT262" i="33"/>
  <c r="CQ257" i="33"/>
  <c r="CQ252" i="33"/>
  <c r="CQ247" i="33"/>
  <c r="CQ243" i="33"/>
  <c r="CQ239" i="33"/>
  <c r="CQ235" i="33"/>
  <c r="CQ231" i="33"/>
  <c r="CQ227" i="33"/>
  <c r="CQ223" i="33"/>
  <c r="CQ219" i="33"/>
  <c r="CQ215" i="33"/>
  <c r="CQ211" i="33"/>
  <c r="CQ207" i="33"/>
  <c r="CQ203" i="33"/>
  <c r="CQ199" i="33"/>
  <c r="CQ195" i="33"/>
  <c r="CQ191" i="33"/>
  <c r="CQ187" i="33"/>
  <c r="CQ183" i="33"/>
  <c r="CQ179" i="33"/>
  <c r="CQ175" i="33"/>
  <c r="CQ171" i="33"/>
  <c r="CQ167" i="33"/>
  <c r="CQ163" i="33"/>
  <c r="CQ159" i="33"/>
  <c r="CQ155" i="33"/>
  <c r="CQ151" i="33"/>
  <c r="CQ147" i="33"/>
  <c r="CQ143" i="33"/>
  <c r="CQ139" i="33"/>
  <c r="CQ135" i="33"/>
  <c r="CQ131" i="33"/>
  <c r="CQ127" i="33"/>
  <c r="CQ123" i="33"/>
  <c r="CQ119" i="33"/>
  <c r="CQ115" i="33"/>
  <c r="CQ111" i="33"/>
  <c r="CQ107" i="33"/>
  <c r="CQ103" i="33"/>
  <c r="CQ99" i="33"/>
  <c r="CQ95" i="33"/>
  <c r="CQ91" i="33"/>
  <c r="CQ87" i="33"/>
  <c r="CQ83" i="33"/>
  <c r="CQ79" i="33"/>
  <c r="CQ75" i="33"/>
  <c r="CQ71" i="33"/>
  <c r="CQ67" i="33"/>
  <c r="CQ63" i="33"/>
  <c r="CQ59" i="33"/>
  <c r="CQ55" i="33"/>
  <c r="CQ51" i="33"/>
  <c r="CT526" i="33"/>
  <c r="CT494" i="33"/>
  <c r="CT462" i="33"/>
  <c r="CT442" i="33"/>
  <c r="CT434" i="33"/>
  <c r="CT426" i="33"/>
  <c r="CT418" i="33"/>
  <c r="CT410" i="33"/>
  <c r="CT402" i="33"/>
  <c r="CT394" i="33"/>
  <c r="CT386" i="33"/>
  <c r="CQ379" i="33"/>
  <c r="CQ374" i="33"/>
  <c r="CT368" i="33"/>
  <c r="CQ363" i="33"/>
  <c r="CQ358" i="33"/>
  <c r="CT352" i="33"/>
  <c r="CQ347" i="33"/>
  <c r="CQ342" i="33"/>
  <c r="CT336" i="33"/>
  <c r="CQ331" i="33"/>
  <c r="CQ326" i="33"/>
  <c r="CT320" i="33"/>
  <c r="CQ315" i="33"/>
  <c r="CQ310" i="33"/>
  <c r="CT304" i="33"/>
  <c r="CQ299" i="33"/>
  <c r="CQ294" i="33"/>
  <c r="CT288" i="33"/>
  <c r="CQ283" i="33"/>
  <c r="CQ278" i="33"/>
  <c r="CT272" i="33"/>
  <c r="CQ267" i="33"/>
  <c r="CQ262" i="33"/>
  <c r="CT256" i="33"/>
  <c r="CQ251" i="33"/>
  <c r="CT246" i="33"/>
  <c r="CT242" i="33"/>
  <c r="CT238" i="33"/>
  <c r="CT234" i="33"/>
  <c r="CT230" i="33"/>
  <c r="CT226" i="33"/>
  <c r="CT222" i="33"/>
  <c r="CT218" i="33"/>
  <c r="CT214" i="33"/>
  <c r="CT210" i="33"/>
  <c r="CT206" i="33"/>
  <c r="CT202" i="33"/>
  <c r="CT198" i="33"/>
  <c r="CT194" i="33"/>
  <c r="CT190" i="33"/>
  <c r="CT186" i="33"/>
  <c r="CT182" i="33"/>
  <c r="CT178" i="33"/>
  <c r="CT174" i="33"/>
  <c r="CT170" i="33"/>
  <c r="CT166" i="33"/>
  <c r="CT162" i="33"/>
  <c r="CT158" i="33"/>
  <c r="CT154" i="33"/>
  <c r="CT150" i="33"/>
  <c r="CT146" i="33"/>
  <c r="CT142" i="33"/>
  <c r="CT138" i="33"/>
  <c r="CT134" i="33"/>
  <c r="CT130" i="33"/>
  <c r="CT126" i="33"/>
  <c r="CT122" i="33"/>
  <c r="CT118" i="33"/>
  <c r="CT114" i="33"/>
  <c r="CT110" i="33"/>
  <c r="CT106" i="33"/>
  <c r="CT522" i="33"/>
  <c r="CT490" i="33"/>
  <c r="CT458" i="33"/>
  <c r="CQ442" i="33"/>
  <c r="CQ434" i="33"/>
  <c r="CQ426" i="33"/>
  <c r="CQ418" i="33"/>
  <c r="CQ410" i="33"/>
  <c r="CQ402" i="33"/>
  <c r="CQ394" i="33"/>
  <c r="CQ386" i="33"/>
  <c r="CT378" i="33"/>
  <c r="CQ373" i="33"/>
  <c r="CQ368" i="33"/>
  <c r="CT362" i="33"/>
  <c r="CQ357" i="33"/>
  <c r="CQ352" i="33"/>
  <c r="CT346" i="33"/>
  <c r="CQ341" i="33"/>
  <c r="CQ336" i="33"/>
  <c r="CT330" i="33"/>
  <c r="CQ325" i="33"/>
  <c r="CQ320" i="33"/>
  <c r="CT314" i="33"/>
  <c r="CQ309" i="33"/>
  <c r="CQ304" i="33"/>
  <c r="CT298" i="33"/>
  <c r="CQ293" i="33"/>
  <c r="CQ288" i="33"/>
  <c r="CT282" i="33"/>
  <c r="CQ277" i="33"/>
  <c r="CQ272" i="33"/>
  <c r="CT266" i="33"/>
  <c r="CQ261" i="33"/>
  <c r="CQ256" i="33"/>
  <c r="CT250" i="33"/>
  <c r="CQ246" i="33"/>
  <c r="CQ242" i="33"/>
  <c r="CQ238" i="33"/>
  <c r="CQ234" i="33"/>
  <c r="CQ230" i="33"/>
  <c r="CQ226" i="33"/>
  <c r="CQ222" i="33"/>
  <c r="CQ218" i="33"/>
  <c r="CQ214" i="33"/>
  <c r="CQ210" i="33"/>
  <c r="CQ206" i="33"/>
  <c r="CQ202" i="33"/>
  <c r="CQ198" i="33"/>
  <c r="CQ194" i="33"/>
  <c r="CQ190" i="33"/>
  <c r="CQ186" i="33"/>
  <c r="CQ182" i="33"/>
  <c r="CQ178" i="33"/>
  <c r="CQ174" i="33"/>
  <c r="CQ170" i="33"/>
  <c r="CQ166" i="33"/>
  <c r="CQ162" i="33"/>
  <c r="CQ158" i="33"/>
  <c r="CQ154" i="33"/>
  <c r="CQ150" i="33"/>
  <c r="CQ146" i="33"/>
  <c r="CQ142" i="33"/>
  <c r="CQ138" i="33"/>
  <c r="CQ134" i="33"/>
  <c r="CQ130" i="33"/>
  <c r="CQ126" i="33"/>
  <c r="CQ122" i="33"/>
  <c r="CQ118" i="33"/>
  <c r="CQ114" i="33"/>
  <c r="CQ110" i="33"/>
  <c r="CQ106" i="33"/>
  <c r="CT518" i="33"/>
  <c r="CT486" i="33"/>
  <c r="CT454" i="33"/>
  <c r="CT440" i="33"/>
  <c r="CT432" i="33"/>
  <c r="CT424" i="33"/>
  <c r="CT416" i="33"/>
  <c r="CT408" i="33"/>
  <c r="CT400" i="33"/>
  <c r="CT392" i="33"/>
  <c r="CT384" i="33"/>
  <c r="CQ378" i="33"/>
  <c r="CT372" i="33"/>
  <c r="CQ367" i="33"/>
  <c r="CQ362" i="33"/>
  <c r="CT356" i="33"/>
  <c r="CQ351" i="33"/>
  <c r="CQ346" i="33"/>
  <c r="CT340" i="33"/>
  <c r="CQ335" i="33"/>
  <c r="CQ330" i="33"/>
  <c r="CT324" i="33"/>
  <c r="CQ319" i="33"/>
  <c r="CQ314" i="33"/>
  <c r="CT308" i="33"/>
  <c r="CQ303" i="33"/>
  <c r="CQ298" i="33"/>
  <c r="CT292" i="33"/>
  <c r="CQ287" i="33"/>
  <c r="CQ282" i="33"/>
  <c r="CT276" i="33"/>
  <c r="CQ271" i="33"/>
  <c r="CQ266" i="33"/>
  <c r="CT260" i="33"/>
  <c r="CQ255" i="33"/>
  <c r="CQ250" i="33"/>
  <c r="CT245" i="33"/>
  <c r="CT241" i="33"/>
  <c r="CT237" i="33"/>
  <c r="CT233" i="33"/>
  <c r="CT229" i="33"/>
  <c r="CT225" i="33"/>
  <c r="CT221" i="33"/>
  <c r="CT217" i="33"/>
  <c r="CT213" i="33"/>
  <c r="CT209" i="33"/>
  <c r="CT205" i="33"/>
  <c r="CT201" i="33"/>
  <c r="CT197" i="33"/>
  <c r="CT193" i="33"/>
  <c r="CT189" i="33"/>
  <c r="CT185" i="33"/>
  <c r="CT181" i="33"/>
  <c r="CT177" i="33"/>
  <c r="CT173" i="33"/>
  <c r="CT169" i="33"/>
  <c r="CT165" i="33"/>
  <c r="CT161" i="33"/>
  <c r="CT157" i="33"/>
  <c r="CT153" i="33"/>
  <c r="CT149" i="33"/>
  <c r="CT145" i="33"/>
  <c r="CT141" i="33"/>
  <c r="CT137" i="33"/>
  <c r="CT133" i="33"/>
  <c r="CT129" i="33"/>
  <c r="CT125" i="33"/>
  <c r="CT121" i="33"/>
  <c r="CT117" i="33"/>
  <c r="CT113" i="33"/>
  <c r="CT109" i="33"/>
  <c r="CT105" i="33"/>
  <c r="CT101" i="33"/>
  <c r="CT97" i="33"/>
  <c r="CT93" i="33"/>
  <c r="CT89" i="33"/>
  <c r="CT85" i="33"/>
  <c r="CT81" i="33"/>
  <c r="CT77" i="33"/>
  <c r="CT73" i="33"/>
  <c r="CT69" i="33"/>
  <c r="CT65" i="33"/>
  <c r="CT61" i="33"/>
  <c r="CT57" i="33"/>
  <c r="CT53" i="33"/>
  <c r="CT49" i="33"/>
  <c r="CT45" i="33"/>
  <c r="CT41" i="33"/>
  <c r="CT37" i="33"/>
  <c r="CT33" i="33"/>
  <c r="CT29" i="33"/>
  <c r="CT25" i="33"/>
  <c r="CT21" i="33"/>
  <c r="CT17" i="33"/>
  <c r="CT13" i="33"/>
  <c r="CT9" i="33"/>
  <c r="CT5" i="33"/>
  <c r="CB1004" i="33"/>
  <c r="CN1002" i="33"/>
  <c r="CH1001" i="33"/>
  <c r="CB1000" i="33"/>
  <c r="CN998" i="33"/>
  <c r="CH997" i="33"/>
  <c r="CB996" i="33"/>
  <c r="CN994" i="33"/>
  <c r="CH993" i="33"/>
  <c r="CB992" i="33"/>
  <c r="CN990" i="33"/>
  <c r="CH989" i="33"/>
  <c r="CB988" i="33"/>
  <c r="CN986" i="33"/>
  <c r="CH985" i="33"/>
  <c r="CB984" i="33"/>
  <c r="CN982" i="33"/>
  <c r="CH981" i="33"/>
  <c r="CB980" i="33"/>
  <c r="CN978" i="33"/>
  <c r="CH977" i="33"/>
  <c r="CB976" i="33"/>
  <c r="CN974" i="33"/>
  <c r="CH973" i="33"/>
  <c r="CT98" i="33"/>
  <c r="CT90" i="33"/>
  <c r="CT82" i="33"/>
  <c r="CT74" i="33"/>
  <c r="CT66" i="33"/>
  <c r="CT58" i="33"/>
  <c r="CT50" i="33"/>
  <c r="CQ45" i="33"/>
  <c r="CQ40" i="33"/>
  <c r="CT34" i="33"/>
  <c r="CQ29" i="33"/>
  <c r="CQ24" i="33"/>
  <c r="CT18" i="33"/>
  <c r="CQ13" i="33"/>
  <c r="CQ8" i="33"/>
  <c r="CH1004" i="33"/>
  <c r="CK1002" i="33"/>
  <c r="BY1001" i="33"/>
  <c r="CB999" i="33"/>
  <c r="CE997" i="33"/>
  <c r="CK995" i="33"/>
  <c r="CN993" i="33"/>
  <c r="BY992" i="33"/>
  <c r="CE990" i="33"/>
  <c r="CH988" i="33"/>
  <c r="CK986" i="33"/>
  <c r="BY985" i="33"/>
  <c r="CB983" i="33"/>
  <c r="CE981" i="33"/>
  <c r="CK979" i="33"/>
  <c r="CN977" i="33"/>
  <c r="BY976" i="33"/>
  <c r="CE974" i="33"/>
  <c r="CK972" i="33"/>
  <c r="CE971" i="33"/>
  <c r="BY970" i="33"/>
  <c r="CK968" i="33"/>
  <c r="CE967" i="33"/>
  <c r="BY966" i="33"/>
  <c r="CK964" i="33"/>
  <c r="CE963" i="33"/>
  <c r="BY962" i="33"/>
  <c r="CK960" i="33"/>
  <c r="CE959" i="33"/>
  <c r="BY958" i="33"/>
  <c r="CK956" i="33"/>
  <c r="CE955" i="33"/>
  <c r="BY954" i="33"/>
  <c r="CK952" i="33"/>
  <c r="CE951" i="33"/>
  <c r="BY950" i="33"/>
  <c r="CK948" i="33"/>
  <c r="CE947" i="33"/>
  <c r="BY946" i="33"/>
  <c r="CK944" i="33"/>
  <c r="CE943" i="33"/>
  <c r="BY942" i="33"/>
  <c r="CK940" i="33"/>
  <c r="CE939" i="33"/>
  <c r="BY938" i="33"/>
  <c r="CK936" i="33"/>
  <c r="CE935" i="33"/>
  <c r="BY934" i="33"/>
  <c r="CK932" i="33"/>
  <c r="CE931" i="33"/>
  <c r="BY930" i="33"/>
  <c r="CK928" i="33"/>
  <c r="CE927" i="33"/>
  <c r="CQ98" i="33"/>
  <c r="CQ90" i="33"/>
  <c r="CQ82" i="33"/>
  <c r="CQ74" i="33"/>
  <c r="CQ66" i="33"/>
  <c r="CQ58" i="33"/>
  <c r="CQ50" i="33"/>
  <c r="CT44" i="33"/>
  <c r="CQ39" i="33"/>
  <c r="CQ34" i="33"/>
  <c r="CT28" i="33"/>
  <c r="CQ23" i="33"/>
  <c r="CQ18" i="33"/>
  <c r="CT12" i="33"/>
  <c r="CQ7" i="33"/>
  <c r="CE1004" i="33"/>
  <c r="CH1002" i="33"/>
  <c r="CK1000" i="33"/>
  <c r="BY999" i="33"/>
  <c r="CB997" i="33"/>
  <c r="CE995" i="33"/>
  <c r="CK993" i="33"/>
  <c r="CN991" i="33"/>
  <c r="BY990" i="33"/>
  <c r="CE988" i="33"/>
  <c r="CH986" i="33"/>
  <c r="CK984" i="33"/>
  <c r="BY983" i="33"/>
  <c r="CB981" i="33"/>
  <c r="CE979" i="33"/>
  <c r="CK977" i="33"/>
  <c r="CN975" i="33"/>
  <c r="BY974" i="33"/>
  <c r="CH972" i="33"/>
  <c r="CB971" i="33"/>
  <c r="CN969" i="33"/>
  <c r="CH968" i="33"/>
  <c r="CB967" i="33"/>
  <c r="CN965" i="33"/>
  <c r="CH964" i="33"/>
  <c r="CB963" i="33"/>
  <c r="CN961" i="33"/>
  <c r="CH960" i="33"/>
  <c r="CB959" i="33"/>
  <c r="CN957" i="33"/>
  <c r="CH956" i="33"/>
  <c r="CB955" i="33"/>
  <c r="CN953" i="33"/>
  <c r="CH952" i="33"/>
  <c r="CB951" i="33"/>
  <c r="CN949" i="33"/>
  <c r="CH948" i="33"/>
  <c r="CB947" i="33"/>
  <c r="CN945" i="33"/>
  <c r="CH944" i="33"/>
  <c r="CB943" i="33"/>
  <c r="CN941" i="33"/>
  <c r="CH940" i="33"/>
  <c r="CB939" i="33"/>
  <c r="CN937" i="33"/>
  <c r="CH936" i="33"/>
  <c r="CB935" i="33"/>
  <c r="CN933" i="33"/>
  <c r="CH932" i="33"/>
  <c r="CB931" i="33"/>
  <c r="CN929" i="33"/>
  <c r="CH928" i="33"/>
  <c r="CB927" i="33"/>
  <c r="CN925" i="33"/>
  <c r="CH924" i="33"/>
  <c r="CB923" i="33"/>
  <c r="CN921" i="33"/>
  <c r="CH920" i="33"/>
  <c r="CB919" i="33"/>
  <c r="CN917" i="33"/>
  <c r="CH916" i="33"/>
  <c r="CB915" i="33"/>
  <c r="CN913" i="33"/>
  <c r="CT96" i="33"/>
  <c r="CT88" i="33"/>
  <c r="CT80" i="33"/>
  <c r="CT72" i="33"/>
  <c r="CT64" i="33"/>
  <c r="CT56" i="33"/>
  <c r="CQ49" i="33"/>
  <c r="CQ44" i="33"/>
  <c r="CT38" i="33"/>
  <c r="CQ33" i="33"/>
  <c r="CQ28" i="33"/>
  <c r="CT22" i="33"/>
  <c r="CQ17" i="33"/>
  <c r="CQ12" i="33"/>
  <c r="CT6" i="33"/>
  <c r="BY1004" i="33"/>
  <c r="CE1002" i="33"/>
  <c r="CH1000" i="33"/>
  <c r="CK998" i="33"/>
  <c r="BY997" i="33"/>
  <c r="CB995" i="33"/>
  <c r="CE993" i="33"/>
  <c r="CK991" i="33"/>
  <c r="CN989" i="33"/>
  <c r="BY988" i="33"/>
  <c r="CE986" i="33"/>
  <c r="CH984" i="33"/>
  <c r="CK982" i="33"/>
  <c r="BY981" i="33"/>
  <c r="CB979" i="33"/>
  <c r="CE977" i="33"/>
  <c r="CK975" i="33"/>
  <c r="CN973" i="33"/>
  <c r="CE972" i="33"/>
  <c r="BY971" i="33"/>
  <c r="CK969" i="33"/>
  <c r="CE968" i="33"/>
  <c r="BY967" i="33"/>
  <c r="CK965" i="33"/>
  <c r="CE964" i="33"/>
  <c r="BY963" i="33"/>
  <c r="CK961" i="33"/>
  <c r="CE960" i="33"/>
  <c r="BY959" i="33"/>
  <c r="CK957" i="33"/>
  <c r="CE956" i="33"/>
  <c r="BY955" i="33"/>
  <c r="CK953" i="33"/>
  <c r="CE952" i="33"/>
  <c r="BY951" i="33"/>
  <c r="CK949" i="33"/>
  <c r="CE948" i="33"/>
  <c r="BY947" i="33"/>
  <c r="CK945" i="33"/>
  <c r="CE944" i="33"/>
  <c r="BY943" i="33"/>
  <c r="CK941" i="33"/>
  <c r="CE940" i="33"/>
  <c r="BY939" i="33"/>
  <c r="CK937" i="33"/>
  <c r="CE936" i="33"/>
  <c r="BY935" i="33"/>
  <c r="CK933" i="33"/>
  <c r="CE932" i="33"/>
  <c r="BY931" i="33"/>
  <c r="CK929" i="33"/>
  <c r="CE928" i="33"/>
  <c r="BY927" i="33"/>
  <c r="CK925" i="33"/>
  <c r="CE924" i="33"/>
  <c r="BY923" i="33"/>
  <c r="CK921" i="33"/>
  <c r="CE920" i="33"/>
  <c r="BY919" i="33"/>
  <c r="CK917" i="33"/>
  <c r="CE916" i="33"/>
  <c r="BY915" i="33"/>
  <c r="CK913" i="33"/>
  <c r="CE912" i="33"/>
  <c r="BY911" i="33"/>
  <c r="CK909" i="33"/>
  <c r="CE908" i="33"/>
  <c r="BY907" i="33"/>
  <c r="CK905" i="33"/>
  <c r="CE904" i="33"/>
  <c r="CQ104" i="33"/>
  <c r="CQ96" i="33"/>
  <c r="CQ88" i="33"/>
  <c r="CQ80" i="33"/>
  <c r="CQ72" i="33"/>
  <c r="CQ64" i="33"/>
  <c r="CQ56" i="33"/>
  <c r="CT48" i="33"/>
  <c r="CQ43" i="33"/>
  <c r="CQ38" i="33"/>
  <c r="CT32" i="33"/>
  <c r="CQ27" i="33"/>
  <c r="CQ22" i="33"/>
  <c r="CT16" i="33"/>
  <c r="CQ11" i="33"/>
  <c r="CQ6" i="33"/>
  <c r="CN1003" i="33"/>
  <c r="BY1002" i="33"/>
  <c r="CE1000" i="33"/>
  <c r="CH998" i="33"/>
  <c r="CK996" i="33"/>
  <c r="BY995" i="33"/>
  <c r="CB993" i="33"/>
  <c r="CE991" i="33"/>
  <c r="CK989" i="33"/>
  <c r="CN987" i="33"/>
  <c r="BY986" i="33"/>
  <c r="CE984" i="33"/>
  <c r="CH982" i="33"/>
  <c r="CK980" i="33"/>
  <c r="BY979" i="33"/>
  <c r="CB977" i="33"/>
  <c r="CE975" i="33"/>
  <c r="CK973" i="33"/>
  <c r="CB972" i="33"/>
  <c r="CN970" i="33"/>
  <c r="CH969" i="33"/>
  <c r="CB968" i="33"/>
  <c r="CN966" i="33"/>
  <c r="CH965" i="33"/>
  <c r="CB964" i="33"/>
  <c r="CN962" i="33"/>
  <c r="CH961" i="33"/>
  <c r="CB960" i="33"/>
  <c r="CN958" i="33"/>
  <c r="CH957" i="33"/>
  <c r="CB956" i="33"/>
  <c r="CN954" i="33"/>
  <c r="CH953" i="33"/>
  <c r="CB952" i="33"/>
  <c r="CN950" i="33"/>
  <c r="CH949" i="33"/>
  <c r="CB948" i="33"/>
  <c r="CN946" i="33"/>
  <c r="CH945" i="33"/>
  <c r="CB944" i="33"/>
  <c r="CN942" i="33"/>
  <c r="CH941" i="33"/>
  <c r="CB940" i="33"/>
  <c r="CN938" i="33"/>
  <c r="CH937" i="33"/>
  <c r="CB936" i="33"/>
  <c r="CN934" i="33"/>
  <c r="CH933" i="33"/>
  <c r="CB932" i="33"/>
  <c r="CN930" i="33"/>
  <c r="CH929" i="33"/>
  <c r="CB928" i="33"/>
  <c r="CN926" i="33"/>
  <c r="CH925" i="33"/>
  <c r="CB924" i="33"/>
  <c r="CN922" i="33"/>
  <c r="CH921" i="33"/>
  <c r="CB920" i="33"/>
  <c r="CN918" i="33"/>
  <c r="CH917" i="33"/>
  <c r="CB916" i="33"/>
  <c r="CN914" i="33"/>
  <c r="CH913" i="33"/>
  <c r="CB912" i="33"/>
  <c r="CN910" i="33"/>
  <c r="CH909" i="33"/>
  <c r="CB908" i="33"/>
  <c r="CN906" i="33"/>
  <c r="CH905" i="33"/>
  <c r="CB904" i="33"/>
  <c r="CN902" i="33"/>
  <c r="CH901" i="33"/>
  <c r="CB900" i="33"/>
  <c r="CN898" i="33"/>
  <c r="CH897" i="33"/>
  <c r="CB896" i="33"/>
  <c r="CN894" i="33"/>
  <c r="CH893" i="33"/>
  <c r="CB892" i="33"/>
  <c r="CN890" i="33"/>
  <c r="CH889" i="33"/>
  <c r="CB888" i="33"/>
  <c r="CN886" i="33"/>
  <c r="CH885" i="33"/>
  <c r="CB884" i="33"/>
  <c r="CN882" i="33"/>
  <c r="CH881" i="33"/>
  <c r="CB880" i="33"/>
  <c r="CN878" i="33"/>
  <c r="CH877" i="33"/>
  <c r="CB876" i="33"/>
  <c r="CN874" i="33"/>
  <c r="CH873" i="33"/>
  <c r="CB872" i="33"/>
  <c r="CN870" i="33"/>
  <c r="CH869" i="33"/>
  <c r="CB868" i="33"/>
  <c r="CN866" i="33"/>
  <c r="CH865" i="33"/>
  <c r="CB864" i="33"/>
  <c r="CN862" i="33"/>
  <c r="CH861" i="33"/>
  <c r="CB860" i="33"/>
  <c r="CN858" i="33"/>
  <c r="CH857" i="33"/>
  <c r="CB856" i="33"/>
  <c r="CN854" i="33"/>
  <c r="CT102" i="33"/>
  <c r="CT94" i="33"/>
  <c r="CT86" i="33"/>
  <c r="CT78" i="33"/>
  <c r="CT70" i="33"/>
  <c r="CT62" i="33"/>
  <c r="CT54" i="33"/>
  <c r="CQ48" i="33"/>
  <c r="CT42" i="33"/>
  <c r="CQ37" i="33"/>
  <c r="CQ32" i="33"/>
  <c r="CT26" i="33"/>
  <c r="CQ21" i="33"/>
  <c r="CQ16" i="33"/>
  <c r="CT10" i="33"/>
  <c r="CQ5" i="33"/>
  <c r="CK1003" i="33"/>
  <c r="CN1001" i="33"/>
  <c r="BY1000" i="33"/>
  <c r="CE998" i="33"/>
  <c r="CH996" i="33"/>
  <c r="CK994" i="33"/>
  <c r="BY993" i="33"/>
  <c r="CB991" i="33"/>
  <c r="CE989" i="33"/>
  <c r="CK987" i="33"/>
  <c r="CN985" i="33"/>
  <c r="BY984" i="33"/>
  <c r="CE982" i="33"/>
  <c r="CH980" i="33"/>
  <c r="CK978" i="33"/>
  <c r="BY977" i="33"/>
  <c r="CB975" i="33"/>
  <c r="CE973" i="33"/>
  <c r="BY972" i="33"/>
  <c r="CK970" i="33"/>
  <c r="CE969" i="33"/>
  <c r="BY968" i="33"/>
  <c r="CK966" i="33"/>
  <c r="CE965" i="33"/>
  <c r="BY964" i="33"/>
  <c r="CK962" i="33"/>
  <c r="CE961" i="33"/>
  <c r="BY960" i="33"/>
  <c r="CK958" i="33"/>
  <c r="CE957" i="33"/>
  <c r="BY956" i="33"/>
  <c r="CK954" i="33"/>
  <c r="CE953" i="33"/>
  <c r="BY952" i="33"/>
  <c r="CK950" i="33"/>
  <c r="CE949" i="33"/>
  <c r="BY948" i="33"/>
  <c r="CK946" i="33"/>
  <c r="CE945" i="33"/>
  <c r="BY944" i="33"/>
  <c r="CK942" i="33"/>
  <c r="CE941" i="33"/>
  <c r="BY940" i="33"/>
  <c r="CK938" i="33"/>
  <c r="CE937" i="33"/>
  <c r="BY936" i="33"/>
  <c r="CK934" i="33"/>
  <c r="CE933" i="33"/>
  <c r="BY932" i="33"/>
  <c r="CK930" i="33"/>
  <c r="CE929" i="33"/>
  <c r="BY928" i="33"/>
  <c r="CK926" i="33"/>
  <c r="CE925" i="33"/>
  <c r="BY924" i="33"/>
  <c r="CK922" i="33"/>
  <c r="CE921" i="33"/>
  <c r="BY920" i="33"/>
  <c r="CK918" i="33"/>
  <c r="CE917" i="33"/>
  <c r="CQ102" i="33"/>
  <c r="CQ94" i="33"/>
  <c r="CQ86" i="33"/>
  <c r="CQ78" i="33"/>
  <c r="CQ70" i="33"/>
  <c r="CQ62" i="33"/>
  <c r="CQ54" i="33"/>
  <c r="CQ47" i="33"/>
  <c r="CQ42" i="33"/>
  <c r="CT36" i="33"/>
  <c r="CQ31" i="33"/>
  <c r="CQ26" i="33"/>
  <c r="CT20" i="33"/>
  <c r="CQ15" i="33"/>
  <c r="CQ10" i="33"/>
  <c r="CT4" i="33"/>
  <c r="CE1003" i="33"/>
  <c r="CK1001" i="33"/>
  <c r="CN999" i="33"/>
  <c r="BY998" i="33"/>
  <c r="CE996" i="33"/>
  <c r="CH994" i="33"/>
  <c r="CK992" i="33"/>
  <c r="BY991" i="33"/>
  <c r="CB989" i="33"/>
  <c r="CE987" i="33"/>
  <c r="CK985" i="33"/>
  <c r="CN983" i="33"/>
  <c r="BY982" i="33"/>
  <c r="CE980" i="33"/>
  <c r="CH978" i="33"/>
  <c r="CK976" i="33"/>
  <c r="BY975" i="33"/>
  <c r="CB973" i="33"/>
  <c r="CN971" i="33"/>
  <c r="CH970" i="33"/>
  <c r="CB969" i="33"/>
  <c r="CN967" i="33"/>
  <c r="CH966" i="33"/>
  <c r="CB965" i="33"/>
  <c r="CN963" i="33"/>
  <c r="CH962" i="33"/>
  <c r="CB961" i="33"/>
  <c r="CN959" i="33"/>
  <c r="CH958" i="33"/>
  <c r="CB957" i="33"/>
  <c r="CN955" i="33"/>
  <c r="CH954" i="33"/>
  <c r="CB953" i="33"/>
  <c r="CN951" i="33"/>
  <c r="CH950" i="33"/>
  <c r="CB949" i="33"/>
  <c r="CN947" i="33"/>
  <c r="CH946" i="33"/>
  <c r="CB945" i="33"/>
  <c r="CN943" i="33"/>
  <c r="CH942" i="33"/>
  <c r="CB941" i="33"/>
  <c r="CN939" i="33"/>
  <c r="CH938" i="33"/>
  <c r="CB937" i="33"/>
  <c r="CN935" i="33"/>
  <c r="CH934" i="33"/>
  <c r="CB933" i="33"/>
  <c r="CN931" i="33"/>
  <c r="CH930" i="33"/>
  <c r="CB929" i="33"/>
  <c r="CN927" i="33"/>
  <c r="CH926" i="33"/>
  <c r="CB925" i="33"/>
  <c r="CN923" i="33"/>
  <c r="CH922" i="33"/>
  <c r="CB921" i="33"/>
  <c r="CN919" i="33"/>
  <c r="CH918" i="33"/>
  <c r="CB917" i="33"/>
  <c r="CN915" i="33"/>
  <c r="CH914" i="33"/>
  <c r="CB913" i="33"/>
  <c r="CT100" i="33"/>
  <c r="CT92" i="33"/>
  <c r="CT84" i="33"/>
  <c r="CT76" i="33"/>
  <c r="CT68" i="33"/>
  <c r="CT60" i="33"/>
  <c r="CT52" i="33"/>
  <c r="CT46" i="33"/>
  <c r="CQ41" i="33"/>
  <c r="CQ36" i="33"/>
  <c r="CT30" i="33"/>
  <c r="CQ25" i="33"/>
  <c r="CQ20" i="33"/>
  <c r="CT14" i="33"/>
  <c r="CQ9" i="33"/>
  <c r="CQ4" i="33"/>
  <c r="CB1003" i="33"/>
  <c r="CE1001" i="33"/>
  <c r="CK999" i="33"/>
  <c r="CN997" i="33"/>
  <c r="BY996" i="33"/>
  <c r="CE994" i="33"/>
  <c r="CH992" i="33"/>
  <c r="CK990" i="33"/>
  <c r="BY989" i="33"/>
  <c r="CB987" i="33"/>
  <c r="CE985" i="33"/>
  <c r="CK983" i="33"/>
  <c r="CN981" i="33"/>
  <c r="BY980" i="33"/>
  <c r="CE978" i="33"/>
  <c r="CH976" i="33"/>
  <c r="CK974" i="33"/>
  <c r="BY973" i="33"/>
  <c r="CK971" i="33"/>
  <c r="CE970" i="33"/>
  <c r="BY969" i="33"/>
  <c r="CK967" i="33"/>
  <c r="CE966" i="33"/>
  <c r="BY965" i="33"/>
  <c r="CK963" i="33"/>
  <c r="CE962" i="33"/>
  <c r="BY961" i="33"/>
  <c r="CK959" i="33"/>
  <c r="CE958" i="33"/>
  <c r="BY957" i="33"/>
  <c r="CK955" i="33"/>
  <c r="CE954" i="33"/>
  <c r="BY953" i="33"/>
  <c r="CK951" i="33"/>
  <c r="CE950" i="33"/>
  <c r="BY949" i="33"/>
  <c r="CK947" i="33"/>
  <c r="CE946" i="33"/>
  <c r="BY945" i="33"/>
  <c r="CK943" i="33"/>
  <c r="CE942" i="33"/>
  <c r="BY941" i="33"/>
  <c r="CK939" i="33"/>
  <c r="CE938" i="33"/>
  <c r="BY937" i="33"/>
  <c r="CK935" i="33"/>
  <c r="CE934" i="33"/>
  <c r="BY933" i="33"/>
  <c r="CK931" i="33"/>
  <c r="CE930" i="33"/>
  <c r="BY929" i="33"/>
  <c r="CK927" i="33"/>
  <c r="CE926" i="33"/>
  <c r="BY925" i="33"/>
  <c r="CK923" i="33"/>
  <c r="CE922" i="33"/>
  <c r="BY921" i="33"/>
  <c r="CK919" i="33"/>
  <c r="CE918" i="33"/>
  <c r="BY917" i="33"/>
  <c r="CK915" i="33"/>
  <c r="CE914" i="33"/>
  <c r="BY913" i="33"/>
  <c r="CK911" i="33"/>
  <c r="CE910" i="33"/>
  <c r="BY909" i="33"/>
  <c r="CK907" i="33"/>
  <c r="CE906" i="33"/>
  <c r="BY905" i="33"/>
  <c r="CQ100" i="33"/>
  <c r="CQ92" i="33"/>
  <c r="CQ84" i="33"/>
  <c r="CQ76" i="33"/>
  <c r="CQ68" i="33"/>
  <c r="CQ60" i="33"/>
  <c r="CQ52" i="33"/>
  <c r="CQ46" i="33"/>
  <c r="CT40" i="33"/>
  <c r="CQ35" i="33"/>
  <c r="CQ30" i="33"/>
  <c r="CT24" i="33"/>
  <c r="CQ19" i="33"/>
  <c r="CQ14" i="33"/>
  <c r="CT8" i="33"/>
  <c r="CK1004" i="33"/>
  <c r="BY1003" i="33"/>
  <c r="CB1001" i="33"/>
  <c r="CE999" i="33"/>
  <c r="CK997" i="33"/>
  <c r="CN995" i="33"/>
  <c r="BY994" i="33"/>
  <c r="CE992" i="33"/>
  <c r="CH990" i="33"/>
  <c r="CK988" i="33"/>
  <c r="BY987" i="33"/>
  <c r="CB985" i="33"/>
  <c r="CE983" i="33"/>
  <c r="CK981" i="33"/>
  <c r="CN979" i="33"/>
  <c r="BY978" i="33"/>
  <c r="CE976" i="33"/>
  <c r="CH974" i="33"/>
  <c r="CN972" i="33"/>
  <c r="CH971" i="33"/>
  <c r="CB970" i="33"/>
  <c r="CN968" i="33"/>
  <c r="CH967" i="33"/>
  <c r="CB966" i="33"/>
  <c r="CN964" i="33"/>
  <c r="CH963" i="33"/>
  <c r="CB962" i="33"/>
  <c r="CN960" i="33"/>
  <c r="CH959" i="33"/>
  <c r="CB958" i="33"/>
  <c r="CN956" i="33"/>
  <c r="CH955" i="33"/>
  <c r="CB954" i="33"/>
  <c r="CN952" i="33"/>
  <c r="CH951" i="33"/>
  <c r="CB950" i="33"/>
  <c r="CN948" i="33"/>
  <c r="CH947" i="33"/>
  <c r="CB946" i="33"/>
  <c r="CN944" i="33"/>
  <c r="CH943" i="33"/>
  <c r="CB942" i="33"/>
  <c r="CN940" i="33"/>
  <c r="CH939" i="33"/>
  <c r="CB938" i="33"/>
  <c r="CN936" i="33"/>
  <c r="CH935" i="33"/>
  <c r="CB934" i="33"/>
  <c r="CN932" i="33"/>
  <c r="CH931" i="33"/>
  <c r="CB930" i="33"/>
  <c r="CN928" i="33"/>
  <c r="CH927" i="33"/>
  <c r="CB926" i="33"/>
  <c r="CN924" i="33"/>
  <c r="CH923" i="33"/>
  <c r="CB922" i="33"/>
  <c r="CN920" i="33"/>
  <c r="CH919" i="33"/>
  <c r="CB918" i="33"/>
  <c r="CN916" i="33"/>
  <c r="CH915" i="33"/>
  <c r="CB914" i="33"/>
  <c r="CN912" i="33"/>
  <c r="CH911" i="33"/>
  <c r="CB910" i="33"/>
  <c r="CN908" i="33"/>
  <c r="CH907" i="33"/>
  <c r="CB906" i="33"/>
  <c r="CN904" i="33"/>
  <c r="CH903" i="33"/>
  <c r="CB902" i="33"/>
  <c r="CN900" i="33"/>
  <c r="CH899" i="33"/>
  <c r="CB898" i="33"/>
  <c r="CN896" i="33"/>
  <c r="CH895" i="33"/>
  <c r="CB894" i="33"/>
  <c r="CN892" i="33"/>
  <c r="CH891" i="33"/>
  <c r="CB890" i="33"/>
  <c r="CN888" i="33"/>
  <c r="CH887" i="33"/>
  <c r="CB886" i="33"/>
  <c r="CN884" i="33"/>
  <c r="CH883" i="33"/>
  <c r="CB882" i="33"/>
  <c r="CN880" i="33"/>
  <c r="CH879" i="33"/>
  <c r="CB878" i="33"/>
  <c r="CN876" i="33"/>
  <c r="CH875" i="33"/>
  <c r="CB874" i="33"/>
  <c r="CN872" i="33"/>
  <c r="CH871" i="33"/>
  <c r="CB870" i="33"/>
  <c r="CN868" i="33"/>
  <c r="CH867" i="33"/>
  <c r="CB866" i="33"/>
  <c r="CN864" i="33"/>
  <c r="CH863" i="33"/>
  <c r="CB862" i="33"/>
  <c r="CN860" i="33"/>
  <c r="CE919" i="33"/>
  <c r="CK912" i="33"/>
  <c r="BY910" i="33"/>
  <c r="CE907" i="33"/>
  <c r="CK904" i="33"/>
  <c r="CK902" i="33"/>
  <c r="BY901" i="33"/>
  <c r="CB899" i="33"/>
  <c r="CE897" i="33"/>
  <c r="CK895" i="33"/>
  <c r="CN893" i="33"/>
  <c r="BY892" i="33"/>
  <c r="CE890" i="33"/>
  <c r="CH888" i="33"/>
  <c r="CK886" i="33"/>
  <c r="BY885" i="33"/>
  <c r="CB883" i="33"/>
  <c r="CE881" i="33"/>
  <c r="CK879" i="33"/>
  <c r="CN877" i="33"/>
  <c r="BY876" i="33"/>
  <c r="CE874" i="33"/>
  <c r="CH872" i="33"/>
  <c r="CK870" i="33"/>
  <c r="BY869" i="33"/>
  <c r="CB867" i="33"/>
  <c r="CE865" i="33"/>
  <c r="CK863" i="33"/>
  <c r="CN861" i="33"/>
  <c r="BY860" i="33"/>
  <c r="CH858" i="33"/>
  <c r="BY857" i="33"/>
  <c r="CH855" i="33"/>
  <c r="BY854" i="33"/>
  <c r="CK852" i="33"/>
  <c r="CE851" i="33"/>
  <c r="BY850" i="33"/>
  <c r="CK848" i="33"/>
  <c r="CE847" i="33"/>
  <c r="BY846" i="33"/>
  <c r="CK844" i="33"/>
  <c r="CE843" i="33"/>
  <c r="BY842" i="33"/>
  <c r="CK840" i="33"/>
  <c r="CE839" i="33"/>
  <c r="BY838" i="33"/>
  <c r="CK836" i="33"/>
  <c r="CE835" i="33"/>
  <c r="BY834" i="33"/>
  <c r="CK832" i="33"/>
  <c r="CE831" i="33"/>
  <c r="BY830" i="33"/>
  <c r="CK828" i="33"/>
  <c r="CE827" i="33"/>
  <c r="BY826" i="33"/>
  <c r="CK824" i="33"/>
  <c r="CE823" i="33"/>
  <c r="BY822" i="33"/>
  <c r="CK820" i="33"/>
  <c r="CE819" i="33"/>
  <c r="BY818" i="33"/>
  <c r="CK816" i="33"/>
  <c r="CE815" i="33"/>
  <c r="BY814" i="33"/>
  <c r="CK812" i="33"/>
  <c r="CE811" i="33"/>
  <c r="BY810" i="33"/>
  <c r="CK808" i="33"/>
  <c r="CE807" i="33"/>
  <c r="BY806" i="33"/>
  <c r="CK804" i="33"/>
  <c r="CE803" i="33"/>
  <c r="BY802" i="33"/>
  <c r="CK800" i="33"/>
  <c r="CE799" i="33"/>
  <c r="BY798" i="33"/>
  <c r="CK796" i="33"/>
  <c r="CE795" i="33"/>
  <c r="BY794" i="33"/>
  <c r="CK792" i="33"/>
  <c r="CE791" i="33"/>
  <c r="BY790" i="33"/>
  <c r="CK788" i="33"/>
  <c r="CE787" i="33"/>
  <c r="BY786" i="33"/>
  <c r="BY918" i="33"/>
  <c r="CH912" i="33"/>
  <c r="CN909" i="33"/>
  <c r="CB907" i="33"/>
  <c r="CH904" i="33"/>
  <c r="CH902" i="33"/>
  <c r="CK900" i="33"/>
  <c r="BY899" i="33"/>
  <c r="CB897" i="33"/>
  <c r="CE895" i="33"/>
  <c r="CK893" i="33"/>
  <c r="CN891" i="33"/>
  <c r="BY890" i="33"/>
  <c r="CE888" i="33"/>
  <c r="CH886" i="33"/>
  <c r="CK884" i="33"/>
  <c r="BY883" i="33"/>
  <c r="CB881" i="33"/>
  <c r="CE879" i="33"/>
  <c r="CK877" i="33"/>
  <c r="CN875" i="33"/>
  <c r="BY874" i="33"/>
  <c r="CE872" i="33"/>
  <c r="CH870" i="33"/>
  <c r="CK868" i="33"/>
  <c r="BY867" i="33"/>
  <c r="CB865" i="33"/>
  <c r="CE863" i="33"/>
  <c r="CK861" i="33"/>
  <c r="CN859" i="33"/>
  <c r="CE858" i="33"/>
  <c r="CN856" i="33"/>
  <c r="CE855" i="33"/>
  <c r="CN853" i="33"/>
  <c r="CH852" i="33"/>
  <c r="CB851" i="33"/>
  <c r="CN849" i="33"/>
  <c r="CH848" i="33"/>
  <c r="CB847" i="33"/>
  <c r="CN845" i="33"/>
  <c r="CH844" i="33"/>
  <c r="CB843" i="33"/>
  <c r="CN841" i="33"/>
  <c r="CH840" i="33"/>
  <c r="CB839" i="33"/>
  <c r="CN837" i="33"/>
  <c r="CH836" i="33"/>
  <c r="CB835" i="33"/>
  <c r="CN833" i="33"/>
  <c r="CH832" i="33"/>
  <c r="CB831" i="33"/>
  <c r="CN829" i="33"/>
  <c r="CH828" i="33"/>
  <c r="CB827" i="33"/>
  <c r="CN825" i="33"/>
  <c r="CH824" i="33"/>
  <c r="CB823" i="33"/>
  <c r="CN821" i="33"/>
  <c r="CH820" i="33"/>
  <c r="CB819" i="33"/>
  <c r="CN817" i="33"/>
  <c r="CH816" i="33"/>
  <c r="CB815" i="33"/>
  <c r="CN813" i="33"/>
  <c r="CH812" i="33"/>
  <c r="CB811" i="33"/>
  <c r="CN809" i="33"/>
  <c r="CH808" i="33"/>
  <c r="CB807" i="33"/>
  <c r="CN805" i="33"/>
  <c r="CH804" i="33"/>
  <c r="CB803" i="33"/>
  <c r="CN801" i="33"/>
  <c r="CH800" i="33"/>
  <c r="CB799" i="33"/>
  <c r="CN797" i="33"/>
  <c r="CH796" i="33"/>
  <c r="CB795" i="33"/>
  <c r="CN793" i="33"/>
  <c r="CH792" i="33"/>
  <c r="CB791" i="33"/>
  <c r="CN789" i="33"/>
  <c r="CH788" i="33"/>
  <c r="CB787" i="33"/>
  <c r="CN785" i="33"/>
  <c r="CK916" i="33"/>
  <c r="BY912" i="33"/>
  <c r="CE909" i="33"/>
  <c r="CK906" i="33"/>
  <c r="BY904" i="33"/>
  <c r="CE902" i="33"/>
  <c r="CH900" i="33"/>
  <c r="CK898" i="33"/>
  <c r="BY897" i="33"/>
  <c r="CB895" i="33"/>
  <c r="CE893" i="33"/>
  <c r="CK891" i="33"/>
  <c r="CN889" i="33"/>
  <c r="BY888" i="33"/>
  <c r="CE886" i="33"/>
  <c r="CH884" i="33"/>
  <c r="CK882" i="33"/>
  <c r="BY881" i="33"/>
  <c r="CB879" i="33"/>
  <c r="CE877" i="33"/>
  <c r="CK875" i="33"/>
  <c r="CN873" i="33"/>
  <c r="BY872" i="33"/>
  <c r="CE870" i="33"/>
  <c r="CH868" i="33"/>
  <c r="CK866" i="33"/>
  <c r="BY865" i="33"/>
  <c r="CB863" i="33"/>
  <c r="CE861" i="33"/>
  <c r="CK859" i="33"/>
  <c r="CB858" i="33"/>
  <c r="CK856" i="33"/>
  <c r="CB855" i="33"/>
  <c r="CK853" i="33"/>
  <c r="CE852" i="33"/>
  <c r="BY851" i="33"/>
  <c r="CK849" i="33"/>
  <c r="CE848" i="33"/>
  <c r="BY847" i="33"/>
  <c r="CK845" i="33"/>
  <c r="CE844" i="33"/>
  <c r="BY843" i="33"/>
  <c r="CK841" i="33"/>
  <c r="CE840" i="33"/>
  <c r="BY839" i="33"/>
  <c r="CK837" i="33"/>
  <c r="CE836" i="33"/>
  <c r="BY835" i="33"/>
  <c r="CK833" i="33"/>
  <c r="CE832" i="33"/>
  <c r="BY831" i="33"/>
  <c r="CK829" i="33"/>
  <c r="CE828" i="33"/>
  <c r="BY827" i="33"/>
  <c r="CK825" i="33"/>
  <c r="CE824" i="33"/>
  <c r="BY823" i="33"/>
  <c r="CK821" i="33"/>
  <c r="CE820" i="33"/>
  <c r="BY819" i="33"/>
  <c r="CK817" i="33"/>
  <c r="CE816" i="33"/>
  <c r="BY815" i="33"/>
  <c r="CK813" i="33"/>
  <c r="CE812" i="33"/>
  <c r="BY811" i="33"/>
  <c r="CK809" i="33"/>
  <c r="CE808" i="33"/>
  <c r="BY807" i="33"/>
  <c r="CK805" i="33"/>
  <c r="CE804" i="33"/>
  <c r="BY803" i="33"/>
  <c r="CK801" i="33"/>
  <c r="CE800" i="33"/>
  <c r="BY799" i="33"/>
  <c r="CK797" i="33"/>
  <c r="CE796" i="33"/>
  <c r="BY795" i="33"/>
  <c r="CK793" i="33"/>
  <c r="CE792" i="33"/>
  <c r="BY791" i="33"/>
  <c r="CK789" i="33"/>
  <c r="CE788" i="33"/>
  <c r="BY787" i="33"/>
  <c r="CK785" i="33"/>
  <c r="BY926" i="33"/>
  <c r="BY916" i="33"/>
  <c r="CN911" i="33"/>
  <c r="CB909" i="33"/>
  <c r="CH906" i="33"/>
  <c r="CN903" i="33"/>
  <c r="BY902" i="33"/>
  <c r="CE900" i="33"/>
  <c r="CH898" i="33"/>
  <c r="CK896" i="33"/>
  <c r="BY895" i="33"/>
  <c r="CB893" i="33"/>
  <c r="CE891" i="33"/>
  <c r="CK889" i="33"/>
  <c r="CN887" i="33"/>
  <c r="BY886" i="33"/>
  <c r="CE884" i="33"/>
  <c r="CH882" i="33"/>
  <c r="CK880" i="33"/>
  <c r="BY879" i="33"/>
  <c r="CB877" i="33"/>
  <c r="CE875" i="33"/>
  <c r="CK873" i="33"/>
  <c r="CN871" i="33"/>
  <c r="BY870" i="33"/>
  <c r="CE868" i="33"/>
  <c r="CH866" i="33"/>
  <c r="CK864" i="33"/>
  <c r="BY863" i="33"/>
  <c r="CB861" i="33"/>
  <c r="CH859" i="33"/>
  <c r="BY858" i="33"/>
  <c r="CH856" i="33"/>
  <c r="BY855" i="33"/>
  <c r="CH853" i="33"/>
  <c r="CB852" i="33"/>
  <c r="CN850" i="33"/>
  <c r="CH849" i="33"/>
  <c r="CB848" i="33"/>
  <c r="CN846" i="33"/>
  <c r="CH845" i="33"/>
  <c r="CB844" i="33"/>
  <c r="CN842" i="33"/>
  <c r="CH841" i="33"/>
  <c r="CB840" i="33"/>
  <c r="CN838" i="33"/>
  <c r="CH837" i="33"/>
  <c r="CB836" i="33"/>
  <c r="CN834" i="33"/>
  <c r="CH833" i="33"/>
  <c r="CB832" i="33"/>
  <c r="CN830" i="33"/>
  <c r="CH829" i="33"/>
  <c r="CB828" i="33"/>
  <c r="CN826" i="33"/>
  <c r="CH825" i="33"/>
  <c r="CB824" i="33"/>
  <c r="CN822" i="33"/>
  <c r="CH821" i="33"/>
  <c r="CB820" i="33"/>
  <c r="CN818" i="33"/>
  <c r="CH817" i="33"/>
  <c r="CB816" i="33"/>
  <c r="CN814" i="33"/>
  <c r="CH813" i="33"/>
  <c r="CB812" i="33"/>
  <c r="CN810" i="33"/>
  <c r="CH809" i="33"/>
  <c r="CB808" i="33"/>
  <c r="CN806" i="33"/>
  <c r="CH805" i="33"/>
  <c r="CB804" i="33"/>
  <c r="CN802" i="33"/>
  <c r="CH801" i="33"/>
  <c r="CB800" i="33"/>
  <c r="CN798" i="33"/>
  <c r="CH797" i="33"/>
  <c r="CB796" i="33"/>
  <c r="CN794" i="33"/>
  <c r="CH793" i="33"/>
  <c r="CB792" i="33"/>
  <c r="CN790" i="33"/>
  <c r="CH789" i="33"/>
  <c r="CB788" i="33"/>
  <c r="CN786" i="33"/>
  <c r="CH785" i="33"/>
  <c r="CB784" i="33"/>
  <c r="CN782" i="33"/>
  <c r="CH781" i="33"/>
  <c r="CB780" i="33"/>
  <c r="CN778" i="33"/>
  <c r="CH777" i="33"/>
  <c r="CB776" i="33"/>
  <c r="CN774" i="33"/>
  <c r="CH773" i="33"/>
  <c r="CB772" i="33"/>
  <c r="CN770" i="33"/>
  <c r="CH769" i="33"/>
  <c r="CB768" i="33"/>
  <c r="CN766" i="33"/>
  <c r="CH765" i="33"/>
  <c r="CB764" i="33"/>
  <c r="CN762" i="33"/>
  <c r="CH761" i="33"/>
  <c r="CB760" i="33"/>
  <c r="CN758" i="33"/>
  <c r="CH757" i="33"/>
  <c r="CB756" i="33"/>
  <c r="CN754" i="33"/>
  <c r="CH753" i="33"/>
  <c r="CB752" i="33"/>
  <c r="CN750" i="33"/>
  <c r="CH749" i="33"/>
  <c r="CB748" i="33"/>
  <c r="CN746" i="33"/>
  <c r="CH745" i="33"/>
  <c r="CB744" i="33"/>
  <c r="CN742" i="33"/>
  <c r="CH741" i="33"/>
  <c r="CB740" i="33"/>
  <c r="CN738" i="33"/>
  <c r="CH737" i="33"/>
  <c r="CB736" i="33"/>
  <c r="CN734" i="33"/>
  <c r="CH733" i="33"/>
  <c r="CB732" i="33"/>
  <c r="CN730" i="33"/>
  <c r="CH729" i="33"/>
  <c r="CB728" i="33"/>
  <c r="CN726" i="33"/>
  <c r="CK924" i="33"/>
  <c r="CE915" i="33"/>
  <c r="CE911" i="33"/>
  <c r="CK908" i="33"/>
  <c r="BY906" i="33"/>
  <c r="CK903" i="33"/>
  <c r="CN901" i="33"/>
  <c r="BY900" i="33"/>
  <c r="CE898" i="33"/>
  <c r="CH896" i="33"/>
  <c r="CK894" i="33"/>
  <c r="BY893" i="33"/>
  <c r="CB891" i="33"/>
  <c r="CE889" i="33"/>
  <c r="CK887" i="33"/>
  <c r="CN885" i="33"/>
  <c r="BY884" i="33"/>
  <c r="CE882" i="33"/>
  <c r="CH880" i="33"/>
  <c r="CK878" i="33"/>
  <c r="BY877" i="33"/>
  <c r="CB875" i="33"/>
  <c r="CE873" i="33"/>
  <c r="CK871" i="33"/>
  <c r="CN869" i="33"/>
  <c r="BY868" i="33"/>
  <c r="CE866" i="33"/>
  <c r="CH864" i="33"/>
  <c r="CK862" i="33"/>
  <c r="BY861" i="33"/>
  <c r="CE859" i="33"/>
  <c r="CN857" i="33"/>
  <c r="CE856" i="33"/>
  <c r="CK854" i="33"/>
  <c r="CE853" i="33"/>
  <c r="BY852" i="33"/>
  <c r="CK850" i="33"/>
  <c r="CE849" i="33"/>
  <c r="BY848" i="33"/>
  <c r="CK846" i="33"/>
  <c r="CE845" i="33"/>
  <c r="BY844" i="33"/>
  <c r="CK842" i="33"/>
  <c r="CE841" i="33"/>
  <c r="BY840" i="33"/>
  <c r="CK838" i="33"/>
  <c r="CE837" i="33"/>
  <c r="BY836" i="33"/>
  <c r="CK834" i="33"/>
  <c r="CE833" i="33"/>
  <c r="BY832" i="33"/>
  <c r="CK830" i="33"/>
  <c r="CE829" i="33"/>
  <c r="BY828" i="33"/>
  <c r="CK826" i="33"/>
  <c r="CE825" i="33"/>
  <c r="BY824" i="33"/>
  <c r="CK822" i="33"/>
  <c r="CE821" i="33"/>
  <c r="BY820" i="33"/>
  <c r="CK818" i="33"/>
  <c r="CE817" i="33"/>
  <c r="BY816" i="33"/>
  <c r="CK814" i="33"/>
  <c r="CE813" i="33"/>
  <c r="BY812" i="33"/>
  <c r="CK810" i="33"/>
  <c r="CE809" i="33"/>
  <c r="BY808" i="33"/>
  <c r="CK806" i="33"/>
  <c r="CE805" i="33"/>
  <c r="BY804" i="33"/>
  <c r="CK802" i="33"/>
  <c r="CE801" i="33"/>
  <c r="BY800" i="33"/>
  <c r="CK798" i="33"/>
  <c r="CE797" i="33"/>
  <c r="BY796" i="33"/>
  <c r="CK794" i="33"/>
  <c r="CE793" i="33"/>
  <c r="BY792" i="33"/>
  <c r="CK790" i="33"/>
  <c r="CE789" i="33"/>
  <c r="BY788" i="33"/>
  <c r="CK786" i="33"/>
  <c r="CE785" i="33"/>
  <c r="CE923" i="33"/>
  <c r="CK914" i="33"/>
  <c r="CB911" i="33"/>
  <c r="CH908" i="33"/>
  <c r="CN905" i="33"/>
  <c r="CE903" i="33"/>
  <c r="CK901" i="33"/>
  <c r="CN899" i="33"/>
  <c r="BY898" i="33"/>
  <c r="CE896" i="33"/>
  <c r="CH894" i="33"/>
  <c r="CK892" i="33"/>
  <c r="BY891" i="33"/>
  <c r="CB889" i="33"/>
  <c r="CE887" i="33"/>
  <c r="CK885" i="33"/>
  <c r="CN883" i="33"/>
  <c r="BY882" i="33"/>
  <c r="CE880" i="33"/>
  <c r="CH878" i="33"/>
  <c r="CK876" i="33"/>
  <c r="BY875" i="33"/>
  <c r="CB873" i="33"/>
  <c r="CE871" i="33"/>
  <c r="CK869" i="33"/>
  <c r="CN867" i="33"/>
  <c r="BY866" i="33"/>
  <c r="CE864" i="33"/>
  <c r="CH862" i="33"/>
  <c r="CK860" i="33"/>
  <c r="CB859" i="33"/>
  <c r="CK857" i="33"/>
  <c r="BY856" i="33"/>
  <c r="CH854" i="33"/>
  <c r="CB853" i="33"/>
  <c r="CN851" i="33"/>
  <c r="CH850" i="33"/>
  <c r="CB849" i="33"/>
  <c r="CN847" i="33"/>
  <c r="CH846" i="33"/>
  <c r="CB845" i="33"/>
  <c r="CN843" i="33"/>
  <c r="CH842" i="33"/>
  <c r="CB841" i="33"/>
  <c r="CN839" i="33"/>
  <c r="CH838" i="33"/>
  <c r="CB837" i="33"/>
  <c r="CN835" i="33"/>
  <c r="CH834" i="33"/>
  <c r="CB833" i="33"/>
  <c r="CN831" i="33"/>
  <c r="CH830" i="33"/>
  <c r="CB829" i="33"/>
  <c r="CN827" i="33"/>
  <c r="CH826" i="33"/>
  <c r="CB825" i="33"/>
  <c r="CN823" i="33"/>
  <c r="CH822" i="33"/>
  <c r="CB821" i="33"/>
  <c r="CN819" i="33"/>
  <c r="CH818" i="33"/>
  <c r="CB817" i="33"/>
  <c r="CN815" i="33"/>
  <c r="CH814" i="33"/>
  <c r="CB813" i="33"/>
  <c r="CN811" i="33"/>
  <c r="CH810" i="33"/>
  <c r="CB809" i="33"/>
  <c r="CN807" i="33"/>
  <c r="CH806" i="33"/>
  <c r="CB805" i="33"/>
  <c r="CN803" i="33"/>
  <c r="CH802" i="33"/>
  <c r="CB801" i="33"/>
  <c r="CN799" i="33"/>
  <c r="CH798" i="33"/>
  <c r="CB797" i="33"/>
  <c r="CN795" i="33"/>
  <c r="CH794" i="33"/>
  <c r="CB793" i="33"/>
  <c r="CN791" i="33"/>
  <c r="CH790" i="33"/>
  <c r="CB789" i="33"/>
  <c r="CN787" i="33"/>
  <c r="CH786" i="33"/>
  <c r="BY922" i="33"/>
  <c r="BY914" i="33"/>
  <c r="CK910" i="33"/>
  <c r="BY908" i="33"/>
  <c r="CE905" i="33"/>
  <c r="CB903" i="33"/>
  <c r="CE901" i="33"/>
  <c r="CK899" i="33"/>
  <c r="CN897" i="33"/>
  <c r="BY896" i="33"/>
  <c r="CE894" i="33"/>
  <c r="CH892" i="33"/>
  <c r="CK890" i="33"/>
  <c r="BY889" i="33"/>
  <c r="CB887" i="33"/>
  <c r="CE885" i="33"/>
  <c r="CK883" i="33"/>
  <c r="CN881" i="33"/>
  <c r="BY880" i="33"/>
  <c r="CE878" i="33"/>
  <c r="CH876" i="33"/>
  <c r="CK874" i="33"/>
  <c r="BY873" i="33"/>
  <c r="CB871" i="33"/>
  <c r="CE869" i="33"/>
  <c r="CK867" i="33"/>
  <c r="CN865" i="33"/>
  <c r="BY864" i="33"/>
  <c r="CE862" i="33"/>
  <c r="CH860" i="33"/>
  <c r="BY859" i="33"/>
  <c r="CE857" i="33"/>
  <c r="CN855" i="33"/>
  <c r="CE854" i="33"/>
  <c r="BY853" i="33"/>
  <c r="CK851" i="33"/>
  <c r="CE850" i="33"/>
  <c r="BY849" i="33"/>
  <c r="CK847" i="33"/>
  <c r="CE846" i="33"/>
  <c r="BY845" i="33"/>
  <c r="CK843" i="33"/>
  <c r="CE842" i="33"/>
  <c r="BY841" i="33"/>
  <c r="CK839" i="33"/>
  <c r="CE838" i="33"/>
  <c r="BY837" i="33"/>
  <c r="CK835" i="33"/>
  <c r="CE834" i="33"/>
  <c r="BY833" i="33"/>
  <c r="CK831" i="33"/>
  <c r="CE830" i="33"/>
  <c r="BY829" i="33"/>
  <c r="CK827" i="33"/>
  <c r="CE826" i="33"/>
  <c r="BY825" i="33"/>
  <c r="CK823" i="33"/>
  <c r="CE822" i="33"/>
  <c r="BY821" i="33"/>
  <c r="CK819" i="33"/>
  <c r="CE818" i="33"/>
  <c r="BY817" i="33"/>
  <c r="CK815" i="33"/>
  <c r="CE814" i="33"/>
  <c r="BY813" i="33"/>
  <c r="CK811" i="33"/>
  <c r="CE810" i="33"/>
  <c r="BY809" i="33"/>
  <c r="CK807" i="33"/>
  <c r="CE806" i="33"/>
  <c r="BY805" i="33"/>
  <c r="CK803" i="33"/>
  <c r="CE802" i="33"/>
  <c r="BY801" i="33"/>
  <c r="CK799" i="33"/>
  <c r="CE798" i="33"/>
  <c r="BY797" i="33"/>
  <c r="CK795" i="33"/>
  <c r="CE794" i="33"/>
  <c r="BY793" i="33"/>
  <c r="CK791" i="33"/>
  <c r="CE790" i="33"/>
  <c r="BY789" i="33"/>
  <c r="CK787" i="33"/>
  <c r="CE786" i="33"/>
  <c r="BY785" i="33"/>
  <c r="CK920" i="33"/>
  <c r="CE913" i="33"/>
  <c r="CH910" i="33"/>
  <c r="CN907" i="33"/>
  <c r="CB905" i="33"/>
  <c r="BY903" i="33"/>
  <c r="CB901" i="33"/>
  <c r="CE899" i="33"/>
  <c r="CK897" i="33"/>
  <c r="CN895" i="33"/>
  <c r="BY894" i="33"/>
  <c r="CE892" i="33"/>
  <c r="CH890" i="33"/>
  <c r="CK888" i="33"/>
  <c r="BY887" i="33"/>
  <c r="CB885" i="33"/>
  <c r="CE883" i="33"/>
  <c r="CK881" i="33"/>
  <c r="CN879" i="33"/>
  <c r="BY878" i="33"/>
  <c r="CE876" i="33"/>
  <c r="CH874" i="33"/>
  <c r="CK872" i="33"/>
  <c r="BY871" i="33"/>
  <c r="CB869" i="33"/>
  <c r="CE867" i="33"/>
  <c r="CK865" i="33"/>
  <c r="CN863" i="33"/>
  <c r="BY862" i="33"/>
  <c r="CE860" i="33"/>
  <c r="CK858" i="33"/>
  <c r="CB857" i="33"/>
  <c r="CK855" i="33"/>
  <c r="CB854" i="33"/>
  <c r="CN852" i="33"/>
  <c r="CH851" i="33"/>
  <c r="CB850" i="33"/>
  <c r="CN848" i="33"/>
  <c r="CH847" i="33"/>
  <c r="CB846" i="33"/>
  <c r="CN844" i="33"/>
  <c r="CH843" i="33"/>
  <c r="CB842" i="33"/>
  <c r="CN840" i="33"/>
  <c r="CH839" i="33"/>
  <c r="CB838" i="33"/>
  <c r="CN836" i="33"/>
  <c r="CH835" i="33"/>
  <c r="CB834" i="33"/>
  <c r="CN832" i="33"/>
  <c r="CH831" i="33"/>
  <c r="CB830" i="33"/>
  <c r="CN828" i="33"/>
  <c r="CH827" i="33"/>
  <c r="CB826" i="33"/>
  <c r="CN824" i="33"/>
  <c r="CH823" i="33"/>
  <c r="CB822" i="33"/>
  <c r="CN820" i="33"/>
  <c r="CH819" i="33"/>
  <c r="CB818" i="33"/>
  <c r="CN816" i="33"/>
  <c r="CH815" i="33"/>
  <c r="CB814" i="33"/>
  <c r="CN812" i="33"/>
  <c r="CH811" i="33"/>
  <c r="CB810" i="33"/>
  <c r="CN808" i="33"/>
  <c r="CH807" i="33"/>
  <c r="CB806" i="33"/>
  <c r="CN804" i="33"/>
  <c r="CH803" i="33"/>
  <c r="CB802" i="33"/>
  <c r="CN800" i="33"/>
  <c r="CH799" i="33"/>
  <c r="CB798" i="33"/>
  <c r="CN796" i="33"/>
  <c r="CH795" i="33"/>
  <c r="CB794" i="33"/>
  <c r="CN792" i="33"/>
  <c r="CH791" i="33"/>
  <c r="CB790" i="33"/>
  <c r="CN788" i="33"/>
  <c r="CH787" i="33"/>
  <c r="CB786" i="33"/>
  <c r="CN784" i="33"/>
  <c r="CH783" i="33"/>
  <c r="CB782" i="33"/>
  <c r="CN780" i="33"/>
  <c r="CH779" i="33"/>
  <c r="CB778" i="33"/>
  <c r="CN776" i="33"/>
  <c r="CH775" i="33"/>
  <c r="CB774" i="33"/>
  <c r="CN772" i="33"/>
  <c r="CH771" i="33"/>
  <c r="CB770" i="33"/>
  <c r="CN768" i="33"/>
  <c r="CH767" i="33"/>
  <c r="CB766" i="33"/>
  <c r="CN764" i="33"/>
  <c r="CH763" i="33"/>
  <c r="CB762" i="33"/>
  <c r="CN760" i="33"/>
  <c r="CH759" i="33"/>
  <c r="CB758" i="33"/>
  <c r="CN756" i="33"/>
  <c r="CH755" i="33"/>
  <c r="CB754" i="33"/>
  <c r="CN752" i="33"/>
  <c r="CH751" i="33"/>
  <c r="CB750" i="33"/>
  <c r="CN748" i="33"/>
  <c r="CH747" i="33"/>
  <c r="CB746" i="33"/>
  <c r="CN744" i="33"/>
  <c r="CH743" i="33"/>
  <c r="CB742" i="33"/>
  <c r="CN740" i="33"/>
  <c r="CH739" i="33"/>
  <c r="CB738" i="33"/>
  <c r="CN736" i="33"/>
  <c r="CH735" i="33"/>
  <c r="CB734" i="33"/>
  <c r="CN732" i="33"/>
  <c r="CH731" i="33"/>
  <c r="CB730" i="33"/>
  <c r="CN728" i="33"/>
  <c r="CH727" i="33"/>
  <c r="CN783" i="33"/>
  <c r="BY782" i="33"/>
  <c r="CE780" i="33"/>
  <c r="CH778" i="33"/>
  <c r="CK776" i="33"/>
  <c r="BY775" i="33"/>
  <c r="CB773" i="33"/>
  <c r="CE771" i="33"/>
  <c r="CK769" i="33"/>
  <c r="CN767" i="33"/>
  <c r="BY766" i="33"/>
  <c r="CE764" i="33"/>
  <c r="CH762" i="33"/>
  <c r="CK760" i="33"/>
  <c r="BY759" i="33"/>
  <c r="CB757" i="33"/>
  <c r="CE755" i="33"/>
  <c r="CK753" i="33"/>
  <c r="CN751" i="33"/>
  <c r="BY750" i="33"/>
  <c r="CE748" i="33"/>
  <c r="CH746" i="33"/>
  <c r="CK744" i="33"/>
  <c r="BY743" i="33"/>
  <c r="CB741" i="33"/>
  <c r="CE739" i="33"/>
  <c r="CK737" i="33"/>
  <c r="CN735" i="33"/>
  <c r="BY734" i="33"/>
  <c r="CE732" i="33"/>
  <c r="CH730" i="33"/>
  <c r="CK728" i="33"/>
  <c r="BY727" i="33"/>
  <c r="CH725" i="33"/>
  <c r="CB724" i="33"/>
  <c r="CN722" i="33"/>
  <c r="CH721" i="33"/>
  <c r="CB720" i="33"/>
  <c r="CN718" i="33"/>
  <c r="CH717" i="33"/>
  <c r="CB716" i="33"/>
  <c r="CN714" i="33"/>
  <c r="CH713" i="33"/>
  <c r="CB712" i="33"/>
  <c r="CN710" i="33"/>
  <c r="CH709" i="33"/>
  <c r="CB708" i="33"/>
  <c r="CN706" i="33"/>
  <c r="CH705" i="33"/>
  <c r="CB704" i="33"/>
  <c r="CN702" i="33"/>
  <c r="CH701" i="33"/>
  <c r="CB700" i="33"/>
  <c r="CN698" i="33"/>
  <c r="CH697" i="33"/>
  <c r="CB696" i="33"/>
  <c r="CN694" i="33"/>
  <c r="CH693" i="33"/>
  <c r="CB692" i="33"/>
  <c r="CN690" i="33"/>
  <c r="CH689" i="33"/>
  <c r="CB688" i="33"/>
  <c r="CN686" i="33"/>
  <c r="CH685" i="33"/>
  <c r="CB684" i="33"/>
  <c r="CN682" i="33"/>
  <c r="CH681" i="33"/>
  <c r="CB680" i="33"/>
  <c r="CN678" i="33"/>
  <c r="CH677" i="33"/>
  <c r="CB676" i="33"/>
  <c r="CN674" i="33"/>
  <c r="CH673" i="33"/>
  <c r="CB672" i="33"/>
  <c r="CN670" i="33"/>
  <c r="CH669" i="33"/>
  <c r="CB668" i="33"/>
  <c r="CN666" i="33"/>
  <c r="CH665" i="33"/>
  <c r="CB664" i="33"/>
  <c r="CN662" i="33"/>
  <c r="CH661" i="33"/>
  <c r="CB660" i="33"/>
  <c r="CN658" i="33"/>
  <c r="CH657" i="33"/>
  <c r="CK783" i="33"/>
  <c r="CN781" i="33"/>
  <c r="BY780" i="33"/>
  <c r="CE778" i="33"/>
  <c r="CH776" i="33"/>
  <c r="CK774" i="33"/>
  <c r="BY773" i="33"/>
  <c r="CB771" i="33"/>
  <c r="CE769" i="33"/>
  <c r="CK767" i="33"/>
  <c r="CN765" i="33"/>
  <c r="BY764" i="33"/>
  <c r="CE762" i="33"/>
  <c r="CH760" i="33"/>
  <c r="CK758" i="33"/>
  <c r="BY757" i="33"/>
  <c r="CB755" i="33"/>
  <c r="CE753" i="33"/>
  <c r="CK751" i="33"/>
  <c r="CN749" i="33"/>
  <c r="BY748" i="33"/>
  <c r="CE746" i="33"/>
  <c r="CH744" i="33"/>
  <c r="CK742" i="33"/>
  <c r="BY741" i="33"/>
  <c r="CB739" i="33"/>
  <c r="CE737" i="33"/>
  <c r="CK735" i="33"/>
  <c r="CN733" i="33"/>
  <c r="BY732" i="33"/>
  <c r="CE730" i="33"/>
  <c r="CH728" i="33"/>
  <c r="CK726" i="33"/>
  <c r="CE725" i="33"/>
  <c r="BY724" i="33"/>
  <c r="CK722" i="33"/>
  <c r="CE721" i="33"/>
  <c r="BY720" i="33"/>
  <c r="CK718" i="33"/>
  <c r="CE717" i="33"/>
  <c r="BY716" i="33"/>
  <c r="CK714" i="33"/>
  <c r="CE713" i="33"/>
  <c r="BY712" i="33"/>
  <c r="CK710" i="33"/>
  <c r="CE709" i="33"/>
  <c r="BY708" i="33"/>
  <c r="CK706" i="33"/>
  <c r="CE705" i="33"/>
  <c r="BY704" i="33"/>
  <c r="CK702" i="33"/>
  <c r="CE701" i="33"/>
  <c r="BY700" i="33"/>
  <c r="CK698" i="33"/>
  <c r="CE697" i="33"/>
  <c r="BY696" i="33"/>
  <c r="CK694" i="33"/>
  <c r="CE693" i="33"/>
  <c r="BY692" i="33"/>
  <c r="CK690" i="33"/>
  <c r="CE689" i="33"/>
  <c r="BY688" i="33"/>
  <c r="CK686" i="33"/>
  <c r="CE685" i="33"/>
  <c r="BY684" i="33"/>
  <c r="CK682" i="33"/>
  <c r="CE681" i="33"/>
  <c r="BY680" i="33"/>
  <c r="CK678" i="33"/>
  <c r="CE677" i="33"/>
  <c r="BY676" i="33"/>
  <c r="CK674" i="33"/>
  <c r="CE673" i="33"/>
  <c r="BY672" i="33"/>
  <c r="CK670" i="33"/>
  <c r="CE669" i="33"/>
  <c r="BY668" i="33"/>
  <c r="CK666" i="33"/>
  <c r="CE665" i="33"/>
  <c r="BY664" i="33"/>
  <c r="CK662" i="33"/>
  <c r="CE661" i="33"/>
  <c r="BY660" i="33"/>
  <c r="CK658" i="33"/>
  <c r="CE657" i="33"/>
  <c r="CE783" i="33"/>
  <c r="CK781" i="33"/>
  <c r="CN779" i="33"/>
  <c r="BY778" i="33"/>
  <c r="CE776" i="33"/>
  <c r="CH774" i="33"/>
  <c r="CK772" i="33"/>
  <c r="BY771" i="33"/>
  <c r="CB769" i="33"/>
  <c r="CE767" i="33"/>
  <c r="CK765" i="33"/>
  <c r="CN763" i="33"/>
  <c r="BY762" i="33"/>
  <c r="CE760" i="33"/>
  <c r="CH758" i="33"/>
  <c r="CK756" i="33"/>
  <c r="BY755" i="33"/>
  <c r="CB753" i="33"/>
  <c r="CE751" i="33"/>
  <c r="CK749" i="33"/>
  <c r="CN747" i="33"/>
  <c r="BY746" i="33"/>
  <c r="CE744" i="33"/>
  <c r="CH742" i="33"/>
  <c r="CK740" i="33"/>
  <c r="BY739" i="33"/>
  <c r="CB737" i="33"/>
  <c r="CE735" i="33"/>
  <c r="CK733" i="33"/>
  <c r="CN731" i="33"/>
  <c r="BY730" i="33"/>
  <c r="CE728" i="33"/>
  <c r="CH726" i="33"/>
  <c r="CB725" i="33"/>
  <c r="CN723" i="33"/>
  <c r="CH722" i="33"/>
  <c r="CB721" i="33"/>
  <c r="CN719" i="33"/>
  <c r="CH718" i="33"/>
  <c r="CB717" i="33"/>
  <c r="CN715" i="33"/>
  <c r="CH714" i="33"/>
  <c r="CB713" i="33"/>
  <c r="CN711" i="33"/>
  <c r="CH710" i="33"/>
  <c r="CB709" i="33"/>
  <c r="CN707" i="33"/>
  <c r="CH706" i="33"/>
  <c r="CB705" i="33"/>
  <c r="CN703" i="33"/>
  <c r="CH702" i="33"/>
  <c r="CB701" i="33"/>
  <c r="CN699" i="33"/>
  <c r="CH698" i="33"/>
  <c r="CB697" i="33"/>
  <c r="CN695" i="33"/>
  <c r="CH694" i="33"/>
  <c r="CB693" i="33"/>
  <c r="CN691" i="33"/>
  <c r="CH690" i="33"/>
  <c r="CB689" i="33"/>
  <c r="CN687" i="33"/>
  <c r="CH686" i="33"/>
  <c r="CB685" i="33"/>
  <c r="CN683" i="33"/>
  <c r="CH682" i="33"/>
  <c r="CB681" i="33"/>
  <c r="CN679" i="33"/>
  <c r="CH678" i="33"/>
  <c r="CB677" i="33"/>
  <c r="CN675" i="33"/>
  <c r="CH674" i="33"/>
  <c r="CB673" i="33"/>
  <c r="CN671" i="33"/>
  <c r="CH670" i="33"/>
  <c r="CB669" i="33"/>
  <c r="CN667" i="33"/>
  <c r="CH666" i="33"/>
  <c r="CB665" i="33"/>
  <c r="CN663" i="33"/>
  <c r="CH662" i="33"/>
  <c r="CB661" i="33"/>
  <c r="CN659" i="33"/>
  <c r="CH658" i="33"/>
  <c r="CB657" i="33"/>
  <c r="CB785" i="33"/>
  <c r="CB783" i="33"/>
  <c r="CE781" i="33"/>
  <c r="CK779" i="33"/>
  <c r="CN777" i="33"/>
  <c r="BY776" i="33"/>
  <c r="CE774" i="33"/>
  <c r="CH772" i="33"/>
  <c r="CK770" i="33"/>
  <c r="BY769" i="33"/>
  <c r="CB767" i="33"/>
  <c r="CE765" i="33"/>
  <c r="CK763" i="33"/>
  <c r="CN761" i="33"/>
  <c r="BY760" i="33"/>
  <c r="CE758" i="33"/>
  <c r="CH756" i="33"/>
  <c r="CK754" i="33"/>
  <c r="BY753" i="33"/>
  <c r="CB751" i="33"/>
  <c r="CE749" i="33"/>
  <c r="CK747" i="33"/>
  <c r="CN745" i="33"/>
  <c r="BY744" i="33"/>
  <c r="CE742" i="33"/>
  <c r="CH740" i="33"/>
  <c r="CK738" i="33"/>
  <c r="BY737" i="33"/>
  <c r="CB735" i="33"/>
  <c r="CE733" i="33"/>
  <c r="CK731" i="33"/>
  <c r="CN729" i="33"/>
  <c r="BY728" i="33"/>
  <c r="CE726" i="33"/>
  <c r="BY725" i="33"/>
  <c r="CK723" i="33"/>
  <c r="CE722" i="33"/>
  <c r="BY721" i="33"/>
  <c r="CK719" i="33"/>
  <c r="CE718" i="33"/>
  <c r="BY717" i="33"/>
  <c r="CK715" i="33"/>
  <c r="CE714" i="33"/>
  <c r="BY713" i="33"/>
  <c r="CK711" i="33"/>
  <c r="CE710" i="33"/>
  <c r="BY709" i="33"/>
  <c r="CK707" i="33"/>
  <c r="CE706" i="33"/>
  <c r="BY705" i="33"/>
  <c r="CK703" i="33"/>
  <c r="CE702" i="33"/>
  <c r="BY701" i="33"/>
  <c r="CK699" i="33"/>
  <c r="CE698" i="33"/>
  <c r="BY697" i="33"/>
  <c r="CK695" i="33"/>
  <c r="CE694" i="33"/>
  <c r="BY693" i="33"/>
  <c r="CK691" i="33"/>
  <c r="CE690" i="33"/>
  <c r="BY689" i="33"/>
  <c r="CK687" i="33"/>
  <c r="CE686" i="33"/>
  <c r="BY685" i="33"/>
  <c r="CK683" i="33"/>
  <c r="CE682" i="33"/>
  <c r="BY681" i="33"/>
  <c r="CK679" i="33"/>
  <c r="CE678" i="33"/>
  <c r="BY677" i="33"/>
  <c r="CK675" i="33"/>
  <c r="CE674" i="33"/>
  <c r="BY673" i="33"/>
  <c r="CK671" i="33"/>
  <c r="CE670" i="33"/>
  <c r="BY669" i="33"/>
  <c r="CK667" i="33"/>
  <c r="CE666" i="33"/>
  <c r="BY665" i="33"/>
  <c r="CK663" i="33"/>
  <c r="CE662" i="33"/>
  <c r="BY661" i="33"/>
  <c r="CK659" i="33"/>
  <c r="CE658" i="33"/>
  <c r="BY657" i="33"/>
  <c r="CK655" i="33"/>
  <c r="CE654" i="33"/>
  <c r="BY653" i="33"/>
  <c r="CK651" i="33"/>
  <c r="CE650" i="33"/>
  <c r="BY649" i="33"/>
  <c r="CK647" i="33"/>
  <c r="CE646" i="33"/>
  <c r="BY645" i="33"/>
  <c r="CK643" i="33"/>
  <c r="CE642" i="33"/>
  <c r="BY641" i="33"/>
  <c r="CK639" i="33"/>
  <c r="CE638" i="33"/>
  <c r="BY637" i="33"/>
  <c r="CK635" i="33"/>
  <c r="CE634" i="33"/>
  <c r="BY633" i="33"/>
  <c r="CK631" i="33"/>
  <c r="CE630" i="33"/>
  <c r="BY629" i="33"/>
  <c r="CK627" i="33"/>
  <c r="CE626" i="33"/>
  <c r="BY625" i="33"/>
  <c r="CK623" i="33"/>
  <c r="CE622" i="33"/>
  <c r="BY621" i="33"/>
  <c r="CK619" i="33"/>
  <c r="CE618" i="33"/>
  <c r="BY617" i="33"/>
  <c r="CK615" i="33"/>
  <c r="CK784" i="33"/>
  <c r="BY783" i="33"/>
  <c r="CB781" i="33"/>
  <c r="CE779" i="33"/>
  <c r="CK777" i="33"/>
  <c r="CN775" i="33"/>
  <c r="BY774" i="33"/>
  <c r="CE772" i="33"/>
  <c r="CH770" i="33"/>
  <c r="CK768" i="33"/>
  <c r="BY767" i="33"/>
  <c r="CB765" i="33"/>
  <c r="CE763" i="33"/>
  <c r="CK761" i="33"/>
  <c r="CN759" i="33"/>
  <c r="BY758" i="33"/>
  <c r="CE756" i="33"/>
  <c r="CH754" i="33"/>
  <c r="CK752" i="33"/>
  <c r="BY751" i="33"/>
  <c r="CB749" i="33"/>
  <c r="CE747" i="33"/>
  <c r="CK745" i="33"/>
  <c r="CN743" i="33"/>
  <c r="BY742" i="33"/>
  <c r="CE740" i="33"/>
  <c r="CH738" i="33"/>
  <c r="CK736" i="33"/>
  <c r="BY735" i="33"/>
  <c r="CB733" i="33"/>
  <c r="CE731" i="33"/>
  <c r="CK729" i="33"/>
  <c r="CN727" i="33"/>
  <c r="CB726" i="33"/>
  <c r="CN724" i="33"/>
  <c r="CH723" i="33"/>
  <c r="CB722" i="33"/>
  <c r="CN720" i="33"/>
  <c r="CH719" i="33"/>
  <c r="CB718" i="33"/>
  <c r="CN716" i="33"/>
  <c r="CH715" i="33"/>
  <c r="CB714" i="33"/>
  <c r="CN712" i="33"/>
  <c r="CH711" i="33"/>
  <c r="CB710" i="33"/>
  <c r="CN708" i="33"/>
  <c r="CH707" i="33"/>
  <c r="CB706" i="33"/>
  <c r="CN704" i="33"/>
  <c r="CH703" i="33"/>
  <c r="CB702" i="33"/>
  <c r="CN700" i="33"/>
  <c r="CH699" i="33"/>
  <c r="CB698" i="33"/>
  <c r="CN696" i="33"/>
  <c r="CH695" i="33"/>
  <c r="CB694" i="33"/>
  <c r="CN692" i="33"/>
  <c r="CH691" i="33"/>
  <c r="CB690" i="33"/>
  <c r="CN688" i="33"/>
  <c r="CH687" i="33"/>
  <c r="CB686" i="33"/>
  <c r="CN684" i="33"/>
  <c r="CH683" i="33"/>
  <c r="CB682" i="33"/>
  <c r="CN680" i="33"/>
  <c r="CH679" i="33"/>
  <c r="CB678" i="33"/>
  <c r="CN676" i="33"/>
  <c r="CH675" i="33"/>
  <c r="CB674" i="33"/>
  <c r="CN672" i="33"/>
  <c r="CH671" i="33"/>
  <c r="CB670" i="33"/>
  <c r="CN668" i="33"/>
  <c r="CH667" i="33"/>
  <c r="CB666" i="33"/>
  <c r="CN664" i="33"/>
  <c r="CH663" i="33"/>
  <c r="CB662" i="33"/>
  <c r="CN660" i="33"/>
  <c r="CH659" i="33"/>
  <c r="CB658" i="33"/>
  <c r="CN656" i="33"/>
  <c r="CH784" i="33"/>
  <c r="CK782" i="33"/>
  <c r="BY781" i="33"/>
  <c r="CB779" i="33"/>
  <c r="CE777" i="33"/>
  <c r="CK775" i="33"/>
  <c r="CN773" i="33"/>
  <c r="BY772" i="33"/>
  <c r="CE770" i="33"/>
  <c r="CH768" i="33"/>
  <c r="CK766" i="33"/>
  <c r="BY765" i="33"/>
  <c r="CB763" i="33"/>
  <c r="CE761" i="33"/>
  <c r="CK759" i="33"/>
  <c r="CN757" i="33"/>
  <c r="BY756" i="33"/>
  <c r="CE754" i="33"/>
  <c r="CH752" i="33"/>
  <c r="CK750" i="33"/>
  <c r="BY749" i="33"/>
  <c r="CB747" i="33"/>
  <c r="CE745" i="33"/>
  <c r="CK743" i="33"/>
  <c r="CN741" i="33"/>
  <c r="BY740" i="33"/>
  <c r="CE738" i="33"/>
  <c r="CH736" i="33"/>
  <c r="CK734" i="33"/>
  <c r="BY733" i="33"/>
  <c r="CB731" i="33"/>
  <c r="CE729" i="33"/>
  <c r="CK727" i="33"/>
  <c r="BY726" i="33"/>
  <c r="CK724" i="33"/>
  <c r="CE723" i="33"/>
  <c r="BY722" i="33"/>
  <c r="CK720" i="33"/>
  <c r="CE719" i="33"/>
  <c r="BY718" i="33"/>
  <c r="CK716" i="33"/>
  <c r="CE715" i="33"/>
  <c r="BY714" i="33"/>
  <c r="CK712" i="33"/>
  <c r="CE711" i="33"/>
  <c r="BY710" i="33"/>
  <c r="CK708" i="33"/>
  <c r="CE707" i="33"/>
  <c r="BY706" i="33"/>
  <c r="CK704" i="33"/>
  <c r="CE703" i="33"/>
  <c r="BY702" i="33"/>
  <c r="CK700" i="33"/>
  <c r="CE699" i="33"/>
  <c r="BY698" i="33"/>
  <c r="CK696" i="33"/>
  <c r="CE695" i="33"/>
  <c r="BY694" i="33"/>
  <c r="CK692" i="33"/>
  <c r="CE691" i="33"/>
  <c r="BY690" i="33"/>
  <c r="CK688" i="33"/>
  <c r="CE687" i="33"/>
  <c r="BY686" i="33"/>
  <c r="CK684" i="33"/>
  <c r="CE683" i="33"/>
  <c r="BY682" i="33"/>
  <c r="CK680" i="33"/>
  <c r="CE679" i="33"/>
  <c r="BY678" i="33"/>
  <c r="CK676" i="33"/>
  <c r="CE675" i="33"/>
  <c r="BY674" i="33"/>
  <c r="CK672" i="33"/>
  <c r="CE671" i="33"/>
  <c r="BY670" i="33"/>
  <c r="CK668" i="33"/>
  <c r="CE667" i="33"/>
  <c r="BY666" i="33"/>
  <c r="CK664" i="33"/>
  <c r="CE663" i="33"/>
  <c r="BY662" i="33"/>
  <c r="CK660" i="33"/>
  <c r="CE659" i="33"/>
  <c r="BY658" i="33"/>
  <c r="CK656" i="33"/>
  <c r="CE784" i="33"/>
  <c r="CH782" i="33"/>
  <c r="CK780" i="33"/>
  <c r="BY779" i="33"/>
  <c r="CB777" i="33"/>
  <c r="CE775" i="33"/>
  <c r="CK773" i="33"/>
  <c r="CN771" i="33"/>
  <c r="BY770" i="33"/>
  <c r="CE768" i="33"/>
  <c r="CH766" i="33"/>
  <c r="CK764" i="33"/>
  <c r="BY763" i="33"/>
  <c r="CB761" i="33"/>
  <c r="CE759" i="33"/>
  <c r="CK757" i="33"/>
  <c r="CN755" i="33"/>
  <c r="BY754" i="33"/>
  <c r="CE752" i="33"/>
  <c r="CH750" i="33"/>
  <c r="CK748" i="33"/>
  <c r="BY747" i="33"/>
  <c r="CB745" i="33"/>
  <c r="CE743" i="33"/>
  <c r="CK741" i="33"/>
  <c r="CN739" i="33"/>
  <c r="BY738" i="33"/>
  <c r="CE736" i="33"/>
  <c r="CH734" i="33"/>
  <c r="CK732" i="33"/>
  <c r="BY731" i="33"/>
  <c r="CB729" i="33"/>
  <c r="CE727" i="33"/>
  <c r="CN725" i="33"/>
  <c r="CH724" i="33"/>
  <c r="CB723" i="33"/>
  <c r="CN721" i="33"/>
  <c r="CH720" i="33"/>
  <c r="CB719" i="33"/>
  <c r="CN717" i="33"/>
  <c r="CH716" i="33"/>
  <c r="CB715" i="33"/>
  <c r="CN713" i="33"/>
  <c r="CH712" i="33"/>
  <c r="CB711" i="33"/>
  <c r="CN709" i="33"/>
  <c r="CH708" i="33"/>
  <c r="CB707" i="33"/>
  <c r="CN705" i="33"/>
  <c r="CH704" i="33"/>
  <c r="CB703" i="33"/>
  <c r="CN701" i="33"/>
  <c r="CH700" i="33"/>
  <c r="CB699" i="33"/>
  <c r="CN697" i="33"/>
  <c r="CH696" i="33"/>
  <c r="CB695" i="33"/>
  <c r="CN693" i="33"/>
  <c r="CH692" i="33"/>
  <c r="CB691" i="33"/>
  <c r="CN689" i="33"/>
  <c r="CH688" i="33"/>
  <c r="CB687" i="33"/>
  <c r="CN685" i="33"/>
  <c r="CH684" i="33"/>
  <c r="CB683" i="33"/>
  <c r="CN681" i="33"/>
  <c r="CH680" i="33"/>
  <c r="CB679" i="33"/>
  <c r="CN677" i="33"/>
  <c r="CH676" i="33"/>
  <c r="CB675" i="33"/>
  <c r="CN673" i="33"/>
  <c r="CH672" i="33"/>
  <c r="CB671" i="33"/>
  <c r="CN669" i="33"/>
  <c r="CH668" i="33"/>
  <c r="CB667" i="33"/>
  <c r="CN665" i="33"/>
  <c r="CH664" i="33"/>
  <c r="CB663" i="33"/>
  <c r="CN661" i="33"/>
  <c r="CH660" i="33"/>
  <c r="CB659" i="33"/>
  <c r="CN657" i="33"/>
  <c r="CH656" i="33"/>
  <c r="BY784" i="33"/>
  <c r="CE782" i="33"/>
  <c r="CH780" i="33"/>
  <c r="CK778" i="33"/>
  <c r="BY777" i="33"/>
  <c r="CB775" i="33"/>
  <c r="CE773" i="33"/>
  <c r="CK771" i="33"/>
  <c r="CN769" i="33"/>
  <c r="BY768" i="33"/>
  <c r="CE766" i="33"/>
  <c r="CH764" i="33"/>
  <c r="CK762" i="33"/>
  <c r="BY761" i="33"/>
  <c r="CB759" i="33"/>
  <c r="CE757" i="33"/>
  <c r="CK755" i="33"/>
  <c r="CN753" i="33"/>
  <c r="BY752" i="33"/>
  <c r="CE750" i="33"/>
  <c r="CH748" i="33"/>
  <c r="CK746" i="33"/>
  <c r="BY745" i="33"/>
  <c r="CB743" i="33"/>
  <c r="CE741" i="33"/>
  <c r="CK739" i="33"/>
  <c r="CN737" i="33"/>
  <c r="BY736" i="33"/>
  <c r="CE734" i="33"/>
  <c r="CH732" i="33"/>
  <c r="CK730" i="33"/>
  <c r="BY729" i="33"/>
  <c r="CB727" i="33"/>
  <c r="CK725" i="33"/>
  <c r="CE724" i="33"/>
  <c r="BY723" i="33"/>
  <c r="CK721" i="33"/>
  <c r="CE720" i="33"/>
  <c r="BY719" i="33"/>
  <c r="CK717" i="33"/>
  <c r="CE716" i="33"/>
  <c r="BY715" i="33"/>
  <c r="CK713" i="33"/>
  <c r="CE712" i="33"/>
  <c r="BY711" i="33"/>
  <c r="CK709" i="33"/>
  <c r="CE708" i="33"/>
  <c r="BY707" i="33"/>
  <c r="CK705" i="33"/>
  <c r="CE704" i="33"/>
  <c r="BY703" i="33"/>
  <c r="CK701" i="33"/>
  <c r="CE700" i="33"/>
  <c r="BY699" i="33"/>
  <c r="CK697" i="33"/>
  <c r="CE696" i="33"/>
  <c r="BY695" i="33"/>
  <c r="CK693" i="33"/>
  <c r="CE692" i="33"/>
  <c r="BY691" i="33"/>
  <c r="CK689" i="33"/>
  <c r="CE688" i="33"/>
  <c r="BY687" i="33"/>
  <c r="CK685" i="33"/>
  <c r="CE684" i="33"/>
  <c r="BY683" i="33"/>
  <c r="CK681" i="33"/>
  <c r="CE680" i="33"/>
  <c r="BY679" i="33"/>
  <c r="CK677" i="33"/>
  <c r="CE676" i="33"/>
  <c r="BY675" i="33"/>
  <c r="CK673" i="33"/>
  <c r="CE672" i="33"/>
  <c r="BY671" i="33"/>
  <c r="CK669" i="33"/>
  <c r="CE668" i="33"/>
  <c r="BY667" i="33"/>
  <c r="CK665" i="33"/>
  <c r="CE664" i="33"/>
  <c r="BY663" i="33"/>
  <c r="CK661" i="33"/>
  <c r="CE660" i="33"/>
  <c r="BY659" i="33"/>
  <c r="CK657" i="33"/>
  <c r="CE656" i="33"/>
  <c r="BY655" i="33"/>
  <c r="CK653" i="33"/>
  <c r="CE652" i="33"/>
  <c r="BY651" i="33"/>
  <c r="CK649" i="33"/>
  <c r="CE648" i="33"/>
  <c r="BY647" i="33"/>
  <c r="CK645" i="33"/>
  <c r="CE644" i="33"/>
  <c r="BY643" i="33"/>
  <c r="CK641" i="33"/>
  <c r="CE640" i="33"/>
  <c r="BY639" i="33"/>
  <c r="CK637" i="33"/>
  <c r="CE636" i="33"/>
  <c r="BY635" i="33"/>
  <c r="CK633" i="33"/>
  <c r="CE632" i="33"/>
  <c r="BY631" i="33"/>
  <c r="CK629" i="33"/>
  <c r="CE628" i="33"/>
  <c r="BY627" i="33"/>
  <c r="CK625" i="33"/>
  <c r="CE624" i="33"/>
  <c r="BY623" i="33"/>
  <c r="CK621" i="33"/>
  <c r="CE620" i="33"/>
  <c r="BY619" i="33"/>
  <c r="CK617" i="33"/>
  <c r="CE616" i="33"/>
  <c r="CB655" i="33"/>
  <c r="CE653" i="33"/>
  <c r="CH651" i="33"/>
  <c r="CN649" i="33"/>
  <c r="BY648" i="33"/>
  <c r="CB646" i="33"/>
  <c r="CH644" i="33"/>
  <c r="CK642" i="33"/>
  <c r="CN640" i="33"/>
  <c r="CB639" i="33"/>
  <c r="CE637" i="33"/>
  <c r="CH635" i="33"/>
  <c r="CN633" i="33"/>
  <c r="BY632" i="33"/>
  <c r="CB630" i="33"/>
  <c r="CH628" i="33"/>
  <c r="CK626" i="33"/>
  <c r="CN624" i="33"/>
  <c r="CB623" i="33"/>
  <c r="CE621" i="33"/>
  <c r="CH619" i="33"/>
  <c r="CN617" i="33"/>
  <c r="BY616" i="33"/>
  <c r="CH614" i="33"/>
  <c r="CB613" i="33"/>
  <c r="CN611" i="33"/>
  <c r="CH610" i="33"/>
  <c r="CB609" i="33"/>
  <c r="CN607" i="33"/>
  <c r="CH606" i="33"/>
  <c r="CB605" i="33"/>
  <c r="CN603" i="33"/>
  <c r="CH602" i="33"/>
  <c r="CB601" i="33"/>
  <c r="CN599" i="33"/>
  <c r="CH598" i="33"/>
  <c r="CB597" i="33"/>
  <c r="CN595" i="33"/>
  <c r="CH594" i="33"/>
  <c r="CB593" i="33"/>
  <c r="CN591" i="33"/>
  <c r="CH590" i="33"/>
  <c r="CB589" i="33"/>
  <c r="CN587" i="33"/>
  <c r="CH586" i="33"/>
  <c r="CB585" i="33"/>
  <c r="CN583" i="33"/>
  <c r="CH582" i="33"/>
  <c r="CB581" i="33"/>
  <c r="CN579" i="33"/>
  <c r="CH578" i="33"/>
  <c r="CB577" i="33"/>
  <c r="CN575" i="33"/>
  <c r="CH574" i="33"/>
  <c r="CB573" i="33"/>
  <c r="CN571" i="33"/>
  <c r="CH570" i="33"/>
  <c r="CB569" i="33"/>
  <c r="CN567" i="33"/>
  <c r="CH566" i="33"/>
  <c r="CB565" i="33"/>
  <c r="CN563" i="33"/>
  <c r="CH562" i="33"/>
  <c r="CB561" i="33"/>
  <c r="CN559" i="33"/>
  <c r="CH558" i="33"/>
  <c r="CB557" i="33"/>
  <c r="CN555" i="33"/>
  <c r="CH554" i="33"/>
  <c r="CB553" i="33"/>
  <c r="CN551" i="33"/>
  <c r="CH550" i="33"/>
  <c r="CB549" i="33"/>
  <c r="CN547" i="33"/>
  <c r="CH546" i="33"/>
  <c r="CB545" i="33"/>
  <c r="CN543" i="33"/>
  <c r="CH542" i="33"/>
  <c r="CB541" i="33"/>
  <c r="CN539" i="33"/>
  <c r="CH538" i="33"/>
  <c r="CB537" i="33"/>
  <c r="CN535" i="33"/>
  <c r="CH534" i="33"/>
  <c r="CB533" i="33"/>
  <c r="CN531" i="33"/>
  <c r="CN654" i="33"/>
  <c r="CB653" i="33"/>
  <c r="CE651" i="33"/>
  <c r="CH649" i="33"/>
  <c r="CN647" i="33"/>
  <c r="BY646" i="33"/>
  <c r="CB644" i="33"/>
  <c r="CH642" i="33"/>
  <c r="CK640" i="33"/>
  <c r="CN638" i="33"/>
  <c r="CB637" i="33"/>
  <c r="CE635" i="33"/>
  <c r="CH633" i="33"/>
  <c r="CN631" i="33"/>
  <c r="BY630" i="33"/>
  <c r="CB628" i="33"/>
  <c r="CH626" i="33"/>
  <c r="CK624" i="33"/>
  <c r="CN622" i="33"/>
  <c r="CB621" i="33"/>
  <c r="CE619" i="33"/>
  <c r="CH617" i="33"/>
  <c r="CN615" i="33"/>
  <c r="CE614" i="33"/>
  <c r="BY613" i="33"/>
  <c r="CK611" i="33"/>
  <c r="CE610" i="33"/>
  <c r="BY609" i="33"/>
  <c r="CK607" i="33"/>
  <c r="CE606" i="33"/>
  <c r="BY605" i="33"/>
  <c r="CK603" i="33"/>
  <c r="CE602" i="33"/>
  <c r="BY601" i="33"/>
  <c r="CK599" i="33"/>
  <c r="CE598" i="33"/>
  <c r="BY597" i="33"/>
  <c r="CK595" i="33"/>
  <c r="CE594" i="33"/>
  <c r="BY593" i="33"/>
  <c r="CK591" i="33"/>
  <c r="CE590" i="33"/>
  <c r="BY589" i="33"/>
  <c r="CK587" i="33"/>
  <c r="CE586" i="33"/>
  <c r="BY585" i="33"/>
  <c r="CK583" i="33"/>
  <c r="CE582" i="33"/>
  <c r="BY581" i="33"/>
  <c r="CK579" i="33"/>
  <c r="CE578" i="33"/>
  <c r="BY577" i="33"/>
  <c r="CK575" i="33"/>
  <c r="CE574" i="33"/>
  <c r="BY573" i="33"/>
  <c r="CK571" i="33"/>
  <c r="CE570" i="33"/>
  <c r="BY569" i="33"/>
  <c r="CK567" i="33"/>
  <c r="CE566" i="33"/>
  <c r="BY565" i="33"/>
  <c r="CK563" i="33"/>
  <c r="CE562" i="33"/>
  <c r="BY561" i="33"/>
  <c r="CK559" i="33"/>
  <c r="CE558" i="33"/>
  <c r="BY557" i="33"/>
  <c r="CK555" i="33"/>
  <c r="CE554" i="33"/>
  <c r="BY553" i="33"/>
  <c r="CK551" i="33"/>
  <c r="CE550" i="33"/>
  <c r="BY549" i="33"/>
  <c r="CK547" i="33"/>
  <c r="CE546" i="33"/>
  <c r="BY545" i="33"/>
  <c r="CK543" i="33"/>
  <c r="CE542" i="33"/>
  <c r="BY541" i="33"/>
  <c r="CK539" i="33"/>
  <c r="CE538" i="33"/>
  <c r="BY537" i="33"/>
  <c r="CK535" i="33"/>
  <c r="CE534" i="33"/>
  <c r="BY533" i="33"/>
  <c r="CK654" i="33"/>
  <c r="CN652" i="33"/>
  <c r="CB651" i="33"/>
  <c r="CE649" i="33"/>
  <c r="CH647" i="33"/>
  <c r="CN645" i="33"/>
  <c r="BY644" i="33"/>
  <c r="CB642" i="33"/>
  <c r="CH640" i="33"/>
  <c r="CK638" i="33"/>
  <c r="CN636" i="33"/>
  <c r="CB635" i="33"/>
  <c r="CE633" i="33"/>
  <c r="CH631" i="33"/>
  <c r="CN629" i="33"/>
  <c r="BY628" i="33"/>
  <c r="CB626" i="33"/>
  <c r="CH624" i="33"/>
  <c r="CK622" i="33"/>
  <c r="CN620" i="33"/>
  <c r="CB619" i="33"/>
  <c r="CE617" i="33"/>
  <c r="CH615" i="33"/>
  <c r="CB614" i="33"/>
  <c r="CN612" i="33"/>
  <c r="CH611" i="33"/>
  <c r="CB610" i="33"/>
  <c r="CN608" i="33"/>
  <c r="CH607" i="33"/>
  <c r="CB606" i="33"/>
  <c r="CN604" i="33"/>
  <c r="CH603" i="33"/>
  <c r="CB602" i="33"/>
  <c r="CN600" i="33"/>
  <c r="CH599" i="33"/>
  <c r="CB598" i="33"/>
  <c r="CN596" i="33"/>
  <c r="CH595" i="33"/>
  <c r="CB594" i="33"/>
  <c r="CN592" i="33"/>
  <c r="CH591" i="33"/>
  <c r="CB590" i="33"/>
  <c r="CN588" i="33"/>
  <c r="CH587" i="33"/>
  <c r="CB586" i="33"/>
  <c r="CN584" i="33"/>
  <c r="CH583" i="33"/>
  <c r="CB582" i="33"/>
  <c r="CN580" i="33"/>
  <c r="CH579" i="33"/>
  <c r="CB578" i="33"/>
  <c r="CN576" i="33"/>
  <c r="CH575" i="33"/>
  <c r="CB574" i="33"/>
  <c r="CN572" i="33"/>
  <c r="CH571" i="33"/>
  <c r="CB570" i="33"/>
  <c r="CN568" i="33"/>
  <c r="CH567" i="33"/>
  <c r="CB566" i="33"/>
  <c r="CN564" i="33"/>
  <c r="CH563" i="33"/>
  <c r="CB562" i="33"/>
  <c r="CN560" i="33"/>
  <c r="CH559" i="33"/>
  <c r="CB558" i="33"/>
  <c r="CN556" i="33"/>
  <c r="CH555" i="33"/>
  <c r="CB554" i="33"/>
  <c r="CN552" i="33"/>
  <c r="CH551" i="33"/>
  <c r="CB550" i="33"/>
  <c r="CN548" i="33"/>
  <c r="CH547" i="33"/>
  <c r="CB546" i="33"/>
  <c r="CN544" i="33"/>
  <c r="CH543" i="33"/>
  <c r="CB542" i="33"/>
  <c r="CN540" i="33"/>
  <c r="CH539" i="33"/>
  <c r="CB538" i="33"/>
  <c r="CN536" i="33"/>
  <c r="CH535" i="33"/>
  <c r="CB534" i="33"/>
  <c r="CN532" i="33"/>
  <c r="CB656" i="33"/>
  <c r="CH654" i="33"/>
  <c r="CK652" i="33"/>
  <c r="CN650" i="33"/>
  <c r="CB649" i="33"/>
  <c r="CE647" i="33"/>
  <c r="CH645" i="33"/>
  <c r="CN643" i="33"/>
  <c r="BY642" i="33"/>
  <c r="CB640" i="33"/>
  <c r="CH638" i="33"/>
  <c r="CK636" i="33"/>
  <c r="CN634" i="33"/>
  <c r="CB633" i="33"/>
  <c r="CE631" i="33"/>
  <c r="CH629" i="33"/>
  <c r="CN627" i="33"/>
  <c r="BY626" i="33"/>
  <c r="CB624" i="33"/>
  <c r="CH622" i="33"/>
  <c r="CK620" i="33"/>
  <c r="CN618" i="33"/>
  <c r="CB617" i="33"/>
  <c r="CE615" i="33"/>
  <c r="BY614" i="33"/>
  <c r="CK612" i="33"/>
  <c r="CE611" i="33"/>
  <c r="BY610" i="33"/>
  <c r="CK608" i="33"/>
  <c r="CE607" i="33"/>
  <c r="BY606" i="33"/>
  <c r="CK604" i="33"/>
  <c r="CE603" i="33"/>
  <c r="BY602" i="33"/>
  <c r="CK600" i="33"/>
  <c r="CE599" i="33"/>
  <c r="BY598" i="33"/>
  <c r="CK596" i="33"/>
  <c r="CE595" i="33"/>
  <c r="BY594" i="33"/>
  <c r="CK592" i="33"/>
  <c r="CE591" i="33"/>
  <c r="BY590" i="33"/>
  <c r="CK588" i="33"/>
  <c r="CE587" i="33"/>
  <c r="BY586" i="33"/>
  <c r="CK584" i="33"/>
  <c r="CE583" i="33"/>
  <c r="BY582" i="33"/>
  <c r="CK580" i="33"/>
  <c r="CE579" i="33"/>
  <c r="BY578" i="33"/>
  <c r="CK576" i="33"/>
  <c r="CE575" i="33"/>
  <c r="BY574" i="33"/>
  <c r="CK572" i="33"/>
  <c r="CE571" i="33"/>
  <c r="BY570" i="33"/>
  <c r="CK568" i="33"/>
  <c r="CE567" i="33"/>
  <c r="BY566" i="33"/>
  <c r="CK564" i="33"/>
  <c r="CE563" i="33"/>
  <c r="BY562" i="33"/>
  <c r="CK560" i="33"/>
  <c r="CE559" i="33"/>
  <c r="BY558" i="33"/>
  <c r="CK556" i="33"/>
  <c r="CE555" i="33"/>
  <c r="BY554" i="33"/>
  <c r="CK552" i="33"/>
  <c r="CE551" i="33"/>
  <c r="BY550" i="33"/>
  <c r="CK548" i="33"/>
  <c r="CE547" i="33"/>
  <c r="BY546" i="33"/>
  <c r="CK544" i="33"/>
  <c r="CE543" i="33"/>
  <c r="BY542" i="33"/>
  <c r="CK540" i="33"/>
  <c r="CE539" i="33"/>
  <c r="BY538" i="33"/>
  <c r="CK536" i="33"/>
  <c r="CE535" i="33"/>
  <c r="BY534" i="33"/>
  <c r="CK532" i="33"/>
  <c r="CE531" i="33"/>
  <c r="BY530" i="33"/>
  <c r="CK528" i="33"/>
  <c r="CE527" i="33"/>
  <c r="BY526" i="33"/>
  <c r="CK524" i="33"/>
  <c r="CE523" i="33"/>
  <c r="BY522" i="33"/>
  <c r="CK520" i="33"/>
  <c r="CE519" i="33"/>
  <c r="BY518" i="33"/>
  <c r="CK516" i="33"/>
  <c r="CE515" i="33"/>
  <c r="BY514" i="33"/>
  <c r="CK512" i="33"/>
  <c r="CE511" i="33"/>
  <c r="BY510" i="33"/>
  <c r="CK508" i="33"/>
  <c r="CE507" i="33"/>
  <c r="BY506" i="33"/>
  <c r="CK504" i="33"/>
  <c r="CE503" i="33"/>
  <c r="BY502" i="33"/>
  <c r="CK500" i="33"/>
  <c r="CE499" i="33"/>
  <c r="BY498" i="33"/>
  <c r="CK496" i="33"/>
  <c r="BY656" i="33"/>
  <c r="CB654" i="33"/>
  <c r="CH652" i="33"/>
  <c r="CK650" i="33"/>
  <c r="CN648" i="33"/>
  <c r="CB647" i="33"/>
  <c r="CE645" i="33"/>
  <c r="CH643" i="33"/>
  <c r="CN641" i="33"/>
  <c r="BY640" i="33"/>
  <c r="CB638" i="33"/>
  <c r="CH636" i="33"/>
  <c r="CK634" i="33"/>
  <c r="CN632" i="33"/>
  <c r="CB631" i="33"/>
  <c r="CE629" i="33"/>
  <c r="CH627" i="33"/>
  <c r="CN625" i="33"/>
  <c r="BY624" i="33"/>
  <c r="CB622" i="33"/>
  <c r="CH620" i="33"/>
  <c r="CK618" i="33"/>
  <c r="CN616" i="33"/>
  <c r="CB615" i="33"/>
  <c r="CN613" i="33"/>
  <c r="CH612" i="33"/>
  <c r="CB611" i="33"/>
  <c r="CN609" i="33"/>
  <c r="CH608" i="33"/>
  <c r="CB607" i="33"/>
  <c r="CN605" i="33"/>
  <c r="CH604" i="33"/>
  <c r="CB603" i="33"/>
  <c r="CN601" i="33"/>
  <c r="CH600" i="33"/>
  <c r="CB599" i="33"/>
  <c r="CN597" i="33"/>
  <c r="CH596" i="33"/>
  <c r="CB595" i="33"/>
  <c r="CN593" i="33"/>
  <c r="CH592" i="33"/>
  <c r="CB591" i="33"/>
  <c r="CN589" i="33"/>
  <c r="CH588" i="33"/>
  <c r="CB587" i="33"/>
  <c r="CN585" i="33"/>
  <c r="CH584" i="33"/>
  <c r="CB583" i="33"/>
  <c r="CN581" i="33"/>
  <c r="CH580" i="33"/>
  <c r="CB579" i="33"/>
  <c r="CN577" i="33"/>
  <c r="CH576" i="33"/>
  <c r="CB575" i="33"/>
  <c r="CN573" i="33"/>
  <c r="CH572" i="33"/>
  <c r="CB571" i="33"/>
  <c r="CN569" i="33"/>
  <c r="CH568" i="33"/>
  <c r="CB567" i="33"/>
  <c r="CN565" i="33"/>
  <c r="CH564" i="33"/>
  <c r="CB563" i="33"/>
  <c r="CN561" i="33"/>
  <c r="CH560" i="33"/>
  <c r="CB559" i="33"/>
  <c r="CN557" i="33"/>
  <c r="CH556" i="33"/>
  <c r="CB555" i="33"/>
  <c r="CN553" i="33"/>
  <c r="CH552" i="33"/>
  <c r="CB551" i="33"/>
  <c r="CN549" i="33"/>
  <c r="CH548" i="33"/>
  <c r="CB547" i="33"/>
  <c r="CN545" i="33"/>
  <c r="CH544" i="33"/>
  <c r="CB543" i="33"/>
  <c r="CN541" i="33"/>
  <c r="CH540" i="33"/>
  <c r="CB539" i="33"/>
  <c r="CN537" i="33"/>
  <c r="CH536" i="33"/>
  <c r="CB535" i="33"/>
  <c r="CN533" i="33"/>
  <c r="CH532" i="33"/>
  <c r="CN655" i="33"/>
  <c r="BY654" i="33"/>
  <c r="CB652" i="33"/>
  <c r="CH650" i="33"/>
  <c r="CK648" i="33"/>
  <c r="CN646" i="33"/>
  <c r="CB645" i="33"/>
  <c r="CE643" i="33"/>
  <c r="CH641" i="33"/>
  <c r="CN639" i="33"/>
  <c r="BY638" i="33"/>
  <c r="CB636" i="33"/>
  <c r="CH634" i="33"/>
  <c r="CK632" i="33"/>
  <c r="CN630" i="33"/>
  <c r="CB629" i="33"/>
  <c r="CE627" i="33"/>
  <c r="CH625" i="33"/>
  <c r="CN623" i="33"/>
  <c r="BY622" i="33"/>
  <c r="CB620" i="33"/>
  <c r="CH618" i="33"/>
  <c r="CK616" i="33"/>
  <c r="BY615" i="33"/>
  <c r="CK613" i="33"/>
  <c r="CE612" i="33"/>
  <c r="BY611" i="33"/>
  <c r="CK609" i="33"/>
  <c r="CE608" i="33"/>
  <c r="BY607" i="33"/>
  <c r="CK605" i="33"/>
  <c r="CE604" i="33"/>
  <c r="BY603" i="33"/>
  <c r="CK601" i="33"/>
  <c r="CE600" i="33"/>
  <c r="BY599" i="33"/>
  <c r="CK597" i="33"/>
  <c r="CE596" i="33"/>
  <c r="BY595" i="33"/>
  <c r="CK593" i="33"/>
  <c r="CE592" i="33"/>
  <c r="BY591" i="33"/>
  <c r="CK589" i="33"/>
  <c r="CE588" i="33"/>
  <c r="BY587" i="33"/>
  <c r="CK585" i="33"/>
  <c r="CE584" i="33"/>
  <c r="BY583" i="33"/>
  <c r="CK581" i="33"/>
  <c r="CE580" i="33"/>
  <c r="BY579" i="33"/>
  <c r="CK577" i="33"/>
  <c r="CE576" i="33"/>
  <c r="BY575" i="33"/>
  <c r="CK573" i="33"/>
  <c r="CE572" i="33"/>
  <c r="BY571" i="33"/>
  <c r="CK569" i="33"/>
  <c r="CE568" i="33"/>
  <c r="BY567" i="33"/>
  <c r="CK565" i="33"/>
  <c r="CE564" i="33"/>
  <c r="BY563" i="33"/>
  <c r="CK561" i="33"/>
  <c r="CE560" i="33"/>
  <c r="BY559" i="33"/>
  <c r="CK557" i="33"/>
  <c r="CE556" i="33"/>
  <c r="BY555" i="33"/>
  <c r="CK553" i="33"/>
  <c r="CE552" i="33"/>
  <c r="BY551" i="33"/>
  <c r="CK549" i="33"/>
  <c r="CE548" i="33"/>
  <c r="BY547" i="33"/>
  <c r="CK545" i="33"/>
  <c r="CE544" i="33"/>
  <c r="BY543" i="33"/>
  <c r="CK541" i="33"/>
  <c r="CE540" i="33"/>
  <c r="BY539" i="33"/>
  <c r="CK537" i="33"/>
  <c r="CE536" i="33"/>
  <c r="BY535" i="33"/>
  <c r="CK533" i="33"/>
  <c r="CH655" i="33"/>
  <c r="CN653" i="33"/>
  <c r="BY652" i="33"/>
  <c r="CB650" i="33"/>
  <c r="CH648" i="33"/>
  <c r="CK646" i="33"/>
  <c r="CN644" i="33"/>
  <c r="CB643" i="33"/>
  <c r="CE641" i="33"/>
  <c r="CH639" i="33"/>
  <c r="CN637" i="33"/>
  <c r="BY636" i="33"/>
  <c r="CB634" i="33"/>
  <c r="CH632" i="33"/>
  <c r="CK630" i="33"/>
  <c r="CN628" i="33"/>
  <c r="CB627" i="33"/>
  <c r="CE625" i="33"/>
  <c r="CH623" i="33"/>
  <c r="CN621" i="33"/>
  <c r="BY620" i="33"/>
  <c r="CB618" i="33"/>
  <c r="CH616" i="33"/>
  <c r="CN614" i="33"/>
  <c r="CH613" i="33"/>
  <c r="CB612" i="33"/>
  <c r="CN610" i="33"/>
  <c r="CH609" i="33"/>
  <c r="CB608" i="33"/>
  <c r="CN606" i="33"/>
  <c r="CH605" i="33"/>
  <c r="CB604" i="33"/>
  <c r="CN602" i="33"/>
  <c r="CH601" i="33"/>
  <c r="CB600" i="33"/>
  <c r="CN598" i="33"/>
  <c r="CH597" i="33"/>
  <c r="CB596" i="33"/>
  <c r="CN594" i="33"/>
  <c r="CH593" i="33"/>
  <c r="CB592" i="33"/>
  <c r="CN590" i="33"/>
  <c r="CH589" i="33"/>
  <c r="CB588" i="33"/>
  <c r="CN586" i="33"/>
  <c r="CH585" i="33"/>
  <c r="CB584" i="33"/>
  <c r="CN582" i="33"/>
  <c r="CH581" i="33"/>
  <c r="CB580" i="33"/>
  <c r="CN578" i="33"/>
  <c r="CH577" i="33"/>
  <c r="CB576" i="33"/>
  <c r="CN574" i="33"/>
  <c r="CH573" i="33"/>
  <c r="CB572" i="33"/>
  <c r="CN570" i="33"/>
  <c r="CH569" i="33"/>
  <c r="CB568" i="33"/>
  <c r="CN566" i="33"/>
  <c r="CH565" i="33"/>
  <c r="CB564" i="33"/>
  <c r="CN562" i="33"/>
  <c r="CH561" i="33"/>
  <c r="CB560" i="33"/>
  <c r="CN558" i="33"/>
  <c r="CH557" i="33"/>
  <c r="CB556" i="33"/>
  <c r="CN554" i="33"/>
  <c r="CH553" i="33"/>
  <c r="CB552" i="33"/>
  <c r="CN550" i="33"/>
  <c r="CH549" i="33"/>
  <c r="CB548" i="33"/>
  <c r="CN546" i="33"/>
  <c r="CH545" i="33"/>
  <c r="CB544" i="33"/>
  <c r="CN542" i="33"/>
  <c r="CH541" i="33"/>
  <c r="CB540" i="33"/>
  <c r="CN538" i="33"/>
  <c r="CH537" i="33"/>
  <c r="CB536" i="33"/>
  <c r="CN534" i="33"/>
  <c r="CH533" i="33"/>
  <c r="CB532" i="33"/>
  <c r="CE655" i="33"/>
  <c r="CH653" i="33"/>
  <c r="CN651" i="33"/>
  <c r="BY650" i="33"/>
  <c r="CB648" i="33"/>
  <c r="CH646" i="33"/>
  <c r="CK644" i="33"/>
  <c r="CN642" i="33"/>
  <c r="CB641" i="33"/>
  <c r="CE639" i="33"/>
  <c r="CH637" i="33"/>
  <c r="CN635" i="33"/>
  <c r="BY634" i="33"/>
  <c r="CB632" i="33"/>
  <c r="CH630" i="33"/>
  <c r="CK628" i="33"/>
  <c r="CN626" i="33"/>
  <c r="CB625" i="33"/>
  <c r="CE623" i="33"/>
  <c r="CH621" i="33"/>
  <c r="CN619" i="33"/>
  <c r="BY618" i="33"/>
  <c r="CB616" i="33"/>
  <c r="CK614" i="33"/>
  <c r="CE613" i="33"/>
  <c r="BY612" i="33"/>
  <c r="CK610" i="33"/>
  <c r="CE609" i="33"/>
  <c r="BY608" i="33"/>
  <c r="CK606" i="33"/>
  <c r="CE605" i="33"/>
  <c r="BY604" i="33"/>
  <c r="CK602" i="33"/>
  <c r="CE601" i="33"/>
  <c r="BY600" i="33"/>
  <c r="CK598" i="33"/>
  <c r="CE597" i="33"/>
  <c r="BY596" i="33"/>
  <c r="CK594" i="33"/>
  <c r="CE593" i="33"/>
  <c r="BY592" i="33"/>
  <c r="CK590" i="33"/>
  <c r="CE589" i="33"/>
  <c r="BY588" i="33"/>
  <c r="CK586" i="33"/>
  <c r="CE585" i="33"/>
  <c r="BY584" i="33"/>
  <c r="CK582" i="33"/>
  <c r="CE581" i="33"/>
  <c r="BY580" i="33"/>
  <c r="CK578" i="33"/>
  <c r="CE577" i="33"/>
  <c r="BY576" i="33"/>
  <c r="CK574" i="33"/>
  <c r="CE573" i="33"/>
  <c r="BY572" i="33"/>
  <c r="CK570" i="33"/>
  <c r="CE569" i="33"/>
  <c r="BY568" i="33"/>
  <c r="CK566" i="33"/>
  <c r="CE565" i="33"/>
  <c r="BY564" i="33"/>
  <c r="CK562" i="33"/>
  <c r="CE561" i="33"/>
  <c r="BY560" i="33"/>
  <c r="CK558" i="33"/>
  <c r="CE557" i="33"/>
  <c r="BY556" i="33"/>
  <c r="CK554" i="33"/>
  <c r="CE553" i="33"/>
  <c r="BY552" i="33"/>
  <c r="CK550" i="33"/>
  <c r="CE549" i="33"/>
  <c r="BY548" i="33"/>
  <c r="CK546" i="33"/>
  <c r="CE545" i="33"/>
  <c r="BY544" i="33"/>
  <c r="CK542" i="33"/>
  <c r="CE541" i="33"/>
  <c r="BY540" i="33"/>
  <c r="CK538" i="33"/>
  <c r="CE537" i="33"/>
  <c r="BY536" i="33"/>
  <c r="CK534" i="33"/>
  <c r="CE533" i="33"/>
  <c r="BY532" i="33"/>
  <c r="CK530" i="33"/>
  <c r="CE529" i="33"/>
  <c r="BY528" i="33"/>
  <c r="CK526" i="33"/>
  <c r="CE525" i="33"/>
  <c r="BY524" i="33"/>
  <c r="CK522" i="33"/>
  <c r="CE521" i="33"/>
  <c r="BY520" i="33"/>
  <c r="CK518" i="33"/>
  <c r="CE517" i="33"/>
  <c r="BY516" i="33"/>
  <c r="CK514" i="33"/>
  <c r="CE513" i="33"/>
  <c r="BY512" i="33"/>
  <c r="CK510" i="33"/>
  <c r="CE509" i="33"/>
  <c r="BY508" i="33"/>
  <c r="CK506" i="33"/>
  <c r="CE505" i="33"/>
  <c r="BY504" i="33"/>
  <c r="CK502" i="33"/>
  <c r="CE501" i="33"/>
  <c r="BY500" i="33"/>
  <c r="CK498" i="33"/>
  <c r="CE497" i="33"/>
  <c r="BY496" i="33"/>
  <c r="CN530" i="33"/>
  <c r="BY529" i="33"/>
  <c r="CB527" i="33"/>
  <c r="CH525" i="33"/>
  <c r="CK523" i="33"/>
  <c r="CN521" i="33"/>
  <c r="CB520" i="33"/>
  <c r="CE518" i="33"/>
  <c r="CH516" i="33"/>
  <c r="CN514" i="33"/>
  <c r="BY513" i="33"/>
  <c r="CB511" i="33"/>
  <c r="CH509" i="33"/>
  <c r="CK507" i="33"/>
  <c r="CN505" i="33"/>
  <c r="CB504" i="33"/>
  <c r="CE502" i="33"/>
  <c r="CH500" i="33"/>
  <c r="CN498" i="33"/>
  <c r="BY497" i="33"/>
  <c r="CE495" i="33"/>
  <c r="BY494" i="33"/>
  <c r="CK492" i="33"/>
  <c r="CE491" i="33"/>
  <c r="BY490" i="33"/>
  <c r="CK488" i="33"/>
  <c r="CE487" i="33"/>
  <c r="BY486" i="33"/>
  <c r="CK484" i="33"/>
  <c r="CE483" i="33"/>
  <c r="BY482" i="33"/>
  <c r="CK480" i="33"/>
  <c r="CE479" i="33"/>
  <c r="BY478" i="33"/>
  <c r="CK476" i="33"/>
  <c r="CE475" i="33"/>
  <c r="BY474" i="33"/>
  <c r="CK472" i="33"/>
  <c r="CE471" i="33"/>
  <c r="BY470" i="33"/>
  <c r="CK468" i="33"/>
  <c r="CE467" i="33"/>
  <c r="BY466" i="33"/>
  <c r="CK464" i="33"/>
  <c r="CE463" i="33"/>
  <c r="BY462" i="33"/>
  <c r="CK460" i="33"/>
  <c r="CE459" i="33"/>
  <c r="BY458" i="33"/>
  <c r="CK456" i="33"/>
  <c r="CE455" i="33"/>
  <c r="BY454" i="33"/>
  <c r="CK452" i="33"/>
  <c r="CE451" i="33"/>
  <c r="BY450" i="33"/>
  <c r="CK448" i="33"/>
  <c r="CE447" i="33"/>
  <c r="BY446" i="33"/>
  <c r="CK444" i="33"/>
  <c r="CE443" i="33"/>
  <c r="BY442" i="33"/>
  <c r="CK440" i="33"/>
  <c r="CE439" i="33"/>
  <c r="BY438" i="33"/>
  <c r="CK436" i="33"/>
  <c r="CE435" i="33"/>
  <c r="BY434" i="33"/>
  <c r="CK432" i="33"/>
  <c r="CE431" i="33"/>
  <c r="BY430" i="33"/>
  <c r="CK428" i="33"/>
  <c r="CE427" i="33"/>
  <c r="BY426" i="33"/>
  <c r="CK424" i="33"/>
  <c r="CE423" i="33"/>
  <c r="BY422" i="33"/>
  <c r="CK420" i="33"/>
  <c r="CE419" i="33"/>
  <c r="BY418" i="33"/>
  <c r="CK416" i="33"/>
  <c r="CE415" i="33"/>
  <c r="BY414" i="33"/>
  <c r="CK412" i="33"/>
  <c r="CE411" i="33"/>
  <c r="BY410" i="33"/>
  <c r="CK408" i="33"/>
  <c r="CE407" i="33"/>
  <c r="BY406" i="33"/>
  <c r="CK404" i="33"/>
  <c r="CE403" i="33"/>
  <c r="BY402" i="33"/>
  <c r="CK400" i="33"/>
  <c r="CE399" i="33"/>
  <c r="BY398" i="33"/>
  <c r="CK396" i="33"/>
  <c r="CE395" i="33"/>
  <c r="BY394" i="33"/>
  <c r="CK392" i="33"/>
  <c r="CE391" i="33"/>
  <c r="BY390" i="33"/>
  <c r="CK388" i="33"/>
  <c r="CE387" i="33"/>
  <c r="BY386" i="33"/>
  <c r="CK384" i="33"/>
  <c r="CE383" i="33"/>
  <c r="BY382" i="33"/>
  <c r="CK380" i="33"/>
  <c r="CE379" i="33"/>
  <c r="BY378" i="33"/>
  <c r="CK376" i="33"/>
  <c r="CE375" i="33"/>
  <c r="BY374" i="33"/>
  <c r="CK372" i="33"/>
  <c r="CE371" i="33"/>
  <c r="BY370" i="33"/>
  <c r="CK368" i="33"/>
  <c r="CE367" i="33"/>
  <c r="BY366" i="33"/>
  <c r="CK364" i="33"/>
  <c r="CE363" i="33"/>
  <c r="BY362" i="33"/>
  <c r="CK360" i="33"/>
  <c r="CE359" i="33"/>
  <c r="BY358" i="33"/>
  <c r="CK356" i="33"/>
  <c r="CE355" i="33"/>
  <c r="BY354" i="33"/>
  <c r="CK352" i="33"/>
  <c r="CE351" i="33"/>
  <c r="BY350" i="33"/>
  <c r="CK348" i="33"/>
  <c r="CE347" i="33"/>
  <c r="BY346" i="33"/>
  <c r="CK344" i="33"/>
  <c r="CH530" i="33"/>
  <c r="CN528" i="33"/>
  <c r="BY527" i="33"/>
  <c r="CB525" i="33"/>
  <c r="CH523" i="33"/>
  <c r="CK521" i="33"/>
  <c r="CN519" i="33"/>
  <c r="CB518" i="33"/>
  <c r="CE516" i="33"/>
  <c r="CH514" i="33"/>
  <c r="CN512" i="33"/>
  <c r="BY511" i="33"/>
  <c r="CB509" i="33"/>
  <c r="CH507" i="33"/>
  <c r="CK505" i="33"/>
  <c r="CN503" i="33"/>
  <c r="CB502" i="33"/>
  <c r="CE500" i="33"/>
  <c r="CH498" i="33"/>
  <c r="CN496" i="33"/>
  <c r="CB495" i="33"/>
  <c r="CN493" i="33"/>
  <c r="CH492" i="33"/>
  <c r="CB491" i="33"/>
  <c r="CN489" i="33"/>
  <c r="CH488" i="33"/>
  <c r="CB487" i="33"/>
  <c r="CN485" i="33"/>
  <c r="CH484" i="33"/>
  <c r="CB483" i="33"/>
  <c r="CN481" i="33"/>
  <c r="CH480" i="33"/>
  <c r="CB479" i="33"/>
  <c r="CN477" i="33"/>
  <c r="CH476" i="33"/>
  <c r="CB475" i="33"/>
  <c r="CN473" i="33"/>
  <c r="CH472" i="33"/>
  <c r="CB471" i="33"/>
  <c r="CN469" i="33"/>
  <c r="CH468" i="33"/>
  <c r="CB467" i="33"/>
  <c r="CN465" i="33"/>
  <c r="CH464" i="33"/>
  <c r="CB463" i="33"/>
  <c r="CN461" i="33"/>
  <c r="CH460" i="33"/>
  <c r="CB459" i="33"/>
  <c r="CN457" i="33"/>
  <c r="CH456" i="33"/>
  <c r="CB455" i="33"/>
  <c r="CN453" i="33"/>
  <c r="CH452" i="33"/>
  <c r="CB451" i="33"/>
  <c r="CN449" i="33"/>
  <c r="CH448" i="33"/>
  <c r="CB447" i="33"/>
  <c r="CN445" i="33"/>
  <c r="CH444" i="33"/>
  <c r="CB443" i="33"/>
  <c r="CN441" i="33"/>
  <c r="CH440" i="33"/>
  <c r="CB439" i="33"/>
  <c r="CN437" i="33"/>
  <c r="CH436" i="33"/>
  <c r="CB435" i="33"/>
  <c r="CN433" i="33"/>
  <c r="CH432" i="33"/>
  <c r="CB431" i="33"/>
  <c r="CN429" i="33"/>
  <c r="CH428" i="33"/>
  <c r="CB427" i="33"/>
  <c r="CN425" i="33"/>
  <c r="CH424" i="33"/>
  <c r="CB423" i="33"/>
  <c r="CN421" i="33"/>
  <c r="CH420" i="33"/>
  <c r="CB419" i="33"/>
  <c r="CN417" i="33"/>
  <c r="CH416" i="33"/>
  <c r="CB415" i="33"/>
  <c r="CN413" i="33"/>
  <c r="CH412" i="33"/>
  <c r="CB411" i="33"/>
  <c r="CN409" i="33"/>
  <c r="CH408" i="33"/>
  <c r="CB407" i="33"/>
  <c r="CN405" i="33"/>
  <c r="CH404" i="33"/>
  <c r="CB403" i="33"/>
  <c r="CN401" i="33"/>
  <c r="CH400" i="33"/>
  <c r="CB399" i="33"/>
  <c r="CN397" i="33"/>
  <c r="CH396" i="33"/>
  <c r="CB395" i="33"/>
  <c r="CN393" i="33"/>
  <c r="CH392" i="33"/>
  <c r="CB391" i="33"/>
  <c r="CN389" i="33"/>
  <c r="CH388" i="33"/>
  <c r="CB387" i="33"/>
  <c r="CN385" i="33"/>
  <c r="CH384" i="33"/>
  <c r="CB383" i="33"/>
  <c r="CN381" i="33"/>
  <c r="CH380" i="33"/>
  <c r="CB379" i="33"/>
  <c r="CN377" i="33"/>
  <c r="CH376" i="33"/>
  <c r="CB375" i="33"/>
  <c r="CN373" i="33"/>
  <c r="CH372" i="33"/>
  <c r="CB371" i="33"/>
  <c r="CN369" i="33"/>
  <c r="CH368" i="33"/>
  <c r="CB367" i="33"/>
  <c r="CN365" i="33"/>
  <c r="CH364" i="33"/>
  <c r="CB363" i="33"/>
  <c r="CN361" i="33"/>
  <c r="CH360" i="33"/>
  <c r="CB359" i="33"/>
  <c r="CN357" i="33"/>
  <c r="CH356" i="33"/>
  <c r="CB355" i="33"/>
  <c r="CN353" i="33"/>
  <c r="CH352" i="33"/>
  <c r="CB351" i="33"/>
  <c r="CE530" i="33"/>
  <c r="CH528" i="33"/>
  <c r="CN526" i="33"/>
  <c r="BY525" i="33"/>
  <c r="CB523" i="33"/>
  <c r="CH521" i="33"/>
  <c r="CK519" i="33"/>
  <c r="CN517" i="33"/>
  <c r="CB516" i="33"/>
  <c r="CE514" i="33"/>
  <c r="CH512" i="33"/>
  <c r="CN510" i="33"/>
  <c r="BY509" i="33"/>
  <c r="CB507" i="33"/>
  <c r="CH505" i="33"/>
  <c r="CK503" i="33"/>
  <c r="CN501" i="33"/>
  <c r="CB500" i="33"/>
  <c r="CE498" i="33"/>
  <c r="CH496" i="33"/>
  <c r="BY495" i="33"/>
  <c r="CK493" i="33"/>
  <c r="CE492" i="33"/>
  <c r="BY491" i="33"/>
  <c r="CK489" i="33"/>
  <c r="CE488" i="33"/>
  <c r="BY487" i="33"/>
  <c r="CK485" i="33"/>
  <c r="CE484" i="33"/>
  <c r="BY483" i="33"/>
  <c r="CK481" i="33"/>
  <c r="CE480" i="33"/>
  <c r="BY479" i="33"/>
  <c r="CK477" i="33"/>
  <c r="CE476" i="33"/>
  <c r="BY475" i="33"/>
  <c r="CK473" i="33"/>
  <c r="CE472" i="33"/>
  <c r="BY471" i="33"/>
  <c r="CK469" i="33"/>
  <c r="CE468" i="33"/>
  <c r="BY467" i="33"/>
  <c r="CK465" i="33"/>
  <c r="CE464" i="33"/>
  <c r="BY463" i="33"/>
  <c r="CK461" i="33"/>
  <c r="CE460" i="33"/>
  <c r="BY459" i="33"/>
  <c r="CK457" i="33"/>
  <c r="CE456" i="33"/>
  <c r="BY455" i="33"/>
  <c r="CK453" i="33"/>
  <c r="CE452" i="33"/>
  <c r="BY451" i="33"/>
  <c r="CK449" i="33"/>
  <c r="CE448" i="33"/>
  <c r="BY447" i="33"/>
  <c r="CK445" i="33"/>
  <c r="CE444" i="33"/>
  <c r="BY443" i="33"/>
  <c r="CK441" i="33"/>
  <c r="CE440" i="33"/>
  <c r="BY439" i="33"/>
  <c r="CK437" i="33"/>
  <c r="CE436" i="33"/>
  <c r="BY435" i="33"/>
  <c r="CK433" i="33"/>
  <c r="CE432" i="33"/>
  <c r="BY431" i="33"/>
  <c r="CK429" i="33"/>
  <c r="CE428" i="33"/>
  <c r="BY427" i="33"/>
  <c r="CK425" i="33"/>
  <c r="CE424" i="33"/>
  <c r="BY423" i="33"/>
  <c r="CK421" i="33"/>
  <c r="CE420" i="33"/>
  <c r="BY419" i="33"/>
  <c r="CK417" i="33"/>
  <c r="CE416" i="33"/>
  <c r="BY415" i="33"/>
  <c r="CK413" i="33"/>
  <c r="CE412" i="33"/>
  <c r="BY411" i="33"/>
  <c r="CK409" i="33"/>
  <c r="CE408" i="33"/>
  <c r="BY407" i="33"/>
  <c r="CK405" i="33"/>
  <c r="CE404" i="33"/>
  <c r="BY403" i="33"/>
  <c r="CK401" i="33"/>
  <c r="CE400" i="33"/>
  <c r="BY399" i="33"/>
  <c r="CK397" i="33"/>
  <c r="CE396" i="33"/>
  <c r="BY395" i="33"/>
  <c r="CK393" i="33"/>
  <c r="CE392" i="33"/>
  <c r="BY391" i="33"/>
  <c r="CK389" i="33"/>
  <c r="CE388" i="33"/>
  <c r="BY387" i="33"/>
  <c r="CK385" i="33"/>
  <c r="CE384" i="33"/>
  <c r="BY383" i="33"/>
  <c r="CK381" i="33"/>
  <c r="CE380" i="33"/>
  <c r="BY379" i="33"/>
  <c r="CK377" i="33"/>
  <c r="CE376" i="33"/>
  <c r="BY375" i="33"/>
  <c r="CK373" i="33"/>
  <c r="CE372" i="33"/>
  <c r="BY371" i="33"/>
  <c r="CK369" i="33"/>
  <c r="CE368" i="33"/>
  <c r="BY367" i="33"/>
  <c r="CK365" i="33"/>
  <c r="CE364" i="33"/>
  <c r="BY363" i="33"/>
  <c r="CK361" i="33"/>
  <c r="CE360" i="33"/>
  <c r="BY359" i="33"/>
  <c r="CK357" i="33"/>
  <c r="CE356" i="33"/>
  <c r="BY355" i="33"/>
  <c r="CE532" i="33"/>
  <c r="CB530" i="33"/>
  <c r="CE528" i="33"/>
  <c r="CH526" i="33"/>
  <c r="CN524" i="33"/>
  <c r="BY523" i="33"/>
  <c r="CB521" i="33"/>
  <c r="CH519" i="33"/>
  <c r="CK517" i="33"/>
  <c r="CN515" i="33"/>
  <c r="CB514" i="33"/>
  <c r="CE512" i="33"/>
  <c r="CH510" i="33"/>
  <c r="CN508" i="33"/>
  <c r="BY507" i="33"/>
  <c r="CB505" i="33"/>
  <c r="CH503" i="33"/>
  <c r="CK501" i="33"/>
  <c r="CN499" i="33"/>
  <c r="CB498" i="33"/>
  <c r="CE496" i="33"/>
  <c r="CN494" i="33"/>
  <c r="CH493" i="33"/>
  <c r="CB492" i="33"/>
  <c r="CN490" i="33"/>
  <c r="CH489" i="33"/>
  <c r="CB488" i="33"/>
  <c r="CN486" i="33"/>
  <c r="CH485" i="33"/>
  <c r="CB484" i="33"/>
  <c r="CN482" i="33"/>
  <c r="CH481" i="33"/>
  <c r="CB480" i="33"/>
  <c r="CN478" i="33"/>
  <c r="CH477" i="33"/>
  <c r="CB476" i="33"/>
  <c r="CN474" i="33"/>
  <c r="CH473" i="33"/>
  <c r="CB472" i="33"/>
  <c r="CN470" i="33"/>
  <c r="CH469" i="33"/>
  <c r="CB468" i="33"/>
  <c r="CN466" i="33"/>
  <c r="CH465" i="33"/>
  <c r="CB464" i="33"/>
  <c r="CN462" i="33"/>
  <c r="CH461" i="33"/>
  <c r="CB460" i="33"/>
  <c r="CN458" i="33"/>
  <c r="CH457" i="33"/>
  <c r="CB456" i="33"/>
  <c r="CN454" i="33"/>
  <c r="CH453" i="33"/>
  <c r="CB452" i="33"/>
  <c r="CN450" i="33"/>
  <c r="CH449" i="33"/>
  <c r="CB448" i="33"/>
  <c r="CN446" i="33"/>
  <c r="CH445" i="33"/>
  <c r="CB444" i="33"/>
  <c r="CN442" i="33"/>
  <c r="CH441" i="33"/>
  <c r="CB440" i="33"/>
  <c r="CN438" i="33"/>
  <c r="CH437" i="33"/>
  <c r="CB436" i="33"/>
  <c r="CN434" i="33"/>
  <c r="CH433" i="33"/>
  <c r="CB432" i="33"/>
  <c r="CN430" i="33"/>
  <c r="CH429" i="33"/>
  <c r="CB428" i="33"/>
  <c r="CN426" i="33"/>
  <c r="CH425" i="33"/>
  <c r="CB424" i="33"/>
  <c r="CN422" i="33"/>
  <c r="CH421" i="33"/>
  <c r="CB420" i="33"/>
  <c r="CN418" i="33"/>
  <c r="CH417" i="33"/>
  <c r="CB416" i="33"/>
  <c r="CN414" i="33"/>
  <c r="CH413" i="33"/>
  <c r="CB412" i="33"/>
  <c r="CN410" i="33"/>
  <c r="CH409" i="33"/>
  <c r="CB408" i="33"/>
  <c r="CN406" i="33"/>
  <c r="CH405" i="33"/>
  <c r="CB404" i="33"/>
  <c r="CN402" i="33"/>
  <c r="CH401" i="33"/>
  <c r="CB400" i="33"/>
  <c r="CN398" i="33"/>
  <c r="CH397" i="33"/>
  <c r="CB396" i="33"/>
  <c r="CN394" i="33"/>
  <c r="CH393" i="33"/>
  <c r="CB392" i="33"/>
  <c r="CN390" i="33"/>
  <c r="CH389" i="33"/>
  <c r="CB388" i="33"/>
  <c r="CN386" i="33"/>
  <c r="CH385" i="33"/>
  <c r="CB384" i="33"/>
  <c r="CN382" i="33"/>
  <c r="CH381" i="33"/>
  <c r="CB380" i="33"/>
  <c r="CN378" i="33"/>
  <c r="CH377" i="33"/>
  <c r="CB376" i="33"/>
  <c r="CN374" i="33"/>
  <c r="CH373" i="33"/>
  <c r="CB372" i="33"/>
  <c r="CN370" i="33"/>
  <c r="CH369" i="33"/>
  <c r="CB368" i="33"/>
  <c r="CN366" i="33"/>
  <c r="CH365" i="33"/>
  <c r="CB364" i="33"/>
  <c r="CN362" i="33"/>
  <c r="CH361" i="33"/>
  <c r="CB360" i="33"/>
  <c r="CN358" i="33"/>
  <c r="CH357" i="33"/>
  <c r="CB356" i="33"/>
  <c r="CN354" i="33"/>
  <c r="CH353" i="33"/>
  <c r="CB352" i="33"/>
  <c r="CN350" i="33"/>
  <c r="CH349" i="33"/>
  <c r="CB348" i="33"/>
  <c r="CN346" i="33"/>
  <c r="CH345" i="33"/>
  <c r="CB344" i="33"/>
  <c r="CN342" i="33"/>
  <c r="CH341" i="33"/>
  <c r="CB340" i="33"/>
  <c r="CN338" i="33"/>
  <c r="CH337" i="33"/>
  <c r="CB336" i="33"/>
  <c r="CN334" i="33"/>
  <c r="CH333" i="33"/>
  <c r="CB332" i="33"/>
  <c r="CN330" i="33"/>
  <c r="CH329" i="33"/>
  <c r="CB328" i="33"/>
  <c r="CN326" i="33"/>
  <c r="CH325" i="33"/>
  <c r="CB324" i="33"/>
  <c r="CN322" i="33"/>
  <c r="CH321" i="33"/>
  <c r="CB320" i="33"/>
  <c r="CN318" i="33"/>
  <c r="CH317" i="33"/>
  <c r="CB316" i="33"/>
  <c r="CN314" i="33"/>
  <c r="CH313" i="33"/>
  <c r="CB312" i="33"/>
  <c r="CN310" i="33"/>
  <c r="CH309" i="33"/>
  <c r="CB308" i="33"/>
  <c r="CN306" i="33"/>
  <c r="CH305" i="33"/>
  <c r="CB304" i="33"/>
  <c r="CN302" i="33"/>
  <c r="CH301" i="33"/>
  <c r="CB300" i="33"/>
  <c r="CN298" i="33"/>
  <c r="CH297" i="33"/>
  <c r="CK531" i="33"/>
  <c r="CN529" i="33"/>
  <c r="CB528" i="33"/>
  <c r="CE526" i="33"/>
  <c r="CH524" i="33"/>
  <c r="CN522" i="33"/>
  <c r="BY521" i="33"/>
  <c r="CB519" i="33"/>
  <c r="CH517" i="33"/>
  <c r="CK515" i="33"/>
  <c r="CN513" i="33"/>
  <c r="CB512" i="33"/>
  <c r="CE510" i="33"/>
  <c r="CH508" i="33"/>
  <c r="CN506" i="33"/>
  <c r="BY505" i="33"/>
  <c r="CB503" i="33"/>
  <c r="CH501" i="33"/>
  <c r="CK499" i="33"/>
  <c r="CN497" i="33"/>
  <c r="CB496" i="33"/>
  <c r="CK494" i="33"/>
  <c r="CE493" i="33"/>
  <c r="BY492" i="33"/>
  <c r="CK490" i="33"/>
  <c r="CE489" i="33"/>
  <c r="BY488" i="33"/>
  <c r="CK486" i="33"/>
  <c r="CE485" i="33"/>
  <c r="BY484" i="33"/>
  <c r="CK482" i="33"/>
  <c r="CE481" i="33"/>
  <c r="BY480" i="33"/>
  <c r="CK478" i="33"/>
  <c r="CE477" i="33"/>
  <c r="BY476" i="33"/>
  <c r="CK474" i="33"/>
  <c r="CE473" i="33"/>
  <c r="BY472" i="33"/>
  <c r="CK470" i="33"/>
  <c r="CE469" i="33"/>
  <c r="BY468" i="33"/>
  <c r="CK466" i="33"/>
  <c r="CE465" i="33"/>
  <c r="BY464" i="33"/>
  <c r="CK462" i="33"/>
  <c r="CE461" i="33"/>
  <c r="BY460" i="33"/>
  <c r="CK458" i="33"/>
  <c r="CE457" i="33"/>
  <c r="BY456" i="33"/>
  <c r="CK454" i="33"/>
  <c r="CE453" i="33"/>
  <c r="BY452" i="33"/>
  <c r="CK450" i="33"/>
  <c r="CE449" i="33"/>
  <c r="BY448" i="33"/>
  <c r="CK446" i="33"/>
  <c r="CE445" i="33"/>
  <c r="BY444" i="33"/>
  <c r="CK442" i="33"/>
  <c r="CE441" i="33"/>
  <c r="BY440" i="33"/>
  <c r="CK438" i="33"/>
  <c r="CE437" i="33"/>
  <c r="BY436" i="33"/>
  <c r="CK434" i="33"/>
  <c r="CE433" i="33"/>
  <c r="BY432" i="33"/>
  <c r="CK430" i="33"/>
  <c r="CE429" i="33"/>
  <c r="BY428" i="33"/>
  <c r="CK426" i="33"/>
  <c r="CE425" i="33"/>
  <c r="BY424" i="33"/>
  <c r="CK422" i="33"/>
  <c r="CE421" i="33"/>
  <c r="BY420" i="33"/>
  <c r="CK418" i="33"/>
  <c r="CE417" i="33"/>
  <c r="BY416" i="33"/>
  <c r="CK414" i="33"/>
  <c r="CE413" i="33"/>
  <c r="BY412" i="33"/>
  <c r="CK410" i="33"/>
  <c r="CE409" i="33"/>
  <c r="BY408" i="33"/>
  <c r="CK406" i="33"/>
  <c r="CE405" i="33"/>
  <c r="BY404" i="33"/>
  <c r="CK402" i="33"/>
  <c r="CE401" i="33"/>
  <c r="BY400" i="33"/>
  <c r="CK398" i="33"/>
  <c r="CE397" i="33"/>
  <c r="BY396" i="33"/>
  <c r="CK394" i="33"/>
  <c r="CE393" i="33"/>
  <c r="BY392" i="33"/>
  <c r="CK390" i="33"/>
  <c r="CE389" i="33"/>
  <c r="BY388" i="33"/>
  <c r="CK386" i="33"/>
  <c r="CE385" i="33"/>
  <c r="BY384" i="33"/>
  <c r="CK382" i="33"/>
  <c r="CE381" i="33"/>
  <c r="BY380" i="33"/>
  <c r="CK378" i="33"/>
  <c r="CE377" i="33"/>
  <c r="BY376" i="33"/>
  <c r="CK374" i="33"/>
  <c r="CE373" i="33"/>
  <c r="BY372" i="33"/>
  <c r="CK370" i="33"/>
  <c r="CE369" i="33"/>
  <c r="BY368" i="33"/>
  <c r="CK366" i="33"/>
  <c r="CE365" i="33"/>
  <c r="BY364" i="33"/>
  <c r="CK362" i="33"/>
  <c r="CE361" i="33"/>
  <c r="BY360" i="33"/>
  <c r="CK358" i="33"/>
  <c r="CE357" i="33"/>
  <c r="BY356" i="33"/>
  <c r="CK354" i="33"/>
  <c r="CE353" i="33"/>
  <c r="BY352" i="33"/>
  <c r="CK350" i="33"/>
  <c r="CE349" i="33"/>
  <c r="BY348" i="33"/>
  <c r="CK346" i="33"/>
  <c r="CE345" i="33"/>
  <c r="BY344" i="33"/>
  <c r="CH531" i="33"/>
  <c r="CK529" i="33"/>
  <c r="CN527" i="33"/>
  <c r="CB526" i="33"/>
  <c r="CE524" i="33"/>
  <c r="CH522" i="33"/>
  <c r="CN520" i="33"/>
  <c r="BY519" i="33"/>
  <c r="CB517" i="33"/>
  <c r="CH515" i="33"/>
  <c r="CK513" i="33"/>
  <c r="CN511" i="33"/>
  <c r="CB510" i="33"/>
  <c r="CE508" i="33"/>
  <c r="CH506" i="33"/>
  <c r="CN504" i="33"/>
  <c r="BY503" i="33"/>
  <c r="CB501" i="33"/>
  <c r="CH499" i="33"/>
  <c r="CK497" i="33"/>
  <c r="CN495" i="33"/>
  <c r="CH494" i="33"/>
  <c r="CB493" i="33"/>
  <c r="CN491" i="33"/>
  <c r="CH490" i="33"/>
  <c r="CB489" i="33"/>
  <c r="CN487" i="33"/>
  <c r="CH486" i="33"/>
  <c r="CB485" i="33"/>
  <c r="CN483" i="33"/>
  <c r="CH482" i="33"/>
  <c r="CB481" i="33"/>
  <c r="CN479" i="33"/>
  <c r="CH478" i="33"/>
  <c r="CB477" i="33"/>
  <c r="CN475" i="33"/>
  <c r="CH474" i="33"/>
  <c r="CB473" i="33"/>
  <c r="CN471" i="33"/>
  <c r="CH470" i="33"/>
  <c r="CB469" i="33"/>
  <c r="CN467" i="33"/>
  <c r="CH466" i="33"/>
  <c r="CB465" i="33"/>
  <c r="CN463" i="33"/>
  <c r="CH462" i="33"/>
  <c r="CB461" i="33"/>
  <c r="CN459" i="33"/>
  <c r="CH458" i="33"/>
  <c r="CB457" i="33"/>
  <c r="CN455" i="33"/>
  <c r="CH454" i="33"/>
  <c r="CB453" i="33"/>
  <c r="CN451" i="33"/>
  <c r="CH450" i="33"/>
  <c r="CB449" i="33"/>
  <c r="CN447" i="33"/>
  <c r="CH446" i="33"/>
  <c r="CB445" i="33"/>
  <c r="CN443" i="33"/>
  <c r="CH442" i="33"/>
  <c r="CB441" i="33"/>
  <c r="CN439" i="33"/>
  <c r="CH438" i="33"/>
  <c r="CB437" i="33"/>
  <c r="CN435" i="33"/>
  <c r="CH434" i="33"/>
  <c r="CB433" i="33"/>
  <c r="CN431" i="33"/>
  <c r="CH430" i="33"/>
  <c r="CB429" i="33"/>
  <c r="CN427" i="33"/>
  <c r="CH426" i="33"/>
  <c r="CB425" i="33"/>
  <c r="CN423" i="33"/>
  <c r="CH422" i="33"/>
  <c r="CB421" i="33"/>
  <c r="CN419" i="33"/>
  <c r="CH418" i="33"/>
  <c r="CB417" i="33"/>
  <c r="CN415" i="33"/>
  <c r="CH414" i="33"/>
  <c r="CB413" i="33"/>
  <c r="CN411" i="33"/>
  <c r="CH410" i="33"/>
  <c r="CB409" i="33"/>
  <c r="CN407" i="33"/>
  <c r="CH406" i="33"/>
  <c r="CB405" i="33"/>
  <c r="CN403" i="33"/>
  <c r="CH402" i="33"/>
  <c r="CB401" i="33"/>
  <c r="CN399" i="33"/>
  <c r="CH398" i="33"/>
  <c r="CB397" i="33"/>
  <c r="CN395" i="33"/>
  <c r="CH394" i="33"/>
  <c r="CB393" i="33"/>
  <c r="CN391" i="33"/>
  <c r="CH390" i="33"/>
  <c r="CB389" i="33"/>
  <c r="CN387" i="33"/>
  <c r="CH386" i="33"/>
  <c r="CB385" i="33"/>
  <c r="CN383" i="33"/>
  <c r="CH382" i="33"/>
  <c r="CB381" i="33"/>
  <c r="CN379" i="33"/>
  <c r="CH378" i="33"/>
  <c r="CB377" i="33"/>
  <c r="CN375" i="33"/>
  <c r="CH374" i="33"/>
  <c r="CB373" i="33"/>
  <c r="CN371" i="33"/>
  <c r="CH370" i="33"/>
  <c r="CB369" i="33"/>
  <c r="CN367" i="33"/>
  <c r="CH366" i="33"/>
  <c r="CB365" i="33"/>
  <c r="CN363" i="33"/>
  <c r="CH362" i="33"/>
  <c r="CB361" i="33"/>
  <c r="CN359" i="33"/>
  <c r="CH358" i="33"/>
  <c r="CB357" i="33"/>
  <c r="CN355" i="33"/>
  <c r="CH354" i="33"/>
  <c r="CB353" i="33"/>
  <c r="CN351" i="33"/>
  <c r="CB531" i="33"/>
  <c r="CH529" i="33"/>
  <c r="CK527" i="33"/>
  <c r="CN525" i="33"/>
  <c r="CB524" i="33"/>
  <c r="CE522" i="33"/>
  <c r="CH520" i="33"/>
  <c r="CN518" i="33"/>
  <c r="BY517" i="33"/>
  <c r="CB515" i="33"/>
  <c r="CH513" i="33"/>
  <c r="CK511" i="33"/>
  <c r="CN509" i="33"/>
  <c r="CB508" i="33"/>
  <c r="CE506" i="33"/>
  <c r="CH504" i="33"/>
  <c r="CN502" i="33"/>
  <c r="BY501" i="33"/>
  <c r="CB499" i="33"/>
  <c r="CH497" i="33"/>
  <c r="CK495" i="33"/>
  <c r="CE494" i="33"/>
  <c r="BY493" i="33"/>
  <c r="CK491" i="33"/>
  <c r="CE490" i="33"/>
  <c r="BY489" i="33"/>
  <c r="CK487" i="33"/>
  <c r="CE486" i="33"/>
  <c r="BY485" i="33"/>
  <c r="CK483" i="33"/>
  <c r="CE482" i="33"/>
  <c r="BY481" i="33"/>
  <c r="CK479" i="33"/>
  <c r="CE478" i="33"/>
  <c r="BY477" i="33"/>
  <c r="CK475" i="33"/>
  <c r="CE474" i="33"/>
  <c r="BY473" i="33"/>
  <c r="CK471" i="33"/>
  <c r="CE470" i="33"/>
  <c r="BY469" i="33"/>
  <c r="CK467" i="33"/>
  <c r="CE466" i="33"/>
  <c r="BY465" i="33"/>
  <c r="CK463" i="33"/>
  <c r="CE462" i="33"/>
  <c r="BY461" i="33"/>
  <c r="CK459" i="33"/>
  <c r="CE458" i="33"/>
  <c r="BY457" i="33"/>
  <c r="CK455" i="33"/>
  <c r="CE454" i="33"/>
  <c r="BY453" i="33"/>
  <c r="CK451" i="33"/>
  <c r="CE450" i="33"/>
  <c r="BY449" i="33"/>
  <c r="CK447" i="33"/>
  <c r="CE446" i="33"/>
  <c r="BY445" i="33"/>
  <c r="CK443" i="33"/>
  <c r="CE442" i="33"/>
  <c r="BY441" i="33"/>
  <c r="CK439" i="33"/>
  <c r="CE438" i="33"/>
  <c r="BY437" i="33"/>
  <c r="CK435" i="33"/>
  <c r="CE434" i="33"/>
  <c r="BY433" i="33"/>
  <c r="CK431" i="33"/>
  <c r="CE430" i="33"/>
  <c r="BY429" i="33"/>
  <c r="CK427" i="33"/>
  <c r="CE426" i="33"/>
  <c r="BY425" i="33"/>
  <c r="CK423" i="33"/>
  <c r="CE422" i="33"/>
  <c r="BY421" i="33"/>
  <c r="CK419" i="33"/>
  <c r="CE418" i="33"/>
  <c r="BY417" i="33"/>
  <c r="CK415" i="33"/>
  <c r="CE414" i="33"/>
  <c r="BY413" i="33"/>
  <c r="CK411" i="33"/>
  <c r="CE410" i="33"/>
  <c r="BY409" i="33"/>
  <c r="CK407" i="33"/>
  <c r="CE406" i="33"/>
  <c r="BY405" i="33"/>
  <c r="CK403" i="33"/>
  <c r="CE402" i="33"/>
  <c r="BY401" i="33"/>
  <c r="CK399" i="33"/>
  <c r="CE398" i="33"/>
  <c r="BY397" i="33"/>
  <c r="CK395" i="33"/>
  <c r="CE394" i="33"/>
  <c r="BY393" i="33"/>
  <c r="CK391" i="33"/>
  <c r="CE390" i="33"/>
  <c r="BY389" i="33"/>
  <c r="CK387" i="33"/>
  <c r="CE386" i="33"/>
  <c r="BY385" i="33"/>
  <c r="CK383" i="33"/>
  <c r="CE382" i="33"/>
  <c r="BY381" i="33"/>
  <c r="CK379" i="33"/>
  <c r="CE378" i="33"/>
  <c r="BY377" i="33"/>
  <c r="CK375" i="33"/>
  <c r="CE374" i="33"/>
  <c r="BY373" i="33"/>
  <c r="CK371" i="33"/>
  <c r="CE370" i="33"/>
  <c r="BY369" i="33"/>
  <c r="CK367" i="33"/>
  <c r="CE366" i="33"/>
  <c r="BY365" i="33"/>
  <c r="CK363" i="33"/>
  <c r="CE362" i="33"/>
  <c r="BY361" i="33"/>
  <c r="CK359" i="33"/>
  <c r="CE358" i="33"/>
  <c r="BY357" i="33"/>
  <c r="CK355" i="33"/>
  <c r="CE354" i="33"/>
  <c r="BY531" i="33"/>
  <c r="CB529" i="33"/>
  <c r="CH527" i="33"/>
  <c r="CK525" i="33"/>
  <c r="CN523" i="33"/>
  <c r="CB522" i="33"/>
  <c r="CE520" i="33"/>
  <c r="CH518" i="33"/>
  <c r="CN516" i="33"/>
  <c r="BY515" i="33"/>
  <c r="CB513" i="33"/>
  <c r="CH511" i="33"/>
  <c r="CK509" i="33"/>
  <c r="CN507" i="33"/>
  <c r="CB506" i="33"/>
  <c r="CE504" i="33"/>
  <c r="CH502" i="33"/>
  <c r="CN500" i="33"/>
  <c r="BY499" i="33"/>
  <c r="CB497" i="33"/>
  <c r="CH495" i="33"/>
  <c r="CB494" i="33"/>
  <c r="CN492" i="33"/>
  <c r="CH491" i="33"/>
  <c r="CB490" i="33"/>
  <c r="CN488" i="33"/>
  <c r="CH487" i="33"/>
  <c r="CB486" i="33"/>
  <c r="CN484" i="33"/>
  <c r="CH483" i="33"/>
  <c r="CB482" i="33"/>
  <c r="CN480" i="33"/>
  <c r="CH479" i="33"/>
  <c r="CB478" i="33"/>
  <c r="CN476" i="33"/>
  <c r="CH475" i="33"/>
  <c r="CB474" i="33"/>
  <c r="CN472" i="33"/>
  <c r="CH471" i="33"/>
  <c r="CB470" i="33"/>
  <c r="CN468" i="33"/>
  <c r="CH467" i="33"/>
  <c r="CB466" i="33"/>
  <c r="CN464" i="33"/>
  <c r="CH463" i="33"/>
  <c r="CB462" i="33"/>
  <c r="CN460" i="33"/>
  <c r="CH459" i="33"/>
  <c r="CB458" i="33"/>
  <c r="CN456" i="33"/>
  <c r="CH455" i="33"/>
  <c r="CB454" i="33"/>
  <c r="CN452" i="33"/>
  <c r="CH451" i="33"/>
  <c r="CB450" i="33"/>
  <c r="CN448" i="33"/>
  <c r="CH447" i="33"/>
  <c r="CB446" i="33"/>
  <c r="CN444" i="33"/>
  <c r="CH443" i="33"/>
  <c r="CB442" i="33"/>
  <c r="CN440" i="33"/>
  <c r="CH439" i="33"/>
  <c r="CB438" i="33"/>
  <c r="CN436" i="33"/>
  <c r="CH435" i="33"/>
  <c r="CB434" i="33"/>
  <c r="CN432" i="33"/>
  <c r="CH431" i="33"/>
  <c r="CB430" i="33"/>
  <c r="CN428" i="33"/>
  <c r="CH427" i="33"/>
  <c r="CB426" i="33"/>
  <c r="CN424" i="33"/>
  <c r="CH423" i="33"/>
  <c r="CB422" i="33"/>
  <c r="CN420" i="33"/>
  <c r="CH419" i="33"/>
  <c r="CB418" i="33"/>
  <c r="CN416" i="33"/>
  <c r="CH415" i="33"/>
  <c r="CB414" i="33"/>
  <c r="CN412" i="33"/>
  <c r="CH411" i="33"/>
  <c r="CB410" i="33"/>
  <c r="CN408" i="33"/>
  <c r="CH407" i="33"/>
  <c r="CB406" i="33"/>
  <c r="CN404" i="33"/>
  <c r="CH403" i="33"/>
  <c r="CB402" i="33"/>
  <c r="CN400" i="33"/>
  <c r="CH399" i="33"/>
  <c r="CB398" i="33"/>
  <c r="CN396" i="33"/>
  <c r="CH395" i="33"/>
  <c r="CB394" i="33"/>
  <c r="CN392" i="33"/>
  <c r="CH391" i="33"/>
  <c r="CB390" i="33"/>
  <c r="CN388" i="33"/>
  <c r="CH387" i="33"/>
  <c r="CB386" i="33"/>
  <c r="CN384" i="33"/>
  <c r="CH383" i="33"/>
  <c r="CB382" i="33"/>
  <c r="CN380" i="33"/>
  <c r="CH379" i="33"/>
  <c r="CB378" i="33"/>
  <c r="CN376" i="33"/>
  <c r="CH375" i="33"/>
  <c r="CB374" i="33"/>
  <c r="CN372" i="33"/>
  <c r="CH371" i="33"/>
  <c r="CB370" i="33"/>
  <c r="CN368" i="33"/>
  <c r="CH367" i="33"/>
  <c r="CB366" i="33"/>
  <c r="CN364" i="33"/>
  <c r="CH363" i="33"/>
  <c r="CB362" i="33"/>
  <c r="CN360" i="33"/>
  <c r="CH359" i="33"/>
  <c r="CB358" i="33"/>
  <c r="CN356" i="33"/>
  <c r="CH355" i="33"/>
  <c r="CB354" i="33"/>
  <c r="CN352" i="33"/>
  <c r="CH351" i="33"/>
  <c r="CB350" i="33"/>
  <c r="CN348" i="33"/>
  <c r="CH347" i="33"/>
  <c r="CB346" i="33"/>
  <c r="CN344" i="33"/>
  <c r="CH343" i="33"/>
  <c r="CB342" i="33"/>
  <c r="CN340" i="33"/>
  <c r="CH339" i="33"/>
  <c r="CB338" i="33"/>
  <c r="CN336" i="33"/>
  <c r="CH335" i="33"/>
  <c r="CB334" i="33"/>
  <c r="CN332" i="33"/>
  <c r="CH331" i="33"/>
  <c r="CB330" i="33"/>
  <c r="CN328" i="33"/>
  <c r="CH327" i="33"/>
  <c r="CB326" i="33"/>
  <c r="CN324" i="33"/>
  <c r="CH323" i="33"/>
  <c r="CB322" i="33"/>
  <c r="CN320" i="33"/>
  <c r="CH319" i="33"/>
  <c r="CB318" i="33"/>
  <c r="CN316" i="33"/>
  <c r="CH315" i="33"/>
  <c r="CB314" i="33"/>
  <c r="CN312" i="33"/>
  <c r="CH311" i="33"/>
  <c r="CB310" i="33"/>
  <c r="CN308" i="33"/>
  <c r="CH307" i="33"/>
  <c r="CB306" i="33"/>
  <c r="CN304" i="33"/>
  <c r="CH303" i="33"/>
  <c r="CB302" i="33"/>
  <c r="CN300" i="33"/>
  <c r="CH299" i="33"/>
  <c r="CB298" i="33"/>
  <c r="CN296" i="33"/>
  <c r="CH350" i="33"/>
  <c r="CN347" i="33"/>
  <c r="CB345" i="33"/>
  <c r="BY343" i="33"/>
  <c r="CB341" i="33"/>
  <c r="CE339" i="33"/>
  <c r="CK337" i="33"/>
  <c r="CN335" i="33"/>
  <c r="BY334" i="33"/>
  <c r="CE332" i="33"/>
  <c r="CH330" i="33"/>
  <c r="CK328" i="33"/>
  <c r="BY327" i="33"/>
  <c r="CB325" i="33"/>
  <c r="CE323" i="33"/>
  <c r="CK321" i="33"/>
  <c r="CN319" i="33"/>
  <c r="BY318" i="33"/>
  <c r="CE316" i="33"/>
  <c r="CH314" i="33"/>
  <c r="CK312" i="33"/>
  <c r="BY311" i="33"/>
  <c r="CB309" i="33"/>
  <c r="CE307" i="33"/>
  <c r="CK305" i="33"/>
  <c r="CN303" i="33"/>
  <c r="BY302" i="33"/>
  <c r="CE300" i="33"/>
  <c r="CH298" i="33"/>
  <c r="CK296" i="33"/>
  <c r="CE295" i="33"/>
  <c r="BY294" i="33"/>
  <c r="CK292" i="33"/>
  <c r="CE291" i="33"/>
  <c r="BY290" i="33"/>
  <c r="CK288" i="33"/>
  <c r="CE287" i="33"/>
  <c r="BY286" i="33"/>
  <c r="CK284" i="33"/>
  <c r="CE283" i="33"/>
  <c r="BY282" i="33"/>
  <c r="CK280" i="33"/>
  <c r="CE279" i="33"/>
  <c r="BY278" i="33"/>
  <c r="CK276" i="33"/>
  <c r="CE275" i="33"/>
  <c r="BY274" i="33"/>
  <c r="CK272" i="33"/>
  <c r="CE271" i="33"/>
  <c r="BY270" i="33"/>
  <c r="CK268" i="33"/>
  <c r="CE267" i="33"/>
  <c r="BY266" i="33"/>
  <c r="CK264" i="33"/>
  <c r="CE263" i="33"/>
  <c r="BY262" i="33"/>
  <c r="CK260" i="33"/>
  <c r="CE259" i="33"/>
  <c r="BY258" i="33"/>
  <c r="CK256" i="33"/>
  <c r="CE255" i="33"/>
  <c r="BY254" i="33"/>
  <c r="CK252" i="33"/>
  <c r="CE251" i="33"/>
  <c r="BY250" i="33"/>
  <c r="CK248" i="33"/>
  <c r="CE247" i="33"/>
  <c r="BY246" i="33"/>
  <c r="CK244" i="33"/>
  <c r="CE243" i="33"/>
  <c r="BY242" i="33"/>
  <c r="CK240" i="33"/>
  <c r="CE239" i="33"/>
  <c r="BY238" i="33"/>
  <c r="CK236" i="33"/>
  <c r="CE235" i="33"/>
  <c r="BY234" i="33"/>
  <c r="CK232" i="33"/>
  <c r="CE231" i="33"/>
  <c r="BY230" i="33"/>
  <c r="CK228" i="33"/>
  <c r="CE227" i="33"/>
  <c r="BY226" i="33"/>
  <c r="CK224" i="33"/>
  <c r="CE223" i="33"/>
  <c r="BY222" i="33"/>
  <c r="CK220" i="33"/>
  <c r="CE219" i="33"/>
  <c r="BY218" i="33"/>
  <c r="CK216" i="33"/>
  <c r="CE215" i="33"/>
  <c r="BY214" i="33"/>
  <c r="CK212" i="33"/>
  <c r="CE211" i="33"/>
  <c r="BY210" i="33"/>
  <c r="CK208" i="33"/>
  <c r="CE207" i="33"/>
  <c r="BY206" i="33"/>
  <c r="CK204" i="33"/>
  <c r="CE203" i="33"/>
  <c r="BY202" i="33"/>
  <c r="CK200" i="33"/>
  <c r="CE199" i="33"/>
  <c r="BY198" i="33"/>
  <c r="CK196" i="33"/>
  <c r="CE195" i="33"/>
  <c r="BY194" i="33"/>
  <c r="CK192" i="33"/>
  <c r="CE191" i="33"/>
  <c r="BY190" i="33"/>
  <c r="CK188" i="33"/>
  <c r="CE187" i="33"/>
  <c r="BY186" i="33"/>
  <c r="CK184" i="33"/>
  <c r="CE183" i="33"/>
  <c r="BY182" i="33"/>
  <c r="CK180" i="33"/>
  <c r="CE179" i="33"/>
  <c r="BY178" i="33"/>
  <c r="CK176" i="33"/>
  <c r="CE175" i="33"/>
  <c r="BY174" i="33"/>
  <c r="CK172" i="33"/>
  <c r="CE171" i="33"/>
  <c r="BY170" i="33"/>
  <c r="CK168" i="33"/>
  <c r="CE167" i="33"/>
  <c r="BY166" i="33"/>
  <c r="CK164" i="33"/>
  <c r="CE163" i="33"/>
  <c r="BY162" i="33"/>
  <c r="CK160" i="33"/>
  <c r="CE159" i="33"/>
  <c r="BY158" i="33"/>
  <c r="CK156" i="33"/>
  <c r="CE155" i="33"/>
  <c r="BY154" i="33"/>
  <c r="CK152" i="33"/>
  <c r="CE151" i="33"/>
  <c r="BY150" i="33"/>
  <c r="CK148" i="33"/>
  <c r="CE350" i="33"/>
  <c r="CK347" i="33"/>
  <c r="BY345" i="33"/>
  <c r="CK342" i="33"/>
  <c r="BY341" i="33"/>
  <c r="CB339" i="33"/>
  <c r="CE337" i="33"/>
  <c r="CK335" i="33"/>
  <c r="CN333" i="33"/>
  <c r="BY332" i="33"/>
  <c r="CE330" i="33"/>
  <c r="CH328" i="33"/>
  <c r="CK326" i="33"/>
  <c r="BY325" i="33"/>
  <c r="CB323" i="33"/>
  <c r="CE321" i="33"/>
  <c r="CK319" i="33"/>
  <c r="CN317" i="33"/>
  <c r="BY316" i="33"/>
  <c r="CE314" i="33"/>
  <c r="CH312" i="33"/>
  <c r="CK310" i="33"/>
  <c r="BY309" i="33"/>
  <c r="CB307" i="33"/>
  <c r="CE305" i="33"/>
  <c r="CK303" i="33"/>
  <c r="CN301" i="33"/>
  <c r="BY300" i="33"/>
  <c r="CE298" i="33"/>
  <c r="CH296" i="33"/>
  <c r="CB295" i="33"/>
  <c r="CN293" i="33"/>
  <c r="CH292" i="33"/>
  <c r="CB291" i="33"/>
  <c r="CN289" i="33"/>
  <c r="CH288" i="33"/>
  <c r="CB287" i="33"/>
  <c r="CN285" i="33"/>
  <c r="CH284" i="33"/>
  <c r="CB283" i="33"/>
  <c r="CN281" i="33"/>
  <c r="CH280" i="33"/>
  <c r="CB279" i="33"/>
  <c r="CN277" i="33"/>
  <c r="CH276" i="33"/>
  <c r="CB275" i="33"/>
  <c r="CN273" i="33"/>
  <c r="CH272" i="33"/>
  <c r="CB271" i="33"/>
  <c r="CN269" i="33"/>
  <c r="CH268" i="33"/>
  <c r="CB267" i="33"/>
  <c r="CN265" i="33"/>
  <c r="CH264" i="33"/>
  <c r="CB263" i="33"/>
  <c r="CN261" i="33"/>
  <c r="CH260" i="33"/>
  <c r="CB259" i="33"/>
  <c r="CN257" i="33"/>
  <c r="CH256" i="33"/>
  <c r="CB255" i="33"/>
  <c r="CN253" i="33"/>
  <c r="CH252" i="33"/>
  <c r="CB251" i="33"/>
  <c r="CN249" i="33"/>
  <c r="CH248" i="33"/>
  <c r="CB247" i="33"/>
  <c r="CN245" i="33"/>
  <c r="CH244" i="33"/>
  <c r="CB243" i="33"/>
  <c r="CN241" i="33"/>
  <c r="CH240" i="33"/>
  <c r="CB239" i="33"/>
  <c r="CN237" i="33"/>
  <c r="CH236" i="33"/>
  <c r="CB235" i="33"/>
  <c r="CN233" i="33"/>
  <c r="CH232" i="33"/>
  <c r="CB231" i="33"/>
  <c r="CN229" i="33"/>
  <c r="CH228" i="33"/>
  <c r="CB227" i="33"/>
  <c r="CN225" i="33"/>
  <c r="CH224" i="33"/>
  <c r="CB223" i="33"/>
  <c r="CN221" i="33"/>
  <c r="CH220" i="33"/>
  <c r="CB219" i="33"/>
  <c r="CN217" i="33"/>
  <c r="CH216" i="33"/>
  <c r="CB215" i="33"/>
  <c r="CN213" i="33"/>
  <c r="CH212" i="33"/>
  <c r="CB211" i="33"/>
  <c r="CN209" i="33"/>
  <c r="CH208" i="33"/>
  <c r="CB207" i="33"/>
  <c r="CN205" i="33"/>
  <c r="CH204" i="33"/>
  <c r="CB203" i="33"/>
  <c r="CN201" i="33"/>
  <c r="CH200" i="33"/>
  <c r="CB199" i="33"/>
  <c r="CN197" i="33"/>
  <c r="CH196" i="33"/>
  <c r="CB195" i="33"/>
  <c r="CN193" i="33"/>
  <c r="CH192" i="33"/>
  <c r="CB191" i="33"/>
  <c r="CN189" i="33"/>
  <c r="CH188" i="33"/>
  <c r="CB187" i="33"/>
  <c r="CN185" i="33"/>
  <c r="CH184" i="33"/>
  <c r="CB183" i="33"/>
  <c r="CN181" i="33"/>
  <c r="CH180" i="33"/>
  <c r="CB179" i="33"/>
  <c r="CN177" i="33"/>
  <c r="CH176" i="33"/>
  <c r="CB175" i="33"/>
  <c r="CN173" i="33"/>
  <c r="CH172" i="33"/>
  <c r="CB171" i="33"/>
  <c r="CN169" i="33"/>
  <c r="CH168" i="33"/>
  <c r="CB167" i="33"/>
  <c r="CN165" i="33"/>
  <c r="CH164" i="33"/>
  <c r="CN349" i="33"/>
  <c r="CB347" i="33"/>
  <c r="CH344" i="33"/>
  <c r="CH342" i="33"/>
  <c r="CK340" i="33"/>
  <c r="BY339" i="33"/>
  <c r="CB337" i="33"/>
  <c r="CE335" i="33"/>
  <c r="CK333" i="33"/>
  <c r="CN331" i="33"/>
  <c r="BY330" i="33"/>
  <c r="CE328" i="33"/>
  <c r="CH326" i="33"/>
  <c r="CK324" i="33"/>
  <c r="BY323" i="33"/>
  <c r="CB321" i="33"/>
  <c r="CE319" i="33"/>
  <c r="CK317" i="33"/>
  <c r="CN315" i="33"/>
  <c r="BY314" i="33"/>
  <c r="CE312" i="33"/>
  <c r="CH310" i="33"/>
  <c r="CK308" i="33"/>
  <c r="BY307" i="33"/>
  <c r="CB305" i="33"/>
  <c r="CE303" i="33"/>
  <c r="CK301" i="33"/>
  <c r="CN299" i="33"/>
  <c r="BY298" i="33"/>
  <c r="CE296" i="33"/>
  <c r="BY295" i="33"/>
  <c r="CK293" i="33"/>
  <c r="CE292" i="33"/>
  <c r="BY291" i="33"/>
  <c r="CK289" i="33"/>
  <c r="CE288" i="33"/>
  <c r="BY287" i="33"/>
  <c r="CK285" i="33"/>
  <c r="CE284" i="33"/>
  <c r="BY283" i="33"/>
  <c r="CK281" i="33"/>
  <c r="CE280" i="33"/>
  <c r="BY279" i="33"/>
  <c r="CK277" i="33"/>
  <c r="CE276" i="33"/>
  <c r="BY275" i="33"/>
  <c r="CK273" i="33"/>
  <c r="CE272" i="33"/>
  <c r="BY271" i="33"/>
  <c r="CK269" i="33"/>
  <c r="CE268" i="33"/>
  <c r="BY267" i="33"/>
  <c r="CK265" i="33"/>
  <c r="CE264" i="33"/>
  <c r="BY263" i="33"/>
  <c r="CK261" i="33"/>
  <c r="CE260" i="33"/>
  <c r="BY259" i="33"/>
  <c r="CK257" i="33"/>
  <c r="CE256" i="33"/>
  <c r="BY255" i="33"/>
  <c r="CK253" i="33"/>
  <c r="CE252" i="33"/>
  <c r="BY251" i="33"/>
  <c r="CK249" i="33"/>
  <c r="CE248" i="33"/>
  <c r="BY247" i="33"/>
  <c r="CK245" i="33"/>
  <c r="CE244" i="33"/>
  <c r="BY243" i="33"/>
  <c r="CK241" i="33"/>
  <c r="CE240" i="33"/>
  <c r="BY239" i="33"/>
  <c r="CK237" i="33"/>
  <c r="CE236" i="33"/>
  <c r="BY235" i="33"/>
  <c r="CK233" i="33"/>
  <c r="CE232" i="33"/>
  <c r="BY231" i="33"/>
  <c r="CK229" i="33"/>
  <c r="CE228" i="33"/>
  <c r="BY227" i="33"/>
  <c r="CK225" i="33"/>
  <c r="CE224" i="33"/>
  <c r="BY223" i="33"/>
  <c r="CK221" i="33"/>
  <c r="CE220" i="33"/>
  <c r="BY219" i="33"/>
  <c r="CK217" i="33"/>
  <c r="CE216" i="33"/>
  <c r="BY215" i="33"/>
  <c r="CK213" i="33"/>
  <c r="CE212" i="33"/>
  <c r="BY211" i="33"/>
  <c r="CK209" i="33"/>
  <c r="CE208" i="33"/>
  <c r="BY207" i="33"/>
  <c r="CK205" i="33"/>
  <c r="CE204" i="33"/>
  <c r="BY203" i="33"/>
  <c r="CK201" i="33"/>
  <c r="CE200" i="33"/>
  <c r="BY199" i="33"/>
  <c r="CK197" i="33"/>
  <c r="CE196" i="33"/>
  <c r="BY195" i="33"/>
  <c r="CK193" i="33"/>
  <c r="CE192" i="33"/>
  <c r="BY191" i="33"/>
  <c r="CK189" i="33"/>
  <c r="CE188" i="33"/>
  <c r="BY187" i="33"/>
  <c r="CK185" i="33"/>
  <c r="CE184" i="33"/>
  <c r="BY183" i="33"/>
  <c r="CK181" i="33"/>
  <c r="CE180" i="33"/>
  <c r="BY179" i="33"/>
  <c r="CK177" i="33"/>
  <c r="CE176" i="33"/>
  <c r="BY175" i="33"/>
  <c r="CK173" i="33"/>
  <c r="CE172" i="33"/>
  <c r="BY171" i="33"/>
  <c r="CK169" i="33"/>
  <c r="CE168" i="33"/>
  <c r="BY167" i="33"/>
  <c r="CK165" i="33"/>
  <c r="CE164" i="33"/>
  <c r="BY163" i="33"/>
  <c r="CK353" i="33"/>
  <c r="CK349" i="33"/>
  <c r="BY347" i="33"/>
  <c r="CE344" i="33"/>
  <c r="CE342" i="33"/>
  <c r="CH340" i="33"/>
  <c r="CK338" i="33"/>
  <c r="BY337" i="33"/>
  <c r="CB335" i="33"/>
  <c r="CE333" i="33"/>
  <c r="CK331" i="33"/>
  <c r="CN329" i="33"/>
  <c r="BY328" i="33"/>
  <c r="CE326" i="33"/>
  <c r="CH324" i="33"/>
  <c r="CK322" i="33"/>
  <c r="BY321" i="33"/>
  <c r="CB319" i="33"/>
  <c r="CE317" i="33"/>
  <c r="CK315" i="33"/>
  <c r="CN313" i="33"/>
  <c r="BY312" i="33"/>
  <c r="CE310" i="33"/>
  <c r="CH308" i="33"/>
  <c r="CK306" i="33"/>
  <c r="BY305" i="33"/>
  <c r="CB303" i="33"/>
  <c r="CE301" i="33"/>
  <c r="CK299" i="33"/>
  <c r="CN297" i="33"/>
  <c r="CB296" i="33"/>
  <c r="CN294" i="33"/>
  <c r="CH293" i="33"/>
  <c r="CB292" i="33"/>
  <c r="CN290" i="33"/>
  <c r="CH289" i="33"/>
  <c r="CB288" i="33"/>
  <c r="CN286" i="33"/>
  <c r="CH285" i="33"/>
  <c r="CB284" i="33"/>
  <c r="CN282" i="33"/>
  <c r="CH281" i="33"/>
  <c r="CB280" i="33"/>
  <c r="CN278" i="33"/>
  <c r="CH277" i="33"/>
  <c r="CB276" i="33"/>
  <c r="CN274" i="33"/>
  <c r="CH273" i="33"/>
  <c r="CB272" i="33"/>
  <c r="CN270" i="33"/>
  <c r="CH269" i="33"/>
  <c r="CB268" i="33"/>
  <c r="CN266" i="33"/>
  <c r="CH265" i="33"/>
  <c r="CB264" i="33"/>
  <c r="CN262" i="33"/>
  <c r="CH261" i="33"/>
  <c r="CB260" i="33"/>
  <c r="CN258" i="33"/>
  <c r="CH257" i="33"/>
  <c r="CB256" i="33"/>
  <c r="CN254" i="33"/>
  <c r="CH253" i="33"/>
  <c r="CB252" i="33"/>
  <c r="CN250" i="33"/>
  <c r="CH249" i="33"/>
  <c r="CB248" i="33"/>
  <c r="CN246" i="33"/>
  <c r="CH245" i="33"/>
  <c r="CB244" i="33"/>
  <c r="CN242" i="33"/>
  <c r="CH241" i="33"/>
  <c r="CB240" i="33"/>
  <c r="CN238" i="33"/>
  <c r="CH237" i="33"/>
  <c r="CB236" i="33"/>
  <c r="CN234" i="33"/>
  <c r="CH233" i="33"/>
  <c r="CB232" i="33"/>
  <c r="CN230" i="33"/>
  <c r="CH229" i="33"/>
  <c r="CB228" i="33"/>
  <c r="CN226" i="33"/>
  <c r="CH225" i="33"/>
  <c r="CB224" i="33"/>
  <c r="CN222" i="33"/>
  <c r="CH221" i="33"/>
  <c r="CB220" i="33"/>
  <c r="CN218" i="33"/>
  <c r="CH217" i="33"/>
  <c r="CB216" i="33"/>
  <c r="CN214" i="33"/>
  <c r="CH213" i="33"/>
  <c r="CB212" i="33"/>
  <c r="CN210" i="33"/>
  <c r="CH209" i="33"/>
  <c r="CB208" i="33"/>
  <c r="CN206" i="33"/>
  <c r="CH205" i="33"/>
  <c r="CB204" i="33"/>
  <c r="CN202" i="33"/>
  <c r="CH201" i="33"/>
  <c r="CB200" i="33"/>
  <c r="CN198" i="33"/>
  <c r="CH197" i="33"/>
  <c r="CB196" i="33"/>
  <c r="CN194" i="33"/>
  <c r="CH193" i="33"/>
  <c r="CB192" i="33"/>
  <c r="CN190" i="33"/>
  <c r="CH189" i="33"/>
  <c r="CB188" i="33"/>
  <c r="CN186" i="33"/>
  <c r="CH185" i="33"/>
  <c r="CB184" i="33"/>
  <c r="CN182" i="33"/>
  <c r="CH181" i="33"/>
  <c r="CB180" i="33"/>
  <c r="CN178" i="33"/>
  <c r="CH177" i="33"/>
  <c r="CB176" i="33"/>
  <c r="CN174" i="33"/>
  <c r="CH173" i="33"/>
  <c r="CB172" i="33"/>
  <c r="CN170" i="33"/>
  <c r="CH169" i="33"/>
  <c r="CB168" i="33"/>
  <c r="CN166" i="33"/>
  <c r="CH165" i="33"/>
  <c r="CB164" i="33"/>
  <c r="CN162" i="33"/>
  <c r="CH161" i="33"/>
  <c r="CB160" i="33"/>
  <c r="CN158" i="33"/>
  <c r="CH157" i="33"/>
  <c r="CB156" i="33"/>
  <c r="CN154" i="33"/>
  <c r="CH153" i="33"/>
  <c r="CB152" i="33"/>
  <c r="CN150" i="33"/>
  <c r="CH149" i="33"/>
  <c r="CB148" i="33"/>
  <c r="CN146" i="33"/>
  <c r="CH145" i="33"/>
  <c r="CB144" i="33"/>
  <c r="CN142" i="33"/>
  <c r="CH141" i="33"/>
  <c r="CB140" i="33"/>
  <c r="CN138" i="33"/>
  <c r="CH137" i="33"/>
  <c r="CB136" i="33"/>
  <c r="CN134" i="33"/>
  <c r="CH133" i="33"/>
  <c r="CB132" i="33"/>
  <c r="CN130" i="33"/>
  <c r="CH129" i="33"/>
  <c r="CB128" i="33"/>
  <c r="CN126" i="33"/>
  <c r="CH125" i="33"/>
  <c r="CB124" i="33"/>
  <c r="CN122" i="33"/>
  <c r="CH121" i="33"/>
  <c r="CB120" i="33"/>
  <c r="CN118" i="33"/>
  <c r="CH117" i="33"/>
  <c r="CB116" i="33"/>
  <c r="CN114" i="33"/>
  <c r="CH113" i="33"/>
  <c r="CB112" i="33"/>
  <c r="CN110" i="33"/>
  <c r="CH109" i="33"/>
  <c r="BY353" i="33"/>
  <c r="CB349" i="33"/>
  <c r="CH346" i="33"/>
  <c r="CN343" i="33"/>
  <c r="BY342" i="33"/>
  <c r="CE340" i="33"/>
  <c r="CH338" i="33"/>
  <c r="CK336" i="33"/>
  <c r="BY335" i="33"/>
  <c r="CB333" i="33"/>
  <c r="CE331" i="33"/>
  <c r="CK329" i="33"/>
  <c r="CN327" i="33"/>
  <c r="BY326" i="33"/>
  <c r="CE324" i="33"/>
  <c r="CH322" i="33"/>
  <c r="CK320" i="33"/>
  <c r="BY319" i="33"/>
  <c r="CB317" i="33"/>
  <c r="CE315" i="33"/>
  <c r="CK313" i="33"/>
  <c r="CN311" i="33"/>
  <c r="BY310" i="33"/>
  <c r="CE308" i="33"/>
  <c r="CH306" i="33"/>
  <c r="CK304" i="33"/>
  <c r="BY303" i="33"/>
  <c r="CB301" i="33"/>
  <c r="CE299" i="33"/>
  <c r="CK297" i="33"/>
  <c r="BY296" i="33"/>
  <c r="CK294" i="33"/>
  <c r="CE293" i="33"/>
  <c r="BY292" i="33"/>
  <c r="CK290" i="33"/>
  <c r="CE289" i="33"/>
  <c r="BY288" i="33"/>
  <c r="CK286" i="33"/>
  <c r="CE285" i="33"/>
  <c r="BY284" i="33"/>
  <c r="CK282" i="33"/>
  <c r="CE281" i="33"/>
  <c r="BY280" i="33"/>
  <c r="CK278" i="33"/>
  <c r="CE277" i="33"/>
  <c r="BY276" i="33"/>
  <c r="CK274" i="33"/>
  <c r="CE273" i="33"/>
  <c r="BY272" i="33"/>
  <c r="CK270" i="33"/>
  <c r="CE269" i="33"/>
  <c r="BY268" i="33"/>
  <c r="CK266" i="33"/>
  <c r="CE265" i="33"/>
  <c r="BY264" i="33"/>
  <c r="CK262" i="33"/>
  <c r="CE261" i="33"/>
  <c r="BY260" i="33"/>
  <c r="CK258" i="33"/>
  <c r="CE257" i="33"/>
  <c r="BY256" i="33"/>
  <c r="CK254" i="33"/>
  <c r="CE253" i="33"/>
  <c r="BY252" i="33"/>
  <c r="CK250" i="33"/>
  <c r="CE249" i="33"/>
  <c r="BY248" i="33"/>
  <c r="CK246" i="33"/>
  <c r="CE245" i="33"/>
  <c r="BY244" i="33"/>
  <c r="CK242" i="33"/>
  <c r="CE241" i="33"/>
  <c r="BY240" i="33"/>
  <c r="CK238" i="33"/>
  <c r="CE237" i="33"/>
  <c r="BY236" i="33"/>
  <c r="CK234" i="33"/>
  <c r="CE233" i="33"/>
  <c r="BY232" i="33"/>
  <c r="CK230" i="33"/>
  <c r="CE229" i="33"/>
  <c r="BY228" i="33"/>
  <c r="CK226" i="33"/>
  <c r="CE225" i="33"/>
  <c r="BY224" i="33"/>
  <c r="CK222" i="33"/>
  <c r="CE221" i="33"/>
  <c r="BY220" i="33"/>
  <c r="CK218" i="33"/>
  <c r="CE217" i="33"/>
  <c r="BY216" i="33"/>
  <c r="CK214" i="33"/>
  <c r="CE213" i="33"/>
  <c r="BY212" i="33"/>
  <c r="CK210" i="33"/>
  <c r="CE209" i="33"/>
  <c r="BY208" i="33"/>
  <c r="CK206" i="33"/>
  <c r="CE205" i="33"/>
  <c r="BY204" i="33"/>
  <c r="CK202" i="33"/>
  <c r="CE201" i="33"/>
  <c r="BY200" i="33"/>
  <c r="CK198" i="33"/>
  <c r="CE197" i="33"/>
  <c r="BY196" i="33"/>
  <c r="CK194" i="33"/>
  <c r="CE193" i="33"/>
  <c r="BY192" i="33"/>
  <c r="CK190" i="33"/>
  <c r="CE189" i="33"/>
  <c r="BY188" i="33"/>
  <c r="CK186" i="33"/>
  <c r="CE185" i="33"/>
  <c r="BY184" i="33"/>
  <c r="CK182" i="33"/>
  <c r="CE181" i="33"/>
  <c r="BY180" i="33"/>
  <c r="CK178" i="33"/>
  <c r="CE177" i="33"/>
  <c r="BY176" i="33"/>
  <c r="CK174" i="33"/>
  <c r="CE173" i="33"/>
  <c r="BY172" i="33"/>
  <c r="CK170" i="33"/>
  <c r="CE169" i="33"/>
  <c r="BY168" i="33"/>
  <c r="CK166" i="33"/>
  <c r="CE165" i="33"/>
  <c r="BY164" i="33"/>
  <c r="CK162" i="33"/>
  <c r="CE161" i="33"/>
  <c r="BY160" i="33"/>
  <c r="CK158" i="33"/>
  <c r="CE157" i="33"/>
  <c r="BY156" i="33"/>
  <c r="CK154" i="33"/>
  <c r="CE153" i="33"/>
  <c r="BY152" i="33"/>
  <c r="CK150" i="33"/>
  <c r="CE149" i="33"/>
  <c r="BY148" i="33"/>
  <c r="CE352" i="33"/>
  <c r="BY349" i="33"/>
  <c r="CE346" i="33"/>
  <c r="CK343" i="33"/>
  <c r="CN341" i="33"/>
  <c r="BY340" i="33"/>
  <c r="CE338" i="33"/>
  <c r="CH336" i="33"/>
  <c r="CK334" i="33"/>
  <c r="BY333" i="33"/>
  <c r="CB331" i="33"/>
  <c r="CE329" i="33"/>
  <c r="CK327" i="33"/>
  <c r="CN325" i="33"/>
  <c r="BY324" i="33"/>
  <c r="CE322" i="33"/>
  <c r="CH320" i="33"/>
  <c r="CK318" i="33"/>
  <c r="BY317" i="33"/>
  <c r="CB315" i="33"/>
  <c r="CE313" i="33"/>
  <c r="CK311" i="33"/>
  <c r="CN309" i="33"/>
  <c r="BY308" i="33"/>
  <c r="CE306" i="33"/>
  <c r="CH304" i="33"/>
  <c r="CK302" i="33"/>
  <c r="BY301" i="33"/>
  <c r="CB299" i="33"/>
  <c r="CE297" i="33"/>
  <c r="CN295" i="33"/>
  <c r="CH294" i="33"/>
  <c r="CB293" i="33"/>
  <c r="CN291" i="33"/>
  <c r="CH290" i="33"/>
  <c r="CB289" i="33"/>
  <c r="CN287" i="33"/>
  <c r="CH286" i="33"/>
  <c r="CB285" i="33"/>
  <c r="CN283" i="33"/>
  <c r="CH282" i="33"/>
  <c r="CB281" i="33"/>
  <c r="CN279" i="33"/>
  <c r="CH278" i="33"/>
  <c r="CB277" i="33"/>
  <c r="CN275" i="33"/>
  <c r="CH274" i="33"/>
  <c r="CB273" i="33"/>
  <c r="CN271" i="33"/>
  <c r="CH270" i="33"/>
  <c r="CB269" i="33"/>
  <c r="CN267" i="33"/>
  <c r="CH266" i="33"/>
  <c r="CB265" i="33"/>
  <c r="CN263" i="33"/>
  <c r="CH262" i="33"/>
  <c r="CB261" i="33"/>
  <c r="CN259" i="33"/>
  <c r="CH258" i="33"/>
  <c r="CB257" i="33"/>
  <c r="CN255" i="33"/>
  <c r="CH254" i="33"/>
  <c r="CB253" i="33"/>
  <c r="CN251" i="33"/>
  <c r="CH250" i="33"/>
  <c r="CB249" i="33"/>
  <c r="CN247" i="33"/>
  <c r="CH246" i="33"/>
  <c r="CB245" i="33"/>
  <c r="CN243" i="33"/>
  <c r="CH242" i="33"/>
  <c r="CB241" i="33"/>
  <c r="CN239" i="33"/>
  <c r="CH238" i="33"/>
  <c r="CB237" i="33"/>
  <c r="CN235" i="33"/>
  <c r="CH234" i="33"/>
  <c r="CB233" i="33"/>
  <c r="CN231" i="33"/>
  <c r="CH230" i="33"/>
  <c r="CB229" i="33"/>
  <c r="CN227" i="33"/>
  <c r="CH226" i="33"/>
  <c r="CB225" i="33"/>
  <c r="CN223" i="33"/>
  <c r="CH222" i="33"/>
  <c r="CB221" i="33"/>
  <c r="CN219" i="33"/>
  <c r="CH218" i="33"/>
  <c r="CB217" i="33"/>
  <c r="CN215" i="33"/>
  <c r="CH214" i="33"/>
  <c r="CB213" i="33"/>
  <c r="CN211" i="33"/>
  <c r="CH210" i="33"/>
  <c r="CB209" i="33"/>
  <c r="CN207" i="33"/>
  <c r="CH206" i="33"/>
  <c r="CB205" i="33"/>
  <c r="CN203" i="33"/>
  <c r="CH202" i="33"/>
  <c r="CB201" i="33"/>
  <c r="CN199" i="33"/>
  <c r="CH198" i="33"/>
  <c r="CB197" i="33"/>
  <c r="CN195" i="33"/>
  <c r="CH194" i="33"/>
  <c r="CB193" i="33"/>
  <c r="CN191" i="33"/>
  <c r="CH190" i="33"/>
  <c r="CB189" i="33"/>
  <c r="CN187" i="33"/>
  <c r="CH186" i="33"/>
  <c r="CB185" i="33"/>
  <c r="CN183" i="33"/>
  <c r="CH182" i="33"/>
  <c r="CB181" i="33"/>
  <c r="CN179" i="33"/>
  <c r="CH178" i="33"/>
  <c r="CB177" i="33"/>
  <c r="CN175" i="33"/>
  <c r="CH174" i="33"/>
  <c r="CB173" i="33"/>
  <c r="CN171" i="33"/>
  <c r="CH170" i="33"/>
  <c r="CB169" i="33"/>
  <c r="CN167" i="33"/>
  <c r="CH166" i="33"/>
  <c r="CB165" i="33"/>
  <c r="CN163" i="33"/>
  <c r="CK351" i="33"/>
  <c r="CH348" i="33"/>
  <c r="CN345" i="33"/>
  <c r="CE343" i="33"/>
  <c r="CK341" i="33"/>
  <c r="CN339" i="33"/>
  <c r="BY338" i="33"/>
  <c r="CE336" i="33"/>
  <c r="CH334" i="33"/>
  <c r="CK332" i="33"/>
  <c r="BY331" i="33"/>
  <c r="CB329" i="33"/>
  <c r="CE327" i="33"/>
  <c r="CK325" i="33"/>
  <c r="CN323" i="33"/>
  <c r="BY322" i="33"/>
  <c r="CE320" i="33"/>
  <c r="CH318" i="33"/>
  <c r="CK316" i="33"/>
  <c r="BY315" i="33"/>
  <c r="CB313" i="33"/>
  <c r="CE311" i="33"/>
  <c r="CK309" i="33"/>
  <c r="CN307" i="33"/>
  <c r="BY306" i="33"/>
  <c r="CE304" i="33"/>
  <c r="CH302" i="33"/>
  <c r="CK300" i="33"/>
  <c r="BY299" i="33"/>
  <c r="CB297" i="33"/>
  <c r="CK295" i="33"/>
  <c r="CE294" i="33"/>
  <c r="BY293" i="33"/>
  <c r="CK291" i="33"/>
  <c r="CE290" i="33"/>
  <c r="BY289" i="33"/>
  <c r="CK287" i="33"/>
  <c r="CE286" i="33"/>
  <c r="BY285" i="33"/>
  <c r="CK283" i="33"/>
  <c r="CE282" i="33"/>
  <c r="BY281" i="33"/>
  <c r="CK279" i="33"/>
  <c r="CE278" i="33"/>
  <c r="BY277" i="33"/>
  <c r="CK275" i="33"/>
  <c r="CE274" i="33"/>
  <c r="BY273" i="33"/>
  <c r="CK271" i="33"/>
  <c r="CE270" i="33"/>
  <c r="BY269" i="33"/>
  <c r="CK267" i="33"/>
  <c r="CE266" i="33"/>
  <c r="BY265" i="33"/>
  <c r="CK263" i="33"/>
  <c r="CE262" i="33"/>
  <c r="BY261" i="33"/>
  <c r="CK259" i="33"/>
  <c r="CE258" i="33"/>
  <c r="BY257" i="33"/>
  <c r="CK255" i="33"/>
  <c r="CE254" i="33"/>
  <c r="BY253" i="33"/>
  <c r="CK251" i="33"/>
  <c r="CE250" i="33"/>
  <c r="BY249" i="33"/>
  <c r="CK247" i="33"/>
  <c r="CE246" i="33"/>
  <c r="BY245" i="33"/>
  <c r="CK243" i="33"/>
  <c r="CE242" i="33"/>
  <c r="BY241" i="33"/>
  <c r="CK239" i="33"/>
  <c r="CE238" i="33"/>
  <c r="BY237" i="33"/>
  <c r="CK235" i="33"/>
  <c r="CE234" i="33"/>
  <c r="BY233" i="33"/>
  <c r="CK231" i="33"/>
  <c r="CE230" i="33"/>
  <c r="BY229" i="33"/>
  <c r="CK227" i="33"/>
  <c r="CE226" i="33"/>
  <c r="BY225" i="33"/>
  <c r="CK223" i="33"/>
  <c r="CE222" i="33"/>
  <c r="BY221" i="33"/>
  <c r="CK219" i="33"/>
  <c r="CE218" i="33"/>
  <c r="BY217" i="33"/>
  <c r="CK215" i="33"/>
  <c r="CE214" i="33"/>
  <c r="BY213" i="33"/>
  <c r="CK211" i="33"/>
  <c r="CE210" i="33"/>
  <c r="BY209" i="33"/>
  <c r="CK207" i="33"/>
  <c r="CE206" i="33"/>
  <c r="BY205" i="33"/>
  <c r="CK203" i="33"/>
  <c r="CE202" i="33"/>
  <c r="BY201" i="33"/>
  <c r="CK199" i="33"/>
  <c r="CE198" i="33"/>
  <c r="BY197" i="33"/>
  <c r="CK195" i="33"/>
  <c r="CE194" i="33"/>
  <c r="BY193" i="33"/>
  <c r="CK191" i="33"/>
  <c r="CE190" i="33"/>
  <c r="BY189" i="33"/>
  <c r="CK187" i="33"/>
  <c r="CE186" i="33"/>
  <c r="BY185" i="33"/>
  <c r="CK183" i="33"/>
  <c r="CE182" i="33"/>
  <c r="BY181" i="33"/>
  <c r="CK179" i="33"/>
  <c r="CE178" i="33"/>
  <c r="BY177" i="33"/>
  <c r="CK175" i="33"/>
  <c r="CE174" i="33"/>
  <c r="BY173" i="33"/>
  <c r="CK171" i="33"/>
  <c r="CE170" i="33"/>
  <c r="BY169" i="33"/>
  <c r="CK167" i="33"/>
  <c r="CE166" i="33"/>
  <c r="BY165" i="33"/>
  <c r="CK163" i="33"/>
  <c r="BY351" i="33"/>
  <c r="CE348" i="33"/>
  <c r="CK345" i="33"/>
  <c r="CB343" i="33"/>
  <c r="CE341" i="33"/>
  <c r="CK339" i="33"/>
  <c r="CN337" i="33"/>
  <c r="BY336" i="33"/>
  <c r="CE334" i="33"/>
  <c r="CH332" i="33"/>
  <c r="CK330" i="33"/>
  <c r="BY329" i="33"/>
  <c r="CB327" i="33"/>
  <c r="CE325" i="33"/>
  <c r="CK323" i="33"/>
  <c r="CN321" i="33"/>
  <c r="BY320" i="33"/>
  <c r="CE318" i="33"/>
  <c r="CH316" i="33"/>
  <c r="CK314" i="33"/>
  <c r="BY313" i="33"/>
  <c r="CB311" i="33"/>
  <c r="CE309" i="33"/>
  <c r="CK307" i="33"/>
  <c r="CN305" i="33"/>
  <c r="BY304" i="33"/>
  <c r="CE302" i="33"/>
  <c r="CH300" i="33"/>
  <c r="CK298" i="33"/>
  <c r="BY297" i="33"/>
  <c r="CH295" i="33"/>
  <c r="CB294" i="33"/>
  <c r="CN292" i="33"/>
  <c r="CH291" i="33"/>
  <c r="CB290" i="33"/>
  <c r="CN288" i="33"/>
  <c r="CH287" i="33"/>
  <c r="CB286" i="33"/>
  <c r="CN284" i="33"/>
  <c r="CH283" i="33"/>
  <c r="CB282" i="33"/>
  <c r="CN280" i="33"/>
  <c r="CH279" i="33"/>
  <c r="CB278" i="33"/>
  <c r="CN276" i="33"/>
  <c r="CH275" i="33"/>
  <c r="CB274" i="33"/>
  <c r="CN272" i="33"/>
  <c r="CH271" i="33"/>
  <c r="CB270" i="33"/>
  <c r="CN268" i="33"/>
  <c r="CH267" i="33"/>
  <c r="CB266" i="33"/>
  <c r="CN264" i="33"/>
  <c r="CH263" i="33"/>
  <c r="CB262" i="33"/>
  <c r="CN260" i="33"/>
  <c r="CH259" i="33"/>
  <c r="CB258" i="33"/>
  <c r="CN256" i="33"/>
  <c r="CH255" i="33"/>
  <c r="CB254" i="33"/>
  <c r="CN252" i="33"/>
  <c r="CH251" i="33"/>
  <c r="CB250" i="33"/>
  <c r="CN248" i="33"/>
  <c r="CH247" i="33"/>
  <c r="CB246" i="33"/>
  <c r="CN244" i="33"/>
  <c r="CH243" i="33"/>
  <c r="CB242" i="33"/>
  <c r="CN240" i="33"/>
  <c r="CH239" i="33"/>
  <c r="CB238" i="33"/>
  <c r="CN236" i="33"/>
  <c r="CH235" i="33"/>
  <c r="CB234" i="33"/>
  <c r="CN232" i="33"/>
  <c r="CH231" i="33"/>
  <c r="CB230" i="33"/>
  <c r="CN228" i="33"/>
  <c r="CH227" i="33"/>
  <c r="CB226" i="33"/>
  <c r="CN224" i="33"/>
  <c r="CH223" i="33"/>
  <c r="CB222" i="33"/>
  <c r="CN220" i="33"/>
  <c r="CH219" i="33"/>
  <c r="CB218" i="33"/>
  <c r="CN216" i="33"/>
  <c r="CH215" i="33"/>
  <c r="CB214" i="33"/>
  <c r="CN212" i="33"/>
  <c r="CH211" i="33"/>
  <c r="CB210" i="33"/>
  <c r="CN208" i="33"/>
  <c r="CH207" i="33"/>
  <c r="CB206" i="33"/>
  <c r="CN204" i="33"/>
  <c r="CH203" i="33"/>
  <c r="CB202" i="33"/>
  <c r="CN200" i="33"/>
  <c r="CH199" i="33"/>
  <c r="CB198" i="33"/>
  <c r="CN196" i="33"/>
  <c r="CH195" i="33"/>
  <c r="CB194" i="33"/>
  <c r="CN192" i="33"/>
  <c r="CH191" i="33"/>
  <c r="CB190" i="33"/>
  <c r="CN188" i="33"/>
  <c r="CH187" i="33"/>
  <c r="CB186" i="33"/>
  <c r="CN184" i="33"/>
  <c r="CH183" i="33"/>
  <c r="CB182" i="33"/>
  <c r="CN180" i="33"/>
  <c r="CH179" i="33"/>
  <c r="CB178" i="33"/>
  <c r="CN176" i="33"/>
  <c r="CH175" i="33"/>
  <c r="CB174" i="33"/>
  <c r="CN172" i="33"/>
  <c r="CH171" i="33"/>
  <c r="CB170" i="33"/>
  <c r="CN168" i="33"/>
  <c r="CH167" i="33"/>
  <c r="CB166" i="33"/>
  <c r="CN164" i="33"/>
  <c r="CH163" i="33"/>
  <c r="CB162" i="33"/>
  <c r="CN160" i="33"/>
  <c r="CH159" i="33"/>
  <c r="CB158" i="33"/>
  <c r="CN156" i="33"/>
  <c r="CH155" i="33"/>
  <c r="CB154" i="33"/>
  <c r="CN152" i="33"/>
  <c r="CH151" i="33"/>
  <c r="CB150" i="33"/>
  <c r="CN148" i="33"/>
  <c r="CH147" i="33"/>
  <c r="CB146" i="33"/>
  <c r="CN144" i="33"/>
  <c r="CH143" i="33"/>
  <c r="CB142" i="33"/>
  <c r="CN140" i="33"/>
  <c r="CH139" i="33"/>
  <c r="CB138" i="33"/>
  <c r="CN136" i="33"/>
  <c r="CH135" i="33"/>
  <c r="CB134" i="33"/>
  <c r="CN132" i="33"/>
  <c r="CH131" i="33"/>
  <c r="CB130" i="33"/>
  <c r="CN128" i="33"/>
  <c r="CH127" i="33"/>
  <c r="CB126" i="33"/>
  <c r="CN124" i="33"/>
  <c r="CH123" i="33"/>
  <c r="CB122" i="33"/>
  <c r="CN120" i="33"/>
  <c r="CH119" i="33"/>
  <c r="CB118" i="33"/>
  <c r="CN116" i="33"/>
  <c r="CH115" i="33"/>
  <c r="CB114" i="33"/>
  <c r="CN112" i="33"/>
  <c r="CH111" i="33"/>
  <c r="CB110" i="33"/>
  <c r="CB161" i="33"/>
  <c r="CH158" i="33"/>
  <c r="CN155" i="33"/>
  <c r="CB153" i="33"/>
  <c r="CH150" i="33"/>
  <c r="CN147" i="33"/>
  <c r="BY146" i="33"/>
  <c r="CE144" i="33"/>
  <c r="CH142" i="33"/>
  <c r="CK140" i="33"/>
  <c r="BY139" i="33"/>
  <c r="CB137" i="33"/>
  <c r="CE135" i="33"/>
  <c r="CK133" i="33"/>
  <c r="CN131" i="33"/>
  <c r="BY130" i="33"/>
  <c r="CE128" i="33"/>
  <c r="CH126" i="33"/>
  <c r="CK124" i="33"/>
  <c r="BY123" i="33"/>
  <c r="CB121" i="33"/>
  <c r="CE119" i="33"/>
  <c r="CK117" i="33"/>
  <c r="CN115" i="33"/>
  <c r="BY114" i="33"/>
  <c r="CE112" i="33"/>
  <c r="CH110" i="33"/>
  <c r="CN108" i="33"/>
  <c r="CH107" i="33"/>
  <c r="CB106" i="33"/>
  <c r="CN104" i="33"/>
  <c r="CH103" i="33"/>
  <c r="CB102" i="33"/>
  <c r="CN100" i="33"/>
  <c r="CH99" i="33"/>
  <c r="CB98" i="33"/>
  <c r="CN96" i="33"/>
  <c r="CH95" i="33"/>
  <c r="CB94" i="33"/>
  <c r="CN92" i="33"/>
  <c r="CH91" i="33"/>
  <c r="CB90" i="33"/>
  <c r="CN88" i="33"/>
  <c r="CH87" i="33"/>
  <c r="CB86" i="33"/>
  <c r="CN84" i="33"/>
  <c r="CH83" i="33"/>
  <c r="CB82" i="33"/>
  <c r="CN80" i="33"/>
  <c r="CH79" i="33"/>
  <c r="CB78" i="33"/>
  <c r="CN76" i="33"/>
  <c r="CH75" i="33"/>
  <c r="CB74" i="33"/>
  <c r="CN72" i="33"/>
  <c r="CH71" i="33"/>
  <c r="CB70" i="33"/>
  <c r="CN68" i="33"/>
  <c r="CH67" i="33"/>
  <c r="CB66" i="33"/>
  <c r="CN64" i="33"/>
  <c r="CH63" i="33"/>
  <c r="CB62" i="33"/>
  <c r="CN60" i="33"/>
  <c r="CH59" i="33"/>
  <c r="CB58" i="33"/>
  <c r="CN56" i="33"/>
  <c r="CH55" i="33"/>
  <c r="CB54" i="33"/>
  <c r="CN52" i="33"/>
  <c r="CH51" i="33"/>
  <c r="CB50" i="33"/>
  <c r="CN48" i="33"/>
  <c r="CH47" i="33"/>
  <c r="CB46" i="33"/>
  <c r="CN44" i="33"/>
  <c r="CH43" i="33"/>
  <c r="CB42" i="33"/>
  <c r="CN40" i="33"/>
  <c r="CH39" i="33"/>
  <c r="CB38" i="33"/>
  <c r="CN36" i="33"/>
  <c r="CH35" i="33"/>
  <c r="CB34" i="33"/>
  <c r="CN32" i="33"/>
  <c r="CH31" i="33"/>
  <c r="CB30" i="33"/>
  <c r="CN28" i="33"/>
  <c r="CH27" i="33"/>
  <c r="CB26" i="33"/>
  <c r="CN24" i="33"/>
  <c r="CH23" i="33"/>
  <c r="CB22" i="33"/>
  <c r="CN20" i="33"/>
  <c r="CH19" i="33"/>
  <c r="CB18" i="33"/>
  <c r="CN16" i="33"/>
  <c r="CH15" i="33"/>
  <c r="CB14" i="33"/>
  <c r="CN12" i="33"/>
  <c r="CH11" i="33"/>
  <c r="CB10" i="33"/>
  <c r="CN8" i="33"/>
  <c r="CH7" i="33"/>
  <c r="CB6" i="33"/>
  <c r="CN4" i="33"/>
  <c r="BY161" i="33"/>
  <c r="CE158" i="33"/>
  <c r="CK155" i="33"/>
  <c r="BY153" i="33"/>
  <c r="CE150" i="33"/>
  <c r="CK147" i="33"/>
  <c r="CN145" i="33"/>
  <c r="BY144" i="33"/>
  <c r="CE142" i="33"/>
  <c r="CH140" i="33"/>
  <c r="CK138" i="33"/>
  <c r="BY137" i="33"/>
  <c r="CB135" i="33"/>
  <c r="CE133" i="33"/>
  <c r="CK131" i="33"/>
  <c r="CN129" i="33"/>
  <c r="BY128" i="33"/>
  <c r="CE126" i="33"/>
  <c r="CH124" i="33"/>
  <c r="CK122" i="33"/>
  <c r="BY121" i="33"/>
  <c r="CB119" i="33"/>
  <c r="CE117" i="33"/>
  <c r="CK115" i="33"/>
  <c r="CN113" i="33"/>
  <c r="BY112" i="33"/>
  <c r="CE110" i="33"/>
  <c r="CK108" i="33"/>
  <c r="CE107" i="33"/>
  <c r="BY106" i="33"/>
  <c r="CK104" i="33"/>
  <c r="CE103" i="33"/>
  <c r="BY102" i="33"/>
  <c r="CK100" i="33"/>
  <c r="CE99" i="33"/>
  <c r="BY98" i="33"/>
  <c r="CK96" i="33"/>
  <c r="CE95" i="33"/>
  <c r="BY94" i="33"/>
  <c r="CK92" i="33"/>
  <c r="CE91" i="33"/>
  <c r="BY90" i="33"/>
  <c r="CK88" i="33"/>
  <c r="CE87" i="33"/>
  <c r="BY86" i="33"/>
  <c r="CK84" i="33"/>
  <c r="CE83" i="33"/>
  <c r="BY82" i="33"/>
  <c r="CK80" i="33"/>
  <c r="CE79" i="33"/>
  <c r="BY78" i="33"/>
  <c r="CK76" i="33"/>
  <c r="CE75" i="33"/>
  <c r="BY74" i="33"/>
  <c r="CK72" i="33"/>
  <c r="CE71" i="33"/>
  <c r="BY70" i="33"/>
  <c r="CK68" i="33"/>
  <c r="CE67" i="33"/>
  <c r="BY66" i="33"/>
  <c r="CK64" i="33"/>
  <c r="CE63" i="33"/>
  <c r="BY62" i="33"/>
  <c r="CK60" i="33"/>
  <c r="CE59" i="33"/>
  <c r="BY58" i="33"/>
  <c r="CK56" i="33"/>
  <c r="CE55" i="33"/>
  <c r="BY54" i="33"/>
  <c r="CK52" i="33"/>
  <c r="CE51" i="33"/>
  <c r="BY50" i="33"/>
  <c r="CK48" i="33"/>
  <c r="CE47" i="33"/>
  <c r="BY46" i="33"/>
  <c r="CK44" i="33"/>
  <c r="CE43" i="33"/>
  <c r="BY42" i="33"/>
  <c r="CK40" i="33"/>
  <c r="CE39" i="33"/>
  <c r="BY38" i="33"/>
  <c r="CK36" i="33"/>
  <c r="CE35" i="33"/>
  <c r="BY34" i="33"/>
  <c r="CK32" i="33"/>
  <c r="CE31" i="33"/>
  <c r="BY30" i="33"/>
  <c r="CK28" i="33"/>
  <c r="CE27" i="33"/>
  <c r="BY26" i="33"/>
  <c r="CK24" i="33"/>
  <c r="CE23" i="33"/>
  <c r="BY22" i="33"/>
  <c r="CK20" i="33"/>
  <c r="CE19" i="33"/>
  <c r="BY18" i="33"/>
  <c r="CK16" i="33"/>
  <c r="CE15" i="33"/>
  <c r="BY14" i="33"/>
  <c r="CK12" i="33"/>
  <c r="CE11" i="33"/>
  <c r="BY10" i="33"/>
  <c r="CK8" i="33"/>
  <c r="CE7" i="33"/>
  <c r="BY6" i="33"/>
  <c r="CK4" i="33"/>
  <c r="CH160" i="33"/>
  <c r="CN157" i="33"/>
  <c r="CB155" i="33"/>
  <c r="CH152" i="33"/>
  <c r="CN149" i="33"/>
  <c r="CE147" i="33"/>
  <c r="CK145" i="33"/>
  <c r="CN143" i="33"/>
  <c r="BY142" i="33"/>
  <c r="CE140" i="33"/>
  <c r="CH138" i="33"/>
  <c r="CK136" i="33"/>
  <c r="BY135" i="33"/>
  <c r="CB133" i="33"/>
  <c r="CE131" i="33"/>
  <c r="CK129" i="33"/>
  <c r="CN127" i="33"/>
  <c r="BY126" i="33"/>
  <c r="CE124" i="33"/>
  <c r="CH122" i="33"/>
  <c r="CK120" i="33"/>
  <c r="BY119" i="33"/>
  <c r="CB117" i="33"/>
  <c r="CE115" i="33"/>
  <c r="CK113" i="33"/>
  <c r="CN111" i="33"/>
  <c r="BY110" i="33"/>
  <c r="CH108" i="33"/>
  <c r="CB107" i="33"/>
  <c r="CN105" i="33"/>
  <c r="CH104" i="33"/>
  <c r="CB103" i="33"/>
  <c r="CN101" i="33"/>
  <c r="CH100" i="33"/>
  <c r="CB99" i="33"/>
  <c r="CN97" i="33"/>
  <c r="CH96" i="33"/>
  <c r="CB95" i="33"/>
  <c r="CN93" i="33"/>
  <c r="CH92" i="33"/>
  <c r="CB91" i="33"/>
  <c r="CN89" i="33"/>
  <c r="CH88" i="33"/>
  <c r="CB87" i="33"/>
  <c r="CN85" i="33"/>
  <c r="CH84" i="33"/>
  <c r="CB83" i="33"/>
  <c r="CN81" i="33"/>
  <c r="CH80" i="33"/>
  <c r="CB79" i="33"/>
  <c r="CN77" i="33"/>
  <c r="CH76" i="33"/>
  <c r="CB75" i="33"/>
  <c r="CN73" i="33"/>
  <c r="CH72" i="33"/>
  <c r="CB71" i="33"/>
  <c r="CN69" i="33"/>
  <c r="CH68" i="33"/>
  <c r="CB67" i="33"/>
  <c r="CN65" i="33"/>
  <c r="CH64" i="33"/>
  <c r="CB63" i="33"/>
  <c r="CN61" i="33"/>
  <c r="CH60" i="33"/>
  <c r="CB59" i="33"/>
  <c r="CN57" i="33"/>
  <c r="CH56" i="33"/>
  <c r="CB55" i="33"/>
  <c r="CN53" i="33"/>
  <c r="CH52" i="33"/>
  <c r="CB51" i="33"/>
  <c r="CN49" i="33"/>
  <c r="CH48" i="33"/>
  <c r="CB47" i="33"/>
  <c r="CN45" i="33"/>
  <c r="CH44" i="33"/>
  <c r="CB43" i="33"/>
  <c r="CN41" i="33"/>
  <c r="CH40" i="33"/>
  <c r="CB39" i="33"/>
  <c r="CN37" i="33"/>
  <c r="CH36" i="33"/>
  <c r="CB35" i="33"/>
  <c r="CN33" i="33"/>
  <c r="CH32" i="33"/>
  <c r="CB31" i="33"/>
  <c r="CN29" i="33"/>
  <c r="CH28" i="33"/>
  <c r="CB27" i="33"/>
  <c r="CN25" i="33"/>
  <c r="CH24" i="33"/>
  <c r="CB23" i="33"/>
  <c r="CN21" i="33"/>
  <c r="CH20" i="33"/>
  <c r="CB19" i="33"/>
  <c r="CN17" i="33"/>
  <c r="CH16" i="33"/>
  <c r="CB15" i="33"/>
  <c r="CN13" i="33"/>
  <c r="CH12" i="33"/>
  <c r="CB11" i="33"/>
  <c r="CN9" i="33"/>
  <c r="CH8" i="33"/>
  <c r="CB7" i="33"/>
  <c r="CN5" i="33"/>
  <c r="CH4" i="33"/>
  <c r="CB163" i="33"/>
  <c r="CE160" i="33"/>
  <c r="CK157" i="33"/>
  <c r="BY155" i="33"/>
  <c r="CE152" i="33"/>
  <c r="CK149" i="33"/>
  <c r="CB147" i="33"/>
  <c r="CE145" i="33"/>
  <c r="CK143" i="33"/>
  <c r="CN141" i="33"/>
  <c r="BY140" i="33"/>
  <c r="CE138" i="33"/>
  <c r="CH136" i="33"/>
  <c r="CK134" i="33"/>
  <c r="BY133" i="33"/>
  <c r="CB131" i="33"/>
  <c r="CE129" i="33"/>
  <c r="CK127" i="33"/>
  <c r="CN125" i="33"/>
  <c r="BY124" i="33"/>
  <c r="CE122" i="33"/>
  <c r="CH120" i="33"/>
  <c r="CK118" i="33"/>
  <c r="BY117" i="33"/>
  <c r="CB115" i="33"/>
  <c r="CE113" i="33"/>
  <c r="CK111" i="33"/>
  <c r="CN109" i="33"/>
  <c r="CE108" i="33"/>
  <c r="BY107" i="33"/>
  <c r="CK105" i="33"/>
  <c r="CE104" i="33"/>
  <c r="BY103" i="33"/>
  <c r="CK101" i="33"/>
  <c r="CE100" i="33"/>
  <c r="BY99" i="33"/>
  <c r="CK97" i="33"/>
  <c r="CE96" i="33"/>
  <c r="BY95" i="33"/>
  <c r="CK93" i="33"/>
  <c r="CE92" i="33"/>
  <c r="BY91" i="33"/>
  <c r="CK89" i="33"/>
  <c r="CE88" i="33"/>
  <c r="BY87" i="33"/>
  <c r="CK85" i="33"/>
  <c r="CE84" i="33"/>
  <c r="BY83" i="33"/>
  <c r="CK81" i="33"/>
  <c r="CE80" i="33"/>
  <c r="BY79" i="33"/>
  <c r="CK77" i="33"/>
  <c r="CE76" i="33"/>
  <c r="BY75" i="33"/>
  <c r="CK73" i="33"/>
  <c r="CE72" i="33"/>
  <c r="BY71" i="33"/>
  <c r="CK69" i="33"/>
  <c r="CE68" i="33"/>
  <c r="BY67" i="33"/>
  <c r="CK65" i="33"/>
  <c r="CE64" i="33"/>
  <c r="BY63" i="33"/>
  <c r="CK61" i="33"/>
  <c r="CE60" i="33"/>
  <c r="BY59" i="33"/>
  <c r="CK57" i="33"/>
  <c r="CE56" i="33"/>
  <c r="BY55" i="33"/>
  <c r="CK53" i="33"/>
  <c r="CE52" i="33"/>
  <c r="BY51" i="33"/>
  <c r="CK49" i="33"/>
  <c r="CE48" i="33"/>
  <c r="BY47" i="33"/>
  <c r="CK45" i="33"/>
  <c r="CE44" i="33"/>
  <c r="BY43" i="33"/>
  <c r="CK41" i="33"/>
  <c r="CE40" i="33"/>
  <c r="BY39" i="33"/>
  <c r="CK37" i="33"/>
  <c r="CE36" i="33"/>
  <c r="BY35" i="33"/>
  <c r="CK33" i="33"/>
  <c r="CE32" i="33"/>
  <c r="BY31" i="33"/>
  <c r="CK29" i="33"/>
  <c r="CE28" i="33"/>
  <c r="BY27" i="33"/>
  <c r="CK25" i="33"/>
  <c r="CE24" i="33"/>
  <c r="BY23" i="33"/>
  <c r="CK21" i="33"/>
  <c r="CE20" i="33"/>
  <c r="BY19" i="33"/>
  <c r="CK17" i="33"/>
  <c r="CE16" i="33"/>
  <c r="BY15" i="33"/>
  <c r="CK13" i="33"/>
  <c r="CE12" i="33"/>
  <c r="BY11" i="33"/>
  <c r="CK9" i="33"/>
  <c r="CE8" i="33"/>
  <c r="BY7" i="33"/>
  <c r="CK5" i="33"/>
  <c r="CE4" i="33"/>
  <c r="BV4" i="33"/>
  <c r="BV8" i="33"/>
  <c r="BV12" i="33"/>
  <c r="BV16" i="33"/>
  <c r="BV20" i="33"/>
  <c r="BV24" i="33"/>
  <c r="BV28" i="33"/>
  <c r="BV32" i="33"/>
  <c r="BV36" i="33"/>
  <c r="BV40" i="33"/>
  <c r="BV44" i="33"/>
  <c r="BV48" i="33"/>
  <c r="BV52" i="33"/>
  <c r="BV56" i="33"/>
  <c r="BV60" i="33"/>
  <c r="BV64" i="33"/>
  <c r="BV68" i="33"/>
  <c r="BV72" i="33"/>
  <c r="BV76" i="33"/>
  <c r="BV80" i="33"/>
  <c r="BV84" i="33"/>
  <c r="BV88" i="33"/>
  <c r="BV92" i="33"/>
  <c r="BV96" i="33"/>
  <c r="BV100" i="33"/>
  <c r="BV104" i="33"/>
  <c r="BV108" i="33"/>
  <c r="BV112" i="33"/>
  <c r="BV116" i="33"/>
  <c r="BV120" i="33"/>
  <c r="BV124" i="33"/>
  <c r="BV128" i="33"/>
  <c r="BV132" i="33"/>
  <c r="BV136" i="33"/>
  <c r="BV140" i="33"/>
  <c r="BV144" i="33"/>
  <c r="BV148" i="33"/>
  <c r="BV152" i="33"/>
  <c r="BV156" i="33"/>
  <c r="BV160" i="33"/>
  <c r="BV164" i="33"/>
  <c r="BV168" i="33"/>
  <c r="BV172" i="33"/>
  <c r="BV176" i="33"/>
  <c r="BV180" i="33"/>
  <c r="BV184" i="33"/>
  <c r="BV188" i="33"/>
  <c r="BV192" i="33"/>
  <c r="BV196" i="33"/>
  <c r="BV200" i="33"/>
  <c r="BV204" i="33"/>
  <c r="BV208" i="33"/>
  <c r="BV212" i="33"/>
  <c r="BV216" i="33"/>
  <c r="BV220" i="33"/>
  <c r="BV224" i="33"/>
  <c r="BV228" i="33"/>
  <c r="BV232" i="33"/>
  <c r="BV236" i="33"/>
  <c r="BV240" i="33"/>
  <c r="BV244" i="33"/>
  <c r="BV248" i="33"/>
  <c r="BV252" i="33"/>
  <c r="BV256" i="33"/>
  <c r="BV260" i="33"/>
  <c r="BV264" i="33"/>
  <c r="BV268" i="33"/>
  <c r="BV272" i="33"/>
  <c r="BV276" i="33"/>
  <c r="BV280" i="33"/>
  <c r="BV284" i="33"/>
  <c r="BV288" i="33"/>
  <c r="BV292" i="33"/>
  <c r="BV296" i="33"/>
  <c r="BV300" i="33"/>
  <c r="BV304" i="33"/>
  <c r="BV308" i="33"/>
  <c r="BV312" i="33"/>
  <c r="BV316" i="33"/>
  <c r="BV320" i="33"/>
  <c r="BV324" i="33"/>
  <c r="BV328" i="33"/>
  <c r="BV332" i="33"/>
  <c r="BV336" i="33"/>
  <c r="BV340" i="33"/>
  <c r="BV344" i="33"/>
  <c r="BV348" i="33"/>
  <c r="BV352" i="33"/>
  <c r="BV356" i="33"/>
  <c r="BV360" i="33"/>
  <c r="CH162" i="33"/>
  <c r="CN159" i="33"/>
  <c r="CB157" i="33"/>
  <c r="CH154" i="33"/>
  <c r="CN151" i="33"/>
  <c r="CB149" i="33"/>
  <c r="BY147" i="33"/>
  <c r="CB145" i="33"/>
  <c r="CE143" i="33"/>
  <c r="CK141" i="33"/>
  <c r="CN139" i="33"/>
  <c r="BY138" i="33"/>
  <c r="CE136" i="33"/>
  <c r="CH134" i="33"/>
  <c r="CK132" i="33"/>
  <c r="BY131" i="33"/>
  <c r="CB129" i="33"/>
  <c r="CE127" i="33"/>
  <c r="CK125" i="33"/>
  <c r="CN123" i="33"/>
  <c r="BY122" i="33"/>
  <c r="CE120" i="33"/>
  <c r="CH118" i="33"/>
  <c r="CK116" i="33"/>
  <c r="BY115" i="33"/>
  <c r="CB113" i="33"/>
  <c r="CE111" i="33"/>
  <c r="CK109" i="33"/>
  <c r="CB108" i="33"/>
  <c r="CN106" i="33"/>
  <c r="CH105" i="33"/>
  <c r="CB104" i="33"/>
  <c r="CN102" i="33"/>
  <c r="CH101" i="33"/>
  <c r="CB100" i="33"/>
  <c r="CN98" i="33"/>
  <c r="CH97" i="33"/>
  <c r="CB96" i="33"/>
  <c r="CN94" i="33"/>
  <c r="CH93" i="33"/>
  <c r="CB92" i="33"/>
  <c r="CN90" i="33"/>
  <c r="CH89" i="33"/>
  <c r="CB88" i="33"/>
  <c r="CN86" i="33"/>
  <c r="CH85" i="33"/>
  <c r="CB84" i="33"/>
  <c r="CN82" i="33"/>
  <c r="CH81" i="33"/>
  <c r="CB80" i="33"/>
  <c r="CN78" i="33"/>
  <c r="CH77" i="33"/>
  <c r="CB76" i="33"/>
  <c r="CN74" i="33"/>
  <c r="CH73" i="33"/>
  <c r="CB72" i="33"/>
  <c r="CN70" i="33"/>
  <c r="CH69" i="33"/>
  <c r="CB68" i="33"/>
  <c r="CN66" i="33"/>
  <c r="CH65" i="33"/>
  <c r="CB64" i="33"/>
  <c r="CN62" i="33"/>
  <c r="CH61" i="33"/>
  <c r="CB60" i="33"/>
  <c r="CN58" i="33"/>
  <c r="CH57" i="33"/>
  <c r="CB56" i="33"/>
  <c r="CN54" i="33"/>
  <c r="CH53" i="33"/>
  <c r="CB52" i="33"/>
  <c r="CN50" i="33"/>
  <c r="CH49" i="33"/>
  <c r="CB48" i="33"/>
  <c r="CN46" i="33"/>
  <c r="CH45" i="33"/>
  <c r="CB44" i="33"/>
  <c r="CN42" i="33"/>
  <c r="CH41" i="33"/>
  <c r="CB40" i="33"/>
  <c r="CN38" i="33"/>
  <c r="CH37" i="33"/>
  <c r="CB36" i="33"/>
  <c r="CN34" i="33"/>
  <c r="CH33" i="33"/>
  <c r="CB32" i="33"/>
  <c r="CN30" i="33"/>
  <c r="CH29" i="33"/>
  <c r="CB28" i="33"/>
  <c r="CN26" i="33"/>
  <c r="CH25" i="33"/>
  <c r="CB24" i="33"/>
  <c r="CN22" i="33"/>
  <c r="CH21" i="33"/>
  <c r="CB20" i="33"/>
  <c r="CN18" i="33"/>
  <c r="CH17" i="33"/>
  <c r="CB16" i="33"/>
  <c r="CN14" i="33"/>
  <c r="CH13" i="33"/>
  <c r="CB12" i="33"/>
  <c r="CN10" i="33"/>
  <c r="CH9" i="33"/>
  <c r="CB8" i="33"/>
  <c r="CN6" i="33"/>
  <c r="CH5" i="33"/>
  <c r="CB4" i="33"/>
  <c r="CE162" i="33"/>
  <c r="CK159" i="33"/>
  <c r="BY157" i="33"/>
  <c r="CE154" i="33"/>
  <c r="CK151" i="33"/>
  <c r="BY149" i="33"/>
  <c r="CK146" i="33"/>
  <c r="BY145" i="33"/>
  <c r="CB143" i="33"/>
  <c r="CE141" i="33"/>
  <c r="CK139" i="33"/>
  <c r="CN137" i="33"/>
  <c r="BY136" i="33"/>
  <c r="CE134" i="33"/>
  <c r="CH132" i="33"/>
  <c r="CK130" i="33"/>
  <c r="BY129" i="33"/>
  <c r="CB127" i="33"/>
  <c r="CE125" i="33"/>
  <c r="CK123" i="33"/>
  <c r="CN121" i="33"/>
  <c r="BY120" i="33"/>
  <c r="CE118" i="33"/>
  <c r="CH116" i="33"/>
  <c r="CK114" i="33"/>
  <c r="BY113" i="33"/>
  <c r="CB111" i="33"/>
  <c r="CE109" i="33"/>
  <c r="BY108" i="33"/>
  <c r="CK106" i="33"/>
  <c r="CE105" i="33"/>
  <c r="BY104" i="33"/>
  <c r="CK102" i="33"/>
  <c r="CE101" i="33"/>
  <c r="BY100" i="33"/>
  <c r="CK98" i="33"/>
  <c r="CE97" i="33"/>
  <c r="BY96" i="33"/>
  <c r="CK94" i="33"/>
  <c r="CE93" i="33"/>
  <c r="BY92" i="33"/>
  <c r="CK90" i="33"/>
  <c r="CE89" i="33"/>
  <c r="BY88" i="33"/>
  <c r="CK86" i="33"/>
  <c r="CE85" i="33"/>
  <c r="BY84" i="33"/>
  <c r="CK82" i="33"/>
  <c r="CE81" i="33"/>
  <c r="BY80" i="33"/>
  <c r="CK78" i="33"/>
  <c r="CE77" i="33"/>
  <c r="BY76" i="33"/>
  <c r="CK74" i="33"/>
  <c r="CE73" i="33"/>
  <c r="BY72" i="33"/>
  <c r="CK70" i="33"/>
  <c r="CE69" i="33"/>
  <c r="BY68" i="33"/>
  <c r="CK66" i="33"/>
  <c r="CE65" i="33"/>
  <c r="BY64" i="33"/>
  <c r="CK62" i="33"/>
  <c r="CE61" i="33"/>
  <c r="BY60" i="33"/>
  <c r="CK58" i="33"/>
  <c r="CE57" i="33"/>
  <c r="BY56" i="33"/>
  <c r="CK54" i="33"/>
  <c r="CE53" i="33"/>
  <c r="BY52" i="33"/>
  <c r="CK50" i="33"/>
  <c r="CE49" i="33"/>
  <c r="BY48" i="33"/>
  <c r="CK46" i="33"/>
  <c r="CE45" i="33"/>
  <c r="BY44" i="33"/>
  <c r="CK42" i="33"/>
  <c r="CE41" i="33"/>
  <c r="BY40" i="33"/>
  <c r="CK38" i="33"/>
  <c r="CE37" i="33"/>
  <c r="BY36" i="33"/>
  <c r="CK34" i="33"/>
  <c r="CE33" i="33"/>
  <c r="BY32" i="33"/>
  <c r="CK30" i="33"/>
  <c r="CE29" i="33"/>
  <c r="BY28" i="33"/>
  <c r="CK26" i="33"/>
  <c r="CE25" i="33"/>
  <c r="BY24" i="33"/>
  <c r="CK22" i="33"/>
  <c r="CE21" i="33"/>
  <c r="BY20" i="33"/>
  <c r="CK18" i="33"/>
  <c r="CE17" i="33"/>
  <c r="BY16" i="33"/>
  <c r="CK14" i="33"/>
  <c r="CE13" i="33"/>
  <c r="BY12" i="33"/>
  <c r="CK10" i="33"/>
  <c r="CE9" i="33"/>
  <c r="BY8" i="33"/>
  <c r="CK6" i="33"/>
  <c r="CE5" i="33"/>
  <c r="BY4" i="33"/>
  <c r="BV5" i="33"/>
  <c r="BV9" i="33"/>
  <c r="BV13" i="33"/>
  <c r="BV17" i="33"/>
  <c r="BV21" i="33"/>
  <c r="BV25" i="33"/>
  <c r="BV29" i="33"/>
  <c r="BV33" i="33"/>
  <c r="BV37" i="33"/>
  <c r="BV41" i="33"/>
  <c r="BV45" i="33"/>
  <c r="BV49" i="33"/>
  <c r="BV53" i="33"/>
  <c r="BV57" i="33"/>
  <c r="BV61" i="33"/>
  <c r="BV65" i="33"/>
  <c r="BV69" i="33"/>
  <c r="BV73" i="33"/>
  <c r="BV77" i="33"/>
  <c r="BV81" i="33"/>
  <c r="BV85" i="33"/>
  <c r="BV89" i="33"/>
  <c r="BV93" i="33"/>
  <c r="BV97" i="33"/>
  <c r="BV101" i="33"/>
  <c r="BV105" i="33"/>
  <c r="BV109" i="33"/>
  <c r="BV113" i="33"/>
  <c r="BV117" i="33"/>
  <c r="BV121" i="33"/>
  <c r="BV125" i="33"/>
  <c r="BV129" i="33"/>
  <c r="BV133" i="33"/>
  <c r="BV137" i="33"/>
  <c r="BV141" i="33"/>
  <c r="BV145" i="33"/>
  <c r="BV149" i="33"/>
  <c r="BV153" i="33"/>
  <c r="BV157" i="33"/>
  <c r="BV161" i="33"/>
  <c r="BV165" i="33"/>
  <c r="BV169" i="33"/>
  <c r="BV173" i="33"/>
  <c r="BV177" i="33"/>
  <c r="BV181" i="33"/>
  <c r="BV185" i="33"/>
  <c r="BV189" i="33"/>
  <c r="BV193" i="33"/>
  <c r="BV197" i="33"/>
  <c r="BV201" i="33"/>
  <c r="BV205" i="33"/>
  <c r="BV209" i="33"/>
  <c r="BV213" i="33"/>
  <c r="BV217" i="33"/>
  <c r="BV221" i="33"/>
  <c r="BV225" i="33"/>
  <c r="BV229" i="33"/>
  <c r="BV233" i="33"/>
  <c r="BV237" i="33"/>
  <c r="BV241" i="33"/>
  <c r="BV245" i="33"/>
  <c r="BV249" i="33"/>
  <c r="BV253" i="33"/>
  <c r="CN161" i="33"/>
  <c r="CB159" i="33"/>
  <c r="CH156" i="33"/>
  <c r="CN153" i="33"/>
  <c r="CB151" i="33"/>
  <c r="CH148" i="33"/>
  <c r="CH146" i="33"/>
  <c r="CK144" i="33"/>
  <c r="BY143" i="33"/>
  <c r="CB141" i="33"/>
  <c r="CE139" i="33"/>
  <c r="CK137" i="33"/>
  <c r="CN135" i="33"/>
  <c r="BY134" i="33"/>
  <c r="CE132" i="33"/>
  <c r="CH130" i="33"/>
  <c r="CK128" i="33"/>
  <c r="BY127" i="33"/>
  <c r="CB125" i="33"/>
  <c r="CE123" i="33"/>
  <c r="CK121" i="33"/>
  <c r="CN119" i="33"/>
  <c r="BY118" i="33"/>
  <c r="CE116" i="33"/>
  <c r="CH114" i="33"/>
  <c r="CK112" i="33"/>
  <c r="BY111" i="33"/>
  <c r="CB109" i="33"/>
  <c r="CN107" i="33"/>
  <c r="CH106" i="33"/>
  <c r="CB105" i="33"/>
  <c r="CN103" i="33"/>
  <c r="CH102" i="33"/>
  <c r="CB101" i="33"/>
  <c r="CN99" i="33"/>
  <c r="CH98" i="33"/>
  <c r="CB97" i="33"/>
  <c r="CN95" i="33"/>
  <c r="CH94" i="33"/>
  <c r="CB93" i="33"/>
  <c r="CN91" i="33"/>
  <c r="CH90" i="33"/>
  <c r="CB89" i="33"/>
  <c r="CN87" i="33"/>
  <c r="CH86" i="33"/>
  <c r="CB85" i="33"/>
  <c r="CN83" i="33"/>
  <c r="CH82" i="33"/>
  <c r="CB81" i="33"/>
  <c r="CN79" i="33"/>
  <c r="CH78" i="33"/>
  <c r="CB77" i="33"/>
  <c r="CN75" i="33"/>
  <c r="CH74" i="33"/>
  <c r="CB73" i="33"/>
  <c r="CN71" i="33"/>
  <c r="CH70" i="33"/>
  <c r="CB69" i="33"/>
  <c r="CN67" i="33"/>
  <c r="CH66" i="33"/>
  <c r="CB65" i="33"/>
  <c r="CN63" i="33"/>
  <c r="CH62" i="33"/>
  <c r="CB61" i="33"/>
  <c r="CN59" i="33"/>
  <c r="CH58" i="33"/>
  <c r="CB57" i="33"/>
  <c r="CN55" i="33"/>
  <c r="CH54" i="33"/>
  <c r="CB53" i="33"/>
  <c r="CN51" i="33"/>
  <c r="CH50" i="33"/>
  <c r="CB49" i="33"/>
  <c r="CN47" i="33"/>
  <c r="CH46" i="33"/>
  <c r="CB45" i="33"/>
  <c r="CN43" i="33"/>
  <c r="CH42" i="33"/>
  <c r="CB41" i="33"/>
  <c r="CN39" i="33"/>
  <c r="CH38" i="33"/>
  <c r="CB37" i="33"/>
  <c r="CN35" i="33"/>
  <c r="CH34" i="33"/>
  <c r="CB33" i="33"/>
  <c r="CN31" i="33"/>
  <c r="CH30" i="33"/>
  <c r="CB29" i="33"/>
  <c r="CN27" i="33"/>
  <c r="CH26" i="33"/>
  <c r="CB25" i="33"/>
  <c r="CN23" i="33"/>
  <c r="CH22" i="33"/>
  <c r="CB21" i="33"/>
  <c r="CN19" i="33"/>
  <c r="CH18" i="33"/>
  <c r="CB17" i="33"/>
  <c r="CN15" i="33"/>
  <c r="CH14" i="33"/>
  <c r="CB13" i="33"/>
  <c r="CN11" i="33"/>
  <c r="CH10" i="33"/>
  <c r="CB9" i="33"/>
  <c r="CN7" i="33"/>
  <c r="CH6" i="33"/>
  <c r="CB5" i="33"/>
  <c r="CK161" i="33"/>
  <c r="BY159" i="33"/>
  <c r="CE156" i="33"/>
  <c r="CK153" i="33"/>
  <c r="BY151" i="33"/>
  <c r="CE148" i="33"/>
  <c r="CE146" i="33"/>
  <c r="CH144" i="33"/>
  <c r="CK142" i="33"/>
  <c r="BY141" i="33"/>
  <c r="CB139" i="33"/>
  <c r="CE137" i="33"/>
  <c r="CK135" i="33"/>
  <c r="CN133" i="33"/>
  <c r="BY132" i="33"/>
  <c r="CE130" i="33"/>
  <c r="CH128" i="33"/>
  <c r="CK126" i="33"/>
  <c r="BY125" i="33"/>
  <c r="CB123" i="33"/>
  <c r="CE121" i="33"/>
  <c r="CK119" i="33"/>
  <c r="CN117" i="33"/>
  <c r="BY116" i="33"/>
  <c r="CE114" i="33"/>
  <c r="CH112" i="33"/>
  <c r="CK110" i="33"/>
  <c r="BY109" i="33"/>
  <c r="CK107" i="33"/>
  <c r="CE106" i="33"/>
  <c r="BY105" i="33"/>
  <c r="CK103" i="33"/>
  <c r="CE102" i="33"/>
  <c r="BY101" i="33"/>
  <c r="CK99" i="33"/>
  <c r="CE98" i="33"/>
  <c r="BY97" i="33"/>
  <c r="CK95" i="33"/>
  <c r="CE94" i="33"/>
  <c r="BY93" i="33"/>
  <c r="CK91" i="33"/>
  <c r="CE90" i="33"/>
  <c r="BY89" i="33"/>
  <c r="CK87" i="33"/>
  <c r="CE86" i="33"/>
  <c r="BY85" i="33"/>
  <c r="CK83" i="33"/>
  <c r="CE82" i="33"/>
  <c r="BY81" i="33"/>
  <c r="CK79" i="33"/>
  <c r="CE78" i="33"/>
  <c r="BY77" i="33"/>
  <c r="CK75" i="33"/>
  <c r="CE74" i="33"/>
  <c r="BY73" i="33"/>
  <c r="CK71" i="33"/>
  <c r="CE70" i="33"/>
  <c r="BY69" i="33"/>
  <c r="CK67" i="33"/>
  <c r="CE66" i="33"/>
  <c r="BY65" i="33"/>
  <c r="CK63" i="33"/>
  <c r="CE62" i="33"/>
  <c r="BY61" i="33"/>
  <c r="CK59" i="33"/>
  <c r="CE58" i="33"/>
  <c r="BY57" i="33"/>
  <c r="CK55" i="33"/>
  <c r="CE54" i="33"/>
  <c r="BY53" i="33"/>
  <c r="CK51" i="33"/>
  <c r="CE50" i="33"/>
  <c r="BY49" i="33"/>
  <c r="CK47" i="33"/>
  <c r="CE46" i="33"/>
  <c r="BY45" i="33"/>
  <c r="CK43" i="33"/>
  <c r="CE42" i="33"/>
  <c r="BY41" i="33"/>
  <c r="CK39" i="33"/>
  <c r="CE38" i="33"/>
  <c r="BY37" i="33"/>
  <c r="CK35" i="33"/>
  <c r="CE34" i="33"/>
  <c r="BY33" i="33"/>
  <c r="CK31" i="33"/>
  <c r="CE30" i="33"/>
  <c r="BY29" i="33"/>
  <c r="CK27" i="33"/>
  <c r="CE26" i="33"/>
  <c r="BY25" i="33"/>
  <c r="CK23" i="33"/>
  <c r="CE22" i="33"/>
  <c r="BY21" i="33"/>
  <c r="CK19" i="33"/>
  <c r="CE18" i="33"/>
  <c r="BY17" i="33"/>
  <c r="CK15" i="33"/>
  <c r="CE14" i="33"/>
  <c r="BY13" i="33"/>
  <c r="CK11" i="33"/>
  <c r="CE10" i="33"/>
  <c r="BY9" i="33"/>
  <c r="CK7" i="33"/>
  <c r="CE6" i="33"/>
  <c r="BY5" i="33"/>
  <c r="BS5" i="33"/>
  <c r="BV10" i="33"/>
  <c r="BV15" i="33"/>
  <c r="BS21" i="33"/>
  <c r="BV26" i="33"/>
  <c r="BV31" i="33"/>
  <c r="BS37" i="33"/>
  <c r="BV42" i="33"/>
  <c r="BV47" i="33"/>
  <c r="BS53" i="33"/>
  <c r="BV58" i="33"/>
  <c r="BV63" i="33"/>
  <c r="BS69" i="33"/>
  <c r="BV74" i="33"/>
  <c r="BV79" i="33"/>
  <c r="BS85" i="33"/>
  <c r="BV90" i="33"/>
  <c r="BV95" i="33"/>
  <c r="BS101" i="33"/>
  <c r="BV106" i="33"/>
  <c r="BV111" i="33"/>
  <c r="BS117" i="33"/>
  <c r="BV122" i="33"/>
  <c r="BV127" i="33"/>
  <c r="BS133" i="33"/>
  <c r="BV138" i="33"/>
  <c r="BV143" i="33"/>
  <c r="BS149" i="33"/>
  <c r="BV154" i="33"/>
  <c r="BV159" i="33"/>
  <c r="BS165" i="33"/>
  <c r="BV170" i="33"/>
  <c r="BV175" i="33"/>
  <c r="BS181" i="33"/>
  <c r="BV186" i="33"/>
  <c r="BV191" i="33"/>
  <c r="BS197" i="33"/>
  <c r="BV202" i="33"/>
  <c r="BV207" i="33"/>
  <c r="BS213" i="33"/>
  <c r="BV218" i="33"/>
  <c r="BV223" i="33"/>
  <c r="BS229" i="33"/>
  <c r="BV234" i="33"/>
  <c r="BV239" i="33"/>
  <c r="BS245" i="33"/>
  <c r="BV250" i="33"/>
  <c r="BV255" i="33"/>
  <c r="BS260" i="33"/>
  <c r="BS265" i="33"/>
  <c r="BV269" i="33"/>
  <c r="BS274" i="33"/>
  <c r="BV278" i="33"/>
  <c r="BS283" i="33"/>
  <c r="BV287" i="33"/>
  <c r="BS292" i="33"/>
  <c r="BS297" i="33"/>
  <c r="BV301" i="33"/>
  <c r="BS306" i="33"/>
  <c r="BV310" i="33"/>
  <c r="BS315" i="33"/>
  <c r="BV319" i="33"/>
  <c r="BS324" i="33"/>
  <c r="BS329" i="33"/>
  <c r="BV333" i="33"/>
  <c r="BS338" i="33"/>
  <c r="BV342" i="33"/>
  <c r="BS347" i="33"/>
  <c r="BV351" i="33"/>
  <c r="BS356" i="33"/>
  <c r="BS361" i="33"/>
  <c r="BS365" i="33"/>
  <c r="BS369" i="33"/>
  <c r="BS373" i="33"/>
  <c r="BS377" i="33"/>
  <c r="BS381" i="33"/>
  <c r="BS385" i="33"/>
  <c r="BS389" i="33"/>
  <c r="BS393" i="33"/>
  <c r="BS397" i="33"/>
  <c r="BS401" i="33"/>
  <c r="BS405" i="33"/>
  <c r="BS409" i="33"/>
  <c r="BS413" i="33"/>
  <c r="BS417" i="33"/>
  <c r="BS421" i="33"/>
  <c r="BS425" i="33"/>
  <c r="BS429" i="33"/>
  <c r="BS433" i="33"/>
  <c r="BS437" i="33"/>
  <c r="BS441" i="33"/>
  <c r="BS445" i="33"/>
  <c r="BS449" i="33"/>
  <c r="BS453" i="33"/>
  <c r="BS457" i="33"/>
  <c r="BS461" i="33"/>
  <c r="BS465" i="33"/>
  <c r="BS469" i="33"/>
  <c r="BS473" i="33"/>
  <c r="BS477" i="33"/>
  <c r="BS481" i="33"/>
  <c r="BS485" i="33"/>
  <c r="BS489" i="33"/>
  <c r="BS493" i="33"/>
  <c r="BS497" i="33"/>
  <c r="BS501" i="33"/>
  <c r="BS505" i="33"/>
  <c r="BS509" i="33"/>
  <c r="BS513" i="33"/>
  <c r="BS517" i="33"/>
  <c r="BS521" i="33"/>
  <c r="BS525" i="33"/>
  <c r="BS529" i="33"/>
  <c r="BS533" i="33"/>
  <c r="BS537" i="33"/>
  <c r="BS541" i="33"/>
  <c r="BS545" i="33"/>
  <c r="BS549" i="33"/>
  <c r="BS553" i="33"/>
  <c r="BS557" i="33"/>
  <c r="BS561" i="33"/>
  <c r="BS565" i="33"/>
  <c r="BS569" i="33"/>
  <c r="BS573" i="33"/>
  <c r="BS577" i="33"/>
  <c r="BS581" i="33"/>
  <c r="BS585" i="33"/>
  <c r="BS589" i="33"/>
  <c r="BS593" i="33"/>
  <c r="BS597" i="33"/>
  <c r="BS601" i="33"/>
  <c r="BS605" i="33"/>
  <c r="BS609" i="33"/>
  <c r="BS613" i="33"/>
  <c r="BS617" i="33"/>
  <c r="BS621" i="33"/>
  <c r="BS625" i="33"/>
  <c r="BS629" i="33"/>
  <c r="BS633" i="33"/>
  <c r="BS637" i="33"/>
  <c r="BS641" i="33"/>
  <c r="BS645" i="33"/>
  <c r="BS649" i="33"/>
  <c r="BS653" i="33"/>
  <c r="BS657" i="33"/>
  <c r="BS661" i="33"/>
  <c r="BS665" i="33"/>
  <c r="BS669" i="33"/>
  <c r="BS673" i="33"/>
  <c r="BS677" i="33"/>
  <c r="BS681" i="33"/>
  <c r="BS685" i="33"/>
  <c r="BS689" i="33"/>
  <c r="BS693" i="33"/>
  <c r="BS697" i="33"/>
  <c r="BS701" i="33"/>
  <c r="BS705" i="33"/>
  <c r="BS709" i="33"/>
  <c r="BS713" i="33"/>
  <c r="BS717" i="33"/>
  <c r="BS721" i="33"/>
  <c r="BS725" i="33"/>
  <c r="BS729" i="33"/>
  <c r="BS733" i="33"/>
  <c r="BS737" i="33"/>
  <c r="BS741" i="33"/>
  <c r="BS745" i="33"/>
  <c r="BS749" i="33"/>
  <c r="BS753" i="33"/>
  <c r="BS757" i="33"/>
  <c r="BS6" i="33"/>
  <c r="BS11" i="33"/>
  <c r="BS16" i="33"/>
  <c r="BS22" i="33"/>
  <c r="BS27" i="33"/>
  <c r="BS32" i="33"/>
  <c r="BS38" i="33"/>
  <c r="BS43" i="33"/>
  <c r="BS48" i="33"/>
  <c r="BS54" i="33"/>
  <c r="BS59" i="33"/>
  <c r="BS64" i="33"/>
  <c r="BS70" i="33"/>
  <c r="BS75" i="33"/>
  <c r="BS80" i="33"/>
  <c r="BS86" i="33"/>
  <c r="BS91" i="33"/>
  <c r="BS96" i="33"/>
  <c r="BS102" i="33"/>
  <c r="BS107" i="33"/>
  <c r="BS112" i="33"/>
  <c r="BS118" i="33"/>
  <c r="BS123" i="33"/>
  <c r="BS128" i="33"/>
  <c r="BS134" i="33"/>
  <c r="BS139" i="33"/>
  <c r="BS144" i="33"/>
  <c r="BS150" i="33"/>
  <c r="BS155" i="33"/>
  <c r="BS160" i="33"/>
  <c r="BS166" i="33"/>
  <c r="BS171" i="33"/>
  <c r="BS176" i="33"/>
  <c r="BS182" i="33"/>
  <c r="BS187" i="33"/>
  <c r="BS192" i="33"/>
  <c r="BS198" i="33"/>
  <c r="BS203" i="33"/>
  <c r="BS208" i="33"/>
  <c r="BS214" i="33"/>
  <c r="BS219" i="33"/>
  <c r="BS224" i="33"/>
  <c r="BS230" i="33"/>
  <c r="BS235" i="33"/>
  <c r="BS240" i="33"/>
  <c r="BS246" i="33"/>
  <c r="BS251" i="33"/>
  <c r="BS256" i="33"/>
  <c r="BS261" i="33"/>
  <c r="BV265" i="33"/>
  <c r="BS270" i="33"/>
  <c r="BV274" i="33"/>
  <c r="BS279" i="33"/>
  <c r="BV283" i="33"/>
  <c r="BS288" i="33"/>
  <c r="BS293" i="33"/>
  <c r="BV297" i="33"/>
  <c r="BS302" i="33"/>
  <c r="BV306" i="33"/>
  <c r="BS311" i="33"/>
  <c r="BV315" i="33"/>
  <c r="BS320" i="33"/>
  <c r="BS325" i="33"/>
  <c r="BV329" i="33"/>
  <c r="BS334" i="33"/>
  <c r="BV338" i="33"/>
  <c r="BS343" i="33"/>
  <c r="BV347" i="33"/>
  <c r="BS352" i="33"/>
  <c r="BS357" i="33"/>
  <c r="BV361" i="33"/>
  <c r="BV365" i="33"/>
  <c r="BV369" i="33"/>
  <c r="BV373" i="33"/>
  <c r="BV377" i="33"/>
  <c r="BV381" i="33"/>
  <c r="BV385" i="33"/>
  <c r="BV389" i="33"/>
  <c r="BV393" i="33"/>
  <c r="BV397" i="33"/>
  <c r="BV401" i="33"/>
  <c r="BV405" i="33"/>
  <c r="BV409" i="33"/>
  <c r="BV413" i="33"/>
  <c r="BV417" i="33"/>
  <c r="BV421" i="33"/>
  <c r="BV425" i="33"/>
  <c r="BV429" i="33"/>
  <c r="BV433" i="33"/>
  <c r="BV437" i="33"/>
  <c r="BV441" i="33"/>
  <c r="BV445" i="33"/>
  <c r="BV449" i="33"/>
  <c r="BV453" i="33"/>
  <c r="BV457" i="33"/>
  <c r="BV461" i="33"/>
  <c r="BV465" i="33"/>
  <c r="BV469" i="33"/>
  <c r="BV473" i="33"/>
  <c r="BV477" i="33"/>
  <c r="BV481" i="33"/>
  <c r="BV485" i="33"/>
  <c r="BV489" i="33"/>
  <c r="BV493" i="33"/>
  <c r="BV497" i="33"/>
  <c r="BV501" i="33"/>
  <c r="BV505" i="33"/>
  <c r="BV509" i="33"/>
  <c r="BV513" i="33"/>
  <c r="BV517" i="33"/>
  <c r="BV521" i="33"/>
  <c r="BV525" i="33"/>
  <c r="BV529" i="33"/>
  <c r="BV533" i="33"/>
  <c r="BV537" i="33"/>
  <c r="BV541" i="33"/>
  <c r="BV545" i="33"/>
  <c r="BV549" i="33"/>
  <c r="BV553" i="33"/>
  <c r="BV557" i="33"/>
  <c r="BV561" i="33"/>
  <c r="BV565" i="33"/>
  <c r="BV569" i="33"/>
  <c r="BV573" i="33"/>
  <c r="BV577" i="33"/>
  <c r="BV581" i="33"/>
  <c r="BV585" i="33"/>
  <c r="BV589" i="33"/>
  <c r="BV593" i="33"/>
  <c r="BV597" i="33"/>
  <c r="BV601" i="33"/>
  <c r="BV605" i="33"/>
  <c r="BV609" i="33"/>
  <c r="BV613" i="33"/>
  <c r="BV617" i="33"/>
  <c r="BV621" i="33"/>
  <c r="BV625" i="33"/>
  <c r="BV629" i="33"/>
  <c r="BV633" i="33"/>
  <c r="BV637" i="33"/>
  <c r="BV641" i="33"/>
  <c r="BV645" i="33"/>
  <c r="BV649" i="33"/>
  <c r="BV653" i="33"/>
  <c r="BV657" i="33"/>
  <c r="BV661" i="33"/>
  <c r="BV665" i="33"/>
  <c r="BV669" i="33"/>
  <c r="BV673" i="33"/>
  <c r="BV677" i="33"/>
  <c r="BV681" i="33"/>
  <c r="BV685" i="33"/>
  <c r="BV689" i="33"/>
  <c r="BV693" i="33"/>
  <c r="BV697" i="33"/>
  <c r="BV701" i="33"/>
  <c r="BV705" i="33"/>
  <c r="BV709" i="33"/>
  <c r="BV713" i="33"/>
  <c r="BV717" i="33"/>
  <c r="BV721" i="33"/>
  <c r="BV725" i="33"/>
  <c r="BV729" i="33"/>
  <c r="BV733" i="33"/>
  <c r="BV737" i="33"/>
  <c r="BV741" i="33"/>
  <c r="BV745" i="33"/>
  <c r="BV749" i="33"/>
  <c r="BV753" i="33"/>
  <c r="BV757" i="33"/>
  <c r="BV6" i="33"/>
  <c r="BV11" i="33"/>
  <c r="BS17" i="33"/>
  <c r="BV22" i="33"/>
  <c r="BV27" i="33"/>
  <c r="BS33" i="33"/>
  <c r="BV38" i="33"/>
  <c r="BV43" i="33"/>
  <c r="BS49" i="33"/>
  <c r="BV54" i="33"/>
  <c r="BV59" i="33"/>
  <c r="BS65" i="33"/>
  <c r="BV70" i="33"/>
  <c r="BV75" i="33"/>
  <c r="BS81" i="33"/>
  <c r="BV86" i="33"/>
  <c r="BV91" i="33"/>
  <c r="BS97" i="33"/>
  <c r="BV102" i="33"/>
  <c r="BV107" i="33"/>
  <c r="BS113" i="33"/>
  <c r="BV118" i="33"/>
  <c r="BV123" i="33"/>
  <c r="BS129" i="33"/>
  <c r="BV134" i="33"/>
  <c r="BV139" i="33"/>
  <c r="BS145" i="33"/>
  <c r="BV150" i="33"/>
  <c r="BV155" i="33"/>
  <c r="BS161" i="33"/>
  <c r="BV166" i="33"/>
  <c r="BV171" i="33"/>
  <c r="BS177" i="33"/>
  <c r="BV182" i="33"/>
  <c r="BV187" i="33"/>
  <c r="BS193" i="33"/>
  <c r="BV198" i="33"/>
  <c r="BV203" i="33"/>
  <c r="BS209" i="33"/>
  <c r="BV214" i="33"/>
  <c r="BV219" i="33"/>
  <c r="BS225" i="33"/>
  <c r="BV230" i="33"/>
  <c r="BV235" i="33"/>
  <c r="BS241" i="33"/>
  <c r="BV246" i="33"/>
  <c r="BV251" i="33"/>
  <c r="BS257" i="33"/>
  <c r="BV261" i="33"/>
  <c r="BS266" i="33"/>
  <c r="BV270" i="33"/>
  <c r="BS275" i="33"/>
  <c r="BV279" i="33"/>
  <c r="BS284" i="33"/>
  <c r="BS289" i="33"/>
  <c r="BV293" i="33"/>
  <c r="BS298" i="33"/>
  <c r="BV302" i="33"/>
  <c r="BS307" i="33"/>
  <c r="BV311" i="33"/>
  <c r="BS316" i="33"/>
  <c r="BS321" i="33"/>
  <c r="BV325" i="33"/>
  <c r="BS330" i="33"/>
  <c r="BV334" i="33"/>
  <c r="BS339" i="33"/>
  <c r="BV343" i="33"/>
  <c r="BS348" i="33"/>
  <c r="BS353" i="33"/>
  <c r="BV357" i="33"/>
  <c r="BS362" i="33"/>
  <c r="BS366" i="33"/>
  <c r="BS370" i="33"/>
  <c r="BS374" i="33"/>
  <c r="BS378" i="33"/>
  <c r="BS382" i="33"/>
  <c r="BS386" i="33"/>
  <c r="BS390" i="33"/>
  <c r="BS394" i="33"/>
  <c r="BS398" i="33"/>
  <c r="BS402" i="33"/>
  <c r="BS406" i="33"/>
  <c r="BS410" i="33"/>
  <c r="BS414" i="33"/>
  <c r="BS418" i="33"/>
  <c r="BS422" i="33"/>
  <c r="BS426" i="33"/>
  <c r="BS430" i="33"/>
  <c r="BS434" i="33"/>
  <c r="BS438" i="33"/>
  <c r="BS442" i="33"/>
  <c r="BS446" i="33"/>
  <c r="BS450" i="33"/>
  <c r="BS454" i="33"/>
  <c r="BS458" i="33"/>
  <c r="BS462" i="33"/>
  <c r="BS466" i="33"/>
  <c r="BS470" i="33"/>
  <c r="BS474" i="33"/>
  <c r="BS478" i="33"/>
  <c r="BS482" i="33"/>
  <c r="BS486" i="33"/>
  <c r="BS490" i="33"/>
  <c r="BS494" i="33"/>
  <c r="BS498" i="33"/>
  <c r="BS502" i="33"/>
  <c r="BS506" i="33"/>
  <c r="BS510" i="33"/>
  <c r="BS514" i="33"/>
  <c r="BS518" i="33"/>
  <c r="BS522" i="33"/>
  <c r="BS526" i="33"/>
  <c r="BS530" i="33"/>
  <c r="BS534" i="33"/>
  <c r="BS538" i="33"/>
  <c r="BS542" i="33"/>
  <c r="BS546" i="33"/>
  <c r="BS550" i="33"/>
  <c r="BS554" i="33"/>
  <c r="BS558" i="33"/>
  <c r="BS562" i="33"/>
  <c r="BS566" i="33"/>
  <c r="BS570" i="33"/>
  <c r="BS574" i="33"/>
  <c r="BS578" i="33"/>
  <c r="BS582" i="33"/>
  <c r="BS586" i="33"/>
  <c r="BS590" i="33"/>
  <c r="BS594" i="33"/>
  <c r="BS598" i="33"/>
  <c r="BS602" i="33"/>
  <c r="BS606" i="33"/>
  <c r="BS610" i="33"/>
  <c r="BS614" i="33"/>
  <c r="BS618" i="33"/>
  <c r="BS622" i="33"/>
  <c r="BS626" i="33"/>
  <c r="BS630" i="33"/>
  <c r="BS634" i="33"/>
  <c r="BS638" i="33"/>
  <c r="BS642" i="33"/>
  <c r="BS646" i="33"/>
  <c r="BS650" i="33"/>
  <c r="BS654" i="33"/>
  <c r="BS658" i="33"/>
  <c r="BS662" i="33"/>
  <c r="BS666" i="33"/>
  <c r="BS670" i="33"/>
  <c r="BS674" i="33"/>
  <c r="BS678" i="33"/>
  <c r="BS682" i="33"/>
  <c r="BS686" i="33"/>
  <c r="BS690" i="33"/>
  <c r="BS694" i="33"/>
  <c r="BS698" i="33"/>
  <c r="BS702" i="33"/>
  <c r="BS706" i="33"/>
  <c r="BS710" i="33"/>
  <c r="BS714" i="33"/>
  <c r="BS718" i="33"/>
  <c r="BS722" i="33"/>
  <c r="BS726" i="33"/>
  <c r="BS730" i="33"/>
  <c r="BS734" i="33"/>
  <c r="BS738" i="33"/>
  <c r="BS742" i="33"/>
  <c r="BS746" i="33"/>
  <c r="BS750" i="33"/>
  <c r="BS754" i="33"/>
  <c r="BS758" i="33"/>
  <c r="BV7" i="33"/>
  <c r="BS13" i="33"/>
  <c r="BV18" i="33"/>
  <c r="BV23" i="33"/>
  <c r="BS29" i="33"/>
  <c r="BV34" i="33"/>
  <c r="BV39" i="33"/>
  <c r="BS45" i="33"/>
  <c r="BV50" i="33"/>
  <c r="BV55" i="33"/>
  <c r="BS61" i="33"/>
  <c r="BV66" i="33"/>
  <c r="BV71" i="33"/>
  <c r="BS77" i="33"/>
  <c r="BV82" i="33"/>
  <c r="BV87" i="33"/>
  <c r="BS93" i="33"/>
  <c r="BV98" i="33"/>
  <c r="BV103" i="33"/>
  <c r="BS109" i="33"/>
  <c r="BV114" i="33"/>
  <c r="BV119" i="33"/>
  <c r="BS125" i="33"/>
  <c r="BV130" i="33"/>
  <c r="BV135" i="33"/>
  <c r="BS141" i="33"/>
  <c r="BV146" i="33"/>
  <c r="BV151" i="33"/>
  <c r="BS157" i="33"/>
  <c r="BV162" i="33"/>
  <c r="BV167" i="33"/>
  <c r="BS173" i="33"/>
  <c r="BV178" i="33"/>
  <c r="BV183" i="33"/>
  <c r="BS189" i="33"/>
  <c r="BV194" i="33"/>
  <c r="BV199" i="33"/>
  <c r="BS205" i="33"/>
  <c r="BV210" i="33"/>
  <c r="BV215" i="33"/>
  <c r="BS221" i="33"/>
  <c r="BV226" i="33"/>
  <c r="BV231" i="33"/>
  <c r="BS237" i="33"/>
  <c r="BV242" i="33"/>
  <c r="BV247" i="33"/>
  <c r="BS253" i="33"/>
  <c r="BS258" i="33"/>
  <c r="BV262" i="33"/>
  <c r="BS267" i="33"/>
  <c r="BV271" i="33"/>
  <c r="BS276" i="33"/>
  <c r="BS281" i="33"/>
  <c r="BV285" i="33"/>
  <c r="BS290" i="33"/>
  <c r="BV294" i="33"/>
  <c r="BS299" i="33"/>
  <c r="BV303" i="33"/>
  <c r="BS308" i="33"/>
  <c r="BS313" i="33"/>
  <c r="BV317" i="33"/>
  <c r="BS322" i="33"/>
  <c r="BV326" i="33"/>
  <c r="BS331" i="33"/>
  <c r="BV335" i="33"/>
  <c r="BS340" i="33"/>
  <c r="BS345" i="33"/>
  <c r="BV349" i="33"/>
  <c r="BS354" i="33"/>
  <c r="BV358" i="33"/>
  <c r="BS363" i="33"/>
  <c r="BS367" i="33"/>
  <c r="BS371" i="33"/>
  <c r="BS375" i="33"/>
  <c r="BS379" i="33"/>
  <c r="BS383" i="33"/>
  <c r="BS387" i="33"/>
  <c r="BS391" i="33"/>
  <c r="BS395" i="33"/>
  <c r="BS399" i="33"/>
  <c r="BS403" i="33"/>
  <c r="BS407" i="33"/>
  <c r="BS411" i="33"/>
  <c r="BS415" i="33"/>
  <c r="BS419" i="33"/>
  <c r="BS423" i="33"/>
  <c r="BS427" i="33"/>
  <c r="BS431" i="33"/>
  <c r="BS435" i="33"/>
  <c r="BS439" i="33"/>
  <c r="BS443" i="33"/>
  <c r="BS447" i="33"/>
  <c r="BS451" i="33"/>
  <c r="BS455" i="33"/>
  <c r="BS459" i="33"/>
  <c r="BS463" i="33"/>
  <c r="BS467" i="33"/>
  <c r="BS471" i="33"/>
  <c r="BS475" i="33"/>
  <c r="BS479" i="33"/>
  <c r="BS483" i="33"/>
  <c r="BS487" i="33"/>
  <c r="BS491" i="33"/>
  <c r="BS495" i="33"/>
  <c r="BS499" i="33"/>
  <c r="BS503" i="33"/>
  <c r="BS507" i="33"/>
  <c r="BS511" i="33"/>
  <c r="BS515" i="33"/>
  <c r="BS519" i="33"/>
  <c r="BS523" i="33"/>
  <c r="BS527" i="33"/>
  <c r="BS531" i="33"/>
  <c r="BS535" i="33"/>
  <c r="BS539" i="33"/>
  <c r="BS543" i="33"/>
  <c r="BS547" i="33"/>
  <c r="BS551" i="33"/>
  <c r="BS555" i="33"/>
  <c r="BS559" i="33"/>
  <c r="BS563" i="33"/>
  <c r="BS567" i="33"/>
  <c r="BS571" i="33"/>
  <c r="BS575" i="33"/>
  <c r="BS579" i="33"/>
  <c r="BS583" i="33"/>
  <c r="BS587" i="33"/>
  <c r="BS591" i="33"/>
  <c r="BS595" i="33"/>
  <c r="BS599" i="33"/>
  <c r="BS603" i="33"/>
  <c r="BS607" i="33"/>
  <c r="BS611" i="33"/>
  <c r="BS615" i="33"/>
  <c r="BS619" i="33"/>
  <c r="BS623" i="33"/>
  <c r="BS627" i="33"/>
  <c r="BS631" i="33"/>
  <c r="BS635" i="33"/>
  <c r="BS639" i="33"/>
  <c r="BS643" i="33"/>
  <c r="BS647" i="33"/>
  <c r="BS651" i="33"/>
  <c r="BS655" i="33"/>
  <c r="BS659" i="33"/>
  <c r="BS663" i="33"/>
  <c r="BS667" i="33"/>
  <c r="BS671" i="33"/>
  <c r="BS675" i="33"/>
  <c r="BS679" i="33"/>
  <c r="BS683" i="33"/>
  <c r="BS687" i="33"/>
  <c r="BS691" i="33"/>
  <c r="BS695" i="33"/>
  <c r="BS699" i="33"/>
  <c r="BS703" i="33"/>
  <c r="BS707" i="33"/>
  <c r="BS711" i="33"/>
  <c r="BS715" i="33"/>
  <c r="BS719" i="33"/>
  <c r="BS723" i="33"/>
  <c r="BS727" i="33"/>
  <c r="BS731" i="33"/>
  <c r="BS735" i="33"/>
  <c r="BS739" i="33"/>
  <c r="BS743" i="33"/>
  <c r="BS747" i="33"/>
  <c r="BS751" i="33"/>
  <c r="BS755" i="33"/>
  <c r="BS759" i="33"/>
  <c r="BS9" i="33"/>
  <c r="BV14" i="33"/>
  <c r="BV19" i="33"/>
  <c r="BS25" i="33"/>
  <c r="BV30" i="33"/>
  <c r="BV35" i="33"/>
  <c r="BS41" i="33"/>
  <c r="BV46" i="33"/>
  <c r="BV51" i="33"/>
  <c r="BS57" i="33"/>
  <c r="BV62" i="33"/>
  <c r="BV67" i="33"/>
  <c r="BS73" i="33"/>
  <c r="BV78" i="33"/>
  <c r="BV83" i="33"/>
  <c r="BS89" i="33"/>
  <c r="BV94" i="33"/>
  <c r="BV99" i="33"/>
  <c r="BS105" i="33"/>
  <c r="BV110" i="33"/>
  <c r="BV115" i="33"/>
  <c r="BS121" i="33"/>
  <c r="BV126" i="33"/>
  <c r="BV131" i="33"/>
  <c r="BS137" i="33"/>
  <c r="BV142" i="33"/>
  <c r="BV147" i="33"/>
  <c r="BS153" i="33"/>
  <c r="BV158" i="33"/>
  <c r="BV163" i="33"/>
  <c r="BS169" i="33"/>
  <c r="BV174" i="33"/>
  <c r="BV179" i="33"/>
  <c r="BS185" i="33"/>
  <c r="BV190" i="33"/>
  <c r="BV195" i="33"/>
  <c r="BS201" i="33"/>
  <c r="BV206" i="33"/>
  <c r="BV211" i="33"/>
  <c r="BS217" i="33"/>
  <c r="BV222" i="33"/>
  <c r="BV227" i="33"/>
  <c r="BS233" i="33"/>
  <c r="BV238" i="33"/>
  <c r="BV243" i="33"/>
  <c r="BS249" i="33"/>
  <c r="BV254" i="33"/>
  <c r="BS259" i="33"/>
  <c r="BV263" i="33"/>
  <c r="BS268" i="33"/>
  <c r="BS273" i="33"/>
  <c r="BV277" i="33"/>
  <c r="BS282" i="33"/>
  <c r="BV286" i="33"/>
  <c r="BS291" i="33"/>
  <c r="BV295" i="33"/>
  <c r="BS300" i="33"/>
  <c r="BS305" i="33"/>
  <c r="BV309" i="33"/>
  <c r="BS314" i="33"/>
  <c r="BV318" i="33"/>
  <c r="BS323" i="33"/>
  <c r="BV327" i="33"/>
  <c r="BS332" i="33"/>
  <c r="BS337" i="33"/>
  <c r="BV341" i="33"/>
  <c r="BS346" i="33"/>
  <c r="BV350" i="33"/>
  <c r="BS355" i="33"/>
  <c r="BV359" i="33"/>
  <c r="BS364" i="33"/>
  <c r="BS368" i="33"/>
  <c r="BS372" i="33"/>
  <c r="BS376" i="33"/>
  <c r="BS380" i="33"/>
  <c r="BS384" i="33"/>
  <c r="BS388" i="33"/>
  <c r="BS392" i="33"/>
  <c r="BS396" i="33"/>
  <c r="BS400" i="33"/>
  <c r="BS404" i="33"/>
  <c r="BS408" i="33"/>
  <c r="BS412" i="33"/>
  <c r="BS416" i="33"/>
  <c r="BS420" i="33"/>
  <c r="BS424" i="33"/>
  <c r="BS428" i="33"/>
  <c r="BS432" i="33"/>
  <c r="BS436" i="33"/>
  <c r="BS440" i="33"/>
  <c r="BS444" i="33"/>
  <c r="BS448" i="33"/>
  <c r="BS452" i="33"/>
  <c r="BS456" i="33"/>
  <c r="BS460" i="33"/>
  <c r="BS464" i="33"/>
  <c r="BS468" i="33"/>
  <c r="BS472" i="33"/>
  <c r="BS476" i="33"/>
  <c r="BS480" i="33"/>
  <c r="BS484" i="33"/>
  <c r="BS488" i="33"/>
  <c r="BS492" i="33"/>
  <c r="BS496" i="33"/>
  <c r="BS500" i="33"/>
  <c r="BS504" i="33"/>
  <c r="BS508" i="33"/>
  <c r="BS512" i="33"/>
  <c r="BS516" i="33"/>
  <c r="BS520" i="33"/>
  <c r="BS524" i="33"/>
  <c r="BS528" i="33"/>
  <c r="BS532" i="33"/>
  <c r="BS536" i="33"/>
  <c r="BS540" i="33"/>
  <c r="BS544" i="33"/>
  <c r="BS548" i="33"/>
  <c r="BS552" i="33"/>
  <c r="BS556" i="33"/>
  <c r="BS560" i="33"/>
  <c r="BS564" i="33"/>
  <c r="BS568" i="33"/>
  <c r="BS572" i="33"/>
  <c r="BS576" i="33"/>
  <c r="BS580" i="33"/>
  <c r="BS584" i="33"/>
  <c r="BS588" i="33"/>
  <c r="BS592" i="33"/>
  <c r="BS596" i="33"/>
  <c r="BS600" i="33"/>
  <c r="BS604" i="33"/>
  <c r="BS608" i="33"/>
  <c r="BS612" i="33"/>
  <c r="BS616" i="33"/>
  <c r="BS620" i="33"/>
  <c r="BS624" i="33"/>
  <c r="BS628" i="33"/>
  <c r="BS632" i="33"/>
  <c r="BS636" i="33"/>
  <c r="BS640" i="33"/>
  <c r="BS644" i="33"/>
  <c r="BS648" i="33"/>
  <c r="BS652" i="33"/>
  <c r="BS656" i="33"/>
  <c r="BS660" i="33"/>
  <c r="BS664" i="33"/>
  <c r="BS668" i="33"/>
  <c r="BS672" i="33"/>
  <c r="BS676" i="33"/>
  <c r="BS680" i="33"/>
  <c r="BS684" i="33"/>
  <c r="BS688" i="33"/>
  <c r="BS692" i="33"/>
  <c r="BS696" i="33"/>
  <c r="BS700" i="33"/>
  <c r="BS704" i="33"/>
  <c r="BS708" i="33"/>
  <c r="BS712" i="33"/>
  <c r="BS716" i="33"/>
  <c r="BS720" i="33"/>
  <c r="BS724" i="33"/>
  <c r="BS728" i="33"/>
  <c r="BS732" i="33"/>
  <c r="BS736" i="33"/>
  <c r="BS740" i="33"/>
  <c r="BS744" i="33"/>
  <c r="BS748" i="33"/>
  <c r="BS752" i="33"/>
  <c r="BS756" i="33"/>
  <c r="BS4" i="33"/>
  <c r="BS10" i="33"/>
  <c r="BS15" i="33"/>
  <c r="BS20" i="33"/>
  <c r="BS26" i="33"/>
  <c r="BS31" i="33"/>
  <c r="BS36" i="33"/>
  <c r="BS42" i="33"/>
  <c r="BS47" i="33"/>
  <c r="BS52" i="33"/>
  <c r="BS58" i="33"/>
  <c r="BS63" i="33"/>
  <c r="BS68" i="33"/>
  <c r="BS74" i="33"/>
  <c r="BS79" i="33"/>
  <c r="BS84" i="33"/>
  <c r="BS90" i="33"/>
  <c r="BS95" i="33"/>
  <c r="BS100" i="33"/>
  <c r="BS106" i="33"/>
  <c r="BS111" i="33"/>
  <c r="BS116" i="33"/>
  <c r="BS122" i="33"/>
  <c r="BS127" i="33"/>
  <c r="BS132" i="33"/>
  <c r="BS138" i="33"/>
  <c r="BS143" i="33"/>
  <c r="BS148" i="33"/>
  <c r="BS154" i="33"/>
  <c r="BS159" i="33"/>
  <c r="BS164" i="33"/>
  <c r="BS170" i="33"/>
  <c r="BS175" i="33"/>
  <c r="BS180" i="33"/>
  <c r="BS186" i="33"/>
  <c r="BS191" i="33"/>
  <c r="BS196" i="33"/>
  <c r="BS202" i="33"/>
  <c r="BS207" i="33"/>
  <c r="BS212" i="33"/>
  <c r="BS218" i="33"/>
  <c r="BS223" i="33"/>
  <c r="BS228" i="33"/>
  <c r="BS234" i="33"/>
  <c r="BS239" i="33"/>
  <c r="BS244" i="33"/>
  <c r="BS250" i="33"/>
  <c r="BS255" i="33"/>
  <c r="BV259" i="33"/>
  <c r="BS264" i="33"/>
  <c r="BS269" i="33"/>
  <c r="BV273" i="33"/>
  <c r="BS278" i="33"/>
  <c r="BV282" i="33"/>
  <c r="BS287" i="33"/>
  <c r="BV291" i="33"/>
  <c r="BS296" i="33"/>
  <c r="BS301" i="33"/>
  <c r="BV305" i="33"/>
  <c r="BS310" i="33"/>
  <c r="BV314" i="33"/>
  <c r="BS319" i="33"/>
  <c r="BV323" i="33"/>
  <c r="BS328" i="33"/>
  <c r="BS333" i="33"/>
  <c r="BV337" i="33"/>
  <c r="BS342" i="33"/>
  <c r="BV346" i="33"/>
  <c r="BS351" i="33"/>
  <c r="BV355" i="33"/>
  <c r="BS360" i="33"/>
  <c r="BV364" i="33"/>
  <c r="BV368" i="33"/>
  <c r="BV372" i="33"/>
  <c r="BV376" i="33"/>
  <c r="BV380" i="33"/>
  <c r="BV384" i="33"/>
  <c r="BV388" i="33"/>
  <c r="BV392" i="33"/>
  <c r="BV396" i="33"/>
  <c r="BV400" i="33"/>
  <c r="BV404" i="33"/>
  <c r="BV408" i="33"/>
  <c r="BV412" i="33"/>
  <c r="BV416" i="33"/>
  <c r="BV420" i="33"/>
  <c r="BV424" i="33"/>
  <c r="BV428" i="33"/>
  <c r="BV432" i="33"/>
  <c r="BV436" i="33"/>
  <c r="BV440" i="33"/>
  <c r="BV444" i="33"/>
  <c r="BV448" i="33"/>
  <c r="BV452" i="33"/>
  <c r="BV456" i="33"/>
  <c r="BV460" i="33"/>
  <c r="BV464" i="33"/>
  <c r="BV468" i="33"/>
  <c r="BV472" i="33"/>
  <c r="BV476" i="33"/>
  <c r="BV480" i="33"/>
  <c r="BV484" i="33"/>
  <c r="BV488" i="33"/>
  <c r="BV492" i="33"/>
  <c r="BV496" i="33"/>
  <c r="BV500" i="33"/>
  <c r="BV504" i="33"/>
  <c r="BV508" i="33"/>
  <c r="BV512" i="33"/>
  <c r="BV516" i="33"/>
  <c r="BV520" i="33"/>
  <c r="BV524" i="33"/>
  <c r="BV528" i="33"/>
  <c r="BV532" i="33"/>
  <c r="BV536" i="33"/>
  <c r="BV540" i="33"/>
  <c r="BV544" i="33"/>
  <c r="BV548" i="33"/>
  <c r="BV552" i="33"/>
  <c r="BV556" i="33"/>
  <c r="BV560" i="33"/>
  <c r="BV564" i="33"/>
  <c r="BV568" i="33"/>
  <c r="BV572" i="33"/>
  <c r="BV576" i="33"/>
  <c r="BV580" i="33"/>
  <c r="BV584" i="33"/>
  <c r="BV588" i="33"/>
  <c r="BV592" i="33"/>
  <c r="BV596" i="33"/>
  <c r="BV600" i="33"/>
  <c r="BV604" i="33"/>
  <c r="BV608" i="33"/>
  <c r="BV612" i="33"/>
  <c r="BV616" i="33"/>
  <c r="BV620" i="33"/>
  <c r="BV624" i="33"/>
  <c r="BV628" i="33"/>
  <c r="BV632" i="33"/>
  <c r="BV636" i="33"/>
  <c r="BV640" i="33"/>
  <c r="BV644" i="33"/>
  <c r="BV648" i="33"/>
  <c r="BV652" i="33"/>
  <c r="BV656" i="33"/>
  <c r="BV660" i="33"/>
  <c r="BV664" i="33"/>
  <c r="BV668" i="33"/>
  <c r="BV672" i="33"/>
  <c r="BV676" i="33"/>
  <c r="BV680" i="33"/>
  <c r="BV684" i="33"/>
  <c r="BV688" i="33"/>
  <c r="BV692" i="33"/>
  <c r="BV696" i="33"/>
  <c r="BV700" i="33"/>
  <c r="BV704" i="33"/>
  <c r="BV708" i="33"/>
  <c r="BV712" i="33"/>
  <c r="BV716" i="33"/>
  <c r="BV720" i="33"/>
  <c r="BV724" i="33"/>
  <c r="BV728" i="33"/>
  <c r="BV732" i="33"/>
  <c r="BV736" i="33"/>
  <c r="BV740" i="33"/>
  <c r="BV744" i="33"/>
  <c r="BV748" i="33"/>
  <c r="BV752" i="33"/>
  <c r="BV756" i="33"/>
  <c r="BV760" i="33"/>
  <c r="BS8" i="33"/>
  <c r="BS30" i="33"/>
  <c r="BS51" i="33"/>
  <c r="BS72" i="33"/>
  <c r="BS94" i="33"/>
  <c r="BS115" i="33"/>
  <c r="BS136" i="33"/>
  <c r="BS158" i="33"/>
  <c r="BS179" i="33"/>
  <c r="BS200" i="33"/>
  <c r="BS222" i="33"/>
  <c r="BS243" i="33"/>
  <c r="BS263" i="33"/>
  <c r="BV281" i="33"/>
  <c r="BV299" i="33"/>
  <c r="BS318" i="33"/>
  <c r="BS336" i="33"/>
  <c r="BV354" i="33"/>
  <c r="BV371" i="33"/>
  <c r="BV387" i="33"/>
  <c r="BV403" i="33"/>
  <c r="BV419" i="33"/>
  <c r="BV435" i="33"/>
  <c r="BV451" i="33"/>
  <c r="BV467" i="33"/>
  <c r="BV483" i="33"/>
  <c r="BV499" i="33"/>
  <c r="BV515" i="33"/>
  <c r="BV531" i="33"/>
  <c r="BV547" i="33"/>
  <c r="BV563" i="33"/>
  <c r="BV579" i="33"/>
  <c r="BV595" i="33"/>
  <c r="BV611" i="33"/>
  <c r="BV627" i="33"/>
  <c r="BV643" i="33"/>
  <c r="BV659" i="33"/>
  <c r="BV675" i="33"/>
  <c r="BV691" i="33"/>
  <c r="BV707" i="33"/>
  <c r="BV723" i="33"/>
  <c r="BV739" i="33"/>
  <c r="BV755" i="33"/>
  <c r="BS763" i="33"/>
  <c r="BS767" i="33"/>
  <c r="BS771" i="33"/>
  <c r="BS775" i="33"/>
  <c r="BS779" i="33"/>
  <c r="BS783" i="33"/>
  <c r="BS787" i="33"/>
  <c r="BS791" i="33"/>
  <c r="BS795" i="33"/>
  <c r="BS799" i="33"/>
  <c r="BS803" i="33"/>
  <c r="BS807" i="33"/>
  <c r="BS811" i="33"/>
  <c r="BS815" i="33"/>
  <c r="BS819" i="33"/>
  <c r="BS823" i="33"/>
  <c r="BS827" i="33"/>
  <c r="BS831" i="33"/>
  <c r="BS835" i="33"/>
  <c r="BS839" i="33"/>
  <c r="BS843" i="33"/>
  <c r="BS847" i="33"/>
  <c r="BS851" i="33"/>
  <c r="BS855" i="33"/>
  <c r="BS859" i="33"/>
  <c r="BS863" i="33"/>
  <c r="BS867" i="33"/>
  <c r="BS871" i="33"/>
  <c r="BS875" i="33"/>
  <c r="BS879" i="33"/>
  <c r="BS883" i="33"/>
  <c r="BS887" i="33"/>
  <c r="BS891" i="33"/>
  <c r="BS895" i="33"/>
  <c r="BS899" i="33"/>
  <c r="BS903" i="33"/>
  <c r="BS907" i="33"/>
  <c r="BS911" i="33"/>
  <c r="BS915" i="33"/>
  <c r="BS919" i="33"/>
  <c r="BS923" i="33"/>
  <c r="BS927" i="33"/>
  <c r="BS931" i="33"/>
  <c r="BS935" i="33"/>
  <c r="BS939" i="33"/>
  <c r="BS943" i="33"/>
  <c r="BS947" i="33"/>
  <c r="BS951" i="33"/>
  <c r="BS955" i="33"/>
  <c r="BS959" i="33"/>
  <c r="BS963" i="33"/>
  <c r="BS967" i="33"/>
  <c r="BS971" i="33"/>
  <c r="BS975" i="33"/>
  <c r="BS979" i="33"/>
  <c r="BS983" i="33"/>
  <c r="BS987" i="33"/>
  <c r="BS991" i="33"/>
  <c r="BS995" i="33"/>
  <c r="BS999" i="33"/>
  <c r="BS1003" i="33"/>
  <c r="BP1002" i="33"/>
  <c r="BP998" i="33"/>
  <c r="BP994" i="33"/>
  <c r="BP990" i="33"/>
  <c r="BP986" i="33"/>
  <c r="BP982" i="33"/>
  <c r="BP978" i="33"/>
  <c r="BP974" i="33"/>
  <c r="BP970" i="33"/>
  <c r="BP966" i="33"/>
  <c r="BP962" i="33"/>
  <c r="BP958" i="33"/>
  <c r="BP954" i="33"/>
  <c r="BP950" i="33"/>
  <c r="BP946" i="33"/>
  <c r="BP942" i="33"/>
  <c r="BP938" i="33"/>
  <c r="BP934" i="33"/>
  <c r="BP930" i="33"/>
  <c r="BP926" i="33"/>
  <c r="BP922" i="33"/>
  <c r="BP918" i="33"/>
  <c r="BP914" i="33"/>
  <c r="BP910" i="33"/>
  <c r="BP906" i="33"/>
  <c r="BP902" i="33"/>
  <c r="BP898" i="33"/>
  <c r="BP894" i="33"/>
  <c r="BP890" i="33"/>
  <c r="BP886" i="33"/>
  <c r="BP882" i="33"/>
  <c r="BP878" i="33"/>
  <c r="BP874" i="33"/>
  <c r="BP870" i="33"/>
  <c r="BP866" i="33"/>
  <c r="BP862" i="33"/>
  <c r="BP858" i="33"/>
  <c r="BP854" i="33"/>
  <c r="BP850" i="33"/>
  <c r="BP846" i="33"/>
  <c r="BP842" i="33"/>
  <c r="BP838" i="33"/>
  <c r="BP834" i="33"/>
  <c r="BP830" i="33"/>
  <c r="BP826" i="33"/>
  <c r="BP822" i="33"/>
  <c r="BP818" i="33"/>
  <c r="BP814" i="33"/>
  <c r="BP810" i="33"/>
  <c r="BP806" i="33"/>
  <c r="BP802" i="33"/>
  <c r="BP798" i="33"/>
  <c r="BP794" i="33"/>
  <c r="BP790" i="33"/>
  <c r="BP786" i="33"/>
  <c r="BP782" i="33"/>
  <c r="BP778" i="33"/>
  <c r="BP774" i="33"/>
  <c r="BP770" i="33"/>
  <c r="BP766" i="33"/>
  <c r="BP762" i="33"/>
  <c r="BP758" i="33"/>
  <c r="BP754" i="33"/>
  <c r="BP750" i="33"/>
  <c r="BP746" i="33"/>
  <c r="BP742" i="33"/>
  <c r="BP738" i="33"/>
  <c r="BS12" i="33"/>
  <c r="BS34" i="33"/>
  <c r="BS55" i="33"/>
  <c r="BS76" i="33"/>
  <c r="BS98" i="33"/>
  <c r="BS119" i="33"/>
  <c r="BS140" i="33"/>
  <c r="BS162" i="33"/>
  <c r="BS183" i="33"/>
  <c r="BS204" i="33"/>
  <c r="BS226" i="33"/>
  <c r="BS247" i="33"/>
  <c r="BV266" i="33"/>
  <c r="BS285" i="33"/>
  <c r="BS303" i="33"/>
  <c r="BV321" i="33"/>
  <c r="BV339" i="33"/>
  <c r="BS358" i="33"/>
  <c r="BV374" i="33"/>
  <c r="BV390" i="33"/>
  <c r="BV406" i="33"/>
  <c r="BV422" i="33"/>
  <c r="BV438" i="33"/>
  <c r="BV454" i="33"/>
  <c r="BV470" i="33"/>
  <c r="BV486" i="33"/>
  <c r="BV502" i="33"/>
  <c r="BV518" i="33"/>
  <c r="BV534" i="33"/>
  <c r="BV550" i="33"/>
  <c r="BV566" i="33"/>
  <c r="BV582" i="33"/>
  <c r="BV598" i="33"/>
  <c r="BV614" i="33"/>
  <c r="BV630" i="33"/>
  <c r="BV646" i="33"/>
  <c r="BV662" i="33"/>
  <c r="BV678" i="33"/>
  <c r="BV694" i="33"/>
  <c r="BV710" i="33"/>
  <c r="BV726" i="33"/>
  <c r="BV742" i="33"/>
  <c r="BV758" i="33"/>
  <c r="BV763" i="33"/>
  <c r="BV767" i="33"/>
  <c r="BV771" i="33"/>
  <c r="BV775" i="33"/>
  <c r="BV779" i="33"/>
  <c r="BV783" i="33"/>
  <c r="BV787" i="33"/>
  <c r="BV791" i="33"/>
  <c r="BV795" i="33"/>
  <c r="BV799" i="33"/>
  <c r="BV803" i="33"/>
  <c r="BV807" i="33"/>
  <c r="BV811" i="33"/>
  <c r="BV815" i="33"/>
  <c r="BV819" i="33"/>
  <c r="BV823" i="33"/>
  <c r="BV827" i="33"/>
  <c r="BV831" i="33"/>
  <c r="BV835" i="33"/>
  <c r="BV839" i="33"/>
  <c r="BV843" i="33"/>
  <c r="BV847" i="33"/>
  <c r="BV851" i="33"/>
  <c r="BV855" i="33"/>
  <c r="BV859" i="33"/>
  <c r="BV863" i="33"/>
  <c r="BV867" i="33"/>
  <c r="BV871" i="33"/>
  <c r="BV875" i="33"/>
  <c r="BV879" i="33"/>
  <c r="BV883" i="33"/>
  <c r="BV887" i="33"/>
  <c r="BV891" i="33"/>
  <c r="BV895" i="33"/>
  <c r="BV899" i="33"/>
  <c r="BV903" i="33"/>
  <c r="BV907" i="33"/>
  <c r="BV911" i="33"/>
  <c r="BV915" i="33"/>
  <c r="BV919" i="33"/>
  <c r="BV923" i="33"/>
  <c r="BV927" i="33"/>
  <c r="BV931" i="33"/>
  <c r="BV935" i="33"/>
  <c r="BV939" i="33"/>
  <c r="BV943" i="33"/>
  <c r="BV947" i="33"/>
  <c r="BV951" i="33"/>
  <c r="BV955" i="33"/>
  <c r="BV959" i="33"/>
  <c r="BV963" i="33"/>
  <c r="BV967" i="33"/>
  <c r="BV971" i="33"/>
  <c r="BV975" i="33"/>
  <c r="BV979" i="33"/>
  <c r="BV983" i="33"/>
  <c r="BV987" i="33"/>
  <c r="BV991" i="33"/>
  <c r="BV995" i="33"/>
  <c r="BV999" i="33"/>
  <c r="BV1003" i="33"/>
  <c r="BM1002" i="33"/>
  <c r="BM998" i="33"/>
  <c r="BM994" i="33"/>
  <c r="BM990" i="33"/>
  <c r="BM986" i="33"/>
  <c r="BM982" i="33"/>
  <c r="BM978" i="33"/>
  <c r="BM974" i="33"/>
  <c r="BM970" i="33"/>
  <c r="BM966" i="33"/>
  <c r="BM962" i="33"/>
  <c r="BM958" i="33"/>
  <c r="BM954" i="33"/>
  <c r="BM950" i="33"/>
  <c r="BM946" i="33"/>
  <c r="BM942" i="33"/>
  <c r="BM938" i="33"/>
  <c r="BM934" i="33"/>
  <c r="BM930" i="33"/>
  <c r="BM926" i="33"/>
  <c r="BM922" i="33"/>
  <c r="BM918" i="33"/>
  <c r="BM914" i="33"/>
  <c r="BM910" i="33"/>
  <c r="BM906" i="33"/>
  <c r="BM902" i="33"/>
  <c r="BM898" i="33"/>
  <c r="BM894" i="33"/>
  <c r="BM890" i="33"/>
  <c r="BM886" i="33"/>
  <c r="BM882" i="33"/>
  <c r="BM878" i="33"/>
  <c r="BM874" i="33"/>
  <c r="BM870" i="33"/>
  <c r="BM866" i="33"/>
  <c r="BM862" i="33"/>
  <c r="BM858" i="33"/>
  <c r="BM854" i="33"/>
  <c r="BM850" i="33"/>
  <c r="BM846" i="33"/>
  <c r="BM842" i="33"/>
  <c r="BM838" i="33"/>
  <c r="BM834" i="33"/>
  <c r="BM830" i="33"/>
  <c r="BM826" i="33"/>
  <c r="BM822" i="33"/>
  <c r="BM818" i="33"/>
  <c r="BM814" i="33"/>
  <c r="BM810" i="33"/>
  <c r="BM806" i="33"/>
  <c r="BM802" i="33"/>
  <c r="BM798" i="33"/>
  <c r="BM794" i="33"/>
  <c r="BM790" i="33"/>
  <c r="BM786" i="33"/>
  <c r="BM782" i="33"/>
  <c r="BM778" i="33"/>
  <c r="BM774" i="33"/>
  <c r="BM770" i="33"/>
  <c r="BM766" i="33"/>
  <c r="BM762" i="33"/>
  <c r="BM758" i="33"/>
  <c r="BM754" i="33"/>
  <c r="BM750" i="33"/>
  <c r="BM746" i="33"/>
  <c r="BM742" i="33"/>
  <c r="BM738" i="33"/>
  <c r="BS14" i="33"/>
  <c r="BS35" i="33"/>
  <c r="BS56" i="33"/>
  <c r="BS78" i="33"/>
  <c r="BS99" i="33"/>
  <c r="BS120" i="33"/>
  <c r="BS142" i="33"/>
  <c r="BS163" i="33"/>
  <c r="BS184" i="33"/>
  <c r="BS206" i="33"/>
  <c r="BS227" i="33"/>
  <c r="BS248" i="33"/>
  <c r="BV267" i="33"/>
  <c r="BS286" i="33"/>
  <c r="BS304" i="33"/>
  <c r="BV322" i="33"/>
  <c r="BS341" i="33"/>
  <c r="BS359" i="33"/>
  <c r="BV375" i="33"/>
  <c r="BV391" i="33"/>
  <c r="BV407" i="33"/>
  <c r="BV423" i="33"/>
  <c r="BV439" i="33"/>
  <c r="BV455" i="33"/>
  <c r="BV471" i="33"/>
  <c r="BV487" i="33"/>
  <c r="BV503" i="33"/>
  <c r="BV519" i="33"/>
  <c r="BV535" i="33"/>
  <c r="BV551" i="33"/>
  <c r="BV567" i="33"/>
  <c r="BV583" i="33"/>
  <c r="BV599" i="33"/>
  <c r="BV615" i="33"/>
  <c r="BV631" i="33"/>
  <c r="BV647" i="33"/>
  <c r="BV663" i="33"/>
  <c r="BV679" i="33"/>
  <c r="BV695" i="33"/>
  <c r="BV711" i="33"/>
  <c r="BV727" i="33"/>
  <c r="BV743" i="33"/>
  <c r="BV759" i="33"/>
  <c r="BS764" i="33"/>
  <c r="BS768" i="33"/>
  <c r="BS772" i="33"/>
  <c r="BS776" i="33"/>
  <c r="BS780" i="33"/>
  <c r="BS784" i="33"/>
  <c r="BS788" i="33"/>
  <c r="BS792" i="33"/>
  <c r="BS796" i="33"/>
  <c r="BS800" i="33"/>
  <c r="BS804" i="33"/>
  <c r="BS808" i="33"/>
  <c r="BS812" i="33"/>
  <c r="BS816" i="33"/>
  <c r="BS820" i="33"/>
  <c r="BS824" i="33"/>
  <c r="BS828" i="33"/>
  <c r="BS832" i="33"/>
  <c r="BS836" i="33"/>
  <c r="BS840" i="33"/>
  <c r="BS844" i="33"/>
  <c r="BS848" i="33"/>
  <c r="BS852" i="33"/>
  <c r="BS856" i="33"/>
  <c r="BS860" i="33"/>
  <c r="BS864" i="33"/>
  <c r="BS868" i="33"/>
  <c r="BS872" i="33"/>
  <c r="BS876" i="33"/>
  <c r="BS880" i="33"/>
  <c r="BS884" i="33"/>
  <c r="BS888" i="33"/>
  <c r="BS892" i="33"/>
  <c r="BS896" i="33"/>
  <c r="BS900" i="33"/>
  <c r="BS904" i="33"/>
  <c r="BS908" i="33"/>
  <c r="BS912" i="33"/>
  <c r="BS916" i="33"/>
  <c r="BS920" i="33"/>
  <c r="BS924" i="33"/>
  <c r="BS928" i="33"/>
  <c r="BS932" i="33"/>
  <c r="BS936" i="33"/>
  <c r="BS940" i="33"/>
  <c r="BS944" i="33"/>
  <c r="BS948" i="33"/>
  <c r="BS952" i="33"/>
  <c r="BS956" i="33"/>
  <c r="BS960" i="33"/>
  <c r="BS964" i="33"/>
  <c r="BS968" i="33"/>
  <c r="BS972" i="33"/>
  <c r="BS976" i="33"/>
  <c r="BS980" i="33"/>
  <c r="BS984" i="33"/>
  <c r="BS988" i="33"/>
  <c r="BS992" i="33"/>
  <c r="BS996" i="33"/>
  <c r="BS1000" i="33"/>
  <c r="BS1004" i="33"/>
  <c r="BP1001" i="33"/>
  <c r="BP997" i="33"/>
  <c r="BP993" i="33"/>
  <c r="BP989" i="33"/>
  <c r="BP985" i="33"/>
  <c r="BP981" i="33"/>
  <c r="BP977" i="33"/>
  <c r="BP973" i="33"/>
  <c r="BP969" i="33"/>
  <c r="BP965" i="33"/>
  <c r="BP961" i="33"/>
  <c r="BP957" i="33"/>
  <c r="BP953" i="33"/>
  <c r="BP949" i="33"/>
  <c r="BP945" i="33"/>
  <c r="BP941" i="33"/>
  <c r="BP937" i="33"/>
  <c r="BP933" i="33"/>
  <c r="BP929" i="33"/>
  <c r="BP925" i="33"/>
  <c r="BP921" i="33"/>
  <c r="BP917" i="33"/>
  <c r="BP913" i="33"/>
  <c r="BP909" i="33"/>
  <c r="BP905" i="33"/>
  <c r="BP901" i="33"/>
  <c r="BP897" i="33"/>
  <c r="BP893" i="33"/>
  <c r="BP889" i="33"/>
  <c r="BP885" i="33"/>
  <c r="BP881" i="33"/>
  <c r="BP877" i="33"/>
  <c r="BP873" i="33"/>
  <c r="BP869" i="33"/>
  <c r="BP865" i="33"/>
  <c r="BP861" i="33"/>
  <c r="BP857" i="33"/>
  <c r="BP853" i="33"/>
  <c r="BP849" i="33"/>
  <c r="BP845" i="33"/>
  <c r="BP841" i="33"/>
  <c r="BP837" i="33"/>
  <c r="BP833" i="33"/>
  <c r="BP829" i="33"/>
  <c r="BP825" i="33"/>
  <c r="BP821" i="33"/>
  <c r="BP817" i="33"/>
  <c r="BP813" i="33"/>
  <c r="BP809" i="33"/>
  <c r="BP805" i="33"/>
  <c r="BP801" i="33"/>
  <c r="BP797" i="33"/>
  <c r="BP793" i="33"/>
  <c r="BP789" i="33"/>
  <c r="BP785" i="33"/>
  <c r="BP781" i="33"/>
  <c r="BP777" i="33"/>
  <c r="BP773" i="33"/>
  <c r="BP769" i="33"/>
  <c r="BP765" i="33"/>
  <c r="BP761" i="33"/>
  <c r="BP757" i="33"/>
  <c r="BP753" i="33"/>
  <c r="BS18" i="33"/>
  <c r="BS39" i="33"/>
  <c r="BS60" i="33"/>
  <c r="BS82" i="33"/>
  <c r="BS103" i="33"/>
  <c r="BS124" i="33"/>
  <c r="BS146" i="33"/>
  <c r="BS167" i="33"/>
  <c r="BS188" i="33"/>
  <c r="BS210" i="33"/>
  <c r="BS231" i="33"/>
  <c r="BS252" i="33"/>
  <c r="BS271" i="33"/>
  <c r="BV289" i="33"/>
  <c r="BV307" i="33"/>
  <c r="BS326" i="33"/>
  <c r="BS344" i="33"/>
  <c r="BV362" i="33"/>
  <c r="BV378" i="33"/>
  <c r="BV394" i="33"/>
  <c r="BV410" i="33"/>
  <c r="BV426" i="33"/>
  <c r="BV442" i="33"/>
  <c r="BV458" i="33"/>
  <c r="BV474" i="33"/>
  <c r="BV490" i="33"/>
  <c r="BV506" i="33"/>
  <c r="BV522" i="33"/>
  <c r="BV538" i="33"/>
  <c r="BV554" i="33"/>
  <c r="BV570" i="33"/>
  <c r="BV586" i="33"/>
  <c r="BV602" i="33"/>
  <c r="BV618" i="33"/>
  <c r="BV634" i="33"/>
  <c r="BV650" i="33"/>
  <c r="BV666" i="33"/>
  <c r="BV682" i="33"/>
  <c r="BV698" i="33"/>
  <c r="BV714" i="33"/>
  <c r="BV730" i="33"/>
  <c r="BV746" i="33"/>
  <c r="BS760" i="33"/>
  <c r="BV764" i="33"/>
  <c r="BV768" i="33"/>
  <c r="BV772" i="33"/>
  <c r="BV776" i="33"/>
  <c r="BV780" i="33"/>
  <c r="BV784" i="33"/>
  <c r="BV788" i="33"/>
  <c r="BV792" i="33"/>
  <c r="BV796" i="33"/>
  <c r="BV800" i="33"/>
  <c r="BV804" i="33"/>
  <c r="BV808" i="33"/>
  <c r="BV812" i="33"/>
  <c r="BV816" i="33"/>
  <c r="BV820" i="33"/>
  <c r="BV824" i="33"/>
  <c r="BV828" i="33"/>
  <c r="BV832" i="33"/>
  <c r="BV836" i="33"/>
  <c r="BV840" i="33"/>
  <c r="BV844" i="33"/>
  <c r="BV848" i="33"/>
  <c r="BV852" i="33"/>
  <c r="BV856" i="33"/>
  <c r="BV860" i="33"/>
  <c r="BV864" i="33"/>
  <c r="BV868" i="33"/>
  <c r="BV872" i="33"/>
  <c r="BV876" i="33"/>
  <c r="BV880" i="33"/>
  <c r="BV884" i="33"/>
  <c r="BV888" i="33"/>
  <c r="BV892" i="33"/>
  <c r="BV896" i="33"/>
  <c r="BV900" i="33"/>
  <c r="BV904" i="33"/>
  <c r="BV908" i="33"/>
  <c r="BV912" i="33"/>
  <c r="BV916" i="33"/>
  <c r="BV920" i="33"/>
  <c r="BV924" i="33"/>
  <c r="BV928" i="33"/>
  <c r="BV932" i="33"/>
  <c r="BV936" i="33"/>
  <c r="BV940" i="33"/>
  <c r="BV944" i="33"/>
  <c r="BV948" i="33"/>
  <c r="BV952" i="33"/>
  <c r="BV956" i="33"/>
  <c r="BV960" i="33"/>
  <c r="BV964" i="33"/>
  <c r="BV968" i="33"/>
  <c r="BV972" i="33"/>
  <c r="BV976" i="33"/>
  <c r="BV980" i="33"/>
  <c r="BV984" i="33"/>
  <c r="BV988" i="33"/>
  <c r="BV992" i="33"/>
  <c r="BV996" i="33"/>
  <c r="BV1000" i="33"/>
  <c r="BV1004" i="33"/>
  <c r="BM1001" i="33"/>
  <c r="BM997" i="33"/>
  <c r="BM993" i="33"/>
  <c r="BM989" i="33"/>
  <c r="BM985" i="33"/>
  <c r="BM981" i="33"/>
  <c r="BM977" i="33"/>
  <c r="BM973" i="33"/>
  <c r="BM969" i="33"/>
  <c r="BM965" i="33"/>
  <c r="BM961" i="33"/>
  <c r="BM957" i="33"/>
  <c r="BM953" i="33"/>
  <c r="BM949" i="33"/>
  <c r="BM945" i="33"/>
  <c r="BM941" i="33"/>
  <c r="BM937" i="33"/>
  <c r="BM933" i="33"/>
  <c r="BM929" i="33"/>
  <c r="BM925" i="33"/>
  <c r="BM921" i="33"/>
  <c r="BM917" i="33"/>
  <c r="BM913" i="33"/>
  <c r="BM909" i="33"/>
  <c r="BM905" i="33"/>
  <c r="BM901" i="33"/>
  <c r="BM897" i="33"/>
  <c r="BM893" i="33"/>
  <c r="BM889" i="33"/>
  <c r="BM885" i="33"/>
  <c r="BM881" i="33"/>
  <c r="BM877" i="33"/>
  <c r="BM873" i="33"/>
  <c r="BM869" i="33"/>
  <c r="BM865" i="33"/>
  <c r="BM861" i="33"/>
  <c r="BM857" i="33"/>
  <c r="BM853" i="33"/>
  <c r="BM849" i="33"/>
  <c r="BM845" i="33"/>
  <c r="BM841" i="33"/>
  <c r="BM837" i="33"/>
  <c r="BM833" i="33"/>
  <c r="BM829" i="33"/>
  <c r="BM825" i="33"/>
  <c r="BM821" i="33"/>
  <c r="BM817" i="33"/>
  <c r="BM813" i="33"/>
  <c r="BM809" i="33"/>
  <c r="BM805" i="33"/>
  <c r="BM801" i="33"/>
  <c r="BM797" i="33"/>
  <c r="BM793" i="33"/>
  <c r="BM789" i="33"/>
  <c r="BM785" i="33"/>
  <c r="BM781" i="33"/>
  <c r="BM777" i="33"/>
  <c r="BM773" i="33"/>
  <c r="BM769" i="33"/>
  <c r="BM765" i="33"/>
  <c r="BM761" i="33"/>
  <c r="BM757" i="33"/>
  <c r="BM753" i="33"/>
  <c r="BM749" i="33"/>
  <c r="BM745" i="33"/>
  <c r="BM741" i="33"/>
  <c r="BM737" i="33"/>
  <c r="BM733" i="33"/>
  <c r="BM729" i="33"/>
  <c r="BM725" i="33"/>
  <c r="BM721" i="33"/>
  <c r="BM717" i="33"/>
  <c r="BM713" i="33"/>
  <c r="BM709" i="33"/>
  <c r="BM705" i="33"/>
  <c r="BM701" i="33"/>
  <c r="BS19" i="33"/>
  <c r="BS40" i="33"/>
  <c r="BS62" i="33"/>
  <c r="BS83" i="33"/>
  <c r="BS104" i="33"/>
  <c r="BS126" i="33"/>
  <c r="BS147" i="33"/>
  <c r="BS168" i="33"/>
  <c r="BS190" i="33"/>
  <c r="BS211" i="33"/>
  <c r="BS232" i="33"/>
  <c r="BS254" i="33"/>
  <c r="BS272" i="33"/>
  <c r="BV290" i="33"/>
  <c r="BS309" i="33"/>
  <c r="BS327" i="33"/>
  <c r="BV345" i="33"/>
  <c r="BV363" i="33"/>
  <c r="BV379" i="33"/>
  <c r="BV395" i="33"/>
  <c r="BV411" i="33"/>
  <c r="BV427" i="33"/>
  <c r="BV443" i="33"/>
  <c r="BV459" i="33"/>
  <c r="BV475" i="33"/>
  <c r="BV491" i="33"/>
  <c r="BV507" i="33"/>
  <c r="BV523" i="33"/>
  <c r="BV539" i="33"/>
  <c r="BV555" i="33"/>
  <c r="BV571" i="33"/>
  <c r="BV587" i="33"/>
  <c r="BV603" i="33"/>
  <c r="BV619" i="33"/>
  <c r="BV635" i="33"/>
  <c r="BV651" i="33"/>
  <c r="BV667" i="33"/>
  <c r="BV683" i="33"/>
  <c r="BV699" i="33"/>
  <c r="BV715" i="33"/>
  <c r="BV731" i="33"/>
  <c r="BV747" i="33"/>
  <c r="BS761" i="33"/>
  <c r="BS765" i="33"/>
  <c r="BS769" i="33"/>
  <c r="BS773" i="33"/>
  <c r="BS777" i="33"/>
  <c r="BS781" i="33"/>
  <c r="BS785" i="33"/>
  <c r="BS789" i="33"/>
  <c r="BS793" i="33"/>
  <c r="BS797" i="33"/>
  <c r="BS801" i="33"/>
  <c r="BS805" i="33"/>
  <c r="BS809" i="33"/>
  <c r="BS813" i="33"/>
  <c r="BS817" i="33"/>
  <c r="BS821" i="33"/>
  <c r="BS825" i="33"/>
  <c r="BS829" i="33"/>
  <c r="BS833" i="33"/>
  <c r="BS837" i="33"/>
  <c r="BS841" i="33"/>
  <c r="BS845" i="33"/>
  <c r="BS849" i="33"/>
  <c r="BS853" i="33"/>
  <c r="BS857" i="33"/>
  <c r="BS861" i="33"/>
  <c r="BS865" i="33"/>
  <c r="BS869" i="33"/>
  <c r="BS873" i="33"/>
  <c r="BS877" i="33"/>
  <c r="BS881" i="33"/>
  <c r="BS885" i="33"/>
  <c r="BS889" i="33"/>
  <c r="BS893" i="33"/>
  <c r="BS897" i="33"/>
  <c r="BS901" i="33"/>
  <c r="BS905" i="33"/>
  <c r="BS909" i="33"/>
  <c r="BS913" i="33"/>
  <c r="BS917" i="33"/>
  <c r="BS921" i="33"/>
  <c r="BS925" i="33"/>
  <c r="BS929" i="33"/>
  <c r="BS933" i="33"/>
  <c r="BS937" i="33"/>
  <c r="BS941" i="33"/>
  <c r="BS945" i="33"/>
  <c r="BS949" i="33"/>
  <c r="BS953" i="33"/>
  <c r="BS957" i="33"/>
  <c r="BS961" i="33"/>
  <c r="BS965" i="33"/>
  <c r="BS969" i="33"/>
  <c r="BS973" i="33"/>
  <c r="BS977" i="33"/>
  <c r="BS981" i="33"/>
  <c r="BS985" i="33"/>
  <c r="BS989" i="33"/>
  <c r="BS993" i="33"/>
  <c r="BS997" i="33"/>
  <c r="BS1001" i="33"/>
  <c r="BP1004" i="33"/>
  <c r="BP1000" i="33"/>
  <c r="BP996" i="33"/>
  <c r="BP992" i="33"/>
  <c r="BP988" i="33"/>
  <c r="BP984" i="33"/>
  <c r="BP980" i="33"/>
  <c r="BP976" i="33"/>
  <c r="BP972" i="33"/>
  <c r="BP968" i="33"/>
  <c r="BP964" i="33"/>
  <c r="BP960" i="33"/>
  <c r="BP956" i="33"/>
  <c r="BP952" i="33"/>
  <c r="BP948" i="33"/>
  <c r="BP944" i="33"/>
  <c r="BP940" i="33"/>
  <c r="BP936" i="33"/>
  <c r="BP932" i="33"/>
  <c r="BP928" i="33"/>
  <c r="BP924" i="33"/>
  <c r="BP920" i="33"/>
  <c r="BP916" i="33"/>
  <c r="BP912" i="33"/>
  <c r="BP908" i="33"/>
  <c r="BP904" i="33"/>
  <c r="BP900" i="33"/>
  <c r="BP896" i="33"/>
  <c r="BP892" i="33"/>
  <c r="BP888" i="33"/>
  <c r="BP884" i="33"/>
  <c r="BP880" i="33"/>
  <c r="BP876" i="33"/>
  <c r="BP872" i="33"/>
  <c r="BP868" i="33"/>
  <c r="BP864" i="33"/>
  <c r="BP860" i="33"/>
  <c r="BP856" i="33"/>
  <c r="BP852" i="33"/>
  <c r="BP848" i="33"/>
  <c r="BP844" i="33"/>
  <c r="BP840" i="33"/>
  <c r="BP836" i="33"/>
  <c r="BP832" i="33"/>
  <c r="BP828" i="33"/>
  <c r="BP824" i="33"/>
  <c r="BP820" i="33"/>
  <c r="BP816" i="33"/>
  <c r="BP812" i="33"/>
  <c r="BP808" i="33"/>
  <c r="BP804" i="33"/>
  <c r="BP800" i="33"/>
  <c r="BP796" i="33"/>
  <c r="BP792" i="33"/>
  <c r="BP788" i="33"/>
  <c r="BP784" i="33"/>
  <c r="BP780" i="33"/>
  <c r="BP776" i="33"/>
  <c r="BP772" i="33"/>
  <c r="BP768" i="33"/>
  <c r="BP764" i="33"/>
  <c r="BP760" i="33"/>
  <c r="BP756" i="33"/>
  <c r="BP752" i="33"/>
  <c r="BP748" i="33"/>
  <c r="BP744" i="33"/>
  <c r="BP740" i="33"/>
  <c r="BS23" i="33"/>
  <c r="BS44" i="33"/>
  <c r="BS66" i="33"/>
  <c r="BS87" i="33"/>
  <c r="BS108" i="33"/>
  <c r="BS130" i="33"/>
  <c r="BS151" i="33"/>
  <c r="BS172" i="33"/>
  <c r="BS194" i="33"/>
  <c r="BS215" i="33"/>
  <c r="BS236" i="33"/>
  <c r="BV257" i="33"/>
  <c r="BV275" i="33"/>
  <c r="BS294" i="33"/>
  <c r="BS312" i="33"/>
  <c r="BV330" i="33"/>
  <c r="BS349" i="33"/>
  <c r="BV366" i="33"/>
  <c r="BV382" i="33"/>
  <c r="BV398" i="33"/>
  <c r="BV414" i="33"/>
  <c r="BV430" i="33"/>
  <c r="BV446" i="33"/>
  <c r="BV462" i="33"/>
  <c r="BV478" i="33"/>
  <c r="BV494" i="33"/>
  <c r="BV510" i="33"/>
  <c r="BV526" i="33"/>
  <c r="BV542" i="33"/>
  <c r="BV558" i="33"/>
  <c r="BV574" i="33"/>
  <c r="BV590" i="33"/>
  <c r="BV606" i="33"/>
  <c r="BV622" i="33"/>
  <c r="BV638" i="33"/>
  <c r="BV654" i="33"/>
  <c r="BV670" i="33"/>
  <c r="BV686" i="33"/>
  <c r="BV702" i="33"/>
  <c r="BV718" i="33"/>
  <c r="BV734" i="33"/>
  <c r="BV750" i="33"/>
  <c r="BV761" i="33"/>
  <c r="BV765" i="33"/>
  <c r="BV769" i="33"/>
  <c r="BV773" i="33"/>
  <c r="BV777" i="33"/>
  <c r="BV781" i="33"/>
  <c r="BV785" i="33"/>
  <c r="BV789" i="33"/>
  <c r="BV793" i="33"/>
  <c r="BV797" i="33"/>
  <c r="BV801" i="33"/>
  <c r="BV805" i="33"/>
  <c r="BV809" i="33"/>
  <c r="BV813" i="33"/>
  <c r="BV817" i="33"/>
  <c r="BV821" i="33"/>
  <c r="BV825" i="33"/>
  <c r="BV829" i="33"/>
  <c r="BV833" i="33"/>
  <c r="BV837" i="33"/>
  <c r="BV841" i="33"/>
  <c r="BV845" i="33"/>
  <c r="BV849" i="33"/>
  <c r="BV853" i="33"/>
  <c r="BV857" i="33"/>
  <c r="BV861" i="33"/>
  <c r="BV865" i="33"/>
  <c r="BV869" i="33"/>
  <c r="BV873" i="33"/>
  <c r="BV877" i="33"/>
  <c r="BV881" i="33"/>
  <c r="BV885" i="33"/>
  <c r="BV889" i="33"/>
  <c r="BV893" i="33"/>
  <c r="BV897" i="33"/>
  <c r="BV901" i="33"/>
  <c r="BV905" i="33"/>
  <c r="BV909" i="33"/>
  <c r="BV913" i="33"/>
  <c r="BV917" i="33"/>
  <c r="BV921" i="33"/>
  <c r="BV925" i="33"/>
  <c r="BV929" i="33"/>
  <c r="BV933" i="33"/>
  <c r="BV937" i="33"/>
  <c r="BV941" i="33"/>
  <c r="BV945" i="33"/>
  <c r="BV949" i="33"/>
  <c r="BV953" i="33"/>
  <c r="BV957" i="33"/>
  <c r="BV961" i="33"/>
  <c r="BV965" i="33"/>
  <c r="BV969" i="33"/>
  <c r="BV973" i="33"/>
  <c r="BV977" i="33"/>
  <c r="BV981" i="33"/>
  <c r="BV985" i="33"/>
  <c r="BV989" i="33"/>
  <c r="BV993" i="33"/>
  <c r="BV997" i="33"/>
  <c r="BV1001" i="33"/>
  <c r="BM1004" i="33"/>
  <c r="BM1000" i="33"/>
  <c r="BM996" i="33"/>
  <c r="BM992" i="33"/>
  <c r="BM988" i="33"/>
  <c r="BM984" i="33"/>
  <c r="BM980" i="33"/>
  <c r="BM976" i="33"/>
  <c r="BM972" i="33"/>
  <c r="BM968" i="33"/>
  <c r="BM964" i="33"/>
  <c r="BM960" i="33"/>
  <c r="BM956" i="33"/>
  <c r="BM952" i="33"/>
  <c r="BM948" i="33"/>
  <c r="BM944" i="33"/>
  <c r="BM940" i="33"/>
  <c r="BM936" i="33"/>
  <c r="BM932" i="33"/>
  <c r="BM928" i="33"/>
  <c r="BM924" i="33"/>
  <c r="BM920" i="33"/>
  <c r="BM916" i="33"/>
  <c r="BM912" i="33"/>
  <c r="BM908" i="33"/>
  <c r="BM904" i="33"/>
  <c r="BM900" i="33"/>
  <c r="BM896" i="33"/>
  <c r="BM892" i="33"/>
  <c r="BM888" i="33"/>
  <c r="BM884" i="33"/>
  <c r="BM880" i="33"/>
  <c r="BM876" i="33"/>
  <c r="BM872" i="33"/>
  <c r="BM868" i="33"/>
  <c r="BM864" i="33"/>
  <c r="BM860" i="33"/>
  <c r="BM856" i="33"/>
  <c r="BM852" i="33"/>
  <c r="BM848" i="33"/>
  <c r="BM844" i="33"/>
  <c r="BM840" i="33"/>
  <c r="BM836" i="33"/>
  <c r="BM832" i="33"/>
  <c r="BM828" i="33"/>
  <c r="BM824" i="33"/>
  <c r="BM820" i="33"/>
  <c r="BM816" i="33"/>
  <c r="BM812" i="33"/>
  <c r="BM808" i="33"/>
  <c r="BM804" i="33"/>
  <c r="BM800" i="33"/>
  <c r="BM796" i="33"/>
  <c r="BM792" i="33"/>
  <c r="BM788" i="33"/>
  <c r="BM784" i="33"/>
  <c r="BM780" i="33"/>
  <c r="BM776" i="33"/>
  <c r="BM772" i="33"/>
  <c r="BM768" i="33"/>
  <c r="BM764" i="33"/>
  <c r="BM760" i="33"/>
  <c r="BM756" i="33"/>
  <c r="BM752" i="33"/>
  <c r="BM748" i="33"/>
  <c r="BM744" i="33"/>
  <c r="BM740" i="33"/>
  <c r="BM736" i="33"/>
  <c r="BS24" i="33"/>
  <c r="BS46" i="33"/>
  <c r="BS67" i="33"/>
  <c r="BS88" i="33"/>
  <c r="BS110" i="33"/>
  <c r="BS131" i="33"/>
  <c r="BS152" i="33"/>
  <c r="BS174" i="33"/>
  <c r="BS195" i="33"/>
  <c r="BS216" i="33"/>
  <c r="BS238" i="33"/>
  <c r="BV258" i="33"/>
  <c r="BS277" i="33"/>
  <c r="BS295" i="33"/>
  <c r="BV313" i="33"/>
  <c r="BV331" i="33"/>
  <c r="BS350" i="33"/>
  <c r="BV367" i="33"/>
  <c r="BV383" i="33"/>
  <c r="BV399" i="33"/>
  <c r="BV415" i="33"/>
  <c r="BV431" i="33"/>
  <c r="BV447" i="33"/>
  <c r="BV463" i="33"/>
  <c r="BV479" i="33"/>
  <c r="BV495" i="33"/>
  <c r="BV511" i="33"/>
  <c r="BV527" i="33"/>
  <c r="BV543" i="33"/>
  <c r="BV559" i="33"/>
  <c r="BV575" i="33"/>
  <c r="BV591" i="33"/>
  <c r="BV607" i="33"/>
  <c r="BV623" i="33"/>
  <c r="BV639" i="33"/>
  <c r="BV655" i="33"/>
  <c r="BV671" i="33"/>
  <c r="BV687" i="33"/>
  <c r="BV703" i="33"/>
  <c r="BV719" i="33"/>
  <c r="BV735" i="33"/>
  <c r="BV751" i="33"/>
  <c r="BS762" i="33"/>
  <c r="BS766" i="33"/>
  <c r="BS770" i="33"/>
  <c r="BS774" i="33"/>
  <c r="BS778" i="33"/>
  <c r="BS782" i="33"/>
  <c r="BS786" i="33"/>
  <c r="BS790" i="33"/>
  <c r="BS794" i="33"/>
  <c r="BS798" i="33"/>
  <c r="BS802" i="33"/>
  <c r="BS806" i="33"/>
  <c r="BS810" i="33"/>
  <c r="BS814" i="33"/>
  <c r="BS818" i="33"/>
  <c r="BS822" i="33"/>
  <c r="BS826" i="33"/>
  <c r="BS830" i="33"/>
  <c r="BS834" i="33"/>
  <c r="BS838" i="33"/>
  <c r="BS842" i="33"/>
  <c r="BS846" i="33"/>
  <c r="BS850" i="33"/>
  <c r="BS854" i="33"/>
  <c r="BS858" i="33"/>
  <c r="BS862" i="33"/>
  <c r="BS866" i="33"/>
  <c r="BS870" i="33"/>
  <c r="BS874" i="33"/>
  <c r="BS878" i="33"/>
  <c r="BS882" i="33"/>
  <c r="BS886" i="33"/>
  <c r="BS890" i="33"/>
  <c r="BS894" i="33"/>
  <c r="BS898" i="33"/>
  <c r="BS902" i="33"/>
  <c r="BS906" i="33"/>
  <c r="BS910" i="33"/>
  <c r="BS914" i="33"/>
  <c r="BS918" i="33"/>
  <c r="BS922" i="33"/>
  <c r="BS926" i="33"/>
  <c r="BS930" i="33"/>
  <c r="BS934" i="33"/>
  <c r="BS938" i="33"/>
  <c r="BS942" i="33"/>
  <c r="BS946" i="33"/>
  <c r="BS950" i="33"/>
  <c r="BS954" i="33"/>
  <c r="BS958" i="33"/>
  <c r="BS962" i="33"/>
  <c r="BS966" i="33"/>
  <c r="BS970" i="33"/>
  <c r="BS974" i="33"/>
  <c r="BS978" i="33"/>
  <c r="BS982" i="33"/>
  <c r="BS986" i="33"/>
  <c r="BS990" i="33"/>
  <c r="BS994" i="33"/>
  <c r="BS998" i="33"/>
  <c r="BS1002" i="33"/>
  <c r="BP1003" i="33"/>
  <c r="BP999" i="33"/>
  <c r="BP995" i="33"/>
  <c r="BP991" i="33"/>
  <c r="BP987" i="33"/>
  <c r="BP983" i="33"/>
  <c r="BP979" i="33"/>
  <c r="BP975" i="33"/>
  <c r="BP971" i="33"/>
  <c r="BP967" i="33"/>
  <c r="BP963" i="33"/>
  <c r="BP959" i="33"/>
  <c r="BP955" i="33"/>
  <c r="BP951" i="33"/>
  <c r="BP947" i="33"/>
  <c r="BP943" i="33"/>
  <c r="BP939" i="33"/>
  <c r="BP935" i="33"/>
  <c r="BP931" i="33"/>
  <c r="BP927" i="33"/>
  <c r="BP923" i="33"/>
  <c r="BP919" i="33"/>
  <c r="BP915" i="33"/>
  <c r="BP911" i="33"/>
  <c r="BP907" i="33"/>
  <c r="BP903" i="33"/>
  <c r="BP899" i="33"/>
  <c r="BP895" i="33"/>
  <c r="BP891" i="33"/>
  <c r="BP887" i="33"/>
  <c r="BP883" i="33"/>
  <c r="BP879" i="33"/>
  <c r="BP875" i="33"/>
  <c r="BP871" i="33"/>
  <c r="BP867" i="33"/>
  <c r="BP863" i="33"/>
  <c r="BP859" i="33"/>
  <c r="BP855" i="33"/>
  <c r="BP851" i="33"/>
  <c r="BP847" i="33"/>
  <c r="BP843" i="33"/>
  <c r="BP839" i="33"/>
  <c r="BP835" i="33"/>
  <c r="BP831" i="33"/>
  <c r="BP827" i="33"/>
  <c r="BP823" i="33"/>
  <c r="BP819" i="33"/>
  <c r="BP815" i="33"/>
  <c r="BP811" i="33"/>
  <c r="BP807" i="33"/>
  <c r="BP803" i="33"/>
  <c r="BP799" i="33"/>
  <c r="BP795" i="33"/>
  <c r="BP791" i="33"/>
  <c r="BP787" i="33"/>
  <c r="BP783" i="33"/>
  <c r="BP779" i="33"/>
  <c r="BP775" i="33"/>
  <c r="BP771" i="33"/>
  <c r="BP767" i="33"/>
  <c r="BP763" i="33"/>
  <c r="BP759" i="33"/>
  <c r="BP755" i="33"/>
  <c r="BP751" i="33"/>
  <c r="BS7" i="33"/>
  <c r="BS28" i="33"/>
  <c r="BS50" i="33"/>
  <c r="BS71" i="33"/>
  <c r="BS92" i="33"/>
  <c r="BS114" i="33"/>
  <c r="BS135" i="33"/>
  <c r="BS156" i="33"/>
  <c r="BS178" i="33"/>
  <c r="BS199" i="33"/>
  <c r="BS220" i="33"/>
  <c r="BS242" i="33"/>
  <c r="BS262" i="33"/>
  <c r="BS280" i="33"/>
  <c r="BV298" i="33"/>
  <c r="BS317" i="33"/>
  <c r="BS335" i="33"/>
  <c r="BV353" i="33"/>
  <c r="BV370" i="33"/>
  <c r="BV386" i="33"/>
  <c r="BV402" i="33"/>
  <c r="BV418" i="33"/>
  <c r="BV434" i="33"/>
  <c r="BV450" i="33"/>
  <c r="BV466" i="33"/>
  <c r="BV482" i="33"/>
  <c r="BV498" i="33"/>
  <c r="BV514" i="33"/>
  <c r="BV530" i="33"/>
  <c r="BV546" i="33"/>
  <c r="BV562" i="33"/>
  <c r="BV578" i="33"/>
  <c r="BV594" i="33"/>
  <c r="BV610" i="33"/>
  <c r="BV626" i="33"/>
  <c r="BV642" i="33"/>
  <c r="BV658" i="33"/>
  <c r="BV674" i="33"/>
  <c r="BV690" i="33"/>
  <c r="BV706" i="33"/>
  <c r="BV722" i="33"/>
  <c r="BV738" i="33"/>
  <c r="BV754" i="33"/>
  <c r="BV762" i="33"/>
  <c r="BV766" i="33"/>
  <c r="BV770" i="33"/>
  <c r="BV774" i="33"/>
  <c r="BV778" i="33"/>
  <c r="BV782" i="33"/>
  <c r="BV786" i="33"/>
  <c r="BV790" i="33"/>
  <c r="BV794" i="33"/>
  <c r="BV798" i="33"/>
  <c r="BV802" i="33"/>
  <c r="BV806" i="33"/>
  <c r="BV810" i="33"/>
  <c r="BV814" i="33"/>
  <c r="BV818" i="33"/>
  <c r="BV822" i="33"/>
  <c r="BV826" i="33"/>
  <c r="BV830" i="33"/>
  <c r="BV834" i="33"/>
  <c r="BV838" i="33"/>
  <c r="BV842" i="33"/>
  <c r="BV846" i="33"/>
  <c r="BV850" i="33"/>
  <c r="BV854" i="33"/>
  <c r="BV858" i="33"/>
  <c r="BV862" i="33"/>
  <c r="BV866" i="33"/>
  <c r="BV870" i="33"/>
  <c r="BV874" i="33"/>
  <c r="BV878" i="33"/>
  <c r="BV882" i="33"/>
  <c r="BV886" i="33"/>
  <c r="BV890" i="33"/>
  <c r="BV894" i="33"/>
  <c r="BV898" i="33"/>
  <c r="BV902" i="33"/>
  <c r="BV906" i="33"/>
  <c r="BV910" i="33"/>
  <c r="BV914" i="33"/>
  <c r="BV918" i="33"/>
  <c r="BV922" i="33"/>
  <c r="BV926" i="33"/>
  <c r="BV930" i="33"/>
  <c r="BV934" i="33"/>
  <c r="BV938" i="33"/>
  <c r="BV942" i="33"/>
  <c r="BV946" i="33"/>
  <c r="BV950" i="33"/>
  <c r="BV954" i="33"/>
  <c r="BV958" i="33"/>
  <c r="BV962" i="33"/>
  <c r="BV966" i="33"/>
  <c r="BV970" i="33"/>
  <c r="BV974" i="33"/>
  <c r="BV978" i="33"/>
  <c r="BV982" i="33"/>
  <c r="BV986" i="33"/>
  <c r="BV990" i="33"/>
  <c r="BV994" i="33"/>
  <c r="BV998" i="33"/>
  <c r="BV1002" i="33"/>
  <c r="BM1003" i="33"/>
  <c r="BM999" i="33"/>
  <c r="BM995" i="33"/>
  <c r="BM991" i="33"/>
  <c r="BM987" i="33"/>
  <c r="BM983" i="33"/>
  <c r="BM979" i="33"/>
  <c r="BM975" i="33"/>
  <c r="BM971" i="33"/>
  <c r="BM967" i="33"/>
  <c r="BM963" i="33"/>
  <c r="BM959" i="33"/>
  <c r="BM955" i="33"/>
  <c r="BM951" i="33"/>
  <c r="BM947" i="33"/>
  <c r="BM943" i="33"/>
  <c r="BM939" i="33"/>
  <c r="BM935" i="33"/>
  <c r="BM931" i="33"/>
  <c r="BM927" i="33"/>
  <c r="BM923" i="33"/>
  <c r="BM919" i="33"/>
  <c r="BM915" i="33"/>
  <c r="BM911" i="33"/>
  <c r="BM907" i="33"/>
  <c r="BM903" i="33"/>
  <c r="BM899" i="33"/>
  <c r="BM895" i="33"/>
  <c r="BM891" i="33"/>
  <c r="BM887" i="33"/>
  <c r="BM883" i="33"/>
  <c r="BM879" i="33"/>
  <c r="BM875" i="33"/>
  <c r="BM871" i="33"/>
  <c r="BM867" i="33"/>
  <c r="BM863" i="33"/>
  <c r="BM859" i="33"/>
  <c r="BM855" i="33"/>
  <c r="BM851" i="33"/>
  <c r="BM847" i="33"/>
  <c r="BM843" i="33"/>
  <c r="BM839" i="33"/>
  <c r="BM835" i="33"/>
  <c r="BM831" i="33"/>
  <c r="BM827" i="33"/>
  <c r="BM823" i="33"/>
  <c r="BM819" i="33"/>
  <c r="BM815" i="33"/>
  <c r="BM811" i="33"/>
  <c r="BM807" i="33"/>
  <c r="BM803" i="33"/>
  <c r="BM799" i="33"/>
  <c r="BM795" i="33"/>
  <c r="BM791" i="33"/>
  <c r="BM787" i="33"/>
  <c r="BM783" i="33"/>
  <c r="BM779" i="33"/>
  <c r="BM775" i="33"/>
  <c r="BM771" i="33"/>
  <c r="BM767" i="33"/>
  <c r="BM763" i="33"/>
  <c r="BM759" i="33"/>
  <c r="BM755" i="33"/>
  <c r="BM751" i="33"/>
  <c r="BM747" i="33"/>
  <c r="BM743" i="33"/>
  <c r="BM739" i="33"/>
  <c r="BM735" i="33"/>
  <c r="BM731" i="33"/>
  <c r="BM727" i="33"/>
  <c r="BM723" i="33"/>
  <c r="BM719" i="33"/>
  <c r="BM715" i="33"/>
  <c r="BM711" i="33"/>
  <c r="BM707" i="33"/>
  <c r="BM703" i="33"/>
  <c r="BM699" i="33"/>
  <c r="BP747" i="33"/>
  <c r="BP734" i="33"/>
  <c r="BP729" i="33"/>
  <c r="BM724" i="33"/>
  <c r="BP718" i="33"/>
  <c r="BP713" i="33"/>
  <c r="BM708" i="33"/>
  <c r="BP702" i="33"/>
  <c r="BP697" i="33"/>
  <c r="BP693" i="33"/>
  <c r="BP689" i="33"/>
  <c r="BP685" i="33"/>
  <c r="BP681" i="33"/>
  <c r="BP677" i="33"/>
  <c r="BP673" i="33"/>
  <c r="BP669" i="33"/>
  <c r="BP665" i="33"/>
  <c r="BP661" i="33"/>
  <c r="BP657" i="33"/>
  <c r="BP653" i="33"/>
  <c r="BP649" i="33"/>
  <c r="BP645" i="33"/>
  <c r="BP641" i="33"/>
  <c r="BP637" i="33"/>
  <c r="BP633" i="33"/>
  <c r="BP629" i="33"/>
  <c r="BP625" i="33"/>
  <c r="BP621" i="33"/>
  <c r="BP617" i="33"/>
  <c r="BP613" i="33"/>
  <c r="BP609" i="33"/>
  <c r="BP605" i="33"/>
  <c r="BP601" i="33"/>
  <c r="BP597" i="33"/>
  <c r="BP593" i="33"/>
  <c r="BP589" i="33"/>
  <c r="BP585" i="33"/>
  <c r="BP581" i="33"/>
  <c r="BP577" i="33"/>
  <c r="BP573" i="33"/>
  <c r="BP569" i="33"/>
  <c r="BP565" i="33"/>
  <c r="BP561" i="33"/>
  <c r="BP557" i="33"/>
  <c r="BP553" i="33"/>
  <c r="BP549" i="33"/>
  <c r="BP545" i="33"/>
  <c r="BP541" i="33"/>
  <c r="BP537" i="33"/>
  <c r="BP533" i="33"/>
  <c r="BP529" i="33"/>
  <c r="BP525" i="33"/>
  <c r="BP521" i="33"/>
  <c r="BP517" i="33"/>
  <c r="BP513" i="33"/>
  <c r="BP509" i="33"/>
  <c r="BP505" i="33"/>
  <c r="BP501" i="33"/>
  <c r="BP497" i="33"/>
  <c r="BP493" i="33"/>
  <c r="BP489" i="33"/>
  <c r="BP485" i="33"/>
  <c r="BP481" i="33"/>
  <c r="BP477" i="33"/>
  <c r="BP473" i="33"/>
  <c r="BP469" i="33"/>
  <c r="BP465" i="33"/>
  <c r="BP461" i="33"/>
  <c r="BP457" i="33"/>
  <c r="BP453" i="33"/>
  <c r="BP449" i="33"/>
  <c r="BP445" i="33"/>
  <c r="BP441" i="33"/>
  <c r="BP437" i="33"/>
  <c r="BP433" i="33"/>
  <c r="BP429" i="33"/>
  <c r="BP425" i="33"/>
  <c r="BP421" i="33"/>
  <c r="BP417" i="33"/>
  <c r="BP413" i="33"/>
  <c r="BP409" i="33"/>
  <c r="BP405" i="33"/>
  <c r="BP401" i="33"/>
  <c r="BP397" i="33"/>
  <c r="BP393" i="33"/>
  <c r="BP389" i="33"/>
  <c r="BP385" i="33"/>
  <c r="BP381" i="33"/>
  <c r="BP377" i="33"/>
  <c r="BP373" i="33"/>
  <c r="BP369" i="33"/>
  <c r="BP365" i="33"/>
  <c r="BP361" i="33"/>
  <c r="BP357" i="33"/>
  <c r="BP353" i="33"/>
  <c r="BP349" i="33"/>
  <c r="BP345" i="33"/>
  <c r="BP341" i="33"/>
  <c r="BP337" i="33"/>
  <c r="BP333" i="33"/>
  <c r="BP329" i="33"/>
  <c r="BP325" i="33"/>
  <c r="BP321" i="33"/>
  <c r="BP317" i="33"/>
  <c r="BP313" i="33"/>
  <c r="BP309" i="33"/>
  <c r="BP305" i="33"/>
  <c r="BP301" i="33"/>
  <c r="BP297" i="33"/>
  <c r="BP293" i="33"/>
  <c r="BP289" i="33"/>
  <c r="BP285" i="33"/>
  <c r="BP281" i="33"/>
  <c r="BP277" i="33"/>
  <c r="BP273" i="33"/>
  <c r="BP269" i="33"/>
  <c r="BP265" i="33"/>
  <c r="BP261" i="33"/>
  <c r="BP257" i="33"/>
  <c r="BP253" i="33"/>
  <c r="BP249" i="33"/>
  <c r="BP245" i="33"/>
  <c r="BP241" i="33"/>
  <c r="BP237" i="33"/>
  <c r="BP233" i="33"/>
  <c r="BP229" i="33"/>
  <c r="BP225" i="33"/>
  <c r="BP221" i="33"/>
  <c r="BP217" i="33"/>
  <c r="BP213" i="33"/>
  <c r="BP209" i="33"/>
  <c r="BP205" i="33"/>
  <c r="BP201" i="33"/>
  <c r="BP197" i="33"/>
  <c r="BP193" i="33"/>
  <c r="BP189" i="33"/>
  <c r="BP185" i="33"/>
  <c r="BP181" i="33"/>
  <c r="BP177" i="33"/>
  <c r="BP173" i="33"/>
  <c r="BP169" i="33"/>
  <c r="BP165" i="33"/>
  <c r="BP161" i="33"/>
  <c r="BP157" i="33"/>
  <c r="BP153" i="33"/>
  <c r="BP149" i="33"/>
  <c r="BP145" i="33"/>
  <c r="BP141" i="33"/>
  <c r="BP137" i="33"/>
  <c r="BP133" i="33"/>
  <c r="BP129" i="33"/>
  <c r="BP125" i="33"/>
  <c r="BP121" i="33"/>
  <c r="BP117" i="33"/>
  <c r="BP113" i="33"/>
  <c r="BP109" i="33"/>
  <c r="BP105" i="33"/>
  <c r="BP101" i="33"/>
  <c r="BP97" i="33"/>
  <c r="BP93" i="33"/>
  <c r="BP89" i="33"/>
  <c r="BP85" i="33"/>
  <c r="BP81" i="33"/>
  <c r="BP77" i="33"/>
  <c r="BP73" i="33"/>
  <c r="BP69" i="33"/>
  <c r="BP65" i="33"/>
  <c r="BP61" i="33"/>
  <c r="BP57" i="33"/>
  <c r="BP53" i="33"/>
  <c r="BP49" i="33"/>
  <c r="BP745" i="33"/>
  <c r="BM734" i="33"/>
  <c r="BP728" i="33"/>
  <c r="BP723" i="33"/>
  <c r="BM718" i="33"/>
  <c r="BP712" i="33"/>
  <c r="BP707" i="33"/>
  <c r="BM702" i="33"/>
  <c r="BM697" i="33"/>
  <c r="BM693" i="33"/>
  <c r="BM689" i="33"/>
  <c r="BM685" i="33"/>
  <c r="BM681" i="33"/>
  <c r="BM677" i="33"/>
  <c r="BM673" i="33"/>
  <c r="BM669" i="33"/>
  <c r="BM665" i="33"/>
  <c r="BM661" i="33"/>
  <c r="BM657" i="33"/>
  <c r="BM653" i="33"/>
  <c r="BM649" i="33"/>
  <c r="BM645" i="33"/>
  <c r="BM641" i="33"/>
  <c r="BM637" i="33"/>
  <c r="BM633" i="33"/>
  <c r="BM629" i="33"/>
  <c r="BM625" i="33"/>
  <c r="BM621" i="33"/>
  <c r="BM617" i="33"/>
  <c r="BM613" i="33"/>
  <c r="BM609" i="33"/>
  <c r="BM605" i="33"/>
  <c r="BM601" i="33"/>
  <c r="BM597" i="33"/>
  <c r="BM593" i="33"/>
  <c r="BM589" i="33"/>
  <c r="BM585" i="33"/>
  <c r="BM581" i="33"/>
  <c r="BM577" i="33"/>
  <c r="BM573" i="33"/>
  <c r="BM569" i="33"/>
  <c r="BM565" i="33"/>
  <c r="BM561" i="33"/>
  <c r="BM557" i="33"/>
  <c r="BM553" i="33"/>
  <c r="BM549" i="33"/>
  <c r="BM545" i="33"/>
  <c r="BM541" i="33"/>
  <c r="BM537" i="33"/>
  <c r="BM533" i="33"/>
  <c r="BM529" i="33"/>
  <c r="BM525" i="33"/>
  <c r="BM521" i="33"/>
  <c r="BM517" i="33"/>
  <c r="BM513" i="33"/>
  <c r="BM509" i="33"/>
  <c r="BM505" i="33"/>
  <c r="BM501" i="33"/>
  <c r="BM497" i="33"/>
  <c r="BM493" i="33"/>
  <c r="BM489" i="33"/>
  <c r="BM485" i="33"/>
  <c r="BM481" i="33"/>
  <c r="BM477" i="33"/>
  <c r="BM473" i="33"/>
  <c r="BM469" i="33"/>
  <c r="BM465" i="33"/>
  <c r="BM461" i="33"/>
  <c r="BM457" i="33"/>
  <c r="BM453" i="33"/>
  <c r="BM449" i="33"/>
  <c r="BM445" i="33"/>
  <c r="BM441" i="33"/>
  <c r="BM437" i="33"/>
  <c r="BM433" i="33"/>
  <c r="BM429" i="33"/>
  <c r="BM425" i="33"/>
  <c r="BM421" i="33"/>
  <c r="BM417" i="33"/>
  <c r="BM413" i="33"/>
  <c r="BM409" i="33"/>
  <c r="BM405" i="33"/>
  <c r="BM401" i="33"/>
  <c r="BM397" i="33"/>
  <c r="BM393" i="33"/>
  <c r="BM389" i="33"/>
  <c r="BM385" i="33"/>
  <c r="BM381" i="33"/>
  <c r="BM377" i="33"/>
  <c r="BM373" i="33"/>
  <c r="BM369" i="33"/>
  <c r="BM365" i="33"/>
  <c r="BM361" i="33"/>
  <c r="BM357" i="33"/>
  <c r="BM353" i="33"/>
  <c r="BM349" i="33"/>
  <c r="BM345" i="33"/>
  <c r="BM341" i="33"/>
  <c r="BM337" i="33"/>
  <c r="BM333" i="33"/>
  <c r="BM329" i="33"/>
  <c r="BM325" i="33"/>
  <c r="BM321" i="33"/>
  <c r="BM317" i="33"/>
  <c r="BM313" i="33"/>
  <c r="BM309" i="33"/>
  <c r="BM305" i="33"/>
  <c r="BM301" i="33"/>
  <c r="BM297" i="33"/>
  <c r="BM293" i="33"/>
  <c r="BM289" i="33"/>
  <c r="BM285" i="33"/>
  <c r="BM281" i="33"/>
  <c r="BM277" i="33"/>
  <c r="BM273" i="33"/>
  <c r="BM269" i="33"/>
  <c r="BM265" i="33"/>
  <c r="BM261" i="33"/>
  <c r="BM257" i="33"/>
  <c r="BM253" i="33"/>
  <c r="BM249" i="33"/>
  <c r="BM245" i="33"/>
  <c r="BM241" i="33"/>
  <c r="BM237" i="33"/>
  <c r="BM233" i="33"/>
  <c r="BM229" i="33"/>
  <c r="BM225" i="33"/>
  <c r="BM221" i="33"/>
  <c r="BM217" i="33"/>
  <c r="BM213" i="33"/>
  <c r="BM209" i="33"/>
  <c r="BM205" i="33"/>
  <c r="BM201" i="33"/>
  <c r="BM197" i="33"/>
  <c r="BM193" i="33"/>
  <c r="BM189" i="33"/>
  <c r="BM185" i="33"/>
  <c r="BM181" i="33"/>
  <c r="BM177" i="33"/>
  <c r="BM173" i="33"/>
  <c r="BM169" i="33"/>
  <c r="BM165" i="33"/>
  <c r="BM161" i="33"/>
  <c r="BM157" i="33"/>
  <c r="BM153" i="33"/>
  <c r="BM149" i="33"/>
  <c r="BM145" i="33"/>
  <c r="BM141" i="33"/>
  <c r="BM137" i="33"/>
  <c r="BM133" i="33"/>
  <c r="BM129" i="33"/>
  <c r="BM125" i="33"/>
  <c r="BM121" i="33"/>
  <c r="BM117" i="33"/>
  <c r="BM113" i="33"/>
  <c r="BM109" i="33"/>
  <c r="BM105" i="33"/>
  <c r="BM101" i="33"/>
  <c r="BM97" i="33"/>
  <c r="BM93" i="33"/>
  <c r="BM89" i="33"/>
  <c r="BM85" i="33"/>
  <c r="BM81" i="33"/>
  <c r="BM77" i="33"/>
  <c r="BM73" i="33"/>
  <c r="BM69" i="33"/>
  <c r="BM65" i="33"/>
  <c r="BM61" i="33"/>
  <c r="BM57" i="33"/>
  <c r="BM53" i="33"/>
  <c r="BP743" i="33"/>
  <c r="BP733" i="33"/>
  <c r="BM728" i="33"/>
  <c r="BP722" i="33"/>
  <c r="BP717" i="33"/>
  <c r="BM712" i="33"/>
  <c r="BP706" i="33"/>
  <c r="BP701" i="33"/>
  <c r="BP696" i="33"/>
  <c r="BP692" i="33"/>
  <c r="BP688" i="33"/>
  <c r="BP684" i="33"/>
  <c r="BP680" i="33"/>
  <c r="BP676" i="33"/>
  <c r="BP672" i="33"/>
  <c r="BP668" i="33"/>
  <c r="BP664" i="33"/>
  <c r="BP660" i="33"/>
  <c r="BP656" i="33"/>
  <c r="BP652" i="33"/>
  <c r="BP648" i="33"/>
  <c r="BP644" i="33"/>
  <c r="BP640" i="33"/>
  <c r="BP636" i="33"/>
  <c r="BP632" i="33"/>
  <c r="BP628" i="33"/>
  <c r="BP624" i="33"/>
  <c r="BP620" i="33"/>
  <c r="BP616" i="33"/>
  <c r="BP612" i="33"/>
  <c r="BP608" i="33"/>
  <c r="BP604" i="33"/>
  <c r="BP600" i="33"/>
  <c r="BP596" i="33"/>
  <c r="BP592" i="33"/>
  <c r="BP588" i="33"/>
  <c r="BP584" i="33"/>
  <c r="BP580" i="33"/>
  <c r="BP576" i="33"/>
  <c r="BP572" i="33"/>
  <c r="BP568" i="33"/>
  <c r="BP564" i="33"/>
  <c r="BP560" i="33"/>
  <c r="BP556" i="33"/>
  <c r="BP552" i="33"/>
  <c r="BP548" i="33"/>
  <c r="BP544" i="33"/>
  <c r="BP540" i="33"/>
  <c r="BP536" i="33"/>
  <c r="BP532" i="33"/>
  <c r="BP528" i="33"/>
  <c r="BP524" i="33"/>
  <c r="BP520" i="33"/>
  <c r="BP516" i="33"/>
  <c r="BP512" i="33"/>
  <c r="BP508" i="33"/>
  <c r="BP504" i="33"/>
  <c r="BP500" i="33"/>
  <c r="BP496" i="33"/>
  <c r="BP492" i="33"/>
  <c r="BP488" i="33"/>
  <c r="BP484" i="33"/>
  <c r="BP480" i="33"/>
  <c r="BP476" i="33"/>
  <c r="BP472" i="33"/>
  <c r="BP468" i="33"/>
  <c r="BP464" i="33"/>
  <c r="BP460" i="33"/>
  <c r="BP456" i="33"/>
  <c r="BP452" i="33"/>
  <c r="BP448" i="33"/>
  <c r="BP444" i="33"/>
  <c r="BP440" i="33"/>
  <c r="BP436" i="33"/>
  <c r="BP432" i="33"/>
  <c r="BP428" i="33"/>
  <c r="BP424" i="33"/>
  <c r="BP420" i="33"/>
  <c r="BP416" i="33"/>
  <c r="BP412" i="33"/>
  <c r="BP408" i="33"/>
  <c r="BP404" i="33"/>
  <c r="BP400" i="33"/>
  <c r="BP396" i="33"/>
  <c r="BP392" i="33"/>
  <c r="BP388" i="33"/>
  <c r="BP384" i="33"/>
  <c r="BP380" i="33"/>
  <c r="BP376" i="33"/>
  <c r="BP372" i="33"/>
  <c r="BP368" i="33"/>
  <c r="BP364" i="33"/>
  <c r="BP360" i="33"/>
  <c r="BP356" i="33"/>
  <c r="BP352" i="33"/>
  <c r="BP348" i="33"/>
  <c r="BP344" i="33"/>
  <c r="BP340" i="33"/>
  <c r="BP336" i="33"/>
  <c r="BP332" i="33"/>
  <c r="BP328" i="33"/>
  <c r="BP324" i="33"/>
  <c r="BP320" i="33"/>
  <c r="BP316" i="33"/>
  <c r="BP312" i="33"/>
  <c r="BP308" i="33"/>
  <c r="BP304" i="33"/>
  <c r="BP300" i="33"/>
  <c r="BP296" i="33"/>
  <c r="BP292" i="33"/>
  <c r="BP288" i="33"/>
  <c r="BP284" i="33"/>
  <c r="BP280" i="33"/>
  <c r="BP276" i="33"/>
  <c r="BP272" i="33"/>
  <c r="BP268" i="33"/>
  <c r="BP264" i="33"/>
  <c r="BP260" i="33"/>
  <c r="BP256" i="33"/>
  <c r="BP252" i="33"/>
  <c r="BP248" i="33"/>
  <c r="BP244" i="33"/>
  <c r="BP240" i="33"/>
  <c r="BP236" i="33"/>
  <c r="BP232" i="33"/>
  <c r="BP228" i="33"/>
  <c r="BP224" i="33"/>
  <c r="BP220" i="33"/>
  <c r="BP216" i="33"/>
  <c r="BP212" i="33"/>
  <c r="BP208" i="33"/>
  <c r="BP204" i="33"/>
  <c r="BP200" i="33"/>
  <c r="BP196" i="33"/>
  <c r="BP192" i="33"/>
  <c r="BP188" i="33"/>
  <c r="BP184" i="33"/>
  <c r="BP180" i="33"/>
  <c r="BP176" i="33"/>
  <c r="BP172" i="33"/>
  <c r="BP168" i="33"/>
  <c r="BP164" i="33"/>
  <c r="BP160" i="33"/>
  <c r="BP156" i="33"/>
  <c r="BP152" i="33"/>
  <c r="BP148" i="33"/>
  <c r="BP144" i="33"/>
  <c r="BP140" i="33"/>
  <c r="BP136" i="33"/>
  <c r="BP132" i="33"/>
  <c r="BP128" i="33"/>
  <c r="BP124" i="33"/>
  <c r="BP120" i="33"/>
  <c r="BP116" i="33"/>
  <c r="BP112" i="33"/>
  <c r="BP108" i="33"/>
  <c r="BP104" i="33"/>
  <c r="BP100" i="33"/>
  <c r="BP96" i="33"/>
  <c r="BP92" i="33"/>
  <c r="BP88" i="33"/>
  <c r="BP84" i="33"/>
  <c r="BP80" i="33"/>
  <c r="BP76" i="33"/>
  <c r="BP72" i="33"/>
  <c r="BP68" i="33"/>
  <c r="BP64" i="33"/>
  <c r="BP60" i="33"/>
  <c r="BP56" i="33"/>
  <c r="BP52" i="33"/>
  <c r="BP741" i="33"/>
  <c r="BP732" i="33"/>
  <c r="BP727" i="33"/>
  <c r="BM722" i="33"/>
  <c r="BP716" i="33"/>
  <c r="BP711" i="33"/>
  <c r="BM706" i="33"/>
  <c r="BP700" i="33"/>
  <c r="BM696" i="33"/>
  <c r="BM692" i="33"/>
  <c r="BM688" i="33"/>
  <c r="BM684" i="33"/>
  <c r="BM680" i="33"/>
  <c r="BM676" i="33"/>
  <c r="BM672" i="33"/>
  <c r="BM668" i="33"/>
  <c r="BM664" i="33"/>
  <c r="BM660" i="33"/>
  <c r="BM656" i="33"/>
  <c r="BM652" i="33"/>
  <c r="BM648" i="33"/>
  <c r="BM644" i="33"/>
  <c r="BM640" i="33"/>
  <c r="BM636" i="33"/>
  <c r="BM632" i="33"/>
  <c r="BM628" i="33"/>
  <c r="BM624" i="33"/>
  <c r="BM620" i="33"/>
  <c r="BM616" i="33"/>
  <c r="BM612" i="33"/>
  <c r="BM608" i="33"/>
  <c r="BM604" i="33"/>
  <c r="BM600" i="33"/>
  <c r="BM596" i="33"/>
  <c r="BM592" i="33"/>
  <c r="BM588" i="33"/>
  <c r="BM584" i="33"/>
  <c r="BM580" i="33"/>
  <c r="BM576" i="33"/>
  <c r="BM572" i="33"/>
  <c r="BM568" i="33"/>
  <c r="BM564" i="33"/>
  <c r="BM560" i="33"/>
  <c r="BM556" i="33"/>
  <c r="BM552" i="33"/>
  <c r="BM548" i="33"/>
  <c r="BM544" i="33"/>
  <c r="BM540" i="33"/>
  <c r="BM536" i="33"/>
  <c r="BM532" i="33"/>
  <c r="BM528" i="33"/>
  <c r="BM524" i="33"/>
  <c r="BM520" i="33"/>
  <c r="BM516" i="33"/>
  <c r="BM512" i="33"/>
  <c r="BM508" i="33"/>
  <c r="BM504" i="33"/>
  <c r="BM500" i="33"/>
  <c r="BM496" i="33"/>
  <c r="BM492" i="33"/>
  <c r="BM488" i="33"/>
  <c r="BM484" i="33"/>
  <c r="BM480" i="33"/>
  <c r="BM476" i="33"/>
  <c r="BM472" i="33"/>
  <c r="BM468" i="33"/>
  <c r="BM464" i="33"/>
  <c r="BM460" i="33"/>
  <c r="BM456" i="33"/>
  <c r="BM452" i="33"/>
  <c r="BM448" i="33"/>
  <c r="BM444" i="33"/>
  <c r="BM440" i="33"/>
  <c r="BM436" i="33"/>
  <c r="BM432" i="33"/>
  <c r="BM428" i="33"/>
  <c r="BM424" i="33"/>
  <c r="BM420" i="33"/>
  <c r="BM416" i="33"/>
  <c r="BM412" i="33"/>
  <c r="BM408" i="33"/>
  <c r="BM404" i="33"/>
  <c r="BM400" i="33"/>
  <c r="BM396" i="33"/>
  <c r="BM392" i="33"/>
  <c r="BM388" i="33"/>
  <c r="BM384" i="33"/>
  <c r="BM380" i="33"/>
  <c r="BM376" i="33"/>
  <c r="BM372" i="33"/>
  <c r="BM368" i="33"/>
  <c r="BM364" i="33"/>
  <c r="BM360" i="33"/>
  <c r="BM356" i="33"/>
  <c r="BM352" i="33"/>
  <c r="BM348" i="33"/>
  <c r="BM344" i="33"/>
  <c r="BM340" i="33"/>
  <c r="BM336" i="33"/>
  <c r="BM332" i="33"/>
  <c r="BM328" i="33"/>
  <c r="BM324" i="33"/>
  <c r="BM320" i="33"/>
  <c r="BM316" i="33"/>
  <c r="BM312" i="33"/>
  <c r="BM308" i="33"/>
  <c r="BM304" i="33"/>
  <c r="BM300" i="33"/>
  <c r="BM296" i="33"/>
  <c r="BM292" i="33"/>
  <c r="BM288" i="33"/>
  <c r="BM284" i="33"/>
  <c r="BM280" i="33"/>
  <c r="BM276" i="33"/>
  <c r="BM272" i="33"/>
  <c r="BM268" i="33"/>
  <c r="BM264" i="33"/>
  <c r="BM260" i="33"/>
  <c r="BM256" i="33"/>
  <c r="BM252" i="33"/>
  <c r="BM248" i="33"/>
  <c r="BM244" i="33"/>
  <c r="BM240" i="33"/>
  <c r="BM236" i="33"/>
  <c r="BM232" i="33"/>
  <c r="BM228" i="33"/>
  <c r="BM224" i="33"/>
  <c r="BM220" i="33"/>
  <c r="BM216" i="33"/>
  <c r="BM212" i="33"/>
  <c r="BM208" i="33"/>
  <c r="BM204" i="33"/>
  <c r="BM200" i="33"/>
  <c r="BM196" i="33"/>
  <c r="BM192" i="33"/>
  <c r="BM188" i="33"/>
  <c r="BM184" i="33"/>
  <c r="BM180" i="33"/>
  <c r="BM176" i="33"/>
  <c r="BM172" i="33"/>
  <c r="BM168" i="33"/>
  <c r="BM164" i="33"/>
  <c r="BM160" i="33"/>
  <c r="BM156" i="33"/>
  <c r="BM152" i="33"/>
  <c r="BM148" i="33"/>
  <c r="BM144" i="33"/>
  <c r="BM140" i="33"/>
  <c r="BM136" i="33"/>
  <c r="BM132" i="33"/>
  <c r="BM128" i="33"/>
  <c r="BM124" i="33"/>
  <c r="BM120" i="33"/>
  <c r="BM116" i="33"/>
  <c r="BM112" i="33"/>
  <c r="BM108" i="33"/>
  <c r="BM104" i="33"/>
  <c r="BM100" i="33"/>
  <c r="BM96" i="33"/>
  <c r="BM92" i="33"/>
  <c r="BM88" i="33"/>
  <c r="BM84" i="33"/>
  <c r="BM80" i="33"/>
  <c r="BM76" i="33"/>
  <c r="BM72" i="33"/>
  <c r="BM68" i="33"/>
  <c r="BM64" i="33"/>
  <c r="BM60" i="33"/>
  <c r="BM56" i="33"/>
  <c r="BM52" i="33"/>
  <c r="BM48" i="33"/>
  <c r="BM44" i="33"/>
  <c r="BM40" i="33"/>
  <c r="BM36" i="33"/>
  <c r="BM32" i="33"/>
  <c r="BM28" i="33"/>
  <c r="BM24" i="33"/>
  <c r="BM20" i="33"/>
  <c r="BM16" i="33"/>
  <c r="BM12" i="33"/>
  <c r="BM8" i="33"/>
  <c r="BM4" i="33"/>
  <c r="BG1001" i="33"/>
  <c r="BG997" i="33"/>
  <c r="BG993" i="33"/>
  <c r="BP739" i="33"/>
  <c r="BM732" i="33"/>
  <c r="BP726" i="33"/>
  <c r="BP721" i="33"/>
  <c r="BM716" i="33"/>
  <c r="BP710" i="33"/>
  <c r="BP705" i="33"/>
  <c r="BM700" i="33"/>
  <c r="BP695" i="33"/>
  <c r="BP691" i="33"/>
  <c r="BP687" i="33"/>
  <c r="BP683" i="33"/>
  <c r="BP679" i="33"/>
  <c r="BP675" i="33"/>
  <c r="BP671" i="33"/>
  <c r="BP667" i="33"/>
  <c r="BP663" i="33"/>
  <c r="BP659" i="33"/>
  <c r="BP655" i="33"/>
  <c r="BP651" i="33"/>
  <c r="BP647" i="33"/>
  <c r="BP643" i="33"/>
  <c r="BP639" i="33"/>
  <c r="BP635" i="33"/>
  <c r="BP631" i="33"/>
  <c r="BP627" i="33"/>
  <c r="BP623" i="33"/>
  <c r="BP619" i="33"/>
  <c r="BP615" i="33"/>
  <c r="BP611" i="33"/>
  <c r="BP607" i="33"/>
  <c r="BP603" i="33"/>
  <c r="BP599" i="33"/>
  <c r="BP595" i="33"/>
  <c r="BP591" i="33"/>
  <c r="BP587" i="33"/>
  <c r="BP583" i="33"/>
  <c r="BP579" i="33"/>
  <c r="BP575" i="33"/>
  <c r="BP571" i="33"/>
  <c r="BP567" i="33"/>
  <c r="BP563" i="33"/>
  <c r="BP559" i="33"/>
  <c r="BP555" i="33"/>
  <c r="BP551" i="33"/>
  <c r="BP547" i="33"/>
  <c r="BP543" i="33"/>
  <c r="BP539" i="33"/>
  <c r="BP535" i="33"/>
  <c r="BP531" i="33"/>
  <c r="BP527" i="33"/>
  <c r="BP523" i="33"/>
  <c r="BP519" i="33"/>
  <c r="BP515" i="33"/>
  <c r="BP511" i="33"/>
  <c r="BP507" i="33"/>
  <c r="BP503" i="33"/>
  <c r="BP499" i="33"/>
  <c r="BP495" i="33"/>
  <c r="BP491" i="33"/>
  <c r="BP487" i="33"/>
  <c r="BP483" i="33"/>
  <c r="BP479" i="33"/>
  <c r="BP475" i="33"/>
  <c r="BP471" i="33"/>
  <c r="BP467" i="33"/>
  <c r="BP463" i="33"/>
  <c r="BP459" i="33"/>
  <c r="BP455" i="33"/>
  <c r="BP451" i="33"/>
  <c r="BP447" i="33"/>
  <c r="BP443" i="33"/>
  <c r="BP439" i="33"/>
  <c r="BP435" i="33"/>
  <c r="BP431" i="33"/>
  <c r="BP427" i="33"/>
  <c r="BP423" i="33"/>
  <c r="BP419" i="33"/>
  <c r="BP415" i="33"/>
  <c r="BP411" i="33"/>
  <c r="BP407" i="33"/>
  <c r="BP403" i="33"/>
  <c r="BP399" i="33"/>
  <c r="BP395" i="33"/>
  <c r="BP391" i="33"/>
  <c r="BP387" i="33"/>
  <c r="BP383" i="33"/>
  <c r="BP379" i="33"/>
  <c r="BP375" i="33"/>
  <c r="BP371" i="33"/>
  <c r="BP367" i="33"/>
  <c r="BP363" i="33"/>
  <c r="BP359" i="33"/>
  <c r="BP355" i="33"/>
  <c r="BP351" i="33"/>
  <c r="BP347" i="33"/>
  <c r="BP343" i="33"/>
  <c r="BP339" i="33"/>
  <c r="BP335" i="33"/>
  <c r="BP331" i="33"/>
  <c r="BP327" i="33"/>
  <c r="BP323" i="33"/>
  <c r="BP319" i="33"/>
  <c r="BP315" i="33"/>
  <c r="BP311" i="33"/>
  <c r="BP307" i="33"/>
  <c r="BP303" i="33"/>
  <c r="BP299" i="33"/>
  <c r="BP295" i="33"/>
  <c r="BP291" i="33"/>
  <c r="BP287" i="33"/>
  <c r="BP283" i="33"/>
  <c r="BP279" i="33"/>
  <c r="BP275" i="33"/>
  <c r="BP271" i="33"/>
  <c r="BP267" i="33"/>
  <c r="BP263" i="33"/>
  <c r="BP259" i="33"/>
  <c r="BP255" i="33"/>
  <c r="BP251" i="33"/>
  <c r="BP247" i="33"/>
  <c r="BP243" i="33"/>
  <c r="BP239" i="33"/>
  <c r="BP235" i="33"/>
  <c r="BP231" i="33"/>
  <c r="BP227" i="33"/>
  <c r="BP223" i="33"/>
  <c r="BP219" i="33"/>
  <c r="BP215" i="33"/>
  <c r="BP211" i="33"/>
  <c r="BP207" i="33"/>
  <c r="BP203" i="33"/>
  <c r="BP199" i="33"/>
  <c r="BP195" i="33"/>
  <c r="BP191" i="33"/>
  <c r="BP187" i="33"/>
  <c r="BP183" i="33"/>
  <c r="BP179" i="33"/>
  <c r="BP175" i="33"/>
  <c r="BP171" i="33"/>
  <c r="BP167" i="33"/>
  <c r="BP163" i="33"/>
  <c r="BP159" i="33"/>
  <c r="BP155" i="33"/>
  <c r="BP151" i="33"/>
  <c r="BP147" i="33"/>
  <c r="BP143" i="33"/>
  <c r="BP139" i="33"/>
  <c r="BP135" i="33"/>
  <c r="BP131" i="33"/>
  <c r="BP127" i="33"/>
  <c r="BP123" i="33"/>
  <c r="BP119" i="33"/>
  <c r="BP115" i="33"/>
  <c r="BP111" i="33"/>
  <c r="BP107" i="33"/>
  <c r="BP103" i="33"/>
  <c r="BP99" i="33"/>
  <c r="BP95" i="33"/>
  <c r="BP91" i="33"/>
  <c r="BP87" i="33"/>
  <c r="BP83" i="33"/>
  <c r="BP79" i="33"/>
  <c r="BP75" i="33"/>
  <c r="BP71" i="33"/>
  <c r="BP67" i="33"/>
  <c r="BP63" i="33"/>
  <c r="BP59" i="33"/>
  <c r="BP55" i="33"/>
  <c r="BP51" i="33"/>
  <c r="BP737" i="33"/>
  <c r="BP731" i="33"/>
  <c r="BM726" i="33"/>
  <c r="BP720" i="33"/>
  <c r="BP715" i="33"/>
  <c r="BM710" i="33"/>
  <c r="BP704" i="33"/>
  <c r="BP699" i="33"/>
  <c r="BM695" i="33"/>
  <c r="BM691" i="33"/>
  <c r="BM687" i="33"/>
  <c r="BM683" i="33"/>
  <c r="BM679" i="33"/>
  <c r="BM675" i="33"/>
  <c r="BM671" i="33"/>
  <c r="BM667" i="33"/>
  <c r="BM663" i="33"/>
  <c r="BM659" i="33"/>
  <c r="BM655" i="33"/>
  <c r="BM651" i="33"/>
  <c r="BM647" i="33"/>
  <c r="BM643" i="33"/>
  <c r="BM639" i="33"/>
  <c r="BM635" i="33"/>
  <c r="BM631" i="33"/>
  <c r="BM627" i="33"/>
  <c r="BM623" i="33"/>
  <c r="BM619" i="33"/>
  <c r="BM615" i="33"/>
  <c r="BM611" i="33"/>
  <c r="BM607" i="33"/>
  <c r="BM603" i="33"/>
  <c r="BM599" i="33"/>
  <c r="BM595" i="33"/>
  <c r="BM591" i="33"/>
  <c r="BM587" i="33"/>
  <c r="BM583" i="33"/>
  <c r="BM579" i="33"/>
  <c r="BM575" i="33"/>
  <c r="BM571" i="33"/>
  <c r="BM567" i="33"/>
  <c r="BM563" i="33"/>
  <c r="BM559" i="33"/>
  <c r="BM555" i="33"/>
  <c r="BM551" i="33"/>
  <c r="BM547" i="33"/>
  <c r="BM543" i="33"/>
  <c r="BM539" i="33"/>
  <c r="BM535" i="33"/>
  <c r="BM531" i="33"/>
  <c r="BM527" i="33"/>
  <c r="BM523" i="33"/>
  <c r="BM519" i="33"/>
  <c r="BM515" i="33"/>
  <c r="BM511" i="33"/>
  <c r="BM507" i="33"/>
  <c r="BM503" i="33"/>
  <c r="BM499" i="33"/>
  <c r="BM495" i="33"/>
  <c r="BM491" i="33"/>
  <c r="BM487" i="33"/>
  <c r="BM483" i="33"/>
  <c r="BM479" i="33"/>
  <c r="BM475" i="33"/>
  <c r="BM471" i="33"/>
  <c r="BM467" i="33"/>
  <c r="BM463" i="33"/>
  <c r="BM459" i="33"/>
  <c r="BM455" i="33"/>
  <c r="BM451" i="33"/>
  <c r="BM447" i="33"/>
  <c r="BM443" i="33"/>
  <c r="BM439" i="33"/>
  <c r="BM435" i="33"/>
  <c r="BM431" i="33"/>
  <c r="BM427" i="33"/>
  <c r="BM423" i="33"/>
  <c r="BM419" i="33"/>
  <c r="BM415" i="33"/>
  <c r="BM411" i="33"/>
  <c r="BM407" i="33"/>
  <c r="BM403" i="33"/>
  <c r="BM399" i="33"/>
  <c r="BM395" i="33"/>
  <c r="BM391" i="33"/>
  <c r="BM387" i="33"/>
  <c r="BM383" i="33"/>
  <c r="BM379" i="33"/>
  <c r="BM375" i="33"/>
  <c r="BM371" i="33"/>
  <c r="BM367" i="33"/>
  <c r="BM363" i="33"/>
  <c r="BM359" i="33"/>
  <c r="BM355" i="33"/>
  <c r="BM351" i="33"/>
  <c r="BM347" i="33"/>
  <c r="BM343" i="33"/>
  <c r="BM339" i="33"/>
  <c r="BM335" i="33"/>
  <c r="BM331" i="33"/>
  <c r="BM327" i="33"/>
  <c r="BM323" i="33"/>
  <c r="BM319" i="33"/>
  <c r="BM315" i="33"/>
  <c r="BM311" i="33"/>
  <c r="BM307" i="33"/>
  <c r="BM303" i="33"/>
  <c r="BM299" i="33"/>
  <c r="BM295" i="33"/>
  <c r="BM291" i="33"/>
  <c r="BM287" i="33"/>
  <c r="BM283" i="33"/>
  <c r="BM279" i="33"/>
  <c r="BM275" i="33"/>
  <c r="BM271" i="33"/>
  <c r="BM267" i="33"/>
  <c r="BM263" i="33"/>
  <c r="BM259" i="33"/>
  <c r="BM255" i="33"/>
  <c r="BM251" i="33"/>
  <c r="BM247" i="33"/>
  <c r="BM243" i="33"/>
  <c r="BM239" i="33"/>
  <c r="BM235" i="33"/>
  <c r="BM231" i="33"/>
  <c r="BM227" i="33"/>
  <c r="BM223" i="33"/>
  <c r="BM219" i="33"/>
  <c r="BM215" i="33"/>
  <c r="BM211" i="33"/>
  <c r="BM207" i="33"/>
  <c r="BM203" i="33"/>
  <c r="BM199" i="33"/>
  <c r="BM195" i="33"/>
  <c r="BM191" i="33"/>
  <c r="BM187" i="33"/>
  <c r="BM183" i="33"/>
  <c r="BM179" i="33"/>
  <c r="BM175" i="33"/>
  <c r="BM171" i="33"/>
  <c r="BM167" i="33"/>
  <c r="BM163" i="33"/>
  <c r="BM159" i="33"/>
  <c r="BM155" i="33"/>
  <c r="BM151" i="33"/>
  <c r="BM147" i="33"/>
  <c r="BM143" i="33"/>
  <c r="BM139" i="33"/>
  <c r="BM135" i="33"/>
  <c r="BM131" i="33"/>
  <c r="BM127" i="33"/>
  <c r="BM123" i="33"/>
  <c r="BM119" i="33"/>
  <c r="BM115" i="33"/>
  <c r="BM111" i="33"/>
  <c r="BM107" i="33"/>
  <c r="BM103" i="33"/>
  <c r="BM99" i="33"/>
  <c r="BM95" i="33"/>
  <c r="BM91" i="33"/>
  <c r="BM87" i="33"/>
  <c r="BM83" i="33"/>
  <c r="BM79" i="33"/>
  <c r="BM75" i="33"/>
  <c r="BM71" i="33"/>
  <c r="BM67" i="33"/>
  <c r="BM63" i="33"/>
  <c r="BM59" i="33"/>
  <c r="BM55" i="33"/>
  <c r="BM51" i="33"/>
  <c r="BP736" i="33"/>
  <c r="BP730" i="33"/>
  <c r="BP725" i="33"/>
  <c r="BM720" i="33"/>
  <c r="BP714" i="33"/>
  <c r="BP709" i="33"/>
  <c r="BM704" i="33"/>
  <c r="BP698" i="33"/>
  <c r="BP694" i="33"/>
  <c r="BP690" i="33"/>
  <c r="BP686" i="33"/>
  <c r="BP682" i="33"/>
  <c r="BP678" i="33"/>
  <c r="BP674" i="33"/>
  <c r="BP670" i="33"/>
  <c r="BP666" i="33"/>
  <c r="BP662" i="33"/>
  <c r="BP658" i="33"/>
  <c r="BP654" i="33"/>
  <c r="BP650" i="33"/>
  <c r="BP646" i="33"/>
  <c r="BP642" i="33"/>
  <c r="BP638" i="33"/>
  <c r="BP634" i="33"/>
  <c r="BP630" i="33"/>
  <c r="BP626" i="33"/>
  <c r="BP622" i="33"/>
  <c r="BP618" i="33"/>
  <c r="BP614" i="33"/>
  <c r="BP610" i="33"/>
  <c r="BP606" i="33"/>
  <c r="BP602" i="33"/>
  <c r="BP598" i="33"/>
  <c r="BP594" i="33"/>
  <c r="BP590" i="33"/>
  <c r="BP586" i="33"/>
  <c r="BP582" i="33"/>
  <c r="BP578" i="33"/>
  <c r="BP574" i="33"/>
  <c r="BP570" i="33"/>
  <c r="BP566" i="33"/>
  <c r="BP562" i="33"/>
  <c r="BP558" i="33"/>
  <c r="BP554" i="33"/>
  <c r="BP550" i="33"/>
  <c r="BP546" i="33"/>
  <c r="BP542" i="33"/>
  <c r="BP538" i="33"/>
  <c r="BP534" i="33"/>
  <c r="BP530" i="33"/>
  <c r="BP526" i="33"/>
  <c r="BP522" i="33"/>
  <c r="BP518" i="33"/>
  <c r="BP514" i="33"/>
  <c r="BP510" i="33"/>
  <c r="BP506" i="33"/>
  <c r="BP502" i="33"/>
  <c r="BP498" i="33"/>
  <c r="BP494" i="33"/>
  <c r="BP490" i="33"/>
  <c r="BP486" i="33"/>
  <c r="BP482" i="33"/>
  <c r="BP478" i="33"/>
  <c r="BP474" i="33"/>
  <c r="BP470" i="33"/>
  <c r="BP466" i="33"/>
  <c r="BP462" i="33"/>
  <c r="BP458" i="33"/>
  <c r="BP454" i="33"/>
  <c r="BP450" i="33"/>
  <c r="BP446" i="33"/>
  <c r="BP442" i="33"/>
  <c r="BP438" i="33"/>
  <c r="BP434" i="33"/>
  <c r="BP430" i="33"/>
  <c r="BP426" i="33"/>
  <c r="BP422" i="33"/>
  <c r="BP418" i="33"/>
  <c r="BP414" i="33"/>
  <c r="BP410" i="33"/>
  <c r="BP406" i="33"/>
  <c r="BP402" i="33"/>
  <c r="BP398" i="33"/>
  <c r="BP394" i="33"/>
  <c r="BP390" i="33"/>
  <c r="BP386" i="33"/>
  <c r="BP382" i="33"/>
  <c r="BP378" i="33"/>
  <c r="BP374" i="33"/>
  <c r="BP370" i="33"/>
  <c r="BP366" i="33"/>
  <c r="BP362" i="33"/>
  <c r="BP358" i="33"/>
  <c r="BP354" i="33"/>
  <c r="BP350" i="33"/>
  <c r="BP346" i="33"/>
  <c r="BP342" i="33"/>
  <c r="BP338" i="33"/>
  <c r="BP334" i="33"/>
  <c r="BP330" i="33"/>
  <c r="BP326" i="33"/>
  <c r="BP322" i="33"/>
  <c r="BP318" i="33"/>
  <c r="BP314" i="33"/>
  <c r="BP310" i="33"/>
  <c r="BP306" i="33"/>
  <c r="BP302" i="33"/>
  <c r="BP298" i="33"/>
  <c r="BP294" i="33"/>
  <c r="BP290" i="33"/>
  <c r="BP286" i="33"/>
  <c r="BP282" i="33"/>
  <c r="BP278" i="33"/>
  <c r="BP274" i="33"/>
  <c r="BP270" i="33"/>
  <c r="BP266" i="33"/>
  <c r="BP262" i="33"/>
  <c r="BP258" i="33"/>
  <c r="BP254" i="33"/>
  <c r="BP250" i="33"/>
  <c r="BP246" i="33"/>
  <c r="BP242" i="33"/>
  <c r="BP238" i="33"/>
  <c r="BP234" i="33"/>
  <c r="BP230" i="33"/>
  <c r="BP226" i="33"/>
  <c r="BP222" i="33"/>
  <c r="BP218" i="33"/>
  <c r="BP214" i="33"/>
  <c r="BP210" i="33"/>
  <c r="BP206" i="33"/>
  <c r="BP202" i="33"/>
  <c r="BP198" i="33"/>
  <c r="BP194" i="33"/>
  <c r="BP190" i="33"/>
  <c r="BP186" i="33"/>
  <c r="BP182" i="33"/>
  <c r="BP178" i="33"/>
  <c r="BP174" i="33"/>
  <c r="BP170" i="33"/>
  <c r="BP166" i="33"/>
  <c r="BP162" i="33"/>
  <c r="BP158" i="33"/>
  <c r="BP154" i="33"/>
  <c r="BP150" i="33"/>
  <c r="BP146" i="33"/>
  <c r="BP142" i="33"/>
  <c r="BP138" i="33"/>
  <c r="BP134" i="33"/>
  <c r="BP130" i="33"/>
  <c r="BP126" i="33"/>
  <c r="BP122" i="33"/>
  <c r="BP118" i="33"/>
  <c r="BP114" i="33"/>
  <c r="BP110" i="33"/>
  <c r="BP106" i="33"/>
  <c r="BP102" i="33"/>
  <c r="BP98" i="33"/>
  <c r="BP94" i="33"/>
  <c r="BP90" i="33"/>
  <c r="BP86" i="33"/>
  <c r="BP82" i="33"/>
  <c r="BP78" i="33"/>
  <c r="BP74" i="33"/>
  <c r="BP70" i="33"/>
  <c r="BP66" i="33"/>
  <c r="BP62" i="33"/>
  <c r="BP58" i="33"/>
  <c r="BP54" i="33"/>
  <c r="BP50" i="33"/>
  <c r="BP749" i="33"/>
  <c r="BP735" i="33"/>
  <c r="BM730" i="33"/>
  <c r="BP724" i="33"/>
  <c r="BP719" i="33"/>
  <c r="BM714" i="33"/>
  <c r="BP708" i="33"/>
  <c r="BP703" i="33"/>
  <c r="BM698" i="33"/>
  <c r="BM694" i="33"/>
  <c r="BM690" i="33"/>
  <c r="BM686" i="33"/>
  <c r="BM682" i="33"/>
  <c r="BM678" i="33"/>
  <c r="BM674" i="33"/>
  <c r="BM670" i="33"/>
  <c r="BM666" i="33"/>
  <c r="BM662" i="33"/>
  <c r="BM658" i="33"/>
  <c r="BM654" i="33"/>
  <c r="BM650" i="33"/>
  <c r="BM646" i="33"/>
  <c r="BM642" i="33"/>
  <c r="BM638" i="33"/>
  <c r="BM634" i="33"/>
  <c r="BM630" i="33"/>
  <c r="BM626" i="33"/>
  <c r="BM622" i="33"/>
  <c r="BM618" i="33"/>
  <c r="BM614" i="33"/>
  <c r="BM610" i="33"/>
  <c r="BM606" i="33"/>
  <c r="BM602" i="33"/>
  <c r="BM598" i="33"/>
  <c r="BM594" i="33"/>
  <c r="BM590" i="33"/>
  <c r="BM586" i="33"/>
  <c r="BM582" i="33"/>
  <c r="BM578" i="33"/>
  <c r="BM574" i="33"/>
  <c r="BM570" i="33"/>
  <c r="BM566" i="33"/>
  <c r="BM562" i="33"/>
  <c r="BM558" i="33"/>
  <c r="BM554" i="33"/>
  <c r="BM550" i="33"/>
  <c r="BM546" i="33"/>
  <c r="BM542" i="33"/>
  <c r="BM538" i="33"/>
  <c r="BM534" i="33"/>
  <c r="BM530" i="33"/>
  <c r="BM526" i="33"/>
  <c r="BM522" i="33"/>
  <c r="BM518" i="33"/>
  <c r="BM514" i="33"/>
  <c r="BM510" i="33"/>
  <c r="BM506" i="33"/>
  <c r="BM502" i="33"/>
  <c r="BM498" i="33"/>
  <c r="BM494" i="33"/>
  <c r="BM490" i="33"/>
  <c r="BM486" i="33"/>
  <c r="BM482" i="33"/>
  <c r="BM478" i="33"/>
  <c r="BM474" i="33"/>
  <c r="BM470" i="33"/>
  <c r="BM466" i="33"/>
  <c r="BM462" i="33"/>
  <c r="BM458" i="33"/>
  <c r="BM454" i="33"/>
  <c r="BM450" i="33"/>
  <c r="BM446" i="33"/>
  <c r="BM442" i="33"/>
  <c r="BM438" i="33"/>
  <c r="BM434" i="33"/>
  <c r="BM430" i="33"/>
  <c r="BM426" i="33"/>
  <c r="BM422" i="33"/>
  <c r="BM418" i="33"/>
  <c r="BM414" i="33"/>
  <c r="BM410" i="33"/>
  <c r="BM406" i="33"/>
  <c r="BM402" i="33"/>
  <c r="BM398" i="33"/>
  <c r="BM394" i="33"/>
  <c r="BM390" i="33"/>
  <c r="BM386" i="33"/>
  <c r="BM382" i="33"/>
  <c r="BM378" i="33"/>
  <c r="BM374" i="33"/>
  <c r="BM370" i="33"/>
  <c r="BM366" i="33"/>
  <c r="BM362" i="33"/>
  <c r="BM358" i="33"/>
  <c r="BM354" i="33"/>
  <c r="BM350" i="33"/>
  <c r="BM346" i="33"/>
  <c r="BM342" i="33"/>
  <c r="BM338" i="33"/>
  <c r="BM334" i="33"/>
  <c r="BM330" i="33"/>
  <c r="BM326" i="33"/>
  <c r="BM322" i="33"/>
  <c r="BM318" i="33"/>
  <c r="BM314" i="33"/>
  <c r="BM310" i="33"/>
  <c r="BM306" i="33"/>
  <c r="BM302" i="33"/>
  <c r="BM298" i="33"/>
  <c r="BM294" i="33"/>
  <c r="BM290" i="33"/>
  <c r="BM286" i="33"/>
  <c r="BM282" i="33"/>
  <c r="BM278" i="33"/>
  <c r="BM274" i="33"/>
  <c r="BM270" i="33"/>
  <c r="BM266" i="33"/>
  <c r="BM262" i="33"/>
  <c r="BM258" i="33"/>
  <c r="BM254" i="33"/>
  <c r="BM250" i="33"/>
  <c r="BM246" i="33"/>
  <c r="BM242" i="33"/>
  <c r="BM238" i="33"/>
  <c r="BM234" i="33"/>
  <c r="BM230" i="33"/>
  <c r="BM226" i="33"/>
  <c r="BM222" i="33"/>
  <c r="BM218" i="33"/>
  <c r="BM214" i="33"/>
  <c r="BM210" i="33"/>
  <c r="BM206" i="33"/>
  <c r="BM202" i="33"/>
  <c r="BM198" i="33"/>
  <c r="BM194" i="33"/>
  <c r="BM190" i="33"/>
  <c r="BM186" i="33"/>
  <c r="BM182" i="33"/>
  <c r="BM178" i="33"/>
  <c r="BM174" i="33"/>
  <c r="BM170" i="33"/>
  <c r="BM166" i="33"/>
  <c r="BM162" i="33"/>
  <c r="BM158" i="33"/>
  <c r="BM154" i="33"/>
  <c r="BM150" i="33"/>
  <c r="BM146" i="33"/>
  <c r="BM142" i="33"/>
  <c r="BM138" i="33"/>
  <c r="BM134" i="33"/>
  <c r="BM130" i="33"/>
  <c r="BM126" i="33"/>
  <c r="BM122" i="33"/>
  <c r="BM118" i="33"/>
  <c r="BM114" i="33"/>
  <c r="BM110" i="33"/>
  <c r="BM106" i="33"/>
  <c r="BM102" i="33"/>
  <c r="BM98" i="33"/>
  <c r="BM94" i="33"/>
  <c r="BM90" i="33"/>
  <c r="BM86" i="33"/>
  <c r="BM82" i="33"/>
  <c r="BM78" i="33"/>
  <c r="BM74" i="33"/>
  <c r="BM70" i="33"/>
  <c r="BM66" i="33"/>
  <c r="BM62" i="33"/>
  <c r="BM58" i="33"/>
  <c r="BM54" i="33"/>
  <c r="BM50" i="33"/>
  <c r="BM46" i="33"/>
  <c r="BM42" i="33"/>
  <c r="BM38" i="33"/>
  <c r="BM34" i="33"/>
  <c r="BM30" i="33"/>
  <c r="BM26" i="33"/>
  <c r="BM22" i="33"/>
  <c r="BM18" i="33"/>
  <c r="BM14" i="33"/>
  <c r="BM10" i="33"/>
  <c r="BM6" i="33"/>
  <c r="BG1003" i="33"/>
  <c r="BG999" i="33"/>
  <c r="BG995" i="33"/>
  <c r="BG991" i="33"/>
  <c r="BP48" i="33"/>
  <c r="BM43" i="33"/>
  <c r="BP37" i="33"/>
  <c r="BP32" i="33"/>
  <c r="BM27" i="33"/>
  <c r="BP21" i="33"/>
  <c r="BP16" i="33"/>
  <c r="BM11" i="33"/>
  <c r="BP5" i="33"/>
  <c r="BJ1001" i="33"/>
  <c r="BG996" i="33"/>
  <c r="BJ990" i="33"/>
  <c r="BJ986" i="33"/>
  <c r="BJ982" i="33"/>
  <c r="BJ978" i="33"/>
  <c r="BJ974" i="33"/>
  <c r="BJ970" i="33"/>
  <c r="BJ966" i="33"/>
  <c r="BJ962" i="33"/>
  <c r="BJ958" i="33"/>
  <c r="BJ954" i="33"/>
  <c r="BJ950" i="33"/>
  <c r="BJ946" i="33"/>
  <c r="BJ942" i="33"/>
  <c r="BJ938" i="33"/>
  <c r="BJ934" i="33"/>
  <c r="BJ930" i="33"/>
  <c r="BJ926" i="33"/>
  <c r="BJ922" i="33"/>
  <c r="BJ918" i="33"/>
  <c r="BJ914" i="33"/>
  <c r="BJ910" i="33"/>
  <c r="BJ906" i="33"/>
  <c r="BJ902" i="33"/>
  <c r="BJ898" i="33"/>
  <c r="BJ894" i="33"/>
  <c r="BJ890" i="33"/>
  <c r="BJ886" i="33"/>
  <c r="BJ882" i="33"/>
  <c r="BJ878" i="33"/>
  <c r="BJ874" i="33"/>
  <c r="BJ870" i="33"/>
  <c r="BJ866" i="33"/>
  <c r="BJ862" i="33"/>
  <c r="BJ858" i="33"/>
  <c r="BJ854" i="33"/>
  <c r="BJ850" i="33"/>
  <c r="BJ846" i="33"/>
  <c r="BJ842" i="33"/>
  <c r="BJ838" i="33"/>
  <c r="BJ834" i="33"/>
  <c r="BJ830" i="33"/>
  <c r="BJ826" i="33"/>
  <c r="BJ822" i="33"/>
  <c r="BJ818" i="33"/>
  <c r="BJ814" i="33"/>
  <c r="BJ810" i="33"/>
  <c r="BJ806" i="33"/>
  <c r="BJ802" i="33"/>
  <c r="BJ798" i="33"/>
  <c r="BJ794" i="33"/>
  <c r="BJ790" i="33"/>
  <c r="BJ786" i="33"/>
  <c r="BJ782" i="33"/>
  <c r="BJ778" i="33"/>
  <c r="BJ774" i="33"/>
  <c r="BJ770" i="33"/>
  <c r="BJ766" i="33"/>
  <c r="BJ762" i="33"/>
  <c r="BJ758" i="33"/>
  <c r="BJ754" i="33"/>
  <c r="BJ750" i="33"/>
  <c r="BJ746" i="33"/>
  <c r="BJ742" i="33"/>
  <c r="BJ738" i="33"/>
  <c r="BJ734" i="33"/>
  <c r="BJ730" i="33"/>
  <c r="BJ726" i="33"/>
  <c r="BJ722" i="33"/>
  <c r="BJ718" i="33"/>
  <c r="BJ714" i="33"/>
  <c r="BJ710" i="33"/>
  <c r="BJ706" i="33"/>
  <c r="BJ702" i="33"/>
  <c r="BJ698" i="33"/>
  <c r="BJ694" i="33"/>
  <c r="BJ690" i="33"/>
  <c r="BJ686" i="33"/>
  <c r="BJ682" i="33"/>
  <c r="BJ678" i="33"/>
  <c r="BJ674" i="33"/>
  <c r="BJ670" i="33"/>
  <c r="BJ666" i="33"/>
  <c r="BJ662" i="33"/>
  <c r="BJ658" i="33"/>
  <c r="BJ654" i="33"/>
  <c r="BJ650" i="33"/>
  <c r="BJ646" i="33"/>
  <c r="BJ642" i="33"/>
  <c r="BJ638" i="33"/>
  <c r="BJ634" i="33"/>
  <c r="BJ630" i="33"/>
  <c r="BJ626" i="33"/>
  <c r="BJ622" i="33"/>
  <c r="BJ618" i="33"/>
  <c r="BJ614" i="33"/>
  <c r="BJ610" i="33"/>
  <c r="BJ606" i="33"/>
  <c r="BJ602" i="33"/>
  <c r="BJ598" i="33"/>
  <c r="BJ594" i="33"/>
  <c r="BJ590" i="33"/>
  <c r="BJ586" i="33"/>
  <c r="BJ582" i="33"/>
  <c r="BJ578" i="33"/>
  <c r="BJ574" i="33"/>
  <c r="BJ570" i="33"/>
  <c r="BJ566" i="33"/>
  <c r="BJ562" i="33"/>
  <c r="BJ558" i="33"/>
  <c r="BJ554" i="33"/>
  <c r="BJ550" i="33"/>
  <c r="BJ546" i="33"/>
  <c r="BJ542" i="33"/>
  <c r="BJ538" i="33"/>
  <c r="BJ534" i="33"/>
  <c r="BJ530" i="33"/>
  <c r="BJ526" i="33"/>
  <c r="BJ522" i="33"/>
  <c r="BJ518" i="33"/>
  <c r="BJ514" i="33"/>
  <c r="BJ510" i="33"/>
  <c r="BJ506" i="33"/>
  <c r="BJ502" i="33"/>
  <c r="BJ498" i="33"/>
  <c r="BJ494" i="33"/>
  <c r="BJ490" i="33"/>
  <c r="BJ486" i="33"/>
  <c r="BJ482" i="33"/>
  <c r="BJ478" i="33"/>
  <c r="BJ474" i="33"/>
  <c r="BJ470" i="33"/>
  <c r="BJ466" i="33"/>
  <c r="BJ462" i="33"/>
  <c r="BJ458" i="33"/>
  <c r="BJ454" i="33"/>
  <c r="BJ450" i="33"/>
  <c r="BJ446" i="33"/>
  <c r="BJ442" i="33"/>
  <c r="BJ438" i="33"/>
  <c r="BJ434" i="33"/>
  <c r="BJ430" i="33"/>
  <c r="BJ426" i="33"/>
  <c r="BJ422" i="33"/>
  <c r="BJ418" i="33"/>
  <c r="BJ414" i="33"/>
  <c r="BJ410" i="33"/>
  <c r="BJ406" i="33"/>
  <c r="BJ402" i="33"/>
  <c r="BJ398" i="33"/>
  <c r="BJ394" i="33"/>
  <c r="BJ390" i="33"/>
  <c r="BJ386" i="33"/>
  <c r="BJ382" i="33"/>
  <c r="BJ378" i="33"/>
  <c r="BJ374" i="33"/>
  <c r="BJ370" i="33"/>
  <c r="BJ366" i="33"/>
  <c r="BJ362" i="33"/>
  <c r="BJ358" i="33"/>
  <c r="BJ354" i="33"/>
  <c r="BP47" i="33"/>
  <c r="BP42" i="33"/>
  <c r="BM37" i="33"/>
  <c r="BP31" i="33"/>
  <c r="BP26" i="33"/>
  <c r="BM21" i="33"/>
  <c r="BP15" i="33"/>
  <c r="BP10" i="33"/>
  <c r="BM5" i="33"/>
  <c r="BJ1000" i="33"/>
  <c r="BJ995" i="33"/>
  <c r="BG990" i="33"/>
  <c r="BG986" i="33"/>
  <c r="BG982" i="33"/>
  <c r="BG978" i="33"/>
  <c r="BG974" i="33"/>
  <c r="BG970" i="33"/>
  <c r="BG966" i="33"/>
  <c r="BG962" i="33"/>
  <c r="BG958" i="33"/>
  <c r="BG954" i="33"/>
  <c r="BG950" i="33"/>
  <c r="BG946" i="33"/>
  <c r="BG942" i="33"/>
  <c r="BG938" i="33"/>
  <c r="BG934" i="33"/>
  <c r="BG930" i="33"/>
  <c r="BG926" i="33"/>
  <c r="BG922" i="33"/>
  <c r="BG918" i="33"/>
  <c r="BG914" i="33"/>
  <c r="BG910" i="33"/>
  <c r="BG906" i="33"/>
  <c r="BG902" i="33"/>
  <c r="BG898" i="33"/>
  <c r="BG894" i="33"/>
  <c r="BG890" i="33"/>
  <c r="BG886" i="33"/>
  <c r="BG882" i="33"/>
  <c r="BG878" i="33"/>
  <c r="BG874" i="33"/>
  <c r="BG870" i="33"/>
  <c r="BG866" i="33"/>
  <c r="BG862" i="33"/>
  <c r="BG858" i="33"/>
  <c r="BG854" i="33"/>
  <c r="BG850" i="33"/>
  <c r="BG846" i="33"/>
  <c r="BG842" i="33"/>
  <c r="BG838" i="33"/>
  <c r="BG834" i="33"/>
  <c r="BG830" i="33"/>
  <c r="BG826" i="33"/>
  <c r="BG822" i="33"/>
  <c r="BG818" i="33"/>
  <c r="BG814" i="33"/>
  <c r="BG810" i="33"/>
  <c r="BG806" i="33"/>
  <c r="BG802" i="33"/>
  <c r="BG798" i="33"/>
  <c r="BG794" i="33"/>
  <c r="BG790" i="33"/>
  <c r="BG786" i="33"/>
  <c r="BG782" i="33"/>
  <c r="BG778" i="33"/>
  <c r="BG774" i="33"/>
  <c r="BG770" i="33"/>
  <c r="BG766" i="33"/>
  <c r="BG762" i="33"/>
  <c r="BG758" i="33"/>
  <c r="BG754" i="33"/>
  <c r="BG750" i="33"/>
  <c r="BG746" i="33"/>
  <c r="BG742" i="33"/>
  <c r="BG738" i="33"/>
  <c r="BG734" i="33"/>
  <c r="BG730" i="33"/>
  <c r="BG726" i="33"/>
  <c r="BG722" i="33"/>
  <c r="BG718" i="33"/>
  <c r="BG714" i="33"/>
  <c r="BG710" i="33"/>
  <c r="BG706" i="33"/>
  <c r="BG702" i="33"/>
  <c r="BG698" i="33"/>
  <c r="BG694" i="33"/>
  <c r="BG690" i="33"/>
  <c r="BG686" i="33"/>
  <c r="BG682" i="33"/>
  <c r="BG678" i="33"/>
  <c r="BG674" i="33"/>
  <c r="BG670" i="33"/>
  <c r="BG666" i="33"/>
  <c r="BG662" i="33"/>
  <c r="BG658" i="33"/>
  <c r="BG654" i="33"/>
  <c r="BG650" i="33"/>
  <c r="BG646" i="33"/>
  <c r="BG642" i="33"/>
  <c r="BG638" i="33"/>
  <c r="BG634" i="33"/>
  <c r="BG630" i="33"/>
  <c r="BG626" i="33"/>
  <c r="BG622" i="33"/>
  <c r="BG618" i="33"/>
  <c r="BG614" i="33"/>
  <c r="BG610" i="33"/>
  <c r="BG606" i="33"/>
  <c r="BG602" i="33"/>
  <c r="BG598" i="33"/>
  <c r="BG594" i="33"/>
  <c r="BG590" i="33"/>
  <c r="BG586" i="33"/>
  <c r="BG582" i="33"/>
  <c r="BG578" i="33"/>
  <c r="BG574" i="33"/>
  <c r="BG570" i="33"/>
  <c r="BG566" i="33"/>
  <c r="BG562" i="33"/>
  <c r="BG558" i="33"/>
  <c r="BG554" i="33"/>
  <c r="BG550" i="33"/>
  <c r="BG546" i="33"/>
  <c r="BG542" i="33"/>
  <c r="BG538" i="33"/>
  <c r="BG534" i="33"/>
  <c r="BG530" i="33"/>
  <c r="BG526" i="33"/>
  <c r="BG522" i="33"/>
  <c r="BG518" i="33"/>
  <c r="BG514" i="33"/>
  <c r="BG510" i="33"/>
  <c r="BG506" i="33"/>
  <c r="BG502" i="33"/>
  <c r="BG498" i="33"/>
  <c r="BG494" i="33"/>
  <c r="BG490" i="33"/>
  <c r="BG486" i="33"/>
  <c r="BG482" i="33"/>
  <c r="BG478" i="33"/>
  <c r="BG474" i="33"/>
  <c r="BG470" i="33"/>
  <c r="BG466" i="33"/>
  <c r="BG462" i="33"/>
  <c r="BG458" i="33"/>
  <c r="BG454" i="33"/>
  <c r="BG450" i="33"/>
  <c r="BG446" i="33"/>
  <c r="BG442" i="33"/>
  <c r="BG438" i="33"/>
  <c r="BG434" i="33"/>
  <c r="BG430" i="33"/>
  <c r="BG426" i="33"/>
  <c r="BG422" i="33"/>
  <c r="BG418" i="33"/>
  <c r="BG414" i="33"/>
  <c r="BG410" i="33"/>
  <c r="BG406" i="33"/>
  <c r="BG402" i="33"/>
  <c r="BG398" i="33"/>
  <c r="BG394" i="33"/>
  <c r="BG390" i="33"/>
  <c r="BG386" i="33"/>
  <c r="BG382" i="33"/>
  <c r="BG378" i="33"/>
  <c r="BG374" i="33"/>
  <c r="BG370" i="33"/>
  <c r="BG366" i="33"/>
  <c r="BG362" i="33"/>
  <c r="BG358" i="33"/>
  <c r="BG354" i="33"/>
  <c r="BM47" i="33"/>
  <c r="BP41" i="33"/>
  <c r="BP36" i="33"/>
  <c r="BM31" i="33"/>
  <c r="BP25" i="33"/>
  <c r="BP20" i="33"/>
  <c r="BM15" i="33"/>
  <c r="BP9" i="33"/>
  <c r="BP4" i="33"/>
  <c r="BG1000" i="33"/>
  <c r="BJ994" i="33"/>
  <c r="BJ989" i="33"/>
  <c r="BJ985" i="33"/>
  <c r="BJ981" i="33"/>
  <c r="BJ977" i="33"/>
  <c r="BJ973" i="33"/>
  <c r="BJ969" i="33"/>
  <c r="BJ965" i="33"/>
  <c r="BJ961" i="33"/>
  <c r="BJ957" i="33"/>
  <c r="BJ953" i="33"/>
  <c r="BJ949" i="33"/>
  <c r="BJ945" i="33"/>
  <c r="BJ941" i="33"/>
  <c r="BJ937" i="33"/>
  <c r="BJ933" i="33"/>
  <c r="BJ929" i="33"/>
  <c r="BJ925" i="33"/>
  <c r="BJ921" i="33"/>
  <c r="BJ917" i="33"/>
  <c r="BJ913" i="33"/>
  <c r="BJ909" i="33"/>
  <c r="BJ905" i="33"/>
  <c r="BJ901" i="33"/>
  <c r="BJ897" i="33"/>
  <c r="BJ893" i="33"/>
  <c r="BJ889" i="33"/>
  <c r="BJ885" i="33"/>
  <c r="BJ881" i="33"/>
  <c r="BJ877" i="33"/>
  <c r="BJ873" i="33"/>
  <c r="BJ869" i="33"/>
  <c r="BJ865" i="33"/>
  <c r="BJ861" i="33"/>
  <c r="BJ857" i="33"/>
  <c r="BJ853" i="33"/>
  <c r="BJ849" i="33"/>
  <c r="BJ845" i="33"/>
  <c r="BJ841" i="33"/>
  <c r="BJ837" i="33"/>
  <c r="BJ833" i="33"/>
  <c r="BJ829" i="33"/>
  <c r="BJ825" i="33"/>
  <c r="BJ821" i="33"/>
  <c r="BJ817" i="33"/>
  <c r="BJ813" i="33"/>
  <c r="BJ809" i="33"/>
  <c r="BJ805" i="33"/>
  <c r="BJ801" i="33"/>
  <c r="BJ797" i="33"/>
  <c r="BJ793" i="33"/>
  <c r="BJ789" i="33"/>
  <c r="BJ785" i="33"/>
  <c r="BJ781" i="33"/>
  <c r="BJ777" i="33"/>
  <c r="BJ773" i="33"/>
  <c r="BJ769" i="33"/>
  <c r="BJ765" i="33"/>
  <c r="BJ761" i="33"/>
  <c r="BJ757" i="33"/>
  <c r="BJ753" i="33"/>
  <c r="BJ749" i="33"/>
  <c r="BJ745" i="33"/>
  <c r="BJ741" i="33"/>
  <c r="BJ737" i="33"/>
  <c r="BJ733" i="33"/>
  <c r="BJ729" i="33"/>
  <c r="BJ725" i="33"/>
  <c r="BJ721" i="33"/>
  <c r="BJ717" i="33"/>
  <c r="BJ713" i="33"/>
  <c r="BJ709" i="33"/>
  <c r="BJ705" i="33"/>
  <c r="BJ701" i="33"/>
  <c r="BJ697" i="33"/>
  <c r="BJ693" i="33"/>
  <c r="BJ689" i="33"/>
  <c r="BJ685" i="33"/>
  <c r="BJ681" i="33"/>
  <c r="BJ677" i="33"/>
  <c r="BJ673" i="33"/>
  <c r="BJ669" i="33"/>
  <c r="BJ665" i="33"/>
  <c r="BJ661" i="33"/>
  <c r="BJ657" i="33"/>
  <c r="BJ653" i="33"/>
  <c r="BJ649" i="33"/>
  <c r="BJ645" i="33"/>
  <c r="BJ641" i="33"/>
  <c r="BJ637" i="33"/>
  <c r="BJ633" i="33"/>
  <c r="BJ629" i="33"/>
  <c r="BJ625" i="33"/>
  <c r="BJ621" i="33"/>
  <c r="BJ617" i="33"/>
  <c r="BJ613" i="33"/>
  <c r="BJ609" i="33"/>
  <c r="BJ605" i="33"/>
  <c r="BJ601" i="33"/>
  <c r="BJ597" i="33"/>
  <c r="BJ593" i="33"/>
  <c r="BJ589" i="33"/>
  <c r="BJ585" i="33"/>
  <c r="BJ581" i="33"/>
  <c r="BJ577" i="33"/>
  <c r="BJ573" i="33"/>
  <c r="BJ569" i="33"/>
  <c r="BJ565" i="33"/>
  <c r="BJ561" i="33"/>
  <c r="BJ557" i="33"/>
  <c r="BJ553" i="33"/>
  <c r="BJ549" i="33"/>
  <c r="BJ545" i="33"/>
  <c r="BJ541" i="33"/>
  <c r="BJ537" i="33"/>
  <c r="BJ533" i="33"/>
  <c r="BJ529" i="33"/>
  <c r="BJ525" i="33"/>
  <c r="BJ521" i="33"/>
  <c r="BJ517" i="33"/>
  <c r="BJ513" i="33"/>
  <c r="BJ509" i="33"/>
  <c r="BJ505" i="33"/>
  <c r="BJ501" i="33"/>
  <c r="BJ497" i="33"/>
  <c r="BJ493" i="33"/>
  <c r="BJ489" i="33"/>
  <c r="BJ485" i="33"/>
  <c r="BJ481" i="33"/>
  <c r="BJ477" i="33"/>
  <c r="BJ473" i="33"/>
  <c r="BJ469" i="33"/>
  <c r="BJ465" i="33"/>
  <c r="BJ461" i="33"/>
  <c r="BJ457" i="33"/>
  <c r="BJ453" i="33"/>
  <c r="BJ449" i="33"/>
  <c r="BJ445" i="33"/>
  <c r="BJ441" i="33"/>
  <c r="BJ437" i="33"/>
  <c r="BJ433" i="33"/>
  <c r="BJ429" i="33"/>
  <c r="BJ425" i="33"/>
  <c r="BJ421" i="33"/>
  <c r="BJ417" i="33"/>
  <c r="BJ413" i="33"/>
  <c r="BJ409" i="33"/>
  <c r="BJ405" i="33"/>
  <c r="BJ401" i="33"/>
  <c r="BJ397" i="33"/>
  <c r="BJ393" i="33"/>
  <c r="BJ389" i="33"/>
  <c r="BJ385" i="33"/>
  <c r="BJ381" i="33"/>
  <c r="BJ377" i="33"/>
  <c r="BJ373" i="33"/>
  <c r="BJ369" i="33"/>
  <c r="BJ365" i="33"/>
  <c r="BJ361" i="33"/>
  <c r="BJ357" i="33"/>
  <c r="BJ353" i="33"/>
  <c r="BP46" i="33"/>
  <c r="BM41" i="33"/>
  <c r="BP35" i="33"/>
  <c r="BP30" i="33"/>
  <c r="BM25" i="33"/>
  <c r="BP19" i="33"/>
  <c r="BP14" i="33"/>
  <c r="BM9" i="33"/>
  <c r="BJ1004" i="33"/>
  <c r="BJ999" i="33"/>
  <c r="BG994" i="33"/>
  <c r="BG989" i="33"/>
  <c r="BG985" i="33"/>
  <c r="BG981" i="33"/>
  <c r="BG977" i="33"/>
  <c r="BG973" i="33"/>
  <c r="BG969" i="33"/>
  <c r="BG965" i="33"/>
  <c r="BG961" i="33"/>
  <c r="BG957" i="33"/>
  <c r="BG953" i="33"/>
  <c r="BG949" i="33"/>
  <c r="BG945" i="33"/>
  <c r="BG941" i="33"/>
  <c r="BG937" i="33"/>
  <c r="BG933" i="33"/>
  <c r="BG929" i="33"/>
  <c r="BG925" i="33"/>
  <c r="BG921" i="33"/>
  <c r="BG917" i="33"/>
  <c r="BG913" i="33"/>
  <c r="BG909" i="33"/>
  <c r="BG905" i="33"/>
  <c r="BG901" i="33"/>
  <c r="BG897" i="33"/>
  <c r="BG893" i="33"/>
  <c r="BG889" i="33"/>
  <c r="BG885" i="33"/>
  <c r="BG881" i="33"/>
  <c r="BG877" i="33"/>
  <c r="BG873" i="33"/>
  <c r="BG869" i="33"/>
  <c r="BG865" i="33"/>
  <c r="BG861" i="33"/>
  <c r="BG857" i="33"/>
  <c r="BG853" i="33"/>
  <c r="BG849" i="33"/>
  <c r="BG845" i="33"/>
  <c r="BG841" i="33"/>
  <c r="BG837" i="33"/>
  <c r="BG833" i="33"/>
  <c r="BG829" i="33"/>
  <c r="BG825" i="33"/>
  <c r="BG821" i="33"/>
  <c r="BG817" i="33"/>
  <c r="BG813" i="33"/>
  <c r="BG809" i="33"/>
  <c r="BG805" i="33"/>
  <c r="BG801" i="33"/>
  <c r="BG797" i="33"/>
  <c r="BG793" i="33"/>
  <c r="BG789" i="33"/>
  <c r="BG785" i="33"/>
  <c r="BG781" i="33"/>
  <c r="BG777" i="33"/>
  <c r="BG773" i="33"/>
  <c r="BG769" i="33"/>
  <c r="BG765" i="33"/>
  <c r="BG761" i="33"/>
  <c r="BG757" i="33"/>
  <c r="BG753" i="33"/>
  <c r="BG749" i="33"/>
  <c r="BG745" i="33"/>
  <c r="BG741" i="33"/>
  <c r="BG737" i="33"/>
  <c r="BG733" i="33"/>
  <c r="BG729" i="33"/>
  <c r="BG725" i="33"/>
  <c r="BG721" i="33"/>
  <c r="BG717" i="33"/>
  <c r="BG713" i="33"/>
  <c r="BG709" i="33"/>
  <c r="BG705" i="33"/>
  <c r="BG701" i="33"/>
  <c r="BG697" i="33"/>
  <c r="BG693" i="33"/>
  <c r="BG689" i="33"/>
  <c r="BG685" i="33"/>
  <c r="BG681" i="33"/>
  <c r="BG677" i="33"/>
  <c r="BG673" i="33"/>
  <c r="BG669" i="33"/>
  <c r="BG665" i="33"/>
  <c r="BG661" i="33"/>
  <c r="BG657" i="33"/>
  <c r="BG653" i="33"/>
  <c r="BG649" i="33"/>
  <c r="BG645" i="33"/>
  <c r="BG641" i="33"/>
  <c r="BG637" i="33"/>
  <c r="BG633" i="33"/>
  <c r="BG629" i="33"/>
  <c r="BG625" i="33"/>
  <c r="BG621" i="33"/>
  <c r="BG617" i="33"/>
  <c r="BG613" i="33"/>
  <c r="BG609" i="33"/>
  <c r="BG605" i="33"/>
  <c r="BG601" i="33"/>
  <c r="BG597" i="33"/>
  <c r="BG593" i="33"/>
  <c r="BG589" i="33"/>
  <c r="BG585" i="33"/>
  <c r="BG581" i="33"/>
  <c r="BG577" i="33"/>
  <c r="BG573" i="33"/>
  <c r="BG569" i="33"/>
  <c r="BG565" i="33"/>
  <c r="BG561" i="33"/>
  <c r="BG557" i="33"/>
  <c r="BG553" i="33"/>
  <c r="BG549" i="33"/>
  <c r="BG545" i="33"/>
  <c r="BG541" i="33"/>
  <c r="BG537" i="33"/>
  <c r="BG533" i="33"/>
  <c r="BG529" i="33"/>
  <c r="BG525" i="33"/>
  <c r="BG521" i="33"/>
  <c r="BG517" i="33"/>
  <c r="BG513" i="33"/>
  <c r="BG509" i="33"/>
  <c r="BG505" i="33"/>
  <c r="BG501" i="33"/>
  <c r="BG497" i="33"/>
  <c r="BG493" i="33"/>
  <c r="BG489" i="33"/>
  <c r="BG485" i="33"/>
  <c r="BG481" i="33"/>
  <c r="BG477" i="33"/>
  <c r="BG473" i="33"/>
  <c r="BG469" i="33"/>
  <c r="BG465" i="33"/>
  <c r="BG461" i="33"/>
  <c r="BG457" i="33"/>
  <c r="BG453" i="33"/>
  <c r="BG449" i="33"/>
  <c r="BG445" i="33"/>
  <c r="BG441" i="33"/>
  <c r="BG437" i="33"/>
  <c r="BG433" i="33"/>
  <c r="BG429" i="33"/>
  <c r="BG425" i="33"/>
  <c r="BG421" i="33"/>
  <c r="BG417" i="33"/>
  <c r="BG413" i="33"/>
  <c r="BG409" i="33"/>
  <c r="BG405" i="33"/>
  <c r="BG401" i="33"/>
  <c r="BG397" i="33"/>
  <c r="BG393" i="33"/>
  <c r="BG389" i="33"/>
  <c r="BG385" i="33"/>
  <c r="BG381" i="33"/>
  <c r="BG377" i="33"/>
  <c r="BG373" i="33"/>
  <c r="BG369" i="33"/>
  <c r="BG365" i="33"/>
  <c r="BG361" i="33"/>
  <c r="BG357" i="33"/>
  <c r="BG353" i="33"/>
  <c r="BG349" i="33"/>
  <c r="BG345" i="33"/>
  <c r="BG341" i="33"/>
  <c r="BG337" i="33"/>
  <c r="BG333" i="33"/>
  <c r="BG329" i="33"/>
  <c r="BG325" i="33"/>
  <c r="BG321" i="33"/>
  <c r="BG317" i="33"/>
  <c r="BP45" i="33"/>
  <c r="BP40" i="33"/>
  <c r="BM35" i="33"/>
  <c r="BP29" i="33"/>
  <c r="BP24" i="33"/>
  <c r="BM19" i="33"/>
  <c r="BP13" i="33"/>
  <c r="BP8" i="33"/>
  <c r="BG1004" i="33"/>
  <c r="BJ998" i="33"/>
  <c r="BJ993" i="33"/>
  <c r="BJ988" i="33"/>
  <c r="BJ984" i="33"/>
  <c r="BJ980" i="33"/>
  <c r="BJ976" i="33"/>
  <c r="BJ972" i="33"/>
  <c r="BJ968" i="33"/>
  <c r="BJ964" i="33"/>
  <c r="BJ960" i="33"/>
  <c r="BJ956" i="33"/>
  <c r="BJ952" i="33"/>
  <c r="BJ948" i="33"/>
  <c r="BJ944" i="33"/>
  <c r="BJ940" i="33"/>
  <c r="BJ936" i="33"/>
  <c r="BJ932" i="33"/>
  <c r="BJ928" i="33"/>
  <c r="BJ924" i="33"/>
  <c r="BJ920" i="33"/>
  <c r="BJ916" i="33"/>
  <c r="BJ912" i="33"/>
  <c r="BJ908" i="33"/>
  <c r="BJ904" i="33"/>
  <c r="BJ900" i="33"/>
  <c r="BJ896" i="33"/>
  <c r="BJ892" i="33"/>
  <c r="BJ888" i="33"/>
  <c r="BJ884" i="33"/>
  <c r="BJ880" i="33"/>
  <c r="BJ876" i="33"/>
  <c r="BJ872" i="33"/>
  <c r="BJ868" i="33"/>
  <c r="BJ864" i="33"/>
  <c r="BJ860" i="33"/>
  <c r="BJ856" i="33"/>
  <c r="BJ852" i="33"/>
  <c r="BJ848" i="33"/>
  <c r="BJ844" i="33"/>
  <c r="BJ840" i="33"/>
  <c r="BJ836" i="33"/>
  <c r="BJ832" i="33"/>
  <c r="BJ828" i="33"/>
  <c r="BJ824" i="33"/>
  <c r="BJ820" i="33"/>
  <c r="BJ816" i="33"/>
  <c r="BJ812" i="33"/>
  <c r="BJ808" i="33"/>
  <c r="BJ804" i="33"/>
  <c r="BJ800" i="33"/>
  <c r="BJ796" i="33"/>
  <c r="BJ792" i="33"/>
  <c r="BJ788" i="33"/>
  <c r="BJ784" i="33"/>
  <c r="BJ780" i="33"/>
  <c r="BJ776" i="33"/>
  <c r="BJ772" i="33"/>
  <c r="BJ768" i="33"/>
  <c r="BJ764" i="33"/>
  <c r="BJ760" i="33"/>
  <c r="BJ756" i="33"/>
  <c r="BJ752" i="33"/>
  <c r="BJ748" i="33"/>
  <c r="BJ744" i="33"/>
  <c r="BJ740" i="33"/>
  <c r="BJ736" i="33"/>
  <c r="BJ732" i="33"/>
  <c r="BJ728" i="33"/>
  <c r="BJ724" i="33"/>
  <c r="BJ720" i="33"/>
  <c r="BJ716" i="33"/>
  <c r="BJ712" i="33"/>
  <c r="BJ708" i="33"/>
  <c r="BJ704" i="33"/>
  <c r="BJ700" i="33"/>
  <c r="BJ696" i="33"/>
  <c r="BJ692" i="33"/>
  <c r="BJ688" i="33"/>
  <c r="BJ684" i="33"/>
  <c r="BJ680" i="33"/>
  <c r="BJ676" i="33"/>
  <c r="BJ672" i="33"/>
  <c r="BJ668" i="33"/>
  <c r="BJ664" i="33"/>
  <c r="BJ660" i="33"/>
  <c r="BJ656" i="33"/>
  <c r="BJ652" i="33"/>
  <c r="BJ648" i="33"/>
  <c r="BJ644" i="33"/>
  <c r="BJ640" i="33"/>
  <c r="BJ636" i="33"/>
  <c r="BJ632" i="33"/>
  <c r="BJ628" i="33"/>
  <c r="BJ624" i="33"/>
  <c r="BJ620" i="33"/>
  <c r="BJ616" i="33"/>
  <c r="BJ612" i="33"/>
  <c r="BJ608" i="33"/>
  <c r="BJ604" i="33"/>
  <c r="BJ600" i="33"/>
  <c r="BJ596" i="33"/>
  <c r="BJ592" i="33"/>
  <c r="BJ588" i="33"/>
  <c r="BJ584" i="33"/>
  <c r="BJ580" i="33"/>
  <c r="BJ576" i="33"/>
  <c r="BJ572" i="33"/>
  <c r="BJ568" i="33"/>
  <c r="BJ564" i="33"/>
  <c r="BJ560" i="33"/>
  <c r="BJ556" i="33"/>
  <c r="BJ552" i="33"/>
  <c r="BJ548" i="33"/>
  <c r="BJ544" i="33"/>
  <c r="BJ540" i="33"/>
  <c r="BJ536" i="33"/>
  <c r="BJ532" i="33"/>
  <c r="BJ528" i="33"/>
  <c r="BJ524" i="33"/>
  <c r="BJ520" i="33"/>
  <c r="BJ516" i="33"/>
  <c r="BJ512" i="33"/>
  <c r="BJ508" i="33"/>
  <c r="BJ504" i="33"/>
  <c r="BJ500" i="33"/>
  <c r="BJ496" i="33"/>
  <c r="BJ492" i="33"/>
  <c r="BJ488" i="33"/>
  <c r="BJ484" i="33"/>
  <c r="BJ480" i="33"/>
  <c r="BJ476" i="33"/>
  <c r="BJ472" i="33"/>
  <c r="BJ468" i="33"/>
  <c r="BJ464" i="33"/>
  <c r="BJ460" i="33"/>
  <c r="BJ456" i="33"/>
  <c r="BJ452" i="33"/>
  <c r="BJ448" i="33"/>
  <c r="BJ444" i="33"/>
  <c r="BJ440" i="33"/>
  <c r="BJ436" i="33"/>
  <c r="BJ432" i="33"/>
  <c r="BJ428" i="33"/>
  <c r="BJ424" i="33"/>
  <c r="BJ420" i="33"/>
  <c r="BJ416" i="33"/>
  <c r="BJ412" i="33"/>
  <c r="BJ408" i="33"/>
  <c r="BJ404" i="33"/>
  <c r="BJ400" i="33"/>
  <c r="BJ396" i="33"/>
  <c r="BJ392" i="33"/>
  <c r="BJ388" i="33"/>
  <c r="BJ384" i="33"/>
  <c r="BJ380" i="33"/>
  <c r="BJ376" i="33"/>
  <c r="BJ372" i="33"/>
  <c r="BJ368" i="33"/>
  <c r="BJ364" i="33"/>
  <c r="BJ360" i="33"/>
  <c r="BJ356" i="33"/>
  <c r="BJ352" i="33"/>
  <c r="BM45" i="33"/>
  <c r="BP39" i="33"/>
  <c r="BP34" i="33"/>
  <c r="BM29" i="33"/>
  <c r="BP23" i="33"/>
  <c r="BP18" i="33"/>
  <c r="BM13" i="33"/>
  <c r="BP7" i="33"/>
  <c r="BJ1003" i="33"/>
  <c r="BG998" i="33"/>
  <c r="BJ992" i="33"/>
  <c r="BG988" i="33"/>
  <c r="BG984" i="33"/>
  <c r="BG980" i="33"/>
  <c r="BG976" i="33"/>
  <c r="BG972" i="33"/>
  <c r="BG968" i="33"/>
  <c r="BG964" i="33"/>
  <c r="BG960" i="33"/>
  <c r="BG956" i="33"/>
  <c r="BG952" i="33"/>
  <c r="BG948" i="33"/>
  <c r="BG944" i="33"/>
  <c r="BG940" i="33"/>
  <c r="BG936" i="33"/>
  <c r="BG932" i="33"/>
  <c r="BG928" i="33"/>
  <c r="BG924" i="33"/>
  <c r="BG920" i="33"/>
  <c r="BG916" i="33"/>
  <c r="BG912" i="33"/>
  <c r="BG908" i="33"/>
  <c r="BG904" i="33"/>
  <c r="BG900" i="33"/>
  <c r="BG896" i="33"/>
  <c r="BG892" i="33"/>
  <c r="BG888" i="33"/>
  <c r="BG884" i="33"/>
  <c r="BG880" i="33"/>
  <c r="BG876" i="33"/>
  <c r="BG872" i="33"/>
  <c r="BG868" i="33"/>
  <c r="BG864" i="33"/>
  <c r="BG860" i="33"/>
  <c r="BG856" i="33"/>
  <c r="BG852" i="33"/>
  <c r="BG848" i="33"/>
  <c r="BG844" i="33"/>
  <c r="BG840" i="33"/>
  <c r="BG836" i="33"/>
  <c r="BG832" i="33"/>
  <c r="BG828" i="33"/>
  <c r="BG824" i="33"/>
  <c r="BG820" i="33"/>
  <c r="BG816" i="33"/>
  <c r="BG812" i="33"/>
  <c r="BG808" i="33"/>
  <c r="BG804" i="33"/>
  <c r="BG800" i="33"/>
  <c r="BG796" i="33"/>
  <c r="BG792" i="33"/>
  <c r="BG788" i="33"/>
  <c r="BG784" i="33"/>
  <c r="BG780" i="33"/>
  <c r="BG776" i="33"/>
  <c r="BG772" i="33"/>
  <c r="BG768" i="33"/>
  <c r="BG764" i="33"/>
  <c r="BG760" i="33"/>
  <c r="BG756" i="33"/>
  <c r="BG752" i="33"/>
  <c r="BG748" i="33"/>
  <c r="BG744" i="33"/>
  <c r="BG740" i="33"/>
  <c r="BG736" i="33"/>
  <c r="BG732" i="33"/>
  <c r="BG728" i="33"/>
  <c r="BG724" i="33"/>
  <c r="BG720" i="33"/>
  <c r="BG716" i="33"/>
  <c r="BG712" i="33"/>
  <c r="BG708" i="33"/>
  <c r="BG704" i="33"/>
  <c r="BG700" i="33"/>
  <c r="BG696" i="33"/>
  <c r="BG692" i="33"/>
  <c r="BG688" i="33"/>
  <c r="BG684" i="33"/>
  <c r="BG680" i="33"/>
  <c r="BG676" i="33"/>
  <c r="BG672" i="33"/>
  <c r="BG668" i="33"/>
  <c r="BG664" i="33"/>
  <c r="BG660" i="33"/>
  <c r="BG656" i="33"/>
  <c r="BG652" i="33"/>
  <c r="BG648" i="33"/>
  <c r="BG644" i="33"/>
  <c r="BG640" i="33"/>
  <c r="BG636" i="33"/>
  <c r="BG632" i="33"/>
  <c r="BG628" i="33"/>
  <c r="BG624" i="33"/>
  <c r="BG620" i="33"/>
  <c r="BG616" i="33"/>
  <c r="BG612" i="33"/>
  <c r="BG608" i="33"/>
  <c r="BG604" i="33"/>
  <c r="BG600" i="33"/>
  <c r="BG596" i="33"/>
  <c r="BG592" i="33"/>
  <c r="BG588" i="33"/>
  <c r="BG584" i="33"/>
  <c r="BG580" i="33"/>
  <c r="BG576" i="33"/>
  <c r="BG572" i="33"/>
  <c r="BG568" i="33"/>
  <c r="BG564" i="33"/>
  <c r="BG560" i="33"/>
  <c r="BG556" i="33"/>
  <c r="BG552" i="33"/>
  <c r="BG548" i="33"/>
  <c r="BG544" i="33"/>
  <c r="BG540" i="33"/>
  <c r="BG536" i="33"/>
  <c r="BG532" i="33"/>
  <c r="BG528" i="33"/>
  <c r="BG524" i="33"/>
  <c r="BG520" i="33"/>
  <c r="BG516" i="33"/>
  <c r="BG512" i="33"/>
  <c r="BG508" i="33"/>
  <c r="BG504" i="33"/>
  <c r="BG500" i="33"/>
  <c r="BG496" i="33"/>
  <c r="BG492" i="33"/>
  <c r="BG488" i="33"/>
  <c r="BG484" i="33"/>
  <c r="BG480" i="33"/>
  <c r="BG476" i="33"/>
  <c r="BG472" i="33"/>
  <c r="BG468" i="33"/>
  <c r="BG464" i="33"/>
  <c r="BG460" i="33"/>
  <c r="BG456" i="33"/>
  <c r="BG452" i="33"/>
  <c r="BG448" i="33"/>
  <c r="BG444" i="33"/>
  <c r="BG440" i="33"/>
  <c r="BG436" i="33"/>
  <c r="BG432" i="33"/>
  <c r="BG428" i="33"/>
  <c r="BG424" i="33"/>
  <c r="BG420" i="33"/>
  <c r="BG416" i="33"/>
  <c r="BG412" i="33"/>
  <c r="BG408" i="33"/>
  <c r="BG404" i="33"/>
  <c r="BG400" i="33"/>
  <c r="BG396" i="33"/>
  <c r="BG392" i="33"/>
  <c r="BG388" i="33"/>
  <c r="BG384" i="33"/>
  <c r="BG380" i="33"/>
  <c r="BG376" i="33"/>
  <c r="BG372" i="33"/>
  <c r="BG368" i="33"/>
  <c r="BG364" i="33"/>
  <c r="BG360" i="33"/>
  <c r="BG356" i="33"/>
  <c r="BP44" i="33"/>
  <c r="BM39" i="33"/>
  <c r="BP33" i="33"/>
  <c r="BP28" i="33"/>
  <c r="BM23" i="33"/>
  <c r="BP17" i="33"/>
  <c r="BP12" i="33"/>
  <c r="BM7" i="33"/>
  <c r="BJ1002" i="33"/>
  <c r="BJ997" i="33"/>
  <c r="BG992" i="33"/>
  <c r="BJ987" i="33"/>
  <c r="BJ983" i="33"/>
  <c r="BJ979" i="33"/>
  <c r="BJ975" i="33"/>
  <c r="BJ971" i="33"/>
  <c r="BJ967" i="33"/>
  <c r="BJ963" i="33"/>
  <c r="BJ959" i="33"/>
  <c r="BJ955" i="33"/>
  <c r="BJ951" i="33"/>
  <c r="BJ947" i="33"/>
  <c r="BJ943" i="33"/>
  <c r="BJ939" i="33"/>
  <c r="BJ935" i="33"/>
  <c r="BJ931" i="33"/>
  <c r="BJ927" i="33"/>
  <c r="BJ923" i="33"/>
  <c r="BJ919" i="33"/>
  <c r="BJ915" i="33"/>
  <c r="BJ911" i="33"/>
  <c r="BJ907" i="33"/>
  <c r="BJ903" i="33"/>
  <c r="BJ899" i="33"/>
  <c r="BJ895" i="33"/>
  <c r="BJ891" i="33"/>
  <c r="BJ887" i="33"/>
  <c r="BJ883" i="33"/>
  <c r="BJ879" i="33"/>
  <c r="BJ875" i="33"/>
  <c r="BJ871" i="33"/>
  <c r="BJ867" i="33"/>
  <c r="BJ863" i="33"/>
  <c r="BJ859" i="33"/>
  <c r="BJ855" i="33"/>
  <c r="BJ851" i="33"/>
  <c r="BJ847" i="33"/>
  <c r="BJ843" i="33"/>
  <c r="BJ839" i="33"/>
  <c r="BJ835" i="33"/>
  <c r="BJ831" i="33"/>
  <c r="BJ827" i="33"/>
  <c r="BJ823" i="33"/>
  <c r="BJ819" i="33"/>
  <c r="BJ815" i="33"/>
  <c r="BJ811" i="33"/>
  <c r="BJ807" i="33"/>
  <c r="BJ803" i="33"/>
  <c r="BJ799" i="33"/>
  <c r="BJ795" i="33"/>
  <c r="BJ791" i="33"/>
  <c r="BJ787" i="33"/>
  <c r="BJ783" i="33"/>
  <c r="BJ779" i="33"/>
  <c r="BJ775" i="33"/>
  <c r="BJ771" i="33"/>
  <c r="BJ767" i="33"/>
  <c r="BJ763" i="33"/>
  <c r="BJ759" i="33"/>
  <c r="BJ755" i="33"/>
  <c r="BJ751" i="33"/>
  <c r="BJ747" i="33"/>
  <c r="BJ743" i="33"/>
  <c r="BJ739" i="33"/>
  <c r="BJ735" i="33"/>
  <c r="BJ731" i="33"/>
  <c r="BJ727" i="33"/>
  <c r="BJ723" i="33"/>
  <c r="BJ719" i="33"/>
  <c r="BJ715" i="33"/>
  <c r="BJ711" i="33"/>
  <c r="BJ707" i="33"/>
  <c r="BJ703" i="33"/>
  <c r="BJ699" i="33"/>
  <c r="BJ695" i="33"/>
  <c r="BJ691" i="33"/>
  <c r="BJ687" i="33"/>
  <c r="BJ683" i="33"/>
  <c r="BJ679" i="33"/>
  <c r="BJ675" i="33"/>
  <c r="BJ671" i="33"/>
  <c r="BJ667" i="33"/>
  <c r="BJ663" i="33"/>
  <c r="BJ659" i="33"/>
  <c r="BJ655" i="33"/>
  <c r="BJ651" i="33"/>
  <c r="BJ647" i="33"/>
  <c r="BJ643" i="33"/>
  <c r="BJ639" i="33"/>
  <c r="BJ635" i="33"/>
  <c r="BJ631" i="33"/>
  <c r="BJ627" i="33"/>
  <c r="BJ623" i="33"/>
  <c r="BJ619" i="33"/>
  <c r="BJ615" i="33"/>
  <c r="BJ611" i="33"/>
  <c r="BJ607" i="33"/>
  <c r="BJ603" i="33"/>
  <c r="BJ599" i="33"/>
  <c r="BJ595" i="33"/>
  <c r="BJ591" i="33"/>
  <c r="BJ587" i="33"/>
  <c r="BJ583" i="33"/>
  <c r="BJ579" i="33"/>
  <c r="BJ575" i="33"/>
  <c r="BJ571" i="33"/>
  <c r="BJ567" i="33"/>
  <c r="BJ563" i="33"/>
  <c r="BJ559" i="33"/>
  <c r="BJ555" i="33"/>
  <c r="BJ551" i="33"/>
  <c r="BJ547" i="33"/>
  <c r="BJ543" i="33"/>
  <c r="BJ539" i="33"/>
  <c r="BJ535" i="33"/>
  <c r="BJ531" i="33"/>
  <c r="BJ527" i="33"/>
  <c r="BJ523" i="33"/>
  <c r="BJ519" i="33"/>
  <c r="BJ515" i="33"/>
  <c r="BJ511" i="33"/>
  <c r="BJ507" i="33"/>
  <c r="BJ503" i="33"/>
  <c r="BJ499" i="33"/>
  <c r="BJ495" i="33"/>
  <c r="BJ491" i="33"/>
  <c r="BJ487" i="33"/>
  <c r="BJ483" i="33"/>
  <c r="BJ479" i="33"/>
  <c r="BJ475" i="33"/>
  <c r="BJ471" i="33"/>
  <c r="BJ467" i="33"/>
  <c r="BJ463" i="33"/>
  <c r="BJ459" i="33"/>
  <c r="BJ455" i="33"/>
  <c r="BJ451" i="33"/>
  <c r="BJ447" i="33"/>
  <c r="BJ443" i="33"/>
  <c r="BJ439" i="33"/>
  <c r="BJ435" i="33"/>
  <c r="BJ431" i="33"/>
  <c r="BJ427" i="33"/>
  <c r="BJ423" i="33"/>
  <c r="BJ419" i="33"/>
  <c r="BJ415" i="33"/>
  <c r="BJ411" i="33"/>
  <c r="BJ407" i="33"/>
  <c r="BJ403" i="33"/>
  <c r="BJ399" i="33"/>
  <c r="BJ395" i="33"/>
  <c r="BJ391" i="33"/>
  <c r="BJ387" i="33"/>
  <c r="BJ383" i="33"/>
  <c r="BJ379" i="33"/>
  <c r="BJ375" i="33"/>
  <c r="BJ371" i="33"/>
  <c r="BJ367" i="33"/>
  <c r="BJ363" i="33"/>
  <c r="BJ359" i="33"/>
  <c r="BJ355" i="33"/>
  <c r="BM49" i="33"/>
  <c r="BP43" i="33"/>
  <c r="BP38" i="33"/>
  <c r="BM33" i="33"/>
  <c r="BP27" i="33"/>
  <c r="BP22" i="33"/>
  <c r="BM17" i="33"/>
  <c r="BP11" i="33"/>
  <c r="BP6" i="33"/>
  <c r="BG1002" i="33"/>
  <c r="BJ996" i="33"/>
  <c r="BJ991" i="33"/>
  <c r="BG987" i="33"/>
  <c r="BG983" i="33"/>
  <c r="BG979" i="33"/>
  <c r="BG975" i="33"/>
  <c r="BG971" i="33"/>
  <c r="BG967" i="33"/>
  <c r="BG963" i="33"/>
  <c r="BG959" i="33"/>
  <c r="BG955" i="33"/>
  <c r="BG951" i="33"/>
  <c r="BG947" i="33"/>
  <c r="BG943" i="33"/>
  <c r="BG939" i="33"/>
  <c r="BG935" i="33"/>
  <c r="BG931" i="33"/>
  <c r="BG927" i="33"/>
  <c r="BG923" i="33"/>
  <c r="BG919" i="33"/>
  <c r="BG915" i="33"/>
  <c r="BG911" i="33"/>
  <c r="BG907" i="33"/>
  <c r="BG903" i="33"/>
  <c r="BG899" i="33"/>
  <c r="BG895" i="33"/>
  <c r="BG891" i="33"/>
  <c r="BG887" i="33"/>
  <c r="BG883" i="33"/>
  <c r="BG879" i="33"/>
  <c r="BG875" i="33"/>
  <c r="BG871" i="33"/>
  <c r="BG867" i="33"/>
  <c r="BG863" i="33"/>
  <c r="BG859" i="33"/>
  <c r="BG855" i="33"/>
  <c r="BG851" i="33"/>
  <c r="BG847" i="33"/>
  <c r="BG843" i="33"/>
  <c r="BG839" i="33"/>
  <c r="BG835" i="33"/>
  <c r="BG831" i="33"/>
  <c r="BG827" i="33"/>
  <c r="BG823" i="33"/>
  <c r="BG819" i="33"/>
  <c r="BG815" i="33"/>
  <c r="BG811" i="33"/>
  <c r="BG807" i="33"/>
  <c r="BG803" i="33"/>
  <c r="BG799" i="33"/>
  <c r="BG795" i="33"/>
  <c r="BG791" i="33"/>
  <c r="BG787" i="33"/>
  <c r="BG783" i="33"/>
  <c r="BG779" i="33"/>
  <c r="BG775" i="33"/>
  <c r="BG771" i="33"/>
  <c r="BG767" i="33"/>
  <c r="BG763" i="33"/>
  <c r="BG759" i="33"/>
  <c r="BG755" i="33"/>
  <c r="BG751" i="33"/>
  <c r="BG747" i="33"/>
  <c r="BG743" i="33"/>
  <c r="BG739" i="33"/>
  <c r="BG735" i="33"/>
  <c r="BG731" i="33"/>
  <c r="BG727" i="33"/>
  <c r="BG723" i="33"/>
  <c r="BG719" i="33"/>
  <c r="BG715" i="33"/>
  <c r="BG711" i="33"/>
  <c r="BG707" i="33"/>
  <c r="BG703" i="33"/>
  <c r="BG699" i="33"/>
  <c r="BG695" i="33"/>
  <c r="BG691" i="33"/>
  <c r="BG687" i="33"/>
  <c r="BG683" i="33"/>
  <c r="BG679" i="33"/>
  <c r="BG675" i="33"/>
  <c r="BG671" i="33"/>
  <c r="BG667" i="33"/>
  <c r="BG663" i="33"/>
  <c r="BG659" i="33"/>
  <c r="BG655" i="33"/>
  <c r="BG651" i="33"/>
  <c r="BG647" i="33"/>
  <c r="BG643" i="33"/>
  <c r="BG639" i="33"/>
  <c r="BG635" i="33"/>
  <c r="BG631" i="33"/>
  <c r="BG627" i="33"/>
  <c r="BG623" i="33"/>
  <c r="BG619" i="33"/>
  <c r="BG615" i="33"/>
  <c r="BG611" i="33"/>
  <c r="BG607" i="33"/>
  <c r="BG603" i="33"/>
  <c r="BG599" i="33"/>
  <c r="BG595" i="33"/>
  <c r="BG591" i="33"/>
  <c r="BG587" i="33"/>
  <c r="BG583" i="33"/>
  <c r="BG579" i="33"/>
  <c r="BG575" i="33"/>
  <c r="BG571" i="33"/>
  <c r="BG567" i="33"/>
  <c r="BG563" i="33"/>
  <c r="BG559" i="33"/>
  <c r="BG555" i="33"/>
  <c r="BG551" i="33"/>
  <c r="BG547" i="33"/>
  <c r="BG543" i="33"/>
  <c r="BG539" i="33"/>
  <c r="BG535" i="33"/>
  <c r="BG531" i="33"/>
  <c r="BG527" i="33"/>
  <c r="BG523" i="33"/>
  <c r="BG519" i="33"/>
  <c r="BG515" i="33"/>
  <c r="BG511" i="33"/>
  <c r="BG507" i="33"/>
  <c r="BG503" i="33"/>
  <c r="BG499" i="33"/>
  <c r="BG495" i="33"/>
  <c r="BG491" i="33"/>
  <c r="BG487" i="33"/>
  <c r="BG483" i="33"/>
  <c r="BG479" i="33"/>
  <c r="BG475" i="33"/>
  <c r="BG471" i="33"/>
  <c r="BG467" i="33"/>
  <c r="BG463" i="33"/>
  <c r="BG459" i="33"/>
  <c r="BG455" i="33"/>
  <c r="BG451" i="33"/>
  <c r="BG447" i="33"/>
  <c r="BG443" i="33"/>
  <c r="BG439" i="33"/>
  <c r="BG435" i="33"/>
  <c r="BG431" i="33"/>
  <c r="BG427" i="33"/>
  <c r="BG423" i="33"/>
  <c r="BG419" i="33"/>
  <c r="BG415" i="33"/>
  <c r="BG411" i="33"/>
  <c r="BG407" i="33"/>
  <c r="BG403" i="33"/>
  <c r="BG399" i="33"/>
  <c r="BG395" i="33"/>
  <c r="BG391" i="33"/>
  <c r="BG387" i="33"/>
  <c r="BG383" i="33"/>
  <c r="BG379" i="33"/>
  <c r="BG375" i="33"/>
  <c r="BG371" i="33"/>
  <c r="BG367" i="33"/>
  <c r="BG363" i="33"/>
  <c r="BG359" i="33"/>
  <c r="BG355" i="33"/>
  <c r="BG351" i="33"/>
  <c r="BG347" i="33"/>
  <c r="BG343" i="33"/>
  <c r="BG339" i="33"/>
  <c r="BG335" i="33"/>
  <c r="BG331" i="33"/>
  <c r="BG327" i="33"/>
  <c r="BG323" i="33"/>
  <c r="BG319" i="33"/>
  <c r="BG315" i="33"/>
  <c r="BJ351" i="33"/>
  <c r="BG346" i="33"/>
  <c r="BJ340" i="33"/>
  <c r="BJ335" i="33"/>
  <c r="BG330" i="33"/>
  <c r="BJ324" i="33"/>
  <c r="BJ319" i="33"/>
  <c r="BG314" i="33"/>
  <c r="BG310" i="33"/>
  <c r="BG306" i="33"/>
  <c r="BG302" i="33"/>
  <c r="BG298" i="33"/>
  <c r="BG294" i="33"/>
  <c r="BG290" i="33"/>
  <c r="BG286" i="33"/>
  <c r="BG282" i="33"/>
  <c r="BG278" i="33"/>
  <c r="BG274" i="33"/>
  <c r="BG270" i="33"/>
  <c r="BG266" i="33"/>
  <c r="BG262" i="33"/>
  <c r="BG258" i="33"/>
  <c r="BG254" i="33"/>
  <c r="BG250" i="33"/>
  <c r="BG246" i="33"/>
  <c r="BG242" i="33"/>
  <c r="BG238" i="33"/>
  <c r="BG234" i="33"/>
  <c r="BG230" i="33"/>
  <c r="BG226" i="33"/>
  <c r="BG222" i="33"/>
  <c r="BG218" i="33"/>
  <c r="BG214" i="33"/>
  <c r="BG210" i="33"/>
  <c r="BG206" i="33"/>
  <c r="BG202" i="33"/>
  <c r="BG198" i="33"/>
  <c r="BG194" i="33"/>
  <c r="BG190" i="33"/>
  <c r="BG186" i="33"/>
  <c r="BG182" i="33"/>
  <c r="BG178" i="33"/>
  <c r="BG174" i="33"/>
  <c r="BG170" i="33"/>
  <c r="BG166" i="33"/>
  <c r="BG162" i="33"/>
  <c r="BG158" i="33"/>
  <c r="BG154" i="33"/>
  <c r="BG150" i="33"/>
  <c r="BG146" i="33"/>
  <c r="BG142" i="33"/>
  <c r="BG138" i="33"/>
  <c r="BG134" i="33"/>
  <c r="BG130" i="33"/>
  <c r="BG126" i="33"/>
  <c r="BG122" i="33"/>
  <c r="BG118" i="33"/>
  <c r="BG114" i="33"/>
  <c r="BG110" i="33"/>
  <c r="BG106" i="33"/>
  <c r="BG102" i="33"/>
  <c r="BG98" i="33"/>
  <c r="BG94" i="33"/>
  <c r="BG90" i="33"/>
  <c r="BG86" i="33"/>
  <c r="BG82" i="33"/>
  <c r="BG78" i="33"/>
  <c r="BG74" i="33"/>
  <c r="BG70" i="33"/>
  <c r="BG66" i="33"/>
  <c r="BG62" i="33"/>
  <c r="BG58" i="33"/>
  <c r="BG54" i="33"/>
  <c r="BG50" i="33"/>
  <c r="BG46" i="33"/>
  <c r="BG42" i="33"/>
  <c r="BG38" i="33"/>
  <c r="BG34" i="33"/>
  <c r="BG30" i="33"/>
  <c r="BG26" i="33"/>
  <c r="BG22" i="33"/>
  <c r="BG18" i="33"/>
  <c r="BG14" i="33"/>
  <c r="BG10" i="33"/>
  <c r="BG6" i="33"/>
  <c r="BA67" i="33"/>
  <c r="BA63" i="33"/>
  <c r="BA59" i="33"/>
  <c r="BA55" i="33"/>
  <c r="BA51" i="33"/>
  <c r="BA47" i="33"/>
  <c r="BA43" i="33"/>
  <c r="BA39" i="33"/>
  <c r="BA35" i="33"/>
  <c r="BA31" i="33"/>
  <c r="BA27" i="33"/>
  <c r="BA23" i="33"/>
  <c r="BA19" i="33"/>
  <c r="BA15" i="33"/>
  <c r="BA11" i="33"/>
  <c r="BA7" i="33"/>
  <c r="BJ350" i="33"/>
  <c r="BJ345" i="33"/>
  <c r="BG340" i="33"/>
  <c r="BJ334" i="33"/>
  <c r="BJ329" i="33"/>
  <c r="BG324" i="33"/>
  <c r="BJ318" i="33"/>
  <c r="BJ313" i="33"/>
  <c r="BJ309" i="33"/>
  <c r="BJ305" i="33"/>
  <c r="BJ301" i="33"/>
  <c r="BJ297" i="33"/>
  <c r="BJ293" i="33"/>
  <c r="BJ289" i="33"/>
  <c r="BJ285" i="33"/>
  <c r="BJ281" i="33"/>
  <c r="BJ277" i="33"/>
  <c r="BJ273" i="33"/>
  <c r="BJ269" i="33"/>
  <c r="BJ265" i="33"/>
  <c r="BJ261" i="33"/>
  <c r="BJ257" i="33"/>
  <c r="BJ253" i="33"/>
  <c r="BJ249" i="33"/>
  <c r="BJ245" i="33"/>
  <c r="BJ241" i="33"/>
  <c r="BJ237" i="33"/>
  <c r="BJ233" i="33"/>
  <c r="BJ229" i="33"/>
  <c r="BJ225" i="33"/>
  <c r="BJ221" i="33"/>
  <c r="BJ217" i="33"/>
  <c r="BJ213" i="33"/>
  <c r="BJ209" i="33"/>
  <c r="BJ205" i="33"/>
  <c r="BJ201" i="33"/>
  <c r="BJ197" i="33"/>
  <c r="BJ193" i="33"/>
  <c r="BJ189" i="33"/>
  <c r="BJ185" i="33"/>
  <c r="BJ181" i="33"/>
  <c r="BJ177" i="33"/>
  <c r="BJ173" i="33"/>
  <c r="BJ169" i="33"/>
  <c r="BJ165" i="33"/>
  <c r="BJ161" i="33"/>
  <c r="BJ157" i="33"/>
  <c r="BJ153" i="33"/>
  <c r="BJ149" i="33"/>
  <c r="BJ145" i="33"/>
  <c r="BJ141" i="33"/>
  <c r="BJ137" i="33"/>
  <c r="BJ133" i="33"/>
  <c r="BJ129" i="33"/>
  <c r="BJ125" i="33"/>
  <c r="BJ121" i="33"/>
  <c r="BJ117" i="33"/>
  <c r="BJ113" i="33"/>
  <c r="BJ109" i="33"/>
  <c r="BJ105" i="33"/>
  <c r="BJ101" i="33"/>
  <c r="BJ97" i="33"/>
  <c r="BJ93" i="33"/>
  <c r="BJ89" i="33"/>
  <c r="BJ85" i="33"/>
  <c r="BJ81" i="33"/>
  <c r="BJ77" i="33"/>
  <c r="BJ73" i="33"/>
  <c r="BJ69" i="33"/>
  <c r="BJ65" i="33"/>
  <c r="BJ61" i="33"/>
  <c r="BJ57" i="33"/>
  <c r="BJ53" i="33"/>
  <c r="BJ49" i="33"/>
  <c r="BJ45" i="33"/>
  <c r="BJ41" i="33"/>
  <c r="BJ37" i="33"/>
  <c r="BJ33" i="33"/>
  <c r="BJ29" i="33"/>
  <c r="BJ25" i="33"/>
  <c r="BJ21" i="33"/>
  <c r="BJ17" i="33"/>
  <c r="BJ13" i="33"/>
  <c r="BJ9" i="33"/>
  <c r="BJ5" i="33"/>
  <c r="BD102" i="33"/>
  <c r="BD98" i="33"/>
  <c r="BD94" i="33"/>
  <c r="BD90" i="33"/>
  <c r="BD86" i="33"/>
  <c r="BD82" i="33"/>
  <c r="BD78" i="33"/>
  <c r="BD74" i="33"/>
  <c r="BD70" i="33"/>
  <c r="BD66" i="33"/>
  <c r="BD62" i="33"/>
  <c r="BD58" i="33"/>
  <c r="BD54" i="33"/>
  <c r="BD50" i="33"/>
  <c r="BD46" i="33"/>
  <c r="BD42" i="33"/>
  <c r="BD38" i="33"/>
  <c r="BD34" i="33"/>
  <c r="BD30" i="33"/>
  <c r="BD26" i="33"/>
  <c r="BD22" i="33"/>
  <c r="BD18" i="33"/>
  <c r="BD14" i="33"/>
  <c r="BD10" i="33"/>
  <c r="BD6" i="33"/>
  <c r="BG350" i="33"/>
  <c r="BJ344" i="33"/>
  <c r="BJ339" i="33"/>
  <c r="BG334" i="33"/>
  <c r="BJ328" i="33"/>
  <c r="BJ323" i="33"/>
  <c r="BG318" i="33"/>
  <c r="BG313" i="33"/>
  <c r="BG309" i="33"/>
  <c r="BG305" i="33"/>
  <c r="BG301" i="33"/>
  <c r="BG297" i="33"/>
  <c r="BG293" i="33"/>
  <c r="BG289" i="33"/>
  <c r="BG285" i="33"/>
  <c r="BG281" i="33"/>
  <c r="BG277" i="33"/>
  <c r="BG273" i="33"/>
  <c r="BG269" i="33"/>
  <c r="BG265" i="33"/>
  <c r="BG261" i="33"/>
  <c r="BG257" i="33"/>
  <c r="BG253" i="33"/>
  <c r="BG249" i="33"/>
  <c r="BG245" i="33"/>
  <c r="BG241" i="33"/>
  <c r="BG237" i="33"/>
  <c r="BG233" i="33"/>
  <c r="BG229" i="33"/>
  <c r="BG225" i="33"/>
  <c r="BG221" i="33"/>
  <c r="BG217" i="33"/>
  <c r="BG213" i="33"/>
  <c r="BG209" i="33"/>
  <c r="BG205" i="33"/>
  <c r="BG201" i="33"/>
  <c r="BG197" i="33"/>
  <c r="BG193" i="33"/>
  <c r="BG189" i="33"/>
  <c r="BG185" i="33"/>
  <c r="BG181" i="33"/>
  <c r="BG177" i="33"/>
  <c r="BG173" i="33"/>
  <c r="BG169" i="33"/>
  <c r="BG165" i="33"/>
  <c r="BG161" i="33"/>
  <c r="BG157" i="33"/>
  <c r="BG153" i="33"/>
  <c r="BG149" i="33"/>
  <c r="I149" i="33" s="1"/>
  <c r="BG145" i="33"/>
  <c r="BG141" i="33"/>
  <c r="BG137" i="33"/>
  <c r="BG133" i="33"/>
  <c r="BG129" i="33"/>
  <c r="BG125" i="33"/>
  <c r="BG121" i="33"/>
  <c r="BG117" i="33"/>
  <c r="BG113" i="33"/>
  <c r="BG109" i="33"/>
  <c r="BG105" i="33"/>
  <c r="BG101" i="33"/>
  <c r="BG97" i="33"/>
  <c r="BG93" i="33"/>
  <c r="BG89" i="33"/>
  <c r="BG85" i="33"/>
  <c r="BG81" i="33"/>
  <c r="BG77" i="33"/>
  <c r="BG73" i="33"/>
  <c r="BG69" i="33"/>
  <c r="BG65" i="33"/>
  <c r="BG61" i="33"/>
  <c r="BG57" i="33"/>
  <c r="BG53" i="33"/>
  <c r="BG49" i="33"/>
  <c r="BG45" i="33"/>
  <c r="BG41" i="33"/>
  <c r="BG37" i="33"/>
  <c r="BG33" i="33"/>
  <c r="BG29" i="33"/>
  <c r="BG25" i="33"/>
  <c r="BG21" i="33"/>
  <c r="BG17" i="33"/>
  <c r="BG13" i="33"/>
  <c r="BG9" i="33"/>
  <c r="BG5" i="33"/>
  <c r="BA66" i="33"/>
  <c r="BA62" i="33"/>
  <c r="BA58" i="33"/>
  <c r="BA54" i="33"/>
  <c r="BA50" i="33"/>
  <c r="BA46" i="33"/>
  <c r="BA42" i="33"/>
  <c r="BA38" i="33"/>
  <c r="BA34" i="33"/>
  <c r="BA30" i="33"/>
  <c r="BA26" i="33"/>
  <c r="BA22" i="33"/>
  <c r="BA18" i="33"/>
  <c r="BA14" i="33"/>
  <c r="BA10" i="33"/>
  <c r="BA6" i="33"/>
  <c r="BJ349" i="33"/>
  <c r="BG344" i="33"/>
  <c r="BJ338" i="33"/>
  <c r="BJ333" i="33"/>
  <c r="BG328" i="33"/>
  <c r="BJ322" i="33"/>
  <c r="BJ317" i="33"/>
  <c r="BJ312" i="33"/>
  <c r="BJ308" i="33"/>
  <c r="BJ304" i="33"/>
  <c r="BJ300" i="33"/>
  <c r="BJ296" i="33"/>
  <c r="BJ292" i="33"/>
  <c r="BJ288" i="33"/>
  <c r="BJ284" i="33"/>
  <c r="BJ280" i="33"/>
  <c r="BJ276" i="33"/>
  <c r="BJ272" i="33"/>
  <c r="BJ268" i="33"/>
  <c r="BJ264" i="33"/>
  <c r="BJ260" i="33"/>
  <c r="BJ256" i="33"/>
  <c r="BJ252" i="33"/>
  <c r="BJ248" i="33"/>
  <c r="BJ244" i="33"/>
  <c r="BJ240" i="33"/>
  <c r="BJ236" i="33"/>
  <c r="BJ232" i="33"/>
  <c r="BJ228" i="33"/>
  <c r="BJ224" i="33"/>
  <c r="BJ220" i="33"/>
  <c r="BJ216" i="33"/>
  <c r="BJ212" i="33"/>
  <c r="BJ208" i="33"/>
  <c r="BJ204" i="33"/>
  <c r="BJ200" i="33"/>
  <c r="BJ196" i="33"/>
  <c r="BJ192" i="33"/>
  <c r="BJ188" i="33"/>
  <c r="BJ184" i="33"/>
  <c r="BJ180" i="33"/>
  <c r="BJ176" i="33"/>
  <c r="BJ172" i="33"/>
  <c r="BJ168" i="33"/>
  <c r="BJ164" i="33"/>
  <c r="BJ160" i="33"/>
  <c r="BJ156" i="33"/>
  <c r="BJ152" i="33"/>
  <c r="BJ148" i="33"/>
  <c r="BJ144" i="33"/>
  <c r="BJ140" i="33"/>
  <c r="BJ136" i="33"/>
  <c r="BJ132" i="33"/>
  <c r="BJ128" i="33"/>
  <c r="BJ124" i="33"/>
  <c r="BJ120" i="33"/>
  <c r="BJ116" i="33"/>
  <c r="BJ112" i="33"/>
  <c r="BJ108" i="33"/>
  <c r="BJ104" i="33"/>
  <c r="BJ100" i="33"/>
  <c r="BJ96" i="33"/>
  <c r="BJ92" i="33"/>
  <c r="BJ88" i="33"/>
  <c r="BJ84" i="33"/>
  <c r="BJ80" i="33"/>
  <c r="BJ76" i="33"/>
  <c r="BJ72" i="33"/>
  <c r="BJ68" i="33"/>
  <c r="BJ64" i="33"/>
  <c r="BJ60" i="33"/>
  <c r="BJ56" i="33"/>
  <c r="BJ52" i="33"/>
  <c r="BJ48" i="33"/>
  <c r="BJ44" i="33"/>
  <c r="BJ40" i="33"/>
  <c r="BJ36" i="33"/>
  <c r="BJ32" i="33"/>
  <c r="BJ28" i="33"/>
  <c r="BJ24" i="33"/>
  <c r="BJ20" i="33"/>
  <c r="BJ16" i="33"/>
  <c r="BJ12" i="33"/>
  <c r="BJ8" i="33"/>
  <c r="BJ4" i="33"/>
  <c r="BD101" i="33"/>
  <c r="BD97" i="33"/>
  <c r="BD93" i="33"/>
  <c r="BD89" i="33"/>
  <c r="BD85" i="33"/>
  <c r="BD81" i="33"/>
  <c r="BD77" i="33"/>
  <c r="BD73" i="33"/>
  <c r="BD69" i="33"/>
  <c r="BD65" i="33"/>
  <c r="BD61" i="33"/>
  <c r="BD57" i="33"/>
  <c r="BD53" i="33"/>
  <c r="BD49" i="33"/>
  <c r="BD45" i="33"/>
  <c r="BD41" i="33"/>
  <c r="BD37" i="33"/>
  <c r="BD33" i="33"/>
  <c r="BD29" i="33"/>
  <c r="BD25" i="33"/>
  <c r="BD21" i="33"/>
  <c r="BD17" i="33"/>
  <c r="BD13" i="33"/>
  <c r="BD9" i="33"/>
  <c r="BD5" i="33"/>
  <c r="BJ348" i="33"/>
  <c r="BJ343" i="33"/>
  <c r="BG338" i="33"/>
  <c r="BJ332" i="33"/>
  <c r="BJ327" i="33"/>
  <c r="BG322" i="33"/>
  <c r="I322" i="33" s="1"/>
  <c r="BJ316" i="33"/>
  <c r="BG312" i="33"/>
  <c r="BG308" i="33"/>
  <c r="BG304" i="33"/>
  <c r="BG300" i="33"/>
  <c r="BG296" i="33"/>
  <c r="BG292" i="33"/>
  <c r="BG288" i="33"/>
  <c r="BG284" i="33"/>
  <c r="BG280" i="33"/>
  <c r="BG276" i="33"/>
  <c r="BG272" i="33"/>
  <c r="BG268" i="33"/>
  <c r="BG264" i="33"/>
  <c r="BG260" i="33"/>
  <c r="BG256" i="33"/>
  <c r="BG252" i="33"/>
  <c r="BG248" i="33"/>
  <c r="BG244" i="33"/>
  <c r="BG240" i="33"/>
  <c r="BG236" i="33"/>
  <c r="BG232" i="33"/>
  <c r="BG228" i="33"/>
  <c r="BG224" i="33"/>
  <c r="I224" i="33" s="1"/>
  <c r="BG220" i="33"/>
  <c r="BG216" i="33"/>
  <c r="BG212" i="33"/>
  <c r="BG208" i="33"/>
  <c r="BG204" i="33"/>
  <c r="BG200" i="33"/>
  <c r="BG196" i="33"/>
  <c r="BG192" i="33"/>
  <c r="BG188" i="33"/>
  <c r="BG184" i="33"/>
  <c r="BG180" i="33"/>
  <c r="BG176" i="33"/>
  <c r="I176" i="33" s="1"/>
  <c r="BG172" i="33"/>
  <c r="BG168" i="33"/>
  <c r="BG164" i="33"/>
  <c r="BG160" i="33"/>
  <c r="BG156" i="33"/>
  <c r="BG152" i="33"/>
  <c r="BG148" i="33"/>
  <c r="BG144" i="33"/>
  <c r="BG140" i="33"/>
  <c r="BG136" i="33"/>
  <c r="BG132" i="33"/>
  <c r="BG128" i="33"/>
  <c r="I128" i="33" s="1"/>
  <c r="BG124" i="33"/>
  <c r="BG120" i="33"/>
  <c r="BG116" i="33"/>
  <c r="BG112" i="33"/>
  <c r="BG108" i="33"/>
  <c r="BG104" i="33"/>
  <c r="BG100" i="33"/>
  <c r="BG96" i="33"/>
  <c r="BG92" i="33"/>
  <c r="BG88" i="33"/>
  <c r="BG84" i="33"/>
  <c r="BG80" i="33"/>
  <c r="BG76" i="33"/>
  <c r="BG72" i="33"/>
  <c r="BG68" i="33"/>
  <c r="BG64" i="33"/>
  <c r="BG60" i="33"/>
  <c r="BG56" i="33"/>
  <c r="BG52" i="33"/>
  <c r="BG48" i="33"/>
  <c r="BG44" i="33"/>
  <c r="BG40" i="33"/>
  <c r="BG36" i="33"/>
  <c r="BG32" i="33"/>
  <c r="BG28" i="33"/>
  <c r="BG24" i="33"/>
  <c r="BG20" i="33"/>
  <c r="BG16" i="33"/>
  <c r="BG12" i="33"/>
  <c r="BG8" i="33"/>
  <c r="BG4" i="33"/>
  <c r="BA69" i="33"/>
  <c r="BA65" i="33"/>
  <c r="BA61" i="33"/>
  <c r="BA57" i="33"/>
  <c r="BA53" i="33"/>
  <c r="BA49" i="33"/>
  <c r="BA45" i="33"/>
  <c r="BA41" i="33"/>
  <c r="BA37" i="33"/>
  <c r="BA33" i="33"/>
  <c r="BA29" i="33"/>
  <c r="BA25" i="33"/>
  <c r="BA21" i="33"/>
  <c r="BA17" i="33"/>
  <c r="BA13" i="33"/>
  <c r="BA9" i="33"/>
  <c r="BA5" i="33"/>
  <c r="BG348" i="33"/>
  <c r="BJ342" i="33"/>
  <c r="BJ337" i="33"/>
  <c r="BG332" i="33"/>
  <c r="BJ326" i="33"/>
  <c r="BJ321" i="33"/>
  <c r="BG316" i="33"/>
  <c r="BJ311" i="33"/>
  <c r="BJ307" i="33"/>
  <c r="BJ303" i="33"/>
  <c r="BJ299" i="33"/>
  <c r="BJ295" i="33"/>
  <c r="BJ291" i="33"/>
  <c r="BJ287" i="33"/>
  <c r="BJ283" i="33"/>
  <c r="BJ279" i="33"/>
  <c r="BJ275" i="33"/>
  <c r="BJ271" i="33"/>
  <c r="BJ267" i="33"/>
  <c r="BJ263" i="33"/>
  <c r="BJ259" i="33"/>
  <c r="BJ255" i="33"/>
  <c r="BJ251" i="33"/>
  <c r="BJ247" i="33"/>
  <c r="BJ243" i="33"/>
  <c r="BJ239" i="33"/>
  <c r="BJ235" i="33"/>
  <c r="BJ231" i="33"/>
  <c r="BJ227" i="33"/>
  <c r="BJ223" i="33"/>
  <c r="BJ219" i="33"/>
  <c r="BJ215" i="33"/>
  <c r="BJ211" i="33"/>
  <c r="BJ207" i="33"/>
  <c r="BJ203" i="33"/>
  <c r="BJ199" i="33"/>
  <c r="BJ195" i="33"/>
  <c r="BJ191" i="33"/>
  <c r="BJ187" i="33"/>
  <c r="BJ183" i="33"/>
  <c r="BJ179" i="33"/>
  <c r="BJ175" i="33"/>
  <c r="BJ171" i="33"/>
  <c r="BJ167" i="33"/>
  <c r="BJ163" i="33"/>
  <c r="BJ159" i="33"/>
  <c r="BJ155" i="33"/>
  <c r="BJ151" i="33"/>
  <c r="BJ147" i="33"/>
  <c r="BJ143" i="33"/>
  <c r="BJ139" i="33"/>
  <c r="BJ135" i="33"/>
  <c r="BJ131" i="33"/>
  <c r="BJ127" i="33"/>
  <c r="BJ123" i="33"/>
  <c r="BJ119" i="33"/>
  <c r="BJ115" i="33"/>
  <c r="BJ111" i="33"/>
  <c r="BJ107" i="33"/>
  <c r="BJ103" i="33"/>
  <c r="BJ99" i="33"/>
  <c r="BJ95" i="33"/>
  <c r="BJ91" i="33"/>
  <c r="BJ87" i="33"/>
  <c r="BJ83" i="33"/>
  <c r="BJ79" i="33"/>
  <c r="BJ75" i="33"/>
  <c r="BJ71" i="33"/>
  <c r="BJ67" i="33"/>
  <c r="BJ63" i="33"/>
  <c r="BJ59" i="33"/>
  <c r="BJ55" i="33"/>
  <c r="BJ51" i="33"/>
  <c r="BJ47" i="33"/>
  <c r="BJ43" i="33"/>
  <c r="BJ39" i="33"/>
  <c r="BJ35" i="33"/>
  <c r="BJ31" i="33"/>
  <c r="BJ27" i="33"/>
  <c r="BJ23" i="33"/>
  <c r="BJ19" i="33"/>
  <c r="BJ15" i="33"/>
  <c r="BJ11" i="33"/>
  <c r="BJ7" i="33"/>
  <c r="BD100" i="33"/>
  <c r="BD96" i="33"/>
  <c r="BD92" i="33"/>
  <c r="BD88" i="33"/>
  <c r="BD84" i="33"/>
  <c r="BD80" i="33"/>
  <c r="BD76" i="33"/>
  <c r="BD72" i="33"/>
  <c r="BD68" i="33"/>
  <c r="BD64" i="33"/>
  <c r="BD60" i="33"/>
  <c r="BD56" i="33"/>
  <c r="BD52" i="33"/>
  <c r="BD48" i="33"/>
  <c r="BD44" i="33"/>
  <c r="BD40" i="33"/>
  <c r="BD36" i="33"/>
  <c r="BD32" i="33"/>
  <c r="BD28" i="33"/>
  <c r="BD24" i="33"/>
  <c r="BD20" i="33"/>
  <c r="BD16" i="33"/>
  <c r="BD12" i="33"/>
  <c r="BD8" i="33"/>
  <c r="BD4" i="33"/>
  <c r="BJ347" i="33"/>
  <c r="BG342" i="33"/>
  <c r="BJ336" i="33"/>
  <c r="BJ331" i="33"/>
  <c r="BG326" i="33"/>
  <c r="BJ320" i="33"/>
  <c r="BJ315" i="33"/>
  <c r="BG311" i="33"/>
  <c r="BG307" i="33"/>
  <c r="BG303" i="33"/>
  <c r="BG299" i="33"/>
  <c r="I299" i="33" s="1"/>
  <c r="BG295" i="33"/>
  <c r="BG291" i="33"/>
  <c r="BG287" i="33"/>
  <c r="BG283" i="33"/>
  <c r="BG279" i="33"/>
  <c r="BG275" i="33"/>
  <c r="BG271" i="33"/>
  <c r="BG267" i="33"/>
  <c r="BG263" i="33"/>
  <c r="BG259" i="33"/>
  <c r="BG255" i="33"/>
  <c r="BG251" i="33"/>
  <c r="I251" i="33" s="1"/>
  <c r="BG247" i="33"/>
  <c r="BG243" i="33"/>
  <c r="BG239" i="33"/>
  <c r="BG235" i="33"/>
  <c r="BG231" i="33"/>
  <c r="BG227" i="33"/>
  <c r="BG223" i="33"/>
  <c r="BG219" i="33"/>
  <c r="BG215" i="33"/>
  <c r="BG211" i="33"/>
  <c r="BG207" i="33"/>
  <c r="BG203" i="33"/>
  <c r="BG199" i="33"/>
  <c r="BG195" i="33"/>
  <c r="BG191" i="33"/>
  <c r="BG187" i="33"/>
  <c r="BG183" i="33"/>
  <c r="BG179" i="33"/>
  <c r="BG175" i="33"/>
  <c r="BG171" i="33"/>
  <c r="BG167" i="33"/>
  <c r="BG163" i="33"/>
  <c r="BG159" i="33"/>
  <c r="BG155" i="33"/>
  <c r="I155" i="33" s="1"/>
  <c r="BG151" i="33"/>
  <c r="BG147" i="33"/>
  <c r="BG143" i="33"/>
  <c r="BG139" i="33"/>
  <c r="BG135" i="33"/>
  <c r="BG131" i="33"/>
  <c r="BG127" i="33"/>
  <c r="BG123" i="33"/>
  <c r="BG119" i="33"/>
  <c r="BG115" i="33"/>
  <c r="BG111" i="33"/>
  <c r="BG107" i="33"/>
  <c r="BG103" i="33"/>
  <c r="BG99" i="33"/>
  <c r="BG95" i="33"/>
  <c r="BG91" i="33"/>
  <c r="BG87" i="33"/>
  <c r="BG83" i="33"/>
  <c r="BG79" i="33"/>
  <c r="BG75" i="33"/>
  <c r="BG71" i="33"/>
  <c r="BG67" i="33"/>
  <c r="BG63" i="33"/>
  <c r="BG59" i="33"/>
  <c r="BG55" i="33"/>
  <c r="BG51" i="33"/>
  <c r="BG47" i="33"/>
  <c r="BG43" i="33"/>
  <c r="BG39" i="33"/>
  <c r="BG35" i="33"/>
  <c r="BG31" i="33"/>
  <c r="BG27" i="33"/>
  <c r="BG23" i="33"/>
  <c r="BG19" i="33"/>
  <c r="BG15" i="33"/>
  <c r="BG11" i="33"/>
  <c r="BG7" i="33"/>
  <c r="BA68" i="33"/>
  <c r="BA64" i="33"/>
  <c r="BA60" i="33"/>
  <c r="BA56" i="33"/>
  <c r="BA52" i="33"/>
  <c r="BA48" i="33"/>
  <c r="BA44" i="33"/>
  <c r="BA40" i="33"/>
  <c r="BA36" i="33"/>
  <c r="BA32" i="33"/>
  <c r="BA28" i="33"/>
  <c r="BA24" i="33"/>
  <c r="BA20" i="33"/>
  <c r="BA16" i="33"/>
  <c r="BA12" i="33"/>
  <c r="BA8" i="33"/>
  <c r="BG352" i="33"/>
  <c r="BJ346" i="33"/>
  <c r="BJ341" i="33"/>
  <c r="BG336" i="33"/>
  <c r="BJ330" i="33"/>
  <c r="BJ325" i="33"/>
  <c r="BG320" i="33"/>
  <c r="BJ314" i="33"/>
  <c r="BJ310" i="33"/>
  <c r="BJ306" i="33"/>
  <c r="BJ302" i="33"/>
  <c r="BJ298" i="33"/>
  <c r="BJ294" i="33"/>
  <c r="BJ290" i="33"/>
  <c r="BJ286" i="33"/>
  <c r="BJ282" i="33"/>
  <c r="BJ278" i="33"/>
  <c r="BJ274" i="33"/>
  <c r="BJ270" i="33"/>
  <c r="BJ266" i="33"/>
  <c r="BJ262" i="33"/>
  <c r="BJ258" i="33"/>
  <c r="BJ254" i="33"/>
  <c r="BJ250" i="33"/>
  <c r="BJ246" i="33"/>
  <c r="BJ242" i="33"/>
  <c r="BJ238" i="33"/>
  <c r="BJ234" i="33"/>
  <c r="BJ230" i="33"/>
  <c r="BJ226" i="33"/>
  <c r="BJ222" i="33"/>
  <c r="BJ218" i="33"/>
  <c r="BJ214" i="33"/>
  <c r="BJ210" i="33"/>
  <c r="BJ206" i="33"/>
  <c r="BJ202" i="33"/>
  <c r="BJ198" i="33"/>
  <c r="BJ194" i="33"/>
  <c r="BJ190" i="33"/>
  <c r="BJ186" i="33"/>
  <c r="BJ182" i="33"/>
  <c r="BJ178" i="33"/>
  <c r="BJ174" i="33"/>
  <c r="BJ170" i="33"/>
  <c r="BJ166" i="33"/>
  <c r="BJ162" i="33"/>
  <c r="BJ158" i="33"/>
  <c r="BJ154" i="33"/>
  <c r="BJ150" i="33"/>
  <c r="BJ146" i="33"/>
  <c r="BJ142" i="33"/>
  <c r="BJ138" i="33"/>
  <c r="BJ134" i="33"/>
  <c r="BJ130" i="33"/>
  <c r="BJ126" i="33"/>
  <c r="BJ122" i="33"/>
  <c r="BJ118" i="33"/>
  <c r="BJ114" i="33"/>
  <c r="BJ110" i="33"/>
  <c r="BJ106" i="33"/>
  <c r="BJ102" i="33"/>
  <c r="BJ98" i="33"/>
  <c r="BJ94" i="33"/>
  <c r="BJ90" i="33"/>
  <c r="BJ86" i="33"/>
  <c r="BJ82" i="33"/>
  <c r="BJ78" i="33"/>
  <c r="BJ74" i="33"/>
  <c r="BJ70" i="33"/>
  <c r="BJ66" i="33"/>
  <c r="BJ62" i="33"/>
  <c r="BJ58" i="33"/>
  <c r="BJ54" i="33"/>
  <c r="BJ50" i="33"/>
  <c r="BJ46" i="33"/>
  <c r="BJ42" i="33"/>
  <c r="BJ38" i="33"/>
  <c r="BJ34" i="33"/>
  <c r="BJ30" i="33"/>
  <c r="BJ26" i="33"/>
  <c r="BJ22" i="33"/>
  <c r="BJ18" i="33"/>
  <c r="BJ14" i="33"/>
  <c r="BJ10" i="33"/>
  <c r="BJ6" i="33"/>
  <c r="BD99" i="33"/>
  <c r="BD95" i="33"/>
  <c r="BD91" i="33"/>
  <c r="BD87" i="33"/>
  <c r="BD83" i="33"/>
  <c r="BD79" i="33"/>
  <c r="BD75" i="33"/>
  <c r="BD71" i="33"/>
  <c r="BD67" i="33"/>
  <c r="BD63" i="33"/>
  <c r="BD59" i="33"/>
  <c r="BD55" i="33"/>
  <c r="BD51" i="33"/>
  <c r="BD47" i="33"/>
  <c r="BD43" i="33"/>
  <c r="BD39" i="33"/>
  <c r="BD35" i="33"/>
  <c r="BD31" i="33"/>
  <c r="BD27" i="33"/>
  <c r="BD23" i="33"/>
  <c r="BD19" i="33"/>
  <c r="BD15" i="33"/>
  <c r="BD11" i="33"/>
  <c r="BD7" i="33"/>
  <c r="AX67" i="33"/>
  <c r="AX63" i="33"/>
  <c r="AX59" i="33"/>
  <c r="AX55" i="33"/>
  <c r="AX51" i="33"/>
  <c r="AX47" i="33"/>
  <c r="AX43" i="33"/>
  <c r="AX39" i="33"/>
  <c r="AX35" i="33"/>
  <c r="AX31" i="33"/>
  <c r="AX26" i="33"/>
  <c r="AX22" i="33"/>
  <c r="AX18" i="33"/>
  <c r="AX13" i="33"/>
  <c r="AX9" i="33"/>
  <c r="AU67" i="33"/>
  <c r="AU63" i="33"/>
  <c r="AU59" i="33"/>
  <c r="AU55" i="33"/>
  <c r="AU51" i="33"/>
  <c r="AU47" i="33"/>
  <c r="AU43" i="33"/>
  <c r="AU39" i="33"/>
  <c r="AU35" i="33"/>
  <c r="AU31" i="33"/>
  <c r="AU26" i="33"/>
  <c r="AU22" i="33"/>
  <c r="AU18" i="33"/>
  <c r="AU13" i="33"/>
  <c r="AU9" i="33"/>
  <c r="AX66" i="33"/>
  <c r="AX62" i="33"/>
  <c r="AX58" i="33"/>
  <c r="AX54" i="33"/>
  <c r="AX50" i="33"/>
  <c r="AX46" i="33"/>
  <c r="AX42" i="33"/>
  <c r="AX38" i="33"/>
  <c r="AX34" i="33"/>
  <c r="AX30" i="33"/>
  <c r="AX25" i="33"/>
  <c r="AX21" i="33"/>
  <c r="AX17" i="33"/>
  <c r="AX12" i="33"/>
  <c r="AX7" i="33"/>
  <c r="AU66" i="33"/>
  <c r="AU62" i="33"/>
  <c r="AU58" i="33"/>
  <c r="AU54" i="33"/>
  <c r="AU50" i="33"/>
  <c r="AU46" i="33"/>
  <c r="AU42" i="33"/>
  <c r="AU38" i="33"/>
  <c r="AU34" i="33"/>
  <c r="AU30" i="33"/>
  <c r="AU25" i="33"/>
  <c r="AU21" i="33"/>
  <c r="AU17" i="33"/>
  <c r="AU12" i="33"/>
  <c r="AU7" i="33"/>
  <c r="AX69" i="33"/>
  <c r="AX65" i="33"/>
  <c r="AX61" i="33"/>
  <c r="AX57" i="33"/>
  <c r="AX53" i="33"/>
  <c r="AX49" i="33"/>
  <c r="AX45" i="33"/>
  <c r="AX41" i="33"/>
  <c r="AX37" i="33"/>
  <c r="AX33" i="33"/>
  <c r="AX28" i="33"/>
  <c r="AX24" i="33"/>
  <c r="AX20" i="33"/>
  <c r="AX16" i="33"/>
  <c r="AX11" i="33"/>
  <c r="AX6" i="33"/>
  <c r="AU69" i="33"/>
  <c r="AU65" i="33"/>
  <c r="AU61" i="33"/>
  <c r="AU57" i="33"/>
  <c r="AU53" i="33"/>
  <c r="AU49" i="33"/>
  <c r="AU45" i="33"/>
  <c r="AU41" i="33"/>
  <c r="AU37" i="33"/>
  <c r="AU33" i="33"/>
  <c r="AU28" i="33"/>
  <c r="AU24" i="33"/>
  <c r="AU20" i="33"/>
  <c r="AU16" i="33"/>
  <c r="AU11" i="33"/>
  <c r="AU6" i="33"/>
  <c r="AX68" i="33"/>
  <c r="AX64" i="33"/>
  <c r="AX60" i="33"/>
  <c r="AX56" i="33"/>
  <c r="AX52" i="33"/>
  <c r="AX48" i="33"/>
  <c r="AX44" i="33"/>
  <c r="AX40" i="33"/>
  <c r="AX36" i="33"/>
  <c r="AX32" i="33"/>
  <c r="AX27" i="33"/>
  <c r="AX23" i="33"/>
  <c r="AX19" i="33"/>
  <c r="AX14" i="33"/>
  <c r="AX10" i="33"/>
  <c r="AX5" i="33"/>
  <c r="AU68" i="33"/>
  <c r="AU64" i="33"/>
  <c r="AU60" i="33"/>
  <c r="AU56" i="33"/>
  <c r="AU52" i="33"/>
  <c r="AU48" i="33"/>
  <c r="AU44" i="33"/>
  <c r="AU40" i="33"/>
  <c r="AU36" i="33"/>
  <c r="AU32" i="33"/>
  <c r="AU27" i="33"/>
  <c r="AU23" i="33"/>
  <c r="AU19" i="33"/>
  <c r="AU14" i="33"/>
  <c r="AU10" i="33"/>
  <c r="AU5" i="33"/>
  <c r="AO68" i="33"/>
  <c r="AO64" i="33"/>
  <c r="AO60" i="33"/>
  <c r="AO56" i="33"/>
  <c r="AO52" i="33"/>
  <c r="AO48" i="33"/>
  <c r="AO44" i="33"/>
  <c r="AO40" i="33"/>
  <c r="AO36" i="33"/>
  <c r="AO32" i="33"/>
  <c r="AO27" i="33"/>
  <c r="AR21" i="33"/>
  <c r="AR17" i="33"/>
  <c r="AR12" i="33"/>
  <c r="AO7" i="33"/>
  <c r="AR67" i="33"/>
  <c r="AR63" i="33"/>
  <c r="AR59" i="33"/>
  <c r="AR55" i="33"/>
  <c r="AR51" i="33"/>
  <c r="AR47" i="33"/>
  <c r="AR43" i="33"/>
  <c r="AR39" i="33"/>
  <c r="AR35" i="33"/>
  <c r="AR31" i="33"/>
  <c r="AR26" i="33"/>
  <c r="AO21" i="33"/>
  <c r="AO17" i="33"/>
  <c r="AR11" i="33"/>
  <c r="AR6" i="33"/>
  <c r="AO67" i="33"/>
  <c r="AO63" i="33"/>
  <c r="AO59" i="33"/>
  <c r="AO55" i="33"/>
  <c r="AO51" i="33"/>
  <c r="AO47" i="33"/>
  <c r="AO43" i="33"/>
  <c r="AO39" i="33"/>
  <c r="AO35" i="33"/>
  <c r="AO31" i="33"/>
  <c r="AR25" i="33"/>
  <c r="AR20" i="33"/>
  <c r="AR16" i="33"/>
  <c r="AO11" i="33"/>
  <c r="AO6" i="33"/>
  <c r="AR66" i="33"/>
  <c r="AR62" i="33"/>
  <c r="AR58" i="33"/>
  <c r="AR54" i="33"/>
  <c r="AR50" i="33"/>
  <c r="AR46" i="33"/>
  <c r="AR42" i="33"/>
  <c r="AR38" i="33"/>
  <c r="AR34" i="33"/>
  <c r="AR30" i="33"/>
  <c r="AO25" i="33"/>
  <c r="AO20" i="33"/>
  <c r="AO16" i="33"/>
  <c r="AR10" i="33"/>
  <c r="AR5" i="33"/>
  <c r="AO66" i="33"/>
  <c r="AO62" i="33"/>
  <c r="AO58" i="33"/>
  <c r="AO54" i="33"/>
  <c r="AO50" i="33"/>
  <c r="AO46" i="33"/>
  <c r="AO42" i="33"/>
  <c r="AO38" i="33"/>
  <c r="AO34" i="33"/>
  <c r="AO30" i="33"/>
  <c r="AR24" i="33"/>
  <c r="AR19" i="33"/>
  <c r="AR14" i="33"/>
  <c r="AO10" i="33"/>
  <c r="AR65" i="33"/>
  <c r="AR61" i="33"/>
  <c r="AR57" i="33"/>
  <c r="AR53" i="33"/>
  <c r="AR49" i="33"/>
  <c r="AR45" i="33"/>
  <c r="AR41" i="33"/>
  <c r="AR37" i="33"/>
  <c r="AR33" i="33"/>
  <c r="AR28" i="33"/>
  <c r="AO24" i="33"/>
  <c r="AO19" i="33"/>
  <c r="AO14" i="33"/>
  <c r="AR9" i="33"/>
  <c r="AO69" i="33"/>
  <c r="AO65" i="33"/>
  <c r="AO61" i="33"/>
  <c r="AO57" i="33"/>
  <c r="AO53" i="33"/>
  <c r="AO49" i="33"/>
  <c r="AO45" i="33"/>
  <c r="AO41" i="33"/>
  <c r="AO37" i="33"/>
  <c r="AO33" i="33"/>
  <c r="AO28" i="33"/>
  <c r="AR23" i="33"/>
  <c r="AR18" i="33"/>
  <c r="AR13" i="33"/>
  <c r="AO9" i="33"/>
  <c r="AR68" i="33"/>
  <c r="AR64" i="33"/>
  <c r="AR60" i="33"/>
  <c r="AR56" i="33"/>
  <c r="AR52" i="33"/>
  <c r="AR48" i="33"/>
  <c r="AR44" i="33"/>
  <c r="AR40" i="33"/>
  <c r="AR36" i="33"/>
  <c r="AR32" i="33"/>
  <c r="AR27" i="33"/>
  <c r="AO23" i="33"/>
  <c r="AO18" i="33"/>
  <c r="AO13" i="33"/>
  <c r="AR7" i="33"/>
  <c r="AI69" i="33"/>
  <c r="AI65" i="33"/>
  <c r="AI61" i="33"/>
  <c r="AI57" i="33"/>
  <c r="AI53" i="33"/>
  <c r="AI49" i="33"/>
  <c r="AI45" i="33"/>
  <c r="AI41" i="33"/>
  <c r="AI37" i="33"/>
  <c r="AI33" i="33"/>
  <c r="AI28" i="33"/>
  <c r="AL21" i="33"/>
  <c r="AI16" i="33"/>
  <c r="AI9" i="33"/>
  <c r="AC66" i="33"/>
  <c r="AC62" i="33"/>
  <c r="AC58" i="33"/>
  <c r="AC54" i="33"/>
  <c r="AC50" i="33"/>
  <c r="AC46" i="33"/>
  <c r="AC42" i="33"/>
  <c r="AC38" i="33"/>
  <c r="AC34" i="33"/>
  <c r="AC30" i="33"/>
  <c r="AF18" i="33"/>
  <c r="AF11" i="33"/>
  <c r="AL68" i="33"/>
  <c r="AL64" i="33"/>
  <c r="AL60" i="33"/>
  <c r="AL56" i="33"/>
  <c r="AL52" i="33"/>
  <c r="AL48" i="33"/>
  <c r="AL44" i="33"/>
  <c r="AL40" i="33"/>
  <c r="AL36" i="33"/>
  <c r="AL32" i="33"/>
  <c r="AL27" i="33"/>
  <c r="AI21" i="33"/>
  <c r="AL14" i="33"/>
  <c r="AL7" i="33"/>
  <c r="AF69" i="33"/>
  <c r="AF65" i="33"/>
  <c r="AF61" i="33"/>
  <c r="AF57" i="33"/>
  <c r="AF53" i="33"/>
  <c r="AF49" i="33"/>
  <c r="AF45" i="33"/>
  <c r="AF41" i="33"/>
  <c r="AF37" i="33"/>
  <c r="AF33" i="33"/>
  <c r="AF28" i="33"/>
  <c r="AC18" i="33"/>
  <c r="AC11" i="33"/>
  <c r="AI68" i="33"/>
  <c r="AI64" i="33"/>
  <c r="AI60" i="33"/>
  <c r="AI56" i="33"/>
  <c r="AI52" i="33"/>
  <c r="AI48" i="33"/>
  <c r="AI44" i="33"/>
  <c r="AI40" i="33"/>
  <c r="AI36" i="33"/>
  <c r="AI32" i="33"/>
  <c r="AL25" i="33"/>
  <c r="AL20" i="33"/>
  <c r="AI14" i="33"/>
  <c r="AI7" i="33"/>
  <c r="AC69" i="33"/>
  <c r="AC65" i="33"/>
  <c r="AC61" i="33"/>
  <c r="AC57" i="33"/>
  <c r="AC53" i="33"/>
  <c r="AC49" i="33"/>
  <c r="AC45" i="33"/>
  <c r="AC41" i="33"/>
  <c r="AC37" i="33"/>
  <c r="AC33" i="33"/>
  <c r="AC28" i="33"/>
  <c r="AF17" i="33"/>
  <c r="AF9" i="33"/>
  <c r="AL67" i="33"/>
  <c r="AL63" i="33"/>
  <c r="AL59" i="33"/>
  <c r="AL55" i="33"/>
  <c r="AL51" i="33"/>
  <c r="AL47" i="33"/>
  <c r="AL43" i="33"/>
  <c r="AL39" i="33"/>
  <c r="AL35" i="33"/>
  <c r="AL31" i="33"/>
  <c r="AI25" i="33"/>
  <c r="AL18" i="33"/>
  <c r="AL11" i="33"/>
  <c r="AF68" i="33"/>
  <c r="AF64" i="33"/>
  <c r="AF60" i="33"/>
  <c r="AF56" i="33"/>
  <c r="AF52" i="33"/>
  <c r="AF48" i="33"/>
  <c r="AF44" i="33"/>
  <c r="AF40" i="33"/>
  <c r="AF36" i="33"/>
  <c r="AF32" i="33"/>
  <c r="AF25" i="33"/>
  <c r="AC17" i="33"/>
  <c r="AC9" i="33"/>
  <c r="AI67" i="33"/>
  <c r="AI63" i="33"/>
  <c r="AI59" i="33"/>
  <c r="AI55" i="33"/>
  <c r="AI51" i="33"/>
  <c r="AI47" i="33"/>
  <c r="AI43" i="33"/>
  <c r="AI39" i="33"/>
  <c r="AI35" i="33"/>
  <c r="AI31" i="33"/>
  <c r="AL24" i="33"/>
  <c r="AI18" i="33"/>
  <c r="AI11" i="33"/>
  <c r="AC68" i="33"/>
  <c r="AC64" i="33"/>
  <c r="AC60" i="33"/>
  <c r="AC56" i="33"/>
  <c r="AC52" i="33"/>
  <c r="AC48" i="33"/>
  <c r="AC40" i="33"/>
  <c r="AC36" i="33"/>
  <c r="AC32" i="33"/>
  <c r="AC25" i="33"/>
  <c r="AF16" i="33"/>
  <c r="AF7" i="33"/>
  <c r="AL66" i="33"/>
  <c r="AL62" i="33"/>
  <c r="AL58" i="33"/>
  <c r="AL54" i="33"/>
  <c r="AL50" i="33"/>
  <c r="AL46" i="33"/>
  <c r="AL42" i="33"/>
  <c r="AL38" i="33"/>
  <c r="AL34" i="33"/>
  <c r="AL30" i="33"/>
  <c r="AI24" i="33"/>
  <c r="AL17" i="33"/>
  <c r="AL10" i="33"/>
  <c r="AF67" i="33"/>
  <c r="AF63" i="33"/>
  <c r="AF59" i="33"/>
  <c r="AF55" i="33"/>
  <c r="AF51" i="33"/>
  <c r="AF47" i="33"/>
  <c r="AF43" i="33"/>
  <c r="AF39" i="33"/>
  <c r="AF35" i="33"/>
  <c r="AF31" i="33"/>
  <c r="AF23" i="33"/>
  <c r="AC16" i="33"/>
  <c r="AC7" i="33"/>
  <c r="AI66" i="33"/>
  <c r="AI62" i="33"/>
  <c r="AI58" i="33"/>
  <c r="AI54" i="33"/>
  <c r="AI50" i="33"/>
  <c r="AI46" i="33"/>
  <c r="AI42" i="33"/>
  <c r="AI38" i="33"/>
  <c r="AI34" i="33"/>
  <c r="AI30" i="33"/>
  <c r="AL23" i="33"/>
  <c r="AI17" i="33"/>
  <c r="AI10" i="33"/>
  <c r="AC67" i="33"/>
  <c r="AC63" i="33"/>
  <c r="AC59" i="33"/>
  <c r="AC55" i="33"/>
  <c r="AC51" i="33"/>
  <c r="AC47" i="33"/>
  <c r="AC43" i="33"/>
  <c r="AC39" i="33"/>
  <c r="AC35" i="33"/>
  <c r="AC31" i="33"/>
  <c r="AF21" i="33"/>
  <c r="AF14" i="33"/>
  <c r="AL69" i="33"/>
  <c r="AL65" i="33"/>
  <c r="AL61" i="33"/>
  <c r="AL57" i="33"/>
  <c r="AL53" i="33"/>
  <c r="AL49" i="33"/>
  <c r="AL45" i="33"/>
  <c r="AL41" i="33"/>
  <c r="AL37" i="33"/>
  <c r="AL33" i="33"/>
  <c r="AL28" i="33"/>
  <c r="AI23" i="33"/>
  <c r="AL16" i="33"/>
  <c r="AL9" i="33"/>
  <c r="AF66" i="33"/>
  <c r="AF62" i="33"/>
  <c r="AF58" i="33"/>
  <c r="AF54" i="33"/>
  <c r="AF50" i="33"/>
  <c r="AF46" i="33"/>
  <c r="AF42" i="33"/>
  <c r="AF38" i="33"/>
  <c r="AF34" i="33"/>
  <c r="AF30" i="33"/>
  <c r="AC21" i="33"/>
  <c r="AC14" i="33"/>
  <c r="W66" i="33"/>
  <c r="W62" i="33"/>
  <c r="W58" i="33"/>
  <c r="W54" i="33"/>
  <c r="W50" i="33"/>
  <c r="W46" i="33"/>
  <c r="W42" i="33"/>
  <c r="W38" i="33"/>
  <c r="W34" i="33"/>
  <c r="Z25" i="33"/>
  <c r="Z65" i="33"/>
  <c r="Z61" i="33"/>
  <c r="Z57" i="33"/>
  <c r="Z53" i="33"/>
  <c r="Z49" i="33"/>
  <c r="Z45" i="33"/>
  <c r="Z41" i="33"/>
  <c r="Z37" i="33"/>
  <c r="Z33" i="33"/>
  <c r="Z18" i="33"/>
  <c r="W65" i="33"/>
  <c r="W61" i="33"/>
  <c r="W57" i="33"/>
  <c r="W53" i="33"/>
  <c r="W49" i="33"/>
  <c r="W45" i="33"/>
  <c r="W41" i="33"/>
  <c r="W37" i="33"/>
  <c r="W33" i="33"/>
  <c r="Z11" i="33"/>
  <c r="Z68" i="33"/>
  <c r="Z64" i="33"/>
  <c r="Z60" i="33"/>
  <c r="Z56" i="33"/>
  <c r="Z52" i="33"/>
  <c r="Z48" i="33"/>
  <c r="Z40" i="33"/>
  <c r="Z36" i="33"/>
  <c r="Z32" i="33"/>
  <c r="W68" i="33"/>
  <c r="W64" i="33"/>
  <c r="W60" i="33"/>
  <c r="W56" i="33"/>
  <c r="W52" i="33"/>
  <c r="W48" i="33"/>
  <c r="W40" i="33"/>
  <c r="W36" i="33"/>
  <c r="W32" i="33"/>
  <c r="Z67" i="33"/>
  <c r="Z63" i="33"/>
  <c r="Z59" i="33"/>
  <c r="Z55" i="33"/>
  <c r="Z51" i="33"/>
  <c r="Z47" i="33"/>
  <c r="Z43" i="33"/>
  <c r="Z39" i="33"/>
  <c r="Z35" i="33"/>
  <c r="Z31" i="33"/>
  <c r="W67" i="33"/>
  <c r="W63" i="33"/>
  <c r="W59" i="33"/>
  <c r="W55" i="33"/>
  <c r="W51" i="33"/>
  <c r="W47" i="33"/>
  <c r="W43" i="33"/>
  <c r="W39" i="33"/>
  <c r="W35" i="33"/>
  <c r="W31" i="33"/>
  <c r="Z66" i="33"/>
  <c r="Z62" i="33"/>
  <c r="Z58" i="33"/>
  <c r="Z54" i="33"/>
  <c r="Z50" i="33"/>
  <c r="Z46" i="33"/>
  <c r="Z42" i="33"/>
  <c r="Z38" i="33"/>
  <c r="Z34" i="33"/>
  <c r="Z30" i="33"/>
  <c r="Q68" i="33"/>
  <c r="Q64" i="33"/>
  <c r="Q60" i="33"/>
  <c r="Q56" i="33"/>
  <c r="Q52" i="33"/>
  <c r="Q48" i="33"/>
  <c r="Q40" i="33"/>
  <c r="Q36" i="33"/>
  <c r="Q32" i="33"/>
  <c r="N36" i="33"/>
  <c r="N52" i="33"/>
  <c r="N60" i="33"/>
  <c r="N68" i="33"/>
  <c r="T67" i="33"/>
  <c r="T63" i="33"/>
  <c r="T59" i="33"/>
  <c r="T55" i="33"/>
  <c r="T51" i="33"/>
  <c r="T47" i="33"/>
  <c r="T43" i="33"/>
  <c r="T39" i="33"/>
  <c r="T35" i="33"/>
  <c r="T31" i="33"/>
  <c r="N37" i="33"/>
  <c r="N45" i="33"/>
  <c r="N53" i="33"/>
  <c r="N61" i="33"/>
  <c r="N69" i="33"/>
  <c r="Q67" i="33"/>
  <c r="Q63" i="33"/>
  <c r="Q59" i="33"/>
  <c r="Q55" i="33"/>
  <c r="Q51" i="33"/>
  <c r="Q47" i="33"/>
  <c r="Q43" i="33"/>
  <c r="Q39" i="33"/>
  <c r="Q35" i="33"/>
  <c r="Q31" i="33"/>
  <c r="N38" i="33"/>
  <c r="N46" i="33"/>
  <c r="N54" i="33"/>
  <c r="N62" i="33"/>
  <c r="T66" i="33"/>
  <c r="T62" i="33"/>
  <c r="T58" i="33"/>
  <c r="T54" i="33"/>
  <c r="T50" i="33"/>
  <c r="T46" i="33"/>
  <c r="T42" i="33"/>
  <c r="T38" i="33"/>
  <c r="T34" i="33"/>
  <c r="N31" i="33"/>
  <c r="N39" i="33"/>
  <c r="N47" i="33"/>
  <c r="N55" i="33"/>
  <c r="N63" i="33"/>
  <c r="Q66" i="33"/>
  <c r="Q62" i="33"/>
  <c r="Q58" i="33"/>
  <c r="Q54" i="33"/>
  <c r="Q50" i="33"/>
  <c r="Q46" i="33"/>
  <c r="Q42" i="33"/>
  <c r="Q38" i="33"/>
  <c r="Q34" i="33"/>
  <c r="N32" i="33"/>
  <c r="N40" i="33"/>
  <c r="N48" i="33"/>
  <c r="N56" i="33"/>
  <c r="N64" i="33"/>
  <c r="T69" i="33"/>
  <c r="T65" i="33"/>
  <c r="T61" i="33"/>
  <c r="T57" i="33"/>
  <c r="T53" i="33"/>
  <c r="T49" i="33"/>
  <c r="T45" i="33"/>
  <c r="T41" i="33"/>
  <c r="T37" i="33"/>
  <c r="T33" i="33"/>
  <c r="N33" i="33"/>
  <c r="N41" i="33"/>
  <c r="N49" i="33"/>
  <c r="N57" i="33"/>
  <c r="N65" i="33"/>
  <c r="Q65" i="33"/>
  <c r="Q61" i="33"/>
  <c r="Q57" i="33"/>
  <c r="Q53" i="33"/>
  <c r="Q49" i="33"/>
  <c r="Q45" i="33"/>
  <c r="Q41" i="33"/>
  <c r="Q37" i="33"/>
  <c r="Q33" i="33"/>
  <c r="N34" i="33"/>
  <c r="N42" i="33"/>
  <c r="N50" i="33"/>
  <c r="N58" i="33"/>
  <c r="N66" i="33"/>
  <c r="T68" i="33"/>
  <c r="T64" i="33"/>
  <c r="T60" i="33"/>
  <c r="T56" i="33"/>
  <c r="T52" i="33"/>
  <c r="T48" i="33"/>
  <c r="T40" i="33"/>
  <c r="T36" i="33"/>
  <c r="T32" i="33"/>
  <c r="N35" i="33"/>
  <c r="N43" i="33"/>
  <c r="N51" i="33"/>
  <c r="N59" i="33"/>
  <c r="N67" i="33"/>
  <c r="K31" i="33"/>
  <c r="K39" i="33"/>
  <c r="K47" i="33"/>
  <c r="K55" i="33"/>
  <c r="K63" i="33"/>
  <c r="K38" i="33"/>
  <c r="K32" i="33"/>
  <c r="K40" i="33"/>
  <c r="K48" i="33"/>
  <c r="K56" i="33"/>
  <c r="K64" i="33"/>
  <c r="K46" i="33"/>
  <c r="K33" i="33"/>
  <c r="K41" i="33"/>
  <c r="K49" i="33"/>
  <c r="K57" i="33"/>
  <c r="K65" i="33"/>
  <c r="K45" i="33"/>
  <c r="K34" i="33"/>
  <c r="K42" i="33"/>
  <c r="K50" i="33"/>
  <c r="K58" i="33"/>
  <c r="K66" i="33"/>
  <c r="K53" i="33"/>
  <c r="K62" i="33"/>
  <c r="K35" i="33"/>
  <c r="K43" i="33"/>
  <c r="K51" i="33"/>
  <c r="K59" i="33"/>
  <c r="K67" i="33"/>
  <c r="K61" i="33"/>
  <c r="K36" i="33"/>
  <c r="K52" i="33"/>
  <c r="K60" i="33"/>
  <c r="K68" i="33"/>
  <c r="K37" i="33"/>
  <c r="K69" i="33"/>
  <c r="K54" i="33"/>
  <c r="AC26" i="33"/>
  <c r="AI26" i="33"/>
  <c r="AX4" i="33"/>
  <c r="T11" i="33"/>
  <c r="T18" i="33"/>
  <c r="T25" i="33"/>
  <c r="W25" i="33"/>
  <c r="W18" i="33"/>
  <c r="BA4" i="33"/>
  <c r="W11" i="33"/>
  <c r="Q25" i="33"/>
  <c r="Q11" i="33"/>
  <c r="K11" i="33"/>
  <c r="K25" i="33"/>
  <c r="W24" i="33"/>
  <c r="T10" i="33"/>
  <c r="Z24" i="33"/>
  <c r="W17" i="33"/>
  <c r="N11" i="33"/>
  <c r="N25" i="33"/>
  <c r="G981" i="33"/>
  <c r="H981" i="33" s="1"/>
  <c r="BK1" i="33"/>
  <c r="BL1" i="33"/>
  <c r="BN1" i="33"/>
  <c r="BO1" i="33"/>
  <c r="BQ1" i="33"/>
  <c r="X4" i="25"/>
  <c r="X5" i="25"/>
  <c r="X6" i="25"/>
  <c r="X7" i="25"/>
  <c r="X8" i="25"/>
  <c r="X2" i="25"/>
  <c r="I331" i="33" l="1"/>
  <c r="I131" i="33"/>
  <c r="I883" i="33"/>
  <c r="I931" i="33"/>
  <c r="I672" i="33"/>
  <c r="I720" i="33"/>
  <c r="I864" i="33"/>
  <c r="I373" i="33"/>
  <c r="I421" i="33"/>
  <c r="I469" i="33"/>
  <c r="I565" i="33"/>
  <c r="I613" i="33"/>
  <c r="I129" i="33"/>
  <c r="I225" i="33"/>
  <c r="I348" i="33"/>
  <c r="I203" i="33"/>
  <c r="I272" i="33"/>
  <c r="I197" i="33"/>
  <c r="I245" i="33"/>
  <c r="I293" i="33"/>
  <c r="I340" i="33"/>
  <c r="I379" i="33"/>
  <c r="I427" i="33"/>
  <c r="I475" i="33"/>
  <c r="I523" i="33"/>
  <c r="I571" i="33"/>
  <c r="I619" i="33"/>
  <c r="I667" i="33"/>
  <c r="I715" i="33"/>
  <c r="I763" i="33"/>
  <c r="I811" i="33"/>
  <c r="I859" i="33"/>
  <c r="I907" i="33"/>
  <c r="I955" i="33"/>
  <c r="I992" i="33"/>
  <c r="I360" i="33"/>
  <c r="I408" i="33"/>
  <c r="I456" i="33"/>
  <c r="I504" i="33"/>
  <c r="I552" i="33"/>
  <c r="I600" i="33"/>
  <c r="I648" i="33"/>
  <c r="I696" i="33"/>
  <c r="I744" i="33"/>
  <c r="I792" i="33"/>
  <c r="I840" i="33"/>
  <c r="I888" i="33"/>
  <c r="I936" i="33"/>
  <c r="I984" i="33"/>
  <c r="I733" i="33"/>
  <c r="I781" i="33"/>
  <c r="I829" i="33"/>
  <c r="I877" i="33"/>
  <c r="I925" i="33"/>
  <c r="I973" i="33"/>
  <c r="I374" i="33"/>
  <c r="I470" i="33"/>
  <c r="I518" i="33"/>
  <c r="I566" i="33"/>
  <c r="I662" i="33"/>
  <c r="I710" i="33"/>
  <c r="I320" i="33"/>
  <c r="I719" i="33"/>
  <c r="I844" i="33"/>
  <c r="I988" i="33"/>
  <c r="I881" i="33"/>
  <c r="I977" i="33"/>
  <c r="I426" i="33"/>
  <c r="I474" i="33"/>
  <c r="I666" i="33"/>
  <c r="I714" i="33"/>
  <c r="I266" i="33"/>
  <c r="I308" i="33"/>
  <c r="I950" i="33"/>
  <c r="I637" i="33"/>
  <c r="I614" i="33"/>
  <c r="I806" i="33"/>
  <c r="I815" i="33"/>
  <c r="I911" i="33"/>
  <c r="I748" i="33"/>
  <c r="I796" i="33"/>
  <c r="I892" i="33"/>
  <c r="I929" i="33"/>
  <c r="I378" i="33"/>
  <c r="I522" i="33"/>
  <c r="I762" i="33"/>
  <c r="I810" i="33"/>
  <c r="I858" i="33"/>
  <c r="I350" i="33"/>
  <c r="I397" i="33"/>
  <c r="I758" i="33"/>
  <c r="I902" i="33"/>
  <c r="I307" i="33"/>
  <c r="I184" i="33"/>
  <c r="I232" i="33"/>
  <c r="I301" i="33"/>
  <c r="I339" i="33"/>
  <c r="I771" i="33"/>
  <c r="I915" i="33"/>
  <c r="I885" i="33"/>
  <c r="I382" i="33"/>
  <c r="I430" i="33"/>
  <c r="I478" i="33"/>
  <c r="I670" i="33"/>
  <c r="I445" i="33"/>
  <c r="I685" i="33"/>
  <c r="I422" i="33"/>
  <c r="I854" i="33"/>
  <c r="I140" i="33"/>
  <c r="I188" i="33"/>
  <c r="I236" i="33"/>
  <c r="I284" i="33"/>
  <c r="I144" i="33"/>
  <c r="I192" i="33"/>
  <c r="I779" i="33"/>
  <c r="I827" i="33"/>
  <c r="I875" i="33"/>
  <c r="I923" i="33"/>
  <c r="I971" i="33"/>
  <c r="I904" i="33"/>
  <c r="I365" i="33"/>
  <c r="I413" i="33"/>
  <c r="I461" i="33"/>
  <c r="I349" i="33"/>
  <c r="I589" i="33"/>
  <c r="I735" i="33"/>
  <c r="I783" i="33"/>
  <c r="I831" i="33"/>
  <c r="I879" i="33"/>
  <c r="I975" i="33"/>
  <c r="I764" i="33"/>
  <c r="I812" i="33"/>
  <c r="I860" i="33"/>
  <c r="I908" i="33"/>
  <c r="I609" i="33"/>
  <c r="I657" i="33"/>
  <c r="I705" i="33"/>
  <c r="I314" i="33"/>
  <c r="I493" i="33"/>
  <c r="I446" i="33"/>
  <c r="I494" i="33"/>
  <c r="I218" i="33"/>
  <c r="I135" i="33"/>
  <c r="I156" i="33"/>
  <c r="I204" i="33"/>
  <c r="I252" i="33"/>
  <c r="I177" i="33"/>
  <c r="I503" i="33"/>
  <c r="I647" i="33"/>
  <c r="I532" i="33"/>
  <c r="I628" i="33"/>
  <c r="I377" i="33"/>
  <c r="I425" i="33"/>
  <c r="I473" i="33"/>
  <c r="I761" i="33"/>
  <c r="I690" i="33"/>
  <c r="I738" i="33"/>
  <c r="I170" i="33"/>
  <c r="I541" i="33"/>
  <c r="I139" i="33"/>
  <c r="I160" i="33"/>
  <c r="I208" i="33"/>
  <c r="I256" i="33"/>
  <c r="I133" i="33"/>
  <c r="I181" i="33"/>
  <c r="I229" i="33"/>
  <c r="I651" i="33"/>
  <c r="I381" i="33"/>
  <c r="I429" i="33"/>
  <c r="I477" i="33"/>
  <c r="I765" i="33"/>
  <c r="I813" i="33"/>
  <c r="I861" i="33"/>
  <c r="I909" i="33"/>
  <c r="I180" i="33"/>
  <c r="I249" i="33"/>
  <c r="I383" i="33"/>
  <c r="I527" i="33"/>
  <c r="I863" i="33"/>
  <c r="I959" i="33"/>
  <c r="I364" i="33"/>
  <c r="I412" i="33"/>
  <c r="I460" i="33"/>
  <c r="I508" i="33"/>
  <c r="I556" i="33"/>
  <c r="I604" i="33"/>
  <c r="I652" i="33"/>
  <c r="I700" i="33"/>
  <c r="I940" i="33"/>
  <c r="I353" i="33"/>
  <c r="I401" i="33"/>
  <c r="I449" i="33"/>
  <c r="I497" i="33"/>
  <c r="I545" i="33"/>
  <c r="I593" i="33"/>
  <c r="I641" i="33"/>
  <c r="I689" i="33"/>
  <c r="I737" i="33"/>
  <c r="I785" i="33"/>
  <c r="I833" i="33"/>
  <c r="I570" i="33"/>
  <c r="I618" i="33"/>
  <c r="I906" i="33"/>
  <c r="I954" i="33"/>
  <c r="I991" i="33"/>
  <c r="I993" i="33"/>
  <c r="I159" i="33"/>
  <c r="I228" i="33"/>
  <c r="I174" i="33"/>
  <c r="I431" i="33"/>
  <c r="I163" i="33"/>
  <c r="I211" i="33"/>
  <c r="I259" i="33"/>
  <c r="I136" i="33"/>
  <c r="I280" i="33"/>
  <c r="I157" i="33"/>
  <c r="I205" i="33"/>
  <c r="I253" i="33"/>
  <c r="I130" i="33"/>
  <c r="I178" i="33"/>
  <c r="I226" i="33"/>
  <c r="I274" i="33"/>
  <c r="I387" i="33"/>
  <c r="I435" i="33"/>
  <c r="I483" i="33"/>
  <c r="I531" i="33"/>
  <c r="I579" i="33"/>
  <c r="I627" i="33"/>
  <c r="I675" i="33"/>
  <c r="I723" i="33"/>
  <c r="I819" i="33"/>
  <c r="I867" i="33"/>
  <c r="I963" i="33"/>
  <c r="I368" i="33"/>
  <c r="I416" i="33"/>
  <c r="I464" i="33"/>
  <c r="I512" i="33"/>
  <c r="I560" i="33"/>
  <c r="I608" i="33"/>
  <c r="I656" i="33"/>
  <c r="I704" i="33"/>
  <c r="I752" i="33"/>
  <c r="I800" i="33"/>
  <c r="I848" i="33"/>
  <c r="I896" i="33"/>
  <c r="I944" i="33"/>
  <c r="I357" i="33"/>
  <c r="I405" i="33"/>
  <c r="I453" i="33"/>
  <c r="I501" i="33"/>
  <c r="I549" i="33"/>
  <c r="I597" i="33"/>
  <c r="I645" i="33"/>
  <c r="I693" i="33"/>
  <c r="I741" i="33"/>
  <c r="I789" i="33"/>
  <c r="I837" i="33"/>
  <c r="I933" i="33"/>
  <c r="I981" i="33"/>
  <c r="I526" i="33"/>
  <c r="I574" i="33"/>
  <c r="I622" i="33"/>
  <c r="I718" i="33"/>
  <c r="I766" i="33"/>
  <c r="I814" i="33"/>
  <c r="I862" i="33"/>
  <c r="I910" i="33"/>
  <c r="I958" i="33"/>
  <c r="I996" i="33"/>
  <c r="I995" i="33"/>
  <c r="I997" i="33"/>
  <c r="I336" i="33"/>
  <c r="I167" i="33"/>
  <c r="I215" i="33"/>
  <c r="I263" i="33"/>
  <c r="I311" i="33"/>
  <c r="I338" i="33"/>
  <c r="I328" i="33"/>
  <c r="I161" i="33"/>
  <c r="I209" i="33"/>
  <c r="I257" i="33"/>
  <c r="I305" i="33"/>
  <c r="I134" i="33"/>
  <c r="I182" i="33"/>
  <c r="I230" i="33"/>
  <c r="I278" i="33"/>
  <c r="I330" i="33"/>
  <c r="I343" i="33"/>
  <c r="I391" i="33"/>
  <c r="I439" i="33"/>
  <c r="I487" i="33"/>
  <c r="I535" i="33"/>
  <c r="I583" i="33"/>
  <c r="I631" i="33"/>
  <c r="I679" i="33"/>
  <c r="I727" i="33"/>
  <c r="I775" i="33"/>
  <c r="I823" i="33"/>
  <c r="I871" i="33"/>
  <c r="I919" i="33"/>
  <c r="I967" i="33"/>
  <c r="I372" i="33"/>
  <c r="I420" i="33"/>
  <c r="I468" i="33"/>
  <c r="I516" i="33"/>
  <c r="I564" i="33"/>
  <c r="I612" i="33"/>
  <c r="I660" i="33"/>
  <c r="I708" i="33"/>
  <c r="I756" i="33"/>
  <c r="I804" i="33"/>
  <c r="I852" i="33"/>
  <c r="I900" i="33"/>
  <c r="I948" i="33"/>
  <c r="I998" i="33"/>
  <c r="I361" i="33"/>
  <c r="I409" i="33"/>
  <c r="I457" i="33"/>
  <c r="I505" i="33"/>
  <c r="I553" i="33"/>
  <c r="I601" i="33"/>
  <c r="I649" i="33"/>
  <c r="I697" i="33"/>
  <c r="I745" i="33"/>
  <c r="I793" i="33"/>
  <c r="I841" i="33"/>
  <c r="I889" i="33"/>
  <c r="I937" i="33"/>
  <c r="I985" i="33"/>
  <c r="I386" i="33"/>
  <c r="I434" i="33"/>
  <c r="I482" i="33"/>
  <c r="I530" i="33"/>
  <c r="I578" i="33"/>
  <c r="I626" i="33"/>
  <c r="I674" i="33"/>
  <c r="I722" i="33"/>
  <c r="I770" i="33"/>
  <c r="I818" i="33"/>
  <c r="I866" i="33"/>
  <c r="I914" i="33"/>
  <c r="I962" i="33"/>
  <c r="I999" i="33"/>
  <c r="I1001" i="33"/>
  <c r="I171" i="33"/>
  <c r="I219" i="33"/>
  <c r="I267" i="33"/>
  <c r="I240" i="33"/>
  <c r="I288" i="33"/>
  <c r="I165" i="33"/>
  <c r="I213" i="33"/>
  <c r="I261" i="33"/>
  <c r="I309" i="33"/>
  <c r="I138" i="33"/>
  <c r="I186" i="33"/>
  <c r="I234" i="33"/>
  <c r="I282" i="33"/>
  <c r="I347" i="33"/>
  <c r="I395" i="33"/>
  <c r="I443" i="33"/>
  <c r="I491" i="33"/>
  <c r="I539" i="33"/>
  <c r="I587" i="33"/>
  <c r="I635" i="33"/>
  <c r="I683" i="33"/>
  <c r="I731" i="33"/>
  <c r="I376" i="33"/>
  <c r="I424" i="33"/>
  <c r="I472" i="33"/>
  <c r="I520" i="33"/>
  <c r="I568" i="33"/>
  <c r="I616" i="33"/>
  <c r="I664" i="33"/>
  <c r="I712" i="33"/>
  <c r="I760" i="33"/>
  <c r="I808" i="33"/>
  <c r="I856" i="33"/>
  <c r="I952" i="33"/>
  <c r="I317" i="33"/>
  <c r="I509" i="33"/>
  <c r="I557" i="33"/>
  <c r="I605" i="33"/>
  <c r="I653" i="33"/>
  <c r="I701" i="33"/>
  <c r="I749" i="33"/>
  <c r="I797" i="33"/>
  <c r="I845" i="33"/>
  <c r="I893" i="33"/>
  <c r="I941" i="33"/>
  <c r="I989" i="33"/>
  <c r="I390" i="33"/>
  <c r="I438" i="33"/>
  <c r="I486" i="33"/>
  <c r="I534" i="33"/>
  <c r="I582" i="33"/>
  <c r="I630" i="33"/>
  <c r="I678" i="33"/>
  <c r="I726" i="33"/>
  <c r="I774" i="33"/>
  <c r="I822" i="33"/>
  <c r="I870" i="33"/>
  <c r="I918" i="33"/>
  <c r="I966" i="33"/>
  <c r="I1003" i="33"/>
  <c r="I132" i="33"/>
  <c r="I201" i="33"/>
  <c r="I335" i="33"/>
  <c r="I671" i="33"/>
  <c r="I175" i="33"/>
  <c r="I223" i="33"/>
  <c r="I271" i="33"/>
  <c r="I316" i="33"/>
  <c r="I148" i="33"/>
  <c r="I196" i="33"/>
  <c r="I244" i="33"/>
  <c r="I292" i="33"/>
  <c r="I169" i="33"/>
  <c r="I217" i="33"/>
  <c r="I265" i="33"/>
  <c r="I313" i="33"/>
  <c r="I142" i="33"/>
  <c r="I190" i="33"/>
  <c r="I238" i="33"/>
  <c r="I286" i="33"/>
  <c r="I351" i="33"/>
  <c r="I399" i="33"/>
  <c r="I447" i="33"/>
  <c r="I495" i="33"/>
  <c r="I543" i="33"/>
  <c r="I591" i="33"/>
  <c r="I639" i="33"/>
  <c r="I687" i="33"/>
  <c r="I927" i="33"/>
  <c r="I380" i="33"/>
  <c r="I428" i="33"/>
  <c r="I476" i="33"/>
  <c r="I524" i="33"/>
  <c r="I572" i="33"/>
  <c r="I620" i="33"/>
  <c r="I668" i="33"/>
  <c r="I716" i="33"/>
  <c r="I956" i="33"/>
  <c r="I321" i="33"/>
  <c r="I369" i="33"/>
  <c r="I417" i="33"/>
  <c r="I465" i="33"/>
  <c r="I513" i="33"/>
  <c r="I561" i="33"/>
  <c r="I753" i="33"/>
  <c r="I801" i="33"/>
  <c r="I849" i="33"/>
  <c r="I897" i="33"/>
  <c r="I945" i="33"/>
  <c r="I994" i="33"/>
  <c r="I394" i="33"/>
  <c r="I442" i="33"/>
  <c r="I490" i="33"/>
  <c r="I538" i="33"/>
  <c r="I586" i="33"/>
  <c r="I634" i="33"/>
  <c r="I682" i="33"/>
  <c r="I730" i="33"/>
  <c r="I778" i="33"/>
  <c r="I826" i="33"/>
  <c r="I874" i="33"/>
  <c r="I922" i="33"/>
  <c r="I970" i="33"/>
  <c r="I352" i="33"/>
  <c r="I179" i="33"/>
  <c r="I227" i="33"/>
  <c r="I275" i="33"/>
  <c r="I326" i="33"/>
  <c r="I152" i="33"/>
  <c r="I200" i="33"/>
  <c r="I248" i="33"/>
  <c r="I296" i="33"/>
  <c r="I344" i="33"/>
  <c r="I173" i="33"/>
  <c r="I221" i="33"/>
  <c r="I269" i="33"/>
  <c r="I318" i="33"/>
  <c r="I146" i="33"/>
  <c r="I194" i="33"/>
  <c r="I242" i="33"/>
  <c r="I290" i="33"/>
  <c r="I346" i="33"/>
  <c r="I355" i="33"/>
  <c r="I403" i="33"/>
  <c r="I451" i="33"/>
  <c r="I499" i="33"/>
  <c r="I547" i="33"/>
  <c r="I595" i="33"/>
  <c r="I643" i="33"/>
  <c r="I691" i="33"/>
  <c r="I739" i="33"/>
  <c r="I787" i="33"/>
  <c r="I835" i="33"/>
  <c r="I979" i="33"/>
  <c r="I384" i="33"/>
  <c r="I432" i="33"/>
  <c r="I480" i="33"/>
  <c r="I528" i="33"/>
  <c r="I576" i="33"/>
  <c r="I624" i="33"/>
  <c r="I768" i="33"/>
  <c r="I816" i="33"/>
  <c r="I912" i="33"/>
  <c r="I960" i="33"/>
  <c r="I325" i="33"/>
  <c r="I517" i="33"/>
  <c r="I661" i="33"/>
  <c r="I709" i="33"/>
  <c r="I757" i="33"/>
  <c r="I805" i="33"/>
  <c r="I853" i="33"/>
  <c r="I901" i="33"/>
  <c r="I949" i="33"/>
  <c r="I398" i="33"/>
  <c r="I542" i="33"/>
  <c r="I590" i="33"/>
  <c r="I638" i="33"/>
  <c r="I686" i="33"/>
  <c r="I734" i="33"/>
  <c r="I782" i="33"/>
  <c r="I830" i="33"/>
  <c r="I878" i="33"/>
  <c r="I926" i="33"/>
  <c r="I974" i="33"/>
  <c r="I183" i="33"/>
  <c r="I231" i="33"/>
  <c r="I279" i="33"/>
  <c r="I300" i="33"/>
  <c r="I273" i="33"/>
  <c r="I150" i="33"/>
  <c r="I198" i="33"/>
  <c r="I246" i="33"/>
  <c r="I294" i="33"/>
  <c r="I359" i="33"/>
  <c r="I407" i="33"/>
  <c r="I455" i="33"/>
  <c r="I551" i="33"/>
  <c r="I599" i="33"/>
  <c r="I695" i="33"/>
  <c r="I743" i="33"/>
  <c r="I791" i="33"/>
  <c r="I839" i="33"/>
  <c r="I887" i="33"/>
  <c r="I935" i="33"/>
  <c r="I983" i="33"/>
  <c r="I388" i="33"/>
  <c r="I436" i="33"/>
  <c r="I484" i="33"/>
  <c r="I580" i="33"/>
  <c r="I676" i="33"/>
  <c r="I724" i="33"/>
  <c r="I772" i="33"/>
  <c r="I820" i="33"/>
  <c r="I868" i="33"/>
  <c r="I916" i="33"/>
  <c r="I964" i="33"/>
  <c r="I1004" i="33"/>
  <c r="I329" i="33"/>
  <c r="I521" i="33"/>
  <c r="I569" i="33"/>
  <c r="I617" i="33"/>
  <c r="I665" i="33"/>
  <c r="I713" i="33"/>
  <c r="I809" i="33"/>
  <c r="I857" i="33"/>
  <c r="I905" i="33"/>
  <c r="I953" i="33"/>
  <c r="I354" i="33"/>
  <c r="I402" i="33"/>
  <c r="I450" i="33"/>
  <c r="I498" i="33"/>
  <c r="I546" i="33"/>
  <c r="I594" i="33"/>
  <c r="I642" i="33"/>
  <c r="I786" i="33"/>
  <c r="I834" i="33"/>
  <c r="I882" i="33"/>
  <c r="I930" i="33"/>
  <c r="I978" i="33"/>
  <c r="I255" i="33"/>
  <c r="I153" i="33"/>
  <c r="I222" i="33"/>
  <c r="I479" i="33"/>
  <c r="I767" i="33"/>
  <c r="I187" i="33"/>
  <c r="I235" i="33"/>
  <c r="I283" i="33"/>
  <c r="I332" i="33"/>
  <c r="I304" i="33"/>
  <c r="I277" i="33"/>
  <c r="I154" i="33"/>
  <c r="I202" i="33"/>
  <c r="I250" i="33"/>
  <c r="I298" i="33"/>
  <c r="I315" i="33"/>
  <c r="I363" i="33"/>
  <c r="I411" i="33"/>
  <c r="I459" i="33"/>
  <c r="I507" i="33"/>
  <c r="I555" i="33"/>
  <c r="I603" i="33"/>
  <c r="I699" i="33"/>
  <c r="I747" i="33"/>
  <c r="I795" i="33"/>
  <c r="I843" i="33"/>
  <c r="I891" i="33"/>
  <c r="I939" i="33"/>
  <c r="I987" i="33"/>
  <c r="I392" i="33"/>
  <c r="I440" i="33"/>
  <c r="I488" i="33"/>
  <c r="I536" i="33"/>
  <c r="I584" i="33"/>
  <c r="I632" i="33"/>
  <c r="I680" i="33"/>
  <c r="I728" i="33"/>
  <c r="I776" i="33"/>
  <c r="I824" i="33"/>
  <c r="I872" i="33"/>
  <c r="I920" i="33"/>
  <c r="I968" i="33"/>
  <c r="I333" i="33"/>
  <c r="I525" i="33"/>
  <c r="I573" i="33"/>
  <c r="I621" i="33"/>
  <c r="I669" i="33"/>
  <c r="I717" i="33"/>
  <c r="I957" i="33"/>
  <c r="I358" i="33"/>
  <c r="I406" i="33"/>
  <c r="I454" i="33"/>
  <c r="I502" i="33"/>
  <c r="I550" i="33"/>
  <c r="I598" i="33"/>
  <c r="I646" i="33"/>
  <c r="I694" i="33"/>
  <c r="I742" i="33"/>
  <c r="I790" i="33"/>
  <c r="I838" i="33"/>
  <c r="I886" i="33"/>
  <c r="I934" i="33"/>
  <c r="I982" i="33"/>
  <c r="I303" i="33"/>
  <c r="I297" i="33"/>
  <c r="I623" i="33"/>
  <c r="I143" i="33"/>
  <c r="I191" i="33"/>
  <c r="I239" i="33"/>
  <c r="I287" i="33"/>
  <c r="I342" i="33"/>
  <c r="I164" i="33"/>
  <c r="I212" i="33"/>
  <c r="I260" i="33"/>
  <c r="I137" i="33"/>
  <c r="I185" i="33"/>
  <c r="I233" i="33"/>
  <c r="I281" i="33"/>
  <c r="I334" i="33"/>
  <c r="I324" i="33"/>
  <c r="I158" i="33"/>
  <c r="I206" i="33"/>
  <c r="I254" i="33"/>
  <c r="I302" i="33"/>
  <c r="I319" i="33"/>
  <c r="I367" i="33"/>
  <c r="I415" i="33"/>
  <c r="I463" i="33"/>
  <c r="I511" i="33"/>
  <c r="I559" i="33"/>
  <c r="I607" i="33"/>
  <c r="I655" i="33"/>
  <c r="I703" i="33"/>
  <c r="I751" i="33"/>
  <c r="I799" i="33"/>
  <c r="I847" i="33"/>
  <c r="I895" i="33"/>
  <c r="I943" i="33"/>
  <c r="I396" i="33"/>
  <c r="I444" i="33"/>
  <c r="I492" i="33"/>
  <c r="I540" i="33"/>
  <c r="I588" i="33"/>
  <c r="I636" i="33"/>
  <c r="I684" i="33"/>
  <c r="I732" i="33"/>
  <c r="I780" i="33"/>
  <c r="I828" i="33"/>
  <c r="I876" i="33"/>
  <c r="I924" i="33"/>
  <c r="I972" i="33"/>
  <c r="I337" i="33"/>
  <c r="I385" i="33"/>
  <c r="I433" i="33"/>
  <c r="I481" i="33"/>
  <c r="I529" i="33"/>
  <c r="I577" i="33"/>
  <c r="I625" i="33"/>
  <c r="I673" i="33"/>
  <c r="I721" i="33"/>
  <c r="I769" i="33"/>
  <c r="I817" i="33"/>
  <c r="I865" i="33"/>
  <c r="I913" i="33"/>
  <c r="I961" i="33"/>
  <c r="I1000" i="33"/>
  <c r="I362" i="33"/>
  <c r="I410" i="33"/>
  <c r="I458" i="33"/>
  <c r="I506" i="33"/>
  <c r="I554" i="33"/>
  <c r="I602" i="33"/>
  <c r="I650" i="33"/>
  <c r="I698" i="33"/>
  <c r="I746" i="33"/>
  <c r="I794" i="33"/>
  <c r="I842" i="33"/>
  <c r="I890" i="33"/>
  <c r="I938" i="33"/>
  <c r="I986" i="33"/>
  <c r="I207" i="33"/>
  <c r="I276" i="33"/>
  <c r="I270" i="33"/>
  <c r="I575" i="33"/>
  <c r="I147" i="33"/>
  <c r="I195" i="33"/>
  <c r="I243" i="33"/>
  <c r="I291" i="33"/>
  <c r="I168" i="33"/>
  <c r="I216" i="33"/>
  <c r="I264" i="33"/>
  <c r="I312" i="33"/>
  <c r="I141" i="33"/>
  <c r="I189" i="33"/>
  <c r="I237" i="33"/>
  <c r="I285" i="33"/>
  <c r="I162" i="33"/>
  <c r="I210" i="33"/>
  <c r="I258" i="33"/>
  <c r="I306" i="33"/>
  <c r="I323" i="33"/>
  <c r="I371" i="33"/>
  <c r="I419" i="33"/>
  <c r="I467" i="33"/>
  <c r="I515" i="33"/>
  <c r="I563" i="33"/>
  <c r="I611" i="33"/>
  <c r="I659" i="33"/>
  <c r="I707" i="33"/>
  <c r="I755" i="33"/>
  <c r="I803" i="33"/>
  <c r="I851" i="33"/>
  <c r="I899" i="33"/>
  <c r="I947" i="33"/>
  <c r="I400" i="33"/>
  <c r="I448" i="33"/>
  <c r="I496" i="33"/>
  <c r="I544" i="33"/>
  <c r="I592" i="33"/>
  <c r="I640" i="33"/>
  <c r="I688" i="33"/>
  <c r="I736" i="33"/>
  <c r="I784" i="33"/>
  <c r="I832" i="33"/>
  <c r="I880" i="33"/>
  <c r="I928" i="33"/>
  <c r="I976" i="33"/>
  <c r="I341" i="33"/>
  <c r="I389" i="33"/>
  <c r="I437" i="33"/>
  <c r="I485" i="33"/>
  <c r="I533" i="33"/>
  <c r="I581" i="33"/>
  <c r="I629" i="33"/>
  <c r="I677" i="33"/>
  <c r="I725" i="33"/>
  <c r="I773" i="33"/>
  <c r="I821" i="33"/>
  <c r="I869" i="33"/>
  <c r="I917" i="33"/>
  <c r="I965" i="33"/>
  <c r="I366" i="33"/>
  <c r="I414" i="33"/>
  <c r="I462" i="33"/>
  <c r="I510" i="33"/>
  <c r="I558" i="33"/>
  <c r="I606" i="33"/>
  <c r="I654" i="33"/>
  <c r="I702" i="33"/>
  <c r="I750" i="33"/>
  <c r="I798" i="33"/>
  <c r="I846" i="33"/>
  <c r="I894" i="33"/>
  <c r="I942" i="33"/>
  <c r="I990" i="33"/>
  <c r="I151" i="33"/>
  <c r="I199" i="33"/>
  <c r="I247" i="33"/>
  <c r="I295" i="33"/>
  <c r="I172" i="33"/>
  <c r="I220" i="33"/>
  <c r="I268" i="33"/>
  <c r="I145" i="33"/>
  <c r="I193" i="33"/>
  <c r="I241" i="33"/>
  <c r="I289" i="33"/>
  <c r="I166" i="33"/>
  <c r="I214" i="33"/>
  <c r="I262" i="33"/>
  <c r="I310" i="33"/>
  <c r="I327" i="33"/>
  <c r="I375" i="33"/>
  <c r="I423" i="33"/>
  <c r="I471" i="33"/>
  <c r="I519" i="33"/>
  <c r="I567" i="33"/>
  <c r="I615" i="33"/>
  <c r="I663" i="33"/>
  <c r="I711" i="33"/>
  <c r="I759" i="33"/>
  <c r="I807" i="33"/>
  <c r="I855" i="33"/>
  <c r="I903" i="33"/>
  <c r="I951" i="33"/>
  <c r="I1002" i="33"/>
  <c r="I356" i="33"/>
  <c r="I404" i="33"/>
  <c r="I452" i="33"/>
  <c r="I500" i="33"/>
  <c r="I548" i="33"/>
  <c r="I596" i="33"/>
  <c r="I644" i="33"/>
  <c r="I692" i="33"/>
  <c r="I740" i="33"/>
  <c r="I788" i="33"/>
  <c r="I836" i="33"/>
  <c r="I884" i="33"/>
  <c r="I932" i="33"/>
  <c r="I980" i="33"/>
  <c r="I345" i="33"/>
  <c r="I393" i="33"/>
  <c r="I441" i="33"/>
  <c r="I489" i="33"/>
  <c r="I537" i="33"/>
  <c r="I585" i="33"/>
  <c r="I633" i="33"/>
  <c r="I681" i="33"/>
  <c r="I729" i="33"/>
  <c r="I777" i="33"/>
  <c r="I825" i="33"/>
  <c r="I873" i="33"/>
  <c r="I921" i="33"/>
  <c r="I969" i="33"/>
  <c r="I370" i="33"/>
  <c r="I418" i="33"/>
  <c r="I466" i="33"/>
  <c r="I514" i="33"/>
  <c r="I562" i="33"/>
  <c r="I610" i="33"/>
  <c r="I658" i="33"/>
  <c r="I706" i="33"/>
  <c r="I754" i="33"/>
  <c r="I802" i="33"/>
  <c r="I850" i="33"/>
  <c r="I898" i="33"/>
  <c r="I946" i="33"/>
  <c r="I12" i="33"/>
  <c r="I16" i="33"/>
  <c r="I66" i="33"/>
  <c r="I13" i="33"/>
  <c r="I98" i="33"/>
  <c r="I94" i="33"/>
  <c r="I31" i="33"/>
  <c r="I127" i="33"/>
  <c r="I126" i="33"/>
  <c r="I71" i="33"/>
  <c r="I76" i="33"/>
  <c r="I7" i="33"/>
  <c r="I63" i="33"/>
  <c r="I120" i="33"/>
  <c r="I121" i="33"/>
  <c r="I23" i="33"/>
  <c r="I104" i="33"/>
  <c r="I80" i="33"/>
  <c r="I113" i="33"/>
  <c r="I60" i="33"/>
  <c r="I108" i="33"/>
  <c r="I85" i="33"/>
  <c r="I101" i="33"/>
  <c r="I34" i="33"/>
  <c r="I42" i="33"/>
  <c r="I91" i="33"/>
  <c r="I17" i="33"/>
  <c r="I5" i="33"/>
  <c r="I22" i="33"/>
  <c r="I8" i="33"/>
  <c r="I29" i="33"/>
  <c r="I40" i="33"/>
  <c r="I20" i="33"/>
  <c r="I116" i="33"/>
  <c r="I27" i="33"/>
  <c r="I125" i="33"/>
  <c r="I19" i="33"/>
  <c r="I74" i="33"/>
  <c r="I30" i="33"/>
  <c r="I57" i="33"/>
  <c r="I9" i="33"/>
  <c r="I51" i="33"/>
  <c r="I56" i="33"/>
  <c r="I39" i="33"/>
  <c r="I44" i="33"/>
  <c r="I15" i="33"/>
  <c r="BP1" i="33"/>
  <c r="I6" i="33"/>
  <c r="I45" i="33"/>
  <c r="BM1" i="33"/>
  <c r="I106" i="33"/>
  <c r="I103" i="33"/>
  <c r="I81" i="33"/>
  <c r="I115" i="33"/>
  <c r="I88" i="33"/>
  <c r="I73" i="33"/>
  <c r="I28" i="33"/>
  <c r="I92" i="33"/>
  <c r="I110" i="33"/>
  <c r="I124" i="33"/>
  <c r="I49" i="33"/>
  <c r="I48" i="33"/>
  <c r="I118" i="33"/>
  <c r="I70" i="33"/>
  <c r="I90" i="33"/>
  <c r="I119" i="33"/>
  <c r="I78" i="33"/>
  <c r="I50" i="33"/>
  <c r="I105" i="33"/>
  <c r="I54" i="33"/>
  <c r="I32" i="33"/>
  <c r="I36" i="33"/>
  <c r="I100" i="33"/>
  <c r="I53" i="33"/>
  <c r="I117" i="33"/>
  <c r="I65" i="33"/>
  <c r="I21" i="33"/>
  <c r="I82" i="33"/>
  <c r="I69" i="33"/>
  <c r="I64" i="33"/>
  <c r="I46" i="33"/>
  <c r="I87" i="33"/>
  <c r="I37" i="33"/>
  <c r="I109" i="33"/>
  <c r="I122" i="33"/>
  <c r="I102" i="33"/>
  <c r="I14" i="33"/>
  <c r="I47" i="33"/>
  <c r="I79" i="33"/>
  <c r="I111" i="33"/>
  <c r="I95" i="33"/>
  <c r="I72" i="33"/>
  <c r="I52" i="33"/>
  <c r="I41" i="33"/>
  <c r="I61" i="33"/>
  <c r="I93" i="33"/>
  <c r="I84" i="33"/>
  <c r="I123" i="33"/>
  <c r="I59" i="33"/>
  <c r="I62" i="33"/>
  <c r="I96" i="33"/>
  <c r="I38" i="33"/>
  <c r="I55" i="33"/>
  <c r="I86" i="33"/>
  <c r="I68" i="33"/>
  <c r="I114" i="33"/>
  <c r="I89" i="33"/>
  <c r="I33" i="33"/>
  <c r="I97" i="33"/>
  <c r="I112" i="33"/>
  <c r="I77" i="33"/>
  <c r="I58" i="33"/>
  <c r="I83" i="33"/>
  <c r="I35" i="33"/>
  <c r="I67" i="33"/>
  <c r="I99" i="33"/>
  <c r="I43" i="33"/>
  <c r="I75" i="33"/>
  <c r="I107" i="33"/>
  <c r="I10" i="33"/>
  <c r="BV1" i="33"/>
  <c r="CN1" i="33"/>
  <c r="BY1" i="33"/>
  <c r="CE1" i="33"/>
  <c r="CT1" i="33"/>
  <c r="BS1" i="33"/>
  <c r="CB1" i="33"/>
  <c r="CH1" i="33"/>
  <c r="CQ1" i="33"/>
  <c r="CK1" i="33"/>
  <c r="I26" i="33"/>
  <c r="I24" i="33"/>
  <c r="I25" i="33"/>
  <c r="I18" i="33"/>
  <c r="I11" i="33"/>
  <c r="I4" i="33"/>
  <c r="H4" i="33"/>
  <c r="A15" i="33" l="1"/>
  <c r="G1004" i="33"/>
  <c r="H1004" i="33" s="1"/>
  <c r="G1003" i="33"/>
  <c r="H1003" i="33" s="1"/>
  <c r="G1002" i="33"/>
  <c r="H1002" i="33" s="1"/>
  <c r="G1001" i="33"/>
  <c r="H1001" i="33" s="1"/>
  <c r="G1000" i="33"/>
  <c r="H1000" i="33" s="1"/>
  <c r="G999" i="33"/>
  <c r="H999" i="33" s="1"/>
  <c r="G998" i="33"/>
  <c r="H998" i="33" s="1"/>
  <c r="G997" i="33"/>
  <c r="H997" i="33" s="1"/>
  <c r="G996" i="33"/>
  <c r="H996" i="33" s="1"/>
  <c r="G995" i="33"/>
  <c r="H995" i="33" s="1"/>
  <c r="G994" i="33"/>
  <c r="H994" i="33" s="1"/>
  <c r="G993" i="33"/>
  <c r="H993" i="33" s="1"/>
  <c r="G992" i="33"/>
  <c r="H992" i="33" s="1"/>
  <c r="G991" i="33"/>
  <c r="H991" i="33" s="1"/>
  <c r="G990" i="33"/>
  <c r="H990" i="33" s="1"/>
  <c r="G989" i="33"/>
  <c r="H989" i="33" s="1"/>
  <c r="G988" i="33"/>
  <c r="H988" i="33" s="1"/>
  <c r="G987" i="33"/>
  <c r="H987" i="33" s="1"/>
  <c r="G986" i="33"/>
  <c r="H986" i="33" s="1"/>
  <c r="G985" i="33"/>
  <c r="H985" i="33" s="1"/>
  <c r="G984" i="33"/>
  <c r="H984" i="33" s="1"/>
  <c r="G983" i="33"/>
  <c r="H983" i="33" s="1"/>
  <c r="G982" i="33"/>
  <c r="H982" i="33" s="1"/>
  <c r="G980" i="33"/>
  <c r="H980" i="33" s="1"/>
  <c r="G979" i="33"/>
  <c r="H979" i="33" s="1"/>
  <c r="G978" i="33"/>
  <c r="H978" i="33" s="1"/>
  <c r="G977" i="33"/>
  <c r="H977" i="33" s="1"/>
  <c r="G976" i="33"/>
  <c r="H976" i="33" s="1"/>
  <c r="G975" i="33"/>
  <c r="H975" i="33" s="1"/>
  <c r="G974" i="33"/>
  <c r="H974" i="33" s="1"/>
  <c r="G973" i="33"/>
  <c r="H973" i="33" s="1"/>
  <c r="G972" i="33"/>
  <c r="H972" i="33" s="1"/>
  <c r="G971" i="33"/>
  <c r="H971" i="33" s="1"/>
  <c r="G970" i="33"/>
  <c r="H970" i="33" s="1"/>
  <c r="G969" i="33"/>
  <c r="H969" i="33" s="1"/>
  <c r="G968" i="33"/>
  <c r="H968" i="33" s="1"/>
  <c r="G967" i="33"/>
  <c r="H967" i="33" s="1"/>
  <c r="G966" i="33"/>
  <c r="H966" i="33" s="1"/>
  <c r="G965" i="33"/>
  <c r="H965" i="33" s="1"/>
  <c r="G964" i="33"/>
  <c r="H964" i="33" s="1"/>
  <c r="G963" i="33"/>
  <c r="H963" i="33" s="1"/>
  <c r="G962" i="33"/>
  <c r="H962" i="33" s="1"/>
  <c r="G961" i="33"/>
  <c r="H961" i="33" s="1"/>
  <c r="G960" i="33"/>
  <c r="H960" i="33" s="1"/>
  <c r="G959" i="33"/>
  <c r="H959" i="33" s="1"/>
  <c r="G958" i="33"/>
  <c r="H958" i="33" s="1"/>
  <c r="G957" i="33"/>
  <c r="H957" i="33" s="1"/>
  <c r="G956" i="33"/>
  <c r="H956" i="33" s="1"/>
  <c r="G955" i="33"/>
  <c r="H955" i="33" s="1"/>
  <c r="G954" i="33"/>
  <c r="H954" i="33" s="1"/>
  <c r="G953" i="33"/>
  <c r="H953" i="33" s="1"/>
  <c r="G952" i="33"/>
  <c r="H952" i="33" s="1"/>
  <c r="G951" i="33"/>
  <c r="H951" i="33" s="1"/>
  <c r="G950" i="33"/>
  <c r="H950" i="33" s="1"/>
  <c r="G949" i="33"/>
  <c r="H949" i="33" s="1"/>
  <c r="G948" i="33"/>
  <c r="H948" i="33" s="1"/>
  <c r="G947" i="33"/>
  <c r="H947" i="33" s="1"/>
  <c r="G946" i="33"/>
  <c r="H946" i="33" s="1"/>
  <c r="G945" i="33"/>
  <c r="H945" i="33" s="1"/>
  <c r="G944" i="33"/>
  <c r="H944" i="33" s="1"/>
  <c r="G943" i="33"/>
  <c r="H943" i="33" s="1"/>
  <c r="G942" i="33"/>
  <c r="H942" i="33" s="1"/>
  <c r="G941" i="33"/>
  <c r="H941" i="33" s="1"/>
  <c r="G940" i="33"/>
  <c r="H940" i="33" s="1"/>
  <c r="G939" i="33"/>
  <c r="H939" i="33" s="1"/>
  <c r="G938" i="33"/>
  <c r="H938" i="33" s="1"/>
  <c r="G937" i="33"/>
  <c r="H937" i="33" s="1"/>
  <c r="G936" i="33"/>
  <c r="H936" i="33" s="1"/>
  <c r="G935" i="33"/>
  <c r="H935" i="33" s="1"/>
  <c r="G934" i="33"/>
  <c r="H934" i="33" s="1"/>
  <c r="G933" i="33"/>
  <c r="H933" i="33" s="1"/>
  <c r="G932" i="33"/>
  <c r="H932" i="33" s="1"/>
  <c r="G931" i="33"/>
  <c r="H931" i="33" s="1"/>
  <c r="G930" i="33"/>
  <c r="H930" i="33" s="1"/>
  <c r="G929" i="33"/>
  <c r="H929" i="33" s="1"/>
  <c r="G928" i="33"/>
  <c r="H928" i="33" s="1"/>
  <c r="G927" i="33"/>
  <c r="H927" i="33" s="1"/>
  <c r="G926" i="33"/>
  <c r="H926" i="33" s="1"/>
  <c r="G925" i="33"/>
  <c r="H925" i="33" s="1"/>
  <c r="G924" i="33"/>
  <c r="H924" i="33" s="1"/>
  <c r="G923" i="33"/>
  <c r="H923" i="33" s="1"/>
  <c r="G922" i="33"/>
  <c r="H922" i="33" s="1"/>
  <c r="G921" i="33"/>
  <c r="H921" i="33" s="1"/>
  <c r="G920" i="33"/>
  <c r="H920" i="33" s="1"/>
  <c r="G919" i="33"/>
  <c r="H919" i="33" s="1"/>
  <c r="G918" i="33"/>
  <c r="H918" i="33" s="1"/>
  <c r="G917" i="33"/>
  <c r="H917" i="33" s="1"/>
  <c r="G916" i="33"/>
  <c r="H916" i="33" s="1"/>
  <c r="G915" i="33"/>
  <c r="H915" i="33" s="1"/>
  <c r="G914" i="33"/>
  <c r="H914" i="33" s="1"/>
  <c r="G913" i="33"/>
  <c r="H913" i="33" s="1"/>
  <c r="G912" i="33"/>
  <c r="H912" i="33" s="1"/>
  <c r="G911" i="33"/>
  <c r="H911" i="33" s="1"/>
  <c r="G910" i="33"/>
  <c r="H910" i="33" s="1"/>
  <c r="G909" i="33"/>
  <c r="H909" i="33" s="1"/>
  <c r="G908" i="33"/>
  <c r="H908" i="33" s="1"/>
  <c r="G907" i="33"/>
  <c r="H907" i="33" s="1"/>
  <c r="G906" i="33"/>
  <c r="H906" i="33" s="1"/>
  <c r="G905" i="33"/>
  <c r="H905" i="33" s="1"/>
  <c r="G904" i="33"/>
  <c r="H904" i="33" s="1"/>
  <c r="G903" i="33"/>
  <c r="H903" i="33" s="1"/>
  <c r="G902" i="33"/>
  <c r="H902" i="33" s="1"/>
  <c r="G901" i="33"/>
  <c r="H901" i="33" s="1"/>
  <c r="G900" i="33"/>
  <c r="H900" i="33" s="1"/>
  <c r="G899" i="33"/>
  <c r="H899" i="33" s="1"/>
  <c r="G898" i="33"/>
  <c r="H898" i="33" s="1"/>
  <c r="G897" i="33"/>
  <c r="H897" i="33" s="1"/>
  <c r="G896" i="33"/>
  <c r="H896" i="33" s="1"/>
  <c r="G895" i="33"/>
  <c r="H895" i="33" s="1"/>
  <c r="G894" i="33"/>
  <c r="H894" i="33" s="1"/>
  <c r="G893" i="33"/>
  <c r="H893" i="33" s="1"/>
  <c r="G892" i="33"/>
  <c r="H892" i="33" s="1"/>
  <c r="G891" i="33"/>
  <c r="H891" i="33" s="1"/>
  <c r="G890" i="33"/>
  <c r="H890" i="33" s="1"/>
  <c r="G889" i="33"/>
  <c r="H889" i="33" s="1"/>
  <c r="G888" i="33"/>
  <c r="H888" i="33" s="1"/>
  <c r="G887" i="33"/>
  <c r="H887" i="33" s="1"/>
  <c r="G886" i="33"/>
  <c r="H886" i="33" s="1"/>
  <c r="G885" i="33"/>
  <c r="H885" i="33" s="1"/>
  <c r="G884" i="33"/>
  <c r="H884" i="33" s="1"/>
  <c r="G883" i="33"/>
  <c r="H883" i="33" s="1"/>
  <c r="G882" i="33"/>
  <c r="H882" i="33" s="1"/>
  <c r="G881" i="33"/>
  <c r="H881" i="33" s="1"/>
  <c r="G880" i="33"/>
  <c r="H880" i="33" s="1"/>
  <c r="G879" i="33"/>
  <c r="H879" i="33" s="1"/>
  <c r="G878" i="33"/>
  <c r="H878" i="33" s="1"/>
  <c r="G877" i="33"/>
  <c r="H877" i="33" s="1"/>
  <c r="G876" i="33"/>
  <c r="H876" i="33" s="1"/>
  <c r="G875" i="33"/>
  <c r="H875" i="33" s="1"/>
  <c r="G874" i="33"/>
  <c r="H874" i="33" s="1"/>
  <c r="G873" i="33"/>
  <c r="H873" i="33" s="1"/>
  <c r="G872" i="33"/>
  <c r="H872" i="33" s="1"/>
  <c r="G871" i="33"/>
  <c r="H871" i="33" s="1"/>
  <c r="G870" i="33"/>
  <c r="H870" i="33" s="1"/>
  <c r="G869" i="33"/>
  <c r="H869" i="33" s="1"/>
  <c r="G868" i="33"/>
  <c r="H868" i="33" s="1"/>
  <c r="G867" i="33"/>
  <c r="H867" i="33" s="1"/>
  <c r="G866" i="33"/>
  <c r="H866" i="33" s="1"/>
  <c r="G865" i="33"/>
  <c r="H865" i="33" s="1"/>
  <c r="G864" i="33"/>
  <c r="H864" i="33" s="1"/>
  <c r="G863" i="33"/>
  <c r="H863" i="33" s="1"/>
  <c r="G862" i="33"/>
  <c r="H862" i="33" s="1"/>
  <c r="G861" i="33"/>
  <c r="H861" i="33" s="1"/>
  <c r="G860" i="33"/>
  <c r="H860" i="33" s="1"/>
  <c r="G859" i="33"/>
  <c r="H859" i="33" s="1"/>
  <c r="G858" i="33"/>
  <c r="H858" i="33" s="1"/>
  <c r="G857" i="33"/>
  <c r="H857" i="33" s="1"/>
  <c r="G856" i="33"/>
  <c r="H856" i="33" s="1"/>
  <c r="G855" i="33"/>
  <c r="H855" i="33" s="1"/>
  <c r="G854" i="33"/>
  <c r="H854" i="33" s="1"/>
  <c r="G853" i="33"/>
  <c r="H853" i="33" s="1"/>
  <c r="G852" i="33"/>
  <c r="H852" i="33" s="1"/>
  <c r="G851" i="33"/>
  <c r="H851" i="33" s="1"/>
  <c r="G850" i="33"/>
  <c r="H850" i="33" s="1"/>
  <c r="G849" i="33"/>
  <c r="H849" i="33" s="1"/>
  <c r="G848" i="33"/>
  <c r="H848" i="33" s="1"/>
  <c r="G847" i="33"/>
  <c r="H847" i="33" s="1"/>
  <c r="G846" i="33"/>
  <c r="H846" i="33" s="1"/>
  <c r="G845" i="33"/>
  <c r="H845" i="33" s="1"/>
  <c r="G844" i="33"/>
  <c r="H844" i="33" s="1"/>
  <c r="G843" i="33"/>
  <c r="H843" i="33" s="1"/>
  <c r="G842" i="33"/>
  <c r="H842" i="33" s="1"/>
  <c r="G841" i="33"/>
  <c r="H841" i="33" s="1"/>
  <c r="G840" i="33"/>
  <c r="H840" i="33" s="1"/>
  <c r="G839" i="33"/>
  <c r="H839" i="33" s="1"/>
  <c r="G838" i="33"/>
  <c r="H838" i="33" s="1"/>
  <c r="G837" i="33"/>
  <c r="H837" i="33" s="1"/>
  <c r="G836" i="33"/>
  <c r="H836" i="33" s="1"/>
  <c r="G835" i="33"/>
  <c r="H835" i="33" s="1"/>
  <c r="G834" i="33"/>
  <c r="H834" i="33" s="1"/>
  <c r="G833" i="33"/>
  <c r="H833" i="33" s="1"/>
  <c r="G832" i="33"/>
  <c r="H832" i="33" s="1"/>
  <c r="G831" i="33"/>
  <c r="H831" i="33" s="1"/>
  <c r="G830" i="33"/>
  <c r="H830" i="33" s="1"/>
  <c r="G829" i="33"/>
  <c r="H829" i="33" s="1"/>
  <c r="G828" i="33"/>
  <c r="H828" i="33" s="1"/>
  <c r="G827" i="33"/>
  <c r="H827" i="33" s="1"/>
  <c r="G826" i="33"/>
  <c r="H826" i="33" s="1"/>
  <c r="G825" i="33"/>
  <c r="H825" i="33" s="1"/>
  <c r="G824" i="33"/>
  <c r="H824" i="33" s="1"/>
  <c r="G823" i="33"/>
  <c r="H823" i="33" s="1"/>
  <c r="G822" i="33"/>
  <c r="H822" i="33" s="1"/>
  <c r="G821" i="33"/>
  <c r="H821" i="33" s="1"/>
  <c r="G820" i="33"/>
  <c r="H820" i="33" s="1"/>
  <c r="G819" i="33"/>
  <c r="H819" i="33" s="1"/>
  <c r="G818" i="33"/>
  <c r="H818" i="33" s="1"/>
  <c r="G817" i="33"/>
  <c r="H817" i="33" s="1"/>
  <c r="G816" i="33"/>
  <c r="H816" i="33" s="1"/>
  <c r="G815" i="33"/>
  <c r="H815" i="33" s="1"/>
  <c r="G814" i="33"/>
  <c r="H814" i="33" s="1"/>
  <c r="G813" i="33"/>
  <c r="H813" i="33" s="1"/>
  <c r="G812" i="33"/>
  <c r="H812" i="33" s="1"/>
  <c r="G811" i="33"/>
  <c r="H811" i="33" s="1"/>
  <c r="G810" i="33"/>
  <c r="H810" i="33" s="1"/>
  <c r="G809" i="33"/>
  <c r="H809" i="33" s="1"/>
  <c r="G808" i="33"/>
  <c r="H808" i="33" s="1"/>
  <c r="G807" i="33"/>
  <c r="H807" i="33" s="1"/>
  <c r="G806" i="33"/>
  <c r="H806" i="33" s="1"/>
  <c r="G805" i="33"/>
  <c r="H805" i="33" s="1"/>
  <c r="G804" i="33"/>
  <c r="H804" i="33" s="1"/>
  <c r="G803" i="33"/>
  <c r="H803" i="33" s="1"/>
  <c r="G802" i="33"/>
  <c r="H802" i="33" s="1"/>
  <c r="G801" i="33"/>
  <c r="H801" i="33" s="1"/>
  <c r="G800" i="33"/>
  <c r="H800" i="33" s="1"/>
  <c r="G799" i="33"/>
  <c r="H799" i="33" s="1"/>
  <c r="G798" i="33"/>
  <c r="H798" i="33" s="1"/>
  <c r="G797" i="33"/>
  <c r="H797" i="33" s="1"/>
  <c r="G796" i="33"/>
  <c r="H796" i="33" s="1"/>
  <c r="G795" i="33"/>
  <c r="H795" i="33" s="1"/>
  <c r="G794" i="33"/>
  <c r="H794" i="33" s="1"/>
  <c r="G793" i="33"/>
  <c r="H793" i="33" s="1"/>
  <c r="G792" i="33"/>
  <c r="H792" i="33" s="1"/>
  <c r="G791" i="33"/>
  <c r="H791" i="33" s="1"/>
  <c r="G790" i="33"/>
  <c r="H790" i="33" s="1"/>
  <c r="G789" i="33"/>
  <c r="H789" i="33" s="1"/>
  <c r="G788" i="33"/>
  <c r="H788" i="33" s="1"/>
  <c r="G787" i="33"/>
  <c r="H787" i="33" s="1"/>
  <c r="G786" i="33"/>
  <c r="H786" i="33" s="1"/>
  <c r="G785" i="33"/>
  <c r="H785" i="33" s="1"/>
  <c r="G784" i="33"/>
  <c r="H784" i="33" s="1"/>
  <c r="G783" i="33"/>
  <c r="H783" i="33" s="1"/>
  <c r="G782" i="33"/>
  <c r="H782" i="33" s="1"/>
  <c r="G781" i="33"/>
  <c r="H781" i="33" s="1"/>
  <c r="G780" i="33"/>
  <c r="H780" i="33" s="1"/>
  <c r="G779" i="33"/>
  <c r="H779" i="33" s="1"/>
  <c r="G778" i="33"/>
  <c r="H778" i="33" s="1"/>
  <c r="G777" i="33"/>
  <c r="H777" i="33" s="1"/>
  <c r="G776" i="33"/>
  <c r="H776" i="33" s="1"/>
  <c r="G775" i="33"/>
  <c r="H775" i="33" s="1"/>
  <c r="G774" i="33"/>
  <c r="H774" i="33" s="1"/>
  <c r="G773" i="33"/>
  <c r="H773" i="33" s="1"/>
  <c r="G772" i="33"/>
  <c r="H772" i="33" s="1"/>
  <c r="G771" i="33"/>
  <c r="H771" i="33" s="1"/>
  <c r="G770" i="33"/>
  <c r="H770" i="33" s="1"/>
  <c r="G769" i="33"/>
  <c r="H769" i="33" s="1"/>
  <c r="G768" i="33"/>
  <c r="H768" i="33" s="1"/>
  <c r="G767" i="33"/>
  <c r="H767" i="33" s="1"/>
  <c r="G766" i="33"/>
  <c r="H766" i="33" s="1"/>
  <c r="G765" i="33"/>
  <c r="H765" i="33" s="1"/>
  <c r="G764" i="33"/>
  <c r="H764" i="33" s="1"/>
  <c r="G763" i="33"/>
  <c r="H763" i="33" s="1"/>
  <c r="G762" i="33"/>
  <c r="H762" i="33" s="1"/>
  <c r="G761" i="33"/>
  <c r="H761" i="33" s="1"/>
  <c r="G760" i="33"/>
  <c r="H760" i="33" s="1"/>
  <c r="G759" i="33"/>
  <c r="H759" i="33" s="1"/>
  <c r="G758" i="33"/>
  <c r="H758" i="33" s="1"/>
  <c r="G757" i="33"/>
  <c r="H757" i="33" s="1"/>
  <c r="G756" i="33"/>
  <c r="H756" i="33" s="1"/>
  <c r="G755" i="33"/>
  <c r="H755" i="33" s="1"/>
  <c r="G754" i="33"/>
  <c r="H754" i="33" s="1"/>
  <c r="G753" i="33"/>
  <c r="H753" i="33" s="1"/>
  <c r="G752" i="33"/>
  <c r="H752" i="33" s="1"/>
  <c r="G751" i="33"/>
  <c r="H751" i="33" s="1"/>
  <c r="G750" i="33"/>
  <c r="H750" i="33" s="1"/>
  <c r="G749" i="33"/>
  <c r="H749" i="33" s="1"/>
  <c r="G748" i="33"/>
  <c r="H748" i="33" s="1"/>
  <c r="G747" i="33"/>
  <c r="H747" i="33" s="1"/>
  <c r="G746" i="33"/>
  <c r="H746" i="33" s="1"/>
  <c r="G745" i="33"/>
  <c r="H745" i="33" s="1"/>
  <c r="G744" i="33"/>
  <c r="H744" i="33" s="1"/>
  <c r="G743" i="33"/>
  <c r="H743" i="33" s="1"/>
  <c r="G742" i="33"/>
  <c r="H742" i="33" s="1"/>
  <c r="G741" i="33"/>
  <c r="H741" i="33" s="1"/>
  <c r="G740" i="33"/>
  <c r="H740" i="33" s="1"/>
  <c r="G739" i="33"/>
  <c r="H739" i="33" s="1"/>
  <c r="G738" i="33"/>
  <c r="H738" i="33" s="1"/>
  <c r="G737" i="33"/>
  <c r="H737" i="33" s="1"/>
  <c r="G736" i="33"/>
  <c r="H736" i="33" s="1"/>
  <c r="G735" i="33"/>
  <c r="H735" i="33" s="1"/>
  <c r="G734" i="33"/>
  <c r="H734" i="33" s="1"/>
  <c r="G733" i="33"/>
  <c r="H733" i="33" s="1"/>
  <c r="G732" i="33"/>
  <c r="H732" i="33" s="1"/>
  <c r="G731" i="33"/>
  <c r="H731" i="33" s="1"/>
  <c r="G730" i="33"/>
  <c r="H730" i="33" s="1"/>
  <c r="G729" i="33"/>
  <c r="H729" i="33" s="1"/>
  <c r="G728" i="33"/>
  <c r="H728" i="33" s="1"/>
  <c r="G727" i="33"/>
  <c r="H727" i="33" s="1"/>
  <c r="G726" i="33"/>
  <c r="H726" i="33" s="1"/>
  <c r="G725" i="33"/>
  <c r="H725" i="33" s="1"/>
  <c r="G724" i="33"/>
  <c r="H724" i="33" s="1"/>
  <c r="G723" i="33"/>
  <c r="H723" i="33" s="1"/>
  <c r="G722" i="33"/>
  <c r="H722" i="33" s="1"/>
  <c r="G721" i="33"/>
  <c r="H721" i="33" s="1"/>
  <c r="G720" i="33"/>
  <c r="H720" i="33" s="1"/>
  <c r="G719" i="33"/>
  <c r="H719" i="33" s="1"/>
  <c r="G718" i="33"/>
  <c r="H718" i="33" s="1"/>
  <c r="G717" i="33"/>
  <c r="H717" i="33" s="1"/>
  <c r="G716" i="33"/>
  <c r="H716" i="33" s="1"/>
  <c r="G715" i="33"/>
  <c r="H715" i="33" s="1"/>
  <c r="G714" i="33"/>
  <c r="H714" i="33" s="1"/>
  <c r="G713" i="33"/>
  <c r="H713" i="33" s="1"/>
  <c r="G712" i="33"/>
  <c r="H712" i="33" s="1"/>
  <c r="G711" i="33"/>
  <c r="H711" i="33" s="1"/>
  <c r="G710" i="33"/>
  <c r="H710" i="33" s="1"/>
  <c r="G709" i="33"/>
  <c r="H709" i="33" s="1"/>
  <c r="G708" i="33"/>
  <c r="H708" i="33" s="1"/>
  <c r="G707" i="33"/>
  <c r="H707" i="33" s="1"/>
  <c r="G706" i="33"/>
  <c r="H706" i="33" s="1"/>
  <c r="G705" i="33"/>
  <c r="H705" i="33" s="1"/>
  <c r="G704" i="33"/>
  <c r="H704" i="33" s="1"/>
  <c r="G703" i="33"/>
  <c r="H703" i="33" s="1"/>
  <c r="G702" i="33"/>
  <c r="H702" i="33" s="1"/>
  <c r="G701" i="33"/>
  <c r="H701" i="33" s="1"/>
  <c r="G700" i="33"/>
  <c r="H700" i="33" s="1"/>
  <c r="G699" i="33"/>
  <c r="H699" i="33" s="1"/>
  <c r="G698" i="33"/>
  <c r="H698" i="33" s="1"/>
  <c r="G697" i="33"/>
  <c r="H697" i="33" s="1"/>
  <c r="G696" i="33"/>
  <c r="H696" i="33" s="1"/>
  <c r="G695" i="33"/>
  <c r="H695" i="33" s="1"/>
  <c r="G694" i="33"/>
  <c r="H694" i="33" s="1"/>
  <c r="G693" i="33"/>
  <c r="H693" i="33" s="1"/>
  <c r="G692" i="33"/>
  <c r="H692" i="33" s="1"/>
  <c r="G691" i="33"/>
  <c r="H691" i="33" s="1"/>
  <c r="G690" i="33"/>
  <c r="H690" i="33" s="1"/>
  <c r="G689" i="33"/>
  <c r="H689" i="33" s="1"/>
  <c r="G688" i="33"/>
  <c r="H688" i="33" s="1"/>
  <c r="G687" i="33"/>
  <c r="H687" i="33" s="1"/>
  <c r="G686" i="33"/>
  <c r="H686" i="33" s="1"/>
  <c r="G685" i="33"/>
  <c r="H685" i="33" s="1"/>
  <c r="G684" i="33"/>
  <c r="H684" i="33" s="1"/>
  <c r="G683" i="33"/>
  <c r="H683" i="33" s="1"/>
  <c r="G682" i="33"/>
  <c r="H682" i="33" s="1"/>
  <c r="G681" i="33"/>
  <c r="H681" i="33" s="1"/>
  <c r="G680" i="33"/>
  <c r="H680" i="33" s="1"/>
  <c r="G679" i="33"/>
  <c r="H679" i="33" s="1"/>
  <c r="G678" i="33"/>
  <c r="H678" i="33" s="1"/>
  <c r="G677" i="33"/>
  <c r="H677" i="33" s="1"/>
  <c r="G676" i="33"/>
  <c r="H676" i="33" s="1"/>
  <c r="G675" i="33"/>
  <c r="H675" i="33" s="1"/>
  <c r="G674" i="33"/>
  <c r="H674" i="33" s="1"/>
  <c r="G673" i="33"/>
  <c r="H673" i="33" s="1"/>
  <c r="G672" i="33"/>
  <c r="H672" i="33" s="1"/>
  <c r="G671" i="33"/>
  <c r="H671" i="33" s="1"/>
  <c r="G670" i="33"/>
  <c r="H670" i="33" s="1"/>
  <c r="G669" i="33"/>
  <c r="H669" i="33" s="1"/>
  <c r="G668" i="33"/>
  <c r="H668" i="33" s="1"/>
  <c r="G667" i="33"/>
  <c r="H667" i="33" s="1"/>
  <c r="G666" i="33"/>
  <c r="H666" i="33" s="1"/>
  <c r="G665" i="33"/>
  <c r="H665" i="33" s="1"/>
  <c r="G664" i="33"/>
  <c r="H664" i="33" s="1"/>
  <c r="G663" i="33"/>
  <c r="H663" i="33" s="1"/>
  <c r="G662" i="33"/>
  <c r="H662" i="33" s="1"/>
  <c r="G661" i="33"/>
  <c r="H661" i="33" s="1"/>
  <c r="G660" i="33"/>
  <c r="H660" i="33" s="1"/>
  <c r="G659" i="33"/>
  <c r="H659" i="33" s="1"/>
  <c r="G658" i="33"/>
  <c r="H658" i="33" s="1"/>
  <c r="G657" i="33"/>
  <c r="H657" i="33" s="1"/>
  <c r="G656" i="33"/>
  <c r="H656" i="33" s="1"/>
  <c r="G655" i="33"/>
  <c r="H655" i="33" s="1"/>
  <c r="G654" i="33"/>
  <c r="H654" i="33" s="1"/>
  <c r="G653" i="33"/>
  <c r="H653" i="33" s="1"/>
  <c r="G652" i="33"/>
  <c r="H652" i="33" s="1"/>
  <c r="G651" i="33"/>
  <c r="H651" i="33" s="1"/>
  <c r="G650" i="33"/>
  <c r="H650" i="33" s="1"/>
  <c r="G649" i="33"/>
  <c r="H649" i="33" s="1"/>
  <c r="G648" i="33"/>
  <c r="H648" i="33" s="1"/>
  <c r="G647" i="33"/>
  <c r="H647" i="33" s="1"/>
  <c r="G646" i="33"/>
  <c r="H646" i="33" s="1"/>
  <c r="G645" i="33"/>
  <c r="H645" i="33" s="1"/>
  <c r="G644" i="33"/>
  <c r="H644" i="33" s="1"/>
  <c r="G643" i="33"/>
  <c r="H643" i="33" s="1"/>
  <c r="G642" i="33"/>
  <c r="H642" i="33" s="1"/>
  <c r="G641" i="33"/>
  <c r="H641" i="33" s="1"/>
  <c r="G640" i="33"/>
  <c r="H640" i="33" s="1"/>
  <c r="G639" i="33"/>
  <c r="H639" i="33" s="1"/>
  <c r="G638" i="33"/>
  <c r="H638" i="33" s="1"/>
  <c r="G637" i="33"/>
  <c r="H637" i="33" s="1"/>
  <c r="G636" i="33"/>
  <c r="H636" i="33" s="1"/>
  <c r="G635" i="33"/>
  <c r="H635" i="33" s="1"/>
  <c r="G634" i="33"/>
  <c r="H634" i="33" s="1"/>
  <c r="G633" i="33"/>
  <c r="H633" i="33" s="1"/>
  <c r="G632" i="33"/>
  <c r="H632" i="33" s="1"/>
  <c r="G631" i="33"/>
  <c r="H631" i="33" s="1"/>
  <c r="G630" i="33"/>
  <c r="H630" i="33" s="1"/>
  <c r="G629" i="33"/>
  <c r="H629" i="33" s="1"/>
  <c r="G628" i="33"/>
  <c r="H628" i="33" s="1"/>
  <c r="G627" i="33"/>
  <c r="H627" i="33" s="1"/>
  <c r="G626" i="33"/>
  <c r="H626" i="33" s="1"/>
  <c r="G625" i="33"/>
  <c r="H625" i="33" s="1"/>
  <c r="G624" i="33"/>
  <c r="H624" i="33" s="1"/>
  <c r="G623" i="33"/>
  <c r="H623" i="33" s="1"/>
  <c r="G622" i="33"/>
  <c r="H622" i="33" s="1"/>
  <c r="G621" i="33"/>
  <c r="H621" i="33" s="1"/>
  <c r="G620" i="33"/>
  <c r="H620" i="33" s="1"/>
  <c r="G619" i="33"/>
  <c r="H619" i="33" s="1"/>
  <c r="G618" i="33"/>
  <c r="H618" i="33" s="1"/>
  <c r="G617" i="33"/>
  <c r="H617" i="33" s="1"/>
  <c r="G616" i="33"/>
  <c r="H616" i="33" s="1"/>
  <c r="G615" i="33"/>
  <c r="H615" i="33" s="1"/>
  <c r="G614" i="33"/>
  <c r="H614" i="33" s="1"/>
  <c r="G613" i="33"/>
  <c r="H613" i="33" s="1"/>
  <c r="G612" i="33"/>
  <c r="H612" i="33" s="1"/>
  <c r="G611" i="33"/>
  <c r="H611" i="33" s="1"/>
  <c r="G610" i="33"/>
  <c r="H610" i="33" s="1"/>
  <c r="G609" i="33"/>
  <c r="H609" i="33" s="1"/>
  <c r="G608" i="33"/>
  <c r="H608" i="33" s="1"/>
  <c r="G607" i="33"/>
  <c r="H607" i="33" s="1"/>
  <c r="G606" i="33"/>
  <c r="H606" i="33" s="1"/>
  <c r="G605" i="33"/>
  <c r="H605" i="33" s="1"/>
  <c r="G604" i="33"/>
  <c r="H604" i="33" s="1"/>
  <c r="G603" i="33"/>
  <c r="H603" i="33" s="1"/>
  <c r="G602" i="33"/>
  <c r="H602" i="33" s="1"/>
  <c r="G601" i="33"/>
  <c r="H601" i="33" s="1"/>
  <c r="G600" i="33"/>
  <c r="H600" i="33" s="1"/>
  <c r="G599" i="33"/>
  <c r="H599" i="33" s="1"/>
  <c r="G598" i="33"/>
  <c r="H598" i="33" s="1"/>
  <c r="G597" i="33"/>
  <c r="H597" i="33" s="1"/>
  <c r="G596" i="33"/>
  <c r="H596" i="33" s="1"/>
  <c r="G595" i="33"/>
  <c r="H595" i="33" s="1"/>
  <c r="G594" i="33"/>
  <c r="H594" i="33" s="1"/>
  <c r="G593" i="33"/>
  <c r="H593" i="33" s="1"/>
  <c r="G592" i="33"/>
  <c r="H592" i="33" s="1"/>
  <c r="G591" i="33"/>
  <c r="H591" i="33" s="1"/>
  <c r="G590" i="33"/>
  <c r="H590" i="33" s="1"/>
  <c r="G589" i="33"/>
  <c r="H589" i="33" s="1"/>
  <c r="G588" i="33"/>
  <c r="H588" i="33" s="1"/>
  <c r="G587" i="33"/>
  <c r="H587" i="33" s="1"/>
  <c r="G586" i="33"/>
  <c r="H586" i="33" s="1"/>
  <c r="G585" i="33"/>
  <c r="H585" i="33" s="1"/>
  <c r="G584" i="33"/>
  <c r="H584" i="33" s="1"/>
  <c r="G583" i="33"/>
  <c r="H583" i="33" s="1"/>
  <c r="G582" i="33"/>
  <c r="H582" i="33" s="1"/>
  <c r="G581" i="33"/>
  <c r="H581" i="33" s="1"/>
  <c r="G580" i="33"/>
  <c r="H580" i="33" s="1"/>
  <c r="G579" i="33"/>
  <c r="H579" i="33" s="1"/>
  <c r="G578" i="33"/>
  <c r="H578" i="33" s="1"/>
  <c r="G577" i="33"/>
  <c r="H577" i="33" s="1"/>
  <c r="G576" i="33"/>
  <c r="H576" i="33" s="1"/>
  <c r="G575" i="33"/>
  <c r="H575" i="33" s="1"/>
  <c r="G574" i="33"/>
  <c r="H574" i="33" s="1"/>
  <c r="G573" i="33"/>
  <c r="H573" i="33" s="1"/>
  <c r="G572" i="33"/>
  <c r="H572" i="33" s="1"/>
  <c r="G571" i="33"/>
  <c r="H571" i="33" s="1"/>
  <c r="G570" i="33"/>
  <c r="H570" i="33" s="1"/>
  <c r="G569" i="33"/>
  <c r="H569" i="33" s="1"/>
  <c r="G568" i="33"/>
  <c r="H568" i="33" s="1"/>
  <c r="G567" i="33"/>
  <c r="H567" i="33" s="1"/>
  <c r="G566" i="33"/>
  <c r="H566" i="33" s="1"/>
  <c r="G565" i="33"/>
  <c r="H565" i="33" s="1"/>
  <c r="G564" i="33"/>
  <c r="H564" i="33" s="1"/>
  <c r="G563" i="33"/>
  <c r="H563" i="33" s="1"/>
  <c r="G562" i="33"/>
  <c r="H562" i="33" s="1"/>
  <c r="G561" i="33"/>
  <c r="H561" i="33" s="1"/>
  <c r="G560" i="33"/>
  <c r="H560" i="33" s="1"/>
  <c r="G559" i="33"/>
  <c r="H559" i="33" s="1"/>
  <c r="G558" i="33"/>
  <c r="H558" i="33" s="1"/>
  <c r="G557" i="33"/>
  <c r="H557" i="33" s="1"/>
  <c r="G556" i="33"/>
  <c r="H556" i="33" s="1"/>
  <c r="G555" i="33"/>
  <c r="H555" i="33" s="1"/>
  <c r="G554" i="33"/>
  <c r="H554" i="33" s="1"/>
  <c r="G553" i="33"/>
  <c r="H553" i="33" s="1"/>
  <c r="G552" i="33"/>
  <c r="H552" i="33" s="1"/>
  <c r="G551" i="33"/>
  <c r="H551" i="33" s="1"/>
  <c r="G550" i="33"/>
  <c r="H550" i="33" s="1"/>
  <c r="G549" i="33"/>
  <c r="H549" i="33" s="1"/>
  <c r="G548" i="33"/>
  <c r="H548" i="33" s="1"/>
  <c r="G547" i="33"/>
  <c r="H547" i="33" s="1"/>
  <c r="G546" i="33"/>
  <c r="H546" i="33" s="1"/>
  <c r="G545" i="33"/>
  <c r="H545" i="33" s="1"/>
  <c r="G544" i="33"/>
  <c r="H544" i="33" s="1"/>
  <c r="G543" i="33"/>
  <c r="H543" i="33" s="1"/>
  <c r="G542" i="33"/>
  <c r="H542" i="33" s="1"/>
  <c r="G541" i="33"/>
  <c r="H541" i="33" s="1"/>
  <c r="G540" i="33"/>
  <c r="H540" i="33" s="1"/>
  <c r="G539" i="33"/>
  <c r="H539" i="33" s="1"/>
  <c r="G538" i="33"/>
  <c r="H538" i="33" s="1"/>
  <c r="G537" i="33"/>
  <c r="H537" i="33" s="1"/>
  <c r="G536" i="33"/>
  <c r="H536" i="33" s="1"/>
  <c r="G535" i="33"/>
  <c r="H535" i="33" s="1"/>
  <c r="G534" i="33"/>
  <c r="H534" i="33" s="1"/>
  <c r="G533" i="33"/>
  <c r="H533" i="33" s="1"/>
  <c r="G532" i="33"/>
  <c r="H532" i="33" s="1"/>
  <c r="G531" i="33"/>
  <c r="H531" i="33" s="1"/>
  <c r="G530" i="33"/>
  <c r="H530" i="33" s="1"/>
  <c r="G529" i="33"/>
  <c r="H529" i="33" s="1"/>
  <c r="G528" i="33"/>
  <c r="H528" i="33" s="1"/>
  <c r="G527" i="33"/>
  <c r="H527" i="33" s="1"/>
  <c r="G526" i="33"/>
  <c r="H526" i="33" s="1"/>
  <c r="G525" i="33"/>
  <c r="H525" i="33" s="1"/>
  <c r="G524" i="33"/>
  <c r="H524" i="33" s="1"/>
  <c r="G523" i="33"/>
  <c r="H523" i="33" s="1"/>
  <c r="G522" i="33"/>
  <c r="H522" i="33" s="1"/>
  <c r="G521" i="33"/>
  <c r="H521" i="33" s="1"/>
  <c r="G520" i="33"/>
  <c r="H520" i="33" s="1"/>
  <c r="G519" i="33"/>
  <c r="H519" i="33" s="1"/>
  <c r="G518" i="33"/>
  <c r="H518" i="33" s="1"/>
  <c r="G517" i="33"/>
  <c r="H517" i="33" s="1"/>
  <c r="G516" i="33"/>
  <c r="H516" i="33" s="1"/>
  <c r="G515" i="33"/>
  <c r="H515" i="33" s="1"/>
  <c r="G514" i="33"/>
  <c r="H514" i="33" s="1"/>
  <c r="G513" i="33"/>
  <c r="H513" i="33" s="1"/>
  <c r="G512" i="33"/>
  <c r="H512" i="33" s="1"/>
  <c r="G511" i="33"/>
  <c r="H511" i="33" s="1"/>
  <c r="G510" i="33"/>
  <c r="H510" i="33" s="1"/>
  <c r="G509" i="33"/>
  <c r="H509" i="33" s="1"/>
  <c r="G508" i="33"/>
  <c r="H508" i="33" s="1"/>
  <c r="G507" i="33"/>
  <c r="H507" i="33" s="1"/>
  <c r="G506" i="33"/>
  <c r="H506" i="33" s="1"/>
  <c r="G505" i="33"/>
  <c r="H505" i="33" s="1"/>
  <c r="G504" i="33"/>
  <c r="H504" i="33" s="1"/>
  <c r="G503" i="33"/>
  <c r="H503" i="33" s="1"/>
  <c r="G502" i="33"/>
  <c r="H502" i="33" s="1"/>
  <c r="G501" i="33"/>
  <c r="H501" i="33" s="1"/>
  <c r="G500" i="33"/>
  <c r="H500" i="33" s="1"/>
  <c r="G499" i="33"/>
  <c r="H499" i="33" s="1"/>
  <c r="G498" i="33"/>
  <c r="H498" i="33" s="1"/>
  <c r="G497" i="33"/>
  <c r="H497" i="33" s="1"/>
  <c r="G496" i="33"/>
  <c r="H496" i="33" s="1"/>
  <c r="G495" i="33"/>
  <c r="H495" i="33" s="1"/>
  <c r="G494" i="33"/>
  <c r="H494" i="33" s="1"/>
  <c r="G493" i="33"/>
  <c r="H493" i="33" s="1"/>
  <c r="G492" i="33"/>
  <c r="H492" i="33" s="1"/>
  <c r="G491" i="33"/>
  <c r="H491" i="33" s="1"/>
  <c r="G490" i="33"/>
  <c r="H490" i="33" s="1"/>
  <c r="G489" i="33"/>
  <c r="H489" i="33" s="1"/>
  <c r="G488" i="33"/>
  <c r="H488" i="33" s="1"/>
  <c r="G487" i="33"/>
  <c r="H487" i="33" s="1"/>
  <c r="G486" i="33"/>
  <c r="H486" i="33" s="1"/>
  <c r="G485" i="33"/>
  <c r="H485" i="33" s="1"/>
  <c r="G484" i="33"/>
  <c r="H484" i="33" s="1"/>
  <c r="G483" i="33"/>
  <c r="H483" i="33" s="1"/>
  <c r="G482" i="33"/>
  <c r="H482" i="33" s="1"/>
  <c r="G481" i="33"/>
  <c r="H481" i="33" s="1"/>
  <c r="H480" i="33"/>
  <c r="H479" i="33"/>
  <c r="H478" i="33"/>
  <c r="H477" i="33"/>
  <c r="H476" i="33"/>
  <c r="H475" i="33"/>
  <c r="H474" i="33"/>
  <c r="H473" i="33"/>
  <c r="H472" i="33"/>
  <c r="H471" i="33"/>
  <c r="H470" i="33"/>
  <c r="H469" i="33"/>
  <c r="H468" i="33"/>
  <c r="H467" i="33"/>
  <c r="H466" i="33"/>
  <c r="H465" i="33"/>
  <c r="H464" i="33"/>
  <c r="H463" i="33"/>
  <c r="H462" i="33"/>
  <c r="H461" i="33"/>
  <c r="H460" i="33"/>
  <c r="H459" i="33"/>
  <c r="H458" i="33"/>
  <c r="H457" i="33"/>
  <c r="H456" i="33"/>
  <c r="H455" i="33"/>
  <c r="H454" i="33"/>
  <c r="H453" i="33"/>
  <c r="H452" i="33"/>
  <c r="H451" i="33"/>
  <c r="H450" i="33"/>
  <c r="H449" i="33"/>
  <c r="H448" i="33"/>
  <c r="H447" i="33"/>
  <c r="H446" i="33"/>
  <c r="H445" i="33"/>
  <c r="H444" i="33"/>
  <c r="H443" i="33"/>
  <c r="H442" i="33"/>
  <c r="H441" i="33"/>
  <c r="H440" i="33"/>
  <c r="H439" i="33"/>
  <c r="H438" i="33"/>
  <c r="H437" i="33"/>
  <c r="H436" i="33"/>
  <c r="H435" i="33"/>
  <c r="H434" i="33"/>
  <c r="H433" i="33"/>
  <c r="H432" i="33"/>
  <c r="H431" i="33"/>
  <c r="H430" i="33"/>
  <c r="H429" i="33"/>
  <c r="H428" i="33"/>
  <c r="H427" i="33"/>
  <c r="H426" i="33"/>
  <c r="H425" i="33"/>
  <c r="H424" i="33"/>
  <c r="H423" i="33"/>
  <c r="H422" i="33"/>
  <c r="H421" i="33"/>
  <c r="H420" i="33"/>
  <c r="H419" i="33"/>
  <c r="H418" i="33"/>
  <c r="H417" i="33"/>
  <c r="H416" i="33"/>
  <c r="H415" i="33"/>
  <c r="H414" i="33"/>
  <c r="H413" i="33"/>
  <c r="H412" i="33"/>
  <c r="H411" i="33"/>
  <c r="H410" i="33"/>
  <c r="H409" i="33"/>
  <c r="H408" i="33"/>
  <c r="H407" i="33"/>
  <c r="H406" i="33"/>
  <c r="H405" i="33"/>
  <c r="H404" i="33"/>
  <c r="H403" i="33"/>
  <c r="H402" i="33"/>
  <c r="H401" i="33"/>
  <c r="H400" i="33"/>
  <c r="H399" i="33"/>
  <c r="H398" i="33"/>
  <c r="H397" i="33"/>
  <c r="H396" i="33"/>
  <c r="H395" i="33"/>
  <c r="H394" i="33"/>
  <c r="H393" i="33"/>
  <c r="H392" i="33"/>
  <c r="H391" i="33"/>
  <c r="H390" i="33"/>
  <c r="H389" i="33"/>
  <c r="H388" i="33"/>
  <c r="H387" i="33"/>
  <c r="H386" i="33"/>
  <c r="H385" i="33"/>
  <c r="H384" i="33"/>
  <c r="H383" i="33"/>
  <c r="H382" i="33"/>
  <c r="H381" i="33"/>
  <c r="H380" i="33"/>
  <c r="H379" i="33"/>
  <c r="H378" i="33"/>
  <c r="H377" i="33"/>
  <c r="H376" i="33"/>
  <c r="H375" i="33"/>
  <c r="H374" i="33"/>
  <c r="H373" i="33"/>
  <c r="H372" i="33"/>
  <c r="H371" i="33"/>
  <c r="H370" i="33"/>
  <c r="H369" i="33"/>
  <c r="H368" i="33"/>
  <c r="H367" i="33"/>
  <c r="H366" i="33"/>
  <c r="H365" i="33"/>
  <c r="H364" i="33"/>
  <c r="H363" i="33"/>
  <c r="H362" i="33"/>
  <c r="H361" i="33"/>
  <c r="H360" i="33"/>
  <c r="H359" i="33"/>
  <c r="H358" i="33"/>
  <c r="H357" i="33"/>
  <c r="H356" i="33"/>
  <c r="H355" i="33"/>
  <c r="H354" i="33"/>
  <c r="H353" i="33"/>
  <c r="H352" i="33"/>
  <c r="H351" i="33"/>
  <c r="H350" i="33"/>
  <c r="H349" i="33"/>
  <c r="H348" i="33"/>
  <c r="H347" i="33"/>
  <c r="H346" i="33"/>
  <c r="H345" i="33"/>
  <c r="H344" i="33"/>
  <c r="H343" i="33"/>
  <c r="H342" i="33"/>
  <c r="H341" i="33"/>
  <c r="H340" i="33"/>
  <c r="H339" i="33"/>
  <c r="H338" i="33"/>
  <c r="H337" i="33"/>
  <c r="H336" i="33"/>
  <c r="H335" i="33"/>
  <c r="H334" i="33"/>
  <c r="H333" i="33"/>
  <c r="H332" i="33"/>
  <c r="H331" i="33"/>
  <c r="H330" i="33"/>
  <c r="H329" i="33"/>
  <c r="H328" i="33"/>
  <c r="H327" i="33"/>
  <c r="H326" i="33"/>
  <c r="H325" i="33"/>
  <c r="H324" i="33"/>
  <c r="H323" i="33"/>
  <c r="H322" i="33"/>
  <c r="H321" i="33"/>
  <c r="H320" i="33"/>
  <c r="H319" i="33"/>
  <c r="H318" i="33"/>
  <c r="H317" i="33"/>
  <c r="H316" i="33"/>
  <c r="H315" i="33"/>
  <c r="H314" i="33"/>
  <c r="H313" i="33"/>
  <c r="H312" i="33"/>
  <c r="H311" i="33"/>
  <c r="H310" i="33"/>
  <c r="H309" i="33"/>
  <c r="H308" i="33"/>
  <c r="H307" i="33"/>
  <c r="H306" i="33"/>
  <c r="H305" i="33"/>
  <c r="H304" i="33"/>
  <c r="H303" i="33"/>
  <c r="H302" i="33"/>
  <c r="H301" i="33"/>
  <c r="H300" i="33"/>
  <c r="H299" i="33"/>
  <c r="H298" i="33"/>
  <c r="H297" i="33"/>
  <c r="H296" i="33"/>
  <c r="H295" i="33"/>
  <c r="H294" i="33"/>
  <c r="H293" i="33"/>
  <c r="H292" i="33"/>
  <c r="H291" i="33"/>
  <c r="H290" i="33"/>
  <c r="H289" i="33"/>
  <c r="H288" i="33"/>
  <c r="H287" i="33"/>
  <c r="H286" i="33"/>
  <c r="H285" i="33"/>
  <c r="H284" i="33"/>
  <c r="H283" i="33"/>
  <c r="H282" i="33"/>
  <c r="H281" i="33"/>
  <c r="H280" i="33"/>
  <c r="H279" i="33"/>
  <c r="H278" i="33"/>
  <c r="H277" i="33"/>
  <c r="H276" i="33"/>
  <c r="H275" i="33"/>
  <c r="H274" i="33"/>
  <c r="H273" i="33"/>
  <c r="H272" i="33"/>
  <c r="H271" i="33"/>
  <c r="H270" i="33"/>
  <c r="H269" i="33"/>
  <c r="H268" i="33"/>
  <c r="H267" i="33"/>
  <c r="H266" i="33"/>
  <c r="H265" i="33"/>
  <c r="H264" i="33"/>
  <c r="H263" i="33"/>
  <c r="H262" i="33"/>
  <c r="H261" i="33"/>
  <c r="H260" i="33"/>
  <c r="H259" i="33"/>
  <c r="H258" i="33"/>
  <c r="H257" i="33"/>
  <c r="H256" i="33"/>
  <c r="H255" i="33"/>
  <c r="H254" i="33"/>
  <c r="H253" i="33"/>
  <c r="H252" i="33"/>
  <c r="H251" i="33"/>
  <c r="H250" i="33"/>
  <c r="H249" i="33"/>
  <c r="H248" i="33"/>
  <c r="H247" i="33"/>
  <c r="H246" i="33"/>
  <c r="H245" i="33"/>
  <c r="H244" i="33"/>
  <c r="H243" i="33"/>
  <c r="H242" i="33"/>
  <c r="H241" i="33"/>
  <c r="H240" i="33"/>
  <c r="H239" i="33"/>
  <c r="H238" i="33"/>
  <c r="H237" i="33"/>
  <c r="H236" i="33"/>
  <c r="H235" i="33"/>
  <c r="H234" i="33"/>
  <c r="H233" i="33"/>
  <c r="H232" i="33"/>
  <c r="H231" i="33"/>
  <c r="H230" i="33"/>
  <c r="H229" i="33"/>
  <c r="H228" i="33"/>
  <c r="H227" i="33"/>
  <c r="H226" i="33"/>
  <c r="H225" i="33"/>
  <c r="H224" i="33"/>
  <c r="H223" i="33"/>
  <c r="H222" i="33"/>
  <c r="H221" i="33"/>
  <c r="H220" i="33"/>
  <c r="H219" i="33"/>
  <c r="H218" i="33"/>
  <c r="H217" i="33"/>
  <c r="H216" i="33"/>
  <c r="H215" i="33"/>
  <c r="H214" i="33"/>
  <c r="H213" i="33"/>
  <c r="H212" i="33"/>
  <c r="H211" i="33"/>
  <c r="H210" i="33"/>
  <c r="H209" i="33"/>
  <c r="H208" i="33"/>
  <c r="H207" i="33"/>
  <c r="H206" i="33"/>
  <c r="H205" i="33"/>
  <c r="H204" i="33"/>
  <c r="H203" i="33"/>
  <c r="H202" i="33"/>
  <c r="H201" i="33"/>
  <c r="H200" i="33"/>
  <c r="H199" i="33"/>
  <c r="H198" i="33"/>
  <c r="H197" i="33"/>
  <c r="H196" i="33"/>
  <c r="H195" i="33"/>
  <c r="H194" i="33"/>
  <c r="H193" i="33"/>
  <c r="H192" i="33"/>
  <c r="H191" i="33"/>
  <c r="H190" i="33"/>
  <c r="H189" i="33"/>
  <c r="H188" i="33"/>
  <c r="H187" i="33"/>
  <c r="H186" i="33"/>
  <c r="H185" i="33"/>
  <c r="H184" i="33"/>
  <c r="H183" i="33"/>
  <c r="H182" i="33"/>
  <c r="H181" i="33"/>
  <c r="H180" i="33"/>
  <c r="H179" i="33"/>
  <c r="H178" i="33"/>
  <c r="H177" i="33"/>
  <c r="H176" i="33"/>
  <c r="H175" i="33"/>
  <c r="H174" i="33"/>
  <c r="H173" i="33"/>
  <c r="H172" i="33"/>
  <c r="H171" i="33"/>
  <c r="H170" i="33"/>
  <c r="H169" i="33"/>
  <c r="H168" i="33"/>
  <c r="H167" i="33"/>
  <c r="H166" i="33"/>
  <c r="H165" i="33"/>
  <c r="H164" i="33"/>
  <c r="H163" i="33"/>
  <c r="H162" i="33"/>
  <c r="H161" i="33"/>
  <c r="H160" i="33"/>
  <c r="H159" i="33"/>
  <c r="H158" i="33"/>
  <c r="H157" i="33"/>
  <c r="H156" i="33"/>
  <c r="H155" i="33"/>
  <c r="H154" i="33"/>
  <c r="H153" i="33"/>
  <c r="H152" i="33"/>
  <c r="H151" i="33"/>
  <c r="H150" i="33"/>
  <c r="H149" i="33"/>
  <c r="H148" i="33"/>
  <c r="H147" i="33"/>
  <c r="H146" i="33"/>
  <c r="H145" i="33"/>
  <c r="H144" i="33"/>
  <c r="H143" i="33"/>
  <c r="H142" i="33"/>
  <c r="H141" i="33"/>
  <c r="H140" i="33"/>
  <c r="H139" i="33"/>
  <c r="H138" i="33"/>
  <c r="H137" i="33"/>
  <c r="H136" i="33"/>
  <c r="H135" i="33"/>
  <c r="H134" i="33"/>
  <c r="H133" i="33"/>
  <c r="H132" i="33"/>
  <c r="H131" i="33"/>
  <c r="H130" i="33"/>
  <c r="H129" i="33"/>
  <c r="H128" i="33"/>
  <c r="H127" i="33"/>
  <c r="H126" i="33"/>
  <c r="H125" i="33"/>
  <c r="H124" i="33"/>
  <c r="H123" i="33"/>
  <c r="H122" i="33"/>
  <c r="H121" i="33"/>
  <c r="H120" i="33"/>
  <c r="H119" i="33"/>
  <c r="H118" i="33"/>
  <c r="H117" i="33"/>
  <c r="H116" i="33"/>
  <c r="H115" i="33"/>
  <c r="H114" i="33"/>
  <c r="H113" i="33"/>
  <c r="H112" i="33"/>
  <c r="H111" i="33"/>
  <c r="H110" i="33"/>
  <c r="H109" i="33"/>
  <c r="H108" i="33"/>
  <c r="H107" i="33"/>
  <c r="H106" i="33"/>
  <c r="H105" i="33"/>
  <c r="H104" i="33"/>
  <c r="H103" i="33"/>
  <c r="H102" i="33"/>
  <c r="H101" i="33"/>
  <c r="H100" i="33"/>
  <c r="H99" i="33"/>
  <c r="H98" i="33"/>
  <c r="H97" i="33"/>
  <c r="H96" i="33"/>
  <c r="H95" i="33"/>
  <c r="H94" i="33"/>
  <c r="H93" i="33"/>
  <c r="H92" i="33"/>
  <c r="H91" i="33"/>
  <c r="H90" i="33"/>
  <c r="H89" i="33"/>
  <c r="H88" i="33"/>
  <c r="H87" i="33"/>
  <c r="H86" i="33"/>
  <c r="H85" i="33"/>
  <c r="H84" i="33"/>
  <c r="H83" i="33"/>
  <c r="H82" i="33"/>
  <c r="H81" i="33"/>
  <c r="H80" i="33"/>
  <c r="H79" i="33"/>
  <c r="H78" i="33"/>
  <c r="H77" i="33"/>
  <c r="H76" i="33"/>
  <c r="H75" i="33"/>
  <c r="H74" i="33"/>
  <c r="H73" i="33"/>
  <c r="H72" i="33"/>
  <c r="H71" i="33"/>
  <c r="H70" i="33"/>
  <c r="H69" i="33"/>
  <c r="H68" i="33"/>
  <c r="H67" i="33"/>
  <c r="H66" i="33"/>
  <c r="H65" i="33"/>
  <c r="H64" i="33"/>
  <c r="H63" i="33"/>
  <c r="H62" i="33"/>
  <c r="H61" i="33"/>
  <c r="H60" i="33"/>
  <c r="H59" i="33"/>
  <c r="H58" i="33"/>
  <c r="H57" i="33"/>
  <c r="H56" i="33"/>
  <c r="H55" i="33"/>
  <c r="H54" i="33"/>
  <c r="H53" i="33"/>
  <c r="H52" i="33"/>
  <c r="H51" i="33"/>
  <c r="H50" i="33"/>
  <c r="H49" i="33"/>
  <c r="H48" i="33"/>
  <c r="H47" i="33"/>
  <c r="H46" i="33"/>
  <c r="H45" i="33"/>
  <c r="H44" i="33"/>
  <c r="H43" i="33"/>
  <c r="H42" i="33"/>
  <c r="H41" i="33"/>
  <c r="H40" i="33"/>
  <c r="H39" i="33"/>
  <c r="H38" i="33"/>
  <c r="H37" i="33"/>
  <c r="H36" i="33"/>
  <c r="H35" i="33"/>
  <c r="H34" i="33"/>
  <c r="H33" i="33"/>
  <c r="H32" i="33"/>
  <c r="H31" i="33"/>
  <c r="A1003" i="33"/>
  <c r="A1004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A279" i="33"/>
  <c r="A280" i="33"/>
  <c r="A281" i="33"/>
  <c r="A282" i="33"/>
  <c r="A283" i="33"/>
  <c r="A284" i="33"/>
  <c r="A285" i="33"/>
  <c r="A286" i="33"/>
  <c r="A287" i="33"/>
  <c r="A288" i="33"/>
  <c r="A289" i="33"/>
  <c r="A290" i="33"/>
  <c r="A291" i="33"/>
  <c r="A292" i="33"/>
  <c r="A293" i="33"/>
  <c r="A294" i="33"/>
  <c r="A295" i="33"/>
  <c r="A296" i="33"/>
  <c r="A297" i="33"/>
  <c r="A298" i="33"/>
  <c r="A299" i="33"/>
  <c r="A300" i="33"/>
  <c r="A301" i="33"/>
  <c r="A302" i="33"/>
  <c r="A303" i="33"/>
  <c r="A304" i="33"/>
  <c r="A305" i="33"/>
  <c r="A306" i="33"/>
  <c r="A307" i="33"/>
  <c r="A308" i="33"/>
  <c r="A309" i="33"/>
  <c r="A310" i="33"/>
  <c r="A311" i="33"/>
  <c r="A312" i="33"/>
  <c r="A313" i="33"/>
  <c r="A314" i="33"/>
  <c r="A315" i="33"/>
  <c r="A316" i="33"/>
  <c r="A317" i="33"/>
  <c r="A318" i="33"/>
  <c r="A319" i="33"/>
  <c r="A320" i="33"/>
  <c r="A321" i="33"/>
  <c r="A322" i="33"/>
  <c r="A323" i="33"/>
  <c r="A324" i="33"/>
  <c r="A325" i="33"/>
  <c r="A326" i="33"/>
  <c r="A327" i="33"/>
  <c r="A328" i="33"/>
  <c r="A329" i="33"/>
  <c r="A330" i="33"/>
  <c r="A331" i="33"/>
  <c r="A332" i="33"/>
  <c r="A333" i="33"/>
  <c r="A334" i="33"/>
  <c r="A335" i="33"/>
  <c r="A336" i="33"/>
  <c r="A337" i="33"/>
  <c r="A338" i="33"/>
  <c r="A339" i="33"/>
  <c r="A340" i="33"/>
  <c r="A341" i="33"/>
  <c r="A342" i="33"/>
  <c r="A343" i="33"/>
  <c r="A344" i="33"/>
  <c r="A345" i="33"/>
  <c r="A346" i="33"/>
  <c r="A347" i="33"/>
  <c r="A348" i="33"/>
  <c r="A349" i="33"/>
  <c r="A350" i="33"/>
  <c r="A351" i="33"/>
  <c r="A352" i="33"/>
  <c r="A353" i="33"/>
  <c r="A354" i="33"/>
  <c r="A355" i="33"/>
  <c r="A356" i="33"/>
  <c r="A357" i="33"/>
  <c r="A358" i="33"/>
  <c r="A359" i="33"/>
  <c r="A360" i="33"/>
  <c r="A361" i="33"/>
  <c r="A362" i="33"/>
  <c r="A363" i="33"/>
  <c r="A364" i="33"/>
  <c r="A365" i="33"/>
  <c r="A366" i="33"/>
  <c r="A367" i="33"/>
  <c r="A368" i="33"/>
  <c r="A369" i="33"/>
  <c r="A370" i="33"/>
  <c r="A371" i="33"/>
  <c r="A372" i="33"/>
  <c r="A373" i="33"/>
  <c r="A374" i="33"/>
  <c r="A375" i="33"/>
  <c r="A376" i="33"/>
  <c r="A377" i="33"/>
  <c r="A378" i="33"/>
  <c r="A379" i="33"/>
  <c r="A380" i="33"/>
  <c r="A381" i="33"/>
  <c r="A382" i="33"/>
  <c r="A383" i="33"/>
  <c r="A384" i="33"/>
  <c r="A385" i="33"/>
  <c r="A386" i="33"/>
  <c r="A387" i="33"/>
  <c r="A388" i="33"/>
  <c r="A389" i="33"/>
  <c r="A390" i="33"/>
  <c r="A391" i="33"/>
  <c r="A392" i="33"/>
  <c r="A393" i="33"/>
  <c r="A394" i="33"/>
  <c r="A395" i="33"/>
  <c r="A396" i="33"/>
  <c r="A397" i="33"/>
  <c r="A398" i="33"/>
  <c r="A399" i="33"/>
  <c r="A400" i="33"/>
  <c r="A401" i="33"/>
  <c r="A402" i="33"/>
  <c r="A403" i="33"/>
  <c r="A404" i="33"/>
  <c r="A405" i="33"/>
  <c r="A406" i="33"/>
  <c r="A407" i="33"/>
  <c r="A408" i="33"/>
  <c r="A409" i="33"/>
  <c r="A410" i="33"/>
  <c r="A411" i="33"/>
  <c r="A412" i="33"/>
  <c r="A413" i="33"/>
  <c r="A414" i="33"/>
  <c r="A415" i="33"/>
  <c r="A416" i="33"/>
  <c r="A417" i="33"/>
  <c r="A418" i="33"/>
  <c r="A419" i="33"/>
  <c r="A420" i="33"/>
  <c r="A421" i="33"/>
  <c r="A422" i="33"/>
  <c r="A423" i="33"/>
  <c r="A424" i="33"/>
  <c r="A425" i="33"/>
  <c r="A426" i="33"/>
  <c r="A427" i="33"/>
  <c r="A428" i="33"/>
  <c r="A429" i="33"/>
  <c r="A430" i="33"/>
  <c r="A431" i="33"/>
  <c r="A432" i="33"/>
  <c r="A433" i="33"/>
  <c r="A434" i="33"/>
  <c r="A435" i="33"/>
  <c r="A436" i="33"/>
  <c r="A437" i="33"/>
  <c r="A438" i="33"/>
  <c r="A439" i="33"/>
  <c r="A440" i="33"/>
  <c r="A441" i="33"/>
  <c r="A442" i="33"/>
  <c r="A443" i="33"/>
  <c r="A444" i="33"/>
  <c r="A445" i="33"/>
  <c r="A446" i="33"/>
  <c r="A447" i="33"/>
  <c r="A448" i="33"/>
  <c r="A449" i="33"/>
  <c r="A450" i="33"/>
  <c r="A451" i="33"/>
  <c r="A452" i="33"/>
  <c r="A453" i="33"/>
  <c r="A454" i="33"/>
  <c r="A455" i="33"/>
  <c r="A456" i="33"/>
  <c r="A457" i="33"/>
  <c r="A458" i="33"/>
  <c r="A459" i="33"/>
  <c r="A460" i="33"/>
  <c r="A461" i="33"/>
  <c r="A462" i="33"/>
  <c r="A463" i="33"/>
  <c r="A464" i="33"/>
  <c r="A465" i="33"/>
  <c r="A466" i="33"/>
  <c r="A467" i="33"/>
  <c r="A468" i="33"/>
  <c r="A469" i="33"/>
  <c r="A470" i="33"/>
  <c r="A471" i="33"/>
  <c r="A472" i="33"/>
  <c r="A473" i="33"/>
  <c r="A474" i="33"/>
  <c r="A475" i="33"/>
  <c r="A476" i="33"/>
  <c r="A477" i="33"/>
  <c r="A478" i="33"/>
  <c r="A479" i="33"/>
  <c r="A480" i="33"/>
  <c r="A481" i="33"/>
  <c r="A482" i="33"/>
  <c r="A483" i="33"/>
  <c r="A484" i="33"/>
  <c r="A485" i="33"/>
  <c r="A486" i="33"/>
  <c r="A487" i="33"/>
  <c r="A488" i="33"/>
  <c r="A489" i="33"/>
  <c r="A490" i="33"/>
  <c r="A491" i="33"/>
  <c r="A492" i="33"/>
  <c r="A493" i="33"/>
  <c r="A494" i="33"/>
  <c r="A495" i="33"/>
  <c r="A496" i="33"/>
  <c r="A497" i="33"/>
  <c r="A498" i="33"/>
  <c r="A499" i="33"/>
  <c r="A500" i="33"/>
  <c r="A501" i="33"/>
  <c r="A502" i="33"/>
  <c r="A503" i="33"/>
  <c r="A504" i="33"/>
  <c r="A505" i="33"/>
  <c r="A506" i="33"/>
  <c r="A507" i="33"/>
  <c r="A508" i="33"/>
  <c r="A509" i="33"/>
  <c r="A510" i="33"/>
  <c r="A511" i="33"/>
  <c r="A512" i="33"/>
  <c r="A513" i="33"/>
  <c r="A514" i="33"/>
  <c r="A515" i="33"/>
  <c r="A516" i="33"/>
  <c r="A517" i="33"/>
  <c r="A518" i="33"/>
  <c r="A519" i="33"/>
  <c r="A520" i="33"/>
  <c r="A521" i="33"/>
  <c r="A522" i="33"/>
  <c r="A523" i="33"/>
  <c r="A524" i="33"/>
  <c r="A525" i="33"/>
  <c r="A526" i="33"/>
  <c r="A527" i="33"/>
  <c r="A528" i="33"/>
  <c r="A529" i="33"/>
  <c r="A530" i="33"/>
  <c r="A531" i="33"/>
  <c r="A532" i="33"/>
  <c r="A533" i="33"/>
  <c r="A534" i="33"/>
  <c r="A535" i="33"/>
  <c r="A536" i="33"/>
  <c r="A537" i="33"/>
  <c r="A538" i="33"/>
  <c r="A539" i="33"/>
  <c r="A540" i="33"/>
  <c r="A541" i="33"/>
  <c r="A542" i="33"/>
  <c r="A543" i="33"/>
  <c r="A544" i="33"/>
  <c r="A545" i="33"/>
  <c r="A546" i="33"/>
  <c r="A547" i="33"/>
  <c r="A548" i="33"/>
  <c r="A549" i="33"/>
  <c r="A550" i="33"/>
  <c r="A551" i="33"/>
  <c r="A552" i="33"/>
  <c r="A553" i="33"/>
  <c r="A554" i="33"/>
  <c r="A555" i="33"/>
  <c r="A556" i="33"/>
  <c r="A557" i="33"/>
  <c r="A558" i="33"/>
  <c r="A559" i="33"/>
  <c r="A560" i="33"/>
  <c r="A561" i="33"/>
  <c r="A562" i="33"/>
  <c r="A563" i="33"/>
  <c r="A564" i="33"/>
  <c r="A565" i="33"/>
  <c r="A566" i="33"/>
  <c r="A567" i="33"/>
  <c r="A568" i="33"/>
  <c r="A569" i="33"/>
  <c r="A570" i="33"/>
  <c r="A571" i="33"/>
  <c r="A572" i="33"/>
  <c r="A573" i="33"/>
  <c r="A574" i="33"/>
  <c r="A575" i="33"/>
  <c r="A576" i="33"/>
  <c r="A577" i="33"/>
  <c r="A578" i="33"/>
  <c r="A579" i="33"/>
  <c r="A580" i="33"/>
  <c r="A581" i="33"/>
  <c r="A582" i="33"/>
  <c r="A583" i="33"/>
  <c r="A584" i="33"/>
  <c r="A585" i="33"/>
  <c r="A586" i="33"/>
  <c r="A587" i="33"/>
  <c r="A588" i="33"/>
  <c r="A589" i="33"/>
  <c r="A590" i="33"/>
  <c r="A591" i="33"/>
  <c r="A592" i="33"/>
  <c r="A593" i="33"/>
  <c r="A594" i="33"/>
  <c r="A595" i="33"/>
  <c r="A596" i="33"/>
  <c r="A597" i="33"/>
  <c r="A598" i="33"/>
  <c r="A599" i="33"/>
  <c r="A600" i="33"/>
  <c r="A601" i="33"/>
  <c r="A602" i="33"/>
  <c r="A603" i="33"/>
  <c r="A604" i="33"/>
  <c r="A605" i="33"/>
  <c r="A606" i="33"/>
  <c r="A607" i="33"/>
  <c r="A608" i="33"/>
  <c r="A609" i="33"/>
  <c r="A610" i="33"/>
  <c r="A611" i="33"/>
  <c r="A612" i="33"/>
  <c r="A613" i="33"/>
  <c r="A614" i="33"/>
  <c r="A615" i="33"/>
  <c r="A616" i="33"/>
  <c r="A617" i="33"/>
  <c r="A618" i="33"/>
  <c r="A619" i="33"/>
  <c r="A620" i="33"/>
  <c r="A621" i="33"/>
  <c r="A622" i="33"/>
  <c r="A623" i="33"/>
  <c r="A624" i="33"/>
  <c r="A625" i="33"/>
  <c r="A626" i="33"/>
  <c r="A627" i="33"/>
  <c r="A628" i="33"/>
  <c r="A629" i="33"/>
  <c r="A630" i="33"/>
  <c r="A631" i="33"/>
  <c r="A632" i="33"/>
  <c r="A633" i="33"/>
  <c r="A634" i="33"/>
  <c r="A635" i="33"/>
  <c r="A636" i="33"/>
  <c r="A637" i="33"/>
  <c r="A638" i="33"/>
  <c r="A639" i="33"/>
  <c r="A640" i="33"/>
  <c r="A641" i="33"/>
  <c r="A642" i="33"/>
  <c r="A643" i="33"/>
  <c r="A644" i="33"/>
  <c r="A645" i="33"/>
  <c r="A646" i="33"/>
  <c r="A647" i="33"/>
  <c r="A648" i="33"/>
  <c r="A649" i="33"/>
  <c r="A650" i="33"/>
  <c r="A651" i="33"/>
  <c r="A652" i="33"/>
  <c r="A653" i="33"/>
  <c r="A654" i="33"/>
  <c r="A655" i="33"/>
  <c r="A656" i="33"/>
  <c r="A657" i="33"/>
  <c r="A658" i="33"/>
  <c r="A659" i="33"/>
  <c r="A660" i="33"/>
  <c r="A661" i="33"/>
  <c r="A662" i="33"/>
  <c r="A663" i="33"/>
  <c r="A664" i="33"/>
  <c r="A665" i="33"/>
  <c r="A666" i="33"/>
  <c r="A667" i="33"/>
  <c r="A668" i="33"/>
  <c r="A669" i="33"/>
  <c r="A670" i="33"/>
  <c r="A671" i="33"/>
  <c r="A672" i="33"/>
  <c r="A673" i="33"/>
  <c r="A674" i="33"/>
  <c r="A675" i="33"/>
  <c r="A676" i="33"/>
  <c r="A677" i="33"/>
  <c r="A678" i="33"/>
  <c r="A679" i="33"/>
  <c r="A680" i="33"/>
  <c r="A681" i="33"/>
  <c r="A682" i="33"/>
  <c r="A683" i="33"/>
  <c r="A684" i="33"/>
  <c r="A685" i="33"/>
  <c r="A686" i="33"/>
  <c r="A687" i="33"/>
  <c r="A688" i="33"/>
  <c r="A689" i="33"/>
  <c r="A690" i="33"/>
  <c r="A691" i="33"/>
  <c r="A692" i="33"/>
  <c r="A693" i="33"/>
  <c r="A694" i="33"/>
  <c r="A695" i="33"/>
  <c r="A696" i="33"/>
  <c r="A697" i="33"/>
  <c r="A698" i="33"/>
  <c r="A699" i="33"/>
  <c r="A700" i="33"/>
  <c r="A701" i="33"/>
  <c r="A702" i="33"/>
  <c r="A703" i="33"/>
  <c r="A704" i="33"/>
  <c r="A705" i="33"/>
  <c r="A706" i="33"/>
  <c r="A707" i="33"/>
  <c r="A708" i="33"/>
  <c r="A709" i="33"/>
  <c r="A710" i="33"/>
  <c r="A711" i="33"/>
  <c r="A712" i="33"/>
  <c r="A713" i="33"/>
  <c r="A714" i="33"/>
  <c r="A715" i="33"/>
  <c r="A716" i="33"/>
  <c r="A717" i="33"/>
  <c r="A718" i="33"/>
  <c r="A719" i="33"/>
  <c r="A720" i="33"/>
  <c r="A721" i="33"/>
  <c r="A722" i="33"/>
  <c r="A723" i="33"/>
  <c r="A724" i="33"/>
  <c r="A725" i="33"/>
  <c r="A726" i="33"/>
  <c r="A727" i="33"/>
  <c r="A728" i="33"/>
  <c r="A729" i="33"/>
  <c r="A730" i="33"/>
  <c r="A731" i="33"/>
  <c r="A732" i="33"/>
  <c r="A733" i="33"/>
  <c r="A734" i="33"/>
  <c r="A735" i="33"/>
  <c r="A736" i="33"/>
  <c r="A737" i="33"/>
  <c r="A738" i="33"/>
  <c r="A739" i="33"/>
  <c r="A740" i="33"/>
  <c r="A741" i="33"/>
  <c r="A742" i="33"/>
  <c r="A743" i="33"/>
  <c r="A744" i="33"/>
  <c r="A745" i="33"/>
  <c r="A746" i="33"/>
  <c r="A747" i="33"/>
  <c r="A748" i="33"/>
  <c r="A749" i="33"/>
  <c r="A750" i="33"/>
  <c r="A751" i="33"/>
  <c r="A752" i="33"/>
  <c r="A753" i="33"/>
  <c r="A754" i="33"/>
  <c r="A755" i="33"/>
  <c r="A756" i="33"/>
  <c r="A757" i="33"/>
  <c r="A758" i="33"/>
  <c r="A759" i="33"/>
  <c r="A760" i="33"/>
  <c r="A761" i="33"/>
  <c r="A762" i="33"/>
  <c r="A763" i="33"/>
  <c r="A764" i="33"/>
  <c r="A765" i="33"/>
  <c r="A766" i="33"/>
  <c r="A767" i="33"/>
  <c r="A768" i="33"/>
  <c r="A769" i="33"/>
  <c r="A770" i="33"/>
  <c r="A771" i="33"/>
  <c r="A772" i="33"/>
  <c r="A773" i="33"/>
  <c r="A774" i="33"/>
  <c r="A775" i="33"/>
  <c r="A776" i="33"/>
  <c r="A777" i="33"/>
  <c r="A778" i="33"/>
  <c r="A779" i="33"/>
  <c r="A780" i="33"/>
  <c r="A781" i="33"/>
  <c r="A782" i="33"/>
  <c r="A783" i="33"/>
  <c r="A784" i="33"/>
  <c r="A785" i="33"/>
  <c r="A786" i="33"/>
  <c r="A787" i="33"/>
  <c r="A788" i="33"/>
  <c r="A789" i="33"/>
  <c r="A790" i="33"/>
  <c r="A791" i="33"/>
  <c r="A792" i="33"/>
  <c r="A793" i="33"/>
  <c r="A794" i="33"/>
  <c r="A795" i="33"/>
  <c r="A796" i="33"/>
  <c r="A797" i="33"/>
  <c r="A798" i="33"/>
  <c r="A799" i="33"/>
  <c r="A800" i="33"/>
  <c r="A801" i="33"/>
  <c r="A802" i="33"/>
  <c r="A803" i="33"/>
  <c r="A804" i="33"/>
  <c r="A805" i="33"/>
  <c r="A806" i="33"/>
  <c r="A807" i="33"/>
  <c r="A808" i="33"/>
  <c r="A809" i="33"/>
  <c r="A810" i="33"/>
  <c r="A811" i="33"/>
  <c r="A812" i="33"/>
  <c r="A813" i="33"/>
  <c r="A814" i="33"/>
  <c r="A815" i="33"/>
  <c r="A816" i="33"/>
  <c r="A817" i="33"/>
  <c r="A818" i="33"/>
  <c r="A819" i="33"/>
  <c r="A820" i="33"/>
  <c r="A821" i="33"/>
  <c r="A822" i="33"/>
  <c r="A823" i="33"/>
  <c r="A824" i="33"/>
  <c r="A825" i="33"/>
  <c r="A826" i="33"/>
  <c r="A827" i="33"/>
  <c r="A828" i="33"/>
  <c r="A829" i="33"/>
  <c r="A830" i="33"/>
  <c r="A831" i="33"/>
  <c r="A832" i="33"/>
  <c r="A833" i="33"/>
  <c r="A834" i="33"/>
  <c r="A835" i="33"/>
  <c r="A836" i="33"/>
  <c r="A837" i="33"/>
  <c r="A838" i="33"/>
  <c r="A839" i="33"/>
  <c r="A840" i="33"/>
  <c r="A841" i="33"/>
  <c r="A842" i="33"/>
  <c r="A843" i="33"/>
  <c r="A844" i="33"/>
  <c r="A845" i="33"/>
  <c r="A846" i="33"/>
  <c r="A847" i="33"/>
  <c r="A848" i="33"/>
  <c r="A849" i="33"/>
  <c r="A850" i="33"/>
  <c r="A851" i="33"/>
  <c r="A852" i="33"/>
  <c r="A853" i="33"/>
  <c r="A854" i="33"/>
  <c r="A855" i="33"/>
  <c r="A856" i="33"/>
  <c r="A857" i="33"/>
  <c r="A858" i="33"/>
  <c r="A859" i="33"/>
  <c r="A860" i="33"/>
  <c r="A861" i="33"/>
  <c r="A862" i="33"/>
  <c r="A863" i="33"/>
  <c r="A864" i="33"/>
  <c r="A865" i="33"/>
  <c r="A866" i="33"/>
  <c r="A867" i="33"/>
  <c r="A868" i="33"/>
  <c r="A869" i="33"/>
  <c r="A870" i="33"/>
  <c r="A871" i="33"/>
  <c r="A872" i="33"/>
  <c r="A873" i="33"/>
  <c r="A874" i="33"/>
  <c r="A875" i="33"/>
  <c r="A876" i="33"/>
  <c r="A877" i="33"/>
  <c r="A878" i="33"/>
  <c r="A879" i="33"/>
  <c r="A880" i="33"/>
  <c r="A881" i="33"/>
  <c r="A882" i="33"/>
  <c r="A883" i="33"/>
  <c r="A884" i="33"/>
  <c r="A885" i="33"/>
  <c r="A886" i="33"/>
  <c r="A887" i="33"/>
  <c r="A888" i="33"/>
  <c r="A889" i="33"/>
  <c r="A890" i="33"/>
  <c r="A891" i="33"/>
  <c r="A892" i="33"/>
  <c r="A893" i="33"/>
  <c r="A894" i="33"/>
  <c r="A895" i="33"/>
  <c r="A896" i="33"/>
  <c r="A897" i="33"/>
  <c r="A898" i="33"/>
  <c r="A899" i="33"/>
  <c r="A900" i="33"/>
  <c r="A901" i="33"/>
  <c r="A902" i="33"/>
  <c r="A903" i="33"/>
  <c r="A904" i="33"/>
  <c r="A905" i="33"/>
  <c r="A906" i="33"/>
  <c r="A907" i="33"/>
  <c r="A908" i="33"/>
  <c r="A909" i="33"/>
  <c r="A910" i="33"/>
  <c r="A911" i="33"/>
  <c r="A912" i="33"/>
  <c r="A913" i="33"/>
  <c r="A914" i="33"/>
  <c r="A915" i="33"/>
  <c r="A916" i="33"/>
  <c r="A917" i="33"/>
  <c r="A918" i="33"/>
  <c r="A919" i="33"/>
  <c r="A920" i="33"/>
  <c r="A921" i="33"/>
  <c r="A922" i="33"/>
  <c r="A923" i="33"/>
  <c r="A924" i="33"/>
  <c r="A925" i="33"/>
  <c r="A926" i="33"/>
  <c r="A927" i="33"/>
  <c r="A928" i="33"/>
  <c r="A929" i="33"/>
  <c r="A930" i="33"/>
  <c r="A931" i="33"/>
  <c r="A932" i="33"/>
  <c r="A933" i="33"/>
  <c r="A934" i="33"/>
  <c r="A935" i="33"/>
  <c r="A936" i="33"/>
  <c r="A937" i="33"/>
  <c r="A938" i="33"/>
  <c r="A939" i="33"/>
  <c r="A940" i="33"/>
  <c r="A941" i="33"/>
  <c r="A942" i="33"/>
  <c r="A943" i="33"/>
  <c r="A944" i="33"/>
  <c r="A945" i="33"/>
  <c r="A946" i="33"/>
  <c r="A947" i="33"/>
  <c r="A948" i="33"/>
  <c r="A949" i="33"/>
  <c r="A950" i="33"/>
  <c r="A951" i="33"/>
  <c r="A952" i="33"/>
  <c r="A953" i="33"/>
  <c r="A954" i="33"/>
  <c r="A955" i="33"/>
  <c r="A956" i="33"/>
  <c r="A957" i="33"/>
  <c r="A958" i="33"/>
  <c r="A959" i="33"/>
  <c r="A960" i="33"/>
  <c r="A961" i="33"/>
  <c r="A962" i="33"/>
  <c r="A963" i="33"/>
  <c r="A964" i="33"/>
  <c r="A965" i="33"/>
  <c r="A966" i="33"/>
  <c r="A967" i="33"/>
  <c r="A968" i="33"/>
  <c r="A969" i="33"/>
  <c r="A970" i="33"/>
  <c r="A971" i="33"/>
  <c r="A972" i="33"/>
  <c r="A973" i="33"/>
  <c r="A974" i="33"/>
  <c r="A975" i="33"/>
  <c r="A976" i="33"/>
  <c r="A977" i="33"/>
  <c r="A978" i="33"/>
  <c r="A979" i="33"/>
  <c r="A980" i="33"/>
  <c r="A981" i="33"/>
  <c r="A982" i="33"/>
  <c r="A983" i="33"/>
  <c r="A984" i="33"/>
  <c r="A985" i="33"/>
  <c r="A986" i="33"/>
  <c r="A987" i="33"/>
  <c r="A988" i="33"/>
  <c r="A989" i="33"/>
  <c r="A990" i="33"/>
  <c r="A991" i="33"/>
  <c r="A992" i="33"/>
  <c r="A993" i="33"/>
  <c r="A994" i="33"/>
  <c r="A995" i="33"/>
  <c r="A996" i="33"/>
  <c r="A997" i="33"/>
  <c r="A998" i="33"/>
  <c r="A999" i="33"/>
  <c r="A1000" i="33"/>
  <c r="A1001" i="33"/>
  <c r="A1002" i="33"/>
  <c r="A5" i="33"/>
  <c r="A6" i="33"/>
  <c r="A7" i="33"/>
  <c r="A8" i="33"/>
  <c r="A9" i="33"/>
  <c r="A10" i="33"/>
  <c r="A11" i="33"/>
  <c r="A12" i="33"/>
  <c r="A13" i="33"/>
  <c r="A14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4" i="33"/>
  <c r="H29" i="33" l="1"/>
  <c r="H22" i="33"/>
  <c r="H30" i="33"/>
  <c r="H24" i="33"/>
  <c r="H25" i="33"/>
  <c r="H26" i="33"/>
  <c r="H27" i="33"/>
  <c r="H28" i="33"/>
  <c r="H10" i="33"/>
  <c r="H23" i="33"/>
  <c r="H19" i="33"/>
  <c r="H21" i="33"/>
  <c r="H16" i="33"/>
  <c r="H17" i="33"/>
  <c r="H18" i="33"/>
  <c r="H20" i="33"/>
  <c r="H11" i="33"/>
  <c r="H12" i="33"/>
  <c r="H8" i="33"/>
  <c r="H7" i="33"/>
  <c r="H9" i="33"/>
  <c r="H13" i="33"/>
  <c r="H14" i="33"/>
  <c r="H15" i="33"/>
  <c r="H5" i="33"/>
  <c r="H6" i="3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<sst xmlns="http://schemas.openxmlformats.org/spreadsheetml/2006/main" count="43721" uniqueCount="3788">
  <si>
    <t>ΩΡΑΡΙΟ</t>
  </si>
  <si>
    <t>ΤΑΕΦΚ Α.Α. - ΤΑΕΦΚ Δ.Α. - ΔΑΕΦΚ-Κ.Ε.</t>
  </si>
  <si>
    <t>UNIQUE</t>
  </si>
  <si>
    <t>ΤΟΜΕΑΣ</t>
  </si>
  <si>
    <t xml:space="preserve">ΥΠΗΡΕΣΙΑ </t>
  </si>
  <si>
    <t>ΥΠΗΡΕΣΙΑ ΓΔΑΕΦΚ</t>
  </si>
  <si>
    <t>ΥΠΑΛΛΗΛΟΙ ΓΔΑΕΦΚ</t>
  </si>
  <si>
    <t>ΤΗΛΕΦΩΝΟ ΥΠΗΡΕΣΙΑΣ</t>
  </si>
  <si>
    <t>ΚΙΝΗΤΟ ΤΗΛΕΦΩΝΟ</t>
  </si>
  <si>
    <t>Email</t>
  </si>
  <si>
    <t>ΚΛΑΔΟΣ/ΕΙΔΙΚΟΤΗΤΑ</t>
  </si>
  <si>
    <t>ΥΠΗΡΕΣΙΑ</t>
  </si>
  <si>
    <t>ΕΠΙΛΟΓΗ</t>
  </si>
  <si>
    <t>ΔΗΜΟΣ (Π.Ε.)</t>
  </si>
  <si>
    <t xml:space="preserve">ΔΗΜΟΣ </t>
  </si>
  <si>
    <t>Π.Ε.</t>
  </si>
  <si>
    <t>_</t>
  </si>
  <si>
    <t>07:00 - 15:00</t>
  </si>
  <si>
    <t>επιλογή από λίστα</t>
  </si>
  <si>
    <t>Διοικητικός</t>
  </si>
  <si>
    <t>07:30 - 15:30</t>
  </si>
  <si>
    <t/>
  </si>
  <si>
    <t>Γ.Δ.Α.Ε.Φ.Κ.</t>
  </si>
  <si>
    <t>Μηχανικός</t>
  </si>
  <si>
    <t>08:00 - 16:00</t>
  </si>
  <si>
    <t>ΑΓΑΔΑΚΟΥ ΑΛΚΜΗΝΗ - ΠΕ ΜΗΧΑΝΙΚΩΝ (ΤΑΕΦΚ Α.Α.)</t>
  </si>
  <si>
    <t>ΓΔΑΕΦΚ</t>
  </si>
  <si>
    <t>ΔΗΜΟΠΟΥΛΟΥ ΕΥΓΕΝΙΑ</t>
  </si>
  <si>
    <t>210 8704705</t>
  </si>
  <si>
    <t>6977628875</t>
  </si>
  <si>
    <t>ev.dimopoulou@ggde.gr</t>
  </si>
  <si>
    <t>ΠΕ ΜΗΧΑΝΙΚΩΝ</t>
  </si>
  <si>
    <t>edimopoul@gmail.com</t>
  </si>
  <si>
    <t>ΔΑΕΦΚ-ΒΕ</t>
  </si>
  <si>
    <t>Λ</t>
  </si>
  <si>
    <t>ΑΒΔΗΡΩΝ (ΞΑΝΘΗΣ)</t>
  </si>
  <si>
    <t xml:space="preserve">ΑΒΔΗΡΩΝ </t>
  </si>
  <si>
    <t>ΞΑΝΘΗΣ</t>
  </si>
  <si>
    <t>08:30 - 16:30</t>
  </si>
  <si>
    <t>ΑΛΕΒΙΖΟΠΟΥΛΟΥ ΟΛΓΑ - ΤΕ ΜΗΧΑΝΙΚΩΝ (ΤΑΕΦΚ Α.Α.)</t>
  </si>
  <si>
    <t>ΚΑΚΑΒΟΥΛΗ ΣΤΑΥΡΟΥΛΑ</t>
  </si>
  <si>
    <t>6972221927</t>
  </si>
  <si>
    <t>s.kakavouli@ggde.gr</t>
  </si>
  <si>
    <t>ΠΕ ΠΟΛ. ΜΗΧ.</t>
  </si>
  <si>
    <t>kakavoulis1@gmail.com</t>
  </si>
  <si>
    <t>ΔΑΕΦΚ-ΔΕ</t>
  </si>
  <si>
    <t>ΑΓΙΑΣ (ΛΑΡΙΣΑΣ)</t>
  </si>
  <si>
    <t xml:space="preserve">ΑΓΙΑΣ </t>
  </si>
  <si>
    <t>ΛΑΡΙΣΑΣ</t>
  </si>
  <si>
    <t>09:00 - 17:00</t>
  </si>
  <si>
    <t>ΒΑΜΒΑΚΙΑΝΟΣ ΑΛΕΞΑΝΔΡΟΣ - ΠΕ ΜΗΧΑΝΙΚΩΝ (ΤΑΕΦΚ Α.Α.)</t>
  </si>
  <si>
    <t>ΚΑΛΥΒΑ ΕΥΣΤΑΘΙΑ</t>
  </si>
  <si>
    <t>6974196410</t>
  </si>
  <si>
    <t>e.kaliva@ggde.gr</t>
  </si>
  <si>
    <t>ΔΑΕΦΚ-ΚΕ</t>
  </si>
  <si>
    <t>ΑΓΙΟΥ ΒΑΣΙΛΕΙΟΥ (ΡΕΘΥΜΝΟΥ)</t>
  </si>
  <si>
    <t xml:space="preserve">ΑΓΙΟΥ ΒΑΣΙΛΕΙΟΥ </t>
  </si>
  <si>
    <t>ΡΕΘΥΜΝΟΥ</t>
  </si>
  <si>
    <t>ΒΟΥΚΕΛΑΤΟΣ ΔΗΜΗΤΡΙΟΣ - ΠΕ ΜΗΧΑΝΙΚΩΝ (ΤΑΕΦΚ Α.Α.)</t>
  </si>
  <si>
    <t>ΚΛΕΑΝΘΗ ΜΑΡΙΑ</t>
  </si>
  <si>
    <t>210 6411902, 2108704710</t>
  </si>
  <si>
    <t>6932969294</t>
  </si>
  <si>
    <t>m.kleanthi@ggde.gr</t>
  </si>
  <si>
    <t>mfkleanthi@yahoo.gr</t>
  </si>
  <si>
    <t>ΔΑΕΦΚ-ΚΕ ΤΜΗΜΑ Α</t>
  </si>
  <si>
    <t>ΑΓΙΟΥ ΝΙΚΟΛΑΟΥ (ΛΑΣΙΘΙΟΥ)</t>
  </si>
  <si>
    <t xml:space="preserve">ΑΓΙΟΥ ΝΙΚΟΛΑΟΥ </t>
  </si>
  <si>
    <t>ΛΑΣΙΘΙΟΥ</t>
  </si>
  <si>
    <t>ΓΕΩΡΓΟΠΟΥΛΟΥ ΜΑΡΙΑ - ΠΕ ΜΗΧΑΝΙΚΩΝ (ΤΑΕΦΚ Α.Α.)</t>
  </si>
  <si>
    <t>ΚΥΡΙΑΚΟΥ ΚΩΝΣΤΑΝΤΙΝΟΣ</t>
  </si>
  <si>
    <t>6986190056</t>
  </si>
  <si>
    <t>k.kyriakou@ggde.gr</t>
  </si>
  <si>
    <t>ΔΕ ΔΙΟΙΚ.-ΓΡΑΜ.</t>
  </si>
  <si>
    <t xml:space="preserve">kkiriakou92@gmail.com, </t>
  </si>
  <si>
    <t>ΔΑΕΦΚ-ΚΕ ΤΜΗΜΑ Β</t>
  </si>
  <si>
    <t>ΑΓΙΩΝ ΑΝΑΡΓΥΡΩΝ - ΚΑΜΑΤΕΡΟΥ (ΔΥΤΙΚΟΥ ΤΟΜΕΑ ΑΘΗΝΩΝ)</t>
  </si>
  <si>
    <t xml:space="preserve">ΑΓΙΩΝ ΑΝΑΡΓΥΡΩΝ - ΚΑΜΑΤΕΡΟΥ </t>
  </si>
  <si>
    <t>ΔΥΤΙΚΟΥ ΤΟΜΕΑ ΑΘΗΝΩΝ</t>
  </si>
  <si>
    <t>ΔΗΜΟΠΟΥΛΟΥ ΑΝΝΑ - ΠΕ ΜΗΧΑΝΙΚΩΝ (ΤΑΕΦΚ Α.Α.)</t>
  </si>
  <si>
    <t>ΠΑΓΙΑΛΑΚΗΣ ΜΙΧΑΗΛ</t>
  </si>
  <si>
    <t>28210 29287</t>
  </si>
  <si>
    <t>6932648520</t>
  </si>
  <si>
    <t>michalis_pagial@hotmail.com</t>
  </si>
  <si>
    <t>ΔΑΕΦΚ-ΚΕ ΤΜΗΜΑ Γ</t>
  </si>
  <si>
    <t>ΑΓΡΑΦΩΝ (ΕΥΡΥΤΑΝΙΑΣ)</t>
  </si>
  <si>
    <t xml:space="preserve">ΑΓΡΑΦΩΝ </t>
  </si>
  <si>
    <t>ΕΥΡΥΤΑΝΙΑΣ</t>
  </si>
  <si>
    <t>ΣΑΣΣΑΛΟΥ ΜΑΡΙΑ</t>
  </si>
  <si>
    <t>2108704742</t>
  </si>
  <si>
    <t>6981049463</t>
  </si>
  <si>
    <t>m.sassalou@ggde.gr</t>
  </si>
  <si>
    <t>marisass64@hotmail.com</t>
  </si>
  <si>
    <t>ΔΑΕΦΚ-ΚΕ ΤΜΗΜΑ Δ</t>
  </si>
  <si>
    <t>ΔΙΑΜΑΝΤΟΠΟΥΛΟΣ ΓΕΩΡΓΙΟΣ - ΠΕ ΜΗΧΑΝΙΚΩΝ (ΤΑΕΦΚ Α.Α.)</t>
  </si>
  <si>
    <t>ΣΚΑΝΔΑΛΗ ΑΓΓΕΛΙΚΗ</t>
  </si>
  <si>
    <t>2106411902, 2106447566</t>
  </si>
  <si>
    <t>6972713242</t>
  </si>
  <si>
    <t>a.skandali@ggde.gr</t>
  </si>
  <si>
    <t>ΔΕ ΔΙΟΙΚΗΤΙΚΟΥ</t>
  </si>
  <si>
    <t>skandaliange@gmail.com</t>
  </si>
  <si>
    <t>ΤΑΕΦΚ ΗΡΑΚΛΕΙΟΥ</t>
  </si>
  <si>
    <t>ΑΓΡΙΝΙΟΥ (ΑΙΤΩΛΟΑΚΑΡΝΑΝΙΑΣ)</t>
  </si>
  <si>
    <t xml:space="preserve">ΑΓΡΙΝΙΟΥ </t>
  </si>
  <si>
    <t>ΑΙΤΩΛΟΑΚΑΡΝΑΝΙΑΣ</t>
  </si>
  <si>
    <t>ΚΑΛΦΑΝΤΗΣ ΑΝΑΣΤΑΣΙΟΣ - ΠΕ ΜΗΧΑΝΙΚΩΝ (ΤΑΕΦΚ Α.Α.)</t>
  </si>
  <si>
    <t>ΤΣΟΥΦΛΙΔΟΥ ΘΕΟΦΑΝΗ</t>
  </si>
  <si>
    <t>210 8704735</t>
  </si>
  <si>
    <t>6948545108</t>
  </si>
  <si>
    <t>th.tsouflidou@ggde.gr</t>
  </si>
  <si>
    <t>ftsouflidou@gmail.com</t>
  </si>
  <si>
    <t>ΤΑΕΦΚ ΧΑΝΙΩΝ</t>
  </si>
  <si>
    <t>ΑΘΗΝΑΙΩΝ (ΚΕΝΤΡΙΚΟΥ ΤΟΜΕΑ ΑΘΗΝΩΝ)</t>
  </si>
  <si>
    <t xml:space="preserve">ΑΘΗΝΑΙΩΝ </t>
  </si>
  <si>
    <t>ΚΕΝΤΡΙΚΟΥ ΤΟΜΕΑ ΑΘΗΝΩΝ</t>
  </si>
  <si>
    <t>ΚΑΤΩΓΙΑΝΝΑΚΗ ΣΟΦΙΑ - ΠΕ ΜΗΧΑΝΙΚΩΝ (ΤΑΕΦΚ Α.Α.)</t>
  </si>
  <si>
    <t>ΤΑΕΦΚ-ΑΑ</t>
  </si>
  <si>
    <t>ΑΙΓΙΑΛΕΙΑΣ (ΑΧΑΪΑΣ)</t>
  </si>
  <si>
    <t xml:space="preserve">ΑΙΓΙΑΛΕΙΑΣ </t>
  </si>
  <si>
    <t>ΑΧΑΪΑΣ</t>
  </si>
  <si>
    <t>ΚΟΚΚΙΝΟΣ ΗΛΙΑΣ - ΠΕ ΜΗΧΑΝΙΚΩΝ (ΤΑΕΦΚ Α.Α.)</t>
  </si>
  <si>
    <t>ΒΕ</t>
  </si>
  <si>
    <t>ΑΝΑΓΝΩΣΤΟΥ ΑΛΕΞΑΝΔΡΟΣ</t>
  </si>
  <si>
    <t>2310 419514</t>
  </si>
  <si>
    <t>6949672608</t>
  </si>
  <si>
    <t>a.anagnostou@ggde.gr</t>
  </si>
  <si>
    <t>ΠΕ ΗΛ. ΜΗΧ.</t>
  </si>
  <si>
    <t>anagalex1@yahoo.gr</t>
  </si>
  <si>
    <t>ΤΑΕΦΚ-ΔΑ</t>
  </si>
  <si>
    <t>ΑΙΓΙΝΑΣ (ΝΗΣΩΝ)</t>
  </si>
  <si>
    <t xml:space="preserve">ΑΙΓΙΝΑΣ </t>
  </si>
  <si>
    <t>ΝΗΣΩΝ</t>
  </si>
  <si>
    <t>ΚΟΥΤΣΑΝΙΤΗΣ ΣΤΕΡΓΙΟΣ - ΠΕ ΜΗΧΑΝΙΚΩΝ (ΤΑΕΦΚ Α.Α.)</t>
  </si>
  <si>
    <t>ΑΝΘΟΠΟΥΛΟΥ ΣΟΥΖΑΝΑ</t>
  </si>
  <si>
    <t>2310 424027</t>
  </si>
  <si>
    <t>6932853641</t>
  </si>
  <si>
    <t>s.anthopoulou@ggde.gr</t>
  </si>
  <si>
    <t>ΔΕ ΔΙΟΙΚ.-ΛΟΓ.</t>
  </si>
  <si>
    <t xml:space="preserve">suzannathess@yahoo.gr, </t>
  </si>
  <si>
    <t>ΑΛΕΞΑΝΔΡΕΙΑΣ (ΗΜΑΘΙΑΣ)</t>
  </si>
  <si>
    <t xml:space="preserve">ΑΛΕΞΑΝΔΡΕΙΑΣ </t>
  </si>
  <si>
    <t>ΗΜΑΘΙΑΣ</t>
  </si>
  <si>
    <t>ΚΥΖΙΡΙΔΟΥ ΑΣΗΜΙΝΑ - ΠΕ ΜΗΧΑΝΙΚΩΝ (ΤΑΕΦΚ Α.Α.)</t>
  </si>
  <si>
    <t>ΒΟΓΙΑΤΖΗΣ ΒΑΣΙΛΕΙΟΣ</t>
  </si>
  <si>
    <t>2310 419705</t>
  </si>
  <si>
    <t>6981400643</t>
  </si>
  <si>
    <t>v.vogiatzis@ggde.gr</t>
  </si>
  <si>
    <t>ΠΕ ΜΗΧ. ΠΑΡ.</t>
  </si>
  <si>
    <t>vasilisvog2@gmail.com</t>
  </si>
  <si>
    <t>ΑΛΕΞΑΝΔΡΟΥΠΟΛΗΣ (ΕΒΡΟΥ)</t>
  </si>
  <si>
    <t xml:space="preserve">ΑΛΕΞΑΝΔΡΟΥΠΟΛΗΣ </t>
  </si>
  <si>
    <t>ΕΒΡΟΥ</t>
  </si>
  <si>
    <t>ΛΕΝΑ ΔΕΣΠΟΙΝΑ - ΠΕ ΜΗΧΑΝΙΚΩΝ (ΤΑΕΦΚ Α.Α.)</t>
  </si>
  <si>
    <t>ΓΕΡΟΚΩΣΤΑ ΚΩΝΣΤΑΝΤΙΑ</t>
  </si>
  <si>
    <t>2310 420823</t>
  </si>
  <si>
    <t>6974605685</t>
  </si>
  <si>
    <t>k.gerokosta@ggde.gr</t>
  </si>
  <si>
    <t>kongerok@gmail.com</t>
  </si>
  <si>
    <t>ΑΛΙΑΡΤΟΥ - ΘΕΣΠΙΕΩΝ (ΒΟΙΩΤΙΑΣ)</t>
  </si>
  <si>
    <t xml:space="preserve">ΑΛΙΑΡΤΟΥ - ΘΕΣΠΙΕΩΝ </t>
  </si>
  <si>
    <t>ΒΟΙΩΤΙΑΣ</t>
  </si>
  <si>
    <t>ΛΕΥΚΙΜΜΙΑΤΗΣ ΧΑΡΑΛΑΜΠΟΣ - ΠΕ ΜΗΧΑΝΙΚΩΝ (ΤΑΕΦΚ Α.Α.)</t>
  </si>
  <si>
    <t>ΓΕΩΡΓΙΑΔΗΣ ΣΤΑΥΡΟΣ</t>
  </si>
  <si>
    <t>2310 414840</t>
  </si>
  <si>
    <t>6944899817</t>
  </si>
  <si>
    <t>ΠΕ ΔΙΟΙΚ.-ΟΙΚ.</t>
  </si>
  <si>
    <t>sgeorgiadis75@gmail.com</t>
  </si>
  <si>
    <t>ΑΛΜΥΡΟΥ (ΜΑΓΝΗΣΙΑΣ)</t>
  </si>
  <si>
    <t xml:space="preserve">ΑΛΜΥΡΟΥ </t>
  </si>
  <si>
    <t>ΜΑΓΝΗΣΙΑΣ</t>
  </si>
  <si>
    <t>ΛΙΝΤΕΡΗΣ ΔΗΜΗΤΡΙΟΣ - ΠΕ ΜΗΧΑΝΙΚΩΝ (ΤΑΕΦΚ Α.Α.)</t>
  </si>
  <si>
    <t>ΓΙΑΝΝΟΥΛΗ ΒΙΚΤΩΡΙΑ</t>
  </si>
  <si>
    <t>2310 428468</t>
  </si>
  <si>
    <t>6987268386</t>
  </si>
  <si>
    <t>v.giannouli@ggde.gr</t>
  </si>
  <si>
    <t>viktorigd2@gmail.com</t>
  </si>
  <si>
    <t>ΑΛΜΩΠΙΑΣ (ΠΕΛΛΑΣ)</t>
  </si>
  <si>
    <t xml:space="preserve">ΑΛΜΩΠΙΑΣ </t>
  </si>
  <si>
    <t>ΠΕΛΛΑΣ</t>
  </si>
  <si>
    <t>ΜΑΚΡΗΣ ΑΥΓΟΥΣΤΙΝΟΣ - ΠΕ ΜΗΧΑΝΙΚΩΝ (ΤΑΕΦΚ Α.Α.)</t>
  </si>
  <si>
    <t>ΓΚΑΦΑΡΙΔΟΥ ΜΑΡΙΑ</t>
  </si>
  <si>
    <t>2310 412985</t>
  </si>
  <si>
    <t>6944613389</t>
  </si>
  <si>
    <t>m.gkafaridou@ggde.gr</t>
  </si>
  <si>
    <t>ΠΕ ΤΟΠ. ΜΗΧ.</t>
  </si>
  <si>
    <t xml:space="preserve">mgafaridou@gmail.com, </t>
  </si>
  <si>
    <t>ΜΑΚΡΗΣ ΙΩΑΝΝΗΣ - ΠΕ ΜΗΧΑΝΙΚΩΝ (ΤΑΕΦΚ Α.Α.)</t>
  </si>
  <si>
    <t>ΓΚΟΡΠΑ ΜΑΓΙΟΥΛΑ</t>
  </si>
  <si>
    <t>6938905960</t>
  </si>
  <si>
    <t>m.gkorpa@ggde.gr</t>
  </si>
  <si>
    <t>ΠΕ ΠΕΡΙΒΑΛ.</t>
  </si>
  <si>
    <t>magioula@gmail.com</t>
  </si>
  <si>
    <t>ΜΠΑΡΔΗΣ ΓΕΩΡΓΙΟΣ - ΠΕ ΜΗΧΑΝΙΚΩΝ (ΤΑΕΦΚ Α.Α.)</t>
  </si>
  <si>
    <t>ΓΚΟΥΝΤΑΚΟΣ ΓΕΩΡΓΙΟΣ</t>
  </si>
  <si>
    <t>6942926446</t>
  </si>
  <si>
    <t>g.gkountakos@ggde.gr</t>
  </si>
  <si>
    <t>giorgosgdk@gmail.com</t>
  </si>
  <si>
    <t>ΜΠΙΡΜΠΙΛΗ ΑΝΔΡΙΑΝΝΑ - ΤΕ ΜΗΧΑΝΙΚΩΝ (ΤΑΕΦΚ Α.Α.)</t>
  </si>
  <si>
    <t>ΓΚΟΥΝΤΡΟΜΙΧΟΣ ΙΩΑΝΝΗΣ</t>
  </si>
  <si>
    <t>2310 419676</t>
  </si>
  <si>
    <t>6976681245</t>
  </si>
  <si>
    <t>i.gkountromichos@ggde.gr</t>
  </si>
  <si>
    <t>6igoudromihos3@gmail.com</t>
  </si>
  <si>
    <t>ΜΠΟΥΣΟΥΝΗΣ ΙΩΑΝΝΗΣ - ΠΕ ΜΗΧΑΝΙΚΩΝ (ΤΑΕΦΚ Α.Α.)</t>
  </si>
  <si>
    <t>ΓΟΥΛΙΑΣ ΓΕΩΡΓΙΟΣ</t>
  </si>
  <si>
    <t>6984435383</t>
  </si>
  <si>
    <t>g.goulias@ggde.gr</t>
  </si>
  <si>
    <t>gouliasg@gmail.com</t>
  </si>
  <si>
    <t>ΜΠΡΟΝΗΣ ΣΩΤΗΡΙΟΣ - ΠΕ ΜΗΧΑΝΙΚΩΝ (ΤΑΕΦΚ Α.Α.)</t>
  </si>
  <si>
    <t>ΓΟΥΝΑΡΙΔΟΥ ΕΥΧΑΡΙΣ</t>
  </si>
  <si>
    <t>2310 416572</t>
  </si>
  <si>
    <t>6974494940</t>
  </si>
  <si>
    <t>e.gounaridou@ggde.gr</t>
  </si>
  <si>
    <t>efi.gouna@gmail.com</t>
  </si>
  <si>
    <t>ΠΑΝΤΑΖΗ ΑΛΕΞΑΝΔΡΑ - ΤΕ ΜΗΧΑΝΙΚΩΝ (ΤΑΕΦΚ Α.Α.)</t>
  </si>
  <si>
    <t>ΔΑΛΑΡΗΣ ΑΝΑΡΓΥΡΟΣ</t>
  </si>
  <si>
    <t>2310 419793</t>
  </si>
  <si>
    <t>6945581890</t>
  </si>
  <si>
    <t>a.dalaris@ggde.gr</t>
  </si>
  <si>
    <t>andalaris@gmail.com</t>
  </si>
  <si>
    <t>ΠΑΠΑΔΟΠΟΥΛΟΣ ΕΥΣΤΑΘΙΟΣ - ΠΕ ΜΗΧΑΝΙΚΩΝ (ΤΑΕΦΚ Α.Α.)</t>
  </si>
  <si>
    <t>ΔΑΜΙΑΝΙΔΟΥ ΕΥΘΥΜΙΑ</t>
  </si>
  <si>
    <t>2310 417459</t>
  </si>
  <si>
    <t>6979228710</t>
  </si>
  <si>
    <t>e.damianidou@ggde.gr</t>
  </si>
  <si>
    <t>ΠΕ ΑΡΧ. ΜΗΧ.</t>
  </si>
  <si>
    <t>efidamia@yahoo.com</t>
  </si>
  <si>
    <t>ΠΑΠΠΗ ΦΩΤΕΙΝΗ - ΠΕ ΜΗΧΑΝΙΚΩΝ (ΤΑΕΦΚ Α.Α.)</t>
  </si>
  <si>
    <t>ΔΑΣΚΑΛΗ ΒΑΣΙΛΙΚΗ</t>
  </si>
  <si>
    <t>6946431686</t>
  </si>
  <si>
    <t>v.daskali@ggde.gr</t>
  </si>
  <si>
    <t>vdask1003@gmail.com</t>
  </si>
  <si>
    <t>ΠΟΛΙΤΗ ΑΦΡΟΔΙΤΗ - ΠΕ ΜΗΧΑΝΙΚΩΝ (ΤΑΕΦΚ Α.Α.)</t>
  </si>
  <si>
    <t>ΔΗΜΗΤΡΙΑΔΟΥ ΣΟΝΙΑ</t>
  </si>
  <si>
    <t>2310 421585</t>
  </si>
  <si>
    <t>6978333742</t>
  </si>
  <si>
    <t>s.dimitriadou@ggde.gr</t>
  </si>
  <si>
    <t>sonidimitr@hotmail.com</t>
  </si>
  <si>
    <t>ΠΟΛΥΖΩΗ ΒΕΝΕΤΙΑ - ΠΕ ΜΗΧΑΝΙΚΩΝ (ΤΑΕΦΚ Α.Α.)</t>
  </si>
  <si>
    <t>ΔΗΜΟΣΘΕΝΗΣ ΒΛΑΣΙΟΣ</t>
  </si>
  <si>
    <t>6985709513</t>
  </si>
  <si>
    <t>v.dimosthenis@ggde.gr</t>
  </si>
  <si>
    <t>vlasis.d@gmail.com</t>
  </si>
  <si>
    <t>ΤΣΕΡΜΟΥ ΜΑΡΙΑ - ΠΕ ΜΗΧΑΝΙΚΩΝ (ΤΑΕΦΚ Α.Α.)</t>
  </si>
  <si>
    <t>ΔΙΠΛΑ ΒΙΡΓΙΝΙΑ</t>
  </si>
  <si>
    <t>2310 402745</t>
  </si>
  <si>
    <t>6983032595</t>
  </si>
  <si>
    <t>v.dipla@ggde.gr</t>
  </si>
  <si>
    <t>virginiasalpi@gmail.com</t>
  </si>
  <si>
    <t>ΦΥΤΑ ΣΩΤΗΡΙΑ - ΤΕ ΜΗΧΑΝΙΚΩΝ / ΠΛΗΡΟΦΟΡΙΚΗΣ (ΤΑΕΦΚ Α.Α.)</t>
  </si>
  <si>
    <t>ΔΟΥΜΠΑΛΑ ΔΑΦΝΗ</t>
  </si>
  <si>
    <t>2310 428448</t>
  </si>
  <si>
    <t>6942712698</t>
  </si>
  <si>
    <t>ΤΕ ΔΙΟΙΚ.-ΛΟΓ.</t>
  </si>
  <si>
    <t>dafni81@hotmail.com</t>
  </si>
  <si>
    <t>ΧΕΙΜΩΝΑΣ ΑΝΤΩΝΙΟΣ - ΠΕ ΜΗΧΑΝΙΚΩΝ (ΤΑΕΦΚ Α.Α.)</t>
  </si>
  <si>
    <t>ΖΥΓΟΥΡΑΣ ΕΥΘΥΜΙΟΣ</t>
  </si>
  <si>
    <t>2310 428619</t>
  </si>
  <si>
    <t>6973803702</t>
  </si>
  <si>
    <t>e.zygouras@ggde.gr</t>
  </si>
  <si>
    <t>ezigou238@gmail.com</t>
  </si>
  <si>
    <t>ΧΟΝΤΑΣ ΠΑΝΑΓΙΩΤΗΣ - ΠΕ ΜΗΧΑΝΙΚΩΝ (ΤΑΕΦΚ Α.Α.)</t>
  </si>
  <si>
    <t>ΖΩΗ ΣΟΦΙΑ</t>
  </si>
  <si>
    <t>6976698824</t>
  </si>
  <si>
    <t>s.zoi@ggde.gr</t>
  </si>
  <si>
    <t>ΠΕ ΜΗΧ. ΜΗΧ.</t>
  </si>
  <si>
    <t>sofiaz2@hotmail.com</t>
  </si>
  <si>
    <t>ΚΑΡΑΜΠΑΣΗΣ ΧΡΗΣΤΟΣ</t>
  </si>
  <si>
    <t>6947449447</t>
  </si>
  <si>
    <t>c.karampasis@ggde.gr</t>
  </si>
  <si>
    <t>rythmosk@otenet.gr</t>
  </si>
  <si>
    <t>ΑΓΓΕΛΗ ΚΩΝΣΤΑΝΤΙΝΑ - ΠΕ ΜΗΧΑΝΙΚΩΝ (ΤΑΕΦΚ Δ.Α.)</t>
  </si>
  <si>
    <t>ΚΑΡΥΔΑ ΑΓΑΠΗ</t>
  </si>
  <si>
    <t>2310 416834</t>
  </si>
  <si>
    <t>6944508818</t>
  </si>
  <si>
    <t>a.karyda@ggde.gr</t>
  </si>
  <si>
    <t>agapikaryda@gmail.com</t>
  </si>
  <si>
    <t>ΑΘΑΝΑΣΙΟΥ ΠΑΝΑΓΙΩΤΗΣ - ΠΕ ΜΗΧΑΝΙΚΩΝ (ΤΑΕΦΚ Δ.Α.)</t>
  </si>
  <si>
    <t>ΚΕΛΕΚΤΣΟΓΛΟΥ ΣΤΑΥΡΟΥΛΑ</t>
  </si>
  <si>
    <t>2310 423979</t>
  </si>
  <si>
    <t>6977827750</t>
  </si>
  <si>
    <t>s.kelektsoglou@ggde.gr</t>
  </si>
  <si>
    <t>skelek75@yahoo.gr</t>
  </si>
  <si>
    <t>ΑΤΑΜΕΓΚΟΣ ΓΡΗΓΟΡΙΟΣ - ΤΕ ΜΗΧΑΝΙΚΩΝ (ΤΑΕΦΚ Δ.Α.)</t>
  </si>
  <si>
    <t>ΚΟΚΚΙΝΙΔΟΥ ΠΕΛΑΓΙΑ</t>
  </si>
  <si>
    <t>6978486629</t>
  </si>
  <si>
    <t>p.kokkinidou@ggde.gr</t>
  </si>
  <si>
    <t>pelagi14@yahoo.gr</t>
  </si>
  <si>
    <t>ΑΦΡΙΚΑΝΟΣ ΑΛΕΞΗΣ - ΠΕ ΜΗΧΑΝΙΚΩΝ (ΤΑΕΦΚ Δ.Α.)</t>
  </si>
  <si>
    <t>ΚΡΙΝΟΥ ΕΥΤΥΧΙΑ</t>
  </si>
  <si>
    <t>2310 801853</t>
  </si>
  <si>
    <t>6936783135</t>
  </si>
  <si>
    <t>e.krinou@ggde.gr</t>
  </si>
  <si>
    <t>ΔΕ ΠΡΟΣ. Η/Υ</t>
  </si>
  <si>
    <t>eftihiakrinou@yahoo.gr</t>
  </si>
  <si>
    <t>ΒΑΣΙΛΑΚΟΠΟΥΛΟΣ ΑΘΑΝΑΣΙΟΣ - ΠΕ ΜΗΧΑΝΙΚΩΝ (ΤΑΕΦΚ Δ.Α.)</t>
  </si>
  <si>
    <t>ΛΕΜΟΝΗ ΕΛΕΝΗ</t>
  </si>
  <si>
    <t>6945415670</t>
  </si>
  <si>
    <t>e.lemoni@ggde.gr</t>
  </si>
  <si>
    <t>ΠΕ ΓΕΩΤΕΧΝΙΚΩΝ</t>
  </si>
  <si>
    <t>lemonielen@gmail.com</t>
  </si>
  <si>
    <t>ΒΕΝΕΤΣΑΝΟΣ ΕΠΑΜΕΙΝΩΝΔΑΣ - ΠΕ ΜΗΧΑΝΙΚΩΝ (ΤΑΕΦΚ Δ.Α.)</t>
  </si>
  <si>
    <t>ΜΑΝΩΛΗΣ ΑΝΤΩΝΗΣ</t>
  </si>
  <si>
    <t>2310 421674</t>
  </si>
  <si>
    <t>6944744680</t>
  </si>
  <si>
    <t>a.manolis@ggde.gr</t>
  </si>
  <si>
    <t>antonismanolis@hotmail.com</t>
  </si>
  <si>
    <t>ΓΕΩΡΓΙΟΥ ΚΩΝΣΤΑΝΤΙΝΟΣ - ΤΕ ΜΗΧΑΝΙΚΩΝ (ΤΑΕΦΚ Δ.Α.)</t>
  </si>
  <si>
    <t>ΜΑΤΘΑΙΟΥ ΓΕΩΡΓΙΟΣ</t>
  </si>
  <si>
    <t>6907366486</t>
  </si>
  <si>
    <t>g.matthaiou@ggde.gr</t>
  </si>
  <si>
    <t>ΤΕ ΓΕΩΠΛΗΡ.</t>
  </si>
  <si>
    <t>geormatth@gmail.com</t>
  </si>
  <si>
    <t>ΘΕΛΕΡΙΤΗΣ ΗΛΙΑΣ - ΠΕ ΜΗΧΑΝΙΚΩΝ (ΤΑΕΦΚ Δ.Α.)</t>
  </si>
  <si>
    <t>ΜΠΑΚΑ ΜΑΡΙΑ</t>
  </si>
  <si>
    <t>6947932494</t>
  </si>
  <si>
    <t>m.baka@ggde.gr</t>
  </si>
  <si>
    <t>mariadbaka@gmail.com</t>
  </si>
  <si>
    <t>ΜΠΑΚΑΛΟΥΔΗ ΘΕΟΔΩΡΑ</t>
  </si>
  <si>
    <t>2310 411840</t>
  </si>
  <si>
    <t>6936772633</t>
  </si>
  <si>
    <t>mpakaloudit@gmail.com</t>
  </si>
  <si>
    <t>ΙΩΑΝΝΙΔΗΣ ΔΗΜΟΣΘΕΝΗΣ - ΠΕ ΜΗΧΑΝΙΚΩΝ (ΤΑΕΦΚ Δ.Α.)</t>
  </si>
  <si>
    <t>ΜΠΑΛΑΣΑΣ ΑΝΤΩΝΙΟΣ</t>
  </si>
  <si>
    <t>2310 423641</t>
  </si>
  <si>
    <t>6947830538</t>
  </si>
  <si>
    <t>a.balasas@ggde.gr</t>
  </si>
  <si>
    <t>anton.balasas.kif.thes@gmail.com</t>
  </si>
  <si>
    <t>ΚΑΡΑΚΩΣΤΑΣ ΠΑΝΑΓΙΩΤΗΣ - ΠΕ ΜΗΧΑΝΙΚΩΝ (ΤΑΕΦΚ Δ.Α.)</t>
  </si>
  <si>
    <t>ΜΠΙΣΜΠΑ ΑΦΡΟΔΙΤΗ</t>
  </si>
  <si>
    <t>6945879061</t>
  </si>
  <si>
    <t>a.bismpa@ggde.gr</t>
  </si>
  <si>
    <t>afroditibisba@gmail.com</t>
  </si>
  <si>
    <t>ΚΩΣΤΑΚΗΣ ΛΑΜΠΡΟΣ - ΠΕ ΜΗΧΑΝΙΚΩΝ (ΤΑΕΦΚ Δ.Α.)</t>
  </si>
  <si>
    <t>ΠΑΙΔΑΡΑΚΗ ΓΡΑΜΜΑΤΟΥΛΑ</t>
  </si>
  <si>
    <t>2310 427952</t>
  </si>
  <si>
    <t>6948630062</t>
  </si>
  <si>
    <t>g.paidaraki@ggde.gr</t>
  </si>
  <si>
    <t>ΤΕ ΠΟΛ. ΜΗΧ.</t>
  </si>
  <si>
    <t>gpedarak@yahoo.gr</t>
  </si>
  <si>
    <t>ΛΕΚΚΑΣ ΜΑΡΙΟΣ - ΠΕ ΜΗΧΑΝΙΚΩΝ (ΤΑΕΦΚ Δ.Α.)</t>
  </si>
  <si>
    <t>ΠΑΛΑΙΟΧΩΡΙΝΟΥ ΑΝΑΣΤΑΣΙΑ</t>
  </si>
  <si>
    <t>6977136737</t>
  </si>
  <si>
    <t>a.palaiochorinou@ggde.gr</t>
  </si>
  <si>
    <t>a.palaioc@gmail.com</t>
  </si>
  <si>
    <t>ΛΙΩΡΗΣ ΒΑΣΙΛΕΙΟΣ - ΠΕ ΜΗΧΑΝΙΚΩΝ (ΤΑΕΦΚ Δ.Α.)</t>
  </si>
  <si>
    <t>ΠΑΠΑΒΑΣΙΛΕΙΟΥ ΟΛΓΑ</t>
  </si>
  <si>
    <t>6937733373</t>
  </si>
  <si>
    <t>o.papavasileiou@ggde.gr</t>
  </si>
  <si>
    <t>olgapapa72@gmail.com</t>
  </si>
  <si>
    <t>ΜΙΧΕΛΗΣ ΙΩΑΝΝΗΣ - ΠΕ ΜΗΧΑΝΙΚΩΝ (ΤΑΕΦΚ Δ.Α.)</t>
  </si>
  <si>
    <t>ΠΑΠΑΔΟΠΟΥΛΟΣ ΚΛΗΜΗΣ</t>
  </si>
  <si>
    <t>6974790515</t>
  </si>
  <si>
    <t>k.papadopoulos@ggde.gr</t>
  </si>
  <si>
    <t>klimipap@gmail.com</t>
  </si>
  <si>
    <t>ΠΑΠΑΒΑΣΙΛΗΣ ΒΑΣΙΛΕΙΟΣ - ΠΕ ΜΗΧΑΝΙΚΩΝ (ΤΑΕΦΚ Δ.Α.)</t>
  </si>
  <si>
    <t>ΠΕΧΛΙΒΑΝΟΥ ΑΙΚΑΤΕΡΙΝΗ</t>
  </si>
  <si>
    <t>6947899410</t>
  </si>
  <si>
    <t>a.pechlivanou@ggde.gr</t>
  </si>
  <si>
    <t xml:space="preserve">katerinapexlibanou@gmail.com, </t>
  </si>
  <si>
    <t>ΠΡΟΙΣΚΟΣ ΓΕΩΡΓΙΟΣ - ΤΕ ΜΗΧΑΝΙΚΩΝ (ΤΑΕΦΚ Δ.Α.)</t>
  </si>
  <si>
    <t>ΣΑΚΚΑΣ ΑΘΑΝΑΣΙΟΣ</t>
  </si>
  <si>
    <t>6973306494</t>
  </si>
  <si>
    <t>a.sakkas@ggde.gr</t>
  </si>
  <si>
    <t>thsak5@yahoo.com</t>
  </si>
  <si>
    <t>ΣΑΚΕΡΛΗ ΜΑΡΙΑ - ΠΕ ΜΗΧΑΝΙΚΩΝ (ΤΑΕΦΚ Δ.Α.)</t>
  </si>
  <si>
    <t>ΣΙΜΗΤΑΣ ΔΗΜΗΤΡΙΟΣ</t>
  </si>
  <si>
    <t>6908725909</t>
  </si>
  <si>
    <t>dimitrissimitas97@gmail.com</t>
  </si>
  <si>
    <t>ΣΑΜΑΡΑ ΓΙΟΥΛΑ - ΠΕ ΜΗΧΑΝΙΚΩΝ (ΤΑΕΦΚ Δ.Α.)</t>
  </si>
  <si>
    <t>ΣΤΟΪΚΑΚΗ ΣΤΥΛΙΑΝΗ</t>
  </si>
  <si>
    <t>6945151494</t>
  </si>
  <si>
    <t>sstoik@yahoo.gr</t>
  </si>
  <si>
    <t>ΣΕΪΜΕΝΗΣ ΕΜΜΑΝΟΥΗΛ - ΠΕ ΜΗΧΑΝΙΚΩΝ (ΤΑΕΦΚ Δ.Α.)</t>
  </si>
  <si>
    <t>ΣΤΟΪΛΟΥΔΗ ΜΑΡΙΑΝΘΗ</t>
  </si>
  <si>
    <t>6932911077</t>
  </si>
  <si>
    <t>m.stoiloudi@ggde.gr</t>
  </si>
  <si>
    <t>mstoiloudi@gmail.com</t>
  </si>
  <si>
    <t>ΣΗΦΑΚΗΣ ΙΑΚΩΒΟΣ - ΠΕ ΜΗΧΑΝΙΚΩΝ (ΤΑΕΦΚ Δ.Α.)</t>
  </si>
  <si>
    <t>ΤΖΗΚΑΣ ΑΡΙΣΤΕΙΔΗΣ</t>
  </si>
  <si>
    <t>2310411859</t>
  </si>
  <si>
    <t>6973826564</t>
  </si>
  <si>
    <t>a.tzikas@ggde.gr</t>
  </si>
  <si>
    <t>aristzikas@gmail.com</t>
  </si>
  <si>
    <t>ΣΟΡΟΚΑΚΗΣ ΧΡΙΣΤΟΔΟΥΛΟΣ - ΠΕ ΜΗΧΑΝΙΚΩΝ (ΤΑΕΦΚ Δ.Α.)</t>
  </si>
  <si>
    <t>ΤΖΙΩΡΑΣ ΔΗΜΗΤΡΙΟΣ</t>
  </si>
  <si>
    <t>6972712141</t>
  </si>
  <si>
    <t>d.tzioras@ggde.gr</t>
  </si>
  <si>
    <t>d_tzioras@yahoo.com</t>
  </si>
  <si>
    <t>ΤΖΑΡΙΑ ΜΑΡΙΑ-ΑΝΝΑ - ΠΕ ΜΗΧΑΝΙΚΩΝ (ΤΑΕΦΚ Δ.Α.)</t>
  </si>
  <si>
    <t>ΤΖΟΥΒΑΡΑ ΒΑΙΤΣΑ</t>
  </si>
  <si>
    <t>2310 417586</t>
  </si>
  <si>
    <t>6974050289</t>
  </si>
  <si>
    <t>v.tzouvara@ggde.gr</t>
  </si>
  <si>
    <t>vtzouvara@gmail.com</t>
  </si>
  <si>
    <t>ΤΣΟΛΗ ΕΛΕΝΗ - ΤΕ ΜΗΧΑΝΙΚΩΝ (ΤΑΕΦΚ Δ.Α.)</t>
  </si>
  <si>
    <t>ΤΡΙΚΚΑΛΙΩΤΗ ΣΟΥΛΤΑΝΑ ΑΝΝΑ</t>
  </si>
  <si>
    <t>6987887267</t>
  </si>
  <si>
    <t>s.trikkalioti@ggde.gr</t>
  </si>
  <si>
    <t>ΠΕ ΜΗΧ. ΧΩΡ.</t>
  </si>
  <si>
    <t>souzanaki.trik@gmail.com</t>
  </si>
  <si>
    <t>ΧΑΝΟΥΜΗΣ ΔΗΜΗΤΡΙΟΣ - ΤΕ ΜΗΧΑΝΙΚΩΝ (ΤΑΕΦΚ Δ.Α.)</t>
  </si>
  <si>
    <t>ΤΣΙΓΚΙΡΛΙΩΤΗΣ ΝΙΚΟΛΑΟΣ</t>
  </si>
  <si>
    <t>6944884457</t>
  </si>
  <si>
    <t>n.tsigkirliotis@ggde.gr</t>
  </si>
  <si>
    <t>ΤΕ ΔΟΜ. ΕΡΓΩΝ</t>
  </si>
  <si>
    <t>nikostsigi@hotmail.com</t>
  </si>
  <si>
    <t>ΤΣΙΜΤΣΙΡΗΣ ΚΩΝΣΤΑΝΤΙΝΟΣ</t>
  </si>
  <si>
    <t>2310450093</t>
  </si>
  <si>
    <t>k.tsimtsiris@ggde.gr</t>
  </si>
  <si>
    <t>ΔΕ ΟΔΗΓΩΝ</t>
  </si>
  <si>
    <t>kostastsimtsiris@gmail.com</t>
  </si>
  <si>
    <t>ΑΒΡΑΜΟΠΟΥΛΟΣ ΙΩΑΝΝΗΣ - ΠΕ ΠΟΛ. ΜΗΧ.</t>
  </si>
  <si>
    <t>ΦΡΑΓΚΟΥ ΜΑΡΙΑ</t>
  </si>
  <si>
    <t>2310 427896</t>
  </si>
  <si>
    <t>6942550725</t>
  </si>
  <si>
    <t>m.fragkou@ggde.gr</t>
  </si>
  <si>
    <t>fragkoumairh@gmail.com</t>
  </si>
  <si>
    <t>ΑΓΙΑΝΟΓΛΟΥ ΒΑΣΙΛΕΙΟΣ - ΠΕ ΑΡΧ. ΜΗΧ.</t>
  </si>
  <si>
    <t>ΧΑΡΑΛΑΜΠΙΔΟΥ ΕΛΕΝΗ</t>
  </si>
  <si>
    <t>2310 415963</t>
  </si>
  <si>
    <t>6944126355</t>
  </si>
  <si>
    <t>e.charalampidou@ggde.gr</t>
  </si>
  <si>
    <t>lenaxara@yahoo.gr</t>
  </si>
  <si>
    <t>ΑΠΟΣΤΟΛΙΔΟΥ ΙΩΑΝΝΑ - ΠΕ ΠΟΛ. ΜΗΧ.</t>
  </si>
  <si>
    <t>ΧΙΝΤΕΡΙΔΗΣ ΗΛΙΑΣ ΡΑΦΑΗΛ</t>
  </si>
  <si>
    <t>2310 4149705</t>
  </si>
  <si>
    <t>6907545731</t>
  </si>
  <si>
    <t>i.chinteridis@ggde.gr</t>
  </si>
  <si>
    <t>ΤΕ ΠΟΛ.ΜΗΧ.</t>
  </si>
  <si>
    <t>ilias.chinteridis@gmail.com</t>
  </si>
  <si>
    <t>ΤΑΕΦΚ ΠΕ ΧΑΚΛΙΔΙΚΗΣ</t>
  </si>
  <si>
    <t>ΚΑΖΑΝΤΖΙΔΟΥ ΖΩΗ</t>
  </si>
  <si>
    <t>6973935715</t>
  </si>
  <si>
    <t>z.kazantzidou@ggde.gr</t>
  </si>
  <si>
    <t>zoi.kazantzidou@outlook.com</t>
  </si>
  <si>
    <t>ΚΑΡΑΚΑΤΣΑΝΗ ΕΙΡΗΝΗ</t>
  </si>
  <si>
    <t>2371 351350</t>
  </si>
  <si>
    <t>6946132795</t>
  </si>
  <si>
    <t>e.karakatsani@ggde.gr</t>
  </si>
  <si>
    <t>eirinakimou@hotmail.com</t>
  </si>
  <si>
    <t>ΚΑΡΑΚΩΣΤΑ ΟΛΓΑ</t>
  </si>
  <si>
    <t>6981517173</t>
  </si>
  <si>
    <t>o.karakosta@ggde.gr</t>
  </si>
  <si>
    <t>olgakarakosta@windowslive.com</t>
  </si>
  <si>
    <t>ΚΛΗΜΑΤΣΙΔΑΣ ΕΥΡΥΣΘΕΝΗΣ</t>
  </si>
  <si>
    <t>23713 51350</t>
  </si>
  <si>
    <t>6977538476</t>
  </si>
  <si>
    <t>e.klimatsidas@ggde.gr</t>
  </si>
  <si>
    <t>evristhenisklimatsidas@gmail.com</t>
  </si>
  <si>
    <t>ΚΟΡΩΝΙΔΗΣ ΠΑΝΑΓΙΩΤΗΣ</t>
  </si>
  <si>
    <t>2310414840</t>
  </si>
  <si>
    <t>6972583885</t>
  </si>
  <si>
    <t>p.koronidis@ggde.gr</t>
  </si>
  <si>
    <t>ΠΕ ΜΗΧ. ΠΕΡΙΒΑΛ.</t>
  </si>
  <si>
    <t>panoskoron@gmail.com</t>
  </si>
  <si>
    <t>ΜΙΣΑΗΛΙΔΟΥ ΔΕΣΠΟΙΝΑ</t>
  </si>
  <si>
    <t>6974815544</t>
  </si>
  <si>
    <t>d.misailidou@ggde.gr</t>
  </si>
  <si>
    <t>misailidoudespoina@gmail.com</t>
  </si>
  <si>
    <t>ΠΕΤΑΛΩΤΗΣ ΔΗΜΗΤΡΙΟΣ</t>
  </si>
  <si>
    <t>6978292709</t>
  </si>
  <si>
    <t>d.petalotis@ggde.gr</t>
  </si>
  <si>
    <t>dimpet128@gmail.com</t>
  </si>
  <si>
    <t>ΣΙΑΜΟΣ ΑΝΤΩΝΙΟΣ</t>
  </si>
  <si>
    <t>6957171149</t>
  </si>
  <si>
    <t>a.siamos@ggde.gr</t>
  </si>
  <si>
    <t>siamosant@gmail.com</t>
  </si>
  <si>
    <t>ΣΙΔΗΡΟΠΟΥΛΟΣ ΑΛΕΞΑΝΔΡΟΣ</t>
  </si>
  <si>
    <t>6949453697</t>
  </si>
  <si>
    <t>a.sidiropoulos@ggde.gr</t>
  </si>
  <si>
    <t>alexandersid13@gmail.com</t>
  </si>
  <si>
    <t>ΑΡΓΥΡΟΥ ΜΑΡΙΑ - ΠΕ ΠΟΛ. ΜΗΧ.</t>
  </si>
  <si>
    <t>ΒΑΙΤΣΗ ΒΑΣΙΛΙΚΗ - ΠΕ ΠΟΛ. ΜΗΧ.</t>
  </si>
  <si>
    <t>ΔΕ</t>
  </si>
  <si>
    <t>ΑΝΔΡΙΟΠΟΥΛΟΥ-ΜΟΥΝΤΕΑΝΟΥ ΣΤΕΦΑΝΙΑ-ΑΛΕΞΑΝΔΡΑ</t>
  </si>
  <si>
    <t>2610 589226</t>
  </si>
  <si>
    <t>6955448080</t>
  </si>
  <si>
    <t>stef.geology@gmail.com</t>
  </si>
  <si>
    <t>ΓΕΜΕΛΙΑΡΗ ΕΙΡΗΝΗ - ΠΕ ΠΟΛ. ΜΗΧ.</t>
  </si>
  <si>
    <t>ΒΑΓΕΝΑΣ ΑΡΓΥΡΙΟΣ</t>
  </si>
  <si>
    <t>2610 589203</t>
  </si>
  <si>
    <t>6977298022</t>
  </si>
  <si>
    <t>ΤΕ ΗΛ. ΜΗΧ.</t>
  </si>
  <si>
    <t>bagenasargirios@windowslive.com</t>
  </si>
  <si>
    <t>ΓΕΩΡΓΙΟΥ ΠΗΝΕΛΟΠΗ  - ΠΕ ΑΡΧ. ΜΗΧ.</t>
  </si>
  <si>
    <t>ΒΛΑΧΑ ΜΑΡΙΝΑ</t>
  </si>
  <si>
    <t>6972278604</t>
  </si>
  <si>
    <t>mvlaxa@gmail.com</t>
  </si>
  <si>
    <t>ΓΙΑΝΝΕΛΟΣ ΙΩΑΝΝΗΣ - ΠΕ ΤΟΠ. ΜΗΧ.</t>
  </si>
  <si>
    <t>ΒΟΥΡΛΟΥΜΗΣ ΛΑΜΠΡΟΣ</t>
  </si>
  <si>
    <t>6972289471</t>
  </si>
  <si>
    <t>l.vourloumis@ggde.gr</t>
  </si>
  <si>
    <t>labrosvourloumis@gmail.com</t>
  </si>
  <si>
    <t>ΓΙΑΝΝΟΥΤΣΟΣ ΑΝΤΩΝΗΣ - ΠΕ ΠΟΛ.ΜΗΧ.</t>
  </si>
  <si>
    <t>ΓΙΑΝΝΑΚΟΠΟΥΛΟΥ ΣΩΤΗΡΙΑ</t>
  </si>
  <si>
    <t>2610 589122</t>
  </si>
  <si>
    <t>6972015302</t>
  </si>
  <si>
    <t>s.giannakopoulou@ggde.g</t>
  </si>
  <si>
    <t>rgiannakop@gmail.com</t>
  </si>
  <si>
    <t>ΓΙΑΡΚΙΤΖΗ  ΑΝΝΑ - ΠΕ ΑΡΧ. ΜΗΧ.</t>
  </si>
  <si>
    <t>ΖΥΓΟΥΡΗΣ ΚΩΝΣΤΑΝΤΙΝΟΣ</t>
  </si>
  <si>
    <t>6945398229</t>
  </si>
  <si>
    <t>kozygouris@gmail.com</t>
  </si>
  <si>
    <t>ΚΑΝΑΣ ΠΑΝΑΓΙΩΤΗΣ</t>
  </si>
  <si>
    <t>2610 589115</t>
  </si>
  <si>
    <t>6944234622</t>
  </si>
  <si>
    <t>p.kanas@ggde.gr</t>
  </si>
  <si>
    <t>panagiotiskanas3@gmail.com</t>
  </si>
  <si>
    <t>ΓΚΙΡΓΚΙΣ ΜΑΡΙΑ - ΠΕ ΠΟΛ. ΜΗΧ.</t>
  </si>
  <si>
    <t>ΚΟΥΛΟΥΡΗΣ ΚΩΝΣΤΑΝΤΙΝΟΣ</t>
  </si>
  <si>
    <t>2610 589113</t>
  </si>
  <si>
    <t>6944370079</t>
  </si>
  <si>
    <t>kkoulouris@upnet.gr</t>
  </si>
  <si>
    <t>ΓΚΟΥΝΤΑΝΗΣ ΠΑΝΑΓΙΩΤΗΣ - ΠΕ ΑΡΧ. ΜΗΧ.</t>
  </si>
  <si>
    <t>ΛΑΜΠΡΟΠΟΥΛΟΥ ΧΡΙΣΤΙΝΑ</t>
  </si>
  <si>
    <t>6936815219</t>
  </si>
  <si>
    <t>ΤΕ ΜΗΧ. ΕΡΓΩΝ ΥΠΟΔ.</t>
  </si>
  <si>
    <t>xlampropoulou@gmail.com</t>
  </si>
  <si>
    <t>ΓΟΥΡΓΙΩΤΟΥ ΧΡΥΣΟΥΛΑ - ΠΕ ΑΡΧ. ΜΗΧ.</t>
  </si>
  <si>
    <t>ΛΕΙΤΟΥΡΓΗ ΜΑΡΙΑ</t>
  </si>
  <si>
    <t>6942712190</t>
  </si>
  <si>
    <t>maria-lit@hotmail.com</t>
  </si>
  <si>
    <t>ΔΕΔΕΣ ΗΡΑΚΛΗΣ - ΤΕ ΜΗΧ. ΜΗΧ.</t>
  </si>
  <si>
    <t>ΜΑΝΩΛΑΤΟΣ ΓΕΩΡΓΙΟΣ</t>
  </si>
  <si>
    <t>2610 589202</t>
  </si>
  <si>
    <t>6970940292</t>
  </si>
  <si>
    <t>g.manolatos@ggde.gr</t>
  </si>
  <si>
    <t>manolatosgiorgos@gmail.com</t>
  </si>
  <si>
    <t>ΔΕΡΜΙΤΖΑΚΗ ΑΝΝΑ - ΠΕ ΠΟΛ. ΜΗΧ.</t>
  </si>
  <si>
    <t>ΜΕΝΤΖΑΣ ΑΘΑΝΑΣΙΟΣ</t>
  </si>
  <si>
    <t>6947727931</t>
  </si>
  <si>
    <t>a.mentzas@ggde.gr</t>
  </si>
  <si>
    <t>a_mentzas@yahoo.gr</t>
  </si>
  <si>
    <t>ΔΗΜΟΠΟΥΛΟΥ ΕΥΓΕΝΙΑ - ΠΕ ΠΟΛ. ΜΗΧ.</t>
  </si>
  <si>
    <t>ΜΙΧΑΗΛ ΑΝΤΩΝΙΑ</t>
  </si>
  <si>
    <t>6955646945</t>
  </si>
  <si>
    <t>a.michail@ggde.gr</t>
  </si>
  <si>
    <t>antoniamichail@gmail.com</t>
  </si>
  <si>
    <t>ΔΙΑΜΑΝΤΟΠΟΥΛΟΣ ΦΩΤΙΟΣ - ΠΕ ΠΟΛ. ΜΗΧ.</t>
  </si>
  <si>
    <t>ΜΟΣΧΟΥ ΔΕΣΠΟΙΝΑ</t>
  </si>
  <si>
    <t>6972038001</t>
  </si>
  <si>
    <t>d.moschou@ggde.gr</t>
  </si>
  <si>
    <t>dmoschou@hotmail.gr</t>
  </si>
  <si>
    <t>ΖΑΓΚΑ ΕΙΡΗΝΗ - ΠΕ ΠΟΛ. ΜΗΧ.</t>
  </si>
  <si>
    <t>ΠΑΡΑΣΚΕΥΑ ΑΝΤΩΝΙΟΣ</t>
  </si>
  <si>
    <t>6978943962</t>
  </si>
  <si>
    <t>paraskeyaa@hotmail.com</t>
  </si>
  <si>
    <t>ΖΟΡΜΠΑΣ  ΧΑΡΙΣΙΟΣ  - Τ. Ε. ΠΟΛ. ΜΗΧ.</t>
  </si>
  <si>
    <t>ΠΑΤΑΚΙΑΡΑΣ ΣΤΑΥΡΟΣ</t>
  </si>
  <si>
    <t>6977344183</t>
  </si>
  <si>
    <t>s.patakiaras@ggde.gr</t>
  </si>
  <si>
    <t>st.patakiaras@gmail.com</t>
  </si>
  <si>
    <t>ΙΩΑΝΝΙΔΗΣ ΚΩΝ/ΝΟΣ - ΠΕ ΠΟΛ. ΜΗΧ.</t>
  </si>
  <si>
    <t>ΣΚΟΥΡΑ ΒΑΣΙΛΙΚΗ</t>
  </si>
  <si>
    <t>2610 589121</t>
  </si>
  <si>
    <t>6974882019</t>
  </si>
  <si>
    <t>v.skoura@ggde.gr</t>
  </si>
  <si>
    <t>lili.skoura@gmail.com</t>
  </si>
  <si>
    <t xml:space="preserve">ΚΑΛΟΜΠΑΡΗΣ ΚΥΡΙΑΚΟΣ - ΠΕ. ΑΡΧ. ΜΗΧ. </t>
  </si>
  <si>
    <t>ΣΜΥΡΝΑΙΟΥ ΑΝΝΑ-ΜΑΡΙΑ</t>
  </si>
  <si>
    <t>6934004858</t>
  </si>
  <si>
    <t>amsmirneou@yahoo.com</t>
  </si>
  <si>
    <t>ΚΑΡΑΓΙΑΝΝΗΣ ΦΩΤΙΟΣ - ΠΕ ΠΟΛ. ΜΗΧ.</t>
  </si>
  <si>
    <t>ΣΜΥΡΝΙΩΤΗΣ ΝΙΚΟΛΑΟΣ</t>
  </si>
  <si>
    <t>6943571711</t>
  </si>
  <si>
    <t>n.smyrniotis@ggde.gr</t>
  </si>
  <si>
    <t>niksmirniotis@yahoo.gr</t>
  </si>
  <si>
    <t>ΚΑΡΑΤΖΕΝΗ ΑΙΚΑΤΕΡΙΝΗ - ΠΕ ΠΟΛ. ΜΗΧ.</t>
  </si>
  <si>
    <t>ΣΟΥΒΑΛΙΩΤΗ ΧΡΙΣΤΙΝΑ</t>
  </si>
  <si>
    <t>6955562181</t>
  </si>
  <si>
    <t>c.souvalioti@ggde.gr</t>
  </si>
  <si>
    <t>xristinasouv@gmail.com</t>
  </si>
  <si>
    <t>ΚΑΡΠΟΥΖΟΥ  ΝΕΚΤΑΡΙΑ - ΠΕ ΠΟΛ. ΜΗΧ.</t>
  </si>
  <si>
    <t>ΣΟΥΓΛΕΡΗ ΙΩΑΝΝΑ</t>
  </si>
  <si>
    <t>6978010154</t>
  </si>
  <si>
    <t>ioanna.sougleri@gmail.com</t>
  </si>
  <si>
    <t>ΚΑΤΣΙΩΛΗ ΜΑΡΙΑ - ΠΕ ΠΟΛ. ΜΗΧ.</t>
  </si>
  <si>
    <t>ΣΤΕΦΟΠΟΥΛΟΥ ΓΕΩΡΓΙΑ</t>
  </si>
  <si>
    <t>6937185269</t>
  </si>
  <si>
    <t>georgiastef1969@gmail.com</t>
  </si>
  <si>
    <t>ΚΑΤΩΠΟΔΗ ΓΕΩΡΓΙΑ - ΠΕ ΑΡΧ. ΜΗΧ.</t>
  </si>
  <si>
    <t>ΣΩΤΗΡΟΠΟΥΛΟΣ ΙΩΑΝΝΗΣ</t>
  </si>
  <si>
    <t>2610589226</t>
  </si>
  <si>
    <t>6932159538 6940215140</t>
  </si>
  <si>
    <t>i.sotiropoulos@ggde.gr</t>
  </si>
  <si>
    <t>gsotiropoulos@hotmail.gr</t>
  </si>
  <si>
    <t>ΚΕΡΚΕΜΕΖΟΥ ΓΕΩΡΓΙΑ - ΠΕ ΠΟΛ.ΜΗΧ.</t>
  </si>
  <si>
    <t>ΤΣΙΜΑΡΑ ΕΥΑΓΓΕΛΙΑ</t>
  </si>
  <si>
    <t>6947371545</t>
  </si>
  <si>
    <t>e.tsimara@ggde.gr</t>
  </si>
  <si>
    <t>liliantsimara@yahoo.gr</t>
  </si>
  <si>
    <t>ΚΙΤΣΑΝΤΑ ΧΡΙΣΤΙΝΑ - ΠΕ ΠΟΛ.ΜΗΧ.</t>
  </si>
  <si>
    <t>ΚΛΕΑΝΘΗ  ΜΑΡΙΑ - ΠΕ ΠΟΛ. ΜΗΧ.</t>
  </si>
  <si>
    <t>ΚΕ</t>
  </si>
  <si>
    <t>ΔΟΥΣΚΑΡΗ ΕΙΡΗΝΗ</t>
  </si>
  <si>
    <t>2108704703</t>
  </si>
  <si>
    <t>e.douskari@ggde.gr</t>
  </si>
  <si>
    <t>ΚΤΕΝΑΣ ΔΗΜΗΤΡΙΟΣ - ΠΕ ΠΟΛ. ΜΗΧ.</t>
  </si>
  <si>
    <t>ΜΠΙΚΑ ΜΑΡΙΑ</t>
  </si>
  <si>
    <t>6944715209</t>
  </si>
  <si>
    <t>ΠΕ ΑΡΧ ΜΗΧΑΝΙΚΩΝ</t>
  </si>
  <si>
    <t>mariabika12@gmail.com</t>
  </si>
  <si>
    <t>ΚΩΤΣΗΣ ΕΥΑΓΓΕΛΟΣ - ΠΕ ΠΟΛ. ΜΗΧ.</t>
  </si>
  <si>
    <t>ΠΑΧΗ ΒΙΚΤΩΡΙΑ</t>
  </si>
  <si>
    <t>6989500588</t>
  </si>
  <si>
    <t>vasileiospetsas@gmail.com</t>
  </si>
  <si>
    <t>ΛΥΜΠΕΡΟΠΟΥΛΟΥ  ΕΛΙΣΣΑΒΕΤ - ΠΕ ΤΟΠ. ΜΗΧ.</t>
  </si>
  <si>
    <t>ΣΑΡΙΔΑΚΗΣ ΑΓΓΕΛΟΣ</t>
  </si>
  <si>
    <t>2294022202</t>
  </si>
  <si>
    <t>ang.saridakis@gmail.com</t>
  </si>
  <si>
    <t>ΜΑΡΓΙΟΛΗΣ ΠΟΛΥΧΡΟΝΗΣ - ΠΕ ΠΟΛ. ΜΗΧ.</t>
  </si>
  <si>
    <t>ΜΠΑΜΠΙΛΗ  ΒΙΚΤΩΡΙΑ - Π.Ε. ΠΟΛ. ΜΗΧ.</t>
  </si>
  <si>
    <t>ΑΡΑΠΗ ΜΑΡΙΛΕΝΑ</t>
  </si>
  <si>
    <t>2108704713-14-15</t>
  </si>
  <si>
    <t>6998911942 6994433516</t>
  </si>
  <si>
    <t>m.arapi@ggde.gr</t>
  </si>
  <si>
    <t>mar1l1@hotmail.com</t>
  </si>
  <si>
    <t>ΜΠΟΥΚΟΥΡΑΚΗΣ  ΣΩΤΗΡΙΟΣ - ΠΕ ΠΟΛ. ΜΗΧ.</t>
  </si>
  <si>
    <t>ΒΑΙΤΣΗ ΒΑΣΙΛΙΚΗ</t>
  </si>
  <si>
    <t>2108704712</t>
  </si>
  <si>
    <t>v.vaitsi@ggde.gr</t>
  </si>
  <si>
    <t>vassvaitsi@yahoo.gr</t>
  </si>
  <si>
    <t>ΝΙΚΟΛΙΑ ΜΑΡΙΑ - ΠΕ ΠΟΛ. ΜΗΧ.</t>
  </si>
  <si>
    <t>ΔΕΛΗΒΑΣΙΛΗ ΓΕΩΡΓΙΑ</t>
  </si>
  <si>
    <t>210 8704723</t>
  </si>
  <si>
    <t>6909870019</t>
  </si>
  <si>
    <t>g.delivasili@ggde.gr</t>
  </si>
  <si>
    <t>ΔΕ ΤΕΧΝ.-ΕΡΓΟΔ.</t>
  </si>
  <si>
    <t>guilidelivasili@gmail.com</t>
  </si>
  <si>
    <t>ΠΑΠΑΔΟΓΕΩΡΓΟΣ ΒΑΣΙΛΕΙΟΣ - ΠΕ ΑΡΧ. ΜΗΧ.</t>
  </si>
  <si>
    <t>ΔΕΡΜΙΤΖΑΚΗ ΑΝΝΑ</t>
  </si>
  <si>
    <t>6973050287</t>
  </si>
  <si>
    <t>a.dermitzaki@ggde.gr</t>
  </si>
  <si>
    <t>lilianna1361@yahoo.gr</t>
  </si>
  <si>
    <t>ΠΑΠΑΔΟΓΙΑΝΝΗ ΓΕΩΡΓΙΑ - ΠΕ ΑΡΧ. ΜΗΧ.</t>
  </si>
  <si>
    <t>ΕΠΙΤΗΔΕΙΟΣ ΙΩΑΝΝΗΣ</t>
  </si>
  <si>
    <t>210 6508461, 2109921535</t>
  </si>
  <si>
    <t>6973762408 6972105023</t>
  </si>
  <si>
    <t>i.epitidios@yme.gov.gr</t>
  </si>
  <si>
    <t>ΔΕ ΜΗΧΑΝΟΛ.</t>
  </si>
  <si>
    <t>ianos.iepitedios@gmail.com</t>
  </si>
  <si>
    <t>ΠΑΠΑΔΟΠΟΥΛΟΣ ΑΝΑΣΤΑΣΙΟΣ - ΠΕ ΑΡΧ. ΜΗΧ.</t>
  </si>
  <si>
    <t>ΚΑΡΑΤΖΕΝΗ ΑΙΚΑΤΕΡΙΝΗ</t>
  </si>
  <si>
    <t>210 8704707</t>
  </si>
  <si>
    <t>k.karatzeni@ggde.gr</t>
  </si>
  <si>
    <t>katerinakaratzeni@gmail.com</t>
  </si>
  <si>
    <t>ΠΑΠΑΕΥΘΥΜΙΟΥ ΓΕΩΡΓΙΟΣ - ΠΕ ΑΡΧ. ΜΗΧ.</t>
  </si>
  <si>
    <t>ΚΑΡΠΟΥΖΟΥ ΝΕΚΤΑΡΙΑ</t>
  </si>
  <si>
    <t>n.karpouzou@ggde.gr</t>
  </si>
  <si>
    <t>karpouzounektaria@gmail.com</t>
  </si>
  <si>
    <t>ΚΟΥΓΙΟΥΜΤΖΗ ΑΓΓΕΛΙΚΗ - ΠΕ ΠΟΛ. ΜΗΧ.</t>
  </si>
  <si>
    <t>ΚΑΤΡΑΛΗ ΑΝΔΡΙΑΝΗ-ΜΟΝΙΚΑ</t>
  </si>
  <si>
    <t>210 8704730</t>
  </si>
  <si>
    <t>6973336452</t>
  </si>
  <si>
    <t>monica123@hotmail.com</t>
  </si>
  <si>
    <t>ΠΑΠΑΠΑΥΛΟΥ  ΧΡΥΣΑΝΘΗ - ΠΕ ΑΡΧ. ΜΗΧ.</t>
  </si>
  <si>
    <t>ΛΕΪΣΟΥ ΣΟΦΙΑ</t>
  </si>
  <si>
    <t>2108704708</t>
  </si>
  <si>
    <t>6937323523</t>
  </si>
  <si>
    <t>s.lisou@ggde.gr</t>
  </si>
  <si>
    <t>ΔΕ ΑΝΑΛ. ΠΡΟΓΡΑΜ.</t>
  </si>
  <si>
    <t>leisou@hotmail.com</t>
  </si>
  <si>
    <t>ΠΑΥΛΑΤΟΣ   ΚΩΣΤΑΣ - ΠΕ ΠΟΛ.ΜΗΧ.</t>
  </si>
  <si>
    <t>ΛΕΥΚΙΜΜΙΑΤΗΣ ΧΑΡΑΛΑΜΠΟΣ</t>
  </si>
  <si>
    <t>2108704713</t>
  </si>
  <si>
    <t>6972105023</t>
  </si>
  <si>
    <t>c.leukimmiatis@ggde.gr</t>
  </si>
  <si>
    <t>tefkaa.leukimmiatis@gmail.com</t>
  </si>
  <si>
    <t>ΠΑΥΛΗΣ ΙΩΑΝΝΗΣ - ΠΕ ΠΟΛ. ΜΗΧ.</t>
  </si>
  <si>
    <t>ΜΑΚΡΗ ΜΑΡΙΑΝΝΑ</t>
  </si>
  <si>
    <t>2108704707</t>
  </si>
  <si>
    <t>6976005555</t>
  </si>
  <si>
    <t>m.makri@ggde.gr</t>
  </si>
  <si>
    <t>archmakri@yahoo.gr</t>
  </si>
  <si>
    <t>ΠΟΙΜΕΝΙΔΟΥ  ΚΥΡΙΑΚΗ - ΠΕ ΠΟΛ. ΜΗΧ.</t>
  </si>
  <si>
    <t>ΜΑΡΚΟΥΛΑΚΗ ΗΛΙΑΝΑ</t>
  </si>
  <si>
    <t>6970932706</t>
  </si>
  <si>
    <t>i.markoulaki@ggde.gr</t>
  </si>
  <si>
    <t>iliana.markoulaki@gmail.com</t>
  </si>
  <si>
    <t>ΚΟΥΜΟΥΤΣΟΣ ΝΙΚΟΛΑΟΣ - ΠΕ ΠΟΛ. ΜΗΧ.</t>
  </si>
  <si>
    <t>ΜΑΣΤΟΡΑΚΗΣ ΚΟΣΜΑΣ</t>
  </si>
  <si>
    <t>210 8704712</t>
  </si>
  <si>
    <t>k.mastorakis@ggde.gr</t>
  </si>
  <si>
    <t>kosmastorakis@yahoo.gr</t>
  </si>
  <si>
    <t>ΜΑΥΡΟΜΟΥΣΤΑΚΗ ΦΑΝΗ</t>
  </si>
  <si>
    <t>6945186177</t>
  </si>
  <si>
    <t>fmd15ce@yahoo.gr</t>
  </si>
  <si>
    <t>ΡΟΥΣΣΟΥ ΑΦΡΟΔΙΤΗ - ΠΕ ΠΟΛ. ΜΗΧ.</t>
  </si>
  <si>
    <t>ΜΠΕΡΕΡΗΣ ΙΩΑΝΝΗΣ</t>
  </si>
  <si>
    <t>210 8704740</t>
  </si>
  <si>
    <t>i.mpereris@ggde.gr</t>
  </si>
  <si>
    <t>jbereris@gmail.com</t>
  </si>
  <si>
    <t>ΣΑΡΙΔΑΚΗΣ ΑΓΓΕΛΟΣ - ΠΕ ΠΟΛ. ΜΗΧ.</t>
  </si>
  <si>
    <t>ΜΠΡΟΥΜΑ ΖΩΗ</t>
  </si>
  <si>
    <t>2106440627</t>
  </si>
  <si>
    <t>z.mprouma@ggde.gr</t>
  </si>
  <si>
    <t>zoi_dellarte@yahoo.gr</t>
  </si>
  <si>
    <t>ΣΠΑΝΟΥΔΗ ΜΑΙΡΗ - ΠΕ ΠΟΛ. ΜΗΧ.</t>
  </si>
  <si>
    <t>ΠΑΝΑΓΙΟΥ ΛΕΜΟΝΙΑ</t>
  </si>
  <si>
    <t>6982255759</t>
  </si>
  <si>
    <t>ΠΕ ΔΑΣΟΛ.-ΠΕΡΙΒΑΛ.</t>
  </si>
  <si>
    <t>lpanagiou@gmail.com</t>
  </si>
  <si>
    <t>ΣΤΑΥΡΟΥ ΕΥΔΟΞΙΑ - ΠΕ ΠΟΛ. ΜΗΧ.</t>
  </si>
  <si>
    <t>ΠΑΝΑΓΙΩΤΟΠΟΥΛΟΥ ΔΙΟΝΥΣΙΑ</t>
  </si>
  <si>
    <t>2108404716-18-17-19</t>
  </si>
  <si>
    <t>6971603158</t>
  </si>
  <si>
    <t>d.panagiotopoulou@ggde.gr</t>
  </si>
  <si>
    <t>nancia17@hotmail.gr</t>
  </si>
  <si>
    <t>ΤΣΟΥΦΛΙΔΟΥ ΘΕΟΦΑΝΗ - ΠΕ ΠΟΛ. ΜΗΧ.</t>
  </si>
  <si>
    <t>ΠΑΝΟΥΤΣΟΠΟΥΛΟΥ ΦΑΝΟΥΡΙΑ-ΤΙΤΙΚΑ</t>
  </si>
  <si>
    <t>6944439132</t>
  </si>
  <si>
    <t>titikapanouts@yahoo.gr</t>
  </si>
  <si>
    <t>ΧΑΣΑΠΗΣ ΗΡΑΚΛΗΣ - ΠΕ ΠΟΛ. ΜΗΧ.</t>
  </si>
  <si>
    <t>ΠΛΑΚΑ ΑΙΚΑΤΕΡΙΝΗ</t>
  </si>
  <si>
    <t>210 7481993</t>
  </si>
  <si>
    <t>6978988086</t>
  </si>
  <si>
    <t>katerinaplaka29@gmail.com</t>
  </si>
  <si>
    <t>ΧΑΤΖΟΠΟΥΛΟΥ  ΑΡΙΣΤΕΑ - ΠΕ ΠΟΛ. ΜΗΧ.</t>
  </si>
  <si>
    <t>ΣΠΥΡΟΥ ΓΕΩΡΓΙΑ</t>
  </si>
  <si>
    <t>6945899148</t>
  </si>
  <si>
    <t>g.spyrou@ggde.gr</t>
  </si>
  <si>
    <t>ΣΤΑΥΡΟΥ ΕΥΔΟΞΙΑ</t>
  </si>
  <si>
    <t>6947205702</t>
  </si>
  <si>
    <t>e.stavrou@ggde.gr</t>
  </si>
  <si>
    <t>evikour@gmail.com</t>
  </si>
  <si>
    <t>ΣΤΡΑΤΙΔΑΚΗ ΚΥΡΙΑΚΗ</t>
  </si>
  <si>
    <t>6948851335</t>
  </si>
  <si>
    <t>k.stratidaki@ggde.gr</t>
  </si>
  <si>
    <t>kstratidaki@yahoo.gr</t>
  </si>
  <si>
    <t>ΤΣΙΑΠΑΡΙΚΟΥ ΕΛΙΣΣΑΒΕΤ</t>
  </si>
  <si>
    <t>11elisus@gmail.com</t>
  </si>
  <si>
    <t>ΤΣΙΡΩΝΗΣ ΓΕΩΡΓΙΟΣ</t>
  </si>
  <si>
    <t>6940503291</t>
  </si>
  <si>
    <t>ΤΕ ΜΗΧ. ΜΗΧ.</t>
  </si>
  <si>
    <t>giwrgostsiro@gmail.com</t>
  </si>
  <si>
    <t>ΤΣΟΥΦΛΙΔΟΥ ΑΙΚΑΤΕΡΙΝΗ</t>
  </si>
  <si>
    <t>2108704711</t>
  </si>
  <si>
    <t>a.tsouflidou@ggde.gr</t>
  </si>
  <si>
    <t>ktsouflidou@yahoo.gr</t>
  </si>
  <si>
    <t>ΧΑΣΑΠΗΣ ΗΡΑΚΛΗΣ</t>
  </si>
  <si>
    <t>210 8704709</t>
  </si>
  <si>
    <t>h.xasapis@ggde.gr</t>
  </si>
  <si>
    <t>iraklis269@gmail.com</t>
  </si>
  <si>
    <t>ΧΑΤΖΟΠΟΥΛΟΥ ΑΡΙΣΤΕΑ</t>
  </si>
  <si>
    <t>210 8704708</t>
  </si>
  <si>
    <t>a.xatzopoulou@ggde.gr</t>
  </si>
  <si>
    <t>ar.chatzopoulou@yahoo.gr</t>
  </si>
  <si>
    <t>ΧΡΙΣΤΟΠΟΥΛΟΣ ΑΛΕΞΑΝΔΡΟΣ</t>
  </si>
  <si>
    <t>2131308126</t>
  </si>
  <si>
    <t>a.christopoulos@yme.gov.gr</t>
  </si>
  <si>
    <t>acd042003@yahoo.gr</t>
  </si>
  <si>
    <t>ΑΒΡΑΜΟΠΟΥΛΟΣ ΙΩΑΝΝΗΣ</t>
  </si>
  <si>
    <t>2108704730</t>
  </si>
  <si>
    <t>6932360670</t>
  </si>
  <si>
    <t>i.avramopoulos@ggde.gr</t>
  </si>
  <si>
    <t xml:space="preserve">avramopoulosi@gmail.com, </t>
  </si>
  <si>
    <t>ΑΓΑΔΑΚΟΥ ΚΩΝΣΤΑΝΤΙΝΑ</t>
  </si>
  <si>
    <t>2108704747</t>
  </si>
  <si>
    <t>k.agadakou@ggde.gr</t>
  </si>
  <si>
    <t>ΑΓΚΟΠΙΑΝ ΒΕΡΟΝΙΚΗ</t>
  </si>
  <si>
    <t>6974447538</t>
  </si>
  <si>
    <t>2104824991</t>
  </si>
  <si>
    <t>v.agopian@ggde.gr</t>
  </si>
  <si>
    <t>agopveronika75@gmail.com</t>
  </si>
  <si>
    <t>ΑΛΕΞΑΝΔΡΗ ΜΑΡΙΑ</t>
  </si>
  <si>
    <t>2108704722</t>
  </si>
  <si>
    <t>6951136860</t>
  </si>
  <si>
    <t>m.alexandri@ggde.gr</t>
  </si>
  <si>
    <t>alexmaraki1993@gmail.com</t>
  </si>
  <si>
    <t>ΑΝΔΡΙΟΛΑ ΠΑΡΑΣΚΕΥΗ</t>
  </si>
  <si>
    <t>2108704752</t>
  </si>
  <si>
    <t>6985807315</t>
  </si>
  <si>
    <t>p.andriola@ggde.gr</t>
  </si>
  <si>
    <t>andriolavivi@yahoo.gr</t>
  </si>
  <si>
    <t>ΑΠΟΣΤΟΛΟΥ ΝΙΚΟΛΑΟΣ</t>
  </si>
  <si>
    <t>2108704741</t>
  </si>
  <si>
    <t>n.apostolou@ggde.gr</t>
  </si>
  <si>
    <t>nikkosapostolou@gmail.com</t>
  </si>
  <si>
    <t>ΑΣΗΜΑΚΟΠΟΥΛΟΣ ΧΡΗΣΤΟΣ-ΜΕΝΕΛΑΟΣ</t>
  </si>
  <si>
    <t>8708704735</t>
  </si>
  <si>
    <t>6948465629</t>
  </si>
  <si>
    <t>asimako8@gmail.com</t>
  </si>
  <si>
    <t>ΓΚΙΚΑ ΜΑΡΙΑ-ΖΑΪΡΑ</t>
  </si>
  <si>
    <t>2108704723</t>
  </si>
  <si>
    <t>6983002093</t>
  </si>
  <si>
    <t>Zaira.gkika@hotmail.com</t>
  </si>
  <si>
    <t>ΓΚΟΒΑΤΣΟΣ ΕΛΕΥΘΕΡΙΟΣ</t>
  </si>
  <si>
    <t>2108704734</t>
  </si>
  <si>
    <t>gkovatso@gmil.com</t>
  </si>
  <si>
    <t>ΔΗΜΗΤΡΑΚΑΚΗ ΜΑΡΙΑ</t>
  </si>
  <si>
    <t>2108704729</t>
  </si>
  <si>
    <t>6981972682</t>
  </si>
  <si>
    <t>m.dimitrakaki@ggde.gr</t>
  </si>
  <si>
    <t>marakip31@gmail.com</t>
  </si>
  <si>
    <t>ΔΗΜΗΤΡΙΑΔΗΣ ΕΥΑΓΓΕΛΟΣ</t>
  </si>
  <si>
    <t>2108704732</t>
  </si>
  <si>
    <t>6983483104</t>
  </si>
  <si>
    <t>e.dimitriadis@ggde.gr</t>
  </si>
  <si>
    <t>Vaggelis@windowslive.com</t>
  </si>
  <si>
    <t>ΔΟΥΔΟΥΜΗΣ ΣΤΕΡΓΙΟΣ</t>
  </si>
  <si>
    <t>210 8704731</t>
  </si>
  <si>
    <t>6937776358</t>
  </si>
  <si>
    <t>s.doudoumis@ggde.gr</t>
  </si>
  <si>
    <t>strgs1doom@gmail.com</t>
  </si>
  <si>
    <t>ΕΣΚΙΝΤΖΗΣ ΑΠΟΣΤΟΛΟΣ</t>
  </si>
  <si>
    <t>210 8704720</t>
  </si>
  <si>
    <t>6947244486</t>
  </si>
  <si>
    <t>ΤΕ ΕΡΓΟΔΗΓΩΝ (Χ.ΠΤ.)</t>
  </si>
  <si>
    <t>tolisesk@hotmail.com</t>
  </si>
  <si>
    <t>ΚΑΡΑΚΥΡΙΑΚΟΣ ΑΓΓΕΛΟΣ</t>
  </si>
  <si>
    <t>210 8704728</t>
  </si>
  <si>
    <t>akarak@ggde.gr</t>
  </si>
  <si>
    <t>aggeloskarak@hotmail.com</t>
  </si>
  <si>
    <t>ΚΟΥΜΑΝΔΡΑΚΗ-ΣΑΜΑΡΑ ΚΩΣΤΟΥΛΑ</t>
  </si>
  <si>
    <t>2106440986</t>
  </si>
  <si>
    <t>samara_ntina@yahoo.gr</t>
  </si>
  <si>
    <t>ΚΟΥΡΗ ΑΝΕΣΤΙΑ</t>
  </si>
  <si>
    <t>2108704736</t>
  </si>
  <si>
    <t>6977507325</t>
  </si>
  <si>
    <t>a.kouri@ggde.gr</t>
  </si>
  <si>
    <t>aneta.koyri@gmail.com</t>
  </si>
  <si>
    <t>ΚΟΥΤΣΙΑΝΟΥ ΣΟΦΙΑ</t>
  </si>
  <si>
    <t>s.koutsianou@ggde.gr</t>
  </si>
  <si>
    <t>ΔΕ ΤΕΧΝΙΚΩΝ</t>
  </si>
  <si>
    <t>sofiakoye@yahoo.com</t>
  </si>
  <si>
    <t>ΚΟΥΤΣΟΥΛΗΣ ΙΩΑΝΝΗΣ</t>
  </si>
  <si>
    <t>210 8704727</t>
  </si>
  <si>
    <t>gianniskoutsoulis@yahoo.gr</t>
  </si>
  <si>
    <t>ΚΩΤΟΥΛΑΣ ΑΣΤΕΡΙΟΣ</t>
  </si>
  <si>
    <t>6981873196</t>
  </si>
  <si>
    <t>a.kotoulas@ggde.gr</t>
  </si>
  <si>
    <t>asterix_kot7@windowslive.com</t>
  </si>
  <si>
    <t>ΛΕΩΝΗ ΙΩΑΝΝΑ</t>
  </si>
  <si>
    <t>6945400547</t>
  </si>
  <si>
    <t>ioannaleoni@gmail.com</t>
  </si>
  <si>
    <t>ΜΑΥΡΟΓΕΝΗΣ ΑΝΤΩΝΙΟΣ</t>
  </si>
  <si>
    <t>a.maurogenis@ggde.gr</t>
  </si>
  <si>
    <t>lentasdv@gmail.com</t>
  </si>
  <si>
    <t>ΜΕΝΟΓΛΟΥ ΜΙΧΑΗΛ</t>
  </si>
  <si>
    <t>210 8704730, 2108704700</t>
  </si>
  <si>
    <t>6978485361 6949641611</t>
  </si>
  <si>
    <t>m.menoglou@ggde.gr</t>
  </si>
  <si>
    <t>mmeno90@gmail,com</t>
  </si>
  <si>
    <t>ΜΠΙΤΣΩΡΗ ΒΕΛΗΣΣΑΡΙΑ</t>
  </si>
  <si>
    <t>ΜΠΡΙΛΛΑΚΗ ΑΝΝΑ</t>
  </si>
  <si>
    <t>a.brillaki@ggde.gr</t>
  </si>
  <si>
    <t>annabrilaki@yahoo.gr</t>
  </si>
  <si>
    <t>ΜΠΡΩΝΗΣ ΣΩΤΗΡΙΟΣ</t>
  </si>
  <si>
    <t>210 8704703</t>
  </si>
  <si>
    <t>v.pachi@ggde.gr</t>
  </si>
  <si>
    <t>v.g.pachi@gmail.com</t>
  </si>
  <si>
    <t>ΠΑΠΑΔΟΠΟΥΛΟΣ ΑΝΑΣΤΑΣΙΟΣ</t>
  </si>
  <si>
    <t>210 8704722</t>
  </si>
  <si>
    <t>6944688337</t>
  </si>
  <si>
    <t>a.papadopoulos@ggde.gr</t>
  </si>
  <si>
    <t>tasos.x.papadopoulos@gmail.com</t>
  </si>
  <si>
    <t>ΠΑΠΑΝΙΚΟΛΑΟΥ ΜΑΡΙΑ</t>
  </si>
  <si>
    <t>210 8704729</t>
  </si>
  <si>
    <t>2107780810</t>
  </si>
  <si>
    <t>m.papanikolaou@ggde.gr</t>
  </si>
  <si>
    <t>ΠΕΤΣΑΣ ΒΑΣΙΛΕΙΟΣ</t>
  </si>
  <si>
    <t>ΠΟΛΥΖΟΥ ΠΗΝΕΛΟΠΗ</t>
  </si>
  <si>
    <t>6983810365</t>
  </si>
  <si>
    <t>ΥΕ ΠΡΟΣ. ΚΑΘΑΡ.</t>
  </si>
  <si>
    <t>ΣΚΟΡΔΑ ΔΗΜΗΤΡΑ</t>
  </si>
  <si>
    <t>d.skorda@ggde.gr</t>
  </si>
  <si>
    <t>demi.skord@gmail.com</t>
  </si>
  <si>
    <t>ΣΤΕΦΟΥ ΘΕΟΔΩΡΑ</t>
  </si>
  <si>
    <t>6934030989</t>
  </si>
  <si>
    <t>theodorastefou@yahoo.gr</t>
  </si>
  <si>
    <t>ΤΣΑΛΑΜΙΔΑ ΚΩΝΣΤΑΝΤΙΝΑ</t>
  </si>
  <si>
    <t>6945204636</t>
  </si>
  <si>
    <t>k.tsalamida@gmail.com</t>
  </si>
  <si>
    <t>ΧΑΡΙΤΟΣ ΓΕΩΡΓΙΟΣ</t>
  </si>
  <si>
    <t>haritos1964@gmail.com</t>
  </si>
  <si>
    <t>ΑΣΒΕΣΤΑΣ ΙΩΑΝΝΗΣ</t>
  </si>
  <si>
    <t>2131523731</t>
  </si>
  <si>
    <t>6980736334</t>
  </si>
  <si>
    <t>f.christopoulou@ggde.gr</t>
  </si>
  <si>
    <t>gasvest@gmail.com</t>
  </si>
  <si>
    <t>ΒΛΑΧΟΓΙΑΝΝΗΣ ΚΩΝΣΤΑΝΤΙΝΟΣ</t>
  </si>
  <si>
    <t>213 1523735</t>
  </si>
  <si>
    <t>6976657104</t>
  </si>
  <si>
    <t>k.vlachogiannis@ggde.gr</t>
  </si>
  <si>
    <t>ΓΙΑΡΓΚΙΤΖΗ ΑΝΝΑ</t>
  </si>
  <si>
    <t>6978894699</t>
  </si>
  <si>
    <t>agiatzi@gmail.com</t>
  </si>
  <si>
    <t>ΔΑΛΕΖΙΟΣ ΑΧΙΛΛΕΑΣ</t>
  </si>
  <si>
    <t>2131523756</t>
  </si>
  <si>
    <t>6974378663</t>
  </si>
  <si>
    <t>a.dalezios@ggde.gr</t>
  </si>
  <si>
    <t>axilleas.dale@yahoo.gr</t>
  </si>
  <si>
    <t>ΔΕΔΕΣ ΗΡΑΚΛΗΣ</t>
  </si>
  <si>
    <t>213 1523732</t>
  </si>
  <si>
    <t>6978335362</t>
  </si>
  <si>
    <t>h.dedes@ggde.gr</t>
  </si>
  <si>
    <t>ΔΙΠΛΑ ΑΝΤΩΝΙΑ</t>
  </si>
  <si>
    <t>6989602050</t>
  </si>
  <si>
    <t>a.dipla@ggde.gr</t>
  </si>
  <si>
    <t>dipla_ant@hotmail.com</t>
  </si>
  <si>
    <t>ΚΕΒΕΡΗΣ ΜΙΧΑΗΛ</t>
  </si>
  <si>
    <t>210 5599113, 2105599160</t>
  </si>
  <si>
    <t>m.keveris@ggde.gr</t>
  </si>
  <si>
    <t>ΜΗΤΡΟΠΟΥΛΟΣ ΔΗΜΗΤΡΙΟΣ</t>
  </si>
  <si>
    <t>210 8704713</t>
  </si>
  <si>
    <t>6934973849</t>
  </si>
  <si>
    <t>d.mitropoulos@ggde.gr</t>
  </si>
  <si>
    <t>ΜΠΕΡΤΣΙΑΣ ΜΙΛΤΙΑΔΗΣ</t>
  </si>
  <si>
    <t>6974321817</t>
  </si>
  <si>
    <t>m.bertsias@ggde.gr</t>
  </si>
  <si>
    <t>miltos.ber@gmail.com</t>
  </si>
  <si>
    <t>ΞΕΝΟΥ ΣΤΑΜΑΤΙΝΑ</t>
  </si>
  <si>
    <t>213 1523758</t>
  </si>
  <si>
    <t>6972234942</t>
  </si>
  <si>
    <t>s.xenou@ggde.gr</t>
  </si>
  <si>
    <t>ΠΑΝΑΓΙΩΤΟΥΛΙΑ ΒΑΣΙΛΙΚΗ</t>
  </si>
  <si>
    <t>210 5599113, 
210 5599160</t>
  </si>
  <si>
    <t>6977293089</t>
  </si>
  <si>
    <t>v.panagiotoulia@ggde.gr</t>
  </si>
  <si>
    <t>ΤΣΟΥΜΗΣ ΙΩΑΝΝΗΣ</t>
  </si>
  <si>
    <t>213 1523731</t>
  </si>
  <si>
    <t>6972309803</t>
  </si>
  <si>
    <t>i.tsoumis@ggde.gr</t>
  </si>
  <si>
    <t>ΑΓΓΕΛΗΣ ΙΩΑΝΝΗΣ</t>
  </si>
  <si>
    <t>210 64 49 502</t>
  </si>
  <si>
    <t>6970117758</t>
  </si>
  <si>
    <t>ioannes.angelis@gmail.com</t>
  </si>
  <si>
    <t>ΑΓΙΑΝΟΓΛΟΥ ΒΑΣΙΛΕΙΟΣ</t>
  </si>
  <si>
    <t>2108704744</t>
  </si>
  <si>
    <t>v.agianoglou@ggde.gr</t>
  </si>
  <si>
    <t>v.agianoglou@gmail.com</t>
  </si>
  <si>
    <t>ΑΔΡΑΚΤΑ ΠΑΝΑΓΙΩΤΑ</t>
  </si>
  <si>
    <t>6973333473</t>
  </si>
  <si>
    <t>p.adrakta@ggde.gr</t>
  </si>
  <si>
    <t>adraktanota@yahoo.gr</t>
  </si>
  <si>
    <t>ΑΗΔΟΝΗ ΕΛΕΝΗ</t>
  </si>
  <si>
    <t>21064 60 528</t>
  </si>
  <si>
    <t>6934671271</t>
  </si>
  <si>
    <t>helenaid@gmail.com</t>
  </si>
  <si>
    <t>ΒΑΪΛΑΚΗΣ ΔΗΜΗΤΡΙΟΣ</t>
  </si>
  <si>
    <t>210 64 21 060</t>
  </si>
  <si>
    <t>6932393388</t>
  </si>
  <si>
    <t>d.vailakis@ggde.gr</t>
  </si>
  <si>
    <t>dimitris.vailakis@gmail.com</t>
  </si>
  <si>
    <t>ΒΔΟΥΚΑΚΗ ΕΛΕΝΗ</t>
  </si>
  <si>
    <t>210 64 20 359</t>
  </si>
  <si>
    <t>6943440301</t>
  </si>
  <si>
    <t>vdoukakielena@yahoo.com</t>
  </si>
  <si>
    <t>ΓΕΜΕΛΙΑΡΗ ΕΙΡΗΝΗ</t>
  </si>
  <si>
    <t>210 8704734</t>
  </si>
  <si>
    <t>e.gemeliari@ggde.gr</t>
  </si>
  <si>
    <t>ΓΙΑΒΡΟΥΤΑ ΛΑΜΠΡΙΝΗ</t>
  </si>
  <si>
    <t>6948491981</t>
  </si>
  <si>
    <t>linagiavrouta@hotmail.com</t>
  </si>
  <si>
    <t>ΓΙΑΝΝΕΛΟΣ ΙΩΑΝΝΗΣ</t>
  </si>
  <si>
    <t>210 8704719,  
210 64 60 321</t>
  </si>
  <si>
    <t>i.giannelos@ggde.gr</t>
  </si>
  <si>
    <t>ΓΙΑΝΝΟΥΛΑΣ ΠΑΝΑΓΙΩΤΗΣ</t>
  </si>
  <si>
    <t>210 64 45 267</t>
  </si>
  <si>
    <t>6980042920</t>
  </si>
  <si>
    <t>panos.giannoulas@gmail.com</t>
  </si>
  <si>
    <t>ΓΙΑΝΝΟΥΤΣΟΣ ΑΝΤΩΝΙΟΣ</t>
  </si>
  <si>
    <t>2108704732, 2821029287</t>
  </si>
  <si>
    <t>a.giannoutsos@ggde.gr</t>
  </si>
  <si>
    <t>agiannouts@gmail.com</t>
  </si>
  <si>
    <t>ΔΗΜΑΚΟΓΙΑΝΝΗ ΑΓΓΕΛΙΚΗ</t>
  </si>
  <si>
    <t>210 64 40 458</t>
  </si>
  <si>
    <t>6942039538</t>
  </si>
  <si>
    <t>adimako@hotmail.com</t>
  </si>
  <si>
    <t>ΔΙΑΜΑΝΤΟΠΟΥΛΟΣ ΦΩΤΙΟΣ</t>
  </si>
  <si>
    <t>210 8704716</t>
  </si>
  <si>
    <t>6972773725</t>
  </si>
  <si>
    <t>f.diamantopoulos@ggde.gr</t>
  </si>
  <si>
    <t>fotisdiamantopoulos.daefkke@gmail.com</t>
  </si>
  <si>
    <t>ΕΜΜΑΝΟΥΗΛ ΒΑΣΙΛΙΚΗ</t>
  </si>
  <si>
    <t>210 64 26 569</t>
  </si>
  <si>
    <t>6940552610</t>
  </si>
  <si>
    <t>vasiaEmmanouil@gmail.com</t>
  </si>
  <si>
    <t>ΖΑΓΚΑ ΕΙΡΗΝΗ</t>
  </si>
  <si>
    <t>210 8704717,  
210 64 60 321</t>
  </si>
  <si>
    <t>e.zaga@ggde.gr</t>
  </si>
  <si>
    <t>ΖΑΧΑΡΑΚΗ ΕΛΕΝΗ</t>
  </si>
  <si>
    <t>210 64 45 283</t>
  </si>
  <si>
    <t>6978853783</t>
  </si>
  <si>
    <t>elena_zach@hotmail.com</t>
  </si>
  <si>
    <t>ΖΟΡΜΠΑΣ ΧΑΡΙΣΙΟΣ</t>
  </si>
  <si>
    <t>x.zorbas@ggde.gr</t>
  </si>
  <si>
    <t>ΖΟΥΓΡΗΣ ΔΗΜΗΤΡΙΟΣ</t>
  </si>
  <si>
    <t xml:space="preserve">210 60 20 508 </t>
  </si>
  <si>
    <t>6984118511</t>
  </si>
  <si>
    <t>d.zougris@ggde.gr</t>
  </si>
  <si>
    <t xml:space="preserve">dhmhtrhs95@hot.mail.com, </t>
  </si>
  <si>
    <t>ΚΑΛΟΜΠΑΡΗΣ ΚΥΡΙΑΚΟΣ</t>
  </si>
  <si>
    <t>210 8704746</t>
  </si>
  <si>
    <t>k.kalobaris@ggde.gr</t>
  </si>
  <si>
    <t>ΚΑΡΑΒΙΑΣ ΔΗΜΗΤΡΙΟΣ</t>
  </si>
  <si>
    <t>210 64 20 508</t>
  </si>
  <si>
    <t>6972386367</t>
  </si>
  <si>
    <t>d.karavias@ggde.gr</t>
  </si>
  <si>
    <t>ΚΑΡΑΘΑΝΑΣΗΣ ΝΙΚΟΛΑΟΣ</t>
  </si>
  <si>
    <t>26510 03664</t>
  </si>
  <si>
    <t>6974030990</t>
  </si>
  <si>
    <t>n.karathanasis@ggde.gr</t>
  </si>
  <si>
    <t>nkarathana@gmail.com</t>
  </si>
  <si>
    <t>ΚΑΤΣΙΓΙΑΝΝΗΣ ΒΑΣΙΛΕΙΟΣ</t>
  </si>
  <si>
    <t>210 6417528</t>
  </si>
  <si>
    <t>6974057776</t>
  </si>
  <si>
    <t>ΤΕ ΜΗΧΑΝΙΚΩΝ</t>
  </si>
  <si>
    <t>bkatsigiannis71@gmail.com</t>
  </si>
  <si>
    <t>ΚΑΤΣΙΩΛΗ ΜΑΡΙΑ</t>
  </si>
  <si>
    <t>210 8704741</t>
  </si>
  <si>
    <t>m.katsioli@ggde.gr</t>
  </si>
  <si>
    <t>ΚΕΡΚΕΜΕΖΟΥ ΓΕΩΡΓΙΑ</t>
  </si>
  <si>
    <t>210 8704742</t>
  </si>
  <si>
    <t>g.kerkemezou@ggde.gr</t>
  </si>
  <si>
    <t>kerkemezou@yahoo.gr</t>
  </si>
  <si>
    <t>ΚΟΥΓΙΟΥΜΤΖΗ ΑΓΓΕΛΙΚΗ</t>
  </si>
  <si>
    <t>210 8704738</t>
  </si>
  <si>
    <t>a.kougioumtzi@ggde.gr</t>
  </si>
  <si>
    <t>ΚΟΥΜΟΥΤΣΟΣ ΝΙΚΟΛΑΟΣ</t>
  </si>
  <si>
    <t>210 8704745</t>
  </si>
  <si>
    <t>n.koumoutsos@ggde.gr</t>
  </si>
  <si>
    <t>koumnick@gmail.com</t>
  </si>
  <si>
    <t>ΚΟΥΣΗ ΒΑΣΙΛΙΚΗ</t>
  </si>
  <si>
    <t>v.kousi@ggde.gr</t>
  </si>
  <si>
    <t>kous-kous@hotmail.gr</t>
  </si>
  <si>
    <t>ΚΥΡΙΑΚΑΚΗ ΦΩΤΕΙΝΗ</t>
  </si>
  <si>
    <t>210 8704736</t>
  </si>
  <si>
    <t>f.kyriakaki@ggde.gr</t>
  </si>
  <si>
    <t>ΜΑΝΗΣΑΛΗ ΓΕΝΟΒΕΦΑ</t>
  </si>
  <si>
    <t>g.manisali@ggde.gr</t>
  </si>
  <si>
    <t>ΜΑΡΓΙΟΛΗΣ ΠΟΛΥΧΡΟΝΗΣ</t>
  </si>
  <si>
    <t>p.margiolis@ggde.gr</t>
  </si>
  <si>
    <t>ΜΑΣΤΡΟΓΙΑΝΝΗ ΑΡΤΕΜΗΣΙΑ</t>
  </si>
  <si>
    <t>a.mastrogianni@ggde.gr</t>
  </si>
  <si>
    <t>artemismastrogianni@ymail.gr</t>
  </si>
  <si>
    <t>ΜΠΑΜΠΙΛΗ ΒΙΚΤΩΡΙΑ</t>
  </si>
  <si>
    <t>6944393637</t>
  </si>
  <si>
    <t>v.mpampili@ggde.gr</t>
  </si>
  <si>
    <t>viktoriababili@gmail.com</t>
  </si>
  <si>
    <t>ΚΟΥΣΗ ΒΑΣΙΛΙΚΗ - ΠΕ ΑΡΧ .ΜΗΧ.</t>
  </si>
  <si>
    <t>ΜΠΟΥΚΟΥΡΑΚΗΣ ΣΩΤΗΡΙΟΣ</t>
  </si>
  <si>
    <t>s.mpoukourakis@ggde.gr</t>
  </si>
  <si>
    <t>sboukourakis@gmail.com</t>
  </si>
  <si>
    <t>ΝΟΥΤΣΑ ΕΛΠΙΝΙΚΗ</t>
  </si>
  <si>
    <t>210 64 60 528</t>
  </si>
  <si>
    <t>6982201343</t>
  </si>
  <si>
    <t>noutsanikie@yahoo.com</t>
  </si>
  <si>
    <t>ΝΤΑΛΑΠΕΡΑΣ ΓΕΩΡΓΙΟΣ</t>
  </si>
  <si>
    <t>6981800426</t>
  </si>
  <si>
    <t>giodal12@windowslive.com</t>
  </si>
  <si>
    <t>ΠΑΠΑΕΥΘΥΜΙΟΥ-ΓΩΓΟΣ ΓΕΩΡΓΙΟΣ</t>
  </si>
  <si>
    <t>210 8704744</t>
  </si>
  <si>
    <t>ΠΑΡΔΑΛΗ ΑΝΑΣΤΑΣΙΑ</t>
  </si>
  <si>
    <t>6983652275</t>
  </si>
  <si>
    <t>natasha.pardali@gmail.com</t>
  </si>
  <si>
    <t>ΠΑΥΛΑΤΟΣ ΚΩΝΣΤΑΝΤΙΝΟΣ</t>
  </si>
  <si>
    <t>k.pavlatos@ggde.gr</t>
  </si>
  <si>
    <t>pavlatos.konstantinos@gmail.com</t>
  </si>
  <si>
    <t>ΠΟΖΙΟΥ ΚΑΣΣΙΑΝΗ</t>
  </si>
  <si>
    <t>6984685650</t>
  </si>
  <si>
    <t>kasspoz@hotmail.com</t>
  </si>
  <si>
    <t>ΠΟΙΜΕΝΙΔΟΥ ΚΥΡΙΑΚΗ</t>
  </si>
  <si>
    <t>k.poimenidou@ggde.gr</t>
  </si>
  <si>
    <t>pimenidou@gmail.com</t>
  </si>
  <si>
    <t>ΡΟΥΣΣΟΥ ΓΑΡΥΦΑΛΛΙΑ - ΑΦΡΟΔΙΤΗ</t>
  </si>
  <si>
    <t>210 8704733</t>
  </si>
  <si>
    <t xml:space="preserve">afrusu@yahoo.gr, </t>
  </si>
  <si>
    <t>ΣΑΡΛΑΣ ΜΑΡΙΝΟΣ</t>
  </si>
  <si>
    <t xml:space="preserve">210 64 20 508 </t>
  </si>
  <si>
    <t>6973806827</t>
  </si>
  <si>
    <t>m.sarlas@ggde.gr</t>
  </si>
  <si>
    <t>ΣΙΑΤΗ ΕΛΕΝΗ</t>
  </si>
  <si>
    <t>elsiati@gmail.com</t>
  </si>
  <si>
    <t>ΣΠΑΝΟΥΔΗ ΜΑΡΙΑ</t>
  </si>
  <si>
    <t>m.spanoudi@ggde.gr</t>
  </si>
  <si>
    <t>maryspanoudi@gmail.com</t>
  </si>
  <si>
    <t>ΣΤΑΜΑΤΟΓΙΑΝΝΗ ΜΑΡΙΑ</t>
  </si>
  <si>
    <t>6946474745</t>
  </si>
  <si>
    <t>mairhstam@hotmail.com</t>
  </si>
  <si>
    <t>ΤΣΙΓΓΕΡΙΔΗΣ ΕΥΘΥΜΙΟΣ</t>
  </si>
  <si>
    <t>210 64 45 247</t>
  </si>
  <si>
    <t>6987312059</t>
  </si>
  <si>
    <t>e.tsingeridis@ggde.gr</t>
  </si>
  <si>
    <t>ΧΝΑΡΑ ΜΑΡΙΑ</t>
  </si>
  <si>
    <t>211 64 20 359</t>
  </si>
  <si>
    <t>m.chnara@ggde.gr</t>
  </si>
  <si>
    <t>ΧΡΙΣΤΟΠΟΥΛΟΥ ΦΩΤΕΙΝΗ</t>
  </si>
  <si>
    <t>210 8704732</t>
  </si>
  <si>
    <t>6938246522</t>
  </si>
  <si>
    <t>ΗΡ</t>
  </si>
  <si>
    <t>ΑΛΕΚΟΣ ΓΕΩΡΓΙΟΣ</t>
  </si>
  <si>
    <t>2810311318</t>
  </si>
  <si>
    <t>taefkira.georalek@gmail.com</t>
  </si>
  <si>
    <t>galekos@gmail.com</t>
  </si>
  <si>
    <t>ΑΝΔΡΟΥΛΑΚΗΣ ΕΜΜΑΝΟΥΗΛ</t>
  </si>
  <si>
    <t>taefkira.androulakis@gmail.com</t>
  </si>
  <si>
    <t>manolandroul@gmail.com</t>
  </si>
  <si>
    <t>ΑΠΟΣΤΟΛΑΚΗ ΜΑΡΙΑ</t>
  </si>
  <si>
    <t>taefkira.apostolaki@gmail.com</t>
  </si>
  <si>
    <t>m_apostolaki_@hotmail.com</t>
  </si>
  <si>
    <t>ΑΠΟΣΤΟΛΑΚΗΣ ΜΑΡΙΟΣ</t>
  </si>
  <si>
    <t>taefkira.apostolakis@gmail.com</t>
  </si>
  <si>
    <t>mariosapos@gmail.com</t>
  </si>
  <si>
    <t>ΒΑΣΙΛΑΚΗΣ ΓΕΩΡΓΙΟΣ</t>
  </si>
  <si>
    <t>taefkira.vasilakis@gmail.com</t>
  </si>
  <si>
    <t>gvas100@gmail.com</t>
  </si>
  <si>
    <t>ΒΕΡΥΚΟΚΙΔΗΣ ΗΛΙΑΣ</t>
  </si>
  <si>
    <t>taefkira.verikokidis@gmail.com</t>
  </si>
  <si>
    <t>verikokos92@gmail.com</t>
  </si>
  <si>
    <t>ΒΟΥΡΕΞΑΚΗ ΘΕΟΔΩΡΑ</t>
  </si>
  <si>
    <t>taefkira.vourexaki@gmail.com</t>
  </si>
  <si>
    <t>vourexaki@yahoo.gr</t>
  </si>
  <si>
    <t>ΔΑΚΙΔΗΣ ΧΡΗΣΤΟΣ</t>
  </si>
  <si>
    <t>taefkira.dakidis@gmail.com</t>
  </si>
  <si>
    <t>xristos.dakidis@gmail.com</t>
  </si>
  <si>
    <t>ΔΑΣΚΑΛΟΓΙΑΝΝΑΚΗ ΞΑΝΘΙΠΠΗ</t>
  </si>
  <si>
    <t>taefkira.daskalogiannaki@gmail.com</t>
  </si>
  <si>
    <t>xeniadaska@windowslive.com</t>
  </si>
  <si>
    <t>ΖΑΧΑΡΙΟΥΔΑΚΗΣ ΑΓΗΣΙΛΑΟΣ</t>
  </si>
  <si>
    <t>taefkira.zaxarioudakis@gmail.com</t>
  </si>
  <si>
    <t>agiszaxarioudakis@gmail.com</t>
  </si>
  <si>
    <t>ΚΑΖΑΝΑΚΗΣ ΙΩΑΝΝΗΣ</t>
  </si>
  <si>
    <t>taefkira.kazanakis@gmail.com</t>
  </si>
  <si>
    <t>jkazanakis@gmail.com</t>
  </si>
  <si>
    <t>ΚΑΜΠΟΛΗ ΦΩΤΕΙΝΗ</t>
  </si>
  <si>
    <t>taefkira.kampoli@gmail.com</t>
  </si>
  <si>
    <t>ffwkampo@gmail.com</t>
  </si>
  <si>
    <t>ΛΙΑΠΑΚΗ ΕΥΘΑΛΙΑ</t>
  </si>
  <si>
    <t>taefkira.liapaki@gmail.com</t>
  </si>
  <si>
    <t>thalialiap@yahoo.gr</t>
  </si>
  <si>
    <t>ΛΥΡΑΚΗ ΑΘΑΝΑΣΙΑ</t>
  </si>
  <si>
    <t>taefkira.lyraki@gmail.com</t>
  </si>
  <si>
    <t>alyraki@gmail.com</t>
  </si>
  <si>
    <t>ΜΑΓΚΟΥΣΑΚΗ ΑΝΝΑ</t>
  </si>
  <si>
    <t>taefkira.magousaki@gmail.com</t>
  </si>
  <si>
    <t>annamagousaki@gmail.com</t>
  </si>
  <si>
    <t>ΜΑΓΟΥΛΑΚΗ ΑΝΝΑ</t>
  </si>
  <si>
    <t>taefkira.magoulaki@gmail.com</t>
  </si>
  <si>
    <t>magu.anna@hotmail.com</t>
  </si>
  <si>
    <t>ΜΑΥΡΙΔΗΣ ΒΑΣΙΛΕΙΟΣ</t>
  </si>
  <si>
    <t>taefkira.mavridis@gmail.com</t>
  </si>
  <si>
    <t>ΠΕ ΜΗΧ. ΔΟΜΟΣΤ.</t>
  </si>
  <si>
    <t>mavridisv@gmail.com</t>
  </si>
  <si>
    <t>ΜΕΣΑΡΙΤΑΚΗ ΑΙΚΑΤΕΡΙΝΗ</t>
  </si>
  <si>
    <t>taefkira.katerinames@gmail.com</t>
  </si>
  <si>
    <t>cultarchitech@gmail.com</t>
  </si>
  <si>
    <t>ΜΠΟΥΛΑΜΑΤΣΗ ΣΟΦΙΑ</t>
  </si>
  <si>
    <t>taefkira.boulamatsi@gmail.com</t>
  </si>
  <si>
    <t>ΠΕ ΜΕΤΑΛ/ΓΟΣ</t>
  </si>
  <si>
    <t>sophiaboul@gmail.com</t>
  </si>
  <si>
    <t>ΝΤΕΛΑΚΗ ΚΑΛΛΙΟΠΗ</t>
  </si>
  <si>
    <t>taefkira.ntelaki@gmail.com</t>
  </si>
  <si>
    <t>popi.ntelaki@gmail.com</t>
  </si>
  <si>
    <t>ΞΥΛΟΥΡΗ ΕΥΑΓΓΕΛΙΑ</t>
  </si>
  <si>
    <t>taefkira.xilouri@gmail.com</t>
  </si>
  <si>
    <t>valiaxilouri@hotmail.com</t>
  </si>
  <si>
    <t>ΟΙΚΟΝΟΜΟΥ ΑΛΕΞΑΝΔΡΟΣ</t>
  </si>
  <si>
    <t>taefkira.oikonomou@gmail.com</t>
  </si>
  <si>
    <t>alexandrosoik97@gmail.com</t>
  </si>
  <si>
    <t>ΠΕΤΡΑΚΗΣ ΠΕΤΡΟΣ</t>
  </si>
  <si>
    <t>taefkira.petrakis@gmail.com</t>
  </si>
  <si>
    <t>petrospetrakis1980@gmail.com</t>
  </si>
  <si>
    <t>ΡΕΜΠΟΥΛΑΚΗ ΖΑΜΠΙΑ</t>
  </si>
  <si>
    <t>taefkira.rempoulaki@gmail.com</t>
  </si>
  <si>
    <t>zrempoulaki@gmail.com</t>
  </si>
  <si>
    <t>ΡΟΓΔΑΚΗΣ ΧΑΡΑΛΑΜΠΟΣ</t>
  </si>
  <si>
    <t>taefkira.rogdakis@gmail.com</t>
  </si>
  <si>
    <t>brogdakis@yahoo.com</t>
  </si>
  <si>
    <t>ΣΑΚΕΡΛΗ ΜΑΡΙΑ</t>
  </si>
  <si>
    <t>m.sakerli@ggde.gr</t>
  </si>
  <si>
    <t>m.sakerli@gmail.com</t>
  </si>
  <si>
    <t>ΣΑΛΟΥΣΤΡΟΥ ΕΛΕΝΗ</t>
  </si>
  <si>
    <t>taefkira.saloustrou@gmail.com</t>
  </si>
  <si>
    <t>salenafv@gmail.com</t>
  </si>
  <si>
    <t>ΣΤΑΜΑΤΑΚΗ ΚΑΔΙΑΝΗ</t>
  </si>
  <si>
    <t>taefkira.stamataki@gmail.com</t>
  </si>
  <si>
    <t>stamataki.k81@gmail.com</t>
  </si>
  <si>
    <t>ΤΑΜΙΩΛΑΚΗΣ ΓΕΩΡΓΙΟΣ ΠΑΝΤΕΛΗΣ</t>
  </si>
  <si>
    <t>taefkira.tamiolakis@gmail.com</t>
  </si>
  <si>
    <t>geomitam@gmail.com</t>
  </si>
  <si>
    <t>ΤΣΙΚΡΙΤΣΑΚΗΣ ΒΑΣΙΛΕΙΟΣ</t>
  </si>
  <si>
    <t>taefkira.tsikritsakis@gmail.com</t>
  </si>
  <si>
    <t>vasilisc4@hotmail.com</t>
  </si>
  <si>
    <t>ΦΡΑΓΚΙΑΔΑΚΗΣ ΔΗΜΗΤΡΙΟΣ</t>
  </si>
  <si>
    <t>6978871348 6986664315</t>
  </si>
  <si>
    <t>taefkira.fragkiadakis@gmail.com</t>
  </si>
  <si>
    <t>fragkiadim44@gmail.com</t>
  </si>
  <si>
    <t>ΧΑ</t>
  </si>
  <si>
    <t>ΔΙΑΚΡΟΥΣΗΣ ΣΤΥΛΙΑΝΟΣ-ΓΕΡΑΣΙΜΟΣ</t>
  </si>
  <si>
    <t>6949333494</t>
  </si>
  <si>
    <t>t.a.e.f.k.xania@gmail.com</t>
  </si>
  <si>
    <t>ΠΕ ΜΗΧ. ΟΡ. ΠΟΡΩΝ</t>
  </si>
  <si>
    <t>sdiakrousis@hotmail.com</t>
  </si>
  <si>
    <t>ΚΑΡΥΔΑ ΕΥΑΓΓΕΛΙΑ</t>
  </si>
  <si>
    <t>liaki9@yahoo.gr</t>
  </si>
  <si>
    <t>ΚΙΜΙΩΝΗ ΜΑΡΙΑ</t>
  </si>
  <si>
    <t>6988221973</t>
  </si>
  <si>
    <t>kimioni.mary@gmail.com</t>
  </si>
  <si>
    <t>ΚΟΣΜΑΔΑΚΗ ΙΩΑΝΝΑ</t>
  </si>
  <si>
    <t>6942432057</t>
  </si>
  <si>
    <t>ioanna.kosmadaki@gmail.com</t>
  </si>
  <si>
    <t>ΚΟΥΜΗΣ ΧΡΗΣΤΟΣ</t>
  </si>
  <si>
    <t>6938601801</t>
  </si>
  <si>
    <t>jpaspati@yahoo.gr</t>
  </si>
  <si>
    <t>ΜΙΧΕΛΑΚΗΣ ΓΕΩΡΓΙΟΣ</t>
  </si>
  <si>
    <t>6944344579</t>
  </si>
  <si>
    <t>ΠΕ ΗΛΕΚΤΡ. ΜΗΧ.</t>
  </si>
  <si>
    <t>gvmichelakis@gmail.com</t>
  </si>
  <si>
    <t>ΜΠΟΛΙΟΥΔΑΚΗΣ ΕΜΜΑΝΟΥΗΛ</t>
  </si>
  <si>
    <t>6984422749</t>
  </si>
  <si>
    <t>manolisbolioudakis@gmail.com</t>
  </si>
  <si>
    <t>ΜΠΟΤΩΝΑΚΗΣ ΔΗΜΗΤΡΙΟΣ</t>
  </si>
  <si>
    <t>6932703127</t>
  </si>
  <si>
    <t>dimbotonakis@gmail.com</t>
  </si>
  <si>
    <t>ΝΤΑΛΛΑΣ ΑΝΤΩΝΙΟΣ</t>
  </si>
  <si>
    <t>6977401233</t>
  </si>
  <si>
    <t>antallas4425@gmail.com</t>
  </si>
  <si>
    <t>ΞΥΛΑΣ ΔΗΜΗΤΡΙΟΣ</t>
  </si>
  <si>
    <t>6976559998</t>
  </si>
  <si>
    <t>jimxilas7@gmail.com</t>
  </si>
  <si>
    <t>ΠΑΤΕΡΑΚΗ ΔΕΣΠΟΙΝΑ</t>
  </si>
  <si>
    <t>6971641783</t>
  </si>
  <si>
    <t>despinapateraki@gmail.com</t>
  </si>
  <si>
    <t>ΠΕΝΤΑΡΗΣ ΑΝΔΡΕΑΣ</t>
  </si>
  <si>
    <t>6982360550</t>
  </si>
  <si>
    <t>pentarisandreas@gmail.com</t>
  </si>
  <si>
    <t>ΣΤΑΜΠΟΛΑΚΗ ΜΑΡΙΑΝΝΑ</t>
  </si>
  <si>
    <t>6984493906</t>
  </si>
  <si>
    <t>mstampolaki@yahoo.com</t>
  </si>
  <si>
    <t>ΣΤΡΑΠΑΤΣΑΚΗΣ ΣΤΥΛΙΑΝΟΣ</t>
  </si>
  <si>
    <t>210 6508485</t>
  </si>
  <si>
    <t>6948363936</t>
  </si>
  <si>
    <t>s.strapatsakis@yme.gov.gr</t>
  </si>
  <si>
    <t>ΠΕ ΜΗΧΑΝΟΛ. ΝΑΥΠ.</t>
  </si>
  <si>
    <t>stelios_strap@yahoo.gr</t>
  </si>
  <si>
    <t>ΦΕΛΕΣΑΚΗ ΧΡΙΣΤΙΝΗ</t>
  </si>
  <si>
    <t>6945728316</t>
  </si>
  <si>
    <t>t.a.e.f..k.xania@gmail.com</t>
  </si>
  <si>
    <t>xrifele@yahoo.gr</t>
  </si>
  <si>
    <t>ΦΙΩΤΟΔΗΜΗΤΡΑΚΗ ΘΕΟΔΩΣΙΑ</t>
  </si>
  <si>
    <t>6973255809</t>
  </si>
  <si>
    <t>ΠΕ ΧΗΜ. ΜΗΧ.</t>
  </si>
  <si>
    <t>fiottheo@gmail.com</t>
  </si>
  <si>
    <t>ΦΡΑΤΖΕΣΚΑΚΗ ΕΥΑΓΓΕΛΙΑ</t>
  </si>
  <si>
    <t>6986975035</t>
  </si>
  <si>
    <t>vaggelio12@hotmail.com</t>
  </si>
  <si>
    <t>ΧΑΡΑΛΑΜΠΙΔΗ ΒΑΡΒΑΡΑ</t>
  </si>
  <si>
    <t>6977779983</t>
  </si>
  <si>
    <t>bcharalambidi@gmail.com</t>
  </si>
  <si>
    <t>ΧΑΤΖΗΣ ΝΙΚΟΛΑΟΣ ΜΙΧΑΗΛ</t>
  </si>
  <si>
    <t>nikoshatzis1990@gmail.com</t>
  </si>
  <si>
    <t>ΑΑ</t>
  </si>
  <si>
    <t>ΑΓΑΔΑΚΟΥ ΑΛΚΜΗΝΗ</t>
  </si>
  <si>
    <t>2294440030</t>
  </si>
  <si>
    <t>6932285994</t>
  </si>
  <si>
    <t>taefkaa.agadakou@gmail.com</t>
  </si>
  <si>
    <t>al_agadakou@yahoo.gr</t>
  </si>
  <si>
    <t>ΑΛΕΞΟΠΟΥΛΟΥ ΝΙΚΟΛΙΤΣΑ</t>
  </si>
  <si>
    <t>6972087747</t>
  </si>
  <si>
    <t>taefkaa.alexopoulou@gmail.com</t>
  </si>
  <si>
    <t>lilialexopoulou@gmail.com</t>
  </si>
  <si>
    <t>ΑΝΑΓΝΩΣΤΟΥ ΜΑΡΙΑ ΙΩΑΝΝΑ</t>
  </si>
  <si>
    <t>6980996968</t>
  </si>
  <si>
    <t>taefkaa.anagnostou@gmail.com</t>
  </si>
  <si>
    <t>ΠΕ ΜΗΧ. ΟΙΚ. &amp; ΔΙΟΙΚ.</t>
  </si>
  <si>
    <t>marianna.anagnostou@gmail.com</t>
  </si>
  <si>
    <t>ΑΠΟΣΤΟΛΙΔΟΥ ΙΩΑΝΝΑ</t>
  </si>
  <si>
    <t>2294 440030</t>
  </si>
  <si>
    <t>joan.apostolidou@gmail.com, ioannaapostolidoy@hotmail.com</t>
  </si>
  <si>
    <t>ΒΑΜΒΑΚΙΑΝΟΣ ΑΛΕΞΑΝΔΡΟΣ</t>
  </si>
  <si>
    <t>6970320059</t>
  </si>
  <si>
    <t>taefkaa.vamvakianos@gmail.com</t>
  </si>
  <si>
    <t>alex_vnos@hotmail.com</t>
  </si>
  <si>
    <t>ΓΑΒΡΙΛΙΑΔΗ ΑΦΡΟΔΙΤΗ</t>
  </si>
  <si>
    <t>taefkaa.gavriliadi@gmail.com</t>
  </si>
  <si>
    <t>ΓΕΡΑΜΑΝΗ ΕΙΡΗΝΗ</t>
  </si>
  <si>
    <t>taefkaa.geramani@gmail.com</t>
  </si>
  <si>
    <t>geramanirena@gmail.com</t>
  </si>
  <si>
    <t>ΓΕΩΡΓΟΠΟΥΛΟΥ ΜΑΡΙΑ</t>
  </si>
  <si>
    <t>6972820547</t>
  </si>
  <si>
    <t>taefkaa.georgopoulou@gmail.com</t>
  </si>
  <si>
    <t>georgopmara@yahoo.gr</t>
  </si>
  <si>
    <t>ΔΑΜΙΓΟΣ ΓΕΩΡΓΙΟΣ</t>
  </si>
  <si>
    <t>6939327305</t>
  </si>
  <si>
    <t>taefkaa.damigos@gmail.com</t>
  </si>
  <si>
    <t>jonathan.d-13-@hotmail.com</t>
  </si>
  <si>
    <t>ΔΙΑΜΑΝΤΟΠΟΥΛΟΣ ΓΕΩΡΓΙΟΣ</t>
  </si>
  <si>
    <t>6939405094</t>
  </si>
  <si>
    <t>taefkaa.diamantopoulos@gmail.com</t>
  </si>
  <si>
    <t>gdiamantopoulos17@gmail.com</t>
  </si>
  <si>
    <t>ΖΑΡΑΓΚΑ ΚΑΛΛΙΟΠΗ</t>
  </si>
  <si>
    <t>6985677805</t>
  </si>
  <si>
    <t>taefkaa.zaragka@gmail.com</t>
  </si>
  <si>
    <t>kallzaragka@gmail.com</t>
  </si>
  <si>
    <t>ΚΑΡΑΙΣΑΣ ΑΘΑΝΑΣΙΟΣ</t>
  </si>
  <si>
    <t>6973559599</t>
  </si>
  <si>
    <t>taefkaa.karaisas@gmail.com</t>
  </si>
  <si>
    <t>akaraisas@gmail.com</t>
  </si>
  <si>
    <t>ΚΑΤΙΚΑΣ ΧΡΗΣΤΟΣ</t>
  </si>
  <si>
    <t>taefkaa.katikas@gmail.com</t>
  </si>
  <si>
    <t>katikas697@gmail.com</t>
  </si>
  <si>
    <t>ΚΟΚΚΙΝΟΣ ΗΛΙΑΣ</t>
  </si>
  <si>
    <t>6984576537</t>
  </si>
  <si>
    <t>taefkaa.kokkinos@gmail.com</t>
  </si>
  <si>
    <t>iliasbkokkinos@gmail.com</t>
  </si>
  <si>
    <t>ΚΟΥΡΗ ΝΙΚΟΛΕΤΑ</t>
  </si>
  <si>
    <t>6932637784</t>
  </si>
  <si>
    <t>taefkaa.kouri@gmail.com</t>
  </si>
  <si>
    <t>nikoletakouri@gmail.com</t>
  </si>
  <si>
    <t>ΛΑΖΑΡΟΥ ΧΑΡΑΛΑΜΠΟΣ</t>
  </si>
  <si>
    <t>6955003825</t>
  </si>
  <si>
    <t>taefkaa.lazarou@gmail.com</t>
  </si>
  <si>
    <t>x.ath.lazarou@gmail.com</t>
  </si>
  <si>
    <t>ΛΑΜΠΡΙΔΟΥ ΜΑΡΙΝΑ</t>
  </si>
  <si>
    <t>6981889462</t>
  </si>
  <si>
    <t>taefkaa.lampridou@gmail.com</t>
  </si>
  <si>
    <t>marilianta@gmail.com</t>
  </si>
  <si>
    <t>ΛΕΝΑ ΔΕΣΠΟΙΝΑ</t>
  </si>
  <si>
    <t>6977421366</t>
  </si>
  <si>
    <t>taefkaa.lena@gmail.com</t>
  </si>
  <si>
    <t>despinle@hotmail.com</t>
  </si>
  <si>
    <t>ΛΙΝΤΕΡΗΣ ΔΗΜΗΤΡΙΟΣ</t>
  </si>
  <si>
    <t>6977303667</t>
  </si>
  <si>
    <t>taefkaa.linteris@gmail.com</t>
  </si>
  <si>
    <t>dimlinteris@yahoo.gr</t>
  </si>
  <si>
    <t>ΛΙΟΝΑΚΗ ΟΛΥΜΠΙΑ</t>
  </si>
  <si>
    <t>6944050931</t>
  </si>
  <si>
    <t>taefkaa.lionaki@gmail.com</t>
  </si>
  <si>
    <t>ΠΕ ΔΙΟΙΚΗΤΙΚΟΥ</t>
  </si>
  <si>
    <t>olionakis@gmail.com</t>
  </si>
  <si>
    <t>ΜΑΚΡΗΣ ΑΥΓΟΥΣΤΙΝΟΣ</t>
  </si>
  <si>
    <t>6942496492</t>
  </si>
  <si>
    <t>taefkaa.amakris@gmail.com</t>
  </si>
  <si>
    <t>augmakris@yahoo.com</t>
  </si>
  <si>
    <t>ΜΑΚΡΗΣ ΙΩΑΝΝΗΣ</t>
  </si>
  <si>
    <t>6944757544</t>
  </si>
  <si>
    <t>taefkaa.makris@gmail.com</t>
  </si>
  <si>
    <t>makjian@hotmail.com</t>
  </si>
  <si>
    <t>ΜΟΣΧΟΥ ΓΕΩΡΓΙΑ</t>
  </si>
  <si>
    <t>6936582412</t>
  </si>
  <si>
    <t>taefkaa.moschou@gmail.com</t>
  </si>
  <si>
    <t>gogoulamoschou@hotmail.com</t>
  </si>
  <si>
    <t>ΜΠΑΡΔΗΣ ΓΕΩΡΓΙΟΣ</t>
  </si>
  <si>
    <t>6976140354</t>
  </si>
  <si>
    <t>taefkaa.mpardis@gmail.com</t>
  </si>
  <si>
    <t>bardisge@gmail.com</t>
  </si>
  <si>
    <t>ΜΠΙΡΜΠΙΛΗ ΑΝΔΡΙΑΝΝΑ</t>
  </si>
  <si>
    <t>6944951152</t>
  </si>
  <si>
    <t>taefkaa.mpirmpili@gmail.com</t>
  </si>
  <si>
    <t>andrianabirbili@gmail.com</t>
  </si>
  <si>
    <t>ΜΠΟΥΣΜΠΟΥΡΕΛΗ ΠΕΤΡΟΥΛΑ</t>
  </si>
  <si>
    <t>6974072869</t>
  </si>
  <si>
    <t>taefkaa.mpousmpoureli@gmail.com</t>
  </si>
  <si>
    <t>petroula.b@gmail.com</t>
  </si>
  <si>
    <t>ΜΠΟΥΣΟΥΝΗΣ ΙΩΑΝΝΗΣ</t>
  </si>
  <si>
    <t>6985127305</t>
  </si>
  <si>
    <t>taefkaa.mpousounis@gmail.com</t>
  </si>
  <si>
    <t>jbousounis@gmail.com</t>
  </si>
  <si>
    <t>ΝΙΚΟΥ ΧΡΗΣΤΟΣ</t>
  </si>
  <si>
    <t>6934066535</t>
  </si>
  <si>
    <t>taefkaa.nikou@gmail.com</t>
  </si>
  <si>
    <t>chnikou.eng@yahoo.com</t>
  </si>
  <si>
    <t>ΠΑΠΑΙΩΑΝΝΟΥ-ΜΠΟΥΤΣΙΝΗ ΑΝΝΑ-ΕΜΜΑΝΟΥΕΛΑ</t>
  </si>
  <si>
    <t>6949144335 6932257519</t>
  </si>
  <si>
    <t>taefkaa.papaioannou@gmail.com</t>
  </si>
  <si>
    <t>emmanuela.papaiwannou@gmail.com</t>
  </si>
  <si>
    <t>ΠΑΠΠΗ ΦΩΤΕΙΝΗ</t>
  </si>
  <si>
    <t>6936968187</t>
  </si>
  <si>
    <t>taefkaa.pappi@gmail.com</t>
  </si>
  <si>
    <t>spr.liakr@gmail.com</t>
  </si>
  <si>
    <t>ΠΑΤΕΡΑΚΗΣ ΣΤΥΛΙΑΝΟΣ</t>
  </si>
  <si>
    <t>6977413847</t>
  </si>
  <si>
    <t>taefkaa.paterakis@gmail.com</t>
  </si>
  <si>
    <t>stelios13@gmail.com</t>
  </si>
  <si>
    <t>ΠΟΛΙΤΗ ΑΦΡΟΔΙΤΗ</t>
  </si>
  <si>
    <t>6948880905</t>
  </si>
  <si>
    <t>taefkaa.politi@gmail.com</t>
  </si>
  <si>
    <t>politiafroditi@yahoo.gr</t>
  </si>
  <si>
    <t>ΣΤΑΣΗΣ ΚΩΝΣΤΑΝΤΙΝΟΣ</t>
  </si>
  <si>
    <t>6942448798</t>
  </si>
  <si>
    <t>taefkaa.stasis@gmail.com</t>
  </si>
  <si>
    <t>stasis.k92@gmail.com</t>
  </si>
  <si>
    <t>ΣΤΑΥΡΙΑΝΑΚΗΣ ΠΑΝΑΓΙΩΤΗΣ</t>
  </si>
  <si>
    <t>6944771437</t>
  </si>
  <si>
    <t>taefkaa.stavrianakis@gmail.com</t>
  </si>
  <si>
    <t>contact@pstavrianakis.gr</t>
  </si>
  <si>
    <t>ΤΣΕΡΜΟΥ ΜΑΡΙΑ</t>
  </si>
  <si>
    <t>6955110793</t>
  </si>
  <si>
    <t>taefkaa.tsermou@gmail.com</t>
  </si>
  <si>
    <t>maryts1990@outlook.com.gr</t>
  </si>
  <si>
    <t>ΦΡΑΓΚΟΔΗΜΗΤΡΗ ΜΑΡΙΑ</t>
  </si>
  <si>
    <t>6977638141</t>
  </si>
  <si>
    <t>taefkaa.fragkodimitri@gmail.com</t>
  </si>
  <si>
    <t>mfragodimitri@gmail.com</t>
  </si>
  <si>
    <t>ΦΩΤΕΙΝΟΠΟΥΛΟΣ ΠΡΟΚΟΠΙΟΣ</t>
  </si>
  <si>
    <t>6994789972</t>
  </si>
  <si>
    <t>taefkaa.foteinopoulos@gmail.com</t>
  </si>
  <si>
    <t>p.foteinopoulos@gmail.com</t>
  </si>
  <si>
    <t>ΧΑΡΑΛΑΜΠΙΔΟΥ ΠΑΝΑΓΙΩΤΑ</t>
  </si>
  <si>
    <t>6974117272</t>
  </si>
  <si>
    <t>taefkaa.haralabidou@gmail.com</t>
  </si>
  <si>
    <t>harbilag@otenet.ge</t>
  </si>
  <si>
    <t>ΧΟΝΤΑΣ ΠΑΝΑΓΙΩΤΗΣ</t>
  </si>
  <si>
    <t>6936631245</t>
  </si>
  <si>
    <t>taefkaa.hontas@gmail.com</t>
  </si>
  <si>
    <t>ΔΑ</t>
  </si>
  <si>
    <t>ΑΓΓΕΛΗ ΚΩΝΣΤΑΝΤΙΝΑ</t>
  </si>
  <si>
    <t>2296440080</t>
  </si>
  <si>
    <t>6992097226</t>
  </si>
  <si>
    <t>kostadina.agg@gmail.com</t>
  </si>
  <si>
    <t>ΑΘΑΝΑΣΙΟΥ ΠΑΝΑΓΙΩΤΗΣ</t>
  </si>
  <si>
    <t>6976704746</t>
  </si>
  <si>
    <t>panage1@hotmail.com</t>
  </si>
  <si>
    <t>ΑΡΓΥΡΟΠΟΥΛΟΣ ΔΗΜΗΤΡΙΟΣ</t>
  </si>
  <si>
    <t>6908866517</t>
  </si>
  <si>
    <t>dimitrisargyropoulo3@gmail.com</t>
  </si>
  <si>
    <t>ΑΤΑΜΕΓΚΟΣ ΓΡΗΓΟΡΙΟΣ</t>
  </si>
  <si>
    <t>6932436923</t>
  </si>
  <si>
    <t>ΤΕ ΗΛΕΚΤΡΟΛΟΓΩΝ ΜΗΧΑΝΙΚΩΝ</t>
  </si>
  <si>
    <t>greatameg@gmail.com</t>
  </si>
  <si>
    <t>ΑΦΡΙΚΑΝΟΣ ΑΛΕΞΗΣ</t>
  </si>
  <si>
    <t>6948112484</t>
  </si>
  <si>
    <t>alexisafricanos@gmail.com</t>
  </si>
  <si>
    <t>ΒΑΣΙΛΑΚΟΠΟΥΛΟΣ ΑΘΑΝΑΣΙΟΣ</t>
  </si>
  <si>
    <t>2296 440080</t>
  </si>
  <si>
    <t>6970994433</t>
  </si>
  <si>
    <t>ath.vasilakopoulos@gmail.com</t>
  </si>
  <si>
    <t>ΒΑΤΟΥΣΙΑΔΗ ΑΙΚΑΤΕΡΙΝΗ</t>
  </si>
  <si>
    <t>6984730924</t>
  </si>
  <si>
    <t>vatousiadik@gmail.com</t>
  </si>
  <si>
    <t>ΒΕΝΕΤΣΑΝΟΣ ΕΠΑΜΕΙΝΩΝΔΑΣ</t>
  </si>
  <si>
    <t>6975534675</t>
  </si>
  <si>
    <t>epameinondasven@gmail.com</t>
  </si>
  <si>
    <t>ΓΕΩΡΓΙΟΥ ΚΩΝΣΤΑΝΤΙΝΟΣ</t>
  </si>
  <si>
    <t>6977995010</t>
  </si>
  <si>
    <t>kgeorgiou2310@gmail.com</t>
  </si>
  <si>
    <t>ΔΡΙΤΣΑ ΓΕΩΡΓΙΑ</t>
  </si>
  <si>
    <t>6971594645</t>
  </si>
  <si>
    <t>georgiadritsa93@gmail.com</t>
  </si>
  <si>
    <t>ΖΕΡΒΑ ΠΟΛΥΞΕΝΗ</t>
  </si>
  <si>
    <t>6978143337</t>
  </si>
  <si>
    <t>polyxenize@gmail.com</t>
  </si>
  <si>
    <t>ΘΕΛΕΡΙΤΗΣ ΗΛΙΑΣ</t>
  </si>
  <si>
    <t>6947937446</t>
  </si>
  <si>
    <t>crm125@yahoo.com</t>
  </si>
  <si>
    <t>ΘΕΟΔΟΣΙΑΔΗ ΣΟΦΙΑ</t>
  </si>
  <si>
    <t>6980080409</t>
  </si>
  <si>
    <t>sothe35@gmail.com</t>
  </si>
  <si>
    <t>ΚΑΚΑΒΑ ΠΑΝΑΓΙΩΤΑ</t>
  </si>
  <si>
    <t>6942065498</t>
  </si>
  <si>
    <t>pennyk94@gmail.com</t>
  </si>
  <si>
    <t>ΚΑΡΑΚΩΣΤΑΣ ΠΑΝΑΓΙΩΤΗΣ</t>
  </si>
  <si>
    <t>6944240803</t>
  </si>
  <si>
    <t>panokarak@gmail.com</t>
  </si>
  <si>
    <t>ΚΩΛΕΤΣΗΣ ΔΗΜΗΤΡΙΟΣ</t>
  </si>
  <si>
    <t>6945859412</t>
  </si>
  <si>
    <t>dimkol1992@gmail.com</t>
  </si>
  <si>
    <t>ΚΩΣΤΑΚΗΣ ΛΑΜΠΡΟΣ</t>
  </si>
  <si>
    <t>6944500845</t>
  </si>
  <si>
    <t>lambkostakis@gmail.com</t>
  </si>
  <si>
    <t>ΛΕΚΚΑΣ ΜΑΡΙΟΣ</t>
  </si>
  <si>
    <t>6949802689</t>
  </si>
  <si>
    <t>marios25lekkas@gmail.com</t>
  </si>
  <si>
    <t>ΠΑΠΑΒΑΣΙΛΗΣ ΒΑΣΙΛΕΙΟΣ</t>
  </si>
  <si>
    <t>6937334275</t>
  </si>
  <si>
    <t>vasiliosp24@hotmail.com</t>
  </si>
  <si>
    <t>ΠΑΥΛΗΣ ΙΩΑΝΝΗΣ</t>
  </si>
  <si>
    <t>6945897445</t>
  </si>
  <si>
    <t>giannispavlis66@gmail.com</t>
  </si>
  <si>
    <t>ΠΕΠΠΑ ΟΛΓΑ</t>
  </si>
  <si>
    <t>ΠΕ ΔΙΟΙΚ.-ΟΙΚΟΝ.</t>
  </si>
  <si>
    <t>olgapeppa1@gmail.com</t>
  </si>
  <si>
    <t>ΠΡΟΙΣΚΟΣ ΓΕΩΡΓΙΟΣ</t>
  </si>
  <si>
    <t>6937601117</t>
  </si>
  <si>
    <t>geoprisk@yahoo.gr</t>
  </si>
  <si>
    <t>ΡΑΛΛΗΣ ΓΕΩΡΓΙΟΣ</t>
  </si>
  <si>
    <t>6946808213</t>
  </si>
  <si>
    <t>rallisgr@gmail.com</t>
  </si>
  <si>
    <t>ΣΑΜΑΡΑ ΓΙΟΥΛΑ</t>
  </si>
  <si>
    <t>6972254244</t>
  </si>
  <si>
    <t>g.samara@yahoo.gr</t>
  </si>
  <si>
    <t>ΣΗΦΑΚΗΣ ΙΑΚΩΒΟΣ</t>
  </si>
  <si>
    <t>6944260006</t>
  </si>
  <si>
    <t>jacobsifakis@gmail.com</t>
  </si>
  <si>
    <t>ΣΟΡΟΚΑΚΗΣ ΧΡΙΣΤΟΔΟΥΛΟΣ</t>
  </si>
  <si>
    <t>6974472231</t>
  </si>
  <si>
    <t>xsorokakis@yahoo.gr</t>
  </si>
  <si>
    <t>ΤΣΙΡΟΥ ΘΕΟΦΑΝΗ</t>
  </si>
  <si>
    <t>6949282970</t>
  </si>
  <si>
    <t>fani.9421@gmail.com</t>
  </si>
  <si>
    <t>ΤΣΙΡΟΥ ΚΩΝΣΤΑΝΤΙΝΑ</t>
  </si>
  <si>
    <t>nadiatsr@yahoo.com</t>
  </si>
  <si>
    <t>ΤΣΟΛΗ ΕΛΕΝΗ</t>
  </si>
  <si>
    <t>6978022104</t>
  </si>
  <si>
    <t>maria5iliana8@gmail.com</t>
  </si>
  <si>
    <t>ΤΣΟΥΓΚΟΥ ΙΣΜΗΝΗ</t>
  </si>
  <si>
    <t>6940821569</t>
  </si>
  <si>
    <t>ismini.chougou@gmail.com</t>
  </si>
  <si>
    <t>ΧΑΝΟΥΜΗΣ ΔΗΜΗΤΡΙΟΣ</t>
  </si>
  <si>
    <t>6946014358</t>
  </si>
  <si>
    <t>chanoumis.21@gmail.com</t>
  </si>
  <si>
    <t>ΚΑΤΩΓΙΑΝΝΑΚΗ ΣΟΦΙΑ</t>
  </si>
  <si>
    <t>6978307239</t>
  </si>
  <si>
    <t>ΠΟΛΥΖΩΗ ΒΕΝΕΤΙΑ</t>
  </si>
  <si>
    <t>Γ.Δ.Α.Ε.Φ.Κ.  -  ΚΑΤΑΛΟΓΟΣ  ΜΗΧΑΝΙΚΩΝ</t>
  </si>
  <si>
    <t>αα</t>
  </si>
  <si>
    <t>Α.Μ.</t>
  </si>
  <si>
    <t>ΟΝΟΜΑΤΕΠΩΝΥΜΟ</t>
  </si>
  <si>
    <t>Μηχανικοί</t>
  </si>
  <si>
    <t>Α.Φ.Μ.</t>
  </si>
  <si>
    <t>Μηχανικός /Διοικητικός</t>
  </si>
  <si>
    <t>υπηρεσιακό Email</t>
  </si>
  <si>
    <t>προσωπικό Email</t>
  </si>
  <si>
    <t>14328</t>
  </si>
  <si>
    <t>ΑΝΑΓΝΩΣΤΟΥ ΜΑΡΙΑ ΙΩΑΝΝΑ - ΠΕ ΜΗΧ. ΟΙΚ. &amp; ΔΙΟΙΚ. (ΤΑΕΦΚ-ΑΑ)</t>
  </si>
  <si>
    <t>151036800</t>
  </si>
  <si>
    <t>managnostou@civilprotection.gr</t>
  </si>
  <si>
    <t>12426</t>
  </si>
  <si>
    <t>ΑΠΟΣΤΟΛΙΔΟΥ ΙΩΑΝΝΑ - ΠΕ ΠΟΛ. ΜΗΧ. (ΤΑΕΦΚ-ΑΑ)</t>
  </si>
  <si>
    <t>044407577</t>
  </si>
  <si>
    <t>6978300669</t>
  </si>
  <si>
    <t>iapostolidou@civilprotection.gr</t>
  </si>
  <si>
    <t>14229</t>
  </si>
  <si>
    <t>ΒΑΜΒΑΚΙΑΝΟΣ ΑΛΕΞΑΝΔΡΟΣ - ΠΕ ΠΟΛ. ΜΗΧ. (ΤΑΕΦΚ-ΑΑ)</t>
  </si>
  <si>
    <t>147180480</t>
  </si>
  <si>
    <t>avamvakianos@civilprotection.gr</t>
  </si>
  <si>
    <t>14224</t>
  </si>
  <si>
    <t>ΒΟΥΚΕΛΑΤΟΣ ΔΗΜΗΤΡΙΟΣ</t>
  </si>
  <si>
    <t>ΒΟΥΚΕΛΑΤΟΣ ΔΗΜΗΤΡΙΟΣ - ΠΕ ΜΗΧΑΝΙΚΩΝ (ΤΑΕΦΚ-ΑΑ)</t>
  </si>
  <si>
    <t>049749197</t>
  </si>
  <si>
    <t>6932544495</t>
  </si>
  <si>
    <t>dvoukelatos@civilprotection.gr</t>
  </si>
  <si>
    <t>12274</t>
  </si>
  <si>
    <t>ΓΑΒΡΙΛΙΑΔΗ ΑΦΡΟΔΙΤΗ - ΤΕ ΠΟΛ. ΜΗΧ. (ΤΑΕΦΚ-ΑΑ)</t>
  </si>
  <si>
    <t>076058054</t>
  </si>
  <si>
    <t>6947007553</t>
  </si>
  <si>
    <t>agavriliadi@civilprotection.gr</t>
  </si>
  <si>
    <t>14168</t>
  </si>
  <si>
    <t>ΓΕΩΡΓΟΠΟΥΛΟΥ ΜΑΡΙΑ - ΠΕ ΠΟΛ. ΜΗΧ. (ΤΑΕΦΚ-ΑΑ)</t>
  </si>
  <si>
    <t>073455287</t>
  </si>
  <si>
    <t>mgeorgopoulou@civilprotection.gr</t>
  </si>
  <si>
    <t>14250</t>
  </si>
  <si>
    <t>ΔΙΑΜΑΝΤΟΠΟΥΛΟΣ ΓΕΩΡΓΙΟΣ - ΠΕ ΑΡΧ. ΜΗΧ. (ΤΑΕΦΚ-ΑΑ)</t>
  </si>
  <si>
    <t>147171970</t>
  </si>
  <si>
    <t>gdiamantopoulos@civilprotection.gr</t>
  </si>
  <si>
    <t>14194</t>
  </si>
  <si>
    <t>ΚΟΚΚΙΝΟΣ ΗΛΙΑΣ - ΠΕ ΠΟΛ. ΜΗΧ. (ΤΑΕΦΚ-ΑΑ)</t>
  </si>
  <si>
    <t>142738116</t>
  </si>
  <si>
    <t>ikokkinos@civilprotection.gr</t>
  </si>
  <si>
    <t>14230</t>
  </si>
  <si>
    <t>ΚΟΥΡΗ ΝΙΚΟΛΕΤΑ - ΠΕ ΑΡΧ. ΜΗΧ. (ΤΑΕΦΚ-ΑΑ)</t>
  </si>
  <si>
    <t>124661936</t>
  </si>
  <si>
    <t>nkouri@civilprotection.gr</t>
  </si>
  <si>
    <t>14231</t>
  </si>
  <si>
    <t>ΛΕΝΑ ΔΕΣΠΟΙΝΑ - ΠΕ ΠΟΛ. ΜΗΧ. (ΤΑΕΦΚ-ΑΑ)</t>
  </si>
  <si>
    <t>137601500</t>
  </si>
  <si>
    <t>dlena@civilprotection.gr</t>
  </si>
  <si>
    <t>14169</t>
  </si>
  <si>
    <t>ΛΙΝΤΕΡΗΣ ΔΗΜΗΤΡΙΟΣ - ΠΕ ΠΟΛ. ΜΗΧ. (ΤΑΕΦΚ-ΑΑ)</t>
  </si>
  <si>
    <t>045943810</t>
  </si>
  <si>
    <t>dlinteris@civilprotection.gr</t>
  </si>
  <si>
    <t>14209</t>
  </si>
  <si>
    <t>ΜΑΚΡΗΣ ΑΥΓΟΥΣΤΙΝΟΣ - ΠΕ ΠΟΛ. ΜΗΧ. (ΤΑΕΦΚ-ΑΑ)</t>
  </si>
  <si>
    <t>078166374</t>
  </si>
  <si>
    <t>amakris@civilprotection.gr</t>
  </si>
  <si>
    <t>14195</t>
  </si>
  <si>
    <t>ΜΑΚΡΗΣ ΙΩΑΝΝΗΣ - ΠΕ ΑΡΧ. ΜΗΧ. (ΤΑΕΦΚ-ΑΑ)</t>
  </si>
  <si>
    <t>107955756</t>
  </si>
  <si>
    <t>imakris@civilprotection.gr</t>
  </si>
  <si>
    <t>14175</t>
  </si>
  <si>
    <t>ΜΠΙΡΜΠΙΛΗ ΑΝΔΡΙΑΝΝΑ - ΤΕ ΜΗΧΑΝΙΚΩΝ (ΤΑΕΦΚ-ΑΑ)</t>
  </si>
  <si>
    <t>150000171</t>
  </si>
  <si>
    <t>ampirmpili@civilprotection.gr</t>
  </si>
  <si>
    <t>14235</t>
  </si>
  <si>
    <t>ΜΠΟΥΣΜΠΟΥΡΕΛΗ ΠΕΤΡΟΥΛΑ - ΠΕ ΑΡΧ. ΜΗΧ. (ΤΑΕΦΚ-ΑΑ)</t>
  </si>
  <si>
    <t>106578893</t>
  </si>
  <si>
    <t>pmpousmpoureli@civilprotection.gr</t>
  </si>
  <si>
    <t>14233</t>
  </si>
  <si>
    <t>ΜΠΟΥΣΟΥΝΗΣ ΙΩΑΝΝΗΣ - ΠΕ ΜΗΧ. ΜΗΧ. (ΤΑΕΦΚ-ΑΑ)</t>
  </si>
  <si>
    <t>114064083</t>
  </si>
  <si>
    <t>impousounis@civilprotection.gr</t>
  </si>
  <si>
    <t>14232</t>
  </si>
  <si>
    <t>ΜΠΡΩΝΗΣ ΣΩΤΗΡΙΟΣ - ΠΕ ΜΗΧΑΝΙΚΩΝ (ΤΑΕΦΚ-ΑΑ)</t>
  </si>
  <si>
    <t>050373598</t>
  </si>
  <si>
    <t>smpronis@civilprotection.gr</t>
  </si>
  <si>
    <t>14404</t>
  </si>
  <si>
    <t>ΝΙΚΟΥ ΧΡΗΣΤΟΣ - ΠΕ ΠΟΛ. ΜΗΧ. (ΤΑΕΦΚ-ΑΑ)</t>
  </si>
  <si>
    <t>104953315</t>
  </si>
  <si>
    <t>chnikou@civilprotection.gr</t>
  </si>
  <si>
    <t>14388</t>
  </si>
  <si>
    <t>ΠΑΤΕΡΑΚΗΣ ΣΤΥΛΙΑΝΟΣ - ΤΕ ΜΗΧΑΝΙΚΩΝ (ΤΑΕΦΚ-ΑΑ)</t>
  </si>
  <si>
    <t>070646283</t>
  </si>
  <si>
    <t>spaterakis@civilprotection.gr</t>
  </si>
  <si>
    <t>14165</t>
  </si>
  <si>
    <t>ΠΟΛΙΤΗ ΑΦΡΟΔΙΤΗ - ΠΕ ΑΡΧ. ΜΗΧ. (ΤΑΕΦΚ-ΑΑ)</t>
  </si>
  <si>
    <t>135372855</t>
  </si>
  <si>
    <t>apoliti@civilprotection.gr</t>
  </si>
  <si>
    <t>14420</t>
  </si>
  <si>
    <t>ΣΤΑΥΡΙΑΝΑΚΗΣ ΠΑΝΑΓΙΩΤΗΣ - ΠΕ ΜΗΧ. ΜΗΧ. (ΤΑΕΦΚ-ΑΑ)</t>
  </si>
  <si>
    <t>149753743</t>
  </si>
  <si>
    <t>pstavrianakis@civilprotection.gr</t>
  </si>
  <si>
    <t>14196</t>
  </si>
  <si>
    <t>ΤΣΕΡΜΟΥ ΜΑΡΙΑ - ΠΕ ΤΟΠ. ΜΗΧ. (ΤΑΕΦΚ-ΑΑ)</t>
  </si>
  <si>
    <t>150524218</t>
  </si>
  <si>
    <t>mtsermou@civilprotection.gr</t>
  </si>
  <si>
    <t>14199</t>
  </si>
  <si>
    <t>ΧΟΝΤΑΣ ΠΑΝΑΓΙΩΤΗΣ - ΠΕ ΠΟΛ. ΜΗΧ. (ΤΑΕΦΚ-ΑΑ)</t>
  </si>
  <si>
    <t>044593505</t>
  </si>
  <si>
    <t>pchontas@civilprotection.gr</t>
  </si>
  <si>
    <t>13665</t>
  </si>
  <si>
    <t>ΑΝΑΓΝΩΣΤΟΥ ΑΛΕΞΑΝΔΡΟΣ - ΠΕ ΗΛ. ΜΗΧ. (ΔΑΕΦΚ-ΒΕ)</t>
  </si>
  <si>
    <t>072492691</t>
  </si>
  <si>
    <t>aanagnostou@civilprotection.gr</t>
  </si>
  <si>
    <t>14440</t>
  </si>
  <si>
    <t>ΒΟΓΙΑΤΖΗΣ ΒΑΣΙΛΕΙΟΣ - ΠΕ ΜΗΧ. ΠΑΡ. (ΔΑΕΦΚ-ΒΕ)</t>
  </si>
  <si>
    <t>116711711</t>
  </si>
  <si>
    <t>vvogiatzis@civilprotection.gr</t>
  </si>
  <si>
    <t>14464</t>
  </si>
  <si>
    <t>ΓΙΑΝΝΟΥΛΗ ΒΙΚΤΩΡΙΑ - ΠΕ ΠΟΛ. ΜΗΧ. (ΔΑΕΦΚ-ΒΕ)</t>
  </si>
  <si>
    <t>159530499</t>
  </si>
  <si>
    <t>vgiannouli@civilprotection.gr</t>
  </si>
  <si>
    <t>20109</t>
  </si>
  <si>
    <t>ΓΚΑΦΑΡΙΔΟΥ ΜΑΡΙΑ - ΠΕ ΤΟΠ. ΜΗΧ. (ΔΑΕΦΚ-ΒΕ)</t>
  </si>
  <si>
    <t>046016408</t>
  </si>
  <si>
    <t>mgkafaridou@civilprotection.gr</t>
  </si>
  <si>
    <t>14446</t>
  </si>
  <si>
    <t>ΓΚΟΥΝΤΑΚΟΣ ΓΕΩΡΓΙΟΣ - ΠΕ ΠΟΛ. ΜΗΧ. (ΔΑΕΦΚ-ΒΕ)</t>
  </si>
  <si>
    <t>133884226</t>
  </si>
  <si>
    <t>ggkountakos@civilprotection.gr</t>
  </si>
  <si>
    <t>20117</t>
  </si>
  <si>
    <t>ΓΚΟΥΝΤΡΟΜΙΧΟΣ ΙΩΑΝΝΗΣ - ΠΕ ΠΟΛ. ΜΗΧ. (ΔΑΕΦΚ-ΒΕ)</t>
  </si>
  <si>
    <t>043451241</t>
  </si>
  <si>
    <t>igkountromichos@civilprotection.gr</t>
  </si>
  <si>
    <t>14445</t>
  </si>
  <si>
    <t>ΓΟΥΛΙΑΣ ΓΕΩΡΓΙΟΣ - ΠΕ ΠΟΛ. ΜΗΧ. (ΔΑΕΦΚ-ΒΕ)</t>
  </si>
  <si>
    <t>050626176</t>
  </si>
  <si>
    <t>ggoulias@civilprotection.gr</t>
  </si>
  <si>
    <t>20125</t>
  </si>
  <si>
    <t>ΔΑΛΑΡΗΣ ΑΝΑΡΓΥΡΟΣ - ΠΕ ΠΟΛ. ΜΗΧ. (ΔΑΕΦΚ-ΒΕ)</t>
  </si>
  <si>
    <t>046190331</t>
  </si>
  <si>
    <t>adalaris@civilprotection.gr</t>
  </si>
  <si>
    <t>20126</t>
  </si>
  <si>
    <t>ΔΑΜΙΑΝΙΔΟΥ ΕΥΘΥΜΙΑ - ΠΕ ΑΡΧ. ΜΗΧ. (ΔΑΕΦΚ-ΒΕ)</t>
  </si>
  <si>
    <t>061715455</t>
  </si>
  <si>
    <t>edamianidou@civilprotection.gr</t>
  </si>
  <si>
    <t>14454</t>
  </si>
  <si>
    <t>ΔΑΣΚΑΛΗ ΒΑΣΙΛΙΚΗ - ΠΕ ΠΟΛ. ΜΗΧ. (ΔΑΕΦΚ-ΒΕ)</t>
  </si>
  <si>
    <t>148445171</t>
  </si>
  <si>
    <t>vdaskali@civilprotection.gr</t>
  </si>
  <si>
    <t>20136</t>
  </si>
  <si>
    <t>ΔΗΜΗΤΡΙΑΔΟΥ ΣΟΝΙΑ - ΠΕ ΤΟΠ. ΜΗΧ. (ΔΑΕΦΚ-ΒΕ)</t>
  </si>
  <si>
    <t>045260468</t>
  </si>
  <si>
    <t>sdimitriadou@civilprotection.gr</t>
  </si>
  <si>
    <t>14465</t>
  </si>
  <si>
    <t>ΔΗΜΟΣΘΕΝΗΣ ΒΛΑΣΙΟΣ - ΠΕ ΠΟΛ. ΜΗΧ. (ΔΑΕΦΚ-ΒΕ)</t>
  </si>
  <si>
    <t>122038643</t>
  </si>
  <si>
    <t>vdimosthenis@civilprotection.gr</t>
  </si>
  <si>
    <t>14139</t>
  </si>
  <si>
    <t>ΖΩΗ ΣΟΦΙΑ - ΠΕ ΜΗΧ. ΜΗΧ. (ΔΑΕΦΚ-ΒΕ)</t>
  </si>
  <si>
    <t>300789538</t>
  </si>
  <si>
    <t>szoi@civilprotection.gr</t>
  </si>
  <si>
    <t>14314</t>
  </si>
  <si>
    <t>ΚΑΖΑΝΤΖΙΔΟΥ ΖΩΗ - ΠΕ ΠΟΛ. ΜΗΧ. (ΔΑΕΦΚ-ΒΕ)</t>
  </si>
  <si>
    <t>133536489</t>
  </si>
  <si>
    <t>zkazantzidou@civilprotection.gr</t>
  </si>
  <si>
    <t>14315</t>
  </si>
  <si>
    <t>ΚΑΡΑΚΩΣΤΑ ΟΛΓΑ - ΠΕ ΠΟΛ. ΜΗΧ. (ΔΑΕΦΚ-ΒΕ)</t>
  </si>
  <si>
    <t>137334883</t>
  </si>
  <si>
    <t>okarakosta@civilprotection.gr</t>
  </si>
  <si>
    <t>20250</t>
  </si>
  <si>
    <t>ΚΑΡΥΔΑ ΑΓΑΠΗ - ΠΕ ΤΟΠ. ΜΗΧ. (ΔΑΕΦΚ-ΒΕ)</t>
  </si>
  <si>
    <t>079159565</t>
  </si>
  <si>
    <t>akaryda@civilprotection.gr</t>
  </si>
  <si>
    <t>14453</t>
  </si>
  <si>
    <t>ΚΟΚΚΙΝΙΔΟΥ ΠΕΛΑΓΙΑ - ΠΕ ΠΟΛ. ΜΗΧ. (ΔΑΕΦΚ-ΒΕ)</t>
  </si>
  <si>
    <t>129176679</t>
  </si>
  <si>
    <t>pkokkinidou@civilprotection.gr</t>
  </si>
  <si>
    <t>14316</t>
  </si>
  <si>
    <t>ΚΟΡΩΝΙΔΗΣ ΠΑΝΑΓΙΩΤΗΣ - ΠΕ ΜΗΧ. ΠΕΡΙΒΑΛ. (ΔΑΕΦΚ-ΒΕ)</t>
  </si>
  <si>
    <t>100346905</t>
  </si>
  <si>
    <t>pkoronidis@civilprotection.gr</t>
  </si>
  <si>
    <t>14366</t>
  </si>
  <si>
    <t>ΜΑΝΩΛΗΣ ΑΝΤΩΝΗΣ - ΠΕ ΤΟΠ. ΜΗΧ. (ΔΑΕΦΚ-ΒΕ)</t>
  </si>
  <si>
    <t>128254258</t>
  </si>
  <si>
    <t>amanolis@civilprotection.gr</t>
  </si>
  <si>
    <t>14449</t>
  </si>
  <si>
    <t>ΜΑΤΘΑΙΟΥ ΓΕΩΡΓΙΟΣ - ΤΕ ΓΕΩΠΛΗΡ. (ΔΑΕΦΚ-ΒΕ)</t>
  </si>
  <si>
    <t>136326271</t>
  </si>
  <si>
    <t>gmatthaiou@civilprotection.gr</t>
  </si>
  <si>
    <t>14308</t>
  </si>
  <si>
    <t>ΜΙΣΑΗΛΙΔΟΥ ΔΕΣΠΟΙΝΑ - ΤΕ ΜΗΧΑΝΙΚΩΝ (ΔΑΕΦΚ-ΒΕ)</t>
  </si>
  <si>
    <t>133510093</t>
  </si>
  <si>
    <t>dmisailidou@civilprotection.gr</t>
  </si>
  <si>
    <t>900345</t>
  </si>
  <si>
    <t>ΜΠΑΚΑ ΜΑΡΙΑ - ΠΕ ΤΟΠ. ΜΗΧ. (ΔΑΕΦΚ-ΒΕ)</t>
  </si>
  <si>
    <t>101278023</t>
  </si>
  <si>
    <t>mbaka@civilprotection.gr</t>
  </si>
  <si>
    <t>14458</t>
  </si>
  <si>
    <t>ΜΠΙΣΜΠΑ ΑΦΡΟΔΙΤΗ - ΠΕ ΠΟΛ. ΜΗΧ. (ΔΑΕΦΚ-ΒΕ)</t>
  </si>
  <si>
    <t>146603145</t>
  </si>
  <si>
    <t>abismpa@civilprotection.gr</t>
  </si>
  <si>
    <t>14309</t>
  </si>
  <si>
    <t>ΠΑΙΔΑΡΑΚΗ ΓΡΑΜΜΑΤΟΥΛΑ - ΤΕ ΜΗΧΑΝΙΚΩΝ (ΔΑΕΦΚ-ΒΕ)</t>
  </si>
  <si>
    <t>044549346</t>
  </si>
  <si>
    <t>gpaidaraki@civilprotection.gr</t>
  </si>
  <si>
    <t>14457</t>
  </si>
  <si>
    <t>ΠΑΛΑΙΟΧΩΡΙΝΟΥ ΑΝΑΣΤΑΣΙΑ - ΠΕ ΠΟΛ. ΜΗΧ. (ΔΑΕΦΚ-ΒΕ)</t>
  </si>
  <si>
    <t>140806110</t>
  </si>
  <si>
    <t>apalaiochorinou@civilprotection.gr</t>
  </si>
  <si>
    <t>14370</t>
  </si>
  <si>
    <t>ΠΑΠΑΒΑΣΙΛΕΙΟΥ ΟΛΓΑ - ΠΕ ΠΟΛ. ΜΗΧ. (ΔΑΕΦΚ-ΒΕ)</t>
  </si>
  <si>
    <t>047083130</t>
  </si>
  <si>
    <t>opapavasileiou@civilprotection.gr</t>
  </si>
  <si>
    <t>14368</t>
  </si>
  <si>
    <t>ΠΑΠΑΔΟΠΟΥΛΟΣ ΚΛΗΜΗΣ - ΠΕ ΠΟΛ. ΜΗΧ. (ΔΑΕΦΚ-ΒΕ)</t>
  </si>
  <si>
    <t>036193915</t>
  </si>
  <si>
    <t>kpapadopoulos@civilprotection.gr</t>
  </si>
  <si>
    <t>14310</t>
  </si>
  <si>
    <t>ΠΕΤΑΛΩΤΗΣ ΔΗΜΗΤΡΙΟΣ - ΤΕ ΜΗΧΑΝΙΚΩΝ (ΔΑΕΦΚ-ΒΕ)</t>
  </si>
  <si>
    <t>113799262</t>
  </si>
  <si>
    <t>dpetalotis@civilprotection.gr</t>
  </si>
  <si>
    <t>7489</t>
  </si>
  <si>
    <t>ΠΕΧΛΙΒΑΝΟΥ ΑΙΚΑΤΕΡΙΝΗ - ΠΕ ΠΟΛ. ΜΗΧ. (ΔΑΕΦΚ-ΒΕ)</t>
  </si>
  <si>
    <t>049001369</t>
  </si>
  <si>
    <t>kpechlivanou@civilprotection.gr</t>
  </si>
  <si>
    <t>14451</t>
  </si>
  <si>
    <t>ΣΑΚΚΑΣ ΑΘΑΝΑΣΙΟΣ - ΠΕ ΠΟΛ. ΜΗΧ. (ΔΑΕΦΚ-ΒΕ)</t>
  </si>
  <si>
    <t>100908248</t>
  </si>
  <si>
    <t>asakkas@civilprotection.gr</t>
  </si>
  <si>
    <t>20679</t>
  </si>
  <si>
    <t>ΤΖΗΚΑΣ ΑΡΙΣΤΕΙΔΗΣ - ΠΕ ΠΟΛ. ΜΗΧ. (ΔΑΕΦΚ-ΒΕ)</t>
  </si>
  <si>
    <t>074576415</t>
  </si>
  <si>
    <t>atzikas@civilprotection.gr</t>
  </si>
  <si>
    <t>57564</t>
  </si>
  <si>
    <t>ΤΖΙΩΡΑΣ ΔΗΜΗΤΡΙΟΣ - ΠΕ ΠΟΛ. ΜΗΧ. (ΔΑΕΦΚ-ΒΕ)</t>
  </si>
  <si>
    <t>100176790</t>
  </si>
  <si>
    <t>dtzioras@civilprotection.gr</t>
  </si>
  <si>
    <t>14456</t>
  </si>
  <si>
    <t>ΤΡΙΚΚΑΛΙΩΤΗ ΣΟΥΛΤΑΝΑ ΑΝΝΑ - ΠΕ ΜΗΧ. ΧΩΡ. (ΔΑΕΦΚ-ΒΕ)</t>
  </si>
  <si>
    <t>135744970</t>
  </si>
  <si>
    <t>satrikkalioti@civilprotection.gr</t>
  </si>
  <si>
    <t>14452</t>
  </si>
  <si>
    <t>ΤΣΙΓΚΙΡΛΙΩΤΗΣ ΝΙΚΟΛΑΟΣ - ΤΕ ΜΗΧΑΝΙΚΩΝ (ΔΑΕΦΚ-ΒΕ)</t>
  </si>
  <si>
    <t>100857987</t>
  </si>
  <si>
    <t>ntsigkirliotis@civilprotection.gr</t>
  </si>
  <si>
    <t>13586</t>
  </si>
  <si>
    <t>ΧΑΡΑΛΑΜΠΙΔΟΥ ΕΛΕΝΗ - ΠΕ ΠΟΛ. ΜΗΧ. (ΔΑΕΦΚ-ΒΕ)</t>
  </si>
  <si>
    <t>076093277</t>
  </si>
  <si>
    <t>echaralampidou@civilprotection.gr</t>
  </si>
  <si>
    <t>14455</t>
  </si>
  <si>
    <t>ΧΙΝΤΕΡΙΔΗΣ ΗΛΙΑΣ ΡΑΦΑΗΛ - ΤΕ ΜΗΧΑΝΙΚΩΝ (ΔΑΕΦΚ-ΒΕ)</t>
  </si>
  <si>
    <t>159900233</t>
  </si>
  <si>
    <t>erchinteridis@civilprotection.gr</t>
  </si>
  <si>
    <t>14221</t>
  </si>
  <si>
    <t>ΑΓΓΕΛΗ ΚΩΝΣΤΑΝΤΙΝΑ - ΠΕ ΠΟΛ. ΜΗΧ. (ΓΔΑΕΦΚ)</t>
  </si>
  <si>
    <t>133376940</t>
  </si>
  <si>
    <t>kangeli@civilprotection.gr</t>
  </si>
  <si>
    <t>20138</t>
  </si>
  <si>
    <t>ΔΗΜΟΠΟΥΛΟΥ ΕΥΓΕΝΙΑ - ΠΕ ΠΟΛ. ΜΗΧ. (ΓΔΑΕΦΚ)</t>
  </si>
  <si>
    <t>055571659</t>
  </si>
  <si>
    <t>edimopoulou@civilprotection.gr</t>
  </si>
  <si>
    <t>14261</t>
  </si>
  <si>
    <t>ΖΩΓΡΑΦΟΥ ΔΑΝΑΗ</t>
  </si>
  <si>
    <t>ΖΩΓΡΑΦΟΥ ΔΑΝΑΗ - ΠΕ ΧΗΜΙΚΩΝ (ΓΔΑΕΦΚ)</t>
  </si>
  <si>
    <t>157660329</t>
  </si>
  <si>
    <t>6975951805</t>
  </si>
  <si>
    <t>ΠΕ ΧΗΜΙΚΩΝ</t>
  </si>
  <si>
    <t>dzografou@civilprotection.gr</t>
  </si>
  <si>
    <t>danaizografou@hotmail.com</t>
  </si>
  <si>
    <t>14190</t>
  </si>
  <si>
    <t>ΚΑΚΑΒΑ ΠΑΝΑΓΙΩΤΑ - ΤΕ ΜΗΧΑΝΙΚΩΝ (ΓΔΑΕΦΚ)</t>
  </si>
  <si>
    <t>161507577</t>
  </si>
  <si>
    <t>pkakava@civilprotection.gr</t>
  </si>
  <si>
    <t>51455</t>
  </si>
  <si>
    <t>ΚΑΚΑΒΟΥΛΗ ΣΤΑΥΡΟΥΛΑ - ΠΕ ΠΟΛ. ΜΗΧ. (ΓΔΑΕΦΚ)</t>
  </si>
  <si>
    <t>031101680</t>
  </si>
  <si>
    <t>skakavouli@civilprotection.gr</t>
  </si>
  <si>
    <t>13559</t>
  </si>
  <si>
    <t>ΚΑΛΥΒΑ ΕΥΣΤΑΘΙΑ - ΠΕ ΠΟΛ. ΜΗΧ. (ΓΔΑΕΦΚ)</t>
  </si>
  <si>
    <t>070241869</t>
  </si>
  <si>
    <t>ekalyva@civilprotection.gr</t>
  </si>
  <si>
    <t>5189</t>
  </si>
  <si>
    <t>ΚΛΕΑΝΘΗ ΜΑΡΙΑ - ΠΕ ΠΟΛ. ΜΗΧ. (ΓΔΑΕΦΚ)</t>
  </si>
  <si>
    <t>075280860</t>
  </si>
  <si>
    <t>mkleanthi@civilprotection.gr</t>
  </si>
  <si>
    <t>14267</t>
  </si>
  <si>
    <t>ΜΕΡΕΝΤΙΤΗΣ ΑΛΕΞΑΝΔΡΟΣ</t>
  </si>
  <si>
    <t>ΜΕΡΕΝΤΙΤΗΣ ΑΛΕΞΑΝΔΡΟΣ - ΤΕ ΜΗΧΑΝΙΚΩΝ (ΓΔΑΕΦΚ)</t>
  </si>
  <si>
    <t>150500534</t>
  </si>
  <si>
    <t>6942672033</t>
  </si>
  <si>
    <t>amerentitis@civilprotection.gr</t>
  </si>
  <si>
    <t>almerent@gmail.com</t>
  </si>
  <si>
    <t>14269</t>
  </si>
  <si>
    <t>ΜΩΡΑΙΤΗΣ ΑΘΑΝΑΣΙΟΣ</t>
  </si>
  <si>
    <t>ΜΩΡΑΙΤΗΣ ΑΘΑΝΑΣΙΟΣ - ΤΕ ΜΗΧΑΝΙΚΩΝ (ΓΔΑΕΦΚ)</t>
  </si>
  <si>
    <t>036732675</t>
  </si>
  <si>
    <t>6982774779</t>
  </si>
  <si>
    <t>amoraitis@civilprotection.gr</t>
  </si>
  <si>
    <t>nmoraitis@rocketmail.com</t>
  </si>
  <si>
    <t>14288</t>
  </si>
  <si>
    <t>ΠΑΓΙΑΛΑΚΗΣ ΜΙΧΑΗΛ - ΠΕ ΜΗΧΑΝΙΚΩΝ (ΓΔΑΕΦΚ)</t>
  </si>
  <si>
    <t>137467329</t>
  </si>
  <si>
    <t>mpagialakis@civilprotection.gr</t>
  </si>
  <si>
    <t>14273</t>
  </si>
  <si>
    <t>ΡΗΓΑΣ ΔΗΜΗΤΡΙΟΣ</t>
  </si>
  <si>
    <t>ΡΗΓΑΣ ΔΗΜΗΤΡΙΟΣ - ΠΕ ΜΗΧΑΝΙΚΩΝ (ΓΔΑΕΦΚ)</t>
  </si>
  <si>
    <t>160083373</t>
  </si>
  <si>
    <t>6978813130</t>
  </si>
  <si>
    <t>drigas@civilprotection.gr</t>
  </si>
  <si>
    <t>dimrig23@hotmail.com</t>
  </si>
  <si>
    <t>14341</t>
  </si>
  <si>
    <t>ΣΑΣΣΑΛΟΥ ΜΑΡΙΑ - ΠΕ ΜΗΧΑΝΙΚΩΝ (ΓΔΑΕΦΚ)</t>
  </si>
  <si>
    <t>165200872</t>
  </si>
  <si>
    <t>msassalou@civilprotection.gr</t>
  </si>
  <si>
    <t>12436</t>
  </si>
  <si>
    <t>ΤΣΟΥΦΛΙΔΟΥ ΘΕΟΦΑΝΗ - ΠΕ ΠΟΛ. ΜΗΧ. (ΓΔΑΕΦΚ)</t>
  </si>
  <si>
    <t>047631821</t>
  </si>
  <si>
    <t>thtsouflidou@civilprotection.gr</t>
  </si>
  <si>
    <t>ΓΔΑΕΦΚ_ΑΡ</t>
  </si>
  <si>
    <t>14260</t>
  </si>
  <si>
    <t>ΜΑΖΑΡΗ ΜΑΡΙΑ</t>
  </si>
  <si>
    <t>ΜΑΖΑΡΗ ΜΑΡΙΑ - ΠΕ ΧΗΜΙΚΩΝ (ΓΔΑΕΦΚ ΑΡΩΓΗ)</t>
  </si>
  <si>
    <t>131413838</t>
  </si>
  <si>
    <t>6932295507</t>
  </si>
  <si>
    <t>mmazari@civilprotection.gr</t>
  </si>
  <si>
    <t>mazarimaria@yahoo.gr</t>
  </si>
  <si>
    <t>14271</t>
  </si>
  <si>
    <t>ΠΑΠΑΝΙΚΑΣ ΚΩΝΣΤΑΝΤΙΝΟΣ</t>
  </si>
  <si>
    <t>ΠΑΠΑΝΙΚΑΣ ΚΩΝΣΤΑΝΤΙΝΟΣ - ΤΕ ΜΗΧΑΝΙΚΩΝ (ΓΔΑΕΦΚ)</t>
  </si>
  <si>
    <t>121638675</t>
  </si>
  <si>
    <t>6979002714</t>
  </si>
  <si>
    <t>kpapanikas@civilprotection.gr</t>
  </si>
  <si>
    <t>kpapanikas@gmail.com</t>
  </si>
  <si>
    <t>ΓΔΑΕΦΚ_ΟΙΚ</t>
  </si>
  <si>
    <t>14270</t>
  </si>
  <si>
    <t>ΠΑΛΙΟΥΡΑΣ ΚΩΝΣΤΑΝΤΙΝΟΣ</t>
  </si>
  <si>
    <t>ΠΑΛΙΟΥΡΑΣ ΚΩΝΣΤΑΝΤΙΝΟΣ - ΤΕ ΜΗΧΑΝΙΚΩΝ (ΓΔΑΕΦΚ)</t>
  </si>
  <si>
    <t>140305898</t>
  </si>
  <si>
    <t>6976905927</t>
  </si>
  <si>
    <t>kpaliouras@civilprotection.gr</t>
  </si>
  <si>
    <t>k.paliouras@yme.gov.gr kwstaspal1986@gmail.com</t>
  </si>
  <si>
    <t>14222</t>
  </si>
  <si>
    <t>ΑΘΑΝΑΣΙΟΥ ΠΑΝΑΓΙΩΤΗΣ - ΠΕ ΠΟΛ. ΜΗΧ. (ΤΑΕΦΚ-ΔΑ)</t>
  </si>
  <si>
    <t>131513284</t>
  </si>
  <si>
    <t>pathanasiou@civilprotection.gr</t>
  </si>
  <si>
    <t>14173</t>
  </si>
  <si>
    <t>ΑΤΑΜΕΓΚΟΣ ΓΡΗΓΟΡΙΟΣ - ΤΕ ΜΗΧΑΝΙΚΩΝ (ΤΑΕΦΚ-ΔΑ)</t>
  </si>
  <si>
    <t>055342795</t>
  </si>
  <si>
    <t>gatamegkos@civilprotection.gr</t>
  </si>
  <si>
    <t>14167</t>
  </si>
  <si>
    <t>ΑΦΡΙΚΑΝΟΣ ΑΛΕΞΗΣ - ΠΕ ΠΟΛ. ΜΗΧ. (ΤΑΕΦΚ-ΔΑ)</t>
  </si>
  <si>
    <t>164096464</t>
  </si>
  <si>
    <t>aafrikanos@civilprotection.gr</t>
  </si>
  <si>
    <t>14223</t>
  </si>
  <si>
    <t>ΒΑΣΙΛΑΚΟΠΟΥΛΟΣ ΑΘΑΝΑΣΙΟΣ - ΠΕ ΠΟΛ. ΜΗΧ. (ΤΑΕΦΚ-ΔΑ)</t>
  </si>
  <si>
    <t>049432631</t>
  </si>
  <si>
    <t>avasilakopoulos@civilprotection.gr</t>
  </si>
  <si>
    <t>14220</t>
  </si>
  <si>
    <t>ΒΕΝΕΤΣΑΝΟΣ ΕΠΑΜΕΙΝΩΝΔΑΣ - ΠΕ ΑΡΧ. ΜΗΧ. (ΤΑΕΦΚ-ΔΑ)</t>
  </si>
  <si>
    <t>106986170</t>
  </si>
  <si>
    <t>evenetsanos@civilprotection.gr</t>
  </si>
  <si>
    <t>14218</t>
  </si>
  <si>
    <t>ΘΕΛΕΡΙΤΗΣ ΗΛΙΑΣ - ΠΕ ΠΟΛ. ΜΗΧ. (ΤΑΕΦΚ-ΔΑ)</t>
  </si>
  <si>
    <t>079698002</t>
  </si>
  <si>
    <t>itheleritis@civilprotection.gr</t>
  </si>
  <si>
    <t>14161</t>
  </si>
  <si>
    <t>ΚΑΡΑΚΩΣΤΑΣ ΠΑΝΑΓΙΩΤΗΣ - ΠΕ ΑΡΧ. ΜΗΧ. (ΤΑΕΦΚ-ΔΑ)</t>
  </si>
  <si>
    <t>025345240</t>
  </si>
  <si>
    <t>pkarakostas@civilprotection.gr</t>
  </si>
  <si>
    <t>14219</t>
  </si>
  <si>
    <t>ΚΩΣΤΑΚΗΣ ΛΑΜΠΡΟΣ - ΠΕ ΠΟΛ. ΜΗΧ. (ΤΑΕΦΚ-ΔΑ)</t>
  </si>
  <si>
    <t>046648412</t>
  </si>
  <si>
    <t>lkostakis@civilprotection.gr</t>
  </si>
  <si>
    <t>14216</t>
  </si>
  <si>
    <t>ΛΕΚΚΑΣ ΜΑΡΙΟΣ - ΠΕ ΠΟΛ. ΜΗΧ. (ΤΑΕΦΚ-ΔΑ)</t>
  </si>
  <si>
    <t>145380691</t>
  </si>
  <si>
    <t>mlekkas@civilprotection.gr</t>
  </si>
  <si>
    <t>14171</t>
  </si>
  <si>
    <t>ΠΑΠΑΒΑΣΙΛΗΣ ΒΑΣΙΛΕΙΟΣ - ΠΕ ΠΟΛ. ΜΗΧ. (ΤΑΕΦΚ-ΔΑ)</t>
  </si>
  <si>
    <t>049284410</t>
  </si>
  <si>
    <t>vpapavasilis@civilprotection.gr</t>
  </si>
  <si>
    <t>20561</t>
  </si>
  <si>
    <t>ΠΑΥΛΗΣ ΙΩΑΝΝΗΣ - ΠΕ ΠΟΛ. ΜΗΧ. (ΤΑΕΦΚ-ΔΑ)</t>
  </si>
  <si>
    <t>045724753</t>
  </si>
  <si>
    <t>ipavlis@civilprotection.gr</t>
  </si>
  <si>
    <t>14207</t>
  </si>
  <si>
    <t>ΠΡΟΙΣΚΟΣ ΓΕΩΡΓΙΟΣ - ΤΕ ΜΗΧΑΝΙΚΩΝ (ΤΑΕΦΚ-ΔΑ)</t>
  </si>
  <si>
    <t>065925738</t>
  </si>
  <si>
    <t>gproiskos@civilprotection.gr</t>
  </si>
  <si>
    <t>14413</t>
  </si>
  <si>
    <t>ΡΑΛΛΗΣ ΓΕΩΡΓΙΟΣ - ΠΕ ΠΟΛ. ΜΗΧ. (ΤΑΕΦΚ-ΔΑ)</t>
  </si>
  <si>
    <t>132692058</t>
  </si>
  <si>
    <t>grallis@civilprotection.gr</t>
  </si>
  <si>
    <t>14189</t>
  </si>
  <si>
    <t>ΣΑΜΑΡΑ ΓΙΟΥΛΑ - ΠΕ ΑΡΧ. ΜΗΧ. (ΤΑΕΦΚ-ΔΑ)</t>
  </si>
  <si>
    <t>045290319</t>
  </si>
  <si>
    <t>gsamara@civilprotection.gr</t>
  </si>
  <si>
    <t>14217</t>
  </si>
  <si>
    <t>ΣΗΦΑΚΗΣ ΙΑΚΩΒΟΣ - ΠΕ ΠΟΛ. ΜΗΧ. (ΤΑΕΦΚ-ΔΑ)</t>
  </si>
  <si>
    <t>059322333</t>
  </si>
  <si>
    <t>isifakis@civilprotection.gr</t>
  </si>
  <si>
    <t>14214</t>
  </si>
  <si>
    <t>ΣΟΡΟΚΑΚΗΣ ΧΡΙΣΤΟΔΟΥΛΟΣ - ΠΕ ΠΟΛ. ΜΗΧ. (ΤΑΕΦΚ-ΔΑ)</t>
  </si>
  <si>
    <t>051757069</t>
  </si>
  <si>
    <t>chsorokakis@civilprotection.gr</t>
  </si>
  <si>
    <t>14238</t>
  </si>
  <si>
    <t>ΤΖΑΡΙΑ ΜΑΡΙΑ-ΑΝΝΑ</t>
  </si>
  <si>
    <t>ΤΖΑΡΙΑ ΜΑΡΙΑ-ΑΝΝΑ - ΠΕ ΜΗΧΑΝΙΚΩΝ (ΤΑΕΦΚ-ΔΑ)</t>
  </si>
  <si>
    <t>135093528</t>
  </si>
  <si>
    <t>6949204455</t>
  </si>
  <si>
    <t>m.tzaria@gmail.com</t>
  </si>
  <si>
    <t>14228</t>
  </si>
  <si>
    <t>ΤΣΟΛΗ ΕΛΕΝΗ - ΤΕ ΜΗΧΑΝΙΚΩΝ (ΤΑΕΦΚ-ΔΑ)</t>
  </si>
  <si>
    <t>053995670</t>
  </si>
  <si>
    <t>etsoli@civilprotection.gr</t>
  </si>
  <si>
    <t>14377</t>
  </si>
  <si>
    <t>ΤΣΟΥΓΚΟΥ ΙΣΜΗΝΗ - ΠΕ ΠΟΛ. ΜΗΧ. (ΤΑΕΦΚ-ΔΑ)</t>
  </si>
  <si>
    <t>043576500</t>
  </si>
  <si>
    <t>itsougkou@civilprotection.gr</t>
  </si>
  <si>
    <t>14177</t>
  </si>
  <si>
    <t>ΧΑΝΟΥΜΗΣ ΔΗΜΗΤΡΙΟΣ - ΤΕ ΜΗΧΑΝΙΚΩΝ (ΤΑΕΦΚ-ΔΑ)</t>
  </si>
  <si>
    <t>158034076</t>
  </si>
  <si>
    <t>dchanoumis@civilprotection.gr</t>
  </si>
  <si>
    <t>14477</t>
  </si>
  <si>
    <t>ΒΑΓΕΝΑΣ ΑΡΓΥΡΙΟΣ - ΤΕ ΗΛ. ΜΗΧ. (ΔΑΕΦΚ-ΔΕ)</t>
  </si>
  <si>
    <t>079690366</t>
  </si>
  <si>
    <t>avagenas@civilprotection.gr</t>
  </si>
  <si>
    <t>14469</t>
  </si>
  <si>
    <t>ΒΛΑΧΑ ΜΑΡΙΝΑ - ΠΕ ΠΟΛ. ΜΗΧ. (ΔΑΕΦΚ-ΔΕ)</t>
  </si>
  <si>
    <t>121535477</t>
  </si>
  <si>
    <t>mvlacha@civilprotection.gr</t>
  </si>
  <si>
    <t>20083</t>
  </si>
  <si>
    <t>ΒΟΥΡΛΟΥΜΗΣ ΛΑΜΠΡΟΣ - ΠΕ ΠΟΛ. ΜΗΧ. (ΔΑΕΦΚ-ΔΕ)</t>
  </si>
  <si>
    <t>043673220</t>
  </si>
  <si>
    <t>lvourloumis@civilprotection.gr</t>
  </si>
  <si>
    <t>20097</t>
  </si>
  <si>
    <t>ΓΙΑΝΝΑΚΟΠΟΥΛΟΥ ΣΩΤΗΡΙΑ - ΠΕ ΠΟΛ. ΜΗΧ. (ΔΑΕΦΚ-ΔΕ)</t>
  </si>
  <si>
    <t>045669041</t>
  </si>
  <si>
    <t>sgiannakopoulou@civilprotection.gr</t>
  </si>
  <si>
    <t>900340</t>
  </si>
  <si>
    <t>ΖΥΓΟΥΡΗΣ ΚΩΝΣΤΑΝΤΙΝΟΣ - ΠΕ ΠΟΛ. ΜΗΧ. (ΔΑΕΦΚ-ΔΕ)</t>
  </si>
  <si>
    <t>301921527</t>
  </si>
  <si>
    <t>kzygouris@civilprotection.gr</t>
  </si>
  <si>
    <t>14471</t>
  </si>
  <si>
    <t>ΚΟΥΛΟΥΡΗΣ ΚΩΝΣΤΑΝΤΙΝΟΣ - ΠΕ ΠΟΛ. ΜΗΧ. (ΔΑΕΦΚ-ΔΕ)</t>
  </si>
  <si>
    <t>146871686</t>
  </si>
  <si>
    <t>kkoulouris@civilprotection.gr</t>
  </si>
  <si>
    <t>14475</t>
  </si>
  <si>
    <t>ΛΑΜΠΡΟΠΟΥΛΟΥ ΧΡΙΣΤΙΝΑ - ΤΕ ΠΟΛ. ΜΗΧ. (ΔΑΕΦΚ-ΔΕ)</t>
  </si>
  <si>
    <t>074685054</t>
  </si>
  <si>
    <t>chlampropoulou@civilprotection.gr</t>
  </si>
  <si>
    <t>14462</t>
  </si>
  <si>
    <t>ΜΙΧΑΗΛ ΑΝΤΩΝΙΑ - ΠΕ ΠΟΛ. ΜΗΧ. (ΔΑΕΦΚ-ΔΕ)</t>
  </si>
  <si>
    <t>140733740</t>
  </si>
  <si>
    <t>amichail@civilprotection.gr</t>
  </si>
  <si>
    <t>20419</t>
  </si>
  <si>
    <t>ΜΟΣΧΟΥ ΔΕΣΠΟΙΝΑ - ΤΕ ΜΗΧΑΝΙΚΩΝ (ΔΑΕΦΚ-ΔΕ)</t>
  </si>
  <si>
    <t>045822168</t>
  </si>
  <si>
    <t>dmoschou@civilprotection.gr</t>
  </si>
  <si>
    <t>14470</t>
  </si>
  <si>
    <t>ΠΑΡΑΣΚΕΥΑ ΑΝΤΩΝΙΟΣ - ΠΕ ΠΟΛ. ΜΗΧ. (ΔΑΕΦΚ-ΔΕ)</t>
  </si>
  <si>
    <t>150158841</t>
  </si>
  <si>
    <t>aparaskeva@civilprotection.gr</t>
  </si>
  <si>
    <t>20557</t>
  </si>
  <si>
    <t>ΠΑΤΑΚΙΑΡΑΣ ΣΤΑΥΡΟΣ - ΠΕ ΠΟΛ. ΜΗΧ. (ΔΑΕΦΚ-ΔΕ)</t>
  </si>
  <si>
    <t>044852280</t>
  </si>
  <si>
    <t>spatakiaras@civilprotection.gr</t>
  </si>
  <si>
    <t>20632</t>
  </si>
  <si>
    <t>ΣΚΟΥΡΑ ΒΑΣΙΛΙΚΗ - ΠΕ ΠΟΛ. ΜΗΧ. (ΔΑΕΦΚ-ΔΕ)</t>
  </si>
  <si>
    <t>041873405</t>
  </si>
  <si>
    <t>vskoura@civilprotection.gr</t>
  </si>
  <si>
    <t>20634</t>
  </si>
  <si>
    <t>ΣΜΥΡΝΙΩΤΗΣ ΝΙΚΟΛΑΟΣ - ΠΕ ΠΟΛ. ΜΗΧ. (ΔΑΕΦΚ-ΔΕ)</t>
  </si>
  <si>
    <t>068626559</t>
  </si>
  <si>
    <t>nsmyrniotis@civilprotection.gr</t>
  </si>
  <si>
    <t>20637</t>
  </si>
  <si>
    <t>ΣΟΥΒΑΛΙΩΤΗ ΧΡΙΣΤΙΝΑ - ΤΕ ΜΗΧΑΝΙΚΩΝ (ΔΑΕΦΚ-ΔΕ)</t>
  </si>
  <si>
    <t>053873537</t>
  </si>
  <si>
    <t xml:space="preserve"> chsouvalioti@civilprotection.gr</t>
  </si>
  <si>
    <t>20670</t>
  </si>
  <si>
    <t>ΣΩΤΗΡΟΠΟΥΛΟΣ ΙΩΑΝΝΗΣ - ΠΕ ΠΟΛ. ΜΗΧ. (ΔΑΕΦΚ-ΔΕ)</t>
  </si>
  <si>
    <t>031580441</t>
  </si>
  <si>
    <t>isotiropoulos@civilprotection.gr</t>
  </si>
  <si>
    <t>20718</t>
  </si>
  <si>
    <t>ΤΣΙΜΑΡΑ ΕΥΑΓΓΕΛΙΑ - ΠΕ ΠΟΛ. ΜΗΧ. (ΔΑΕΦΚ-ΔΕ)</t>
  </si>
  <si>
    <t>055847668</t>
  </si>
  <si>
    <t>etsimara@civilprotection.gr</t>
  </si>
  <si>
    <t>14508</t>
  </si>
  <si>
    <t>ΑΛΕΚΟΣ ΓΕΩΡΓΙΟΣ - ΠΕ ΜΗΧ. ΠΕΡΙΒΑΛ. (ΤΑΕΦΚ ΗΡΑΚΛΕΙΟΥ)</t>
  </si>
  <si>
    <t>127909872</t>
  </si>
  <si>
    <t>6987740677</t>
  </si>
  <si>
    <t>14480</t>
  </si>
  <si>
    <t>ΑΝΔΡΟΥΛΑΚΗΣ ΕΜΜΑΝΟΥΗΛ - ΠΕ ΠΟΛ. ΜΗΧ. (ΤΑΕΦΚ ΗΡΑΚΛΕΙΟΥ)</t>
  </si>
  <si>
    <t>053705310</t>
  </si>
  <si>
    <t>6938358727</t>
  </si>
  <si>
    <t>14488</t>
  </si>
  <si>
    <t>ΑΠΟΣΤΟΛΑΚΗ ΜΑΡΙΑ - ΤΕ ΠΟΛ. ΜΗΧ. (ΤΑΕΦΚ ΗΡΑΚΛΕΙΟΥ)</t>
  </si>
  <si>
    <t>132984356</t>
  </si>
  <si>
    <t>6945877218</t>
  </si>
  <si>
    <t>14482</t>
  </si>
  <si>
    <t>ΑΠΟΣΤΟΛΑΚΗΣ ΜΑΡΙΟΣ - ΠΕ ΠΟΛ. ΜΗΧ. (ΤΑΕΦΚ ΗΡΑΚΛΕΙΟΥ)</t>
  </si>
  <si>
    <t>132986638</t>
  </si>
  <si>
    <t>6972535708</t>
  </si>
  <si>
    <t>14483</t>
  </si>
  <si>
    <t>ΒΑΣΙΛΑΚΗΣ ΓΕΩΡΓΙΟΣ - ΠΕ ΠΟΛ. ΜΗΧ. (ΤΑΕΦΚ ΗΡΑΚΛΕΙΟΥ)</t>
  </si>
  <si>
    <t>057292795</t>
  </si>
  <si>
    <t>6981828992</t>
  </si>
  <si>
    <t>14487</t>
  </si>
  <si>
    <t>ΖΑΧΑΡΙΟΥΔΑΚΗΣ ΑΓΗΣΙΛΑΟΣ - ΠΕ ΠΟΛ. ΜΗΧ. (ΤΑΕΦΚ ΗΡΑΚΛΕΙΟΥ)</t>
  </si>
  <si>
    <t>163367640</t>
  </si>
  <si>
    <t>6942674803</t>
  </si>
  <si>
    <t>14486</t>
  </si>
  <si>
    <t>ΚΑΖΑΝΑΚΗΣ ΙΩΑΝΝΗΣ - ΠΕ ΠΟΛ. ΜΗΧ. (ΤΑΕΦΚ ΗΡΑΚΛΕΙΟΥ)</t>
  </si>
  <si>
    <t>159222638</t>
  </si>
  <si>
    <t>6987779674</t>
  </si>
  <si>
    <t>14505</t>
  </si>
  <si>
    <t>ΚΑΜΠΟΛΗ ΦΩΤΕΙΝΗ - ΤΕ ΠΟΛ. ΜΗΧ. (ΤΑΕΦΚ ΗΡΑΚΛΕΙΟΥ)</t>
  </si>
  <si>
    <t>105561551</t>
  </si>
  <si>
    <t>6937125752</t>
  </si>
  <si>
    <t>14494</t>
  </si>
  <si>
    <t>ΛΙΑΠΑΚΗ ΕΥΘΑΛΙΑ - ΠΕ ΑΡΧ. ΜΗΧ. (ΤΑΕΦΚ ΗΡΑΚΛΕΙΟΥ)</t>
  </si>
  <si>
    <t>063165971</t>
  </si>
  <si>
    <t>6944208681</t>
  </si>
  <si>
    <t>14509</t>
  </si>
  <si>
    <t>ΛΥΡΑΚΗ ΑΘΑΝΑΣΙΑ - ΠΕ ΠΟΛ. ΜΗΧ. (ΤΑΕΦΚ ΗΡΑΚΛΕΙΟΥ)</t>
  </si>
  <si>
    <t>132998348</t>
  </si>
  <si>
    <t>6942031589</t>
  </si>
  <si>
    <t>14492</t>
  </si>
  <si>
    <t>ΜΑΥΡΙΔΗΣ ΒΑΣΙΛΕΙΟΣ - ΠΕ ΜΗΧ. ΔΟΜΟΣΤ. (ΤΑΕΦΚ ΗΡΑΚΛΕΙΟΥ)</t>
  </si>
  <si>
    <t>114276910</t>
  </si>
  <si>
    <t>6972866890</t>
  </si>
  <si>
    <t>14484</t>
  </si>
  <si>
    <t>ΜΕΣΑΡΙΤΑΚΗ ΑΙΚΑΤΕΡΙΝΗ - ΠΕ ΑΡΧ. ΜΗΧ. (ΤΑΕΦΚ ΗΡΑΚΛΕΙΟΥ)</t>
  </si>
  <si>
    <t>076445171</t>
  </si>
  <si>
    <t>6944228486</t>
  </si>
  <si>
    <t>14507</t>
  </si>
  <si>
    <t>ΜΠΟΥΛΑΜΑΤΣΗ ΣΟΦΙΑ - ΠΕ ΜΗΧ. ΜΕΤΑΛΛ. (ΤΑΕΦΚ ΗΡΑΚΛΕΙΟΥ)</t>
  </si>
  <si>
    <t>139224782</t>
  </si>
  <si>
    <t>6970340744</t>
  </si>
  <si>
    <t>ΠΕ ΜΗΧ. ΜΕΤΑΛΛ.</t>
  </si>
  <si>
    <t>14500</t>
  </si>
  <si>
    <t>ΞΥΛΟΥΡΗ ΕΥΑΓΓΕΛΙΑ - ΤΕ ΠΟΛ. ΜΗΧ. (ΤΑΕΦΚ ΗΡΑΚΛΕΙΟΥ)</t>
  </si>
  <si>
    <t>155019577</t>
  </si>
  <si>
    <t>6946013959</t>
  </si>
  <si>
    <t>14489</t>
  </si>
  <si>
    <t>ΠΕΤΡΑΚΗΣ ΠΕΤΡΟΣ - ΤΕ ΠΟΛ. ΜΗΧ. (ΤΑΕΦΚ ΗΡΑΚΛΕΙΟΥ)</t>
  </si>
  <si>
    <t>123174024</t>
  </si>
  <si>
    <t>6932652897</t>
  </si>
  <si>
    <t>14510</t>
  </si>
  <si>
    <t>ΡΟΓΔΑΚΗΣ ΧΑΡΑΛΑΜΠΟΣ - ΠΕ ΜΗΧ. ΜΗΧ. (ΤΑΕΦΚ ΗΡΑΚΛΕΙΟΥ)</t>
  </si>
  <si>
    <t>159219566</t>
  </si>
  <si>
    <t>6979699580</t>
  </si>
  <si>
    <t>14166</t>
  </si>
  <si>
    <t>ΣΑΚΕΡΛΗ ΜΑΡΙΑ - ΠΕ ΑΡΧ. ΜΗΧ. (ΤΑΕΦΚ ΗΡΑΚΛΕΙΟΥ)</t>
  </si>
  <si>
    <t>143953742</t>
  </si>
  <si>
    <t>6946467821</t>
  </si>
  <si>
    <t>msakerli@civilprotection.gr</t>
  </si>
  <si>
    <t>14504</t>
  </si>
  <si>
    <t>ΤΑΜΙΩΛΑΚΗΣ ΓΕΩΡΓΙΟΣ ΠΑΝΤΕΛΗΣ - ΠΕ ΠΟΛ. ΜΗΧ. (ΤΑΕΦΚ ΗΡΑΚΛΕΙΟΥ)</t>
  </si>
  <si>
    <t>146227971</t>
  </si>
  <si>
    <t>6975861728</t>
  </si>
  <si>
    <t>14490</t>
  </si>
  <si>
    <t>ΤΣΙΚΡΙΤΣΑΚΗΣ ΒΑΣΙΛΕΙΟΣ - ΤΕ ΠΟΛ. ΜΗΧ. (ΤΑΕΦΚ ΗΡΑΚΛΕΙΟΥ)</t>
  </si>
  <si>
    <t>137214547</t>
  </si>
  <si>
    <t>6945816094</t>
  </si>
  <si>
    <t>14485</t>
  </si>
  <si>
    <t>ΦΡΑΓΚΙΑΔΑΚΗΣ ΔΗΜΗΤΡΙΟΣ - ΠΕ ΠΟΛ. ΜΗΧ. (ΤΑΕΦΚ ΗΡΑΚΛΕΙΟΥ)</t>
  </si>
  <si>
    <t>063132061</t>
  </si>
  <si>
    <t>14191</t>
  </si>
  <si>
    <t>ΑΓΑΔΑΚΟΥ ΑΛΚΜΗΝΗ - ΠΕ ΠΟΛ. ΜΗΧ. (ΔΑΕΦΚ-ΚΕ)</t>
  </si>
  <si>
    <t>139811442</t>
  </si>
  <si>
    <t>aagadakou@civilprotection.gr</t>
  </si>
  <si>
    <t>14381</t>
  </si>
  <si>
    <t>ΑΝΑΣΤΑΣΑΚΗΣ ΔΗΜΗΤΡΙΟΣ</t>
  </si>
  <si>
    <t>ΑΝΑΣΤΑΣΑΚΗΣ ΔΗΜΗΤΡΙΟΣ - ΠΕ ΜΗΧΑΝΙΚΩΝ (ΔΑΕΦΚ-ΚΕ)</t>
  </si>
  <si>
    <t>123042680</t>
  </si>
  <si>
    <t>6936854170</t>
  </si>
  <si>
    <t>d.anastasakis@ggde.gr</t>
  </si>
  <si>
    <t>14386</t>
  </si>
  <si>
    <t>ΔΑΣΚΑΛΑΚΗ ΓΕΩΡΓΙΑ</t>
  </si>
  <si>
    <t>ΔΑΣΚΑΛΑΚΗ ΓΕΩΡΓΙΑ - ΠΕ ΜΗΧΑΝΙΚΩΝ (ΔΑΕΦΚ-ΚΕ)</t>
  </si>
  <si>
    <t>062606181</t>
  </si>
  <si>
    <t>6948648737</t>
  </si>
  <si>
    <t>gdaskalaki@civilprotection.gr</t>
  </si>
  <si>
    <t>14193</t>
  </si>
  <si>
    <t>ΔΗΜΟΠΟΥΛΟΥ ΑΝΝΑ</t>
  </si>
  <si>
    <t>ΔΗΜΟΠΟΥΛΟΥ ΑΝΝΑ - ΠΕ ΜΗΧΑΝΙΚΩΝ (ΔΑΕΦΚ-ΚΕ)</t>
  </si>
  <si>
    <t>133233398</t>
  </si>
  <si>
    <t>6946796442</t>
  </si>
  <si>
    <t>adimopoulou@civilprotection.gr</t>
  </si>
  <si>
    <t>taefkaa.dimopouloua@gmail.com</t>
  </si>
  <si>
    <t>14393</t>
  </si>
  <si>
    <t>ΘΕΟΤΟΚΑΤΟΣ ΚΩΝΣΤΑΝΤΙΝΟΣ</t>
  </si>
  <si>
    <t>ΘΕΟΤΟΚΑΤΟΣ ΚΩΝΣΤΑΝΤΙΝΟΣ - ΠΕ ΜΗΧΑΝΙΚΩΝ (ΔΑΕΦΚ-ΚΕ)</t>
  </si>
  <si>
    <t>036288340</t>
  </si>
  <si>
    <t>6945494397</t>
  </si>
  <si>
    <t>ktheotokatos@civilprotection.gr</t>
  </si>
  <si>
    <t>ktheotokatos@gmail.com</t>
  </si>
  <si>
    <t>14200</t>
  </si>
  <si>
    <t>ΠΑΠΠΗ ΦΩΤΕΙΝΗ - ΠΕ ΠΟΛ. ΜΗΧ. (ΔΑΕΦΚ-ΚΕ)</t>
  </si>
  <si>
    <t>059567883</t>
  </si>
  <si>
    <t>fpappi@civilprotection.gr</t>
  </si>
  <si>
    <t>12232</t>
  </si>
  <si>
    <t>ΣΑΡΙΔΑΚΗΣ ΑΓΓΕΛΟΣ - ΠΕ ΠΟΛ. ΜΗΧ. (ΔΑΕΦΚ-ΚΕ)</t>
  </si>
  <si>
    <t>046558720</t>
  </si>
  <si>
    <t>6944220899</t>
  </si>
  <si>
    <t>asaridakis@civilprotection.gr</t>
  </si>
  <si>
    <t>ΚΕ_ΑΡ</t>
  </si>
  <si>
    <t>14338</t>
  </si>
  <si>
    <t>ΜΑΚΡΗ ΜΑΡΙΑΝΝΑ - ΠΕ ΠΟΛ. ΜΗΧ. (ΔΑΕΦΚ-ΚΕ ΤΜΗΜΑ Α)</t>
  </si>
  <si>
    <t>047034356</t>
  </si>
  <si>
    <t>mmakri@civilprotection.gr</t>
  </si>
  <si>
    <t>14202</t>
  </si>
  <si>
    <t>ΦΥΤΑ ΣΩΤΗΡΙΑ</t>
  </si>
  <si>
    <t>ΦΥΤΑ ΣΩΤΗΡΙΑ - ΤΕ ΜΗΧ. ΠΛΗΡΟΦ. (ΔΑΕΦΚ-ΚΕ ΑΡΩΓΗ)</t>
  </si>
  <si>
    <t>071174120</t>
  </si>
  <si>
    <t>6942828474</t>
  </si>
  <si>
    <t>ΤΕ ΜΗΧ. ΠΛΗΡΟΦ.</t>
  </si>
  <si>
    <t>sfyta@civilprotection.gr</t>
  </si>
  <si>
    <t>taefkaa.fyta@gmail.com</t>
  </si>
  <si>
    <t>ΚΕ_ΟΙΚ</t>
  </si>
  <si>
    <t>14379</t>
  </si>
  <si>
    <t>ΑΒΡΑΑΜ ΜΑΡΙΟΣ-ΜΙΧΑΗΛ</t>
  </si>
  <si>
    <t>ΑΒΡΑΑΜ ΜΑΡΙΟΣ-ΜΙΧΑΗΛ - ΠΕ ΜΗΧΑΝΙΚΩΝ (ΔΑΕΦΚ-ΚΕ ΤΜΗΜΑ Δ)</t>
  </si>
  <si>
    <t>163600755</t>
  </si>
  <si>
    <t>6976937711</t>
  </si>
  <si>
    <t>mavraam@civilprotection.gr</t>
  </si>
  <si>
    <t>mariosavraam9@gmail.com</t>
  </si>
  <si>
    <t>900286</t>
  </si>
  <si>
    <t>ΒΑΤΣΑΚΗΣ ΓΕΡΑΣΙΜΟΣ</t>
  </si>
  <si>
    <t>ΒΑΤΣΑΚΗΣ ΓΕΡΑΣΙΜΟΣ - ΤΕ ΗΛ. ΜΗΧ. (ΔΑΕΦΚ-ΚΕ)</t>
  </si>
  <si>
    <t>118305986</t>
  </si>
  <si>
    <t>6942659601</t>
  </si>
  <si>
    <t>gvatsakis@civilprotection.gr</t>
  </si>
  <si>
    <t>14392</t>
  </si>
  <si>
    <t>ΖΑΧΑΡΑΚΗ ΕΛΕΝΗ - ΠΕ ΠΟΛ. ΜΗΧ. (ΔΑΕΦΚ-ΚΕ ΤΜΗΜΑ Δ)</t>
  </si>
  <si>
    <t>148563323</t>
  </si>
  <si>
    <t>ezacharaki@civilprotection.gr</t>
  </si>
  <si>
    <t>14259</t>
  </si>
  <si>
    <t>ΜΙΧΕΛΗΣ ΙΩΑΝΝΗΣ</t>
  </si>
  <si>
    <t>ΜΙΧΕΛΗΣ ΙΩΑΝΝΗΣ - ΠΕ ΜΗΧ. ΠΕΡΙΒΑΛ. (ΔΑΕΦΚ-ΚΕ ΟΙΚΟΝ..)</t>
  </si>
  <si>
    <t>118163666</t>
  </si>
  <si>
    <t>6976012574</t>
  </si>
  <si>
    <t>johnmihelis@gmail.com</t>
  </si>
  <si>
    <t>14176</t>
  </si>
  <si>
    <t>ΠΑΝΤΑΖΗ ΑΛΕΞΑΝΔΡΑ</t>
  </si>
  <si>
    <t>ΠΑΝΤΑΖΗ ΑΛΕΞΑΝΔΡΑ - ΤΕ ΜΗΧΑΝΙΚΩΝ (ΔΑΕΦΚ-ΚΕ ΟΙΚΟΝ..)</t>
  </si>
  <si>
    <t>120471049</t>
  </si>
  <si>
    <t>6987074055</t>
  </si>
  <si>
    <t>apantazi@civilprotection.gr</t>
  </si>
  <si>
    <t>taefkaa.pantazi@gmail.com</t>
  </si>
  <si>
    <t>14327</t>
  </si>
  <si>
    <t>ΧΑΤΟΥΤΣΙΔΟΥ ΕΛΙΣΣΑΒΕΤ</t>
  </si>
  <si>
    <t>ΧΑΤΟΥΤΣΙΔΟΥ ΕΛΙΣΣΑΒΕΤ - ΤΕ ΜΗΧΑΝΙΚΩΝ (ΔΑΕΦΚ-ΚΕ ΟΙΚΟΝ..)</t>
  </si>
  <si>
    <t>127119980</t>
  </si>
  <si>
    <t>6977183600</t>
  </si>
  <si>
    <t>echatoutsidou@civilprotection.gr</t>
  </si>
  <si>
    <t>e.chatoutsidou@yme.gov.gr</t>
  </si>
  <si>
    <t>14297</t>
  </si>
  <si>
    <t>ΧΡΟΝΟΠΟΥΛΟΥ ΑΘΗΝΑ</t>
  </si>
  <si>
    <t>ΧΡΟΝΟΠΟΥΛΟΥ ΑΘΗΝΑ - ΠΕ ΜΗΧΑΝΙΚΩΝ (ΔΑΕΦΚ-ΚΕ ΤΜΗΜΑ Δ)</t>
  </si>
  <si>
    <t>105539600</t>
  </si>
  <si>
    <t>6973770792</t>
  </si>
  <si>
    <t>achronopoulou@civilprotection.gr</t>
  </si>
  <si>
    <t>athxron@hotmail</t>
  </si>
  <si>
    <t>ΚΕ_ΠΛΗΡ</t>
  </si>
  <si>
    <t>14382</t>
  </si>
  <si>
    <t>ΓΑΛΑΝΗΣ ΛΑΜΠΡΟΣ</t>
  </si>
  <si>
    <t>ΓΑΛΑΝΗΣ ΛΑΜΠΡΟΣ - ΠΕ ΜΗΧΑΝΙΚΩΝ (ΔΑΕΦΚ-ΚΕ)</t>
  </si>
  <si>
    <t>101777844</t>
  </si>
  <si>
    <t>6974533671</t>
  </si>
  <si>
    <t>lgalanis@civilprotection.gr</t>
  </si>
  <si>
    <t>ΚΕ-Α</t>
  </si>
  <si>
    <t>12678</t>
  </si>
  <si>
    <t>ΒΑΙΤΣΗ ΒΑΣΙΛΙΚΗ - ΠΕ ΠΟΛ. ΜΗΧ. (ΔΑΕΦΚ-ΚΕ ΤΜΗΜΑ Α)</t>
  </si>
  <si>
    <t>072219060</t>
  </si>
  <si>
    <t>6977784031</t>
  </si>
  <si>
    <t>vvaitsi@civilprotection.gr</t>
  </si>
  <si>
    <t>12008</t>
  </si>
  <si>
    <t>ΔΕΡΜΙΤΖΑΚΗ ΑΝΝΑ - ΠΕ ΠΟΛ. ΜΗΧ. (ΔΑΕΦΚ-ΚΕ ΤΜΗΜΑ Α)</t>
  </si>
  <si>
    <t>046819309</t>
  </si>
  <si>
    <t>adermitzaki@civilprotection.gr</t>
  </si>
  <si>
    <t>12154</t>
  </si>
  <si>
    <t>ΚΑΡΑΤΖΕΝΗ ΑΙΚΑΤΕΡΙΝΗ - ΠΕ ΠΟΛ. ΜΗΧ. (ΔΑΕΦΚ-ΚΕ ΤΜΗΜΑ Α)</t>
  </si>
  <si>
    <t>064384599</t>
  </si>
  <si>
    <t>6973305838</t>
  </si>
  <si>
    <t>akaratzeni@civilprotection.gr</t>
  </si>
  <si>
    <t>12662</t>
  </si>
  <si>
    <t>ΚΑΡΠΟΥΖΟΥ ΝΕΚΤΑΡΙΑ - ΠΕ ΠΟΛ. ΜΗΧ. (ΔΑΕΦΚ-ΚΕ ΤΜΗΜΑ Α)</t>
  </si>
  <si>
    <t>047018504</t>
  </si>
  <si>
    <t>6977248108</t>
  </si>
  <si>
    <t>nkarpouzou@civilprotection.gr</t>
  </si>
  <si>
    <t>14337</t>
  </si>
  <si>
    <t>ΛΑΒΟΥΤΑ ΒΑΡΒΑΡΑ</t>
  </si>
  <si>
    <t>ΛΑΒΟΥΤΑ ΒΑΡΒΑΡΑ - ΠΕ ΜΗΧΑΝΙΚΩΝ (ΔΑΕΦΚ-ΚΕ ΤΜΗΜΑ Α)</t>
  </si>
  <si>
    <t>117986870</t>
  </si>
  <si>
    <t>6934562322</t>
  </si>
  <si>
    <t>vlavouta@civilprotection.gr</t>
  </si>
  <si>
    <t>14164</t>
  </si>
  <si>
    <t>ΛΕΥΚΙΜΜΙΑΤΗΣ ΧΑΡΑΛΑΜΠΟΣ - ΠΕ ΑΡΧ. ΜΗΧ. (ΔΑΕΦΚ-ΚΕ ΤΜΗΜΑ Α)</t>
  </si>
  <si>
    <t>070881768</t>
  </si>
  <si>
    <t>chlefkimiatis@civilprotection.gr</t>
  </si>
  <si>
    <t>12102</t>
  </si>
  <si>
    <t>ΜΑΣΤΟΡΑΚΗΣ ΚΟΣΜΑΣ - ΠΕ ΠΟΛ. ΜΗΧ. (ΔΑΕΦΚ-ΚΕ ΤΜΗΜΑ Α)</t>
  </si>
  <si>
    <t>067322529</t>
  </si>
  <si>
    <t>6972606031</t>
  </si>
  <si>
    <t>kmastorakis@civilprotection.gr</t>
  </si>
  <si>
    <t>14395</t>
  </si>
  <si>
    <t>ΜΑΥΡΟΜΟΥΣΤΑΚΗ ΦΑΝΗ - ΠΕ ΠΟΛ. ΜΗΧ. (ΔΑΕΦΚ-ΚΕ ΤΜΗΜΑ Α)</t>
  </si>
  <si>
    <t>102586318</t>
  </si>
  <si>
    <t>fmavromoustaki@civilprotection.gr</t>
  </si>
  <si>
    <t>14448</t>
  </si>
  <si>
    <t>ΠΑΝΟΥΤΣΟΠΟΥΛΟΥ ΦΑΝΟΥΡΙΑ-ΤΙΤΙΚΑ - ΤΕ ΜΗΧΑΝΙΚΩΝ (ΔΑΕΦΚ-ΚΕ ΤΜΗΜΑ Α)</t>
  </si>
  <si>
    <t>300503290</t>
  </si>
  <si>
    <t>fpanoutsopoulou@civilprotection.gr</t>
  </si>
  <si>
    <t>14340</t>
  </si>
  <si>
    <t>ΠΕΡΔΙΟΥ ΑΓΓΕΛΙΚΗ</t>
  </si>
  <si>
    <t>ΠΕΡΔΙΟΥ ΑΓΓΕΛΙΚΗ - ΠΕ ΜΗΧΑΝΙΚΩΝ (ΔΑΕΦΚ-ΚΕ ΤΜΗΜΑ Α)</t>
  </si>
  <si>
    <t>106171546</t>
  </si>
  <si>
    <t>6970808836</t>
  </si>
  <si>
    <t>aperdiou@civilprotection.gr</t>
  </si>
  <si>
    <t>perdioua@gmail.com</t>
  </si>
  <si>
    <t>14439</t>
  </si>
  <si>
    <t>ΣΚΛΗΡΟΥ ΜΑΡΙΑ</t>
  </si>
  <si>
    <t>ΣΚΛΗΡΟΥ ΜΑΡΙΑ - ΠΕ ΜΗΧΑΝΙΚΩΝ (ΔΑΕΦΚ-ΚΕ ΤΜΗΜΑ Α)</t>
  </si>
  <si>
    <t>158163243</t>
  </si>
  <si>
    <t>6986078498</t>
  </si>
  <si>
    <t>msklirou@civilprotection.gr</t>
  </si>
  <si>
    <t>maryskl0805@gmail.com</t>
  </si>
  <si>
    <t>45678</t>
  </si>
  <si>
    <t>ΣΠΥΡΟΥ ΓΕΩΡΓΙΑ - ΠΕ ΠΟΛ. ΜΗΧ. (ΔΑΕΦΚ-ΚΕ ΤΜΗΜΑ Α)</t>
  </si>
  <si>
    <t>104815938</t>
  </si>
  <si>
    <t>gspyrou@civilprotection.gr</t>
  </si>
  <si>
    <t>45681</t>
  </si>
  <si>
    <t>ΣΤΑΥΡΟΥ ΕΥΔΟΞΙΑ - ΠΕ ΠΟΛ. ΜΗΧ. (ΔΑΕΦΚ-ΚΕ ΤΜΗΜΑ Α)</t>
  </si>
  <si>
    <t>075317974</t>
  </si>
  <si>
    <t>estavrou@civilprotection.gr</t>
  </si>
  <si>
    <t>14325</t>
  </si>
  <si>
    <t>ΣΤΡΑΤΙΔΑΚΗ ΚΥΡΙΑΚΗ - ΤΕ ΜΗΧΑΝΙΚΩΝ (ΔΑΕΦΚ-ΚΕ ΤΜΗΜΑ Α)</t>
  </si>
  <si>
    <t>151800701</t>
  </si>
  <si>
    <t>kstratidaki@civilprotection.gr</t>
  </si>
  <si>
    <t>14390</t>
  </si>
  <si>
    <t>ΤΣΙΡΩΝΗΣ ΓΕΩΡΓΙΟΣ - ΤΕ ΜΗΧΑΝΙΚΩΝ (ΔΑΕΦΚ-ΚΕ ΤΜΗΜΑ Α)</t>
  </si>
  <si>
    <t>146381187</t>
  </si>
  <si>
    <t>gtsironis@civilprotection.gr</t>
  </si>
  <si>
    <t>14326</t>
  </si>
  <si>
    <t>ΤΣΟΥΦΛΙΔΟΥ ΑΙΚΑΤΕΡΙΝΗ - ΤΕ ΜΗΧΑΝΙΚΩΝ (ΔΑΕΦΚ-ΚΕ ΤΜΗΜΑ Α)</t>
  </si>
  <si>
    <t>124446044</t>
  </si>
  <si>
    <t>6937699769</t>
  </si>
  <si>
    <t>atsouflidou@civilprotection.gr</t>
  </si>
  <si>
    <t>12171</t>
  </si>
  <si>
    <t>ΧΑΣΑΠΗΣ ΗΡΑΚΛΗΣ - ΠΕ ΠΟΛ. ΜΗΧ. (ΔΑΕΦΚ-ΚΕ ΤΜΗΜΑ Α)</t>
  </si>
  <si>
    <t>069108219</t>
  </si>
  <si>
    <t>6974746708</t>
  </si>
  <si>
    <t>ichasapis@civilprotection.gr</t>
  </si>
  <si>
    <t>13577</t>
  </si>
  <si>
    <t>ΧΑΤΖΟΠΟΥΛΟΥ ΑΡΙΣΤΕΑ - ΠΕ ΠΟΛ. ΜΗΧ. (ΔΑΕΦΚ-ΚΕ ΤΜΗΜΑ Α)</t>
  </si>
  <si>
    <t>117310218</t>
  </si>
  <si>
    <t>6977584355</t>
  </si>
  <si>
    <t>achatzopoulou@civilprotection.gr</t>
  </si>
  <si>
    <t>ΚΕ-Β</t>
  </si>
  <si>
    <t>13495</t>
  </si>
  <si>
    <t>ΑΒΡΑΜΟΠΟΥΛΟΣ ΙΩΑΝΝΗΣ - ΠΕ ΠΟΛ. ΜΗΧ. (ΔΑΕΦΚ-ΚΕ ΤΜΗΜΑ Β)</t>
  </si>
  <si>
    <t>113708448</t>
  </si>
  <si>
    <t>iavramopoulos@civilprotection.gr</t>
  </si>
  <si>
    <t>7429</t>
  </si>
  <si>
    <t>ΑΠΟΣΤΟΛΟΥ ΝΙΚΟΛΑΟΣ - ΤΕ ΜΗΧ. ΜΗΧ. (ΔΑΕΦΚ-ΚΕ ΤΜΗΜΑ Β)</t>
  </si>
  <si>
    <t>035507020</t>
  </si>
  <si>
    <t>6973545514</t>
  </si>
  <si>
    <t>napostolou@civilprotection.gr</t>
  </si>
  <si>
    <t>14322</t>
  </si>
  <si>
    <t>ΚΟΥΡΗ ΑΝΕΣΤΙΑ - ΤΕ ΜΗΧΑΝΙΚΩΝ (ΔΑΕΦΚ-ΚΕ ΤΜΗΜΑ Β)</t>
  </si>
  <si>
    <t>100751425</t>
  </si>
  <si>
    <t>akouri@civilprotection.gr</t>
  </si>
  <si>
    <t>13835</t>
  </si>
  <si>
    <t>ΜΑΥΡΟΓΕΝΗΣ ΑΝΤΩΝΙΟΣ - ΠΕ ΠΟΛ. ΜΗΧ. (ΔΑΕΦΚ-ΚΕ ΤΜΗΜΑ Β)</t>
  </si>
  <si>
    <t>046698010</t>
  </si>
  <si>
    <t>6972150340</t>
  </si>
  <si>
    <t>amavrogenis@civilprotection.gr</t>
  </si>
  <si>
    <t>12227</t>
  </si>
  <si>
    <t>ΠΑΝΑΓΙΩΤΙΔΗΣ ΜΙΧΑΗΛ</t>
  </si>
  <si>
    <t>ΠΑΝΑΓΙΩΤΙΔΗΣ ΜΙΧΑΗΛ - ΠΕ ΠΟΛ. ΜΗΧ. (ΟΑΣΠ)</t>
  </si>
  <si>
    <t>052113201</t>
  </si>
  <si>
    <t>mpanagiotidis@civilprotection.gr</t>
  </si>
  <si>
    <t>20535</t>
  </si>
  <si>
    <t>ΠΑΠΑΔΟΠΟΥΛΟΣ ΑΝΑΣΤΑΣΙΟΣ - ΠΕ ΑΡΧ. ΜΗΧ. (ΔΑΕΦΚ-ΚΕ ΤΜΗΜΑ Β)</t>
  </si>
  <si>
    <t>044143997</t>
  </si>
  <si>
    <t>apapadopoulos@civilprotection.gr</t>
  </si>
  <si>
    <t>ΚΕ-Γ</t>
  </si>
  <si>
    <t>900263</t>
  </si>
  <si>
    <t>ΑΣΒΕΣΤΑΣ ΙΩΑΝΝΗΣ - ΤΕ ΗΛ. ΜΗΧ. (ΔΑΕΦΚ-ΚΕ ΤΜΗΜΑ Γ)</t>
  </si>
  <si>
    <t>054031829</t>
  </si>
  <si>
    <t>iasvestas@civilprotection.gr</t>
  </si>
  <si>
    <t>12107</t>
  </si>
  <si>
    <t>ΒΛΑΧΟΓΙΑΝΝΗΣ ΚΩΝΣΤΑΝΤΙΝΟΣ - ΠΕ ΜΗΧ. ΜΗΧ. (ΔΑΕΦΚ-ΚΕ ΤΜΗΜΑ Γ)</t>
  </si>
  <si>
    <t>051735090</t>
  </si>
  <si>
    <t>kvlachogiannis@civilprotection.gr</t>
  </si>
  <si>
    <t>20101</t>
  </si>
  <si>
    <t>ΓΙΑΡΓΚΙΤΖΗ ΑΝΝΑ - ΠΕ ΑΡΧ. ΜΗΧ. (ΔΑΕΦΚ-ΚΕ ΤΜΗΜΑ Γ)</t>
  </si>
  <si>
    <t>043813858</t>
  </si>
  <si>
    <t>agiargkitzi@civilprotection.gr</t>
  </si>
  <si>
    <t>4819</t>
  </si>
  <si>
    <t>ΔΕΔΕΣ ΗΡΑΚΛΗΣ - ΤΕ ΜΗΧ. ΜΗΧ. (ΔΑΕΦΚ-ΚΕ ΤΜΗΜΑ Γ)</t>
  </si>
  <si>
    <t>034828063</t>
  </si>
  <si>
    <t>idedes@civilprotection.gr</t>
  </si>
  <si>
    <t>14331</t>
  </si>
  <si>
    <t>ΔΙΠΛΑ ΑΝΤΩΝΙΑ - ΠΕ ΠΟΛ. ΜΗΧ. (ΔΑΕΦΚ-ΚΕ ΤΜΗΜΑ Γ)</t>
  </si>
  <si>
    <t>134512650</t>
  </si>
  <si>
    <t>adipla@civilprotection.gr</t>
  </si>
  <si>
    <t>12431</t>
  </si>
  <si>
    <t>ΚΕΒΕΡΗΣ ΜΙΧΑΗΛ - ΠΕ ΠΟΛ. ΜΗΧ. (ΔΑΕΦΚ-ΚΕ ΤΜΗΜΑ Γ)</t>
  </si>
  <si>
    <t>045639509</t>
  </si>
  <si>
    <t>mkeveris@civilprotection.gr</t>
  </si>
  <si>
    <t>5802</t>
  </si>
  <si>
    <t>ΜΗΤΡΟΠΟΥΛΟΣ ΔΗΜΗΤΡΙΟΣ - ΠΕ ΗΛ. ΜΗΧ. (ΔΑΕΦΚ-ΚΕ ΤΜΗΜΑ Γ)</t>
  </si>
  <si>
    <t>025094759</t>
  </si>
  <si>
    <t>dmitropoulos@civilprotection.gr</t>
  </si>
  <si>
    <t>12470</t>
  </si>
  <si>
    <t>ΜΠΕΡΤΣΙΑΣ ΜΙΛΤΙΑΔΗΣ - ΤΕ ΠΟΛ. ΜΗΧ. (ΔΑΕΦΚ-ΚΕ ΤΜΗΜΑ Γ)</t>
  </si>
  <si>
    <t>051181250</t>
  </si>
  <si>
    <t>mmpertsias@civilprotection.gr</t>
  </si>
  <si>
    <t>45644</t>
  </si>
  <si>
    <t>ΞΕΝΟΥ ΣΤΑΜΑΤΙΝΑ - ΠΕ ΑΡΧ. ΜΗΧ. (ΔΑΕΦΚ-ΚΕ ΤΜΗΜΑ Γ)</t>
  </si>
  <si>
    <t>064305183</t>
  </si>
  <si>
    <t>sxenou@civilprotection.gr</t>
  </si>
  <si>
    <t>12460</t>
  </si>
  <si>
    <t>ΠΑΝΑΓΙΩΤΟΥΛΙΑ ΒΑΣΙΛΙΚΗ - ΠΕ ΑΡΧ. ΜΗΧ. (ΔΑΕΦΚ-ΚΕ ΤΜΗΜΑ Γ)</t>
  </si>
  <si>
    <t>046396787</t>
  </si>
  <si>
    <t>vpanagiotoulia@civilprotection.gr</t>
  </si>
  <si>
    <t>5059</t>
  </si>
  <si>
    <t>ΤΖΑΝΑΚΗΣ ΙΩΑΝΝΗΣ</t>
  </si>
  <si>
    <t>ΤΖΑΝΑΚΗΣ ΙΩΑΝΝΗΣ - ΤΕ ΤΟΠΟΓΡ. ΜΗΧ. (ΟΑΣΠ)</t>
  </si>
  <si>
    <t>033521725</t>
  </si>
  <si>
    <t>ΤΕ ΤΟΠΟΓΡ. ΜΗΧ.</t>
  </si>
  <si>
    <t>itzanakis@civilprotection.gr</t>
  </si>
  <si>
    <t>102917</t>
  </si>
  <si>
    <t>ΤΣΟΥΜΗΣ ΙΩΑΝΝΗΣ - ΤΕ ΗΛ. ΜΗΧ. (ΔΑΕΦΚ-ΚΕ ΤΜΗΜΑ Γ)</t>
  </si>
  <si>
    <t>031000868</t>
  </si>
  <si>
    <t>itsoumis@civilprotection.gr</t>
  </si>
  <si>
    <t>ΚΕ-Δ</t>
  </si>
  <si>
    <t>14438</t>
  </si>
  <si>
    <t>ΑΓΓΕΛΗΣ ΙΩΑΝΝΗΣ - ΠΕ ΠΟΛ. ΜΗΧ. (ΔΑΕΦΚ-ΚΕ ΤΜΗΜΑ Δ)</t>
  </si>
  <si>
    <t>129541130</t>
  </si>
  <si>
    <t>iangelis@civilprotection.gr</t>
  </si>
  <si>
    <t>12530</t>
  </si>
  <si>
    <t>ΑΓΙΑΝΟΓΛΟΥ ΒΑΣΙΛΕΙΟΣ - ΠΕ ΑΡΧ. ΜΗΧ. (ΔΑΕΦΚ-ΚΕ ΤΜΗΜΑ Δ)</t>
  </si>
  <si>
    <t>043410897</t>
  </si>
  <si>
    <t>6974929090</t>
  </si>
  <si>
    <t>vagianoglou@civilprotection.gr</t>
  </si>
  <si>
    <t>14461</t>
  </si>
  <si>
    <t>ΑΗΔΟΝΗ ΕΛΕΝΗ - ΠΕ ΠΟΛ. ΜΗΧ. (ΔΑΕΦΚ-ΚΕ ΤΜΗΜΑ Δ)</t>
  </si>
  <si>
    <t>133400980</t>
  </si>
  <si>
    <t>e.aidoni@civilprotection.gr</t>
  </si>
  <si>
    <t>14201</t>
  </si>
  <si>
    <t>ΑΛΕΒΙΖΟΠΟΥΛΟΥ ΟΛΓΑ</t>
  </si>
  <si>
    <t>ΑΛΕΒΙΖΟΠΟΥΛΟΥ ΟΛΓΑ - ΤΕ ΜΗΧΑΝΙΚΩΝ (ΔΑΕΦΚ-ΚΕ ΤΜΗΜΑ Δ)</t>
  </si>
  <si>
    <t>154885734</t>
  </si>
  <si>
    <t>6972406536</t>
  </si>
  <si>
    <t>oalevizopoulou@civilprotection.gr</t>
  </si>
  <si>
    <t>taefkaa.alevizopoulou@gmail.com</t>
  </si>
  <si>
    <t>14329</t>
  </si>
  <si>
    <t>ΒΑΙΛΑΚΗΣ ΔΗΜΗΤΡΙΟΣ</t>
  </si>
  <si>
    <t>ΒΑΙΛΑΚΗΣ ΔΗΜΗΤΡΙΟΣ - ΠΕ ΠΟΛ. ΜΗΧ. (ΔΑΕΦΚ-ΚΕ ΤΜΗΜΑ Δ)</t>
  </si>
  <si>
    <t>073906576</t>
  </si>
  <si>
    <t>dvailakis@civilprotection.gr</t>
  </si>
  <si>
    <t>900299</t>
  </si>
  <si>
    <t>ΒΕΣΤΑΡΧΗΣ ΝΙΚΟΛΑΟΣ</t>
  </si>
  <si>
    <t>ΒΕΣΤΑΡΧΗΣ ΝΙΚΟΛΑΟΣ - ΠΕ ΜΗΧΑΝΙΚΩΝ (ΔΑΕΦΚ-ΚΕ ΤΜΗΜΑ Δ)</t>
  </si>
  <si>
    <t>106684339</t>
  </si>
  <si>
    <t>6931583774</t>
  </si>
  <si>
    <t>nvestarchis@civilprotection.gr</t>
  </si>
  <si>
    <t>nvestarchis@gmail.com</t>
  </si>
  <si>
    <t>12647</t>
  </si>
  <si>
    <t>ΓΕΜΕΛΙΑΡΗ ΕΙΡΗΝΗ - ΠΕ ΠΟΛ. ΜΗΧ. (ΔΑΕΦΚ-ΚΕ ΤΜΗΜΑ Δ)</t>
  </si>
  <si>
    <t>056724365</t>
  </si>
  <si>
    <t>6972084481</t>
  </si>
  <si>
    <t>egemeliari@civilprotection.gr</t>
  </si>
  <si>
    <t>irene.gemeliari@gmail.com</t>
  </si>
  <si>
    <t>14174</t>
  </si>
  <si>
    <t>ΓΕΩΡΓΙΟΥ ΚΩΝΣΤΑΝΤΙΝΟΣ - ΤΕ ΜΗΧΑΝΙΚΩΝ (ΔΑΕΦΚ-ΚΕ)</t>
  </si>
  <si>
    <t>067980030</t>
  </si>
  <si>
    <t>kgeorgiou@civilprotection.gr</t>
  </si>
  <si>
    <t>14378</t>
  </si>
  <si>
    <t>ΓΙΑΒΡΟΥΤΑ ΛΑΜΠΡΙΝΗ - ΤΕ ΜΗΧΑΝΙΚΩΝ (ΔΑΕΦΚ-ΚΕ ΤΜΗΜΑ Δ)</t>
  </si>
  <si>
    <t>158182687</t>
  </si>
  <si>
    <t>lgiavrouta@civilprotection.gr</t>
  </si>
  <si>
    <t>12108</t>
  </si>
  <si>
    <t>ΓΙΑΝΝΕΛΟΣ ΙΩΑΝΝΗΣ - ΠΕ ΤΟΠ. ΜΗΧ. (ΔΑΕΦΚ-ΚΕ ΤΜΗΜΑ Δ)</t>
  </si>
  <si>
    <t>109400088</t>
  </si>
  <si>
    <t>6944377718</t>
  </si>
  <si>
    <t>igiannelos@civilprotection.gr</t>
  </si>
  <si>
    <t>iugiann@yahoo.gr</t>
  </si>
  <si>
    <t>14330</t>
  </si>
  <si>
    <t>ΓΙΑΝΝΟΥΛΑΣ ΠΑΝΑΓΙΩΤΗΣ - ΠΕ ΑΡΧ. ΜΗΧ. (ΔΑΕΦΚ-ΚΕ ΤΜΗΜΑ Δ)</t>
  </si>
  <si>
    <t>045203505</t>
  </si>
  <si>
    <t>pgiannoulas@civilprotection.gr</t>
  </si>
  <si>
    <t>12428</t>
  </si>
  <si>
    <t>ΓΙΑΝΝΟΥΤΣΟΣ ΑΝΤΩΝΙΟΣ - ΠΕ ΠΟΛ. ΜΗΧ. (ΔΑΕΦΚ-ΚΕ ΤΜΗΜΑ Δ)</t>
  </si>
  <si>
    <t>042461015</t>
  </si>
  <si>
    <t>6974106510</t>
  </si>
  <si>
    <t>agiannoutsos@civilprotection.gr</t>
  </si>
  <si>
    <t>14320</t>
  </si>
  <si>
    <t>ΓΡΙΒΑΣ ΣΠΥΡΙΔΩΝ</t>
  </si>
  <si>
    <t>ΓΡΙΒΑΣ ΣΠΥΡΙΔΩΝ - ΤΕ ΜΗΧΑΝΙΚΩΝ (ΓΡΑΦΕΙΟ ΥΠΟΥΡΓΟΥ ΥΜΕ)</t>
  </si>
  <si>
    <t>118201000</t>
  </si>
  <si>
    <t>6979748420</t>
  </si>
  <si>
    <t>sgrivas@civilprotection.gr</t>
  </si>
  <si>
    <t>spirosgrivas@hotmail.gr</t>
  </si>
  <si>
    <t>14385</t>
  </si>
  <si>
    <t>ΔΑΒΡΗΣ ΧΡΗΣΤΟΣ</t>
  </si>
  <si>
    <t>ΔΑΒΡΗΣ ΧΡΗΣΤΟΣ - ΠΕ ΜΗΧΑΝΙΚΩΝ (ΔΑΕΦΚ-ΚΕ ΤΜΗΜΑ Δ)</t>
  </si>
  <si>
    <t>142932724</t>
  </si>
  <si>
    <t>6930779909</t>
  </si>
  <si>
    <t>chdavris@civilprotection.gr</t>
  </si>
  <si>
    <t>14389</t>
  </si>
  <si>
    <t>ΔΗΜΑΚΟΓΙΑΝΝΗ ΑΓΓΕΛΙΚΗ - ΠΕ ΜΗΧΑΝΙΚΩΝ (ΔΑΕΦΚ-ΚΕ ΤΜΗΜΑ Δ)</t>
  </si>
  <si>
    <t>067090185</t>
  </si>
  <si>
    <t>adimakogianni@civilprotection.gr</t>
  </si>
  <si>
    <t>12010</t>
  </si>
  <si>
    <t>ΔΙΑΜΑΝΤΟΠΟΥΛΟΣ ΦΩΤΙΟΣ - ΠΕ ΠΟΛ. ΜΗΧ. (ΔΑΕΦΚ-ΚΕ ΤΜΗΜΑ Δ)</t>
  </si>
  <si>
    <t>047680563</t>
  </si>
  <si>
    <t>fdiamantopoulos@civilprotection.gr</t>
  </si>
  <si>
    <t>14391</t>
  </si>
  <si>
    <t>ΕΜΜΑΝΟΥΗΛ ΒΑΣΙΛΙΚΗ - ΠΕ ΠΟΛ. ΜΗΧ. (ΔΑΕΦΚ-ΚΕ ΤΜΗΜΑ Δ)</t>
  </si>
  <si>
    <t>152203210</t>
  </si>
  <si>
    <t>vemmanouil@civilprotection.gr</t>
  </si>
  <si>
    <t>12314</t>
  </si>
  <si>
    <t>ΖΑΓΚΑ ΕΙΡΗΝΗ - ΠΕ ΠΟΛ. ΜΗΧ. (ΔΑΕΦΚ-ΚΕ ΤΜΗΜΑ Δ)</t>
  </si>
  <si>
    <t>102354403</t>
  </si>
  <si>
    <t>6976058607</t>
  </si>
  <si>
    <t>ezagka@civilprotection.gr</t>
  </si>
  <si>
    <t>eirinizaga@yahoo.com</t>
  </si>
  <si>
    <t>12044</t>
  </si>
  <si>
    <t>ΖΟΡΜΠΑΣ ΧΑΡΙΣΙΟΣ - ΤΕ ΠΟΛ. ΜΗΧ. (ΔΑΕΦΚ-ΚΕ ΤΜΗΜΑ Δ)</t>
  </si>
  <si>
    <t>045412548</t>
  </si>
  <si>
    <t>6978333756</t>
  </si>
  <si>
    <t>chzormpas@civilprotection.gr</t>
  </si>
  <si>
    <t>x.zorbas67@gmail.com</t>
  </si>
  <si>
    <t>14321</t>
  </si>
  <si>
    <t>ΖΟΥΓΡΗΣ ΔΗΜΗΤΡΙΟΣ - ΤΕ ΜΗΧΑΝΙΚΩΝ (ΔΑΕΦΚ-ΚΕ ΤΜΗΜΑ Δ)</t>
  </si>
  <si>
    <t>160807552</t>
  </si>
  <si>
    <t>dzougris@civilprotection.gr</t>
  </si>
  <si>
    <t>12463</t>
  </si>
  <si>
    <t>ΚΑΛΟΜΠΑΡΗΣ ΚΥΡΙΑΚΟΣ - ΠΕ ΑΡΧ. ΜΗΧ. (ΔΑΕΦΚ-ΚΕ ΤΜΗΜΑ Δ)</t>
  </si>
  <si>
    <t>040180836</t>
  </si>
  <si>
    <t>6978993984</t>
  </si>
  <si>
    <t>kkalomparis@civilprotection.gr</t>
  </si>
  <si>
    <t>14334</t>
  </si>
  <si>
    <t>ΚΑΡΑΒΙΑΣ ΔΗΜΗΤΡΙΟΣ - ΠΕ ΠΟΛ. ΜΗΧ. (ΔΑΕΦΚ-ΚΕ ΤΜΗΜΑ Δ)</t>
  </si>
  <si>
    <t>125478746</t>
  </si>
  <si>
    <t>dkaravias@civilprotection.gr</t>
  </si>
  <si>
    <t>d.karavias.ggde@gmail.com</t>
  </si>
  <si>
    <t>12143</t>
  </si>
  <si>
    <t>ΚΑΡΑΓΙΑΝΝΗΣ ΦΩΤΙΟΣ</t>
  </si>
  <si>
    <t>ΚΑΡΑΓΙΑΝΝΗΣ ΦΩΤΙΟΣ - ΠΕ ΠΟΛ. ΜΗΧ. (ΟΑΣΠ)</t>
  </si>
  <si>
    <t>038102894</t>
  </si>
  <si>
    <t>fkaragiannis@civilprotection.gr</t>
  </si>
  <si>
    <t>14335</t>
  </si>
  <si>
    <t>ΚΑΡΑΘΑΝΑΣΗΣ ΝΙΚΟΛΑΟΣ - ΠΕ ΠΟΛ. ΜΗΧ. (ΔΑΕΦΚ-ΚΕ ΤΜΗΜΑ Δ)</t>
  </si>
  <si>
    <t>047248900</t>
  </si>
  <si>
    <t>nkarathanasis@civilprotection.gr</t>
  </si>
  <si>
    <t>12144</t>
  </si>
  <si>
    <t>ΚΑΡΒΕΛΕΑΣ ΝΙΚΟΛΑΟΣ</t>
  </si>
  <si>
    <t>ΚΑΡΒΕΛΕΑΣ ΝΙΚΟΛΑΟΣ - ΠΕ ΠΟΛ. ΜΗΧ. (ΟΑΣΠ)</t>
  </si>
  <si>
    <t>045196583</t>
  </si>
  <si>
    <t>nkarveleas@civilprotection.gr</t>
  </si>
  <si>
    <t>14394</t>
  </si>
  <si>
    <t>ΚΑΤΣΑΒΡΙΑ ΚΩΝΣΤΑΝΤΙΝΑ</t>
  </si>
  <si>
    <t>ΚΑΤΣΑΒΡΙΑ ΚΩΝΣΤΑΝΤΙΝΑ - ΠΕ ΜΗΧΑΝΙΚΩΝ (ΔΑΕΦΚ-ΚΕ ΤΜΗΜΑ Δ)</t>
  </si>
  <si>
    <t>124669320</t>
  </si>
  <si>
    <t>6936294302</t>
  </si>
  <si>
    <t>kkatsavria@civilprotection.gr</t>
  </si>
  <si>
    <t>dinakat31@gmail.com</t>
  </si>
  <si>
    <t>86715</t>
  </si>
  <si>
    <t>ΚΑΤΣΙΓΙΑΝΝΗΣ ΒΑΣΙΛΕΙΟΣ - ΤΕ ΠΟΛ. ΜΗΧ. (ΔΑΕΦΚ-ΚΕ ΤΜΗΜΑ Δ)</t>
  </si>
  <si>
    <t>076000458</t>
  </si>
  <si>
    <t>vkatsigiannis@civilprotection.gr</t>
  </si>
  <si>
    <t>12001</t>
  </si>
  <si>
    <t>ΚΑΤΣΙΩΛΗ ΜΑΡΙΑ - ΠΕ ΠΟΛ. ΜΗΧ. (ΔΑΕΦΚ-ΚΕ ΤΜΗΜΑ Δ)</t>
  </si>
  <si>
    <t>046252177</t>
  </si>
  <si>
    <t>6937084222</t>
  </si>
  <si>
    <t>mkatsioli@civilprotection.gr</t>
  </si>
  <si>
    <t>mkatsioli@yahoo.gr</t>
  </si>
  <si>
    <t>14226</t>
  </si>
  <si>
    <t>ΚΑΤΩΓΙΑΝΝΑΚΗ ΣΟΦΙΑ - ΠΕ ΑΡΧ. ΜΗΧ. (ΔΑΕΦΚ-ΚΕ ΤΜΗΜΑ Δ)</t>
  </si>
  <si>
    <t>118633590</t>
  </si>
  <si>
    <t>skatogiannaki@civilprotection.gr</t>
  </si>
  <si>
    <t>sofkatogi@yahoo.gr</t>
  </si>
  <si>
    <t>12003</t>
  </si>
  <si>
    <t>ΚΕΡΚΕΜΕΖΟΥ ΓΕΩΡΓΙΑ - ΠΕ ΠΟΛ. ΜΗΧ. (ΔΑΕΦΚ-ΚΕ ΤΜΗΜΑ Δ)</t>
  </si>
  <si>
    <t>102303753</t>
  </si>
  <si>
    <t>6972072589</t>
  </si>
  <si>
    <t>gkerkemezou@civilprotection.gr</t>
  </si>
  <si>
    <t>13582</t>
  </si>
  <si>
    <t>ΚΟΥΓΙΟΥΜΤΖΗ ΑΓΓΕΛΙΚΗ - ΠΕ ΠΟΛ. ΜΗΧ. (ΔΑΕΦΚ-ΚΕ ΤΜΗΜΑ Δ)</t>
  </si>
  <si>
    <t>061951022</t>
  </si>
  <si>
    <t>6932900686</t>
  </si>
  <si>
    <t>akougioumtzi@civilprotection.gr</t>
  </si>
  <si>
    <t>a.kougioumtzi71@hotmail.com</t>
  </si>
  <si>
    <t>12696</t>
  </si>
  <si>
    <t>ΚΟΥΜΟΥΤΣΟΣ ΝΙΚΟΛΑΟΣ - ΠΕ ΠΟΛ. ΜΗΧ. (ΔΑΕΦΚ-ΚΕ ΤΜΗΜΑ Δ)</t>
  </si>
  <si>
    <t>047253368</t>
  </si>
  <si>
    <t>6999854936</t>
  </si>
  <si>
    <t>nkoumoutsos@civilprotection.gr</t>
  </si>
  <si>
    <t>12312</t>
  </si>
  <si>
    <t>ΚΟΥΣΗ ΒΑΣΙΛΙΚΗ - ΠΕ ΑΡΧ. ΜΗΧ. (ΔΑΕΦΚ-ΚΕ ΤΜΗΜΑ Δ)</t>
  </si>
  <si>
    <t>046382562</t>
  </si>
  <si>
    <t>6977395456</t>
  </si>
  <si>
    <t>vkousi@civilprotection.gr</t>
  </si>
  <si>
    <t>14162</t>
  </si>
  <si>
    <t>ΚΟΥΤΣΑΝΙΤΗΣ ΣΤΕΡΓΙΟΣ</t>
  </si>
  <si>
    <t>ΚΟΥΤΣΑΝΙΤΗΣ ΣΤΕΡΓΙΟΣ - ΠΕ ΜΗΧΑΝΙΚΩΝ (ΔΑΕΦΚ-ΚΕ ΤΜΗΜΑ Δ)</t>
  </si>
  <si>
    <t>151030529</t>
  </si>
  <si>
    <t>6979014132</t>
  </si>
  <si>
    <t>skoutsanitis@civilprotection.gr</t>
  </si>
  <si>
    <t>taefkaa.koutsanitis@gmail.com</t>
  </si>
  <si>
    <t>12390</t>
  </si>
  <si>
    <t>ΚΥΡΙΑΚΑΚΗ ΦΩΤΕΙΝΗ - ΠΕ ΑΡΧ. ΜΗΧ. (ΔΑΕΦΚ-ΚΕ ΤΜΗΜΑ Δ)</t>
  </si>
  <si>
    <t>044237338</t>
  </si>
  <si>
    <t>6972915741</t>
  </si>
  <si>
    <t>fkyriakaki@civilprotection.gr</t>
  </si>
  <si>
    <t>efikyriakaki@gmail.com</t>
  </si>
  <si>
    <t>14234</t>
  </si>
  <si>
    <t>ΛΙΩΡΗΣ ΒΑΣΙΛΕΙΟΣ</t>
  </si>
  <si>
    <t>ΛΙΩΡΗΣ ΒΑΣΙΛΕΙΟΣ - ΠΕ ΜΗΧΑΝΙΚΩΝ (ΔΑΕΦΚ-ΚΕ ΤΜΗΜΑ Δ)</t>
  </si>
  <si>
    <t>069381586</t>
  </si>
  <si>
    <t>6944546991</t>
  </si>
  <si>
    <t>vlioris@civilprotection.gr</t>
  </si>
  <si>
    <t>b.lioris@hotmail.com</t>
  </si>
  <si>
    <t>12097</t>
  </si>
  <si>
    <t>ΜΑΝΗΣΑΛΗ ΓΕΝΟΒΕΦΑ - ΠΕ ΠΟΛ. ΜΗΧ. (ΔΑΕΦΚ-ΚΕ ΤΜΗΜΑ Δ)</t>
  </si>
  <si>
    <t>046471940</t>
  </si>
  <si>
    <t>6972210917</t>
  </si>
  <si>
    <t>gmanisali@civilprotection.gr</t>
  </si>
  <si>
    <t>genomanisali@gmail.com</t>
  </si>
  <si>
    <t>12170</t>
  </si>
  <si>
    <t>ΜΑΡΓΙΟΛΗΣ ΠΟΛΥΧΡΟΝΗΣ - ΠΕ ΠΟΛ. ΜΗΧ. (ΔΑΕΦΚ-ΚΕ ΤΜΗΜΑ Δ)</t>
  </si>
  <si>
    <t>066048827</t>
  </si>
  <si>
    <t>6936970927</t>
  </si>
  <si>
    <t>pmargiolis@civilprotection.gr</t>
  </si>
  <si>
    <t>hronismarg@gmail.com</t>
  </si>
  <si>
    <t>14384</t>
  </si>
  <si>
    <t>ΜΑΡΚΟΥΤΣΑΚΗ ΚΩΝΣΤΑΝΤΙΝΑ</t>
  </si>
  <si>
    <t>ΜΑΡΚΟΥΤΣΑΚΗ ΚΩΝΣΤΑΝΤΙΝΑ - ΤΕ ΜΗΧΑΝΙΚΩΝ (ΔΑΕΦΚ-ΚΕ ΤΜΗΜΑ Δ)</t>
  </si>
  <si>
    <t>155045048</t>
  </si>
  <si>
    <t>6978375539</t>
  </si>
  <si>
    <t>kmarkoutsaki@civilprotection.gr</t>
  </si>
  <si>
    <t>kmarkoutsaki@gmail.com</t>
  </si>
  <si>
    <t>5748</t>
  </si>
  <si>
    <t>ΜΠΑΜΠΙΛΗ ΒΙΚΤΩΡΙΑ - ΠΕ ΠΟΛ. ΜΗΧ. (ΔΑΕΦΚ-ΚΕ ΤΜΗΜΑ Δ)</t>
  </si>
  <si>
    <t>041596329</t>
  </si>
  <si>
    <t>vmpampili@civilprotection.gr</t>
  </si>
  <si>
    <t>14398</t>
  </si>
  <si>
    <t>ΜΠΙΚΑ ΜΑΡΙΑ - ΠΕ ΑΡΧ. ΜΗΧ. (ΔΑΕΦΚ-ΚΕ ΤΜΗΜΑ Δ)</t>
  </si>
  <si>
    <t>150040377</t>
  </si>
  <si>
    <t>mmpika@civilprotection.gr</t>
  </si>
  <si>
    <t>12432</t>
  </si>
  <si>
    <t>ΜΠΟΥΚΟΥΡΑΚΗΣ ΣΩΤΗΡΙΟΣ - ΠΕ ΠΟΛ. ΜΗΧ. (ΔΑΕΦΚ-ΚΕ ΤΜΗΜΑ Δ)</t>
  </si>
  <si>
    <t>075364569</t>
  </si>
  <si>
    <t>6977628647</t>
  </si>
  <si>
    <t>smpoukourakis@civilprotection.gr</t>
  </si>
  <si>
    <t>14406</t>
  </si>
  <si>
    <t>ΝΟΥΤΣΑ ΕΛΠΙΝΙΚΗ - ΠΕ ΠΟΛ. ΜΗΧ. (ΔΑΕΦΚ-ΚΕ ΤΜΗΜΑ Δ)</t>
  </si>
  <si>
    <t>118840922</t>
  </si>
  <si>
    <t>enoutsa@civilprotection.gr</t>
  </si>
  <si>
    <t>14407</t>
  </si>
  <si>
    <t>ΝΤΑΛΑΠΕΡΑΣ ΓΕΩΡΓΙΟΣ - ΠΕ ΠΟΛ. ΜΗΧ. (ΔΑΕΦΚ-ΚΕ ΤΜΗΜΑ Δ)</t>
  </si>
  <si>
    <t>164603872</t>
  </si>
  <si>
    <t>gntalaperas@civilprotection.gr</t>
  </si>
  <si>
    <t>12441</t>
  </si>
  <si>
    <t>ΠΑΠΑΕΥΘΥΜΙΟΥ-ΓΩΓΟΣ ΓΕΩΡΓΙΟΣ - ΠΕ ΑΡΧ. ΜΗΧ. (ΔΑΕΦΚ-ΚΕ ΤΜΗΜΑ Δ)</t>
  </si>
  <si>
    <t>027945394</t>
  </si>
  <si>
    <t>6948358027</t>
  </si>
  <si>
    <t>gpapaefthymiou@civilprotection.gr</t>
  </si>
  <si>
    <t>g.papaefthimiou@yas.gr</t>
  </si>
  <si>
    <t>14387</t>
  </si>
  <si>
    <t>ΠΑΡΔΑΛΗ ΑΝΑΣΤΑΣΙΑ - ΤΕ ΜΗΧΑΝΙΚΩΝ (ΔΑΕΦΚ-ΚΕ ΤΜΗΜΑ Δ)</t>
  </si>
  <si>
    <t>300688229</t>
  </si>
  <si>
    <t>apardali@civilprotection.gr</t>
  </si>
  <si>
    <t>14463</t>
  </si>
  <si>
    <t>ΠΑΥΛΑΚΟΥ ΚΩΝΣΤΑΝΤΙΝΑ</t>
  </si>
  <si>
    <t>ΠΑΥΛΑΚΟΥ ΚΩΝΣΤΑΝΤΙΝΑ - ΠΕ ΜΗΧΑΝΙΚΩΝ (ΔΑΕΦΚ-ΚΕ ΤΜΗΜΑ Δ)</t>
  </si>
  <si>
    <t>154974767</t>
  </si>
  <si>
    <t>6944822246</t>
  </si>
  <si>
    <t>kapavlakou@civilprotection.gr</t>
  </si>
  <si>
    <t>kpavlakou163@gmail.com</t>
  </si>
  <si>
    <t>12229</t>
  </si>
  <si>
    <t>ΠΑΥΛΑΤΟΣ ΚΩΝΣΤΑΝΤΙΝΟΣ - ΠΕ ΠΟΛ. ΜΗΧ. (ΔΑΕΦΚ-ΚΕ ΤΜΗΜΑ Δ)</t>
  </si>
  <si>
    <t>046747280</t>
  </si>
  <si>
    <t>6972015813</t>
  </si>
  <si>
    <t>kpavlatos@civilprotection.gr</t>
  </si>
  <si>
    <t>14410</t>
  </si>
  <si>
    <t>ΠΟΖΙΟΥ ΚΑΣΣΙΑΝΗ - ΠΕ ΠΟΛ. ΜΗΧ. (ΔΑΕΦΚ-ΚΕ ΤΜΗΜΑ Δ)</t>
  </si>
  <si>
    <t>116121655</t>
  </si>
  <si>
    <t>kpoziou@civilprotection.gr</t>
  </si>
  <si>
    <t>12318</t>
  </si>
  <si>
    <t>ΡΟΥΣΣΟΥ ΓΑΡΥΦΑΛΛΙΑ - ΑΦΡΟΔΙΤΗ - ΠΕ ΠΟΛ. ΜΗΧ. (ΔΑΕΦΚ-ΚΕ ΤΜΗΜΑ Δ)</t>
  </si>
  <si>
    <t>044545022</t>
  </si>
  <si>
    <t>6977224085</t>
  </si>
  <si>
    <t>groussou@civilprotection.gr</t>
  </si>
  <si>
    <t>14323</t>
  </si>
  <si>
    <t>ΣΑΡΛΑΣ ΜΑΡΙΝΟΣ - ΤΕ ΜΗΧΑΝΙΚΩΝ (ΔΑΕΦΚ-ΚΕ ΤΜΗΜΑ Δ)</t>
  </si>
  <si>
    <t>122208175</t>
  </si>
  <si>
    <t>msarlas@civilprotection.gr</t>
  </si>
  <si>
    <t>marinosarlas@gmail.com</t>
  </si>
  <si>
    <t>14416</t>
  </si>
  <si>
    <t>ΣΑΡΛΗ ΒΑΣΙΛΙΚΗ</t>
  </si>
  <si>
    <t>ΣΑΡΛΗ ΒΑΣΙΛΙΚΗ - ΠΕ ΜΗΧΑΝΙΚΩΝ (ΔΑΕΦΚ-ΚΕ ΤΜΗΜΑ Δ)</t>
  </si>
  <si>
    <t>115757844</t>
  </si>
  <si>
    <t>6938804004</t>
  </si>
  <si>
    <t>vsarli@civilprotection.gr</t>
  </si>
  <si>
    <t>v_sarli@yahoo.gr</t>
  </si>
  <si>
    <t>14417</t>
  </si>
  <si>
    <t>ΣΙΑΤΗ ΕΛΕΝΗ - ΠΕ ΠΟΛ. ΜΗΧ. (ΔΑΕΦΚ-ΚΕ ΤΜΗΜΑ Δ)</t>
  </si>
  <si>
    <t>047177644</t>
  </si>
  <si>
    <t>6945853478</t>
  </si>
  <si>
    <t>esiati@civilprotection.gr</t>
  </si>
  <si>
    <t>14418</t>
  </si>
  <si>
    <t>ΣΙΓΑΛΑΚΟΥ ΕΛΕΝΗ</t>
  </si>
  <si>
    <t>ΣΙΓΑΛΑΚΟΥ ΕΛΕΝΗ - ΠΕ ΜΗΧΑΝΙΚΩΝ (ΔΑΕΦΚ-ΚΕ)</t>
  </si>
  <si>
    <t>154569080</t>
  </si>
  <si>
    <t>6980812458</t>
  </si>
  <si>
    <t>esigalakou@civilprotection.gr</t>
  </si>
  <si>
    <t>elenisigalakou@gmail.com</t>
  </si>
  <si>
    <t>12319</t>
  </si>
  <si>
    <t>ΣΠΑΝΟΥΔΗ ΜΑΡΙΑ - ΠΕ ΠΟΛ. ΜΗΧ. (ΔΑΕΦΚ-ΚΕ ΤΜΗΜΑ Δ)</t>
  </si>
  <si>
    <t>043910947</t>
  </si>
  <si>
    <t>6948254859</t>
  </si>
  <si>
    <t>mspanoudi@civilprotection.gr</t>
  </si>
  <si>
    <t>14460</t>
  </si>
  <si>
    <t>ΣΠΥΡΙΔΗ ΑΙΚΑΤΕΡΙΝΗ</t>
  </si>
  <si>
    <t>ΣΠΥΡΙΔΗ ΑΙΚΑΤΕΡΙΝΗ - ΤΕ ΜΗΧΑΝΙΚΩΝ (ΔΑΕΦΚ-ΚΕ ΤΜΗΜΑ Α)</t>
  </si>
  <si>
    <t>127610075</t>
  </si>
  <si>
    <t>6987986829</t>
  </si>
  <si>
    <t>kspyridi@civilprotection.gr</t>
  </si>
  <si>
    <t>k.spiridi@gmail.com</t>
  </si>
  <si>
    <t>14324</t>
  </si>
  <si>
    <t>ΣΠΥΡΟΠΟΥΛΟΥ ΓΑΡΥΦΑΛΙΑ</t>
  </si>
  <si>
    <t>ΣΠΥΡΟΠΟΥΛΟΥ ΓΑΡΥΦΑΛΙΑ - ΤΕ ΜΗΧΑΝΙΚΩΝ (ΔΑΕΦΚ-ΚΕ ΤΜΗΜΑ Δ)</t>
  </si>
  <si>
    <t>035899281</t>
  </si>
  <si>
    <t>6974921261</t>
  </si>
  <si>
    <t>gspyropoulou@civilprotection.gr</t>
  </si>
  <si>
    <t>lspiropoulou1@gmail.com</t>
  </si>
  <si>
    <t>14419</t>
  </si>
  <si>
    <t>ΣΤΑΜΑΤΟΓΙΑΝΝΗ ΜΑΡΙΑ - ΠΕ ΠΟΛ. ΜΗΧ. (ΔΑΕΦΚ-ΚΕ ΤΜΗΜΑ Δ)</t>
  </si>
  <si>
    <t>134737353</t>
  </si>
  <si>
    <t>mstamatogianni@civilprotection.gr</t>
  </si>
  <si>
    <t>14342</t>
  </si>
  <si>
    <t>ΤΣΙΓΓΕΡΙΔΗΣ ΕΥΘΥΜΙΟΣ - ΠΕ ΠΟΛ. ΜΗΧ. (ΔΑΕΦΚ-ΚΕ ΤΜΗΜΑ Δ)</t>
  </si>
  <si>
    <t>158159660</t>
  </si>
  <si>
    <t>etsingeridis@civilprotection.gr</t>
  </si>
  <si>
    <t>timtsiger2@gmail.com</t>
  </si>
  <si>
    <t>14280</t>
  </si>
  <si>
    <t>ΔΙΑΚΡΟΥΣΗΣ ΣΤΥΛΙΑΝΟΣ-ΓΕΡΑΣΙΜΟΣ - ΠΕ ΜΗΧ. ΟΡ. ΠΟΡΩΝ (ΤΑΕΦΚ ΧΑΝΙΩΝ)</t>
  </si>
  <si>
    <t>132440353</t>
  </si>
  <si>
    <t>14360</t>
  </si>
  <si>
    <t>ΚΙΜΙΩΝΗ ΜΑΡΙΑ - ΠΕ ΜΗΧ. ΠΕΡΙΒΑΛ. (ΤΑΕΦΚ ΧΑΝΙΩΝ)</t>
  </si>
  <si>
    <t>071509970</t>
  </si>
  <si>
    <t>14279</t>
  </si>
  <si>
    <t>ΚΟΣΜΑΔΑΚΗ ΙΩΑΝΝΑ - ΤΕ ΜΗΧΑΝΙΚΩΝ (ΤΑΕΦΚ ΧΑΝΙΩΝ)</t>
  </si>
  <si>
    <t>054591384</t>
  </si>
  <si>
    <t>14284</t>
  </si>
  <si>
    <t>ΜΙΧΕΛΑΚΗΣ ΓΕΩΡΓΙΟΣ - ΠΕ ΗΛ. ΜΗΧ. (ΤΑΕΦΚ ΧΑΝΙΩΝ)</t>
  </si>
  <si>
    <t>101597280</t>
  </si>
  <si>
    <t>14286</t>
  </si>
  <si>
    <t>ΜΠΟΛΙΟΥΔΑΚΗΣ ΕΜΜΑΝΟΥΗΛ - ΤΕ ΜΗΧΑΝΙΚΩΝ (ΤΑΕΦΚ ΧΑΝΙΩΝ)</t>
  </si>
  <si>
    <t>150397225</t>
  </si>
  <si>
    <t>14278</t>
  </si>
  <si>
    <t>ΜΠΟΤΩΝΑΚΗΣ ΔΗΜΗΤΡΙΟΣ - ΠΕ ΜΗΧ. ΟΡ. ΠΟΡΩΝ (ΤΑΕΦΚ ΧΑΝΙΩΝ)</t>
  </si>
  <si>
    <t>120239992</t>
  </si>
  <si>
    <t>14359</t>
  </si>
  <si>
    <t>ΝΤΑΛΛΑΣ ΑΝΤΩΝΙΟΣ - ΠΕ ΠΟΛ. ΜΗΧ. (ΤΑΕΦΚ ΧΑΝΙΩΝ)</t>
  </si>
  <si>
    <t>101555946</t>
  </si>
  <si>
    <t>14287</t>
  </si>
  <si>
    <t>ΞΥΛΑΣ ΔΗΜΗΤΡΙΟΣ - ΠΕ ΜΗΧ. ΠΕΡΙΒΑΛ. (ΤΑΕΦΚ ΧΑΝΙΩΝ)</t>
  </si>
  <si>
    <t>116821101</t>
  </si>
  <si>
    <t>14292</t>
  </si>
  <si>
    <t>ΠΑΤΕΡΑΚΗ ΔΕΣΠΟΙΝΑ - ΠΕ ΜΗΧ. ΧΩΡ. (ΤΑΕΦΚ ΧΑΝΙΩΝ)</t>
  </si>
  <si>
    <t>136404996</t>
  </si>
  <si>
    <t>14293</t>
  </si>
  <si>
    <t>ΠΕΝΤΑΡΗΣ ΑΝΔΡΕΑΣ - ΤΕ ΜΗΧΑΝΙΚΩΝ (ΤΑΕΦΚ ΧΑΝΙΩΝ)</t>
  </si>
  <si>
    <t>161566922</t>
  </si>
  <si>
    <t>14305</t>
  </si>
  <si>
    <t>ΣΤΡΑΠΑΤΣΑΚΗΣ ΣΤΥΛΙΑΝΟΣ - ΠΕ ΜΗΧ. ΜΗΧ. (ΤΑΕΦΚ ΧΑΝΙΩΝ)</t>
  </si>
  <si>
    <t>065081076</t>
  </si>
  <si>
    <t>14294</t>
  </si>
  <si>
    <t>ΦΕΛΕΣΑΚΗ ΧΡΙΣΤΙΝΗ - ΤΕ ΜΗΧΑΝΙΚΩΝ (ΤΑΕΦΚ ΧΑΝΙΩΝ)</t>
  </si>
  <si>
    <t>120229520</t>
  </si>
  <si>
    <t>14295</t>
  </si>
  <si>
    <t>ΦΙΩΤΟΔΗΜΗΤΡΑΚΗ ΘΕΟΔΩΣΙΑ - ΠΕ ΧΗΜ. ΜΗΧ. (ΤΑΕΦΚ ΧΑΝΙΩΝ)</t>
  </si>
  <si>
    <t>150365092</t>
  </si>
  <si>
    <t>14362</t>
  </si>
  <si>
    <t>ΦΡΑΤΖΕΣΚΑΚΗ ΕΥΑΓΓΕΛΙΑ - ΤΕ ΜΗΧΑΝΙΚΩΝ (ΤΑΕΦΚ ΧΑΝΙΩΝ)</t>
  </si>
  <si>
    <t>155041965</t>
  </si>
  <si>
    <t>14296</t>
  </si>
  <si>
    <t>ΧΑΡΑΛΑΜΠΙΔΗ ΒΑΡΒΑΡΑ - ΠΕ ΠΟΛ. ΜΗΧ. (ΤΑΕΦΚ ΧΑΝΙΩΝ)</t>
  </si>
  <si>
    <t>127719277</t>
  </si>
  <si>
    <t>α/α</t>
  </si>
  <si>
    <t>ΕΠΩΝΥΜΟ</t>
  </si>
  <si>
    <t>ΟΝΟΜΑ</t>
  </si>
  <si>
    <t>ΠΑΤΡΩΝΥΜΟ</t>
  </si>
  <si>
    <t>ΤΗΛΕΦΩΝΟ ΟΙΚΙΑΣ</t>
  </si>
  <si>
    <t>[Μ]/[Δ]</t>
  </si>
  <si>
    <t>ΣΧΕΣΗ ΕΡΓΑΣΙΑΣ</t>
  </si>
  <si>
    <t>ΥΠΗΡΕΤΕΙ ΤΩΡΑ</t>
  </si>
  <si>
    <t>ΚΛΙΜΑΚΙΟ</t>
  </si>
  <si>
    <t>ΗΜΕΡΟΜΗΝΙΑ, ΤΕΛΕΥΤΑΙΑΣ, ΑΛΛΑΓΗΣ</t>
  </si>
  <si>
    <t>ΗΜΕΡΟΜΗΝΙΑ, ΕΠΟΜΕΝΗΣ, ΑΛΛΑΓΗΣ</t>
  </si>
  <si>
    <t>ΑΠΟΦΑΣΕΙΣ 
ΠΑΡΑΤΗΡΗΣΕΙΣ</t>
  </si>
  <si>
    <t>ΑΛΕΞΟΠΟΥΛΟΥ</t>
  </si>
  <si>
    <t>ΝΙΚΟΛΙΤΣΑ</t>
  </si>
  <si>
    <t>ΔΗΜΗΤΡΙΟΣ</t>
  </si>
  <si>
    <t>053487141</t>
  </si>
  <si>
    <t>ΠΕ ΔΙΟΙΚ.-ΛΟΓ.</t>
  </si>
  <si>
    <t>Δ</t>
  </si>
  <si>
    <t>ΙΔΑΧ</t>
  </si>
  <si>
    <t>ΑΝΑΓΝΩΣΤΟΥ</t>
  </si>
  <si>
    <t>ΜΑΡΙΑ ΙΩΑΝΝΑ</t>
  </si>
  <si>
    <t>ΧΡΗΣΤΟΣ</t>
  </si>
  <si>
    <t>ΙΔΟΧ</t>
  </si>
  <si>
    <t>ΑΠΟΣΤΟΛΙΔΟΥ</t>
  </si>
  <si>
    <t>ΙΩΑΝΝΑ</t>
  </si>
  <si>
    <t>ΑΝΔΡΕΑΣ</t>
  </si>
  <si>
    <t>Μ</t>
  </si>
  <si>
    <t>ΒΑΜΒΑΚΙΑΝΟΣ</t>
  </si>
  <si>
    <t>ΑΛΕΞΑΝΔΡΟΣ</t>
  </si>
  <si>
    <t>ΠΑΝΤΕΛΕΗΜΩΝ</t>
  </si>
  <si>
    <t>ΓΑΒΡΙΛΙΑΔΗ</t>
  </si>
  <si>
    <t>ΑΦΡΟΔΙΤΗ</t>
  </si>
  <si>
    <t>ΠΑΝΑΓΙΩΤΗΣ</t>
  </si>
  <si>
    <t>ΓΕΩΡΓΟΠΟΥΛΟΥ</t>
  </si>
  <si>
    <t>ΜΑΡΙΑ</t>
  </si>
  <si>
    <t>ΣΠΥΡΙΔΩΝ</t>
  </si>
  <si>
    <t>ΔΙΑΜΑΝΤΟΠΟΥΛΟΣ</t>
  </si>
  <si>
    <t>ΓΕΩΡΓΙΟΣ</t>
  </si>
  <si>
    <t>ΚΩΝΣΤΑΝΤΙΝΟΣ</t>
  </si>
  <si>
    <t>ΖΑΡΑΓΚΑ</t>
  </si>
  <si>
    <t>ΚΑΛΛΙΟΠΗ</t>
  </si>
  <si>
    <t>ΘΕΜΙΣΤΟΚΛΗΣ</t>
  </si>
  <si>
    <t>023695268</t>
  </si>
  <si>
    <t>ΚΟΚΚΙΝΟΣ</t>
  </si>
  <si>
    <t>ΗΛΙΑΣ</t>
  </si>
  <si>
    <t>ΒΑΣΙΛΕΙΟΣ</t>
  </si>
  <si>
    <t>ΚΟΥΡΗ</t>
  </si>
  <si>
    <t>ΝΙΚΟΛΕΤΑ</t>
  </si>
  <si>
    <t>ΛΑΖΑΡΟΥ</t>
  </si>
  <si>
    <t>ΧΑΡΑΛΑΜΠΟΣ</t>
  </si>
  <si>
    <t>ΑΘΑΝΑΣΙΟΣ</t>
  </si>
  <si>
    <t>149952916</t>
  </si>
  <si>
    <t>ΛΑΜΠΡΙΔΟΥ</t>
  </si>
  <si>
    <t>ΜΑΡΙΝΑ</t>
  </si>
  <si>
    <t>ΜΙΧΑΗΛ</t>
  </si>
  <si>
    <t>069059638</t>
  </si>
  <si>
    <t>ΜΟΝΙΜΟΣ</t>
  </si>
  <si>
    <t>ΛΕΝΑ</t>
  </si>
  <si>
    <t>ΔΕΣΠΟΙΝΑ</t>
  </si>
  <si>
    <t>ΛΙΝΤΕΡΗΣ</t>
  </si>
  <si>
    <t>ΣΤΥΛΙΑΝΟΣ</t>
  </si>
  <si>
    <t>ΛΙΟΝΑΚΗ</t>
  </si>
  <si>
    <t>ΟΛΥΜΠΙΑ</t>
  </si>
  <si>
    <t>059142703</t>
  </si>
  <si>
    <t>ΜΑΚΡΗΣ</t>
  </si>
  <si>
    <t>ΑΥΓΟΥΣΤΙΝΟΣ</t>
  </si>
  <si>
    <t>ΙΩΑΝΝΗΣ</t>
  </si>
  <si>
    <t>ΜΟΣΧΟΥ</t>
  </si>
  <si>
    <t>ΓΕΩΡΓΙΑ</t>
  </si>
  <si>
    <t>033709119</t>
  </si>
  <si>
    <t>ΜΠΙΡΜΠΙΛΗ</t>
  </si>
  <si>
    <t>ΑΝΔΡΙΑΝΝΑ</t>
  </si>
  <si>
    <t>ΜΠΟΥΣΟΥΝΗΣ</t>
  </si>
  <si>
    <t>ΣΤΑΥΡΟΣ</t>
  </si>
  <si>
    <t>ΜΠΡΩΝΗΣ</t>
  </si>
  <si>
    <t>ΣΩΤΗΡΙΟΣ</t>
  </si>
  <si>
    <t>ΕΠΑΜΕΙΝΩΝΔΑΣ</t>
  </si>
  <si>
    <t>ΠΕ ΑΓΡ.-ΤΟΠ. ΜΗΧ.</t>
  </si>
  <si>
    <t>ΝΙΚΟΥ</t>
  </si>
  <si>
    <t>ΑΧΙΛΛΕΑΣ</t>
  </si>
  <si>
    <t>ΠΑΠΑΙΩΑΝΝΟΥ-ΜΠΟΥΤΣΙΝΗ</t>
  </si>
  <si>
    <t>ΑΝΝΑ-ΕΜΜΑΝΟΥΕΛΑ</t>
  </si>
  <si>
    <t>164620057</t>
  </si>
  <si>
    <t>ΠΑΤΕΡΑΚΗΣ</t>
  </si>
  <si>
    <t>ΑΝΤΩΝΙΟΣ</t>
  </si>
  <si>
    <t>ΠΟΛΙΤΗ</t>
  </si>
  <si>
    <t>ΣΤΑΥΡΙΑΝΑΚΗΣ</t>
  </si>
  <si>
    <t>ΗΡΑΚΛΗΣ</t>
  </si>
  <si>
    <t>ΤΣΕΡΜΟΥ</t>
  </si>
  <si>
    <t>ΦΕΙΔΑ</t>
  </si>
  <si>
    <t>ΖΩΗ</t>
  </si>
  <si>
    <t>ΑΡΙΣΤΟΤΕΛΗΣ</t>
  </si>
  <si>
    <t>068684759</t>
  </si>
  <si>
    <t>2106617928</t>
  </si>
  <si>
    <t>ΦΡΑΓΚΟΔΗΜΗΤΡΗ</t>
  </si>
  <si>
    <t>075174891</t>
  </si>
  <si>
    <t>ΦΩΤΕΙΝΟΠΟΥΛΟΣ</t>
  </si>
  <si>
    <t>ΠΡΟΚΟΠΙΟΣ</t>
  </si>
  <si>
    <t>ΝΙΚΟΛΑΟΣ</t>
  </si>
  <si>
    <t>042018160</t>
  </si>
  <si>
    <t>ΧΑΡΑΛΑΜΠΙΔΟΥ</t>
  </si>
  <si>
    <t>ΠΑΝΑΓΙΩΤΑ</t>
  </si>
  <si>
    <t>054175303</t>
  </si>
  <si>
    <t>ΧΟΝΤΑΣ</t>
  </si>
  <si>
    <t>ΑΠΟΣΤΟΛΟΣ</t>
  </si>
  <si>
    <t>ΑΓΓΕΛΗ</t>
  </si>
  <si>
    <t>ΚΩΝΣΤΑΝΤΙΝΑ</t>
  </si>
  <si>
    <t>ΔΑΕΦΚ-ΑΚ</t>
  </si>
  <si>
    <t>ΙΣΙΔΩΡΑ</t>
  </si>
  <si>
    <t>151036811</t>
  </si>
  <si>
    <t>ΑΝΔΡΙΟΛΑ</t>
  </si>
  <si>
    <t>ΠΑΡΑΣΚΕΥΗ</t>
  </si>
  <si>
    <t>ΔΙΟΝΥΣΙΟΣ</t>
  </si>
  <si>
    <t>079071113</t>
  </si>
  <si>
    <t>ΑΤΑΜΕΓΚΟΣ</t>
  </si>
  <si>
    <t>ΓΡΗΓΟΡΙΟΣ</t>
  </si>
  <si>
    <t>ΒΑΪΛΑΚΗΣ</t>
  </si>
  <si>
    <t>ΒΑΣΙΛΑΚΟΠΟΥΛΟΣ</t>
  </si>
  <si>
    <t>ΒΕΝΕΤΣΑΝΟΣ</t>
  </si>
  <si>
    <t>ΓΕΜΕΛΙΑΡΗ</t>
  </si>
  <si>
    <t>ΕΙΡΗΝΗ</t>
  </si>
  <si>
    <t>ΓΕΩΡΓΙΟΥ</t>
  </si>
  <si>
    <t>ΑΝΝΑ-ΜΑΡΙΑ</t>
  </si>
  <si>
    <t>154880580</t>
  </si>
  <si>
    <t>ΔΑΣΚΑΛΟΠΟΥΛΟΥ</t>
  </si>
  <si>
    <t>ΜΑΓΔΑΛΗΝΗ</t>
  </si>
  <si>
    <t>ΘΕΟΔΩΡΟΣ</t>
  </si>
  <si>
    <t>138266911</t>
  </si>
  <si>
    <t>ΔΗΜΗΤΡΙΟΥ</t>
  </si>
  <si>
    <t>ΑΙΚΑΤΕΡΙΝΗ</t>
  </si>
  <si>
    <t>156447176</t>
  </si>
  <si>
    <t>ΦΩΤΙΟΣ</t>
  </si>
  <si>
    <t>ΔΟΛΓΥΡΑ</t>
  </si>
  <si>
    <t>130546778</t>
  </si>
  <si>
    <t>ΕΜΜΑΝΟΥΗΛ</t>
  </si>
  <si>
    <t>ΒΑΣΙΛΙΚΗ</t>
  </si>
  <si>
    <t>ΖΩΓΡΑΦΟΥ</t>
  </si>
  <si>
    <t>ΔΑΝΑΗ</t>
  </si>
  <si>
    <t>ΑΙΜΙΛΙΟΣ</t>
  </si>
  <si>
    <t>ΚΑΚΑΒΑ</t>
  </si>
  <si>
    <t>ΔΗΜΟΣΘΕΝΗΣ</t>
  </si>
  <si>
    <t>ΚΑΡΑΓΙΑΝΝΗΣ</t>
  </si>
  <si>
    <t>ΚΑΡΑΚΩΣΤΑΣ</t>
  </si>
  <si>
    <t>ΚΑΡΑΤΖΑ</t>
  </si>
  <si>
    <t>115932141</t>
  </si>
  <si>
    <t>ΚΑΡΠΟΥΖΟΥ</t>
  </si>
  <si>
    <t>ΝΕΚΤΑΡΙΑ</t>
  </si>
  <si>
    <t>ΤΡΥΦΩΝ</t>
  </si>
  <si>
    <t>ΚΕΧΡΙΜΠΑΡΗ</t>
  </si>
  <si>
    <t>ΕΛΕΥΘΕΡΙΑ</t>
  </si>
  <si>
    <t>167673044</t>
  </si>
  <si>
    <t>ΚΙΡΚΙΛΙΑΝΙΔΗΣ</t>
  </si>
  <si>
    <t>167485844</t>
  </si>
  <si>
    <t>ΚΟΥΒΑΡΗΣ</t>
  </si>
  <si>
    <t>155592947</t>
  </si>
  <si>
    <t>ΚΟΥΣΗ</t>
  </si>
  <si>
    <t>ΚΟΥΤΣΑΝΙΤΗΣ</t>
  </si>
  <si>
    <t>ΣΤΕΡΓΙΟΣ</t>
  </si>
  <si>
    <t>ΚΡΕΣΠΗ</t>
  </si>
  <si>
    <t>ΦΑΙΔΡΑ</t>
  </si>
  <si>
    <t>137514901</t>
  </si>
  <si>
    <t>ΚΩΛΕΤΣΗΣ</t>
  </si>
  <si>
    <t>154482367</t>
  </si>
  <si>
    <t>ΜΑΓΟΥΛΑ</t>
  </si>
  <si>
    <t>ΒΕΝΕΤΣΑΝΑ</t>
  </si>
  <si>
    <t>145213735</t>
  </si>
  <si>
    <t>ΜΑΝΙΑΤΗ</t>
  </si>
  <si>
    <t>129310885</t>
  </si>
  <si>
    <t>ΜΕΡΕΝΤΙΤΗΣ</t>
  </si>
  <si>
    <t>ΜΠΙΤΣΩΡΗ</t>
  </si>
  <si>
    <t>ΒΕΛΗΣΣΑΡΙΑ</t>
  </si>
  <si>
    <t>106587994</t>
  </si>
  <si>
    <t>ΜΠΟΥΖΑ</t>
  </si>
  <si>
    <t>ΚΛΕΟΝΙΚΗ</t>
  </si>
  <si>
    <t>061988328</t>
  </si>
  <si>
    <t>ΜΠΟΥΛΑΜΑΤΣΗ</t>
  </si>
  <si>
    <t>ΣΟΦΙΑ</t>
  </si>
  <si>
    <t>ΑΧΙΛΛΕΥΣ</t>
  </si>
  <si>
    <t>ΝΤΑΛΑΠΕΡΑΣ</t>
  </si>
  <si>
    <t>ΞΑΝΘΟΠΟΥΛΟΥ</t>
  </si>
  <si>
    <t>158113516</t>
  </si>
  <si>
    <t>ΠΑΓΙΑΛΑΚΗΣ</t>
  </si>
  <si>
    <t>ΠΑΝΔΗΣ</t>
  </si>
  <si>
    <t>104957836</t>
  </si>
  <si>
    <t>ΠΑΥΛΗΣ</t>
  </si>
  <si>
    <t>ΠΑΧΗ</t>
  </si>
  <si>
    <t>ΒΙΚΤΩΡΙΑ</t>
  </si>
  <si>
    <t>069932677</t>
  </si>
  <si>
    <t>ΠΕΠΠΑ</t>
  </si>
  <si>
    <t>ΟΛΓΑ</t>
  </si>
  <si>
    <t>051138560</t>
  </si>
  <si>
    <t>ΠΕΤΡΙΔΟΥ</t>
  </si>
  <si>
    <t>ΑΝΝΑ</t>
  </si>
  <si>
    <t>ΑΝΑΣΤΑΣΙΟΣ</t>
  </si>
  <si>
    <t>154854942</t>
  </si>
  <si>
    <t>ΠΙΤΟΥΡΑ</t>
  </si>
  <si>
    <t>ΑΛΕΞΑΝΔΡΑ</t>
  </si>
  <si>
    <t>114909336</t>
  </si>
  <si>
    <t>ΡΙΤΣΩΝΗΣ</t>
  </si>
  <si>
    <t>301573960</t>
  </si>
  <si>
    <t>ΣΑΜΑΡΑ</t>
  </si>
  <si>
    <t>ΓΙΟΥΛΑ</t>
  </si>
  <si>
    <t>ΣΑΜΠΡΑΚΟΣ</t>
  </si>
  <si>
    <t>ΜΕΝΕΛΑΟΣ</t>
  </si>
  <si>
    <t>144688626</t>
  </si>
  <si>
    <t>ΣΙΑΤΗ</t>
  </si>
  <si>
    <t>ΕΛΕΝΗ</t>
  </si>
  <si>
    <t xml:space="preserve">ΤΑΤΣΗ </t>
  </si>
  <si>
    <t>120187120</t>
  </si>
  <si>
    <t>ΤΖΑΡΙΑ</t>
  </si>
  <si>
    <t>ΜΑΡΙΑ-ΑΝΝΑ</t>
  </si>
  <si>
    <t>ΑΝΑΣΤΑΣΗΣ</t>
  </si>
  <si>
    <t>ΤΣΙΑΜΑ</t>
  </si>
  <si>
    <t>ΔΗΜΗΤΡΑ</t>
  </si>
  <si>
    <t>168055682</t>
  </si>
  <si>
    <t>ΤΣΙΑΠΑΡΙΚΟΥ</t>
  </si>
  <si>
    <t>ΕΛΙΣΣΑΒΕΤ</t>
  </si>
  <si>
    <t>070490837</t>
  </si>
  <si>
    <t xml:space="preserve">ΤΣΟΜΠΟΥ </t>
  </si>
  <si>
    <t>ΕΥΑΓΓΕΛΙΑ</t>
  </si>
  <si>
    <t>ΤΣΟΥΦΛΙΔΟΥ</t>
  </si>
  <si>
    <t>ΧΑΝΟΥΜΗΣ</t>
  </si>
  <si>
    <t>ΧΑΡΑΛΑΜΠΑΚΗ</t>
  </si>
  <si>
    <t>ΑΝΘΟΠΟΥΛΟΥ</t>
  </si>
  <si>
    <t>ΣΟΥΖΑΝΑ</t>
  </si>
  <si>
    <t>ΚΟΣΜΑΣ</t>
  </si>
  <si>
    <t>038117084</t>
  </si>
  <si>
    <t>ΒΟΓΙΑΤΖΗΣ</t>
  </si>
  <si>
    <t>ΓΕΡΟΚΩΣΤΑ</t>
  </si>
  <si>
    <t>ΚΩΝΣΤΑΝΤΙΑ</t>
  </si>
  <si>
    <t>ΠΕΤΡΟΣ</t>
  </si>
  <si>
    <t>116709531</t>
  </si>
  <si>
    <t>ΓΕΩΡΓΙΑΔΗΣ</t>
  </si>
  <si>
    <t>ΝΙΚΗΦΟΡΟΣ</t>
  </si>
  <si>
    <t>126771070</t>
  </si>
  <si>
    <t>ΓΙΑΝΝΟΥΛΗ</t>
  </si>
  <si>
    <t>ΓΚΑΦΑΡΙΔΟΥ</t>
  </si>
  <si>
    <t>ΓΚΟΡΠΑ</t>
  </si>
  <si>
    <t>ΜΑΓΙΟΥΛΑ</t>
  </si>
  <si>
    <t>062758281</t>
  </si>
  <si>
    <t>ΠΕ ΠΕΡΙΒ/ΝΤΟΣ</t>
  </si>
  <si>
    <t>ΓΚΟΥΝΤΑΚΟΣ</t>
  </si>
  <si>
    <t>ΓΚΟΥΝΤΡΟΜΙΧΟΣ</t>
  </si>
  <si>
    <t>ΓΟΥΛΙΑΣ</t>
  </si>
  <si>
    <t>ΔΑΛΑΡΗΣ</t>
  </si>
  <si>
    <t>ΑΝΑΡΓΥΡΟΣ</t>
  </si>
  <si>
    <t>ΔΑΜΙΑΝΙΔΟΥ</t>
  </si>
  <si>
    <t>ΕΥΘΥΜΙΑ</t>
  </si>
  <si>
    <t>ΔΑΣΚΑΛΗ</t>
  </si>
  <si>
    <t>ΔΗΜΗΤΡΙΑΔΟΥ</t>
  </si>
  <si>
    <t>ΣΟΝΙΑ</t>
  </si>
  <si>
    <t>ΔΙΠΛΑ</t>
  </si>
  <si>
    <t>ΒΙΡΓΙΝΙΑ</t>
  </si>
  <si>
    <t>076452125</t>
  </si>
  <si>
    <t>ΔΟΥΜΠΑΛΑ</t>
  </si>
  <si>
    <t>ΔΑΦΝΗ</t>
  </si>
  <si>
    <t>134884390</t>
  </si>
  <si>
    <t>ΖΥΓΟΥΡΑΣ</t>
  </si>
  <si>
    <t>ΕΥΘΥΜΙΟΣ</t>
  </si>
  <si>
    <t>101287799</t>
  </si>
  <si>
    <t>ΚΑΖΑΝΤΖΙΔΟΥ</t>
  </si>
  <si>
    <t>ΚΑΡΑΚΑΤΣΑΝΗ</t>
  </si>
  <si>
    <t>135616541</t>
  </si>
  <si>
    <t>ΚΑΡΑΚΩΣΤΑ</t>
  </si>
  <si>
    <t>ΚΑΡΥΔΑ</t>
  </si>
  <si>
    <t>ΑΓΑΠΗ</t>
  </si>
  <si>
    <t>ΚΕΛΕΚΤΣΟΓΛΟΥ</t>
  </si>
  <si>
    <t>ΣΤΑΥΡΟΥΛΑ</t>
  </si>
  <si>
    <t>ΙΩΣΗΦ</t>
  </si>
  <si>
    <t>061819940</t>
  </si>
  <si>
    <t>ΚΛΗΜΑΤΣΙΔΑΣ</t>
  </si>
  <si>
    <t>ΕΥΡΥΣΘΕΝΗΣ</t>
  </si>
  <si>
    <t>162875728</t>
  </si>
  <si>
    <t>ΚΟΚΚΙΝΙΔΟΥ</t>
  </si>
  <si>
    <t>ΠΕΛΑΓΙΑ</t>
  </si>
  <si>
    <t>ΚΡΙΝΟΥ</t>
  </si>
  <si>
    <t>ΕΥΤΥΧΙΑ</t>
  </si>
  <si>
    <t>073732897</t>
  </si>
  <si>
    <t>ΔΕ ΠΛΗΡΟΦ/ΚΗΣ</t>
  </si>
  <si>
    <t>ΛΕΜΟΝΗ</t>
  </si>
  <si>
    <t>059881585</t>
  </si>
  <si>
    <t>ΠΕ ΓΕΩΛΟΓΩΝ</t>
  </si>
  <si>
    <t>ΜΙΣΑΗΛΙΔΟΥ</t>
  </si>
  <si>
    <t>ΜΠΑΚΑ</t>
  </si>
  <si>
    <t>ΜΠΑΚΑΛΟΥΔΗ</t>
  </si>
  <si>
    <t>ΘΕΟΔΩΡΑ</t>
  </si>
  <si>
    <t>037424338</t>
  </si>
  <si>
    <t>ΜΠΑΛΑΣΑΣ</t>
  </si>
  <si>
    <t>059701068</t>
  </si>
  <si>
    <t>ΜΠΙΣΜΠΑ</t>
  </si>
  <si>
    <t>ΠΑΙΔΑΡΑΚΗ</t>
  </si>
  <si>
    <t>ΓΡΑΜΜΑΤΟΥΛΑ</t>
  </si>
  <si>
    <t>ΠΑΛΑΙΟΧΩΡΙΝΟΥ</t>
  </si>
  <si>
    <t>ΑΝΑΣΤΑΣΙΑ</t>
  </si>
  <si>
    <t>ΠΑΠΑΒΑΣΙΛΕΙΟΥ</t>
  </si>
  <si>
    <t>ΠΑΠΑΔΟΠΟΥΛΟΣ</t>
  </si>
  <si>
    <t>ΚΛΗΜΗΣ</t>
  </si>
  <si>
    <t>ΠΕΤΑΛΩΤΗΣ</t>
  </si>
  <si>
    <t>ΠΑΣΧΑΛΗΣ</t>
  </si>
  <si>
    <t>ΠΕΧΛΙΒΑΝΟΥ</t>
  </si>
  <si>
    <t>ΣΑΚΚΑΣ</t>
  </si>
  <si>
    <t>2410625791</t>
  </si>
  <si>
    <t>ΣΙΑΜΟΣ</t>
  </si>
  <si>
    <t>165411743</t>
  </si>
  <si>
    <t>ΣΙΜΗΤΑΣ</t>
  </si>
  <si>
    <t>ΣΥΜΕΩΝ</t>
  </si>
  <si>
    <t>165388409</t>
  </si>
  <si>
    <t>ΣΤΟΪΚΑΚΗ</t>
  </si>
  <si>
    <t>ΣΤΥΛΙΑΝΗ</t>
  </si>
  <si>
    <t>ΠΟΛΥΧΡΟΝΗΣ</t>
  </si>
  <si>
    <t>127114172</t>
  </si>
  <si>
    <t>ΣΤΟΙΛΟΥΔΗ</t>
  </si>
  <si>
    <t>ΜΑΡΙΑΝΘΗ</t>
  </si>
  <si>
    <t>067749863</t>
  </si>
  <si>
    <t>ΤΖΗΚΑΣ</t>
  </si>
  <si>
    <t>ΑΡΙΣΤΕΙΔΗΣ</t>
  </si>
  <si>
    <t>ΤΖΙΩΡΑΣ</t>
  </si>
  <si>
    <t>ΤΖΟΥΒΑΡΑ</t>
  </si>
  <si>
    <t>ΒΑΙΤΣΑ</t>
  </si>
  <si>
    <t>039117518</t>
  </si>
  <si>
    <t>ΤΡΙΚΚΑΛΙΩΤΗ</t>
  </si>
  <si>
    <t>ΣΟΥΛΤΑΝΑ ΑΝΝΑ</t>
  </si>
  <si>
    <t>ΤΣΙΓΚΙΡΛΙΩΤΗΣ</t>
  </si>
  <si>
    <t>ΤΣΙΜΤΣΙΡΗΣ</t>
  </si>
  <si>
    <t>050088702</t>
  </si>
  <si>
    <t>ΦΡΑΓΚΟΥ</t>
  </si>
  <si>
    <t>064623474</t>
  </si>
  <si>
    <t>ΧΙΝΤΕΡΙΔΗΣ</t>
  </si>
  <si>
    <t>ΗΛΙΑΣ ΡΑΦΑΗΛ</t>
  </si>
  <si>
    <t>ΓΙΑΣΕΜΑΚΗ</t>
  </si>
  <si>
    <t>ΑΝΕΤΤΑ</t>
  </si>
  <si>
    <t>156406815</t>
  </si>
  <si>
    <t>ΚΑΚΑΒΟΥΛΗ</t>
  </si>
  <si>
    <t>ΚΑΛΥΒΑ</t>
  </si>
  <si>
    <t>ΕΥΣΤΑΘΙΑ</t>
  </si>
  <si>
    <t>ΞΕΝΟΣ</t>
  </si>
  <si>
    <t>ΡΑΦΑΗΛ</t>
  </si>
  <si>
    <t>131806321</t>
  </si>
  <si>
    <t>ΣΑΣΣΑΛΟΥ</t>
  </si>
  <si>
    <t>ΣΚΑΝΔΑΛΗ</t>
  </si>
  <si>
    <t>ΑΓΓΕΛΙΚΗ</t>
  </si>
  <si>
    <t>068429238</t>
  </si>
  <si>
    <t>ΘΕΟΦΑΝΗ</t>
  </si>
  <si>
    <t>ΜΑΖΑΡΗ</t>
  </si>
  <si>
    <t>ΠΑΠΑΝΙΚΑΣ</t>
  </si>
  <si>
    <t>ΕΥΑΓΓΕΛΟΣ</t>
  </si>
  <si>
    <t>ΠΑΠΑΠΑΝΟΥ</t>
  </si>
  <si>
    <t>ΝΙΚΗ</t>
  </si>
  <si>
    <t>128682486</t>
  </si>
  <si>
    <t>ΠΑΛΙΟΥΡΑΣ</t>
  </si>
  <si>
    <t>ΤΕ ΠΕΡΙΒΑΛΛΟΝΤΟΣ</t>
  </si>
  <si>
    <t>ΤΑΣΣΟΠΟΥΛΟΥ</t>
  </si>
  <si>
    <t>ΧΡΥΣΑΝΘΗ</t>
  </si>
  <si>
    <t>ΑΓΑΜΕΜΝΩΝ</t>
  </si>
  <si>
    <t>128665999</t>
  </si>
  <si>
    <t>ΑΡΓΥΡΟΠΟΥΛΟΣ</t>
  </si>
  <si>
    <t>164078286</t>
  </si>
  <si>
    <t>ΑΦΡΙΚΑΝΟΣ</t>
  </si>
  <si>
    <t>ΑΛΕΞΗΣ</t>
  </si>
  <si>
    <t>ΣΟΦΟΚΛΗΣ</t>
  </si>
  <si>
    <t>ΒΑΤΟΥΣΙΑΔΗ</t>
  </si>
  <si>
    <t>104082591</t>
  </si>
  <si>
    <t>ΔΡΙΤΣΑ</t>
  </si>
  <si>
    <t>138265791</t>
  </si>
  <si>
    <t>ΖΕΡΒΑ</t>
  </si>
  <si>
    <t>ΠΟΛΥΞΕΝΗ</t>
  </si>
  <si>
    <t>127929883</t>
  </si>
  <si>
    <t>ΚΟΥΖΗΣ</t>
  </si>
  <si>
    <t>039596494</t>
  </si>
  <si>
    <t>2106713188</t>
  </si>
  <si>
    <t>ΚΩΣΤΑΚΗΣ</t>
  </si>
  <si>
    <t>ΛΑΜΠΡΟΣ</t>
  </si>
  <si>
    <t>ΛΕΚΚΑΣ</t>
  </si>
  <si>
    <t>ΜΑΡΙΟΣ</t>
  </si>
  <si>
    <t>ΠΑΠΑΒΑΣΙΛΗΣ</t>
  </si>
  <si>
    <t>ΘΕΟΚΛΗΤΟΣ</t>
  </si>
  <si>
    <t>ΠΡΟΙΣΚΟΣ</t>
  </si>
  <si>
    <t>ΡΑΛΛΗΣ</t>
  </si>
  <si>
    <t>ΣΗΦΑΚΗΣ</t>
  </si>
  <si>
    <t>ΙΑΚΩΒΟΣ</t>
  </si>
  <si>
    <t>ΤΣΙΡΟΥ</t>
  </si>
  <si>
    <t>162258818</t>
  </si>
  <si>
    <t>171442865</t>
  </si>
  <si>
    <t>ΤΣΟΥΓΚΟΥ</t>
  </si>
  <si>
    <t>ΙΣΜΗΝΗ</t>
  </si>
  <si>
    <t>ΜΕΛΕΤΙΟΣ</t>
  </si>
  <si>
    <t>ΑΝΔΡΙΟΠΟΥΛΟΥ-ΜΟΥΝΤΕΑΝΟΥ</t>
  </si>
  <si>
    <t>ΣΤΕΦΑΝΙΑ-ΑΛΕΞΑΝΔΡΑ</t>
  </si>
  <si>
    <t>ΜΙΛΤΙΑΔΗΣ</t>
  </si>
  <si>
    <t>156801575</t>
  </si>
  <si>
    <t>ΒΑΓΕΝΑΣ</t>
  </si>
  <si>
    <t>ΑΡΓΥΡΙΟΣ</t>
  </si>
  <si>
    <t>ΒΟΥΡΛΟΥΜΗΣ</t>
  </si>
  <si>
    <t>ΓΙΑΝΝΑΚΟΠΟΥΛΟΥ</t>
  </si>
  <si>
    <t>ΣΩΤΗΡΙΑ</t>
  </si>
  <si>
    <t>ΑΓΓΕΛΟΣ</t>
  </si>
  <si>
    <t xml:space="preserve">ΖΥΓΟΥΡΗΣ </t>
  </si>
  <si>
    <t>ΚΑΝΑΣ</t>
  </si>
  <si>
    <t>066935649</t>
  </si>
  <si>
    <t>ΚΟΥΛΟΥΡΗΣ</t>
  </si>
  <si>
    <t>ΦΑΙΔΩΝ</t>
  </si>
  <si>
    <t>ΛΑΜΠΡΟΠΟΥΛΟΥ</t>
  </si>
  <si>
    <t>ΧΡΙΣΤΙΝΑ</t>
  </si>
  <si>
    <t>ΛΕΙΤΟΥΡΓΗ</t>
  </si>
  <si>
    <t>ΑΡΙΣΤΟΜΕΝΗΣ</t>
  </si>
  <si>
    <t>109818390</t>
  </si>
  <si>
    <t>ΜΕΝΤΖΑΣ</t>
  </si>
  <si>
    <t>065270938</t>
  </si>
  <si>
    <t xml:space="preserve"> ΜΟΝΙΜΟΣ</t>
  </si>
  <si>
    <t>ΑΝΤΩΝΙΑ</t>
  </si>
  <si>
    <t>ΚΩΣΤΑΣ</t>
  </si>
  <si>
    <t>ΠΑΤΑΚΙΑΡΑΣ</t>
  </si>
  <si>
    <t>ΠΕΡΙΚΛΗΣ</t>
  </si>
  <si>
    <t>ΣΚΟΥΡΑ</t>
  </si>
  <si>
    <t>ΣΜΥΡΝΑΙΟΥ</t>
  </si>
  <si>
    <t>104110350</t>
  </si>
  <si>
    <t>ΣΜΥΡΝΙΩΤΗΣ</t>
  </si>
  <si>
    <t>ΑΛΕΞΙΟΣ</t>
  </si>
  <si>
    <t xml:space="preserve">ΣΟΥΒΑΛΙΩΤΗ </t>
  </si>
  <si>
    <t>ΣΤΕΦΟΠΟΥΛΟΥ</t>
  </si>
  <si>
    <t>071815173</t>
  </si>
  <si>
    <t>ΣΩΤΗΡΟΠΟΥΛΟΣ</t>
  </si>
  <si>
    <t>ΤΣΙΜΑΡΑ</t>
  </si>
  <si>
    <t>ΑΛΕΒΥΖΑΚΗ</t>
  </si>
  <si>
    <t>079813856</t>
  </si>
  <si>
    <t>ΑΛΕΚΟΣ</t>
  </si>
  <si>
    <t>ΑΝΔΡΟΥΛΑΚΗΣ</t>
  </si>
  <si>
    <t>ΑΠΟΣΤΟΛΑΚΗ</t>
  </si>
  <si>
    <t>ΒΑΣΙΛΑΚΗΣ</t>
  </si>
  <si>
    <t>ΒΕΡΥΚΟΚΙΔΗΣ</t>
  </si>
  <si>
    <t>155398561</t>
  </si>
  <si>
    <t>ΒΟΥΡΕΞΑΚΗ</t>
  </si>
  <si>
    <t>103801021</t>
  </si>
  <si>
    <t>ΓΚΟΛΕΜΗ</t>
  </si>
  <si>
    <t>144304844</t>
  </si>
  <si>
    <t>ΓΟΛΟΒΑΝΗΣ</t>
  </si>
  <si>
    <t>119662582</t>
  </si>
  <si>
    <t>ΔΑΣΚΑΛΟΓΙΑΝΝΑΚΗ</t>
  </si>
  <si>
    <t>ΞΑΝΘΙΠΠΗ</t>
  </si>
  <si>
    <t>ΝΙΚΗΤΑΣ</t>
  </si>
  <si>
    <t>150425019</t>
  </si>
  <si>
    <t>ΕΜΜΑΝΟΥΗΛΙΔΟΥ</t>
  </si>
  <si>
    <t>ΕΥΓΕΝΙΑ</t>
  </si>
  <si>
    <t>044903364</t>
  </si>
  <si>
    <t>ΚΑΛΑΜΠΑΛΙΚΗΣ</t>
  </si>
  <si>
    <t>118947368</t>
  </si>
  <si>
    <t xml:space="preserve">ΚΑΛΗΣΠΕΡΑΚΗΣ </t>
  </si>
  <si>
    <t>128329236</t>
  </si>
  <si>
    <t>ΚΑΜΠΟΛΗ</t>
  </si>
  <si>
    <t>ΦΩΤΕΙΝΗ</t>
  </si>
  <si>
    <t>ΛΙΑΠΑΚΗ</t>
  </si>
  <si>
    <t>ΕΥΘΑΛΙΑ</t>
  </si>
  <si>
    <t>ΛΥΡΑΚΗ</t>
  </si>
  <si>
    <t>ΑΘΑΝΑΣΙΑ</t>
  </si>
  <si>
    <t>ΜΑΓΚΟΥΣΑΚΗ</t>
  </si>
  <si>
    <t>054261924</t>
  </si>
  <si>
    <t>ΜΑΓΟΥΛΑΚΗ</t>
  </si>
  <si>
    <t>110316287</t>
  </si>
  <si>
    <t>ΜΑΡΗ</t>
  </si>
  <si>
    <t>ΑΘΗΝΑ</t>
  </si>
  <si>
    <t>141354031</t>
  </si>
  <si>
    <t>ΜΑΥΡΙΔΗΣ</t>
  </si>
  <si>
    <t>ΜΕΣΑΡΙΤΑΚΗ</t>
  </si>
  <si>
    <t>ΜΟΥΛΑΚΑΚΗ</t>
  </si>
  <si>
    <t>128343046</t>
  </si>
  <si>
    <t>ΝΤΕΛΑΚΗ</t>
  </si>
  <si>
    <t>137245917</t>
  </si>
  <si>
    <t>ΞΥΛΟΥΡΗ</t>
  </si>
  <si>
    <t>ΟΙΚΟΝΟΜΟΥ</t>
  </si>
  <si>
    <t>ΑΝΔΡΕΑΣ ΝΙΚΟΛΑΟ</t>
  </si>
  <si>
    <t>166901613</t>
  </si>
  <si>
    <t>ΠΑΓΩΜΕΝΟΣ</t>
  </si>
  <si>
    <t>119677349</t>
  </si>
  <si>
    <t>ΠΑΠΑΔΗΜΗΤΡΙΟΥ</t>
  </si>
  <si>
    <t>146249047</t>
  </si>
  <si>
    <t>ΡΕΜΠΟΥΛΑΚΗ</t>
  </si>
  <si>
    <t>ΖΑΜΠΙΑ</t>
  </si>
  <si>
    <t>122984650</t>
  </si>
  <si>
    <t>ΡΟΓΔΑΚΗΣ</t>
  </si>
  <si>
    <t>ΣΑΛΟΥΣΤΡΟΥ</t>
  </si>
  <si>
    <t>073267368</t>
  </si>
  <si>
    <t>ΣΤΑΜΑΤΑΚΗ</t>
  </si>
  <si>
    <t>ΚΑΔΙΑΝΗ</t>
  </si>
  <si>
    <t>ΜΑΝΟΥΣΟΣ</t>
  </si>
  <si>
    <t>103659614</t>
  </si>
  <si>
    <t>ΤΑΜΙΩΛΑΚΗΣ</t>
  </si>
  <si>
    <t>ΓΕΩΡΓΙΟΣ ΠΑΝΤΕΛΗΣ</t>
  </si>
  <si>
    <t>ΤΣΙΚΡΙΤΣΑΚΗΣ</t>
  </si>
  <si>
    <t>ΦΡΑΓΚΙΑΔΑΚΗΣ</t>
  </si>
  <si>
    <t xml:space="preserve">ΑΝΤΩΝΙΟΥ </t>
  </si>
  <si>
    <t>ΤΑΕΦΚ ΘΕΣΣΑΛΙΑΣ</t>
  </si>
  <si>
    <t xml:space="preserve">ΚΑΖΑΚΗ </t>
  </si>
  <si>
    <t xml:space="preserve">ΚΑΝΤΟΛΑ </t>
  </si>
  <si>
    <t>ΜΑΡΙΑ-ΕΛΕΝΗ</t>
  </si>
  <si>
    <t>14317</t>
  </si>
  <si>
    <t xml:space="preserve">ΚΕΚΙΑ </t>
  </si>
  <si>
    <t xml:space="preserve">ΛΕΠΙΔΑ </t>
  </si>
  <si>
    <t xml:space="preserve">ΜΑΡΑΒΕΓΙΑΣ </t>
  </si>
  <si>
    <t xml:space="preserve">ΠΑΧΗ </t>
  </si>
  <si>
    <t xml:space="preserve">ΑΘΑΝΑΗΛΙΔΟΥ </t>
  </si>
  <si>
    <t>ΑΔΑΜΑΝΤΙΑ</t>
  </si>
  <si>
    <t xml:space="preserve"> ΒΑΣΙΛΕΙΟΣ </t>
  </si>
  <si>
    <t>ΚΛΗΣΙΑΡΧΗ</t>
  </si>
  <si>
    <t xml:space="preserve">ΚΟΥΠΠΗ </t>
  </si>
  <si>
    <t xml:space="preserve"> ΑΝΤΩΝΙΑ</t>
  </si>
  <si>
    <t xml:space="preserve">ΜΠΑΚΑΛΑΚΟΥ </t>
  </si>
  <si>
    <t>ΜΕΛΙΝΑ</t>
  </si>
  <si>
    <t xml:space="preserve">ΝΑΤΣΗ </t>
  </si>
  <si>
    <t xml:space="preserve">ΕΙΡΗΝΗ </t>
  </si>
  <si>
    <t>ΠΑΠΑΡΙΖΟΣ</t>
  </si>
  <si>
    <t>ΙΑΣΩΝ</t>
  </si>
  <si>
    <t>ΣΑΚΕΛΛΑΡΗ</t>
  </si>
  <si>
    <t xml:space="preserve"> ΣΟΦΙΑ</t>
  </si>
  <si>
    <t>ΑΓΓΕΛΑΚΟΠΟΥΛΟΥ</t>
  </si>
  <si>
    <t xml:space="preserve"> ΑΛΙΚΗ</t>
  </si>
  <si>
    <t xml:space="preserve">ΓΑΛΑΝΗ </t>
  </si>
  <si>
    <t>ΓΚΟΥΝΤΑΡΑΣ</t>
  </si>
  <si>
    <t xml:space="preserve"> ΔΗΜΗΤΡΙΟΣ</t>
  </si>
  <si>
    <t>ΓΡΟΥΣΟΠΟΥΛΟΣ</t>
  </si>
  <si>
    <t xml:space="preserve"> ΘΕΟΔΩΡΟΣ</t>
  </si>
  <si>
    <t>ΔΕΛΗΔΗΜΟΥ</t>
  </si>
  <si>
    <t>ΟΥΡΑΝΙΑ</t>
  </si>
  <si>
    <t>ΔΙΑΜΑΝΤΟΥΛΗ</t>
  </si>
  <si>
    <t>ΕΛΕΝΗ ΚΛΑΙΡΗ</t>
  </si>
  <si>
    <t xml:space="preserve">ΚΑΝΑΚΗ </t>
  </si>
  <si>
    <t>ΚΑΠΕΤΑΝΑΚΗ</t>
  </si>
  <si>
    <t>ΑΜΑΛΙΑ-ΑΝΝΑ</t>
  </si>
  <si>
    <t>ΚΑΣΟΥΜΗ</t>
  </si>
  <si>
    <t>ΠΕΡΣΕΦΟΝΗ</t>
  </si>
  <si>
    <t>ΚΕΛΕΣΙΔΟΥ</t>
  </si>
  <si>
    <t xml:space="preserve">ΑΙΚΑΤΕΡΙΝΗ </t>
  </si>
  <si>
    <t xml:space="preserve">ΚΟΛΥΡΑΣ </t>
  </si>
  <si>
    <t xml:space="preserve">ΛΟΖΙΟΥ </t>
  </si>
  <si>
    <t>ΜΑΡΑ</t>
  </si>
  <si>
    <t xml:space="preserve">ΜΠΙΝΙΟΣ </t>
  </si>
  <si>
    <t xml:space="preserve">ΜΠΡΟΥΖΓΟΥ </t>
  </si>
  <si>
    <t xml:space="preserve">ΞΗΡΟΜΕΡΙΤΗ </t>
  </si>
  <si>
    <t xml:space="preserve">ΠΑΪΣΗ </t>
  </si>
  <si>
    <t xml:space="preserve">ΠΑΛΛΗ </t>
  </si>
  <si>
    <t xml:space="preserve">ΠΑΤΣΑ </t>
  </si>
  <si>
    <t>ΠΕΤΣΑΣ</t>
  </si>
  <si>
    <t xml:space="preserve">ΠΙΣΤΟΛΗΣ </t>
  </si>
  <si>
    <t>ΠΟΛΥΖΟΥ</t>
  </si>
  <si>
    <t xml:space="preserve">ΠΡΟΚΟΠΙΟΥ </t>
  </si>
  <si>
    <t>ΣΤΕΛΛΑ</t>
  </si>
  <si>
    <t>ΣΤΑΜΟΥΛΗ</t>
  </si>
  <si>
    <t xml:space="preserve"> ΕΥΑΓΓΕΛΙΑ</t>
  </si>
  <si>
    <t>ΣΤΑΥΡΟΠΟΥΛΟΣ</t>
  </si>
  <si>
    <t>ΒΑΛΚΑΝΙΩΤΗ</t>
  </si>
  <si>
    <t xml:space="preserve">ΤΙΝΤΖΟΓΛΙΔΟΥ </t>
  </si>
  <si>
    <t>ΚΥΡΙΑΚΗ</t>
  </si>
  <si>
    <t xml:space="preserve">ΧΑΝΤΖΙΑΡΑΣ </t>
  </si>
  <si>
    <t>ΑΓΑΔΑΚΟΥ</t>
  </si>
  <si>
    <t>ΑΛΚΜΗΝΗ</t>
  </si>
  <si>
    <t>ΑΘΑΝΑΣΟΥΛΙΑ</t>
  </si>
  <si>
    <t>ΑΝΔΡΙΑΝΗ</t>
  </si>
  <si>
    <t>066094150</t>
  </si>
  <si>
    <t>ΓΚΟΤΣΗΣ</t>
  </si>
  <si>
    <t>134288543</t>
  </si>
  <si>
    <t>ΠΕ ΠΛΗΡΟΦΟΡΙΚΗΣ</t>
  </si>
  <si>
    <t>ΔΑΣΚΑΛΑΚΗ</t>
  </si>
  <si>
    <t>2107608495</t>
  </si>
  <si>
    <t>ΔΗΜΟΠΟΥΛΟΥ</t>
  </si>
  <si>
    <t>ΔΟΥΣΚΑΡΗ</t>
  </si>
  <si>
    <t>ΣΤΑΜΑΤΙΟΣ</t>
  </si>
  <si>
    <t>045324616</t>
  </si>
  <si>
    <t>ΚΑΡΑΛΗ</t>
  </si>
  <si>
    <t>132615030</t>
  </si>
  <si>
    <t xml:space="preserve">ΚΑΦΙΡΗ </t>
  </si>
  <si>
    <t>ΜΑΡΙΑ ΣΑΠΦΩ</t>
  </si>
  <si>
    <t>067770129</t>
  </si>
  <si>
    <t>ΠΕ ΝΟΜΙΚΩΝ</t>
  </si>
  <si>
    <t>ΛΑΓΟΥ</t>
  </si>
  <si>
    <t>ΖΗΝΟΒΙΑ</t>
  </si>
  <si>
    <t>036685215</t>
  </si>
  <si>
    <t xml:space="preserve">ΜΑΡΑΓΚΟΥ </t>
  </si>
  <si>
    <t>ΘΕΟΛΟΓΟΣ</t>
  </si>
  <si>
    <t>079340540</t>
  </si>
  <si>
    <t>ΜΕΛΕΓΟΣ</t>
  </si>
  <si>
    <t>106178511</t>
  </si>
  <si>
    <t>ΠΑΠΠΗ</t>
  </si>
  <si>
    <t>ΠΑΡΑΣΚΕΥΟΠΟΥΛΟΥ</t>
  </si>
  <si>
    <t>154961041</t>
  </si>
  <si>
    <t>ΠΕΦΑΝΗ</t>
  </si>
  <si>
    <t>ΣΑΡΙΔΑΚΗΣ</t>
  </si>
  <si>
    <t>ΣΕΜΛΙ</t>
  </si>
  <si>
    <t>ΜΑΜΠΡΟΥΚ</t>
  </si>
  <si>
    <t>131763537</t>
  </si>
  <si>
    <t>ΣΚΛΑΒΕΝΙΤΗ</t>
  </si>
  <si>
    <t>ΑΥΓΗ</t>
  </si>
  <si>
    <t>ΤΡΙΑΝΤΑΦΥΛΛΟΣ</t>
  </si>
  <si>
    <t>132248107</t>
  </si>
  <si>
    <t>ΤΕ ΠΛΗΡΟΦΟΡΙΚΗΣ</t>
  </si>
  <si>
    <t>ΣΤΑΜΑΤΕΛΛΟΥ</t>
  </si>
  <si>
    <t>ΤΣΙΑΜΠΟΚΑΛΟΥ</t>
  </si>
  <si>
    <t>ΑΓΓΕΛΙΚΗ ΠΑΡΑΣΚΕΥΗ</t>
  </si>
  <si>
    <t>ΛΟΥΚΑΣ</t>
  </si>
  <si>
    <t>157538453</t>
  </si>
  <si>
    <t xml:space="preserve">ΤΕ ΠΛΗΡΟΦΟΡΙΚΗΣ </t>
  </si>
  <si>
    <t>ΣΠΥΡΟΣ</t>
  </si>
  <si>
    <t>078512564</t>
  </si>
  <si>
    <t>ΑΡΓΟΥΖΗΣ</t>
  </si>
  <si>
    <t>ΣΑΒΒΑΣ</t>
  </si>
  <si>
    <t>074268824</t>
  </si>
  <si>
    <t>ΓΙΩΤΟΠΟΥΛΟΥ</t>
  </si>
  <si>
    <t>ΣΤΑΜΑΤΙΝΑ</t>
  </si>
  <si>
    <t>068072780</t>
  </si>
  <si>
    <t>ΖΑΡΚΑΔΗΣ</t>
  </si>
  <si>
    <t>ΜΑΡΚΟΣ</t>
  </si>
  <si>
    <t>133351182</t>
  </si>
  <si>
    <t>ΘΕΟΔΟΣΙΑΔΗ</t>
  </si>
  <si>
    <t>133233454</t>
  </si>
  <si>
    <t>ΚΑΡΑΓΕΩΡΓΟΥ</t>
  </si>
  <si>
    <t>134271905</t>
  </si>
  <si>
    <t>ΓΡΑΦΕΙΟ ΥΠΟΥΡΓΟΥ ΥΜΕ</t>
  </si>
  <si>
    <t>ΜΑΚΡΗ</t>
  </si>
  <si>
    <t>ΜΑΡΙΑΝΝΑ</t>
  </si>
  <si>
    <t>ΜΠΑΡΔΑΚΑ</t>
  </si>
  <si>
    <t>160031597</t>
  </si>
  <si>
    <t>ΠΑΛΑΙΟΓΙΑΝΝΗΣ</t>
  </si>
  <si>
    <t>150015541</t>
  </si>
  <si>
    <t>ΕΥΔΕ ΚΣΕΣΠ</t>
  </si>
  <si>
    <t>ΦΥΤΑ</t>
  </si>
  <si>
    <t>ΤΕ ΠΛΗΡΟΦ/ΚΗΣ</t>
  </si>
  <si>
    <t>ΧΑΤΖΗΣΤΑΥΡΟΣ</t>
  </si>
  <si>
    <t>114168068</t>
  </si>
  <si>
    <t>ΚΑΤΙΚΑΣ</t>
  </si>
  <si>
    <t>139490261</t>
  </si>
  <si>
    <t>ΚΩΤΟΥΛΑΣ</t>
  </si>
  <si>
    <t>ΑΣΤΕΡΙΟΣ</t>
  </si>
  <si>
    <t>113741642</t>
  </si>
  <si>
    <t>ΑΣΠΡΑΔΑΚΗ</t>
  </si>
  <si>
    <t>044073315</t>
  </si>
  <si>
    <t>ΜΑΛΕΣΚΟΣ</t>
  </si>
  <si>
    <t>136688534</t>
  </si>
  <si>
    <t>ΣΤΑΣΗΣ</t>
  </si>
  <si>
    <t>157656710</t>
  </si>
  <si>
    <t>ΑΒΡΑΑΜ</t>
  </si>
  <si>
    <t>ΜΑΡΙΟΣ-ΜΙΧΑΗΛ</t>
  </si>
  <si>
    <t>ΧΡΙΣΤΑΚΗΣ</t>
  </si>
  <si>
    <t>ΑΡΑΠΗ</t>
  </si>
  <si>
    <t>ΜΑΡΙΛΕΝΑ</t>
  </si>
  <si>
    <t>146112701</t>
  </si>
  <si>
    <t>ΒΑΤΣΑΚΗΣ</t>
  </si>
  <si>
    <t>ΓΕΡΑΣΙΜΟΣ</t>
  </si>
  <si>
    <t>ΔΑΜΙΓΟΣ</t>
  </si>
  <si>
    <t>154482400</t>
  </si>
  <si>
    <t>ΖΑΧΑΡΑΚΗ</t>
  </si>
  <si>
    <t>ΚΑΡΑΙΣΑΣ</t>
  </si>
  <si>
    <t>119231284</t>
  </si>
  <si>
    <t>132622530</t>
  </si>
  <si>
    <t>Δ2-ΔΙΕΥΘΥΝΣΗ ΟΙΚΟΝΟΜΙΚΗΣ ΔΙΑΧΕΙΡΙΣΗΣ</t>
  </si>
  <si>
    <t>ΚΟΥΤΣΙΑΝΟΥ</t>
  </si>
  <si>
    <t>031817878</t>
  </si>
  <si>
    <t>ΛΕΩΝΗ</t>
  </si>
  <si>
    <t>070232326</t>
  </si>
  <si>
    <t>ΜΑΡΚΟΥΛΑΚΗ</t>
  </si>
  <si>
    <t>ΗΛΙΑΝΑ</t>
  </si>
  <si>
    <t>111228920</t>
  </si>
  <si>
    <t>ΜΕΡΤΕΚΗ</t>
  </si>
  <si>
    <t>ΘΩΜΑΗ</t>
  </si>
  <si>
    <t>300683455</t>
  </si>
  <si>
    <t>Δ25-ΔΙΕΥΘΥΝΣΗ ΑΠΑΛΛΟΤΡΙΩΣΕΩΝ, ΤΟΠΟΓΡΑΦΗΣΕΩΝ ΚΑΙ ΓΕΩΠΛΗΡΟΦΟΡΙΚΗΣ</t>
  </si>
  <si>
    <t>ΜΙΧΕΛΗΣ</t>
  </si>
  <si>
    <t>ΜΟΥΛΙΑΝΑΚΗ</t>
  </si>
  <si>
    <t>178464381</t>
  </si>
  <si>
    <t>ΠΑΝΤΑΖΗ</t>
  </si>
  <si>
    <t>ΠΑΠΑΚΩΝΣΤΑΝΤΙΝΟΥ</t>
  </si>
  <si>
    <t>076098433</t>
  </si>
  <si>
    <t>ΣΟΒΟΛΟΥ</t>
  </si>
  <si>
    <t>ΜΑΡΙΓΩ</t>
  </si>
  <si>
    <t>040271992</t>
  </si>
  <si>
    <t>ΧΑΤΟΥΤΣΙΔΟΥ</t>
  </si>
  <si>
    <t>ΧΡΟΝΟΠΟΥΛΟΥ</t>
  </si>
  <si>
    <t>ΓΑΛΑΝΗΣ</t>
  </si>
  <si>
    <t>ΚΛΕΟΜΕΝΗΣ</t>
  </si>
  <si>
    <t>ΒΑΙΤΣΗ</t>
  </si>
  <si>
    <t>ΔΕΔΕ</t>
  </si>
  <si>
    <t>127909939</t>
  </si>
  <si>
    <t>6977216272</t>
  </si>
  <si>
    <t>ΔΕΛΗΒΑΣΙΛΗ</t>
  </si>
  <si>
    <t>117166056</t>
  </si>
  <si>
    <t>ΔΕΡΜΙΤΖΑΚΗ</t>
  </si>
  <si>
    <t>ΘΕΟΤΟΚΑΤΟΣ</t>
  </si>
  <si>
    <t>ΙΩΑΚΕΙΜΙΔΟΥ</t>
  </si>
  <si>
    <t>042273618</t>
  </si>
  <si>
    <t>ΚΑΡΑΤΖΕΝΗ</t>
  </si>
  <si>
    <t>ΚΑΡΚΑΛΕΤΣΗ</t>
  </si>
  <si>
    <t>065890250</t>
  </si>
  <si>
    <t>ΚΑΤΡΑΛΗ</t>
  </si>
  <si>
    <t>ΑΝΔΡΙΑΝΗ-ΜΟΝΙΚΑ</t>
  </si>
  <si>
    <t>ΛΑΖΑΡΟΣ</t>
  </si>
  <si>
    <t>043165144</t>
  </si>
  <si>
    <t>ΚΥΡΙΑΚΟΥ</t>
  </si>
  <si>
    <t>157512751</t>
  </si>
  <si>
    <t>ΛΑΒΟΥΤΑ</t>
  </si>
  <si>
    <t>ΒΑΡΒΑΡΑ</t>
  </si>
  <si>
    <t>ΛΕΥΚΙΜΜΙΑΤΗΣ</t>
  </si>
  <si>
    <t>ΛΙΑΚΟΠΟΥΛΟΥ</t>
  </si>
  <si>
    <t>037584125</t>
  </si>
  <si>
    <t>ΜΑΣΤΟΡΑΚΗΣ</t>
  </si>
  <si>
    <t>ΜΠΡΟΥΜΑ</t>
  </si>
  <si>
    <t>039607741</t>
  </si>
  <si>
    <t>ΠΑΝΑΓΙΟΥ</t>
  </si>
  <si>
    <t>ΛΕΜΟΝΙΑ</t>
  </si>
  <si>
    <t>ΚΥΡΙΑΚΟΣ</t>
  </si>
  <si>
    <t>152174547</t>
  </si>
  <si>
    <t>ΠΕ ΔΑΣΟΛΟΓΩΝ</t>
  </si>
  <si>
    <t>ΠΑΝΑΓΙΩΤΟΠΟΥΛΟΥ</t>
  </si>
  <si>
    <t>ΔΙΟΝΥΣΙΑ</t>
  </si>
  <si>
    <t>158509523</t>
  </si>
  <si>
    <t>ΠΑΝΟΥΤΣΟΠΟΥΛΟΥ</t>
  </si>
  <si>
    <t>ΦΑΝΟΥΡΙΑ-ΤΙΤΙΚΑ</t>
  </si>
  <si>
    <t>ΣΠΥΡΟΥ</t>
  </si>
  <si>
    <t>ΣΤΑΥΡΟΥ</t>
  </si>
  <si>
    <t>ΕΥΔΟΞΙΑ</t>
  </si>
  <si>
    <t>ΤΣΙΡΩΝΗΣ</t>
  </si>
  <si>
    <t>ΧΑΣΑΠΗΣ</t>
  </si>
  <si>
    <t>ΧΑΤΖΟΠΟΥΛΟΥ</t>
  </si>
  <si>
    <t>ΑΡΙΣΤΕΑ</t>
  </si>
  <si>
    <t xml:space="preserve">ΑΒΡΑΜΟΠΟΥΛΟΣ </t>
  </si>
  <si>
    <t>101080580</t>
  </si>
  <si>
    <t>ΑΛΕΞΑΝΔΡΗ</t>
  </si>
  <si>
    <t>154543224</t>
  </si>
  <si>
    <t>ΑΠΟΣΤΟΛΟΥ</t>
  </si>
  <si>
    <t>ΑΡΜΕΝΗ</t>
  </si>
  <si>
    <t>ΑΛΙΚΗ-ΕΙΡΗΝΗ</t>
  </si>
  <si>
    <t>133160666</t>
  </si>
  <si>
    <t>ΑΣΗΜΑΚΟΠΟΥΛΟΣ</t>
  </si>
  <si>
    <t>ΧΡΗΣΤΟΣ-ΜΕΝΕΛΑΟΣ</t>
  </si>
  <si>
    <t>068292310</t>
  </si>
  <si>
    <t>ΓΚΙΚΑ</t>
  </si>
  <si>
    <t>ΜΑΡΙΑ-ΖΑΪΡΑ</t>
  </si>
  <si>
    <t>ΣΤΕΦΑΝΟΣ</t>
  </si>
  <si>
    <t>158533074</t>
  </si>
  <si>
    <t>ΓΚΟΒΑΤΣΟΣ</t>
  </si>
  <si>
    <t>ΕΛΕΥΘΕΡΙΟΣ</t>
  </si>
  <si>
    <t>038397041</t>
  </si>
  <si>
    <t>ΔΗΜΗΤΡΑΚΑΚΗ</t>
  </si>
  <si>
    <t>144556642</t>
  </si>
  <si>
    <t>ΔΗΜΗΤΡΙΑΔΗΣ</t>
  </si>
  <si>
    <t>ΘΡΑΣΥΒΟΥΛΟΣ</t>
  </si>
  <si>
    <t>158047011</t>
  </si>
  <si>
    <t>ΔΟΥΔΟΥΜΗΣ</t>
  </si>
  <si>
    <t>073848267</t>
  </si>
  <si>
    <t>ΖΑΡΜΑΚΟΥΠΗΣ</t>
  </si>
  <si>
    <t>ΘΩΜΑΣ</t>
  </si>
  <si>
    <t>073432919</t>
  </si>
  <si>
    <t>12723</t>
  </si>
  <si>
    <t>ΚΑΡΑΚΥΡΙΑΚΟΣ</t>
  </si>
  <si>
    <t>112669920</t>
  </si>
  <si>
    <t>ΚΑΤΣΟΥΛΑ</t>
  </si>
  <si>
    <t>ΚΩΝΣΤΑΝΤΙΝΙΑ</t>
  </si>
  <si>
    <t>ΠΕ ΔΗΜΟΣ/ΚΩΝ</t>
  </si>
  <si>
    <t>ΚΟΥΜΑΝΔΡΑΚΗ-ΣΑΜΑΡΑ</t>
  </si>
  <si>
    <t>ΚΩΣΤΟΥΛΑ</t>
  </si>
  <si>
    <t>037591558</t>
  </si>
  <si>
    <t>ΑΝΕΣΤΙΑ</t>
  </si>
  <si>
    <t>ΚΟΥΤΣΟΥΛΗΣ</t>
  </si>
  <si>
    <t>ΘΕΟΦΑΝΗΣ</t>
  </si>
  <si>
    <t>033349054</t>
  </si>
  <si>
    <t>ΜΑΥΡΟΓΕΝΗΣ</t>
  </si>
  <si>
    <t>ΜΕΝΟΓΛΟΥ</t>
  </si>
  <si>
    <t>102285964</t>
  </si>
  <si>
    <t>ΠΑΝΑΓΙΩΤΙΔΗΣ</t>
  </si>
  <si>
    <t>ΧΡΙΣΤΟΦΟΡΟΣ</t>
  </si>
  <si>
    <t>ΠΑΠΑΝΙΚΟΛΑΟΥ</t>
  </si>
  <si>
    <t>067194331</t>
  </si>
  <si>
    <t>111153732</t>
  </si>
  <si>
    <t>ΣΚΟΡΔΑ</t>
  </si>
  <si>
    <t>061019357</t>
  </si>
  <si>
    <t>ΣΤΕΦΟΥ</t>
  </si>
  <si>
    <t>149801352</t>
  </si>
  <si>
    <t>ΣΤΡΙΜΠΑΚΟΥ</t>
  </si>
  <si>
    <t>073951142</t>
  </si>
  <si>
    <t>ΣΥΜΙΑΚΟΥ</t>
  </si>
  <si>
    <t>073612840</t>
  </si>
  <si>
    <t>12876</t>
  </si>
  <si>
    <t>ΤΣΑΛΑΜΙΔΑ</t>
  </si>
  <si>
    <t>166647028</t>
  </si>
  <si>
    <t>ΤΣΟΛΗ</t>
  </si>
  <si>
    <t>ΧΑΡΙΤΟΣ</t>
  </si>
  <si>
    <t>035280700</t>
  </si>
  <si>
    <t>ΑΣΒΕΣΤΑΣ</t>
  </si>
  <si>
    <t>ΒΛΑΧΟΓΙΑΝΝΗΣ</t>
  </si>
  <si>
    <t>ΓΙΑΝΝΟΥΤΣΟΣ</t>
  </si>
  <si>
    <t>ΓΙΑΡΓΚΙΤΖΗ</t>
  </si>
  <si>
    <t>ΘΕΟΔΟΣΙΟΣ</t>
  </si>
  <si>
    <t>ΔΕΔΕΣ</t>
  </si>
  <si>
    <t>ΚΕΒΕΡΗΣ</t>
  </si>
  <si>
    <t>ΜΗΤΡΟΠΟΥΛΟΣ</t>
  </si>
  <si>
    <t>ΜΠΕΡΤΣΙΑΣ</t>
  </si>
  <si>
    <t>ΞΕΝΟΥ</t>
  </si>
  <si>
    <t>ΠΑΝΑΓΙΩΤΟΥΛΙΑ</t>
  </si>
  <si>
    <t>ΤΖΑΝΑΚΗΣ</t>
  </si>
  <si>
    <t>ΑΓΙΑΝΟΓΛΟΥ</t>
  </si>
  <si>
    <t>ΕΥΔΟΚΙΜΟΣ</t>
  </si>
  <si>
    <t>ΑΔΡΑΚΤΑ</t>
  </si>
  <si>
    <t>062536985</t>
  </si>
  <si>
    <t>ΑΗΔΟΝΗ</t>
  </si>
  <si>
    <t>ΒΔΟΥΚΑΚΗ</t>
  </si>
  <si>
    <t>ΑΣΗΜΑΚΗΣ</t>
  </si>
  <si>
    <t>158182116</t>
  </si>
  <si>
    <t>ΒΕΣΤΑΡΧΗΣ</t>
  </si>
  <si>
    <t>ΠΑΡΑΣΧΟΥ</t>
  </si>
  <si>
    <t>ΓΙΑΒΡΟΥΤΑ</t>
  </si>
  <si>
    <t>ΛΑΜΠΡΙΝΗ</t>
  </si>
  <si>
    <t>ΓΙΑΝΝΕΛΟΣ</t>
  </si>
  <si>
    <t>ΓΙΑΝΝΟΥΛΑΣ</t>
  </si>
  <si>
    <t>ΓΡΙΒΑΣ</t>
  </si>
  <si>
    <t>ΔΗΜΑΚΟΓΙΑΝΝΗ</t>
  </si>
  <si>
    <t>ΖΑΓΚΑ</t>
  </si>
  <si>
    <t>ΖΟΡΜΠΑΣ</t>
  </si>
  <si>
    <t>ΧΑΡΙΣΙΟΣ</t>
  </si>
  <si>
    <t>ΞΕΝΟΦΩΝΤΑΣ</t>
  </si>
  <si>
    <t>ΖΟΥΓΡΗΣ</t>
  </si>
  <si>
    <t>ΚΑΡΑΒΙΑΣ</t>
  </si>
  <si>
    <t>ΚΑΡΑΘΑΝΑΣΗΣ</t>
  </si>
  <si>
    <t>ΚΑΡΒΕΛΕΑΣ</t>
  </si>
  <si>
    <t>ΚΑΤΣΑΒΡΙΑ</t>
  </si>
  <si>
    <t>ΚΑΤΣΙΓΙΑΝΝΗΣ</t>
  </si>
  <si>
    <t>ΚΙΜΩΝ</t>
  </si>
  <si>
    <t>ΚΑΤΣΙΩΛΗ</t>
  </si>
  <si>
    <t>ΚΕΡΚΕΜΕΖΟΥ</t>
  </si>
  <si>
    <t>ΚΟΥΓΙΟΥΜΤΖΗ</t>
  </si>
  <si>
    <t>ΚΟΥΜΟΥΤΣΟΣ</t>
  </si>
  <si>
    <t>ΚΥΡΙΑΚΑΚΗ</t>
  </si>
  <si>
    <t>ΜΑΝΗΣΑΛΗ</t>
  </si>
  <si>
    <t>ΓΕΝΟΒΕΦΑ</t>
  </si>
  <si>
    <t>ΜΑΡΓΙΟΛΗΣ</t>
  </si>
  <si>
    <t>ΜΑΡΚΟΥΤΣΑΚΗ</t>
  </si>
  <si>
    <t>ΜΑΣΤΡΟΓΙΑΝΝΗ</t>
  </si>
  <si>
    <t>ΑΡΤΕΜΗΣΙΑ</t>
  </si>
  <si>
    <t>103862120</t>
  </si>
  <si>
    <t>ΜΠΙΚΑ</t>
  </si>
  <si>
    <t>ΜΠΟΥΚΟΥΡΑΚΗΣ</t>
  </si>
  <si>
    <t>ΝΟΥΤΣΑ</t>
  </si>
  <si>
    <t>ΕΛΠΙΝΙΚΗ</t>
  </si>
  <si>
    <t>ΠΑΡΔΑΛΗ</t>
  </si>
  <si>
    <t>ΕΥΣΤΑΘΙΟΣ</t>
  </si>
  <si>
    <t>ΠΑΥΛΑΤΟΣ</t>
  </si>
  <si>
    <t>ΡΟΥΣΣΟΥ</t>
  </si>
  <si>
    <t>ΓΑΡΥΦΑΛΛΙΑ - ΑΦΡΟΔΙΤΗ</t>
  </si>
  <si>
    <t>ΣΑΡΛΑΣ</t>
  </si>
  <si>
    <t>ΜΑΡΙΝΟΣ</t>
  </si>
  <si>
    <t>ΣΑΡΛΗ</t>
  </si>
  <si>
    <t>ΣΙΓΑΛΑΚΟΥ</t>
  </si>
  <si>
    <t>ΣΠΑΝΟΥΔΗ</t>
  </si>
  <si>
    <t>ΣΤΑΜΑΤΟΓΙΑΝΝΗ</t>
  </si>
  <si>
    <t>ΤΣΙΓΓΕΡΙΔΗΣ</t>
  </si>
  <si>
    <t>ΧΝΑΡΑ</t>
  </si>
  <si>
    <t>073981171</t>
  </si>
  <si>
    <t>ΧΡΙΣΤΟΠΟΥΛΟΥ</t>
  </si>
  <si>
    <t>056158989</t>
  </si>
  <si>
    <t>ΔΙΑΚΡΟΥΣΗΣ</t>
  </si>
  <si>
    <t>ΣΤΥΛΙΑΝΟΣ-ΓΕΡΑΣΙΜΟΣ</t>
  </si>
  <si>
    <t>127733524</t>
  </si>
  <si>
    <t>ΚΙΜΙΩΝΗ</t>
  </si>
  <si>
    <t>ΚΟΣΜΑΔΑΚΗ</t>
  </si>
  <si>
    <t>ΚΟΥΜΗΣ</t>
  </si>
  <si>
    <t>ΣΤΥΛΙΑΝΟΣ-ΔΗΜΗΤΡΙΟΣ</t>
  </si>
  <si>
    <t>067383180</t>
  </si>
  <si>
    <t>ΜΙΧΕΛΑΚΗΣ</t>
  </si>
  <si>
    <t>ΜΠΟΛΙΟΥΔΑΚΗΣ</t>
  </si>
  <si>
    <t>ΜΠΟΤΩΝΑΚΗΣ</t>
  </si>
  <si>
    <t>ΝΤΑΛΛΑΣ</t>
  </si>
  <si>
    <t>ΞΥΛΑΣ</t>
  </si>
  <si>
    <t>ΠΑΤΕΡΑΚΗ</t>
  </si>
  <si>
    <t>ΠΕΝΤΑΡΗΣ</t>
  </si>
  <si>
    <t>ΣΤΑΜΠΟΛΑΚΗ</t>
  </si>
  <si>
    <t>161567170</t>
  </si>
  <si>
    <t>ΣΤΡΑΠΑΤΣΑΚΗΣ</t>
  </si>
  <si>
    <t>ΑΔΑΜ</t>
  </si>
  <si>
    <t>ΦΕΛΕΣΑΚΗ</t>
  </si>
  <si>
    <t>ΧΡΙΣΤΙΝΗ</t>
  </si>
  <si>
    <t>ΦΙΩΤΟΔΗΜΗΤΡΑΚΗ</t>
  </si>
  <si>
    <t>ΘΕΟΔΩΣΙΑ</t>
  </si>
  <si>
    <t>ΦΡΑΤΖΕΣΚΑΚΗ</t>
  </si>
  <si>
    <t>ΝΕΚΤΑΡΙΟΣ</t>
  </si>
  <si>
    <t>ΧΑΡΑΛΑΜΠΙΔΗ</t>
  </si>
  <si>
    <t>ΧΑΤΖΗΣ</t>
  </si>
  <si>
    <t>ΝΙΚΟΛΑΟΣ ΜΙΧΑΗΛ</t>
  </si>
  <si>
    <t>148345958</t>
  </si>
  <si>
    <t>ΤΗΛΕΦΩΝΟ</t>
  </si>
  <si>
    <t>Γ.Δ.Α.Ε.Φ.Κ.  -  ΚΑΤΑΛΟΓΟΣ ΥΠΑΛΛΗΛΩΝ ΠΟΥ ΔΕΝ ΕΊΝΑΙ ΣΤΗΝ ΥΠΗΡΕΣΙΑ</t>
  </si>
  <si>
    <t>μηχανικοι</t>
  </si>
  <si>
    <t>ΕΣΩΤΕΡΙΚΟ ΤΗΛΕΦΩΝΟ</t>
  </si>
  <si>
    <t>ΥΠΗΡΕΣΙΑ/ΤΜΗΜΑ</t>
  </si>
  <si>
    <t xml:space="preserve">ΔΙΑΘΕΣΗ ΚΑΙ 
ΠΑΡΑΛΛΗΛΑ ΚΑΘΗΚΟΝΤΑ
ΣΕ ΑΛΛΗ ΥΠΗΡΕΣΙΑ </t>
  </si>
  <si>
    <t>ΑΠΟΦΑΣΕΙΣ, ΚΛΙΜΑΚΙΩΝ</t>
  </si>
  <si>
    <t>ΑΛΕΒΙΖΟΠΟΥΛΟΥ</t>
  </si>
  <si>
    <t>2102464843</t>
  </si>
  <si>
    <t>ΤΑΕΦΚ ΑΑ</t>
  </si>
  <si>
    <t>12421</t>
  </si>
  <si>
    <t>ΆΛΛΟ</t>
  </si>
  <si>
    <t>14263</t>
  </si>
  <si>
    <t>ΑΛΕΞΟΠΟΥΛΟΣ</t>
  </si>
  <si>
    <t>6973414947</t>
  </si>
  <si>
    <t>Δ20-ΔΙΕΥΘΥΝΣΗ ΛΙΜΕΝΙΚΩΝ ΥΠΟΔΟΜΩΝ</t>
  </si>
  <si>
    <t>ΠΑΡΑΙΤΗΘΗΚΕ</t>
  </si>
  <si>
    <r>
      <rPr>
        <b/>
        <sz val="10"/>
        <color theme="1"/>
        <rFont val="Calibri"/>
        <family val="2"/>
        <charset val="161"/>
        <scheme val="minor"/>
      </rPr>
      <t>ΕΧΕΙ ΠΑΡΑΙΤΗΘΕΙ</t>
    </r>
    <r>
      <rPr>
        <sz val="10"/>
        <color theme="1"/>
        <rFont val="Calibri"/>
        <family val="2"/>
        <scheme val="minor"/>
      </rPr>
      <t xml:space="preserve">
ΕΊΝΑΙ ΣΤΗ ΔΙΑΠΙΣΤΩΤΙΚΗ, ΑΛΛΑ ΌΧΙ ΣΤΟ EXCEL ΤΗΣ ΓΔΑΕΦΚ - ΠΡΟΣΛΗΨΗ ΓΙΑ ΤΟ ΤΑΕΦΚ ΖΑΚΥΝΘΟΥ</t>
    </r>
  </si>
  <si>
    <t>ΑΝΑΣΤΑΣΑΚΗΣ</t>
  </si>
  <si>
    <t>210 6999418</t>
  </si>
  <si>
    <t>ΔΑΕΦΚ ΚΕ-Δ26</t>
  </si>
  <si>
    <t>Δ17-ΔΙΕΥΘΥΝΣΗ ΛΕΙΤΟΥΡΓΙΑΣ, ΣΥΝΤΗΡΗΣΗΣ ΚΑΙ ΕΚΜΕΤΑΛΛΕΥΣΗΣ ΣΥΓΚΟΙΝΩΝΙΑΚΩΝ ΥΠΟΔΟΜΩΝ ΜΕ ΣΥΜΒΑΣΗ ΠΑΡΑΧΩΡΗΣΗΣ</t>
  </si>
  <si>
    <t>12854</t>
  </si>
  <si>
    <t>13113</t>
  </si>
  <si>
    <t>ΑΝΑΣΤΑΣΟΠΟΥΛΟΣ</t>
  </si>
  <si>
    <t>ΔΑΕΦΚ ΚΕ-Δ26 (ΤΜΗΜΑ ΣΥΝΤΟΝΙΣΜΟΥ, ΣΧΕΔΙΑΣΜΟΥ ΚΑΙ ΜΕΛΕΤΩΝ)</t>
  </si>
  <si>
    <t>ΑΠΟΛΥΘΗΚΕ</t>
  </si>
  <si>
    <t>ΛΕΙΠΕΙ ΧΡΟΝΙΑ</t>
  </si>
  <si>
    <t>14431</t>
  </si>
  <si>
    <t>046578687</t>
  </si>
  <si>
    <t>6932711139</t>
  </si>
  <si>
    <t>ΣΥΝΤΑΞΗ</t>
  </si>
  <si>
    <t>ΕΧΕΙ ΠΑΡΑΙΤΗΘΕΙ</t>
  </si>
  <si>
    <t>12668</t>
  </si>
  <si>
    <t>14150</t>
  </si>
  <si>
    <t>ΓΟΥΝΑΡΙΔΟΥ</t>
  </si>
  <si>
    <t>ΕΥΧΑΡΙΣ</t>
  </si>
  <si>
    <t>041354039</t>
  </si>
  <si>
    <t>2310345220</t>
  </si>
  <si>
    <t>ΔΑΕΦΚ ΒΕ-Δ28 (ΤΜΗΜΑ ΣΥΝΤΟΝΙΣΜΟΥ, ΣΧΕΔΙΑΣΜΟΥ ΚΑΙ ΜΕΛΕΤΩΝ)</t>
  </si>
  <si>
    <t>14506</t>
  </si>
  <si>
    <t>ΔΑΚΙΔΗΣ</t>
  </si>
  <si>
    <t>ΔΑΚΙΔΗΣ ΧΡΗΣΤΟΣ - ΠΕ ΠΟΛ. ΜΗΧ. (ΤΑΕΦΚ ΗΡΑΚΛΕΙΟΥ)</t>
  </si>
  <si>
    <t>159438610</t>
  </si>
  <si>
    <t>6949027222</t>
  </si>
  <si>
    <t>ΤΑΕΦΚ Π.Ε. ΗΡΑΚΛΕΙΟΥ</t>
  </si>
  <si>
    <t>12167</t>
  </si>
  <si>
    <t>12182</t>
  </si>
  <si>
    <t>ΔΑΛΕΖΙΟΣ</t>
  </si>
  <si>
    <t>027767862</t>
  </si>
  <si>
    <t>adalezios@civilprotection.gr</t>
  </si>
  <si>
    <t>ΔΑΕΦΚ ΚΕ-Δ26 (ΤΜΗΜΑ ΔΙΑΧΕΙΡΙΣΗΣ ΠΡΟΣΩΡΙΝΗΣ ΣΤΕΓΑΣΗΣ ΚΑΙ ΕΞΟΠΛΙΣΜΟΥ)</t>
  </si>
  <si>
    <t>14402</t>
  </si>
  <si>
    <t>7488</t>
  </si>
  <si>
    <t>ΟΑΣΠ</t>
  </si>
  <si>
    <t>ΒΛΑΣΙΟΣ</t>
  </si>
  <si>
    <t>ΔΑΕΦΚ ΒΕ-Δ28</t>
  </si>
  <si>
    <t>12661</t>
  </si>
  <si>
    <t>5608</t>
  </si>
  <si>
    <t>ΕΣΚΙΝΤΖΗΣ</t>
  </si>
  <si>
    <t>026883365</t>
  </si>
  <si>
    <t>ΔΑΕΦΚ ΚΕ-Δ26 (ΤΜΗΜΑ ΠΡΟΓΡΑΜΜΑΤΙΣΜΟΥ, ΑΠΟΚΑΤΑΣΤΑΣΗΣ ΚΑΙ ΕΚΠΑΙΔΕΥΣΗΣ)</t>
  </si>
  <si>
    <t>13572</t>
  </si>
  <si>
    <t>ΖΑΓΟΡΑ</t>
  </si>
  <si>
    <t>ΓΑΒΡΙΕΛΑ</t>
  </si>
  <si>
    <t>071524425</t>
  </si>
  <si>
    <t>2108947655</t>
  </si>
  <si>
    <t>14257</t>
  </si>
  <si>
    <t>2106526048</t>
  </si>
  <si>
    <t>ΔΑΕΦΚ ΚΕ-Δ26 (ΤΜΗΜΑ ΕΠΟΠΤΕΙΑΣ ΑΠΟΚΑΤΑΣΤΑΣΗΣ ΦΥΣΙΚΩΝ ΚΑΤΑΣΤΡΟΦΩΝ)</t>
  </si>
  <si>
    <t>ΒΡΥΞΕΛΛΕΣ</t>
  </si>
  <si>
    <t>14459</t>
  </si>
  <si>
    <t>ΚΑΡΑΓΙΑΝΝΙΔΗ</t>
  </si>
  <si>
    <t>032702434</t>
  </si>
  <si>
    <t>2107771508</t>
  </si>
  <si>
    <t>ΔΙΑΧΕΙΡΙΣΤΙΚΗ ΑΡΧΗ</t>
  </si>
  <si>
    <t>14476</t>
  </si>
  <si>
    <t>14450</t>
  </si>
  <si>
    <t>ΚΑΡΑΜΠΑΣΗΣ</t>
  </si>
  <si>
    <t>ΚΑΡΑΜΠΑΣΗΣ ΧΡΗΣΤΟΣ - ΠΕ ΠΟΛ. ΜΗΧ. (ΔΑΕΦΚ-ΒΕ)</t>
  </si>
  <si>
    <t>047777569</t>
  </si>
  <si>
    <t>2310452083</t>
  </si>
  <si>
    <t>chkarampasis@civilprotection.gr</t>
  </si>
  <si>
    <t>ΜΠΑΜΠΙΛΗ</t>
  </si>
  <si>
    <t>14268</t>
  </si>
  <si>
    <t>ΜΠΑΡΔΗΣ</t>
  </si>
  <si>
    <t>ΜΠΑΡΔΗΣ ΓΕΩΡΓΙΟΣ - ΠΕ ΜΗΧ. ΠΕΡΙΒΑΛ. (ΤΑΕΦΚ-ΑΑ)</t>
  </si>
  <si>
    <t>145864882</t>
  </si>
  <si>
    <t>gmpardis@civilprotection.gr</t>
  </si>
  <si>
    <t>14365</t>
  </si>
  <si>
    <t>ΜΠΟΥΣΜΠΟΥΡΕΛΗ</t>
  </si>
  <si>
    <t>ΠΕΤΡΟΥΛΑ</t>
  </si>
  <si>
    <t>ΜΠΟΥΣΜΠΟΥΡΕΛΗ ΠΕΤΡΟΥΛΑ - ΠΕ ΑΡΧ. ΜΗΧ. (ΑΑ)</t>
  </si>
  <si>
    <t>2109766841</t>
  </si>
  <si>
    <t>14274</t>
  </si>
  <si>
    <t>ΜΩΚΟΣ</t>
  </si>
  <si>
    <t>102906367</t>
  </si>
  <si>
    <t>ΝΙΚΟΛΟΠΟΥΛΟΣ</t>
  </si>
  <si>
    <t>160386034</t>
  </si>
  <si>
    <t>6970130611</t>
  </si>
  <si>
    <t>nikolopoulosvagelis@gmail.com</t>
  </si>
  <si>
    <t>ΓΡΑΦΕΙΟ ΥΠΟΥΡΓΟΥ</t>
  </si>
  <si>
    <t>ΠΑΠΑΕΥΘΥΜΙΟΥ-ΓΩΓΟΣ</t>
  </si>
  <si>
    <t>ΠΟΖΙΟΥ</t>
  </si>
  <si>
    <t>ΚΑΣΣΙΑΝΗ</t>
  </si>
  <si>
    <t>ΒΑΙΟΣ</t>
  </si>
  <si>
    <t>ΤΑΕΦΚ Π.Ε. ΗΡΑΚΛΕΙΟΥ - ΠΑΡ.ΚΑΘ.</t>
  </si>
  <si>
    <t>ΠΟΙΜΕΝΙΔΟΥ</t>
  </si>
  <si>
    <t>043933358</t>
  </si>
  <si>
    <t>210 64 53 706</t>
  </si>
  <si>
    <t>2109567766</t>
  </si>
  <si>
    <t>6977010272</t>
  </si>
  <si>
    <t>kpoimenidou@civilprotection.gr</t>
  </si>
  <si>
    <t>12284</t>
  </si>
  <si>
    <t>ΠΥΡΟΒΟΛΑΚΗΣ</t>
  </si>
  <si>
    <t>034725314</t>
  </si>
  <si>
    <t>2106930186</t>
  </si>
  <si>
    <t>6974489739</t>
  </si>
  <si>
    <t>ypyros@gmail.com</t>
  </si>
  <si>
    <t>ΣΑΤΛΑΝΗ</t>
  </si>
  <si>
    <t>6982515353</t>
  </si>
  <si>
    <t>Konsatlani@yahoo.com</t>
  </si>
  <si>
    <t>ΣΙΔΗΡΟΠΟΥΛΟΣ</t>
  </si>
  <si>
    <t>ΣΙΔΗΡΟΠΟΥΛΟΣ ΑΛΕΞΑΝΔΡΟΣ - ΠΕ ΜΗΧ. ΠΑΡ. (ΔΑΕΦΚ-ΒΕ)</t>
  </si>
  <si>
    <t>064254688</t>
  </si>
  <si>
    <t>asidiropoulos@civilprotection.gr</t>
  </si>
  <si>
    <t>ΤΑΕΦΚ ΠΕ ΧΑΛΚΙΔΙΚΗΣ</t>
  </si>
  <si>
    <t xml:space="preserve">ΔΑΕΦΚ Β.Ε. (Δ28) - ΠΑΡ.ΚΑΘ. </t>
  </si>
  <si>
    <t>ΣΚΛΙΑΜΗ</t>
  </si>
  <si>
    <t>ΠΑΡΑΣΚΕΥΑΣ</t>
  </si>
  <si>
    <t>130246917</t>
  </si>
  <si>
    <t>6947199772</t>
  </si>
  <si>
    <t>ΣΟΥΓΛΕΡΗ</t>
  </si>
  <si>
    <t>145036517</t>
  </si>
  <si>
    <t>2610641041</t>
  </si>
  <si>
    <t>isougleri@civilprotection.gr</t>
  </si>
  <si>
    <t>ΔΑΕΦΚ ΔΕ-Δ27</t>
  </si>
  <si>
    <t>ΣΤΡΑΤΙΔΑΚΗ</t>
  </si>
  <si>
    <t>ΤΣΙΛΙΜΑΝΤΟΥ</t>
  </si>
  <si>
    <t>ΕΛΙΣΑΒΕΤ</t>
  </si>
  <si>
    <t>126679566</t>
  </si>
  <si>
    <t>210 6417640</t>
  </si>
  <si>
    <t>6938030875</t>
  </si>
  <si>
    <t>ΤΣΟΥΜΗΣ</t>
  </si>
  <si>
    <t>2106543664</t>
  </si>
  <si>
    <t>ΧΑΡΑΛΑΜΠΟΠΟΥΛΟΥ</t>
  </si>
  <si>
    <t>047562104</t>
  </si>
  <si>
    <t>2109316112</t>
  </si>
  <si>
    <t>ΆΛΛΗ ΔΙΕΥΘΥΝΣΗ</t>
  </si>
  <si>
    <t>358519/15.11.2022</t>
  </si>
  <si>
    <t>ΨΑΛΤΗΣ</t>
  </si>
  <si>
    <t>033694323</t>
  </si>
  <si>
    <t>6976395480</t>
  </si>
  <si>
    <t>ipsaltis@civilprotection.gr</t>
  </si>
  <si>
    <t>psaltisjn@yahoo.com</t>
  </si>
  <si>
    <t>Δ24-ΔΙΕΥΘΥΝΣΗ ΜΗΤΡΩΩΝ</t>
  </si>
  <si>
    <t>ΑΠΕΒΙΩΣΕ</t>
  </si>
  <si>
    <t>ΘΕΛΕΡΙΤΗΣ</t>
  </si>
  <si>
    <t>ΤΑΕΦΚ ΔΑ</t>
  </si>
  <si>
    <t>Γ.Δ.Α.Ε.Φ.Κ. :   ΥΠΑΛΛΗΛΟΙ ΣΕ ΕΠΙΦΥΛΑΚΗ</t>
  </si>
  <si>
    <t>ΗΜΕΡΟΜΗΝΙΑ</t>
  </si>
  <si>
    <t>από</t>
  </si>
  <si>
    <t>έως</t>
  </si>
  <si>
    <t>YPHRESIA</t>
  </si>
  <si>
    <t>YPALLHLOI</t>
  </si>
  <si>
    <t>SUM</t>
  </si>
  <si>
    <t>DUP</t>
  </si>
  <si>
    <t>ΣΥΝΟΛΟ ΥΠΑΛΛΗΛΩΝ</t>
  </si>
  <si>
    <t>Υπάλληλος 1</t>
  </si>
  <si>
    <t>Υπάλληλος 2</t>
  </si>
  <si>
    <t>Υπάλληλος 3</t>
  </si>
  <si>
    <t>Υπάλληλος 4</t>
  </si>
  <si>
    <t>Υπάλληλος 5</t>
  </si>
  <si>
    <t>Υπάλληλος 6</t>
  </si>
  <si>
    <t>Υπάλληλος 7</t>
  </si>
  <si>
    <t>Υπάλληλος 8</t>
  </si>
  <si>
    <t>Υπάλληλος 9</t>
  </si>
  <si>
    <t>Υπάλληλος 10</t>
  </si>
  <si>
    <t>Υπάλληλος 11</t>
  </si>
  <si>
    <t>Υπάλληλος 12</t>
  </si>
  <si>
    <t>Υπάλληλος 13</t>
  </si>
  <si>
    <t>Υπάλληλος 14</t>
  </si>
  <si>
    <t>Υπάλληλος 15</t>
  </si>
  <si>
    <t>Υπάλληλος 16</t>
  </si>
  <si>
    <t>Υπάλληλος 17</t>
  </si>
  <si>
    <t>Υπάλληλος 18</t>
  </si>
  <si>
    <t>Υπάλληλος 19</t>
  </si>
  <si>
    <t>Υπάλληλος 20</t>
  </si>
  <si>
    <t>Υπάλληλος 21</t>
  </si>
  <si>
    <t>Υπάλληλος 22</t>
  </si>
  <si>
    <t>Υπάλληλος 23</t>
  </si>
  <si>
    <t>Υπάλληλος 24</t>
  </si>
  <si>
    <t>Υπάλληλος 25</t>
  </si>
  <si>
    <t>Υπάλληλος 26</t>
  </si>
  <si>
    <t>Υπάλληλος 27</t>
  </si>
  <si>
    <t>Υπάλληλος 28</t>
  </si>
  <si>
    <t>Υπάλληλος 29</t>
  </si>
  <si>
    <t>Υπάλληλος 30</t>
  </si>
  <si>
    <t>ΑΝΑΓΝΩΣΤΟΥ ΠΑΝΑΓΙΩΤΑ</t>
  </si>
  <si>
    <t>surname</t>
  </si>
  <si>
    <t>name</t>
  </si>
  <si>
    <t>fathername</t>
  </si>
  <si>
    <t>afm</t>
  </si>
  <si>
    <t>klados</t>
  </si>
  <si>
    <t>attribute</t>
  </si>
  <si>
    <t>workaf</t>
  </si>
  <si>
    <t>monada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</si>
</sst>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;@"/>
    <numFmt numFmtId="165" formatCode="d/m/yyyy;@"/>
    <numFmt numFmtId="166" formatCode="d\/m\/yyyy"/>
  </numFmts>
  <fonts count="112" x14ac:knownFonts="1">
    <font>
      <sz val="11"/>
      <color theme="1"/>
      <name val="Calibri"/>
      <family val="2"/>
      <charset val="161"/>
      <scheme val="minor"/>
    </font>
    <font>
      <sz val="8"/>
      <name val="Calibri"/>
      <family val="2"/>
      <charset val="161"/>
    </font>
    <font>
      <b/>
      <sz val="10"/>
      <name val="Arial"/>
      <family val="2"/>
      <charset val="161"/>
    </font>
    <font>
      <sz val="9"/>
      <color indexed="8"/>
      <name val="Arial"/>
      <family val="2"/>
      <charset val="161"/>
    </font>
    <font>
      <b/>
      <sz val="10"/>
      <name val="Arial Narrow"/>
      <family val="2"/>
      <charset val="161"/>
    </font>
    <font>
      <sz val="10"/>
      <color indexed="8"/>
      <name val="Arial Narrow"/>
      <family val="2"/>
      <charset val="161"/>
    </font>
    <font>
      <b/>
      <sz val="11"/>
      <name val="Arial Narrow"/>
      <family val="2"/>
      <charset val="161"/>
    </font>
    <font>
      <b/>
      <sz val="10"/>
      <color indexed="16"/>
      <name val="Arial Narrow"/>
      <family val="2"/>
      <charset val="161"/>
    </font>
    <font>
      <sz val="9"/>
      <color theme="1"/>
      <name val="Arial"/>
      <family val="2"/>
      <charset val="161"/>
    </font>
    <font>
      <b/>
      <sz val="10"/>
      <color indexed="8"/>
      <name val="Arial Narrow"/>
      <family val="2"/>
      <charset val="161"/>
    </font>
    <font>
      <b/>
      <sz val="11"/>
      <color indexed="8"/>
      <name val="Arial Narrow"/>
      <family val="2"/>
      <charset val="161"/>
    </font>
    <font>
      <b/>
      <sz val="9"/>
      <color indexed="8"/>
      <name val="Arial"/>
      <family val="2"/>
      <charset val="161"/>
    </font>
    <font>
      <b/>
      <sz val="9"/>
      <color indexed="8"/>
      <name val="Arial Narrow"/>
      <family val="2"/>
      <charset val="161"/>
    </font>
    <font>
      <b/>
      <sz val="12"/>
      <color theme="0"/>
      <name val="Arial Narrow"/>
      <family val="2"/>
      <charset val="161"/>
    </font>
    <font>
      <b/>
      <sz val="12"/>
      <color theme="0"/>
      <name val="Arial"/>
      <family val="2"/>
      <charset val="161"/>
    </font>
    <font>
      <b/>
      <sz val="10"/>
      <color theme="0"/>
      <name val="Arial"/>
      <family val="2"/>
      <charset val="161"/>
    </font>
    <font>
      <b/>
      <sz val="9"/>
      <color theme="7" tint="-0.499984740745262"/>
      <name val="Arial Narrow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rgb="FF000066"/>
      <name val="Calibri"/>
      <family val="2"/>
      <charset val="161"/>
      <scheme val="minor"/>
    </font>
    <font>
      <b/>
      <sz val="10"/>
      <color rgb="FF000066"/>
      <name val="Calibri"/>
      <family val="2"/>
      <charset val="161"/>
      <scheme val="minor"/>
    </font>
    <font>
      <b/>
      <sz val="10"/>
      <color theme="8" tint="-0.499984740745262"/>
      <name val="Arial"/>
      <family val="2"/>
      <charset val="161"/>
    </font>
    <font>
      <b/>
      <sz val="10"/>
      <color theme="8" tint="-0.499984740745262"/>
      <name val="Arial Narrow"/>
      <family val="2"/>
      <charset val="161"/>
    </font>
    <font>
      <b/>
      <sz val="9"/>
      <color theme="1"/>
      <name val="Arial"/>
      <family val="2"/>
      <charset val="161"/>
    </font>
    <font>
      <b/>
      <sz val="7"/>
      <color theme="7" tint="-0.249977111117893"/>
      <name val="Calibri"/>
      <family val="2"/>
      <charset val="161"/>
    </font>
    <font>
      <b/>
      <sz val="7"/>
      <color rgb="FF9B86B8"/>
      <name val="Calibri"/>
      <family val="2"/>
      <charset val="161"/>
    </font>
    <font>
      <b/>
      <sz val="10"/>
      <color theme="5" tint="-0.499984740745262"/>
      <name val="Calibri"/>
      <family val="2"/>
      <charset val="161"/>
      <scheme val="minor"/>
    </font>
    <font>
      <b/>
      <sz val="12"/>
      <color theme="5" tint="-0.499984740745262"/>
      <name val="Calibri"/>
      <family val="2"/>
      <charset val="161"/>
      <scheme val="minor"/>
    </font>
    <font>
      <b/>
      <sz val="8"/>
      <color rgb="FF000066"/>
      <name val="Calibri"/>
      <family val="2"/>
      <charset val="161"/>
      <scheme val="minor"/>
    </font>
    <font>
      <b/>
      <sz val="9"/>
      <color rgb="FF000066"/>
      <name val="Calibri"/>
      <family val="2"/>
      <charset val="161"/>
      <scheme val="minor"/>
    </font>
    <font>
      <b/>
      <sz val="9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sz val="10"/>
      <color theme="5" tint="-0.499984740745262"/>
      <name val="Calibri"/>
      <family val="2"/>
      <charset val="161"/>
      <scheme val="minor"/>
    </font>
    <font>
      <b/>
      <sz val="11"/>
      <color theme="6" tint="-0.499984740745262"/>
      <name val="Calibri"/>
      <family val="2"/>
      <charset val="161"/>
      <scheme val="minor"/>
    </font>
    <font>
      <b/>
      <sz val="11"/>
      <color theme="9" tint="-0.499984740745262"/>
      <name val="Calibri"/>
      <family val="2"/>
      <charset val="161"/>
      <scheme val="minor"/>
    </font>
    <font>
      <b/>
      <i/>
      <sz val="11"/>
      <color theme="1"/>
      <name val="Calibri"/>
      <family val="2"/>
      <charset val="161"/>
      <scheme val="minor"/>
    </font>
    <font>
      <b/>
      <i/>
      <sz val="11"/>
      <color theme="5" tint="-0.499984740745262"/>
      <name val="Calibri"/>
      <family val="2"/>
      <charset val="161"/>
      <scheme val="minor"/>
    </font>
    <font>
      <b/>
      <i/>
      <sz val="12"/>
      <color theme="6" tint="-0.499984740745262"/>
      <name val="Calibri"/>
      <family val="2"/>
      <charset val="161"/>
      <scheme val="minor"/>
    </font>
    <font>
      <b/>
      <i/>
      <sz val="12"/>
      <color theme="9" tint="-0.499984740745262"/>
      <name val="Calibri"/>
      <family val="2"/>
      <charset val="161"/>
      <scheme val="minor"/>
    </font>
    <font>
      <b/>
      <i/>
      <sz val="11"/>
      <color rgb="FF000066"/>
      <name val="Calibri"/>
      <family val="2"/>
      <charset val="161"/>
      <scheme val="minor"/>
    </font>
    <font>
      <b/>
      <sz val="8"/>
      <color theme="5" tint="-0.499984740745262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i/>
      <sz val="10"/>
      <name val="Calibri"/>
      <family val="2"/>
      <charset val="161"/>
      <scheme val="minor"/>
    </font>
    <font>
      <b/>
      <i/>
      <sz val="9"/>
      <color theme="5" tint="-0.499984740745262"/>
      <name val="Calibri"/>
      <family val="2"/>
      <charset val="16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sz val="12"/>
      <color theme="5" tint="-0.499984740745262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sz val="9"/>
      <color theme="1"/>
      <name val="Calibri"/>
      <family val="2"/>
      <scheme val="minor"/>
    </font>
    <font>
      <b/>
      <i/>
      <sz val="10"/>
      <color theme="1"/>
      <name val="Calibri"/>
      <family val="2"/>
      <charset val="161"/>
      <scheme val="minor"/>
    </font>
    <font>
      <b/>
      <sz val="10"/>
      <color theme="5" tint="-0.499984740745262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0"/>
      <color rgb="FF000000"/>
      <name val="Times New Roman"/>
      <family val="1"/>
      <charset val="161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charset val="161"/>
      <scheme val="minor"/>
    </font>
    <font>
      <b/>
      <sz val="12"/>
      <color rgb="FF7030A0"/>
      <name val="Calibri"/>
      <family val="2"/>
      <charset val="161"/>
      <scheme val="minor"/>
    </font>
    <font>
      <b/>
      <sz val="11"/>
      <color theme="7" tint="-0.249977111117893"/>
      <name val="Calibri"/>
      <family val="2"/>
      <charset val="161"/>
    </font>
    <font>
      <b/>
      <sz val="10"/>
      <color rgb="FF002060"/>
      <name val="Arial Narrow"/>
      <family val="2"/>
      <charset val="161"/>
    </font>
    <font>
      <b/>
      <sz val="11"/>
      <color rgb="FF002060"/>
      <name val="Arial Narrow"/>
      <family val="2"/>
      <charset val="161"/>
    </font>
    <font>
      <b/>
      <sz val="10"/>
      <color rgb="FFFFFF00"/>
      <name val="Arial Narrow"/>
      <family val="2"/>
      <charset val="161"/>
    </font>
    <font>
      <sz val="11"/>
      <color rgb="FF002060"/>
      <name val="Calibri"/>
      <family val="2"/>
      <charset val="161"/>
      <scheme val="minor"/>
    </font>
    <font>
      <sz val="11"/>
      <color rgb="FF000066"/>
      <name val="Calibri"/>
      <family val="2"/>
      <charset val="161"/>
      <scheme val="minor"/>
    </font>
    <font>
      <sz val="10"/>
      <color rgb="FF000066"/>
      <name val="Calibri"/>
      <family val="2"/>
      <charset val="161"/>
      <scheme val="minor"/>
    </font>
    <font>
      <b/>
      <sz val="8"/>
      <color rgb="FF002060"/>
      <name val="Arial Narrow"/>
      <family val="2"/>
      <charset val="161"/>
    </font>
    <font>
      <sz val="11"/>
      <color theme="1"/>
      <name val="Calibri"/>
      <family val="2"/>
      <scheme val="minor"/>
    </font>
    <font>
      <b/>
      <sz val="11"/>
      <color rgb="FFFFFF00"/>
      <name val="Arial"/>
      <family val="2"/>
      <charset val="161"/>
    </font>
    <font>
      <b/>
      <sz val="10"/>
      <color rgb="FFFF0000"/>
      <name val="Arial Narrow"/>
      <family val="2"/>
      <charset val="161"/>
    </font>
    <font>
      <b/>
      <i/>
      <sz val="10"/>
      <color theme="7" tint="-0.499984740745262"/>
      <name val="Calibri"/>
      <family val="2"/>
      <charset val="161"/>
      <scheme val="minor"/>
    </font>
    <font>
      <b/>
      <sz val="10"/>
      <color theme="8" tint="-0.499984740745262"/>
      <name val="Arial Narrow"/>
      <family val="2"/>
    </font>
    <font>
      <b/>
      <sz val="12"/>
      <color theme="5" tint="0.79998168889431442"/>
      <name val="Arial"/>
      <family val="2"/>
      <charset val="161"/>
    </font>
    <font>
      <b/>
      <sz val="14"/>
      <color rgb="FF7030A0"/>
      <name val="Calibri"/>
      <family val="2"/>
      <charset val="161"/>
      <scheme val="minor"/>
    </font>
    <font>
      <b/>
      <sz val="11"/>
      <color theme="7" tint="-0.249977111117893"/>
      <name val="Calibri"/>
      <family val="2"/>
      <charset val="161"/>
      <scheme val="minor"/>
    </font>
    <font>
      <b/>
      <i/>
      <sz val="12"/>
      <color theme="5" tint="-0.499984740745262"/>
      <name val="Calibri"/>
      <family val="2"/>
      <scheme val="minor"/>
    </font>
    <font>
      <b/>
      <i/>
      <sz val="12"/>
      <color theme="3" tint="-0.499984740745262"/>
      <name val="Calibri"/>
      <family val="2"/>
      <charset val="161"/>
      <scheme val="minor"/>
    </font>
    <font>
      <b/>
      <sz val="8"/>
      <color indexed="8"/>
      <name val="Arial Narrow"/>
      <family val="2"/>
      <charset val="161"/>
    </font>
    <font>
      <b/>
      <sz val="10"/>
      <color rgb="FFC00000"/>
      <name val="Arial Narrow"/>
      <family val="2"/>
      <charset val="161"/>
    </font>
    <font>
      <b/>
      <sz val="8"/>
      <color rgb="FF000066"/>
      <name val="Calibri"/>
      <family val="2"/>
      <charset val="161"/>
    </font>
    <font>
      <b/>
      <sz val="10"/>
      <color rgb="FF000066"/>
      <name val="Calibri"/>
      <family val="2"/>
      <charset val="161"/>
    </font>
    <font>
      <b/>
      <sz val="8"/>
      <color indexed="18"/>
      <name val="Calibri"/>
      <family val="2"/>
      <charset val="161"/>
    </font>
    <font>
      <b/>
      <sz val="10"/>
      <color indexed="18"/>
      <name val="Calibri"/>
      <family val="2"/>
      <charset val="161"/>
    </font>
    <font>
      <sz val="11"/>
      <color theme="0"/>
      <name val="Calibri"/>
      <family val="2"/>
      <charset val="161"/>
      <scheme val="minor"/>
    </font>
    <font>
      <b/>
      <sz val="9"/>
      <color theme="0"/>
      <name val="Arial"/>
      <family val="2"/>
      <charset val="161"/>
    </font>
    <font>
      <b/>
      <sz val="11"/>
      <color theme="0"/>
      <name val="Arial Narrow"/>
      <family val="2"/>
      <charset val="161"/>
    </font>
    <font>
      <b/>
      <sz val="12"/>
      <color theme="0"/>
      <name val="Calibri"/>
      <family val="2"/>
      <charset val="161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C00000"/>
      <name val="Calibri"/>
      <family val="2"/>
      <charset val="161"/>
      <scheme val="minor"/>
    </font>
    <font>
      <b/>
      <sz val="11"/>
      <color theme="5" tint="-0.499984740745262"/>
      <name val="Calibri"/>
      <family val="2"/>
      <charset val="161"/>
      <scheme val="minor"/>
    </font>
    <font>
      <sz val="10"/>
      <color theme="8" tint="-0.499984740745262"/>
      <name val="Calibri"/>
      <family val="2"/>
      <scheme val="minor"/>
    </font>
    <font>
      <b/>
      <sz val="10"/>
      <color theme="7" tint="-0.499984740745262"/>
      <name val="Calibri"/>
      <family val="2"/>
      <charset val="161"/>
      <scheme val="minor"/>
    </font>
    <font>
      <b/>
      <sz val="11"/>
      <color rgb="FFFF0000"/>
      <name val="Calibri"/>
      <family val="2"/>
      <charset val="161"/>
      <scheme val="minor"/>
    </font>
    <font>
      <b/>
      <sz val="12"/>
      <color rgb="FFFF0000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0"/>
      <color theme="5" tint="-0.249977111117893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sz val="14"/>
      <color theme="6" tint="-0.499984740745262"/>
      <name val="Calibri"/>
      <family val="2"/>
      <scheme val="minor"/>
    </font>
    <font>
      <b/>
      <i/>
      <sz val="14"/>
      <color theme="6" tint="-0.499984740745262"/>
      <name val="Calibri"/>
      <family val="2"/>
    </font>
    <font>
      <b/>
      <u/>
      <sz val="14"/>
      <color theme="6" tint="-0.499984740745262"/>
      <name val="Calibri"/>
      <family val="2"/>
      <scheme val="minor"/>
    </font>
    <font>
      <sz val="14"/>
      <color theme="9" tint="-0.499984740745262"/>
      <name val="Calibri"/>
      <family val="2"/>
      <scheme val="minor"/>
    </font>
    <font>
      <b/>
      <i/>
      <sz val="14"/>
      <color theme="9" tint="-0.499984740745262"/>
      <name val="Calibri"/>
      <family val="2"/>
    </font>
    <font>
      <b/>
      <sz val="14"/>
      <color theme="9" tint="-0.499984740745262"/>
      <name val="Calibri"/>
      <family val="2"/>
      <scheme val="minor"/>
    </font>
    <font>
      <b/>
      <u/>
      <sz val="14"/>
      <color theme="9" tint="-0.499984740745262"/>
      <name val="Calibri"/>
      <family val="2"/>
      <scheme val="minor"/>
    </font>
    <font>
      <b/>
      <sz val="10"/>
      <color theme="7" tint="-0.249977111117893"/>
      <name val="Calibri"/>
      <family val="2"/>
      <charset val="161"/>
      <scheme val="minor"/>
    </font>
    <font>
      <b/>
      <sz val="12"/>
      <color theme="3" tint="-0.499984740745262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  <font>
      <b/>
      <i/>
      <sz val="10"/>
      <color rgb="FF552579"/>
      <name val="Calibri"/>
      <family val="2"/>
      <charset val="161"/>
    </font>
  </fonts>
  <fills count="3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D2C8DE"/>
        <bgColor indexed="64"/>
      </patternFill>
    </fill>
    <fill>
      <gradientFill degree="90">
        <stop position="0">
          <color theme="0"/>
        </stop>
        <stop position="1">
          <color theme="7" tint="0.80001220740379042"/>
        </stop>
      </gradientFill>
    </fill>
    <fill>
      <patternFill patternType="solid">
        <fgColor rgb="FFFFFFCC"/>
        <bgColor indexed="64"/>
      </patternFill>
    </fill>
    <fill>
      <gradientFill degree="270">
        <stop position="0">
          <color rgb="FFFFFFCC"/>
        </stop>
        <stop position="1">
          <color theme="0"/>
        </stop>
      </gradient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EBF1DE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1F3FF"/>
        <bgColor indexed="64"/>
      </patternFill>
    </fill>
    <fill>
      <patternFill patternType="solid">
        <fgColor rgb="FFF3EBFF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1" tint="0.24994659260841701"/>
      </right>
      <top style="thin">
        <color indexed="64"/>
      </top>
      <bottom style="thin">
        <color indexed="64"/>
      </bottom>
      <diagonal/>
    </border>
    <border>
      <left style="hair">
        <color theme="1" tint="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1" tint="0.24994659260841701"/>
      </left>
      <right style="thin">
        <color theme="1" tint="0.24994659260841701"/>
      </right>
      <top style="thin">
        <color indexed="64"/>
      </top>
      <bottom style="thin">
        <color indexed="64"/>
      </bottom>
      <diagonal/>
    </border>
    <border>
      <left style="thin">
        <color theme="1" tint="0.24994659260841701"/>
      </left>
      <right style="hair">
        <color theme="1" tint="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7" tint="-0.24994659260841701"/>
      </left>
      <right/>
      <top style="hair">
        <color theme="7" tint="-0.24994659260841701"/>
      </top>
      <bottom style="hair">
        <color theme="7" tint="-0.24994659260841701"/>
      </bottom>
      <diagonal/>
    </border>
    <border>
      <left/>
      <right style="thin">
        <color theme="7" tint="-0.24994659260841701"/>
      </right>
      <top style="hair">
        <color theme="7" tint="-0.24994659260841701"/>
      </top>
      <bottom style="hair">
        <color theme="7" tint="-0.24994659260841701"/>
      </bottom>
      <diagonal/>
    </border>
    <border>
      <left/>
      <right style="thin">
        <color theme="7" tint="-0.24994659260841701"/>
      </right>
      <top style="hair">
        <color theme="7" tint="-0.24994659260841701"/>
      </top>
      <bottom/>
      <diagonal/>
    </border>
    <border>
      <left/>
      <right/>
      <top style="hair">
        <color theme="7" tint="-0.24994659260841701"/>
      </top>
      <bottom/>
      <diagonal/>
    </border>
    <border>
      <left style="dashDotDot">
        <color indexed="64"/>
      </left>
      <right style="dashDotDot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rgb="FF404040"/>
      </right>
      <top style="thin">
        <color indexed="64"/>
      </top>
      <bottom style="thin">
        <color indexed="64"/>
      </bottom>
      <diagonal/>
    </border>
    <border>
      <left style="hair">
        <color rgb="FF404040"/>
      </left>
      <right style="thin">
        <color rgb="FF404040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hair">
        <color rgb="FF404040"/>
      </right>
      <top style="thin">
        <color indexed="64"/>
      </top>
      <bottom style="thin">
        <color indexed="64"/>
      </bottom>
      <diagonal/>
    </border>
    <border>
      <left style="hair">
        <color rgb="FF40404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3"/>
      </left>
      <right style="thin">
        <color indexed="63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hair">
        <color indexed="63"/>
      </right>
      <top style="thin">
        <color indexed="64"/>
      </top>
      <bottom style="thin">
        <color indexed="64"/>
      </bottom>
      <diagonal/>
    </border>
    <border>
      <left style="hair">
        <color indexed="6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7" tint="-0.2499465926084170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4">
    <xf numFmtId="0" fontId="0" fillId="0" borderId="0"/>
    <xf numFmtId="0" fontId="45" fillId="0" borderId="0"/>
    <xf numFmtId="0" fontId="57" fillId="0" borderId="0"/>
    <xf numFmtId="0" fontId="110" fillId="0" borderId="0" applyNumberFormat="0" applyFill="0" applyBorder="0" applyAlignment="0" applyProtection="0"/>
  </cellStyleXfs>
  <cellXfs count="248">
    <xf numFmtId="0" fontId="0" fillId="0" borderId="0" xfId="0"/>
    <xf numFmtId="0" fontId="17" fillId="0" borderId="0" xfId="0" applyFont="1" applyAlignment="1" applyProtection="1">
      <alignment horizontal="center" vertical="center"/>
      <protection locked="0"/>
    </xf>
    <xf numFmtId="165" fontId="32" fillId="0" borderId="13" xfId="0" applyNumberFormat="1" applyFont="1" applyBorder="1" applyAlignment="1" applyProtection="1">
      <alignment horizontal="center" vertical="center"/>
      <protection locked="0"/>
    </xf>
    <xf numFmtId="165" fontId="33" fillId="0" borderId="14" xfId="0" applyNumberFormat="1" applyFont="1" applyBorder="1" applyAlignment="1" applyProtection="1">
      <alignment horizontal="center" vertical="center"/>
      <protection locked="0"/>
    </xf>
    <xf numFmtId="0" fontId="27" fillId="3" borderId="6" xfId="0" applyFont="1" applyFill="1" applyBorder="1" applyAlignment="1" applyProtection="1">
      <alignment horizontal="center" vertical="center"/>
      <protection locked="0"/>
    </xf>
    <xf numFmtId="0" fontId="27" fillId="0" borderId="11" xfId="0" applyFont="1" applyBorder="1" applyAlignment="1" applyProtection="1">
      <alignment horizontal="center" vertical="center"/>
      <protection locked="0"/>
    </xf>
    <xf numFmtId="0" fontId="40" fillId="0" borderId="0" xfId="0" applyFont="1" applyAlignment="1">
      <alignment horizontal="center" vertical="center"/>
    </xf>
    <xf numFmtId="0" fontId="49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3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14" fontId="38" fillId="15" borderId="19" xfId="0" applyNumberFormat="1" applyFont="1" applyFill="1" applyBorder="1" applyAlignment="1">
      <alignment horizontal="centerContinuous" vertical="center"/>
    </xf>
    <xf numFmtId="14" fontId="18" fillId="15" borderId="20" xfId="0" applyNumberFormat="1" applyFont="1" applyFill="1" applyBorder="1" applyAlignment="1">
      <alignment horizontal="centerContinuous" vertical="center"/>
    </xf>
    <xf numFmtId="0" fontId="17" fillId="0" borderId="2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36" fillId="14" borderId="16" xfId="0" applyFont="1" applyFill="1" applyBorder="1" applyAlignment="1">
      <alignment horizontal="center" vertical="center"/>
    </xf>
    <xf numFmtId="0" fontId="37" fillId="14" borderId="17" xfId="0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/>
    </xf>
    <xf numFmtId="0" fontId="44" fillId="6" borderId="1" xfId="0" applyFont="1" applyFill="1" applyBorder="1" applyAlignment="1">
      <alignment horizontal="center" vertical="center"/>
    </xf>
    <xf numFmtId="0" fontId="44" fillId="6" borderId="1" xfId="0" applyFont="1" applyFill="1" applyBorder="1" applyAlignment="1">
      <alignment horizontal="center" vertical="center" wrapText="1"/>
    </xf>
    <xf numFmtId="0" fontId="39" fillId="7" borderId="12" xfId="0" applyFont="1" applyFill="1" applyBorder="1" applyAlignment="1">
      <alignment horizontal="center" vertical="center" wrapText="1"/>
    </xf>
    <xf numFmtId="0" fontId="44" fillId="12" borderId="2" xfId="0" applyFont="1" applyFill="1" applyBorder="1" applyAlignment="1">
      <alignment horizontal="center" vertical="center"/>
    </xf>
    <xf numFmtId="0" fontId="44" fillId="7" borderId="2" xfId="0" applyFont="1" applyFill="1" applyBorder="1" applyAlignment="1">
      <alignment horizontal="center" vertical="center"/>
    </xf>
    <xf numFmtId="164" fontId="44" fillId="7" borderId="8" xfId="0" applyNumberFormat="1" applyFont="1" applyFill="1" applyBorder="1" applyAlignment="1">
      <alignment horizontal="center" vertical="center"/>
    </xf>
    <xf numFmtId="164" fontId="44" fillId="7" borderId="9" xfId="0" applyNumberFormat="1" applyFont="1" applyFill="1" applyBorder="1" applyAlignment="1">
      <alignment horizontal="center" vertical="center"/>
    </xf>
    <xf numFmtId="164" fontId="44" fillId="7" borderId="2" xfId="0" applyNumberFormat="1" applyFont="1" applyFill="1" applyBorder="1" applyAlignment="1">
      <alignment horizontal="center" vertical="center"/>
    </xf>
    <xf numFmtId="164" fontId="44" fillId="12" borderId="8" xfId="0" applyNumberFormat="1" applyFont="1" applyFill="1" applyBorder="1" applyAlignment="1">
      <alignment horizontal="center" vertical="center"/>
    </xf>
    <xf numFmtId="164" fontId="44" fillId="12" borderId="9" xfId="0" applyNumberFormat="1" applyFont="1" applyFill="1" applyBorder="1" applyAlignment="1">
      <alignment horizontal="center" vertical="center"/>
    </xf>
    <xf numFmtId="164" fontId="44" fillId="12" borderId="2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right" vertical="center"/>
    </xf>
    <xf numFmtId="0" fontId="28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right" vertical="center"/>
    </xf>
    <xf numFmtId="0" fontId="19" fillId="3" borderId="10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9" fillId="0" borderId="5" xfId="0" applyFont="1" applyBorder="1" applyAlignment="1">
      <alignment horizontal="right" vertical="center"/>
    </xf>
    <xf numFmtId="0" fontId="19" fillId="0" borderId="7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4" fillId="12" borderId="13" xfId="0" applyFont="1" applyFill="1" applyBorder="1" applyAlignment="1">
      <alignment horizontal="center" vertical="center"/>
    </xf>
    <xf numFmtId="0" fontId="44" fillId="12" borderId="24" xfId="0" applyFont="1" applyFill="1" applyBorder="1" applyAlignment="1">
      <alignment horizontal="right" vertical="center" indent="1"/>
    </xf>
    <xf numFmtId="0" fontId="44" fillId="7" borderId="13" xfId="0" applyFont="1" applyFill="1" applyBorder="1" applyAlignment="1">
      <alignment horizontal="center" vertical="center"/>
    </xf>
    <xf numFmtId="0" fontId="44" fillId="7" borderId="24" xfId="0" applyFont="1" applyFill="1" applyBorder="1" applyAlignment="1">
      <alignment horizontal="center" vertical="center"/>
    </xf>
    <xf numFmtId="0" fontId="66" fillId="0" borderId="0" xfId="0" applyFont="1" applyAlignment="1">
      <alignment horizontal="centerContinuous" vertical="center"/>
    </xf>
    <xf numFmtId="14" fontId="66" fillId="15" borderId="21" xfId="0" applyNumberFormat="1" applyFont="1" applyFill="1" applyBorder="1" applyAlignment="1">
      <alignment horizontal="center" vertical="center"/>
    </xf>
    <xf numFmtId="0" fontId="67" fillId="0" borderId="1" xfId="0" applyFont="1" applyBorder="1" applyAlignment="1" applyProtection="1">
      <alignment horizontal="center" vertical="center"/>
      <protection locked="0"/>
    </xf>
    <xf numFmtId="0" fontId="67" fillId="0" borderId="0" xfId="0" applyFont="1" applyAlignment="1" applyProtection="1">
      <alignment horizontal="center" vertical="center"/>
      <protection locked="0"/>
    </xf>
    <xf numFmtId="0" fontId="41" fillId="22" borderId="1" xfId="0" applyFont="1" applyFill="1" applyBorder="1" applyAlignment="1" applyProtection="1">
      <alignment horizontal="center" vertical="center"/>
      <protection locked="0"/>
    </xf>
    <xf numFmtId="0" fontId="41" fillId="5" borderId="1" xfId="0" applyFont="1" applyFill="1" applyBorder="1" applyAlignment="1" applyProtection="1">
      <alignment horizontal="center" vertical="center"/>
      <protection locked="0"/>
    </xf>
    <xf numFmtId="0" fontId="81" fillId="23" borderId="25" xfId="0" applyFont="1" applyFill="1" applyBorder="1" applyAlignment="1" applyProtection="1">
      <alignment horizontal="center" vertical="center"/>
      <protection locked="0"/>
    </xf>
    <xf numFmtId="0" fontId="82" fillId="23" borderId="26" xfId="0" applyFont="1" applyFill="1" applyBorder="1" applyAlignment="1">
      <alignment horizontal="center" vertical="center"/>
    </xf>
    <xf numFmtId="0" fontId="81" fillId="0" borderId="27" xfId="0" applyFont="1" applyBorder="1" applyAlignment="1" applyProtection="1">
      <alignment horizontal="center" vertical="center"/>
      <protection locked="0"/>
    </xf>
    <xf numFmtId="0" fontId="82" fillId="0" borderId="28" xfId="0" applyFont="1" applyBorder="1" applyAlignment="1">
      <alignment horizontal="center" vertical="center"/>
    </xf>
    <xf numFmtId="0" fontId="84" fillId="24" borderId="29" xfId="0" applyFont="1" applyFill="1" applyBorder="1" applyAlignment="1">
      <alignment horizontal="center" vertical="center"/>
    </xf>
    <xf numFmtId="0" fontId="83" fillId="0" borderId="30" xfId="0" applyFont="1" applyBorder="1" applyAlignment="1" applyProtection="1">
      <alignment horizontal="center" vertical="center"/>
      <protection locked="0"/>
    </xf>
    <xf numFmtId="0" fontId="84" fillId="0" borderId="31" xfId="0" applyFont="1" applyBorder="1" applyAlignment="1">
      <alignment horizontal="center" vertical="center"/>
    </xf>
    <xf numFmtId="14" fontId="38" fillId="14" borderId="12" xfId="0" applyNumberFormat="1" applyFont="1" applyFill="1" applyBorder="1" applyAlignment="1">
      <alignment horizontal="center" vertical="center" wrapText="1"/>
    </xf>
    <xf numFmtId="0" fontId="25" fillId="13" borderId="32" xfId="0" applyFont="1" applyFill="1" applyBorder="1" applyAlignment="1">
      <alignment horizontal="center" vertical="center" wrapText="1"/>
    </xf>
    <xf numFmtId="165" fontId="32" fillId="3" borderId="13" xfId="0" applyNumberFormat="1" applyFont="1" applyFill="1" applyBorder="1" applyAlignment="1" applyProtection="1">
      <alignment horizontal="center" vertical="center"/>
      <protection locked="0"/>
    </xf>
    <xf numFmtId="165" fontId="33" fillId="3" borderId="14" xfId="0" applyNumberFormat="1" applyFont="1" applyFill="1" applyBorder="1" applyAlignment="1" applyProtection="1">
      <alignment horizontal="center" vertical="center"/>
      <protection locked="0"/>
    </xf>
    <xf numFmtId="0" fontId="60" fillId="0" borderId="15" xfId="1" applyFont="1" applyBorder="1" applyAlignment="1">
      <alignment horizontal="center" vertical="center"/>
    </xf>
    <xf numFmtId="0" fontId="61" fillId="19" borderId="1" xfId="0" applyFont="1" applyFill="1" applyBorder="1" applyAlignment="1">
      <alignment horizontal="center" vertical="center" wrapText="1"/>
    </xf>
    <xf numFmtId="49" fontId="17" fillId="10" borderId="1" xfId="1" applyNumberFormat="1" applyFont="1" applyFill="1" applyBorder="1" applyAlignment="1">
      <alignment horizontal="center" vertical="center" wrapText="1"/>
    </xf>
    <xf numFmtId="49" fontId="58" fillId="10" borderId="1" xfId="1" applyNumberFormat="1" applyFont="1" applyFill="1" applyBorder="1" applyAlignment="1">
      <alignment horizontal="center" vertical="center" wrapText="1"/>
    </xf>
    <xf numFmtId="0" fontId="75" fillId="20" borderId="1" xfId="1" applyFont="1" applyFill="1" applyBorder="1" applyAlignment="1">
      <alignment horizontal="center" vertical="center"/>
    </xf>
    <xf numFmtId="49" fontId="46" fillId="10" borderId="1" xfId="1" applyNumberFormat="1" applyFont="1" applyFill="1" applyBorder="1" applyAlignment="1">
      <alignment horizontal="center" vertical="center" wrapText="1"/>
    </xf>
    <xf numFmtId="0" fontId="72" fillId="19" borderId="1" xfId="1" applyFont="1" applyFill="1" applyBorder="1" applyAlignment="1">
      <alignment horizontal="center" vertical="center" wrapText="1"/>
    </xf>
    <xf numFmtId="49" fontId="78" fillId="7" borderId="1" xfId="1" applyNumberFormat="1" applyFont="1" applyFill="1" applyBorder="1" applyAlignment="1">
      <alignment horizontal="center" vertical="center" wrapText="1"/>
    </xf>
    <xf numFmtId="49" fontId="77" fillId="7" borderId="1" xfId="1" applyNumberFormat="1" applyFont="1" applyFill="1" applyBorder="1" applyAlignment="1">
      <alignment horizontal="center" vertical="center" wrapText="1"/>
    </xf>
    <xf numFmtId="0" fontId="45" fillId="0" borderId="0" xfId="1" applyAlignment="1">
      <alignment horizontal="center" vertical="center"/>
    </xf>
    <xf numFmtId="49" fontId="76" fillId="0" borderId="1" xfId="1" applyNumberFormat="1" applyFont="1" applyBorder="1" applyAlignment="1">
      <alignment horizontal="center" vertical="center"/>
    </xf>
    <xf numFmtId="49" fontId="69" fillId="0" borderId="1" xfId="1" applyNumberFormat="1" applyFont="1" applyBorder="1" applyAlignment="1">
      <alignment horizontal="center" vertical="center" wrapText="1"/>
    </xf>
    <xf numFmtId="0" fontId="51" fillId="0" borderId="1" xfId="1" applyFont="1" applyBorder="1" applyAlignment="1">
      <alignment horizontal="center" vertical="center" wrapText="1"/>
    </xf>
    <xf numFmtId="0" fontId="51" fillId="0" borderId="1" xfId="1" applyFont="1" applyBorder="1" applyAlignment="1">
      <alignment horizontal="center" vertical="center"/>
    </xf>
    <xf numFmtId="49" fontId="45" fillId="0" borderId="1" xfId="1" applyNumberFormat="1" applyBorder="1" applyAlignment="1">
      <alignment horizontal="center" vertical="center"/>
    </xf>
    <xf numFmtId="0" fontId="45" fillId="0" borderId="1" xfId="1" applyBorder="1" applyAlignment="1">
      <alignment horizontal="center" vertical="center"/>
    </xf>
    <xf numFmtId="0" fontId="48" fillId="0" borderId="1" xfId="1" applyFont="1" applyBorder="1" applyAlignment="1">
      <alignment horizontal="center" vertical="center" wrapText="1"/>
    </xf>
    <xf numFmtId="49" fontId="48" fillId="0" borderId="1" xfId="1" applyNumberFormat="1" applyFont="1" applyBorder="1" applyAlignment="1">
      <alignment horizontal="center" vertical="center" wrapText="1"/>
    </xf>
    <xf numFmtId="49" fontId="42" fillId="0" borderId="1" xfId="1" applyNumberFormat="1" applyFont="1" applyBorder="1" applyAlignment="1">
      <alignment horizontal="center" vertical="center"/>
    </xf>
    <xf numFmtId="49" fontId="48" fillId="0" borderId="1" xfId="1" applyNumberFormat="1" applyFont="1" applyBorder="1" applyAlignment="1">
      <alignment horizontal="center" vertical="center"/>
    </xf>
    <xf numFmtId="49" fontId="91" fillId="0" borderId="1" xfId="0" applyNumberFormat="1" applyFont="1" applyBorder="1" applyAlignment="1">
      <alignment horizontal="center" vertical="center" wrapText="1"/>
    </xf>
    <xf numFmtId="49" fontId="48" fillId="18" borderId="1" xfId="1" applyNumberFormat="1" applyFont="1" applyFill="1" applyBorder="1" applyAlignment="1">
      <alignment horizontal="center" vertical="center" wrapText="1"/>
    </xf>
    <xf numFmtId="49" fontId="90" fillId="0" borderId="1" xfId="0" applyNumberFormat="1" applyFont="1" applyBorder="1" applyAlignment="1">
      <alignment horizontal="center" vertical="center"/>
    </xf>
    <xf numFmtId="49" fontId="90" fillId="17" borderId="1" xfId="1" applyNumberFormat="1" applyFont="1" applyFill="1" applyBorder="1" applyAlignment="1">
      <alignment horizontal="center" vertical="center"/>
    </xf>
    <xf numFmtId="49" fontId="69" fillId="0" borderId="1" xfId="1" applyNumberFormat="1" applyFont="1" applyBorder="1" applyAlignment="1">
      <alignment horizontal="center" vertical="center"/>
    </xf>
    <xf numFmtId="49" fontId="90" fillId="0" borderId="1" xfId="1" applyNumberFormat="1" applyFont="1" applyBorder="1" applyAlignment="1">
      <alignment horizontal="center" vertical="center" wrapText="1"/>
    </xf>
    <xf numFmtId="0" fontId="45" fillId="0" borderId="0" xfId="0" applyFont="1"/>
    <xf numFmtId="0" fontId="46" fillId="0" borderId="15" xfId="1" applyFont="1" applyBorder="1" applyAlignment="1">
      <alignment horizontal="center" vertical="center"/>
    </xf>
    <xf numFmtId="0" fontId="53" fillId="21" borderId="1" xfId="1" applyFont="1" applyFill="1" applyBorder="1" applyAlignment="1">
      <alignment horizontal="center" vertical="center" wrapText="1"/>
    </xf>
    <xf numFmtId="0" fontId="95" fillId="19" borderId="1" xfId="1" applyFont="1" applyFill="1" applyBorder="1" applyAlignment="1">
      <alignment horizontal="center" vertical="center" wrapText="1"/>
    </xf>
    <xf numFmtId="0" fontId="92" fillId="0" borderId="1" xfId="1" applyFont="1" applyBorder="1" applyAlignment="1">
      <alignment horizontal="center" vertical="center" wrapText="1"/>
    </xf>
    <xf numFmtId="0" fontId="46" fillId="16" borderId="1" xfId="1" applyFont="1" applyFill="1" applyBorder="1" applyAlignment="1">
      <alignment horizontal="center" vertical="center" wrapText="1"/>
    </xf>
    <xf numFmtId="49" fontId="46" fillId="16" borderId="1" xfId="1" applyNumberFormat="1" applyFont="1" applyFill="1" applyBorder="1" applyAlignment="1">
      <alignment horizontal="center" vertical="center" wrapText="1"/>
    </xf>
    <xf numFmtId="49" fontId="52" fillId="10" borderId="1" xfId="1" applyNumberFormat="1" applyFont="1" applyFill="1" applyBorder="1" applyAlignment="1">
      <alignment horizontal="center" vertical="center" wrapText="1"/>
    </xf>
    <xf numFmtId="49" fontId="17" fillId="0" borderId="1" xfId="1" applyNumberFormat="1" applyFont="1" applyBorder="1" applyAlignment="1">
      <alignment horizontal="center" vertical="center" wrapText="1"/>
    </xf>
    <xf numFmtId="49" fontId="50" fillId="0" borderId="1" xfId="1" applyNumberFormat="1" applyFont="1" applyBorder="1" applyAlignment="1">
      <alignment horizontal="center" vertical="center"/>
    </xf>
    <xf numFmtId="1" fontId="45" fillId="0" borderId="1" xfId="1" applyNumberFormat="1" applyBorder="1" applyAlignment="1">
      <alignment horizontal="center" vertical="center"/>
    </xf>
    <xf numFmtId="0" fontId="99" fillId="0" borderId="37" xfId="0" applyFont="1" applyBorder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55" fillId="0" borderId="1" xfId="1" applyFont="1" applyBorder="1" applyAlignment="1">
      <alignment horizontal="center" vertical="center" wrapText="1"/>
    </xf>
    <xf numFmtId="0" fontId="54" fillId="0" borderId="1" xfId="1" applyFont="1" applyBorder="1" applyAlignment="1">
      <alignment horizontal="center" vertical="center" wrapText="1"/>
    </xf>
    <xf numFmtId="0" fontId="45" fillId="0" borderId="0" xfId="1" applyAlignment="1">
      <alignment horizontal="center" vertical="center" wrapText="1"/>
    </xf>
    <xf numFmtId="0" fontId="95" fillId="0" borderId="1" xfId="1" applyFont="1" applyBorder="1" applyAlignment="1">
      <alignment horizontal="center" vertical="center" wrapText="1"/>
    </xf>
    <xf numFmtId="166" fontId="48" fillId="0" borderId="1" xfId="1" applyNumberFormat="1" applyFont="1" applyBorder="1" applyAlignment="1">
      <alignment horizontal="center" vertical="center" wrapText="1"/>
    </xf>
    <xf numFmtId="0" fontId="54" fillId="0" borderId="0" xfId="1" applyFont="1" applyAlignment="1">
      <alignment horizontal="center" vertical="center"/>
    </xf>
    <xf numFmtId="14" fontId="48" fillId="0" borderId="1" xfId="1" applyNumberFormat="1" applyFont="1" applyBorder="1" applyAlignment="1">
      <alignment horizontal="center" vertical="center" wrapText="1"/>
    </xf>
    <xf numFmtId="49" fontId="45" fillId="0" borderId="1" xfId="1" applyNumberFormat="1" applyBorder="1" applyAlignment="1">
      <alignment horizontal="center" vertical="center" wrapText="1"/>
    </xf>
    <xf numFmtId="0" fontId="45" fillId="0" borderId="1" xfId="1" applyBorder="1" applyAlignment="1">
      <alignment horizontal="center" vertical="center" wrapText="1"/>
    </xf>
    <xf numFmtId="0" fontId="41" fillId="0" borderId="1" xfId="1" applyFont="1" applyBorder="1" applyAlignment="1">
      <alignment horizontal="center" vertical="center" wrapText="1"/>
    </xf>
    <xf numFmtId="49" fontId="45" fillId="0" borderId="0" xfId="1" applyNumberFormat="1" applyAlignment="1">
      <alignment horizontal="center" vertical="center"/>
    </xf>
    <xf numFmtId="0" fontId="41" fillId="18" borderId="1" xfId="1" applyFont="1" applyFill="1" applyBorder="1" applyAlignment="1">
      <alignment horizontal="center" vertical="center" wrapText="1"/>
    </xf>
    <xf numFmtId="0" fontId="45" fillId="0" borderId="35" xfId="1" applyBorder="1" applyAlignment="1">
      <alignment horizontal="center" vertical="center" wrapText="1"/>
    </xf>
    <xf numFmtId="0" fontId="45" fillId="0" borderId="36" xfId="1" applyBorder="1" applyAlignment="1">
      <alignment horizontal="center" vertical="center" wrapText="1"/>
    </xf>
    <xf numFmtId="0" fontId="51" fillId="0" borderId="0" xfId="1" applyFont="1" applyAlignment="1">
      <alignment horizontal="center" vertical="center"/>
    </xf>
    <xf numFmtId="49" fontId="76" fillId="0" borderId="0" xfId="1" applyNumberFormat="1" applyFont="1" applyAlignment="1">
      <alignment horizontal="center" vertical="center"/>
    </xf>
    <xf numFmtId="49" fontId="56" fillId="0" borderId="0" xfId="1" applyNumberFormat="1" applyFont="1" applyAlignment="1">
      <alignment horizontal="center" vertical="center"/>
    </xf>
    <xf numFmtId="49" fontId="45" fillId="0" borderId="0" xfId="1" applyNumberFormat="1" applyAlignment="1">
      <alignment horizontal="center" vertical="center" wrapText="1"/>
    </xf>
    <xf numFmtId="0" fontId="55" fillId="0" borderId="0" xfId="1" applyFont="1" applyAlignment="1">
      <alignment horizontal="center" vertical="center" wrapText="1"/>
    </xf>
    <xf numFmtId="0" fontId="54" fillId="0" borderId="0" xfId="1" applyFont="1" applyAlignment="1">
      <alignment horizontal="center" vertical="center" wrapText="1"/>
    </xf>
    <xf numFmtId="0" fontId="50" fillId="0" borderId="0" xfId="1" applyFont="1" applyAlignment="1">
      <alignment horizontal="center" vertical="center"/>
    </xf>
    <xf numFmtId="49" fontId="17" fillId="0" borderId="0" xfId="1" applyNumberFormat="1" applyFont="1" applyAlignment="1">
      <alignment horizontal="center" vertical="center"/>
    </xf>
    <xf numFmtId="0" fontId="64" fillId="8" borderId="4" xfId="0" applyFont="1" applyFill="1" applyBorder="1" applyAlignment="1">
      <alignment horizontal="center" vertical="center" wrapText="1"/>
    </xf>
    <xf numFmtId="0" fontId="59" fillId="26" borderId="1" xfId="1" applyFont="1" applyFill="1" applyBorder="1" applyAlignment="1">
      <alignment horizontal="center" vertical="center" wrapText="1"/>
    </xf>
    <xf numFmtId="0" fontId="89" fillId="26" borderId="1" xfId="1" applyFont="1" applyFill="1" applyBorder="1" applyAlignment="1">
      <alignment horizontal="center" vertical="center" wrapText="1"/>
    </xf>
    <xf numFmtId="49" fontId="93" fillId="0" borderId="1" xfId="1" applyNumberFormat="1" applyFont="1" applyBorder="1" applyAlignment="1">
      <alignment horizontal="center" vertical="center"/>
    </xf>
    <xf numFmtId="49" fontId="96" fillId="25" borderId="1" xfId="0" applyNumberFormat="1" applyFont="1" applyFill="1" applyBorder="1" applyAlignment="1">
      <alignment horizontal="center" vertical="center" wrapText="1"/>
    </xf>
    <xf numFmtId="0" fontId="50" fillId="18" borderId="1" xfId="1" applyFont="1" applyFill="1" applyBorder="1" applyAlignment="1">
      <alignment horizontal="center" vertical="center"/>
    </xf>
    <xf numFmtId="0" fontId="100" fillId="0" borderId="1" xfId="1" applyFont="1" applyBorder="1" applyAlignment="1">
      <alignment horizontal="center" vertical="center" wrapText="1"/>
    </xf>
    <xf numFmtId="0" fontId="50" fillId="0" borderId="1" xfId="1" applyFont="1" applyBorder="1" applyAlignment="1">
      <alignment horizontal="center" vertical="center" wrapText="1"/>
    </xf>
    <xf numFmtId="0" fontId="45" fillId="17" borderId="0" xfId="1" applyFill="1" applyAlignment="1">
      <alignment horizontal="center" vertical="center"/>
    </xf>
    <xf numFmtId="0" fontId="101" fillId="0" borderId="0" xfId="1" applyFont="1" applyAlignment="1">
      <alignment horizontal="left" vertical="center"/>
    </xf>
    <xf numFmtId="49" fontId="102" fillId="0" borderId="0" xfId="2" applyNumberFormat="1" applyFont="1" applyAlignment="1">
      <alignment horizontal="left" vertical="center"/>
    </xf>
    <xf numFmtId="49" fontId="101" fillId="0" borderId="0" xfId="1" applyNumberFormat="1" applyFont="1" applyAlignment="1">
      <alignment horizontal="left" vertical="center"/>
    </xf>
    <xf numFmtId="49" fontId="103" fillId="0" borderId="18" xfId="1" applyNumberFormat="1" applyFont="1" applyBorder="1" applyAlignment="1">
      <alignment horizontal="left" vertical="center" wrapText="1"/>
    </xf>
    <xf numFmtId="49" fontId="103" fillId="0" borderId="18" xfId="1" applyNumberFormat="1" applyFont="1" applyBorder="1" applyAlignment="1">
      <alignment horizontal="left" vertical="center"/>
    </xf>
    <xf numFmtId="0" fontId="103" fillId="0" borderId="18" xfId="1" applyFont="1" applyBorder="1" applyAlignment="1">
      <alignment horizontal="left" vertical="center" wrapText="1"/>
    </xf>
    <xf numFmtId="0" fontId="103" fillId="0" borderId="18" xfId="1" applyFont="1" applyBorder="1" applyAlignment="1">
      <alignment horizontal="left" vertical="center"/>
    </xf>
    <xf numFmtId="0" fontId="104" fillId="0" borderId="0" xfId="1" applyFont="1" applyAlignment="1">
      <alignment horizontal="center" vertical="center"/>
    </xf>
    <xf numFmtId="49" fontId="105" fillId="0" borderId="0" xfId="2" applyNumberFormat="1" applyFont="1" applyAlignment="1">
      <alignment horizontal="left" vertical="center"/>
    </xf>
    <xf numFmtId="49" fontId="106" fillId="0" borderId="0" xfId="1" applyNumberFormat="1" applyFont="1" applyAlignment="1">
      <alignment horizontal="center" vertical="center"/>
    </xf>
    <xf numFmtId="49" fontId="107" fillId="0" borderId="18" xfId="1" applyNumberFormat="1" applyFont="1" applyBorder="1" applyAlignment="1">
      <alignment vertical="center" wrapText="1"/>
    </xf>
    <xf numFmtId="49" fontId="107" fillId="0" borderId="18" xfId="1" applyNumberFormat="1" applyFont="1" applyBorder="1" applyAlignment="1">
      <alignment vertical="center"/>
    </xf>
    <xf numFmtId="0" fontId="107" fillId="0" borderId="18" xfId="1" applyFont="1" applyBorder="1" applyAlignment="1">
      <alignment vertical="center" wrapText="1"/>
    </xf>
    <xf numFmtId="0" fontId="107" fillId="0" borderId="18" xfId="1" applyFont="1" applyBorder="1" applyAlignment="1">
      <alignment vertical="center"/>
    </xf>
    <xf numFmtId="0" fontId="104" fillId="0" borderId="0" xfId="1" applyFont="1" applyAlignment="1">
      <alignment horizontal="center" vertical="center" wrapText="1"/>
    </xf>
    <xf numFmtId="49" fontId="107" fillId="0" borderId="23" xfId="1" applyNumberFormat="1" applyFont="1" applyBorder="1" applyAlignment="1">
      <alignment vertical="center"/>
    </xf>
    <xf numFmtId="49" fontId="104" fillId="0" borderId="0" xfId="1" applyNumberFormat="1" applyFont="1" applyAlignment="1">
      <alignment horizontal="center" vertical="center"/>
    </xf>
    <xf numFmtId="0" fontId="97" fillId="4" borderId="37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70" fillId="8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74" fillId="11" borderId="4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98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6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2" fillId="3" borderId="1" xfId="0" applyFont="1" applyFill="1" applyBorder="1" applyAlignment="1">
      <alignment horizontal="center" vertical="center"/>
    </xf>
    <xf numFmtId="0" fontId="68" fillId="3" borderId="1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73" fillId="3" borderId="1" xfId="0" applyFont="1" applyFill="1" applyBorder="1" applyAlignment="1">
      <alignment horizontal="center" vertical="center" wrapText="1"/>
    </xf>
    <xf numFmtId="0" fontId="17" fillId="0" borderId="0" xfId="0" applyFont="1"/>
    <xf numFmtId="0" fontId="21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69" fillId="0" borderId="1" xfId="1" applyFont="1" applyBorder="1" applyAlignment="1">
      <alignment horizontal="center" vertical="center"/>
    </xf>
    <xf numFmtId="0" fontId="7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6" fillId="6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3" fillId="0" borderId="0" xfId="0" applyFont="1"/>
    <xf numFmtId="0" fontId="12" fillId="0" borderId="0" xfId="0" applyFont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 wrapText="1"/>
    </xf>
    <xf numFmtId="0" fontId="79" fillId="3" borderId="1" xfId="0" applyFont="1" applyFill="1" applyBorder="1" applyAlignment="1">
      <alignment horizontal="center" vertical="center" wrapText="1"/>
    </xf>
    <xf numFmtId="0" fontId="10" fillId="0" borderId="0" xfId="0" applyFont="1"/>
    <xf numFmtId="0" fontId="86" fillId="17" borderId="0" xfId="0" applyFont="1" applyFill="1" applyAlignment="1">
      <alignment horizontal="center" vertical="center"/>
    </xf>
    <xf numFmtId="0" fontId="87" fillId="17" borderId="0" xfId="0" applyFont="1" applyFill="1"/>
    <xf numFmtId="0" fontId="88" fillId="17" borderId="33" xfId="0" applyFont="1" applyFill="1" applyBorder="1" applyAlignment="1">
      <alignment horizontal="center" vertical="center"/>
    </xf>
    <xf numFmtId="0" fontId="85" fillId="17" borderId="0" xfId="0" applyFont="1" applyFill="1" applyAlignment="1">
      <alignment horizontal="center" vertical="center"/>
    </xf>
    <xf numFmtId="0" fontId="85" fillId="17" borderId="0" xfId="0" applyFont="1" applyFill="1"/>
    <xf numFmtId="0" fontId="88" fillId="17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3" fillId="0" borderId="0" xfId="0" applyFont="1"/>
    <xf numFmtId="0" fontId="65" fillId="0" borderId="0" xfId="0" applyFont="1"/>
    <xf numFmtId="49" fontId="109" fillId="7" borderId="1" xfId="1" applyNumberFormat="1" applyFont="1" applyFill="1" applyBorder="1" applyAlignment="1">
      <alignment horizontal="center" vertical="center" wrapText="1"/>
    </xf>
    <xf numFmtId="49" fontId="109" fillId="0" borderId="15" xfId="1" applyNumberFormat="1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/>
    </xf>
    <xf numFmtId="49" fontId="48" fillId="0" borderId="37" xfId="1" applyNumberFormat="1" applyFont="1" applyBorder="1" applyAlignment="1">
      <alignment horizontal="center" vertical="center" wrapText="1"/>
    </xf>
    <xf numFmtId="0" fontId="99" fillId="0" borderId="0" xfId="0" applyFont="1" applyAlignment="1">
      <alignment horizontal="center" vertical="center"/>
    </xf>
    <xf numFmtId="49" fontId="45" fillId="0" borderId="37" xfId="1" applyNumberFormat="1" applyBorder="1" applyAlignment="1">
      <alignment horizontal="center" vertical="center"/>
    </xf>
    <xf numFmtId="49" fontId="48" fillId="0" borderId="0" xfId="1" applyNumberFormat="1" applyFont="1" applyAlignment="1">
      <alignment horizontal="center" vertical="center" wrapText="1"/>
    </xf>
    <xf numFmtId="1" fontId="45" fillId="0" borderId="37" xfId="1" applyNumberFormat="1" applyBorder="1" applyAlignment="1">
      <alignment horizontal="center" vertical="center"/>
    </xf>
    <xf numFmtId="49" fontId="41" fillId="27" borderId="1" xfId="1" applyNumberFormat="1" applyFont="1" applyFill="1" applyBorder="1" applyAlignment="1" applyProtection="1">
      <alignment horizontal="center" vertical="center" wrapText="1"/>
      <protection locked="0"/>
    </xf>
    <xf numFmtId="49" fontId="41" fillId="0" borderId="1" xfId="1" applyNumberFormat="1" applyFont="1" applyBorder="1" applyAlignment="1" applyProtection="1">
      <alignment horizontal="center" vertical="center" wrapText="1"/>
      <protection locked="0"/>
    </xf>
    <xf numFmtId="0" fontId="111" fillId="19" borderId="1" xfId="0" applyFont="1" applyFill="1" applyBorder="1" applyAlignment="1">
      <alignment horizontal="center" vertical="center" wrapText="1"/>
    </xf>
    <xf numFmtId="49" fontId="50" fillId="10" borderId="1" xfId="1" applyNumberFormat="1" applyFont="1" applyFill="1" applyBorder="1" applyAlignment="1">
      <alignment horizontal="center" vertical="center" wrapText="1"/>
    </xf>
    <xf numFmtId="49" fontId="48" fillId="0" borderId="1" xfId="1" applyNumberFormat="1" applyFont="1" applyBorder="1" applyAlignment="1">
      <alignment horizontal="left" vertical="center" wrapText="1"/>
    </xf>
    <xf numFmtId="49" fontId="41" fillId="0" borderId="1" xfId="1" applyNumberFormat="1" applyFont="1" applyBorder="1" applyAlignment="1">
      <alignment horizontal="center" vertical="center" wrapText="1"/>
    </xf>
    <xf numFmtId="49" fontId="108" fillId="6" borderId="1" xfId="1" applyNumberFormat="1" applyFont="1" applyFill="1" applyBorder="1" applyAlignment="1">
      <alignment horizontal="left" vertical="center" indent="1"/>
    </xf>
    <xf numFmtId="49" fontId="108" fillId="4" borderId="1" xfId="1" applyNumberFormat="1" applyFont="1" applyFill="1" applyBorder="1" applyAlignment="1">
      <alignment horizontal="left" vertical="center" indent="1"/>
    </xf>
    <xf numFmtId="49" fontId="42" fillId="28" borderId="1" xfId="1" applyNumberFormat="1" applyFont="1" applyFill="1" applyBorder="1" applyAlignment="1">
      <alignment horizontal="left" vertical="center"/>
    </xf>
    <xf numFmtId="49" fontId="45" fillId="0" borderId="1" xfId="1" applyNumberFormat="1" applyBorder="1" applyAlignment="1">
      <alignment horizontal="left" vertical="center" wrapText="1"/>
    </xf>
    <xf numFmtId="49" fontId="45" fillId="0" borderId="1" xfId="1" applyNumberFormat="1" applyBorder="1" applyAlignment="1">
      <alignment horizontal="left" vertical="center"/>
    </xf>
    <xf numFmtId="49" fontId="48" fillId="0" borderId="37" xfId="1" applyNumberFormat="1" applyFont="1" applyBorder="1" applyAlignment="1">
      <alignment horizontal="left" vertical="center" wrapText="1"/>
    </xf>
    <xf numFmtId="49" fontId="48" fillId="0" borderId="1" xfId="1" applyNumberFormat="1" applyFont="1" applyBorder="1" applyAlignment="1">
      <alignment horizontal="left" vertical="center"/>
    </xf>
    <xf numFmtId="49" fontId="41" fillId="0" borderId="1" xfId="1" applyNumberFormat="1" applyFont="1" applyBorder="1" applyAlignment="1">
      <alignment horizontal="center" vertical="center"/>
    </xf>
    <xf numFmtId="0" fontId="47" fillId="0" borderId="0" xfId="1" applyFont="1" applyAlignment="1">
      <alignment horizontal="center" vertical="center"/>
    </xf>
    <xf numFmtId="49" fontId="41" fillId="14" borderId="1" xfId="1" applyNumberFormat="1" applyFont="1" applyFill="1" applyBorder="1" applyAlignment="1">
      <alignment horizontal="center" vertical="center" wrapText="1"/>
    </xf>
    <xf numFmtId="49" fontId="48" fillId="0" borderId="34" xfId="1" applyNumberFormat="1" applyFont="1" applyBorder="1" applyAlignment="1">
      <alignment horizontal="left" vertical="center" wrapText="1"/>
    </xf>
    <xf numFmtId="49" fontId="50" fillId="0" borderId="1" xfId="1" applyNumberFormat="1" applyFont="1" applyBorder="1" applyAlignment="1" applyProtection="1">
      <alignment horizontal="center" vertical="center"/>
      <protection locked="0"/>
    </xf>
    <xf numFmtId="49" fontId="41" fillId="0" borderId="1" xfId="1" applyNumberFormat="1" applyFont="1" applyBorder="1" applyAlignment="1" applyProtection="1">
      <alignment horizontal="center" vertical="center"/>
      <protection locked="0"/>
    </xf>
    <xf numFmtId="49" fontId="41" fillId="0" borderId="34" xfId="1" applyNumberFormat="1" applyFont="1" applyBorder="1" applyAlignment="1" applyProtection="1">
      <alignment horizontal="center" vertical="center" wrapText="1"/>
      <protection locked="0"/>
    </xf>
    <xf numFmtId="49" fontId="48" fillId="0" borderId="1" xfId="1" applyNumberFormat="1" applyFont="1" applyBorder="1" applyAlignment="1" applyProtection="1">
      <alignment horizontal="left" vertical="center" wrapText="1"/>
      <protection locked="0"/>
    </xf>
    <xf numFmtId="49" fontId="45" fillId="0" borderId="1" xfId="1" applyNumberFormat="1" applyBorder="1" applyAlignment="1" applyProtection="1">
      <alignment horizontal="left" vertical="center"/>
      <protection locked="0"/>
    </xf>
    <xf numFmtId="49" fontId="48" fillId="0" borderId="1" xfId="1" applyNumberFormat="1" applyFont="1" applyBorder="1" applyAlignment="1" applyProtection="1">
      <alignment horizontal="left" vertical="center"/>
      <protection locked="0"/>
    </xf>
    <xf numFmtId="49" fontId="48" fillId="0" borderId="34" xfId="1" applyNumberFormat="1" applyFont="1" applyBorder="1" applyAlignment="1" applyProtection="1">
      <alignment horizontal="left" vertical="center" wrapText="1"/>
      <protection locked="0"/>
    </xf>
    <xf numFmtId="0" fontId="48" fillId="0" borderId="1" xfId="1" applyFont="1" applyBorder="1" applyAlignment="1" applyProtection="1">
      <alignment horizontal="center" vertical="center" wrapText="1"/>
      <protection locked="0"/>
    </xf>
    <xf numFmtId="0" fontId="45" fillId="0" borderId="1" xfId="1" applyBorder="1" applyAlignment="1" applyProtection="1">
      <alignment horizontal="center" vertical="center"/>
      <protection locked="0"/>
    </xf>
    <xf numFmtId="0" fontId="48" fillId="0" borderId="1" xfId="1" applyFont="1" applyBorder="1" applyAlignment="1" applyProtection="1">
      <alignment horizontal="center" vertical="center"/>
      <protection locked="0"/>
    </xf>
    <xf numFmtId="0" fontId="48" fillId="0" borderId="34" xfId="1" applyFont="1" applyBorder="1" applyAlignment="1" applyProtection="1">
      <alignment horizontal="center" vertical="center" wrapText="1"/>
      <protection locked="0"/>
    </xf>
    <xf numFmtId="0" fontId="45" fillId="0" borderId="34" xfId="1" applyBorder="1" applyAlignment="1" applyProtection="1">
      <alignment horizontal="center" vertical="center"/>
      <protection locked="0"/>
    </xf>
    <xf numFmtId="0" fontId="48" fillId="0" borderId="1" xfId="1" applyFont="1" applyBorder="1" applyAlignment="1">
      <alignment horizontal="left" vertical="center" wrapText="1"/>
    </xf>
    <xf numFmtId="49" fontId="42" fillId="29" borderId="1" xfId="1" applyNumberFormat="1" applyFont="1" applyFill="1" applyBorder="1" applyAlignment="1">
      <alignment horizontal="left" vertical="center"/>
    </xf>
    <xf numFmtId="49" fontId="42" fillId="28" borderId="37" xfId="1" applyNumberFormat="1" applyFont="1" applyFill="1" applyBorder="1" applyAlignment="1">
      <alignment horizontal="left" vertical="center"/>
    </xf>
    <xf numFmtId="49" fontId="41" fillId="0" borderId="34" xfId="1" applyNumberFormat="1" applyFont="1" applyBorder="1" applyAlignment="1">
      <alignment horizontal="center" vertical="center" wrapText="1"/>
    </xf>
    <xf numFmtId="49" fontId="42" fillId="29" borderId="37" xfId="1" applyNumberFormat="1" applyFont="1" applyFill="1" applyBorder="1" applyAlignment="1">
      <alignment horizontal="left" vertical="center"/>
    </xf>
  </cellXfs>
  <cellStyles count="4">
    <cellStyle name="Hyperlink" xfId="3" xr:uid="{00000000-000B-0000-0000-000008000000}"/>
    <cellStyle name="Normal 2" xfId="1" xr:uid="{00000000-0005-0000-0000-000002000000}"/>
    <cellStyle name="Normal 3" xfId="2" xr:uid="{00000000-0005-0000-0000-000003000000}"/>
    <cellStyle name="Κανονικό" xfId="0" builtinId="0"/>
  </cellStyles>
  <dxfs count="75">
    <dxf>
      <font>
        <b/>
        <i val="0"/>
        <color theme="7" tint="-0.24994659260841701"/>
      </font>
      <fill>
        <gradientFill type="path" left="0.5" right="0.5" top="0.5" bottom="0.5">
          <stop position="0">
            <color theme="0"/>
          </stop>
          <stop position="1">
            <color rgb="FFFFFF99"/>
          </stop>
        </gradientFill>
      </fill>
    </dxf>
    <dxf>
      <font>
        <b val="0"/>
        <i val="0"/>
        <color theme="0"/>
      </font>
      <fill>
        <patternFill patternType="none">
          <fgColor auto="1"/>
          <bgColor auto="1"/>
        </patternFill>
      </fill>
    </dxf>
    <dxf>
      <font>
        <b/>
        <i val="0"/>
        <color rgb="FF000066"/>
      </font>
      <fill>
        <patternFill>
          <bgColor rgb="FFFF9B9D"/>
        </patternFill>
      </fill>
    </dxf>
    <dxf>
      <font>
        <b/>
        <i val="0"/>
        <color rgb="FF000066"/>
      </font>
      <fill>
        <patternFill patternType="none">
          <bgColor auto="1"/>
        </patternFill>
      </fill>
    </dxf>
    <dxf>
      <font>
        <b/>
        <i val="0"/>
        <color rgb="FF000066"/>
      </font>
      <fill>
        <patternFill patternType="none">
          <bgColor auto="1"/>
        </patternFill>
      </fill>
    </dxf>
    <dxf>
      <font>
        <color theme="8" tint="-0.24994659260841701"/>
      </font>
    </dxf>
    <dxf>
      <font>
        <color theme="8" tint="-0.24994659260841701"/>
      </font>
    </dxf>
    <dxf>
      <font>
        <b/>
        <i val="0"/>
        <color rgb="FFFFFFCC"/>
      </font>
      <fill>
        <patternFill>
          <bgColor rgb="FFC00000"/>
        </patternFill>
      </fill>
    </dxf>
    <dxf>
      <fill>
        <patternFill>
          <bgColor theme="0" tint="-4.9989318521683403E-2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8" tint="-0.499984740745262"/>
      </font>
      <fill>
        <patternFill patternType="none">
          <bgColor auto="1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8" tint="-0.499984740745262"/>
      </font>
      <fill>
        <patternFill patternType="none">
          <bgColor auto="1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8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8" tint="-0.499984740745262"/>
      </font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8" tint="-0.499984740745262"/>
      </font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8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9" defaultPivotStyle="PivotStyleLight16"/>
  <colors>
    <mruColors>
      <color rgb="FFFFFFCC"/>
      <color rgb="FFFFEBEB"/>
      <color rgb="FFFFCDCE"/>
      <color rgb="FFFF9B9D"/>
      <color rgb="FF552579"/>
      <color rgb="FFCCECFF"/>
      <color rgb="FFFF7C80"/>
      <color rgb="FFFFCC66"/>
      <color rgb="FFFFFF99"/>
      <color rgb="FFBD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ndiggsis-my.sharepoint.com/personal/tech_gdaefk_civilprotection_gr/Documents/&#928;&#929;&#927;&#931;&#937;&#928;&#921;&#922;&#927;/&#922;&#945;&#964;&#940;&#955;&#959;&#947;&#959;&#962;%20&#933;&#960;&#945;&#955;&#955;&#942;&#955;&#969;&#957;%20&#915;&#916;&#913;&#917;&#934;&#922;/&#928;&#923;&#919;&#924;&#924;&#933;&#929;&#917;&#931;%20DANIEL%202023/&#928;&#913;&#929;&#927;&#933;&#931;&#921;&#927;&#923;&#927;&#915;&#921;&#927;%20-%20&#928;&#929;&#927;&#931;&#937;&#928;&#921;&#922;&#927;%202024/&#932;&#919;&#923;&#917;&#934;&#937;&#925;&#921;&#922;&#927;&#931;%20&#922;&#913;&#932;&#913;&#923;&#927;&#915;&#927;&#931;%20&#932;&#924;&#919;&#924;&#913;&#932;&#927;&#931;%20&#913;%20(1).xls" TargetMode="External"/><Relationship Id="rId1" Type="http://schemas.openxmlformats.org/officeDocument/2006/relationships/externalLinkPath" Target="https://mindiggsis-my.sharepoint.com/personal/tech_gdaefk_civilprotection_gr/Documents/&#928;&#929;&#927;&#931;&#937;&#928;&#921;&#922;&#927;/&#922;&#945;&#964;&#940;&#955;&#959;&#947;&#959;&#962;%20&#933;&#960;&#945;&#955;&#955;&#942;&#955;&#969;&#957;%20&#915;&#916;&#913;&#917;&#934;&#922;/&#928;&#923;&#919;&#924;&#924;&#933;&#929;&#917;&#931;%20DANIEL%202023/&#928;&#913;&#929;&#927;&#933;&#931;&#921;&#927;&#923;&#927;&#915;&#921;&#927;%20-%20&#928;&#929;&#927;&#931;&#937;&#928;&#921;&#922;&#927;%202024/&#932;&#919;&#923;&#917;&#934;&#937;&#925;&#921;&#922;&#927;&#931;%20&#922;&#913;&#932;&#913;&#923;&#927;&#915;&#927;&#931;%20&#932;&#924;&#919;&#924;&#913;&#932;&#927;&#931;%20&#913;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ΠΑΡΟΥΣΙΟΛΟΓΙΟ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Φύλλο4"/>
  <dimension ref="A1:AF356"/>
  <sheetViews>
    <sheetView showOutlineSymbols="0" showWhiteSpace="0" topLeftCell="N1" zoomScale="90" zoomScaleNormal="90" workbookViewId="0">
      <pane ySplit="1" topLeftCell="A2" activePane="bottomLeft" state="frozen"/>
      <selection pane="bottomLeft" activeCell="AE1" sqref="AE1"/>
    </sheetView>
  </sheetViews>
  <sheetFormatPr defaultColWidth="9.140625" defaultRowHeight="16.5" x14ac:dyDescent="0.3"/>
  <cols>
    <col min="1" max="1" width="16.28515625" style="192" customWidth="1"/>
    <col min="2" max="2" width="5.7109375" customWidth="1"/>
    <col min="3" max="3" width="59.140625" style="196" customWidth="1"/>
    <col min="4" max="4" width="5.7109375" customWidth="1"/>
    <col min="5" max="5" width="4.28515625" style="203" bestFit="1" customWidth="1"/>
    <col min="6" max="6" width="9.42578125" style="204" hidden="1" customWidth="1"/>
    <col min="7" max="7" width="11" style="204" customWidth="1"/>
    <col min="8" max="8" width="0.7109375" style="204" hidden="1" customWidth="1"/>
    <col min="9" max="9" width="29.42578125" style="196" bestFit="1" customWidth="1"/>
    <col min="10" max="10" width="46" style="196" bestFit="1" customWidth="1"/>
    <col min="11" max="12" width="27.7109375" style="205" customWidth="1"/>
    <col min="13" max="13" width="31.7109375" style="205" customWidth="1"/>
    <col min="14" max="14" width="31.7109375" style="205" bestFit="1" customWidth="1"/>
    <col min="15" max="15" width="31.7109375" style="205" customWidth="1"/>
    <col min="16" max="16" width="4.28515625" bestFit="1" customWidth="1"/>
    <col min="17" max="17" width="57.42578125" customWidth="1"/>
    <col min="18" max="18" width="3.7109375" customWidth="1"/>
    <col min="19" max="19" width="4.28515625" hidden="1" customWidth="1"/>
    <col min="20" max="20" width="57.42578125" hidden="1" customWidth="1"/>
    <col min="21" max="21" width="4.7109375" hidden="1" customWidth="1"/>
    <col min="22" max="22" width="10.28515625" style="10" hidden="1" customWidth="1"/>
    <col min="23" max="23" width="9.140625" hidden="1" customWidth="1"/>
    <col min="24" max="24" width="17.140625" hidden="1" customWidth="1"/>
    <col min="25" max="25" width="9.140625" customWidth="1"/>
    <col min="26" max="27" width="68.85546875" hidden="1" customWidth="1"/>
    <col min="28" max="28" width="12" hidden="1" customWidth="1"/>
    <col min="29" max="29" width="13.28515625" customWidth="1"/>
    <col min="31" max="31" width="21.5703125" style="180" bestFit="1" customWidth="1"/>
  </cols>
  <sheetData>
    <row r="1" spans="1:31" ht="47.45" customHeight="1" thickTop="1" thickBot="1" x14ac:dyDescent="0.3">
      <c r="A1" s="157" t="s">
        <v>0</v>
      </c>
      <c r="B1" s="158"/>
      <c r="C1" s="159" t="s">
        <v>1</v>
      </c>
      <c r="D1" s="158"/>
      <c r="E1" s="160"/>
      <c r="F1" s="161" t="s">
        <v>2</v>
      </c>
      <c r="G1" s="162" t="s">
        <v>3</v>
      </c>
      <c r="H1" s="162" t="s">
        <v>4</v>
      </c>
      <c r="I1" s="162" t="s">
        <v>5</v>
      </c>
      <c r="J1" s="162" t="s">
        <v>6</v>
      </c>
      <c r="K1" s="162" t="s">
        <v>7</v>
      </c>
      <c r="L1" s="162" t="s">
        <v>8</v>
      </c>
      <c r="M1" s="162" t="s">
        <v>9</v>
      </c>
      <c r="N1" s="162" t="s">
        <v>10</v>
      </c>
      <c r="O1" s="162" t="s">
        <v>9</v>
      </c>
      <c r="P1" s="163"/>
      <c r="Q1" s="164" t="s">
        <v>11</v>
      </c>
      <c r="S1" s="163"/>
      <c r="T1" s="165" t="s">
        <v>11</v>
      </c>
      <c r="V1" s="166" t="s">
        <v>12</v>
      </c>
      <c r="Z1" s="167" t="s">
        <v>13</v>
      </c>
      <c r="AA1" s="168" t="s">
        <v>14</v>
      </c>
      <c r="AB1" t="s">
        <v>15</v>
      </c>
      <c r="AC1" s="13" t="s">
        <v>16</v>
      </c>
      <c r="AE1" s="180" t="str" cm="1">
        <f t="array" ref="AE1:AE35">_xlfn._xlws.SORT(_xlfn.UNIQUE('ΥΠΑΛΛΗΛΟΙ ΓΔΑΕΦΚ'!E2:E447))</f>
        <v>ΔΕ ΔΙΟΙΚ.-ΛΟΓ.</v>
      </c>
    </row>
    <row r="2" spans="1:31" s="180" customFormat="1" ht="16.5" customHeight="1" thickTop="1" x14ac:dyDescent="0.25">
      <c r="A2" s="169" t="s">
        <v>17</v>
      </c>
      <c r="B2" s="170"/>
      <c r="C2" s="171" t="s">
        <v>16</v>
      </c>
      <c r="D2" s="172"/>
      <c r="E2" s="173">
        <v>1</v>
      </c>
      <c r="F2" s="174" t="s">
        <v>16</v>
      </c>
      <c r="G2" s="174" t="s">
        <v>16</v>
      </c>
      <c r="H2" s="174" t="s">
        <v>16</v>
      </c>
      <c r="I2" s="175" t="s">
        <v>16</v>
      </c>
      <c r="J2" s="175" t="s">
        <v>16</v>
      </c>
      <c r="K2" s="176" t="s">
        <v>16</v>
      </c>
      <c r="L2" s="176" t="s">
        <v>16</v>
      </c>
      <c r="M2" s="177" t="s">
        <v>16</v>
      </c>
      <c r="N2" s="174" t="s">
        <v>16</v>
      </c>
      <c r="O2" s="177" t="s">
        <v>16</v>
      </c>
      <c r="P2" s="178" t="s">
        <v>16</v>
      </c>
      <c r="Q2" s="179" t="s">
        <v>18</v>
      </c>
      <c r="S2" s="178" t="s">
        <v>16</v>
      </c>
      <c r="T2" s="181" t="s">
        <v>16</v>
      </c>
      <c r="V2" s="182"/>
      <c r="X2" s="180" t="e">
        <f>MID(J4,FIND("(",J4)+1,FIND(")",J4)-FIND("(",J4)-1)</f>
        <v>#VALUE!</v>
      </c>
      <c r="Y2"/>
      <c r="Z2" s="183" t="s">
        <v>16</v>
      </c>
      <c r="AA2" s="184" t="s">
        <v>16</v>
      </c>
      <c r="AC2" s="185" t="s">
        <v>19</v>
      </c>
      <c r="AE2" s="180" t="str">
        <v>ΔΕ ΟΔΗΓΩΝ</v>
      </c>
    </row>
    <row r="3" spans="1:31" s="180" customFormat="1" ht="16.5" customHeight="1" x14ac:dyDescent="0.25">
      <c r="A3" s="169" t="s">
        <v>20</v>
      </c>
      <c r="B3" s="170"/>
      <c r="C3" s="171"/>
      <c r="D3" s="172"/>
      <c r="E3" s="173">
        <v>2</v>
      </c>
      <c r="F3" s="174" t="s">
        <v>21</v>
      </c>
      <c r="G3" s="174" t="s">
        <v>21</v>
      </c>
      <c r="H3" s="174" t="s">
        <v>22</v>
      </c>
      <c r="I3" s="175" t="s">
        <v>22</v>
      </c>
      <c r="J3" s="175" t="s">
        <v>16</v>
      </c>
      <c r="K3" s="176" t="s">
        <v>21</v>
      </c>
      <c r="L3" s="176"/>
      <c r="M3" s="177" t="s">
        <v>21</v>
      </c>
      <c r="N3" s="174" t="s">
        <v>21</v>
      </c>
      <c r="O3" s="177" t="s">
        <v>21</v>
      </c>
      <c r="P3" s="178">
        <v>1</v>
      </c>
      <c r="Q3" s="186" t="s">
        <v>22</v>
      </c>
      <c r="S3" s="178"/>
      <c r="T3" s="181" t="s">
        <v>22</v>
      </c>
      <c r="V3" s="182"/>
      <c r="Y3"/>
      <c r="Z3" s="183"/>
      <c r="AA3" s="184"/>
      <c r="AC3" s="185" t="s">
        <v>23</v>
      </c>
      <c r="AE3" s="180" t="str">
        <v>ΔΕ ΠΛΗΡΟΦ/ΚΗΣ</v>
      </c>
    </row>
    <row r="4" spans="1:31" ht="16.5" customHeight="1" x14ac:dyDescent="0.25">
      <c r="A4" s="169" t="s">
        <v>24</v>
      </c>
      <c r="B4" s="170"/>
      <c r="C4" s="171" t="s">
        <v>25</v>
      </c>
      <c r="D4" s="187"/>
      <c r="E4" s="173">
        <v>3</v>
      </c>
      <c r="F4" s="174">
        <v>1174</v>
      </c>
      <c r="G4" s="174" t="s">
        <v>26</v>
      </c>
      <c r="H4" s="174" t="s">
        <v>22</v>
      </c>
      <c r="I4" s="175" t="s">
        <v>22</v>
      </c>
      <c r="J4" s="175" t="s">
        <v>27</v>
      </c>
      <c r="K4" s="176" t="s">
        <v>28</v>
      </c>
      <c r="L4" s="176" t="s">
        <v>29</v>
      </c>
      <c r="M4" s="177" t="s">
        <v>30</v>
      </c>
      <c r="N4" s="174" t="s">
        <v>31</v>
      </c>
      <c r="O4" s="177" t="s">
        <v>32</v>
      </c>
      <c r="P4" s="178">
        <v>2</v>
      </c>
      <c r="Q4" s="186" t="s">
        <v>33</v>
      </c>
      <c r="S4" s="178">
        <v>1</v>
      </c>
      <c r="T4" s="181" t="s">
        <v>33</v>
      </c>
      <c r="V4" s="182" t="s">
        <v>34</v>
      </c>
      <c r="X4" s="180" t="e">
        <f t="shared" ref="X4:X8" si="0">MID(J5,FIND("(",J5)+1,FIND(")",J5)-FIND("(",J5)-1)</f>
        <v>#VALUE!</v>
      </c>
      <c r="Z4" s="183" t="s">
        <v>35</v>
      </c>
      <c r="AA4" s="184" t="s">
        <v>36</v>
      </c>
      <c r="AB4" t="s">
        <v>37</v>
      </c>
      <c r="AE4" s="180" t="str">
        <v>ΠΕ ΑΓΡ.-ΤΟΠ. ΜΗΧ.</v>
      </c>
    </row>
    <row r="5" spans="1:31" ht="16.5" customHeight="1" x14ac:dyDescent="0.25">
      <c r="A5" s="169" t="s">
        <v>38</v>
      </c>
      <c r="B5" s="170"/>
      <c r="C5" s="171" t="s">
        <v>39</v>
      </c>
      <c r="D5" s="187"/>
      <c r="E5" s="173">
        <v>4</v>
      </c>
      <c r="F5" s="174">
        <v>1339</v>
      </c>
      <c r="G5" s="174" t="s">
        <v>26</v>
      </c>
      <c r="H5" s="174" t="s">
        <v>22</v>
      </c>
      <c r="I5" s="175" t="s">
        <v>22</v>
      </c>
      <c r="J5" s="175" t="s">
        <v>40</v>
      </c>
      <c r="K5" s="176" t="s">
        <v>28</v>
      </c>
      <c r="L5" s="176" t="s">
        <v>41</v>
      </c>
      <c r="M5" s="177" t="s">
        <v>42</v>
      </c>
      <c r="N5" s="174" t="s">
        <v>43</v>
      </c>
      <c r="O5" s="177" t="s">
        <v>44</v>
      </c>
      <c r="P5" s="178">
        <v>3</v>
      </c>
      <c r="Q5" s="186" t="s">
        <v>45</v>
      </c>
      <c r="S5" s="178">
        <v>2</v>
      </c>
      <c r="T5" s="181" t="s">
        <v>45</v>
      </c>
      <c r="X5" s="180" t="e">
        <f t="shared" si="0"/>
        <v>#VALUE!</v>
      </c>
      <c r="Z5" s="183" t="s">
        <v>46</v>
      </c>
      <c r="AA5" s="184" t="s">
        <v>47</v>
      </c>
      <c r="AB5" t="s">
        <v>48</v>
      </c>
      <c r="AE5" s="180" t="str">
        <v>ΠΕ ΑΡΧ. ΜΗΧ.</v>
      </c>
    </row>
    <row r="6" spans="1:31" ht="16.5" customHeight="1" x14ac:dyDescent="0.25">
      <c r="A6" s="169" t="s">
        <v>49</v>
      </c>
      <c r="B6" s="170"/>
      <c r="C6" s="171" t="s">
        <v>50</v>
      </c>
      <c r="D6" s="187"/>
      <c r="E6" s="173">
        <v>5</v>
      </c>
      <c r="F6" s="174">
        <v>1175</v>
      </c>
      <c r="G6" s="174" t="s">
        <v>26</v>
      </c>
      <c r="H6" s="174" t="s">
        <v>22</v>
      </c>
      <c r="I6" s="175" t="s">
        <v>22</v>
      </c>
      <c r="J6" s="175" t="s">
        <v>51</v>
      </c>
      <c r="K6" s="176" t="s">
        <v>28</v>
      </c>
      <c r="L6" s="176" t="s">
        <v>52</v>
      </c>
      <c r="M6" s="177" t="s">
        <v>53</v>
      </c>
      <c r="N6" s="174" t="s">
        <v>31</v>
      </c>
      <c r="O6" s="177" t="s">
        <v>53</v>
      </c>
      <c r="P6" s="178">
        <v>4</v>
      </c>
      <c r="Q6" s="186" t="s">
        <v>54</v>
      </c>
      <c r="S6" s="178">
        <v>3</v>
      </c>
      <c r="T6" s="181" t="s">
        <v>54</v>
      </c>
      <c r="X6" s="180" t="e">
        <f t="shared" si="0"/>
        <v>#VALUE!</v>
      </c>
      <c r="Z6" s="183" t="s">
        <v>55</v>
      </c>
      <c r="AA6" s="184" t="s">
        <v>56</v>
      </c>
      <c r="AB6" t="s">
        <v>57</v>
      </c>
      <c r="AE6" s="180" t="str">
        <v>ΠΕ ΓΕΩΛΟΓΩΝ</v>
      </c>
    </row>
    <row r="7" spans="1:31" ht="16.5" customHeight="1" x14ac:dyDescent="0.25">
      <c r="A7" s="169" t="s">
        <v>16</v>
      </c>
      <c r="B7" s="170"/>
      <c r="C7" s="171" t="s">
        <v>58</v>
      </c>
      <c r="D7" s="187"/>
      <c r="E7" s="173">
        <v>6</v>
      </c>
      <c r="F7" s="174">
        <v>1176</v>
      </c>
      <c r="G7" s="174" t="s">
        <v>26</v>
      </c>
      <c r="H7" s="174" t="s">
        <v>22</v>
      </c>
      <c r="I7" s="175" t="s">
        <v>22</v>
      </c>
      <c r="J7" s="175" t="s">
        <v>59</v>
      </c>
      <c r="K7" s="176" t="s">
        <v>60</v>
      </c>
      <c r="L7" s="176" t="s">
        <v>61</v>
      </c>
      <c r="M7" s="177" t="s">
        <v>62</v>
      </c>
      <c r="N7" s="174" t="s">
        <v>31</v>
      </c>
      <c r="O7" s="177" t="s">
        <v>63</v>
      </c>
      <c r="P7" s="178">
        <v>5</v>
      </c>
      <c r="Q7" s="186" t="s">
        <v>64</v>
      </c>
      <c r="S7" s="178">
        <v>4</v>
      </c>
      <c r="T7" s="181" t="s">
        <v>64</v>
      </c>
      <c r="X7" s="180" t="e">
        <f t="shared" si="0"/>
        <v>#VALUE!</v>
      </c>
      <c r="Z7" s="183" t="s">
        <v>65</v>
      </c>
      <c r="AA7" s="184" t="s">
        <v>66</v>
      </c>
      <c r="AB7" t="s">
        <v>67</v>
      </c>
      <c r="AE7" s="180" t="str">
        <v>ΠΕ ΔΑΣΟΛΟΓΩΝ</v>
      </c>
    </row>
    <row r="8" spans="1:31" ht="16.5" customHeight="1" x14ac:dyDescent="0.25">
      <c r="A8" s="188"/>
      <c r="B8" s="170"/>
      <c r="C8" s="171" t="s">
        <v>68</v>
      </c>
      <c r="D8" s="187"/>
      <c r="E8" s="173">
        <v>7</v>
      </c>
      <c r="F8" s="174">
        <v>1177</v>
      </c>
      <c r="G8" s="174" t="s">
        <v>26</v>
      </c>
      <c r="H8" s="174" t="s">
        <v>22</v>
      </c>
      <c r="I8" s="175" t="s">
        <v>22</v>
      </c>
      <c r="J8" s="175" t="s">
        <v>69</v>
      </c>
      <c r="K8" s="176" t="s">
        <v>16</v>
      </c>
      <c r="L8" s="176" t="s">
        <v>70</v>
      </c>
      <c r="M8" s="177" t="s">
        <v>71</v>
      </c>
      <c r="N8" s="174" t="s">
        <v>72</v>
      </c>
      <c r="O8" s="177" t="s">
        <v>73</v>
      </c>
      <c r="P8" s="178">
        <v>6</v>
      </c>
      <c r="Q8" s="186" t="s">
        <v>74</v>
      </c>
      <c r="S8" s="178">
        <v>5</v>
      </c>
      <c r="T8" s="181" t="s">
        <v>74</v>
      </c>
      <c r="X8" s="180" t="e">
        <f t="shared" si="0"/>
        <v>#VALUE!</v>
      </c>
      <c r="Z8" s="183" t="s">
        <v>75</v>
      </c>
      <c r="AA8" s="184" t="s">
        <v>76</v>
      </c>
      <c r="AB8" t="s">
        <v>77</v>
      </c>
      <c r="AE8" s="180" t="str">
        <v>ΠΕ ΔΗΜΟΣ/ΚΩΝ</v>
      </c>
    </row>
    <row r="9" spans="1:31" ht="16.5" customHeight="1" x14ac:dyDescent="0.25">
      <c r="A9" s="188"/>
      <c r="B9" s="170"/>
      <c r="C9" s="171" t="s">
        <v>78</v>
      </c>
      <c r="D9" s="187"/>
      <c r="E9" s="173">
        <v>8</v>
      </c>
      <c r="F9" s="174">
        <v>1179</v>
      </c>
      <c r="G9" s="174" t="s">
        <v>26</v>
      </c>
      <c r="H9" s="174" t="s">
        <v>22</v>
      </c>
      <c r="I9" s="175" t="s">
        <v>22</v>
      </c>
      <c r="J9" s="175" t="s">
        <v>79</v>
      </c>
      <c r="K9" s="176" t="s">
        <v>80</v>
      </c>
      <c r="L9" s="176" t="s">
        <v>81</v>
      </c>
      <c r="M9" s="177" t="s">
        <v>16</v>
      </c>
      <c r="N9" s="174" t="s">
        <v>31</v>
      </c>
      <c r="O9" s="177" t="s">
        <v>82</v>
      </c>
      <c r="P9" s="178">
        <v>7</v>
      </c>
      <c r="Q9" s="186" t="s">
        <v>83</v>
      </c>
      <c r="S9" s="178">
        <v>6</v>
      </c>
      <c r="T9" s="181" t="s">
        <v>83</v>
      </c>
      <c r="Z9" s="183" t="s">
        <v>84</v>
      </c>
      <c r="AA9" s="184" t="s">
        <v>85</v>
      </c>
      <c r="AB9" t="s">
        <v>86</v>
      </c>
      <c r="AE9" s="180" t="str">
        <v>ΠΕ ΔΙΟΙΚ.-ΛΟΓ.</v>
      </c>
    </row>
    <row r="10" spans="1:31" s="180" customFormat="1" ht="16.5" customHeight="1" x14ac:dyDescent="0.25">
      <c r="A10" s="189"/>
      <c r="B10" s="170"/>
      <c r="C10" s="171"/>
      <c r="D10" s="172"/>
      <c r="E10" s="173">
        <v>9</v>
      </c>
      <c r="F10" s="174">
        <v>1180</v>
      </c>
      <c r="G10" s="174" t="s">
        <v>26</v>
      </c>
      <c r="H10" s="174" t="s">
        <v>22</v>
      </c>
      <c r="I10" s="175" t="s">
        <v>22</v>
      </c>
      <c r="J10" s="175" t="s">
        <v>87</v>
      </c>
      <c r="K10" s="176" t="s">
        <v>88</v>
      </c>
      <c r="L10" s="176" t="s">
        <v>89</v>
      </c>
      <c r="M10" s="177" t="s">
        <v>90</v>
      </c>
      <c r="N10" s="174" t="s">
        <v>31</v>
      </c>
      <c r="O10" s="177" t="s">
        <v>91</v>
      </c>
      <c r="P10" s="178">
        <v>8</v>
      </c>
      <c r="Q10" s="186" t="s">
        <v>92</v>
      </c>
      <c r="S10" s="178"/>
      <c r="T10" s="181" t="s">
        <v>92</v>
      </c>
      <c r="V10" s="10"/>
      <c r="Z10" s="183"/>
      <c r="AA10" s="184"/>
      <c r="AE10" s="180" t="str">
        <v>ΠΕ ΔΙΟΙΚ.-ΟΙΚ.</v>
      </c>
    </row>
    <row r="11" spans="1:31" ht="16.5" customHeight="1" x14ac:dyDescent="0.25">
      <c r="A11" s="188"/>
      <c r="B11" s="170"/>
      <c r="C11" s="171" t="s">
        <v>93</v>
      </c>
      <c r="D11" s="187"/>
      <c r="E11" s="173">
        <v>10</v>
      </c>
      <c r="F11" s="174">
        <v>1181</v>
      </c>
      <c r="G11" s="174" t="s">
        <v>26</v>
      </c>
      <c r="H11" s="174" t="s">
        <v>22</v>
      </c>
      <c r="I11" s="175" t="s">
        <v>22</v>
      </c>
      <c r="J11" s="175" t="s">
        <v>94</v>
      </c>
      <c r="K11" s="176" t="s">
        <v>95</v>
      </c>
      <c r="L11" s="176" t="s">
        <v>96</v>
      </c>
      <c r="M11" s="177" t="s">
        <v>97</v>
      </c>
      <c r="N11" s="174" t="s">
        <v>98</v>
      </c>
      <c r="O11" s="177" t="s">
        <v>99</v>
      </c>
      <c r="P11" s="178">
        <v>9</v>
      </c>
      <c r="Q11" s="186" t="s">
        <v>100</v>
      </c>
      <c r="S11" s="178">
        <v>7</v>
      </c>
      <c r="T11" s="181" t="s">
        <v>100</v>
      </c>
      <c r="Z11" s="183" t="s">
        <v>101</v>
      </c>
      <c r="AA11" s="184" t="s">
        <v>102</v>
      </c>
      <c r="AB11" t="s">
        <v>103</v>
      </c>
      <c r="AE11" s="180" t="str">
        <v>ΠΕ ΗΛ. ΜΗΧ.</v>
      </c>
    </row>
    <row r="12" spans="1:31" ht="16.5" customHeight="1" x14ac:dyDescent="0.25">
      <c r="A12" s="188"/>
      <c r="B12" s="170"/>
      <c r="C12" s="171" t="s">
        <v>104</v>
      </c>
      <c r="D12" s="187"/>
      <c r="E12" s="173">
        <v>11</v>
      </c>
      <c r="F12" s="174">
        <v>1182</v>
      </c>
      <c r="G12" s="174" t="s">
        <v>26</v>
      </c>
      <c r="H12" s="174" t="s">
        <v>22</v>
      </c>
      <c r="I12" s="175" t="s">
        <v>22</v>
      </c>
      <c r="J12" s="175" t="s">
        <v>105</v>
      </c>
      <c r="K12" s="176" t="s">
        <v>106</v>
      </c>
      <c r="L12" s="176" t="s">
        <v>107</v>
      </c>
      <c r="M12" s="177" t="s">
        <v>108</v>
      </c>
      <c r="N12" s="174" t="s">
        <v>31</v>
      </c>
      <c r="O12" s="177" t="s">
        <v>109</v>
      </c>
      <c r="P12" s="178">
        <v>10</v>
      </c>
      <c r="Q12" s="186" t="s">
        <v>110</v>
      </c>
      <c r="S12" s="178">
        <v>8</v>
      </c>
      <c r="T12" s="181" t="s">
        <v>110</v>
      </c>
      <c r="Z12" s="183" t="s">
        <v>111</v>
      </c>
      <c r="AA12" s="184" t="s">
        <v>112</v>
      </c>
      <c r="AB12" t="s">
        <v>113</v>
      </c>
      <c r="AE12" s="180" t="str">
        <v>ΠΕ ΜΗΧ. ΔΟΜΟΣΤ.</v>
      </c>
    </row>
    <row r="13" spans="1:31" ht="16.5" customHeight="1" x14ac:dyDescent="0.25">
      <c r="A13" s="188"/>
      <c r="B13" s="170"/>
      <c r="C13" s="171" t="s">
        <v>114</v>
      </c>
      <c r="D13" s="187"/>
      <c r="E13" s="173">
        <v>12</v>
      </c>
      <c r="F13" s="174" t="s">
        <v>21</v>
      </c>
      <c r="G13" s="174" t="s">
        <v>21</v>
      </c>
      <c r="H13" s="174" t="s">
        <v>33</v>
      </c>
      <c r="I13" s="175" t="s">
        <v>33</v>
      </c>
      <c r="J13" s="175" t="s">
        <v>16</v>
      </c>
      <c r="K13" s="176" t="s">
        <v>21</v>
      </c>
      <c r="L13" s="176" t="s">
        <v>21</v>
      </c>
      <c r="M13" s="177" t="s">
        <v>21</v>
      </c>
      <c r="N13" s="174" t="s">
        <v>21</v>
      </c>
      <c r="O13" s="177" t="s">
        <v>21</v>
      </c>
      <c r="P13" s="178">
        <v>11</v>
      </c>
      <c r="Q13" s="186" t="s">
        <v>115</v>
      </c>
      <c r="S13" s="178">
        <v>9</v>
      </c>
      <c r="T13" s="181" t="s">
        <v>115</v>
      </c>
      <c r="Z13" s="183" t="s">
        <v>116</v>
      </c>
      <c r="AA13" s="184" t="s">
        <v>117</v>
      </c>
      <c r="AB13" t="s">
        <v>118</v>
      </c>
      <c r="AE13" s="180" t="str">
        <v>ΠΕ ΜΗΧ. ΜΕΤΑΛΛ.</v>
      </c>
    </row>
    <row r="14" spans="1:31" ht="16.5" customHeight="1" x14ac:dyDescent="0.25">
      <c r="A14" s="188"/>
      <c r="B14" s="170"/>
      <c r="C14" s="171" t="s">
        <v>119</v>
      </c>
      <c r="D14" s="187"/>
      <c r="E14" s="173">
        <v>13</v>
      </c>
      <c r="F14" s="174">
        <v>1113</v>
      </c>
      <c r="G14" s="174" t="s">
        <v>120</v>
      </c>
      <c r="H14" s="174" t="s">
        <v>33</v>
      </c>
      <c r="I14" s="175" t="s">
        <v>33</v>
      </c>
      <c r="J14" s="175" t="s">
        <v>121</v>
      </c>
      <c r="K14" s="176" t="s">
        <v>122</v>
      </c>
      <c r="L14" s="176" t="s">
        <v>123</v>
      </c>
      <c r="M14" s="177" t="s">
        <v>124</v>
      </c>
      <c r="N14" s="174" t="s">
        <v>125</v>
      </c>
      <c r="O14" s="177" t="s">
        <v>126</v>
      </c>
      <c r="P14" s="178">
        <v>12</v>
      </c>
      <c r="Q14" s="186" t="s">
        <v>127</v>
      </c>
      <c r="S14" s="178">
        <v>10</v>
      </c>
      <c r="T14" s="181" t="s">
        <v>127</v>
      </c>
      <c r="Z14" s="183" t="s">
        <v>128</v>
      </c>
      <c r="AA14" s="184" t="s">
        <v>129</v>
      </c>
      <c r="AB14" t="s">
        <v>130</v>
      </c>
      <c r="AE14" s="180" t="str">
        <v>ΠΕ ΜΗΧ. ΜΗΧ.</v>
      </c>
    </row>
    <row r="15" spans="1:31" ht="16.5" customHeight="1" x14ac:dyDescent="0.25">
      <c r="A15" s="188"/>
      <c r="B15" s="170"/>
      <c r="C15" s="171" t="s">
        <v>131</v>
      </c>
      <c r="D15" s="187"/>
      <c r="E15" s="173">
        <v>14</v>
      </c>
      <c r="F15" s="174">
        <v>1115</v>
      </c>
      <c r="G15" s="174" t="s">
        <v>120</v>
      </c>
      <c r="H15" s="174" t="s">
        <v>33</v>
      </c>
      <c r="I15" s="175" t="s">
        <v>33</v>
      </c>
      <c r="J15" s="175" t="s">
        <v>132</v>
      </c>
      <c r="K15" s="176" t="s">
        <v>133</v>
      </c>
      <c r="L15" s="176" t="s">
        <v>134</v>
      </c>
      <c r="M15" s="177" t="s">
        <v>135</v>
      </c>
      <c r="N15" s="174" t="s">
        <v>136</v>
      </c>
      <c r="O15" s="177" t="s">
        <v>137</v>
      </c>
      <c r="P15" s="178">
        <v>14</v>
      </c>
      <c r="Q15" s="186"/>
      <c r="S15" s="178">
        <v>12</v>
      </c>
      <c r="T15" s="181"/>
      <c r="Z15" s="183" t="s">
        <v>138</v>
      </c>
      <c r="AA15" s="184" t="s">
        <v>139</v>
      </c>
      <c r="AB15" t="s">
        <v>140</v>
      </c>
      <c r="AE15" s="180" t="str">
        <v>ΠΕ ΜΗΧ. ΟΙΚ. &amp; ΔΙΟΙΚ.</v>
      </c>
    </row>
    <row r="16" spans="1:31" ht="16.5" customHeight="1" x14ac:dyDescent="0.25">
      <c r="A16" s="188"/>
      <c r="B16" s="170"/>
      <c r="C16" s="171" t="s">
        <v>141</v>
      </c>
      <c r="D16" s="187"/>
      <c r="E16" s="173">
        <v>15</v>
      </c>
      <c r="F16" s="174">
        <v>1116</v>
      </c>
      <c r="G16" s="174" t="s">
        <v>120</v>
      </c>
      <c r="H16" s="174" t="s">
        <v>33</v>
      </c>
      <c r="I16" s="175" t="s">
        <v>33</v>
      </c>
      <c r="J16" s="175" t="s">
        <v>142</v>
      </c>
      <c r="K16" s="176" t="s">
        <v>143</v>
      </c>
      <c r="L16" s="176" t="s">
        <v>144</v>
      </c>
      <c r="M16" s="177" t="s">
        <v>145</v>
      </c>
      <c r="N16" s="174" t="s">
        <v>146</v>
      </c>
      <c r="O16" s="177" t="s">
        <v>147</v>
      </c>
      <c r="P16" s="178">
        <v>15</v>
      </c>
      <c r="Q16" s="186"/>
      <c r="S16" s="178">
        <v>13</v>
      </c>
      <c r="T16" s="181"/>
      <c r="Z16" s="183" t="s">
        <v>148</v>
      </c>
      <c r="AA16" s="184" t="s">
        <v>149</v>
      </c>
      <c r="AB16" t="s">
        <v>150</v>
      </c>
      <c r="AE16" s="180" t="str">
        <v>ΠΕ ΜΗΧ. ΟΡ. ΠΟΡΩΝ</v>
      </c>
    </row>
    <row r="17" spans="1:31" ht="16.5" customHeight="1" x14ac:dyDescent="0.25">
      <c r="A17" s="188"/>
      <c r="B17" s="170"/>
      <c r="C17" s="171" t="s">
        <v>151</v>
      </c>
      <c r="D17" s="187"/>
      <c r="E17" s="173">
        <v>16</v>
      </c>
      <c r="F17" s="174">
        <v>1117</v>
      </c>
      <c r="G17" s="174" t="s">
        <v>120</v>
      </c>
      <c r="H17" s="174" t="s">
        <v>33</v>
      </c>
      <c r="I17" s="175" t="s">
        <v>33</v>
      </c>
      <c r="J17" s="175" t="s">
        <v>152</v>
      </c>
      <c r="K17" s="176" t="s">
        <v>153</v>
      </c>
      <c r="L17" s="176" t="s">
        <v>154</v>
      </c>
      <c r="M17" s="177" t="s">
        <v>155</v>
      </c>
      <c r="N17" s="174" t="s">
        <v>136</v>
      </c>
      <c r="O17" s="177" t="s">
        <v>156</v>
      </c>
      <c r="S17" s="178">
        <v>14</v>
      </c>
      <c r="T17" s="181"/>
      <c r="Z17" s="183" t="s">
        <v>157</v>
      </c>
      <c r="AA17" s="184" t="s">
        <v>158</v>
      </c>
      <c r="AB17" t="s">
        <v>159</v>
      </c>
      <c r="AE17" s="180" t="str">
        <v>ΠΕ ΜΗΧ. ΠΑΡ.</v>
      </c>
    </row>
    <row r="18" spans="1:31" ht="16.5" customHeight="1" x14ac:dyDescent="0.25">
      <c r="A18" s="188"/>
      <c r="B18" s="170"/>
      <c r="C18" s="171" t="s">
        <v>160</v>
      </c>
      <c r="D18" s="187"/>
      <c r="E18" s="173">
        <v>17</v>
      </c>
      <c r="F18" s="174">
        <v>1118</v>
      </c>
      <c r="G18" s="174" t="s">
        <v>120</v>
      </c>
      <c r="H18" s="174" t="s">
        <v>33</v>
      </c>
      <c r="I18" s="175" t="s">
        <v>33</v>
      </c>
      <c r="J18" s="175" t="s">
        <v>161</v>
      </c>
      <c r="K18" s="176" t="s">
        <v>162</v>
      </c>
      <c r="L18" s="176" t="s">
        <v>163</v>
      </c>
      <c r="M18" s="177" t="s">
        <v>16</v>
      </c>
      <c r="N18" s="174" t="s">
        <v>164</v>
      </c>
      <c r="O18" s="177" t="s">
        <v>165</v>
      </c>
      <c r="S18" s="178">
        <v>15</v>
      </c>
      <c r="T18" s="181"/>
      <c r="Z18" s="183" t="s">
        <v>166</v>
      </c>
      <c r="AA18" s="184" t="s">
        <v>167</v>
      </c>
      <c r="AB18" t="s">
        <v>168</v>
      </c>
      <c r="AE18" s="180" t="str">
        <v>ΠΕ ΜΗΧ. ΠΕΡΙΒΑΛ.</v>
      </c>
    </row>
    <row r="19" spans="1:31" ht="16.5" customHeight="1" x14ac:dyDescent="0.25">
      <c r="A19" s="188"/>
      <c r="B19" s="170"/>
      <c r="C19" s="171" t="s">
        <v>169</v>
      </c>
      <c r="D19" s="187"/>
      <c r="E19" s="173">
        <v>18</v>
      </c>
      <c r="F19" s="174">
        <v>1119</v>
      </c>
      <c r="G19" s="174" t="s">
        <v>120</v>
      </c>
      <c r="H19" s="174" t="s">
        <v>33</v>
      </c>
      <c r="I19" s="175" t="s">
        <v>33</v>
      </c>
      <c r="J19" s="175" t="s">
        <v>170</v>
      </c>
      <c r="K19" s="176" t="s">
        <v>171</v>
      </c>
      <c r="L19" s="176" t="s">
        <v>172</v>
      </c>
      <c r="M19" s="177" t="s">
        <v>173</v>
      </c>
      <c r="N19" s="174" t="s">
        <v>43</v>
      </c>
      <c r="O19" s="177" t="s">
        <v>174</v>
      </c>
      <c r="S19" s="178">
        <v>16</v>
      </c>
      <c r="T19" s="181"/>
      <c r="Z19" s="183" t="s">
        <v>175</v>
      </c>
      <c r="AA19" s="184" t="s">
        <v>176</v>
      </c>
      <c r="AB19" t="s">
        <v>177</v>
      </c>
      <c r="AE19" s="180" t="str">
        <v>ΠΕ ΜΗΧ. ΧΩΡ.</v>
      </c>
    </row>
    <row r="20" spans="1:31" ht="16.5" customHeight="1" x14ac:dyDescent="0.25">
      <c r="A20" s="188"/>
      <c r="B20" s="170"/>
      <c r="C20" s="171" t="s">
        <v>178</v>
      </c>
      <c r="D20" s="187"/>
      <c r="E20" s="173">
        <v>19</v>
      </c>
      <c r="F20" s="174">
        <v>1120</v>
      </c>
      <c r="G20" s="174" t="s">
        <v>120</v>
      </c>
      <c r="H20" s="174" t="s">
        <v>33</v>
      </c>
      <c r="I20" s="175" t="s">
        <v>33</v>
      </c>
      <c r="J20" s="175" t="s">
        <v>179</v>
      </c>
      <c r="K20" s="176" t="s">
        <v>180</v>
      </c>
      <c r="L20" s="176" t="s">
        <v>181</v>
      </c>
      <c r="M20" s="177" t="s">
        <v>182</v>
      </c>
      <c r="N20" s="174" t="s">
        <v>183</v>
      </c>
      <c r="O20" s="177" t="s">
        <v>184</v>
      </c>
      <c r="S20" s="178">
        <v>17</v>
      </c>
      <c r="T20" s="181"/>
      <c r="Z20" s="183" t="s">
        <v>166</v>
      </c>
      <c r="AA20" s="184" t="s">
        <v>167</v>
      </c>
      <c r="AB20" t="s">
        <v>168</v>
      </c>
      <c r="AE20" s="180" t="str">
        <v>ΠΕ ΝΟΜΙΚΩΝ</v>
      </c>
    </row>
    <row r="21" spans="1:31" ht="16.5" customHeight="1" x14ac:dyDescent="0.25">
      <c r="A21" s="188"/>
      <c r="B21" s="170"/>
      <c r="C21" s="171" t="s">
        <v>185</v>
      </c>
      <c r="D21" s="187"/>
      <c r="E21" s="173">
        <v>20</v>
      </c>
      <c r="F21" s="174">
        <v>1121</v>
      </c>
      <c r="G21" s="174" t="s">
        <v>120</v>
      </c>
      <c r="H21" s="174" t="s">
        <v>33</v>
      </c>
      <c r="I21" s="175" t="s">
        <v>33</v>
      </c>
      <c r="J21" s="175" t="s">
        <v>186</v>
      </c>
      <c r="K21" s="176" t="s">
        <v>122</v>
      </c>
      <c r="L21" s="176" t="s">
        <v>187</v>
      </c>
      <c r="M21" s="177" t="s">
        <v>188</v>
      </c>
      <c r="N21" s="174" t="s">
        <v>189</v>
      </c>
      <c r="O21" s="177" t="s">
        <v>190</v>
      </c>
      <c r="S21" s="178">
        <v>18</v>
      </c>
      <c r="T21" s="181"/>
      <c r="Z21" s="183" t="s">
        <v>175</v>
      </c>
      <c r="AA21" s="184" t="s">
        <v>176</v>
      </c>
      <c r="AB21" t="s">
        <v>177</v>
      </c>
      <c r="AE21" s="180" t="str">
        <v>ΠΕ ΠΕΡΙΒ/ΝΤΟΣ</v>
      </c>
    </row>
    <row r="22" spans="1:31" ht="16.5" customHeight="1" x14ac:dyDescent="0.25">
      <c r="A22" s="188"/>
      <c r="B22" s="170"/>
      <c r="C22" s="171" t="s">
        <v>191</v>
      </c>
      <c r="D22" s="187"/>
      <c r="E22" s="173">
        <v>21</v>
      </c>
      <c r="F22" s="174">
        <v>1122</v>
      </c>
      <c r="G22" s="174" t="s">
        <v>120</v>
      </c>
      <c r="H22" s="174" t="s">
        <v>33</v>
      </c>
      <c r="I22" s="175" t="s">
        <v>33</v>
      </c>
      <c r="J22" s="175" t="s">
        <v>192</v>
      </c>
      <c r="K22" s="176" t="s">
        <v>143</v>
      </c>
      <c r="L22" s="176" t="s">
        <v>193</v>
      </c>
      <c r="M22" s="177" t="s">
        <v>194</v>
      </c>
      <c r="N22" s="174" t="s">
        <v>43</v>
      </c>
      <c r="O22" s="177" t="s">
        <v>195</v>
      </c>
      <c r="S22" s="178">
        <v>19</v>
      </c>
      <c r="T22" s="181"/>
      <c r="Z22" s="183" t="s">
        <v>166</v>
      </c>
      <c r="AA22" s="184" t="s">
        <v>167</v>
      </c>
      <c r="AB22" t="s">
        <v>168</v>
      </c>
      <c r="AE22" s="180" t="str">
        <v>ΠΕ ΠΛΗΡΟΦΟΡΙΚΗΣ</v>
      </c>
    </row>
    <row r="23" spans="1:31" ht="16.5" customHeight="1" x14ac:dyDescent="0.25">
      <c r="A23" s="188"/>
      <c r="B23" s="170"/>
      <c r="C23" s="171" t="s">
        <v>196</v>
      </c>
      <c r="D23" s="187"/>
      <c r="E23" s="173">
        <v>22</v>
      </c>
      <c r="F23" s="174">
        <v>1123</v>
      </c>
      <c r="G23" s="174" t="s">
        <v>120</v>
      </c>
      <c r="H23" s="174" t="s">
        <v>33</v>
      </c>
      <c r="I23" s="175" t="s">
        <v>33</v>
      </c>
      <c r="J23" s="175" t="s">
        <v>197</v>
      </c>
      <c r="K23" s="176" t="s">
        <v>198</v>
      </c>
      <c r="L23" s="176" t="s">
        <v>199</v>
      </c>
      <c r="M23" s="177" t="s">
        <v>200</v>
      </c>
      <c r="N23" s="174" t="s">
        <v>43</v>
      </c>
      <c r="O23" s="177" t="s">
        <v>201</v>
      </c>
      <c r="S23" s="178">
        <v>20</v>
      </c>
      <c r="T23" s="181"/>
      <c r="Z23" s="183" t="s">
        <v>175</v>
      </c>
      <c r="AA23" s="184" t="s">
        <v>176</v>
      </c>
      <c r="AB23" t="s">
        <v>177</v>
      </c>
      <c r="AE23" s="180" t="str">
        <v>ΠΕ ΠΟΛ. ΜΗΧ.</v>
      </c>
    </row>
    <row r="24" spans="1:31" ht="16.5" customHeight="1" x14ac:dyDescent="0.25">
      <c r="A24" s="188"/>
      <c r="B24" s="170"/>
      <c r="C24" s="171" t="s">
        <v>202</v>
      </c>
      <c r="D24" s="187"/>
      <c r="E24" s="173">
        <v>23</v>
      </c>
      <c r="F24" s="174">
        <v>1124</v>
      </c>
      <c r="G24" s="174" t="s">
        <v>120</v>
      </c>
      <c r="H24" s="174" t="s">
        <v>33</v>
      </c>
      <c r="I24" s="175" t="s">
        <v>33</v>
      </c>
      <c r="J24" s="175" t="s">
        <v>203</v>
      </c>
      <c r="K24" s="176" t="s">
        <v>143</v>
      </c>
      <c r="L24" s="176" t="s">
        <v>204</v>
      </c>
      <c r="M24" s="177" t="s">
        <v>205</v>
      </c>
      <c r="N24" s="174" t="s">
        <v>43</v>
      </c>
      <c r="O24" s="177" t="s">
        <v>206</v>
      </c>
      <c r="S24" s="178">
        <v>22</v>
      </c>
      <c r="T24" s="181"/>
      <c r="Z24" s="183" t="s">
        <v>175</v>
      </c>
      <c r="AA24" s="184" t="s">
        <v>176</v>
      </c>
      <c r="AB24" t="s">
        <v>177</v>
      </c>
      <c r="AE24" s="180" t="str">
        <v>ΠΕ ΧΗΜ. ΜΗΧ.</v>
      </c>
    </row>
    <row r="25" spans="1:31" ht="16.5" customHeight="1" x14ac:dyDescent="0.25">
      <c r="A25" s="188"/>
      <c r="B25" s="170"/>
      <c r="C25" s="171" t="s">
        <v>207</v>
      </c>
      <c r="D25" s="187"/>
      <c r="E25" s="173">
        <v>24</v>
      </c>
      <c r="F25" s="174">
        <v>1125</v>
      </c>
      <c r="G25" s="174" t="s">
        <v>120</v>
      </c>
      <c r="H25" s="174" t="s">
        <v>33</v>
      </c>
      <c r="I25" s="175" t="s">
        <v>33</v>
      </c>
      <c r="J25" s="175" t="s">
        <v>208</v>
      </c>
      <c r="K25" s="176" t="s">
        <v>209</v>
      </c>
      <c r="L25" s="176" t="s">
        <v>210</v>
      </c>
      <c r="M25" s="177" t="s">
        <v>211</v>
      </c>
      <c r="N25" s="174" t="s">
        <v>43</v>
      </c>
      <c r="O25" s="177" t="s">
        <v>212</v>
      </c>
      <c r="S25" s="178">
        <v>23</v>
      </c>
      <c r="T25" s="181"/>
      <c r="Z25" s="183" t="s">
        <v>166</v>
      </c>
      <c r="AA25" s="184" t="s">
        <v>167</v>
      </c>
      <c r="AB25" t="s">
        <v>168</v>
      </c>
      <c r="AE25" s="180" t="str">
        <v>ΠΕ ΧΗΜΙΚΩΝ</v>
      </c>
    </row>
    <row r="26" spans="1:31" ht="16.5" customHeight="1" x14ac:dyDescent="0.25">
      <c r="A26" s="188"/>
      <c r="B26" s="170"/>
      <c r="C26" s="171" t="s">
        <v>213</v>
      </c>
      <c r="D26" s="187"/>
      <c r="E26" s="173">
        <v>25</v>
      </c>
      <c r="F26" s="174">
        <v>1126</v>
      </c>
      <c r="G26" s="174" t="s">
        <v>120</v>
      </c>
      <c r="H26" s="174" t="s">
        <v>33</v>
      </c>
      <c r="I26" s="175" t="s">
        <v>33</v>
      </c>
      <c r="J26" s="175" t="s">
        <v>214</v>
      </c>
      <c r="K26" s="176" t="s">
        <v>215</v>
      </c>
      <c r="L26" s="176" t="s">
        <v>216</v>
      </c>
      <c r="M26" s="177" t="s">
        <v>217</v>
      </c>
      <c r="N26" s="174" t="s">
        <v>43</v>
      </c>
      <c r="O26" s="177" t="s">
        <v>218</v>
      </c>
      <c r="S26" s="178">
        <v>24</v>
      </c>
      <c r="T26" s="181"/>
      <c r="Z26" s="183" t="s">
        <v>175</v>
      </c>
      <c r="AA26" s="184" t="s">
        <v>176</v>
      </c>
      <c r="AB26" t="s">
        <v>177</v>
      </c>
      <c r="AE26" s="180" t="str">
        <v>ΤΕ ΔΙΟΙΚ.-ΛΟΓ.</v>
      </c>
    </row>
    <row r="27" spans="1:31" ht="16.5" customHeight="1" x14ac:dyDescent="0.25">
      <c r="A27" s="188"/>
      <c r="B27" s="170"/>
      <c r="C27" s="171" t="s">
        <v>219</v>
      </c>
      <c r="D27" s="187"/>
      <c r="E27" s="173">
        <v>26</v>
      </c>
      <c r="F27" s="174">
        <v>1127</v>
      </c>
      <c r="G27" s="174" t="s">
        <v>120</v>
      </c>
      <c r="H27" s="174" t="s">
        <v>33</v>
      </c>
      <c r="I27" s="175" t="s">
        <v>33</v>
      </c>
      <c r="J27" s="175" t="s">
        <v>220</v>
      </c>
      <c r="K27" s="176" t="s">
        <v>221</v>
      </c>
      <c r="L27" s="176" t="s">
        <v>222</v>
      </c>
      <c r="M27" s="177" t="s">
        <v>223</v>
      </c>
      <c r="N27" s="174" t="s">
        <v>224</v>
      </c>
      <c r="O27" s="177" t="s">
        <v>225</v>
      </c>
      <c r="S27" s="178">
        <v>25</v>
      </c>
      <c r="T27" s="181"/>
      <c r="Z27" s="183" t="s">
        <v>166</v>
      </c>
      <c r="AA27" s="184" t="s">
        <v>167</v>
      </c>
      <c r="AB27" t="s">
        <v>168</v>
      </c>
      <c r="AE27" s="180" t="str">
        <v>ΤΕ ΔΟΜ. ΕΡΓΩΝ</v>
      </c>
    </row>
    <row r="28" spans="1:31" ht="16.5" customHeight="1" x14ac:dyDescent="0.25">
      <c r="A28" s="188"/>
      <c r="B28" s="170"/>
      <c r="C28" s="171" t="s">
        <v>226</v>
      </c>
      <c r="D28" s="187"/>
      <c r="E28" s="173">
        <v>27</v>
      </c>
      <c r="F28" s="174">
        <v>1128</v>
      </c>
      <c r="G28" s="174" t="s">
        <v>120</v>
      </c>
      <c r="H28" s="174" t="s">
        <v>33</v>
      </c>
      <c r="I28" s="175" t="s">
        <v>33</v>
      </c>
      <c r="J28" s="175" t="s">
        <v>227</v>
      </c>
      <c r="K28" s="176" t="s">
        <v>143</v>
      </c>
      <c r="L28" s="176" t="s">
        <v>228</v>
      </c>
      <c r="M28" s="177" t="s">
        <v>229</v>
      </c>
      <c r="N28" s="174" t="s">
        <v>43</v>
      </c>
      <c r="O28" s="177" t="s">
        <v>230</v>
      </c>
      <c r="S28" s="178">
        <v>26</v>
      </c>
      <c r="T28" s="181"/>
      <c r="Z28" s="183" t="s">
        <v>175</v>
      </c>
      <c r="AA28" s="184" t="s">
        <v>176</v>
      </c>
      <c r="AB28" t="s">
        <v>177</v>
      </c>
      <c r="AE28" s="180" t="str">
        <v>ΤΕ ΗΛ. ΜΗΧ.</v>
      </c>
    </row>
    <row r="29" spans="1:31" ht="16.5" customHeight="1" x14ac:dyDescent="0.25">
      <c r="A29" s="188"/>
      <c r="B29" s="170"/>
      <c r="C29" s="171" t="s">
        <v>231</v>
      </c>
      <c r="D29" s="187"/>
      <c r="E29" s="173">
        <v>28</v>
      </c>
      <c r="F29" s="174">
        <v>1129</v>
      </c>
      <c r="G29" s="174" t="s">
        <v>120</v>
      </c>
      <c r="H29" s="174" t="s">
        <v>33</v>
      </c>
      <c r="I29" s="175" t="s">
        <v>33</v>
      </c>
      <c r="J29" s="175" t="s">
        <v>232</v>
      </c>
      <c r="K29" s="176" t="s">
        <v>233</v>
      </c>
      <c r="L29" s="176" t="s">
        <v>234</v>
      </c>
      <c r="M29" s="177" t="s">
        <v>235</v>
      </c>
      <c r="N29" s="174" t="s">
        <v>183</v>
      </c>
      <c r="O29" s="177" t="s">
        <v>236</v>
      </c>
      <c r="S29" s="178">
        <v>27</v>
      </c>
      <c r="T29" s="181"/>
      <c r="Z29" s="183" t="s">
        <v>166</v>
      </c>
      <c r="AA29" s="184" t="s">
        <v>167</v>
      </c>
      <c r="AB29" t="s">
        <v>168</v>
      </c>
      <c r="AE29" s="180" t="str">
        <v>ΤΕ ΜΗΧ. ΜΗΧ.</v>
      </c>
    </row>
    <row r="30" spans="1:31" ht="16.5" customHeight="1" x14ac:dyDescent="0.25">
      <c r="A30" s="188"/>
      <c r="B30" s="170"/>
      <c r="C30" s="171" t="s">
        <v>237</v>
      </c>
      <c r="D30" s="187"/>
      <c r="E30" s="173">
        <v>29</v>
      </c>
      <c r="F30" s="174">
        <v>1130</v>
      </c>
      <c r="G30" s="174" t="s">
        <v>120</v>
      </c>
      <c r="H30" s="174" t="s">
        <v>33</v>
      </c>
      <c r="I30" s="175" t="s">
        <v>33</v>
      </c>
      <c r="J30" s="175" t="s">
        <v>238</v>
      </c>
      <c r="K30" s="176" t="s">
        <v>171</v>
      </c>
      <c r="L30" s="176" t="s">
        <v>239</v>
      </c>
      <c r="M30" s="177" t="s">
        <v>240</v>
      </c>
      <c r="N30" s="174" t="s">
        <v>43</v>
      </c>
      <c r="O30" s="177" t="s">
        <v>241</v>
      </c>
      <c r="S30" s="178">
        <v>28</v>
      </c>
      <c r="T30" s="181"/>
      <c r="Z30" s="183" t="s">
        <v>175</v>
      </c>
      <c r="AA30" s="184" t="s">
        <v>176</v>
      </c>
      <c r="AB30" t="s">
        <v>177</v>
      </c>
      <c r="AE30" s="180" t="str">
        <v>ΤΕ ΠΕΡΙΒΑΛΛΟΝΤΟΣ</v>
      </c>
    </row>
    <row r="31" spans="1:31" ht="16.5" customHeight="1" x14ac:dyDescent="0.25">
      <c r="A31" s="188"/>
      <c r="B31" s="170"/>
      <c r="C31" s="171" t="s">
        <v>242</v>
      </c>
      <c r="D31" s="187"/>
      <c r="E31" s="173">
        <v>30</v>
      </c>
      <c r="F31" s="174">
        <v>1131</v>
      </c>
      <c r="G31" s="174" t="s">
        <v>120</v>
      </c>
      <c r="H31" s="174" t="s">
        <v>33</v>
      </c>
      <c r="I31" s="175" t="s">
        <v>33</v>
      </c>
      <c r="J31" s="175" t="s">
        <v>243</v>
      </c>
      <c r="K31" s="176" t="s">
        <v>244</v>
      </c>
      <c r="L31" s="176" t="s">
        <v>245</v>
      </c>
      <c r="M31" s="177" t="s">
        <v>246</v>
      </c>
      <c r="N31" s="174" t="s">
        <v>164</v>
      </c>
      <c r="O31" s="177" t="s">
        <v>247</v>
      </c>
      <c r="S31" s="178">
        <v>29</v>
      </c>
      <c r="T31" s="181"/>
      <c r="Z31" s="183" t="s">
        <v>166</v>
      </c>
      <c r="AA31" s="184" t="s">
        <v>167</v>
      </c>
      <c r="AB31" t="s">
        <v>168</v>
      </c>
      <c r="AE31" s="180" t="str">
        <v>ΤΕ ΠΛΗΡΟΦ/ΚΗΣ</v>
      </c>
    </row>
    <row r="32" spans="1:31" ht="16.5" customHeight="1" x14ac:dyDescent="0.25">
      <c r="A32" s="188"/>
      <c r="B32" s="170"/>
      <c r="C32" s="171" t="s">
        <v>248</v>
      </c>
      <c r="D32" s="187"/>
      <c r="E32" s="173">
        <v>31</v>
      </c>
      <c r="F32" s="174">
        <v>1132</v>
      </c>
      <c r="G32" s="174" t="s">
        <v>120</v>
      </c>
      <c r="H32" s="174" t="s">
        <v>33</v>
      </c>
      <c r="I32" s="175" t="s">
        <v>33</v>
      </c>
      <c r="J32" s="175" t="s">
        <v>249</v>
      </c>
      <c r="K32" s="176" t="s">
        <v>250</v>
      </c>
      <c r="L32" s="176" t="s">
        <v>251</v>
      </c>
      <c r="M32" s="177" t="s">
        <v>16</v>
      </c>
      <c r="N32" s="174" t="s">
        <v>252</v>
      </c>
      <c r="O32" s="177" t="s">
        <v>253</v>
      </c>
      <c r="S32" s="178">
        <v>30</v>
      </c>
      <c r="T32" s="181"/>
      <c r="Z32" s="183" t="s">
        <v>175</v>
      </c>
      <c r="AA32" s="184" t="s">
        <v>176</v>
      </c>
      <c r="AB32" t="s">
        <v>177</v>
      </c>
      <c r="AE32" s="180" t="str">
        <v>ΤΕ ΠΛΗΡΟΦΟΡΙΚΗΣ</v>
      </c>
    </row>
    <row r="33" spans="1:31" ht="16.5" customHeight="1" x14ac:dyDescent="0.25">
      <c r="A33" s="188"/>
      <c r="B33" s="170"/>
      <c r="C33" s="171" t="s">
        <v>254</v>
      </c>
      <c r="D33" s="187"/>
      <c r="E33" s="173">
        <v>32</v>
      </c>
      <c r="F33" s="174">
        <v>1133</v>
      </c>
      <c r="G33" s="174" t="s">
        <v>120</v>
      </c>
      <c r="H33" s="174" t="s">
        <v>33</v>
      </c>
      <c r="I33" s="175" t="s">
        <v>33</v>
      </c>
      <c r="J33" s="175" t="s">
        <v>255</v>
      </c>
      <c r="K33" s="176" t="s">
        <v>256</v>
      </c>
      <c r="L33" s="176" t="s">
        <v>257</v>
      </c>
      <c r="M33" s="177" t="s">
        <v>258</v>
      </c>
      <c r="N33" s="174" t="s">
        <v>164</v>
      </c>
      <c r="O33" s="177" t="s">
        <v>259</v>
      </c>
      <c r="S33" s="178">
        <v>31</v>
      </c>
      <c r="T33" s="181"/>
      <c r="Z33" s="183" t="s">
        <v>166</v>
      </c>
      <c r="AA33" s="184" t="s">
        <v>167</v>
      </c>
      <c r="AB33" t="s">
        <v>168</v>
      </c>
      <c r="AE33" s="180" t="str">
        <v xml:space="preserve">ΤΕ ΠΛΗΡΟΦΟΡΙΚΗΣ </v>
      </c>
    </row>
    <row r="34" spans="1:31" ht="16.5" customHeight="1" x14ac:dyDescent="0.25">
      <c r="A34" s="188"/>
      <c r="B34" s="170"/>
      <c r="C34" s="171" t="s">
        <v>260</v>
      </c>
      <c r="D34" s="187"/>
      <c r="E34" s="173">
        <v>33</v>
      </c>
      <c r="F34" s="174">
        <v>1134</v>
      </c>
      <c r="G34" s="174" t="s">
        <v>120</v>
      </c>
      <c r="H34" s="174" t="s">
        <v>33</v>
      </c>
      <c r="I34" s="175" t="s">
        <v>33</v>
      </c>
      <c r="J34" s="175" t="s">
        <v>261</v>
      </c>
      <c r="K34" s="176" t="s">
        <v>171</v>
      </c>
      <c r="L34" s="176" t="s">
        <v>262</v>
      </c>
      <c r="M34" s="177" t="s">
        <v>263</v>
      </c>
      <c r="N34" s="174" t="s">
        <v>264</v>
      </c>
      <c r="O34" s="177" t="s">
        <v>265</v>
      </c>
      <c r="S34" s="178">
        <v>32</v>
      </c>
      <c r="T34" s="181"/>
      <c r="Z34" s="183" t="s">
        <v>175</v>
      </c>
      <c r="AA34" s="184" t="s">
        <v>176</v>
      </c>
      <c r="AB34" t="s">
        <v>177</v>
      </c>
      <c r="AE34" s="180" t="str">
        <v>ΤΕ ΠΟΛ. ΜΗΧ.</v>
      </c>
    </row>
    <row r="35" spans="1:31" ht="16.5" customHeight="1" x14ac:dyDescent="0.25">
      <c r="A35" s="188"/>
      <c r="B35" s="170"/>
      <c r="C35" s="190" t="s">
        <v>16</v>
      </c>
      <c r="D35" s="187"/>
      <c r="E35" s="173">
        <v>34</v>
      </c>
      <c r="F35" s="174">
        <v>1138</v>
      </c>
      <c r="G35" s="174" t="s">
        <v>120</v>
      </c>
      <c r="H35" s="174" t="s">
        <v>33</v>
      </c>
      <c r="I35" s="175" t="s">
        <v>33</v>
      </c>
      <c r="J35" s="175" t="s">
        <v>266</v>
      </c>
      <c r="K35" s="176" t="s">
        <v>162</v>
      </c>
      <c r="L35" s="176" t="s">
        <v>267</v>
      </c>
      <c r="M35" s="177" t="s">
        <v>268</v>
      </c>
      <c r="N35" s="174" t="s">
        <v>43</v>
      </c>
      <c r="O35" s="177" t="s">
        <v>269</v>
      </c>
      <c r="S35" s="178">
        <v>33</v>
      </c>
      <c r="T35" s="181"/>
      <c r="Z35" s="183" t="s">
        <v>166</v>
      </c>
      <c r="AA35" s="184" t="s">
        <v>167</v>
      </c>
      <c r="AB35" t="s">
        <v>168</v>
      </c>
      <c r="AE35" s="180" t="str">
        <v>ΤΕ ΤΟΠΟΓΡ. ΜΗΧ.</v>
      </c>
    </row>
    <row r="36" spans="1:31" ht="16.5" customHeight="1" x14ac:dyDescent="0.25">
      <c r="A36" s="188"/>
      <c r="B36" s="170"/>
      <c r="C36" s="190" t="s">
        <v>270</v>
      </c>
      <c r="D36" s="187"/>
      <c r="E36" s="173">
        <v>35</v>
      </c>
      <c r="F36" s="174">
        <v>1139</v>
      </c>
      <c r="G36" s="174" t="s">
        <v>120</v>
      </c>
      <c r="H36" s="174" t="s">
        <v>33</v>
      </c>
      <c r="I36" s="175" t="s">
        <v>33</v>
      </c>
      <c r="J36" s="175" t="s">
        <v>271</v>
      </c>
      <c r="K36" s="176" t="s">
        <v>272</v>
      </c>
      <c r="L36" s="176" t="s">
        <v>273</v>
      </c>
      <c r="M36" s="177" t="s">
        <v>274</v>
      </c>
      <c r="N36" s="174" t="s">
        <v>183</v>
      </c>
      <c r="O36" s="177" t="s">
        <v>275</v>
      </c>
      <c r="S36" s="178">
        <v>34</v>
      </c>
      <c r="T36" s="181"/>
      <c r="Z36" s="183" t="s">
        <v>175</v>
      </c>
      <c r="AA36" s="184" t="s">
        <v>176</v>
      </c>
      <c r="AB36" t="s">
        <v>177</v>
      </c>
    </row>
    <row r="37" spans="1:31" ht="16.5" customHeight="1" x14ac:dyDescent="0.25">
      <c r="A37" s="188"/>
      <c r="B37" s="170"/>
      <c r="C37" s="190" t="s">
        <v>276</v>
      </c>
      <c r="D37" s="187"/>
      <c r="E37" s="173">
        <v>36</v>
      </c>
      <c r="F37" s="174">
        <v>1140</v>
      </c>
      <c r="G37" s="174" t="s">
        <v>120</v>
      </c>
      <c r="H37" s="174" t="s">
        <v>33</v>
      </c>
      <c r="I37" s="175" t="s">
        <v>33</v>
      </c>
      <c r="J37" s="175" t="s">
        <v>277</v>
      </c>
      <c r="K37" s="176" t="s">
        <v>278</v>
      </c>
      <c r="L37" s="176" t="s">
        <v>279</v>
      </c>
      <c r="M37" s="177" t="s">
        <v>280</v>
      </c>
      <c r="N37" s="174" t="s">
        <v>252</v>
      </c>
      <c r="O37" s="177" t="s">
        <v>281</v>
      </c>
      <c r="S37" s="178">
        <v>35</v>
      </c>
      <c r="T37" s="181"/>
      <c r="Z37" s="183" t="s">
        <v>166</v>
      </c>
      <c r="AA37" s="184" t="s">
        <v>167</v>
      </c>
      <c r="AB37" t="s">
        <v>168</v>
      </c>
    </row>
    <row r="38" spans="1:31" ht="16.5" customHeight="1" x14ac:dyDescent="0.25">
      <c r="A38" s="188"/>
      <c r="B38" s="170"/>
      <c r="C38" s="190" t="s">
        <v>282</v>
      </c>
      <c r="D38" s="187"/>
      <c r="E38" s="173">
        <v>37</v>
      </c>
      <c r="F38" s="174">
        <v>1142</v>
      </c>
      <c r="G38" s="174" t="s">
        <v>120</v>
      </c>
      <c r="H38" s="174" t="s">
        <v>33</v>
      </c>
      <c r="I38" s="175" t="s">
        <v>33</v>
      </c>
      <c r="J38" s="175" t="s">
        <v>283</v>
      </c>
      <c r="K38" s="176" t="s">
        <v>143</v>
      </c>
      <c r="L38" s="176" t="s">
        <v>284</v>
      </c>
      <c r="M38" s="177" t="s">
        <v>285</v>
      </c>
      <c r="N38" s="174" t="s">
        <v>43</v>
      </c>
      <c r="O38" s="177" t="s">
        <v>286</v>
      </c>
      <c r="S38" s="178">
        <v>36</v>
      </c>
      <c r="T38" s="181"/>
      <c r="Z38" s="183" t="s">
        <v>175</v>
      </c>
      <c r="AA38" s="184" t="s">
        <v>176</v>
      </c>
      <c r="AB38" t="s">
        <v>177</v>
      </c>
    </row>
    <row r="39" spans="1:31" ht="16.5" customHeight="1" x14ac:dyDescent="0.25">
      <c r="A39" s="188"/>
      <c r="B39" s="170"/>
      <c r="C39" s="190" t="s">
        <v>287</v>
      </c>
      <c r="D39" s="187"/>
      <c r="E39" s="173">
        <v>38</v>
      </c>
      <c r="F39" s="174">
        <v>1144</v>
      </c>
      <c r="G39" s="174" t="s">
        <v>120</v>
      </c>
      <c r="H39" s="174" t="s">
        <v>33</v>
      </c>
      <c r="I39" s="175" t="s">
        <v>33</v>
      </c>
      <c r="J39" s="175" t="s">
        <v>288</v>
      </c>
      <c r="K39" s="176" t="s">
        <v>289</v>
      </c>
      <c r="L39" s="176" t="s">
        <v>290</v>
      </c>
      <c r="M39" s="177" t="s">
        <v>291</v>
      </c>
      <c r="N39" s="174" t="s">
        <v>292</v>
      </c>
      <c r="O39" s="177" t="s">
        <v>293</v>
      </c>
      <c r="S39" s="178">
        <v>37</v>
      </c>
      <c r="T39" s="181"/>
      <c r="Z39" s="183" t="s">
        <v>166</v>
      </c>
      <c r="AA39" s="184" t="s">
        <v>167</v>
      </c>
      <c r="AB39" t="s">
        <v>168</v>
      </c>
    </row>
    <row r="40" spans="1:31" ht="16.5" customHeight="1" x14ac:dyDescent="0.25">
      <c r="A40" s="188"/>
      <c r="B40" s="170"/>
      <c r="C40" s="190" t="s">
        <v>294</v>
      </c>
      <c r="D40" s="187"/>
      <c r="E40" s="173">
        <v>39</v>
      </c>
      <c r="F40" s="174">
        <v>1145</v>
      </c>
      <c r="G40" s="174" t="s">
        <v>120</v>
      </c>
      <c r="H40" s="174" t="s">
        <v>33</v>
      </c>
      <c r="I40" s="175" t="s">
        <v>33</v>
      </c>
      <c r="J40" s="175" t="s">
        <v>295</v>
      </c>
      <c r="K40" s="176" t="s">
        <v>289</v>
      </c>
      <c r="L40" s="176" t="s">
        <v>296</v>
      </c>
      <c r="M40" s="177" t="s">
        <v>297</v>
      </c>
      <c r="N40" s="174" t="s">
        <v>298</v>
      </c>
      <c r="O40" s="177" t="s">
        <v>299</v>
      </c>
      <c r="S40" s="178">
        <v>38</v>
      </c>
      <c r="T40" s="181"/>
      <c r="Z40" s="183" t="s">
        <v>175</v>
      </c>
      <c r="AA40" s="184" t="s">
        <v>176</v>
      </c>
      <c r="AB40" t="s">
        <v>177</v>
      </c>
    </row>
    <row r="41" spans="1:31" ht="16.5" customHeight="1" x14ac:dyDescent="0.25">
      <c r="A41" s="188"/>
      <c r="B41" s="170"/>
      <c r="C41" s="190" t="s">
        <v>300</v>
      </c>
      <c r="D41" s="187"/>
      <c r="E41" s="173">
        <v>40</v>
      </c>
      <c r="F41" s="174">
        <v>1146</v>
      </c>
      <c r="G41" s="174" t="s">
        <v>120</v>
      </c>
      <c r="H41" s="174" t="s">
        <v>33</v>
      </c>
      <c r="I41" s="175" t="s">
        <v>33</v>
      </c>
      <c r="J41" s="175" t="s">
        <v>301</v>
      </c>
      <c r="K41" s="176" t="s">
        <v>302</v>
      </c>
      <c r="L41" s="176" t="s">
        <v>303</v>
      </c>
      <c r="M41" s="177" t="s">
        <v>304</v>
      </c>
      <c r="N41" s="174" t="s">
        <v>183</v>
      </c>
      <c r="O41" s="177" t="s">
        <v>305</v>
      </c>
      <c r="S41" s="178">
        <v>39</v>
      </c>
      <c r="T41" s="181"/>
      <c r="Z41" s="183" t="s">
        <v>166</v>
      </c>
      <c r="AA41" s="184" t="s">
        <v>167</v>
      </c>
      <c r="AB41" t="s">
        <v>168</v>
      </c>
    </row>
    <row r="42" spans="1:31" ht="16.5" customHeight="1" x14ac:dyDescent="0.25">
      <c r="A42" s="188"/>
      <c r="B42" s="170"/>
      <c r="C42" s="190" t="s">
        <v>306</v>
      </c>
      <c r="D42" s="187"/>
      <c r="E42" s="173">
        <v>41</v>
      </c>
      <c r="F42" s="174">
        <v>1147</v>
      </c>
      <c r="G42" s="174" t="s">
        <v>120</v>
      </c>
      <c r="H42" s="174" t="s">
        <v>33</v>
      </c>
      <c r="I42" s="175" t="s">
        <v>33</v>
      </c>
      <c r="J42" s="175" t="s">
        <v>307</v>
      </c>
      <c r="K42" s="176" t="s">
        <v>143</v>
      </c>
      <c r="L42" s="176" t="s">
        <v>308</v>
      </c>
      <c r="M42" s="177" t="s">
        <v>309</v>
      </c>
      <c r="N42" s="174" t="s">
        <v>310</v>
      </c>
      <c r="O42" s="177" t="s">
        <v>311</v>
      </c>
      <c r="S42" s="178">
        <v>40</v>
      </c>
      <c r="T42" s="181"/>
      <c r="Z42" s="183" t="s">
        <v>175</v>
      </c>
      <c r="AA42" s="184" t="s">
        <v>176</v>
      </c>
      <c r="AB42" t="s">
        <v>177</v>
      </c>
    </row>
    <row r="43" spans="1:31" ht="16.5" customHeight="1" x14ac:dyDescent="0.25">
      <c r="A43" s="188"/>
      <c r="B43" s="170"/>
      <c r="C43" s="190" t="s">
        <v>312</v>
      </c>
      <c r="D43" s="187"/>
      <c r="E43" s="173">
        <v>42</v>
      </c>
      <c r="F43" s="174">
        <v>1149</v>
      </c>
      <c r="G43" s="174" t="s">
        <v>120</v>
      </c>
      <c r="H43" s="174" t="s">
        <v>33</v>
      </c>
      <c r="I43" s="175" t="s">
        <v>33</v>
      </c>
      <c r="J43" s="175" t="s">
        <v>313</v>
      </c>
      <c r="K43" s="176" t="s">
        <v>171</v>
      </c>
      <c r="L43" s="176" t="s">
        <v>314</v>
      </c>
      <c r="M43" s="177" t="s">
        <v>315</v>
      </c>
      <c r="N43" s="174" t="s">
        <v>183</v>
      </c>
      <c r="O43" s="177" t="s">
        <v>316</v>
      </c>
      <c r="S43" s="178">
        <v>41</v>
      </c>
      <c r="T43" s="181"/>
      <c r="Z43" s="183" t="s">
        <v>166</v>
      </c>
      <c r="AA43" s="184" t="s">
        <v>167</v>
      </c>
      <c r="AB43" t="s">
        <v>168</v>
      </c>
    </row>
    <row r="44" spans="1:31" ht="16.5" customHeight="1" x14ac:dyDescent="0.25">
      <c r="A44" s="188"/>
      <c r="B44" s="170"/>
      <c r="C44" s="190"/>
      <c r="D44" s="187"/>
      <c r="E44" s="173">
        <v>43</v>
      </c>
      <c r="F44" s="174">
        <v>1150</v>
      </c>
      <c r="G44" s="174" t="s">
        <v>120</v>
      </c>
      <c r="H44" s="174" t="s">
        <v>33</v>
      </c>
      <c r="I44" s="175" t="s">
        <v>33</v>
      </c>
      <c r="J44" s="175" t="s">
        <v>317</v>
      </c>
      <c r="K44" s="176" t="s">
        <v>318</v>
      </c>
      <c r="L44" s="176" t="s">
        <v>319</v>
      </c>
      <c r="M44" s="177" t="s">
        <v>16</v>
      </c>
      <c r="N44" s="174" t="s">
        <v>164</v>
      </c>
      <c r="O44" s="177" t="s">
        <v>320</v>
      </c>
      <c r="S44" s="178"/>
      <c r="T44" s="181"/>
      <c r="Z44" s="183"/>
      <c r="AA44" s="184"/>
    </row>
    <row r="45" spans="1:31" ht="16.5" customHeight="1" x14ac:dyDescent="0.25">
      <c r="A45" s="188"/>
      <c r="B45" s="170"/>
      <c r="C45" s="190" t="s">
        <v>321</v>
      </c>
      <c r="D45" s="187"/>
      <c r="E45" s="173">
        <v>44</v>
      </c>
      <c r="F45" s="174">
        <v>1151</v>
      </c>
      <c r="G45" s="174" t="s">
        <v>120</v>
      </c>
      <c r="H45" s="174" t="s">
        <v>33</v>
      </c>
      <c r="I45" s="175" t="s">
        <v>33</v>
      </c>
      <c r="J45" s="175" t="s">
        <v>322</v>
      </c>
      <c r="K45" s="176" t="s">
        <v>323</v>
      </c>
      <c r="L45" s="176" t="s">
        <v>324</v>
      </c>
      <c r="M45" s="177" t="s">
        <v>325</v>
      </c>
      <c r="N45" s="174" t="s">
        <v>164</v>
      </c>
      <c r="O45" s="177" t="s">
        <v>326</v>
      </c>
      <c r="S45" s="178">
        <v>42</v>
      </c>
      <c r="T45" s="181"/>
      <c r="Z45" s="183" t="s">
        <v>175</v>
      </c>
      <c r="AA45" s="184" t="s">
        <v>176</v>
      </c>
      <c r="AB45" t="s">
        <v>177</v>
      </c>
    </row>
    <row r="46" spans="1:31" ht="16.5" customHeight="1" x14ac:dyDescent="0.25">
      <c r="A46" s="188"/>
      <c r="B46" s="170"/>
      <c r="C46" s="190" t="s">
        <v>327</v>
      </c>
      <c r="D46" s="187"/>
      <c r="E46" s="173">
        <v>45</v>
      </c>
      <c r="F46" s="174">
        <v>1152</v>
      </c>
      <c r="G46" s="174" t="s">
        <v>120</v>
      </c>
      <c r="H46" s="174" t="s">
        <v>33</v>
      </c>
      <c r="I46" s="175" t="s">
        <v>33</v>
      </c>
      <c r="J46" s="175" t="s">
        <v>328</v>
      </c>
      <c r="K46" s="176" t="s">
        <v>143</v>
      </c>
      <c r="L46" s="176" t="s">
        <v>329</v>
      </c>
      <c r="M46" s="177" t="s">
        <v>330</v>
      </c>
      <c r="N46" s="174" t="s">
        <v>43</v>
      </c>
      <c r="O46" s="177" t="s">
        <v>331</v>
      </c>
      <c r="S46" s="178">
        <v>44</v>
      </c>
      <c r="T46" s="181"/>
      <c r="Z46" s="183" t="s">
        <v>175</v>
      </c>
      <c r="AA46" s="184" t="s">
        <v>176</v>
      </c>
      <c r="AB46" t="s">
        <v>177</v>
      </c>
    </row>
    <row r="47" spans="1:31" ht="16.5" customHeight="1" x14ac:dyDescent="0.25">
      <c r="A47" s="188"/>
      <c r="B47" s="170"/>
      <c r="C47" s="190" t="s">
        <v>332</v>
      </c>
      <c r="D47" s="187"/>
      <c r="E47" s="173">
        <v>46</v>
      </c>
      <c r="F47" s="174">
        <v>1153</v>
      </c>
      <c r="G47" s="174" t="s">
        <v>120</v>
      </c>
      <c r="H47" s="174" t="s">
        <v>33</v>
      </c>
      <c r="I47" s="175" t="s">
        <v>33</v>
      </c>
      <c r="J47" s="175" t="s">
        <v>333</v>
      </c>
      <c r="K47" s="176" t="s">
        <v>334</v>
      </c>
      <c r="L47" s="176" t="s">
        <v>335</v>
      </c>
      <c r="M47" s="177" t="s">
        <v>336</v>
      </c>
      <c r="N47" s="174" t="s">
        <v>337</v>
      </c>
      <c r="O47" s="177" t="s">
        <v>338</v>
      </c>
      <c r="S47" s="178">
        <v>45</v>
      </c>
      <c r="T47" s="181"/>
      <c r="Z47" s="183" t="s">
        <v>166</v>
      </c>
      <c r="AA47" s="184" t="s">
        <v>167</v>
      </c>
      <c r="AB47" t="s">
        <v>168</v>
      </c>
    </row>
    <row r="48" spans="1:31" ht="16.5" customHeight="1" x14ac:dyDescent="0.25">
      <c r="A48" s="188"/>
      <c r="B48" s="170"/>
      <c r="C48" s="190" t="s">
        <v>339</v>
      </c>
      <c r="D48" s="187"/>
      <c r="E48" s="173">
        <v>47</v>
      </c>
      <c r="F48" s="174">
        <v>1154</v>
      </c>
      <c r="G48" s="174" t="s">
        <v>120</v>
      </c>
      <c r="H48" s="174" t="s">
        <v>33</v>
      </c>
      <c r="I48" s="175" t="s">
        <v>33</v>
      </c>
      <c r="J48" s="175" t="s">
        <v>340</v>
      </c>
      <c r="K48" s="176" t="s">
        <v>143</v>
      </c>
      <c r="L48" s="176" t="s">
        <v>341</v>
      </c>
      <c r="M48" s="177" t="s">
        <v>342</v>
      </c>
      <c r="N48" s="174" t="s">
        <v>43</v>
      </c>
      <c r="O48" s="177" t="s">
        <v>343</v>
      </c>
      <c r="S48" s="178">
        <v>46</v>
      </c>
      <c r="T48" s="181"/>
      <c r="Z48" s="183" t="s">
        <v>175</v>
      </c>
      <c r="AA48" s="184" t="s">
        <v>176</v>
      </c>
      <c r="AB48" t="s">
        <v>177</v>
      </c>
    </row>
    <row r="49" spans="1:28" ht="16.5" customHeight="1" x14ac:dyDescent="0.25">
      <c r="A49" s="188"/>
      <c r="B49" s="170"/>
      <c r="C49" s="190" t="s">
        <v>344</v>
      </c>
      <c r="D49" s="187"/>
      <c r="E49" s="173">
        <v>48</v>
      </c>
      <c r="F49" s="174">
        <v>1155</v>
      </c>
      <c r="G49" s="174" t="s">
        <v>120</v>
      </c>
      <c r="H49" s="174" t="s">
        <v>33</v>
      </c>
      <c r="I49" s="175" t="s">
        <v>33</v>
      </c>
      <c r="J49" s="175" t="s">
        <v>345</v>
      </c>
      <c r="K49" s="176" t="s">
        <v>171</v>
      </c>
      <c r="L49" s="176" t="s">
        <v>346</v>
      </c>
      <c r="M49" s="177" t="s">
        <v>347</v>
      </c>
      <c r="N49" s="174" t="s">
        <v>43</v>
      </c>
      <c r="O49" s="177" t="s">
        <v>348</v>
      </c>
      <c r="S49" s="178">
        <v>47</v>
      </c>
      <c r="T49" s="181"/>
      <c r="Z49" s="183" t="s">
        <v>166</v>
      </c>
      <c r="AA49" s="184" t="s">
        <v>167</v>
      </c>
      <c r="AB49" t="s">
        <v>168</v>
      </c>
    </row>
    <row r="50" spans="1:28" ht="16.5" customHeight="1" x14ac:dyDescent="0.25">
      <c r="A50" s="188"/>
      <c r="B50" s="170"/>
      <c r="C50" s="190" t="s">
        <v>349</v>
      </c>
      <c r="D50" s="187"/>
      <c r="E50" s="173">
        <v>49</v>
      </c>
      <c r="F50" s="174">
        <v>1156</v>
      </c>
      <c r="G50" s="174" t="s">
        <v>120</v>
      </c>
      <c r="H50" s="174" t="s">
        <v>33</v>
      </c>
      <c r="I50" s="175" t="s">
        <v>33</v>
      </c>
      <c r="J50" s="175" t="s">
        <v>350</v>
      </c>
      <c r="K50" s="176" t="s">
        <v>334</v>
      </c>
      <c r="L50" s="176" t="s">
        <v>351</v>
      </c>
      <c r="M50" s="177" t="s">
        <v>352</v>
      </c>
      <c r="N50" s="174" t="s">
        <v>43</v>
      </c>
      <c r="O50" s="177" t="s">
        <v>353</v>
      </c>
      <c r="S50" s="178">
        <v>48</v>
      </c>
      <c r="T50" s="181"/>
      <c r="Z50" s="183" t="s">
        <v>175</v>
      </c>
      <c r="AA50" s="184" t="s">
        <v>176</v>
      </c>
      <c r="AB50" t="s">
        <v>177</v>
      </c>
    </row>
    <row r="51" spans="1:28" ht="16.5" customHeight="1" x14ac:dyDescent="0.25">
      <c r="A51" s="188"/>
      <c r="B51" s="170"/>
      <c r="C51" s="190" t="s">
        <v>354</v>
      </c>
      <c r="D51" s="187"/>
      <c r="E51" s="173">
        <v>50</v>
      </c>
      <c r="F51" s="174">
        <v>1158</v>
      </c>
      <c r="G51" s="174" t="s">
        <v>120</v>
      </c>
      <c r="H51" s="174" t="s">
        <v>33</v>
      </c>
      <c r="I51" s="175" t="s">
        <v>33</v>
      </c>
      <c r="J51" s="175" t="s">
        <v>355</v>
      </c>
      <c r="K51" s="176" t="s">
        <v>171</v>
      </c>
      <c r="L51" s="176" t="s">
        <v>356</v>
      </c>
      <c r="M51" s="177" t="s">
        <v>357</v>
      </c>
      <c r="N51" s="174" t="s">
        <v>43</v>
      </c>
      <c r="O51" s="177" t="s">
        <v>358</v>
      </c>
      <c r="S51" s="178">
        <v>49</v>
      </c>
      <c r="T51" s="181"/>
      <c r="Z51" s="183" t="s">
        <v>166</v>
      </c>
      <c r="AA51" s="184" t="s">
        <v>167</v>
      </c>
      <c r="AB51" t="s">
        <v>168</v>
      </c>
    </row>
    <row r="52" spans="1:28" ht="16.5" customHeight="1" x14ac:dyDescent="0.25">
      <c r="A52" s="188"/>
      <c r="B52" s="170"/>
      <c r="C52" s="190" t="s">
        <v>359</v>
      </c>
      <c r="D52" s="187"/>
      <c r="E52" s="173">
        <v>51</v>
      </c>
      <c r="F52" s="174">
        <v>1159</v>
      </c>
      <c r="G52" s="174" t="s">
        <v>120</v>
      </c>
      <c r="H52" s="174" t="s">
        <v>33</v>
      </c>
      <c r="I52" s="175" t="s">
        <v>33</v>
      </c>
      <c r="J52" s="175" t="s">
        <v>360</v>
      </c>
      <c r="K52" s="176" t="s">
        <v>143</v>
      </c>
      <c r="L52" s="176" t="s">
        <v>361</v>
      </c>
      <c r="M52" s="177" t="s">
        <v>362</v>
      </c>
      <c r="N52" s="174" t="s">
        <v>43</v>
      </c>
      <c r="O52" s="177" t="s">
        <v>363</v>
      </c>
      <c r="S52" s="178">
        <v>50</v>
      </c>
      <c r="T52" s="181"/>
      <c r="Z52" s="183" t="s">
        <v>175</v>
      </c>
      <c r="AA52" s="184" t="s">
        <v>176</v>
      </c>
      <c r="AB52" t="s">
        <v>177</v>
      </c>
    </row>
    <row r="53" spans="1:28" ht="16.5" customHeight="1" x14ac:dyDescent="0.25">
      <c r="A53" s="188"/>
      <c r="B53" s="170"/>
      <c r="C53" s="190" t="s">
        <v>364</v>
      </c>
      <c r="D53" s="187"/>
      <c r="E53" s="173">
        <v>52</v>
      </c>
      <c r="F53" s="174">
        <v>1162</v>
      </c>
      <c r="G53" s="174" t="s">
        <v>120</v>
      </c>
      <c r="H53" s="174" t="s">
        <v>33</v>
      </c>
      <c r="I53" s="175" t="s">
        <v>33</v>
      </c>
      <c r="J53" s="175" t="s">
        <v>365</v>
      </c>
      <c r="K53" s="176" t="s">
        <v>143</v>
      </c>
      <c r="L53" s="176" t="s">
        <v>366</v>
      </c>
      <c r="M53" s="177" t="s">
        <v>16</v>
      </c>
      <c r="N53" s="174" t="s">
        <v>72</v>
      </c>
      <c r="O53" s="177" t="s">
        <v>367</v>
      </c>
      <c r="S53" s="178">
        <v>51</v>
      </c>
      <c r="T53" s="181"/>
      <c r="Z53" s="183" t="s">
        <v>166</v>
      </c>
      <c r="AA53" s="184" t="s">
        <v>167</v>
      </c>
      <c r="AB53" t="s">
        <v>168</v>
      </c>
    </row>
    <row r="54" spans="1:28" ht="16.5" customHeight="1" x14ac:dyDescent="0.25">
      <c r="A54" s="188"/>
      <c r="B54" s="170"/>
      <c r="C54" s="190" t="s">
        <v>368</v>
      </c>
      <c r="D54" s="187"/>
      <c r="E54" s="173">
        <v>53</v>
      </c>
      <c r="F54" s="174">
        <v>1163</v>
      </c>
      <c r="G54" s="174" t="s">
        <v>120</v>
      </c>
      <c r="H54" s="174" t="s">
        <v>33</v>
      </c>
      <c r="I54" s="175" t="s">
        <v>33</v>
      </c>
      <c r="J54" s="175" t="s">
        <v>369</v>
      </c>
      <c r="K54" s="176" t="s">
        <v>162</v>
      </c>
      <c r="L54" s="176" t="s">
        <v>370</v>
      </c>
      <c r="M54" s="177" t="s">
        <v>16</v>
      </c>
      <c r="N54" s="174" t="s">
        <v>72</v>
      </c>
      <c r="O54" s="177" t="s">
        <v>371</v>
      </c>
      <c r="S54" s="178">
        <v>52</v>
      </c>
      <c r="T54" s="181"/>
      <c r="Z54" s="183" t="s">
        <v>175</v>
      </c>
      <c r="AA54" s="184" t="s">
        <v>176</v>
      </c>
      <c r="AB54" t="s">
        <v>177</v>
      </c>
    </row>
    <row r="55" spans="1:28" ht="16.5" customHeight="1" x14ac:dyDescent="0.25">
      <c r="A55" s="188"/>
      <c r="B55" s="170"/>
      <c r="C55" s="190" t="s">
        <v>372</v>
      </c>
      <c r="D55" s="187"/>
      <c r="E55" s="173">
        <v>54</v>
      </c>
      <c r="F55" s="174">
        <v>1164</v>
      </c>
      <c r="G55" s="174" t="s">
        <v>120</v>
      </c>
      <c r="H55" s="174" t="s">
        <v>33</v>
      </c>
      <c r="I55" s="175" t="s">
        <v>33</v>
      </c>
      <c r="J55" s="175" t="s">
        <v>373</v>
      </c>
      <c r="K55" s="176" t="s">
        <v>334</v>
      </c>
      <c r="L55" s="176" t="s">
        <v>374</v>
      </c>
      <c r="M55" s="177" t="s">
        <v>375</v>
      </c>
      <c r="N55" s="174" t="s">
        <v>98</v>
      </c>
      <c r="O55" s="177" t="s">
        <v>376</v>
      </c>
      <c r="S55" s="178">
        <v>53</v>
      </c>
      <c r="T55" s="181"/>
      <c r="Z55" s="183" t="s">
        <v>166</v>
      </c>
      <c r="AA55" s="184" t="s">
        <v>167</v>
      </c>
      <c r="AB55" t="s">
        <v>168</v>
      </c>
    </row>
    <row r="56" spans="1:28" ht="16.5" customHeight="1" x14ac:dyDescent="0.25">
      <c r="A56" s="188"/>
      <c r="B56" s="170"/>
      <c r="C56" s="190" t="s">
        <v>377</v>
      </c>
      <c r="D56" s="187"/>
      <c r="E56" s="173">
        <v>55</v>
      </c>
      <c r="F56" s="174">
        <v>1165</v>
      </c>
      <c r="G56" s="174" t="s">
        <v>120</v>
      </c>
      <c r="H56" s="174" t="s">
        <v>33</v>
      </c>
      <c r="I56" s="175" t="s">
        <v>33</v>
      </c>
      <c r="J56" s="175" t="s">
        <v>378</v>
      </c>
      <c r="K56" s="176" t="s">
        <v>379</v>
      </c>
      <c r="L56" s="176" t="s">
        <v>380</v>
      </c>
      <c r="M56" s="177" t="s">
        <v>381</v>
      </c>
      <c r="N56" s="174" t="s">
        <v>43</v>
      </c>
      <c r="O56" s="177" t="s">
        <v>382</v>
      </c>
      <c r="S56" s="178">
        <v>54</v>
      </c>
      <c r="T56" s="181"/>
      <c r="Z56" s="183" t="s">
        <v>175</v>
      </c>
      <c r="AA56" s="184" t="s">
        <v>176</v>
      </c>
      <c r="AB56" t="s">
        <v>177</v>
      </c>
    </row>
    <row r="57" spans="1:28" ht="16.5" customHeight="1" x14ac:dyDescent="0.25">
      <c r="A57" s="188"/>
      <c r="B57" s="170"/>
      <c r="C57" s="190" t="s">
        <v>383</v>
      </c>
      <c r="D57" s="187"/>
      <c r="E57" s="173">
        <v>56</v>
      </c>
      <c r="F57" s="174">
        <v>1166</v>
      </c>
      <c r="G57" s="174" t="s">
        <v>120</v>
      </c>
      <c r="H57" s="174" t="s">
        <v>33</v>
      </c>
      <c r="I57" s="175" t="s">
        <v>33</v>
      </c>
      <c r="J57" s="175" t="s">
        <v>384</v>
      </c>
      <c r="K57" s="176" t="s">
        <v>334</v>
      </c>
      <c r="L57" s="176" t="s">
        <v>385</v>
      </c>
      <c r="M57" s="177" t="s">
        <v>386</v>
      </c>
      <c r="N57" s="174" t="s">
        <v>43</v>
      </c>
      <c r="O57" s="177" t="s">
        <v>387</v>
      </c>
      <c r="S57" s="178">
        <v>55</v>
      </c>
      <c r="T57" s="181"/>
      <c r="Z57" s="183" t="s">
        <v>166</v>
      </c>
      <c r="AA57" s="184" t="s">
        <v>167</v>
      </c>
      <c r="AB57" t="s">
        <v>168</v>
      </c>
    </row>
    <row r="58" spans="1:28" ht="16.5" customHeight="1" x14ac:dyDescent="0.25">
      <c r="A58" s="188"/>
      <c r="B58" s="170"/>
      <c r="C58" s="190" t="s">
        <v>388</v>
      </c>
      <c r="D58" s="187"/>
      <c r="E58" s="173">
        <v>57</v>
      </c>
      <c r="F58" s="174">
        <v>1167</v>
      </c>
      <c r="G58" s="174" t="s">
        <v>120</v>
      </c>
      <c r="H58" s="174" t="s">
        <v>33</v>
      </c>
      <c r="I58" s="175" t="s">
        <v>33</v>
      </c>
      <c r="J58" s="175" t="s">
        <v>389</v>
      </c>
      <c r="K58" s="176" t="s">
        <v>390</v>
      </c>
      <c r="L58" s="176" t="s">
        <v>391</v>
      </c>
      <c r="M58" s="177" t="s">
        <v>392</v>
      </c>
      <c r="N58" s="174" t="s">
        <v>292</v>
      </c>
      <c r="O58" s="177" t="s">
        <v>393</v>
      </c>
      <c r="S58" s="178">
        <v>56</v>
      </c>
      <c r="T58" s="181"/>
      <c r="Z58" s="183" t="s">
        <v>175</v>
      </c>
      <c r="AA58" s="184" t="s">
        <v>176</v>
      </c>
      <c r="AB58" t="s">
        <v>177</v>
      </c>
    </row>
    <row r="59" spans="1:28" ht="16.5" customHeight="1" x14ac:dyDescent="0.25">
      <c r="A59" s="188"/>
      <c r="B59" s="170"/>
      <c r="C59" s="190" t="s">
        <v>394</v>
      </c>
      <c r="D59" s="187"/>
      <c r="E59" s="173">
        <v>58</v>
      </c>
      <c r="F59" s="174">
        <v>1168</v>
      </c>
      <c r="G59" s="174" t="s">
        <v>120</v>
      </c>
      <c r="H59" s="174" t="s">
        <v>33</v>
      </c>
      <c r="I59" s="175" t="s">
        <v>33</v>
      </c>
      <c r="J59" s="175" t="s">
        <v>395</v>
      </c>
      <c r="K59" s="176" t="s">
        <v>143</v>
      </c>
      <c r="L59" s="176" t="s">
        <v>396</v>
      </c>
      <c r="M59" s="177" t="s">
        <v>397</v>
      </c>
      <c r="N59" s="174" t="s">
        <v>398</v>
      </c>
      <c r="O59" s="177" t="s">
        <v>399</v>
      </c>
      <c r="P59" s="178"/>
      <c r="S59" s="178">
        <v>57</v>
      </c>
      <c r="T59" s="181"/>
      <c r="Z59" s="183" t="s">
        <v>166</v>
      </c>
      <c r="AA59" s="184" t="s">
        <v>167</v>
      </c>
      <c r="AB59" t="s">
        <v>168</v>
      </c>
    </row>
    <row r="60" spans="1:28" ht="16.5" customHeight="1" x14ac:dyDescent="0.25">
      <c r="A60" s="188"/>
      <c r="B60" s="170"/>
      <c r="C60" s="190" t="s">
        <v>400</v>
      </c>
      <c r="D60" s="187"/>
      <c r="E60" s="173">
        <v>59</v>
      </c>
      <c r="F60" s="174">
        <v>1169</v>
      </c>
      <c r="G60" s="174" t="s">
        <v>120</v>
      </c>
      <c r="H60" s="174" t="s">
        <v>33</v>
      </c>
      <c r="I60" s="175" t="s">
        <v>33</v>
      </c>
      <c r="J60" s="175" t="s">
        <v>401</v>
      </c>
      <c r="K60" s="176" t="s">
        <v>143</v>
      </c>
      <c r="L60" s="176" t="s">
        <v>402</v>
      </c>
      <c r="M60" s="177" t="s">
        <v>403</v>
      </c>
      <c r="N60" s="174" t="s">
        <v>404</v>
      </c>
      <c r="O60" s="177" t="s">
        <v>405</v>
      </c>
      <c r="S60" s="178">
        <v>58</v>
      </c>
      <c r="T60" s="181"/>
      <c r="Z60" s="183" t="s">
        <v>175</v>
      </c>
      <c r="AA60" s="184" t="s">
        <v>176</v>
      </c>
      <c r="AB60" t="s">
        <v>177</v>
      </c>
    </row>
    <row r="61" spans="1:28" ht="16.5" customHeight="1" x14ac:dyDescent="0.25">
      <c r="A61" s="188"/>
      <c r="B61" s="170"/>
      <c r="C61" s="191" t="s">
        <v>16</v>
      </c>
      <c r="D61" s="187"/>
      <c r="E61" s="173">
        <v>60</v>
      </c>
      <c r="F61" s="174">
        <v>1170</v>
      </c>
      <c r="G61" s="174" t="s">
        <v>120</v>
      </c>
      <c r="H61" s="174" t="s">
        <v>33</v>
      </c>
      <c r="I61" s="175" t="s">
        <v>33</v>
      </c>
      <c r="J61" s="175" t="s">
        <v>406</v>
      </c>
      <c r="K61" s="176" t="s">
        <v>153</v>
      </c>
      <c r="L61" s="176" t="s">
        <v>407</v>
      </c>
      <c r="M61" s="177" t="s">
        <v>408</v>
      </c>
      <c r="N61" s="174" t="s">
        <v>409</v>
      </c>
      <c r="O61" s="177" t="s">
        <v>410</v>
      </c>
      <c r="S61" s="178">
        <v>59</v>
      </c>
      <c r="T61" s="181"/>
      <c r="Z61" s="183" t="s">
        <v>166</v>
      </c>
      <c r="AA61" s="184" t="s">
        <v>167</v>
      </c>
      <c r="AB61" t="s">
        <v>168</v>
      </c>
    </row>
    <row r="62" spans="1:28" ht="16.5" customHeight="1" x14ac:dyDescent="0.25">
      <c r="A62" s="188"/>
      <c r="B62" s="170"/>
      <c r="C62" s="191" t="s">
        <v>411</v>
      </c>
      <c r="D62" s="187"/>
      <c r="E62" s="173">
        <v>61</v>
      </c>
      <c r="F62" s="174">
        <v>1171</v>
      </c>
      <c r="G62" s="174" t="s">
        <v>120</v>
      </c>
      <c r="H62" s="174" t="s">
        <v>33</v>
      </c>
      <c r="I62" s="175" t="s">
        <v>33</v>
      </c>
      <c r="J62" s="175" t="s">
        <v>412</v>
      </c>
      <c r="K62" s="176" t="s">
        <v>413</v>
      </c>
      <c r="L62" s="176" t="s">
        <v>414</v>
      </c>
      <c r="M62" s="177" t="s">
        <v>415</v>
      </c>
      <c r="N62" s="174" t="s">
        <v>136</v>
      </c>
      <c r="O62" s="177" t="s">
        <v>416</v>
      </c>
      <c r="S62" s="178">
        <v>60</v>
      </c>
      <c r="T62" s="181"/>
      <c r="Z62" s="183" t="s">
        <v>175</v>
      </c>
      <c r="AA62" s="184" t="s">
        <v>176</v>
      </c>
      <c r="AB62" t="s">
        <v>177</v>
      </c>
    </row>
    <row r="63" spans="1:28" ht="16.5" customHeight="1" x14ac:dyDescent="0.25">
      <c r="A63" s="188"/>
      <c r="B63" s="170"/>
      <c r="C63" s="191" t="s">
        <v>417</v>
      </c>
      <c r="D63" s="187"/>
      <c r="E63" s="173">
        <v>62</v>
      </c>
      <c r="F63" s="174">
        <v>1172</v>
      </c>
      <c r="G63" s="174" t="s">
        <v>120</v>
      </c>
      <c r="H63" s="174" t="s">
        <v>33</v>
      </c>
      <c r="I63" s="175" t="s">
        <v>33</v>
      </c>
      <c r="J63" s="175" t="s">
        <v>418</v>
      </c>
      <c r="K63" s="176" t="s">
        <v>419</v>
      </c>
      <c r="L63" s="176" t="s">
        <v>420</v>
      </c>
      <c r="M63" s="177" t="s">
        <v>421</v>
      </c>
      <c r="N63" s="174" t="s">
        <v>43</v>
      </c>
      <c r="O63" s="177" t="s">
        <v>422</v>
      </c>
      <c r="S63" s="178">
        <v>61</v>
      </c>
      <c r="T63" s="181"/>
      <c r="Z63" s="183" t="s">
        <v>166</v>
      </c>
      <c r="AA63" s="184" t="s">
        <v>167</v>
      </c>
      <c r="AB63" t="s">
        <v>168</v>
      </c>
    </row>
    <row r="64" spans="1:28" ht="16.5" customHeight="1" x14ac:dyDescent="0.25">
      <c r="A64" s="188"/>
      <c r="B64" s="170"/>
      <c r="C64" s="191" t="s">
        <v>423</v>
      </c>
      <c r="D64" s="187"/>
      <c r="E64" s="173">
        <v>63</v>
      </c>
      <c r="F64" s="174">
        <v>1173</v>
      </c>
      <c r="G64" s="174" t="s">
        <v>120</v>
      </c>
      <c r="H64" s="174" t="s">
        <v>33</v>
      </c>
      <c r="I64" s="175" t="s">
        <v>33</v>
      </c>
      <c r="J64" s="175" t="s">
        <v>424</v>
      </c>
      <c r="K64" s="176" t="s">
        <v>425</v>
      </c>
      <c r="L64" s="176" t="s">
        <v>426</v>
      </c>
      <c r="M64" s="177" t="s">
        <v>427</v>
      </c>
      <c r="N64" s="174" t="s">
        <v>428</v>
      </c>
      <c r="O64" s="177" t="s">
        <v>429</v>
      </c>
      <c r="S64" s="178">
        <v>62</v>
      </c>
      <c r="T64" s="181"/>
      <c r="Z64" s="183" t="s">
        <v>175</v>
      </c>
      <c r="AA64" s="184" t="s">
        <v>176</v>
      </c>
      <c r="AB64" t="s">
        <v>177</v>
      </c>
    </row>
    <row r="65" spans="1:28" ht="16.5" customHeight="1" x14ac:dyDescent="0.25">
      <c r="C65" s="193"/>
      <c r="E65" s="173">
        <v>261</v>
      </c>
      <c r="F65" s="174">
        <v>1135</v>
      </c>
      <c r="G65" s="174" t="s">
        <v>120</v>
      </c>
      <c r="H65" s="174" t="s">
        <v>430</v>
      </c>
      <c r="I65" s="175" t="s">
        <v>33</v>
      </c>
      <c r="J65" s="194" t="s">
        <v>431</v>
      </c>
      <c r="K65" s="176" t="s">
        <v>334</v>
      </c>
      <c r="L65" s="176" t="s">
        <v>432</v>
      </c>
      <c r="M65" s="177" t="s">
        <v>433</v>
      </c>
      <c r="N65" s="174" t="s">
        <v>43</v>
      </c>
      <c r="O65" s="177" t="s">
        <v>434</v>
      </c>
      <c r="S65" s="178">
        <v>259</v>
      </c>
      <c r="T65" s="181"/>
      <c r="Z65" s="183" t="s">
        <v>166</v>
      </c>
      <c r="AA65" s="184" t="s">
        <v>167</v>
      </c>
      <c r="AB65" t="s">
        <v>168</v>
      </c>
    </row>
    <row r="66" spans="1:28" ht="16.5" customHeight="1" x14ac:dyDescent="0.25">
      <c r="C66" s="193"/>
      <c r="E66" s="173">
        <v>65</v>
      </c>
      <c r="F66" s="174">
        <v>1136</v>
      </c>
      <c r="G66" s="174" t="s">
        <v>120</v>
      </c>
      <c r="H66" s="174" t="s">
        <v>430</v>
      </c>
      <c r="I66" s="175" t="s">
        <v>33</v>
      </c>
      <c r="J66" s="194" t="s">
        <v>435</v>
      </c>
      <c r="K66" s="176" t="s">
        <v>436</v>
      </c>
      <c r="L66" s="176" t="s">
        <v>437</v>
      </c>
      <c r="M66" s="177" t="s">
        <v>438</v>
      </c>
      <c r="N66" s="174" t="s">
        <v>164</v>
      </c>
      <c r="O66" s="177" t="s">
        <v>439</v>
      </c>
      <c r="S66" s="178">
        <v>260</v>
      </c>
      <c r="T66" s="181"/>
      <c r="Z66" s="183" t="s">
        <v>175</v>
      </c>
      <c r="AA66" s="184" t="s">
        <v>176</v>
      </c>
      <c r="AB66" t="s">
        <v>177</v>
      </c>
    </row>
    <row r="67" spans="1:28" ht="16.5" customHeight="1" x14ac:dyDescent="0.25">
      <c r="C67" s="193"/>
      <c r="E67" s="173">
        <v>66</v>
      </c>
      <c r="F67" s="174">
        <v>1137</v>
      </c>
      <c r="G67" s="174" t="s">
        <v>120</v>
      </c>
      <c r="H67" s="174" t="s">
        <v>430</v>
      </c>
      <c r="I67" s="175" t="s">
        <v>33</v>
      </c>
      <c r="J67" s="194" t="s">
        <v>440</v>
      </c>
      <c r="K67" s="176" t="s">
        <v>334</v>
      </c>
      <c r="L67" s="176" t="s">
        <v>441</v>
      </c>
      <c r="M67" s="177" t="s">
        <v>442</v>
      </c>
      <c r="N67" s="174" t="s">
        <v>43</v>
      </c>
      <c r="O67" s="177" t="s">
        <v>443</v>
      </c>
      <c r="S67" s="178">
        <v>261</v>
      </c>
      <c r="T67" s="181"/>
      <c r="Z67" s="183" t="s">
        <v>166</v>
      </c>
      <c r="AA67" s="184" t="s">
        <v>167</v>
      </c>
      <c r="AB67" t="s">
        <v>168</v>
      </c>
    </row>
    <row r="68" spans="1:28" ht="16.5" customHeight="1" x14ac:dyDescent="0.25">
      <c r="C68" s="193"/>
      <c r="E68" s="173">
        <v>67</v>
      </c>
      <c r="F68" s="174">
        <v>1141</v>
      </c>
      <c r="G68" s="174" t="s">
        <v>120</v>
      </c>
      <c r="H68" s="174" t="s">
        <v>430</v>
      </c>
      <c r="I68" s="175" t="s">
        <v>33</v>
      </c>
      <c r="J68" s="194" t="s">
        <v>444</v>
      </c>
      <c r="K68" s="176" t="s">
        <v>445</v>
      </c>
      <c r="L68" s="176" t="s">
        <v>446</v>
      </c>
      <c r="M68" s="177" t="s">
        <v>447</v>
      </c>
      <c r="N68" s="174" t="s">
        <v>72</v>
      </c>
      <c r="O68" s="177" t="s">
        <v>448</v>
      </c>
      <c r="S68" s="178">
        <v>262</v>
      </c>
      <c r="T68" s="181"/>
      <c r="Z68" s="183" t="s">
        <v>175</v>
      </c>
      <c r="AA68" s="184" t="s">
        <v>176</v>
      </c>
      <c r="AB68" t="s">
        <v>177</v>
      </c>
    </row>
    <row r="69" spans="1:28" ht="16.5" customHeight="1" x14ac:dyDescent="0.25">
      <c r="C69" s="193"/>
      <c r="E69" s="173">
        <v>68</v>
      </c>
      <c r="F69" s="174">
        <v>1143</v>
      </c>
      <c r="G69" s="174" t="s">
        <v>120</v>
      </c>
      <c r="H69" s="174" t="s">
        <v>430</v>
      </c>
      <c r="I69" s="175" t="s">
        <v>33</v>
      </c>
      <c r="J69" s="194" t="s">
        <v>449</v>
      </c>
      <c r="K69" s="176" t="s">
        <v>450</v>
      </c>
      <c r="L69" s="176" t="s">
        <v>451</v>
      </c>
      <c r="M69" s="177" t="s">
        <v>452</v>
      </c>
      <c r="N69" s="174" t="s">
        <v>453</v>
      </c>
      <c r="O69" s="177" t="s">
        <v>454</v>
      </c>
      <c r="S69" s="178">
        <v>263</v>
      </c>
      <c r="T69" s="181"/>
      <c r="Z69" s="183" t="s">
        <v>166</v>
      </c>
      <c r="AA69" s="184" t="s">
        <v>167</v>
      </c>
      <c r="AB69" t="s">
        <v>168</v>
      </c>
    </row>
    <row r="70" spans="1:28" ht="16.5" customHeight="1" x14ac:dyDescent="0.25">
      <c r="C70" s="193"/>
      <c r="E70" s="173">
        <v>69</v>
      </c>
      <c r="F70" s="174">
        <v>1148</v>
      </c>
      <c r="G70" s="174" t="s">
        <v>120</v>
      </c>
      <c r="H70" s="174" t="s">
        <v>430</v>
      </c>
      <c r="I70" s="175" t="s">
        <v>33</v>
      </c>
      <c r="J70" s="194" t="s">
        <v>455</v>
      </c>
      <c r="K70" s="176" t="s">
        <v>334</v>
      </c>
      <c r="L70" s="176" t="s">
        <v>456</v>
      </c>
      <c r="M70" s="177" t="s">
        <v>457</v>
      </c>
      <c r="N70" s="174" t="s">
        <v>337</v>
      </c>
      <c r="O70" s="177" t="s">
        <v>458</v>
      </c>
      <c r="S70" s="178">
        <v>264</v>
      </c>
      <c r="T70" s="181"/>
      <c r="Z70" s="183" t="s">
        <v>175</v>
      </c>
      <c r="AA70" s="184" t="s">
        <v>176</v>
      </c>
      <c r="AB70" t="s">
        <v>177</v>
      </c>
    </row>
    <row r="71" spans="1:28" ht="16.5" customHeight="1" x14ac:dyDescent="0.25">
      <c r="C71" s="193"/>
      <c r="E71" s="173">
        <v>70</v>
      </c>
      <c r="F71" s="174">
        <v>1157</v>
      </c>
      <c r="G71" s="174" t="s">
        <v>120</v>
      </c>
      <c r="H71" s="174" t="s">
        <v>430</v>
      </c>
      <c r="I71" s="175" t="s">
        <v>33</v>
      </c>
      <c r="J71" s="194" t="s">
        <v>459</v>
      </c>
      <c r="K71" s="176" t="s">
        <v>334</v>
      </c>
      <c r="L71" s="176" t="s">
        <v>460</v>
      </c>
      <c r="M71" s="177" t="s">
        <v>461</v>
      </c>
      <c r="N71" s="174" t="s">
        <v>337</v>
      </c>
      <c r="O71" s="177" t="s">
        <v>462</v>
      </c>
      <c r="S71" s="178">
        <v>265</v>
      </c>
      <c r="T71" s="181"/>
      <c r="Z71" s="183" t="s">
        <v>166</v>
      </c>
      <c r="AA71" s="184" t="s">
        <v>167</v>
      </c>
      <c r="AB71" t="s">
        <v>168</v>
      </c>
    </row>
    <row r="72" spans="1:28" ht="16.5" customHeight="1" x14ac:dyDescent="0.25">
      <c r="C72" s="193"/>
      <c r="E72" s="173">
        <v>71</v>
      </c>
      <c r="F72" s="174">
        <v>1160</v>
      </c>
      <c r="G72" s="174" t="s">
        <v>120</v>
      </c>
      <c r="H72" s="174" t="s">
        <v>430</v>
      </c>
      <c r="I72" s="175" t="s">
        <v>33</v>
      </c>
      <c r="J72" s="194" t="s">
        <v>463</v>
      </c>
      <c r="K72" s="176" t="s">
        <v>334</v>
      </c>
      <c r="L72" s="176" t="s">
        <v>464</v>
      </c>
      <c r="M72" s="177" t="s">
        <v>465</v>
      </c>
      <c r="N72" s="174" t="s">
        <v>164</v>
      </c>
      <c r="O72" s="177" t="s">
        <v>466</v>
      </c>
      <c r="S72" s="178">
        <v>266</v>
      </c>
      <c r="T72" s="181"/>
      <c r="Z72" s="183" t="s">
        <v>175</v>
      </c>
      <c r="AA72" s="184" t="s">
        <v>176</v>
      </c>
      <c r="AB72" t="s">
        <v>177</v>
      </c>
    </row>
    <row r="73" spans="1:28" ht="16.5" customHeight="1" x14ac:dyDescent="0.25">
      <c r="C73" s="193"/>
      <c r="E73" s="173">
        <v>72</v>
      </c>
      <c r="F73" s="174">
        <v>1161</v>
      </c>
      <c r="G73" s="174" t="s">
        <v>120</v>
      </c>
      <c r="H73" s="174" t="s">
        <v>430</v>
      </c>
      <c r="I73" s="175" t="s">
        <v>33</v>
      </c>
      <c r="J73" s="194" t="s">
        <v>467</v>
      </c>
      <c r="K73" s="176" t="s">
        <v>334</v>
      </c>
      <c r="L73" s="176" t="s">
        <v>468</v>
      </c>
      <c r="M73" s="177" t="s">
        <v>469</v>
      </c>
      <c r="N73" s="174" t="s">
        <v>146</v>
      </c>
      <c r="O73" s="177" t="s">
        <v>470</v>
      </c>
      <c r="S73" s="178">
        <v>267</v>
      </c>
      <c r="T73" s="181"/>
      <c r="Z73" s="183" t="s">
        <v>166</v>
      </c>
      <c r="AA73" s="184" t="s">
        <v>167</v>
      </c>
      <c r="AB73" t="s">
        <v>168</v>
      </c>
    </row>
    <row r="74" spans="1:28" ht="16.5" customHeight="1" x14ac:dyDescent="0.25">
      <c r="A74" s="188"/>
      <c r="B74" s="170"/>
      <c r="C74" s="191" t="s">
        <v>471</v>
      </c>
      <c r="D74" s="187"/>
      <c r="E74" s="173">
        <v>64</v>
      </c>
      <c r="F74" s="174" t="s">
        <v>21</v>
      </c>
      <c r="G74" s="174" t="s">
        <v>21</v>
      </c>
      <c r="H74" s="174" t="s">
        <v>45</v>
      </c>
      <c r="I74" s="175" t="s">
        <v>45</v>
      </c>
      <c r="J74" s="175" t="s">
        <v>16</v>
      </c>
      <c r="K74" s="176" t="s">
        <v>21</v>
      </c>
      <c r="L74" s="176" t="s">
        <v>21</v>
      </c>
      <c r="M74" s="177" t="s">
        <v>21</v>
      </c>
      <c r="N74" s="174" t="s">
        <v>21</v>
      </c>
      <c r="O74" s="177" t="s">
        <v>21</v>
      </c>
      <c r="S74" s="178">
        <v>63</v>
      </c>
      <c r="T74" s="181"/>
      <c r="Z74" s="183" t="s">
        <v>166</v>
      </c>
      <c r="AA74" s="184" t="s">
        <v>167</v>
      </c>
      <c r="AB74" t="s">
        <v>168</v>
      </c>
    </row>
    <row r="75" spans="1:28" ht="16.5" customHeight="1" x14ac:dyDescent="0.25">
      <c r="A75" s="188"/>
      <c r="B75" s="170"/>
      <c r="C75" s="191" t="s">
        <v>472</v>
      </c>
      <c r="D75" s="187"/>
      <c r="E75" s="173">
        <v>74</v>
      </c>
      <c r="F75" s="174">
        <v>1214</v>
      </c>
      <c r="G75" s="174" t="s">
        <v>473</v>
      </c>
      <c r="H75" s="174" t="s">
        <v>45</v>
      </c>
      <c r="I75" s="175" t="s">
        <v>45</v>
      </c>
      <c r="J75" s="195" t="s">
        <v>474</v>
      </c>
      <c r="K75" s="176" t="s">
        <v>475</v>
      </c>
      <c r="L75" s="176" t="s">
        <v>476</v>
      </c>
      <c r="M75" s="177" t="s">
        <v>16</v>
      </c>
      <c r="N75" s="174" t="s">
        <v>298</v>
      </c>
      <c r="O75" s="177" t="s">
        <v>477</v>
      </c>
      <c r="S75" s="178">
        <v>64</v>
      </c>
      <c r="T75" s="181"/>
      <c r="Z75" s="183" t="s">
        <v>175</v>
      </c>
      <c r="AA75" s="184" t="s">
        <v>176</v>
      </c>
      <c r="AB75" t="s">
        <v>177</v>
      </c>
    </row>
    <row r="76" spans="1:28" ht="16.5" customHeight="1" x14ac:dyDescent="0.25">
      <c r="A76" s="188"/>
      <c r="B76" s="170"/>
      <c r="C76" s="191" t="s">
        <v>478</v>
      </c>
      <c r="D76" s="187"/>
      <c r="E76" s="173">
        <v>75</v>
      </c>
      <c r="F76" s="174">
        <v>1215</v>
      </c>
      <c r="G76" s="174" t="s">
        <v>473</v>
      </c>
      <c r="H76" s="174" t="s">
        <v>45</v>
      </c>
      <c r="I76" s="175" t="s">
        <v>45</v>
      </c>
      <c r="J76" s="175" t="s">
        <v>479</v>
      </c>
      <c r="K76" s="176" t="s">
        <v>480</v>
      </c>
      <c r="L76" s="176" t="s">
        <v>481</v>
      </c>
      <c r="M76" s="177" t="s">
        <v>16</v>
      </c>
      <c r="N76" s="174" t="s">
        <v>482</v>
      </c>
      <c r="O76" s="177" t="s">
        <v>483</v>
      </c>
      <c r="S76" s="178">
        <v>65</v>
      </c>
      <c r="T76" s="181"/>
      <c r="Z76" s="183" t="s">
        <v>166</v>
      </c>
      <c r="AA76" s="184" t="s">
        <v>167</v>
      </c>
      <c r="AB76" t="s">
        <v>168</v>
      </c>
    </row>
    <row r="77" spans="1:28" ht="16.5" customHeight="1" x14ac:dyDescent="0.25">
      <c r="A77" s="188"/>
      <c r="B77" s="170"/>
      <c r="C77" s="191" t="s">
        <v>484</v>
      </c>
      <c r="D77" s="187"/>
      <c r="E77" s="173">
        <v>76</v>
      </c>
      <c r="F77" s="174">
        <v>1216</v>
      </c>
      <c r="G77" s="174" t="s">
        <v>473</v>
      </c>
      <c r="H77" s="174" t="s">
        <v>45</v>
      </c>
      <c r="I77" s="175" t="s">
        <v>45</v>
      </c>
      <c r="J77" s="175" t="s">
        <v>485</v>
      </c>
      <c r="K77" s="176" t="s">
        <v>480</v>
      </c>
      <c r="L77" s="176" t="s">
        <v>486</v>
      </c>
      <c r="M77" s="177" t="s">
        <v>16</v>
      </c>
      <c r="N77" s="174" t="s">
        <v>43</v>
      </c>
      <c r="O77" s="177" t="s">
        <v>487</v>
      </c>
      <c r="S77" s="178">
        <v>66</v>
      </c>
      <c r="T77" s="181"/>
      <c r="Z77" s="183" t="s">
        <v>175</v>
      </c>
      <c r="AA77" s="184" t="s">
        <v>176</v>
      </c>
      <c r="AB77" t="s">
        <v>177</v>
      </c>
    </row>
    <row r="78" spans="1:28" ht="16.5" customHeight="1" x14ac:dyDescent="0.25">
      <c r="A78" s="188"/>
      <c r="B78" s="170"/>
      <c r="C78" s="191" t="s">
        <v>488</v>
      </c>
      <c r="D78" s="187"/>
      <c r="E78" s="173">
        <v>77</v>
      </c>
      <c r="F78" s="174">
        <v>1217</v>
      </c>
      <c r="G78" s="174" t="s">
        <v>473</v>
      </c>
      <c r="H78" s="174" t="s">
        <v>45</v>
      </c>
      <c r="I78" s="175" t="s">
        <v>45</v>
      </c>
      <c r="J78" s="175" t="s">
        <v>489</v>
      </c>
      <c r="K78" s="176" t="s">
        <v>480</v>
      </c>
      <c r="L78" s="176" t="s">
        <v>490</v>
      </c>
      <c r="M78" s="177" t="s">
        <v>491</v>
      </c>
      <c r="N78" s="174" t="s">
        <v>43</v>
      </c>
      <c r="O78" s="177" t="s">
        <v>492</v>
      </c>
      <c r="S78" s="178">
        <v>67</v>
      </c>
      <c r="T78" s="181"/>
      <c r="Z78" s="183" t="s">
        <v>166</v>
      </c>
      <c r="AA78" s="184" t="s">
        <v>167</v>
      </c>
      <c r="AB78" t="s">
        <v>168</v>
      </c>
    </row>
    <row r="79" spans="1:28" ht="16.5" customHeight="1" x14ac:dyDescent="0.25">
      <c r="A79" s="188"/>
      <c r="B79" s="170"/>
      <c r="C79" s="191" t="s">
        <v>493</v>
      </c>
      <c r="D79" s="187"/>
      <c r="E79" s="173">
        <v>78</v>
      </c>
      <c r="F79" s="174">
        <v>1218</v>
      </c>
      <c r="G79" s="174" t="s">
        <v>473</v>
      </c>
      <c r="H79" s="174" t="s">
        <v>45</v>
      </c>
      <c r="I79" s="175" t="s">
        <v>45</v>
      </c>
      <c r="J79" s="175" t="s">
        <v>494</v>
      </c>
      <c r="K79" s="176" t="s">
        <v>495</v>
      </c>
      <c r="L79" s="176" t="s">
        <v>496</v>
      </c>
      <c r="M79" s="177" t="s">
        <v>497</v>
      </c>
      <c r="N79" s="174" t="s">
        <v>43</v>
      </c>
      <c r="O79" s="177" t="s">
        <v>498</v>
      </c>
      <c r="S79" s="178">
        <v>68</v>
      </c>
      <c r="T79" s="181"/>
      <c r="Z79" s="183" t="s">
        <v>175</v>
      </c>
      <c r="AA79" s="184" t="s">
        <v>176</v>
      </c>
      <c r="AB79" t="s">
        <v>177</v>
      </c>
    </row>
    <row r="80" spans="1:28" ht="16.5" customHeight="1" x14ac:dyDescent="0.25">
      <c r="A80" s="188"/>
      <c r="B80" s="170"/>
      <c r="C80" s="191" t="s">
        <v>499</v>
      </c>
      <c r="D80" s="187"/>
      <c r="E80" s="173">
        <v>79</v>
      </c>
      <c r="F80" s="174">
        <v>1219</v>
      </c>
      <c r="G80" s="174" t="s">
        <v>473</v>
      </c>
      <c r="H80" s="174" t="s">
        <v>45</v>
      </c>
      <c r="I80" s="175" t="s">
        <v>45</v>
      </c>
      <c r="J80" s="175" t="s">
        <v>500</v>
      </c>
      <c r="K80" s="176" t="s">
        <v>480</v>
      </c>
      <c r="L80" s="176" t="s">
        <v>501</v>
      </c>
      <c r="M80" s="177" t="s">
        <v>16</v>
      </c>
      <c r="N80" s="174" t="s">
        <v>43</v>
      </c>
      <c r="O80" s="177" t="s">
        <v>502</v>
      </c>
      <c r="S80" s="178">
        <v>69</v>
      </c>
      <c r="T80" s="181"/>
      <c r="Z80" s="183" t="s">
        <v>166</v>
      </c>
      <c r="AA80" s="184" t="s">
        <v>167</v>
      </c>
      <c r="AB80" t="s">
        <v>168</v>
      </c>
    </row>
    <row r="81" spans="1:32" s="180" customFormat="1" ht="16.5" customHeight="1" x14ac:dyDescent="0.25">
      <c r="A81" s="189"/>
      <c r="B81" s="170"/>
      <c r="C81" s="171"/>
      <c r="D81" s="172"/>
      <c r="E81" s="173">
        <v>80</v>
      </c>
      <c r="F81" s="174">
        <v>1220</v>
      </c>
      <c r="G81" s="174" t="s">
        <v>473</v>
      </c>
      <c r="H81" s="174" t="s">
        <v>45</v>
      </c>
      <c r="I81" s="175" t="s">
        <v>45</v>
      </c>
      <c r="J81" s="175" t="s">
        <v>503</v>
      </c>
      <c r="K81" s="176" t="s">
        <v>504</v>
      </c>
      <c r="L81" s="176" t="s">
        <v>505</v>
      </c>
      <c r="M81" s="177" t="s">
        <v>506</v>
      </c>
      <c r="N81" s="174" t="s">
        <v>98</v>
      </c>
      <c r="O81" s="177" t="s">
        <v>507</v>
      </c>
      <c r="P81"/>
      <c r="Q81"/>
      <c r="R81"/>
      <c r="S81" s="178">
        <v>70</v>
      </c>
      <c r="T81" s="181"/>
      <c r="U81"/>
      <c r="V81" s="10"/>
      <c r="W81"/>
      <c r="X81"/>
      <c r="Y81"/>
      <c r="Z81" s="183" t="s">
        <v>175</v>
      </c>
      <c r="AA81" s="184" t="s">
        <v>176</v>
      </c>
      <c r="AB81" t="s">
        <v>177</v>
      </c>
      <c r="AC81"/>
      <c r="AD81"/>
      <c r="AF81"/>
    </row>
    <row r="82" spans="1:32" ht="16.5" customHeight="1" x14ac:dyDescent="0.25">
      <c r="A82" s="188"/>
      <c r="B82" s="170"/>
      <c r="C82" s="191" t="s">
        <v>508</v>
      </c>
      <c r="D82" s="187"/>
      <c r="E82" s="173">
        <v>81</v>
      </c>
      <c r="F82" s="174">
        <v>1221</v>
      </c>
      <c r="G82" s="174" t="s">
        <v>473</v>
      </c>
      <c r="H82" s="174" t="s">
        <v>45</v>
      </c>
      <c r="I82" s="175" t="s">
        <v>45</v>
      </c>
      <c r="J82" s="175" t="s">
        <v>509</v>
      </c>
      <c r="K82" s="176" t="s">
        <v>510</v>
      </c>
      <c r="L82" s="176" t="s">
        <v>511</v>
      </c>
      <c r="M82" s="177" t="s">
        <v>16</v>
      </c>
      <c r="N82" s="174" t="s">
        <v>43</v>
      </c>
      <c r="O82" s="177" t="s">
        <v>512</v>
      </c>
      <c r="S82" s="178">
        <v>71</v>
      </c>
      <c r="T82" s="181"/>
      <c r="Z82" s="183" t="s">
        <v>166</v>
      </c>
      <c r="AA82" s="184" t="s">
        <v>167</v>
      </c>
      <c r="AB82" t="s">
        <v>168</v>
      </c>
    </row>
    <row r="83" spans="1:32" ht="16.5" customHeight="1" x14ac:dyDescent="0.25">
      <c r="A83" s="188"/>
      <c r="B83" s="170"/>
      <c r="C83" s="191" t="s">
        <v>513</v>
      </c>
      <c r="D83" s="187"/>
      <c r="E83" s="173">
        <v>82</v>
      </c>
      <c r="F83" s="174">
        <v>1222</v>
      </c>
      <c r="G83" s="174" t="s">
        <v>473</v>
      </c>
      <c r="H83" s="174" t="s">
        <v>45</v>
      </c>
      <c r="I83" s="175" t="s">
        <v>45</v>
      </c>
      <c r="J83" s="175" t="s">
        <v>514</v>
      </c>
      <c r="K83" s="176" t="s">
        <v>480</v>
      </c>
      <c r="L83" s="176" t="s">
        <v>515</v>
      </c>
      <c r="M83" s="177" t="s">
        <v>16</v>
      </c>
      <c r="N83" s="174" t="s">
        <v>516</v>
      </c>
      <c r="O83" s="177" t="s">
        <v>517</v>
      </c>
      <c r="S83" s="178">
        <v>72</v>
      </c>
      <c r="T83" s="181"/>
      <c r="Z83" s="183" t="s">
        <v>175</v>
      </c>
      <c r="AA83" s="184" t="s">
        <v>176</v>
      </c>
      <c r="AB83" t="s">
        <v>177</v>
      </c>
    </row>
    <row r="84" spans="1:32" ht="16.5" customHeight="1" x14ac:dyDescent="0.25">
      <c r="A84" s="188"/>
      <c r="B84" s="170"/>
      <c r="C84" s="191" t="s">
        <v>518</v>
      </c>
      <c r="D84" s="187"/>
      <c r="E84" s="173">
        <v>83</v>
      </c>
      <c r="F84" s="174">
        <v>1223</v>
      </c>
      <c r="G84" s="174" t="s">
        <v>473</v>
      </c>
      <c r="H84" s="174" t="s">
        <v>45</v>
      </c>
      <c r="I84" s="175" t="s">
        <v>45</v>
      </c>
      <c r="J84" s="175" t="s">
        <v>519</v>
      </c>
      <c r="K84" s="176" t="s">
        <v>510</v>
      </c>
      <c r="L84" s="176" t="s">
        <v>520</v>
      </c>
      <c r="M84" s="177" t="s">
        <v>16</v>
      </c>
      <c r="N84" s="174" t="s">
        <v>72</v>
      </c>
      <c r="O84" s="177" t="s">
        <v>521</v>
      </c>
      <c r="S84" s="178">
        <v>73</v>
      </c>
      <c r="T84" s="181"/>
      <c r="Z84" s="183" t="s">
        <v>166</v>
      </c>
      <c r="AA84" s="184" t="s">
        <v>167</v>
      </c>
      <c r="AB84" t="s">
        <v>168</v>
      </c>
    </row>
    <row r="85" spans="1:32" ht="20.45" customHeight="1" x14ac:dyDescent="0.25">
      <c r="A85" s="188"/>
      <c r="B85" s="170"/>
      <c r="C85" s="191" t="s">
        <v>522</v>
      </c>
      <c r="D85" s="187"/>
      <c r="E85" s="173">
        <v>84</v>
      </c>
      <c r="F85" s="174">
        <v>1224</v>
      </c>
      <c r="G85" s="174" t="s">
        <v>473</v>
      </c>
      <c r="H85" s="174" t="s">
        <v>45</v>
      </c>
      <c r="I85" s="175" t="s">
        <v>45</v>
      </c>
      <c r="J85" s="175" t="s">
        <v>523</v>
      </c>
      <c r="K85" s="176" t="s">
        <v>524</v>
      </c>
      <c r="L85" s="176" t="s">
        <v>525</v>
      </c>
      <c r="M85" s="177" t="s">
        <v>526</v>
      </c>
      <c r="N85" s="174" t="s">
        <v>164</v>
      </c>
      <c r="O85" s="177" t="s">
        <v>527</v>
      </c>
      <c r="S85" s="178">
        <v>74</v>
      </c>
      <c r="T85" s="181"/>
      <c r="Z85" s="183" t="s">
        <v>175</v>
      </c>
      <c r="AA85" s="184" t="s">
        <v>176</v>
      </c>
      <c r="AB85" t="s">
        <v>177</v>
      </c>
    </row>
    <row r="86" spans="1:32" ht="16.5" customHeight="1" x14ac:dyDescent="0.25">
      <c r="A86" s="188"/>
      <c r="B86" s="170"/>
      <c r="C86" s="191" t="s">
        <v>528</v>
      </c>
      <c r="D86" s="187"/>
      <c r="E86" s="173">
        <v>85</v>
      </c>
      <c r="F86" s="174">
        <v>1225</v>
      </c>
      <c r="G86" s="174" t="s">
        <v>473</v>
      </c>
      <c r="H86" s="174" t="s">
        <v>45</v>
      </c>
      <c r="I86" s="175" t="s">
        <v>45</v>
      </c>
      <c r="J86" s="175" t="s">
        <v>529</v>
      </c>
      <c r="K86" s="176" t="s">
        <v>504</v>
      </c>
      <c r="L86" s="176" t="s">
        <v>530</v>
      </c>
      <c r="M86" s="177" t="s">
        <v>531</v>
      </c>
      <c r="N86" s="174" t="s">
        <v>164</v>
      </c>
      <c r="O86" s="177" t="s">
        <v>532</v>
      </c>
      <c r="S86" s="178">
        <v>75</v>
      </c>
      <c r="T86" s="181"/>
      <c r="Z86" s="183" t="s">
        <v>166</v>
      </c>
      <c r="AA86" s="184" t="s">
        <v>167</v>
      </c>
      <c r="AB86" t="s">
        <v>168</v>
      </c>
    </row>
    <row r="87" spans="1:32" ht="16.5" customHeight="1" x14ac:dyDescent="0.25">
      <c r="A87" s="188"/>
      <c r="B87" s="170"/>
      <c r="C87" s="191" t="s">
        <v>533</v>
      </c>
      <c r="D87" s="187"/>
      <c r="E87" s="173">
        <v>86</v>
      </c>
      <c r="F87" s="174">
        <v>1226</v>
      </c>
      <c r="G87" s="174" t="s">
        <v>473</v>
      </c>
      <c r="H87" s="174" t="s">
        <v>45</v>
      </c>
      <c r="I87" s="175" t="s">
        <v>45</v>
      </c>
      <c r="J87" s="175" t="s">
        <v>534</v>
      </c>
      <c r="K87" s="176" t="s">
        <v>510</v>
      </c>
      <c r="L87" s="176" t="s">
        <v>535</v>
      </c>
      <c r="M87" s="177" t="s">
        <v>536</v>
      </c>
      <c r="N87" s="174" t="s">
        <v>43</v>
      </c>
      <c r="O87" s="177" t="s">
        <v>537</v>
      </c>
      <c r="S87" s="178">
        <v>76</v>
      </c>
      <c r="T87" s="181"/>
      <c r="Z87" s="183" t="s">
        <v>175</v>
      </c>
      <c r="AA87" s="184" t="s">
        <v>176</v>
      </c>
      <c r="AB87" t="s">
        <v>177</v>
      </c>
    </row>
    <row r="88" spans="1:32" ht="16.5" customHeight="1" x14ac:dyDescent="0.25">
      <c r="A88" s="188"/>
      <c r="B88" s="170"/>
      <c r="C88" s="191" t="s">
        <v>538</v>
      </c>
      <c r="D88" s="187"/>
      <c r="E88" s="173">
        <v>87</v>
      </c>
      <c r="F88" s="174">
        <v>1227</v>
      </c>
      <c r="G88" s="174" t="s">
        <v>473</v>
      </c>
      <c r="H88" s="174" t="s">
        <v>45</v>
      </c>
      <c r="I88" s="175" t="s">
        <v>45</v>
      </c>
      <c r="J88" s="175" t="s">
        <v>539</v>
      </c>
      <c r="K88" s="176" t="s">
        <v>524</v>
      </c>
      <c r="L88" s="176" t="s">
        <v>540</v>
      </c>
      <c r="M88" s="177" t="s">
        <v>541</v>
      </c>
      <c r="N88" s="174" t="s">
        <v>404</v>
      </c>
      <c r="O88" s="177" t="s">
        <v>542</v>
      </c>
      <c r="S88" s="178">
        <v>77</v>
      </c>
      <c r="T88" s="181"/>
      <c r="Z88" s="183" t="s">
        <v>166</v>
      </c>
      <c r="AA88" s="184" t="s">
        <v>167</v>
      </c>
      <c r="AB88" t="s">
        <v>168</v>
      </c>
    </row>
    <row r="89" spans="1:32" ht="16.5" customHeight="1" x14ac:dyDescent="0.25">
      <c r="A89" s="188"/>
      <c r="B89" s="170"/>
      <c r="C89" s="191" t="s">
        <v>543</v>
      </c>
      <c r="D89" s="187"/>
      <c r="E89" s="173">
        <v>88</v>
      </c>
      <c r="F89" s="174">
        <v>1228</v>
      </c>
      <c r="G89" s="174" t="s">
        <v>473</v>
      </c>
      <c r="H89" s="174" t="s">
        <v>45</v>
      </c>
      <c r="I89" s="175" t="s">
        <v>45</v>
      </c>
      <c r="J89" s="175" t="s">
        <v>544</v>
      </c>
      <c r="K89" s="176" t="s">
        <v>510</v>
      </c>
      <c r="L89" s="176" t="s">
        <v>545</v>
      </c>
      <c r="M89" s="177" t="s">
        <v>16</v>
      </c>
      <c r="N89" s="174" t="s">
        <v>43</v>
      </c>
      <c r="O89" s="177" t="s">
        <v>546</v>
      </c>
      <c r="S89" s="178">
        <v>78</v>
      </c>
      <c r="T89" s="181"/>
      <c r="Z89" s="183" t="s">
        <v>175</v>
      </c>
      <c r="AA89" s="184" t="s">
        <v>176</v>
      </c>
      <c r="AB89" t="s">
        <v>177</v>
      </c>
    </row>
    <row r="90" spans="1:32" ht="16.5" customHeight="1" x14ac:dyDescent="0.25">
      <c r="A90" s="188"/>
      <c r="B90" s="170"/>
      <c r="C90" s="191" t="s">
        <v>547</v>
      </c>
      <c r="D90" s="187"/>
      <c r="E90" s="173">
        <v>89</v>
      </c>
      <c r="F90" s="174">
        <v>1229</v>
      </c>
      <c r="G90" s="174" t="s">
        <v>473</v>
      </c>
      <c r="H90" s="174" t="s">
        <v>45</v>
      </c>
      <c r="I90" s="175" t="s">
        <v>45</v>
      </c>
      <c r="J90" s="175" t="s">
        <v>548</v>
      </c>
      <c r="K90" s="176" t="s">
        <v>524</v>
      </c>
      <c r="L90" s="176" t="s">
        <v>549</v>
      </c>
      <c r="M90" s="177" t="s">
        <v>550</v>
      </c>
      <c r="N90" s="174" t="s">
        <v>43</v>
      </c>
      <c r="O90" s="177" t="s">
        <v>551</v>
      </c>
      <c r="S90" s="178">
        <v>79</v>
      </c>
      <c r="T90" s="181"/>
      <c r="Z90" s="183" t="s">
        <v>166</v>
      </c>
      <c r="AA90" s="184" t="s">
        <v>167</v>
      </c>
      <c r="AB90" t="s">
        <v>168</v>
      </c>
    </row>
    <row r="91" spans="1:32" ht="16.5" customHeight="1" x14ac:dyDescent="0.25">
      <c r="A91" s="188"/>
      <c r="B91" s="170"/>
      <c r="C91" s="191" t="s">
        <v>552</v>
      </c>
      <c r="D91" s="187"/>
      <c r="E91" s="173">
        <v>90</v>
      </c>
      <c r="F91" s="174">
        <v>1230</v>
      </c>
      <c r="G91" s="174" t="s">
        <v>473</v>
      </c>
      <c r="H91" s="174" t="s">
        <v>45</v>
      </c>
      <c r="I91" s="175" t="s">
        <v>45</v>
      </c>
      <c r="J91" s="175" t="s">
        <v>553</v>
      </c>
      <c r="K91" s="176" t="s">
        <v>554</v>
      </c>
      <c r="L91" s="176" t="s">
        <v>555</v>
      </c>
      <c r="M91" s="177" t="s">
        <v>556</v>
      </c>
      <c r="N91" s="174" t="s">
        <v>43</v>
      </c>
      <c r="O91" s="177" t="s">
        <v>557</v>
      </c>
      <c r="S91" s="178">
        <v>80</v>
      </c>
      <c r="T91" s="181"/>
      <c r="Z91" s="183" t="s">
        <v>175</v>
      </c>
      <c r="AA91" s="184" t="s">
        <v>176</v>
      </c>
      <c r="AB91" t="s">
        <v>177</v>
      </c>
    </row>
    <row r="92" spans="1:32" ht="16.5" customHeight="1" x14ac:dyDescent="0.25">
      <c r="A92" s="188"/>
      <c r="B92" s="170"/>
      <c r="C92" s="191" t="s">
        <v>558</v>
      </c>
      <c r="D92" s="187"/>
      <c r="E92" s="173">
        <v>91</v>
      </c>
      <c r="F92" s="174">
        <v>1231</v>
      </c>
      <c r="G92" s="174" t="s">
        <v>473</v>
      </c>
      <c r="H92" s="174" t="s">
        <v>45</v>
      </c>
      <c r="I92" s="175" t="s">
        <v>45</v>
      </c>
      <c r="J92" s="175" t="s">
        <v>559</v>
      </c>
      <c r="K92" s="176" t="s">
        <v>504</v>
      </c>
      <c r="L92" s="176" t="s">
        <v>560</v>
      </c>
      <c r="M92" s="177" t="s">
        <v>16</v>
      </c>
      <c r="N92" s="174" t="s">
        <v>72</v>
      </c>
      <c r="O92" s="177" t="s">
        <v>561</v>
      </c>
      <c r="S92" s="178">
        <v>81</v>
      </c>
      <c r="T92" s="181"/>
      <c r="Z92" s="183" t="s">
        <v>166</v>
      </c>
      <c r="AA92" s="184" t="s">
        <v>167</v>
      </c>
      <c r="AB92" t="s">
        <v>168</v>
      </c>
    </row>
    <row r="93" spans="1:32" ht="16.5" customHeight="1" x14ac:dyDescent="0.25">
      <c r="A93" s="188"/>
      <c r="B93" s="170"/>
      <c r="C93" s="191" t="s">
        <v>562</v>
      </c>
      <c r="D93" s="187"/>
      <c r="E93" s="173">
        <v>92</v>
      </c>
      <c r="F93" s="174">
        <v>1232</v>
      </c>
      <c r="G93" s="174" t="s">
        <v>473</v>
      </c>
      <c r="H93" s="174" t="s">
        <v>45</v>
      </c>
      <c r="I93" s="175" t="s">
        <v>45</v>
      </c>
      <c r="J93" s="175" t="s">
        <v>563</v>
      </c>
      <c r="K93" s="176" t="s">
        <v>510</v>
      </c>
      <c r="L93" s="176" t="s">
        <v>564</v>
      </c>
      <c r="M93" s="177" t="s">
        <v>565</v>
      </c>
      <c r="N93" s="174" t="s">
        <v>43</v>
      </c>
      <c r="O93" s="177" t="s">
        <v>566</v>
      </c>
      <c r="P93" s="178"/>
      <c r="S93" s="178">
        <v>82</v>
      </c>
      <c r="T93" s="181"/>
      <c r="Z93" s="183" t="s">
        <v>175</v>
      </c>
      <c r="AA93" s="184" t="s">
        <v>176</v>
      </c>
      <c r="AB93" t="s">
        <v>177</v>
      </c>
    </row>
    <row r="94" spans="1:32" ht="16.5" customHeight="1" x14ac:dyDescent="0.25">
      <c r="A94" s="188"/>
      <c r="B94" s="170"/>
      <c r="C94" s="191" t="s">
        <v>567</v>
      </c>
      <c r="D94" s="187"/>
      <c r="E94" s="173">
        <v>93</v>
      </c>
      <c r="F94" s="174">
        <v>1233</v>
      </c>
      <c r="G94" s="174" t="s">
        <v>473</v>
      </c>
      <c r="H94" s="174" t="s">
        <v>45</v>
      </c>
      <c r="I94" s="175" t="s">
        <v>45</v>
      </c>
      <c r="J94" s="175" t="s">
        <v>568</v>
      </c>
      <c r="K94" s="176" t="s">
        <v>524</v>
      </c>
      <c r="L94" s="176" t="s">
        <v>569</v>
      </c>
      <c r="M94" s="177" t="s">
        <v>570</v>
      </c>
      <c r="N94" s="174" t="s">
        <v>516</v>
      </c>
      <c r="O94" s="177" t="s">
        <v>571</v>
      </c>
      <c r="S94" s="178">
        <v>83</v>
      </c>
      <c r="T94" s="181"/>
      <c r="Z94" s="183" t="s">
        <v>166</v>
      </c>
      <c r="AA94" s="184" t="s">
        <v>167</v>
      </c>
      <c r="AB94" t="s">
        <v>168</v>
      </c>
    </row>
    <row r="95" spans="1:32" ht="16.5" customHeight="1" x14ac:dyDescent="0.25">
      <c r="A95" s="188"/>
      <c r="B95" s="170"/>
      <c r="C95" s="191" t="s">
        <v>572</v>
      </c>
      <c r="D95" s="187"/>
      <c r="E95" s="173">
        <v>94</v>
      </c>
      <c r="F95" s="174">
        <v>1234</v>
      </c>
      <c r="G95" s="174" t="s">
        <v>473</v>
      </c>
      <c r="H95" s="174" t="s">
        <v>45</v>
      </c>
      <c r="I95" s="175" t="s">
        <v>45</v>
      </c>
      <c r="J95" s="175" t="s">
        <v>573</v>
      </c>
      <c r="K95" s="176" t="s">
        <v>495</v>
      </c>
      <c r="L95" s="176" t="s">
        <v>574</v>
      </c>
      <c r="M95" s="177" t="s">
        <v>16</v>
      </c>
      <c r="N95" s="174" t="s">
        <v>43</v>
      </c>
      <c r="O95" s="177" t="s">
        <v>575</v>
      </c>
      <c r="S95" s="178">
        <v>84</v>
      </c>
      <c r="T95" s="181"/>
      <c r="Z95" s="183" t="s">
        <v>175</v>
      </c>
      <c r="AA95" s="184" t="s">
        <v>176</v>
      </c>
      <c r="AB95" t="s">
        <v>177</v>
      </c>
    </row>
    <row r="96" spans="1:32" ht="16.5" customHeight="1" x14ac:dyDescent="0.25">
      <c r="A96" s="188"/>
      <c r="B96" s="170"/>
      <c r="C96" s="191" t="s">
        <v>576</v>
      </c>
      <c r="D96" s="187"/>
      <c r="E96" s="173">
        <v>95</v>
      </c>
      <c r="F96" s="174">
        <v>1235</v>
      </c>
      <c r="G96" s="174" t="s">
        <v>473</v>
      </c>
      <c r="H96" s="174" t="s">
        <v>45</v>
      </c>
      <c r="I96" s="175" t="s">
        <v>45</v>
      </c>
      <c r="J96" s="175" t="s">
        <v>577</v>
      </c>
      <c r="K96" s="176" t="s">
        <v>504</v>
      </c>
      <c r="L96" s="176" t="s">
        <v>578</v>
      </c>
      <c r="M96" s="177" t="s">
        <v>16</v>
      </c>
      <c r="N96" s="174" t="s">
        <v>164</v>
      </c>
      <c r="O96" s="177" t="s">
        <v>579</v>
      </c>
      <c r="S96" s="178">
        <v>85</v>
      </c>
      <c r="T96" s="181"/>
      <c r="Z96" s="183" t="s">
        <v>166</v>
      </c>
      <c r="AA96" s="184" t="s">
        <v>167</v>
      </c>
      <c r="AB96" t="s">
        <v>168</v>
      </c>
    </row>
    <row r="97" spans="1:28" ht="16.5" customHeight="1" x14ac:dyDescent="0.25">
      <c r="A97" s="188"/>
      <c r="B97" s="170"/>
      <c r="C97" s="191" t="s">
        <v>580</v>
      </c>
      <c r="D97" s="187"/>
      <c r="E97" s="173">
        <v>96</v>
      </c>
      <c r="F97" s="174">
        <v>1236</v>
      </c>
      <c r="G97" s="174" t="s">
        <v>473</v>
      </c>
      <c r="H97" s="174" t="s">
        <v>45</v>
      </c>
      <c r="I97" s="175" t="s">
        <v>45</v>
      </c>
      <c r="J97" s="175" t="s">
        <v>581</v>
      </c>
      <c r="K97" s="176" t="s">
        <v>582</v>
      </c>
      <c r="L97" s="176" t="s">
        <v>583</v>
      </c>
      <c r="M97" s="177" t="s">
        <v>584</v>
      </c>
      <c r="N97" s="174" t="s">
        <v>43</v>
      </c>
      <c r="O97" s="177" t="s">
        <v>585</v>
      </c>
      <c r="S97" s="178">
        <v>86</v>
      </c>
      <c r="T97" s="181"/>
      <c r="Z97" s="183" t="s">
        <v>175</v>
      </c>
      <c r="AA97" s="184" t="s">
        <v>176</v>
      </c>
      <c r="AB97" t="s">
        <v>177</v>
      </c>
    </row>
    <row r="98" spans="1:28" ht="16.5" customHeight="1" x14ac:dyDescent="0.25">
      <c r="A98" s="188"/>
      <c r="B98" s="170"/>
      <c r="C98" s="191" t="s">
        <v>586</v>
      </c>
      <c r="D98" s="187"/>
      <c r="E98" s="173">
        <v>97</v>
      </c>
      <c r="F98" s="174">
        <v>1237</v>
      </c>
      <c r="G98" s="174" t="s">
        <v>473</v>
      </c>
      <c r="H98" s="174" t="s">
        <v>45</v>
      </c>
      <c r="I98" s="175" t="s">
        <v>45</v>
      </c>
      <c r="J98" s="175" t="s">
        <v>587</v>
      </c>
      <c r="K98" s="176" t="s">
        <v>475</v>
      </c>
      <c r="L98" s="176" t="s">
        <v>588</v>
      </c>
      <c r="M98" s="177" t="s">
        <v>589</v>
      </c>
      <c r="N98" s="174" t="s">
        <v>43</v>
      </c>
      <c r="O98" s="177" t="s">
        <v>590</v>
      </c>
      <c r="S98" s="178">
        <v>87</v>
      </c>
      <c r="T98" s="181"/>
      <c r="Z98" s="183" t="s">
        <v>166</v>
      </c>
      <c r="AA98" s="184" t="s">
        <v>167</v>
      </c>
      <c r="AB98" t="s">
        <v>168</v>
      </c>
    </row>
    <row r="99" spans="1:28" ht="16.5" customHeight="1" x14ac:dyDescent="0.25">
      <c r="A99" s="188"/>
      <c r="B99" s="170"/>
      <c r="C99" s="191" t="s">
        <v>591</v>
      </c>
      <c r="D99" s="187"/>
      <c r="E99" s="173">
        <v>98</v>
      </c>
      <c r="F99" s="174" t="s">
        <v>21</v>
      </c>
      <c r="G99" s="174" t="s">
        <v>21</v>
      </c>
      <c r="H99" s="174" t="s">
        <v>54</v>
      </c>
      <c r="I99" s="175" t="s">
        <v>54</v>
      </c>
      <c r="J99" s="175" t="s">
        <v>16</v>
      </c>
      <c r="K99" s="176" t="s">
        <v>21</v>
      </c>
      <c r="L99" s="176" t="s">
        <v>21</v>
      </c>
      <c r="M99" s="177" t="s">
        <v>21</v>
      </c>
      <c r="N99" s="174" t="s">
        <v>21</v>
      </c>
      <c r="O99" s="177" t="s">
        <v>21</v>
      </c>
      <c r="S99" s="178">
        <v>88</v>
      </c>
      <c r="T99" s="181"/>
      <c r="Z99" s="183" t="s">
        <v>175</v>
      </c>
      <c r="AA99" s="184" t="s">
        <v>176</v>
      </c>
      <c r="AB99" t="s">
        <v>177</v>
      </c>
    </row>
    <row r="100" spans="1:28" ht="16.5" customHeight="1" x14ac:dyDescent="0.25">
      <c r="A100" s="188"/>
      <c r="B100" s="170"/>
      <c r="C100" s="191" t="s">
        <v>592</v>
      </c>
      <c r="D100" s="187"/>
      <c r="E100" s="173">
        <v>99</v>
      </c>
      <c r="F100" s="174">
        <v>1011</v>
      </c>
      <c r="G100" s="174" t="s">
        <v>593</v>
      </c>
      <c r="H100" s="174" t="s">
        <v>54</v>
      </c>
      <c r="I100" s="175" t="s">
        <v>54</v>
      </c>
      <c r="J100" s="175" t="s">
        <v>594</v>
      </c>
      <c r="K100" s="176" t="s">
        <v>595</v>
      </c>
      <c r="L100" s="176">
        <v>6909399934</v>
      </c>
      <c r="M100" s="177" t="s">
        <v>596</v>
      </c>
      <c r="N100" s="174" t="s">
        <v>252</v>
      </c>
      <c r="O100" s="177" t="s">
        <v>16</v>
      </c>
      <c r="S100" s="178">
        <v>89</v>
      </c>
      <c r="T100" s="181"/>
      <c r="Z100" s="183" t="s">
        <v>166</v>
      </c>
      <c r="AA100" s="184" t="s">
        <v>167</v>
      </c>
      <c r="AB100" t="s">
        <v>168</v>
      </c>
    </row>
    <row r="101" spans="1:28" ht="16.5" customHeight="1" x14ac:dyDescent="0.25">
      <c r="A101" s="188"/>
      <c r="B101" s="170"/>
      <c r="C101" s="191" t="s">
        <v>597</v>
      </c>
      <c r="D101" s="187"/>
      <c r="E101" s="173">
        <v>118</v>
      </c>
      <c r="F101" s="174">
        <v>1270</v>
      </c>
      <c r="G101" s="174" t="s">
        <v>593</v>
      </c>
      <c r="H101" s="174" t="s">
        <v>54</v>
      </c>
      <c r="I101" s="175" t="s">
        <v>54</v>
      </c>
      <c r="J101" s="175" t="s">
        <v>598</v>
      </c>
      <c r="K101" s="176" t="s">
        <v>16</v>
      </c>
      <c r="L101" s="176" t="s">
        <v>599</v>
      </c>
      <c r="M101" s="177" t="s">
        <v>16</v>
      </c>
      <c r="N101" s="174" t="s">
        <v>600</v>
      </c>
      <c r="O101" s="177" t="s">
        <v>601</v>
      </c>
      <c r="S101" s="178">
        <v>93</v>
      </c>
      <c r="T101" s="181"/>
      <c r="Z101" s="183" t="s">
        <v>166</v>
      </c>
      <c r="AA101" s="184" t="s">
        <v>167</v>
      </c>
      <c r="AB101" t="s">
        <v>168</v>
      </c>
    </row>
    <row r="102" spans="1:28" ht="16.5" customHeight="1" x14ac:dyDescent="0.25">
      <c r="A102" s="188"/>
      <c r="B102" s="170"/>
      <c r="C102" s="191" t="s">
        <v>602</v>
      </c>
      <c r="D102" s="187"/>
      <c r="E102" s="173">
        <v>101</v>
      </c>
      <c r="F102" s="174">
        <v>1271</v>
      </c>
      <c r="G102" s="174" t="s">
        <v>593</v>
      </c>
      <c r="H102" s="174" t="s">
        <v>54</v>
      </c>
      <c r="I102" s="175" t="s">
        <v>54</v>
      </c>
      <c r="J102" s="175" t="s">
        <v>603</v>
      </c>
      <c r="K102" s="176" t="s">
        <v>16</v>
      </c>
      <c r="L102" s="176" t="s">
        <v>604</v>
      </c>
      <c r="M102" s="177" t="s">
        <v>16</v>
      </c>
      <c r="N102" s="174" t="s">
        <v>409</v>
      </c>
      <c r="O102" s="177" t="s">
        <v>605</v>
      </c>
      <c r="S102" s="178">
        <v>94</v>
      </c>
      <c r="T102" s="181"/>
      <c r="Z102" s="183" t="s">
        <v>175</v>
      </c>
      <c r="AA102" s="184" t="s">
        <v>176</v>
      </c>
      <c r="AB102" t="s">
        <v>177</v>
      </c>
    </row>
    <row r="103" spans="1:28" ht="16.5" customHeight="1" x14ac:dyDescent="0.25">
      <c r="A103" s="188"/>
      <c r="B103" s="170"/>
      <c r="C103" s="191" t="s">
        <v>606</v>
      </c>
      <c r="D103" s="187"/>
      <c r="E103" s="173">
        <v>102</v>
      </c>
      <c r="F103" s="174">
        <v>1272</v>
      </c>
      <c r="G103" s="174" t="s">
        <v>593</v>
      </c>
      <c r="H103" s="174" t="s">
        <v>54</v>
      </c>
      <c r="I103" s="175" t="s">
        <v>54</v>
      </c>
      <c r="J103" s="175" t="s">
        <v>607</v>
      </c>
      <c r="K103" s="176" t="s">
        <v>608</v>
      </c>
      <c r="L103" s="176">
        <v>6944220899</v>
      </c>
      <c r="M103" s="177" t="s">
        <v>16</v>
      </c>
      <c r="N103" s="174" t="s">
        <v>43</v>
      </c>
      <c r="O103" s="177" t="s">
        <v>609</v>
      </c>
      <c r="S103" s="178">
        <v>96</v>
      </c>
      <c r="T103" s="181"/>
      <c r="Z103" s="183" t="s">
        <v>175</v>
      </c>
      <c r="AA103" s="184" t="s">
        <v>176</v>
      </c>
      <c r="AB103" t="s">
        <v>177</v>
      </c>
    </row>
    <row r="104" spans="1:28" ht="16.5" customHeight="1" x14ac:dyDescent="0.25">
      <c r="A104" s="188"/>
      <c r="B104" s="170"/>
      <c r="C104" s="191" t="s">
        <v>610</v>
      </c>
      <c r="D104" s="187"/>
      <c r="E104" s="173">
        <v>228</v>
      </c>
      <c r="F104" s="174" t="s">
        <v>21</v>
      </c>
      <c r="G104" s="174" t="s">
        <v>21</v>
      </c>
      <c r="H104" s="174" t="s">
        <v>21</v>
      </c>
      <c r="I104" s="175" t="s">
        <v>64</v>
      </c>
      <c r="J104" s="175" t="s">
        <v>16</v>
      </c>
      <c r="K104" s="176" t="s">
        <v>21</v>
      </c>
      <c r="L104" s="176" t="s">
        <v>21</v>
      </c>
      <c r="M104" s="177" t="s">
        <v>21</v>
      </c>
      <c r="N104" s="174" t="s">
        <v>21</v>
      </c>
      <c r="O104" s="177" t="s">
        <v>21</v>
      </c>
      <c r="S104" s="178">
        <v>98</v>
      </c>
      <c r="T104" s="181"/>
      <c r="Z104" s="183" t="s">
        <v>175</v>
      </c>
      <c r="AA104" s="184" t="s">
        <v>176</v>
      </c>
      <c r="AB104" t="s">
        <v>177</v>
      </c>
    </row>
    <row r="105" spans="1:28" ht="16.5" customHeight="1" x14ac:dyDescent="0.25">
      <c r="C105" s="191" t="s">
        <v>611</v>
      </c>
      <c r="E105" s="173">
        <v>104</v>
      </c>
      <c r="F105" s="174">
        <v>1274</v>
      </c>
      <c r="G105" s="174" t="s">
        <v>593</v>
      </c>
      <c r="H105" s="174" t="s">
        <v>64</v>
      </c>
      <c r="I105" s="175" t="s">
        <v>64</v>
      </c>
      <c r="J105" s="175" t="s">
        <v>612</v>
      </c>
      <c r="K105" s="176" t="s">
        <v>613</v>
      </c>
      <c r="L105" s="176" t="s">
        <v>614</v>
      </c>
      <c r="M105" s="177" t="s">
        <v>615</v>
      </c>
      <c r="N105" s="174" t="s">
        <v>164</v>
      </c>
      <c r="O105" s="177" t="s">
        <v>616</v>
      </c>
      <c r="S105" s="178">
        <v>102</v>
      </c>
      <c r="T105" s="181"/>
      <c r="Z105" s="183" t="s">
        <v>175</v>
      </c>
      <c r="AA105" s="184" t="s">
        <v>176</v>
      </c>
      <c r="AB105" t="s">
        <v>177</v>
      </c>
    </row>
    <row r="106" spans="1:28" ht="16.5" customHeight="1" x14ac:dyDescent="0.25">
      <c r="C106" s="191" t="s">
        <v>617</v>
      </c>
      <c r="E106" s="173">
        <v>105</v>
      </c>
      <c r="F106" s="174">
        <v>1275</v>
      </c>
      <c r="G106" s="174" t="s">
        <v>593</v>
      </c>
      <c r="H106" s="174" t="s">
        <v>64</v>
      </c>
      <c r="I106" s="175" t="s">
        <v>64</v>
      </c>
      <c r="J106" s="175" t="s">
        <v>618</v>
      </c>
      <c r="K106" s="176" t="s">
        <v>619</v>
      </c>
      <c r="L106" s="176">
        <v>6977784031</v>
      </c>
      <c r="M106" s="177" t="s">
        <v>620</v>
      </c>
      <c r="N106" s="174" t="s">
        <v>43</v>
      </c>
      <c r="O106" s="177" t="s">
        <v>621</v>
      </c>
      <c r="P106" s="178"/>
      <c r="S106" s="178">
        <v>103</v>
      </c>
      <c r="T106" s="181"/>
      <c r="Z106" s="183" t="s">
        <v>166</v>
      </c>
      <c r="AA106" s="184" t="s">
        <v>167</v>
      </c>
      <c r="AB106" t="s">
        <v>168</v>
      </c>
    </row>
    <row r="107" spans="1:28" ht="16.5" customHeight="1" x14ac:dyDescent="0.25">
      <c r="C107" s="191" t="s">
        <v>622</v>
      </c>
      <c r="E107" s="173">
        <v>106</v>
      </c>
      <c r="F107" s="174">
        <v>1276</v>
      </c>
      <c r="G107" s="174" t="s">
        <v>593</v>
      </c>
      <c r="H107" s="174" t="s">
        <v>64</v>
      </c>
      <c r="I107" s="175" t="s">
        <v>64</v>
      </c>
      <c r="J107" s="175" t="s">
        <v>623</v>
      </c>
      <c r="K107" s="176" t="s">
        <v>624</v>
      </c>
      <c r="L107" s="176" t="s">
        <v>625</v>
      </c>
      <c r="M107" s="177" t="s">
        <v>626</v>
      </c>
      <c r="N107" s="174" t="s">
        <v>627</v>
      </c>
      <c r="O107" s="177" t="s">
        <v>628</v>
      </c>
      <c r="S107" s="178">
        <v>104</v>
      </c>
      <c r="T107" s="181"/>
      <c r="Z107" s="183" t="s">
        <v>175</v>
      </c>
      <c r="AA107" s="184" t="s">
        <v>176</v>
      </c>
      <c r="AB107" t="s">
        <v>177</v>
      </c>
    </row>
    <row r="108" spans="1:28" ht="16.5" customHeight="1" x14ac:dyDescent="0.25">
      <c r="C108" s="191" t="s">
        <v>629</v>
      </c>
      <c r="E108" s="173">
        <v>107</v>
      </c>
      <c r="F108" s="174">
        <v>1277</v>
      </c>
      <c r="G108" s="174" t="s">
        <v>593</v>
      </c>
      <c r="H108" s="174" t="s">
        <v>64</v>
      </c>
      <c r="I108" s="175" t="s">
        <v>64</v>
      </c>
      <c r="J108" s="175" t="s">
        <v>630</v>
      </c>
      <c r="K108" s="176" t="s">
        <v>106</v>
      </c>
      <c r="L108" s="176" t="s">
        <v>631</v>
      </c>
      <c r="M108" s="177" t="s">
        <v>632</v>
      </c>
      <c r="N108" s="174" t="s">
        <v>43</v>
      </c>
      <c r="O108" s="177" t="s">
        <v>633</v>
      </c>
      <c r="S108" s="178">
        <v>108</v>
      </c>
      <c r="T108" s="181"/>
      <c r="Z108" s="183" t="s">
        <v>175</v>
      </c>
      <c r="AA108" s="184" t="s">
        <v>176</v>
      </c>
      <c r="AB108" t="s">
        <v>177</v>
      </c>
    </row>
    <row r="109" spans="1:28" ht="16.5" customHeight="1" x14ac:dyDescent="0.25">
      <c r="C109" s="191" t="s">
        <v>634</v>
      </c>
      <c r="E109" s="173">
        <v>108</v>
      </c>
      <c r="F109" s="174">
        <v>1278</v>
      </c>
      <c r="G109" s="174" t="s">
        <v>593</v>
      </c>
      <c r="H109" s="174" t="s">
        <v>64</v>
      </c>
      <c r="I109" s="175" t="s">
        <v>64</v>
      </c>
      <c r="J109" s="175" t="s">
        <v>635</v>
      </c>
      <c r="K109" s="176" t="s">
        <v>636</v>
      </c>
      <c r="L109" s="176" t="s">
        <v>637</v>
      </c>
      <c r="M109" s="177" t="s">
        <v>638</v>
      </c>
      <c r="N109" s="174" t="s">
        <v>639</v>
      </c>
      <c r="O109" s="177" t="s">
        <v>640</v>
      </c>
      <c r="S109" s="178">
        <v>109</v>
      </c>
      <c r="T109" s="181"/>
      <c r="Z109" s="183" t="s">
        <v>166</v>
      </c>
      <c r="AA109" s="184" t="s">
        <v>167</v>
      </c>
      <c r="AB109" t="s">
        <v>168</v>
      </c>
    </row>
    <row r="110" spans="1:28" ht="16.5" customHeight="1" x14ac:dyDescent="0.25">
      <c r="C110" s="191" t="s">
        <v>641</v>
      </c>
      <c r="E110" s="173">
        <v>109</v>
      </c>
      <c r="F110" s="174">
        <v>1279</v>
      </c>
      <c r="G110" s="174" t="s">
        <v>593</v>
      </c>
      <c r="H110" s="174" t="s">
        <v>64</v>
      </c>
      <c r="I110" s="175" t="s">
        <v>64</v>
      </c>
      <c r="J110" s="175" t="s">
        <v>642</v>
      </c>
      <c r="K110" s="176" t="s">
        <v>643</v>
      </c>
      <c r="L110" s="176">
        <v>6973305838</v>
      </c>
      <c r="M110" s="177" t="s">
        <v>644</v>
      </c>
      <c r="N110" s="174" t="s">
        <v>43</v>
      </c>
      <c r="O110" s="177" t="s">
        <v>645</v>
      </c>
      <c r="S110" s="178">
        <v>110</v>
      </c>
      <c r="T110" s="181"/>
      <c r="Z110" s="183" t="s">
        <v>175</v>
      </c>
      <c r="AA110" s="184" t="s">
        <v>176</v>
      </c>
      <c r="AB110" t="s">
        <v>177</v>
      </c>
    </row>
    <row r="111" spans="1:28" ht="16.5" customHeight="1" x14ac:dyDescent="0.25">
      <c r="C111" s="191" t="s">
        <v>646</v>
      </c>
      <c r="E111" s="173">
        <v>110</v>
      </c>
      <c r="F111" s="174">
        <v>1280</v>
      </c>
      <c r="G111" s="174" t="s">
        <v>593</v>
      </c>
      <c r="H111" s="174" t="s">
        <v>64</v>
      </c>
      <c r="I111" s="175" t="s">
        <v>64</v>
      </c>
      <c r="J111" s="175" t="s">
        <v>647</v>
      </c>
      <c r="K111" s="176" t="s">
        <v>643</v>
      </c>
      <c r="L111" s="176">
        <v>6977248108</v>
      </c>
      <c r="M111" s="177" t="s">
        <v>648</v>
      </c>
      <c r="N111" s="174" t="s">
        <v>43</v>
      </c>
      <c r="O111" s="177" t="s">
        <v>649</v>
      </c>
      <c r="S111" s="178">
        <v>111</v>
      </c>
      <c r="T111" s="181"/>
      <c r="Z111" s="183" t="s">
        <v>166</v>
      </c>
      <c r="AA111" s="184" t="s">
        <v>167</v>
      </c>
      <c r="AB111" t="s">
        <v>168</v>
      </c>
    </row>
    <row r="112" spans="1:28" ht="16.5" customHeight="1" x14ac:dyDescent="0.25">
      <c r="A112" s="188"/>
      <c r="B112" s="170"/>
      <c r="C112" s="191" t="s">
        <v>650</v>
      </c>
      <c r="D112" s="187"/>
      <c r="E112" s="173">
        <v>111</v>
      </c>
      <c r="F112" s="174">
        <v>1281</v>
      </c>
      <c r="G112" s="174" t="s">
        <v>593</v>
      </c>
      <c r="H112" s="174" t="s">
        <v>64</v>
      </c>
      <c r="I112" s="175" t="s">
        <v>64</v>
      </c>
      <c r="J112" s="175" t="s">
        <v>651</v>
      </c>
      <c r="K112" s="176" t="s">
        <v>652</v>
      </c>
      <c r="L112" s="176" t="s">
        <v>653</v>
      </c>
      <c r="M112" s="177" t="s">
        <v>16</v>
      </c>
      <c r="N112" s="174" t="s">
        <v>98</v>
      </c>
      <c r="O112" s="177" t="s">
        <v>654</v>
      </c>
      <c r="S112" s="178">
        <v>90</v>
      </c>
      <c r="T112" s="181"/>
      <c r="Z112" s="183" t="s">
        <v>175</v>
      </c>
      <c r="AA112" s="184" t="s">
        <v>176</v>
      </c>
      <c r="AB112" t="s">
        <v>177</v>
      </c>
    </row>
    <row r="113" spans="1:32" ht="16.5" customHeight="1" x14ac:dyDescent="0.25">
      <c r="C113" s="191" t="s">
        <v>655</v>
      </c>
      <c r="E113" s="173">
        <v>100</v>
      </c>
      <c r="F113" s="174">
        <v>1269</v>
      </c>
      <c r="G113" s="174" t="s">
        <v>593</v>
      </c>
      <c r="H113" s="174" t="s">
        <v>64</v>
      </c>
      <c r="I113" s="175" t="s">
        <v>64</v>
      </c>
      <c r="J113" s="175" t="s">
        <v>656</v>
      </c>
      <c r="K113" s="176" t="s">
        <v>657</v>
      </c>
      <c r="L113" s="176" t="s">
        <v>658</v>
      </c>
      <c r="M113" s="177" t="s">
        <v>659</v>
      </c>
      <c r="N113" s="174" t="s">
        <v>660</v>
      </c>
      <c r="O113" s="177" t="s">
        <v>661</v>
      </c>
      <c r="S113" s="178">
        <v>112</v>
      </c>
      <c r="T113" s="181"/>
      <c r="Z113" s="183" t="s">
        <v>175</v>
      </c>
      <c r="AA113" s="184" t="s">
        <v>176</v>
      </c>
      <c r="AB113" t="s">
        <v>177</v>
      </c>
    </row>
    <row r="114" spans="1:32" ht="16.5" customHeight="1" x14ac:dyDescent="0.25">
      <c r="C114" s="191" t="s">
        <v>662</v>
      </c>
      <c r="E114" s="173">
        <v>112</v>
      </c>
      <c r="F114" s="174">
        <v>1282</v>
      </c>
      <c r="G114" s="174" t="s">
        <v>593</v>
      </c>
      <c r="H114" s="174" t="s">
        <v>64</v>
      </c>
      <c r="I114" s="175" t="s">
        <v>64</v>
      </c>
      <c r="J114" s="175" t="s">
        <v>663</v>
      </c>
      <c r="K114" s="176" t="s">
        <v>664</v>
      </c>
      <c r="L114" s="176" t="s">
        <v>665</v>
      </c>
      <c r="M114" s="177" t="s">
        <v>666</v>
      </c>
      <c r="N114" s="174" t="s">
        <v>224</v>
      </c>
      <c r="O114" s="177" t="s">
        <v>667</v>
      </c>
      <c r="S114" s="178">
        <v>113</v>
      </c>
      <c r="T114" s="181"/>
      <c r="Z114" s="183" t="s">
        <v>166</v>
      </c>
      <c r="AA114" s="184" t="s">
        <v>167</v>
      </c>
      <c r="AB114" t="s">
        <v>168</v>
      </c>
    </row>
    <row r="115" spans="1:32" ht="16.5" customHeight="1" x14ac:dyDescent="0.25">
      <c r="C115" s="191" t="s">
        <v>668</v>
      </c>
      <c r="E115" s="173">
        <v>114</v>
      </c>
      <c r="F115" s="174">
        <v>1283</v>
      </c>
      <c r="G115" s="174" t="s">
        <v>593</v>
      </c>
      <c r="H115" s="174" t="s">
        <v>64</v>
      </c>
      <c r="I115" s="175" t="s">
        <v>64</v>
      </c>
      <c r="J115" s="175" t="s">
        <v>669</v>
      </c>
      <c r="K115" s="176" t="s">
        <v>670</v>
      </c>
      <c r="L115" s="176" t="s">
        <v>671</v>
      </c>
      <c r="M115" s="177" t="s">
        <v>672</v>
      </c>
      <c r="N115" s="174" t="s">
        <v>43</v>
      </c>
      <c r="O115" s="177" t="s">
        <v>673</v>
      </c>
      <c r="S115" s="178">
        <v>114</v>
      </c>
      <c r="T115" s="181"/>
      <c r="Z115" s="183" t="s">
        <v>175</v>
      </c>
      <c r="AA115" s="184" t="s">
        <v>176</v>
      </c>
      <c r="AB115" t="s">
        <v>177</v>
      </c>
    </row>
    <row r="116" spans="1:32" ht="16.5" customHeight="1" x14ac:dyDescent="0.25">
      <c r="C116" s="191" t="s">
        <v>674</v>
      </c>
      <c r="E116" s="173">
        <v>115</v>
      </c>
      <c r="F116" s="174">
        <v>1284</v>
      </c>
      <c r="G116" s="174" t="s">
        <v>593</v>
      </c>
      <c r="H116" s="174" t="s">
        <v>64</v>
      </c>
      <c r="I116" s="175" t="s">
        <v>64</v>
      </c>
      <c r="J116" s="175" t="s">
        <v>675</v>
      </c>
      <c r="K116" s="176" t="s">
        <v>613</v>
      </c>
      <c r="L116" s="176" t="s">
        <v>676</v>
      </c>
      <c r="M116" s="177" t="s">
        <v>677</v>
      </c>
      <c r="N116" s="174" t="s">
        <v>164</v>
      </c>
      <c r="O116" s="177" t="s">
        <v>678</v>
      </c>
      <c r="S116" s="178">
        <v>115</v>
      </c>
      <c r="T116" s="181"/>
      <c r="Z116" s="183" t="s">
        <v>166</v>
      </c>
      <c r="AA116" s="184" t="s">
        <v>167</v>
      </c>
      <c r="AB116" t="s">
        <v>168</v>
      </c>
    </row>
    <row r="117" spans="1:32" ht="16.5" customHeight="1" x14ac:dyDescent="0.25">
      <c r="A117" s="188"/>
      <c r="B117" s="170"/>
      <c r="C117" s="191" t="s">
        <v>679</v>
      </c>
      <c r="D117" s="187"/>
      <c r="E117" s="173">
        <v>116</v>
      </c>
      <c r="F117" s="174">
        <v>1285</v>
      </c>
      <c r="G117" s="174" t="s">
        <v>593</v>
      </c>
      <c r="H117" s="174" t="s">
        <v>64</v>
      </c>
      <c r="I117" s="175" t="s">
        <v>64</v>
      </c>
      <c r="J117" s="175" t="s">
        <v>680</v>
      </c>
      <c r="K117" s="176" t="s">
        <v>681</v>
      </c>
      <c r="L117" s="176">
        <v>6972606031</v>
      </c>
      <c r="M117" s="177" t="s">
        <v>682</v>
      </c>
      <c r="N117" s="174" t="s">
        <v>43</v>
      </c>
      <c r="O117" s="177" t="s">
        <v>683</v>
      </c>
      <c r="S117" s="178">
        <v>91</v>
      </c>
      <c r="T117" s="181"/>
      <c r="Z117" s="183" t="s">
        <v>166</v>
      </c>
      <c r="AA117" s="184" t="s">
        <v>167</v>
      </c>
      <c r="AB117" t="s">
        <v>168</v>
      </c>
    </row>
    <row r="118" spans="1:32" s="180" customFormat="1" ht="16.5" customHeight="1" x14ac:dyDescent="0.25">
      <c r="A118" s="189"/>
      <c r="B118" s="170"/>
      <c r="C118" s="171"/>
      <c r="D118" s="172"/>
      <c r="E118" s="173">
        <v>113</v>
      </c>
      <c r="F118" s="174">
        <v>1178</v>
      </c>
      <c r="G118" s="174" t="s">
        <v>593</v>
      </c>
      <c r="H118" s="174" t="s">
        <v>64</v>
      </c>
      <c r="I118" s="175" t="s">
        <v>64</v>
      </c>
      <c r="J118" s="175" t="s">
        <v>684</v>
      </c>
      <c r="K118" s="176" t="s">
        <v>16</v>
      </c>
      <c r="L118" s="176" t="s">
        <v>685</v>
      </c>
      <c r="M118" s="177" t="s">
        <v>16</v>
      </c>
      <c r="N118" s="174" t="s">
        <v>43</v>
      </c>
      <c r="O118" s="177" t="s">
        <v>686</v>
      </c>
      <c r="P118"/>
      <c r="Q118"/>
      <c r="R118"/>
      <c r="S118" s="178">
        <v>116</v>
      </c>
      <c r="T118" s="181"/>
      <c r="U118"/>
      <c r="V118" s="10"/>
      <c r="W118"/>
      <c r="X118"/>
      <c r="Y118"/>
      <c r="Z118" s="183" t="s">
        <v>175</v>
      </c>
      <c r="AA118" s="184" t="s">
        <v>176</v>
      </c>
      <c r="AB118" t="s">
        <v>177</v>
      </c>
      <c r="AC118"/>
      <c r="AD118"/>
      <c r="AF118"/>
    </row>
    <row r="119" spans="1:32" ht="16.5" customHeight="1" x14ac:dyDescent="0.25">
      <c r="C119" s="191" t="s">
        <v>687</v>
      </c>
      <c r="E119" s="173">
        <v>117</v>
      </c>
      <c r="F119" s="174">
        <v>1286</v>
      </c>
      <c r="G119" s="174" t="s">
        <v>593</v>
      </c>
      <c r="H119" s="174" t="s">
        <v>64</v>
      </c>
      <c r="I119" s="175" t="s">
        <v>64</v>
      </c>
      <c r="J119" s="175" t="s">
        <v>688</v>
      </c>
      <c r="K119" s="176" t="s">
        <v>689</v>
      </c>
      <c r="L119" s="176">
        <v>6945919391</v>
      </c>
      <c r="M119" s="177" t="s">
        <v>690</v>
      </c>
      <c r="N119" s="174" t="s">
        <v>292</v>
      </c>
      <c r="O119" s="177" t="s">
        <v>691</v>
      </c>
      <c r="S119" s="178">
        <v>117</v>
      </c>
      <c r="T119" s="181"/>
      <c r="Z119" s="183" t="s">
        <v>166</v>
      </c>
      <c r="AA119" s="184" t="s">
        <v>167</v>
      </c>
      <c r="AB119" t="s">
        <v>168</v>
      </c>
    </row>
    <row r="120" spans="1:32" ht="16.5" customHeight="1" x14ac:dyDescent="0.25">
      <c r="C120" s="191" t="s">
        <v>692</v>
      </c>
      <c r="E120" s="173">
        <v>119</v>
      </c>
      <c r="F120" s="174">
        <v>1287</v>
      </c>
      <c r="G120" s="174" t="s">
        <v>593</v>
      </c>
      <c r="H120" s="174" t="s">
        <v>64</v>
      </c>
      <c r="I120" s="175" t="s">
        <v>64</v>
      </c>
      <c r="J120" s="175" t="s">
        <v>693</v>
      </c>
      <c r="K120" s="176" t="s">
        <v>694</v>
      </c>
      <c r="L120" s="176">
        <v>6947551606</v>
      </c>
      <c r="M120" s="177" t="s">
        <v>695</v>
      </c>
      <c r="N120" s="174" t="s">
        <v>98</v>
      </c>
      <c r="O120" s="177" t="s">
        <v>696</v>
      </c>
      <c r="S120" s="178">
        <v>118</v>
      </c>
      <c r="T120" s="181"/>
      <c r="Z120" s="183" t="s">
        <v>175</v>
      </c>
      <c r="AA120" s="184" t="s">
        <v>176</v>
      </c>
      <c r="AB120" t="s">
        <v>177</v>
      </c>
    </row>
    <row r="121" spans="1:32" ht="16.5" customHeight="1" x14ac:dyDescent="0.25">
      <c r="C121" s="191" t="s">
        <v>697</v>
      </c>
      <c r="E121" s="173">
        <v>120</v>
      </c>
      <c r="F121" s="174">
        <v>1288</v>
      </c>
      <c r="G121" s="174" t="s">
        <v>593</v>
      </c>
      <c r="H121" s="174" t="s">
        <v>64</v>
      </c>
      <c r="I121" s="175" t="s">
        <v>64</v>
      </c>
      <c r="J121" s="175" t="s">
        <v>698</v>
      </c>
      <c r="K121" s="176" t="s">
        <v>16</v>
      </c>
      <c r="L121" s="176" t="s">
        <v>699</v>
      </c>
      <c r="M121" s="177" t="s">
        <v>16</v>
      </c>
      <c r="N121" s="174" t="s">
        <v>700</v>
      </c>
      <c r="O121" s="177" t="s">
        <v>701</v>
      </c>
      <c r="S121" s="178">
        <v>119</v>
      </c>
      <c r="T121" s="181"/>
      <c r="Z121" s="183" t="s">
        <v>166</v>
      </c>
      <c r="AA121" s="184" t="s">
        <v>167</v>
      </c>
      <c r="AB121" t="s">
        <v>168</v>
      </c>
    </row>
    <row r="122" spans="1:32" ht="16.5" customHeight="1" x14ac:dyDescent="0.25">
      <c r="C122" s="191" t="s">
        <v>702</v>
      </c>
      <c r="E122" s="173">
        <v>121</v>
      </c>
      <c r="F122" s="174">
        <v>1289</v>
      </c>
      <c r="G122" s="174" t="s">
        <v>593</v>
      </c>
      <c r="H122" s="174" t="s">
        <v>64</v>
      </c>
      <c r="I122" s="175" t="s">
        <v>64</v>
      </c>
      <c r="J122" s="175" t="s">
        <v>703</v>
      </c>
      <c r="K122" s="176" t="s">
        <v>704</v>
      </c>
      <c r="L122" s="176" t="s">
        <v>705</v>
      </c>
      <c r="M122" s="177" t="s">
        <v>706</v>
      </c>
      <c r="N122" s="174" t="s">
        <v>72</v>
      </c>
      <c r="O122" s="177" t="s">
        <v>707</v>
      </c>
      <c r="S122" s="178">
        <v>120</v>
      </c>
      <c r="T122" s="181"/>
      <c r="Z122" s="183" t="s">
        <v>175</v>
      </c>
      <c r="AA122" s="184" t="s">
        <v>176</v>
      </c>
      <c r="AB122" t="s">
        <v>177</v>
      </c>
    </row>
    <row r="123" spans="1:32" ht="16.5" customHeight="1" x14ac:dyDescent="0.25">
      <c r="C123" s="191" t="s">
        <v>708</v>
      </c>
      <c r="E123" s="173">
        <v>122</v>
      </c>
      <c r="F123" s="174">
        <v>1290</v>
      </c>
      <c r="G123" s="174" t="s">
        <v>593</v>
      </c>
      <c r="H123" s="174" t="s">
        <v>64</v>
      </c>
      <c r="I123" s="175" t="s">
        <v>64</v>
      </c>
      <c r="J123" s="175" t="s">
        <v>709</v>
      </c>
      <c r="K123" s="176" t="s">
        <v>613</v>
      </c>
      <c r="L123" s="176" t="s">
        <v>710</v>
      </c>
      <c r="M123" s="177" t="s">
        <v>16</v>
      </c>
      <c r="N123" s="174" t="s">
        <v>482</v>
      </c>
      <c r="O123" s="177" t="s">
        <v>711</v>
      </c>
      <c r="S123" s="178">
        <v>121</v>
      </c>
      <c r="T123" s="181"/>
      <c r="Z123" s="183" t="s">
        <v>166</v>
      </c>
      <c r="AA123" s="184" t="s">
        <v>167</v>
      </c>
      <c r="AB123" t="s">
        <v>168</v>
      </c>
    </row>
    <row r="124" spans="1:32" ht="16.5" customHeight="1" x14ac:dyDescent="0.25">
      <c r="C124" s="191" t="s">
        <v>712</v>
      </c>
      <c r="E124" s="173">
        <v>123</v>
      </c>
      <c r="F124" s="174">
        <v>1291</v>
      </c>
      <c r="G124" s="174" t="s">
        <v>593</v>
      </c>
      <c r="H124" s="174" t="s">
        <v>64</v>
      </c>
      <c r="I124" s="175" t="s">
        <v>64</v>
      </c>
      <c r="J124" s="175" t="s">
        <v>713</v>
      </c>
      <c r="K124" s="176" t="s">
        <v>714</v>
      </c>
      <c r="L124" s="176" t="s">
        <v>715</v>
      </c>
      <c r="M124" s="177" t="s">
        <v>16</v>
      </c>
      <c r="N124" s="174" t="s">
        <v>98</v>
      </c>
      <c r="O124" s="177" t="s">
        <v>716</v>
      </c>
      <c r="S124" s="178">
        <v>122</v>
      </c>
      <c r="T124" s="181"/>
      <c r="Z124" s="183" t="s">
        <v>175</v>
      </c>
      <c r="AA124" s="184" t="s">
        <v>176</v>
      </c>
      <c r="AB124" t="s">
        <v>177</v>
      </c>
    </row>
    <row r="125" spans="1:32" ht="16.5" customHeight="1" x14ac:dyDescent="0.25">
      <c r="C125" s="191" t="s">
        <v>717</v>
      </c>
      <c r="E125" s="173">
        <v>124</v>
      </c>
      <c r="F125" s="174">
        <v>1101</v>
      </c>
      <c r="G125" s="174" t="s">
        <v>593</v>
      </c>
      <c r="H125" s="174" t="s">
        <v>64</v>
      </c>
      <c r="I125" s="175" t="s">
        <v>64</v>
      </c>
      <c r="J125" s="175" t="s">
        <v>718</v>
      </c>
      <c r="K125" s="176" t="s">
        <v>689</v>
      </c>
      <c r="L125" s="176" t="s">
        <v>719</v>
      </c>
      <c r="M125" s="177" t="s">
        <v>720</v>
      </c>
      <c r="N125" s="174" t="s">
        <v>43</v>
      </c>
      <c r="O125" s="177" t="s">
        <v>16</v>
      </c>
      <c r="S125" s="178">
        <v>123</v>
      </c>
      <c r="T125" s="181"/>
      <c r="Z125" s="183" t="s">
        <v>166</v>
      </c>
      <c r="AA125" s="184" t="s">
        <v>167</v>
      </c>
      <c r="AB125" t="s">
        <v>168</v>
      </c>
    </row>
    <row r="126" spans="1:32" ht="16.5" customHeight="1" x14ac:dyDescent="0.25">
      <c r="C126" s="191" t="s">
        <v>717</v>
      </c>
      <c r="E126" s="173">
        <v>124</v>
      </c>
      <c r="F126" s="174">
        <v>1293</v>
      </c>
      <c r="G126" s="174" t="s">
        <v>593</v>
      </c>
      <c r="H126" s="174" t="s">
        <v>64</v>
      </c>
      <c r="I126" s="175" t="s">
        <v>64</v>
      </c>
      <c r="J126" s="175" t="s">
        <v>721</v>
      </c>
      <c r="K126" s="176" t="s">
        <v>689</v>
      </c>
      <c r="L126" s="176" t="s">
        <v>722</v>
      </c>
      <c r="M126" s="177" t="s">
        <v>723</v>
      </c>
      <c r="N126" s="174" t="s">
        <v>43</v>
      </c>
      <c r="O126" s="177" t="s">
        <v>724</v>
      </c>
      <c r="S126" s="178">
        <v>123</v>
      </c>
      <c r="T126" s="181"/>
      <c r="Z126" s="183" t="s">
        <v>166</v>
      </c>
      <c r="AA126" s="184" t="s">
        <v>167</v>
      </c>
      <c r="AB126" t="s">
        <v>168</v>
      </c>
    </row>
    <row r="127" spans="1:32" ht="16.5" customHeight="1" x14ac:dyDescent="0.25">
      <c r="C127" s="191" t="s">
        <v>16</v>
      </c>
      <c r="E127" s="173">
        <v>126</v>
      </c>
      <c r="F127" s="174">
        <v>1294</v>
      </c>
      <c r="G127" s="174" t="s">
        <v>593</v>
      </c>
      <c r="H127" s="174" t="s">
        <v>64</v>
      </c>
      <c r="I127" s="175" t="s">
        <v>64</v>
      </c>
      <c r="J127" s="175" t="s">
        <v>725</v>
      </c>
      <c r="K127" s="176" t="s">
        <v>657</v>
      </c>
      <c r="L127" s="176" t="s">
        <v>726</v>
      </c>
      <c r="M127" s="177" t="s">
        <v>727</v>
      </c>
      <c r="N127" s="174" t="s">
        <v>337</v>
      </c>
      <c r="O127" s="177" t="s">
        <v>728</v>
      </c>
      <c r="S127" s="178">
        <v>124</v>
      </c>
      <c r="T127" s="181"/>
      <c r="Z127" s="183" t="s">
        <v>175</v>
      </c>
      <c r="AA127" s="184" t="s">
        <v>176</v>
      </c>
      <c r="AB127" t="s">
        <v>177</v>
      </c>
    </row>
    <row r="128" spans="1:32" ht="16.5" customHeight="1" x14ac:dyDescent="0.25">
      <c r="C128" s="193"/>
      <c r="E128" s="173">
        <v>127</v>
      </c>
      <c r="F128" s="174">
        <v>1295</v>
      </c>
      <c r="G128" s="174" t="s">
        <v>593</v>
      </c>
      <c r="H128" s="174" t="s">
        <v>64</v>
      </c>
      <c r="I128" s="175" t="s">
        <v>64</v>
      </c>
      <c r="J128" s="175" t="s">
        <v>729</v>
      </c>
      <c r="K128" s="176" t="s">
        <v>664</v>
      </c>
      <c r="L128" s="176">
        <v>6971762883</v>
      </c>
      <c r="M128" s="177" t="s">
        <v>16</v>
      </c>
      <c r="N128" s="174" t="s">
        <v>72</v>
      </c>
      <c r="O128" s="177" t="s">
        <v>730</v>
      </c>
      <c r="S128" s="178">
        <v>125</v>
      </c>
      <c r="T128" s="181"/>
      <c r="Z128" s="183" t="s">
        <v>166</v>
      </c>
      <c r="AA128" s="184" t="s">
        <v>167</v>
      </c>
      <c r="AB128" t="s">
        <v>168</v>
      </c>
    </row>
    <row r="129" spans="3:28" ht="16.5" customHeight="1" x14ac:dyDescent="0.25">
      <c r="C129" s="193"/>
      <c r="E129" s="173">
        <v>128</v>
      </c>
      <c r="F129" s="174">
        <v>1296</v>
      </c>
      <c r="G129" s="174" t="s">
        <v>593</v>
      </c>
      <c r="H129" s="174" t="s">
        <v>64</v>
      </c>
      <c r="I129" s="175" t="s">
        <v>64</v>
      </c>
      <c r="J129" s="175" t="s">
        <v>731</v>
      </c>
      <c r="K129" s="176" t="s">
        <v>613</v>
      </c>
      <c r="L129" s="176" t="s">
        <v>732</v>
      </c>
      <c r="M129" s="177" t="s">
        <v>16</v>
      </c>
      <c r="N129" s="174" t="s">
        <v>733</v>
      </c>
      <c r="O129" s="177" t="s">
        <v>734</v>
      </c>
      <c r="S129" s="178">
        <v>126</v>
      </c>
      <c r="T129" s="181"/>
      <c r="Z129" s="183" t="s">
        <v>175</v>
      </c>
      <c r="AA129" s="184" t="s">
        <v>176</v>
      </c>
      <c r="AB129" t="s">
        <v>177</v>
      </c>
    </row>
    <row r="130" spans="3:28" ht="16.5" customHeight="1" x14ac:dyDescent="0.25">
      <c r="C130" s="193"/>
      <c r="E130" s="173">
        <v>129</v>
      </c>
      <c r="F130" s="174">
        <v>1297</v>
      </c>
      <c r="G130" s="174" t="s">
        <v>593</v>
      </c>
      <c r="H130" s="174" t="s">
        <v>64</v>
      </c>
      <c r="I130" s="175" t="s">
        <v>64</v>
      </c>
      <c r="J130" s="175" t="s">
        <v>735</v>
      </c>
      <c r="K130" s="176" t="s">
        <v>736</v>
      </c>
      <c r="L130" s="176">
        <v>6937699769</v>
      </c>
      <c r="M130" s="177" t="s">
        <v>737</v>
      </c>
      <c r="N130" s="174" t="s">
        <v>337</v>
      </c>
      <c r="O130" s="177" t="s">
        <v>738</v>
      </c>
      <c r="S130" s="178">
        <v>127</v>
      </c>
      <c r="T130" s="181"/>
      <c r="Z130" s="183" t="s">
        <v>166</v>
      </c>
      <c r="AA130" s="184" t="s">
        <v>167</v>
      </c>
      <c r="AB130" t="s">
        <v>168</v>
      </c>
    </row>
    <row r="131" spans="3:28" ht="16.5" customHeight="1" x14ac:dyDescent="0.25">
      <c r="C131" s="193"/>
      <c r="E131" s="173">
        <v>130</v>
      </c>
      <c r="F131" s="174">
        <v>1298</v>
      </c>
      <c r="G131" s="174" t="s">
        <v>593</v>
      </c>
      <c r="H131" s="174" t="s">
        <v>64</v>
      </c>
      <c r="I131" s="175" t="s">
        <v>64</v>
      </c>
      <c r="J131" s="175" t="s">
        <v>739</v>
      </c>
      <c r="K131" s="176" t="s">
        <v>740</v>
      </c>
      <c r="L131" s="176">
        <v>6974746709</v>
      </c>
      <c r="M131" s="177" t="s">
        <v>741</v>
      </c>
      <c r="N131" s="174" t="s">
        <v>43</v>
      </c>
      <c r="O131" s="177" t="s">
        <v>742</v>
      </c>
      <c r="S131" s="178">
        <v>128</v>
      </c>
      <c r="T131" s="181"/>
      <c r="Z131" s="183" t="s">
        <v>175</v>
      </c>
      <c r="AA131" s="184" t="s">
        <v>176</v>
      </c>
      <c r="AB131" t="s">
        <v>177</v>
      </c>
    </row>
    <row r="132" spans="3:28" ht="16.5" customHeight="1" x14ac:dyDescent="0.25">
      <c r="C132" s="193"/>
      <c r="E132" s="173">
        <v>131</v>
      </c>
      <c r="F132" s="174">
        <v>1299</v>
      </c>
      <c r="G132" s="174" t="s">
        <v>593</v>
      </c>
      <c r="H132" s="174" t="s">
        <v>64</v>
      </c>
      <c r="I132" s="175" t="s">
        <v>64</v>
      </c>
      <c r="J132" s="175" t="s">
        <v>743</v>
      </c>
      <c r="K132" s="176" t="s">
        <v>744</v>
      </c>
      <c r="L132" s="176">
        <v>6977584355</v>
      </c>
      <c r="M132" s="177" t="s">
        <v>745</v>
      </c>
      <c r="N132" s="174" t="s">
        <v>43</v>
      </c>
      <c r="O132" s="177" t="s">
        <v>746</v>
      </c>
      <c r="P132" s="178"/>
      <c r="S132" s="178">
        <v>129</v>
      </c>
      <c r="T132" s="181"/>
      <c r="Z132" s="183" t="s">
        <v>166</v>
      </c>
      <c r="AA132" s="184" t="s">
        <v>167</v>
      </c>
      <c r="AB132" t="s">
        <v>168</v>
      </c>
    </row>
    <row r="133" spans="3:28" ht="16.5" customHeight="1" x14ac:dyDescent="0.25">
      <c r="C133" s="193"/>
      <c r="E133" s="173">
        <v>132</v>
      </c>
      <c r="F133" s="174">
        <v>1300</v>
      </c>
      <c r="G133" s="174" t="s">
        <v>593</v>
      </c>
      <c r="H133" s="174" t="s">
        <v>64</v>
      </c>
      <c r="I133" s="175" t="s">
        <v>64</v>
      </c>
      <c r="J133" s="175" t="s">
        <v>747</v>
      </c>
      <c r="K133" s="176" t="s">
        <v>748</v>
      </c>
      <c r="L133" s="176">
        <v>6945552422</v>
      </c>
      <c r="M133" s="177" t="s">
        <v>749</v>
      </c>
      <c r="N133" s="174" t="s">
        <v>164</v>
      </c>
      <c r="O133" s="177" t="s">
        <v>750</v>
      </c>
      <c r="S133" s="178">
        <v>130</v>
      </c>
      <c r="T133" s="181"/>
      <c r="Z133" s="183" t="s">
        <v>175</v>
      </c>
      <c r="AA133" s="184" t="s">
        <v>176</v>
      </c>
      <c r="AB133" t="s">
        <v>177</v>
      </c>
    </row>
    <row r="134" spans="3:28" ht="16.5" customHeight="1" x14ac:dyDescent="0.25">
      <c r="C134" s="193"/>
      <c r="E134" s="173">
        <v>133</v>
      </c>
      <c r="F134" s="174" t="s">
        <v>21</v>
      </c>
      <c r="G134" s="174" t="s">
        <v>21</v>
      </c>
      <c r="H134" s="174" t="s">
        <v>74</v>
      </c>
      <c r="I134" s="175" t="s">
        <v>74</v>
      </c>
      <c r="J134" s="175" t="s">
        <v>16</v>
      </c>
      <c r="K134" s="176" t="s">
        <v>21</v>
      </c>
      <c r="L134" s="176" t="s">
        <v>21</v>
      </c>
      <c r="M134" s="177" t="s">
        <v>21</v>
      </c>
      <c r="N134" s="174" t="s">
        <v>21</v>
      </c>
      <c r="O134" s="177" t="s">
        <v>21</v>
      </c>
      <c r="S134" s="178">
        <v>131</v>
      </c>
      <c r="T134" s="181"/>
      <c r="Z134" s="183" t="s">
        <v>166</v>
      </c>
      <c r="AA134" s="184" t="s">
        <v>167</v>
      </c>
      <c r="AB134" t="s">
        <v>168</v>
      </c>
    </row>
    <row r="135" spans="3:28" ht="16.5" customHeight="1" x14ac:dyDescent="0.25">
      <c r="C135" s="193"/>
      <c r="E135" s="173">
        <v>134</v>
      </c>
      <c r="F135" s="174">
        <v>1301</v>
      </c>
      <c r="G135" s="174" t="s">
        <v>593</v>
      </c>
      <c r="H135" s="174" t="s">
        <v>74</v>
      </c>
      <c r="I135" s="175" t="s">
        <v>74</v>
      </c>
      <c r="J135" s="175" t="s">
        <v>751</v>
      </c>
      <c r="K135" s="176" t="s">
        <v>752</v>
      </c>
      <c r="L135" s="176" t="s">
        <v>753</v>
      </c>
      <c r="M135" s="177" t="s">
        <v>754</v>
      </c>
      <c r="N135" s="174" t="s">
        <v>43</v>
      </c>
      <c r="O135" s="177" t="s">
        <v>755</v>
      </c>
      <c r="S135" s="178">
        <v>132</v>
      </c>
      <c r="T135" s="181"/>
      <c r="Z135" s="183" t="s">
        <v>175</v>
      </c>
      <c r="AA135" s="184" t="s">
        <v>176</v>
      </c>
      <c r="AB135" t="s">
        <v>177</v>
      </c>
    </row>
    <row r="136" spans="3:28" ht="16.5" customHeight="1" x14ac:dyDescent="0.25">
      <c r="C136" s="193"/>
      <c r="E136" s="173">
        <v>135</v>
      </c>
      <c r="F136" s="174">
        <v>1302</v>
      </c>
      <c r="G136" s="174" t="s">
        <v>593</v>
      </c>
      <c r="H136" s="174" t="s">
        <v>74</v>
      </c>
      <c r="I136" s="175" t="s">
        <v>74</v>
      </c>
      <c r="J136" s="175" t="s">
        <v>756</v>
      </c>
      <c r="K136" s="176" t="s">
        <v>757</v>
      </c>
      <c r="L136" s="176">
        <v>6970113758</v>
      </c>
      <c r="M136" s="177" t="s">
        <v>758</v>
      </c>
      <c r="N136" s="174" t="s">
        <v>292</v>
      </c>
      <c r="O136" s="177" t="s">
        <v>16</v>
      </c>
      <c r="S136" s="178">
        <v>133</v>
      </c>
      <c r="T136" s="181"/>
      <c r="Z136" s="183" t="s">
        <v>166</v>
      </c>
      <c r="AA136" s="184" t="s">
        <v>167</v>
      </c>
      <c r="AB136" t="s">
        <v>168</v>
      </c>
    </row>
    <row r="137" spans="3:28" ht="16.5" customHeight="1" x14ac:dyDescent="0.25">
      <c r="C137" s="193"/>
      <c r="E137" s="173">
        <v>136</v>
      </c>
      <c r="F137" s="174">
        <v>1303</v>
      </c>
      <c r="G137" s="174" t="s">
        <v>593</v>
      </c>
      <c r="H137" s="174" t="s">
        <v>74</v>
      </c>
      <c r="I137" s="175" t="s">
        <v>74</v>
      </c>
      <c r="J137" s="175" t="s">
        <v>759</v>
      </c>
      <c r="K137" s="176" t="s">
        <v>760</v>
      </c>
      <c r="L137" s="176" t="s">
        <v>761</v>
      </c>
      <c r="M137" s="177" t="s">
        <v>762</v>
      </c>
      <c r="N137" s="174" t="s">
        <v>98</v>
      </c>
      <c r="O137" s="177" t="s">
        <v>763</v>
      </c>
      <c r="S137" s="178">
        <v>134</v>
      </c>
      <c r="T137" s="181"/>
      <c r="Z137" s="183" t="s">
        <v>175</v>
      </c>
      <c r="AA137" s="184" t="s">
        <v>176</v>
      </c>
      <c r="AB137" t="s">
        <v>177</v>
      </c>
    </row>
    <row r="138" spans="3:28" ht="16.5" customHeight="1" x14ac:dyDescent="0.25">
      <c r="C138" s="193"/>
      <c r="E138" s="173">
        <v>137</v>
      </c>
      <c r="F138" s="174">
        <v>1304</v>
      </c>
      <c r="G138" s="174" t="s">
        <v>593</v>
      </c>
      <c r="H138" s="174" t="s">
        <v>74</v>
      </c>
      <c r="I138" s="175" t="s">
        <v>74</v>
      </c>
      <c r="J138" s="175" t="s">
        <v>764</v>
      </c>
      <c r="K138" s="176" t="s">
        <v>765</v>
      </c>
      <c r="L138" s="176" t="s">
        <v>766</v>
      </c>
      <c r="M138" s="177" t="s">
        <v>767</v>
      </c>
      <c r="N138" s="174" t="s">
        <v>72</v>
      </c>
      <c r="O138" s="177" t="s">
        <v>768</v>
      </c>
      <c r="S138" s="178">
        <v>135</v>
      </c>
      <c r="T138" s="181"/>
      <c r="Z138" s="183" t="s">
        <v>166</v>
      </c>
      <c r="AA138" s="184" t="s">
        <v>167</v>
      </c>
      <c r="AB138" t="s">
        <v>168</v>
      </c>
    </row>
    <row r="139" spans="3:28" ht="16.5" customHeight="1" x14ac:dyDescent="0.25">
      <c r="C139" s="193"/>
      <c r="E139" s="173">
        <v>138</v>
      </c>
      <c r="F139" s="174">
        <v>1305</v>
      </c>
      <c r="G139" s="174" t="s">
        <v>593</v>
      </c>
      <c r="H139" s="174" t="s">
        <v>74</v>
      </c>
      <c r="I139" s="175" t="s">
        <v>74</v>
      </c>
      <c r="J139" s="175" t="s">
        <v>769</v>
      </c>
      <c r="K139" s="176" t="s">
        <v>770</v>
      </c>
      <c r="L139" s="176" t="s">
        <v>771</v>
      </c>
      <c r="M139" s="177" t="s">
        <v>772</v>
      </c>
      <c r="N139" s="174" t="s">
        <v>98</v>
      </c>
      <c r="O139" s="177" t="s">
        <v>773</v>
      </c>
      <c r="S139" s="178">
        <v>136</v>
      </c>
      <c r="T139" s="181"/>
      <c r="Z139" s="183" t="s">
        <v>175</v>
      </c>
      <c r="AA139" s="184" t="s">
        <v>176</v>
      </c>
      <c r="AB139" t="s">
        <v>177</v>
      </c>
    </row>
    <row r="140" spans="3:28" ht="16.5" customHeight="1" x14ac:dyDescent="0.25">
      <c r="C140" s="193"/>
      <c r="E140" s="173">
        <v>139</v>
      </c>
      <c r="F140" s="174">
        <v>1306</v>
      </c>
      <c r="G140" s="174" t="s">
        <v>593</v>
      </c>
      <c r="H140" s="174" t="s">
        <v>74</v>
      </c>
      <c r="I140" s="175" t="s">
        <v>74</v>
      </c>
      <c r="J140" s="175" t="s">
        <v>774</v>
      </c>
      <c r="K140" s="176" t="s">
        <v>775</v>
      </c>
      <c r="L140" s="176">
        <v>6973545514</v>
      </c>
      <c r="M140" s="177" t="s">
        <v>776</v>
      </c>
      <c r="N140" s="174" t="s">
        <v>733</v>
      </c>
      <c r="O140" s="177" t="s">
        <v>777</v>
      </c>
      <c r="S140" s="178">
        <v>137</v>
      </c>
      <c r="T140" s="181"/>
      <c r="Z140" s="183" t="s">
        <v>166</v>
      </c>
      <c r="AA140" s="184" t="s">
        <v>167</v>
      </c>
      <c r="AB140" t="s">
        <v>168</v>
      </c>
    </row>
    <row r="141" spans="3:28" ht="16.5" customHeight="1" x14ac:dyDescent="0.25">
      <c r="C141" s="193"/>
      <c r="E141" s="173">
        <v>140</v>
      </c>
      <c r="F141" s="174">
        <v>1307</v>
      </c>
      <c r="G141" s="174" t="s">
        <v>593</v>
      </c>
      <c r="H141" s="174" t="s">
        <v>74</v>
      </c>
      <c r="I141" s="175" t="s">
        <v>74</v>
      </c>
      <c r="J141" s="175" t="s">
        <v>778</v>
      </c>
      <c r="K141" s="176" t="s">
        <v>779</v>
      </c>
      <c r="L141" s="176" t="s">
        <v>780</v>
      </c>
      <c r="M141" s="177" t="s">
        <v>16</v>
      </c>
      <c r="N141" s="174" t="s">
        <v>72</v>
      </c>
      <c r="O141" s="177" t="s">
        <v>781</v>
      </c>
      <c r="S141" s="178">
        <v>138</v>
      </c>
      <c r="T141" s="181"/>
      <c r="Z141" s="183" t="s">
        <v>175</v>
      </c>
      <c r="AA141" s="184" t="s">
        <v>176</v>
      </c>
      <c r="AB141" t="s">
        <v>177</v>
      </c>
    </row>
    <row r="142" spans="3:28" ht="16.5" customHeight="1" x14ac:dyDescent="0.25">
      <c r="C142" s="193"/>
      <c r="E142" s="173">
        <v>141</v>
      </c>
      <c r="F142" s="174">
        <v>1308</v>
      </c>
      <c r="G142" s="174" t="s">
        <v>593</v>
      </c>
      <c r="H142" s="174" t="s">
        <v>74</v>
      </c>
      <c r="I142" s="175" t="s">
        <v>74</v>
      </c>
      <c r="J142" s="175" t="s">
        <v>782</v>
      </c>
      <c r="K142" s="176" t="s">
        <v>783</v>
      </c>
      <c r="L142" s="176" t="s">
        <v>784</v>
      </c>
      <c r="M142" s="177" t="s">
        <v>16</v>
      </c>
      <c r="N142" s="174" t="s">
        <v>164</v>
      </c>
      <c r="O142" s="177" t="s">
        <v>785</v>
      </c>
      <c r="S142" s="178">
        <v>139</v>
      </c>
      <c r="T142" s="181"/>
      <c r="Z142" s="183" t="s">
        <v>166</v>
      </c>
      <c r="AA142" s="184" t="s">
        <v>167</v>
      </c>
      <c r="AB142" t="s">
        <v>168</v>
      </c>
    </row>
    <row r="143" spans="3:28" ht="16.5" customHeight="1" x14ac:dyDescent="0.25">
      <c r="C143" s="193"/>
      <c r="E143" s="173">
        <v>142</v>
      </c>
      <c r="F143" s="174">
        <v>1309</v>
      </c>
      <c r="G143" s="174" t="s">
        <v>593</v>
      </c>
      <c r="H143" s="174" t="s">
        <v>74</v>
      </c>
      <c r="I143" s="175" t="s">
        <v>74</v>
      </c>
      <c r="J143" s="175" t="s">
        <v>786</v>
      </c>
      <c r="K143" s="176" t="s">
        <v>787</v>
      </c>
      <c r="L143" s="176">
        <v>6948693451</v>
      </c>
      <c r="M143" s="177" t="s">
        <v>16</v>
      </c>
      <c r="N143" s="174" t="s">
        <v>98</v>
      </c>
      <c r="O143" s="177" t="s">
        <v>788</v>
      </c>
      <c r="S143" s="178">
        <v>140</v>
      </c>
      <c r="T143" s="181"/>
      <c r="Z143" s="183" t="s">
        <v>175</v>
      </c>
      <c r="AA143" s="184" t="s">
        <v>176</v>
      </c>
      <c r="AB143" t="s">
        <v>177</v>
      </c>
    </row>
    <row r="144" spans="3:28" ht="16.5" customHeight="1" x14ac:dyDescent="0.25">
      <c r="C144" s="193"/>
      <c r="E144" s="173">
        <v>143</v>
      </c>
      <c r="F144" s="174">
        <v>1310</v>
      </c>
      <c r="G144" s="174" t="s">
        <v>593</v>
      </c>
      <c r="H144" s="174" t="s">
        <v>74</v>
      </c>
      <c r="I144" s="175" t="s">
        <v>74</v>
      </c>
      <c r="J144" s="175" t="s">
        <v>789</v>
      </c>
      <c r="K144" s="176" t="s">
        <v>790</v>
      </c>
      <c r="L144" s="176" t="s">
        <v>791</v>
      </c>
      <c r="M144" s="177" t="s">
        <v>792</v>
      </c>
      <c r="N144" s="174" t="s">
        <v>164</v>
      </c>
      <c r="O144" s="177" t="s">
        <v>793</v>
      </c>
      <c r="S144" s="178">
        <v>141</v>
      </c>
      <c r="T144" s="181"/>
      <c r="Z144" s="183" t="s">
        <v>166</v>
      </c>
      <c r="AA144" s="184" t="s">
        <v>167</v>
      </c>
      <c r="AB144" t="s">
        <v>168</v>
      </c>
    </row>
    <row r="145" spans="1:32" s="180" customFormat="1" ht="16.5" customHeight="1" x14ac:dyDescent="0.25">
      <c r="A145" s="189"/>
      <c r="B145" s="170"/>
      <c r="C145" s="171"/>
      <c r="D145" s="172"/>
      <c r="E145" s="173">
        <v>144</v>
      </c>
      <c r="F145" s="174">
        <v>1311</v>
      </c>
      <c r="G145" s="174" t="s">
        <v>593</v>
      </c>
      <c r="H145" s="174" t="s">
        <v>74</v>
      </c>
      <c r="I145" s="175" t="s">
        <v>74</v>
      </c>
      <c r="J145" s="175" t="s">
        <v>794</v>
      </c>
      <c r="K145" s="176" t="s">
        <v>795</v>
      </c>
      <c r="L145" s="176" t="s">
        <v>796</v>
      </c>
      <c r="M145" s="177" t="s">
        <v>797</v>
      </c>
      <c r="N145" s="174" t="s">
        <v>98</v>
      </c>
      <c r="O145" s="177" t="s">
        <v>798</v>
      </c>
      <c r="P145"/>
      <c r="Q145"/>
      <c r="R145"/>
      <c r="S145" s="178">
        <v>142</v>
      </c>
      <c r="T145" s="181"/>
      <c r="U145"/>
      <c r="V145" s="10"/>
      <c r="W145"/>
      <c r="X145"/>
      <c r="Y145"/>
      <c r="Z145" s="183" t="s">
        <v>175</v>
      </c>
      <c r="AA145" s="184" t="s">
        <v>176</v>
      </c>
      <c r="AB145" t="s">
        <v>177</v>
      </c>
      <c r="AC145"/>
      <c r="AD145"/>
      <c r="AF145"/>
    </row>
    <row r="146" spans="1:32" ht="16.5" customHeight="1" x14ac:dyDescent="0.25">
      <c r="C146" s="193"/>
      <c r="E146" s="173">
        <v>145</v>
      </c>
      <c r="F146" s="174">
        <v>1312</v>
      </c>
      <c r="G146" s="174" t="s">
        <v>593</v>
      </c>
      <c r="H146" s="174" t="s">
        <v>74</v>
      </c>
      <c r="I146" s="175" t="s">
        <v>74</v>
      </c>
      <c r="J146" s="175" t="s">
        <v>799</v>
      </c>
      <c r="K146" s="176" t="s">
        <v>800</v>
      </c>
      <c r="L146" s="176" t="s">
        <v>801</v>
      </c>
      <c r="M146" s="177" t="s">
        <v>802</v>
      </c>
      <c r="N146" s="174" t="s">
        <v>98</v>
      </c>
      <c r="O146" s="177" t="s">
        <v>803</v>
      </c>
      <c r="S146" s="178">
        <v>143</v>
      </c>
      <c r="T146" s="181"/>
      <c r="Z146" s="183" t="s">
        <v>166</v>
      </c>
      <c r="AA146" s="184" t="s">
        <v>167</v>
      </c>
      <c r="AB146" t="s">
        <v>168</v>
      </c>
    </row>
    <row r="147" spans="1:32" ht="16.5" customHeight="1" x14ac:dyDescent="0.25">
      <c r="C147" s="193"/>
      <c r="E147" s="173">
        <v>146</v>
      </c>
      <c r="F147" s="174">
        <v>1313</v>
      </c>
      <c r="G147" s="174" t="s">
        <v>593</v>
      </c>
      <c r="H147" s="174" t="s">
        <v>74</v>
      </c>
      <c r="I147" s="175" t="s">
        <v>74</v>
      </c>
      <c r="J147" s="175" t="s">
        <v>804</v>
      </c>
      <c r="K147" s="176" t="s">
        <v>805</v>
      </c>
      <c r="L147" s="176" t="s">
        <v>806</v>
      </c>
      <c r="M147" s="177" t="s">
        <v>16</v>
      </c>
      <c r="N147" s="174" t="s">
        <v>807</v>
      </c>
      <c r="O147" s="177" t="s">
        <v>808</v>
      </c>
      <c r="S147" s="178">
        <v>144</v>
      </c>
      <c r="T147" s="181"/>
      <c r="Z147" s="183" t="s">
        <v>175</v>
      </c>
      <c r="AA147" s="184" t="s">
        <v>176</v>
      </c>
      <c r="AB147" t="s">
        <v>177</v>
      </c>
    </row>
    <row r="148" spans="1:32" ht="16.5" customHeight="1" x14ac:dyDescent="0.25">
      <c r="C148" s="193"/>
      <c r="E148" s="173">
        <v>147</v>
      </c>
      <c r="F148" s="174">
        <v>1314</v>
      </c>
      <c r="G148" s="174" t="s">
        <v>593</v>
      </c>
      <c r="H148" s="174" t="s">
        <v>74</v>
      </c>
      <c r="I148" s="175" t="s">
        <v>74</v>
      </c>
      <c r="J148" s="175" t="s">
        <v>809</v>
      </c>
      <c r="K148" s="176" t="s">
        <v>810</v>
      </c>
      <c r="L148" s="176">
        <v>6937044836</v>
      </c>
      <c r="M148" s="177" t="s">
        <v>811</v>
      </c>
      <c r="N148" s="174" t="s">
        <v>98</v>
      </c>
      <c r="O148" s="177" t="s">
        <v>812</v>
      </c>
      <c r="S148" s="178">
        <v>145</v>
      </c>
      <c r="T148" s="181"/>
      <c r="Z148" s="183" t="s">
        <v>166</v>
      </c>
      <c r="AA148" s="184" t="s">
        <v>167</v>
      </c>
      <c r="AB148" t="s">
        <v>168</v>
      </c>
    </row>
    <row r="149" spans="1:32" ht="16.5" customHeight="1" x14ac:dyDescent="0.25">
      <c r="C149" s="193"/>
      <c r="E149" s="173">
        <v>148</v>
      </c>
      <c r="F149" s="174">
        <v>1315</v>
      </c>
      <c r="G149" s="174" t="s">
        <v>593</v>
      </c>
      <c r="H149" s="174" t="s">
        <v>74</v>
      </c>
      <c r="I149" s="175" t="s">
        <v>74</v>
      </c>
      <c r="J149" s="175" t="s">
        <v>813</v>
      </c>
      <c r="K149" s="176" t="s">
        <v>814</v>
      </c>
      <c r="L149" s="176">
        <v>6988292634</v>
      </c>
      <c r="M149" s="177" t="s">
        <v>16</v>
      </c>
      <c r="N149" s="174" t="s">
        <v>98</v>
      </c>
      <c r="O149" s="177" t="s">
        <v>815</v>
      </c>
      <c r="S149" s="178">
        <v>146</v>
      </c>
      <c r="T149" s="181"/>
      <c r="Z149" s="183" t="s">
        <v>175</v>
      </c>
      <c r="AA149" s="184" t="s">
        <v>176</v>
      </c>
      <c r="AB149" t="s">
        <v>177</v>
      </c>
    </row>
    <row r="150" spans="1:32" ht="16.5" customHeight="1" x14ac:dyDescent="0.25">
      <c r="C150" s="193"/>
      <c r="E150" s="173">
        <v>149</v>
      </c>
      <c r="F150" s="174">
        <v>1316</v>
      </c>
      <c r="G150" s="174" t="s">
        <v>593</v>
      </c>
      <c r="H150" s="174" t="s">
        <v>74</v>
      </c>
      <c r="I150" s="175" t="s">
        <v>74</v>
      </c>
      <c r="J150" s="175" t="s">
        <v>816</v>
      </c>
      <c r="K150" s="176" t="s">
        <v>817</v>
      </c>
      <c r="L150" s="176" t="s">
        <v>818</v>
      </c>
      <c r="M150" s="177" t="s">
        <v>819</v>
      </c>
      <c r="N150" s="174" t="s">
        <v>337</v>
      </c>
      <c r="O150" s="177" t="s">
        <v>820</v>
      </c>
      <c r="S150" s="178">
        <v>147</v>
      </c>
      <c r="T150" s="181"/>
      <c r="Z150" s="183" t="s">
        <v>166</v>
      </c>
      <c r="AA150" s="184" t="s">
        <v>167</v>
      </c>
      <c r="AB150" t="s">
        <v>168</v>
      </c>
    </row>
    <row r="151" spans="1:32" ht="16.5" customHeight="1" x14ac:dyDescent="0.25">
      <c r="C151" s="193"/>
      <c r="E151" s="173">
        <v>150</v>
      </c>
      <c r="F151" s="174">
        <v>1317</v>
      </c>
      <c r="G151" s="174" t="s">
        <v>593</v>
      </c>
      <c r="H151" s="174" t="s">
        <v>74</v>
      </c>
      <c r="I151" s="175" t="s">
        <v>74</v>
      </c>
      <c r="J151" s="175" t="s">
        <v>821</v>
      </c>
      <c r="K151" s="176" t="s">
        <v>790</v>
      </c>
      <c r="L151" s="176">
        <v>6973248110</v>
      </c>
      <c r="M151" s="177" t="s">
        <v>822</v>
      </c>
      <c r="N151" s="174" t="s">
        <v>823</v>
      </c>
      <c r="O151" s="177" t="s">
        <v>824</v>
      </c>
      <c r="S151" s="178">
        <v>149</v>
      </c>
      <c r="T151" s="181"/>
      <c r="Z151" s="183" t="s">
        <v>166</v>
      </c>
      <c r="AA151" s="184" t="s">
        <v>167</v>
      </c>
      <c r="AB151" t="s">
        <v>168</v>
      </c>
    </row>
    <row r="152" spans="1:32" ht="16.5" customHeight="1" x14ac:dyDescent="0.25">
      <c r="C152" s="193"/>
      <c r="E152" s="173">
        <v>151</v>
      </c>
      <c r="F152" s="174">
        <v>1318</v>
      </c>
      <c r="G152" s="174" t="s">
        <v>593</v>
      </c>
      <c r="H152" s="174" t="s">
        <v>74</v>
      </c>
      <c r="I152" s="175" t="s">
        <v>74</v>
      </c>
      <c r="J152" s="175" t="s">
        <v>825</v>
      </c>
      <c r="K152" s="176" t="s">
        <v>826</v>
      </c>
      <c r="L152" s="176">
        <v>6907538451</v>
      </c>
      <c r="M152" s="177" t="s">
        <v>16</v>
      </c>
      <c r="N152" s="174" t="s">
        <v>409</v>
      </c>
      <c r="O152" s="177" t="s">
        <v>827</v>
      </c>
      <c r="S152" s="178">
        <v>150</v>
      </c>
      <c r="T152" s="181"/>
      <c r="Z152" s="183" t="s">
        <v>175</v>
      </c>
      <c r="AA152" s="184" t="s">
        <v>176</v>
      </c>
      <c r="AB152" t="s">
        <v>177</v>
      </c>
    </row>
    <row r="153" spans="1:32" ht="16.5" customHeight="1" x14ac:dyDescent="0.25">
      <c r="C153" s="193"/>
      <c r="E153" s="173">
        <v>152</v>
      </c>
      <c r="F153" s="174">
        <v>1319</v>
      </c>
      <c r="G153" s="174" t="s">
        <v>593</v>
      </c>
      <c r="H153" s="174" t="s">
        <v>74</v>
      </c>
      <c r="I153" s="175" t="s">
        <v>74</v>
      </c>
      <c r="J153" s="175" t="s">
        <v>828</v>
      </c>
      <c r="K153" s="176" t="s">
        <v>770</v>
      </c>
      <c r="L153" s="176" t="s">
        <v>829</v>
      </c>
      <c r="M153" s="177" t="s">
        <v>830</v>
      </c>
      <c r="N153" s="174" t="s">
        <v>72</v>
      </c>
      <c r="O153" s="177" t="s">
        <v>831</v>
      </c>
      <c r="S153" s="178">
        <v>151</v>
      </c>
      <c r="T153" s="181"/>
      <c r="Z153" s="183" t="s">
        <v>166</v>
      </c>
      <c r="AA153" s="184" t="s">
        <v>167</v>
      </c>
      <c r="AB153" t="s">
        <v>168</v>
      </c>
    </row>
    <row r="154" spans="1:32" ht="16.5" customHeight="1" x14ac:dyDescent="0.25">
      <c r="C154" s="193"/>
      <c r="E154" s="173">
        <v>153</v>
      </c>
      <c r="F154" s="174">
        <v>1320</v>
      </c>
      <c r="G154" s="174" t="s">
        <v>593</v>
      </c>
      <c r="H154" s="174" t="s">
        <v>74</v>
      </c>
      <c r="I154" s="175" t="s">
        <v>74</v>
      </c>
      <c r="J154" s="175" t="s">
        <v>832</v>
      </c>
      <c r="K154" s="176" t="s">
        <v>817</v>
      </c>
      <c r="L154" s="176" t="s">
        <v>833</v>
      </c>
      <c r="M154" s="177" t="s">
        <v>16</v>
      </c>
      <c r="N154" s="174" t="s">
        <v>252</v>
      </c>
      <c r="O154" s="177" t="s">
        <v>834</v>
      </c>
      <c r="S154" s="178">
        <v>152</v>
      </c>
      <c r="T154" s="181"/>
      <c r="Z154" s="183" t="s">
        <v>175</v>
      </c>
      <c r="AA154" s="184" t="s">
        <v>176</v>
      </c>
      <c r="AB154" t="s">
        <v>177</v>
      </c>
    </row>
    <row r="155" spans="1:32" ht="16.5" customHeight="1" x14ac:dyDescent="0.25">
      <c r="C155" s="193"/>
      <c r="E155" s="173">
        <v>154</v>
      </c>
      <c r="F155" s="174">
        <v>1321</v>
      </c>
      <c r="G155" s="174" t="s">
        <v>593</v>
      </c>
      <c r="H155" s="174" t="s">
        <v>74</v>
      </c>
      <c r="I155" s="175" t="s">
        <v>74</v>
      </c>
      <c r="J155" s="175" t="s">
        <v>835</v>
      </c>
      <c r="K155" s="176" t="s">
        <v>624</v>
      </c>
      <c r="L155" s="176">
        <v>6972150340</v>
      </c>
      <c r="M155" s="177" t="s">
        <v>836</v>
      </c>
      <c r="N155" s="174" t="s">
        <v>43</v>
      </c>
      <c r="O155" s="177" t="s">
        <v>837</v>
      </c>
      <c r="S155" s="178">
        <v>153</v>
      </c>
      <c r="T155" s="181"/>
      <c r="Z155" s="183" t="s">
        <v>166</v>
      </c>
      <c r="AA155" s="184" t="s">
        <v>167</v>
      </c>
      <c r="AB155" t="s">
        <v>168</v>
      </c>
    </row>
    <row r="156" spans="1:32" ht="16.5" customHeight="1" x14ac:dyDescent="0.25">
      <c r="C156" s="193"/>
      <c r="E156" s="173">
        <v>155</v>
      </c>
      <c r="F156" s="174">
        <v>1322</v>
      </c>
      <c r="G156" s="174" t="s">
        <v>593</v>
      </c>
      <c r="H156" s="174" t="s">
        <v>74</v>
      </c>
      <c r="I156" s="175" t="s">
        <v>74</v>
      </c>
      <c r="J156" s="175" t="s">
        <v>838</v>
      </c>
      <c r="K156" s="176" t="s">
        <v>839</v>
      </c>
      <c r="L156" s="176" t="s">
        <v>840</v>
      </c>
      <c r="M156" s="177" t="s">
        <v>841</v>
      </c>
      <c r="N156" s="174" t="s">
        <v>164</v>
      </c>
      <c r="O156" s="177" t="s">
        <v>842</v>
      </c>
      <c r="S156" s="178">
        <v>154</v>
      </c>
      <c r="T156" s="181"/>
      <c r="Z156" s="183" t="s">
        <v>175</v>
      </c>
      <c r="AA156" s="184" t="s">
        <v>176</v>
      </c>
      <c r="AB156" t="s">
        <v>177</v>
      </c>
    </row>
    <row r="157" spans="1:32" ht="16.5" customHeight="1" x14ac:dyDescent="0.25">
      <c r="C157" s="193"/>
      <c r="E157" s="173">
        <v>156</v>
      </c>
      <c r="F157" s="174">
        <v>1414</v>
      </c>
      <c r="G157" s="174" t="s">
        <v>593</v>
      </c>
      <c r="H157" s="174" t="s">
        <v>74</v>
      </c>
      <c r="I157" s="175" t="s">
        <v>74</v>
      </c>
      <c r="J157" s="175" t="s">
        <v>843</v>
      </c>
      <c r="K157" s="176" t="s">
        <v>16</v>
      </c>
      <c r="L157" s="176" t="s">
        <v>16</v>
      </c>
      <c r="M157" s="177" t="s">
        <v>16</v>
      </c>
      <c r="N157" s="174" t="s">
        <v>98</v>
      </c>
      <c r="O157" s="177" t="s">
        <v>16</v>
      </c>
      <c r="S157" s="178">
        <v>155</v>
      </c>
      <c r="T157" s="181"/>
      <c r="Z157" s="183" t="s">
        <v>166</v>
      </c>
      <c r="AA157" s="184" t="s">
        <v>167</v>
      </c>
      <c r="AB157" t="s">
        <v>168</v>
      </c>
    </row>
    <row r="158" spans="1:32" ht="16.5" customHeight="1" x14ac:dyDescent="0.25">
      <c r="C158" s="193"/>
      <c r="E158" s="173">
        <v>157</v>
      </c>
      <c r="F158" s="174">
        <v>1323</v>
      </c>
      <c r="G158" s="174" t="s">
        <v>593</v>
      </c>
      <c r="H158" s="174" t="s">
        <v>74</v>
      </c>
      <c r="I158" s="175" t="s">
        <v>74</v>
      </c>
      <c r="J158" s="175" t="s">
        <v>844</v>
      </c>
      <c r="K158" s="176" t="s">
        <v>652</v>
      </c>
      <c r="L158" s="176">
        <v>6976768922</v>
      </c>
      <c r="M158" s="177" t="s">
        <v>845</v>
      </c>
      <c r="N158" s="174" t="s">
        <v>292</v>
      </c>
      <c r="O158" s="177" t="s">
        <v>846</v>
      </c>
      <c r="S158" s="178">
        <v>156</v>
      </c>
      <c r="T158" s="181"/>
      <c r="Z158" s="183" t="s">
        <v>175</v>
      </c>
      <c r="AA158" s="184" t="s">
        <v>176</v>
      </c>
      <c r="AB158" t="s">
        <v>177</v>
      </c>
    </row>
    <row r="159" spans="1:32" ht="16.5" customHeight="1" x14ac:dyDescent="0.25">
      <c r="C159" s="193"/>
      <c r="E159" s="173">
        <v>158</v>
      </c>
      <c r="F159" s="174">
        <v>1324</v>
      </c>
      <c r="G159" s="174" t="s">
        <v>593</v>
      </c>
      <c r="H159" s="174" t="s">
        <v>74</v>
      </c>
      <c r="I159" s="175" t="s">
        <v>74</v>
      </c>
      <c r="J159" s="175" t="s">
        <v>847</v>
      </c>
      <c r="K159" s="176" t="s">
        <v>848</v>
      </c>
      <c r="L159" s="176">
        <v>6978485645</v>
      </c>
      <c r="M159" s="177" t="s">
        <v>849</v>
      </c>
      <c r="N159" s="174" t="s">
        <v>98</v>
      </c>
      <c r="O159" s="177" t="s">
        <v>850</v>
      </c>
      <c r="S159" s="178">
        <v>157</v>
      </c>
      <c r="T159" s="181"/>
      <c r="Z159" s="183" t="s">
        <v>166</v>
      </c>
      <c r="AA159" s="184" t="s">
        <v>167</v>
      </c>
      <c r="AB159" t="s">
        <v>168</v>
      </c>
    </row>
    <row r="160" spans="1:32" ht="16.5" customHeight="1" x14ac:dyDescent="0.25">
      <c r="C160" s="193"/>
      <c r="E160" s="173">
        <v>159</v>
      </c>
      <c r="F160" s="174">
        <v>1325</v>
      </c>
      <c r="G160" s="174" t="s">
        <v>593</v>
      </c>
      <c r="H160" s="174" t="s">
        <v>74</v>
      </c>
      <c r="I160" s="175" t="s">
        <v>74</v>
      </c>
      <c r="J160" s="175" t="s">
        <v>851</v>
      </c>
      <c r="K160" s="176" t="s">
        <v>852</v>
      </c>
      <c r="L160" s="176" t="s">
        <v>853</v>
      </c>
      <c r="M160" s="177" t="s">
        <v>854</v>
      </c>
      <c r="N160" s="174" t="s">
        <v>224</v>
      </c>
      <c r="O160" s="177" t="s">
        <v>855</v>
      </c>
      <c r="S160" s="178">
        <v>158</v>
      </c>
      <c r="T160" s="181"/>
      <c r="Z160" s="183" t="s">
        <v>175</v>
      </c>
      <c r="AA160" s="184" t="s">
        <v>176</v>
      </c>
      <c r="AB160" t="s">
        <v>177</v>
      </c>
    </row>
    <row r="161" spans="3:28" ht="16.5" customHeight="1" x14ac:dyDescent="0.25">
      <c r="C161" s="193"/>
      <c r="E161" s="173">
        <v>160</v>
      </c>
      <c r="F161" s="174">
        <v>1326</v>
      </c>
      <c r="G161" s="174" t="s">
        <v>593</v>
      </c>
      <c r="H161" s="174" t="s">
        <v>74</v>
      </c>
      <c r="I161" s="175" t="s">
        <v>74</v>
      </c>
      <c r="J161" s="175" t="s">
        <v>856</v>
      </c>
      <c r="K161" s="176" t="s">
        <v>857</v>
      </c>
      <c r="L161" s="176" t="s">
        <v>858</v>
      </c>
      <c r="M161" s="177" t="s">
        <v>859</v>
      </c>
      <c r="N161" s="174" t="s">
        <v>98</v>
      </c>
      <c r="O161" s="177" t="s">
        <v>16</v>
      </c>
      <c r="S161" s="178">
        <v>159</v>
      </c>
      <c r="T161" s="181"/>
      <c r="Z161" s="183" t="s">
        <v>166</v>
      </c>
      <c r="AA161" s="184" t="s">
        <v>167</v>
      </c>
      <c r="AB161" t="s">
        <v>168</v>
      </c>
    </row>
    <row r="162" spans="3:28" ht="16.5" customHeight="1" x14ac:dyDescent="0.25">
      <c r="C162" s="193"/>
      <c r="E162" s="173">
        <v>161</v>
      </c>
      <c r="F162" s="174">
        <v>1327</v>
      </c>
      <c r="G162" s="174" t="s">
        <v>593</v>
      </c>
      <c r="H162" s="174" t="s">
        <v>74</v>
      </c>
      <c r="I162" s="175" t="s">
        <v>74</v>
      </c>
      <c r="J162" s="175" t="s">
        <v>860</v>
      </c>
      <c r="K162" s="176" t="s">
        <v>826</v>
      </c>
      <c r="L162" s="176">
        <v>6989500588</v>
      </c>
      <c r="M162" s="177" t="s">
        <v>16</v>
      </c>
      <c r="N162" s="174" t="s">
        <v>409</v>
      </c>
      <c r="O162" s="177" t="s">
        <v>605</v>
      </c>
      <c r="S162" s="178">
        <v>160</v>
      </c>
      <c r="T162" s="181"/>
      <c r="Z162" s="183" t="s">
        <v>175</v>
      </c>
      <c r="AA162" s="184" t="s">
        <v>176</v>
      </c>
      <c r="AB162" t="s">
        <v>177</v>
      </c>
    </row>
    <row r="163" spans="3:28" ht="16.5" customHeight="1" x14ac:dyDescent="0.25">
      <c r="C163" s="193"/>
      <c r="E163" s="173">
        <v>162</v>
      </c>
      <c r="F163" s="174">
        <v>1328</v>
      </c>
      <c r="G163" s="174" t="s">
        <v>593</v>
      </c>
      <c r="H163" s="174" t="s">
        <v>74</v>
      </c>
      <c r="I163" s="175" t="s">
        <v>74</v>
      </c>
      <c r="J163" s="175" t="s">
        <v>861</v>
      </c>
      <c r="K163" s="176" t="s">
        <v>624</v>
      </c>
      <c r="L163" s="176" t="s">
        <v>862</v>
      </c>
      <c r="M163" s="177" t="s">
        <v>16</v>
      </c>
      <c r="N163" s="174" t="s">
        <v>863</v>
      </c>
      <c r="O163" s="177" t="s">
        <v>16</v>
      </c>
      <c r="P163" s="178"/>
      <c r="S163" s="178">
        <v>161</v>
      </c>
      <c r="T163" s="181"/>
      <c r="Z163" s="183" t="s">
        <v>166</v>
      </c>
      <c r="AA163" s="184" t="s">
        <v>167</v>
      </c>
      <c r="AB163" t="s">
        <v>168</v>
      </c>
    </row>
    <row r="164" spans="3:28" ht="16.5" customHeight="1" x14ac:dyDescent="0.25">
      <c r="C164" s="193"/>
      <c r="E164" s="173">
        <v>163</v>
      </c>
      <c r="F164" s="174">
        <v>1329</v>
      </c>
      <c r="G164" s="174" t="s">
        <v>593</v>
      </c>
      <c r="H164" s="174" t="s">
        <v>74</v>
      </c>
      <c r="I164" s="175" t="s">
        <v>74</v>
      </c>
      <c r="J164" s="175" t="s">
        <v>864</v>
      </c>
      <c r="K164" s="176" t="s">
        <v>857</v>
      </c>
      <c r="L164" s="176">
        <v>6973430967</v>
      </c>
      <c r="M164" s="177" t="s">
        <v>865</v>
      </c>
      <c r="N164" s="174" t="s">
        <v>98</v>
      </c>
      <c r="O164" s="177" t="s">
        <v>866</v>
      </c>
      <c r="S164" s="178">
        <v>162</v>
      </c>
      <c r="T164" s="181"/>
      <c r="Z164" s="183" t="s">
        <v>175</v>
      </c>
      <c r="AA164" s="184" t="s">
        <v>176</v>
      </c>
      <c r="AB164" t="s">
        <v>177</v>
      </c>
    </row>
    <row r="165" spans="3:28" ht="16.5" customHeight="1" x14ac:dyDescent="0.25">
      <c r="C165" s="193"/>
      <c r="E165" s="173">
        <v>164</v>
      </c>
      <c r="F165" s="174">
        <v>1330</v>
      </c>
      <c r="G165" s="174" t="s">
        <v>593</v>
      </c>
      <c r="H165" s="174" t="s">
        <v>74</v>
      </c>
      <c r="I165" s="175" t="s">
        <v>74</v>
      </c>
      <c r="J165" s="175" t="s">
        <v>867</v>
      </c>
      <c r="K165" s="176" t="s">
        <v>765</v>
      </c>
      <c r="L165" s="176" t="s">
        <v>868</v>
      </c>
      <c r="M165" s="177" t="s">
        <v>16</v>
      </c>
      <c r="N165" s="174" t="s">
        <v>72</v>
      </c>
      <c r="O165" s="177" t="s">
        <v>869</v>
      </c>
      <c r="S165" s="178">
        <v>163</v>
      </c>
      <c r="T165" s="181"/>
      <c r="Z165" s="183" t="s">
        <v>166</v>
      </c>
      <c r="AA165" s="184" t="s">
        <v>167</v>
      </c>
      <c r="AB165" t="s">
        <v>168</v>
      </c>
    </row>
    <row r="166" spans="3:28" ht="16.5" customHeight="1" x14ac:dyDescent="0.25">
      <c r="C166" s="193"/>
      <c r="E166" s="173">
        <v>165</v>
      </c>
      <c r="F166" s="174">
        <v>1331</v>
      </c>
      <c r="G166" s="174" t="s">
        <v>593</v>
      </c>
      <c r="H166" s="174" t="s">
        <v>74</v>
      </c>
      <c r="I166" s="175" t="s">
        <v>74</v>
      </c>
      <c r="J166" s="175" t="s">
        <v>870</v>
      </c>
      <c r="K166" s="176" t="s">
        <v>765</v>
      </c>
      <c r="L166" s="176" t="s">
        <v>871</v>
      </c>
      <c r="M166" s="177" t="s">
        <v>16</v>
      </c>
      <c r="N166" s="174" t="s">
        <v>164</v>
      </c>
      <c r="O166" s="177" t="s">
        <v>872</v>
      </c>
      <c r="S166" s="178"/>
      <c r="T166" s="181"/>
      <c r="Z166" s="183"/>
      <c r="AA166" s="184"/>
    </row>
    <row r="167" spans="3:28" ht="16.5" customHeight="1" x14ac:dyDescent="0.25">
      <c r="C167" s="193"/>
      <c r="E167" s="173">
        <v>166</v>
      </c>
      <c r="F167" s="174">
        <v>1332</v>
      </c>
      <c r="G167" s="174" t="s">
        <v>593</v>
      </c>
      <c r="H167" s="174" t="s">
        <v>74</v>
      </c>
      <c r="I167" s="175" t="s">
        <v>74</v>
      </c>
      <c r="J167" s="175" t="s">
        <v>873</v>
      </c>
      <c r="K167" s="176" t="s">
        <v>826</v>
      </c>
      <c r="L167" s="176">
        <v>6988549425</v>
      </c>
      <c r="M167" s="177" t="s">
        <v>16</v>
      </c>
      <c r="N167" s="174" t="s">
        <v>98</v>
      </c>
      <c r="O167" s="177" t="s">
        <v>874</v>
      </c>
      <c r="S167" s="178">
        <v>164</v>
      </c>
      <c r="T167" s="181"/>
      <c r="Z167" s="183" t="s">
        <v>175</v>
      </c>
      <c r="AA167" s="184" t="s">
        <v>176</v>
      </c>
      <c r="AB167" t="s">
        <v>177</v>
      </c>
    </row>
    <row r="168" spans="3:28" ht="16.5" customHeight="1" x14ac:dyDescent="0.25">
      <c r="C168" s="193"/>
      <c r="E168" s="173">
        <v>167</v>
      </c>
      <c r="F168" s="174" t="s">
        <v>21</v>
      </c>
      <c r="G168" s="174" t="s">
        <v>21</v>
      </c>
      <c r="H168" s="174" t="s">
        <v>83</v>
      </c>
      <c r="I168" s="175" t="s">
        <v>83</v>
      </c>
      <c r="J168" s="175" t="s">
        <v>16</v>
      </c>
      <c r="K168" s="176" t="s">
        <v>21</v>
      </c>
      <c r="L168" s="176" t="s">
        <v>21</v>
      </c>
      <c r="M168" s="177" t="s">
        <v>21</v>
      </c>
      <c r="N168" s="174" t="s">
        <v>21</v>
      </c>
      <c r="O168" s="177" t="s">
        <v>21</v>
      </c>
      <c r="S168" s="178">
        <v>165</v>
      </c>
      <c r="T168" s="181"/>
      <c r="Z168" s="183" t="s">
        <v>166</v>
      </c>
      <c r="AA168" s="184" t="s">
        <v>167</v>
      </c>
      <c r="AB168" t="s">
        <v>168</v>
      </c>
    </row>
    <row r="169" spans="3:28" ht="16.5" customHeight="1" x14ac:dyDescent="0.25">
      <c r="C169" s="193"/>
      <c r="E169" s="173">
        <v>168</v>
      </c>
      <c r="F169" s="174">
        <v>1333</v>
      </c>
      <c r="G169" s="174" t="s">
        <v>593</v>
      </c>
      <c r="H169" s="174" t="s">
        <v>83</v>
      </c>
      <c r="I169" s="175" t="s">
        <v>83</v>
      </c>
      <c r="J169" s="175" t="s">
        <v>875</v>
      </c>
      <c r="K169" s="176" t="s">
        <v>876</v>
      </c>
      <c r="L169" s="176" t="s">
        <v>877</v>
      </c>
      <c r="M169" s="177" t="s">
        <v>878</v>
      </c>
      <c r="N169" s="174" t="s">
        <v>482</v>
      </c>
      <c r="O169" s="177" t="s">
        <v>879</v>
      </c>
      <c r="S169" s="178">
        <v>166</v>
      </c>
      <c r="T169" s="181"/>
      <c r="Z169" s="183" t="s">
        <v>175</v>
      </c>
      <c r="AA169" s="184" t="s">
        <v>176</v>
      </c>
      <c r="AB169" t="s">
        <v>177</v>
      </c>
    </row>
    <row r="170" spans="3:28" ht="16.5" customHeight="1" x14ac:dyDescent="0.25">
      <c r="C170" s="193"/>
      <c r="E170" s="173">
        <v>169</v>
      </c>
      <c r="F170" s="174">
        <v>1334</v>
      </c>
      <c r="G170" s="174" t="s">
        <v>593</v>
      </c>
      <c r="H170" s="174" t="s">
        <v>83</v>
      </c>
      <c r="I170" s="175" t="s">
        <v>83</v>
      </c>
      <c r="J170" s="175" t="s">
        <v>880</v>
      </c>
      <c r="K170" s="176" t="s">
        <v>881</v>
      </c>
      <c r="L170" s="176" t="s">
        <v>882</v>
      </c>
      <c r="M170" s="177" t="s">
        <v>883</v>
      </c>
      <c r="N170" s="174" t="s">
        <v>264</v>
      </c>
      <c r="O170" s="177" t="s">
        <v>16</v>
      </c>
      <c r="S170" s="178">
        <v>167</v>
      </c>
      <c r="T170" s="181"/>
      <c r="Z170" s="183" t="s">
        <v>166</v>
      </c>
      <c r="AA170" s="184" t="s">
        <v>167</v>
      </c>
      <c r="AB170" t="s">
        <v>168</v>
      </c>
    </row>
    <row r="171" spans="3:28" ht="16.5" customHeight="1" x14ac:dyDescent="0.25">
      <c r="C171" s="193"/>
      <c r="E171" s="173">
        <v>170</v>
      </c>
      <c r="F171" s="174">
        <v>1335</v>
      </c>
      <c r="G171" s="174" t="s">
        <v>593</v>
      </c>
      <c r="H171" s="174" t="s">
        <v>83</v>
      </c>
      <c r="I171" s="175" t="s">
        <v>83</v>
      </c>
      <c r="J171" s="175" t="s">
        <v>884</v>
      </c>
      <c r="K171" s="176" t="s">
        <v>16</v>
      </c>
      <c r="L171" s="176" t="s">
        <v>885</v>
      </c>
      <c r="M171" s="177" t="s">
        <v>16</v>
      </c>
      <c r="N171" s="174" t="s">
        <v>224</v>
      </c>
      <c r="O171" s="177" t="s">
        <v>886</v>
      </c>
      <c r="S171" s="178">
        <v>168</v>
      </c>
      <c r="T171" s="181"/>
      <c r="Z171" s="183" t="s">
        <v>175</v>
      </c>
      <c r="AA171" s="184" t="s">
        <v>176</v>
      </c>
      <c r="AB171" t="s">
        <v>177</v>
      </c>
    </row>
    <row r="172" spans="3:28" ht="16.5" customHeight="1" x14ac:dyDescent="0.25">
      <c r="C172" s="193"/>
      <c r="E172" s="173">
        <v>171</v>
      </c>
      <c r="F172" s="174">
        <v>1336</v>
      </c>
      <c r="G172" s="174" t="s">
        <v>593</v>
      </c>
      <c r="H172" s="174" t="s">
        <v>83</v>
      </c>
      <c r="I172" s="175" t="s">
        <v>83</v>
      </c>
      <c r="J172" s="175" t="s">
        <v>887</v>
      </c>
      <c r="K172" s="176" t="s">
        <v>888</v>
      </c>
      <c r="L172" s="176" t="s">
        <v>889</v>
      </c>
      <c r="M172" s="177" t="s">
        <v>890</v>
      </c>
      <c r="N172" s="174" t="s">
        <v>183</v>
      </c>
      <c r="O172" s="177" t="s">
        <v>891</v>
      </c>
      <c r="S172" s="178">
        <v>169</v>
      </c>
      <c r="T172" s="181"/>
      <c r="Z172" s="183" t="s">
        <v>166</v>
      </c>
      <c r="AA172" s="184" t="s">
        <v>167</v>
      </c>
      <c r="AB172" t="s">
        <v>168</v>
      </c>
    </row>
    <row r="173" spans="3:28" ht="16.5" customHeight="1" x14ac:dyDescent="0.25">
      <c r="C173" s="193"/>
      <c r="E173" s="173">
        <v>172</v>
      </c>
      <c r="F173" s="174">
        <v>1337</v>
      </c>
      <c r="G173" s="174" t="s">
        <v>593</v>
      </c>
      <c r="H173" s="174" t="s">
        <v>83</v>
      </c>
      <c r="I173" s="175" t="s">
        <v>83</v>
      </c>
      <c r="J173" s="175" t="s">
        <v>892</v>
      </c>
      <c r="K173" s="176" t="s">
        <v>893</v>
      </c>
      <c r="L173" s="176" t="s">
        <v>894</v>
      </c>
      <c r="M173" s="177" t="s">
        <v>895</v>
      </c>
      <c r="N173" s="174" t="s">
        <v>733</v>
      </c>
      <c r="O173" s="177" t="s">
        <v>16</v>
      </c>
      <c r="S173" s="178">
        <v>170</v>
      </c>
      <c r="T173" s="181"/>
      <c r="Z173" s="183" t="s">
        <v>175</v>
      </c>
      <c r="AA173" s="184" t="s">
        <v>176</v>
      </c>
      <c r="AB173" t="s">
        <v>177</v>
      </c>
    </row>
    <row r="174" spans="3:28" ht="16.5" customHeight="1" x14ac:dyDescent="0.25">
      <c r="C174" s="193"/>
      <c r="E174" s="173">
        <v>173</v>
      </c>
      <c r="F174" s="174">
        <v>1338</v>
      </c>
      <c r="G174" s="174" t="s">
        <v>593</v>
      </c>
      <c r="H174" s="174" t="s">
        <v>83</v>
      </c>
      <c r="I174" s="175" t="s">
        <v>83</v>
      </c>
      <c r="J174" s="175" t="s">
        <v>896</v>
      </c>
      <c r="K174" s="176" t="s">
        <v>16</v>
      </c>
      <c r="L174" s="176" t="s">
        <v>897</v>
      </c>
      <c r="M174" s="177" t="s">
        <v>898</v>
      </c>
      <c r="N174" s="174" t="s">
        <v>43</v>
      </c>
      <c r="O174" s="177" t="s">
        <v>899</v>
      </c>
      <c r="S174" s="178">
        <v>171</v>
      </c>
      <c r="T174" s="181"/>
      <c r="Z174" s="183" t="s">
        <v>166</v>
      </c>
      <c r="AA174" s="184" t="s">
        <v>167</v>
      </c>
      <c r="AB174" t="s">
        <v>168</v>
      </c>
    </row>
    <row r="175" spans="3:28" ht="16.5" customHeight="1" x14ac:dyDescent="0.25">
      <c r="C175" s="193"/>
      <c r="E175" s="173">
        <v>174</v>
      </c>
      <c r="F175" s="174">
        <v>1340</v>
      </c>
      <c r="G175" s="174" t="s">
        <v>593</v>
      </c>
      <c r="H175" s="174" t="s">
        <v>83</v>
      </c>
      <c r="I175" s="175" t="s">
        <v>83</v>
      </c>
      <c r="J175" s="175" t="s">
        <v>900</v>
      </c>
      <c r="K175" s="176" t="s">
        <v>901</v>
      </c>
      <c r="L175" s="176" t="s">
        <v>16</v>
      </c>
      <c r="M175" s="177" t="s">
        <v>902</v>
      </c>
      <c r="N175" s="174" t="s">
        <v>43</v>
      </c>
      <c r="O175" s="177" t="s">
        <v>16</v>
      </c>
      <c r="S175" s="178">
        <v>172</v>
      </c>
      <c r="T175" s="181"/>
      <c r="Z175" s="183" t="s">
        <v>175</v>
      </c>
      <c r="AA175" s="184" t="s">
        <v>176</v>
      </c>
      <c r="AB175" t="s">
        <v>177</v>
      </c>
    </row>
    <row r="176" spans="3:28" ht="16.5" customHeight="1" x14ac:dyDescent="0.25">
      <c r="C176" s="193"/>
      <c r="E176" s="173">
        <v>175</v>
      </c>
      <c r="F176" s="174">
        <v>1341</v>
      </c>
      <c r="G176" s="174" t="s">
        <v>593</v>
      </c>
      <c r="H176" s="174" t="s">
        <v>83</v>
      </c>
      <c r="I176" s="175" t="s">
        <v>83</v>
      </c>
      <c r="J176" s="175" t="s">
        <v>903</v>
      </c>
      <c r="K176" s="176" t="s">
        <v>904</v>
      </c>
      <c r="L176" s="176" t="s">
        <v>905</v>
      </c>
      <c r="M176" s="177" t="s">
        <v>906</v>
      </c>
      <c r="N176" s="174" t="s">
        <v>264</v>
      </c>
      <c r="O176" s="177" t="s">
        <v>16</v>
      </c>
      <c r="S176" s="178">
        <v>173</v>
      </c>
      <c r="T176" s="181"/>
      <c r="Z176" s="183" t="s">
        <v>166</v>
      </c>
      <c r="AA176" s="184" t="s">
        <v>167</v>
      </c>
      <c r="AB176" t="s">
        <v>168</v>
      </c>
    </row>
    <row r="177" spans="1:32" s="180" customFormat="1" ht="16.5" customHeight="1" x14ac:dyDescent="0.25">
      <c r="A177" s="189"/>
      <c r="B177" s="170"/>
      <c r="C177" s="171"/>
      <c r="D177" s="172"/>
      <c r="E177" s="173">
        <v>176</v>
      </c>
      <c r="F177" s="174">
        <v>1342</v>
      </c>
      <c r="G177" s="174" t="s">
        <v>593</v>
      </c>
      <c r="H177" s="174" t="s">
        <v>83</v>
      </c>
      <c r="I177" s="175" t="s">
        <v>83</v>
      </c>
      <c r="J177" s="175" t="s">
        <v>907</v>
      </c>
      <c r="K177" s="176" t="s">
        <v>901</v>
      </c>
      <c r="L177" s="176" t="s">
        <v>908</v>
      </c>
      <c r="M177" s="177" t="s">
        <v>909</v>
      </c>
      <c r="N177" s="174" t="s">
        <v>337</v>
      </c>
      <c r="O177" s="177" t="s">
        <v>910</v>
      </c>
      <c r="P177"/>
      <c r="Q177"/>
      <c r="R177"/>
      <c r="S177" s="178">
        <v>174</v>
      </c>
      <c r="T177" s="181"/>
      <c r="U177"/>
      <c r="V177" s="10"/>
      <c r="W177"/>
      <c r="X177"/>
      <c r="Y177"/>
      <c r="Z177" s="183" t="s">
        <v>175</v>
      </c>
      <c r="AA177" s="184" t="s">
        <v>176</v>
      </c>
      <c r="AB177" t="s">
        <v>177</v>
      </c>
      <c r="AC177"/>
      <c r="AD177"/>
      <c r="AF177"/>
    </row>
    <row r="178" spans="1:32" ht="16.5" customHeight="1" x14ac:dyDescent="0.25">
      <c r="C178" s="193"/>
      <c r="E178" s="173">
        <v>177</v>
      </c>
      <c r="F178" s="174">
        <v>1343</v>
      </c>
      <c r="G178" s="174" t="s">
        <v>593</v>
      </c>
      <c r="H178" s="174" t="s">
        <v>83</v>
      </c>
      <c r="I178" s="175" t="s">
        <v>83</v>
      </c>
      <c r="J178" s="175" t="s">
        <v>911</v>
      </c>
      <c r="K178" s="176" t="s">
        <v>912</v>
      </c>
      <c r="L178" s="176" t="s">
        <v>913</v>
      </c>
      <c r="M178" s="177" t="s">
        <v>914</v>
      </c>
      <c r="N178" s="174" t="s">
        <v>224</v>
      </c>
      <c r="O178" s="177" t="s">
        <v>16</v>
      </c>
      <c r="S178" s="178">
        <v>175</v>
      </c>
      <c r="T178" s="181"/>
      <c r="Z178" s="183" t="s">
        <v>166</v>
      </c>
      <c r="AA178" s="184" t="s">
        <v>167</v>
      </c>
      <c r="AB178" t="s">
        <v>168</v>
      </c>
    </row>
    <row r="179" spans="1:32" ht="16.5" customHeight="1" x14ac:dyDescent="0.25">
      <c r="C179" s="193"/>
      <c r="E179" s="173">
        <v>178</v>
      </c>
      <c r="F179" s="174">
        <v>1344</v>
      </c>
      <c r="G179" s="174" t="s">
        <v>593</v>
      </c>
      <c r="H179" s="174" t="s">
        <v>83</v>
      </c>
      <c r="I179" s="175" t="s">
        <v>83</v>
      </c>
      <c r="J179" s="175" t="s">
        <v>915</v>
      </c>
      <c r="K179" s="176" t="s">
        <v>916</v>
      </c>
      <c r="L179" s="176" t="s">
        <v>917</v>
      </c>
      <c r="M179" s="177" t="s">
        <v>918</v>
      </c>
      <c r="N179" s="174" t="s">
        <v>224</v>
      </c>
      <c r="O179" s="177" t="s">
        <v>16</v>
      </c>
      <c r="P179" s="178"/>
      <c r="S179" s="178">
        <v>176</v>
      </c>
      <c r="T179" s="181"/>
      <c r="Z179" s="183" t="s">
        <v>175</v>
      </c>
      <c r="AA179" s="184" t="s">
        <v>176</v>
      </c>
      <c r="AB179" t="s">
        <v>177</v>
      </c>
    </row>
    <row r="180" spans="1:32" ht="16.5" customHeight="1" x14ac:dyDescent="0.25">
      <c r="C180" s="193"/>
      <c r="E180" s="173">
        <v>179</v>
      </c>
      <c r="F180" s="174">
        <v>1345</v>
      </c>
      <c r="G180" s="174" t="s">
        <v>593</v>
      </c>
      <c r="H180" s="174" t="s">
        <v>83</v>
      </c>
      <c r="I180" s="175" t="s">
        <v>83</v>
      </c>
      <c r="J180" s="175" t="s">
        <v>919</v>
      </c>
      <c r="K180" s="176" t="s">
        <v>920</v>
      </c>
      <c r="L180" s="176" t="s">
        <v>921</v>
      </c>
      <c r="M180" s="177" t="s">
        <v>922</v>
      </c>
      <c r="N180" s="174" t="s">
        <v>482</v>
      </c>
      <c r="O180" s="177" t="s">
        <v>16</v>
      </c>
      <c r="S180" s="178">
        <v>177</v>
      </c>
      <c r="T180" s="181"/>
      <c r="Z180" s="183" t="s">
        <v>166</v>
      </c>
      <c r="AA180" s="184" t="s">
        <v>167</v>
      </c>
      <c r="AB180" t="s">
        <v>168</v>
      </c>
    </row>
    <row r="181" spans="1:32" ht="16.5" customHeight="1" x14ac:dyDescent="0.25">
      <c r="C181" s="193"/>
      <c r="E181" s="173">
        <v>180</v>
      </c>
      <c r="F181" s="174" t="s">
        <v>21</v>
      </c>
      <c r="G181" s="174" t="s">
        <v>21</v>
      </c>
      <c r="H181" s="174" t="s">
        <v>92</v>
      </c>
      <c r="I181" s="175" t="s">
        <v>92</v>
      </c>
      <c r="J181" s="175" t="s">
        <v>16</v>
      </c>
      <c r="K181" s="176" t="s">
        <v>21</v>
      </c>
      <c r="L181" s="176" t="s">
        <v>21</v>
      </c>
      <c r="M181" s="177" t="s">
        <v>21</v>
      </c>
      <c r="N181" s="174" t="s">
        <v>21</v>
      </c>
      <c r="O181" s="177" t="s">
        <v>21</v>
      </c>
      <c r="S181" s="178">
        <v>178</v>
      </c>
      <c r="T181" s="181"/>
      <c r="Z181" s="183" t="s">
        <v>175</v>
      </c>
      <c r="AA181" s="184" t="s">
        <v>176</v>
      </c>
      <c r="AB181" t="s">
        <v>177</v>
      </c>
    </row>
    <row r="182" spans="1:32" ht="16.5" customHeight="1" x14ac:dyDescent="0.25">
      <c r="C182" s="193"/>
      <c r="E182" s="173">
        <v>181</v>
      </c>
      <c r="F182" s="174">
        <v>1347</v>
      </c>
      <c r="G182" s="174" t="s">
        <v>593</v>
      </c>
      <c r="H182" s="174" t="s">
        <v>92</v>
      </c>
      <c r="I182" s="175" t="s">
        <v>92</v>
      </c>
      <c r="J182" s="175" t="s">
        <v>923</v>
      </c>
      <c r="K182" s="176" t="s">
        <v>924</v>
      </c>
      <c r="L182" s="176" t="s">
        <v>925</v>
      </c>
      <c r="M182" s="177" t="s">
        <v>16</v>
      </c>
      <c r="N182" s="174" t="s">
        <v>43</v>
      </c>
      <c r="O182" s="177" t="s">
        <v>926</v>
      </c>
      <c r="S182" s="178">
        <v>179</v>
      </c>
      <c r="T182" s="181"/>
      <c r="Z182" s="183" t="s">
        <v>166</v>
      </c>
      <c r="AA182" s="184" t="s">
        <v>167</v>
      </c>
      <c r="AB182" t="s">
        <v>168</v>
      </c>
    </row>
    <row r="183" spans="1:32" ht="16.5" customHeight="1" x14ac:dyDescent="0.25">
      <c r="C183" s="193"/>
      <c r="E183" s="173">
        <v>182</v>
      </c>
      <c r="F183" s="174">
        <v>1348</v>
      </c>
      <c r="G183" s="174" t="s">
        <v>593</v>
      </c>
      <c r="H183" s="174" t="s">
        <v>92</v>
      </c>
      <c r="I183" s="175" t="s">
        <v>92</v>
      </c>
      <c r="J183" s="175" t="s">
        <v>927</v>
      </c>
      <c r="K183" s="176" t="s">
        <v>928</v>
      </c>
      <c r="L183" s="176">
        <v>6974929090</v>
      </c>
      <c r="M183" s="177" t="s">
        <v>929</v>
      </c>
      <c r="N183" s="174" t="s">
        <v>224</v>
      </c>
      <c r="O183" s="177" t="s">
        <v>930</v>
      </c>
      <c r="S183" s="178">
        <v>180</v>
      </c>
      <c r="T183" s="181"/>
      <c r="Z183" s="183" t="s">
        <v>175</v>
      </c>
      <c r="AA183" s="184" t="s">
        <v>176</v>
      </c>
      <c r="AB183" t="s">
        <v>177</v>
      </c>
    </row>
    <row r="184" spans="1:32" ht="16.5" customHeight="1" x14ac:dyDescent="0.25">
      <c r="C184" s="193"/>
      <c r="E184" s="173">
        <v>183</v>
      </c>
      <c r="F184" s="174">
        <v>1349</v>
      </c>
      <c r="G184" s="174" t="s">
        <v>593</v>
      </c>
      <c r="H184" s="174" t="s">
        <v>92</v>
      </c>
      <c r="I184" s="175" t="s">
        <v>92</v>
      </c>
      <c r="J184" s="175" t="s">
        <v>931</v>
      </c>
      <c r="K184" s="176" t="s">
        <v>795</v>
      </c>
      <c r="L184" s="176" t="s">
        <v>932</v>
      </c>
      <c r="M184" s="177" t="s">
        <v>933</v>
      </c>
      <c r="N184" s="174" t="s">
        <v>98</v>
      </c>
      <c r="O184" s="177" t="s">
        <v>934</v>
      </c>
      <c r="S184" s="178">
        <v>181</v>
      </c>
      <c r="T184" s="181"/>
      <c r="Z184" s="183" t="s">
        <v>166</v>
      </c>
      <c r="AA184" s="184" t="s">
        <v>167</v>
      </c>
      <c r="AB184" t="s">
        <v>168</v>
      </c>
    </row>
    <row r="185" spans="1:32" ht="16.5" customHeight="1" x14ac:dyDescent="0.25">
      <c r="C185" s="193"/>
      <c r="E185" s="173">
        <v>184</v>
      </c>
      <c r="F185" s="174">
        <v>1350</v>
      </c>
      <c r="G185" s="174" t="s">
        <v>593</v>
      </c>
      <c r="H185" s="174" t="s">
        <v>92</v>
      </c>
      <c r="I185" s="175" t="s">
        <v>92</v>
      </c>
      <c r="J185" s="175" t="s">
        <v>935</v>
      </c>
      <c r="K185" s="176" t="s">
        <v>936</v>
      </c>
      <c r="L185" s="176" t="s">
        <v>937</v>
      </c>
      <c r="M185" s="177" t="s">
        <v>16</v>
      </c>
      <c r="N185" s="174" t="s">
        <v>43</v>
      </c>
      <c r="O185" s="177" t="s">
        <v>938</v>
      </c>
      <c r="S185" s="178">
        <v>182</v>
      </c>
      <c r="T185" s="181"/>
      <c r="Z185" s="183" t="s">
        <v>175</v>
      </c>
      <c r="AA185" s="184" t="s">
        <v>176</v>
      </c>
      <c r="AB185" t="s">
        <v>177</v>
      </c>
    </row>
    <row r="186" spans="1:32" ht="16.5" customHeight="1" x14ac:dyDescent="0.25">
      <c r="C186" s="193"/>
      <c r="E186" s="173">
        <v>185</v>
      </c>
      <c r="F186" s="174">
        <v>1351</v>
      </c>
      <c r="G186" s="174" t="s">
        <v>593</v>
      </c>
      <c r="H186" s="174" t="s">
        <v>92</v>
      </c>
      <c r="I186" s="175" t="s">
        <v>92</v>
      </c>
      <c r="J186" s="175" t="s">
        <v>939</v>
      </c>
      <c r="K186" s="176" t="s">
        <v>940</v>
      </c>
      <c r="L186" s="176" t="s">
        <v>941</v>
      </c>
      <c r="M186" s="177" t="s">
        <v>942</v>
      </c>
      <c r="N186" s="174" t="s">
        <v>43</v>
      </c>
      <c r="O186" s="177" t="s">
        <v>943</v>
      </c>
      <c r="S186" s="178">
        <v>183</v>
      </c>
      <c r="T186" s="181"/>
      <c r="Z186" s="183" t="s">
        <v>166</v>
      </c>
      <c r="AA186" s="184" t="s">
        <v>167</v>
      </c>
      <c r="AB186" t="s">
        <v>168</v>
      </c>
    </row>
    <row r="187" spans="1:32" ht="16.5" customHeight="1" x14ac:dyDescent="0.25">
      <c r="C187" s="193"/>
      <c r="E187" s="173">
        <v>186</v>
      </c>
      <c r="F187" s="174">
        <v>1352</v>
      </c>
      <c r="G187" s="174" t="s">
        <v>593</v>
      </c>
      <c r="H187" s="174" t="s">
        <v>92</v>
      </c>
      <c r="I187" s="175" t="s">
        <v>92</v>
      </c>
      <c r="J187" s="175" t="s">
        <v>944</v>
      </c>
      <c r="K187" s="176" t="s">
        <v>945</v>
      </c>
      <c r="L187" s="176" t="s">
        <v>946</v>
      </c>
      <c r="M187" s="177" t="s">
        <v>16</v>
      </c>
      <c r="N187" s="174" t="s">
        <v>164</v>
      </c>
      <c r="O187" s="177" t="s">
        <v>947</v>
      </c>
      <c r="S187" s="178">
        <v>184</v>
      </c>
      <c r="T187" s="181"/>
      <c r="Z187" s="183" t="s">
        <v>175</v>
      </c>
      <c r="AA187" s="184" t="s">
        <v>176</v>
      </c>
      <c r="AB187" t="s">
        <v>177</v>
      </c>
    </row>
    <row r="188" spans="1:32" ht="16.5" customHeight="1" x14ac:dyDescent="0.25">
      <c r="C188" s="193"/>
      <c r="E188" s="173">
        <v>187</v>
      </c>
      <c r="F188" s="174">
        <v>1353</v>
      </c>
      <c r="G188" s="174" t="s">
        <v>593</v>
      </c>
      <c r="H188" s="174" t="s">
        <v>92</v>
      </c>
      <c r="I188" s="175" t="s">
        <v>92</v>
      </c>
      <c r="J188" s="175" t="s">
        <v>948</v>
      </c>
      <c r="K188" s="176" t="s">
        <v>949</v>
      </c>
      <c r="L188" s="176">
        <v>6972084481</v>
      </c>
      <c r="M188" s="177" t="s">
        <v>950</v>
      </c>
      <c r="N188" s="174" t="s">
        <v>43</v>
      </c>
      <c r="O188" s="177" t="s">
        <v>16</v>
      </c>
      <c r="S188" s="178">
        <v>185</v>
      </c>
      <c r="T188" s="181"/>
      <c r="Z188" s="183" t="s">
        <v>166</v>
      </c>
      <c r="AA188" s="184" t="s">
        <v>167</v>
      </c>
      <c r="AB188" t="s">
        <v>168</v>
      </c>
    </row>
    <row r="189" spans="1:32" ht="16.5" customHeight="1" x14ac:dyDescent="0.25">
      <c r="C189" s="193"/>
      <c r="E189" s="173">
        <v>188</v>
      </c>
      <c r="F189" s="174">
        <v>1354</v>
      </c>
      <c r="G189" s="174" t="s">
        <v>593</v>
      </c>
      <c r="H189" s="174" t="s">
        <v>92</v>
      </c>
      <c r="I189" s="175" t="s">
        <v>92</v>
      </c>
      <c r="J189" s="175" t="s">
        <v>951</v>
      </c>
      <c r="K189" s="176" t="s">
        <v>924</v>
      </c>
      <c r="L189" s="176" t="s">
        <v>952</v>
      </c>
      <c r="M189" s="177" t="s">
        <v>16</v>
      </c>
      <c r="N189" s="174" t="s">
        <v>43</v>
      </c>
      <c r="O189" s="177" t="s">
        <v>953</v>
      </c>
      <c r="S189" s="178">
        <v>186</v>
      </c>
      <c r="T189" s="181"/>
      <c r="Z189" s="183" t="s">
        <v>175</v>
      </c>
      <c r="AA189" s="184" t="s">
        <v>176</v>
      </c>
      <c r="AB189" t="s">
        <v>177</v>
      </c>
    </row>
    <row r="190" spans="1:32" ht="16.5" customHeight="1" x14ac:dyDescent="0.25">
      <c r="C190" s="193"/>
      <c r="E190" s="173">
        <v>189</v>
      </c>
      <c r="F190" s="174">
        <v>1355</v>
      </c>
      <c r="G190" s="174" t="s">
        <v>593</v>
      </c>
      <c r="H190" s="174" t="s">
        <v>92</v>
      </c>
      <c r="I190" s="175" t="s">
        <v>92</v>
      </c>
      <c r="J190" s="175" t="s">
        <v>954</v>
      </c>
      <c r="K190" s="176" t="s">
        <v>955</v>
      </c>
      <c r="L190" s="176">
        <v>6944377718</v>
      </c>
      <c r="M190" s="177" t="s">
        <v>956</v>
      </c>
      <c r="N190" s="174" t="s">
        <v>183</v>
      </c>
      <c r="O190" s="177" t="s">
        <v>16</v>
      </c>
      <c r="S190" s="178">
        <v>188</v>
      </c>
      <c r="T190" s="181"/>
      <c r="Z190" s="183" t="s">
        <v>175</v>
      </c>
      <c r="AA190" s="184" t="s">
        <v>176</v>
      </c>
      <c r="AB190" t="s">
        <v>177</v>
      </c>
    </row>
    <row r="191" spans="1:32" s="180" customFormat="1" ht="16.5" customHeight="1" x14ac:dyDescent="0.25">
      <c r="A191" s="189"/>
      <c r="B191" s="170"/>
      <c r="C191" s="171"/>
      <c r="D191" s="172"/>
      <c r="E191" s="173">
        <v>190</v>
      </c>
      <c r="F191" s="174">
        <v>1356</v>
      </c>
      <c r="G191" s="174" t="s">
        <v>593</v>
      </c>
      <c r="H191" s="174" t="s">
        <v>92</v>
      </c>
      <c r="I191" s="175" t="s">
        <v>92</v>
      </c>
      <c r="J191" s="175" t="s">
        <v>957</v>
      </c>
      <c r="K191" s="176" t="s">
        <v>958</v>
      </c>
      <c r="L191" s="176" t="s">
        <v>959</v>
      </c>
      <c r="M191" s="177" t="s">
        <v>16</v>
      </c>
      <c r="N191" s="174" t="s">
        <v>224</v>
      </c>
      <c r="O191" s="177" t="s">
        <v>960</v>
      </c>
      <c r="P191"/>
      <c r="Q191"/>
      <c r="R191"/>
      <c r="S191" s="178">
        <v>189</v>
      </c>
      <c r="T191" s="181"/>
      <c r="U191"/>
      <c r="V191" s="10"/>
      <c r="W191"/>
      <c r="X191"/>
      <c r="Y191"/>
      <c r="Z191" s="183" t="s">
        <v>166</v>
      </c>
      <c r="AA191" s="184" t="s">
        <v>167</v>
      </c>
      <c r="AB191" t="s">
        <v>168</v>
      </c>
      <c r="AC191"/>
      <c r="AD191"/>
      <c r="AF191"/>
    </row>
    <row r="192" spans="1:32" ht="16.5" customHeight="1" x14ac:dyDescent="0.25">
      <c r="C192" s="193"/>
      <c r="E192" s="173">
        <v>191</v>
      </c>
      <c r="F192" s="174">
        <v>1357</v>
      </c>
      <c r="G192" s="174" t="s">
        <v>593</v>
      </c>
      <c r="H192" s="174" t="s">
        <v>92</v>
      </c>
      <c r="I192" s="175" t="s">
        <v>92</v>
      </c>
      <c r="J192" s="175" t="s">
        <v>961</v>
      </c>
      <c r="K192" s="176" t="s">
        <v>962</v>
      </c>
      <c r="L192" s="176">
        <v>6974106510</v>
      </c>
      <c r="M192" s="177" t="s">
        <v>963</v>
      </c>
      <c r="N192" s="174" t="s">
        <v>43</v>
      </c>
      <c r="O192" s="177" t="s">
        <v>964</v>
      </c>
      <c r="S192" s="178">
        <v>190</v>
      </c>
      <c r="T192" s="181"/>
      <c r="Z192" s="183" t="s">
        <v>175</v>
      </c>
      <c r="AA192" s="184" t="s">
        <v>176</v>
      </c>
      <c r="AB192" t="s">
        <v>177</v>
      </c>
    </row>
    <row r="193" spans="3:28" ht="16.5" customHeight="1" x14ac:dyDescent="0.25">
      <c r="C193" s="193"/>
      <c r="E193" s="173">
        <v>192</v>
      </c>
      <c r="F193" s="174">
        <v>1358</v>
      </c>
      <c r="G193" s="174" t="s">
        <v>593</v>
      </c>
      <c r="H193" s="174" t="s">
        <v>92</v>
      </c>
      <c r="I193" s="175" t="s">
        <v>92</v>
      </c>
      <c r="J193" s="175" t="s">
        <v>965</v>
      </c>
      <c r="K193" s="176" t="s">
        <v>966</v>
      </c>
      <c r="L193" s="176" t="s">
        <v>967</v>
      </c>
      <c r="M193" s="177" t="s">
        <v>16</v>
      </c>
      <c r="N193" s="174" t="s">
        <v>31</v>
      </c>
      <c r="O193" s="177" t="s">
        <v>968</v>
      </c>
      <c r="S193" s="178">
        <v>191</v>
      </c>
      <c r="T193" s="181"/>
      <c r="Z193" s="183" t="s">
        <v>166</v>
      </c>
      <c r="AA193" s="184" t="s">
        <v>167</v>
      </c>
      <c r="AB193" t="s">
        <v>168</v>
      </c>
    </row>
    <row r="194" spans="3:28" ht="16.5" customHeight="1" x14ac:dyDescent="0.25">
      <c r="C194" s="193"/>
      <c r="E194" s="173">
        <v>193</v>
      </c>
      <c r="F194" s="174">
        <v>1359</v>
      </c>
      <c r="G194" s="174" t="s">
        <v>593</v>
      </c>
      <c r="H194" s="174" t="s">
        <v>92</v>
      </c>
      <c r="I194" s="175" t="s">
        <v>92</v>
      </c>
      <c r="J194" s="175" t="s">
        <v>969</v>
      </c>
      <c r="K194" s="176" t="s">
        <v>970</v>
      </c>
      <c r="L194" s="176" t="s">
        <v>971</v>
      </c>
      <c r="M194" s="177" t="s">
        <v>972</v>
      </c>
      <c r="N194" s="174" t="s">
        <v>43</v>
      </c>
      <c r="O194" s="177" t="s">
        <v>973</v>
      </c>
      <c r="S194" s="178">
        <v>192</v>
      </c>
      <c r="T194" s="181"/>
      <c r="Z194" s="183" t="s">
        <v>175</v>
      </c>
      <c r="AA194" s="184" t="s">
        <v>176</v>
      </c>
      <c r="AB194" t="s">
        <v>177</v>
      </c>
    </row>
    <row r="195" spans="3:28" ht="16.5" customHeight="1" x14ac:dyDescent="0.25">
      <c r="C195" s="193"/>
      <c r="E195" s="173">
        <v>194</v>
      </c>
      <c r="F195" s="174">
        <v>1360</v>
      </c>
      <c r="G195" s="174" t="s">
        <v>593</v>
      </c>
      <c r="H195" s="174" t="s">
        <v>92</v>
      </c>
      <c r="I195" s="175" t="s">
        <v>92</v>
      </c>
      <c r="J195" s="175" t="s">
        <v>974</v>
      </c>
      <c r="K195" s="176" t="s">
        <v>975</v>
      </c>
      <c r="L195" s="176" t="s">
        <v>976</v>
      </c>
      <c r="M195" s="177" t="s">
        <v>16</v>
      </c>
      <c r="N195" s="174" t="s">
        <v>43</v>
      </c>
      <c r="O195" s="177" t="s">
        <v>977</v>
      </c>
      <c r="S195" s="178">
        <v>193</v>
      </c>
      <c r="T195" s="181"/>
      <c r="Z195" s="183" t="s">
        <v>166</v>
      </c>
      <c r="AA195" s="184" t="s">
        <v>167</v>
      </c>
      <c r="AB195" t="s">
        <v>168</v>
      </c>
    </row>
    <row r="196" spans="3:28" ht="18" customHeight="1" x14ac:dyDescent="0.25">
      <c r="C196" s="193"/>
      <c r="E196" s="173">
        <v>195</v>
      </c>
      <c r="F196" s="174">
        <v>1361</v>
      </c>
      <c r="G196" s="174" t="s">
        <v>593</v>
      </c>
      <c r="H196" s="174" t="s">
        <v>92</v>
      </c>
      <c r="I196" s="175" t="s">
        <v>92</v>
      </c>
      <c r="J196" s="175" t="s">
        <v>978</v>
      </c>
      <c r="K196" s="176" t="s">
        <v>979</v>
      </c>
      <c r="L196" s="176">
        <v>6976058607</v>
      </c>
      <c r="M196" s="177" t="s">
        <v>980</v>
      </c>
      <c r="N196" s="174" t="s">
        <v>43</v>
      </c>
      <c r="O196" s="177" t="s">
        <v>16</v>
      </c>
      <c r="S196" s="178">
        <v>194</v>
      </c>
      <c r="T196" s="181"/>
      <c r="Z196" s="183" t="s">
        <v>175</v>
      </c>
      <c r="AA196" s="184" t="s">
        <v>176</v>
      </c>
      <c r="AB196" t="s">
        <v>177</v>
      </c>
    </row>
    <row r="197" spans="3:28" ht="16.5" customHeight="1" x14ac:dyDescent="0.25">
      <c r="C197" s="193"/>
      <c r="E197" s="173">
        <v>196</v>
      </c>
      <c r="F197" s="174">
        <v>1362</v>
      </c>
      <c r="G197" s="174" t="s">
        <v>593</v>
      </c>
      <c r="H197" s="174" t="s">
        <v>92</v>
      </c>
      <c r="I197" s="175" t="s">
        <v>92</v>
      </c>
      <c r="J197" s="175" t="s">
        <v>981</v>
      </c>
      <c r="K197" s="176" t="s">
        <v>982</v>
      </c>
      <c r="L197" s="176" t="s">
        <v>983</v>
      </c>
      <c r="M197" s="177" t="s">
        <v>16</v>
      </c>
      <c r="N197" s="174" t="s">
        <v>43</v>
      </c>
      <c r="O197" s="177" t="s">
        <v>984</v>
      </c>
      <c r="S197" s="178">
        <v>195</v>
      </c>
      <c r="T197" s="181"/>
      <c r="Z197" s="183" t="s">
        <v>166</v>
      </c>
      <c r="AA197" s="184" t="s">
        <v>167</v>
      </c>
      <c r="AB197" t="s">
        <v>168</v>
      </c>
    </row>
    <row r="198" spans="3:28" ht="16.5" customHeight="1" x14ac:dyDescent="0.25">
      <c r="C198" s="193"/>
      <c r="E198" s="173">
        <v>197</v>
      </c>
      <c r="F198" s="174">
        <v>1363</v>
      </c>
      <c r="G198" s="174" t="s">
        <v>593</v>
      </c>
      <c r="H198" s="174" t="s">
        <v>92</v>
      </c>
      <c r="I198" s="175" t="s">
        <v>92</v>
      </c>
      <c r="J198" s="175" t="s">
        <v>985</v>
      </c>
      <c r="K198" s="176" t="s">
        <v>955</v>
      </c>
      <c r="L198" s="176">
        <v>6978333756</v>
      </c>
      <c r="M198" s="177" t="s">
        <v>986</v>
      </c>
      <c r="N198" s="174" t="s">
        <v>337</v>
      </c>
      <c r="O198" s="177" t="s">
        <v>16</v>
      </c>
      <c r="S198" s="178">
        <v>196</v>
      </c>
      <c r="T198" s="181"/>
      <c r="Z198" s="183" t="s">
        <v>175</v>
      </c>
      <c r="AA198" s="184" t="s">
        <v>176</v>
      </c>
      <c r="AB198" t="s">
        <v>177</v>
      </c>
    </row>
    <row r="199" spans="3:28" ht="16.5" customHeight="1" x14ac:dyDescent="0.25">
      <c r="C199" s="193"/>
      <c r="E199" s="173">
        <v>198</v>
      </c>
      <c r="F199" s="174">
        <v>1364</v>
      </c>
      <c r="G199" s="174" t="s">
        <v>593</v>
      </c>
      <c r="H199" s="174" t="s">
        <v>92</v>
      </c>
      <c r="I199" s="175" t="s">
        <v>92</v>
      </c>
      <c r="J199" s="175" t="s">
        <v>987</v>
      </c>
      <c r="K199" s="176" t="s">
        <v>988</v>
      </c>
      <c r="L199" s="176" t="s">
        <v>989</v>
      </c>
      <c r="M199" s="177" t="s">
        <v>990</v>
      </c>
      <c r="N199" s="174" t="s">
        <v>337</v>
      </c>
      <c r="O199" s="177" t="s">
        <v>991</v>
      </c>
      <c r="S199" s="178">
        <v>197</v>
      </c>
      <c r="T199" s="181"/>
      <c r="Z199" s="183" t="s">
        <v>166</v>
      </c>
      <c r="AA199" s="184" t="s">
        <v>167</v>
      </c>
      <c r="AB199" t="s">
        <v>168</v>
      </c>
    </row>
    <row r="200" spans="3:28" ht="16.5" customHeight="1" x14ac:dyDescent="0.25">
      <c r="C200" s="193"/>
      <c r="E200" s="173">
        <v>199</v>
      </c>
      <c r="F200" s="174">
        <v>1365</v>
      </c>
      <c r="G200" s="174" t="s">
        <v>593</v>
      </c>
      <c r="H200" s="174" t="s">
        <v>92</v>
      </c>
      <c r="I200" s="175" t="s">
        <v>92</v>
      </c>
      <c r="J200" s="175" t="s">
        <v>992</v>
      </c>
      <c r="K200" s="176" t="s">
        <v>993</v>
      </c>
      <c r="L200" s="176">
        <v>6978993984</v>
      </c>
      <c r="M200" s="177" t="s">
        <v>994</v>
      </c>
      <c r="N200" s="174" t="s">
        <v>224</v>
      </c>
      <c r="O200" s="177" t="s">
        <v>16</v>
      </c>
      <c r="S200" s="178">
        <v>198</v>
      </c>
      <c r="T200" s="181"/>
      <c r="Z200" s="183" t="s">
        <v>175</v>
      </c>
      <c r="AA200" s="184" t="s">
        <v>176</v>
      </c>
      <c r="AB200" t="s">
        <v>177</v>
      </c>
    </row>
    <row r="201" spans="3:28" ht="16.5" customHeight="1" x14ac:dyDescent="0.25">
      <c r="C201" s="193"/>
      <c r="E201" s="173">
        <v>200</v>
      </c>
      <c r="F201" s="174">
        <v>1366</v>
      </c>
      <c r="G201" s="174" t="s">
        <v>593</v>
      </c>
      <c r="H201" s="174" t="s">
        <v>92</v>
      </c>
      <c r="I201" s="175" t="s">
        <v>92</v>
      </c>
      <c r="J201" s="175" t="s">
        <v>995</v>
      </c>
      <c r="K201" s="176" t="s">
        <v>996</v>
      </c>
      <c r="L201" s="176" t="s">
        <v>997</v>
      </c>
      <c r="M201" s="177" t="s">
        <v>998</v>
      </c>
      <c r="N201" s="174" t="s">
        <v>43</v>
      </c>
      <c r="O201" s="177" t="s">
        <v>16</v>
      </c>
      <c r="S201" s="178">
        <v>199</v>
      </c>
      <c r="T201" s="181"/>
      <c r="Z201" s="183" t="s">
        <v>166</v>
      </c>
      <c r="AA201" s="184" t="s">
        <v>167</v>
      </c>
      <c r="AB201" t="s">
        <v>168</v>
      </c>
    </row>
    <row r="202" spans="3:28" ht="16.5" customHeight="1" x14ac:dyDescent="0.25">
      <c r="C202" s="193"/>
      <c r="E202" s="173">
        <v>201</v>
      </c>
      <c r="F202" s="174">
        <v>1367</v>
      </c>
      <c r="G202" s="174" t="s">
        <v>593</v>
      </c>
      <c r="H202" s="174" t="s">
        <v>92</v>
      </c>
      <c r="I202" s="175" t="s">
        <v>92</v>
      </c>
      <c r="J202" s="175" t="s">
        <v>999</v>
      </c>
      <c r="K202" s="176" t="s">
        <v>1000</v>
      </c>
      <c r="L202" s="176" t="s">
        <v>1001</v>
      </c>
      <c r="M202" s="177" t="s">
        <v>1002</v>
      </c>
      <c r="N202" s="174" t="s">
        <v>43</v>
      </c>
      <c r="O202" s="177" t="s">
        <v>1003</v>
      </c>
      <c r="S202" s="178">
        <v>200</v>
      </c>
      <c r="T202" s="181"/>
      <c r="Z202" s="183" t="s">
        <v>175</v>
      </c>
      <c r="AA202" s="184" t="s">
        <v>176</v>
      </c>
      <c r="AB202" t="s">
        <v>177</v>
      </c>
    </row>
    <row r="203" spans="3:28" ht="16.5" customHeight="1" x14ac:dyDescent="0.25">
      <c r="C203" s="193"/>
      <c r="E203" s="173">
        <v>202</v>
      </c>
      <c r="F203" s="174">
        <v>1368</v>
      </c>
      <c r="G203" s="174" t="s">
        <v>593</v>
      </c>
      <c r="H203" s="174" t="s">
        <v>92</v>
      </c>
      <c r="I203" s="175" t="s">
        <v>92</v>
      </c>
      <c r="J203" s="175" t="s">
        <v>1004</v>
      </c>
      <c r="K203" s="176" t="s">
        <v>1005</v>
      </c>
      <c r="L203" s="176" t="s">
        <v>1006</v>
      </c>
      <c r="M203" s="177" t="s">
        <v>16</v>
      </c>
      <c r="N203" s="174" t="s">
        <v>1007</v>
      </c>
      <c r="O203" s="177" t="s">
        <v>1008</v>
      </c>
      <c r="S203" s="178">
        <v>201</v>
      </c>
      <c r="T203" s="181"/>
      <c r="Z203" s="183" t="s">
        <v>166</v>
      </c>
      <c r="AA203" s="184" t="s">
        <v>167</v>
      </c>
      <c r="AB203" t="s">
        <v>168</v>
      </c>
    </row>
    <row r="204" spans="3:28" ht="16.5" customHeight="1" x14ac:dyDescent="0.25">
      <c r="C204" s="193"/>
      <c r="E204" s="173">
        <v>203</v>
      </c>
      <c r="F204" s="174">
        <v>1369</v>
      </c>
      <c r="G204" s="174" t="s">
        <v>593</v>
      </c>
      <c r="H204" s="174" t="s">
        <v>92</v>
      </c>
      <c r="I204" s="175" t="s">
        <v>92</v>
      </c>
      <c r="J204" s="175" t="s">
        <v>1009</v>
      </c>
      <c r="K204" s="176" t="s">
        <v>1010</v>
      </c>
      <c r="L204" s="176">
        <v>6937084222</v>
      </c>
      <c r="M204" s="177" t="s">
        <v>1011</v>
      </c>
      <c r="N204" s="174" t="s">
        <v>43</v>
      </c>
      <c r="O204" s="177" t="s">
        <v>16</v>
      </c>
      <c r="S204" s="178">
        <v>202</v>
      </c>
      <c r="T204" s="181"/>
      <c r="Z204" s="183" t="s">
        <v>175</v>
      </c>
      <c r="AA204" s="184" t="s">
        <v>176</v>
      </c>
      <c r="AB204" t="s">
        <v>177</v>
      </c>
    </row>
    <row r="205" spans="3:28" ht="16.5" customHeight="1" x14ac:dyDescent="0.25">
      <c r="C205" s="193"/>
      <c r="E205" s="173">
        <v>204</v>
      </c>
      <c r="F205" s="174">
        <v>1370</v>
      </c>
      <c r="G205" s="174" t="s">
        <v>593</v>
      </c>
      <c r="H205" s="174" t="s">
        <v>92</v>
      </c>
      <c r="I205" s="175" t="s">
        <v>92</v>
      </c>
      <c r="J205" s="175" t="s">
        <v>1012</v>
      </c>
      <c r="K205" s="176" t="s">
        <v>1013</v>
      </c>
      <c r="L205" s="176">
        <v>6972072589</v>
      </c>
      <c r="M205" s="177" t="s">
        <v>1014</v>
      </c>
      <c r="N205" s="174" t="s">
        <v>43</v>
      </c>
      <c r="O205" s="177" t="s">
        <v>1015</v>
      </c>
      <c r="S205" s="178">
        <v>203</v>
      </c>
      <c r="T205" s="181"/>
      <c r="Z205" s="183" t="s">
        <v>166</v>
      </c>
      <c r="AA205" s="184" t="s">
        <v>167</v>
      </c>
      <c r="AB205" t="s">
        <v>168</v>
      </c>
    </row>
    <row r="206" spans="3:28" ht="16.5" customHeight="1" x14ac:dyDescent="0.25">
      <c r="C206" s="193"/>
      <c r="E206" s="173">
        <v>205</v>
      </c>
      <c r="F206" s="174">
        <v>1371</v>
      </c>
      <c r="G206" s="174" t="s">
        <v>593</v>
      </c>
      <c r="H206" s="174" t="s">
        <v>92</v>
      </c>
      <c r="I206" s="175" t="s">
        <v>92</v>
      </c>
      <c r="J206" s="175" t="s">
        <v>1016</v>
      </c>
      <c r="K206" s="176" t="s">
        <v>1017</v>
      </c>
      <c r="L206" s="176">
        <v>6932900686</v>
      </c>
      <c r="M206" s="177" t="s">
        <v>1018</v>
      </c>
      <c r="N206" s="174" t="s">
        <v>43</v>
      </c>
      <c r="O206" s="177" t="s">
        <v>16</v>
      </c>
      <c r="S206" s="178">
        <v>204</v>
      </c>
      <c r="T206" s="181"/>
      <c r="Z206" s="183" t="s">
        <v>175</v>
      </c>
      <c r="AA206" s="184" t="s">
        <v>176</v>
      </c>
      <c r="AB206" t="s">
        <v>177</v>
      </c>
    </row>
    <row r="207" spans="3:28" ht="16.5" customHeight="1" x14ac:dyDescent="0.25">
      <c r="C207" s="193"/>
      <c r="E207" s="173">
        <v>206</v>
      </c>
      <c r="F207" s="174">
        <v>1372</v>
      </c>
      <c r="G207" s="174" t="s">
        <v>593</v>
      </c>
      <c r="H207" s="174" t="s">
        <v>92</v>
      </c>
      <c r="I207" s="175" t="s">
        <v>92</v>
      </c>
      <c r="J207" s="175" t="s">
        <v>1019</v>
      </c>
      <c r="K207" s="176" t="s">
        <v>1020</v>
      </c>
      <c r="L207" s="176">
        <v>6999854936</v>
      </c>
      <c r="M207" s="177" t="s">
        <v>1021</v>
      </c>
      <c r="N207" s="174" t="s">
        <v>43</v>
      </c>
      <c r="O207" s="177" t="s">
        <v>1022</v>
      </c>
      <c r="S207" s="178">
        <v>205</v>
      </c>
      <c r="T207" s="181"/>
      <c r="Z207" s="183" t="s">
        <v>166</v>
      </c>
      <c r="AA207" s="184" t="s">
        <v>167</v>
      </c>
      <c r="AB207" t="s">
        <v>168</v>
      </c>
    </row>
    <row r="208" spans="3:28" ht="16.5" customHeight="1" x14ac:dyDescent="0.25">
      <c r="C208" s="193"/>
      <c r="E208" s="173">
        <v>207</v>
      </c>
      <c r="F208" s="174">
        <v>1373</v>
      </c>
      <c r="G208" s="174" t="s">
        <v>593</v>
      </c>
      <c r="H208" s="174" t="s">
        <v>92</v>
      </c>
      <c r="I208" s="175" t="s">
        <v>92</v>
      </c>
      <c r="J208" s="175" t="s">
        <v>1023</v>
      </c>
      <c r="K208" s="176" t="s">
        <v>1013</v>
      </c>
      <c r="L208" s="176">
        <v>6977395456</v>
      </c>
      <c r="M208" s="177" t="s">
        <v>1024</v>
      </c>
      <c r="N208" s="174" t="s">
        <v>224</v>
      </c>
      <c r="O208" s="177" t="s">
        <v>1025</v>
      </c>
      <c r="S208" s="178">
        <v>206</v>
      </c>
      <c r="T208" s="181"/>
      <c r="Z208" s="183" t="s">
        <v>175</v>
      </c>
      <c r="AA208" s="184" t="s">
        <v>176</v>
      </c>
      <c r="AB208" t="s">
        <v>177</v>
      </c>
    </row>
    <row r="209" spans="1:28" ht="16.5" customHeight="1" x14ac:dyDescent="0.25">
      <c r="C209" s="193"/>
      <c r="E209" s="173">
        <v>208</v>
      </c>
      <c r="F209" s="174">
        <v>1374</v>
      </c>
      <c r="G209" s="174" t="s">
        <v>593</v>
      </c>
      <c r="H209" s="174" t="s">
        <v>92</v>
      </c>
      <c r="I209" s="175" t="s">
        <v>92</v>
      </c>
      <c r="J209" s="175" t="s">
        <v>1026</v>
      </c>
      <c r="K209" s="176" t="s">
        <v>1027</v>
      </c>
      <c r="L209" s="176">
        <v>6972915741</v>
      </c>
      <c r="M209" s="177" t="s">
        <v>1028</v>
      </c>
      <c r="N209" s="174" t="s">
        <v>224</v>
      </c>
      <c r="O209" s="177" t="s">
        <v>16</v>
      </c>
      <c r="S209" s="178">
        <v>207</v>
      </c>
      <c r="T209" s="181"/>
      <c r="Z209" s="183" t="s">
        <v>166</v>
      </c>
      <c r="AA209" s="184" t="s">
        <v>167</v>
      </c>
      <c r="AB209" t="s">
        <v>168</v>
      </c>
    </row>
    <row r="210" spans="1:28" ht="16.5" customHeight="1" x14ac:dyDescent="0.25">
      <c r="C210" s="193"/>
      <c r="E210" s="173">
        <v>209</v>
      </c>
      <c r="F210" s="174">
        <v>1375</v>
      </c>
      <c r="G210" s="174" t="s">
        <v>593</v>
      </c>
      <c r="H210" s="174" t="s">
        <v>92</v>
      </c>
      <c r="I210" s="175" t="s">
        <v>92</v>
      </c>
      <c r="J210" s="175" t="s">
        <v>1029</v>
      </c>
      <c r="K210" s="176" t="s">
        <v>106</v>
      </c>
      <c r="L210" s="176">
        <v>6972210917</v>
      </c>
      <c r="M210" s="177" t="s">
        <v>1030</v>
      </c>
      <c r="N210" s="174" t="s">
        <v>43</v>
      </c>
      <c r="O210" s="177" t="s">
        <v>16</v>
      </c>
      <c r="S210" s="178">
        <v>208</v>
      </c>
      <c r="T210" s="181"/>
      <c r="Z210" s="183" t="s">
        <v>175</v>
      </c>
      <c r="AA210" s="184" t="s">
        <v>176</v>
      </c>
      <c r="AB210" t="s">
        <v>177</v>
      </c>
    </row>
    <row r="211" spans="1:28" ht="16.5" customHeight="1" x14ac:dyDescent="0.25">
      <c r="C211" s="193"/>
      <c r="E211" s="173">
        <v>210</v>
      </c>
      <c r="F211" s="174">
        <v>1376</v>
      </c>
      <c r="G211" s="174" t="s">
        <v>593</v>
      </c>
      <c r="H211" s="174" t="s">
        <v>92</v>
      </c>
      <c r="I211" s="175" t="s">
        <v>92</v>
      </c>
      <c r="J211" s="175" t="s">
        <v>1031</v>
      </c>
      <c r="K211" s="176" t="s">
        <v>993</v>
      </c>
      <c r="L211" s="176">
        <v>6936970927</v>
      </c>
      <c r="M211" s="177" t="s">
        <v>1032</v>
      </c>
      <c r="N211" s="174" t="s">
        <v>43</v>
      </c>
      <c r="O211" s="177" t="s">
        <v>16</v>
      </c>
      <c r="S211" s="178">
        <v>209</v>
      </c>
      <c r="T211" s="181"/>
      <c r="Z211" s="183" t="s">
        <v>166</v>
      </c>
      <c r="AA211" s="184" t="s">
        <v>167</v>
      </c>
      <c r="AB211" t="s">
        <v>168</v>
      </c>
    </row>
    <row r="212" spans="1:28" ht="16.5" customHeight="1" x14ac:dyDescent="0.25">
      <c r="C212" s="193"/>
      <c r="E212" s="173">
        <v>211</v>
      </c>
      <c r="F212" s="174">
        <v>1377</v>
      </c>
      <c r="G212" s="174" t="s">
        <v>593</v>
      </c>
      <c r="H212" s="174" t="s">
        <v>92</v>
      </c>
      <c r="I212" s="175" t="s">
        <v>92</v>
      </c>
      <c r="J212" s="175" t="s">
        <v>1033</v>
      </c>
      <c r="K212" s="176" t="s">
        <v>949</v>
      </c>
      <c r="L212" s="176">
        <v>6974114328</v>
      </c>
      <c r="M212" s="177" t="s">
        <v>1034</v>
      </c>
      <c r="N212" s="174" t="s">
        <v>98</v>
      </c>
      <c r="O212" s="177" t="s">
        <v>1035</v>
      </c>
      <c r="S212" s="178">
        <v>210</v>
      </c>
      <c r="T212" s="181"/>
      <c r="Z212" s="183" t="s">
        <v>175</v>
      </c>
      <c r="AA212" s="184" t="s">
        <v>176</v>
      </c>
      <c r="AB212" t="s">
        <v>177</v>
      </c>
    </row>
    <row r="213" spans="1:28" ht="16.5" customHeight="1" x14ac:dyDescent="0.25">
      <c r="C213" s="193"/>
      <c r="E213" s="173">
        <v>212</v>
      </c>
      <c r="F213" s="174">
        <v>1378</v>
      </c>
      <c r="G213" s="174" t="s">
        <v>593</v>
      </c>
      <c r="H213" s="174" t="s">
        <v>92</v>
      </c>
      <c r="I213" s="175" t="s">
        <v>92</v>
      </c>
      <c r="J213" s="175" t="s">
        <v>1036</v>
      </c>
      <c r="K213" s="176" t="s">
        <v>979</v>
      </c>
      <c r="L213" s="176" t="s">
        <v>1037</v>
      </c>
      <c r="M213" s="177" t="s">
        <v>1038</v>
      </c>
      <c r="N213" s="174" t="s">
        <v>43</v>
      </c>
      <c r="O213" s="177" t="s">
        <v>1039</v>
      </c>
      <c r="S213" s="178">
        <v>211</v>
      </c>
      <c r="T213" s="181"/>
      <c r="Z213" s="183" t="s">
        <v>166</v>
      </c>
      <c r="AA213" s="184" t="s">
        <v>167</v>
      </c>
      <c r="AB213" t="s">
        <v>168</v>
      </c>
    </row>
    <row r="214" spans="1:28" ht="16.5" customHeight="1" x14ac:dyDescent="0.25">
      <c r="A214" s="188"/>
      <c r="B214" s="170"/>
      <c r="C214" s="191" t="s">
        <v>1040</v>
      </c>
      <c r="D214" s="187"/>
      <c r="E214" s="173">
        <v>213</v>
      </c>
      <c r="F214" s="174">
        <v>1379</v>
      </c>
      <c r="G214" s="174" t="s">
        <v>593</v>
      </c>
      <c r="H214" s="174" t="s">
        <v>92</v>
      </c>
      <c r="I214" s="175" t="s">
        <v>92</v>
      </c>
      <c r="J214" s="175" t="s">
        <v>1041</v>
      </c>
      <c r="K214" s="176" t="s">
        <v>1020</v>
      </c>
      <c r="L214" s="176">
        <v>6977628647</v>
      </c>
      <c r="M214" s="177" t="s">
        <v>1042</v>
      </c>
      <c r="N214" s="174" t="s">
        <v>43</v>
      </c>
      <c r="O214" s="177" t="s">
        <v>1043</v>
      </c>
      <c r="S214" s="178">
        <v>92</v>
      </c>
      <c r="T214" s="181"/>
      <c r="Z214" s="183" t="s">
        <v>175</v>
      </c>
      <c r="AA214" s="184" t="s">
        <v>176</v>
      </c>
      <c r="AB214" t="s">
        <v>177</v>
      </c>
    </row>
    <row r="215" spans="1:28" ht="16.5" customHeight="1" x14ac:dyDescent="0.25">
      <c r="C215" s="193"/>
      <c r="E215" s="173">
        <v>214</v>
      </c>
      <c r="F215" s="174">
        <v>1380</v>
      </c>
      <c r="G215" s="174" t="s">
        <v>593</v>
      </c>
      <c r="H215" s="174" t="s">
        <v>92</v>
      </c>
      <c r="I215" s="175" t="s">
        <v>92</v>
      </c>
      <c r="J215" s="175" t="s">
        <v>1044</v>
      </c>
      <c r="K215" s="176" t="s">
        <v>1045</v>
      </c>
      <c r="L215" s="176" t="s">
        <v>1046</v>
      </c>
      <c r="M215" s="177" t="s">
        <v>16</v>
      </c>
      <c r="N215" s="174" t="s">
        <v>43</v>
      </c>
      <c r="O215" s="177" t="s">
        <v>1047</v>
      </c>
      <c r="S215" s="178">
        <v>212</v>
      </c>
      <c r="T215" s="181"/>
      <c r="Z215" s="183" t="s">
        <v>175</v>
      </c>
      <c r="AA215" s="184" t="s">
        <v>176</v>
      </c>
      <c r="AB215" t="s">
        <v>177</v>
      </c>
    </row>
    <row r="216" spans="1:28" ht="16.5" customHeight="1" x14ac:dyDescent="0.25">
      <c r="C216" s="193"/>
      <c r="E216" s="173">
        <v>215</v>
      </c>
      <c r="F216" s="174">
        <v>1381</v>
      </c>
      <c r="G216" s="174" t="s">
        <v>593</v>
      </c>
      <c r="H216" s="174" t="s">
        <v>92</v>
      </c>
      <c r="I216" s="175" t="s">
        <v>92</v>
      </c>
      <c r="J216" s="175" t="s">
        <v>1048</v>
      </c>
      <c r="K216" s="176" t="s">
        <v>982</v>
      </c>
      <c r="L216" s="176" t="s">
        <v>1049</v>
      </c>
      <c r="M216" s="177" t="s">
        <v>16</v>
      </c>
      <c r="N216" s="174" t="s">
        <v>43</v>
      </c>
      <c r="O216" s="177" t="s">
        <v>1050</v>
      </c>
      <c r="S216" s="178">
        <v>213</v>
      </c>
      <c r="T216" s="181"/>
      <c r="Z216" s="183" t="s">
        <v>166</v>
      </c>
      <c r="AA216" s="184" t="s">
        <v>167</v>
      </c>
      <c r="AB216" t="s">
        <v>168</v>
      </c>
    </row>
    <row r="217" spans="1:28" ht="16.5" customHeight="1" x14ac:dyDescent="0.25">
      <c r="C217" s="193"/>
      <c r="E217" s="173">
        <v>216</v>
      </c>
      <c r="F217" s="174">
        <v>1382</v>
      </c>
      <c r="G217" s="174" t="s">
        <v>593</v>
      </c>
      <c r="H217" s="174" t="s">
        <v>92</v>
      </c>
      <c r="I217" s="175" t="s">
        <v>92</v>
      </c>
      <c r="J217" s="175" t="s">
        <v>1051</v>
      </c>
      <c r="K217" s="176" t="s">
        <v>1052</v>
      </c>
      <c r="L217" s="176">
        <v>6948358027</v>
      </c>
      <c r="M217" s="177" t="s">
        <v>16</v>
      </c>
      <c r="N217" s="174" t="s">
        <v>31</v>
      </c>
      <c r="O217" s="177" t="s">
        <v>16</v>
      </c>
      <c r="S217" s="178">
        <v>214</v>
      </c>
      <c r="T217" s="181"/>
      <c r="Z217" s="183" t="s">
        <v>175</v>
      </c>
      <c r="AA217" s="184" t="s">
        <v>176</v>
      </c>
      <c r="AB217" t="s">
        <v>177</v>
      </c>
    </row>
    <row r="218" spans="1:28" ht="16.5" customHeight="1" x14ac:dyDescent="0.25">
      <c r="C218" s="193"/>
      <c r="E218" s="173">
        <v>217</v>
      </c>
      <c r="F218" s="174">
        <v>1383</v>
      </c>
      <c r="G218" s="174" t="s">
        <v>593</v>
      </c>
      <c r="H218" s="174" t="s">
        <v>92</v>
      </c>
      <c r="I218" s="175" t="s">
        <v>92</v>
      </c>
      <c r="J218" s="175" t="s">
        <v>1053</v>
      </c>
      <c r="K218" s="176" t="s">
        <v>982</v>
      </c>
      <c r="L218" s="176" t="s">
        <v>1054</v>
      </c>
      <c r="M218" s="177" t="s">
        <v>16</v>
      </c>
      <c r="N218" s="174" t="s">
        <v>337</v>
      </c>
      <c r="O218" s="177" t="s">
        <v>1055</v>
      </c>
      <c r="S218" s="178">
        <v>215</v>
      </c>
      <c r="T218" s="181"/>
      <c r="Z218" s="183" t="s">
        <v>166</v>
      </c>
      <c r="AA218" s="184" t="s">
        <v>167</v>
      </c>
      <c r="AB218" t="s">
        <v>168</v>
      </c>
    </row>
    <row r="219" spans="1:28" ht="16.5" customHeight="1" x14ac:dyDescent="0.25">
      <c r="C219" s="193"/>
      <c r="E219" s="173">
        <v>218</v>
      </c>
      <c r="F219" s="174">
        <v>1384</v>
      </c>
      <c r="G219" s="174" t="s">
        <v>593</v>
      </c>
      <c r="H219" s="174" t="s">
        <v>92</v>
      </c>
      <c r="I219" s="175" t="s">
        <v>92</v>
      </c>
      <c r="J219" s="175" t="s">
        <v>1056</v>
      </c>
      <c r="K219" s="176" t="s">
        <v>1052</v>
      </c>
      <c r="L219" s="176">
        <v>6972015813</v>
      </c>
      <c r="M219" s="177" t="s">
        <v>1057</v>
      </c>
      <c r="N219" s="174" t="s">
        <v>43</v>
      </c>
      <c r="O219" s="177" t="s">
        <v>1058</v>
      </c>
      <c r="S219" s="178">
        <v>216</v>
      </c>
      <c r="T219" s="181"/>
      <c r="Z219" s="183" t="s">
        <v>175</v>
      </c>
      <c r="AA219" s="184" t="s">
        <v>176</v>
      </c>
      <c r="AB219" t="s">
        <v>177</v>
      </c>
    </row>
    <row r="220" spans="1:28" ht="16.5" customHeight="1" x14ac:dyDescent="0.25">
      <c r="C220" s="193"/>
      <c r="E220" s="173">
        <v>219</v>
      </c>
      <c r="F220" s="174">
        <v>1385</v>
      </c>
      <c r="G220" s="174" t="s">
        <v>593</v>
      </c>
      <c r="H220" s="174" t="s">
        <v>92</v>
      </c>
      <c r="I220" s="175" t="s">
        <v>92</v>
      </c>
      <c r="J220" s="175" t="s">
        <v>1059</v>
      </c>
      <c r="K220" s="176" t="s">
        <v>924</v>
      </c>
      <c r="L220" s="176" t="s">
        <v>1060</v>
      </c>
      <c r="M220" s="177" t="s">
        <v>16</v>
      </c>
      <c r="N220" s="174" t="s">
        <v>43</v>
      </c>
      <c r="O220" s="177" t="s">
        <v>1061</v>
      </c>
      <c r="S220" s="178">
        <v>217</v>
      </c>
      <c r="T220" s="181"/>
      <c r="Z220" s="183" t="s">
        <v>166</v>
      </c>
      <c r="AA220" s="184" t="s">
        <v>167</v>
      </c>
      <c r="AB220" t="s">
        <v>168</v>
      </c>
    </row>
    <row r="221" spans="1:28" ht="16.5" customHeight="1" x14ac:dyDescent="0.25">
      <c r="C221" s="193"/>
      <c r="E221" s="173">
        <v>220</v>
      </c>
      <c r="F221" s="174">
        <v>1386</v>
      </c>
      <c r="G221" s="174" t="s">
        <v>593</v>
      </c>
      <c r="H221" s="174" t="s">
        <v>92</v>
      </c>
      <c r="I221" s="175" t="s">
        <v>92</v>
      </c>
      <c r="J221" s="175" t="s">
        <v>1062</v>
      </c>
      <c r="K221" s="176" t="s">
        <v>106</v>
      </c>
      <c r="L221" s="176">
        <v>6977010272</v>
      </c>
      <c r="M221" s="177" t="s">
        <v>1063</v>
      </c>
      <c r="N221" s="174" t="s">
        <v>43</v>
      </c>
      <c r="O221" s="177" t="s">
        <v>1064</v>
      </c>
      <c r="S221" s="178">
        <v>218</v>
      </c>
      <c r="T221" s="181"/>
      <c r="Z221" s="183" t="s">
        <v>175</v>
      </c>
      <c r="AA221" s="184" t="s">
        <v>176</v>
      </c>
      <c r="AB221" t="s">
        <v>177</v>
      </c>
    </row>
    <row r="222" spans="1:28" ht="16.5" customHeight="1" x14ac:dyDescent="0.25">
      <c r="C222" s="193"/>
      <c r="E222" s="173">
        <v>221</v>
      </c>
      <c r="F222" s="174">
        <v>1387</v>
      </c>
      <c r="G222" s="174" t="s">
        <v>593</v>
      </c>
      <c r="H222" s="174" t="s">
        <v>92</v>
      </c>
      <c r="I222" s="175" t="s">
        <v>92</v>
      </c>
      <c r="J222" s="175" t="s">
        <v>1065</v>
      </c>
      <c r="K222" s="176" t="s">
        <v>1066</v>
      </c>
      <c r="L222" s="176">
        <v>6977224085</v>
      </c>
      <c r="M222" s="177" t="s">
        <v>16</v>
      </c>
      <c r="N222" s="174" t="s">
        <v>31</v>
      </c>
      <c r="O222" s="177" t="s">
        <v>1067</v>
      </c>
      <c r="S222" s="178">
        <v>219</v>
      </c>
      <c r="T222" s="181"/>
      <c r="Z222" s="183" t="s">
        <v>166</v>
      </c>
      <c r="AA222" s="184" t="s">
        <v>167</v>
      </c>
      <c r="AB222" t="s">
        <v>168</v>
      </c>
    </row>
    <row r="223" spans="1:28" ht="16.5" customHeight="1" x14ac:dyDescent="0.25">
      <c r="C223" s="193"/>
      <c r="E223" s="173">
        <v>222</v>
      </c>
      <c r="F223" s="174">
        <v>1388</v>
      </c>
      <c r="G223" s="174" t="s">
        <v>593</v>
      </c>
      <c r="H223" s="174" t="s">
        <v>92</v>
      </c>
      <c r="I223" s="175" t="s">
        <v>92</v>
      </c>
      <c r="J223" s="175" t="s">
        <v>1068</v>
      </c>
      <c r="K223" s="176" t="s">
        <v>1069</v>
      </c>
      <c r="L223" s="176" t="s">
        <v>1070</v>
      </c>
      <c r="M223" s="177" t="s">
        <v>1071</v>
      </c>
      <c r="N223" s="174" t="s">
        <v>337</v>
      </c>
      <c r="O223" s="177" t="s">
        <v>16</v>
      </c>
      <c r="S223" s="178">
        <v>220</v>
      </c>
      <c r="T223" s="181"/>
      <c r="Z223" s="183" t="s">
        <v>175</v>
      </c>
      <c r="AA223" s="184" t="s">
        <v>176</v>
      </c>
      <c r="AB223" t="s">
        <v>177</v>
      </c>
    </row>
    <row r="224" spans="1:28" ht="16.5" customHeight="1" x14ac:dyDescent="0.25">
      <c r="C224" s="193"/>
      <c r="E224" s="173">
        <v>223</v>
      </c>
      <c r="F224" s="174">
        <v>1389</v>
      </c>
      <c r="G224" s="174" t="s">
        <v>593</v>
      </c>
      <c r="H224" s="174" t="s">
        <v>92</v>
      </c>
      <c r="I224" s="175" t="s">
        <v>92</v>
      </c>
      <c r="J224" s="175" t="s">
        <v>1072</v>
      </c>
      <c r="K224" s="176" t="s">
        <v>966</v>
      </c>
      <c r="L224" s="176">
        <v>6945853478</v>
      </c>
      <c r="M224" s="177" t="s">
        <v>16</v>
      </c>
      <c r="N224" s="174" t="s">
        <v>43</v>
      </c>
      <c r="O224" s="177" t="s">
        <v>1073</v>
      </c>
      <c r="S224" s="178">
        <v>221</v>
      </c>
      <c r="T224" s="181"/>
      <c r="Z224" s="183" t="s">
        <v>166</v>
      </c>
      <c r="AA224" s="184" t="s">
        <v>167</v>
      </c>
      <c r="AB224" t="s">
        <v>168</v>
      </c>
    </row>
    <row r="225" spans="1:32" ht="16.5" customHeight="1" x14ac:dyDescent="0.25">
      <c r="C225" s="193"/>
      <c r="E225" s="173">
        <v>224</v>
      </c>
      <c r="F225" s="174">
        <v>1390</v>
      </c>
      <c r="G225" s="174" t="s">
        <v>593</v>
      </c>
      <c r="H225" s="174" t="s">
        <v>92</v>
      </c>
      <c r="I225" s="175" t="s">
        <v>92</v>
      </c>
      <c r="J225" s="175" t="s">
        <v>1074</v>
      </c>
      <c r="K225" s="176" t="s">
        <v>949</v>
      </c>
      <c r="L225" s="176">
        <v>6948254859</v>
      </c>
      <c r="M225" s="177" t="s">
        <v>1075</v>
      </c>
      <c r="N225" s="174" t="s">
        <v>43</v>
      </c>
      <c r="O225" s="177" t="s">
        <v>1076</v>
      </c>
      <c r="S225" s="178">
        <v>222</v>
      </c>
      <c r="T225" s="181"/>
      <c r="Z225" s="183" t="s">
        <v>175</v>
      </c>
      <c r="AA225" s="184" t="s">
        <v>176</v>
      </c>
      <c r="AB225" t="s">
        <v>177</v>
      </c>
    </row>
    <row r="226" spans="1:32" ht="16.5" customHeight="1" x14ac:dyDescent="0.25">
      <c r="C226" s="193"/>
      <c r="E226" s="173">
        <v>225</v>
      </c>
      <c r="F226" s="174">
        <v>1391</v>
      </c>
      <c r="G226" s="174" t="s">
        <v>593</v>
      </c>
      <c r="H226" s="174" t="s">
        <v>92</v>
      </c>
      <c r="I226" s="175" t="s">
        <v>92</v>
      </c>
      <c r="J226" s="175" t="s">
        <v>1077</v>
      </c>
      <c r="K226" s="176" t="s">
        <v>966</v>
      </c>
      <c r="L226" s="176" t="s">
        <v>1078</v>
      </c>
      <c r="M226" s="177" t="s">
        <v>16</v>
      </c>
      <c r="N226" s="174" t="s">
        <v>43</v>
      </c>
      <c r="O226" s="177" t="s">
        <v>1079</v>
      </c>
      <c r="S226" s="178">
        <v>223</v>
      </c>
      <c r="T226" s="181"/>
      <c r="Z226" s="183" t="s">
        <v>166</v>
      </c>
      <c r="AA226" s="184" t="s">
        <v>167</v>
      </c>
      <c r="AB226" t="s">
        <v>168</v>
      </c>
    </row>
    <row r="227" spans="1:32" ht="16.5" customHeight="1" x14ac:dyDescent="0.25">
      <c r="C227" s="193"/>
      <c r="E227" s="173">
        <v>226</v>
      </c>
      <c r="F227" s="174">
        <v>1392</v>
      </c>
      <c r="G227" s="174" t="s">
        <v>593</v>
      </c>
      <c r="H227" s="174" t="s">
        <v>92</v>
      </c>
      <c r="I227" s="175" t="s">
        <v>92</v>
      </c>
      <c r="J227" s="175" t="s">
        <v>1080</v>
      </c>
      <c r="K227" s="176" t="s">
        <v>1081</v>
      </c>
      <c r="L227" s="176" t="s">
        <v>1082</v>
      </c>
      <c r="M227" s="177" t="s">
        <v>1083</v>
      </c>
      <c r="N227" s="174" t="s">
        <v>43</v>
      </c>
      <c r="O227" s="177" t="s">
        <v>16</v>
      </c>
      <c r="P227" s="178"/>
      <c r="S227" s="178">
        <v>224</v>
      </c>
      <c r="T227" s="181"/>
      <c r="Z227" s="183" t="s">
        <v>175</v>
      </c>
      <c r="AA227" s="184" t="s">
        <v>176</v>
      </c>
      <c r="AB227" t="s">
        <v>177</v>
      </c>
    </row>
    <row r="228" spans="1:32" ht="16.5" customHeight="1" x14ac:dyDescent="0.25">
      <c r="C228" s="193"/>
      <c r="E228" s="173">
        <v>103</v>
      </c>
      <c r="F228" s="174">
        <v>1393</v>
      </c>
      <c r="G228" s="174" t="s">
        <v>593</v>
      </c>
      <c r="H228" s="174" t="s">
        <v>92</v>
      </c>
      <c r="I228" s="175" t="s">
        <v>92</v>
      </c>
      <c r="J228" s="175" t="s">
        <v>1084</v>
      </c>
      <c r="K228" s="176" t="s">
        <v>1085</v>
      </c>
      <c r="L228" s="176">
        <v>6942419580</v>
      </c>
      <c r="M228" s="177" t="s">
        <v>1086</v>
      </c>
      <c r="N228" s="174" t="s">
        <v>72</v>
      </c>
      <c r="O228" s="177" t="s">
        <v>16</v>
      </c>
      <c r="S228" s="178">
        <v>225</v>
      </c>
      <c r="T228" s="181"/>
      <c r="Z228" s="183" t="s">
        <v>166</v>
      </c>
      <c r="AA228" s="184" t="s">
        <v>167</v>
      </c>
      <c r="AB228" t="s">
        <v>168</v>
      </c>
    </row>
    <row r="229" spans="1:32" s="180" customFormat="1" ht="16.5" customHeight="1" x14ac:dyDescent="0.25">
      <c r="A229" s="189"/>
      <c r="B229" s="170"/>
      <c r="C229" s="171"/>
      <c r="D229" s="172"/>
      <c r="E229" s="173">
        <v>227</v>
      </c>
      <c r="F229" s="174">
        <v>1394</v>
      </c>
      <c r="G229" s="174" t="s">
        <v>593</v>
      </c>
      <c r="H229" s="174" t="s">
        <v>92</v>
      </c>
      <c r="I229" s="175" t="s">
        <v>92</v>
      </c>
      <c r="J229" s="175" t="s">
        <v>1087</v>
      </c>
      <c r="K229" s="176" t="s">
        <v>1088</v>
      </c>
      <c r="L229" s="176" t="s">
        <v>1089</v>
      </c>
      <c r="M229" s="177" t="s">
        <v>878</v>
      </c>
      <c r="N229" s="174" t="s">
        <v>98</v>
      </c>
      <c r="O229" s="177" t="s">
        <v>16</v>
      </c>
      <c r="P229"/>
      <c r="Q229"/>
      <c r="R229"/>
      <c r="S229" s="178">
        <v>95</v>
      </c>
      <c r="T229" s="181"/>
      <c r="U229"/>
      <c r="V229" s="10"/>
      <c r="W229"/>
      <c r="X229"/>
      <c r="Y229"/>
      <c r="Z229" s="183" t="s">
        <v>166</v>
      </c>
      <c r="AA229" s="184" t="s">
        <v>167</v>
      </c>
      <c r="AB229" t="s">
        <v>168</v>
      </c>
      <c r="AC229"/>
      <c r="AD229"/>
      <c r="AF229"/>
    </row>
    <row r="230" spans="1:32" ht="16.5" customHeight="1" x14ac:dyDescent="0.25">
      <c r="C230" s="193"/>
      <c r="E230" s="173">
        <v>229</v>
      </c>
      <c r="F230" s="174" t="s">
        <v>21</v>
      </c>
      <c r="G230" s="174" t="s">
        <v>21</v>
      </c>
      <c r="H230" s="174" t="s">
        <v>100</v>
      </c>
      <c r="I230" s="175" t="s">
        <v>100</v>
      </c>
      <c r="J230" s="175" t="s">
        <v>16</v>
      </c>
      <c r="K230" s="176" t="s">
        <v>21</v>
      </c>
      <c r="L230" s="176" t="s">
        <v>21</v>
      </c>
      <c r="M230" s="177" t="s">
        <v>21</v>
      </c>
      <c r="N230" s="174" t="s">
        <v>21</v>
      </c>
      <c r="O230" s="177" t="s">
        <v>21</v>
      </c>
      <c r="S230" s="178">
        <v>226</v>
      </c>
      <c r="T230" s="181"/>
      <c r="Z230" s="183" t="s">
        <v>175</v>
      </c>
      <c r="AA230" s="184" t="s">
        <v>176</v>
      </c>
      <c r="AB230" t="s">
        <v>177</v>
      </c>
    </row>
    <row r="231" spans="1:32" ht="16.5" customHeight="1" x14ac:dyDescent="0.25">
      <c r="C231" s="193"/>
      <c r="E231" s="173">
        <v>230</v>
      </c>
      <c r="F231" s="174">
        <v>1238</v>
      </c>
      <c r="G231" s="174" t="s">
        <v>1090</v>
      </c>
      <c r="H231" s="174" t="s">
        <v>100</v>
      </c>
      <c r="I231" s="175" t="s">
        <v>100</v>
      </c>
      <c r="J231" s="175" t="s">
        <v>1091</v>
      </c>
      <c r="K231" s="176" t="s">
        <v>1092</v>
      </c>
      <c r="L231" s="176">
        <v>6987740677</v>
      </c>
      <c r="M231" s="177" t="s">
        <v>1093</v>
      </c>
      <c r="N231" s="174" t="s">
        <v>453</v>
      </c>
      <c r="O231" s="177" t="s">
        <v>1094</v>
      </c>
      <c r="S231" s="178">
        <v>227</v>
      </c>
      <c r="T231" s="181"/>
      <c r="Z231" s="183" t="s">
        <v>166</v>
      </c>
      <c r="AA231" s="184" t="s">
        <v>167</v>
      </c>
      <c r="AB231" t="s">
        <v>168</v>
      </c>
    </row>
    <row r="232" spans="1:32" ht="16.5" customHeight="1" x14ac:dyDescent="0.25">
      <c r="C232" s="193"/>
      <c r="E232" s="173">
        <v>231</v>
      </c>
      <c r="F232" s="174">
        <v>1239</v>
      </c>
      <c r="G232" s="174" t="s">
        <v>1090</v>
      </c>
      <c r="H232" s="174" t="s">
        <v>100</v>
      </c>
      <c r="I232" s="175" t="s">
        <v>100</v>
      </c>
      <c r="J232" s="175" t="s">
        <v>1095</v>
      </c>
      <c r="K232" s="176" t="s">
        <v>1092</v>
      </c>
      <c r="L232" s="176">
        <v>6938358727</v>
      </c>
      <c r="M232" s="177" t="s">
        <v>1096</v>
      </c>
      <c r="N232" s="174" t="s">
        <v>43</v>
      </c>
      <c r="O232" s="177" t="s">
        <v>1097</v>
      </c>
      <c r="S232" s="178">
        <v>228</v>
      </c>
      <c r="T232" s="181"/>
      <c r="Z232" s="183" t="s">
        <v>175</v>
      </c>
      <c r="AA232" s="184" t="s">
        <v>176</v>
      </c>
      <c r="AB232" t="s">
        <v>177</v>
      </c>
    </row>
    <row r="233" spans="1:32" ht="16.5" customHeight="1" x14ac:dyDescent="0.25">
      <c r="C233" s="193"/>
      <c r="E233" s="173">
        <v>232</v>
      </c>
      <c r="F233" s="174">
        <v>1240</v>
      </c>
      <c r="G233" s="174" t="s">
        <v>1090</v>
      </c>
      <c r="H233" s="174" t="s">
        <v>100</v>
      </c>
      <c r="I233" s="175" t="s">
        <v>100</v>
      </c>
      <c r="J233" s="175" t="s">
        <v>1098</v>
      </c>
      <c r="K233" s="176" t="s">
        <v>1092</v>
      </c>
      <c r="L233" s="176">
        <v>6945877218</v>
      </c>
      <c r="M233" s="177" t="s">
        <v>1099</v>
      </c>
      <c r="N233" s="174" t="s">
        <v>516</v>
      </c>
      <c r="O233" s="177" t="s">
        <v>1100</v>
      </c>
      <c r="S233" s="178">
        <v>229</v>
      </c>
      <c r="T233" s="181"/>
      <c r="Z233" s="183" t="s">
        <v>166</v>
      </c>
      <c r="AA233" s="184" t="s">
        <v>167</v>
      </c>
      <c r="AB233" t="s">
        <v>168</v>
      </c>
    </row>
    <row r="234" spans="1:32" ht="16.5" customHeight="1" x14ac:dyDescent="0.25">
      <c r="C234" s="193"/>
      <c r="E234" s="173">
        <v>233</v>
      </c>
      <c r="F234" s="174">
        <v>1241</v>
      </c>
      <c r="G234" s="174" t="s">
        <v>1090</v>
      </c>
      <c r="H234" s="174" t="s">
        <v>100</v>
      </c>
      <c r="I234" s="175" t="s">
        <v>100</v>
      </c>
      <c r="J234" s="175" t="s">
        <v>1101</v>
      </c>
      <c r="K234" s="176" t="s">
        <v>1092</v>
      </c>
      <c r="L234" s="176">
        <v>6972535708</v>
      </c>
      <c r="M234" s="177" t="s">
        <v>1102</v>
      </c>
      <c r="N234" s="174" t="s">
        <v>43</v>
      </c>
      <c r="O234" s="177" t="s">
        <v>1103</v>
      </c>
      <c r="S234" s="178">
        <v>230</v>
      </c>
      <c r="T234" s="181"/>
      <c r="Z234" s="183" t="s">
        <v>175</v>
      </c>
      <c r="AA234" s="184" t="s">
        <v>176</v>
      </c>
      <c r="AB234" t="s">
        <v>177</v>
      </c>
    </row>
    <row r="235" spans="1:32" ht="16.5" customHeight="1" x14ac:dyDescent="0.25">
      <c r="C235" s="193"/>
      <c r="E235" s="173">
        <v>234</v>
      </c>
      <c r="F235" s="174">
        <v>1242</v>
      </c>
      <c r="G235" s="174" t="s">
        <v>1090</v>
      </c>
      <c r="H235" s="174" t="s">
        <v>100</v>
      </c>
      <c r="I235" s="175" t="s">
        <v>100</v>
      </c>
      <c r="J235" s="175" t="s">
        <v>1104</v>
      </c>
      <c r="K235" s="176" t="s">
        <v>1092</v>
      </c>
      <c r="L235" s="176">
        <v>6981828992</v>
      </c>
      <c r="M235" s="177" t="s">
        <v>1105</v>
      </c>
      <c r="N235" s="174" t="s">
        <v>43</v>
      </c>
      <c r="O235" s="177" t="s">
        <v>1106</v>
      </c>
      <c r="S235" s="178">
        <v>231</v>
      </c>
      <c r="T235" s="181"/>
      <c r="Z235" s="183" t="s">
        <v>166</v>
      </c>
      <c r="AA235" s="184" t="s">
        <v>167</v>
      </c>
      <c r="AB235" t="s">
        <v>168</v>
      </c>
    </row>
    <row r="236" spans="1:32" ht="16.5" customHeight="1" x14ac:dyDescent="0.25">
      <c r="C236" s="193"/>
      <c r="E236" s="173">
        <v>235</v>
      </c>
      <c r="F236" s="174">
        <v>1243</v>
      </c>
      <c r="G236" s="174" t="s">
        <v>1090</v>
      </c>
      <c r="H236" s="174" t="s">
        <v>100</v>
      </c>
      <c r="I236" s="175" t="s">
        <v>100</v>
      </c>
      <c r="J236" s="175" t="s">
        <v>1107</v>
      </c>
      <c r="K236" s="176" t="s">
        <v>1092</v>
      </c>
      <c r="L236" s="176">
        <v>6980231814</v>
      </c>
      <c r="M236" s="177" t="s">
        <v>1108</v>
      </c>
      <c r="N236" s="174" t="s">
        <v>164</v>
      </c>
      <c r="O236" s="177" t="s">
        <v>1109</v>
      </c>
      <c r="S236" s="178">
        <v>232</v>
      </c>
      <c r="T236" s="181"/>
      <c r="Z236" s="183" t="s">
        <v>175</v>
      </c>
      <c r="AA236" s="184" t="s">
        <v>176</v>
      </c>
      <c r="AB236" t="s">
        <v>177</v>
      </c>
    </row>
    <row r="237" spans="1:32" ht="16.5" customHeight="1" x14ac:dyDescent="0.25">
      <c r="C237" s="193"/>
      <c r="E237" s="173">
        <v>236</v>
      </c>
      <c r="F237" s="174">
        <v>1244</v>
      </c>
      <c r="G237" s="174" t="s">
        <v>1090</v>
      </c>
      <c r="H237" s="174" t="s">
        <v>100</v>
      </c>
      <c r="I237" s="175" t="s">
        <v>100</v>
      </c>
      <c r="J237" s="175" t="s">
        <v>1110</v>
      </c>
      <c r="K237" s="176" t="s">
        <v>1092</v>
      </c>
      <c r="L237" s="176">
        <v>6946238179</v>
      </c>
      <c r="M237" s="177" t="s">
        <v>1111</v>
      </c>
      <c r="N237" s="174" t="s">
        <v>72</v>
      </c>
      <c r="O237" s="177" t="s">
        <v>1112</v>
      </c>
      <c r="S237" s="178">
        <v>233</v>
      </c>
      <c r="T237" s="181"/>
      <c r="Z237" s="183" t="s">
        <v>166</v>
      </c>
      <c r="AA237" s="184" t="s">
        <v>167</v>
      </c>
      <c r="AB237" t="s">
        <v>168</v>
      </c>
    </row>
    <row r="238" spans="1:32" ht="16.5" customHeight="1" x14ac:dyDescent="0.25">
      <c r="C238" s="193"/>
      <c r="E238" s="173">
        <v>237</v>
      </c>
      <c r="F238" s="174">
        <v>1245</v>
      </c>
      <c r="G238" s="174" t="s">
        <v>1090</v>
      </c>
      <c r="H238" s="174" t="s">
        <v>100</v>
      </c>
      <c r="I238" s="175" t="s">
        <v>100</v>
      </c>
      <c r="J238" s="175" t="s">
        <v>1113</v>
      </c>
      <c r="K238" s="176" t="s">
        <v>1092</v>
      </c>
      <c r="L238" s="176">
        <v>6949027222</v>
      </c>
      <c r="M238" s="177" t="s">
        <v>1114</v>
      </c>
      <c r="N238" s="174" t="s">
        <v>43</v>
      </c>
      <c r="O238" s="177" t="s">
        <v>1115</v>
      </c>
      <c r="S238" s="178">
        <v>234</v>
      </c>
      <c r="T238" s="181"/>
      <c r="Z238" s="183" t="s">
        <v>175</v>
      </c>
      <c r="AA238" s="184" t="s">
        <v>176</v>
      </c>
      <c r="AB238" t="s">
        <v>177</v>
      </c>
    </row>
    <row r="239" spans="1:32" ht="16.5" customHeight="1" x14ac:dyDescent="0.25">
      <c r="C239" s="193"/>
      <c r="E239" s="173">
        <v>238</v>
      </c>
      <c r="F239" s="174">
        <v>1246</v>
      </c>
      <c r="G239" s="174" t="s">
        <v>1090</v>
      </c>
      <c r="H239" s="174" t="s">
        <v>100</v>
      </c>
      <c r="I239" s="175" t="s">
        <v>100</v>
      </c>
      <c r="J239" s="175" t="s">
        <v>1116</v>
      </c>
      <c r="K239" s="176" t="s">
        <v>1092</v>
      </c>
      <c r="L239" s="176">
        <v>6947145973</v>
      </c>
      <c r="M239" s="177" t="s">
        <v>1117</v>
      </c>
      <c r="N239" s="174" t="s">
        <v>136</v>
      </c>
      <c r="O239" s="177" t="s">
        <v>1118</v>
      </c>
      <c r="S239" s="178">
        <v>235</v>
      </c>
      <c r="T239" s="181"/>
      <c r="Z239" s="183" t="s">
        <v>166</v>
      </c>
      <c r="AA239" s="184" t="s">
        <v>167</v>
      </c>
      <c r="AB239" t="s">
        <v>168</v>
      </c>
    </row>
    <row r="240" spans="1:32" ht="16.5" customHeight="1" x14ac:dyDescent="0.25">
      <c r="C240" s="193"/>
      <c r="E240" s="173">
        <v>239</v>
      </c>
      <c r="F240" s="174">
        <v>1247</v>
      </c>
      <c r="G240" s="174" t="s">
        <v>1090</v>
      </c>
      <c r="H240" s="174" t="s">
        <v>100</v>
      </c>
      <c r="I240" s="175" t="s">
        <v>100</v>
      </c>
      <c r="J240" s="175" t="s">
        <v>1119</v>
      </c>
      <c r="K240" s="176" t="s">
        <v>1092</v>
      </c>
      <c r="L240" s="176">
        <v>6942674803</v>
      </c>
      <c r="M240" s="177" t="s">
        <v>1120</v>
      </c>
      <c r="N240" s="174" t="s">
        <v>43</v>
      </c>
      <c r="O240" s="177" t="s">
        <v>1121</v>
      </c>
      <c r="S240" s="178">
        <v>236</v>
      </c>
      <c r="T240" s="181"/>
      <c r="Z240" s="183" t="s">
        <v>175</v>
      </c>
      <c r="AA240" s="184" t="s">
        <v>176</v>
      </c>
      <c r="AB240" t="s">
        <v>177</v>
      </c>
    </row>
    <row r="241" spans="1:32" s="180" customFormat="1" ht="16.5" customHeight="1" x14ac:dyDescent="0.25">
      <c r="A241" s="189"/>
      <c r="B241" s="170"/>
      <c r="C241" s="171"/>
      <c r="D241" s="172"/>
      <c r="E241" s="173">
        <v>240</v>
      </c>
      <c r="F241" s="174">
        <v>1248</v>
      </c>
      <c r="G241" s="174" t="s">
        <v>1090</v>
      </c>
      <c r="H241" s="174" t="s">
        <v>100</v>
      </c>
      <c r="I241" s="175" t="s">
        <v>100</v>
      </c>
      <c r="J241" s="175" t="s">
        <v>1122</v>
      </c>
      <c r="K241" s="176" t="s">
        <v>1092</v>
      </c>
      <c r="L241" s="176">
        <v>6987779674</v>
      </c>
      <c r="M241" s="177" t="s">
        <v>1123</v>
      </c>
      <c r="N241" s="174" t="s">
        <v>43</v>
      </c>
      <c r="O241" s="177" t="s">
        <v>1124</v>
      </c>
      <c r="P241"/>
      <c r="Q241"/>
      <c r="R241"/>
      <c r="S241" s="178">
        <v>237</v>
      </c>
      <c r="T241" s="181"/>
      <c r="U241"/>
      <c r="V241" s="10"/>
      <c r="W241"/>
      <c r="X241"/>
      <c r="Y241"/>
      <c r="Z241" s="183" t="s">
        <v>166</v>
      </c>
      <c r="AA241" s="184" t="s">
        <v>167</v>
      </c>
      <c r="AB241" t="s">
        <v>168</v>
      </c>
      <c r="AC241"/>
      <c r="AD241"/>
      <c r="AF241"/>
    </row>
    <row r="242" spans="1:32" ht="16.5" customHeight="1" x14ac:dyDescent="0.25">
      <c r="C242" s="193"/>
      <c r="E242" s="173">
        <v>241</v>
      </c>
      <c r="F242" s="174">
        <v>1249</v>
      </c>
      <c r="G242" s="174" t="s">
        <v>1090</v>
      </c>
      <c r="H242" s="174" t="s">
        <v>100</v>
      </c>
      <c r="I242" s="175" t="s">
        <v>100</v>
      </c>
      <c r="J242" s="175" t="s">
        <v>1125</v>
      </c>
      <c r="K242" s="176" t="s">
        <v>1092</v>
      </c>
      <c r="L242" s="176">
        <v>6937125752</v>
      </c>
      <c r="M242" s="177" t="s">
        <v>1126</v>
      </c>
      <c r="N242" s="174" t="s">
        <v>404</v>
      </c>
      <c r="O242" s="177" t="s">
        <v>1127</v>
      </c>
      <c r="S242" s="178">
        <v>238</v>
      </c>
      <c r="T242" s="181"/>
      <c r="Z242" s="183" t="s">
        <v>175</v>
      </c>
      <c r="AA242" s="184" t="s">
        <v>176</v>
      </c>
      <c r="AB242" t="s">
        <v>177</v>
      </c>
    </row>
    <row r="243" spans="1:32" ht="16.5" customHeight="1" x14ac:dyDescent="0.25">
      <c r="C243" s="193"/>
      <c r="E243" s="173">
        <v>242</v>
      </c>
      <c r="F243" s="174">
        <v>1250</v>
      </c>
      <c r="G243" s="174" t="s">
        <v>1090</v>
      </c>
      <c r="H243" s="174" t="s">
        <v>100</v>
      </c>
      <c r="I243" s="175" t="s">
        <v>100</v>
      </c>
      <c r="J243" s="175" t="s">
        <v>1128</v>
      </c>
      <c r="K243" s="176" t="s">
        <v>1092</v>
      </c>
      <c r="L243" s="176">
        <v>6944208681</v>
      </c>
      <c r="M243" s="177" t="s">
        <v>1129</v>
      </c>
      <c r="N243" s="174" t="s">
        <v>224</v>
      </c>
      <c r="O243" s="177" t="s">
        <v>1130</v>
      </c>
      <c r="S243" s="178">
        <v>239</v>
      </c>
      <c r="T243" s="181"/>
      <c r="Z243" s="183" t="s">
        <v>166</v>
      </c>
      <c r="AA243" s="184" t="s">
        <v>167</v>
      </c>
      <c r="AB243" t="s">
        <v>168</v>
      </c>
    </row>
    <row r="244" spans="1:32" ht="16.5" customHeight="1" x14ac:dyDescent="0.25">
      <c r="C244" s="193"/>
      <c r="E244" s="173">
        <v>243</v>
      </c>
      <c r="F244" s="174">
        <v>1251</v>
      </c>
      <c r="G244" s="174" t="s">
        <v>1090</v>
      </c>
      <c r="H244" s="174" t="s">
        <v>100</v>
      </c>
      <c r="I244" s="175" t="s">
        <v>100</v>
      </c>
      <c r="J244" s="175" t="s">
        <v>1131</v>
      </c>
      <c r="K244" s="176" t="s">
        <v>1092</v>
      </c>
      <c r="L244" s="176">
        <v>6942031589</v>
      </c>
      <c r="M244" s="177" t="s">
        <v>1132</v>
      </c>
      <c r="N244" s="174" t="s">
        <v>43</v>
      </c>
      <c r="O244" s="177" t="s">
        <v>1133</v>
      </c>
      <c r="S244" s="178">
        <v>240</v>
      </c>
      <c r="T244" s="181"/>
      <c r="Z244" s="183" t="s">
        <v>175</v>
      </c>
      <c r="AA244" s="184" t="s">
        <v>176</v>
      </c>
      <c r="AB244" t="s">
        <v>177</v>
      </c>
    </row>
    <row r="245" spans="1:32" ht="16.5" customHeight="1" x14ac:dyDescent="0.25">
      <c r="C245" s="193"/>
      <c r="E245" s="173">
        <v>244</v>
      </c>
      <c r="F245" s="174">
        <v>1252</v>
      </c>
      <c r="G245" s="174" t="s">
        <v>1090</v>
      </c>
      <c r="H245" s="174" t="s">
        <v>100</v>
      </c>
      <c r="I245" s="175" t="s">
        <v>100</v>
      </c>
      <c r="J245" s="175" t="s">
        <v>1134</v>
      </c>
      <c r="K245" s="176" t="s">
        <v>1092</v>
      </c>
      <c r="L245" s="176">
        <v>6937922234</v>
      </c>
      <c r="M245" s="177" t="s">
        <v>1135</v>
      </c>
      <c r="N245" s="174" t="s">
        <v>136</v>
      </c>
      <c r="O245" s="177" t="s">
        <v>1136</v>
      </c>
      <c r="S245" s="178">
        <v>241</v>
      </c>
      <c r="T245" s="181"/>
      <c r="Z245" s="183" t="s">
        <v>166</v>
      </c>
      <c r="AA245" s="184" t="s">
        <v>167</v>
      </c>
      <c r="AB245" t="s">
        <v>168</v>
      </c>
    </row>
    <row r="246" spans="1:32" ht="16.5" customHeight="1" x14ac:dyDescent="0.25">
      <c r="C246" s="193"/>
      <c r="E246" s="173">
        <v>245</v>
      </c>
      <c r="F246" s="174">
        <v>1253</v>
      </c>
      <c r="G246" s="174" t="s">
        <v>1090</v>
      </c>
      <c r="H246" s="174" t="s">
        <v>100</v>
      </c>
      <c r="I246" s="175" t="s">
        <v>100</v>
      </c>
      <c r="J246" s="175" t="s">
        <v>1137</v>
      </c>
      <c r="K246" s="176" t="s">
        <v>1092</v>
      </c>
      <c r="L246" s="176">
        <v>6946906906</v>
      </c>
      <c r="M246" s="177" t="s">
        <v>1138</v>
      </c>
      <c r="N246" s="174" t="s">
        <v>164</v>
      </c>
      <c r="O246" s="177" t="s">
        <v>1139</v>
      </c>
      <c r="S246" s="178">
        <v>242</v>
      </c>
      <c r="T246" s="181"/>
      <c r="Z246" s="183" t="s">
        <v>175</v>
      </c>
      <c r="AA246" s="184" t="s">
        <v>176</v>
      </c>
      <c r="AB246" t="s">
        <v>177</v>
      </c>
    </row>
    <row r="247" spans="1:32" ht="16.5" customHeight="1" x14ac:dyDescent="0.25">
      <c r="C247" s="193"/>
      <c r="E247" s="173">
        <v>246</v>
      </c>
      <c r="F247" s="174">
        <v>1254</v>
      </c>
      <c r="G247" s="174" t="s">
        <v>1090</v>
      </c>
      <c r="H247" s="174" t="s">
        <v>100</v>
      </c>
      <c r="I247" s="175" t="s">
        <v>100</v>
      </c>
      <c r="J247" s="175" t="s">
        <v>1140</v>
      </c>
      <c r="K247" s="176" t="s">
        <v>1092</v>
      </c>
      <c r="L247" s="176">
        <v>6972866890</v>
      </c>
      <c r="M247" s="177" t="s">
        <v>1141</v>
      </c>
      <c r="N247" s="174" t="s">
        <v>1142</v>
      </c>
      <c r="O247" s="177" t="s">
        <v>1143</v>
      </c>
      <c r="S247" s="178">
        <v>243</v>
      </c>
      <c r="T247" s="181"/>
      <c r="Z247" s="183" t="s">
        <v>166</v>
      </c>
      <c r="AA247" s="184" t="s">
        <v>167</v>
      </c>
      <c r="AB247" t="s">
        <v>168</v>
      </c>
    </row>
    <row r="248" spans="1:32" ht="16.5" customHeight="1" x14ac:dyDescent="0.25">
      <c r="C248" s="193"/>
      <c r="E248" s="173">
        <v>247</v>
      </c>
      <c r="F248" s="174">
        <v>1255</v>
      </c>
      <c r="G248" s="174" t="s">
        <v>1090</v>
      </c>
      <c r="H248" s="174" t="s">
        <v>100</v>
      </c>
      <c r="I248" s="175" t="s">
        <v>100</v>
      </c>
      <c r="J248" s="175" t="s">
        <v>1144</v>
      </c>
      <c r="K248" s="176" t="s">
        <v>1092</v>
      </c>
      <c r="L248" s="176">
        <v>6944228486</v>
      </c>
      <c r="M248" s="177" t="s">
        <v>1145</v>
      </c>
      <c r="N248" s="174" t="s">
        <v>224</v>
      </c>
      <c r="O248" s="177" t="s">
        <v>1146</v>
      </c>
      <c r="S248" s="178">
        <v>244</v>
      </c>
      <c r="T248" s="181"/>
      <c r="Z248" s="183" t="s">
        <v>175</v>
      </c>
      <c r="AA248" s="184" t="s">
        <v>176</v>
      </c>
      <c r="AB248" t="s">
        <v>177</v>
      </c>
    </row>
    <row r="249" spans="1:32" ht="16.5" customHeight="1" x14ac:dyDescent="0.25">
      <c r="C249" s="193"/>
      <c r="E249" s="173">
        <v>248</v>
      </c>
      <c r="F249" s="174">
        <v>1256</v>
      </c>
      <c r="G249" s="174" t="s">
        <v>1090</v>
      </c>
      <c r="H249" s="174" t="s">
        <v>100</v>
      </c>
      <c r="I249" s="175" t="s">
        <v>100</v>
      </c>
      <c r="J249" s="175" t="s">
        <v>1147</v>
      </c>
      <c r="K249" s="176" t="s">
        <v>1092</v>
      </c>
      <c r="L249" s="176">
        <v>6970340744</v>
      </c>
      <c r="M249" s="177" t="s">
        <v>1148</v>
      </c>
      <c r="N249" s="174" t="s">
        <v>1149</v>
      </c>
      <c r="O249" s="177" t="s">
        <v>1150</v>
      </c>
      <c r="S249" s="178">
        <v>245</v>
      </c>
      <c r="T249" s="181"/>
      <c r="Z249" s="183" t="s">
        <v>166</v>
      </c>
      <c r="AA249" s="184" t="s">
        <v>167</v>
      </c>
      <c r="AB249" t="s">
        <v>168</v>
      </c>
    </row>
    <row r="250" spans="1:32" ht="16.5" customHeight="1" x14ac:dyDescent="0.25">
      <c r="C250" s="193"/>
      <c r="E250" s="173">
        <v>249</v>
      </c>
      <c r="F250" s="174">
        <v>1257</v>
      </c>
      <c r="G250" s="174" t="s">
        <v>1090</v>
      </c>
      <c r="H250" s="174" t="s">
        <v>100</v>
      </c>
      <c r="I250" s="175" t="s">
        <v>100</v>
      </c>
      <c r="J250" s="175" t="s">
        <v>1151</v>
      </c>
      <c r="K250" s="176" t="s">
        <v>1092</v>
      </c>
      <c r="L250" s="176">
        <v>6945581886</v>
      </c>
      <c r="M250" s="177" t="s">
        <v>1152</v>
      </c>
      <c r="N250" s="174" t="s">
        <v>252</v>
      </c>
      <c r="O250" s="177" t="s">
        <v>1153</v>
      </c>
      <c r="S250" s="178">
        <v>246</v>
      </c>
      <c r="T250" s="181"/>
      <c r="Z250" s="183" t="s">
        <v>175</v>
      </c>
      <c r="AA250" s="184" t="s">
        <v>176</v>
      </c>
      <c r="AB250" t="s">
        <v>177</v>
      </c>
    </row>
    <row r="251" spans="1:32" ht="16.5" customHeight="1" x14ac:dyDescent="0.25">
      <c r="C251" s="193"/>
      <c r="E251" s="173">
        <v>250</v>
      </c>
      <c r="F251" s="174">
        <v>1258</v>
      </c>
      <c r="G251" s="174" t="s">
        <v>1090</v>
      </c>
      <c r="H251" s="174" t="s">
        <v>100</v>
      </c>
      <c r="I251" s="175" t="s">
        <v>100</v>
      </c>
      <c r="J251" s="175" t="s">
        <v>1154</v>
      </c>
      <c r="K251" s="176" t="s">
        <v>1092</v>
      </c>
      <c r="L251" s="176">
        <v>6946013959</v>
      </c>
      <c r="M251" s="177" t="s">
        <v>1155</v>
      </c>
      <c r="N251" s="174" t="s">
        <v>404</v>
      </c>
      <c r="O251" s="177" t="s">
        <v>1156</v>
      </c>
      <c r="S251" s="178">
        <v>247</v>
      </c>
      <c r="T251" s="181"/>
      <c r="Z251" s="183" t="s">
        <v>166</v>
      </c>
      <c r="AA251" s="184" t="s">
        <v>167</v>
      </c>
      <c r="AB251" t="s">
        <v>168</v>
      </c>
    </row>
    <row r="252" spans="1:32" ht="16.5" customHeight="1" x14ac:dyDescent="0.25">
      <c r="C252" s="193"/>
      <c r="E252" s="173">
        <v>251</v>
      </c>
      <c r="F252" s="174">
        <v>1259</v>
      </c>
      <c r="G252" s="174" t="s">
        <v>1090</v>
      </c>
      <c r="H252" s="174" t="s">
        <v>100</v>
      </c>
      <c r="I252" s="175" t="s">
        <v>100</v>
      </c>
      <c r="J252" s="175" t="s">
        <v>1157</v>
      </c>
      <c r="K252" s="176" t="s">
        <v>1092</v>
      </c>
      <c r="L252" s="176">
        <v>6981832606</v>
      </c>
      <c r="M252" s="177" t="s">
        <v>1158</v>
      </c>
      <c r="N252" s="174" t="s">
        <v>164</v>
      </c>
      <c r="O252" s="177" t="s">
        <v>1159</v>
      </c>
      <c r="S252" s="178">
        <v>248</v>
      </c>
      <c r="T252" s="181"/>
      <c r="Z252" s="183" t="s">
        <v>175</v>
      </c>
      <c r="AA252" s="184" t="s">
        <v>176</v>
      </c>
      <c r="AB252" t="s">
        <v>177</v>
      </c>
    </row>
    <row r="253" spans="1:32" ht="16.5" customHeight="1" x14ac:dyDescent="0.25">
      <c r="C253" s="193"/>
      <c r="E253" s="173">
        <v>252</v>
      </c>
      <c r="F253" s="174">
        <v>1260</v>
      </c>
      <c r="G253" s="174" t="s">
        <v>1090</v>
      </c>
      <c r="H253" s="174" t="s">
        <v>100</v>
      </c>
      <c r="I253" s="175" t="s">
        <v>100</v>
      </c>
      <c r="J253" s="175" t="s">
        <v>1160</v>
      </c>
      <c r="K253" s="176" t="s">
        <v>1092</v>
      </c>
      <c r="L253" s="176">
        <v>6932652897</v>
      </c>
      <c r="M253" s="177" t="s">
        <v>1161</v>
      </c>
      <c r="N253" s="174" t="s">
        <v>404</v>
      </c>
      <c r="O253" s="177" t="s">
        <v>1162</v>
      </c>
      <c r="S253" s="178">
        <v>249</v>
      </c>
      <c r="T253" s="181"/>
      <c r="Z253" s="183" t="s">
        <v>166</v>
      </c>
      <c r="AA253" s="184" t="s">
        <v>167</v>
      </c>
      <c r="AB253" t="s">
        <v>168</v>
      </c>
    </row>
    <row r="254" spans="1:32" ht="16.5" customHeight="1" x14ac:dyDescent="0.25">
      <c r="C254" s="193"/>
      <c r="E254" s="173">
        <v>253</v>
      </c>
      <c r="F254" s="174">
        <v>1261</v>
      </c>
      <c r="G254" s="174" t="s">
        <v>1090</v>
      </c>
      <c r="H254" s="174" t="s">
        <v>100</v>
      </c>
      <c r="I254" s="175" t="s">
        <v>100</v>
      </c>
      <c r="J254" s="175" t="s">
        <v>1163</v>
      </c>
      <c r="K254" s="176" t="s">
        <v>1092</v>
      </c>
      <c r="L254" s="176">
        <v>6948210294</v>
      </c>
      <c r="M254" s="177" t="s">
        <v>1164</v>
      </c>
      <c r="N254" s="174" t="s">
        <v>98</v>
      </c>
      <c r="O254" s="177" t="s">
        <v>1165</v>
      </c>
      <c r="S254" s="178">
        <v>250</v>
      </c>
      <c r="T254" s="181"/>
      <c r="Z254" s="183" t="s">
        <v>175</v>
      </c>
      <c r="AA254" s="184" t="s">
        <v>176</v>
      </c>
      <c r="AB254" t="s">
        <v>177</v>
      </c>
    </row>
    <row r="255" spans="1:32" ht="16.5" customHeight="1" x14ac:dyDescent="0.25">
      <c r="C255" s="193"/>
      <c r="E255" s="173">
        <v>254</v>
      </c>
      <c r="F255" s="174">
        <v>1262</v>
      </c>
      <c r="G255" s="174" t="s">
        <v>1090</v>
      </c>
      <c r="H255" s="174" t="s">
        <v>100</v>
      </c>
      <c r="I255" s="175" t="s">
        <v>100</v>
      </c>
      <c r="J255" s="175" t="s">
        <v>1166</v>
      </c>
      <c r="K255" s="176" t="s">
        <v>1092</v>
      </c>
      <c r="L255" s="176">
        <v>6979699580</v>
      </c>
      <c r="M255" s="177" t="s">
        <v>1167</v>
      </c>
      <c r="N255" s="174" t="s">
        <v>264</v>
      </c>
      <c r="O255" s="177" t="s">
        <v>1168</v>
      </c>
      <c r="S255" s="178">
        <v>251</v>
      </c>
      <c r="T255" s="181"/>
      <c r="Z255" s="183" t="s">
        <v>166</v>
      </c>
      <c r="AA255" s="184" t="s">
        <v>167</v>
      </c>
      <c r="AB255" t="s">
        <v>168</v>
      </c>
    </row>
    <row r="256" spans="1:32" ht="16.5" customHeight="1" x14ac:dyDescent="0.25">
      <c r="C256" s="193"/>
      <c r="E256" s="173">
        <v>255</v>
      </c>
      <c r="F256" s="174">
        <v>1263</v>
      </c>
      <c r="G256" s="174" t="s">
        <v>1090</v>
      </c>
      <c r="H256" s="174" t="s">
        <v>100</v>
      </c>
      <c r="I256" s="175" t="s">
        <v>100</v>
      </c>
      <c r="J256" s="175" t="s">
        <v>1169</v>
      </c>
      <c r="K256" s="176" t="s">
        <v>1092</v>
      </c>
      <c r="L256" s="176">
        <v>6946467821</v>
      </c>
      <c r="M256" s="177" t="s">
        <v>1170</v>
      </c>
      <c r="N256" s="174" t="s">
        <v>224</v>
      </c>
      <c r="O256" s="177" t="s">
        <v>1171</v>
      </c>
      <c r="S256" s="178">
        <v>252</v>
      </c>
      <c r="T256" s="181"/>
      <c r="Z256" s="183" t="s">
        <v>175</v>
      </c>
      <c r="AA256" s="184" t="s">
        <v>176</v>
      </c>
      <c r="AB256" t="s">
        <v>177</v>
      </c>
    </row>
    <row r="257" spans="1:32" ht="16.5" customHeight="1" x14ac:dyDescent="0.25">
      <c r="C257" s="193"/>
      <c r="E257" s="173">
        <v>256</v>
      </c>
      <c r="F257" s="174">
        <v>1264</v>
      </c>
      <c r="G257" s="174" t="s">
        <v>1090</v>
      </c>
      <c r="H257" s="174" t="s">
        <v>100</v>
      </c>
      <c r="I257" s="175" t="s">
        <v>100</v>
      </c>
      <c r="J257" s="175" t="s">
        <v>1172</v>
      </c>
      <c r="K257" s="176" t="s">
        <v>1092</v>
      </c>
      <c r="L257" s="176">
        <v>6972205991</v>
      </c>
      <c r="M257" s="177" t="s">
        <v>1173</v>
      </c>
      <c r="N257" s="174" t="s">
        <v>72</v>
      </c>
      <c r="O257" s="177" t="s">
        <v>1174</v>
      </c>
      <c r="S257" s="178">
        <v>253</v>
      </c>
      <c r="T257" s="181"/>
      <c r="Z257" s="183" t="s">
        <v>166</v>
      </c>
      <c r="AA257" s="184" t="s">
        <v>167</v>
      </c>
      <c r="AB257" t="s">
        <v>168</v>
      </c>
    </row>
    <row r="258" spans="1:32" ht="16.5" customHeight="1" x14ac:dyDescent="0.25">
      <c r="C258" s="193"/>
      <c r="E258" s="173">
        <v>257</v>
      </c>
      <c r="F258" s="174">
        <v>1265</v>
      </c>
      <c r="G258" s="174" t="s">
        <v>1090</v>
      </c>
      <c r="H258" s="174" t="s">
        <v>100</v>
      </c>
      <c r="I258" s="175" t="s">
        <v>100</v>
      </c>
      <c r="J258" s="175" t="s">
        <v>1175</v>
      </c>
      <c r="K258" s="176" t="s">
        <v>1092</v>
      </c>
      <c r="L258" s="176">
        <v>6974156544</v>
      </c>
      <c r="M258" s="177" t="s">
        <v>1176</v>
      </c>
      <c r="N258" s="174" t="s">
        <v>164</v>
      </c>
      <c r="O258" s="177" t="s">
        <v>1177</v>
      </c>
      <c r="S258" s="178">
        <v>254</v>
      </c>
      <c r="T258" s="181"/>
      <c r="Z258" s="183" t="s">
        <v>175</v>
      </c>
      <c r="AA258" s="184" t="s">
        <v>176</v>
      </c>
      <c r="AB258" t="s">
        <v>177</v>
      </c>
    </row>
    <row r="259" spans="1:32" ht="16.5" customHeight="1" x14ac:dyDescent="0.25">
      <c r="C259" s="193"/>
      <c r="E259" s="173">
        <v>258</v>
      </c>
      <c r="F259" s="174">
        <v>1266</v>
      </c>
      <c r="G259" s="174" t="s">
        <v>1090</v>
      </c>
      <c r="H259" s="174" t="s">
        <v>100</v>
      </c>
      <c r="I259" s="175" t="s">
        <v>100</v>
      </c>
      <c r="J259" s="175" t="s">
        <v>1178</v>
      </c>
      <c r="K259" s="176" t="s">
        <v>1092</v>
      </c>
      <c r="L259" s="176">
        <v>6975861728</v>
      </c>
      <c r="M259" s="177" t="s">
        <v>1179</v>
      </c>
      <c r="N259" s="174" t="s">
        <v>43</v>
      </c>
      <c r="O259" s="177" t="s">
        <v>1180</v>
      </c>
      <c r="S259" s="178">
        <v>255</v>
      </c>
      <c r="T259" s="181"/>
      <c r="Z259" s="183" t="s">
        <v>166</v>
      </c>
      <c r="AA259" s="184" t="s">
        <v>167</v>
      </c>
      <c r="AB259" t="s">
        <v>168</v>
      </c>
    </row>
    <row r="260" spans="1:32" ht="16.5" customHeight="1" x14ac:dyDescent="0.25">
      <c r="C260" s="193"/>
      <c r="E260" s="173">
        <v>259</v>
      </c>
      <c r="F260" s="174">
        <v>1267</v>
      </c>
      <c r="G260" s="174" t="s">
        <v>1090</v>
      </c>
      <c r="H260" s="174" t="s">
        <v>100</v>
      </c>
      <c r="I260" s="175" t="s">
        <v>100</v>
      </c>
      <c r="J260" s="175" t="s">
        <v>1181</v>
      </c>
      <c r="K260" s="176" t="s">
        <v>1092</v>
      </c>
      <c r="L260" s="176">
        <v>6945816094</v>
      </c>
      <c r="M260" s="177" t="s">
        <v>1182</v>
      </c>
      <c r="N260" s="174" t="s">
        <v>404</v>
      </c>
      <c r="O260" s="177" t="s">
        <v>1183</v>
      </c>
      <c r="S260" s="178">
        <v>256</v>
      </c>
      <c r="T260" s="181"/>
      <c r="Z260" s="183" t="s">
        <v>175</v>
      </c>
      <c r="AA260" s="184" t="s">
        <v>176</v>
      </c>
      <c r="AB260" t="s">
        <v>177</v>
      </c>
    </row>
    <row r="261" spans="1:32" ht="16.5" customHeight="1" x14ac:dyDescent="0.25">
      <c r="C261" s="193"/>
      <c r="E261" s="173">
        <v>260</v>
      </c>
      <c r="F261" s="174">
        <v>1268</v>
      </c>
      <c r="G261" s="174" t="s">
        <v>1090</v>
      </c>
      <c r="H261" s="174" t="s">
        <v>100</v>
      </c>
      <c r="I261" s="175" t="s">
        <v>100</v>
      </c>
      <c r="J261" s="175" t="s">
        <v>1184</v>
      </c>
      <c r="K261" s="176" t="s">
        <v>1092</v>
      </c>
      <c r="L261" s="176" t="s">
        <v>1185</v>
      </c>
      <c r="M261" s="177" t="s">
        <v>1186</v>
      </c>
      <c r="N261" s="174" t="s">
        <v>43</v>
      </c>
      <c r="O261" s="177" t="s">
        <v>1187</v>
      </c>
      <c r="P261" s="178"/>
      <c r="S261" s="178">
        <v>257</v>
      </c>
      <c r="T261" s="181"/>
      <c r="Z261" s="183" t="s">
        <v>166</v>
      </c>
      <c r="AA261" s="184" t="s">
        <v>167</v>
      </c>
      <c r="AB261" t="s">
        <v>168</v>
      </c>
    </row>
    <row r="262" spans="1:32" ht="16.5" customHeight="1" x14ac:dyDescent="0.25">
      <c r="C262" s="193"/>
      <c r="E262" s="173">
        <v>261</v>
      </c>
      <c r="F262" s="174" t="s">
        <v>21</v>
      </c>
      <c r="G262" s="174" t="s">
        <v>21</v>
      </c>
      <c r="H262" s="174" t="s">
        <v>110</v>
      </c>
      <c r="I262" s="175" t="s">
        <v>110</v>
      </c>
      <c r="J262" s="175" t="s">
        <v>16</v>
      </c>
      <c r="K262" s="176" t="s">
        <v>21</v>
      </c>
      <c r="L262" s="176" t="s">
        <v>21</v>
      </c>
      <c r="M262" s="177" t="s">
        <v>21</v>
      </c>
      <c r="N262" s="174" t="s">
        <v>21</v>
      </c>
      <c r="O262" s="177" t="s">
        <v>21</v>
      </c>
      <c r="S262" s="178">
        <v>258</v>
      </c>
      <c r="T262" s="181"/>
      <c r="Z262" s="183" t="s">
        <v>175</v>
      </c>
      <c r="AA262" s="184" t="s">
        <v>176</v>
      </c>
      <c r="AB262" t="s">
        <v>177</v>
      </c>
    </row>
    <row r="263" spans="1:32" ht="16.5" customHeight="1" x14ac:dyDescent="0.25">
      <c r="C263" s="193"/>
      <c r="E263" s="173">
        <v>262</v>
      </c>
      <c r="F263" s="174">
        <v>1395</v>
      </c>
      <c r="G263" s="174" t="s">
        <v>1188</v>
      </c>
      <c r="H263" s="174" t="s">
        <v>110</v>
      </c>
      <c r="I263" s="175" t="s">
        <v>110</v>
      </c>
      <c r="J263" s="175" t="s">
        <v>1189</v>
      </c>
      <c r="K263" s="176" t="s">
        <v>80</v>
      </c>
      <c r="L263" s="176" t="s">
        <v>1190</v>
      </c>
      <c r="M263" s="177" t="s">
        <v>1191</v>
      </c>
      <c r="N263" s="174" t="s">
        <v>1192</v>
      </c>
      <c r="O263" s="177" t="s">
        <v>1193</v>
      </c>
      <c r="S263" s="178">
        <v>268</v>
      </c>
      <c r="T263" s="181"/>
      <c r="Z263" s="183" t="s">
        <v>175</v>
      </c>
      <c r="AA263" s="184" t="s">
        <v>176</v>
      </c>
      <c r="AB263" t="s">
        <v>177</v>
      </c>
    </row>
    <row r="264" spans="1:32" ht="16.5" customHeight="1" x14ac:dyDescent="0.25">
      <c r="C264" s="193"/>
      <c r="E264" s="173">
        <v>263</v>
      </c>
      <c r="F264" s="174">
        <v>1396</v>
      </c>
      <c r="G264" s="174" t="s">
        <v>1188</v>
      </c>
      <c r="H264" s="174" t="s">
        <v>110</v>
      </c>
      <c r="I264" s="175" t="s">
        <v>110</v>
      </c>
      <c r="J264" s="175" t="s">
        <v>1194</v>
      </c>
      <c r="K264" s="176" t="s">
        <v>80</v>
      </c>
      <c r="L264" s="176">
        <v>6972440994</v>
      </c>
      <c r="M264" s="177" t="s">
        <v>1191</v>
      </c>
      <c r="N264" s="174" t="s">
        <v>72</v>
      </c>
      <c r="O264" s="177" t="s">
        <v>1195</v>
      </c>
      <c r="S264" s="178">
        <v>269</v>
      </c>
      <c r="T264" s="181"/>
      <c r="Z264" s="183" t="s">
        <v>166</v>
      </c>
      <c r="AA264" s="184" t="s">
        <v>167</v>
      </c>
      <c r="AB264" t="s">
        <v>168</v>
      </c>
    </row>
    <row r="265" spans="1:32" s="180" customFormat="1" ht="16.5" customHeight="1" x14ac:dyDescent="0.25">
      <c r="A265" s="189"/>
      <c r="B265" s="170"/>
      <c r="C265" s="171"/>
      <c r="D265" s="172"/>
      <c r="E265" s="173">
        <v>264</v>
      </c>
      <c r="F265" s="174">
        <v>1397</v>
      </c>
      <c r="G265" s="174" t="s">
        <v>1188</v>
      </c>
      <c r="H265" s="174" t="s">
        <v>110</v>
      </c>
      <c r="I265" s="175" t="s">
        <v>110</v>
      </c>
      <c r="J265" s="175" t="s">
        <v>1196</v>
      </c>
      <c r="K265" s="176" t="s">
        <v>80</v>
      </c>
      <c r="L265" s="176" t="s">
        <v>1197</v>
      </c>
      <c r="M265" s="177" t="s">
        <v>1191</v>
      </c>
      <c r="N265" s="174" t="s">
        <v>453</v>
      </c>
      <c r="O265" s="177" t="s">
        <v>1198</v>
      </c>
      <c r="P265"/>
      <c r="Q265"/>
      <c r="R265"/>
      <c r="S265" s="178">
        <v>270</v>
      </c>
      <c r="T265" s="181"/>
      <c r="U265"/>
      <c r="V265" s="10"/>
      <c r="W265"/>
      <c r="X265"/>
      <c r="Y265"/>
      <c r="Z265" s="183" t="s">
        <v>175</v>
      </c>
      <c r="AA265" s="184" t="s">
        <v>176</v>
      </c>
      <c r="AB265" t="s">
        <v>177</v>
      </c>
      <c r="AC265"/>
      <c r="AD265"/>
      <c r="AF265"/>
    </row>
    <row r="266" spans="1:32" ht="16.5" customHeight="1" x14ac:dyDescent="0.25">
      <c r="C266" s="193"/>
      <c r="E266" s="173">
        <v>265</v>
      </c>
      <c r="F266" s="174">
        <v>1398</v>
      </c>
      <c r="G266" s="174" t="s">
        <v>1188</v>
      </c>
      <c r="H266" s="174" t="s">
        <v>110</v>
      </c>
      <c r="I266" s="175" t="s">
        <v>110</v>
      </c>
      <c r="J266" s="175" t="s">
        <v>1199</v>
      </c>
      <c r="K266" s="176" t="s">
        <v>80</v>
      </c>
      <c r="L266" s="176" t="s">
        <v>1200</v>
      </c>
      <c r="M266" s="177" t="s">
        <v>1191</v>
      </c>
      <c r="N266" s="174" t="s">
        <v>337</v>
      </c>
      <c r="O266" s="177" t="s">
        <v>1201</v>
      </c>
      <c r="S266" s="178">
        <v>271</v>
      </c>
      <c r="T266" s="181"/>
      <c r="Z266" s="183" t="s">
        <v>166</v>
      </c>
      <c r="AA266" s="184" t="s">
        <v>167</v>
      </c>
      <c r="AB266" t="s">
        <v>168</v>
      </c>
    </row>
    <row r="267" spans="1:32" ht="16.5" customHeight="1" x14ac:dyDescent="0.25">
      <c r="C267" s="193"/>
      <c r="E267" s="173">
        <v>266</v>
      </c>
      <c r="F267" s="174">
        <v>1399</v>
      </c>
      <c r="G267" s="174" t="s">
        <v>1188</v>
      </c>
      <c r="H267" s="174" t="s">
        <v>110</v>
      </c>
      <c r="I267" s="175" t="s">
        <v>110</v>
      </c>
      <c r="J267" s="175" t="s">
        <v>1202</v>
      </c>
      <c r="K267" s="176" t="s">
        <v>80</v>
      </c>
      <c r="L267" s="176" t="s">
        <v>1203</v>
      </c>
      <c r="M267" s="177" t="s">
        <v>1191</v>
      </c>
      <c r="N267" s="174" t="s">
        <v>72</v>
      </c>
      <c r="O267" s="177" t="s">
        <v>1204</v>
      </c>
      <c r="S267" s="178">
        <v>272</v>
      </c>
      <c r="T267" s="181"/>
      <c r="Z267" s="183" t="s">
        <v>175</v>
      </c>
      <c r="AA267" s="184" t="s">
        <v>176</v>
      </c>
      <c r="AB267" t="s">
        <v>177</v>
      </c>
    </row>
    <row r="268" spans="1:32" ht="16.5" customHeight="1" x14ac:dyDescent="0.25">
      <c r="C268" s="193"/>
      <c r="E268" s="173">
        <v>267</v>
      </c>
      <c r="F268" s="174">
        <v>1400</v>
      </c>
      <c r="G268" s="174" t="s">
        <v>1188</v>
      </c>
      <c r="H268" s="174" t="s">
        <v>110</v>
      </c>
      <c r="I268" s="175" t="s">
        <v>110</v>
      </c>
      <c r="J268" s="175" t="s">
        <v>1205</v>
      </c>
      <c r="K268" s="176" t="s">
        <v>80</v>
      </c>
      <c r="L268" s="176" t="s">
        <v>1206</v>
      </c>
      <c r="M268" s="177" t="s">
        <v>1191</v>
      </c>
      <c r="N268" s="174" t="s">
        <v>1207</v>
      </c>
      <c r="O268" s="177" t="s">
        <v>1208</v>
      </c>
      <c r="S268" s="178">
        <v>273</v>
      </c>
      <c r="T268" s="181"/>
      <c r="Z268" s="183" t="s">
        <v>166</v>
      </c>
      <c r="AA268" s="184" t="s">
        <v>167</v>
      </c>
      <c r="AB268" t="s">
        <v>168</v>
      </c>
    </row>
    <row r="269" spans="1:32" ht="16.5" customHeight="1" x14ac:dyDescent="0.25">
      <c r="C269" s="193"/>
      <c r="E269" s="173">
        <v>268</v>
      </c>
      <c r="F269" s="174">
        <v>1401</v>
      </c>
      <c r="G269" s="174" t="s">
        <v>1188</v>
      </c>
      <c r="H269" s="174" t="s">
        <v>110</v>
      </c>
      <c r="I269" s="175" t="s">
        <v>110</v>
      </c>
      <c r="J269" s="175" t="s">
        <v>1209</v>
      </c>
      <c r="K269" s="176" t="s">
        <v>80</v>
      </c>
      <c r="L269" s="176" t="s">
        <v>1210</v>
      </c>
      <c r="M269" s="177" t="s">
        <v>1191</v>
      </c>
      <c r="N269" s="174" t="s">
        <v>337</v>
      </c>
      <c r="O269" s="177" t="s">
        <v>1211</v>
      </c>
      <c r="S269" s="178">
        <v>274</v>
      </c>
      <c r="T269" s="181"/>
      <c r="Z269" s="183" t="s">
        <v>175</v>
      </c>
      <c r="AA269" s="184" t="s">
        <v>176</v>
      </c>
      <c r="AB269" t="s">
        <v>177</v>
      </c>
    </row>
    <row r="270" spans="1:32" ht="16.5" customHeight="1" x14ac:dyDescent="0.25">
      <c r="C270" s="193"/>
      <c r="E270" s="173">
        <v>269</v>
      </c>
      <c r="F270" s="174">
        <v>1402</v>
      </c>
      <c r="G270" s="174" t="s">
        <v>1188</v>
      </c>
      <c r="H270" s="174" t="s">
        <v>110</v>
      </c>
      <c r="I270" s="175" t="s">
        <v>110</v>
      </c>
      <c r="J270" s="175" t="s">
        <v>1212</v>
      </c>
      <c r="K270" s="176" t="s">
        <v>80</v>
      </c>
      <c r="L270" s="176" t="s">
        <v>1213</v>
      </c>
      <c r="M270" s="177" t="s">
        <v>1191</v>
      </c>
      <c r="N270" s="174" t="s">
        <v>1192</v>
      </c>
      <c r="O270" s="177" t="s">
        <v>1214</v>
      </c>
      <c r="S270" s="178">
        <v>275</v>
      </c>
      <c r="T270" s="181"/>
      <c r="Z270" s="183" t="s">
        <v>166</v>
      </c>
      <c r="AA270" s="184" t="s">
        <v>167</v>
      </c>
      <c r="AB270" t="s">
        <v>168</v>
      </c>
    </row>
    <row r="271" spans="1:32" ht="16.5" customHeight="1" x14ac:dyDescent="0.25">
      <c r="C271" s="193"/>
      <c r="E271" s="173">
        <v>270</v>
      </c>
      <c r="F271" s="174">
        <v>1403</v>
      </c>
      <c r="G271" s="174" t="s">
        <v>1188</v>
      </c>
      <c r="H271" s="174" t="s">
        <v>110</v>
      </c>
      <c r="I271" s="175" t="s">
        <v>110</v>
      </c>
      <c r="J271" s="175" t="s">
        <v>1215</v>
      </c>
      <c r="K271" s="176" t="s">
        <v>80</v>
      </c>
      <c r="L271" s="176" t="s">
        <v>1216</v>
      </c>
      <c r="M271" s="177" t="s">
        <v>1191</v>
      </c>
      <c r="N271" s="174" t="s">
        <v>43</v>
      </c>
      <c r="O271" s="177" t="s">
        <v>1217</v>
      </c>
      <c r="S271" s="178">
        <v>276</v>
      </c>
      <c r="T271" s="181"/>
      <c r="Z271" s="183" t="s">
        <v>175</v>
      </c>
      <c r="AA271" s="184" t="s">
        <v>176</v>
      </c>
      <c r="AB271" t="s">
        <v>177</v>
      </c>
    </row>
    <row r="272" spans="1:32" ht="16.5" customHeight="1" x14ac:dyDescent="0.25">
      <c r="C272" s="193"/>
      <c r="E272" s="173">
        <v>271</v>
      </c>
      <c r="F272" s="174">
        <v>1404</v>
      </c>
      <c r="G272" s="174" t="s">
        <v>1188</v>
      </c>
      <c r="H272" s="174" t="s">
        <v>110</v>
      </c>
      <c r="I272" s="175" t="s">
        <v>110</v>
      </c>
      <c r="J272" s="175" t="s">
        <v>1218</v>
      </c>
      <c r="K272" s="176" t="s">
        <v>80</v>
      </c>
      <c r="L272" s="176" t="s">
        <v>1219</v>
      </c>
      <c r="M272" s="177" t="s">
        <v>1191</v>
      </c>
      <c r="N272" s="174" t="s">
        <v>453</v>
      </c>
      <c r="O272" s="177" t="s">
        <v>1220</v>
      </c>
      <c r="P272" s="178"/>
      <c r="S272" s="178">
        <v>277</v>
      </c>
      <c r="T272" s="181"/>
      <c r="Z272" s="183" t="s">
        <v>166</v>
      </c>
      <c r="AA272" s="184" t="s">
        <v>167</v>
      </c>
      <c r="AB272" t="s">
        <v>168</v>
      </c>
    </row>
    <row r="273" spans="1:32" ht="16.5" customHeight="1" x14ac:dyDescent="0.25">
      <c r="C273" s="193"/>
      <c r="E273" s="173">
        <v>272</v>
      </c>
      <c r="F273" s="174">
        <v>1405</v>
      </c>
      <c r="G273" s="174" t="s">
        <v>1188</v>
      </c>
      <c r="H273" s="174" t="s">
        <v>110</v>
      </c>
      <c r="I273" s="175" t="s">
        <v>110</v>
      </c>
      <c r="J273" s="175" t="s">
        <v>1221</v>
      </c>
      <c r="K273" s="176" t="s">
        <v>80</v>
      </c>
      <c r="L273" s="176" t="s">
        <v>1222</v>
      </c>
      <c r="M273" s="177" t="s">
        <v>1191</v>
      </c>
      <c r="N273" s="174" t="s">
        <v>398</v>
      </c>
      <c r="O273" s="177" t="s">
        <v>1223</v>
      </c>
      <c r="S273" s="178">
        <v>278</v>
      </c>
      <c r="T273" s="181"/>
      <c r="Z273" s="183" t="s">
        <v>175</v>
      </c>
      <c r="AA273" s="184" t="s">
        <v>176</v>
      </c>
      <c r="AB273" t="s">
        <v>177</v>
      </c>
    </row>
    <row r="274" spans="1:32" ht="16.5" customHeight="1" x14ac:dyDescent="0.25">
      <c r="C274" s="193"/>
      <c r="E274" s="173">
        <v>273</v>
      </c>
      <c r="F274" s="174">
        <v>1406</v>
      </c>
      <c r="G274" s="174" t="s">
        <v>1188</v>
      </c>
      <c r="H274" s="174" t="s">
        <v>110</v>
      </c>
      <c r="I274" s="175" t="s">
        <v>110</v>
      </c>
      <c r="J274" s="175" t="s">
        <v>1224</v>
      </c>
      <c r="K274" s="176" t="s">
        <v>80</v>
      </c>
      <c r="L274" s="176" t="s">
        <v>1225</v>
      </c>
      <c r="M274" s="177" t="s">
        <v>1191</v>
      </c>
      <c r="N274" s="174" t="s">
        <v>337</v>
      </c>
      <c r="O274" s="177" t="s">
        <v>1226</v>
      </c>
      <c r="S274" s="178">
        <v>279</v>
      </c>
      <c r="T274" s="181"/>
      <c r="Z274" s="183" t="s">
        <v>166</v>
      </c>
      <c r="AA274" s="184" t="s">
        <v>167</v>
      </c>
      <c r="AB274" t="s">
        <v>168</v>
      </c>
    </row>
    <row r="275" spans="1:32" ht="16.5" customHeight="1" x14ac:dyDescent="0.25">
      <c r="C275" s="193"/>
      <c r="E275" s="173">
        <v>274</v>
      </c>
      <c r="F275" s="174">
        <v>1407</v>
      </c>
      <c r="G275" s="174" t="s">
        <v>1188</v>
      </c>
      <c r="H275" s="174" t="s">
        <v>110</v>
      </c>
      <c r="I275" s="175" t="s">
        <v>110</v>
      </c>
      <c r="J275" s="175" t="s">
        <v>1227</v>
      </c>
      <c r="K275" s="176" t="s">
        <v>80</v>
      </c>
      <c r="L275" s="176" t="s">
        <v>1228</v>
      </c>
      <c r="M275" s="177" t="s">
        <v>1191</v>
      </c>
      <c r="N275" s="174" t="s">
        <v>164</v>
      </c>
      <c r="O275" s="177" t="s">
        <v>1229</v>
      </c>
      <c r="S275" s="178">
        <v>280</v>
      </c>
      <c r="T275" s="181"/>
      <c r="Z275" s="183" t="s">
        <v>175</v>
      </c>
      <c r="AA275" s="184" t="s">
        <v>176</v>
      </c>
      <c r="AB275" t="s">
        <v>177</v>
      </c>
    </row>
    <row r="276" spans="1:32" ht="16.5" customHeight="1" x14ac:dyDescent="0.25">
      <c r="C276" s="193"/>
      <c r="E276" s="173">
        <v>275</v>
      </c>
      <c r="F276" s="174">
        <v>1408</v>
      </c>
      <c r="G276" s="174" t="s">
        <v>1188</v>
      </c>
      <c r="H276" s="174" t="s">
        <v>110</v>
      </c>
      <c r="I276" s="175" t="s">
        <v>110</v>
      </c>
      <c r="J276" s="175" t="s">
        <v>1230</v>
      </c>
      <c r="K276" s="176" t="s">
        <v>1231</v>
      </c>
      <c r="L276" s="176" t="s">
        <v>1232</v>
      </c>
      <c r="M276" s="177" t="s">
        <v>1233</v>
      </c>
      <c r="N276" s="174" t="s">
        <v>1234</v>
      </c>
      <c r="O276" s="177" t="s">
        <v>1235</v>
      </c>
      <c r="S276" s="178">
        <v>281</v>
      </c>
      <c r="T276" s="181"/>
      <c r="Z276" s="183" t="s">
        <v>166</v>
      </c>
      <c r="AA276" s="184" t="s">
        <v>167</v>
      </c>
      <c r="AB276" t="s">
        <v>168</v>
      </c>
    </row>
    <row r="277" spans="1:32" ht="16.5" customHeight="1" x14ac:dyDescent="0.25">
      <c r="C277" s="193"/>
      <c r="E277" s="173">
        <v>276</v>
      </c>
      <c r="F277" s="174">
        <v>1409</v>
      </c>
      <c r="G277" s="174" t="s">
        <v>1188</v>
      </c>
      <c r="H277" s="174" t="s">
        <v>110</v>
      </c>
      <c r="I277" s="175" t="s">
        <v>110</v>
      </c>
      <c r="J277" s="175" t="s">
        <v>1236</v>
      </c>
      <c r="K277" s="176" t="s">
        <v>80</v>
      </c>
      <c r="L277" s="176" t="s">
        <v>1237</v>
      </c>
      <c r="M277" s="177" t="s">
        <v>1238</v>
      </c>
      <c r="N277" s="174" t="s">
        <v>337</v>
      </c>
      <c r="O277" s="177" t="s">
        <v>1239</v>
      </c>
      <c r="S277" s="178">
        <v>282</v>
      </c>
      <c r="T277" s="181"/>
      <c r="Z277" s="183" t="s">
        <v>175</v>
      </c>
      <c r="AA277" s="184" t="s">
        <v>176</v>
      </c>
      <c r="AB277" t="s">
        <v>177</v>
      </c>
    </row>
    <row r="278" spans="1:32" ht="16.5" customHeight="1" x14ac:dyDescent="0.25">
      <c r="C278" s="193"/>
      <c r="E278" s="173">
        <v>277</v>
      </c>
      <c r="F278" s="174">
        <v>1410</v>
      </c>
      <c r="G278" s="174" t="s">
        <v>1188</v>
      </c>
      <c r="H278" s="174" t="s">
        <v>110</v>
      </c>
      <c r="I278" s="175" t="s">
        <v>110</v>
      </c>
      <c r="J278" s="175" t="s">
        <v>1240</v>
      </c>
      <c r="K278" s="176" t="s">
        <v>80</v>
      </c>
      <c r="L278" s="176" t="s">
        <v>1241</v>
      </c>
      <c r="M278" s="177" t="s">
        <v>1191</v>
      </c>
      <c r="N278" s="174" t="s">
        <v>1242</v>
      </c>
      <c r="O278" s="177" t="s">
        <v>1243</v>
      </c>
      <c r="S278" s="178">
        <v>283</v>
      </c>
      <c r="T278" s="181"/>
      <c r="Z278" s="183" t="s">
        <v>166</v>
      </c>
      <c r="AA278" s="184" t="s">
        <v>167</v>
      </c>
      <c r="AB278" t="s">
        <v>168</v>
      </c>
    </row>
    <row r="279" spans="1:32" ht="16.5" customHeight="1" x14ac:dyDescent="0.25">
      <c r="C279" s="193"/>
      <c r="E279" s="173">
        <v>278</v>
      </c>
      <c r="F279" s="174">
        <v>1411</v>
      </c>
      <c r="G279" s="174" t="s">
        <v>1188</v>
      </c>
      <c r="H279" s="174" t="s">
        <v>110</v>
      </c>
      <c r="I279" s="175" t="s">
        <v>110</v>
      </c>
      <c r="J279" s="175" t="s">
        <v>1244</v>
      </c>
      <c r="K279" s="176" t="s">
        <v>80</v>
      </c>
      <c r="L279" s="176" t="s">
        <v>1245</v>
      </c>
      <c r="M279" s="177" t="s">
        <v>1191</v>
      </c>
      <c r="N279" s="174" t="s">
        <v>482</v>
      </c>
      <c r="O279" s="177" t="s">
        <v>1246</v>
      </c>
      <c r="S279" s="178">
        <v>284</v>
      </c>
      <c r="T279" s="181"/>
      <c r="Z279" s="183" t="s">
        <v>175</v>
      </c>
      <c r="AA279" s="184" t="s">
        <v>176</v>
      </c>
      <c r="AB279" t="s">
        <v>177</v>
      </c>
    </row>
    <row r="280" spans="1:32" ht="16.5" customHeight="1" x14ac:dyDescent="0.25">
      <c r="C280" s="193"/>
      <c r="E280" s="173">
        <v>279</v>
      </c>
      <c r="F280" s="174">
        <v>1412</v>
      </c>
      <c r="G280" s="174" t="s">
        <v>1188</v>
      </c>
      <c r="H280" s="174" t="s">
        <v>110</v>
      </c>
      <c r="I280" s="175" t="s">
        <v>110</v>
      </c>
      <c r="J280" s="175" t="s">
        <v>1247</v>
      </c>
      <c r="K280" s="176" t="s">
        <v>80</v>
      </c>
      <c r="L280" s="176" t="s">
        <v>1248</v>
      </c>
      <c r="M280" s="177" t="s">
        <v>1191</v>
      </c>
      <c r="N280" s="174" t="s">
        <v>43</v>
      </c>
      <c r="O280" s="177" t="s">
        <v>1249</v>
      </c>
      <c r="S280" s="178">
        <v>285</v>
      </c>
      <c r="T280" s="181"/>
      <c r="Z280" s="183" t="s">
        <v>166</v>
      </c>
      <c r="AA280" s="184" t="s">
        <v>167</v>
      </c>
      <c r="AB280" t="s">
        <v>168</v>
      </c>
    </row>
    <row r="281" spans="1:32" ht="16.5" customHeight="1" x14ac:dyDescent="0.25">
      <c r="C281" s="193"/>
      <c r="E281" s="173">
        <v>280</v>
      </c>
      <c r="F281" s="174">
        <v>1413</v>
      </c>
      <c r="G281" s="174" t="s">
        <v>1188</v>
      </c>
      <c r="H281" s="174" t="s">
        <v>110</v>
      </c>
      <c r="I281" s="175" t="s">
        <v>110</v>
      </c>
      <c r="J281" s="175" t="s">
        <v>1250</v>
      </c>
      <c r="K281" s="176" t="s">
        <v>80</v>
      </c>
      <c r="L281" s="176">
        <v>6983956556</v>
      </c>
      <c r="M281" s="177" t="s">
        <v>1191</v>
      </c>
      <c r="N281" s="174" t="s">
        <v>72</v>
      </c>
      <c r="O281" s="177" t="s">
        <v>1251</v>
      </c>
      <c r="S281" s="178">
        <v>286</v>
      </c>
      <c r="T281" s="181"/>
      <c r="Z281" s="183" t="s">
        <v>175</v>
      </c>
      <c r="AA281" s="184" t="s">
        <v>176</v>
      </c>
      <c r="AB281" t="s">
        <v>177</v>
      </c>
    </row>
    <row r="282" spans="1:32" ht="16.5" customHeight="1" x14ac:dyDescent="0.25">
      <c r="C282" s="193"/>
      <c r="E282" s="173">
        <v>281</v>
      </c>
      <c r="F282" s="174" t="s">
        <v>21</v>
      </c>
      <c r="G282" s="174" t="s">
        <v>21</v>
      </c>
      <c r="H282" s="174" t="s">
        <v>115</v>
      </c>
      <c r="I282" s="175" t="s">
        <v>115</v>
      </c>
      <c r="J282" s="175" t="s">
        <v>16</v>
      </c>
      <c r="K282" s="176" t="s">
        <v>21</v>
      </c>
      <c r="L282" s="176" t="s">
        <v>21</v>
      </c>
      <c r="M282" s="177" t="s">
        <v>21</v>
      </c>
      <c r="N282" s="174" t="s">
        <v>21</v>
      </c>
      <c r="O282" s="177" t="s">
        <v>21</v>
      </c>
      <c r="S282" s="178">
        <v>287</v>
      </c>
      <c r="T282" s="181"/>
      <c r="Z282" s="183" t="s">
        <v>166</v>
      </c>
      <c r="AA282" s="184" t="s">
        <v>167</v>
      </c>
      <c r="AB282" t="s">
        <v>168</v>
      </c>
    </row>
    <row r="283" spans="1:32" ht="16.5" customHeight="1" x14ac:dyDescent="0.25">
      <c r="C283" s="193"/>
      <c r="E283" s="173">
        <v>282</v>
      </c>
      <c r="F283" s="174">
        <v>1001</v>
      </c>
      <c r="G283" s="174" t="s">
        <v>1252</v>
      </c>
      <c r="H283" s="174" t="s">
        <v>115</v>
      </c>
      <c r="I283" s="175" t="s">
        <v>115</v>
      </c>
      <c r="J283" s="175" t="s">
        <v>1253</v>
      </c>
      <c r="K283" s="176" t="s">
        <v>1254</v>
      </c>
      <c r="L283" s="176" t="s">
        <v>1255</v>
      </c>
      <c r="M283" s="177" t="s">
        <v>1256</v>
      </c>
      <c r="N283" s="174" t="s">
        <v>43</v>
      </c>
      <c r="O283" s="177" t="s">
        <v>1257</v>
      </c>
      <c r="S283" s="178">
        <v>288</v>
      </c>
      <c r="T283" s="181"/>
      <c r="Z283" s="183" t="s">
        <v>175</v>
      </c>
      <c r="AA283" s="184" t="s">
        <v>176</v>
      </c>
      <c r="AB283" t="s">
        <v>177</v>
      </c>
    </row>
    <row r="284" spans="1:32" ht="16.5" customHeight="1" x14ac:dyDescent="0.25">
      <c r="C284" s="193"/>
      <c r="E284" s="173">
        <v>283</v>
      </c>
      <c r="F284" s="174">
        <v>1002</v>
      </c>
      <c r="G284" s="174" t="s">
        <v>1252</v>
      </c>
      <c r="H284" s="174" t="s">
        <v>115</v>
      </c>
      <c r="I284" s="175" t="s">
        <v>115</v>
      </c>
      <c r="J284" s="175" t="s">
        <v>1258</v>
      </c>
      <c r="K284" s="176" t="s">
        <v>1254</v>
      </c>
      <c r="L284" s="176" t="s">
        <v>1259</v>
      </c>
      <c r="M284" s="177" t="s">
        <v>1260</v>
      </c>
      <c r="N284" s="174" t="s">
        <v>98</v>
      </c>
      <c r="O284" s="177" t="s">
        <v>1261</v>
      </c>
      <c r="S284" s="178">
        <v>289</v>
      </c>
      <c r="T284" s="181"/>
      <c r="Z284" s="183" t="s">
        <v>166</v>
      </c>
      <c r="AA284" s="184" t="s">
        <v>167</v>
      </c>
      <c r="AB284" t="s">
        <v>168</v>
      </c>
    </row>
    <row r="285" spans="1:32" s="180" customFormat="1" ht="16.5" customHeight="1" x14ac:dyDescent="0.25">
      <c r="A285" s="189"/>
      <c r="B285" s="170"/>
      <c r="C285" s="171"/>
      <c r="D285" s="172"/>
      <c r="E285" s="173">
        <v>284</v>
      </c>
      <c r="F285" s="174">
        <v>1003</v>
      </c>
      <c r="G285" s="174" t="s">
        <v>1252</v>
      </c>
      <c r="H285" s="174" t="s">
        <v>115</v>
      </c>
      <c r="I285" s="175" t="s">
        <v>115</v>
      </c>
      <c r="J285" s="175" t="s">
        <v>1262</v>
      </c>
      <c r="K285" s="176" t="s">
        <v>1254</v>
      </c>
      <c r="L285" s="176" t="s">
        <v>1263</v>
      </c>
      <c r="M285" s="177" t="s">
        <v>1264</v>
      </c>
      <c r="N285" s="174" t="s">
        <v>1265</v>
      </c>
      <c r="O285" s="177" t="s">
        <v>1266</v>
      </c>
      <c r="P285"/>
      <c r="Q285"/>
      <c r="R285"/>
      <c r="S285" s="178">
        <v>290</v>
      </c>
      <c r="T285" s="181"/>
      <c r="U285"/>
      <c r="V285" s="10"/>
      <c r="W285"/>
      <c r="X285"/>
      <c r="Y285"/>
      <c r="Z285" s="183" t="s">
        <v>175</v>
      </c>
      <c r="AA285" s="184" t="s">
        <v>176</v>
      </c>
      <c r="AB285" t="s">
        <v>177</v>
      </c>
      <c r="AC285"/>
      <c r="AD285"/>
      <c r="AF285"/>
    </row>
    <row r="286" spans="1:32" ht="16.5" customHeight="1" x14ac:dyDescent="0.25">
      <c r="C286" s="193"/>
      <c r="E286" s="173">
        <v>285</v>
      </c>
      <c r="F286" s="174">
        <v>1004</v>
      </c>
      <c r="G286" s="174" t="s">
        <v>1252</v>
      </c>
      <c r="H286" s="174" t="s">
        <v>115</v>
      </c>
      <c r="I286" s="175" t="s">
        <v>115</v>
      </c>
      <c r="J286" s="175" t="s">
        <v>1267</v>
      </c>
      <c r="K286" s="176" t="s">
        <v>1268</v>
      </c>
      <c r="L286" s="176">
        <v>6978300669</v>
      </c>
      <c r="M286" s="177" t="s">
        <v>16</v>
      </c>
      <c r="N286" s="174" t="s">
        <v>43</v>
      </c>
      <c r="O286" s="177" t="s">
        <v>1269</v>
      </c>
      <c r="S286" s="178">
        <v>291</v>
      </c>
      <c r="T286" s="181"/>
      <c r="Z286" s="183" t="s">
        <v>166</v>
      </c>
      <c r="AA286" s="184" t="s">
        <v>167</v>
      </c>
      <c r="AB286" t="s">
        <v>168</v>
      </c>
    </row>
    <row r="287" spans="1:32" ht="16.5" customHeight="1" x14ac:dyDescent="0.25">
      <c r="C287" s="193"/>
      <c r="E287" s="173">
        <v>286</v>
      </c>
      <c r="F287" s="174">
        <v>1005</v>
      </c>
      <c r="G287" s="174" t="s">
        <v>1252</v>
      </c>
      <c r="H287" s="174" t="s">
        <v>115</v>
      </c>
      <c r="I287" s="175" t="s">
        <v>115</v>
      </c>
      <c r="J287" s="175" t="s">
        <v>1270</v>
      </c>
      <c r="K287" s="176" t="s">
        <v>1254</v>
      </c>
      <c r="L287" s="176" t="s">
        <v>1271</v>
      </c>
      <c r="M287" s="177" t="s">
        <v>1272</v>
      </c>
      <c r="N287" s="174" t="s">
        <v>43</v>
      </c>
      <c r="O287" s="177" t="s">
        <v>1273</v>
      </c>
      <c r="S287" s="178">
        <v>292</v>
      </c>
      <c r="T287" s="181"/>
      <c r="Z287" s="183" t="s">
        <v>175</v>
      </c>
      <c r="AA287" s="184" t="s">
        <v>176</v>
      </c>
      <c r="AB287" t="s">
        <v>177</v>
      </c>
    </row>
    <row r="288" spans="1:32" ht="16.5" customHeight="1" x14ac:dyDescent="0.25">
      <c r="C288" s="193"/>
      <c r="E288" s="173">
        <v>287</v>
      </c>
      <c r="F288" s="174">
        <v>1006</v>
      </c>
      <c r="G288" s="174" t="s">
        <v>1252</v>
      </c>
      <c r="H288" s="174" t="s">
        <v>115</v>
      </c>
      <c r="I288" s="175" t="s">
        <v>115</v>
      </c>
      <c r="J288" s="175" t="s">
        <v>1274</v>
      </c>
      <c r="K288" s="176" t="s">
        <v>1268</v>
      </c>
      <c r="L288" s="176">
        <v>6947007553</v>
      </c>
      <c r="M288" s="177" t="s">
        <v>1275</v>
      </c>
      <c r="N288" s="174" t="s">
        <v>337</v>
      </c>
      <c r="O288" s="177" t="s">
        <v>16</v>
      </c>
      <c r="S288" s="178">
        <v>293</v>
      </c>
      <c r="T288" s="181"/>
      <c r="Z288" s="183" t="s">
        <v>166</v>
      </c>
      <c r="AA288" s="184" t="s">
        <v>167</v>
      </c>
      <c r="AB288" t="s">
        <v>168</v>
      </c>
    </row>
    <row r="289" spans="5:28" ht="16.5" customHeight="1" x14ac:dyDescent="0.3">
      <c r="E289" s="173">
        <v>288</v>
      </c>
      <c r="F289" s="174">
        <v>1007</v>
      </c>
      <c r="G289" s="174" t="s">
        <v>1252</v>
      </c>
      <c r="H289" s="174" t="s">
        <v>115</v>
      </c>
      <c r="I289" s="175" t="s">
        <v>115</v>
      </c>
      <c r="J289" s="175" t="s">
        <v>1276</v>
      </c>
      <c r="K289" s="176" t="s">
        <v>1268</v>
      </c>
      <c r="L289" s="176">
        <v>6936705244</v>
      </c>
      <c r="M289" s="177" t="s">
        <v>1277</v>
      </c>
      <c r="N289" s="174" t="s">
        <v>72</v>
      </c>
      <c r="O289" s="177" t="s">
        <v>1278</v>
      </c>
      <c r="S289" s="178">
        <v>294</v>
      </c>
      <c r="T289" s="181"/>
      <c r="Z289" s="183" t="s">
        <v>175</v>
      </c>
      <c r="AA289" s="184" t="s">
        <v>176</v>
      </c>
      <c r="AB289" t="s">
        <v>177</v>
      </c>
    </row>
    <row r="290" spans="5:28" ht="16.5" customHeight="1" x14ac:dyDescent="0.3">
      <c r="E290" s="173">
        <v>289</v>
      </c>
      <c r="F290" s="174">
        <v>1008</v>
      </c>
      <c r="G290" s="174" t="s">
        <v>1252</v>
      </c>
      <c r="H290" s="174" t="s">
        <v>115</v>
      </c>
      <c r="I290" s="175" t="s">
        <v>115</v>
      </c>
      <c r="J290" s="175" t="s">
        <v>1279</v>
      </c>
      <c r="K290" s="176" t="s">
        <v>1268</v>
      </c>
      <c r="L290" s="176" t="s">
        <v>1280</v>
      </c>
      <c r="M290" s="177" t="s">
        <v>1281</v>
      </c>
      <c r="N290" s="174" t="s">
        <v>43</v>
      </c>
      <c r="O290" s="177" t="s">
        <v>1282</v>
      </c>
      <c r="S290" s="178">
        <v>295</v>
      </c>
      <c r="T290" s="181"/>
      <c r="Z290" s="183" t="s">
        <v>166</v>
      </c>
      <c r="AA290" s="184" t="s">
        <v>167</v>
      </c>
      <c r="AB290" t="s">
        <v>168</v>
      </c>
    </row>
    <row r="291" spans="5:28" ht="16.5" customHeight="1" x14ac:dyDescent="0.3">
      <c r="E291" s="173">
        <v>290</v>
      </c>
      <c r="F291" s="174">
        <v>1009</v>
      </c>
      <c r="G291" s="174" t="s">
        <v>1252</v>
      </c>
      <c r="H291" s="174" t="s">
        <v>115</v>
      </c>
      <c r="I291" s="175" t="s">
        <v>115</v>
      </c>
      <c r="J291" s="175" t="s">
        <v>1283</v>
      </c>
      <c r="K291" s="176" t="s">
        <v>1268</v>
      </c>
      <c r="L291" s="176" t="s">
        <v>1284</v>
      </c>
      <c r="M291" s="177" t="s">
        <v>1285</v>
      </c>
      <c r="N291" s="174" t="s">
        <v>72</v>
      </c>
      <c r="O291" s="177" t="s">
        <v>1286</v>
      </c>
      <c r="S291" s="178">
        <v>296</v>
      </c>
      <c r="T291" s="181"/>
      <c r="Z291" s="183" t="s">
        <v>175</v>
      </c>
      <c r="AA291" s="184" t="s">
        <v>176</v>
      </c>
      <c r="AB291" t="s">
        <v>177</v>
      </c>
    </row>
    <row r="292" spans="5:28" ht="16.5" customHeight="1" x14ac:dyDescent="0.3">
      <c r="E292" s="173">
        <v>291</v>
      </c>
      <c r="F292" s="174">
        <v>1010</v>
      </c>
      <c r="G292" s="174" t="s">
        <v>1252</v>
      </c>
      <c r="H292" s="174" t="s">
        <v>115</v>
      </c>
      <c r="I292" s="175" t="s">
        <v>115</v>
      </c>
      <c r="J292" s="175" t="s">
        <v>1287</v>
      </c>
      <c r="K292" s="176" t="s">
        <v>1268</v>
      </c>
      <c r="L292" s="176" t="s">
        <v>1288</v>
      </c>
      <c r="M292" s="177" t="s">
        <v>1289</v>
      </c>
      <c r="N292" s="174" t="s">
        <v>224</v>
      </c>
      <c r="O292" s="177" t="s">
        <v>1290</v>
      </c>
      <c r="S292" s="178">
        <v>297</v>
      </c>
      <c r="T292" s="181"/>
      <c r="Z292" s="183" t="s">
        <v>166</v>
      </c>
      <c r="AA292" s="184" t="s">
        <v>167</v>
      </c>
      <c r="AB292" t="s">
        <v>168</v>
      </c>
    </row>
    <row r="293" spans="5:28" ht="16.5" customHeight="1" x14ac:dyDescent="0.3">
      <c r="E293" s="173">
        <v>292</v>
      </c>
      <c r="F293" s="174">
        <v>1012</v>
      </c>
      <c r="G293" s="174" t="s">
        <v>1252</v>
      </c>
      <c r="H293" s="174" t="s">
        <v>115</v>
      </c>
      <c r="I293" s="175" t="s">
        <v>115</v>
      </c>
      <c r="J293" s="175" t="s">
        <v>1291</v>
      </c>
      <c r="K293" s="176" t="s">
        <v>1268</v>
      </c>
      <c r="L293" s="176" t="s">
        <v>1292</v>
      </c>
      <c r="M293" s="177" t="s">
        <v>1293</v>
      </c>
      <c r="N293" s="174" t="s">
        <v>98</v>
      </c>
      <c r="O293" s="177" t="s">
        <v>1294</v>
      </c>
      <c r="S293" s="178">
        <v>298</v>
      </c>
      <c r="T293" s="181"/>
      <c r="Z293" s="183" t="s">
        <v>175</v>
      </c>
      <c r="AA293" s="184" t="s">
        <v>176</v>
      </c>
      <c r="AB293" t="s">
        <v>177</v>
      </c>
    </row>
    <row r="294" spans="5:28" ht="16.5" customHeight="1" x14ac:dyDescent="0.3">
      <c r="E294" s="173">
        <v>293</v>
      </c>
      <c r="F294" s="174">
        <v>1013</v>
      </c>
      <c r="G294" s="174" t="s">
        <v>1252</v>
      </c>
      <c r="H294" s="174" t="s">
        <v>115</v>
      </c>
      <c r="I294" s="175" t="s">
        <v>115</v>
      </c>
      <c r="J294" s="175" t="s">
        <v>1295</v>
      </c>
      <c r="K294" s="176" t="s">
        <v>1268</v>
      </c>
      <c r="L294" s="176" t="s">
        <v>1296</v>
      </c>
      <c r="M294" s="177" t="s">
        <v>1297</v>
      </c>
      <c r="N294" s="174" t="s">
        <v>72</v>
      </c>
      <c r="O294" s="177" t="s">
        <v>1298</v>
      </c>
      <c r="S294" s="178">
        <v>299</v>
      </c>
      <c r="T294" s="181"/>
      <c r="Z294" s="183" t="s">
        <v>166</v>
      </c>
      <c r="AA294" s="184" t="s">
        <v>167</v>
      </c>
      <c r="AB294" t="s">
        <v>168</v>
      </c>
    </row>
    <row r="295" spans="5:28" ht="16.5" customHeight="1" x14ac:dyDescent="0.3">
      <c r="E295" s="173">
        <v>294</v>
      </c>
      <c r="F295" s="174">
        <v>1014</v>
      </c>
      <c r="G295" s="174" t="s">
        <v>1252</v>
      </c>
      <c r="H295" s="174" t="s">
        <v>115</v>
      </c>
      <c r="I295" s="175" t="s">
        <v>115</v>
      </c>
      <c r="J295" s="175" t="s">
        <v>1299</v>
      </c>
      <c r="K295" s="176" t="s">
        <v>1268</v>
      </c>
      <c r="L295" s="176">
        <v>6948330665</v>
      </c>
      <c r="M295" s="177" t="s">
        <v>1300</v>
      </c>
      <c r="N295" s="174" t="s">
        <v>72</v>
      </c>
      <c r="O295" s="177" t="s">
        <v>1301</v>
      </c>
      <c r="S295" s="178">
        <v>300</v>
      </c>
      <c r="T295" s="181"/>
      <c r="Z295" s="183" t="s">
        <v>175</v>
      </c>
      <c r="AA295" s="184" t="s">
        <v>176</v>
      </c>
      <c r="AB295" t="s">
        <v>177</v>
      </c>
    </row>
    <row r="296" spans="5:28" ht="16.5" customHeight="1" x14ac:dyDescent="0.3">
      <c r="E296" s="173">
        <v>295</v>
      </c>
      <c r="F296" s="174">
        <v>1015</v>
      </c>
      <c r="G296" s="174" t="s">
        <v>1252</v>
      </c>
      <c r="H296" s="174" t="s">
        <v>115</v>
      </c>
      <c r="I296" s="175" t="s">
        <v>115</v>
      </c>
      <c r="J296" s="175" t="s">
        <v>1302</v>
      </c>
      <c r="K296" s="176" t="s">
        <v>1268</v>
      </c>
      <c r="L296" s="176" t="s">
        <v>1303</v>
      </c>
      <c r="M296" s="177" t="s">
        <v>1304</v>
      </c>
      <c r="N296" s="174" t="s">
        <v>43</v>
      </c>
      <c r="O296" s="177" t="s">
        <v>1305</v>
      </c>
      <c r="S296" s="178">
        <v>302</v>
      </c>
      <c r="T296" s="181"/>
      <c r="Z296" s="183" t="s">
        <v>175</v>
      </c>
      <c r="AA296" s="184" t="s">
        <v>176</v>
      </c>
      <c r="AB296" t="s">
        <v>177</v>
      </c>
    </row>
    <row r="297" spans="5:28" ht="16.5" customHeight="1" x14ac:dyDescent="0.3">
      <c r="E297" s="173">
        <v>296</v>
      </c>
      <c r="F297" s="174">
        <v>1016</v>
      </c>
      <c r="G297" s="174" t="s">
        <v>1252</v>
      </c>
      <c r="H297" s="174" t="s">
        <v>115</v>
      </c>
      <c r="I297" s="175" t="s">
        <v>115</v>
      </c>
      <c r="J297" s="175" t="s">
        <v>1306</v>
      </c>
      <c r="K297" s="176" t="s">
        <v>1268</v>
      </c>
      <c r="L297" s="176" t="s">
        <v>1307</v>
      </c>
      <c r="M297" s="177" t="s">
        <v>1308</v>
      </c>
      <c r="N297" s="174" t="s">
        <v>224</v>
      </c>
      <c r="O297" s="177" t="s">
        <v>1309</v>
      </c>
      <c r="S297" s="178">
        <v>303</v>
      </c>
      <c r="T297" s="181"/>
      <c r="Z297" s="183" t="s">
        <v>166</v>
      </c>
      <c r="AA297" s="184" t="s">
        <v>167</v>
      </c>
      <c r="AB297" t="s">
        <v>168</v>
      </c>
    </row>
    <row r="298" spans="5:28" ht="16.5" customHeight="1" x14ac:dyDescent="0.3">
      <c r="E298" s="173">
        <v>297</v>
      </c>
      <c r="F298" s="174">
        <v>1017</v>
      </c>
      <c r="G298" s="174" t="s">
        <v>1252</v>
      </c>
      <c r="H298" s="174" t="s">
        <v>115</v>
      </c>
      <c r="I298" s="175" t="s">
        <v>115</v>
      </c>
      <c r="J298" s="175" t="s">
        <v>1310</v>
      </c>
      <c r="K298" s="176" t="s">
        <v>1268</v>
      </c>
      <c r="L298" s="176" t="s">
        <v>1311</v>
      </c>
      <c r="M298" s="177" t="s">
        <v>1312</v>
      </c>
      <c r="N298" s="174" t="s">
        <v>72</v>
      </c>
      <c r="O298" s="177" t="s">
        <v>1313</v>
      </c>
      <c r="S298" s="178">
        <v>304</v>
      </c>
      <c r="T298" s="181"/>
      <c r="Z298" s="183" t="s">
        <v>175</v>
      </c>
      <c r="AA298" s="184" t="s">
        <v>176</v>
      </c>
      <c r="AB298" t="s">
        <v>177</v>
      </c>
    </row>
    <row r="299" spans="5:28" ht="16.5" customHeight="1" x14ac:dyDescent="0.3">
      <c r="E299" s="173">
        <v>298</v>
      </c>
      <c r="F299" s="174">
        <v>1018</v>
      </c>
      <c r="G299" s="174" t="s">
        <v>1252</v>
      </c>
      <c r="H299" s="174" t="s">
        <v>115</v>
      </c>
      <c r="I299" s="175" t="s">
        <v>115</v>
      </c>
      <c r="J299" s="175" t="s">
        <v>1314</v>
      </c>
      <c r="K299" s="176" t="s">
        <v>1268</v>
      </c>
      <c r="L299" s="176" t="s">
        <v>1315</v>
      </c>
      <c r="M299" s="177" t="s">
        <v>1316</v>
      </c>
      <c r="N299" s="174" t="s">
        <v>98</v>
      </c>
      <c r="O299" s="177" t="s">
        <v>1317</v>
      </c>
      <c r="S299" s="178">
        <v>305</v>
      </c>
      <c r="T299" s="181"/>
      <c r="Z299" s="183" t="s">
        <v>166</v>
      </c>
      <c r="AA299" s="184" t="s">
        <v>167</v>
      </c>
      <c r="AB299" t="s">
        <v>168</v>
      </c>
    </row>
    <row r="300" spans="5:28" ht="16.5" customHeight="1" x14ac:dyDescent="0.3">
      <c r="E300" s="173">
        <v>299</v>
      </c>
      <c r="F300" s="174">
        <v>1019</v>
      </c>
      <c r="G300" s="174" t="s">
        <v>1252</v>
      </c>
      <c r="H300" s="174" t="s">
        <v>115</v>
      </c>
      <c r="I300" s="175" t="s">
        <v>115</v>
      </c>
      <c r="J300" s="175" t="s">
        <v>1318</v>
      </c>
      <c r="K300" s="176" t="s">
        <v>1268</v>
      </c>
      <c r="L300" s="176" t="s">
        <v>1319</v>
      </c>
      <c r="M300" s="177" t="s">
        <v>1320</v>
      </c>
      <c r="N300" s="174" t="s">
        <v>43</v>
      </c>
      <c r="O300" s="177" t="s">
        <v>1321</v>
      </c>
      <c r="S300" s="178">
        <v>306</v>
      </c>
      <c r="T300" s="181"/>
      <c r="Z300" s="183" t="s">
        <v>175</v>
      </c>
      <c r="AA300" s="184" t="s">
        <v>176</v>
      </c>
      <c r="AB300" t="s">
        <v>177</v>
      </c>
    </row>
    <row r="301" spans="5:28" ht="16.5" customHeight="1" x14ac:dyDescent="0.3">
      <c r="E301" s="173">
        <v>300</v>
      </c>
      <c r="F301" s="174">
        <v>1020</v>
      </c>
      <c r="G301" s="174" t="s">
        <v>1252</v>
      </c>
      <c r="H301" s="174" t="s">
        <v>115</v>
      </c>
      <c r="I301" s="175" t="s">
        <v>115</v>
      </c>
      <c r="J301" s="175" t="s">
        <v>1322</v>
      </c>
      <c r="K301" s="176" t="s">
        <v>1268</v>
      </c>
      <c r="L301" s="176" t="s">
        <v>1323</v>
      </c>
      <c r="M301" s="177" t="s">
        <v>1324</v>
      </c>
      <c r="N301" s="174" t="s">
        <v>43</v>
      </c>
      <c r="O301" s="177" t="s">
        <v>1325</v>
      </c>
      <c r="S301" s="178">
        <v>307</v>
      </c>
      <c r="T301" s="181"/>
      <c r="Z301" s="183" t="s">
        <v>166</v>
      </c>
      <c r="AA301" s="184" t="s">
        <v>167</v>
      </c>
      <c r="AB301" t="s">
        <v>168</v>
      </c>
    </row>
    <row r="302" spans="5:28" ht="16.5" customHeight="1" x14ac:dyDescent="0.3">
      <c r="E302" s="173">
        <v>301</v>
      </c>
      <c r="F302" s="174">
        <v>1021</v>
      </c>
      <c r="G302" s="174" t="s">
        <v>1252</v>
      </c>
      <c r="H302" s="174" t="s">
        <v>115</v>
      </c>
      <c r="I302" s="175" t="s">
        <v>115</v>
      </c>
      <c r="J302" s="175" t="s">
        <v>1326</v>
      </c>
      <c r="K302" s="176" t="s">
        <v>1268</v>
      </c>
      <c r="L302" s="176" t="s">
        <v>1327</v>
      </c>
      <c r="M302" s="177" t="s">
        <v>1328</v>
      </c>
      <c r="N302" s="174" t="s">
        <v>1329</v>
      </c>
      <c r="O302" s="177" t="s">
        <v>1330</v>
      </c>
      <c r="S302" s="178">
        <v>308</v>
      </c>
      <c r="T302" s="181"/>
      <c r="Z302" s="183" t="s">
        <v>175</v>
      </c>
      <c r="AA302" s="184" t="s">
        <v>176</v>
      </c>
      <c r="AB302" t="s">
        <v>177</v>
      </c>
    </row>
    <row r="303" spans="5:28" ht="16.5" customHeight="1" x14ac:dyDescent="0.3">
      <c r="E303" s="173">
        <v>302</v>
      </c>
      <c r="F303" s="174">
        <v>1022</v>
      </c>
      <c r="G303" s="174" t="s">
        <v>1252</v>
      </c>
      <c r="H303" s="174" t="s">
        <v>115</v>
      </c>
      <c r="I303" s="175" t="s">
        <v>115</v>
      </c>
      <c r="J303" s="175" t="s">
        <v>1331</v>
      </c>
      <c r="K303" s="176" t="s">
        <v>1268</v>
      </c>
      <c r="L303" s="176" t="s">
        <v>1332</v>
      </c>
      <c r="M303" s="177" t="s">
        <v>1333</v>
      </c>
      <c r="N303" s="174" t="s">
        <v>43</v>
      </c>
      <c r="O303" s="177" t="s">
        <v>1334</v>
      </c>
      <c r="S303" s="178">
        <v>309</v>
      </c>
      <c r="T303" s="181"/>
      <c r="Z303" s="183" t="s">
        <v>166</v>
      </c>
      <c r="AA303" s="184" t="s">
        <v>167</v>
      </c>
      <c r="AB303" t="s">
        <v>168</v>
      </c>
    </row>
    <row r="304" spans="5:28" ht="16.5" customHeight="1" x14ac:dyDescent="0.3">
      <c r="E304" s="173">
        <v>303</v>
      </c>
      <c r="F304" s="174">
        <v>1023</v>
      </c>
      <c r="G304" s="174" t="s">
        <v>1252</v>
      </c>
      <c r="H304" s="174" t="s">
        <v>115</v>
      </c>
      <c r="I304" s="175" t="s">
        <v>115</v>
      </c>
      <c r="J304" s="175" t="s">
        <v>1335</v>
      </c>
      <c r="K304" s="176" t="s">
        <v>1268</v>
      </c>
      <c r="L304" s="176" t="s">
        <v>1336</v>
      </c>
      <c r="M304" s="177" t="s">
        <v>1337</v>
      </c>
      <c r="N304" s="174" t="s">
        <v>224</v>
      </c>
      <c r="O304" s="177" t="s">
        <v>1338</v>
      </c>
      <c r="S304" s="178">
        <v>310</v>
      </c>
      <c r="T304" s="181"/>
      <c r="Z304" s="183" t="s">
        <v>175</v>
      </c>
      <c r="AA304" s="184" t="s">
        <v>176</v>
      </c>
      <c r="AB304" t="s">
        <v>177</v>
      </c>
    </row>
    <row r="305" spans="5:28" ht="16.5" customHeight="1" x14ac:dyDescent="0.3">
      <c r="E305" s="173">
        <v>304</v>
      </c>
      <c r="F305" s="174">
        <v>1024</v>
      </c>
      <c r="G305" s="174" t="s">
        <v>1252</v>
      </c>
      <c r="H305" s="174" t="s">
        <v>115</v>
      </c>
      <c r="I305" s="175" t="s">
        <v>115</v>
      </c>
      <c r="J305" s="175" t="s">
        <v>1339</v>
      </c>
      <c r="K305" s="176" t="s">
        <v>1268</v>
      </c>
      <c r="L305" s="176" t="s">
        <v>1340</v>
      </c>
      <c r="M305" s="177" t="s">
        <v>1341</v>
      </c>
      <c r="N305" s="174" t="s">
        <v>98</v>
      </c>
      <c r="O305" s="177" t="s">
        <v>1342</v>
      </c>
      <c r="S305" s="178">
        <v>311</v>
      </c>
      <c r="T305" s="181"/>
      <c r="Z305" s="183" t="s">
        <v>166</v>
      </c>
      <c r="AA305" s="184" t="s">
        <v>167</v>
      </c>
      <c r="AB305" t="s">
        <v>168</v>
      </c>
    </row>
    <row r="306" spans="5:28" ht="16.5" customHeight="1" x14ac:dyDescent="0.3">
      <c r="E306" s="173">
        <v>305</v>
      </c>
      <c r="F306" s="174">
        <v>1025</v>
      </c>
      <c r="G306" s="174" t="s">
        <v>1252</v>
      </c>
      <c r="H306" s="174" t="s">
        <v>115</v>
      </c>
      <c r="I306" s="175" t="s">
        <v>115</v>
      </c>
      <c r="J306" s="175" t="s">
        <v>1343</v>
      </c>
      <c r="K306" s="176" t="s">
        <v>1268</v>
      </c>
      <c r="L306" s="176" t="s">
        <v>1344</v>
      </c>
      <c r="M306" s="177" t="s">
        <v>1345</v>
      </c>
      <c r="N306" s="174" t="s">
        <v>189</v>
      </c>
      <c r="O306" s="177" t="s">
        <v>1346</v>
      </c>
      <c r="S306" s="178">
        <v>312</v>
      </c>
      <c r="T306" s="181"/>
      <c r="Z306" s="183" t="s">
        <v>175</v>
      </c>
      <c r="AA306" s="184" t="s">
        <v>176</v>
      </c>
      <c r="AB306" t="s">
        <v>177</v>
      </c>
    </row>
    <row r="307" spans="5:28" ht="16.5" customHeight="1" x14ac:dyDescent="0.3">
      <c r="E307" s="173">
        <v>306</v>
      </c>
      <c r="F307" s="174">
        <v>1026</v>
      </c>
      <c r="G307" s="174" t="s">
        <v>1252</v>
      </c>
      <c r="H307" s="174" t="s">
        <v>115</v>
      </c>
      <c r="I307" s="175" t="s">
        <v>115</v>
      </c>
      <c r="J307" s="175" t="s">
        <v>1347</v>
      </c>
      <c r="K307" s="176" t="s">
        <v>1268</v>
      </c>
      <c r="L307" s="176" t="s">
        <v>1348</v>
      </c>
      <c r="M307" s="177" t="s">
        <v>1349</v>
      </c>
      <c r="N307" s="174" t="s">
        <v>337</v>
      </c>
      <c r="O307" s="177" t="s">
        <v>1350</v>
      </c>
      <c r="S307" s="178">
        <v>313</v>
      </c>
      <c r="T307" s="181"/>
      <c r="Z307" s="183" t="s">
        <v>166</v>
      </c>
      <c r="AA307" s="184" t="s">
        <v>167</v>
      </c>
      <c r="AB307" t="s">
        <v>168</v>
      </c>
    </row>
    <row r="308" spans="5:28" ht="16.5" customHeight="1" x14ac:dyDescent="0.3">
      <c r="E308" s="173">
        <v>307</v>
      </c>
      <c r="F308" s="174">
        <v>1027</v>
      </c>
      <c r="G308" s="174" t="s">
        <v>1252</v>
      </c>
      <c r="H308" s="174" t="s">
        <v>115</v>
      </c>
      <c r="I308" s="175" t="s">
        <v>115</v>
      </c>
      <c r="J308" s="175" t="s">
        <v>1351</v>
      </c>
      <c r="K308" s="176" t="s">
        <v>1268</v>
      </c>
      <c r="L308" s="176" t="s">
        <v>1352</v>
      </c>
      <c r="M308" s="177" t="s">
        <v>1353</v>
      </c>
      <c r="N308" s="174" t="s">
        <v>224</v>
      </c>
      <c r="O308" s="177" t="s">
        <v>1354</v>
      </c>
      <c r="S308" s="178">
        <v>314</v>
      </c>
      <c r="T308" s="181"/>
      <c r="Z308" s="183" t="s">
        <v>175</v>
      </c>
      <c r="AA308" s="184" t="s">
        <v>176</v>
      </c>
      <c r="AB308" t="s">
        <v>177</v>
      </c>
    </row>
    <row r="309" spans="5:28" ht="16.5" customHeight="1" x14ac:dyDescent="0.3">
      <c r="E309" s="173">
        <v>308</v>
      </c>
      <c r="F309" s="174">
        <v>1028</v>
      </c>
      <c r="G309" s="174" t="s">
        <v>1252</v>
      </c>
      <c r="H309" s="174" t="s">
        <v>115</v>
      </c>
      <c r="I309" s="175" t="s">
        <v>115</v>
      </c>
      <c r="J309" s="175" t="s">
        <v>1355</v>
      </c>
      <c r="K309" s="176" t="s">
        <v>1268</v>
      </c>
      <c r="L309" s="176" t="s">
        <v>1356</v>
      </c>
      <c r="M309" s="177" t="s">
        <v>1357</v>
      </c>
      <c r="N309" s="174" t="s">
        <v>264</v>
      </c>
      <c r="O309" s="177" t="s">
        <v>1358</v>
      </c>
      <c r="S309" s="178">
        <v>315</v>
      </c>
      <c r="T309" s="181"/>
      <c r="Z309" s="183" t="s">
        <v>166</v>
      </c>
      <c r="AA309" s="184" t="s">
        <v>167</v>
      </c>
      <c r="AB309" t="s">
        <v>168</v>
      </c>
    </row>
    <row r="310" spans="5:28" ht="16.5" customHeight="1" x14ac:dyDescent="0.3">
      <c r="E310" s="173">
        <v>309</v>
      </c>
      <c r="F310" s="174">
        <v>1029</v>
      </c>
      <c r="G310" s="174" t="s">
        <v>1252</v>
      </c>
      <c r="H310" s="174" t="s">
        <v>115</v>
      </c>
      <c r="I310" s="175" t="s">
        <v>115</v>
      </c>
      <c r="J310" s="175" t="s">
        <v>1359</v>
      </c>
      <c r="K310" s="176" t="s">
        <v>1268</v>
      </c>
      <c r="L310" s="176" t="s">
        <v>1360</v>
      </c>
      <c r="M310" s="177" t="s">
        <v>1361</v>
      </c>
      <c r="N310" s="174" t="s">
        <v>43</v>
      </c>
      <c r="O310" s="177" t="s">
        <v>1362</v>
      </c>
      <c r="S310" s="178">
        <v>316</v>
      </c>
      <c r="T310" s="181"/>
      <c r="Z310" s="183" t="s">
        <v>175</v>
      </c>
      <c r="AA310" s="184" t="s">
        <v>176</v>
      </c>
      <c r="AB310" t="s">
        <v>177</v>
      </c>
    </row>
    <row r="311" spans="5:28" ht="16.5" customHeight="1" x14ac:dyDescent="0.3">
      <c r="E311" s="173">
        <v>310</v>
      </c>
      <c r="F311" s="174">
        <v>1030</v>
      </c>
      <c r="G311" s="174" t="s">
        <v>1252</v>
      </c>
      <c r="H311" s="174" t="s">
        <v>115</v>
      </c>
      <c r="I311" s="175" t="s">
        <v>115</v>
      </c>
      <c r="J311" s="175" t="s">
        <v>1363</v>
      </c>
      <c r="K311" s="176" t="s">
        <v>1268</v>
      </c>
      <c r="L311" s="176" t="s">
        <v>1364</v>
      </c>
      <c r="M311" s="177" t="s">
        <v>1365</v>
      </c>
      <c r="N311" s="174" t="s">
        <v>98</v>
      </c>
      <c r="O311" s="177" t="s">
        <v>1366</v>
      </c>
      <c r="S311" s="178">
        <v>317</v>
      </c>
      <c r="T311" s="181"/>
      <c r="Z311" s="183" t="s">
        <v>166</v>
      </c>
      <c r="AA311" s="184" t="s">
        <v>167</v>
      </c>
      <c r="AB311" t="s">
        <v>168</v>
      </c>
    </row>
    <row r="312" spans="5:28" ht="16.5" customHeight="1" x14ac:dyDescent="0.3">
      <c r="E312" s="173">
        <v>311</v>
      </c>
      <c r="F312" s="174">
        <v>1031</v>
      </c>
      <c r="G312" s="174" t="s">
        <v>1252</v>
      </c>
      <c r="H312" s="174" t="s">
        <v>115</v>
      </c>
      <c r="I312" s="175" t="s">
        <v>115</v>
      </c>
      <c r="J312" s="175" t="s">
        <v>1367</v>
      </c>
      <c r="K312" s="176" t="s">
        <v>1268</v>
      </c>
      <c r="L312" s="176" t="s">
        <v>1368</v>
      </c>
      <c r="M312" s="177" t="s">
        <v>1369</v>
      </c>
      <c r="N312" s="174" t="s">
        <v>43</v>
      </c>
      <c r="O312" s="177" t="s">
        <v>1370</v>
      </c>
      <c r="S312" s="178">
        <v>318</v>
      </c>
      <c r="T312" s="181"/>
      <c r="Z312" s="183" t="s">
        <v>175</v>
      </c>
      <c r="AA312" s="184" t="s">
        <v>176</v>
      </c>
      <c r="AB312" t="s">
        <v>177</v>
      </c>
    </row>
    <row r="313" spans="5:28" ht="16.5" customHeight="1" x14ac:dyDescent="0.3">
      <c r="E313" s="173">
        <v>312</v>
      </c>
      <c r="F313" s="174">
        <v>1032</v>
      </c>
      <c r="G313" s="174" t="s">
        <v>1252</v>
      </c>
      <c r="H313" s="174" t="s">
        <v>115</v>
      </c>
      <c r="I313" s="175" t="s">
        <v>115</v>
      </c>
      <c r="J313" s="175" t="s">
        <v>1371</v>
      </c>
      <c r="K313" s="176" t="s">
        <v>1268</v>
      </c>
      <c r="L313" s="176" t="s">
        <v>1372</v>
      </c>
      <c r="M313" s="177" t="s">
        <v>1373</v>
      </c>
      <c r="N313" s="174" t="s">
        <v>337</v>
      </c>
      <c r="O313" s="177" t="s">
        <v>1374</v>
      </c>
      <c r="S313" s="178">
        <v>319</v>
      </c>
      <c r="T313" s="181"/>
      <c r="Z313" s="183" t="s">
        <v>166</v>
      </c>
      <c r="AA313" s="184" t="s">
        <v>167</v>
      </c>
      <c r="AB313" t="s">
        <v>168</v>
      </c>
    </row>
    <row r="314" spans="5:28" ht="16.5" customHeight="1" x14ac:dyDescent="0.3">
      <c r="E314" s="173">
        <v>313</v>
      </c>
      <c r="F314" s="174">
        <v>1033</v>
      </c>
      <c r="G314" s="174" t="s">
        <v>1252</v>
      </c>
      <c r="H314" s="174" t="s">
        <v>115</v>
      </c>
      <c r="I314" s="175" t="s">
        <v>115</v>
      </c>
      <c r="J314" s="175" t="s">
        <v>1375</v>
      </c>
      <c r="K314" s="176" t="s">
        <v>1268</v>
      </c>
      <c r="L314" s="176" t="s">
        <v>1376</v>
      </c>
      <c r="M314" s="177" t="s">
        <v>1377</v>
      </c>
      <c r="N314" s="174" t="s">
        <v>224</v>
      </c>
      <c r="O314" s="177" t="s">
        <v>1378</v>
      </c>
      <c r="P314" s="178"/>
      <c r="S314" s="178">
        <v>320</v>
      </c>
      <c r="T314" s="181"/>
      <c r="Z314" s="183" t="s">
        <v>175</v>
      </c>
      <c r="AA314" s="184" t="s">
        <v>176</v>
      </c>
      <c r="AB314" t="s">
        <v>177</v>
      </c>
    </row>
    <row r="315" spans="5:28" ht="16.5" customHeight="1" x14ac:dyDescent="0.3">
      <c r="E315" s="173">
        <v>314</v>
      </c>
      <c r="F315" s="174">
        <v>1034</v>
      </c>
      <c r="G315" s="174" t="s">
        <v>1252</v>
      </c>
      <c r="H315" s="174" t="s">
        <v>115</v>
      </c>
      <c r="I315" s="175" t="s">
        <v>115</v>
      </c>
      <c r="J315" s="175" t="s">
        <v>1379</v>
      </c>
      <c r="K315" s="176" t="s">
        <v>1268</v>
      </c>
      <c r="L315" s="176" t="s">
        <v>1380</v>
      </c>
      <c r="M315" s="177" t="s">
        <v>1381</v>
      </c>
      <c r="N315" s="174" t="s">
        <v>252</v>
      </c>
      <c r="O315" s="177" t="s">
        <v>1382</v>
      </c>
      <c r="S315" s="178">
        <v>322</v>
      </c>
      <c r="T315" s="181"/>
      <c r="Z315" s="183" t="s">
        <v>175</v>
      </c>
      <c r="AA315" s="184" t="s">
        <v>176</v>
      </c>
      <c r="AB315" t="s">
        <v>177</v>
      </c>
    </row>
    <row r="316" spans="5:28" ht="16.5" customHeight="1" x14ac:dyDescent="0.3">
      <c r="E316" s="173">
        <v>315</v>
      </c>
      <c r="F316" s="174">
        <v>1035</v>
      </c>
      <c r="G316" s="174" t="s">
        <v>1252</v>
      </c>
      <c r="H316" s="174" t="s">
        <v>115</v>
      </c>
      <c r="I316" s="175" t="s">
        <v>115</v>
      </c>
      <c r="J316" s="175" t="s">
        <v>1383</v>
      </c>
      <c r="K316" s="176" t="s">
        <v>1268</v>
      </c>
      <c r="L316" s="176" t="s">
        <v>1384</v>
      </c>
      <c r="M316" s="177" t="s">
        <v>1385</v>
      </c>
      <c r="N316" s="174" t="s">
        <v>264</v>
      </c>
      <c r="O316" s="177" t="s">
        <v>1386</v>
      </c>
      <c r="S316" s="178">
        <v>323</v>
      </c>
      <c r="T316" s="181"/>
      <c r="Z316" s="183" t="s">
        <v>166</v>
      </c>
      <c r="AA316" s="184" t="s">
        <v>167</v>
      </c>
      <c r="AB316" t="s">
        <v>168</v>
      </c>
    </row>
    <row r="317" spans="5:28" ht="16.5" customHeight="1" x14ac:dyDescent="0.3">
      <c r="E317" s="173">
        <v>316</v>
      </c>
      <c r="F317" s="174">
        <v>1036</v>
      </c>
      <c r="G317" s="174" t="s">
        <v>1252</v>
      </c>
      <c r="H317" s="174" t="s">
        <v>115</v>
      </c>
      <c r="I317" s="175" t="s">
        <v>115</v>
      </c>
      <c r="J317" s="175" t="s">
        <v>1387</v>
      </c>
      <c r="K317" s="176" t="s">
        <v>1268</v>
      </c>
      <c r="L317" s="176" t="s">
        <v>1388</v>
      </c>
      <c r="M317" s="177" t="s">
        <v>1389</v>
      </c>
      <c r="N317" s="174" t="s">
        <v>183</v>
      </c>
      <c r="O317" s="177" t="s">
        <v>1390</v>
      </c>
      <c r="S317" s="178">
        <v>324</v>
      </c>
      <c r="T317" s="181"/>
      <c r="Z317" s="183" t="s">
        <v>175</v>
      </c>
      <c r="AA317" s="184" t="s">
        <v>176</v>
      </c>
      <c r="AB317" t="s">
        <v>177</v>
      </c>
    </row>
    <row r="318" spans="5:28" ht="16.5" customHeight="1" x14ac:dyDescent="0.3">
      <c r="E318" s="173">
        <v>317</v>
      </c>
      <c r="F318" s="174">
        <v>1037</v>
      </c>
      <c r="G318" s="174" t="s">
        <v>1252</v>
      </c>
      <c r="H318" s="174" t="s">
        <v>115</v>
      </c>
      <c r="I318" s="175" t="s">
        <v>115</v>
      </c>
      <c r="J318" s="175" t="s">
        <v>1391</v>
      </c>
      <c r="K318" s="176" t="s">
        <v>1268</v>
      </c>
      <c r="L318" s="176" t="s">
        <v>1392</v>
      </c>
      <c r="M318" s="177" t="s">
        <v>1393</v>
      </c>
      <c r="N318" s="174" t="s">
        <v>72</v>
      </c>
      <c r="O318" s="177" t="s">
        <v>1394</v>
      </c>
      <c r="S318" s="178">
        <v>325</v>
      </c>
      <c r="T318" s="181"/>
      <c r="Z318" s="183" t="s">
        <v>166</v>
      </c>
      <c r="AA318" s="184" t="s">
        <v>167</v>
      </c>
      <c r="AB318" t="s">
        <v>168</v>
      </c>
    </row>
    <row r="319" spans="5:28" ht="16.5" customHeight="1" x14ac:dyDescent="0.3">
      <c r="E319" s="173">
        <v>318</v>
      </c>
      <c r="F319" s="174">
        <v>1038</v>
      </c>
      <c r="G319" s="174" t="s">
        <v>1252</v>
      </c>
      <c r="H319" s="174" t="s">
        <v>115</v>
      </c>
      <c r="I319" s="175" t="s">
        <v>115</v>
      </c>
      <c r="J319" s="175" t="s">
        <v>1395</v>
      </c>
      <c r="K319" s="176" t="s">
        <v>1268</v>
      </c>
      <c r="L319" s="176" t="s">
        <v>1396</v>
      </c>
      <c r="M319" s="177" t="s">
        <v>1397</v>
      </c>
      <c r="N319" s="174" t="s">
        <v>72</v>
      </c>
      <c r="O319" s="177" t="s">
        <v>1398</v>
      </c>
      <c r="S319" s="178">
        <v>326</v>
      </c>
      <c r="T319" s="181"/>
      <c r="Z319" s="183" t="s">
        <v>175</v>
      </c>
      <c r="AA319" s="184" t="s">
        <v>176</v>
      </c>
      <c r="AB319" t="s">
        <v>177</v>
      </c>
    </row>
    <row r="320" spans="5:28" ht="16.5" customHeight="1" x14ac:dyDescent="0.3">
      <c r="E320" s="173">
        <v>319</v>
      </c>
      <c r="F320" s="174">
        <v>1039</v>
      </c>
      <c r="G320" s="174" t="s">
        <v>1252</v>
      </c>
      <c r="H320" s="174" t="s">
        <v>115</v>
      </c>
      <c r="I320" s="175" t="s">
        <v>115</v>
      </c>
      <c r="J320" s="175" t="s">
        <v>1399</v>
      </c>
      <c r="K320" s="176" t="s">
        <v>1268</v>
      </c>
      <c r="L320" s="176" t="s">
        <v>1400</v>
      </c>
      <c r="M320" s="177" t="s">
        <v>1401</v>
      </c>
      <c r="N320" s="174" t="s">
        <v>72</v>
      </c>
      <c r="O320" s="177" t="s">
        <v>1402</v>
      </c>
      <c r="S320" s="178">
        <v>327</v>
      </c>
      <c r="T320" s="181"/>
      <c r="Z320" s="183" t="s">
        <v>166</v>
      </c>
      <c r="AA320" s="184" t="s">
        <v>167</v>
      </c>
      <c r="AB320" t="s">
        <v>168</v>
      </c>
    </row>
    <row r="321" spans="1:32" ht="16.5" customHeight="1" x14ac:dyDescent="0.3">
      <c r="E321" s="173">
        <v>320</v>
      </c>
      <c r="F321" s="174">
        <v>1040</v>
      </c>
      <c r="G321" s="174" t="s">
        <v>1252</v>
      </c>
      <c r="H321" s="174" t="s">
        <v>115</v>
      </c>
      <c r="I321" s="175" t="s">
        <v>115</v>
      </c>
      <c r="J321" s="175" t="s">
        <v>1403</v>
      </c>
      <c r="K321" s="176" t="s">
        <v>1268</v>
      </c>
      <c r="L321" s="176" t="s">
        <v>1404</v>
      </c>
      <c r="M321" s="177" t="s">
        <v>1405</v>
      </c>
      <c r="N321" s="174" t="s">
        <v>43</v>
      </c>
      <c r="O321" s="177" t="s">
        <v>16</v>
      </c>
      <c r="S321" s="178">
        <v>328</v>
      </c>
      <c r="T321" s="181"/>
      <c r="Z321" s="183" t="s">
        <v>175</v>
      </c>
      <c r="AA321" s="184" t="s">
        <v>176</v>
      </c>
      <c r="AB321" t="s">
        <v>177</v>
      </c>
    </row>
    <row r="322" spans="1:32" ht="16.5" customHeight="1" x14ac:dyDescent="0.3">
      <c r="E322" s="173">
        <v>321</v>
      </c>
      <c r="F322" s="174" t="s">
        <v>21</v>
      </c>
      <c r="G322" s="174" t="s">
        <v>21</v>
      </c>
      <c r="H322" s="174" t="s">
        <v>127</v>
      </c>
      <c r="I322" s="175" t="s">
        <v>127</v>
      </c>
      <c r="J322" s="175" t="s">
        <v>16</v>
      </c>
      <c r="K322" s="176" t="s">
        <v>21</v>
      </c>
      <c r="L322" s="176" t="s">
        <v>21</v>
      </c>
      <c r="M322" s="177" t="s">
        <v>21</v>
      </c>
      <c r="N322" s="174" t="s">
        <v>21</v>
      </c>
      <c r="O322" s="177" t="s">
        <v>21</v>
      </c>
      <c r="S322" s="178">
        <v>329</v>
      </c>
      <c r="T322" s="181"/>
      <c r="Z322" s="183" t="s">
        <v>166</v>
      </c>
      <c r="AA322" s="184" t="s">
        <v>167</v>
      </c>
      <c r="AB322" t="s">
        <v>168</v>
      </c>
    </row>
    <row r="323" spans="1:32" ht="16.5" customHeight="1" x14ac:dyDescent="0.3">
      <c r="E323" s="173">
        <v>322</v>
      </c>
      <c r="F323" s="174">
        <v>1183</v>
      </c>
      <c r="G323" s="174" t="s">
        <v>1406</v>
      </c>
      <c r="H323" s="174" t="s">
        <v>127</v>
      </c>
      <c r="I323" s="175" t="s">
        <v>127</v>
      </c>
      <c r="J323" s="175" t="s">
        <v>1407</v>
      </c>
      <c r="K323" s="176" t="s">
        <v>1408</v>
      </c>
      <c r="L323" s="176" t="s">
        <v>1409</v>
      </c>
      <c r="M323" s="177" t="s">
        <v>16</v>
      </c>
      <c r="N323" s="174" t="s">
        <v>43</v>
      </c>
      <c r="O323" s="177" t="s">
        <v>1410</v>
      </c>
      <c r="S323" s="178">
        <v>330</v>
      </c>
      <c r="T323" s="181"/>
      <c r="Z323" s="183" t="s">
        <v>175</v>
      </c>
      <c r="AA323" s="184" t="s">
        <v>176</v>
      </c>
      <c r="AB323" t="s">
        <v>177</v>
      </c>
    </row>
    <row r="324" spans="1:32" ht="16.5" customHeight="1" x14ac:dyDescent="0.3">
      <c r="E324" s="173">
        <v>323</v>
      </c>
      <c r="F324" s="174">
        <v>1184</v>
      </c>
      <c r="G324" s="174" t="s">
        <v>1406</v>
      </c>
      <c r="H324" s="174" t="s">
        <v>127</v>
      </c>
      <c r="I324" s="175" t="s">
        <v>127</v>
      </c>
      <c r="J324" s="175" t="s">
        <v>1411</v>
      </c>
      <c r="K324" s="176" t="s">
        <v>1408</v>
      </c>
      <c r="L324" s="176" t="s">
        <v>1412</v>
      </c>
      <c r="M324" s="177" t="s">
        <v>16</v>
      </c>
      <c r="N324" s="174" t="s">
        <v>43</v>
      </c>
      <c r="O324" s="177" t="s">
        <v>1413</v>
      </c>
      <c r="S324" s="178">
        <v>331</v>
      </c>
      <c r="T324" s="181"/>
      <c r="Z324" s="183" t="s">
        <v>166</v>
      </c>
      <c r="AA324" s="184" t="s">
        <v>167</v>
      </c>
      <c r="AB324" t="s">
        <v>168</v>
      </c>
    </row>
    <row r="325" spans="1:32" ht="16.5" customHeight="1" x14ac:dyDescent="0.3">
      <c r="E325" s="173">
        <v>324</v>
      </c>
      <c r="F325" s="174">
        <v>1185</v>
      </c>
      <c r="G325" s="174" t="s">
        <v>1406</v>
      </c>
      <c r="H325" s="174" t="s">
        <v>127</v>
      </c>
      <c r="I325" s="175" t="s">
        <v>127</v>
      </c>
      <c r="J325" s="175" t="s">
        <v>1414</v>
      </c>
      <c r="K325" s="176" t="s">
        <v>1408</v>
      </c>
      <c r="L325" s="176" t="s">
        <v>1415</v>
      </c>
      <c r="M325" s="177" t="s">
        <v>16</v>
      </c>
      <c r="N325" s="174" t="s">
        <v>164</v>
      </c>
      <c r="O325" s="177" t="s">
        <v>1416</v>
      </c>
      <c r="S325" s="178">
        <v>332</v>
      </c>
      <c r="T325" s="181"/>
      <c r="Z325" s="183" t="s">
        <v>175</v>
      </c>
      <c r="AA325" s="184" t="s">
        <v>176</v>
      </c>
      <c r="AB325" t="s">
        <v>177</v>
      </c>
    </row>
    <row r="326" spans="1:32" s="180" customFormat="1" ht="16.5" customHeight="1" x14ac:dyDescent="0.25">
      <c r="A326" s="189"/>
      <c r="B326" s="170"/>
      <c r="C326" s="171"/>
      <c r="D326" s="172"/>
      <c r="E326" s="173">
        <v>325</v>
      </c>
      <c r="F326" s="174">
        <v>1186</v>
      </c>
      <c r="G326" s="174" t="s">
        <v>1406</v>
      </c>
      <c r="H326" s="174" t="s">
        <v>127</v>
      </c>
      <c r="I326" s="175" t="s">
        <v>127</v>
      </c>
      <c r="J326" s="175" t="s">
        <v>1417</v>
      </c>
      <c r="K326" s="176" t="s">
        <v>1408</v>
      </c>
      <c r="L326" s="176" t="s">
        <v>1418</v>
      </c>
      <c r="M326" s="177" t="s">
        <v>16</v>
      </c>
      <c r="N326" s="174" t="s">
        <v>1419</v>
      </c>
      <c r="O326" s="177" t="s">
        <v>1420</v>
      </c>
      <c r="P326"/>
      <c r="Q326"/>
      <c r="R326"/>
      <c r="S326" s="178">
        <v>333</v>
      </c>
      <c r="T326" s="181"/>
      <c r="U326"/>
      <c r="V326" s="10"/>
      <c r="W326"/>
      <c r="X326"/>
      <c r="Y326"/>
      <c r="Z326" s="183" t="s">
        <v>166</v>
      </c>
      <c r="AA326" s="184" t="s">
        <v>167</v>
      </c>
      <c r="AB326" t="s">
        <v>168</v>
      </c>
      <c r="AC326"/>
      <c r="AD326"/>
      <c r="AF326"/>
    </row>
    <row r="327" spans="1:32" ht="16.5" customHeight="1" x14ac:dyDescent="0.3">
      <c r="E327" s="173">
        <v>326</v>
      </c>
      <c r="F327" s="174">
        <v>1187</v>
      </c>
      <c r="G327" s="174" t="s">
        <v>1406</v>
      </c>
      <c r="H327" s="174" t="s">
        <v>127</v>
      </c>
      <c r="I327" s="175" t="s">
        <v>127</v>
      </c>
      <c r="J327" s="175" t="s">
        <v>1421</v>
      </c>
      <c r="K327" s="176" t="s">
        <v>1408</v>
      </c>
      <c r="L327" s="176" t="s">
        <v>1422</v>
      </c>
      <c r="M327" s="177" t="s">
        <v>16</v>
      </c>
      <c r="N327" s="174" t="s">
        <v>43</v>
      </c>
      <c r="O327" s="177" t="s">
        <v>1423</v>
      </c>
      <c r="S327" s="178">
        <v>334</v>
      </c>
      <c r="T327" s="181"/>
      <c r="Z327" s="183" t="s">
        <v>175</v>
      </c>
      <c r="AA327" s="184" t="s">
        <v>176</v>
      </c>
      <c r="AB327" t="s">
        <v>177</v>
      </c>
    </row>
    <row r="328" spans="1:32" ht="16.5" customHeight="1" x14ac:dyDescent="0.3">
      <c r="E328" s="173">
        <v>327</v>
      </c>
      <c r="F328" s="174">
        <v>1188</v>
      </c>
      <c r="G328" s="174" t="s">
        <v>1406</v>
      </c>
      <c r="H328" s="174" t="s">
        <v>127</v>
      </c>
      <c r="I328" s="175" t="s">
        <v>127</v>
      </c>
      <c r="J328" s="175" t="s">
        <v>1424</v>
      </c>
      <c r="K328" s="176" t="s">
        <v>1425</v>
      </c>
      <c r="L328" s="176" t="s">
        <v>1426</v>
      </c>
      <c r="M328" s="177" t="s">
        <v>16</v>
      </c>
      <c r="N328" s="174" t="s">
        <v>43</v>
      </c>
      <c r="O328" s="177" t="s">
        <v>1427</v>
      </c>
      <c r="S328" s="178">
        <v>335</v>
      </c>
      <c r="T328" s="181"/>
      <c r="Z328" s="183" t="s">
        <v>166</v>
      </c>
      <c r="AA328" s="184" t="s">
        <v>167</v>
      </c>
      <c r="AB328" t="s">
        <v>168</v>
      </c>
    </row>
    <row r="329" spans="1:32" ht="16.5" customHeight="1" x14ac:dyDescent="0.3">
      <c r="E329" s="173">
        <v>328</v>
      </c>
      <c r="F329" s="174">
        <v>1189</v>
      </c>
      <c r="G329" s="174" t="s">
        <v>1406</v>
      </c>
      <c r="H329" s="174" t="s">
        <v>127</v>
      </c>
      <c r="I329" s="175" t="s">
        <v>127</v>
      </c>
      <c r="J329" s="175" t="s">
        <v>1428</v>
      </c>
      <c r="K329" s="176" t="s">
        <v>1425</v>
      </c>
      <c r="L329" s="176" t="s">
        <v>1429</v>
      </c>
      <c r="M329" s="177" t="s">
        <v>16</v>
      </c>
      <c r="N329" s="174" t="s">
        <v>98</v>
      </c>
      <c r="O329" s="177" t="s">
        <v>1430</v>
      </c>
      <c r="S329" s="178">
        <v>336</v>
      </c>
      <c r="T329" s="181"/>
      <c r="Z329" s="183" t="s">
        <v>175</v>
      </c>
      <c r="AA329" s="184" t="s">
        <v>176</v>
      </c>
      <c r="AB329" t="s">
        <v>177</v>
      </c>
    </row>
    <row r="330" spans="1:32" ht="16.5" customHeight="1" x14ac:dyDescent="0.3">
      <c r="E330" s="173">
        <v>329</v>
      </c>
      <c r="F330" s="174">
        <v>1190</v>
      </c>
      <c r="G330" s="174" t="s">
        <v>1406</v>
      </c>
      <c r="H330" s="174" t="s">
        <v>127</v>
      </c>
      <c r="I330" s="175" t="s">
        <v>127</v>
      </c>
      <c r="J330" s="175" t="s">
        <v>1431</v>
      </c>
      <c r="K330" s="176" t="s">
        <v>1425</v>
      </c>
      <c r="L330" s="176" t="s">
        <v>1432</v>
      </c>
      <c r="M330" s="177" t="s">
        <v>16</v>
      </c>
      <c r="N330" s="174" t="s">
        <v>224</v>
      </c>
      <c r="O330" s="177" t="s">
        <v>1433</v>
      </c>
      <c r="S330" s="178">
        <v>337</v>
      </c>
      <c r="T330" s="181"/>
      <c r="Z330" s="183" t="s">
        <v>166</v>
      </c>
      <c r="AA330" s="184" t="s">
        <v>167</v>
      </c>
      <c r="AB330" t="s">
        <v>168</v>
      </c>
    </row>
    <row r="331" spans="1:32" ht="16.5" customHeight="1" x14ac:dyDescent="0.3">
      <c r="E331" s="173">
        <v>330</v>
      </c>
      <c r="F331" s="174">
        <v>1191</v>
      </c>
      <c r="G331" s="174" t="s">
        <v>1406</v>
      </c>
      <c r="H331" s="174" t="s">
        <v>127</v>
      </c>
      <c r="I331" s="175" t="s">
        <v>127</v>
      </c>
      <c r="J331" s="175" t="s">
        <v>1434</v>
      </c>
      <c r="K331" s="176" t="s">
        <v>1425</v>
      </c>
      <c r="L331" s="176" t="s">
        <v>1435</v>
      </c>
      <c r="M331" s="177" t="s">
        <v>16</v>
      </c>
      <c r="N331" s="174" t="s">
        <v>337</v>
      </c>
      <c r="O331" s="177" t="s">
        <v>1436</v>
      </c>
      <c r="S331" s="178">
        <v>338</v>
      </c>
      <c r="T331" s="181"/>
      <c r="Z331" s="183" t="s">
        <v>175</v>
      </c>
      <c r="AA331" s="184" t="s">
        <v>176</v>
      </c>
      <c r="AB331" t="s">
        <v>177</v>
      </c>
    </row>
    <row r="332" spans="1:32" ht="16.5" customHeight="1" x14ac:dyDescent="0.3">
      <c r="E332" s="173">
        <v>331</v>
      </c>
      <c r="F332" s="174">
        <v>1192</v>
      </c>
      <c r="G332" s="174" t="s">
        <v>1406</v>
      </c>
      <c r="H332" s="174" t="s">
        <v>127</v>
      </c>
      <c r="I332" s="175" t="s">
        <v>127</v>
      </c>
      <c r="J332" s="175" t="s">
        <v>1437</v>
      </c>
      <c r="K332" s="176" t="s">
        <v>1425</v>
      </c>
      <c r="L332" s="176" t="s">
        <v>1438</v>
      </c>
      <c r="M332" s="177" t="s">
        <v>16</v>
      </c>
      <c r="N332" s="174" t="s">
        <v>72</v>
      </c>
      <c r="O332" s="177" t="s">
        <v>1439</v>
      </c>
      <c r="S332" s="178">
        <v>339</v>
      </c>
      <c r="T332" s="181"/>
      <c r="Z332" s="183" t="s">
        <v>166</v>
      </c>
      <c r="AA332" s="184" t="s">
        <v>167</v>
      </c>
      <c r="AB332" t="s">
        <v>168</v>
      </c>
    </row>
    <row r="333" spans="1:32" ht="16.5" customHeight="1" x14ac:dyDescent="0.3">
      <c r="E333" s="173">
        <v>332</v>
      </c>
      <c r="F333" s="174">
        <v>1193</v>
      </c>
      <c r="G333" s="174" t="s">
        <v>1406</v>
      </c>
      <c r="H333" s="174" t="s">
        <v>127</v>
      </c>
      <c r="I333" s="175" t="s">
        <v>127</v>
      </c>
      <c r="J333" s="175" t="s">
        <v>1440</v>
      </c>
      <c r="K333" s="176" t="s">
        <v>1425</v>
      </c>
      <c r="L333" s="176" t="s">
        <v>1441</v>
      </c>
      <c r="M333" s="177" t="s">
        <v>16</v>
      </c>
      <c r="N333" s="174" t="s">
        <v>72</v>
      </c>
      <c r="O333" s="177" t="s">
        <v>1442</v>
      </c>
      <c r="S333" s="178">
        <v>340</v>
      </c>
      <c r="T333" s="181"/>
      <c r="Z333" s="183" t="s">
        <v>175</v>
      </c>
      <c r="AA333" s="184" t="s">
        <v>176</v>
      </c>
      <c r="AB333" t="s">
        <v>177</v>
      </c>
    </row>
    <row r="334" spans="1:32" ht="16.5" customHeight="1" x14ac:dyDescent="0.3">
      <c r="E334" s="173">
        <v>333</v>
      </c>
      <c r="F334" s="174">
        <v>1194</v>
      </c>
      <c r="G334" s="174" t="s">
        <v>1406</v>
      </c>
      <c r="H334" s="174" t="s">
        <v>127</v>
      </c>
      <c r="I334" s="175" t="s">
        <v>127</v>
      </c>
      <c r="J334" s="175" t="s">
        <v>1443</v>
      </c>
      <c r="K334" s="176" t="s">
        <v>1425</v>
      </c>
      <c r="L334" s="176" t="s">
        <v>1444</v>
      </c>
      <c r="M334" s="177" t="s">
        <v>16</v>
      </c>
      <c r="N334" s="174" t="s">
        <v>43</v>
      </c>
      <c r="O334" s="177" t="s">
        <v>1445</v>
      </c>
      <c r="S334" s="178">
        <v>341</v>
      </c>
      <c r="T334" s="181"/>
      <c r="Z334" s="183" t="s">
        <v>166</v>
      </c>
      <c r="AA334" s="184" t="s">
        <v>167</v>
      </c>
      <c r="AB334" t="s">
        <v>168</v>
      </c>
    </row>
    <row r="335" spans="1:32" ht="16.5" customHeight="1" x14ac:dyDescent="0.3">
      <c r="E335" s="173">
        <v>334</v>
      </c>
      <c r="F335" s="174">
        <v>1195</v>
      </c>
      <c r="G335" s="174" t="s">
        <v>1406</v>
      </c>
      <c r="H335" s="174" t="s">
        <v>127</v>
      </c>
      <c r="I335" s="175" t="s">
        <v>127</v>
      </c>
      <c r="J335" s="175" t="s">
        <v>1446</v>
      </c>
      <c r="K335" s="176" t="s">
        <v>1425</v>
      </c>
      <c r="L335" s="176" t="s">
        <v>1447</v>
      </c>
      <c r="M335" s="177" t="s">
        <v>16</v>
      </c>
      <c r="N335" s="174" t="s">
        <v>72</v>
      </c>
      <c r="O335" s="177" t="s">
        <v>1448</v>
      </c>
      <c r="S335" s="178">
        <v>342</v>
      </c>
      <c r="T335" s="181"/>
      <c r="Z335" s="183" t="s">
        <v>175</v>
      </c>
      <c r="AA335" s="184" t="s">
        <v>176</v>
      </c>
      <c r="AB335" t="s">
        <v>177</v>
      </c>
    </row>
    <row r="336" spans="1:32" ht="16.5" customHeight="1" x14ac:dyDescent="0.3">
      <c r="E336" s="173">
        <v>335</v>
      </c>
      <c r="F336" s="174">
        <v>1196</v>
      </c>
      <c r="G336" s="174" t="s">
        <v>1406</v>
      </c>
      <c r="H336" s="174" t="s">
        <v>127</v>
      </c>
      <c r="I336" s="175" t="s">
        <v>127</v>
      </c>
      <c r="J336" s="175" t="s">
        <v>1449</v>
      </c>
      <c r="K336" s="176" t="s">
        <v>1425</v>
      </c>
      <c r="L336" s="176" t="s">
        <v>1450</v>
      </c>
      <c r="M336" s="177" t="s">
        <v>16</v>
      </c>
      <c r="N336" s="174" t="s">
        <v>337</v>
      </c>
      <c r="O336" s="177" t="s">
        <v>1451</v>
      </c>
      <c r="S336" s="178">
        <v>343</v>
      </c>
      <c r="T336" s="181"/>
      <c r="Z336" s="183" t="s">
        <v>166</v>
      </c>
      <c r="AA336" s="184" t="s">
        <v>167</v>
      </c>
      <c r="AB336" t="s">
        <v>168</v>
      </c>
    </row>
    <row r="337" spans="5:28" ht="16.5" customHeight="1" x14ac:dyDescent="0.3">
      <c r="E337" s="173">
        <v>336</v>
      </c>
      <c r="F337" s="174">
        <v>1197</v>
      </c>
      <c r="G337" s="174" t="s">
        <v>1406</v>
      </c>
      <c r="H337" s="174" t="s">
        <v>127</v>
      </c>
      <c r="I337" s="175" t="s">
        <v>127</v>
      </c>
      <c r="J337" s="175" t="s">
        <v>1452</v>
      </c>
      <c r="K337" s="176" t="s">
        <v>1425</v>
      </c>
      <c r="L337" s="176" t="s">
        <v>1453</v>
      </c>
      <c r="M337" s="177" t="s">
        <v>16</v>
      </c>
      <c r="N337" s="174" t="s">
        <v>224</v>
      </c>
      <c r="O337" s="177" t="s">
        <v>1454</v>
      </c>
      <c r="S337" s="178">
        <v>344</v>
      </c>
      <c r="T337" s="181"/>
      <c r="Z337" s="183" t="s">
        <v>175</v>
      </c>
      <c r="AA337" s="184" t="s">
        <v>176</v>
      </c>
      <c r="AB337" t="s">
        <v>177</v>
      </c>
    </row>
    <row r="338" spans="5:28" ht="16.5" customHeight="1" x14ac:dyDescent="0.3">
      <c r="E338" s="173">
        <v>337</v>
      </c>
      <c r="F338" s="174">
        <v>1198</v>
      </c>
      <c r="G338" s="174" t="s">
        <v>1406</v>
      </c>
      <c r="H338" s="174" t="s">
        <v>127</v>
      </c>
      <c r="I338" s="175" t="s">
        <v>127</v>
      </c>
      <c r="J338" s="175" t="s">
        <v>1455</v>
      </c>
      <c r="K338" s="176" t="s">
        <v>1425</v>
      </c>
      <c r="L338" s="176" t="s">
        <v>1456</v>
      </c>
      <c r="M338" s="177" t="s">
        <v>16</v>
      </c>
      <c r="N338" s="174" t="s">
        <v>72</v>
      </c>
      <c r="O338" s="177" t="s">
        <v>1457</v>
      </c>
      <c r="S338" s="178">
        <v>345</v>
      </c>
      <c r="T338" s="181"/>
      <c r="Z338" s="183" t="s">
        <v>166</v>
      </c>
      <c r="AA338" s="184" t="s">
        <v>167</v>
      </c>
      <c r="AB338" t="s">
        <v>168</v>
      </c>
    </row>
    <row r="339" spans="5:28" ht="16.5" customHeight="1" x14ac:dyDescent="0.3">
      <c r="E339" s="173">
        <v>338</v>
      </c>
      <c r="F339" s="174">
        <v>1199</v>
      </c>
      <c r="G339" s="174" t="s">
        <v>1406</v>
      </c>
      <c r="H339" s="174" t="s">
        <v>127</v>
      </c>
      <c r="I339" s="175" t="s">
        <v>127</v>
      </c>
      <c r="J339" s="175" t="s">
        <v>1458</v>
      </c>
      <c r="K339" s="176" t="s">
        <v>1425</v>
      </c>
      <c r="L339" s="176" t="s">
        <v>1459</v>
      </c>
      <c r="M339" s="177" t="s">
        <v>16</v>
      </c>
      <c r="N339" s="174" t="s">
        <v>43</v>
      </c>
      <c r="O339" s="177" t="s">
        <v>1460</v>
      </c>
      <c r="S339" s="178">
        <v>346</v>
      </c>
      <c r="T339" s="181"/>
      <c r="Z339" s="183" t="s">
        <v>175</v>
      </c>
      <c r="AA339" s="184" t="s">
        <v>176</v>
      </c>
      <c r="AB339" t="s">
        <v>177</v>
      </c>
    </row>
    <row r="340" spans="5:28" ht="16.5" customHeight="1" x14ac:dyDescent="0.3">
      <c r="E340" s="173">
        <v>339</v>
      </c>
      <c r="F340" s="174">
        <v>1200</v>
      </c>
      <c r="G340" s="174" t="s">
        <v>1406</v>
      </c>
      <c r="H340" s="174" t="s">
        <v>127</v>
      </c>
      <c r="I340" s="175" t="s">
        <v>127</v>
      </c>
      <c r="J340" s="175" t="s">
        <v>1461</v>
      </c>
      <c r="K340" s="176" t="s">
        <v>1425</v>
      </c>
      <c r="L340" s="176" t="s">
        <v>1462</v>
      </c>
      <c r="M340" s="177" t="s">
        <v>16</v>
      </c>
      <c r="N340" s="174" t="s">
        <v>43</v>
      </c>
      <c r="O340" s="177" t="s">
        <v>1463</v>
      </c>
      <c r="S340" s="178">
        <v>347</v>
      </c>
      <c r="T340" s="181"/>
      <c r="Z340" s="183" t="s">
        <v>166</v>
      </c>
      <c r="AA340" s="184" t="s">
        <v>167</v>
      </c>
      <c r="AB340" t="s">
        <v>168</v>
      </c>
    </row>
    <row r="341" spans="5:28" ht="16.5" customHeight="1" x14ac:dyDescent="0.3">
      <c r="E341" s="173">
        <v>340</v>
      </c>
      <c r="F341" s="174">
        <v>1201</v>
      </c>
      <c r="G341" s="174" t="s">
        <v>1406</v>
      </c>
      <c r="H341" s="174" t="s">
        <v>127</v>
      </c>
      <c r="I341" s="175" t="s">
        <v>127</v>
      </c>
      <c r="J341" s="175" t="s">
        <v>1464</v>
      </c>
      <c r="K341" s="176" t="s">
        <v>1425</v>
      </c>
      <c r="L341" s="176" t="s">
        <v>1465</v>
      </c>
      <c r="M341" s="177" t="s">
        <v>16</v>
      </c>
      <c r="N341" s="174" t="s">
        <v>43</v>
      </c>
      <c r="O341" s="177" t="s">
        <v>1466</v>
      </c>
      <c r="S341" s="178">
        <v>348</v>
      </c>
      <c r="T341" s="181"/>
      <c r="Z341" s="183" t="s">
        <v>175</v>
      </c>
      <c r="AA341" s="184" t="s">
        <v>176</v>
      </c>
      <c r="AB341" t="s">
        <v>177</v>
      </c>
    </row>
    <row r="342" spans="5:28" ht="16.5" customHeight="1" x14ac:dyDescent="0.3">
      <c r="E342" s="173">
        <v>341</v>
      </c>
      <c r="F342" s="174">
        <v>1202</v>
      </c>
      <c r="G342" s="174" t="s">
        <v>1406</v>
      </c>
      <c r="H342" s="174" t="s">
        <v>127</v>
      </c>
      <c r="I342" s="175" t="s">
        <v>127</v>
      </c>
      <c r="J342" s="175" t="s">
        <v>1467</v>
      </c>
      <c r="K342" s="176" t="s">
        <v>1408</v>
      </c>
      <c r="L342" s="176" t="s">
        <v>1468</v>
      </c>
      <c r="M342" s="177" t="s">
        <v>16</v>
      </c>
      <c r="N342" s="174" t="s">
        <v>43</v>
      </c>
      <c r="O342" s="177" t="s">
        <v>1469</v>
      </c>
      <c r="S342" s="178">
        <v>349</v>
      </c>
      <c r="T342" s="181"/>
      <c r="Z342" s="183" t="s">
        <v>166</v>
      </c>
      <c r="AA342" s="184" t="s">
        <v>167</v>
      </c>
      <c r="AB342" t="s">
        <v>168</v>
      </c>
    </row>
    <row r="343" spans="5:28" ht="16.5" customHeight="1" x14ac:dyDescent="0.3">
      <c r="E343" s="173">
        <v>342</v>
      </c>
      <c r="F343" s="174">
        <v>1203</v>
      </c>
      <c r="G343" s="174" t="s">
        <v>1406</v>
      </c>
      <c r="H343" s="174" t="s">
        <v>127</v>
      </c>
      <c r="I343" s="175" t="s">
        <v>127</v>
      </c>
      <c r="J343" s="175" t="s">
        <v>1470</v>
      </c>
      <c r="K343" s="176" t="s">
        <v>1425</v>
      </c>
      <c r="L343" s="176">
        <v>6946954972</v>
      </c>
      <c r="M343" s="177" t="s">
        <v>16</v>
      </c>
      <c r="N343" s="174" t="s">
        <v>1471</v>
      </c>
      <c r="O343" s="177" t="s">
        <v>1472</v>
      </c>
      <c r="S343" s="178">
        <v>350</v>
      </c>
      <c r="T343" s="181"/>
      <c r="Z343" s="183" t="s">
        <v>175</v>
      </c>
      <c r="AA343" s="184" t="s">
        <v>176</v>
      </c>
      <c r="AB343" t="s">
        <v>177</v>
      </c>
    </row>
    <row r="344" spans="5:28" ht="16.5" customHeight="1" x14ac:dyDescent="0.3">
      <c r="E344" s="173">
        <v>343</v>
      </c>
      <c r="F344" s="174">
        <v>1204</v>
      </c>
      <c r="G344" s="174" t="s">
        <v>1406</v>
      </c>
      <c r="H344" s="174" t="s">
        <v>127</v>
      </c>
      <c r="I344" s="175" t="s">
        <v>127</v>
      </c>
      <c r="J344" s="175" t="s">
        <v>1473</v>
      </c>
      <c r="K344" s="176" t="s">
        <v>1425</v>
      </c>
      <c r="L344" s="176" t="s">
        <v>1474</v>
      </c>
      <c r="M344" s="177" t="s">
        <v>16</v>
      </c>
      <c r="N344" s="174" t="s">
        <v>337</v>
      </c>
      <c r="O344" s="177" t="s">
        <v>1475</v>
      </c>
      <c r="S344" s="178">
        <v>351</v>
      </c>
      <c r="T344" s="181"/>
      <c r="Z344" s="183" t="s">
        <v>166</v>
      </c>
      <c r="AA344" s="184" t="s">
        <v>167</v>
      </c>
      <c r="AB344" t="s">
        <v>168</v>
      </c>
    </row>
    <row r="345" spans="5:28" ht="16.5" customHeight="1" x14ac:dyDescent="0.3">
      <c r="E345" s="173">
        <v>344</v>
      </c>
      <c r="F345" s="174">
        <v>1205</v>
      </c>
      <c r="G345" s="174" t="s">
        <v>1406</v>
      </c>
      <c r="H345" s="174" t="s">
        <v>127</v>
      </c>
      <c r="I345" s="175" t="s">
        <v>127</v>
      </c>
      <c r="J345" s="175" t="s">
        <v>1476</v>
      </c>
      <c r="K345" s="176" t="s">
        <v>1408</v>
      </c>
      <c r="L345" s="176" t="s">
        <v>1477</v>
      </c>
      <c r="M345" s="177" t="s">
        <v>16</v>
      </c>
      <c r="N345" s="174" t="s">
        <v>43</v>
      </c>
      <c r="O345" s="177" t="s">
        <v>1478</v>
      </c>
      <c r="S345" s="178">
        <v>353</v>
      </c>
      <c r="T345" s="181"/>
      <c r="Z345" s="183" t="s">
        <v>166</v>
      </c>
      <c r="AA345" s="184" t="s">
        <v>167</v>
      </c>
      <c r="AB345" t="s">
        <v>168</v>
      </c>
    </row>
    <row r="346" spans="5:28" ht="16.5" customHeight="1" x14ac:dyDescent="0.3">
      <c r="E346" s="173">
        <v>345</v>
      </c>
      <c r="F346" s="174">
        <v>1206</v>
      </c>
      <c r="G346" s="174" t="s">
        <v>1406</v>
      </c>
      <c r="H346" s="174" t="s">
        <v>127</v>
      </c>
      <c r="I346" s="175" t="s">
        <v>127</v>
      </c>
      <c r="J346" s="175" t="s">
        <v>1479</v>
      </c>
      <c r="K346" s="176" t="s">
        <v>1425</v>
      </c>
      <c r="L346" s="176" t="s">
        <v>1480</v>
      </c>
      <c r="M346" s="177" t="s">
        <v>16</v>
      </c>
      <c r="N346" s="174" t="s">
        <v>224</v>
      </c>
      <c r="O346" s="177" t="s">
        <v>1481</v>
      </c>
      <c r="S346" s="178">
        <v>354</v>
      </c>
      <c r="T346" s="181"/>
      <c r="Z346" s="183" t="s">
        <v>175</v>
      </c>
      <c r="AA346" s="184" t="s">
        <v>176</v>
      </c>
      <c r="AB346" t="s">
        <v>177</v>
      </c>
    </row>
    <row r="347" spans="5:28" ht="16.5" customHeight="1" x14ac:dyDescent="0.3">
      <c r="E347" s="173">
        <v>346</v>
      </c>
      <c r="F347" s="174">
        <v>1207</v>
      </c>
      <c r="G347" s="174" t="s">
        <v>1406</v>
      </c>
      <c r="H347" s="174" t="s">
        <v>127</v>
      </c>
      <c r="I347" s="175" t="s">
        <v>127</v>
      </c>
      <c r="J347" s="175" t="s">
        <v>1482</v>
      </c>
      <c r="K347" s="176" t="s">
        <v>1425</v>
      </c>
      <c r="L347" s="176" t="s">
        <v>1483</v>
      </c>
      <c r="M347" s="177" t="s">
        <v>16</v>
      </c>
      <c r="N347" s="174" t="s">
        <v>43</v>
      </c>
      <c r="O347" s="177" t="s">
        <v>1484</v>
      </c>
      <c r="S347" s="178">
        <v>355</v>
      </c>
      <c r="T347" s="181"/>
      <c r="Z347" s="183" t="s">
        <v>166</v>
      </c>
      <c r="AA347" s="184" t="s">
        <v>167</v>
      </c>
      <c r="AB347" t="s">
        <v>168</v>
      </c>
    </row>
    <row r="348" spans="5:28" ht="16.5" customHeight="1" x14ac:dyDescent="0.3">
      <c r="E348" s="173">
        <v>347</v>
      </c>
      <c r="F348" s="174">
        <v>1208</v>
      </c>
      <c r="G348" s="174" t="s">
        <v>1406</v>
      </c>
      <c r="H348" s="174" t="s">
        <v>127</v>
      </c>
      <c r="I348" s="175" t="s">
        <v>127</v>
      </c>
      <c r="J348" s="175" t="s">
        <v>1485</v>
      </c>
      <c r="K348" s="176" t="s">
        <v>1425</v>
      </c>
      <c r="L348" s="176" t="s">
        <v>1486</v>
      </c>
      <c r="M348" s="177" t="s">
        <v>16</v>
      </c>
      <c r="N348" s="174" t="s">
        <v>43</v>
      </c>
      <c r="O348" s="177" t="s">
        <v>1487</v>
      </c>
      <c r="S348" s="178">
        <v>356</v>
      </c>
      <c r="T348" s="181"/>
      <c r="Z348" s="183" t="s">
        <v>175</v>
      </c>
      <c r="AA348" s="184" t="s">
        <v>176</v>
      </c>
      <c r="AB348" t="s">
        <v>177</v>
      </c>
    </row>
    <row r="349" spans="5:28" ht="16.5" customHeight="1" x14ac:dyDescent="0.3">
      <c r="E349" s="173">
        <v>348</v>
      </c>
      <c r="F349" s="174">
        <v>1209</v>
      </c>
      <c r="G349" s="174" t="s">
        <v>1406</v>
      </c>
      <c r="H349" s="174" t="s">
        <v>127</v>
      </c>
      <c r="I349" s="175" t="s">
        <v>127</v>
      </c>
      <c r="J349" s="175" t="s">
        <v>1488</v>
      </c>
      <c r="K349" s="176" t="s">
        <v>1425</v>
      </c>
      <c r="L349" s="176" t="s">
        <v>1489</v>
      </c>
      <c r="M349" s="177" t="s">
        <v>16</v>
      </c>
      <c r="N349" s="174" t="s">
        <v>72</v>
      </c>
      <c r="O349" s="177" t="s">
        <v>1490</v>
      </c>
      <c r="S349" s="178">
        <v>357</v>
      </c>
      <c r="T349" s="181"/>
      <c r="Z349" s="183" t="s">
        <v>166</v>
      </c>
      <c r="AA349" s="184" t="s">
        <v>167</v>
      </c>
      <c r="AB349" t="s">
        <v>168</v>
      </c>
    </row>
    <row r="350" spans="5:28" ht="16.5" customHeight="1" x14ac:dyDescent="0.3">
      <c r="E350" s="173">
        <v>349</v>
      </c>
      <c r="F350" s="174">
        <v>1210</v>
      </c>
      <c r="G350" s="174" t="s">
        <v>1406</v>
      </c>
      <c r="H350" s="174" t="s">
        <v>127</v>
      </c>
      <c r="I350" s="175" t="s">
        <v>127</v>
      </c>
      <c r="J350" s="175" t="s">
        <v>1491</v>
      </c>
      <c r="K350" s="176" t="s">
        <v>1408</v>
      </c>
      <c r="L350" s="176">
        <v>6944027398</v>
      </c>
      <c r="M350" s="177" t="s">
        <v>16</v>
      </c>
      <c r="N350" s="174" t="s">
        <v>72</v>
      </c>
      <c r="O350" s="177" t="s">
        <v>1492</v>
      </c>
      <c r="S350" s="178">
        <v>358</v>
      </c>
      <c r="T350" s="181"/>
      <c r="Z350" s="183" t="s">
        <v>175</v>
      </c>
      <c r="AA350" s="184" t="s">
        <v>176</v>
      </c>
      <c r="AB350" t="s">
        <v>177</v>
      </c>
    </row>
    <row r="351" spans="5:28" ht="16.5" customHeight="1" x14ac:dyDescent="0.3">
      <c r="E351" s="173">
        <v>350</v>
      </c>
      <c r="F351" s="174">
        <v>1211</v>
      </c>
      <c r="G351" s="174" t="s">
        <v>1406</v>
      </c>
      <c r="H351" s="174" t="s">
        <v>127</v>
      </c>
      <c r="I351" s="175" t="s">
        <v>127</v>
      </c>
      <c r="J351" s="175" t="s">
        <v>1493</v>
      </c>
      <c r="K351" s="176" t="s">
        <v>1425</v>
      </c>
      <c r="L351" s="176" t="s">
        <v>1494</v>
      </c>
      <c r="M351" s="177" t="s">
        <v>16</v>
      </c>
      <c r="N351" s="174" t="s">
        <v>733</v>
      </c>
      <c r="O351" s="177" t="s">
        <v>1495</v>
      </c>
      <c r="S351" s="178">
        <v>359</v>
      </c>
      <c r="T351" s="181"/>
      <c r="Z351" s="183" t="s">
        <v>166</v>
      </c>
      <c r="AA351" s="184" t="s">
        <v>167</v>
      </c>
      <c r="AB351" t="s">
        <v>168</v>
      </c>
    </row>
    <row r="352" spans="5:28" ht="16.5" customHeight="1" x14ac:dyDescent="0.3">
      <c r="E352" s="173">
        <v>351</v>
      </c>
      <c r="F352" s="174">
        <v>1212</v>
      </c>
      <c r="G352" s="174" t="s">
        <v>1406</v>
      </c>
      <c r="H352" s="174" t="s">
        <v>127</v>
      </c>
      <c r="I352" s="175" t="s">
        <v>127</v>
      </c>
      <c r="J352" s="175" t="s">
        <v>1496</v>
      </c>
      <c r="K352" s="176" t="s">
        <v>1408</v>
      </c>
      <c r="L352" s="176" t="s">
        <v>1497</v>
      </c>
      <c r="M352" s="177" t="s">
        <v>16</v>
      </c>
      <c r="N352" s="174" t="s">
        <v>43</v>
      </c>
      <c r="O352" s="177" t="s">
        <v>1498</v>
      </c>
      <c r="S352" s="178">
        <v>360</v>
      </c>
      <c r="T352" s="181"/>
      <c r="Z352" s="183" t="s">
        <v>175</v>
      </c>
      <c r="AA352" s="184" t="s">
        <v>176</v>
      </c>
      <c r="AB352" t="s">
        <v>177</v>
      </c>
    </row>
    <row r="353" spans="5:28" ht="16.5" customHeight="1" x14ac:dyDescent="0.3">
      <c r="E353" s="173">
        <v>352</v>
      </c>
      <c r="F353" s="174">
        <v>1213</v>
      </c>
      <c r="G353" s="174" t="s">
        <v>1406</v>
      </c>
      <c r="H353" s="174" t="s">
        <v>127</v>
      </c>
      <c r="I353" s="175" t="s">
        <v>127</v>
      </c>
      <c r="J353" s="175" t="s">
        <v>1499</v>
      </c>
      <c r="K353" s="176" t="s">
        <v>1425</v>
      </c>
      <c r="L353" s="176" t="s">
        <v>1500</v>
      </c>
      <c r="M353" s="177" t="s">
        <v>16</v>
      </c>
      <c r="N353" s="174" t="s">
        <v>337</v>
      </c>
      <c r="O353" s="177" t="s">
        <v>1501</v>
      </c>
      <c r="S353" s="178">
        <v>361</v>
      </c>
      <c r="T353" s="181"/>
      <c r="Z353" s="183" t="s">
        <v>166</v>
      </c>
      <c r="AA353" s="184" t="s">
        <v>167</v>
      </c>
      <c r="AB353" t="s">
        <v>168</v>
      </c>
    </row>
    <row r="354" spans="5:28" ht="16.5" customHeight="1" x14ac:dyDescent="0.3">
      <c r="E354" s="197"/>
      <c r="F354" s="198"/>
      <c r="G354" s="198"/>
      <c r="H354" s="198"/>
      <c r="I354" s="198"/>
      <c r="J354" s="199" t="s">
        <v>1502</v>
      </c>
      <c r="K354" s="200" t="s">
        <v>1503</v>
      </c>
      <c r="L354" s="201"/>
      <c r="M354" s="201"/>
      <c r="N354" s="201"/>
      <c r="O354" s="201"/>
      <c r="S354" s="178">
        <v>364</v>
      </c>
      <c r="T354" s="181"/>
      <c r="Z354" s="183" t="s">
        <v>175</v>
      </c>
      <c r="AA354" s="184" t="s">
        <v>176</v>
      </c>
      <c r="AB354" t="s">
        <v>177</v>
      </c>
    </row>
    <row r="355" spans="5:28" hidden="1" x14ac:dyDescent="0.3">
      <c r="E355" s="197"/>
      <c r="F355" s="198"/>
      <c r="G355" s="198"/>
      <c r="H355" s="198"/>
      <c r="I355" s="198"/>
      <c r="J355" s="202" t="s">
        <v>1504</v>
      </c>
      <c r="K355" s="200" t="s">
        <v>16</v>
      </c>
      <c r="L355" s="201"/>
      <c r="M355" s="201"/>
      <c r="N355" s="201"/>
      <c r="O355" s="201"/>
    </row>
    <row r="356" spans="5:28" hidden="1" x14ac:dyDescent="0.3"/>
  </sheetData>
  <autoFilter ref="Q1:Q354" xr:uid="{00000000-0009-0000-0000-000001000000}"/>
  <phoneticPr fontId="1" type="noConversion"/>
  <conditionalFormatting sqref="F1:F1048576">
    <cfRule type="duplicateValues" dxfId="74" priority="1"/>
  </conditionalFormatting>
  <conditionalFormatting sqref="G1:H353 K1:O353">
    <cfRule type="containsBlanks" dxfId="73" priority="2">
      <formula>LEN(TRIM(G1))=0</formula>
    </cfRule>
  </conditionalFormatting>
  <conditionalFormatting sqref="T1:T2 T15:T354">
    <cfRule type="duplicateValues" dxfId="72" priority="284"/>
  </conditionalFormatting>
  <conditionalFormatting sqref="T3:T14">
    <cfRule type="duplicateValues" dxfId="71" priority="13"/>
  </conditionalFormatting>
  <conditionalFormatting sqref="T9">
    <cfRule type="duplicateValues" dxfId="70" priority="11"/>
  </conditionalFormatting>
  <conditionalFormatting sqref="T10">
    <cfRule type="duplicateValues" dxfId="69" priority="12"/>
  </conditionalFormatting>
  <conditionalFormatting sqref="Z1:Z9 Z11:Z1048576">
    <cfRule type="duplicateValues" dxfId="68" priority="75"/>
  </conditionalFormatting>
  <conditionalFormatting sqref="Z10">
    <cfRule type="duplicateValues" dxfId="67" priority="67"/>
  </conditionalFormatting>
  <conditionalFormatting sqref="AA1:AA9 AA11:AA1048576">
    <cfRule type="duplicateValues" dxfId="66" priority="74"/>
  </conditionalFormatting>
  <conditionalFormatting sqref="AA10">
    <cfRule type="duplicateValues" dxfId="65" priority="66"/>
  </conditionalFormatting>
  <conditionalFormatting sqref="AC2:AC3">
    <cfRule type="cellIs" dxfId="64" priority="9" operator="equal">
      <formula>"Διοικητικός"</formula>
    </cfRule>
    <cfRule type="cellIs" dxfId="63" priority="10" operator="equal">
      <formula>"Μηχανικός"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260"/>
  <sheetViews>
    <sheetView zoomScale="90" zoomScaleNormal="90" workbookViewId="0">
      <pane ySplit="2" topLeftCell="A3" activePane="bottomLeft" state="frozen"/>
      <selection pane="bottomLeft"/>
    </sheetView>
  </sheetViews>
  <sheetFormatPr defaultRowHeight="15" x14ac:dyDescent="0.25"/>
  <cols>
    <col min="1" max="1" width="6.7109375" style="96" customWidth="1"/>
    <col min="2" max="2" width="11.7109375" style="13" customWidth="1"/>
    <col min="3" max="3" width="10.7109375" style="13" customWidth="1"/>
    <col min="4" max="4" width="26.7109375" customWidth="1"/>
    <col min="5" max="5" width="61.7109375" customWidth="1"/>
    <col min="6" max="6" width="13.7109375" customWidth="1"/>
    <col min="7" max="7" width="15.7109375" customWidth="1"/>
    <col min="8" max="8" width="21.7109375" customWidth="1"/>
    <col min="9" max="9" width="13.7109375" hidden="1" customWidth="1"/>
    <col min="10" max="11" width="31.7109375" customWidth="1"/>
    <col min="12" max="12" width="0" hidden="1" customWidth="1"/>
  </cols>
  <sheetData>
    <row r="1" spans="1:15" s="140" customFormat="1" ht="18.75" x14ac:dyDescent="0.25">
      <c r="B1" s="141" t="s">
        <v>1505</v>
      </c>
      <c r="E1" s="142"/>
      <c r="F1" s="143"/>
      <c r="G1" s="144"/>
      <c r="H1" s="144"/>
      <c r="I1" s="145"/>
      <c r="J1" s="146"/>
      <c r="K1" s="146"/>
      <c r="N1" s="142"/>
      <c r="O1" s="142"/>
    </row>
    <row r="2" spans="1:15" ht="25.5" x14ac:dyDescent="0.25">
      <c r="A2" s="70" t="s">
        <v>1506</v>
      </c>
      <c r="B2" s="71" t="s">
        <v>3</v>
      </c>
      <c r="C2" s="72" t="s">
        <v>1507</v>
      </c>
      <c r="D2" s="73" t="s">
        <v>1508</v>
      </c>
      <c r="E2" s="74" t="s">
        <v>1509</v>
      </c>
      <c r="F2" s="73" t="s">
        <v>1510</v>
      </c>
      <c r="G2" s="75" t="s">
        <v>8</v>
      </c>
      <c r="H2" s="75" t="s">
        <v>10</v>
      </c>
      <c r="I2" s="76" t="s">
        <v>1511</v>
      </c>
      <c r="J2" s="77" t="s">
        <v>1512</v>
      </c>
      <c r="K2" s="78" t="s">
        <v>1513</v>
      </c>
    </row>
    <row r="3" spans="1:15" ht="18" customHeight="1" x14ac:dyDescent="0.25">
      <c r="A3" s="79">
        <f>--SUBTOTAL(3,$B$2:B2)</f>
        <v>1</v>
      </c>
      <c r="B3" s="80" t="s">
        <v>1252</v>
      </c>
      <c r="C3" s="81" t="s">
        <v>1514</v>
      </c>
      <c r="D3" s="82" t="s">
        <v>1262</v>
      </c>
      <c r="E3" s="83" t="s">
        <v>1515</v>
      </c>
      <c r="F3" s="84" t="s">
        <v>1516</v>
      </c>
      <c r="G3" s="84" t="s">
        <v>1263</v>
      </c>
      <c r="H3" s="84" t="s">
        <v>1265</v>
      </c>
      <c r="I3" s="85" t="s">
        <v>23</v>
      </c>
      <c r="J3" s="86" t="s">
        <v>1517</v>
      </c>
      <c r="K3" s="86" t="s">
        <v>1266</v>
      </c>
      <c r="L3" t="e">
        <f>_xlfn.XLOOKUP(C3,'ΥΠΑΛΛΗΛΟΙ ΓΔΑΕΦΚ'!#REF!,'ΥΠΑΛΛΗΛΟΙ ΓΔΑΕΦΚ'!#REF!,"_")</f>
        <v>#REF!</v>
      </c>
    </row>
    <row r="4" spans="1:15" ht="25.5" x14ac:dyDescent="0.25">
      <c r="A4" s="79">
        <f>--SUBTOTAL(3,$B$2:B3)</f>
        <v>2</v>
      </c>
      <c r="B4" s="80" t="s">
        <v>1252</v>
      </c>
      <c r="C4" s="81" t="s">
        <v>1518</v>
      </c>
      <c r="D4" s="82" t="s">
        <v>1267</v>
      </c>
      <c r="E4" s="83" t="s">
        <v>1519</v>
      </c>
      <c r="F4" s="87" t="s">
        <v>1520</v>
      </c>
      <c r="G4" s="87" t="s">
        <v>1521</v>
      </c>
      <c r="H4" s="87" t="s">
        <v>43</v>
      </c>
      <c r="I4" s="85" t="s">
        <v>23</v>
      </c>
      <c r="J4" s="86" t="s">
        <v>1522</v>
      </c>
      <c r="K4" s="86" t="s">
        <v>1269</v>
      </c>
      <c r="L4" t="e">
        <f>_xlfn.XLOOKUP(C4,'ΥΠΑΛΛΗΛΟΙ ΓΔΑΕΦΚ'!#REF!,'ΥΠΑΛΛΗΛΟΙ ΓΔΑΕΦΚ'!#REF!,"_")</f>
        <v>#REF!</v>
      </c>
    </row>
    <row r="5" spans="1:15" x14ac:dyDescent="0.25">
      <c r="A5" s="79">
        <f>--SUBTOTAL(3,$B$2:B4)</f>
        <v>3</v>
      </c>
      <c r="B5" s="80" t="s">
        <v>1252</v>
      </c>
      <c r="C5" s="81" t="s">
        <v>1523</v>
      </c>
      <c r="D5" s="82" t="s">
        <v>1270</v>
      </c>
      <c r="E5" s="83" t="s">
        <v>1524</v>
      </c>
      <c r="F5" s="87" t="s">
        <v>1525</v>
      </c>
      <c r="G5" s="87" t="s">
        <v>1271</v>
      </c>
      <c r="H5" s="87" t="s">
        <v>43</v>
      </c>
      <c r="I5" s="85" t="s">
        <v>23</v>
      </c>
      <c r="J5" s="86" t="s">
        <v>1526</v>
      </c>
      <c r="K5" s="86" t="s">
        <v>1273</v>
      </c>
      <c r="L5" t="e">
        <f>_xlfn.XLOOKUP(C5,'ΥΠΑΛΛΗΛΟΙ ΓΔΑΕΦΚ'!#REF!,'ΥΠΑΛΛΗΛΟΙ ΓΔΑΕΦΚ'!#REF!,"_")</f>
        <v>#REF!</v>
      </c>
    </row>
    <row r="6" spans="1:15" x14ac:dyDescent="0.25">
      <c r="A6" s="79">
        <f>--SUBTOTAL(3,$B$2:B5)</f>
        <v>4</v>
      </c>
      <c r="B6" s="80" t="s">
        <v>1252</v>
      </c>
      <c r="C6" s="81" t="s">
        <v>1527</v>
      </c>
      <c r="D6" s="82" t="s">
        <v>1528</v>
      </c>
      <c r="E6" s="83" t="s">
        <v>1529</v>
      </c>
      <c r="F6" s="87" t="s">
        <v>1530</v>
      </c>
      <c r="G6" s="87" t="s">
        <v>1531</v>
      </c>
      <c r="H6" s="87" t="s">
        <v>31</v>
      </c>
      <c r="I6" s="85" t="s">
        <v>23</v>
      </c>
      <c r="J6" s="86" t="s">
        <v>1532</v>
      </c>
      <c r="K6" s="86" t="s">
        <v>16</v>
      </c>
      <c r="L6" t="e">
        <f>_xlfn.XLOOKUP(C6,'ΥΠΑΛΛΗΛΟΙ ΓΔΑΕΦΚ'!#REF!,'ΥΠΑΛΛΗΛΟΙ ΓΔΑΕΦΚ'!#REF!,"_")</f>
        <v>#REF!</v>
      </c>
    </row>
    <row r="7" spans="1:15" x14ac:dyDescent="0.25">
      <c r="A7" s="79">
        <f>--SUBTOTAL(3,$B$2:B6)</f>
        <v>5</v>
      </c>
      <c r="B7" s="80" t="s">
        <v>1252</v>
      </c>
      <c r="C7" s="81" t="s">
        <v>1533</v>
      </c>
      <c r="D7" s="82" t="s">
        <v>1274</v>
      </c>
      <c r="E7" s="83" t="s">
        <v>1534</v>
      </c>
      <c r="F7" s="87" t="s">
        <v>1535</v>
      </c>
      <c r="G7" s="87" t="s">
        <v>1536</v>
      </c>
      <c r="H7" s="87" t="s">
        <v>337</v>
      </c>
      <c r="I7" s="85" t="s">
        <v>23</v>
      </c>
      <c r="J7" s="86" t="s">
        <v>1537</v>
      </c>
      <c r="K7" s="86" t="s">
        <v>16</v>
      </c>
      <c r="L7" t="e">
        <f>_xlfn.XLOOKUP(C7,'ΥΠΑΛΛΗΛΟΙ ΓΔΑΕΦΚ'!#REF!,'ΥΠΑΛΛΗΛΟΙ ΓΔΑΕΦΚ'!#REF!,"_")</f>
        <v>#REF!</v>
      </c>
    </row>
    <row r="8" spans="1:15" x14ac:dyDescent="0.25">
      <c r="A8" s="79">
        <f>--SUBTOTAL(3,$B$2:B7)</f>
        <v>6</v>
      </c>
      <c r="B8" s="80" t="s">
        <v>1252</v>
      </c>
      <c r="C8" s="81" t="s">
        <v>1538</v>
      </c>
      <c r="D8" s="82" t="s">
        <v>1279</v>
      </c>
      <c r="E8" s="83" t="s">
        <v>1539</v>
      </c>
      <c r="F8" s="87" t="s">
        <v>1540</v>
      </c>
      <c r="G8" s="87" t="s">
        <v>1280</v>
      </c>
      <c r="H8" s="87" t="s">
        <v>43</v>
      </c>
      <c r="I8" s="85" t="s">
        <v>23</v>
      </c>
      <c r="J8" s="86" t="s">
        <v>1541</v>
      </c>
      <c r="K8" s="86" t="s">
        <v>1282</v>
      </c>
      <c r="L8" t="e">
        <f>_xlfn.XLOOKUP(C8,'ΥΠΑΛΛΗΛΟΙ ΓΔΑΕΦΚ'!#REF!,'ΥΠΑΛΛΗΛΟΙ ΓΔΑΕΦΚ'!#REF!,"_")</f>
        <v>#REF!</v>
      </c>
    </row>
    <row r="9" spans="1:15" x14ac:dyDescent="0.25">
      <c r="A9" s="79">
        <f>--SUBTOTAL(3,$B$2:B8)</f>
        <v>7</v>
      </c>
      <c r="B9" s="80" t="s">
        <v>1252</v>
      </c>
      <c r="C9" s="81" t="s">
        <v>1542</v>
      </c>
      <c r="D9" s="82" t="s">
        <v>1287</v>
      </c>
      <c r="E9" s="83" t="s">
        <v>1543</v>
      </c>
      <c r="F9" s="87" t="s">
        <v>1544</v>
      </c>
      <c r="G9" s="87" t="s">
        <v>1288</v>
      </c>
      <c r="H9" s="87" t="s">
        <v>224</v>
      </c>
      <c r="I9" s="85" t="s">
        <v>23</v>
      </c>
      <c r="J9" s="86" t="s">
        <v>1545</v>
      </c>
      <c r="K9" s="86" t="s">
        <v>1290</v>
      </c>
      <c r="L9" t="e">
        <f>_xlfn.XLOOKUP(C9,'ΥΠΑΛΛΗΛΟΙ ΓΔΑΕΦΚ'!#REF!,'ΥΠΑΛΛΗΛΟΙ ΓΔΑΕΦΚ'!#REF!,"_")</f>
        <v>#REF!</v>
      </c>
    </row>
    <row r="10" spans="1:15" x14ac:dyDescent="0.25">
      <c r="A10" s="79">
        <f>--SUBTOTAL(3,$B$2:B9)</f>
        <v>8</v>
      </c>
      <c r="B10" s="80" t="s">
        <v>1252</v>
      </c>
      <c r="C10" s="81" t="s">
        <v>1546</v>
      </c>
      <c r="D10" s="82" t="s">
        <v>1302</v>
      </c>
      <c r="E10" s="83" t="s">
        <v>1547</v>
      </c>
      <c r="F10" s="87" t="s">
        <v>1548</v>
      </c>
      <c r="G10" s="87" t="s">
        <v>1303</v>
      </c>
      <c r="H10" s="87" t="s">
        <v>43</v>
      </c>
      <c r="I10" s="85" t="s">
        <v>23</v>
      </c>
      <c r="J10" s="86" t="s">
        <v>1549</v>
      </c>
      <c r="K10" s="86" t="s">
        <v>1305</v>
      </c>
      <c r="L10" t="e">
        <f>_xlfn.XLOOKUP(C10,'ΥΠΑΛΛΗΛΟΙ ΓΔΑΕΦΚ'!#REF!,'ΥΠΑΛΛΗΛΟΙ ΓΔΑΕΦΚ'!#REF!,"_")</f>
        <v>#REF!</v>
      </c>
    </row>
    <row r="11" spans="1:15" x14ac:dyDescent="0.25">
      <c r="A11" s="79">
        <f>--SUBTOTAL(3,$B$2:B10)</f>
        <v>9</v>
      </c>
      <c r="B11" s="80" t="s">
        <v>1252</v>
      </c>
      <c r="C11" s="81" t="s">
        <v>1550</v>
      </c>
      <c r="D11" s="82" t="s">
        <v>1306</v>
      </c>
      <c r="E11" s="83" t="s">
        <v>1551</v>
      </c>
      <c r="F11" s="87" t="s">
        <v>1552</v>
      </c>
      <c r="G11" s="87" t="s">
        <v>1307</v>
      </c>
      <c r="H11" s="87" t="s">
        <v>224</v>
      </c>
      <c r="I11" s="85" t="s">
        <v>23</v>
      </c>
      <c r="J11" s="86" t="s">
        <v>1553</v>
      </c>
      <c r="K11" s="86" t="s">
        <v>1309</v>
      </c>
      <c r="L11" t="e">
        <f>_xlfn.XLOOKUP(C11,'ΥΠΑΛΛΗΛΟΙ ΓΔΑΕΦΚ'!#REF!,'ΥΠΑΛΛΗΛΟΙ ΓΔΑΕΦΚ'!#REF!,"_")</f>
        <v>#REF!</v>
      </c>
    </row>
    <row r="12" spans="1:15" x14ac:dyDescent="0.25">
      <c r="A12" s="79">
        <f>--SUBTOTAL(3,$B$2:B11)</f>
        <v>10</v>
      </c>
      <c r="B12" s="80" t="s">
        <v>1252</v>
      </c>
      <c r="C12" s="81" t="s">
        <v>1554</v>
      </c>
      <c r="D12" s="82" t="s">
        <v>1318</v>
      </c>
      <c r="E12" s="83" t="s">
        <v>1555</v>
      </c>
      <c r="F12" s="84" t="s">
        <v>1556</v>
      </c>
      <c r="G12" s="84" t="s">
        <v>1319</v>
      </c>
      <c r="H12" s="84" t="s">
        <v>43</v>
      </c>
      <c r="I12" s="85" t="s">
        <v>23</v>
      </c>
      <c r="J12" s="85" t="s">
        <v>1557</v>
      </c>
      <c r="K12" s="85" t="s">
        <v>1321</v>
      </c>
      <c r="L12" t="e">
        <f>_xlfn.XLOOKUP(C12,'ΥΠΑΛΛΗΛΟΙ ΓΔΑΕΦΚ'!#REF!,'ΥΠΑΛΛΗΛΟΙ ΓΔΑΕΦΚ'!#REF!,"_")</f>
        <v>#REF!</v>
      </c>
    </row>
    <row r="13" spans="1:15" x14ac:dyDescent="0.25">
      <c r="A13" s="79">
        <f>--SUBTOTAL(3,$B$2:B12)</f>
        <v>11</v>
      </c>
      <c r="B13" s="80" t="s">
        <v>1252</v>
      </c>
      <c r="C13" s="81" t="s">
        <v>1558</v>
      </c>
      <c r="D13" s="82" t="s">
        <v>1322</v>
      </c>
      <c r="E13" s="83" t="s">
        <v>1559</v>
      </c>
      <c r="F13" s="87" t="s">
        <v>1560</v>
      </c>
      <c r="G13" s="87" t="s">
        <v>1323</v>
      </c>
      <c r="H13" s="87" t="s">
        <v>43</v>
      </c>
      <c r="I13" s="85" t="s">
        <v>23</v>
      </c>
      <c r="J13" s="86" t="s">
        <v>1561</v>
      </c>
      <c r="K13" s="86" t="s">
        <v>1325</v>
      </c>
      <c r="L13" t="e">
        <f>_xlfn.XLOOKUP(C13,'ΥΠΑΛΛΗΛΟΙ ΓΔΑΕΦΚ'!#REF!,'ΥΠΑΛΛΗΛΟΙ ΓΔΑΕΦΚ'!#REF!,"_")</f>
        <v>#REF!</v>
      </c>
    </row>
    <row r="14" spans="1:15" x14ac:dyDescent="0.25">
      <c r="A14" s="79">
        <f>--SUBTOTAL(3,$B$2:B13)</f>
        <v>12</v>
      </c>
      <c r="B14" s="80" t="s">
        <v>1252</v>
      </c>
      <c r="C14" s="81" t="s">
        <v>1562</v>
      </c>
      <c r="D14" s="82" t="s">
        <v>1331</v>
      </c>
      <c r="E14" s="83" t="s">
        <v>1563</v>
      </c>
      <c r="F14" s="88" t="s">
        <v>1564</v>
      </c>
      <c r="G14" s="89" t="s">
        <v>1332</v>
      </c>
      <c r="H14" s="89" t="s">
        <v>43</v>
      </c>
      <c r="I14" s="85" t="s">
        <v>23</v>
      </c>
      <c r="J14" s="86" t="s">
        <v>1565</v>
      </c>
      <c r="K14" s="86" t="s">
        <v>1334</v>
      </c>
      <c r="L14" t="e">
        <f>_xlfn.XLOOKUP(C14,'ΥΠΑΛΛΗΛΟΙ ΓΔΑΕΦΚ'!#REF!,'ΥΠΑΛΛΗΛΟΙ ΓΔΑΕΦΚ'!#REF!,"_")</f>
        <v>#REF!</v>
      </c>
    </row>
    <row r="15" spans="1:15" x14ac:dyDescent="0.25">
      <c r="A15" s="79">
        <f>--SUBTOTAL(3,$B$2:B14)</f>
        <v>13</v>
      </c>
      <c r="B15" s="80" t="s">
        <v>1252</v>
      </c>
      <c r="C15" s="90" t="s">
        <v>1566</v>
      </c>
      <c r="D15" s="82" t="s">
        <v>1335</v>
      </c>
      <c r="E15" s="83" t="s">
        <v>1567</v>
      </c>
      <c r="F15" s="87" t="s">
        <v>1568</v>
      </c>
      <c r="G15" s="87" t="s">
        <v>1336</v>
      </c>
      <c r="H15" s="87" t="s">
        <v>224</v>
      </c>
      <c r="I15" s="85" t="s">
        <v>23</v>
      </c>
      <c r="J15" s="86" t="s">
        <v>1569</v>
      </c>
      <c r="K15" s="86" t="s">
        <v>1338</v>
      </c>
      <c r="L15" t="e">
        <f>_xlfn.XLOOKUP(C15,'ΥΠΑΛΛΗΛΟΙ ΓΔΑΕΦΚ'!#REF!,'ΥΠΑΛΛΗΛΟΙ ΓΔΑΕΦΚ'!#REF!,"_")</f>
        <v>#REF!</v>
      </c>
    </row>
    <row r="16" spans="1:15" x14ac:dyDescent="0.25">
      <c r="A16" s="79">
        <f>--SUBTOTAL(3,$B$2:B15)</f>
        <v>14</v>
      </c>
      <c r="B16" s="80" t="s">
        <v>1252</v>
      </c>
      <c r="C16" s="81" t="s">
        <v>1570</v>
      </c>
      <c r="D16" s="82" t="s">
        <v>1347</v>
      </c>
      <c r="E16" s="83" t="s">
        <v>1571</v>
      </c>
      <c r="F16" s="87" t="s">
        <v>1572</v>
      </c>
      <c r="G16" s="87" t="s">
        <v>1348</v>
      </c>
      <c r="H16" s="87" t="s">
        <v>1007</v>
      </c>
      <c r="I16" s="85" t="s">
        <v>23</v>
      </c>
      <c r="J16" s="86" t="s">
        <v>1573</v>
      </c>
      <c r="K16" s="86" t="s">
        <v>1350</v>
      </c>
      <c r="L16" t="e">
        <f>_xlfn.XLOOKUP(C16,'ΥΠΑΛΛΗΛΟΙ ΓΔΑΕΦΚ'!#REF!,'ΥΠΑΛΛΗΛΟΙ ΓΔΑΕΦΚ'!#REF!,"_")</f>
        <v>#REF!</v>
      </c>
    </row>
    <row r="17" spans="1:12" x14ac:dyDescent="0.25">
      <c r="A17" s="79">
        <f>--SUBTOTAL(3,$B$2:B16)</f>
        <v>15</v>
      </c>
      <c r="B17" s="80" t="s">
        <v>1252</v>
      </c>
      <c r="C17" s="81" t="s">
        <v>1574</v>
      </c>
      <c r="D17" s="82" t="s">
        <v>1351</v>
      </c>
      <c r="E17" s="83" t="s">
        <v>1575</v>
      </c>
      <c r="F17" s="87" t="s">
        <v>1576</v>
      </c>
      <c r="G17" s="87" t="s">
        <v>1352</v>
      </c>
      <c r="H17" s="87" t="s">
        <v>224</v>
      </c>
      <c r="I17" s="85" t="s">
        <v>23</v>
      </c>
      <c r="J17" s="86" t="s">
        <v>1577</v>
      </c>
      <c r="K17" s="86" t="s">
        <v>1354</v>
      </c>
      <c r="L17" t="e">
        <f>_xlfn.XLOOKUP(C17,'ΥΠΑΛΛΗΛΟΙ ΓΔΑΕΦΚ'!#REF!,'ΥΠΑΛΛΗΛΟΙ ΓΔΑΕΦΚ'!#REF!,"_")</f>
        <v>#REF!</v>
      </c>
    </row>
    <row r="18" spans="1:12" x14ac:dyDescent="0.25">
      <c r="A18" s="79">
        <f>--SUBTOTAL(3,$B$2:B17)</f>
        <v>16</v>
      </c>
      <c r="B18" s="80" t="s">
        <v>1252</v>
      </c>
      <c r="C18" s="90" t="s">
        <v>1578</v>
      </c>
      <c r="D18" s="82" t="s">
        <v>1355</v>
      </c>
      <c r="E18" s="83" t="s">
        <v>1579</v>
      </c>
      <c r="F18" s="87" t="s">
        <v>1580</v>
      </c>
      <c r="G18" s="87" t="s">
        <v>1356</v>
      </c>
      <c r="H18" s="87" t="s">
        <v>264</v>
      </c>
      <c r="I18" s="85" t="s">
        <v>23</v>
      </c>
      <c r="J18" s="86" t="s">
        <v>1581</v>
      </c>
      <c r="K18" s="86" t="s">
        <v>1358</v>
      </c>
      <c r="L18" t="e">
        <f>_xlfn.XLOOKUP(C18,'ΥΠΑΛΛΗΛΟΙ ΓΔΑΕΦΚ'!#REF!,'ΥΠΑΛΛΗΛΟΙ ΓΔΑΕΦΚ'!#REF!,"_")</f>
        <v>#REF!</v>
      </c>
    </row>
    <row r="19" spans="1:12" x14ac:dyDescent="0.25">
      <c r="A19" s="79">
        <f>--SUBTOTAL(3,$B$2:B18)</f>
        <v>17</v>
      </c>
      <c r="B19" s="80" t="s">
        <v>1252</v>
      </c>
      <c r="C19" s="81" t="s">
        <v>1582</v>
      </c>
      <c r="D19" s="82" t="s">
        <v>847</v>
      </c>
      <c r="E19" s="83" t="s">
        <v>1583</v>
      </c>
      <c r="F19" s="87" t="s">
        <v>1584</v>
      </c>
      <c r="G19" s="87" t="s">
        <v>16</v>
      </c>
      <c r="H19" s="87" t="s">
        <v>31</v>
      </c>
      <c r="I19" s="85" t="s">
        <v>23</v>
      </c>
      <c r="J19" s="86" t="s">
        <v>1585</v>
      </c>
      <c r="K19" s="86" t="s">
        <v>850</v>
      </c>
      <c r="L19" t="e">
        <f>_xlfn.XLOOKUP(C19,'ΥΠΑΛΛΗΛΟΙ ΓΔΑΕΦΚ'!#REF!,'ΥΠΑΛΛΗΛΟΙ ΓΔΑΕΦΚ'!#REF!,"_")</f>
        <v>#REF!</v>
      </c>
    </row>
    <row r="20" spans="1:12" x14ac:dyDescent="0.25">
      <c r="A20" s="79">
        <f>--SUBTOTAL(3,$B$2:B19)</f>
        <v>18</v>
      </c>
      <c r="B20" s="80" t="s">
        <v>1252</v>
      </c>
      <c r="C20" s="81" t="s">
        <v>1586</v>
      </c>
      <c r="D20" s="82" t="s">
        <v>1359</v>
      </c>
      <c r="E20" s="83" t="s">
        <v>1587</v>
      </c>
      <c r="F20" s="84" t="s">
        <v>1588</v>
      </c>
      <c r="G20" s="84" t="s">
        <v>1360</v>
      </c>
      <c r="H20" s="84" t="s">
        <v>43</v>
      </c>
      <c r="I20" s="85" t="s">
        <v>23</v>
      </c>
      <c r="J20" s="85" t="s">
        <v>1589</v>
      </c>
      <c r="K20" s="85" t="s">
        <v>1362</v>
      </c>
      <c r="L20" t="e">
        <f>_xlfn.XLOOKUP(C20,'ΥΠΑΛΛΗΛΟΙ ΓΔΑΕΦΚ'!#REF!,'ΥΠΑΛΛΗΛΟΙ ΓΔΑΕΦΚ'!#REF!,"_")</f>
        <v>#REF!</v>
      </c>
    </row>
    <row r="21" spans="1:12" x14ac:dyDescent="0.25">
      <c r="A21" s="79">
        <f>--SUBTOTAL(3,$B$2:B20)</f>
        <v>19</v>
      </c>
      <c r="B21" s="80" t="s">
        <v>1252</v>
      </c>
      <c r="C21" s="81" t="s">
        <v>1590</v>
      </c>
      <c r="D21" s="82" t="s">
        <v>1371</v>
      </c>
      <c r="E21" s="83" t="s">
        <v>1591</v>
      </c>
      <c r="F21" s="87" t="s">
        <v>1592</v>
      </c>
      <c r="G21" s="87" t="s">
        <v>1372</v>
      </c>
      <c r="H21" s="87" t="s">
        <v>1007</v>
      </c>
      <c r="I21" s="85" t="s">
        <v>23</v>
      </c>
      <c r="J21" s="86" t="s">
        <v>1593</v>
      </c>
      <c r="K21" s="86" t="s">
        <v>1374</v>
      </c>
      <c r="L21" t="e">
        <f>_xlfn.XLOOKUP(C21,'ΥΠΑΛΛΗΛΟΙ ΓΔΑΕΦΚ'!#REF!,'ΥΠΑΛΛΗΛΟΙ ΓΔΑΕΦΚ'!#REF!,"_")</f>
        <v>#REF!</v>
      </c>
    </row>
    <row r="22" spans="1:12" x14ac:dyDescent="0.25">
      <c r="A22" s="79">
        <f>--SUBTOTAL(3,$B$2:B21)</f>
        <v>20</v>
      </c>
      <c r="B22" s="80" t="s">
        <v>1252</v>
      </c>
      <c r="C22" s="81" t="s">
        <v>1594</v>
      </c>
      <c r="D22" s="82" t="s">
        <v>1375</v>
      </c>
      <c r="E22" s="83" t="s">
        <v>1595</v>
      </c>
      <c r="F22" s="87" t="s">
        <v>1596</v>
      </c>
      <c r="G22" s="87" t="s">
        <v>1376</v>
      </c>
      <c r="H22" s="87" t="s">
        <v>224</v>
      </c>
      <c r="I22" s="85" t="s">
        <v>23</v>
      </c>
      <c r="J22" s="86" t="s">
        <v>1597</v>
      </c>
      <c r="K22" s="86" t="s">
        <v>1378</v>
      </c>
      <c r="L22" t="e">
        <f>_xlfn.XLOOKUP(C22,'ΥΠΑΛΛΗΛΟΙ ΓΔΑΕΦΚ'!#REF!,'ΥΠΑΛΛΗΛΟΙ ΓΔΑΕΦΚ'!#REF!,"_")</f>
        <v>#REF!</v>
      </c>
    </row>
    <row r="23" spans="1:12" x14ac:dyDescent="0.25">
      <c r="A23" s="79">
        <f>--SUBTOTAL(3,$B$2:B22)</f>
        <v>21</v>
      </c>
      <c r="B23" s="80" t="s">
        <v>1252</v>
      </c>
      <c r="C23" s="81" t="s">
        <v>1598</v>
      </c>
      <c r="D23" s="82" t="s">
        <v>1383</v>
      </c>
      <c r="E23" s="83" t="s">
        <v>1599</v>
      </c>
      <c r="F23" s="87" t="s">
        <v>1600</v>
      </c>
      <c r="G23" s="87" t="s">
        <v>1384</v>
      </c>
      <c r="H23" s="87" t="s">
        <v>264</v>
      </c>
      <c r="I23" s="85" t="s">
        <v>23</v>
      </c>
      <c r="J23" s="86" t="s">
        <v>1601</v>
      </c>
      <c r="K23" s="86" t="s">
        <v>1386</v>
      </c>
      <c r="L23" t="e">
        <f>_xlfn.XLOOKUP(C23,'ΥΠΑΛΛΗΛΟΙ ΓΔΑΕΦΚ'!#REF!,'ΥΠΑΛΛΗΛΟΙ ΓΔΑΕΦΚ'!#REF!,"_")</f>
        <v>#REF!</v>
      </c>
    </row>
    <row r="24" spans="1:12" x14ac:dyDescent="0.25">
      <c r="A24" s="79">
        <f>--SUBTOTAL(3,$B$2:B23)</f>
        <v>22</v>
      </c>
      <c r="B24" s="80" t="s">
        <v>1252</v>
      </c>
      <c r="C24" s="81" t="s">
        <v>1602</v>
      </c>
      <c r="D24" s="82" t="s">
        <v>1387</v>
      </c>
      <c r="E24" s="83" t="s">
        <v>1603</v>
      </c>
      <c r="F24" s="87" t="s">
        <v>1604</v>
      </c>
      <c r="G24" s="87" t="s">
        <v>1388</v>
      </c>
      <c r="H24" s="87" t="s">
        <v>183</v>
      </c>
      <c r="I24" s="85" t="s">
        <v>23</v>
      </c>
      <c r="J24" s="86" t="s">
        <v>1605</v>
      </c>
      <c r="K24" s="86" t="s">
        <v>1390</v>
      </c>
      <c r="L24" t="e">
        <f>_xlfn.XLOOKUP(C24,'ΥΠΑΛΛΗΛΟΙ ΓΔΑΕΦΚ'!#REF!,'ΥΠΑΛΛΗΛΟΙ ΓΔΑΕΦΚ'!#REF!,"_")</f>
        <v>#REF!</v>
      </c>
    </row>
    <row r="25" spans="1:12" x14ac:dyDescent="0.25">
      <c r="A25" s="79">
        <f>--SUBTOTAL(3,$B$2:B24)</f>
        <v>23</v>
      </c>
      <c r="B25" s="80" t="s">
        <v>1252</v>
      </c>
      <c r="C25" s="81" t="s">
        <v>1606</v>
      </c>
      <c r="D25" s="82" t="s">
        <v>1403</v>
      </c>
      <c r="E25" s="83" t="s">
        <v>1607</v>
      </c>
      <c r="F25" s="87" t="s">
        <v>1608</v>
      </c>
      <c r="G25" s="87" t="s">
        <v>1404</v>
      </c>
      <c r="H25" s="87" t="s">
        <v>43</v>
      </c>
      <c r="I25" s="85" t="s">
        <v>23</v>
      </c>
      <c r="J25" s="86" t="s">
        <v>1609</v>
      </c>
      <c r="K25" s="86" t="s">
        <v>16</v>
      </c>
      <c r="L25" t="e">
        <f>_xlfn.XLOOKUP(C25,'ΥΠΑΛΛΗΛΟΙ ΓΔΑΕΦΚ'!#REF!,'ΥΠΑΛΛΗΛΟΙ ΓΔΑΕΦΚ'!#REF!,"_")</f>
        <v>#REF!</v>
      </c>
    </row>
    <row r="26" spans="1:12" x14ac:dyDescent="0.25">
      <c r="A26" s="79">
        <f>--SUBTOTAL(3,$B$2:B25)</f>
        <v>24</v>
      </c>
      <c r="B26" s="80" t="s">
        <v>120</v>
      </c>
      <c r="C26" s="81" t="s">
        <v>1610</v>
      </c>
      <c r="D26" s="82" t="s">
        <v>121</v>
      </c>
      <c r="E26" s="83" t="s">
        <v>1611</v>
      </c>
      <c r="F26" s="87" t="s">
        <v>1612</v>
      </c>
      <c r="G26" s="87" t="s">
        <v>123</v>
      </c>
      <c r="H26" s="87" t="s">
        <v>125</v>
      </c>
      <c r="I26" s="85" t="s">
        <v>23</v>
      </c>
      <c r="J26" s="86" t="s">
        <v>1613</v>
      </c>
      <c r="K26" s="86" t="s">
        <v>126</v>
      </c>
      <c r="L26" t="e">
        <f>_xlfn.XLOOKUP(C26,'ΥΠΑΛΛΗΛΟΙ ΓΔΑΕΦΚ'!#REF!,'ΥΠΑΛΛΗΛΟΙ ΓΔΑΕΦΚ'!#REF!,"_")</f>
        <v>#REF!</v>
      </c>
    </row>
    <row r="27" spans="1:12" x14ac:dyDescent="0.25">
      <c r="A27" s="79">
        <f>--SUBTOTAL(3,$B$2:B26)</f>
        <v>25</v>
      </c>
      <c r="B27" s="80" t="s">
        <v>120</v>
      </c>
      <c r="C27" s="81" t="s">
        <v>1614</v>
      </c>
      <c r="D27" s="82" t="s">
        <v>142</v>
      </c>
      <c r="E27" s="83" t="s">
        <v>1615</v>
      </c>
      <c r="F27" s="87" t="s">
        <v>1616</v>
      </c>
      <c r="G27" s="87" t="s">
        <v>144</v>
      </c>
      <c r="H27" s="87" t="s">
        <v>146</v>
      </c>
      <c r="I27" s="85" t="s">
        <v>23</v>
      </c>
      <c r="J27" s="86" t="s">
        <v>1617</v>
      </c>
      <c r="K27" s="86" t="s">
        <v>147</v>
      </c>
      <c r="L27" t="e">
        <f>_xlfn.XLOOKUP(C27,'ΥΠΑΛΛΗΛΟΙ ΓΔΑΕΦΚ'!#REF!,'ΥΠΑΛΛΗΛΟΙ ΓΔΑΕΦΚ'!#REF!,"_")</f>
        <v>#REF!</v>
      </c>
    </row>
    <row r="28" spans="1:12" x14ac:dyDescent="0.25">
      <c r="A28" s="79">
        <f>--SUBTOTAL(3,$B$2:B27)</f>
        <v>26</v>
      </c>
      <c r="B28" s="80" t="s">
        <v>120</v>
      </c>
      <c r="C28" s="81" t="s">
        <v>1618</v>
      </c>
      <c r="D28" s="82" t="s">
        <v>170</v>
      </c>
      <c r="E28" s="83" t="s">
        <v>1619</v>
      </c>
      <c r="F28" s="87" t="s">
        <v>1620</v>
      </c>
      <c r="G28" s="87" t="s">
        <v>172</v>
      </c>
      <c r="H28" s="87" t="s">
        <v>43</v>
      </c>
      <c r="I28" s="85" t="s">
        <v>23</v>
      </c>
      <c r="J28" s="86" t="s">
        <v>1621</v>
      </c>
      <c r="K28" s="86" t="s">
        <v>174</v>
      </c>
      <c r="L28" t="e">
        <f>_xlfn.XLOOKUP(C28,'ΥΠΑΛΛΗΛΟΙ ΓΔΑΕΦΚ'!#REF!,'ΥΠΑΛΛΗΛΟΙ ΓΔΑΕΦΚ'!#REF!,"_")</f>
        <v>#REF!</v>
      </c>
    </row>
    <row r="29" spans="1:12" x14ac:dyDescent="0.25">
      <c r="A29" s="79">
        <f>--SUBTOTAL(3,$B$2:B28)</f>
        <v>27</v>
      </c>
      <c r="B29" s="80" t="s">
        <v>120</v>
      </c>
      <c r="C29" s="81" t="s">
        <v>1622</v>
      </c>
      <c r="D29" s="82" t="s">
        <v>179</v>
      </c>
      <c r="E29" s="83" t="s">
        <v>1623</v>
      </c>
      <c r="F29" s="87" t="s">
        <v>1624</v>
      </c>
      <c r="G29" s="87" t="s">
        <v>181</v>
      </c>
      <c r="H29" s="87" t="s">
        <v>183</v>
      </c>
      <c r="I29" s="85" t="s">
        <v>23</v>
      </c>
      <c r="J29" s="86" t="s">
        <v>1625</v>
      </c>
      <c r="K29" s="86" t="s">
        <v>184</v>
      </c>
      <c r="L29" t="e">
        <f>_xlfn.XLOOKUP(C29,'ΥΠΑΛΛΗΛΟΙ ΓΔΑΕΦΚ'!#REF!,'ΥΠΑΛΛΗΛΟΙ ΓΔΑΕΦΚ'!#REF!,"_")</f>
        <v>#REF!</v>
      </c>
    </row>
    <row r="30" spans="1:12" x14ac:dyDescent="0.25">
      <c r="A30" s="79">
        <f>--SUBTOTAL(3,$B$2:B29)</f>
        <v>28</v>
      </c>
      <c r="B30" s="80" t="s">
        <v>120</v>
      </c>
      <c r="C30" s="81" t="s">
        <v>1626</v>
      </c>
      <c r="D30" s="82" t="s">
        <v>192</v>
      </c>
      <c r="E30" s="83" t="s">
        <v>1627</v>
      </c>
      <c r="F30" s="87" t="s">
        <v>1628</v>
      </c>
      <c r="G30" s="87" t="s">
        <v>193</v>
      </c>
      <c r="H30" s="87" t="s">
        <v>43</v>
      </c>
      <c r="I30" s="85" t="s">
        <v>23</v>
      </c>
      <c r="J30" s="86" t="s">
        <v>1629</v>
      </c>
      <c r="K30" s="86" t="s">
        <v>195</v>
      </c>
      <c r="L30" t="e">
        <f>_xlfn.XLOOKUP(C30,'ΥΠΑΛΛΗΛΟΙ ΓΔΑΕΦΚ'!#REF!,'ΥΠΑΛΛΗΛΟΙ ΓΔΑΕΦΚ'!#REF!,"_")</f>
        <v>#REF!</v>
      </c>
    </row>
    <row r="31" spans="1:12" x14ac:dyDescent="0.25">
      <c r="A31" s="79">
        <f>--SUBTOTAL(3,$B$2:B30)</f>
        <v>29</v>
      </c>
      <c r="B31" s="80" t="s">
        <v>120</v>
      </c>
      <c r="C31" s="81" t="s">
        <v>1630</v>
      </c>
      <c r="D31" s="82" t="s">
        <v>197</v>
      </c>
      <c r="E31" s="83" t="s">
        <v>1631</v>
      </c>
      <c r="F31" s="87" t="s">
        <v>1632</v>
      </c>
      <c r="G31" s="87" t="s">
        <v>199</v>
      </c>
      <c r="H31" s="87" t="s">
        <v>43</v>
      </c>
      <c r="I31" s="85" t="s">
        <v>23</v>
      </c>
      <c r="J31" s="86" t="s">
        <v>1633</v>
      </c>
      <c r="K31" s="86" t="s">
        <v>201</v>
      </c>
      <c r="L31" t="e">
        <f>_xlfn.XLOOKUP(C31,'ΥΠΑΛΛΗΛΟΙ ΓΔΑΕΦΚ'!#REF!,'ΥΠΑΛΛΗΛΟΙ ΓΔΑΕΦΚ'!#REF!,"_")</f>
        <v>#REF!</v>
      </c>
    </row>
    <row r="32" spans="1:12" x14ac:dyDescent="0.25">
      <c r="A32" s="79">
        <f>--SUBTOTAL(3,$B$2:B31)</f>
        <v>30</v>
      </c>
      <c r="B32" s="80" t="s">
        <v>120</v>
      </c>
      <c r="C32" s="81" t="s">
        <v>1634</v>
      </c>
      <c r="D32" s="82" t="s">
        <v>203</v>
      </c>
      <c r="E32" s="83" t="s">
        <v>1635</v>
      </c>
      <c r="F32" s="87" t="s">
        <v>1636</v>
      </c>
      <c r="G32" s="87" t="s">
        <v>204</v>
      </c>
      <c r="H32" s="87" t="s">
        <v>43</v>
      </c>
      <c r="I32" s="85" t="s">
        <v>23</v>
      </c>
      <c r="J32" s="86" t="s">
        <v>1637</v>
      </c>
      <c r="K32" s="86" t="s">
        <v>206</v>
      </c>
      <c r="L32" t="e">
        <f>_xlfn.XLOOKUP(C32,'ΥΠΑΛΛΗΛΟΙ ΓΔΑΕΦΚ'!#REF!,'ΥΠΑΛΛΗΛΟΙ ΓΔΑΕΦΚ'!#REF!,"_")</f>
        <v>#REF!</v>
      </c>
    </row>
    <row r="33" spans="1:12" x14ac:dyDescent="0.25">
      <c r="A33" s="79">
        <f>--SUBTOTAL(3,$B$2:B32)</f>
        <v>31</v>
      </c>
      <c r="B33" s="80" t="s">
        <v>120</v>
      </c>
      <c r="C33" s="81" t="s">
        <v>1638</v>
      </c>
      <c r="D33" s="82" t="s">
        <v>214</v>
      </c>
      <c r="E33" s="83" t="s">
        <v>1639</v>
      </c>
      <c r="F33" s="87" t="s">
        <v>1640</v>
      </c>
      <c r="G33" s="87" t="s">
        <v>216</v>
      </c>
      <c r="H33" s="87" t="s">
        <v>43</v>
      </c>
      <c r="I33" s="85" t="s">
        <v>23</v>
      </c>
      <c r="J33" s="86" t="s">
        <v>1641</v>
      </c>
      <c r="K33" s="86" t="s">
        <v>218</v>
      </c>
      <c r="L33" t="e">
        <f>_xlfn.XLOOKUP(C33,'ΥΠΑΛΛΗΛΟΙ ΓΔΑΕΦΚ'!#REF!,'ΥΠΑΛΛΗΛΟΙ ΓΔΑΕΦΚ'!#REF!,"_")</f>
        <v>#REF!</v>
      </c>
    </row>
    <row r="34" spans="1:12" x14ac:dyDescent="0.25">
      <c r="A34" s="79">
        <f>--SUBTOTAL(3,$B$2:B33)</f>
        <v>32</v>
      </c>
      <c r="B34" s="80" t="s">
        <v>120</v>
      </c>
      <c r="C34" s="81" t="s">
        <v>1642</v>
      </c>
      <c r="D34" s="82" t="s">
        <v>220</v>
      </c>
      <c r="E34" s="83" t="s">
        <v>1643</v>
      </c>
      <c r="F34" s="87" t="s">
        <v>1644</v>
      </c>
      <c r="G34" s="87" t="s">
        <v>222</v>
      </c>
      <c r="H34" s="87" t="s">
        <v>224</v>
      </c>
      <c r="I34" s="85" t="s">
        <v>23</v>
      </c>
      <c r="J34" s="86" t="s">
        <v>1645</v>
      </c>
      <c r="K34" s="86" t="s">
        <v>225</v>
      </c>
      <c r="L34" t="e">
        <f>_xlfn.XLOOKUP(C34,'ΥΠΑΛΛΗΛΟΙ ΓΔΑΕΦΚ'!#REF!,'ΥΠΑΛΛΗΛΟΙ ΓΔΑΕΦΚ'!#REF!,"_")</f>
        <v>#REF!</v>
      </c>
    </row>
    <row r="35" spans="1:12" x14ac:dyDescent="0.25">
      <c r="A35" s="79">
        <f>--SUBTOTAL(3,$B$2:B34)</f>
        <v>33</v>
      </c>
      <c r="B35" s="80" t="s">
        <v>120</v>
      </c>
      <c r="C35" s="81" t="s">
        <v>1646</v>
      </c>
      <c r="D35" s="82" t="s">
        <v>227</v>
      </c>
      <c r="E35" s="83" t="s">
        <v>1647</v>
      </c>
      <c r="F35" s="84" t="s">
        <v>1648</v>
      </c>
      <c r="G35" s="84" t="s">
        <v>228</v>
      </c>
      <c r="H35" s="84" t="s">
        <v>43</v>
      </c>
      <c r="I35" s="85" t="s">
        <v>23</v>
      </c>
      <c r="J35" s="85" t="s">
        <v>1649</v>
      </c>
      <c r="K35" s="85" t="s">
        <v>230</v>
      </c>
      <c r="L35" t="e">
        <f>_xlfn.XLOOKUP(C35,'ΥΠΑΛΛΗΛΟΙ ΓΔΑΕΦΚ'!#REF!,'ΥΠΑΛΛΗΛΟΙ ΓΔΑΕΦΚ'!#REF!,"_")</f>
        <v>#REF!</v>
      </c>
    </row>
    <row r="36" spans="1:12" x14ac:dyDescent="0.25">
      <c r="A36" s="79">
        <f>--SUBTOTAL(3,$B$2:B35)</f>
        <v>34</v>
      </c>
      <c r="B36" s="80" t="s">
        <v>120</v>
      </c>
      <c r="C36" s="81" t="s">
        <v>1650</v>
      </c>
      <c r="D36" s="82" t="s">
        <v>232</v>
      </c>
      <c r="E36" s="83" t="s">
        <v>1651</v>
      </c>
      <c r="F36" s="87" t="s">
        <v>1652</v>
      </c>
      <c r="G36" s="87" t="s">
        <v>234</v>
      </c>
      <c r="H36" s="87" t="s">
        <v>183</v>
      </c>
      <c r="I36" s="85" t="s">
        <v>23</v>
      </c>
      <c r="J36" s="86" t="s">
        <v>1653</v>
      </c>
      <c r="K36" s="86" t="s">
        <v>236</v>
      </c>
      <c r="L36" t="e">
        <f>_xlfn.XLOOKUP(C36,'ΥΠΑΛΛΗΛΟΙ ΓΔΑΕΦΚ'!#REF!,'ΥΠΑΛΛΗΛΟΙ ΓΔΑΕΦΚ'!#REF!,"_")</f>
        <v>#REF!</v>
      </c>
    </row>
    <row r="37" spans="1:12" x14ac:dyDescent="0.25">
      <c r="A37" s="79">
        <f>--SUBTOTAL(3,$B$2:B36)</f>
        <v>35</v>
      </c>
      <c r="B37" s="80" t="s">
        <v>120</v>
      </c>
      <c r="C37" s="81" t="s">
        <v>1654</v>
      </c>
      <c r="D37" s="82" t="s">
        <v>238</v>
      </c>
      <c r="E37" s="83" t="s">
        <v>1655</v>
      </c>
      <c r="F37" s="87" t="s">
        <v>1656</v>
      </c>
      <c r="G37" s="87" t="s">
        <v>239</v>
      </c>
      <c r="H37" s="87" t="s">
        <v>43</v>
      </c>
      <c r="I37" s="85" t="s">
        <v>23</v>
      </c>
      <c r="J37" s="86" t="s">
        <v>1657</v>
      </c>
      <c r="K37" s="86" t="s">
        <v>241</v>
      </c>
      <c r="L37" t="e">
        <f>_xlfn.XLOOKUP(C37,'ΥΠΑΛΛΗΛΟΙ ΓΔΑΕΦΚ'!#REF!,'ΥΠΑΛΛΗΛΟΙ ΓΔΑΕΦΚ'!#REF!,"_")</f>
        <v>#REF!</v>
      </c>
    </row>
    <row r="38" spans="1:12" x14ac:dyDescent="0.25">
      <c r="A38" s="79">
        <f>--SUBTOTAL(3,$B$2:B37)</f>
        <v>36</v>
      </c>
      <c r="B38" s="80" t="s">
        <v>120</v>
      </c>
      <c r="C38" s="81" t="s">
        <v>1658</v>
      </c>
      <c r="D38" s="82" t="s">
        <v>261</v>
      </c>
      <c r="E38" s="83" t="s">
        <v>1659</v>
      </c>
      <c r="F38" s="87" t="s">
        <v>1660</v>
      </c>
      <c r="G38" s="87" t="s">
        <v>262</v>
      </c>
      <c r="H38" s="87" t="s">
        <v>264</v>
      </c>
      <c r="I38" s="85" t="s">
        <v>23</v>
      </c>
      <c r="J38" s="86" t="s">
        <v>1661</v>
      </c>
      <c r="K38" s="86" t="s">
        <v>265</v>
      </c>
      <c r="L38" t="e">
        <f>_xlfn.XLOOKUP(C38,'ΥΠΑΛΛΗΛΟΙ ΓΔΑΕΦΚ'!#REF!,'ΥΠΑΛΛΗΛΟΙ ΓΔΑΕΦΚ'!#REF!,"_")</f>
        <v>#REF!</v>
      </c>
    </row>
    <row r="39" spans="1:12" x14ac:dyDescent="0.25">
      <c r="A39" s="79">
        <f>--SUBTOTAL(3,$B$2:B38)</f>
        <v>37</v>
      </c>
      <c r="B39" s="80" t="s">
        <v>120</v>
      </c>
      <c r="C39" s="81" t="s">
        <v>1662</v>
      </c>
      <c r="D39" s="82" t="s">
        <v>431</v>
      </c>
      <c r="E39" s="83" t="s">
        <v>1663</v>
      </c>
      <c r="F39" s="87" t="s">
        <v>1664</v>
      </c>
      <c r="G39" s="87" t="s">
        <v>432</v>
      </c>
      <c r="H39" s="87" t="s">
        <v>43</v>
      </c>
      <c r="I39" s="85" t="s">
        <v>23</v>
      </c>
      <c r="J39" s="86" t="s">
        <v>1665</v>
      </c>
      <c r="K39" s="86" t="s">
        <v>434</v>
      </c>
      <c r="L39" t="e">
        <f>_xlfn.XLOOKUP(C39,'ΥΠΑΛΛΗΛΟΙ ΓΔΑΕΦΚ'!#REF!,'ΥΠΑΛΛΗΛΟΙ ΓΔΑΕΦΚ'!#REF!,"_")</f>
        <v>#REF!</v>
      </c>
    </row>
    <row r="40" spans="1:12" x14ac:dyDescent="0.25">
      <c r="A40" s="79">
        <f>--SUBTOTAL(3,$B$2:B39)</f>
        <v>38</v>
      </c>
      <c r="B40" s="80" t="s">
        <v>120</v>
      </c>
      <c r="C40" s="81" t="s">
        <v>1666</v>
      </c>
      <c r="D40" s="82" t="s">
        <v>440</v>
      </c>
      <c r="E40" s="83" t="s">
        <v>1667</v>
      </c>
      <c r="F40" s="87" t="s">
        <v>1668</v>
      </c>
      <c r="G40" s="87" t="s">
        <v>441</v>
      </c>
      <c r="H40" s="87" t="s">
        <v>43</v>
      </c>
      <c r="I40" s="85" t="s">
        <v>23</v>
      </c>
      <c r="J40" s="86" t="s">
        <v>1669</v>
      </c>
      <c r="K40" s="86" t="s">
        <v>443</v>
      </c>
      <c r="L40" t="e">
        <f>_xlfn.XLOOKUP(C40,'ΥΠΑΛΛΗΛΟΙ ΓΔΑΕΦΚ'!#REF!,'ΥΠΑΛΛΗΛΟΙ ΓΔΑΕΦΚ'!#REF!,"_")</f>
        <v>#REF!</v>
      </c>
    </row>
    <row r="41" spans="1:12" x14ac:dyDescent="0.25">
      <c r="A41" s="79">
        <f>--SUBTOTAL(3,$B$2:B40)</f>
        <v>39</v>
      </c>
      <c r="B41" s="80" t="s">
        <v>120</v>
      </c>
      <c r="C41" s="81" t="s">
        <v>1670</v>
      </c>
      <c r="D41" s="82" t="s">
        <v>271</v>
      </c>
      <c r="E41" s="83" t="s">
        <v>1671</v>
      </c>
      <c r="F41" s="87" t="s">
        <v>1672</v>
      </c>
      <c r="G41" s="87" t="s">
        <v>273</v>
      </c>
      <c r="H41" s="87" t="s">
        <v>183</v>
      </c>
      <c r="I41" s="85" t="s">
        <v>23</v>
      </c>
      <c r="J41" s="86" t="s">
        <v>1673</v>
      </c>
      <c r="K41" s="86" t="s">
        <v>275</v>
      </c>
      <c r="L41" t="e">
        <f>_xlfn.XLOOKUP(C41,'ΥΠΑΛΛΗΛΟΙ ΓΔΑΕΦΚ'!#REF!,'ΥΠΑΛΛΗΛΟΙ ΓΔΑΕΦΚ'!#REF!,"_")</f>
        <v>#REF!</v>
      </c>
    </row>
    <row r="42" spans="1:12" x14ac:dyDescent="0.25">
      <c r="A42" s="79">
        <f>--SUBTOTAL(3,$B$2:B41)</f>
        <v>40</v>
      </c>
      <c r="B42" s="80" t="s">
        <v>120</v>
      </c>
      <c r="C42" s="81" t="s">
        <v>1674</v>
      </c>
      <c r="D42" s="82" t="s">
        <v>283</v>
      </c>
      <c r="E42" s="83" t="s">
        <v>1675</v>
      </c>
      <c r="F42" s="87" t="s">
        <v>1676</v>
      </c>
      <c r="G42" s="87" t="s">
        <v>284</v>
      </c>
      <c r="H42" s="87" t="s">
        <v>43</v>
      </c>
      <c r="I42" s="85" t="s">
        <v>23</v>
      </c>
      <c r="J42" s="86" t="s">
        <v>1677</v>
      </c>
      <c r="K42" s="86" t="s">
        <v>286</v>
      </c>
      <c r="L42" t="e">
        <f>_xlfn.XLOOKUP(C42,'ΥΠΑΛΛΗΛΟΙ ΓΔΑΕΦΚ'!#REF!,'ΥΠΑΛΛΗΛΟΙ ΓΔΑΕΦΚ'!#REF!,"_")</f>
        <v>#REF!</v>
      </c>
    </row>
    <row r="43" spans="1:12" x14ac:dyDescent="0.25">
      <c r="A43" s="79">
        <f>--SUBTOTAL(3,$B$2:B42)</f>
        <v>41</v>
      </c>
      <c r="B43" s="80" t="s">
        <v>120</v>
      </c>
      <c r="C43" s="81" t="s">
        <v>1678</v>
      </c>
      <c r="D43" s="82" t="s">
        <v>449</v>
      </c>
      <c r="E43" s="83" t="s">
        <v>1679</v>
      </c>
      <c r="F43" s="87" t="s">
        <v>1680</v>
      </c>
      <c r="G43" s="87" t="s">
        <v>451</v>
      </c>
      <c r="H43" s="87" t="s">
        <v>453</v>
      </c>
      <c r="I43" s="85" t="s">
        <v>23</v>
      </c>
      <c r="J43" s="86" t="s">
        <v>1681</v>
      </c>
      <c r="K43" s="86" t="s">
        <v>454</v>
      </c>
      <c r="L43" t="e">
        <f>_xlfn.XLOOKUP(C43,'ΥΠΑΛΛΗΛΟΙ ΓΔΑΕΦΚ'!#REF!,'ΥΠΑΛΛΗΛΟΙ ΓΔΑΕΦΚ'!#REF!,"_")</f>
        <v>#REF!</v>
      </c>
    </row>
    <row r="44" spans="1:12" x14ac:dyDescent="0.25">
      <c r="A44" s="79">
        <f>--SUBTOTAL(3,$B$2:B43)</f>
        <v>42</v>
      </c>
      <c r="B44" s="80" t="s">
        <v>120</v>
      </c>
      <c r="C44" s="81" t="s">
        <v>1682</v>
      </c>
      <c r="D44" s="82" t="s">
        <v>301</v>
      </c>
      <c r="E44" s="83" t="s">
        <v>1683</v>
      </c>
      <c r="F44" s="87" t="s">
        <v>1684</v>
      </c>
      <c r="G44" s="87" t="s">
        <v>303</v>
      </c>
      <c r="H44" s="87" t="s">
        <v>183</v>
      </c>
      <c r="I44" s="85" t="s">
        <v>23</v>
      </c>
      <c r="J44" s="86" t="s">
        <v>1685</v>
      </c>
      <c r="K44" s="86" t="s">
        <v>305</v>
      </c>
      <c r="L44" t="e">
        <f>_xlfn.XLOOKUP(C44,'ΥΠΑΛΛΗΛΟΙ ΓΔΑΕΦΚ'!#REF!,'ΥΠΑΛΛΗΛΟΙ ΓΔΑΕΦΚ'!#REF!,"_")</f>
        <v>#REF!</v>
      </c>
    </row>
    <row r="45" spans="1:12" x14ac:dyDescent="0.25">
      <c r="A45" s="79">
        <f>--SUBTOTAL(3,$B$2:B44)</f>
        <v>43</v>
      </c>
      <c r="B45" s="80" t="s">
        <v>120</v>
      </c>
      <c r="C45" s="81" t="s">
        <v>1686</v>
      </c>
      <c r="D45" s="82" t="s">
        <v>307</v>
      </c>
      <c r="E45" s="83" t="s">
        <v>1687</v>
      </c>
      <c r="F45" s="87" t="s">
        <v>1688</v>
      </c>
      <c r="G45" s="87" t="s">
        <v>308</v>
      </c>
      <c r="H45" s="87" t="s">
        <v>310</v>
      </c>
      <c r="I45" s="85" t="s">
        <v>23</v>
      </c>
      <c r="J45" s="86" t="s">
        <v>1689</v>
      </c>
      <c r="K45" s="86" t="s">
        <v>311</v>
      </c>
      <c r="L45" t="e">
        <f>_xlfn.XLOOKUP(C45,'ΥΠΑΛΛΗΛΟΙ ΓΔΑΕΦΚ'!#REF!,'ΥΠΑΛΛΗΛΟΙ ΓΔΑΕΦΚ'!#REF!,"_")</f>
        <v>#REF!</v>
      </c>
    </row>
    <row r="46" spans="1:12" x14ac:dyDescent="0.25">
      <c r="A46" s="79">
        <f>--SUBTOTAL(3,$B$2:B45)</f>
        <v>44</v>
      </c>
      <c r="B46" s="80" t="s">
        <v>120</v>
      </c>
      <c r="C46" s="81" t="s">
        <v>1690</v>
      </c>
      <c r="D46" s="82" t="s">
        <v>455</v>
      </c>
      <c r="E46" s="83" t="s">
        <v>1691</v>
      </c>
      <c r="F46" s="84" t="s">
        <v>1692</v>
      </c>
      <c r="G46" s="84" t="s">
        <v>456</v>
      </c>
      <c r="H46" s="84" t="s">
        <v>1007</v>
      </c>
      <c r="I46" s="85" t="s">
        <v>23</v>
      </c>
      <c r="J46" s="85" t="s">
        <v>1693</v>
      </c>
      <c r="K46" s="85" t="s">
        <v>458</v>
      </c>
      <c r="L46" t="e">
        <f>_xlfn.XLOOKUP(C46,'ΥΠΑΛΛΗΛΟΙ ΓΔΑΕΦΚ'!#REF!,'ΥΠΑΛΛΗΛΟΙ ΓΔΑΕΦΚ'!#REF!,"_")</f>
        <v>#REF!</v>
      </c>
    </row>
    <row r="47" spans="1:12" x14ac:dyDescent="0.25">
      <c r="A47" s="79">
        <f>--SUBTOTAL(3,$B$2:B46)</f>
        <v>45</v>
      </c>
      <c r="B47" s="80" t="s">
        <v>120</v>
      </c>
      <c r="C47" s="81" t="s">
        <v>1694</v>
      </c>
      <c r="D47" s="82" t="s">
        <v>313</v>
      </c>
      <c r="E47" s="83" t="s">
        <v>1695</v>
      </c>
      <c r="F47" s="87" t="s">
        <v>1696</v>
      </c>
      <c r="G47" s="87" t="s">
        <v>314</v>
      </c>
      <c r="H47" s="87" t="s">
        <v>183</v>
      </c>
      <c r="I47" s="85" t="s">
        <v>23</v>
      </c>
      <c r="J47" s="86" t="s">
        <v>1697</v>
      </c>
      <c r="K47" s="86" t="s">
        <v>316</v>
      </c>
      <c r="L47" t="e">
        <f>_xlfn.XLOOKUP(C47,'ΥΠΑΛΛΗΛΟΙ ΓΔΑΕΦΚ'!#REF!,'ΥΠΑΛΛΗΛΟΙ ΓΔΑΕΦΚ'!#REF!,"_")</f>
        <v>#REF!</v>
      </c>
    </row>
    <row r="48" spans="1:12" x14ac:dyDescent="0.25">
      <c r="A48" s="79">
        <f>--SUBTOTAL(3,$B$2:B47)</f>
        <v>46</v>
      </c>
      <c r="B48" s="80" t="s">
        <v>120</v>
      </c>
      <c r="C48" s="81" t="s">
        <v>1698</v>
      </c>
      <c r="D48" s="82" t="s">
        <v>328</v>
      </c>
      <c r="E48" s="83" t="s">
        <v>1699</v>
      </c>
      <c r="F48" s="84" t="s">
        <v>1700</v>
      </c>
      <c r="G48" s="84" t="s">
        <v>329</v>
      </c>
      <c r="H48" s="84" t="s">
        <v>43</v>
      </c>
      <c r="I48" s="85" t="s">
        <v>23</v>
      </c>
      <c r="J48" s="85" t="s">
        <v>1701</v>
      </c>
      <c r="K48" s="85" t="s">
        <v>331</v>
      </c>
      <c r="L48" t="e">
        <f>_xlfn.XLOOKUP(C48,'ΥΠΑΛΛΗΛΟΙ ΓΔΑΕΦΚ'!#REF!,'ΥΠΑΛΛΗΛΟΙ ΓΔΑΕΦΚ'!#REF!,"_")</f>
        <v>#REF!</v>
      </c>
    </row>
    <row r="49" spans="1:12" x14ac:dyDescent="0.25">
      <c r="A49" s="79">
        <f>--SUBTOTAL(3,$B$2:B48)</f>
        <v>47</v>
      </c>
      <c r="B49" s="80" t="s">
        <v>120</v>
      </c>
      <c r="C49" s="81" t="s">
        <v>1702</v>
      </c>
      <c r="D49" s="82" t="s">
        <v>333</v>
      </c>
      <c r="E49" s="83" t="s">
        <v>1703</v>
      </c>
      <c r="F49" s="91" t="s">
        <v>1704</v>
      </c>
      <c r="G49" s="87" t="s">
        <v>335</v>
      </c>
      <c r="H49" s="87" t="s">
        <v>1007</v>
      </c>
      <c r="I49" s="85" t="s">
        <v>23</v>
      </c>
      <c r="J49" s="86" t="s">
        <v>1705</v>
      </c>
      <c r="K49" s="86" t="s">
        <v>338</v>
      </c>
      <c r="L49" t="e">
        <f>_xlfn.XLOOKUP(C49,'ΥΠΑΛΛΗΛΟΙ ΓΔΑΕΦΚ'!#REF!,'ΥΠΑΛΛΗΛΟΙ ΓΔΑΕΦΚ'!#REF!,"_")</f>
        <v>#REF!</v>
      </c>
    </row>
    <row r="50" spans="1:12" x14ac:dyDescent="0.25">
      <c r="A50" s="79">
        <f>--SUBTOTAL(3,$B$2:B49)</f>
        <v>48</v>
      </c>
      <c r="B50" s="80" t="s">
        <v>120</v>
      </c>
      <c r="C50" s="81" t="s">
        <v>1706</v>
      </c>
      <c r="D50" s="82" t="s">
        <v>340</v>
      </c>
      <c r="E50" s="83" t="s">
        <v>1707</v>
      </c>
      <c r="F50" s="87" t="s">
        <v>1708</v>
      </c>
      <c r="G50" s="87" t="s">
        <v>341</v>
      </c>
      <c r="H50" s="87" t="s">
        <v>43</v>
      </c>
      <c r="I50" s="85" t="s">
        <v>23</v>
      </c>
      <c r="J50" s="86" t="s">
        <v>1709</v>
      </c>
      <c r="K50" s="86" t="s">
        <v>343</v>
      </c>
      <c r="L50" t="e">
        <f>_xlfn.XLOOKUP(C50,'ΥΠΑΛΛΗΛΟΙ ΓΔΑΕΦΚ'!#REF!,'ΥΠΑΛΛΗΛΟΙ ΓΔΑΕΦΚ'!#REF!,"_")</f>
        <v>#REF!</v>
      </c>
    </row>
    <row r="51" spans="1:12" x14ac:dyDescent="0.25">
      <c r="A51" s="79">
        <f>--SUBTOTAL(3,$B$2:B50)</f>
        <v>49</v>
      </c>
      <c r="B51" s="80" t="s">
        <v>120</v>
      </c>
      <c r="C51" s="81" t="s">
        <v>1710</v>
      </c>
      <c r="D51" s="82" t="s">
        <v>345</v>
      </c>
      <c r="E51" s="83" t="s">
        <v>1711</v>
      </c>
      <c r="F51" s="87" t="s">
        <v>1712</v>
      </c>
      <c r="G51" s="87" t="s">
        <v>346</v>
      </c>
      <c r="H51" s="87" t="s">
        <v>43</v>
      </c>
      <c r="I51" s="85" t="s">
        <v>23</v>
      </c>
      <c r="J51" s="86" t="s">
        <v>1713</v>
      </c>
      <c r="K51" s="86" t="s">
        <v>348</v>
      </c>
      <c r="L51" t="e">
        <f>_xlfn.XLOOKUP(C51,'ΥΠΑΛΛΗΛΟΙ ΓΔΑΕΦΚ'!#REF!,'ΥΠΑΛΛΗΛΟΙ ΓΔΑΕΦΚ'!#REF!,"_")</f>
        <v>#REF!</v>
      </c>
    </row>
    <row r="52" spans="1:12" x14ac:dyDescent="0.25">
      <c r="A52" s="79">
        <f>--SUBTOTAL(3,$B$2:B51)</f>
        <v>50</v>
      </c>
      <c r="B52" s="80" t="s">
        <v>120</v>
      </c>
      <c r="C52" s="81" t="s">
        <v>1714</v>
      </c>
      <c r="D52" s="82" t="s">
        <v>350</v>
      </c>
      <c r="E52" s="83" t="s">
        <v>1715</v>
      </c>
      <c r="F52" s="87" t="s">
        <v>1716</v>
      </c>
      <c r="G52" s="87" t="s">
        <v>351</v>
      </c>
      <c r="H52" s="87" t="s">
        <v>43</v>
      </c>
      <c r="I52" s="85" t="s">
        <v>23</v>
      </c>
      <c r="J52" s="86" t="s">
        <v>1717</v>
      </c>
      <c r="K52" s="86" t="s">
        <v>353</v>
      </c>
      <c r="L52" t="e">
        <f>_xlfn.XLOOKUP(C52,'ΥΠΑΛΛΗΛΟΙ ΓΔΑΕΦΚ'!#REF!,'ΥΠΑΛΛΗΛΟΙ ΓΔΑΕΦΚ'!#REF!,"_")</f>
        <v>#REF!</v>
      </c>
    </row>
    <row r="53" spans="1:12" x14ac:dyDescent="0.25">
      <c r="A53" s="79">
        <f>--SUBTOTAL(3,$B$2:B52)</f>
        <v>51</v>
      </c>
      <c r="B53" s="80" t="s">
        <v>120</v>
      </c>
      <c r="C53" s="81" t="s">
        <v>1718</v>
      </c>
      <c r="D53" s="82" t="s">
        <v>459</v>
      </c>
      <c r="E53" s="83" t="s">
        <v>1719</v>
      </c>
      <c r="F53" s="87" t="s">
        <v>1720</v>
      </c>
      <c r="G53" s="87" t="s">
        <v>460</v>
      </c>
      <c r="H53" s="87" t="s">
        <v>1007</v>
      </c>
      <c r="I53" s="85" t="s">
        <v>23</v>
      </c>
      <c r="J53" s="86" t="s">
        <v>1721</v>
      </c>
      <c r="K53" s="86" t="s">
        <v>462</v>
      </c>
      <c r="L53" t="e">
        <f>_xlfn.XLOOKUP(C53,'ΥΠΑΛΛΗΛΟΙ ΓΔΑΕΦΚ'!#REF!,'ΥΠΑΛΛΗΛΟΙ ΓΔΑΕΦΚ'!#REF!,"_")</f>
        <v>#REF!</v>
      </c>
    </row>
    <row r="54" spans="1:12" x14ac:dyDescent="0.25">
      <c r="A54" s="79">
        <f>--SUBTOTAL(3,$B$2:B53)</f>
        <v>52</v>
      </c>
      <c r="B54" s="80" t="s">
        <v>120</v>
      </c>
      <c r="C54" s="81" t="s">
        <v>1722</v>
      </c>
      <c r="D54" s="82" t="s">
        <v>355</v>
      </c>
      <c r="E54" s="83" t="s">
        <v>1723</v>
      </c>
      <c r="F54" s="87" t="s">
        <v>1724</v>
      </c>
      <c r="G54" s="87" t="s">
        <v>356</v>
      </c>
      <c r="H54" s="87" t="s">
        <v>43</v>
      </c>
      <c r="I54" s="85" t="s">
        <v>23</v>
      </c>
      <c r="J54" s="86" t="s">
        <v>1725</v>
      </c>
      <c r="K54" s="86" t="s">
        <v>358</v>
      </c>
      <c r="L54" t="e">
        <f>_xlfn.XLOOKUP(C54,'ΥΠΑΛΛΗΛΟΙ ΓΔΑΕΦΚ'!#REF!,'ΥΠΑΛΛΗΛΟΙ ΓΔΑΕΦΚ'!#REF!,"_")</f>
        <v>#REF!</v>
      </c>
    </row>
    <row r="55" spans="1:12" x14ac:dyDescent="0.25">
      <c r="A55" s="79">
        <f>--SUBTOTAL(3,$B$2:B54)</f>
        <v>53</v>
      </c>
      <c r="B55" s="80" t="s">
        <v>120</v>
      </c>
      <c r="C55" s="81" t="s">
        <v>1726</v>
      </c>
      <c r="D55" s="82" t="s">
        <v>360</v>
      </c>
      <c r="E55" s="83" t="s">
        <v>1727</v>
      </c>
      <c r="F55" s="87" t="s">
        <v>1728</v>
      </c>
      <c r="G55" s="87" t="s">
        <v>361</v>
      </c>
      <c r="H55" s="87" t="s">
        <v>43</v>
      </c>
      <c r="I55" s="85" t="s">
        <v>23</v>
      </c>
      <c r="J55" s="86" t="s">
        <v>1729</v>
      </c>
      <c r="K55" s="86" t="s">
        <v>363</v>
      </c>
      <c r="L55" t="e">
        <f>_xlfn.XLOOKUP(C55,'ΥΠΑΛΛΗΛΟΙ ΓΔΑΕΦΚ'!#REF!,'ΥΠΑΛΛΗΛΟΙ ΓΔΑΕΦΚ'!#REF!,"_")</f>
        <v>#REF!</v>
      </c>
    </row>
    <row r="56" spans="1:12" x14ac:dyDescent="0.25">
      <c r="A56" s="79">
        <f>--SUBTOTAL(3,$B$2:B55)</f>
        <v>54</v>
      </c>
      <c r="B56" s="80" t="s">
        <v>120</v>
      </c>
      <c r="C56" s="81" t="s">
        <v>1730</v>
      </c>
      <c r="D56" s="82" t="s">
        <v>378</v>
      </c>
      <c r="E56" s="83" t="s">
        <v>1731</v>
      </c>
      <c r="F56" s="87" t="s">
        <v>1732</v>
      </c>
      <c r="G56" s="87" t="s">
        <v>380</v>
      </c>
      <c r="H56" s="87" t="s">
        <v>43</v>
      </c>
      <c r="I56" s="85" t="s">
        <v>23</v>
      </c>
      <c r="J56" s="86" t="s">
        <v>1733</v>
      </c>
      <c r="K56" s="86" t="s">
        <v>382</v>
      </c>
      <c r="L56" t="e">
        <f>_xlfn.XLOOKUP(C56,'ΥΠΑΛΛΗΛΟΙ ΓΔΑΕΦΚ'!#REF!,'ΥΠΑΛΛΗΛΟΙ ΓΔΑΕΦΚ'!#REF!,"_")</f>
        <v>#REF!</v>
      </c>
    </row>
    <row r="57" spans="1:12" x14ac:dyDescent="0.25">
      <c r="A57" s="79">
        <f>--SUBTOTAL(3,$B$2:B56)</f>
        <v>55</v>
      </c>
      <c r="B57" s="80" t="s">
        <v>120</v>
      </c>
      <c r="C57" s="81" t="s">
        <v>1734</v>
      </c>
      <c r="D57" s="82" t="s">
        <v>384</v>
      </c>
      <c r="E57" s="83" t="s">
        <v>1735</v>
      </c>
      <c r="F57" s="87" t="s">
        <v>1736</v>
      </c>
      <c r="G57" s="87" t="s">
        <v>385</v>
      </c>
      <c r="H57" s="87" t="s">
        <v>43</v>
      </c>
      <c r="I57" s="85" t="s">
        <v>23</v>
      </c>
      <c r="J57" s="86" t="s">
        <v>1737</v>
      </c>
      <c r="K57" s="86" t="s">
        <v>387</v>
      </c>
      <c r="L57" t="e">
        <f>_xlfn.XLOOKUP(C57,'ΥΠΑΛΛΗΛΟΙ ΓΔΑΕΦΚ'!#REF!,'ΥΠΑΛΛΗΛΟΙ ΓΔΑΕΦΚ'!#REF!,"_")</f>
        <v>#REF!</v>
      </c>
    </row>
    <row r="58" spans="1:12" x14ac:dyDescent="0.25">
      <c r="A58" s="79">
        <f>--SUBTOTAL(3,$B$2:B57)</f>
        <v>56</v>
      </c>
      <c r="B58" s="80" t="s">
        <v>120</v>
      </c>
      <c r="C58" s="81" t="s">
        <v>1738</v>
      </c>
      <c r="D58" s="82" t="s">
        <v>395</v>
      </c>
      <c r="E58" s="83" t="s">
        <v>1739</v>
      </c>
      <c r="F58" s="87" t="s">
        <v>1740</v>
      </c>
      <c r="G58" s="87" t="s">
        <v>396</v>
      </c>
      <c r="H58" s="87" t="s">
        <v>398</v>
      </c>
      <c r="I58" s="85" t="s">
        <v>23</v>
      </c>
      <c r="J58" s="86" t="s">
        <v>1741</v>
      </c>
      <c r="K58" s="86" t="s">
        <v>399</v>
      </c>
      <c r="L58" t="e">
        <f>_xlfn.XLOOKUP(C58,'ΥΠΑΛΛΗΛΟΙ ΓΔΑΕΦΚ'!#REF!,'ΥΠΑΛΛΗΛΟΙ ΓΔΑΕΦΚ'!#REF!,"_")</f>
        <v>#REF!</v>
      </c>
    </row>
    <row r="59" spans="1:12" x14ac:dyDescent="0.25">
      <c r="A59" s="79">
        <f>--SUBTOTAL(3,$B$2:B58)</f>
        <v>57</v>
      </c>
      <c r="B59" s="80" t="s">
        <v>120</v>
      </c>
      <c r="C59" s="81" t="s">
        <v>1742</v>
      </c>
      <c r="D59" s="82" t="s">
        <v>401</v>
      </c>
      <c r="E59" s="83" t="s">
        <v>1743</v>
      </c>
      <c r="F59" s="87" t="s">
        <v>1744</v>
      </c>
      <c r="G59" s="87" t="s">
        <v>402</v>
      </c>
      <c r="H59" s="87" t="s">
        <v>1007</v>
      </c>
      <c r="I59" s="85" t="s">
        <v>23</v>
      </c>
      <c r="J59" s="86" t="s">
        <v>1745</v>
      </c>
      <c r="K59" s="86" t="s">
        <v>405</v>
      </c>
      <c r="L59" t="e">
        <f>_xlfn.XLOOKUP(C59,'ΥΠΑΛΛΗΛΟΙ ΓΔΑΕΦΚ'!#REF!,'ΥΠΑΛΛΗΛΟΙ ΓΔΑΕΦΚ'!#REF!,"_")</f>
        <v>#REF!</v>
      </c>
    </row>
    <row r="60" spans="1:12" x14ac:dyDescent="0.25">
      <c r="A60" s="79">
        <f>--SUBTOTAL(3,$B$2:B59)</f>
        <v>58</v>
      </c>
      <c r="B60" s="80" t="s">
        <v>120</v>
      </c>
      <c r="C60" s="81" t="s">
        <v>1746</v>
      </c>
      <c r="D60" s="82" t="s">
        <v>418</v>
      </c>
      <c r="E60" s="83" t="s">
        <v>1747</v>
      </c>
      <c r="F60" s="87" t="s">
        <v>1748</v>
      </c>
      <c r="G60" s="87" t="s">
        <v>420</v>
      </c>
      <c r="H60" s="87" t="s">
        <v>43</v>
      </c>
      <c r="I60" s="85" t="s">
        <v>23</v>
      </c>
      <c r="J60" s="86" t="s">
        <v>1749</v>
      </c>
      <c r="K60" s="86" t="s">
        <v>422</v>
      </c>
      <c r="L60" t="e">
        <f>_xlfn.XLOOKUP(C60,'ΥΠΑΛΛΗΛΟΙ ΓΔΑΕΦΚ'!#REF!,'ΥΠΑΛΛΗΛΟΙ ΓΔΑΕΦΚ'!#REF!,"_")</f>
        <v>#REF!</v>
      </c>
    </row>
    <row r="61" spans="1:12" x14ac:dyDescent="0.25">
      <c r="A61" s="79">
        <f>--SUBTOTAL(3,$B$2:B60)</f>
        <v>59</v>
      </c>
      <c r="B61" s="80" t="s">
        <v>120</v>
      </c>
      <c r="C61" s="81" t="s">
        <v>1750</v>
      </c>
      <c r="D61" s="82" t="s">
        <v>424</v>
      </c>
      <c r="E61" s="83" t="s">
        <v>1751</v>
      </c>
      <c r="F61" s="87" t="s">
        <v>1752</v>
      </c>
      <c r="G61" s="87" t="s">
        <v>426</v>
      </c>
      <c r="H61" s="87" t="s">
        <v>1007</v>
      </c>
      <c r="I61" s="85" t="s">
        <v>23</v>
      </c>
      <c r="J61" s="86" t="s">
        <v>1753</v>
      </c>
      <c r="K61" s="86" t="s">
        <v>429</v>
      </c>
      <c r="L61" t="e">
        <f>_xlfn.XLOOKUP(C61,'ΥΠΑΛΛΗΛΟΙ ΓΔΑΕΦΚ'!#REF!,'ΥΠΑΛΛΗΛΟΙ ΓΔΑΕΦΚ'!#REF!,"_")</f>
        <v>#REF!</v>
      </c>
    </row>
    <row r="62" spans="1:12" x14ac:dyDescent="0.25">
      <c r="A62" s="79">
        <f>--SUBTOTAL(3,$B$2:B61)</f>
        <v>60</v>
      </c>
      <c r="B62" s="80" t="s">
        <v>26</v>
      </c>
      <c r="C62" s="81" t="s">
        <v>1754</v>
      </c>
      <c r="D62" s="82" t="s">
        <v>1407</v>
      </c>
      <c r="E62" s="83" t="s">
        <v>1755</v>
      </c>
      <c r="F62" s="87" t="s">
        <v>1756</v>
      </c>
      <c r="G62" s="87" t="s">
        <v>1409</v>
      </c>
      <c r="H62" s="87" t="s">
        <v>43</v>
      </c>
      <c r="I62" s="85" t="s">
        <v>23</v>
      </c>
      <c r="J62" s="86" t="s">
        <v>1757</v>
      </c>
      <c r="K62" s="86" t="s">
        <v>1410</v>
      </c>
      <c r="L62" t="e">
        <f>_xlfn.XLOOKUP(C62,'ΥΠΑΛΛΗΛΟΙ ΓΔΑΕΦΚ'!#REF!,'ΥΠΑΛΛΗΛΟΙ ΓΔΑΕΦΚ'!#REF!,"_")</f>
        <v>#REF!</v>
      </c>
    </row>
    <row r="63" spans="1:12" x14ac:dyDescent="0.25">
      <c r="A63" s="79">
        <f>--SUBTOTAL(3,$B$2:B62)</f>
        <v>61</v>
      </c>
      <c r="B63" s="80" t="s">
        <v>26</v>
      </c>
      <c r="C63" s="81" t="s">
        <v>1758</v>
      </c>
      <c r="D63" s="82" t="s">
        <v>27</v>
      </c>
      <c r="E63" s="83" t="s">
        <v>1759</v>
      </c>
      <c r="F63" s="87" t="s">
        <v>1760</v>
      </c>
      <c r="G63" s="87" t="s">
        <v>29</v>
      </c>
      <c r="H63" s="87" t="s">
        <v>43</v>
      </c>
      <c r="I63" s="85" t="s">
        <v>23</v>
      </c>
      <c r="J63" s="86" t="s">
        <v>1761</v>
      </c>
      <c r="K63" s="86" t="s">
        <v>32</v>
      </c>
      <c r="L63" t="e">
        <f>_xlfn.XLOOKUP(C63,'ΥΠΑΛΛΗΛΟΙ ΓΔΑΕΦΚ'!#REF!,'ΥΠΑΛΛΗΛΟΙ ΓΔΑΕΦΚ'!#REF!,"_")</f>
        <v>#REF!</v>
      </c>
    </row>
    <row r="64" spans="1:12" x14ac:dyDescent="0.25">
      <c r="A64" s="79">
        <f>--SUBTOTAL(3,$B$2:B63)</f>
        <v>62</v>
      </c>
      <c r="B64" s="80" t="s">
        <v>26</v>
      </c>
      <c r="C64" s="81" t="s">
        <v>1762</v>
      </c>
      <c r="D64" s="82" t="s">
        <v>1763</v>
      </c>
      <c r="E64" s="83" t="s">
        <v>1764</v>
      </c>
      <c r="F64" s="87" t="s">
        <v>1765</v>
      </c>
      <c r="G64" s="87" t="s">
        <v>1766</v>
      </c>
      <c r="H64" s="87" t="s">
        <v>1767</v>
      </c>
      <c r="I64" s="85" t="s">
        <v>23</v>
      </c>
      <c r="J64" s="86" t="s">
        <v>1768</v>
      </c>
      <c r="K64" s="86" t="s">
        <v>1769</v>
      </c>
      <c r="L64" t="e">
        <f>_xlfn.XLOOKUP(C64,'ΥΠΑΛΛΗΛΟΙ ΓΔΑΕΦΚ'!#REF!,'ΥΠΑΛΛΗΛΟΙ ΓΔΑΕΦΚ'!#REF!,"_")</f>
        <v>#REF!</v>
      </c>
    </row>
    <row r="65" spans="1:12" x14ac:dyDescent="0.25">
      <c r="A65" s="79">
        <f>--SUBTOTAL(3,$B$2:B64)</f>
        <v>63</v>
      </c>
      <c r="B65" s="80" t="s">
        <v>26</v>
      </c>
      <c r="C65" s="81" t="s">
        <v>1770</v>
      </c>
      <c r="D65" s="82" t="s">
        <v>1449</v>
      </c>
      <c r="E65" s="83" t="s">
        <v>1771</v>
      </c>
      <c r="F65" s="87" t="s">
        <v>1772</v>
      </c>
      <c r="G65" s="87" t="s">
        <v>1450</v>
      </c>
      <c r="H65" s="87" t="s">
        <v>1007</v>
      </c>
      <c r="I65" s="85" t="s">
        <v>23</v>
      </c>
      <c r="J65" s="86" t="s">
        <v>1773</v>
      </c>
      <c r="K65" s="86" t="s">
        <v>1451</v>
      </c>
      <c r="L65" t="e">
        <f>_xlfn.XLOOKUP(C65,'ΥΠΑΛΛΗΛΟΙ ΓΔΑΕΦΚ'!#REF!,'ΥΠΑΛΛΗΛΟΙ ΓΔΑΕΦΚ'!#REF!,"_")</f>
        <v>#REF!</v>
      </c>
    </row>
    <row r="66" spans="1:12" x14ac:dyDescent="0.25">
      <c r="A66" s="79">
        <f>--SUBTOTAL(3,$B$2:B65)</f>
        <v>64</v>
      </c>
      <c r="B66" s="80" t="s">
        <v>26</v>
      </c>
      <c r="C66" s="81" t="s">
        <v>1774</v>
      </c>
      <c r="D66" s="82" t="s">
        <v>40</v>
      </c>
      <c r="E66" s="83" t="s">
        <v>1775</v>
      </c>
      <c r="F66" s="87" t="s">
        <v>1776</v>
      </c>
      <c r="G66" s="87" t="s">
        <v>41</v>
      </c>
      <c r="H66" s="87" t="s">
        <v>43</v>
      </c>
      <c r="I66" s="85" t="s">
        <v>23</v>
      </c>
      <c r="J66" s="86" t="s">
        <v>1777</v>
      </c>
      <c r="K66" s="86" t="s">
        <v>44</v>
      </c>
      <c r="L66" t="e">
        <f>_xlfn.XLOOKUP(C66,'ΥΠΑΛΛΗΛΟΙ ΓΔΑΕΦΚ'!#REF!,'ΥΠΑΛΛΗΛΟΙ ΓΔΑΕΦΚ'!#REF!,"_")</f>
        <v>#REF!</v>
      </c>
    </row>
    <row r="67" spans="1:12" x14ac:dyDescent="0.25">
      <c r="A67" s="79">
        <f>--SUBTOTAL(3,$B$2:B66)</f>
        <v>65</v>
      </c>
      <c r="B67" s="80" t="s">
        <v>26</v>
      </c>
      <c r="C67" s="81" t="s">
        <v>1778</v>
      </c>
      <c r="D67" s="82" t="s">
        <v>51</v>
      </c>
      <c r="E67" s="83" t="s">
        <v>1779</v>
      </c>
      <c r="F67" s="87" t="s">
        <v>1780</v>
      </c>
      <c r="G67" s="87" t="s">
        <v>52</v>
      </c>
      <c r="H67" s="87" t="s">
        <v>43</v>
      </c>
      <c r="I67" s="85" t="s">
        <v>23</v>
      </c>
      <c r="J67" s="86" t="s">
        <v>1781</v>
      </c>
      <c r="K67" s="86" t="s">
        <v>53</v>
      </c>
      <c r="L67" t="e">
        <f>_xlfn.XLOOKUP(C67,'ΥΠΑΛΛΗΛΟΙ ΓΔΑΕΦΚ'!#REF!,'ΥΠΑΛΛΗΛΟΙ ΓΔΑΕΦΚ'!#REF!,"_")</f>
        <v>#REF!</v>
      </c>
    </row>
    <row r="68" spans="1:12" x14ac:dyDescent="0.25">
      <c r="A68" s="79">
        <f>--SUBTOTAL(3,$B$2:B67)</f>
        <v>66</v>
      </c>
      <c r="B68" s="80" t="s">
        <v>26</v>
      </c>
      <c r="C68" s="81" t="s">
        <v>1782</v>
      </c>
      <c r="D68" s="82" t="s">
        <v>59</v>
      </c>
      <c r="E68" s="83" t="s">
        <v>1783</v>
      </c>
      <c r="F68" s="87" t="s">
        <v>1784</v>
      </c>
      <c r="G68" s="87" t="s">
        <v>61</v>
      </c>
      <c r="H68" s="87" t="s">
        <v>43</v>
      </c>
      <c r="I68" s="85" t="s">
        <v>23</v>
      </c>
      <c r="J68" s="86" t="s">
        <v>1785</v>
      </c>
      <c r="K68" s="86" t="s">
        <v>63</v>
      </c>
      <c r="L68" t="e">
        <f>_xlfn.XLOOKUP(C68,'ΥΠΑΛΛΗΛΟΙ ΓΔΑΕΦΚ'!#REF!,'ΥΠΑΛΛΗΛΟΙ ΓΔΑΕΦΚ'!#REF!,"_")</f>
        <v>#REF!</v>
      </c>
    </row>
    <row r="69" spans="1:12" x14ac:dyDescent="0.25">
      <c r="A69" s="79">
        <f>--SUBTOTAL(3,$B$2:B68)</f>
        <v>67</v>
      </c>
      <c r="B69" s="80" t="s">
        <v>26</v>
      </c>
      <c r="C69" s="81" t="s">
        <v>1786</v>
      </c>
      <c r="D69" s="82" t="s">
        <v>1787</v>
      </c>
      <c r="E69" s="83" t="s">
        <v>1788</v>
      </c>
      <c r="F69" s="87" t="s">
        <v>1789</v>
      </c>
      <c r="G69" s="87" t="s">
        <v>1790</v>
      </c>
      <c r="H69" s="87" t="s">
        <v>1007</v>
      </c>
      <c r="I69" s="85" t="s">
        <v>23</v>
      </c>
      <c r="J69" s="86" t="s">
        <v>1791</v>
      </c>
      <c r="K69" s="86" t="s">
        <v>1792</v>
      </c>
      <c r="L69" t="e">
        <f>_xlfn.XLOOKUP(C69,'ΥΠΑΛΛΗΛΟΙ ΓΔΑΕΦΚ'!#REF!,'ΥΠΑΛΛΗΛΟΙ ΓΔΑΕΦΚ'!#REF!,"_")</f>
        <v>#REF!</v>
      </c>
    </row>
    <row r="70" spans="1:12" x14ac:dyDescent="0.25">
      <c r="A70" s="79">
        <f>--SUBTOTAL(3,$B$2:B69)</f>
        <v>68</v>
      </c>
      <c r="B70" s="80" t="s">
        <v>26</v>
      </c>
      <c r="C70" s="81" t="s">
        <v>1793</v>
      </c>
      <c r="D70" s="82" t="s">
        <v>1794</v>
      </c>
      <c r="E70" s="83" t="s">
        <v>1795</v>
      </c>
      <c r="F70" s="87" t="s">
        <v>1796</v>
      </c>
      <c r="G70" s="87" t="s">
        <v>1797</v>
      </c>
      <c r="H70" s="87" t="s">
        <v>1007</v>
      </c>
      <c r="I70" s="85" t="s">
        <v>23</v>
      </c>
      <c r="J70" s="86" t="s">
        <v>1798</v>
      </c>
      <c r="K70" s="86" t="s">
        <v>1799</v>
      </c>
      <c r="L70" t="e">
        <f>_xlfn.XLOOKUP(C70,'ΥΠΑΛΛΗΛΟΙ ΓΔΑΕΦΚ'!#REF!,'ΥΠΑΛΛΗΛΟΙ ΓΔΑΕΦΚ'!#REF!,"_")</f>
        <v>#REF!</v>
      </c>
    </row>
    <row r="71" spans="1:12" x14ac:dyDescent="0.25">
      <c r="A71" s="79">
        <f>--SUBTOTAL(3,$B$2:B70)</f>
        <v>69</v>
      </c>
      <c r="B71" s="80" t="s">
        <v>26</v>
      </c>
      <c r="C71" s="81" t="s">
        <v>1800</v>
      </c>
      <c r="D71" s="82" t="s">
        <v>79</v>
      </c>
      <c r="E71" s="83" t="s">
        <v>1801</v>
      </c>
      <c r="F71" s="87" t="s">
        <v>1802</v>
      </c>
      <c r="G71" s="87" t="s">
        <v>81</v>
      </c>
      <c r="H71" s="87" t="s">
        <v>31</v>
      </c>
      <c r="I71" s="85" t="s">
        <v>23</v>
      </c>
      <c r="J71" s="86" t="s">
        <v>1803</v>
      </c>
      <c r="K71" s="86" t="s">
        <v>82</v>
      </c>
      <c r="L71" t="e">
        <f>_xlfn.XLOOKUP(C71,'ΥΠΑΛΛΗΛΟΙ ΓΔΑΕΦΚ'!#REF!,'ΥΠΑΛΛΗΛΟΙ ΓΔΑΕΦΚ'!#REF!,"_")</f>
        <v>#REF!</v>
      </c>
    </row>
    <row r="72" spans="1:12" x14ac:dyDescent="0.25">
      <c r="A72" s="79">
        <f>--SUBTOTAL(3,$B$2:B71)</f>
        <v>70</v>
      </c>
      <c r="B72" s="80" t="s">
        <v>26</v>
      </c>
      <c r="C72" s="81" t="s">
        <v>1804</v>
      </c>
      <c r="D72" s="82" t="s">
        <v>1805</v>
      </c>
      <c r="E72" s="83" t="s">
        <v>1806</v>
      </c>
      <c r="F72" s="87" t="s">
        <v>1807</v>
      </c>
      <c r="G72" s="87" t="s">
        <v>1808</v>
      </c>
      <c r="H72" s="87" t="s">
        <v>31</v>
      </c>
      <c r="I72" s="85" t="s">
        <v>23</v>
      </c>
      <c r="J72" s="86" t="s">
        <v>1809</v>
      </c>
      <c r="K72" s="86" t="s">
        <v>1810</v>
      </c>
      <c r="L72" t="e">
        <f>_xlfn.XLOOKUP(C72,'ΥΠΑΛΛΗΛΟΙ ΓΔΑΕΦΚ'!#REF!,'ΥΠΑΛΛΗΛΟΙ ΓΔΑΕΦΚ'!#REF!,"_")</f>
        <v>#REF!</v>
      </c>
    </row>
    <row r="73" spans="1:12" x14ac:dyDescent="0.25">
      <c r="A73" s="79">
        <f>--SUBTOTAL(3,$B$2:B72)</f>
        <v>71</v>
      </c>
      <c r="B73" s="80" t="s">
        <v>26</v>
      </c>
      <c r="C73" s="81" t="s">
        <v>1811</v>
      </c>
      <c r="D73" s="82" t="s">
        <v>87</v>
      </c>
      <c r="E73" s="83" t="s">
        <v>1812</v>
      </c>
      <c r="F73" s="87" t="s">
        <v>1813</v>
      </c>
      <c r="G73" s="87" t="s">
        <v>89</v>
      </c>
      <c r="H73" s="87" t="s">
        <v>31</v>
      </c>
      <c r="I73" s="85" t="s">
        <v>23</v>
      </c>
      <c r="J73" s="86" t="s">
        <v>1814</v>
      </c>
      <c r="K73" s="86" t="s">
        <v>91</v>
      </c>
      <c r="L73" t="e">
        <f>_xlfn.XLOOKUP(C73,'ΥΠΑΛΛΗΛΟΙ ΓΔΑΕΦΚ'!#REF!,'ΥΠΑΛΛΗΛΟΙ ΓΔΑΕΦΚ'!#REF!,"_")</f>
        <v>#REF!</v>
      </c>
    </row>
    <row r="74" spans="1:12" x14ac:dyDescent="0.25">
      <c r="A74" s="79">
        <f>--SUBTOTAL(3,$B$2:B73)</f>
        <v>72</v>
      </c>
      <c r="B74" s="80" t="s">
        <v>26</v>
      </c>
      <c r="C74" s="81" t="s">
        <v>1815</v>
      </c>
      <c r="D74" s="82" t="s">
        <v>105</v>
      </c>
      <c r="E74" s="83" t="s">
        <v>1816</v>
      </c>
      <c r="F74" s="87" t="s">
        <v>1817</v>
      </c>
      <c r="G74" s="87" t="s">
        <v>107</v>
      </c>
      <c r="H74" s="87" t="s">
        <v>43</v>
      </c>
      <c r="I74" s="85" t="s">
        <v>23</v>
      </c>
      <c r="J74" s="86" t="s">
        <v>1818</v>
      </c>
      <c r="K74" s="86" t="s">
        <v>109</v>
      </c>
      <c r="L74" t="e">
        <f>_xlfn.XLOOKUP(C74,'ΥΠΑΛΛΗΛΟΙ ΓΔΑΕΦΚ'!#REF!,'ΥΠΑΛΛΗΛΟΙ ΓΔΑΕΦΚ'!#REF!,"_")</f>
        <v>#REF!</v>
      </c>
    </row>
    <row r="75" spans="1:12" x14ac:dyDescent="0.25">
      <c r="A75" s="79">
        <f>--SUBTOTAL(3,$B$2:B74)</f>
        <v>73</v>
      </c>
      <c r="B75" s="80" t="s">
        <v>1819</v>
      </c>
      <c r="C75" s="81" t="s">
        <v>1820</v>
      </c>
      <c r="D75" s="82" t="s">
        <v>1821</v>
      </c>
      <c r="E75" s="83" t="s">
        <v>1822</v>
      </c>
      <c r="F75" s="87" t="s">
        <v>1823</v>
      </c>
      <c r="G75" s="87" t="s">
        <v>1824</v>
      </c>
      <c r="H75" s="87" t="s">
        <v>1767</v>
      </c>
      <c r="I75" s="85" t="s">
        <v>23</v>
      </c>
      <c r="J75" s="86" t="s">
        <v>1825</v>
      </c>
      <c r="K75" s="86" t="s">
        <v>1826</v>
      </c>
      <c r="L75" t="e">
        <f>_xlfn.XLOOKUP(C75,'ΥΠΑΛΛΗΛΟΙ ΓΔΑΕΦΚ'!#REF!,'ΥΠΑΛΛΗΛΟΙ ΓΔΑΕΦΚ'!#REF!,"_")</f>
        <v>#REF!</v>
      </c>
    </row>
    <row r="76" spans="1:12" x14ac:dyDescent="0.25">
      <c r="A76" s="79">
        <f>--SUBTOTAL(3,$B$2:B75)</f>
        <v>74</v>
      </c>
      <c r="B76" s="80" t="s">
        <v>1819</v>
      </c>
      <c r="C76" s="81" t="s">
        <v>1827</v>
      </c>
      <c r="D76" s="82" t="s">
        <v>1828</v>
      </c>
      <c r="E76" s="83" t="s">
        <v>1829</v>
      </c>
      <c r="F76" s="84" t="s">
        <v>1830</v>
      </c>
      <c r="G76" s="84" t="s">
        <v>1831</v>
      </c>
      <c r="H76" s="84" t="s">
        <v>1007</v>
      </c>
      <c r="I76" s="85" t="s">
        <v>23</v>
      </c>
      <c r="J76" s="85" t="s">
        <v>1832</v>
      </c>
      <c r="K76" s="85" t="s">
        <v>1833</v>
      </c>
      <c r="L76" t="e">
        <f>_xlfn.XLOOKUP(C76,'ΥΠΑΛΛΗΛΟΙ ΓΔΑΕΦΚ'!#REF!,'ΥΠΑΛΛΗΛΟΙ ΓΔΑΕΦΚ'!#REF!,"_")</f>
        <v>#REF!</v>
      </c>
    </row>
    <row r="77" spans="1:12" ht="25.5" x14ac:dyDescent="0.25">
      <c r="A77" s="79">
        <f>--SUBTOTAL(3,$B$2:B76)</f>
        <v>75</v>
      </c>
      <c r="B77" s="80" t="s">
        <v>1834</v>
      </c>
      <c r="C77" s="81" t="s">
        <v>1835</v>
      </c>
      <c r="D77" s="82" t="s">
        <v>1836</v>
      </c>
      <c r="E77" s="83" t="s">
        <v>1837</v>
      </c>
      <c r="F77" s="87" t="s">
        <v>1838</v>
      </c>
      <c r="G77" s="87" t="s">
        <v>1839</v>
      </c>
      <c r="H77" s="87" t="s">
        <v>1007</v>
      </c>
      <c r="I77" s="85" t="s">
        <v>23</v>
      </c>
      <c r="J77" s="86" t="s">
        <v>1840</v>
      </c>
      <c r="K77" s="86" t="s">
        <v>1841</v>
      </c>
      <c r="L77" t="e">
        <f>_xlfn.XLOOKUP(C77,'ΥΠΑΛΛΗΛΟΙ ΓΔΑΕΦΚ'!#REF!,'ΥΠΑΛΛΗΛΟΙ ΓΔΑΕΦΚ'!#REF!,"_")</f>
        <v>#REF!</v>
      </c>
    </row>
    <row r="78" spans="1:12" x14ac:dyDescent="0.25">
      <c r="A78" s="79">
        <f>--SUBTOTAL(3,$B$2:B77)</f>
        <v>76</v>
      </c>
      <c r="B78" s="80" t="s">
        <v>1406</v>
      </c>
      <c r="C78" s="81" t="s">
        <v>1842</v>
      </c>
      <c r="D78" s="82" t="s">
        <v>1411</v>
      </c>
      <c r="E78" s="83" t="s">
        <v>1843</v>
      </c>
      <c r="F78" s="87" t="s">
        <v>1844</v>
      </c>
      <c r="G78" s="87" t="s">
        <v>1412</v>
      </c>
      <c r="H78" s="87" t="s">
        <v>43</v>
      </c>
      <c r="I78" s="85" t="s">
        <v>23</v>
      </c>
      <c r="J78" s="86" t="s">
        <v>1845</v>
      </c>
      <c r="K78" s="86" t="s">
        <v>1413</v>
      </c>
      <c r="L78" t="e">
        <f>_xlfn.XLOOKUP(C78,'ΥΠΑΛΛΗΛΟΙ ΓΔΑΕΦΚ'!#REF!,'ΥΠΑΛΛΗΛΟΙ ΓΔΑΕΦΚ'!#REF!,"_")</f>
        <v>#REF!</v>
      </c>
    </row>
    <row r="79" spans="1:12" x14ac:dyDescent="0.25">
      <c r="A79" s="79">
        <f>--SUBTOTAL(3,$B$2:B78)</f>
        <v>77</v>
      </c>
      <c r="B79" s="80" t="s">
        <v>1406</v>
      </c>
      <c r="C79" s="81" t="s">
        <v>1846</v>
      </c>
      <c r="D79" s="82" t="s">
        <v>1417</v>
      </c>
      <c r="E79" s="83" t="s">
        <v>1847</v>
      </c>
      <c r="F79" s="87" t="s">
        <v>1848</v>
      </c>
      <c r="G79" s="87" t="s">
        <v>1418</v>
      </c>
      <c r="H79" s="87" t="s">
        <v>1007</v>
      </c>
      <c r="I79" s="85" t="s">
        <v>23</v>
      </c>
      <c r="J79" s="86" t="s">
        <v>1849</v>
      </c>
      <c r="K79" s="86" t="s">
        <v>1420</v>
      </c>
      <c r="L79" t="e">
        <f>_xlfn.XLOOKUP(C79,'ΥΠΑΛΛΗΛΟΙ ΓΔΑΕΦΚ'!#REF!,'ΥΠΑΛΛΗΛΟΙ ΓΔΑΕΦΚ'!#REF!,"_")</f>
        <v>#REF!</v>
      </c>
    </row>
    <row r="80" spans="1:12" x14ac:dyDescent="0.25">
      <c r="A80" s="79">
        <f>--SUBTOTAL(3,$B$2:B79)</f>
        <v>78</v>
      </c>
      <c r="B80" s="80" t="s">
        <v>1406</v>
      </c>
      <c r="C80" s="81" t="s">
        <v>1850</v>
      </c>
      <c r="D80" s="82" t="s">
        <v>1421</v>
      </c>
      <c r="E80" s="83" t="s">
        <v>1851</v>
      </c>
      <c r="F80" s="87" t="s">
        <v>1852</v>
      </c>
      <c r="G80" s="87" t="s">
        <v>1422</v>
      </c>
      <c r="H80" s="87" t="s">
        <v>43</v>
      </c>
      <c r="I80" s="85" t="s">
        <v>23</v>
      </c>
      <c r="J80" s="86" t="s">
        <v>1853</v>
      </c>
      <c r="K80" s="86" t="s">
        <v>1423</v>
      </c>
      <c r="L80" t="e">
        <f>_xlfn.XLOOKUP(C80,'ΥΠΑΛΛΗΛΟΙ ΓΔΑΕΦΚ'!#REF!,'ΥΠΑΛΛΗΛΟΙ ΓΔΑΕΦΚ'!#REF!,"_")</f>
        <v>#REF!</v>
      </c>
    </row>
    <row r="81" spans="1:12" x14ac:dyDescent="0.25">
      <c r="A81" s="79">
        <f>--SUBTOTAL(3,$B$2:B80)</f>
        <v>79</v>
      </c>
      <c r="B81" s="80" t="s">
        <v>1406</v>
      </c>
      <c r="C81" s="81" t="s">
        <v>1854</v>
      </c>
      <c r="D81" s="82" t="s">
        <v>1424</v>
      </c>
      <c r="E81" s="83" t="s">
        <v>1855</v>
      </c>
      <c r="F81" s="87" t="s">
        <v>1856</v>
      </c>
      <c r="G81" s="87" t="s">
        <v>1426</v>
      </c>
      <c r="H81" s="87" t="s">
        <v>43</v>
      </c>
      <c r="I81" s="85" t="s">
        <v>23</v>
      </c>
      <c r="J81" s="86" t="s">
        <v>1857</v>
      </c>
      <c r="K81" s="86" t="s">
        <v>1427</v>
      </c>
      <c r="L81" t="e">
        <f>_xlfn.XLOOKUP(C81,'ΥΠΑΛΛΗΛΟΙ ΓΔΑΕΦΚ'!#REF!,'ΥΠΑΛΛΗΛΟΙ ΓΔΑΕΦΚ'!#REF!,"_")</f>
        <v>#REF!</v>
      </c>
    </row>
    <row r="82" spans="1:12" x14ac:dyDescent="0.25">
      <c r="A82" s="79">
        <f>--SUBTOTAL(3,$B$2:B81)</f>
        <v>80</v>
      </c>
      <c r="B82" s="80" t="s">
        <v>1406</v>
      </c>
      <c r="C82" s="92" t="s">
        <v>1858</v>
      </c>
      <c r="D82" s="82" t="s">
        <v>1431</v>
      </c>
      <c r="E82" s="83" t="s">
        <v>1859</v>
      </c>
      <c r="F82" s="87" t="s">
        <v>1860</v>
      </c>
      <c r="G82" s="87" t="s">
        <v>1432</v>
      </c>
      <c r="H82" s="87" t="s">
        <v>224</v>
      </c>
      <c r="I82" s="85" t="s">
        <v>23</v>
      </c>
      <c r="J82" s="86" t="s">
        <v>1861</v>
      </c>
      <c r="K82" s="86" t="s">
        <v>1433</v>
      </c>
      <c r="L82" t="e">
        <f>_xlfn.XLOOKUP(C82,'ΥΠΑΛΛΗΛΟΙ ΓΔΑΕΦΚ'!#REF!,'ΥΠΑΛΛΗΛΟΙ ΓΔΑΕΦΚ'!#REF!,"_")</f>
        <v>#REF!</v>
      </c>
    </row>
    <row r="83" spans="1:12" x14ac:dyDescent="0.25">
      <c r="A83" s="79">
        <f>--SUBTOTAL(3,$B$2:B82)</f>
        <v>81</v>
      </c>
      <c r="B83" s="80" t="s">
        <v>1406</v>
      </c>
      <c r="C83" s="81" t="s">
        <v>1862</v>
      </c>
      <c r="D83" s="82" t="s">
        <v>1443</v>
      </c>
      <c r="E83" s="83" t="s">
        <v>1863</v>
      </c>
      <c r="F83" s="87" t="s">
        <v>1864</v>
      </c>
      <c r="G83" s="87" t="s">
        <v>1444</v>
      </c>
      <c r="H83" s="87" t="s">
        <v>43</v>
      </c>
      <c r="I83" s="85" t="s">
        <v>23</v>
      </c>
      <c r="J83" s="86" t="s">
        <v>1865</v>
      </c>
      <c r="K83" s="86" t="s">
        <v>1445</v>
      </c>
      <c r="L83" t="e">
        <f>_xlfn.XLOOKUP(C83,'ΥΠΑΛΛΗΛΟΙ ΓΔΑΕΦΚ'!#REF!,'ΥΠΑΛΛΗΛΟΙ ΓΔΑΕΦΚ'!#REF!,"_")</f>
        <v>#REF!</v>
      </c>
    </row>
    <row r="84" spans="1:12" x14ac:dyDescent="0.25">
      <c r="A84" s="79">
        <f>--SUBTOTAL(3,$B$2:B83)</f>
        <v>82</v>
      </c>
      <c r="B84" s="80" t="s">
        <v>1406</v>
      </c>
      <c r="C84" s="81" t="s">
        <v>1866</v>
      </c>
      <c r="D84" s="82" t="s">
        <v>1452</v>
      </c>
      <c r="E84" s="83" t="s">
        <v>1867</v>
      </c>
      <c r="F84" s="87" t="s">
        <v>1868</v>
      </c>
      <c r="G84" s="87" t="s">
        <v>1453</v>
      </c>
      <c r="H84" s="87" t="s">
        <v>224</v>
      </c>
      <c r="I84" s="85" t="s">
        <v>23</v>
      </c>
      <c r="J84" s="86" t="s">
        <v>1869</v>
      </c>
      <c r="K84" s="86" t="s">
        <v>1454</v>
      </c>
      <c r="L84" t="e">
        <f>_xlfn.XLOOKUP(C84,'ΥΠΑΛΛΗΛΟΙ ΓΔΑΕΦΚ'!#REF!,'ΥΠΑΛΛΗΛΟΙ ΓΔΑΕΦΚ'!#REF!,"_")</f>
        <v>#REF!</v>
      </c>
    </row>
    <row r="85" spans="1:12" x14ac:dyDescent="0.25">
      <c r="A85" s="79">
        <f>--SUBTOTAL(3,$B$2:B84)</f>
        <v>83</v>
      </c>
      <c r="B85" s="80" t="s">
        <v>1406</v>
      </c>
      <c r="C85" s="90" t="s">
        <v>1870</v>
      </c>
      <c r="D85" s="82" t="s">
        <v>1458</v>
      </c>
      <c r="E85" s="83" t="s">
        <v>1871</v>
      </c>
      <c r="F85" s="87" t="s">
        <v>1872</v>
      </c>
      <c r="G85" s="87" t="s">
        <v>1459</v>
      </c>
      <c r="H85" s="87" t="s">
        <v>43</v>
      </c>
      <c r="I85" s="85" t="s">
        <v>23</v>
      </c>
      <c r="J85" s="86" t="s">
        <v>1873</v>
      </c>
      <c r="K85" s="86" t="s">
        <v>1460</v>
      </c>
      <c r="L85" t="e">
        <f>_xlfn.XLOOKUP(C85,'ΥΠΑΛΛΗΛΟΙ ΓΔΑΕΦΚ'!#REF!,'ΥΠΑΛΛΗΛΟΙ ΓΔΑΕΦΚ'!#REF!,"_")</f>
        <v>#REF!</v>
      </c>
    </row>
    <row r="86" spans="1:12" x14ac:dyDescent="0.25">
      <c r="A86" s="79">
        <f>--SUBTOTAL(3,$B$2:B85)</f>
        <v>84</v>
      </c>
      <c r="B86" s="80" t="s">
        <v>1406</v>
      </c>
      <c r="C86" s="81" t="s">
        <v>1874</v>
      </c>
      <c r="D86" s="82" t="s">
        <v>1461</v>
      </c>
      <c r="E86" s="83" t="s">
        <v>1875</v>
      </c>
      <c r="F86" s="87" t="s">
        <v>1876</v>
      </c>
      <c r="G86" s="87" t="s">
        <v>1462</v>
      </c>
      <c r="H86" s="87" t="s">
        <v>43</v>
      </c>
      <c r="I86" s="85" t="s">
        <v>23</v>
      </c>
      <c r="J86" s="86" t="s">
        <v>1877</v>
      </c>
      <c r="K86" s="86" t="s">
        <v>1463</v>
      </c>
      <c r="L86" t="e">
        <f>_xlfn.XLOOKUP(C86,'ΥΠΑΛΛΗΛΟΙ ΓΔΑΕΦΚ'!#REF!,'ΥΠΑΛΛΗΛΟΙ ΓΔΑΕΦΚ'!#REF!,"_")</f>
        <v>#REF!</v>
      </c>
    </row>
    <row r="87" spans="1:12" x14ac:dyDescent="0.25">
      <c r="A87" s="79">
        <f>--SUBTOTAL(3,$B$2:B86)</f>
        <v>85</v>
      </c>
      <c r="B87" s="80" t="s">
        <v>1406</v>
      </c>
      <c r="C87" s="81" t="s">
        <v>1878</v>
      </c>
      <c r="D87" s="82" t="s">
        <v>1464</v>
      </c>
      <c r="E87" s="83" t="s">
        <v>1879</v>
      </c>
      <c r="F87" s="87" t="s">
        <v>1880</v>
      </c>
      <c r="G87" s="87" t="s">
        <v>1465</v>
      </c>
      <c r="H87" s="87" t="s">
        <v>43</v>
      </c>
      <c r="I87" s="85" t="s">
        <v>23</v>
      </c>
      <c r="J87" s="86" t="s">
        <v>1881</v>
      </c>
      <c r="K87" s="86" t="s">
        <v>1466</v>
      </c>
      <c r="L87" t="e">
        <f>_xlfn.XLOOKUP(C87,'ΥΠΑΛΛΗΛΟΙ ΓΔΑΕΦΚ'!#REF!,'ΥΠΑΛΛΗΛΟΙ ΓΔΑΕΦΚ'!#REF!,"_")</f>
        <v>#REF!</v>
      </c>
    </row>
    <row r="88" spans="1:12" x14ac:dyDescent="0.25">
      <c r="A88" s="79">
        <f>--SUBTOTAL(3,$B$2:B87)</f>
        <v>86</v>
      </c>
      <c r="B88" s="80" t="s">
        <v>1406</v>
      </c>
      <c r="C88" s="81" t="s">
        <v>1882</v>
      </c>
      <c r="D88" s="82" t="s">
        <v>1467</v>
      </c>
      <c r="E88" s="83" t="s">
        <v>1883</v>
      </c>
      <c r="F88" s="87" t="s">
        <v>1884</v>
      </c>
      <c r="G88" s="87" t="s">
        <v>1468</v>
      </c>
      <c r="H88" s="87" t="s">
        <v>43</v>
      </c>
      <c r="I88" s="85" t="s">
        <v>23</v>
      </c>
      <c r="J88" s="86" t="s">
        <v>1885</v>
      </c>
      <c r="K88" s="86" t="s">
        <v>1469</v>
      </c>
      <c r="L88" t="e">
        <f>_xlfn.XLOOKUP(C88,'ΥΠΑΛΛΗΛΟΙ ΓΔΑΕΦΚ'!#REF!,'ΥΠΑΛΛΗΛΟΙ ΓΔΑΕΦΚ'!#REF!,"_")</f>
        <v>#REF!</v>
      </c>
    </row>
    <row r="89" spans="1:12" x14ac:dyDescent="0.25">
      <c r="A89" s="79">
        <f>--SUBTOTAL(3,$B$2:B88)</f>
        <v>87</v>
      </c>
      <c r="B89" s="80" t="s">
        <v>1406</v>
      </c>
      <c r="C89" s="81" t="s">
        <v>1886</v>
      </c>
      <c r="D89" s="82" t="s">
        <v>1473</v>
      </c>
      <c r="E89" s="83" t="s">
        <v>1887</v>
      </c>
      <c r="F89" s="87" t="s">
        <v>1888</v>
      </c>
      <c r="G89" s="87" t="s">
        <v>1474</v>
      </c>
      <c r="H89" s="87" t="s">
        <v>1007</v>
      </c>
      <c r="I89" s="85" t="s">
        <v>23</v>
      </c>
      <c r="J89" s="86" t="s">
        <v>1889</v>
      </c>
      <c r="K89" s="86" t="s">
        <v>1475</v>
      </c>
      <c r="L89" t="e">
        <f>_xlfn.XLOOKUP(C89,'ΥΠΑΛΛΗΛΟΙ ΓΔΑΕΦΚ'!#REF!,'ΥΠΑΛΛΗΛΟΙ ΓΔΑΕΦΚ'!#REF!,"_")</f>
        <v>#REF!</v>
      </c>
    </row>
    <row r="90" spans="1:12" x14ac:dyDescent="0.25">
      <c r="A90" s="79">
        <f>--SUBTOTAL(3,$B$2:B89)</f>
        <v>88</v>
      </c>
      <c r="B90" s="80" t="s">
        <v>1406</v>
      </c>
      <c r="C90" s="81" t="s">
        <v>1890</v>
      </c>
      <c r="D90" s="82" t="s">
        <v>1476</v>
      </c>
      <c r="E90" s="83" t="s">
        <v>1891</v>
      </c>
      <c r="F90" s="87" t="s">
        <v>1892</v>
      </c>
      <c r="G90" s="89" t="s">
        <v>1477</v>
      </c>
      <c r="H90" s="89" t="s">
        <v>43</v>
      </c>
      <c r="I90" s="85" t="s">
        <v>23</v>
      </c>
      <c r="J90" s="86" t="s">
        <v>1893</v>
      </c>
      <c r="K90" s="86" t="s">
        <v>1478</v>
      </c>
      <c r="L90" t="e">
        <f>_xlfn.XLOOKUP(C90,'ΥΠΑΛΛΗΛΟΙ ΓΔΑΕΦΚ'!#REF!,'ΥΠΑΛΛΗΛΟΙ ΓΔΑΕΦΚ'!#REF!,"_")</f>
        <v>#REF!</v>
      </c>
    </row>
    <row r="91" spans="1:12" x14ac:dyDescent="0.25">
      <c r="A91" s="79">
        <f>--SUBTOTAL(3,$B$2:B90)</f>
        <v>89</v>
      </c>
      <c r="B91" s="80" t="s">
        <v>1406</v>
      </c>
      <c r="C91" s="81" t="s">
        <v>1894</v>
      </c>
      <c r="D91" s="82" t="s">
        <v>1479</v>
      </c>
      <c r="E91" s="83" t="s">
        <v>1895</v>
      </c>
      <c r="F91" s="87" t="s">
        <v>1896</v>
      </c>
      <c r="G91" s="87" t="s">
        <v>1480</v>
      </c>
      <c r="H91" s="87" t="s">
        <v>224</v>
      </c>
      <c r="I91" s="85" t="s">
        <v>23</v>
      </c>
      <c r="J91" s="86" t="s">
        <v>1897</v>
      </c>
      <c r="K91" s="86" t="s">
        <v>1481</v>
      </c>
      <c r="L91" t="e">
        <f>_xlfn.XLOOKUP(C91,'ΥΠΑΛΛΗΛΟΙ ΓΔΑΕΦΚ'!#REF!,'ΥΠΑΛΛΗΛΟΙ ΓΔΑΕΦΚ'!#REF!,"_")</f>
        <v>#REF!</v>
      </c>
    </row>
    <row r="92" spans="1:12" x14ac:dyDescent="0.25">
      <c r="A92" s="79">
        <f>--SUBTOTAL(3,$B$2:B91)</f>
        <v>90</v>
      </c>
      <c r="B92" s="80" t="s">
        <v>1406</v>
      </c>
      <c r="C92" s="81" t="s">
        <v>1898</v>
      </c>
      <c r="D92" s="82" t="s">
        <v>1482</v>
      </c>
      <c r="E92" s="83" t="s">
        <v>1899</v>
      </c>
      <c r="F92" s="87" t="s">
        <v>1900</v>
      </c>
      <c r="G92" s="87" t="s">
        <v>1483</v>
      </c>
      <c r="H92" s="87" t="s">
        <v>43</v>
      </c>
      <c r="I92" s="85" t="s">
        <v>23</v>
      </c>
      <c r="J92" s="86" t="s">
        <v>1901</v>
      </c>
      <c r="K92" s="86" t="s">
        <v>1484</v>
      </c>
      <c r="L92" t="e">
        <f>_xlfn.XLOOKUP(C92,'ΥΠΑΛΛΗΛΟΙ ΓΔΑΕΦΚ'!#REF!,'ΥΠΑΛΛΗΛΟΙ ΓΔΑΕΦΚ'!#REF!,"_")</f>
        <v>#REF!</v>
      </c>
    </row>
    <row r="93" spans="1:12" x14ac:dyDescent="0.25">
      <c r="A93" s="79">
        <f>--SUBTOTAL(3,$B$2:B92)</f>
        <v>91</v>
      </c>
      <c r="B93" s="80" t="s">
        <v>1406</v>
      </c>
      <c r="C93" s="81" t="s">
        <v>1902</v>
      </c>
      <c r="D93" s="82" t="s">
        <v>1485</v>
      </c>
      <c r="E93" s="83" t="s">
        <v>1903</v>
      </c>
      <c r="F93" s="87" t="s">
        <v>1904</v>
      </c>
      <c r="G93" s="87" t="s">
        <v>1486</v>
      </c>
      <c r="H93" s="87" t="s">
        <v>43</v>
      </c>
      <c r="I93" s="85" t="s">
        <v>23</v>
      </c>
      <c r="J93" s="86" t="s">
        <v>1905</v>
      </c>
      <c r="K93" s="86" t="s">
        <v>1487</v>
      </c>
      <c r="L93" t="e">
        <f>_xlfn.XLOOKUP(C93,'ΥΠΑΛΛΗΛΟΙ ΓΔΑΕΦΚ'!#REF!,'ΥΠΑΛΛΗΛΟΙ ΓΔΑΕΦΚ'!#REF!,"_")</f>
        <v>#REF!</v>
      </c>
    </row>
    <row r="94" spans="1:12" x14ac:dyDescent="0.25">
      <c r="A94" s="79">
        <f>--SUBTOTAL(3,$B$2:B93)</f>
        <v>92</v>
      </c>
      <c r="B94" s="80" t="s">
        <v>1406</v>
      </c>
      <c r="C94" s="81" t="s">
        <v>1906</v>
      </c>
      <c r="D94" s="82" t="s">
        <v>1907</v>
      </c>
      <c r="E94" s="83" t="s">
        <v>1908</v>
      </c>
      <c r="F94" s="87" t="s">
        <v>1909</v>
      </c>
      <c r="G94" s="87" t="s">
        <v>1910</v>
      </c>
      <c r="H94" s="87" t="s">
        <v>31</v>
      </c>
      <c r="I94" s="85" t="s">
        <v>23</v>
      </c>
      <c r="J94" s="86" t="s">
        <v>16</v>
      </c>
      <c r="K94" s="86" t="s">
        <v>1911</v>
      </c>
      <c r="L94" t="e">
        <f>_xlfn.XLOOKUP(C94,'ΥΠΑΛΛΗΛΟΙ ΓΔΑΕΦΚ'!#REF!,'ΥΠΑΛΛΗΛΟΙ ΓΔΑΕΦΚ'!#REF!,"_")</f>
        <v>#REF!</v>
      </c>
    </row>
    <row r="95" spans="1:12" x14ac:dyDescent="0.25">
      <c r="A95" s="79">
        <f>--SUBTOTAL(3,$B$2:B94)</f>
        <v>93</v>
      </c>
      <c r="B95" s="80" t="s">
        <v>1406</v>
      </c>
      <c r="C95" s="81" t="s">
        <v>1912</v>
      </c>
      <c r="D95" s="82" t="s">
        <v>1493</v>
      </c>
      <c r="E95" s="83" t="s">
        <v>1913</v>
      </c>
      <c r="F95" s="87" t="s">
        <v>1914</v>
      </c>
      <c r="G95" s="87" t="s">
        <v>1494</v>
      </c>
      <c r="H95" s="87" t="s">
        <v>1007</v>
      </c>
      <c r="I95" s="85" t="s">
        <v>23</v>
      </c>
      <c r="J95" s="86" t="s">
        <v>1915</v>
      </c>
      <c r="K95" s="86" t="s">
        <v>1495</v>
      </c>
      <c r="L95" t="e">
        <f>_xlfn.XLOOKUP(C95,'ΥΠΑΛΛΗΛΟΙ ΓΔΑΕΦΚ'!#REF!,'ΥΠΑΛΛΗΛΟΙ ΓΔΑΕΦΚ'!#REF!,"_")</f>
        <v>#REF!</v>
      </c>
    </row>
    <row r="96" spans="1:12" x14ac:dyDescent="0.25">
      <c r="A96" s="79">
        <f>--SUBTOTAL(3,$B$2:B95)</f>
        <v>94</v>
      </c>
      <c r="B96" s="80" t="s">
        <v>1406</v>
      </c>
      <c r="C96" s="81" t="s">
        <v>1916</v>
      </c>
      <c r="D96" s="82" t="s">
        <v>1496</v>
      </c>
      <c r="E96" s="83" t="s">
        <v>1917</v>
      </c>
      <c r="F96" s="87" t="s">
        <v>1918</v>
      </c>
      <c r="G96" s="87" t="s">
        <v>1497</v>
      </c>
      <c r="H96" s="87" t="s">
        <v>43</v>
      </c>
      <c r="I96" s="85" t="s">
        <v>23</v>
      </c>
      <c r="J96" s="86" t="s">
        <v>1919</v>
      </c>
      <c r="K96" s="86" t="s">
        <v>1498</v>
      </c>
      <c r="L96" t="e">
        <f>_xlfn.XLOOKUP(C96,'ΥΠΑΛΛΗΛΟΙ ΓΔΑΕΦΚ'!#REF!,'ΥΠΑΛΛΗΛΟΙ ΓΔΑΕΦΚ'!#REF!,"_")</f>
        <v>#REF!</v>
      </c>
    </row>
    <row r="97" spans="1:12" x14ac:dyDescent="0.25">
      <c r="A97" s="79">
        <f>--SUBTOTAL(3,$B$2:B96)</f>
        <v>95</v>
      </c>
      <c r="B97" s="80" t="s">
        <v>1406</v>
      </c>
      <c r="C97" s="81" t="s">
        <v>1920</v>
      </c>
      <c r="D97" s="82" t="s">
        <v>1499</v>
      </c>
      <c r="E97" s="83" t="s">
        <v>1921</v>
      </c>
      <c r="F97" s="87" t="s">
        <v>1922</v>
      </c>
      <c r="G97" s="87" t="s">
        <v>1500</v>
      </c>
      <c r="H97" s="87" t="s">
        <v>1007</v>
      </c>
      <c r="I97" s="85" t="s">
        <v>23</v>
      </c>
      <c r="J97" s="86" t="s">
        <v>1923</v>
      </c>
      <c r="K97" s="86" t="s">
        <v>1501</v>
      </c>
      <c r="L97" t="e">
        <f>_xlfn.XLOOKUP(C97,'ΥΠΑΛΛΗΛΟΙ ΓΔΑΕΦΚ'!#REF!,'ΥΠΑΛΛΗΛΟΙ ΓΔΑΕΦΚ'!#REF!,"_")</f>
        <v>#REF!</v>
      </c>
    </row>
    <row r="98" spans="1:12" x14ac:dyDescent="0.25">
      <c r="A98" s="79">
        <f>--SUBTOTAL(3,$B$2:B97)</f>
        <v>96</v>
      </c>
      <c r="B98" s="80" t="s">
        <v>473</v>
      </c>
      <c r="C98" s="81" t="s">
        <v>1924</v>
      </c>
      <c r="D98" s="82" t="s">
        <v>479</v>
      </c>
      <c r="E98" s="83" t="s">
        <v>1925</v>
      </c>
      <c r="F98" s="87" t="s">
        <v>1926</v>
      </c>
      <c r="G98" s="87" t="s">
        <v>481</v>
      </c>
      <c r="H98" s="87" t="s">
        <v>482</v>
      </c>
      <c r="I98" s="85" t="s">
        <v>23</v>
      </c>
      <c r="J98" s="86" t="s">
        <v>1927</v>
      </c>
      <c r="K98" s="86" t="s">
        <v>483</v>
      </c>
      <c r="L98" t="e">
        <f>_xlfn.XLOOKUP(C98,'ΥΠΑΛΛΗΛΟΙ ΓΔΑΕΦΚ'!#REF!,'ΥΠΑΛΛΗΛΟΙ ΓΔΑΕΦΚ'!#REF!,"_")</f>
        <v>#REF!</v>
      </c>
    </row>
    <row r="99" spans="1:12" x14ac:dyDescent="0.25">
      <c r="A99" s="79">
        <f>--SUBTOTAL(3,$B$2:B98)</f>
        <v>97</v>
      </c>
      <c r="B99" s="80" t="s">
        <v>473</v>
      </c>
      <c r="C99" s="81" t="s">
        <v>1928</v>
      </c>
      <c r="D99" s="82" t="s">
        <v>485</v>
      </c>
      <c r="E99" s="83" t="s">
        <v>1929</v>
      </c>
      <c r="F99" s="87" t="s">
        <v>1930</v>
      </c>
      <c r="G99" s="87" t="s">
        <v>486</v>
      </c>
      <c r="H99" s="87" t="s">
        <v>43</v>
      </c>
      <c r="I99" s="85" t="s">
        <v>23</v>
      </c>
      <c r="J99" s="86" t="s">
        <v>1931</v>
      </c>
      <c r="K99" s="86" t="s">
        <v>487</v>
      </c>
      <c r="L99" t="e">
        <f>_xlfn.XLOOKUP(C99,'ΥΠΑΛΛΗΛΟΙ ΓΔΑΕΦΚ'!#REF!,'ΥΠΑΛΛΗΛΟΙ ΓΔΑΕΦΚ'!#REF!,"_")</f>
        <v>#REF!</v>
      </c>
    </row>
    <row r="100" spans="1:12" x14ac:dyDescent="0.25">
      <c r="A100" s="79">
        <f>--SUBTOTAL(3,$B$2:B99)</f>
        <v>98</v>
      </c>
      <c r="B100" s="80" t="s">
        <v>473</v>
      </c>
      <c r="C100" s="81" t="s">
        <v>1932</v>
      </c>
      <c r="D100" s="82" t="s">
        <v>489</v>
      </c>
      <c r="E100" s="83" t="s">
        <v>1933</v>
      </c>
      <c r="F100" s="87" t="s">
        <v>1934</v>
      </c>
      <c r="G100" s="87" t="s">
        <v>490</v>
      </c>
      <c r="H100" s="87" t="s">
        <v>43</v>
      </c>
      <c r="I100" s="85" t="s">
        <v>23</v>
      </c>
      <c r="J100" s="86" t="s">
        <v>1935</v>
      </c>
      <c r="K100" s="86" t="s">
        <v>492</v>
      </c>
      <c r="L100" t="e">
        <f>_xlfn.XLOOKUP(C100,'ΥΠΑΛΛΗΛΟΙ ΓΔΑΕΦΚ'!#REF!,'ΥΠΑΛΛΗΛΟΙ ΓΔΑΕΦΚ'!#REF!,"_")</f>
        <v>#REF!</v>
      </c>
    </row>
    <row r="101" spans="1:12" x14ac:dyDescent="0.25">
      <c r="A101" s="79">
        <f>--SUBTOTAL(3,$B$2:B100)</f>
        <v>99</v>
      </c>
      <c r="B101" s="80" t="s">
        <v>473</v>
      </c>
      <c r="C101" s="81" t="s">
        <v>1936</v>
      </c>
      <c r="D101" s="82" t="s">
        <v>494</v>
      </c>
      <c r="E101" s="83" t="s">
        <v>1937</v>
      </c>
      <c r="F101" s="87" t="s">
        <v>1938</v>
      </c>
      <c r="G101" s="87" t="s">
        <v>496</v>
      </c>
      <c r="H101" s="87" t="s">
        <v>43</v>
      </c>
      <c r="I101" s="85" t="s">
        <v>23</v>
      </c>
      <c r="J101" s="86" t="s">
        <v>1939</v>
      </c>
      <c r="K101" s="86" t="s">
        <v>498</v>
      </c>
      <c r="L101" t="e">
        <f>_xlfn.XLOOKUP(C101,'ΥΠΑΛΛΗΛΟΙ ΓΔΑΕΦΚ'!#REF!,'ΥΠΑΛΛΗΛΟΙ ΓΔΑΕΦΚ'!#REF!,"_")</f>
        <v>#REF!</v>
      </c>
    </row>
    <row r="102" spans="1:12" x14ac:dyDescent="0.25">
      <c r="A102" s="79">
        <f>--SUBTOTAL(3,$B$2:B101)</f>
        <v>100</v>
      </c>
      <c r="B102" s="80" t="s">
        <v>473</v>
      </c>
      <c r="C102" s="81" t="s">
        <v>1940</v>
      </c>
      <c r="D102" s="82" t="s">
        <v>500</v>
      </c>
      <c r="E102" s="83" t="s">
        <v>1941</v>
      </c>
      <c r="F102" s="87" t="s">
        <v>1942</v>
      </c>
      <c r="G102" s="87" t="s">
        <v>501</v>
      </c>
      <c r="H102" s="87" t="s">
        <v>43</v>
      </c>
      <c r="I102" s="85" t="s">
        <v>23</v>
      </c>
      <c r="J102" s="86" t="s">
        <v>1943</v>
      </c>
      <c r="K102" s="86" t="s">
        <v>502</v>
      </c>
      <c r="L102" t="e">
        <f>_xlfn.XLOOKUP(C102,'ΥΠΑΛΛΗΛΟΙ ΓΔΑΕΦΚ'!#REF!,'ΥΠΑΛΛΗΛΟΙ ΓΔΑΕΦΚ'!#REF!,"_")</f>
        <v>#REF!</v>
      </c>
    </row>
    <row r="103" spans="1:12" x14ac:dyDescent="0.25">
      <c r="A103" s="79">
        <f>--SUBTOTAL(3,$B$2:B102)</f>
        <v>101</v>
      </c>
      <c r="B103" s="80" t="s">
        <v>473</v>
      </c>
      <c r="C103" s="81" t="s">
        <v>1944</v>
      </c>
      <c r="D103" s="82" t="s">
        <v>509</v>
      </c>
      <c r="E103" s="83" t="s">
        <v>1945</v>
      </c>
      <c r="F103" s="87" t="s">
        <v>1946</v>
      </c>
      <c r="G103" s="87" t="s">
        <v>511</v>
      </c>
      <c r="H103" s="87" t="s">
        <v>43</v>
      </c>
      <c r="I103" s="85" t="s">
        <v>23</v>
      </c>
      <c r="J103" s="86" t="s">
        <v>1947</v>
      </c>
      <c r="K103" s="86" t="s">
        <v>512</v>
      </c>
      <c r="L103" t="e">
        <f>_xlfn.XLOOKUP(C103,'ΥΠΑΛΛΗΛΟΙ ΓΔΑΕΦΚ'!#REF!,'ΥΠΑΛΛΗΛΟΙ ΓΔΑΕΦΚ'!#REF!,"_")</f>
        <v>#REF!</v>
      </c>
    </row>
    <row r="104" spans="1:12" x14ac:dyDescent="0.25">
      <c r="A104" s="79">
        <f>--SUBTOTAL(3,$B$2:B103)</f>
        <v>102</v>
      </c>
      <c r="B104" s="80" t="s">
        <v>473</v>
      </c>
      <c r="C104" s="81" t="s">
        <v>1948</v>
      </c>
      <c r="D104" s="82" t="s">
        <v>514</v>
      </c>
      <c r="E104" s="83" t="s">
        <v>1949</v>
      </c>
      <c r="F104" s="87" t="s">
        <v>1950</v>
      </c>
      <c r="G104" s="87" t="s">
        <v>515</v>
      </c>
      <c r="H104" s="87" t="s">
        <v>337</v>
      </c>
      <c r="I104" s="85" t="s">
        <v>23</v>
      </c>
      <c r="J104" s="86" t="s">
        <v>1951</v>
      </c>
      <c r="K104" s="86" t="s">
        <v>517</v>
      </c>
      <c r="L104" t="e">
        <f>_xlfn.XLOOKUP(C104,'ΥΠΑΛΛΗΛΟΙ ΓΔΑΕΦΚ'!#REF!,'ΥΠΑΛΛΗΛΟΙ ΓΔΑΕΦΚ'!#REF!,"_")</f>
        <v>#REF!</v>
      </c>
    </row>
    <row r="105" spans="1:12" x14ac:dyDescent="0.25">
      <c r="A105" s="79">
        <f>--SUBTOTAL(3,$B$2:B104)</f>
        <v>103</v>
      </c>
      <c r="B105" s="80" t="s">
        <v>473</v>
      </c>
      <c r="C105" s="81" t="s">
        <v>1952</v>
      </c>
      <c r="D105" s="82" t="s">
        <v>534</v>
      </c>
      <c r="E105" s="83" t="s">
        <v>1953</v>
      </c>
      <c r="F105" s="87" t="s">
        <v>1954</v>
      </c>
      <c r="G105" s="87" t="s">
        <v>535</v>
      </c>
      <c r="H105" s="87" t="s">
        <v>43</v>
      </c>
      <c r="I105" s="85" t="s">
        <v>23</v>
      </c>
      <c r="J105" s="86" t="s">
        <v>1955</v>
      </c>
      <c r="K105" s="86" t="s">
        <v>537</v>
      </c>
      <c r="L105" t="e">
        <f>_xlfn.XLOOKUP(C105,'ΥΠΑΛΛΗΛΟΙ ΓΔΑΕΦΚ'!#REF!,'ΥΠΑΛΛΗΛΟΙ ΓΔΑΕΦΚ'!#REF!,"_")</f>
        <v>#REF!</v>
      </c>
    </row>
    <row r="106" spans="1:12" x14ac:dyDescent="0.25">
      <c r="A106" s="79">
        <f>--SUBTOTAL(3,$B$2:B105)</f>
        <v>104</v>
      </c>
      <c r="B106" s="80" t="s">
        <v>473</v>
      </c>
      <c r="C106" s="81" t="s">
        <v>1956</v>
      </c>
      <c r="D106" s="82" t="s">
        <v>539</v>
      </c>
      <c r="E106" s="83" t="s">
        <v>1957</v>
      </c>
      <c r="F106" s="87" t="s">
        <v>1958</v>
      </c>
      <c r="G106" s="87" t="s">
        <v>540</v>
      </c>
      <c r="H106" s="87" t="s">
        <v>1007</v>
      </c>
      <c r="I106" s="85" t="s">
        <v>23</v>
      </c>
      <c r="J106" s="86" t="s">
        <v>1959</v>
      </c>
      <c r="K106" s="86" t="s">
        <v>542</v>
      </c>
      <c r="L106" t="e">
        <f>_xlfn.XLOOKUP(C106,'ΥΠΑΛΛΗΛΟΙ ΓΔΑΕΦΚ'!#REF!,'ΥΠΑΛΛΗΛΟΙ ΓΔΑΕΦΚ'!#REF!,"_")</f>
        <v>#REF!</v>
      </c>
    </row>
    <row r="107" spans="1:12" x14ac:dyDescent="0.25">
      <c r="A107" s="79">
        <f>--SUBTOTAL(3,$B$2:B106)</f>
        <v>105</v>
      </c>
      <c r="B107" s="80" t="s">
        <v>473</v>
      </c>
      <c r="C107" s="81" t="s">
        <v>1960</v>
      </c>
      <c r="D107" s="82" t="s">
        <v>544</v>
      </c>
      <c r="E107" s="83" t="s">
        <v>1961</v>
      </c>
      <c r="F107" s="87" t="s">
        <v>1962</v>
      </c>
      <c r="G107" s="87" t="s">
        <v>545</v>
      </c>
      <c r="H107" s="87" t="s">
        <v>43</v>
      </c>
      <c r="I107" s="85" t="s">
        <v>23</v>
      </c>
      <c r="J107" s="86" t="s">
        <v>1963</v>
      </c>
      <c r="K107" s="86" t="s">
        <v>546</v>
      </c>
      <c r="L107" t="e">
        <f>_xlfn.XLOOKUP(C107,'ΥΠΑΛΛΗΛΟΙ ΓΔΑΕΦΚ'!#REF!,'ΥΠΑΛΛΗΛΟΙ ΓΔΑΕΦΚ'!#REF!,"_")</f>
        <v>#REF!</v>
      </c>
    </row>
    <row r="108" spans="1:12" x14ac:dyDescent="0.25">
      <c r="A108" s="79">
        <f>--SUBTOTAL(3,$B$2:B107)</f>
        <v>106</v>
      </c>
      <c r="B108" s="80" t="s">
        <v>473</v>
      </c>
      <c r="C108" s="90" t="s">
        <v>1964</v>
      </c>
      <c r="D108" s="82" t="s">
        <v>548</v>
      </c>
      <c r="E108" s="83" t="s">
        <v>1965</v>
      </c>
      <c r="F108" s="87" t="s">
        <v>1966</v>
      </c>
      <c r="G108" s="87" t="s">
        <v>549</v>
      </c>
      <c r="H108" s="87" t="s">
        <v>43</v>
      </c>
      <c r="I108" s="85" t="s">
        <v>23</v>
      </c>
      <c r="J108" s="86" t="s">
        <v>1967</v>
      </c>
      <c r="K108" s="86" t="s">
        <v>551</v>
      </c>
      <c r="L108" t="e">
        <f>_xlfn.XLOOKUP(C108,'ΥΠΑΛΛΗΛΟΙ ΓΔΑΕΦΚ'!#REF!,'ΥΠΑΛΛΗΛΟΙ ΓΔΑΕΦΚ'!#REF!,"_")</f>
        <v>#REF!</v>
      </c>
    </row>
    <row r="109" spans="1:12" x14ac:dyDescent="0.25">
      <c r="A109" s="79">
        <f>--SUBTOTAL(3,$B$2:B108)</f>
        <v>107</v>
      </c>
      <c r="B109" s="80" t="s">
        <v>473</v>
      </c>
      <c r="C109" s="81" t="s">
        <v>1968</v>
      </c>
      <c r="D109" s="82" t="s">
        <v>553</v>
      </c>
      <c r="E109" s="83" t="s">
        <v>1969</v>
      </c>
      <c r="F109" s="87" t="s">
        <v>1970</v>
      </c>
      <c r="G109" s="87" t="s">
        <v>555</v>
      </c>
      <c r="H109" s="87" t="s">
        <v>43</v>
      </c>
      <c r="I109" s="85" t="s">
        <v>23</v>
      </c>
      <c r="J109" s="86" t="s">
        <v>1971</v>
      </c>
      <c r="K109" s="86" t="s">
        <v>557</v>
      </c>
      <c r="L109" t="e">
        <f>_xlfn.XLOOKUP(C109,'ΥΠΑΛΛΗΛΟΙ ΓΔΑΕΦΚ'!#REF!,'ΥΠΑΛΛΗΛΟΙ ΓΔΑΕΦΚ'!#REF!,"_")</f>
        <v>#REF!</v>
      </c>
    </row>
    <row r="110" spans="1:12" x14ac:dyDescent="0.25">
      <c r="A110" s="79">
        <f>--SUBTOTAL(3,$B$2:B109)</f>
        <v>108</v>
      </c>
      <c r="B110" s="80" t="s">
        <v>473</v>
      </c>
      <c r="C110" s="81" t="s">
        <v>1972</v>
      </c>
      <c r="D110" s="82" t="s">
        <v>563</v>
      </c>
      <c r="E110" s="83" t="s">
        <v>1973</v>
      </c>
      <c r="F110" s="87" t="s">
        <v>1974</v>
      </c>
      <c r="G110" s="87" t="s">
        <v>564</v>
      </c>
      <c r="H110" s="87" t="s">
        <v>43</v>
      </c>
      <c r="I110" s="85" t="s">
        <v>23</v>
      </c>
      <c r="J110" s="86" t="s">
        <v>1975</v>
      </c>
      <c r="K110" s="86" t="s">
        <v>566</v>
      </c>
      <c r="L110" t="e">
        <f>_xlfn.XLOOKUP(C110,'ΥΠΑΛΛΗΛΟΙ ΓΔΑΕΦΚ'!#REF!,'ΥΠΑΛΛΗΛΟΙ ΓΔΑΕΦΚ'!#REF!,"_")</f>
        <v>#REF!</v>
      </c>
    </row>
    <row r="111" spans="1:12" x14ac:dyDescent="0.25">
      <c r="A111" s="79">
        <f>--SUBTOTAL(3,$B$2:B110)</f>
        <v>109</v>
      </c>
      <c r="B111" s="80" t="s">
        <v>473</v>
      </c>
      <c r="C111" s="81" t="s">
        <v>1976</v>
      </c>
      <c r="D111" s="82" t="s">
        <v>568</v>
      </c>
      <c r="E111" s="83" t="s">
        <v>1977</v>
      </c>
      <c r="F111" s="87" t="s">
        <v>1978</v>
      </c>
      <c r="G111" s="87" t="s">
        <v>569</v>
      </c>
      <c r="H111" s="87" t="s">
        <v>1007</v>
      </c>
      <c r="I111" s="85" t="s">
        <v>23</v>
      </c>
      <c r="J111" s="86" t="s">
        <v>1979</v>
      </c>
      <c r="K111" s="86" t="s">
        <v>571</v>
      </c>
      <c r="L111" t="e">
        <f>_xlfn.XLOOKUP(C111,'ΥΠΑΛΛΗΛΟΙ ΓΔΑΕΦΚ'!#REF!,'ΥΠΑΛΛΗΛΟΙ ΓΔΑΕΦΚ'!#REF!,"_")</f>
        <v>#REF!</v>
      </c>
    </row>
    <row r="112" spans="1:12" ht="25.5" x14ac:dyDescent="0.25">
      <c r="A112" s="79">
        <f>--SUBTOTAL(3,$B$2:B111)</f>
        <v>110</v>
      </c>
      <c r="B112" s="80" t="s">
        <v>473</v>
      </c>
      <c r="C112" s="81" t="s">
        <v>1980</v>
      </c>
      <c r="D112" s="82" t="s">
        <v>581</v>
      </c>
      <c r="E112" s="83" t="s">
        <v>1981</v>
      </c>
      <c r="F112" s="87" t="s">
        <v>1982</v>
      </c>
      <c r="G112" s="87" t="s">
        <v>583</v>
      </c>
      <c r="H112" s="87" t="s">
        <v>43</v>
      </c>
      <c r="I112" s="85" t="s">
        <v>23</v>
      </c>
      <c r="J112" s="86" t="s">
        <v>1983</v>
      </c>
      <c r="K112" s="86" t="s">
        <v>585</v>
      </c>
      <c r="L112" t="e">
        <f>_xlfn.XLOOKUP(C112,'ΥΠΑΛΛΗΛΟΙ ΓΔΑΕΦΚ'!#REF!,'ΥΠΑΛΛΗΛΟΙ ΓΔΑΕΦΚ'!#REF!,"_")</f>
        <v>#REF!</v>
      </c>
    </row>
    <row r="113" spans="1:12" x14ac:dyDescent="0.25">
      <c r="A113" s="79">
        <f>--SUBTOTAL(3,$B$2:B112)</f>
        <v>111</v>
      </c>
      <c r="B113" s="80" t="s">
        <v>473</v>
      </c>
      <c r="C113" s="81" t="s">
        <v>1984</v>
      </c>
      <c r="D113" s="82" t="s">
        <v>587</v>
      </c>
      <c r="E113" s="83" t="s">
        <v>1985</v>
      </c>
      <c r="F113" s="87" t="s">
        <v>1986</v>
      </c>
      <c r="G113" s="87" t="s">
        <v>588</v>
      </c>
      <c r="H113" s="87" t="s">
        <v>43</v>
      </c>
      <c r="I113" s="85" t="s">
        <v>23</v>
      </c>
      <c r="J113" s="86" t="s">
        <v>1987</v>
      </c>
      <c r="K113" s="86" t="s">
        <v>590</v>
      </c>
      <c r="L113" t="e">
        <f>_xlfn.XLOOKUP(C113,'ΥΠΑΛΛΗΛΟΙ ΓΔΑΕΦΚ'!#REF!,'ΥΠΑΛΛΗΛΟΙ ΓΔΑΕΦΚ'!#REF!,"_")</f>
        <v>#REF!</v>
      </c>
    </row>
    <row r="114" spans="1:12" x14ac:dyDescent="0.25">
      <c r="A114" s="79">
        <f>--SUBTOTAL(3,$B$2:B113)</f>
        <v>112</v>
      </c>
      <c r="B114" s="80" t="s">
        <v>1090</v>
      </c>
      <c r="C114" s="81" t="s">
        <v>1988</v>
      </c>
      <c r="D114" s="82" t="s">
        <v>1091</v>
      </c>
      <c r="E114" s="83" t="s">
        <v>1989</v>
      </c>
      <c r="F114" s="87" t="s">
        <v>1990</v>
      </c>
      <c r="G114" s="87" t="s">
        <v>1991</v>
      </c>
      <c r="H114" s="87" t="s">
        <v>453</v>
      </c>
      <c r="I114" s="85" t="s">
        <v>23</v>
      </c>
      <c r="J114" s="86" t="s">
        <v>16</v>
      </c>
      <c r="K114" s="86" t="s">
        <v>1094</v>
      </c>
      <c r="L114" t="e">
        <f>_xlfn.XLOOKUP(C114,'ΥΠΑΛΛΗΛΟΙ ΓΔΑΕΦΚ'!#REF!,'ΥΠΑΛΛΗΛΟΙ ΓΔΑΕΦΚ'!#REF!,"_")</f>
        <v>#REF!</v>
      </c>
    </row>
    <row r="115" spans="1:12" x14ac:dyDescent="0.25">
      <c r="A115" s="79">
        <f>--SUBTOTAL(3,$B$2:B114)</f>
        <v>113</v>
      </c>
      <c r="B115" s="80" t="s">
        <v>1090</v>
      </c>
      <c r="C115" s="81" t="s">
        <v>1992</v>
      </c>
      <c r="D115" s="82" t="s">
        <v>1095</v>
      </c>
      <c r="E115" s="83" t="s">
        <v>1993</v>
      </c>
      <c r="F115" s="87" t="s">
        <v>1994</v>
      </c>
      <c r="G115" s="87" t="s">
        <v>1995</v>
      </c>
      <c r="H115" s="87" t="s">
        <v>43</v>
      </c>
      <c r="I115" s="85" t="s">
        <v>23</v>
      </c>
      <c r="J115" s="86" t="s">
        <v>16</v>
      </c>
      <c r="K115" s="86" t="s">
        <v>1097</v>
      </c>
      <c r="L115" t="e">
        <f>_xlfn.XLOOKUP(C115,'ΥΠΑΛΛΗΛΟΙ ΓΔΑΕΦΚ'!#REF!,'ΥΠΑΛΛΗΛΟΙ ΓΔΑΕΦΚ'!#REF!,"_")</f>
        <v>#REF!</v>
      </c>
    </row>
    <row r="116" spans="1:12" x14ac:dyDescent="0.25">
      <c r="A116" s="79">
        <f>--SUBTOTAL(3,$B$2:B115)</f>
        <v>114</v>
      </c>
      <c r="B116" s="80" t="s">
        <v>1090</v>
      </c>
      <c r="C116" s="81" t="s">
        <v>1996</v>
      </c>
      <c r="D116" s="82" t="s">
        <v>1098</v>
      </c>
      <c r="E116" s="83" t="s">
        <v>1997</v>
      </c>
      <c r="F116" s="87" t="s">
        <v>1998</v>
      </c>
      <c r="G116" s="87" t="s">
        <v>1999</v>
      </c>
      <c r="H116" s="87" t="s">
        <v>337</v>
      </c>
      <c r="I116" s="85" t="s">
        <v>23</v>
      </c>
      <c r="J116" s="86" t="s">
        <v>16</v>
      </c>
      <c r="K116" s="86" t="s">
        <v>1100</v>
      </c>
      <c r="L116" t="e">
        <f>_xlfn.XLOOKUP(C116,'ΥΠΑΛΛΗΛΟΙ ΓΔΑΕΦΚ'!#REF!,'ΥΠΑΛΛΗΛΟΙ ΓΔΑΕΦΚ'!#REF!,"_")</f>
        <v>#REF!</v>
      </c>
    </row>
    <row r="117" spans="1:12" x14ac:dyDescent="0.25">
      <c r="A117" s="79">
        <f>--SUBTOTAL(3,$B$2:B116)</f>
        <v>115</v>
      </c>
      <c r="B117" s="80" t="s">
        <v>1090</v>
      </c>
      <c r="C117" s="81" t="s">
        <v>2000</v>
      </c>
      <c r="D117" s="82" t="s">
        <v>1101</v>
      </c>
      <c r="E117" s="83" t="s">
        <v>2001</v>
      </c>
      <c r="F117" s="87" t="s">
        <v>2002</v>
      </c>
      <c r="G117" s="87" t="s">
        <v>2003</v>
      </c>
      <c r="H117" s="87" t="s">
        <v>43</v>
      </c>
      <c r="I117" s="85" t="s">
        <v>23</v>
      </c>
      <c r="J117" s="86" t="s">
        <v>16</v>
      </c>
      <c r="K117" s="86" t="s">
        <v>1103</v>
      </c>
      <c r="L117" t="e">
        <f>_xlfn.XLOOKUP(C117,'ΥΠΑΛΛΗΛΟΙ ΓΔΑΕΦΚ'!#REF!,'ΥΠΑΛΛΗΛΟΙ ΓΔΑΕΦΚ'!#REF!,"_")</f>
        <v>#REF!</v>
      </c>
    </row>
    <row r="118" spans="1:12" x14ac:dyDescent="0.25">
      <c r="A118" s="79">
        <f>--SUBTOTAL(3,$B$2:B117)</f>
        <v>116</v>
      </c>
      <c r="B118" s="80" t="s">
        <v>1090</v>
      </c>
      <c r="C118" s="81" t="s">
        <v>2004</v>
      </c>
      <c r="D118" s="82" t="s">
        <v>1104</v>
      </c>
      <c r="E118" s="83" t="s">
        <v>2005</v>
      </c>
      <c r="F118" s="87" t="s">
        <v>2006</v>
      </c>
      <c r="G118" s="87" t="s">
        <v>2007</v>
      </c>
      <c r="H118" s="87" t="s">
        <v>43</v>
      </c>
      <c r="I118" s="85" t="s">
        <v>23</v>
      </c>
      <c r="J118" s="86" t="s">
        <v>16</v>
      </c>
      <c r="K118" s="86" t="s">
        <v>1106</v>
      </c>
      <c r="L118" t="e">
        <f>_xlfn.XLOOKUP(C118,'ΥΠΑΛΛΗΛΟΙ ΓΔΑΕΦΚ'!#REF!,'ΥΠΑΛΛΗΛΟΙ ΓΔΑΕΦΚ'!#REF!,"_")</f>
        <v>#REF!</v>
      </c>
    </row>
    <row r="119" spans="1:12" x14ac:dyDescent="0.25">
      <c r="A119" s="79">
        <f>--SUBTOTAL(3,$B$2:B118)</f>
        <v>117</v>
      </c>
      <c r="B119" s="80" t="s">
        <v>1090</v>
      </c>
      <c r="C119" s="81" t="s">
        <v>2008</v>
      </c>
      <c r="D119" s="82" t="s">
        <v>1119</v>
      </c>
      <c r="E119" s="83" t="s">
        <v>2009</v>
      </c>
      <c r="F119" s="87" t="s">
        <v>2010</v>
      </c>
      <c r="G119" s="87" t="s">
        <v>2011</v>
      </c>
      <c r="H119" s="87" t="s">
        <v>43</v>
      </c>
      <c r="I119" s="85" t="s">
        <v>23</v>
      </c>
      <c r="J119" s="86" t="s">
        <v>16</v>
      </c>
      <c r="K119" s="86" t="s">
        <v>1121</v>
      </c>
      <c r="L119" t="e">
        <f>_xlfn.XLOOKUP(C119,'ΥΠΑΛΛΗΛΟΙ ΓΔΑΕΦΚ'!#REF!,'ΥΠΑΛΛΗΛΟΙ ΓΔΑΕΦΚ'!#REF!,"_")</f>
        <v>#REF!</v>
      </c>
    </row>
    <row r="120" spans="1:12" x14ac:dyDescent="0.25">
      <c r="A120" s="79">
        <f>--SUBTOTAL(3,$B$2:B119)</f>
        <v>118</v>
      </c>
      <c r="B120" s="80" t="s">
        <v>1090</v>
      </c>
      <c r="C120" s="81" t="s">
        <v>2012</v>
      </c>
      <c r="D120" s="82" t="s">
        <v>1122</v>
      </c>
      <c r="E120" s="83" t="s">
        <v>2013</v>
      </c>
      <c r="F120" s="87" t="s">
        <v>2014</v>
      </c>
      <c r="G120" s="87" t="s">
        <v>2015</v>
      </c>
      <c r="H120" s="87" t="s">
        <v>43</v>
      </c>
      <c r="I120" s="85" t="s">
        <v>23</v>
      </c>
      <c r="J120" s="86" t="s">
        <v>16</v>
      </c>
      <c r="K120" s="86" t="s">
        <v>1124</v>
      </c>
      <c r="L120" t="e">
        <f>_xlfn.XLOOKUP(C120,'ΥΠΑΛΛΗΛΟΙ ΓΔΑΕΦΚ'!#REF!,'ΥΠΑΛΛΗΛΟΙ ΓΔΑΕΦΚ'!#REF!,"_")</f>
        <v>#REF!</v>
      </c>
    </row>
    <row r="121" spans="1:12" x14ac:dyDescent="0.25">
      <c r="A121" s="79">
        <f>--SUBTOTAL(3,$B$2:B120)</f>
        <v>119</v>
      </c>
      <c r="B121" s="80" t="s">
        <v>1090</v>
      </c>
      <c r="C121" s="81" t="s">
        <v>2016</v>
      </c>
      <c r="D121" s="82" t="s">
        <v>1125</v>
      </c>
      <c r="E121" s="83" t="s">
        <v>2017</v>
      </c>
      <c r="F121" s="84" t="s">
        <v>2018</v>
      </c>
      <c r="G121" s="84" t="s">
        <v>2019</v>
      </c>
      <c r="H121" s="84" t="s">
        <v>337</v>
      </c>
      <c r="I121" s="85" t="s">
        <v>23</v>
      </c>
      <c r="J121" s="86" t="s">
        <v>16</v>
      </c>
      <c r="K121" s="86" t="s">
        <v>1127</v>
      </c>
      <c r="L121" t="e">
        <f>_xlfn.XLOOKUP(C121,'ΥΠΑΛΛΗΛΟΙ ΓΔΑΕΦΚ'!#REF!,'ΥΠΑΛΛΗΛΟΙ ΓΔΑΕΦΚ'!#REF!,"_")</f>
        <v>#REF!</v>
      </c>
    </row>
    <row r="122" spans="1:12" x14ac:dyDescent="0.25">
      <c r="A122" s="79">
        <f>--SUBTOTAL(3,$B$2:B121)</f>
        <v>120</v>
      </c>
      <c r="B122" s="80" t="s">
        <v>1090</v>
      </c>
      <c r="C122" s="81" t="s">
        <v>2020</v>
      </c>
      <c r="D122" s="82" t="s">
        <v>1128</v>
      </c>
      <c r="E122" s="83" t="s">
        <v>2021</v>
      </c>
      <c r="F122" s="87" t="s">
        <v>2022</v>
      </c>
      <c r="G122" s="87" t="s">
        <v>2023</v>
      </c>
      <c r="H122" s="87" t="s">
        <v>224</v>
      </c>
      <c r="I122" s="85" t="s">
        <v>23</v>
      </c>
      <c r="J122" s="86" t="s">
        <v>16</v>
      </c>
      <c r="K122" s="86" t="s">
        <v>1130</v>
      </c>
      <c r="L122" t="e">
        <f>_xlfn.XLOOKUP(C122,'ΥΠΑΛΛΗΛΟΙ ΓΔΑΕΦΚ'!#REF!,'ΥΠΑΛΛΗΛΟΙ ΓΔΑΕΦΚ'!#REF!,"_")</f>
        <v>#REF!</v>
      </c>
    </row>
    <row r="123" spans="1:12" x14ac:dyDescent="0.25">
      <c r="A123" s="79">
        <f>--SUBTOTAL(3,$B$2:B122)</f>
        <v>121</v>
      </c>
      <c r="B123" s="80" t="s">
        <v>1090</v>
      </c>
      <c r="C123" s="81" t="s">
        <v>2024</v>
      </c>
      <c r="D123" s="82" t="s">
        <v>1131</v>
      </c>
      <c r="E123" s="83" t="s">
        <v>2025</v>
      </c>
      <c r="F123" s="87" t="s">
        <v>2026</v>
      </c>
      <c r="G123" s="87" t="s">
        <v>2027</v>
      </c>
      <c r="H123" s="87" t="s">
        <v>43</v>
      </c>
      <c r="I123" s="85" t="s">
        <v>23</v>
      </c>
      <c r="J123" s="86" t="s">
        <v>16</v>
      </c>
      <c r="K123" s="86" t="s">
        <v>1133</v>
      </c>
      <c r="L123" t="e">
        <f>_xlfn.XLOOKUP(C123,'ΥΠΑΛΛΗΛΟΙ ΓΔΑΕΦΚ'!#REF!,'ΥΠΑΛΛΗΛΟΙ ΓΔΑΕΦΚ'!#REF!,"_")</f>
        <v>#REF!</v>
      </c>
    </row>
    <row r="124" spans="1:12" x14ac:dyDescent="0.25">
      <c r="A124" s="79">
        <f>--SUBTOTAL(3,$B$2:B123)</f>
        <v>122</v>
      </c>
      <c r="B124" s="80" t="s">
        <v>1090</v>
      </c>
      <c r="C124" s="81" t="s">
        <v>2028</v>
      </c>
      <c r="D124" s="82" t="s">
        <v>1140</v>
      </c>
      <c r="E124" s="83" t="s">
        <v>2029</v>
      </c>
      <c r="F124" s="87" t="s">
        <v>2030</v>
      </c>
      <c r="G124" s="87" t="s">
        <v>2031</v>
      </c>
      <c r="H124" s="87" t="s">
        <v>1142</v>
      </c>
      <c r="I124" s="85" t="s">
        <v>23</v>
      </c>
      <c r="J124" s="86" t="s">
        <v>16</v>
      </c>
      <c r="K124" s="86" t="s">
        <v>1143</v>
      </c>
      <c r="L124" t="e">
        <f>_xlfn.XLOOKUP(C124,'ΥΠΑΛΛΗΛΟΙ ΓΔΑΕΦΚ'!#REF!,'ΥΠΑΛΛΗΛΟΙ ΓΔΑΕΦΚ'!#REF!,"_")</f>
        <v>#REF!</v>
      </c>
    </row>
    <row r="125" spans="1:12" x14ac:dyDescent="0.25">
      <c r="A125" s="79">
        <f>--SUBTOTAL(3,$B$2:B124)</f>
        <v>123</v>
      </c>
      <c r="B125" s="80" t="s">
        <v>1090</v>
      </c>
      <c r="C125" s="81" t="s">
        <v>2032</v>
      </c>
      <c r="D125" s="82" t="s">
        <v>1144</v>
      </c>
      <c r="E125" s="83" t="s">
        <v>2033</v>
      </c>
      <c r="F125" s="87" t="s">
        <v>2034</v>
      </c>
      <c r="G125" s="87" t="s">
        <v>2035</v>
      </c>
      <c r="H125" s="87" t="s">
        <v>224</v>
      </c>
      <c r="I125" s="85" t="s">
        <v>23</v>
      </c>
      <c r="J125" s="86" t="s">
        <v>16</v>
      </c>
      <c r="K125" s="86" t="s">
        <v>1146</v>
      </c>
      <c r="L125" t="e">
        <f>_xlfn.XLOOKUP(C125,'ΥΠΑΛΛΗΛΟΙ ΓΔΑΕΦΚ'!#REF!,'ΥΠΑΛΛΗΛΟΙ ΓΔΑΕΦΚ'!#REF!,"_")</f>
        <v>#REF!</v>
      </c>
    </row>
    <row r="126" spans="1:12" x14ac:dyDescent="0.25">
      <c r="A126" s="79">
        <f>--SUBTOTAL(3,$B$2:B125)</f>
        <v>124</v>
      </c>
      <c r="B126" s="80" t="s">
        <v>1090</v>
      </c>
      <c r="C126" s="81" t="s">
        <v>2036</v>
      </c>
      <c r="D126" s="82" t="s">
        <v>1147</v>
      </c>
      <c r="E126" s="83" t="s">
        <v>2037</v>
      </c>
      <c r="F126" s="87" t="s">
        <v>2038</v>
      </c>
      <c r="G126" s="87" t="s">
        <v>2039</v>
      </c>
      <c r="H126" s="87" t="s">
        <v>2040</v>
      </c>
      <c r="I126" s="85" t="s">
        <v>23</v>
      </c>
      <c r="J126" s="86" t="s">
        <v>16</v>
      </c>
      <c r="K126" s="86" t="s">
        <v>1150</v>
      </c>
      <c r="L126" t="e">
        <f>_xlfn.XLOOKUP(C126,'ΥΠΑΛΛΗΛΟΙ ΓΔΑΕΦΚ'!#REF!,'ΥΠΑΛΛΗΛΟΙ ΓΔΑΕΦΚ'!#REF!,"_")</f>
        <v>#REF!</v>
      </c>
    </row>
    <row r="127" spans="1:12" x14ac:dyDescent="0.25">
      <c r="A127" s="79">
        <f>--SUBTOTAL(3,$B$2:B126)</f>
        <v>125</v>
      </c>
      <c r="B127" s="80" t="s">
        <v>1090</v>
      </c>
      <c r="C127" s="90" t="s">
        <v>2041</v>
      </c>
      <c r="D127" s="82" t="s">
        <v>1154</v>
      </c>
      <c r="E127" s="83" t="s">
        <v>2042</v>
      </c>
      <c r="F127" s="87" t="s">
        <v>2043</v>
      </c>
      <c r="G127" s="87" t="s">
        <v>2044</v>
      </c>
      <c r="H127" s="87" t="s">
        <v>337</v>
      </c>
      <c r="I127" s="85" t="s">
        <v>23</v>
      </c>
      <c r="J127" s="86" t="s">
        <v>16</v>
      </c>
      <c r="K127" s="86" t="s">
        <v>1156</v>
      </c>
      <c r="L127" t="e">
        <f>_xlfn.XLOOKUP(C127,'ΥΠΑΛΛΗΛΟΙ ΓΔΑΕΦΚ'!#REF!,'ΥΠΑΛΛΗΛΟΙ ΓΔΑΕΦΚ'!#REF!,"_")</f>
        <v>#REF!</v>
      </c>
    </row>
    <row r="128" spans="1:12" x14ac:dyDescent="0.25">
      <c r="A128" s="79">
        <f>--SUBTOTAL(3,$B$2:B127)</f>
        <v>126</v>
      </c>
      <c r="B128" s="80" t="s">
        <v>1090</v>
      </c>
      <c r="C128" s="81" t="s">
        <v>2045</v>
      </c>
      <c r="D128" s="82" t="s">
        <v>1160</v>
      </c>
      <c r="E128" s="83" t="s">
        <v>2046</v>
      </c>
      <c r="F128" s="87" t="s">
        <v>2047</v>
      </c>
      <c r="G128" s="87" t="s">
        <v>2048</v>
      </c>
      <c r="H128" s="87" t="s">
        <v>337</v>
      </c>
      <c r="I128" s="85" t="s">
        <v>23</v>
      </c>
      <c r="J128" s="86" t="s">
        <v>16</v>
      </c>
      <c r="K128" s="86" t="s">
        <v>1162</v>
      </c>
      <c r="L128" t="e">
        <f>_xlfn.XLOOKUP(C128,'ΥΠΑΛΛΗΛΟΙ ΓΔΑΕΦΚ'!#REF!,'ΥΠΑΛΛΗΛΟΙ ΓΔΑΕΦΚ'!#REF!,"_")</f>
        <v>#REF!</v>
      </c>
    </row>
    <row r="129" spans="1:12" x14ac:dyDescent="0.25">
      <c r="A129" s="79">
        <f>--SUBTOTAL(3,$B$2:B128)</f>
        <v>127</v>
      </c>
      <c r="B129" s="80" t="s">
        <v>1090</v>
      </c>
      <c r="C129" s="81" t="s">
        <v>2049</v>
      </c>
      <c r="D129" s="82" t="s">
        <v>1166</v>
      </c>
      <c r="E129" s="83" t="s">
        <v>2050</v>
      </c>
      <c r="F129" s="87" t="s">
        <v>2051</v>
      </c>
      <c r="G129" s="87" t="s">
        <v>2052</v>
      </c>
      <c r="H129" s="87" t="s">
        <v>264</v>
      </c>
      <c r="I129" s="85" t="s">
        <v>23</v>
      </c>
      <c r="J129" s="86" t="s">
        <v>16</v>
      </c>
      <c r="K129" s="86" t="s">
        <v>1168</v>
      </c>
      <c r="L129" t="e">
        <f>_xlfn.XLOOKUP(C129,'ΥΠΑΛΛΗΛΟΙ ΓΔΑΕΦΚ'!#REF!,'ΥΠΑΛΛΗΛΟΙ ΓΔΑΕΦΚ'!#REF!,"_")</f>
        <v>#REF!</v>
      </c>
    </row>
    <row r="130" spans="1:12" x14ac:dyDescent="0.25">
      <c r="A130" s="79">
        <f>--SUBTOTAL(3,$B$2:B129)</f>
        <v>128</v>
      </c>
      <c r="B130" s="80" t="s">
        <v>1090</v>
      </c>
      <c r="C130" s="81" t="s">
        <v>2053</v>
      </c>
      <c r="D130" s="82" t="s">
        <v>1169</v>
      </c>
      <c r="E130" s="83" t="s">
        <v>2054</v>
      </c>
      <c r="F130" s="87" t="s">
        <v>2055</v>
      </c>
      <c r="G130" s="87" t="s">
        <v>2056</v>
      </c>
      <c r="H130" s="87" t="s">
        <v>224</v>
      </c>
      <c r="I130" s="85" t="s">
        <v>23</v>
      </c>
      <c r="J130" s="86" t="s">
        <v>2057</v>
      </c>
      <c r="K130" s="86" t="s">
        <v>1171</v>
      </c>
      <c r="L130" t="e">
        <f>_xlfn.XLOOKUP(C130,'ΥΠΑΛΛΗΛΟΙ ΓΔΑΕΦΚ'!#REF!,'ΥΠΑΛΛΗΛΟΙ ΓΔΑΕΦΚ'!#REF!,"_")</f>
        <v>#REF!</v>
      </c>
    </row>
    <row r="131" spans="1:12" ht="24" x14ac:dyDescent="0.25">
      <c r="A131" s="79">
        <f>--SUBTOTAL(3,$B$2:B130)</f>
        <v>129</v>
      </c>
      <c r="B131" s="80" t="s">
        <v>1090</v>
      </c>
      <c r="C131" s="81" t="s">
        <v>2058</v>
      </c>
      <c r="D131" s="82" t="s">
        <v>1178</v>
      </c>
      <c r="E131" s="83" t="s">
        <v>2059</v>
      </c>
      <c r="F131" s="87" t="s">
        <v>2060</v>
      </c>
      <c r="G131" s="87" t="s">
        <v>2061</v>
      </c>
      <c r="H131" s="87" t="s">
        <v>43</v>
      </c>
      <c r="I131" s="85" t="s">
        <v>23</v>
      </c>
      <c r="J131" s="86" t="s">
        <v>16</v>
      </c>
      <c r="K131" s="86" t="s">
        <v>1180</v>
      </c>
      <c r="L131" t="e">
        <f>_xlfn.XLOOKUP(C131,'ΥΠΑΛΛΗΛΟΙ ΓΔΑΕΦΚ'!#REF!,'ΥΠΑΛΛΗΛΟΙ ΓΔΑΕΦΚ'!#REF!,"_")</f>
        <v>#REF!</v>
      </c>
    </row>
    <row r="132" spans="1:12" x14ac:dyDescent="0.25">
      <c r="A132" s="79">
        <f>--SUBTOTAL(3,$B$2:B131)</f>
        <v>130</v>
      </c>
      <c r="B132" s="80" t="s">
        <v>1090</v>
      </c>
      <c r="C132" s="81" t="s">
        <v>2062</v>
      </c>
      <c r="D132" s="82" t="s">
        <v>1181</v>
      </c>
      <c r="E132" s="83" t="s">
        <v>2063</v>
      </c>
      <c r="F132" s="87" t="s">
        <v>2064</v>
      </c>
      <c r="G132" s="87" t="s">
        <v>2065</v>
      </c>
      <c r="H132" s="87" t="s">
        <v>337</v>
      </c>
      <c r="I132" s="85" t="s">
        <v>23</v>
      </c>
      <c r="J132" s="86" t="s">
        <v>16</v>
      </c>
      <c r="K132" s="86" t="s">
        <v>1183</v>
      </c>
      <c r="L132" t="e">
        <f>_xlfn.XLOOKUP(C132,'ΥΠΑΛΛΗΛΟΙ ΓΔΑΕΦΚ'!#REF!,'ΥΠΑΛΛΗΛΟΙ ΓΔΑΕΦΚ'!#REF!,"_")</f>
        <v>#REF!</v>
      </c>
    </row>
    <row r="133" spans="1:12" ht="25.5" x14ac:dyDescent="0.25">
      <c r="A133" s="79">
        <f>--SUBTOTAL(3,$B$2:B132)</f>
        <v>131</v>
      </c>
      <c r="B133" s="80" t="s">
        <v>1090</v>
      </c>
      <c r="C133" s="81" t="s">
        <v>2066</v>
      </c>
      <c r="D133" s="82" t="s">
        <v>1184</v>
      </c>
      <c r="E133" s="83" t="s">
        <v>2067</v>
      </c>
      <c r="F133" s="87" t="s">
        <v>2068</v>
      </c>
      <c r="G133" s="87" t="s">
        <v>1185</v>
      </c>
      <c r="H133" s="87" t="s">
        <v>43</v>
      </c>
      <c r="I133" s="85" t="s">
        <v>23</v>
      </c>
      <c r="J133" s="86" t="s">
        <v>16</v>
      </c>
      <c r="K133" s="86" t="s">
        <v>1187</v>
      </c>
      <c r="L133" t="e">
        <f>_xlfn.XLOOKUP(C133,'ΥΠΑΛΛΗΛΟΙ ΓΔΑΕΦΚ'!#REF!,'ΥΠΑΛΛΗΛΟΙ ΓΔΑΕΦΚ'!#REF!,"_")</f>
        <v>#REF!</v>
      </c>
    </row>
    <row r="134" spans="1:12" x14ac:dyDescent="0.25">
      <c r="A134" s="79">
        <f>--SUBTOTAL(3,$B$2:B133)</f>
        <v>132</v>
      </c>
      <c r="B134" s="80" t="s">
        <v>593</v>
      </c>
      <c r="C134" s="81" t="s">
        <v>2069</v>
      </c>
      <c r="D134" s="82" t="s">
        <v>1253</v>
      </c>
      <c r="E134" s="83" t="s">
        <v>2070</v>
      </c>
      <c r="F134" s="87" t="s">
        <v>2071</v>
      </c>
      <c r="G134" s="87" t="s">
        <v>1255</v>
      </c>
      <c r="H134" s="87" t="s">
        <v>43</v>
      </c>
      <c r="I134" s="85" t="s">
        <v>23</v>
      </c>
      <c r="J134" s="86" t="s">
        <v>2072</v>
      </c>
      <c r="K134" s="86" t="s">
        <v>1257</v>
      </c>
      <c r="L134" t="e">
        <f>_xlfn.XLOOKUP(C134,'ΥΠΑΛΛΗΛΟΙ ΓΔΑΕΦΚ'!#REF!,'ΥΠΑΛΛΗΛΟΙ ΓΔΑΕΦΚ'!#REF!,"_")</f>
        <v>#REF!</v>
      </c>
    </row>
    <row r="135" spans="1:12" x14ac:dyDescent="0.25">
      <c r="A135" s="79">
        <f>--SUBTOTAL(3,$B$2:B134)</f>
        <v>133</v>
      </c>
      <c r="B135" s="80" t="s">
        <v>593</v>
      </c>
      <c r="C135" s="81" t="s">
        <v>2073</v>
      </c>
      <c r="D135" s="82" t="s">
        <v>2074</v>
      </c>
      <c r="E135" s="83" t="s">
        <v>2075</v>
      </c>
      <c r="F135" s="87" t="s">
        <v>2076</v>
      </c>
      <c r="G135" s="87" t="s">
        <v>2077</v>
      </c>
      <c r="H135" s="87" t="s">
        <v>31</v>
      </c>
      <c r="I135" s="85" t="s">
        <v>23</v>
      </c>
      <c r="J135" s="86" t="s">
        <v>16</v>
      </c>
      <c r="K135" s="86" t="s">
        <v>2078</v>
      </c>
      <c r="L135" t="e">
        <f>_xlfn.XLOOKUP(C135,'ΥΠΑΛΛΗΛΟΙ ΓΔΑΕΦΚ'!#REF!,'ΥΠΑΛΛΗΛΟΙ ΓΔΑΕΦΚ'!#REF!,"_")</f>
        <v>#REF!</v>
      </c>
    </row>
    <row r="136" spans="1:12" x14ac:dyDescent="0.25">
      <c r="A136" s="79">
        <f>--SUBTOTAL(3,$B$2:B135)</f>
        <v>134</v>
      </c>
      <c r="B136" s="80" t="s">
        <v>593</v>
      </c>
      <c r="C136" s="81" t="s">
        <v>2079</v>
      </c>
      <c r="D136" s="82" t="s">
        <v>2080</v>
      </c>
      <c r="E136" s="83" t="s">
        <v>2081</v>
      </c>
      <c r="F136" s="87" t="s">
        <v>2082</v>
      </c>
      <c r="G136" s="87" t="s">
        <v>2083</v>
      </c>
      <c r="H136" s="87" t="s">
        <v>31</v>
      </c>
      <c r="I136" s="85" t="s">
        <v>23</v>
      </c>
      <c r="J136" s="86" t="s">
        <v>2084</v>
      </c>
      <c r="K136" s="86" t="s">
        <v>16</v>
      </c>
      <c r="L136" t="e">
        <f>_xlfn.XLOOKUP(C136,'ΥΠΑΛΛΗΛΟΙ ΓΔΑΕΦΚ'!#REF!,'ΥΠΑΛΛΗΛΟΙ ΓΔΑΕΦΚ'!#REF!,"_")</f>
        <v>#REF!</v>
      </c>
    </row>
    <row r="137" spans="1:12" x14ac:dyDescent="0.25">
      <c r="A137" s="79">
        <f>--SUBTOTAL(3,$B$2:B136)</f>
        <v>135</v>
      </c>
      <c r="B137" s="80" t="s">
        <v>593</v>
      </c>
      <c r="C137" s="81" t="s">
        <v>2085</v>
      </c>
      <c r="D137" s="82" t="s">
        <v>2086</v>
      </c>
      <c r="E137" s="83" t="s">
        <v>2087</v>
      </c>
      <c r="F137" s="87" t="s">
        <v>2088</v>
      </c>
      <c r="G137" s="87" t="s">
        <v>2089</v>
      </c>
      <c r="H137" s="87" t="s">
        <v>31</v>
      </c>
      <c r="I137" s="85" t="s">
        <v>23</v>
      </c>
      <c r="J137" s="86" t="s">
        <v>2090</v>
      </c>
      <c r="K137" s="86" t="s">
        <v>2091</v>
      </c>
      <c r="L137" t="e">
        <f>_xlfn.XLOOKUP(C137,'ΥΠΑΛΛΗΛΟΙ ΓΔΑΕΦΚ'!#REF!,'ΥΠΑΛΛΗΛΟΙ ΓΔΑΕΦΚ'!#REF!,"_")</f>
        <v>#REF!</v>
      </c>
    </row>
    <row r="138" spans="1:12" x14ac:dyDescent="0.25">
      <c r="A138" s="79">
        <f>--SUBTOTAL(3,$B$2:B137)</f>
        <v>136</v>
      </c>
      <c r="B138" s="80" t="s">
        <v>593</v>
      </c>
      <c r="C138" s="81" t="s">
        <v>2092</v>
      </c>
      <c r="D138" s="82" t="s">
        <v>2093</v>
      </c>
      <c r="E138" s="83" t="s">
        <v>2094</v>
      </c>
      <c r="F138" s="87" t="s">
        <v>2095</v>
      </c>
      <c r="G138" s="87" t="s">
        <v>2096</v>
      </c>
      <c r="H138" s="87" t="s">
        <v>31</v>
      </c>
      <c r="I138" s="85" t="s">
        <v>23</v>
      </c>
      <c r="J138" s="86" t="s">
        <v>2097</v>
      </c>
      <c r="K138" s="86" t="s">
        <v>2098</v>
      </c>
      <c r="L138" t="e">
        <f>_xlfn.XLOOKUP(C138,'ΥΠΑΛΛΗΛΟΙ ΓΔΑΕΦΚ'!#REF!,'ΥΠΑΛΛΗΛΟΙ ΓΔΑΕΦΚ'!#REF!,"_")</f>
        <v>#REF!</v>
      </c>
    </row>
    <row r="139" spans="1:12" x14ac:dyDescent="0.25">
      <c r="A139" s="79">
        <f>--SUBTOTAL(3,$B$2:B138)</f>
        <v>137</v>
      </c>
      <c r="B139" s="80" t="s">
        <v>593</v>
      </c>
      <c r="C139" s="81" t="s">
        <v>2099</v>
      </c>
      <c r="D139" s="82" t="s">
        <v>1367</v>
      </c>
      <c r="E139" s="83" t="s">
        <v>2100</v>
      </c>
      <c r="F139" s="87" t="s">
        <v>2101</v>
      </c>
      <c r="G139" s="87" t="s">
        <v>1368</v>
      </c>
      <c r="H139" s="87" t="s">
        <v>43</v>
      </c>
      <c r="I139" s="85" t="s">
        <v>23</v>
      </c>
      <c r="J139" s="86" t="s">
        <v>2102</v>
      </c>
      <c r="K139" s="86" t="s">
        <v>1370</v>
      </c>
      <c r="L139" t="e">
        <f>_xlfn.XLOOKUP(C139,'ΥΠΑΛΛΗΛΟΙ ΓΔΑΕΦΚ'!#REF!,'ΥΠΑΛΛΗΛΟΙ ΓΔΑΕΦΚ'!#REF!,"_")</f>
        <v>#REF!</v>
      </c>
    </row>
    <row r="140" spans="1:12" x14ac:dyDescent="0.25">
      <c r="A140" s="79">
        <f>--SUBTOTAL(3,$B$2:B139)</f>
        <v>138</v>
      </c>
      <c r="B140" s="80" t="s">
        <v>593</v>
      </c>
      <c r="C140" s="81" t="s">
        <v>2103</v>
      </c>
      <c r="D140" s="82" t="s">
        <v>607</v>
      </c>
      <c r="E140" s="83" t="s">
        <v>2104</v>
      </c>
      <c r="F140" s="87" t="s">
        <v>2105</v>
      </c>
      <c r="G140" s="87" t="s">
        <v>2106</v>
      </c>
      <c r="H140" s="87" t="s">
        <v>43</v>
      </c>
      <c r="I140" s="85" t="s">
        <v>23</v>
      </c>
      <c r="J140" s="86" t="s">
        <v>2107</v>
      </c>
      <c r="K140" s="86" t="s">
        <v>609</v>
      </c>
      <c r="L140" t="e">
        <f>_xlfn.XLOOKUP(C140,'ΥΠΑΛΛΗΛΟΙ ΓΔΑΕΦΚ'!#REF!,'ΥΠΑΛΛΗΛΟΙ ΓΔΑΕΦΚ'!#REF!,"_")</f>
        <v>#REF!</v>
      </c>
    </row>
    <row r="141" spans="1:12" x14ac:dyDescent="0.25">
      <c r="A141" s="79">
        <f>--SUBTOTAL(3,$B$2:B140)</f>
        <v>139</v>
      </c>
      <c r="B141" s="80" t="s">
        <v>2108</v>
      </c>
      <c r="C141" s="81" t="s">
        <v>2109</v>
      </c>
      <c r="D141" s="82" t="s">
        <v>669</v>
      </c>
      <c r="E141" s="83" t="s">
        <v>2110</v>
      </c>
      <c r="F141" s="87" t="s">
        <v>2111</v>
      </c>
      <c r="G141" s="89" t="s">
        <v>671</v>
      </c>
      <c r="H141" s="89" t="s">
        <v>43</v>
      </c>
      <c r="I141" s="85" t="s">
        <v>23</v>
      </c>
      <c r="J141" s="86" t="s">
        <v>2112</v>
      </c>
      <c r="K141" s="86" t="s">
        <v>673</v>
      </c>
      <c r="L141" t="e">
        <f>_xlfn.XLOOKUP(C141,'ΥΠΑΛΛΗΛΟΙ ΓΔΑΕΦΚ'!#REF!,'ΥΠΑΛΛΗΛΟΙ ΓΔΑΕΦΚ'!#REF!,"_")</f>
        <v>#REF!</v>
      </c>
    </row>
    <row r="142" spans="1:12" x14ac:dyDescent="0.25">
      <c r="A142" s="79">
        <f>--SUBTOTAL(3,$B$2:B141)</f>
        <v>140</v>
      </c>
      <c r="B142" s="80" t="s">
        <v>2108</v>
      </c>
      <c r="C142" s="81" t="s">
        <v>2113</v>
      </c>
      <c r="D142" s="82" t="s">
        <v>2114</v>
      </c>
      <c r="E142" s="83" t="s">
        <v>2115</v>
      </c>
      <c r="F142" s="87" t="s">
        <v>2116</v>
      </c>
      <c r="G142" s="87" t="s">
        <v>2117</v>
      </c>
      <c r="H142" s="87" t="s">
        <v>2118</v>
      </c>
      <c r="I142" s="85" t="s">
        <v>23</v>
      </c>
      <c r="J142" s="86" t="s">
        <v>2119</v>
      </c>
      <c r="K142" s="86" t="s">
        <v>2120</v>
      </c>
      <c r="L142" t="e">
        <f>_xlfn.XLOOKUP(C142,'ΥΠΑΛΛΗΛΟΙ ΓΔΑΕΦΚ'!#REF!,'ΥΠΑΛΛΗΛΟΙ ΓΔΑΕΦΚ'!#REF!,"_")</f>
        <v>#REF!</v>
      </c>
    </row>
    <row r="143" spans="1:12" x14ac:dyDescent="0.25">
      <c r="A143" s="79">
        <f>--SUBTOTAL(3,$B$2:B142)</f>
        <v>141</v>
      </c>
      <c r="B143" s="80" t="s">
        <v>2121</v>
      </c>
      <c r="C143" s="81" t="s">
        <v>2122</v>
      </c>
      <c r="D143" s="82" t="s">
        <v>2123</v>
      </c>
      <c r="E143" s="83" t="s">
        <v>2124</v>
      </c>
      <c r="F143" s="87" t="s">
        <v>2125</v>
      </c>
      <c r="G143" s="87" t="s">
        <v>2126</v>
      </c>
      <c r="H143" s="87" t="s">
        <v>31</v>
      </c>
      <c r="I143" s="85" t="s">
        <v>23</v>
      </c>
      <c r="J143" s="86" t="s">
        <v>2127</v>
      </c>
      <c r="K143" s="86" t="s">
        <v>2128</v>
      </c>
      <c r="L143" t="e">
        <f>_xlfn.XLOOKUP(C143,'ΥΠΑΛΛΗΛΟΙ ΓΔΑΕΦΚ'!#REF!,'ΥΠΑΛΛΗΛΟΙ ΓΔΑΕΦΚ'!#REF!,"_")</f>
        <v>#REF!</v>
      </c>
    </row>
    <row r="144" spans="1:12" x14ac:dyDescent="0.25">
      <c r="A144" s="79">
        <f>--SUBTOTAL(3,$B$2:B143)</f>
        <v>142</v>
      </c>
      <c r="B144" s="80" t="s">
        <v>2121</v>
      </c>
      <c r="C144" s="81" t="s">
        <v>2129</v>
      </c>
      <c r="D144" s="82" t="s">
        <v>2130</v>
      </c>
      <c r="E144" s="83" t="s">
        <v>2131</v>
      </c>
      <c r="F144" s="87" t="s">
        <v>2132</v>
      </c>
      <c r="G144" s="87" t="s">
        <v>2133</v>
      </c>
      <c r="H144" s="87" t="s">
        <v>482</v>
      </c>
      <c r="I144" s="85" t="s">
        <v>23</v>
      </c>
      <c r="J144" s="86" t="s">
        <v>2134</v>
      </c>
      <c r="K144" s="86" t="s">
        <v>16</v>
      </c>
      <c r="L144" t="e">
        <f>_xlfn.XLOOKUP(C144,'ΥΠΑΛΛΗΛΟΙ ΓΔΑΕΦΚ'!#REF!,'ΥΠΑΛΛΗΛΟΙ ΓΔΑΕΦΚ'!#REF!,"_")</f>
        <v>#REF!</v>
      </c>
    </row>
    <row r="145" spans="1:12" x14ac:dyDescent="0.25">
      <c r="A145" s="79">
        <f>--SUBTOTAL(3,$B$2:B144)</f>
        <v>143</v>
      </c>
      <c r="B145" s="80" t="s">
        <v>2121</v>
      </c>
      <c r="C145" s="81" t="s">
        <v>2135</v>
      </c>
      <c r="D145" s="82" t="s">
        <v>981</v>
      </c>
      <c r="E145" s="83" t="s">
        <v>2136</v>
      </c>
      <c r="F145" s="87" t="s">
        <v>2137</v>
      </c>
      <c r="G145" s="87" t="s">
        <v>983</v>
      </c>
      <c r="H145" s="87" t="s">
        <v>43</v>
      </c>
      <c r="I145" s="85" t="s">
        <v>23</v>
      </c>
      <c r="J145" s="86" t="s">
        <v>2138</v>
      </c>
      <c r="K145" s="86" t="s">
        <v>984</v>
      </c>
      <c r="L145" t="e">
        <f>_xlfn.XLOOKUP(C145,'ΥΠΑΛΛΗΛΟΙ ΓΔΑΕΦΚ'!#REF!,'ΥΠΑΛΛΗΛΟΙ ΓΔΑΕΦΚ'!#REF!,"_")</f>
        <v>#REF!</v>
      </c>
    </row>
    <row r="146" spans="1:12" x14ac:dyDescent="0.25">
      <c r="A146" s="79">
        <f>--SUBTOTAL(3,$B$2:B145)</f>
        <v>144</v>
      </c>
      <c r="B146" s="80" t="s">
        <v>2121</v>
      </c>
      <c r="C146" s="81" t="s">
        <v>2139</v>
      </c>
      <c r="D146" s="82" t="s">
        <v>2140</v>
      </c>
      <c r="E146" s="83" t="s">
        <v>2141</v>
      </c>
      <c r="F146" s="87" t="s">
        <v>2142</v>
      </c>
      <c r="G146" s="87" t="s">
        <v>2143</v>
      </c>
      <c r="H146" s="87" t="s">
        <v>453</v>
      </c>
      <c r="I146" s="85" t="s">
        <v>23</v>
      </c>
      <c r="J146" s="86" t="s">
        <v>16</v>
      </c>
      <c r="K146" s="86" t="s">
        <v>2144</v>
      </c>
      <c r="L146" t="e">
        <f>_xlfn.XLOOKUP(C146,'ΥΠΑΛΛΗΛΟΙ ΓΔΑΕΦΚ'!#REF!,'ΥΠΑΛΛΗΛΟΙ ΓΔΑΕΦΚ'!#REF!,"_")</f>
        <v>#REF!</v>
      </c>
    </row>
    <row r="147" spans="1:12" x14ac:dyDescent="0.25">
      <c r="A147" s="79">
        <f>--SUBTOTAL(3,$B$2:B146)</f>
        <v>145</v>
      </c>
      <c r="B147" s="80" t="s">
        <v>2121</v>
      </c>
      <c r="C147" s="81" t="s">
        <v>2145</v>
      </c>
      <c r="D147" s="82" t="s">
        <v>2146</v>
      </c>
      <c r="E147" s="83" t="s">
        <v>2147</v>
      </c>
      <c r="F147" s="87" t="s">
        <v>2148</v>
      </c>
      <c r="G147" s="87" t="s">
        <v>2149</v>
      </c>
      <c r="H147" s="87" t="s">
        <v>1007</v>
      </c>
      <c r="I147" s="85" t="s">
        <v>23</v>
      </c>
      <c r="J147" s="86" t="s">
        <v>2150</v>
      </c>
      <c r="K147" s="86" t="s">
        <v>2151</v>
      </c>
      <c r="L147" t="e">
        <f>_xlfn.XLOOKUP(C147,'ΥΠΑΛΛΗΛΟΙ ΓΔΑΕΦΚ'!#REF!,'ΥΠΑΛΛΗΛΟΙ ΓΔΑΕΦΚ'!#REF!,"_")</f>
        <v>#REF!</v>
      </c>
    </row>
    <row r="148" spans="1:12" x14ac:dyDescent="0.25">
      <c r="A148" s="79">
        <f>--SUBTOTAL(3,$B$2:B147)</f>
        <v>146</v>
      </c>
      <c r="B148" s="80" t="s">
        <v>2121</v>
      </c>
      <c r="C148" s="81" t="s">
        <v>2152</v>
      </c>
      <c r="D148" s="82" t="s">
        <v>2153</v>
      </c>
      <c r="E148" s="83" t="s">
        <v>2154</v>
      </c>
      <c r="F148" s="87" t="s">
        <v>2155</v>
      </c>
      <c r="G148" s="87" t="s">
        <v>2156</v>
      </c>
      <c r="H148" s="87" t="s">
        <v>1007</v>
      </c>
      <c r="I148" s="85" t="s">
        <v>23</v>
      </c>
      <c r="J148" s="86" t="s">
        <v>2157</v>
      </c>
      <c r="K148" s="86" t="s">
        <v>2158</v>
      </c>
      <c r="L148" t="e">
        <f>_xlfn.XLOOKUP(C148,'ΥΠΑΛΛΗΛΟΙ ΓΔΑΕΦΚ'!#REF!,'ΥΠΑΛΛΗΛΟΙ ΓΔΑΕΦΚ'!#REF!,"_")</f>
        <v>#REF!</v>
      </c>
    </row>
    <row r="149" spans="1:12" x14ac:dyDescent="0.25">
      <c r="A149" s="79">
        <f>--SUBTOTAL(3,$B$2:B148)</f>
        <v>147</v>
      </c>
      <c r="B149" s="80" t="s">
        <v>2121</v>
      </c>
      <c r="C149" s="81" t="s">
        <v>2159</v>
      </c>
      <c r="D149" s="82" t="s">
        <v>2160</v>
      </c>
      <c r="E149" s="83" t="s">
        <v>2161</v>
      </c>
      <c r="F149" s="87" t="s">
        <v>2162</v>
      </c>
      <c r="G149" s="87" t="s">
        <v>2163</v>
      </c>
      <c r="H149" s="87" t="s">
        <v>31</v>
      </c>
      <c r="I149" s="85" t="s">
        <v>23</v>
      </c>
      <c r="J149" s="86" t="s">
        <v>2164</v>
      </c>
      <c r="K149" s="86" t="s">
        <v>2165</v>
      </c>
      <c r="L149" t="e">
        <f>_xlfn.XLOOKUP(C149,'ΥΠΑΛΛΗΛΟΙ ΓΔΑΕΦΚ'!#REF!,'ΥΠΑΛΛΗΛΟΙ ΓΔΑΕΦΚ'!#REF!,"_")</f>
        <v>#REF!</v>
      </c>
    </row>
    <row r="150" spans="1:12" x14ac:dyDescent="0.25">
      <c r="A150" s="79">
        <f>--SUBTOTAL(3,$B$2:B149)</f>
        <v>148</v>
      </c>
      <c r="B150" s="80" t="s">
        <v>2166</v>
      </c>
      <c r="C150" s="81" t="s">
        <v>2167</v>
      </c>
      <c r="D150" s="82" t="s">
        <v>2168</v>
      </c>
      <c r="E150" s="83" t="s">
        <v>2169</v>
      </c>
      <c r="F150" s="87" t="s">
        <v>2170</v>
      </c>
      <c r="G150" s="87" t="s">
        <v>2171</v>
      </c>
      <c r="H150" s="87" t="s">
        <v>31</v>
      </c>
      <c r="I150" s="85" t="s">
        <v>23</v>
      </c>
      <c r="J150" s="86" t="s">
        <v>2172</v>
      </c>
      <c r="K150" s="86" t="s">
        <v>16</v>
      </c>
      <c r="L150" t="e">
        <f>_xlfn.XLOOKUP(C150,'ΥΠΑΛΛΗΛΟΙ ΓΔΑΕΦΚ'!#REF!,'ΥΠΑΛΛΗΛΟΙ ΓΔΑΕΦΚ'!#REF!,"_")</f>
        <v>#REF!</v>
      </c>
    </row>
    <row r="151" spans="1:12" x14ac:dyDescent="0.25">
      <c r="A151" s="79">
        <f>--SUBTOTAL(3,$B$2:B150)</f>
        <v>149</v>
      </c>
      <c r="B151" s="80" t="s">
        <v>2173</v>
      </c>
      <c r="C151" s="81" t="s">
        <v>2174</v>
      </c>
      <c r="D151" s="82" t="s">
        <v>618</v>
      </c>
      <c r="E151" s="83" t="s">
        <v>2175</v>
      </c>
      <c r="F151" s="87" t="s">
        <v>2176</v>
      </c>
      <c r="G151" s="87" t="s">
        <v>2177</v>
      </c>
      <c r="H151" s="87" t="s">
        <v>43</v>
      </c>
      <c r="I151" s="85" t="s">
        <v>23</v>
      </c>
      <c r="J151" s="86" t="s">
        <v>2178</v>
      </c>
      <c r="K151" s="86" t="s">
        <v>621</v>
      </c>
      <c r="L151" t="e">
        <f>_xlfn.XLOOKUP(C151,'ΥΠΑΛΛΗΛΟΙ ΓΔΑΕΦΚ'!#REF!,'ΥΠΑΛΛΗΛΟΙ ΓΔΑΕΦΚ'!#REF!,"_")</f>
        <v>#REF!</v>
      </c>
    </row>
    <row r="152" spans="1:12" x14ac:dyDescent="0.25">
      <c r="A152" s="79">
        <f>--SUBTOTAL(3,$B$2:B151)</f>
        <v>150</v>
      </c>
      <c r="B152" s="80" t="s">
        <v>2173</v>
      </c>
      <c r="C152" s="81" t="s">
        <v>2179</v>
      </c>
      <c r="D152" s="82" t="s">
        <v>630</v>
      </c>
      <c r="E152" s="83" t="s">
        <v>2180</v>
      </c>
      <c r="F152" s="87" t="s">
        <v>2181</v>
      </c>
      <c r="G152" s="87" t="s">
        <v>631</v>
      </c>
      <c r="H152" s="87" t="s">
        <v>43</v>
      </c>
      <c r="I152" s="85" t="s">
        <v>23</v>
      </c>
      <c r="J152" s="86" t="s">
        <v>2182</v>
      </c>
      <c r="K152" s="86" t="s">
        <v>633</v>
      </c>
      <c r="L152" t="e">
        <f>_xlfn.XLOOKUP(C152,'ΥΠΑΛΛΗΛΟΙ ΓΔΑΕΦΚ'!#REF!,'ΥΠΑΛΛΗΛΟΙ ΓΔΑΕΦΚ'!#REF!,"_")</f>
        <v>#REF!</v>
      </c>
    </row>
    <row r="153" spans="1:12" x14ac:dyDescent="0.25">
      <c r="A153" s="79">
        <f>--SUBTOTAL(3,$B$2:B152)</f>
        <v>151</v>
      </c>
      <c r="B153" s="80" t="s">
        <v>2173</v>
      </c>
      <c r="C153" s="81" t="s">
        <v>2183</v>
      </c>
      <c r="D153" s="82" t="s">
        <v>642</v>
      </c>
      <c r="E153" s="83" t="s">
        <v>2184</v>
      </c>
      <c r="F153" s="87" t="s">
        <v>2185</v>
      </c>
      <c r="G153" s="87" t="s">
        <v>2186</v>
      </c>
      <c r="H153" s="87" t="s">
        <v>43</v>
      </c>
      <c r="I153" s="85" t="s">
        <v>23</v>
      </c>
      <c r="J153" s="86" t="s">
        <v>2187</v>
      </c>
      <c r="K153" s="86" t="s">
        <v>645</v>
      </c>
      <c r="L153" t="e">
        <f>_xlfn.XLOOKUP(C153,'ΥΠΑΛΛΗΛΟΙ ΓΔΑΕΦΚ'!#REF!,'ΥΠΑΛΛΗΛΟΙ ΓΔΑΕΦΚ'!#REF!,"_")</f>
        <v>#REF!</v>
      </c>
    </row>
    <row r="154" spans="1:12" x14ac:dyDescent="0.25">
      <c r="A154" s="79">
        <f>--SUBTOTAL(3,$B$2:B153)</f>
        <v>152</v>
      </c>
      <c r="B154" s="80" t="s">
        <v>2173</v>
      </c>
      <c r="C154" s="81" t="s">
        <v>2188</v>
      </c>
      <c r="D154" s="82" t="s">
        <v>647</v>
      </c>
      <c r="E154" s="83" t="s">
        <v>2189</v>
      </c>
      <c r="F154" s="87" t="s">
        <v>2190</v>
      </c>
      <c r="G154" s="87" t="s">
        <v>2191</v>
      </c>
      <c r="H154" s="87" t="s">
        <v>43</v>
      </c>
      <c r="I154" s="85" t="s">
        <v>23</v>
      </c>
      <c r="J154" s="86" t="s">
        <v>2192</v>
      </c>
      <c r="K154" s="86" t="s">
        <v>649</v>
      </c>
      <c r="L154" t="e">
        <f>_xlfn.XLOOKUP(C154,'ΥΠΑΛΛΗΛΟΙ ΓΔΑΕΦΚ'!#REF!,'ΥΠΑΛΛΗΛΟΙ ΓΔΑΕΦΚ'!#REF!,"_")</f>
        <v>#REF!</v>
      </c>
    </row>
    <row r="155" spans="1:12" x14ac:dyDescent="0.25">
      <c r="A155" s="79">
        <f>--SUBTOTAL(3,$B$2:B154)</f>
        <v>153</v>
      </c>
      <c r="B155" s="80" t="s">
        <v>2173</v>
      </c>
      <c r="C155" s="81" t="s">
        <v>2193</v>
      </c>
      <c r="D155" s="82" t="s">
        <v>2194</v>
      </c>
      <c r="E155" s="83" t="s">
        <v>2195</v>
      </c>
      <c r="F155" s="87" t="s">
        <v>2196</v>
      </c>
      <c r="G155" s="87" t="s">
        <v>2197</v>
      </c>
      <c r="H155" s="87" t="s">
        <v>31</v>
      </c>
      <c r="I155" s="85" t="s">
        <v>23</v>
      </c>
      <c r="J155" s="86" t="s">
        <v>2198</v>
      </c>
      <c r="K155" s="86" t="s">
        <v>16</v>
      </c>
      <c r="L155" t="e">
        <f>_xlfn.XLOOKUP(C155,'ΥΠΑΛΛΗΛΟΙ ΓΔΑΕΦΚ'!#REF!,'ΥΠΑΛΛΗΛΟΙ ΓΔΑΕΦΚ'!#REF!,"_")</f>
        <v>#REF!</v>
      </c>
    </row>
    <row r="156" spans="1:12" x14ac:dyDescent="0.25">
      <c r="A156" s="79">
        <f>--SUBTOTAL(3,$B$2:B155)</f>
        <v>154</v>
      </c>
      <c r="B156" s="80" t="s">
        <v>2173</v>
      </c>
      <c r="C156" s="81" t="s">
        <v>2199</v>
      </c>
      <c r="D156" s="82" t="s">
        <v>663</v>
      </c>
      <c r="E156" s="83" t="s">
        <v>2200</v>
      </c>
      <c r="F156" s="87" t="s">
        <v>2201</v>
      </c>
      <c r="G156" s="87" t="s">
        <v>665</v>
      </c>
      <c r="H156" s="87" t="s">
        <v>224</v>
      </c>
      <c r="I156" s="85" t="s">
        <v>23</v>
      </c>
      <c r="J156" s="86" t="s">
        <v>2202</v>
      </c>
      <c r="K156" s="86" t="s">
        <v>667</v>
      </c>
      <c r="L156" t="e">
        <f>_xlfn.XLOOKUP(C156,'ΥΠΑΛΛΗΛΟΙ ΓΔΑΕΦΚ'!#REF!,'ΥΠΑΛΛΗΛΟΙ ΓΔΑΕΦΚ'!#REF!,"_")</f>
        <v>#REF!</v>
      </c>
    </row>
    <row r="157" spans="1:12" x14ac:dyDescent="0.25">
      <c r="A157" s="79">
        <f>--SUBTOTAL(3,$B$2:B156)</f>
        <v>155</v>
      </c>
      <c r="B157" s="80" t="s">
        <v>2173</v>
      </c>
      <c r="C157" s="81" t="s">
        <v>2203</v>
      </c>
      <c r="D157" s="82" t="s">
        <v>680</v>
      </c>
      <c r="E157" s="83" t="s">
        <v>2204</v>
      </c>
      <c r="F157" s="87" t="s">
        <v>2205</v>
      </c>
      <c r="G157" s="87" t="s">
        <v>2206</v>
      </c>
      <c r="H157" s="87" t="s">
        <v>43</v>
      </c>
      <c r="I157" s="85" t="s">
        <v>23</v>
      </c>
      <c r="J157" s="86" t="s">
        <v>2207</v>
      </c>
      <c r="K157" s="86" t="s">
        <v>683</v>
      </c>
      <c r="L157" t="e">
        <f>_xlfn.XLOOKUP(C157,'ΥΠΑΛΛΗΛΟΙ ΓΔΑΕΦΚ'!#REF!,'ΥΠΑΛΛΗΛΟΙ ΓΔΑΕΦΚ'!#REF!,"_")</f>
        <v>#REF!</v>
      </c>
    </row>
    <row r="158" spans="1:12" x14ac:dyDescent="0.25">
      <c r="A158" s="79">
        <f>--SUBTOTAL(3,$B$2:B157)</f>
        <v>156</v>
      </c>
      <c r="B158" s="80" t="s">
        <v>2173</v>
      </c>
      <c r="C158" s="81" t="s">
        <v>2208</v>
      </c>
      <c r="D158" s="82" t="s">
        <v>684</v>
      </c>
      <c r="E158" s="83" t="s">
        <v>2209</v>
      </c>
      <c r="F158" s="87" t="s">
        <v>2210</v>
      </c>
      <c r="G158" s="87" t="s">
        <v>685</v>
      </c>
      <c r="H158" s="87" t="s">
        <v>43</v>
      </c>
      <c r="I158" s="85" t="s">
        <v>23</v>
      </c>
      <c r="J158" s="86" t="s">
        <v>2211</v>
      </c>
      <c r="K158" s="86" t="s">
        <v>686</v>
      </c>
      <c r="L158" t="e">
        <f>_xlfn.XLOOKUP(C158,'ΥΠΑΛΛΗΛΟΙ ΓΔΑΕΦΚ'!#REF!,'ΥΠΑΛΛΗΛΟΙ ΓΔΑΕΦΚ'!#REF!,"_")</f>
        <v>#REF!</v>
      </c>
    </row>
    <row r="159" spans="1:12" ht="24" x14ac:dyDescent="0.25">
      <c r="A159" s="79">
        <f>--SUBTOTAL(3,$B$2:B158)</f>
        <v>157</v>
      </c>
      <c r="B159" s="80" t="s">
        <v>2173</v>
      </c>
      <c r="C159" s="81" t="s">
        <v>2212</v>
      </c>
      <c r="D159" s="82" t="s">
        <v>709</v>
      </c>
      <c r="E159" s="83" t="s">
        <v>2213</v>
      </c>
      <c r="F159" s="87" t="s">
        <v>2214</v>
      </c>
      <c r="G159" s="87" t="s">
        <v>710</v>
      </c>
      <c r="H159" s="87" t="s">
        <v>1007</v>
      </c>
      <c r="I159" s="85" t="s">
        <v>23</v>
      </c>
      <c r="J159" s="86" t="s">
        <v>2215</v>
      </c>
      <c r="K159" s="86" t="s">
        <v>711</v>
      </c>
      <c r="L159" t="e">
        <f>_xlfn.XLOOKUP(C159,'ΥΠΑΛΛΗΛΟΙ ΓΔΑΕΦΚ'!#REF!,'ΥΠΑΛΛΗΛΟΙ ΓΔΑΕΦΚ'!#REF!,"_")</f>
        <v>#REF!</v>
      </c>
    </row>
    <row r="160" spans="1:12" x14ac:dyDescent="0.25">
      <c r="A160" s="79">
        <f>--SUBTOTAL(3,$B$2:B159)</f>
        <v>158</v>
      </c>
      <c r="B160" s="80" t="s">
        <v>2173</v>
      </c>
      <c r="C160" s="81" t="s">
        <v>2216</v>
      </c>
      <c r="D160" s="82" t="s">
        <v>2217</v>
      </c>
      <c r="E160" s="83" t="s">
        <v>2218</v>
      </c>
      <c r="F160" s="87" t="s">
        <v>2219</v>
      </c>
      <c r="G160" s="87" t="s">
        <v>2220</v>
      </c>
      <c r="H160" s="87" t="s">
        <v>31</v>
      </c>
      <c r="I160" s="85" t="s">
        <v>23</v>
      </c>
      <c r="J160" s="86" t="s">
        <v>2221</v>
      </c>
      <c r="K160" s="86" t="s">
        <v>2222</v>
      </c>
      <c r="L160" t="e">
        <f>_xlfn.XLOOKUP(C160,'ΥΠΑΛΛΗΛΟΙ ΓΔΑΕΦΚ'!#REF!,'ΥΠΑΛΛΗΛΟΙ ΓΔΑΕΦΚ'!#REF!,"_")</f>
        <v>#REF!</v>
      </c>
    </row>
    <row r="161" spans="1:12" x14ac:dyDescent="0.25">
      <c r="A161" s="79">
        <f>--SUBTOTAL(3,$B$2:B160)</f>
        <v>159</v>
      </c>
      <c r="B161" s="80" t="s">
        <v>2173</v>
      </c>
      <c r="C161" s="81" t="s">
        <v>2223</v>
      </c>
      <c r="D161" s="82" t="s">
        <v>2224</v>
      </c>
      <c r="E161" s="83" t="s">
        <v>2225</v>
      </c>
      <c r="F161" s="87" t="s">
        <v>2226</v>
      </c>
      <c r="G161" s="87" t="s">
        <v>2227</v>
      </c>
      <c r="H161" s="87" t="s">
        <v>31</v>
      </c>
      <c r="I161" s="85" t="s">
        <v>23</v>
      </c>
      <c r="J161" s="86" t="s">
        <v>2228</v>
      </c>
      <c r="K161" s="86" t="s">
        <v>2229</v>
      </c>
      <c r="L161" t="e">
        <f>_xlfn.XLOOKUP(C161,'ΥΠΑΛΛΗΛΟΙ ΓΔΑΕΦΚ'!#REF!,'ΥΠΑΛΛΗΛΟΙ ΓΔΑΕΦΚ'!#REF!,"_")</f>
        <v>#REF!</v>
      </c>
    </row>
    <row r="162" spans="1:12" x14ac:dyDescent="0.25">
      <c r="A162" s="79">
        <f>--SUBTOTAL(3,$B$2:B161)</f>
        <v>160</v>
      </c>
      <c r="B162" s="80" t="s">
        <v>2173</v>
      </c>
      <c r="C162" s="81" t="s">
        <v>2230</v>
      </c>
      <c r="D162" s="82" t="s">
        <v>718</v>
      </c>
      <c r="E162" s="83" t="s">
        <v>2231</v>
      </c>
      <c r="F162" s="87" t="s">
        <v>2232</v>
      </c>
      <c r="G162" s="87" t="s">
        <v>719</v>
      </c>
      <c r="H162" s="87" t="s">
        <v>43</v>
      </c>
      <c r="I162" s="85" t="s">
        <v>23</v>
      </c>
      <c r="J162" s="86" t="s">
        <v>2233</v>
      </c>
      <c r="K162" s="86" t="s">
        <v>16</v>
      </c>
      <c r="L162" t="e">
        <f>_xlfn.XLOOKUP(C162,'ΥΠΑΛΛΗΛΟΙ ΓΔΑΕΦΚ'!#REF!,'ΥΠΑΛΛΗΛΟΙ ΓΔΑΕΦΚ'!#REF!,"_")</f>
        <v>#REF!</v>
      </c>
    </row>
    <row r="163" spans="1:12" x14ac:dyDescent="0.25">
      <c r="A163" s="79">
        <f>--SUBTOTAL(3,$B$2:B162)</f>
        <v>161</v>
      </c>
      <c r="B163" s="80" t="s">
        <v>2173</v>
      </c>
      <c r="C163" s="81" t="s">
        <v>2234</v>
      </c>
      <c r="D163" s="82" t="s">
        <v>721</v>
      </c>
      <c r="E163" s="83" t="s">
        <v>2235</v>
      </c>
      <c r="F163" s="87" t="s">
        <v>2236</v>
      </c>
      <c r="G163" s="87" t="s">
        <v>722</v>
      </c>
      <c r="H163" s="87" t="s">
        <v>43</v>
      </c>
      <c r="I163" s="85" t="s">
        <v>23</v>
      </c>
      <c r="J163" s="86" t="s">
        <v>2237</v>
      </c>
      <c r="K163" s="86" t="s">
        <v>724</v>
      </c>
      <c r="L163" t="e">
        <f>_xlfn.XLOOKUP(C163,'ΥΠΑΛΛΗΛΟΙ ΓΔΑΕΦΚ'!#REF!,'ΥΠΑΛΛΗΛΟΙ ΓΔΑΕΦΚ'!#REF!,"_")</f>
        <v>#REF!</v>
      </c>
    </row>
    <row r="164" spans="1:12" x14ac:dyDescent="0.25">
      <c r="A164" s="79">
        <f>--SUBTOTAL(3,$B$2:B163)</f>
        <v>162</v>
      </c>
      <c r="B164" s="80" t="s">
        <v>2173</v>
      </c>
      <c r="C164" s="81" t="s">
        <v>2238</v>
      </c>
      <c r="D164" s="82" t="s">
        <v>725</v>
      </c>
      <c r="E164" s="83" t="s">
        <v>2239</v>
      </c>
      <c r="F164" s="87" t="s">
        <v>2240</v>
      </c>
      <c r="G164" s="87" t="s">
        <v>726</v>
      </c>
      <c r="H164" s="87" t="s">
        <v>1007</v>
      </c>
      <c r="I164" s="85" t="s">
        <v>23</v>
      </c>
      <c r="J164" s="86" t="s">
        <v>2241</v>
      </c>
      <c r="K164" s="86" t="s">
        <v>728</v>
      </c>
      <c r="L164" t="e">
        <f>_xlfn.XLOOKUP(C164,'ΥΠΑΛΛΗΛΟΙ ΓΔΑΕΦΚ'!#REF!,'ΥΠΑΛΛΗΛΟΙ ΓΔΑΕΦΚ'!#REF!,"_")</f>
        <v>#REF!</v>
      </c>
    </row>
    <row r="165" spans="1:12" x14ac:dyDescent="0.25">
      <c r="A165" s="79">
        <f>--SUBTOTAL(3,$B$2:B164)</f>
        <v>163</v>
      </c>
      <c r="B165" s="80" t="s">
        <v>2173</v>
      </c>
      <c r="C165" s="81" t="s">
        <v>2242</v>
      </c>
      <c r="D165" s="82" t="s">
        <v>731</v>
      </c>
      <c r="E165" s="83" t="s">
        <v>2243</v>
      </c>
      <c r="F165" s="87" t="s">
        <v>2244</v>
      </c>
      <c r="G165" s="87" t="s">
        <v>732</v>
      </c>
      <c r="H165" s="87" t="s">
        <v>1007</v>
      </c>
      <c r="I165" s="85" t="s">
        <v>23</v>
      </c>
      <c r="J165" s="86" t="s">
        <v>2245</v>
      </c>
      <c r="K165" s="86" t="s">
        <v>734</v>
      </c>
      <c r="L165" t="e">
        <f>_xlfn.XLOOKUP(C165,'ΥΠΑΛΛΗΛΟΙ ΓΔΑΕΦΚ'!#REF!,'ΥΠΑΛΛΗΛΟΙ ΓΔΑΕΦΚ'!#REF!,"_")</f>
        <v>#REF!</v>
      </c>
    </row>
    <row r="166" spans="1:12" x14ac:dyDescent="0.25">
      <c r="A166" s="79">
        <f>--SUBTOTAL(3,$B$2:B165)</f>
        <v>164</v>
      </c>
      <c r="B166" s="80" t="s">
        <v>2173</v>
      </c>
      <c r="C166" s="81" t="s">
        <v>2246</v>
      </c>
      <c r="D166" s="82" t="s">
        <v>735</v>
      </c>
      <c r="E166" s="83" t="s">
        <v>2247</v>
      </c>
      <c r="F166" s="87" t="s">
        <v>2248</v>
      </c>
      <c r="G166" s="87" t="s">
        <v>2249</v>
      </c>
      <c r="H166" s="87" t="s">
        <v>1007</v>
      </c>
      <c r="I166" s="85" t="s">
        <v>23</v>
      </c>
      <c r="J166" s="86" t="s">
        <v>2250</v>
      </c>
      <c r="K166" s="86" t="s">
        <v>738</v>
      </c>
      <c r="L166" t="e">
        <f>_xlfn.XLOOKUP(C166,'ΥΠΑΛΛΗΛΟΙ ΓΔΑΕΦΚ'!#REF!,'ΥΠΑΛΛΗΛΟΙ ΓΔΑΕΦΚ'!#REF!,"_")</f>
        <v>#REF!</v>
      </c>
    </row>
    <row r="167" spans="1:12" x14ac:dyDescent="0.25">
      <c r="A167" s="79">
        <f>--SUBTOTAL(3,$B$2:B166)</f>
        <v>165</v>
      </c>
      <c r="B167" s="80" t="s">
        <v>2173</v>
      </c>
      <c r="C167" s="81" t="s">
        <v>2251</v>
      </c>
      <c r="D167" s="82" t="s">
        <v>739</v>
      </c>
      <c r="E167" s="83" t="s">
        <v>2252</v>
      </c>
      <c r="F167" s="87" t="s">
        <v>2253</v>
      </c>
      <c r="G167" s="87" t="s">
        <v>2254</v>
      </c>
      <c r="H167" s="87" t="s">
        <v>43</v>
      </c>
      <c r="I167" s="85" t="s">
        <v>23</v>
      </c>
      <c r="J167" s="86" t="s">
        <v>2255</v>
      </c>
      <c r="K167" s="86" t="s">
        <v>742</v>
      </c>
      <c r="L167" t="e">
        <f>_xlfn.XLOOKUP(C167,'ΥΠΑΛΛΗΛΟΙ ΓΔΑΕΦΚ'!#REF!,'ΥΠΑΛΛΗΛΟΙ ΓΔΑΕΦΚ'!#REF!,"_")</f>
        <v>#REF!</v>
      </c>
    </row>
    <row r="168" spans="1:12" x14ac:dyDescent="0.25">
      <c r="A168" s="79">
        <f>--SUBTOTAL(3,$B$2:B167)</f>
        <v>166</v>
      </c>
      <c r="B168" s="80" t="s">
        <v>2173</v>
      </c>
      <c r="C168" s="81" t="s">
        <v>2256</v>
      </c>
      <c r="D168" s="82" t="s">
        <v>743</v>
      </c>
      <c r="E168" s="83" t="s">
        <v>2257</v>
      </c>
      <c r="F168" s="87" t="s">
        <v>2258</v>
      </c>
      <c r="G168" s="87" t="s">
        <v>2259</v>
      </c>
      <c r="H168" s="87" t="s">
        <v>43</v>
      </c>
      <c r="I168" s="85" t="s">
        <v>23</v>
      </c>
      <c r="J168" s="86" t="s">
        <v>2260</v>
      </c>
      <c r="K168" s="86" t="s">
        <v>746</v>
      </c>
      <c r="L168" t="e">
        <f>_xlfn.XLOOKUP(C168,'ΥΠΑΛΛΗΛΟΙ ΓΔΑΕΦΚ'!#REF!,'ΥΠΑΛΛΗΛΟΙ ΓΔΑΕΦΚ'!#REF!,"_")</f>
        <v>#REF!</v>
      </c>
    </row>
    <row r="169" spans="1:12" x14ac:dyDescent="0.25">
      <c r="A169" s="79">
        <f>--SUBTOTAL(3,$B$2:B168)</f>
        <v>167</v>
      </c>
      <c r="B169" s="80" t="s">
        <v>2261</v>
      </c>
      <c r="C169" s="81" t="s">
        <v>2262</v>
      </c>
      <c r="D169" s="82" t="s">
        <v>751</v>
      </c>
      <c r="E169" s="83" t="s">
        <v>2263</v>
      </c>
      <c r="F169" s="87" t="s">
        <v>2264</v>
      </c>
      <c r="G169" s="87" t="s">
        <v>753</v>
      </c>
      <c r="H169" s="87" t="s">
        <v>43</v>
      </c>
      <c r="I169" s="85" t="s">
        <v>23</v>
      </c>
      <c r="J169" s="86" t="s">
        <v>2265</v>
      </c>
      <c r="K169" s="86" t="s">
        <v>755</v>
      </c>
      <c r="L169" t="e">
        <f>_xlfn.XLOOKUP(C169,'ΥΠΑΛΛΗΛΟΙ ΓΔΑΕΦΚ'!#REF!,'ΥΠΑΛΛΗΛΟΙ ΓΔΑΕΦΚ'!#REF!,"_")</f>
        <v>#REF!</v>
      </c>
    </row>
    <row r="170" spans="1:12" x14ac:dyDescent="0.25">
      <c r="A170" s="79">
        <f>--SUBTOTAL(3,$B$2:B169)</f>
        <v>168</v>
      </c>
      <c r="B170" s="80" t="s">
        <v>2261</v>
      </c>
      <c r="C170" s="81" t="s">
        <v>2266</v>
      </c>
      <c r="D170" s="82" t="s">
        <v>774</v>
      </c>
      <c r="E170" s="83" t="s">
        <v>2267</v>
      </c>
      <c r="F170" s="87" t="s">
        <v>2268</v>
      </c>
      <c r="G170" s="87" t="s">
        <v>2269</v>
      </c>
      <c r="H170" s="87" t="s">
        <v>733</v>
      </c>
      <c r="I170" s="85" t="s">
        <v>23</v>
      </c>
      <c r="J170" s="86" t="s">
        <v>2270</v>
      </c>
      <c r="K170" s="86" t="s">
        <v>777</v>
      </c>
      <c r="L170" t="e">
        <f>_xlfn.XLOOKUP(C170,'ΥΠΑΛΛΗΛΟΙ ΓΔΑΕΦΚ'!#REF!,'ΥΠΑΛΛΗΛΟΙ ΓΔΑΕΦΚ'!#REF!,"_")</f>
        <v>#REF!</v>
      </c>
    </row>
    <row r="171" spans="1:12" x14ac:dyDescent="0.25">
      <c r="A171" s="79">
        <f>--SUBTOTAL(3,$B$2:B170)</f>
        <v>169</v>
      </c>
      <c r="B171" s="80" t="s">
        <v>2261</v>
      </c>
      <c r="C171" s="81" t="s">
        <v>2271</v>
      </c>
      <c r="D171" s="82" t="s">
        <v>816</v>
      </c>
      <c r="E171" s="83" t="s">
        <v>2272</v>
      </c>
      <c r="F171" s="87" t="s">
        <v>2273</v>
      </c>
      <c r="G171" s="87" t="s">
        <v>818</v>
      </c>
      <c r="H171" s="87" t="s">
        <v>1007</v>
      </c>
      <c r="I171" s="85" t="s">
        <v>23</v>
      </c>
      <c r="J171" s="86" t="s">
        <v>2274</v>
      </c>
      <c r="K171" s="86" t="s">
        <v>820</v>
      </c>
      <c r="L171" t="e">
        <f>_xlfn.XLOOKUP(C171,'ΥΠΑΛΛΗΛΟΙ ΓΔΑΕΦΚ'!#REF!,'ΥΠΑΛΛΗΛΟΙ ΓΔΑΕΦΚ'!#REF!,"_")</f>
        <v>#REF!</v>
      </c>
    </row>
    <row r="172" spans="1:12" x14ac:dyDescent="0.25">
      <c r="A172" s="79">
        <f>--SUBTOTAL(3,$B$2:B171)</f>
        <v>170</v>
      </c>
      <c r="B172" s="80" t="s">
        <v>2261</v>
      </c>
      <c r="C172" s="93" t="s">
        <v>2275</v>
      </c>
      <c r="D172" s="82" t="s">
        <v>835</v>
      </c>
      <c r="E172" s="83" t="s">
        <v>2276</v>
      </c>
      <c r="F172" s="87" t="s">
        <v>2277</v>
      </c>
      <c r="G172" s="87" t="s">
        <v>2278</v>
      </c>
      <c r="H172" s="87" t="s">
        <v>43</v>
      </c>
      <c r="I172" s="85" t="s">
        <v>23</v>
      </c>
      <c r="J172" s="86" t="s">
        <v>2279</v>
      </c>
      <c r="K172" s="86" t="s">
        <v>837</v>
      </c>
      <c r="L172" t="e">
        <f>_xlfn.XLOOKUP(C172,'ΥΠΑΛΛΗΛΟΙ ΓΔΑΕΦΚ'!#REF!,'ΥΠΑΛΛΗΛΟΙ ΓΔΑΕΦΚ'!#REF!,"_")</f>
        <v>#REF!</v>
      </c>
    </row>
    <row r="173" spans="1:12" x14ac:dyDescent="0.25">
      <c r="A173" s="79">
        <f>--SUBTOTAL(3,$B$2:B172)</f>
        <v>171</v>
      </c>
      <c r="B173" s="80" t="s">
        <v>2261</v>
      </c>
      <c r="C173" s="81" t="s">
        <v>2280</v>
      </c>
      <c r="D173" s="82" t="s">
        <v>2281</v>
      </c>
      <c r="E173" s="83" t="s">
        <v>2282</v>
      </c>
      <c r="F173" s="87" t="s">
        <v>2283</v>
      </c>
      <c r="G173" s="87">
        <v>6985565922</v>
      </c>
      <c r="H173" s="87" t="s">
        <v>43</v>
      </c>
      <c r="I173" s="85"/>
      <c r="J173" s="86" t="s">
        <v>2284</v>
      </c>
      <c r="K173" s="86"/>
      <c r="L173" t="e">
        <f>_xlfn.XLOOKUP(C173,'ΥΠΑΛΛΗΛΟΙ ΓΔΑΕΦΚ'!#REF!,'ΥΠΑΛΛΗΛΟΙ ΓΔΑΕΦΚ'!#REF!,"_")</f>
        <v>#REF!</v>
      </c>
    </row>
    <row r="174" spans="1:12" x14ac:dyDescent="0.25">
      <c r="A174" s="79">
        <f>--SUBTOTAL(3,$B$2:B173)</f>
        <v>172</v>
      </c>
      <c r="B174" s="80" t="s">
        <v>2261</v>
      </c>
      <c r="C174" s="81" t="s">
        <v>2285</v>
      </c>
      <c r="D174" s="82" t="s">
        <v>851</v>
      </c>
      <c r="E174" s="83" t="s">
        <v>2286</v>
      </c>
      <c r="F174" s="87" t="s">
        <v>2287</v>
      </c>
      <c r="G174" s="87" t="s">
        <v>853</v>
      </c>
      <c r="H174" s="87" t="s">
        <v>224</v>
      </c>
      <c r="I174" s="85" t="s">
        <v>23</v>
      </c>
      <c r="J174" s="86" t="s">
        <v>2288</v>
      </c>
      <c r="K174" s="86" t="s">
        <v>855</v>
      </c>
      <c r="L174" t="e">
        <f>_xlfn.XLOOKUP(C174,'ΥΠΑΛΛΗΛΟΙ ΓΔΑΕΦΚ'!#REF!,'ΥΠΑΛΛΗΛΟΙ ΓΔΑΕΦΚ'!#REF!,"_")</f>
        <v>#REF!</v>
      </c>
    </row>
    <row r="175" spans="1:12" x14ac:dyDescent="0.25">
      <c r="A175" s="79">
        <f>--SUBTOTAL(3,$B$2:B174)</f>
        <v>173</v>
      </c>
      <c r="B175" s="80" t="s">
        <v>2289</v>
      </c>
      <c r="C175" s="81" t="s">
        <v>2290</v>
      </c>
      <c r="D175" s="82" t="s">
        <v>875</v>
      </c>
      <c r="E175" s="83" t="s">
        <v>2291</v>
      </c>
      <c r="F175" s="87" t="s">
        <v>2292</v>
      </c>
      <c r="G175" s="87" t="s">
        <v>877</v>
      </c>
      <c r="H175" s="87" t="s">
        <v>482</v>
      </c>
      <c r="I175" s="85" t="s">
        <v>23</v>
      </c>
      <c r="J175" s="86" t="s">
        <v>2293</v>
      </c>
      <c r="K175" s="86" t="s">
        <v>879</v>
      </c>
      <c r="L175" t="e">
        <f>_xlfn.XLOOKUP(C175,'ΥΠΑΛΛΗΛΟΙ ΓΔΑΕΦΚ'!#REF!,'ΥΠΑΛΛΗΛΟΙ ΓΔΑΕΦΚ'!#REF!,"_")</f>
        <v>#REF!</v>
      </c>
    </row>
    <row r="176" spans="1:12" x14ac:dyDescent="0.25">
      <c r="A176" s="79">
        <f>--SUBTOTAL(3,$B$2:B175)</f>
        <v>174</v>
      </c>
      <c r="B176" s="80" t="s">
        <v>2289</v>
      </c>
      <c r="C176" s="81" t="s">
        <v>2294</v>
      </c>
      <c r="D176" s="82" t="s">
        <v>880</v>
      </c>
      <c r="E176" s="83" t="s">
        <v>2295</v>
      </c>
      <c r="F176" s="87" t="s">
        <v>2296</v>
      </c>
      <c r="G176" s="87" t="s">
        <v>882</v>
      </c>
      <c r="H176" s="87" t="s">
        <v>264</v>
      </c>
      <c r="I176" s="85" t="s">
        <v>23</v>
      </c>
      <c r="J176" s="86" t="s">
        <v>2297</v>
      </c>
      <c r="K176" s="86" t="s">
        <v>16</v>
      </c>
      <c r="L176" t="e">
        <f>_xlfn.XLOOKUP(C176,'ΥΠΑΛΛΗΛΟΙ ΓΔΑΕΦΚ'!#REF!,'ΥΠΑΛΛΗΛΟΙ ΓΔΑΕΦΚ'!#REF!,"_")</f>
        <v>#REF!</v>
      </c>
    </row>
    <row r="177" spans="1:12" x14ac:dyDescent="0.25">
      <c r="A177" s="79">
        <f>--SUBTOTAL(3,$B$2:B176)</f>
        <v>175</v>
      </c>
      <c r="B177" s="80" t="s">
        <v>2289</v>
      </c>
      <c r="C177" s="81" t="s">
        <v>2298</v>
      </c>
      <c r="D177" s="82" t="s">
        <v>884</v>
      </c>
      <c r="E177" s="83" t="s">
        <v>2299</v>
      </c>
      <c r="F177" s="87" t="s">
        <v>2300</v>
      </c>
      <c r="G177" s="87" t="s">
        <v>885</v>
      </c>
      <c r="H177" s="87" t="s">
        <v>224</v>
      </c>
      <c r="I177" s="85" t="s">
        <v>23</v>
      </c>
      <c r="J177" s="86" t="s">
        <v>2301</v>
      </c>
      <c r="K177" s="86" t="s">
        <v>886</v>
      </c>
      <c r="L177" t="e">
        <f>_xlfn.XLOOKUP(C177,'ΥΠΑΛΛΗΛΟΙ ΓΔΑΕΦΚ'!#REF!,'ΥΠΑΛΛΗΛΟΙ ΓΔΑΕΦΚ'!#REF!,"_")</f>
        <v>#REF!</v>
      </c>
    </row>
    <row r="178" spans="1:12" x14ac:dyDescent="0.25">
      <c r="A178" s="79">
        <f>--SUBTOTAL(3,$B$2:B177)</f>
        <v>176</v>
      </c>
      <c r="B178" s="80" t="s">
        <v>2289</v>
      </c>
      <c r="C178" s="81" t="s">
        <v>2302</v>
      </c>
      <c r="D178" s="82" t="s">
        <v>892</v>
      </c>
      <c r="E178" s="83" t="s">
        <v>2303</v>
      </c>
      <c r="F178" s="87" t="s">
        <v>2304</v>
      </c>
      <c r="G178" s="87" t="s">
        <v>894</v>
      </c>
      <c r="H178" s="87" t="s">
        <v>733</v>
      </c>
      <c r="I178" s="85" t="s">
        <v>23</v>
      </c>
      <c r="J178" s="86" t="s">
        <v>2305</v>
      </c>
      <c r="K178" s="86" t="s">
        <v>16</v>
      </c>
      <c r="L178" t="e">
        <f>_xlfn.XLOOKUP(C178,'ΥΠΑΛΛΗΛΟΙ ΓΔΑΕΦΚ'!#REF!,'ΥΠΑΛΛΗΛΟΙ ΓΔΑΕΦΚ'!#REF!,"_")</f>
        <v>#REF!</v>
      </c>
    </row>
    <row r="179" spans="1:12" x14ac:dyDescent="0.25">
      <c r="A179" s="79">
        <f>--SUBTOTAL(3,$B$2:B178)</f>
        <v>177</v>
      </c>
      <c r="B179" s="80" t="s">
        <v>2289</v>
      </c>
      <c r="C179" s="81" t="s">
        <v>2306</v>
      </c>
      <c r="D179" s="82" t="s">
        <v>896</v>
      </c>
      <c r="E179" s="83" t="s">
        <v>2307</v>
      </c>
      <c r="F179" s="87" t="s">
        <v>2308</v>
      </c>
      <c r="G179" s="87" t="s">
        <v>897</v>
      </c>
      <c r="H179" s="87" t="s">
        <v>43</v>
      </c>
      <c r="I179" s="85" t="s">
        <v>23</v>
      </c>
      <c r="J179" s="86" t="s">
        <v>2309</v>
      </c>
      <c r="K179" s="86" t="s">
        <v>899</v>
      </c>
      <c r="L179" t="e">
        <f>_xlfn.XLOOKUP(C179,'ΥΠΑΛΛΗΛΟΙ ΓΔΑΕΦΚ'!#REF!,'ΥΠΑΛΛΗΛΟΙ ΓΔΑΕΦΚ'!#REF!,"_")</f>
        <v>#REF!</v>
      </c>
    </row>
    <row r="180" spans="1:12" x14ac:dyDescent="0.25">
      <c r="A180" s="79">
        <f>--SUBTOTAL(3,$B$2:B179)</f>
        <v>178</v>
      </c>
      <c r="B180" s="80" t="s">
        <v>2289</v>
      </c>
      <c r="C180" s="81" t="s">
        <v>2310</v>
      </c>
      <c r="D180" s="82" t="s">
        <v>900</v>
      </c>
      <c r="E180" s="83" t="s">
        <v>2311</v>
      </c>
      <c r="F180" s="87" t="s">
        <v>2312</v>
      </c>
      <c r="G180" s="87" t="s">
        <v>16</v>
      </c>
      <c r="H180" s="87" t="s">
        <v>43</v>
      </c>
      <c r="I180" s="85" t="s">
        <v>23</v>
      </c>
      <c r="J180" s="86" t="s">
        <v>2313</v>
      </c>
      <c r="K180" s="86" t="s">
        <v>16</v>
      </c>
      <c r="L180" t="e">
        <f>_xlfn.XLOOKUP(C180,'ΥΠΑΛΛΗΛΟΙ ΓΔΑΕΦΚ'!#REF!,'ΥΠΑΛΛΗΛΟΙ ΓΔΑΕΦΚ'!#REF!,"_")</f>
        <v>#REF!</v>
      </c>
    </row>
    <row r="181" spans="1:12" x14ac:dyDescent="0.25">
      <c r="A181" s="79">
        <f>--SUBTOTAL(3,$B$2:B180)</f>
        <v>179</v>
      </c>
      <c r="B181" s="80" t="s">
        <v>2289</v>
      </c>
      <c r="C181" s="81" t="s">
        <v>2314</v>
      </c>
      <c r="D181" s="82" t="s">
        <v>903</v>
      </c>
      <c r="E181" s="83" t="s">
        <v>2315</v>
      </c>
      <c r="F181" s="87" t="s">
        <v>2316</v>
      </c>
      <c r="G181" s="87" t="s">
        <v>905</v>
      </c>
      <c r="H181" s="87" t="s">
        <v>125</v>
      </c>
      <c r="I181" s="85" t="s">
        <v>23</v>
      </c>
      <c r="J181" s="86" t="s">
        <v>2317</v>
      </c>
      <c r="K181" s="86" t="s">
        <v>16</v>
      </c>
      <c r="L181" t="e">
        <f>_xlfn.XLOOKUP(C181,'ΥΠΑΛΛΗΛΟΙ ΓΔΑΕΦΚ'!#REF!,'ΥΠΑΛΛΗΛΟΙ ΓΔΑΕΦΚ'!#REF!,"_")</f>
        <v>#REF!</v>
      </c>
    </row>
    <row r="182" spans="1:12" x14ac:dyDescent="0.25">
      <c r="A182" s="79">
        <f>--SUBTOTAL(3,$B$2:B181)</f>
        <v>180</v>
      </c>
      <c r="B182" s="80" t="s">
        <v>2289</v>
      </c>
      <c r="C182" s="81" t="s">
        <v>2318</v>
      </c>
      <c r="D182" s="82" t="s">
        <v>907</v>
      </c>
      <c r="E182" s="83" t="s">
        <v>2319</v>
      </c>
      <c r="F182" s="87" t="s">
        <v>2320</v>
      </c>
      <c r="G182" s="87" t="s">
        <v>908</v>
      </c>
      <c r="H182" s="87" t="s">
        <v>337</v>
      </c>
      <c r="I182" s="85" t="s">
        <v>23</v>
      </c>
      <c r="J182" s="86" t="s">
        <v>2321</v>
      </c>
      <c r="K182" s="86" t="s">
        <v>910</v>
      </c>
      <c r="L182" t="e">
        <f>_xlfn.XLOOKUP(C182,'ΥΠΑΛΛΗΛΟΙ ΓΔΑΕΦΚ'!#REF!,'ΥΠΑΛΛΗΛΟΙ ΓΔΑΕΦΚ'!#REF!,"_")</f>
        <v>#REF!</v>
      </c>
    </row>
    <row r="183" spans="1:12" x14ac:dyDescent="0.25">
      <c r="A183" s="79">
        <f>--SUBTOTAL(3,$B$2:B182)</f>
        <v>181</v>
      </c>
      <c r="B183" s="80" t="s">
        <v>2289</v>
      </c>
      <c r="C183" s="81" t="s">
        <v>2322</v>
      </c>
      <c r="D183" s="82" t="s">
        <v>911</v>
      </c>
      <c r="E183" s="83" t="s">
        <v>2323</v>
      </c>
      <c r="F183" s="87" t="s">
        <v>2324</v>
      </c>
      <c r="G183" s="87" t="s">
        <v>913</v>
      </c>
      <c r="H183" s="87" t="s">
        <v>224</v>
      </c>
      <c r="I183" s="85" t="s">
        <v>23</v>
      </c>
      <c r="J183" s="86" t="s">
        <v>2325</v>
      </c>
      <c r="K183" s="86" t="s">
        <v>16</v>
      </c>
      <c r="L183" t="e">
        <f>_xlfn.XLOOKUP(C183,'ΥΠΑΛΛΗΛΟΙ ΓΔΑΕΦΚ'!#REF!,'ΥΠΑΛΛΗΛΟΙ ΓΔΑΕΦΚ'!#REF!,"_")</f>
        <v>#REF!</v>
      </c>
    </row>
    <row r="184" spans="1:12" x14ac:dyDescent="0.25">
      <c r="A184" s="79">
        <f>--SUBTOTAL(3,$B$2:B183)</f>
        <v>182</v>
      </c>
      <c r="B184" s="80" t="s">
        <v>2289</v>
      </c>
      <c r="C184" s="81" t="s">
        <v>2326</v>
      </c>
      <c r="D184" s="82" t="s">
        <v>915</v>
      </c>
      <c r="E184" s="83" t="s">
        <v>2327</v>
      </c>
      <c r="F184" s="87" t="s">
        <v>2328</v>
      </c>
      <c r="G184" s="87" t="s">
        <v>917</v>
      </c>
      <c r="H184" s="87" t="s">
        <v>224</v>
      </c>
      <c r="I184" s="85" t="s">
        <v>23</v>
      </c>
      <c r="J184" s="86" t="s">
        <v>2329</v>
      </c>
      <c r="K184" s="86" t="s">
        <v>16</v>
      </c>
      <c r="L184" t="e">
        <f>_xlfn.XLOOKUP(C184,'ΥΠΑΛΛΗΛΟΙ ΓΔΑΕΦΚ'!#REF!,'ΥΠΑΛΛΗΛΟΙ ΓΔΑΕΦΚ'!#REF!,"_")</f>
        <v>#REF!</v>
      </c>
    </row>
    <row r="185" spans="1:12" x14ac:dyDescent="0.25">
      <c r="A185" s="79">
        <f>--SUBTOTAL(3,$B$2:B184)</f>
        <v>183</v>
      </c>
      <c r="B185" s="80" t="s">
        <v>2289</v>
      </c>
      <c r="C185" s="81" t="s">
        <v>2330</v>
      </c>
      <c r="D185" s="82" t="s">
        <v>2331</v>
      </c>
      <c r="E185" s="83" t="s">
        <v>2332</v>
      </c>
      <c r="F185" s="87" t="s">
        <v>2333</v>
      </c>
      <c r="G185" s="87">
        <v>6944345730</v>
      </c>
      <c r="H185" s="87" t="s">
        <v>2334</v>
      </c>
      <c r="I185" s="85"/>
      <c r="J185" s="86" t="s">
        <v>2335</v>
      </c>
      <c r="K185" s="86"/>
      <c r="L185" t="e">
        <f>_xlfn.XLOOKUP(C185,'ΥΠΑΛΛΗΛΟΙ ΓΔΑΕΦΚ'!#REF!,'ΥΠΑΛΛΗΛΟΙ ΓΔΑΕΦΚ'!#REF!,"_")</f>
        <v>#REF!</v>
      </c>
    </row>
    <row r="186" spans="1:12" x14ac:dyDescent="0.25">
      <c r="A186" s="79">
        <f>--SUBTOTAL(3,$B$2:B185)</f>
        <v>184</v>
      </c>
      <c r="B186" s="80" t="s">
        <v>2289</v>
      </c>
      <c r="C186" s="81" t="s">
        <v>2336</v>
      </c>
      <c r="D186" s="82" t="s">
        <v>919</v>
      </c>
      <c r="E186" s="83" t="s">
        <v>2337</v>
      </c>
      <c r="F186" s="87" t="s">
        <v>2338</v>
      </c>
      <c r="G186" s="87" t="s">
        <v>921</v>
      </c>
      <c r="H186" s="87" t="s">
        <v>482</v>
      </c>
      <c r="I186" s="85" t="s">
        <v>23</v>
      </c>
      <c r="J186" s="86" t="s">
        <v>2339</v>
      </c>
      <c r="K186" s="86" t="s">
        <v>16</v>
      </c>
      <c r="L186" t="e">
        <f>_xlfn.XLOOKUP(C186,'ΥΠΑΛΛΗΛΟΙ ΓΔΑΕΦΚ'!#REF!,'ΥΠΑΛΛΗΛΟΙ ΓΔΑΕΦΚ'!#REF!,"_")</f>
        <v>#REF!</v>
      </c>
    </row>
    <row r="187" spans="1:12" x14ac:dyDescent="0.25">
      <c r="A187" s="79">
        <f>--SUBTOTAL(3,$B$2:B186)</f>
        <v>185</v>
      </c>
      <c r="B187" s="80" t="s">
        <v>2340</v>
      </c>
      <c r="C187" s="81" t="s">
        <v>2341</v>
      </c>
      <c r="D187" s="82" t="s">
        <v>923</v>
      </c>
      <c r="E187" s="83" t="s">
        <v>2342</v>
      </c>
      <c r="F187" s="87" t="s">
        <v>2343</v>
      </c>
      <c r="G187" s="87" t="s">
        <v>925</v>
      </c>
      <c r="H187" s="87" t="s">
        <v>43</v>
      </c>
      <c r="I187" s="85" t="s">
        <v>23</v>
      </c>
      <c r="J187" s="86" t="s">
        <v>2344</v>
      </c>
      <c r="K187" s="86" t="s">
        <v>926</v>
      </c>
      <c r="L187" t="e">
        <f>_xlfn.XLOOKUP(C187,'ΥΠΑΛΛΗΛΟΙ ΓΔΑΕΦΚ'!#REF!,'ΥΠΑΛΛΗΛΟΙ ΓΔΑΕΦΚ'!#REF!,"_")</f>
        <v>#REF!</v>
      </c>
    </row>
    <row r="188" spans="1:12" x14ac:dyDescent="0.25">
      <c r="A188" s="79">
        <f>--SUBTOTAL(3,$B$2:B187)</f>
        <v>186</v>
      </c>
      <c r="B188" s="80" t="s">
        <v>2340</v>
      </c>
      <c r="C188" s="81" t="s">
        <v>2345</v>
      </c>
      <c r="D188" s="82" t="s">
        <v>927</v>
      </c>
      <c r="E188" s="83" t="s">
        <v>2346</v>
      </c>
      <c r="F188" s="87" t="s">
        <v>2347</v>
      </c>
      <c r="G188" s="87" t="s">
        <v>2348</v>
      </c>
      <c r="H188" s="87" t="s">
        <v>224</v>
      </c>
      <c r="I188" s="85" t="s">
        <v>23</v>
      </c>
      <c r="J188" s="86" t="s">
        <v>2349</v>
      </c>
      <c r="K188" s="86" t="s">
        <v>930</v>
      </c>
      <c r="L188" t="e">
        <f>_xlfn.XLOOKUP(C188,'ΥΠΑΛΛΗΛΟΙ ΓΔΑΕΦΚ'!#REF!,'ΥΠΑΛΛΗΛΟΙ ΓΔΑΕΦΚ'!#REF!,"_")</f>
        <v>#REF!</v>
      </c>
    </row>
    <row r="189" spans="1:12" x14ac:dyDescent="0.25">
      <c r="A189" s="79">
        <f>--SUBTOTAL(3,$B$2:B188)</f>
        <v>187</v>
      </c>
      <c r="B189" s="80" t="s">
        <v>2340</v>
      </c>
      <c r="C189" s="81" t="s">
        <v>2350</v>
      </c>
      <c r="D189" s="82" t="s">
        <v>935</v>
      </c>
      <c r="E189" s="83" t="s">
        <v>2351</v>
      </c>
      <c r="F189" s="87" t="s">
        <v>2352</v>
      </c>
      <c r="G189" s="87" t="s">
        <v>937</v>
      </c>
      <c r="H189" s="87" t="s">
        <v>43</v>
      </c>
      <c r="I189" s="85" t="s">
        <v>23</v>
      </c>
      <c r="J189" s="86" t="s">
        <v>2353</v>
      </c>
      <c r="K189" s="86" t="s">
        <v>938</v>
      </c>
      <c r="L189" t="e">
        <f>_xlfn.XLOOKUP(C189,'ΥΠΑΛΛΗΛΟΙ ΓΔΑΕΦΚ'!#REF!,'ΥΠΑΛΛΗΛΟΙ ΓΔΑΕΦΚ'!#REF!,"_")</f>
        <v>#REF!</v>
      </c>
    </row>
    <row r="190" spans="1:12" x14ac:dyDescent="0.25">
      <c r="A190" s="79">
        <f>--SUBTOTAL(3,$B$2:B189)</f>
        <v>188</v>
      </c>
      <c r="B190" s="80" t="s">
        <v>2340</v>
      </c>
      <c r="C190" s="81" t="s">
        <v>2354</v>
      </c>
      <c r="D190" s="82" t="s">
        <v>2355</v>
      </c>
      <c r="E190" s="83" t="s">
        <v>2356</v>
      </c>
      <c r="F190" s="87" t="s">
        <v>2357</v>
      </c>
      <c r="G190" s="87" t="s">
        <v>2358</v>
      </c>
      <c r="H190" s="87" t="s">
        <v>1007</v>
      </c>
      <c r="I190" s="85" t="s">
        <v>23</v>
      </c>
      <c r="J190" s="86" t="s">
        <v>2359</v>
      </c>
      <c r="K190" s="86" t="s">
        <v>2360</v>
      </c>
      <c r="L190" t="e">
        <f>_xlfn.XLOOKUP(C190,'ΥΠΑΛΛΗΛΟΙ ΓΔΑΕΦΚ'!#REF!,'ΥΠΑΛΛΗΛΟΙ ΓΔΑΕΦΚ'!#REF!,"_")</f>
        <v>#REF!</v>
      </c>
    </row>
    <row r="191" spans="1:12" x14ac:dyDescent="0.25">
      <c r="A191" s="79">
        <f>--SUBTOTAL(3,$B$2:B190)</f>
        <v>189</v>
      </c>
      <c r="B191" s="80" t="s">
        <v>2340</v>
      </c>
      <c r="C191" s="81" t="s">
        <v>2361</v>
      </c>
      <c r="D191" s="82" t="s">
        <v>2362</v>
      </c>
      <c r="E191" s="83" t="s">
        <v>2363</v>
      </c>
      <c r="F191" s="87" t="s">
        <v>2364</v>
      </c>
      <c r="G191" s="87" t="s">
        <v>941</v>
      </c>
      <c r="H191" s="87" t="s">
        <v>43</v>
      </c>
      <c r="I191" s="85" t="s">
        <v>23</v>
      </c>
      <c r="J191" s="86" t="s">
        <v>2365</v>
      </c>
      <c r="K191" s="86" t="s">
        <v>943</v>
      </c>
      <c r="L191" t="e">
        <f>_xlfn.XLOOKUP(C191,'ΥΠΑΛΛΗΛΟΙ ΓΔΑΕΦΚ'!#REF!,'ΥΠΑΛΛΗΛΟΙ ΓΔΑΕΦΚ'!#REF!,"_")</f>
        <v>#REF!</v>
      </c>
    </row>
    <row r="192" spans="1:12" x14ac:dyDescent="0.25">
      <c r="A192" s="79">
        <f>--SUBTOTAL(3,$B$2:B191)</f>
        <v>190</v>
      </c>
      <c r="B192" s="80" t="s">
        <v>2340</v>
      </c>
      <c r="C192" s="81" t="s">
        <v>2366</v>
      </c>
      <c r="D192" s="82" t="s">
        <v>2367</v>
      </c>
      <c r="E192" s="83" t="s">
        <v>2368</v>
      </c>
      <c r="F192" s="87" t="s">
        <v>2369</v>
      </c>
      <c r="G192" s="87" t="s">
        <v>2370</v>
      </c>
      <c r="H192" s="87" t="s">
        <v>31</v>
      </c>
      <c r="I192" s="85" t="s">
        <v>23</v>
      </c>
      <c r="J192" s="86" t="s">
        <v>2371</v>
      </c>
      <c r="K192" s="86" t="s">
        <v>2372</v>
      </c>
      <c r="L192" t="e">
        <f>_xlfn.XLOOKUP(C192,'ΥΠΑΛΛΗΛΟΙ ΓΔΑΕΦΚ'!#REF!,'ΥΠΑΛΛΗΛΟΙ ΓΔΑΕΦΚ'!#REF!,"_")</f>
        <v>#REF!</v>
      </c>
    </row>
    <row r="193" spans="1:12" x14ac:dyDescent="0.25">
      <c r="A193" s="79">
        <f>--SUBTOTAL(3,$B$2:B192)</f>
        <v>191</v>
      </c>
      <c r="B193" s="80" t="s">
        <v>2340</v>
      </c>
      <c r="C193" s="81" t="s">
        <v>2373</v>
      </c>
      <c r="D193" s="82" t="s">
        <v>948</v>
      </c>
      <c r="E193" s="83" t="s">
        <v>2374</v>
      </c>
      <c r="F193" s="87" t="s">
        <v>2375</v>
      </c>
      <c r="G193" s="87" t="s">
        <v>2376</v>
      </c>
      <c r="H193" s="87" t="s">
        <v>43</v>
      </c>
      <c r="I193" s="85" t="s">
        <v>23</v>
      </c>
      <c r="J193" s="86" t="s">
        <v>2377</v>
      </c>
      <c r="K193" s="86" t="s">
        <v>2378</v>
      </c>
      <c r="L193" t="e">
        <f>_xlfn.XLOOKUP(C193,'ΥΠΑΛΛΗΛΟΙ ΓΔΑΕΦΚ'!#REF!,'ΥΠΑΛΛΗΛΟΙ ΓΔΑΕΦΚ'!#REF!,"_")</f>
        <v>#REF!</v>
      </c>
    </row>
    <row r="194" spans="1:12" x14ac:dyDescent="0.25">
      <c r="A194" s="79">
        <f>--SUBTOTAL(3,$B$2:B193)</f>
        <v>192</v>
      </c>
      <c r="B194" s="80" t="s">
        <v>2340</v>
      </c>
      <c r="C194" s="81" t="s">
        <v>2379</v>
      </c>
      <c r="D194" s="82" t="s">
        <v>1434</v>
      </c>
      <c r="E194" s="83" t="s">
        <v>2380</v>
      </c>
      <c r="F194" s="87" t="s">
        <v>2381</v>
      </c>
      <c r="G194" s="87" t="s">
        <v>1435</v>
      </c>
      <c r="H194" s="87" t="s">
        <v>1007</v>
      </c>
      <c r="I194" s="85" t="s">
        <v>23</v>
      </c>
      <c r="J194" s="86" t="s">
        <v>2382</v>
      </c>
      <c r="K194" s="86" t="s">
        <v>1436</v>
      </c>
      <c r="L194" t="e">
        <f>_xlfn.XLOOKUP(C194,'ΥΠΑΛΛΗΛΟΙ ΓΔΑΕΦΚ'!#REF!,'ΥΠΑΛΛΗΛΟΙ ΓΔΑΕΦΚ'!#REF!,"_")</f>
        <v>#REF!</v>
      </c>
    </row>
    <row r="195" spans="1:12" x14ac:dyDescent="0.25">
      <c r="A195" s="79">
        <f>--SUBTOTAL(3,$B$2:B194)</f>
        <v>193</v>
      </c>
      <c r="B195" s="80" t="s">
        <v>2340</v>
      </c>
      <c r="C195" s="81" t="s">
        <v>2383</v>
      </c>
      <c r="D195" s="82" t="s">
        <v>951</v>
      </c>
      <c r="E195" s="83" t="s">
        <v>2384</v>
      </c>
      <c r="F195" s="87" t="s">
        <v>2385</v>
      </c>
      <c r="G195" s="87" t="s">
        <v>952</v>
      </c>
      <c r="H195" s="87" t="s">
        <v>1007</v>
      </c>
      <c r="I195" s="85" t="s">
        <v>23</v>
      </c>
      <c r="J195" s="86" t="s">
        <v>2386</v>
      </c>
      <c r="K195" s="86" t="s">
        <v>953</v>
      </c>
      <c r="L195" t="e">
        <f>_xlfn.XLOOKUP(C195,'ΥΠΑΛΛΗΛΟΙ ΓΔΑΕΦΚ'!#REF!,'ΥΠΑΛΛΗΛΟΙ ΓΔΑΕΦΚ'!#REF!,"_")</f>
        <v>#REF!</v>
      </c>
    </row>
    <row r="196" spans="1:12" x14ac:dyDescent="0.25">
      <c r="A196" s="79">
        <f>--SUBTOTAL(3,$B$2:B195)</f>
        <v>194</v>
      </c>
      <c r="B196" s="80" t="s">
        <v>2340</v>
      </c>
      <c r="C196" s="81" t="s">
        <v>2387</v>
      </c>
      <c r="D196" s="82" t="s">
        <v>954</v>
      </c>
      <c r="E196" s="83" t="s">
        <v>2388</v>
      </c>
      <c r="F196" s="87" t="s">
        <v>2389</v>
      </c>
      <c r="G196" s="87" t="s">
        <v>2390</v>
      </c>
      <c r="H196" s="87" t="s">
        <v>183</v>
      </c>
      <c r="I196" s="85" t="s">
        <v>23</v>
      </c>
      <c r="J196" s="86" t="s">
        <v>2391</v>
      </c>
      <c r="K196" s="86" t="s">
        <v>2392</v>
      </c>
      <c r="L196" t="e">
        <f>_xlfn.XLOOKUP(C196,'ΥΠΑΛΛΗΛΟΙ ΓΔΑΕΦΚ'!#REF!,'ΥΠΑΛΛΗΛΟΙ ΓΔΑΕΦΚ'!#REF!,"_")</f>
        <v>#REF!</v>
      </c>
    </row>
    <row r="197" spans="1:12" x14ac:dyDescent="0.25">
      <c r="A197" s="79">
        <f>--SUBTOTAL(3,$B$2:B196)</f>
        <v>195</v>
      </c>
      <c r="B197" s="80" t="s">
        <v>2340</v>
      </c>
      <c r="C197" s="81" t="s">
        <v>2393</v>
      </c>
      <c r="D197" s="82" t="s">
        <v>957</v>
      </c>
      <c r="E197" s="83" t="s">
        <v>2394</v>
      </c>
      <c r="F197" s="87" t="s">
        <v>2395</v>
      </c>
      <c r="G197" s="87" t="s">
        <v>959</v>
      </c>
      <c r="H197" s="87" t="s">
        <v>224</v>
      </c>
      <c r="I197" s="85" t="s">
        <v>23</v>
      </c>
      <c r="J197" s="86" t="s">
        <v>2396</v>
      </c>
      <c r="K197" s="86" t="s">
        <v>960</v>
      </c>
      <c r="L197" t="e">
        <f>_xlfn.XLOOKUP(C197,'ΥΠΑΛΛΗΛΟΙ ΓΔΑΕΦΚ'!#REF!,'ΥΠΑΛΛΗΛΟΙ ΓΔΑΕΦΚ'!#REF!,"_")</f>
        <v>#REF!</v>
      </c>
    </row>
    <row r="198" spans="1:12" x14ac:dyDescent="0.25">
      <c r="A198" s="79">
        <f>--SUBTOTAL(3,$B$2:B197)</f>
        <v>196</v>
      </c>
      <c r="B198" s="80" t="s">
        <v>2340</v>
      </c>
      <c r="C198" s="81" t="s">
        <v>2397</v>
      </c>
      <c r="D198" s="82" t="s">
        <v>961</v>
      </c>
      <c r="E198" s="83" t="s">
        <v>2398</v>
      </c>
      <c r="F198" s="87" t="s">
        <v>2399</v>
      </c>
      <c r="G198" s="87" t="s">
        <v>2400</v>
      </c>
      <c r="H198" s="87" t="s">
        <v>43</v>
      </c>
      <c r="I198" s="85" t="s">
        <v>23</v>
      </c>
      <c r="J198" s="86" t="s">
        <v>2401</v>
      </c>
      <c r="K198" s="86" t="s">
        <v>964</v>
      </c>
      <c r="L198" t="e">
        <f>_xlfn.XLOOKUP(C198,'ΥΠΑΛΛΗΛΟΙ ΓΔΑΕΦΚ'!#REF!,'ΥΠΑΛΛΗΛΟΙ ΓΔΑΕΦΚ'!#REF!,"_")</f>
        <v>#REF!</v>
      </c>
    </row>
    <row r="199" spans="1:12" x14ac:dyDescent="0.25">
      <c r="A199" s="79">
        <f>--SUBTOTAL(3,$B$2:B198)</f>
        <v>197</v>
      </c>
      <c r="B199" s="80" t="s">
        <v>2340</v>
      </c>
      <c r="C199" s="81" t="s">
        <v>2402</v>
      </c>
      <c r="D199" s="82" t="s">
        <v>2403</v>
      </c>
      <c r="E199" s="83" t="s">
        <v>2404</v>
      </c>
      <c r="F199" s="87" t="s">
        <v>2405</v>
      </c>
      <c r="G199" s="87" t="s">
        <v>2406</v>
      </c>
      <c r="H199" s="87" t="s">
        <v>1007</v>
      </c>
      <c r="I199" s="85" t="s">
        <v>23</v>
      </c>
      <c r="J199" s="86" t="s">
        <v>2407</v>
      </c>
      <c r="K199" s="86" t="s">
        <v>2408</v>
      </c>
      <c r="L199" t="e">
        <f>_xlfn.XLOOKUP(C199,'ΥΠΑΛΛΗΛΟΙ ΓΔΑΕΦΚ'!#REF!,'ΥΠΑΛΛΗΛΟΙ ΓΔΑΕΦΚ'!#REF!,"_")</f>
        <v>#REF!</v>
      </c>
    </row>
    <row r="200" spans="1:12" x14ac:dyDescent="0.25">
      <c r="A200" s="79">
        <f>--SUBTOTAL(3,$B$2:B199)</f>
        <v>198</v>
      </c>
      <c r="B200" s="80" t="s">
        <v>2340</v>
      </c>
      <c r="C200" s="81" t="s">
        <v>2409</v>
      </c>
      <c r="D200" s="82" t="s">
        <v>2410</v>
      </c>
      <c r="E200" s="83" t="s">
        <v>2411</v>
      </c>
      <c r="F200" s="87" t="s">
        <v>2412</v>
      </c>
      <c r="G200" s="87" t="s">
        <v>2413</v>
      </c>
      <c r="H200" s="87" t="s">
        <v>31</v>
      </c>
      <c r="I200" s="85" t="s">
        <v>23</v>
      </c>
      <c r="J200" s="86" t="s">
        <v>2414</v>
      </c>
      <c r="K200" s="86" t="s">
        <v>16</v>
      </c>
      <c r="L200" t="e">
        <f>_xlfn.XLOOKUP(C200,'ΥΠΑΛΛΗΛΟΙ ΓΔΑΕΦΚ'!#REF!,'ΥΠΑΛΛΗΛΟΙ ΓΔΑΕΦΚ'!#REF!,"_")</f>
        <v>#REF!</v>
      </c>
    </row>
    <row r="201" spans="1:12" x14ac:dyDescent="0.25">
      <c r="A201" s="79">
        <f>--SUBTOTAL(3,$B$2:B200)</f>
        <v>199</v>
      </c>
      <c r="B201" s="80" t="s">
        <v>2340</v>
      </c>
      <c r="C201" s="81" t="s">
        <v>2415</v>
      </c>
      <c r="D201" s="82" t="s">
        <v>965</v>
      </c>
      <c r="E201" s="83" t="s">
        <v>2416</v>
      </c>
      <c r="F201" s="87" t="s">
        <v>2417</v>
      </c>
      <c r="G201" s="87" t="s">
        <v>967</v>
      </c>
      <c r="H201" s="87" t="s">
        <v>31</v>
      </c>
      <c r="I201" s="85" t="s">
        <v>23</v>
      </c>
      <c r="J201" s="86" t="s">
        <v>2418</v>
      </c>
      <c r="K201" s="86" t="s">
        <v>968</v>
      </c>
      <c r="L201" t="e">
        <f>_xlfn.XLOOKUP(C201,'ΥΠΑΛΛΗΛΟΙ ΓΔΑΕΦΚ'!#REF!,'ΥΠΑΛΛΗΛΟΙ ΓΔΑΕΦΚ'!#REF!,"_")</f>
        <v>#REF!</v>
      </c>
    </row>
    <row r="202" spans="1:12" ht="25.5" x14ac:dyDescent="0.25">
      <c r="A202" s="79">
        <f>--SUBTOTAL(3,$B$2:B201)</f>
        <v>200</v>
      </c>
      <c r="B202" s="80" t="s">
        <v>2340</v>
      </c>
      <c r="C202" s="81" t="s">
        <v>2419</v>
      </c>
      <c r="D202" s="82" t="s">
        <v>969</v>
      </c>
      <c r="E202" s="83" t="s">
        <v>2420</v>
      </c>
      <c r="F202" s="87" t="s">
        <v>2421</v>
      </c>
      <c r="G202" s="87" t="s">
        <v>971</v>
      </c>
      <c r="H202" s="87" t="s">
        <v>43</v>
      </c>
      <c r="I202" s="85" t="s">
        <v>23</v>
      </c>
      <c r="J202" s="86" t="s">
        <v>2422</v>
      </c>
      <c r="K202" s="86" t="s">
        <v>973</v>
      </c>
      <c r="L202" t="e">
        <f>_xlfn.XLOOKUP(C202,'ΥΠΑΛΛΗΛΟΙ ΓΔΑΕΦΚ'!#REF!,'ΥΠΑΛΛΗΛΟΙ ΓΔΑΕΦΚ'!#REF!,"_")</f>
        <v>#REF!</v>
      </c>
    </row>
    <row r="203" spans="1:12" x14ac:dyDescent="0.25">
      <c r="A203" s="79">
        <f>--SUBTOTAL(3,$B$2:B202)</f>
        <v>201</v>
      </c>
      <c r="B203" s="80" t="s">
        <v>2340</v>
      </c>
      <c r="C203" s="81" t="s">
        <v>2423</v>
      </c>
      <c r="D203" s="82" t="s">
        <v>974</v>
      </c>
      <c r="E203" s="83" t="s">
        <v>2424</v>
      </c>
      <c r="F203" s="87" t="s">
        <v>2425</v>
      </c>
      <c r="G203" s="87" t="s">
        <v>976</v>
      </c>
      <c r="H203" s="87" t="s">
        <v>43</v>
      </c>
      <c r="I203" s="85" t="s">
        <v>23</v>
      </c>
      <c r="J203" s="86" t="s">
        <v>2426</v>
      </c>
      <c r="K203" s="86" t="s">
        <v>977</v>
      </c>
      <c r="L203" t="e">
        <f>_xlfn.XLOOKUP(C203,'ΥΠΑΛΛΗΛΟΙ ΓΔΑΕΦΚ'!#REF!,'ΥΠΑΛΛΗΛΟΙ ΓΔΑΕΦΚ'!#REF!,"_")</f>
        <v>#REF!</v>
      </c>
    </row>
    <row r="204" spans="1:12" x14ac:dyDescent="0.25">
      <c r="A204" s="79">
        <f>--SUBTOTAL(3,$B$2:B203)</f>
        <v>202</v>
      </c>
      <c r="B204" s="80" t="s">
        <v>2340</v>
      </c>
      <c r="C204" s="81" t="s">
        <v>2427</v>
      </c>
      <c r="D204" s="82" t="s">
        <v>978</v>
      </c>
      <c r="E204" s="83" t="s">
        <v>2428</v>
      </c>
      <c r="F204" s="87" t="s">
        <v>2429</v>
      </c>
      <c r="G204" s="87" t="s">
        <v>2430</v>
      </c>
      <c r="H204" s="87" t="s">
        <v>43</v>
      </c>
      <c r="I204" s="85" t="s">
        <v>23</v>
      </c>
      <c r="J204" s="86" t="s">
        <v>2431</v>
      </c>
      <c r="K204" s="86" t="s">
        <v>2432</v>
      </c>
      <c r="L204" t="e">
        <f>_xlfn.XLOOKUP(C204,'ΥΠΑΛΛΗΛΟΙ ΓΔΑΕΦΚ'!#REF!,'ΥΠΑΛΛΗΛΟΙ ΓΔΑΕΦΚ'!#REF!,"_")</f>
        <v>#REF!</v>
      </c>
    </row>
    <row r="205" spans="1:12" x14ac:dyDescent="0.25">
      <c r="A205" s="79">
        <f>--SUBTOTAL(3,$B$2:B204)</f>
        <v>203</v>
      </c>
      <c r="B205" s="80" t="s">
        <v>2340</v>
      </c>
      <c r="C205" s="81" t="s">
        <v>2433</v>
      </c>
      <c r="D205" s="82" t="s">
        <v>985</v>
      </c>
      <c r="E205" s="83" t="s">
        <v>2434</v>
      </c>
      <c r="F205" s="87" t="s">
        <v>2435</v>
      </c>
      <c r="G205" s="87" t="s">
        <v>2436</v>
      </c>
      <c r="H205" s="87" t="s">
        <v>337</v>
      </c>
      <c r="I205" s="85" t="s">
        <v>23</v>
      </c>
      <c r="J205" s="86" t="s">
        <v>2437</v>
      </c>
      <c r="K205" s="86" t="s">
        <v>2438</v>
      </c>
      <c r="L205" t="e">
        <f>_xlfn.XLOOKUP(C205,'ΥΠΑΛΛΗΛΟΙ ΓΔΑΕΦΚ'!#REF!,'ΥΠΑΛΛΗΛΟΙ ΓΔΑΕΦΚ'!#REF!,"_")</f>
        <v>#REF!</v>
      </c>
    </row>
    <row r="206" spans="1:12" x14ac:dyDescent="0.25">
      <c r="A206" s="79">
        <f>--SUBTOTAL(3,$B$2:B205)</f>
        <v>204</v>
      </c>
      <c r="B206" s="80" t="s">
        <v>2340</v>
      </c>
      <c r="C206" s="81" t="s">
        <v>2439</v>
      </c>
      <c r="D206" s="82" t="s">
        <v>987</v>
      </c>
      <c r="E206" s="83" t="s">
        <v>2440</v>
      </c>
      <c r="F206" s="87" t="s">
        <v>2441</v>
      </c>
      <c r="G206" s="87" t="s">
        <v>989</v>
      </c>
      <c r="H206" s="87" t="s">
        <v>1007</v>
      </c>
      <c r="I206" s="85" t="s">
        <v>23</v>
      </c>
      <c r="J206" s="86" t="s">
        <v>2442</v>
      </c>
      <c r="K206" s="86" t="s">
        <v>991</v>
      </c>
      <c r="L206" t="e">
        <f>_xlfn.XLOOKUP(C206,'ΥΠΑΛΛΗΛΟΙ ΓΔΑΕΦΚ'!#REF!,'ΥΠΑΛΛΗΛΟΙ ΓΔΑΕΦΚ'!#REF!,"_")</f>
        <v>#REF!</v>
      </c>
    </row>
    <row r="207" spans="1:12" x14ac:dyDescent="0.25">
      <c r="A207" s="79">
        <f>--SUBTOTAL(3,$B$2:B206)</f>
        <v>205</v>
      </c>
      <c r="B207" s="80" t="s">
        <v>2340</v>
      </c>
      <c r="C207" s="81" t="s">
        <v>2443</v>
      </c>
      <c r="D207" s="82" t="s">
        <v>992</v>
      </c>
      <c r="E207" s="83" t="s">
        <v>2444</v>
      </c>
      <c r="F207" s="87" t="s">
        <v>2445</v>
      </c>
      <c r="G207" s="87" t="s">
        <v>2446</v>
      </c>
      <c r="H207" s="87" t="s">
        <v>224</v>
      </c>
      <c r="I207" s="85" t="s">
        <v>23</v>
      </c>
      <c r="J207" s="86" t="s">
        <v>2447</v>
      </c>
      <c r="K207" s="86" t="s">
        <v>994</v>
      </c>
      <c r="L207" t="e">
        <f>_xlfn.XLOOKUP(C207,'ΥΠΑΛΛΗΛΟΙ ΓΔΑΕΦΚ'!#REF!,'ΥΠΑΛΛΗΛΟΙ ΓΔΑΕΦΚ'!#REF!,"_")</f>
        <v>#REF!</v>
      </c>
    </row>
    <row r="208" spans="1:12" x14ac:dyDescent="0.25">
      <c r="A208" s="79">
        <f>--SUBTOTAL(3,$B$2:B207)</f>
        <v>206</v>
      </c>
      <c r="B208" s="80" t="s">
        <v>2340</v>
      </c>
      <c r="C208" s="81" t="s">
        <v>2448</v>
      </c>
      <c r="D208" s="82" t="s">
        <v>995</v>
      </c>
      <c r="E208" s="83" t="s">
        <v>2449</v>
      </c>
      <c r="F208" s="87" t="s">
        <v>2450</v>
      </c>
      <c r="G208" s="87" t="s">
        <v>997</v>
      </c>
      <c r="H208" s="87" t="s">
        <v>43</v>
      </c>
      <c r="I208" s="85" t="s">
        <v>23</v>
      </c>
      <c r="J208" s="86" t="s">
        <v>2451</v>
      </c>
      <c r="K208" s="86" t="s">
        <v>2452</v>
      </c>
      <c r="L208" t="e">
        <f>_xlfn.XLOOKUP(C208,'ΥΠΑΛΛΗΛΟΙ ΓΔΑΕΦΚ'!#REF!,'ΥΠΑΛΛΗΛΟΙ ΓΔΑΕΦΚ'!#REF!,"_")</f>
        <v>#REF!</v>
      </c>
    </row>
    <row r="209" spans="1:12" x14ac:dyDescent="0.25">
      <c r="A209" s="79">
        <f>--SUBTOTAL(3,$B$2:B208)</f>
        <v>207</v>
      </c>
      <c r="B209" s="80" t="s">
        <v>2340</v>
      </c>
      <c r="C209" s="81" t="s">
        <v>2453</v>
      </c>
      <c r="D209" s="82" t="s">
        <v>2454</v>
      </c>
      <c r="E209" s="83" t="s">
        <v>2455</v>
      </c>
      <c r="F209" s="87" t="s">
        <v>2456</v>
      </c>
      <c r="G209" s="87">
        <v>6932438715</v>
      </c>
      <c r="H209" s="87" t="s">
        <v>43</v>
      </c>
      <c r="I209" s="85"/>
      <c r="J209" s="86" t="s">
        <v>2457</v>
      </c>
      <c r="K209" s="86"/>
      <c r="L209" t="e">
        <f>_xlfn.XLOOKUP(C209,'ΥΠΑΛΛΗΛΟΙ ΓΔΑΕΦΚ'!#REF!,'ΥΠΑΛΛΗΛΟΙ ΓΔΑΕΦΚ'!#REF!,"_")</f>
        <v>#REF!</v>
      </c>
    </row>
    <row r="210" spans="1:12" x14ac:dyDescent="0.25">
      <c r="A210" s="79">
        <f>--SUBTOTAL(3,$B$2:B209)</f>
        <v>208</v>
      </c>
      <c r="B210" s="80" t="s">
        <v>2340</v>
      </c>
      <c r="C210" s="81" t="s">
        <v>2458</v>
      </c>
      <c r="D210" s="82" t="s">
        <v>999</v>
      </c>
      <c r="E210" s="83" t="s">
        <v>2459</v>
      </c>
      <c r="F210" s="87" t="s">
        <v>2460</v>
      </c>
      <c r="G210" s="87" t="s">
        <v>1001</v>
      </c>
      <c r="H210" s="87" t="s">
        <v>43</v>
      </c>
      <c r="I210" s="85" t="s">
        <v>23</v>
      </c>
      <c r="J210" s="86" t="s">
        <v>2461</v>
      </c>
      <c r="K210" s="86" t="s">
        <v>1003</v>
      </c>
      <c r="L210" t="e">
        <f>_xlfn.XLOOKUP(C210,'ΥΠΑΛΛΗΛΟΙ ΓΔΑΕΦΚ'!#REF!,'ΥΠΑΛΛΗΛΟΙ ΓΔΑΕΦΚ'!#REF!,"_")</f>
        <v>#REF!</v>
      </c>
    </row>
    <row r="211" spans="1:12" x14ac:dyDescent="0.25">
      <c r="A211" s="79">
        <f>--SUBTOTAL(3,$B$2:B210)</f>
        <v>209</v>
      </c>
      <c r="B211" s="80" t="s">
        <v>2340</v>
      </c>
      <c r="C211" s="81" t="s">
        <v>2462</v>
      </c>
      <c r="D211" s="82" t="s">
        <v>2463</v>
      </c>
      <c r="E211" s="83" t="s">
        <v>2464</v>
      </c>
      <c r="F211" s="87" t="s">
        <v>2465</v>
      </c>
      <c r="G211" s="87">
        <v>6944666285</v>
      </c>
      <c r="H211" s="87" t="s">
        <v>43</v>
      </c>
      <c r="I211" s="85"/>
      <c r="J211" s="86" t="s">
        <v>2466</v>
      </c>
      <c r="K211" s="86"/>
      <c r="L211" t="e">
        <f>_xlfn.XLOOKUP(C211,'ΥΠΑΛΛΗΛΟΙ ΓΔΑΕΦΚ'!#REF!,'ΥΠΑΛΛΗΛΟΙ ΓΔΑΕΦΚ'!#REF!,"_")</f>
        <v>#REF!</v>
      </c>
    </row>
    <row r="212" spans="1:12" x14ac:dyDescent="0.25">
      <c r="A212" s="79">
        <f>--SUBTOTAL(3,$B$2:B211)</f>
        <v>210</v>
      </c>
      <c r="B212" s="80" t="s">
        <v>2340</v>
      </c>
      <c r="C212" s="94" t="s">
        <v>2467</v>
      </c>
      <c r="D212" s="82" t="s">
        <v>2468</v>
      </c>
      <c r="E212" s="83" t="s">
        <v>2469</v>
      </c>
      <c r="F212" s="87" t="s">
        <v>2470</v>
      </c>
      <c r="G212" s="87" t="s">
        <v>2471</v>
      </c>
      <c r="H212" s="87" t="s">
        <v>31</v>
      </c>
      <c r="I212" s="85" t="s">
        <v>23</v>
      </c>
      <c r="J212" s="86" t="s">
        <v>2472</v>
      </c>
      <c r="K212" s="86" t="s">
        <v>2473</v>
      </c>
      <c r="L212" t="e">
        <f>_xlfn.XLOOKUP(C212,'ΥΠΑΛΛΗΛΟΙ ΓΔΑΕΦΚ'!#REF!,'ΥΠΑΛΛΗΛΟΙ ΓΔΑΕΦΚ'!#REF!,"_")</f>
        <v>#REF!</v>
      </c>
    </row>
    <row r="213" spans="1:12" x14ac:dyDescent="0.25">
      <c r="A213" s="79">
        <f>--SUBTOTAL(3,$B$2:B212)</f>
        <v>211</v>
      </c>
      <c r="B213" s="80" t="s">
        <v>2340</v>
      </c>
      <c r="C213" s="81" t="s">
        <v>2474</v>
      </c>
      <c r="D213" s="82" t="s">
        <v>1004</v>
      </c>
      <c r="E213" s="83" t="s">
        <v>2475</v>
      </c>
      <c r="F213" s="87" t="s">
        <v>2476</v>
      </c>
      <c r="G213" s="87" t="s">
        <v>1006</v>
      </c>
      <c r="H213" s="87" t="s">
        <v>337</v>
      </c>
      <c r="I213" s="85" t="s">
        <v>23</v>
      </c>
      <c r="J213" s="86" t="s">
        <v>2477</v>
      </c>
      <c r="K213" s="86" t="s">
        <v>1008</v>
      </c>
      <c r="L213" t="e">
        <f>_xlfn.XLOOKUP(C213,'ΥΠΑΛΛΗΛΟΙ ΓΔΑΕΦΚ'!#REF!,'ΥΠΑΛΛΗΛΟΙ ΓΔΑΕΦΚ'!#REF!,"_")</f>
        <v>#REF!</v>
      </c>
    </row>
    <row r="214" spans="1:12" x14ac:dyDescent="0.25">
      <c r="A214" s="79">
        <f>--SUBTOTAL(3,$B$2:B213)</f>
        <v>212</v>
      </c>
      <c r="B214" s="80" t="s">
        <v>2340</v>
      </c>
      <c r="C214" s="81" t="s">
        <v>2478</v>
      </c>
      <c r="D214" s="82" t="s">
        <v>1009</v>
      </c>
      <c r="E214" s="83" t="s">
        <v>2479</v>
      </c>
      <c r="F214" s="87" t="s">
        <v>2480</v>
      </c>
      <c r="G214" s="87" t="s">
        <v>2481</v>
      </c>
      <c r="H214" s="87" t="s">
        <v>43</v>
      </c>
      <c r="I214" s="85" t="s">
        <v>23</v>
      </c>
      <c r="J214" s="86" t="s">
        <v>2482</v>
      </c>
      <c r="K214" s="86" t="s">
        <v>2483</v>
      </c>
      <c r="L214" t="e">
        <f>_xlfn.XLOOKUP(C214,'ΥΠΑΛΛΗΛΟΙ ΓΔΑΕΦΚ'!#REF!,'ΥΠΑΛΛΗΛΟΙ ΓΔΑΕΦΚ'!#REF!,"_")</f>
        <v>#REF!</v>
      </c>
    </row>
    <row r="215" spans="1:12" x14ac:dyDescent="0.25">
      <c r="A215" s="79">
        <f>--SUBTOTAL(3,$B$2:B214)</f>
        <v>213</v>
      </c>
      <c r="B215" s="80" t="s">
        <v>2340</v>
      </c>
      <c r="C215" s="81" t="s">
        <v>2484</v>
      </c>
      <c r="D215" s="82" t="s">
        <v>1502</v>
      </c>
      <c r="E215" s="83" t="s">
        <v>2485</v>
      </c>
      <c r="F215" s="87" t="s">
        <v>2486</v>
      </c>
      <c r="G215" s="87" t="s">
        <v>1503</v>
      </c>
      <c r="H215" s="87" t="s">
        <v>224</v>
      </c>
      <c r="I215" s="85" t="s">
        <v>23</v>
      </c>
      <c r="J215" s="86" t="s">
        <v>2487</v>
      </c>
      <c r="K215" s="86" t="s">
        <v>2488</v>
      </c>
      <c r="L215" t="e">
        <f>_xlfn.XLOOKUP(C215,'ΥΠΑΛΛΗΛΟΙ ΓΔΑΕΦΚ'!#REF!,'ΥΠΑΛΛΗΛΟΙ ΓΔΑΕΦΚ'!#REF!,"_")</f>
        <v>#REF!</v>
      </c>
    </row>
    <row r="216" spans="1:12" x14ac:dyDescent="0.25">
      <c r="A216" s="79">
        <f>--SUBTOTAL(3,$B$2:B215)</f>
        <v>214</v>
      </c>
      <c r="B216" s="80" t="s">
        <v>2340</v>
      </c>
      <c r="C216" s="81" t="s">
        <v>2489</v>
      </c>
      <c r="D216" s="82" t="s">
        <v>1012</v>
      </c>
      <c r="E216" s="83" t="s">
        <v>2490</v>
      </c>
      <c r="F216" s="87" t="s">
        <v>2491</v>
      </c>
      <c r="G216" s="87" t="s">
        <v>2492</v>
      </c>
      <c r="H216" s="87" t="s">
        <v>43</v>
      </c>
      <c r="I216" s="85" t="s">
        <v>23</v>
      </c>
      <c r="J216" s="86" t="s">
        <v>2493</v>
      </c>
      <c r="K216" s="86" t="s">
        <v>1015</v>
      </c>
      <c r="L216" t="e">
        <f>_xlfn.XLOOKUP(C216,'ΥΠΑΛΛΗΛΟΙ ΓΔΑΕΦΚ'!#REF!,'ΥΠΑΛΛΗΛΟΙ ΓΔΑΕΦΚ'!#REF!,"_")</f>
        <v>#REF!</v>
      </c>
    </row>
    <row r="217" spans="1:12" x14ac:dyDescent="0.25">
      <c r="A217" s="79">
        <f>--SUBTOTAL(3,$B$2:B216)</f>
        <v>215</v>
      </c>
      <c r="B217" s="80" t="s">
        <v>2340</v>
      </c>
      <c r="C217" s="81" t="s">
        <v>2494</v>
      </c>
      <c r="D217" s="82" t="s">
        <v>1016</v>
      </c>
      <c r="E217" s="83" t="s">
        <v>2495</v>
      </c>
      <c r="F217" s="87" t="s">
        <v>2496</v>
      </c>
      <c r="G217" s="87" t="s">
        <v>2497</v>
      </c>
      <c r="H217" s="87" t="s">
        <v>43</v>
      </c>
      <c r="I217" s="85" t="s">
        <v>23</v>
      </c>
      <c r="J217" s="86" t="s">
        <v>2498</v>
      </c>
      <c r="K217" s="86" t="s">
        <v>2499</v>
      </c>
      <c r="L217" t="e">
        <f>_xlfn.XLOOKUP(C217,'ΥΠΑΛΛΗΛΟΙ ΓΔΑΕΦΚ'!#REF!,'ΥΠΑΛΛΗΛΟΙ ΓΔΑΕΦΚ'!#REF!,"_")</f>
        <v>#REF!</v>
      </c>
    </row>
    <row r="218" spans="1:12" x14ac:dyDescent="0.25">
      <c r="A218" s="79">
        <f>--SUBTOTAL(3,$B$2:B217)</f>
        <v>216</v>
      </c>
      <c r="B218" s="80" t="s">
        <v>2340</v>
      </c>
      <c r="C218" s="81" t="s">
        <v>2500</v>
      </c>
      <c r="D218" s="82" t="s">
        <v>1019</v>
      </c>
      <c r="E218" s="83" t="s">
        <v>2501</v>
      </c>
      <c r="F218" s="87" t="s">
        <v>2502</v>
      </c>
      <c r="G218" s="87" t="s">
        <v>2503</v>
      </c>
      <c r="H218" s="87" t="s">
        <v>43</v>
      </c>
      <c r="I218" s="85" t="s">
        <v>23</v>
      </c>
      <c r="J218" s="86" t="s">
        <v>2504</v>
      </c>
      <c r="K218" s="86" t="s">
        <v>1022</v>
      </c>
      <c r="L218" t="e">
        <f>_xlfn.XLOOKUP(C218,'ΥΠΑΛΛΗΛΟΙ ΓΔΑΕΦΚ'!#REF!,'ΥΠΑΛΛΗΛΟΙ ΓΔΑΕΦΚ'!#REF!,"_")</f>
        <v>#REF!</v>
      </c>
    </row>
    <row r="219" spans="1:12" x14ac:dyDescent="0.25">
      <c r="A219" s="79">
        <f>--SUBTOTAL(3,$B$2:B218)</f>
        <v>217</v>
      </c>
      <c r="B219" s="80" t="s">
        <v>2340</v>
      </c>
      <c r="C219" s="81" t="s">
        <v>2505</v>
      </c>
      <c r="D219" s="82" t="s">
        <v>1023</v>
      </c>
      <c r="E219" s="83" t="s">
        <v>2506</v>
      </c>
      <c r="F219" s="87" t="s">
        <v>2507</v>
      </c>
      <c r="G219" s="87" t="s">
        <v>2508</v>
      </c>
      <c r="H219" s="87" t="s">
        <v>224</v>
      </c>
      <c r="I219" s="85" t="s">
        <v>23</v>
      </c>
      <c r="J219" s="86" t="s">
        <v>2509</v>
      </c>
      <c r="K219" s="86" t="s">
        <v>1025</v>
      </c>
      <c r="L219" t="e">
        <f>_xlfn.XLOOKUP(C219,'ΥΠΑΛΛΗΛΟΙ ΓΔΑΕΦΚ'!#REF!,'ΥΠΑΛΛΗΛΟΙ ΓΔΑΕΦΚ'!#REF!,"_")</f>
        <v>#REF!</v>
      </c>
    </row>
    <row r="220" spans="1:12" x14ac:dyDescent="0.25">
      <c r="A220" s="79">
        <f>--SUBTOTAL(3,$B$2:B219)</f>
        <v>218</v>
      </c>
      <c r="B220" s="80" t="s">
        <v>2340</v>
      </c>
      <c r="C220" s="81" t="s">
        <v>2510</v>
      </c>
      <c r="D220" s="82" t="s">
        <v>2511</v>
      </c>
      <c r="E220" s="83" t="s">
        <v>2512</v>
      </c>
      <c r="F220" s="87" t="s">
        <v>2513</v>
      </c>
      <c r="G220" s="87" t="s">
        <v>2514</v>
      </c>
      <c r="H220" s="87" t="s">
        <v>31</v>
      </c>
      <c r="I220" s="85" t="s">
        <v>23</v>
      </c>
      <c r="J220" s="86" t="s">
        <v>2515</v>
      </c>
      <c r="K220" s="86" t="s">
        <v>2516</v>
      </c>
      <c r="L220" t="e">
        <f>_xlfn.XLOOKUP(C220,'ΥΠΑΛΛΗΛΟΙ ΓΔΑΕΦΚ'!#REF!,'ΥΠΑΛΛΗΛΟΙ ΓΔΑΕΦΚ'!#REF!,"_")</f>
        <v>#REF!</v>
      </c>
    </row>
    <row r="221" spans="1:12" x14ac:dyDescent="0.25">
      <c r="A221" s="79">
        <f>--SUBTOTAL(3,$B$2:B220)</f>
        <v>219</v>
      </c>
      <c r="B221" s="80" t="s">
        <v>2340</v>
      </c>
      <c r="C221" s="81" t="s">
        <v>2517</v>
      </c>
      <c r="D221" s="82" t="s">
        <v>1026</v>
      </c>
      <c r="E221" s="83" t="s">
        <v>2518</v>
      </c>
      <c r="F221" s="87" t="s">
        <v>2519</v>
      </c>
      <c r="G221" s="87" t="s">
        <v>2520</v>
      </c>
      <c r="H221" s="87" t="s">
        <v>224</v>
      </c>
      <c r="I221" s="85" t="s">
        <v>23</v>
      </c>
      <c r="J221" s="86" t="s">
        <v>2521</v>
      </c>
      <c r="K221" s="86" t="s">
        <v>2522</v>
      </c>
      <c r="L221" t="e">
        <f>_xlfn.XLOOKUP(C221,'ΥΠΑΛΛΗΛΟΙ ΓΔΑΕΦΚ'!#REF!,'ΥΠΑΛΛΗΛΟΙ ΓΔΑΕΦΚ'!#REF!,"_")</f>
        <v>#REF!</v>
      </c>
    </row>
    <row r="222" spans="1:12" x14ac:dyDescent="0.25">
      <c r="A222" s="79">
        <f>--SUBTOTAL(3,$B$2:B221)</f>
        <v>220</v>
      </c>
      <c r="B222" s="80" t="s">
        <v>2340</v>
      </c>
      <c r="C222" s="81" t="s">
        <v>2523</v>
      </c>
      <c r="D222" s="82" t="s">
        <v>2524</v>
      </c>
      <c r="E222" s="83" t="s">
        <v>2525</v>
      </c>
      <c r="F222" s="87" t="s">
        <v>2526</v>
      </c>
      <c r="G222" s="87" t="s">
        <v>2527</v>
      </c>
      <c r="H222" s="87" t="s">
        <v>31</v>
      </c>
      <c r="I222" s="85" t="s">
        <v>23</v>
      </c>
      <c r="J222" s="86" t="s">
        <v>2528</v>
      </c>
      <c r="K222" s="86" t="s">
        <v>2529</v>
      </c>
      <c r="L222" t="e">
        <f>_xlfn.XLOOKUP(C222,'ΥΠΑΛΛΗΛΟΙ ΓΔΑΕΦΚ'!#REF!,'ΥΠΑΛΛΗΛΟΙ ΓΔΑΕΦΚ'!#REF!,"_")</f>
        <v>#REF!</v>
      </c>
    </row>
    <row r="223" spans="1:12" x14ac:dyDescent="0.25">
      <c r="A223" s="79">
        <f>--SUBTOTAL(3,$B$2:B222)</f>
        <v>221</v>
      </c>
      <c r="B223" s="80" t="s">
        <v>2340</v>
      </c>
      <c r="C223" s="81" t="s">
        <v>2530</v>
      </c>
      <c r="D223" s="82" t="s">
        <v>1029</v>
      </c>
      <c r="E223" s="83" t="s">
        <v>2531</v>
      </c>
      <c r="F223" s="87" t="s">
        <v>2532</v>
      </c>
      <c r="G223" s="87" t="s">
        <v>2533</v>
      </c>
      <c r="H223" s="87" t="s">
        <v>43</v>
      </c>
      <c r="I223" s="85" t="s">
        <v>23</v>
      </c>
      <c r="J223" s="86" t="s">
        <v>2534</v>
      </c>
      <c r="K223" s="86" t="s">
        <v>2535</v>
      </c>
      <c r="L223" t="e">
        <f>_xlfn.XLOOKUP(C223,'ΥΠΑΛΛΗΛΟΙ ΓΔΑΕΦΚ'!#REF!,'ΥΠΑΛΛΗΛΟΙ ΓΔΑΕΦΚ'!#REF!,"_")</f>
        <v>#REF!</v>
      </c>
    </row>
    <row r="224" spans="1:12" x14ac:dyDescent="0.25">
      <c r="A224" s="79">
        <f>--SUBTOTAL(3,$B$2:B223)</f>
        <v>222</v>
      </c>
      <c r="B224" s="80" t="s">
        <v>2340</v>
      </c>
      <c r="C224" s="81" t="s">
        <v>2536</v>
      </c>
      <c r="D224" s="82" t="s">
        <v>1031</v>
      </c>
      <c r="E224" s="83" t="s">
        <v>2537</v>
      </c>
      <c r="F224" s="87" t="s">
        <v>2538</v>
      </c>
      <c r="G224" s="87" t="s">
        <v>2539</v>
      </c>
      <c r="H224" s="87" t="s">
        <v>43</v>
      </c>
      <c r="I224" s="85" t="s">
        <v>23</v>
      </c>
      <c r="J224" s="86" t="s">
        <v>2540</v>
      </c>
      <c r="K224" s="86" t="s">
        <v>2541</v>
      </c>
      <c r="L224" t="e">
        <f>_xlfn.XLOOKUP(C224,'ΥΠΑΛΛΗΛΟΙ ΓΔΑΕΦΚ'!#REF!,'ΥΠΑΛΛΗΛΟΙ ΓΔΑΕΦΚ'!#REF!,"_")</f>
        <v>#REF!</v>
      </c>
    </row>
    <row r="225" spans="1:12" x14ac:dyDescent="0.25">
      <c r="A225" s="79">
        <f>--SUBTOTAL(3,$B$2:B224)</f>
        <v>223</v>
      </c>
      <c r="B225" s="80" t="s">
        <v>2340</v>
      </c>
      <c r="C225" s="81" t="s">
        <v>2542</v>
      </c>
      <c r="D225" s="82" t="s">
        <v>2543</v>
      </c>
      <c r="E225" s="83" t="s">
        <v>2544</v>
      </c>
      <c r="F225" s="87" t="s">
        <v>2545</v>
      </c>
      <c r="G225" s="87" t="s">
        <v>2546</v>
      </c>
      <c r="H225" s="87" t="s">
        <v>1007</v>
      </c>
      <c r="I225" s="85" t="s">
        <v>23</v>
      </c>
      <c r="J225" s="86" t="s">
        <v>2547</v>
      </c>
      <c r="K225" s="86" t="s">
        <v>2548</v>
      </c>
      <c r="L225" t="e">
        <f>_xlfn.XLOOKUP(C225,'ΥΠΑΛΛΗΛΟΙ ΓΔΑΕΦΚ'!#REF!,'ΥΠΑΛΛΗΛΟΙ ΓΔΑΕΦΚ'!#REF!,"_")</f>
        <v>#REF!</v>
      </c>
    </row>
    <row r="226" spans="1:12" x14ac:dyDescent="0.25">
      <c r="A226" s="79">
        <f>--SUBTOTAL(3,$B$2:B225)</f>
        <v>224</v>
      </c>
      <c r="B226" s="80" t="s">
        <v>2340</v>
      </c>
      <c r="C226" s="95" t="s">
        <v>2549</v>
      </c>
      <c r="D226" s="82" t="s">
        <v>1036</v>
      </c>
      <c r="E226" s="83" t="s">
        <v>2550</v>
      </c>
      <c r="F226" s="87" t="s">
        <v>2551</v>
      </c>
      <c r="G226" s="87" t="s">
        <v>1037</v>
      </c>
      <c r="H226" s="87" t="s">
        <v>43</v>
      </c>
      <c r="I226" s="85" t="s">
        <v>23</v>
      </c>
      <c r="J226" s="86" t="s">
        <v>2552</v>
      </c>
      <c r="K226" s="86" t="s">
        <v>1039</v>
      </c>
      <c r="L226" t="e">
        <f>_xlfn.XLOOKUP(C226,'ΥΠΑΛΛΗΛΟΙ ΓΔΑΕΦΚ'!#REF!,'ΥΠΑΛΛΗΛΟΙ ΓΔΑΕΦΚ'!#REF!,"_")</f>
        <v>#REF!</v>
      </c>
    </row>
    <row r="227" spans="1:12" x14ac:dyDescent="0.25">
      <c r="A227" s="79">
        <f>--SUBTOTAL(3,$B$2:B226)</f>
        <v>225</v>
      </c>
      <c r="B227" s="80" t="s">
        <v>2340</v>
      </c>
      <c r="C227" s="81" t="s">
        <v>2553</v>
      </c>
      <c r="D227" s="82" t="s">
        <v>598</v>
      </c>
      <c r="E227" s="83" t="s">
        <v>2554</v>
      </c>
      <c r="F227" s="87" t="s">
        <v>2555</v>
      </c>
      <c r="G227" s="87" t="s">
        <v>599</v>
      </c>
      <c r="H227" s="87" t="s">
        <v>224</v>
      </c>
      <c r="I227" s="85" t="s">
        <v>23</v>
      </c>
      <c r="J227" s="86" t="s">
        <v>2556</v>
      </c>
      <c r="K227" s="86" t="s">
        <v>601</v>
      </c>
      <c r="L227" t="e">
        <f>_xlfn.XLOOKUP(C227,'ΥΠΑΛΛΗΛΟΙ ΓΔΑΕΦΚ'!#REF!,'ΥΠΑΛΛΗΛΟΙ ΓΔΑΕΦΚ'!#REF!,"_")</f>
        <v>#REF!</v>
      </c>
    </row>
    <row r="228" spans="1:12" x14ac:dyDescent="0.25">
      <c r="A228" s="79">
        <f>--SUBTOTAL(3,$B$2:B227)</f>
        <v>226</v>
      </c>
      <c r="B228" s="80" t="s">
        <v>2340</v>
      </c>
      <c r="C228" s="81" t="s">
        <v>2557</v>
      </c>
      <c r="D228" s="82" t="s">
        <v>1041</v>
      </c>
      <c r="E228" s="83" t="s">
        <v>2558</v>
      </c>
      <c r="F228" s="87" t="s">
        <v>2559</v>
      </c>
      <c r="G228" s="87" t="s">
        <v>2560</v>
      </c>
      <c r="H228" s="87" t="s">
        <v>43</v>
      </c>
      <c r="I228" s="85" t="s">
        <v>23</v>
      </c>
      <c r="J228" s="86" t="s">
        <v>2561</v>
      </c>
      <c r="K228" s="86" t="s">
        <v>1043</v>
      </c>
      <c r="L228" t="e">
        <f>_xlfn.XLOOKUP(C228,'ΥΠΑΛΛΗΛΟΙ ΓΔΑΕΦΚ'!#REF!,'ΥΠΑΛΛΗΛΟΙ ΓΔΑΕΦΚ'!#REF!,"_")</f>
        <v>#REF!</v>
      </c>
    </row>
    <row r="229" spans="1:12" x14ac:dyDescent="0.25">
      <c r="A229" s="79">
        <f>--SUBTOTAL(3,$B$2:B228)</f>
        <v>227</v>
      </c>
      <c r="B229" s="80" t="s">
        <v>2340</v>
      </c>
      <c r="C229" s="81" t="s">
        <v>2562</v>
      </c>
      <c r="D229" s="82" t="s">
        <v>1044</v>
      </c>
      <c r="E229" s="83" t="s">
        <v>2563</v>
      </c>
      <c r="F229" s="87" t="s">
        <v>2564</v>
      </c>
      <c r="G229" s="87" t="s">
        <v>1046</v>
      </c>
      <c r="H229" s="87" t="s">
        <v>43</v>
      </c>
      <c r="I229" s="85" t="s">
        <v>23</v>
      </c>
      <c r="J229" s="86" t="s">
        <v>2565</v>
      </c>
      <c r="K229" s="86" t="s">
        <v>1047</v>
      </c>
      <c r="L229" t="e">
        <f>_xlfn.XLOOKUP(C229,'ΥΠΑΛΛΗΛΟΙ ΓΔΑΕΦΚ'!#REF!,'ΥΠΑΛΛΗΛΟΙ ΓΔΑΕΦΚ'!#REF!,"_")</f>
        <v>#REF!</v>
      </c>
    </row>
    <row r="230" spans="1:12" x14ac:dyDescent="0.25">
      <c r="A230" s="79">
        <f>--SUBTOTAL(3,$B$2:B229)</f>
        <v>228</v>
      </c>
      <c r="B230" s="80" t="s">
        <v>2340</v>
      </c>
      <c r="C230" s="81" t="s">
        <v>2566</v>
      </c>
      <c r="D230" s="82" t="s">
        <v>1048</v>
      </c>
      <c r="E230" s="83" t="s">
        <v>2567</v>
      </c>
      <c r="F230" s="87" t="s">
        <v>2568</v>
      </c>
      <c r="G230" s="87" t="s">
        <v>1049</v>
      </c>
      <c r="H230" s="87" t="s">
        <v>43</v>
      </c>
      <c r="I230" s="85" t="s">
        <v>23</v>
      </c>
      <c r="J230" s="86" t="s">
        <v>2569</v>
      </c>
      <c r="K230" s="86" t="s">
        <v>1050</v>
      </c>
      <c r="L230" t="e">
        <f>_xlfn.XLOOKUP(C230,'ΥΠΑΛΛΗΛΟΙ ΓΔΑΕΦΚ'!#REF!,'ΥΠΑΛΛΗΛΟΙ ΓΔΑΕΦΚ'!#REF!,"_")</f>
        <v>#REF!</v>
      </c>
    </row>
    <row r="231" spans="1:12" x14ac:dyDescent="0.25">
      <c r="A231" s="79">
        <f>--SUBTOTAL(3,$B$2:B230)</f>
        <v>229</v>
      </c>
      <c r="B231" s="80" t="s">
        <v>2340</v>
      </c>
      <c r="C231" s="81" t="s">
        <v>2570</v>
      </c>
      <c r="D231" s="82" t="s">
        <v>1051</v>
      </c>
      <c r="E231" s="83" t="s">
        <v>2571</v>
      </c>
      <c r="F231" s="87" t="s">
        <v>2572</v>
      </c>
      <c r="G231" s="87" t="s">
        <v>2573</v>
      </c>
      <c r="H231" s="87" t="s">
        <v>224</v>
      </c>
      <c r="I231" s="85" t="s">
        <v>23</v>
      </c>
      <c r="J231" s="86" t="s">
        <v>2574</v>
      </c>
      <c r="K231" s="86" t="s">
        <v>2575</v>
      </c>
      <c r="L231" t="e">
        <f>_xlfn.XLOOKUP(C231,'ΥΠΑΛΛΗΛΟΙ ΓΔΑΕΦΚ'!#REF!,'ΥΠΑΛΛΗΛΟΙ ΓΔΑΕΦΚ'!#REF!,"_")</f>
        <v>#REF!</v>
      </c>
    </row>
    <row r="232" spans="1:12" x14ac:dyDescent="0.25">
      <c r="A232" s="79">
        <f>--SUBTOTAL(3,$B$2:B231)</f>
        <v>230</v>
      </c>
      <c r="B232" s="80" t="s">
        <v>2340</v>
      </c>
      <c r="C232" s="81" t="s">
        <v>2576</v>
      </c>
      <c r="D232" s="82" t="s">
        <v>1053</v>
      </c>
      <c r="E232" s="83" t="s">
        <v>2577</v>
      </c>
      <c r="F232" s="87" t="s">
        <v>2578</v>
      </c>
      <c r="G232" s="87" t="s">
        <v>1054</v>
      </c>
      <c r="H232" s="87" t="s">
        <v>1007</v>
      </c>
      <c r="I232" s="85" t="s">
        <v>23</v>
      </c>
      <c r="J232" s="86" t="s">
        <v>2579</v>
      </c>
      <c r="K232" s="86" t="s">
        <v>1055</v>
      </c>
      <c r="L232" t="e">
        <f>_xlfn.XLOOKUP(C232,'ΥΠΑΛΛΗΛΟΙ ΓΔΑΕΦΚ'!#REF!,'ΥΠΑΛΛΗΛΟΙ ΓΔΑΕΦΚ'!#REF!,"_")</f>
        <v>#REF!</v>
      </c>
    </row>
    <row r="233" spans="1:12" x14ac:dyDescent="0.25">
      <c r="A233" s="79">
        <f>--SUBTOTAL(3,$B$2:B232)</f>
        <v>231</v>
      </c>
      <c r="B233" s="80" t="s">
        <v>2340</v>
      </c>
      <c r="C233" s="81" t="s">
        <v>2580</v>
      </c>
      <c r="D233" s="82" t="s">
        <v>2581</v>
      </c>
      <c r="E233" s="83" t="s">
        <v>2582</v>
      </c>
      <c r="F233" s="87" t="s">
        <v>2583</v>
      </c>
      <c r="G233" s="87" t="s">
        <v>2584</v>
      </c>
      <c r="H233" s="87" t="s">
        <v>31</v>
      </c>
      <c r="I233" s="85" t="s">
        <v>23</v>
      </c>
      <c r="J233" s="86" t="s">
        <v>2585</v>
      </c>
      <c r="K233" s="86" t="s">
        <v>2586</v>
      </c>
      <c r="L233" t="e">
        <f>_xlfn.XLOOKUP(C233,'ΥΠΑΛΛΗΛΟΙ ΓΔΑΕΦΚ'!#REF!,'ΥΠΑΛΛΗΛΟΙ ΓΔΑΕΦΚ'!#REF!,"_")</f>
        <v>#REF!</v>
      </c>
    </row>
    <row r="234" spans="1:12" x14ac:dyDescent="0.25">
      <c r="A234" s="79">
        <f>--SUBTOTAL(3,$B$2:B233)</f>
        <v>232</v>
      </c>
      <c r="B234" s="80" t="s">
        <v>2340</v>
      </c>
      <c r="C234" s="81" t="s">
        <v>2587</v>
      </c>
      <c r="D234" s="82" t="s">
        <v>1056</v>
      </c>
      <c r="E234" s="83" t="s">
        <v>2588</v>
      </c>
      <c r="F234" s="87" t="s">
        <v>2589</v>
      </c>
      <c r="G234" s="87" t="s">
        <v>2590</v>
      </c>
      <c r="H234" s="87" t="s">
        <v>43</v>
      </c>
      <c r="I234" s="85" t="s">
        <v>23</v>
      </c>
      <c r="J234" s="86" t="s">
        <v>2591</v>
      </c>
      <c r="K234" s="86" t="s">
        <v>1058</v>
      </c>
      <c r="L234" t="e">
        <f>_xlfn.XLOOKUP(C234,'ΥΠΑΛΛΗΛΟΙ ΓΔΑΕΦΚ'!#REF!,'ΥΠΑΛΛΗΛΟΙ ΓΔΑΕΦΚ'!#REF!,"_")</f>
        <v>#REF!</v>
      </c>
    </row>
    <row r="235" spans="1:12" x14ac:dyDescent="0.25">
      <c r="A235" s="79">
        <f>--SUBTOTAL(3,$B$2:B234)</f>
        <v>233</v>
      </c>
      <c r="B235" s="80" t="s">
        <v>2340</v>
      </c>
      <c r="C235" s="81" t="s">
        <v>2592</v>
      </c>
      <c r="D235" s="82" t="s">
        <v>1059</v>
      </c>
      <c r="E235" s="83" t="s">
        <v>2593</v>
      </c>
      <c r="F235" s="87" t="s">
        <v>2594</v>
      </c>
      <c r="G235" s="87" t="s">
        <v>1060</v>
      </c>
      <c r="H235" s="87" t="s">
        <v>43</v>
      </c>
      <c r="I235" s="85" t="s">
        <v>23</v>
      </c>
      <c r="J235" s="86" t="s">
        <v>2595</v>
      </c>
      <c r="K235" s="86" t="s">
        <v>1061</v>
      </c>
      <c r="L235" t="e">
        <f>_xlfn.XLOOKUP(C235,'ΥΠΑΛΛΗΛΟΙ ΓΔΑΕΦΚ'!#REF!,'ΥΠΑΛΛΗΛΟΙ ΓΔΑΕΦΚ'!#REF!,"_")</f>
        <v>#REF!</v>
      </c>
    </row>
    <row r="236" spans="1:12" ht="24" x14ac:dyDescent="0.25">
      <c r="A236" s="79">
        <f>--SUBTOTAL(3,$B$2:B235)</f>
        <v>234</v>
      </c>
      <c r="B236" s="80" t="s">
        <v>2340</v>
      </c>
      <c r="C236" s="81" t="s">
        <v>2596</v>
      </c>
      <c r="D236" s="82" t="s">
        <v>1065</v>
      </c>
      <c r="E236" s="83" t="s">
        <v>2597</v>
      </c>
      <c r="F236" s="87" t="s">
        <v>2598</v>
      </c>
      <c r="G236" s="87" t="s">
        <v>2599</v>
      </c>
      <c r="H236" s="87" t="s">
        <v>43</v>
      </c>
      <c r="I236" s="85" t="s">
        <v>23</v>
      </c>
      <c r="J236" s="86" t="s">
        <v>2600</v>
      </c>
      <c r="K236" s="86" t="s">
        <v>1067</v>
      </c>
      <c r="L236" t="e">
        <f>_xlfn.XLOOKUP(C236,'ΥΠΑΛΛΗΛΟΙ ΓΔΑΕΦΚ'!#REF!,'ΥΠΑΛΛΗΛΟΙ ΓΔΑΕΦΚ'!#REF!,"_")</f>
        <v>#REF!</v>
      </c>
    </row>
    <row r="237" spans="1:12" x14ac:dyDescent="0.25">
      <c r="A237" s="79">
        <f>--SUBTOTAL(3,$B$2:B236)</f>
        <v>235</v>
      </c>
      <c r="B237" s="80" t="s">
        <v>2340</v>
      </c>
      <c r="C237" s="81" t="s">
        <v>2601</v>
      </c>
      <c r="D237" s="82" t="s">
        <v>1068</v>
      </c>
      <c r="E237" s="83" t="s">
        <v>2602</v>
      </c>
      <c r="F237" s="87" t="s">
        <v>2603</v>
      </c>
      <c r="G237" s="87" t="s">
        <v>1070</v>
      </c>
      <c r="H237" s="87" t="s">
        <v>1007</v>
      </c>
      <c r="I237" s="85" t="s">
        <v>23</v>
      </c>
      <c r="J237" s="86" t="s">
        <v>2604</v>
      </c>
      <c r="K237" s="86" t="s">
        <v>2605</v>
      </c>
      <c r="L237" t="e">
        <f>_xlfn.XLOOKUP(C237,'ΥΠΑΛΛΗΛΟΙ ΓΔΑΕΦΚ'!#REF!,'ΥΠΑΛΛΗΛΟΙ ΓΔΑΕΦΚ'!#REF!,"_")</f>
        <v>#REF!</v>
      </c>
    </row>
    <row r="238" spans="1:12" x14ac:dyDescent="0.25">
      <c r="A238" s="79">
        <f>--SUBTOTAL(3,$B$2:B237)</f>
        <v>236</v>
      </c>
      <c r="B238" s="80" t="s">
        <v>2340</v>
      </c>
      <c r="C238" s="81" t="s">
        <v>2606</v>
      </c>
      <c r="D238" s="82" t="s">
        <v>2607</v>
      </c>
      <c r="E238" s="83" t="s">
        <v>2608</v>
      </c>
      <c r="F238" s="87" t="s">
        <v>2609</v>
      </c>
      <c r="G238" s="87" t="s">
        <v>2610</v>
      </c>
      <c r="H238" s="87" t="s">
        <v>31</v>
      </c>
      <c r="I238" s="85" t="s">
        <v>23</v>
      </c>
      <c r="J238" s="86" t="s">
        <v>2611</v>
      </c>
      <c r="K238" s="86" t="s">
        <v>2612</v>
      </c>
      <c r="L238" t="e">
        <f>_xlfn.XLOOKUP(C238,'ΥΠΑΛΛΗΛΟΙ ΓΔΑΕΦΚ'!#REF!,'ΥΠΑΛΛΗΛΟΙ ΓΔΑΕΦΚ'!#REF!,"_")</f>
        <v>#REF!</v>
      </c>
    </row>
    <row r="239" spans="1:12" x14ac:dyDescent="0.25">
      <c r="A239" s="79">
        <f>--SUBTOTAL(3,$B$2:B238)</f>
        <v>237</v>
      </c>
      <c r="B239" s="80" t="s">
        <v>2340</v>
      </c>
      <c r="C239" s="81" t="s">
        <v>2613</v>
      </c>
      <c r="D239" s="82" t="s">
        <v>1072</v>
      </c>
      <c r="E239" s="83" t="s">
        <v>2614</v>
      </c>
      <c r="F239" s="87" t="s">
        <v>2615</v>
      </c>
      <c r="G239" s="87" t="s">
        <v>2616</v>
      </c>
      <c r="H239" s="87" t="s">
        <v>43</v>
      </c>
      <c r="I239" s="85" t="s">
        <v>23</v>
      </c>
      <c r="J239" s="86" t="s">
        <v>2617</v>
      </c>
      <c r="K239" s="86" t="s">
        <v>1073</v>
      </c>
      <c r="L239" t="e">
        <f>_xlfn.XLOOKUP(C239,'ΥΠΑΛΛΗΛΟΙ ΓΔΑΕΦΚ'!#REF!,'ΥΠΑΛΛΗΛΟΙ ΓΔΑΕΦΚ'!#REF!,"_")</f>
        <v>#REF!</v>
      </c>
    </row>
    <row r="240" spans="1:12" x14ac:dyDescent="0.25">
      <c r="A240" s="79">
        <f>--SUBTOTAL(3,$B$2:B239)</f>
        <v>238</v>
      </c>
      <c r="B240" s="80" t="s">
        <v>2340</v>
      </c>
      <c r="C240" s="81" t="s">
        <v>2618</v>
      </c>
      <c r="D240" s="82" t="s">
        <v>2619</v>
      </c>
      <c r="E240" s="83" t="s">
        <v>2620</v>
      </c>
      <c r="F240" s="87" t="s">
        <v>2621</v>
      </c>
      <c r="G240" s="87" t="s">
        <v>2622</v>
      </c>
      <c r="H240" s="87" t="s">
        <v>31</v>
      </c>
      <c r="I240" s="85" t="s">
        <v>23</v>
      </c>
      <c r="J240" s="86" t="s">
        <v>2623</v>
      </c>
      <c r="K240" s="86" t="s">
        <v>2624</v>
      </c>
      <c r="L240" t="e">
        <f>_xlfn.XLOOKUP(C240,'ΥΠΑΛΛΗΛΟΙ ΓΔΑΕΦΚ'!#REF!,'ΥΠΑΛΛΗΛΟΙ ΓΔΑΕΦΚ'!#REF!,"_")</f>
        <v>#REF!</v>
      </c>
    </row>
    <row r="241" spans="1:12" x14ac:dyDescent="0.25">
      <c r="A241" s="79">
        <f>--SUBTOTAL(3,$B$2:B240)</f>
        <v>239</v>
      </c>
      <c r="B241" s="80" t="s">
        <v>2340</v>
      </c>
      <c r="C241" s="81" t="s">
        <v>2625</v>
      </c>
      <c r="D241" s="82" t="s">
        <v>1074</v>
      </c>
      <c r="E241" s="83" t="s">
        <v>2626</v>
      </c>
      <c r="F241" s="87" t="s">
        <v>2627</v>
      </c>
      <c r="G241" s="87" t="s">
        <v>2628</v>
      </c>
      <c r="H241" s="87" t="s">
        <v>43</v>
      </c>
      <c r="I241" s="85" t="s">
        <v>23</v>
      </c>
      <c r="J241" s="86" t="s">
        <v>2629</v>
      </c>
      <c r="K241" s="86" t="s">
        <v>1076</v>
      </c>
      <c r="L241" t="e">
        <f>_xlfn.XLOOKUP(C241,'ΥΠΑΛΛΗΛΟΙ ΓΔΑΕΦΚ'!#REF!,'ΥΠΑΛΛΗΛΟΙ ΓΔΑΕΦΚ'!#REF!,"_")</f>
        <v>#REF!</v>
      </c>
    </row>
    <row r="242" spans="1:12" x14ac:dyDescent="0.25">
      <c r="A242" s="79">
        <f>--SUBTOTAL(3,$B$2:B241)</f>
        <v>240</v>
      </c>
      <c r="B242" s="80" t="s">
        <v>2340</v>
      </c>
      <c r="C242" s="81" t="s">
        <v>2630</v>
      </c>
      <c r="D242" s="82" t="s">
        <v>2631</v>
      </c>
      <c r="E242" s="83" t="s">
        <v>2632</v>
      </c>
      <c r="F242" s="87" t="s">
        <v>2633</v>
      </c>
      <c r="G242" s="87" t="s">
        <v>2634</v>
      </c>
      <c r="H242" s="87" t="s">
        <v>1007</v>
      </c>
      <c r="I242" s="85" t="s">
        <v>23</v>
      </c>
      <c r="J242" s="86" t="s">
        <v>2635</v>
      </c>
      <c r="K242" s="86" t="s">
        <v>2636</v>
      </c>
      <c r="L242" t="e">
        <f>_xlfn.XLOOKUP(C242,'ΥΠΑΛΛΗΛΟΙ ΓΔΑΕΦΚ'!#REF!,'ΥΠΑΛΛΗΛΟΙ ΓΔΑΕΦΚ'!#REF!,"_")</f>
        <v>#REF!</v>
      </c>
    </row>
    <row r="243" spans="1:12" x14ac:dyDescent="0.25">
      <c r="A243" s="79">
        <f>--SUBTOTAL(3,$B$2:B242)</f>
        <v>241</v>
      </c>
      <c r="B243" s="80" t="s">
        <v>2340</v>
      </c>
      <c r="C243" s="81" t="s">
        <v>2637</v>
      </c>
      <c r="D243" s="82" t="s">
        <v>2638</v>
      </c>
      <c r="E243" s="83" t="s">
        <v>2639</v>
      </c>
      <c r="F243" s="87" t="s">
        <v>2640</v>
      </c>
      <c r="G243" s="87" t="s">
        <v>2641</v>
      </c>
      <c r="H243" s="87" t="s">
        <v>1007</v>
      </c>
      <c r="I243" s="85" t="s">
        <v>23</v>
      </c>
      <c r="J243" s="86" t="s">
        <v>2642</v>
      </c>
      <c r="K243" s="86" t="s">
        <v>2643</v>
      </c>
      <c r="L243" t="e">
        <f>_xlfn.XLOOKUP(C243,'ΥΠΑΛΛΗΛΟΙ ΓΔΑΕΦΚ'!#REF!,'ΥΠΑΛΛΗΛΟΙ ΓΔΑΕΦΚ'!#REF!,"_")</f>
        <v>#REF!</v>
      </c>
    </row>
    <row r="244" spans="1:12" x14ac:dyDescent="0.25">
      <c r="A244" s="79">
        <f>--SUBTOTAL(3,$B$2:B243)</f>
        <v>242</v>
      </c>
      <c r="B244" s="80" t="s">
        <v>2340</v>
      </c>
      <c r="C244" s="81" t="s">
        <v>2644</v>
      </c>
      <c r="D244" s="82" t="s">
        <v>1077</v>
      </c>
      <c r="E244" s="83" t="s">
        <v>2645</v>
      </c>
      <c r="F244" s="87" t="s">
        <v>2646</v>
      </c>
      <c r="G244" s="87" t="s">
        <v>1078</v>
      </c>
      <c r="H244" s="87" t="s">
        <v>43</v>
      </c>
      <c r="I244" s="85" t="s">
        <v>23</v>
      </c>
      <c r="J244" s="86" t="s">
        <v>2647</v>
      </c>
      <c r="K244" s="86" t="s">
        <v>1079</v>
      </c>
      <c r="L244" t="e">
        <f>_xlfn.XLOOKUP(C244,'ΥΠΑΛΛΗΛΟΙ ΓΔΑΕΦΚ'!#REF!,'ΥΠΑΛΛΗΛΟΙ ΓΔΑΕΦΚ'!#REF!,"_")</f>
        <v>#REF!</v>
      </c>
    </row>
    <row r="245" spans="1:12" x14ac:dyDescent="0.25">
      <c r="A245" s="79">
        <f>--SUBTOTAL(3,$B$2:B244)</f>
        <v>243</v>
      </c>
      <c r="B245" s="80" t="s">
        <v>2340</v>
      </c>
      <c r="C245" s="81" t="s">
        <v>2648</v>
      </c>
      <c r="D245" s="82" t="s">
        <v>1080</v>
      </c>
      <c r="E245" s="83" t="s">
        <v>2649</v>
      </c>
      <c r="F245" s="87" t="s">
        <v>2650</v>
      </c>
      <c r="G245" s="87" t="s">
        <v>1082</v>
      </c>
      <c r="H245" s="87" t="s">
        <v>43</v>
      </c>
      <c r="I245" s="85" t="s">
        <v>23</v>
      </c>
      <c r="J245" s="86" t="s">
        <v>2651</v>
      </c>
      <c r="K245" s="86" t="s">
        <v>2652</v>
      </c>
      <c r="L245" t="e">
        <f>_xlfn.XLOOKUP(C245,'ΥΠΑΛΛΗΛΟΙ ΓΔΑΕΦΚ'!#REF!,'ΥΠΑΛΛΗΛΟΙ ΓΔΑΕΦΚ'!#REF!,"_")</f>
        <v>#REF!</v>
      </c>
    </row>
    <row r="246" spans="1:12" ht="24" x14ac:dyDescent="0.25">
      <c r="A246" s="79">
        <f>--SUBTOTAL(3,$B$2:B245)</f>
        <v>244</v>
      </c>
      <c r="B246" s="80" t="s">
        <v>1188</v>
      </c>
      <c r="C246" s="81" t="s">
        <v>2653</v>
      </c>
      <c r="D246" s="82" t="s">
        <v>1189</v>
      </c>
      <c r="E246" s="83" t="s">
        <v>2654</v>
      </c>
      <c r="F246" s="87" t="s">
        <v>2655</v>
      </c>
      <c r="G246" s="87" t="s">
        <v>1190</v>
      </c>
      <c r="H246" s="87" t="s">
        <v>1192</v>
      </c>
      <c r="I246" s="85" t="s">
        <v>23</v>
      </c>
      <c r="J246" s="86" t="s">
        <v>16</v>
      </c>
      <c r="K246" s="86" t="s">
        <v>1193</v>
      </c>
      <c r="L246" t="e">
        <f>_xlfn.XLOOKUP(C246,'ΥΠΑΛΛΗΛΟΙ ΓΔΑΕΦΚ'!#REF!,'ΥΠΑΛΛΗΛΟΙ ΓΔΑΕΦΚ'!#REF!,"_")</f>
        <v>#REF!</v>
      </c>
    </row>
    <row r="247" spans="1:12" x14ac:dyDescent="0.25">
      <c r="A247" s="79">
        <f>--SUBTOTAL(3,$B$2:B246)</f>
        <v>245</v>
      </c>
      <c r="B247" s="80" t="s">
        <v>1188</v>
      </c>
      <c r="C247" s="81" t="s">
        <v>2656</v>
      </c>
      <c r="D247" s="82" t="s">
        <v>1196</v>
      </c>
      <c r="E247" s="83" t="s">
        <v>2657</v>
      </c>
      <c r="F247" s="87" t="s">
        <v>2658</v>
      </c>
      <c r="G247" s="87" t="s">
        <v>1197</v>
      </c>
      <c r="H247" s="87" t="s">
        <v>453</v>
      </c>
      <c r="I247" s="85" t="s">
        <v>23</v>
      </c>
      <c r="J247" s="86" t="s">
        <v>16</v>
      </c>
      <c r="K247" s="86" t="s">
        <v>1198</v>
      </c>
      <c r="L247" t="e">
        <f>_xlfn.XLOOKUP(C247,'ΥΠΑΛΛΗΛΟΙ ΓΔΑΕΦΚ'!#REF!,'ΥΠΑΛΛΗΛΟΙ ΓΔΑΕΦΚ'!#REF!,"_")</f>
        <v>#REF!</v>
      </c>
    </row>
    <row r="248" spans="1:12" x14ac:dyDescent="0.25">
      <c r="A248" s="79">
        <f>--SUBTOTAL(3,$B$2:B247)</f>
        <v>246</v>
      </c>
      <c r="B248" s="80" t="s">
        <v>1188</v>
      </c>
      <c r="C248" s="81" t="s">
        <v>2659</v>
      </c>
      <c r="D248" s="82" t="s">
        <v>1199</v>
      </c>
      <c r="E248" s="83" t="s">
        <v>2660</v>
      </c>
      <c r="F248" s="84" t="s">
        <v>2661</v>
      </c>
      <c r="G248" s="84" t="s">
        <v>1200</v>
      </c>
      <c r="H248" s="84" t="s">
        <v>1007</v>
      </c>
      <c r="I248" s="85" t="s">
        <v>23</v>
      </c>
      <c r="J248" s="85" t="s">
        <v>16</v>
      </c>
      <c r="K248" s="85" t="s">
        <v>1201</v>
      </c>
      <c r="L248" t="e">
        <f>_xlfn.XLOOKUP(C248,'ΥΠΑΛΛΗΛΟΙ ΓΔΑΕΦΚ'!#REF!,'ΥΠΑΛΛΗΛΟΙ ΓΔΑΕΦΚ'!#REF!,"_")</f>
        <v>#REF!</v>
      </c>
    </row>
    <row r="249" spans="1:12" x14ac:dyDescent="0.25">
      <c r="A249" s="79">
        <f>--SUBTOTAL(3,$B$2:B248)</f>
        <v>247</v>
      </c>
      <c r="B249" s="80" t="s">
        <v>1188</v>
      </c>
      <c r="C249" s="81" t="s">
        <v>2662</v>
      </c>
      <c r="D249" s="82" t="s">
        <v>1205</v>
      </c>
      <c r="E249" s="83" t="s">
        <v>2663</v>
      </c>
      <c r="F249" s="87" t="s">
        <v>2664</v>
      </c>
      <c r="G249" s="87" t="s">
        <v>1206</v>
      </c>
      <c r="H249" s="87" t="s">
        <v>125</v>
      </c>
      <c r="I249" s="85" t="s">
        <v>23</v>
      </c>
      <c r="J249" s="86" t="s">
        <v>16</v>
      </c>
      <c r="K249" s="86" t="s">
        <v>1208</v>
      </c>
      <c r="L249" t="e">
        <f>_xlfn.XLOOKUP(C249,'ΥΠΑΛΛΗΛΟΙ ΓΔΑΕΦΚ'!#REF!,'ΥΠΑΛΛΗΛΟΙ ΓΔΑΕΦΚ'!#REF!,"_")</f>
        <v>#REF!</v>
      </c>
    </row>
    <row r="250" spans="1:12" x14ac:dyDescent="0.25">
      <c r="A250" s="79">
        <f>--SUBTOTAL(3,$B$2:B249)</f>
        <v>248</v>
      </c>
      <c r="B250" s="80" t="s">
        <v>1188</v>
      </c>
      <c r="C250" s="81" t="s">
        <v>2665</v>
      </c>
      <c r="D250" s="82" t="s">
        <v>1209</v>
      </c>
      <c r="E250" s="83" t="s">
        <v>2666</v>
      </c>
      <c r="F250" s="87" t="s">
        <v>2667</v>
      </c>
      <c r="G250" s="87" t="s">
        <v>1210</v>
      </c>
      <c r="H250" s="87" t="s">
        <v>1007</v>
      </c>
      <c r="I250" s="85" t="s">
        <v>23</v>
      </c>
      <c r="J250" s="86" t="s">
        <v>16</v>
      </c>
      <c r="K250" s="86" t="s">
        <v>1211</v>
      </c>
      <c r="L250" t="e">
        <f>_xlfn.XLOOKUP(C250,'ΥΠΑΛΛΗΛΟΙ ΓΔΑΕΦΚ'!#REF!,'ΥΠΑΛΛΗΛΟΙ ΓΔΑΕΦΚ'!#REF!,"_")</f>
        <v>#REF!</v>
      </c>
    </row>
    <row r="251" spans="1:12" x14ac:dyDescent="0.25">
      <c r="A251" s="79">
        <f>--SUBTOTAL(3,$B$2:B250)</f>
        <v>249</v>
      </c>
      <c r="B251" s="80" t="s">
        <v>1188</v>
      </c>
      <c r="C251" s="81" t="s">
        <v>2668</v>
      </c>
      <c r="D251" s="82" t="s">
        <v>1212</v>
      </c>
      <c r="E251" s="83" t="s">
        <v>2669</v>
      </c>
      <c r="F251" s="87" t="s">
        <v>2670</v>
      </c>
      <c r="G251" s="87" t="s">
        <v>1213</v>
      </c>
      <c r="H251" s="87" t="s">
        <v>1192</v>
      </c>
      <c r="I251" s="85" t="s">
        <v>23</v>
      </c>
      <c r="J251" s="86" t="s">
        <v>16</v>
      </c>
      <c r="K251" s="86" t="s">
        <v>1214</v>
      </c>
      <c r="L251" t="e">
        <f>_xlfn.XLOOKUP(C251,'ΥΠΑΛΛΗΛΟΙ ΓΔΑΕΦΚ'!#REF!,'ΥΠΑΛΛΗΛΟΙ ΓΔΑΕΦΚ'!#REF!,"_")</f>
        <v>#REF!</v>
      </c>
    </row>
    <row r="252" spans="1:12" x14ac:dyDescent="0.25">
      <c r="A252" s="79">
        <f>--SUBTOTAL(3,$B$2:B251)</f>
        <v>250</v>
      </c>
      <c r="B252" s="80" t="s">
        <v>1188</v>
      </c>
      <c r="C252" s="81" t="s">
        <v>2671</v>
      </c>
      <c r="D252" s="82" t="s">
        <v>1215</v>
      </c>
      <c r="E252" s="83" t="s">
        <v>2672</v>
      </c>
      <c r="F252" s="87" t="s">
        <v>2673</v>
      </c>
      <c r="G252" s="87" t="s">
        <v>1216</v>
      </c>
      <c r="H252" s="87" t="s">
        <v>43</v>
      </c>
      <c r="I252" s="85" t="s">
        <v>23</v>
      </c>
      <c r="J252" s="86" t="s">
        <v>16</v>
      </c>
      <c r="K252" s="86" t="s">
        <v>1217</v>
      </c>
      <c r="L252" t="e">
        <f>_xlfn.XLOOKUP(C252,'ΥΠΑΛΛΗΛΟΙ ΓΔΑΕΦΚ'!#REF!,'ΥΠΑΛΛΗΛΟΙ ΓΔΑΕΦΚ'!#REF!,"_")</f>
        <v>#REF!</v>
      </c>
    </row>
    <row r="253" spans="1:12" x14ac:dyDescent="0.25">
      <c r="A253" s="79">
        <f>--SUBTOTAL(3,$B$2:B252)</f>
        <v>251</v>
      </c>
      <c r="B253" s="80" t="s">
        <v>1188</v>
      </c>
      <c r="C253" s="81" t="s">
        <v>2674</v>
      </c>
      <c r="D253" s="82" t="s">
        <v>1218</v>
      </c>
      <c r="E253" s="83" t="s">
        <v>2675</v>
      </c>
      <c r="F253" s="87" t="s">
        <v>2676</v>
      </c>
      <c r="G253" s="87" t="s">
        <v>1219</v>
      </c>
      <c r="H253" s="87" t="s">
        <v>453</v>
      </c>
      <c r="I253" s="85" t="s">
        <v>23</v>
      </c>
      <c r="J253" s="86" t="s">
        <v>16</v>
      </c>
      <c r="K253" s="86" t="s">
        <v>1220</v>
      </c>
      <c r="L253" t="e">
        <f>_xlfn.XLOOKUP(C253,'ΥΠΑΛΛΗΛΟΙ ΓΔΑΕΦΚ'!#REF!,'ΥΠΑΛΛΗΛΟΙ ΓΔΑΕΦΚ'!#REF!,"_")</f>
        <v>#REF!</v>
      </c>
    </row>
    <row r="254" spans="1:12" x14ac:dyDescent="0.25">
      <c r="A254" s="79">
        <f>--SUBTOTAL(3,$B$2:B253)</f>
        <v>252</v>
      </c>
      <c r="B254" s="80" t="s">
        <v>1188</v>
      </c>
      <c r="C254" s="81" t="s">
        <v>2677</v>
      </c>
      <c r="D254" s="82" t="s">
        <v>1221</v>
      </c>
      <c r="E254" s="83" t="s">
        <v>2678</v>
      </c>
      <c r="F254" s="87" t="s">
        <v>2679</v>
      </c>
      <c r="G254" s="87" t="s">
        <v>1222</v>
      </c>
      <c r="H254" s="87" t="s">
        <v>398</v>
      </c>
      <c r="I254" s="85" t="s">
        <v>23</v>
      </c>
      <c r="J254" s="86" t="s">
        <v>16</v>
      </c>
      <c r="K254" s="86" t="s">
        <v>1223</v>
      </c>
      <c r="L254" t="e">
        <f>_xlfn.XLOOKUP(C254,'ΥΠΑΛΛΗΛΟΙ ΓΔΑΕΦΚ'!#REF!,'ΥΠΑΛΛΗΛΟΙ ΓΔΑΕΦΚ'!#REF!,"_")</f>
        <v>#REF!</v>
      </c>
    </row>
    <row r="255" spans="1:12" x14ac:dyDescent="0.25">
      <c r="A255" s="79">
        <f>--SUBTOTAL(3,$B$2:B254)</f>
        <v>253</v>
      </c>
      <c r="B255" s="80" t="s">
        <v>1188</v>
      </c>
      <c r="C255" s="81" t="s">
        <v>2680</v>
      </c>
      <c r="D255" s="82" t="s">
        <v>1224</v>
      </c>
      <c r="E255" s="83" t="s">
        <v>2681</v>
      </c>
      <c r="F255" s="87" t="s">
        <v>2682</v>
      </c>
      <c r="G255" s="87" t="s">
        <v>1225</v>
      </c>
      <c r="H255" s="87" t="s">
        <v>1007</v>
      </c>
      <c r="I255" s="85" t="s">
        <v>23</v>
      </c>
      <c r="J255" s="86" t="s">
        <v>16</v>
      </c>
      <c r="K255" s="86" t="s">
        <v>1226</v>
      </c>
      <c r="L255" t="e">
        <f>_xlfn.XLOOKUP(C255,'ΥΠΑΛΛΗΛΟΙ ΓΔΑΕΦΚ'!#REF!,'ΥΠΑΛΛΗΛΟΙ ΓΔΑΕΦΚ'!#REF!,"_")</f>
        <v>#REF!</v>
      </c>
    </row>
    <row r="256" spans="1:12" x14ac:dyDescent="0.25">
      <c r="A256" s="79">
        <f>--SUBTOTAL(3,$B$2:B255)</f>
        <v>254</v>
      </c>
      <c r="B256" s="80" t="s">
        <v>1188</v>
      </c>
      <c r="C256" s="81" t="s">
        <v>2683</v>
      </c>
      <c r="D256" s="82" t="s">
        <v>1230</v>
      </c>
      <c r="E256" s="83" t="s">
        <v>2684</v>
      </c>
      <c r="F256" s="87" t="s">
        <v>2685</v>
      </c>
      <c r="G256" s="87" t="s">
        <v>1232</v>
      </c>
      <c r="H256" s="87" t="s">
        <v>264</v>
      </c>
      <c r="I256" s="85" t="s">
        <v>23</v>
      </c>
      <c r="J256" s="86" t="s">
        <v>16</v>
      </c>
      <c r="K256" s="86" t="s">
        <v>1235</v>
      </c>
      <c r="L256" t="e">
        <f>_xlfn.XLOOKUP(C256,'ΥΠΑΛΛΗΛΟΙ ΓΔΑΕΦΚ'!#REF!,'ΥΠΑΛΛΗΛΟΙ ΓΔΑΕΦΚ'!#REF!,"_")</f>
        <v>#REF!</v>
      </c>
    </row>
    <row r="257" spans="1:12" x14ac:dyDescent="0.25">
      <c r="A257" s="79">
        <f>--SUBTOTAL(3,$B$2:B256)</f>
        <v>255</v>
      </c>
      <c r="B257" s="80" t="s">
        <v>1188</v>
      </c>
      <c r="C257" s="81" t="s">
        <v>2686</v>
      </c>
      <c r="D257" s="82" t="s">
        <v>1236</v>
      </c>
      <c r="E257" s="83" t="s">
        <v>2687</v>
      </c>
      <c r="F257" s="87" t="s">
        <v>2688</v>
      </c>
      <c r="G257" s="87" t="s">
        <v>1237</v>
      </c>
      <c r="H257" s="87" t="s">
        <v>1007</v>
      </c>
      <c r="I257" s="85" t="s">
        <v>23</v>
      </c>
      <c r="J257" s="86" t="s">
        <v>16</v>
      </c>
      <c r="K257" s="86" t="s">
        <v>1239</v>
      </c>
      <c r="L257" t="e">
        <f>_xlfn.XLOOKUP(C257,'ΥΠΑΛΛΗΛΟΙ ΓΔΑΕΦΚ'!#REF!,'ΥΠΑΛΛΗΛΟΙ ΓΔΑΕΦΚ'!#REF!,"_")</f>
        <v>#REF!</v>
      </c>
    </row>
    <row r="258" spans="1:12" x14ac:dyDescent="0.25">
      <c r="A258" s="79">
        <f>--SUBTOTAL(3,$B$2:B257)</f>
        <v>256</v>
      </c>
      <c r="B258" s="80" t="s">
        <v>1188</v>
      </c>
      <c r="C258" s="81" t="s">
        <v>2689</v>
      </c>
      <c r="D258" s="82" t="s">
        <v>1240</v>
      </c>
      <c r="E258" s="83" t="s">
        <v>2690</v>
      </c>
      <c r="F258" s="87" t="s">
        <v>2691</v>
      </c>
      <c r="G258" s="87" t="s">
        <v>1241</v>
      </c>
      <c r="H258" s="87" t="s">
        <v>1242</v>
      </c>
      <c r="I258" s="85" t="s">
        <v>23</v>
      </c>
      <c r="J258" s="86" t="s">
        <v>16</v>
      </c>
      <c r="K258" s="86" t="s">
        <v>1243</v>
      </c>
      <c r="L258" t="e">
        <f>_xlfn.XLOOKUP(C258,'ΥΠΑΛΛΗΛΟΙ ΓΔΑΕΦΚ'!#REF!,'ΥΠΑΛΛΗΛΟΙ ΓΔΑΕΦΚ'!#REF!,"_")</f>
        <v>#REF!</v>
      </c>
    </row>
    <row r="259" spans="1:12" x14ac:dyDescent="0.25">
      <c r="A259" s="79">
        <f>--SUBTOTAL(3,$B$2:B258)</f>
        <v>257</v>
      </c>
      <c r="B259" s="80" t="s">
        <v>1188</v>
      </c>
      <c r="C259" s="81" t="s">
        <v>2692</v>
      </c>
      <c r="D259" s="82" t="s">
        <v>1244</v>
      </c>
      <c r="E259" s="83" t="s">
        <v>2693</v>
      </c>
      <c r="F259" s="87" t="s">
        <v>2694</v>
      </c>
      <c r="G259" s="87" t="s">
        <v>1245</v>
      </c>
      <c r="H259" s="87" t="s">
        <v>1007</v>
      </c>
      <c r="I259" s="85" t="s">
        <v>23</v>
      </c>
      <c r="J259" s="86" t="s">
        <v>16</v>
      </c>
      <c r="K259" s="86" t="s">
        <v>1246</v>
      </c>
      <c r="L259" t="e">
        <f>_xlfn.XLOOKUP(C259,'ΥΠΑΛΛΗΛΟΙ ΓΔΑΕΦΚ'!#REF!,'ΥΠΑΛΛΗΛΟΙ ΓΔΑΕΦΚ'!#REF!,"_")</f>
        <v>#REF!</v>
      </c>
    </row>
    <row r="260" spans="1:12" x14ac:dyDescent="0.25">
      <c r="A260" s="79">
        <f>--SUBTOTAL(3,$B$2:B259)</f>
        <v>258</v>
      </c>
      <c r="B260" s="80" t="s">
        <v>1188</v>
      </c>
      <c r="C260" s="81" t="s">
        <v>2695</v>
      </c>
      <c r="D260" s="82" t="s">
        <v>1247</v>
      </c>
      <c r="E260" s="83" t="s">
        <v>2696</v>
      </c>
      <c r="F260" s="87" t="s">
        <v>2697</v>
      </c>
      <c r="G260" s="87" t="s">
        <v>1248</v>
      </c>
      <c r="H260" s="87" t="s">
        <v>43</v>
      </c>
      <c r="I260" s="85" t="s">
        <v>23</v>
      </c>
      <c r="J260" s="86" t="s">
        <v>16</v>
      </c>
      <c r="K260" s="86" t="s">
        <v>1249</v>
      </c>
      <c r="L260" t="e">
        <f>_xlfn.XLOOKUP(C260,'ΥΠΑΛΛΗΛΟΙ ΓΔΑΕΦΚ'!#REF!,'ΥΠΑΛΛΗΛΟΙ ΓΔΑΕΦΚ'!#REF!,"_")</f>
        <v>#REF!</v>
      </c>
    </row>
  </sheetData>
  <sheetProtection sheet="1" objects="1" scenarios="1" sort="0" autoFilter="0" pivotTables="0"/>
  <autoFilter ref="B2:K260" xr:uid="{00000000-0001-0000-0200-000000000000}">
    <sortState xmlns:xlrd2="http://schemas.microsoft.com/office/spreadsheetml/2017/richdata2" ref="B3:K260">
      <sortCondition ref="B2:B260"/>
    </sortState>
  </autoFilter>
  <conditionalFormatting sqref="C2:C260">
    <cfRule type="duplicateValues" dxfId="62" priority="369"/>
  </conditionalFormatting>
  <conditionalFormatting sqref="D1:D1048576">
    <cfRule type="duplicateValues" dxfId="61" priority="1"/>
  </conditionalFormatting>
  <conditionalFormatting sqref="D2">
    <cfRule type="duplicateValues" dxfId="60" priority="2"/>
  </conditionalFormatting>
  <conditionalFormatting sqref="E1">
    <cfRule type="duplicateValues" dxfId="59" priority="7"/>
  </conditionalFormatting>
  <conditionalFormatting sqref="E2:E260">
    <cfRule type="duplicateValues" dxfId="58" priority="374"/>
  </conditionalFormatting>
  <conditionalFormatting sqref="F2:F260">
    <cfRule type="duplicateValues" dxfId="57" priority="376"/>
  </conditionalFormatting>
  <conditionalFormatting sqref="G2:G260">
    <cfRule type="duplicateValues" dxfId="56" priority="378"/>
  </conditionalFormatting>
  <conditionalFormatting sqref="G2:H260">
    <cfRule type="cellIs" dxfId="55" priority="9" operator="equal">
      <formula>"_"</formula>
    </cfRule>
  </conditionalFormatting>
  <conditionalFormatting sqref="I2:I260">
    <cfRule type="cellIs" dxfId="54" priority="14" operator="equal">
      <formula>"Διοικητικός"</formula>
    </cfRule>
    <cfRule type="cellIs" dxfId="53" priority="15" operator="equal">
      <formula>"Μηχανικός"</formula>
    </cfRule>
  </conditionalFormatting>
  <conditionalFormatting sqref="J2:K2">
    <cfRule type="cellIs" dxfId="52" priority="8" operator="equal">
      <formula>"_"</formula>
    </cfRule>
  </conditionalFormatting>
  <dataValidations count="1">
    <dataValidation type="list" allowBlank="1" showInputMessage="1" showErrorMessage="1" sqref="I3:I260" xr:uid="{51C60E0E-FD22-4BA7-8820-055E673022E8}">
      <formula1>EIDIK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R447"/>
  <sheetViews>
    <sheetView tabSelected="1" zoomScale="90" zoomScaleNormal="90" workbookViewId="0">
      <pane xSplit="1" ySplit="1" topLeftCell="B2" activePane="bottomRight" state="frozen"/>
      <selection pane="topRight" activeCell="F1" sqref="F1"/>
      <selection pane="bottomLeft" activeCell="A3" sqref="A3"/>
      <selection pane="bottomRight" activeCell="J7" sqref="J7"/>
    </sheetView>
  </sheetViews>
  <sheetFormatPr defaultColWidth="9.140625" defaultRowHeight="15" x14ac:dyDescent="0.25"/>
  <cols>
    <col min="1" max="1" width="18.140625" customWidth="1"/>
    <col min="2" max="3" width="20.7109375" customWidth="1"/>
    <col min="4" max="4" width="11.7109375" customWidth="1"/>
    <col min="5" max="5" width="19.7109375" customWidth="1"/>
    <col min="6" max="6" width="12.7109375" customWidth="1"/>
    <col min="7" max="7" width="11.7109375" customWidth="1"/>
    <col min="8" max="8" width="19.7109375" customWidth="1"/>
  </cols>
  <sheetData>
    <row r="1" spans="1:8" s="79" customFormat="1" x14ac:dyDescent="0.25">
      <c r="A1" s="75" t="s">
        <v>3780</v>
      </c>
      <c r="B1" s="75" t="s">
        <v>3781</v>
      </c>
      <c r="C1" s="75" t="s">
        <v>3782</v>
      </c>
      <c r="D1" s="72" t="s">
        <v>3783</v>
      </c>
      <c r="E1" s="217" t="s">
        <v>3784</v>
      </c>
      <c r="F1" s="76" t="s">
        <v>3785</v>
      </c>
      <c r="G1" s="75" t="s">
        <v>3786</v>
      </c>
      <c r="H1" s="216" t="s">
        <v>3787</v>
      </c>
    </row>
    <row r="2" spans="1:8" s="79" customFormat="1" ht="12.75" x14ac:dyDescent="0.25">
      <c r="A2" s="218" t="s">
        <v>2710</v>
      </c>
      <c r="B2" s="218" t="s">
        <v>2711</v>
      </c>
      <c r="C2" s="234" t="s">
        <v>2712</v>
      </c>
      <c r="D2" s="219" t="s">
        <v>2713</v>
      </c>
      <c r="E2" s="215" t="s">
        <v>2714</v>
      </c>
      <c r="F2" s="239" t="s">
        <v>19</v>
      </c>
      <c r="G2" s="238" t="s">
        <v>2716</v>
      </c>
      <c r="H2" s="220" t="s">
        <v>115</v>
      </c>
    </row>
    <row r="3" spans="1:8" s="79" customFormat="1" ht="12.75" x14ac:dyDescent="0.25">
      <c r="A3" s="243" t="s">
        <v>2717</v>
      </c>
      <c r="B3" s="218" t="s">
        <v>2718</v>
      </c>
      <c r="C3" s="234" t="s">
        <v>2719</v>
      </c>
      <c r="D3" s="219" t="s">
        <v>1516</v>
      </c>
      <c r="E3" s="215" t="s">
        <v>1265</v>
      </c>
      <c r="F3" s="239" t="s">
        <v>19</v>
      </c>
      <c r="G3" s="238" t="s">
        <v>2720</v>
      </c>
      <c r="H3" s="220" t="s">
        <v>115</v>
      </c>
    </row>
    <row r="4" spans="1:8" s="79" customFormat="1" ht="12.75" x14ac:dyDescent="0.25">
      <c r="A4" s="218" t="s">
        <v>2721</v>
      </c>
      <c r="B4" s="218" t="s">
        <v>2722</v>
      </c>
      <c r="C4" s="234" t="s">
        <v>2723</v>
      </c>
      <c r="D4" s="219" t="s">
        <v>1520</v>
      </c>
      <c r="E4" s="215" t="s">
        <v>43</v>
      </c>
      <c r="F4" s="239" t="s">
        <v>23</v>
      </c>
      <c r="G4" s="238" t="s">
        <v>2716</v>
      </c>
      <c r="H4" s="220" t="s">
        <v>115</v>
      </c>
    </row>
    <row r="5" spans="1:8" s="79" customFormat="1" ht="12.75" x14ac:dyDescent="0.25">
      <c r="A5" s="218" t="s">
        <v>2725</v>
      </c>
      <c r="B5" s="218" t="s">
        <v>2726</v>
      </c>
      <c r="C5" s="234" t="s">
        <v>2727</v>
      </c>
      <c r="D5" s="219" t="s">
        <v>1525</v>
      </c>
      <c r="E5" s="215" t="s">
        <v>43</v>
      </c>
      <c r="F5" s="239" t="s">
        <v>23</v>
      </c>
      <c r="G5" s="238" t="s">
        <v>2720</v>
      </c>
      <c r="H5" s="220" t="s">
        <v>115</v>
      </c>
    </row>
    <row r="6" spans="1:8" s="79" customFormat="1" ht="12.75" x14ac:dyDescent="0.25">
      <c r="A6" s="218" t="s">
        <v>2728</v>
      </c>
      <c r="B6" s="218" t="s">
        <v>2729</v>
      </c>
      <c r="C6" s="234" t="s">
        <v>2730</v>
      </c>
      <c r="D6" s="219" t="s">
        <v>1535</v>
      </c>
      <c r="E6" s="215" t="s">
        <v>337</v>
      </c>
      <c r="F6" s="239" t="s">
        <v>23</v>
      </c>
      <c r="G6" s="238" t="s">
        <v>2716</v>
      </c>
      <c r="H6" s="220" t="s">
        <v>115</v>
      </c>
    </row>
    <row r="7" spans="1:8" s="79" customFormat="1" ht="12.75" x14ac:dyDescent="0.25">
      <c r="A7" s="218" t="s">
        <v>2731</v>
      </c>
      <c r="B7" s="218" t="s">
        <v>2732</v>
      </c>
      <c r="C7" s="234" t="s">
        <v>2733</v>
      </c>
      <c r="D7" s="219" t="s">
        <v>1540</v>
      </c>
      <c r="E7" s="215" t="s">
        <v>43</v>
      </c>
      <c r="F7" s="239" t="s">
        <v>23</v>
      </c>
      <c r="G7" s="238" t="s">
        <v>2720</v>
      </c>
      <c r="H7" s="220" t="s">
        <v>115</v>
      </c>
    </row>
    <row r="8" spans="1:8" s="79" customFormat="1" ht="12.75" x14ac:dyDescent="0.25">
      <c r="A8" s="218" t="s">
        <v>2734</v>
      </c>
      <c r="B8" s="218" t="s">
        <v>2735</v>
      </c>
      <c r="C8" s="234" t="s">
        <v>2736</v>
      </c>
      <c r="D8" s="219" t="s">
        <v>1544</v>
      </c>
      <c r="E8" s="215" t="s">
        <v>224</v>
      </c>
      <c r="F8" s="239" t="s">
        <v>23</v>
      </c>
      <c r="G8" s="238" t="s">
        <v>2720</v>
      </c>
      <c r="H8" s="220" t="s">
        <v>115</v>
      </c>
    </row>
    <row r="9" spans="1:8" s="79" customFormat="1" ht="12.75" x14ac:dyDescent="0.25">
      <c r="A9" s="218" t="s">
        <v>2737</v>
      </c>
      <c r="B9" s="218" t="s">
        <v>2738</v>
      </c>
      <c r="C9" s="234" t="s">
        <v>2739</v>
      </c>
      <c r="D9" s="219" t="s">
        <v>2740</v>
      </c>
      <c r="E9" s="215" t="s">
        <v>136</v>
      </c>
      <c r="F9" s="239" t="s">
        <v>19</v>
      </c>
      <c r="G9" s="238" t="s">
        <v>2720</v>
      </c>
      <c r="H9" s="220" t="s">
        <v>115</v>
      </c>
    </row>
    <row r="10" spans="1:8" s="79" customFormat="1" ht="12.75" x14ac:dyDescent="0.25">
      <c r="A10" s="218" t="s">
        <v>2741</v>
      </c>
      <c r="B10" s="218" t="s">
        <v>2742</v>
      </c>
      <c r="C10" s="234" t="s">
        <v>2743</v>
      </c>
      <c r="D10" s="219" t="s">
        <v>1548</v>
      </c>
      <c r="E10" s="215" t="s">
        <v>43</v>
      </c>
      <c r="F10" s="239" t="s">
        <v>23</v>
      </c>
      <c r="G10" s="238" t="s">
        <v>2720</v>
      </c>
      <c r="H10" s="220" t="s">
        <v>115</v>
      </c>
    </row>
    <row r="11" spans="1:8" s="79" customFormat="1" ht="12.75" x14ac:dyDescent="0.25">
      <c r="A11" s="218" t="s">
        <v>2744</v>
      </c>
      <c r="B11" s="218" t="s">
        <v>2745</v>
      </c>
      <c r="C11" s="234" t="s">
        <v>2735</v>
      </c>
      <c r="D11" s="219" t="s">
        <v>1552</v>
      </c>
      <c r="E11" s="215" t="s">
        <v>224</v>
      </c>
      <c r="F11" s="239" t="s">
        <v>23</v>
      </c>
      <c r="G11" s="238" t="s">
        <v>2720</v>
      </c>
      <c r="H11" s="220" t="s">
        <v>115</v>
      </c>
    </row>
    <row r="12" spans="1:8" s="79" customFormat="1" ht="12.75" x14ac:dyDescent="0.25">
      <c r="A12" s="218" t="s">
        <v>2746</v>
      </c>
      <c r="B12" s="218" t="s">
        <v>2747</v>
      </c>
      <c r="C12" s="234" t="s">
        <v>2748</v>
      </c>
      <c r="D12" s="219" t="s">
        <v>2749</v>
      </c>
      <c r="E12" s="215" t="s">
        <v>136</v>
      </c>
      <c r="F12" s="239" t="s">
        <v>19</v>
      </c>
      <c r="G12" s="238" t="s">
        <v>2720</v>
      </c>
      <c r="H12" s="220" t="s">
        <v>115</v>
      </c>
    </row>
    <row r="13" spans="1:8" s="79" customFormat="1" ht="12.75" x14ac:dyDescent="0.25">
      <c r="A13" s="218" t="s">
        <v>2750</v>
      </c>
      <c r="B13" s="218" t="s">
        <v>2751</v>
      </c>
      <c r="C13" s="234" t="s">
        <v>2752</v>
      </c>
      <c r="D13" s="219" t="s">
        <v>2753</v>
      </c>
      <c r="E13" s="215" t="s">
        <v>136</v>
      </c>
      <c r="F13" s="239" t="s">
        <v>19</v>
      </c>
      <c r="G13" s="238" t="s">
        <v>2754</v>
      </c>
      <c r="H13" s="220" t="s">
        <v>115</v>
      </c>
    </row>
    <row r="14" spans="1:8" s="79" customFormat="1" ht="12.75" x14ac:dyDescent="0.25">
      <c r="A14" s="218" t="s">
        <v>2755</v>
      </c>
      <c r="B14" s="218" t="s">
        <v>2756</v>
      </c>
      <c r="C14" s="234" t="s">
        <v>2736</v>
      </c>
      <c r="D14" s="219" t="s">
        <v>1556</v>
      </c>
      <c r="E14" s="215" t="s">
        <v>43</v>
      </c>
      <c r="F14" s="239" t="s">
        <v>23</v>
      </c>
      <c r="G14" s="238" t="s">
        <v>2720</v>
      </c>
      <c r="H14" s="220" t="s">
        <v>115</v>
      </c>
    </row>
    <row r="15" spans="1:8" s="79" customFormat="1" ht="12.75" x14ac:dyDescent="0.25">
      <c r="A15" s="218" t="s">
        <v>2757</v>
      </c>
      <c r="B15" s="218" t="s">
        <v>2712</v>
      </c>
      <c r="C15" s="234" t="s">
        <v>2758</v>
      </c>
      <c r="D15" s="219" t="s">
        <v>1560</v>
      </c>
      <c r="E15" s="215" t="s">
        <v>43</v>
      </c>
      <c r="F15" s="239" t="s">
        <v>23</v>
      </c>
      <c r="G15" s="238" t="s">
        <v>2720</v>
      </c>
      <c r="H15" s="220" t="s">
        <v>115</v>
      </c>
    </row>
    <row r="16" spans="1:8" s="79" customFormat="1" ht="12.75" x14ac:dyDescent="0.25">
      <c r="A16" s="218" t="s">
        <v>2759</v>
      </c>
      <c r="B16" s="218" t="s">
        <v>2760</v>
      </c>
      <c r="C16" s="234" t="s">
        <v>2735</v>
      </c>
      <c r="D16" s="219" t="s">
        <v>2761</v>
      </c>
      <c r="E16" s="215" t="s">
        <v>164</v>
      </c>
      <c r="F16" s="239" t="s">
        <v>19</v>
      </c>
      <c r="G16" s="238" t="s">
        <v>2716</v>
      </c>
      <c r="H16" s="220" t="s">
        <v>115</v>
      </c>
    </row>
    <row r="17" spans="1:8" s="79" customFormat="1" ht="12.75" x14ac:dyDescent="0.25">
      <c r="A17" s="218" t="s">
        <v>2762</v>
      </c>
      <c r="B17" s="218" t="s">
        <v>2763</v>
      </c>
      <c r="C17" s="234" t="s">
        <v>2764</v>
      </c>
      <c r="D17" s="219" t="s">
        <v>1564</v>
      </c>
      <c r="E17" s="215" t="s">
        <v>43</v>
      </c>
      <c r="F17" s="239" t="s">
        <v>23</v>
      </c>
      <c r="G17" s="238" t="s">
        <v>2720</v>
      </c>
      <c r="H17" s="220" t="s">
        <v>115</v>
      </c>
    </row>
    <row r="18" spans="1:8" s="79" customFormat="1" ht="12.75" x14ac:dyDescent="0.25">
      <c r="A18" s="218" t="s">
        <v>2762</v>
      </c>
      <c r="B18" s="218" t="s">
        <v>2764</v>
      </c>
      <c r="C18" s="234" t="s">
        <v>2736</v>
      </c>
      <c r="D18" s="219" t="s">
        <v>1568</v>
      </c>
      <c r="E18" s="215" t="s">
        <v>224</v>
      </c>
      <c r="F18" s="239" t="s">
        <v>23</v>
      </c>
      <c r="G18" s="238" t="s">
        <v>2720</v>
      </c>
      <c r="H18" s="220" t="s">
        <v>115</v>
      </c>
    </row>
    <row r="19" spans="1:8" s="79" customFormat="1" ht="12.75" x14ac:dyDescent="0.25">
      <c r="A19" s="218" t="s">
        <v>2765</v>
      </c>
      <c r="B19" s="218" t="s">
        <v>2766</v>
      </c>
      <c r="C19" s="234" t="s">
        <v>2752</v>
      </c>
      <c r="D19" s="219" t="s">
        <v>2767</v>
      </c>
      <c r="E19" s="215" t="s">
        <v>136</v>
      </c>
      <c r="F19" s="239" t="s">
        <v>19</v>
      </c>
      <c r="G19" s="238" t="s">
        <v>2754</v>
      </c>
      <c r="H19" s="220" t="s">
        <v>115</v>
      </c>
    </row>
    <row r="20" spans="1:8" s="79" customFormat="1" ht="12.75" x14ac:dyDescent="0.25">
      <c r="A20" s="218" t="s">
        <v>2768</v>
      </c>
      <c r="B20" s="218" t="s">
        <v>2769</v>
      </c>
      <c r="C20" s="234" t="s">
        <v>2719</v>
      </c>
      <c r="D20" s="219" t="s">
        <v>1572</v>
      </c>
      <c r="E20" s="215" t="s">
        <v>337</v>
      </c>
      <c r="F20" s="239" t="s">
        <v>23</v>
      </c>
      <c r="G20" s="238" t="s">
        <v>2720</v>
      </c>
      <c r="H20" s="220" t="s">
        <v>115</v>
      </c>
    </row>
    <row r="21" spans="1:8" s="79" customFormat="1" ht="12.75" x14ac:dyDescent="0.25">
      <c r="A21" s="218" t="s">
        <v>2770</v>
      </c>
      <c r="B21" s="218" t="s">
        <v>2764</v>
      </c>
      <c r="C21" s="234" t="s">
        <v>2771</v>
      </c>
      <c r="D21" s="219" t="s">
        <v>1580</v>
      </c>
      <c r="E21" s="215" t="s">
        <v>264</v>
      </c>
      <c r="F21" s="239" t="s">
        <v>23</v>
      </c>
      <c r="G21" s="238" t="s">
        <v>2720</v>
      </c>
      <c r="H21" s="220" t="s">
        <v>115</v>
      </c>
    </row>
    <row r="22" spans="1:8" s="79" customFormat="1" ht="12.75" x14ac:dyDescent="0.25">
      <c r="A22" s="218" t="s">
        <v>2772</v>
      </c>
      <c r="B22" s="218" t="s">
        <v>2773</v>
      </c>
      <c r="C22" s="234" t="s">
        <v>2774</v>
      </c>
      <c r="D22" s="219" t="s">
        <v>1584</v>
      </c>
      <c r="E22" s="215" t="s">
        <v>2775</v>
      </c>
      <c r="F22" s="239" t="s">
        <v>23</v>
      </c>
      <c r="G22" s="238" t="s">
        <v>2720</v>
      </c>
      <c r="H22" s="220" t="s">
        <v>115</v>
      </c>
    </row>
    <row r="23" spans="1:8" s="79" customFormat="1" ht="12.75" x14ac:dyDescent="0.25">
      <c r="A23" s="218" t="s">
        <v>2776</v>
      </c>
      <c r="B23" s="218" t="s">
        <v>2719</v>
      </c>
      <c r="C23" s="234" t="s">
        <v>2777</v>
      </c>
      <c r="D23" s="219" t="s">
        <v>1588</v>
      </c>
      <c r="E23" s="215" t="s">
        <v>43</v>
      </c>
      <c r="F23" s="239" t="s">
        <v>23</v>
      </c>
      <c r="G23" s="238" t="s">
        <v>2720</v>
      </c>
      <c r="H23" s="220" t="s">
        <v>115</v>
      </c>
    </row>
    <row r="24" spans="1:8" s="79" customFormat="1" ht="25.5" x14ac:dyDescent="0.25">
      <c r="A24" s="218" t="s">
        <v>2778</v>
      </c>
      <c r="B24" s="218" t="s">
        <v>2779</v>
      </c>
      <c r="C24" s="234" t="s">
        <v>2730</v>
      </c>
      <c r="D24" s="219" t="s">
        <v>2780</v>
      </c>
      <c r="E24" s="215" t="s">
        <v>136</v>
      </c>
      <c r="F24" s="239" t="s">
        <v>19</v>
      </c>
      <c r="G24" s="238" t="s">
        <v>2754</v>
      </c>
      <c r="H24" s="220" t="s">
        <v>115</v>
      </c>
    </row>
    <row r="25" spans="1:8" s="79" customFormat="1" ht="12.75" x14ac:dyDescent="0.25">
      <c r="A25" s="218" t="s">
        <v>2781</v>
      </c>
      <c r="B25" s="218" t="s">
        <v>2758</v>
      </c>
      <c r="C25" s="234" t="s">
        <v>2782</v>
      </c>
      <c r="D25" s="219" t="s">
        <v>1592</v>
      </c>
      <c r="E25" s="215" t="s">
        <v>337</v>
      </c>
      <c r="F25" s="239" t="s">
        <v>23</v>
      </c>
      <c r="G25" s="238" t="s">
        <v>2720</v>
      </c>
      <c r="H25" s="220" t="s">
        <v>115</v>
      </c>
    </row>
    <row r="26" spans="1:8" s="79" customFormat="1" ht="12.75" x14ac:dyDescent="0.25">
      <c r="A26" s="218" t="s">
        <v>2783</v>
      </c>
      <c r="B26" s="218" t="s">
        <v>2729</v>
      </c>
      <c r="C26" s="234" t="s">
        <v>2764</v>
      </c>
      <c r="D26" s="219" t="s">
        <v>1596</v>
      </c>
      <c r="E26" s="215" t="s">
        <v>224</v>
      </c>
      <c r="F26" s="239" t="s">
        <v>23</v>
      </c>
      <c r="G26" s="238" t="s">
        <v>2720</v>
      </c>
      <c r="H26" s="220" t="s">
        <v>115</v>
      </c>
    </row>
    <row r="27" spans="1:8" s="79" customFormat="1" ht="12.75" x14ac:dyDescent="0.25">
      <c r="A27" s="218" t="s">
        <v>2784</v>
      </c>
      <c r="B27" s="218" t="s">
        <v>2730</v>
      </c>
      <c r="C27" s="234" t="s">
        <v>2785</v>
      </c>
      <c r="D27" s="219" t="s">
        <v>1600</v>
      </c>
      <c r="E27" s="215" t="s">
        <v>264</v>
      </c>
      <c r="F27" s="239" t="s">
        <v>23</v>
      </c>
      <c r="G27" s="238" t="s">
        <v>2720</v>
      </c>
      <c r="H27" s="220" t="s">
        <v>115</v>
      </c>
    </row>
    <row r="28" spans="1:8" s="79" customFormat="1" ht="12.75" x14ac:dyDescent="0.25">
      <c r="A28" s="218" t="s">
        <v>2786</v>
      </c>
      <c r="B28" s="218" t="s">
        <v>2732</v>
      </c>
      <c r="C28" s="234" t="s">
        <v>2735</v>
      </c>
      <c r="D28" s="219" t="s">
        <v>1604</v>
      </c>
      <c r="E28" s="215" t="s">
        <v>2775</v>
      </c>
      <c r="F28" s="239" t="s">
        <v>23</v>
      </c>
      <c r="G28" s="238" t="s">
        <v>2720</v>
      </c>
      <c r="H28" s="220" t="s">
        <v>115</v>
      </c>
    </row>
    <row r="29" spans="1:8" s="79" customFormat="1" ht="12.75" x14ac:dyDescent="0.25">
      <c r="A29" s="218" t="s">
        <v>2787</v>
      </c>
      <c r="B29" s="218" t="s">
        <v>2788</v>
      </c>
      <c r="C29" s="234" t="s">
        <v>2789</v>
      </c>
      <c r="D29" s="219" t="s">
        <v>2790</v>
      </c>
      <c r="E29" s="215" t="s">
        <v>136</v>
      </c>
      <c r="F29" s="239" t="s">
        <v>19</v>
      </c>
      <c r="G29" s="238" t="s">
        <v>2720</v>
      </c>
      <c r="H29" s="220" t="s">
        <v>115</v>
      </c>
    </row>
    <row r="30" spans="1:8" s="79" customFormat="1" ht="12.75" x14ac:dyDescent="0.25">
      <c r="A30" s="218" t="s">
        <v>2792</v>
      </c>
      <c r="B30" s="218" t="s">
        <v>2732</v>
      </c>
      <c r="C30" s="234" t="s">
        <v>2743</v>
      </c>
      <c r="D30" s="219" t="s">
        <v>2793</v>
      </c>
      <c r="E30" s="215" t="s">
        <v>136</v>
      </c>
      <c r="F30" s="239" t="s">
        <v>19</v>
      </c>
      <c r="G30" s="238" t="s">
        <v>2720</v>
      </c>
      <c r="H30" s="220" t="s">
        <v>115</v>
      </c>
    </row>
    <row r="31" spans="1:8" s="79" customFormat="1" ht="12.75" x14ac:dyDescent="0.25">
      <c r="A31" s="218" t="s">
        <v>2794</v>
      </c>
      <c r="B31" s="218" t="s">
        <v>2795</v>
      </c>
      <c r="C31" s="234" t="s">
        <v>2796</v>
      </c>
      <c r="D31" s="219" t="s">
        <v>2797</v>
      </c>
      <c r="E31" s="215" t="s">
        <v>136</v>
      </c>
      <c r="F31" s="239" t="s">
        <v>19</v>
      </c>
      <c r="G31" s="238" t="s">
        <v>2720</v>
      </c>
      <c r="H31" s="220" t="s">
        <v>115</v>
      </c>
    </row>
    <row r="32" spans="1:8" s="79" customFormat="1" ht="12.75" x14ac:dyDescent="0.25">
      <c r="A32" s="218" t="s">
        <v>2798</v>
      </c>
      <c r="B32" s="218" t="s">
        <v>2799</v>
      </c>
      <c r="C32" s="234" t="s">
        <v>2719</v>
      </c>
      <c r="D32" s="219" t="s">
        <v>2800</v>
      </c>
      <c r="E32" s="215" t="s">
        <v>136</v>
      </c>
      <c r="F32" s="239" t="s">
        <v>19</v>
      </c>
      <c r="G32" s="238" t="s">
        <v>2720</v>
      </c>
      <c r="H32" s="220" t="s">
        <v>115</v>
      </c>
    </row>
    <row r="33" spans="1:8" s="79" customFormat="1" ht="12.75" x14ac:dyDescent="0.25">
      <c r="A33" s="218" t="s">
        <v>2801</v>
      </c>
      <c r="B33" s="218" t="s">
        <v>2730</v>
      </c>
      <c r="C33" s="234" t="s">
        <v>2802</v>
      </c>
      <c r="D33" s="219" t="s">
        <v>1608</v>
      </c>
      <c r="E33" s="215" t="s">
        <v>43</v>
      </c>
      <c r="F33" s="239" t="s">
        <v>23</v>
      </c>
      <c r="G33" s="238" t="s">
        <v>2720</v>
      </c>
      <c r="H33" s="220" t="s">
        <v>115</v>
      </c>
    </row>
    <row r="34" spans="1:8" s="79" customFormat="1" ht="12.75" x14ac:dyDescent="0.25">
      <c r="A34" s="218" t="s">
        <v>2803</v>
      </c>
      <c r="B34" s="218" t="s">
        <v>2804</v>
      </c>
      <c r="C34" s="234" t="s">
        <v>2752</v>
      </c>
      <c r="D34" s="219" t="s">
        <v>1756</v>
      </c>
      <c r="E34" s="215" t="s">
        <v>43</v>
      </c>
      <c r="F34" s="239" t="s">
        <v>23</v>
      </c>
      <c r="G34" s="238" t="s">
        <v>2720</v>
      </c>
      <c r="H34" s="221" t="s">
        <v>2805</v>
      </c>
    </row>
    <row r="35" spans="1:8" s="79" customFormat="1" ht="12.75" x14ac:dyDescent="0.25">
      <c r="A35" s="222" t="s">
        <v>2717</v>
      </c>
      <c r="B35" s="218" t="s">
        <v>2806</v>
      </c>
      <c r="C35" s="234" t="s">
        <v>2719</v>
      </c>
      <c r="D35" s="219" t="s">
        <v>2807</v>
      </c>
      <c r="E35" s="215" t="s">
        <v>164</v>
      </c>
      <c r="F35" s="239" t="s">
        <v>19</v>
      </c>
      <c r="G35" s="238" t="s">
        <v>2720</v>
      </c>
      <c r="H35" s="221" t="s">
        <v>2805</v>
      </c>
    </row>
    <row r="36" spans="1:8" s="79" customFormat="1" ht="12.75" x14ac:dyDescent="0.25">
      <c r="A36" s="218" t="s">
        <v>2808</v>
      </c>
      <c r="B36" s="218" t="s">
        <v>2809</v>
      </c>
      <c r="C36" s="234" t="s">
        <v>2810</v>
      </c>
      <c r="D36" s="219" t="s">
        <v>2811</v>
      </c>
      <c r="E36" s="215" t="s">
        <v>136</v>
      </c>
      <c r="F36" s="239" t="s">
        <v>19</v>
      </c>
      <c r="G36" s="238" t="s">
        <v>2716</v>
      </c>
      <c r="H36" s="221" t="s">
        <v>2805</v>
      </c>
    </row>
    <row r="37" spans="1:8" s="79" customFormat="1" ht="12.75" x14ac:dyDescent="0.25">
      <c r="A37" s="218" t="s">
        <v>2812</v>
      </c>
      <c r="B37" s="218" t="s">
        <v>2813</v>
      </c>
      <c r="C37" s="234" t="s">
        <v>2758</v>
      </c>
      <c r="D37" s="219" t="s">
        <v>1848</v>
      </c>
      <c r="E37" s="215" t="s">
        <v>482</v>
      </c>
      <c r="F37" s="239" t="s">
        <v>23</v>
      </c>
      <c r="G37" s="238" t="s">
        <v>2720</v>
      </c>
      <c r="H37" s="221" t="s">
        <v>2805</v>
      </c>
    </row>
    <row r="38" spans="1:8" s="79" customFormat="1" ht="12.75" x14ac:dyDescent="0.25">
      <c r="A38" s="218" t="s">
        <v>2814</v>
      </c>
      <c r="B38" s="218" t="s">
        <v>2712</v>
      </c>
      <c r="C38" s="234" t="s">
        <v>2764</v>
      </c>
      <c r="D38" s="219" t="s">
        <v>2364</v>
      </c>
      <c r="E38" s="215" t="s">
        <v>43</v>
      </c>
      <c r="F38" s="239" t="s">
        <v>23</v>
      </c>
      <c r="G38" s="238" t="s">
        <v>2720</v>
      </c>
      <c r="H38" s="221" t="s">
        <v>2805</v>
      </c>
    </row>
    <row r="39" spans="1:8" s="79" customFormat="1" ht="12.75" x14ac:dyDescent="0.25">
      <c r="A39" s="218" t="s">
        <v>2815</v>
      </c>
      <c r="B39" s="218" t="s">
        <v>2748</v>
      </c>
      <c r="C39" s="234" t="s">
        <v>2735</v>
      </c>
      <c r="D39" s="219" t="s">
        <v>1856</v>
      </c>
      <c r="E39" s="215" t="s">
        <v>43</v>
      </c>
      <c r="F39" s="239" t="s">
        <v>23</v>
      </c>
      <c r="G39" s="238" t="s">
        <v>2720</v>
      </c>
      <c r="H39" s="221" t="s">
        <v>2805</v>
      </c>
    </row>
    <row r="40" spans="1:8" s="79" customFormat="1" ht="12.75" x14ac:dyDescent="0.25">
      <c r="A40" s="218" t="s">
        <v>2816</v>
      </c>
      <c r="B40" s="218" t="s">
        <v>2774</v>
      </c>
      <c r="C40" s="234" t="s">
        <v>2735</v>
      </c>
      <c r="D40" s="219" t="s">
        <v>1860</v>
      </c>
      <c r="E40" s="215" t="s">
        <v>224</v>
      </c>
      <c r="F40" s="239" t="s">
        <v>23</v>
      </c>
      <c r="G40" s="238" t="s">
        <v>2720</v>
      </c>
      <c r="H40" s="221" t="s">
        <v>2805</v>
      </c>
    </row>
    <row r="41" spans="1:8" s="79" customFormat="1" ht="12.75" x14ac:dyDescent="0.25">
      <c r="A41" s="218" t="s">
        <v>2817</v>
      </c>
      <c r="B41" s="218" t="s">
        <v>2818</v>
      </c>
      <c r="C41" s="234" t="s">
        <v>2712</v>
      </c>
      <c r="D41" s="219" t="s">
        <v>2375</v>
      </c>
      <c r="E41" s="215" t="s">
        <v>43</v>
      </c>
      <c r="F41" s="239" t="s">
        <v>23</v>
      </c>
      <c r="G41" s="238" t="s">
        <v>2716</v>
      </c>
      <c r="H41" s="221" t="s">
        <v>2805</v>
      </c>
    </row>
    <row r="42" spans="1:8" s="79" customFormat="1" ht="12.75" x14ac:dyDescent="0.25">
      <c r="A42" s="223" t="s">
        <v>2819</v>
      </c>
      <c r="B42" s="224" t="s">
        <v>2820</v>
      </c>
      <c r="C42" s="235" t="s">
        <v>2764</v>
      </c>
      <c r="D42" s="105" t="s">
        <v>2821</v>
      </c>
      <c r="E42" s="215" t="s">
        <v>164</v>
      </c>
      <c r="F42" s="239" t="s">
        <v>19</v>
      </c>
      <c r="G42" s="239" t="s">
        <v>2720</v>
      </c>
      <c r="H42" s="221" t="s">
        <v>2805</v>
      </c>
    </row>
    <row r="43" spans="1:8" s="79" customFormat="1" ht="12.75" x14ac:dyDescent="0.25">
      <c r="A43" s="218" t="s">
        <v>2819</v>
      </c>
      <c r="B43" s="218" t="s">
        <v>2736</v>
      </c>
      <c r="C43" s="234" t="s">
        <v>2723</v>
      </c>
      <c r="D43" s="219" t="s">
        <v>2381</v>
      </c>
      <c r="E43" s="215" t="s">
        <v>337</v>
      </c>
      <c r="F43" s="239" t="s">
        <v>23</v>
      </c>
      <c r="G43" s="238" t="s">
        <v>2720</v>
      </c>
      <c r="H43" s="221" t="s">
        <v>2805</v>
      </c>
    </row>
    <row r="44" spans="1:8" s="79" customFormat="1" ht="12.75" x14ac:dyDescent="0.25">
      <c r="A44" s="222" t="s">
        <v>2822</v>
      </c>
      <c r="B44" s="218" t="s">
        <v>2823</v>
      </c>
      <c r="C44" s="234" t="s">
        <v>2824</v>
      </c>
      <c r="D44" s="219" t="s">
        <v>2825</v>
      </c>
      <c r="E44" s="215" t="s">
        <v>164</v>
      </c>
      <c r="F44" s="239" t="s">
        <v>19</v>
      </c>
      <c r="G44" s="238" t="s">
        <v>2720</v>
      </c>
      <c r="H44" s="221" t="s">
        <v>2805</v>
      </c>
    </row>
    <row r="45" spans="1:8" s="79" customFormat="1" ht="12.75" x14ac:dyDescent="0.25">
      <c r="A45" s="222" t="s">
        <v>2826</v>
      </c>
      <c r="B45" s="218" t="s">
        <v>2827</v>
      </c>
      <c r="C45" s="234" t="s">
        <v>2824</v>
      </c>
      <c r="D45" s="219" t="s">
        <v>2828</v>
      </c>
      <c r="E45" s="215" t="s">
        <v>164</v>
      </c>
      <c r="F45" s="239" t="s">
        <v>19</v>
      </c>
      <c r="G45" s="238" t="s">
        <v>2720</v>
      </c>
      <c r="H45" s="221" t="s">
        <v>2805</v>
      </c>
    </row>
    <row r="46" spans="1:8" s="79" customFormat="1" ht="12.75" x14ac:dyDescent="0.25">
      <c r="A46" s="218" t="s">
        <v>2734</v>
      </c>
      <c r="B46" s="218" t="s">
        <v>2829</v>
      </c>
      <c r="C46" s="234" t="s">
        <v>2712</v>
      </c>
      <c r="D46" s="219" t="s">
        <v>2421</v>
      </c>
      <c r="E46" s="215" t="s">
        <v>43</v>
      </c>
      <c r="F46" s="239" t="s">
        <v>23</v>
      </c>
      <c r="G46" s="238" t="s">
        <v>2716</v>
      </c>
      <c r="H46" s="221" t="s">
        <v>2805</v>
      </c>
    </row>
    <row r="47" spans="1:8" s="79" customFormat="1" ht="12.75" x14ac:dyDescent="0.25">
      <c r="A47" s="223" t="s">
        <v>2830</v>
      </c>
      <c r="B47" s="224" t="s">
        <v>2827</v>
      </c>
      <c r="C47" s="235" t="s">
        <v>2742</v>
      </c>
      <c r="D47" s="105" t="s">
        <v>2831</v>
      </c>
      <c r="E47" s="215" t="s">
        <v>164</v>
      </c>
      <c r="F47" s="239" t="s">
        <v>19</v>
      </c>
      <c r="G47" s="239" t="s">
        <v>2720</v>
      </c>
      <c r="H47" s="221" t="s">
        <v>2805</v>
      </c>
    </row>
    <row r="48" spans="1:8" s="79" customFormat="1" ht="12.75" x14ac:dyDescent="0.25">
      <c r="A48" s="218" t="s">
        <v>2832</v>
      </c>
      <c r="B48" s="218" t="s">
        <v>2833</v>
      </c>
      <c r="C48" s="234" t="s">
        <v>2764</v>
      </c>
      <c r="D48" s="219" t="s">
        <v>2425</v>
      </c>
      <c r="E48" s="215" t="s">
        <v>43</v>
      </c>
      <c r="F48" s="239" t="s">
        <v>23</v>
      </c>
      <c r="G48" s="238" t="s">
        <v>2720</v>
      </c>
      <c r="H48" s="221" t="s">
        <v>2805</v>
      </c>
    </row>
    <row r="49" spans="1:8" s="79" customFormat="1" ht="12.75" x14ac:dyDescent="0.25">
      <c r="A49" s="223" t="s">
        <v>2834</v>
      </c>
      <c r="B49" s="224" t="s">
        <v>2835</v>
      </c>
      <c r="C49" s="235" t="s">
        <v>2836</v>
      </c>
      <c r="D49" s="105" t="s">
        <v>1765</v>
      </c>
      <c r="E49" s="231" t="s">
        <v>1767</v>
      </c>
      <c r="F49" s="239" t="s">
        <v>19</v>
      </c>
      <c r="G49" s="239" t="s">
        <v>2720</v>
      </c>
      <c r="H49" s="221" t="s">
        <v>2805</v>
      </c>
    </row>
    <row r="50" spans="1:8" s="79" customFormat="1" ht="12.75" x14ac:dyDescent="0.25">
      <c r="A50" s="218" t="s">
        <v>2837</v>
      </c>
      <c r="B50" s="218" t="s">
        <v>2799</v>
      </c>
      <c r="C50" s="234" t="s">
        <v>2838</v>
      </c>
      <c r="D50" s="219" t="s">
        <v>1772</v>
      </c>
      <c r="E50" s="215" t="s">
        <v>337</v>
      </c>
      <c r="F50" s="239" t="s">
        <v>23</v>
      </c>
      <c r="G50" s="238" t="s">
        <v>2720</v>
      </c>
      <c r="H50" s="221" t="s">
        <v>2805</v>
      </c>
    </row>
    <row r="51" spans="1:8" s="79" customFormat="1" ht="12.75" x14ac:dyDescent="0.25">
      <c r="A51" s="218" t="s">
        <v>2839</v>
      </c>
      <c r="B51" s="218" t="s">
        <v>2829</v>
      </c>
      <c r="C51" s="234" t="s">
        <v>2736</v>
      </c>
      <c r="D51" s="219" t="s">
        <v>2456</v>
      </c>
      <c r="E51" s="215" t="s">
        <v>43</v>
      </c>
      <c r="F51" s="239" t="s">
        <v>23</v>
      </c>
      <c r="G51" s="238" t="s">
        <v>2716</v>
      </c>
      <c r="H51" s="221" t="s">
        <v>2805</v>
      </c>
    </row>
    <row r="52" spans="1:8" s="79" customFormat="1" ht="12.75" x14ac:dyDescent="0.25">
      <c r="A52" s="218" t="s">
        <v>2840</v>
      </c>
      <c r="B52" s="218" t="s">
        <v>2730</v>
      </c>
      <c r="C52" s="234" t="s">
        <v>2752</v>
      </c>
      <c r="D52" s="219" t="s">
        <v>1868</v>
      </c>
      <c r="E52" s="215" t="s">
        <v>224</v>
      </c>
      <c r="F52" s="239" t="s">
        <v>23</v>
      </c>
      <c r="G52" s="238" t="s">
        <v>2720</v>
      </c>
      <c r="H52" s="221" t="s">
        <v>2805</v>
      </c>
    </row>
    <row r="53" spans="1:8" s="79" customFormat="1" ht="12.75" x14ac:dyDescent="0.25">
      <c r="A53" s="222" t="s">
        <v>2841</v>
      </c>
      <c r="B53" s="218" t="s">
        <v>2827</v>
      </c>
      <c r="C53" s="234" t="s">
        <v>2743</v>
      </c>
      <c r="D53" s="219" t="s">
        <v>2842</v>
      </c>
      <c r="E53" s="215" t="s">
        <v>224</v>
      </c>
      <c r="F53" s="239" t="s">
        <v>23</v>
      </c>
      <c r="G53" s="238" t="s">
        <v>2720</v>
      </c>
      <c r="H53" s="221" t="s">
        <v>2805</v>
      </c>
    </row>
    <row r="54" spans="1:8" s="79" customFormat="1" ht="12.75" x14ac:dyDescent="0.25">
      <c r="A54" s="218" t="s">
        <v>2843</v>
      </c>
      <c r="B54" s="218" t="s">
        <v>2844</v>
      </c>
      <c r="C54" s="234" t="s">
        <v>2845</v>
      </c>
      <c r="D54" s="219" t="s">
        <v>2190</v>
      </c>
      <c r="E54" s="215" t="s">
        <v>43</v>
      </c>
      <c r="F54" s="239" t="s">
        <v>23</v>
      </c>
      <c r="G54" s="238" t="s">
        <v>2716</v>
      </c>
      <c r="H54" s="221" t="s">
        <v>2805</v>
      </c>
    </row>
    <row r="55" spans="1:8" s="79" customFormat="1" ht="12.75" x14ac:dyDescent="0.25">
      <c r="A55" s="222" t="s">
        <v>2846</v>
      </c>
      <c r="B55" s="218" t="s">
        <v>2847</v>
      </c>
      <c r="C55" s="234" t="s">
        <v>2764</v>
      </c>
      <c r="D55" s="219" t="s">
        <v>2848</v>
      </c>
      <c r="E55" s="215" t="s">
        <v>224</v>
      </c>
      <c r="F55" s="239" t="s">
        <v>23</v>
      </c>
      <c r="G55" s="238" t="s">
        <v>2720</v>
      </c>
      <c r="H55" s="221" t="s">
        <v>2805</v>
      </c>
    </row>
    <row r="56" spans="1:8" s="79" customFormat="1" ht="12.75" x14ac:dyDescent="0.25">
      <c r="A56" s="222" t="s">
        <v>2849</v>
      </c>
      <c r="B56" s="218" t="s">
        <v>2719</v>
      </c>
      <c r="C56" s="234" t="s">
        <v>2764</v>
      </c>
      <c r="D56" s="219" t="s">
        <v>2850</v>
      </c>
      <c r="E56" s="215" t="s">
        <v>337</v>
      </c>
      <c r="F56" s="239" t="s">
        <v>23</v>
      </c>
      <c r="G56" s="238" t="s">
        <v>2720</v>
      </c>
      <c r="H56" s="221" t="s">
        <v>2805</v>
      </c>
    </row>
    <row r="57" spans="1:8" s="79" customFormat="1" ht="12.75" x14ac:dyDescent="0.25">
      <c r="A57" s="222" t="s">
        <v>2851</v>
      </c>
      <c r="B57" s="218" t="s">
        <v>2730</v>
      </c>
      <c r="C57" s="234" t="s">
        <v>2736</v>
      </c>
      <c r="D57" s="219" t="s">
        <v>2852</v>
      </c>
      <c r="E57" s="215" t="s">
        <v>252</v>
      </c>
      <c r="F57" s="239" t="s">
        <v>19</v>
      </c>
      <c r="G57" s="238" t="s">
        <v>2720</v>
      </c>
      <c r="H57" s="221" t="s">
        <v>2805</v>
      </c>
    </row>
    <row r="58" spans="1:8" s="79" customFormat="1" ht="12.75" x14ac:dyDescent="0.25">
      <c r="A58" s="218" t="s">
        <v>2853</v>
      </c>
      <c r="B58" s="218" t="s">
        <v>2833</v>
      </c>
      <c r="C58" s="234" t="s">
        <v>2771</v>
      </c>
      <c r="D58" s="219" t="s">
        <v>2507</v>
      </c>
      <c r="E58" s="215" t="s">
        <v>224</v>
      </c>
      <c r="F58" s="239" t="s">
        <v>23</v>
      </c>
      <c r="G58" s="238" t="s">
        <v>2716</v>
      </c>
      <c r="H58" s="221" t="s">
        <v>2805</v>
      </c>
    </row>
    <row r="59" spans="1:8" s="79" customFormat="1" ht="12.75" x14ac:dyDescent="0.25">
      <c r="A59" s="218" t="s">
        <v>2854</v>
      </c>
      <c r="B59" s="218" t="s">
        <v>2855</v>
      </c>
      <c r="C59" s="234" t="s">
        <v>2824</v>
      </c>
      <c r="D59" s="219" t="s">
        <v>2513</v>
      </c>
      <c r="E59" s="215" t="s">
        <v>224</v>
      </c>
      <c r="F59" s="239" t="s">
        <v>23</v>
      </c>
      <c r="G59" s="238" t="s">
        <v>2720</v>
      </c>
      <c r="H59" s="221" t="s">
        <v>2805</v>
      </c>
    </row>
    <row r="60" spans="1:8" s="79" customFormat="1" ht="12.75" x14ac:dyDescent="0.25">
      <c r="A60" s="222" t="s">
        <v>2856</v>
      </c>
      <c r="B60" s="218" t="s">
        <v>2857</v>
      </c>
      <c r="C60" s="234" t="s">
        <v>2764</v>
      </c>
      <c r="D60" s="219" t="s">
        <v>2858</v>
      </c>
      <c r="E60" s="215" t="s">
        <v>224</v>
      </c>
      <c r="F60" s="239" t="s">
        <v>23</v>
      </c>
      <c r="G60" s="238" t="s">
        <v>2720</v>
      </c>
      <c r="H60" s="221" t="s">
        <v>2805</v>
      </c>
    </row>
    <row r="61" spans="1:8" s="79" customFormat="1" ht="12.75" x14ac:dyDescent="0.25">
      <c r="A61" s="218" t="s">
        <v>2859</v>
      </c>
      <c r="B61" s="218" t="s">
        <v>2712</v>
      </c>
      <c r="C61" s="234" t="s">
        <v>2736</v>
      </c>
      <c r="D61" s="219" t="s">
        <v>2860</v>
      </c>
      <c r="E61" s="215" t="s">
        <v>136</v>
      </c>
      <c r="F61" s="239" t="s">
        <v>19</v>
      </c>
      <c r="G61" s="238" t="s">
        <v>2720</v>
      </c>
      <c r="H61" s="221" t="s">
        <v>2805</v>
      </c>
    </row>
    <row r="62" spans="1:8" s="79" customFormat="1" ht="12.75" x14ac:dyDescent="0.25">
      <c r="A62" s="222" t="s">
        <v>2861</v>
      </c>
      <c r="B62" s="218" t="s">
        <v>2862</v>
      </c>
      <c r="C62" s="234" t="s">
        <v>2730</v>
      </c>
      <c r="D62" s="219" t="s">
        <v>2863</v>
      </c>
      <c r="E62" s="215" t="s">
        <v>252</v>
      </c>
      <c r="F62" s="239" t="s">
        <v>19</v>
      </c>
      <c r="G62" s="238" t="s">
        <v>2720</v>
      </c>
      <c r="H62" s="221" t="s">
        <v>2805</v>
      </c>
    </row>
    <row r="63" spans="1:8" s="79" customFormat="1" ht="12.75" x14ac:dyDescent="0.25">
      <c r="A63" s="222" t="s">
        <v>2864</v>
      </c>
      <c r="B63" s="218" t="s">
        <v>2809</v>
      </c>
      <c r="C63" s="234" t="s">
        <v>2712</v>
      </c>
      <c r="D63" s="219" t="s">
        <v>2865</v>
      </c>
      <c r="E63" s="215" t="s">
        <v>2775</v>
      </c>
      <c r="F63" s="239" t="s">
        <v>23</v>
      </c>
      <c r="G63" s="238" t="s">
        <v>2720</v>
      </c>
      <c r="H63" s="221" t="s">
        <v>2805</v>
      </c>
    </row>
    <row r="64" spans="1:8" s="79" customFormat="1" ht="12.75" x14ac:dyDescent="0.25">
      <c r="A64" s="223" t="s">
        <v>2866</v>
      </c>
      <c r="B64" s="224" t="s">
        <v>2726</v>
      </c>
      <c r="C64" s="235" t="s">
        <v>2796</v>
      </c>
      <c r="D64" s="105" t="s">
        <v>1789</v>
      </c>
      <c r="E64" s="231" t="s">
        <v>733</v>
      </c>
      <c r="F64" s="239" t="s">
        <v>23</v>
      </c>
      <c r="G64" s="239" t="s">
        <v>2720</v>
      </c>
      <c r="H64" s="221" t="s">
        <v>2805</v>
      </c>
    </row>
    <row r="65" spans="1:8" s="79" customFormat="1" ht="12.75" x14ac:dyDescent="0.25">
      <c r="A65" s="218" t="s">
        <v>2867</v>
      </c>
      <c r="B65" s="218" t="s">
        <v>2868</v>
      </c>
      <c r="C65" s="234" t="s">
        <v>2743</v>
      </c>
      <c r="D65" s="219" t="s">
        <v>2869</v>
      </c>
      <c r="E65" s="215" t="s">
        <v>136</v>
      </c>
      <c r="F65" s="239" t="s">
        <v>19</v>
      </c>
      <c r="G65" s="238" t="s">
        <v>2716</v>
      </c>
      <c r="H65" s="221" t="s">
        <v>2805</v>
      </c>
    </row>
    <row r="66" spans="1:8" s="79" customFormat="1" ht="12.75" x14ac:dyDescent="0.25">
      <c r="A66" s="218" t="s">
        <v>2870</v>
      </c>
      <c r="B66" s="218" t="s">
        <v>2871</v>
      </c>
      <c r="C66" s="234" t="s">
        <v>2735</v>
      </c>
      <c r="D66" s="219" t="s">
        <v>2872</v>
      </c>
      <c r="E66" s="215" t="s">
        <v>136</v>
      </c>
      <c r="F66" s="239" t="s">
        <v>19</v>
      </c>
      <c r="G66" s="238" t="s">
        <v>2716</v>
      </c>
      <c r="H66" s="221" t="s">
        <v>26</v>
      </c>
    </row>
    <row r="67" spans="1:8" s="79" customFormat="1" ht="12.75" x14ac:dyDescent="0.25">
      <c r="A67" s="218" t="s">
        <v>2873</v>
      </c>
      <c r="B67" s="218" t="s">
        <v>2874</v>
      </c>
      <c r="C67" s="234" t="s">
        <v>2875</v>
      </c>
      <c r="D67" s="219" t="s">
        <v>2038</v>
      </c>
      <c r="E67" s="215" t="s">
        <v>2040</v>
      </c>
      <c r="F67" s="239" t="s">
        <v>23</v>
      </c>
      <c r="G67" s="238" t="s">
        <v>2720</v>
      </c>
      <c r="H67" s="221" t="s">
        <v>2805</v>
      </c>
    </row>
    <row r="68" spans="1:8" s="79" customFormat="1" ht="12.75" x14ac:dyDescent="0.25">
      <c r="A68" s="225" t="s">
        <v>2876</v>
      </c>
      <c r="B68" s="218" t="s">
        <v>2735</v>
      </c>
      <c r="C68" s="234" t="s">
        <v>2743</v>
      </c>
      <c r="D68" s="219" t="s">
        <v>2568</v>
      </c>
      <c r="E68" s="215" t="s">
        <v>43</v>
      </c>
      <c r="F68" s="239" t="s">
        <v>23</v>
      </c>
      <c r="G68" s="238" t="s">
        <v>2720</v>
      </c>
      <c r="H68" s="221" t="s">
        <v>2805</v>
      </c>
    </row>
    <row r="69" spans="1:8" s="79" customFormat="1" ht="12.75" x14ac:dyDescent="0.25">
      <c r="A69" s="245" t="s">
        <v>2877</v>
      </c>
      <c r="B69" s="218" t="s">
        <v>2732</v>
      </c>
      <c r="C69" s="234" t="s">
        <v>2747</v>
      </c>
      <c r="D69" s="219" t="s">
        <v>2878</v>
      </c>
      <c r="E69" s="215" t="s">
        <v>224</v>
      </c>
      <c r="F69" s="239" t="s">
        <v>23</v>
      </c>
      <c r="G69" s="238" t="s">
        <v>2720</v>
      </c>
      <c r="H69" s="221" t="s">
        <v>2805</v>
      </c>
    </row>
    <row r="70" spans="1:8" s="79" customFormat="1" ht="12.75" x14ac:dyDescent="0.25">
      <c r="A70" s="225" t="s">
        <v>2879</v>
      </c>
      <c r="B70" s="218" t="s">
        <v>2752</v>
      </c>
      <c r="C70" s="234" t="s">
        <v>2796</v>
      </c>
      <c r="D70" s="219" t="s">
        <v>1802</v>
      </c>
      <c r="E70" s="215" t="s">
        <v>1192</v>
      </c>
      <c r="F70" s="239" t="s">
        <v>23</v>
      </c>
      <c r="G70" s="238" t="s">
        <v>2720</v>
      </c>
      <c r="H70" s="221" t="s">
        <v>2805</v>
      </c>
    </row>
    <row r="71" spans="1:8" s="79" customFormat="1" ht="12.75" x14ac:dyDescent="0.25">
      <c r="A71" s="245" t="s">
        <v>2880</v>
      </c>
      <c r="B71" s="218" t="s">
        <v>2796</v>
      </c>
      <c r="C71" s="234" t="s">
        <v>2712</v>
      </c>
      <c r="D71" s="219" t="s">
        <v>2881</v>
      </c>
      <c r="E71" s="215" t="s">
        <v>43</v>
      </c>
      <c r="F71" s="239" t="s">
        <v>23</v>
      </c>
      <c r="G71" s="238" t="s">
        <v>2720</v>
      </c>
      <c r="H71" s="221" t="s">
        <v>2805</v>
      </c>
    </row>
    <row r="72" spans="1:8" s="79" customFormat="1" ht="12.75" x14ac:dyDescent="0.25">
      <c r="A72" s="225" t="s">
        <v>2882</v>
      </c>
      <c r="B72" s="218" t="s">
        <v>2764</v>
      </c>
      <c r="C72" s="234" t="s">
        <v>2796</v>
      </c>
      <c r="D72" s="219" t="s">
        <v>1884</v>
      </c>
      <c r="E72" s="215" t="s">
        <v>43</v>
      </c>
      <c r="F72" s="239" t="s">
        <v>23</v>
      </c>
      <c r="G72" s="238" t="s">
        <v>2716</v>
      </c>
      <c r="H72" s="221" t="s">
        <v>2805</v>
      </c>
    </row>
    <row r="73" spans="1:8" s="79" customFormat="1" ht="12.75" x14ac:dyDescent="0.25">
      <c r="A73" s="225" t="s">
        <v>2883</v>
      </c>
      <c r="B73" s="218" t="s">
        <v>2884</v>
      </c>
      <c r="C73" s="234" t="s">
        <v>2735</v>
      </c>
      <c r="D73" s="219" t="s">
        <v>2885</v>
      </c>
      <c r="E73" s="215" t="s">
        <v>136</v>
      </c>
      <c r="F73" s="239" t="s">
        <v>19</v>
      </c>
      <c r="G73" s="238" t="s">
        <v>2716</v>
      </c>
      <c r="H73" s="221" t="s">
        <v>2805</v>
      </c>
    </row>
    <row r="74" spans="1:8" s="79" customFormat="1" ht="12.75" x14ac:dyDescent="0.25">
      <c r="A74" s="225" t="s">
        <v>2886</v>
      </c>
      <c r="B74" s="218" t="s">
        <v>2887</v>
      </c>
      <c r="C74" s="234" t="s">
        <v>2719</v>
      </c>
      <c r="D74" s="219" t="s">
        <v>2888</v>
      </c>
      <c r="E74" s="215" t="s">
        <v>164</v>
      </c>
      <c r="F74" s="239" t="s">
        <v>19</v>
      </c>
      <c r="G74" s="238" t="s">
        <v>2716</v>
      </c>
      <c r="H74" s="221" t="s">
        <v>2805</v>
      </c>
    </row>
    <row r="75" spans="1:8" s="79" customFormat="1" ht="12.75" x14ac:dyDescent="0.25">
      <c r="A75" s="245" t="s">
        <v>2889</v>
      </c>
      <c r="B75" s="218" t="s">
        <v>2890</v>
      </c>
      <c r="C75" s="234" t="s">
        <v>2891</v>
      </c>
      <c r="D75" s="219" t="s">
        <v>2892</v>
      </c>
      <c r="E75" s="215" t="s">
        <v>2714</v>
      </c>
      <c r="F75" s="239" t="s">
        <v>19</v>
      </c>
      <c r="G75" s="238" t="s">
        <v>2720</v>
      </c>
      <c r="H75" s="221" t="s">
        <v>2805</v>
      </c>
    </row>
    <row r="76" spans="1:8" s="79" customFormat="1" ht="12.75" x14ac:dyDescent="0.25">
      <c r="A76" s="245" t="s">
        <v>2893</v>
      </c>
      <c r="B76" s="218" t="s">
        <v>2894</v>
      </c>
      <c r="C76" s="234" t="s">
        <v>2712</v>
      </c>
      <c r="D76" s="219" t="s">
        <v>2895</v>
      </c>
      <c r="E76" s="215" t="s">
        <v>252</v>
      </c>
      <c r="F76" s="239" t="s">
        <v>19</v>
      </c>
      <c r="G76" s="238" t="s">
        <v>2720</v>
      </c>
      <c r="H76" s="221" t="s">
        <v>2805</v>
      </c>
    </row>
    <row r="77" spans="1:8" s="79" customFormat="1" ht="12.75" x14ac:dyDescent="0.25">
      <c r="A77" s="245" t="s">
        <v>2896</v>
      </c>
      <c r="B77" s="218" t="s">
        <v>2730</v>
      </c>
      <c r="C77" s="234" t="s">
        <v>2736</v>
      </c>
      <c r="D77" s="219" t="s">
        <v>2897</v>
      </c>
      <c r="E77" s="215" t="s">
        <v>2714</v>
      </c>
      <c r="F77" s="239" t="s">
        <v>19</v>
      </c>
      <c r="G77" s="238" t="s">
        <v>2720</v>
      </c>
      <c r="H77" s="221" t="s">
        <v>2805</v>
      </c>
    </row>
    <row r="78" spans="1:8" s="79" customFormat="1" ht="12.75" x14ac:dyDescent="0.25">
      <c r="A78" s="225" t="s">
        <v>2898</v>
      </c>
      <c r="B78" s="218" t="s">
        <v>2899</v>
      </c>
      <c r="C78" s="234" t="s">
        <v>2719</v>
      </c>
      <c r="D78" s="219" t="s">
        <v>1896</v>
      </c>
      <c r="E78" s="215" t="s">
        <v>224</v>
      </c>
      <c r="F78" s="239" t="s">
        <v>23</v>
      </c>
      <c r="G78" s="238" t="s">
        <v>2720</v>
      </c>
      <c r="H78" s="221" t="s">
        <v>2805</v>
      </c>
    </row>
    <row r="79" spans="1:8" s="79" customFormat="1" ht="12.75" x14ac:dyDescent="0.25">
      <c r="A79" s="245" t="s">
        <v>2900</v>
      </c>
      <c r="B79" s="218" t="s">
        <v>2719</v>
      </c>
      <c r="C79" s="234" t="s">
        <v>2901</v>
      </c>
      <c r="D79" s="219" t="s">
        <v>2902</v>
      </c>
      <c r="E79" s="215" t="s">
        <v>337</v>
      </c>
      <c r="F79" s="239" t="s">
        <v>23</v>
      </c>
      <c r="G79" s="238" t="s">
        <v>2720</v>
      </c>
      <c r="H79" s="221" t="s">
        <v>2805</v>
      </c>
    </row>
    <row r="80" spans="1:8" s="79" customFormat="1" ht="12.75" x14ac:dyDescent="0.25">
      <c r="A80" s="225" t="s">
        <v>2903</v>
      </c>
      <c r="B80" s="218" t="s">
        <v>2904</v>
      </c>
      <c r="C80" s="234" t="s">
        <v>2735</v>
      </c>
      <c r="D80" s="219" t="s">
        <v>2615</v>
      </c>
      <c r="E80" s="215" t="s">
        <v>43</v>
      </c>
      <c r="F80" s="239" t="s">
        <v>23</v>
      </c>
      <c r="G80" s="238" t="s">
        <v>2720</v>
      </c>
      <c r="H80" s="221" t="s">
        <v>2805</v>
      </c>
    </row>
    <row r="81" spans="1:8" s="79" customFormat="1" ht="12.75" x14ac:dyDescent="0.25">
      <c r="A81" s="245" t="s">
        <v>2905</v>
      </c>
      <c r="B81" s="218" t="s">
        <v>2732</v>
      </c>
      <c r="C81" s="234" t="s">
        <v>2736</v>
      </c>
      <c r="D81" s="219" t="s">
        <v>2906</v>
      </c>
      <c r="E81" s="215" t="s">
        <v>164</v>
      </c>
      <c r="F81" s="239" t="s">
        <v>19</v>
      </c>
      <c r="G81" s="238" t="s">
        <v>2720</v>
      </c>
      <c r="H81" s="221" t="s">
        <v>2805</v>
      </c>
    </row>
    <row r="82" spans="1:8" s="79" customFormat="1" ht="12.75" x14ac:dyDescent="0.25">
      <c r="A82" s="225" t="s">
        <v>2907</v>
      </c>
      <c r="B82" s="218" t="s">
        <v>2908</v>
      </c>
      <c r="C82" s="234" t="s">
        <v>2909</v>
      </c>
      <c r="D82" s="219" t="s">
        <v>1909</v>
      </c>
      <c r="E82" s="215" t="s">
        <v>43</v>
      </c>
      <c r="F82" s="239" t="s">
        <v>23</v>
      </c>
      <c r="G82" s="238" t="s">
        <v>2720</v>
      </c>
      <c r="H82" s="221" t="s">
        <v>2805</v>
      </c>
    </row>
    <row r="83" spans="1:8" s="79" customFormat="1" ht="12.75" x14ac:dyDescent="0.25">
      <c r="A83" s="245" t="s">
        <v>2910</v>
      </c>
      <c r="B83" s="218" t="s">
        <v>2911</v>
      </c>
      <c r="C83" s="234" t="s">
        <v>2748</v>
      </c>
      <c r="D83" s="219" t="s">
        <v>2912</v>
      </c>
      <c r="E83" s="215" t="s">
        <v>43</v>
      </c>
      <c r="F83" s="239" t="s">
        <v>23</v>
      </c>
      <c r="G83" s="238" t="s">
        <v>2720</v>
      </c>
      <c r="H83" s="221" t="s">
        <v>2805</v>
      </c>
    </row>
    <row r="84" spans="1:8" s="79" customFormat="1" ht="12.75" x14ac:dyDescent="0.25">
      <c r="A84" s="225" t="s">
        <v>2913</v>
      </c>
      <c r="B84" s="218" t="s">
        <v>2914</v>
      </c>
      <c r="C84" s="234" t="s">
        <v>2748</v>
      </c>
      <c r="D84" s="219" t="s">
        <v>2915</v>
      </c>
      <c r="E84" s="215" t="s">
        <v>164</v>
      </c>
      <c r="F84" s="239" t="s">
        <v>19</v>
      </c>
      <c r="G84" s="238" t="s">
        <v>2720</v>
      </c>
      <c r="H84" s="221" t="s">
        <v>2805</v>
      </c>
    </row>
    <row r="85" spans="1:8" s="79" customFormat="1" ht="12.75" x14ac:dyDescent="0.25">
      <c r="A85" s="247" t="s">
        <v>2916</v>
      </c>
      <c r="B85" s="218" t="s">
        <v>2917</v>
      </c>
      <c r="C85" s="234" t="s">
        <v>2743</v>
      </c>
      <c r="D85" s="219">
        <v>156275731</v>
      </c>
      <c r="E85" s="215" t="s">
        <v>252</v>
      </c>
      <c r="F85" s="239" t="s">
        <v>19</v>
      </c>
      <c r="G85" s="238" t="s">
        <v>2720</v>
      </c>
      <c r="H85" s="221" t="s">
        <v>2805</v>
      </c>
    </row>
    <row r="86" spans="1:8" s="79" customFormat="1" ht="12.75" x14ac:dyDescent="0.25">
      <c r="A86" s="225" t="s">
        <v>2918</v>
      </c>
      <c r="B86" s="218" t="s">
        <v>2827</v>
      </c>
      <c r="C86" s="234" t="s">
        <v>2747</v>
      </c>
      <c r="D86" s="219" t="s">
        <v>2248</v>
      </c>
      <c r="E86" s="215" t="s">
        <v>337</v>
      </c>
      <c r="F86" s="239" t="s">
        <v>23</v>
      </c>
      <c r="G86" s="238" t="s">
        <v>2720</v>
      </c>
      <c r="H86" s="221" t="s">
        <v>2805</v>
      </c>
    </row>
    <row r="87" spans="1:8" s="79" customFormat="1" ht="12.75" x14ac:dyDescent="0.25">
      <c r="A87" s="225" t="s">
        <v>2919</v>
      </c>
      <c r="B87" s="218" t="s">
        <v>2712</v>
      </c>
      <c r="C87" s="234" t="s">
        <v>2736</v>
      </c>
      <c r="D87" s="219" t="s">
        <v>1922</v>
      </c>
      <c r="E87" s="215" t="s">
        <v>337</v>
      </c>
      <c r="F87" s="239" t="s">
        <v>23</v>
      </c>
      <c r="G87" s="238" t="s">
        <v>2720</v>
      </c>
      <c r="H87" s="221" t="s">
        <v>2805</v>
      </c>
    </row>
    <row r="88" spans="1:8" s="79" customFormat="1" ht="12.75" x14ac:dyDescent="0.25">
      <c r="A88" s="244" t="s">
        <v>2920</v>
      </c>
      <c r="B88" s="218" t="s">
        <v>2766</v>
      </c>
      <c r="C88" s="234" t="s">
        <v>2736</v>
      </c>
      <c r="D88" s="219">
        <v>147008840</v>
      </c>
      <c r="E88" s="215" t="s">
        <v>224</v>
      </c>
      <c r="F88" s="239" t="s">
        <v>23</v>
      </c>
      <c r="G88" s="238" t="s">
        <v>2720</v>
      </c>
      <c r="H88" s="221" t="s">
        <v>2805</v>
      </c>
    </row>
    <row r="89" spans="1:8" s="79" customFormat="1" ht="12.75" x14ac:dyDescent="0.25">
      <c r="A89" s="218" t="s">
        <v>2717</v>
      </c>
      <c r="B89" s="218" t="s">
        <v>2726</v>
      </c>
      <c r="C89" s="234" t="s">
        <v>2748</v>
      </c>
      <c r="D89" s="219" t="s">
        <v>1612</v>
      </c>
      <c r="E89" s="215" t="s">
        <v>125</v>
      </c>
      <c r="F89" s="239" t="s">
        <v>23</v>
      </c>
      <c r="G89" s="238" t="s">
        <v>2716</v>
      </c>
      <c r="H89" s="220" t="s">
        <v>33</v>
      </c>
    </row>
    <row r="90" spans="1:8" s="79" customFormat="1" ht="12.75" x14ac:dyDescent="0.25">
      <c r="A90" s="218" t="s">
        <v>2921</v>
      </c>
      <c r="B90" s="218" t="s">
        <v>2922</v>
      </c>
      <c r="C90" s="234" t="s">
        <v>2923</v>
      </c>
      <c r="D90" s="219" t="s">
        <v>2924</v>
      </c>
      <c r="E90" s="215" t="s">
        <v>136</v>
      </c>
      <c r="F90" s="239" t="s">
        <v>19</v>
      </c>
      <c r="G90" s="238" t="s">
        <v>2754</v>
      </c>
      <c r="H90" s="220" t="s">
        <v>33</v>
      </c>
    </row>
    <row r="91" spans="1:8" s="79" customFormat="1" ht="12.75" x14ac:dyDescent="0.25">
      <c r="A91" s="218" t="s">
        <v>2925</v>
      </c>
      <c r="B91" s="218" t="s">
        <v>2743</v>
      </c>
      <c r="C91" s="234" t="s">
        <v>2712</v>
      </c>
      <c r="D91" s="219" t="s">
        <v>1616</v>
      </c>
      <c r="E91" s="215" t="s">
        <v>146</v>
      </c>
      <c r="F91" s="239" t="s">
        <v>23</v>
      </c>
      <c r="G91" s="238" t="s">
        <v>2720</v>
      </c>
      <c r="H91" s="220" t="s">
        <v>33</v>
      </c>
    </row>
    <row r="92" spans="1:8" s="79" customFormat="1" ht="12.75" x14ac:dyDescent="0.25">
      <c r="A92" s="218" t="s">
        <v>2926</v>
      </c>
      <c r="B92" s="218" t="s">
        <v>2927</v>
      </c>
      <c r="C92" s="234" t="s">
        <v>2928</v>
      </c>
      <c r="D92" s="219" t="s">
        <v>2929</v>
      </c>
      <c r="E92" s="215" t="s">
        <v>136</v>
      </c>
      <c r="F92" s="239" t="s">
        <v>19</v>
      </c>
      <c r="G92" s="238" t="s">
        <v>2716</v>
      </c>
      <c r="H92" s="220" t="s">
        <v>33</v>
      </c>
    </row>
    <row r="93" spans="1:8" s="79" customFormat="1" ht="12.75" x14ac:dyDescent="0.25">
      <c r="A93" s="218" t="s">
        <v>2930</v>
      </c>
      <c r="B93" s="218" t="s">
        <v>2771</v>
      </c>
      <c r="C93" s="234" t="s">
        <v>2931</v>
      </c>
      <c r="D93" s="219" t="s">
        <v>2932</v>
      </c>
      <c r="E93" s="215" t="s">
        <v>164</v>
      </c>
      <c r="F93" s="239" t="s">
        <v>19</v>
      </c>
      <c r="G93" s="238" t="s">
        <v>2720</v>
      </c>
      <c r="H93" s="220" t="s">
        <v>33</v>
      </c>
    </row>
    <row r="94" spans="1:8" s="79" customFormat="1" ht="12.75" x14ac:dyDescent="0.25">
      <c r="A94" s="218" t="s">
        <v>2933</v>
      </c>
      <c r="B94" s="218" t="s">
        <v>2884</v>
      </c>
      <c r="C94" s="234" t="s">
        <v>2712</v>
      </c>
      <c r="D94" s="219" t="s">
        <v>1620</v>
      </c>
      <c r="E94" s="215" t="s">
        <v>43</v>
      </c>
      <c r="F94" s="239" t="s">
        <v>23</v>
      </c>
      <c r="G94" s="238" t="s">
        <v>2720</v>
      </c>
      <c r="H94" s="220" t="s">
        <v>33</v>
      </c>
    </row>
    <row r="95" spans="1:8" s="79" customFormat="1" ht="12.75" x14ac:dyDescent="0.25">
      <c r="A95" s="218" t="s">
        <v>2934</v>
      </c>
      <c r="B95" s="218" t="s">
        <v>2732</v>
      </c>
      <c r="C95" s="234" t="s">
        <v>2712</v>
      </c>
      <c r="D95" s="219" t="s">
        <v>1624</v>
      </c>
      <c r="E95" s="215" t="s">
        <v>2775</v>
      </c>
      <c r="F95" s="239" t="s">
        <v>23</v>
      </c>
      <c r="G95" s="238" t="s">
        <v>2716</v>
      </c>
      <c r="H95" s="220" t="s">
        <v>33</v>
      </c>
    </row>
    <row r="96" spans="1:8" s="79" customFormat="1" ht="12.75" x14ac:dyDescent="0.25">
      <c r="A96" s="218" t="s">
        <v>2935</v>
      </c>
      <c r="B96" s="218" t="s">
        <v>2936</v>
      </c>
      <c r="C96" s="234" t="s">
        <v>2730</v>
      </c>
      <c r="D96" s="219" t="s">
        <v>2937</v>
      </c>
      <c r="E96" s="215" t="s">
        <v>2938</v>
      </c>
      <c r="F96" s="239" t="s">
        <v>19</v>
      </c>
      <c r="G96" s="238" t="s">
        <v>2716</v>
      </c>
      <c r="H96" s="220" t="s">
        <v>33</v>
      </c>
    </row>
    <row r="97" spans="1:8" s="79" customFormat="1" ht="12.75" x14ac:dyDescent="0.25">
      <c r="A97" s="218" t="s">
        <v>2939</v>
      </c>
      <c r="B97" s="218" t="s">
        <v>2735</v>
      </c>
      <c r="C97" s="234" t="s">
        <v>2719</v>
      </c>
      <c r="D97" s="219" t="s">
        <v>1628</v>
      </c>
      <c r="E97" s="215" t="s">
        <v>43</v>
      </c>
      <c r="F97" s="239" t="s">
        <v>23</v>
      </c>
      <c r="G97" s="238" t="s">
        <v>2720</v>
      </c>
      <c r="H97" s="220" t="s">
        <v>33</v>
      </c>
    </row>
    <row r="98" spans="1:8" s="79" customFormat="1" ht="12.75" x14ac:dyDescent="0.25">
      <c r="A98" s="218" t="s">
        <v>2940</v>
      </c>
      <c r="B98" s="218" t="s">
        <v>2764</v>
      </c>
      <c r="C98" s="234" t="s">
        <v>2748</v>
      </c>
      <c r="D98" s="219" t="s">
        <v>1632</v>
      </c>
      <c r="E98" s="215" t="s">
        <v>43</v>
      </c>
      <c r="F98" s="239" t="s">
        <v>23</v>
      </c>
      <c r="G98" s="238" t="s">
        <v>2716</v>
      </c>
      <c r="H98" s="220" t="s">
        <v>33</v>
      </c>
    </row>
    <row r="99" spans="1:8" s="79" customFormat="1" ht="12.75" x14ac:dyDescent="0.25">
      <c r="A99" s="218" t="s">
        <v>2941</v>
      </c>
      <c r="B99" s="218" t="s">
        <v>2735</v>
      </c>
      <c r="C99" s="234" t="s">
        <v>2726</v>
      </c>
      <c r="D99" s="219" t="s">
        <v>1636</v>
      </c>
      <c r="E99" s="215" t="s">
        <v>43</v>
      </c>
      <c r="F99" s="239" t="s">
        <v>23</v>
      </c>
      <c r="G99" s="238" t="s">
        <v>2720</v>
      </c>
      <c r="H99" s="220" t="s">
        <v>33</v>
      </c>
    </row>
    <row r="100" spans="1:8" s="79" customFormat="1" ht="12.75" x14ac:dyDescent="0.25">
      <c r="A100" s="218" t="s">
        <v>2942</v>
      </c>
      <c r="B100" s="218" t="s">
        <v>2943</v>
      </c>
      <c r="C100" s="234" t="s">
        <v>2742</v>
      </c>
      <c r="D100" s="219" t="s">
        <v>1640</v>
      </c>
      <c r="E100" s="215" t="s">
        <v>43</v>
      </c>
      <c r="F100" s="239" t="s">
        <v>23</v>
      </c>
      <c r="G100" s="238" t="s">
        <v>2716</v>
      </c>
      <c r="H100" s="220" t="s">
        <v>33</v>
      </c>
    </row>
    <row r="101" spans="1:8" s="79" customFormat="1" ht="12.75" x14ac:dyDescent="0.25">
      <c r="A101" s="218" t="s">
        <v>2944</v>
      </c>
      <c r="B101" s="218" t="s">
        <v>2945</v>
      </c>
      <c r="C101" s="234" t="s">
        <v>2928</v>
      </c>
      <c r="D101" s="219" t="s">
        <v>1644</v>
      </c>
      <c r="E101" s="215" t="s">
        <v>224</v>
      </c>
      <c r="F101" s="239" t="s">
        <v>23</v>
      </c>
      <c r="G101" s="238" t="s">
        <v>2716</v>
      </c>
      <c r="H101" s="220" t="s">
        <v>33</v>
      </c>
    </row>
    <row r="102" spans="1:8" s="79" customFormat="1" ht="12.75" x14ac:dyDescent="0.25">
      <c r="A102" s="218" t="s">
        <v>2946</v>
      </c>
      <c r="B102" s="218" t="s">
        <v>2833</v>
      </c>
      <c r="C102" s="234" t="s">
        <v>2774</v>
      </c>
      <c r="D102" s="219" t="s">
        <v>1648</v>
      </c>
      <c r="E102" s="215" t="s">
        <v>43</v>
      </c>
      <c r="F102" s="239" t="s">
        <v>23</v>
      </c>
      <c r="G102" s="238" t="s">
        <v>2720</v>
      </c>
      <c r="H102" s="220" t="s">
        <v>33</v>
      </c>
    </row>
    <row r="103" spans="1:8" s="79" customFormat="1" ht="12.75" x14ac:dyDescent="0.25">
      <c r="A103" s="218" t="s">
        <v>2947</v>
      </c>
      <c r="B103" s="218" t="s">
        <v>2948</v>
      </c>
      <c r="C103" s="234" t="s">
        <v>2726</v>
      </c>
      <c r="D103" s="219" t="s">
        <v>1652</v>
      </c>
      <c r="E103" s="215" t="s">
        <v>2775</v>
      </c>
      <c r="F103" s="239" t="s">
        <v>23</v>
      </c>
      <c r="G103" s="238" t="s">
        <v>2716</v>
      </c>
      <c r="H103" s="220" t="s">
        <v>33</v>
      </c>
    </row>
    <row r="104" spans="1:8" s="79" customFormat="1" ht="12.75" x14ac:dyDescent="0.25">
      <c r="A104" s="218" t="s">
        <v>2949</v>
      </c>
      <c r="B104" s="218" t="s">
        <v>2950</v>
      </c>
      <c r="C104" s="234" t="s">
        <v>2712</v>
      </c>
      <c r="D104" s="219" t="s">
        <v>2951</v>
      </c>
      <c r="E104" s="215" t="s">
        <v>164</v>
      </c>
      <c r="F104" s="239" t="s">
        <v>19</v>
      </c>
      <c r="G104" s="238" t="s">
        <v>2716</v>
      </c>
      <c r="H104" s="220" t="s">
        <v>33</v>
      </c>
    </row>
    <row r="105" spans="1:8" s="79" customFormat="1" ht="12.75" x14ac:dyDescent="0.25">
      <c r="A105" s="218" t="s">
        <v>2952</v>
      </c>
      <c r="B105" s="218" t="s">
        <v>2953</v>
      </c>
      <c r="C105" s="234" t="s">
        <v>2748</v>
      </c>
      <c r="D105" s="219" t="s">
        <v>2954</v>
      </c>
      <c r="E105" s="215" t="s">
        <v>252</v>
      </c>
      <c r="F105" s="239" t="s">
        <v>19</v>
      </c>
      <c r="G105" s="238" t="s">
        <v>2720</v>
      </c>
      <c r="H105" s="220" t="s">
        <v>33</v>
      </c>
    </row>
    <row r="106" spans="1:8" s="79" customFormat="1" ht="12.75" x14ac:dyDescent="0.25">
      <c r="A106" s="218" t="s">
        <v>2955</v>
      </c>
      <c r="B106" s="218" t="s">
        <v>2956</v>
      </c>
      <c r="C106" s="234" t="s">
        <v>2736</v>
      </c>
      <c r="D106" s="219" t="s">
        <v>2957</v>
      </c>
      <c r="E106" s="215" t="s">
        <v>164</v>
      </c>
      <c r="F106" s="239" t="s">
        <v>19</v>
      </c>
      <c r="G106" s="238" t="s">
        <v>2716</v>
      </c>
      <c r="H106" s="220" t="s">
        <v>33</v>
      </c>
    </row>
    <row r="107" spans="1:8" s="79" customFormat="1" ht="12.75" x14ac:dyDescent="0.25">
      <c r="A107" s="218" t="s">
        <v>2788</v>
      </c>
      <c r="B107" s="218" t="s">
        <v>2874</v>
      </c>
      <c r="C107" s="234" t="s">
        <v>2764</v>
      </c>
      <c r="D107" s="219" t="s">
        <v>1660</v>
      </c>
      <c r="E107" s="215" t="s">
        <v>264</v>
      </c>
      <c r="F107" s="239" t="s">
        <v>23</v>
      </c>
      <c r="G107" s="238" t="s">
        <v>2716</v>
      </c>
      <c r="H107" s="220" t="s">
        <v>33</v>
      </c>
    </row>
    <row r="108" spans="1:8" s="79" customFormat="1" ht="12.75" x14ac:dyDescent="0.25">
      <c r="A108" s="218" t="s">
        <v>2958</v>
      </c>
      <c r="B108" s="218" t="s">
        <v>2788</v>
      </c>
      <c r="C108" s="234" t="s">
        <v>2736</v>
      </c>
      <c r="D108" s="219" t="s">
        <v>1664</v>
      </c>
      <c r="E108" s="215" t="s">
        <v>43</v>
      </c>
      <c r="F108" s="239" t="s">
        <v>23</v>
      </c>
      <c r="G108" s="238" t="s">
        <v>2720</v>
      </c>
      <c r="H108" s="220" t="s">
        <v>33</v>
      </c>
    </row>
    <row r="109" spans="1:8" s="79" customFormat="1" ht="12.75" x14ac:dyDescent="0.25">
      <c r="A109" s="218" t="s">
        <v>2959</v>
      </c>
      <c r="B109" s="218" t="s">
        <v>2818</v>
      </c>
      <c r="C109" s="234" t="s">
        <v>2771</v>
      </c>
      <c r="D109" s="219" t="s">
        <v>2960</v>
      </c>
      <c r="E109" s="215" t="s">
        <v>164</v>
      </c>
      <c r="F109" s="239" t="s">
        <v>19</v>
      </c>
      <c r="G109" s="238" t="s">
        <v>2720</v>
      </c>
      <c r="H109" s="220" t="s">
        <v>33</v>
      </c>
    </row>
    <row r="110" spans="1:8" s="79" customFormat="1" ht="12.75" x14ac:dyDescent="0.25">
      <c r="A110" s="218" t="s">
        <v>2961</v>
      </c>
      <c r="B110" s="218" t="s">
        <v>2887</v>
      </c>
      <c r="C110" s="234" t="s">
        <v>2712</v>
      </c>
      <c r="D110" s="219" t="s">
        <v>1668</v>
      </c>
      <c r="E110" s="215" t="s">
        <v>43</v>
      </c>
      <c r="F110" s="239" t="s">
        <v>23</v>
      </c>
      <c r="G110" s="238" t="s">
        <v>2720</v>
      </c>
      <c r="H110" s="220" t="s">
        <v>33</v>
      </c>
    </row>
    <row r="111" spans="1:8" s="79" customFormat="1" ht="12.75" x14ac:dyDescent="0.25">
      <c r="A111" s="218" t="s">
        <v>2962</v>
      </c>
      <c r="B111" s="218" t="s">
        <v>2963</v>
      </c>
      <c r="C111" s="234" t="s">
        <v>2719</v>
      </c>
      <c r="D111" s="219" t="s">
        <v>1672</v>
      </c>
      <c r="E111" s="215" t="s">
        <v>2775</v>
      </c>
      <c r="F111" s="239" t="s">
        <v>23</v>
      </c>
      <c r="G111" s="238" t="s">
        <v>2716</v>
      </c>
      <c r="H111" s="220" t="s">
        <v>33</v>
      </c>
    </row>
    <row r="112" spans="1:8" s="79" customFormat="1" ht="12.75" x14ac:dyDescent="0.25">
      <c r="A112" s="218" t="s">
        <v>2964</v>
      </c>
      <c r="B112" s="218" t="s">
        <v>2965</v>
      </c>
      <c r="C112" s="234" t="s">
        <v>2966</v>
      </c>
      <c r="D112" s="219" t="s">
        <v>2967</v>
      </c>
      <c r="E112" s="215" t="s">
        <v>252</v>
      </c>
      <c r="F112" s="239" t="s">
        <v>19</v>
      </c>
      <c r="G112" s="238" t="s">
        <v>2716</v>
      </c>
      <c r="H112" s="220" t="s">
        <v>33</v>
      </c>
    </row>
    <row r="113" spans="1:8" s="79" customFormat="1" ht="12.75" x14ac:dyDescent="0.25">
      <c r="A113" s="218" t="s">
        <v>2968</v>
      </c>
      <c r="B113" s="218" t="s">
        <v>2969</v>
      </c>
      <c r="C113" s="234" t="s">
        <v>2743</v>
      </c>
      <c r="D113" s="219" t="s">
        <v>2970</v>
      </c>
      <c r="E113" s="215" t="s">
        <v>136</v>
      </c>
      <c r="F113" s="239" t="s">
        <v>19</v>
      </c>
      <c r="G113" s="238" t="s">
        <v>2720</v>
      </c>
      <c r="H113" s="220" t="s">
        <v>33</v>
      </c>
    </row>
    <row r="114" spans="1:8" s="79" customFormat="1" ht="12.75" x14ac:dyDescent="0.25">
      <c r="A114" s="218" t="s">
        <v>2971</v>
      </c>
      <c r="B114" s="218" t="s">
        <v>2972</v>
      </c>
      <c r="C114" s="234" t="s">
        <v>2891</v>
      </c>
      <c r="D114" s="219" t="s">
        <v>1676</v>
      </c>
      <c r="E114" s="215" t="s">
        <v>43</v>
      </c>
      <c r="F114" s="239" t="s">
        <v>23</v>
      </c>
      <c r="G114" s="238" t="s">
        <v>2720</v>
      </c>
      <c r="H114" s="220" t="s">
        <v>33</v>
      </c>
    </row>
    <row r="115" spans="1:8" s="79" customFormat="1" ht="12.75" x14ac:dyDescent="0.25">
      <c r="A115" s="218" t="s">
        <v>2973</v>
      </c>
      <c r="B115" s="218" t="s">
        <v>2974</v>
      </c>
      <c r="C115" s="234" t="s">
        <v>2712</v>
      </c>
      <c r="D115" s="219" t="s">
        <v>2975</v>
      </c>
      <c r="E115" s="215" t="s">
        <v>2976</v>
      </c>
      <c r="F115" s="239" t="s">
        <v>19</v>
      </c>
      <c r="G115" s="238" t="s">
        <v>2716</v>
      </c>
      <c r="H115" s="220" t="s">
        <v>33</v>
      </c>
    </row>
    <row r="116" spans="1:8" s="79" customFormat="1" ht="12.75" x14ac:dyDescent="0.25">
      <c r="A116" s="218" t="s">
        <v>2977</v>
      </c>
      <c r="B116" s="218" t="s">
        <v>2904</v>
      </c>
      <c r="C116" s="234" t="s">
        <v>2752</v>
      </c>
      <c r="D116" s="219" t="s">
        <v>2978</v>
      </c>
      <c r="E116" s="215" t="s">
        <v>2979</v>
      </c>
      <c r="F116" s="239" t="s">
        <v>23</v>
      </c>
      <c r="G116" s="238" t="s">
        <v>2716</v>
      </c>
      <c r="H116" s="220" t="s">
        <v>33</v>
      </c>
    </row>
    <row r="117" spans="1:8" s="79" customFormat="1" ht="12.75" x14ac:dyDescent="0.25">
      <c r="A117" s="218" t="s">
        <v>2980</v>
      </c>
      <c r="B117" s="218" t="s">
        <v>2756</v>
      </c>
      <c r="C117" s="234" t="s">
        <v>2735</v>
      </c>
      <c r="D117" s="219" t="s">
        <v>1692</v>
      </c>
      <c r="E117" s="215" t="s">
        <v>337</v>
      </c>
      <c r="F117" s="239" t="s">
        <v>23</v>
      </c>
      <c r="G117" s="238" t="s">
        <v>2720</v>
      </c>
      <c r="H117" s="220" t="s">
        <v>33</v>
      </c>
    </row>
    <row r="118" spans="1:8" s="79" customFormat="1" ht="12.75" x14ac:dyDescent="0.25">
      <c r="A118" s="218" t="s">
        <v>2981</v>
      </c>
      <c r="B118" s="226" t="s">
        <v>2732</v>
      </c>
      <c r="C118" s="234"/>
      <c r="D118" s="227" t="s">
        <v>1696</v>
      </c>
      <c r="E118" s="232" t="s">
        <v>2775</v>
      </c>
      <c r="F118" s="239" t="s">
        <v>23</v>
      </c>
      <c r="G118" s="240" t="s">
        <v>2754</v>
      </c>
      <c r="H118" s="220" t="s">
        <v>33</v>
      </c>
    </row>
    <row r="119" spans="1:8" s="79" customFormat="1" ht="12.75" x14ac:dyDescent="0.25">
      <c r="A119" s="218" t="s">
        <v>2982</v>
      </c>
      <c r="B119" s="218" t="s">
        <v>2983</v>
      </c>
      <c r="C119" s="234" t="s">
        <v>2748</v>
      </c>
      <c r="D119" s="219" t="s">
        <v>2984</v>
      </c>
      <c r="E119" s="215" t="s">
        <v>164</v>
      </c>
      <c r="F119" s="239" t="s">
        <v>19</v>
      </c>
      <c r="G119" s="238" t="s">
        <v>2720</v>
      </c>
      <c r="H119" s="220" t="s">
        <v>33</v>
      </c>
    </row>
    <row r="120" spans="1:8" s="79" customFormat="1" ht="12.75" x14ac:dyDescent="0.25">
      <c r="A120" s="218" t="s">
        <v>2985</v>
      </c>
      <c r="B120" s="218" t="s">
        <v>2782</v>
      </c>
      <c r="C120" s="234" t="s">
        <v>2712</v>
      </c>
      <c r="D120" s="219" t="s">
        <v>2986</v>
      </c>
      <c r="E120" s="215" t="s">
        <v>164</v>
      </c>
      <c r="F120" s="239" t="s">
        <v>19</v>
      </c>
      <c r="G120" s="238" t="s">
        <v>2716</v>
      </c>
      <c r="H120" s="220" t="s">
        <v>33</v>
      </c>
    </row>
    <row r="121" spans="1:8" s="79" customFormat="1" ht="12.75" x14ac:dyDescent="0.25">
      <c r="A121" s="218" t="s">
        <v>2987</v>
      </c>
      <c r="B121" s="218" t="s">
        <v>2729</v>
      </c>
      <c r="C121" s="234" t="s">
        <v>2719</v>
      </c>
      <c r="D121" s="219" t="s">
        <v>1700</v>
      </c>
      <c r="E121" s="215" t="s">
        <v>43</v>
      </c>
      <c r="F121" s="239" t="s">
        <v>23</v>
      </c>
      <c r="G121" s="238" t="s">
        <v>2720</v>
      </c>
      <c r="H121" s="220" t="s">
        <v>33</v>
      </c>
    </row>
    <row r="122" spans="1:8" s="79" customFormat="1" ht="12.75" x14ac:dyDescent="0.25">
      <c r="A122" s="218" t="s">
        <v>2988</v>
      </c>
      <c r="B122" s="218" t="s">
        <v>2989</v>
      </c>
      <c r="C122" s="234" t="s">
        <v>2771</v>
      </c>
      <c r="D122" s="219" t="s">
        <v>1704</v>
      </c>
      <c r="E122" s="215" t="s">
        <v>337</v>
      </c>
      <c r="F122" s="239" t="s">
        <v>23</v>
      </c>
      <c r="G122" s="238" t="s">
        <v>2720</v>
      </c>
      <c r="H122" s="220" t="s">
        <v>33</v>
      </c>
    </row>
    <row r="123" spans="1:8" s="79" customFormat="1" ht="12.75" x14ac:dyDescent="0.25">
      <c r="A123" s="218" t="s">
        <v>2990</v>
      </c>
      <c r="B123" s="218" t="s">
        <v>2991</v>
      </c>
      <c r="C123" s="234" t="s">
        <v>2829</v>
      </c>
      <c r="D123" s="219" t="s">
        <v>1708</v>
      </c>
      <c r="E123" s="215" t="s">
        <v>43</v>
      </c>
      <c r="F123" s="239" t="s">
        <v>23</v>
      </c>
      <c r="G123" s="238" t="s">
        <v>2720</v>
      </c>
      <c r="H123" s="220" t="s">
        <v>33</v>
      </c>
    </row>
    <row r="124" spans="1:8" s="79" customFormat="1" ht="12.75" x14ac:dyDescent="0.25">
      <c r="A124" s="218" t="s">
        <v>2992</v>
      </c>
      <c r="B124" s="218" t="s">
        <v>2887</v>
      </c>
      <c r="C124" s="234" t="s">
        <v>2719</v>
      </c>
      <c r="D124" s="219" t="s">
        <v>1712</v>
      </c>
      <c r="E124" s="215" t="s">
        <v>43</v>
      </c>
      <c r="F124" s="239" t="s">
        <v>23</v>
      </c>
      <c r="G124" s="238" t="s">
        <v>2716</v>
      </c>
      <c r="H124" s="220" t="s">
        <v>33</v>
      </c>
    </row>
    <row r="125" spans="1:8" s="79" customFormat="1" ht="12.75" x14ac:dyDescent="0.25">
      <c r="A125" s="218" t="s">
        <v>2993</v>
      </c>
      <c r="B125" s="218" t="s">
        <v>2994</v>
      </c>
      <c r="C125" s="234" t="s">
        <v>2923</v>
      </c>
      <c r="D125" s="219" t="s">
        <v>1716</v>
      </c>
      <c r="E125" s="215" t="s">
        <v>43</v>
      </c>
      <c r="F125" s="239" t="s">
        <v>23</v>
      </c>
      <c r="G125" s="238" t="s">
        <v>2716</v>
      </c>
      <c r="H125" s="220" t="s">
        <v>33</v>
      </c>
    </row>
    <row r="126" spans="1:8" s="79" customFormat="1" ht="12.75" x14ac:dyDescent="0.25">
      <c r="A126" s="218" t="s">
        <v>2995</v>
      </c>
      <c r="B126" s="218" t="s">
        <v>2712</v>
      </c>
      <c r="C126" s="234" t="s">
        <v>2996</v>
      </c>
      <c r="D126" s="219" t="s">
        <v>1720</v>
      </c>
      <c r="E126" s="215" t="s">
        <v>337</v>
      </c>
      <c r="F126" s="239" t="s">
        <v>23</v>
      </c>
      <c r="G126" s="238" t="s">
        <v>2720</v>
      </c>
      <c r="H126" s="220" t="s">
        <v>33</v>
      </c>
    </row>
    <row r="127" spans="1:8" s="79" customFormat="1" ht="12.75" x14ac:dyDescent="0.25">
      <c r="A127" s="218" t="s">
        <v>2997</v>
      </c>
      <c r="B127" s="218" t="s">
        <v>2827</v>
      </c>
      <c r="C127" s="234" t="s">
        <v>2712</v>
      </c>
      <c r="D127" s="219" t="s">
        <v>1724</v>
      </c>
      <c r="E127" s="215" t="s">
        <v>43</v>
      </c>
      <c r="F127" s="239" t="s">
        <v>23</v>
      </c>
      <c r="G127" s="238" t="s">
        <v>2754</v>
      </c>
      <c r="H127" s="220" t="s">
        <v>33</v>
      </c>
    </row>
    <row r="128" spans="1:8" s="79" customFormat="1" ht="12.75" x14ac:dyDescent="0.25">
      <c r="A128" s="218" t="s">
        <v>2998</v>
      </c>
      <c r="B128" s="218" t="s">
        <v>2748</v>
      </c>
      <c r="C128" s="234" t="s">
        <v>2736</v>
      </c>
      <c r="D128" s="219" t="s">
        <v>1728</v>
      </c>
      <c r="E128" s="215" t="s">
        <v>43</v>
      </c>
      <c r="F128" s="239" t="s">
        <v>23</v>
      </c>
      <c r="G128" s="238" t="s">
        <v>2720</v>
      </c>
      <c r="H128" s="220" t="s">
        <v>33</v>
      </c>
    </row>
    <row r="129" spans="1:8" s="79" customFormat="1" ht="12.75" x14ac:dyDescent="0.25">
      <c r="A129" s="218" t="s">
        <v>3000</v>
      </c>
      <c r="B129" s="218" t="s">
        <v>2782</v>
      </c>
      <c r="C129" s="234" t="s">
        <v>2824</v>
      </c>
      <c r="D129" s="219" t="s">
        <v>3001</v>
      </c>
      <c r="E129" s="215" t="s">
        <v>164</v>
      </c>
      <c r="F129" s="239" t="s">
        <v>19</v>
      </c>
      <c r="G129" s="238" t="s">
        <v>2720</v>
      </c>
      <c r="H129" s="220" t="s">
        <v>33</v>
      </c>
    </row>
    <row r="130" spans="1:8" s="79" customFormat="1" ht="12.75" x14ac:dyDescent="0.25">
      <c r="A130" s="218" t="s">
        <v>3002</v>
      </c>
      <c r="B130" s="218" t="s">
        <v>2712</v>
      </c>
      <c r="C130" s="234" t="s">
        <v>3003</v>
      </c>
      <c r="D130" s="219" t="s">
        <v>3004</v>
      </c>
      <c r="E130" s="215" t="s">
        <v>136</v>
      </c>
      <c r="F130" s="239" t="s">
        <v>19</v>
      </c>
      <c r="G130" s="238" t="s">
        <v>2720</v>
      </c>
      <c r="H130" s="220" t="s">
        <v>33</v>
      </c>
    </row>
    <row r="131" spans="1:8" s="79" customFormat="1" ht="12.75" x14ac:dyDescent="0.25">
      <c r="A131" s="218" t="s">
        <v>3005</v>
      </c>
      <c r="B131" s="218" t="s">
        <v>3006</v>
      </c>
      <c r="C131" s="234" t="s">
        <v>3007</v>
      </c>
      <c r="D131" s="219" t="s">
        <v>3008</v>
      </c>
      <c r="E131" s="215" t="s">
        <v>136</v>
      </c>
      <c r="F131" s="239" t="s">
        <v>19</v>
      </c>
      <c r="G131" s="238" t="s">
        <v>2720</v>
      </c>
      <c r="H131" s="220" t="s">
        <v>33</v>
      </c>
    </row>
    <row r="132" spans="1:8" s="79" customFormat="1" ht="12.75" x14ac:dyDescent="0.25">
      <c r="A132" s="218" t="s">
        <v>3009</v>
      </c>
      <c r="B132" s="218" t="s">
        <v>3010</v>
      </c>
      <c r="C132" s="234" t="s">
        <v>2743</v>
      </c>
      <c r="D132" s="219" t="s">
        <v>3011</v>
      </c>
      <c r="E132" s="215" t="s">
        <v>136</v>
      </c>
      <c r="F132" s="239" t="s">
        <v>19</v>
      </c>
      <c r="G132" s="238" t="s">
        <v>2720</v>
      </c>
      <c r="H132" s="220" t="s">
        <v>33</v>
      </c>
    </row>
    <row r="133" spans="1:8" s="79" customFormat="1" ht="12.75" x14ac:dyDescent="0.25">
      <c r="A133" s="218" t="s">
        <v>3012</v>
      </c>
      <c r="B133" s="218" t="s">
        <v>3013</v>
      </c>
      <c r="C133" s="234" t="s">
        <v>2712</v>
      </c>
      <c r="D133" s="219" t="s">
        <v>1732</v>
      </c>
      <c r="E133" s="215" t="s">
        <v>43</v>
      </c>
      <c r="F133" s="239" t="s">
        <v>23</v>
      </c>
      <c r="G133" s="238" t="s">
        <v>2716</v>
      </c>
      <c r="H133" s="220" t="s">
        <v>33</v>
      </c>
    </row>
    <row r="134" spans="1:8" s="79" customFormat="1" ht="12.75" x14ac:dyDescent="0.25">
      <c r="A134" s="218" t="s">
        <v>3014</v>
      </c>
      <c r="B134" s="226" t="s">
        <v>2712</v>
      </c>
      <c r="C134" s="236" t="s">
        <v>2855</v>
      </c>
      <c r="D134" s="219" t="s">
        <v>1736</v>
      </c>
      <c r="E134" s="232" t="s">
        <v>43</v>
      </c>
      <c r="F134" s="239" t="s">
        <v>23</v>
      </c>
      <c r="G134" s="240" t="s">
        <v>2754</v>
      </c>
      <c r="H134" s="220" t="s">
        <v>33</v>
      </c>
    </row>
    <row r="135" spans="1:8" s="79" customFormat="1" ht="12.75" x14ac:dyDescent="0.25">
      <c r="A135" s="218" t="s">
        <v>3015</v>
      </c>
      <c r="B135" s="218" t="s">
        <v>3016</v>
      </c>
      <c r="C135" s="234" t="s">
        <v>2726</v>
      </c>
      <c r="D135" s="219" t="s">
        <v>3017</v>
      </c>
      <c r="E135" s="215" t="s">
        <v>2976</v>
      </c>
      <c r="F135" s="239" t="s">
        <v>19</v>
      </c>
      <c r="G135" s="238" t="s">
        <v>2716</v>
      </c>
      <c r="H135" s="220" t="s">
        <v>33</v>
      </c>
    </row>
    <row r="136" spans="1:8" s="79" customFormat="1" ht="12.75" x14ac:dyDescent="0.25">
      <c r="A136" s="218" t="s">
        <v>3018</v>
      </c>
      <c r="B136" s="218" t="s">
        <v>3019</v>
      </c>
      <c r="C136" s="234" t="s">
        <v>2764</v>
      </c>
      <c r="D136" s="219" t="s">
        <v>1740</v>
      </c>
      <c r="E136" s="215" t="s">
        <v>398</v>
      </c>
      <c r="F136" s="239" t="s">
        <v>23</v>
      </c>
      <c r="G136" s="238" t="s">
        <v>2720</v>
      </c>
      <c r="H136" s="220" t="s">
        <v>33</v>
      </c>
    </row>
    <row r="137" spans="1:8" s="79" customFormat="1" ht="12.75" x14ac:dyDescent="0.25">
      <c r="A137" s="218" t="s">
        <v>3020</v>
      </c>
      <c r="B137" s="218" t="s">
        <v>2796</v>
      </c>
      <c r="C137" s="234" t="s">
        <v>2829</v>
      </c>
      <c r="D137" s="219" t="s">
        <v>1744</v>
      </c>
      <c r="E137" s="215" t="s">
        <v>337</v>
      </c>
      <c r="F137" s="239" t="s">
        <v>23</v>
      </c>
      <c r="G137" s="238" t="s">
        <v>2720</v>
      </c>
      <c r="H137" s="220" t="s">
        <v>33</v>
      </c>
    </row>
    <row r="138" spans="1:8" s="79" customFormat="1" ht="12.75" x14ac:dyDescent="0.25">
      <c r="A138" s="218" t="s">
        <v>3021</v>
      </c>
      <c r="B138" s="218" t="s">
        <v>2736</v>
      </c>
      <c r="C138" s="234" t="s">
        <v>2813</v>
      </c>
      <c r="D138" s="219" t="s">
        <v>3022</v>
      </c>
      <c r="E138" s="215" t="s">
        <v>409</v>
      </c>
      <c r="F138" s="239" t="s">
        <v>19</v>
      </c>
      <c r="G138" s="238" t="s">
        <v>2716</v>
      </c>
      <c r="H138" s="220" t="s">
        <v>33</v>
      </c>
    </row>
    <row r="139" spans="1:8" s="79" customFormat="1" ht="12.75" x14ac:dyDescent="0.25">
      <c r="A139" s="218" t="s">
        <v>3023</v>
      </c>
      <c r="B139" s="218" t="s">
        <v>2732</v>
      </c>
      <c r="C139" s="234" t="s">
        <v>2796</v>
      </c>
      <c r="D139" s="219" t="s">
        <v>3024</v>
      </c>
      <c r="E139" s="215" t="s">
        <v>136</v>
      </c>
      <c r="F139" s="239" t="s">
        <v>19</v>
      </c>
      <c r="G139" s="238" t="s">
        <v>2716</v>
      </c>
      <c r="H139" s="220" t="s">
        <v>33</v>
      </c>
    </row>
    <row r="140" spans="1:8" s="79" customFormat="1" ht="12.75" x14ac:dyDescent="0.25">
      <c r="A140" s="218" t="s">
        <v>2798</v>
      </c>
      <c r="B140" s="218" t="s">
        <v>2904</v>
      </c>
      <c r="C140" s="234" t="s">
        <v>2758</v>
      </c>
      <c r="D140" s="219" t="s">
        <v>1748</v>
      </c>
      <c r="E140" s="215" t="s">
        <v>43</v>
      </c>
      <c r="F140" s="239" t="s">
        <v>23</v>
      </c>
      <c r="G140" s="238" t="s">
        <v>2716</v>
      </c>
      <c r="H140" s="220" t="s">
        <v>33</v>
      </c>
    </row>
    <row r="141" spans="1:8" s="79" customFormat="1" ht="12.75" x14ac:dyDescent="0.25">
      <c r="A141" s="218" t="s">
        <v>3025</v>
      </c>
      <c r="B141" s="218" t="s">
        <v>3026</v>
      </c>
      <c r="C141" s="234" t="s">
        <v>2891</v>
      </c>
      <c r="D141" s="219" t="s">
        <v>1752</v>
      </c>
      <c r="E141" s="215" t="s">
        <v>337</v>
      </c>
      <c r="F141" s="239" t="s">
        <v>23</v>
      </c>
      <c r="G141" s="238" t="s">
        <v>2720</v>
      </c>
      <c r="H141" s="220" t="s">
        <v>33</v>
      </c>
    </row>
    <row r="142" spans="1:8" s="79" customFormat="1" ht="12.75" x14ac:dyDescent="0.25">
      <c r="A142" s="223" t="s">
        <v>3027</v>
      </c>
      <c r="B142" s="224" t="s">
        <v>3028</v>
      </c>
      <c r="C142" s="235" t="s">
        <v>2771</v>
      </c>
      <c r="D142" s="105" t="s">
        <v>3029</v>
      </c>
      <c r="E142" s="231" t="s">
        <v>136</v>
      </c>
      <c r="F142" s="239" t="s">
        <v>19</v>
      </c>
      <c r="G142" s="239" t="s">
        <v>2720</v>
      </c>
      <c r="H142" s="221" t="s">
        <v>26</v>
      </c>
    </row>
    <row r="143" spans="1:8" s="79" customFormat="1" ht="12.75" x14ac:dyDescent="0.25">
      <c r="A143" s="218" t="s">
        <v>3030</v>
      </c>
      <c r="B143" s="218" t="s">
        <v>2965</v>
      </c>
      <c r="C143" s="234" t="s">
        <v>2733</v>
      </c>
      <c r="D143" s="219" t="s">
        <v>1776</v>
      </c>
      <c r="E143" s="215" t="s">
        <v>43</v>
      </c>
      <c r="F143" s="239" t="s">
        <v>23</v>
      </c>
      <c r="G143" s="238" t="s">
        <v>2754</v>
      </c>
      <c r="H143" s="221" t="s">
        <v>26</v>
      </c>
    </row>
    <row r="144" spans="1:8" s="79" customFormat="1" ht="12.75" x14ac:dyDescent="0.25">
      <c r="A144" s="218" t="s">
        <v>3031</v>
      </c>
      <c r="B144" s="218" t="s">
        <v>3032</v>
      </c>
      <c r="C144" s="234" t="s">
        <v>2712</v>
      </c>
      <c r="D144" s="219" t="s">
        <v>1780</v>
      </c>
      <c r="E144" s="215" t="s">
        <v>43</v>
      </c>
      <c r="F144" s="239" t="s">
        <v>23</v>
      </c>
      <c r="G144" s="238" t="s">
        <v>2716</v>
      </c>
      <c r="H144" s="221" t="s">
        <v>26</v>
      </c>
    </row>
    <row r="145" spans="1:8" s="79" customFormat="1" ht="12.75" x14ac:dyDescent="0.25">
      <c r="A145" s="223" t="s">
        <v>3033</v>
      </c>
      <c r="B145" s="224" t="s">
        <v>3034</v>
      </c>
      <c r="C145" s="235" t="s">
        <v>2736</v>
      </c>
      <c r="D145" s="105" t="s">
        <v>3035</v>
      </c>
      <c r="E145" s="231" t="s">
        <v>136</v>
      </c>
      <c r="F145" s="239" t="s">
        <v>19</v>
      </c>
      <c r="G145" s="239" t="s">
        <v>2720</v>
      </c>
      <c r="H145" s="221" t="s">
        <v>26</v>
      </c>
    </row>
    <row r="146" spans="1:8" s="79" customFormat="1" ht="12.75" x14ac:dyDescent="0.25">
      <c r="A146" s="218" t="s">
        <v>3036</v>
      </c>
      <c r="B146" s="218" t="s">
        <v>2732</v>
      </c>
      <c r="C146" s="234" t="s">
        <v>2736</v>
      </c>
      <c r="D146" s="219" t="s">
        <v>1813</v>
      </c>
      <c r="E146" s="215" t="s">
        <v>398</v>
      </c>
      <c r="F146" s="239" t="s">
        <v>23</v>
      </c>
      <c r="G146" s="238" t="s">
        <v>2720</v>
      </c>
      <c r="H146" s="221" t="s">
        <v>26</v>
      </c>
    </row>
    <row r="147" spans="1:8" s="79" customFormat="1" ht="12.75" x14ac:dyDescent="0.25">
      <c r="A147" s="218" t="s">
        <v>3037</v>
      </c>
      <c r="B147" s="218" t="s">
        <v>3038</v>
      </c>
      <c r="C147" s="234" t="s">
        <v>2736</v>
      </c>
      <c r="D147" s="219" t="s">
        <v>3039</v>
      </c>
      <c r="E147" s="215" t="s">
        <v>136</v>
      </c>
      <c r="F147" s="239" t="s">
        <v>19</v>
      </c>
      <c r="G147" s="238" t="s">
        <v>2754</v>
      </c>
      <c r="H147" s="221" t="s">
        <v>26</v>
      </c>
    </row>
    <row r="148" spans="1:8" s="79" customFormat="1" ht="12.75" x14ac:dyDescent="0.25">
      <c r="A148" s="218" t="s">
        <v>2918</v>
      </c>
      <c r="B148" s="218" t="s">
        <v>3040</v>
      </c>
      <c r="C148" s="234" t="s">
        <v>2747</v>
      </c>
      <c r="D148" s="219" t="s">
        <v>1817</v>
      </c>
      <c r="E148" s="215" t="s">
        <v>43</v>
      </c>
      <c r="F148" s="239" t="s">
        <v>23</v>
      </c>
      <c r="G148" s="238" t="s">
        <v>2716</v>
      </c>
      <c r="H148" s="221" t="s">
        <v>26</v>
      </c>
    </row>
    <row r="149" spans="1:8" s="79" customFormat="1" ht="12.75" x14ac:dyDescent="0.25">
      <c r="A149" s="223" t="s">
        <v>3041</v>
      </c>
      <c r="B149" s="224" t="s">
        <v>2732</v>
      </c>
      <c r="C149" s="235" t="s">
        <v>2758</v>
      </c>
      <c r="D149" s="105" t="s">
        <v>1823</v>
      </c>
      <c r="E149" s="231" t="s">
        <v>1767</v>
      </c>
      <c r="F149" s="239" t="s">
        <v>19</v>
      </c>
      <c r="G149" s="239" t="s">
        <v>2720</v>
      </c>
      <c r="H149" s="221" t="s">
        <v>26</v>
      </c>
    </row>
    <row r="150" spans="1:8" s="79" customFormat="1" ht="12.75" x14ac:dyDescent="0.25">
      <c r="A150" s="223" t="s">
        <v>3042</v>
      </c>
      <c r="B150" s="224" t="s">
        <v>2736</v>
      </c>
      <c r="C150" s="235" t="s">
        <v>3043</v>
      </c>
      <c r="D150" s="105" t="s">
        <v>1830</v>
      </c>
      <c r="E150" s="231" t="s">
        <v>337</v>
      </c>
      <c r="F150" s="239" t="s">
        <v>23</v>
      </c>
      <c r="G150" s="239" t="s">
        <v>2720</v>
      </c>
      <c r="H150" s="221" t="s">
        <v>26</v>
      </c>
    </row>
    <row r="151" spans="1:8" s="79" customFormat="1" ht="12.75" x14ac:dyDescent="0.25">
      <c r="A151" s="223" t="s">
        <v>3044</v>
      </c>
      <c r="B151" s="224" t="s">
        <v>3045</v>
      </c>
      <c r="C151" s="235" t="s">
        <v>2723</v>
      </c>
      <c r="D151" s="105" t="s">
        <v>3046</v>
      </c>
      <c r="E151" s="231" t="s">
        <v>252</v>
      </c>
      <c r="F151" s="239" t="s">
        <v>19</v>
      </c>
      <c r="G151" s="239" t="s">
        <v>2720</v>
      </c>
      <c r="H151" s="221" t="s">
        <v>26</v>
      </c>
    </row>
    <row r="152" spans="1:8" s="79" customFormat="1" ht="12.75" x14ac:dyDescent="0.25">
      <c r="A152" s="223" t="s">
        <v>3047</v>
      </c>
      <c r="B152" s="224" t="s">
        <v>2736</v>
      </c>
      <c r="C152" s="235" t="s">
        <v>2782</v>
      </c>
      <c r="D152" s="105" t="s">
        <v>1838</v>
      </c>
      <c r="E152" s="231" t="s">
        <v>3048</v>
      </c>
      <c r="F152" s="239" t="s">
        <v>23</v>
      </c>
      <c r="G152" s="239" t="s">
        <v>2720</v>
      </c>
      <c r="H152" s="221" t="s">
        <v>26</v>
      </c>
    </row>
    <row r="153" spans="1:8" s="79" customFormat="1" ht="12.75" x14ac:dyDescent="0.25">
      <c r="A153" s="223" t="s">
        <v>3049</v>
      </c>
      <c r="B153" s="224" t="s">
        <v>3050</v>
      </c>
      <c r="C153" s="235" t="s">
        <v>3051</v>
      </c>
      <c r="D153" s="105" t="s">
        <v>3052</v>
      </c>
      <c r="E153" s="231" t="s">
        <v>164</v>
      </c>
      <c r="F153" s="239" t="s">
        <v>19</v>
      </c>
      <c r="G153" s="239" t="s">
        <v>2720</v>
      </c>
      <c r="H153" s="221" t="s">
        <v>26</v>
      </c>
    </row>
    <row r="154" spans="1:8" s="79" customFormat="1" ht="12.75" x14ac:dyDescent="0.25">
      <c r="A154" s="218" t="s">
        <v>3053</v>
      </c>
      <c r="B154" s="218" t="s">
        <v>2712</v>
      </c>
      <c r="C154" s="234" t="s">
        <v>2764</v>
      </c>
      <c r="D154" s="219" t="s">
        <v>3054</v>
      </c>
      <c r="E154" s="215" t="s">
        <v>164</v>
      </c>
      <c r="F154" s="239" t="s">
        <v>19</v>
      </c>
      <c r="G154" s="238" t="s">
        <v>2720</v>
      </c>
      <c r="H154" s="220" t="s">
        <v>127</v>
      </c>
    </row>
    <row r="155" spans="1:8" s="79" customFormat="1" ht="12.75" x14ac:dyDescent="0.25">
      <c r="A155" s="218" t="s">
        <v>3055</v>
      </c>
      <c r="B155" s="218" t="s">
        <v>3056</v>
      </c>
      <c r="C155" s="234" t="s">
        <v>3057</v>
      </c>
      <c r="D155" s="219" t="s">
        <v>1852</v>
      </c>
      <c r="E155" s="215" t="s">
        <v>43</v>
      </c>
      <c r="F155" s="239" t="s">
        <v>23</v>
      </c>
      <c r="G155" s="238" t="s">
        <v>2720</v>
      </c>
      <c r="H155" s="220" t="s">
        <v>127</v>
      </c>
    </row>
    <row r="156" spans="1:8" s="79" customFormat="1" ht="12.75" x14ac:dyDescent="0.25">
      <c r="A156" s="218" t="s">
        <v>3058</v>
      </c>
      <c r="B156" s="218" t="s">
        <v>2827</v>
      </c>
      <c r="C156" s="234" t="s">
        <v>2796</v>
      </c>
      <c r="D156" s="219" t="s">
        <v>3059</v>
      </c>
      <c r="E156" s="215" t="s">
        <v>136</v>
      </c>
      <c r="F156" s="239" t="s">
        <v>19</v>
      </c>
      <c r="G156" s="238" t="s">
        <v>2720</v>
      </c>
      <c r="H156" s="220" t="s">
        <v>127</v>
      </c>
    </row>
    <row r="157" spans="1:8" s="79" customFormat="1" ht="12.75" x14ac:dyDescent="0.25">
      <c r="A157" s="218" t="s">
        <v>3060</v>
      </c>
      <c r="B157" s="218" t="s">
        <v>2766</v>
      </c>
      <c r="C157" s="234" t="s">
        <v>2764</v>
      </c>
      <c r="D157" s="219" t="s">
        <v>3061</v>
      </c>
      <c r="E157" s="215" t="s">
        <v>136</v>
      </c>
      <c r="F157" s="239" t="s">
        <v>19</v>
      </c>
      <c r="G157" s="238" t="s">
        <v>2720</v>
      </c>
      <c r="H157" s="220" t="s">
        <v>127</v>
      </c>
    </row>
    <row r="158" spans="1:8" s="79" customFormat="1" ht="12.75" x14ac:dyDescent="0.25">
      <c r="A158" s="218" t="s">
        <v>3062</v>
      </c>
      <c r="B158" s="218" t="s">
        <v>3063</v>
      </c>
      <c r="C158" s="234" t="s">
        <v>2764</v>
      </c>
      <c r="D158" s="219" t="s">
        <v>3064</v>
      </c>
      <c r="E158" s="215" t="s">
        <v>136</v>
      </c>
      <c r="F158" s="239" t="s">
        <v>19</v>
      </c>
      <c r="G158" s="238" t="s">
        <v>2720</v>
      </c>
      <c r="H158" s="220" t="s">
        <v>127</v>
      </c>
    </row>
    <row r="159" spans="1:8" s="79" customFormat="1" ht="12.75" x14ac:dyDescent="0.25">
      <c r="A159" s="218" t="s">
        <v>3065</v>
      </c>
      <c r="B159" s="218" t="s">
        <v>2764</v>
      </c>
      <c r="C159" s="234" t="s">
        <v>2712</v>
      </c>
      <c r="D159" s="219" t="s">
        <v>3066</v>
      </c>
      <c r="E159" s="215" t="s">
        <v>136</v>
      </c>
      <c r="F159" s="239" t="s">
        <v>19</v>
      </c>
      <c r="G159" s="238" t="s">
        <v>2720</v>
      </c>
      <c r="H159" s="220" t="s">
        <v>127</v>
      </c>
    </row>
    <row r="160" spans="1:8" s="79" customFormat="1" ht="12.75" x14ac:dyDescent="0.25">
      <c r="A160" s="218" t="s">
        <v>3068</v>
      </c>
      <c r="B160" s="218" t="s">
        <v>3069</v>
      </c>
      <c r="C160" s="234" t="s">
        <v>2748</v>
      </c>
      <c r="D160" s="219" t="s">
        <v>1872</v>
      </c>
      <c r="E160" s="215" t="s">
        <v>43</v>
      </c>
      <c r="F160" s="239" t="s">
        <v>23</v>
      </c>
      <c r="G160" s="238" t="s">
        <v>2720</v>
      </c>
      <c r="H160" s="220" t="s">
        <v>127</v>
      </c>
    </row>
    <row r="161" spans="1:8" s="79" customFormat="1" ht="12.75" x14ac:dyDescent="0.25">
      <c r="A161" s="218" t="s">
        <v>3070</v>
      </c>
      <c r="B161" s="218" t="s">
        <v>3071</v>
      </c>
      <c r="C161" s="234" t="s">
        <v>2719</v>
      </c>
      <c r="D161" s="219" t="s">
        <v>1876</v>
      </c>
      <c r="E161" s="215" t="s">
        <v>43</v>
      </c>
      <c r="F161" s="239" t="s">
        <v>23</v>
      </c>
      <c r="G161" s="238" t="s">
        <v>2720</v>
      </c>
      <c r="H161" s="220" t="s">
        <v>127</v>
      </c>
    </row>
    <row r="162" spans="1:8" s="79" customFormat="1" ht="12.75" x14ac:dyDescent="0.25">
      <c r="A162" s="218" t="s">
        <v>3072</v>
      </c>
      <c r="B162" s="218" t="s">
        <v>2743</v>
      </c>
      <c r="C162" s="234" t="s">
        <v>3073</v>
      </c>
      <c r="D162" s="219" t="s">
        <v>1880</v>
      </c>
      <c r="E162" s="215" t="s">
        <v>43</v>
      </c>
      <c r="F162" s="239" t="s">
        <v>23</v>
      </c>
      <c r="G162" s="238" t="s">
        <v>2720</v>
      </c>
      <c r="H162" s="220" t="s">
        <v>127</v>
      </c>
    </row>
    <row r="163" spans="1:8" s="79" customFormat="1" ht="12.75" x14ac:dyDescent="0.25">
      <c r="A163" s="218" t="s">
        <v>3074</v>
      </c>
      <c r="B163" s="218" t="s">
        <v>2735</v>
      </c>
      <c r="C163" s="234" t="s">
        <v>2764</v>
      </c>
      <c r="D163" s="219" t="s">
        <v>1888</v>
      </c>
      <c r="E163" s="215" t="s">
        <v>337</v>
      </c>
      <c r="F163" s="239" t="s">
        <v>23</v>
      </c>
      <c r="G163" s="238" t="s">
        <v>2720</v>
      </c>
      <c r="H163" s="220" t="s">
        <v>127</v>
      </c>
    </row>
    <row r="164" spans="1:8" s="79" customFormat="1" ht="12.75" x14ac:dyDescent="0.25">
      <c r="A164" s="218" t="s">
        <v>3075</v>
      </c>
      <c r="B164" s="218" t="s">
        <v>2735</v>
      </c>
      <c r="C164" s="234" t="s">
        <v>2730</v>
      </c>
      <c r="D164" s="219" t="s">
        <v>1892</v>
      </c>
      <c r="E164" s="215" t="s">
        <v>43</v>
      </c>
      <c r="F164" s="239" t="s">
        <v>23</v>
      </c>
      <c r="G164" s="238" t="s">
        <v>2720</v>
      </c>
      <c r="H164" s="220" t="s">
        <v>127</v>
      </c>
    </row>
    <row r="165" spans="1:8" s="79" customFormat="1" ht="12.75" x14ac:dyDescent="0.25">
      <c r="A165" s="218" t="s">
        <v>3076</v>
      </c>
      <c r="B165" s="218" t="s">
        <v>3077</v>
      </c>
      <c r="C165" s="234" t="s">
        <v>2735</v>
      </c>
      <c r="D165" s="219" t="s">
        <v>1900</v>
      </c>
      <c r="E165" s="215" t="s">
        <v>43</v>
      </c>
      <c r="F165" s="239" t="s">
        <v>23</v>
      </c>
      <c r="G165" s="238" t="s">
        <v>2720</v>
      </c>
      <c r="H165" s="220" t="s">
        <v>127</v>
      </c>
    </row>
    <row r="166" spans="1:8" s="79" customFormat="1" ht="12.75" x14ac:dyDescent="0.25">
      <c r="A166" s="218" t="s">
        <v>3078</v>
      </c>
      <c r="B166" s="218" t="s">
        <v>3040</v>
      </c>
      <c r="C166" s="234" t="s">
        <v>2943</v>
      </c>
      <c r="D166" s="219" t="s">
        <v>3079</v>
      </c>
      <c r="E166" s="215" t="s">
        <v>136</v>
      </c>
      <c r="F166" s="239" t="s">
        <v>19</v>
      </c>
      <c r="G166" s="238" t="s">
        <v>2720</v>
      </c>
      <c r="H166" s="220" t="s">
        <v>127</v>
      </c>
    </row>
    <row r="167" spans="1:8" s="79" customFormat="1" ht="12.75" x14ac:dyDescent="0.25">
      <c r="A167" s="218" t="s">
        <v>3078</v>
      </c>
      <c r="B167" s="218" t="s">
        <v>2804</v>
      </c>
      <c r="C167" s="234" t="s">
        <v>2943</v>
      </c>
      <c r="D167" s="219" t="s">
        <v>3080</v>
      </c>
      <c r="E167" s="215" t="s">
        <v>136</v>
      </c>
      <c r="F167" s="239" t="s">
        <v>19</v>
      </c>
      <c r="G167" s="238" t="s">
        <v>2720</v>
      </c>
      <c r="H167" s="220" t="s">
        <v>127</v>
      </c>
    </row>
    <row r="168" spans="1:8" s="79" customFormat="1" ht="12.75" x14ac:dyDescent="0.25">
      <c r="A168" s="218" t="s">
        <v>3081</v>
      </c>
      <c r="B168" s="218" t="s">
        <v>3082</v>
      </c>
      <c r="C168" s="234" t="s">
        <v>3083</v>
      </c>
      <c r="D168" s="219" t="s">
        <v>1918</v>
      </c>
      <c r="E168" s="215" t="s">
        <v>43</v>
      </c>
      <c r="F168" s="239" t="s">
        <v>23</v>
      </c>
      <c r="G168" s="238" t="s">
        <v>2720</v>
      </c>
      <c r="H168" s="220" t="s">
        <v>127</v>
      </c>
    </row>
    <row r="169" spans="1:8" s="79" customFormat="1" ht="25.5" x14ac:dyDescent="0.25">
      <c r="A169" s="218" t="s">
        <v>3084</v>
      </c>
      <c r="B169" s="218" t="s">
        <v>3085</v>
      </c>
      <c r="C169" s="234" t="s">
        <v>3086</v>
      </c>
      <c r="D169" s="219" t="s">
        <v>3087</v>
      </c>
      <c r="E169" s="215" t="s">
        <v>2979</v>
      </c>
      <c r="F169" s="239" t="s">
        <v>23</v>
      </c>
      <c r="G169" s="238" t="s">
        <v>2720</v>
      </c>
      <c r="H169" s="221" t="s">
        <v>45</v>
      </c>
    </row>
    <row r="170" spans="1:8" s="79" customFormat="1" ht="12.75" x14ac:dyDescent="0.25">
      <c r="A170" s="218" t="s">
        <v>3088</v>
      </c>
      <c r="B170" s="218" t="s">
        <v>3089</v>
      </c>
      <c r="C170" s="234" t="s">
        <v>2764</v>
      </c>
      <c r="D170" s="219" t="s">
        <v>1926</v>
      </c>
      <c r="E170" s="215" t="s">
        <v>482</v>
      </c>
      <c r="F170" s="239" t="s">
        <v>23</v>
      </c>
      <c r="G170" s="238" t="s">
        <v>2720</v>
      </c>
      <c r="H170" s="221" t="s">
        <v>45</v>
      </c>
    </row>
    <row r="171" spans="1:8" s="79" customFormat="1" ht="12.75" x14ac:dyDescent="0.25">
      <c r="A171" s="218" t="s">
        <v>3090</v>
      </c>
      <c r="B171" s="218" t="s">
        <v>3069</v>
      </c>
      <c r="C171" s="234" t="s">
        <v>2748</v>
      </c>
      <c r="D171" s="219" t="s">
        <v>1934</v>
      </c>
      <c r="E171" s="215" t="s">
        <v>43</v>
      </c>
      <c r="F171" s="239" t="s">
        <v>23</v>
      </c>
      <c r="G171" s="238" t="s">
        <v>2716</v>
      </c>
      <c r="H171" s="221" t="s">
        <v>45</v>
      </c>
    </row>
    <row r="172" spans="1:8" s="79" customFormat="1" ht="12.75" x14ac:dyDescent="0.25">
      <c r="A172" s="218" t="s">
        <v>3091</v>
      </c>
      <c r="B172" s="218" t="s">
        <v>3092</v>
      </c>
      <c r="C172" s="234" t="s">
        <v>3093</v>
      </c>
      <c r="D172" s="219" t="s">
        <v>1938</v>
      </c>
      <c r="E172" s="215" t="s">
        <v>43</v>
      </c>
      <c r="F172" s="239" t="s">
        <v>23</v>
      </c>
      <c r="G172" s="238" t="s">
        <v>2716</v>
      </c>
      <c r="H172" s="221" t="s">
        <v>45</v>
      </c>
    </row>
    <row r="173" spans="1:8" s="79" customFormat="1" ht="12.75" x14ac:dyDescent="0.25">
      <c r="A173" s="218" t="s">
        <v>3094</v>
      </c>
      <c r="B173" s="226" t="s">
        <v>2736</v>
      </c>
      <c r="C173" s="236" t="s">
        <v>2747</v>
      </c>
      <c r="D173" s="219" t="s">
        <v>1942</v>
      </c>
      <c r="E173" s="232" t="s">
        <v>43</v>
      </c>
      <c r="F173" s="239" t="s">
        <v>23</v>
      </c>
      <c r="G173" s="240" t="s">
        <v>2716</v>
      </c>
      <c r="H173" s="221" t="s">
        <v>45</v>
      </c>
    </row>
    <row r="174" spans="1:8" s="79" customFormat="1" ht="12.75" x14ac:dyDescent="0.25">
      <c r="A174" s="218" t="s">
        <v>3095</v>
      </c>
      <c r="B174" s="218" t="s">
        <v>2730</v>
      </c>
      <c r="C174" s="234" t="s">
        <v>2735</v>
      </c>
      <c r="D174" s="219" t="s">
        <v>3096</v>
      </c>
      <c r="E174" s="215" t="s">
        <v>136</v>
      </c>
      <c r="F174" s="239" t="s">
        <v>19</v>
      </c>
      <c r="G174" s="238" t="s">
        <v>2716</v>
      </c>
      <c r="H174" s="221" t="s">
        <v>45</v>
      </c>
    </row>
    <row r="175" spans="1:8" s="79" customFormat="1" ht="12.75" x14ac:dyDescent="0.25">
      <c r="A175" s="218" t="s">
        <v>3097</v>
      </c>
      <c r="B175" s="218" t="s">
        <v>2736</v>
      </c>
      <c r="C175" s="234" t="s">
        <v>3098</v>
      </c>
      <c r="D175" s="219" t="s">
        <v>1946</v>
      </c>
      <c r="E175" s="215" t="s">
        <v>43</v>
      </c>
      <c r="F175" s="239" t="s">
        <v>23</v>
      </c>
      <c r="G175" s="238" t="s">
        <v>2720</v>
      </c>
      <c r="H175" s="221" t="s">
        <v>45</v>
      </c>
    </row>
    <row r="176" spans="1:8" s="79" customFormat="1" ht="12.75" x14ac:dyDescent="0.25">
      <c r="A176" s="218" t="s">
        <v>3099</v>
      </c>
      <c r="B176" s="218" t="s">
        <v>3100</v>
      </c>
      <c r="C176" s="234" t="s">
        <v>2735</v>
      </c>
      <c r="D176" s="219" t="s">
        <v>1950</v>
      </c>
      <c r="E176" s="215" t="s">
        <v>337</v>
      </c>
      <c r="F176" s="239" t="s">
        <v>23</v>
      </c>
      <c r="G176" s="238" t="s">
        <v>2720</v>
      </c>
      <c r="H176" s="221" t="s">
        <v>45</v>
      </c>
    </row>
    <row r="177" spans="1:8" s="79" customFormat="1" ht="12.75" x14ac:dyDescent="0.25">
      <c r="A177" s="218" t="s">
        <v>3101</v>
      </c>
      <c r="B177" s="218" t="s">
        <v>2732</v>
      </c>
      <c r="C177" s="234" t="s">
        <v>3102</v>
      </c>
      <c r="D177" s="219" t="s">
        <v>3103</v>
      </c>
      <c r="E177" s="215" t="s">
        <v>136</v>
      </c>
      <c r="F177" s="239" t="s">
        <v>19</v>
      </c>
      <c r="G177" s="238" t="s">
        <v>2720</v>
      </c>
      <c r="H177" s="221" t="s">
        <v>45</v>
      </c>
    </row>
    <row r="178" spans="1:8" s="79" customFormat="1" ht="12.75" x14ac:dyDescent="0.25">
      <c r="A178" s="218" t="s">
        <v>3104</v>
      </c>
      <c r="B178" s="218" t="s">
        <v>2748</v>
      </c>
      <c r="C178" s="234" t="s">
        <v>2712</v>
      </c>
      <c r="D178" s="219" t="s">
        <v>3105</v>
      </c>
      <c r="E178" s="215" t="s">
        <v>164</v>
      </c>
      <c r="F178" s="239" t="s">
        <v>19</v>
      </c>
      <c r="G178" s="238" t="s">
        <v>3106</v>
      </c>
      <c r="H178" s="221" t="s">
        <v>45</v>
      </c>
    </row>
    <row r="179" spans="1:8" s="79" customFormat="1" ht="12.75" x14ac:dyDescent="0.25">
      <c r="A179" s="218" t="s">
        <v>2752</v>
      </c>
      <c r="B179" s="218" t="s">
        <v>3107</v>
      </c>
      <c r="C179" s="234" t="s">
        <v>3108</v>
      </c>
      <c r="D179" s="219" t="s">
        <v>1954</v>
      </c>
      <c r="E179" s="215" t="s">
        <v>43</v>
      </c>
      <c r="F179" s="239" t="s">
        <v>23</v>
      </c>
      <c r="G179" s="238" t="s">
        <v>2720</v>
      </c>
      <c r="H179" s="221" t="s">
        <v>45</v>
      </c>
    </row>
    <row r="180" spans="1:8" s="79" customFormat="1" ht="12.75" x14ac:dyDescent="0.25">
      <c r="A180" s="218" t="s">
        <v>2765</v>
      </c>
      <c r="B180" s="226" t="s">
        <v>2756</v>
      </c>
      <c r="C180" s="236" t="s">
        <v>2733</v>
      </c>
      <c r="D180" s="219" t="s">
        <v>1958</v>
      </c>
      <c r="E180" s="232" t="s">
        <v>337</v>
      </c>
      <c r="F180" s="239" t="s">
        <v>23</v>
      </c>
      <c r="G180" s="240" t="s">
        <v>2716</v>
      </c>
      <c r="H180" s="221" t="s">
        <v>45</v>
      </c>
    </row>
    <row r="181" spans="1:8" s="79" customFormat="1" ht="12.75" x14ac:dyDescent="0.25">
      <c r="A181" s="218" t="s">
        <v>3109</v>
      </c>
      <c r="B181" s="218" t="s">
        <v>2771</v>
      </c>
      <c r="C181" s="234" t="s">
        <v>3110</v>
      </c>
      <c r="D181" s="219" t="s">
        <v>1966</v>
      </c>
      <c r="E181" s="215" t="s">
        <v>43</v>
      </c>
      <c r="F181" s="239" t="s">
        <v>23</v>
      </c>
      <c r="G181" s="238" t="s">
        <v>2716</v>
      </c>
      <c r="H181" s="221" t="s">
        <v>45</v>
      </c>
    </row>
    <row r="182" spans="1:8" s="79" customFormat="1" ht="12.75" x14ac:dyDescent="0.25">
      <c r="A182" s="218" t="s">
        <v>3111</v>
      </c>
      <c r="B182" s="218" t="s">
        <v>2833</v>
      </c>
      <c r="C182" s="234" t="s">
        <v>3043</v>
      </c>
      <c r="D182" s="219" t="s">
        <v>1970</v>
      </c>
      <c r="E182" s="215" t="s">
        <v>43</v>
      </c>
      <c r="F182" s="239" t="s">
        <v>23</v>
      </c>
      <c r="G182" s="238" t="s">
        <v>2716</v>
      </c>
      <c r="H182" s="221" t="s">
        <v>45</v>
      </c>
    </row>
    <row r="183" spans="1:8" s="79" customFormat="1" ht="12.75" x14ac:dyDescent="0.25">
      <c r="A183" s="218" t="s">
        <v>3112</v>
      </c>
      <c r="B183" s="218" t="s">
        <v>2820</v>
      </c>
      <c r="C183" s="234" t="s">
        <v>2736</v>
      </c>
      <c r="D183" s="219" t="s">
        <v>3113</v>
      </c>
      <c r="E183" s="215" t="s">
        <v>136</v>
      </c>
      <c r="F183" s="239" t="s">
        <v>19</v>
      </c>
      <c r="G183" s="238" t="s">
        <v>2720</v>
      </c>
      <c r="H183" s="221" t="s">
        <v>45</v>
      </c>
    </row>
    <row r="184" spans="1:8" s="228" customFormat="1" ht="12.75" x14ac:dyDescent="0.25">
      <c r="A184" s="218" t="s">
        <v>3114</v>
      </c>
      <c r="B184" s="218" t="s">
        <v>2796</v>
      </c>
      <c r="C184" s="234" t="s">
        <v>3115</v>
      </c>
      <c r="D184" s="219" t="s">
        <v>1974</v>
      </c>
      <c r="E184" s="215" t="s">
        <v>43</v>
      </c>
      <c r="F184" s="239" t="s">
        <v>23</v>
      </c>
      <c r="G184" s="238" t="s">
        <v>2716</v>
      </c>
      <c r="H184" s="221" t="s">
        <v>45</v>
      </c>
    </row>
    <row r="185" spans="1:8" s="79" customFormat="1" ht="12.75" x14ac:dyDescent="0.25">
      <c r="A185" s="218" t="s">
        <v>3116</v>
      </c>
      <c r="B185" s="226" t="s">
        <v>3100</v>
      </c>
      <c r="C185" s="236" t="s">
        <v>2735</v>
      </c>
      <c r="D185" s="219" t="s">
        <v>1978</v>
      </c>
      <c r="E185" s="232" t="s">
        <v>337</v>
      </c>
      <c r="F185" s="239" t="s">
        <v>23</v>
      </c>
      <c r="G185" s="240" t="s">
        <v>2716</v>
      </c>
      <c r="H185" s="221" t="s">
        <v>45</v>
      </c>
    </row>
    <row r="186" spans="1:8" s="79" customFormat="1" ht="12.75" x14ac:dyDescent="0.25">
      <c r="A186" s="218" t="s">
        <v>3117</v>
      </c>
      <c r="B186" s="218" t="s">
        <v>2766</v>
      </c>
      <c r="C186" s="234" t="s">
        <v>2891</v>
      </c>
      <c r="D186" s="219" t="s">
        <v>3118</v>
      </c>
      <c r="E186" s="215" t="s">
        <v>164</v>
      </c>
      <c r="F186" s="239" t="s">
        <v>19</v>
      </c>
      <c r="G186" s="238" t="s">
        <v>2720</v>
      </c>
      <c r="H186" s="221" t="s">
        <v>45</v>
      </c>
    </row>
    <row r="187" spans="1:8" s="79" customFormat="1" ht="12.75" x14ac:dyDescent="0.25">
      <c r="A187" s="218" t="s">
        <v>3119</v>
      </c>
      <c r="B187" s="218" t="s">
        <v>2764</v>
      </c>
      <c r="C187" s="234" t="s">
        <v>2824</v>
      </c>
      <c r="D187" s="219" t="s">
        <v>1982</v>
      </c>
      <c r="E187" s="215" t="s">
        <v>43</v>
      </c>
      <c r="F187" s="239" t="s">
        <v>23</v>
      </c>
      <c r="G187" s="238" t="s">
        <v>2716</v>
      </c>
      <c r="H187" s="221" t="s">
        <v>45</v>
      </c>
    </row>
    <row r="188" spans="1:8" s="79" customFormat="1" ht="12.75" x14ac:dyDescent="0.25">
      <c r="A188" s="218" t="s">
        <v>3120</v>
      </c>
      <c r="B188" s="218" t="s">
        <v>2917</v>
      </c>
      <c r="C188" s="234" t="s">
        <v>2748</v>
      </c>
      <c r="D188" s="219" t="s">
        <v>1986</v>
      </c>
      <c r="E188" s="215" t="s">
        <v>43</v>
      </c>
      <c r="F188" s="239" t="s">
        <v>23</v>
      </c>
      <c r="G188" s="238" t="s">
        <v>2716</v>
      </c>
      <c r="H188" s="221" t="s">
        <v>45</v>
      </c>
    </row>
    <row r="189" spans="1:8" s="79" customFormat="1" ht="12.75" x14ac:dyDescent="0.25">
      <c r="A189" s="222" t="s">
        <v>3121</v>
      </c>
      <c r="B189" s="218" t="s">
        <v>2874</v>
      </c>
      <c r="C189" s="234"/>
      <c r="D189" s="219" t="s">
        <v>3122</v>
      </c>
      <c r="E189" s="215" t="s">
        <v>337</v>
      </c>
      <c r="F189" s="239" t="s">
        <v>23</v>
      </c>
      <c r="G189" s="238" t="s">
        <v>2720</v>
      </c>
      <c r="H189" s="220" t="s">
        <v>100</v>
      </c>
    </row>
    <row r="190" spans="1:8" s="79" customFormat="1" ht="12.75" x14ac:dyDescent="0.25">
      <c r="A190" s="218" t="s">
        <v>3123</v>
      </c>
      <c r="B190" s="218" t="s">
        <v>2735</v>
      </c>
      <c r="C190" s="234" t="s">
        <v>3069</v>
      </c>
      <c r="D190" s="219" t="s">
        <v>1990</v>
      </c>
      <c r="E190" s="215" t="s">
        <v>453</v>
      </c>
      <c r="F190" s="239" t="s">
        <v>23</v>
      </c>
      <c r="G190" s="238" t="s">
        <v>2720</v>
      </c>
      <c r="H190" s="220" t="s">
        <v>100</v>
      </c>
    </row>
    <row r="191" spans="1:8" s="79" customFormat="1" ht="12.75" x14ac:dyDescent="0.25">
      <c r="A191" s="218" t="s">
        <v>3124</v>
      </c>
      <c r="B191" s="218" t="s">
        <v>2832</v>
      </c>
      <c r="C191" s="234" t="s">
        <v>2764</v>
      </c>
      <c r="D191" s="219" t="s">
        <v>1994</v>
      </c>
      <c r="E191" s="215" t="s">
        <v>43</v>
      </c>
      <c r="F191" s="239" t="s">
        <v>23</v>
      </c>
      <c r="G191" s="238" t="s">
        <v>2720</v>
      </c>
      <c r="H191" s="220" t="s">
        <v>100</v>
      </c>
    </row>
    <row r="192" spans="1:8" s="79" customFormat="1" ht="12.75" x14ac:dyDescent="0.25">
      <c r="A192" s="218" t="s">
        <v>3125</v>
      </c>
      <c r="B192" s="218" t="s">
        <v>2732</v>
      </c>
      <c r="C192" s="234" t="s">
        <v>2712</v>
      </c>
      <c r="D192" s="219" t="s">
        <v>1998</v>
      </c>
      <c r="E192" s="215" t="s">
        <v>337</v>
      </c>
      <c r="F192" s="239" t="s">
        <v>23</v>
      </c>
      <c r="G192" s="238" t="s">
        <v>2720</v>
      </c>
      <c r="H192" s="220" t="s">
        <v>100</v>
      </c>
    </row>
    <row r="193" spans="1:8" s="79" customFormat="1" ht="12.75" x14ac:dyDescent="0.25">
      <c r="A193" s="218" t="s">
        <v>3126</v>
      </c>
      <c r="B193" s="218" t="s">
        <v>2735</v>
      </c>
      <c r="C193" s="234" t="s">
        <v>2712</v>
      </c>
      <c r="D193" s="219" t="s">
        <v>2006</v>
      </c>
      <c r="E193" s="215" t="s">
        <v>43</v>
      </c>
      <c r="F193" s="239" t="s">
        <v>23</v>
      </c>
      <c r="G193" s="238" t="s">
        <v>2720</v>
      </c>
      <c r="H193" s="220" t="s">
        <v>100</v>
      </c>
    </row>
    <row r="194" spans="1:8" s="79" customFormat="1" ht="12.75" x14ac:dyDescent="0.25">
      <c r="A194" s="218" t="s">
        <v>3127</v>
      </c>
      <c r="B194" s="218" t="s">
        <v>2742</v>
      </c>
      <c r="C194" s="234" t="s">
        <v>2743</v>
      </c>
      <c r="D194" s="219" t="s">
        <v>3128</v>
      </c>
      <c r="E194" s="215" t="s">
        <v>164</v>
      </c>
      <c r="F194" s="239" t="s">
        <v>19</v>
      </c>
      <c r="G194" s="238" t="s">
        <v>2720</v>
      </c>
      <c r="H194" s="220" t="s">
        <v>100</v>
      </c>
    </row>
    <row r="195" spans="1:8" s="79" customFormat="1" ht="12.75" x14ac:dyDescent="0.25">
      <c r="A195" s="218" t="s">
        <v>3129</v>
      </c>
      <c r="B195" s="218" t="s">
        <v>2983</v>
      </c>
      <c r="C195" s="234" t="s">
        <v>2735</v>
      </c>
      <c r="D195" s="219" t="s">
        <v>3130</v>
      </c>
      <c r="E195" s="215" t="s">
        <v>136</v>
      </c>
      <c r="F195" s="239" t="s">
        <v>19</v>
      </c>
      <c r="G195" s="238" t="s">
        <v>2720</v>
      </c>
      <c r="H195" s="220" t="s">
        <v>100</v>
      </c>
    </row>
    <row r="196" spans="1:8" s="79" customFormat="1" ht="12.75" x14ac:dyDescent="0.25">
      <c r="A196" s="222" t="s">
        <v>3131</v>
      </c>
      <c r="B196" s="218" t="s">
        <v>2804</v>
      </c>
      <c r="C196" s="234"/>
      <c r="D196" s="219" t="s">
        <v>3132</v>
      </c>
      <c r="E196" s="215" t="s">
        <v>224</v>
      </c>
      <c r="F196" s="239" t="s">
        <v>23</v>
      </c>
      <c r="G196" s="238" t="s">
        <v>2720</v>
      </c>
      <c r="H196" s="220" t="s">
        <v>100</v>
      </c>
    </row>
    <row r="197" spans="1:8" s="79" customFormat="1" ht="12.75" x14ac:dyDescent="0.25">
      <c r="A197" s="222" t="s">
        <v>3133</v>
      </c>
      <c r="B197" s="218" t="s">
        <v>2752</v>
      </c>
      <c r="C197" s="234"/>
      <c r="D197" s="219" t="s">
        <v>3134</v>
      </c>
      <c r="E197" s="215" t="s">
        <v>43</v>
      </c>
      <c r="F197" s="239" t="s">
        <v>23</v>
      </c>
      <c r="G197" s="238" t="s">
        <v>2720</v>
      </c>
      <c r="H197" s="220" t="s">
        <v>100</v>
      </c>
    </row>
    <row r="198" spans="1:8" s="79" customFormat="1" ht="12.75" x14ac:dyDescent="0.25">
      <c r="A198" s="218" t="s">
        <v>3135</v>
      </c>
      <c r="B198" s="218" t="s">
        <v>3136</v>
      </c>
      <c r="C198" s="234" t="s">
        <v>3137</v>
      </c>
      <c r="D198" s="219" t="s">
        <v>3138</v>
      </c>
      <c r="E198" s="215" t="s">
        <v>252</v>
      </c>
      <c r="F198" s="239" t="s">
        <v>19</v>
      </c>
      <c r="G198" s="238" t="s">
        <v>2720</v>
      </c>
      <c r="H198" s="220" t="s">
        <v>100</v>
      </c>
    </row>
    <row r="199" spans="1:8" s="79" customFormat="1" ht="12.75" x14ac:dyDescent="0.25">
      <c r="A199" s="222" t="s">
        <v>3139</v>
      </c>
      <c r="B199" s="218" t="s">
        <v>3140</v>
      </c>
      <c r="C199" s="234"/>
      <c r="D199" s="219" t="s">
        <v>3141</v>
      </c>
      <c r="E199" s="215" t="s">
        <v>43</v>
      </c>
      <c r="F199" s="239" t="s">
        <v>23</v>
      </c>
      <c r="G199" s="238" t="s">
        <v>2720</v>
      </c>
      <c r="H199" s="220" t="s">
        <v>100</v>
      </c>
    </row>
    <row r="200" spans="1:8" s="79" customFormat="1" ht="12.75" x14ac:dyDescent="0.25">
      <c r="A200" s="222" t="s">
        <v>3142</v>
      </c>
      <c r="B200" s="218" t="s">
        <v>2743</v>
      </c>
      <c r="C200" s="234"/>
      <c r="D200" s="219" t="s">
        <v>3143</v>
      </c>
      <c r="E200" s="215" t="s">
        <v>43</v>
      </c>
      <c r="F200" s="239" t="s">
        <v>23</v>
      </c>
      <c r="G200" s="238" t="s">
        <v>2720</v>
      </c>
      <c r="H200" s="220" t="s">
        <v>100</v>
      </c>
    </row>
    <row r="201" spans="1:8" s="79" customFormat="1" ht="12.75" x14ac:dyDescent="0.25">
      <c r="A201" s="222" t="s">
        <v>3144</v>
      </c>
      <c r="B201" s="218" t="s">
        <v>2735</v>
      </c>
      <c r="C201" s="234"/>
      <c r="D201" s="219" t="s">
        <v>3145</v>
      </c>
      <c r="E201" s="215" t="s">
        <v>43</v>
      </c>
      <c r="F201" s="239" t="s">
        <v>23</v>
      </c>
      <c r="G201" s="238" t="s">
        <v>2720</v>
      </c>
      <c r="H201" s="220" t="s">
        <v>100</v>
      </c>
    </row>
    <row r="202" spans="1:8" s="79" customFormat="1" ht="12.75" x14ac:dyDescent="0.25">
      <c r="A202" s="218" t="s">
        <v>3146</v>
      </c>
      <c r="B202" s="218" t="s">
        <v>3147</v>
      </c>
      <c r="C202" s="234" t="s">
        <v>2736</v>
      </c>
      <c r="D202" s="219" t="s">
        <v>2018</v>
      </c>
      <c r="E202" s="215" t="s">
        <v>337</v>
      </c>
      <c r="F202" s="239" t="s">
        <v>23</v>
      </c>
      <c r="G202" s="238" t="s">
        <v>2720</v>
      </c>
      <c r="H202" s="220" t="s">
        <v>100</v>
      </c>
    </row>
    <row r="203" spans="1:8" s="79" customFormat="1" ht="12.75" x14ac:dyDescent="0.25">
      <c r="A203" s="218" t="s">
        <v>3148</v>
      </c>
      <c r="B203" s="218" t="s">
        <v>3149</v>
      </c>
      <c r="C203" s="234" t="s">
        <v>2735</v>
      </c>
      <c r="D203" s="219" t="s">
        <v>2022</v>
      </c>
      <c r="E203" s="215" t="s">
        <v>224</v>
      </c>
      <c r="F203" s="239" t="s">
        <v>23</v>
      </c>
      <c r="G203" s="238" t="s">
        <v>2720</v>
      </c>
      <c r="H203" s="220" t="s">
        <v>100</v>
      </c>
    </row>
    <row r="204" spans="1:8" s="79" customFormat="1" ht="12.75" x14ac:dyDescent="0.25">
      <c r="A204" s="218" t="s">
        <v>3150</v>
      </c>
      <c r="B204" s="218" t="s">
        <v>3151</v>
      </c>
      <c r="C204" s="234" t="s">
        <v>2764</v>
      </c>
      <c r="D204" s="219" t="s">
        <v>2026</v>
      </c>
      <c r="E204" s="215" t="s">
        <v>43</v>
      </c>
      <c r="F204" s="239" t="s">
        <v>23</v>
      </c>
      <c r="G204" s="238" t="s">
        <v>2720</v>
      </c>
      <c r="H204" s="220" t="s">
        <v>100</v>
      </c>
    </row>
    <row r="205" spans="1:8" s="79" customFormat="1" ht="12.75" x14ac:dyDescent="0.25">
      <c r="A205" s="218" t="s">
        <v>3152</v>
      </c>
      <c r="B205" s="218" t="s">
        <v>2890</v>
      </c>
      <c r="C205" s="234" t="s">
        <v>2712</v>
      </c>
      <c r="D205" s="219" t="s">
        <v>3153</v>
      </c>
      <c r="E205" s="215" t="s">
        <v>136</v>
      </c>
      <c r="F205" s="239" t="s">
        <v>19</v>
      </c>
      <c r="G205" s="238" t="s">
        <v>2720</v>
      </c>
      <c r="H205" s="220" t="s">
        <v>100</v>
      </c>
    </row>
    <row r="206" spans="1:8" s="79" customFormat="1" ht="12.75" x14ac:dyDescent="0.25">
      <c r="A206" s="218" t="s">
        <v>3154</v>
      </c>
      <c r="B206" s="218" t="s">
        <v>2890</v>
      </c>
      <c r="C206" s="234" t="s">
        <v>2735</v>
      </c>
      <c r="D206" s="219" t="s">
        <v>3155</v>
      </c>
      <c r="E206" s="215" t="s">
        <v>164</v>
      </c>
      <c r="F206" s="239" t="s">
        <v>19</v>
      </c>
      <c r="G206" s="238" t="s">
        <v>2720</v>
      </c>
      <c r="H206" s="220" t="s">
        <v>100</v>
      </c>
    </row>
    <row r="207" spans="1:8" s="79" customFormat="1" ht="12.75" x14ac:dyDescent="0.25">
      <c r="A207" s="222" t="s">
        <v>3156</v>
      </c>
      <c r="B207" s="218" t="s">
        <v>3157</v>
      </c>
      <c r="C207" s="234"/>
      <c r="D207" s="219" t="s">
        <v>3158</v>
      </c>
      <c r="E207" s="215" t="s">
        <v>337</v>
      </c>
      <c r="F207" s="239" t="s">
        <v>23</v>
      </c>
      <c r="G207" s="238" t="s">
        <v>2720</v>
      </c>
      <c r="H207" s="220" t="s">
        <v>100</v>
      </c>
    </row>
    <row r="208" spans="1:8" s="79" customFormat="1" ht="12.75" x14ac:dyDescent="0.25">
      <c r="A208" s="218" t="s">
        <v>3159</v>
      </c>
      <c r="B208" s="218" t="s">
        <v>2743</v>
      </c>
      <c r="C208" s="234" t="s">
        <v>2736</v>
      </c>
      <c r="D208" s="219" t="s">
        <v>2030</v>
      </c>
      <c r="E208" s="215" t="s">
        <v>1142</v>
      </c>
      <c r="F208" s="239" t="s">
        <v>23</v>
      </c>
      <c r="G208" s="238" t="s">
        <v>2720</v>
      </c>
      <c r="H208" s="220" t="s">
        <v>100</v>
      </c>
    </row>
    <row r="209" spans="1:8" s="79" customFormat="1" ht="12.75" x14ac:dyDescent="0.25">
      <c r="A209" s="218" t="s">
        <v>3160</v>
      </c>
      <c r="B209" s="218" t="s">
        <v>2827</v>
      </c>
      <c r="C209" s="234" t="s">
        <v>2796</v>
      </c>
      <c r="D209" s="219" t="s">
        <v>2034</v>
      </c>
      <c r="E209" s="215" t="s">
        <v>224</v>
      </c>
      <c r="F209" s="239" t="s">
        <v>23</v>
      </c>
      <c r="G209" s="238" t="s">
        <v>2720</v>
      </c>
      <c r="H209" s="220" t="s">
        <v>100</v>
      </c>
    </row>
    <row r="210" spans="1:8" s="79" customFormat="1" ht="13.15" customHeight="1" x14ac:dyDescent="0.25">
      <c r="A210" s="245" t="s">
        <v>3161</v>
      </c>
      <c r="B210" s="218" t="s">
        <v>2874</v>
      </c>
      <c r="C210" s="234"/>
      <c r="D210" s="219" t="s">
        <v>3162</v>
      </c>
      <c r="E210" s="215" t="s">
        <v>337</v>
      </c>
      <c r="F210" s="239" t="s">
        <v>23</v>
      </c>
      <c r="G210" s="238" t="s">
        <v>2720</v>
      </c>
      <c r="H210" s="220" t="s">
        <v>100</v>
      </c>
    </row>
    <row r="211" spans="1:8" s="79" customFormat="1" ht="13.15" customHeight="1" x14ac:dyDescent="0.25">
      <c r="A211" s="225" t="s">
        <v>3163</v>
      </c>
      <c r="B211" s="218" t="s">
        <v>2738</v>
      </c>
      <c r="C211" s="234" t="s">
        <v>2712</v>
      </c>
      <c r="D211" s="219" t="s">
        <v>3164</v>
      </c>
      <c r="E211" s="215" t="s">
        <v>252</v>
      </c>
      <c r="F211" s="239" t="s">
        <v>19</v>
      </c>
      <c r="G211" s="238" t="s">
        <v>2720</v>
      </c>
      <c r="H211" s="220" t="s">
        <v>100</v>
      </c>
    </row>
    <row r="212" spans="1:8" s="79" customFormat="1" ht="13.15" customHeight="1" x14ac:dyDescent="0.25">
      <c r="A212" s="225" t="s">
        <v>3165</v>
      </c>
      <c r="B212" s="218" t="s">
        <v>2917</v>
      </c>
      <c r="C212" s="234" t="s">
        <v>2802</v>
      </c>
      <c r="D212" s="219" t="s">
        <v>2043</v>
      </c>
      <c r="E212" s="215" t="s">
        <v>337</v>
      </c>
      <c r="F212" s="239" t="s">
        <v>23</v>
      </c>
      <c r="G212" s="238" t="s">
        <v>2720</v>
      </c>
      <c r="H212" s="220" t="s">
        <v>100</v>
      </c>
    </row>
    <row r="213" spans="1:8" s="79" customFormat="1" ht="13.15" customHeight="1" x14ac:dyDescent="0.25">
      <c r="A213" s="225" t="s">
        <v>3166</v>
      </c>
      <c r="B213" s="218" t="s">
        <v>2726</v>
      </c>
      <c r="C213" s="234" t="s">
        <v>3167</v>
      </c>
      <c r="D213" s="219" t="s">
        <v>3168</v>
      </c>
      <c r="E213" s="215" t="s">
        <v>164</v>
      </c>
      <c r="F213" s="239" t="s">
        <v>19</v>
      </c>
      <c r="G213" s="238" t="s">
        <v>2720</v>
      </c>
      <c r="H213" s="220" t="s">
        <v>100</v>
      </c>
    </row>
    <row r="214" spans="1:8" s="79" customFormat="1" ht="13.15" customHeight="1" x14ac:dyDescent="0.25">
      <c r="A214" s="245" t="s">
        <v>3169</v>
      </c>
      <c r="B214" s="218" t="s">
        <v>2735</v>
      </c>
      <c r="C214" s="234"/>
      <c r="D214" s="219" t="s">
        <v>3170</v>
      </c>
      <c r="E214" s="215" t="s">
        <v>43</v>
      </c>
      <c r="F214" s="239" t="s">
        <v>23</v>
      </c>
      <c r="G214" s="238" t="s">
        <v>2720</v>
      </c>
      <c r="H214" s="220" t="s">
        <v>100</v>
      </c>
    </row>
    <row r="215" spans="1:8" s="79" customFormat="1" ht="13.15" customHeight="1" x14ac:dyDescent="0.25">
      <c r="A215" s="245" t="s">
        <v>3171</v>
      </c>
      <c r="B215" s="218" t="s">
        <v>2736</v>
      </c>
      <c r="C215" s="234"/>
      <c r="D215" s="219" t="s">
        <v>3172</v>
      </c>
      <c r="E215" s="215" t="s">
        <v>43</v>
      </c>
      <c r="F215" s="239" t="s">
        <v>23</v>
      </c>
      <c r="G215" s="238" t="s">
        <v>2720</v>
      </c>
      <c r="H215" s="220" t="s">
        <v>100</v>
      </c>
    </row>
    <row r="216" spans="1:8" s="79" customFormat="1" ht="13.15" customHeight="1" x14ac:dyDescent="0.25">
      <c r="A216" s="225" t="s">
        <v>3173</v>
      </c>
      <c r="B216" s="218" t="s">
        <v>3174</v>
      </c>
      <c r="C216" s="234" t="s">
        <v>2723</v>
      </c>
      <c r="D216" s="219" t="s">
        <v>3175</v>
      </c>
      <c r="E216" s="215" t="s">
        <v>136</v>
      </c>
      <c r="F216" s="239" t="s">
        <v>19</v>
      </c>
      <c r="G216" s="238" t="s">
        <v>2720</v>
      </c>
      <c r="H216" s="220" t="s">
        <v>100</v>
      </c>
    </row>
    <row r="217" spans="1:8" s="79" customFormat="1" ht="13.15" customHeight="1" x14ac:dyDescent="0.25">
      <c r="A217" s="225" t="s">
        <v>3176</v>
      </c>
      <c r="B217" s="218" t="s">
        <v>2747</v>
      </c>
      <c r="C217" s="234" t="s">
        <v>2736</v>
      </c>
      <c r="D217" s="219" t="s">
        <v>2051</v>
      </c>
      <c r="E217" s="215" t="s">
        <v>264</v>
      </c>
      <c r="F217" s="239" t="s">
        <v>23</v>
      </c>
      <c r="G217" s="238" t="s">
        <v>2720</v>
      </c>
      <c r="H217" s="220" t="s">
        <v>100</v>
      </c>
    </row>
    <row r="218" spans="1:8" s="79" customFormat="1" ht="13.15" customHeight="1" x14ac:dyDescent="0.25">
      <c r="A218" s="225" t="s">
        <v>3177</v>
      </c>
      <c r="B218" s="218" t="s">
        <v>2904</v>
      </c>
      <c r="C218" s="234" t="s">
        <v>2735</v>
      </c>
      <c r="D218" s="219" t="s">
        <v>3178</v>
      </c>
      <c r="E218" s="215" t="s">
        <v>136</v>
      </c>
      <c r="F218" s="239" t="s">
        <v>19</v>
      </c>
      <c r="G218" s="238" t="s">
        <v>2720</v>
      </c>
      <c r="H218" s="220" t="s">
        <v>100</v>
      </c>
    </row>
    <row r="219" spans="1:8" s="79" customFormat="1" ht="13.15" customHeight="1" x14ac:dyDescent="0.25">
      <c r="A219" s="225" t="s">
        <v>3179</v>
      </c>
      <c r="B219" s="218" t="s">
        <v>3180</v>
      </c>
      <c r="C219" s="234" t="s">
        <v>3181</v>
      </c>
      <c r="D219" s="219" t="s">
        <v>3182</v>
      </c>
      <c r="E219" s="215" t="s">
        <v>164</v>
      </c>
      <c r="F219" s="239" t="s">
        <v>19</v>
      </c>
      <c r="G219" s="238" t="s">
        <v>2720</v>
      </c>
      <c r="H219" s="220" t="s">
        <v>100</v>
      </c>
    </row>
    <row r="220" spans="1:8" s="79" customFormat="1" ht="12.75" x14ac:dyDescent="0.25">
      <c r="A220" s="218" t="s">
        <v>3183</v>
      </c>
      <c r="B220" s="218" t="s">
        <v>3184</v>
      </c>
      <c r="C220" s="234" t="s">
        <v>2752</v>
      </c>
      <c r="D220" s="219" t="s">
        <v>2060</v>
      </c>
      <c r="E220" s="215" t="s">
        <v>43</v>
      </c>
      <c r="F220" s="239" t="s">
        <v>23</v>
      </c>
      <c r="G220" s="238" t="s">
        <v>2720</v>
      </c>
      <c r="H220" s="220" t="s">
        <v>100</v>
      </c>
    </row>
    <row r="221" spans="1:8" s="79" customFormat="1" ht="12.75" x14ac:dyDescent="0.25">
      <c r="A221" s="218" t="s">
        <v>3185</v>
      </c>
      <c r="B221" s="218" t="s">
        <v>2743</v>
      </c>
      <c r="C221" s="234" t="s">
        <v>2764</v>
      </c>
      <c r="D221" s="219" t="s">
        <v>2064</v>
      </c>
      <c r="E221" s="215" t="s">
        <v>337</v>
      </c>
      <c r="F221" s="239" t="s">
        <v>23</v>
      </c>
      <c r="G221" s="238" t="s">
        <v>2720</v>
      </c>
      <c r="H221" s="220" t="s">
        <v>100</v>
      </c>
    </row>
    <row r="222" spans="1:8" s="79" customFormat="1" ht="12.75" x14ac:dyDescent="0.25">
      <c r="A222" s="218" t="s">
        <v>3186</v>
      </c>
      <c r="B222" s="218" t="s">
        <v>2712</v>
      </c>
      <c r="C222" s="234" t="s">
        <v>2832</v>
      </c>
      <c r="D222" s="219" t="s">
        <v>2068</v>
      </c>
      <c r="E222" s="215" t="s">
        <v>43</v>
      </c>
      <c r="F222" s="239" t="s">
        <v>23</v>
      </c>
      <c r="G222" s="238" t="s">
        <v>2720</v>
      </c>
      <c r="H222" s="220" t="s">
        <v>100</v>
      </c>
    </row>
    <row r="223" spans="1:8" s="79" customFormat="1" ht="12.75" x14ac:dyDescent="0.25">
      <c r="A223" s="218" t="s">
        <v>3187</v>
      </c>
      <c r="B223" s="218" t="s">
        <v>2809</v>
      </c>
      <c r="C223" s="234"/>
      <c r="D223" s="229" t="s">
        <v>21</v>
      </c>
      <c r="E223" s="215" t="s">
        <v>43</v>
      </c>
      <c r="F223" s="239" t="s">
        <v>23</v>
      </c>
      <c r="G223" s="238" t="s">
        <v>2720</v>
      </c>
      <c r="H223" s="221" t="s">
        <v>3188</v>
      </c>
    </row>
    <row r="224" spans="1:8" s="79" customFormat="1" ht="12.75" x14ac:dyDescent="0.25">
      <c r="A224" s="218" t="s">
        <v>3189</v>
      </c>
      <c r="B224" s="218" t="s">
        <v>2874</v>
      </c>
      <c r="C224" s="234"/>
      <c r="D224" s="229" t="s">
        <v>21</v>
      </c>
      <c r="E224" s="215" t="s">
        <v>43</v>
      </c>
      <c r="F224" s="239" t="s">
        <v>23</v>
      </c>
      <c r="G224" s="238" t="s">
        <v>2720</v>
      </c>
      <c r="H224" s="221" t="s">
        <v>3188</v>
      </c>
    </row>
    <row r="225" spans="1:8" s="79" customFormat="1" ht="12.75" x14ac:dyDescent="0.25">
      <c r="A225" s="218" t="s">
        <v>3190</v>
      </c>
      <c r="B225" s="218" t="s">
        <v>3191</v>
      </c>
      <c r="C225" s="234"/>
      <c r="D225" s="229" t="s">
        <v>21</v>
      </c>
      <c r="E225" s="215" t="s">
        <v>164</v>
      </c>
      <c r="F225" s="239" t="s">
        <v>19</v>
      </c>
      <c r="G225" s="238" t="s">
        <v>2720</v>
      </c>
      <c r="H225" s="221" t="s">
        <v>3188</v>
      </c>
    </row>
    <row r="226" spans="1:8" s="79" customFormat="1" ht="12.75" x14ac:dyDescent="0.25">
      <c r="A226" s="218" t="s">
        <v>3193</v>
      </c>
      <c r="B226" s="218" t="s">
        <v>2890</v>
      </c>
      <c r="C226" s="234"/>
      <c r="D226" s="229" t="s">
        <v>21</v>
      </c>
      <c r="E226" s="215" t="s">
        <v>43</v>
      </c>
      <c r="F226" s="239" t="s">
        <v>23</v>
      </c>
      <c r="G226" s="238" t="s">
        <v>2720</v>
      </c>
      <c r="H226" s="221" t="s">
        <v>3188</v>
      </c>
    </row>
    <row r="227" spans="1:8" s="79" customFormat="1" ht="12.75" x14ac:dyDescent="0.25">
      <c r="A227" s="218" t="s">
        <v>3194</v>
      </c>
      <c r="B227" s="218" t="s">
        <v>2917</v>
      </c>
      <c r="C227" s="234"/>
      <c r="D227" s="229" t="s">
        <v>21</v>
      </c>
      <c r="E227" s="215" t="s">
        <v>136</v>
      </c>
      <c r="F227" s="239" t="s">
        <v>19</v>
      </c>
      <c r="G227" s="238" t="s">
        <v>2720</v>
      </c>
      <c r="H227" s="221" t="s">
        <v>3188</v>
      </c>
    </row>
    <row r="228" spans="1:8" s="79" customFormat="1" ht="12.75" x14ac:dyDescent="0.25">
      <c r="A228" s="218" t="s">
        <v>3195</v>
      </c>
      <c r="B228" s="218" t="s">
        <v>2758</v>
      </c>
      <c r="C228" s="234"/>
      <c r="D228" s="229" t="s">
        <v>21</v>
      </c>
      <c r="E228" s="215" t="s">
        <v>43</v>
      </c>
      <c r="F228" s="239" t="s">
        <v>23</v>
      </c>
      <c r="G228" s="238" t="s">
        <v>2720</v>
      </c>
      <c r="H228" s="221" t="s">
        <v>3188</v>
      </c>
    </row>
    <row r="229" spans="1:8" s="79" customFormat="1" ht="12.75" x14ac:dyDescent="0.25">
      <c r="A229" s="218" t="s">
        <v>3196</v>
      </c>
      <c r="B229" s="218" t="s">
        <v>2827</v>
      </c>
      <c r="C229" s="234"/>
      <c r="D229" s="229" t="s">
        <v>21</v>
      </c>
      <c r="E229" s="215" t="s">
        <v>43</v>
      </c>
      <c r="F229" s="239" t="s">
        <v>23</v>
      </c>
      <c r="G229" s="238" t="s">
        <v>2720</v>
      </c>
      <c r="H229" s="221" t="s">
        <v>3188</v>
      </c>
    </row>
    <row r="230" spans="1:8" s="79" customFormat="1" ht="12.75" x14ac:dyDescent="0.25">
      <c r="A230" s="218" t="s">
        <v>3049</v>
      </c>
      <c r="B230" s="218" t="s">
        <v>3045</v>
      </c>
      <c r="C230" s="234"/>
      <c r="D230" s="229" t="s">
        <v>21</v>
      </c>
      <c r="E230" s="215" t="s">
        <v>164</v>
      </c>
      <c r="F230" s="239" t="s">
        <v>19</v>
      </c>
      <c r="G230" s="238" t="s">
        <v>2720</v>
      </c>
      <c r="H230" s="221" t="s">
        <v>3188</v>
      </c>
    </row>
    <row r="231" spans="1:8" s="79" customFormat="1" ht="12.75" x14ac:dyDescent="0.25">
      <c r="A231" s="218" t="s">
        <v>3197</v>
      </c>
      <c r="B231" s="218" t="s">
        <v>3198</v>
      </c>
      <c r="C231" s="234"/>
      <c r="D231" s="229" t="s">
        <v>21</v>
      </c>
      <c r="E231" s="215" t="s">
        <v>43</v>
      </c>
      <c r="F231" s="239" t="s">
        <v>23</v>
      </c>
      <c r="G231" s="238" t="s">
        <v>2720</v>
      </c>
      <c r="H231" s="221" t="s">
        <v>3188</v>
      </c>
    </row>
    <row r="232" spans="1:8" s="79" customFormat="1" ht="12.75" x14ac:dyDescent="0.25">
      <c r="A232" s="218" t="s">
        <v>2840</v>
      </c>
      <c r="B232" s="218" t="s">
        <v>3199</v>
      </c>
      <c r="C232" s="234"/>
      <c r="D232" s="229" t="s">
        <v>21</v>
      </c>
      <c r="E232" s="215" t="s">
        <v>136</v>
      </c>
      <c r="F232" s="239" t="s">
        <v>19</v>
      </c>
      <c r="G232" s="238" t="s">
        <v>2720</v>
      </c>
      <c r="H232" s="221" t="s">
        <v>3188</v>
      </c>
    </row>
    <row r="233" spans="1:8" s="79" customFormat="1" ht="12.75" x14ac:dyDescent="0.25">
      <c r="A233" s="218" t="s">
        <v>3200</v>
      </c>
      <c r="B233" s="218" t="s">
        <v>2904</v>
      </c>
      <c r="C233" s="234"/>
      <c r="D233" s="229" t="s">
        <v>21</v>
      </c>
      <c r="E233" s="215" t="s">
        <v>136</v>
      </c>
      <c r="F233" s="239" t="s">
        <v>19</v>
      </c>
      <c r="G233" s="238" t="s">
        <v>2720</v>
      </c>
      <c r="H233" s="221" t="s">
        <v>3188</v>
      </c>
    </row>
    <row r="234" spans="1:8" s="79" customFormat="1" ht="12.75" x14ac:dyDescent="0.25">
      <c r="A234" s="218" t="s">
        <v>3201</v>
      </c>
      <c r="B234" s="218" t="s">
        <v>3202</v>
      </c>
      <c r="C234" s="234"/>
      <c r="D234" s="229" t="s">
        <v>21</v>
      </c>
      <c r="E234" s="215" t="s">
        <v>43</v>
      </c>
      <c r="F234" s="239" t="s">
        <v>23</v>
      </c>
      <c r="G234" s="238" t="s">
        <v>2720</v>
      </c>
      <c r="H234" s="221" t="s">
        <v>3188</v>
      </c>
    </row>
    <row r="235" spans="1:8" s="79" customFormat="1" ht="12.75" x14ac:dyDescent="0.25">
      <c r="A235" s="218" t="s">
        <v>3203</v>
      </c>
      <c r="B235" s="218" t="s">
        <v>3204</v>
      </c>
      <c r="C235" s="234"/>
      <c r="D235" s="229" t="s">
        <v>21</v>
      </c>
      <c r="E235" s="215" t="s">
        <v>2775</v>
      </c>
      <c r="F235" s="239" t="s">
        <v>23</v>
      </c>
      <c r="G235" s="238" t="s">
        <v>2720</v>
      </c>
      <c r="H235" s="221" t="s">
        <v>3188</v>
      </c>
    </row>
    <row r="236" spans="1:8" s="79" customFormat="1" ht="12.75" x14ac:dyDescent="0.25">
      <c r="A236" s="218" t="s">
        <v>3205</v>
      </c>
      <c r="B236" s="218" t="s">
        <v>3206</v>
      </c>
      <c r="C236" s="234"/>
      <c r="D236" s="229" t="s">
        <v>21</v>
      </c>
      <c r="E236" s="215" t="s">
        <v>224</v>
      </c>
      <c r="F236" s="239" t="s">
        <v>23</v>
      </c>
      <c r="G236" s="238" t="s">
        <v>2720</v>
      </c>
      <c r="H236" s="221" t="s">
        <v>3188</v>
      </c>
    </row>
    <row r="237" spans="1:8" s="79" customFormat="1" ht="12.75" x14ac:dyDescent="0.25">
      <c r="A237" s="218" t="s">
        <v>3207</v>
      </c>
      <c r="B237" s="218" t="s">
        <v>3208</v>
      </c>
      <c r="C237" s="234"/>
      <c r="D237" s="229" t="s">
        <v>21</v>
      </c>
      <c r="E237" s="215" t="s">
        <v>43</v>
      </c>
      <c r="F237" s="239" t="s">
        <v>23</v>
      </c>
      <c r="G237" s="238" t="s">
        <v>2720</v>
      </c>
      <c r="H237" s="221" t="s">
        <v>3188</v>
      </c>
    </row>
    <row r="238" spans="1:8" s="79" customFormat="1" ht="12.75" x14ac:dyDescent="0.25">
      <c r="A238" s="218" t="s">
        <v>3209</v>
      </c>
      <c r="B238" s="218" t="s">
        <v>3210</v>
      </c>
      <c r="C238" s="234"/>
      <c r="D238" s="229" t="s">
        <v>21</v>
      </c>
      <c r="E238" s="215" t="s">
        <v>164</v>
      </c>
      <c r="F238" s="239" t="s">
        <v>19</v>
      </c>
      <c r="G238" s="238" t="s">
        <v>2720</v>
      </c>
      <c r="H238" s="221" t="s">
        <v>3188</v>
      </c>
    </row>
    <row r="239" spans="1:8" s="79" customFormat="1" ht="12.75" x14ac:dyDescent="0.25">
      <c r="A239" s="218" t="s">
        <v>3211</v>
      </c>
      <c r="B239" s="218" t="s">
        <v>3212</v>
      </c>
      <c r="C239" s="234"/>
      <c r="D239" s="229" t="s">
        <v>21</v>
      </c>
      <c r="E239" s="215" t="s">
        <v>43</v>
      </c>
      <c r="F239" s="239" t="s">
        <v>23</v>
      </c>
      <c r="G239" s="238" t="s">
        <v>2720</v>
      </c>
      <c r="H239" s="221" t="s">
        <v>3188</v>
      </c>
    </row>
    <row r="240" spans="1:8" s="79" customFormat="1" ht="12.75" x14ac:dyDescent="0.25">
      <c r="A240" s="218" t="s">
        <v>3213</v>
      </c>
      <c r="B240" s="218" t="s">
        <v>2833</v>
      </c>
      <c r="C240" s="234"/>
      <c r="D240" s="229" t="s">
        <v>21</v>
      </c>
      <c r="E240" s="215" t="s">
        <v>164</v>
      </c>
      <c r="F240" s="239" t="s">
        <v>19</v>
      </c>
      <c r="G240" s="238" t="s">
        <v>2720</v>
      </c>
      <c r="H240" s="221" t="s">
        <v>3188</v>
      </c>
    </row>
    <row r="241" spans="1:8" s="79" customFormat="1" ht="12.75" x14ac:dyDescent="0.25">
      <c r="A241" s="218" t="s">
        <v>3214</v>
      </c>
      <c r="B241" s="218" t="s">
        <v>3215</v>
      </c>
      <c r="C241" s="234"/>
      <c r="D241" s="229" t="s">
        <v>21</v>
      </c>
      <c r="E241" s="215" t="s">
        <v>136</v>
      </c>
      <c r="F241" s="239" t="s">
        <v>19</v>
      </c>
      <c r="G241" s="238" t="s">
        <v>2720</v>
      </c>
      <c r="H241" s="221" t="s">
        <v>3188</v>
      </c>
    </row>
    <row r="242" spans="1:8" s="79" customFormat="1" ht="12.75" x14ac:dyDescent="0.25">
      <c r="A242" s="218" t="s">
        <v>3216</v>
      </c>
      <c r="B242" s="218" t="s">
        <v>3217</v>
      </c>
      <c r="C242" s="234"/>
      <c r="D242" s="229" t="s">
        <v>21</v>
      </c>
      <c r="E242" s="215" t="s">
        <v>224</v>
      </c>
      <c r="F242" s="239" t="s">
        <v>23</v>
      </c>
      <c r="G242" s="238" t="s">
        <v>2720</v>
      </c>
      <c r="H242" s="221" t="s">
        <v>3188</v>
      </c>
    </row>
    <row r="243" spans="1:8" s="79" customFormat="1" ht="12" customHeight="1" x14ac:dyDescent="0.25">
      <c r="A243" s="218" t="s">
        <v>3218</v>
      </c>
      <c r="B243" s="218" t="s">
        <v>3219</v>
      </c>
      <c r="C243" s="234"/>
      <c r="D243" s="229" t="s">
        <v>21</v>
      </c>
      <c r="E243" s="215" t="s">
        <v>43</v>
      </c>
      <c r="F243" s="239" t="s">
        <v>23</v>
      </c>
      <c r="G243" s="238" t="s">
        <v>2720</v>
      </c>
      <c r="H243" s="221" t="s">
        <v>3188</v>
      </c>
    </row>
    <row r="244" spans="1:8" s="79" customFormat="1" ht="12.75" x14ac:dyDescent="0.25">
      <c r="A244" s="218" t="s">
        <v>3220</v>
      </c>
      <c r="B244" s="218" t="s">
        <v>3221</v>
      </c>
      <c r="C244" s="234"/>
      <c r="D244" s="229" t="s">
        <v>21</v>
      </c>
      <c r="E244" s="215" t="s">
        <v>224</v>
      </c>
      <c r="F244" s="239" t="s">
        <v>23</v>
      </c>
      <c r="G244" s="238" t="s">
        <v>2720</v>
      </c>
      <c r="H244" s="221" t="s">
        <v>3188</v>
      </c>
    </row>
    <row r="245" spans="1:8" s="79" customFormat="1" ht="12.75" x14ac:dyDescent="0.25">
      <c r="A245" s="218" t="s">
        <v>3222</v>
      </c>
      <c r="B245" s="218" t="s">
        <v>2904</v>
      </c>
      <c r="C245" s="234"/>
      <c r="D245" s="229" t="s">
        <v>21</v>
      </c>
      <c r="E245" s="215" t="s">
        <v>224</v>
      </c>
      <c r="F245" s="239" t="s">
        <v>23</v>
      </c>
      <c r="G245" s="238" t="s">
        <v>2720</v>
      </c>
      <c r="H245" s="221" t="s">
        <v>3188</v>
      </c>
    </row>
    <row r="246" spans="1:8" s="79" customFormat="1" ht="12.75" x14ac:dyDescent="0.25">
      <c r="A246" s="218" t="s">
        <v>3223</v>
      </c>
      <c r="B246" s="218" t="s">
        <v>3224</v>
      </c>
      <c r="C246" s="234"/>
      <c r="D246" s="229" t="s">
        <v>21</v>
      </c>
      <c r="E246" s="215" t="s">
        <v>43</v>
      </c>
      <c r="F246" s="239" t="s">
        <v>23</v>
      </c>
      <c r="G246" s="238" t="s">
        <v>2720</v>
      </c>
      <c r="H246" s="221" t="s">
        <v>3188</v>
      </c>
    </row>
    <row r="247" spans="1:8" s="79" customFormat="1" ht="12.75" x14ac:dyDescent="0.25">
      <c r="A247" s="218" t="s">
        <v>3225</v>
      </c>
      <c r="B247" s="218" t="s">
        <v>3226</v>
      </c>
      <c r="C247" s="234"/>
      <c r="D247" s="229" t="s">
        <v>21</v>
      </c>
      <c r="E247" s="215" t="s">
        <v>224</v>
      </c>
      <c r="F247" s="239" t="s">
        <v>23</v>
      </c>
      <c r="G247" s="238" t="s">
        <v>2720</v>
      </c>
      <c r="H247" s="221" t="s">
        <v>3188</v>
      </c>
    </row>
    <row r="248" spans="1:8" s="79" customFormat="1" ht="12.75" x14ac:dyDescent="0.25">
      <c r="A248" s="218" t="s">
        <v>3227</v>
      </c>
      <c r="B248" s="218" t="s">
        <v>3228</v>
      </c>
      <c r="C248" s="234"/>
      <c r="D248" s="229" t="s">
        <v>21</v>
      </c>
      <c r="E248" s="215" t="s">
        <v>224</v>
      </c>
      <c r="F248" s="239" t="s">
        <v>23</v>
      </c>
      <c r="G248" s="238" t="s">
        <v>2720</v>
      </c>
      <c r="H248" s="221" t="s">
        <v>3188</v>
      </c>
    </row>
    <row r="249" spans="1:8" s="79" customFormat="1" ht="12.75" x14ac:dyDescent="0.25">
      <c r="A249" s="218" t="s">
        <v>3229</v>
      </c>
      <c r="B249" s="218" t="s">
        <v>2747</v>
      </c>
      <c r="C249" s="234"/>
      <c r="D249" s="229" t="s">
        <v>21</v>
      </c>
      <c r="E249" s="215" t="s">
        <v>43</v>
      </c>
      <c r="F249" s="239" t="s">
        <v>23</v>
      </c>
      <c r="G249" s="238" t="s">
        <v>2720</v>
      </c>
      <c r="H249" s="221" t="s">
        <v>3188</v>
      </c>
    </row>
    <row r="250" spans="1:8" s="79" customFormat="1" ht="12.75" x14ac:dyDescent="0.25">
      <c r="A250" s="218" t="s">
        <v>3230</v>
      </c>
      <c r="B250" s="218" t="s">
        <v>2799</v>
      </c>
      <c r="C250" s="234"/>
      <c r="D250" s="229" t="s">
        <v>21</v>
      </c>
      <c r="E250" s="215" t="s">
        <v>43</v>
      </c>
      <c r="F250" s="239" t="s">
        <v>23</v>
      </c>
      <c r="G250" s="238" t="s">
        <v>2720</v>
      </c>
      <c r="H250" s="221" t="s">
        <v>3188</v>
      </c>
    </row>
    <row r="251" spans="1:8" s="79" customFormat="1" ht="12.75" x14ac:dyDescent="0.25">
      <c r="A251" s="218" t="s">
        <v>3231</v>
      </c>
      <c r="B251" s="218" t="s">
        <v>2874</v>
      </c>
      <c r="C251" s="234"/>
      <c r="D251" s="229" t="s">
        <v>21</v>
      </c>
      <c r="E251" s="215" t="s">
        <v>224</v>
      </c>
      <c r="F251" s="239" t="s">
        <v>23</v>
      </c>
      <c r="G251" s="238" t="s">
        <v>2720</v>
      </c>
      <c r="H251" s="221" t="s">
        <v>3188</v>
      </c>
    </row>
    <row r="252" spans="1:8" s="79" customFormat="1" ht="12.75" x14ac:dyDescent="0.25">
      <c r="A252" s="218" t="s">
        <v>3232</v>
      </c>
      <c r="B252" s="218" t="s">
        <v>2747</v>
      </c>
      <c r="C252" s="234"/>
      <c r="D252" s="229" t="s">
        <v>21</v>
      </c>
      <c r="E252" s="215" t="s">
        <v>2775</v>
      </c>
      <c r="F252" s="239" t="s">
        <v>23</v>
      </c>
      <c r="G252" s="238" t="s">
        <v>2720</v>
      </c>
      <c r="H252" s="221" t="s">
        <v>3188</v>
      </c>
    </row>
    <row r="253" spans="1:8" s="79" customFormat="1" ht="12.75" x14ac:dyDescent="0.25">
      <c r="A253" s="218" t="s">
        <v>3233</v>
      </c>
      <c r="B253" s="218" t="s">
        <v>2732</v>
      </c>
      <c r="C253" s="234"/>
      <c r="D253" s="229" t="s">
        <v>21</v>
      </c>
      <c r="E253" s="215" t="s">
        <v>224</v>
      </c>
      <c r="F253" s="239" t="s">
        <v>23</v>
      </c>
      <c r="G253" s="238" t="s">
        <v>2720</v>
      </c>
      <c r="H253" s="221" t="s">
        <v>3188</v>
      </c>
    </row>
    <row r="254" spans="1:8" s="79" customFormat="1" ht="12.75" x14ac:dyDescent="0.25">
      <c r="A254" s="218" t="s">
        <v>3234</v>
      </c>
      <c r="B254" s="218" t="s">
        <v>2894</v>
      </c>
      <c r="C254" s="234"/>
      <c r="D254" s="229" t="s">
        <v>21</v>
      </c>
      <c r="E254" s="215" t="s">
        <v>43</v>
      </c>
      <c r="F254" s="239" t="s">
        <v>23</v>
      </c>
      <c r="G254" s="238" t="s">
        <v>2720</v>
      </c>
      <c r="H254" s="221" t="s">
        <v>3188</v>
      </c>
    </row>
    <row r="255" spans="1:8" s="79" customFormat="1" ht="12.75" x14ac:dyDescent="0.25">
      <c r="A255" s="218" t="s">
        <v>3235</v>
      </c>
      <c r="B255" s="218" t="s">
        <v>2833</v>
      </c>
      <c r="C255" s="234"/>
      <c r="D255" s="229" t="s">
        <v>21</v>
      </c>
      <c r="E255" s="215" t="s">
        <v>2775</v>
      </c>
      <c r="F255" s="239" t="s">
        <v>23</v>
      </c>
      <c r="G255" s="238" t="s">
        <v>2720</v>
      </c>
      <c r="H255" s="221" t="s">
        <v>3188</v>
      </c>
    </row>
    <row r="256" spans="1:8" s="79" customFormat="1" ht="12.75" x14ac:dyDescent="0.25">
      <c r="A256" s="218" t="s">
        <v>3236</v>
      </c>
      <c r="B256" s="218" t="s">
        <v>2756</v>
      </c>
      <c r="C256" s="234"/>
      <c r="D256" s="229" t="s">
        <v>21</v>
      </c>
      <c r="E256" s="215" t="s">
        <v>224</v>
      </c>
      <c r="F256" s="239" t="s">
        <v>23</v>
      </c>
      <c r="G256" s="238" t="s">
        <v>2720</v>
      </c>
      <c r="H256" s="221" t="s">
        <v>3188</v>
      </c>
    </row>
    <row r="257" spans="1:8" s="79" customFormat="1" ht="12.75" x14ac:dyDescent="0.25">
      <c r="A257" s="218" t="s">
        <v>3237</v>
      </c>
      <c r="B257" s="218" t="s">
        <v>2766</v>
      </c>
      <c r="C257" s="234"/>
      <c r="D257" s="229" t="s">
        <v>21</v>
      </c>
      <c r="E257" s="215" t="s">
        <v>43</v>
      </c>
      <c r="F257" s="239" t="s">
        <v>23</v>
      </c>
      <c r="G257" s="238" t="s">
        <v>2720</v>
      </c>
      <c r="H257" s="221" t="s">
        <v>3188</v>
      </c>
    </row>
    <row r="258" spans="1:8" s="79" customFormat="1" ht="12.75" x14ac:dyDescent="0.25">
      <c r="A258" s="218" t="s">
        <v>3238</v>
      </c>
      <c r="B258" s="218" t="s">
        <v>2730</v>
      </c>
      <c r="C258" s="234"/>
      <c r="D258" s="229" t="s">
        <v>21</v>
      </c>
      <c r="E258" s="215" t="s">
        <v>43</v>
      </c>
      <c r="F258" s="239" t="s">
        <v>23</v>
      </c>
      <c r="G258" s="238" t="s">
        <v>2720</v>
      </c>
      <c r="H258" s="221" t="s">
        <v>3188</v>
      </c>
    </row>
    <row r="259" spans="1:8" s="79" customFormat="1" ht="12.75" x14ac:dyDescent="0.25">
      <c r="A259" s="218" t="s">
        <v>3239</v>
      </c>
      <c r="B259" s="218" t="s">
        <v>2736</v>
      </c>
      <c r="C259" s="234"/>
      <c r="D259" s="229" t="s">
        <v>21</v>
      </c>
      <c r="E259" s="215" t="s">
        <v>43</v>
      </c>
      <c r="F259" s="239" t="s">
        <v>23</v>
      </c>
      <c r="G259" s="238" t="s">
        <v>2720</v>
      </c>
      <c r="H259" s="221" t="s">
        <v>3188</v>
      </c>
    </row>
    <row r="260" spans="1:8" s="79" customFormat="1" ht="12.75" x14ac:dyDescent="0.25">
      <c r="A260" s="218" t="s">
        <v>3240</v>
      </c>
      <c r="B260" s="218" t="s">
        <v>2788</v>
      </c>
      <c r="C260" s="234"/>
      <c r="D260" s="229" t="s">
        <v>21</v>
      </c>
      <c r="E260" s="215" t="s">
        <v>224</v>
      </c>
      <c r="F260" s="239" t="s">
        <v>23</v>
      </c>
      <c r="G260" s="238" t="s">
        <v>2720</v>
      </c>
      <c r="H260" s="221" t="s">
        <v>3188</v>
      </c>
    </row>
    <row r="261" spans="1:8" s="79" customFormat="1" ht="12.75" x14ac:dyDescent="0.25">
      <c r="A261" s="218" t="s">
        <v>3241</v>
      </c>
      <c r="B261" s="218" t="s">
        <v>3242</v>
      </c>
      <c r="C261" s="234"/>
      <c r="D261" s="229" t="s">
        <v>21</v>
      </c>
      <c r="E261" s="215" t="s">
        <v>2775</v>
      </c>
      <c r="F261" s="239" t="s">
        <v>23</v>
      </c>
      <c r="G261" s="238" t="s">
        <v>2720</v>
      </c>
      <c r="H261" s="221" t="s">
        <v>3188</v>
      </c>
    </row>
    <row r="262" spans="1:8" s="79" customFormat="1" ht="12.75" x14ac:dyDescent="0.25">
      <c r="A262" s="218" t="s">
        <v>3243</v>
      </c>
      <c r="B262" s="218" t="s">
        <v>3244</v>
      </c>
      <c r="C262" s="234"/>
      <c r="D262" s="229" t="s">
        <v>21</v>
      </c>
      <c r="E262" s="215" t="s">
        <v>136</v>
      </c>
      <c r="F262" s="239" t="s">
        <v>19</v>
      </c>
      <c r="G262" s="238" t="s">
        <v>2720</v>
      </c>
      <c r="H262" s="221" t="s">
        <v>3188</v>
      </c>
    </row>
    <row r="263" spans="1:8" s="79" customFormat="1" ht="12.75" x14ac:dyDescent="0.25">
      <c r="A263" s="218" t="s">
        <v>3245</v>
      </c>
      <c r="B263" s="218" t="s">
        <v>2743</v>
      </c>
      <c r="C263" s="234"/>
      <c r="D263" s="229" t="s">
        <v>21</v>
      </c>
      <c r="E263" s="215" t="s">
        <v>43</v>
      </c>
      <c r="F263" s="239" t="s">
        <v>23</v>
      </c>
      <c r="G263" s="238" t="s">
        <v>2720</v>
      </c>
      <c r="H263" s="221" t="s">
        <v>3188</v>
      </c>
    </row>
    <row r="264" spans="1:8" s="79" customFormat="1" ht="12.75" x14ac:dyDescent="0.25">
      <c r="A264" s="218" t="s">
        <v>3246</v>
      </c>
      <c r="B264" s="218" t="s">
        <v>2732</v>
      </c>
      <c r="C264" s="234"/>
      <c r="D264" s="229" t="s">
        <v>21</v>
      </c>
      <c r="E264" s="215" t="s">
        <v>136</v>
      </c>
      <c r="F264" s="239" t="s">
        <v>19</v>
      </c>
      <c r="G264" s="238" t="s">
        <v>2720</v>
      </c>
      <c r="H264" s="221" t="s">
        <v>3188</v>
      </c>
    </row>
    <row r="265" spans="1:8" s="79" customFormat="1" ht="12.75" x14ac:dyDescent="0.25">
      <c r="A265" s="218" t="s">
        <v>2711</v>
      </c>
      <c r="B265" s="218" t="s">
        <v>2766</v>
      </c>
      <c r="C265" s="234"/>
      <c r="D265" s="229" t="s">
        <v>21</v>
      </c>
      <c r="E265" s="215" t="s">
        <v>43</v>
      </c>
      <c r="F265" s="239" t="s">
        <v>23</v>
      </c>
      <c r="G265" s="238" t="s">
        <v>2720</v>
      </c>
      <c r="H265" s="221" t="s">
        <v>3188</v>
      </c>
    </row>
    <row r="266" spans="1:8" s="79" customFormat="1" ht="12.75" x14ac:dyDescent="0.25">
      <c r="A266" s="218" t="s">
        <v>3247</v>
      </c>
      <c r="B266" s="218" t="s">
        <v>3248</v>
      </c>
      <c r="C266" s="234"/>
      <c r="D266" s="229" t="s">
        <v>21</v>
      </c>
      <c r="E266" s="215" t="s">
        <v>43</v>
      </c>
      <c r="F266" s="239" t="s">
        <v>23</v>
      </c>
      <c r="G266" s="238" t="s">
        <v>2720</v>
      </c>
      <c r="H266" s="221" t="s">
        <v>3188</v>
      </c>
    </row>
    <row r="267" spans="1:8" s="79" customFormat="1" ht="12.75" x14ac:dyDescent="0.25">
      <c r="A267" s="218" t="s">
        <v>3249</v>
      </c>
      <c r="B267" s="218" t="s">
        <v>2748</v>
      </c>
      <c r="C267" s="234"/>
      <c r="D267" s="229" t="s">
        <v>21</v>
      </c>
      <c r="E267" s="215" t="s">
        <v>224</v>
      </c>
      <c r="F267" s="239" t="s">
        <v>23</v>
      </c>
      <c r="G267" s="238" t="s">
        <v>2720</v>
      </c>
      <c r="H267" s="221" t="s">
        <v>3188</v>
      </c>
    </row>
    <row r="268" spans="1:8" s="79" customFormat="1" ht="12.75" x14ac:dyDescent="0.25">
      <c r="A268" s="218" t="s">
        <v>3250</v>
      </c>
      <c r="B268" s="218" t="s">
        <v>3251</v>
      </c>
      <c r="C268" s="234" t="s">
        <v>2730</v>
      </c>
      <c r="D268" s="219" t="s">
        <v>2071</v>
      </c>
      <c r="E268" s="215" t="s">
        <v>43</v>
      </c>
      <c r="F268" s="239" t="s">
        <v>23</v>
      </c>
      <c r="G268" s="238" t="s">
        <v>2720</v>
      </c>
      <c r="H268" s="220" t="s">
        <v>54</v>
      </c>
    </row>
    <row r="269" spans="1:8" s="79" customFormat="1" ht="12.75" x14ac:dyDescent="0.25">
      <c r="A269" s="222" t="s">
        <v>3252</v>
      </c>
      <c r="B269" s="218" t="s">
        <v>3253</v>
      </c>
      <c r="C269" s="234" t="s">
        <v>2736</v>
      </c>
      <c r="D269" s="219" t="s">
        <v>3254</v>
      </c>
      <c r="E269" s="215" t="s">
        <v>164</v>
      </c>
      <c r="F269" s="239" t="s">
        <v>19</v>
      </c>
      <c r="G269" s="238" t="s">
        <v>2716</v>
      </c>
      <c r="H269" s="220" t="s">
        <v>54</v>
      </c>
    </row>
    <row r="270" spans="1:8" s="79" customFormat="1" ht="12.75" x14ac:dyDescent="0.25">
      <c r="A270" s="222" t="s">
        <v>3255</v>
      </c>
      <c r="B270" s="218" t="s">
        <v>2730</v>
      </c>
      <c r="C270" s="234" t="s">
        <v>2796</v>
      </c>
      <c r="D270" s="219" t="s">
        <v>3256</v>
      </c>
      <c r="E270" s="215" t="s">
        <v>3257</v>
      </c>
      <c r="F270" s="239" t="s">
        <v>19</v>
      </c>
      <c r="G270" s="238" t="s">
        <v>2716</v>
      </c>
      <c r="H270" s="220" t="s">
        <v>54</v>
      </c>
    </row>
    <row r="271" spans="1:8" s="79" customFormat="1" ht="12.75" x14ac:dyDescent="0.25">
      <c r="A271" s="218" t="s">
        <v>3258</v>
      </c>
      <c r="B271" s="218" t="s">
        <v>2766</v>
      </c>
      <c r="C271" s="234" t="s">
        <v>2735</v>
      </c>
      <c r="D271" s="219" t="s">
        <v>2082</v>
      </c>
      <c r="E271" s="215" t="s">
        <v>43</v>
      </c>
      <c r="F271" s="239" t="s">
        <v>23</v>
      </c>
      <c r="G271" s="238" t="s">
        <v>2720</v>
      </c>
      <c r="H271" s="220" t="s">
        <v>54</v>
      </c>
    </row>
    <row r="272" spans="1:8" s="79" customFormat="1" ht="12.75" x14ac:dyDescent="0.25">
      <c r="A272" s="225" t="s">
        <v>3260</v>
      </c>
      <c r="B272" s="218" t="s">
        <v>2890</v>
      </c>
      <c r="C272" s="234" t="s">
        <v>2796</v>
      </c>
      <c r="D272" s="219" t="s">
        <v>2088</v>
      </c>
      <c r="E272" s="215" t="s">
        <v>43</v>
      </c>
      <c r="F272" s="239" t="s">
        <v>23</v>
      </c>
      <c r="G272" s="238" t="s">
        <v>2720</v>
      </c>
      <c r="H272" s="220" t="s">
        <v>54</v>
      </c>
    </row>
    <row r="273" spans="1:8" s="79" customFormat="1" ht="12.75" x14ac:dyDescent="0.25">
      <c r="A273" s="225" t="s">
        <v>3261</v>
      </c>
      <c r="B273" s="218" t="s">
        <v>2818</v>
      </c>
      <c r="C273" s="234" t="s">
        <v>3262</v>
      </c>
      <c r="D273" s="219" t="s">
        <v>3263</v>
      </c>
      <c r="E273" s="215" t="s">
        <v>252</v>
      </c>
      <c r="F273" s="239" t="s">
        <v>19</v>
      </c>
      <c r="G273" s="238" t="s">
        <v>2754</v>
      </c>
      <c r="H273" s="220" t="s">
        <v>54</v>
      </c>
    </row>
    <row r="274" spans="1:8" s="79" customFormat="1" ht="12.75" x14ac:dyDescent="0.25">
      <c r="A274" s="222" t="s">
        <v>3264</v>
      </c>
      <c r="B274" s="218" t="s">
        <v>2823</v>
      </c>
      <c r="C274" s="234" t="s">
        <v>2891</v>
      </c>
      <c r="D274" s="219" t="s">
        <v>3265</v>
      </c>
      <c r="E274" s="215" t="s">
        <v>2714</v>
      </c>
      <c r="F274" s="239" t="s">
        <v>19</v>
      </c>
      <c r="G274" s="238" t="s">
        <v>2716</v>
      </c>
      <c r="H274" s="220" t="s">
        <v>54</v>
      </c>
    </row>
    <row r="275" spans="1:8" s="79" customFormat="1" ht="12.75" x14ac:dyDescent="0.25">
      <c r="A275" s="245" t="s">
        <v>3266</v>
      </c>
      <c r="B275" s="218" t="s">
        <v>3267</v>
      </c>
      <c r="C275" s="234" t="s">
        <v>2748</v>
      </c>
      <c r="D275" s="219" t="s">
        <v>3268</v>
      </c>
      <c r="E275" s="215" t="s">
        <v>3269</v>
      </c>
      <c r="F275" s="239" t="s">
        <v>19</v>
      </c>
      <c r="G275" s="238" t="s">
        <v>2716</v>
      </c>
      <c r="H275" s="220" t="s">
        <v>54</v>
      </c>
    </row>
    <row r="276" spans="1:8" s="79" customFormat="1" ht="12.75" x14ac:dyDescent="0.25">
      <c r="A276" s="247" t="s">
        <v>3270</v>
      </c>
      <c r="B276" s="218" t="s">
        <v>3271</v>
      </c>
      <c r="C276" s="234" t="s">
        <v>2796</v>
      </c>
      <c r="D276" s="219" t="s">
        <v>3272</v>
      </c>
      <c r="E276" s="215" t="s">
        <v>164</v>
      </c>
      <c r="F276" s="239" t="s">
        <v>19</v>
      </c>
      <c r="G276" s="238" t="s">
        <v>2720</v>
      </c>
      <c r="H276" s="220" t="s">
        <v>54</v>
      </c>
    </row>
    <row r="277" spans="1:8" s="79" customFormat="1" ht="12.75" x14ac:dyDescent="0.25">
      <c r="A277" s="247" t="s">
        <v>3273</v>
      </c>
      <c r="B277" s="218" t="s">
        <v>2911</v>
      </c>
      <c r="C277" s="234" t="s">
        <v>3274</v>
      </c>
      <c r="D277" s="219" t="s">
        <v>3275</v>
      </c>
      <c r="E277" s="215" t="s">
        <v>252</v>
      </c>
      <c r="F277" s="239" t="s">
        <v>19</v>
      </c>
      <c r="G277" s="238" t="s">
        <v>2720</v>
      </c>
      <c r="H277" s="220" t="s">
        <v>54</v>
      </c>
    </row>
    <row r="278" spans="1:8" s="79" customFormat="1" ht="12.75" x14ac:dyDescent="0.25">
      <c r="A278" s="245" t="s">
        <v>3276</v>
      </c>
      <c r="B278" s="218" t="s">
        <v>2771</v>
      </c>
      <c r="C278" s="234" t="s">
        <v>2719</v>
      </c>
      <c r="D278" s="219" t="s">
        <v>3277</v>
      </c>
      <c r="E278" s="215" t="s">
        <v>3269</v>
      </c>
      <c r="F278" s="239" t="s">
        <v>19</v>
      </c>
      <c r="G278" s="238" t="s">
        <v>2716</v>
      </c>
      <c r="H278" s="220" t="s">
        <v>54</v>
      </c>
    </row>
    <row r="279" spans="1:8" s="79" customFormat="1" ht="12.75" x14ac:dyDescent="0.25">
      <c r="A279" s="225" t="s">
        <v>3278</v>
      </c>
      <c r="B279" s="218" t="s">
        <v>3147</v>
      </c>
      <c r="C279" s="234" t="s">
        <v>2712</v>
      </c>
      <c r="D279" s="219" t="s">
        <v>2101</v>
      </c>
      <c r="E279" s="215" t="s">
        <v>43</v>
      </c>
      <c r="F279" s="239" t="s">
        <v>23</v>
      </c>
      <c r="G279" s="238" t="s">
        <v>2720</v>
      </c>
      <c r="H279" s="220" t="s">
        <v>54</v>
      </c>
    </row>
    <row r="280" spans="1:8" s="79" customFormat="1" ht="12.75" x14ac:dyDescent="0.25">
      <c r="A280" s="225" t="s">
        <v>3279</v>
      </c>
      <c r="B280" s="218" t="s">
        <v>2756</v>
      </c>
      <c r="C280" s="234" t="s">
        <v>2730</v>
      </c>
      <c r="D280" s="219" t="s">
        <v>3280</v>
      </c>
      <c r="E280" s="215" t="s">
        <v>164</v>
      </c>
      <c r="F280" s="239" t="s">
        <v>19</v>
      </c>
      <c r="G280" s="238" t="s">
        <v>2720</v>
      </c>
      <c r="H280" s="220" t="s">
        <v>54</v>
      </c>
    </row>
    <row r="281" spans="1:8" s="79" customFormat="1" ht="12.75" x14ac:dyDescent="0.25">
      <c r="A281" s="247" t="s">
        <v>3281</v>
      </c>
      <c r="B281" s="218" t="s">
        <v>3006</v>
      </c>
      <c r="C281" s="234" t="s">
        <v>2891</v>
      </c>
      <c r="D281" s="219">
        <v>132572221</v>
      </c>
      <c r="E281" s="215" t="s">
        <v>252</v>
      </c>
      <c r="F281" s="239" t="s">
        <v>19</v>
      </c>
      <c r="G281" s="238" t="s">
        <v>2720</v>
      </c>
      <c r="H281" s="220" t="s">
        <v>54</v>
      </c>
    </row>
    <row r="282" spans="1:8" s="79" customFormat="1" ht="12.75" x14ac:dyDescent="0.25">
      <c r="A282" s="225" t="s">
        <v>3282</v>
      </c>
      <c r="B282" s="218" t="s">
        <v>3093</v>
      </c>
      <c r="C282" s="234" t="s">
        <v>2719</v>
      </c>
      <c r="D282" s="219" t="s">
        <v>2105</v>
      </c>
      <c r="E282" s="215" t="s">
        <v>43</v>
      </c>
      <c r="F282" s="239" t="s">
        <v>23</v>
      </c>
      <c r="G282" s="238" t="s">
        <v>2716</v>
      </c>
      <c r="H282" s="220" t="s">
        <v>54</v>
      </c>
    </row>
    <row r="283" spans="1:8" s="79" customFormat="1" ht="12.75" x14ac:dyDescent="0.25">
      <c r="A283" s="245" t="s">
        <v>3283</v>
      </c>
      <c r="B283" s="218" t="s">
        <v>2948</v>
      </c>
      <c r="C283" s="234" t="s">
        <v>3284</v>
      </c>
      <c r="D283" s="219" t="s">
        <v>3285</v>
      </c>
      <c r="E283" s="215" t="s">
        <v>252</v>
      </c>
      <c r="F283" s="239" t="s">
        <v>19</v>
      </c>
      <c r="G283" s="238" t="s">
        <v>2716</v>
      </c>
      <c r="H283" s="220" t="s">
        <v>54</v>
      </c>
    </row>
    <row r="284" spans="1:8" s="79" customFormat="1" ht="12.75" x14ac:dyDescent="0.25">
      <c r="A284" s="222" t="s">
        <v>3286</v>
      </c>
      <c r="B284" s="218" t="s">
        <v>3287</v>
      </c>
      <c r="C284" s="234" t="s">
        <v>3288</v>
      </c>
      <c r="D284" s="219" t="s">
        <v>3289</v>
      </c>
      <c r="E284" s="215" t="s">
        <v>3290</v>
      </c>
      <c r="F284" s="239" t="s">
        <v>19</v>
      </c>
      <c r="G284" s="238" t="s">
        <v>2716</v>
      </c>
      <c r="H284" s="220" t="s">
        <v>54</v>
      </c>
    </row>
    <row r="285" spans="1:8" s="79" customFormat="1" ht="12.75" x14ac:dyDescent="0.25">
      <c r="A285" s="247" t="s">
        <v>3291</v>
      </c>
      <c r="B285" s="218" t="s">
        <v>2904</v>
      </c>
      <c r="C285" s="234" t="s">
        <v>2764</v>
      </c>
      <c r="D285" s="219">
        <v>129993502</v>
      </c>
      <c r="E285" s="215" t="s">
        <v>164</v>
      </c>
      <c r="F285" s="239" t="s">
        <v>19</v>
      </c>
      <c r="G285" s="238" t="s">
        <v>2720</v>
      </c>
      <c r="H285" s="220" t="s">
        <v>54</v>
      </c>
    </row>
    <row r="286" spans="1:8" s="79" customFormat="1" ht="12.75" x14ac:dyDescent="0.25">
      <c r="A286" s="222" t="s">
        <v>3292</v>
      </c>
      <c r="B286" s="218" t="s">
        <v>3293</v>
      </c>
      <c r="C286" s="234" t="s">
        <v>3294</v>
      </c>
      <c r="D286" s="219" t="s">
        <v>3295</v>
      </c>
      <c r="E286" s="215" t="s">
        <v>3296</v>
      </c>
      <c r="F286" s="239" t="s">
        <v>19</v>
      </c>
      <c r="G286" s="238" t="s">
        <v>2716</v>
      </c>
      <c r="H286" s="220" t="s">
        <v>54</v>
      </c>
    </row>
    <row r="287" spans="1:8" s="79" customFormat="1" ht="12.75" x14ac:dyDescent="0.25">
      <c r="A287" s="218" t="s">
        <v>2803</v>
      </c>
      <c r="B287" s="218" t="s">
        <v>2722</v>
      </c>
      <c r="C287" s="234" t="s">
        <v>3297</v>
      </c>
      <c r="D287" s="219" t="s">
        <v>3298</v>
      </c>
      <c r="E287" s="215" t="s">
        <v>136</v>
      </c>
      <c r="F287" s="239" t="s">
        <v>19</v>
      </c>
      <c r="G287" s="238" t="s">
        <v>2720</v>
      </c>
      <c r="H287" s="220" t="s">
        <v>54</v>
      </c>
    </row>
    <row r="288" spans="1:8" s="79" customFormat="1" ht="12.75" x14ac:dyDescent="0.25">
      <c r="A288" s="218" t="s">
        <v>3299</v>
      </c>
      <c r="B288" s="218" t="s">
        <v>2743</v>
      </c>
      <c r="C288" s="234" t="s">
        <v>3300</v>
      </c>
      <c r="D288" s="219" t="s">
        <v>3301</v>
      </c>
      <c r="E288" s="215" t="s">
        <v>136</v>
      </c>
      <c r="F288" s="239" t="s">
        <v>19</v>
      </c>
      <c r="G288" s="238" t="s">
        <v>2720</v>
      </c>
      <c r="H288" s="220" t="s">
        <v>54</v>
      </c>
    </row>
    <row r="289" spans="1:8" s="79" customFormat="1" ht="12.75" x14ac:dyDescent="0.25">
      <c r="A289" s="218" t="s">
        <v>3302</v>
      </c>
      <c r="B289" s="218" t="s">
        <v>3303</v>
      </c>
      <c r="C289" s="234" t="s">
        <v>2824</v>
      </c>
      <c r="D289" s="219" t="s">
        <v>3304</v>
      </c>
      <c r="E289" s="215" t="s">
        <v>164</v>
      </c>
      <c r="F289" s="239" t="s">
        <v>19</v>
      </c>
      <c r="G289" s="238" t="s">
        <v>2720</v>
      </c>
      <c r="H289" s="220" t="s">
        <v>54</v>
      </c>
    </row>
    <row r="290" spans="1:8" s="79" customFormat="1" ht="12.75" x14ac:dyDescent="0.25">
      <c r="A290" s="218" t="s">
        <v>3305</v>
      </c>
      <c r="B290" s="218" t="s">
        <v>3306</v>
      </c>
      <c r="C290" s="234" t="s">
        <v>2764</v>
      </c>
      <c r="D290" s="219" t="s">
        <v>3307</v>
      </c>
      <c r="E290" s="215" t="s">
        <v>136</v>
      </c>
      <c r="F290" s="239" t="s">
        <v>19</v>
      </c>
      <c r="G290" s="238" t="s">
        <v>2720</v>
      </c>
      <c r="H290" s="220" t="s">
        <v>54</v>
      </c>
    </row>
    <row r="291" spans="1:8" s="79" customFormat="1" ht="12.75" x14ac:dyDescent="0.25">
      <c r="A291" s="218" t="s">
        <v>3308</v>
      </c>
      <c r="B291" s="218" t="s">
        <v>2874</v>
      </c>
      <c r="C291" s="234" t="s">
        <v>2747</v>
      </c>
      <c r="D291" s="219" t="s">
        <v>3309</v>
      </c>
      <c r="E291" s="215" t="s">
        <v>136</v>
      </c>
      <c r="F291" s="239" t="s">
        <v>19</v>
      </c>
      <c r="G291" s="238" t="s">
        <v>2720</v>
      </c>
      <c r="H291" s="220" t="s">
        <v>54</v>
      </c>
    </row>
    <row r="292" spans="1:8" s="79" customFormat="1" ht="12.75" x14ac:dyDescent="0.25">
      <c r="A292" s="218" t="s">
        <v>3310</v>
      </c>
      <c r="B292" s="218" t="s">
        <v>2927</v>
      </c>
      <c r="C292" s="234" t="s">
        <v>2730</v>
      </c>
      <c r="D292" s="219" t="s">
        <v>3311</v>
      </c>
      <c r="E292" s="215" t="s">
        <v>136</v>
      </c>
      <c r="F292" s="239" t="s">
        <v>19</v>
      </c>
      <c r="G292" s="238" t="s">
        <v>2720</v>
      </c>
      <c r="H292" s="220" t="s">
        <v>54</v>
      </c>
    </row>
    <row r="293" spans="1:8" s="79" customFormat="1" ht="12.75" x14ac:dyDescent="0.25">
      <c r="A293" s="218" t="s">
        <v>3313</v>
      </c>
      <c r="B293" s="218" t="s">
        <v>3314</v>
      </c>
      <c r="C293" s="234" t="s">
        <v>2736</v>
      </c>
      <c r="D293" s="219" t="s">
        <v>2111</v>
      </c>
      <c r="E293" s="215" t="s">
        <v>43</v>
      </c>
      <c r="F293" s="239" t="s">
        <v>23</v>
      </c>
      <c r="G293" s="238" t="s">
        <v>2720</v>
      </c>
      <c r="H293" s="220" t="s">
        <v>54</v>
      </c>
    </row>
    <row r="294" spans="1:8" s="79" customFormat="1" ht="12.75" x14ac:dyDescent="0.25">
      <c r="A294" s="218" t="s">
        <v>3315</v>
      </c>
      <c r="B294" s="218" t="s">
        <v>3151</v>
      </c>
      <c r="C294" s="234" t="s">
        <v>2796</v>
      </c>
      <c r="D294" s="219" t="s">
        <v>3316</v>
      </c>
      <c r="E294" s="215" t="s">
        <v>252</v>
      </c>
      <c r="F294" s="239" t="s">
        <v>19</v>
      </c>
      <c r="G294" s="238" t="s">
        <v>2720</v>
      </c>
      <c r="H294" s="220" t="s">
        <v>54</v>
      </c>
    </row>
    <row r="295" spans="1:8" s="79" customFormat="1" ht="12.75" x14ac:dyDescent="0.25">
      <c r="A295" s="218" t="s">
        <v>3317</v>
      </c>
      <c r="B295" s="218" t="s">
        <v>2796</v>
      </c>
      <c r="C295" s="234" t="s">
        <v>2743</v>
      </c>
      <c r="D295" s="219" t="s">
        <v>3318</v>
      </c>
      <c r="E295" s="215" t="s">
        <v>136</v>
      </c>
      <c r="F295" s="239" t="s">
        <v>19</v>
      </c>
      <c r="G295" s="238" t="s">
        <v>2720</v>
      </c>
      <c r="H295" s="220" t="s">
        <v>54</v>
      </c>
    </row>
    <row r="296" spans="1:8" s="79" customFormat="1" ht="12.75" x14ac:dyDescent="0.25">
      <c r="A296" s="218" t="s">
        <v>3320</v>
      </c>
      <c r="B296" s="218" t="s">
        <v>3092</v>
      </c>
      <c r="C296" s="234" t="s">
        <v>2764</v>
      </c>
      <c r="D296" s="219" t="s">
        <v>2116</v>
      </c>
      <c r="E296" s="214" t="s">
        <v>3321</v>
      </c>
      <c r="F296" s="239" t="s">
        <v>19</v>
      </c>
      <c r="G296" s="238" t="s">
        <v>2720</v>
      </c>
      <c r="H296" s="220" t="s">
        <v>54</v>
      </c>
    </row>
    <row r="297" spans="1:8" s="79" customFormat="1" ht="12.75" x14ac:dyDescent="0.25">
      <c r="A297" s="218" t="s">
        <v>3322</v>
      </c>
      <c r="B297" s="218" t="s">
        <v>2712</v>
      </c>
      <c r="C297" s="234" t="s">
        <v>3043</v>
      </c>
      <c r="D297" s="219" t="s">
        <v>3323</v>
      </c>
      <c r="E297" s="215" t="s">
        <v>164</v>
      </c>
      <c r="F297" s="239" t="s">
        <v>19</v>
      </c>
      <c r="G297" s="238" t="s">
        <v>2720</v>
      </c>
      <c r="H297" s="220" t="s">
        <v>54</v>
      </c>
    </row>
    <row r="298" spans="1:8" s="79" customFormat="1" ht="12.75" x14ac:dyDescent="0.25">
      <c r="A298" s="218" t="s">
        <v>3324</v>
      </c>
      <c r="B298" s="218" t="s">
        <v>2719</v>
      </c>
      <c r="C298" s="234" t="s">
        <v>2730</v>
      </c>
      <c r="D298" s="219" t="s">
        <v>3325</v>
      </c>
      <c r="E298" s="215" t="s">
        <v>136</v>
      </c>
      <c r="F298" s="239" t="s">
        <v>19</v>
      </c>
      <c r="G298" s="238" t="s">
        <v>2720</v>
      </c>
      <c r="H298" s="220" t="s">
        <v>54</v>
      </c>
    </row>
    <row r="299" spans="1:8" s="79" customFormat="1" ht="12.75" x14ac:dyDescent="0.25">
      <c r="A299" s="218" t="s">
        <v>3326</v>
      </c>
      <c r="B299" s="218" t="s">
        <v>3327</v>
      </c>
      <c r="C299" s="234" t="s">
        <v>3013</v>
      </c>
      <c r="D299" s="219" t="s">
        <v>3328</v>
      </c>
      <c r="E299" s="215" t="s">
        <v>136</v>
      </c>
      <c r="F299" s="239" t="s">
        <v>19</v>
      </c>
      <c r="G299" s="238" t="s">
        <v>2720</v>
      </c>
      <c r="H299" s="220" t="s">
        <v>54</v>
      </c>
    </row>
    <row r="300" spans="1:8" s="79" customFormat="1" ht="12.75" x14ac:dyDescent="0.25">
      <c r="A300" s="218" t="s">
        <v>3329</v>
      </c>
      <c r="B300" s="218" t="s">
        <v>2827</v>
      </c>
      <c r="C300" s="234" t="s">
        <v>2813</v>
      </c>
      <c r="D300" s="219" t="s">
        <v>3330</v>
      </c>
      <c r="E300" s="215" t="s">
        <v>136</v>
      </c>
      <c r="F300" s="239" t="s">
        <v>19</v>
      </c>
      <c r="G300" s="238" t="s">
        <v>2720</v>
      </c>
      <c r="H300" s="220" t="s">
        <v>54</v>
      </c>
    </row>
    <row r="301" spans="1:8" s="79" customFormat="1" ht="12.75" x14ac:dyDescent="0.25">
      <c r="A301" s="218" t="s">
        <v>3331</v>
      </c>
      <c r="B301" s="218" t="s">
        <v>2712</v>
      </c>
      <c r="C301" s="234" t="s">
        <v>2836</v>
      </c>
      <c r="D301" s="219" t="s">
        <v>3332</v>
      </c>
      <c r="E301" s="215" t="s">
        <v>164</v>
      </c>
      <c r="F301" s="239" t="s">
        <v>19</v>
      </c>
      <c r="G301" s="238" t="s">
        <v>2720</v>
      </c>
      <c r="H301" s="220" t="s">
        <v>54</v>
      </c>
    </row>
    <row r="302" spans="1:8" s="79" customFormat="1" ht="12.75" x14ac:dyDescent="0.25">
      <c r="A302" s="218" t="s">
        <v>3333</v>
      </c>
      <c r="B302" s="218" t="s">
        <v>2736</v>
      </c>
      <c r="C302" s="234" t="s">
        <v>2796</v>
      </c>
      <c r="D302" s="219" t="s">
        <v>3334</v>
      </c>
      <c r="E302" s="215" t="s">
        <v>252</v>
      </c>
      <c r="F302" s="239" t="s">
        <v>19</v>
      </c>
      <c r="G302" s="238" t="s">
        <v>2720</v>
      </c>
      <c r="H302" s="220" t="s">
        <v>54</v>
      </c>
    </row>
    <row r="303" spans="1:8" s="79" customFormat="1" ht="12.75" x14ac:dyDescent="0.25">
      <c r="A303" s="218" t="s">
        <v>3335</v>
      </c>
      <c r="B303" s="218" t="s">
        <v>3336</v>
      </c>
      <c r="C303" s="234" t="s">
        <v>3337</v>
      </c>
      <c r="D303" s="219" t="s">
        <v>2125</v>
      </c>
      <c r="E303" s="215" t="s">
        <v>43</v>
      </c>
      <c r="F303" s="239" t="s">
        <v>23</v>
      </c>
      <c r="G303" s="238" t="s">
        <v>2720</v>
      </c>
      <c r="H303" s="220" t="s">
        <v>54</v>
      </c>
    </row>
    <row r="304" spans="1:8" s="79" customFormat="1" ht="12.75" x14ac:dyDescent="0.25">
      <c r="A304" s="218" t="s">
        <v>3338</v>
      </c>
      <c r="B304" s="218" t="s">
        <v>3339</v>
      </c>
      <c r="C304" s="234" t="s">
        <v>2712</v>
      </c>
      <c r="D304" s="219" t="s">
        <v>3340</v>
      </c>
      <c r="E304" s="215" t="s">
        <v>164</v>
      </c>
      <c r="F304" s="239" t="s">
        <v>19</v>
      </c>
      <c r="G304" s="238" t="s">
        <v>2720</v>
      </c>
      <c r="H304" s="220" t="s">
        <v>54</v>
      </c>
    </row>
    <row r="305" spans="1:8" s="79" customFormat="1" ht="12.75" x14ac:dyDescent="0.25">
      <c r="A305" s="218" t="s">
        <v>3341</v>
      </c>
      <c r="B305" s="218" t="s">
        <v>3342</v>
      </c>
      <c r="C305" s="234" t="s">
        <v>2735</v>
      </c>
      <c r="D305" s="219" t="s">
        <v>2132</v>
      </c>
      <c r="E305" s="215" t="s">
        <v>482</v>
      </c>
      <c r="F305" s="239" t="s">
        <v>23</v>
      </c>
      <c r="G305" s="238" t="s">
        <v>2716</v>
      </c>
      <c r="H305" s="220" t="s">
        <v>54</v>
      </c>
    </row>
    <row r="306" spans="1:8" s="79" customFormat="1" ht="12.75" x14ac:dyDescent="0.25">
      <c r="A306" s="218" t="s">
        <v>3343</v>
      </c>
      <c r="B306" s="218" t="s">
        <v>2735</v>
      </c>
      <c r="C306" s="234" t="s">
        <v>2736</v>
      </c>
      <c r="D306" s="219" t="s">
        <v>3344</v>
      </c>
      <c r="E306" s="215" t="s">
        <v>136</v>
      </c>
      <c r="F306" s="239" t="s">
        <v>19</v>
      </c>
      <c r="G306" s="238" t="s">
        <v>2720</v>
      </c>
      <c r="H306" s="220" t="s">
        <v>54</v>
      </c>
    </row>
    <row r="307" spans="1:8" s="79" customFormat="1" ht="12.75" x14ac:dyDescent="0.25">
      <c r="A307" s="218" t="s">
        <v>3345</v>
      </c>
      <c r="B307" s="218" t="s">
        <v>2904</v>
      </c>
      <c r="C307" s="234" t="s">
        <v>2736</v>
      </c>
      <c r="D307" s="219" t="s">
        <v>2137</v>
      </c>
      <c r="E307" s="215" t="s">
        <v>43</v>
      </c>
      <c r="F307" s="239" t="s">
        <v>23</v>
      </c>
      <c r="G307" s="238" t="s">
        <v>2720</v>
      </c>
      <c r="H307" s="220" t="s">
        <v>54</v>
      </c>
    </row>
    <row r="308" spans="1:8" s="79" customFormat="1" ht="12.75" x14ac:dyDescent="0.25">
      <c r="A308" s="218" t="s">
        <v>3346</v>
      </c>
      <c r="B308" s="218" t="s">
        <v>2748</v>
      </c>
      <c r="C308" s="234" t="s">
        <v>2810</v>
      </c>
      <c r="D308" s="219" t="s">
        <v>3347</v>
      </c>
      <c r="E308" s="215" t="s">
        <v>136</v>
      </c>
      <c r="F308" s="239" t="s">
        <v>19</v>
      </c>
      <c r="G308" s="238" t="s">
        <v>2720</v>
      </c>
      <c r="H308" s="220" t="s">
        <v>54</v>
      </c>
    </row>
    <row r="309" spans="1:8" s="79" customFormat="1" ht="12.75" x14ac:dyDescent="0.25">
      <c r="A309" s="218" t="s">
        <v>3264</v>
      </c>
      <c r="B309" s="218" t="s">
        <v>2847</v>
      </c>
      <c r="C309" s="234" t="s">
        <v>2891</v>
      </c>
      <c r="D309" s="219" t="s">
        <v>3348</v>
      </c>
      <c r="E309" s="215" t="s">
        <v>136</v>
      </c>
      <c r="F309" s="239" t="s">
        <v>19</v>
      </c>
      <c r="G309" s="238" t="s">
        <v>2720</v>
      </c>
      <c r="H309" s="220" t="s">
        <v>54</v>
      </c>
    </row>
    <row r="310" spans="1:8" s="79" customFormat="1" ht="12.75" x14ac:dyDescent="0.25">
      <c r="A310" s="218" t="s">
        <v>3350</v>
      </c>
      <c r="B310" s="218" t="s">
        <v>2874</v>
      </c>
      <c r="C310" s="234" t="s">
        <v>2742</v>
      </c>
      <c r="D310" s="219" t="s">
        <v>3351</v>
      </c>
      <c r="E310" s="215" t="s">
        <v>404</v>
      </c>
      <c r="F310" s="239" t="s">
        <v>23</v>
      </c>
      <c r="G310" s="238" t="s">
        <v>2716</v>
      </c>
      <c r="H310" s="220" t="s">
        <v>54</v>
      </c>
    </row>
    <row r="311" spans="1:8" s="79" customFormat="1" ht="12.75" x14ac:dyDescent="0.25">
      <c r="A311" s="218" t="s">
        <v>3352</v>
      </c>
      <c r="B311" s="218" t="s">
        <v>2722</v>
      </c>
      <c r="C311" s="234" t="s">
        <v>2736</v>
      </c>
      <c r="D311" s="219" t="s">
        <v>3353</v>
      </c>
      <c r="E311" s="215" t="s">
        <v>252</v>
      </c>
      <c r="F311" s="239" t="s">
        <v>19</v>
      </c>
      <c r="G311" s="238" t="s">
        <v>2720</v>
      </c>
      <c r="H311" s="220" t="s">
        <v>54</v>
      </c>
    </row>
    <row r="312" spans="1:8" s="79" customFormat="1" ht="12.75" x14ac:dyDescent="0.25">
      <c r="A312" s="218" t="s">
        <v>3354</v>
      </c>
      <c r="B312" s="218" t="s">
        <v>3355</v>
      </c>
      <c r="C312" s="234" t="s">
        <v>2832</v>
      </c>
      <c r="D312" s="219" t="s">
        <v>3356</v>
      </c>
      <c r="E312" s="215" t="s">
        <v>164</v>
      </c>
      <c r="F312" s="239" t="s">
        <v>19</v>
      </c>
      <c r="G312" s="238" t="s">
        <v>2754</v>
      </c>
      <c r="H312" s="220" t="s">
        <v>54</v>
      </c>
    </row>
    <row r="313" spans="1:8" s="79" customFormat="1" ht="12.75" x14ac:dyDescent="0.25">
      <c r="A313" s="218" t="s">
        <v>3357</v>
      </c>
      <c r="B313" s="218" t="s">
        <v>3358</v>
      </c>
      <c r="C313" s="234" t="s">
        <v>2743</v>
      </c>
      <c r="D313" s="219" t="s">
        <v>3359</v>
      </c>
      <c r="E313" s="215" t="s">
        <v>252</v>
      </c>
      <c r="F313" s="239" t="s">
        <v>19</v>
      </c>
      <c r="G313" s="238" t="s">
        <v>2720</v>
      </c>
      <c r="H313" s="220" t="s">
        <v>54</v>
      </c>
    </row>
    <row r="314" spans="1:8" s="79" customFormat="1" ht="12.75" x14ac:dyDescent="0.25">
      <c r="A314" s="218" t="s">
        <v>3361</v>
      </c>
      <c r="B314" s="218" t="s">
        <v>2764</v>
      </c>
      <c r="C314" s="234" t="s">
        <v>2723</v>
      </c>
      <c r="D314" s="219" t="s">
        <v>2142</v>
      </c>
      <c r="E314" s="215" t="s">
        <v>453</v>
      </c>
      <c r="F314" s="239" t="s">
        <v>23</v>
      </c>
      <c r="G314" s="238" t="s">
        <v>2720</v>
      </c>
      <c r="H314" s="220" t="s">
        <v>54</v>
      </c>
    </row>
    <row r="315" spans="1:8" s="79" customFormat="1" ht="12.75" x14ac:dyDescent="0.25">
      <c r="A315" s="218" t="s">
        <v>3362</v>
      </c>
      <c r="B315" s="218" t="s">
        <v>2904</v>
      </c>
      <c r="C315" s="234" t="s">
        <v>2758</v>
      </c>
      <c r="D315" s="219" t="s">
        <v>3363</v>
      </c>
      <c r="E315" s="215" t="s">
        <v>136</v>
      </c>
      <c r="F315" s="239" t="s">
        <v>19</v>
      </c>
      <c r="G315" s="238" t="s">
        <v>2720</v>
      </c>
      <c r="H315" s="220" t="s">
        <v>54</v>
      </c>
    </row>
    <row r="316" spans="1:8" s="79" customFormat="1" ht="12.75" x14ac:dyDescent="0.25">
      <c r="A316" s="218" t="s">
        <v>3364</v>
      </c>
      <c r="B316" s="218" t="s">
        <v>2894</v>
      </c>
      <c r="C316" s="234" t="s">
        <v>2743</v>
      </c>
      <c r="D316" s="219" t="s">
        <v>2148</v>
      </c>
      <c r="E316" s="215" t="s">
        <v>2334</v>
      </c>
      <c r="F316" s="239" t="s">
        <v>23</v>
      </c>
      <c r="G316" s="238" t="s">
        <v>2720</v>
      </c>
      <c r="H316" s="220" t="s">
        <v>54</v>
      </c>
    </row>
    <row r="317" spans="1:8" s="79" customFormat="1" ht="12.75" x14ac:dyDescent="0.25">
      <c r="A317" s="218" t="s">
        <v>3365</v>
      </c>
      <c r="B317" s="218" t="s">
        <v>2732</v>
      </c>
      <c r="C317" s="234" t="s">
        <v>2736</v>
      </c>
      <c r="D317" s="219" t="s">
        <v>3366</v>
      </c>
      <c r="E317" s="215" t="s">
        <v>136</v>
      </c>
      <c r="F317" s="239" t="s">
        <v>19</v>
      </c>
      <c r="G317" s="238" t="s">
        <v>2720</v>
      </c>
      <c r="H317" s="220" t="s">
        <v>54</v>
      </c>
    </row>
    <row r="318" spans="1:8" s="79" customFormat="1" ht="12.75" x14ac:dyDescent="0.25">
      <c r="A318" s="218" t="s">
        <v>3367</v>
      </c>
      <c r="B318" s="218" t="s">
        <v>3368</v>
      </c>
      <c r="C318" s="234" t="s">
        <v>2743</v>
      </c>
      <c r="D318" s="219" t="s">
        <v>3369</v>
      </c>
      <c r="E318" s="215" t="s">
        <v>136</v>
      </c>
      <c r="F318" s="239" t="s">
        <v>19</v>
      </c>
      <c r="G318" s="238" t="s">
        <v>2720</v>
      </c>
      <c r="H318" s="220" t="s">
        <v>54</v>
      </c>
    </row>
    <row r="319" spans="1:8" s="79" customFormat="1" ht="12.75" x14ac:dyDescent="0.25">
      <c r="A319" s="218" t="s">
        <v>3370</v>
      </c>
      <c r="B319" s="218" t="s">
        <v>2914</v>
      </c>
      <c r="C319" s="234" t="s">
        <v>2764</v>
      </c>
      <c r="D319" s="219" t="s">
        <v>2155</v>
      </c>
      <c r="E319" s="231" t="s">
        <v>733</v>
      </c>
      <c r="F319" s="239" t="s">
        <v>23</v>
      </c>
      <c r="G319" s="238" t="s">
        <v>2720</v>
      </c>
      <c r="H319" s="220" t="s">
        <v>54</v>
      </c>
    </row>
    <row r="320" spans="1:8" s="79" customFormat="1" ht="12.75" x14ac:dyDescent="0.25">
      <c r="A320" s="218" t="s">
        <v>3371</v>
      </c>
      <c r="B320" s="218" t="s">
        <v>3157</v>
      </c>
      <c r="C320" s="234" t="s">
        <v>2771</v>
      </c>
      <c r="D320" s="219" t="s">
        <v>2162</v>
      </c>
      <c r="E320" s="215" t="s">
        <v>43</v>
      </c>
      <c r="F320" s="239" t="s">
        <v>23</v>
      </c>
      <c r="G320" s="238" t="s">
        <v>2720</v>
      </c>
      <c r="H320" s="220" t="s">
        <v>54</v>
      </c>
    </row>
    <row r="321" spans="1:8" s="79" customFormat="1" ht="12.75" x14ac:dyDescent="0.25">
      <c r="A321" s="218" t="s">
        <v>3372</v>
      </c>
      <c r="B321" s="218" t="s">
        <v>3069</v>
      </c>
      <c r="C321" s="234" t="s">
        <v>3373</v>
      </c>
      <c r="D321" s="219" t="s">
        <v>2170</v>
      </c>
      <c r="E321" s="215" t="s">
        <v>125</v>
      </c>
      <c r="F321" s="239" t="s">
        <v>23</v>
      </c>
      <c r="G321" s="238" t="s">
        <v>2720</v>
      </c>
      <c r="H321" s="220" t="s">
        <v>54</v>
      </c>
    </row>
    <row r="322" spans="1:8" s="79" customFormat="1" ht="12.75" x14ac:dyDescent="0.25">
      <c r="A322" s="218" t="s">
        <v>3374</v>
      </c>
      <c r="B322" s="218" t="s">
        <v>2833</v>
      </c>
      <c r="C322" s="234" t="s">
        <v>2730</v>
      </c>
      <c r="D322" s="219" t="s">
        <v>2176</v>
      </c>
      <c r="E322" s="215" t="s">
        <v>43</v>
      </c>
      <c r="F322" s="239" t="s">
        <v>23</v>
      </c>
      <c r="G322" s="238" t="s">
        <v>2716</v>
      </c>
      <c r="H322" s="220" t="s">
        <v>54</v>
      </c>
    </row>
    <row r="323" spans="1:8" s="79" customFormat="1" ht="12.75" x14ac:dyDescent="0.25">
      <c r="A323" s="218" t="s">
        <v>3375</v>
      </c>
      <c r="B323" s="218" t="s">
        <v>2722</v>
      </c>
      <c r="C323" s="234"/>
      <c r="D323" s="219" t="s">
        <v>3376</v>
      </c>
      <c r="E323" s="215" t="s">
        <v>2979</v>
      </c>
      <c r="F323" s="239" t="s">
        <v>23</v>
      </c>
      <c r="G323" s="238" t="s">
        <v>2754</v>
      </c>
      <c r="H323" s="220" t="s">
        <v>54</v>
      </c>
    </row>
    <row r="324" spans="1:8" s="79" customFormat="1" ht="12.75" x14ac:dyDescent="0.25">
      <c r="A324" s="218" t="s">
        <v>3378</v>
      </c>
      <c r="B324" s="218" t="s">
        <v>2766</v>
      </c>
      <c r="C324" s="234" t="s">
        <v>2726</v>
      </c>
      <c r="D324" s="219" t="s">
        <v>3379</v>
      </c>
      <c r="E324" s="215" t="s">
        <v>404</v>
      </c>
      <c r="F324" s="239" t="s">
        <v>23</v>
      </c>
      <c r="G324" s="238" t="s">
        <v>2716</v>
      </c>
      <c r="H324" s="220" t="s">
        <v>54</v>
      </c>
    </row>
    <row r="325" spans="1:8" s="79" customFormat="1" ht="12.75" x14ac:dyDescent="0.25">
      <c r="A325" s="218" t="s">
        <v>3380</v>
      </c>
      <c r="B325" s="218" t="s">
        <v>2890</v>
      </c>
      <c r="C325" s="234" t="s">
        <v>2832</v>
      </c>
      <c r="D325" s="219" t="s">
        <v>2181</v>
      </c>
      <c r="E325" s="215" t="s">
        <v>43</v>
      </c>
      <c r="F325" s="239" t="s">
        <v>23</v>
      </c>
      <c r="G325" s="238" t="s">
        <v>2716</v>
      </c>
      <c r="H325" s="220" t="s">
        <v>54</v>
      </c>
    </row>
    <row r="326" spans="1:8" s="79" customFormat="1" ht="12.75" x14ac:dyDescent="0.25">
      <c r="A326" s="218" t="s">
        <v>3260</v>
      </c>
      <c r="B326" s="218" t="s">
        <v>3140</v>
      </c>
      <c r="C326" s="234" t="s">
        <v>2735</v>
      </c>
      <c r="D326" s="219" t="s">
        <v>1760</v>
      </c>
      <c r="E326" s="215" t="s">
        <v>43</v>
      </c>
      <c r="F326" s="239" t="s">
        <v>23</v>
      </c>
      <c r="G326" s="238" t="s">
        <v>2716</v>
      </c>
      <c r="H326" s="220" t="s">
        <v>54</v>
      </c>
    </row>
    <row r="327" spans="1:8" s="79" customFormat="1" ht="12.75" x14ac:dyDescent="0.25">
      <c r="A327" s="218" t="s">
        <v>3381</v>
      </c>
      <c r="B327" s="218" t="s">
        <v>2736</v>
      </c>
      <c r="C327" s="234" t="s">
        <v>3342</v>
      </c>
      <c r="D327" s="219" t="s">
        <v>2095</v>
      </c>
      <c r="E327" s="215" t="s">
        <v>224</v>
      </c>
      <c r="F327" s="239" t="s">
        <v>23</v>
      </c>
      <c r="G327" s="238" t="s">
        <v>2720</v>
      </c>
      <c r="H327" s="220" t="s">
        <v>54</v>
      </c>
    </row>
    <row r="328" spans="1:8" s="79" customFormat="1" ht="12.75" x14ac:dyDescent="0.25">
      <c r="A328" s="218" t="s">
        <v>3382</v>
      </c>
      <c r="B328" s="218" t="s">
        <v>2991</v>
      </c>
      <c r="C328" s="234" t="s">
        <v>2796</v>
      </c>
      <c r="D328" s="219" t="s">
        <v>3383</v>
      </c>
      <c r="E328" s="215" t="s">
        <v>2775</v>
      </c>
      <c r="F328" s="239" t="s">
        <v>23</v>
      </c>
      <c r="G328" s="238" t="s">
        <v>2716</v>
      </c>
      <c r="H328" s="220" t="s">
        <v>54</v>
      </c>
    </row>
    <row r="329" spans="1:8" s="79" customFormat="1" ht="12.75" x14ac:dyDescent="0.25">
      <c r="A329" s="218" t="s">
        <v>3384</v>
      </c>
      <c r="B329" s="218" t="s">
        <v>2827</v>
      </c>
      <c r="C329" s="234" t="s">
        <v>2764</v>
      </c>
      <c r="D329" s="219" t="s">
        <v>2185</v>
      </c>
      <c r="E329" s="215" t="s">
        <v>43</v>
      </c>
      <c r="F329" s="239" t="s">
        <v>23</v>
      </c>
      <c r="G329" s="238" t="s">
        <v>2716</v>
      </c>
      <c r="H329" s="220" t="s">
        <v>54</v>
      </c>
    </row>
    <row r="330" spans="1:8" s="79" customFormat="1" ht="12.75" x14ac:dyDescent="0.25">
      <c r="A330" s="218" t="s">
        <v>3385</v>
      </c>
      <c r="B330" s="218" t="s">
        <v>2732</v>
      </c>
      <c r="C330" s="234" t="s">
        <v>2735</v>
      </c>
      <c r="D330" s="219" t="s">
        <v>3386</v>
      </c>
      <c r="E330" s="215" t="s">
        <v>136</v>
      </c>
      <c r="F330" s="239" t="s">
        <v>19</v>
      </c>
      <c r="G330" s="238" t="s">
        <v>2720</v>
      </c>
      <c r="H330" s="220" t="s">
        <v>54</v>
      </c>
    </row>
    <row r="331" spans="1:8" s="79" customFormat="1" ht="12.75" x14ac:dyDescent="0.25">
      <c r="A331" s="218" t="s">
        <v>3387</v>
      </c>
      <c r="B331" s="218" t="s">
        <v>3388</v>
      </c>
      <c r="C331" s="234" t="s">
        <v>3389</v>
      </c>
      <c r="D331" s="219" t="s">
        <v>3390</v>
      </c>
      <c r="E331" s="215" t="s">
        <v>136</v>
      </c>
      <c r="F331" s="239" t="s">
        <v>19</v>
      </c>
      <c r="G331" s="238" t="s">
        <v>2716</v>
      </c>
      <c r="H331" s="220" t="s">
        <v>54</v>
      </c>
    </row>
    <row r="332" spans="1:8" s="79" customFormat="1" ht="12.75" x14ac:dyDescent="0.25">
      <c r="A332" s="218" t="s">
        <v>3391</v>
      </c>
      <c r="B332" s="218" t="s">
        <v>2736</v>
      </c>
      <c r="C332" s="234" t="s">
        <v>2735</v>
      </c>
      <c r="D332" s="219" t="s">
        <v>3392</v>
      </c>
      <c r="E332" s="215" t="s">
        <v>136</v>
      </c>
      <c r="F332" s="239" t="s">
        <v>19</v>
      </c>
      <c r="G332" s="238" t="s">
        <v>2720</v>
      </c>
      <c r="H332" s="220" t="s">
        <v>54</v>
      </c>
    </row>
    <row r="333" spans="1:8" s="79" customFormat="1" ht="12.75" x14ac:dyDescent="0.25">
      <c r="A333" s="218" t="s">
        <v>3393</v>
      </c>
      <c r="B333" s="218" t="s">
        <v>3394</v>
      </c>
      <c r="C333" s="234" t="s">
        <v>2931</v>
      </c>
      <c r="D333" s="219" t="s">
        <v>2196</v>
      </c>
      <c r="E333" s="215" t="s">
        <v>1242</v>
      </c>
      <c r="F333" s="239" t="s">
        <v>23</v>
      </c>
      <c r="G333" s="238" t="s">
        <v>2720</v>
      </c>
      <c r="H333" s="220" t="s">
        <v>54</v>
      </c>
    </row>
    <row r="334" spans="1:8" s="79" customFormat="1" ht="12.75" x14ac:dyDescent="0.25">
      <c r="A334" s="218" t="s">
        <v>3395</v>
      </c>
      <c r="B334" s="218" t="s">
        <v>2747</v>
      </c>
      <c r="C334" s="234" t="s">
        <v>2712</v>
      </c>
      <c r="D334" s="219" t="s">
        <v>2201</v>
      </c>
      <c r="E334" s="215" t="s">
        <v>224</v>
      </c>
      <c r="F334" s="239" t="s">
        <v>23</v>
      </c>
      <c r="G334" s="238" t="s">
        <v>2720</v>
      </c>
      <c r="H334" s="220" t="s">
        <v>54</v>
      </c>
    </row>
    <row r="335" spans="1:8" s="79" customFormat="1" ht="12.75" x14ac:dyDescent="0.25">
      <c r="A335" s="218" t="s">
        <v>3396</v>
      </c>
      <c r="B335" s="218" t="s">
        <v>2983</v>
      </c>
      <c r="C335" s="234" t="s">
        <v>2764</v>
      </c>
      <c r="D335" s="219" t="s">
        <v>3397</v>
      </c>
      <c r="E335" s="215" t="s">
        <v>136</v>
      </c>
      <c r="F335" s="239" t="s">
        <v>19</v>
      </c>
      <c r="G335" s="238" t="s">
        <v>2720</v>
      </c>
      <c r="H335" s="220" t="s">
        <v>54</v>
      </c>
    </row>
    <row r="336" spans="1:8" s="79" customFormat="1" ht="12.75" x14ac:dyDescent="0.25">
      <c r="A336" s="218" t="s">
        <v>3398</v>
      </c>
      <c r="B336" s="218" t="s">
        <v>2923</v>
      </c>
      <c r="C336" s="234" t="s">
        <v>2764</v>
      </c>
      <c r="D336" s="219" t="s">
        <v>2205</v>
      </c>
      <c r="E336" s="215" t="s">
        <v>43</v>
      </c>
      <c r="F336" s="239" t="s">
        <v>23</v>
      </c>
      <c r="G336" s="238" t="s">
        <v>2716</v>
      </c>
      <c r="H336" s="220" t="s">
        <v>54</v>
      </c>
    </row>
    <row r="337" spans="1:8" s="79" customFormat="1" ht="12.75" x14ac:dyDescent="0.25">
      <c r="A337" s="218" t="s">
        <v>3399</v>
      </c>
      <c r="B337" s="218" t="s">
        <v>2788</v>
      </c>
      <c r="C337" s="234" t="s">
        <v>2764</v>
      </c>
      <c r="D337" s="219" t="s">
        <v>3400</v>
      </c>
      <c r="E337" s="215" t="s">
        <v>136</v>
      </c>
      <c r="F337" s="239" t="s">
        <v>19</v>
      </c>
      <c r="G337" s="238" t="s">
        <v>2716</v>
      </c>
      <c r="H337" s="220" t="s">
        <v>54</v>
      </c>
    </row>
    <row r="338" spans="1:8" s="79" customFormat="1" ht="12.75" x14ac:dyDescent="0.25">
      <c r="A338" s="218" t="s">
        <v>3401</v>
      </c>
      <c r="B338" s="218" t="s">
        <v>3402</v>
      </c>
      <c r="C338" s="234" t="s">
        <v>3403</v>
      </c>
      <c r="D338" s="219" t="s">
        <v>3404</v>
      </c>
      <c r="E338" s="215" t="s">
        <v>3405</v>
      </c>
      <c r="F338" s="239" t="s">
        <v>19</v>
      </c>
      <c r="G338" s="238" t="s">
        <v>2720</v>
      </c>
      <c r="H338" s="220" t="s">
        <v>54</v>
      </c>
    </row>
    <row r="339" spans="1:8" s="79" customFormat="1" ht="12.75" x14ac:dyDescent="0.25">
      <c r="A339" s="218" t="s">
        <v>3406</v>
      </c>
      <c r="B339" s="218" t="s">
        <v>3407</v>
      </c>
      <c r="C339" s="234" t="s">
        <v>2726</v>
      </c>
      <c r="D339" s="219" t="s">
        <v>3408</v>
      </c>
      <c r="E339" s="215" t="s">
        <v>136</v>
      </c>
      <c r="F339" s="239" t="s">
        <v>19</v>
      </c>
      <c r="G339" s="238" t="s">
        <v>2720</v>
      </c>
      <c r="H339" s="220" t="s">
        <v>54</v>
      </c>
    </row>
    <row r="340" spans="1:8" s="79" customFormat="1" ht="12.75" x14ac:dyDescent="0.25">
      <c r="A340" s="218" t="s">
        <v>3409</v>
      </c>
      <c r="B340" s="218" t="s">
        <v>3410</v>
      </c>
      <c r="C340" s="234" t="s">
        <v>2796</v>
      </c>
      <c r="D340" s="219" t="s">
        <v>2214</v>
      </c>
      <c r="E340" s="215" t="s">
        <v>482</v>
      </c>
      <c r="F340" s="239" t="s">
        <v>23</v>
      </c>
      <c r="G340" s="238" t="s">
        <v>2720</v>
      </c>
      <c r="H340" s="220" t="s">
        <v>54</v>
      </c>
    </row>
    <row r="341" spans="1:8" s="79" customFormat="1" ht="12.75" x14ac:dyDescent="0.25">
      <c r="A341" s="218" t="s">
        <v>3411</v>
      </c>
      <c r="B341" s="218" t="s">
        <v>2766</v>
      </c>
      <c r="C341" s="234" t="s">
        <v>2726</v>
      </c>
      <c r="D341" s="219" t="s">
        <v>2232</v>
      </c>
      <c r="E341" s="215" t="s">
        <v>43</v>
      </c>
      <c r="F341" s="239" t="s">
        <v>23</v>
      </c>
      <c r="G341" s="238" t="s">
        <v>2716</v>
      </c>
      <c r="H341" s="220" t="s">
        <v>54</v>
      </c>
    </row>
    <row r="342" spans="1:8" s="79" customFormat="1" ht="12.75" x14ac:dyDescent="0.25">
      <c r="A342" s="218" t="s">
        <v>3412</v>
      </c>
      <c r="B342" s="218" t="s">
        <v>3413</v>
      </c>
      <c r="C342" s="234" t="s">
        <v>2773</v>
      </c>
      <c r="D342" s="219" t="s">
        <v>2236</v>
      </c>
      <c r="E342" s="215" t="s">
        <v>43</v>
      </c>
      <c r="F342" s="239" t="s">
        <v>23</v>
      </c>
      <c r="G342" s="238" t="s">
        <v>2716</v>
      </c>
      <c r="H342" s="220" t="s">
        <v>54</v>
      </c>
    </row>
    <row r="343" spans="1:8" s="79" customFormat="1" ht="12.75" x14ac:dyDescent="0.25">
      <c r="A343" s="218" t="s">
        <v>3414</v>
      </c>
      <c r="B343" s="218" t="s">
        <v>2735</v>
      </c>
      <c r="C343" s="234" t="s">
        <v>2829</v>
      </c>
      <c r="D343" s="219" t="s">
        <v>2244</v>
      </c>
      <c r="E343" s="231" t="s">
        <v>733</v>
      </c>
      <c r="F343" s="239" t="s">
        <v>23</v>
      </c>
      <c r="G343" s="238" t="s">
        <v>2720</v>
      </c>
      <c r="H343" s="220" t="s">
        <v>54</v>
      </c>
    </row>
    <row r="344" spans="1:8" s="79" customFormat="1" ht="12.75" x14ac:dyDescent="0.25">
      <c r="A344" s="218" t="s">
        <v>3415</v>
      </c>
      <c r="B344" s="218" t="s">
        <v>2785</v>
      </c>
      <c r="C344" s="234" t="s">
        <v>2712</v>
      </c>
      <c r="D344" s="219" t="s">
        <v>2253</v>
      </c>
      <c r="E344" s="215" t="s">
        <v>43</v>
      </c>
      <c r="F344" s="239" t="s">
        <v>23</v>
      </c>
      <c r="G344" s="238" t="s">
        <v>2716</v>
      </c>
      <c r="H344" s="220" t="s">
        <v>54</v>
      </c>
    </row>
    <row r="345" spans="1:8" s="79" customFormat="1" ht="12.75" x14ac:dyDescent="0.25">
      <c r="A345" s="218" t="s">
        <v>3416</v>
      </c>
      <c r="B345" s="218" t="s">
        <v>3417</v>
      </c>
      <c r="C345" s="234" t="s">
        <v>2712</v>
      </c>
      <c r="D345" s="219" t="s">
        <v>2258</v>
      </c>
      <c r="E345" s="215" t="s">
        <v>43</v>
      </c>
      <c r="F345" s="239" t="s">
        <v>23</v>
      </c>
      <c r="G345" s="238" t="s">
        <v>2716</v>
      </c>
      <c r="H345" s="220" t="s">
        <v>54</v>
      </c>
    </row>
    <row r="346" spans="1:8" s="79" customFormat="1" ht="12.75" x14ac:dyDescent="0.25">
      <c r="A346" s="218" t="s">
        <v>3418</v>
      </c>
      <c r="B346" s="218" t="s">
        <v>2764</v>
      </c>
      <c r="C346" s="234" t="s">
        <v>2748</v>
      </c>
      <c r="D346" s="219" t="s">
        <v>2264</v>
      </c>
      <c r="E346" s="215" t="s">
        <v>43</v>
      </c>
      <c r="F346" s="239" t="s">
        <v>23</v>
      </c>
      <c r="G346" s="238" t="s">
        <v>2716</v>
      </c>
      <c r="H346" s="220" t="s">
        <v>54</v>
      </c>
    </row>
    <row r="347" spans="1:8" s="79" customFormat="1" ht="12.75" x14ac:dyDescent="0.25">
      <c r="A347" s="218" t="s">
        <v>3250</v>
      </c>
      <c r="B347" s="218" t="s">
        <v>2804</v>
      </c>
      <c r="C347" s="234" t="s">
        <v>2730</v>
      </c>
      <c r="D347" s="219" t="s">
        <v>3419</v>
      </c>
      <c r="E347" s="215" t="s">
        <v>2976</v>
      </c>
      <c r="F347" s="239" t="s">
        <v>19</v>
      </c>
      <c r="G347" s="238" t="s">
        <v>2716</v>
      </c>
      <c r="H347" s="220" t="s">
        <v>54</v>
      </c>
    </row>
    <row r="348" spans="1:8" s="79" customFormat="1" ht="12.75" x14ac:dyDescent="0.25">
      <c r="A348" s="218" t="s">
        <v>3420</v>
      </c>
      <c r="B348" s="218" t="s">
        <v>2732</v>
      </c>
      <c r="C348" s="234" t="s">
        <v>3013</v>
      </c>
      <c r="D348" s="219" t="s">
        <v>3421</v>
      </c>
      <c r="E348" s="215" t="s">
        <v>136</v>
      </c>
      <c r="F348" s="239" t="s">
        <v>19</v>
      </c>
      <c r="G348" s="238" t="s">
        <v>2720</v>
      </c>
      <c r="H348" s="220" t="s">
        <v>54</v>
      </c>
    </row>
    <row r="349" spans="1:8" s="79" customFormat="1" ht="12.75" x14ac:dyDescent="0.25">
      <c r="A349" s="218" t="s">
        <v>3422</v>
      </c>
      <c r="B349" s="218" t="s">
        <v>2796</v>
      </c>
      <c r="C349" s="234" t="s">
        <v>2736</v>
      </c>
      <c r="D349" s="219" t="s">
        <v>2268</v>
      </c>
      <c r="E349" s="215" t="s">
        <v>733</v>
      </c>
      <c r="F349" s="239" t="s">
        <v>23</v>
      </c>
      <c r="G349" s="238" t="s">
        <v>2754</v>
      </c>
      <c r="H349" s="220" t="s">
        <v>54</v>
      </c>
    </row>
    <row r="350" spans="1:8" s="79" customFormat="1" ht="12.75" x14ac:dyDescent="0.25">
      <c r="A350" s="218" t="s">
        <v>3423</v>
      </c>
      <c r="B350" s="218" t="s">
        <v>3424</v>
      </c>
      <c r="C350" s="234" t="s">
        <v>2928</v>
      </c>
      <c r="D350" s="219" t="s">
        <v>3425</v>
      </c>
      <c r="E350" s="215" t="s">
        <v>164</v>
      </c>
      <c r="F350" s="239" t="s">
        <v>19</v>
      </c>
      <c r="G350" s="238" t="s">
        <v>2720</v>
      </c>
      <c r="H350" s="220" t="s">
        <v>54</v>
      </c>
    </row>
    <row r="351" spans="1:8" s="79" customFormat="1" ht="12.75" x14ac:dyDescent="0.25">
      <c r="A351" s="218" t="s">
        <v>3426</v>
      </c>
      <c r="B351" s="218" t="s">
        <v>3427</v>
      </c>
      <c r="C351" s="234" t="s">
        <v>3342</v>
      </c>
      <c r="D351" s="219" t="s">
        <v>3428</v>
      </c>
      <c r="E351" s="215" t="s">
        <v>136</v>
      </c>
      <c r="F351" s="239" t="s">
        <v>19</v>
      </c>
      <c r="G351" s="238" t="s">
        <v>2720</v>
      </c>
      <c r="H351" s="220" t="s">
        <v>54</v>
      </c>
    </row>
    <row r="352" spans="1:8" s="79" customFormat="1" ht="12.75" x14ac:dyDescent="0.25">
      <c r="A352" s="218" t="s">
        <v>3429</v>
      </c>
      <c r="B352" s="218" t="s">
        <v>3430</v>
      </c>
      <c r="C352" s="234" t="s">
        <v>3431</v>
      </c>
      <c r="D352" s="219" t="s">
        <v>3432</v>
      </c>
      <c r="E352" s="215" t="s">
        <v>164</v>
      </c>
      <c r="F352" s="239" t="s">
        <v>19</v>
      </c>
      <c r="G352" s="238" t="s">
        <v>2720</v>
      </c>
      <c r="H352" s="220" t="s">
        <v>54</v>
      </c>
    </row>
    <row r="353" spans="1:8" s="79" customFormat="1" ht="12.75" x14ac:dyDescent="0.25">
      <c r="A353" s="218" t="s">
        <v>3433</v>
      </c>
      <c r="B353" s="218" t="s">
        <v>3434</v>
      </c>
      <c r="C353" s="234" t="s">
        <v>2730</v>
      </c>
      <c r="D353" s="219" t="s">
        <v>3435</v>
      </c>
      <c r="E353" s="215" t="s">
        <v>136</v>
      </c>
      <c r="F353" s="239" t="s">
        <v>19</v>
      </c>
      <c r="G353" s="238" t="s">
        <v>2716</v>
      </c>
      <c r="H353" s="220" t="s">
        <v>54</v>
      </c>
    </row>
    <row r="354" spans="1:8" s="79" customFormat="1" ht="12.75" x14ac:dyDescent="0.25">
      <c r="A354" s="218" t="s">
        <v>3436</v>
      </c>
      <c r="B354" s="218" t="s">
        <v>2732</v>
      </c>
      <c r="C354" s="234" t="s">
        <v>2736</v>
      </c>
      <c r="D354" s="219" t="s">
        <v>3437</v>
      </c>
      <c r="E354" s="215" t="s">
        <v>164</v>
      </c>
      <c r="F354" s="239" t="s">
        <v>19</v>
      </c>
      <c r="G354" s="238" t="s">
        <v>2720</v>
      </c>
      <c r="H354" s="220" t="s">
        <v>54</v>
      </c>
    </row>
    <row r="355" spans="1:8" s="79" customFormat="1" ht="12.75" x14ac:dyDescent="0.25">
      <c r="A355" s="218" t="s">
        <v>3438</v>
      </c>
      <c r="B355" s="218" t="s">
        <v>3043</v>
      </c>
      <c r="C355" s="234" t="s">
        <v>3439</v>
      </c>
      <c r="D355" s="219" t="s">
        <v>3440</v>
      </c>
      <c r="E355" s="215" t="s">
        <v>136</v>
      </c>
      <c r="F355" s="239" t="s">
        <v>19</v>
      </c>
      <c r="G355" s="238" t="s">
        <v>2720</v>
      </c>
      <c r="H355" s="220" t="s">
        <v>54</v>
      </c>
    </row>
    <row r="356" spans="1:8" s="79" customFormat="1" ht="12.75" x14ac:dyDescent="0.25">
      <c r="A356" s="218" t="s">
        <v>3441</v>
      </c>
      <c r="B356" s="218" t="s">
        <v>2855</v>
      </c>
      <c r="C356" s="234" t="s">
        <v>2719</v>
      </c>
      <c r="D356" s="219" t="s">
        <v>3442</v>
      </c>
      <c r="E356" s="215" t="s">
        <v>136</v>
      </c>
      <c r="F356" s="239" t="s">
        <v>19</v>
      </c>
      <c r="G356" s="238" t="s">
        <v>2716</v>
      </c>
      <c r="H356" s="220" t="s">
        <v>54</v>
      </c>
    </row>
    <row r="357" spans="1:8" s="79" customFormat="1" ht="12.75" x14ac:dyDescent="0.25">
      <c r="A357" s="218" t="s">
        <v>3443</v>
      </c>
      <c r="B357" s="218" t="s">
        <v>3069</v>
      </c>
      <c r="C357" s="234" t="s">
        <v>3444</v>
      </c>
      <c r="D357" s="219" t="s">
        <v>3445</v>
      </c>
      <c r="E357" s="215" t="s">
        <v>164</v>
      </c>
      <c r="F357" s="239" t="s">
        <v>19</v>
      </c>
      <c r="G357" s="238" t="s">
        <v>2716</v>
      </c>
      <c r="H357" s="220" t="s">
        <v>54</v>
      </c>
    </row>
    <row r="358" spans="1:8" s="79" customFormat="1" ht="12.75" x14ac:dyDescent="0.25">
      <c r="A358" s="218" t="s">
        <v>3447</v>
      </c>
      <c r="B358" s="218" t="s">
        <v>3093</v>
      </c>
      <c r="C358" s="234" t="s">
        <v>3086</v>
      </c>
      <c r="D358" s="219" t="s">
        <v>3448</v>
      </c>
      <c r="E358" s="215" t="s">
        <v>136</v>
      </c>
      <c r="F358" s="239" t="s">
        <v>19</v>
      </c>
      <c r="G358" s="238" t="s">
        <v>2716</v>
      </c>
      <c r="H358" s="220" t="s">
        <v>54</v>
      </c>
    </row>
    <row r="359" spans="1:8" s="79" customFormat="1" ht="12.75" x14ac:dyDescent="0.25">
      <c r="A359" s="218" t="s">
        <v>3449</v>
      </c>
      <c r="B359" s="218" t="s">
        <v>3450</v>
      </c>
      <c r="C359" s="234"/>
      <c r="D359" s="229" t="s">
        <v>21</v>
      </c>
      <c r="E359" s="215" t="s">
        <v>3451</v>
      </c>
      <c r="F359" s="239" t="s">
        <v>19</v>
      </c>
      <c r="G359" s="238" t="s">
        <v>2754</v>
      </c>
      <c r="H359" s="220" t="s">
        <v>54</v>
      </c>
    </row>
    <row r="360" spans="1:8" s="79" customFormat="1" ht="25.5" x14ac:dyDescent="0.25">
      <c r="A360" s="218" t="s">
        <v>3452</v>
      </c>
      <c r="B360" s="218" t="s">
        <v>3453</v>
      </c>
      <c r="C360" s="234" t="s">
        <v>2782</v>
      </c>
      <c r="D360" s="219" t="s">
        <v>3454</v>
      </c>
      <c r="E360" s="215" t="s">
        <v>136</v>
      </c>
      <c r="F360" s="239" t="s">
        <v>19</v>
      </c>
      <c r="G360" s="238" t="s">
        <v>2716</v>
      </c>
      <c r="H360" s="220" t="s">
        <v>54</v>
      </c>
    </row>
    <row r="361" spans="1:8" s="79" customFormat="1" ht="12.75" x14ac:dyDescent="0.25">
      <c r="A361" s="218" t="s">
        <v>2744</v>
      </c>
      <c r="B361" s="218" t="s">
        <v>3455</v>
      </c>
      <c r="C361" s="234" t="s">
        <v>2735</v>
      </c>
      <c r="D361" s="219" t="s">
        <v>2273</v>
      </c>
      <c r="E361" s="215" t="s">
        <v>337</v>
      </c>
      <c r="F361" s="239" t="s">
        <v>23</v>
      </c>
      <c r="G361" s="238" t="s">
        <v>2720</v>
      </c>
      <c r="H361" s="220" t="s">
        <v>54</v>
      </c>
    </row>
    <row r="362" spans="1:8" s="79" customFormat="1" ht="12.75" x14ac:dyDescent="0.25">
      <c r="A362" s="218" t="s">
        <v>3456</v>
      </c>
      <c r="B362" s="218" t="s">
        <v>2764</v>
      </c>
      <c r="C362" s="234" t="s">
        <v>3457</v>
      </c>
      <c r="D362" s="219" t="s">
        <v>3458</v>
      </c>
      <c r="E362" s="215" t="s">
        <v>409</v>
      </c>
      <c r="F362" s="239" t="s">
        <v>19</v>
      </c>
      <c r="G362" s="238" t="s">
        <v>2754</v>
      </c>
      <c r="H362" s="220" t="s">
        <v>54</v>
      </c>
    </row>
    <row r="363" spans="1:8" s="79" customFormat="1" ht="12.75" x14ac:dyDescent="0.25">
      <c r="A363" s="218" t="s">
        <v>3459</v>
      </c>
      <c r="B363" s="218" t="s">
        <v>2782</v>
      </c>
      <c r="C363" s="234" t="s">
        <v>2735</v>
      </c>
      <c r="D363" s="219" t="s">
        <v>2277</v>
      </c>
      <c r="E363" s="215" t="s">
        <v>43</v>
      </c>
      <c r="F363" s="239" t="s">
        <v>23</v>
      </c>
      <c r="G363" s="238" t="s">
        <v>2716</v>
      </c>
      <c r="H363" s="220" t="s">
        <v>54</v>
      </c>
    </row>
    <row r="364" spans="1:8" s="79" customFormat="1" ht="12.75" x14ac:dyDescent="0.25">
      <c r="A364" s="218" t="s">
        <v>3460</v>
      </c>
      <c r="B364" s="218" t="s">
        <v>2752</v>
      </c>
      <c r="C364" s="234" t="s">
        <v>2736</v>
      </c>
      <c r="D364" s="219" t="s">
        <v>3461</v>
      </c>
      <c r="E364" s="215" t="s">
        <v>164</v>
      </c>
      <c r="F364" s="239" t="s">
        <v>19</v>
      </c>
      <c r="G364" s="238" t="s">
        <v>2716</v>
      </c>
      <c r="H364" s="220" t="s">
        <v>54</v>
      </c>
    </row>
    <row r="365" spans="1:8" s="79" customFormat="1" ht="12.75" x14ac:dyDescent="0.25">
      <c r="A365" s="218" t="s">
        <v>3462</v>
      </c>
      <c r="B365" s="218" t="s">
        <v>2752</v>
      </c>
      <c r="C365" s="234" t="s">
        <v>2719</v>
      </c>
      <c r="D365" s="219" t="s">
        <v>2283</v>
      </c>
      <c r="E365" s="215" t="s">
        <v>43</v>
      </c>
      <c r="F365" s="239" t="s">
        <v>23</v>
      </c>
      <c r="G365" s="238" t="s">
        <v>2716</v>
      </c>
      <c r="H365" s="220" t="s">
        <v>54</v>
      </c>
    </row>
    <row r="366" spans="1:8" s="79" customFormat="1" ht="12.75" x14ac:dyDescent="0.25">
      <c r="A366" s="218" t="s">
        <v>2993</v>
      </c>
      <c r="B366" s="218" t="s">
        <v>2891</v>
      </c>
      <c r="C366" s="234" t="s">
        <v>3463</v>
      </c>
      <c r="D366" s="219" t="s">
        <v>2287</v>
      </c>
      <c r="E366" s="215" t="s">
        <v>224</v>
      </c>
      <c r="F366" s="239" t="s">
        <v>23</v>
      </c>
      <c r="G366" s="238" t="s">
        <v>2716</v>
      </c>
      <c r="H366" s="220" t="s">
        <v>54</v>
      </c>
    </row>
    <row r="367" spans="1:8" s="79" customFormat="1" ht="12.75" x14ac:dyDescent="0.25">
      <c r="A367" s="218" t="s">
        <v>3464</v>
      </c>
      <c r="B367" s="218" t="s">
        <v>2732</v>
      </c>
      <c r="C367" s="234" t="s">
        <v>2735</v>
      </c>
      <c r="D367" s="219" t="s">
        <v>3465</v>
      </c>
      <c r="E367" s="215" t="s">
        <v>136</v>
      </c>
      <c r="F367" s="239" t="s">
        <v>19</v>
      </c>
      <c r="G367" s="238" t="s">
        <v>2716</v>
      </c>
      <c r="H367" s="220" t="s">
        <v>54</v>
      </c>
    </row>
    <row r="368" spans="1:8" s="79" customFormat="1" ht="12.75" x14ac:dyDescent="0.25">
      <c r="A368" s="218" t="s">
        <v>3238</v>
      </c>
      <c r="B368" s="218" t="s">
        <v>2743</v>
      </c>
      <c r="C368" s="234" t="s">
        <v>2748</v>
      </c>
      <c r="D368" s="219" t="s">
        <v>3466</v>
      </c>
      <c r="E368" s="215" t="s">
        <v>409</v>
      </c>
      <c r="F368" s="239" t="s">
        <v>19</v>
      </c>
      <c r="G368" s="238" t="s">
        <v>2716</v>
      </c>
      <c r="H368" s="220" t="s">
        <v>54</v>
      </c>
    </row>
    <row r="369" spans="1:8" s="79" customFormat="1" ht="12.75" x14ac:dyDescent="0.25">
      <c r="A369" s="218" t="s">
        <v>3467</v>
      </c>
      <c r="B369" s="218" t="s">
        <v>2911</v>
      </c>
      <c r="C369" s="234" t="s">
        <v>2735</v>
      </c>
      <c r="D369" s="219" t="s">
        <v>3468</v>
      </c>
      <c r="E369" s="215" t="s">
        <v>136</v>
      </c>
      <c r="F369" s="239" t="s">
        <v>19</v>
      </c>
      <c r="G369" s="238" t="s">
        <v>2716</v>
      </c>
      <c r="H369" s="220" t="s">
        <v>54</v>
      </c>
    </row>
    <row r="370" spans="1:8" s="79" customFormat="1" ht="12.75" x14ac:dyDescent="0.25">
      <c r="A370" s="218" t="s">
        <v>3469</v>
      </c>
      <c r="B370" s="218" t="s">
        <v>2983</v>
      </c>
      <c r="C370" s="234" t="s">
        <v>2712</v>
      </c>
      <c r="D370" s="219" t="s">
        <v>3470</v>
      </c>
      <c r="E370" s="215" t="s">
        <v>136</v>
      </c>
      <c r="F370" s="239" t="s">
        <v>19</v>
      </c>
      <c r="G370" s="238" t="s">
        <v>2720</v>
      </c>
      <c r="H370" s="220" t="s">
        <v>54</v>
      </c>
    </row>
    <row r="371" spans="1:8" s="79" customFormat="1" ht="12.75" x14ac:dyDescent="0.25">
      <c r="A371" s="218" t="s">
        <v>3471</v>
      </c>
      <c r="B371" s="218" t="s">
        <v>2911</v>
      </c>
      <c r="C371" s="234" t="s">
        <v>2928</v>
      </c>
      <c r="D371" s="219" t="s">
        <v>3472</v>
      </c>
      <c r="E371" s="215" t="s">
        <v>136</v>
      </c>
      <c r="F371" s="239" t="s">
        <v>19</v>
      </c>
      <c r="G371" s="238" t="s">
        <v>2720</v>
      </c>
      <c r="H371" s="220" t="s">
        <v>54</v>
      </c>
    </row>
    <row r="372" spans="1:8" s="79" customFormat="1" ht="12.75" x14ac:dyDescent="0.25">
      <c r="A372" s="218" t="s">
        <v>3473</v>
      </c>
      <c r="B372" s="218" t="s">
        <v>2904</v>
      </c>
      <c r="C372" s="234" t="s">
        <v>2796</v>
      </c>
      <c r="D372" s="219" t="s">
        <v>3474</v>
      </c>
      <c r="E372" s="215" t="s">
        <v>136</v>
      </c>
      <c r="F372" s="239" t="s">
        <v>19</v>
      </c>
      <c r="G372" s="238" t="s">
        <v>2716</v>
      </c>
      <c r="H372" s="220" t="s">
        <v>54</v>
      </c>
    </row>
    <row r="373" spans="1:8" s="79" customFormat="1" ht="12.75" x14ac:dyDescent="0.25">
      <c r="A373" s="218" t="s">
        <v>3476</v>
      </c>
      <c r="B373" s="218" t="s">
        <v>2804</v>
      </c>
      <c r="C373" s="234" t="s">
        <v>2748</v>
      </c>
      <c r="D373" s="219" t="s">
        <v>3477</v>
      </c>
      <c r="E373" s="215" t="s">
        <v>164</v>
      </c>
      <c r="F373" s="239" t="s">
        <v>19</v>
      </c>
      <c r="G373" s="238" t="s">
        <v>2720</v>
      </c>
      <c r="H373" s="220" t="s">
        <v>54</v>
      </c>
    </row>
    <row r="374" spans="1:8" s="79" customFormat="1" ht="12.75" x14ac:dyDescent="0.25">
      <c r="A374" s="218" t="s">
        <v>3478</v>
      </c>
      <c r="B374" s="218" t="s">
        <v>2904</v>
      </c>
      <c r="C374" s="234" t="s">
        <v>2735</v>
      </c>
      <c r="D374" s="219" t="s">
        <v>1914</v>
      </c>
      <c r="E374" s="231" t="s">
        <v>733</v>
      </c>
      <c r="F374" s="239" t="s">
        <v>23</v>
      </c>
      <c r="G374" s="238" t="s">
        <v>2720</v>
      </c>
      <c r="H374" s="220" t="s">
        <v>54</v>
      </c>
    </row>
    <row r="375" spans="1:8" s="79" customFormat="1" ht="12.75" x14ac:dyDescent="0.25">
      <c r="A375" s="218" t="s">
        <v>3479</v>
      </c>
      <c r="B375" s="218" t="s">
        <v>2735</v>
      </c>
      <c r="C375" s="234" t="s">
        <v>2743</v>
      </c>
      <c r="D375" s="219" t="s">
        <v>3480</v>
      </c>
      <c r="E375" s="215" t="s">
        <v>136</v>
      </c>
      <c r="F375" s="239" t="s">
        <v>19</v>
      </c>
      <c r="G375" s="238" t="s">
        <v>2754</v>
      </c>
      <c r="H375" s="220" t="s">
        <v>54</v>
      </c>
    </row>
    <row r="376" spans="1:8" s="79" customFormat="1" ht="12.75" x14ac:dyDescent="0.25">
      <c r="A376" s="218" t="s">
        <v>3481</v>
      </c>
      <c r="B376" s="218" t="s">
        <v>2764</v>
      </c>
      <c r="C376" s="234" t="s">
        <v>2748</v>
      </c>
      <c r="D376" s="219" t="s">
        <v>2292</v>
      </c>
      <c r="E376" s="215" t="s">
        <v>482</v>
      </c>
      <c r="F376" s="239" t="s">
        <v>23</v>
      </c>
      <c r="G376" s="238" t="s">
        <v>2716</v>
      </c>
      <c r="H376" s="220" t="s">
        <v>54</v>
      </c>
    </row>
    <row r="377" spans="1:8" s="79" customFormat="1" ht="12.75" x14ac:dyDescent="0.25">
      <c r="A377" s="218" t="s">
        <v>3482</v>
      </c>
      <c r="B377" s="218" t="s">
        <v>2736</v>
      </c>
      <c r="C377" s="234" t="s">
        <v>2730</v>
      </c>
      <c r="D377" s="219" t="s">
        <v>2296</v>
      </c>
      <c r="E377" s="215" t="s">
        <v>264</v>
      </c>
      <c r="F377" s="239" t="s">
        <v>23</v>
      </c>
      <c r="G377" s="238" t="s">
        <v>2716</v>
      </c>
      <c r="H377" s="220" t="s">
        <v>54</v>
      </c>
    </row>
    <row r="378" spans="1:8" s="79" customFormat="1" ht="12.75" x14ac:dyDescent="0.25">
      <c r="A378" s="218" t="s">
        <v>3483</v>
      </c>
      <c r="B378" s="218" t="s">
        <v>2782</v>
      </c>
      <c r="C378" s="234" t="s">
        <v>2723</v>
      </c>
      <c r="D378" s="219" t="s">
        <v>2399</v>
      </c>
      <c r="E378" s="215" t="s">
        <v>43</v>
      </c>
      <c r="F378" s="239" t="s">
        <v>23</v>
      </c>
      <c r="G378" s="238" t="s">
        <v>2716</v>
      </c>
      <c r="H378" s="220" t="s">
        <v>54</v>
      </c>
    </row>
    <row r="379" spans="1:8" s="79" customFormat="1" ht="12.75" x14ac:dyDescent="0.25">
      <c r="A379" s="218" t="s">
        <v>3484</v>
      </c>
      <c r="B379" s="218" t="s">
        <v>2890</v>
      </c>
      <c r="C379" s="234" t="s">
        <v>3485</v>
      </c>
      <c r="D379" s="219" t="s">
        <v>2300</v>
      </c>
      <c r="E379" s="215" t="s">
        <v>224</v>
      </c>
      <c r="F379" s="239" t="s">
        <v>23</v>
      </c>
      <c r="G379" s="238" t="s">
        <v>2716</v>
      </c>
      <c r="H379" s="220" t="s">
        <v>54</v>
      </c>
    </row>
    <row r="380" spans="1:8" s="79" customFormat="1" ht="12.75" x14ac:dyDescent="0.25">
      <c r="A380" s="218" t="s">
        <v>3486</v>
      </c>
      <c r="B380" s="218" t="s">
        <v>2785</v>
      </c>
      <c r="C380" s="234" t="s">
        <v>2748</v>
      </c>
      <c r="D380" s="219" t="s">
        <v>2304</v>
      </c>
      <c r="E380" s="215" t="s">
        <v>733</v>
      </c>
      <c r="F380" s="239" t="s">
        <v>23</v>
      </c>
      <c r="G380" s="238" t="s">
        <v>2754</v>
      </c>
      <c r="H380" s="220" t="s">
        <v>54</v>
      </c>
    </row>
    <row r="381" spans="1:8" s="79" customFormat="1" ht="12.75" x14ac:dyDescent="0.25">
      <c r="A381" s="218" t="s">
        <v>2949</v>
      </c>
      <c r="B381" s="218" t="s">
        <v>3107</v>
      </c>
      <c r="C381" s="234" t="s">
        <v>2736</v>
      </c>
      <c r="D381" s="219" t="s">
        <v>2308</v>
      </c>
      <c r="E381" s="215" t="s">
        <v>43</v>
      </c>
      <c r="F381" s="239" t="s">
        <v>23</v>
      </c>
      <c r="G381" s="238" t="s">
        <v>2720</v>
      </c>
      <c r="H381" s="220" t="s">
        <v>54</v>
      </c>
    </row>
    <row r="382" spans="1:8" s="79" customFormat="1" ht="12.75" x14ac:dyDescent="0.25">
      <c r="A382" s="218" t="s">
        <v>3487</v>
      </c>
      <c r="B382" s="218" t="s">
        <v>2752</v>
      </c>
      <c r="C382" s="234" t="s">
        <v>2747</v>
      </c>
      <c r="D382" s="219" t="s">
        <v>2312</v>
      </c>
      <c r="E382" s="215" t="s">
        <v>43</v>
      </c>
      <c r="F382" s="239" t="s">
        <v>23</v>
      </c>
      <c r="G382" s="238" t="s">
        <v>2716</v>
      </c>
      <c r="H382" s="220" t="s">
        <v>54</v>
      </c>
    </row>
    <row r="383" spans="1:8" s="79" customFormat="1" ht="12.75" x14ac:dyDescent="0.25">
      <c r="A383" s="218" t="s">
        <v>3488</v>
      </c>
      <c r="B383" s="218" t="s">
        <v>2712</v>
      </c>
      <c r="C383" s="234" t="s">
        <v>2735</v>
      </c>
      <c r="D383" s="219" t="s">
        <v>2316</v>
      </c>
      <c r="E383" s="215" t="s">
        <v>125</v>
      </c>
      <c r="F383" s="239" t="s">
        <v>19</v>
      </c>
      <c r="G383" s="238" t="s">
        <v>2754</v>
      </c>
      <c r="H383" s="220" t="s">
        <v>54</v>
      </c>
    </row>
    <row r="384" spans="1:8" s="79" customFormat="1" ht="12.75" x14ac:dyDescent="0.25">
      <c r="A384" s="218" t="s">
        <v>3489</v>
      </c>
      <c r="B384" s="218" t="s">
        <v>3086</v>
      </c>
      <c r="C384" s="234" t="s">
        <v>3069</v>
      </c>
      <c r="D384" s="219" t="s">
        <v>2320</v>
      </c>
      <c r="E384" s="215" t="s">
        <v>337</v>
      </c>
      <c r="F384" s="239" t="s">
        <v>23</v>
      </c>
      <c r="G384" s="238" t="s">
        <v>2716</v>
      </c>
      <c r="H384" s="220" t="s">
        <v>54</v>
      </c>
    </row>
    <row r="385" spans="1:8" s="111" customFormat="1" ht="12.75" x14ac:dyDescent="0.25">
      <c r="A385" s="218" t="s">
        <v>3490</v>
      </c>
      <c r="B385" s="218" t="s">
        <v>3303</v>
      </c>
      <c r="C385" s="234" t="s">
        <v>2764</v>
      </c>
      <c r="D385" s="219" t="s">
        <v>2324</v>
      </c>
      <c r="E385" s="215" t="s">
        <v>224</v>
      </c>
      <c r="F385" s="239" t="s">
        <v>23</v>
      </c>
      <c r="G385" s="238" t="s">
        <v>2716</v>
      </c>
      <c r="H385" s="220" t="s">
        <v>54</v>
      </c>
    </row>
    <row r="386" spans="1:8" s="111" customFormat="1" ht="12.75" x14ac:dyDescent="0.25">
      <c r="A386" s="230" t="s">
        <v>3491</v>
      </c>
      <c r="B386" s="230" t="s">
        <v>2833</v>
      </c>
      <c r="C386" s="237" t="s">
        <v>3110</v>
      </c>
      <c r="D386" s="246" t="s">
        <v>2328</v>
      </c>
      <c r="E386" s="233" t="s">
        <v>224</v>
      </c>
      <c r="F386" s="242" t="s">
        <v>23</v>
      </c>
      <c r="G386" s="241" t="s">
        <v>2716</v>
      </c>
      <c r="H386" s="220" t="s">
        <v>54</v>
      </c>
    </row>
    <row r="387" spans="1:8" s="79" customFormat="1" ht="12.75" x14ac:dyDescent="0.25">
      <c r="A387" s="218" t="s">
        <v>3492</v>
      </c>
      <c r="B387" s="218" t="s">
        <v>2764</v>
      </c>
      <c r="C387" s="234" t="s">
        <v>2736</v>
      </c>
      <c r="D387" s="219" t="s">
        <v>2333</v>
      </c>
      <c r="E387" s="215" t="s">
        <v>2334</v>
      </c>
      <c r="F387" s="239" t="s">
        <v>23</v>
      </c>
      <c r="G387" s="238" t="s">
        <v>2754</v>
      </c>
      <c r="H387" s="220" t="s">
        <v>54</v>
      </c>
    </row>
    <row r="388" spans="1:8" s="79" customFormat="1" ht="12.75" x14ac:dyDescent="0.25">
      <c r="A388" s="218" t="s">
        <v>3493</v>
      </c>
      <c r="B388" s="218" t="s">
        <v>2743</v>
      </c>
      <c r="C388" s="234" t="s">
        <v>3494</v>
      </c>
      <c r="D388" s="219" t="s">
        <v>2347</v>
      </c>
      <c r="E388" s="215" t="s">
        <v>224</v>
      </c>
      <c r="F388" s="239" t="s">
        <v>23</v>
      </c>
      <c r="G388" s="238" t="s">
        <v>2716</v>
      </c>
      <c r="H388" s="220" t="s">
        <v>54</v>
      </c>
    </row>
    <row r="389" spans="1:8" s="79" customFormat="1" ht="12.75" x14ac:dyDescent="0.25">
      <c r="A389" s="218" t="s">
        <v>3495</v>
      </c>
      <c r="B389" s="218" t="s">
        <v>2799</v>
      </c>
      <c r="C389" s="234" t="s">
        <v>2730</v>
      </c>
      <c r="D389" s="219" t="s">
        <v>3496</v>
      </c>
      <c r="E389" s="214" t="s">
        <v>136</v>
      </c>
      <c r="F389" s="239" t="s">
        <v>19</v>
      </c>
      <c r="G389" s="238" t="s">
        <v>2716</v>
      </c>
      <c r="H389" s="220" t="s">
        <v>54</v>
      </c>
    </row>
    <row r="390" spans="1:8" s="79" customFormat="1" ht="12.75" x14ac:dyDescent="0.25">
      <c r="A390" s="218" t="s">
        <v>3497</v>
      </c>
      <c r="B390" s="218" t="s">
        <v>2904</v>
      </c>
      <c r="C390" s="234" t="s">
        <v>2723</v>
      </c>
      <c r="D390" s="219" t="s">
        <v>2352</v>
      </c>
      <c r="E390" s="215" t="s">
        <v>43</v>
      </c>
      <c r="F390" s="239" t="s">
        <v>23</v>
      </c>
      <c r="G390" s="238" t="s">
        <v>2720</v>
      </c>
      <c r="H390" s="220" t="s">
        <v>54</v>
      </c>
    </row>
    <row r="391" spans="1:8" s="79" customFormat="1" ht="12.75" x14ac:dyDescent="0.25">
      <c r="A391" s="218" t="s">
        <v>3498</v>
      </c>
      <c r="B391" s="218" t="s">
        <v>2904</v>
      </c>
      <c r="C391" s="234" t="s">
        <v>3499</v>
      </c>
      <c r="D391" s="219" t="s">
        <v>3500</v>
      </c>
      <c r="E391" s="215" t="s">
        <v>164</v>
      </c>
      <c r="F391" s="239" t="s">
        <v>19</v>
      </c>
      <c r="G391" s="238" t="s">
        <v>2720</v>
      </c>
      <c r="H391" s="220" t="s">
        <v>54</v>
      </c>
    </row>
    <row r="392" spans="1:8" s="79" customFormat="1" ht="12.75" x14ac:dyDescent="0.25">
      <c r="A392" s="223" t="s">
        <v>3501</v>
      </c>
      <c r="B392" s="224" t="s">
        <v>2796</v>
      </c>
      <c r="C392" s="235" t="s">
        <v>3502</v>
      </c>
      <c r="D392" s="105" t="s">
        <v>2369</v>
      </c>
      <c r="E392" s="231" t="s">
        <v>2775</v>
      </c>
      <c r="F392" s="239" t="s">
        <v>23</v>
      </c>
      <c r="G392" s="239" t="s">
        <v>2716</v>
      </c>
      <c r="H392" s="220" t="s">
        <v>54</v>
      </c>
    </row>
    <row r="393" spans="1:8" s="79" customFormat="1" ht="12.75" x14ac:dyDescent="0.25">
      <c r="A393" s="218" t="s">
        <v>3503</v>
      </c>
      <c r="B393" s="218" t="s">
        <v>3504</v>
      </c>
      <c r="C393" s="234" t="s">
        <v>2813</v>
      </c>
      <c r="D393" s="219" t="s">
        <v>2385</v>
      </c>
      <c r="E393" s="215" t="s">
        <v>337</v>
      </c>
      <c r="F393" s="239" t="s">
        <v>23</v>
      </c>
      <c r="G393" s="238" t="s">
        <v>2720</v>
      </c>
      <c r="H393" s="220" t="s">
        <v>54</v>
      </c>
    </row>
    <row r="394" spans="1:8" s="79" customFormat="1" ht="12.75" x14ac:dyDescent="0.25">
      <c r="A394" s="218" t="s">
        <v>3505</v>
      </c>
      <c r="B394" s="218" t="s">
        <v>2764</v>
      </c>
      <c r="C394" s="234" t="s">
        <v>2796</v>
      </c>
      <c r="D394" s="219" t="s">
        <v>2389</v>
      </c>
      <c r="E394" s="215" t="s">
        <v>2775</v>
      </c>
      <c r="F394" s="239" t="s">
        <v>23</v>
      </c>
      <c r="G394" s="238" t="s">
        <v>2716</v>
      </c>
      <c r="H394" s="220" t="s">
        <v>54</v>
      </c>
    </row>
    <row r="395" spans="1:8" s="79" customFormat="1" ht="12.75" x14ac:dyDescent="0.25">
      <c r="A395" s="218" t="s">
        <v>3506</v>
      </c>
      <c r="B395" s="218" t="s">
        <v>2730</v>
      </c>
      <c r="C395" s="234" t="s">
        <v>2764</v>
      </c>
      <c r="D395" s="219" t="s">
        <v>2395</v>
      </c>
      <c r="E395" s="215" t="s">
        <v>224</v>
      </c>
      <c r="F395" s="239" t="s">
        <v>23</v>
      </c>
      <c r="G395" s="238" t="s">
        <v>2720</v>
      </c>
      <c r="H395" s="220" t="s">
        <v>54</v>
      </c>
    </row>
    <row r="396" spans="1:8" s="79" customFormat="1" ht="12.75" x14ac:dyDescent="0.25">
      <c r="A396" s="218" t="s">
        <v>3507</v>
      </c>
      <c r="B396" s="218" t="s">
        <v>2733</v>
      </c>
      <c r="C396" s="234" t="s">
        <v>2712</v>
      </c>
      <c r="D396" s="219" t="s">
        <v>2405</v>
      </c>
      <c r="E396" s="215" t="s">
        <v>337</v>
      </c>
      <c r="F396" s="239" t="s">
        <v>23</v>
      </c>
      <c r="G396" s="238" t="s">
        <v>2720</v>
      </c>
      <c r="H396" s="220" t="s">
        <v>54</v>
      </c>
    </row>
    <row r="397" spans="1:8" s="79" customFormat="1" ht="12.75" x14ac:dyDescent="0.25">
      <c r="A397" s="218" t="s">
        <v>3508</v>
      </c>
      <c r="B397" s="218" t="s">
        <v>3038</v>
      </c>
      <c r="C397" s="234" t="s">
        <v>2764</v>
      </c>
      <c r="D397" s="219" t="s">
        <v>2417</v>
      </c>
      <c r="E397" s="215" t="s">
        <v>43</v>
      </c>
      <c r="F397" s="239" t="s">
        <v>23</v>
      </c>
      <c r="G397" s="238" t="s">
        <v>2720</v>
      </c>
      <c r="H397" s="220" t="s">
        <v>54</v>
      </c>
    </row>
    <row r="398" spans="1:8" s="79" customFormat="1" ht="12.75" x14ac:dyDescent="0.25">
      <c r="A398" s="218" t="s">
        <v>3509</v>
      </c>
      <c r="B398" s="218" t="s">
        <v>2818</v>
      </c>
      <c r="C398" s="234" t="s">
        <v>2923</v>
      </c>
      <c r="D398" s="219" t="s">
        <v>2429</v>
      </c>
      <c r="E398" s="215" t="s">
        <v>43</v>
      </c>
      <c r="F398" s="239" t="s">
        <v>23</v>
      </c>
      <c r="G398" s="238" t="s">
        <v>2716</v>
      </c>
      <c r="H398" s="220" t="s">
        <v>54</v>
      </c>
    </row>
    <row r="399" spans="1:8" s="79" customFormat="1" ht="12.75" x14ac:dyDescent="0.25">
      <c r="A399" s="218" t="s">
        <v>3510</v>
      </c>
      <c r="B399" s="218" t="s">
        <v>3511</v>
      </c>
      <c r="C399" s="234" t="s">
        <v>3512</v>
      </c>
      <c r="D399" s="219" t="s">
        <v>2435</v>
      </c>
      <c r="E399" s="215" t="s">
        <v>337</v>
      </c>
      <c r="F399" s="239" t="s">
        <v>23</v>
      </c>
      <c r="G399" s="238" t="s">
        <v>2716</v>
      </c>
      <c r="H399" s="220" t="s">
        <v>54</v>
      </c>
    </row>
    <row r="400" spans="1:8" s="79" customFormat="1" ht="12.75" x14ac:dyDescent="0.25">
      <c r="A400" s="218" t="s">
        <v>3513</v>
      </c>
      <c r="B400" s="218" t="s">
        <v>2712</v>
      </c>
      <c r="C400" s="234" t="s">
        <v>2752</v>
      </c>
      <c r="D400" s="219" t="s">
        <v>2441</v>
      </c>
      <c r="E400" s="215" t="s">
        <v>337</v>
      </c>
      <c r="F400" s="239" t="s">
        <v>23</v>
      </c>
      <c r="G400" s="238" t="s">
        <v>2720</v>
      </c>
      <c r="H400" s="220" t="s">
        <v>54</v>
      </c>
    </row>
    <row r="401" spans="1:8" s="79" customFormat="1" ht="12.75" x14ac:dyDescent="0.25">
      <c r="A401" s="218" t="s">
        <v>3514</v>
      </c>
      <c r="B401" s="218" t="s">
        <v>2712</v>
      </c>
      <c r="C401" s="234" t="s">
        <v>2735</v>
      </c>
      <c r="D401" s="219" t="s">
        <v>2450</v>
      </c>
      <c r="E401" s="215" t="s">
        <v>43</v>
      </c>
      <c r="F401" s="239" t="s">
        <v>23</v>
      </c>
      <c r="G401" s="238" t="s">
        <v>2720</v>
      </c>
      <c r="H401" s="220" t="s">
        <v>54</v>
      </c>
    </row>
    <row r="402" spans="1:8" s="79" customFormat="1" ht="12.75" x14ac:dyDescent="0.25">
      <c r="A402" s="218" t="s">
        <v>3515</v>
      </c>
      <c r="B402" s="218" t="s">
        <v>2796</v>
      </c>
      <c r="C402" s="234" t="s">
        <v>2891</v>
      </c>
      <c r="D402" s="219" t="s">
        <v>2460</v>
      </c>
      <c r="E402" s="215" t="s">
        <v>43</v>
      </c>
      <c r="F402" s="239" t="s">
        <v>23</v>
      </c>
      <c r="G402" s="238" t="s">
        <v>2720</v>
      </c>
      <c r="H402" s="220" t="s">
        <v>54</v>
      </c>
    </row>
    <row r="403" spans="1:8" s="79" customFormat="1" ht="12.75" x14ac:dyDescent="0.25">
      <c r="A403" s="218" t="s">
        <v>3516</v>
      </c>
      <c r="B403" s="218" t="s">
        <v>2796</v>
      </c>
      <c r="C403" s="234" t="s">
        <v>2742</v>
      </c>
      <c r="D403" s="219" t="s">
        <v>2465</v>
      </c>
      <c r="E403" s="215" t="s">
        <v>43</v>
      </c>
      <c r="F403" s="239" t="s">
        <v>23</v>
      </c>
      <c r="G403" s="238" t="s">
        <v>2716</v>
      </c>
      <c r="H403" s="220" t="s">
        <v>54</v>
      </c>
    </row>
    <row r="404" spans="1:8" s="79" customFormat="1" ht="12.75" x14ac:dyDescent="0.25">
      <c r="A404" s="218" t="s">
        <v>3517</v>
      </c>
      <c r="B404" s="218" t="s">
        <v>2804</v>
      </c>
      <c r="C404" s="234" t="s">
        <v>3043</v>
      </c>
      <c r="D404" s="219" t="s">
        <v>2470</v>
      </c>
      <c r="E404" s="215" t="s">
        <v>43</v>
      </c>
      <c r="F404" s="239" t="s">
        <v>23</v>
      </c>
      <c r="G404" s="238" t="s">
        <v>2720</v>
      </c>
      <c r="H404" s="220" t="s">
        <v>54</v>
      </c>
    </row>
    <row r="405" spans="1:8" s="79" customFormat="1" ht="12.75" x14ac:dyDescent="0.25">
      <c r="A405" s="218" t="s">
        <v>3518</v>
      </c>
      <c r="B405" s="218" t="s">
        <v>2743</v>
      </c>
      <c r="C405" s="234" t="s">
        <v>3519</v>
      </c>
      <c r="D405" s="219" t="s">
        <v>2476</v>
      </c>
      <c r="E405" s="215" t="s">
        <v>337</v>
      </c>
      <c r="F405" s="239" t="s">
        <v>23</v>
      </c>
      <c r="G405" s="238" t="s">
        <v>2716</v>
      </c>
      <c r="H405" s="220" t="s">
        <v>54</v>
      </c>
    </row>
    <row r="406" spans="1:8" s="79" customFormat="1" ht="12.75" x14ac:dyDescent="0.25">
      <c r="A406" s="218" t="s">
        <v>3520</v>
      </c>
      <c r="B406" s="218" t="s">
        <v>2732</v>
      </c>
      <c r="C406" s="234" t="s">
        <v>2712</v>
      </c>
      <c r="D406" s="219" t="s">
        <v>2480</v>
      </c>
      <c r="E406" s="215" t="s">
        <v>43</v>
      </c>
      <c r="F406" s="239" t="s">
        <v>23</v>
      </c>
      <c r="G406" s="238" t="s">
        <v>2716</v>
      </c>
      <c r="H406" s="220" t="s">
        <v>54</v>
      </c>
    </row>
    <row r="407" spans="1:8" s="79" customFormat="1" ht="12.75" x14ac:dyDescent="0.25">
      <c r="A407" s="218" t="s">
        <v>3521</v>
      </c>
      <c r="B407" s="218" t="s">
        <v>2766</v>
      </c>
      <c r="C407" s="234" t="s">
        <v>2747</v>
      </c>
      <c r="D407" s="219" t="s">
        <v>2491</v>
      </c>
      <c r="E407" s="215" t="s">
        <v>43</v>
      </c>
      <c r="F407" s="239" t="s">
        <v>23</v>
      </c>
      <c r="G407" s="238" t="s">
        <v>2716</v>
      </c>
      <c r="H407" s="220" t="s">
        <v>54</v>
      </c>
    </row>
    <row r="408" spans="1:8" s="79" customFormat="1" ht="12.75" x14ac:dyDescent="0.25">
      <c r="A408" s="218" t="s">
        <v>3522</v>
      </c>
      <c r="B408" s="218" t="s">
        <v>3038</v>
      </c>
      <c r="C408" s="234" t="s">
        <v>2730</v>
      </c>
      <c r="D408" s="219" t="s">
        <v>2496</v>
      </c>
      <c r="E408" s="215" t="s">
        <v>43</v>
      </c>
      <c r="F408" s="239" t="s">
        <v>23</v>
      </c>
      <c r="G408" s="238" t="s">
        <v>2716</v>
      </c>
      <c r="H408" s="220" t="s">
        <v>54</v>
      </c>
    </row>
    <row r="409" spans="1:8" s="79" customFormat="1" ht="12.75" x14ac:dyDescent="0.25">
      <c r="A409" s="218" t="s">
        <v>3523</v>
      </c>
      <c r="B409" s="218" t="s">
        <v>2796</v>
      </c>
      <c r="C409" s="234" t="s">
        <v>2736</v>
      </c>
      <c r="D409" s="219" t="s">
        <v>2502</v>
      </c>
      <c r="E409" s="215" t="s">
        <v>43</v>
      </c>
      <c r="F409" s="239" t="s">
        <v>23</v>
      </c>
      <c r="G409" s="238" t="s">
        <v>2716</v>
      </c>
      <c r="H409" s="220" t="s">
        <v>54</v>
      </c>
    </row>
    <row r="410" spans="1:8" s="79" customFormat="1" ht="12.75" x14ac:dyDescent="0.25">
      <c r="A410" s="218" t="s">
        <v>3524</v>
      </c>
      <c r="B410" s="218" t="s">
        <v>3147</v>
      </c>
      <c r="C410" s="234" t="s">
        <v>2730</v>
      </c>
      <c r="D410" s="219" t="s">
        <v>2519</v>
      </c>
      <c r="E410" s="215" t="s">
        <v>224</v>
      </c>
      <c r="F410" s="239" t="s">
        <v>23</v>
      </c>
      <c r="G410" s="238" t="s">
        <v>2716</v>
      </c>
      <c r="H410" s="220" t="s">
        <v>54</v>
      </c>
    </row>
    <row r="411" spans="1:8" s="79" customFormat="1" ht="12.75" x14ac:dyDescent="0.25">
      <c r="A411" s="218" t="s">
        <v>3525</v>
      </c>
      <c r="B411" s="218" t="s">
        <v>3526</v>
      </c>
      <c r="C411" s="234" t="s">
        <v>2736</v>
      </c>
      <c r="D411" s="219" t="s">
        <v>2532</v>
      </c>
      <c r="E411" s="215" t="s">
        <v>43</v>
      </c>
      <c r="F411" s="239" t="s">
        <v>23</v>
      </c>
      <c r="G411" s="238" t="s">
        <v>2716</v>
      </c>
      <c r="H411" s="220" t="s">
        <v>54</v>
      </c>
    </row>
    <row r="412" spans="1:8" s="79" customFormat="1" ht="12.75" x14ac:dyDescent="0.25">
      <c r="A412" s="218" t="s">
        <v>3527</v>
      </c>
      <c r="B412" s="218" t="s">
        <v>3007</v>
      </c>
      <c r="C412" s="234" t="s">
        <v>2736</v>
      </c>
      <c r="D412" s="219" t="s">
        <v>2538</v>
      </c>
      <c r="E412" s="215" t="s">
        <v>43</v>
      </c>
      <c r="F412" s="239" t="s">
        <v>23</v>
      </c>
      <c r="G412" s="238" t="s">
        <v>2716</v>
      </c>
      <c r="H412" s="220" t="s">
        <v>54</v>
      </c>
    </row>
    <row r="413" spans="1:8" s="79" customFormat="1" ht="12.75" x14ac:dyDescent="0.25">
      <c r="A413" s="218" t="s">
        <v>3528</v>
      </c>
      <c r="B413" s="218" t="s">
        <v>2804</v>
      </c>
      <c r="C413" s="234" t="s">
        <v>2796</v>
      </c>
      <c r="D413" s="219" t="s">
        <v>2545</v>
      </c>
      <c r="E413" s="215" t="s">
        <v>337</v>
      </c>
      <c r="F413" s="239" t="s">
        <v>23</v>
      </c>
      <c r="G413" s="238" t="s">
        <v>2720</v>
      </c>
      <c r="H413" s="220" t="s">
        <v>54</v>
      </c>
    </row>
    <row r="414" spans="1:8" s="79" customFormat="1" ht="12.75" x14ac:dyDescent="0.25">
      <c r="A414" s="218" t="s">
        <v>3529</v>
      </c>
      <c r="B414" s="218" t="s">
        <v>3530</v>
      </c>
      <c r="C414" s="234" t="s">
        <v>2824</v>
      </c>
      <c r="D414" s="219" t="s">
        <v>3531</v>
      </c>
      <c r="E414" s="215" t="s">
        <v>136</v>
      </c>
      <c r="F414" s="239" t="s">
        <v>19</v>
      </c>
      <c r="G414" s="238" t="s">
        <v>2716</v>
      </c>
      <c r="H414" s="220" t="s">
        <v>54</v>
      </c>
    </row>
    <row r="415" spans="1:8" s="79" customFormat="1" ht="12.75" x14ac:dyDescent="0.25">
      <c r="A415" s="218" t="s">
        <v>3532</v>
      </c>
      <c r="B415" s="218" t="s">
        <v>2732</v>
      </c>
      <c r="C415" s="234" t="s">
        <v>2796</v>
      </c>
      <c r="D415" s="219" t="s">
        <v>2555</v>
      </c>
      <c r="E415" s="215" t="s">
        <v>224</v>
      </c>
      <c r="F415" s="239" t="s">
        <v>23</v>
      </c>
      <c r="G415" s="238" t="s">
        <v>2720</v>
      </c>
      <c r="H415" s="220" t="s">
        <v>54</v>
      </c>
    </row>
    <row r="416" spans="1:8" s="79" customFormat="1" ht="12.75" x14ac:dyDescent="0.25">
      <c r="A416" s="218" t="s">
        <v>3533</v>
      </c>
      <c r="B416" s="218" t="s">
        <v>2773</v>
      </c>
      <c r="C416" s="234" t="s">
        <v>2813</v>
      </c>
      <c r="D416" s="219" t="s">
        <v>2559</v>
      </c>
      <c r="E416" s="215" t="s">
        <v>43</v>
      </c>
      <c r="F416" s="239" t="s">
        <v>23</v>
      </c>
      <c r="G416" s="238" t="s">
        <v>2716</v>
      </c>
      <c r="H416" s="220" t="s">
        <v>54</v>
      </c>
    </row>
    <row r="417" spans="1:8" s="79" customFormat="1" ht="12.75" x14ac:dyDescent="0.25">
      <c r="A417" s="218" t="s">
        <v>3534</v>
      </c>
      <c r="B417" s="218" t="s">
        <v>3535</v>
      </c>
      <c r="C417" s="234" t="s">
        <v>2712</v>
      </c>
      <c r="D417" s="219" t="s">
        <v>2564</v>
      </c>
      <c r="E417" s="215" t="s">
        <v>43</v>
      </c>
      <c r="F417" s="239" t="s">
        <v>23</v>
      </c>
      <c r="G417" s="238" t="s">
        <v>2720</v>
      </c>
      <c r="H417" s="220" t="s">
        <v>54</v>
      </c>
    </row>
    <row r="418" spans="1:8" s="79" customFormat="1" ht="12.75" x14ac:dyDescent="0.25">
      <c r="A418" s="218" t="s">
        <v>3536</v>
      </c>
      <c r="B418" s="218" t="s">
        <v>2991</v>
      </c>
      <c r="C418" s="234" t="s">
        <v>3537</v>
      </c>
      <c r="D418" s="219" t="s">
        <v>2578</v>
      </c>
      <c r="E418" s="215" t="s">
        <v>337</v>
      </c>
      <c r="F418" s="239" t="s">
        <v>23</v>
      </c>
      <c r="G418" s="238" t="s">
        <v>2720</v>
      </c>
      <c r="H418" s="220" t="s">
        <v>54</v>
      </c>
    </row>
    <row r="419" spans="1:8" s="79" customFormat="1" ht="12.75" x14ac:dyDescent="0.25">
      <c r="A419" s="218" t="s">
        <v>3538</v>
      </c>
      <c r="B419" s="218" t="s">
        <v>2736</v>
      </c>
      <c r="C419" s="234" t="s">
        <v>3342</v>
      </c>
      <c r="D419" s="219" t="s">
        <v>2589</v>
      </c>
      <c r="E419" s="215" t="s">
        <v>43</v>
      </c>
      <c r="F419" s="239" t="s">
        <v>23</v>
      </c>
      <c r="G419" s="238" t="s">
        <v>2716</v>
      </c>
      <c r="H419" s="220" t="s">
        <v>54</v>
      </c>
    </row>
    <row r="420" spans="1:8" s="79" customFormat="1" ht="12.75" x14ac:dyDescent="0.25">
      <c r="A420" s="218" t="s">
        <v>3539</v>
      </c>
      <c r="B420" s="218" t="s">
        <v>3540</v>
      </c>
      <c r="C420" s="234" t="s">
        <v>3434</v>
      </c>
      <c r="D420" s="219" t="s">
        <v>2598</v>
      </c>
      <c r="E420" s="215" t="s">
        <v>43</v>
      </c>
      <c r="F420" s="239" t="s">
        <v>23</v>
      </c>
      <c r="G420" s="238" t="s">
        <v>2716</v>
      </c>
      <c r="H420" s="220" t="s">
        <v>54</v>
      </c>
    </row>
    <row r="421" spans="1:8" s="79" customFormat="1" ht="12.75" x14ac:dyDescent="0.25">
      <c r="A421" s="218" t="s">
        <v>3541</v>
      </c>
      <c r="B421" s="218" t="s">
        <v>3542</v>
      </c>
      <c r="C421" s="234" t="s">
        <v>3089</v>
      </c>
      <c r="D421" s="219" t="s">
        <v>2603</v>
      </c>
      <c r="E421" s="215" t="s">
        <v>337</v>
      </c>
      <c r="F421" s="239" t="s">
        <v>23</v>
      </c>
      <c r="G421" s="238" t="s">
        <v>2720</v>
      </c>
      <c r="H421" s="220" t="s">
        <v>54</v>
      </c>
    </row>
    <row r="422" spans="1:8" s="79" customFormat="1" ht="12.75" x14ac:dyDescent="0.25">
      <c r="A422" s="218" t="s">
        <v>3543</v>
      </c>
      <c r="B422" s="218" t="s">
        <v>2833</v>
      </c>
      <c r="C422" s="234" t="s">
        <v>2764</v>
      </c>
      <c r="D422" s="219" t="s">
        <v>2609</v>
      </c>
      <c r="E422" s="215" t="s">
        <v>224</v>
      </c>
      <c r="F422" s="239" t="s">
        <v>23</v>
      </c>
      <c r="G422" s="238" t="s">
        <v>2720</v>
      </c>
      <c r="H422" s="220" t="s">
        <v>54</v>
      </c>
    </row>
    <row r="423" spans="1:8" s="79" customFormat="1" ht="12.75" x14ac:dyDescent="0.25">
      <c r="A423" s="218" t="s">
        <v>3544</v>
      </c>
      <c r="B423" s="218" t="s">
        <v>2904</v>
      </c>
      <c r="C423" s="234" t="s">
        <v>3403</v>
      </c>
      <c r="D423" s="219" t="s">
        <v>2621</v>
      </c>
      <c r="E423" s="215" t="s">
        <v>224</v>
      </c>
      <c r="F423" s="239" t="s">
        <v>23</v>
      </c>
      <c r="G423" s="238" t="s">
        <v>2720</v>
      </c>
      <c r="H423" s="220" t="s">
        <v>54</v>
      </c>
    </row>
    <row r="424" spans="1:8" s="79" customFormat="1" ht="12.75" x14ac:dyDescent="0.25">
      <c r="A424" s="218" t="s">
        <v>3545</v>
      </c>
      <c r="B424" s="218" t="s">
        <v>2732</v>
      </c>
      <c r="C424" s="234" t="s">
        <v>2735</v>
      </c>
      <c r="D424" s="219" t="s">
        <v>2627</v>
      </c>
      <c r="E424" s="215" t="s">
        <v>43</v>
      </c>
      <c r="F424" s="239" t="s">
        <v>23</v>
      </c>
      <c r="G424" s="238" t="s">
        <v>2716</v>
      </c>
      <c r="H424" s="220" t="s">
        <v>54</v>
      </c>
    </row>
    <row r="425" spans="1:8" s="79" customFormat="1" ht="12.75" x14ac:dyDescent="0.25">
      <c r="A425" s="218" t="s">
        <v>3546</v>
      </c>
      <c r="B425" s="218" t="s">
        <v>2732</v>
      </c>
      <c r="C425" s="234" t="s">
        <v>2764</v>
      </c>
      <c r="D425" s="219" t="s">
        <v>2646</v>
      </c>
      <c r="E425" s="215" t="s">
        <v>43</v>
      </c>
      <c r="F425" s="239" t="s">
        <v>23</v>
      </c>
      <c r="G425" s="238" t="s">
        <v>2720</v>
      </c>
      <c r="H425" s="220" t="s">
        <v>54</v>
      </c>
    </row>
    <row r="426" spans="1:8" s="79" customFormat="1" ht="12.75" x14ac:dyDescent="0.25">
      <c r="A426" s="218" t="s">
        <v>3547</v>
      </c>
      <c r="B426" s="218" t="s">
        <v>2956</v>
      </c>
      <c r="C426" s="234" t="s">
        <v>2739</v>
      </c>
      <c r="D426" s="219" t="s">
        <v>2650</v>
      </c>
      <c r="E426" s="215" t="s">
        <v>43</v>
      </c>
      <c r="F426" s="239" t="s">
        <v>23</v>
      </c>
      <c r="G426" s="238" t="s">
        <v>2720</v>
      </c>
      <c r="H426" s="220" t="s">
        <v>54</v>
      </c>
    </row>
    <row r="427" spans="1:8" s="79" customFormat="1" ht="12.75" x14ac:dyDescent="0.25">
      <c r="A427" s="218" t="s">
        <v>3548</v>
      </c>
      <c r="B427" s="218" t="s">
        <v>2732</v>
      </c>
      <c r="C427" s="234" t="s">
        <v>2735</v>
      </c>
      <c r="D427" s="219" t="s">
        <v>3549</v>
      </c>
      <c r="E427" s="215" t="s">
        <v>136</v>
      </c>
      <c r="F427" s="239" t="s">
        <v>19</v>
      </c>
      <c r="G427" s="238" t="s">
        <v>2720</v>
      </c>
      <c r="H427" s="220" t="s">
        <v>54</v>
      </c>
    </row>
    <row r="428" spans="1:8" s="79" customFormat="1" ht="12.75" x14ac:dyDescent="0.25">
      <c r="A428" s="218" t="s">
        <v>3550</v>
      </c>
      <c r="B428" s="218" t="s">
        <v>3147</v>
      </c>
      <c r="C428" s="234" t="s">
        <v>3013</v>
      </c>
      <c r="D428" s="219" t="s">
        <v>3551</v>
      </c>
      <c r="E428" s="215" t="s">
        <v>136</v>
      </c>
      <c r="F428" s="239" t="s">
        <v>19</v>
      </c>
      <c r="G428" s="238" t="s">
        <v>2716</v>
      </c>
      <c r="H428" s="220" t="s">
        <v>54</v>
      </c>
    </row>
    <row r="429" spans="1:8" s="79" customFormat="1" ht="12.75" x14ac:dyDescent="0.25">
      <c r="A429" s="218" t="s">
        <v>3552</v>
      </c>
      <c r="B429" s="218" t="s">
        <v>3553</v>
      </c>
      <c r="C429" s="234" t="s">
        <v>2796</v>
      </c>
      <c r="D429" s="219" t="s">
        <v>2655</v>
      </c>
      <c r="E429" s="215" t="s">
        <v>1192</v>
      </c>
      <c r="F429" s="239" t="s">
        <v>23</v>
      </c>
      <c r="G429" s="238" t="s">
        <v>2720</v>
      </c>
      <c r="H429" s="221" t="s">
        <v>110</v>
      </c>
    </row>
    <row r="430" spans="1:8" s="79" customFormat="1" ht="12.75" x14ac:dyDescent="0.25">
      <c r="A430" s="218" t="s">
        <v>2962</v>
      </c>
      <c r="B430" s="218" t="s">
        <v>2917</v>
      </c>
      <c r="C430" s="234" t="s">
        <v>2735</v>
      </c>
      <c r="D430" s="219" t="s">
        <v>3554</v>
      </c>
      <c r="E430" s="215" t="s">
        <v>136</v>
      </c>
      <c r="F430" s="239" t="s">
        <v>19</v>
      </c>
      <c r="G430" s="238" t="s">
        <v>2720</v>
      </c>
      <c r="H430" s="221" t="s">
        <v>110</v>
      </c>
    </row>
    <row r="431" spans="1:8" s="79" customFormat="1" ht="12.75" x14ac:dyDescent="0.25">
      <c r="A431" s="218" t="s">
        <v>3555</v>
      </c>
      <c r="B431" s="218" t="s">
        <v>2732</v>
      </c>
      <c r="C431" s="234" t="s">
        <v>2752</v>
      </c>
      <c r="D431" s="219" t="s">
        <v>2658</v>
      </c>
      <c r="E431" s="215" t="s">
        <v>453</v>
      </c>
      <c r="F431" s="239" t="s">
        <v>23</v>
      </c>
      <c r="G431" s="238" t="s">
        <v>2720</v>
      </c>
      <c r="H431" s="221" t="s">
        <v>110</v>
      </c>
    </row>
    <row r="432" spans="1:8" s="79" customFormat="1" ht="12.75" x14ac:dyDescent="0.25">
      <c r="A432" s="218" t="s">
        <v>3556</v>
      </c>
      <c r="B432" s="218" t="s">
        <v>2722</v>
      </c>
      <c r="C432" s="234" t="s">
        <v>3043</v>
      </c>
      <c r="D432" s="219" t="s">
        <v>2661</v>
      </c>
      <c r="E432" s="215" t="s">
        <v>337</v>
      </c>
      <c r="F432" s="239" t="s">
        <v>23</v>
      </c>
      <c r="G432" s="238" t="s">
        <v>2720</v>
      </c>
      <c r="H432" s="221" t="s">
        <v>110</v>
      </c>
    </row>
    <row r="433" spans="1:8" s="79" customFormat="1" ht="12.75" x14ac:dyDescent="0.25">
      <c r="A433" s="218" t="s">
        <v>3557</v>
      </c>
      <c r="B433" s="218" t="s">
        <v>2719</v>
      </c>
      <c r="C433" s="234" t="s">
        <v>3558</v>
      </c>
      <c r="D433" s="219" t="s">
        <v>3559</v>
      </c>
      <c r="E433" s="215" t="s">
        <v>136</v>
      </c>
      <c r="F433" s="239" t="s">
        <v>19</v>
      </c>
      <c r="G433" s="238" t="s">
        <v>2720</v>
      </c>
      <c r="H433" s="221" t="s">
        <v>110</v>
      </c>
    </row>
    <row r="434" spans="1:8" s="79" customFormat="1" ht="12.75" x14ac:dyDescent="0.25">
      <c r="A434" s="218" t="s">
        <v>3560</v>
      </c>
      <c r="B434" s="218" t="s">
        <v>2735</v>
      </c>
      <c r="C434" s="234" t="s">
        <v>2796</v>
      </c>
      <c r="D434" s="219" t="s">
        <v>2664</v>
      </c>
      <c r="E434" s="215" t="s">
        <v>125</v>
      </c>
      <c r="F434" s="239" t="s">
        <v>19</v>
      </c>
      <c r="G434" s="238" t="s">
        <v>2720</v>
      </c>
      <c r="H434" s="221" t="s">
        <v>110</v>
      </c>
    </row>
    <row r="435" spans="1:8" s="79" customFormat="1" ht="12.75" x14ac:dyDescent="0.25">
      <c r="A435" s="218" t="s">
        <v>3561</v>
      </c>
      <c r="B435" s="218" t="s">
        <v>2832</v>
      </c>
      <c r="C435" s="234" t="s">
        <v>2928</v>
      </c>
      <c r="D435" s="219" t="s">
        <v>2667</v>
      </c>
      <c r="E435" s="215" t="s">
        <v>337</v>
      </c>
      <c r="F435" s="239" t="s">
        <v>23</v>
      </c>
      <c r="G435" s="238" t="s">
        <v>2720</v>
      </c>
      <c r="H435" s="221" t="s">
        <v>110</v>
      </c>
    </row>
    <row r="436" spans="1:8" s="79" customFormat="1" ht="12.75" x14ac:dyDescent="0.25">
      <c r="A436" s="218" t="s">
        <v>3562</v>
      </c>
      <c r="B436" s="218" t="s">
        <v>2712</v>
      </c>
      <c r="C436" s="234" t="s">
        <v>2736</v>
      </c>
      <c r="D436" s="219" t="s">
        <v>2670</v>
      </c>
      <c r="E436" s="215" t="s">
        <v>1192</v>
      </c>
      <c r="F436" s="239" t="s">
        <v>23</v>
      </c>
      <c r="G436" s="238" t="s">
        <v>2720</v>
      </c>
      <c r="H436" s="221" t="s">
        <v>110</v>
      </c>
    </row>
    <row r="437" spans="1:8" s="79" customFormat="1" ht="12.75" x14ac:dyDescent="0.25">
      <c r="A437" s="218" t="s">
        <v>3563</v>
      </c>
      <c r="B437" s="218" t="s">
        <v>2782</v>
      </c>
      <c r="C437" s="234" t="s">
        <v>2752</v>
      </c>
      <c r="D437" s="219" t="s">
        <v>2673</v>
      </c>
      <c r="E437" s="215" t="s">
        <v>43</v>
      </c>
      <c r="F437" s="239" t="s">
        <v>23</v>
      </c>
      <c r="G437" s="238" t="s">
        <v>2720</v>
      </c>
      <c r="H437" s="221" t="s">
        <v>110</v>
      </c>
    </row>
    <row r="438" spans="1:8" s="79" customFormat="1" ht="12.75" x14ac:dyDescent="0.25">
      <c r="A438" s="218" t="s">
        <v>3564</v>
      </c>
      <c r="B438" s="218" t="s">
        <v>2712</v>
      </c>
      <c r="C438" s="234" t="s">
        <v>2832</v>
      </c>
      <c r="D438" s="219" t="s">
        <v>2676</v>
      </c>
      <c r="E438" s="215" t="s">
        <v>453</v>
      </c>
      <c r="F438" s="239" t="s">
        <v>23</v>
      </c>
      <c r="G438" s="238" t="s">
        <v>2720</v>
      </c>
      <c r="H438" s="221" t="s">
        <v>110</v>
      </c>
    </row>
    <row r="439" spans="1:8" s="79" customFormat="1" ht="12.75" x14ac:dyDescent="0.25">
      <c r="A439" s="218" t="s">
        <v>3565</v>
      </c>
      <c r="B439" s="218" t="s">
        <v>2756</v>
      </c>
      <c r="C439" s="234" t="s">
        <v>2758</v>
      </c>
      <c r="D439" s="219" t="s">
        <v>2679</v>
      </c>
      <c r="E439" s="215" t="s">
        <v>398</v>
      </c>
      <c r="F439" s="239" t="s">
        <v>23</v>
      </c>
      <c r="G439" s="238" t="s">
        <v>2720</v>
      </c>
      <c r="H439" s="221" t="s">
        <v>110</v>
      </c>
    </row>
    <row r="440" spans="1:8" s="79" customFormat="1" ht="12.75" x14ac:dyDescent="0.25">
      <c r="A440" s="218" t="s">
        <v>3566</v>
      </c>
      <c r="B440" s="218" t="s">
        <v>2723</v>
      </c>
      <c r="C440" s="234" t="s">
        <v>2743</v>
      </c>
      <c r="D440" s="219" t="s">
        <v>2682</v>
      </c>
      <c r="E440" s="215" t="s">
        <v>337</v>
      </c>
      <c r="F440" s="239" t="s">
        <v>23</v>
      </c>
      <c r="G440" s="238" t="s">
        <v>2720</v>
      </c>
      <c r="H440" s="221" t="s">
        <v>110</v>
      </c>
    </row>
    <row r="441" spans="1:8" s="79" customFormat="1" ht="12.75" x14ac:dyDescent="0.25">
      <c r="A441" s="218" t="s">
        <v>3567</v>
      </c>
      <c r="B441" s="218" t="s">
        <v>3314</v>
      </c>
      <c r="C441" s="234" t="s">
        <v>2736</v>
      </c>
      <c r="D441" s="219" t="s">
        <v>3568</v>
      </c>
      <c r="E441" s="215" t="s">
        <v>164</v>
      </c>
      <c r="F441" s="239" t="s">
        <v>19</v>
      </c>
      <c r="G441" s="238" t="s">
        <v>2720</v>
      </c>
      <c r="H441" s="221" t="s">
        <v>110</v>
      </c>
    </row>
    <row r="442" spans="1:8" s="79" customFormat="1" ht="12.75" x14ac:dyDescent="0.25">
      <c r="A442" s="218" t="s">
        <v>3569</v>
      </c>
      <c r="B442" s="218" t="s">
        <v>2758</v>
      </c>
      <c r="C442" s="234" t="s">
        <v>3570</v>
      </c>
      <c r="D442" s="219" t="s">
        <v>2685</v>
      </c>
      <c r="E442" s="215" t="s">
        <v>264</v>
      </c>
      <c r="F442" s="239" t="s">
        <v>23</v>
      </c>
      <c r="G442" s="238" t="s">
        <v>2716</v>
      </c>
      <c r="H442" s="221" t="s">
        <v>110</v>
      </c>
    </row>
    <row r="443" spans="1:8" s="79" customFormat="1" ht="12.75" x14ac:dyDescent="0.25">
      <c r="A443" s="218" t="s">
        <v>3571</v>
      </c>
      <c r="B443" s="218" t="s">
        <v>3572</v>
      </c>
      <c r="C443" s="234" t="s">
        <v>2752</v>
      </c>
      <c r="D443" s="219" t="s">
        <v>2688</v>
      </c>
      <c r="E443" s="215" t="s">
        <v>337</v>
      </c>
      <c r="F443" s="239" t="s">
        <v>23</v>
      </c>
      <c r="G443" s="238" t="s">
        <v>2720</v>
      </c>
      <c r="H443" s="221" t="s">
        <v>110</v>
      </c>
    </row>
    <row r="444" spans="1:8" s="79" customFormat="1" ht="12.75" x14ac:dyDescent="0.25">
      <c r="A444" s="218" t="s">
        <v>3573</v>
      </c>
      <c r="B444" s="218" t="s">
        <v>3574</v>
      </c>
      <c r="C444" s="234" t="s">
        <v>2966</v>
      </c>
      <c r="D444" s="219" t="s">
        <v>2691</v>
      </c>
      <c r="E444" s="215" t="s">
        <v>1242</v>
      </c>
      <c r="F444" s="239" t="s">
        <v>23</v>
      </c>
      <c r="G444" s="238" t="s">
        <v>2720</v>
      </c>
      <c r="H444" s="221" t="s">
        <v>110</v>
      </c>
    </row>
    <row r="445" spans="1:8" s="79" customFormat="1" ht="12.75" x14ac:dyDescent="0.25">
      <c r="A445" s="218" t="s">
        <v>3575</v>
      </c>
      <c r="B445" s="218" t="s">
        <v>2917</v>
      </c>
      <c r="C445" s="234" t="s">
        <v>3576</v>
      </c>
      <c r="D445" s="219" t="s">
        <v>2694</v>
      </c>
      <c r="E445" s="215" t="s">
        <v>482</v>
      </c>
      <c r="F445" s="239" t="s">
        <v>23</v>
      </c>
      <c r="G445" s="238" t="s">
        <v>2720</v>
      </c>
      <c r="H445" s="221" t="s">
        <v>110</v>
      </c>
    </row>
    <row r="446" spans="1:8" s="79" customFormat="1" ht="12.75" x14ac:dyDescent="0.25">
      <c r="A446" s="218" t="s">
        <v>3577</v>
      </c>
      <c r="B446" s="218" t="s">
        <v>3394</v>
      </c>
      <c r="C446" s="234" t="s">
        <v>2735</v>
      </c>
      <c r="D446" s="219" t="s">
        <v>2697</v>
      </c>
      <c r="E446" s="215" t="s">
        <v>43</v>
      </c>
      <c r="F446" s="239" t="s">
        <v>23</v>
      </c>
      <c r="G446" s="238" t="s">
        <v>2720</v>
      </c>
      <c r="H446" s="221" t="s">
        <v>110</v>
      </c>
    </row>
    <row r="447" spans="1:8" s="79" customFormat="1" ht="12.75" x14ac:dyDescent="0.25">
      <c r="A447" s="218" t="s">
        <v>3578</v>
      </c>
      <c r="B447" s="218" t="s">
        <v>3579</v>
      </c>
      <c r="C447" s="234" t="s">
        <v>3444</v>
      </c>
      <c r="D447" s="219" t="s">
        <v>3580</v>
      </c>
      <c r="E447" s="215" t="s">
        <v>136</v>
      </c>
      <c r="F447" s="239" t="s">
        <v>19</v>
      </c>
      <c r="G447" s="238" t="s">
        <v>2720</v>
      </c>
      <c r="H447" s="221" t="s">
        <v>110</v>
      </c>
    </row>
  </sheetData>
  <sheetProtection insertHyperlinks="0" sort="0" autoFilter="0" pivotTables="0"/>
  <autoFilter ref="A1:H447" xr:uid="{00000000-0001-0000-0500-000000000000}"/>
  <phoneticPr fontId="30" type="noConversion"/>
  <conditionalFormatting sqref="F1:F447">
    <cfRule type="cellIs" dxfId="51" priority="29" operator="equal">
      <formula>"Διοικητικός"</formula>
    </cfRule>
    <cfRule type="cellIs" dxfId="50" priority="30" operator="equal">
      <formula>"Μηχανικός"</formula>
    </cfRule>
  </conditionalFormatting>
  <conditionalFormatting sqref="E1:E447">
    <cfRule type="cellIs" dxfId="49" priority="16" operator="equal">
      <formula>"_"</formula>
    </cfRule>
  </conditionalFormatting>
  <dataValidations count="2">
    <dataValidation type="list" allowBlank="1" showInputMessage="1" showErrorMessage="1" sqref="F2:F447" xr:uid="{00000000-0002-0000-0500-000000000000}">
      <formula1>EIDIK</formula1>
    </dataValidation>
    <dataValidation type="list" allowBlank="1" showInputMessage="1" showErrorMessage="1" sqref="E2:E447" xr:uid="{072B74D8-6C7D-4F0E-9DD6-1A23C85BB027}">
      <formula1>EIDIKOTHTA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4E4-CE87-468F-A77F-B4BBE3E6DE83}">
  <sheetPr codeName="Sheet1"/>
  <dimension ref="B2:F12"/>
  <sheetViews>
    <sheetView workbookViewId="0">
      <selection activeCell="K8" sqref="K8"/>
    </sheetView>
  </sheetViews>
  <sheetFormatPr defaultRowHeight="15" x14ac:dyDescent="0.25"/>
  <cols>
    <col min="2" max="2" width="5.7109375" style="13" customWidth="1"/>
    <col min="3" max="3" width="26.7109375" customWidth="1"/>
    <col min="4" max="4" width="16.85546875" customWidth="1"/>
    <col min="5" max="5" width="31.7109375" customWidth="1"/>
    <col min="6" max="6" width="13.140625" customWidth="1"/>
  </cols>
  <sheetData>
    <row r="2" spans="2:6" ht="31.5" x14ac:dyDescent="0.25">
      <c r="B2" s="207" t="s">
        <v>2698</v>
      </c>
      <c r="C2" s="206" t="s">
        <v>1508</v>
      </c>
      <c r="D2" s="206" t="s">
        <v>3581</v>
      </c>
      <c r="E2" s="77" t="s">
        <v>1512</v>
      </c>
      <c r="F2" s="206" t="s">
        <v>2704</v>
      </c>
    </row>
    <row r="3" spans="2:6" x14ac:dyDescent="0.25">
      <c r="B3" s="13">
        <v>1</v>
      </c>
      <c r="C3" s="117" t="s">
        <v>987</v>
      </c>
      <c r="D3" s="86" t="s">
        <v>989</v>
      </c>
      <c r="E3" s="109" t="s">
        <v>2442</v>
      </c>
      <c r="F3" s="87" t="s">
        <v>2720</v>
      </c>
    </row>
    <row r="4" spans="2:6" x14ac:dyDescent="0.25">
      <c r="B4" s="13">
        <v>2</v>
      </c>
      <c r="C4" s="117" t="s">
        <v>995</v>
      </c>
      <c r="D4" s="86" t="s">
        <v>997</v>
      </c>
      <c r="E4" s="109" t="s">
        <v>2451</v>
      </c>
      <c r="F4" s="87" t="s">
        <v>2720</v>
      </c>
    </row>
    <row r="5" spans="2:6" x14ac:dyDescent="0.25">
      <c r="B5" s="13">
        <v>3</v>
      </c>
      <c r="C5" s="117" t="s">
        <v>1502</v>
      </c>
      <c r="D5" s="86" t="s">
        <v>1503</v>
      </c>
      <c r="E5" s="109" t="s">
        <v>2487</v>
      </c>
      <c r="F5" s="87" t="s">
        <v>2720</v>
      </c>
    </row>
    <row r="6" spans="2:6" x14ac:dyDescent="0.25">
      <c r="B6" s="13">
        <v>4</v>
      </c>
      <c r="C6" s="117" t="s">
        <v>1053</v>
      </c>
      <c r="D6" s="86" t="s">
        <v>1054</v>
      </c>
      <c r="E6" s="109" t="s">
        <v>2579</v>
      </c>
      <c r="F6" s="87" t="s">
        <v>2720</v>
      </c>
    </row>
    <row r="7" spans="2:6" x14ac:dyDescent="0.25">
      <c r="B7" s="13">
        <v>5</v>
      </c>
      <c r="C7" s="117" t="s">
        <v>1074</v>
      </c>
      <c r="D7" s="86" t="s">
        <v>2628</v>
      </c>
      <c r="E7" s="109" t="s">
        <v>2629</v>
      </c>
      <c r="F7" s="87" t="s">
        <v>2716</v>
      </c>
    </row>
    <row r="8" spans="2:6" x14ac:dyDescent="0.25">
      <c r="B8" s="13">
        <v>1</v>
      </c>
      <c r="C8" s="117" t="s">
        <v>935</v>
      </c>
      <c r="D8" s="86">
        <v>6934671271</v>
      </c>
      <c r="E8" s="109" t="s">
        <v>2353</v>
      </c>
      <c r="F8" s="87" t="s">
        <v>2720</v>
      </c>
    </row>
    <row r="9" spans="2:6" x14ac:dyDescent="0.25">
      <c r="B9" s="13">
        <v>2</v>
      </c>
      <c r="C9" s="117" t="s">
        <v>2454</v>
      </c>
      <c r="D9" s="86">
        <v>6932438715</v>
      </c>
      <c r="E9" s="109" t="s">
        <v>2457</v>
      </c>
      <c r="F9" s="87" t="s">
        <v>2716</v>
      </c>
    </row>
    <row r="10" spans="2:6" x14ac:dyDescent="0.25">
      <c r="B10" s="13">
        <v>3</v>
      </c>
      <c r="C10" s="117" t="s">
        <v>1009</v>
      </c>
      <c r="D10" s="86">
        <v>6937084222</v>
      </c>
      <c r="E10" s="109" t="s">
        <v>2482</v>
      </c>
      <c r="F10" s="87" t="s">
        <v>2716</v>
      </c>
    </row>
    <row r="11" spans="2:6" x14ac:dyDescent="0.25">
      <c r="B11" s="13">
        <v>4</v>
      </c>
      <c r="C11" s="117" t="s">
        <v>1048</v>
      </c>
      <c r="D11" s="86">
        <v>6981800426</v>
      </c>
      <c r="E11" s="109" t="s">
        <v>2569</v>
      </c>
      <c r="F11" s="87" t="s">
        <v>2720</v>
      </c>
    </row>
    <row r="12" spans="2:6" x14ac:dyDescent="0.25">
      <c r="B12" s="13">
        <v>5</v>
      </c>
      <c r="C12" s="117" t="s">
        <v>1068</v>
      </c>
      <c r="D12" s="86">
        <v>6973806827</v>
      </c>
      <c r="E12" s="109" t="s">
        <v>2604</v>
      </c>
      <c r="F12" s="87" t="s">
        <v>2720</v>
      </c>
    </row>
  </sheetData>
  <conditionalFormatting sqref="B2:E2">
    <cfRule type="cellIs" dxfId="48" priority="6" operator="equal">
      <formula>"_"</formula>
    </cfRule>
  </conditionalFormatting>
  <conditionalFormatting sqref="D3:D12">
    <cfRule type="duplicateValues" dxfId="47" priority="9"/>
  </conditionalFormatting>
  <conditionalFormatting sqref="D3:E12">
    <cfRule type="cellIs" dxfId="46" priority="7" operator="equal">
      <formula>"_"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13A1-39A5-4427-A6B2-53BD41840FAA}">
  <sheetPr codeName="Sheet3"/>
  <dimension ref="A1:AD36"/>
  <sheetViews>
    <sheetView zoomScale="90" zoomScaleNormal="90" workbookViewId="0">
      <pane xSplit="5" ySplit="2" topLeftCell="F34" activePane="bottomRight" state="frozen"/>
      <selection pane="topRight" activeCell="F1" sqref="F1"/>
      <selection pane="bottomLeft" activeCell="A3" sqref="A3"/>
      <selection pane="bottomRight" activeCell="E34" sqref="E34"/>
    </sheetView>
  </sheetViews>
  <sheetFormatPr defaultColWidth="9.140625" defaultRowHeight="15" x14ac:dyDescent="0.25"/>
  <cols>
    <col min="1" max="1" width="5.7109375" style="123" customWidth="1"/>
    <col min="2" max="2" width="8.7109375" style="79" hidden="1" customWidth="1"/>
    <col min="3" max="3" width="11.7109375" style="124" customWidth="1"/>
    <col min="4" max="4" width="10.7109375" style="130" customWidth="1"/>
    <col min="5" max="5" width="25.28515625" style="126" customWidth="1"/>
    <col min="6" max="6" width="21.28515625" style="119" customWidth="1"/>
    <col min="7" max="7" width="20.140625" style="119" customWidth="1"/>
    <col min="8" max="8" width="26.7109375" style="111" hidden="1" customWidth="1"/>
    <col min="9" max="9" width="61.7109375" style="79" hidden="1" customWidth="1"/>
    <col min="10" max="10" width="13.7109375" style="119" customWidth="1"/>
    <col min="11" max="11" width="12.7109375" style="119" customWidth="1"/>
    <col min="12" max="14" width="15.7109375" style="119" customWidth="1"/>
    <col min="15" max="15" width="21.7109375" style="119" customWidth="1"/>
    <col min="16" max="16" width="0" style="79" hidden="1" customWidth="1"/>
    <col min="17" max="17" width="13.7109375" style="79" customWidth="1"/>
    <col min="18" max="18" width="15.7109375" style="79" customWidth="1"/>
    <col min="19" max="19" width="31.7109375" style="127" customWidth="1"/>
    <col min="20" max="20" width="31.7109375" style="128" customWidth="1"/>
    <col min="21" max="22" width="30.7109375" style="111" hidden="1" customWidth="1"/>
    <col min="23" max="23" width="21.42578125" style="129" hidden="1" customWidth="1"/>
    <col min="24" max="24" width="8.7109375" style="79" customWidth="1"/>
    <col min="25" max="25" width="15.140625" style="79" hidden="1" customWidth="1"/>
    <col min="26" max="26" width="21.140625" style="79" hidden="1" customWidth="1"/>
    <col min="27" max="27" width="13.5703125" style="79" hidden="1" customWidth="1"/>
    <col min="28" max="28" width="41.7109375" style="111" customWidth="1"/>
    <col min="29" max="29" width="10.7109375" style="125" hidden="1" customWidth="1"/>
    <col min="30" max="30" width="9.140625" style="119" hidden="1" customWidth="1"/>
    <col min="31" max="16384" width="9.140625" style="79"/>
  </cols>
  <sheetData>
    <row r="1" spans="1:30" s="147" customFormat="1" ht="19.5" thickBot="1" x14ac:dyDescent="0.3">
      <c r="C1" s="148" t="s">
        <v>3582</v>
      </c>
      <c r="D1" s="149"/>
      <c r="E1" s="150"/>
      <c r="F1" s="151"/>
      <c r="G1" s="151"/>
      <c r="H1" s="152"/>
      <c r="I1" s="153"/>
      <c r="J1" s="153"/>
      <c r="K1" s="153"/>
      <c r="L1" s="153"/>
      <c r="M1" s="153"/>
      <c r="N1" s="153"/>
      <c r="O1" s="153"/>
      <c r="Q1" s="153"/>
      <c r="R1" s="153"/>
      <c r="S1" s="152"/>
      <c r="T1" s="152"/>
      <c r="U1" s="154"/>
      <c r="V1" s="154"/>
      <c r="W1" s="155"/>
      <c r="X1" s="155"/>
      <c r="Y1" s="155"/>
      <c r="Z1" s="155"/>
      <c r="AA1" s="155"/>
      <c r="AC1" s="156"/>
      <c r="AD1" s="156"/>
    </row>
    <row r="2" spans="1:30" ht="39.75" thickTop="1" thickBot="1" x14ac:dyDescent="0.3">
      <c r="A2" s="97" t="s">
        <v>2698</v>
      </c>
      <c r="B2" s="131" t="s">
        <v>2</v>
      </c>
      <c r="C2" s="71" t="s">
        <v>3</v>
      </c>
      <c r="D2" s="72" t="s">
        <v>1507</v>
      </c>
      <c r="E2" s="75" t="s">
        <v>2699</v>
      </c>
      <c r="F2" s="75" t="s">
        <v>2700</v>
      </c>
      <c r="G2" s="75" t="s">
        <v>2701</v>
      </c>
      <c r="H2" s="98" t="s">
        <v>1508</v>
      </c>
      <c r="I2" s="74" t="s">
        <v>3583</v>
      </c>
      <c r="J2" s="73" t="s">
        <v>1510</v>
      </c>
      <c r="K2" s="75" t="s">
        <v>3584</v>
      </c>
      <c r="L2" s="75" t="s">
        <v>7</v>
      </c>
      <c r="M2" s="75" t="s">
        <v>2702</v>
      </c>
      <c r="N2" s="75" t="s">
        <v>8</v>
      </c>
      <c r="O2" s="75" t="s">
        <v>10</v>
      </c>
      <c r="P2" s="99" t="s">
        <v>2703</v>
      </c>
      <c r="Q2" s="76" t="s">
        <v>1511</v>
      </c>
      <c r="R2" s="75" t="s">
        <v>2704</v>
      </c>
      <c r="S2" s="77" t="s">
        <v>1512</v>
      </c>
      <c r="T2" s="78" t="s">
        <v>1513</v>
      </c>
      <c r="U2" s="100" t="s">
        <v>3585</v>
      </c>
      <c r="V2" s="100" t="s">
        <v>3586</v>
      </c>
      <c r="W2" s="132" t="s">
        <v>2705</v>
      </c>
      <c r="X2" s="133" t="s">
        <v>2706</v>
      </c>
      <c r="Y2" s="101" t="s">
        <v>2707</v>
      </c>
      <c r="Z2" s="101" t="s">
        <v>3587</v>
      </c>
      <c r="AA2" s="102" t="s">
        <v>2708</v>
      </c>
      <c r="AB2" s="103" t="s">
        <v>2709</v>
      </c>
      <c r="AC2" s="104" t="s">
        <v>1507</v>
      </c>
      <c r="AD2" s="105" t="s">
        <v>2</v>
      </c>
    </row>
    <row r="3" spans="1:30" x14ac:dyDescent="0.25">
      <c r="A3" s="123">
        <f>--SUBTOTAL(3,$B$2:B2)</f>
        <v>1</v>
      </c>
      <c r="B3" s="106">
        <v>1044</v>
      </c>
      <c r="C3" s="80" t="s">
        <v>2340</v>
      </c>
      <c r="D3" s="135" t="s">
        <v>2354</v>
      </c>
      <c r="E3" s="87" t="s">
        <v>3588</v>
      </c>
      <c r="F3" s="87" t="s">
        <v>2887</v>
      </c>
      <c r="G3" s="87" t="s">
        <v>2743</v>
      </c>
      <c r="H3" s="82" t="str">
        <f t="shared" ref="H3:H8" si="0">TRIM($E3)&amp;" "&amp;TRIM($F3)</f>
        <v>ΑΛΕΒΙΖΟΠΟΥΛΟΥ ΟΛΓΑ</v>
      </c>
      <c r="I3" s="83" t="str">
        <f>TRIM($H3)&amp;" - "&amp;TRIM($O3)&amp;" ("&amp;TRIM(C3)&amp;")"</f>
        <v>ΑΛΕΒΙΖΟΠΟΥΛΟΥ ΟΛΓΑ - ΤΕ ΜΗΧΑΝΙΚΩΝ (ΚΕ-Δ)</v>
      </c>
      <c r="J3" s="87" t="s">
        <v>2357</v>
      </c>
      <c r="K3" s="208" t="s">
        <v>24</v>
      </c>
      <c r="L3" s="87" t="s">
        <v>1254</v>
      </c>
      <c r="M3" s="87" t="s">
        <v>3589</v>
      </c>
      <c r="N3" s="87" t="s">
        <v>2358</v>
      </c>
      <c r="O3" s="87" t="s">
        <v>1007</v>
      </c>
      <c r="P3" s="114" t="s">
        <v>2724</v>
      </c>
      <c r="Q3" s="85" t="s">
        <v>23</v>
      </c>
      <c r="R3" s="86" t="s">
        <v>2720</v>
      </c>
      <c r="S3" s="109" t="s">
        <v>2359</v>
      </c>
      <c r="T3" s="110" t="s">
        <v>2360</v>
      </c>
      <c r="U3" s="111" t="s">
        <v>3590</v>
      </c>
      <c r="V3" s="111" t="s">
        <v>3319</v>
      </c>
      <c r="W3" s="112" t="s">
        <v>92</v>
      </c>
      <c r="X3" s="86">
        <v>3</v>
      </c>
      <c r="Y3" s="86"/>
      <c r="Z3" s="86"/>
      <c r="AA3" s="113">
        <v>45561</v>
      </c>
      <c r="AB3" s="86"/>
      <c r="AC3" s="84" t="s">
        <v>3591</v>
      </c>
      <c r="AD3" s="84">
        <v>1060</v>
      </c>
    </row>
    <row r="4" spans="1:30" ht="38.25" x14ac:dyDescent="0.25">
      <c r="A4" s="123">
        <f>--SUBTOTAL(3,$B$2:B3)</f>
        <v>2</v>
      </c>
      <c r="B4" s="85">
        <v>1429</v>
      </c>
      <c r="C4" s="134" t="s">
        <v>3592</v>
      </c>
      <c r="D4" s="135" t="s">
        <v>3593</v>
      </c>
      <c r="E4" s="116" t="s">
        <v>3594</v>
      </c>
      <c r="F4" s="84" t="s">
        <v>2810</v>
      </c>
      <c r="G4" s="84" t="s">
        <v>2748</v>
      </c>
      <c r="H4" s="82" t="str">
        <f t="shared" si="0"/>
        <v>ΑΛΕΞΟΠΟΥΛΟΣ ΔΙΟΝΥΣΙΟΣ</v>
      </c>
      <c r="I4" s="83" t="str">
        <f>TRIM($H4)&amp;" - "&amp;TRIM($O4)&amp;" ("&amp;TRIM(W4)&amp;")"</f>
        <v>ΑΛΕΞΟΠΟΥΛΟΣ ΔΙΟΝΥΣΙΟΣ - ΤΕ ΜΗΧΑΝΙΚΩΝ (ΠΑΡΑΙΤΗΘΗΚΕ)</v>
      </c>
      <c r="J4" s="84"/>
      <c r="K4" s="84"/>
      <c r="L4" s="84"/>
      <c r="M4" s="87" t="s">
        <v>16</v>
      </c>
      <c r="N4" s="84" t="s">
        <v>3595</v>
      </c>
      <c r="O4" s="84" t="s">
        <v>1007</v>
      </c>
      <c r="P4" s="79" t="str">
        <f>LEFT(Q4,1)</f>
        <v>Μ</v>
      </c>
      <c r="Q4" s="85" t="s">
        <v>23</v>
      </c>
      <c r="R4" s="85" t="s">
        <v>2720</v>
      </c>
      <c r="S4" s="109" t="s">
        <v>16</v>
      </c>
      <c r="T4" s="110" t="s">
        <v>16</v>
      </c>
      <c r="U4" s="111" t="s">
        <v>26</v>
      </c>
      <c r="V4" s="111" t="s">
        <v>3596</v>
      </c>
      <c r="W4" s="136" t="s">
        <v>3597</v>
      </c>
      <c r="X4" s="85">
        <v>0</v>
      </c>
      <c r="Y4" s="85"/>
      <c r="Z4" s="85"/>
      <c r="AA4" s="85"/>
      <c r="AB4" s="137" t="s">
        <v>3598</v>
      </c>
      <c r="AC4" s="84" t="s">
        <v>3446</v>
      </c>
      <c r="AD4" s="84">
        <v>1062</v>
      </c>
    </row>
    <row r="5" spans="1:30" ht="51" x14ac:dyDescent="0.25">
      <c r="A5" s="123">
        <f>--SUBTOTAL(3,$B$2:B4)</f>
        <v>3</v>
      </c>
      <c r="B5" s="106">
        <v>1046</v>
      </c>
      <c r="C5" s="80" t="s">
        <v>593</v>
      </c>
      <c r="D5" s="135" t="s">
        <v>2073</v>
      </c>
      <c r="E5" s="87" t="s">
        <v>3599</v>
      </c>
      <c r="F5" s="87" t="s">
        <v>2712</v>
      </c>
      <c r="G5" s="87" t="s">
        <v>2712</v>
      </c>
      <c r="H5" s="82" t="str">
        <f t="shared" si="0"/>
        <v>ΑΝΑΣΤΑΣΑΚΗΣ ΔΗΜΗΤΡΙΟΣ</v>
      </c>
      <c r="I5" s="83" t="str">
        <f>TRIM($H5)&amp;" - "&amp;TRIM($O5)&amp;" ("&amp;TRIM(C5)&amp;")"</f>
        <v>ΑΝΑΣΤΑΣΑΚΗΣ ΔΗΜΗΤΡΙΟΣ - ΠΕ ΜΗΧΑΝΙΚΩΝ (ΚΕ)</v>
      </c>
      <c r="J5" s="87" t="s">
        <v>2076</v>
      </c>
      <c r="K5" s="208" t="s">
        <v>16</v>
      </c>
      <c r="L5" s="87" t="s">
        <v>3600</v>
      </c>
      <c r="M5" s="87" t="s">
        <v>3589</v>
      </c>
      <c r="N5" s="87" t="s">
        <v>2077</v>
      </c>
      <c r="O5" s="87" t="s">
        <v>31</v>
      </c>
      <c r="P5" s="114" t="s">
        <v>2724</v>
      </c>
      <c r="Q5" s="85" t="s">
        <v>23</v>
      </c>
      <c r="R5" s="86" t="s">
        <v>2720</v>
      </c>
      <c r="S5" s="109" t="s">
        <v>16</v>
      </c>
      <c r="T5" s="110" t="s">
        <v>2078</v>
      </c>
      <c r="U5" s="111" t="s">
        <v>3601</v>
      </c>
      <c r="V5" s="111" t="s">
        <v>3602</v>
      </c>
      <c r="W5" s="112" t="s">
        <v>54</v>
      </c>
      <c r="X5" s="86">
        <v>3</v>
      </c>
      <c r="Y5" s="86"/>
      <c r="Z5" s="86"/>
      <c r="AA5" s="113">
        <v>45219</v>
      </c>
      <c r="AB5" s="86" t="s">
        <v>3602</v>
      </c>
      <c r="AC5" s="84" t="s">
        <v>3603</v>
      </c>
      <c r="AD5" s="84">
        <v>1064</v>
      </c>
    </row>
    <row r="6" spans="1:30" ht="38.25" x14ac:dyDescent="0.25">
      <c r="A6" s="123">
        <f>--SUBTOTAL(3,$B$2:B5)</f>
        <v>4</v>
      </c>
      <c r="B6" s="85">
        <v>1432</v>
      </c>
      <c r="C6" s="134" t="s">
        <v>3592</v>
      </c>
      <c r="D6" s="135" t="s">
        <v>3604</v>
      </c>
      <c r="E6" s="116" t="s">
        <v>3605</v>
      </c>
      <c r="F6" s="84" t="s">
        <v>2764</v>
      </c>
      <c r="G6" s="84" t="s">
        <v>2712</v>
      </c>
      <c r="H6" s="82" t="str">
        <f t="shared" si="0"/>
        <v>ΑΝΑΣΤΑΣΟΠΟΥΛΟΣ ΙΩΑΝΝΗΣ</v>
      </c>
      <c r="I6" s="83" t="str">
        <f>TRIM($H6)&amp;" - "&amp;TRIM($O6)&amp;" ("&amp;TRIM(W6)&amp;")"</f>
        <v>ΑΝΑΣΤΑΣΟΠΟΥΛΟΣ ΙΩΑΝΝΗΣ - ΠΕ ΑΡΧ. ΜΗΧ. (ΑΠΟΛΥΘΗΚΕ)</v>
      </c>
      <c r="J6" s="84"/>
      <c r="K6" s="84"/>
      <c r="L6" s="84"/>
      <c r="M6" s="87" t="s">
        <v>16</v>
      </c>
      <c r="N6" s="84" t="s">
        <v>16</v>
      </c>
      <c r="O6" s="84" t="s">
        <v>224</v>
      </c>
      <c r="P6" s="79" t="str">
        <f>LEFT(Q6,1)</f>
        <v>Μ</v>
      </c>
      <c r="Q6" s="85" t="s">
        <v>23</v>
      </c>
      <c r="R6" s="85" t="s">
        <v>2716</v>
      </c>
      <c r="S6" s="109" t="s">
        <v>16</v>
      </c>
      <c r="T6" s="110" t="s">
        <v>16</v>
      </c>
      <c r="U6" s="111" t="s">
        <v>3606</v>
      </c>
      <c r="W6" s="120" t="s">
        <v>3607</v>
      </c>
      <c r="X6" s="85">
        <v>0</v>
      </c>
      <c r="Y6" s="85"/>
      <c r="Z6" s="85"/>
      <c r="AA6" s="85"/>
      <c r="AB6" s="138" t="s">
        <v>3608</v>
      </c>
      <c r="AC6" s="84" t="s">
        <v>2453</v>
      </c>
      <c r="AD6" s="84">
        <v>1066</v>
      </c>
    </row>
    <row r="7" spans="1:30" ht="18" customHeight="1" x14ac:dyDescent="0.25">
      <c r="A7" s="123">
        <f>--SUBTOTAL(3,$B$2:B6)</f>
        <v>5</v>
      </c>
      <c r="B7" s="85">
        <v>1053</v>
      </c>
      <c r="C7" s="134" t="s">
        <v>3592</v>
      </c>
      <c r="D7" s="135" t="s">
        <v>3609</v>
      </c>
      <c r="E7" s="87" t="s">
        <v>3091</v>
      </c>
      <c r="F7" s="87" t="s">
        <v>2983</v>
      </c>
      <c r="G7" s="87" t="s">
        <v>2743</v>
      </c>
      <c r="H7" s="82" t="str">
        <f t="shared" si="0"/>
        <v>ΓΙΑΝΝΑΚΟΠΟΥΛΟΥ ΘΕΟΔΩΡΑ</v>
      </c>
      <c r="I7" s="83" t="str">
        <f>TRIM($H7)&amp;" - "&amp;TRIM($O7)&amp;" ("&amp;TRIM(W7)&amp;")"</f>
        <v>ΓΙΑΝΝΑΚΟΠΟΥΛΟΥ ΘΕΟΔΩΡΑ - ΠΕ ΔΙΟΙΚ.-ΟΙΚ. (ΣΥΝΤΑΞΗ)</v>
      </c>
      <c r="J7" s="87" t="s">
        <v>3610</v>
      </c>
      <c r="K7" s="87" t="s">
        <v>16</v>
      </c>
      <c r="L7" s="87" t="s">
        <v>16</v>
      </c>
      <c r="M7" s="87" t="s">
        <v>3259</v>
      </c>
      <c r="N7" s="87" t="s">
        <v>3611</v>
      </c>
      <c r="O7" s="87" t="s">
        <v>164</v>
      </c>
      <c r="P7" s="79" t="str">
        <f>LEFT(Q7,1)</f>
        <v>Δ</v>
      </c>
      <c r="Q7" s="85" t="s">
        <v>19</v>
      </c>
      <c r="R7" s="86" t="s">
        <v>2720</v>
      </c>
      <c r="S7" s="109" t="s">
        <v>16</v>
      </c>
      <c r="T7" s="110" t="s">
        <v>16</v>
      </c>
      <c r="U7" s="111" t="s">
        <v>3601</v>
      </c>
      <c r="V7" s="111" t="s">
        <v>3349</v>
      </c>
      <c r="W7" s="120" t="s">
        <v>3612</v>
      </c>
      <c r="X7" s="86">
        <v>0</v>
      </c>
      <c r="Y7" s="86"/>
      <c r="Z7" s="86"/>
      <c r="AA7" s="113">
        <v>45212</v>
      </c>
      <c r="AB7" s="118" t="s">
        <v>3613</v>
      </c>
      <c r="AC7" s="84" t="s">
        <v>3614</v>
      </c>
      <c r="AD7" s="84">
        <v>1067</v>
      </c>
    </row>
    <row r="8" spans="1:30" ht="38.25" x14ac:dyDescent="0.25">
      <c r="A8" s="123">
        <f>--SUBTOTAL(3,$B$2:B7)</f>
        <v>6</v>
      </c>
      <c r="B8" s="85">
        <v>1125</v>
      </c>
      <c r="C8" s="134" t="s">
        <v>3592</v>
      </c>
      <c r="D8" s="135" t="s">
        <v>3615</v>
      </c>
      <c r="E8" s="87" t="s">
        <v>3616</v>
      </c>
      <c r="F8" s="87" t="s">
        <v>3617</v>
      </c>
      <c r="G8" s="87" t="s">
        <v>2735</v>
      </c>
      <c r="H8" s="82" t="str">
        <f t="shared" si="0"/>
        <v>ΓΟΥΝΑΡΙΔΟΥ ΕΥΧΑΡΙΣ</v>
      </c>
      <c r="I8" s="83" t="str">
        <f>TRIM($H8)&amp;" - "&amp;TRIM($O8)&amp;" ("&amp;TRIM(W8)&amp;")"</f>
        <v>ΓΟΥΝΑΡΙΔΟΥ ΕΥΧΑΡΙΣ - ΠΕ ΠΟΛ. ΜΗΧ. (ΣΥΝΤΑΞΗ)</v>
      </c>
      <c r="J8" s="87" t="s">
        <v>3618</v>
      </c>
      <c r="K8" s="87" t="s">
        <v>209</v>
      </c>
      <c r="L8" s="87" t="s">
        <v>209</v>
      </c>
      <c r="M8" s="87" t="s">
        <v>3619</v>
      </c>
      <c r="N8" s="87" t="s">
        <v>210</v>
      </c>
      <c r="O8" s="87" t="s">
        <v>43</v>
      </c>
      <c r="P8" s="79" t="str">
        <f>LEFT(Q8,1)</f>
        <v>Μ</v>
      </c>
      <c r="Q8" s="85" t="s">
        <v>23</v>
      </c>
      <c r="R8" s="86" t="s">
        <v>2716</v>
      </c>
      <c r="S8" s="109" t="s">
        <v>16</v>
      </c>
      <c r="T8" s="110" t="s">
        <v>212</v>
      </c>
      <c r="U8" s="111" t="s">
        <v>3620</v>
      </c>
      <c r="W8" s="120" t="s">
        <v>3612</v>
      </c>
      <c r="X8" s="86">
        <v>0</v>
      </c>
      <c r="Y8" s="86"/>
      <c r="Z8" s="86"/>
      <c r="AA8" s="113">
        <v>45320</v>
      </c>
      <c r="AB8" s="118" t="s">
        <v>3612</v>
      </c>
      <c r="AC8" s="84" t="s">
        <v>2462</v>
      </c>
      <c r="AD8" s="84">
        <v>1069</v>
      </c>
    </row>
    <row r="9" spans="1:30" x14ac:dyDescent="0.25">
      <c r="A9" s="123">
        <f>--SUBTOTAL(3,$B$2:B8)</f>
        <v>7</v>
      </c>
      <c r="B9" s="106">
        <v>1245</v>
      </c>
      <c r="C9" s="134" t="s">
        <v>1090</v>
      </c>
      <c r="D9" s="135" t="s">
        <v>3621</v>
      </c>
      <c r="E9" s="87" t="s">
        <v>3622</v>
      </c>
      <c r="F9" s="87" t="s">
        <v>2719</v>
      </c>
      <c r="G9" s="87" t="s">
        <v>3434</v>
      </c>
      <c r="H9" s="82" t="s">
        <v>1113</v>
      </c>
      <c r="I9" s="83" t="s">
        <v>3623</v>
      </c>
      <c r="J9" s="87" t="s">
        <v>3624</v>
      </c>
      <c r="K9" s="87" t="s">
        <v>17</v>
      </c>
      <c r="L9" s="87" t="s">
        <v>1092</v>
      </c>
      <c r="M9" s="87" t="s">
        <v>16</v>
      </c>
      <c r="N9" s="87" t="s">
        <v>3625</v>
      </c>
      <c r="O9" s="87" t="s">
        <v>43</v>
      </c>
      <c r="P9" s="79" t="s">
        <v>2724</v>
      </c>
      <c r="Q9" s="85" t="s">
        <v>23</v>
      </c>
      <c r="R9" s="86" t="s">
        <v>2720</v>
      </c>
      <c r="S9" s="109" t="s">
        <v>16</v>
      </c>
      <c r="T9" s="110" t="s">
        <v>1115</v>
      </c>
      <c r="U9" s="111" t="s">
        <v>3626</v>
      </c>
      <c r="W9" s="120" t="s">
        <v>100</v>
      </c>
      <c r="X9" s="86">
        <v>1</v>
      </c>
      <c r="Y9" s="115"/>
      <c r="Z9" s="86"/>
      <c r="AA9" s="113">
        <v>45514</v>
      </c>
      <c r="AB9" s="118" t="s">
        <v>3613</v>
      </c>
      <c r="AC9" s="84" t="s">
        <v>3627</v>
      </c>
      <c r="AD9" s="84">
        <v>1433</v>
      </c>
    </row>
    <row r="10" spans="1:30" ht="38.25" x14ac:dyDescent="0.25">
      <c r="A10" s="123">
        <f>--SUBTOTAL(3,$B$2:B9)</f>
        <v>8</v>
      </c>
      <c r="B10" s="85">
        <v>1336</v>
      </c>
      <c r="C10" s="134" t="s">
        <v>3592</v>
      </c>
      <c r="D10" s="135" t="s">
        <v>3628</v>
      </c>
      <c r="E10" s="87" t="s">
        <v>3629</v>
      </c>
      <c r="F10" s="87" t="s">
        <v>2777</v>
      </c>
      <c r="G10" s="87" t="s">
        <v>3093</v>
      </c>
      <c r="H10" s="82" t="str">
        <f t="shared" ref="H10:H16" si="1">TRIM($E10)&amp;" "&amp;TRIM($F10)</f>
        <v>ΔΑΛΕΖΙΟΣ ΑΧΙΛΛΕΑΣ</v>
      </c>
      <c r="I10" s="83" t="str">
        <f>TRIM($H10)&amp;" - "&amp;TRIM($O10)&amp;" ("&amp;TRIM(W10)&amp;")"</f>
        <v>ΔΑΛΕΖΙΟΣ ΑΧΙΛΛΕΑΣ - ΠΕ ΤΟΠ. ΜΗΧ. (ΣΥΝΤΑΞΗ)</v>
      </c>
      <c r="J10" s="87" t="s">
        <v>3630</v>
      </c>
      <c r="K10" s="87" t="s">
        <v>888</v>
      </c>
      <c r="L10" s="87" t="s">
        <v>888</v>
      </c>
      <c r="M10" s="87" t="s">
        <v>16</v>
      </c>
      <c r="N10" s="87" t="s">
        <v>889</v>
      </c>
      <c r="O10" s="87" t="s">
        <v>183</v>
      </c>
      <c r="P10" s="79" t="str">
        <f>LEFT(Q10,1)</f>
        <v>Μ</v>
      </c>
      <c r="Q10" s="85" t="s">
        <v>23</v>
      </c>
      <c r="R10" s="86" t="s">
        <v>2716</v>
      </c>
      <c r="S10" s="109" t="s">
        <v>3631</v>
      </c>
      <c r="T10" s="110" t="s">
        <v>891</v>
      </c>
      <c r="U10" s="111" t="s">
        <v>3632</v>
      </c>
      <c r="W10" s="120" t="s">
        <v>3612</v>
      </c>
      <c r="X10" s="86">
        <v>13</v>
      </c>
      <c r="Y10" s="86"/>
      <c r="Z10" s="86"/>
      <c r="AA10" s="113">
        <v>44848</v>
      </c>
      <c r="AB10" s="86" t="s">
        <v>3612</v>
      </c>
      <c r="AC10" s="84" t="s">
        <v>3633</v>
      </c>
      <c r="AD10" s="84">
        <v>1085</v>
      </c>
    </row>
    <row r="11" spans="1:30" x14ac:dyDescent="0.25">
      <c r="A11" s="123">
        <f>--SUBTOTAL(3,$B$2:B10)</f>
        <v>9</v>
      </c>
      <c r="B11" s="85">
        <v>1058</v>
      </c>
      <c r="C11" s="134" t="s">
        <v>3592</v>
      </c>
      <c r="D11" s="135" t="s">
        <v>3634</v>
      </c>
      <c r="E11" s="87" t="s">
        <v>3375</v>
      </c>
      <c r="F11" s="87" t="s">
        <v>2722</v>
      </c>
      <c r="G11" s="87" t="s">
        <v>2773</v>
      </c>
      <c r="H11" s="82" t="str">
        <f t="shared" si="1"/>
        <v>ΔΕΔΕ ΙΩΑΝΝΑ</v>
      </c>
      <c r="I11" s="83" t="str">
        <f>TRIM($H11)&amp;" - "&amp;TRIM($O11)&amp;" ("&amp;TRIM(W11)&amp;")"</f>
        <v>ΔΕΔΕ ΙΩΑΝΝΑ - ΠΕ ΓΕΩΤΕΧΝΙΚΩΝ (ΟΑΣΠ)</v>
      </c>
      <c r="J11" s="87" t="s">
        <v>3376</v>
      </c>
      <c r="K11" s="87" t="s">
        <v>16</v>
      </c>
      <c r="L11" s="87" t="s">
        <v>16</v>
      </c>
      <c r="M11" s="87" t="s">
        <v>3259</v>
      </c>
      <c r="N11" s="87" t="s">
        <v>3377</v>
      </c>
      <c r="O11" s="87" t="s">
        <v>298</v>
      </c>
      <c r="P11" s="79" t="str">
        <f>LEFT(Q11,1)</f>
        <v>Δ</v>
      </c>
      <c r="Q11" s="85" t="s">
        <v>19</v>
      </c>
      <c r="R11" s="86" t="s">
        <v>2754</v>
      </c>
      <c r="S11" s="109" t="s">
        <v>16</v>
      </c>
      <c r="T11" s="110" t="s">
        <v>16</v>
      </c>
      <c r="U11" s="111" t="s">
        <v>3601</v>
      </c>
      <c r="V11" s="111" t="s">
        <v>3635</v>
      </c>
      <c r="W11" s="120" t="s">
        <v>3635</v>
      </c>
      <c r="X11" s="86">
        <v>0</v>
      </c>
      <c r="Y11" s="86"/>
      <c r="Z11" s="86"/>
      <c r="AA11" s="113">
        <v>45078</v>
      </c>
      <c r="AB11" s="86" t="s">
        <v>3635</v>
      </c>
      <c r="AC11" s="84" t="s">
        <v>2280</v>
      </c>
      <c r="AD11" s="84">
        <v>1087</v>
      </c>
    </row>
    <row r="12" spans="1:30" s="139" customFormat="1" x14ac:dyDescent="0.25">
      <c r="A12" s="123">
        <f>--SUBTOTAL(3,$B$2:B11)</f>
        <v>10</v>
      </c>
      <c r="B12" s="106">
        <v>1130</v>
      </c>
      <c r="C12" s="80" t="s">
        <v>120</v>
      </c>
      <c r="D12" s="135" t="s">
        <v>1654</v>
      </c>
      <c r="E12" s="87" t="s">
        <v>2838</v>
      </c>
      <c r="F12" s="87" t="s">
        <v>3636</v>
      </c>
      <c r="G12" s="87" t="s">
        <v>2735</v>
      </c>
      <c r="H12" s="82" t="str">
        <f t="shared" si="1"/>
        <v>ΔΗΜΟΣΘΕΝΗΣ ΒΛΑΣΙΟΣ</v>
      </c>
      <c r="I12" s="83" t="str">
        <f>TRIM($H12)&amp;" - "&amp;TRIM($O12)&amp;" ("&amp;TRIM(C12)&amp;")"</f>
        <v>ΔΗΜΟΣΘΕΝΗΣ ΒΛΑΣΙΟΣ - ΠΕ ΠΟΛ. ΜΗΧ. (ΒΕ)</v>
      </c>
      <c r="J12" s="87" t="s">
        <v>1656</v>
      </c>
      <c r="K12" s="208" t="s">
        <v>38</v>
      </c>
      <c r="L12" s="87"/>
      <c r="M12" s="87" t="s">
        <v>171</v>
      </c>
      <c r="N12" s="87" t="s">
        <v>239</v>
      </c>
      <c r="O12" s="87" t="s">
        <v>43</v>
      </c>
      <c r="P12" s="114" t="s">
        <v>2724</v>
      </c>
      <c r="Q12" s="85" t="s">
        <v>23</v>
      </c>
      <c r="R12" s="86" t="s">
        <v>2720</v>
      </c>
      <c r="S12" s="109" t="s">
        <v>1657</v>
      </c>
      <c r="T12" s="110" t="s">
        <v>241</v>
      </c>
      <c r="U12" s="111" t="s">
        <v>3637</v>
      </c>
      <c r="V12" s="111"/>
      <c r="W12" s="112" t="s">
        <v>33</v>
      </c>
      <c r="X12" s="86">
        <v>1</v>
      </c>
      <c r="Y12" s="86"/>
      <c r="Z12" s="86"/>
      <c r="AA12" s="113">
        <v>45309</v>
      </c>
      <c r="AB12" s="118" t="s">
        <v>3613</v>
      </c>
      <c r="AC12" s="84" t="s">
        <v>3638</v>
      </c>
      <c r="AD12" s="84">
        <v>1386</v>
      </c>
    </row>
    <row r="13" spans="1:30" ht="38.25" x14ac:dyDescent="0.25">
      <c r="A13" s="123">
        <f>--SUBTOTAL(3,$B$2:B12)</f>
        <v>11</v>
      </c>
      <c r="B13" s="106">
        <v>1313</v>
      </c>
      <c r="C13" s="80" t="s">
        <v>2261</v>
      </c>
      <c r="D13" s="135" t="s">
        <v>3639</v>
      </c>
      <c r="E13" s="87" t="s">
        <v>3640</v>
      </c>
      <c r="F13" s="87" t="s">
        <v>2802</v>
      </c>
      <c r="G13" s="87" t="s">
        <v>3043</v>
      </c>
      <c r="H13" s="82" t="str">
        <f t="shared" si="1"/>
        <v>ΕΣΚΙΝΤΖΗΣ ΑΠΟΣΤΟΛΟΣ</v>
      </c>
      <c r="I13" s="83" t="str">
        <f>TRIM($H13)&amp;" - "&amp;TRIM($O13)&amp;" ("&amp;TRIM(C13)&amp;")"</f>
        <v>ΕΣΚΙΝΤΖΗΣ ΑΠΟΣΤΟΛΟΣ - ΤΕ ΕΡΓΟΔΗΓΩΝ (Χ.ΠΤ.) (ΚΕ-Β)</v>
      </c>
      <c r="J13" s="87" t="s">
        <v>3641</v>
      </c>
      <c r="K13" s="208" t="s">
        <v>17</v>
      </c>
      <c r="L13" s="87" t="s">
        <v>805</v>
      </c>
      <c r="M13" s="87" t="s">
        <v>16</v>
      </c>
      <c r="N13" s="87" t="s">
        <v>806</v>
      </c>
      <c r="O13" s="87" t="s">
        <v>807</v>
      </c>
      <c r="P13" s="108" t="s">
        <v>2715</v>
      </c>
      <c r="Q13" s="85" t="s">
        <v>19</v>
      </c>
      <c r="R13" s="86" t="s">
        <v>2754</v>
      </c>
      <c r="S13" s="109" t="s">
        <v>16</v>
      </c>
      <c r="T13" s="110" t="s">
        <v>808</v>
      </c>
      <c r="U13" s="111" t="s">
        <v>3642</v>
      </c>
      <c r="W13" s="112" t="s">
        <v>74</v>
      </c>
      <c r="X13" s="86">
        <v>17</v>
      </c>
      <c r="Y13" s="115">
        <v>44926</v>
      </c>
      <c r="Z13" s="86"/>
      <c r="AA13" s="113">
        <v>44926</v>
      </c>
      <c r="AB13" s="86" t="s">
        <v>3612</v>
      </c>
      <c r="AC13" s="84" t="s">
        <v>3643</v>
      </c>
      <c r="AD13" s="84">
        <v>1292</v>
      </c>
    </row>
    <row r="14" spans="1:30" ht="38.25" x14ac:dyDescent="0.25">
      <c r="A14" s="123">
        <f>--SUBTOTAL(3,$B$2:B13)</f>
        <v>12</v>
      </c>
      <c r="B14" s="85">
        <v>1060</v>
      </c>
      <c r="C14" s="134" t="s">
        <v>3592</v>
      </c>
      <c r="D14" s="135" t="s">
        <v>3591</v>
      </c>
      <c r="E14" s="87" t="s">
        <v>3644</v>
      </c>
      <c r="F14" s="87" t="s">
        <v>3645</v>
      </c>
      <c r="G14" s="87" t="s">
        <v>2736</v>
      </c>
      <c r="H14" s="82" t="str">
        <f t="shared" si="1"/>
        <v>ΖΑΓΟΡΑ ΓΑΒΡΙΕΛΑ</v>
      </c>
      <c r="I14" s="83" t="str">
        <f>TRIM($H14)&amp;" - "&amp;TRIM($O14)&amp;" ("&amp;TRIM(W14)&amp;")"</f>
        <v>ΖΑΓΟΡΑ ΓΑΒΡΙΕΛΑ - ΠΕ ΠΟΛ. ΜΗΧ. (ΟΑΣΠ)</v>
      </c>
      <c r="J14" s="87" t="s">
        <v>3646</v>
      </c>
      <c r="K14" s="87" t="s">
        <v>16</v>
      </c>
      <c r="L14" s="87" t="s">
        <v>16</v>
      </c>
      <c r="M14" s="87" t="s">
        <v>3067</v>
      </c>
      <c r="N14" s="87" t="s">
        <v>3647</v>
      </c>
      <c r="O14" s="87" t="s">
        <v>43</v>
      </c>
      <c r="P14" s="79" t="str">
        <f>LEFT(Q14,1)</f>
        <v>Μ</v>
      </c>
      <c r="Q14" s="85" t="s">
        <v>23</v>
      </c>
      <c r="R14" s="86" t="s">
        <v>2716</v>
      </c>
      <c r="S14" s="109" t="s">
        <v>16</v>
      </c>
      <c r="T14" s="110" t="s">
        <v>16</v>
      </c>
      <c r="U14" s="111" t="s">
        <v>3606</v>
      </c>
      <c r="V14" s="111" t="s">
        <v>3635</v>
      </c>
      <c r="W14" s="120" t="s">
        <v>3635</v>
      </c>
      <c r="X14" s="86">
        <v>0</v>
      </c>
      <c r="Y14" s="86"/>
      <c r="Z14" s="86"/>
      <c r="AA14" s="113">
        <v>45240</v>
      </c>
      <c r="AB14" s="86" t="s">
        <v>3635</v>
      </c>
      <c r="AC14" s="84" t="s">
        <v>3648</v>
      </c>
      <c r="AD14" s="84">
        <v>1430</v>
      </c>
    </row>
    <row r="15" spans="1:30" ht="38.25" x14ac:dyDescent="0.25">
      <c r="A15" s="123">
        <f>--SUBTOTAL(3,$B$2:B14)</f>
        <v>13</v>
      </c>
      <c r="B15" s="85">
        <v>1064</v>
      </c>
      <c r="C15" s="134" t="s">
        <v>3592</v>
      </c>
      <c r="D15" s="135" t="s">
        <v>3603</v>
      </c>
      <c r="E15" s="87" t="s">
        <v>3382</v>
      </c>
      <c r="F15" s="87" t="s">
        <v>2991</v>
      </c>
      <c r="G15" s="87" t="s">
        <v>2796</v>
      </c>
      <c r="H15" s="82" t="str">
        <f t="shared" si="1"/>
        <v>ΙΩΑΚΕΙΜΙΔΟΥ ΑΝΑΣΤΑΣΙΑ</v>
      </c>
      <c r="I15" s="83" t="str">
        <f>TRIM($H15)&amp;" - "&amp;TRIM($O15)&amp;" ("&amp;TRIM(W15)&amp;")"</f>
        <v>ΙΩΑΚΕΙΜΙΔΟΥ ΑΝΑΣΤΑΣΙΑ - ΠΕ ΤΟΠ. ΜΗΧ. (ΒΡΥΞΕΛΛΕΣ)</v>
      </c>
      <c r="J15" s="87" t="s">
        <v>3383</v>
      </c>
      <c r="K15" s="87" t="s">
        <v>16</v>
      </c>
      <c r="L15" s="87" t="s">
        <v>16</v>
      </c>
      <c r="M15" s="87" t="s">
        <v>3067</v>
      </c>
      <c r="N15" s="87" t="s">
        <v>3649</v>
      </c>
      <c r="O15" s="87" t="s">
        <v>183</v>
      </c>
      <c r="P15" s="79" t="str">
        <f>LEFT(Q15,1)</f>
        <v>Μ</v>
      </c>
      <c r="Q15" s="85" t="s">
        <v>23</v>
      </c>
      <c r="R15" s="86" t="s">
        <v>2716</v>
      </c>
      <c r="S15" s="109" t="s">
        <v>16</v>
      </c>
      <c r="T15" s="110" t="s">
        <v>16</v>
      </c>
      <c r="U15" s="111" t="s">
        <v>3650</v>
      </c>
      <c r="V15" s="111" t="s">
        <v>3651</v>
      </c>
      <c r="W15" s="120" t="s">
        <v>3651</v>
      </c>
      <c r="X15" s="86">
        <v>0</v>
      </c>
      <c r="Y15" s="86"/>
      <c r="Z15" s="86"/>
      <c r="AA15" s="113">
        <v>44930</v>
      </c>
      <c r="AB15" s="86" t="s">
        <v>3651</v>
      </c>
      <c r="AC15" s="84" t="s">
        <v>3652</v>
      </c>
      <c r="AD15" s="84">
        <v>1097</v>
      </c>
    </row>
    <row r="16" spans="1:30" x14ac:dyDescent="0.25">
      <c r="A16" s="123">
        <f>--SUBTOTAL(3,$B$2:B15)</f>
        <v>14</v>
      </c>
      <c r="B16" s="85">
        <v>1067</v>
      </c>
      <c r="C16" s="134" t="s">
        <v>3592</v>
      </c>
      <c r="D16" s="135" t="s">
        <v>3614</v>
      </c>
      <c r="E16" s="87" t="s">
        <v>3653</v>
      </c>
      <c r="F16" s="87" t="s">
        <v>2974</v>
      </c>
      <c r="G16" s="87" t="s">
        <v>2789</v>
      </c>
      <c r="H16" s="82" t="str">
        <f t="shared" si="1"/>
        <v>ΚΑΡΑΓΙΑΝΝΙΔΗ ΕΥΤΥΧΙΑ</v>
      </c>
      <c r="I16" s="83" t="str">
        <f>TRIM($H16)&amp;" - "&amp;TRIM($O16)&amp;" ("&amp;TRIM(W16)&amp;")"</f>
        <v>ΚΑΡΑΓΙΑΝΝΙΔΗ ΕΥΤΥΧΙΑ - ΤΕ ΜΗΧΑΝΙΚΩΝ (ΔΙΑΧΕΙΡΙΣΤΙΚΗ ΑΡΧΗ)</v>
      </c>
      <c r="J16" s="87" t="s">
        <v>3654</v>
      </c>
      <c r="K16" s="87" t="s">
        <v>16</v>
      </c>
      <c r="L16" s="87" t="s">
        <v>16</v>
      </c>
      <c r="M16" s="87" t="s">
        <v>3067</v>
      </c>
      <c r="N16" s="87" t="s">
        <v>3655</v>
      </c>
      <c r="O16" s="87" t="s">
        <v>1007</v>
      </c>
      <c r="P16" s="79" t="str">
        <f>LEFT(Q16,1)</f>
        <v>Μ</v>
      </c>
      <c r="Q16" s="85" t="s">
        <v>23</v>
      </c>
      <c r="R16" s="86" t="s">
        <v>2716</v>
      </c>
      <c r="S16" s="109" t="s">
        <v>16</v>
      </c>
      <c r="T16" s="110" t="s">
        <v>16</v>
      </c>
      <c r="U16" s="111" t="s">
        <v>26</v>
      </c>
      <c r="V16" s="111" t="s">
        <v>3656</v>
      </c>
      <c r="W16" s="120" t="s">
        <v>3656</v>
      </c>
      <c r="X16" s="86">
        <v>11</v>
      </c>
      <c r="Y16" s="86"/>
      <c r="Z16" s="86"/>
      <c r="AA16" s="113">
        <v>45260</v>
      </c>
      <c r="AB16" s="86" t="s">
        <v>3656</v>
      </c>
      <c r="AC16" s="84" t="s">
        <v>3657</v>
      </c>
      <c r="AD16" s="84">
        <v>1234</v>
      </c>
    </row>
    <row r="17" spans="1:30" x14ac:dyDescent="0.25">
      <c r="A17" s="123">
        <f>--SUBTOTAL(3,$B$2:B16)</f>
        <v>15</v>
      </c>
      <c r="B17" s="106">
        <v>1138</v>
      </c>
      <c r="C17" s="134" t="s">
        <v>3592</v>
      </c>
      <c r="D17" s="135" t="s">
        <v>3658</v>
      </c>
      <c r="E17" s="87" t="s">
        <v>3659</v>
      </c>
      <c r="F17" s="87" t="s">
        <v>2719</v>
      </c>
      <c r="G17" s="87" t="s">
        <v>3537</v>
      </c>
      <c r="H17" s="82" t="s">
        <v>266</v>
      </c>
      <c r="I17" s="83" t="s">
        <v>3660</v>
      </c>
      <c r="J17" s="87" t="s">
        <v>3661</v>
      </c>
      <c r="K17" s="87" t="s">
        <v>24</v>
      </c>
      <c r="L17" s="87" t="s">
        <v>162</v>
      </c>
      <c r="M17" s="87" t="s">
        <v>3662</v>
      </c>
      <c r="N17" s="87" t="s">
        <v>267</v>
      </c>
      <c r="O17" s="87" t="s">
        <v>43</v>
      </c>
      <c r="P17" s="79" t="s">
        <v>2724</v>
      </c>
      <c r="Q17" s="85" t="s">
        <v>23</v>
      </c>
      <c r="R17" s="86" t="s">
        <v>2720</v>
      </c>
      <c r="S17" s="109" t="s">
        <v>3663</v>
      </c>
      <c r="T17" s="110" t="s">
        <v>269</v>
      </c>
      <c r="U17" s="111" t="s">
        <v>3637</v>
      </c>
      <c r="W17" s="120" t="s">
        <v>33</v>
      </c>
      <c r="X17" s="86">
        <v>1</v>
      </c>
      <c r="Y17" s="115"/>
      <c r="Z17" s="86"/>
      <c r="AA17" s="113">
        <v>45214</v>
      </c>
      <c r="AB17" s="118" t="s">
        <v>3613</v>
      </c>
      <c r="AC17" s="84" t="s">
        <v>3475</v>
      </c>
      <c r="AD17" s="84">
        <v>1103</v>
      </c>
    </row>
    <row r="18" spans="1:30" ht="38.25" x14ac:dyDescent="0.25">
      <c r="A18" s="123">
        <f>--SUBTOTAL(3,$B$2:B17)</f>
        <v>16</v>
      </c>
      <c r="B18" s="106">
        <v>1378</v>
      </c>
      <c r="C18" s="80" t="s">
        <v>2340</v>
      </c>
      <c r="D18" s="135" t="s">
        <v>2549</v>
      </c>
      <c r="E18" s="87" t="s">
        <v>3664</v>
      </c>
      <c r="F18" s="87" t="s">
        <v>2884</v>
      </c>
      <c r="G18" s="87" t="s">
        <v>2748</v>
      </c>
      <c r="H18" s="82" t="str">
        <f>TRIM($E18)&amp;" "&amp;TRIM($F18)</f>
        <v>ΜΠΑΜΠΙΛΗ ΒΙΚΤΩΡΙΑ</v>
      </c>
      <c r="I18" s="83" t="str">
        <f>TRIM($H18)&amp;" - "&amp;TRIM($O18)&amp;" ("&amp;TRIM(C18)&amp;")"</f>
        <v>ΜΠΑΜΠΙΛΗ ΒΙΚΤΩΡΙΑ - ΠΕ ΠΟΛ. ΜΗΧ. (ΚΕ-Δ)</v>
      </c>
      <c r="J18" s="87" t="s">
        <v>2551</v>
      </c>
      <c r="K18" s="208" t="s">
        <v>24</v>
      </c>
      <c r="L18" s="87" t="s">
        <v>979</v>
      </c>
      <c r="M18" s="87" t="s">
        <v>16</v>
      </c>
      <c r="N18" s="87" t="s">
        <v>1037</v>
      </c>
      <c r="O18" s="87" t="s">
        <v>43</v>
      </c>
      <c r="P18" s="114" t="s">
        <v>2724</v>
      </c>
      <c r="Q18" s="85" t="s">
        <v>23</v>
      </c>
      <c r="R18" s="86" t="s">
        <v>2754</v>
      </c>
      <c r="S18" s="109" t="s">
        <v>2552</v>
      </c>
      <c r="T18" s="110" t="s">
        <v>1039</v>
      </c>
      <c r="U18" s="111" t="s">
        <v>3650</v>
      </c>
      <c r="W18" s="112" t="s">
        <v>92</v>
      </c>
      <c r="X18" s="86">
        <v>17</v>
      </c>
      <c r="Y18" s="86"/>
      <c r="Z18" s="86"/>
      <c r="AA18" s="113">
        <v>44949</v>
      </c>
      <c r="AB18" s="86" t="s">
        <v>3612</v>
      </c>
      <c r="AC18" s="84" t="s">
        <v>2330</v>
      </c>
      <c r="AD18" s="84">
        <v>1104</v>
      </c>
    </row>
    <row r="19" spans="1:30" x14ac:dyDescent="0.25">
      <c r="A19" s="123">
        <f>--SUBTOTAL(3,$B$2:B18)</f>
        <v>17</v>
      </c>
      <c r="B19" s="85">
        <v>1433</v>
      </c>
      <c r="C19" s="134" t="s">
        <v>3592</v>
      </c>
      <c r="D19" s="135" t="s">
        <v>3665</v>
      </c>
      <c r="E19" s="87" t="s">
        <v>3666</v>
      </c>
      <c r="F19" s="87" t="s">
        <v>2735</v>
      </c>
      <c r="G19" s="87" t="s">
        <v>2771</v>
      </c>
      <c r="H19" s="82" t="s">
        <v>1343</v>
      </c>
      <c r="I19" s="83" t="s">
        <v>3667</v>
      </c>
      <c r="J19" s="87" t="s">
        <v>3668</v>
      </c>
      <c r="K19" s="87" t="s">
        <v>20</v>
      </c>
      <c r="L19" s="87" t="s">
        <v>1268</v>
      </c>
      <c r="M19" s="87" t="s">
        <v>16</v>
      </c>
      <c r="N19" s="87" t="s">
        <v>1344</v>
      </c>
      <c r="O19" s="87" t="s">
        <v>453</v>
      </c>
      <c r="P19" s="79" t="s">
        <v>2724</v>
      </c>
      <c r="Q19" s="85" t="s">
        <v>23</v>
      </c>
      <c r="R19" s="86" t="s">
        <v>2720</v>
      </c>
      <c r="S19" s="109" t="s">
        <v>3669</v>
      </c>
      <c r="T19" s="110" t="s">
        <v>1346</v>
      </c>
      <c r="U19" s="111" t="s">
        <v>3590</v>
      </c>
      <c r="W19" s="120" t="s">
        <v>115</v>
      </c>
      <c r="X19" s="86">
        <v>5</v>
      </c>
      <c r="Y19" s="115"/>
      <c r="Z19" s="86"/>
      <c r="AA19" s="113">
        <v>45017</v>
      </c>
      <c r="AB19" s="118" t="s">
        <v>3613</v>
      </c>
      <c r="AC19" s="84" t="s">
        <v>3670</v>
      </c>
      <c r="AD19" s="84">
        <v>1107</v>
      </c>
    </row>
    <row r="20" spans="1:30" ht="27" customHeight="1" x14ac:dyDescent="0.25">
      <c r="A20" s="123">
        <f>--SUBTOTAL(3,$B$2:B19)</f>
        <v>18</v>
      </c>
      <c r="B20" s="106"/>
      <c r="C20" s="80" t="s">
        <v>1252</v>
      </c>
      <c r="D20" s="135" t="s">
        <v>1574</v>
      </c>
      <c r="E20" s="87" t="s">
        <v>3671</v>
      </c>
      <c r="F20" s="87" t="s">
        <v>3672</v>
      </c>
      <c r="G20" s="87" t="s">
        <v>2736</v>
      </c>
      <c r="H20" s="82" t="s">
        <v>1351</v>
      </c>
      <c r="I20" s="83" t="s">
        <v>3673</v>
      </c>
      <c r="J20" s="87" t="s">
        <v>1576</v>
      </c>
      <c r="K20" s="210" t="s">
        <v>20</v>
      </c>
      <c r="L20" s="87" t="s">
        <v>1268</v>
      </c>
      <c r="M20" s="87" t="s">
        <v>3674</v>
      </c>
      <c r="N20" s="87" t="s">
        <v>1352</v>
      </c>
      <c r="O20" s="87" t="s">
        <v>224</v>
      </c>
      <c r="P20" s="114" t="s">
        <v>2724</v>
      </c>
      <c r="Q20" s="85" t="s">
        <v>23</v>
      </c>
      <c r="R20" s="86" t="s">
        <v>2720</v>
      </c>
      <c r="S20" s="109" t="s">
        <v>1577</v>
      </c>
      <c r="T20" s="110" t="s">
        <v>1354</v>
      </c>
      <c r="U20" s="121" t="s">
        <v>3590</v>
      </c>
      <c r="V20" s="122"/>
      <c r="W20" s="112" t="s">
        <v>115</v>
      </c>
      <c r="X20" s="86">
        <v>5</v>
      </c>
      <c r="Y20" s="86"/>
      <c r="Z20" s="86"/>
      <c r="AA20" s="113">
        <v>44891</v>
      </c>
      <c r="AB20" s="118" t="s">
        <v>3613</v>
      </c>
      <c r="AC20" s="84" t="s">
        <v>3675</v>
      </c>
      <c r="AD20" s="84">
        <v>1415</v>
      </c>
    </row>
    <row r="21" spans="1:30" ht="27" customHeight="1" x14ac:dyDescent="0.25">
      <c r="A21" s="123">
        <f>--SUBTOTAL(3,$B$2:B20)</f>
        <v>18</v>
      </c>
      <c r="B21" s="85">
        <v>1085</v>
      </c>
      <c r="C21" s="134" t="s">
        <v>3592</v>
      </c>
      <c r="D21" s="135" t="s">
        <v>3627</v>
      </c>
      <c r="E21" s="116" t="s">
        <v>3676</v>
      </c>
      <c r="F21" s="84" t="s">
        <v>2743</v>
      </c>
      <c r="G21" s="84" t="s">
        <v>2735</v>
      </c>
      <c r="H21" s="82" t="str">
        <f t="shared" ref="H21:H27" si="2">TRIM($E21)&amp;" "&amp;TRIM($F21)</f>
        <v>ΜΩΚΟΣ ΒΑΣΙΛΕΙΟΣ</v>
      </c>
      <c r="I21" s="83" t="str">
        <f>TRIM($H21)&amp;" - "&amp;TRIM($O21)&amp;" ("&amp;TRIM(W21)&amp;")"</f>
        <v>ΜΩΚΟΣ ΒΑΣΙΛΕΙΟΣ - ΠΕ ΠΟΛ. ΜΗΧ. (ΟΑΣΠ)</v>
      </c>
      <c r="J21" s="84" t="s">
        <v>3677</v>
      </c>
      <c r="L21" s="84"/>
      <c r="M21" s="87" t="s">
        <v>16</v>
      </c>
      <c r="N21" s="84" t="s">
        <v>16</v>
      </c>
      <c r="O21" s="84" t="s">
        <v>43</v>
      </c>
      <c r="P21" s="79" t="str">
        <f>LEFT(Q21,1)</f>
        <v>Μ</v>
      </c>
      <c r="Q21" s="85" t="s">
        <v>23</v>
      </c>
      <c r="R21" s="85" t="s">
        <v>2716</v>
      </c>
      <c r="S21" s="109" t="s">
        <v>16</v>
      </c>
      <c r="T21" s="110" t="s">
        <v>16</v>
      </c>
      <c r="U21" s="111" t="s">
        <v>3601</v>
      </c>
      <c r="W21" s="136" t="s">
        <v>3635</v>
      </c>
      <c r="X21" s="85">
        <v>0</v>
      </c>
      <c r="Y21" s="85"/>
      <c r="Z21" s="85"/>
      <c r="AA21" s="85"/>
      <c r="AB21" s="86" t="s">
        <v>3635</v>
      </c>
      <c r="AC21" s="84"/>
      <c r="AD21" s="84"/>
    </row>
    <row r="22" spans="1:30" ht="27" customHeight="1" x14ac:dyDescent="0.25">
      <c r="A22" s="123">
        <f>--SUBTOTAL(3,$B$2:B21)</f>
        <v>19</v>
      </c>
      <c r="B22" s="85">
        <v>1087</v>
      </c>
      <c r="C22" s="134" t="s">
        <v>3592</v>
      </c>
      <c r="D22" s="135" t="s">
        <v>3633</v>
      </c>
      <c r="E22" s="87" t="s">
        <v>3678</v>
      </c>
      <c r="F22" s="87" t="s">
        <v>3043</v>
      </c>
      <c r="G22" s="87" t="s">
        <v>2748</v>
      </c>
      <c r="H22" s="82" t="str">
        <f t="shared" si="2"/>
        <v>ΝΙΚΟΛΟΠΟΥΛΟΣ ΕΥΑΓΓΕΛΟΣ</v>
      </c>
      <c r="I22" s="83" t="str">
        <f>TRIM($H22)&amp;" - "&amp;TRIM($O22)&amp;" ("&amp;TRIM(W22)&amp;")"</f>
        <v>ΝΙΚΟΛΟΠΟΥΛΟΣ ΕΥΑΓΓΕΛΟΣ - ΠΕ ΜΗΧΑΝΙΚΩΝ (ΓΡΑΦΕΙΟ ΥΠΟΥΡΓΟΥ)</v>
      </c>
      <c r="J22" s="87" t="s">
        <v>3679</v>
      </c>
      <c r="K22" s="212" t="s">
        <v>16</v>
      </c>
      <c r="L22" s="87" t="s">
        <v>16</v>
      </c>
      <c r="M22" s="87" t="s">
        <v>16</v>
      </c>
      <c r="N22" s="87" t="s">
        <v>3680</v>
      </c>
      <c r="O22" s="87" t="s">
        <v>31</v>
      </c>
      <c r="P22" s="79" t="str">
        <f>LEFT(Q22,1)</f>
        <v>Μ</v>
      </c>
      <c r="Q22" s="85" t="s">
        <v>23</v>
      </c>
      <c r="R22" s="86" t="s">
        <v>2720</v>
      </c>
      <c r="S22" s="109" t="s">
        <v>16</v>
      </c>
      <c r="T22" s="110" t="s">
        <v>3681</v>
      </c>
      <c r="U22" s="111" t="s">
        <v>3601</v>
      </c>
      <c r="V22" s="111" t="s">
        <v>3312</v>
      </c>
      <c r="W22" s="120" t="s">
        <v>3682</v>
      </c>
      <c r="X22" s="86">
        <v>1</v>
      </c>
      <c r="Y22" s="86"/>
      <c r="Z22" s="86"/>
      <c r="AA22" s="113">
        <v>45212</v>
      </c>
      <c r="AB22" s="86" t="s">
        <v>3312</v>
      </c>
      <c r="AC22" s="84"/>
      <c r="AD22" s="84"/>
    </row>
    <row r="23" spans="1:30" ht="27" customHeight="1" x14ac:dyDescent="0.25">
      <c r="A23" s="123">
        <f>--SUBTOTAL(3,$B$2:B22)</f>
        <v>20</v>
      </c>
      <c r="B23" s="106">
        <v>1382</v>
      </c>
      <c r="C23" s="80" t="s">
        <v>2340</v>
      </c>
      <c r="D23" s="135" t="s">
        <v>2570</v>
      </c>
      <c r="E23" s="87" t="s">
        <v>3683</v>
      </c>
      <c r="F23" s="87" t="s">
        <v>2735</v>
      </c>
      <c r="G23" s="87" t="s">
        <v>3110</v>
      </c>
      <c r="H23" s="82" t="str">
        <f t="shared" si="2"/>
        <v>ΠΑΠΑΕΥΘΥΜΙΟΥ-ΓΩΓΟΣ ΓΕΩΡΓΙΟΣ</v>
      </c>
      <c r="I23" s="83" t="str">
        <f>TRIM($H23)&amp;" - "&amp;TRIM($O23)&amp;" ("&amp;TRIM(C23)&amp;")"</f>
        <v>ΠΑΠΑΕΥΘΥΜΙΟΥ-ΓΩΓΟΣ ΓΕΩΡΓΙΟΣ - ΠΕ ΑΡΧ. ΜΗΧ. (ΚΕ-Δ)</v>
      </c>
      <c r="J23" s="87" t="s">
        <v>2572</v>
      </c>
      <c r="K23" s="210" t="s">
        <v>24</v>
      </c>
      <c r="L23" s="87" t="s">
        <v>1052</v>
      </c>
      <c r="M23" s="87" t="s">
        <v>16</v>
      </c>
      <c r="N23" s="87" t="s">
        <v>2573</v>
      </c>
      <c r="O23" s="87" t="s">
        <v>224</v>
      </c>
      <c r="P23" s="114" t="s">
        <v>2724</v>
      </c>
      <c r="Q23" s="85" t="s">
        <v>23</v>
      </c>
      <c r="R23" s="86" t="s">
        <v>2716</v>
      </c>
      <c r="S23" s="109" t="s">
        <v>2574</v>
      </c>
      <c r="T23" s="110" t="s">
        <v>2575</v>
      </c>
      <c r="U23" s="111" t="s">
        <v>3650</v>
      </c>
      <c r="W23" s="112" t="s">
        <v>92</v>
      </c>
      <c r="X23" s="86">
        <v>11</v>
      </c>
      <c r="Y23" s="86"/>
      <c r="Z23" s="86"/>
      <c r="AA23" s="113">
        <v>45217</v>
      </c>
      <c r="AB23" s="118" t="s">
        <v>3612</v>
      </c>
      <c r="AC23" s="84"/>
      <c r="AD23" s="84"/>
    </row>
    <row r="24" spans="1:30" ht="27" customHeight="1" x14ac:dyDescent="0.25">
      <c r="A24" s="123">
        <f>--SUBTOTAL(3,$B$2:B23)</f>
        <v>21</v>
      </c>
      <c r="B24" s="106">
        <v>1385</v>
      </c>
      <c r="C24" s="80" t="s">
        <v>2340</v>
      </c>
      <c r="D24" s="135" t="s">
        <v>2592</v>
      </c>
      <c r="E24" s="87" t="s">
        <v>3684</v>
      </c>
      <c r="F24" s="87" t="s">
        <v>3685</v>
      </c>
      <c r="G24" s="87" t="s">
        <v>3686</v>
      </c>
      <c r="H24" s="82" t="str">
        <f t="shared" si="2"/>
        <v>ΠΟΖΙΟΥ ΚΑΣΣΙΑΝΗ</v>
      </c>
      <c r="I24" s="83" t="str">
        <f>TRIM($H24)&amp;" - "&amp;TRIM($O24)&amp;" ("&amp;TRIM(C24)&amp;")"</f>
        <v>ΠΟΖΙΟΥ ΚΑΣΣΙΑΝΗ - ΠΕ ΠΟΛ. ΜΗΧ. (ΚΕ-Δ)</v>
      </c>
      <c r="J24" s="87" t="s">
        <v>2594</v>
      </c>
      <c r="K24" s="210" t="s">
        <v>20</v>
      </c>
      <c r="L24" s="87" t="s">
        <v>924</v>
      </c>
      <c r="M24" s="87" t="s">
        <v>16</v>
      </c>
      <c r="N24" s="87" t="s">
        <v>1060</v>
      </c>
      <c r="O24" s="87" t="s">
        <v>43</v>
      </c>
      <c r="P24" s="114" t="s">
        <v>2724</v>
      </c>
      <c r="Q24" s="85" t="s">
        <v>23</v>
      </c>
      <c r="R24" s="86" t="s">
        <v>2720</v>
      </c>
      <c r="S24" s="109" t="s">
        <v>2595</v>
      </c>
      <c r="T24" s="110" t="s">
        <v>1061</v>
      </c>
      <c r="U24" s="111" t="s">
        <v>3601</v>
      </c>
      <c r="V24" s="111" t="s">
        <v>3687</v>
      </c>
      <c r="W24" s="112" t="s">
        <v>92</v>
      </c>
      <c r="X24" s="86">
        <v>1</v>
      </c>
      <c r="Y24" s="86"/>
      <c r="Z24" s="86"/>
      <c r="AA24" s="113">
        <v>45212</v>
      </c>
      <c r="AB24" s="118" t="s">
        <v>3613</v>
      </c>
      <c r="AC24" s="84"/>
      <c r="AD24" s="84"/>
    </row>
    <row r="25" spans="1:30" ht="38.25" x14ac:dyDescent="0.25">
      <c r="A25" s="123">
        <f>--SUBTOTAL(3,$B$2:B24)</f>
        <v>22</v>
      </c>
      <c r="B25" s="85">
        <v>1292</v>
      </c>
      <c r="C25" s="134" t="s">
        <v>3592</v>
      </c>
      <c r="D25" s="135" t="s">
        <v>3638</v>
      </c>
      <c r="E25" s="87" t="s">
        <v>3688</v>
      </c>
      <c r="F25" s="87" t="s">
        <v>3248</v>
      </c>
      <c r="G25" s="87" t="s">
        <v>2739</v>
      </c>
      <c r="H25" s="82" t="str">
        <f t="shared" si="2"/>
        <v>ΠΟΙΜΕΝΙΔΟΥ ΚΥΡΙΑΚΗ</v>
      </c>
      <c r="I25" s="83" t="str">
        <f>TRIM($H25)&amp;" - "&amp;TRIM($O25)&amp;" ("&amp;TRIM(W25)&amp;")"</f>
        <v>ΠΟΙΜΕΝΙΔΟΥ ΚΥΡΙΑΚΗ - ΠΕ ΠΟΛ. ΜΗΧ. (ΣΥΝΤΑΞΗ)</v>
      </c>
      <c r="J25" s="87" t="s">
        <v>3689</v>
      </c>
      <c r="K25" s="87" t="s">
        <v>3690</v>
      </c>
      <c r="L25" s="87" t="s">
        <v>106</v>
      </c>
      <c r="M25" s="87" t="s">
        <v>3691</v>
      </c>
      <c r="N25" s="87" t="s">
        <v>3692</v>
      </c>
      <c r="O25" s="87" t="s">
        <v>43</v>
      </c>
      <c r="P25" s="79" t="str">
        <f>LEFT(Q25,1)</f>
        <v>Μ</v>
      </c>
      <c r="Q25" s="85" t="s">
        <v>23</v>
      </c>
      <c r="R25" s="86" t="s">
        <v>2716</v>
      </c>
      <c r="S25" s="109" t="s">
        <v>3693</v>
      </c>
      <c r="T25" s="110" t="s">
        <v>1064</v>
      </c>
      <c r="U25" s="111" t="s">
        <v>3650</v>
      </c>
      <c r="W25" s="120" t="s">
        <v>3612</v>
      </c>
      <c r="X25" s="86">
        <v>11</v>
      </c>
      <c r="Y25" s="86"/>
      <c r="Z25" s="86"/>
      <c r="AA25" s="113">
        <v>45273</v>
      </c>
      <c r="AB25" s="86" t="s">
        <v>3612</v>
      </c>
      <c r="AC25" s="84" t="s">
        <v>3694</v>
      </c>
      <c r="AD25" s="84">
        <v>1346</v>
      </c>
    </row>
    <row r="26" spans="1:30" ht="27" customHeight="1" x14ac:dyDescent="0.25">
      <c r="A26" s="123">
        <f>--SUBTOTAL(3,$B$2:B25)</f>
        <v>23</v>
      </c>
      <c r="B26" s="85">
        <v>1430</v>
      </c>
      <c r="C26" s="134" t="s">
        <v>3592</v>
      </c>
      <c r="D26" s="135" t="s">
        <v>3643</v>
      </c>
      <c r="E26" s="86" t="s">
        <v>3695</v>
      </c>
      <c r="F26" s="86" t="s">
        <v>2764</v>
      </c>
      <c r="G26" s="86" t="s">
        <v>2832</v>
      </c>
      <c r="H26" s="82" t="str">
        <f t="shared" si="2"/>
        <v>ΠΥΡΟΒΟΛΑΚΗΣ ΙΩΑΝΝΗΣ</v>
      </c>
      <c r="I26" s="83" t="str">
        <f>TRIM($H26)&amp;" - "&amp;TRIM($O26)&amp;" ("&amp;TRIM(W26)&amp;")"</f>
        <v>ΠΥΡΟΒΟΛΑΚΗΣ ΙΩΑΝΝΗΣ - ΠΕ ΠΟΛ. ΜΗΧ. (ΔΙΑΧΕΙΡΙΣΤΙΚΗ ΑΡΧΗ)</v>
      </c>
      <c r="J26" s="87" t="s">
        <v>3696</v>
      </c>
      <c r="K26" s="209" t="s">
        <v>16</v>
      </c>
      <c r="L26" s="87" t="s">
        <v>3697</v>
      </c>
      <c r="M26" s="87" t="s">
        <v>16</v>
      </c>
      <c r="N26" s="87" t="s">
        <v>3698</v>
      </c>
      <c r="O26" s="87" t="s">
        <v>43</v>
      </c>
      <c r="P26" s="79" t="str">
        <f>LEFT(Q26,1)</f>
        <v>Μ</v>
      </c>
      <c r="Q26" s="85" t="s">
        <v>23</v>
      </c>
      <c r="R26" s="86" t="s">
        <v>2716</v>
      </c>
      <c r="S26" s="109" t="s">
        <v>16</v>
      </c>
      <c r="T26" s="110" t="s">
        <v>3699</v>
      </c>
      <c r="U26" s="111" t="s">
        <v>3606</v>
      </c>
      <c r="W26" s="120" t="s">
        <v>3656</v>
      </c>
      <c r="X26" s="86">
        <v>11</v>
      </c>
      <c r="Y26" s="86"/>
      <c r="Z26" s="86"/>
      <c r="AA26" s="113">
        <v>45159</v>
      </c>
      <c r="AB26" s="86"/>
      <c r="AC26" s="84" t="s">
        <v>2354</v>
      </c>
      <c r="AD26" s="84">
        <v>1044</v>
      </c>
    </row>
    <row r="27" spans="1:30" ht="27" customHeight="1" x14ac:dyDescent="0.25">
      <c r="A27" s="123">
        <f>--SUBTOTAL(3,$B$2:B26)</f>
        <v>24</v>
      </c>
      <c r="B27" s="85">
        <v>1097</v>
      </c>
      <c r="C27" s="134" t="s">
        <v>3592</v>
      </c>
      <c r="D27" s="135" t="s">
        <v>3648</v>
      </c>
      <c r="E27" s="116" t="s">
        <v>3700</v>
      </c>
      <c r="F27" s="84" t="s">
        <v>2804</v>
      </c>
      <c r="G27" s="84" t="s">
        <v>2796</v>
      </c>
      <c r="H27" s="82" t="str">
        <f t="shared" si="2"/>
        <v>ΣΑΤΛΑΝΗ ΚΩΝΣΤΑΝΤΙΝΑ</v>
      </c>
      <c r="I27" s="83" t="str">
        <f>TRIM($H27)&amp;" - "&amp;TRIM($O27)&amp;" ("&amp;TRIM(W27)&amp;")"</f>
        <v>ΣΑΤΛΑΝΗ ΚΩΝΣΤΑΝΤΙΝΑ - ΠΕ ΔΙΟΙΚΗΤΙΚΟΥ (ΠΑΡΑΙΤΗΘΗΚΕ)</v>
      </c>
      <c r="J27" s="84"/>
      <c r="K27" s="211"/>
      <c r="L27" s="84"/>
      <c r="M27" s="87" t="s">
        <v>16</v>
      </c>
      <c r="N27" s="84" t="s">
        <v>3701</v>
      </c>
      <c r="O27" s="84" t="s">
        <v>1329</v>
      </c>
      <c r="P27" s="79" t="str">
        <f>LEFT(Q27,1)</f>
        <v>Δ</v>
      </c>
      <c r="Q27" s="85" t="s">
        <v>19</v>
      </c>
      <c r="R27" s="85" t="s">
        <v>2720</v>
      </c>
      <c r="S27" s="109" t="s">
        <v>16</v>
      </c>
      <c r="T27" s="110" t="s">
        <v>3702</v>
      </c>
      <c r="U27" s="111" t="s">
        <v>26</v>
      </c>
      <c r="V27" s="111" t="s">
        <v>3349</v>
      </c>
      <c r="W27" s="136" t="s">
        <v>3597</v>
      </c>
      <c r="X27" s="85">
        <v>0</v>
      </c>
      <c r="Y27" s="85"/>
      <c r="Z27" s="85"/>
      <c r="AA27" s="85"/>
      <c r="AB27" s="137" t="s">
        <v>3598</v>
      </c>
      <c r="AC27" s="84" t="s">
        <v>2073</v>
      </c>
      <c r="AD27" s="84">
        <v>1046</v>
      </c>
    </row>
    <row r="28" spans="1:30" ht="27" customHeight="1" x14ac:dyDescent="0.25">
      <c r="A28" s="123">
        <f>--SUBTOTAL(3,$B$2:B27)</f>
        <v>25</v>
      </c>
      <c r="B28" s="85">
        <v>1234</v>
      </c>
      <c r="C28" s="134" t="s">
        <v>3592</v>
      </c>
      <c r="D28" s="135" t="s">
        <v>3192</v>
      </c>
      <c r="E28" s="87" t="s">
        <v>3703</v>
      </c>
      <c r="F28" s="87" t="s">
        <v>2726</v>
      </c>
      <c r="G28" s="87" t="s">
        <v>2712</v>
      </c>
      <c r="H28" s="82" t="s">
        <v>467</v>
      </c>
      <c r="I28" s="83" t="s">
        <v>3704</v>
      </c>
      <c r="J28" s="87" t="s">
        <v>3705</v>
      </c>
      <c r="K28" s="209" t="s">
        <v>49</v>
      </c>
      <c r="L28" s="87" t="s">
        <v>334</v>
      </c>
      <c r="M28" s="87" t="s">
        <v>2999</v>
      </c>
      <c r="N28" s="87" t="s">
        <v>468</v>
      </c>
      <c r="O28" s="87" t="s">
        <v>146</v>
      </c>
      <c r="P28" s="79" t="s">
        <v>2724</v>
      </c>
      <c r="Q28" s="85" t="s">
        <v>23</v>
      </c>
      <c r="R28" s="86" t="s">
        <v>2720</v>
      </c>
      <c r="S28" s="109" t="s">
        <v>3706</v>
      </c>
      <c r="T28" s="110" t="s">
        <v>470</v>
      </c>
      <c r="U28" s="111" t="s">
        <v>3707</v>
      </c>
      <c r="V28" s="111" t="s">
        <v>3708</v>
      </c>
      <c r="W28" s="120" t="s">
        <v>33</v>
      </c>
      <c r="X28" s="86">
        <v>8</v>
      </c>
      <c r="Y28" s="115"/>
      <c r="Z28" s="86"/>
      <c r="AA28" s="113">
        <v>45503</v>
      </c>
      <c r="AB28" s="118" t="s">
        <v>3613</v>
      </c>
      <c r="AC28" s="84" t="s">
        <v>2238</v>
      </c>
      <c r="AD28" s="84">
        <v>1294</v>
      </c>
    </row>
    <row r="29" spans="1:30" ht="27" customHeight="1" x14ac:dyDescent="0.25">
      <c r="A29" s="123">
        <f>--SUBTOTAL(3,$B$2:B28)</f>
        <v>26</v>
      </c>
      <c r="B29" s="85">
        <v>1103</v>
      </c>
      <c r="C29" s="134" t="s">
        <v>3592</v>
      </c>
      <c r="D29" s="135" t="s">
        <v>3652</v>
      </c>
      <c r="E29" s="87" t="s">
        <v>3709</v>
      </c>
      <c r="F29" s="87" t="s">
        <v>2827</v>
      </c>
      <c r="G29" s="87" t="s">
        <v>3710</v>
      </c>
      <c r="H29" s="82" t="str">
        <f t="shared" ref="H29:H35" si="3">TRIM($E29)&amp;" "&amp;TRIM($F29)</f>
        <v>ΣΚΛΙΑΜΗ ΑΙΚΑΤΕΡΙΝΗ</v>
      </c>
      <c r="I29" s="83" t="str">
        <f>TRIM($H29)&amp;" - "&amp;TRIM($O29)&amp;" ("&amp;TRIM(W29)&amp;")"</f>
        <v>ΣΚΛΙΑΜΗ ΑΙΚΑΤΕΡΙΝΗ - ΠΕ ΜΗΧΑΝΙΚΩΝ (ΠΑΡΑΙΤΗΘΗΚΕ)</v>
      </c>
      <c r="J29" s="87" t="s">
        <v>3711</v>
      </c>
      <c r="K29" s="209" t="s">
        <v>16</v>
      </c>
      <c r="L29" s="87" t="s">
        <v>16</v>
      </c>
      <c r="M29" s="87" t="s">
        <v>2791</v>
      </c>
      <c r="N29" s="87" t="s">
        <v>3712</v>
      </c>
      <c r="O29" s="87" t="s">
        <v>31</v>
      </c>
      <c r="P29" s="79" t="str">
        <f>LEFT(Q29,1)</f>
        <v>Μ</v>
      </c>
      <c r="Q29" s="85" t="s">
        <v>23</v>
      </c>
      <c r="R29" s="86" t="s">
        <v>2720</v>
      </c>
      <c r="S29" s="109" t="s">
        <v>16</v>
      </c>
      <c r="T29" s="110" t="s">
        <v>16</v>
      </c>
      <c r="U29" s="111" t="s">
        <v>3601</v>
      </c>
      <c r="V29" s="111" t="s">
        <v>3312</v>
      </c>
      <c r="W29" s="120" t="s">
        <v>3597</v>
      </c>
      <c r="X29" s="86">
        <v>0</v>
      </c>
      <c r="Y29" s="86"/>
      <c r="Z29" s="86"/>
      <c r="AA29" s="113">
        <v>45252</v>
      </c>
      <c r="AB29" s="118" t="s">
        <v>3613</v>
      </c>
      <c r="AC29" s="84" t="s">
        <v>3639</v>
      </c>
      <c r="AD29" s="84">
        <v>1313</v>
      </c>
    </row>
    <row r="30" spans="1:30" ht="27" customHeight="1" x14ac:dyDescent="0.25">
      <c r="A30" s="123">
        <f>--SUBTOTAL(3,$B$2:B29)</f>
        <v>27</v>
      </c>
      <c r="B30" s="85">
        <v>1104</v>
      </c>
      <c r="C30" s="134" t="s">
        <v>3592</v>
      </c>
      <c r="D30" s="135" t="s">
        <v>3657</v>
      </c>
      <c r="E30" s="87" t="s">
        <v>3713</v>
      </c>
      <c r="F30" s="87" t="s">
        <v>2722</v>
      </c>
      <c r="G30" s="87" t="s">
        <v>3043</v>
      </c>
      <c r="H30" s="82" t="str">
        <f t="shared" si="3"/>
        <v>ΣΟΥΓΛΕΡΗ ΙΩΑΝΝΑ</v>
      </c>
      <c r="I30" s="83" t="str">
        <f>TRIM($H30)&amp;" - "&amp;TRIM($O30)&amp;" ("&amp;TRIM(W30)&amp;")"</f>
        <v>ΣΟΥΓΛΕΡΗ ΙΩΑΝΝΑ - ΠΕ ΠΟΛ. ΜΗΧ. (ΠΑΡΑΙΤΗΘΗΚΕ)</v>
      </c>
      <c r="J30" s="87" t="s">
        <v>3714</v>
      </c>
      <c r="K30" s="209" t="s">
        <v>16</v>
      </c>
      <c r="L30" s="87" t="s">
        <v>495</v>
      </c>
      <c r="M30" s="87" t="s">
        <v>3715</v>
      </c>
      <c r="N30" s="87" t="s">
        <v>574</v>
      </c>
      <c r="O30" s="87" t="s">
        <v>43</v>
      </c>
      <c r="P30" s="79" t="str">
        <f>LEFT(Q30,1)</f>
        <v>Μ</v>
      </c>
      <c r="Q30" s="85" t="s">
        <v>23</v>
      </c>
      <c r="R30" s="86" t="s">
        <v>2720</v>
      </c>
      <c r="S30" s="109" t="s">
        <v>3716</v>
      </c>
      <c r="T30" s="110" t="s">
        <v>575</v>
      </c>
      <c r="U30" s="111" t="s">
        <v>3717</v>
      </c>
      <c r="W30" s="120" t="s">
        <v>3597</v>
      </c>
      <c r="X30" s="86">
        <v>0</v>
      </c>
      <c r="Y30" s="86"/>
      <c r="Z30" s="86"/>
      <c r="AA30" s="113">
        <v>45442</v>
      </c>
      <c r="AB30" s="118" t="s">
        <v>3613</v>
      </c>
      <c r="AC30" s="84" t="s">
        <v>2336</v>
      </c>
      <c r="AD30" s="84">
        <v>1345</v>
      </c>
    </row>
    <row r="31" spans="1:30" ht="27" customHeight="1" x14ac:dyDescent="0.25">
      <c r="A31" s="123">
        <f>--SUBTOTAL(3,$B$2:B30)</f>
        <v>28</v>
      </c>
      <c r="B31" s="106">
        <v>1294</v>
      </c>
      <c r="C31" s="80" t="s">
        <v>2173</v>
      </c>
      <c r="D31" s="135" t="s">
        <v>2238</v>
      </c>
      <c r="E31" s="87" t="s">
        <v>3718</v>
      </c>
      <c r="F31" s="87" t="s">
        <v>3248</v>
      </c>
      <c r="G31" s="87" t="s">
        <v>2735</v>
      </c>
      <c r="H31" s="82" t="str">
        <f t="shared" si="3"/>
        <v>ΣΤΡΑΤΙΔΑΚΗ ΚΥΡΙΑΚΗ</v>
      </c>
      <c r="I31" s="83" t="str">
        <f>TRIM($H31)&amp;" - "&amp;TRIM($O31)&amp;" ("&amp;TRIM(C31)&amp;")"</f>
        <v>ΣΤΡΑΤΙΔΑΚΗ ΚΥΡΙΑΚΗ - ΤΕ ΜΗΧΑΝΙΚΩΝ (ΚΕ-Α)</v>
      </c>
      <c r="J31" s="87" t="s">
        <v>2240</v>
      </c>
      <c r="K31" s="107" t="s">
        <v>20</v>
      </c>
      <c r="L31" s="87" t="s">
        <v>657</v>
      </c>
      <c r="M31" s="87" t="s">
        <v>16</v>
      </c>
      <c r="N31" s="87" t="s">
        <v>726</v>
      </c>
      <c r="O31" s="87" t="s">
        <v>1007</v>
      </c>
      <c r="P31" s="114" t="s">
        <v>2724</v>
      </c>
      <c r="Q31" s="85" t="s">
        <v>23</v>
      </c>
      <c r="R31" s="86" t="s">
        <v>2720</v>
      </c>
      <c r="S31" s="109" t="s">
        <v>2241</v>
      </c>
      <c r="T31" s="110" t="s">
        <v>728</v>
      </c>
      <c r="U31" s="111" t="s">
        <v>3601</v>
      </c>
      <c r="W31" s="112" t="s">
        <v>64</v>
      </c>
      <c r="X31" s="86">
        <v>4</v>
      </c>
      <c r="Y31" s="86"/>
      <c r="Z31" s="86"/>
      <c r="AA31" s="113">
        <v>45500</v>
      </c>
      <c r="AB31" s="118" t="s">
        <v>3613</v>
      </c>
      <c r="AC31" s="84" t="s">
        <v>2549</v>
      </c>
      <c r="AD31" s="84">
        <v>1378</v>
      </c>
    </row>
    <row r="32" spans="1:30" ht="27" customHeight="1" x14ac:dyDescent="0.25">
      <c r="A32" s="123">
        <f>--SUBTOTAL(3,$B$2:B31)</f>
        <v>29</v>
      </c>
      <c r="B32" s="106">
        <v>1025</v>
      </c>
      <c r="C32" s="134" t="s">
        <v>3592</v>
      </c>
      <c r="D32" s="135" t="s">
        <v>3670</v>
      </c>
      <c r="E32" s="87" t="s">
        <v>3719</v>
      </c>
      <c r="F32" s="87" t="s">
        <v>3720</v>
      </c>
      <c r="G32" s="87" t="s">
        <v>2736</v>
      </c>
      <c r="H32" s="82" t="str">
        <f t="shared" si="3"/>
        <v>ΤΣΙΛΙΜΑΝΤΟΥ ΕΛΙΣΑΒΕΤ</v>
      </c>
      <c r="I32" s="83" t="str">
        <f>TRIM($H32)&amp;" - "&amp;TRIM($O32)&amp;" ("&amp;TRIM(W32)&amp;")"</f>
        <v>ΤΣΙΛΙΜΑΝΤΟΥ ΕΛΙΣΑΒΕΤ - ΠΕ ΜΗΧΑΝΙΚΩΝ (ΠΑΡΑΙΤΗΘΗΚΕ)</v>
      </c>
      <c r="J32" s="87" t="s">
        <v>3721</v>
      </c>
      <c r="K32" s="209" t="s">
        <v>3722</v>
      </c>
      <c r="L32" s="87" t="s">
        <v>3722</v>
      </c>
      <c r="M32" s="87" t="s">
        <v>2791</v>
      </c>
      <c r="N32" s="87" t="s">
        <v>3723</v>
      </c>
      <c r="O32" s="87" t="s">
        <v>31</v>
      </c>
      <c r="P32" s="79" t="str">
        <f>LEFT(Q32,1)</f>
        <v>Μ</v>
      </c>
      <c r="Q32" s="85" t="s">
        <v>23</v>
      </c>
      <c r="R32" s="86" t="s">
        <v>2720</v>
      </c>
      <c r="S32" s="109" t="s">
        <v>16</v>
      </c>
      <c r="T32" s="110" t="s">
        <v>16</v>
      </c>
      <c r="U32" s="111" t="s">
        <v>3601</v>
      </c>
      <c r="V32" s="111" t="s">
        <v>3360</v>
      </c>
      <c r="W32" s="120" t="s">
        <v>3597</v>
      </c>
      <c r="X32" s="86">
        <v>0</v>
      </c>
      <c r="Y32" s="86"/>
      <c r="Z32" s="86"/>
      <c r="AA32" s="113">
        <v>45001</v>
      </c>
      <c r="AB32" s="118" t="s">
        <v>3613</v>
      </c>
      <c r="AC32" s="84" t="s">
        <v>2570</v>
      </c>
      <c r="AD32" s="84">
        <v>1382</v>
      </c>
    </row>
    <row r="33" spans="1:30" ht="27" customHeight="1" x14ac:dyDescent="0.25">
      <c r="A33" s="123">
        <f>--SUBTOTAL(3,$B$2:B32)</f>
        <v>30</v>
      </c>
      <c r="B33" s="106">
        <v>1345</v>
      </c>
      <c r="C33" s="80" t="s">
        <v>2289</v>
      </c>
      <c r="D33" s="135" t="s">
        <v>2336</v>
      </c>
      <c r="E33" s="87" t="s">
        <v>3724</v>
      </c>
      <c r="F33" s="87" t="s">
        <v>2764</v>
      </c>
      <c r="G33" s="87" t="s">
        <v>2730</v>
      </c>
      <c r="H33" s="82" t="str">
        <f t="shared" si="3"/>
        <v>ΤΣΟΥΜΗΣ ΙΩΑΝΝΗΣ</v>
      </c>
      <c r="I33" s="83" t="str">
        <f>TRIM($H33)&amp;" - "&amp;TRIM($O33)&amp;" ("&amp;TRIM(C33)&amp;")"</f>
        <v>ΤΣΟΥΜΗΣ ΙΩΑΝΝΗΣ - ΤΕ ΗΛ. ΜΗΧ. (ΚΕ-Γ)</v>
      </c>
      <c r="J33" s="87" t="s">
        <v>2338</v>
      </c>
      <c r="K33" s="107" t="s">
        <v>17</v>
      </c>
      <c r="L33" s="87" t="s">
        <v>920</v>
      </c>
      <c r="M33" s="87" t="s">
        <v>3725</v>
      </c>
      <c r="N33" s="87" t="s">
        <v>921</v>
      </c>
      <c r="O33" s="87" t="s">
        <v>482</v>
      </c>
      <c r="P33" s="114" t="s">
        <v>2724</v>
      </c>
      <c r="Q33" s="85" t="s">
        <v>23</v>
      </c>
      <c r="R33" s="86" t="s">
        <v>2716</v>
      </c>
      <c r="S33" s="109" t="s">
        <v>2339</v>
      </c>
      <c r="T33" s="110" t="s">
        <v>16</v>
      </c>
      <c r="U33" s="111" t="s">
        <v>3632</v>
      </c>
      <c r="W33" s="112" t="s">
        <v>83</v>
      </c>
      <c r="X33" s="86">
        <v>17</v>
      </c>
      <c r="Y33" s="86"/>
      <c r="Z33" s="86"/>
      <c r="AA33" s="113">
        <v>45479</v>
      </c>
      <c r="AB33" s="86" t="s">
        <v>3612</v>
      </c>
      <c r="AC33" s="84" t="s">
        <v>2592</v>
      </c>
      <c r="AD33" s="84">
        <v>1385</v>
      </c>
    </row>
    <row r="34" spans="1:30" ht="27.75" customHeight="1" x14ac:dyDescent="0.25">
      <c r="A34" s="123">
        <f>--SUBTOTAL(3,$B$2:B33)</f>
        <v>31</v>
      </c>
      <c r="B34" s="106">
        <v>1161</v>
      </c>
      <c r="C34" s="134" t="s">
        <v>3592</v>
      </c>
      <c r="D34" s="135" t="s">
        <v>3694</v>
      </c>
      <c r="E34" s="87" t="s">
        <v>3726</v>
      </c>
      <c r="F34" s="87" t="s">
        <v>3050</v>
      </c>
      <c r="G34" s="87" t="s">
        <v>2723</v>
      </c>
      <c r="H34" s="82" t="str">
        <f t="shared" si="3"/>
        <v>ΧΑΡΑΛΑΜΠΟΠΟΥΛΟΥ ΧΡΥΣΑΝΘΗ</v>
      </c>
      <c r="I34" s="83" t="str">
        <f>TRIM($H34)&amp;" - "&amp;TRIM($O34)&amp;" ("&amp;TRIM(W34)&amp;")"</f>
        <v>ΧΑΡΑΛΑΜΠΟΠΟΥΛΟΥ ΧΡΥΣΑΝΘΗ - ΠΕ ΔΙΟΙΚ.-ΟΙΚ. (ΔΙΑΧΕΙΡΙΣΤΙΚΗ ΑΡΧΗ)</v>
      </c>
      <c r="J34" s="87" t="s">
        <v>3727</v>
      </c>
      <c r="K34" s="209" t="s">
        <v>16</v>
      </c>
      <c r="L34" s="87" t="s">
        <v>16</v>
      </c>
      <c r="M34" s="87" t="s">
        <v>3725</v>
      </c>
      <c r="N34" s="87" t="s">
        <v>3728</v>
      </c>
      <c r="O34" s="87" t="s">
        <v>164</v>
      </c>
      <c r="P34" s="79" t="str">
        <f>LEFT(Q34,1)</f>
        <v>Δ</v>
      </c>
      <c r="Q34" s="85" t="s">
        <v>19</v>
      </c>
      <c r="R34" s="86" t="s">
        <v>2754</v>
      </c>
      <c r="S34" s="109" t="s">
        <v>16</v>
      </c>
      <c r="T34" s="110" t="s">
        <v>16</v>
      </c>
      <c r="U34" s="111" t="s">
        <v>3632</v>
      </c>
      <c r="V34" s="111" t="s">
        <v>3729</v>
      </c>
      <c r="W34" s="120" t="s">
        <v>3656</v>
      </c>
      <c r="X34" s="86">
        <v>17</v>
      </c>
      <c r="Y34" s="115">
        <v>44831</v>
      </c>
      <c r="Z34" s="86" t="s">
        <v>3730</v>
      </c>
      <c r="AA34" s="113">
        <v>45562</v>
      </c>
      <c r="AB34" s="86"/>
      <c r="AC34" s="84"/>
      <c r="AD34" s="84"/>
    </row>
    <row r="35" spans="1:30" ht="38.25" x14ac:dyDescent="0.25">
      <c r="A35" s="123">
        <f>--SUBTOTAL(3,$B$2:B34)</f>
        <v>32</v>
      </c>
      <c r="B35" s="85">
        <v>1346</v>
      </c>
      <c r="C35" s="134" t="s">
        <v>3592</v>
      </c>
      <c r="D35" s="135" t="s">
        <v>3675</v>
      </c>
      <c r="E35" s="116" t="s">
        <v>3731</v>
      </c>
      <c r="F35" s="84" t="s">
        <v>2764</v>
      </c>
      <c r="G35" s="84" t="s">
        <v>2748</v>
      </c>
      <c r="H35" s="82" t="str">
        <f t="shared" si="3"/>
        <v>ΨΑΛΤΗΣ ΙΩΑΝΝΗΣ</v>
      </c>
      <c r="I35" s="83" t="str">
        <f>TRIM($H35)&amp;" - "&amp;TRIM($O35)&amp;" ("&amp;TRIM(W35)&amp;")"</f>
        <v>ΨΑΛΤΗΣ ΙΩΑΝΝΗΣ - ΔΕ ΔΙΟΙΚ.-ΓΡΑΜ. (ΑΠΕΒΙΩΣΕ)</v>
      </c>
      <c r="J35" s="84" t="s">
        <v>3732</v>
      </c>
      <c r="K35" s="213" t="s">
        <v>2715</v>
      </c>
      <c r="L35" s="87" t="s">
        <v>16</v>
      </c>
      <c r="M35" s="87" t="s">
        <v>16</v>
      </c>
      <c r="N35" s="84" t="s">
        <v>3733</v>
      </c>
      <c r="O35" s="84" t="s">
        <v>72</v>
      </c>
      <c r="P35" s="108" t="str">
        <f>LEFT(Q35,1)</f>
        <v>Δ</v>
      </c>
      <c r="Q35" s="85" t="s">
        <v>19</v>
      </c>
      <c r="R35" s="85" t="s">
        <v>2720</v>
      </c>
      <c r="S35" s="109" t="s">
        <v>3734</v>
      </c>
      <c r="T35" s="110" t="s">
        <v>3735</v>
      </c>
      <c r="U35" s="111" t="s">
        <v>26</v>
      </c>
      <c r="V35" s="111" t="s">
        <v>3736</v>
      </c>
      <c r="W35" s="120" t="s">
        <v>3737</v>
      </c>
      <c r="X35" s="85">
        <v>2</v>
      </c>
      <c r="Y35" s="85"/>
      <c r="Z35" s="85"/>
      <c r="AA35" s="85"/>
      <c r="AB35" s="137" t="s">
        <v>3598</v>
      </c>
      <c r="AC35" s="84" t="s">
        <v>1654</v>
      </c>
      <c r="AD35" s="84">
        <v>1130</v>
      </c>
    </row>
    <row r="36" spans="1:30" ht="21.6" customHeight="1" x14ac:dyDescent="0.25">
      <c r="A36" s="123">
        <f>--SUBTOTAL(3,$B$2:B35)</f>
        <v>33</v>
      </c>
      <c r="B36" s="85">
        <v>1194</v>
      </c>
      <c r="C36" s="134" t="s">
        <v>1406</v>
      </c>
      <c r="D36" s="135" t="s">
        <v>1862</v>
      </c>
      <c r="E36" s="116" t="s">
        <v>3738</v>
      </c>
      <c r="F36" s="84" t="s">
        <v>2742</v>
      </c>
      <c r="G36" s="84" t="s">
        <v>2743</v>
      </c>
      <c r="H36" s="82" t="str">
        <f>TRIM($E36)&amp;" "&amp;TRIM($F36)</f>
        <v>ΘΕΛΕΡΙΤΗΣ ΗΛΙΑΣ</v>
      </c>
      <c r="I36" s="83" t="str">
        <f>TRIM($H36)&amp;" - "&amp;TRIM($O36)&amp;" ("&amp;TRIM(C36)&amp;")"</f>
        <v>ΘΕΛΕΡΙΤΗΣ ΗΛΙΑΣ - ΠΕ ΠΟΛ. ΜΗΧ. (ΔΑ)</v>
      </c>
      <c r="J36" s="84" t="s">
        <v>1864</v>
      </c>
      <c r="K36" s="213" t="s">
        <v>38</v>
      </c>
      <c r="L36" s="87" t="s">
        <v>1425</v>
      </c>
      <c r="M36" s="87" t="s">
        <v>16</v>
      </c>
      <c r="N36" s="84" t="s">
        <v>1444</v>
      </c>
      <c r="O36" s="84" t="s">
        <v>43</v>
      </c>
      <c r="P36" s="108" t="s">
        <v>2724</v>
      </c>
      <c r="Q36" s="85" t="s">
        <v>23</v>
      </c>
      <c r="R36" s="85" t="s">
        <v>2720</v>
      </c>
      <c r="S36" s="109" t="s">
        <v>1865</v>
      </c>
      <c r="T36" s="110" t="s">
        <v>1445</v>
      </c>
      <c r="U36" s="111" t="s">
        <v>3739</v>
      </c>
      <c r="W36" s="120" t="s">
        <v>127</v>
      </c>
      <c r="X36" s="85">
        <v>4</v>
      </c>
      <c r="Y36" s="85"/>
      <c r="Z36" s="85"/>
      <c r="AA36" s="85">
        <v>45357</v>
      </c>
      <c r="AB36" s="118" t="s">
        <v>3613</v>
      </c>
      <c r="AC36" s="84"/>
      <c r="AD36" s="84" t="s">
        <v>1862</v>
      </c>
    </row>
  </sheetData>
  <sheetProtection sheet="1" objects="1" scenarios="1" sort="0" autoFilter="0" pivotTables="0"/>
  <autoFilter ref="B2:AB25" xr:uid="{62BD13A1-39A5-4427-A6B2-53BD41840FAA}">
    <sortState xmlns:xlrd2="http://schemas.microsoft.com/office/spreadsheetml/2017/richdata2" ref="B3:AB35">
      <sortCondition ref="E2:E25"/>
    </sortState>
  </autoFilter>
  <conditionalFormatting sqref="B26">
    <cfRule type="duplicateValues" dxfId="45" priority="66"/>
  </conditionalFormatting>
  <conditionalFormatting sqref="B27">
    <cfRule type="duplicateValues" dxfId="44" priority="59"/>
  </conditionalFormatting>
  <conditionalFormatting sqref="B28">
    <cfRule type="duplicateValues" dxfId="43" priority="52"/>
  </conditionalFormatting>
  <conditionalFormatting sqref="B29">
    <cfRule type="duplicateValues" dxfId="42" priority="45"/>
  </conditionalFormatting>
  <conditionalFormatting sqref="B30">
    <cfRule type="duplicateValues" dxfId="41" priority="38"/>
  </conditionalFormatting>
  <conditionalFormatting sqref="B31">
    <cfRule type="duplicateValues" dxfId="40" priority="31"/>
  </conditionalFormatting>
  <conditionalFormatting sqref="B32">
    <cfRule type="duplicateValues" dxfId="39" priority="24"/>
  </conditionalFormatting>
  <conditionalFormatting sqref="B33:B36">
    <cfRule type="duplicateValues" dxfId="38" priority="17"/>
  </conditionalFormatting>
  <conditionalFormatting sqref="B37:B1048576 B1:B25">
    <cfRule type="duplicateValues" dxfId="37" priority="73"/>
  </conditionalFormatting>
  <conditionalFormatting sqref="C1 D2:D1048576">
    <cfRule type="duplicateValues" dxfId="36" priority="89"/>
  </conditionalFormatting>
  <conditionalFormatting sqref="I20:I24">
    <cfRule type="duplicateValues" dxfId="35" priority="79"/>
  </conditionalFormatting>
  <conditionalFormatting sqref="I26">
    <cfRule type="duplicateValues" dxfId="34" priority="72"/>
  </conditionalFormatting>
  <conditionalFormatting sqref="I27">
    <cfRule type="duplicateValues" dxfId="33" priority="65"/>
  </conditionalFormatting>
  <conditionalFormatting sqref="I28">
    <cfRule type="duplicateValues" dxfId="32" priority="58"/>
  </conditionalFormatting>
  <conditionalFormatting sqref="I29">
    <cfRule type="duplicateValues" dxfId="31" priority="51"/>
  </conditionalFormatting>
  <conditionalFormatting sqref="I30">
    <cfRule type="duplicateValues" dxfId="30" priority="44"/>
  </conditionalFormatting>
  <conditionalFormatting sqref="I31">
    <cfRule type="duplicateValues" dxfId="29" priority="37"/>
  </conditionalFormatting>
  <conditionalFormatting sqref="I32">
    <cfRule type="duplicateValues" dxfId="28" priority="30"/>
  </conditionalFormatting>
  <conditionalFormatting sqref="I33:I36">
    <cfRule type="duplicateValues" dxfId="27" priority="23"/>
  </conditionalFormatting>
  <conditionalFormatting sqref="I37:I1048576 I25 I2:I19">
    <cfRule type="duplicateValues" dxfId="26" priority="90"/>
  </conditionalFormatting>
  <conditionalFormatting sqref="J37:J1048576 J25 J2:J19">
    <cfRule type="duplicateValues" dxfId="25" priority="97"/>
  </conditionalFormatting>
  <conditionalFormatting sqref="N20:N24">
    <cfRule type="duplicateValues" dxfId="24" priority="75"/>
  </conditionalFormatting>
  <conditionalFormatting sqref="N26">
    <cfRule type="duplicateValues" dxfId="23" priority="68"/>
  </conditionalFormatting>
  <conditionalFormatting sqref="N27">
    <cfRule type="duplicateValues" dxfId="22" priority="61"/>
  </conditionalFormatting>
  <conditionalFormatting sqref="N28">
    <cfRule type="duplicateValues" dxfId="21" priority="54"/>
  </conditionalFormatting>
  <conditionalFormatting sqref="N29">
    <cfRule type="duplicateValues" dxfId="20" priority="47"/>
  </conditionalFormatting>
  <conditionalFormatting sqref="N30">
    <cfRule type="duplicateValues" dxfId="19" priority="40"/>
  </conditionalFormatting>
  <conditionalFormatting sqref="N31">
    <cfRule type="duplicateValues" dxfId="18" priority="33"/>
  </conditionalFormatting>
  <conditionalFormatting sqref="N32">
    <cfRule type="duplicateValues" dxfId="17" priority="26"/>
  </conditionalFormatting>
  <conditionalFormatting sqref="N33:N36">
    <cfRule type="duplicateValues" dxfId="16" priority="19"/>
  </conditionalFormatting>
  <conditionalFormatting sqref="N37:N1048576 N25 N2:N19">
    <cfRule type="duplicateValues" dxfId="15" priority="96"/>
  </conditionalFormatting>
  <conditionalFormatting sqref="N1:O1">
    <cfRule type="cellIs" dxfId="14" priority="94" operator="equal">
      <formula>"Διοικητικός"</formula>
    </cfRule>
    <cfRule type="cellIs" dxfId="13" priority="95" operator="equal">
      <formula>"Μηχανικός"</formula>
    </cfRule>
  </conditionalFormatting>
  <conditionalFormatting sqref="P2">
    <cfRule type="cellIs" dxfId="12" priority="87" operator="equal">
      <formula>"Διοικητικός"</formula>
    </cfRule>
    <cfRule type="cellIs" dxfId="11" priority="88" operator="equal">
      <formula>"Μηχανικός"</formula>
    </cfRule>
  </conditionalFormatting>
  <conditionalFormatting sqref="Q1:Q1048576">
    <cfRule type="cellIs" dxfId="10" priority="20" operator="equal">
      <formula>"Διοικητικός"</formula>
    </cfRule>
    <cfRule type="cellIs" dxfId="9" priority="21" operator="equal">
      <formula>"Μηχανικός"</formula>
    </cfRule>
  </conditionalFormatting>
  <conditionalFormatting sqref="S1:T1048576 L2:O1048576">
    <cfRule type="cellIs" dxfId="8" priority="1" operator="equal">
      <formula>"_"</formula>
    </cfRule>
  </conditionalFormatting>
  <dataValidations count="2">
    <dataValidation type="list" allowBlank="1" showInputMessage="1" showErrorMessage="1" sqref="Q3:Q33 Q35:Q36" xr:uid="{748ED843-1F4A-41FB-8485-802A1E2FD476}">
      <formula1>EIDIK</formula1>
    </dataValidation>
    <dataValidation type="list" allowBlank="1" showInputMessage="1" showErrorMessage="1" sqref="K26:K33 K35:K36" xr:uid="{CB3C5486-DD8D-4A5C-9CDF-D46755FAECE3}">
      <formula1>ORARIO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CU1004"/>
  <sheetViews>
    <sheetView showOutlineSymbols="0" showWhiteSpace="0" zoomScaleNormal="100" workbookViewId="0">
      <pane xSplit="8" ySplit="3" topLeftCell="I154" activePane="bottomRight" state="frozen"/>
      <selection pane="topRight" activeCell="I1" sqref="I1"/>
      <selection pane="bottomLeft" activeCell="A4" sqref="A4"/>
      <selection pane="bottomRight" activeCell="J156" sqref="J156"/>
    </sheetView>
  </sheetViews>
  <sheetFormatPr defaultColWidth="9.140625" defaultRowHeight="15" x14ac:dyDescent="0.25"/>
  <cols>
    <col min="1" max="1" width="5.7109375" style="37" customWidth="1"/>
    <col min="2" max="3" width="13.7109375" style="1" customWidth="1"/>
    <col min="4" max="4" width="21.7109375" style="56" customWidth="1"/>
    <col min="5" max="5" width="16.85546875" style="10" hidden="1" customWidth="1"/>
    <col min="6" max="6" width="15" style="10" hidden="1" customWidth="1"/>
    <col min="7" max="7" width="11.85546875" style="10" hidden="1" customWidth="1"/>
    <col min="8" max="8" width="15" style="48" hidden="1" customWidth="1"/>
    <col min="9" max="9" width="10.7109375" style="11" customWidth="1"/>
    <col min="10" max="10" width="28.7109375" style="1" customWidth="1"/>
    <col min="11" max="11" width="13.7109375" style="12" customWidth="1"/>
    <col min="12" max="12" width="9.7109375" style="10" hidden="1" customWidth="1"/>
    <col min="13" max="13" width="28.7109375" style="1" customWidth="1"/>
    <col min="14" max="14" width="13.7109375" style="10" customWidth="1"/>
    <col min="15" max="15" width="9.7109375" style="10" hidden="1" customWidth="1"/>
    <col min="16" max="16" width="28.7109375" style="1" customWidth="1"/>
    <col min="17" max="17" width="13.7109375" style="10" customWidth="1"/>
    <col min="18" max="18" width="9.7109375" style="10" hidden="1" customWidth="1"/>
    <col min="19" max="19" width="28.7109375" style="1" customWidth="1"/>
    <col min="20" max="20" width="13.7109375" style="10" customWidth="1"/>
    <col min="21" max="21" width="9.7109375" style="10" hidden="1" customWidth="1"/>
    <col min="22" max="22" width="28.7109375" style="1" customWidth="1"/>
    <col min="23" max="23" width="13.7109375" style="10" customWidth="1"/>
    <col min="24" max="24" width="9.7109375" style="10" hidden="1" customWidth="1"/>
    <col min="25" max="25" width="28.7109375" style="1" customWidth="1"/>
    <col min="26" max="26" width="13.7109375" style="10" customWidth="1"/>
    <col min="27" max="27" width="9.7109375" style="10" hidden="1" customWidth="1"/>
    <col min="28" max="28" width="28.7109375" style="1" customWidth="1"/>
    <col min="29" max="29" width="13.7109375" style="10" customWidth="1"/>
    <col min="30" max="30" width="9.7109375" style="10" hidden="1" customWidth="1"/>
    <col min="31" max="31" width="28.7109375" style="1" customWidth="1"/>
    <col min="32" max="32" width="13.7109375" style="10" customWidth="1"/>
    <col min="33" max="33" width="9.7109375" style="10" hidden="1" customWidth="1"/>
    <col min="34" max="34" width="28.7109375" style="1" customWidth="1"/>
    <col min="35" max="35" width="13.7109375" style="10" customWidth="1"/>
    <col min="36" max="36" width="9.7109375" style="10" hidden="1" customWidth="1"/>
    <col min="37" max="37" width="28.7109375" style="1" customWidth="1"/>
    <col min="38" max="38" width="13.7109375" style="10" customWidth="1"/>
    <col min="39" max="39" width="9.7109375" style="10" hidden="1" customWidth="1"/>
    <col min="40" max="40" width="28.7109375" style="1" customWidth="1"/>
    <col min="41" max="41" width="13.7109375" style="10" customWidth="1"/>
    <col min="42" max="42" width="9.7109375" style="10" hidden="1" customWidth="1"/>
    <col min="43" max="43" width="28.7109375" style="1" customWidth="1"/>
    <col min="44" max="44" width="13.7109375" style="10" customWidth="1"/>
    <col min="45" max="45" width="9.7109375" style="10" hidden="1" customWidth="1"/>
    <col min="46" max="46" width="28.7109375" style="1" customWidth="1"/>
    <col min="47" max="47" width="13.7109375" style="10" customWidth="1"/>
    <col min="48" max="48" width="9.7109375" style="10" hidden="1" customWidth="1"/>
    <col min="49" max="49" width="28.7109375" style="1" customWidth="1"/>
    <col min="50" max="50" width="13.7109375" style="10" customWidth="1"/>
    <col min="51" max="51" width="9.7109375" style="10" hidden="1" customWidth="1"/>
    <col min="52" max="52" width="28.7109375" style="1" customWidth="1"/>
    <col min="53" max="53" width="13.7109375" style="10" customWidth="1"/>
    <col min="54" max="54" width="9.7109375" style="10" hidden="1" customWidth="1"/>
    <col min="55" max="55" width="28.7109375" style="10" customWidth="1"/>
    <col min="56" max="56" width="13.7109375" style="10" customWidth="1"/>
    <col min="57" max="57" width="9.7109375" style="10" hidden="1" customWidth="1"/>
    <col min="58" max="58" width="28.7109375" style="10" customWidth="1"/>
    <col min="59" max="59" width="13.7109375" style="10" customWidth="1"/>
    <col min="60" max="60" width="9.7109375" style="10" hidden="1" customWidth="1"/>
    <col min="61" max="61" width="28.7109375" style="10" customWidth="1"/>
    <col min="62" max="62" width="13.7109375" style="10" customWidth="1"/>
    <col min="63" max="63" width="9.7109375" style="10" hidden="1" customWidth="1"/>
    <col min="64" max="64" width="28.7109375" style="10" customWidth="1"/>
    <col min="65" max="65" width="13.7109375" style="10" customWidth="1"/>
    <col min="66" max="66" width="9.7109375" style="10" hidden="1" customWidth="1"/>
    <col min="67" max="67" width="28.7109375" style="10" customWidth="1"/>
    <col min="68" max="68" width="13.7109375" style="10" customWidth="1"/>
    <col min="69" max="69" width="9.7109375" style="10" hidden="1" customWidth="1"/>
    <col min="70" max="70" width="22.7109375" style="10" hidden="1" customWidth="1"/>
    <col min="71" max="72" width="9.7109375" style="10" hidden="1" customWidth="1"/>
    <col min="73" max="73" width="22.7109375" style="10" hidden="1" customWidth="1"/>
    <col min="74" max="75" width="9.7109375" style="10" hidden="1" customWidth="1"/>
    <col min="76" max="76" width="22.7109375" style="10" hidden="1" customWidth="1"/>
    <col min="77" max="78" width="9.7109375" style="10" hidden="1" customWidth="1"/>
    <col min="79" max="79" width="22.7109375" style="10" hidden="1" customWidth="1"/>
    <col min="80" max="81" width="9.7109375" style="10" hidden="1" customWidth="1"/>
    <col min="82" max="82" width="22.7109375" style="10" hidden="1" customWidth="1"/>
    <col min="83" max="84" width="9.7109375" style="10" hidden="1" customWidth="1"/>
    <col min="85" max="85" width="22.7109375" style="10" hidden="1" customWidth="1"/>
    <col min="86" max="87" width="9.7109375" style="10" hidden="1" customWidth="1"/>
    <col min="88" max="88" width="22.7109375" style="10" hidden="1" customWidth="1"/>
    <col min="89" max="90" width="9.7109375" style="10" hidden="1" customWidth="1"/>
    <col min="91" max="91" width="22.7109375" style="10" hidden="1" customWidth="1"/>
    <col min="92" max="93" width="9.7109375" style="10" hidden="1" customWidth="1"/>
    <col min="94" max="94" width="22.7109375" style="10" hidden="1" customWidth="1"/>
    <col min="95" max="96" width="9.7109375" style="10" hidden="1" customWidth="1"/>
    <col min="97" max="97" width="22.7109375" style="10" hidden="1" customWidth="1"/>
    <col min="98" max="99" width="9.7109375" style="10" hidden="1" customWidth="1"/>
    <col min="100" max="16384" width="9.140625" style="13"/>
  </cols>
  <sheetData>
    <row r="1" spans="1:99" ht="15.75" x14ac:dyDescent="0.25">
      <c r="A1" s="6"/>
      <c r="B1" s="7" t="s">
        <v>3740</v>
      </c>
      <c r="C1" s="8"/>
      <c r="D1" s="53"/>
      <c r="E1" s="9"/>
      <c r="G1" s="10" t="s">
        <v>16</v>
      </c>
      <c r="H1" s="10"/>
      <c r="J1" s="6"/>
      <c r="M1" s="10"/>
      <c r="P1" s="10"/>
      <c r="S1" s="10"/>
      <c r="V1" s="10"/>
      <c r="Y1" s="10"/>
      <c r="AB1" s="10"/>
      <c r="AE1" s="10"/>
      <c r="AH1" s="10"/>
      <c r="AK1" s="10"/>
      <c r="AN1" s="10"/>
      <c r="AQ1" s="10"/>
      <c r="AT1" s="10"/>
      <c r="AW1" s="10"/>
      <c r="AZ1" s="10"/>
      <c r="BK1" s="10" t="str">
        <f t="shared" ref="BK1:BU1" ca="1" si="0">IF(SUMPRODUCT((BK4:BK1004=$G$1)*(SUBTOTAL(103,OFFSET(BK4,ROW(BK4:BK1004)-MIN(ROW(BK4:BK1004)),0))))=0,"",SUMPRODUCT((BK4:BK1004=$G$1)*(SUBTOTAL(103,OFFSET(BK4,ROW(BK4:BK1004)-MIN(ROW(BK4:BK1004)),0)))))</f>
        <v/>
      </c>
      <c r="BL1" s="10">
        <f t="shared" ca="1" si="0"/>
        <v>1001</v>
      </c>
      <c r="BM1" s="10">
        <f t="shared" ca="1" si="0"/>
        <v>1001</v>
      </c>
      <c r="BN1" s="10" t="str">
        <f t="shared" ca="1" si="0"/>
        <v/>
      </c>
      <c r="BO1" s="10">
        <f t="shared" ca="1" si="0"/>
        <v>1001</v>
      </c>
      <c r="BP1" s="10">
        <f t="shared" ca="1" si="0"/>
        <v>1001</v>
      </c>
      <c r="BQ1" s="10" t="str">
        <f t="shared" ca="1" si="0"/>
        <v/>
      </c>
      <c r="BR1" s="10">
        <f t="shared" ca="1" si="0"/>
        <v>1001</v>
      </c>
      <c r="BS1" s="10">
        <f t="shared" ca="1" si="0"/>
        <v>1001</v>
      </c>
      <c r="BT1" s="10" t="str">
        <f t="shared" ca="1" si="0"/>
        <v/>
      </c>
      <c r="BU1" s="10">
        <f t="shared" ca="1" si="0"/>
        <v>1001</v>
      </c>
      <c r="BV1" s="10">
        <f t="shared" ref="BV1:CU1" ca="1" si="1">IF(SUMPRODUCT((BV4:BV1004=$G$1)*(SUBTOTAL(103,OFFSET(BV4,ROW(BV4:BV1004)-MIN(ROW(BV4:BV1004)),0))))=0,"",SUMPRODUCT((BV4:BV1004=$G$1)*(SUBTOTAL(103,OFFSET(BV4,ROW(BV4:BV1004)-MIN(ROW(BV4:BV1004)),0)))))</f>
        <v>1001</v>
      </c>
      <c r="BW1" s="10" t="str">
        <f t="shared" ca="1" si="1"/>
        <v/>
      </c>
      <c r="BX1" s="10">
        <f t="shared" ca="1" si="1"/>
        <v>1001</v>
      </c>
      <c r="BY1" s="10">
        <f t="shared" ca="1" si="1"/>
        <v>1001</v>
      </c>
      <c r="BZ1" s="10" t="str">
        <f t="shared" ca="1" si="1"/>
        <v/>
      </c>
      <c r="CA1" s="10">
        <f t="shared" ca="1" si="1"/>
        <v>1001</v>
      </c>
      <c r="CB1" s="10">
        <f t="shared" ca="1" si="1"/>
        <v>1001</v>
      </c>
      <c r="CC1" s="10" t="str">
        <f t="shared" ca="1" si="1"/>
        <v/>
      </c>
      <c r="CD1" s="10">
        <f t="shared" ca="1" si="1"/>
        <v>1001</v>
      </c>
      <c r="CE1" s="10">
        <f t="shared" ca="1" si="1"/>
        <v>1001</v>
      </c>
      <c r="CF1" s="10" t="str">
        <f t="shared" ca="1" si="1"/>
        <v/>
      </c>
      <c r="CG1" s="10">
        <f t="shared" ca="1" si="1"/>
        <v>1001</v>
      </c>
      <c r="CH1" s="10">
        <f t="shared" ca="1" si="1"/>
        <v>1001</v>
      </c>
      <c r="CI1" s="10" t="str">
        <f t="shared" ca="1" si="1"/>
        <v/>
      </c>
      <c r="CJ1" s="10">
        <f t="shared" ca="1" si="1"/>
        <v>1001</v>
      </c>
      <c r="CK1" s="10">
        <f t="shared" ca="1" si="1"/>
        <v>1001</v>
      </c>
      <c r="CL1" s="10" t="str">
        <f t="shared" ca="1" si="1"/>
        <v/>
      </c>
      <c r="CM1" s="10">
        <f t="shared" ca="1" si="1"/>
        <v>1001</v>
      </c>
      <c r="CN1" s="10">
        <f t="shared" ca="1" si="1"/>
        <v>1001</v>
      </c>
      <c r="CO1" s="10" t="str">
        <f t="shared" ca="1" si="1"/>
        <v/>
      </c>
      <c r="CP1" s="10">
        <f t="shared" ca="1" si="1"/>
        <v>1001</v>
      </c>
      <c r="CQ1" s="10">
        <f t="shared" ca="1" si="1"/>
        <v>1001</v>
      </c>
      <c r="CR1" s="10" t="str">
        <f t="shared" ca="1" si="1"/>
        <v/>
      </c>
      <c r="CS1" s="10">
        <f t="shared" ca="1" si="1"/>
        <v>1001</v>
      </c>
      <c r="CT1" s="10">
        <f t="shared" ca="1" si="1"/>
        <v>1001</v>
      </c>
      <c r="CU1" s="10" t="str">
        <f t="shared" ca="1" si="1"/>
        <v/>
      </c>
    </row>
    <row r="2" spans="1:99" x14ac:dyDescent="0.25">
      <c r="A2" s="14"/>
      <c r="B2" s="15" t="s">
        <v>3741</v>
      </c>
      <c r="C2" s="16"/>
      <c r="D2" s="54"/>
      <c r="E2" s="17"/>
      <c r="F2" s="17"/>
      <c r="G2" s="17"/>
      <c r="H2" s="17"/>
      <c r="I2" s="67"/>
      <c r="J2" s="18"/>
      <c r="K2" s="19"/>
      <c r="L2" s="18"/>
      <c r="M2" s="18"/>
      <c r="N2" s="20"/>
      <c r="O2" s="20"/>
      <c r="P2" s="18"/>
      <c r="Q2" s="18"/>
      <c r="R2" s="18"/>
      <c r="S2" s="18"/>
      <c r="T2" s="20"/>
      <c r="U2" s="20"/>
      <c r="V2" s="18"/>
      <c r="W2" s="18"/>
      <c r="X2" s="18"/>
      <c r="Y2" s="18"/>
      <c r="Z2" s="20"/>
      <c r="AA2" s="20"/>
      <c r="AB2" s="18"/>
      <c r="AC2" s="18"/>
      <c r="AD2" s="18"/>
      <c r="AE2" s="18"/>
      <c r="AF2" s="20"/>
      <c r="AG2" s="20"/>
      <c r="AH2" s="18"/>
      <c r="AI2" s="18"/>
      <c r="AJ2" s="18"/>
      <c r="AK2" s="18"/>
      <c r="AL2" s="20"/>
      <c r="AM2" s="20"/>
      <c r="AN2" s="18"/>
      <c r="AO2" s="18"/>
      <c r="AP2" s="18"/>
      <c r="AQ2" s="18"/>
      <c r="AR2" s="20"/>
      <c r="AS2" s="20"/>
      <c r="AT2" s="18"/>
      <c r="AU2" s="18"/>
      <c r="AV2" s="18"/>
      <c r="AW2" s="18"/>
      <c r="AX2" s="20"/>
      <c r="AY2" s="20"/>
      <c r="AZ2" s="18"/>
      <c r="BA2" s="18"/>
      <c r="BB2" s="18"/>
      <c r="BC2" s="18"/>
      <c r="BD2" s="20"/>
      <c r="BE2" s="20"/>
      <c r="BF2" s="18"/>
      <c r="BG2" s="18"/>
      <c r="BH2" s="18"/>
      <c r="BI2" s="18"/>
      <c r="BJ2" s="20"/>
      <c r="BK2" s="20"/>
      <c r="BL2" s="18"/>
      <c r="BM2" s="18"/>
      <c r="BN2" s="18"/>
      <c r="BO2" s="18"/>
      <c r="BP2" s="20"/>
      <c r="BQ2" s="20"/>
      <c r="BR2" s="18"/>
      <c r="BS2" s="18"/>
      <c r="BT2" s="18"/>
      <c r="BU2" s="18"/>
      <c r="BV2" s="20"/>
      <c r="BW2" s="20"/>
      <c r="BX2" s="18"/>
      <c r="BY2" s="18"/>
      <c r="BZ2" s="18"/>
      <c r="CA2" s="18"/>
      <c r="CB2" s="20"/>
      <c r="CC2" s="20"/>
      <c r="CD2" s="18"/>
      <c r="CE2" s="18"/>
      <c r="CF2" s="18"/>
      <c r="CG2" s="18"/>
      <c r="CH2" s="20"/>
      <c r="CI2" s="20"/>
      <c r="CJ2" s="18"/>
      <c r="CK2" s="18"/>
      <c r="CL2" s="18"/>
      <c r="CM2" s="18"/>
      <c r="CN2" s="20"/>
      <c r="CO2" s="20"/>
      <c r="CP2" s="18"/>
      <c r="CQ2" s="18"/>
      <c r="CR2" s="18"/>
      <c r="CS2" s="18"/>
      <c r="CT2" s="20"/>
      <c r="CU2" s="20"/>
    </row>
    <row r="3" spans="1:99" s="36" customFormat="1" ht="22.5" x14ac:dyDescent="0.25">
      <c r="A3" s="21" t="s">
        <v>2698</v>
      </c>
      <c r="B3" s="22" t="s">
        <v>3742</v>
      </c>
      <c r="C3" s="23" t="s">
        <v>3743</v>
      </c>
      <c r="D3" s="66" t="s">
        <v>11</v>
      </c>
      <c r="E3" s="24" t="s">
        <v>3744</v>
      </c>
      <c r="F3" s="25" t="s">
        <v>3745</v>
      </c>
      <c r="G3" s="25" t="s">
        <v>3746</v>
      </c>
      <c r="H3" s="26" t="s">
        <v>3747</v>
      </c>
      <c r="I3" s="27" t="s">
        <v>3748</v>
      </c>
      <c r="J3" s="49" t="s">
        <v>3749</v>
      </c>
      <c r="K3" s="50" t="s">
        <v>3581</v>
      </c>
      <c r="L3" s="28"/>
      <c r="M3" s="51" t="s">
        <v>3750</v>
      </c>
      <c r="N3" s="52" t="s">
        <v>3581</v>
      </c>
      <c r="O3" s="29"/>
      <c r="P3" s="49" t="s">
        <v>3751</v>
      </c>
      <c r="Q3" s="50" t="s">
        <v>3581</v>
      </c>
      <c r="R3" s="28"/>
      <c r="S3" s="51" t="s">
        <v>3752</v>
      </c>
      <c r="T3" s="52" t="s">
        <v>3581</v>
      </c>
      <c r="U3" s="49"/>
      <c r="V3" s="49" t="s">
        <v>3753</v>
      </c>
      <c r="W3" s="50" t="s">
        <v>3581</v>
      </c>
      <c r="X3" s="28"/>
      <c r="Y3" s="51" t="s">
        <v>3754</v>
      </c>
      <c r="Z3" s="52" t="s">
        <v>3581</v>
      </c>
      <c r="AA3" s="29"/>
      <c r="AB3" s="49" t="s">
        <v>3755</v>
      </c>
      <c r="AC3" s="50" t="s">
        <v>3581</v>
      </c>
      <c r="AD3" s="28"/>
      <c r="AE3" s="51" t="s">
        <v>3756</v>
      </c>
      <c r="AF3" s="52" t="s">
        <v>3581</v>
      </c>
      <c r="AG3" s="28"/>
      <c r="AH3" s="49" t="s">
        <v>3757</v>
      </c>
      <c r="AI3" s="50" t="s">
        <v>3581</v>
      </c>
      <c r="AJ3" s="28"/>
      <c r="AK3" s="51" t="s">
        <v>3758</v>
      </c>
      <c r="AL3" s="52" t="s">
        <v>3581</v>
      </c>
      <c r="AM3" s="29"/>
      <c r="AN3" s="49" t="s">
        <v>3759</v>
      </c>
      <c r="AO3" s="50" t="s">
        <v>3581</v>
      </c>
      <c r="AP3" s="28"/>
      <c r="AQ3" s="51" t="s">
        <v>3760</v>
      </c>
      <c r="AR3" s="52" t="s">
        <v>3581</v>
      </c>
      <c r="AS3" s="52"/>
      <c r="AT3" s="49" t="s">
        <v>3761</v>
      </c>
      <c r="AU3" s="50" t="s">
        <v>3581</v>
      </c>
      <c r="AV3" s="28"/>
      <c r="AW3" s="51" t="s">
        <v>3762</v>
      </c>
      <c r="AX3" s="52" t="s">
        <v>3581</v>
      </c>
      <c r="AY3" s="29"/>
      <c r="AZ3" s="49" t="s">
        <v>3763</v>
      </c>
      <c r="BA3" s="50" t="s">
        <v>3581</v>
      </c>
      <c r="BB3" s="28"/>
      <c r="BC3" s="51" t="s">
        <v>3764</v>
      </c>
      <c r="BD3" s="52" t="s">
        <v>3581</v>
      </c>
      <c r="BE3" s="32"/>
      <c r="BF3" s="33" t="s">
        <v>3765</v>
      </c>
      <c r="BG3" s="34" t="s">
        <v>3581</v>
      </c>
      <c r="BH3" s="35"/>
      <c r="BI3" s="30" t="s">
        <v>3766</v>
      </c>
      <c r="BJ3" s="31" t="s">
        <v>3581</v>
      </c>
      <c r="BK3" s="32"/>
      <c r="BL3" s="33" t="s">
        <v>3767</v>
      </c>
      <c r="BM3" s="34" t="s">
        <v>3581</v>
      </c>
      <c r="BN3" s="35"/>
      <c r="BO3" s="30" t="s">
        <v>3768</v>
      </c>
      <c r="BP3" s="31" t="s">
        <v>3581</v>
      </c>
      <c r="BQ3" s="32"/>
      <c r="BR3" s="33" t="s">
        <v>3769</v>
      </c>
      <c r="BS3" s="34"/>
      <c r="BT3" s="35"/>
      <c r="BU3" s="30" t="s">
        <v>3770</v>
      </c>
      <c r="BV3" s="31"/>
      <c r="BW3" s="32"/>
      <c r="BX3" s="33" t="s">
        <v>3771</v>
      </c>
      <c r="BY3" s="34"/>
      <c r="BZ3" s="35"/>
      <c r="CA3" s="30" t="s">
        <v>3772</v>
      </c>
      <c r="CB3" s="31"/>
      <c r="CC3" s="32"/>
      <c r="CD3" s="33" t="s">
        <v>3773</v>
      </c>
      <c r="CE3" s="34"/>
      <c r="CF3" s="35"/>
      <c r="CG3" s="30" t="s">
        <v>3774</v>
      </c>
      <c r="CH3" s="31"/>
      <c r="CI3" s="32"/>
      <c r="CJ3" s="33" t="s">
        <v>3775</v>
      </c>
      <c r="CK3" s="34"/>
      <c r="CL3" s="35"/>
      <c r="CM3" s="30" t="s">
        <v>3776</v>
      </c>
      <c r="CN3" s="31"/>
      <c r="CO3" s="32"/>
      <c r="CP3" s="33" t="s">
        <v>3777</v>
      </c>
      <c r="CQ3" s="34"/>
      <c r="CR3" s="35"/>
      <c r="CS3" s="30" t="s">
        <v>3778</v>
      </c>
      <c r="CT3" s="31"/>
      <c r="CU3" s="32"/>
    </row>
    <row r="4" spans="1:99" x14ac:dyDescent="0.25">
      <c r="A4" s="37">
        <f>--SUBTOTAL(3,$B$3:B3)</f>
        <v>1</v>
      </c>
      <c r="B4" s="2">
        <v>45017</v>
      </c>
      <c r="C4" s="3">
        <v>45024</v>
      </c>
      <c r="D4" s="55" t="s">
        <v>64</v>
      </c>
      <c r="E4" s="38" t="s">
        <v>16</v>
      </c>
      <c r="F4" s="38" t="s">
        <v>16</v>
      </c>
      <c r="G4" s="39" t="str">
        <f t="shared" ref="G4:G67" si="2">IF(OR(C4="_",E4="_"),"__",CONCATENATE(C4,E4))</f>
        <v>__</v>
      </c>
      <c r="H4" s="40" t="str">
        <f t="shared" ref="H4:H67" si="3">IF(G4="__","FALSE",COUNTIF(G:G,G4)&gt;1)</f>
        <v>FALSE</v>
      </c>
      <c r="I4" s="41">
        <f t="shared" ref="I4:I67" si="4">SUMPRODUCT((J4:CU4&lt;&gt;"_")*(MOD(COLUMN(J4:CU4)-COLUMN(J4),3)=0))</f>
        <v>15</v>
      </c>
      <c r="J4" s="4" t="s">
        <v>618</v>
      </c>
      <c r="K4" s="43">
        <f>IF(VLOOKUP(J4,βοηθητικό!$J$2:$N$354,3,FALSE)="","",VLOOKUP(J4,βοηθητικό!$J$2:$N$354,3,FALSE))</f>
        <v>6977784031</v>
      </c>
      <c r="L4" s="44"/>
      <c r="M4" s="5" t="s">
        <v>642</v>
      </c>
      <c r="N4" s="46">
        <f>IF(VLOOKUP(M4,βοηθητικό!$J$2:$N$354,3,FALSE)="","",VLOOKUP(M4,βοηθητικό!$J$2:$N$354,3,FALSE))</f>
        <v>6973305838</v>
      </c>
      <c r="O4" s="47"/>
      <c r="P4" s="4" t="s">
        <v>725</v>
      </c>
      <c r="Q4" s="43" t="str">
        <f>IF(VLOOKUP(P4,βοηθητικό!$J$2:$N$354,3,FALSE)="","",VLOOKUP(P4,βοηθητικό!$J$2:$N$354,3,FALSE))</f>
        <v>6948851335</v>
      </c>
      <c r="R4" s="44"/>
      <c r="S4" s="5" t="s">
        <v>735</v>
      </c>
      <c r="T4" s="46">
        <f>IF(VLOOKUP(S4,βοηθητικό!$J$2:$N$354,3,FALSE)="","",VLOOKUP(S4,βοηθητικό!$J$2:$N$354,3,FALSE))</f>
        <v>6937699769</v>
      </c>
      <c r="U4" s="47"/>
      <c r="V4" s="4" t="s">
        <v>786</v>
      </c>
      <c r="W4" s="43">
        <f>IF(VLOOKUP(V4,βοηθητικό!$J$2:$N$354,3,FALSE)="","",VLOOKUP(V4,βοηθητικό!$J$2:$N$354,3,FALSE))</f>
        <v>6948693451</v>
      </c>
      <c r="X4" s="44"/>
      <c r="Y4" s="5" t="s">
        <v>804</v>
      </c>
      <c r="Z4" s="46" t="str">
        <f>IF(VLOOKUP(Y4,βοηθητικό!$J$2:$N$354,3,FALSE)="","",VLOOKUP(Y4,βοηθητικό!$J$2:$N$354,3,FALSE))</f>
        <v>6947244486</v>
      </c>
      <c r="AA4" s="47"/>
      <c r="AB4" s="4" t="s">
        <v>816</v>
      </c>
      <c r="AC4" s="43" t="str">
        <f>IF(VLOOKUP(AB4,βοηθητικό!$J$2:$N$354,3,FALSE)="","",VLOOKUP(AB4,βοηθητικό!$J$2:$N$354,3,FALSE))</f>
        <v>6977507325</v>
      </c>
      <c r="AD4" s="44"/>
      <c r="AE4" s="5" t="s">
        <v>821</v>
      </c>
      <c r="AF4" s="46">
        <f>IF(VLOOKUP(AE4,βοηθητικό!$J$2:$N$354,3,FALSE)="","",VLOOKUP(AE4,βοηθητικό!$J$2:$N$354,3,FALSE))</f>
        <v>6973248110</v>
      </c>
      <c r="AG4" s="47"/>
      <c r="AH4" s="4" t="s">
        <v>828</v>
      </c>
      <c r="AI4" s="43" t="str">
        <f>IF(VLOOKUP(AH4,βοηθητικό!$J$2:$N$354,3,FALSE)="","",VLOOKUP(AH4,βοηθητικό!$J$2:$N$354,3,FALSE))</f>
        <v>6981873196</v>
      </c>
      <c r="AJ4" s="44"/>
      <c r="AK4" s="5" t="s">
        <v>838</v>
      </c>
      <c r="AL4" s="46" t="str">
        <f>IF(VLOOKUP(AK4,βοηθητικό!$J$2:$N$354,3,FALSE)="","",VLOOKUP(AK4,βοηθητικό!$J$2:$N$354,3,FALSE))</f>
        <v>6978485361 6949641611</v>
      </c>
      <c r="AM4" s="47"/>
      <c r="AN4" s="4" t="s">
        <v>887</v>
      </c>
      <c r="AO4" s="43" t="str">
        <f>IF(VLOOKUP(AN4,βοηθητικό!$J$2:$N$354,3,FALSE)="","",VLOOKUP(AN4,βοηθητικό!$J$2:$N$354,3,FALSE))</f>
        <v>6974378663</v>
      </c>
      <c r="AP4" s="44"/>
      <c r="AQ4" s="5" t="s">
        <v>896</v>
      </c>
      <c r="AR4" s="46" t="str">
        <f>IF(VLOOKUP(AQ4,βοηθητικό!$J$2:$N$354,3,FALSE)="","",VLOOKUP(AQ4,βοηθητικό!$J$2:$N$354,3,FALSE))</f>
        <v>6989602050</v>
      </c>
      <c r="AS4" s="47"/>
      <c r="AT4" s="4" t="s">
        <v>911</v>
      </c>
      <c r="AU4" s="43" t="str">
        <f>IF(VLOOKUP(AT4,βοηθητικό!$J$2:$N$354,3,FALSE)="","",VLOOKUP(AT4,βοηθητικό!$J$2:$N$354,3,FALSE))</f>
        <v>6972234942</v>
      </c>
      <c r="AV4" s="44"/>
      <c r="AW4" s="5" t="s">
        <v>900</v>
      </c>
      <c r="AX4" s="46" t="str">
        <f>IF(VLOOKUP(AW4,βοηθητικό!$J$2:$N$354,3,FALSE)="","",VLOOKUP(AW4,βοηθητικό!$J$2:$N$354,3,FALSE))</f>
        <v>_</v>
      </c>
      <c r="AY4" s="47"/>
      <c r="AZ4" s="4" t="s">
        <v>907</v>
      </c>
      <c r="BA4" s="43" t="str">
        <f>IF(VLOOKUP(AZ4,βοηθητικό!$J$2:$N$354,3,FALSE)="","",VLOOKUP(AZ4,βοηθητικό!$J$2:$N$354,3,FALSE))</f>
        <v>6974321817</v>
      </c>
      <c r="BB4" s="44"/>
      <c r="BC4" s="45" t="s">
        <v>16</v>
      </c>
      <c r="BD4" s="46" t="str">
        <f>IF(VLOOKUP(BC4,βοηθητικό!$J$2:$N$354,3,FALSE)="","",VLOOKUP(BC4,βοηθητικό!$J$2:$N$354,3,FALSE))</f>
        <v>_</v>
      </c>
      <c r="BE4" s="47"/>
      <c r="BF4" s="42" t="s">
        <v>16</v>
      </c>
      <c r="BG4" s="43" t="str">
        <f>IF(VLOOKUP(BF4,βοηθητικό!$J$2:$N$354,3,FALSE)="","",VLOOKUP(BF4,βοηθητικό!$J$2:$N$354,3,FALSE))</f>
        <v>_</v>
      </c>
      <c r="BH4" s="44"/>
      <c r="BI4" s="45" t="s">
        <v>16</v>
      </c>
      <c r="BJ4" s="46" t="str">
        <f>IF(VLOOKUP(BI4,βοηθητικό!$J$2:$N$354,3,FALSE)="","",VLOOKUP(BI4,βοηθητικό!$J$2:$N$354,3,FALSE))</f>
        <v>_</v>
      </c>
      <c r="BK4" s="47"/>
      <c r="BL4" s="42" t="s">
        <v>16</v>
      </c>
      <c r="BM4" s="43" t="str">
        <f>IF(VLOOKUP(BL4,βοηθητικό!$J$2:$N$354,3,FALSE)="","",VLOOKUP(BL4,βοηθητικό!$J$2:$N$354,3,FALSE))</f>
        <v>_</v>
      </c>
      <c r="BN4" s="44"/>
      <c r="BO4" s="45" t="s">
        <v>16</v>
      </c>
      <c r="BP4" s="46" t="str">
        <f>IF(VLOOKUP(BO4,βοηθητικό!$J$2:$N$354,3,FALSE)="","",VLOOKUP(BO4,βοηθητικό!$J$2:$N$354,3,FALSE))</f>
        <v>_</v>
      </c>
      <c r="BQ4" s="47"/>
      <c r="BR4" s="42" t="s">
        <v>16</v>
      </c>
      <c r="BS4" s="43" t="str">
        <f>IF(VLOOKUP(BR4,βοηθητικό!$J$2:$N$354,3,FALSE)="","",VLOOKUP(BR4,βοηθητικό!$J$2:$N$354,3,FALSE))</f>
        <v>_</v>
      </c>
      <c r="BT4" s="44"/>
      <c r="BU4" s="45" t="s">
        <v>16</v>
      </c>
      <c r="BV4" s="46" t="str">
        <f>IF(VLOOKUP(BU4,βοηθητικό!$J$2:$N$354,3,FALSE)="","",VLOOKUP(BU4,βοηθητικό!$J$2:$N$354,3,FALSE))</f>
        <v>_</v>
      </c>
      <c r="BW4" s="47"/>
      <c r="BX4" s="42" t="s">
        <v>16</v>
      </c>
      <c r="BY4" s="43" t="str">
        <f>IF(VLOOKUP(BX4,βοηθητικό!$J$2:$N$354,3,FALSE)="","",VLOOKUP(BX4,βοηθητικό!$J$2:$N$354,3,FALSE))</f>
        <v>_</v>
      </c>
      <c r="BZ4" s="44"/>
      <c r="CA4" s="45" t="s">
        <v>16</v>
      </c>
      <c r="CB4" s="46" t="str">
        <f>IF(VLOOKUP(CA4,βοηθητικό!$J$2:$N$354,3,FALSE)="","",VLOOKUP(CA4,βοηθητικό!$J$2:$N$354,3,FALSE))</f>
        <v>_</v>
      </c>
      <c r="CC4" s="47"/>
      <c r="CD4" s="42" t="s">
        <v>16</v>
      </c>
      <c r="CE4" s="43" t="str">
        <f>IF(VLOOKUP(CD4,βοηθητικό!$J$2:$N$354,3,FALSE)="","",VLOOKUP(CD4,βοηθητικό!$J$2:$N$354,3,FALSE))</f>
        <v>_</v>
      </c>
      <c r="CF4" s="44"/>
      <c r="CG4" s="45" t="s">
        <v>16</v>
      </c>
      <c r="CH4" s="46" t="str">
        <f>IF(VLOOKUP(CG4,βοηθητικό!$J$2:$N$354,3,FALSE)="","",VLOOKUP(CG4,βοηθητικό!$J$2:$N$354,3,FALSE))</f>
        <v>_</v>
      </c>
      <c r="CI4" s="47"/>
      <c r="CJ4" s="42" t="s">
        <v>16</v>
      </c>
      <c r="CK4" s="43" t="str">
        <f>IF(VLOOKUP(CJ4,βοηθητικό!$J$2:$N$354,3,FALSE)="","",VLOOKUP(CJ4,βοηθητικό!$J$2:$N$354,3,FALSE))</f>
        <v>_</v>
      </c>
      <c r="CL4" s="44"/>
      <c r="CM4" s="45" t="s">
        <v>16</v>
      </c>
      <c r="CN4" s="46" t="str">
        <f>IF(VLOOKUP(CM4,βοηθητικό!$J$2:$N$354,3,FALSE)="","",VLOOKUP(CM4,βοηθητικό!$J$2:$N$354,3,FALSE))</f>
        <v>_</v>
      </c>
      <c r="CO4" s="47"/>
      <c r="CP4" s="42" t="s">
        <v>16</v>
      </c>
      <c r="CQ4" s="43" t="str">
        <f>IF(VLOOKUP(CP4,βοηθητικό!$J$2:$N$354,3,FALSE)="","",VLOOKUP(CP4,βοηθητικό!$J$2:$N$354,3,FALSE))</f>
        <v>_</v>
      </c>
      <c r="CR4" s="44"/>
      <c r="CS4" s="45" t="s">
        <v>16</v>
      </c>
      <c r="CT4" s="46" t="str">
        <f>IF(VLOOKUP(CS4,βοηθητικό!$J$2:$N$354,3,FALSE)="","",VLOOKUP(CS4,βοηθητικό!$J$2:$N$354,3,FALSE))</f>
        <v>_</v>
      </c>
      <c r="CU4" s="47"/>
    </row>
    <row r="5" spans="1:99" x14ac:dyDescent="0.25">
      <c r="A5" s="37">
        <f>--SUBTOTAL(3,$B$3:B4)</f>
        <v>2</v>
      </c>
      <c r="B5" s="2">
        <v>45017</v>
      </c>
      <c r="C5" s="3">
        <v>45024</v>
      </c>
      <c r="D5" s="55" t="s">
        <v>92</v>
      </c>
      <c r="E5" s="38" t="s">
        <v>16</v>
      </c>
      <c r="F5" s="38" t="s">
        <v>16</v>
      </c>
      <c r="G5" s="39" t="str">
        <f t="shared" si="2"/>
        <v>__</v>
      </c>
      <c r="H5" s="40" t="str">
        <f t="shared" si="3"/>
        <v>FALSE</v>
      </c>
      <c r="I5" s="41">
        <f t="shared" si="4"/>
        <v>11</v>
      </c>
      <c r="J5" s="4" t="s">
        <v>923</v>
      </c>
      <c r="K5" s="43" t="str">
        <f>IF(VLOOKUP(J5,βοηθητικό!$J$2:$N$354,3,FALSE)="","",VLOOKUP(J5,βοηθητικό!$J$2:$N$354,3,FALSE))</f>
        <v>6970117758</v>
      </c>
      <c r="L5" s="44"/>
      <c r="M5" s="5" t="s">
        <v>944</v>
      </c>
      <c r="N5" s="46" t="str">
        <f>IF(VLOOKUP(M5,βοηθητικό!$J$2:$N$354,3,FALSE)="","",VLOOKUP(M5,βοηθητικό!$J$2:$N$354,3,FALSE))</f>
        <v>6943440301</v>
      </c>
      <c r="O5" s="47"/>
      <c r="P5" s="4" t="s">
        <v>974</v>
      </c>
      <c r="Q5" s="43" t="str">
        <f>IF(VLOOKUP(P5,βοηθητικό!$J$2:$N$354,3,FALSE)="","",VLOOKUP(P5,βοηθητικό!$J$2:$N$354,3,FALSE))</f>
        <v>6940552610</v>
      </c>
      <c r="R5" s="44"/>
      <c r="S5" s="5" t="s">
        <v>987</v>
      </c>
      <c r="T5" s="46" t="str">
        <f>IF(VLOOKUP(S5,βοηθητικό!$J$2:$N$354,3,FALSE)="","",VLOOKUP(S5,βοηθητικό!$J$2:$N$354,3,FALSE))</f>
        <v>6984118511</v>
      </c>
      <c r="U5" s="47"/>
      <c r="V5" s="4" t="s">
        <v>999</v>
      </c>
      <c r="W5" s="43" t="str">
        <f>IF(VLOOKUP(V5,βοηθητικό!$J$2:$N$354,3,FALSE)="","",VLOOKUP(V5,βοηθητικό!$J$2:$N$354,3,FALSE))</f>
        <v>6974030990</v>
      </c>
      <c r="X5" s="44"/>
      <c r="Y5" s="5" t="s">
        <v>1016</v>
      </c>
      <c r="Z5" s="46">
        <f>IF(VLOOKUP(Y5,βοηθητικό!$J$2:$N$354,3,FALSE)="","",VLOOKUP(Y5,βοηθητικό!$J$2:$N$354,3,FALSE))</f>
        <v>6932900686</v>
      </c>
      <c r="AA5" s="47"/>
      <c r="AB5" s="4" t="s">
        <v>1051</v>
      </c>
      <c r="AC5" s="43">
        <f>IF(VLOOKUP(AB5,βοηθητικό!$J$2:$N$354,3,FALSE)="","",VLOOKUP(AB5,βοηθητικό!$J$2:$N$354,3,FALSE))</f>
        <v>6948358027</v>
      </c>
      <c r="AD5" s="44"/>
      <c r="AE5" s="5" t="s">
        <v>1059</v>
      </c>
      <c r="AF5" s="46" t="str">
        <f>IF(VLOOKUP(AE5,βοηθητικό!$J$2:$N$354,3,FALSE)="","",VLOOKUP(AE5,βοηθητικό!$J$2:$N$354,3,FALSE))</f>
        <v>6984685650</v>
      </c>
      <c r="AG5" s="47"/>
      <c r="AH5" s="4" t="s">
        <v>1068</v>
      </c>
      <c r="AI5" s="43" t="str">
        <f>IF(VLOOKUP(AH5,βοηθητικό!$J$2:$N$354,3,FALSE)="","",VLOOKUP(AH5,βοηθητικό!$J$2:$N$354,3,FALSE))</f>
        <v>6973806827</v>
      </c>
      <c r="AJ5" s="44"/>
      <c r="AK5" s="5" t="s">
        <v>1072</v>
      </c>
      <c r="AL5" s="46">
        <f>IF(VLOOKUP(AK5,βοηθητικό!$J$2:$N$354,3,FALSE)="","",VLOOKUP(AK5,βοηθητικό!$J$2:$N$354,3,FALSE))</f>
        <v>6945853478</v>
      </c>
      <c r="AM5" s="47"/>
      <c r="AN5" s="4" t="s">
        <v>1080</v>
      </c>
      <c r="AO5" s="43" t="str">
        <f>IF(VLOOKUP(AN5,βοηθητικό!$J$2:$N$354,3,FALSE)="","",VLOOKUP(AN5,βοηθητικό!$J$2:$N$354,3,FALSE))</f>
        <v>6987312059</v>
      </c>
      <c r="AP5" s="44"/>
      <c r="AQ5" s="5" t="s">
        <v>16</v>
      </c>
      <c r="AR5" s="46" t="str">
        <f>IF(VLOOKUP(AQ5,βοηθητικό!$J$2:$N$354,3,FALSE)="","",VLOOKUP(AQ5,βοηθητικό!$J$2:$N$354,3,FALSE))</f>
        <v>_</v>
      </c>
      <c r="AS5" s="47"/>
      <c r="AT5" s="4" t="s">
        <v>16</v>
      </c>
      <c r="AU5" s="43" t="str">
        <f>IF(VLOOKUP(AT5,βοηθητικό!$J$2:$N$354,3,FALSE)="","",VLOOKUP(AT5,βοηθητικό!$J$2:$N$354,3,FALSE))</f>
        <v>_</v>
      </c>
      <c r="AV5" s="44"/>
      <c r="AW5" s="5" t="s">
        <v>16</v>
      </c>
      <c r="AX5" s="46" t="str">
        <f>IF(VLOOKUP(AW5,βοηθητικό!$J$2:$N$354,3,FALSE)="","",VLOOKUP(AW5,βοηθητικό!$J$2:$N$354,3,FALSE))</f>
        <v>_</v>
      </c>
      <c r="AY5" s="47"/>
      <c r="AZ5" s="4" t="s">
        <v>16</v>
      </c>
      <c r="BA5" s="43" t="str">
        <f>IF(VLOOKUP(AZ5,βοηθητικό!$J$2:$N$354,3,FALSE)="","",VLOOKUP(AZ5,βοηθητικό!$J$2:$N$354,3,FALSE))</f>
        <v>_</v>
      </c>
      <c r="BB5" s="44"/>
      <c r="BC5" s="45" t="s">
        <v>16</v>
      </c>
      <c r="BD5" s="46" t="str">
        <f>IF(VLOOKUP(BC5,βοηθητικό!$J$2:$N$354,3,FALSE)="","",VLOOKUP(BC5,βοηθητικό!$J$2:$N$354,3,FALSE))</f>
        <v>_</v>
      </c>
      <c r="BE5" s="47"/>
      <c r="BF5" s="42" t="s">
        <v>16</v>
      </c>
      <c r="BG5" s="43" t="str">
        <f>IF(VLOOKUP(BF5,βοηθητικό!$J$2:$N$354,3,FALSE)="","",VLOOKUP(BF5,βοηθητικό!$J$2:$N$354,3,FALSE))</f>
        <v>_</v>
      </c>
      <c r="BH5" s="44"/>
      <c r="BI5" s="45" t="s">
        <v>16</v>
      </c>
      <c r="BJ5" s="46" t="str">
        <f>IF(VLOOKUP(BI5,βοηθητικό!$J$2:$N$354,3,FALSE)="","",VLOOKUP(BI5,βοηθητικό!$J$2:$N$354,3,FALSE))</f>
        <v>_</v>
      </c>
      <c r="BK5" s="47"/>
      <c r="BL5" s="42" t="s">
        <v>16</v>
      </c>
      <c r="BM5" s="43" t="str">
        <f>IF(VLOOKUP(BL5,βοηθητικό!$J$2:$N$354,3,FALSE)="","",VLOOKUP(BL5,βοηθητικό!$J$2:$N$354,3,FALSE))</f>
        <v>_</v>
      </c>
      <c r="BN5" s="44"/>
      <c r="BO5" s="45" t="s">
        <v>16</v>
      </c>
      <c r="BP5" s="46" t="str">
        <f>IF(VLOOKUP(BO5,βοηθητικό!$J$2:$N$354,3,FALSE)="","",VLOOKUP(BO5,βοηθητικό!$J$2:$N$354,3,FALSE))</f>
        <v>_</v>
      </c>
      <c r="BQ5" s="47"/>
      <c r="BR5" s="42" t="s">
        <v>16</v>
      </c>
      <c r="BS5" s="43" t="str">
        <f>IF(VLOOKUP(BR5,βοηθητικό!$J$2:$N$354,3,FALSE)="","",VLOOKUP(BR5,βοηθητικό!$J$2:$N$354,3,FALSE))</f>
        <v>_</v>
      </c>
      <c r="BT5" s="44"/>
      <c r="BU5" s="45" t="s">
        <v>16</v>
      </c>
      <c r="BV5" s="46" t="str">
        <f>IF(VLOOKUP(BU5,βοηθητικό!$J$2:$N$354,3,FALSE)="","",VLOOKUP(BU5,βοηθητικό!$J$2:$N$354,3,FALSE))</f>
        <v>_</v>
      </c>
      <c r="BW5" s="47"/>
      <c r="BX5" s="42" t="s">
        <v>16</v>
      </c>
      <c r="BY5" s="43" t="str">
        <f>IF(VLOOKUP(BX5,βοηθητικό!$J$2:$N$354,3,FALSE)="","",VLOOKUP(BX5,βοηθητικό!$J$2:$N$354,3,FALSE))</f>
        <v>_</v>
      </c>
      <c r="BZ5" s="44"/>
      <c r="CA5" s="45" t="s">
        <v>16</v>
      </c>
      <c r="CB5" s="46" t="str">
        <f>IF(VLOOKUP(CA5,βοηθητικό!$J$2:$N$354,3,FALSE)="","",VLOOKUP(CA5,βοηθητικό!$J$2:$N$354,3,FALSE))</f>
        <v>_</v>
      </c>
      <c r="CC5" s="47"/>
      <c r="CD5" s="42" t="s">
        <v>16</v>
      </c>
      <c r="CE5" s="43" t="str">
        <f>IF(VLOOKUP(CD5,βοηθητικό!$J$2:$N$354,3,FALSE)="","",VLOOKUP(CD5,βοηθητικό!$J$2:$N$354,3,FALSE))</f>
        <v>_</v>
      </c>
      <c r="CF5" s="44"/>
      <c r="CG5" s="45" t="s">
        <v>16</v>
      </c>
      <c r="CH5" s="46" t="str">
        <f>IF(VLOOKUP(CG5,βοηθητικό!$J$2:$N$354,3,FALSE)="","",VLOOKUP(CG5,βοηθητικό!$J$2:$N$354,3,FALSE))</f>
        <v>_</v>
      </c>
      <c r="CI5" s="47"/>
      <c r="CJ5" s="42" t="s">
        <v>16</v>
      </c>
      <c r="CK5" s="43" t="str">
        <f>IF(VLOOKUP(CJ5,βοηθητικό!$J$2:$N$354,3,FALSE)="","",VLOOKUP(CJ5,βοηθητικό!$J$2:$N$354,3,FALSE))</f>
        <v>_</v>
      </c>
      <c r="CL5" s="44"/>
      <c r="CM5" s="45" t="s">
        <v>16</v>
      </c>
      <c r="CN5" s="46" t="str">
        <f>IF(VLOOKUP(CM5,βοηθητικό!$J$2:$N$354,3,FALSE)="","",VLOOKUP(CM5,βοηθητικό!$J$2:$N$354,3,FALSE))</f>
        <v>_</v>
      </c>
      <c r="CO5" s="47"/>
      <c r="CP5" s="42" t="s">
        <v>16</v>
      </c>
      <c r="CQ5" s="43" t="str">
        <f>IF(VLOOKUP(CP5,βοηθητικό!$J$2:$N$354,3,FALSE)="","",VLOOKUP(CP5,βοηθητικό!$J$2:$N$354,3,FALSE))</f>
        <v>_</v>
      </c>
      <c r="CR5" s="44"/>
      <c r="CS5" s="45" t="s">
        <v>16</v>
      </c>
      <c r="CT5" s="46" t="str">
        <f>IF(VLOOKUP(CS5,βοηθητικό!$J$2:$N$354,3,FALSE)="","",VLOOKUP(CS5,βοηθητικό!$J$2:$N$354,3,FALSE))</f>
        <v>_</v>
      </c>
      <c r="CU5" s="47"/>
    </row>
    <row r="6" spans="1:99" x14ac:dyDescent="0.25">
      <c r="A6" s="37">
        <f>--SUBTOTAL(3,$B$3:B5)</f>
        <v>3</v>
      </c>
      <c r="B6" s="2">
        <v>45017</v>
      </c>
      <c r="C6" s="3">
        <v>45024</v>
      </c>
      <c r="D6" s="55" t="s">
        <v>115</v>
      </c>
      <c r="E6" s="38" t="s">
        <v>16</v>
      </c>
      <c r="F6" s="38" t="s">
        <v>16</v>
      </c>
      <c r="G6" s="39" t="str">
        <f t="shared" si="2"/>
        <v>__</v>
      </c>
      <c r="H6" s="40" t="str">
        <f t="shared" si="3"/>
        <v>FALSE</v>
      </c>
      <c r="I6" s="41">
        <f t="shared" si="4"/>
        <v>10</v>
      </c>
      <c r="J6" s="4" t="s">
        <v>1253</v>
      </c>
      <c r="K6" s="43" t="str">
        <f>IF(VLOOKUP(J6,βοηθητικό!$J$2:$N$354,3,FALSE)="","",VLOOKUP(J6,βοηθητικό!$J$2:$N$354,3,FALSE))</f>
        <v>6932285994</v>
      </c>
      <c r="L6" s="44"/>
      <c r="M6" s="5" t="s">
        <v>1367</v>
      </c>
      <c r="N6" s="46" t="str">
        <f>IF(VLOOKUP(M6,βοηθητικό!$J$2:$N$354,3,FALSE)="","",VLOOKUP(M6,βοηθητικό!$J$2:$N$354,3,FALSE))</f>
        <v>6936968187</v>
      </c>
      <c r="O6" s="47"/>
      <c r="P6" s="4" t="s">
        <v>1403</v>
      </c>
      <c r="Q6" s="43" t="str">
        <f>IF(VLOOKUP(P6,βοηθητικό!$J$2:$N$354,3,FALSE)="","",VLOOKUP(P6,βοηθητικό!$J$2:$N$354,3,FALSE))</f>
        <v>6936631245</v>
      </c>
      <c r="R6" s="44"/>
      <c r="S6" s="5" t="s">
        <v>1287</v>
      </c>
      <c r="T6" s="46" t="str">
        <f>IF(VLOOKUP(S6,βοηθητικό!$J$2:$N$354,3,FALSE)="","",VLOOKUP(S6,βοηθητικό!$J$2:$N$354,3,FALSE))</f>
        <v>6939405094</v>
      </c>
      <c r="U6" s="47"/>
      <c r="V6" s="4" t="s">
        <v>1371</v>
      </c>
      <c r="W6" s="43" t="str">
        <f>IF(VLOOKUP(V6,βοηθητικό!$J$2:$N$354,3,FALSE)="","",VLOOKUP(V6,βοηθητικό!$J$2:$N$354,3,FALSE))</f>
        <v>6977413847</v>
      </c>
      <c r="X6" s="44"/>
      <c r="Y6" s="5" t="s">
        <v>1355</v>
      </c>
      <c r="Z6" s="46" t="str">
        <f>IF(VLOOKUP(Y6,βοηθητικό!$J$2:$N$354,3,FALSE)="","",VLOOKUP(Y6,βοηθητικό!$J$2:$N$354,3,FALSE))</f>
        <v>6985127305</v>
      </c>
      <c r="AA6" s="47"/>
      <c r="AB6" s="4" t="s">
        <v>1326</v>
      </c>
      <c r="AC6" s="43" t="str">
        <f>IF(VLOOKUP(AB6,βοηθητικό!$J$2:$N$354,3,FALSE)="","",VLOOKUP(AB6,βοηθητικό!$J$2:$N$354,3,FALSE))</f>
        <v>6944050931</v>
      </c>
      <c r="AD6" s="44"/>
      <c r="AE6" s="5" t="s">
        <v>594</v>
      </c>
      <c r="AF6" s="46">
        <f>IF(VLOOKUP(AE6,βοηθητικό!$J$2:$N$354,3,FALSE)="","",VLOOKUP(AE6,βοηθητικό!$J$2:$N$354,3,FALSE))</f>
        <v>6909399934</v>
      </c>
      <c r="AG6" s="47"/>
      <c r="AH6" s="4" t="s">
        <v>1295</v>
      </c>
      <c r="AI6" s="43" t="str">
        <f>IF(VLOOKUP(AH6,βοηθητικό!$J$2:$N$354,3,FALSE)="","",VLOOKUP(AH6,βοηθητικό!$J$2:$N$354,3,FALSE))</f>
        <v>6973559599</v>
      </c>
      <c r="AJ6" s="44"/>
      <c r="AK6" s="5" t="s">
        <v>1391</v>
      </c>
      <c r="AL6" s="46" t="str">
        <f>IF(VLOOKUP(AK6,βοηθητικό!$J$2:$N$354,3,FALSE)="","",VLOOKUP(AK6,βοηθητικό!$J$2:$N$354,3,FALSE))</f>
        <v>6977638141</v>
      </c>
      <c r="AM6" s="47"/>
      <c r="AN6" s="4" t="s">
        <v>16</v>
      </c>
      <c r="AO6" s="43" t="str">
        <f>IF(VLOOKUP(AN6,βοηθητικό!$J$2:$N$354,3,FALSE)="","",VLOOKUP(AN6,βοηθητικό!$J$2:$N$354,3,FALSE))</f>
        <v>_</v>
      </c>
      <c r="AP6" s="44"/>
      <c r="AQ6" s="5" t="s">
        <v>16</v>
      </c>
      <c r="AR6" s="46" t="str">
        <f>IF(VLOOKUP(AQ6,βοηθητικό!$J$2:$N$354,3,FALSE)="","",VLOOKUP(AQ6,βοηθητικό!$J$2:$N$354,3,FALSE))</f>
        <v>_</v>
      </c>
      <c r="AS6" s="47"/>
      <c r="AT6" s="4" t="s">
        <v>16</v>
      </c>
      <c r="AU6" s="43" t="str">
        <f>IF(VLOOKUP(AT6,βοηθητικό!$J$2:$N$354,3,FALSE)="","",VLOOKUP(AT6,βοηθητικό!$J$2:$N$354,3,FALSE))</f>
        <v>_</v>
      </c>
      <c r="AV6" s="44"/>
      <c r="AW6" s="5" t="s">
        <v>16</v>
      </c>
      <c r="AX6" s="46" t="str">
        <f>IF(VLOOKUP(AW6,βοηθητικό!$J$2:$N$354,3,FALSE)="","",VLOOKUP(AW6,βοηθητικό!$J$2:$N$354,3,FALSE))</f>
        <v>_</v>
      </c>
      <c r="AY6" s="47"/>
      <c r="AZ6" s="4" t="s">
        <v>16</v>
      </c>
      <c r="BA6" s="43" t="str">
        <f>IF(VLOOKUP(AZ6,βοηθητικό!$J$2:$N$354,3,FALSE)="","",VLOOKUP(AZ6,βοηθητικό!$J$2:$N$354,3,FALSE))</f>
        <v>_</v>
      </c>
      <c r="BB6" s="44"/>
      <c r="BC6" s="45" t="s">
        <v>16</v>
      </c>
      <c r="BD6" s="46" t="str">
        <f>IF(VLOOKUP(BC6,βοηθητικό!$J$2:$N$354,3,FALSE)="","",VLOOKUP(BC6,βοηθητικό!$J$2:$N$354,3,FALSE))</f>
        <v>_</v>
      </c>
      <c r="BE6" s="47"/>
      <c r="BF6" s="42" t="s">
        <v>16</v>
      </c>
      <c r="BG6" s="43" t="str">
        <f>IF(VLOOKUP(BF6,βοηθητικό!$J$2:$N$354,3,FALSE)="","",VLOOKUP(BF6,βοηθητικό!$J$2:$N$354,3,FALSE))</f>
        <v>_</v>
      </c>
      <c r="BH6" s="44"/>
      <c r="BI6" s="45" t="s">
        <v>16</v>
      </c>
      <c r="BJ6" s="46" t="str">
        <f>IF(VLOOKUP(BI6,βοηθητικό!$J$2:$N$354,3,FALSE)="","",VLOOKUP(BI6,βοηθητικό!$J$2:$N$354,3,FALSE))</f>
        <v>_</v>
      </c>
      <c r="BK6" s="47"/>
      <c r="BL6" s="42" t="s">
        <v>16</v>
      </c>
      <c r="BM6" s="43" t="str">
        <f>IF(VLOOKUP(BL6,βοηθητικό!$J$2:$N$354,3,FALSE)="","",VLOOKUP(BL6,βοηθητικό!$J$2:$N$354,3,FALSE))</f>
        <v>_</v>
      </c>
      <c r="BN6" s="44"/>
      <c r="BO6" s="45" t="s">
        <v>16</v>
      </c>
      <c r="BP6" s="46" t="str">
        <f>IF(VLOOKUP(BO6,βοηθητικό!$J$2:$N$354,3,FALSE)="","",VLOOKUP(BO6,βοηθητικό!$J$2:$N$354,3,FALSE))</f>
        <v>_</v>
      </c>
      <c r="BQ6" s="47"/>
      <c r="BR6" s="42" t="s">
        <v>16</v>
      </c>
      <c r="BS6" s="43" t="str">
        <f>IF(VLOOKUP(BR6,βοηθητικό!$J$2:$N$354,3,FALSE)="","",VLOOKUP(BR6,βοηθητικό!$J$2:$N$354,3,FALSE))</f>
        <v>_</v>
      </c>
      <c r="BT6" s="44"/>
      <c r="BU6" s="45" t="s">
        <v>16</v>
      </c>
      <c r="BV6" s="46" t="str">
        <f>IF(VLOOKUP(BU6,βοηθητικό!$J$2:$N$354,3,FALSE)="","",VLOOKUP(BU6,βοηθητικό!$J$2:$N$354,3,FALSE))</f>
        <v>_</v>
      </c>
      <c r="BW6" s="47"/>
      <c r="BX6" s="42" t="s">
        <v>16</v>
      </c>
      <c r="BY6" s="43" t="str">
        <f>IF(VLOOKUP(BX6,βοηθητικό!$J$2:$N$354,3,FALSE)="","",VLOOKUP(BX6,βοηθητικό!$J$2:$N$354,3,FALSE))</f>
        <v>_</v>
      </c>
      <c r="BZ6" s="44"/>
      <c r="CA6" s="45" t="s">
        <v>16</v>
      </c>
      <c r="CB6" s="46" t="str">
        <f>IF(VLOOKUP(CA6,βοηθητικό!$J$2:$N$354,3,FALSE)="","",VLOOKUP(CA6,βοηθητικό!$J$2:$N$354,3,FALSE))</f>
        <v>_</v>
      </c>
      <c r="CC6" s="47"/>
      <c r="CD6" s="42" t="s">
        <v>16</v>
      </c>
      <c r="CE6" s="43" t="str">
        <f>IF(VLOOKUP(CD6,βοηθητικό!$J$2:$N$354,3,FALSE)="","",VLOOKUP(CD6,βοηθητικό!$J$2:$N$354,3,FALSE))</f>
        <v>_</v>
      </c>
      <c r="CF6" s="44"/>
      <c r="CG6" s="45" t="s">
        <v>16</v>
      </c>
      <c r="CH6" s="46" t="str">
        <f>IF(VLOOKUP(CG6,βοηθητικό!$J$2:$N$354,3,FALSE)="","",VLOOKUP(CG6,βοηθητικό!$J$2:$N$354,3,FALSE))</f>
        <v>_</v>
      </c>
      <c r="CI6" s="47"/>
      <c r="CJ6" s="42" t="s">
        <v>16</v>
      </c>
      <c r="CK6" s="43" t="str">
        <f>IF(VLOOKUP(CJ6,βοηθητικό!$J$2:$N$354,3,FALSE)="","",VLOOKUP(CJ6,βοηθητικό!$J$2:$N$354,3,FALSE))</f>
        <v>_</v>
      </c>
      <c r="CL6" s="44"/>
      <c r="CM6" s="45" t="s">
        <v>16</v>
      </c>
      <c r="CN6" s="46" t="str">
        <f>IF(VLOOKUP(CM6,βοηθητικό!$J$2:$N$354,3,FALSE)="","",VLOOKUP(CM6,βοηθητικό!$J$2:$N$354,3,FALSE))</f>
        <v>_</v>
      </c>
      <c r="CO6" s="47"/>
      <c r="CP6" s="42" t="s">
        <v>16</v>
      </c>
      <c r="CQ6" s="43" t="str">
        <f>IF(VLOOKUP(CP6,βοηθητικό!$J$2:$N$354,3,FALSE)="","",VLOOKUP(CP6,βοηθητικό!$J$2:$N$354,3,FALSE))</f>
        <v>_</v>
      </c>
      <c r="CR6" s="44"/>
      <c r="CS6" s="45" t="s">
        <v>16</v>
      </c>
      <c r="CT6" s="46" t="str">
        <f>IF(VLOOKUP(CS6,βοηθητικό!$J$2:$N$354,3,FALSE)="","",VLOOKUP(CS6,βοηθητικό!$J$2:$N$354,3,FALSE))</f>
        <v>_</v>
      </c>
      <c r="CU6" s="47"/>
    </row>
    <row r="7" spans="1:99" x14ac:dyDescent="0.25">
      <c r="A7" s="37">
        <f>--SUBTOTAL(3,$B$3:B6)</f>
        <v>4</v>
      </c>
      <c r="B7" s="2">
        <v>45017</v>
      </c>
      <c r="C7" s="3">
        <v>45024</v>
      </c>
      <c r="D7" s="55" t="s">
        <v>45</v>
      </c>
      <c r="E7" s="38" t="s">
        <v>16</v>
      </c>
      <c r="F7" s="38" t="s">
        <v>16</v>
      </c>
      <c r="G7" s="39" t="str">
        <f t="shared" si="2"/>
        <v>__</v>
      </c>
      <c r="H7" s="40" t="str">
        <f t="shared" si="3"/>
        <v>FALSE</v>
      </c>
      <c r="I7" s="41">
        <f t="shared" si="4"/>
        <v>6</v>
      </c>
      <c r="J7" s="4" t="s">
        <v>489</v>
      </c>
      <c r="K7" s="43" t="str">
        <f>IF(VLOOKUP(J7,βοηθητικό!$J$2:$N$354,3,FALSE)="","",VLOOKUP(J7,βοηθητικό!$J$2:$N$354,3,FALSE))</f>
        <v>6972289471</v>
      </c>
      <c r="L7" s="44"/>
      <c r="M7" s="5" t="s">
        <v>587</v>
      </c>
      <c r="N7" s="46" t="str">
        <f>IF(VLOOKUP(M7,βοηθητικό!$J$2:$N$354,3,FALSE)="","",VLOOKUP(M7,βοηθητικό!$J$2:$N$354,3,FALSE))</f>
        <v>6947371545</v>
      </c>
      <c r="O7" s="47"/>
      <c r="P7" s="4" t="s">
        <v>509</v>
      </c>
      <c r="Q7" s="43" t="str">
        <f>IF(VLOOKUP(P7,βοηθητικό!$J$2:$N$354,3,FALSE)="","",VLOOKUP(P7,βοηθητικό!$J$2:$N$354,3,FALSE))</f>
        <v>6944370079</v>
      </c>
      <c r="R7" s="44"/>
      <c r="S7" s="5" t="s">
        <v>568</v>
      </c>
      <c r="T7" s="46" t="str">
        <f>IF(VLOOKUP(S7,βοηθητικό!$J$2:$N$354,3,FALSE)="","",VLOOKUP(S7,βοηθητικό!$J$2:$N$354,3,FALSE))</f>
        <v>6955562181</v>
      </c>
      <c r="U7" s="47"/>
      <c r="V7" s="4" t="s">
        <v>577</v>
      </c>
      <c r="W7" s="43" t="str">
        <f>IF(VLOOKUP(V7,βοηθητικό!$J$2:$N$354,3,FALSE)="","",VLOOKUP(V7,βοηθητικό!$J$2:$N$354,3,FALSE))</f>
        <v>6937185269</v>
      </c>
      <c r="X7" s="44"/>
      <c r="Y7" s="5" t="s">
        <v>559</v>
      </c>
      <c r="Z7" s="46" t="str">
        <f>IF(VLOOKUP(Y7,βοηθητικό!$J$2:$N$354,3,FALSE)="","",VLOOKUP(Y7,βοηθητικό!$J$2:$N$354,3,FALSE))</f>
        <v>6934004858</v>
      </c>
      <c r="AA7" s="47"/>
      <c r="AB7" s="4" t="s">
        <v>16</v>
      </c>
      <c r="AC7" s="43" t="str">
        <f>IF(VLOOKUP(AB7,βοηθητικό!$J$2:$N$354,3,FALSE)="","",VLOOKUP(AB7,βοηθητικό!$J$2:$N$354,3,FALSE))</f>
        <v>_</v>
      </c>
      <c r="AD7" s="44"/>
      <c r="AE7" s="5" t="s">
        <v>16</v>
      </c>
      <c r="AF7" s="46" t="str">
        <f>IF(VLOOKUP(AE7,βοηθητικό!$J$2:$N$354,3,FALSE)="","",VLOOKUP(AE7,βοηθητικό!$J$2:$N$354,3,FALSE))</f>
        <v>_</v>
      </c>
      <c r="AG7" s="47"/>
      <c r="AH7" s="4" t="s">
        <v>16</v>
      </c>
      <c r="AI7" s="43" t="str">
        <f>IF(VLOOKUP(AH7,βοηθητικό!$J$2:$N$354,3,FALSE)="","",VLOOKUP(AH7,βοηθητικό!$J$2:$N$354,3,FALSE))</f>
        <v>_</v>
      </c>
      <c r="AJ7" s="44"/>
      <c r="AK7" s="5" t="s">
        <v>16</v>
      </c>
      <c r="AL7" s="46" t="str">
        <f>IF(VLOOKUP(AK7,βοηθητικό!$J$2:$N$354,3,FALSE)="","",VLOOKUP(AK7,βοηθητικό!$J$2:$N$354,3,FALSE))</f>
        <v>_</v>
      </c>
      <c r="AM7" s="47"/>
      <c r="AN7" s="4" t="s">
        <v>16</v>
      </c>
      <c r="AO7" s="43" t="str">
        <f>IF(VLOOKUP(AN7,βοηθητικό!$J$2:$N$354,3,FALSE)="","",VLOOKUP(AN7,βοηθητικό!$J$2:$N$354,3,FALSE))</f>
        <v>_</v>
      </c>
      <c r="AP7" s="44"/>
      <c r="AQ7" s="5" t="s">
        <v>16</v>
      </c>
      <c r="AR7" s="46" t="str">
        <f>IF(VLOOKUP(AQ7,βοηθητικό!$J$2:$N$354,3,FALSE)="","",VLOOKUP(AQ7,βοηθητικό!$J$2:$N$354,3,FALSE))</f>
        <v>_</v>
      </c>
      <c r="AS7" s="47"/>
      <c r="AT7" s="4" t="s">
        <v>16</v>
      </c>
      <c r="AU7" s="43" t="str">
        <f>IF(VLOOKUP(AT7,βοηθητικό!$J$2:$N$354,3,FALSE)="","",VLOOKUP(AT7,βοηθητικό!$J$2:$N$354,3,FALSE))</f>
        <v>_</v>
      </c>
      <c r="AV7" s="44"/>
      <c r="AW7" s="5" t="s">
        <v>16</v>
      </c>
      <c r="AX7" s="46" t="str">
        <f>IF(VLOOKUP(AW7,βοηθητικό!$J$2:$N$354,3,FALSE)="","",VLOOKUP(AW7,βοηθητικό!$J$2:$N$354,3,FALSE))</f>
        <v>_</v>
      </c>
      <c r="AY7" s="47"/>
      <c r="AZ7" s="4" t="s">
        <v>16</v>
      </c>
      <c r="BA7" s="43" t="str">
        <f>IF(VLOOKUP(AZ7,βοηθητικό!$J$2:$N$354,3,FALSE)="","",VLOOKUP(AZ7,βοηθητικό!$J$2:$N$354,3,FALSE))</f>
        <v>_</v>
      </c>
      <c r="BB7" s="44"/>
      <c r="BC7" s="45" t="s">
        <v>16</v>
      </c>
      <c r="BD7" s="46" t="str">
        <f>IF(VLOOKUP(BC7,βοηθητικό!$J$2:$N$354,3,FALSE)="","",VLOOKUP(BC7,βοηθητικό!$J$2:$N$354,3,FALSE))</f>
        <v>_</v>
      </c>
      <c r="BE7" s="47"/>
      <c r="BF7" s="42" t="s">
        <v>16</v>
      </c>
      <c r="BG7" s="43" t="str">
        <f>IF(VLOOKUP(BF7,βοηθητικό!$J$2:$N$354,3,FALSE)="","",VLOOKUP(BF7,βοηθητικό!$J$2:$N$354,3,FALSE))</f>
        <v>_</v>
      </c>
      <c r="BH7" s="44"/>
      <c r="BI7" s="45" t="s">
        <v>16</v>
      </c>
      <c r="BJ7" s="46" t="str">
        <f>IF(VLOOKUP(BI7,βοηθητικό!$J$2:$N$354,3,FALSE)="","",VLOOKUP(BI7,βοηθητικό!$J$2:$N$354,3,FALSE))</f>
        <v>_</v>
      </c>
      <c r="BK7" s="47"/>
      <c r="BL7" s="42" t="s">
        <v>16</v>
      </c>
      <c r="BM7" s="43" t="str">
        <f>IF(VLOOKUP(BL7,βοηθητικό!$J$2:$N$354,3,FALSE)="","",VLOOKUP(BL7,βοηθητικό!$J$2:$N$354,3,FALSE))</f>
        <v>_</v>
      </c>
      <c r="BN7" s="44"/>
      <c r="BO7" s="45" t="s">
        <v>16</v>
      </c>
      <c r="BP7" s="46" t="str">
        <f>IF(VLOOKUP(BO7,βοηθητικό!$J$2:$N$354,3,FALSE)="","",VLOOKUP(BO7,βοηθητικό!$J$2:$N$354,3,FALSE))</f>
        <v>_</v>
      </c>
      <c r="BQ7" s="47"/>
      <c r="BR7" s="42" t="s">
        <v>16</v>
      </c>
      <c r="BS7" s="43" t="str">
        <f>IF(VLOOKUP(BR7,βοηθητικό!$J$2:$N$354,3,FALSE)="","",VLOOKUP(BR7,βοηθητικό!$J$2:$N$354,3,FALSE))</f>
        <v>_</v>
      </c>
      <c r="BT7" s="44"/>
      <c r="BU7" s="45" t="s">
        <v>16</v>
      </c>
      <c r="BV7" s="46" t="str">
        <f>IF(VLOOKUP(BU7,βοηθητικό!$J$2:$N$354,3,FALSE)="","",VLOOKUP(BU7,βοηθητικό!$J$2:$N$354,3,FALSE))</f>
        <v>_</v>
      </c>
      <c r="BW7" s="47"/>
      <c r="BX7" s="42" t="s">
        <v>16</v>
      </c>
      <c r="BY7" s="43" t="str">
        <f>IF(VLOOKUP(BX7,βοηθητικό!$J$2:$N$354,3,FALSE)="","",VLOOKUP(BX7,βοηθητικό!$J$2:$N$354,3,FALSE))</f>
        <v>_</v>
      </c>
      <c r="BZ7" s="44"/>
      <c r="CA7" s="45" t="s">
        <v>16</v>
      </c>
      <c r="CB7" s="46" t="str">
        <f>IF(VLOOKUP(CA7,βοηθητικό!$J$2:$N$354,3,FALSE)="","",VLOOKUP(CA7,βοηθητικό!$J$2:$N$354,3,FALSE))</f>
        <v>_</v>
      </c>
      <c r="CC7" s="47"/>
      <c r="CD7" s="42" t="s">
        <v>16</v>
      </c>
      <c r="CE7" s="43" t="str">
        <f>IF(VLOOKUP(CD7,βοηθητικό!$J$2:$N$354,3,FALSE)="","",VLOOKUP(CD7,βοηθητικό!$J$2:$N$354,3,FALSE))</f>
        <v>_</v>
      </c>
      <c r="CF7" s="44"/>
      <c r="CG7" s="45" t="s">
        <v>16</v>
      </c>
      <c r="CH7" s="46" t="str">
        <f>IF(VLOOKUP(CG7,βοηθητικό!$J$2:$N$354,3,FALSE)="","",VLOOKUP(CG7,βοηθητικό!$J$2:$N$354,3,FALSE))</f>
        <v>_</v>
      </c>
      <c r="CI7" s="47"/>
      <c r="CJ7" s="42" t="s">
        <v>16</v>
      </c>
      <c r="CK7" s="43" t="str">
        <f>IF(VLOOKUP(CJ7,βοηθητικό!$J$2:$N$354,3,FALSE)="","",VLOOKUP(CJ7,βοηθητικό!$J$2:$N$354,3,FALSE))</f>
        <v>_</v>
      </c>
      <c r="CL7" s="44"/>
      <c r="CM7" s="45" t="s">
        <v>16</v>
      </c>
      <c r="CN7" s="46" t="str">
        <f>IF(VLOOKUP(CM7,βοηθητικό!$J$2:$N$354,3,FALSE)="","",VLOOKUP(CM7,βοηθητικό!$J$2:$N$354,3,FALSE))</f>
        <v>_</v>
      </c>
      <c r="CO7" s="47"/>
      <c r="CP7" s="42" t="s">
        <v>16</v>
      </c>
      <c r="CQ7" s="43" t="str">
        <f>IF(VLOOKUP(CP7,βοηθητικό!$J$2:$N$354,3,FALSE)="","",VLOOKUP(CP7,βοηθητικό!$J$2:$N$354,3,FALSE))</f>
        <v>_</v>
      </c>
      <c r="CR7" s="44"/>
      <c r="CS7" s="45" t="s">
        <v>16</v>
      </c>
      <c r="CT7" s="46" t="str">
        <f>IF(VLOOKUP(CS7,βοηθητικό!$J$2:$N$354,3,FALSE)="","",VLOOKUP(CS7,βοηθητικό!$J$2:$N$354,3,FALSE))</f>
        <v>_</v>
      </c>
      <c r="CU7" s="47"/>
    </row>
    <row r="8" spans="1:99" x14ac:dyDescent="0.25">
      <c r="A8" s="37">
        <f>--SUBTOTAL(3,$B$3:B7)</f>
        <v>5</v>
      </c>
      <c r="B8" s="2">
        <v>45017</v>
      </c>
      <c r="C8" s="3">
        <v>45024</v>
      </c>
      <c r="D8" s="55" t="s">
        <v>33</v>
      </c>
      <c r="E8" s="38" t="s">
        <v>16</v>
      </c>
      <c r="F8" s="38" t="s">
        <v>16</v>
      </c>
      <c r="G8" s="39" t="str">
        <f t="shared" si="2"/>
        <v>__</v>
      </c>
      <c r="H8" s="40" t="str">
        <f t="shared" si="3"/>
        <v>FALSE</v>
      </c>
      <c r="I8" s="41">
        <f t="shared" si="4"/>
        <v>14</v>
      </c>
      <c r="J8" s="4" t="s">
        <v>121</v>
      </c>
      <c r="K8" s="43" t="str">
        <f>IF(VLOOKUP(J8,βοηθητικό!$J$2:$N$354,3,FALSE)="","",VLOOKUP(J8,βοηθητικό!$J$2:$N$354,3,FALSE))</f>
        <v>6949672608</v>
      </c>
      <c r="L8" s="44"/>
      <c r="M8" s="5" t="s">
        <v>220</v>
      </c>
      <c r="N8" s="46" t="str">
        <f>IF(VLOOKUP(M8,βοηθητικό!$J$2:$N$354,3,FALSE)="","",VLOOKUP(M8,βοηθητικό!$J$2:$N$354,3,FALSE))</f>
        <v>6979228710</v>
      </c>
      <c r="O8" s="47"/>
      <c r="P8" s="4" t="s">
        <v>232</v>
      </c>
      <c r="Q8" s="43" t="str">
        <f>IF(VLOOKUP(P8,βοηθητικό!$J$2:$N$354,3,FALSE)="","",VLOOKUP(P8,βοηθητικό!$J$2:$N$354,3,FALSE))</f>
        <v>6978333742</v>
      </c>
      <c r="R8" s="44"/>
      <c r="S8" s="5" t="s">
        <v>384</v>
      </c>
      <c r="T8" s="46" t="str">
        <f>IF(VLOOKUP(S8,βοηθητικό!$J$2:$N$354,3,FALSE)="","",VLOOKUP(S8,βοηθητικό!$J$2:$N$354,3,FALSE))</f>
        <v>6972712141</v>
      </c>
      <c r="U8" s="47"/>
      <c r="V8" s="4" t="s">
        <v>227</v>
      </c>
      <c r="W8" s="43" t="str">
        <f>IF(VLOOKUP(V8,βοηθητικό!$J$2:$N$354,3,FALSE)="","",VLOOKUP(V8,βοηθητικό!$J$2:$N$354,3,FALSE))</f>
        <v>6946431686</v>
      </c>
      <c r="X8" s="44"/>
      <c r="Y8" s="5" t="s">
        <v>307</v>
      </c>
      <c r="Z8" s="46" t="str">
        <f>IF(VLOOKUP(Y8,βοηθητικό!$J$2:$N$354,3,FALSE)="","",VLOOKUP(Y8,βοηθητικό!$J$2:$N$354,3,FALSE))</f>
        <v>6907366486</v>
      </c>
      <c r="AA8" s="47"/>
      <c r="AB8" s="4" t="s">
        <v>283</v>
      </c>
      <c r="AC8" s="43" t="str">
        <f>IF(VLOOKUP(AB8,βοηθητικό!$J$2:$N$354,3,FALSE)="","",VLOOKUP(AB8,βοηθητικό!$J$2:$N$354,3,FALSE))</f>
        <v>6978486629</v>
      </c>
      <c r="AD8" s="44"/>
      <c r="AE8" s="5" t="s">
        <v>238</v>
      </c>
      <c r="AF8" s="46" t="str">
        <f>IF(VLOOKUP(AE8,βοηθητικό!$J$2:$N$354,3,FALSE)="","",VLOOKUP(AE8,βοηθητικό!$J$2:$N$354,3,FALSE))</f>
        <v>6985709513</v>
      </c>
      <c r="AG8" s="47"/>
      <c r="AH8" s="4" t="s">
        <v>161</v>
      </c>
      <c r="AI8" s="43" t="str">
        <f>IF(VLOOKUP(AH8,βοηθητικό!$J$2:$N$354,3,FALSE)="","",VLOOKUP(AH8,βοηθητικό!$J$2:$N$354,3,FALSE))</f>
        <v>6944899817</v>
      </c>
      <c r="AJ8" s="44"/>
      <c r="AK8" s="5" t="s">
        <v>186</v>
      </c>
      <c r="AL8" s="46" t="str">
        <f>IF(VLOOKUP(AK8,βοηθητικό!$J$2:$N$354,3,FALSE)="","",VLOOKUP(AK8,βοηθητικό!$J$2:$N$354,3,FALSE))</f>
        <v>6938905960</v>
      </c>
      <c r="AM8" s="47"/>
      <c r="AN8" s="4" t="s">
        <v>243</v>
      </c>
      <c r="AO8" s="43" t="str">
        <f>IF(VLOOKUP(AN8,βοηθητικό!$J$2:$N$354,3,FALSE)="","",VLOOKUP(AN8,βοηθητικό!$J$2:$N$354,3,FALSE))</f>
        <v>6983032595</v>
      </c>
      <c r="AP8" s="44"/>
      <c r="AQ8" s="5" t="s">
        <v>255</v>
      </c>
      <c r="AR8" s="46" t="str">
        <f>IF(VLOOKUP(AQ8,βοηθητικό!$J$2:$N$354,3,FALSE)="","",VLOOKUP(AQ8,βοηθητικό!$J$2:$N$354,3,FALSE))</f>
        <v>6973803702</v>
      </c>
      <c r="AS8" s="47"/>
      <c r="AT8" s="4" t="s">
        <v>435</v>
      </c>
      <c r="AU8" s="43" t="str">
        <f>IF(VLOOKUP(AT8,βοηθητικό!$J$2:$N$354,3,FALSE)="","",VLOOKUP(AT8,βοηθητικό!$J$2:$N$354,3,FALSE))</f>
        <v>6946132795</v>
      </c>
      <c r="AV8" s="44"/>
      <c r="AW8" s="5" t="s">
        <v>406</v>
      </c>
      <c r="AX8" s="46" t="str">
        <f>IF(VLOOKUP(AW8,βοηθητικό!$J$2:$N$354,3,FALSE)="","",VLOOKUP(AW8,βοηθητικό!$J$2:$N$354,3,FALSE))</f>
        <v>2310450093</v>
      </c>
      <c r="AY8" s="47"/>
      <c r="AZ8" s="4" t="s">
        <v>16</v>
      </c>
      <c r="BA8" s="43" t="str">
        <f>IF(VLOOKUP(AZ8,βοηθητικό!$J$2:$N$354,3,FALSE)="","",VLOOKUP(AZ8,βοηθητικό!$J$2:$N$354,3,FALSE))</f>
        <v>_</v>
      </c>
      <c r="BB8" s="44"/>
      <c r="BC8" s="45" t="s">
        <v>16</v>
      </c>
      <c r="BD8" s="46" t="str">
        <f>IF(VLOOKUP(BC8,βοηθητικό!$J$2:$N$354,3,FALSE)="","",VLOOKUP(BC8,βοηθητικό!$J$2:$N$354,3,FALSE))</f>
        <v>_</v>
      </c>
      <c r="BE8" s="47"/>
      <c r="BF8" s="42" t="s">
        <v>16</v>
      </c>
      <c r="BG8" s="43" t="str">
        <f>IF(VLOOKUP(BF8,βοηθητικό!$J$2:$N$354,3,FALSE)="","",VLOOKUP(BF8,βοηθητικό!$J$2:$N$354,3,FALSE))</f>
        <v>_</v>
      </c>
      <c r="BH8" s="44"/>
      <c r="BI8" s="45" t="s">
        <v>16</v>
      </c>
      <c r="BJ8" s="46" t="str">
        <f>IF(VLOOKUP(BI8,βοηθητικό!$J$2:$N$354,3,FALSE)="","",VLOOKUP(BI8,βοηθητικό!$J$2:$N$354,3,FALSE))</f>
        <v>_</v>
      </c>
      <c r="BK8" s="47"/>
      <c r="BL8" s="42" t="s">
        <v>16</v>
      </c>
      <c r="BM8" s="43" t="str">
        <f>IF(VLOOKUP(BL8,βοηθητικό!$J$2:$N$354,3,FALSE)="","",VLOOKUP(BL8,βοηθητικό!$J$2:$N$354,3,FALSE))</f>
        <v>_</v>
      </c>
      <c r="BN8" s="44"/>
      <c r="BO8" s="45" t="s">
        <v>16</v>
      </c>
      <c r="BP8" s="46" t="str">
        <f>IF(VLOOKUP(BO8,βοηθητικό!$J$2:$N$354,3,FALSE)="","",VLOOKUP(BO8,βοηθητικό!$J$2:$N$354,3,FALSE))</f>
        <v>_</v>
      </c>
      <c r="BQ8" s="47"/>
      <c r="BR8" s="42" t="s">
        <v>16</v>
      </c>
      <c r="BS8" s="43" t="str">
        <f>IF(VLOOKUP(BR8,βοηθητικό!$J$2:$N$354,3,FALSE)="","",VLOOKUP(BR8,βοηθητικό!$J$2:$N$354,3,FALSE))</f>
        <v>_</v>
      </c>
      <c r="BT8" s="44"/>
      <c r="BU8" s="45" t="s">
        <v>16</v>
      </c>
      <c r="BV8" s="46" t="str">
        <f>IF(VLOOKUP(BU8,βοηθητικό!$J$2:$N$354,3,FALSE)="","",VLOOKUP(BU8,βοηθητικό!$J$2:$N$354,3,FALSE))</f>
        <v>_</v>
      </c>
      <c r="BW8" s="47"/>
      <c r="BX8" s="42" t="s">
        <v>16</v>
      </c>
      <c r="BY8" s="43" t="str">
        <f>IF(VLOOKUP(BX8,βοηθητικό!$J$2:$N$354,3,FALSE)="","",VLOOKUP(BX8,βοηθητικό!$J$2:$N$354,3,FALSE))</f>
        <v>_</v>
      </c>
      <c r="BZ8" s="44"/>
      <c r="CA8" s="45" t="s">
        <v>16</v>
      </c>
      <c r="CB8" s="46" t="str">
        <f>IF(VLOOKUP(CA8,βοηθητικό!$J$2:$N$354,3,FALSE)="","",VLOOKUP(CA8,βοηθητικό!$J$2:$N$354,3,FALSE))</f>
        <v>_</v>
      </c>
      <c r="CC8" s="47"/>
      <c r="CD8" s="42" t="s">
        <v>16</v>
      </c>
      <c r="CE8" s="43" t="str">
        <f>IF(VLOOKUP(CD8,βοηθητικό!$J$2:$N$354,3,FALSE)="","",VLOOKUP(CD8,βοηθητικό!$J$2:$N$354,3,FALSE))</f>
        <v>_</v>
      </c>
      <c r="CF8" s="44"/>
      <c r="CG8" s="45" t="s">
        <v>16</v>
      </c>
      <c r="CH8" s="46" t="str">
        <f>IF(VLOOKUP(CG8,βοηθητικό!$J$2:$N$354,3,FALSE)="","",VLOOKUP(CG8,βοηθητικό!$J$2:$N$354,3,FALSE))</f>
        <v>_</v>
      </c>
      <c r="CI8" s="47"/>
      <c r="CJ8" s="42" t="s">
        <v>16</v>
      </c>
      <c r="CK8" s="43" t="str">
        <f>IF(VLOOKUP(CJ8,βοηθητικό!$J$2:$N$354,3,FALSE)="","",VLOOKUP(CJ8,βοηθητικό!$J$2:$N$354,3,FALSE))</f>
        <v>_</v>
      </c>
      <c r="CL8" s="44"/>
      <c r="CM8" s="45" t="s">
        <v>16</v>
      </c>
      <c r="CN8" s="46" t="str">
        <f>IF(VLOOKUP(CM8,βοηθητικό!$J$2:$N$354,3,FALSE)="","",VLOOKUP(CM8,βοηθητικό!$J$2:$N$354,3,FALSE))</f>
        <v>_</v>
      </c>
      <c r="CO8" s="47"/>
      <c r="CP8" s="42" t="s">
        <v>16</v>
      </c>
      <c r="CQ8" s="43" t="str">
        <f>IF(VLOOKUP(CP8,βοηθητικό!$J$2:$N$354,3,FALSE)="","",VLOOKUP(CP8,βοηθητικό!$J$2:$N$354,3,FALSE))</f>
        <v>_</v>
      </c>
      <c r="CR8" s="44"/>
      <c r="CS8" s="45" t="s">
        <v>16</v>
      </c>
      <c r="CT8" s="46" t="str">
        <f>IF(VLOOKUP(CS8,βοηθητικό!$J$2:$N$354,3,FALSE)="","",VLOOKUP(CS8,βοηθητικό!$J$2:$N$354,3,FALSE))</f>
        <v>_</v>
      </c>
      <c r="CU8" s="47"/>
    </row>
    <row r="9" spans="1:99" x14ac:dyDescent="0.25">
      <c r="A9" s="37">
        <f>--SUBTOTAL(3,$B$3:B8)</f>
        <v>6</v>
      </c>
      <c r="B9" s="2">
        <v>45025</v>
      </c>
      <c r="C9" s="3">
        <v>45031</v>
      </c>
      <c r="D9" s="55" t="s">
        <v>64</v>
      </c>
      <c r="E9" s="38" t="s">
        <v>16</v>
      </c>
      <c r="F9" s="38" t="s">
        <v>16</v>
      </c>
      <c r="G9" s="39" t="str">
        <f t="shared" si="2"/>
        <v>__</v>
      </c>
      <c r="H9" s="40" t="str">
        <f t="shared" si="3"/>
        <v>FALSE</v>
      </c>
      <c r="I9" s="41">
        <f t="shared" si="4"/>
        <v>6</v>
      </c>
      <c r="J9" s="4" t="s">
        <v>623</v>
      </c>
      <c r="K9" s="43" t="str">
        <f>IF(VLOOKUP(J9,βοηθητικό!$J$2:$N$354,3,FALSE)="","",VLOOKUP(J9,βοηθητικό!$J$2:$N$354,3,FALSE))</f>
        <v>6909870019</v>
      </c>
      <c r="L9" s="44"/>
      <c r="M9" s="5" t="s">
        <v>675</v>
      </c>
      <c r="N9" s="46" t="str">
        <f>IF(VLOOKUP(M9,βοηθητικό!$J$2:$N$354,3,FALSE)="","",VLOOKUP(M9,βοηθητικό!$J$2:$N$354,3,FALSE))</f>
        <v>6970932706</v>
      </c>
      <c r="O9" s="47"/>
      <c r="P9" s="4" t="s">
        <v>698</v>
      </c>
      <c r="Q9" s="43" t="str">
        <f>IF(VLOOKUP(P9,βοηθητικό!$J$2:$N$354,3,FALSE)="","",VLOOKUP(P9,βοηθητικό!$J$2:$N$354,3,FALSE))</f>
        <v>6982255759</v>
      </c>
      <c r="R9" s="44"/>
      <c r="S9" s="5" t="s">
        <v>709</v>
      </c>
      <c r="T9" s="46" t="str">
        <f>IF(VLOOKUP(S9,βοηθητικό!$J$2:$N$354,3,FALSE)="","",VLOOKUP(S9,βοηθητικό!$J$2:$N$354,3,FALSE))</f>
        <v>6944439132</v>
      </c>
      <c r="U9" s="47"/>
      <c r="V9" s="4" t="s">
        <v>721</v>
      </c>
      <c r="W9" s="43" t="str">
        <f>IF(VLOOKUP(V9,βοηθητικό!$J$2:$N$354,3,FALSE)="","",VLOOKUP(V9,βοηθητικό!$J$2:$N$354,3,FALSE))</f>
        <v>6947205702</v>
      </c>
      <c r="X9" s="44"/>
      <c r="Y9" s="5" t="s">
        <v>739</v>
      </c>
      <c r="Z9" s="46">
        <f>IF(VLOOKUP(Y9,βοηθητικό!$J$2:$N$354,3,FALSE)="","",VLOOKUP(Y9,βοηθητικό!$J$2:$N$354,3,FALSE))</f>
        <v>6974746709</v>
      </c>
      <c r="AA9" s="47"/>
      <c r="AB9" s="4" t="s">
        <v>16</v>
      </c>
      <c r="AC9" s="43" t="str">
        <f>IF(VLOOKUP(AB9,βοηθητικό!$J$2:$N$354,3,FALSE)="","",VLOOKUP(AB9,βοηθητικό!$J$2:$N$354,3,FALSE))</f>
        <v>_</v>
      </c>
      <c r="AD9" s="44"/>
      <c r="AE9" s="5" t="s">
        <v>16</v>
      </c>
      <c r="AF9" s="46" t="str">
        <f>IF(VLOOKUP(AE9,βοηθητικό!$J$2:$N$354,3,FALSE)="","",VLOOKUP(AE9,βοηθητικό!$J$2:$N$354,3,FALSE))</f>
        <v>_</v>
      </c>
      <c r="AG9" s="47"/>
      <c r="AH9" s="4" t="s">
        <v>16</v>
      </c>
      <c r="AI9" s="43" t="str">
        <f>IF(VLOOKUP(AH9,βοηθητικό!$J$2:$N$354,3,FALSE)="","",VLOOKUP(AH9,βοηθητικό!$J$2:$N$354,3,FALSE))</f>
        <v>_</v>
      </c>
      <c r="AJ9" s="44"/>
      <c r="AK9" s="5" t="s">
        <v>16</v>
      </c>
      <c r="AL9" s="46" t="str">
        <f>IF(VLOOKUP(AK9,βοηθητικό!$J$2:$N$354,3,FALSE)="","",VLOOKUP(AK9,βοηθητικό!$J$2:$N$354,3,FALSE))</f>
        <v>_</v>
      </c>
      <c r="AM9" s="47"/>
      <c r="AN9" s="4" t="s">
        <v>16</v>
      </c>
      <c r="AO9" s="43" t="str">
        <f>IF(VLOOKUP(AN9,βοηθητικό!$J$2:$N$354,3,FALSE)="","",VLOOKUP(AN9,βοηθητικό!$J$2:$N$354,3,FALSE))</f>
        <v>_</v>
      </c>
      <c r="AP9" s="44"/>
      <c r="AQ9" s="5" t="s">
        <v>16</v>
      </c>
      <c r="AR9" s="46" t="str">
        <f>IF(VLOOKUP(AQ9,βοηθητικό!$J$2:$N$354,3,FALSE)="","",VLOOKUP(AQ9,βοηθητικό!$J$2:$N$354,3,FALSE))</f>
        <v>_</v>
      </c>
      <c r="AS9" s="47"/>
      <c r="AT9" s="4" t="s">
        <v>16</v>
      </c>
      <c r="AU9" s="43" t="str">
        <f>IF(VLOOKUP(AT9,βοηθητικό!$J$2:$N$354,3,FALSE)="","",VLOOKUP(AT9,βοηθητικό!$J$2:$N$354,3,FALSE))</f>
        <v>_</v>
      </c>
      <c r="AV9" s="44"/>
      <c r="AW9" s="5" t="s">
        <v>16</v>
      </c>
      <c r="AX9" s="46" t="str">
        <f>IF(VLOOKUP(AW9,βοηθητικό!$J$2:$N$354,3,FALSE)="","",VLOOKUP(AW9,βοηθητικό!$J$2:$N$354,3,FALSE))</f>
        <v>_</v>
      </c>
      <c r="AY9" s="47"/>
      <c r="AZ9" s="4" t="s">
        <v>16</v>
      </c>
      <c r="BA9" s="43" t="str">
        <f>IF(VLOOKUP(AZ9,βοηθητικό!$J$2:$N$354,3,FALSE)="","",VLOOKUP(AZ9,βοηθητικό!$J$2:$N$354,3,FALSE))</f>
        <v>_</v>
      </c>
      <c r="BB9" s="44"/>
      <c r="BC9" s="45" t="s">
        <v>16</v>
      </c>
      <c r="BD9" s="46" t="str">
        <f>IF(VLOOKUP(BC9,βοηθητικό!$J$2:$N$354,3,FALSE)="","",VLOOKUP(BC9,βοηθητικό!$J$2:$N$354,3,FALSE))</f>
        <v>_</v>
      </c>
      <c r="BE9" s="47"/>
      <c r="BF9" s="42" t="s">
        <v>16</v>
      </c>
      <c r="BG9" s="43" t="str">
        <f>IF(VLOOKUP(BF9,βοηθητικό!$J$2:$N$354,3,FALSE)="","",VLOOKUP(BF9,βοηθητικό!$J$2:$N$354,3,FALSE))</f>
        <v>_</v>
      </c>
      <c r="BH9" s="44"/>
      <c r="BI9" s="45" t="s">
        <v>16</v>
      </c>
      <c r="BJ9" s="46" t="str">
        <f>IF(VLOOKUP(BI9,βοηθητικό!$J$2:$N$354,3,FALSE)="","",VLOOKUP(BI9,βοηθητικό!$J$2:$N$354,3,FALSE))</f>
        <v>_</v>
      </c>
      <c r="BK9" s="47"/>
      <c r="BL9" s="42" t="s">
        <v>16</v>
      </c>
      <c r="BM9" s="43" t="str">
        <f>IF(VLOOKUP(BL9,βοηθητικό!$J$2:$N$354,3,FALSE)="","",VLOOKUP(BL9,βοηθητικό!$J$2:$N$354,3,FALSE))</f>
        <v>_</v>
      </c>
      <c r="BN9" s="44"/>
      <c r="BO9" s="45" t="s">
        <v>16</v>
      </c>
      <c r="BP9" s="46" t="str">
        <f>IF(VLOOKUP(BO9,βοηθητικό!$J$2:$N$354,3,FALSE)="","",VLOOKUP(BO9,βοηθητικό!$J$2:$N$354,3,FALSE))</f>
        <v>_</v>
      </c>
      <c r="BQ9" s="47"/>
      <c r="BR9" s="42" t="s">
        <v>16</v>
      </c>
      <c r="BS9" s="43" t="str">
        <f>IF(VLOOKUP(BR9,βοηθητικό!$J$2:$N$354,3,FALSE)="","",VLOOKUP(BR9,βοηθητικό!$J$2:$N$354,3,FALSE))</f>
        <v>_</v>
      </c>
      <c r="BT9" s="44"/>
      <c r="BU9" s="45" t="s">
        <v>16</v>
      </c>
      <c r="BV9" s="46" t="str">
        <f>IF(VLOOKUP(BU9,βοηθητικό!$J$2:$N$354,3,FALSE)="","",VLOOKUP(BU9,βοηθητικό!$J$2:$N$354,3,FALSE))</f>
        <v>_</v>
      </c>
      <c r="BW9" s="47"/>
      <c r="BX9" s="42" t="s">
        <v>16</v>
      </c>
      <c r="BY9" s="43" t="str">
        <f>IF(VLOOKUP(BX9,βοηθητικό!$J$2:$N$354,3,FALSE)="","",VLOOKUP(BX9,βοηθητικό!$J$2:$N$354,3,FALSE))</f>
        <v>_</v>
      </c>
      <c r="BZ9" s="44"/>
      <c r="CA9" s="45" t="s">
        <v>16</v>
      </c>
      <c r="CB9" s="46" t="str">
        <f>IF(VLOOKUP(CA9,βοηθητικό!$J$2:$N$354,3,FALSE)="","",VLOOKUP(CA9,βοηθητικό!$J$2:$N$354,3,FALSE))</f>
        <v>_</v>
      </c>
      <c r="CC9" s="47"/>
      <c r="CD9" s="42" t="s">
        <v>16</v>
      </c>
      <c r="CE9" s="43" t="str">
        <f>IF(VLOOKUP(CD9,βοηθητικό!$J$2:$N$354,3,FALSE)="","",VLOOKUP(CD9,βοηθητικό!$J$2:$N$354,3,FALSE))</f>
        <v>_</v>
      </c>
      <c r="CF9" s="44"/>
      <c r="CG9" s="45" t="s">
        <v>16</v>
      </c>
      <c r="CH9" s="46" t="str">
        <f>IF(VLOOKUP(CG9,βοηθητικό!$J$2:$N$354,3,FALSE)="","",VLOOKUP(CG9,βοηθητικό!$J$2:$N$354,3,FALSE))</f>
        <v>_</v>
      </c>
      <c r="CI9" s="47"/>
      <c r="CJ9" s="42" t="s">
        <v>16</v>
      </c>
      <c r="CK9" s="43" t="str">
        <f>IF(VLOOKUP(CJ9,βοηθητικό!$J$2:$N$354,3,FALSE)="","",VLOOKUP(CJ9,βοηθητικό!$J$2:$N$354,3,FALSE))</f>
        <v>_</v>
      </c>
      <c r="CL9" s="44"/>
      <c r="CM9" s="45" t="s">
        <v>16</v>
      </c>
      <c r="CN9" s="46" t="str">
        <f>IF(VLOOKUP(CM9,βοηθητικό!$J$2:$N$354,3,FALSE)="","",VLOOKUP(CM9,βοηθητικό!$J$2:$N$354,3,FALSE))</f>
        <v>_</v>
      </c>
      <c r="CO9" s="47"/>
      <c r="CP9" s="42" t="s">
        <v>16</v>
      </c>
      <c r="CQ9" s="43" t="str">
        <f>IF(VLOOKUP(CP9,βοηθητικό!$J$2:$N$354,3,FALSE)="","",VLOOKUP(CP9,βοηθητικό!$J$2:$N$354,3,FALSE))</f>
        <v>_</v>
      </c>
      <c r="CR9" s="44"/>
      <c r="CS9" s="45" t="s">
        <v>16</v>
      </c>
      <c r="CT9" s="46" t="str">
        <f>IF(VLOOKUP(CS9,βοηθητικό!$J$2:$N$354,3,FALSE)="","",VLOOKUP(CS9,βοηθητικό!$J$2:$N$354,3,FALSE))</f>
        <v>_</v>
      </c>
      <c r="CU9" s="47"/>
    </row>
    <row r="10" spans="1:99" x14ac:dyDescent="0.25">
      <c r="A10" s="37">
        <f>--SUBTOTAL(3,$B$3:B9)</f>
        <v>7</v>
      </c>
      <c r="B10" s="2">
        <v>45025</v>
      </c>
      <c r="C10" s="3">
        <v>45031</v>
      </c>
      <c r="D10" s="55" t="s">
        <v>74</v>
      </c>
      <c r="E10" s="38" t="s">
        <v>16</v>
      </c>
      <c r="F10" s="38" t="s">
        <v>16</v>
      </c>
      <c r="G10" s="39" t="str">
        <f t="shared" si="2"/>
        <v>__</v>
      </c>
      <c r="H10" s="40" t="str">
        <f t="shared" si="3"/>
        <v>FALSE</v>
      </c>
      <c r="I10" s="41">
        <f t="shared" si="4"/>
        <v>8</v>
      </c>
      <c r="J10" s="4" t="s">
        <v>764</v>
      </c>
      <c r="K10" s="43" t="str">
        <f>IF(VLOOKUP(J10,βοηθητικό!$J$2:$N$354,3,FALSE)="","",VLOOKUP(J10,βοηθητικό!$J$2:$N$354,3,FALSE))</f>
        <v>6951136860</v>
      </c>
      <c r="L10" s="44"/>
      <c r="M10" s="5" t="s">
        <v>789</v>
      </c>
      <c r="N10" s="46" t="str">
        <f>IF(VLOOKUP(M10,βοηθητικό!$J$2:$N$354,3,FALSE)="","",VLOOKUP(M10,βοηθητικό!$J$2:$N$354,3,FALSE))</f>
        <v>6981972682</v>
      </c>
      <c r="O10" s="47"/>
      <c r="P10" s="4" t="s">
        <v>809</v>
      </c>
      <c r="Q10" s="43">
        <f>IF(VLOOKUP(P10,βοηθητικό!$J$2:$N$354,3,FALSE)="","",VLOOKUP(P10,βοηθητικό!$J$2:$N$354,3,FALSE))</f>
        <v>6937044836</v>
      </c>
      <c r="R10" s="44"/>
      <c r="S10" s="5" t="s">
        <v>825</v>
      </c>
      <c r="T10" s="46">
        <f>IF(VLOOKUP(S10,βοηθητικό!$J$2:$N$354,3,FALSE)="","",VLOOKUP(S10,βοηθητικό!$J$2:$N$354,3,FALSE))</f>
        <v>6907538451</v>
      </c>
      <c r="U10" s="47"/>
      <c r="V10" s="4" t="s">
        <v>851</v>
      </c>
      <c r="W10" s="43" t="str">
        <f>IF(VLOOKUP(V10,βοηθητικό!$J$2:$N$354,3,FALSE)="","",VLOOKUP(V10,βοηθητικό!$J$2:$N$354,3,FALSE))</f>
        <v>6944688337</v>
      </c>
      <c r="X10" s="44"/>
      <c r="Y10" s="5" t="s">
        <v>864</v>
      </c>
      <c r="Z10" s="46">
        <f>IF(VLOOKUP(Y10,βοηθητικό!$J$2:$N$354,3,FALSE)="","",VLOOKUP(Y10,βοηθητικό!$J$2:$N$354,3,FALSE))</f>
        <v>6973430967</v>
      </c>
      <c r="AA10" s="47"/>
      <c r="AB10" s="4" t="s">
        <v>867</v>
      </c>
      <c r="AC10" s="43" t="str">
        <f>IF(VLOOKUP(AB10,βοηθητικό!$J$2:$N$354,3,FALSE)="","",VLOOKUP(AB10,βοηθητικό!$J$2:$N$354,3,FALSE))</f>
        <v>6934030989</v>
      </c>
      <c r="AD10" s="44"/>
      <c r="AE10" s="5" t="s">
        <v>873</v>
      </c>
      <c r="AF10" s="46">
        <f>IF(VLOOKUP(AE10,βοηθητικό!$J$2:$N$354,3,FALSE)="","",VLOOKUP(AE10,βοηθητικό!$J$2:$N$354,3,FALSE))</f>
        <v>6988549425</v>
      </c>
      <c r="AG10" s="47"/>
      <c r="AH10" s="4" t="s">
        <v>16</v>
      </c>
      <c r="AI10" s="43" t="str">
        <f>IF(VLOOKUP(AH10,βοηθητικό!$J$2:$N$354,3,FALSE)="","",VLOOKUP(AH10,βοηθητικό!$J$2:$N$354,3,FALSE))</f>
        <v>_</v>
      </c>
      <c r="AJ10" s="44"/>
      <c r="AK10" s="5" t="s">
        <v>16</v>
      </c>
      <c r="AL10" s="46" t="str">
        <f>IF(VLOOKUP(AK10,βοηθητικό!$J$2:$N$354,3,FALSE)="","",VLOOKUP(AK10,βοηθητικό!$J$2:$N$354,3,FALSE))</f>
        <v>_</v>
      </c>
      <c r="AM10" s="47"/>
      <c r="AN10" s="4" t="s">
        <v>16</v>
      </c>
      <c r="AO10" s="43" t="str">
        <f>IF(VLOOKUP(AN10,βοηθητικό!$J$2:$N$354,3,FALSE)="","",VLOOKUP(AN10,βοηθητικό!$J$2:$N$354,3,FALSE))</f>
        <v>_</v>
      </c>
      <c r="AP10" s="44"/>
      <c r="AQ10" s="5" t="s">
        <v>16</v>
      </c>
      <c r="AR10" s="46" t="str">
        <f>IF(VLOOKUP(AQ10,βοηθητικό!$J$2:$N$354,3,FALSE)="","",VLOOKUP(AQ10,βοηθητικό!$J$2:$N$354,3,FALSE))</f>
        <v>_</v>
      </c>
      <c r="AS10" s="47"/>
      <c r="AT10" s="4" t="s">
        <v>16</v>
      </c>
      <c r="AU10" s="43" t="str">
        <f>IF(VLOOKUP(AT10,βοηθητικό!$J$2:$N$354,3,FALSE)="","",VLOOKUP(AT10,βοηθητικό!$J$2:$N$354,3,FALSE))</f>
        <v>_</v>
      </c>
      <c r="AV10" s="44"/>
      <c r="AW10" s="5" t="s">
        <v>16</v>
      </c>
      <c r="AX10" s="46" t="str">
        <f>IF(VLOOKUP(AW10,βοηθητικό!$J$2:$N$354,3,FALSE)="","",VLOOKUP(AW10,βοηθητικό!$J$2:$N$354,3,FALSE))</f>
        <v>_</v>
      </c>
      <c r="AY10" s="47"/>
      <c r="AZ10" s="4" t="s">
        <v>16</v>
      </c>
      <c r="BA10" s="43" t="str">
        <f>IF(VLOOKUP(AZ10,βοηθητικό!$J$2:$N$354,3,FALSE)="","",VLOOKUP(AZ10,βοηθητικό!$J$2:$N$354,3,FALSE))</f>
        <v>_</v>
      </c>
      <c r="BB10" s="44"/>
      <c r="BC10" s="45" t="s">
        <v>16</v>
      </c>
      <c r="BD10" s="46" t="str">
        <f>IF(VLOOKUP(BC10,βοηθητικό!$J$2:$N$354,3,FALSE)="","",VLOOKUP(BC10,βοηθητικό!$J$2:$N$354,3,FALSE))</f>
        <v>_</v>
      </c>
      <c r="BE10" s="47"/>
      <c r="BF10" s="42" t="s">
        <v>16</v>
      </c>
      <c r="BG10" s="43" t="str">
        <f>IF(VLOOKUP(BF10,βοηθητικό!$J$2:$N$354,3,FALSE)="","",VLOOKUP(BF10,βοηθητικό!$J$2:$N$354,3,FALSE))</f>
        <v>_</v>
      </c>
      <c r="BH10" s="44"/>
      <c r="BI10" s="45" t="s">
        <v>16</v>
      </c>
      <c r="BJ10" s="46" t="str">
        <f>IF(VLOOKUP(BI10,βοηθητικό!$J$2:$N$354,3,FALSE)="","",VLOOKUP(BI10,βοηθητικό!$J$2:$N$354,3,FALSE))</f>
        <v>_</v>
      </c>
      <c r="BK10" s="47"/>
      <c r="BL10" s="42" t="s">
        <v>16</v>
      </c>
      <c r="BM10" s="43" t="str">
        <f>IF(VLOOKUP(BL10,βοηθητικό!$J$2:$N$354,3,FALSE)="","",VLOOKUP(BL10,βοηθητικό!$J$2:$N$354,3,FALSE))</f>
        <v>_</v>
      </c>
      <c r="BN10" s="44"/>
      <c r="BO10" s="45" t="s">
        <v>16</v>
      </c>
      <c r="BP10" s="46" t="str">
        <f>IF(VLOOKUP(BO10,βοηθητικό!$J$2:$N$354,3,FALSE)="","",VLOOKUP(BO10,βοηθητικό!$J$2:$N$354,3,FALSE))</f>
        <v>_</v>
      </c>
      <c r="BQ10" s="47"/>
      <c r="BR10" s="42" t="s">
        <v>16</v>
      </c>
      <c r="BS10" s="43" t="str">
        <f>IF(VLOOKUP(BR10,βοηθητικό!$J$2:$N$354,3,FALSE)="","",VLOOKUP(BR10,βοηθητικό!$J$2:$N$354,3,FALSE))</f>
        <v>_</v>
      </c>
      <c r="BT10" s="44"/>
      <c r="BU10" s="45" t="s">
        <v>16</v>
      </c>
      <c r="BV10" s="46" t="str">
        <f>IF(VLOOKUP(BU10,βοηθητικό!$J$2:$N$354,3,FALSE)="","",VLOOKUP(BU10,βοηθητικό!$J$2:$N$354,3,FALSE))</f>
        <v>_</v>
      </c>
      <c r="BW10" s="47"/>
      <c r="BX10" s="42" t="s">
        <v>16</v>
      </c>
      <c r="BY10" s="43" t="str">
        <f>IF(VLOOKUP(BX10,βοηθητικό!$J$2:$N$354,3,FALSE)="","",VLOOKUP(BX10,βοηθητικό!$J$2:$N$354,3,FALSE))</f>
        <v>_</v>
      </c>
      <c r="BZ10" s="44"/>
      <c r="CA10" s="45" t="s">
        <v>16</v>
      </c>
      <c r="CB10" s="46" t="str">
        <f>IF(VLOOKUP(CA10,βοηθητικό!$J$2:$N$354,3,FALSE)="","",VLOOKUP(CA10,βοηθητικό!$J$2:$N$354,3,FALSE))</f>
        <v>_</v>
      </c>
      <c r="CC10" s="47"/>
      <c r="CD10" s="42" t="s">
        <v>16</v>
      </c>
      <c r="CE10" s="43" t="str">
        <f>IF(VLOOKUP(CD10,βοηθητικό!$J$2:$N$354,3,FALSE)="","",VLOOKUP(CD10,βοηθητικό!$J$2:$N$354,3,FALSE))</f>
        <v>_</v>
      </c>
      <c r="CF10" s="44"/>
      <c r="CG10" s="45" t="s">
        <v>16</v>
      </c>
      <c r="CH10" s="46" t="str">
        <f>IF(VLOOKUP(CG10,βοηθητικό!$J$2:$N$354,3,FALSE)="","",VLOOKUP(CG10,βοηθητικό!$J$2:$N$354,3,FALSE))</f>
        <v>_</v>
      </c>
      <c r="CI10" s="47"/>
      <c r="CJ10" s="42" t="s">
        <v>16</v>
      </c>
      <c r="CK10" s="43" t="str">
        <f>IF(VLOOKUP(CJ10,βοηθητικό!$J$2:$N$354,3,FALSE)="","",VLOOKUP(CJ10,βοηθητικό!$J$2:$N$354,3,FALSE))</f>
        <v>_</v>
      </c>
      <c r="CL10" s="44"/>
      <c r="CM10" s="45" t="s">
        <v>16</v>
      </c>
      <c r="CN10" s="46" t="str">
        <f>IF(VLOOKUP(CM10,βοηθητικό!$J$2:$N$354,3,FALSE)="","",VLOOKUP(CM10,βοηθητικό!$J$2:$N$354,3,FALSE))</f>
        <v>_</v>
      </c>
      <c r="CO10" s="47"/>
      <c r="CP10" s="42" t="s">
        <v>16</v>
      </c>
      <c r="CQ10" s="43" t="str">
        <f>IF(VLOOKUP(CP10,βοηθητικό!$J$2:$N$354,3,FALSE)="","",VLOOKUP(CP10,βοηθητικό!$J$2:$N$354,3,FALSE))</f>
        <v>_</v>
      </c>
      <c r="CR10" s="44"/>
      <c r="CS10" s="45" t="s">
        <v>16</v>
      </c>
      <c r="CT10" s="46" t="str">
        <f>IF(VLOOKUP(CS10,βοηθητικό!$J$2:$N$354,3,FALSE)="","",VLOOKUP(CS10,βοηθητικό!$J$2:$N$354,3,FALSE))</f>
        <v>_</v>
      </c>
      <c r="CU10" s="47"/>
    </row>
    <row r="11" spans="1:99" x14ac:dyDescent="0.25">
      <c r="A11" s="37">
        <f>--SUBTOTAL(3,$B$3:B10)</f>
        <v>8</v>
      </c>
      <c r="B11" s="2">
        <v>45025</v>
      </c>
      <c r="C11" s="3">
        <v>45031</v>
      </c>
      <c r="D11" s="55" t="s">
        <v>83</v>
      </c>
      <c r="E11" s="38" t="s">
        <v>16</v>
      </c>
      <c r="F11" s="38" t="s">
        <v>16</v>
      </c>
      <c r="G11" s="39" t="str">
        <f t="shared" si="2"/>
        <v>__</v>
      </c>
      <c r="H11" s="40" t="str">
        <f t="shared" si="3"/>
        <v>FALSE</v>
      </c>
      <c r="I11" s="41">
        <f t="shared" si="4"/>
        <v>5</v>
      </c>
      <c r="J11" s="4" t="s">
        <v>875</v>
      </c>
      <c r="K11" s="43" t="str">
        <f>IF(VLOOKUP(J11,βοηθητικό!$J$2:$N$354,3,FALSE)="","",VLOOKUP(J11,βοηθητικό!$J$2:$N$354,3,FALSE))</f>
        <v>6980736334</v>
      </c>
      <c r="L11" s="44"/>
      <c r="M11" s="5" t="s">
        <v>892</v>
      </c>
      <c r="N11" s="46" t="str">
        <f>IF(VLOOKUP(M11,βοηθητικό!$J$2:$N$354,3,FALSE)="","",VLOOKUP(M11,βοηθητικό!$J$2:$N$354,3,FALSE))</f>
        <v>6978335362</v>
      </c>
      <c r="O11" s="47"/>
      <c r="P11" s="4" t="s">
        <v>919</v>
      </c>
      <c r="Q11" s="43" t="str">
        <f>IF(VLOOKUP(P11,βοηθητικό!$J$2:$N$354,3,FALSE)="","",VLOOKUP(P11,βοηθητικό!$J$2:$N$354,3,FALSE))</f>
        <v>6972309803</v>
      </c>
      <c r="R11" s="44"/>
      <c r="S11" s="5" t="s">
        <v>900</v>
      </c>
      <c r="T11" s="46" t="str">
        <f>IF(VLOOKUP(S11,βοηθητικό!$J$2:$N$354,3,FALSE)="","",VLOOKUP(S11,βοηθητικό!$J$2:$N$354,3,FALSE))</f>
        <v>_</v>
      </c>
      <c r="U11" s="47"/>
      <c r="V11" s="4" t="s">
        <v>907</v>
      </c>
      <c r="W11" s="43" t="str">
        <f>IF(VLOOKUP(V11,βοηθητικό!$J$2:$N$354,3,FALSE)="","",VLOOKUP(V11,βοηθητικό!$J$2:$N$354,3,FALSE))</f>
        <v>6974321817</v>
      </c>
      <c r="X11" s="44"/>
      <c r="Y11" s="5" t="s">
        <v>16</v>
      </c>
      <c r="Z11" s="46" t="str">
        <f>IF(VLOOKUP(Y11,βοηθητικό!$J$2:$N$354,3,FALSE)="","",VLOOKUP(Y11,βοηθητικό!$J$2:$N$354,3,FALSE))</f>
        <v>_</v>
      </c>
      <c r="AA11" s="47"/>
      <c r="AB11" s="4" t="s">
        <v>16</v>
      </c>
      <c r="AC11" s="43" t="str">
        <f>IF(VLOOKUP(AB11,βοηθητικό!$J$2:$N$354,3,FALSE)="","",VLOOKUP(AB11,βοηθητικό!$J$2:$N$354,3,FALSE))</f>
        <v>_</v>
      </c>
      <c r="AD11" s="44"/>
      <c r="AE11" s="5" t="s">
        <v>16</v>
      </c>
      <c r="AF11" s="46" t="str">
        <f>IF(VLOOKUP(AE11,βοηθητικό!$J$2:$N$354,3,FALSE)="","",VLOOKUP(AE11,βοηθητικό!$J$2:$N$354,3,FALSE))</f>
        <v>_</v>
      </c>
      <c r="AG11" s="47"/>
      <c r="AH11" s="4" t="s">
        <v>16</v>
      </c>
      <c r="AI11" s="43" t="str">
        <f>IF(VLOOKUP(AH11,βοηθητικό!$J$2:$N$354,3,FALSE)="","",VLOOKUP(AH11,βοηθητικό!$J$2:$N$354,3,FALSE))</f>
        <v>_</v>
      </c>
      <c r="AJ11" s="44"/>
      <c r="AK11" s="5" t="s">
        <v>16</v>
      </c>
      <c r="AL11" s="46" t="str">
        <f>IF(VLOOKUP(AK11,βοηθητικό!$J$2:$N$354,3,FALSE)="","",VLOOKUP(AK11,βοηθητικό!$J$2:$N$354,3,FALSE))</f>
        <v>_</v>
      </c>
      <c r="AM11" s="47"/>
      <c r="AN11" s="4" t="s">
        <v>16</v>
      </c>
      <c r="AO11" s="43" t="str">
        <f>IF(VLOOKUP(AN11,βοηθητικό!$J$2:$N$354,3,FALSE)="","",VLOOKUP(AN11,βοηθητικό!$J$2:$N$354,3,FALSE))</f>
        <v>_</v>
      </c>
      <c r="AP11" s="44"/>
      <c r="AQ11" s="5" t="s">
        <v>16</v>
      </c>
      <c r="AR11" s="46" t="str">
        <f>IF(VLOOKUP(AQ11,βοηθητικό!$J$2:$N$354,3,FALSE)="","",VLOOKUP(AQ11,βοηθητικό!$J$2:$N$354,3,FALSE))</f>
        <v>_</v>
      </c>
      <c r="AS11" s="47"/>
      <c r="AT11" s="4" t="s">
        <v>16</v>
      </c>
      <c r="AU11" s="43" t="str">
        <f>IF(VLOOKUP(AT11,βοηθητικό!$J$2:$N$354,3,FALSE)="","",VLOOKUP(AT11,βοηθητικό!$J$2:$N$354,3,FALSE))</f>
        <v>_</v>
      </c>
      <c r="AV11" s="44"/>
      <c r="AW11" s="5" t="s">
        <v>16</v>
      </c>
      <c r="AX11" s="46" t="str">
        <f>IF(VLOOKUP(AW11,βοηθητικό!$J$2:$N$354,3,FALSE)="","",VLOOKUP(AW11,βοηθητικό!$J$2:$N$354,3,FALSE))</f>
        <v>_</v>
      </c>
      <c r="AY11" s="47"/>
      <c r="AZ11" s="4" t="s">
        <v>16</v>
      </c>
      <c r="BA11" s="43" t="str">
        <f>IF(VLOOKUP(AZ11,βοηθητικό!$J$2:$N$354,3,FALSE)="","",VLOOKUP(AZ11,βοηθητικό!$J$2:$N$354,3,FALSE))</f>
        <v>_</v>
      </c>
      <c r="BB11" s="44"/>
      <c r="BC11" s="45" t="s">
        <v>16</v>
      </c>
      <c r="BD11" s="46" t="str">
        <f>IF(VLOOKUP(BC11,βοηθητικό!$J$2:$N$354,3,FALSE)="","",VLOOKUP(BC11,βοηθητικό!$J$2:$N$354,3,FALSE))</f>
        <v>_</v>
      </c>
      <c r="BE11" s="47"/>
      <c r="BF11" s="42" t="s">
        <v>16</v>
      </c>
      <c r="BG11" s="43" t="str">
        <f>IF(VLOOKUP(BF11,βοηθητικό!$J$2:$N$354,3,FALSE)="","",VLOOKUP(BF11,βοηθητικό!$J$2:$N$354,3,FALSE))</f>
        <v>_</v>
      </c>
      <c r="BH11" s="44"/>
      <c r="BI11" s="45" t="s">
        <v>16</v>
      </c>
      <c r="BJ11" s="46" t="str">
        <f>IF(VLOOKUP(BI11,βοηθητικό!$J$2:$N$354,3,FALSE)="","",VLOOKUP(BI11,βοηθητικό!$J$2:$N$354,3,FALSE))</f>
        <v>_</v>
      </c>
      <c r="BK11" s="47"/>
      <c r="BL11" s="42" t="s">
        <v>16</v>
      </c>
      <c r="BM11" s="43" t="str">
        <f>IF(VLOOKUP(BL11,βοηθητικό!$J$2:$N$354,3,FALSE)="","",VLOOKUP(BL11,βοηθητικό!$J$2:$N$354,3,FALSE))</f>
        <v>_</v>
      </c>
      <c r="BN11" s="44"/>
      <c r="BO11" s="45" t="s">
        <v>16</v>
      </c>
      <c r="BP11" s="46" t="str">
        <f>IF(VLOOKUP(BO11,βοηθητικό!$J$2:$N$354,3,FALSE)="","",VLOOKUP(BO11,βοηθητικό!$J$2:$N$354,3,FALSE))</f>
        <v>_</v>
      </c>
      <c r="BQ11" s="47"/>
      <c r="BR11" s="42" t="s">
        <v>16</v>
      </c>
      <c r="BS11" s="43" t="str">
        <f>IF(VLOOKUP(BR11,βοηθητικό!$J$2:$N$354,3,FALSE)="","",VLOOKUP(BR11,βοηθητικό!$J$2:$N$354,3,FALSE))</f>
        <v>_</v>
      </c>
      <c r="BT11" s="44"/>
      <c r="BU11" s="45" t="s">
        <v>16</v>
      </c>
      <c r="BV11" s="46" t="str">
        <f>IF(VLOOKUP(BU11,βοηθητικό!$J$2:$N$354,3,FALSE)="","",VLOOKUP(BU11,βοηθητικό!$J$2:$N$354,3,FALSE))</f>
        <v>_</v>
      </c>
      <c r="BW11" s="47"/>
      <c r="BX11" s="42" t="s">
        <v>16</v>
      </c>
      <c r="BY11" s="43" t="str">
        <f>IF(VLOOKUP(BX11,βοηθητικό!$J$2:$N$354,3,FALSE)="","",VLOOKUP(BX11,βοηθητικό!$J$2:$N$354,3,FALSE))</f>
        <v>_</v>
      </c>
      <c r="BZ11" s="44"/>
      <c r="CA11" s="45" t="s">
        <v>16</v>
      </c>
      <c r="CB11" s="46" t="str">
        <f>IF(VLOOKUP(CA11,βοηθητικό!$J$2:$N$354,3,FALSE)="","",VLOOKUP(CA11,βοηθητικό!$J$2:$N$354,3,FALSE))</f>
        <v>_</v>
      </c>
      <c r="CC11" s="47"/>
      <c r="CD11" s="42" t="s">
        <v>16</v>
      </c>
      <c r="CE11" s="43" t="str">
        <f>IF(VLOOKUP(CD11,βοηθητικό!$J$2:$N$354,3,FALSE)="","",VLOOKUP(CD11,βοηθητικό!$J$2:$N$354,3,FALSE))</f>
        <v>_</v>
      </c>
      <c r="CF11" s="44"/>
      <c r="CG11" s="45" t="s">
        <v>16</v>
      </c>
      <c r="CH11" s="46" t="str">
        <f>IF(VLOOKUP(CG11,βοηθητικό!$J$2:$N$354,3,FALSE)="","",VLOOKUP(CG11,βοηθητικό!$J$2:$N$354,3,FALSE))</f>
        <v>_</v>
      </c>
      <c r="CI11" s="47"/>
      <c r="CJ11" s="42" t="s">
        <v>16</v>
      </c>
      <c r="CK11" s="43" t="str">
        <f>IF(VLOOKUP(CJ11,βοηθητικό!$J$2:$N$354,3,FALSE)="","",VLOOKUP(CJ11,βοηθητικό!$J$2:$N$354,3,FALSE))</f>
        <v>_</v>
      </c>
      <c r="CL11" s="44"/>
      <c r="CM11" s="45" t="s">
        <v>16</v>
      </c>
      <c r="CN11" s="46" t="str">
        <f>IF(VLOOKUP(CM11,βοηθητικό!$J$2:$N$354,3,FALSE)="","",VLOOKUP(CM11,βοηθητικό!$J$2:$N$354,3,FALSE))</f>
        <v>_</v>
      </c>
      <c r="CO11" s="47"/>
      <c r="CP11" s="42" t="s">
        <v>16</v>
      </c>
      <c r="CQ11" s="43" t="str">
        <f>IF(VLOOKUP(CP11,βοηθητικό!$J$2:$N$354,3,FALSE)="","",VLOOKUP(CP11,βοηθητικό!$J$2:$N$354,3,FALSE))</f>
        <v>_</v>
      </c>
      <c r="CR11" s="44"/>
      <c r="CS11" s="45" t="s">
        <v>16</v>
      </c>
      <c r="CT11" s="46" t="str">
        <f>IF(VLOOKUP(CS11,βοηθητικό!$J$2:$N$354,3,FALSE)="","",VLOOKUP(CS11,βοηθητικό!$J$2:$N$354,3,FALSE))</f>
        <v>_</v>
      </c>
      <c r="CU11" s="47"/>
    </row>
    <row r="12" spans="1:99" x14ac:dyDescent="0.25">
      <c r="A12" s="37">
        <f>--SUBTOTAL(3,$B$3:B11)</f>
        <v>9</v>
      </c>
      <c r="B12" s="2">
        <v>45025</v>
      </c>
      <c r="C12" s="3">
        <v>45031</v>
      </c>
      <c r="D12" s="55" t="s">
        <v>92</v>
      </c>
      <c r="E12" s="38" t="s">
        <v>16</v>
      </c>
      <c r="F12" s="38" t="s">
        <v>16</v>
      </c>
      <c r="G12" s="39" t="str">
        <f t="shared" si="2"/>
        <v>__</v>
      </c>
      <c r="H12" s="40" t="str">
        <f t="shared" si="3"/>
        <v>FALSE</v>
      </c>
      <c r="I12" s="41">
        <f t="shared" si="4"/>
        <v>11</v>
      </c>
      <c r="J12" s="4" t="s">
        <v>935</v>
      </c>
      <c r="K12" s="43" t="str">
        <f>IF(VLOOKUP(J12,βοηθητικό!$J$2:$N$354,3,FALSE)="","",VLOOKUP(J12,βοηθητικό!$J$2:$N$354,3,FALSE))</f>
        <v>6934671271</v>
      </c>
      <c r="L12" s="44"/>
      <c r="M12" s="5" t="s">
        <v>939</v>
      </c>
      <c r="N12" s="46" t="str">
        <f>IF(VLOOKUP(M12,βοηθητικό!$J$2:$N$354,3,FALSE)="","",VLOOKUP(M12,βοηθητικό!$J$2:$N$354,3,FALSE))</f>
        <v>6932393388</v>
      </c>
      <c r="O12" s="47"/>
      <c r="P12" s="4" t="s">
        <v>948</v>
      </c>
      <c r="Q12" s="43">
        <f>IF(VLOOKUP(P12,βοηθητικό!$J$2:$N$354,3,FALSE)="","",VLOOKUP(P12,βοηθητικό!$J$2:$N$354,3,FALSE))</f>
        <v>6972084481</v>
      </c>
      <c r="R12" s="44"/>
      <c r="S12" s="5" t="s">
        <v>957</v>
      </c>
      <c r="T12" s="46" t="str">
        <f>IF(VLOOKUP(S12,βοηθητικό!$J$2:$N$354,3,FALSE)="","",VLOOKUP(S12,βοηθητικό!$J$2:$N$354,3,FALSE))</f>
        <v>6980042920</v>
      </c>
      <c r="U12" s="47"/>
      <c r="V12" s="4" t="s">
        <v>969</v>
      </c>
      <c r="W12" s="43" t="str">
        <f>IF(VLOOKUP(V12,βοηθητικό!$J$2:$N$354,3,FALSE)="","",VLOOKUP(V12,βοηθητικό!$J$2:$N$354,3,FALSE))</f>
        <v>6972773725</v>
      </c>
      <c r="X12" s="44"/>
      <c r="Y12" s="5" t="s">
        <v>985</v>
      </c>
      <c r="Z12" s="46">
        <f>IF(VLOOKUP(Y12,βοηθητικό!$J$2:$N$354,3,FALSE)="","",VLOOKUP(Y12,βοηθητικό!$J$2:$N$354,3,FALSE))</f>
        <v>6978333756</v>
      </c>
      <c r="AA12" s="47"/>
      <c r="AB12" s="4" t="s">
        <v>992</v>
      </c>
      <c r="AC12" s="43">
        <f>IF(VLOOKUP(AB12,βοηθητικό!$J$2:$N$354,3,FALSE)="","",VLOOKUP(AB12,βοηθητικό!$J$2:$N$354,3,FALSE))</f>
        <v>6978993984</v>
      </c>
      <c r="AD12" s="44"/>
      <c r="AE12" s="5" t="s">
        <v>1004</v>
      </c>
      <c r="AF12" s="46" t="str">
        <f>IF(VLOOKUP(AE12,βοηθητικό!$J$2:$N$354,3,FALSE)="","",VLOOKUP(AE12,βοηθητικό!$J$2:$N$354,3,FALSE))</f>
        <v>6974057776</v>
      </c>
      <c r="AG12" s="47"/>
      <c r="AH12" s="4" t="s">
        <v>1029</v>
      </c>
      <c r="AI12" s="43">
        <f>IF(VLOOKUP(AH12,βοηθητικό!$J$2:$N$354,3,FALSE)="","",VLOOKUP(AH12,βοηθητικό!$J$2:$N$354,3,FALSE))</f>
        <v>6972210917</v>
      </c>
      <c r="AJ12" s="44"/>
      <c r="AK12" s="5" t="s">
        <v>1031</v>
      </c>
      <c r="AL12" s="46">
        <f>IF(VLOOKUP(AK12,βοηθητικό!$J$2:$N$354,3,FALSE)="","",VLOOKUP(AK12,βοηθητικό!$J$2:$N$354,3,FALSE))</f>
        <v>6936970927</v>
      </c>
      <c r="AM12" s="47"/>
      <c r="AN12" s="4" t="s">
        <v>931</v>
      </c>
      <c r="AO12" s="43" t="str">
        <f>IF(VLOOKUP(AN12,βοηθητικό!$J$2:$N$354,3,FALSE)="","",VLOOKUP(AN12,βοηθητικό!$J$2:$N$354,3,FALSE))</f>
        <v>6973333473</v>
      </c>
      <c r="AP12" s="44"/>
      <c r="AQ12" s="5" t="s">
        <v>16</v>
      </c>
      <c r="AR12" s="46" t="str">
        <f>IF(VLOOKUP(AQ12,βοηθητικό!$J$2:$N$354,3,FALSE)="","",VLOOKUP(AQ12,βοηθητικό!$J$2:$N$354,3,FALSE))</f>
        <v>_</v>
      </c>
      <c r="AS12" s="47"/>
      <c r="AT12" s="4" t="s">
        <v>16</v>
      </c>
      <c r="AU12" s="43" t="str">
        <f>IF(VLOOKUP(AT12,βοηθητικό!$J$2:$N$354,3,FALSE)="","",VLOOKUP(AT12,βοηθητικό!$J$2:$N$354,3,FALSE))</f>
        <v>_</v>
      </c>
      <c r="AV12" s="44"/>
      <c r="AW12" s="5" t="s">
        <v>16</v>
      </c>
      <c r="AX12" s="46" t="str">
        <f>IF(VLOOKUP(AW12,βοηθητικό!$J$2:$N$354,3,FALSE)="","",VLOOKUP(AW12,βοηθητικό!$J$2:$N$354,3,FALSE))</f>
        <v>_</v>
      </c>
      <c r="AY12" s="47"/>
      <c r="AZ12" s="4" t="s">
        <v>16</v>
      </c>
      <c r="BA12" s="43" t="str">
        <f>IF(VLOOKUP(AZ12,βοηθητικό!$J$2:$N$354,3,FALSE)="","",VLOOKUP(AZ12,βοηθητικό!$J$2:$N$354,3,FALSE))</f>
        <v>_</v>
      </c>
      <c r="BB12" s="44"/>
      <c r="BC12" s="45" t="s">
        <v>16</v>
      </c>
      <c r="BD12" s="46" t="str">
        <f>IF(VLOOKUP(BC12,βοηθητικό!$J$2:$N$354,3,FALSE)="","",VLOOKUP(BC12,βοηθητικό!$J$2:$N$354,3,FALSE))</f>
        <v>_</v>
      </c>
      <c r="BE12" s="47"/>
      <c r="BF12" s="42" t="s">
        <v>16</v>
      </c>
      <c r="BG12" s="43" t="str">
        <f>IF(VLOOKUP(BF12,βοηθητικό!$J$2:$N$354,3,FALSE)="","",VLOOKUP(BF12,βοηθητικό!$J$2:$N$354,3,FALSE))</f>
        <v>_</v>
      </c>
      <c r="BH12" s="44"/>
      <c r="BI12" s="45" t="s">
        <v>16</v>
      </c>
      <c r="BJ12" s="46" t="str">
        <f>IF(VLOOKUP(BI12,βοηθητικό!$J$2:$N$354,3,FALSE)="","",VLOOKUP(BI12,βοηθητικό!$J$2:$N$354,3,FALSE))</f>
        <v>_</v>
      </c>
      <c r="BK12" s="47"/>
      <c r="BL12" s="42" t="s">
        <v>16</v>
      </c>
      <c r="BM12" s="43" t="str">
        <f>IF(VLOOKUP(BL12,βοηθητικό!$J$2:$N$354,3,FALSE)="","",VLOOKUP(BL12,βοηθητικό!$J$2:$N$354,3,FALSE))</f>
        <v>_</v>
      </c>
      <c r="BN12" s="44"/>
      <c r="BO12" s="45" t="s">
        <v>16</v>
      </c>
      <c r="BP12" s="46" t="str">
        <f>IF(VLOOKUP(BO12,βοηθητικό!$J$2:$N$354,3,FALSE)="","",VLOOKUP(BO12,βοηθητικό!$J$2:$N$354,3,FALSE))</f>
        <v>_</v>
      </c>
      <c r="BQ12" s="47"/>
      <c r="BR12" s="42" t="s">
        <v>16</v>
      </c>
      <c r="BS12" s="43" t="str">
        <f>IF(VLOOKUP(BR12,βοηθητικό!$J$2:$N$354,3,FALSE)="","",VLOOKUP(BR12,βοηθητικό!$J$2:$N$354,3,FALSE))</f>
        <v>_</v>
      </c>
      <c r="BT12" s="44"/>
      <c r="BU12" s="45" t="s">
        <v>16</v>
      </c>
      <c r="BV12" s="46" t="str">
        <f>IF(VLOOKUP(BU12,βοηθητικό!$J$2:$N$354,3,FALSE)="","",VLOOKUP(BU12,βοηθητικό!$J$2:$N$354,3,FALSE))</f>
        <v>_</v>
      </c>
      <c r="BW12" s="47"/>
      <c r="BX12" s="42" t="s">
        <v>16</v>
      </c>
      <c r="BY12" s="43" t="str">
        <f>IF(VLOOKUP(BX12,βοηθητικό!$J$2:$N$354,3,FALSE)="","",VLOOKUP(BX12,βοηθητικό!$J$2:$N$354,3,FALSE))</f>
        <v>_</v>
      </c>
      <c r="BZ12" s="44"/>
      <c r="CA12" s="45" t="s">
        <v>16</v>
      </c>
      <c r="CB12" s="46" t="str">
        <f>IF(VLOOKUP(CA12,βοηθητικό!$J$2:$N$354,3,FALSE)="","",VLOOKUP(CA12,βοηθητικό!$J$2:$N$354,3,FALSE))</f>
        <v>_</v>
      </c>
      <c r="CC12" s="47"/>
      <c r="CD12" s="42" t="s">
        <v>16</v>
      </c>
      <c r="CE12" s="43" t="str">
        <f>IF(VLOOKUP(CD12,βοηθητικό!$J$2:$N$354,3,FALSE)="","",VLOOKUP(CD12,βοηθητικό!$J$2:$N$354,3,FALSE))</f>
        <v>_</v>
      </c>
      <c r="CF12" s="44"/>
      <c r="CG12" s="45" t="s">
        <v>16</v>
      </c>
      <c r="CH12" s="46" t="str">
        <f>IF(VLOOKUP(CG12,βοηθητικό!$J$2:$N$354,3,FALSE)="","",VLOOKUP(CG12,βοηθητικό!$J$2:$N$354,3,FALSE))</f>
        <v>_</v>
      </c>
      <c r="CI12" s="47"/>
      <c r="CJ12" s="42" t="s">
        <v>16</v>
      </c>
      <c r="CK12" s="43" t="str">
        <f>IF(VLOOKUP(CJ12,βοηθητικό!$J$2:$N$354,3,FALSE)="","",VLOOKUP(CJ12,βοηθητικό!$J$2:$N$354,3,FALSE))</f>
        <v>_</v>
      </c>
      <c r="CL12" s="44"/>
      <c r="CM12" s="45" t="s">
        <v>16</v>
      </c>
      <c r="CN12" s="46" t="str">
        <f>IF(VLOOKUP(CM12,βοηθητικό!$J$2:$N$354,3,FALSE)="","",VLOOKUP(CM12,βοηθητικό!$J$2:$N$354,3,FALSE))</f>
        <v>_</v>
      </c>
      <c r="CO12" s="47"/>
      <c r="CP12" s="42" t="s">
        <v>16</v>
      </c>
      <c r="CQ12" s="43" t="str">
        <f>IF(VLOOKUP(CP12,βοηθητικό!$J$2:$N$354,3,FALSE)="","",VLOOKUP(CP12,βοηθητικό!$J$2:$N$354,3,FALSE))</f>
        <v>_</v>
      </c>
      <c r="CR12" s="44"/>
      <c r="CS12" s="45" t="s">
        <v>16</v>
      </c>
      <c r="CT12" s="46" t="str">
        <f>IF(VLOOKUP(CS12,βοηθητικό!$J$2:$N$354,3,FALSE)="","",VLOOKUP(CS12,βοηθητικό!$J$2:$N$354,3,FALSE))</f>
        <v>_</v>
      </c>
      <c r="CU12" s="47"/>
    </row>
    <row r="13" spans="1:99" x14ac:dyDescent="0.25">
      <c r="A13" s="37">
        <f>--SUBTOTAL(3,$B$3:B12)</f>
        <v>10</v>
      </c>
      <c r="B13" s="2">
        <v>45025</v>
      </c>
      <c r="C13" s="3">
        <v>45031</v>
      </c>
      <c r="D13" s="55" t="s">
        <v>115</v>
      </c>
      <c r="E13" s="38" t="s">
        <v>16</v>
      </c>
      <c r="F13" s="38" t="s">
        <v>16</v>
      </c>
      <c r="G13" s="39" t="str">
        <f t="shared" si="2"/>
        <v>__</v>
      </c>
      <c r="H13" s="40" t="str">
        <f t="shared" si="3"/>
        <v>FALSE</v>
      </c>
      <c r="I13" s="41">
        <f t="shared" si="4"/>
        <v>10</v>
      </c>
      <c r="J13" s="4" t="s">
        <v>1270</v>
      </c>
      <c r="K13" s="43" t="str">
        <f>IF(VLOOKUP(J13,βοηθητικό!$J$2:$N$354,3,FALSE)="","",VLOOKUP(J13,βοηθητικό!$J$2:$N$354,3,FALSE))</f>
        <v>6970320059</v>
      </c>
      <c r="L13" s="44"/>
      <c r="M13" s="5" t="s">
        <v>1322</v>
      </c>
      <c r="N13" s="46" t="str">
        <f>IF(VLOOKUP(M13,βοηθητικό!$J$2:$N$354,3,FALSE)="","",VLOOKUP(M13,βοηθητικό!$J$2:$N$354,3,FALSE))</f>
        <v>6977303667</v>
      </c>
      <c r="O13" s="47"/>
      <c r="P13" s="4" t="s">
        <v>1351</v>
      </c>
      <c r="Q13" s="43" t="str">
        <f>IF(VLOOKUP(P13,βοηθητικό!$J$2:$N$354,3,FALSE)="","",VLOOKUP(P13,βοηθητικό!$J$2:$N$354,3,FALSE))</f>
        <v>6974072869</v>
      </c>
      <c r="R13" s="44"/>
      <c r="S13" s="5" t="s">
        <v>1504</v>
      </c>
      <c r="T13" s="46" t="str">
        <f>IF(VLOOKUP(S13,βοηθητικό!$J$2:$N$356,3,FALSE)="","",VLOOKUP(S13,βοηθητικό!$J$2:$N$356,3,FALSE))</f>
        <v/>
      </c>
      <c r="U13" s="47"/>
      <c r="V13" s="4" t="s">
        <v>1274</v>
      </c>
      <c r="W13" s="43">
        <f>IF(VLOOKUP(V13,βοηθητικό!$J$2:$N$354,3,FALSE)="","",VLOOKUP(V13,βοηθητικό!$J$2:$N$354,3,FALSE))</f>
        <v>6947007553</v>
      </c>
      <c r="X13" s="44"/>
      <c r="Y13" s="5" t="s">
        <v>1383</v>
      </c>
      <c r="Z13" s="46" t="str">
        <f>IF(VLOOKUP(Y13,βοηθητικό!$J$2:$N$354,3,FALSE)="","",VLOOKUP(Y13,βοηθητικό!$J$2:$N$354,3,FALSE))</f>
        <v>6944771437</v>
      </c>
      <c r="AA13" s="47"/>
      <c r="AB13" s="4" t="s">
        <v>1379</v>
      </c>
      <c r="AC13" s="43" t="str">
        <f>IF(VLOOKUP(AB13,βοηθητικό!$J$2:$N$354,3,FALSE)="","",VLOOKUP(AB13,βοηθητικό!$J$2:$N$354,3,FALSE))</f>
        <v>6942448798</v>
      </c>
      <c r="AD13" s="44"/>
      <c r="AE13" s="5" t="s">
        <v>1258</v>
      </c>
      <c r="AF13" s="46" t="str">
        <f>IF(VLOOKUP(AE13,βοηθητικό!$J$2:$N$354,3,FALSE)="","",VLOOKUP(AE13,βοηθητικό!$J$2:$N$354,3,FALSE))</f>
        <v>6972087747</v>
      </c>
      <c r="AG13" s="47"/>
      <c r="AH13" s="4" t="s">
        <v>1291</v>
      </c>
      <c r="AI13" s="43" t="str">
        <f>IF(VLOOKUP(AH13,βοηθητικό!$J$2:$N$354,3,FALSE)="","",VLOOKUP(AH13,βοηθητικό!$J$2:$N$354,3,FALSE))</f>
        <v>6985677805</v>
      </c>
      <c r="AJ13" s="44"/>
      <c r="AK13" s="5" t="s">
        <v>1363</v>
      </c>
      <c r="AL13" s="46" t="str">
        <f>IF(VLOOKUP(AK13,βοηθητικό!$J$2:$N$354,3,FALSE)="","",VLOOKUP(AK13,βοηθητικό!$J$2:$N$354,3,FALSE))</f>
        <v>6949144335 6932257519</v>
      </c>
      <c r="AM13" s="47"/>
      <c r="AN13" s="4" t="s">
        <v>16</v>
      </c>
      <c r="AO13" s="43" t="str">
        <f>IF(VLOOKUP(AN13,βοηθητικό!$J$2:$N$354,3,FALSE)="","",VLOOKUP(AN13,βοηθητικό!$J$2:$N$354,3,FALSE))</f>
        <v>_</v>
      </c>
      <c r="AP13" s="44"/>
      <c r="AQ13" s="5" t="s">
        <v>16</v>
      </c>
      <c r="AR13" s="46" t="str">
        <f>IF(VLOOKUP(AQ13,βοηθητικό!$J$2:$N$354,3,FALSE)="","",VLOOKUP(AQ13,βοηθητικό!$J$2:$N$354,3,FALSE))</f>
        <v>_</v>
      </c>
      <c r="AS13" s="47"/>
      <c r="AT13" s="4" t="s">
        <v>16</v>
      </c>
      <c r="AU13" s="43" t="str">
        <f>IF(VLOOKUP(AT13,βοηθητικό!$J$2:$N$354,3,FALSE)="","",VLOOKUP(AT13,βοηθητικό!$J$2:$N$354,3,FALSE))</f>
        <v>_</v>
      </c>
      <c r="AV13" s="44"/>
      <c r="AW13" s="5" t="s">
        <v>16</v>
      </c>
      <c r="AX13" s="46" t="str">
        <f>IF(VLOOKUP(AW13,βοηθητικό!$J$2:$N$354,3,FALSE)="","",VLOOKUP(AW13,βοηθητικό!$J$2:$N$354,3,FALSE))</f>
        <v>_</v>
      </c>
      <c r="AY13" s="47"/>
      <c r="AZ13" s="4" t="s">
        <v>16</v>
      </c>
      <c r="BA13" s="43" t="str">
        <f>IF(VLOOKUP(AZ13,βοηθητικό!$J$2:$N$354,3,FALSE)="","",VLOOKUP(AZ13,βοηθητικό!$J$2:$N$354,3,FALSE))</f>
        <v>_</v>
      </c>
      <c r="BB13" s="44"/>
      <c r="BC13" s="45" t="s">
        <v>16</v>
      </c>
      <c r="BD13" s="46" t="str">
        <f>IF(VLOOKUP(BC13,βοηθητικό!$J$2:$N$354,3,FALSE)="","",VLOOKUP(BC13,βοηθητικό!$J$2:$N$354,3,FALSE))</f>
        <v>_</v>
      </c>
      <c r="BE13" s="47"/>
      <c r="BF13" s="42" t="s">
        <v>16</v>
      </c>
      <c r="BG13" s="43" t="str">
        <f>IF(VLOOKUP(BF13,βοηθητικό!$J$2:$N$354,3,FALSE)="","",VLOOKUP(BF13,βοηθητικό!$J$2:$N$354,3,FALSE))</f>
        <v>_</v>
      </c>
      <c r="BH13" s="44"/>
      <c r="BI13" s="45" t="s">
        <v>16</v>
      </c>
      <c r="BJ13" s="46" t="str">
        <f>IF(VLOOKUP(BI13,βοηθητικό!$J$2:$N$354,3,FALSE)="","",VLOOKUP(BI13,βοηθητικό!$J$2:$N$354,3,FALSE))</f>
        <v>_</v>
      </c>
      <c r="BK13" s="47"/>
      <c r="BL13" s="42" t="s">
        <v>16</v>
      </c>
      <c r="BM13" s="43" t="str">
        <f>IF(VLOOKUP(BL13,βοηθητικό!$J$2:$N$354,3,FALSE)="","",VLOOKUP(BL13,βοηθητικό!$J$2:$N$354,3,FALSE))</f>
        <v>_</v>
      </c>
      <c r="BN13" s="44"/>
      <c r="BO13" s="45" t="s">
        <v>16</v>
      </c>
      <c r="BP13" s="46" t="str">
        <f>IF(VLOOKUP(BO13,βοηθητικό!$J$2:$N$354,3,FALSE)="","",VLOOKUP(BO13,βοηθητικό!$J$2:$N$354,3,FALSE))</f>
        <v>_</v>
      </c>
      <c r="BQ13" s="47"/>
      <c r="BR13" s="42" t="s">
        <v>16</v>
      </c>
      <c r="BS13" s="43" t="str">
        <f>IF(VLOOKUP(BR13,βοηθητικό!$J$2:$N$354,3,FALSE)="","",VLOOKUP(BR13,βοηθητικό!$J$2:$N$354,3,FALSE))</f>
        <v>_</v>
      </c>
      <c r="BT13" s="44"/>
      <c r="BU13" s="45" t="s">
        <v>16</v>
      </c>
      <c r="BV13" s="46" t="str">
        <f>IF(VLOOKUP(BU13,βοηθητικό!$J$2:$N$354,3,FALSE)="","",VLOOKUP(BU13,βοηθητικό!$J$2:$N$354,3,FALSE))</f>
        <v>_</v>
      </c>
      <c r="BW13" s="47"/>
      <c r="BX13" s="42" t="s">
        <v>16</v>
      </c>
      <c r="BY13" s="43" t="str">
        <f>IF(VLOOKUP(BX13,βοηθητικό!$J$2:$N$354,3,FALSE)="","",VLOOKUP(BX13,βοηθητικό!$J$2:$N$354,3,FALSE))</f>
        <v>_</v>
      </c>
      <c r="BZ13" s="44"/>
      <c r="CA13" s="45" t="s">
        <v>16</v>
      </c>
      <c r="CB13" s="46" t="str">
        <f>IF(VLOOKUP(CA13,βοηθητικό!$J$2:$N$354,3,FALSE)="","",VLOOKUP(CA13,βοηθητικό!$J$2:$N$354,3,FALSE))</f>
        <v>_</v>
      </c>
      <c r="CC13" s="47"/>
      <c r="CD13" s="42" t="s">
        <v>16</v>
      </c>
      <c r="CE13" s="43" t="str">
        <f>IF(VLOOKUP(CD13,βοηθητικό!$J$2:$N$354,3,FALSE)="","",VLOOKUP(CD13,βοηθητικό!$J$2:$N$354,3,FALSE))</f>
        <v>_</v>
      </c>
      <c r="CF13" s="44"/>
      <c r="CG13" s="45" t="s">
        <v>16</v>
      </c>
      <c r="CH13" s="46" t="str">
        <f>IF(VLOOKUP(CG13,βοηθητικό!$J$2:$N$354,3,FALSE)="","",VLOOKUP(CG13,βοηθητικό!$J$2:$N$354,3,FALSE))</f>
        <v>_</v>
      </c>
      <c r="CI13" s="47"/>
      <c r="CJ13" s="42" t="s">
        <v>16</v>
      </c>
      <c r="CK13" s="43" t="str">
        <f>IF(VLOOKUP(CJ13,βοηθητικό!$J$2:$N$354,3,FALSE)="","",VLOOKUP(CJ13,βοηθητικό!$J$2:$N$354,3,FALSE))</f>
        <v>_</v>
      </c>
      <c r="CL13" s="44"/>
      <c r="CM13" s="45" t="s">
        <v>16</v>
      </c>
      <c r="CN13" s="46" t="str">
        <f>IF(VLOOKUP(CM13,βοηθητικό!$J$2:$N$354,3,FALSE)="","",VLOOKUP(CM13,βοηθητικό!$J$2:$N$354,3,FALSE))</f>
        <v>_</v>
      </c>
      <c r="CO13" s="47"/>
      <c r="CP13" s="42" t="s">
        <v>16</v>
      </c>
      <c r="CQ13" s="43" t="str">
        <f>IF(VLOOKUP(CP13,βοηθητικό!$J$2:$N$354,3,FALSE)="","",VLOOKUP(CP13,βοηθητικό!$J$2:$N$354,3,FALSE))</f>
        <v>_</v>
      </c>
      <c r="CR13" s="44"/>
      <c r="CS13" s="45" t="s">
        <v>16</v>
      </c>
      <c r="CT13" s="46" t="str">
        <f>IF(VLOOKUP(CS13,βοηθητικό!$J$2:$N$354,3,FALSE)="","",VLOOKUP(CS13,βοηθητικό!$J$2:$N$354,3,FALSE))</f>
        <v>_</v>
      </c>
      <c r="CU13" s="47"/>
    </row>
    <row r="14" spans="1:99" x14ac:dyDescent="0.25">
      <c r="A14" s="37">
        <f>--SUBTOTAL(3,$B$3:B13)</f>
        <v>11</v>
      </c>
      <c r="B14" s="2">
        <v>45025</v>
      </c>
      <c r="C14" s="3">
        <v>45031</v>
      </c>
      <c r="D14" s="55" t="s">
        <v>45</v>
      </c>
      <c r="E14" s="38" t="s">
        <v>16</v>
      </c>
      <c r="F14" s="38" t="s">
        <v>16</v>
      </c>
      <c r="G14" s="39" t="str">
        <f t="shared" si="2"/>
        <v>__</v>
      </c>
      <c r="H14" s="40" t="str">
        <f t="shared" si="3"/>
        <v>FALSE</v>
      </c>
      <c r="I14" s="41">
        <f t="shared" si="4"/>
        <v>6</v>
      </c>
      <c r="J14" s="4" t="s">
        <v>548</v>
      </c>
      <c r="K14" s="43" t="str">
        <f>IF(VLOOKUP(J14,βοηθητικό!$J$2:$N$354,3,FALSE)="","",VLOOKUP(J14,βοηθητικό!$J$2:$N$354,3,FALSE))</f>
        <v>6977344183</v>
      </c>
      <c r="L14" s="44"/>
      <c r="M14" s="5" t="s">
        <v>485</v>
      </c>
      <c r="N14" s="46" t="str">
        <f>IF(VLOOKUP(M14,βοηθητικό!$J$2:$N$354,3,FALSE)="","",VLOOKUP(M14,βοηθητικό!$J$2:$N$354,3,FALSE))</f>
        <v>6972278604</v>
      </c>
      <c r="O14" s="47"/>
      <c r="P14" s="4" t="s">
        <v>500</v>
      </c>
      <c r="Q14" s="43" t="str">
        <f>IF(VLOOKUP(P14,βοηθητικό!$J$2:$N$354,3,FALSE)="","",VLOOKUP(P14,βοηθητικό!$J$2:$N$354,3,FALSE))</f>
        <v>6945398229</v>
      </c>
      <c r="R14" s="44"/>
      <c r="S14" s="5" t="s">
        <v>514</v>
      </c>
      <c r="T14" s="46" t="str">
        <f>IF(VLOOKUP(S14,βοηθητικό!$J$2:$N$354,3,FALSE)="","",VLOOKUP(S14,βοηθητικό!$J$2:$N$354,3,FALSE))</f>
        <v>6936815219</v>
      </c>
      <c r="U14" s="47"/>
      <c r="V14" s="4" t="s">
        <v>503</v>
      </c>
      <c r="W14" s="43" t="str">
        <f>IF(VLOOKUP(V14,βοηθητικό!$J$2:$N$354,3,FALSE)="","",VLOOKUP(V14,βοηθητικό!$J$2:$N$354,3,FALSE))</f>
        <v>6944234622</v>
      </c>
      <c r="X14" s="44"/>
      <c r="Y14" s="5" t="s">
        <v>523</v>
      </c>
      <c r="Z14" s="46" t="str">
        <f>IF(VLOOKUP(Y14,βοηθητικό!$J$2:$N$354,3,FALSE)="","",VLOOKUP(Y14,βοηθητικό!$J$2:$N$354,3,FALSE))</f>
        <v>6970940292</v>
      </c>
      <c r="AA14" s="47"/>
      <c r="AB14" s="4" t="s">
        <v>16</v>
      </c>
      <c r="AC14" s="43" t="str">
        <f>IF(VLOOKUP(AB14,βοηθητικό!$J$2:$N$354,3,FALSE)="","",VLOOKUP(AB14,βοηθητικό!$J$2:$N$354,3,FALSE))</f>
        <v>_</v>
      </c>
      <c r="AD14" s="44"/>
      <c r="AE14" s="5" t="s">
        <v>16</v>
      </c>
      <c r="AF14" s="46" t="str">
        <f>IF(VLOOKUP(AE14,βοηθητικό!$J$2:$N$354,3,FALSE)="","",VLOOKUP(AE14,βοηθητικό!$J$2:$N$354,3,FALSE))</f>
        <v>_</v>
      </c>
      <c r="AG14" s="47"/>
      <c r="AH14" s="4" t="s">
        <v>16</v>
      </c>
      <c r="AI14" s="43" t="str">
        <f>IF(VLOOKUP(AH14,βοηθητικό!$J$2:$N$354,3,FALSE)="","",VLOOKUP(AH14,βοηθητικό!$J$2:$N$354,3,FALSE))</f>
        <v>_</v>
      </c>
      <c r="AJ14" s="44"/>
      <c r="AK14" s="5" t="s">
        <v>16</v>
      </c>
      <c r="AL14" s="46" t="str">
        <f>IF(VLOOKUP(AK14,βοηθητικό!$J$2:$N$354,3,FALSE)="","",VLOOKUP(AK14,βοηθητικό!$J$2:$N$354,3,FALSE))</f>
        <v>_</v>
      </c>
      <c r="AM14" s="47"/>
      <c r="AN14" s="4" t="s">
        <v>16</v>
      </c>
      <c r="AO14" s="43" t="str">
        <f>IF(VLOOKUP(AN14,βοηθητικό!$J$2:$N$354,3,FALSE)="","",VLOOKUP(AN14,βοηθητικό!$J$2:$N$354,3,FALSE))</f>
        <v>_</v>
      </c>
      <c r="AP14" s="44"/>
      <c r="AQ14" s="5" t="s">
        <v>16</v>
      </c>
      <c r="AR14" s="46" t="str">
        <f>IF(VLOOKUP(AQ14,βοηθητικό!$J$2:$N$354,3,FALSE)="","",VLOOKUP(AQ14,βοηθητικό!$J$2:$N$354,3,FALSE))</f>
        <v>_</v>
      </c>
      <c r="AS14" s="47"/>
      <c r="AT14" s="4" t="s">
        <v>16</v>
      </c>
      <c r="AU14" s="43" t="str">
        <f>IF(VLOOKUP(AT14,βοηθητικό!$J$2:$N$354,3,FALSE)="","",VLOOKUP(AT14,βοηθητικό!$J$2:$N$354,3,FALSE))</f>
        <v>_</v>
      </c>
      <c r="AV14" s="44"/>
      <c r="AW14" s="5" t="s">
        <v>16</v>
      </c>
      <c r="AX14" s="46" t="str">
        <f>IF(VLOOKUP(AW14,βοηθητικό!$J$2:$N$354,3,FALSE)="","",VLOOKUP(AW14,βοηθητικό!$J$2:$N$354,3,FALSE))</f>
        <v>_</v>
      </c>
      <c r="AY14" s="47"/>
      <c r="AZ14" s="4" t="s">
        <v>16</v>
      </c>
      <c r="BA14" s="43" t="str">
        <f>IF(VLOOKUP(AZ14,βοηθητικό!$J$2:$N$354,3,FALSE)="","",VLOOKUP(AZ14,βοηθητικό!$J$2:$N$354,3,FALSE))</f>
        <v>_</v>
      </c>
      <c r="BB14" s="44"/>
      <c r="BC14" s="45" t="s">
        <v>16</v>
      </c>
      <c r="BD14" s="46" t="str">
        <f>IF(VLOOKUP(BC14,βοηθητικό!$J$2:$N$354,3,FALSE)="","",VLOOKUP(BC14,βοηθητικό!$J$2:$N$354,3,FALSE))</f>
        <v>_</v>
      </c>
      <c r="BE14" s="47"/>
      <c r="BF14" s="42" t="s">
        <v>16</v>
      </c>
      <c r="BG14" s="43" t="str">
        <f>IF(VLOOKUP(BF14,βοηθητικό!$J$2:$N$354,3,FALSE)="","",VLOOKUP(BF14,βοηθητικό!$J$2:$N$354,3,FALSE))</f>
        <v>_</v>
      </c>
      <c r="BH14" s="44"/>
      <c r="BI14" s="45" t="s">
        <v>16</v>
      </c>
      <c r="BJ14" s="46" t="str">
        <f>IF(VLOOKUP(BI14,βοηθητικό!$J$2:$N$354,3,FALSE)="","",VLOOKUP(BI14,βοηθητικό!$J$2:$N$354,3,FALSE))</f>
        <v>_</v>
      </c>
      <c r="BK14" s="47"/>
      <c r="BL14" s="42" t="s">
        <v>16</v>
      </c>
      <c r="BM14" s="43" t="str">
        <f>IF(VLOOKUP(BL14,βοηθητικό!$J$2:$N$354,3,FALSE)="","",VLOOKUP(BL14,βοηθητικό!$J$2:$N$354,3,FALSE))</f>
        <v>_</v>
      </c>
      <c r="BN14" s="44"/>
      <c r="BO14" s="45" t="s">
        <v>16</v>
      </c>
      <c r="BP14" s="46" t="str">
        <f>IF(VLOOKUP(BO14,βοηθητικό!$J$2:$N$354,3,FALSE)="","",VLOOKUP(BO14,βοηθητικό!$J$2:$N$354,3,FALSE))</f>
        <v>_</v>
      </c>
      <c r="BQ14" s="47"/>
      <c r="BR14" s="42" t="s">
        <v>16</v>
      </c>
      <c r="BS14" s="43" t="str">
        <f>IF(VLOOKUP(BR14,βοηθητικό!$J$2:$N$354,3,FALSE)="","",VLOOKUP(BR14,βοηθητικό!$J$2:$N$354,3,FALSE))</f>
        <v>_</v>
      </c>
      <c r="BT14" s="44"/>
      <c r="BU14" s="45" t="s">
        <v>16</v>
      </c>
      <c r="BV14" s="46" t="str">
        <f>IF(VLOOKUP(BU14,βοηθητικό!$J$2:$N$354,3,FALSE)="","",VLOOKUP(BU14,βοηθητικό!$J$2:$N$354,3,FALSE))</f>
        <v>_</v>
      </c>
      <c r="BW14" s="47"/>
      <c r="BX14" s="42" t="s">
        <v>16</v>
      </c>
      <c r="BY14" s="43" t="str">
        <f>IF(VLOOKUP(BX14,βοηθητικό!$J$2:$N$354,3,FALSE)="","",VLOOKUP(BX14,βοηθητικό!$J$2:$N$354,3,FALSE))</f>
        <v>_</v>
      </c>
      <c r="BZ14" s="44"/>
      <c r="CA14" s="45" t="s">
        <v>16</v>
      </c>
      <c r="CB14" s="46" t="str">
        <f>IF(VLOOKUP(CA14,βοηθητικό!$J$2:$N$354,3,FALSE)="","",VLOOKUP(CA14,βοηθητικό!$J$2:$N$354,3,FALSE))</f>
        <v>_</v>
      </c>
      <c r="CC14" s="47"/>
      <c r="CD14" s="42" t="s">
        <v>16</v>
      </c>
      <c r="CE14" s="43" t="str">
        <f>IF(VLOOKUP(CD14,βοηθητικό!$J$2:$N$354,3,FALSE)="","",VLOOKUP(CD14,βοηθητικό!$J$2:$N$354,3,FALSE))</f>
        <v>_</v>
      </c>
      <c r="CF14" s="44"/>
      <c r="CG14" s="45" t="s">
        <v>16</v>
      </c>
      <c r="CH14" s="46" t="str">
        <f>IF(VLOOKUP(CG14,βοηθητικό!$J$2:$N$354,3,FALSE)="","",VLOOKUP(CG14,βοηθητικό!$J$2:$N$354,3,FALSE))</f>
        <v>_</v>
      </c>
      <c r="CI14" s="47"/>
      <c r="CJ14" s="42" t="s">
        <v>16</v>
      </c>
      <c r="CK14" s="43" t="str">
        <f>IF(VLOOKUP(CJ14,βοηθητικό!$J$2:$N$354,3,FALSE)="","",VLOOKUP(CJ14,βοηθητικό!$J$2:$N$354,3,FALSE))</f>
        <v>_</v>
      </c>
      <c r="CL14" s="44"/>
      <c r="CM14" s="45" t="s">
        <v>16</v>
      </c>
      <c r="CN14" s="46" t="str">
        <f>IF(VLOOKUP(CM14,βοηθητικό!$J$2:$N$354,3,FALSE)="","",VLOOKUP(CM14,βοηθητικό!$J$2:$N$354,3,FALSE))</f>
        <v>_</v>
      </c>
      <c r="CO14" s="47"/>
      <c r="CP14" s="42" t="s">
        <v>16</v>
      </c>
      <c r="CQ14" s="43" t="str">
        <f>IF(VLOOKUP(CP14,βοηθητικό!$J$2:$N$354,3,FALSE)="","",VLOOKUP(CP14,βοηθητικό!$J$2:$N$354,3,FALSE))</f>
        <v>_</v>
      </c>
      <c r="CR14" s="44"/>
      <c r="CS14" s="45" t="s">
        <v>16</v>
      </c>
      <c r="CT14" s="46" t="str">
        <f>IF(VLOOKUP(CS14,βοηθητικό!$J$2:$N$354,3,FALSE)="","",VLOOKUP(CS14,βοηθητικό!$J$2:$N$354,3,FALSE))</f>
        <v>_</v>
      </c>
      <c r="CU14" s="47"/>
    </row>
    <row r="15" spans="1:99" x14ac:dyDescent="0.25">
      <c r="A15" s="37">
        <f>--SUBTOTAL(3,$B$3:B14)</f>
        <v>12</v>
      </c>
      <c r="B15" s="2">
        <v>45025</v>
      </c>
      <c r="C15" s="3">
        <v>45031</v>
      </c>
      <c r="D15" s="55" t="s">
        <v>33</v>
      </c>
      <c r="E15" s="38" t="s">
        <v>16</v>
      </c>
      <c r="F15" s="38" t="s">
        <v>16</v>
      </c>
      <c r="G15" s="39" t="str">
        <f t="shared" si="2"/>
        <v>__</v>
      </c>
      <c r="H15" s="40" t="str">
        <f t="shared" si="3"/>
        <v>FALSE</v>
      </c>
      <c r="I15" s="41">
        <f t="shared" si="4"/>
        <v>14</v>
      </c>
      <c r="J15" s="4" t="s">
        <v>197</v>
      </c>
      <c r="K15" s="43" t="str">
        <f>IF(VLOOKUP(J15,βοηθητικό!$J$2:$N$354,3,FALSE)="","",VLOOKUP(J15,βοηθητικό!$J$2:$N$354,3,FALSE))</f>
        <v>6976681245</v>
      </c>
      <c r="L15" s="44"/>
      <c r="M15" s="5" t="s">
        <v>271</v>
      </c>
      <c r="N15" s="46" t="str">
        <f>IF(VLOOKUP(M15,βοηθητικό!$J$2:$N$354,3,FALSE)="","",VLOOKUP(M15,βοηθητικό!$J$2:$N$354,3,FALSE))</f>
        <v>6944508818</v>
      </c>
      <c r="O15" s="47"/>
      <c r="P15" s="4" t="s">
        <v>345</v>
      </c>
      <c r="Q15" s="43" t="str">
        <f>IF(VLOOKUP(P15,βοηθητικό!$J$2:$N$354,3,FALSE)="","",VLOOKUP(P15,βοηθητικό!$J$2:$N$354,3,FALSE))</f>
        <v>6937733373</v>
      </c>
      <c r="R15" s="44"/>
      <c r="S15" s="5" t="s">
        <v>313</v>
      </c>
      <c r="T15" s="46" t="str">
        <f>IF(VLOOKUP(S15,βοηθητικό!$J$2:$N$354,3,FALSE)="","",VLOOKUP(S15,βοηθητικό!$J$2:$N$354,3,FALSE))</f>
        <v>6947932494</v>
      </c>
      <c r="U15" s="47"/>
      <c r="V15" s="4" t="s">
        <v>170</v>
      </c>
      <c r="W15" s="43" t="str">
        <f>IF(VLOOKUP(V15,βοηθητικό!$J$2:$N$354,3,FALSE)="","",VLOOKUP(V15,βοηθητικό!$J$2:$N$354,3,FALSE))</f>
        <v>6987268386</v>
      </c>
      <c r="X15" s="44"/>
      <c r="Y15" s="5" t="s">
        <v>203</v>
      </c>
      <c r="Z15" s="46" t="str">
        <f>IF(VLOOKUP(Y15,βοηθητικό!$J$2:$N$354,3,FALSE)="","",VLOOKUP(Y15,βοηθητικό!$J$2:$N$354,3,FALSE))</f>
        <v>6984435383</v>
      </c>
      <c r="AA15" s="47"/>
      <c r="AB15" s="4" t="s">
        <v>455</v>
      </c>
      <c r="AC15" s="43" t="str">
        <f>IF(VLOOKUP(AB15,βοηθητικό!$J$2:$N$354,3,FALSE)="","",VLOOKUP(AB15,βοηθητικό!$J$2:$N$354,3,FALSE))</f>
        <v>6974815544</v>
      </c>
      <c r="AD15" s="44"/>
      <c r="AE15" s="5" t="s">
        <v>360</v>
      </c>
      <c r="AF15" s="46" t="str">
        <f>IF(VLOOKUP(AE15,βοηθητικό!$J$2:$N$354,3,FALSE)="","",VLOOKUP(AE15,βοηθητικό!$J$2:$N$354,3,FALSE))</f>
        <v>6973306494</v>
      </c>
      <c r="AG15" s="47"/>
      <c r="AH15" s="4" t="s">
        <v>333</v>
      </c>
      <c r="AI15" s="43" t="str">
        <f>IF(VLOOKUP(AH15,βοηθητικό!$J$2:$N$354,3,FALSE)="","",VLOOKUP(AH15,βοηθητικό!$J$2:$N$354,3,FALSE))</f>
        <v>6948630062</v>
      </c>
      <c r="AJ15" s="44"/>
      <c r="AK15" s="5" t="s">
        <v>277</v>
      </c>
      <c r="AL15" s="46" t="str">
        <f>IF(VLOOKUP(AK15,βοηθητικό!$J$2:$N$354,3,FALSE)="","",VLOOKUP(AK15,βοηθητικό!$J$2:$N$354,3,FALSE))</f>
        <v>6977827750</v>
      </c>
      <c r="AM15" s="47"/>
      <c r="AN15" s="4" t="s">
        <v>288</v>
      </c>
      <c r="AO15" s="43" t="str">
        <f>IF(VLOOKUP(AN15,βοηθητικό!$J$2:$N$354,3,FALSE)="","",VLOOKUP(AN15,βοηθητικό!$J$2:$N$354,3,FALSE))</f>
        <v>6936783135</v>
      </c>
      <c r="AP15" s="44"/>
      <c r="AQ15" s="5" t="s">
        <v>295</v>
      </c>
      <c r="AR15" s="46" t="str">
        <f>IF(VLOOKUP(AQ15,βοηθητικό!$J$2:$N$354,3,FALSE)="","",VLOOKUP(AQ15,βοηθητικό!$J$2:$N$354,3,FALSE))</f>
        <v>6945415670</v>
      </c>
      <c r="AS15" s="47"/>
      <c r="AT15" s="4" t="s">
        <v>365</v>
      </c>
      <c r="AU15" s="43" t="str">
        <f>IF(VLOOKUP(AT15,βοηθητικό!$J$2:$N$354,3,FALSE)="","",VLOOKUP(AT15,βοηθητικό!$J$2:$N$354,3,FALSE))</f>
        <v>6908725909</v>
      </c>
      <c r="AV15" s="44"/>
      <c r="AW15" s="5" t="s">
        <v>463</v>
      </c>
      <c r="AX15" s="46" t="str">
        <f>IF(VLOOKUP(AW15,βοηθητικό!$J$2:$N$354,3,FALSE)="","",VLOOKUP(AW15,βοηθητικό!$J$2:$N$354,3,FALSE))</f>
        <v>6957171149</v>
      </c>
      <c r="AY15" s="47"/>
      <c r="AZ15" s="4" t="s">
        <v>16</v>
      </c>
      <c r="BA15" s="43" t="str">
        <f>IF(VLOOKUP(AZ15,βοηθητικό!$J$2:$N$354,3,FALSE)="","",VLOOKUP(AZ15,βοηθητικό!$J$2:$N$354,3,FALSE))</f>
        <v>_</v>
      </c>
      <c r="BB15" s="44"/>
      <c r="BC15" s="45" t="s">
        <v>16</v>
      </c>
      <c r="BD15" s="46" t="str">
        <f>IF(VLOOKUP(BC15,βοηθητικό!$J$2:$N$354,3,FALSE)="","",VLOOKUP(BC15,βοηθητικό!$J$2:$N$354,3,FALSE))</f>
        <v>_</v>
      </c>
      <c r="BE15" s="47"/>
      <c r="BF15" s="42" t="s">
        <v>16</v>
      </c>
      <c r="BG15" s="43" t="str">
        <f>IF(VLOOKUP(BF15,βοηθητικό!$J$2:$N$354,3,FALSE)="","",VLOOKUP(BF15,βοηθητικό!$J$2:$N$354,3,FALSE))</f>
        <v>_</v>
      </c>
      <c r="BH15" s="44"/>
      <c r="BI15" s="45" t="s">
        <v>16</v>
      </c>
      <c r="BJ15" s="46" t="str">
        <f>IF(VLOOKUP(BI15,βοηθητικό!$J$2:$N$354,3,FALSE)="","",VLOOKUP(BI15,βοηθητικό!$J$2:$N$354,3,FALSE))</f>
        <v>_</v>
      </c>
      <c r="BK15" s="47"/>
      <c r="BL15" s="42" t="s">
        <v>16</v>
      </c>
      <c r="BM15" s="43" t="str">
        <f>IF(VLOOKUP(BL15,βοηθητικό!$J$2:$N$354,3,FALSE)="","",VLOOKUP(BL15,βοηθητικό!$J$2:$N$354,3,FALSE))</f>
        <v>_</v>
      </c>
      <c r="BN15" s="44"/>
      <c r="BO15" s="45" t="s">
        <v>16</v>
      </c>
      <c r="BP15" s="46" t="str">
        <f>IF(VLOOKUP(BO15,βοηθητικό!$J$2:$N$354,3,FALSE)="","",VLOOKUP(BO15,βοηθητικό!$J$2:$N$354,3,FALSE))</f>
        <v>_</v>
      </c>
      <c r="BQ15" s="47"/>
      <c r="BR15" s="42" t="s">
        <v>16</v>
      </c>
      <c r="BS15" s="43" t="str">
        <f>IF(VLOOKUP(BR15,βοηθητικό!$J$2:$N$354,3,FALSE)="","",VLOOKUP(BR15,βοηθητικό!$J$2:$N$354,3,FALSE))</f>
        <v>_</v>
      </c>
      <c r="BT15" s="44"/>
      <c r="BU15" s="45" t="s">
        <v>16</v>
      </c>
      <c r="BV15" s="46" t="str">
        <f>IF(VLOOKUP(BU15,βοηθητικό!$J$2:$N$354,3,FALSE)="","",VLOOKUP(BU15,βοηθητικό!$J$2:$N$354,3,FALSE))</f>
        <v>_</v>
      </c>
      <c r="BW15" s="47"/>
      <c r="BX15" s="42" t="s">
        <v>16</v>
      </c>
      <c r="BY15" s="43" t="str">
        <f>IF(VLOOKUP(BX15,βοηθητικό!$J$2:$N$354,3,FALSE)="","",VLOOKUP(BX15,βοηθητικό!$J$2:$N$354,3,FALSE))</f>
        <v>_</v>
      </c>
      <c r="BZ15" s="44"/>
      <c r="CA15" s="45" t="s">
        <v>16</v>
      </c>
      <c r="CB15" s="46" t="str">
        <f>IF(VLOOKUP(CA15,βοηθητικό!$J$2:$N$354,3,FALSE)="","",VLOOKUP(CA15,βοηθητικό!$J$2:$N$354,3,FALSE))</f>
        <v>_</v>
      </c>
      <c r="CC15" s="47"/>
      <c r="CD15" s="42" t="s">
        <v>16</v>
      </c>
      <c r="CE15" s="43" t="str">
        <f>IF(VLOOKUP(CD15,βοηθητικό!$J$2:$N$354,3,FALSE)="","",VLOOKUP(CD15,βοηθητικό!$J$2:$N$354,3,FALSE))</f>
        <v>_</v>
      </c>
      <c r="CF15" s="44"/>
      <c r="CG15" s="45" t="s">
        <v>16</v>
      </c>
      <c r="CH15" s="46" t="str">
        <f>IF(VLOOKUP(CG15,βοηθητικό!$J$2:$N$354,3,FALSE)="","",VLOOKUP(CG15,βοηθητικό!$J$2:$N$354,3,FALSE))</f>
        <v>_</v>
      </c>
      <c r="CI15" s="47"/>
      <c r="CJ15" s="42" t="s">
        <v>16</v>
      </c>
      <c r="CK15" s="43" t="str">
        <f>IF(VLOOKUP(CJ15,βοηθητικό!$J$2:$N$354,3,FALSE)="","",VLOOKUP(CJ15,βοηθητικό!$J$2:$N$354,3,FALSE))</f>
        <v>_</v>
      </c>
      <c r="CL15" s="44"/>
      <c r="CM15" s="45" t="s">
        <v>16</v>
      </c>
      <c r="CN15" s="46" t="str">
        <f>IF(VLOOKUP(CM15,βοηθητικό!$J$2:$N$354,3,FALSE)="","",VLOOKUP(CM15,βοηθητικό!$J$2:$N$354,3,FALSE))</f>
        <v>_</v>
      </c>
      <c r="CO15" s="47"/>
      <c r="CP15" s="42" t="s">
        <v>16</v>
      </c>
      <c r="CQ15" s="43" t="str">
        <f>IF(VLOOKUP(CP15,βοηθητικό!$J$2:$N$354,3,FALSE)="","",VLOOKUP(CP15,βοηθητικό!$J$2:$N$354,3,FALSE))</f>
        <v>_</v>
      </c>
      <c r="CR15" s="44"/>
      <c r="CS15" s="45" t="s">
        <v>16</v>
      </c>
      <c r="CT15" s="46" t="str">
        <f>IF(VLOOKUP(CS15,βοηθητικό!$J$2:$N$354,3,FALSE)="","",VLOOKUP(CS15,βοηθητικό!$J$2:$N$354,3,FALSE))</f>
        <v>_</v>
      </c>
      <c r="CU15" s="47"/>
    </row>
    <row r="16" spans="1:99" x14ac:dyDescent="0.25">
      <c r="A16" s="37">
        <f>--SUBTOTAL(3,$B$3:B15)</f>
        <v>13</v>
      </c>
      <c r="B16" s="2">
        <v>45032</v>
      </c>
      <c r="C16" s="3">
        <v>45038</v>
      </c>
      <c r="D16" s="55" t="s">
        <v>64</v>
      </c>
      <c r="E16" s="38" t="s">
        <v>16</v>
      </c>
      <c r="F16" s="38" t="s">
        <v>16</v>
      </c>
      <c r="G16" s="39" t="str">
        <f t="shared" si="2"/>
        <v>__</v>
      </c>
      <c r="H16" s="40" t="str">
        <f t="shared" si="3"/>
        <v>FALSE</v>
      </c>
      <c r="I16" s="41">
        <f t="shared" si="4"/>
        <v>6</v>
      </c>
      <c r="J16" s="4" t="s">
        <v>1267</v>
      </c>
      <c r="K16" s="43">
        <f>IF(VLOOKUP(J16,βοηθητικό!$J$2:$N$354,3,FALSE)="","",VLOOKUP(J16,βοηθητικό!$J$2:$N$354,3,FALSE))</f>
        <v>6978300669</v>
      </c>
      <c r="L16" s="44"/>
      <c r="M16" s="5" t="s">
        <v>612</v>
      </c>
      <c r="N16" s="46" t="str">
        <f>IF(VLOOKUP(M16,βοηθητικό!$J$2:$N$354,3,FALSE)="","",VLOOKUP(M16,βοηθητικό!$J$2:$N$354,3,FALSE))</f>
        <v>6998911942 6994433516</v>
      </c>
      <c r="O16" s="47"/>
      <c r="P16" s="4" t="s">
        <v>663</v>
      </c>
      <c r="Q16" s="43" t="str">
        <f>IF(VLOOKUP(P16,βοηθητικό!$J$2:$N$354,3,FALSE)="","",VLOOKUP(P16,βοηθητικό!$J$2:$N$354,3,FALSE))</f>
        <v>6972105023</v>
      </c>
      <c r="R16" s="44"/>
      <c r="S16" s="5" t="s">
        <v>669</v>
      </c>
      <c r="T16" s="46" t="str">
        <f>IF(VLOOKUP(S16,βοηθητικό!$J$2:$N$354,3,FALSE)="","",VLOOKUP(S16,βοηθητικό!$J$2:$N$354,3,FALSE))</f>
        <v>6976005555</v>
      </c>
      <c r="U16" s="47"/>
      <c r="V16" s="4" t="s">
        <v>693</v>
      </c>
      <c r="W16" s="43">
        <f>IF(VLOOKUP(V16,βοηθητικό!$J$2:$N$354,3,FALSE)="","",VLOOKUP(V16,βοηθητικό!$J$2:$N$354,3,FALSE))</f>
        <v>6947551606</v>
      </c>
      <c r="X16" s="44"/>
      <c r="Y16" s="5" t="s">
        <v>703</v>
      </c>
      <c r="Z16" s="46" t="str">
        <f>IF(VLOOKUP(Y16,βοηθητικό!$J$2:$N$354,3,FALSE)="","",VLOOKUP(Y16,βοηθητικό!$J$2:$N$354,3,FALSE))</f>
        <v>6971603158</v>
      </c>
      <c r="AA16" s="47"/>
      <c r="AB16" s="4" t="s">
        <v>16</v>
      </c>
      <c r="AC16" s="43" t="str">
        <f>IF(VLOOKUP(AB16,βοηθητικό!$J$2:$N$354,3,FALSE)="","",VLOOKUP(AB16,βοηθητικό!$J$2:$N$354,3,FALSE))</f>
        <v>_</v>
      </c>
      <c r="AD16" s="44"/>
      <c r="AE16" s="5" t="s">
        <v>16</v>
      </c>
      <c r="AF16" s="46" t="str">
        <f>IF(VLOOKUP(AE16,βοηθητικό!$J$2:$N$354,3,FALSE)="","",VLOOKUP(AE16,βοηθητικό!$J$2:$N$354,3,FALSE))</f>
        <v>_</v>
      </c>
      <c r="AG16" s="47"/>
      <c r="AH16" s="4" t="s">
        <v>16</v>
      </c>
      <c r="AI16" s="43" t="str">
        <f>IF(VLOOKUP(AH16,βοηθητικό!$J$2:$N$354,3,FALSE)="","",VLOOKUP(AH16,βοηθητικό!$J$2:$N$354,3,FALSE))</f>
        <v>_</v>
      </c>
      <c r="AJ16" s="44"/>
      <c r="AK16" s="5" t="s">
        <v>16</v>
      </c>
      <c r="AL16" s="46" t="str">
        <f>IF(VLOOKUP(AK16,βοηθητικό!$J$2:$N$354,3,FALSE)="","",VLOOKUP(AK16,βοηθητικό!$J$2:$N$354,3,FALSE))</f>
        <v>_</v>
      </c>
      <c r="AM16" s="47"/>
      <c r="AN16" s="4" t="s">
        <v>16</v>
      </c>
      <c r="AO16" s="43" t="str">
        <f>IF(VLOOKUP(AN16,βοηθητικό!$J$2:$N$354,3,FALSE)="","",VLOOKUP(AN16,βοηθητικό!$J$2:$N$354,3,FALSE))</f>
        <v>_</v>
      </c>
      <c r="AP16" s="44"/>
      <c r="AQ16" s="5" t="s">
        <v>16</v>
      </c>
      <c r="AR16" s="46" t="str">
        <f>IF(VLOOKUP(AQ16,βοηθητικό!$J$2:$N$354,3,FALSE)="","",VLOOKUP(AQ16,βοηθητικό!$J$2:$N$354,3,FALSE))</f>
        <v>_</v>
      </c>
      <c r="AS16" s="47"/>
      <c r="AT16" s="4" t="s">
        <v>16</v>
      </c>
      <c r="AU16" s="43" t="str">
        <f>IF(VLOOKUP(AT16,βοηθητικό!$J$2:$N$354,3,FALSE)="","",VLOOKUP(AT16,βοηθητικό!$J$2:$N$354,3,FALSE))</f>
        <v>_</v>
      </c>
      <c r="AV16" s="44"/>
      <c r="AW16" s="5" t="s">
        <v>16</v>
      </c>
      <c r="AX16" s="46" t="str">
        <f>IF(VLOOKUP(AW16,βοηθητικό!$J$2:$N$354,3,FALSE)="","",VLOOKUP(AW16,βοηθητικό!$J$2:$N$354,3,FALSE))</f>
        <v>_</v>
      </c>
      <c r="AY16" s="47"/>
      <c r="AZ16" s="4" t="s">
        <v>16</v>
      </c>
      <c r="BA16" s="43" t="str">
        <f>IF(VLOOKUP(AZ16,βοηθητικό!$J$2:$N$354,3,FALSE)="","",VLOOKUP(AZ16,βοηθητικό!$J$2:$N$354,3,FALSE))</f>
        <v>_</v>
      </c>
      <c r="BB16" s="44"/>
      <c r="BC16" s="45" t="s">
        <v>16</v>
      </c>
      <c r="BD16" s="46" t="str">
        <f>IF(VLOOKUP(BC16,βοηθητικό!$J$2:$N$354,3,FALSE)="","",VLOOKUP(BC16,βοηθητικό!$J$2:$N$354,3,FALSE))</f>
        <v>_</v>
      </c>
      <c r="BE16" s="47"/>
      <c r="BF16" s="42" t="s">
        <v>16</v>
      </c>
      <c r="BG16" s="43" t="str">
        <f>IF(VLOOKUP(BF16,βοηθητικό!$J$2:$N$354,3,FALSE)="","",VLOOKUP(BF16,βοηθητικό!$J$2:$N$354,3,FALSE))</f>
        <v>_</v>
      </c>
      <c r="BH16" s="44"/>
      <c r="BI16" s="45" t="s">
        <v>16</v>
      </c>
      <c r="BJ16" s="46" t="str">
        <f>IF(VLOOKUP(BI16,βοηθητικό!$J$2:$N$354,3,FALSE)="","",VLOOKUP(BI16,βοηθητικό!$J$2:$N$354,3,FALSE))</f>
        <v>_</v>
      </c>
      <c r="BK16" s="47"/>
      <c r="BL16" s="42" t="s">
        <v>16</v>
      </c>
      <c r="BM16" s="43" t="str">
        <f>IF(VLOOKUP(BL16,βοηθητικό!$J$2:$N$354,3,FALSE)="","",VLOOKUP(BL16,βοηθητικό!$J$2:$N$354,3,FALSE))</f>
        <v>_</v>
      </c>
      <c r="BN16" s="44"/>
      <c r="BO16" s="45" t="s">
        <v>16</v>
      </c>
      <c r="BP16" s="46" t="str">
        <f>IF(VLOOKUP(BO16,βοηθητικό!$J$2:$N$354,3,FALSE)="","",VLOOKUP(BO16,βοηθητικό!$J$2:$N$354,3,FALSE))</f>
        <v>_</v>
      </c>
      <c r="BQ16" s="47"/>
      <c r="BR16" s="42" t="s">
        <v>16</v>
      </c>
      <c r="BS16" s="43" t="str">
        <f>IF(VLOOKUP(BR16,βοηθητικό!$J$2:$N$354,3,FALSE)="","",VLOOKUP(BR16,βοηθητικό!$J$2:$N$354,3,FALSE))</f>
        <v>_</v>
      </c>
      <c r="BT16" s="44"/>
      <c r="BU16" s="45" t="s">
        <v>16</v>
      </c>
      <c r="BV16" s="46" t="str">
        <f>IF(VLOOKUP(BU16,βοηθητικό!$J$2:$N$354,3,FALSE)="","",VLOOKUP(BU16,βοηθητικό!$J$2:$N$354,3,FALSE))</f>
        <v>_</v>
      </c>
      <c r="BW16" s="47"/>
      <c r="BX16" s="42" t="s">
        <v>16</v>
      </c>
      <c r="BY16" s="43" t="str">
        <f>IF(VLOOKUP(BX16,βοηθητικό!$J$2:$N$354,3,FALSE)="","",VLOOKUP(BX16,βοηθητικό!$J$2:$N$354,3,FALSE))</f>
        <v>_</v>
      </c>
      <c r="BZ16" s="44"/>
      <c r="CA16" s="45" t="s">
        <v>16</v>
      </c>
      <c r="CB16" s="46" t="str">
        <f>IF(VLOOKUP(CA16,βοηθητικό!$J$2:$N$354,3,FALSE)="","",VLOOKUP(CA16,βοηθητικό!$J$2:$N$354,3,FALSE))</f>
        <v>_</v>
      </c>
      <c r="CC16" s="47"/>
      <c r="CD16" s="42" t="s">
        <v>16</v>
      </c>
      <c r="CE16" s="43" t="str">
        <f>IF(VLOOKUP(CD16,βοηθητικό!$J$2:$N$354,3,FALSE)="","",VLOOKUP(CD16,βοηθητικό!$J$2:$N$354,3,FALSE))</f>
        <v>_</v>
      </c>
      <c r="CF16" s="44"/>
      <c r="CG16" s="45" t="s">
        <v>16</v>
      </c>
      <c r="CH16" s="46" t="str">
        <f>IF(VLOOKUP(CG16,βοηθητικό!$J$2:$N$354,3,FALSE)="","",VLOOKUP(CG16,βοηθητικό!$J$2:$N$354,3,FALSE))</f>
        <v>_</v>
      </c>
      <c r="CI16" s="47"/>
      <c r="CJ16" s="42" t="s">
        <v>16</v>
      </c>
      <c r="CK16" s="43" t="str">
        <f>IF(VLOOKUP(CJ16,βοηθητικό!$J$2:$N$354,3,FALSE)="","",VLOOKUP(CJ16,βοηθητικό!$J$2:$N$354,3,FALSE))</f>
        <v>_</v>
      </c>
      <c r="CL16" s="44"/>
      <c r="CM16" s="45" t="s">
        <v>16</v>
      </c>
      <c r="CN16" s="46" t="str">
        <f>IF(VLOOKUP(CM16,βοηθητικό!$J$2:$N$354,3,FALSE)="","",VLOOKUP(CM16,βοηθητικό!$J$2:$N$354,3,FALSE))</f>
        <v>_</v>
      </c>
      <c r="CO16" s="47"/>
      <c r="CP16" s="42" t="s">
        <v>16</v>
      </c>
      <c r="CQ16" s="43" t="str">
        <f>IF(VLOOKUP(CP16,βοηθητικό!$J$2:$N$354,3,FALSE)="","",VLOOKUP(CP16,βοηθητικό!$J$2:$N$354,3,FALSE))</f>
        <v>_</v>
      </c>
      <c r="CR16" s="44"/>
      <c r="CS16" s="45" t="s">
        <v>16</v>
      </c>
      <c r="CT16" s="46" t="str">
        <f>IF(VLOOKUP(CS16,βοηθητικό!$J$2:$N$354,3,FALSE)="","",VLOOKUP(CS16,βοηθητικό!$J$2:$N$354,3,FALSE))</f>
        <v>_</v>
      </c>
      <c r="CU16" s="47"/>
    </row>
    <row r="17" spans="1:99" x14ac:dyDescent="0.25">
      <c r="A17" s="37">
        <f>--SUBTOTAL(3,$B$3:B16)</f>
        <v>14</v>
      </c>
      <c r="B17" s="2">
        <v>45032</v>
      </c>
      <c r="C17" s="3">
        <v>45038</v>
      </c>
      <c r="D17" s="55" t="s">
        <v>74</v>
      </c>
      <c r="E17" s="38" t="s">
        <v>16</v>
      </c>
      <c r="F17" s="38" t="s">
        <v>16</v>
      </c>
      <c r="G17" s="39" t="str">
        <f t="shared" si="2"/>
        <v>__</v>
      </c>
      <c r="H17" s="40" t="str">
        <f t="shared" si="3"/>
        <v>FALSE</v>
      </c>
      <c r="I17" s="41">
        <f t="shared" si="4"/>
        <v>6</v>
      </c>
      <c r="J17" s="4" t="s">
        <v>756</v>
      </c>
      <c r="K17" s="43">
        <f>IF(VLOOKUP(J17,βοηθητικό!$J$2:$N$354,3,FALSE)="","",VLOOKUP(J17,βοηθητικό!$J$2:$N$354,3,FALSE))</f>
        <v>6970113758</v>
      </c>
      <c r="L17" s="44"/>
      <c r="M17" s="5" t="s">
        <v>778</v>
      </c>
      <c r="N17" s="46" t="str">
        <f>IF(VLOOKUP(M17,βοηθητικό!$J$2:$N$354,3,FALSE)="","",VLOOKUP(M17,βοηθητικό!$J$2:$N$354,3,FALSE))</f>
        <v>6948465629</v>
      </c>
      <c r="O17" s="47"/>
      <c r="P17" s="4" t="s">
        <v>794</v>
      </c>
      <c r="Q17" s="43" t="str">
        <f>IF(VLOOKUP(P17,βοηθητικό!$J$2:$N$354,3,FALSE)="","",VLOOKUP(P17,βοηθητικό!$J$2:$N$354,3,FALSE))</f>
        <v>6983483104</v>
      </c>
      <c r="R17" s="44"/>
      <c r="S17" s="5" t="s">
        <v>799</v>
      </c>
      <c r="T17" s="46" t="str">
        <f>IF(VLOOKUP(S17,βοηθητικό!$J$2:$N$354,3,FALSE)="","",VLOOKUP(S17,βοηθητικό!$J$2:$N$354,3,FALSE))</f>
        <v>6937776358</v>
      </c>
      <c r="U17" s="47"/>
      <c r="V17" s="4" t="s">
        <v>832</v>
      </c>
      <c r="W17" s="43" t="str">
        <f>IF(VLOOKUP(V17,βοηθητικό!$J$2:$N$354,3,FALSE)="","",VLOOKUP(V17,βοηθητικό!$J$2:$N$354,3,FALSE))</f>
        <v>6945400547</v>
      </c>
      <c r="X17" s="44"/>
      <c r="Y17" s="5" t="s">
        <v>835</v>
      </c>
      <c r="Z17" s="46">
        <f>IF(VLOOKUP(Y17,βοηθητικό!$J$2:$N$354,3,FALSE)="","",VLOOKUP(Y17,βοηθητικό!$J$2:$N$354,3,FALSE))</f>
        <v>6972150340</v>
      </c>
      <c r="AA17" s="47"/>
      <c r="AB17" s="4" t="s">
        <v>16</v>
      </c>
      <c r="AC17" s="43" t="str">
        <f>IF(VLOOKUP(AB17,βοηθητικό!$J$2:$N$354,3,FALSE)="","",VLOOKUP(AB17,βοηθητικό!$J$2:$N$354,3,FALSE))</f>
        <v>_</v>
      </c>
      <c r="AD17" s="44"/>
      <c r="AE17" s="5" t="s">
        <v>16</v>
      </c>
      <c r="AF17" s="46" t="str">
        <f>IF(VLOOKUP(AE17,βοηθητικό!$J$2:$N$354,3,FALSE)="","",VLOOKUP(AE17,βοηθητικό!$J$2:$N$354,3,FALSE))</f>
        <v>_</v>
      </c>
      <c r="AG17" s="47"/>
      <c r="AH17" s="4" t="s">
        <v>16</v>
      </c>
      <c r="AI17" s="43" t="str">
        <f>IF(VLOOKUP(AH17,βοηθητικό!$J$2:$N$354,3,FALSE)="","",VLOOKUP(AH17,βοηθητικό!$J$2:$N$354,3,FALSE))</f>
        <v>_</v>
      </c>
      <c r="AJ17" s="44"/>
      <c r="AK17" s="5" t="s">
        <v>16</v>
      </c>
      <c r="AL17" s="46" t="str">
        <f>IF(VLOOKUP(AK17,βοηθητικό!$J$2:$N$354,3,FALSE)="","",VLOOKUP(AK17,βοηθητικό!$J$2:$N$354,3,FALSE))</f>
        <v>_</v>
      </c>
      <c r="AM17" s="47"/>
      <c r="AN17" s="4" t="s">
        <v>16</v>
      </c>
      <c r="AO17" s="43" t="str">
        <f>IF(VLOOKUP(AN17,βοηθητικό!$J$2:$N$354,3,FALSE)="","",VLOOKUP(AN17,βοηθητικό!$J$2:$N$354,3,FALSE))</f>
        <v>_</v>
      </c>
      <c r="AP17" s="44"/>
      <c r="AQ17" s="5" t="s">
        <v>16</v>
      </c>
      <c r="AR17" s="46" t="str">
        <f>IF(VLOOKUP(AQ17,βοηθητικό!$J$2:$N$354,3,FALSE)="","",VLOOKUP(AQ17,βοηθητικό!$J$2:$N$354,3,FALSE))</f>
        <v>_</v>
      </c>
      <c r="AS17" s="47"/>
      <c r="AT17" s="4" t="s">
        <v>16</v>
      </c>
      <c r="AU17" s="43" t="str">
        <f>IF(VLOOKUP(AT17,βοηθητικό!$J$2:$N$354,3,FALSE)="","",VLOOKUP(AT17,βοηθητικό!$J$2:$N$354,3,FALSE))</f>
        <v>_</v>
      </c>
      <c r="AV17" s="44"/>
      <c r="AW17" s="5" t="s">
        <v>16</v>
      </c>
      <c r="AX17" s="46" t="str">
        <f>IF(VLOOKUP(AW17,βοηθητικό!$J$2:$N$354,3,FALSE)="","",VLOOKUP(AW17,βοηθητικό!$J$2:$N$354,3,FALSE))</f>
        <v>_</v>
      </c>
      <c r="AY17" s="47"/>
      <c r="AZ17" s="4" t="s">
        <v>16</v>
      </c>
      <c r="BA17" s="43" t="str">
        <f>IF(VLOOKUP(AZ17,βοηθητικό!$J$2:$N$354,3,FALSE)="","",VLOOKUP(AZ17,βοηθητικό!$J$2:$N$354,3,FALSE))</f>
        <v>_</v>
      </c>
      <c r="BB17" s="44"/>
      <c r="BC17" s="45" t="s">
        <v>16</v>
      </c>
      <c r="BD17" s="46" t="str">
        <f>IF(VLOOKUP(BC17,βοηθητικό!$J$2:$N$354,3,FALSE)="","",VLOOKUP(BC17,βοηθητικό!$J$2:$N$354,3,FALSE))</f>
        <v>_</v>
      </c>
      <c r="BE17" s="47"/>
      <c r="BF17" s="42" t="s">
        <v>16</v>
      </c>
      <c r="BG17" s="43" t="str">
        <f>IF(VLOOKUP(BF17,βοηθητικό!$J$2:$N$354,3,FALSE)="","",VLOOKUP(BF17,βοηθητικό!$J$2:$N$354,3,FALSE))</f>
        <v>_</v>
      </c>
      <c r="BH17" s="44"/>
      <c r="BI17" s="45" t="s">
        <v>16</v>
      </c>
      <c r="BJ17" s="46" t="str">
        <f>IF(VLOOKUP(BI17,βοηθητικό!$J$2:$N$354,3,FALSE)="","",VLOOKUP(BI17,βοηθητικό!$J$2:$N$354,3,FALSE))</f>
        <v>_</v>
      </c>
      <c r="BK17" s="47"/>
      <c r="BL17" s="42" t="s">
        <v>16</v>
      </c>
      <c r="BM17" s="43" t="str">
        <f>IF(VLOOKUP(BL17,βοηθητικό!$J$2:$N$354,3,FALSE)="","",VLOOKUP(BL17,βοηθητικό!$J$2:$N$354,3,FALSE))</f>
        <v>_</v>
      </c>
      <c r="BN17" s="44"/>
      <c r="BO17" s="45" t="s">
        <v>16</v>
      </c>
      <c r="BP17" s="46" t="str">
        <f>IF(VLOOKUP(BO17,βοηθητικό!$J$2:$N$354,3,FALSE)="","",VLOOKUP(BO17,βοηθητικό!$J$2:$N$354,3,FALSE))</f>
        <v>_</v>
      </c>
      <c r="BQ17" s="47"/>
      <c r="BR17" s="42" t="s">
        <v>16</v>
      </c>
      <c r="BS17" s="43" t="str">
        <f>IF(VLOOKUP(BR17,βοηθητικό!$J$2:$N$354,3,FALSE)="","",VLOOKUP(BR17,βοηθητικό!$J$2:$N$354,3,FALSE))</f>
        <v>_</v>
      </c>
      <c r="BT17" s="44"/>
      <c r="BU17" s="45" t="s">
        <v>16</v>
      </c>
      <c r="BV17" s="46" t="str">
        <f>IF(VLOOKUP(BU17,βοηθητικό!$J$2:$N$354,3,FALSE)="","",VLOOKUP(BU17,βοηθητικό!$J$2:$N$354,3,FALSE))</f>
        <v>_</v>
      </c>
      <c r="BW17" s="47"/>
      <c r="BX17" s="42" t="s">
        <v>16</v>
      </c>
      <c r="BY17" s="43" t="str">
        <f>IF(VLOOKUP(BX17,βοηθητικό!$J$2:$N$354,3,FALSE)="","",VLOOKUP(BX17,βοηθητικό!$J$2:$N$354,3,FALSE))</f>
        <v>_</v>
      </c>
      <c r="BZ17" s="44"/>
      <c r="CA17" s="45" t="s">
        <v>16</v>
      </c>
      <c r="CB17" s="46" t="str">
        <f>IF(VLOOKUP(CA17,βοηθητικό!$J$2:$N$354,3,FALSE)="","",VLOOKUP(CA17,βοηθητικό!$J$2:$N$354,3,FALSE))</f>
        <v>_</v>
      </c>
      <c r="CC17" s="47"/>
      <c r="CD17" s="42" t="s">
        <v>16</v>
      </c>
      <c r="CE17" s="43" t="str">
        <f>IF(VLOOKUP(CD17,βοηθητικό!$J$2:$N$354,3,FALSE)="","",VLOOKUP(CD17,βοηθητικό!$J$2:$N$354,3,FALSE))</f>
        <v>_</v>
      </c>
      <c r="CF17" s="44"/>
      <c r="CG17" s="45" t="s">
        <v>16</v>
      </c>
      <c r="CH17" s="46" t="str">
        <f>IF(VLOOKUP(CG17,βοηθητικό!$J$2:$N$354,3,FALSE)="","",VLOOKUP(CG17,βοηθητικό!$J$2:$N$354,3,FALSE))</f>
        <v>_</v>
      </c>
      <c r="CI17" s="47"/>
      <c r="CJ17" s="42" t="s">
        <v>16</v>
      </c>
      <c r="CK17" s="43" t="str">
        <f>IF(VLOOKUP(CJ17,βοηθητικό!$J$2:$N$354,3,FALSE)="","",VLOOKUP(CJ17,βοηθητικό!$J$2:$N$354,3,FALSE))</f>
        <v>_</v>
      </c>
      <c r="CL17" s="44"/>
      <c r="CM17" s="45" t="s">
        <v>16</v>
      </c>
      <c r="CN17" s="46" t="str">
        <f>IF(VLOOKUP(CM17,βοηθητικό!$J$2:$N$354,3,FALSE)="","",VLOOKUP(CM17,βοηθητικό!$J$2:$N$354,3,FALSE))</f>
        <v>_</v>
      </c>
      <c r="CO17" s="47"/>
      <c r="CP17" s="42" t="s">
        <v>16</v>
      </c>
      <c r="CQ17" s="43" t="str">
        <f>IF(VLOOKUP(CP17,βοηθητικό!$J$2:$N$354,3,FALSE)="","",VLOOKUP(CP17,βοηθητικό!$J$2:$N$354,3,FALSE))</f>
        <v>_</v>
      </c>
      <c r="CR17" s="44"/>
      <c r="CS17" s="45" t="s">
        <v>16</v>
      </c>
      <c r="CT17" s="46" t="str">
        <f>IF(VLOOKUP(CS17,βοηθητικό!$J$2:$N$354,3,FALSE)="","",VLOOKUP(CS17,βοηθητικό!$J$2:$N$354,3,FALSE))</f>
        <v>_</v>
      </c>
      <c r="CU17" s="47"/>
    </row>
    <row r="18" spans="1:99" x14ac:dyDescent="0.25">
      <c r="A18" s="37">
        <f>--SUBTOTAL(3,$B$3:B17)</f>
        <v>15</v>
      </c>
      <c r="B18" s="2">
        <v>45032</v>
      </c>
      <c r="C18" s="3">
        <v>45038</v>
      </c>
      <c r="D18" s="55" t="s">
        <v>83</v>
      </c>
      <c r="E18" s="38" t="s">
        <v>16</v>
      </c>
      <c r="F18" s="38" t="s">
        <v>16</v>
      </c>
      <c r="G18" s="39" t="str">
        <f t="shared" si="2"/>
        <v>__</v>
      </c>
      <c r="H18" s="40" t="str">
        <f t="shared" si="3"/>
        <v>FALSE</v>
      </c>
      <c r="I18" s="41">
        <f t="shared" si="4"/>
        <v>5</v>
      </c>
      <c r="J18" s="4" t="s">
        <v>880</v>
      </c>
      <c r="K18" s="43" t="str">
        <f>IF(VLOOKUP(J18,βοηθητικό!$J$2:$N$354,3,FALSE)="","",VLOOKUP(J18,βοηθητικό!$J$2:$N$354,3,FALSE))</f>
        <v>6976657104</v>
      </c>
      <c r="L18" s="44"/>
      <c r="M18" s="5" t="s">
        <v>903</v>
      </c>
      <c r="N18" s="46" t="str">
        <f>IF(VLOOKUP(M18,βοηθητικό!$J$2:$N$354,3,FALSE)="","",VLOOKUP(M18,βοηθητικό!$J$2:$N$354,3,FALSE))</f>
        <v>6934973849</v>
      </c>
      <c r="O18" s="47"/>
      <c r="P18" s="4" t="s">
        <v>915</v>
      </c>
      <c r="Q18" s="43" t="str">
        <f>IF(VLOOKUP(P18,βοηθητικό!$J$2:$N$354,3,FALSE)="","",VLOOKUP(P18,βοηθητικό!$J$2:$N$354,3,FALSE))</f>
        <v>6977293089</v>
      </c>
      <c r="R18" s="44"/>
      <c r="S18" s="5" t="s">
        <v>900</v>
      </c>
      <c r="T18" s="46" t="str">
        <f>IF(VLOOKUP(S18,βοηθητικό!$J$2:$N$354,3,FALSE)="","",VLOOKUP(S18,βοηθητικό!$J$2:$N$354,3,FALSE))</f>
        <v>_</v>
      </c>
      <c r="U18" s="47"/>
      <c r="V18" s="4" t="s">
        <v>907</v>
      </c>
      <c r="W18" s="43" t="str">
        <f>IF(VLOOKUP(V18,βοηθητικό!$J$2:$N$354,3,FALSE)="","",VLOOKUP(V18,βοηθητικό!$J$2:$N$354,3,FALSE))</f>
        <v>6974321817</v>
      </c>
      <c r="X18" s="44"/>
      <c r="Y18" s="5" t="s">
        <v>16</v>
      </c>
      <c r="Z18" s="46" t="str">
        <f>IF(VLOOKUP(Y18,βοηθητικό!$J$2:$N$354,3,FALSE)="","",VLOOKUP(Y18,βοηθητικό!$J$2:$N$354,3,FALSE))</f>
        <v>_</v>
      </c>
      <c r="AA18" s="47"/>
      <c r="AB18" s="4" t="s">
        <v>16</v>
      </c>
      <c r="AC18" s="43" t="str">
        <f>IF(VLOOKUP(AB18,βοηθητικό!$J$2:$N$354,3,FALSE)="","",VLOOKUP(AB18,βοηθητικό!$J$2:$N$354,3,FALSE))</f>
        <v>_</v>
      </c>
      <c r="AD18" s="44"/>
      <c r="AE18" s="5" t="s">
        <v>16</v>
      </c>
      <c r="AF18" s="46" t="str">
        <f>IF(VLOOKUP(AE18,βοηθητικό!$J$2:$N$354,3,FALSE)="","",VLOOKUP(AE18,βοηθητικό!$J$2:$N$354,3,FALSE))</f>
        <v>_</v>
      </c>
      <c r="AG18" s="47"/>
      <c r="AH18" s="4" t="s">
        <v>16</v>
      </c>
      <c r="AI18" s="43" t="str">
        <f>IF(VLOOKUP(AH18,βοηθητικό!$J$2:$N$354,3,FALSE)="","",VLOOKUP(AH18,βοηθητικό!$J$2:$N$354,3,FALSE))</f>
        <v>_</v>
      </c>
      <c r="AJ18" s="44"/>
      <c r="AK18" s="5" t="s">
        <v>16</v>
      </c>
      <c r="AL18" s="46" t="str">
        <f>IF(VLOOKUP(AK18,βοηθητικό!$J$2:$N$354,3,FALSE)="","",VLOOKUP(AK18,βοηθητικό!$J$2:$N$354,3,FALSE))</f>
        <v>_</v>
      </c>
      <c r="AM18" s="47"/>
      <c r="AN18" s="4" t="s">
        <v>16</v>
      </c>
      <c r="AO18" s="43" t="str">
        <f>IF(VLOOKUP(AN18,βοηθητικό!$J$2:$N$354,3,FALSE)="","",VLOOKUP(AN18,βοηθητικό!$J$2:$N$354,3,FALSE))</f>
        <v>_</v>
      </c>
      <c r="AP18" s="44"/>
      <c r="AQ18" s="5" t="s">
        <v>16</v>
      </c>
      <c r="AR18" s="46" t="str">
        <f>IF(VLOOKUP(AQ18,βοηθητικό!$J$2:$N$354,3,FALSE)="","",VLOOKUP(AQ18,βοηθητικό!$J$2:$N$354,3,FALSE))</f>
        <v>_</v>
      </c>
      <c r="AS18" s="47"/>
      <c r="AT18" s="4" t="s">
        <v>16</v>
      </c>
      <c r="AU18" s="43" t="str">
        <f>IF(VLOOKUP(AT18,βοηθητικό!$J$2:$N$354,3,FALSE)="","",VLOOKUP(AT18,βοηθητικό!$J$2:$N$354,3,FALSE))</f>
        <v>_</v>
      </c>
      <c r="AV18" s="44"/>
      <c r="AW18" s="5" t="s">
        <v>16</v>
      </c>
      <c r="AX18" s="46" t="str">
        <f>IF(VLOOKUP(AW18,βοηθητικό!$J$2:$N$354,3,FALSE)="","",VLOOKUP(AW18,βοηθητικό!$J$2:$N$354,3,FALSE))</f>
        <v>_</v>
      </c>
      <c r="AY18" s="47"/>
      <c r="AZ18" s="4" t="s">
        <v>16</v>
      </c>
      <c r="BA18" s="43" t="str">
        <f>IF(VLOOKUP(AZ18,βοηθητικό!$J$2:$N$354,3,FALSE)="","",VLOOKUP(AZ18,βοηθητικό!$J$2:$N$354,3,FALSE))</f>
        <v>_</v>
      </c>
      <c r="BB18" s="44"/>
      <c r="BC18" s="45" t="s">
        <v>16</v>
      </c>
      <c r="BD18" s="46" t="str">
        <f>IF(VLOOKUP(BC18,βοηθητικό!$J$2:$N$354,3,FALSE)="","",VLOOKUP(BC18,βοηθητικό!$J$2:$N$354,3,FALSE))</f>
        <v>_</v>
      </c>
      <c r="BE18" s="47"/>
      <c r="BF18" s="42" t="s">
        <v>16</v>
      </c>
      <c r="BG18" s="43" t="str">
        <f>IF(VLOOKUP(BF18,βοηθητικό!$J$2:$N$354,3,FALSE)="","",VLOOKUP(BF18,βοηθητικό!$J$2:$N$354,3,FALSE))</f>
        <v>_</v>
      </c>
      <c r="BH18" s="44"/>
      <c r="BI18" s="45" t="s">
        <v>16</v>
      </c>
      <c r="BJ18" s="46" t="str">
        <f>IF(VLOOKUP(BI18,βοηθητικό!$J$2:$N$354,3,FALSE)="","",VLOOKUP(BI18,βοηθητικό!$J$2:$N$354,3,FALSE))</f>
        <v>_</v>
      </c>
      <c r="BK18" s="47"/>
      <c r="BL18" s="42" t="s">
        <v>16</v>
      </c>
      <c r="BM18" s="43" t="str">
        <f>IF(VLOOKUP(BL18,βοηθητικό!$J$2:$N$354,3,FALSE)="","",VLOOKUP(BL18,βοηθητικό!$J$2:$N$354,3,FALSE))</f>
        <v>_</v>
      </c>
      <c r="BN18" s="44"/>
      <c r="BO18" s="45" t="s">
        <v>16</v>
      </c>
      <c r="BP18" s="46" t="str">
        <f>IF(VLOOKUP(BO18,βοηθητικό!$J$2:$N$354,3,FALSE)="","",VLOOKUP(BO18,βοηθητικό!$J$2:$N$354,3,FALSE))</f>
        <v>_</v>
      </c>
      <c r="BQ18" s="47"/>
      <c r="BR18" s="42" t="s">
        <v>16</v>
      </c>
      <c r="BS18" s="43" t="str">
        <f>IF(VLOOKUP(BR18,βοηθητικό!$J$2:$N$354,3,FALSE)="","",VLOOKUP(BR18,βοηθητικό!$J$2:$N$354,3,FALSE))</f>
        <v>_</v>
      </c>
      <c r="BT18" s="44"/>
      <c r="BU18" s="45" t="s">
        <v>16</v>
      </c>
      <c r="BV18" s="46" t="str">
        <f>IF(VLOOKUP(BU18,βοηθητικό!$J$2:$N$354,3,FALSE)="","",VLOOKUP(BU18,βοηθητικό!$J$2:$N$354,3,FALSE))</f>
        <v>_</v>
      </c>
      <c r="BW18" s="47"/>
      <c r="BX18" s="42" t="s">
        <v>16</v>
      </c>
      <c r="BY18" s="43" t="str">
        <f>IF(VLOOKUP(BX18,βοηθητικό!$J$2:$N$354,3,FALSE)="","",VLOOKUP(BX18,βοηθητικό!$J$2:$N$354,3,FALSE))</f>
        <v>_</v>
      </c>
      <c r="BZ18" s="44"/>
      <c r="CA18" s="45" t="s">
        <v>16</v>
      </c>
      <c r="CB18" s="46" t="str">
        <f>IF(VLOOKUP(CA18,βοηθητικό!$J$2:$N$354,3,FALSE)="","",VLOOKUP(CA18,βοηθητικό!$J$2:$N$354,3,FALSE))</f>
        <v>_</v>
      </c>
      <c r="CC18" s="47"/>
      <c r="CD18" s="42" t="s">
        <v>16</v>
      </c>
      <c r="CE18" s="43" t="str">
        <f>IF(VLOOKUP(CD18,βοηθητικό!$J$2:$N$354,3,FALSE)="","",VLOOKUP(CD18,βοηθητικό!$J$2:$N$354,3,FALSE))</f>
        <v>_</v>
      </c>
      <c r="CF18" s="44"/>
      <c r="CG18" s="45" t="s">
        <v>16</v>
      </c>
      <c r="CH18" s="46" t="str">
        <f>IF(VLOOKUP(CG18,βοηθητικό!$J$2:$N$354,3,FALSE)="","",VLOOKUP(CG18,βοηθητικό!$J$2:$N$354,3,FALSE))</f>
        <v>_</v>
      </c>
      <c r="CI18" s="47"/>
      <c r="CJ18" s="42" t="s">
        <v>16</v>
      </c>
      <c r="CK18" s="43" t="str">
        <f>IF(VLOOKUP(CJ18,βοηθητικό!$J$2:$N$354,3,FALSE)="","",VLOOKUP(CJ18,βοηθητικό!$J$2:$N$354,3,FALSE))</f>
        <v>_</v>
      </c>
      <c r="CL18" s="44"/>
      <c r="CM18" s="45" t="s">
        <v>16</v>
      </c>
      <c r="CN18" s="46" t="str">
        <f>IF(VLOOKUP(CM18,βοηθητικό!$J$2:$N$354,3,FALSE)="","",VLOOKUP(CM18,βοηθητικό!$J$2:$N$354,3,FALSE))</f>
        <v>_</v>
      </c>
      <c r="CO18" s="47"/>
      <c r="CP18" s="42" t="s">
        <v>16</v>
      </c>
      <c r="CQ18" s="43" t="str">
        <f>IF(VLOOKUP(CP18,βοηθητικό!$J$2:$N$354,3,FALSE)="","",VLOOKUP(CP18,βοηθητικό!$J$2:$N$354,3,FALSE))</f>
        <v>_</v>
      </c>
      <c r="CR18" s="44"/>
      <c r="CS18" s="45" t="s">
        <v>16</v>
      </c>
      <c r="CT18" s="46" t="str">
        <f>IF(VLOOKUP(CS18,βοηθητικό!$J$2:$N$354,3,FALSE)="","",VLOOKUP(CS18,βοηθητικό!$J$2:$N$354,3,FALSE))</f>
        <v>_</v>
      </c>
      <c r="CU18" s="47"/>
    </row>
    <row r="19" spans="1:99" x14ac:dyDescent="0.25">
      <c r="A19" s="37">
        <f>--SUBTOTAL(3,$B$3:B18)</f>
        <v>16</v>
      </c>
      <c r="B19" s="2">
        <v>45032</v>
      </c>
      <c r="C19" s="3">
        <v>45038</v>
      </c>
      <c r="D19" s="55" t="s">
        <v>92</v>
      </c>
      <c r="E19" s="38" t="s">
        <v>16</v>
      </c>
      <c r="F19" s="38" t="s">
        <v>16</v>
      </c>
      <c r="G19" s="39" t="str">
        <f t="shared" si="2"/>
        <v>__</v>
      </c>
      <c r="H19" s="40" t="str">
        <f t="shared" si="3"/>
        <v>FALSE</v>
      </c>
      <c r="I19" s="41">
        <f t="shared" si="4"/>
        <v>10</v>
      </c>
      <c r="J19" s="4" t="s">
        <v>927</v>
      </c>
      <c r="K19" s="43">
        <f>IF(VLOOKUP(J19,βοηθητικό!$J$2:$N$354,3,FALSE)="","",VLOOKUP(J19,βοηθητικό!$J$2:$N$354,3,FALSE))</f>
        <v>6974929090</v>
      </c>
      <c r="L19" s="44"/>
      <c r="M19" s="5" t="s">
        <v>951</v>
      </c>
      <c r="N19" s="46" t="str">
        <f>IF(VLOOKUP(M19,βοηθητικό!$J$2:$N$354,3,FALSE)="","",VLOOKUP(M19,βοηθητικό!$J$2:$N$354,3,FALSE))</f>
        <v>6948491981</v>
      </c>
      <c r="O19" s="47"/>
      <c r="P19" s="4" t="s">
        <v>965</v>
      </c>
      <c r="Q19" s="43" t="str">
        <f>IF(VLOOKUP(P19,βοηθητικό!$J$2:$N$354,3,FALSE)="","",VLOOKUP(P19,βοηθητικό!$J$2:$N$354,3,FALSE))</f>
        <v>6942039538</v>
      </c>
      <c r="R19" s="44"/>
      <c r="S19" s="5" t="s">
        <v>1012</v>
      </c>
      <c r="T19" s="46">
        <f>IF(VLOOKUP(S19,βοηθητικό!$J$2:$N$354,3,FALSE)="","",VLOOKUP(S19,βοηθητικό!$J$2:$N$354,3,FALSE))</f>
        <v>6972072589</v>
      </c>
      <c r="U19" s="47"/>
      <c r="V19" s="4" t="s">
        <v>1019</v>
      </c>
      <c r="W19" s="43">
        <f>IF(VLOOKUP(V19,βοηθητικό!$J$2:$N$354,3,FALSE)="","",VLOOKUP(V19,βοηθητικό!$J$2:$N$354,3,FALSE))</f>
        <v>6999854936</v>
      </c>
      <c r="X19" s="44"/>
      <c r="Y19" s="5" t="s">
        <v>1048</v>
      </c>
      <c r="Z19" s="46" t="str">
        <f>IF(VLOOKUP(Y19,βοηθητικό!$J$2:$N$354,3,FALSE)="","",VLOOKUP(Y19,βοηθητικό!$J$2:$N$354,3,FALSE))</f>
        <v>6981800426</v>
      </c>
      <c r="AA19" s="47"/>
      <c r="AB19" s="4" t="s">
        <v>1053</v>
      </c>
      <c r="AC19" s="43" t="str">
        <f>IF(VLOOKUP(AB19,βοηθητικό!$J$2:$N$354,3,FALSE)="","",VLOOKUP(AB19,βοηθητικό!$J$2:$N$354,3,FALSE))</f>
        <v>6983652275</v>
      </c>
      <c r="AD19" s="44"/>
      <c r="AE19" s="5" t="s">
        <v>1056</v>
      </c>
      <c r="AF19" s="46">
        <f>IF(VLOOKUP(AE19,βοηθητικό!$J$2:$N$354,3,FALSE)="","",VLOOKUP(AE19,βοηθητικό!$J$2:$N$354,3,FALSE))</f>
        <v>6972015813</v>
      </c>
      <c r="AG19" s="47"/>
      <c r="AH19" s="4" t="s">
        <v>1065</v>
      </c>
      <c r="AI19" s="43">
        <f>IF(VLOOKUP(AH19,βοηθητικό!$J$2:$N$354,3,FALSE)="","",VLOOKUP(AH19,βοηθητικό!$J$2:$N$354,3,FALSE))</f>
        <v>6977224085</v>
      </c>
      <c r="AJ19" s="44"/>
      <c r="AK19" s="5" t="s">
        <v>1077</v>
      </c>
      <c r="AL19" s="46" t="str">
        <f>IF(VLOOKUP(AK19,βοηθητικό!$J$2:$N$354,3,FALSE)="","",VLOOKUP(AK19,βοηθητικό!$J$2:$N$354,3,FALSE))</f>
        <v>6946474745</v>
      </c>
      <c r="AM19" s="47"/>
      <c r="AN19" s="4" t="s">
        <v>16</v>
      </c>
      <c r="AO19" s="43" t="str">
        <f>IF(VLOOKUP(AN19,βοηθητικό!$J$2:$N$354,3,FALSE)="","",VLOOKUP(AN19,βοηθητικό!$J$2:$N$354,3,FALSE))</f>
        <v>_</v>
      </c>
      <c r="AP19" s="44"/>
      <c r="AQ19" s="5" t="s">
        <v>16</v>
      </c>
      <c r="AR19" s="46" t="str">
        <f>IF(VLOOKUP(AQ19,βοηθητικό!$J$2:$N$354,3,FALSE)="","",VLOOKUP(AQ19,βοηθητικό!$J$2:$N$354,3,FALSE))</f>
        <v>_</v>
      </c>
      <c r="AS19" s="47"/>
      <c r="AT19" s="4" t="s">
        <v>16</v>
      </c>
      <c r="AU19" s="43" t="str">
        <f>IF(VLOOKUP(AT19,βοηθητικό!$J$2:$N$354,3,FALSE)="","",VLOOKUP(AT19,βοηθητικό!$J$2:$N$354,3,FALSE))</f>
        <v>_</v>
      </c>
      <c r="AV19" s="44"/>
      <c r="AW19" s="5" t="s">
        <v>16</v>
      </c>
      <c r="AX19" s="46" t="str">
        <f>IF(VLOOKUP(AW19,βοηθητικό!$J$2:$N$354,3,FALSE)="","",VLOOKUP(AW19,βοηθητικό!$J$2:$N$354,3,FALSE))</f>
        <v>_</v>
      </c>
      <c r="AY19" s="47"/>
      <c r="AZ19" s="4" t="s">
        <v>16</v>
      </c>
      <c r="BA19" s="43" t="str">
        <f>IF(VLOOKUP(AZ19,βοηθητικό!$J$2:$N$354,3,FALSE)="","",VLOOKUP(AZ19,βοηθητικό!$J$2:$N$354,3,FALSE))</f>
        <v>_</v>
      </c>
      <c r="BB19" s="44"/>
      <c r="BC19" s="45" t="s">
        <v>16</v>
      </c>
      <c r="BD19" s="46" t="str">
        <f>IF(VLOOKUP(BC19,βοηθητικό!$J$2:$N$354,3,FALSE)="","",VLOOKUP(BC19,βοηθητικό!$J$2:$N$354,3,FALSE))</f>
        <v>_</v>
      </c>
      <c r="BE19" s="47"/>
      <c r="BF19" s="42" t="s">
        <v>16</v>
      </c>
      <c r="BG19" s="43" t="str">
        <f>IF(VLOOKUP(BF19,βοηθητικό!$J$2:$N$354,3,FALSE)="","",VLOOKUP(BF19,βοηθητικό!$J$2:$N$354,3,FALSE))</f>
        <v>_</v>
      </c>
      <c r="BH19" s="44"/>
      <c r="BI19" s="45" t="s">
        <v>16</v>
      </c>
      <c r="BJ19" s="46" t="str">
        <f>IF(VLOOKUP(BI19,βοηθητικό!$J$2:$N$354,3,FALSE)="","",VLOOKUP(BI19,βοηθητικό!$J$2:$N$354,3,FALSE))</f>
        <v>_</v>
      </c>
      <c r="BK19" s="47"/>
      <c r="BL19" s="42" t="s">
        <v>16</v>
      </c>
      <c r="BM19" s="43" t="str">
        <f>IF(VLOOKUP(BL19,βοηθητικό!$J$2:$N$354,3,FALSE)="","",VLOOKUP(BL19,βοηθητικό!$J$2:$N$354,3,FALSE))</f>
        <v>_</v>
      </c>
      <c r="BN19" s="44"/>
      <c r="BO19" s="45" t="s">
        <v>16</v>
      </c>
      <c r="BP19" s="46" t="str">
        <f>IF(VLOOKUP(BO19,βοηθητικό!$J$2:$N$354,3,FALSE)="","",VLOOKUP(BO19,βοηθητικό!$J$2:$N$354,3,FALSE))</f>
        <v>_</v>
      </c>
      <c r="BQ19" s="47"/>
      <c r="BR19" s="42" t="s">
        <v>16</v>
      </c>
      <c r="BS19" s="43" t="str">
        <f>IF(VLOOKUP(BR19,βοηθητικό!$J$2:$N$354,3,FALSE)="","",VLOOKUP(BR19,βοηθητικό!$J$2:$N$354,3,FALSE))</f>
        <v>_</v>
      </c>
      <c r="BT19" s="44"/>
      <c r="BU19" s="45" t="s">
        <v>16</v>
      </c>
      <c r="BV19" s="46" t="str">
        <f>IF(VLOOKUP(BU19,βοηθητικό!$J$2:$N$354,3,FALSE)="","",VLOOKUP(BU19,βοηθητικό!$J$2:$N$354,3,FALSE))</f>
        <v>_</v>
      </c>
      <c r="BW19" s="47"/>
      <c r="BX19" s="42" t="s">
        <v>16</v>
      </c>
      <c r="BY19" s="43" t="str">
        <f>IF(VLOOKUP(BX19,βοηθητικό!$J$2:$N$354,3,FALSE)="","",VLOOKUP(BX19,βοηθητικό!$J$2:$N$354,3,FALSE))</f>
        <v>_</v>
      </c>
      <c r="BZ19" s="44"/>
      <c r="CA19" s="45" t="s">
        <v>16</v>
      </c>
      <c r="CB19" s="46" t="str">
        <f>IF(VLOOKUP(CA19,βοηθητικό!$J$2:$N$354,3,FALSE)="","",VLOOKUP(CA19,βοηθητικό!$J$2:$N$354,3,FALSE))</f>
        <v>_</v>
      </c>
      <c r="CC19" s="47"/>
      <c r="CD19" s="42" t="s">
        <v>16</v>
      </c>
      <c r="CE19" s="43" t="str">
        <f>IF(VLOOKUP(CD19,βοηθητικό!$J$2:$N$354,3,FALSE)="","",VLOOKUP(CD19,βοηθητικό!$J$2:$N$354,3,FALSE))</f>
        <v>_</v>
      </c>
      <c r="CF19" s="44"/>
      <c r="CG19" s="45" t="s">
        <v>16</v>
      </c>
      <c r="CH19" s="46" t="str">
        <f>IF(VLOOKUP(CG19,βοηθητικό!$J$2:$N$354,3,FALSE)="","",VLOOKUP(CG19,βοηθητικό!$J$2:$N$354,3,FALSE))</f>
        <v>_</v>
      </c>
      <c r="CI19" s="47"/>
      <c r="CJ19" s="42" t="s">
        <v>16</v>
      </c>
      <c r="CK19" s="43" t="str">
        <f>IF(VLOOKUP(CJ19,βοηθητικό!$J$2:$N$354,3,FALSE)="","",VLOOKUP(CJ19,βοηθητικό!$J$2:$N$354,3,FALSE))</f>
        <v>_</v>
      </c>
      <c r="CL19" s="44"/>
      <c r="CM19" s="45" t="s">
        <v>16</v>
      </c>
      <c r="CN19" s="46" t="str">
        <f>IF(VLOOKUP(CM19,βοηθητικό!$J$2:$N$354,3,FALSE)="","",VLOOKUP(CM19,βοηθητικό!$J$2:$N$354,3,FALSE))</f>
        <v>_</v>
      </c>
      <c r="CO19" s="47"/>
      <c r="CP19" s="42" t="s">
        <v>16</v>
      </c>
      <c r="CQ19" s="43" t="str">
        <f>IF(VLOOKUP(CP19,βοηθητικό!$J$2:$N$354,3,FALSE)="","",VLOOKUP(CP19,βοηθητικό!$J$2:$N$354,3,FALSE))</f>
        <v>_</v>
      </c>
      <c r="CR19" s="44"/>
      <c r="CS19" s="45" t="s">
        <v>16</v>
      </c>
      <c r="CT19" s="46" t="str">
        <f>IF(VLOOKUP(CS19,βοηθητικό!$J$2:$N$354,3,FALSE)="","",VLOOKUP(CS19,βοηθητικό!$J$2:$N$354,3,FALSE))</f>
        <v>_</v>
      </c>
      <c r="CU19" s="47"/>
    </row>
    <row r="20" spans="1:99" x14ac:dyDescent="0.25">
      <c r="A20" s="37">
        <f>--SUBTOTAL(3,$B$3:B19)</f>
        <v>17</v>
      </c>
      <c r="B20" s="2">
        <v>45032</v>
      </c>
      <c r="C20" s="3">
        <v>45038</v>
      </c>
      <c r="D20" s="55" t="s">
        <v>115</v>
      </c>
      <c r="E20" s="38" t="s">
        <v>16</v>
      </c>
      <c r="F20" s="38" t="s">
        <v>16</v>
      </c>
      <c r="G20" s="39" t="str">
        <f t="shared" si="2"/>
        <v>__</v>
      </c>
      <c r="H20" s="40" t="str">
        <f t="shared" si="3"/>
        <v>FALSE</v>
      </c>
      <c r="I20" s="41">
        <f t="shared" si="4"/>
        <v>9</v>
      </c>
      <c r="J20" s="4" t="s">
        <v>1279</v>
      </c>
      <c r="K20" s="43" t="str">
        <f>IF(VLOOKUP(J20,βοηθητικό!$J$2:$N$354,3,FALSE)="","",VLOOKUP(J20,βοηθητικό!$J$2:$N$354,3,FALSE))</f>
        <v>6972820547</v>
      </c>
      <c r="L20" s="44"/>
      <c r="M20" s="5" t="s">
        <v>1318</v>
      </c>
      <c r="N20" s="46" t="str">
        <f>IF(VLOOKUP(M20,βοηθητικό!$J$2:$N$354,3,FALSE)="","",VLOOKUP(M20,βοηθητικό!$J$2:$N$354,3,FALSE))</f>
        <v>6977421366</v>
      </c>
      <c r="O20" s="47"/>
      <c r="P20" s="4" t="s">
        <v>1331</v>
      </c>
      <c r="Q20" s="43" t="str">
        <f>IF(VLOOKUP(P20,βοηθητικό!$J$2:$N$354,3,FALSE)="","",VLOOKUP(P20,βοηθητικό!$J$2:$N$354,3,FALSE))</f>
        <v>6942496492</v>
      </c>
      <c r="R20" s="44"/>
      <c r="S20" s="5" t="s">
        <v>1306</v>
      </c>
      <c r="T20" s="46" t="str">
        <f>IF(VLOOKUP(S20,βοηθητικό!$J$2:$N$354,3,FALSE)="","",VLOOKUP(S20,βοηθητικό!$J$2:$N$354,3,FALSE))</f>
        <v>6932637784</v>
      </c>
      <c r="U20" s="47"/>
      <c r="V20" s="4" t="s">
        <v>1387</v>
      </c>
      <c r="W20" s="43" t="str">
        <f>IF(VLOOKUP(V20,βοηθητικό!$J$2:$N$354,3,FALSE)="","",VLOOKUP(V20,βοηθητικό!$J$2:$N$354,3,FALSE))</f>
        <v>6955110793</v>
      </c>
      <c r="X20" s="44"/>
      <c r="Y20" s="5" t="s">
        <v>1343</v>
      </c>
      <c r="Z20" s="46" t="str">
        <f>IF(VLOOKUP(Y20,βοηθητικό!$J$2:$N$354,3,FALSE)="","",VLOOKUP(Y20,βοηθητικό!$J$2:$N$354,3,FALSE))</f>
        <v>6976140354</v>
      </c>
      <c r="AA20" s="47"/>
      <c r="AB20" s="4" t="s">
        <v>1299</v>
      </c>
      <c r="AC20" s="43">
        <f>IF(VLOOKUP(AB20,βοηθητικό!$J$2:$N$354,3,FALSE)="","",VLOOKUP(AB20,βοηθητικό!$J$2:$N$354,3,FALSE))</f>
        <v>6948330665</v>
      </c>
      <c r="AD20" s="44"/>
      <c r="AE20" s="5" t="s">
        <v>1310</v>
      </c>
      <c r="AF20" s="46" t="str">
        <f>IF(VLOOKUP(AE20,βοηθητικό!$J$2:$N$354,3,FALSE)="","",VLOOKUP(AE20,βοηθητικό!$J$2:$N$354,3,FALSE))</f>
        <v>6955003825</v>
      </c>
      <c r="AG20" s="47"/>
      <c r="AH20" s="4" t="s">
        <v>1399</v>
      </c>
      <c r="AI20" s="43" t="str">
        <f>IF(VLOOKUP(AH20,βοηθητικό!$J$2:$N$354,3,FALSE)="","",VLOOKUP(AH20,βοηθητικό!$J$2:$N$354,3,FALSE))</f>
        <v>6974117272</v>
      </c>
      <c r="AJ20" s="44"/>
      <c r="AK20" s="5" t="s">
        <v>16</v>
      </c>
      <c r="AL20" s="46" t="str">
        <f>IF(VLOOKUP(AK20,βοηθητικό!$J$2:$N$354,3,FALSE)="","",VLOOKUP(AK20,βοηθητικό!$J$2:$N$354,3,FALSE))</f>
        <v>_</v>
      </c>
      <c r="AM20" s="47"/>
      <c r="AN20" s="4" t="s">
        <v>16</v>
      </c>
      <c r="AO20" s="43" t="str">
        <f>IF(VLOOKUP(AN20,βοηθητικό!$J$2:$N$354,3,FALSE)="","",VLOOKUP(AN20,βοηθητικό!$J$2:$N$354,3,FALSE))</f>
        <v>_</v>
      </c>
      <c r="AP20" s="44"/>
      <c r="AQ20" s="5" t="s">
        <v>16</v>
      </c>
      <c r="AR20" s="46" t="str">
        <f>IF(VLOOKUP(AQ20,βοηθητικό!$J$2:$N$354,3,FALSE)="","",VLOOKUP(AQ20,βοηθητικό!$J$2:$N$354,3,FALSE))</f>
        <v>_</v>
      </c>
      <c r="AS20" s="47"/>
      <c r="AT20" s="4" t="s">
        <v>16</v>
      </c>
      <c r="AU20" s="43" t="str">
        <f>IF(VLOOKUP(AT20,βοηθητικό!$J$2:$N$354,3,FALSE)="","",VLOOKUP(AT20,βοηθητικό!$J$2:$N$354,3,FALSE))</f>
        <v>_</v>
      </c>
      <c r="AV20" s="44"/>
      <c r="AW20" s="5" t="s">
        <v>16</v>
      </c>
      <c r="AX20" s="46" t="str">
        <f>IF(VLOOKUP(AW20,βοηθητικό!$J$2:$N$354,3,FALSE)="","",VLOOKUP(AW20,βοηθητικό!$J$2:$N$354,3,FALSE))</f>
        <v>_</v>
      </c>
      <c r="AY20" s="47"/>
      <c r="AZ20" s="4" t="s">
        <v>16</v>
      </c>
      <c r="BA20" s="43" t="str">
        <f>IF(VLOOKUP(AZ20,βοηθητικό!$J$2:$N$354,3,FALSE)="","",VLOOKUP(AZ20,βοηθητικό!$J$2:$N$354,3,FALSE))</f>
        <v>_</v>
      </c>
      <c r="BB20" s="44"/>
      <c r="BC20" s="45" t="s">
        <v>16</v>
      </c>
      <c r="BD20" s="46" t="str">
        <f>IF(VLOOKUP(BC20,βοηθητικό!$J$2:$N$354,3,FALSE)="","",VLOOKUP(BC20,βοηθητικό!$J$2:$N$354,3,FALSE))</f>
        <v>_</v>
      </c>
      <c r="BE20" s="47"/>
      <c r="BF20" s="42" t="s">
        <v>16</v>
      </c>
      <c r="BG20" s="43" t="str">
        <f>IF(VLOOKUP(BF20,βοηθητικό!$J$2:$N$354,3,FALSE)="","",VLOOKUP(BF20,βοηθητικό!$J$2:$N$354,3,FALSE))</f>
        <v>_</v>
      </c>
      <c r="BH20" s="44"/>
      <c r="BI20" s="45" t="s">
        <v>16</v>
      </c>
      <c r="BJ20" s="46" t="str">
        <f>IF(VLOOKUP(BI20,βοηθητικό!$J$2:$N$354,3,FALSE)="","",VLOOKUP(BI20,βοηθητικό!$J$2:$N$354,3,FALSE))</f>
        <v>_</v>
      </c>
      <c r="BK20" s="47"/>
      <c r="BL20" s="42" t="s">
        <v>16</v>
      </c>
      <c r="BM20" s="43" t="str">
        <f>IF(VLOOKUP(BL20,βοηθητικό!$J$2:$N$354,3,FALSE)="","",VLOOKUP(BL20,βοηθητικό!$J$2:$N$354,3,FALSE))</f>
        <v>_</v>
      </c>
      <c r="BN20" s="44"/>
      <c r="BO20" s="45" t="s">
        <v>16</v>
      </c>
      <c r="BP20" s="46" t="str">
        <f>IF(VLOOKUP(BO20,βοηθητικό!$J$2:$N$354,3,FALSE)="","",VLOOKUP(BO20,βοηθητικό!$J$2:$N$354,3,FALSE))</f>
        <v>_</v>
      </c>
      <c r="BQ20" s="47"/>
      <c r="BR20" s="42" t="s">
        <v>16</v>
      </c>
      <c r="BS20" s="43" t="str">
        <f>IF(VLOOKUP(BR20,βοηθητικό!$J$2:$N$354,3,FALSE)="","",VLOOKUP(BR20,βοηθητικό!$J$2:$N$354,3,FALSE))</f>
        <v>_</v>
      </c>
      <c r="BT20" s="44"/>
      <c r="BU20" s="45" t="s">
        <v>16</v>
      </c>
      <c r="BV20" s="46" t="str">
        <f>IF(VLOOKUP(BU20,βοηθητικό!$J$2:$N$354,3,FALSE)="","",VLOOKUP(BU20,βοηθητικό!$J$2:$N$354,3,FALSE))</f>
        <v>_</v>
      </c>
      <c r="BW20" s="47"/>
      <c r="BX20" s="42" t="s">
        <v>16</v>
      </c>
      <c r="BY20" s="43" t="str">
        <f>IF(VLOOKUP(BX20,βοηθητικό!$J$2:$N$354,3,FALSE)="","",VLOOKUP(BX20,βοηθητικό!$J$2:$N$354,3,FALSE))</f>
        <v>_</v>
      </c>
      <c r="BZ20" s="44"/>
      <c r="CA20" s="45" t="s">
        <v>16</v>
      </c>
      <c r="CB20" s="46" t="str">
        <f>IF(VLOOKUP(CA20,βοηθητικό!$J$2:$N$354,3,FALSE)="","",VLOOKUP(CA20,βοηθητικό!$J$2:$N$354,3,FALSE))</f>
        <v>_</v>
      </c>
      <c r="CC20" s="47"/>
      <c r="CD20" s="42" t="s">
        <v>16</v>
      </c>
      <c r="CE20" s="43" t="str">
        <f>IF(VLOOKUP(CD20,βοηθητικό!$J$2:$N$354,3,FALSE)="","",VLOOKUP(CD20,βοηθητικό!$J$2:$N$354,3,FALSE))</f>
        <v>_</v>
      </c>
      <c r="CF20" s="44"/>
      <c r="CG20" s="45" t="s">
        <v>16</v>
      </c>
      <c r="CH20" s="46" t="str">
        <f>IF(VLOOKUP(CG20,βοηθητικό!$J$2:$N$354,3,FALSE)="","",VLOOKUP(CG20,βοηθητικό!$J$2:$N$354,3,FALSE))</f>
        <v>_</v>
      </c>
      <c r="CI20" s="47"/>
      <c r="CJ20" s="42" t="s">
        <v>16</v>
      </c>
      <c r="CK20" s="43" t="str">
        <f>IF(VLOOKUP(CJ20,βοηθητικό!$J$2:$N$354,3,FALSE)="","",VLOOKUP(CJ20,βοηθητικό!$J$2:$N$354,3,FALSE))</f>
        <v>_</v>
      </c>
      <c r="CL20" s="44"/>
      <c r="CM20" s="45" t="s">
        <v>16</v>
      </c>
      <c r="CN20" s="46" t="str">
        <f>IF(VLOOKUP(CM20,βοηθητικό!$J$2:$N$354,3,FALSE)="","",VLOOKUP(CM20,βοηθητικό!$J$2:$N$354,3,FALSE))</f>
        <v>_</v>
      </c>
      <c r="CO20" s="47"/>
      <c r="CP20" s="42" t="s">
        <v>16</v>
      </c>
      <c r="CQ20" s="43" t="str">
        <f>IF(VLOOKUP(CP20,βοηθητικό!$J$2:$N$354,3,FALSE)="","",VLOOKUP(CP20,βοηθητικό!$J$2:$N$354,3,FALSE))</f>
        <v>_</v>
      </c>
      <c r="CR20" s="44"/>
      <c r="CS20" s="45" t="s">
        <v>16</v>
      </c>
      <c r="CT20" s="46" t="str">
        <f>IF(VLOOKUP(CS20,βοηθητικό!$J$2:$N$354,3,FALSE)="","",VLOOKUP(CS20,βοηθητικό!$J$2:$N$354,3,FALSE))</f>
        <v>_</v>
      </c>
      <c r="CU20" s="47"/>
    </row>
    <row r="21" spans="1:99" x14ac:dyDescent="0.25">
      <c r="A21" s="37">
        <f>--SUBTOTAL(3,$B$3:B20)</f>
        <v>18</v>
      </c>
      <c r="B21" s="2">
        <v>45032</v>
      </c>
      <c r="C21" s="3">
        <v>45038</v>
      </c>
      <c r="D21" s="55" t="s">
        <v>45</v>
      </c>
      <c r="E21" s="38" t="s">
        <v>16</v>
      </c>
      <c r="F21" s="38" t="s">
        <v>16</v>
      </c>
      <c r="G21" s="39" t="str">
        <f t="shared" si="2"/>
        <v>__</v>
      </c>
      <c r="H21" s="40" t="str">
        <f t="shared" si="3"/>
        <v>FALSE</v>
      </c>
      <c r="I21" s="41">
        <f t="shared" si="4"/>
        <v>6</v>
      </c>
      <c r="J21" s="4" t="s">
        <v>581</v>
      </c>
      <c r="K21" s="43" t="str">
        <f>IF(VLOOKUP(J21,βοηθητικό!$J$2:$N$354,3,FALSE)="","",VLOOKUP(J21,βοηθητικό!$J$2:$N$354,3,FALSE))</f>
        <v>6932159538 6940215140</v>
      </c>
      <c r="L21" s="44"/>
      <c r="M21" s="5" t="s">
        <v>563</v>
      </c>
      <c r="N21" s="46" t="str">
        <f>IF(VLOOKUP(M21,βοηθητικό!$J$2:$N$354,3,FALSE)="","",VLOOKUP(M21,βοηθητικό!$J$2:$N$354,3,FALSE))</f>
        <v>6943571711</v>
      </c>
      <c r="O21" s="47"/>
      <c r="P21" s="4" t="s">
        <v>544</v>
      </c>
      <c r="Q21" s="43" t="str">
        <f>IF(VLOOKUP(P21,βοηθητικό!$J$2:$N$354,3,FALSE)="","",VLOOKUP(P21,βοηθητικό!$J$2:$N$354,3,FALSE))</f>
        <v>6978943962</v>
      </c>
      <c r="R21" s="44"/>
      <c r="S21" s="5" t="s">
        <v>534</v>
      </c>
      <c r="T21" s="46" t="str">
        <f>IF(VLOOKUP(S21,βοηθητικό!$J$2:$N$354,3,FALSE)="","",VLOOKUP(S21,βοηθητικό!$J$2:$N$354,3,FALSE))</f>
        <v>6955646945</v>
      </c>
      <c r="U21" s="47"/>
      <c r="V21" s="4" t="s">
        <v>539</v>
      </c>
      <c r="W21" s="43" t="str">
        <f>IF(VLOOKUP(V21,βοηθητικό!$J$2:$N$354,3,FALSE)="","",VLOOKUP(V21,βοηθητικό!$J$2:$N$354,3,FALSE))</f>
        <v>6972038001</v>
      </c>
      <c r="X21" s="44"/>
      <c r="Y21" s="5" t="s">
        <v>529</v>
      </c>
      <c r="Z21" s="46" t="str">
        <f>IF(VLOOKUP(Y21,βοηθητικό!$J$2:$N$354,3,FALSE)="","",VLOOKUP(Y21,βοηθητικό!$J$2:$N$354,3,FALSE))</f>
        <v>6947727931</v>
      </c>
      <c r="AA21" s="47"/>
      <c r="AB21" s="4" t="s">
        <v>16</v>
      </c>
      <c r="AC21" s="43" t="str">
        <f>IF(VLOOKUP(AB21,βοηθητικό!$J$2:$N$354,3,FALSE)="","",VLOOKUP(AB21,βοηθητικό!$J$2:$N$354,3,FALSE))</f>
        <v>_</v>
      </c>
      <c r="AD21" s="44"/>
      <c r="AE21" s="5" t="s">
        <v>16</v>
      </c>
      <c r="AF21" s="46" t="str">
        <f>IF(VLOOKUP(AE21,βοηθητικό!$J$2:$N$354,3,FALSE)="","",VLOOKUP(AE21,βοηθητικό!$J$2:$N$354,3,FALSE))</f>
        <v>_</v>
      </c>
      <c r="AG21" s="47"/>
      <c r="AH21" s="4" t="s">
        <v>16</v>
      </c>
      <c r="AI21" s="43" t="str">
        <f>IF(VLOOKUP(AH21,βοηθητικό!$J$2:$N$354,3,FALSE)="","",VLOOKUP(AH21,βοηθητικό!$J$2:$N$354,3,FALSE))</f>
        <v>_</v>
      </c>
      <c r="AJ21" s="44"/>
      <c r="AK21" s="5" t="s">
        <v>16</v>
      </c>
      <c r="AL21" s="46" t="str">
        <f>IF(VLOOKUP(AK21,βοηθητικό!$J$2:$N$354,3,FALSE)="","",VLOOKUP(AK21,βοηθητικό!$J$2:$N$354,3,FALSE))</f>
        <v>_</v>
      </c>
      <c r="AM21" s="47"/>
      <c r="AN21" s="4" t="s">
        <v>16</v>
      </c>
      <c r="AO21" s="43" t="str">
        <f>IF(VLOOKUP(AN21,βοηθητικό!$J$2:$N$354,3,FALSE)="","",VLOOKUP(AN21,βοηθητικό!$J$2:$N$354,3,FALSE))</f>
        <v>_</v>
      </c>
      <c r="AP21" s="44"/>
      <c r="AQ21" s="5" t="s">
        <v>16</v>
      </c>
      <c r="AR21" s="46" t="str">
        <f>IF(VLOOKUP(AQ21,βοηθητικό!$J$2:$N$354,3,FALSE)="","",VLOOKUP(AQ21,βοηθητικό!$J$2:$N$354,3,FALSE))</f>
        <v>_</v>
      </c>
      <c r="AS21" s="47"/>
      <c r="AT21" s="4" t="s">
        <v>16</v>
      </c>
      <c r="AU21" s="43" t="str">
        <f>IF(VLOOKUP(AT21,βοηθητικό!$J$2:$N$354,3,FALSE)="","",VLOOKUP(AT21,βοηθητικό!$J$2:$N$354,3,FALSE))</f>
        <v>_</v>
      </c>
      <c r="AV21" s="44"/>
      <c r="AW21" s="5" t="s">
        <v>16</v>
      </c>
      <c r="AX21" s="46" t="str">
        <f>IF(VLOOKUP(AW21,βοηθητικό!$J$2:$N$354,3,FALSE)="","",VLOOKUP(AW21,βοηθητικό!$J$2:$N$354,3,FALSE))</f>
        <v>_</v>
      </c>
      <c r="AY21" s="47"/>
      <c r="AZ21" s="4" t="s">
        <v>16</v>
      </c>
      <c r="BA21" s="43" t="str">
        <f>IF(VLOOKUP(AZ21,βοηθητικό!$J$2:$N$354,3,FALSE)="","",VLOOKUP(AZ21,βοηθητικό!$J$2:$N$354,3,FALSE))</f>
        <v>_</v>
      </c>
      <c r="BB21" s="44"/>
      <c r="BC21" s="45" t="s">
        <v>16</v>
      </c>
      <c r="BD21" s="46" t="str">
        <f>IF(VLOOKUP(BC21,βοηθητικό!$J$2:$N$354,3,FALSE)="","",VLOOKUP(BC21,βοηθητικό!$J$2:$N$354,3,FALSE))</f>
        <v>_</v>
      </c>
      <c r="BE21" s="47"/>
      <c r="BF21" s="42" t="s">
        <v>16</v>
      </c>
      <c r="BG21" s="43" t="str">
        <f>IF(VLOOKUP(BF21,βοηθητικό!$J$2:$N$354,3,FALSE)="","",VLOOKUP(BF21,βοηθητικό!$J$2:$N$354,3,FALSE))</f>
        <v>_</v>
      </c>
      <c r="BH21" s="44"/>
      <c r="BI21" s="45" t="s">
        <v>16</v>
      </c>
      <c r="BJ21" s="46" t="str">
        <f>IF(VLOOKUP(BI21,βοηθητικό!$J$2:$N$354,3,FALSE)="","",VLOOKUP(BI21,βοηθητικό!$J$2:$N$354,3,FALSE))</f>
        <v>_</v>
      </c>
      <c r="BK21" s="47"/>
      <c r="BL21" s="42" t="s">
        <v>16</v>
      </c>
      <c r="BM21" s="43" t="str">
        <f>IF(VLOOKUP(BL21,βοηθητικό!$J$2:$N$354,3,FALSE)="","",VLOOKUP(BL21,βοηθητικό!$J$2:$N$354,3,FALSE))</f>
        <v>_</v>
      </c>
      <c r="BN21" s="44"/>
      <c r="BO21" s="45" t="s">
        <v>16</v>
      </c>
      <c r="BP21" s="46" t="str">
        <f>IF(VLOOKUP(BO21,βοηθητικό!$J$2:$N$354,3,FALSE)="","",VLOOKUP(BO21,βοηθητικό!$J$2:$N$354,3,FALSE))</f>
        <v>_</v>
      </c>
      <c r="BQ21" s="47"/>
      <c r="BR21" s="42" t="s">
        <v>16</v>
      </c>
      <c r="BS21" s="43" t="str">
        <f>IF(VLOOKUP(BR21,βοηθητικό!$J$2:$N$354,3,FALSE)="","",VLOOKUP(BR21,βοηθητικό!$J$2:$N$354,3,FALSE))</f>
        <v>_</v>
      </c>
      <c r="BT21" s="44"/>
      <c r="BU21" s="45" t="s">
        <v>16</v>
      </c>
      <c r="BV21" s="46" t="str">
        <f>IF(VLOOKUP(BU21,βοηθητικό!$J$2:$N$354,3,FALSE)="","",VLOOKUP(BU21,βοηθητικό!$J$2:$N$354,3,FALSE))</f>
        <v>_</v>
      </c>
      <c r="BW21" s="47"/>
      <c r="BX21" s="42" t="s">
        <v>16</v>
      </c>
      <c r="BY21" s="43" t="str">
        <f>IF(VLOOKUP(BX21,βοηθητικό!$J$2:$N$354,3,FALSE)="","",VLOOKUP(BX21,βοηθητικό!$J$2:$N$354,3,FALSE))</f>
        <v>_</v>
      </c>
      <c r="BZ21" s="44"/>
      <c r="CA21" s="45" t="s">
        <v>16</v>
      </c>
      <c r="CB21" s="46" t="str">
        <f>IF(VLOOKUP(CA21,βοηθητικό!$J$2:$N$354,3,FALSE)="","",VLOOKUP(CA21,βοηθητικό!$J$2:$N$354,3,FALSE))</f>
        <v>_</v>
      </c>
      <c r="CC21" s="47"/>
      <c r="CD21" s="42" t="s">
        <v>16</v>
      </c>
      <c r="CE21" s="43" t="str">
        <f>IF(VLOOKUP(CD21,βοηθητικό!$J$2:$N$354,3,FALSE)="","",VLOOKUP(CD21,βοηθητικό!$J$2:$N$354,3,FALSE))</f>
        <v>_</v>
      </c>
      <c r="CF21" s="44"/>
      <c r="CG21" s="45" t="s">
        <v>16</v>
      </c>
      <c r="CH21" s="46" t="str">
        <f>IF(VLOOKUP(CG21,βοηθητικό!$J$2:$N$354,3,FALSE)="","",VLOOKUP(CG21,βοηθητικό!$J$2:$N$354,3,FALSE))</f>
        <v>_</v>
      </c>
      <c r="CI21" s="47"/>
      <c r="CJ21" s="42" t="s">
        <v>16</v>
      </c>
      <c r="CK21" s="43" t="str">
        <f>IF(VLOOKUP(CJ21,βοηθητικό!$J$2:$N$354,3,FALSE)="","",VLOOKUP(CJ21,βοηθητικό!$J$2:$N$354,3,FALSE))</f>
        <v>_</v>
      </c>
      <c r="CL21" s="44"/>
      <c r="CM21" s="45" t="s">
        <v>16</v>
      </c>
      <c r="CN21" s="46" t="str">
        <f>IF(VLOOKUP(CM21,βοηθητικό!$J$2:$N$354,3,FALSE)="","",VLOOKUP(CM21,βοηθητικό!$J$2:$N$354,3,FALSE))</f>
        <v>_</v>
      </c>
      <c r="CO21" s="47"/>
      <c r="CP21" s="42" t="s">
        <v>16</v>
      </c>
      <c r="CQ21" s="43" t="str">
        <f>IF(VLOOKUP(CP21,βοηθητικό!$J$2:$N$354,3,FALSE)="","",VLOOKUP(CP21,βοηθητικό!$J$2:$N$354,3,FALSE))</f>
        <v>_</v>
      </c>
      <c r="CR21" s="44"/>
      <c r="CS21" s="45" t="s">
        <v>16</v>
      </c>
      <c r="CT21" s="46" t="str">
        <f>IF(VLOOKUP(CS21,βοηθητικό!$J$2:$N$354,3,FALSE)="","",VLOOKUP(CS21,βοηθητικό!$J$2:$N$354,3,FALSE))</f>
        <v>_</v>
      </c>
      <c r="CU21" s="47"/>
    </row>
    <row r="22" spans="1:99" x14ac:dyDescent="0.25">
      <c r="A22" s="37">
        <f>--SUBTOTAL(3,$B$3:B21)</f>
        <v>19</v>
      </c>
      <c r="B22" s="2">
        <v>45032</v>
      </c>
      <c r="C22" s="3">
        <v>45038</v>
      </c>
      <c r="D22" s="55" t="s">
        <v>33</v>
      </c>
      <c r="E22" s="38" t="s">
        <v>16</v>
      </c>
      <c r="F22" s="38" t="s">
        <v>16</v>
      </c>
      <c r="G22" s="39" t="str">
        <f t="shared" si="2"/>
        <v>__</v>
      </c>
      <c r="H22" s="40" t="str">
        <f t="shared" si="3"/>
        <v>FALSE</v>
      </c>
      <c r="I22" s="41">
        <f t="shared" si="4"/>
        <v>12</v>
      </c>
      <c r="J22" s="4" t="s">
        <v>179</v>
      </c>
      <c r="K22" s="43" t="str">
        <f>IF(VLOOKUP(J22,βοηθητικό!$J$2:$N$354,3,FALSE)="","",VLOOKUP(J22,βοηθητικό!$J$2:$N$354,3,FALSE))</f>
        <v>6944613389</v>
      </c>
      <c r="L22" s="44"/>
      <c r="M22" s="5" t="s">
        <v>208</v>
      </c>
      <c r="N22" s="46" t="str">
        <f>IF(VLOOKUP(M22,βοηθητικό!$J$2:$N$354,3,FALSE)="","",VLOOKUP(M22,βοηθητικό!$J$2:$N$354,3,FALSE))</f>
        <v>6974494940</v>
      </c>
      <c r="O22" s="47"/>
      <c r="P22" s="4" t="s">
        <v>142</v>
      </c>
      <c r="Q22" s="43" t="str">
        <f>IF(VLOOKUP(P22,βοηθητικό!$J$2:$N$354,3,FALSE)="","",VLOOKUP(P22,βοηθητικό!$J$2:$N$354,3,FALSE))</f>
        <v>6981400643</v>
      </c>
      <c r="R22" s="44"/>
      <c r="S22" s="5" t="s">
        <v>301</v>
      </c>
      <c r="T22" s="46" t="str">
        <f>IF(VLOOKUP(S22,βοηθητικό!$J$2:$N$354,3,FALSE)="","",VLOOKUP(S22,βοηθητικό!$J$2:$N$354,3,FALSE))</f>
        <v>6944744680</v>
      </c>
      <c r="U22" s="47"/>
      <c r="V22" s="4" t="s">
        <v>192</v>
      </c>
      <c r="W22" s="43" t="str">
        <f>IF(VLOOKUP(V22,βοηθητικό!$J$2:$N$354,3,FALSE)="","",VLOOKUP(V22,βοηθητικό!$J$2:$N$354,3,FALSE))</f>
        <v>6942926446</v>
      </c>
      <c r="X22" s="44"/>
      <c r="Y22" s="5" t="s">
        <v>459</v>
      </c>
      <c r="Z22" s="46" t="str">
        <f>IF(VLOOKUP(Y22,βοηθητικό!$J$2:$N$354,3,FALSE)="","",VLOOKUP(Y22,βοηθητικό!$J$2:$N$354,3,FALSE))</f>
        <v>6978292709</v>
      </c>
      <c r="AA22" s="47"/>
      <c r="AB22" s="4" t="s">
        <v>467</v>
      </c>
      <c r="AC22" s="43" t="str">
        <f>IF(VLOOKUP(AB22,βοηθητικό!$J$2:$N$354,3,FALSE)="","",VLOOKUP(AB22,βοηθητικό!$J$2:$N$354,3,FALSE))</f>
        <v>6949453697</v>
      </c>
      <c r="AD22" s="44"/>
      <c r="AE22" s="5" t="s">
        <v>266</v>
      </c>
      <c r="AF22" s="46" t="str">
        <f>IF(VLOOKUP(AE22,βοηθητικό!$J$2:$N$354,3,FALSE)="","",VLOOKUP(AE22,βοηθητικό!$J$2:$N$354,3,FALSE))</f>
        <v>6947449447</v>
      </c>
      <c r="AG22" s="47"/>
      <c r="AH22" s="4" t="s">
        <v>340</v>
      </c>
      <c r="AI22" s="43" t="str">
        <f>IF(VLOOKUP(AH22,βοηθητικό!$J$2:$N$354,3,FALSE)="","",VLOOKUP(AH22,βοηθητικό!$J$2:$N$354,3,FALSE))</f>
        <v>6977136737</v>
      </c>
      <c r="AJ22" s="44"/>
      <c r="AK22" s="5" t="s">
        <v>444</v>
      </c>
      <c r="AL22" s="46" t="str">
        <f>IF(VLOOKUP(AK22,βοηθητικό!$J$2:$N$354,3,FALSE)="","",VLOOKUP(AK22,βοηθητικό!$J$2:$N$354,3,FALSE))</f>
        <v>6977538476</v>
      </c>
      <c r="AM22" s="47"/>
      <c r="AN22" s="4" t="s">
        <v>132</v>
      </c>
      <c r="AO22" s="43" t="str">
        <f>IF(VLOOKUP(AN22,βοηθητικό!$J$2:$N$354,3,FALSE)="","",VLOOKUP(AN22,βοηθητικό!$J$2:$N$354,3,FALSE))</f>
        <v>6932853641</v>
      </c>
      <c r="AP22" s="44"/>
      <c r="AQ22" s="5" t="s">
        <v>152</v>
      </c>
      <c r="AR22" s="46" t="str">
        <f>IF(VLOOKUP(AQ22,βοηθητικό!$J$2:$N$354,3,FALSE)="","",VLOOKUP(AQ22,βοηθητικό!$J$2:$N$354,3,FALSE))</f>
        <v>6974605685</v>
      </c>
      <c r="AS22" s="47"/>
      <c r="AT22" s="4" t="s">
        <v>16</v>
      </c>
      <c r="AU22" s="43" t="str">
        <f>IF(VLOOKUP(AT22,βοηθητικό!$J$2:$N$354,3,FALSE)="","",VLOOKUP(AT22,βοηθητικό!$J$2:$N$354,3,FALSE))</f>
        <v>_</v>
      </c>
      <c r="AV22" s="44"/>
      <c r="AW22" s="5" t="s">
        <v>16</v>
      </c>
      <c r="AX22" s="46" t="str">
        <f>IF(VLOOKUP(AW22,βοηθητικό!$J$2:$N$354,3,FALSE)="","",VLOOKUP(AW22,βοηθητικό!$J$2:$N$354,3,FALSE))</f>
        <v>_</v>
      </c>
      <c r="AY22" s="47"/>
      <c r="AZ22" s="4" t="s">
        <v>16</v>
      </c>
      <c r="BA22" s="43" t="str">
        <f>IF(VLOOKUP(AZ22,βοηθητικό!$J$2:$N$354,3,FALSE)="","",VLOOKUP(AZ22,βοηθητικό!$J$2:$N$354,3,FALSE))</f>
        <v>_</v>
      </c>
      <c r="BB22" s="44"/>
      <c r="BC22" s="45" t="s">
        <v>16</v>
      </c>
      <c r="BD22" s="46" t="str">
        <f>IF(VLOOKUP(BC22,βοηθητικό!$J$2:$N$354,3,FALSE)="","",VLOOKUP(BC22,βοηθητικό!$J$2:$N$354,3,FALSE))</f>
        <v>_</v>
      </c>
      <c r="BE22" s="47"/>
      <c r="BF22" s="42" t="s">
        <v>16</v>
      </c>
      <c r="BG22" s="43" t="str">
        <f>IF(VLOOKUP(BF22,βοηθητικό!$J$2:$N$354,3,FALSE)="","",VLOOKUP(BF22,βοηθητικό!$J$2:$N$354,3,FALSE))</f>
        <v>_</v>
      </c>
      <c r="BH22" s="44"/>
      <c r="BI22" s="45" t="s">
        <v>16</v>
      </c>
      <c r="BJ22" s="46" t="str">
        <f>IF(VLOOKUP(BI22,βοηθητικό!$J$2:$N$354,3,FALSE)="","",VLOOKUP(BI22,βοηθητικό!$J$2:$N$354,3,FALSE))</f>
        <v>_</v>
      </c>
      <c r="BK22" s="47"/>
      <c r="BL22" s="42" t="s">
        <v>16</v>
      </c>
      <c r="BM22" s="43" t="str">
        <f>IF(VLOOKUP(BL22,βοηθητικό!$J$2:$N$354,3,FALSE)="","",VLOOKUP(BL22,βοηθητικό!$J$2:$N$354,3,FALSE))</f>
        <v>_</v>
      </c>
      <c r="BN22" s="44"/>
      <c r="BO22" s="45" t="s">
        <v>16</v>
      </c>
      <c r="BP22" s="46" t="str">
        <f>IF(VLOOKUP(BO22,βοηθητικό!$J$2:$N$354,3,FALSE)="","",VLOOKUP(BO22,βοηθητικό!$J$2:$N$354,3,FALSE))</f>
        <v>_</v>
      </c>
      <c r="BQ22" s="47"/>
      <c r="BR22" s="42" t="s">
        <v>16</v>
      </c>
      <c r="BS22" s="43" t="str">
        <f>IF(VLOOKUP(BR22,βοηθητικό!$J$2:$N$354,3,FALSE)="","",VLOOKUP(BR22,βοηθητικό!$J$2:$N$354,3,FALSE))</f>
        <v>_</v>
      </c>
      <c r="BT22" s="44"/>
      <c r="BU22" s="45" t="s">
        <v>16</v>
      </c>
      <c r="BV22" s="46" t="str">
        <f>IF(VLOOKUP(BU22,βοηθητικό!$J$2:$N$354,3,FALSE)="","",VLOOKUP(BU22,βοηθητικό!$J$2:$N$354,3,FALSE))</f>
        <v>_</v>
      </c>
      <c r="BW22" s="47"/>
      <c r="BX22" s="42" t="s">
        <v>16</v>
      </c>
      <c r="BY22" s="43" t="str">
        <f>IF(VLOOKUP(BX22,βοηθητικό!$J$2:$N$354,3,FALSE)="","",VLOOKUP(BX22,βοηθητικό!$J$2:$N$354,3,FALSE))</f>
        <v>_</v>
      </c>
      <c r="BZ22" s="44"/>
      <c r="CA22" s="45" t="s">
        <v>16</v>
      </c>
      <c r="CB22" s="46" t="str">
        <f>IF(VLOOKUP(CA22,βοηθητικό!$J$2:$N$354,3,FALSE)="","",VLOOKUP(CA22,βοηθητικό!$J$2:$N$354,3,FALSE))</f>
        <v>_</v>
      </c>
      <c r="CC22" s="47"/>
      <c r="CD22" s="42" t="s">
        <v>16</v>
      </c>
      <c r="CE22" s="43" t="str">
        <f>IF(VLOOKUP(CD22,βοηθητικό!$J$2:$N$354,3,FALSE)="","",VLOOKUP(CD22,βοηθητικό!$J$2:$N$354,3,FALSE))</f>
        <v>_</v>
      </c>
      <c r="CF22" s="44"/>
      <c r="CG22" s="45" t="s">
        <v>16</v>
      </c>
      <c r="CH22" s="46" t="str">
        <f>IF(VLOOKUP(CG22,βοηθητικό!$J$2:$N$354,3,FALSE)="","",VLOOKUP(CG22,βοηθητικό!$J$2:$N$354,3,FALSE))</f>
        <v>_</v>
      </c>
      <c r="CI22" s="47"/>
      <c r="CJ22" s="42" t="s">
        <v>16</v>
      </c>
      <c r="CK22" s="43" t="str">
        <f>IF(VLOOKUP(CJ22,βοηθητικό!$J$2:$N$354,3,FALSE)="","",VLOOKUP(CJ22,βοηθητικό!$J$2:$N$354,3,FALSE))</f>
        <v>_</v>
      </c>
      <c r="CL22" s="44"/>
      <c r="CM22" s="45" t="s">
        <v>16</v>
      </c>
      <c r="CN22" s="46" t="str">
        <f>IF(VLOOKUP(CM22,βοηθητικό!$J$2:$N$354,3,FALSE)="","",VLOOKUP(CM22,βοηθητικό!$J$2:$N$354,3,FALSE))</f>
        <v>_</v>
      </c>
      <c r="CO22" s="47"/>
      <c r="CP22" s="42" t="s">
        <v>16</v>
      </c>
      <c r="CQ22" s="43" t="str">
        <f>IF(VLOOKUP(CP22,βοηθητικό!$J$2:$N$354,3,FALSE)="","",VLOOKUP(CP22,βοηθητικό!$J$2:$N$354,3,FALSE))</f>
        <v>_</v>
      </c>
      <c r="CR22" s="44"/>
      <c r="CS22" s="45" t="s">
        <v>16</v>
      </c>
      <c r="CT22" s="46" t="str">
        <f>IF(VLOOKUP(CS22,βοηθητικό!$J$2:$N$354,3,FALSE)="","",VLOOKUP(CS22,βοηθητικό!$J$2:$N$354,3,FALSE))</f>
        <v>_</v>
      </c>
      <c r="CU22" s="47"/>
    </row>
    <row r="23" spans="1:99" x14ac:dyDescent="0.25">
      <c r="A23" s="37">
        <f>--SUBTOTAL(3,$B$3:B22)</f>
        <v>20</v>
      </c>
      <c r="B23" s="2">
        <v>45039</v>
      </c>
      <c r="C23" s="3">
        <v>45046</v>
      </c>
      <c r="D23" s="55" t="s">
        <v>64</v>
      </c>
      <c r="E23" s="38" t="s">
        <v>16</v>
      </c>
      <c r="F23" s="38" t="s">
        <v>16</v>
      </c>
      <c r="G23" s="39" t="str">
        <f t="shared" si="2"/>
        <v>__</v>
      </c>
      <c r="H23" s="40" t="str">
        <f t="shared" si="3"/>
        <v>FALSE</v>
      </c>
      <c r="I23" s="41">
        <f t="shared" si="4"/>
        <v>7</v>
      </c>
      <c r="J23" s="4" t="s">
        <v>630</v>
      </c>
      <c r="K23" s="43" t="str">
        <f>IF(VLOOKUP(J23,βοηθητικό!$J$2:$N$354,3,FALSE)="","",VLOOKUP(J23,βοηθητικό!$J$2:$N$354,3,FALSE))</f>
        <v>6973050287</v>
      </c>
      <c r="L23" s="44"/>
      <c r="M23" s="5" t="s">
        <v>647</v>
      </c>
      <c r="N23" s="46">
        <f>IF(VLOOKUP(M23,βοηθητικό!$J$2:$N$354,3,FALSE)="","",VLOOKUP(M23,βοηθητικό!$J$2:$N$354,3,FALSE))</f>
        <v>6977248108</v>
      </c>
      <c r="O23" s="47"/>
      <c r="P23" s="4" t="s">
        <v>651</v>
      </c>
      <c r="Q23" s="43" t="str">
        <f>IF(VLOOKUP(P23,βοηθητικό!$J$2:$N$354,3,FALSE)="","",VLOOKUP(P23,βοηθητικό!$J$2:$N$354,3,FALSE))</f>
        <v>6973336452</v>
      </c>
      <c r="R23" s="44"/>
      <c r="S23" s="5" t="s">
        <v>680</v>
      </c>
      <c r="T23" s="46">
        <f>IF(VLOOKUP(S23,βοηθητικό!$J$2:$N$354,3,FALSE)="","",VLOOKUP(S23,βοηθητικό!$J$2:$N$354,3,FALSE))</f>
        <v>6972606031</v>
      </c>
      <c r="U23" s="47"/>
      <c r="V23" s="4" t="s">
        <v>729</v>
      </c>
      <c r="W23" s="43">
        <f>IF(VLOOKUP(V23,βοηθητικό!$J$2:$N$354,3,FALSE)="","",VLOOKUP(V23,βοηθητικό!$J$2:$N$354,3,FALSE))</f>
        <v>6971762883</v>
      </c>
      <c r="X23" s="44"/>
      <c r="Y23" s="5" t="s">
        <v>731</v>
      </c>
      <c r="Z23" s="46" t="str">
        <f>IF(VLOOKUP(Y23,βοηθητικό!$J$2:$N$354,3,FALSE)="","",VLOOKUP(Y23,βοηθητικό!$J$2:$N$354,3,FALSE))</f>
        <v>6940503291</v>
      </c>
      <c r="AA23" s="47"/>
      <c r="AB23" s="4" t="s">
        <v>743</v>
      </c>
      <c r="AC23" s="43">
        <f>IF(VLOOKUP(AB23,βοηθητικό!$J$2:$N$354,3,FALSE)="","",VLOOKUP(AB23,βοηθητικό!$J$2:$N$354,3,FALSE))</f>
        <v>6977584355</v>
      </c>
      <c r="AD23" s="44"/>
      <c r="AE23" s="5" t="s">
        <v>16</v>
      </c>
      <c r="AF23" s="46" t="str">
        <f>IF(VLOOKUP(AE23,βοηθητικό!$J$2:$N$354,3,FALSE)="","",VLOOKUP(AE23,βοηθητικό!$J$2:$N$354,3,FALSE))</f>
        <v>_</v>
      </c>
      <c r="AG23" s="47"/>
      <c r="AH23" s="4" t="s">
        <v>16</v>
      </c>
      <c r="AI23" s="43" t="str">
        <f>IF(VLOOKUP(AH23,βοηθητικό!$J$2:$N$354,3,FALSE)="","",VLOOKUP(AH23,βοηθητικό!$J$2:$N$354,3,FALSE))</f>
        <v>_</v>
      </c>
      <c r="AJ23" s="44"/>
      <c r="AK23" s="5" t="s">
        <v>16</v>
      </c>
      <c r="AL23" s="46" t="str">
        <f>IF(VLOOKUP(AK23,βοηθητικό!$J$2:$N$354,3,FALSE)="","",VLOOKUP(AK23,βοηθητικό!$J$2:$N$354,3,FALSE))</f>
        <v>_</v>
      </c>
      <c r="AM23" s="47"/>
      <c r="AN23" s="4" t="s">
        <v>16</v>
      </c>
      <c r="AO23" s="43" t="str">
        <f>IF(VLOOKUP(AN23,βοηθητικό!$J$2:$N$354,3,FALSE)="","",VLOOKUP(AN23,βοηθητικό!$J$2:$N$354,3,FALSE))</f>
        <v>_</v>
      </c>
      <c r="AP23" s="44"/>
      <c r="AQ23" s="5" t="s">
        <v>16</v>
      </c>
      <c r="AR23" s="46" t="str">
        <f>IF(VLOOKUP(AQ23,βοηθητικό!$J$2:$N$354,3,FALSE)="","",VLOOKUP(AQ23,βοηθητικό!$J$2:$N$354,3,FALSE))</f>
        <v>_</v>
      </c>
      <c r="AS23" s="47"/>
      <c r="AT23" s="4" t="s">
        <v>16</v>
      </c>
      <c r="AU23" s="43" t="str">
        <f>IF(VLOOKUP(AT23,βοηθητικό!$J$2:$N$354,3,FALSE)="","",VLOOKUP(AT23,βοηθητικό!$J$2:$N$354,3,FALSE))</f>
        <v>_</v>
      </c>
      <c r="AV23" s="44"/>
      <c r="AW23" s="5" t="s">
        <v>16</v>
      </c>
      <c r="AX23" s="46" t="str">
        <f>IF(VLOOKUP(AW23,βοηθητικό!$J$2:$N$354,3,FALSE)="","",VLOOKUP(AW23,βοηθητικό!$J$2:$N$354,3,FALSE))</f>
        <v>_</v>
      </c>
      <c r="AY23" s="47"/>
      <c r="AZ23" s="4" t="s">
        <v>16</v>
      </c>
      <c r="BA23" s="43" t="str">
        <f>IF(VLOOKUP(AZ23,βοηθητικό!$J$2:$N$354,3,FALSE)="","",VLOOKUP(AZ23,βοηθητικό!$J$2:$N$354,3,FALSE))</f>
        <v>_</v>
      </c>
      <c r="BB23" s="44"/>
      <c r="BC23" s="45" t="s">
        <v>16</v>
      </c>
      <c r="BD23" s="46" t="str">
        <f>IF(VLOOKUP(BC23,βοηθητικό!$J$2:$N$354,3,FALSE)="","",VLOOKUP(BC23,βοηθητικό!$J$2:$N$354,3,FALSE))</f>
        <v>_</v>
      </c>
      <c r="BE23" s="47"/>
      <c r="BF23" s="42" t="s">
        <v>16</v>
      </c>
      <c r="BG23" s="43" t="str">
        <f>IF(VLOOKUP(BF23,βοηθητικό!$J$2:$N$354,3,FALSE)="","",VLOOKUP(BF23,βοηθητικό!$J$2:$N$354,3,FALSE))</f>
        <v>_</v>
      </c>
      <c r="BH23" s="44"/>
      <c r="BI23" s="45" t="s">
        <v>16</v>
      </c>
      <c r="BJ23" s="46" t="str">
        <f>IF(VLOOKUP(BI23,βοηθητικό!$J$2:$N$354,3,FALSE)="","",VLOOKUP(BI23,βοηθητικό!$J$2:$N$354,3,FALSE))</f>
        <v>_</v>
      </c>
      <c r="BK23" s="47"/>
      <c r="BL23" s="42" t="s">
        <v>16</v>
      </c>
      <c r="BM23" s="43" t="str">
        <f>IF(VLOOKUP(BL23,βοηθητικό!$J$2:$N$354,3,FALSE)="","",VLOOKUP(BL23,βοηθητικό!$J$2:$N$354,3,FALSE))</f>
        <v>_</v>
      </c>
      <c r="BN23" s="44"/>
      <c r="BO23" s="45" t="s">
        <v>16</v>
      </c>
      <c r="BP23" s="46" t="str">
        <f>IF(VLOOKUP(BO23,βοηθητικό!$J$2:$N$354,3,FALSE)="","",VLOOKUP(BO23,βοηθητικό!$J$2:$N$354,3,FALSE))</f>
        <v>_</v>
      </c>
      <c r="BQ23" s="47"/>
      <c r="BR23" s="42" t="s">
        <v>16</v>
      </c>
      <c r="BS23" s="43" t="str">
        <f>IF(VLOOKUP(BR23,βοηθητικό!$J$2:$N$354,3,FALSE)="","",VLOOKUP(BR23,βοηθητικό!$J$2:$N$354,3,FALSE))</f>
        <v>_</v>
      </c>
      <c r="BT23" s="44"/>
      <c r="BU23" s="45" t="s">
        <v>16</v>
      </c>
      <c r="BV23" s="46" t="str">
        <f>IF(VLOOKUP(BU23,βοηθητικό!$J$2:$N$354,3,FALSE)="","",VLOOKUP(BU23,βοηθητικό!$J$2:$N$354,3,FALSE))</f>
        <v>_</v>
      </c>
      <c r="BW23" s="47"/>
      <c r="BX23" s="42" t="s">
        <v>16</v>
      </c>
      <c r="BY23" s="43" t="str">
        <f>IF(VLOOKUP(BX23,βοηθητικό!$J$2:$N$354,3,FALSE)="","",VLOOKUP(BX23,βοηθητικό!$J$2:$N$354,3,FALSE))</f>
        <v>_</v>
      </c>
      <c r="BZ23" s="44"/>
      <c r="CA23" s="45" t="s">
        <v>16</v>
      </c>
      <c r="CB23" s="46" t="str">
        <f>IF(VLOOKUP(CA23,βοηθητικό!$J$2:$N$354,3,FALSE)="","",VLOOKUP(CA23,βοηθητικό!$J$2:$N$354,3,FALSE))</f>
        <v>_</v>
      </c>
      <c r="CC23" s="47"/>
      <c r="CD23" s="42" t="s">
        <v>16</v>
      </c>
      <c r="CE23" s="43" t="str">
        <f>IF(VLOOKUP(CD23,βοηθητικό!$J$2:$N$354,3,FALSE)="","",VLOOKUP(CD23,βοηθητικό!$J$2:$N$354,3,FALSE))</f>
        <v>_</v>
      </c>
      <c r="CF23" s="44"/>
      <c r="CG23" s="45" t="s">
        <v>16</v>
      </c>
      <c r="CH23" s="46" t="str">
        <f>IF(VLOOKUP(CG23,βοηθητικό!$J$2:$N$354,3,FALSE)="","",VLOOKUP(CG23,βοηθητικό!$J$2:$N$354,3,FALSE))</f>
        <v>_</v>
      </c>
      <c r="CI23" s="47"/>
      <c r="CJ23" s="42" t="s">
        <v>16</v>
      </c>
      <c r="CK23" s="43" t="str">
        <f>IF(VLOOKUP(CJ23,βοηθητικό!$J$2:$N$354,3,FALSE)="","",VLOOKUP(CJ23,βοηθητικό!$J$2:$N$354,3,FALSE))</f>
        <v>_</v>
      </c>
      <c r="CL23" s="44"/>
      <c r="CM23" s="45" t="s">
        <v>16</v>
      </c>
      <c r="CN23" s="46" t="str">
        <f>IF(VLOOKUP(CM23,βοηθητικό!$J$2:$N$354,3,FALSE)="","",VLOOKUP(CM23,βοηθητικό!$J$2:$N$354,3,FALSE))</f>
        <v>_</v>
      </c>
      <c r="CO23" s="47"/>
      <c r="CP23" s="42" t="s">
        <v>16</v>
      </c>
      <c r="CQ23" s="43" t="str">
        <f>IF(VLOOKUP(CP23,βοηθητικό!$J$2:$N$354,3,FALSE)="","",VLOOKUP(CP23,βοηθητικό!$J$2:$N$354,3,FALSE))</f>
        <v>_</v>
      </c>
      <c r="CR23" s="44"/>
      <c r="CS23" s="45" t="s">
        <v>16</v>
      </c>
      <c r="CT23" s="46" t="str">
        <f>IF(VLOOKUP(CS23,βοηθητικό!$J$2:$N$354,3,FALSE)="","",VLOOKUP(CS23,βοηθητικό!$J$2:$N$354,3,FALSE))</f>
        <v>_</v>
      </c>
      <c r="CU23" s="47"/>
    </row>
    <row r="24" spans="1:99" x14ac:dyDescent="0.25">
      <c r="A24" s="37">
        <f>--SUBTOTAL(3,$B$3:B23)</f>
        <v>21</v>
      </c>
      <c r="B24" s="2">
        <v>45039</v>
      </c>
      <c r="C24" s="3">
        <v>45046</v>
      </c>
      <c r="D24" s="55" t="s">
        <v>74</v>
      </c>
      <c r="E24" s="38" t="s">
        <v>16</v>
      </c>
      <c r="F24" s="38" t="s">
        <v>16</v>
      </c>
      <c r="G24" s="39" t="str">
        <f t="shared" si="2"/>
        <v>__</v>
      </c>
      <c r="H24" s="40" t="str">
        <f t="shared" si="3"/>
        <v>FALSE</v>
      </c>
      <c r="I24" s="41">
        <f t="shared" si="4"/>
        <v>8</v>
      </c>
      <c r="J24" s="4" t="s">
        <v>769</v>
      </c>
      <c r="K24" s="43" t="str">
        <f>IF(VLOOKUP(J24,βοηθητικό!$J$2:$N$354,3,FALSE)="","",VLOOKUP(J24,βοηθητικό!$J$2:$N$354,3,FALSE))</f>
        <v>6985807315</v>
      </c>
      <c r="L24" s="44"/>
      <c r="M24" s="5" t="s">
        <v>774</v>
      </c>
      <c r="N24" s="46">
        <f>IF(VLOOKUP(M24,βοηθητικό!$J$2:$N$354,3,FALSE)="","",VLOOKUP(M24,βοηθητικό!$J$2:$N$354,3,FALSE))</f>
        <v>6973545514</v>
      </c>
      <c r="O24" s="47"/>
      <c r="P24" s="4" t="s">
        <v>782</v>
      </c>
      <c r="Q24" s="43" t="str">
        <f>IF(VLOOKUP(P24,βοηθητικό!$J$2:$N$354,3,FALSE)="","",VLOOKUP(P24,βοηθητικό!$J$2:$N$354,3,FALSE))</f>
        <v>6983002093</v>
      </c>
      <c r="R24" s="44"/>
      <c r="S24" s="5" t="s">
        <v>813</v>
      </c>
      <c r="T24" s="46">
        <f>IF(VLOOKUP(S24,βοηθητικό!$J$2:$N$354,3,FALSE)="","",VLOOKUP(S24,βοηθητικό!$J$2:$N$354,3,FALSE))</f>
        <v>6988292634</v>
      </c>
      <c r="U24" s="47"/>
      <c r="V24" s="4" t="s">
        <v>825</v>
      </c>
      <c r="W24" s="43">
        <f>IF(VLOOKUP(V24,βοηθητικό!$J$2:$N$354,3,FALSE)="","",VLOOKUP(V24,βοηθητικό!$J$2:$N$354,3,FALSE))</f>
        <v>6907538451</v>
      </c>
      <c r="X24" s="44"/>
      <c r="Y24" s="5" t="s">
        <v>832</v>
      </c>
      <c r="Z24" s="46" t="str">
        <f>IF(VLOOKUP(Y24,βοηθητικό!$J$2:$N$354,3,FALSE)="","",VLOOKUP(Y24,βοηθητικό!$J$2:$N$354,3,FALSE))</f>
        <v>6945400547</v>
      </c>
      <c r="AA24" s="47"/>
      <c r="AB24" s="4" t="s">
        <v>870</v>
      </c>
      <c r="AC24" s="43" t="str">
        <f>IF(VLOOKUP(AB24,βοηθητικό!$J$2:$N$354,3,FALSE)="","",VLOOKUP(AB24,βοηθητικό!$J$2:$N$354,3,FALSE))</f>
        <v>6945204636</v>
      </c>
      <c r="AD24" s="44"/>
      <c r="AE24" s="5" t="s">
        <v>1087</v>
      </c>
      <c r="AF24" s="46" t="str">
        <f>IF(VLOOKUP(AE24,βοηθητικό!$J$2:$N$354,3,FALSE)="","",VLOOKUP(AE24,βοηθητικό!$J$2:$N$354,3,FALSE))</f>
        <v>6938246522</v>
      </c>
      <c r="AG24" s="47"/>
      <c r="AH24" s="4" t="s">
        <v>16</v>
      </c>
      <c r="AI24" s="43" t="str">
        <f>IF(VLOOKUP(AH24,βοηθητικό!$J$2:$N$354,3,FALSE)="","",VLOOKUP(AH24,βοηθητικό!$J$2:$N$354,3,FALSE))</f>
        <v>_</v>
      </c>
      <c r="AJ24" s="44"/>
      <c r="AK24" s="5" t="s">
        <v>16</v>
      </c>
      <c r="AL24" s="46" t="str">
        <f>IF(VLOOKUP(AK24,βοηθητικό!$J$2:$N$354,3,FALSE)="","",VLOOKUP(AK24,βοηθητικό!$J$2:$N$354,3,FALSE))</f>
        <v>_</v>
      </c>
      <c r="AM24" s="47"/>
      <c r="AN24" s="4" t="s">
        <v>16</v>
      </c>
      <c r="AO24" s="43" t="str">
        <f>IF(VLOOKUP(AN24,βοηθητικό!$J$2:$N$354,3,FALSE)="","",VLOOKUP(AN24,βοηθητικό!$J$2:$N$354,3,FALSE))</f>
        <v>_</v>
      </c>
      <c r="AP24" s="44"/>
      <c r="AQ24" s="5" t="s">
        <v>16</v>
      </c>
      <c r="AR24" s="46" t="str">
        <f>IF(VLOOKUP(AQ24,βοηθητικό!$J$2:$N$354,3,FALSE)="","",VLOOKUP(AQ24,βοηθητικό!$J$2:$N$354,3,FALSE))</f>
        <v>_</v>
      </c>
      <c r="AS24" s="47"/>
      <c r="AT24" s="4" t="s">
        <v>16</v>
      </c>
      <c r="AU24" s="43" t="str">
        <f>IF(VLOOKUP(AT24,βοηθητικό!$J$2:$N$354,3,FALSE)="","",VLOOKUP(AT24,βοηθητικό!$J$2:$N$354,3,FALSE))</f>
        <v>_</v>
      </c>
      <c r="AV24" s="44"/>
      <c r="AW24" s="5" t="s">
        <v>16</v>
      </c>
      <c r="AX24" s="46" t="str">
        <f>IF(VLOOKUP(AW24,βοηθητικό!$J$2:$N$354,3,FALSE)="","",VLOOKUP(AW24,βοηθητικό!$J$2:$N$354,3,FALSE))</f>
        <v>_</v>
      </c>
      <c r="AY24" s="47"/>
      <c r="AZ24" s="4" t="s">
        <v>16</v>
      </c>
      <c r="BA24" s="43" t="str">
        <f>IF(VLOOKUP(AZ24,βοηθητικό!$J$2:$N$354,3,FALSE)="","",VLOOKUP(AZ24,βοηθητικό!$J$2:$N$354,3,FALSE))</f>
        <v>_</v>
      </c>
      <c r="BB24" s="44"/>
      <c r="BC24" s="45" t="s">
        <v>16</v>
      </c>
      <c r="BD24" s="46" t="str">
        <f>IF(VLOOKUP(BC24,βοηθητικό!$J$2:$N$354,3,FALSE)="","",VLOOKUP(BC24,βοηθητικό!$J$2:$N$354,3,FALSE))</f>
        <v>_</v>
      </c>
      <c r="BE24" s="47"/>
      <c r="BF24" s="42" t="s">
        <v>16</v>
      </c>
      <c r="BG24" s="43" t="str">
        <f>IF(VLOOKUP(BF24,βοηθητικό!$J$2:$N$354,3,FALSE)="","",VLOOKUP(BF24,βοηθητικό!$J$2:$N$354,3,FALSE))</f>
        <v>_</v>
      </c>
      <c r="BH24" s="44"/>
      <c r="BI24" s="45" t="s">
        <v>16</v>
      </c>
      <c r="BJ24" s="46" t="str">
        <f>IF(VLOOKUP(BI24,βοηθητικό!$J$2:$N$354,3,FALSE)="","",VLOOKUP(BI24,βοηθητικό!$J$2:$N$354,3,FALSE))</f>
        <v>_</v>
      </c>
      <c r="BK24" s="47"/>
      <c r="BL24" s="42" t="s">
        <v>16</v>
      </c>
      <c r="BM24" s="43" t="str">
        <f>IF(VLOOKUP(BL24,βοηθητικό!$J$2:$N$354,3,FALSE)="","",VLOOKUP(BL24,βοηθητικό!$J$2:$N$354,3,FALSE))</f>
        <v>_</v>
      </c>
      <c r="BN24" s="44"/>
      <c r="BO24" s="45" t="s">
        <v>16</v>
      </c>
      <c r="BP24" s="46" t="str">
        <f>IF(VLOOKUP(BO24,βοηθητικό!$J$2:$N$354,3,FALSE)="","",VLOOKUP(BO24,βοηθητικό!$J$2:$N$354,3,FALSE))</f>
        <v>_</v>
      </c>
      <c r="BQ24" s="47"/>
      <c r="BR24" s="42" t="s">
        <v>16</v>
      </c>
      <c r="BS24" s="43" t="str">
        <f>IF(VLOOKUP(BR24,βοηθητικό!$J$2:$N$354,3,FALSE)="","",VLOOKUP(BR24,βοηθητικό!$J$2:$N$354,3,FALSE))</f>
        <v>_</v>
      </c>
      <c r="BT24" s="44"/>
      <c r="BU24" s="45" t="s">
        <v>16</v>
      </c>
      <c r="BV24" s="46" t="str">
        <f>IF(VLOOKUP(BU24,βοηθητικό!$J$2:$N$354,3,FALSE)="","",VLOOKUP(BU24,βοηθητικό!$J$2:$N$354,3,FALSE))</f>
        <v>_</v>
      </c>
      <c r="BW24" s="47"/>
      <c r="BX24" s="42" t="s">
        <v>16</v>
      </c>
      <c r="BY24" s="43" t="str">
        <f>IF(VLOOKUP(BX24,βοηθητικό!$J$2:$N$354,3,FALSE)="","",VLOOKUP(BX24,βοηθητικό!$J$2:$N$354,3,FALSE))</f>
        <v>_</v>
      </c>
      <c r="BZ24" s="44"/>
      <c r="CA24" s="45" t="s">
        <v>16</v>
      </c>
      <c r="CB24" s="46" t="str">
        <f>IF(VLOOKUP(CA24,βοηθητικό!$J$2:$N$354,3,FALSE)="","",VLOOKUP(CA24,βοηθητικό!$J$2:$N$354,3,FALSE))</f>
        <v>_</v>
      </c>
      <c r="CC24" s="47"/>
      <c r="CD24" s="42" t="s">
        <v>16</v>
      </c>
      <c r="CE24" s="43" t="str">
        <f>IF(VLOOKUP(CD24,βοηθητικό!$J$2:$N$354,3,FALSE)="","",VLOOKUP(CD24,βοηθητικό!$J$2:$N$354,3,FALSE))</f>
        <v>_</v>
      </c>
      <c r="CF24" s="44"/>
      <c r="CG24" s="45" t="s">
        <v>16</v>
      </c>
      <c r="CH24" s="46" t="str">
        <f>IF(VLOOKUP(CG24,βοηθητικό!$J$2:$N$354,3,FALSE)="","",VLOOKUP(CG24,βοηθητικό!$J$2:$N$354,3,FALSE))</f>
        <v>_</v>
      </c>
      <c r="CI24" s="47"/>
      <c r="CJ24" s="42" t="s">
        <v>16</v>
      </c>
      <c r="CK24" s="43" t="str">
        <f>IF(VLOOKUP(CJ24,βοηθητικό!$J$2:$N$354,3,FALSE)="","",VLOOKUP(CJ24,βοηθητικό!$J$2:$N$354,3,FALSE))</f>
        <v>_</v>
      </c>
      <c r="CL24" s="44"/>
      <c r="CM24" s="45" t="s">
        <v>16</v>
      </c>
      <c r="CN24" s="46" t="str">
        <f>IF(VLOOKUP(CM24,βοηθητικό!$J$2:$N$354,3,FALSE)="","",VLOOKUP(CM24,βοηθητικό!$J$2:$N$354,3,FALSE))</f>
        <v>_</v>
      </c>
      <c r="CO24" s="47"/>
      <c r="CP24" s="42" t="s">
        <v>16</v>
      </c>
      <c r="CQ24" s="43" t="str">
        <f>IF(VLOOKUP(CP24,βοηθητικό!$J$2:$N$354,3,FALSE)="","",VLOOKUP(CP24,βοηθητικό!$J$2:$N$354,3,FALSE))</f>
        <v>_</v>
      </c>
      <c r="CR24" s="44"/>
      <c r="CS24" s="45" t="s">
        <v>16</v>
      </c>
      <c r="CT24" s="46" t="str">
        <f>IF(VLOOKUP(CS24,βοηθητικό!$J$2:$N$354,3,FALSE)="","",VLOOKUP(CS24,βοηθητικό!$J$2:$N$354,3,FALSE))</f>
        <v>_</v>
      </c>
      <c r="CU24" s="47"/>
    </row>
    <row r="25" spans="1:99" x14ac:dyDescent="0.25">
      <c r="A25" s="37">
        <f>--SUBTOTAL(3,$B$3:B24)</f>
        <v>22</v>
      </c>
      <c r="B25" s="2">
        <v>45039</v>
      </c>
      <c r="C25" s="3">
        <v>45046</v>
      </c>
      <c r="D25" s="55" t="s">
        <v>83</v>
      </c>
      <c r="E25" s="38" t="s">
        <v>16</v>
      </c>
      <c r="F25" s="38" t="s">
        <v>16</v>
      </c>
      <c r="G25" s="39" t="str">
        <f t="shared" si="2"/>
        <v>__</v>
      </c>
      <c r="H25" s="40" t="str">
        <f t="shared" si="3"/>
        <v>FALSE</v>
      </c>
      <c r="I25" s="41">
        <f t="shared" si="4"/>
        <v>5</v>
      </c>
      <c r="J25" s="4" t="s">
        <v>875</v>
      </c>
      <c r="K25" s="43" t="str">
        <f>IF(VLOOKUP(J25,βοηθητικό!$J$2:$N$354,3,FALSE)="","",VLOOKUP(J25,βοηθητικό!$J$2:$N$354,3,FALSE))</f>
        <v>6980736334</v>
      </c>
      <c r="L25" s="44"/>
      <c r="M25" s="5" t="s">
        <v>892</v>
      </c>
      <c r="N25" s="46" t="str">
        <f>IF(VLOOKUP(M25,βοηθητικό!$J$2:$N$354,3,FALSE)="","",VLOOKUP(M25,βοηθητικό!$J$2:$N$354,3,FALSE))</f>
        <v>6978335362</v>
      </c>
      <c r="O25" s="47"/>
      <c r="P25" s="4" t="s">
        <v>919</v>
      </c>
      <c r="Q25" s="43" t="str">
        <f>IF(VLOOKUP(P25,βοηθητικό!$J$2:$N$354,3,FALSE)="","",VLOOKUP(P25,βοηθητικό!$J$2:$N$354,3,FALSE))</f>
        <v>6972309803</v>
      </c>
      <c r="R25" s="44"/>
      <c r="S25" s="5" t="s">
        <v>900</v>
      </c>
      <c r="T25" s="46" t="str">
        <f>IF(VLOOKUP(S25,βοηθητικό!$J$2:$N$354,3,FALSE)="","",VLOOKUP(S25,βοηθητικό!$J$2:$N$354,3,FALSE))</f>
        <v>_</v>
      </c>
      <c r="U25" s="47"/>
      <c r="V25" s="4" t="s">
        <v>907</v>
      </c>
      <c r="W25" s="43" t="str">
        <f>IF(VLOOKUP(V25,βοηθητικό!$J$2:$N$354,3,FALSE)="","",VLOOKUP(V25,βοηθητικό!$J$2:$N$354,3,FALSE))</f>
        <v>6974321817</v>
      </c>
      <c r="X25" s="44"/>
      <c r="Y25" s="5" t="s">
        <v>16</v>
      </c>
      <c r="Z25" s="46" t="str">
        <f>IF(VLOOKUP(Y25,βοηθητικό!$J$2:$N$354,3,FALSE)="","",VLOOKUP(Y25,βοηθητικό!$J$2:$N$354,3,FALSE))</f>
        <v>_</v>
      </c>
      <c r="AA25" s="47"/>
      <c r="AB25" s="4" t="s">
        <v>16</v>
      </c>
      <c r="AC25" s="43" t="str">
        <f>IF(VLOOKUP(AB25,βοηθητικό!$J$2:$N$354,3,FALSE)="","",VLOOKUP(AB25,βοηθητικό!$J$2:$N$354,3,FALSE))</f>
        <v>_</v>
      </c>
      <c r="AD25" s="44"/>
      <c r="AE25" s="5" t="s">
        <v>16</v>
      </c>
      <c r="AF25" s="46" t="str">
        <f>IF(VLOOKUP(AE25,βοηθητικό!$J$2:$N$354,3,FALSE)="","",VLOOKUP(AE25,βοηθητικό!$J$2:$N$354,3,FALSE))</f>
        <v>_</v>
      </c>
      <c r="AG25" s="47"/>
      <c r="AH25" s="4" t="s">
        <v>16</v>
      </c>
      <c r="AI25" s="43" t="str">
        <f>IF(VLOOKUP(AH25,βοηθητικό!$J$2:$N$354,3,FALSE)="","",VLOOKUP(AH25,βοηθητικό!$J$2:$N$354,3,FALSE))</f>
        <v>_</v>
      </c>
      <c r="AJ25" s="44"/>
      <c r="AK25" s="5" t="s">
        <v>16</v>
      </c>
      <c r="AL25" s="46" t="str">
        <f>IF(VLOOKUP(AK25,βοηθητικό!$J$2:$N$354,3,FALSE)="","",VLOOKUP(AK25,βοηθητικό!$J$2:$N$354,3,FALSE))</f>
        <v>_</v>
      </c>
      <c r="AM25" s="47"/>
      <c r="AN25" s="4" t="s">
        <v>16</v>
      </c>
      <c r="AO25" s="43" t="str">
        <f>IF(VLOOKUP(AN25,βοηθητικό!$J$2:$N$354,3,FALSE)="","",VLOOKUP(AN25,βοηθητικό!$J$2:$N$354,3,FALSE))</f>
        <v>_</v>
      </c>
      <c r="AP25" s="44"/>
      <c r="AQ25" s="5" t="s">
        <v>16</v>
      </c>
      <c r="AR25" s="46" t="str">
        <f>IF(VLOOKUP(AQ25,βοηθητικό!$J$2:$N$354,3,FALSE)="","",VLOOKUP(AQ25,βοηθητικό!$J$2:$N$354,3,FALSE))</f>
        <v>_</v>
      </c>
      <c r="AS25" s="47"/>
      <c r="AT25" s="4" t="s">
        <v>16</v>
      </c>
      <c r="AU25" s="43" t="str">
        <f>IF(VLOOKUP(AT25,βοηθητικό!$J$2:$N$354,3,FALSE)="","",VLOOKUP(AT25,βοηθητικό!$J$2:$N$354,3,FALSE))</f>
        <v>_</v>
      </c>
      <c r="AV25" s="44"/>
      <c r="AW25" s="5" t="s">
        <v>16</v>
      </c>
      <c r="AX25" s="46" t="str">
        <f>IF(VLOOKUP(AW25,βοηθητικό!$J$2:$N$354,3,FALSE)="","",VLOOKUP(AW25,βοηθητικό!$J$2:$N$354,3,FALSE))</f>
        <v>_</v>
      </c>
      <c r="AY25" s="47"/>
      <c r="AZ25" s="4" t="s">
        <v>16</v>
      </c>
      <c r="BA25" s="43" t="str">
        <f>IF(VLOOKUP(AZ25,βοηθητικό!$J$2:$N$354,3,FALSE)="","",VLOOKUP(AZ25,βοηθητικό!$J$2:$N$354,3,FALSE))</f>
        <v>_</v>
      </c>
      <c r="BB25" s="44"/>
      <c r="BC25" s="45" t="s">
        <v>16</v>
      </c>
      <c r="BD25" s="46" t="str">
        <f>IF(VLOOKUP(BC25,βοηθητικό!$J$2:$N$354,3,FALSE)="","",VLOOKUP(BC25,βοηθητικό!$J$2:$N$354,3,FALSE))</f>
        <v>_</v>
      </c>
      <c r="BE25" s="47"/>
      <c r="BF25" s="42" t="s">
        <v>16</v>
      </c>
      <c r="BG25" s="43" t="str">
        <f>IF(VLOOKUP(BF25,βοηθητικό!$J$2:$N$354,3,FALSE)="","",VLOOKUP(BF25,βοηθητικό!$J$2:$N$354,3,FALSE))</f>
        <v>_</v>
      </c>
      <c r="BH25" s="44"/>
      <c r="BI25" s="45" t="s">
        <v>16</v>
      </c>
      <c r="BJ25" s="46" t="str">
        <f>IF(VLOOKUP(BI25,βοηθητικό!$J$2:$N$354,3,FALSE)="","",VLOOKUP(BI25,βοηθητικό!$J$2:$N$354,3,FALSE))</f>
        <v>_</v>
      </c>
      <c r="BK25" s="47"/>
      <c r="BL25" s="42" t="s">
        <v>16</v>
      </c>
      <c r="BM25" s="43" t="str">
        <f>IF(VLOOKUP(BL25,βοηθητικό!$J$2:$N$354,3,FALSE)="","",VLOOKUP(BL25,βοηθητικό!$J$2:$N$354,3,FALSE))</f>
        <v>_</v>
      </c>
      <c r="BN25" s="44"/>
      <c r="BO25" s="45" t="s">
        <v>16</v>
      </c>
      <c r="BP25" s="46" t="str">
        <f>IF(VLOOKUP(BO25,βοηθητικό!$J$2:$N$354,3,FALSE)="","",VLOOKUP(BO25,βοηθητικό!$J$2:$N$354,3,FALSE))</f>
        <v>_</v>
      </c>
      <c r="BQ25" s="47"/>
      <c r="BR25" s="42" t="s">
        <v>16</v>
      </c>
      <c r="BS25" s="43" t="str">
        <f>IF(VLOOKUP(BR25,βοηθητικό!$J$2:$N$354,3,FALSE)="","",VLOOKUP(BR25,βοηθητικό!$J$2:$N$354,3,FALSE))</f>
        <v>_</v>
      </c>
      <c r="BT25" s="44"/>
      <c r="BU25" s="45" t="s">
        <v>16</v>
      </c>
      <c r="BV25" s="46" t="str">
        <f>IF(VLOOKUP(BU25,βοηθητικό!$J$2:$N$354,3,FALSE)="","",VLOOKUP(BU25,βοηθητικό!$J$2:$N$354,3,FALSE))</f>
        <v>_</v>
      </c>
      <c r="BW25" s="47"/>
      <c r="BX25" s="42" t="s">
        <v>16</v>
      </c>
      <c r="BY25" s="43" t="str">
        <f>IF(VLOOKUP(BX25,βοηθητικό!$J$2:$N$354,3,FALSE)="","",VLOOKUP(BX25,βοηθητικό!$J$2:$N$354,3,FALSE))</f>
        <v>_</v>
      </c>
      <c r="BZ25" s="44"/>
      <c r="CA25" s="45" t="s">
        <v>16</v>
      </c>
      <c r="CB25" s="46" t="str">
        <f>IF(VLOOKUP(CA25,βοηθητικό!$J$2:$N$354,3,FALSE)="","",VLOOKUP(CA25,βοηθητικό!$J$2:$N$354,3,FALSE))</f>
        <v>_</v>
      </c>
      <c r="CC25" s="47"/>
      <c r="CD25" s="42" t="s">
        <v>16</v>
      </c>
      <c r="CE25" s="43" t="str">
        <f>IF(VLOOKUP(CD25,βοηθητικό!$J$2:$N$354,3,FALSE)="","",VLOOKUP(CD25,βοηθητικό!$J$2:$N$354,3,FALSE))</f>
        <v>_</v>
      </c>
      <c r="CF25" s="44"/>
      <c r="CG25" s="45" t="s">
        <v>16</v>
      </c>
      <c r="CH25" s="46" t="str">
        <f>IF(VLOOKUP(CG25,βοηθητικό!$J$2:$N$354,3,FALSE)="","",VLOOKUP(CG25,βοηθητικό!$J$2:$N$354,3,FALSE))</f>
        <v>_</v>
      </c>
      <c r="CI25" s="47"/>
      <c r="CJ25" s="42" t="s">
        <v>16</v>
      </c>
      <c r="CK25" s="43" t="str">
        <f>IF(VLOOKUP(CJ25,βοηθητικό!$J$2:$N$354,3,FALSE)="","",VLOOKUP(CJ25,βοηθητικό!$J$2:$N$354,3,FALSE))</f>
        <v>_</v>
      </c>
      <c r="CL25" s="44"/>
      <c r="CM25" s="45" t="s">
        <v>16</v>
      </c>
      <c r="CN25" s="46" t="str">
        <f>IF(VLOOKUP(CM25,βοηθητικό!$J$2:$N$354,3,FALSE)="","",VLOOKUP(CM25,βοηθητικό!$J$2:$N$354,3,FALSE))</f>
        <v>_</v>
      </c>
      <c r="CO25" s="47"/>
      <c r="CP25" s="42" t="s">
        <v>16</v>
      </c>
      <c r="CQ25" s="43" t="str">
        <f>IF(VLOOKUP(CP25,βοηθητικό!$J$2:$N$354,3,FALSE)="","",VLOOKUP(CP25,βοηθητικό!$J$2:$N$354,3,FALSE))</f>
        <v>_</v>
      </c>
      <c r="CR25" s="44"/>
      <c r="CS25" s="45" t="s">
        <v>16</v>
      </c>
      <c r="CT25" s="46" t="str">
        <f>IF(VLOOKUP(CS25,βοηθητικό!$J$2:$N$354,3,FALSE)="","",VLOOKUP(CS25,βοηθητικό!$J$2:$N$354,3,FALSE))</f>
        <v>_</v>
      </c>
      <c r="CU25" s="47"/>
    </row>
    <row r="26" spans="1:99" x14ac:dyDescent="0.25">
      <c r="A26" s="37">
        <f>--SUBTOTAL(3,$B$3:B25)</f>
        <v>23</v>
      </c>
      <c r="B26" s="2">
        <v>45039</v>
      </c>
      <c r="C26" s="3">
        <v>45046</v>
      </c>
      <c r="D26" s="55" t="s">
        <v>92</v>
      </c>
      <c r="E26" s="38" t="s">
        <v>16</v>
      </c>
      <c r="F26" s="38" t="s">
        <v>16</v>
      </c>
      <c r="G26" s="39" t="str">
        <f t="shared" si="2"/>
        <v>__</v>
      </c>
      <c r="H26" s="40" t="str">
        <f t="shared" si="3"/>
        <v>FALSE</v>
      </c>
      <c r="I26" s="41">
        <f t="shared" si="4"/>
        <v>11</v>
      </c>
      <c r="J26" s="4" t="s">
        <v>954</v>
      </c>
      <c r="K26" s="43">
        <f>IF(VLOOKUP(J26,βοηθητικό!$J$2:$N$354,3,FALSE)="","",VLOOKUP(J26,βοηθητικό!$J$2:$N$354,3,FALSE))</f>
        <v>6944377718</v>
      </c>
      <c r="L26" s="44"/>
      <c r="M26" s="5" t="s">
        <v>978</v>
      </c>
      <c r="N26" s="46">
        <f>IF(VLOOKUP(M26,βοηθητικό!$J$2:$N$354,3,FALSE)="","",VLOOKUP(M26,βοηθητικό!$J$2:$N$354,3,FALSE))</f>
        <v>6976058607</v>
      </c>
      <c r="O26" s="47"/>
      <c r="P26" s="4" t="s">
        <v>981</v>
      </c>
      <c r="Q26" s="43" t="str">
        <f>IF(VLOOKUP(P26,βοηθητικό!$J$2:$N$354,3,FALSE)="","",VLOOKUP(P26,βοηθητικό!$J$2:$N$354,3,FALSE))</f>
        <v>6978853783</v>
      </c>
      <c r="R26" s="44"/>
      <c r="S26" s="5" t="s">
        <v>995</v>
      </c>
      <c r="T26" s="46" t="str">
        <f>IF(VLOOKUP(S26,βοηθητικό!$J$2:$N$354,3,FALSE)="","",VLOOKUP(S26,βοηθητικό!$J$2:$N$354,3,FALSE))</f>
        <v>6972386367</v>
      </c>
      <c r="U26" s="47"/>
      <c r="V26" s="4" t="s">
        <v>1026</v>
      </c>
      <c r="W26" s="43">
        <f>IF(VLOOKUP(V26,βοηθητικό!$J$2:$N$354,3,FALSE)="","",VLOOKUP(V26,βοηθητικό!$J$2:$N$354,3,FALSE))</f>
        <v>6972915741</v>
      </c>
      <c r="X26" s="44"/>
      <c r="Y26" s="5" t="s">
        <v>1033</v>
      </c>
      <c r="Z26" s="46">
        <f>IF(VLOOKUP(Y26,βοηθητικό!$J$2:$N$354,3,FALSE)="","",VLOOKUP(Y26,βοηθητικό!$J$2:$N$354,3,FALSE))</f>
        <v>6974114328</v>
      </c>
      <c r="AA26" s="47"/>
      <c r="AB26" s="4" t="s">
        <v>1036</v>
      </c>
      <c r="AC26" s="43" t="str">
        <f>IF(VLOOKUP(AB26,βοηθητικό!$J$2:$N$354,3,FALSE)="","",VLOOKUP(AB26,βοηθητικό!$J$2:$N$354,3,FALSE))</f>
        <v>6944393637</v>
      </c>
      <c r="AD26" s="44"/>
      <c r="AE26" s="5" t="s">
        <v>1041</v>
      </c>
      <c r="AF26" s="46">
        <f>IF(VLOOKUP(AE26,βοηθητικό!$J$2:$N$354,3,FALSE)="","",VLOOKUP(AE26,βοηθητικό!$J$2:$N$354,3,FALSE))</f>
        <v>6977628647</v>
      </c>
      <c r="AG26" s="47"/>
      <c r="AH26" s="4" t="s">
        <v>1036</v>
      </c>
      <c r="AI26" s="43" t="str">
        <f>IF(VLOOKUP(AH26,βοηθητικό!$J$2:$N$354,3,FALSE)="","",VLOOKUP(AH26,βοηθητικό!$J$2:$N$354,3,FALSE))</f>
        <v>6944393637</v>
      </c>
      <c r="AJ26" s="44"/>
      <c r="AK26" s="5" t="s">
        <v>1062</v>
      </c>
      <c r="AL26" s="46">
        <f>IF(VLOOKUP(AK26,βοηθητικό!$J$2:$N$354,3,FALSE)="","",VLOOKUP(AK26,βοηθητικό!$J$2:$N$354,3,FALSE))</f>
        <v>6977010272</v>
      </c>
      <c r="AM26" s="47"/>
      <c r="AN26" s="4" t="s">
        <v>1074</v>
      </c>
      <c r="AO26" s="43">
        <f>IF(VLOOKUP(AN26,βοηθητικό!$J$2:$N$354,3,FALSE)="","",VLOOKUP(AN26,βοηθητικό!$J$2:$N$354,3,FALSE))</f>
        <v>6948254859</v>
      </c>
      <c r="AP26" s="44"/>
      <c r="AQ26" s="5" t="s">
        <v>16</v>
      </c>
      <c r="AR26" s="46" t="str">
        <f>IF(VLOOKUP(AQ26,βοηθητικό!$J$2:$N$354,3,FALSE)="","",VLOOKUP(AQ26,βοηθητικό!$J$2:$N$354,3,FALSE))</f>
        <v>_</v>
      </c>
      <c r="AS26" s="47"/>
      <c r="AT26" s="4" t="s">
        <v>16</v>
      </c>
      <c r="AU26" s="43" t="str">
        <f>IF(VLOOKUP(AT26,βοηθητικό!$J$2:$N$354,3,FALSE)="","",VLOOKUP(AT26,βοηθητικό!$J$2:$N$354,3,FALSE))</f>
        <v>_</v>
      </c>
      <c r="AV26" s="44"/>
      <c r="AW26" s="5" t="s">
        <v>16</v>
      </c>
      <c r="AX26" s="46" t="str">
        <f>IF(VLOOKUP(AW26,βοηθητικό!$J$2:$N$354,3,FALSE)="","",VLOOKUP(AW26,βοηθητικό!$J$2:$N$354,3,FALSE))</f>
        <v>_</v>
      </c>
      <c r="AY26" s="47"/>
      <c r="AZ26" s="4" t="s">
        <v>16</v>
      </c>
      <c r="BA26" s="43" t="str">
        <f>IF(VLOOKUP(AZ26,βοηθητικό!$J$2:$N$354,3,FALSE)="","",VLOOKUP(AZ26,βοηθητικό!$J$2:$N$354,3,FALSE))</f>
        <v>_</v>
      </c>
      <c r="BB26" s="44"/>
      <c r="BC26" s="45" t="s">
        <v>16</v>
      </c>
      <c r="BD26" s="46" t="str">
        <f>IF(VLOOKUP(BC26,βοηθητικό!$J$2:$N$354,3,FALSE)="","",VLOOKUP(BC26,βοηθητικό!$J$2:$N$354,3,FALSE))</f>
        <v>_</v>
      </c>
      <c r="BE26" s="47"/>
      <c r="BF26" s="42" t="s">
        <v>16</v>
      </c>
      <c r="BG26" s="43" t="str">
        <f>IF(VLOOKUP(BF26,βοηθητικό!$J$2:$N$354,3,FALSE)="","",VLOOKUP(BF26,βοηθητικό!$J$2:$N$354,3,FALSE))</f>
        <v>_</v>
      </c>
      <c r="BH26" s="44"/>
      <c r="BI26" s="45" t="s">
        <v>16</v>
      </c>
      <c r="BJ26" s="46" t="str">
        <f>IF(VLOOKUP(BI26,βοηθητικό!$J$2:$N$354,3,FALSE)="","",VLOOKUP(BI26,βοηθητικό!$J$2:$N$354,3,FALSE))</f>
        <v>_</v>
      </c>
      <c r="BK26" s="47"/>
      <c r="BL26" s="42" t="s">
        <v>16</v>
      </c>
      <c r="BM26" s="43" t="str">
        <f>IF(VLOOKUP(BL26,βοηθητικό!$J$2:$N$354,3,FALSE)="","",VLOOKUP(BL26,βοηθητικό!$J$2:$N$354,3,FALSE))</f>
        <v>_</v>
      </c>
      <c r="BN26" s="44"/>
      <c r="BO26" s="45" t="s">
        <v>16</v>
      </c>
      <c r="BP26" s="46" t="str">
        <f>IF(VLOOKUP(BO26,βοηθητικό!$J$2:$N$354,3,FALSE)="","",VLOOKUP(BO26,βοηθητικό!$J$2:$N$354,3,FALSE))</f>
        <v>_</v>
      </c>
      <c r="BQ26" s="47"/>
      <c r="BR26" s="42" t="s">
        <v>16</v>
      </c>
      <c r="BS26" s="43" t="str">
        <f>IF(VLOOKUP(BR26,βοηθητικό!$J$2:$N$354,3,FALSE)="","",VLOOKUP(BR26,βοηθητικό!$J$2:$N$354,3,FALSE))</f>
        <v>_</v>
      </c>
      <c r="BT26" s="44"/>
      <c r="BU26" s="45" t="s">
        <v>16</v>
      </c>
      <c r="BV26" s="46" t="str">
        <f>IF(VLOOKUP(BU26,βοηθητικό!$J$2:$N$354,3,FALSE)="","",VLOOKUP(BU26,βοηθητικό!$J$2:$N$354,3,FALSE))</f>
        <v>_</v>
      </c>
      <c r="BW26" s="47"/>
      <c r="BX26" s="42" t="s">
        <v>16</v>
      </c>
      <c r="BY26" s="43" t="str">
        <f>IF(VLOOKUP(BX26,βοηθητικό!$J$2:$N$354,3,FALSE)="","",VLOOKUP(BX26,βοηθητικό!$J$2:$N$354,3,FALSE))</f>
        <v>_</v>
      </c>
      <c r="BZ26" s="44"/>
      <c r="CA26" s="45" t="s">
        <v>16</v>
      </c>
      <c r="CB26" s="46" t="str">
        <f>IF(VLOOKUP(CA26,βοηθητικό!$J$2:$N$354,3,FALSE)="","",VLOOKUP(CA26,βοηθητικό!$J$2:$N$354,3,FALSE))</f>
        <v>_</v>
      </c>
      <c r="CC26" s="47"/>
      <c r="CD26" s="42" t="s">
        <v>16</v>
      </c>
      <c r="CE26" s="43" t="str">
        <f>IF(VLOOKUP(CD26,βοηθητικό!$J$2:$N$354,3,FALSE)="","",VLOOKUP(CD26,βοηθητικό!$J$2:$N$354,3,FALSE))</f>
        <v>_</v>
      </c>
      <c r="CF26" s="44"/>
      <c r="CG26" s="45" t="s">
        <v>16</v>
      </c>
      <c r="CH26" s="46" t="str">
        <f>IF(VLOOKUP(CG26,βοηθητικό!$J$2:$N$354,3,FALSE)="","",VLOOKUP(CG26,βοηθητικό!$J$2:$N$354,3,FALSE))</f>
        <v>_</v>
      </c>
      <c r="CI26" s="47"/>
      <c r="CJ26" s="42" t="s">
        <v>16</v>
      </c>
      <c r="CK26" s="43" t="str">
        <f>IF(VLOOKUP(CJ26,βοηθητικό!$J$2:$N$354,3,FALSE)="","",VLOOKUP(CJ26,βοηθητικό!$J$2:$N$354,3,FALSE))</f>
        <v>_</v>
      </c>
      <c r="CL26" s="44"/>
      <c r="CM26" s="45" t="s">
        <v>16</v>
      </c>
      <c r="CN26" s="46" t="str">
        <f>IF(VLOOKUP(CM26,βοηθητικό!$J$2:$N$354,3,FALSE)="","",VLOOKUP(CM26,βοηθητικό!$J$2:$N$354,3,FALSE))</f>
        <v>_</v>
      </c>
      <c r="CO26" s="47"/>
      <c r="CP26" s="42" t="s">
        <v>16</v>
      </c>
      <c r="CQ26" s="43" t="str">
        <f>IF(VLOOKUP(CP26,βοηθητικό!$J$2:$N$354,3,FALSE)="","",VLOOKUP(CP26,βοηθητικό!$J$2:$N$354,3,FALSE))</f>
        <v>_</v>
      </c>
      <c r="CR26" s="44"/>
      <c r="CS26" s="45" t="s">
        <v>16</v>
      </c>
      <c r="CT26" s="46" t="str">
        <f>IF(VLOOKUP(CS26,βοηθητικό!$J$2:$N$354,3,FALSE)="","",VLOOKUP(CS26,βοηθητικό!$J$2:$N$354,3,FALSE))</f>
        <v>_</v>
      </c>
      <c r="CU26" s="47"/>
    </row>
    <row r="27" spans="1:99" x14ac:dyDescent="0.25">
      <c r="A27" s="37">
        <f>--SUBTOTAL(3,$B$3:B26)</f>
        <v>24</v>
      </c>
      <c r="B27" s="2">
        <v>45039</v>
      </c>
      <c r="C27" s="3">
        <v>45046</v>
      </c>
      <c r="D27" s="55" t="s">
        <v>115</v>
      </c>
      <c r="E27" s="38" t="s">
        <v>16</v>
      </c>
      <c r="F27" s="38" t="s">
        <v>16</v>
      </c>
      <c r="G27" s="39" t="str">
        <f t="shared" si="2"/>
        <v>__</v>
      </c>
      <c r="H27" s="40" t="str">
        <f t="shared" si="3"/>
        <v>FALSE</v>
      </c>
      <c r="I27" s="41">
        <f t="shared" si="4"/>
        <v>9</v>
      </c>
      <c r="J27" s="4" t="s">
        <v>1302</v>
      </c>
      <c r="K27" s="43" t="str">
        <f>IF(VLOOKUP(J27,βοηθητικό!$J$2:$N$354,3,FALSE)="","",VLOOKUP(J27,βοηθητικό!$J$2:$N$354,3,FALSE))</f>
        <v>6984576537</v>
      </c>
      <c r="L27" s="44"/>
      <c r="M27" s="5" t="s">
        <v>1359</v>
      </c>
      <c r="N27" s="46" t="str">
        <f>IF(VLOOKUP(M27,βοηθητικό!$J$2:$N$354,3,FALSE)="","",VLOOKUP(M27,βοηθητικό!$J$2:$N$354,3,FALSE))</f>
        <v>6934066535</v>
      </c>
      <c r="O27" s="47"/>
      <c r="P27" s="4" t="s">
        <v>1502</v>
      </c>
      <c r="Q27" s="43" t="str">
        <f>IF(VLOOKUP(P27,βοηθητικό!$J$2:$N$355,3,FALSE)="","",VLOOKUP(P27,βοηθητικό!$J$2:$N$355,3,FALSE))</f>
        <v/>
      </c>
      <c r="R27" s="44"/>
      <c r="S27" s="5" t="s">
        <v>1335</v>
      </c>
      <c r="T27" s="46" t="str">
        <f>IF(VLOOKUP(S27,βοηθητικό!$J$2:$N$354,3,FALSE)="","",VLOOKUP(S27,βοηθητικό!$J$2:$N$354,3,FALSE))</f>
        <v>6944757544</v>
      </c>
      <c r="U27" s="47"/>
      <c r="V27" s="4" t="s">
        <v>1262</v>
      </c>
      <c r="W27" s="43" t="str">
        <f>IF(VLOOKUP(V27,βοηθητικό!$J$2:$N$354,3,FALSE)="","",VLOOKUP(V27,βοηθητικό!$J$2:$N$354,3,FALSE))</f>
        <v>6980996968</v>
      </c>
      <c r="X27" s="44"/>
      <c r="Y27" s="5" t="s">
        <v>1276</v>
      </c>
      <c r="Z27" s="46">
        <f>IF(VLOOKUP(Y27,βοηθητικό!$J$2:$N$354,3,FALSE)="","",VLOOKUP(Y27,βοηθητικό!$J$2:$N$354,3,FALSE))</f>
        <v>6936705244</v>
      </c>
      <c r="AA27" s="47"/>
      <c r="AB27" s="4" t="s">
        <v>1283</v>
      </c>
      <c r="AC27" s="43" t="str">
        <f>IF(VLOOKUP(AB27,βοηθητικό!$J$2:$N$354,3,FALSE)="","",VLOOKUP(AB27,βοηθητικό!$J$2:$N$354,3,FALSE))</f>
        <v>6939327305</v>
      </c>
      <c r="AD27" s="44"/>
      <c r="AE27" s="5" t="s">
        <v>1339</v>
      </c>
      <c r="AF27" s="46" t="str">
        <f>IF(VLOOKUP(AE27,βοηθητικό!$J$2:$N$354,3,FALSE)="","",VLOOKUP(AE27,βοηθητικό!$J$2:$N$354,3,FALSE))</f>
        <v>6936582412</v>
      </c>
      <c r="AG27" s="47"/>
      <c r="AH27" s="4" t="s">
        <v>1395</v>
      </c>
      <c r="AI27" s="43" t="str">
        <f>IF(VLOOKUP(AH27,βοηθητικό!$J$2:$N$354,3,FALSE)="","",VLOOKUP(AH27,βοηθητικό!$J$2:$N$354,3,FALSE))</f>
        <v>6994789972</v>
      </c>
      <c r="AJ27" s="44"/>
      <c r="AK27" s="5" t="s">
        <v>16</v>
      </c>
      <c r="AL27" s="46" t="str">
        <f>IF(VLOOKUP(AK27,βοηθητικό!$J$2:$N$354,3,FALSE)="","",VLOOKUP(AK27,βοηθητικό!$J$2:$N$354,3,FALSE))</f>
        <v>_</v>
      </c>
      <c r="AM27" s="47"/>
      <c r="AN27" s="4" t="s">
        <v>16</v>
      </c>
      <c r="AO27" s="43" t="str">
        <f>IF(VLOOKUP(AN27,βοηθητικό!$J$2:$N$354,3,FALSE)="","",VLOOKUP(AN27,βοηθητικό!$J$2:$N$354,3,FALSE))</f>
        <v>_</v>
      </c>
      <c r="AP27" s="44"/>
      <c r="AQ27" s="5" t="s">
        <v>16</v>
      </c>
      <c r="AR27" s="46" t="str">
        <f>IF(VLOOKUP(AQ27,βοηθητικό!$J$2:$N$354,3,FALSE)="","",VLOOKUP(AQ27,βοηθητικό!$J$2:$N$354,3,FALSE))</f>
        <v>_</v>
      </c>
      <c r="AS27" s="47"/>
      <c r="AT27" s="4" t="s">
        <v>16</v>
      </c>
      <c r="AU27" s="43" t="str">
        <f>IF(VLOOKUP(AT27,βοηθητικό!$J$2:$N$354,3,FALSE)="","",VLOOKUP(AT27,βοηθητικό!$J$2:$N$354,3,FALSE))</f>
        <v>_</v>
      </c>
      <c r="AV27" s="44"/>
      <c r="AW27" s="5" t="s">
        <v>16</v>
      </c>
      <c r="AX27" s="46" t="str">
        <f>IF(VLOOKUP(AW27,βοηθητικό!$J$2:$N$354,3,FALSE)="","",VLOOKUP(AW27,βοηθητικό!$J$2:$N$354,3,FALSE))</f>
        <v>_</v>
      </c>
      <c r="AY27" s="47"/>
      <c r="AZ27" s="4" t="s">
        <v>16</v>
      </c>
      <c r="BA27" s="43" t="str">
        <f>IF(VLOOKUP(AZ27,βοηθητικό!$J$2:$N$354,3,FALSE)="","",VLOOKUP(AZ27,βοηθητικό!$J$2:$N$354,3,FALSE))</f>
        <v>_</v>
      </c>
      <c r="BB27" s="44"/>
      <c r="BC27" s="45" t="s">
        <v>16</v>
      </c>
      <c r="BD27" s="46" t="str">
        <f>IF(VLOOKUP(BC27,βοηθητικό!$J$2:$N$354,3,FALSE)="","",VLOOKUP(BC27,βοηθητικό!$J$2:$N$354,3,FALSE))</f>
        <v>_</v>
      </c>
      <c r="BE27" s="47"/>
      <c r="BF27" s="42" t="s">
        <v>16</v>
      </c>
      <c r="BG27" s="43" t="str">
        <f>IF(VLOOKUP(BF27,βοηθητικό!$J$2:$N$354,3,FALSE)="","",VLOOKUP(BF27,βοηθητικό!$J$2:$N$354,3,FALSE))</f>
        <v>_</v>
      </c>
      <c r="BH27" s="44"/>
      <c r="BI27" s="45" t="s">
        <v>16</v>
      </c>
      <c r="BJ27" s="46" t="str">
        <f>IF(VLOOKUP(BI27,βοηθητικό!$J$2:$N$354,3,FALSE)="","",VLOOKUP(BI27,βοηθητικό!$J$2:$N$354,3,FALSE))</f>
        <v>_</v>
      </c>
      <c r="BK27" s="47"/>
      <c r="BL27" s="42" t="s">
        <v>16</v>
      </c>
      <c r="BM27" s="43" t="str">
        <f>IF(VLOOKUP(BL27,βοηθητικό!$J$2:$N$354,3,FALSE)="","",VLOOKUP(BL27,βοηθητικό!$J$2:$N$354,3,FALSE))</f>
        <v>_</v>
      </c>
      <c r="BN27" s="44"/>
      <c r="BO27" s="45" t="s">
        <v>16</v>
      </c>
      <c r="BP27" s="46" t="str">
        <f>IF(VLOOKUP(BO27,βοηθητικό!$J$2:$N$354,3,FALSE)="","",VLOOKUP(BO27,βοηθητικό!$J$2:$N$354,3,FALSE))</f>
        <v>_</v>
      </c>
      <c r="BQ27" s="47"/>
      <c r="BR27" s="42" t="s">
        <v>16</v>
      </c>
      <c r="BS27" s="43" t="str">
        <f>IF(VLOOKUP(BR27,βοηθητικό!$J$2:$N$354,3,FALSE)="","",VLOOKUP(BR27,βοηθητικό!$J$2:$N$354,3,FALSE))</f>
        <v>_</v>
      </c>
      <c r="BT27" s="44"/>
      <c r="BU27" s="45" t="s">
        <v>16</v>
      </c>
      <c r="BV27" s="46" t="str">
        <f>IF(VLOOKUP(BU27,βοηθητικό!$J$2:$N$354,3,FALSE)="","",VLOOKUP(BU27,βοηθητικό!$J$2:$N$354,3,FALSE))</f>
        <v>_</v>
      </c>
      <c r="BW27" s="47"/>
      <c r="BX27" s="42" t="s">
        <v>16</v>
      </c>
      <c r="BY27" s="43" t="str">
        <f>IF(VLOOKUP(BX27,βοηθητικό!$J$2:$N$354,3,FALSE)="","",VLOOKUP(BX27,βοηθητικό!$J$2:$N$354,3,FALSE))</f>
        <v>_</v>
      </c>
      <c r="BZ27" s="44"/>
      <c r="CA27" s="45" t="s">
        <v>16</v>
      </c>
      <c r="CB27" s="46" t="str">
        <f>IF(VLOOKUP(CA27,βοηθητικό!$J$2:$N$354,3,FALSE)="","",VLOOKUP(CA27,βοηθητικό!$J$2:$N$354,3,FALSE))</f>
        <v>_</v>
      </c>
      <c r="CC27" s="47"/>
      <c r="CD27" s="42" t="s">
        <v>16</v>
      </c>
      <c r="CE27" s="43" t="str">
        <f>IF(VLOOKUP(CD27,βοηθητικό!$J$2:$N$354,3,FALSE)="","",VLOOKUP(CD27,βοηθητικό!$J$2:$N$354,3,FALSE))</f>
        <v>_</v>
      </c>
      <c r="CF27" s="44"/>
      <c r="CG27" s="45" t="s">
        <v>16</v>
      </c>
      <c r="CH27" s="46" t="str">
        <f>IF(VLOOKUP(CG27,βοηθητικό!$J$2:$N$354,3,FALSE)="","",VLOOKUP(CG27,βοηθητικό!$J$2:$N$354,3,FALSE))</f>
        <v>_</v>
      </c>
      <c r="CI27" s="47"/>
      <c r="CJ27" s="42" t="s">
        <v>16</v>
      </c>
      <c r="CK27" s="43" t="str">
        <f>IF(VLOOKUP(CJ27,βοηθητικό!$J$2:$N$354,3,FALSE)="","",VLOOKUP(CJ27,βοηθητικό!$J$2:$N$354,3,FALSE))</f>
        <v>_</v>
      </c>
      <c r="CL27" s="44"/>
      <c r="CM27" s="45" t="s">
        <v>16</v>
      </c>
      <c r="CN27" s="46" t="str">
        <f>IF(VLOOKUP(CM27,βοηθητικό!$J$2:$N$354,3,FALSE)="","",VLOOKUP(CM27,βοηθητικό!$J$2:$N$354,3,FALSE))</f>
        <v>_</v>
      </c>
      <c r="CO27" s="47"/>
      <c r="CP27" s="42" t="s">
        <v>16</v>
      </c>
      <c r="CQ27" s="43" t="str">
        <f>IF(VLOOKUP(CP27,βοηθητικό!$J$2:$N$354,3,FALSE)="","",VLOOKUP(CP27,βοηθητικό!$J$2:$N$354,3,FALSE))</f>
        <v>_</v>
      </c>
      <c r="CR27" s="44"/>
      <c r="CS27" s="45" t="s">
        <v>16</v>
      </c>
      <c r="CT27" s="46" t="str">
        <f>IF(VLOOKUP(CS27,βοηθητικό!$J$2:$N$354,3,FALSE)="","",VLOOKUP(CS27,βοηθητικό!$J$2:$N$354,3,FALSE))</f>
        <v>_</v>
      </c>
      <c r="CU27" s="47"/>
    </row>
    <row r="28" spans="1:99" x14ac:dyDescent="0.25">
      <c r="A28" s="37">
        <f>--SUBTOTAL(3,$B$3:B27)</f>
        <v>25</v>
      </c>
      <c r="B28" s="2">
        <v>45039</v>
      </c>
      <c r="C28" s="3">
        <v>45046</v>
      </c>
      <c r="D28" s="55" t="s">
        <v>45</v>
      </c>
      <c r="E28" s="38" t="s">
        <v>16</v>
      </c>
      <c r="F28" s="38" t="s">
        <v>16</v>
      </c>
      <c r="G28" s="39" t="str">
        <f t="shared" si="2"/>
        <v>__</v>
      </c>
      <c r="H28" s="40" t="str">
        <f t="shared" si="3"/>
        <v>FALSE</v>
      </c>
      <c r="I28" s="41">
        <f t="shared" si="4"/>
        <v>6</v>
      </c>
      <c r="J28" s="4" t="s">
        <v>553</v>
      </c>
      <c r="K28" s="43" t="str">
        <f>IF(VLOOKUP(J28,βοηθητικό!$J$2:$N$354,3,FALSE)="","",VLOOKUP(J28,βοηθητικό!$J$2:$N$354,3,FALSE))</f>
        <v>6974882019</v>
      </c>
      <c r="L28" s="44"/>
      <c r="M28" s="5" t="s">
        <v>494</v>
      </c>
      <c r="N28" s="46" t="str">
        <f>IF(VLOOKUP(M28,βοηθητικό!$J$2:$N$354,3,FALSE)="","",VLOOKUP(M28,βοηθητικό!$J$2:$N$354,3,FALSE))</f>
        <v>6972015302</v>
      </c>
      <c r="O28" s="47"/>
      <c r="P28" s="4" t="s">
        <v>573</v>
      </c>
      <c r="Q28" s="43" t="str">
        <f>IF(VLOOKUP(P28,βοηθητικό!$J$2:$N$354,3,FALSE)="","",VLOOKUP(P28,βοηθητικό!$J$2:$N$354,3,FALSE))</f>
        <v>6978010154</v>
      </c>
      <c r="R28" s="44"/>
      <c r="S28" s="5" t="s">
        <v>479</v>
      </c>
      <c r="T28" s="46" t="str">
        <f>IF(VLOOKUP(S28,βοηθητικό!$J$2:$N$354,3,FALSE)="","",VLOOKUP(S28,βοηθητικό!$J$2:$N$354,3,FALSE))</f>
        <v>6977298022</v>
      </c>
      <c r="U28" s="47"/>
      <c r="V28" s="4" t="s">
        <v>474</v>
      </c>
      <c r="W28" s="43" t="str">
        <f>IF(VLOOKUP(V28,βοηθητικό!$J$2:$N$354,3,FALSE)="","",VLOOKUP(V28,βοηθητικό!$J$2:$N$354,3,FALSE))</f>
        <v>6955448080</v>
      </c>
      <c r="X28" s="44"/>
      <c r="Y28" s="5" t="s">
        <v>519</v>
      </c>
      <c r="Z28" s="46" t="str">
        <f>IF(VLOOKUP(Y28,βοηθητικό!$J$2:$N$354,3,FALSE)="","",VLOOKUP(Y28,βοηθητικό!$J$2:$N$354,3,FALSE))</f>
        <v>6942712190</v>
      </c>
      <c r="AA28" s="47"/>
      <c r="AB28" s="4" t="s">
        <v>16</v>
      </c>
      <c r="AC28" s="43" t="str">
        <f>IF(VLOOKUP(AB28,βοηθητικό!$J$2:$N$354,3,FALSE)="","",VLOOKUP(AB28,βοηθητικό!$J$2:$N$354,3,FALSE))</f>
        <v>_</v>
      </c>
      <c r="AD28" s="44"/>
      <c r="AE28" s="5" t="s">
        <v>16</v>
      </c>
      <c r="AF28" s="46" t="str">
        <f>IF(VLOOKUP(AE28,βοηθητικό!$J$2:$N$354,3,FALSE)="","",VLOOKUP(AE28,βοηθητικό!$J$2:$N$354,3,FALSE))</f>
        <v>_</v>
      </c>
      <c r="AG28" s="47"/>
      <c r="AH28" s="4" t="s">
        <v>16</v>
      </c>
      <c r="AI28" s="43" t="str">
        <f>IF(VLOOKUP(AH28,βοηθητικό!$J$2:$N$354,3,FALSE)="","",VLOOKUP(AH28,βοηθητικό!$J$2:$N$354,3,FALSE))</f>
        <v>_</v>
      </c>
      <c r="AJ28" s="44"/>
      <c r="AK28" s="5" t="s">
        <v>16</v>
      </c>
      <c r="AL28" s="46" t="str">
        <f>IF(VLOOKUP(AK28,βοηθητικό!$J$2:$N$354,3,FALSE)="","",VLOOKUP(AK28,βοηθητικό!$J$2:$N$354,3,FALSE))</f>
        <v>_</v>
      </c>
      <c r="AM28" s="47"/>
      <c r="AN28" s="4" t="s">
        <v>16</v>
      </c>
      <c r="AO28" s="43" t="str">
        <f>IF(VLOOKUP(AN28,βοηθητικό!$J$2:$N$354,3,FALSE)="","",VLOOKUP(AN28,βοηθητικό!$J$2:$N$354,3,FALSE))</f>
        <v>_</v>
      </c>
      <c r="AP28" s="44"/>
      <c r="AQ28" s="5" t="s">
        <v>16</v>
      </c>
      <c r="AR28" s="46" t="str">
        <f>IF(VLOOKUP(AQ28,βοηθητικό!$J$2:$N$354,3,FALSE)="","",VLOOKUP(AQ28,βοηθητικό!$J$2:$N$354,3,FALSE))</f>
        <v>_</v>
      </c>
      <c r="AS28" s="47"/>
      <c r="AT28" s="4" t="s">
        <v>16</v>
      </c>
      <c r="AU28" s="43" t="str">
        <f>IF(VLOOKUP(AT28,βοηθητικό!$J$2:$N$354,3,FALSE)="","",VLOOKUP(AT28,βοηθητικό!$J$2:$N$354,3,FALSE))</f>
        <v>_</v>
      </c>
      <c r="AV28" s="44"/>
      <c r="AW28" s="5" t="s">
        <v>16</v>
      </c>
      <c r="AX28" s="46" t="str">
        <f>IF(VLOOKUP(AW28,βοηθητικό!$J$2:$N$354,3,FALSE)="","",VLOOKUP(AW28,βοηθητικό!$J$2:$N$354,3,FALSE))</f>
        <v>_</v>
      </c>
      <c r="AY28" s="47"/>
      <c r="AZ28" s="4" t="s">
        <v>16</v>
      </c>
      <c r="BA28" s="43" t="str">
        <f>IF(VLOOKUP(AZ28,βοηθητικό!$J$2:$N$354,3,FALSE)="","",VLOOKUP(AZ28,βοηθητικό!$J$2:$N$354,3,FALSE))</f>
        <v>_</v>
      </c>
      <c r="BB28" s="44"/>
      <c r="BC28" s="45" t="s">
        <v>16</v>
      </c>
      <c r="BD28" s="46" t="str">
        <f>IF(VLOOKUP(BC28,βοηθητικό!$J$2:$N$354,3,FALSE)="","",VLOOKUP(BC28,βοηθητικό!$J$2:$N$354,3,FALSE))</f>
        <v>_</v>
      </c>
      <c r="BE28" s="47"/>
      <c r="BF28" s="42" t="s">
        <v>16</v>
      </c>
      <c r="BG28" s="43" t="str">
        <f>IF(VLOOKUP(BF28,βοηθητικό!$J$2:$N$354,3,FALSE)="","",VLOOKUP(BF28,βοηθητικό!$J$2:$N$354,3,FALSE))</f>
        <v>_</v>
      </c>
      <c r="BH28" s="44"/>
      <c r="BI28" s="45" t="s">
        <v>16</v>
      </c>
      <c r="BJ28" s="46" t="str">
        <f>IF(VLOOKUP(BI28,βοηθητικό!$J$2:$N$354,3,FALSE)="","",VLOOKUP(BI28,βοηθητικό!$J$2:$N$354,3,FALSE))</f>
        <v>_</v>
      </c>
      <c r="BK28" s="47"/>
      <c r="BL28" s="42" t="s">
        <v>16</v>
      </c>
      <c r="BM28" s="43" t="str">
        <f>IF(VLOOKUP(BL28,βοηθητικό!$J$2:$N$354,3,FALSE)="","",VLOOKUP(BL28,βοηθητικό!$J$2:$N$354,3,FALSE))</f>
        <v>_</v>
      </c>
      <c r="BN28" s="44"/>
      <c r="BO28" s="45" t="s">
        <v>16</v>
      </c>
      <c r="BP28" s="46" t="str">
        <f>IF(VLOOKUP(BO28,βοηθητικό!$J$2:$N$354,3,FALSE)="","",VLOOKUP(BO28,βοηθητικό!$J$2:$N$354,3,FALSE))</f>
        <v>_</v>
      </c>
      <c r="BQ28" s="47"/>
      <c r="BR28" s="42" t="s">
        <v>16</v>
      </c>
      <c r="BS28" s="43" t="str">
        <f>IF(VLOOKUP(BR28,βοηθητικό!$J$2:$N$354,3,FALSE)="","",VLOOKUP(BR28,βοηθητικό!$J$2:$N$354,3,FALSE))</f>
        <v>_</v>
      </c>
      <c r="BT28" s="44"/>
      <c r="BU28" s="45" t="s">
        <v>16</v>
      </c>
      <c r="BV28" s="46" t="str">
        <f>IF(VLOOKUP(BU28,βοηθητικό!$J$2:$N$354,3,FALSE)="","",VLOOKUP(BU28,βοηθητικό!$J$2:$N$354,3,FALSE))</f>
        <v>_</v>
      </c>
      <c r="BW28" s="47"/>
      <c r="BX28" s="42" t="s">
        <v>16</v>
      </c>
      <c r="BY28" s="43" t="str">
        <f>IF(VLOOKUP(BX28,βοηθητικό!$J$2:$N$354,3,FALSE)="","",VLOOKUP(BX28,βοηθητικό!$J$2:$N$354,3,FALSE))</f>
        <v>_</v>
      </c>
      <c r="BZ28" s="44"/>
      <c r="CA28" s="45" t="s">
        <v>16</v>
      </c>
      <c r="CB28" s="46" t="str">
        <f>IF(VLOOKUP(CA28,βοηθητικό!$J$2:$N$354,3,FALSE)="","",VLOOKUP(CA28,βοηθητικό!$J$2:$N$354,3,FALSE))</f>
        <v>_</v>
      </c>
      <c r="CC28" s="47"/>
      <c r="CD28" s="42" t="s">
        <v>16</v>
      </c>
      <c r="CE28" s="43" t="str">
        <f>IF(VLOOKUP(CD28,βοηθητικό!$J$2:$N$354,3,FALSE)="","",VLOOKUP(CD28,βοηθητικό!$J$2:$N$354,3,FALSE))</f>
        <v>_</v>
      </c>
      <c r="CF28" s="44"/>
      <c r="CG28" s="45" t="s">
        <v>16</v>
      </c>
      <c r="CH28" s="46" t="str">
        <f>IF(VLOOKUP(CG28,βοηθητικό!$J$2:$N$354,3,FALSE)="","",VLOOKUP(CG28,βοηθητικό!$J$2:$N$354,3,FALSE))</f>
        <v>_</v>
      </c>
      <c r="CI28" s="47"/>
      <c r="CJ28" s="42" t="s">
        <v>16</v>
      </c>
      <c r="CK28" s="43" t="str">
        <f>IF(VLOOKUP(CJ28,βοηθητικό!$J$2:$N$354,3,FALSE)="","",VLOOKUP(CJ28,βοηθητικό!$J$2:$N$354,3,FALSE))</f>
        <v>_</v>
      </c>
      <c r="CL28" s="44"/>
      <c r="CM28" s="45" t="s">
        <v>16</v>
      </c>
      <c r="CN28" s="46" t="str">
        <f>IF(VLOOKUP(CM28,βοηθητικό!$J$2:$N$354,3,FALSE)="","",VLOOKUP(CM28,βοηθητικό!$J$2:$N$354,3,FALSE))</f>
        <v>_</v>
      </c>
      <c r="CO28" s="47"/>
      <c r="CP28" s="42" t="s">
        <v>16</v>
      </c>
      <c r="CQ28" s="43" t="str">
        <f>IF(VLOOKUP(CP28,βοηθητικό!$J$2:$N$354,3,FALSE)="","",VLOOKUP(CP28,βοηθητικό!$J$2:$N$354,3,FALSE))</f>
        <v>_</v>
      </c>
      <c r="CR28" s="44"/>
      <c r="CS28" s="45" t="s">
        <v>16</v>
      </c>
      <c r="CT28" s="46" t="str">
        <f>IF(VLOOKUP(CS28,βοηθητικό!$J$2:$N$354,3,FALSE)="","",VLOOKUP(CS28,βοηθητικό!$J$2:$N$354,3,FALSE))</f>
        <v>_</v>
      </c>
      <c r="CU28" s="47"/>
    </row>
    <row r="29" spans="1:99" x14ac:dyDescent="0.25">
      <c r="A29" s="37">
        <f>--SUBTOTAL(3,$B$3:B28)</f>
        <v>26</v>
      </c>
      <c r="B29" s="2">
        <v>45039</v>
      </c>
      <c r="C29" s="3">
        <v>45046</v>
      </c>
      <c r="D29" s="55" t="s">
        <v>33</v>
      </c>
      <c r="E29" s="38" t="s">
        <v>16</v>
      </c>
      <c r="F29" s="38" t="s">
        <v>16</v>
      </c>
      <c r="G29" s="39" t="str">
        <f t="shared" si="2"/>
        <v>__</v>
      </c>
      <c r="H29" s="40" t="str">
        <f t="shared" si="3"/>
        <v>FALSE</v>
      </c>
      <c r="I29" s="41">
        <f t="shared" si="4"/>
        <v>14</v>
      </c>
      <c r="J29" s="4" t="s">
        <v>3779</v>
      </c>
      <c r="K29" s="43" t="s">
        <v>16</v>
      </c>
      <c r="L29" s="44"/>
      <c r="M29" s="5" t="s">
        <v>350</v>
      </c>
      <c r="N29" s="46" t="str">
        <f>IF(VLOOKUP(M29,βοηθητικό!$J$2:$N$354,3,FALSE)="","",VLOOKUP(M29,βοηθητικό!$J$2:$N$354,3,FALSE))</f>
        <v>6974790515</v>
      </c>
      <c r="O29" s="47"/>
      <c r="P29" s="4" t="s">
        <v>418</v>
      </c>
      <c r="Q29" s="43" t="str">
        <f>IF(VLOOKUP(P29,βοηθητικό!$J$2:$N$354,3,FALSE)="","",VLOOKUP(P29,βοηθητικό!$J$2:$N$354,3,FALSE))</f>
        <v>6944126355</v>
      </c>
      <c r="R29" s="44"/>
      <c r="S29" s="5" t="s">
        <v>355</v>
      </c>
      <c r="T29" s="46" t="str">
        <f>IF(VLOOKUP(S29,βοηθητικό!$J$2:$N$354,3,FALSE)="","",VLOOKUP(S29,βοηθητικό!$J$2:$N$354,3,FALSE))</f>
        <v>6947899410</v>
      </c>
      <c r="U29" s="47"/>
      <c r="V29" s="4" t="s">
        <v>440</v>
      </c>
      <c r="W29" s="43" t="str">
        <f>IF(VLOOKUP(V29,βοηθητικό!$J$2:$N$354,3,FALSE)="","",VLOOKUP(V29,βοηθητικό!$J$2:$N$354,3,FALSE))</f>
        <v>6981517173</v>
      </c>
      <c r="X29" s="44"/>
      <c r="Y29" s="5" t="s">
        <v>431</v>
      </c>
      <c r="Z29" s="46" t="str">
        <f>IF(VLOOKUP(Y29,βοηθητικό!$J$2:$N$354,3,FALSE)="","",VLOOKUP(Y29,βοηθητικό!$J$2:$N$354,3,FALSE))</f>
        <v>6973935715</v>
      </c>
      <c r="AA29" s="47"/>
      <c r="AB29" s="4" t="s">
        <v>401</v>
      </c>
      <c r="AC29" s="43" t="str">
        <f>IF(VLOOKUP(AB29,βοηθητικό!$J$2:$N$354,3,FALSE)="","",VLOOKUP(AB29,βοηθητικό!$J$2:$N$354,3,FALSE))</f>
        <v>6944884457</v>
      </c>
      <c r="AD29" s="44"/>
      <c r="AE29" s="5" t="s">
        <v>424</v>
      </c>
      <c r="AF29" s="46" t="str">
        <f>IF(VLOOKUP(AE29,βοηθητικό!$J$2:$N$354,3,FALSE)="","",VLOOKUP(AE29,βοηθητικό!$J$2:$N$354,3,FALSE))</f>
        <v>6907545731</v>
      </c>
      <c r="AG29" s="47"/>
      <c r="AH29" s="4" t="s">
        <v>395</v>
      </c>
      <c r="AI29" s="43" t="str">
        <f>IF(VLOOKUP(AH29,βοηθητικό!$J$2:$N$354,3,FALSE)="","",VLOOKUP(AH29,βοηθητικό!$J$2:$N$354,3,FALSE))</f>
        <v>6987887267</v>
      </c>
      <c r="AJ29" s="44"/>
      <c r="AK29" s="5" t="s">
        <v>317</v>
      </c>
      <c r="AL29" s="46" t="str">
        <f>IF(VLOOKUP(AK29,βοηθητικό!$J$2:$N$354,3,FALSE)="","",VLOOKUP(AK29,βοηθητικό!$J$2:$N$354,3,FALSE))</f>
        <v>6936772633</v>
      </c>
      <c r="AM29" s="47"/>
      <c r="AN29" s="4" t="s">
        <v>322</v>
      </c>
      <c r="AO29" s="43" t="str">
        <f>IF(VLOOKUP(AN29,βοηθητικό!$J$2:$N$354,3,FALSE)="","",VLOOKUP(AN29,βοηθητικό!$J$2:$N$354,3,FALSE))</f>
        <v>6947830538</v>
      </c>
      <c r="AP29" s="44"/>
      <c r="AQ29" s="5" t="s">
        <v>373</v>
      </c>
      <c r="AR29" s="46" t="str">
        <f>IF(VLOOKUP(AQ29,βοηθητικό!$J$2:$N$354,3,FALSE)="","",VLOOKUP(AQ29,βοηθητικό!$J$2:$N$354,3,FALSE))</f>
        <v>6932911077</v>
      </c>
      <c r="AS29" s="47"/>
      <c r="AT29" s="4" t="s">
        <v>389</v>
      </c>
      <c r="AU29" s="43" t="str">
        <f>IF(VLOOKUP(AT29,βοηθητικό!$J$2:$N$354,3,FALSE)="","",VLOOKUP(AT29,βοηθητικό!$J$2:$N$354,3,FALSE))</f>
        <v>6974050289</v>
      </c>
      <c r="AV29" s="44"/>
      <c r="AW29" s="5" t="s">
        <v>412</v>
      </c>
      <c r="AX29" s="46" t="str">
        <f>IF(VLOOKUP(AW29,βοηθητικό!$J$2:$N$354,3,FALSE)="","",VLOOKUP(AW29,βοηθητικό!$J$2:$N$354,3,FALSE))</f>
        <v>6942550725</v>
      </c>
      <c r="AY29" s="47"/>
      <c r="AZ29" s="4" t="s">
        <v>16</v>
      </c>
      <c r="BA29" s="43" t="str">
        <f>IF(VLOOKUP(AZ29,βοηθητικό!$J$2:$N$354,3,FALSE)="","",VLOOKUP(AZ29,βοηθητικό!$J$2:$N$354,3,FALSE))</f>
        <v>_</v>
      </c>
      <c r="BB29" s="44"/>
      <c r="BC29" s="45" t="s">
        <v>16</v>
      </c>
      <c r="BD29" s="46" t="str">
        <f>IF(VLOOKUP(BC29,βοηθητικό!$J$2:$N$354,3,FALSE)="","",VLOOKUP(BC29,βοηθητικό!$J$2:$N$354,3,FALSE))</f>
        <v>_</v>
      </c>
      <c r="BE29" s="47"/>
      <c r="BF29" s="42" t="s">
        <v>16</v>
      </c>
      <c r="BG29" s="43" t="str">
        <f>IF(VLOOKUP(BF29,βοηθητικό!$J$2:$N$354,3,FALSE)="","",VLOOKUP(BF29,βοηθητικό!$J$2:$N$354,3,FALSE))</f>
        <v>_</v>
      </c>
      <c r="BH29" s="44"/>
      <c r="BI29" s="45" t="s">
        <v>16</v>
      </c>
      <c r="BJ29" s="46" t="str">
        <f>IF(VLOOKUP(BI29,βοηθητικό!$J$2:$N$354,3,FALSE)="","",VLOOKUP(BI29,βοηθητικό!$J$2:$N$354,3,FALSE))</f>
        <v>_</v>
      </c>
      <c r="BK29" s="47"/>
      <c r="BL29" s="42" t="s">
        <v>16</v>
      </c>
      <c r="BM29" s="43" t="str">
        <f>IF(VLOOKUP(BL29,βοηθητικό!$J$2:$N$354,3,FALSE)="","",VLOOKUP(BL29,βοηθητικό!$J$2:$N$354,3,FALSE))</f>
        <v>_</v>
      </c>
      <c r="BN29" s="44"/>
      <c r="BO29" s="45" t="s">
        <v>16</v>
      </c>
      <c r="BP29" s="46" t="str">
        <f>IF(VLOOKUP(BO29,βοηθητικό!$J$2:$N$354,3,FALSE)="","",VLOOKUP(BO29,βοηθητικό!$J$2:$N$354,3,FALSE))</f>
        <v>_</v>
      </c>
      <c r="BQ29" s="47"/>
      <c r="BR29" s="42" t="s">
        <v>16</v>
      </c>
      <c r="BS29" s="43" t="str">
        <f>IF(VLOOKUP(BR29,βοηθητικό!$J$2:$N$354,3,FALSE)="","",VLOOKUP(BR29,βοηθητικό!$J$2:$N$354,3,FALSE))</f>
        <v>_</v>
      </c>
      <c r="BT29" s="44"/>
      <c r="BU29" s="45" t="s">
        <v>16</v>
      </c>
      <c r="BV29" s="46" t="str">
        <f>IF(VLOOKUP(BU29,βοηθητικό!$J$2:$N$354,3,FALSE)="","",VLOOKUP(BU29,βοηθητικό!$J$2:$N$354,3,FALSE))</f>
        <v>_</v>
      </c>
      <c r="BW29" s="47"/>
      <c r="BX29" s="42" t="s">
        <v>16</v>
      </c>
      <c r="BY29" s="43" t="str">
        <f>IF(VLOOKUP(BX29,βοηθητικό!$J$2:$N$354,3,FALSE)="","",VLOOKUP(BX29,βοηθητικό!$J$2:$N$354,3,FALSE))</f>
        <v>_</v>
      </c>
      <c r="BZ29" s="44"/>
      <c r="CA29" s="45" t="s">
        <v>16</v>
      </c>
      <c r="CB29" s="46" t="str">
        <f>IF(VLOOKUP(CA29,βοηθητικό!$J$2:$N$354,3,FALSE)="","",VLOOKUP(CA29,βοηθητικό!$J$2:$N$354,3,FALSE))</f>
        <v>_</v>
      </c>
      <c r="CC29" s="47"/>
      <c r="CD29" s="42" t="s">
        <v>16</v>
      </c>
      <c r="CE29" s="43" t="str">
        <f>IF(VLOOKUP(CD29,βοηθητικό!$J$2:$N$354,3,FALSE)="","",VLOOKUP(CD29,βοηθητικό!$J$2:$N$354,3,FALSE))</f>
        <v>_</v>
      </c>
      <c r="CF29" s="44"/>
      <c r="CG29" s="45" t="s">
        <v>16</v>
      </c>
      <c r="CH29" s="46" t="str">
        <f>IF(VLOOKUP(CG29,βοηθητικό!$J$2:$N$354,3,FALSE)="","",VLOOKUP(CG29,βοηθητικό!$J$2:$N$354,3,FALSE))</f>
        <v>_</v>
      </c>
      <c r="CI29" s="47"/>
      <c r="CJ29" s="42" t="s">
        <v>16</v>
      </c>
      <c r="CK29" s="43" t="str">
        <f>IF(VLOOKUP(CJ29,βοηθητικό!$J$2:$N$354,3,FALSE)="","",VLOOKUP(CJ29,βοηθητικό!$J$2:$N$354,3,FALSE))</f>
        <v>_</v>
      </c>
      <c r="CL29" s="44"/>
      <c r="CM29" s="45" t="s">
        <v>16</v>
      </c>
      <c r="CN29" s="46" t="str">
        <f>IF(VLOOKUP(CM29,βοηθητικό!$J$2:$N$354,3,FALSE)="","",VLOOKUP(CM29,βοηθητικό!$J$2:$N$354,3,FALSE))</f>
        <v>_</v>
      </c>
      <c r="CO29" s="47"/>
      <c r="CP29" s="42" t="s">
        <v>16</v>
      </c>
      <c r="CQ29" s="43" t="str">
        <f>IF(VLOOKUP(CP29,βοηθητικό!$J$2:$N$354,3,FALSE)="","",VLOOKUP(CP29,βοηθητικό!$J$2:$N$354,3,FALSE))</f>
        <v>_</v>
      </c>
      <c r="CR29" s="44"/>
      <c r="CS29" s="45" t="s">
        <v>16</v>
      </c>
      <c r="CT29" s="46" t="str">
        <f>IF(VLOOKUP(CS29,βοηθητικό!$J$2:$N$354,3,FALSE)="","",VLOOKUP(CS29,βοηθητικό!$J$2:$N$354,3,FALSE))</f>
        <v>_</v>
      </c>
      <c r="CU29" s="47"/>
    </row>
    <row r="30" spans="1:99" x14ac:dyDescent="0.25">
      <c r="A30" s="37">
        <f>--SUBTOTAL(3,$B$3:B29)</f>
        <v>27</v>
      </c>
      <c r="B30" s="2">
        <v>45039</v>
      </c>
      <c r="C30" s="3">
        <v>45046</v>
      </c>
      <c r="D30" s="55" t="s">
        <v>110</v>
      </c>
      <c r="E30" s="38" t="s">
        <v>16</v>
      </c>
      <c r="F30" s="38" t="s">
        <v>16</v>
      </c>
      <c r="G30" s="39" t="str">
        <f t="shared" si="2"/>
        <v>__</v>
      </c>
      <c r="H30" s="40" t="str">
        <f t="shared" si="3"/>
        <v>FALSE</v>
      </c>
      <c r="I30" s="41">
        <f t="shared" si="4"/>
        <v>5</v>
      </c>
      <c r="J30" s="4" t="s">
        <v>1236</v>
      </c>
      <c r="K30" s="43" t="str">
        <f>IF(VLOOKUP(J30,βοηθητικό!$J$2:$N$354,3,FALSE)="","",VLOOKUP(J30,βοηθητικό!$J$2:$N$354,3,FALSE))</f>
        <v>6945728316</v>
      </c>
      <c r="L30" s="44"/>
      <c r="M30" s="5" t="s">
        <v>1221</v>
      </c>
      <c r="N30" s="46" t="str">
        <f>IF(VLOOKUP(M30,βοηθητικό!$J$2:$N$354,3,FALSE)="","",VLOOKUP(M30,βοηθητικό!$J$2:$N$354,3,FALSE))</f>
        <v>6971641783</v>
      </c>
      <c r="O30" s="47"/>
      <c r="P30" s="4" t="s">
        <v>1244</v>
      </c>
      <c r="Q30" s="43" t="str">
        <f>IF(VLOOKUP(P30,βοηθητικό!$J$2:$N$354,3,FALSE)="","",VLOOKUP(P30,βοηθητικό!$J$2:$N$354,3,FALSE))</f>
        <v>6986975035</v>
      </c>
      <c r="R30" s="44"/>
      <c r="S30" s="5" t="s">
        <v>1240</v>
      </c>
      <c r="T30" s="46" t="str">
        <f>IF(VLOOKUP(S30,βοηθητικό!$J$2:$N$354,3,FALSE)="","",VLOOKUP(S30,βοηθητικό!$J$2:$N$354,3,FALSE))</f>
        <v>6973255809</v>
      </c>
      <c r="U30" s="47"/>
      <c r="V30" s="4" t="s">
        <v>1227</v>
      </c>
      <c r="W30" s="43" t="str">
        <f>IF(VLOOKUP(V30,βοηθητικό!$J$2:$N$354,3,FALSE)="","",VLOOKUP(V30,βοηθητικό!$J$2:$N$354,3,FALSE))</f>
        <v>6984493906</v>
      </c>
      <c r="X30" s="44"/>
      <c r="Y30" s="5" t="s">
        <v>16</v>
      </c>
      <c r="Z30" s="46" t="str">
        <f>IF(VLOOKUP(Y30,βοηθητικό!$J$2:$N$354,3,FALSE)="","",VLOOKUP(Y30,βοηθητικό!$J$2:$N$354,3,FALSE))</f>
        <v>_</v>
      </c>
      <c r="AA30" s="47"/>
      <c r="AB30" s="4" t="s">
        <v>16</v>
      </c>
      <c r="AC30" s="43" t="str">
        <f>IF(VLOOKUP(AB30,βοηθητικό!$J$2:$N$354,3,FALSE)="","",VLOOKUP(AB30,βοηθητικό!$J$2:$N$354,3,FALSE))</f>
        <v>_</v>
      </c>
      <c r="AD30" s="44"/>
      <c r="AE30" s="5" t="s">
        <v>16</v>
      </c>
      <c r="AF30" s="46" t="str">
        <f>IF(VLOOKUP(AE30,βοηθητικό!$J$2:$N$354,3,FALSE)="","",VLOOKUP(AE30,βοηθητικό!$J$2:$N$354,3,FALSE))</f>
        <v>_</v>
      </c>
      <c r="AG30" s="47"/>
      <c r="AH30" s="4" t="s">
        <v>16</v>
      </c>
      <c r="AI30" s="43" t="str">
        <f>IF(VLOOKUP(AH30,βοηθητικό!$J$2:$N$354,3,FALSE)="","",VLOOKUP(AH30,βοηθητικό!$J$2:$N$354,3,FALSE))</f>
        <v>_</v>
      </c>
      <c r="AJ30" s="44"/>
      <c r="AK30" s="5" t="s">
        <v>16</v>
      </c>
      <c r="AL30" s="46" t="str">
        <f>IF(VLOOKUP(AK30,βοηθητικό!$J$2:$N$354,3,FALSE)="","",VLOOKUP(AK30,βοηθητικό!$J$2:$N$354,3,FALSE))</f>
        <v>_</v>
      </c>
      <c r="AM30" s="47"/>
      <c r="AN30" s="4" t="s">
        <v>16</v>
      </c>
      <c r="AO30" s="43" t="str">
        <f>IF(VLOOKUP(AN30,βοηθητικό!$J$2:$N$354,3,FALSE)="","",VLOOKUP(AN30,βοηθητικό!$J$2:$N$354,3,FALSE))</f>
        <v>_</v>
      </c>
      <c r="AP30" s="44"/>
      <c r="AQ30" s="5" t="s">
        <v>16</v>
      </c>
      <c r="AR30" s="46" t="str">
        <f>IF(VLOOKUP(AQ30,βοηθητικό!$J$2:$N$354,3,FALSE)="","",VLOOKUP(AQ30,βοηθητικό!$J$2:$N$354,3,FALSE))</f>
        <v>_</v>
      </c>
      <c r="AS30" s="47"/>
      <c r="AT30" s="4" t="s">
        <v>16</v>
      </c>
      <c r="AU30" s="43" t="str">
        <f>IF(VLOOKUP(AT30,βοηθητικό!$J$2:$N$354,3,FALSE)="","",VLOOKUP(AT30,βοηθητικό!$J$2:$N$354,3,FALSE))</f>
        <v>_</v>
      </c>
      <c r="AV30" s="44"/>
      <c r="AW30" s="5" t="s">
        <v>16</v>
      </c>
      <c r="AX30" s="46" t="str">
        <f>IF(VLOOKUP(AW30,βοηθητικό!$J$2:$N$354,3,FALSE)="","",VLOOKUP(AW30,βοηθητικό!$J$2:$N$354,3,FALSE))</f>
        <v>_</v>
      </c>
      <c r="AY30" s="47"/>
      <c r="AZ30" s="4" t="s">
        <v>16</v>
      </c>
      <c r="BA30" s="43" t="str">
        <f>IF(VLOOKUP(AZ30,βοηθητικό!$J$2:$N$354,3,FALSE)="","",VLOOKUP(AZ30,βοηθητικό!$J$2:$N$354,3,FALSE))</f>
        <v>_</v>
      </c>
      <c r="BB30" s="44"/>
      <c r="BC30" s="45" t="s">
        <v>16</v>
      </c>
      <c r="BD30" s="46" t="str">
        <f>IF(VLOOKUP(BC30,βοηθητικό!$J$2:$N$354,3,FALSE)="","",VLOOKUP(BC30,βοηθητικό!$J$2:$N$354,3,FALSE))</f>
        <v>_</v>
      </c>
      <c r="BE30" s="47"/>
      <c r="BF30" s="42" t="s">
        <v>16</v>
      </c>
      <c r="BG30" s="43" t="str">
        <f>IF(VLOOKUP(BF30,βοηθητικό!$J$2:$N$354,3,FALSE)="","",VLOOKUP(BF30,βοηθητικό!$J$2:$N$354,3,FALSE))</f>
        <v>_</v>
      </c>
      <c r="BH30" s="44"/>
      <c r="BI30" s="45" t="s">
        <v>16</v>
      </c>
      <c r="BJ30" s="46" t="str">
        <f>IF(VLOOKUP(BI30,βοηθητικό!$J$2:$N$354,3,FALSE)="","",VLOOKUP(BI30,βοηθητικό!$J$2:$N$354,3,FALSE))</f>
        <v>_</v>
      </c>
      <c r="BK30" s="47"/>
      <c r="BL30" s="42" t="s">
        <v>16</v>
      </c>
      <c r="BM30" s="43" t="str">
        <f>IF(VLOOKUP(BL30,βοηθητικό!$J$2:$N$354,3,FALSE)="","",VLOOKUP(BL30,βοηθητικό!$J$2:$N$354,3,FALSE))</f>
        <v>_</v>
      </c>
      <c r="BN30" s="44"/>
      <c r="BO30" s="45" t="s">
        <v>16</v>
      </c>
      <c r="BP30" s="46" t="str">
        <f>IF(VLOOKUP(BO30,βοηθητικό!$J$2:$N$354,3,FALSE)="","",VLOOKUP(BO30,βοηθητικό!$J$2:$N$354,3,FALSE))</f>
        <v>_</v>
      </c>
      <c r="BQ30" s="47"/>
      <c r="BR30" s="42" t="s">
        <v>16</v>
      </c>
      <c r="BS30" s="43" t="str">
        <f>IF(VLOOKUP(BR30,βοηθητικό!$J$2:$N$354,3,FALSE)="","",VLOOKUP(BR30,βοηθητικό!$J$2:$N$354,3,FALSE))</f>
        <v>_</v>
      </c>
      <c r="BT30" s="44"/>
      <c r="BU30" s="45" t="s">
        <v>16</v>
      </c>
      <c r="BV30" s="46" t="str">
        <f>IF(VLOOKUP(BU30,βοηθητικό!$J$2:$N$354,3,FALSE)="","",VLOOKUP(BU30,βοηθητικό!$J$2:$N$354,3,FALSE))</f>
        <v>_</v>
      </c>
      <c r="BW30" s="47"/>
      <c r="BX30" s="42" t="s">
        <v>16</v>
      </c>
      <c r="BY30" s="43" t="str">
        <f>IF(VLOOKUP(BX30,βοηθητικό!$J$2:$N$354,3,FALSE)="","",VLOOKUP(BX30,βοηθητικό!$J$2:$N$354,3,FALSE))</f>
        <v>_</v>
      </c>
      <c r="BZ30" s="44"/>
      <c r="CA30" s="45" t="s">
        <v>16</v>
      </c>
      <c r="CB30" s="46" t="str">
        <f>IF(VLOOKUP(CA30,βοηθητικό!$J$2:$N$354,3,FALSE)="","",VLOOKUP(CA30,βοηθητικό!$J$2:$N$354,3,FALSE))</f>
        <v>_</v>
      </c>
      <c r="CC30" s="47"/>
      <c r="CD30" s="42" t="s">
        <v>16</v>
      </c>
      <c r="CE30" s="43" t="str">
        <f>IF(VLOOKUP(CD30,βοηθητικό!$J$2:$N$354,3,FALSE)="","",VLOOKUP(CD30,βοηθητικό!$J$2:$N$354,3,FALSE))</f>
        <v>_</v>
      </c>
      <c r="CF30" s="44"/>
      <c r="CG30" s="45" t="s">
        <v>16</v>
      </c>
      <c r="CH30" s="46" t="str">
        <f>IF(VLOOKUP(CG30,βοηθητικό!$J$2:$N$354,3,FALSE)="","",VLOOKUP(CG30,βοηθητικό!$J$2:$N$354,3,FALSE))</f>
        <v>_</v>
      </c>
      <c r="CI30" s="47"/>
      <c r="CJ30" s="42" t="s">
        <v>16</v>
      </c>
      <c r="CK30" s="43" t="str">
        <f>IF(VLOOKUP(CJ30,βοηθητικό!$J$2:$N$354,3,FALSE)="","",VLOOKUP(CJ30,βοηθητικό!$J$2:$N$354,3,FALSE))</f>
        <v>_</v>
      </c>
      <c r="CL30" s="44"/>
      <c r="CM30" s="45" t="s">
        <v>16</v>
      </c>
      <c r="CN30" s="46" t="str">
        <f>IF(VLOOKUP(CM30,βοηθητικό!$J$2:$N$354,3,FALSE)="","",VLOOKUP(CM30,βοηθητικό!$J$2:$N$354,3,FALSE))</f>
        <v>_</v>
      </c>
      <c r="CO30" s="47"/>
      <c r="CP30" s="42" t="s">
        <v>16</v>
      </c>
      <c r="CQ30" s="43" t="str">
        <f>IF(VLOOKUP(CP30,βοηθητικό!$J$2:$N$354,3,FALSE)="","",VLOOKUP(CP30,βοηθητικό!$J$2:$N$354,3,FALSE))</f>
        <v>_</v>
      </c>
      <c r="CR30" s="44"/>
      <c r="CS30" s="45" t="s">
        <v>16</v>
      </c>
      <c r="CT30" s="46" t="str">
        <f>IF(VLOOKUP(CS30,βοηθητικό!$J$2:$N$354,3,FALSE)="","",VLOOKUP(CS30,βοηθητικό!$J$2:$N$354,3,FALSE))</f>
        <v>_</v>
      </c>
      <c r="CU30" s="47"/>
    </row>
    <row r="31" spans="1:99" x14ac:dyDescent="0.25">
      <c r="A31" s="37">
        <f>--SUBTOTAL(3,$B$3:B30)</f>
        <v>28</v>
      </c>
      <c r="B31" s="2">
        <v>45039</v>
      </c>
      <c r="C31" s="3">
        <v>45046</v>
      </c>
      <c r="D31" s="55" t="s">
        <v>110</v>
      </c>
      <c r="E31" s="38" t="s">
        <v>16</v>
      </c>
      <c r="F31" s="38" t="s">
        <v>16</v>
      </c>
      <c r="G31" s="39" t="str">
        <f t="shared" si="2"/>
        <v>__</v>
      </c>
      <c r="H31" s="40" t="str">
        <f t="shared" si="3"/>
        <v>FALSE</v>
      </c>
      <c r="I31" s="41">
        <f t="shared" si="4"/>
        <v>2</v>
      </c>
      <c r="J31" s="4" t="s">
        <v>656</v>
      </c>
      <c r="K31" s="43" t="str">
        <f>IF(VLOOKUP(J31,βοηθητικό!$J$2:$N$354,3,FALSE)="","",VLOOKUP(J31,βοηθητικό!$J$2:$N$354,3,FALSE))</f>
        <v>6937323523</v>
      </c>
      <c r="L31" s="44"/>
      <c r="M31" s="5" t="s">
        <v>635</v>
      </c>
      <c r="N31" s="46" t="str">
        <f>IF(VLOOKUP(M31,βοηθητικό!$J$2:$N$354,3,FALSE)="","",VLOOKUP(M31,βοηθητικό!$J$2:$N$354,3,FALSE))</f>
        <v>6973762408 6972105023</v>
      </c>
      <c r="O31" s="47"/>
      <c r="P31" s="4" t="s">
        <v>16</v>
      </c>
      <c r="Q31" s="43" t="str">
        <f>IF(VLOOKUP(P31,βοηθητικό!$J$2:$N$354,3,FALSE)="","",VLOOKUP(P31,βοηθητικό!$J$2:$N$354,3,FALSE))</f>
        <v>_</v>
      </c>
      <c r="R31" s="44"/>
      <c r="S31" s="5" t="s">
        <v>16</v>
      </c>
      <c r="T31" s="46" t="str">
        <f>IF(VLOOKUP(S31,βοηθητικό!$J$2:$N$354,3,FALSE)="","",VLOOKUP(S31,βοηθητικό!$J$2:$N$354,3,FALSE))</f>
        <v>_</v>
      </c>
      <c r="U31" s="47"/>
      <c r="V31" s="4" t="s">
        <v>16</v>
      </c>
      <c r="W31" s="43" t="str">
        <f>IF(VLOOKUP(V31,βοηθητικό!$J$2:$N$354,3,FALSE)="","",VLOOKUP(V31,βοηθητικό!$J$2:$N$354,3,FALSE))</f>
        <v>_</v>
      </c>
      <c r="X31" s="44"/>
      <c r="Y31" s="5" t="s">
        <v>16</v>
      </c>
      <c r="Z31" s="46" t="str">
        <f>IF(VLOOKUP(Y31,βοηθητικό!$J$2:$N$354,3,FALSE)="","",VLOOKUP(Y31,βοηθητικό!$J$2:$N$354,3,FALSE))</f>
        <v>_</v>
      </c>
      <c r="AA31" s="47"/>
      <c r="AB31" s="4" t="s">
        <v>16</v>
      </c>
      <c r="AC31" s="43" t="str">
        <f>IF(VLOOKUP(AB31,βοηθητικό!$J$2:$N$354,3,FALSE)="","",VLOOKUP(AB31,βοηθητικό!$J$2:$N$354,3,FALSE))</f>
        <v>_</v>
      </c>
      <c r="AD31" s="44"/>
      <c r="AE31" s="5" t="s">
        <v>16</v>
      </c>
      <c r="AF31" s="46" t="str">
        <f>IF(VLOOKUP(AE31,βοηθητικό!$J$2:$N$354,3,FALSE)="","",VLOOKUP(AE31,βοηθητικό!$J$2:$N$354,3,FALSE))</f>
        <v>_</v>
      </c>
      <c r="AG31" s="47"/>
      <c r="AH31" s="4" t="s">
        <v>16</v>
      </c>
      <c r="AI31" s="43" t="str">
        <f>IF(VLOOKUP(AH31,βοηθητικό!$J$2:$N$354,3,FALSE)="","",VLOOKUP(AH31,βοηθητικό!$J$2:$N$354,3,FALSE))</f>
        <v>_</v>
      </c>
      <c r="AJ31" s="44"/>
      <c r="AK31" s="5" t="s">
        <v>16</v>
      </c>
      <c r="AL31" s="46" t="str">
        <f>IF(VLOOKUP(AK31,βοηθητικό!$J$2:$N$354,3,FALSE)="","",VLOOKUP(AK31,βοηθητικό!$J$2:$N$354,3,FALSE))</f>
        <v>_</v>
      </c>
      <c r="AM31" s="47"/>
      <c r="AN31" s="4" t="s">
        <v>16</v>
      </c>
      <c r="AO31" s="43" t="str">
        <f>IF(VLOOKUP(AN31,βοηθητικό!$J$2:$N$354,3,FALSE)="","",VLOOKUP(AN31,βοηθητικό!$J$2:$N$354,3,FALSE))</f>
        <v>_</v>
      </c>
      <c r="AP31" s="44"/>
      <c r="AQ31" s="5" t="s">
        <v>16</v>
      </c>
      <c r="AR31" s="46" t="str">
        <f>IF(VLOOKUP(AQ31,βοηθητικό!$J$2:$N$354,3,FALSE)="","",VLOOKUP(AQ31,βοηθητικό!$J$2:$N$354,3,FALSE))</f>
        <v>_</v>
      </c>
      <c r="AS31" s="47"/>
      <c r="AT31" s="4" t="s">
        <v>16</v>
      </c>
      <c r="AU31" s="43" t="str">
        <f>IF(VLOOKUP(AT31,βοηθητικό!$J$2:$N$354,3,FALSE)="","",VLOOKUP(AT31,βοηθητικό!$J$2:$N$354,3,FALSE))</f>
        <v>_</v>
      </c>
      <c r="AV31" s="44"/>
      <c r="AW31" s="5" t="s">
        <v>16</v>
      </c>
      <c r="AX31" s="46" t="str">
        <f>IF(VLOOKUP(AW31,βοηθητικό!$J$2:$N$354,3,FALSE)="","",VLOOKUP(AW31,βοηθητικό!$J$2:$N$354,3,FALSE))</f>
        <v>_</v>
      </c>
      <c r="AY31" s="47"/>
      <c r="AZ31" s="4" t="s">
        <v>16</v>
      </c>
      <c r="BA31" s="43" t="str">
        <f>IF(VLOOKUP(AZ31,βοηθητικό!$J$2:$N$354,3,FALSE)="","",VLOOKUP(AZ31,βοηθητικό!$J$2:$N$354,3,FALSE))</f>
        <v>_</v>
      </c>
      <c r="BB31" s="44"/>
      <c r="BC31" s="45" t="s">
        <v>16</v>
      </c>
      <c r="BD31" s="46" t="str">
        <f>IF(VLOOKUP(BC31,βοηθητικό!$J$2:$N$354,3,FALSE)="","",VLOOKUP(BC31,βοηθητικό!$J$2:$N$354,3,FALSE))</f>
        <v>_</v>
      </c>
      <c r="BE31" s="47"/>
      <c r="BF31" s="42" t="s">
        <v>16</v>
      </c>
      <c r="BG31" s="43" t="str">
        <f>IF(VLOOKUP(BF31,βοηθητικό!$J$2:$N$354,3,FALSE)="","",VLOOKUP(BF31,βοηθητικό!$J$2:$N$354,3,FALSE))</f>
        <v>_</v>
      </c>
      <c r="BH31" s="44"/>
      <c r="BI31" s="45" t="s">
        <v>16</v>
      </c>
      <c r="BJ31" s="46" t="str">
        <f>IF(VLOOKUP(BI31,βοηθητικό!$J$2:$N$354,3,FALSE)="","",VLOOKUP(BI31,βοηθητικό!$J$2:$N$354,3,FALSE))</f>
        <v>_</v>
      </c>
      <c r="BK31" s="47"/>
      <c r="BL31" s="42" t="s">
        <v>16</v>
      </c>
      <c r="BM31" s="43" t="str">
        <f>IF(VLOOKUP(BL31,βοηθητικό!$J$2:$N$354,3,FALSE)="","",VLOOKUP(BL31,βοηθητικό!$J$2:$N$354,3,FALSE))</f>
        <v>_</v>
      </c>
      <c r="BN31" s="44"/>
      <c r="BO31" s="45" t="s">
        <v>16</v>
      </c>
      <c r="BP31" s="46" t="str">
        <f>IF(VLOOKUP(BO31,βοηθητικό!$J$2:$N$354,3,FALSE)="","",VLOOKUP(BO31,βοηθητικό!$J$2:$N$354,3,FALSE))</f>
        <v>_</v>
      </c>
      <c r="BQ31" s="47"/>
      <c r="BR31" s="42" t="s">
        <v>16</v>
      </c>
      <c r="BS31" s="43" t="str">
        <f>IF(VLOOKUP(BR31,βοηθητικό!$J$2:$N$354,3,FALSE)="","",VLOOKUP(BR31,βοηθητικό!$J$2:$N$354,3,FALSE))</f>
        <v>_</v>
      </c>
      <c r="BT31" s="44"/>
      <c r="BU31" s="45" t="s">
        <v>16</v>
      </c>
      <c r="BV31" s="46" t="str">
        <f>IF(VLOOKUP(BU31,βοηθητικό!$J$2:$N$354,3,FALSE)="","",VLOOKUP(BU31,βοηθητικό!$J$2:$N$354,3,FALSE))</f>
        <v>_</v>
      </c>
      <c r="BW31" s="47"/>
      <c r="BX31" s="42" t="s">
        <v>16</v>
      </c>
      <c r="BY31" s="43" t="str">
        <f>IF(VLOOKUP(BX31,βοηθητικό!$J$2:$N$354,3,FALSE)="","",VLOOKUP(BX31,βοηθητικό!$J$2:$N$354,3,FALSE))</f>
        <v>_</v>
      </c>
      <c r="BZ31" s="44"/>
      <c r="CA31" s="45" t="s">
        <v>16</v>
      </c>
      <c r="CB31" s="46" t="str">
        <f>IF(VLOOKUP(CA31,βοηθητικό!$J$2:$N$354,3,FALSE)="","",VLOOKUP(CA31,βοηθητικό!$J$2:$N$354,3,FALSE))</f>
        <v>_</v>
      </c>
      <c r="CC31" s="47"/>
      <c r="CD31" s="42" t="s">
        <v>16</v>
      </c>
      <c r="CE31" s="43" t="str">
        <f>IF(VLOOKUP(CD31,βοηθητικό!$J$2:$N$354,3,FALSE)="","",VLOOKUP(CD31,βοηθητικό!$J$2:$N$354,3,FALSE))</f>
        <v>_</v>
      </c>
      <c r="CF31" s="44"/>
      <c r="CG31" s="45" t="s">
        <v>16</v>
      </c>
      <c r="CH31" s="46" t="str">
        <f>IF(VLOOKUP(CG31,βοηθητικό!$J$2:$N$354,3,FALSE)="","",VLOOKUP(CG31,βοηθητικό!$J$2:$N$354,3,FALSE))</f>
        <v>_</v>
      </c>
      <c r="CI31" s="47"/>
      <c r="CJ31" s="42" t="s">
        <v>16</v>
      </c>
      <c r="CK31" s="43" t="str">
        <f>IF(VLOOKUP(CJ31,βοηθητικό!$J$2:$N$354,3,FALSE)="","",VLOOKUP(CJ31,βοηθητικό!$J$2:$N$354,3,FALSE))</f>
        <v>_</v>
      </c>
      <c r="CL31" s="44"/>
      <c r="CM31" s="45" t="s">
        <v>16</v>
      </c>
      <c r="CN31" s="46" t="str">
        <f>IF(VLOOKUP(CM31,βοηθητικό!$J$2:$N$354,3,FALSE)="","",VLOOKUP(CM31,βοηθητικό!$J$2:$N$354,3,FALSE))</f>
        <v>_</v>
      </c>
      <c r="CO31" s="47"/>
      <c r="CP31" s="42" t="s">
        <v>16</v>
      </c>
      <c r="CQ31" s="43" t="str">
        <f>IF(VLOOKUP(CP31,βοηθητικό!$J$2:$N$354,3,FALSE)="","",VLOOKUP(CP31,βοηθητικό!$J$2:$N$354,3,FALSE))</f>
        <v>_</v>
      </c>
      <c r="CR31" s="44"/>
      <c r="CS31" s="45" t="s">
        <v>16</v>
      </c>
      <c r="CT31" s="46" t="str">
        <f>IF(VLOOKUP(CS31,βοηθητικό!$J$2:$N$354,3,FALSE)="","",VLOOKUP(CS31,βοηθητικό!$J$2:$N$354,3,FALSE))</f>
        <v>_</v>
      </c>
      <c r="CU31" s="47"/>
    </row>
    <row r="32" spans="1:99" x14ac:dyDescent="0.25">
      <c r="A32" s="37">
        <f>--SUBTOTAL(3,$B$3:B31)</f>
        <v>29</v>
      </c>
      <c r="B32" s="2">
        <v>45078</v>
      </c>
      <c r="C32" s="3">
        <v>45088</v>
      </c>
      <c r="D32" s="55" t="s">
        <v>64</v>
      </c>
      <c r="E32" s="38" t="s">
        <v>16</v>
      </c>
      <c r="F32" s="38" t="s">
        <v>16</v>
      </c>
      <c r="G32" s="39" t="str">
        <f t="shared" si="2"/>
        <v>__</v>
      </c>
      <c r="H32" s="40" t="str">
        <f t="shared" si="3"/>
        <v>FALSE</v>
      </c>
      <c r="I32" s="41">
        <f t="shared" si="4"/>
        <v>7</v>
      </c>
      <c r="J32" s="4" t="s">
        <v>630</v>
      </c>
      <c r="K32" s="43" t="str">
        <f>IF(VLOOKUP(J32,βοηθητικό!$J$2:$N$354,3,FALSE)="","",VLOOKUP(J32,βοηθητικό!$J$2:$N$354,3,FALSE))</f>
        <v>6973050287</v>
      </c>
      <c r="L32" s="44"/>
      <c r="M32" s="5" t="s">
        <v>635</v>
      </c>
      <c r="N32" s="46" t="str">
        <f>IF(VLOOKUP(M32,βοηθητικό!$J$2:$N$354,3,FALSE)="","",VLOOKUP(M32,βοηθητικό!$J$2:$N$354,3,FALSE))</f>
        <v>6973762408 6972105023</v>
      </c>
      <c r="O32" s="47"/>
      <c r="P32" s="4" t="s">
        <v>656</v>
      </c>
      <c r="Q32" s="43" t="str">
        <f>IF(VLOOKUP(P32,βοηθητικό!$J$2:$N$354,3,FALSE)="","",VLOOKUP(P32,βοηθητικό!$J$2:$N$354,3,FALSE))</f>
        <v>6937323523</v>
      </c>
      <c r="R32" s="44"/>
      <c r="S32" s="5" t="s">
        <v>688</v>
      </c>
      <c r="T32" s="46">
        <f>IF(VLOOKUP(S32,βοηθητικό!$J$2:$N$354,3,FALSE)="","",VLOOKUP(S32,βοηθητικό!$J$2:$N$354,3,FALSE))</f>
        <v>6945919391</v>
      </c>
      <c r="U32" s="47"/>
      <c r="V32" s="4" t="s">
        <v>698</v>
      </c>
      <c r="W32" s="43" t="str">
        <f>IF(VLOOKUP(V32,βοηθητικό!$J$2:$N$354,3,FALSE)="","",VLOOKUP(V32,βοηθητικό!$J$2:$N$354,3,FALSE))</f>
        <v>6982255759</v>
      </c>
      <c r="X32" s="44"/>
      <c r="Y32" s="5" t="s">
        <v>713</v>
      </c>
      <c r="Z32" s="46" t="str">
        <f>IF(VLOOKUP(Y32,βοηθητικό!$J$2:$N$354,3,FALSE)="","",VLOOKUP(Y32,βοηθητικό!$J$2:$N$354,3,FALSE))</f>
        <v>6978988086</v>
      </c>
      <c r="AA32" s="47"/>
      <c r="AB32" s="4" t="s">
        <v>747</v>
      </c>
      <c r="AC32" s="43">
        <f>IF(VLOOKUP(AB32,βοηθητικό!$J$2:$N$354,3,FALSE)="","",VLOOKUP(AB32,βοηθητικό!$J$2:$N$354,3,FALSE))</f>
        <v>6945552422</v>
      </c>
      <c r="AD32" s="44"/>
      <c r="AE32" s="5" t="s">
        <v>16</v>
      </c>
      <c r="AF32" s="46" t="str">
        <f>IF(VLOOKUP(AE32,βοηθητικό!$J$2:$N$354,3,FALSE)="","",VLOOKUP(AE32,βοηθητικό!$J$2:$N$354,3,FALSE))</f>
        <v>_</v>
      </c>
      <c r="AG32" s="47"/>
      <c r="AH32" s="4" t="s">
        <v>16</v>
      </c>
      <c r="AI32" s="43" t="str">
        <f>IF(VLOOKUP(AH32,βοηθητικό!$J$2:$N$354,3,FALSE)="","",VLOOKUP(AH32,βοηθητικό!$J$2:$N$354,3,FALSE))</f>
        <v>_</v>
      </c>
      <c r="AJ32" s="44"/>
      <c r="AK32" s="5" t="s">
        <v>16</v>
      </c>
      <c r="AL32" s="46" t="str">
        <f>IF(VLOOKUP(AK32,βοηθητικό!$J$2:$N$354,3,FALSE)="","",VLOOKUP(AK32,βοηθητικό!$J$2:$N$354,3,FALSE))</f>
        <v>_</v>
      </c>
      <c r="AM32" s="47"/>
      <c r="AN32" s="4" t="s">
        <v>16</v>
      </c>
      <c r="AO32" s="43" t="str">
        <f>IF(VLOOKUP(AN32,βοηθητικό!$J$2:$N$354,3,FALSE)="","",VLOOKUP(AN32,βοηθητικό!$J$2:$N$354,3,FALSE))</f>
        <v>_</v>
      </c>
      <c r="AP32" s="44"/>
      <c r="AQ32" s="5" t="s">
        <v>16</v>
      </c>
      <c r="AR32" s="46" t="str">
        <f>IF(VLOOKUP(AQ32,βοηθητικό!$J$2:$N$354,3,FALSE)="","",VLOOKUP(AQ32,βοηθητικό!$J$2:$N$354,3,FALSE))</f>
        <v>_</v>
      </c>
      <c r="AS32" s="47"/>
      <c r="AT32" s="4" t="s">
        <v>16</v>
      </c>
      <c r="AU32" s="43" t="str">
        <f>IF(VLOOKUP(AT32,βοηθητικό!$J$2:$N$354,3,FALSE)="","",VLOOKUP(AT32,βοηθητικό!$J$2:$N$354,3,FALSE))</f>
        <v>_</v>
      </c>
      <c r="AV32" s="44"/>
      <c r="AW32" s="5" t="s">
        <v>16</v>
      </c>
      <c r="AX32" s="46" t="str">
        <f>IF(VLOOKUP(AW32,βοηθητικό!$J$2:$N$354,3,FALSE)="","",VLOOKUP(AW32,βοηθητικό!$J$2:$N$354,3,FALSE))</f>
        <v>_</v>
      </c>
      <c r="AY32" s="47"/>
      <c r="AZ32" s="4" t="s">
        <v>16</v>
      </c>
      <c r="BA32" s="43" t="str">
        <f>IF(VLOOKUP(AZ32,βοηθητικό!$J$2:$N$354,3,FALSE)="","",VLOOKUP(AZ32,βοηθητικό!$J$2:$N$354,3,FALSE))</f>
        <v>_</v>
      </c>
      <c r="BB32" s="44"/>
      <c r="BC32" s="45" t="s">
        <v>16</v>
      </c>
      <c r="BD32" s="46" t="str">
        <f>IF(VLOOKUP(BC32,βοηθητικό!$J$2:$N$354,3,FALSE)="","",VLOOKUP(BC32,βοηθητικό!$J$2:$N$354,3,FALSE))</f>
        <v>_</v>
      </c>
      <c r="BE32" s="47"/>
      <c r="BF32" s="42" t="s">
        <v>16</v>
      </c>
      <c r="BG32" s="43" t="str">
        <f>IF(VLOOKUP(BF32,βοηθητικό!$J$2:$N$354,3,FALSE)="","",VLOOKUP(BF32,βοηθητικό!$J$2:$N$354,3,FALSE))</f>
        <v>_</v>
      </c>
      <c r="BH32" s="44"/>
      <c r="BI32" s="45" t="s">
        <v>16</v>
      </c>
      <c r="BJ32" s="46" t="str">
        <f>IF(VLOOKUP(BI32,βοηθητικό!$J$2:$N$354,3,FALSE)="","",VLOOKUP(BI32,βοηθητικό!$J$2:$N$354,3,FALSE))</f>
        <v>_</v>
      </c>
      <c r="BK32" s="47"/>
      <c r="BL32" s="42" t="s">
        <v>16</v>
      </c>
      <c r="BM32" s="43" t="str">
        <f>IF(VLOOKUP(BL32,βοηθητικό!$J$2:$N$354,3,FALSE)="","",VLOOKUP(BL32,βοηθητικό!$J$2:$N$354,3,FALSE))</f>
        <v>_</v>
      </c>
      <c r="BN32" s="44"/>
      <c r="BO32" s="45" t="s">
        <v>16</v>
      </c>
      <c r="BP32" s="46" t="str">
        <f>IF(VLOOKUP(BO32,βοηθητικό!$J$2:$N$354,3,FALSE)="","",VLOOKUP(BO32,βοηθητικό!$J$2:$N$354,3,FALSE))</f>
        <v>_</v>
      </c>
      <c r="BQ32" s="47"/>
      <c r="BR32" s="42" t="s">
        <v>16</v>
      </c>
      <c r="BS32" s="43" t="str">
        <f>IF(VLOOKUP(BR32,βοηθητικό!$J$2:$N$354,3,FALSE)="","",VLOOKUP(BR32,βοηθητικό!$J$2:$N$354,3,FALSE))</f>
        <v>_</v>
      </c>
      <c r="BT32" s="44"/>
      <c r="BU32" s="45" t="s">
        <v>16</v>
      </c>
      <c r="BV32" s="46" t="str">
        <f>IF(VLOOKUP(BU32,βοηθητικό!$J$2:$N$354,3,FALSE)="","",VLOOKUP(BU32,βοηθητικό!$J$2:$N$354,3,FALSE))</f>
        <v>_</v>
      </c>
      <c r="BW32" s="47"/>
      <c r="BX32" s="42" t="s">
        <v>16</v>
      </c>
      <c r="BY32" s="43" t="str">
        <f>IF(VLOOKUP(BX32,βοηθητικό!$J$2:$N$354,3,FALSE)="","",VLOOKUP(BX32,βοηθητικό!$J$2:$N$354,3,FALSE))</f>
        <v>_</v>
      </c>
      <c r="BZ32" s="44"/>
      <c r="CA32" s="45" t="s">
        <v>16</v>
      </c>
      <c r="CB32" s="46" t="str">
        <f>IF(VLOOKUP(CA32,βοηθητικό!$J$2:$N$354,3,FALSE)="","",VLOOKUP(CA32,βοηθητικό!$J$2:$N$354,3,FALSE))</f>
        <v>_</v>
      </c>
      <c r="CC32" s="47"/>
      <c r="CD32" s="42" t="s">
        <v>16</v>
      </c>
      <c r="CE32" s="43" t="str">
        <f>IF(VLOOKUP(CD32,βοηθητικό!$J$2:$N$354,3,FALSE)="","",VLOOKUP(CD32,βοηθητικό!$J$2:$N$354,3,FALSE))</f>
        <v>_</v>
      </c>
      <c r="CF32" s="44"/>
      <c r="CG32" s="45" t="s">
        <v>16</v>
      </c>
      <c r="CH32" s="46" t="str">
        <f>IF(VLOOKUP(CG32,βοηθητικό!$J$2:$N$354,3,FALSE)="","",VLOOKUP(CG32,βοηθητικό!$J$2:$N$354,3,FALSE))</f>
        <v>_</v>
      </c>
      <c r="CI32" s="47"/>
      <c r="CJ32" s="42" t="s">
        <v>16</v>
      </c>
      <c r="CK32" s="43" t="str">
        <f>IF(VLOOKUP(CJ32,βοηθητικό!$J$2:$N$354,3,FALSE)="","",VLOOKUP(CJ32,βοηθητικό!$J$2:$N$354,3,FALSE))</f>
        <v>_</v>
      </c>
      <c r="CL32" s="44"/>
      <c r="CM32" s="45" t="s">
        <v>16</v>
      </c>
      <c r="CN32" s="46" t="str">
        <f>IF(VLOOKUP(CM32,βοηθητικό!$J$2:$N$354,3,FALSE)="","",VLOOKUP(CM32,βοηθητικό!$J$2:$N$354,3,FALSE))</f>
        <v>_</v>
      </c>
      <c r="CO32" s="47"/>
      <c r="CP32" s="42" t="s">
        <v>16</v>
      </c>
      <c r="CQ32" s="43" t="str">
        <f>IF(VLOOKUP(CP32,βοηθητικό!$J$2:$N$354,3,FALSE)="","",VLOOKUP(CP32,βοηθητικό!$J$2:$N$354,3,FALSE))</f>
        <v>_</v>
      </c>
      <c r="CR32" s="44"/>
      <c r="CS32" s="45" t="s">
        <v>16</v>
      </c>
      <c r="CT32" s="46" t="str">
        <f>IF(VLOOKUP(CS32,βοηθητικό!$J$2:$N$354,3,FALSE)="","",VLOOKUP(CS32,βοηθητικό!$J$2:$N$354,3,FALSE))</f>
        <v>_</v>
      </c>
      <c r="CU32" s="47"/>
    </row>
    <row r="33" spans="1:99" x14ac:dyDescent="0.25">
      <c r="A33" s="37">
        <f>--SUBTOTAL(3,$B$3:B32)</f>
        <v>30</v>
      </c>
      <c r="B33" s="2">
        <v>45089</v>
      </c>
      <c r="C33" s="3">
        <v>45095</v>
      </c>
      <c r="D33" s="55" t="s">
        <v>64</v>
      </c>
      <c r="E33" s="38" t="s">
        <v>16</v>
      </c>
      <c r="F33" s="38" t="s">
        <v>16</v>
      </c>
      <c r="G33" s="39" t="str">
        <f t="shared" si="2"/>
        <v>__</v>
      </c>
      <c r="H33" s="40" t="str">
        <f t="shared" si="3"/>
        <v>FALSE</v>
      </c>
      <c r="I33" s="41">
        <f t="shared" si="4"/>
        <v>7</v>
      </c>
      <c r="J33" s="4" t="s">
        <v>612</v>
      </c>
      <c r="K33" s="43" t="str">
        <f>IF(VLOOKUP(J33,βοηθητικό!$J$2:$N$354,3,FALSE)="","",VLOOKUP(J33,βοηθητικό!$J$2:$N$354,3,FALSE))</f>
        <v>6998911942 6994433516</v>
      </c>
      <c r="L33" s="44"/>
      <c r="M33" s="5" t="s">
        <v>623</v>
      </c>
      <c r="N33" s="46" t="str">
        <f>IF(VLOOKUP(M33,βοηθητικό!$J$2:$N$354,3,FALSE)="","",VLOOKUP(M33,βοηθητικό!$J$2:$N$354,3,FALSE))</f>
        <v>6909870019</v>
      </c>
      <c r="O33" s="47"/>
      <c r="P33" s="4" t="s">
        <v>642</v>
      </c>
      <c r="Q33" s="43">
        <f>IF(VLOOKUP(P33,βοηθητικό!$J$2:$N$354,3,FALSE)="","",VLOOKUP(P33,βοηθητικό!$J$2:$N$354,3,FALSE))</f>
        <v>6973305838</v>
      </c>
      <c r="R33" s="44"/>
      <c r="S33" s="5" t="s">
        <v>669</v>
      </c>
      <c r="T33" s="46" t="str">
        <f>IF(VLOOKUP(S33,βοηθητικό!$J$2:$N$354,3,FALSE)="","",VLOOKUP(S33,βοηθητικό!$J$2:$N$354,3,FALSE))</f>
        <v>6976005555</v>
      </c>
      <c r="U33" s="47"/>
      <c r="V33" s="4" t="s">
        <v>675</v>
      </c>
      <c r="W33" s="43" t="str">
        <f>IF(VLOOKUP(V33,βοηθητικό!$J$2:$N$354,3,FALSE)="","",VLOOKUP(V33,βοηθητικό!$J$2:$N$354,3,FALSE))</f>
        <v>6970932706</v>
      </c>
      <c r="X33" s="44"/>
      <c r="Y33" s="5" t="s">
        <v>739</v>
      </c>
      <c r="Z33" s="46">
        <f>IF(VLOOKUP(Y33,βοηθητικό!$J$2:$N$354,3,FALSE)="","",VLOOKUP(Y33,βοηθητικό!$J$2:$N$354,3,FALSE))</f>
        <v>6974746709</v>
      </c>
      <c r="AA33" s="47"/>
      <c r="AB33" s="4" t="s">
        <v>743</v>
      </c>
      <c r="AC33" s="43">
        <f>IF(VLOOKUP(AB33,βοηθητικό!$J$2:$N$354,3,FALSE)="","",VLOOKUP(AB33,βοηθητικό!$J$2:$N$354,3,FALSE))</f>
        <v>6977584355</v>
      </c>
      <c r="AD33" s="44"/>
      <c r="AE33" s="5" t="s">
        <v>16</v>
      </c>
      <c r="AF33" s="46" t="str">
        <f>IF(VLOOKUP(AE33,βοηθητικό!$J$2:$N$354,3,FALSE)="","",VLOOKUP(AE33,βοηθητικό!$J$2:$N$354,3,FALSE))</f>
        <v>_</v>
      </c>
      <c r="AG33" s="47"/>
      <c r="AH33" s="4" t="s">
        <v>16</v>
      </c>
      <c r="AI33" s="43" t="str">
        <f>IF(VLOOKUP(AH33,βοηθητικό!$J$2:$N$354,3,FALSE)="","",VLOOKUP(AH33,βοηθητικό!$J$2:$N$354,3,FALSE))</f>
        <v>_</v>
      </c>
      <c r="AJ33" s="44"/>
      <c r="AK33" s="5" t="s">
        <v>16</v>
      </c>
      <c r="AL33" s="46" t="str">
        <f>IF(VLOOKUP(AK33,βοηθητικό!$J$2:$N$354,3,FALSE)="","",VLOOKUP(AK33,βοηθητικό!$J$2:$N$354,3,FALSE))</f>
        <v>_</v>
      </c>
      <c r="AM33" s="47"/>
      <c r="AN33" s="4" t="s">
        <v>16</v>
      </c>
      <c r="AO33" s="43" t="str">
        <f>IF(VLOOKUP(AN33,βοηθητικό!$J$2:$N$354,3,FALSE)="","",VLOOKUP(AN33,βοηθητικό!$J$2:$N$354,3,FALSE))</f>
        <v>_</v>
      </c>
      <c r="AP33" s="44"/>
      <c r="AQ33" s="5" t="s">
        <v>16</v>
      </c>
      <c r="AR33" s="46" t="str">
        <f>IF(VLOOKUP(AQ33,βοηθητικό!$J$2:$N$354,3,FALSE)="","",VLOOKUP(AQ33,βοηθητικό!$J$2:$N$354,3,FALSE))</f>
        <v>_</v>
      </c>
      <c r="AS33" s="47"/>
      <c r="AT33" s="4" t="s">
        <v>16</v>
      </c>
      <c r="AU33" s="43" t="str">
        <f>IF(VLOOKUP(AT33,βοηθητικό!$J$2:$N$354,3,FALSE)="","",VLOOKUP(AT33,βοηθητικό!$J$2:$N$354,3,FALSE))</f>
        <v>_</v>
      </c>
      <c r="AV33" s="44"/>
      <c r="AW33" s="5" t="s">
        <v>16</v>
      </c>
      <c r="AX33" s="46" t="str">
        <f>IF(VLOOKUP(AW33,βοηθητικό!$J$2:$N$354,3,FALSE)="","",VLOOKUP(AW33,βοηθητικό!$J$2:$N$354,3,FALSE))</f>
        <v>_</v>
      </c>
      <c r="AY33" s="47"/>
      <c r="AZ33" s="4" t="s">
        <v>16</v>
      </c>
      <c r="BA33" s="43" t="str">
        <f>IF(VLOOKUP(AZ33,βοηθητικό!$J$2:$N$354,3,FALSE)="","",VLOOKUP(AZ33,βοηθητικό!$J$2:$N$354,3,FALSE))</f>
        <v>_</v>
      </c>
      <c r="BB33" s="44"/>
      <c r="BC33" s="45" t="s">
        <v>16</v>
      </c>
      <c r="BD33" s="46" t="str">
        <f>IF(VLOOKUP(BC33,βοηθητικό!$J$2:$N$354,3,FALSE)="","",VLOOKUP(BC33,βοηθητικό!$J$2:$N$354,3,FALSE))</f>
        <v>_</v>
      </c>
      <c r="BE33" s="47"/>
      <c r="BF33" s="42" t="s">
        <v>16</v>
      </c>
      <c r="BG33" s="43" t="str">
        <f>IF(VLOOKUP(BF33,βοηθητικό!$J$2:$N$354,3,FALSE)="","",VLOOKUP(BF33,βοηθητικό!$J$2:$N$354,3,FALSE))</f>
        <v>_</v>
      </c>
      <c r="BH33" s="44"/>
      <c r="BI33" s="45" t="s">
        <v>16</v>
      </c>
      <c r="BJ33" s="46" t="str">
        <f>IF(VLOOKUP(BI33,βοηθητικό!$J$2:$N$354,3,FALSE)="","",VLOOKUP(BI33,βοηθητικό!$J$2:$N$354,3,FALSE))</f>
        <v>_</v>
      </c>
      <c r="BK33" s="47"/>
      <c r="BL33" s="42" t="s">
        <v>16</v>
      </c>
      <c r="BM33" s="43" t="str">
        <f>IF(VLOOKUP(BL33,βοηθητικό!$J$2:$N$354,3,FALSE)="","",VLOOKUP(BL33,βοηθητικό!$J$2:$N$354,3,FALSE))</f>
        <v>_</v>
      </c>
      <c r="BN33" s="44"/>
      <c r="BO33" s="45" t="s">
        <v>16</v>
      </c>
      <c r="BP33" s="46" t="str">
        <f>IF(VLOOKUP(BO33,βοηθητικό!$J$2:$N$354,3,FALSE)="","",VLOOKUP(BO33,βοηθητικό!$J$2:$N$354,3,FALSE))</f>
        <v>_</v>
      </c>
      <c r="BQ33" s="47"/>
      <c r="BR33" s="42" t="s">
        <v>16</v>
      </c>
      <c r="BS33" s="43" t="str">
        <f>IF(VLOOKUP(BR33,βοηθητικό!$J$2:$N$354,3,FALSE)="","",VLOOKUP(BR33,βοηθητικό!$J$2:$N$354,3,FALSE))</f>
        <v>_</v>
      </c>
      <c r="BT33" s="44"/>
      <c r="BU33" s="45" t="s">
        <v>16</v>
      </c>
      <c r="BV33" s="46" t="str">
        <f>IF(VLOOKUP(BU33,βοηθητικό!$J$2:$N$354,3,FALSE)="","",VLOOKUP(BU33,βοηθητικό!$J$2:$N$354,3,FALSE))</f>
        <v>_</v>
      </c>
      <c r="BW33" s="47"/>
      <c r="BX33" s="42" t="s">
        <v>16</v>
      </c>
      <c r="BY33" s="43" t="str">
        <f>IF(VLOOKUP(BX33,βοηθητικό!$J$2:$N$354,3,FALSE)="","",VLOOKUP(BX33,βοηθητικό!$J$2:$N$354,3,FALSE))</f>
        <v>_</v>
      </c>
      <c r="BZ33" s="44"/>
      <c r="CA33" s="45" t="s">
        <v>16</v>
      </c>
      <c r="CB33" s="46" t="str">
        <f>IF(VLOOKUP(CA33,βοηθητικό!$J$2:$N$354,3,FALSE)="","",VLOOKUP(CA33,βοηθητικό!$J$2:$N$354,3,FALSE))</f>
        <v>_</v>
      </c>
      <c r="CC33" s="47"/>
      <c r="CD33" s="42" t="s">
        <v>16</v>
      </c>
      <c r="CE33" s="43" t="str">
        <f>IF(VLOOKUP(CD33,βοηθητικό!$J$2:$N$354,3,FALSE)="","",VLOOKUP(CD33,βοηθητικό!$J$2:$N$354,3,FALSE))</f>
        <v>_</v>
      </c>
      <c r="CF33" s="44"/>
      <c r="CG33" s="45" t="s">
        <v>16</v>
      </c>
      <c r="CH33" s="46" t="str">
        <f>IF(VLOOKUP(CG33,βοηθητικό!$J$2:$N$354,3,FALSE)="","",VLOOKUP(CG33,βοηθητικό!$J$2:$N$354,3,FALSE))</f>
        <v>_</v>
      </c>
      <c r="CI33" s="47"/>
      <c r="CJ33" s="42" t="s">
        <v>16</v>
      </c>
      <c r="CK33" s="43" t="str">
        <f>IF(VLOOKUP(CJ33,βοηθητικό!$J$2:$N$354,3,FALSE)="","",VLOOKUP(CJ33,βοηθητικό!$J$2:$N$354,3,FALSE))</f>
        <v>_</v>
      </c>
      <c r="CL33" s="44"/>
      <c r="CM33" s="45" t="s">
        <v>16</v>
      </c>
      <c r="CN33" s="46" t="str">
        <f>IF(VLOOKUP(CM33,βοηθητικό!$J$2:$N$354,3,FALSE)="","",VLOOKUP(CM33,βοηθητικό!$J$2:$N$354,3,FALSE))</f>
        <v>_</v>
      </c>
      <c r="CO33" s="47"/>
      <c r="CP33" s="42" t="s">
        <v>16</v>
      </c>
      <c r="CQ33" s="43" t="str">
        <f>IF(VLOOKUP(CP33,βοηθητικό!$J$2:$N$354,3,FALSE)="","",VLOOKUP(CP33,βοηθητικό!$J$2:$N$354,3,FALSE))</f>
        <v>_</v>
      </c>
      <c r="CR33" s="44"/>
      <c r="CS33" s="45" t="s">
        <v>16</v>
      </c>
      <c r="CT33" s="46" t="str">
        <f>IF(VLOOKUP(CS33,βοηθητικό!$J$2:$N$354,3,FALSE)="","",VLOOKUP(CS33,βοηθητικό!$J$2:$N$354,3,FALSE))</f>
        <v>_</v>
      </c>
      <c r="CU33" s="47"/>
    </row>
    <row r="34" spans="1:99" x14ac:dyDescent="0.25">
      <c r="A34" s="37">
        <f>--SUBTOTAL(3,$B$3:B33)</f>
        <v>31</v>
      </c>
      <c r="B34" s="2">
        <v>45096</v>
      </c>
      <c r="C34" s="3">
        <v>45102</v>
      </c>
      <c r="D34" s="55" t="s">
        <v>64</v>
      </c>
      <c r="E34" s="38" t="s">
        <v>16</v>
      </c>
      <c r="F34" s="38" t="s">
        <v>16</v>
      </c>
      <c r="G34" s="39" t="str">
        <f t="shared" si="2"/>
        <v>__</v>
      </c>
      <c r="H34" s="40" t="str">
        <f t="shared" si="3"/>
        <v>FALSE</v>
      </c>
      <c r="I34" s="41">
        <f t="shared" si="4"/>
        <v>7</v>
      </c>
      <c r="J34" s="4" t="s">
        <v>647</v>
      </c>
      <c r="K34" s="43">
        <f>IF(VLOOKUP(J34,βοηθητικό!$J$2:$N$354,3,FALSE)="","",VLOOKUP(J34,βοηθητικό!$J$2:$N$354,3,FALSE))</f>
        <v>6977248108</v>
      </c>
      <c r="L34" s="44"/>
      <c r="M34" s="5" t="s">
        <v>651</v>
      </c>
      <c r="N34" s="46" t="str">
        <f>IF(VLOOKUP(M34,βοηθητικό!$J$2:$N$354,3,FALSE)="","",VLOOKUP(M34,βοηθητικό!$J$2:$N$354,3,FALSE))</f>
        <v>6973336452</v>
      </c>
      <c r="O34" s="47"/>
      <c r="P34" s="4" t="s">
        <v>684</v>
      </c>
      <c r="Q34" s="43" t="str">
        <f>IF(VLOOKUP(P34,βοηθητικό!$J$2:$N$354,3,FALSE)="","",VLOOKUP(P34,βοηθητικό!$J$2:$N$354,3,FALSE))</f>
        <v>6945186177</v>
      </c>
      <c r="R34" s="44"/>
      <c r="S34" s="5" t="s">
        <v>680</v>
      </c>
      <c r="T34" s="46">
        <f>IF(VLOOKUP(S34,βοηθητικό!$J$2:$N$354,3,FALSE)="","",VLOOKUP(S34,βοηθητικό!$J$2:$N$354,3,FALSE))</f>
        <v>6972606031</v>
      </c>
      <c r="U34" s="47"/>
      <c r="V34" s="4" t="s">
        <v>693</v>
      </c>
      <c r="W34" s="43">
        <f>IF(VLOOKUP(V34,βοηθητικό!$J$2:$N$354,3,FALSE)="","",VLOOKUP(V34,βοηθητικό!$J$2:$N$354,3,FALSE))</f>
        <v>6947551606</v>
      </c>
      <c r="X34" s="44"/>
      <c r="Y34" s="5" t="s">
        <v>721</v>
      </c>
      <c r="Z34" s="46" t="str">
        <f>IF(VLOOKUP(Y34,βοηθητικό!$J$2:$N$354,3,FALSE)="","",VLOOKUP(Y34,βοηθητικό!$J$2:$N$354,3,FALSE))</f>
        <v>6947205702</v>
      </c>
      <c r="AA34" s="47"/>
      <c r="AB34" s="4" t="s">
        <v>735</v>
      </c>
      <c r="AC34" s="43">
        <f>IF(VLOOKUP(AB34,βοηθητικό!$J$2:$N$354,3,FALSE)="","",VLOOKUP(AB34,βοηθητικό!$J$2:$N$354,3,FALSE))</f>
        <v>6937699769</v>
      </c>
      <c r="AD34" s="44"/>
      <c r="AE34" s="5" t="s">
        <v>16</v>
      </c>
      <c r="AF34" s="46" t="str">
        <f>IF(VLOOKUP(AE34,βοηθητικό!$J$2:$N$354,3,FALSE)="","",VLOOKUP(AE34,βοηθητικό!$J$2:$N$354,3,FALSE))</f>
        <v>_</v>
      </c>
      <c r="AG34" s="47"/>
      <c r="AH34" s="4" t="s">
        <v>16</v>
      </c>
      <c r="AI34" s="43" t="str">
        <f>IF(VLOOKUP(AH34,βοηθητικό!$J$2:$N$354,3,FALSE)="","",VLOOKUP(AH34,βοηθητικό!$J$2:$N$354,3,FALSE))</f>
        <v>_</v>
      </c>
      <c r="AJ34" s="44"/>
      <c r="AK34" s="5" t="s">
        <v>16</v>
      </c>
      <c r="AL34" s="46" t="str">
        <f>IF(VLOOKUP(AK34,βοηθητικό!$J$2:$N$354,3,FALSE)="","",VLOOKUP(AK34,βοηθητικό!$J$2:$N$354,3,FALSE))</f>
        <v>_</v>
      </c>
      <c r="AM34" s="47"/>
      <c r="AN34" s="4" t="s">
        <v>16</v>
      </c>
      <c r="AO34" s="43" t="str">
        <f>IF(VLOOKUP(AN34,βοηθητικό!$J$2:$N$354,3,FALSE)="","",VLOOKUP(AN34,βοηθητικό!$J$2:$N$354,3,FALSE))</f>
        <v>_</v>
      </c>
      <c r="AP34" s="44"/>
      <c r="AQ34" s="5" t="s">
        <v>16</v>
      </c>
      <c r="AR34" s="46" t="str">
        <f>IF(VLOOKUP(AQ34,βοηθητικό!$J$2:$N$354,3,FALSE)="","",VLOOKUP(AQ34,βοηθητικό!$J$2:$N$354,3,FALSE))</f>
        <v>_</v>
      </c>
      <c r="AS34" s="47"/>
      <c r="AT34" s="4" t="s">
        <v>16</v>
      </c>
      <c r="AU34" s="43" t="str">
        <f>IF(VLOOKUP(AT34,βοηθητικό!$J$2:$N$354,3,FALSE)="","",VLOOKUP(AT34,βοηθητικό!$J$2:$N$354,3,FALSE))</f>
        <v>_</v>
      </c>
      <c r="AV34" s="44"/>
      <c r="AW34" s="5" t="s">
        <v>16</v>
      </c>
      <c r="AX34" s="46" t="str">
        <f>IF(VLOOKUP(AW34,βοηθητικό!$J$2:$N$354,3,FALSE)="","",VLOOKUP(AW34,βοηθητικό!$J$2:$N$354,3,FALSE))</f>
        <v>_</v>
      </c>
      <c r="AY34" s="47"/>
      <c r="AZ34" s="4" t="s">
        <v>16</v>
      </c>
      <c r="BA34" s="43" t="str">
        <f>IF(VLOOKUP(AZ34,βοηθητικό!$J$2:$N$354,3,FALSE)="","",VLOOKUP(AZ34,βοηθητικό!$J$2:$N$354,3,FALSE))</f>
        <v>_</v>
      </c>
      <c r="BB34" s="44"/>
      <c r="BC34" s="45" t="s">
        <v>16</v>
      </c>
      <c r="BD34" s="46" t="str">
        <f>IF(VLOOKUP(BC34,βοηθητικό!$J$2:$N$354,3,FALSE)="","",VLOOKUP(BC34,βοηθητικό!$J$2:$N$354,3,FALSE))</f>
        <v>_</v>
      </c>
      <c r="BE34" s="47"/>
      <c r="BF34" s="42" t="s">
        <v>16</v>
      </c>
      <c r="BG34" s="43" t="str">
        <f>IF(VLOOKUP(BF34,βοηθητικό!$J$2:$N$354,3,FALSE)="","",VLOOKUP(BF34,βοηθητικό!$J$2:$N$354,3,FALSE))</f>
        <v>_</v>
      </c>
      <c r="BH34" s="44"/>
      <c r="BI34" s="45" t="s">
        <v>16</v>
      </c>
      <c r="BJ34" s="46" t="str">
        <f>IF(VLOOKUP(BI34,βοηθητικό!$J$2:$N$354,3,FALSE)="","",VLOOKUP(BI34,βοηθητικό!$J$2:$N$354,3,FALSE))</f>
        <v>_</v>
      </c>
      <c r="BK34" s="47"/>
      <c r="BL34" s="42" t="s">
        <v>16</v>
      </c>
      <c r="BM34" s="43" t="str">
        <f>IF(VLOOKUP(BL34,βοηθητικό!$J$2:$N$354,3,FALSE)="","",VLOOKUP(BL34,βοηθητικό!$J$2:$N$354,3,FALSE))</f>
        <v>_</v>
      </c>
      <c r="BN34" s="44"/>
      <c r="BO34" s="45" t="s">
        <v>16</v>
      </c>
      <c r="BP34" s="46" t="str">
        <f>IF(VLOOKUP(BO34,βοηθητικό!$J$2:$N$354,3,FALSE)="","",VLOOKUP(BO34,βοηθητικό!$J$2:$N$354,3,FALSE))</f>
        <v>_</v>
      </c>
      <c r="BQ34" s="47"/>
      <c r="BR34" s="42" t="s">
        <v>16</v>
      </c>
      <c r="BS34" s="43" t="str">
        <f>IF(VLOOKUP(BR34,βοηθητικό!$J$2:$N$354,3,FALSE)="","",VLOOKUP(BR34,βοηθητικό!$J$2:$N$354,3,FALSE))</f>
        <v>_</v>
      </c>
      <c r="BT34" s="44"/>
      <c r="BU34" s="45" t="s">
        <v>16</v>
      </c>
      <c r="BV34" s="46" t="str">
        <f>IF(VLOOKUP(BU34,βοηθητικό!$J$2:$N$354,3,FALSE)="","",VLOOKUP(BU34,βοηθητικό!$J$2:$N$354,3,FALSE))</f>
        <v>_</v>
      </c>
      <c r="BW34" s="47"/>
      <c r="BX34" s="42" t="s">
        <v>16</v>
      </c>
      <c r="BY34" s="43" t="str">
        <f>IF(VLOOKUP(BX34,βοηθητικό!$J$2:$N$354,3,FALSE)="","",VLOOKUP(BX34,βοηθητικό!$J$2:$N$354,3,FALSE))</f>
        <v>_</v>
      </c>
      <c r="BZ34" s="44"/>
      <c r="CA34" s="45" t="s">
        <v>16</v>
      </c>
      <c r="CB34" s="46" t="str">
        <f>IF(VLOOKUP(CA34,βοηθητικό!$J$2:$N$354,3,FALSE)="","",VLOOKUP(CA34,βοηθητικό!$J$2:$N$354,3,FALSE))</f>
        <v>_</v>
      </c>
      <c r="CC34" s="47"/>
      <c r="CD34" s="42" t="s">
        <v>16</v>
      </c>
      <c r="CE34" s="43" t="str">
        <f>IF(VLOOKUP(CD34,βοηθητικό!$J$2:$N$354,3,FALSE)="","",VLOOKUP(CD34,βοηθητικό!$J$2:$N$354,3,FALSE))</f>
        <v>_</v>
      </c>
      <c r="CF34" s="44"/>
      <c r="CG34" s="45" t="s">
        <v>16</v>
      </c>
      <c r="CH34" s="46" t="str">
        <f>IF(VLOOKUP(CG34,βοηθητικό!$J$2:$N$354,3,FALSE)="","",VLOOKUP(CG34,βοηθητικό!$J$2:$N$354,3,FALSE))</f>
        <v>_</v>
      </c>
      <c r="CI34" s="47"/>
      <c r="CJ34" s="42" t="s">
        <v>16</v>
      </c>
      <c r="CK34" s="43" t="str">
        <f>IF(VLOOKUP(CJ34,βοηθητικό!$J$2:$N$354,3,FALSE)="","",VLOOKUP(CJ34,βοηθητικό!$J$2:$N$354,3,FALSE))</f>
        <v>_</v>
      </c>
      <c r="CL34" s="44"/>
      <c r="CM34" s="45" t="s">
        <v>16</v>
      </c>
      <c r="CN34" s="46" t="str">
        <f>IF(VLOOKUP(CM34,βοηθητικό!$J$2:$N$354,3,FALSE)="","",VLOOKUP(CM34,βοηθητικό!$J$2:$N$354,3,FALSE))</f>
        <v>_</v>
      </c>
      <c r="CO34" s="47"/>
      <c r="CP34" s="42" t="s">
        <v>16</v>
      </c>
      <c r="CQ34" s="43" t="str">
        <f>IF(VLOOKUP(CP34,βοηθητικό!$J$2:$N$354,3,FALSE)="","",VLOOKUP(CP34,βοηθητικό!$J$2:$N$354,3,FALSE))</f>
        <v>_</v>
      </c>
      <c r="CR34" s="44"/>
      <c r="CS34" s="45" t="s">
        <v>16</v>
      </c>
      <c r="CT34" s="46" t="str">
        <f>IF(VLOOKUP(CS34,βοηθητικό!$J$2:$N$354,3,FALSE)="","",VLOOKUP(CS34,βοηθητικό!$J$2:$N$354,3,FALSE))</f>
        <v>_</v>
      </c>
      <c r="CU34" s="47"/>
    </row>
    <row r="35" spans="1:99" x14ac:dyDescent="0.25">
      <c r="A35" s="37">
        <f>--SUBTOTAL(3,$B$3:B34)</f>
        <v>32</v>
      </c>
      <c r="B35" s="2">
        <v>45103</v>
      </c>
      <c r="C35" s="3">
        <v>45109</v>
      </c>
      <c r="D35" s="55" t="s">
        <v>64</v>
      </c>
      <c r="E35" s="38" t="s">
        <v>16</v>
      </c>
      <c r="F35" s="38" t="s">
        <v>16</v>
      </c>
      <c r="G35" s="39" t="str">
        <f t="shared" si="2"/>
        <v>__</v>
      </c>
      <c r="H35" s="40" t="str">
        <f t="shared" si="3"/>
        <v>FALSE</v>
      </c>
      <c r="I35" s="41">
        <f t="shared" si="4"/>
        <v>7</v>
      </c>
      <c r="J35" s="4" t="s">
        <v>618</v>
      </c>
      <c r="K35" s="43">
        <f>IF(VLOOKUP(J35,βοηθητικό!$J$2:$N$354,3,FALSE)="","",VLOOKUP(J35,βοηθητικό!$J$2:$N$354,3,FALSE))</f>
        <v>6977784031</v>
      </c>
      <c r="L35" s="44"/>
      <c r="M35" s="5" t="s">
        <v>663</v>
      </c>
      <c r="N35" s="46" t="str">
        <f>IF(VLOOKUP(M35,βοηθητικό!$J$2:$N$354,3,FALSE)="","",VLOOKUP(M35,βοηθητικό!$J$2:$N$354,3,FALSE))</f>
        <v>6972105023</v>
      </c>
      <c r="O35" s="47"/>
      <c r="P35" s="4" t="s">
        <v>703</v>
      </c>
      <c r="Q35" s="43" t="str">
        <f>IF(VLOOKUP(P35,βοηθητικό!$J$2:$N$354,3,FALSE)="","",VLOOKUP(P35,βοηθητικό!$J$2:$N$354,3,FALSE))</f>
        <v>6971603158</v>
      </c>
      <c r="R35" s="44"/>
      <c r="S35" s="5" t="s">
        <v>709</v>
      </c>
      <c r="T35" s="46" t="str">
        <f>IF(VLOOKUP(S35,βοηθητικό!$J$2:$N$354,3,FALSE)="","",VLOOKUP(S35,βοηθητικό!$J$2:$N$354,3,FALSE))</f>
        <v>6944439132</v>
      </c>
      <c r="U35" s="47"/>
      <c r="V35" s="4" t="s">
        <v>725</v>
      </c>
      <c r="W35" s="43" t="str">
        <f>IF(VLOOKUP(V35,βοηθητικό!$J$2:$N$354,3,FALSE)="","",VLOOKUP(V35,βοηθητικό!$J$2:$N$354,3,FALSE))</f>
        <v>6948851335</v>
      </c>
      <c r="X35" s="44"/>
      <c r="Y35" s="5" t="s">
        <v>729</v>
      </c>
      <c r="Z35" s="46">
        <f>IF(VLOOKUP(Y35,βοηθητικό!$J$2:$N$354,3,FALSE)="","",VLOOKUP(Y35,βοηθητικό!$J$2:$N$354,3,FALSE))</f>
        <v>6971762883</v>
      </c>
      <c r="AA35" s="47"/>
      <c r="AB35" s="4" t="s">
        <v>731</v>
      </c>
      <c r="AC35" s="43" t="str">
        <f>IF(VLOOKUP(AB35,βοηθητικό!$J$2:$N$354,3,FALSE)="","",VLOOKUP(AB35,βοηθητικό!$J$2:$N$354,3,FALSE))</f>
        <v>6940503291</v>
      </c>
      <c r="AD35" s="44"/>
      <c r="AE35" s="5" t="s">
        <v>16</v>
      </c>
      <c r="AF35" s="46" t="str">
        <f>IF(VLOOKUP(AE35,βοηθητικό!$J$2:$N$354,3,FALSE)="","",VLOOKUP(AE35,βοηθητικό!$J$2:$N$354,3,FALSE))</f>
        <v>_</v>
      </c>
      <c r="AG35" s="47"/>
      <c r="AH35" s="4" t="s">
        <v>16</v>
      </c>
      <c r="AI35" s="43" t="str">
        <f>IF(VLOOKUP(AH35,βοηθητικό!$J$2:$N$354,3,FALSE)="","",VLOOKUP(AH35,βοηθητικό!$J$2:$N$354,3,FALSE))</f>
        <v>_</v>
      </c>
      <c r="AJ35" s="44"/>
      <c r="AK35" s="5" t="s">
        <v>16</v>
      </c>
      <c r="AL35" s="46" t="str">
        <f>IF(VLOOKUP(AK35,βοηθητικό!$J$2:$N$354,3,FALSE)="","",VLOOKUP(AK35,βοηθητικό!$J$2:$N$354,3,FALSE))</f>
        <v>_</v>
      </c>
      <c r="AM35" s="47"/>
      <c r="AN35" s="4" t="s">
        <v>16</v>
      </c>
      <c r="AO35" s="43" t="str">
        <f>IF(VLOOKUP(AN35,βοηθητικό!$J$2:$N$354,3,FALSE)="","",VLOOKUP(AN35,βοηθητικό!$J$2:$N$354,3,FALSE))</f>
        <v>_</v>
      </c>
      <c r="AP35" s="44"/>
      <c r="AQ35" s="5" t="s">
        <v>16</v>
      </c>
      <c r="AR35" s="46" t="str">
        <f>IF(VLOOKUP(AQ35,βοηθητικό!$J$2:$N$354,3,FALSE)="","",VLOOKUP(AQ35,βοηθητικό!$J$2:$N$354,3,FALSE))</f>
        <v>_</v>
      </c>
      <c r="AS35" s="47"/>
      <c r="AT35" s="4" t="s">
        <v>16</v>
      </c>
      <c r="AU35" s="43" t="str">
        <f>IF(VLOOKUP(AT35,βοηθητικό!$J$2:$N$354,3,FALSE)="","",VLOOKUP(AT35,βοηθητικό!$J$2:$N$354,3,FALSE))</f>
        <v>_</v>
      </c>
      <c r="AV35" s="44"/>
      <c r="AW35" s="5" t="s">
        <v>16</v>
      </c>
      <c r="AX35" s="46" t="str">
        <f>IF(VLOOKUP(AW35,βοηθητικό!$J$2:$N$354,3,FALSE)="","",VLOOKUP(AW35,βοηθητικό!$J$2:$N$354,3,FALSE))</f>
        <v>_</v>
      </c>
      <c r="AY35" s="47"/>
      <c r="AZ35" s="4" t="s">
        <v>16</v>
      </c>
      <c r="BA35" s="43" t="str">
        <f>IF(VLOOKUP(AZ35,βοηθητικό!$J$2:$N$354,3,FALSE)="","",VLOOKUP(AZ35,βοηθητικό!$J$2:$N$354,3,FALSE))</f>
        <v>_</v>
      </c>
      <c r="BB35" s="44"/>
      <c r="BC35" s="45" t="s">
        <v>16</v>
      </c>
      <c r="BD35" s="46" t="str">
        <f>IF(VLOOKUP(BC35,βοηθητικό!$J$2:$N$354,3,FALSE)="","",VLOOKUP(BC35,βοηθητικό!$J$2:$N$354,3,FALSE))</f>
        <v>_</v>
      </c>
      <c r="BE35" s="47"/>
      <c r="BF35" s="42" t="s">
        <v>16</v>
      </c>
      <c r="BG35" s="43" t="str">
        <f>IF(VLOOKUP(BF35,βοηθητικό!$J$2:$N$354,3,FALSE)="","",VLOOKUP(BF35,βοηθητικό!$J$2:$N$354,3,FALSE))</f>
        <v>_</v>
      </c>
      <c r="BH35" s="44"/>
      <c r="BI35" s="45" t="s">
        <v>16</v>
      </c>
      <c r="BJ35" s="46" t="str">
        <f>IF(VLOOKUP(BI35,βοηθητικό!$J$2:$N$354,3,FALSE)="","",VLOOKUP(BI35,βοηθητικό!$J$2:$N$354,3,FALSE))</f>
        <v>_</v>
      </c>
      <c r="BK35" s="47"/>
      <c r="BL35" s="42" t="s">
        <v>16</v>
      </c>
      <c r="BM35" s="43" t="str">
        <f>IF(VLOOKUP(BL35,βοηθητικό!$J$2:$N$354,3,FALSE)="","",VLOOKUP(BL35,βοηθητικό!$J$2:$N$354,3,FALSE))</f>
        <v>_</v>
      </c>
      <c r="BN35" s="44"/>
      <c r="BO35" s="45" t="s">
        <v>16</v>
      </c>
      <c r="BP35" s="46" t="str">
        <f>IF(VLOOKUP(BO35,βοηθητικό!$J$2:$N$354,3,FALSE)="","",VLOOKUP(BO35,βοηθητικό!$J$2:$N$354,3,FALSE))</f>
        <v>_</v>
      </c>
      <c r="BQ35" s="47"/>
      <c r="BR35" s="42" t="s">
        <v>16</v>
      </c>
      <c r="BS35" s="43" t="str">
        <f>IF(VLOOKUP(BR35,βοηθητικό!$J$2:$N$354,3,FALSE)="","",VLOOKUP(BR35,βοηθητικό!$J$2:$N$354,3,FALSE))</f>
        <v>_</v>
      </c>
      <c r="BT35" s="44"/>
      <c r="BU35" s="45" t="s">
        <v>16</v>
      </c>
      <c r="BV35" s="46" t="str">
        <f>IF(VLOOKUP(BU35,βοηθητικό!$J$2:$N$354,3,FALSE)="","",VLOOKUP(BU35,βοηθητικό!$J$2:$N$354,3,FALSE))</f>
        <v>_</v>
      </c>
      <c r="BW35" s="47"/>
      <c r="BX35" s="42" t="s">
        <v>16</v>
      </c>
      <c r="BY35" s="43" t="str">
        <f>IF(VLOOKUP(BX35,βοηθητικό!$J$2:$N$354,3,FALSE)="","",VLOOKUP(BX35,βοηθητικό!$J$2:$N$354,3,FALSE))</f>
        <v>_</v>
      </c>
      <c r="BZ35" s="44"/>
      <c r="CA35" s="45" t="s">
        <v>16</v>
      </c>
      <c r="CB35" s="46" t="str">
        <f>IF(VLOOKUP(CA35,βοηθητικό!$J$2:$N$354,3,FALSE)="","",VLOOKUP(CA35,βοηθητικό!$J$2:$N$354,3,FALSE))</f>
        <v>_</v>
      </c>
      <c r="CC35" s="47"/>
      <c r="CD35" s="42" t="s">
        <v>16</v>
      </c>
      <c r="CE35" s="43" t="str">
        <f>IF(VLOOKUP(CD35,βοηθητικό!$J$2:$N$354,3,FALSE)="","",VLOOKUP(CD35,βοηθητικό!$J$2:$N$354,3,FALSE))</f>
        <v>_</v>
      </c>
      <c r="CF35" s="44"/>
      <c r="CG35" s="45" t="s">
        <v>16</v>
      </c>
      <c r="CH35" s="46" t="str">
        <f>IF(VLOOKUP(CG35,βοηθητικό!$J$2:$N$354,3,FALSE)="","",VLOOKUP(CG35,βοηθητικό!$J$2:$N$354,3,FALSE))</f>
        <v>_</v>
      </c>
      <c r="CI35" s="47"/>
      <c r="CJ35" s="42" t="s">
        <v>16</v>
      </c>
      <c r="CK35" s="43" t="str">
        <f>IF(VLOOKUP(CJ35,βοηθητικό!$J$2:$N$354,3,FALSE)="","",VLOOKUP(CJ35,βοηθητικό!$J$2:$N$354,3,FALSE))</f>
        <v>_</v>
      </c>
      <c r="CL35" s="44"/>
      <c r="CM35" s="45" t="s">
        <v>16</v>
      </c>
      <c r="CN35" s="46" t="str">
        <f>IF(VLOOKUP(CM35,βοηθητικό!$J$2:$N$354,3,FALSE)="","",VLOOKUP(CM35,βοηθητικό!$J$2:$N$354,3,FALSE))</f>
        <v>_</v>
      </c>
      <c r="CO35" s="47"/>
      <c r="CP35" s="42" t="s">
        <v>16</v>
      </c>
      <c r="CQ35" s="43" t="str">
        <f>IF(VLOOKUP(CP35,βοηθητικό!$J$2:$N$354,3,FALSE)="","",VLOOKUP(CP35,βοηθητικό!$J$2:$N$354,3,FALSE))</f>
        <v>_</v>
      </c>
      <c r="CR35" s="44"/>
      <c r="CS35" s="45" t="s">
        <v>16</v>
      </c>
      <c r="CT35" s="46" t="str">
        <f>IF(VLOOKUP(CS35,βοηθητικό!$J$2:$N$354,3,FALSE)="","",VLOOKUP(CS35,βοηθητικό!$J$2:$N$354,3,FALSE))</f>
        <v>_</v>
      </c>
      <c r="CU35" s="47"/>
    </row>
    <row r="36" spans="1:99" x14ac:dyDescent="0.25">
      <c r="A36" s="37">
        <f>--SUBTOTAL(3,$B$3:B35)</f>
        <v>33</v>
      </c>
      <c r="B36" s="2">
        <v>45078</v>
      </c>
      <c r="C36" s="3">
        <v>45086</v>
      </c>
      <c r="D36" s="55" t="s">
        <v>33</v>
      </c>
      <c r="E36" s="38" t="s">
        <v>16</v>
      </c>
      <c r="F36" s="38" t="s">
        <v>16</v>
      </c>
      <c r="G36" s="39" t="str">
        <f t="shared" si="2"/>
        <v>__</v>
      </c>
      <c r="H36" s="40" t="str">
        <f t="shared" si="3"/>
        <v>FALSE</v>
      </c>
      <c r="I36" s="41">
        <f t="shared" si="4"/>
        <v>14</v>
      </c>
      <c r="J36" s="4" t="s">
        <v>220</v>
      </c>
      <c r="K36" s="43" t="str">
        <f>IF(VLOOKUP(J36,βοηθητικό!$J$2:$N$354,3,FALSE)="","",VLOOKUP(J36,βοηθητικό!$J$2:$N$354,3,FALSE))</f>
        <v>6979228710</v>
      </c>
      <c r="L36" s="44"/>
      <c r="M36" s="5" t="s">
        <v>232</v>
      </c>
      <c r="N36" s="46" t="str">
        <f>IF(VLOOKUP(M36,βοηθητικό!$J$2:$N$354,3,FALSE)="","",VLOOKUP(M36,βοηθητικό!$J$2:$N$354,3,FALSE))</f>
        <v>6978333742</v>
      </c>
      <c r="O36" s="47"/>
      <c r="P36" s="4" t="s">
        <v>384</v>
      </c>
      <c r="Q36" s="43" t="str">
        <f>IF(VLOOKUP(P36,βοηθητικό!$J$2:$N$354,3,FALSE)="","",VLOOKUP(P36,βοηθητικό!$J$2:$N$354,3,FALSE))</f>
        <v>6972712141</v>
      </c>
      <c r="R36" s="44"/>
      <c r="S36" s="5" t="s">
        <v>142</v>
      </c>
      <c r="T36" s="46" t="str">
        <f>IF(VLOOKUP(S36,βοηθητικό!$J$2:$N$354,3,FALSE)="","",VLOOKUP(S36,βοηθητικό!$J$2:$N$354,3,FALSE))</f>
        <v>6981400643</v>
      </c>
      <c r="U36" s="47"/>
      <c r="V36" s="4" t="s">
        <v>170</v>
      </c>
      <c r="W36" s="43" t="str">
        <f>IF(VLOOKUP(V36,βοηθητικό!$J$2:$N$354,3,FALSE)="","",VLOOKUP(V36,βοηθητικό!$J$2:$N$354,3,FALSE))</f>
        <v>6987268386</v>
      </c>
      <c r="X36" s="44"/>
      <c r="Y36" s="5" t="s">
        <v>203</v>
      </c>
      <c r="Z36" s="46" t="str">
        <f>IF(VLOOKUP(Y36,βοηθητικό!$J$2:$N$354,3,FALSE)="","",VLOOKUP(Y36,βοηθητικό!$J$2:$N$354,3,FALSE))</f>
        <v>6984435383</v>
      </c>
      <c r="AA36" s="47"/>
      <c r="AB36" s="4" t="s">
        <v>227</v>
      </c>
      <c r="AC36" s="43" t="str">
        <f>IF(VLOOKUP(AB36,βοηθητικό!$J$2:$N$354,3,FALSE)="","",VLOOKUP(AB36,βοηθητικό!$J$2:$N$354,3,FALSE))</f>
        <v>6946431686</v>
      </c>
      <c r="AD36" s="44"/>
      <c r="AE36" s="5" t="s">
        <v>283</v>
      </c>
      <c r="AF36" s="46" t="str">
        <f>IF(VLOOKUP(AE36,βοηθητικό!$J$2:$N$354,3,FALSE)="","",VLOOKUP(AE36,βοηθητικό!$J$2:$N$354,3,FALSE))</f>
        <v>6978486629</v>
      </c>
      <c r="AG36" s="47"/>
      <c r="AH36" s="4" t="s">
        <v>467</v>
      </c>
      <c r="AI36" s="43" t="str">
        <f>IF(VLOOKUP(AH36,βοηθητικό!$J$2:$N$354,3,FALSE)="","",VLOOKUP(AH36,βοηθητικό!$J$2:$N$354,3,FALSE))</f>
        <v>6949453697</v>
      </c>
      <c r="AJ36" s="44"/>
      <c r="AK36" s="5" t="s">
        <v>132</v>
      </c>
      <c r="AL36" s="46" t="str">
        <f>IF(VLOOKUP(AK36,βοηθητικό!$J$2:$N$354,3,FALSE)="","",VLOOKUP(AK36,βοηθητικό!$J$2:$N$354,3,FALSE))</f>
        <v>6932853641</v>
      </c>
      <c r="AM36" s="47"/>
      <c r="AN36" s="4" t="s">
        <v>152</v>
      </c>
      <c r="AO36" s="43" t="str">
        <f>IF(VLOOKUP(AN36,βοηθητικό!$J$2:$N$354,3,FALSE)="","",VLOOKUP(AN36,βοηθητικό!$J$2:$N$354,3,FALSE))</f>
        <v>6974605685</v>
      </c>
      <c r="AP36" s="44"/>
      <c r="AQ36" s="5" t="s">
        <v>161</v>
      </c>
      <c r="AR36" s="46" t="str">
        <f>IF(VLOOKUP(AQ36,βοηθητικό!$J$2:$N$354,3,FALSE)="","",VLOOKUP(AQ36,βοηθητικό!$J$2:$N$354,3,FALSE))</f>
        <v>6944899817</v>
      </c>
      <c r="AS36" s="47"/>
      <c r="AT36" s="4" t="s">
        <v>186</v>
      </c>
      <c r="AU36" s="43" t="str">
        <f>IF(VLOOKUP(AT36,βοηθητικό!$J$2:$N$354,3,FALSE)="","",VLOOKUP(AT36,βοηθητικό!$J$2:$N$354,3,FALSE))</f>
        <v>6938905960</v>
      </c>
      <c r="AV36" s="44"/>
      <c r="AW36" s="5" t="s">
        <v>406</v>
      </c>
      <c r="AX36" s="46" t="str">
        <f>IF(VLOOKUP(AW36,βοηθητικό!$J$2:$N$354,3,FALSE)="","",VLOOKUP(AW36,βοηθητικό!$J$2:$N$354,3,FALSE))</f>
        <v>2310450093</v>
      </c>
      <c r="AY36" s="47"/>
      <c r="AZ36" s="4" t="s">
        <v>16</v>
      </c>
      <c r="BA36" s="43" t="str">
        <f>IF(VLOOKUP(AZ36,βοηθητικό!$J$2:$N$354,3,FALSE)="","",VLOOKUP(AZ36,βοηθητικό!$J$2:$N$354,3,FALSE))</f>
        <v>_</v>
      </c>
      <c r="BB36" s="44"/>
      <c r="BC36" s="45" t="s">
        <v>16</v>
      </c>
      <c r="BD36" s="46" t="str">
        <f>IF(VLOOKUP(BC36,βοηθητικό!$J$2:$N$354,3,FALSE)="","",VLOOKUP(BC36,βοηθητικό!$J$2:$N$354,3,FALSE))</f>
        <v>_</v>
      </c>
      <c r="BE36" s="47"/>
      <c r="BF36" s="42" t="s">
        <v>16</v>
      </c>
      <c r="BG36" s="43" t="str">
        <f>IF(VLOOKUP(BF36,βοηθητικό!$J$2:$N$354,3,FALSE)="","",VLOOKUP(BF36,βοηθητικό!$J$2:$N$354,3,FALSE))</f>
        <v>_</v>
      </c>
      <c r="BH36" s="44"/>
      <c r="BI36" s="45" t="s">
        <v>16</v>
      </c>
      <c r="BJ36" s="46" t="str">
        <f>IF(VLOOKUP(BI36,βοηθητικό!$J$2:$N$354,3,FALSE)="","",VLOOKUP(BI36,βοηθητικό!$J$2:$N$354,3,FALSE))</f>
        <v>_</v>
      </c>
      <c r="BK36" s="47"/>
      <c r="BL36" s="42" t="s">
        <v>16</v>
      </c>
      <c r="BM36" s="43" t="str">
        <f>IF(VLOOKUP(BL36,βοηθητικό!$J$2:$N$354,3,FALSE)="","",VLOOKUP(BL36,βοηθητικό!$J$2:$N$354,3,FALSE))</f>
        <v>_</v>
      </c>
      <c r="BN36" s="44"/>
      <c r="BO36" s="45" t="s">
        <v>16</v>
      </c>
      <c r="BP36" s="46" t="str">
        <f>IF(VLOOKUP(BO36,βοηθητικό!$J$2:$N$354,3,FALSE)="","",VLOOKUP(BO36,βοηθητικό!$J$2:$N$354,3,FALSE))</f>
        <v>_</v>
      </c>
      <c r="BQ36" s="47"/>
      <c r="BR36" s="42" t="s">
        <v>16</v>
      </c>
      <c r="BS36" s="43" t="str">
        <f>IF(VLOOKUP(BR36,βοηθητικό!$J$2:$N$354,3,FALSE)="","",VLOOKUP(BR36,βοηθητικό!$J$2:$N$354,3,FALSE))</f>
        <v>_</v>
      </c>
      <c r="BT36" s="44"/>
      <c r="BU36" s="45" t="s">
        <v>16</v>
      </c>
      <c r="BV36" s="46" t="str">
        <f>IF(VLOOKUP(BU36,βοηθητικό!$J$2:$N$354,3,FALSE)="","",VLOOKUP(BU36,βοηθητικό!$J$2:$N$354,3,FALSE))</f>
        <v>_</v>
      </c>
      <c r="BW36" s="47"/>
      <c r="BX36" s="42" t="s">
        <v>16</v>
      </c>
      <c r="BY36" s="43" t="str">
        <f>IF(VLOOKUP(BX36,βοηθητικό!$J$2:$N$354,3,FALSE)="","",VLOOKUP(BX36,βοηθητικό!$J$2:$N$354,3,FALSE))</f>
        <v>_</v>
      </c>
      <c r="BZ36" s="44"/>
      <c r="CA36" s="45" t="s">
        <v>16</v>
      </c>
      <c r="CB36" s="46" t="str">
        <f>IF(VLOOKUP(CA36,βοηθητικό!$J$2:$N$354,3,FALSE)="","",VLOOKUP(CA36,βοηθητικό!$J$2:$N$354,3,FALSE))</f>
        <v>_</v>
      </c>
      <c r="CC36" s="47"/>
      <c r="CD36" s="42" t="s">
        <v>16</v>
      </c>
      <c r="CE36" s="43" t="str">
        <f>IF(VLOOKUP(CD36,βοηθητικό!$J$2:$N$354,3,FALSE)="","",VLOOKUP(CD36,βοηθητικό!$J$2:$N$354,3,FALSE))</f>
        <v>_</v>
      </c>
      <c r="CF36" s="44"/>
      <c r="CG36" s="45" t="s">
        <v>16</v>
      </c>
      <c r="CH36" s="46" t="str">
        <f>IF(VLOOKUP(CG36,βοηθητικό!$J$2:$N$354,3,FALSE)="","",VLOOKUP(CG36,βοηθητικό!$J$2:$N$354,3,FALSE))</f>
        <v>_</v>
      </c>
      <c r="CI36" s="47"/>
      <c r="CJ36" s="42" t="s">
        <v>16</v>
      </c>
      <c r="CK36" s="43" t="str">
        <f>IF(VLOOKUP(CJ36,βοηθητικό!$J$2:$N$354,3,FALSE)="","",VLOOKUP(CJ36,βοηθητικό!$J$2:$N$354,3,FALSE))</f>
        <v>_</v>
      </c>
      <c r="CL36" s="44"/>
      <c r="CM36" s="45" t="s">
        <v>16</v>
      </c>
      <c r="CN36" s="46" t="str">
        <f>IF(VLOOKUP(CM36,βοηθητικό!$J$2:$N$354,3,FALSE)="","",VLOOKUP(CM36,βοηθητικό!$J$2:$N$354,3,FALSE))</f>
        <v>_</v>
      </c>
      <c r="CO36" s="47"/>
      <c r="CP36" s="42" t="s">
        <v>16</v>
      </c>
      <c r="CQ36" s="43" t="str">
        <f>IF(VLOOKUP(CP36,βοηθητικό!$J$2:$N$354,3,FALSE)="","",VLOOKUP(CP36,βοηθητικό!$J$2:$N$354,3,FALSE))</f>
        <v>_</v>
      </c>
      <c r="CR36" s="44"/>
      <c r="CS36" s="45" t="s">
        <v>16</v>
      </c>
      <c r="CT36" s="46" t="str">
        <f>IF(VLOOKUP(CS36,βοηθητικό!$J$2:$N$354,3,FALSE)="","",VLOOKUP(CS36,βοηθητικό!$J$2:$N$354,3,FALSE))</f>
        <v>_</v>
      </c>
      <c r="CU36" s="47"/>
    </row>
    <row r="37" spans="1:99" x14ac:dyDescent="0.25">
      <c r="A37" s="37">
        <f>--SUBTOTAL(3,$B$3:B36)</f>
        <v>34</v>
      </c>
      <c r="B37" s="2">
        <v>45087</v>
      </c>
      <c r="C37" s="3">
        <v>45093</v>
      </c>
      <c r="D37" s="55" t="s">
        <v>33</v>
      </c>
      <c r="E37" s="38" t="s">
        <v>16</v>
      </c>
      <c r="F37" s="38" t="s">
        <v>16</v>
      </c>
      <c r="G37" s="39" t="str">
        <f t="shared" si="2"/>
        <v>__</v>
      </c>
      <c r="H37" s="40" t="str">
        <f t="shared" si="3"/>
        <v>FALSE</v>
      </c>
      <c r="I37" s="41">
        <f t="shared" si="4"/>
        <v>13</v>
      </c>
      <c r="J37" s="4" t="s">
        <v>179</v>
      </c>
      <c r="K37" s="43" t="str">
        <f>IF(VLOOKUP(J37,βοηθητικό!$J$2:$N$354,3,FALSE)="","",VLOOKUP(J37,βοηθητικό!$J$2:$N$354,3,FALSE))</f>
        <v>6944613389</v>
      </c>
      <c r="L37" s="44"/>
      <c r="M37" s="5" t="s">
        <v>350</v>
      </c>
      <c r="N37" s="46" t="str">
        <f>IF(VLOOKUP(M37,βοηθητικό!$J$2:$N$354,3,FALSE)="","",VLOOKUP(M37,βοηθητικό!$J$2:$N$354,3,FALSE))</f>
        <v>6974790515</v>
      </c>
      <c r="O37" s="47"/>
      <c r="P37" s="4" t="s">
        <v>355</v>
      </c>
      <c r="Q37" s="43" t="str">
        <f>IF(VLOOKUP(P37,βοηθητικό!$J$2:$N$354,3,FALSE)="","",VLOOKUP(P37,βοηθητικό!$J$2:$N$354,3,FALSE))</f>
        <v>6947899410</v>
      </c>
      <c r="R37" s="44"/>
      <c r="S37" s="5" t="s">
        <v>192</v>
      </c>
      <c r="T37" s="46" t="str">
        <f>IF(VLOOKUP(S37,βοηθητικό!$J$2:$N$354,3,FALSE)="","",VLOOKUP(S37,βοηθητικό!$J$2:$N$354,3,FALSE))</f>
        <v>6942926446</v>
      </c>
      <c r="U37" s="47"/>
      <c r="V37" s="4" t="s">
        <v>238</v>
      </c>
      <c r="W37" s="43" t="str">
        <f>IF(VLOOKUP(V37,βοηθητικό!$J$2:$N$354,3,FALSE)="","",VLOOKUP(V37,βοηθητικό!$J$2:$N$354,3,FALSE))</f>
        <v>6985709513</v>
      </c>
      <c r="X37" s="44"/>
      <c r="Y37" s="5" t="s">
        <v>424</v>
      </c>
      <c r="Z37" s="46" t="str">
        <f>IF(VLOOKUP(Y37,βοηθητικό!$J$2:$N$354,3,FALSE)="","",VLOOKUP(Y37,βοηθητικό!$J$2:$N$354,3,FALSE))</f>
        <v>6907545731</v>
      </c>
      <c r="AA37" s="47"/>
      <c r="AB37" s="4" t="s">
        <v>266</v>
      </c>
      <c r="AC37" s="43" t="str">
        <f>IF(VLOOKUP(AB37,βοηθητικό!$J$2:$N$354,3,FALSE)="","",VLOOKUP(AB37,βοηθητικό!$J$2:$N$354,3,FALSE))</f>
        <v>6947449447</v>
      </c>
      <c r="AD37" s="44"/>
      <c r="AE37" s="5" t="s">
        <v>333</v>
      </c>
      <c r="AF37" s="46" t="str">
        <f>IF(VLOOKUP(AE37,βοηθητικό!$J$2:$N$354,3,FALSE)="","",VLOOKUP(AE37,βοηθητικό!$J$2:$N$354,3,FALSE))</f>
        <v>6948630062</v>
      </c>
      <c r="AG37" s="47"/>
      <c r="AH37" s="4" t="s">
        <v>243</v>
      </c>
      <c r="AI37" s="43" t="str">
        <f>IF(VLOOKUP(AH37,βοηθητικό!$J$2:$N$354,3,FALSE)="","",VLOOKUP(AH37,βοηθητικό!$J$2:$N$354,3,FALSE))</f>
        <v>6983032595</v>
      </c>
      <c r="AJ37" s="44"/>
      <c r="AK37" s="5" t="s">
        <v>255</v>
      </c>
      <c r="AL37" s="46" t="str">
        <f>IF(VLOOKUP(AK37,βοηθητικό!$J$2:$N$354,3,FALSE)="","",VLOOKUP(AK37,βοηθητικό!$J$2:$N$354,3,FALSE))</f>
        <v>6973803702</v>
      </c>
      <c r="AM37" s="47"/>
      <c r="AN37" s="4" t="s">
        <v>277</v>
      </c>
      <c r="AO37" s="43" t="str">
        <f>IF(VLOOKUP(AN37,βοηθητικό!$J$2:$N$354,3,FALSE)="","",VLOOKUP(AN37,βοηθητικό!$J$2:$N$354,3,FALSE))</f>
        <v>6977827750</v>
      </c>
      <c r="AP37" s="44"/>
      <c r="AQ37" s="5" t="s">
        <v>444</v>
      </c>
      <c r="AR37" s="46" t="str">
        <f>IF(VLOOKUP(AQ37,βοηθητικό!$J$2:$N$354,3,FALSE)="","",VLOOKUP(AQ37,βοηθητικό!$J$2:$N$354,3,FALSE))</f>
        <v>6977538476</v>
      </c>
      <c r="AS37" s="47"/>
      <c r="AT37" s="4" t="s">
        <v>295</v>
      </c>
      <c r="AU37" s="43" t="str">
        <f>IF(VLOOKUP(AT37,βοηθητικό!$J$2:$N$354,3,FALSE)="","",VLOOKUP(AT37,βοηθητικό!$J$2:$N$354,3,FALSE))</f>
        <v>6945415670</v>
      </c>
      <c r="AV37" s="44"/>
      <c r="AW37" s="5" t="s">
        <v>16</v>
      </c>
      <c r="AX37" s="46" t="str">
        <f>IF(VLOOKUP(AW37,βοηθητικό!$J$2:$N$354,3,FALSE)="","",VLOOKUP(AW37,βοηθητικό!$J$2:$N$354,3,FALSE))</f>
        <v>_</v>
      </c>
      <c r="AY37" s="47"/>
      <c r="AZ37" s="4" t="s">
        <v>16</v>
      </c>
      <c r="BA37" s="43" t="str">
        <f>IF(VLOOKUP(AZ37,βοηθητικό!$J$2:$N$354,3,FALSE)="","",VLOOKUP(AZ37,βοηθητικό!$J$2:$N$354,3,FALSE))</f>
        <v>_</v>
      </c>
      <c r="BB37" s="44"/>
      <c r="BC37" s="45" t="s">
        <v>16</v>
      </c>
      <c r="BD37" s="46" t="str">
        <f>IF(VLOOKUP(BC37,βοηθητικό!$J$2:$N$354,3,FALSE)="","",VLOOKUP(BC37,βοηθητικό!$J$2:$N$354,3,FALSE))</f>
        <v>_</v>
      </c>
      <c r="BE37" s="47"/>
      <c r="BF37" s="42" t="s">
        <v>16</v>
      </c>
      <c r="BG37" s="43" t="str">
        <f>IF(VLOOKUP(BF37,βοηθητικό!$J$2:$N$354,3,FALSE)="","",VLOOKUP(BF37,βοηθητικό!$J$2:$N$354,3,FALSE))</f>
        <v>_</v>
      </c>
      <c r="BH37" s="44"/>
      <c r="BI37" s="45" t="s">
        <v>16</v>
      </c>
      <c r="BJ37" s="46" t="str">
        <f>IF(VLOOKUP(BI37,βοηθητικό!$J$2:$N$354,3,FALSE)="","",VLOOKUP(BI37,βοηθητικό!$J$2:$N$354,3,FALSE))</f>
        <v>_</v>
      </c>
      <c r="BK37" s="47"/>
      <c r="BL37" s="42" t="s">
        <v>16</v>
      </c>
      <c r="BM37" s="43" t="str">
        <f>IF(VLOOKUP(BL37,βοηθητικό!$J$2:$N$354,3,FALSE)="","",VLOOKUP(BL37,βοηθητικό!$J$2:$N$354,3,FALSE))</f>
        <v>_</v>
      </c>
      <c r="BN37" s="44"/>
      <c r="BO37" s="45" t="s">
        <v>16</v>
      </c>
      <c r="BP37" s="46" t="str">
        <f>IF(VLOOKUP(BO37,βοηθητικό!$J$2:$N$354,3,FALSE)="","",VLOOKUP(BO37,βοηθητικό!$J$2:$N$354,3,FALSE))</f>
        <v>_</v>
      </c>
      <c r="BQ37" s="47"/>
      <c r="BR37" s="42" t="s">
        <v>16</v>
      </c>
      <c r="BS37" s="43" t="str">
        <f>IF(VLOOKUP(BR37,βοηθητικό!$J$2:$N$354,3,FALSE)="","",VLOOKUP(BR37,βοηθητικό!$J$2:$N$354,3,FALSE))</f>
        <v>_</v>
      </c>
      <c r="BT37" s="44"/>
      <c r="BU37" s="45" t="s">
        <v>16</v>
      </c>
      <c r="BV37" s="46" t="str">
        <f>IF(VLOOKUP(BU37,βοηθητικό!$J$2:$N$354,3,FALSE)="","",VLOOKUP(BU37,βοηθητικό!$J$2:$N$354,3,FALSE))</f>
        <v>_</v>
      </c>
      <c r="BW37" s="47"/>
      <c r="BX37" s="42" t="s">
        <v>16</v>
      </c>
      <c r="BY37" s="43" t="str">
        <f>IF(VLOOKUP(BX37,βοηθητικό!$J$2:$N$354,3,FALSE)="","",VLOOKUP(BX37,βοηθητικό!$J$2:$N$354,3,FALSE))</f>
        <v>_</v>
      </c>
      <c r="BZ37" s="44"/>
      <c r="CA37" s="45" t="s">
        <v>16</v>
      </c>
      <c r="CB37" s="46" t="str">
        <f>IF(VLOOKUP(CA37,βοηθητικό!$J$2:$N$354,3,FALSE)="","",VLOOKUP(CA37,βοηθητικό!$J$2:$N$354,3,FALSE))</f>
        <v>_</v>
      </c>
      <c r="CC37" s="47"/>
      <c r="CD37" s="42" t="s">
        <v>16</v>
      </c>
      <c r="CE37" s="43" t="str">
        <f>IF(VLOOKUP(CD37,βοηθητικό!$J$2:$N$354,3,FALSE)="","",VLOOKUP(CD37,βοηθητικό!$J$2:$N$354,3,FALSE))</f>
        <v>_</v>
      </c>
      <c r="CF37" s="44"/>
      <c r="CG37" s="45" t="s">
        <v>16</v>
      </c>
      <c r="CH37" s="46" t="str">
        <f>IF(VLOOKUP(CG37,βοηθητικό!$J$2:$N$354,3,FALSE)="","",VLOOKUP(CG37,βοηθητικό!$J$2:$N$354,3,FALSE))</f>
        <v>_</v>
      </c>
      <c r="CI37" s="47"/>
      <c r="CJ37" s="42" t="s">
        <v>16</v>
      </c>
      <c r="CK37" s="43" t="str">
        <f>IF(VLOOKUP(CJ37,βοηθητικό!$J$2:$N$354,3,FALSE)="","",VLOOKUP(CJ37,βοηθητικό!$J$2:$N$354,3,FALSE))</f>
        <v>_</v>
      </c>
      <c r="CL37" s="44"/>
      <c r="CM37" s="45" t="s">
        <v>16</v>
      </c>
      <c r="CN37" s="46" t="str">
        <f>IF(VLOOKUP(CM37,βοηθητικό!$J$2:$N$354,3,FALSE)="","",VLOOKUP(CM37,βοηθητικό!$J$2:$N$354,3,FALSE))</f>
        <v>_</v>
      </c>
      <c r="CO37" s="47"/>
      <c r="CP37" s="42" t="s">
        <v>16</v>
      </c>
      <c r="CQ37" s="43" t="str">
        <f>IF(VLOOKUP(CP37,βοηθητικό!$J$2:$N$354,3,FALSE)="","",VLOOKUP(CP37,βοηθητικό!$J$2:$N$354,3,FALSE))</f>
        <v>_</v>
      </c>
      <c r="CR37" s="44"/>
      <c r="CS37" s="45" t="s">
        <v>16</v>
      </c>
      <c r="CT37" s="46" t="str">
        <f>IF(VLOOKUP(CS37,βοηθητικό!$J$2:$N$354,3,FALSE)="","",VLOOKUP(CS37,βοηθητικό!$J$2:$N$354,3,FALSE))</f>
        <v>_</v>
      </c>
      <c r="CU37" s="47"/>
    </row>
    <row r="38" spans="1:99" x14ac:dyDescent="0.25">
      <c r="A38" s="37">
        <f>--SUBTOTAL(3,$B$3:B37)</f>
        <v>35</v>
      </c>
      <c r="B38" s="2">
        <v>45094</v>
      </c>
      <c r="C38" s="3">
        <v>45100</v>
      </c>
      <c r="D38" s="55" t="s">
        <v>33</v>
      </c>
      <c r="E38" s="38" t="s">
        <v>16</v>
      </c>
      <c r="F38" s="38" t="s">
        <v>16</v>
      </c>
      <c r="G38" s="39" t="str">
        <f t="shared" si="2"/>
        <v>__</v>
      </c>
      <c r="H38" s="40" t="str">
        <f t="shared" si="3"/>
        <v>FALSE</v>
      </c>
      <c r="I38" s="41">
        <f t="shared" si="4"/>
        <v>13</v>
      </c>
      <c r="J38" s="4" t="s">
        <v>197</v>
      </c>
      <c r="K38" s="43" t="str">
        <f>IF(VLOOKUP(J38,βοηθητικό!$J$2:$N$354,3,FALSE)="","",VLOOKUP(J38,βοηθητικό!$J$2:$N$354,3,FALSE))</f>
        <v>6976681245</v>
      </c>
      <c r="L38" s="44"/>
      <c r="M38" s="5" t="s">
        <v>271</v>
      </c>
      <c r="N38" s="46" t="str">
        <f>IF(VLOOKUP(M38,βοηθητικό!$J$2:$N$354,3,FALSE)="","",VLOOKUP(M38,βοηθητικό!$J$2:$N$354,3,FALSE))</f>
        <v>6944508818</v>
      </c>
      <c r="O38" s="47"/>
      <c r="P38" s="4" t="s">
        <v>313</v>
      </c>
      <c r="Q38" s="43" t="str">
        <f>IF(VLOOKUP(P38,βοηθητικό!$J$2:$N$354,3,FALSE)="","",VLOOKUP(P38,βοηθητικό!$J$2:$N$354,3,FALSE))</f>
        <v>6947932494</v>
      </c>
      <c r="R38" s="44"/>
      <c r="S38" s="5" t="s">
        <v>440</v>
      </c>
      <c r="T38" s="46" t="str">
        <f>IF(VLOOKUP(S38,βοηθητικό!$J$2:$N$354,3,FALSE)="","",VLOOKUP(S38,βοηθητικό!$J$2:$N$354,3,FALSE))</f>
        <v>6981517173</v>
      </c>
      <c r="U38" s="47"/>
      <c r="V38" s="4" t="s">
        <v>455</v>
      </c>
      <c r="W38" s="43" t="str">
        <f>IF(VLOOKUP(V38,βοηθητικό!$J$2:$N$354,3,FALSE)="","",VLOOKUP(V38,βοηθητικό!$J$2:$N$354,3,FALSE))</f>
        <v>6974815544</v>
      </c>
      <c r="X38" s="44"/>
      <c r="Y38" s="5" t="s">
        <v>360</v>
      </c>
      <c r="Z38" s="46" t="str">
        <f>IF(VLOOKUP(Y38,βοηθητικό!$J$2:$N$354,3,FALSE)="","",VLOOKUP(Y38,βοηθητικό!$J$2:$N$354,3,FALSE))</f>
        <v>6973306494</v>
      </c>
      <c r="AA38" s="47"/>
      <c r="AB38" s="4" t="s">
        <v>395</v>
      </c>
      <c r="AC38" s="43" t="str">
        <f>IF(VLOOKUP(AB38,βοηθητικό!$J$2:$N$354,3,FALSE)="","",VLOOKUP(AB38,βοηθητικό!$J$2:$N$354,3,FALSE))</f>
        <v>6987887267</v>
      </c>
      <c r="AD38" s="44"/>
      <c r="AE38" s="5" t="s">
        <v>401</v>
      </c>
      <c r="AF38" s="46" t="str">
        <f>IF(VLOOKUP(AE38,βοηθητικό!$J$2:$N$354,3,FALSE)="","",VLOOKUP(AE38,βοηθητικό!$J$2:$N$354,3,FALSE))</f>
        <v>6944884457</v>
      </c>
      <c r="AG38" s="47"/>
      <c r="AH38" s="4" t="s">
        <v>249</v>
      </c>
      <c r="AI38" s="43" t="str">
        <f>IF(VLOOKUP(AH38,βοηθητικό!$J$2:$N$354,3,FALSE)="","",VLOOKUP(AH38,βοηθητικό!$J$2:$N$354,3,FALSE))</f>
        <v>6942712698</v>
      </c>
      <c r="AJ38" s="44"/>
      <c r="AK38" s="5" t="s">
        <v>288</v>
      </c>
      <c r="AL38" s="46" t="str">
        <f>IF(VLOOKUP(AK38,βοηθητικό!$J$2:$N$354,3,FALSE)="","",VLOOKUP(AK38,βοηθητικό!$J$2:$N$354,3,FALSE))</f>
        <v>6936783135</v>
      </c>
      <c r="AM38" s="47"/>
      <c r="AN38" s="4" t="s">
        <v>317</v>
      </c>
      <c r="AO38" s="43" t="str">
        <f>IF(VLOOKUP(AN38,βοηθητικό!$J$2:$N$354,3,FALSE)="","",VLOOKUP(AN38,βοηθητικό!$J$2:$N$354,3,FALSE))</f>
        <v>6936772633</v>
      </c>
      <c r="AP38" s="44"/>
      <c r="AQ38" s="5" t="s">
        <v>322</v>
      </c>
      <c r="AR38" s="46" t="str">
        <f>IF(VLOOKUP(AQ38,βοηθητικό!$J$2:$N$354,3,FALSE)="","",VLOOKUP(AQ38,βοηθητικό!$J$2:$N$354,3,FALSE))</f>
        <v>6947830538</v>
      </c>
      <c r="AS38" s="47"/>
      <c r="AT38" s="4" t="s">
        <v>389</v>
      </c>
      <c r="AU38" s="43" t="str">
        <f>IF(VLOOKUP(AT38,βοηθητικό!$J$2:$N$354,3,FALSE)="","",VLOOKUP(AT38,βοηθητικό!$J$2:$N$354,3,FALSE))</f>
        <v>6974050289</v>
      </c>
      <c r="AV38" s="44"/>
      <c r="AW38" s="5" t="s">
        <v>16</v>
      </c>
      <c r="AX38" s="46" t="str">
        <f>IF(VLOOKUP(AW38,βοηθητικό!$J$2:$N$354,3,FALSE)="","",VLOOKUP(AW38,βοηθητικό!$J$2:$N$354,3,FALSE))</f>
        <v>_</v>
      </c>
      <c r="AY38" s="47"/>
      <c r="AZ38" s="4" t="s">
        <v>16</v>
      </c>
      <c r="BA38" s="43" t="str">
        <f>IF(VLOOKUP(AZ38,βοηθητικό!$J$2:$N$354,3,FALSE)="","",VLOOKUP(AZ38,βοηθητικό!$J$2:$N$354,3,FALSE))</f>
        <v>_</v>
      </c>
      <c r="BB38" s="44"/>
      <c r="BC38" s="45" t="s">
        <v>16</v>
      </c>
      <c r="BD38" s="46" t="str">
        <f>IF(VLOOKUP(BC38,βοηθητικό!$J$2:$N$354,3,FALSE)="","",VLOOKUP(BC38,βοηθητικό!$J$2:$N$354,3,FALSE))</f>
        <v>_</v>
      </c>
      <c r="BE38" s="47"/>
      <c r="BF38" s="42" t="s">
        <v>16</v>
      </c>
      <c r="BG38" s="43" t="str">
        <f>IF(VLOOKUP(BF38,βοηθητικό!$J$2:$N$354,3,FALSE)="","",VLOOKUP(BF38,βοηθητικό!$J$2:$N$354,3,FALSE))</f>
        <v>_</v>
      </c>
      <c r="BH38" s="44"/>
      <c r="BI38" s="45" t="s">
        <v>16</v>
      </c>
      <c r="BJ38" s="46" t="str">
        <f>IF(VLOOKUP(BI38,βοηθητικό!$J$2:$N$354,3,FALSE)="","",VLOOKUP(BI38,βοηθητικό!$J$2:$N$354,3,FALSE))</f>
        <v>_</v>
      </c>
      <c r="BK38" s="47"/>
      <c r="BL38" s="42" t="s">
        <v>16</v>
      </c>
      <c r="BM38" s="43" t="str">
        <f>IF(VLOOKUP(BL38,βοηθητικό!$J$2:$N$354,3,FALSE)="","",VLOOKUP(BL38,βοηθητικό!$J$2:$N$354,3,FALSE))</f>
        <v>_</v>
      </c>
      <c r="BN38" s="44"/>
      <c r="BO38" s="45" t="s">
        <v>16</v>
      </c>
      <c r="BP38" s="46" t="str">
        <f>IF(VLOOKUP(BO38,βοηθητικό!$J$2:$N$354,3,FALSE)="","",VLOOKUP(BO38,βοηθητικό!$J$2:$N$354,3,FALSE))</f>
        <v>_</v>
      </c>
      <c r="BQ38" s="47"/>
      <c r="BR38" s="42" t="s">
        <v>16</v>
      </c>
      <c r="BS38" s="43" t="str">
        <f>IF(VLOOKUP(BR38,βοηθητικό!$J$2:$N$354,3,FALSE)="","",VLOOKUP(BR38,βοηθητικό!$J$2:$N$354,3,FALSE))</f>
        <v>_</v>
      </c>
      <c r="BT38" s="44"/>
      <c r="BU38" s="45" t="s">
        <v>16</v>
      </c>
      <c r="BV38" s="46" t="str">
        <f>IF(VLOOKUP(BU38,βοηθητικό!$J$2:$N$354,3,FALSE)="","",VLOOKUP(BU38,βοηθητικό!$J$2:$N$354,3,FALSE))</f>
        <v>_</v>
      </c>
      <c r="BW38" s="47"/>
      <c r="BX38" s="42" t="s">
        <v>16</v>
      </c>
      <c r="BY38" s="43" t="str">
        <f>IF(VLOOKUP(BX38,βοηθητικό!$J$2:$N$354,3,FALSE)="","",VLOOKUP(BX38,βοηθητικό!$J$2:$N$354,3,FALSE))</f>
        <v>_</v>
      </c>
      <c r="BZ38" s="44"/>
      <c r="CA38" s="45" t="s">
        <v>16</v>
      </c>
      <c r="CB38" s="46" t="str">
        <f>IF(VLOOKUP(CA38,βοηθητικό!$J$2:$N$354,3,FALSE)="","",VLOOKUP(CA38,βοηθητικό!$J$2:$N$354,3,FALSE))</f>
        <v>_</v>
      </c>
      <c r="CC38" s="47"/>
      <c r="CD38" s="42" t="s">
        <v>16</v>
      </c>
      <c r="CE38" s="43" t="str">
        <f>IF(VLOOKUP(CD38,βοηθητικό!$J$2:$N$354,3,FALSE)="","",VLOOKUP(CD38,βοηθητικό!$J$2:$N$354,3,FALSE))</f>
        <v>_</v>
      </c>
      <c r="CF38" s="44"/>
      <c r="CG38" s="45" t="s">
        <v>16</v>
      </c>
      <c r="CH38" s="46" t="str">
        <f>IF(VLOOKUP(CG38,βοηθητικό!$J$2:$N$354,3,FALSE)="","",VLOOKUP(CG38,βοηθητικό!$J$2:$N$354,3,FALSE))</f>
        <v>_</v>
      </c>
      <c r="CI38" s="47"/>
      <c r="CJ38" s="42" t="s">
        <v>16</v>
      </c>
      <c r="CK38" s="43" t="str">
        <f>IF(VLOOKUP(CJ38,βοηθητικό!$J$2:$N$354,3,FALSE)="","",VLOOKUP(CJ38,βοηθητικό!$J$2:$N$354,3,FALSE))</f>
        <v>_</v>
      </c>
      <c r="CL38" s="44"/>
      <c r="CM38" s="45" t="s">
        <v>16</v>
      </c>
      <c r="CN38" s="46" t="str">
        <f>IF(VLOOKUP(CM38,βοηθητικό!$J$2:$N$354,3,FALSE)="","",VLOOKUP(CM38,βοηθητικό!$J$2:$N$354,3,FALSE))</f>
        <v>_</v>
      </c>
      <c r="CO38" s="47"/>
      <c r="CP38" s="42" t="s">
        <v>16</v>
      </c>
      <c r="CQ38" s="43" t="str">
        <f>IF(VLOOKUP(CP38,βοηθητικό!$J$2:$N$354,3,FALSE)="","",VLOOKUP(CP38,βοηθητικό!$J$2:$N$354,3,FALSE))</f>
        <v>_</v>
      </c>
      <c r="CR38" s="44"/>
      <c r="CS38" s="45" t="s">
        <v>16</v>
      </c>
      <c r="CT38" s="46" t="str">
        <f>IF(VLOOKUP(CS38,βοηθητικό!$J$2:$N$354,3,FALSE)="","",VLOOKUP(CS38,βοηθητικό!$J$2:$N$354,3,FALSE))</f>
        <v>_</v>
      </c>
      <c r="CU38" s="47"/>
    </row>
    <row r="39" spans="1:99" x14ac:dyDescent="0.25">
      <c r="A39" s="37">
        <f>--SUBTOTAL(3,$B$3:B38)</f>
        <v>36</v>
      </c>
      <c r="B39" s="2">
        <v>45101</v>
      </c>
      <c r="C39" s="3">
        <v>45107</v>
      </c>
      <c r="D39" s="55" t="s">
        <v>33</v>
      </c>
      <c r="E39" s="38" t="s">
        <v>16</v>
      </c>
      <c r="F39" s="38" t="s">
        <v>16</v>
      </c>
      <c r="G39" s="39" t="str">
        <f t="shared" si="2"/>
        <v>__</v>
      </c>
      <c r="H39" s="40" t="str">
        <f t="shared" si="3"/>
        <v>FALSE</v>
      </c>
      <c r="I39" s="41">
        <f t="shared" si="4"/>
        <v>13</v>
      </c>
      <c r="J39" s="4" t="s">
        <v>121</v>
      </c>
      <c r="K39" s="43" t="str">
        <f>IF(VLOOKUP(J39,βοηθητικό!$J$2:$N$354,3,FALSE)="","",VLOOKUP(J39,βοηθητικό!$J$2:$N$354,3,FALSE))</f>
        <v>6949672608</v>
      </c>
      <c r="L39" s="44"/>
      <c r="M39" s="5" t="s">
        <v>345</v>
      </c>
      <c r="N39" s="46" t="str">
        <f>IF(VLOOKUP(M39,βοηθητικό!$J$2:$N$354,3,FALSE)="","",VLOOKUP(M39,βοηθητικό!$J$2:$N$354,3,FALSE))</f>
        <v>6937733373</v>
      </c>
      <c r="O39" s="47"/>
      <c r="P39" s="4" t="s">
        <v>418</v>
      </c>
      <c r="Q39" s="43" t="str">
        <f>IF(VLOOKUP(P39,βοηθητικό!$J$2:$N$354,3,FALSE)="","",VLOOKUP(P39,βοηθητικό!$J$2:$N$354,3,FALSE))</f>
        <v>6944126355</v>
      </c>
      <c r="R39" s="44"/>
      <c r="S39" s="5" t="s">
        <v>431</v>
      </c>
      <c r="T39" s="46" t="str">
        <f>IF(VLOOKUP(S39,βοηθητικό!$J$2:$N$354,3,FALSE)="","",VLOOKUP(S39,βοηθητικό!$J$2:$N$354,3,FALSE))</f>
        <v>6973935715</v>
      </c>
      <c r="U39" s="47"/>
      <c r="V39" s="4" t="s">
        <v>449</v>
      </c>
      <c r="W39" s="43" t="str">
        <f>IF(VLOOKUP(V39,βοηθητικό!$J$2:$N$354,3,FALSE)="","",VLOOKUP(V39,βοηθητικό!$J$2:$N$354,3,FALSE))</f>
        <v>6972583885</v>
      </c>
      <c r="X39" s="44"/>
      <c r="Y39" s="5" t="s">
        <v>301</v>
      </c>
      <c r="Z39" s="46" t="str">
        <f>IF(VLOOKUP(Y39,βοηθητικό!$J$2:$N$354,3,FALSE)="","",VLOOKUP(Y39,βοηθητικό!$J$2:$N$354,3,FALSE))</f>
        <v>6944744680</v>
      </c>
      <c r="AA39" s="47"/>
      <c r="AB39" s="4" t="s">
        <v>307</v>
      </c>
      <c r="AC39" s="43" t="str">
        <f>IF(VLOOKUP(AB39,βοηθητικό!$J$2:$N$354,3,FALSE)="","",VLOOKUP(AB39,βοηθητικό!$J$2:$N$354,3,FALSE))</f>
        <v>6907366486</v>
      </c>
      <c r="AD39" s="44"/>
      <c r="AE39" s="5" t="s">
        <v>459</v>
      </c>
      <c r="AF39" s="46" t="str">
        <f>IF(VLOOKUP(AE39,βοηθητικό!$J$2:$N$354,3,FALSE)="","",VLOOKUP(AE39,βοηθητικό!$J$2:$N$354,3,FALSE))</f>
        <v>6978292709</v>
      </c>
      <c r="AG39" s="47"/>
      <c r="AH39" s="4" t="s">
        <v>463</v>
      </c>
      <c r="AI39" s="43" t="str">
        <f>IF(VLOOKUP(AH39,βοηθητικό!$J$2:$N$354,3,FALSE)="","",VLOOKUP(AH39,βοηθητικό!$J$2:$N$354,3,FALSE))</f>
        <v>6957171149</v>
      </c>
      <c r="AJ39" s="44"/>
      <c r="AK39" s="5" t="s">
        <v>365</v>
      </c>
      <c r="AL39" s="46" t="str">
        <f>IF(VLOOKUP(AK39,βοηθητικό!$J$2:$N$354,3,FALSE)="","",VLOOKUP(AK39,βοηθητικό!$J$2:$N$354,3,FALSE))</f>
        <v>6908725909</v>
      </c>
      <c r="AM39" s="47"/>
      <c r="AN39" s="4" t="s">
        <v>369</v>
      </c>
      <c r="AO39" s="43" t="str">
        <f>IF(VLOOKUP(AN39,βοηθητικό!$J$2:$N$354,3,FALSE)="","",VLOOKUP(AN39,βοηθητικό!$J$2:$N$354,3,FALSE))</f>
        <v>6945151494</v>
      </c>
      <c r="AP39" s="44"/>
      <c r="AQ39" s="5" t="s">
        <v>373</v>
      </c>
      <c r="AR39" s="46" t="str">
        <f>IF(VLOOKUP(AQ39,βοηθητικό!$J$2:$N$354,3,FALSE)="","",VLOOKUP(AQ39,βοηθητικό!$J$2:$N$354,3,FALSE))</f>
        <v>6932911077</v>
      </c>
      <c r="AS39" s="47"/>
      <c r="AT39" s="4" t="s">
        <v>412</v>
      </c>
      <c r="AU39" s="43" t="str">
        <f>IF(VLOOKUP(AT39,βοηθητικό!$J$2:$N$354,3,FALSE)="","",VLOOKUP(AT39,βοηθητικό!$J$2:$N$354,3,FALSE))</f>
        <v>6942550725</v>
      </c>
      <c r="AV39" s="44"/>
      <c r="AW39" s="5" t="s">
        <v>16</v>
      </c>
      <c r="AX39" s="46" t="str">
        <f>IF(VLOOKUP(AW39,βοηθητικό!$J$2:$N$354,3,FALSE)="","",VLOOKUP(AW39,βοηθητικό!$J$2:$N$354,3,FALSE))</f>
        <v>_</v>
      </c>
      <c r="AY39" s="47"/>
      <c r="AZ39" s="4" t="s">
        <v>16</v>
      </c>
      <c r="BA39" s="43" t="str">
        <f>IF(VLOOKUP(AZ39,βοηθητικό!$J$2:$N$354,3,FALSE)="","",VLOOKUP(AZ39,βοηθητικό!$J$2:$N$354,3,FALSE))</f>
        <v>_</v>
      </c>
      <c r="BB39" s="44"/>
      <c r="BC39" s="45" t="s">
        <v>16</v>
      </c>
      <c r="BD39" s="46" t="str">
        <f>IF(VLOOKUP(BC39,βοηθητικό!$J$2:$N$354,3,FALSE)="","",VLOOKUP(BC39,βοηθητικό!$J$2:$N$354,3,FALSE))</f>
        <v>_</v>
      </c>
      <c r="BE39" s="47"/>
      <c r="BF39" s="42" t="s">
        <v>16</v>
      </c>
      <c r="BG39" s="43" t="str">
        <f>IF(VLOOKUP(BF39,βοηθητικό!$J$2:$N$354,3,FALSE)="","",VLOOKUP(BF39,βοηθητικό!$J$2:$N$354,3,FALSE))</f>
        <v>_</v>
      </c>
      <c r="BH39" s="44"/>
      <c r="BI39" s="45" t="s">
        <v>16</v>
      </c>
      <c r="BJ39" s="46" t="str">
        <f>IF(VLOOKUP(BI39,βοηθητικό!$J$2:$N$354,3,FALSE)="","",VLOOKUP(BI39,βοηθητικό!$J$2:$N$354,3,FALSE))</f>
        <v>_</v>
      </c>
      <c r="BK39" s="47"/>
      <c r="BL39" s="42" t="s">
        <v>16</v>
      </c>
      <c r="BM39" s="43" t="str">
        <f>IF(VLOOKUP(BL39,βοηθητικό!$J$2:$N$354,3,FALSE)="","",VLOOKUP(BL39,βοηθητικό!$J$2:$N$354,3,FALSE))</f>
        <v>_</v>
      </c>
      <c r="BN39" s="44"/>
      <c r="BO39" s="45" t="s">
        <v>16</v>
      </c>
      <c r="BP39" s="46" t="str">
        <f>IF(VLOOKUP(BO39,βοηθητικό!$J$2:$N$354,3,FALSE)="","",VLOOKUP(BO39,βοηθητικό!$J$2:$N$354,3,FALSE))</f>
        <v>_</v>
      </c>
      <c r="BQ39" s="47"/>
      <c r="BR39" s="42" t="s">
        <v>16</v>
      </c>
      <c r="BS39" s="43" t="str">
        <f>IF(VLOOKUP(BR39,βοηθητικό!$J$2:$N$354,3,FALSE)="","",VLOOKUP(BR39,βοηθητικό!$J$2:$N$354,3,FALSE))</f>
        <v>_</v>
      </c>
      <c r="BT39" s="44"/>
      <c r="BU39" s="45" t="s">
        <v>16</v>
      </c>
      <c r="BV39" s="46" t="str">
        <f>IF(VLOOKUP(BU39,βοηθητικό!$J$2:$N$354,3,FALSE)="","",VLOOKUP(BU39,βοηθητικό!$J$2:$N$354,3,FALSE))</f>
        <v>_</v>
      </c>
      <c r="BW39" s="47"/>
      <c r="BX39" s="42" t="s">
        <v>16</v>
      </c>
      <c r="BY39" s="43" t="str">
        <f>IF(VLOOKUP(BX39,βοηθητικό!$J$2:$N$354,3,FALSE)="","",VLOOKUP(BX39,βοηθητικό!$J$2:$N$354,3,FALSE))</f>
        <v>_</v>
      </c>
      <c r="BZ39" s="44"/>
      <c r="CA39" s="45" t="s">
        <v>16</v>
      </c>
      <c r="CB39" s="46" t="str">
        <f>IF(VLOOKUP(CA39,βοηθητικό!$J$2:$N$354,3,FALSE)="","",VLOOKUP(CA39,βοηθητικό!$J$2:$N$354,3,FALSE))</f>
        <v>_</v>
      </c>
      <c r="CC39" s="47"/>
      <c r="CD39" s="42" t="s">
        <v>16</v>
      </c>
      <c r="CE39" s="43" t="str">
        <f>IF(VLOOKUP(CD39,βοηθητικό!$J$2:$N$354,3,FALSE)="","",VLOOKUP(CD39,βοηθητικό!$J$2:$N$354,3,FALSE))</f>
        <v>_</v>
      </c>
      <c r="CF39" s="44"/>
      <c r="CG39" s="45" t="s">
        <v>16</v>
      </c>
      <c r="CH39" s="46" t="str">
        <f>IF(VLOOKUP(CG39,βοηθητικό!$J$2:$N$354,3,FALSE)="","",VLOOKUP(CG39,βοηθητικό!$J$2:$N$354,3,FALSE))</f>
        <v>_</v>
      </c>
      <c r="CI39" s="47"/>
      <c r="CJ39" s="42" t="s">
        <v>16</v>
      </c>
      <c r="CK39" s="43" t="str">
        <f>IF(VLOOKUP(CJ39,βοηθητικό!$J$2:$N$354,3,FALSE)="","",VLOOKUP(CJ39,βοηθητικό!$J$2:$N$354,3,FALSE))</f>
        <v>_</v>
      </c>
      <c r="CL39" s="44"/>
      <c r="CM39" s="45" t="s">
        <v>16</v>
      </c>
      <c r="CN39" s="46" t="str">
        <f>IF(VLOOKUP(CM39,βοηθητικό!$J$2:$N$354,3,FALSE)="","",VLOOKUP(CM39,βοηθητικό!$J$2:$N$354,3,FALSE))</f>
        <v>_</v>
      </c>
      <c r="CO39" s="47"/>
      <c r="CP39" s="42" t="s">
        <v>16</v>
      </c>
      <c r="CQ39" s="43" t="str">
        <f>IF(VLOOKUP(CP39,βοηθητικό!$J$2:$N$354,3,FALSE)="","",VLOOKUP(CP39,βοηθητικό!$J$2:$N$354,3,FALSE))</f>
        <v>_</v>
      </c>
      <c r="CR39" s="44"/>
      <c r="CS39" s="45" t="s">
        <v>16</v>
      </c>
      <c r="CT39" s="46" t="str">
        <f>IF(VLOOKUP(CS39,βοηθητικό!$J$2:$N$354,3,FALSE)="","",VLOOKUP(CS39,βοηθητικό!$J$2:$N$354,3,FALSE))</f>
        <v>_</v>
      </c>
      <c r="CU39" s="47"/>
    </row>
    <row r="40" spans="1:99" x14ac:dyDescent="0.25">
      <c r="A40" s="37">
        <f>--SUBTOTAL(3,$B$3:B39)</f>
        <v>37</v>
      </c>
      <c r="B40" s="2">
        <v>45075</v>
      </c>
      <c r="C40" s="3">
        <v>45081</v>
      </c>
      <c r="D40" s="55" t="s">
        <v>100</v>
      </c>
      <c r="E40" s="38" t="s">
        <v>16</v>
      </c>
      <c r="F40" s="38" t="s">
        <v>16</v>
      </c>
      <c r="G40" s="39" t="str">
        <f t="shared" si="2"/>
        <v>__</v>
      </c>
      <c r="H40" s="40" t="str">
        <f t="shared" si="3"/>
        <v>FALSE</v>
      </c>
      <c r="I40" s="41">
        <f t="shared" si="4"/>
        <v>8</v>
      </c>
      <c r="J40" s="4" t="s">
        <v>1101</v>
      </c>
      <c r="K40" s="43">
        <f>IF(VLOOKUP(J40,βοηθητικό!$J$2:$N$354,3,FALSE)="","",VLOOKUP(J40,βοηθητικό!$J$2:$N$354,3,FALSE))</f>
        <v>6972535708</v>
      </c>
      <c r="L40" s="44"/>
      <c r="M40" s="5" t="s">
        <v>1113</v>
      </c>
      <c r="N40" s="46">
        <f>IF(VLOOKUP(M40,βοηθητικό!$J$2:$N$354,3,FALSE)="","",VLOOKUP(M40,βοηθητικό!$J$2:$N$354,3,FALSE))</f>
        <v>6949027222</v>
      </c>
      <c r="O40" s="47"/>
      <c r="P40" s="4" t="s">
        <v>1128</v>
      </c>
      <c r="Q40" s="43">
        <f>IF(VLOOKUP(P40,βοηθητικό!$J$2:$N$354,3,FALSE)="","",VLOOKUP(P40,βοηθητικό!$J$2:$N$354,3,FALSE))</f>
        <v>6944208681</v>
      </c>
      <c r="R40" s="44"/>
      <c r="S40" s="5" t="s">
        <v>1147</v>
      </c>
      <c r="T40" s="46">
        <f>IF(VLOOKUP(S40,βοηθητικό!$J$2:$N$354,3,FALSE)="","",VLOOKUP(S40,βοηθητικό!$J$2:$N$354,3,FALSE))</f>
        <v>6970340744</v>
      </c>
      <c r="U40" s="47"/>
      <c r="V40" s="4" t="s">
        <v>1181</v>
      </c>
      <c r="W40" s="43">
        <f>IF(VLOOKUP(V40,βοηθητικό!$J$2:$N$354,3,FALSE)="","",VLOOKUP(V40,βοηθητικό!$J$2:$N$354,3,FALSE))</f>
        <v>6945816094</v>
      </c>
      <c r="X40" s="44"/>
      <c r="Y40" s="5" t="s">
        <v>1175</v>
      </c>
      <c r="Z40" s="46">
        <f>IF(VLOOKUP(Y40,βοηθητικό!$J$2:$N$354,3,FALSE)="","",VLOOKUP(Y40,βοηθητικό!$J$2:$N$354,3,FALSE))</f>
        <v>6974156544</v>
      </c>
      <c r="AA40" s="47"/>
      <c r="AB40" s="4" t="s">
        <v>1151</v>
      </c>
      <c r="AC40" s="43">
        <f>IF(VLOOKUP(AB40,βοηθητικό!$J$2:$N$354,3,FALSE)="","",VLOOKUP(AB40,βοηθητικό!$J$2:$N$354,3,FALSE))</f>
        <v>6945581886</v>
      </c>
      <c r="AD40" s="44"/>
      <c r="AE40" s="5" t="s">
        <v>1110</v>
      </c>
      <c r="AF40" s="46">
        <f>IF(VLOOKUP(AE40,βοηθητικό!$J$2:$N$354,3,FALSE)="","",VLOOKUP(AE40,βοηθητικό!$J$2:$N$354,3,FALSE))</f>
        <v>6946238179</v>
      </c>
      <c r="AG40" s="47"/>
      <c r="AH40" s="4" t="s">
        <v>16</v>
      </c>
      <c r="AI40" s="43" t="str">
        <f>IF(VLOOKUP(AH40,βοηθητικό!$J$2:$N$354,3,FALSE)="","",VLOOKUP(AH40,βοηθητικό!$J$2:$N$354,3,FALSE))</f>
        <v>_</v>
      </c>
      <c r="AJ40" s="44"/>
      <c r="AK40" s="5" t="s">
        <v>16</v>
      </c>
      <c r="AL40" s="46" t="str">
        <f>IF(VLOOKUP(AK40,βοηθητικό!$J$2:$N$354,3,FALSE)="","",VLOOKUP(AK40,βοηθητικό!$J$2:$N$354,3,FALSE))</f>
        <v>_</v>
      </c>
      <c r="AM40" s="47"/>
      <c r="AN40" s="4" t="s">
        <v>16</v>
      </c>
      <c r="AO40" s="43" t="str">
        <f>IF(VLOOKUP(AN40,βοηθητικό!$J$2:$N$354,3,FALSE)="","",VLOOKUP(AN40,βοηθητικό!$J$2:$N$354,3,FALSE))</f>
        <v>_</v>
      </c>
      <c r="AP40" s="44"/>
      <c r="AQ40" s="5" t="s">
        <v>16</v>
      </c>
      <c r="AR40" s="46" t="str">
        <f>IF(VLOOKUP(AQ40,βοηθητικό!$J$2:$N$354,3,FALSE)="","",VLOOKUP(AQ40,βοηθητικό!$J$2:$N$354,3,FALSE))</f>
        <v>_</v>
      </c>
      <c r="AS40" s="47"/>
      <c r="AT40" s="4" t="s">
        <v>16</v>
      </c>
      <c r="AU40" s="43" t="str">
        <f>IF(VLOOKUP(AT40,βοηθητικό!$J$2:$N$354,3,FALSE)="","",VLOOKUP(AT40,βοηθητικό!$J$2:$N$354,3,FALSE))</f>
        <v>_</v>
      </c>
      <c r="AV40" s="44"/>
      <c r="AW40" s="5" t="s">
        <v>16</v>
      </c>
      <c r="AX40" s="46" t="str">
        <f>IF(VLOOKUP(AW40,βοηθητικό!$J$2:$N$354,3,FALSE)="","",VLOOKUP(AW40,βοηθητικό!$J$2:$N$354,3,FALSE))</f>
        <v>_</v>
      </c>
      <c r="AY40" s="47"/>
      <c r="AZ40" s="4" t="s">
        <v>16</v>
      </c>
      <c r="BA40" s="43" t="str">
        <f>IF(VLOOKUP(AZ40,βοηθητικό!$J$2:$N$354,3,FALSE)="","",VLOOKUP(AZ40,βοηθητικό!$J$2:$N$354,3,FALSE))</f>
        <v>_</v>
      </c>
      <c r="BB40" s="44"/>
      <c r="BC40" s="45" t="s">
        <v>16</v>
      </c>
      <c r="BD40" s="46" t="str">
        <f>IF(VLOOKUP(BC40,βοηθητικό!$J$2:$N$354,3,FALSE)="","",VLOOKUP(BC40,βοηθητικό!$J$2:$N$354,3,FALSE))</f>
        <v>_</v>
      </c>
      <c r="BE40" s="47"/>
      <c r="BF40" s="42" t="s">
        <v>16</v>
      </c>
      <c r="BG40" s="43" t="str">
        <f>IF(VLOOKUP(BF40,βοηθητικό!$J$2:$N$354,3,FALSE)="","",VLOOKUP(BF40,βοηθητικό!$J$2:$N$354,3,FALSE))</f>
        <v>_</v>
      </c>
      <c r="BH40" s="44"/>
      <c r="BI40" s="45" t="s">
        <v>16</v>
      </c>
      <c r="BJ40" s="46" t="str">
        <f>IF(VLOOKUP(BI40,βοηθητικό!$J$2:$N$354,3,FALSE)="","",VLOOKUP(BI40,βοηθητικό!$J$2:$N$354,3,FALSE))</f>
        <v>_</v>
      </c>
      <c r="BK40" s="47"/>
      <c r="BL40" s="42" t="s">
        <v>16</v>
      </c>
      <c r="BM40" s="43" t="str">
        <f>IF(VLOOKUP(BL40,βοηθητικό!$J$2:$N$354,3,FALSE)="","",VLOOKUP(BL40,βοηθητικό!$J$2:$N$354,3,FALSE))</f>
        <v>_</v>
      </c>
      <c r="BN40" s="44"/>
      <c r="BO40" s="45" t="s">
        <v>16</v>
      </c>
      <c r="BP40" s="46" t="str">
        <f>IF(VLOOKUP(BO40,βοηθητικό!$J$2:$N$354,3,FALSE)="","",VLOOKUP(BO40,βοηθητικό!$J$2:$N$354,3,FALSE))</f>
        <v>_</v>
      </c>
      <c r="BQ40" s="47"/>
      <c r="BR40" s="42" t="s">
        <v>16</v>
      </c>
      <c r="BS40" s="43" t="str">
        <f>IF(VLOOKUP(BR40,βοηθητικό!$J$2:$N$354,3,FALSE)="","",VLOOKUP(BR40,βοηθητικό!$J$2:$N$354,3,FALSE))</f>
        <v>_</v>
      </c>
      <c r="BT40" s="44"/>
      <c r="BU40" s="45" t="s">
        <v>16</v>
      </c>
      <c r="BV40" s="46" t="str">
        <f>IF(VLOOKUP(BU40,βοηθητικό!$J$2:$N$354,3,FALSE)="","",VLOOKUP(BU40,βοηθητικό!$J$2:$N$354,3,FALSE))</f>
        <v>_</v>
      </c>
      <c r="BW40" s="47"/>
      <c r="BX40" s="42" t="s">
        <v>16</v>
      </c>
      <c r="BY40" s="43" t="str">
        <f>IF(VLOOKUP(BX40,βοηθητικό!$J$2:$N$354,3,FALSE)="","",VLOOKUP(BX40,βοηθητικό!$J$2:$N$354,3,FALSE))</f>
        <v>_</v>
      </c>
      <c r="BZ40" s="44"/>
      <c r="CA40" s="45" t="s">
        <v>16</v>
      </c>
      <c r="CB40" s="46" t="str">
        <f>IF(VLOOKUP(CA40,βοηθητικό!$J$2:$N$354,3,FALSE)="","",VLOOKUP(CA40,βοηθητικό!$J$2:$N$354,3,FALSE))</f>
        <v>_</v>
      </c>
      <c r="CC40" s="47"/>
      <c r="CD40" s="42" t="s">
        <v>16</v>
      </c>
      <c r="CE40" s="43" t="str">
        <f>IF(VLOOKUP(CD40,βοηθητικό!$J$2:$N$354,3,FALSE)="","",VLOOKUP(CD40,βοηθητικό!$J$2:$N$354,3,FALSE))</f>
        <v>_</v>
      </c>
      <c r="CF40" s="44"/>
      <c r="CG40" s="45" t="s">
        <v>16</v>
      </c>
      <c r="CH40" s="46" t="str">
        <f>IF(VLOOKUP(CG40,βοηθητικό!$J$2:$N$354,3,FALSE)="","",VLOOKUP(CG40,βοηθητικό!$J$2:$N$354,3,FALSE))</f>
        <v>_</v>
      </c>
      <c r="CI40" s="47"/>
      <c r="CJ40" s="42" t="s">
        <v>16</v>
      </c>
      <c r="CK40" s="43" t="str">
        <f>IF(VLOOKUP(CJ40,βοηθητικό!$J$2:$N$354,3,FALSE)="","",VLOOKUP(CJ40,βοηθητικό!$J$2:$N$354,3,FALSE))</f>
        <v>_</v>
      </c>
      <c r="CL40" s="44"/>
      <c r="CM40" s="45" t="s">
        <v>16</v>
      </c>
      <c r="CN40" s="46" t="str">
        <f>IF(VLOOKUP(CM40,βοηθητικό!$J$2:$N$354,3,FALSE)="","",VLOOKUP(CM40,βοηθητικό!$J$2:$N$354,3,FALSE))</f>
        <v>_</v>
      </c>
      <c r="CO40" s="47"/>
      <c r="CP40" s="42" t="s">
        <v>16</v>
      </c>
      <c r="CQ40" s="43" t="str">
        <f>IF(VLOOKUP(CP40,βοηθητικό!$J$2:$N$354,3,FALSE)="","",VLOOKUP(CP40,βοηθητικό!$J$2:$N$354,3,FALSE))</f>
        <v>_</v>
      </c>
      <c r="CR40" s="44"/>
      <c r="CS40" s="45" t="s">
        <v>16</v>
      </c>
      <c r="CT40" s="46" t="str">
        <f>IF(VLOOKUP(CS40,βοηθητικό!$J$2:$N$354,3,FALSE)="","",VLOOKUP(CS40,βοηθητικό!$J$2:$N$354,3,FALSE))</f>
        <v>_</v>
      </c>
      <c r="CU40" s="47"/>
    </row>
    <row r="41" spans="1:99" x14ac:dyDescent="0.25">
      <c r="A41" s="37">
        <f>--SUBTOTAL(3,$B$3:B40)</f>
        <v>38</v>
      </c>
      <c r="B41" s="2">
        <v>45082</v>
      </c>
      <c r="C41" s="3">
        <v>45088</v>
      </c>
      <c r="D41" s="55" t="s">
        <v>100</v>
      </c>
      <c r="E41" s="38" t="s">
        <v>16</v>
      </c>
      <c r="F41" s="38" t="s">
        <v>16</v>
      </c>
      <c r="G41" s="39" t="str">
        <f t="shared" si="2"/>
        <v>__</v>
      </c>
      <c r="H41" s="40" t="str">
        <f t="shared" si="3"/>
        <v>FALSE</v>
      </c>
      <c r="I41" s="41">
        <f t="shared" si="4"/>
        <v>7</v>
      </c>
      <c r="J41" s="4" t="s">
        <v>1184</v>
      </c>
      <c r="K41" s="43" t="str">
        <f>IF(VLOOKUP(J41,βοηθητικό!$J$2:$N$354,3,FALSE)="","",VLOOKUP(J41,βοηθητικό!$J$2:$N$354,3,FALSE))</f>
        <v>6978871348 6986664315</v>
      </c>
      <c r="L41" s="44"/>
      <c r="M41" s="5" t="s">
        <v>1095</v>
      </c>
      <c r="N41" s="46">
        <f>IF(VLOOKUP(M41,βοηθητικό!$J$2:$N$354,3,FALSE)="","",VLOOKUP(M41,βοηθητικό!$J$2:$N$354,3,FALSE))</f>
        <v>6938358727</v>
      </c>
      <c r="O41" s="47"/>
      <c r="P41" s="4" t="s">
        <v>1144</v>
      </c>
      <c r="Q41" s="43">
        <f>IF(VLOOKUP(P41,βοηθητικό!$J$2:$N$354,3,FALSE)="","",VLOOKUP(P41,βοηθητικό!$J$2:$N$354,3,FALSE))</f>
        <v>6944228486</v>
      </c>
      <c r="R41" s="44"/>
      <c r="S41" s="5" t="s">
        <v>1091</v>
      </c>
      <c r="T41" s="46">
        <f>IF(VLOOKUP(S41,βοηθητικό!$J$2:$N$354,3,FALSE)="","",VLOOKUP(S41,βοηθητικό!$J$2:$N$354,3,FALSE))</f>
        <v>6987740677</v>
      </c>
      <c r="U41" s="47"/>
      <c r="V41" s="4" t="s">
        <v>1160</v>
      </c>
      <c r="W41" s="43">
        <f>IF(VLOOKUP(V41,βοηθητικό!$J$2:$N$354,3,FALSE)="","",VLOOKUP(V41,βοηθητικό!$J$2:$N$354,3,FALSE))</f>
        <v>6932652897</v>
      </c>
      <c r="X41" s="44"/>
      <c r="Y41" s="5" t="s">
        <v>1157</v>
      </c>
      <c r="Z41" s="46">
        <f>IF(VLOOKUP(Y41,βοηθητικό!$J$2:$N$354,3,FALSE)="","",VLOOKUP(Y41,βοηθητικό!$J$2:$N$354,3,FALSE))</f>
        <v>6981832606</v>
      </c>
      <c r="AA41" s="47"/>
      <c r="AB41" s="4" t="s">
        <v>1163</v>
      </c>
      <c r="AC41" s="43">
        <f>IF(VLOOKUP(AB41,βοηθητικό!$J$2:$N$354,3,FALSE)="","",VLOOKUP(AB41,βοηθητικό!$J$2:$N$354,3,FALSE))</f>
        <v>6948210294</v>
      </c>
      <c r="AD41" s="44"/>
      <c r="AE41" s="5" t="s">
        <v>16</v>
      </c>
      <c r="AF41" s="46" t="str">
        <f>IF(VLOOKUP(AE41,βοηθητικό!$J$2:$N$354,3,FALSE)="","",VLOOKUP(AE41,βοηθητικό!$J$2:$N$354,3,FALSE))</f>
        <v>_</v>
      </c>
      <c r="AG41" s="47"/>
      <c r="AH41" s="4" t="s">
        <v>16</v>
      </c>
      <c r="AI41" s="43" t="str">
        <f>IF(VLOOKUP(AH41,βοηθητικό!$J$2:$N$354,3,FALSE)="","",VLOOKUP(AH41,βοηθητικό!$J$2:$N$354,3,FALSE))</f>
        <v>_</v>
      </c>
      <c r="AJ41" s="44"/>
      <c r="AK41" s="5" t="s">
        <v>16</v>
      </c>
      <c r="AL41" s="46" t="str">
        <f>IF(VLOOKUP(AK41,βοηθητικό!$J$2:$N$354,3,FALSE)="","",VLOOKUP(AK41,βοηθητικό!$J$2:$N$354,3,FALSE))</f>
        <v>_</v>
      </c>
      <c r="AM41" s="47"/>
      <c r="AN41" s="4" t="s">
        <v>16</v>
      </c>
      <c r="AO41" s="43" t="str">
        <f>IF(VLOOKUP(AN41,βοηθητικό!$J$2:$N$354,3,FALSE)="","",VLOOKUP(AN41,βοηθητικό!$J$2:$N$354,3,FALSE))</f>
        <v>_</v>
      </c>
      <c r="AP41" s="44"/>
      <c r="AQ41" s="5" t="s">
        <v>16</v>
      </c>
      <c r="AR41" s="46" t="str">
        <f>IF(VLOOKUP(AQ41,βοηθητικό!$J$2:$N$354,3,FALSE)="","",VLOOKUP(AQ41,βοηθητικό!$J$2:$N$354,3,FALSE))</f>
        <v>_</v>
      </c>
      <c r="AS41" s="47"/>
      <c r="AT41" s="4" t="s">
        <v>16</v>
      </c>
      <c r="AU41" s="43" t="str">
        <f>IF(VLOOKUP(AT41,βοηθητικό!$J$2:$N$354,3,FALSE)="","",VLOOKUP(AT41,βοηθητικό!$J$2:$N$354,3,FALSE))</f>
        <v>_</v>
      </c>
      <c r="AV41" s="44"/>
      <c r="AW41" s="5" t="s">
        <v>16</v>
      </c>
      <c r="AX41" s="46" t="str">
        <f>IF(VLOOKUP(AW41,βοηθητικό!$J$2:$N$354,3,FALSE)="","",VLOOKUP(AW41,βοηθητικό!$J$2:$N$354,3,FALSE))</f>
        <v>_</v>
      </c>
      <c r="AY41" s="47"/>
      <c r="AZ41" s="4" t="s">
        <v>16</v>
      </c>
      <c r="BA41" s="43" t="str">
        <f>IF(VLOOKUP(AZ41,βοηθητικό!$J$2:$N$354,3,FALSE)="","",VLOOKUP(AZ41,βοηθητικό!$J$2:$N$354,3,FALSE))</f>
        <v>_</v>
      </c>
      <c r="BB41" s="44"/>
      <c r="BC41" s="45" t="s">
        <v>16</v>
      </c>
      <c r="BD41" s="46" t="str">
        <f>IF(VLOOKUP(BC41,βοηθητικό!$J$2:$N$354,3,FALSE)="","",VLOOKUP(BC41,βοηθητικό!$J$2:$N$354,3,FALSE))</f>
        <v>_</v>
      </c>
      <c r="BE41" s="47"/>
      <c r="BF41" s="42" t="s">
        <v>16</v>
      </c>
      <c r="BG41" s="43" t="str">
        <f>IF(VLOOKUP(BF41,βοηθητικό!$J$2:$N$354,3,FALSE)="","",VLOOKUP(BF41,βοηθητικό!$J$2:$N$354,3,FALSE))</f>
        <v>_</v>
      </c>
      <c r="BH41" s="44"/>
      <c r="BI41" s="45" t="s">
        <v>16</v>
      </c>
      <c r="BJ41" s="46" t="str">
        <f>IF(VLOOKUP(BI41,βοηθητικό!$J$2:$N$354,3,FALSE)="","",VLOOKUP(BI41,βοηθητικό!$J$2:$N$354,3,FALSE))</f>
        <v>_</v>
      </c>
      <c r="BK41" s="47"/>
      <c r="BL41" s="42" t="s">
        <v>16</v>
      </c>
      <c r="BM41" s="43" t="str">
        <f>IF(VLOOKUP(BL41,βοηθητικό!$J$2:$N$354,3,FALSE)="","",VLOOKUP(BL41,βοηθητικό!$J$2:$N$354,3,FALSE))</f>
        <v>_</v>
      </c>
      <c r="BN41" s="44"/>
      <c r="BO41" s="45" t="s">
        <v>16</v>
      </c>
      <c r="BP41" s="46" t="str">
        <f>IF(VLOOKUP(BO41,βοηθητικό!$J$2:$N$354,3,FALSE)="","",VLOOKUP(BO41,βοηθητικό!$J$2:$N$354,3,FALSE))</f>
        <v>_</v>
      </c>
      <c r="BQ41" s="47"/>
      <c r="BR41" s="42" t="s">
        <v>16</v>
      </c>
      <c r="BS41" s="43" t="str">
        <f>IF(VLOOKUP(BR41,βοηθητικό!$J$2:$N$354,3,FALSE)="","",VLOOKUP(BR41,βοηθητικό!$J$2:$N$354,3,FALSE))</f>
        <v>_</v>
      </c>
      <c r="BT41" s="44"/>
      <c r="BU41" s="45" t="s">
        <v>16</v>
      </c>
      <c r="BV41" s="46" t="str">
        <f>IF(VLOOKUP(BU41,βοηθητικό!$J$2:$N$354,3,FALSE)="","",VLOOKUP(BU41,βοηθητικό!$J$2:$N$354,3,FALSE))</f>
        <v>_</v>
      </c>
      <c r="BW41" s="47"/>
      <c r="BX41" s="42" t="s">
        <v>16</v>
      </c>
      <c r="BY41" s="43" t="str">
        <f>IF(VLOOKUP(BX41,βοηθητικό!$J$2:$N$354,3,FALSE)="","",VLOOKUP(BX41,βοηθητικό!$J$2:$N$354,3,FALSE))</f>
        <v>_</v>
      </c>
      <c r="BZ41" s="44"/>
      <c r="CA41" s="45" t="s">
        <v>16</v>
      </c>
      <c r="CB41" s="46" t="str">
        <f>IF(VLOOKUP(CA41,βοηθητικό!$J$2:$N$354,3,FALSE)="","",VLOOKUP(CA41,βοηθητικό!$J$2:$N$354,3,FALSE))</f>
        <v>_</v>
      </c>
      <c r="CC41" s="47"/>
      <c r="CD41" s="42" t="s">
        <v>16</v>
      </c>
      <c r="CE41" s="43" t="str">
        <f>IF(VLOOKUP(CD41,βοηθητικό!$J$2:$N$354,3,FALSE)="","",VLOOKUP(CD41,βοηθητικό!$J$2:$N$354,3,FALSE))</f>
        <v>_</v>
      </c>
      <c r="CF41" s="44"/>
      <c r="CG41" s="45" t="s">
        <v>16</v>
      </c>
      <c r="CH41" s="46" t="str">
        <f>IF(VLOOKUP(CG41,βοηθητικό!$J$2:$N$354,3,FALSE)="","",VLOOKUP(CG41,βοηθητικό!$J$2:$N$354,3,FALSE))</f>
        <v>_</v>
      </c>
      <c r="CI41" s="47"/>
      <c r="CJ41" s="42" t="s">
        <v>16</v>
      </c>
      <c r="CK41" s="43" t="str">
        <f>IF(VLOOKUP(CJ41,βοηθητικό!$J$2:$N$354,3,FALSE)="","",VLOOKUP(CJ41,βοηθητικό!$J$2:$N$354,3,FALSE))</f>
        <v>_</v>
      </c>
      <c r="CL41" s="44"/>
      <c r="CM41" s="45" t="s">
        <v>16</v>
      </c>
      <c r="CN41" s="46" t="str">
        <f>IF(VLOOKUP(CM41,βοηθητικό!$J$2:$N$354,3,FALSE)="","",VLOOKUP(CM41,βοηθητικό!$J$2:$N$354,3,FALSE))</f>
        <v>_</v>
      </c>
      <c r="CO41" s="47"/>
      <c r="CP41" s="42" t="s">
        <v>16</v>
      </c>
      <c r="CQ41" s="43" t="str">
        <f>IF(VLOOKUP(CP41,βοηθητικό!$J$2:$N$354,3,FALSE)="","",VLOOKUP(CP41,βοηθητικό!$J$2:$N$354,3,FALSE))</f>
        <v>_</v>
      </c>
      <c r="CR41" s="44"/>
      <c r="CS41" s="45" t="s">
        <v>16</v>
      </c>
      <c r="CT41" s="46" t="str">
        <f>IF(VLOOKUP(CS41,βοηθητικό!$J$2:$N$354,3,FALSE)="","",VLOOKUP(CS41,βοηθητικό!$J$2:$N$354,3,FALSE))</f>
        <v>_</v>
      </c>
      <c r="CU41" s="47"/>
    </row>
    <row r="42" spans="1:99" x14ac:dyDescent="0.25">
      <c r="A42" s="37">
        <f>--SUBTOTAL(3,$B$3:B41)</f>
        <v>39</v>
      </c>
      <c r="B42" s="2">
        <v>45089</v>
      </c>
      <c r="C42" s="3">
        <v>45095</v>
      </c>
      <c r="D42" s="55" t="s">
        <v>100</v>
      </c>
      <c r="E42" s="38" t="s">
        <v>16</v>
      </c>
      <c r="F42" s="38" t="s">
        <v>16</v>
      </c>
      <c r="G42" s="39" t="str">
        <f t="shared" si="2"/>
        <v>__</v>
      </c>
      <c r="H42" s="40" t="str">
        <f t="shared" si="3"/>
        <v>FALSE</v>
      </c>
      <c r="I42" s="41">
        <f t="shared" si="4"/>
        <v>8</v>
      </c>
      <c r="J42" s="4" t="s">
        <v>1104</v>
      </c>
      <c r="K42" s="43">
        <f>IF(VLOOKUP(J42,βοηθητικό!$J$2:$N$354,3,FALSE)="","",VLOOKUP(J42,βοηθητικό!$J$2:$N$354,3,FALSE))</f>
        <v>6981828992</v>
      </c>
      <c r="L42" s="44"/>
      <c r="M42" s="5" t="s">
        <v>1119</v>
      </c>
      <c r="N42" s="46">
        <f>IF(VLOOKUP(M42,βοηθητικό!$J$2:$N$354,3,FALSE)="","",VLOOKUP(M42,βοηθητικό!$J$2:$N$354,3,FALSE))</f>
        <v>6942674803</v>
      </c>
      <c r="O42" s="47"/>
      <c r="P42" s="4" t="s">
        <v>1122</v>
      </c>
      <c r="Q42" s="43">
        <f>IF(VLOOKUP(P42,βοηθητικό!$J$2:$N$354,3,FALSE)="","",VLOOKUP(P42,βοηθητικό!$J$2:$N$354,3,FALSE))</f>
        <v>6987779674</v>
      </c>
      <c r="R42" s="44"/>
      <c r="S42" s="5" t="s">
        <v>1166</v>
      </c>
      <c r="T42" s="46">
        <f>IF(VLOOKUP(S42,βοηθητικό!$J$2:$N$354,3,FALSE)="","",VLOOKUP(S42,βοηθητικό!$J$2:$N$354,3,FALSE))</f>
        <v>6979699580</v>
      </c>
      <c r="U42" s="47"/>
      <c r="V42" s="4" t="s">
        <v>1098</v>
      </c>
      <c r="W42" s="43">
        <f>IF(VLOOKUP(V42,βοηθητικό!$J$2:$N$354,3,FALSE)="","",VLOOKUP(V42,βοηθητικό!$J$2:$N$354,3,FALSE))</f>
        <v>6945877218</v>
      </c>
      <c r="X42" s="44"/>
      <c r="Y42" s="5" t="s">
        <v>1125</v>
      </c>
      <c r="Z42" s="46">
        <f>IF(VLOOKUP(Y42,βοηθητικό!$J$2:$N$354,3,FALSE)="","",VLOOKUP(Y42,βοηθητικό!$J$2:$N$354,3,FALSE))</f>
        <v>6937125752</v>
      </c>
      <c r="AA42" s="47"/>
      <c r="AB42" s="4" t="s">
        <v>1107</v>
      </c>
      <c r="AC42" s="43">
        <f>IF(VLOOKUP(AB42,βοηθητικό!$J$2:$N$354,3,FALSE)="","",VLOOKUP(AB42,βοηθητικό!$J$2:$N$354,3,FALSE))</f>
        <v>6980231814</v>
      </c>
      <c r="AD42" s="44"/>
      <c r="AE42" s="5" t="s">
        <v>1134</v>
      </c>
      <c r="AF42" s="46">
        <f>IF(VLOOKUP(AE42,βοηθητικό!$J$2:$N$354,3,FALSE)="","",VLOOKUP(AE42,βοηθητικό!$J$2:$N$354,3,FALSE))</f>
        <v>6937922234</v>
      </c>
      <c r="AG42" s="47"/>
      <c r="AH42" s="4" t="s">
        <v>16</v>
      </c>
      <c r="AI42" s="43" t="str">
        <f>IF(VLOOKUP(AH42,βοηθητικό!$J$2:$N$354,3,FALSE)="","",VLOOKUP(AH42,βοηθητικό!$J$2:$N$354,3,FALSE))</f>
        <v>_</v>
      </c>
      <c r="AJ42" s="44"/>
      <c r="AK42" s="5" t="s">
        <v>16</v>
      </c>
      <c r="AL42" s="46" t="str">
        <f>IF(VLOOKUP(AK42,βοηθητικό!$J$2:$N$354,3,FALSE)="","",VLOOKUP(AK42,βοηθητικό!$J$2:$N$354,3,FALSE))</f>
        <v>_</v>
      </c>
      <c r="AM42" s="47"/>
      <c r="AN42" s="4" t="s">
        <v>16</v>
      </c>
      <c r="AO42" s="43" t="str">
        <f>IF(VLOOKUP(AN42,βοηθητικό!$J$2:$N$354,3,FALSE)="","",VLOOKUP(AN42,βοηθητικό!$J$2:$N$354,3,FALSE))</f>
        <v>_</v>
      </c>
      <c r="AP42" s="44"/>
      <c r="AQ42" s="5" t="s">
        <v>16</v>
      </c>
      <c r="AR42" s="46" t="str">
        <f>IF(VLOOKUP(AQ42,βοηθητικό!$J$2:$N$354,3,FALSE)="","",VLOOKUP(AQ42,βοηθητικό!$J$2:$N$354,3,FALSE))</f>
        <v>_</v>
      </c>
      <c r="AS42" s="47"/>
      <c r="AT42" s="4" t="s">
        <v>16</v>
      </c>
      <c r="AU42" s="43" t="str">
        <f>IF(VLOOKUP(AT42,βοηθητικό!$J$2:$N$354,3,FALSE)="","",VLOOKUP(AT42,βοηθητικό!$J$2:$N$354,3,FALSE))</f>
        <v>_</v>
      </c>
      <c r="AV42" s="44"/>
      <c r="AW42" s="5" t="s">
        <v>16</v>
      </c>
      <c r="AX42" s="46" t="str">
        <f>IF(VLOOKUP(AW42,βοηθητικό!$J$2:$N$354,3,FALSE)="","",VLOOKUP(AW42,βοηθητικό!$J$2:$N$354,3,FALSE))</f>
        <v>_</v>
      </c>
      <c r="AY42" s="47"/>
      <c r="AZ42" s="4" t="s">
        <v>16</v>
      </c>
      <c r="BA42" s="43" t="str">
        <f>IF(VLOOKUP(AZ42,βοηθητικό!$J$2:$N$354,3,FALSE)="","",VLOOKUP(AZ42,βοηθητικό!$J$2:$N$354,3,FALSE))</f>
        <v>_</v>
      </c>
      <c r="BB42" s="44"/>
      <c r="BC42" s="45" t="s">
        <v>16</v>
      </c>
      <c r="BD42" s="46" t="str">
        <f>IF(VLOOKUP(BC42,βοηθητικό!$J$2:$N$354,3,FALSE)="","",VLOOKUP(BC42,βοηθητικό!$J$2:$N$354,3,FALSE))</f>
        <v>_</v>
      </c>
      <c r="BE42" s="47"/>
      <c r="BF42" s="42" t="s">
        <v>16</v>
      </c>
      <c r="BG42" s="43" t="str">
        <f>IF(VLOOKUP(BF42,βοηθητικό!$J$2:$N$354,3,FALSE)="","",VLOOKUP(BF42,βοηθητικό!$J$2:$N$354,3,FALSE))</f>
        <v>_</v>
      </c>
      <c r="BH42" s="44"/>
      <c r="BI42" s="45" t="s">
        <v>16</v>
      </c>
      <c r="BJ42" s="46" t="str">
        <f>IF(VLOOKUP(BI42,βοηθητικό!$J$2:$N$354,3,FALSE)="","",VLOOKUP(BI42,βοηθητικό!$J$2:$N$354,3,FALSE))</f>
        <v>_</v>
      </c>
      <c r="BK42" s="47"/>
      <c r="BL42" s="42" t="s">
        <v>16</v>
      </c>
      <c r="BM42" s="43" t="str">
        <f>IF(VLOOKUP(BL42,βοηθητικό!$J$2:$N$354,3,FALSE)="","",VLOOKUP(BL42,βοηθητικό!$J$2:$N$354,3,FALSE))</f>
        <v>_</v>
      </c>
      <c r="BN42" s="44"/>
      <c r="BO42" s="45" t="s">
        <v>16</v>
      </c>
      <c r="BP42" s="46" t="str">
        <f>IF(VLOOKUP(BO42,βοηθητικό!$J$2:$N$354,3,FALSE)="","",VLOOKUP(BO42,βοηθητικό!$J$2:$N$354,3,FALSE))</f>
        <v>_</v>
      </c>
      <c r="BQ42" s="47"/>
      <c r="BR42" s="42" t="s">
        <v>16</v>
      </c>
      <c r="BS42" s="43" t="str">
        <f>IF(VLOOKUP(BR42,βοηθητικό!$J$2:$N$354,3,FALSE)="","",VLOOKUP(BR42,βοηθητικό!$J$2:$N$354,3,FALSE))</f>
        <v>_</v>
      </c>
      <c r="BT42" s="44"/>
      <c r="BU42" s="45" t="s">
        <v>16</v>
      </c>
      <c r="BV42" s="46" t="str">
        <f>IF(VLOOKUP(BU42,βοηθητικό!$J$2:$N$354,3,FALSE)="","",VLOOKUP(BU42,βοηθητικό!$J$2:$N$354,3,FALSE))</f>
        <v>_</v>
      </c>
      <c r="BW42" s="47"/>
      <c r="BX42" s="42" t="s">
        <v>16</v>
      </c>
      <c r="BY42" s="43" t="str">
        <f>IF(VLOOKUP(BX42,βοηθητικό!$J$2:$N$354,3,FALSE)="","",VLOOKUP(BX42,βοηθητικό!$J$2:$N$354,3,FALSE))</f>
        <v>_</v>
      </c>
      <c r="BZ42" s="44"/>
      <c r="CA42" s="45" t="s">
        <v>16</v>
      </c>
      <c r="CB42" s="46" t="str">
        <f>IF(VLOOKUP(CA42,βοηθητικό!$J$2:$N$354,3,FALSE)="","",VLOOKUP(CA42,βοηθητικό!$J$2:$N$354,3,FALSE))</f>
        <v>_</v>
      </c>
      <c r="CC42" s="47"/>
      <c r="CD42" s="42" t="s">
        <v>16</v>
      </c>
      <c r="CE42" s="43" t="str">
        <f>IF(VLOOKUP(CD42,βοηθητικό!$J$2:$N$354,3,FALSE)="","",VLOOKUP(CD42,βοηθητικό!$J$2:$N$354,3,FALSE))</f>
        <v>_</v>
      </c>
      <c r="CF42" s="44"/>
      <c r="CG42" s="45" t="s">
        <v>16</v>
      </c>
      <c r="CH42" s="46" t="str">
        <f>IF(VLOOKUP(CG42,βοηθητικό!$J$2:$N$354,3,FALSE)="","",VLOOKUP(CG42,βοηθητικό!$J$2:$N$354,3,FALSE))</f>
        <v>_</v>
      </c>
      <c r="CI42" s="47"/>
      <c r="CJ42" s="42" t="s">
        <v>16</v>
      </c>
      <c r="CK42" s="43" t="str">
        <f>IF(VLOOKUP(CJ42,βοηθητικό!$J$2:$N$354,3,FALSE)="","",VLOOKUP(CJ42,βοηθητικό!$J$2:$N$354,3,FALSE))</f>
        <v>_</v>
      </c>
      <c r="CL42" s="44"/>
      <c r="CM42" s="45" t="s">
        <v>16</v>
      </c>
      <c r="CN42" s="46" t="str">
        <f>IF(VLOOKUP(CM42,βοηθητικό!$J$2:$N$354,3,FALSE)="","",VLOOKUP(CM42,βοηθητικό!$J$2:$N$354,3,FALSE))</f>
        <v>_</v>
      </c>
      <c r="CO42" s="47"/>
      <c r="CP42" s="42" t="s">
        <v>16</v>
      </c>
      <c r="CQ42" s="43" t="str">
        <f>IF(VLOOKUP(CP42,βοηθητικό!$J$2:$N$354,3,FALSE)="","",VLOOKUP(CP42,βοηθητικό!$J$2:$N$354,3,FALSE))</f>
        <v>_</v>
      </c>
      <c r="CR42" s="44"/>
      <c r="CS42" s="45" t="s">
        <v>16</v>
      </c>
      <c r="CT42" s="46" t="str">
        <f>IF(VLOOKUP(CS42,βοηθητικό!$J$2:$N$354,3,FALSE)="","",VLOOKUP(CS42,βοηθητικό!$J$2:$N$354,3,FALSE))</f>
        <v>_</v>
      </c>
      <c r="CU42" s="47"/>
    </row>
    <row r="43" spans="1:99" x14ac:dyDescent="0.25">
      <c r="A43" s="37">
        <f>--SUBTOTAL(3,$B$3:B42)</f>
        <v>40</v>
      </c>
      <c r="B43" s="2">
        <v>45096</v>
      </c>
      <c r="C43" s="3">
        <v>45102</v>
      </c>
      <c r="D43" s="55" t="s">
        <v>100</v>
      </c>
      <c r="E43" s="38" t="s">
        <v>16</v>
      </c>
      <c r="F43" s="38" t="s">
        <v>16</v>
      </c>
      <c r="G43" s="39" t="str">
        <f t="shared" si="2"/>
        <v>__</v>
      </c>
      <c r="H43" s="40" t="str">
        <f t="shared" si="3"/>
        <v>FALSE</v>
      </c>
      <c r="I43" s="41">
        <f t="shared" si="4"/>
        <v>7</v>
      </c>
      <c r="J43" s="4" t="s">
        <v>1131</v>
      </c>
      <c r="K43" s="43">
        <f>IF(VLOOKUP(J43,βοηθητικό!$J$2:$N$354,3,FALSE)="","",VLOOKUP(J43,βοηθητικό!$J$2:$N$354,3,FALSE))</f>
        <v>6942031589</v>
      </c>
      <c r="L43" s="44"/>
      <c r="M43" s="5" t="s">
        <v>1140</v>
      </c>
      <c r="N43" s="46">
        <f>IF(VLOOKUP(M43,βοηθητικό!$J$2:$N$354,3,FALSE)="","",VLOOKUP(M43,βοηθητικό!$J$2:$N$354,3,FALSE))</f>
        <v>6972866890</v>
      </c>
      <c r="O43" s="47"/>
      <c r="P43" s="4" t="s">
        <v>1178</v>
      </c>
      <c r="Q43" s="43">
        <f>IF(VLOOKUP(P43,βοηθητικό!$J$2:$N$354,3,FALSE)="","",VLOOKUP(P43,βοηθητικό!$J$2:$N$354,3,FALSE))</f>
        <v>6975861728</v>
      </c>
      <c r="R43" s="44"/>
      <c r="S43" s="5" t="s">
        <v>1169</v>
      </c>
      <c r="T43" s="46">
        <f>IF(VLOOKUP(S43,βοηθητικό!$J$2:$N$354,3,FALSE)="","",VLOOKUP(S43,βοηθητικό!$J$2:$N$354,3,FALSE))</f>
        <v>6946467821</v>
      </c>
      <c r="U43" s="47"/>
      <c r="V43" s="4" t="s">
        <v>1154</v>
      </c>
      <c r="W43" s="43">
        <f>IF(VLOOKUP(V43,βοηθητικό!$J$2:$N$354,3,FALSE)="","",VLOOKUP(V43,βοηθητικό!$J$2:$N$354,3,FALSE))</f>
        <v>6946013959</v>
      </c>
      <c r="X43" s="44"/>
      <c r="Y43" s="5" t="s">
        <v>1137</v>
      </c>
      <c r="Z43" s="46">
        <f>IF(VLOOKUP(Y43,βοηθητικό!$J$2:$N$354,3,FALSE)="","",VLOOKUP(Y43,βοηθητικό!$J$2:$N$354,3,FALSE))</f>
        <v>6946906906</v>
      </c>
      <c r="AA43" s="47"/>
      <c r="AB43" s="4" t="s">
        <v>1172</v>
      </c>
      <c r="AC43" s="43">
        <f>IF(VLOOKUP(AB43,βοηθητικό!$J$2:$N$354,3,FALSE)="","",VLOOKUP(AB43,βοηθητικό!$J$2:$N$354,3,FALSE))</f>
        <v>6972205991</v>
      </c>
      <c r="AD43" s="44"/>
      <c r="AE43" s="5" t="s">
        <v>16</v>
      </c>
      <c r="AF43" s="46" t="str">
        <f>IF(VLOOKUP(AE43,βοηθητικό!$J$2:$N$354,3,FALSE)="","",VLOOKUP(AE43,βοηθητικό!$J$2:$N$354,3,FALSE))</f>
        <v>_</v>
      </c>
      <c r="AG43" s="47"/>
      <c r="AH43" s="4" t="s">
        <v>16</v>
      </c>
      <c r="AI43" s="43" t="str">
        <f>IF(VLOOKUP(AH43,βοηθητικό!$J$2:$N$354,3,FALSE)="","",VLOOKUP(AH43,βοηθητικό!$J$2:$N$354,3,FALSE))</f>
        <v>_</v>
      </c>
      <c r="AJ43" s="44"/>
      <c r="AK43" s="5" t="s">
        <v>16</v>
      </c>
      <c r="AL43" s="46" t="str">
        <f>IF(VLOOKUP(AK43,βοηθητικό!$J$2:$N$354,3,FALSE)="","",VLOOKUP(AK43,βοηθητικό!$J$2:$N$354,3,FALSE))</f>
        <v>_</v>
      </c>
      <c r="AM43" s="47"/>
      <c r="AN43" s="4" t="s">
        <v>16</v>
      </c>
      <c r="AO43" s="43" t="str">
        <f>IF(VLOOKUP(AN43,βοηθητικό!$J$2:$N$354,3,FALSE)="","",VLOOKUP(AN43,βοηθητικό!$J$2:$N$354,3,FALSE))</f>
        <v>_</v>
      </c>
      <c r="AP43" s="44"/>
      <c r="AQ43" s="5" t="s">
        <v>16</v>
      </c>
      <c r="AR43" s="46" t="str">
        <f>IF(VLOOKUP(AQ43,βοηθητικό!$J$2:$N$354,3,FALSE)="","",VLOOKUP(AQ43,βοηθητικό!$J$2:$N$354,3,FALSE))</f>
        <v>_</v>
      </c>
      <c r="AS43" s="47"/>
      <c r="AT43" s="4" t="s">
        <v>16</v>
      </c>
      <c r="AU43" s="43" t="str">
        <f>IF(VLOOKUP(AT43,βοηθητικό!$J$2:$N$354,3,FALSE)="","",VLOOKUP(AT43,βοηθητικό!$J$2:$N$354,3,FALSE))</f>
        <v>_</v>
      </c>
      <c r="AV43" s="44"/>
      <c r="AW43" s="5" t="s">
        <v>16</v>
      </c>
      <c r="AX43" s="46" t="str">
        <f>IF(VLOOKUP(AW43,βοηθητικό!$J$2:$N$354,3,FALSE)="","",VLOOKUP(AW43,βοηθητικό!$J$2:$N$354,3,FALSE))</f>
        <v>_</v>
      </c>
      <c r="AY43" s="47"/>
      <c r="AZ43" s="4" t="s">
        <v>16</v>
      </c>
      <c r="BA43" s="43" t="str">
        <f>IF(VLOOKUP(AZ43,βοηθητικό!$J$2:$N$354,3,FALSE)="","",VLOOKUP(AZ43,βοηθητικό!$J$2:$N$354,3,FALSE))</f>
        <v>_</v>
      </c>
      <c r="BB43" s="44"/>
      <c r="BC43" s="45" t="s">
        <v>16</v>
      </c>
      <c r="BD43" s="46" t="str">
        <f>IF(VLOOKUP(BC43,βοηθητικό!$J$2:$N$354,3,FALSE)="","",VLOOKUP(BC43,βοηθητικό!$J$2:$N$354,3,FALSE))</f>
        <v>_</v>
      </c>
      <c r="BE43" s="47"/>
      <c r="BF43" s="42" t="s">
        <v>16</v>
      </c>
      <c r="BG43" s="43" t="str">
        <f>IF(VLOOKUP(BF43,βοηθητικό!$J$2:$N$354,3,FALSE)="","",VLOOKUP(BF43,βοηθητικό!$J$2:$N$354,3,FALSE))</f>
        <v>_</v>
      </c>
      <c r="BH43" s="44"/>
      <c r="BI43" s="45" t="s">
        <v>16</v>
      </c>
      <c r="BJ43" s="46" t="str">
        <f>IF(VLOOKUP(BI43,βοηθητικό!$J$2:$N$354,3,FALSE)="","",VLOOKUP(BI43,βοηθητικό!$J$2:$N$354,3,FALSE))</f>
        <v>_</v>
      </c>
      <c r="BK43" s="47"/>
      <c r="BL43" s="42" t="s">
        <v>16</v>
      </c>
      <c r="BM43" s="43" t="str">
        <f>IF(VLOOKUP(BL43,βοηθητικό!$J$2:$N$354,3,FALSE)="","",VLOOKUP(BL43,βοηθητικό!$J$2:$N$354,3,FALSE))</f>
        <v>_</v>
      </c>
      <c r="BN43" s="44"/>
      <c r="BO43" s="45" t="s">
        <v>16</v>
      </c>
      <c r="BP43" s="46" t="str">
        <f>IF(VLOOKUP(BO43,βοηθητικό!$J$2:$N$354,3,FALSE)="","",VLOOKUP(BO43,βοηθητικό!$J$2:$N$354,3,FALSE))</f>
        <v>_</v>
      </c>
      <c r="BQ43" s="47"/>
      <c r="BR43" s="42" t="s">
        <v>16</v>
      </c>
      <c r="BS43" s="43" t="str">
        <f>IF(VLOOKUP(BR43,βοηθητικό!$J$2:$N$354,3,FALSE)="","",VLOOKUP(BR43,βοηθητικό!$J$2:$N$354,3,FALSE))</f>
        <v>_</v>
      </c>
      <c r="BT43" s="44"/>
      <c r="BU43" s="45" t="s">
        <v>16</v>
      </c>
      <c r="BV43" s="46" t="str">
        <f>IF(VLOOKUP(BU43,βοηθητικό!$J$2:$N$354,3,FALSE)="","",VLOOKUP(BU43,βοηθητικό!$J$2:$N$354,3,FALSE))</f>
        <v>_</v>
      </c>
      <c r="BW43" s="47"/>
      <c r="BX43" s="42" t="s">
        <v>16</v>
      </c>
      <c r="BY43" s="43" t="str">
        <f>IF(VLOOKUP(BX43,βοηθητικό!$J$2:$N$354,3,FALSE)="","",VLOOKUP(BX43,βοηθητικό!$J$2:$N$354,3,FALSE))</f>
        <v>_</v>
      </c>
      <c r="BZ43" s="44"/>
      <c r="CA43" s="45" t="s">
        <v>16</v>
      </c>
      <c r="CB43" s="46" t="str">
        <f>IF(VLOOKUP(CA43,βοηθητικό!$J$2:$N$354,3,FALSE)="","",VLOOKUP(CA43,βοηθητικό!$J$2:$N$354,3,FALSE))</f>
        <v>_</v>
      </c>
      <c r="CC43" s="47"/>
      <c r="CD43" s="42" t="s">
        <v>16</v>
      </c>
      <c r="CE43" s="43" t="str">
        <f>IF(VLOOKUP(CD43,βοηθητικό!$J$2:$N$354,3,FALSE)="","",VLOOKUP(CD43,βοηθητικό!$J$2:$N$354,3,FALSE))</f>
        <v>_</v>
      </c>
      <c r="CF43" s="44"/>
      <c r="CG43" s="45" t="s">
        <v>16</v>
      </c>
      <c r="CH43" s="46" t="str">
        <f>IF(VLOOKUP(CG43,βοηθητικό!$J$2:$N$354,3,FALSE)="","",VLOOKUP(CG43,βοηθητικό!$J$2:$N$354,3,FALSE))</f>
        <v>_</v>
      </c>
      <c r="CI43" s="47"/>
      <c r="CJ43" s="42" t="s">
        <v>16</v>
      </c>
      <c r="CK43" s="43" t="str">
        <f>IF(VLOOKUP(CJ43,βοηθητικό!$J$2:$N$354,3,FALSE)="","",VLOOKUP(CJ43,βοηθητικό!$J$2:$N$354,3,FALSE))</f>
        <v>_</v>
      </c>
      <c r="CL43" s="44"/>
      <c r="CM43" s="45" t="s">
        <v>16</v>
      </c>
      <c r="CN43" s="46" t="str">
        <f>IF(VLOOKUP(CM43,βοηθητικό!$J$2:$N$354,3,FALSE)="","",VLOOKUP(CM43,βοηθητικό!$J$2:$N$354,3,FALSE))</f>
        <v>_</v>
      </c>
      <c r="CO43" s="47"/>
      <c r="CP43" s="42" t="s">
        <v>16</v>
      </c>
      <c r="CQ43" s="43" t="str">
        <f>IF(VLOOKUP(CP43,βοηθητικό!$J$2:$N$354,3,FALSE)="","",VLOOKUP(CP43,βοηθητικό!$J$2:$N$354,3,FALSE))</f>
        <v>_</v>
      </c>
      <c r="CR43" s="44"/>
      <c r="CS43" s="45" t="s">
        <v>16</v>
      </c>
      <c r="CT43" s="46" t="str">
        <f>IF(VLOOKUP(CS43,βοηθητικό!$J$2:$N$354,3,FALSE)="","",VLOOKUP(CS43,βοηθητικό!$J$2:$N$354,3,FALSE))</f>
        <v>_</v>
      </c>
      <c r="CU43" s="47"/>
    </row>
    <row r="44" spans="1:99" x14ac:dyDescent="0.25">
      <c r="A44" s="37">
        <f>--SUBTOTAL(3,$B$3:B43)</f>
        <v>41</v>
      </c>
      <c r="B44" s="2">
        <v>45103</v>
      </c>
      <c r="C44" s="3">
        <v>45109</v>
      </c>
      <c r="D44" s="55" t="s">
        <v>100</v>
      </c>
      <c r="E44" s="38" t="s">
        <v>16</v>
      </c>
      <c r="F44" s="38" t="s">
        <v>16</v>
      </c>
      <c r="G44" s="39" t="str">
        <f t="shared" si="2"/>
        <v>__</v>
      </c>
      <c r="H44" s="40" t="str">
        <f t="shared" si="3"/>
        <v>FALSE</v>
      </c>
      <c r="I44" s="41">
        <f t="shared" si="4"/>
        <v>7</v>
      </c>
      <c r="J44" s="4" t="s">
        <v>1131</v>
      </c>
      <c r="K44" s="43">
        <f>IF(VLOOKUP(J44,βοηθητικό!$J$2:$N$354,3,FALSE)="","",VLOOKUP(J44,βοηθητικό!$J$2:$N$354,3,FALSE))</f>
        <v>6942031589</v>
      </c>
      <c r="L44" s="44"/>
      <c r="M44" s="5" t="s">
        <v>1140</v>
      </c>
      <c r="N44" s="46">
        <f>IF(VLOOKUP(M44,βοηθητικό!$J$2:$N$354,3,FALSE)="","",VLOOKUP(M44,βοηθητικό!$J$2:$N$354,3,FALSE))</f>
        <v>6972866890</v>
      </c>
      <c r="O44" s="47"/>
      <c r="P44" s="4" t="s">
        <v>1178</v>
      </c>
      <c r="Q44" s="43">
        <f>IF(VLOOKUP(P44,βοηθητικό!$J$2:$N$354,3,FALSE)="","",VLOOKUP(P44,βοηθητικό!$J$2:$N$354,3,FALSE))</f>
        <v>6975861728</v>
      </c>
      <c r="R44" s="44"/>
      <c r="S44" s="5" t="s">
        <v>1169</v>
      </c>
      <c r="T44" s="46">
        <f>IF(VLOOKUP(S44,βοηθητικό!$J$2:$N$354,3,FALSE)="","",VLOOKUP(S44,βοηθητικό!$J$2:$N$354,3,FALSE))</f>
        <v>6946467821</v>
      </c>
      <c r="U44" s="47"/>
      <c r="V44" s="4" t="s">
        <v>1154</v>
      </c>
      <c r="W44" s="43">
        <f>IF(VLOOKUP(V44,βοηθητικό!$J$2:$N$354,3,FALSE)="","",VLOOKUP(V44,βοηθητικό!$J$2:$N$354,3,FALSE))</f>
        <v>6946013959</v>
      </c>
      <c r="X44" s="44"/>
      <c r="Y44" s="5" t="s">
        <v>1137</v>
      </c>
      <c r="Z44" s="46">
        <f>IF(VLOOKUP(Y44,βοηθητικό!$J$2:$N$354,3,FALSE)="","",VLOOKUP(Y44,βοηθητικό!$J$2:$N$354,3,FALSE))</f>
        <v>6946906906</v>
      </c>
      <c r="AA44" s="47"/>
      <c r="AB44" s="4" t="s">
        <v>1172</v>
      </c>
      <c r="AC44" s="43">
        <f>IF(VLOOKUP(AB44,βοηθητικό!$J$2:$N$354,3,FALSE)="","",VLOOKUP(AB44,βοηθητικό!$J$2:$N$354,3,FALSE))</f>
        <v>6972205991</v>
      </c>
      <c r="AD44" s="44"/>
      <c r="AE44" s="5" t="s">
        <v>16</v>
      </c>
      <c r="AF44" s="46" t="str">
        <f>IF(VLOOKUP(AE44,βοηθητικό!$J$2:$N$354,3,FALSE)="","",VLOOKUP(AE44,βοηθητικό!$J$2:$N$354,3,FALSE))</f>
        <v>_</v>
      </c>
      <c r="AG44" s="47"/>
      <c r="AH44" s="4" t="s">
        <v>16</v>
      </c>
      <c r="AI44" s="43" t="str">
        <f>IF(VLOOKUP(AH44,βοηθητικό!$J$2:$N$354,3,FALSE)="","",VLOOKUP(AH44,βοηθητικό!$J$2:$N$354,3,FALSE))</f>
        <v>_</v>
      </c>
      <c r="AJ44" s="44"/>
      <c r="AK44" s="5" t="s">
        <v>16</v>
      </c>
      <c r="AL44" s="46" t="str">
        <f>IF(VLOOKUP(AK44,βοηθητικό!$J$2:$N$354,3,FALSE)="","",VLOOKUP(AK44,βοηθητικό!$J$2:$N$354,3,FALSE))</f>
        <v>_</v>
      </c>
      <c r="AM44" s="47"/>
      <c r="AN44" s="4" t="s">
        <v>16</v>
      </c>
      <c r="AO44" s="43" t="str">
        <f>IF(VLOOKUP(AN44,βοηθητικό!$J$2:$N$354,3,FALSE)="","",VLOOKUP(AN44,βοηθητικό!$J$2:$N$354,3,FALSE))</f>
        <v>_</v>
      </c>
      <c r="AP44" s="44"/>
      <c r="AQ44" s="5" t="s">
        <v>16</v>
      </c>
      <c r="AR44" s="46" t="str">
        <f>IF(VLOOKUP(AQ44,βοηθητικό!$J$2:$N$354,3,FALSE)="","",VLOOKUP(AQ44,βοηθητικό!$J$2:$N$354,3,FALSE))</f>
        <v>_</v>
      </c>
      <c r="AS44" s="47"/>
      <c r="AT44" s="4" t="s">
        <v>16</v>
      </c>
      <c r="AU44" s="43" t="str">
        <f>IF(VLOOKUP(AT44,βοηθητικό!$J$2:$N$354,3,FALSE)="","",VLOOKUP(AT44,βοηθητικό!$J$2:$N$354,3,FALSE))</f>
        <v>_</v>
      </c>
      <c r="AV44" s="44"/>
      <c r="AW44" s="5" t="s">
        <v>16</v>
      </c>
      <c r="AX44" s="46" t="str">
        <f>IF(VLOOKUP(AW44,βοηθητικό!$J$2:$N$354,3,FALSE)="","",VLOOKUP(AW44,βοηθητικό!$J$2:$N$354,3,FALSE))</f>
        <v>_</v>
      </c>
      <c r="AY44" s="47"/>
      <c r="AZ44" s="4" t="s">
        <v>16</v>
      </c>
      <c r="BA44" s="43" t="str">
        <f>IF(VLOOKUP(AZ44,βοηθητικό!$J$2:$N$354,3,FALSE)="","",VLOOKUP(AZ44,βοηθητικό!$J$2:$N$354,3,FALSE))</f>
        <v>_</v>
      </c>
      <c r="BB44" s="44"/>
      <c r="BC44" s="45" t="s">
        <v>16</v>
      </c>
      <c r="BD44" s="46" t="str">
        <f>IF(VLOOKUP(BC44,βοηθητικό!$J$2:$N$354,3,FALSE)="","",VLOOKUP(BC44,βοηθητικό!$J$2:$N$354,3,FALSE))</f>
        <v>_</v>
      </c>
      <c r="BE44" s="47"/>
      <c r="BF44" s="42" t="s">
        <v>16</v>
      </c>
      <c r="BG44" s="43" t="str">
        <f>IF(VLOOKUP(BF44,βοηθητικό!$J$2:$N$354,3,FALSE)="","",VLOOKUP(BF44,βοηθητικό!$J$2:$N$354,3,FALSE))</f>
        <v>_</v>
      </c>
      <c r="BH44" s="44"/>
      <c r="BI44" s="45" t="s">
        <v>16</v>
      </c>
      <c r="BJ44" s="46" t="str">
        <f>IF(VLOOKUP(BI44,βοηθητικό!$J$2:$N$354,3,FALSE)="","",VLOOKUP(BI44,βοηθητικό!$J$2:$N$354,3,FALSE))</f>
        <v>_</v>
      </c>
      <c r="BK44" s="47"/>
      <c r="BL44" s="42" t="s">
        <v>16</v>
      </c>
      <c r="BM44" s="43" t="str">
        <f>IF(VLOOKUP(BL44,βοηθητικό!$J$2:$N$354,3,FALSE)="","",VLOOKUP(BL44,βοηθητικό!$J$2:$N$354,3,FALSE))</f>
        <v>_</v>
      </c>
      <c r="BN44" s="44"/>
      <c r="BO44" s="45" t="s">
        <v>16</v>
      </c>
      <c r="BP44" s="46" t="str">
        <f>IF(VLOOKUP(BO44,βοηθητικό!$J$2:$N$354,3,FALSE)="","",VLOOKUP(BO44,βοηθητικό!$J$2:$N$354,3,FALSE))</f>
        <v>_</v>
      </c>
      <c r="BQ44" s="47"/>
      <c r="BR44" s="42" t="s">
        <v>16</v>
      </c>
      <c r="BS44" s="43" t="str">
        <f>IF(VLOOKUP(BR44,βοηθητικό!$J$2:$N$354,3,FALSE)="","",VLOOKUP(BR44,βοηθητικό!$J$2:$N$354,3,FALSE))</f>
        <v>_</v>
      </c>
      <c r="BT44" s="44"/>
      <c r="BU44" s="45" t="s">
        <v>16</v>
      </c>
      <c r="BV44" s="46" t="str">
        <f>IF(VLOOKUP(BU44,βοηθητικό!$J$2:$N$354,3,FALSE)="","",VLOOKUP(BU44,βοηθητικό!$J$2:$N$354,3,FALSE))</f>
        <v>_</v>
      </c>
      <c r="BW44" s="47"/>
      <c r="BX44" s="42" t="s">
        <v>16</v>
      </c>
      <c r="BY44" s="43" t="str">
        <f>IF(VLOOKUP(BX44,βοηθητικό!$J$2:$N$354,3,FALSE)="","",VLOOKUP(BX44,βοηθητικό!$J$2:$N$354,3,FALSE))</f>
        <v>_</v>
      </c>
      <c r="BZ44" s="44"/>
      <c r="CA44" s="45" t="s">
        <v>16</v>
      </c>
      <c r="CB44" s="46" t="str">
        <f>IF(VLOOKUP(CA44,βοηθητικό!$J$2:$N$354,3,FALSE)="","",VLOOKUP(CA44,βοηθητικό!$J$2:$N$354,3,FALSE))</f>
        <v>_</v>
      </c>
      <c r="CC44" s="47"/>
      <c r="CD44" s="42" t="s">
        <v>16</v>
      </c>
      <c r="CE44" s="43" t="str">
        <f>IF(VLOOKUP(CD44,βοηθητικό!$J$2:$N$354,3,FALSE)="","",VLOOKUP(CD44,βοηθητικό!$J$2:$N$354,3,FALSE))</f>
        <v>_</v>
      </c>
      <c r="CF44" s="44"/>
      <c r="CG44" s="45" t="s">
        <v>16</v>
      </c>
      <c r="CH44" s="46" t="str">
        <f>IF(VLOOKUP(CG44,βοηθητικό!$J$2:$N$354,3,FALSE)="","",VLOOKUP(CG44,βοηθητικό!$J$2:$N$354,3,FALSE))</f>
        <v>_</v>
      </c>
      <c r="CI44" s="47"/>
      <c r="CJ44" s="42" t="s">
        <v>16</v>
      </c>
      <c r="CK44" s="43" t="str">
        <f>IF(VLOOKUP(CJ44,βοηθητικό!$J$2:$N$354,3,FALSE)="","",VLOOKUP(CJ44,βοηθητικό!$J$2:$N$354,3,FALSE))</f>
        <v>_</v>
      </c>
      <c r="CL44" s="44"/>
      <c r="CM44" s="45" t="s">
        <v>16</v>
      </c>
      <c r="CN44" s="46" t="str">
        <f>IF(VLOOKUP(CM44,βοηθητικό!$J$2:$N$354,3,FALSE)="","",VLOOKUP(CM44,βοηθητικό!$J$2:$N$354,3,FALSE))</f>
        <v>_</v>
      </c>
      <c r="CO44" s="47"/>
      <c r="CP44" s="42" t="s">
        <v>16</v>
      </c>
      <c r="CQ44" s="43" t="str">
        <f>IF(VLOOKUP(CP44,βοηθητικό!$J$2:$N$354,3,FALSE)="","",VLOOKUP(CP44,βοηθητικό!$J$2:$N$354,3,FALSE))</f>
        <v>_</v>
      </c>
      <c r="CR44" s="44"/>
      <c r="CS44" s="45" t="s">
        <v>16</v>
      </c>
      <c r="CT44" s="46" t="str">
        <f>IF(VLOOKUP(CS44,βοηθητικό!$J$2:$N$354,3,FALSE)="","",VLOOKUP(CS44,βοηθητικό!$J$2:$N$354,3,FALSE))</f>
        <v>_</v>
      </c>
      <c r="CU44" s="47"/>
    </row>
    <row r="45" spans="1:99" x14ac:dyDescent="0.25">
      <c r="A45" s="37">
        <f>--SUBTOTAL(3,$B$3:B44)</f>
        <v>42</v>
      </c>
      <c r="B45" s="2">
        <v>45075</v>
      </c>
      <c r="C45" s="3">
        <v>45081</v>
      </c>
      <c r="D45" s="55" t="s">
        <v>110</v>
      </c>
      <c r="E45" s="38" t="s">
        <v>16</v>
      </c>
      <c r="F45" s="38" t="s">
        <v>16</v>
      </c>
      <c r="G45" s="39" t="str">
        <f t="shared" si="2"/>
        <v>__</v>
      </c>
      <c r="H45" s="40" t="str">
        <f t="shared" si="3"/>
        <v>FALSE</v>
      </c>
      <c r="I45" s="41">
        <f t="shared" si="4"/>
        <v>4</v>
      </c>
      <c r="J45" s="4" t="s">
        <v>1209</v>
      </c>
      <c r="K45" s="43" t="str">
        <f>IF(VLOOKUP(J45,βοηθητικό!$J$2:$N$354,3,FALSE)="","",VLOOKUP(J45,βοηθητικό!$J$2:$N$354,3,FALSE))</f>
        <v>6984422749</v>
      </c>
      <c r="L45" s="44"/>
      <c r="M45" s="5" t="s">
        <v>1215</v>
      </c>
      <c r="N45" s="46" t="str">
        <f>IF(VLOOKUP(M45,βοηθητικό!$J$2:$N$354,3,FALSE)="","",VLOOKUP(M45,βοηθητικό!$J$2:$N$354,3,FALSE))</f>
        <v>6977401233</v>
      </c>
      <c r="O45" s="47"/>
      <c r="P45" s="4" t="s">
        <v>1205</v>
      </c>
      <c r="Q45" s="43" t="str">
        <f>IF(VLOOKUP(P45,βοηθητικό!$J$2:$N$354,3,FALSE)="","",VLOOKUP(P45,βοηθητικό!$J$2:$N$354,3,FALSE))</f>
        <v>6944344579</v>
      </c>
      <c r="R45" s="44"/>
      <c r="S45" s="5" t="s">
        <v>1250</v>
      </c>
      <c r="T45" s="46">
        <f>IF(VLOOKUP(S45,βοηθητικό!$J$2:$N$354,3,FALSE)="","",VLOOKUP(S45,βοηθητικό!$J$2:$N$354,3,FALSE))</f>
        <v>6983956556</v>
      </c>
      <c r="U45" s="47"/>
      <c r="V45" s="4" t="s">
        <v>16</v>
      </c>
      <c r="W45" s="43" t="str">
        <f>IF(VLOOKUP(V45,βοηθητικό!$J$2:$N$354,3,FALSE)="","",VLOOKUP(V45,βοηθητικό!$J$2:$N$354,3,FALSE))</f>
        <v>_</v>
      </c>
      <c r="X45" s="44"/>
      <c r="Y45" s="5" t="s">
        <v>16</v>
      </c>
      <c r="Z45" s="46" t="str">
        <f>IF(VLOOKUP(Y45,βοηθητικό!$J$2:$N$354,3,FALSE)="","",VLOOKUP(Y45,βοηθητικό!$J$2:$N$354,3,FALSE))</f>
        <v>_</v>
      </c>
      <c r="AA45" s="47"/>
      <c r="AB45" s="4" t="s">
        <v>16</v>
      </c>
      <c r="AC45" s="43" t="str">
        <f>IF(VLOOKUP(AB45,βοηθητικό!$J$2:$N$354,3,FALSE)="","",VLOOKUP(AB45,βοηθητικό!$J$2:$N$354,3,FALSE))</f>
        <v>_</v>
      </c>
      <c r="AD45" s="44"/>
      <c r="AE45" s="5" t="s">
        <v>16</v>
      </c>
      <c r="AF45" s="46" t="str">
        <f>IF(VLOOKUP(AE45,βοηθητικό!$J$2:$N$354,3,FALSE)="","",VLOOKUP(AE45,βοηθητικό!$J$2:$N$354,3,FALSE))</f>
        <v>_</v>
      </c>
      <c r="AG45" s="47"/>
      <c r="AH45" s="4" t="s">
        <v>16</v>
      </c>
      <c r="AI45" s="43" t="str">
        <f>IF(VLOOKUP(AH45,βοηθητικό!$J$2:$N$354,3,FALSE)="","",VLOOKUP(AH45,βοηθητικό!$J$2:$N$354,3,FALSE))</f>
        <v>_</v>
      </c>
      <c r="AJ45" s="44"/>
      <c r="AK45" s="5" t="s">
        <v>16</v>
      </c>
      <c r="AL45" s="46" t="str">
        <f>IF(VLOOKUP(AK45,βοηθητικό!$J$2:$N$354,3,FALSE)="","",VLOOKUP(AK45,βοηθητικό!$J$2:$N$354,3,FALSE))</f>
        <v>_</v>
      </c>
      <c r="AM45" s="47"/>
      <c r="AN45" s="4" t="s">
        <v>16</v>
      </c>
      <c r="AO45" s="43" t="str">
        <f>IF(VLOOKUP(AN45,βοηθητικό!$J$2:$N$354,3,FALSE)="","",VLOOKUP(AN45,βοηθητικό!$J$2:$N$354,3,FALSE))</f>
        <v>_</v>
      </c>
      <c r="AP45" s="44"/>
      <c r="AQ45" s="5" t="s">
        <v>16</v>
      </c>
      <c r="AR45" s="46" t="str">
        <f>IF(VLOOKUP(AQ45,βοηθητικό!$J$2:$N$354,3,FALSE)="","",VLOOKUP(AQ45,βοηθητικό!$J$2:$N$354,3,FALSE))</f>
        <v>_</v>
      </c>
      <c r="AS45" s="47"/>
      <c r="AT45" s="4" t="s">
        <v>16</v>
      </c>
      <c r="AU45" s="43" t="str">
        <f>IF(VLOOKUP(AT45,βοηθητικό!$J$2:$N$354,3,FALSE)="","",VLOOKUP(AT45,βοηθητικό!$J$2:$N$354,3,FALSE))</f>
        <v>_</v>
      </c>
      <c r="AV45" s="44"/>
      <c r="AW45" s="5" t="s">
        <v>16</v>
      </c>
      <c r="AX45" s="46" t="str">
        <f>IF(VLOOKUP(AW45,βοηθητικό!$J$2:$N$354,3,FALSE)="","",VLOOKUP(AW45,βοηθητικό!$J$2:$N$354,3,FALSE))</f>
        <v>_</v>
      </c>
      <c r="AY45" s="47"/>
      <c r="AZ45" s="4" t="s">
        <v>16</v>
      </c>
      <c r="BA45" s="43" t="str">
        <f>IF(VLOOKUP(AZ45,βοηθητικό!$J$2:$N$354,3,FALSE)="","",VLOOKUP(AZ45,βοηθητικό!$J$2:$N$354,3,FALSE))</f>
        <v>_</v>
      </c>
      <c r="BB45" s="44"/>
      <c r="BC45" s="45" t="s">
        <v>16</v>
      </c>
      <c r="BD45" s="46" t="str">
        <f>IF(VLOOKUP(BC45,βοηθητικό!$J$2:$N$354,3,FALSE)="","",VLOOKUP(BC45,βοηθητικό!$J$2:$N$354,3,FALSE))</f>
        <v>_</v>
      </c>
      <c r="BE45" s="47"/>
      <c r="BF45" s="42" t="s">
        <v>16</v>
      </c>
      <c r="BG45" s="43" t="str">
        <f>IF(VLOOKUP(BF45,βοηθητικό!$J$2:$N$354,3,FALSE)="","",VLOOKUP(BF45,βοηθητικό!$J$2:$N$354,3,FALSE))</f>
        <v>_</v>
      </c>
      <c r="BH45" s="44"/>
      <c r="BI45" s="45" t="s">
        <v>16</v>
      </c>
      <c r="BJ45" s="46" t="str">
        <f>IF(VLOOKUP(BI45,βοηθητικό!$J$2:$N$354,3,FALSE)="","",VLOOKUP(BI45,βοηθητικό!$J$2:$N$354,3,FALSE))</f>
        <v>_</v>
      </c>
      <c r="BK45" s="47"/>
      <c r="BL45" s="42" t="s">
        <v>16</v>
      </c>
      <c r="BM45" s="43" t="str">
        <f>IF(VLOOKUP(BL45,βοηθητικό!$J$2:$N$354,3,FALSE)="","",VLOOKUP(BL45,βοηθητικό!$J$2:$N$354,3,FALSE))</f>
        <v>_</v>
      </c>
      <c r="BN45" s="44"/>
      <c r="BO45" s="45" t="s">
        <v>16</v>
      </c>
      <c r="BP45" s="46" t="str">
        <f>IF(VLOOKUP(BO45,βοηθητικό!$J$2:$N$354,3,FALSE)="","",VLOOKUP(BO45,βοηθητικό!$J$2:$N$354,3,FALSE))</f>
        <v>_</v>
      </c>
      <c r="BQ45" s="47"/>
      <c r="BR45" s="42" t="s">
        <v>16</v>
      </c>
      <c r="BS45" s="43" t="str">
        <f>IF(VLOOKUP(BR45,βοηθητικό!$J$2:$N$354,3,FALSE)="","",VLOOKUP(BR45,βοηθητικό!$J$2:$N$354,3,FALSE))</f>
        <v>_</v>
      </c>
      <c r="BT45" s="44"/>
      <c r="BU45" s="45" t="s">
        <v>16</v>
      </c>
      <c r="BV45" s="46" t="str">
        <f>IF(VLOOKUP(BU45,βοηθητικό!$J$2:$N$354,3,FALSE)="","",VLOOKUP(BU45,βοηθητικό!$J$2:$N$354,3,FALSE))</f>
        <v>_</v>
      </c>
      <c r="BW45" s="47"/>
      <c r="BX45" s="42" t="s">
        <v>16</v>
      </c>
      <c r="BY45" s="43" t="str">
        <f>IF(VLOOKUP(BX45,βοηθητικό!$J$2:$N$354,3,FALSE)="","",VLOOKUP(BX45,βοηθητικό!$J$2:$N$354,3,FALSE))</f>
        <v>_</v>
      </c>
      <c r="BZ45" s="44"/>
      <c r="CA45" s="45" t="s">
        <v>16</v>
      </c>
      <c r="CB45" s="46" t="str">
        <f>IF(VLOOKUP(CA45,βοηθητικό!$J$2:$N$354,3,FALSE)="","",VLOOKUP(CA45,βοηθητικό!$J$2:$N$354,3,FALSE))</f>
        <v>_</v>
      </c>
      <c r="CC45" s="47"/>
      <c r="CD45" s="42" t="s">
        <v>16</v>
      </c>
      <c r="CE45" s="43" t="str">
        <f>IF(VLOOKUP(CD45,βοηθητικό!$J$2:$N$354,3,FALSE)="","",VLOOKUP(CD45,βοηθητικό!$J$2:$N$354,3,FALSE))</f>
        <v>_</v>
      </c>
      <c r="CF45" s="44"/>
      <c r="CG45" s="45" t="s">
        <v>16</v>
      </c>
      <c r="CH45" s="46" t="str">
        <f>IF(VLOOKUP(CG45,βοηθητικό!$J$2:$N$354,3,FALSE)="","",VLOOKUP(CG45,βοηθητικό!$J$2:$N$354,3,FALSE))</f>
        <v>_</v>
      </c>
      <c r="CI45" s="47"/>
      <c r="CJ45" s="42" t="s">
        <v>16</v>
      </c>
      <c r="CK45" s="43" t="str">
        <f>IF(VLOOKUP(CJ45,βοηθητικό!$J$2:$N$354,3,FALSE)="","",VLOOKUP(CJ45,βοηθητικό!$J$2:$N$354,3,FALSE))</f>
        <v>_</v>
      </c>
      <c r="CL45" s="44"/>
      <c r="CM45" s="45" t="s">
        <v>16</v>
      </c>
      <c r="CN45" s="46" t="str">
        <f>IF(VLOOKUP(CM45,βοηθητικό!$J$2:$N$354,3,FALSE)="","",VLOOKUP(CM45,βοηθητικό!$J$2:$N$354,3,FALSE))</f>
        <v>_</v>
      </c>
      <c r="CO45" s="47"/>
      <c r="CP45" s="42" t="s">
        <v>16</v>
      </c>
      <c r="CQ45" s="43" t="str">
        <f>IF(VLOOKUP(CP45,βοηθητικό!$J$2:$N$354,3,FALSE)="","",VLOOKUP(CP45,βοηθητικό!$J$2:$N$354,3,FALSE))</f>
        <v>_</v>
      </c>
      <c r="CR45" s="44"/>
      <c r="CS45" s="45" t="s">
        <v>16</v>
      </c>
      <c r="CT45" s="46" t="str">
        <f>IF(VLOOKUP(CS45,βοηθητικό!$J$2:$N$354,3,FALSE)="","",VLOOKUP(CS45,βοηθητικό!$J$2:$N$354,3,FALSE))</f>
        <v>_</v>
      </c>
      <c r="CU45" s="47"/>
    </row>
    <row r="46" spans="1:99" x14ac:dyDescent="0.25">
      <c r="A46" s="37">
        <f>--SUBTOTAL(3,$B$3:B45)</f>
        <v>43</v>
      </c>
      <c r="B46" s="2">
        <v>45082</v>
      </c>
      <c r="C46" s="3">
        <v>45088</v>
      </c>
      <c r="D46" s="55" t="s">
        <v>110</v>
      </c>
      <c r="E46" s="38" t="s">
        <v>16</v>
      </c>
      <c r="F46" s="38" t="s">
        <v>16</v>
      </c>
      <c r="G46" s="39" t="str">
        <f t="shared" si="2"/>
        <v>__</v>
      </c>
      <c r="H46" s="40" t="str">
        <f t="shared" si="3"/>
        <v>FALSE</v>
      </c>
      <c r="I46" s="41">
        <f t="shared" si="4"/>
        <v>5</v>
      </c>
      <c r="J46" s="4" t="s">
        <v>1247</v>
      </c>
      <c r="K46" s="43" t="str">
        <f>IF(VLOOKUP(J46,βοηθητικό!$J$2:$N$354,3,FALSE)="","",VLOOKUP(J46,βοηθητικό!$J$2:$N$354,3,FALSE))</f>
        <v>6977779983</v>
      </c>
      <c r="L46" s="44"/>
      <c r="M46" s="5" t="s">
        <v>1196</v>
      </c>
      <c r="N46" s="46" t="str">
        <f>IF(VLOOKUP(M46,βοηθητικό!$J$2:$N$354,3,FALSE)="","",VLOOKUP(M46,βοηθητικό!$J$2:$N$354,3,FALSE))</f>
        <v>6988221973</v>
      </c>
      <c r="O46" s="47"/>
      <c r="P46" s="4" t="s">
        <v>1230</v>
      </c>
      <c r="Q46" s="43" t="str">
        <f>IF(VLOOKUP(P46,βοηθητικό!$J$2:$N$354,3,FALSE)="","",VLOOKUP(P46,βοηθητικό!$J$2:$N$354,3,FALSE))</f>
        <v>6948363936</v>
      </c>
      <c r="R46" s="44"/>
      <c r="S46" s="5" t="s">
        <v>1202</v>
      </c>
      <c r="T46" s="46" t="str">
        <f>IF(VLOOKUP(S46,βοηθητικό!$J$2:$N$354,3,FALSE)="","",VLOOKUP(S46,βοηθητικό!$J$2:$N$354,3,FALSE))</f>
        <v>6938601801</v>
      </c>
      <c r="U46" s="47"/>
      <c r="V46" s="4" t="s">
        <v>1199</v>
      </c>
      <c r="W46" s="43" t="str">
        <f>IF(VLOOKUP(V46,βοηθητικό!$J$2:$N$354,3,FALSE)="","",VLOOKUP(V46,βοηθητικό!$J$2:$N$354,3,FALSE))</f>
        <v>6942432057</v>
      </c>
      <c r="X46" s="44"/>
      <c r="Y46" s="5" t="s">
        <v>16</v>
      </c>
      <c r="Z46" s="46" t="str">
        <f>IF(VLOOKUP(Y46,βοηθητικό!$J$2:$N$354,3,FALSE)="","",VLOOKUP(Y46,βοηθητικό!$J$2:$N$354,3,FALSE))</f>
        <v>_</v>
      </c>
      <c r="AA46" s="47"/>
      <c r="AB46" s="4" t="s">
        <v>16</v>
      </c>
      <c r="AC46" s="43" t="str">
        <f>IF(VLOOKUP(AB46,βοηθητικό!$J$2:$N$354,3,FALSE)="","",VLOOKUP(AB46,βοηθητικό!$J$2:$N$354,3,FALSE))</f>
        <v>_</v>
      </c>
      <c r="AD46" s="44"/>
      <c r="AE46" s="5" t="s">
        <v>16</v>
      </c>
      <c r="AF46" s="46" t="str">
        <f>IF(VLOOKUP(AE46,βοηθητικό!$J$2:$N$354,3,FALSE)="","",VLOOKUP(AE46,βοηθητικό!$J$2:$N$354,3,FALSE))</f>
        <v>_</v>
      </c>
      <c r="AG46" s="47"/>
      <c r="AH46" s="4" t="s">
        <v>16</v>
      </c>
      <c r="AI46" s="43" t="str">
        <f>IF(VLOOKUP(AH46,βοηθητικό!$J$2:$N$354,3,FALSE)="","",VLOOKUP(AH46,βοηθητικό!$J$2:$N$354,3,FALSE))</f>
        <v>_</v>
      </c>
      <c r="AJ46" s="44"/>
      <c r="AK46" s="5" t="s">
        <v>16</v>
      </c>
      <c r="AL46" s="46" t="str">
        <f>IF(VLOOKUP(AK46,βοηθητικό!$J$2:$N$354,3,FALSE)="","",VLOOKUP(AK46,βοηθητικό!$J$2:$N$354,3,FALSE))</f>
        <v>_</v>
      </c>
      <c r="AM46" s="47"/>
      <c r="AN46" s="4" t="s">
        <v>16</v>
      </c>
      <c r="AO46" s="43" t="str">
        <f>IF(VLOOKUP(AN46,βοηθητικό!$J$2:$N$354,3,FALSE)="","",VLOOKUP(AN46,βοηθητικό!$J$2:$N$354,3,FALSE))</f>
        <v>_</v>
      </c>
      <c r="AP46" s="44"/>
      <c r="AQ46" s="5" t="s">
        <v>16</v>
      </c>
      <c r="AR46" s="46" t="str">
        <f>IF(VLOOKUP(AQ46,βοηθητικό!$J$2:$N$354,3,FALSE)="","",VLOOKUP(AQ46,βοηθητικό!$J$2:$N$354,3,FALSE))</f>
        <v>_</v>
      </c>
      <c r="AS46" s="47"/>
      <c r="AT46" s="4" t="s">
        <v>16</v>
      </c>
      <c r="AU46" s="43" t="str">
        <f>IF(VLOOKUP(AT46,βοηθητικό!$J$2:$N$354,3,FALSE)="","",VLOOKUP(AT46,βοηθητικό!$J$2:$N$354,3,FALSE))</f>
        <v>_</v>
      </c>
      <c r="AV46" s="44"/>
      <c r="AW46" s="5" t="s">
        <v>16</v>
      </c>
      <c r="AX46" s="46" t="str">
        <f>IF(VLOOKUP(AW46,βοηθητικό!$J$2:$N$354,3,FALSE)="","",VLOOKUP(AW46,βοηθητικό!$J$2:$N$354,3,FALSE))</f>
        <v>_</v>
      </c>
      <c r="AY46" s="47"/>
      <c r="AZ46" s="4" t="s">
        <v>16</v>
      </c>
      <c r="BA46" s="43" t="str">
        <f>IF(VLOOKUP(AZ46,βοηθητικό!$J$2:$N$354,3,FALSE)="","",VLOOKUP(AZ46,βοηθητικό!$J$2:$N$354,3,FALSE))</f>
        <v>_</v>
      </c>
      <c r="BB46" s="44"/>
      <c r="BC46" s="45" t="s">
        <v>16</v>
      </c>
      <c r="BD46" s="46" t="str">
        <f>IF(VLOOKUP(BC46,βοηθητικό!$J$2:$N$354,3,FALSE)="","",VLOOKUP(BC46,βοηθητικό!$J$2:$N$354,3,FALSE))</f>
        <v>_</v>
      </c>
      <c r="BE46" s="47"/>
      <c r="BF46" s="42" t="s">
        <v>16</v>
      </c>
      <c r="BG46" s="43" t="str">
        <f>IF(VLOOKUP(BF46,βοηθητικό!$J$2:$N$354,3,FALSE)="","",VLOOKUP(BF46,βοηθητικό!$J$2:$N$354,3,FALSE))</f>
        <v>_</v>
      </c>
      <c r="BH46" s="44"/>
      <c r="BI46" s="45" t="s">
        <v>16</v>
      </c>
      <c r="BJ46" s="46" t="str">
        <f>IF(VLOOKUP(BI46,βοηθητικό!$J$2:$N$354,3,FALSE)="","",VLOOKUP(BI46,βοηθητικό!$J$2:$N$354,3,FALSE))</f>
        <v>_</v>
      </c>
      <c r="BK46" s="47"/>
      <c r="BL46" s="42" t="s">
        <v>16</v>
      </c>
      <c r="BM46" s="43" t="str">
        <f>IF(VLOOKUP(BL46,βοηθητικό!$J$2:$N$354,3,FALSE)="","",VLOOKUP(BL46,βοηθητικό!$J$2:$N$354,3,FALSE))</f>
        <v>_</v>
      </c>
      <c r="BN46" s="44"/>
      <c r="BO46" s="45" t="s">
        <v>16</v>
      </c>
      <c r="BP46" s="46" t="str">
        <f>IF(VLOOKUP(BO46,βοηθητικό!$J$2:$N$354,3,FALSE)="","",VLOOKUP(BO46,βοηθητικό!$J$2:$N$354,3,FALSE))</f>
        <v>_</v>
      </c>
      <c r="BQ46" s="47"/>
      <c r="BR46" s="42" t="s">
        <v>16</v>
      </c>
      <c r="BS46" s="43" t="str">
        <f>IF(VLOOKUP(BR46,βοηθητικό!$J$2:$N$354,3,FALSE)="","",VLOOKUP(BR46,βοηθητικό!$J$2:$N$354,3,FALSE))</f>
        <v>_</v>
      </c>
      <c r="BT46" s="44"/>
      <c r="BU46" s="45" t="s">
        <v>16</v>
      </c>
      <c r="BV46" s="46" t="str">
        <f>IF(VLOOKUP(BU46,βοηθητικό!$J$2:$N$354,3,FALSE)="","",VLOOKUP(BU46,βοηθητικό!$J$2:$N$354,3,FALSE))</f>
        <v>_</v>
      </c>
      <c r="BW46" s="47"/>
      <c r="BX46" s="42" t="s">
        <v>16</v>
      </c>
      <c r="BY46" s="43" t="str">
        <f>IF(VLOOKUP(BX46,βοηθητικό!$J$2:$N$354,3,FALSE)="","",VLOOKUP(BX46,βοηθητικό!$J$2:$N$354,3,FALSE))</f>
        <v>_</v>
      </c>
      <c r="BZ46" s="44"/>
      <c r="CA46" s="45" t="s">
        <v>16</v>
      </c>
      <c r="CB46" s="46" t="str">
        <f>IF(VLOOKUP(CA46,βοηθητικό!$J$2:$N$354,3,FALSE)="","",VLOOKUP(CA46,βοηθητικό!$J$2:$N$354,3,FALSE))</f>
        <v>_</v>
      </c>
      <c r="CC46" s="47"/>
      <c r="CD46" s="42" t="s">
        <v>16</v>
      </c>
      <c r="CE46" s="43" t="str">
        <f>IF(VLOOKUP(CD46,βοηθητικό!$J$2:$N$354,3,FALSE)="","",VLOOKUP(CD46,βοηθητικό!$J$2:$N$354,3,FALSE))</f>
        <v>_</v>
      </c>
      <c r="CF46" s="44"/>
      <c r="CG46" s="45" t="s">
        <v>16</v>
      </c>
      <c r="CH46" s="46" t="str">
        <f>IF(VLOOKUP(CG46,βοηθητικό!$J$2:$N$354,3,FALSE)="","",VLOOKUP(CG46,βοηθητικό!$J$2:$N$354,3,FALSE))</f>
        <v>_</v>
      </c>
      <c r="CI46" s="47"/>
      <c r="CJ46" s="42" t="s">
        <v>16</v>
      </c>
      <c r="CK46" s="43" t="str">
        <f>IF(VLOOKUP(CJ46,βοηθητικό!$J$2:$N$354,3,FALSE)="","",VLOOKUP(CJ46,βοηθητικό!$J$2:$N$354,3,FALSE))</f>
        <v>_</v>
      </c>
      <c r="CL46" s="44"/>
      <c r="CM46" s="45" t="s">
        <v>16</v>
      </c>
      <c r="CN46" s="46" t="str">
        <f>IF(VLOOKUP(CM46,βοηθητικό!$J$2:$N$354,3,FALSE)="","",VLOOKUP(CM46,βοηθητικό!$J$2:$N$354,3,FALSE))</f>
        <v>_</v>
      </c>
      <c r="CO46" s="47"/>
      <c r="CP46" s="42" t="s">
        <v>16</v>
      </c>
      <c r="CQ46" s="43" t="str">
        <f>IF(VLOOKUP(CP46,βοηθητικό!$J$2:$N$354,3,FALSE)="","",VLOOKUP(CP46,βοηθητικό!$J$2:$N$354,3,FALSE))</f>
        <v>_</v>
      </c>
      <c r="CR46" s="44"/>
      <c r="CS46" s="45" t="s">
        <v>16</v>
      </c>
      <c r="CT46" s="46" t="str">
        <f>IF(VLOOKUP(CS46,βοηθητικό!$J$2:$N$354,3,FALSE)="","",VLOOKUP(CS46,βοηθητικό!$J$2:$N$354,3,FALSE))</f>
        <v>_</v>
      </c>
      <c r="CU46" s="47"/>
    </row>
    <row r="47" spans="1:99" x14ac:dyDescent="0.25">
      <c r="A47" s="37">
        <f>--SUBTOTAL(3,$B$3:B46)</f>
        <v>44</v>
      </c>
      <c r="B47" s="2">
        <v>45089</v>
      </c>
      <c r="C47" s="3">
        <v>45095</v>
      </c>
      <c r="D47" s="55" t="s">
        <v>110</v>
      </c>
      <c r="E47" s="38" t="s">
        <v>16</v>
      </c>
      <c r="F47" s="38" t="s">
        <v>16</v>
      </c>
      <c r="G47" s="39" t="str">
        <f t="shared" si="2"/>
        <v>__</v>
      </c>
      <c r="H47" s="40" t="str">
        <f t="shared" si="3"/>
        <v>FALSE</v>
      </c>
      <c r="I47" s="41">
        <f t="shared" si="4"/>
        <v>5</v>
      </c>
      <c r="J47" s="4" t="s">
        <v>1224</v>
      </c>
      <c r="K47" s="43" t="str">
        <f>IF(VLOOKUP(J47,βοηθητικό!$J$2:$N$354,3,FALSE)="","",VLOOKUP(J47,βοηθητικό!$J$2:$N$354,3,FALSE))</f>
        <v>6982360550</v>
      </c>
      <c r="L47" s="44"/>
      <c r="M47" s="5" t="s">
        <v>1212</v>
      </c>
      <c r="N47" s="46" t="str">
        <f>IF(VLOOKUP(M47,βοηθητικό!$J$2:$N$354,3,FALSE)="","",VLOOKUP(M47,βοηθητικό!$J$2:$N$354,3,FALSE))</f>
        <v>6932703127</v>
      </c>
      <c r="O47" s="47"/>
      <c r="P47" s="4" t="s">
        <v>1189</v>
      </c>
      <c r="Q47" s="43" t="str">
        <f>IF(VLOOKUP(P47,βοηθητικό!$J$2:$N$354,3,FALSE)="","",VLOOKUP(P47,βοηθητικό!$J$2:$N$354,3,FALSE))</f>
        <v>6949333494</v>
      </c>
      <c r="R47" s="44"/>
      <c r="S47" s="5" t="s">
        <v>1218</v>
      </c>
      <c r="T47" s="46" t="str">
        <f>IF(VLOOKUP(S47,βοηθητικό!$J$2:$N$354,3,FALSE)="","",VLOOKUP(S47,βοηθητικό!$J$2:$N$354,3,FALSE))</f>
        <v>6976559998</v>
      </c>
      <c r="U47" s="47"/>
      <c r="V47" s="4" t="s">
        <v>1194</v>
      </c>
      <c r="W47" s="43">
        <f>IF(VLOOKUP(V47,βοηθητικό!$J$2:$N$354,3,FALSE)="","",VLOOKUP(V47,βοηθητικό!$J$2:$N$354,3,FALSE))</f>
        <v>6972440994</v>
      </c>
      <c r="X47" s="44"/>
      <c r="Y47" s="5" t="s">
        <v>16</v>
      </c>
      <c r="Z47" s="46" t="str">
        <f>IF(VLOOKUP(Y47,βοηθητικό!$J$2:$N$354,3,FALSE)="","",VLOOKUP(Y47,βοηθητικό!$J$2:$N$354,3,FALSE))</f>
        <v>_</v>
      </c>
      <c r="AA47" s="47"/>
      <c r="AB47" s="4" t="s">
        <v>16</v>
      </c>
      <c r="AC47" s="43" t="str">
        <f>IF(VLOOKUP(AB47,βοηθητικό!$J$2:$N$354,3,FALSE)="","",VLOOKUP(AB47,βοηθητικό!$J$2:$N$354,3,FALSE))</f>
        <v>_</v>
      </c>
      <c r="AD47" s="44"/>
      <c r="AE47" s="5" t="s">
        <v>16</v>
      </c>
      <c r="AF47" s="46" t="str">
        <f>IF(VLOOKUP(AE47,βοηθητικό!$J$2:$N$354,3,FALSE)="","",VLOOKUP(AE47,βοηθητικό!$J$2:$N$354,3,FALSE))</f>
        <v>_</v>
      </c>
      <c r="AG47" s="47"/>
      <c r="AH47" s="4" t="s">
        <v>16</v>
      </c>
      <c r="AI47" s="43" t="str">
        <f>IF(VLOOKUP(AH47,βοηθητικό!$J$2:$N$354,3,FALSE)="","",VLOOKUP(AH47,βοηθητικό!$J$2:$N$354,3,FALSE))</f>
        <v>_</v>
      </c>
      <c r="AJ47" s="44"/>
      <c r="AK47" s="5" t="s">
        <v>16</v>
      </c>
      <c r="AL47" s="46" t="str">
        <f>IF(VLOOKUP(AK47,βοηθητικό!$J$2:$N$354,3,FALSE)="","",VLOOKUP(AK47,βοηθητικό!$J$2:$N$354,3,FALSE))</f>
        <v>_</v>
      </c>
      <c r="AM47" s="47"/>
      <c r="AN47" s="4" t="s">
        <v>16</v>
      </c>
      <c r="AO47" s="43" t="str">
        <f>IF(VLOOKUP(AN47,βοηθητικό!$J$2:$N$354,3,FALSE)="","",VLOOKUP(AN47,βοηθητικό!$J$2:$N$354,3,FALSE))</f>
        <v>_</v>
      </c>
      <c r="AP47" s="44"/>
      <c r="AQ47" s="5" t="s">
        <v>16</v>
      </c>
      <c r="AR47" s="46" t="str">
        <f>IF(VLOOKUP(AQ47,βοηθητικό!$J$2:$N$354,3,FALSE)="","",VLOOKUP(AQ47,βοηθητικό!$J$2:$N$354,3,FALSE))</f>
        <v>_</v>
      </c>
      <c r="AS47" s="47"/>
      <c r="AT47" s="4" t="s">
        <v>16</v>
      </c>
      <c r="AU47" s="43" t="str">
        <f>IF(VLOOKUP(AT47,βοηθητικό!$J$2:$N$354,3,FALSE)="","",VLOOKUP(AT47,βοηθητικό!$J$2:$N$354,3,FALSE))</f>
        <v>_</v>
      </c>
      <c r="AV47" s="44"/>
      <c r="AW47" s="5" t="s">
        <v>16</v>
      </c>
      <c r="AX47" s="46" t="str">
        <f>IF(VLOOKUP(AW47,βοηθητικό!$J$2:$N$354,3,FALSE)="","",VLOOKUP(AW47,βοηθητικό!$J$2:$N$354,3,FALSE))</f>
        <v>_</v>
      </c>
      <c r="AY47" s="47"/>
      <c r="AZ47" s="4" t="s">
        <v>16</v>
      </c>
      <c r="BA47" s="43" t="str">
        <f>IF(VLOOKUP(AZ47,βοηθητικό!$J$2:$N$354,3,FALSE)="","",VLOOKUP(AZ47,βοηθητικό!$J$2:$N$354,3,FALSE))</f>
        <v>_</v>
      </c>
      <c r="BB47" s="44"/>
      <c r="BC47" s="45" t="s">
        <v>16</v>
      </c>
      <c r="BD47" s="46" t="str">
        <f>IF(VLOOKUP(BC47,βοηθητικό!$J$2:$N$354,3,FALSE)="","",VLOOKUP(BC47,βοηθητικό!$J$2:$N$354,3,FALSE))</f>
        <v>_</v>
      </c>
      <c r="BE47" s="47"/>
      <c r="BF47" s="42" t="s">
        <v>16</v>
      </c>
      <c r="BG47" s="43" t="str">
        <f>IF(VLOOKUP(BF47,βοηθητικό!$J$2:$N$354,3,FALSE)="","",VLOOKUP(BF47,βοηθητικό!$J$2:$N$354,3,FALSE))</f>
        <v>_</v>
      </c>
      <c r="BH47" s="44"/>
      <c r="BI47" s="45" t="s">
        <v>16</v>
      </c>
      <c r="BJ47" s="46" t="str">
        <f>IF(VLOOKUP(BI47,βοηθητικό!$J$2:$N$354,3,FALSE)="","",VLOOKUP(BI47,βοηθητικό!$J$2:$N$354,3,FALSE))</f>
        <v>_</v>
      </c>
      <c r="BK47" s="47"/>
      <c r="BL47" s="42" t="s">
        <v>16</v>
      </c>
      <c r="BM47" s="43" t="str">
        <f>IF(VLOOKUP(BL47,βοηθητικό!$J$2:$N$354,3,FALSE)="","",VLOOKUP(BL47,βοηθητικό!$J$2:$N$354,3,FALSE))</f>
        <v>_</v>
      </c>
      <c r="BN47" s="44"/>
      <c r="BO47" s="45" t="s">
        <v>16</v>
      </c>
      <c r="BP47" s="46" t="str">
        <f>IF(VLOOKUP(BO47,βοηθητικό!$J$2:$N$354,3,FALSE)="","",VLOOKUP(BO47,βοηθητικό!$J$2:$N$354,3,FALSE))</f>
        <v>_</v>
      </c>
      <c r="BQ47" s="47"/>
      <c r="BR47" s="42" t="s">
        <v>16</v>
      </c>
      <c r="BS47" s="43" t="str">
        <f>IF(VLOOKUP(BR47,βοηθητικό!$J$2:$N$354,3,FALSE)="","",VLOOKUP(BR47,βοηθητικό!$J$2:$N$354,3,FALSE))</f>
        <v>_</v>
      </c>
      <c r="BT47" s="44"/>
      <c r="BU47" s="45" t="s">
        <v>16</v>
      </c>
      <c r="BV47" s="46" t="str">
        <f>IF(VLOOKUP(BU47,βοηθητικό!$J$2:$N$354,3,FALSE)="","",VLOOKUP(BU47,βοηθητικό!$J$2:$N$354,3,FALSE))</f>
        <v>_</v>
      </c>
      <c r="BW47" s="47"/>
      <c r="BX47" s="42" t="s">
        <v>16</v>
      </c>
      <c r="BY47" s="43" t="str">
        <f>IF(VLOOKUP(BX47,βοηθητικό!$J$2:$N$354,3,FALSE)="","",VLOOKUP(BX47,βοηθητικό!$J$2:$N$354,3,FALSE))</f>
        <v>_</v>
      </c>
      <c r="BZ47" s="44"/>
      <c r="CA47" s="45" t="s">
        <v>16</v>
      </c>
      <c r="CB47" s="46" t="str">
        <f>IF(VLOOKUP(CA47,βοηθητικό!$J$2:$N$354,3,FALSE)="","",VLOOKUP(CA47,βοηθητικό!$J$2:$N$354,3,FALSE))</f>
        <v>_</v>
      </c>
      <c r="CC47" s="47"/>
      <c r="CD47" s="42" t="s">
        <v>16</v>
      </c>
      <c r="CE47" s="43" t="str">
        <f>IF(VLOOKUP(CD47,βοηθητικό!$J$2:$N$354,3,FALSE)="","",VLOOKUP(CD47,βοηθητικό!$J$2:$N$354,3,FALSE))</f>
        <v>_</v>
      </c>
      <c r="CF47" s="44"/>
      <c r="CG47" s="45" t="s">
        <v>16</v>
      </c>
      <c r="CH47" s="46" t="str">
        <f>IF(VLOOKUP(CG47,βοηθητικό!$J$2:$N$354,3,FALSE)="","",VLOOKUP(CG47,βοηθητικό!$J$2:$N$354,3,FALSE))</f>
        <v>_</v>
      </c>
      <c r="CI47" s="47"/>
      <c r="CJ47" s="42" t="s">
        <v>16</v>
      </c>
      <c r="CK47" s="43" t="str">
        <f>IF(VLOOKUP(CJ47,βοηθητικό!$J$2:$N$354,3,FALSE)="","",VLOOKUP(CJ47,βοηθητικό!$J$2:$N$354,3,FALSE))</f>
        <v>_</v>
      </c>
      <c r="CL47" s="44"/>
      <c r="CM47" s="45" t="s">
        <v>16</v>
      </c>
      <c r="CN47" s="46" t="str">
        <f>IF(VLOOKUP(CM47,βοηθητικό!$J$2:$N$354,3,FALSE)="","",VLOOKUP(CM47,βοηθητικό!$J$2:$N$354,3,FALSE))</f>
        <v>_</v>
      </c>
      <c r="CO47" s="47"/>
      <c r="CP47" s="42" t="s">
        <v>16</v>
      </c>
      <c r="CQ47" s="43" t="str">
        <f>IF(VLOOKUP(CP47,βοηθητικό!$J$2:$N$354,3,FALSE)="","",VLOOKUP(CP47,βοηθητικό!$J$2:$N$354,3,FALSE))</f>
        <v>_</v>
      </c>
      <c r="CR47" s="44"/>
      <c r="CS47" s="45" t="s">
        <v>16</v>
      </c>
      <c r="CT47" s="46" t="str">
        <f>IF(VLOOKUP(CS47,βοηθητικό!$J$2:$N$354,3,FALSE)="","",VLOOKUP(CS47,βοηθητικό!$J$2:$N$354,3,FALSE))</f>
        <v>_</v>
      </c>
      <c r="CU47" s="47"/>
    </row>
    <row r="48" spans="1:99" x14ac:dyDescent="0.25">
      <c r="A48" s="37">
        <f>--SUBTOTAL(3,$B$3:B47)</f>
        <v>45</v>
      </c>
      <c r="B48" s="2">
        <v>45096</v>
      </c>
      <c r="C48" s="3">
        <v>45102</v>
      </c>
      <c r="D48" s="55" t="s">
        <v>110</v>
      </c>
      <c r="E48" s="38" t="s">
        <v>16</v>
      </c>
      <c r="F48" s="38" t="s">
        <v>16</v>
      </c>
      <c r="G48" s="39" t="str">
        <f t="shared" si="2"/>
        <v>__</v>
      </c>
      <c r="H48" s="40" t="str">
        <f t="shared" si="3"/>
        <v>FALSE</v>
      </c>
      <c r="I48" s="41">
        <f t="shared" si="4"/>
        <v>5</v>
      </c>
      <c r="J48" s="4" t="s">
        <v>1236</v>
      </c>
      <c r="K48" s="43" t="str">
        <f>IF(VLOOKUP(J48,βοηθητικό!$J$2:$N$354,3,FALSE)="","",VLOOKUP(J48,βοηθητικό!$J$2:$N$354,3,FALSE))</f>
        <v>6945728316</v>
      </c>
      <c r="L48" s="44"/>
      <c r="M48" s="5" t="s">
        <v>1221</v>
      </c>
      <c r="N48" s="46" t="str">
        <f>IF(VLOOKUP(M48,βοηθητικό!$J$2:$N$354,3,FALSE)="","",VLOOKUP(M48,βοηθητικό!$J$2:$N$354,3,FALSE))</f>
        <v>6971641783</v>
      </c>
      <c r="O48" s="47"/>
      <c r="P48" s="4" t="s">
        <v>1244</v>
      </c>
      <c r="Q48" s="43" t="str">
        <f>IF(VLOOKUP(P48,βοηθητικό!$J$2:$N$354,3,FALSE)="","",VLOOKUP(P48,βοηθητικό!$J$2:$N$354,3,FALSE))</f>
        <v>6986975035</v>
      </c>
      <c r="R48" s="44"/>
      <c r="S48" s="5" t="s">
        <v>1240</v>
      </c>
      <c r="T48" s="46" t="str">
        <f>IF(VLOOKUP(S48,βοηθητικό!$J$2:$N$354,3,FALSE)="","",VLOOKUP(S48,βοηθητικό!$J$2:$N$354,3,FALSE))</f>
        <v>6973255809</v>
      </c>
      <c r="U48" s="47"/>
      <c r="V48" s="4" t="s">
        <v>1227</v>
      </c>
      <c r="W48" s="43" t="str">
        <f>IF(VLOOKUP(V48,βοηθητικό!$J$2:$N$354,3,FALSE)="","",VLOOKUP(V48,βοηθητικό!$J$2:$N$354,3,FALSE))</f>
        <v>6984493906</v>
      </c>
      <c r="X48" s="44"/>
      <c r="Y48" s="5" t="s">
        <v>16</v>
      </c>
      <c r="Z48" s="46" t="str">
        <f>IF(VLOOKUP(Y48,βοηθητικό!$J$2:$N$354,3,FALSE)="","",VLOOKUP(Y48,βοηθητικό!$J$2:$N$354,3,FALSE))</f>
        <v>_</v>
      </c>
      <c r="AA48" s="47"/>
      <c r="AB48" s="4" t="s">
        <v>16</v>
      </c>
      <c r="AC48" s="43" t="str">
        <f>IF(VLOOKUP(AB48,βοηθητικό!$J$2:$N$354,3,FALSE)="","",VLOOKUP(AB48,βοηθητικό!$J$2:$N$354,3,FALSE))</f>
        <v>_</v>
      </c>
      <c r="AD48" s="44"/>
      <c r="AE48" s="5" t="s">
        <v>16</v>
      </c>
      <c r="AF48" s="46" t="str">
        <f>IF(VLOOKUP(AE48,βοηθητικό!$J$2:$N$354,3,FALSE)="","",VLOOKUP(AE48,βοηθητικό!$J$2:$N$354,3,FALSE))</f>
        <v>_</v>
      </c>
      <c r="AG48" s="47"/>
      <c r="AH48" s="4" t="s">
        <v>16</v>
      </c>
      <c r="AI48" s="43" t="str">
        <f>IF(VLOOKUP(AH48,βοηθητικό!$J$2:$N$354,3,FALSE)="","",VLOOKUP(AH48,βοηθητικό!$J$2:$N$354,3,FALSE))</f>
        <v>_</v>
      </c>
      <c r="AJ48" s="44"/>
      <c r="AK48" s="5" t="s">
        <v>16</v>
      </c>
      <c r="AL48" s="46" t="str">
        <f>IF(VLOOKUP(AK48,βοηθητικό!$J$2:$N$354,3,FALSE)="","",VLOOKUP(AK48,βοηθητικό!$J$2:$N$354,3,FALSE))</f>
        <v>_</v>
      </c>
      <c r="AM48" s="47"/>
      <c r="AN48" s="4" t="s">
        <v>16</v>
      </c>
      <c r="AO48" s="43" t="str">
        <f>IF(VLOOKUP(AN48,βοηθητικό!$J$2:$N$354,3,FALSE)="","",VLOOKUP(AN48,βοηθητικό!$J$2:$N$354,3,FALSE))</f>
        <v>_</v>
      </c>
      <c r="AP48" s="44"/>
      <c r="AQ48" s="5" t="s">
        <v>16</v>
      </c>
      <c r="AR48" s="46" t="str">
        <f>IF(VLOOKUP(AQ48,βοηθητικό!$J$2:$N$354,3,FALSE)="","",VLOOKUP(AQ48,βοηθητικό!$J$2:$N$354,3,FALSE))</f>
        <v>_</v>
      </c>
      <c r="AS48" s="47"/>
      <c r="AT48" s="4" t="s">
        <v>16</v>
      </c>
      <c r="AU48" s="43" t="str">
        <f>IF(VLOOKUP(AT48,βοηθητικό!$J$2:$N$354,3,FALSE)="","",VLOOKUP(AT48,βοηθητικό!$J$2:$N$354,3,FALSE))</f>
        <v>_</v>
      </c>
      <c r="AV48" s="44"/>
      <c r="AW48" s="5" t="s">
        <v>16</v>
      </c>
      <c r="AX48" s="46" t="str">
        <f>IF(VLOOKUP(AW48,βοηθητικό!$J$2:$N$354,3,FALSE)="","",VLOOKUP(AW48,βοηθητικό!$J$2:$N$354,3,FALSE))</f>
        <v>_</v>
      </c>
      <c r="AY48" s="47"/>
      <c r="AZ48" s="4" t="s">
        <v>16</v>
      </c>
      <c r="BA48" s="43" t="str">
        <f>IF(VLOOKUP(AZ48,βοηθητικό!$J$2:$N$354,3,FALSE)="","",VLOOKUP(AZ48,βοηθητικό!$J$2:$N$354,3,FALSE))</f>
        <v>_</v>
      </c>
      <c r="BB48" s="44"/>
      <c r="BC48" s="45" t="s">
        <v>16</v>
      </c>
      <c r="BD48" s="46" t="str">
        <f>IF(VLOOKUP(BC48,βοηθητικό!$J$2:$N$354,3,FALSE)="","",VLOOKUP(BC48,βοηθητικό!$J$2:$N$354,3,FALSE))</f>
        <v>_</v>
      </c>
      <c r="BE48" s="47"/>
      <c r="BF48" s="42" t="s">
        <v>16</v>
      </c>
      <c r="BG48" s="43" t="str">
        <f>IF(VLOOKUP(BF48,βοηθητικό!$J$2:$N$354,3,FALSE)="","",VLOOKUP(BF48,βοηθητικό!$J$2:$N$354,3,FALSE))</f>
        <v>_</v>
      </c>
      <c r="BH48" s="44"/>
      <c r="BI48" s="45" t="s">
        <v>16</v>
      </c>
      <c r="BJ48" s="46" t="str">
        <f>IF(VLOOKUP(BI48,βοηθητικό!$J$2:$N$354,3,FALSE)="","",VLOOKUP(BI48,βοηθητικό!$J$2:$N$354,3,FALSE))</f>
        <v>_</v>
      </c>
      <c r="BK48" s="47"/>
      <c r="BL48" s="42" t="s">
        <v>16</v>
      </c>
      <c r="BM48" s="43" t="str">
        <f>IF(VLOOKUP(BL48,βοηθητικό!$J$2:$N$354,3,FALSE)="","",VLOOKUP(BL48,βοηθητικό!$J$2:$N$354,3,FALSE))</f>
        <v>_</v>
      </c>
      <c r="BN48" s="44"/>
      <c r="BO48" s="45" t="s">
        <v>16</v>
      </c>
      <c r="BP48" s="46" t="str">
        <f>IF(VLOOKUP(BO48,βοηθητικό!$J$2:$N$354,3,FALSE)="","",VLOOKUP(BO48,βοηθητικό!$J$2:$N$354,3,FALSE))</f>
        <v>_</v>
      </c>
      <c r="BQ48" s="47"/>
      <c r="BR48" s="42" t="s">
        <v>16</v>
      </c>
      <c r="BS48" s="43" t="str">
        <f>IF(VLOOKUP(BR48,βοηθητικό!$J$2:$N$354,3,FALSE)="","",VLOOKUP(BR48,βοηθητικό!$J$2:$N$354,3,FALSE))</f>
        <v>_</v>
      </c>
      <c r="BT48" s="44"/>
      <c r="BU48" s="45" t="s">
        <v>16</v>
      </c>
      <c r="BV48" s="46" t="str">
        <f>IF(VLOOKUP(BU48,βοηθητικό!$J$2:$N$354,3,FALSE)="","",VLOOKUP(BU48,βοηθητικό!$J$2:$N$354,3,FALSE))</f>
        <v>_</v>
      </c>
      <c r="BW48" s="47"/>
      <c r="BX48" s="42" t="s">
        <v>16</v>
      </c>
      <c r="BY48" s="43" t="str">
        <f>IF(VLOOKUP(BX48,βοηθητικό!$J$2:$N$354,3,FALSE)="","",VLOOKUP(BX48,βοηθητικό!$J$2:$N$354,3,FALSE))</f>
        <v>_</v>
      </c>
      <c r="BZ48" s="44"/>
      <c r="CA48" s="45" t="s">
        <v>16</v>
      </c>
      <c r="CB48" s="46" t="str">
        <f>IF(VLOOKUP(CA48,βοηθητικό!$J$2:$N$354,3,FALSE)="","",VLOOKUP(CA48,βοηθητικό!$J$2:$N$354,3,FALSE))</f>
        <v>_</v>
      </c>
      <c r="CC48" s="47"/>
      <c r="CD48" s="42" t="s">
        <v>16</v>
      </c>
      <c r="CE48" s="43" t="str">
        <f>IF(VLOOKUP(CD48,βοηθητικό!$J$2:$N$354,3,FALSE)="","",VLOOKUP(CD48,βοηθητικό!$J$2:$N$354,3,FALSE))</f>
        <v>_</v>
      </c>
      <c r="CF48" s="44"/>
      <c r="CG48" s="45" t="s">
        <v>16</v>
      </c>
      <c r="CH48" s="46" t="str">
        <f>IF(VLOOKUP(CG48,βοηθητικό!$J$2:$N$354,3,FALSE)="","",VLOOKUP(CG48,βοηθητικό!$J$2:$N$354,3,FALSE))</f>
        <v>_</v>
      </c>
      <c r="CI48" s="47"/>
      <c r="CJ48" s="42" t="s">
        <v>16</v>
      </c>
      <c r="CK48" s="43" t="str">
        <f>IF(VLOOKUP(CJ48,βοηθητικό!$J$2:$N$354,3,FALSE)="","",VLOOKUP(CJ48,βοηθητικό!$J$2:$N$354,3,FALSE))</f>
        <v>_</v>
      </c>
      <c r="CL48" s="44"/>
      <c r="CM48" s="45" t="s">
        <v>16</v>
      </c>
      <c r="CN48" s="46" t="str">
        <f>IF(VLOOKUP(CM48,βοηθητικό!$J$2:$N$354,3,FALSE)="","",VLOOKUP(CM48,βοηθητικό!$J$2:$N$354,3,FALSE))</f>
        <v>_</v>
      </c>
      <c r="CO48" s="47"/>
      <c r="CP48" s="42" t="s">
        <v>16</v>
      </c>
      <c r="CQ48" s="43" t="str">
        <f>IF(VLOOKUP(CP48,βοηθητικό!$J$2:$N$354,3,FALSE)="","",VLOOKUP(CP48,βοηθητικό!$J$2:$N$354,3,FALSE))</f>
        <v>_</v>
      </c>
      <c r="CR48" s="44"/>
      <c r="CS48" s="45" t="s">
        <v>16</v>
      </c>
      <c r="CT48" s="46" t="str">
        <f>IF(VLOOKUP(CS48,βοηθητικό!$J$2:$N$354,3,FALSE)="","",VLOOKUP(CS48,βοηθητικό!$J$2:$N$354,3,FALSE))</f>
        <v>_</v>
      </c>
      <c r="CU48" s="47"/>
    </row>
    <row r="49" spans="1:99" x14ac:dyDescent="0.25">
      <c r="A49" s="37">
        <f>--SUBTOTAL(3,$B$3:B48)</f>
        <v>46</v>
      </c>
      <c r="B49" s="2">
        <v>45103</v>
      </c>
      <c r="C49" s="3">
        <v>45109</v>
      </c>
      <c r="D49" s="55" t="s">
        <v>110</v>
      </c>
      <c r="E49" s="38" t="s">
        <v>16</v>
      </c>
      <c r="F49" s="38" t="s">
        <v>16</v>
      </c>
      <c r="G49" s="39" t="str">
        <f t="shared" si="2"/>
        <v>__</v>
      </c>
      <c r="H49" s="40" t="str">
        <f t="shared" si="3"/>
        <v>FALSE</v>
      </c>
      <c r="I49" s="41">
        <f t="shared" si="4"/>
        <v>4</v>
      </c>
      <c r="J49" s="4" t="s">
        <v>1209</v>
      </c>
      <c r="K49" s="43" t="str">
        <f>IF(VLOOKUP(J49,βοηθητικό!$J$2:$N$354,3,FALSE)="","",VLOOKUP(J49,βοηθητικό!$J$2:$N$354,3,FALSE))</f>
        <v>6984422749</v>
      </c>
      <c r="L49" s="44"/>
      <c r="M49" s="5" t="s">
        <v>1215</v>
      </c>
      <c r="N49" s="46" t="str">
        <f>IF(VLOOKUP(M49,βοηθητικό!$J$2:$N$354,3,FALSE)="","",VLOOKUP(M49,βοηθητικό!$J$2:$N$354,3,FALSE))</f>
        <v>6977401233</v>
      </c>
      <c r="O49" s="47"/>
      <c r="P49" s="4" t="s">
        <v>1205</v>
      </c>
      <c r="Q49" s="43" t="str">
        <f>IF(VLOOKUP(P49,βοηθητικό!$J$2:$N$354,3,FALSE)="","",VLOOKUP(P49,βοηθητικό!$J$2:$N$354,3,FALSE))</f>
        <v>6944344579</v>
      </c>
      <c r="R49" s="44"/>
      <c r="S49" s="5" t="s">
        <v>1250</v>
      </c>
      <c r="T49" s="46">
        <f>IF(VLOOKUP(S49,βοηθητικό!$J$2:$N$354,3,FALSE)="","",VLOOKUP(S49,βοηθητικό!$J$2:$N$354,3,FALSE))</f>
        <v>6983956556</v>
      </c>
      <c r="U49" s="47"/>
      <c r="V49" s="4" t="s">
        <v>16</v>
      </c>
      <c r="W49" s="43" t="str">
        <f>IF(VLOOKUP(V49,βοηθητικό!$J$2:$N$354,3,FALSE)="","",VLOOKUP(V49,βοηθητικό!$J$2:$N$354,3,FALSE))</f>
        <v>_</v>
      </c>
      <c r="X49" s="44"/>
      <c r="Y49" s="5" t="s">
        <v>16</v>
      </c>
      <c r="Z49" s="46" t="str">
        <f>IF(VLOOKUP(Y49,βοηθητικό!$J$2:$N$354,3,FALSE)="","",VLOOKUP(Y49,βοηθητικό!$J$2:$N$354,3,FALSE))</f>
        <v>_</v>
      </c>
      <c r="AA49" s="47"/>
      <c r="AB49" s="4" t="s">
        <v>16</v>
      </c>
      <c r="AC49" s="43" t="str">
        <f>IF(VLOOKUP(AB49,βοηθητικό!$J$2:$N$354,3,FALSE)="","",VLOOKUP(AB49,βοηθητικό!$J$2:$N$354,3,FALSE))</f>
        <v>_</v>
      </c>
      <c r="AD49" s="44"/>
      <c r="AE49" s="5" t="s">
        <v>16</v>
      </c>
      <c r="AF49" s="46" t="str">
        <f>IF(VLOOKUP(AE49,βοηθητικό!$J$2:$N$354,3,FALSE)="","",VLOOKUP(AE49,βοηθητικό!$J$2:$N$354,3,FALSE))</f>
        <v>_</v>
      </c>
      <c r="AG49" s="47"/>
      <c r="AH49" s="4" t="s">
        <v>16</v>
      </c>
      <c r="AI49" s="43" t="str">
        <f>IF(VLOOKUP(AH49,βοηθητικό!$J$2:$N$354,3,FALSE)="","",VLOOKUP(AH49,βοηθητικό!$J$2:$N$354,3,FALSE))</f>
        <v>_</v>
      </c>
      <c r="AJ49" s="44"/>
      <c r="AK49" s="5" t="s">
        <v>16</v>
      </c>
      <c r="AL49" s="46" t="str">
        <f>IF(VLOOKUP(AK49,βοηθητικό!$J$2:$N$354,3,FALSE)="","",VLOOKUP(AK49,βοηθητικό!$J$2:$N$354,3,FALSE))</f>
        <v>_</v>
      </c>
      <c r="AM49" s="47"/>
      <c r="AN49" s="4" t="s">
        <v>16</v>
      </c>
      <c r="AO49" s="43" t="str">
        <f>IF(VLOOKUP(AN49,βοηθητικό!$J$2:$N$354,3,FALSE)="","",VLOOKUP(AN49,βοηθητικό!$J$2:$N$354,3,FALSE))</f>
        <v>_</v>
      </c>
      <c r="AP49" s="44"/>
      <c r="AQ49" s="5" t="s">
        <v>16</v>
      </c>
      <c r="AR49" s="46" t="str">
        <f>IF(VLOOKUP(AQ49,βοηθητικό!$J$2:$N$354,3,FALSE)="","",VLOOKUP(AQ49,βοηθητικό!$J$2:$N$354,3,FALSE))</f>
        <v>_</v>
      </c>
      <c r="AS49" s="47"/>
      <c r="AT49" s="4" t="s">
        <v>16</v>
      </c>
      <c r="AU49" s="43" t="str">
        <f>IF(VLOOKUP(AT49,βοηθητικό!$J$2:$N$354,3,FALSE)="","",VLOOKUP(AT49,βοηθητικό!$J$2:$N$354,3,FALSE))</f>
        <v>_</v>
      </c>
      <c r="AV49" s="44"/>
      <c r="AW49" s="5" t="s">
        <v>16</v>
      </c>
      <c r="AX49" s="46" t="str">
        <f>IF(VLOOKUP(AW49,βοηθητικό!$J$2:$N$354,3,FALSE)="","",VLOOKUP(AW49,βοηθητικό!$J$2:$N$354,3,FALSE))</f>
        <v>_</v>
      </c>
      <c r="AY49" s="47"/>
      <c r="AZ49" s="4" t="s">
        <v>16</v>
      </c>
      <c r="BA49" s="43" t="str">
        <f>IF(VLOOKUP(AZ49,βοηθητικό!$J$2:$N$354,3,FALSE)="","",VLOOKUP(AZ49,βοηθητικό!$J$2:$N$354,3,FALSE))</f>
        <v>_</v>
      </c>
      <c r="BB49" s="44"/>
      <c r="BC49" s="45" t="s">
        <v>16</v>
      </c>
      <c r="BD49" s="46" t="str">
        <f>IF(VLOOKUP(BC49,βοηθητικό!$J$2:$N$354,3,FALSE)="","",VLOOKUP(BC49,βοηθητικό!$J$2:$N$354,3,FALSE))</f>
        <v>_</v>
      </c>
      <c r="BE49" s="47"/>
      <c r="BF49" s="42" t="s">
        <v>16</v>
      </c>
      <c r="BG49" s="43" t="str">
        <f>IF(VLOOKUP(BF49,βοηθητικό!$J$2:$N$354,3,FALSE)="","",VLOOKUP(BF49,βοηθητικό!$J$2:$N$354,3,FALSE))</f>
        <v>_</v>
      </c>
      <c r="BH49" s="44"/>
      <c r="BI49" s="45" t="s">
        <v>16</v>
      </c>
      <c r="BJ49" s="46" t="str">
        <f>IF(VLOOKUP(BI49,βοηθητικό!$J$2:$N$354,3,FALSE)="","",VLOOKUP(BI49,βοηθητικό!$J$2:$N$354,3,FALSE))</f>
        <v>_</v>
      </c>
      <c r="BK49" s="47"/>
      <c r="BL49" s="42" t="s">
        <v>16</v>
      </c>
      <c r="BM49" s="43" t="str">
        <f>IF(VLOOKUP(BL49,βοηθητικό!$J$2:$N$354,3,FALSE)="","",VLOOKUP(BL49,βοηθητικό!$J$2:$N$354,3,FALSE))</f>
        <v>_</v>
      </c>
      <c r="BN49" s="44"/>
      <c r="BO49" s="45" t="s">
        <v>16</v>
      </c>
      <c r="BP49" s="46" t="str">
        <f>IF(VLOOKUP(BO49,βοηθητικό!$J$2:$N$354,3,FALSE)="","",VLOOKUP(BO49,βοηθητικό!$J$2:$N$354,3,FALSE))</f>
        <v>_</v>
      </c>
      <c r="BQ49" s="47"/>
      <c r="BR49" s="42" t="s">
        <v>16</v>
      </c>
      <c r="BS49" s="43" t="str">
        <f>IF(VLOOKUP(BR49,βοηθητικό!$J$2:$N$354,3,FALSE)="","",VLOOKUP(BR49,βοηθητικό!$J$2:$N$354,3,FALSE))</f>
        <v>_</v>
      </c>
      <c r="BT49" s="44"/>
      <c r="BU49" s="45" t="s">
        <v>16</v>
      </c>
      <c r="BV49" s="46" t="str">
        <f>IF(VLOOKUP(BU49,βοηθητικό!$J$2:$N$354,3,FALSE)="","",VLOOKUP(BU49,βοηθητικό!$J$2:$N$354,3,FALSE))</f>
        <v>_</v>
      </c>
      <c r="BW49" s="47"/>
      <c r="BX49" s="42" t="s">
        <v>16</v>
      </c>
      <c r="BY49" s="43" t="str">
        <f>IF(VLOOKUP(BX49,βοηθητικό!$J$2:$N$354,3,FALSE)="","",VLOOKUP(BX49,βοηθητικό!$J$2:$N$354,3,FALSE))</f>
        <v>_</v>
      </c>
      <c r="BZ49" s="44"/>
      <c r="CA49" s="45" t="s">
        <v>16</v>
      </c>
      <c r="CB49" s="46" t="str">
        <f>IF(VLOOKUP(CA49,βοηθητικό!$J$2:$N$354,3,FALSE)="","",VLOOKUP(CA49,βοηθητικό!$J$2:$N$354,3,FALSE))</f>
        <v>_</v>
      </c>
      <c r="CC49" s="47"/>
      <c r="CD49" s="42" t="s">
        <v>16</v>
      </c>
      <c r="CE49" s="43" t="str">
        <f>IF(VLOOKUP(CD49,βοηθητικό!$J$2:$N$354,3,FALSE)="","",VLOOKUP(CD49,βοηθητικό!$J$2:$N$354,3,FALSE))</f>
        <v>_</v>
      </c>
      <c r="CF49" s="44"/>
      <c r="CG49" s="45" t="s">
        <v>16</v>
      </c>
      <c r="CH49" s="46" t="str">
        <f>IF(VLOOKUP(CG49,βοηθητικό!$J$2:$N$354,3,FALSE)="","",VLOOKUP(CG49,βοηθητικό!$J$2:$N$354,3,FALSE))</f>
        <v>_</v>
      </c>
      <c r="CI49" s="47"/>
      <c r="CJ49" s="42" t="s">
        <v>16</v>
      </c>
      <c r="CK49" s="43" t="str">
        <f>IF(VLOOKUP(CJ49,βοηθητικό!$J$2:$N$354,3,FALSE)="","",VLOOKUP(CJ49,βοηθητικό!$J$2:$N$354,3,FALSE))</f>
        <v>_</v>
      </c>
      <c r="CL49" s="44"/>
      <c r="CM49" s="45" t="s">
        <v>16</v>
      </c>
      <c r="CN49" s="46" t="str">
        <f>IF(VLOOKUP(CM49,βοηθητικό!$J$2:$N$354,3,FALSE)="","",VLOOKUP(CM49,βοηθητικό!$J$2:$N$354,3,FALSE))</f>
        <v>_</v>
      </c>
      <c r="CO49" s="47"/>
      <c r="CP49" s="42" t="s">
        <v>16</v>
      </c>
      <c r="CQ49" s="43" t="str">
        <f>IF(VLOOKUP(CP49,βοηθητικό!$J$2:$N$354,3,FALSE)="","",VLOOKUP(CP49,βοηθητικό!$J$2:$N$354,3,FALSE))</f>
        <v>_</v>
      </c>
      <c r="CR49" s="44"/>
      <c r="CS49" s="45" t="s">
        <v>16</v>
      </c>
      <c r="CT49" s="46" t="str">
        <f>IF(VLOOKUP(CS49,βοηθητικό!$J$2:$N$354,3,FALSE)="","",VLOOKUP(CS49,βοηθητικό!$J$2:$N$354,3,FALSE))</f>
        <v>_</v>
      </c>
      <c r="CU49" s="47"/>
    </row>
    <row r="50" spans="1:99" x14ac:dyDescent="0.25">
      <c r="A50" s="37">
        <f>--SUBTOTAL(3,$B$3:B49)</f>
        <v>47</v>
      </c>
      <c r="B50" s="2">
        <v>45078</v>
      </c>
      <c r="C50" s="3">
        <v>45085</v>
      </c>
      <c r="D50" s="55" t="s">
        <v>115</v>
      </c>
      <c r="E50" s="38" t="s">
        <v>16</v>
      </c>
      <c r="F50" s="38" t="s">
        <v>16</v>
      </c>
      <c r="G50" s="39" t="str">
        <f t="shared" si="2"/>
        <v>__</v>
      </c>
      <c r="H50" s="40" t="str">
        <f t="shared" si="3"/>
        <v>FALSE</v>
      </c>
      <c r="I50" s="41">
        <f t="shared" si="4"/>
        <v>8</v>
      </c>
      <c r="J50" s="4" t="s">
        <v>1253</v>
      </c>
      <c r="K50" s="43" t="str">
        <f>IF(VLOOKUP(J50,βοηθητικό!$J$2:$N$354,3,FALSE)="","",VLOOKUP(J50,βοηθητικό!$J$2:$N$354,3,FALSE))</f>
        <v>6932285994</v>
      </c>
      <c r="L50" s="44"/>
      <c r="M50" s="5" t="s">
        <v>1367</v>
      </c>
      <c r="N50" s="46" t="str">
        <f>IF(VLOOKUP(M50,βοηθητικό!$J$2:$N$354,3,FALSE)="","",VLOOKUP(M50,βοηθητικό!$J$2:$N$354,3,FALSE))</f>
        <v>6936968187</v>
      </c>
      <c r="O50" s="47"/>
      <c r="P50" s="4" t="s">
        <v>1287</v>
      </c>
      <c r="Q50" s="43" t="str">
        <f>IF(VLOOKUP(P50,βοηθητικό!$J$2:$N$354,3,FALSE)="","",VLOOKUP(P50,βοηθητικό!$J$2:$N$354,3,FALSE))</f>
        <v>6939405094</v>
      </c>
      <c r="R50" s="44"/>
      <c r="S50" s="5" t="s">
        <v>1371</v>
      </c>
      <c r="T50" s="46" t="str">
        <f>IF(VLOOKUP(S50,βοηθητικό!$J$2:$N$354,3,FALSE)="","",VLOOKUP(S50,βοηθητικό!$J$2:$N$354,3,FALSE))</f>
        <v>6977413847</v>
      </c>
      <c r="U50" s="47"/>
      <c r="V50" s="4" t="s">
        <v>1355</v>
      </c>
      <c r="W50" s="43" t="str">
        <f>IF(VLOOKUP(V50,βοηθητικό!$J$2:$N$354,3,FALSE)="","",VLOOKUP(V50,βοηθητικό!$J$2:$N$354,3,FALSE))</f>
        <v>6985127305</v>
      </c>
      <c r="X50" s="44"/>
      <c r="Y50" s="5" t="s">
        <v>1326</v>
      </c>
      <c r="Z50" s="46" t="str">
        <f>IF(VLOOKUP(Y50,βοηθητικό!$J$2:$N$354,3,FALSE)="","",VLOOKUP(Y50,βοηθητικό!$J$2:$N$354,3,FALSE))</f>
        <v>6944050931</v>
      </c>
      <c r="AA50" s="47"/>
      <c r="AB50" s="4" t="s">
        <v>1295</v>
      </c>
      <c r="AC50" s="43" t="str">
        <f>IF(VLOOKUP(AB50,βοηθητικό!$J$2:$N$354,3,FALSE)="","",VLOOKUP(AB50,βοηθητικό!$J$2:$N$354,3,FALSE))</f>
        <v>6973559599</v>
      </c>
      <c r="AD50" s="44"/>
      <c r="AE50" s="5" t="s">
        <v>1391</v>
      </c>
      <c r="AF50" s="46" t="str">
        <f>IF(VLOOKUP(AE50,βοηθητικό!$J$2:$N$354,3,FALSE)="","",VLOOKUP(AE50,βοηθητικό!$J$2:$N$354,3,FALSE))</f>
        <v>6977638141</v>
      </c>
      <c r="AG50" s="47"/>
      <c r="AH50" s="4" t="s">
        <v>16</v>
      </c>
      <c r="AI50" s="43" t="str">
        <f>IF(VLOOKUP(AH50,βοηθητικό!$J$2:$N$354,3,FALSE)="","",VLOOKUP(AH50,βοηθητικό!$J$2:$N$354,3,FALSE))</f>
        <v>_</v>
      </c>
      <c r="AJ50" s="44"/>
      <c r="AK50" s="5" t="s">
        <v>16</v>
      </c>
      <c r="AL50" s="46" t="str">
        <f>IF(VLOOKUP(AK50,βοηθητικό!$J$2:$N$354,3,FALSE)="","",VLOOKUP(AK50,βοηθητικό!$J$2:$N$354,3,FALSE))</f>
        <v>_</v>
      </c>
      <c r="AM50" s="47"/>
      <c r="AN50" s="4" t="s">
        <v>16</v>
      </c>
      <c r="AO50" s="43" t="str">
        <f>IF(VLOOKUP(AN50,βοηθητικό!$J$2:$N$354,3,FALSE)="","",VLOOKUP(AN50,βοηθητικό!$J$2:$N$354,3,FALSE))</f>
        <v>_</v>
      </c>
      <c r="AP50" s="44"/>
      <c r="AQ50" s="5" t="s">
        <v>16</v>
      </c>
      <c r="AR50" s="46" t="str">
        <f>IF(VLOOKUP(AQ50,βοηθητικό!$J$2:$N$354,3,FALSE)="","",VLOOKUP(AQ50,βοηθητικό!$J$2:$N$354,3,FALSE))</f>
        <v>_</v>
      </c>
      <c r="AS50" s="47"/>
      <c r="AT50" s="4" t="s">
        <v>16</v>
      </c>
      <c r="AU50" s="43" t="str">
        <f>IF(VLOOKUP(AT50,βοηθητικό!$J$2:$N$354,3,FALSE)="","",VLOOKUP(AT50,βοηθητικό!$J$2:$N$354,3,FALSE))</f>
        <v>_</v>
      </c>
      <c r="AV50" s="44"/>
      <c r="AW50" s="5" t="s">
        <v>16</v>
      </c>
      <c r="AX50" s="46" t="str">
        <f>IF(VLOOKUP(AW50,βοηθητικό!$J$2:$N$354,3,FALSE)="","",VLOOKUP(AW50,βοηθητικό!$J$2:$N$354,3,FALSE))</f>
        <v>_</v>
      </c>
      <c r="AY50" s="47"/>
      <c r="AZ50" s="4" t="s">
        <v>16</v>
      </c>
      <c r="BA50" s="43" t="str">
        <f>IF(VLOOKUP(AZ50,βοηθητικό!$J$2:$N$354,3,FALSE)="","",VLOOKUP(AZ50,βοηθητικό!$J$2:$N$354,3,FALSE))</f>
        <v>_</v>
      </c>
      <c r="BB50" s="44"/>
      <c r="BC50" s="45" t="s">
        <v>16</v>
      </c>
      <c r="BD50" s="46" t="str">
        <f>IF(VLOOKUP(BC50,βοηθητικό!$J$2:$N$354,3,FALSE)="","",VLOOKUP(BC50,βοηθητικό!$J$2:$N$354,3,FALSE))</f>
        <v>_</v>
      </c>
      <c r="BE50" s="47"/>
      <c r="BF50" s="42" t="s">
        <v>16</v>
      </c>
      <c r="BG50" s="43" t="str">
        <f>IF(VLOOKUP(BF50,βοηθητικό!$J$2:$N$354,3,FALSE)="","",VLOOKUP(BF50,βοηθητικό!$J$2:$N$354,3,FALSE))</f>
        <v>_</v>
      </c>
      <c r="BH50" s="44"/>
      <c r="BI50" s="45" t="s">
        <v>16</v>
      </c>
      <c r="BJ50" s="46" t="str">
        <f>IF(VLOOKUP(BI50,βοηθητικό!$J$2:$N$354,3,FALSE)="","",VLOOKUP(BI50,βοηθητικό!$J$2:$N$354,3,FALSE))</f>
        <v>_</v>
      </c>
      <c r="BK50" s="47"/>
      <c r="BL50" s="42" t="s">
        <v>16</v>
      </c>
      <c r="BM50" s="43" t="str">
        <f>IF(VLOOKUP(BL50,βοηθητικό!$J$2:$N$354,3,FALSE)="","",VLOOKUP(BL50,βοηθητικό!$J$2:$N$354,3,FALSE))</f>
        <v>_</v>
      </c>
      <c r="BN50" s="44"/>
      <c r="BO50" s="45" t="s">
        <v>16</v>
      </c>
      <c r="BP50" s="46" t="str">
        <f>IF(VLOOKUP(BO50,βοηθητικό!$J$2:$N$354,3,FALSE)="","",VLOOKUP(BO50,βοηθητικό!$J$2:$N$354,3,FALSE))</f>
        <v>_</v>
      </c>
      <c r="BQ50" s="47"/>
      <c r="BR50" s="42" t="s">
        <v>16</v>
      </c>
      <c r="BS50" s="43" t="str">
        <f>IF(VLOOKUP(BR50,βοηθητικό!$J$2:$N$354,3,FALSE)="","",VLOOKUP(BR50,βοηθητικό!$J$2:$N$354,3,FALSE))</f>
        <v>_</v>
      </c>
      <c r="BT50" s="44"/>
      <c r="BU50" s="45" t="s">
        <v>16</v>
      </c>
      <c r="BV50" s="46" t="str">
        <f>IF(VLOOKUP(BU50,βοηθητικό!$J$2:$N$354,3,FALSE)="","",VLOOKUP(BU50,βοηθητικό!$J$2:$N$354,3,FALSE))</f>
        <v>_</v>
      </c>
      <c r="BW50" s="47"/>
      <c r="BX50" s="42" t="s">
        <v>16</v>
      </c>
      <c r="BY50" s="43" t="str">
        <f>IF(VLOOKUP(BX50,βοηθητικό!$J$2:$N$354,3,FALSE)="","",VLOOKUP(BX50,βοηθητικό!$J$2:$N$354,3,FALSE))</f>
        <v>_</v>
      </c>
      <c r="BZ50" s="44"/>
      <c r="CA50" s="45" t="s">
        <v>16</v>
      </c>
      <c r="CB50" s="46" t="str">
        <f>IF(VLOOKUP(CA50,βοηθητικό!$J$2:$N$354,3,FALSE)="","",VLOOKUP(CA50,βοηθητικό!$J$2:$N$354,3,FALSE))</f>
        <v>_</v>
      </c>
      <c r="CC50" s="47"/>
      <c r="CD50" s="42" t="s">
        <v>16</v>
      </c>
      <c r="CE50" s="43" t="str">
        <f>IF(VLOOKUP(CD50,βοηθητικό!$J$2:$N$354,3,FALSE)="","",VLOOKUP(CD50,βοηθητικό!$J$2:$N$354,3,FALSE))</f>
        <v>_</v>
      </c>
      <c r="CF50" s="44"/>
      <c r="CG50" s="45" t="s">
        <v>16</v>
      </c>
      <c r="CH50" s="46" t="str">
        <f>IF(VLOOKUP(CG50,βοηθητικό!$J$2:$N$354,3,FALSE)="","",VLOOKUP(CG50,βοηθητικό!$J$2:$N$354,3,FALSE))</f>
        <v>_</v>
      </c>
      <c r="CI50" s="47"/>
      <c r="CJ50" s="42" t="s">
        <v>16</v>
      </c>
      <c r="CK50" s="43" t="str">
        <f>IF(VLOOKUP(CJ50,βοηθητικό!$J$2:$N$354,3,FALSE)="","",VLOOKUP(CJ50,βοηθητικό!$J$2:$N$354,3,FALSE))</f>
        <v>_</v>
      </c>
      <c r="CL50" s="44"/>
      <c r="CM50" s="45" t="s">
        <v>16</v>
      </c>
      <c r="CN50" s="46" t="str">
        <f>IF(VLOOKUP(CM50,βοηθητικό!$J$2:$N$354,3,FALSE)="","",VLOOKUP(CM50,βοηθητικό!$J$2:$N$354,3,FALSE))</f>
        <v>_</v>
      </c>
      <c r="CO50" s="47"/>
      <c r="CP50" s="42" t="s">
        <v>16</v>
      </c>
      <c r="CQ50" s="43" t="str">
        <f>IF(VLOOKUP(CP50,βοηθητικό!$J$2:$N$354,3,FALSE)="","",VLOOKUP(CP50,βοηθητικό!$J$2:$N$354,3,FALSE))</f>
        <v>_</v>
      </c>
      <c r="CR50" s="44"/>
      <c r="CS50" s="45" t="s">
        <v>16</v>
      </c>
      <c r="CT50" s="46" t="str">
        <f>IF(VLOOKUP(CS50,βοηθητικό!$J$2:$N$354,3,FALSE)="","",VLOOKUP(CS50,βοηθητικό!$J$2:$N$354,3,FALSE))</f>
        <v>_</v>
      </c>
      <c r="CU50" s="47"/>
    </row>
    <row r="51" spans="1:99" x14ac:dyDescent="0.25">
      <c r="A51" s="37">
        <f>--SUBTOTAL(3,$B$3:B50)</f>
        <v>48</v>
      </c>
      <c r="B51" s="2">
        <v>45086</v>
      </c>
      <c r="C51" s="3">
        <v>45092</v>
      </c>
      <c r="D51" s="55" t="s">
        <v>115</v>
      </c>
      <c r="E51" s="38" t="s">
        <v>16</v>
      </c>
      <c r="F51" s="38" t="s">
        <v>16</v>
      </c>
      <c r="G51" s="39" t="str">
        <f t="shared" si="2"/>
        <v>__</v>
      </c>
      <c r="H51" s="40" t="str">
        <f t="shared" si="3"/>
        <v>FALSE</v>
      </c>
      <c r="I51" s="41">
        <f t="shared" si="4"/>
        <v>9</v>
      </c>
      <c r="J51" s="4" t="s">
        <v>1270</v>
      </c>
      <c r="K51" s="43" t="str">
        <f>IF(VLOOKUP(J51,βοηθητικό!$J$2:$N$354,3,FALSE)="","",VLOOKUP(J51,βοηθητικό!$J$2:$N$354,3,FALSE))</f>
        <v>6970320059</v>
      </c>
      <c r="L51" s="44"/>
      <c r="M51" s="5" t="s">
        <v>1322</v>
      </c>
      <c r="N51" s="46" t="str">
        <f>IF(VLOOKUP(M51,βοηθητικό!$J$2:$N$354,3,FALSE)="","",VLOOKUP(M51,βοηθητικό!$J$2:$N$354,3,FALSE))</f>
        <v>6977303667</v>
      </c>
      <c r="O51" s="47"/>
      <c r="P51" s="4" t="s">
        <v>1351</v>
      </c>
      <c r="Q51" s="43" t="str">
        <f>IF(VLOOKUP(P51,βοηθητικό!$J$2:$N$354,3,FALSE)="","",VLOOKUP(P51,βοηθητικό!$J$2:$N$354,3,FALSE))</f>
        <v>6974072869</v>
      </c>
      <c r="R51" s="44"/>
      <c r="S51" s="5" t="s">
        <v>1274</v>
      </c>
      <c r="T51" s="46">
        <f>IF(VLOOKUP(S51,βοηθητικό!$J$2:$N$354,3,FALSE)="","",VLOOKUP(S51,βοηθητικό!$J$2:$N$354,3,FALSE))</f>
        <v>6947007553</v>
      </c>
      <c r="U51" s="47"/>
      <c r="V51" s="4" t="s">
        <v>1383</v>
      </c>
      <c r="W51" s="43" t="str">
        <f>IF(VLOOKUP(V51,βοηθητικό!$J$2:$N$354,3,FALSE)="","",VLOOKUP(V51,βοηθητικό!$J$2:$N$354,3,FALSE))</f>
        <v>6944771437</v>
      </c>
      <c r="X51" s="44"/>
      <c r="Y51" s="5" t="s">
        <v>1379</v>
      </c>
      <c r="Z51" s="46" t="str">
        <f>IF(VLOOKUP(Y51,βοηθητικό!$J$2:$N$354,3,FALSE)="","",VLOOKUP(Y51,βοηθητικό!$J$2:$N$354,3,FALSE))</f>
        <v>6942448798</v>
      </c>
      <c r="AA51" s="47"/>
      <c r="AB51" s="4" t="s">
        <v>1258</v>
      </c>
      <c r="AC51" s="43" t="str">
        <f>IF(VLOOKUP(AB51,βοηθητικό!$J$2:$N$354,3,FALSE)="","",VLOOKUP(AB51,βοηθητικό!$J$2:$N$354,3,FALSE))</f>
        <v>6972087747</v>
      </c>
      <c r="AD51" s="44"/>
      <c r="AE51" s="5" t="s">
        <v>1291</v>
      </c>
      <c r="AF51" s="46" t="str">
        <f>IF(VLOOKUP(AE51,βοηθητικό!$J$2:$N$354,3,FALSE)="","",VLOOKUP(AE51,βοηθητικό!$J$2:$N$354,3,FALSE))</f>
        <v>6985677805</v>
      </c>
      <c r="AG51" s="47"/>
      <c r="AH51" s="4" t="s">
        <v>1363</v>
      </c>
      <c r="AI51" s="43" t="str">
        <f>IF(VLOOKUP(AH51,βοηθητικό!$J$2:$N$354,3,FALSE)="","",VLOOKUP(AH51,βοηθητικό!$J$2:$N$354,3,FALSE))</f>
        <v>6949144335 6932257519</v>
      </c>
      <c r="AJ51" s="44"/>
      <c r="AK51" s="5" t="s">
        <v>16</v>
      </c>
      <c r="AL51" s="46" t="str">
        <f>IF(VLOOKUP(AK51,βοηθητικό!$J$2:$N$354,3,FALSE)="","",VLOOKUP(AK51,βοηθητικό!$J$2:$N$354,3,FALSE))</f>
        <v>_</v>
      </c>
      <c r="AM51" s="47"/>
      <c r="AN51" s="4" t="s">
        <v>16</v>
      </c>
      <c r="AO51" s="43" t="str">
        <f>IF(VLOOKUP(AN51,βοηθητικό!$J$2:$N$354,3,FALSE)="","",VLOOKUP(AN51,βοηθητικό!$J$2:$N$354,3,FALSE))</f>
        <v>_</v>
      </c>
      <c r="AP51" s="44"/>
      <c r="AQ51" s="5" t="s">
        <v>16</v>
      </c>
      <c r="AR51" s="46" t="str">
        <f>IF(VLOOKUP(AQ51,βοηθητικό!$J$2:$N$354,3,FALSE)="","",VLOOKUP(AQ51,βοηθητικό!$J$2:$N$354,3,FALSE))</f>
        <v>_</v>
      </c>
      <c r="AS51" s="47"/>
      <c r="AT51" s="4" t="s">
        <v>16</v>
      </c>
      <c r="AU51" s="43" t="str">
        <f>IF(VLOOKUP(AT51,βοηθητικό!$J$2:$N$354,3,FALSE)="","",VLOOKUP(AT51,βοηθητικό!$J$2:$N$354,3,FALSE))</f>
        <v>_</v>
      </c>
      <c r="AV51" s="44"/>
      <c r="AW51" s="5" t="s">
        <v>16</v>
      </c>
      <c r="AX51" s="46" t="str">
        <f>IF(VLOOKUP(AW51,βοηθητικό!$J$2:$N$354,3,FALSE)="","",VLOOKUP(AW51,βοηθητικό!$J$2:$N$354,3,FALSE))</f>
        <v>_</v>
      </c>
      <c r="AY51" s="47"/>
      <c r="AZ51" s="4" t="s">
        <v>16</v>
      </c>
      <c r="BA51" s="43" t="str">
        <f>IF(VLOOKUP(AZ51,βοηθητικό!$J$2:$N$354,3,FALSE)="","",VLOOKUP(AZ51,βοηθητικό!$J$2:$N$354,3,FALSE))</f>
        <v>_</v>
      </c>
      <c r="BB51" s="44"/>
      <c r="BC51" s="45" t="s">
        <v>16</v>
      </c>
      <c r="BD51" s="46" t="str">
        <f>IF(VLOOKUP(BC51,βοηθητικό!$J$2:$N$354,3,FALSE)="","",VLOOKUP(BC51,βοηθητικό!$J$2:$N$354,3,FALSE))</f>
        <v>_</v>
      </c>
      <c r="BE51" s="47"/>
      <c r="BF51" s="42" t="s">
        <v>16</v>
      </c>
      <c r="BG51" s="43" t="str">
        <f>IF(VLOOKUP(BF51,βοηθητικό!$J$2:$N$354,3,FALSE)="","",VLOOKUP(BF51,βοηθητικό!$J$2:$N$354,3,FALSE))</f>
        <v>_</v>
      </c>
      <c r="BH51" s="44"/>
      <c r="BI51" s="45" t="s">
        <v>16</v>
      </c>
      <c r="BJ51" s="46" t="str">
        <f>IF(VLOOKUP(BI51,βοηθητικό!$J$2:$N$354,3,FALSE)="","",VLOOKUP(BI51,βοηθητικό!$J$2:$N$354,3,FALSE))</f>
        <v>_</v>
      </c>
      <c r="BK51" s="47"/>
      <c r="BL51" s="42" t="s">
        <v>16</v>
      </c>
      <c r="BM51" s="43" t="str">
        <f>IF(VLOOKUP(BL51,βοηθητικό!$J$2:$N$354,3,FALSE)="","",VLOOKUP(BL51,βοηθητικό!$J$2:$N$354,3,FALSE))</f>
        <v>_</v>
      </c>
      <c r="BN51" s="44"/>
      <c r="BO51" s="45" t="s">
        <v>16</v>
      </c>
      <c r="BP51" s="46" t="str">
        <f>IF(VLOOKUP(BO51,βοηθητικό!$J$2:$N$354,3,FALSE)="","",VLOOKUP(BO51,βοηθητικό!$J$2:$N$354,3,FALSE))</f>
        <v>_</v>
      </c>
      <c r="BQ51" s="47"/>
      <c r="BR51" s="42" t="s">
        <v>16</v>
      </c>
      <c r="BS51" s="43" t="str">
        <f>IF(VLOOKUP(BR51,βοηθητικό!$J$2:$N$354,3,FALSE)="","",VLOOKUP(BR51,βοηθητικό!$J$2:$N$354,3,FALSE))</f>
        <v>_</v>
      </c>
      <c r="BT51" s="44"/>
      <c r="BU51" s="45" t="s">
        <v>16</v>
      </c>
      <c r="BV51" s="46" t="str">
        <f>IF(VLOOKUP(BU51,βοηθητικό!$J$2:$N$354,3,FALSE)="","",VLOOKUP(BU51,βοηθητικό!$J$2:$N$354,3,FALSE))</f>
        <v>_</v>
      </c>
      <c r="BW51" s="47"/>
      <c r="BX51" s="42" t="s">
        <v>16</v>
      </c>
      <c r="BY51" s="43" t="str">
        <f>IF(VLOOKUP(BX51,βοηθητικό!$J$2:$N$354,3,FALSE)="","",VLOOKUP(BX51,βοηθητικό!$J$2:$N$354,3,FALSE))</f>
        <v>_</v>
      </c>
      <c r="BZ51" s="44"/>
      <c r="CA51" s="45" t="s">
        <v>16</v>
      </c>
      <c r="CB51" s="46" t="str">
        <f>IF(VLOOKUP(CA51,βοηθητικό!$J$2:$N$354,3,FALSE)="","",VLOOKUP(CA51,βοηθητικό!$J$2:$N$354,3,FALSE))</f>
        <v>_</v>
      </c>
      <c r="CC51" s="47"/>
      <c r="CD51" s="42" t="s">
        <v>16</v>
      </c>
      <c r="CE51" s="43" t="str">
        <f>IF(VLOOKUP(CD51,βοηθητικό!$J$2:$N$354,3,FALSE)="","",VLOOKUP(CD51,βοηθητικό!$J$2:$N$354,3,FALSE))</f>
        <v>_</v>
      </c>
      <c r="CF51" s="44"/>
      <c r="CG51" s="45" t="s">
        <v>16</v>
      </c>
      <c r="CH51" s="46" t="str">
        <f>IF(VLOOKUP(CG51,βοηθητικό!$J$2:$N$354,3,FALSE)="","",VLOOKUP(CG51,βοηθητικό!$J$2:$N$354,3,FALSE))</f>
        <v>_</v>
      </c>
      <c r="CI51" s="47"/>
      <c r="CJ51" s="42" t="s">
        <v>16</v>
      </c>
      <c r="CK51" s="43" t="str">
        <f>IF(VLOOKUP(CJ51,βοηθητικό!$J$2:$N$354,3,FALSE)="","",VLOOKUP(CJ51,βοηθητικό!$J$2:$N$354,3,FALSE))</f>
        <v>_</v>
      </c>
      <c r="CL51" s="44"/>
      <c r="CM51" s="45" t="s">
        <v>16</v>
      </c>
      <c r="CN51" s="46" t="str">
        <f>IF(VLOOKUP(CM51,βοηθητικό!$J$2:$N$354,3,FALSE)="","",VLOOKUP(CM51,βοηθητικό!$J$2:$N$354,3,FALSE))</f>
        <v>_</v>
      </c>
      <c r="CO51" s="47"/>
      <c r="CP51" s="42" t="s">
        <v>16</v>
      </c>
      <c r="CQ51" s="43" t="str">
        <f>IF(VLOOKUP(CP51,βοηθητικό!$J$2:$N$354,3,FALSE)="","",VLOOKUP(CP51,βοηθητικό!$J$2:$N$354,3,FALSE))</f>
        <v>_</v>
      </c>
      <c r="CR51" s="44"/>
      <c r="CS51" s="45" t="s">
        <v>16</v>
      </c>
      <c r="CT51" s="46" t="str">
        <f>IF(VLOOKUP(CS51,βοηθητικό!$J$2:$N$354,3,FALSE)="","",VLOOKUP(CS51,βοηθητικό!$J$2:$N$354,3,FALSE))</f>
        <v>_</v>
      </c>
      <c r="CU51" s="47"/>
    </row>
    <row r="52" spans="1:99" x14ac:dyDescent="0.25">
      <c r="A52" s="37">
        <f>--SUBTOTAL(3,$B$3:B51)</f>
        <v>49</v>
      </c>
      <c r="B52" s="2">
        <v>45093</v>
      </c>
      <c r="C52" s="3">
        <v>45100</v>
      </c>
      <c r="D52" s="55" t="s">
        <v>115</v>
      </c>
      <c r="E52" s="38" t="s">
        <v>16</v>
      </c>
      <c r="F52" s="38" t="s">
        <v>16</v>
      </c>
      <c r="G52" s="39" t="str">
        <f t="shared" si="2"/>
        <v>__</v>
      </c>
      <c r="H52" s="40" t="str">
        <f t="shared" si="3"/>
        <v>FALSE</v>
      </c>
      <c r="I52" s="41">
        <f t="shared" si="4"/>
        <v>8</v>
      </c>
      <c r="J52" s="4" t="s">
        <v>1279</v>
      </c>
      <c r="K52" s="43" t="str">
        <f>IF(VLOOKUP(J52,βοηθητικό!$J$2:$N$354,3,FALSE)="","",VLOOKUP(J52,βοηθητικό!$J$2:$N$354,3,FALSE))</f>
        <v>6972820547</v>
      </c>
      <c r="L52" s="44"/>
      <c r="M52" s="5" t="s">
        <v>1318</v>
      </c>
      <c r="N52" s="46" t="str">
        <f>IF(VLOOKUP(M52,βοηθητικό!$J$2:$N$354,3,FALSE)="","",VLOOKUP(M52,βοηθητικό!$J$2:$N$354,3,FALSE))</f>
        <v>6977421366</v>
      </c>
      <c r="O52" s="47"/>
      <c r="P52" s="4" t="s">
        <v>1306</v>
      </c>
      <c r="Q52" s="43" t="str">
        <f>IF(VLOOKUP(P52,βοηθητικό!$J$2:$N$354,3,FALSE)="","",VLOOKUP(P52,βοηθητικό!$J$2:$N$354,3,FALSE))</f>
        <v>6932637784</v>
      </c>
      <c r="R52" s="44"/>
      <c r="S52" s="5" t="s">
        <v>1387</v>
      </c>
      <c r="T52" s="46" t="str">
        <f>IF(VLOOKUP(S52,βοηθητικό!$J$2:$N$354,3,FALSE)="","",VLOOKUP(S52,βοηθητικό!$J$2:$N$354,3,FALSE))</f>
        <v>6955110793</v>
      </c>
      <c r="U52" s="47"/>
      <c r="V52" s="4" t="s">
        <v>1343</v>
      </c>
      <c r="W52" s="43" t="str">
        <f>IF(VLOOKUP(V52,βοηθητικό!$J$2:$N$354,3,FALSE)="","",VLOOKUP(V52,βοηθητικό!$J$2:$N$354,3,FALSE))</f>
        <v>6976140354</v>
      </c>
      <c r="X52" s="44"/>
      <c r="Y52" s="5" t="s">
        <v>1299</v>
      </c>
      <c r="Z52" s="46">
        <f>IF(VLOOKUP(Y52,βοηθητικό!$J$2:$N$354,3,FALSE)="","",VLOOKUP(Y52,βοηθητικό!$J$2:$N$354,3,FALSE))</f>
        <v>6948330665</v>
      </c>
      <c r="AA52" s="47"/>
      <c r="AB52" s="4" t="s">
        <v>1310</v>
      </c>
      <c r="AC52" s="43" t="str">
        <f>IF(VLOOKUP(AB52,βοηθητικό!$J$2:$N$354,3,FALSE)="","",VLOOKUP(AB52,βοηθητικό!$J$2:$N$354,3,FALSE))</f>
        <v>6955003825</v>
      </c>
      <c r="AD52" s="44"/>
      <c r="AE52" s="5" t="s">
        <v>1399</v>
      </c>
      <c r="AF52" s="46" t="str">
        <f>IF(VLOOKUP(AE52,βοηθητικό!$J$2:$N$354,3,FALSE)="","",VLOOKUP(AE52,βοηθητικό!$J$2:$N$354,3,FALSE))</f>
        <v>6974117272</v>
      </c>
      <c r="AG52" s="47"/>
      <c r="AH52" s="4" t="s">
        <v>16</v>
      </c>
      <c r="AI52" s="43" t="str">
        <f>IF(VLOOKUP(AH52,βοηθητικό!$J$2:$N$354,3,FALSE)="","",VLOOKUP(AH52,βοηθητικό!$J$2:$N$354,3,FALSE))</f>
        <v>_</v>
      </c>
      <c r="AJ52" s="44"/>
      <c r="AK52" s="5" t="s">
        <v>16</v>
      </c>
      <c r="AL52" s="46" t="str">
        <f>IF(VLOOKUP(AK52,βοηθητικό!$J$2:$N$354,3,FALSE)="","",VLOOKUP(AK52,βοηθητικό!$J$2:$N$354,3,FALSE))</f>
        <v>_</v>
      </c>
      <c r="AM52" s="47"/>
      <c r="AN52" s="4" t="s">
        <v>16</v>
      </c>
      <c r="AO52" s="43" t="str">
        <f>IF(VLOOKUP(AN52,βοηθητικό!$J$2:$N$354,3,FALSE)="","",VLOOKUP(AN52,βοηθητικό!$J$2:$N$354,3,FALSE))</f>
        <v>_</v>
      </c>
      <c r="AP52" s="44"/>
      <c r="AQ52" s="5" t="s">
        <v>16</v>
      </c>
      <c r="AR52" s="46" t="str">
        <f>IF(VLOOKUP(AQ52,βοηθητικό!$J$2:$N$354,3,FALSE)="","",VLOOKUP(AQ52,βοηθητικό!$J$2:$N$354,3,FALSE))</f>
        <v>_</v>
      </c>
      <c r="AS52" s="47"/>
      <c r="AT52" s="4" t="s">
        <v>16</v>
      </c>
      <c r="AU52" s="43" t="str">
        <f>IF(VLOOKUP(AT52,βοηθητικό!$J$2:$N$354,3,FALSE)="","",VLOOKUP(AT52,βοηθητικό!$J$2:$N$354,3,FALSE))</f>
        <v>_</v>
      </c>
      <c r="AV52" s="44"/>
      <c r="AW52" s="5" t="s">
        <v>16</v>
      </c>
      <c r="AX52" s="46" t="str">
        <f>IF(VLOOKUP(AW52,βοηθητικό!$J$2:$N$354,3,FALSE)="","",VLOOKUP(AW52,βοηθητικό!$J$2:$N$354,3,FALSE))</f>
        <v>_</v>
      </c>
      <c r="AY52" s="47"/>
      <c r="AZ52" s="4" t="s">
        <v>16</v>
      </c>
      <c r="BA52" s="43" t="str">
        <f>IF(VLOOKUP(AZ52,βοηθητικό!$J$2:$N$354,3,FALSE)="","",VLOOKUP(AZ52,βοηθητικό!$J$2:$N$354,3,FALSE))</f>
        <v>_</v>
      </c>
      <c r="BB52" s="44"/>
      <c r="BC52" s="45" t="s">
        <v>16</v>
      </c>
      <c r="BD52" s="46" t="str">
        <f>IF(VLOOKUP(BC52,βοηθητικό!$J$2:$N$354,3,FALSE)="","",VLOOKUP(BC52,βοηθητικό!$J$2:$N$354,3,FALSE))</f>
        <v>_</v>
      </c>
      <c r="BE52" s="47"/>
      <c r="BF52" s="42" t="s">
        <v>16</v>
      </c>
      <c r="BG52" s="43" t="str">
        <f>IF(VLOOKUP(BF52,βοηθητικό!$J$2:$N$354,3,FALSE)="","",VLOOKUP(BF52,βοηθητικό!$J$2:$N$354,3,FALSE))</f>
        <v>_</v>
      </c>
      <c r="BH52" s="44"/>
      <c r="BI52" s="45" t="s">
        <v>16</v>
      </c>
      <c r="BJ52" s="46" t="str">
        <f>IF(VLOOKUP(BI52,βοηθητικό!$J$2:$N$354,3,FALSE)="","",VLOOKUP(BI52,βοηθητικό!$J$2:$N$354,3,FALSE))</f>
        <v>_</v>
      </c>
      <c r="BK52" s="47"/>
      <c r="BL52" s="42" t="s">
        <v>16</v>
      </c>
      <c r="BM52" s="43" t="str">
        <f>IF(VLOOKUP(BL52,βοηθητικό!$J$2:$N$354,3,FALSE)="","",VLOOKUP(BL52,βοηθητικό!$J$2:$N$354,3,FALSE))</f>
        <v>_</v>
      </c>
      <c r="BN52" s="44"/>
      <c r="BO52" s="45" t="s">
        <v>16</v>
      </c>
      <c r="BP52" s="46" t="str">
        <f>IF(VLOOKUP(BO52,βοηθητικό!$J$2:$N$354,3,FALSE)="","",VLOOKUP(BO52,βοηθητικό!$J$2:$N$354,3,FALSE))</f>
        <v>_</v>
      </c>
      <c r="BQ52" s="47"/>
      <c r="BR52" s="42" t="s">
        <v>16</v>
      </c>
      <c r="BS52" s="43" t="str">
        <f>IF(VLOOKUP(BR52,βοηθητικό!$J$2:$N$354,3,FALSE)="","",VLOOKUP(BR52,βοηθητικό!$J$2:$N$354,3,FALSE))</f>
        <v>_</v>
      </c>
      <c r="BT52" s="44"/>
      <c r="BU52" s="45" t="s">
        <v>16</v>
      </c>
      <c r="BV52" s="46" t="str">
        <f>IF(VLOOKUP(BU52,βοηθητικό!$J$2:$N$354,3,FALSE)="","",VLOOKUP(BU52,βοηθητικό!$J$2:$N$354,3,FALSE))</f>
        <v>_</v>
      </c>
      <c r="BW52" s="47"/>
      <c r="BX52" s="42" t="s">
        <v>16</v>
      </c>
      <c r="BY52" s="43" t="str">
        <f>IF(VLOOKUP(BX52,βοηθητικό!$J$2:$N$354,3,FALSE)="","",VLOOKUP(BX52,βοηθητικό!$J$2:$N$354,3,FALSE))</f>
        <v>_</v>
      </c>
      <c r="BZ52" s="44"/>
      <c r="CA52" s="45" t="s">
        <v>16</v>
      </c>
      <c r="CB52" s="46" t="str">
        <f>IF(VLOOKUP(CA52,βοηθητικό!$J$2:$N$354,3,FALSE)="","",VLOOKUP(CA52,βοηθητικό!$J$2:$N$354,3,FALSE))</f>
        <v>_</v>
      </c>
      <c r="CC52" s="47"/>
      <c r="CD52" s="42" t="s">
        <v>16</v>
      </c>
      <c r="CE52" s="43" t="str">
        <f>IF(VLOOKUP(CD52,βοηθητικό!$J$2:$N$354,3,FALSE)="","",VLOOKUP(CD52,βοηθητικό!$J$2:$N$354,3,FALSE))</f>
        <v>_</v>
      </c>
      <c r="CF52" s="44"/>
      <c r="CG52" s="45" t="s">
        <v>16</v>
      </c>
      <c r="CH52" s="46" t="str">
        <f>IF(VLOOKUP(CG52,βοηθητικό!$J$2:$N$354,3,FALSE)="","",VLOOKUP(CG52,βοηθητικό!$J$2:$N$354,3,FALSE))</f>
        <v>_</v>
      </c>
      <c r="CI52" s="47"/>
      <c r="CJ52" s="42" t="s">
        <v>16</v>
      </c>
      <c r="CK52" s="43" t="str">
        <f>IF(VLOOKUP(CJ52,βοηθητικό!$J$2:$N$354,3,FALSE)="","",VLOOKUP(CJ52,βοηθητικό!$J$2:$N$354,3,FALSE))</f>
        <v>_</v>
      </c>
      <c r="CL52" s="44"/>
      <c r="CM52" s="45" t="s">
        <v>16</v>
      </c>
      <c r="CN52" s="46" t="str">
        <f>IF(VLOOKUP(CM52,βοηθητικό!$J$2:$N$354,3,FALSE)="","",VLOOKUP(CM52,βοηθητικό!$J$2:$N$354,3,FALSE))</f>
        <v>_</v>
      </c>
      <c r="CO52" s="47"/>
      <c r="CP52" s="42" t="s">
        <v>16</v>
      </c>
      <c r="CQ52" s="43" t="str">
        <f>IF(VLOOKUP(CP52,βοηθητικό!$J$2:$N$354,3,FALSE)="","",VLOOKUP(CP52,βοηθητικό!$J$2:$N$354,3,FALSE))</f>
        <v>_</v>
      </c>
      <c r="CR52" s="44"/>
      <c r="CS52" s="45" t="s">
        <v>16</v>
      </c>
      <c r="CT52" s="46" t="str">
        <f>IF(VLOOKUP(CS52,βοηθητικό!$J$2:$N$354,3,FALSE)="","",VLOOKUP(CS52,βοηθητικό!$J$2:$N$354,3,FALSE))</f>
        <v>_</v>
      </c>
      <c r="CU52" s="47"/>
    </row>
    <row r="53" spans="1:99" x14ac:dyDescent="0.25">
      <c r="A53" s="37">
        <f>--SUBTOTAL(3,$B$3:B52)</f>
        <v>50</v>
      </c>
      <c r="B53" s="2">
        <v>45101</v>
      </c>
      <c r="C53" s="3">
        <v>45107</v>
      </c>
      <c r="D53" s="55" t="s">
        <v>115</v>
      </c>
      <c r="E53" s="38" t="s">
        <v>16</v>
      </c>
      <c r="F53" s="38" t="s">
        <v>16</v>
      </c>
      <c r="G53" s="39" t="str">
        <f t="shared" si="2"/>
        <v>__</v>
      </c>
      <c r="H53" s="40" t="str">
        <f t="shared" si="3"/>
        <v>FALSE</v>
      </c>
      <c r="I53" s="41">
        <f t="shared" si="4"/>
        <v>9</v>
      </c>
      <c r="J53" s="4" t="s">
        <v>1302</v>
      </c>
      <c r="K53" s="43" t="str">
        <f>IF(VLOOKUP(J53,βοηθητικό!$J$2:$N$354,3,FALSE)="","",VLOOKUP(J53,βοηθητικό!$J$2:$N$354,3,FALSE))</f>
        <v>6984576537</v>
      </c>
      <c r="L53" s="44"/>
      <c r="M53" s="5" t="s">
        <v>1359</v>
      </c>
      <c r="N53" s="46" t="str">
        <f>IF(VLOOKUP(M53,βοηθητικό!$J$2:$N$354,3,FALSE)="","",VLOOKUP(M53,βοηθητικό!$J$2:$N$354,3,FALSE))</f>
        <v>6934066535</v>
      </c>
      <c r="O53" s="47"/>
      <c r="P53" s="4" t="s">
        <v>1335</v>
      </c>
      <c r="Q53" s="43" t="str">
        <f>IF(VLOOKUP(P53,βοηθητικό!$J$2:$N$354,3,FALSE)="","",VLOOKUP(P53,βοηθητικό!$J$2:$N$354,3,FALSE))</f>
        <v>6944757544</v>
      </c>
      <c r="R53" s="44"/>
      <c r="S53" s="5" t="s">
        <v>1375</v>
      </c>
      <c r="T53" s="46" t="str">
        <f>IF(VLOOKUP(S53,βοηθητικό!$J$2:$N$354,3,FALSE)="","",VLOOKUP(S53,βοηθητικό!$J$2:$N$354,3,FALSE))</f>
        <v>6948880905</v>
      </c>
      <c r="U53" s="47"/>
      <c r="V53" s="4" t="s">
        <v>1262</v>
      </c>
      <c r="W53" s="43" t="str">
        <f>IF(VLOOKUP(V53,βοηθητικό!$J$2:$N$354,3,FALSE)="","",VLOOKUP(V53,βοηθητικό!$J$2:$N$354,3,FALSE))</f>
        <v>6980996968</v>
      </c>
      <c r="X53" s="44"/>
      <c r="Y53" s="5" t="s">
        <v>1276</v>
      </c>
      <c r="Z53" s="46">
        <f>IF(VLOOKUP(Y53,βοηθητικό!$J$2:$N$354,3,FALSE)="","",VLOOKUP(Y53,βοηθητικό!$J$2:$N$354,3,FALSE))</f>
        <v>6936705244</v>
      </c>
      <c r="AA53" s="47"/>
      <c r="AB53" s="4" t="s">
        <v>1283</v>
      </c>
      <c r="AC53" s="43" t="str">
        <f>IF(VLOOKUP(AB53,βοηθητικό!$J$2:$N$354,3,FALSE)="","",VLOOKUP(AB53,βοηθητικό!$J$2:$N$354,3,FALSE))</f>
        <v>6939327305</v>
      </c>
      <c r="AD53" s="44"/>
      <c r="AE53" s="5" t="s">
        <v>1339</v>
      </c>
      <c r="AF53" s="46" t="str">
        <f>IF(VLOOKUP(AE53,βοηθητικό!$J$2:$N$354,3,FALSE)="","",VLOOKUP(AE53,βοηθητικό!$J$2:$N$354,3,FALSE))</f>
        <v>6936582412</v>
      </c>
      <c r="AG53" s="47"/>
      <c r="AH53" s="4" t="s">
        <v>1395</v>
      </c>
      <c r="AI53" s="43" t="str">
        <f>IF(VLOOKUP(AH53,βοηθητικό!$J$2:$N$354,3,FALSE)="","",VLOOKUP(AH53,βοηθητικό!$J$2:$N$354,3,FALSE))</f>
        <v>6994789972</v>
      </c>
      <c r="AJ53" s="44"/>
      <c r="AK53" s="5" t="s">
        <v>16</v>
      </c>
      <c r="AL53" s="46" t="str">
        <f>IF(VLOOKUP(AK53,βοηθητικό!$J$2:$N$354,3,FALSE)="","",VLOOKUP(AK53,βοηθητικό!$J$2:$N$354,3,FALSE))</f>
        <v>_</v>
      </c>
      <c r="AM53" s="47"/>
      <c r="AN53" s="4" t="s">
        <v>16</v>
      </c>
      <c r="AO53" s="43" t="str">
        <f>IF(VLOOKUP(AN53,βοηθητικό!$J$2:$N$354,3,FALSE)="","",VLOOKUP(AN53,βοηθητικό!$J$2:$N$354,3,FALSE))</f>
        <v>_</v>
      </c>
      <c r="AP53" s="44"/>
      <c r="AQ53" s="5" t="s">
        <v>16</v>
      </c>
      <c r="AR53" s="46" t="str">
        <f>IF(VLOOKUP(AQ53,βοηθητικό!$J$2:$N$354,3,FALSE)="","",VLOOKUP(AQ53,βοηθητικό!$J$2:$N$354,3,FALSE))</f>
        <v>_</v>
      </c>
      <c r="AS53" s="47"/>
      <c r="AT53" s="4" t="s">
        <v>16</v>
      </c>
      <c r="AU53" s="43" t="str">
        <f>IF(VLOOKUP(AT53,βοηθητικό!$J$2:$N$354,3,FALSE)="","",VLOOKUP(AT53,βοηθητικό!$J$2:$N$354,3,FALSE))</f>
        <v>_</v>
      </c>
      <c r="AV53" s="44"/>
      <c r="AW53" s="5" t="s">
        <v>16</v>
      </c>
      <c r="AX53" s="46" t="str">
        <f>IF(VLOOKUP(AW53,βοηθητικό!$J$2:$N$354,3,FALSE)="","",VLOOKUP(AW53,βοηθητικό!$J$2:$N$354,3,FALSE))</f>
        <v>_</v>
      </c>
      <c r="AY53" s="47"/>
      <c r="AZ53" s="4" t="s">
        <v>16</v>
      </c>
      <c r="BA53" s="43" t="str">
        <f>IF(VLOOKUP(AZ53,βοηθητικό!$J$2:$N$354,3,FALSE)="","",VLOOKUP(AZ53,βοηθητικό!$J$2:$N$354,3,FALSE))</f>
        <v>_</v>
      </c>
      <c r="BB53" s="44"/>
      <c r="BC53" s="45" t="s">
        <v>16</v>
      </c>
      <c r="BD53" s="46" t="str">
        <f>IF(VLOOKUP(BC53,βοηθητικό!$J$2:$N$354,3,FALSE)="","",VLOOKUP(BC53,βοηθητικό!$J$2:$N$354,3,FALSE))</f>
        <v>_</v>
      </c>
      <c r="BE53" s="47"/>
      <c r="BF53" s="42" t="s">
        <v>16</v>
      </c>
      <c r="BG53" s="43" t="str">
        <f>IF(VLOOKUP(BF53,βοηθητικό!$J$2:$N$354,3,FALSE)="","",VLOOKUP(BF53,βοηθητικό!$J$2:$N$354,3,FALSE))</f>
        <v>_</v>
      </c>
      <c r="BH53" s="44"/>
      <c r="BI53" s="45" t="s">
        <v>16</v>
      </c>
      <c r="BJ53" s="46" t="str">
        <f>IF(VLOOKUP(BI53,βοηθητικό!$J$2:$N$354,3,FALSE)="","",VLOOKUP(BI53,βοηθητικό!$J$2:$N$354,3,FALSE))</f>
        <v>_</v>
      </c>
      <c r="BK53" s="47"/>
      <c r="BL53" s="42" t="s">
        <v>16</v>
      </c>
      <c r="BM53" s="43" t="str">
        <f>IF(VLOOKUP(BL53,βοηθητικό!$J$2:$N$354,3,FALSE)="","",VLOOKUP(BL53,βοηθητικό!$J$2:$N$354,3,FALSE))</f>
        <v>_</v>
      </c>
      <c r="BN53" s="44"/>
      <c r="BO53" s="45" t="s">
        <v>16</v>
      </c>
      <c r="BP53" s="46" t="str">
        <f>IF(VLOOKUP(BO53,βοηθητικό!$J$2:$N$354,3,FALSE)="","",VLOOKUP(BO53,βοηθητικό!$J$2:$N$354,3,FALSE))</f>
        <v>_</v>
      </c>
      <c r="BQ53" s="47"/>
      <c r="BR53" s="42" t="s">
        <v>16</v>
      </c>
      <c r="BS53" s="43" t="str">
        <f>IF(VLOOKUP(BR53,βοηθητικό!$J$2:$N$354,3,FALSE)="","",VLOOKUP(BR53,βοηθητικό!$J$2:$N$354,3,FALSE))</f>
        <v>_</v>
      </c>
      <c r="BT53" s="44"/>
      <c r="BU53" s="45" t="s">
        <v>16</v>
      </c>
      <c r="BV53" s="46" t="str">
        <f>IF(VLOOKUP(BU53,βοηθητικό!$J$2:$N$354,3,FALSE)="","",VLOOKUP(BU53,βοηθητικό!$J$2:$N$354,3,FALSE))</f>
        <v>_</v>
      </c>
      <c r="BW53" s="47"/>
      <c r="BX53" s="42" t="s">
        <v>16</v>
      </c>
      <c r="BY53" s="43" t="str">
        <f>IF(VLOOKUP(BX53,βοηθητικό!$J$2:$N$354,3,FALSE)="","",VLOOKUP(BX53,βοηθητικό!$J$2:$N$354,3,FALSE))</f>
        <v>_</v>
      </c>
      <c r="BZ53" s="44"/>
      <c r="CA53" s="45" t="s">
        <v>16</v>
      </c>
      <c r="CB53" s="46" t="str">
        <f>IF(VLOOKUP(CA53,βοηθητικό!$J$2:$N$354,3,FALSE)="","",VLOOKUP(CA53,βοηθητικό!$J$2:$N$354,3,FALSE))</f>
        <v>_</v>
      </c>
      <c r="CC53" s="47"/>
      <c r="CD53" s="42" t="s">
        <v>16</v>
      </c>
      <c r="CE53" s="43" t="str">
        <f>IF(VLOOKUP(CD53,βοηθητικό!$J$2:$N$354,3,FALSE)="","",VLOOKUP(CD53,βοηθητικό!$J$2:$N$354,3,FALSE))</f>
        <v>_</v>
      </c>
      <c r="CF53" s="44"/>
      <c r="CG53" s="45" t="s">
        <v>16</v>
      </c>
      <c r="CH53" s="46" t="str">
        <f>IF(VLOOKUP(CG53,βοηθητικό!$J$2:$N$354,3,FALSE)="","",VLOOKUP(CG53,βοηθητικό!$J$2:$N$354,3,FALSE))</f>
        <v>_</v>
      </c>
      <c r="CI53" s="47"/>
      <c r="CJ53" s="42" t="s">
        <v>16</v>
      </c>
      <c r="CK53" s="43" t="str">
        <f>IF(VLOOKUP(CJ53,βοηθητικό!$J$2:$N$354,3,FALSE)="","",VLOOKUP(CJ53,βοηθητικό!$J$2:$N$354,3,FALSE))</f>
        <v>_</v>
      </c>
      <c r="CL53" s="44"/>
      <c r="CM53" s="45" t="s">
        <v>16</v>
      </c>
      <c r="CN53" s="46" t="str">
        <f>IF(VLOOKUP(CM53,βοηθητικό!$J$2:$N$354,3,FALSE)="","",VLOOKUP(CM53,βοηθητικό!$J$2:$N$354,3,FALSE))</f>
        <v>_</v>
      </c>
      <c r="CO53" s="47"/>
      <c r="CP53" s="42" t="s">
        <v>16</v>
      </c>
      <c r="CQ53" s="43" t="str">
        <f>IF(VLOOKUP(CP53,βοηθητικό!$J$2:$N$354,3,FALSE)="","",VLOOKUP(CP53,βοηθητικό!$J$2:$N$354,3,FALSE))</f>
        <v>_</v>
      </c>
      <c r="CR53" s="44"/>
      <c r="CS53" s="45" t="s">
        <v>16</v>
      </c>
      <c r="CT53" s="46" t="str">
        <f>IF(VLOOKUP(CS53,βοηθητικό!$J$2:$N$354,3,FALSE)="","",VLOOKUP(CS53,βοηθητικό!$J$2:$N$354,3,FALSE))</f>
        <v>_</v>
      </c>
      <c r="CU53" s="47"/>
    </row>
    <row r="54" spans="1:99" x14ac:dyDescent="0.25">
      <c r="A54" s="37">
        <f>--SUBTOTAL(3,$B$3:B53)</f>
        <v>51</v>
      </c>
      <c r="B54" s="2">
        <v>45075</v>
      </c>
      <c r="C54" s="3">
        <v>45081</v>
      </c>
      <c r="D54" s="55" t="s">
        <v>127</v>
      </c>
      <c r="E54" s="38" t="s">
        <v>16</v>
      </c>
      <c r="F54" s="38" t="s">
        <v>16</v>
      </c>
      <c r="G54" s="39" t="str">
        <f t="shared" si="2"/>
        <v>__</v>
      </c>
      <c r="H54" s="40" t="str">
        <f t="shared" si="3"/>
        <v>FALSE</v>
      </c>
      <c r="I54" s="41">
        <f t="shared" si="4"/>
        <v>7</v>
      </c>
      <c r="J54" s="4" t="s">
        <v>1424</v>
      </c>
      <c r="K54" s="43" t="str">
        <f>IF(VLOOKUP(J54,βοηθητικό!$J$2:$N$354,3,FALSE)="","",VLOOKUP(J54,βοηθητικό!$J$2:$N$354,3,FALSE))</f>
        <v>6970994433</v>
      </c>
      <c r="L54" s="44"/>
      <c r="M54" s="5" t="s">
        <v>1461</v>
      </c>
      <c r="N54" s="46" t="str">
        <f>IF(VLOOKUP(M54,βοηθητικό!$J$2:$N$354,3,FALSE)="","",VLOOKUP(M54,βοηθητικό!$J$2:$N$354,3,FALSE))</f>
        <v>6949802689</v>
      </c>
      <c r="O54" s="47"/>
      <c r="P54" s="4" t="s">
        <v>1452</v>
      </c>
      <c r="Q54" s="43" t="str">
        <f>IF(VLOOKUP(P54,βοηθητικό!$J$2:$N$354,3,FALSE)="","",VLOOKUP(P54,βοηθητικό!$J$2:$N$354,3,FALSE))</f>
        <v>6944240803</v>
      </c>
      <c r="R54" s="44"/>
      <c r="S54" s="5" t="s">
        <v>1431</v>
      </c>
      <c r="T54" s="46" t="str">
        <f>IF(VLOOKUP(S54,βοηθητικό!$J$2:$N$354,3,FALSE)="","",VLOOKUP(S54,βοηθητικό!$J$2:$N$354,3,FALSE))</f>
        <v>6975534675</v>
      </c>
      <c r="U54" s="47"/>
      <c r="V54" s="4" t="s">
        <v>1493</v>
      </c>
      <c r="W54" s="43" t="str">
        <f>IF(VLOOKUP(V54,βοηθητικό!$J$2:$N$354,3,FALSE)="","",VLOOKUP(V54,βοηθητικό!$J$2:$N$354,3,FALSE))</f>
        <v>6978022104</v>
      </c>
      <c r="X54" s="44"/>
      <c r="Y54" s="5" t="s">
        <v>1488</v>
      </c>
      <c r="Z54" s="46" t="str">
        <f>IF(VLOOKUP(Y54,βοηθητικό!$J$2:$N$354,3,FALSE)="","",VLOOKUP(Y54,βοηθητικό!$J$2:$N$354,3,FALSE))</f>
        <v>6949282970</v>
      </c>
      <c r="AA54" s="47"/>
      <c r="AB54" s="4" t="s">
        <v>1491</v>
      </c>
      <c r="AC54" s="43">
        <f>IF(VLOOKUP(AB54,βοηθητικό!$J$2:$N$354,3,FALSE)="","",VLOOKUP(AB54,βοηθητικό!$J$2:$N$354,3,FALSE))</f>
        <v>6944027398</v>
      </c>
      <c r="AD54" s="44"/>
      <c r="AE54" s="5" t="s">
        <v>16</v>
      </c>
      <c r="AF54" s="46" t="str">
        <f>IF(VLOOKUP(AE54,βοηθητικό!$J$2:$N$354,3,FALSE)="","",VLOOKUP(AE54,βοηθητικό!$J$2:$N$354,3,FALSE))</f>
        <v>_</v>
      </c>
      <c r="AG54" s="47"/>
      <c r="AH54" s="4" t="s">
        <v>16</v>
      </c>
      <c r="AI54" s="43" t="str">
        <f>IF(VLOOKUP(AH54,βοηθητικό!$J$2:$N$354,3,FALSE)="","",VLOOKUP(AH54,βοηθητικό!$J$2:$N$354,3,FALSE))</f>
        <v>_</v>
      </c>
      <c r="AJ54" s="44"/>
      <c r="AK54" s="5" t="s">
        <v>16</v>
      </c>
      <c r="AL54" s="46" t="str">
        <f>IF(VLOOKUP(AK54,βοηθητικό!$J$2:$N$354,3,FALSE)="","",VLOOKUP(AK54,βοηθητικό!$J$2:$N$354,3,FALSE))</f>
        <v>_</v>
      </c>
      <c r="AM54" s="47"/>
      <c r="AN54" s="4" t="s">
        <v>16</v>
      </c>
      <c r="AO54" s="43" t="str">
        <f>IF(VLOOKUP(AN54,βοηθητικό!$J$2:$N$354,3,FALSE)="","",VLOOKUP(AN54,βοηθητικό!$J$2:$N$354,3,FALSE))</f>
        <v>_</v>
      </c>
      <c r="AP54" s="44"/>
      <c r="AQ54" s="5" t="s">
        <v>16</v>
      </c>
      <c r="AR54" s="46" t="str">
        <f>IF(VLOOKUP(AQ54,βοηθητικό!$J$2:$N$354,3,FALSE)="","",VLOOKUP(AQ54,βοηθητικό!$J$2:$N$354,3,FALSE))</f>
        <v>_</v>
      </c>
      <c r="AS54" s="47"/>
      <c r="AT54" s="4" t="s">
        <v>16</v>
      </c>
      <c r="AU54" s="43" t="str">
        <f>IF(VLOOKUP(AT54,βοηθητικό!$J$2:$N$354,3,FALSE)="","",VLOOKUP(AT54,βοηθητικό!$J$2:$N$354,3,FALSE))</f>
        <v>_</v>
      </c>
      <c r="AV54" s="44"/>
      <c r="AW54" s="5" t="s">
        <v>16</v>
      </c>
      <c r="AX54" s="46" t="str">
        <f>IF(VLOOKUP(AW54,βοηθητικό!$J$2:$N$354,3,FALSE)="","",VLOOKUP(AW54,βοηθητικό!$J$2:$N$354,3,FALSE))</f>
        <v>_</v>
      </c>
      <c r="AY54" s="47"/>
      <c r="AZ54" s="4" t="s">
        <v>16</v>
      </c>
      <c r="BA54" s="43" t="str">
        <f>IF(VLOOKUP(AZ54,βοηθητικό!$J$2:$N$354,3,FALSE)="","",VLOOKUP(AZ54,βοηθητικό!$J$2:$N$354,3,FALSE))</f>
        <v>_</v>
      </c>
      <c r="BB54" s="44"/>
      <c r="BC54" s="45" t="s">
        <v>16</v>
      </c>
      <c r="BD54" s="46" t="str">
        <f>IF(VLOOKUP(BC54,βοηθητικό!$J$2:$N$354,3,FALSE)="","",VLOOKUP(BC54,βοηθητικό!$J$2:$N$354,3,FALSE))</f>
        <v>_</v>
      </c>
      <c r="BE54" s="47"/>
      <c r="BF54" s="42" t="s">
        <v>16</v>
      </c>
      <c r="BG54" s="43" t="str">
        <f>IF(VLOOKUP(BF54,βοηθητικό!$J$2:$N$354,3,FALSE)="","",VLOOKUP(BF54,βοηθητικό!$J$2:$N$354,3,FALSE))</f>
        <v>_</v>
      </c>
      <c r="BH54" s="44"/>
      <c r="BI54" s="45" t="s">
        <v>16</v>
      </c>
      <c r="BJ54" s="46" t="str">
        <f>IF(VLOOKUP(BI54,βοηθητικό!$J$2:$N$354,3,FALSE)="","",VLOOKUP(BI54,βοηθητικό!$J$2:$N$354,3,FALSE))</f>
        <v>_</v>
      </c>
      <c r="BK54" s="47"/>
      <c r="BL54" s="42" t="s">
        <v>16</v>
      </c>
      <c r="BM54" s="43" t="str">
        <f>IF(VLOOKUP(BL54,βοηθητικό!$J$2:$N$354,3,FALSE)="","",VLOOKUP(BL54,βοηθητικό!$J$2:$N$354,3,FALSE))</f>
        <v>_</v>
      </c>
      <c r="BN54" s="44"/>
      <c r="BO54" s="45" t="s">
        <v>16</v>
      </c>
      <c r="BP54" s="46" t="str">
        <f>IF(VLOOKUP(BO54,βοηθητικό!$J$2:$N$354,3,FALSE)="","",VLOOKUP(BO54,βοηθητικό!$J$2:$N$354,3,FALSE))</f>
        <v>_</v>
      </c>
      <c r="BQ54" s="47"/>
      <c r="BR54" s="42" t="s">
        <v>16</v>
      </c>
      <c r="BS54" s="43" t="str">
        <f>IF(VLOOKUP(BR54,βοηθητικό!$J$2:$N$354,3,FALSE)="","",VLOOKUP(BR54,βοηθητικό!$J$2:$N$354,3,FALSE))</f>
        <v>_</v>
      </c>
      <c r="BT54" s="44"/>
      <c r="BU54" s="45" t="s">
        <v>16</v>
      </c>
      <c r="BV54" s="46" t="str">
        <f>IF(VLOOKUP(BU54,βοηθητικό!$J$2:$N$354,3,FALSE)="","",VLOOKUP(BU54,βοηθητικό!$J$2:$N$354,3,FALSE))</f>
        <v>_</v>
      </c>
      <c r="BW54" s="47"/>
      <c r="BX54" s="42" t="s">
        <v>16</v>
      </c>
      <c r="BY54" s="43" t="str">
        <f>IF(VLOOKUP(BX54,βοηθητικό!$J$2:$N$354,3,FALSE)="","",VLOOKUP(BX54,βοηθητικό!$J$2:$N$354,3,FALSE))</f>
        <v>_</v>
      </c>
      <c r="BZ54" s="44"/>
      <c r="CA54" s="45" t="s">
        <v>16</v>
      </c>
      <c r="CB54" s="46" t="str">
        <f>IF(VLOOKUP(CA54,βοηθητικό!$J$2:$N$354,3,FALSE)="","",VLOOKUP(CA54,βοηθητικό!$J$2:$N$354,3,FALSE))</f>
        <v>_</v>
      </c>
      <c r="CC54" s="47"/>
      <c r="CD54" s="42" t="s">
        <v>16</v>
      </c>
      <c r="CE54" s="43" t="str">
        <f>IF(VLOOKUP(CD54,βοηθητικό!$J$2:$N$354,3,FALSE)="","",VLOOKUP(CD54,βοηθητικό!$J$2:$N$354,3,FALSE))</f>
        <v>_</v>
      </c>
      <c r="CF54" s="44"/>
      <c r="CG54" s="45" t="s">
        <v>16</v>
      </c>
      <c r="CH54" s="46" t="str">
        <f>IF(VLOOKUP(CG54,βοηθητικό!$J$2:$N$354,3,FALSE)="","",VLOOKUP(CG54,βοηθητικό!$J$2:$N$354,3,FALSE))</f>
        <v>_</v>
      </c>
      <c r="CI54" s="47"/>
      <c r="CJ54" s="42" t="s">
        <v>16</v>
      </c>
      <c r="CK54" s="43" t="str">
        <f>IF(VLOOKUP(CJ54,βοηθητικό!$J$2:$N$354,3,FALSE)="","",VLOOKUP(CJ54,βοηθητικό!$J$2:$N$354,3,FALSE))</f>
        <v>_</v>
      </c>
      <c r="CL54" s="44"/>
      <c r="CM54" s="45" t="s">
        <v>16</v>
      </c>
      <c r="CN54" s="46" t="str">
        <f>IF(VLOOKUP(CM54,βοηθητικό!$J$2:$N$354,3,FALSE)="","",VLOOKUP(CM54,βοηθητικό!$J$2:$N$354,3,FALSE))</f>
        <v>_</v>
      </c>
      <c r="CO54" s="47"/>
      <c r="CP54" s="42" t="s">
        <v>16</v>
      </c>
      <c r="CQ54" s="43" t="str">
        <f>IF(VLOOKUP(CP54,βοηθητικό!$J$2:$N$354,3,FALSE)="","",VLOOKUP(CP54,βοηθητικό!$J$2:$N$354,3,FALSE))</f>
        <v>_</v>
      </c>
      <c r="CR54" s="44"/>
      <c r="CS54" s="45" t="s">
        <v>16</v>
      </c>
      <c r="CT54" s="46" t="str">
        <f>IF(VLOOKUP(CS54,βοηθητικό!$J$2:$N$354,3,FALSE)="","",VLOOKUP(CS54,βοηθητικό!$J$2:$N$354,3,FALSE))</f>
        <v>_</v>
      </c>
      <c r="CU54" s="47"/>
    </row>
    <row r="55" spans="1:99" x14ac:dyDescent="0.25">
      <c r="A55" s="37">
        <f>--SUBTOTAL(3,$B$3:B54)</f>
        <v>52</v>
      </c>
      <c r="B55" s="2">
        <v>45082</v>
      </c>
      <c r="C55" s="3">
        <v>45088</v>
      </c>
      <c r="D55" s="55" t="s">
        <v>127</v>
      </c>
      <c r="E55" s="38" t="s">
        <v>16</v>
      </c>
      <c r="F55" s="38" t="s">
        <v>16</v>
      </c>
      <c r="G55" s="39" t="str">
        <f t="shared" si="2"/>
        <v>__</v>
      </c>
      <c r="H55" s="40" t="str">
        <f t="shared" si="3"/>
        <v>FALSE</v>
      </c>
      <c r="I55" s="41">
        <f t="shared" si="4"/>
        <v>7</v>
      </c>
      <c r="J55" s="4" t="s">
        <v>1421</v>
      </c>
      <c r="K55" s="43" t="str">
        <f>IF(VLOOKUP(J55,βοηθητικό!$J$2:$N$354,3,FALSE)="","",VLOOKUP(J55,βοηθητικό!$J$2:$N$354,3,FALSE))</f>
        <v>6948112484</v>
      </c>
      <c r="L55" s="44"/>
      <c r="M55" s="5" t="s">
        <v>1407</v>
      </c>
      <c r="N55" s="46" t="str">
        <f>IF(VLOOKUP(M55,βοηθητικό!$J$2:$N$354,3,FALSE)="","",VLOOKUP(M55,βοηθητικό!$J$2:$N$354,3,FALSE))</f>
        <v>6992097226</v>
      </c>
      <c r="O55" s="47"/>
      <c r="P55" s="4" t="s">
        <v>1464</v>
      </c>
      <c r="Q55" s="43" t="str">
        <f>IF(VLOOKUP(P55,βοηθητικό!$J$2:$N$354,3,FALSE)="","",VLOOKUP(P55,βοηθητικό!$J$2:$N$354,3,FALSE))</f>
        <v>6937334275</v>
      </c>
      <c r="R55" s="44"/>
      <c r="S55" s="5" t="s">
        <v>1434</v>
      </c>
      <c r="T55" s="46" t="str">
        <f>IF(VLOOKUP(S55,βοηθητικό!$J$2:$N$354,3,FALSE)="","",VLOOKUP(S55,βοηθητικό!$J$2:$N$354,3,FALSE))</f>
        <v>6977995010</v>
      </c>
      <c r="U55" s="47"/>
      <c r="V55" s="4" t="s">
        <v>1449</v>
      </c>
      <c r="W55" s="43" t="str">
        <f>IF(VLOOKUP(V55,βοηθητικό!$J$2:$N$354,3,FALSE)="","",VLOOKUP(V55,βοηθητικό!$J$2:$N$354,3,FALSE))</f>
        <v>6942065498</v>
      </c>
      <c r="X55" s="44"/>
      <c r="Y55" s="5" t="s">
        <v>1446</v>
      </c>
      <c r="Z55" s="46" t="str">
        <f>IF(VLOOKUP(Y55,βοηθητικό!$J$2:$N$354,3,FALSE)="","",VLOOKUP(Y55,βοηθητικό!$J$2:$N$354,3,FALSE))</f>
        <v>6980080409</v>
      </c>
      <c r="AA55" s="47"/>
      <c r="AB55" s="4" t="s">
        <v>1455</v>
      </c>
      <c r="AC55" s="43" t="str">
        <f>IF(VLOOKUP(AB55,βοηθητικό!$J$2:$N$354,3,FALSE)="","",VLOOKUP(AB55,βοηθητικό!$J$2:$N$354,3,FALSE))</f>
        <v>6945859412</v>
      </c>
      <c r="AD55" s="44"/>
      <c r="AE55" s="5" t="s">
        <v>16</v>
      </c>
      <c r="AF55" s="46" t="str">
        <f>IF(VLOOKUP(AE55,βοηθητικό!$J$2:$N$354,3,FALSE)="","",VLOOKUP(AE55,βοηθητικό!$J$2:$N$354,3,FALSE))</f>
        <v>_</v>
      </c>
      <c r="AG55" s="47"/>
      <c r="AH55" s="4" t="s">
        <v>16</v>
      </c>
      <c r="AI55" s="43" t="str">
        <f>IF(VLOOKUP(AH55,βοηθητικό!$J$2:$N$354,3,FALSE)="","",VLOOKUP(AH55,βοηθητικό!$J$2:$N$354,3,FALSE))</f>
        <v>_</v>
      </c>
      <c r="AJ55" s="44"/>
      <c r="AK55" s="5" t="s">
        <v>16</v>
      </c>
      <c r="AL55" s="46" t="str">
        <f>IF(VLOOKUP(AK55,βοηθητικό!$J$2:$N$354,3,FALSE)="","",VLOOKUP(AK55,βοηθητικό!$J$2:$N$354,3,FALSE))</f>
        <v>_</v>
      </c>
      <c r="AM55" s="47"/>
      <c r="AN55" s="4" t="s">
        <v>16</v>
      </c>
      <c r="AO55" s="43" t="str">
        <f>IF(VLOOKUP(AN55,βοηθητικό!$J$2:$N$354,3,FALSE)="","",VLOOKUP(AN55,βοηθητικό!$J$2:$N$354,3,FALSE))</f>
        <v>_</v>
      </c>
      <c r="AP55" s="44"/>
      <c r="AQ55" s="5" t="s">
        <v>16</v>
      </c>
      <c r="AR55" s="46" t="str">
        <f>IF(VLOOKUP(AQ55,βοηθητικό!$J$2:$N$354,3,FALSE)="","",VLOOKUP(AQ55,βοηθητικό!$J$2:$N$354,3,FALSE))</f>
        <v>_</v>
      </c>
      <c r="AS55" s="47"/>
      <c r="AT55" s="4" t="s">
        <v>16</v>
      </c>
      <c r="AU55" s="43" t="str">
        <f>IF(VLOOKUP(AT55,βοηθητικό!$J$2:$N$354,3,FALSE)="","",VLOOKUP(AT55,βοηθητικό!$J$2:$N$354,3,FALSE))</f>
        <v>_</v>
      </c>
      <c r="AV55" s="44"/>
      <c r="AW55" s="5" t="s">
        <v>16</v>
      </c>
      <c r="AX55" s="46" t="str">
        <f>IF(VLOOKUP(AW55,βοηθητικό!$J$2:$N$354,3,FALSE)="","",VLOOKUP(AW55,βοηθητικό!$J$2:$N$354,3,FALSE))</f>
        <v>_</v>
      </c>
      <c r="AY55" s="47"/>
      <c r="AZ55" s="4" t="s">
        <v>16</v>
      </c>
      <c r="BA55" s="43" t="str">
        <f>IF(VLOOKUP(AZ55,βοηθητικό!$J$2:$N$354,3,FALSE)="","",VLOOKUP(AZ55,βοηθητικό!$J$2:$N$354,3,FALSE))</f>
        <v>_</v>
      </c>
      <c r="BB55" s="44"/>
      <c r="BC55" s="45" t="s">
        <v>16</v>
      </c>
      <c r="BD55" s="46" t="str">
        <f>IF(VLOOKUP(BC55,βοηθητικό!$J$2:$N$354,3,FALSE)="","",VLOOKUP(BC55,βοηθητικό!$J$2:$N$354,3,FALSE))</f>
        <v>_</v>
      </c>
      <c r="BE55" s="47"/>
      <c r="BF55" s="42" t="s">
        <v>16</v>
      </c>
      <c r="BG55" s="43" t="str">
        <f>IF(VLOOKUP(BF55,βοηθητικό!$J$2:$N$354,3,FALSE)="","",VLOOKUP(BF55,βοηθητικό!$J$2:$N$354,3,FALSE))</f>
        <v>_</v>
      </c>
      <c r="BH55" s="44"/>
      <c r="BI55" s="45" t="s">
        <v>16</v>
      </c>
      <c r="BJ55" s="46" t="str">
        <f>IF(VLOOKUP(BI55,βοηθητικό!$J$2:$N$354,3,FALSE)="","",VLOOKUP(BI55,βοηθητικό!$J$2:$N$354,3,FALSE))</f>
        <v>_</v>
      </c>
      <c r="BK55" s="47"/>
      <c r="BL55" s="42" t="s">
        <v>16</v>
      </c>
      <c r="BM55" s="43" t="str">
        <f>IF(VLOOKUP(BL55,βοηθητικό!$J$2:$N$354,3,FALSE)="","",VLOOKUP(BL55,βοηθητικό!$J$2:$N$354,3,FALSE))</f>
        <v>_</v>
      </c>
      <c r="BN55" s="44"/>
      <c r="BO55" s="45" t="s">
        <v>16</v>
      </c>
      <c r="BP55" s="46" t="str">
        <f>IF(VLOOKUP(BO55,βοηθητικό!$J$2:$N$354,3,FALSE)="","",VLOOKUP(BO55,βοηθητικό!$J$2:$N$354,3,FALSE))</f>
        <v>_</v>
      </c>
      <c r="BQ55" s="47"/>
      <c r="BR55" s="42" t="s">
        <v>16</v>
      </c>
      <c r="BS55" s="43" t="str">
        <f>IF(VLOOKUP(BR55,βοηθητικό!$J$2:$N$354,3,FALSE)="","",VLOOKUP(BR55,βοηθητικό!$J$2:$N$354,3,FALSE))</f>
        <v>_</v>
      </c>
      <c r="BT55" s="44"/>
      <c r="BU55" s="45" t="s">
        <v>16</v>
      </c>
      <c r="BV55" s="46" t="str">
        <f>IF(VLOOKUP(BU55,βοηθητικό!$J$2:$N$354,3,FALSE)="","",VLOOKUP(BU55,βοηθητικό!$J$2:$N$354,3,FALSE))</f>
        <v>_</v>
      </c>
      <c r="BW55" s="47"/>
      <c r="BX55" s="42" t="s">
        <v>16</v>
      </c>
      <c r="BY55" s="43" t="str">
        <f>IF(VLOOKUP(BX55,βοηθητικό!$J$2:$N$354,3,FALSE)="","",VLOOKUP(BX55,βοηθητικό!$J$2:$N$354,3,FALSE))</f>
        <v>_</v>
      </c>
      <c r="BZ55" s="44"/>
      <c r="CA55" s="45" t="s">
        <v>16</v>
      </c>
      <c r="CB55" s="46" t="str">
        <f>IF(VLOOKUP(CA55,βοηθητικό!$J$2:$N$354,3,FALSE)="","",VLOOKUP(CA55,βοηθητικό!$J$2:$N$354,3,FALSE))</f>
        <v>_</v>
      </c>
      <c r="CC55" s="47"/>
      <c r="CD55" s="42" t="s">
        <v>16</v>
      </c>
      <c r="CE55" s="43" t="str">
        <f>IF(VLOOKUP(CD55,βοηθητικό!$J$2:$N$354,3,FALSE)="","",VLOOKUP(CD55,βοηθητικό!$J$2:$N$354,3,FALSE))</f>
        <v>_</v>
      </c>
      <c r="CF55" s="44"/>
      <c r="CG55" s="45" t="s">
        <v>16</v>
      </c>
      <c r="CH55" s="46" t="str">
        <f>IF(VLOOKUP(CG55,βοηθητικό!$J$2:$N$354,3,FALSE)="","",VLOOKUP(CG55,βοηθητικό!$J$2:$N$354,3,FALSE))</f>
        <v>_</v>
      </c>
      <c r="CI55" s="47"/>
      <c r="CJ55" s="42" t="s">
        <v>16</v>
      </c>
      <c r="CK55" s="43" t="str">
        <f>IF(VLOOKUP(CJ55,βοηθητικό!$J$2:$N$354,3,FALSE)="","",VLOOKUP(CJ55,βοηθητικό!$J$2:$N$354,3,FALSE))</f>
        <v>_</v>
      </c>
      <c r="CL55" s="44"/>
      <c r="CM55" s="45" t="s">
        <v>16</v>
      </c>
      <c r="CN55" s="46" t="str">
        <f>IF(VLOOKUP(CM55,βοηθητικό!$J$2:$N$354,3,FALSE)="","",VLOOKUP(CM55,βοηθητικό!$J$2:$N$354,3,FALSE))</f>
        <v>_</v>
      </c>
      <c r="CO55" s="47"/>
      <c r="CP55" s="42" t="s">
        <v>16</v>
      </c>
      <c r="CQ55" s="43" t="str">
        <f>IF(VLOOKUP(CP55,βοηθητικό!$J$2:$N$354,3,FALSE)="","",VLOOKUP(CP55,βοηθητικό!$J$2:$N$354,3,FALSE))</f>
        <v>_</v>
      </c>
      <c r="CR55" s="44"/>
      <c r="CS55" s="45" t="s">
        <v>16</v>
      </c>
      <c r="CT55" s="46" t="str">
        <f>IF(VLOOKUP(CS55,βοηθητικό!$J$2:$N$354,3,FALSE)="","",VLOOKUP(CS55,βοηθητικό!$J$2:$N$354,3,FALSE))</f>
        <v>_</v>
      </c>
      <c r="CU55" s="47"/>
    </row>
    <row r="56" spans="1:99" x14ac:dyDescent="0.25">
      <c r="A56" s="37">
        <f>--SUBTOTAL(3,$B$3:B55)</f>
        <v>53</v>
      </c>
      <c r="B56" s="2">
        <v>45089</v>
      </c>
      <c r="C56" s="3">
        <v>45095</v>
      </c>
      <c r="D56" s="55" t="s">
        <v>127</v>
      </c>
      <c r="E56" s="38" t="s">
        <v>16</v>
      </c>
      <c r="F56" s="38" t="s">
        <v>16</v>
      </c>
      <c r="G56" s="39" t="str">
        <f t="shared" si="2"/>
        <v>__</v>
      </c>
      <c r="H56" s="40" t="str">
        <f t="shared" si="3"/>
        <v>FALSE</v>
      </c>
      <c r="I56" s="41">
        <f t="shared" si="4"/>
        <v>7</v>
      </c>
      <c r="J56" s="4" t="s">
        <v>1485</v>
      </c>
      <c r="K56" s="43" t="str">
        <f>IF(VLOOKUP(J56,βοηθητικό!$J$2:$N$354,3,FALSE)="","",VLOOKUP(J56,βοηθητικό!$J$2:$N$354,3,FALSE))</f>
        <v>6974472231</v>
      </c>
      <c r="L56" s="44"/>
      <c r="M56" s="5" t="s">
        <v>1443</v>
      </c>
      <c r="N56" s="46" t="str">
        <f>IF(VLOOKUP(M56,βοηθητικό!$J$2:$N$354,3,FALSE)="","",VLOOKUP(M56,βοηθητικό!$J$2:$N$354,3,FALSE))</f>
        <v>6947937446</v>
      </c>
      <c r="O56" s="47"/>
      <c r="P56" s="4" t="s">
        <v>1411</v>
      </c>
      <c r="Q56" s="43" t="str">
        <f>IF(VLOOKUP(P56,βοηθητικό!$J$2:$N$354,3,FALSE)="","",VLOOKUP(P56,βοηθητικό!$J$2:$N$354,3,FALSE))</f>
        <v>6976704746</v>
      </c>
      <c r="R56" s="44"/>
      <c r="S56" s="5" t="s">
        <v>1496</v>
      </c>
      <c r="T56" s="46" t="str">
        <f>IF(VLOOKUP(S56,βοηθητικό!$J$2:$N$354,3,FALSE)="","",VLOOKUP(S56,βοηθητικό!$J$2:$N$354,3,FALSE))</f>
        <v>6940821569</v>
      </c>
      <c r="U56" s="47"/>
      <c r="V56" s="4" t="s">
        <v>1479</v>
      </c>
      <c r="W56" s="43" t="str">
        <f>IF(VLOOKUP(V56,βοηθητικό!$J$2:$N$354,3,FALSE)="","",VLOOKUP(V56,βοηθητικό!$J$2:$N$354,3,FALSE))</f>
        <v>6972254244</v>
      </c>
      <c r="X56" s="44"/>
      <c r="Y56" s="5" t="s">
        <v>1440</v>
      </c>
      <c r="Z56" s="46" t="str">
        <f>IF(VLOOKUP(Y56,βοηθητικό!$J$2:$N$354,3,FALSE)="","",VLOOKUP(Y56,βοηθητικό!$J$2:$N$354,3,FALSE))</f>
        <v>6978143337</v>
      </c>
      <c r="AA56" s="47"/>
      <c r="AB56" s="4" t="s">
        <v>1428</v>
      </c>
      <c r="AC56" s="43" t="str">
        <f>IF(VLOOKUP(AB56,βοηθητικό!$J$2:$N$354,3,FALSE)="","",VLOOKUP(AB56,βοηθητικό!$J$2:$N$354,3,FALSE))</f>
        <v>6984730924</v>
      </c>
      <c r="AD56" s="44"/>
      <c r="AE56" s="5" t="s">
        <v>16</v>
      </c>
      <c r="AF56" s="46" t="str">
        <f>IF(VLOOKUP(AE56,βοηθητικό!$J$2:$N$354,3,FALSE)="","",VLOOKUP(AE56,βοηθητικό!$J$2:$N$354,3,FALSE))</f>
        <v>_</v>
      </c>
      <c r="AG56" s="47"/>
      <c r="AH56" s="4" t="s">
        <v>16</v>
      </c>
      <c r="AI56" s="43" t="str">
        <f>IF(VLOOKUP(AH56,βοηθητικό!$J$2:$N$354,3,FALSE)="","",VLOOKUP(AH56,βοηθητικό!$J$2:$N$354,3,FALSE))</f>
        <v>_</v>
      </c>
      <c r="AJ56" s="44"/>
      <c r="AK56" s="5" t="s">
        <v>16</v>
      </c>
      <c r="AL56" s="46" t="str">
        <f>IF(VLOOKUP(AK56,βοηθητικό!$J$2:$N$354,3,FALSE)="","",VLOOKUP(AK56,βοηθητικό!$J$2:$N$354,3,FALSE))</f>
        <v>_</v>
      </c>
      <c r="AM56" s="47"/>
      <c r="AN56" s="4" t="s">
        <v>16</v>
      </c>
      <c r="AO56" s="43" t="str">
        <f>IF(VLOOKUP(AN56,βοηθητικό!$J$2:$N$354,3,FALSE)="","",VLOOKUP(AN56,βοηθητικό!$J$2:$N$354,3,FALSE))</f>
        <v>_</v>
      </c>
      <c r="AP56" s="44"/>
      <c r="AQ56" s="5" t="s">
        <v>16</v>
      </c>
      <c r="AR56" s="46" t="str">
        <f>IF(VLOOKUP(AQ56,βοηθητικό!$J$2:$N$354,3,FALSE)="","",VLOOKUP(AQ56,βοηθητικό!$J$2:$N$354,3,FALSE))</f>
        <v>_</v>
      </c>
      <c r="AS56" s="47"/>
      <c r="AT56" s="4" t="s">
        <v>16</v>
      </c>
      <c r="AU56" s="43" t="str">
        <f>IF(VLOOKUP(AT56,βοηθητικό!$J$2:$N$354,3,FALSE)="","",VLOOKUP(AT56,βοηθητικό!$J$2:$N$354,3,FALSE))</f>
        <v>_</v>
      </c>
      <c r="AV56" s="44"/>
      <c r="AW56" s="5" t="s">
        <v>16</v>
      </c>
      <c r="AX56" s="46" t="str">
        <f>IF(VLOOKUP(AW56,βοηθητικό!$J$2:$N$354,3,FALSE)="","",VLOOKUP(AW56,βοηθητικό!$J$2:$N$354,3,FALSE))</f>
        <v>_</v>
      </c>
      <c r="AY56" s="47"/>
      <c r="AZ56" s="4" t="s">
        <v>16</v>
      </c>
      <c r="BA56" s="43" t="str">
        <f>IF(VLOOKUP(AZ56,βοηθητικό!$J$2:$N$354,3,FALSE)="","",VLOOKUP(AZ56,βοηθητικό!$J$2:$N$354,3,FALSE))</f>
        <v>_</v>
      </c>
      <c r="BB56" s="44"/>
      <c r="BC56" s="45" t="s">
        <v>16</v>
      </c>
      <c r="BD56" s="46" t="str">
        <f>IF(VLOOKUP(BC56,βοηθητικό!$J$2:$N$354,3,FALSE)="","",VLOOKUP(BC56,βοηθητικό!$J$2:$N$354,3,FALSE))</f>
        <v>_</v>
      </c>
      <c r="BE56" s="47"/>
      <c r="BF56" s="42" t="s">
        <v>16</v>
      </c>
      <c r="BG56" s="43" t="str">
        <f>IF(VLOOKUP(BF56,βοηθητικό!$J$2:$N$354,3,FALSE)="","",VLOOKUP(BF56,βοηθητικό!$J$2:$N$354,3,FALSE))</f>
        <v>_</v>
      </c>
      <c r="BH56" s="44"/>
      <c r="BI56" s="45" t="s">
        <v>16</v>
      </c>
      <c r="BJ56" s="46" t="str">
        <f>IF(VLOOKUP(BI56,βοηθητικό!$J$2:$N$354,3,FALSE)="","",VLOOKUP(BI56,βοηθητικό!$J$2:$N$354,3,FALSE))</f>
        <v>_</v>
      </c>
      <c r="BK56" s="47"/>
      <c r="BL56" s="42" t="s">
        <v>16</v>
      </c>
      <c r="BM56" s="43" t="str">
        <f>IF(VLOOKUP(BL56,βοηθητικό!$J$2:$N$354,3,FALSE)="","",VLOOKUP(BL56,βοηθητικό!$J$2:$N$354,3,FALSE))</f>
        <v>_</v>
      </c>
      <c r="BN56" s="44"/>
      <c r="BO56" s="45" t="s">
        <v>16</v>
      </c>
      <c r="BP56" s="46" t="str">
        <f>IF(VLOOKUP(BO56,βοηθητικό!$J$2:$N$354,3,FALSE)="","",VLOOKUP(BO56,βοηθητικό!$J$2:$N$354,3,FALSE))</f>
        <v>_</v>
      </c>
      <c r="BQ56" s="47"/>
      <c r="BR56" s="42" t="s">
        <v>16</v>
      </c>
      <c r="BS56" s="43" t="str">
        <f>IF(VLOOKUP(BR56,βοηθητικό!$J$2:$N$354,3,FALSE)="","",VLOOKUP(BR56,βοηθητικό!$J$2:$N$354,3,FALSE))</f>
        <v>_</v>
      </c>
      <c r="BT56" s="44"/>
      <c r="BU56" s="45" t="s">
        <v>16</v>
      </c>
      <c r="BV56" s="46" t="str">
        <f>IF(VLOOKUP(BU56,βοηθητικό!$J$2:$N$354,3,FALSE)="","",VLOOKUP(BU56,βοηθητικό!$J$2:$N$354,3,FALSE))</f>
        <v>_</v>
      </c>
      <c r="BW56" s="47"/>
      <c r="BX56" s="42" t="s">
        <v>16</v>
      </c>
      <c r="BY56" s="43" t="str">
        <f>IF(VLOOKUP(BX56,βοηθητικό!$J$2:$N$354,3,FALSE)="","",VLOOKUP(BX56,βοηθητικό!$J$2:$N$354,3,FALSE))</f>
        <v>_</v>
      </c>
      <c r="BZ56" s="44"/>
      <c r="CA56" s="45" t="s">
        <v>16</v>
      </c>
      <c r="CB56" s="46" t="str">
        <f>IF(VLOOKUP(CA56,βοηθητικό!$J$2:$N$354,3,FALSE)="","",VLOOKUP(CA56,βοηθητικό!$J$2:$N$354,3,FALSE))</f>
        <v>_</v>
      </c>
      <c r="CC56" s="47"/>
      <c r="CD56" s="42" t="s">
        <v>16</v>
      </c>
      <c r="CE56" s="43" t="str">
        <f>IF(VLOOKUP(CD56,βοηθητικό!$J$2:$N$354,3,FALSE)="","",VLOOKUP(CD56,βοηθητικό!$J$2:$N$354,3,FALSE))</f>
        <v>_</v>
      </c>
      <c r="CF56" s="44"/>
      <c r="CG56" s="45" t="s">
        <v>16</v>
      </c>
      <c r="CH56" s="46" t="str">
        <f>IF(VLOOKUP(CG56,βοηθητικό!$J$2:$N$354,3,FALSE)="","",VLOOKUP(CG56,βοηθητικό!$J$2:$N$354,3,FALSE))</f>
        <v>_</v>
      </c>
      <c r="CI56" s="47"/>
      <c r="CJ56" s="42" t="s">
        <v>16</v>
      </c>
      <c r="CK56" s="43" t="str">
        <f>IF(VLOOKUP(CJ56,βοηθητικό!$J$2:$N$354,3,FALSE)="","",VLOOKUP(CJ56,βοηθητικό!$J$2:$N$354,3,FALSE))</f>
        <v>_</v>
      </c>
      <c r="CL56" s="44"/>
      <c r="CM56" s="45" t="s">
        <v>16</v>
      </c>
      <c r="CN56" s="46" t="str">
        <f>IF(VLOOKUP(CM56,βοηθητικό!$J$2:$N$354,3,FALSE)="","",VLOOKUP(CM56,βοηθητικό!$J$2:$N$354,3,FALSE))</f>
        <v>_</v>
      </c>
      <c r="CO56" s="47"/>
      <c r="CP56" s="42" t="s">
        <v>16</v>
      </c>
      <c r="CQ56" s="43" t="str">
        <f>IF(VLOOKUP(CP56,βοηθητικό!$J$2:$N$354,3,FALSE)="","",VLOOKUP(CP56,βοηθητικό!$J$2:$N$354,3,FALSE))</f>
        <v>_</v>
      </c>
      <c r="CR56" s="44"/>
      <c r="CS56" s="45" t="s">
        <v>16</v>
      </c>
      <c r="CT56" s="46" t="str">
        <f>IF(VLOOKUP(CS56,βοηθητικό!$J$2:$N$354,3,FALSE)="","",VLOOKUP(CS56,βοηθητικό!$J$2:$N$354,3,FALSE))</f>
        <v>_</v>
      </c>
      <c r="CU56" s="47"/>
    </row>
    <row r="57" spans="1:99" x14ac:dyDescent="0.25">
      <c r="A57" s="37">
        <f>--SUBTOTAL(3,$B$3:B56)</f>
        <v>54</v>
      </c>
      <c r="B57" s="2">
        <v>45096</v>
      </c>
      <c r="C57" s="3">
        <v>45102</v>
      </c>
      <c r="D57" s="55" t="s">
        <v>127</v>
      </c>
      <c r="E57" s="38" t="s">
        <v>16</v>
      </c>
      <c r="F57" s="38" t="s">
        <v>16</v>
      </c>
      <c r="G57" s="39" t="str">
        <f t="shared" si="2"/>
        <v>__</v>
      </c>
      <c r="H57" s="40" t="str">
        <f t="shared" si="3"/>
        <v>FALSE</v>
      </c>
      <c r="I57" s="41">
        <f t="shared" si="4"/>
        <v>7</v>
      </c>
      <c r="J57" s="4" t="s">
        <v>1476</v>
      </c>
      <c r="K57" s="43" t="str">
        <f>IF(VLOOKUP(J57,βοηθητικό!$J$2:$N$354,3,FALSE)="","",VLOOKUP(J57,βοηθητικό!$J$2:$N$354,3,FALSE))</f>
        <v>6946808213</v>
      </c>
      <c r="L57" s="44"/>
      <c r="M57" s="5" t="s">
        <v>1499</v>
      </c>
      <c r="N57" s="46" t="str">
        <f>IF(VLOOKUP(M57,βοηθητικό!$J$2:$N$354,3,FALSE)="","",VLOOKUP(M57,βοηθητικό!$J$2:$N$354,3,FALSE))</f>
        <v>6946014358</v>
      </c>
      <c r="O57" s="47"/>
      <c r="P57" s="4" t="s">
        <v>1473</v>
      </c>
      <c r="Q57" s="43" t="str">
        <f>IF(VLOOKUP(P57,βοηθητικό!$J$2:$N$354,3,FALSE)="","",VLOOKUP(P57,βοηθητικό!$J$2:$N$354,3,FALSE))</f>
        <v>6937601117</v>
      </c>
      <c r="R57" s="44"/>
      <c r="S57" s="5" t="s">
        <v>1417</v>
      </c>
      <c r="T57" s="46" t="str">
        <f>IF(VLOOKUP(S57,βοηθητικό!$J$2:$N$354,3,FALSE)="","",VLOOKUP(S57,βοηθητικό!$J$2:$N$354,3,FALSE))</f>
        <v>6932436923</v>
      </c>
      <c r="U57" s="47"/>
      <c r="V57" s="4" t="s">
        <v>1414</v>
      </c>
      <c r="W57" s="43" t="str">
        <f>IF(VLOOKUP(V57,βοηθητικό!$J$2:$N$354,3,FALSE)="","",VLOOKUP(V57,βοηθητικό!$J$2:$N$354,3,FALSE))</f>
        <v>6908866517</v>
      </c>
      <c r="X57" s="44"/>
      <c r="Y57" s="5" t="s">
        <v>1470</v>
      </c>
      <c r="Z57" s="46">
        <f>IF(VLOOKUP(Y57,βοηθητικό!$J$2:$N$354,3,FALSE)="","",VLOOKUP(Y57,βοηθητικό!$J$2:$N$354,3,FALSE))</f>
        <v>6946954972</v>
      </c>
      <c r="AA57" s="47"/>
      <c r="AB57" s="4" t="s">
        <v>1437</v>
      </c>
      <c r="AC57" s="43" t="str">
        <f>IF(VLOOKUP(AB57,βοηθητικό!$J$2:$N$354,3,FALSE)="","",VLOOKUP(AB57,βοηθητικό!$J$2:$N$354,3,FALSE))</f>
        <v>6971594645</v>
      </c>
      <c r="AD57" s="44"/>
      <c r="AE57" s="5" t="s">
        <v>16</v>
      </c>
      <c r="AF57" s="46" t="str">
        <f>IF(VLOOKUP(AE57,βοηθητικό!$J$2:$N$354,3,FALSE)="","",VLOOKUP(AE57,βοηθητικό!$J$2:$N$354,3,FALSE))</f>
        <v>_</v>
      </c>
      <c r="AG57" s="47"/>
      <c r="AH57" s="4" t="s">
        <v>16</v>
      </c>
      <c r="AI57" s="43" t="str">
        <f>IF(VLOOKUP(AH57,βοηθητικό!$J$2:$N$354,3,FALSE)="","",VLOOKUP(AH57,βοηθητικό!$J$2:$N$354,3,FALSE))</f>
        <v>_</v>
      </c>
      <c r="AJ57" s="44"/>
      <c r="AK57" s="5" t="s">
        <v>16</v>
      </c>
      <c r="AL57" s="46" t="str">
        <f>IF(VLOOKUP(AK57,βοηθητικό!$J$2:$N$354,3,FALSE)="","",VLOOKUP(AK57,βοηθητικό!$J$2:$N$354,3,FALSE))</f>
        <v>_</v>
      </c>
      <c r="AM57" s="47"/>
      <c r="AN57" s="4" t="s">
        <v>16</v>
      </c>
      <c r="AO57" s="43" t="str">
        <f>IF(VLOOKUP(AN57,βοηθητικό!$J$2:$N$354,3,FALSE)="","",VLOOKUP(AN57,βοηθητικό!$J$2:$N$354,3,FALSE))</f>
        <v>_</v>
      </c>
      <c r="AP57" s="44"/>
      <c r="AQ57" s="5" t="s">
        <v>16</v>
      </c>
      <c r="AR57" s="46" t="str">
        <f>IF(VLOOKUP(AQ57,βοηθητικό!$J$2:$N$354,3,FALSE)="","",VLOOKUP(AQ57,βοηθητικό!$J$2:$N$354,3,FALSE))</f>
        <v>_</v>
      </c>
      <c r="AS57" s="47"/>
      <c r="AT57" s="4" t="s">
        <v>16</v>
      </c>
      <c r="AU57" s="43" t="str">
        <f>IF(VLOOKUP(AT57,βοηθητικό!$J$2:$N$354,3,FALSE)="","",VLOOKUP(AT57,βοηθητικό!$J$2:$N$354,3,FALSE))</f>
        <v>_</v>
      </c>
      <c r="AV57" s="44"/>
      <c r="AW57" s="5" t="s">
        <v>16</v>
      </c>
      <c r="AX57" s="46" t="str">
        <f>IF(VLOOKUP(AW57,βοηθητικό!$J$2:$N$354,3,FALSE)="","",VLOOKUP(AW57,βοηθητικό!$J$2:$N$354,3,FALSE))</f>
        <v>_</v>
      </c>
      <c r="AY57" s="47"/>
      <c r="AZ57" s="4" t="s">
        <v>16</v>
      </c>
      <c r="BA57" s="43" t="str">
        <f>IF(VLOOKUP(AZ57,βοηθητικό!$J$2:$N$354,3,FALSE)="","",VLOOKUP(AZ57,βοηθητικό!$J$2:$N$354,3,FALSE))</f>
        <v>_</v>
      </c>
      <c r="BB57" s="44"/>
      <c r="BC57" s="45" t="s">
        <v>16</v>
      </c>
      <c r="BD57" s="46" t="str">
        <f>IF(VLOOKUP(BC57,βοηθητικό!$J$2:$N$354,3,FALSE)="","",VLOOKUP(BC57,βοηθητικό!$J$2:$N$354,3,FALSE))</f>
        <v>_</v>
      </c>
      <c r="BE57" s="47"/>
      <c r="BF57" s="42" t="s">
        <v>16</v>
      </c>
      <c r="BG57" s="43" t="str">
        <f>IF(VLOOKUP(BF57,βοηθητικό!$J$2:$N$354,3,FALSE)="","",VLOOKUP(BF57,βοηθητικό!$J$2:$N$354,3,FALSE))</f>
        <v>_</v>
      </c>
      <c r="BH57" s="44"/>
      <c r="BI57" s="45" t="s">
        <v>16</v>
      </c>
      <c r="BJ57" s="46" t="str">
        <f>IF(VLOOKUP(BI57,βοηθητικό!$J$2:$N$354,3,FALSE)="","",VLOOKUP(BI57,βοηθητικό!$J$2:$N$354,3,FALSE))</f>
        <v>_</v>
      </c>
      <c r="BK57" s="47"/>
      <c r="BL57" s="42" t="s">
        <v>16</v>
      </c>
      <c r="BM57" s="43" t="str">
        <f>IF(VLOOKUP(BL57,βοηθητικό!$J$2:$N$354,3,FALSE)="","",VLOOKUP(BL57,βοηθητικό!$J$2:$N$354,3,FALSE))</f>
        <v>_</v>
      </c>
      <c r="BN57" s="44"/>
      <c r="BO57" s="45" t="s">
        <v>16</v>
      </c>
      <c r="BP57" s="46" t="str">
        <f>IF(VLOOKUP(BO57,βοηθητικό!$J$2:$N$354,3,FALSE)="","",VLOOKUP(BO57,βοηθητικό!$J$2:$N$354,3,FALSE))</f>
        <v>_</v>
      </c>
      <c r="BQ57" s="47"/>
      <c r="BR57" s="42" t="s">
        <v>16</v>
      </c>
      <c r="BS57" s="43" t="str">
        <f>IF(VLOOKUP(BR57,βοηθητικό!$J$2:$N$354,3,FALSE)="","",VLOOKUP(BR57,βοηθητικό!$J$2:$N$354,3,FALSE))</f>
        <v>_</v>
      </c>
      <c r="BT57" s="44"/>
      <c r="BU57" s="45" t="s">
        <v>16</v>
      </c>
      <c r="BV57" s="46" t="str">
        <f>IF(VLOOKUP(BU57,βοηθητικό!$J$2:$N$354,3,FALSE)="","",VLOOKUP(BU57,βοηθητικό!$J$2:$N$354,3,FALSE))</f>
        <v>_</v>
      </c>
      <c r="BW57" s="47"/>
      <c r="BX57" s="42" t="s">
        <v>16</v>
      </c>
      <c r="BY57" s="43" t="str">
        <f>IF(VLOOKUP(BX57,βοηθητικό!$J$2:$N$354,3,FALSE)="","",VLOOKUP(BX57,βοηθητικό!$J$2:$N$354,3,FALSE))</f>
        <v>_</v>
      </c>
      <c r="BZ57" s="44"/>
      <c r="CA57" s="45" t="s">
        <v>16</v>
      </c>
      <c r="CB57" s="46" t="str">
        <f>IF(VLOOKUP(CA57,βοηθητικό!$J$2:$N$354,3,FALSE)="","",VLOOKUP(CA57,βοηθητικό!$J$2:$N$354,3,FALSE))</f>
        <v>_</v>
      </c>
      <c r="CC57" s="47"/>
      <c r="CD57" s="42" t="s">
        <v>16</v>
      </c>
      <c r="CE57" s="43" t="str">
        <f>IF(VLOOKUP(CD57,βοηθητικό!$J$2:$N$354,3,FALSE)="","",VLOOKUP(CD57,βοηθητικό!$J$2:$N$354,3,FALSE))</f>
        <v>_</v>
      </c>
      <c r="CF57" s="44"/>
      <c r="CG57" s="45" t="s">
        <v>16</v>
      </c>
      <c r="CH57" s="46" t="str">
        <f>IF(VLOOKUP(CG57,βοηθητικό!$J$2:$N$354,3,FALSE)="","",VLOOKUP(CG57,βοηθητικό!$J$2:$N$354,3,FALSE))</f>
        <v>_</v>
      </c>
      <c r="CI57" s="47"/>
      <c r="CJ57" s="42" t="s">
        <v>16</v>
      </c>
      <c r="CK57" s="43" t="str">
        <f>IF(VLOOKUP(CJ57,βοηθητικό!$J$2:$N$354,3,FALSE)="","",VLOOKUP(CJ57,βοηθητικό!$J$2:$N$354,3,FALSE))</f>
        <v>_</v>
      </c>
      <c r="CL57" s="44"/>
      <c r="CM57" s="45" t="s">
        <v>16</v>
      </c>
      <c r="CN57" s="46" t="str">
        <f>IF(VLOOKUP(CM57,βοηθητικό!$J$2:$N$354,3,FALSE)="","",VLOOKUP(CM57,βοηθητικό!$J$2:$N$354,3,FALSE))</f>
        <v>_</v>
      </c>
      <c r="CO57" s="47"/>
      <c r="CP57" s="42" t="s">
        <v>16</v>
      </c>
      <c r="CQ57" s="43" t="str">
        <f>IF(VLOOKUP(CP57,βοηθητικό!$J$2:$N$354,3,FALSE)="","",VLOOKUP(CP57,βοηθητικό!$J$2:$N$354,3,FALSE))</f>
        <v>_</v>
      </c>
      <c r="CR57" s="44"/>
      <c r="CS57" s="45" t="s">
        <v>16</v>
      </c>
      <c r="CT57" s="46" t="str">
        <f>IF(VLOOKUP(CS57,βοηθητικό!$J$2:$N$354,3,FALSE)="","",VLOOKUP(CS57,βοηθητικό!$J$2:$N$354,3,FALSE))</f>
        <v>_</v>
      </c>
      <c r="CU57" s="47"/>
    </row>
    <row r="58" spans="1:99" x14ac:dyDescent="0.25">
      <c r="A58" s="37">
        <f>--SUBTOTAL(3,$B$3:B57)</f>
        <v>55</v>
      </c>
      <c r="B58" s="2">
        <v>45103</v>
      </c>
      <c r="C58" s="3">
        <v>45109</v>
      </c>
      <c r="D58" s="55" t="s">
        <v>127</v>
      </c>
      <c r="E58" s="38" t="s">
        <v>16</v>
      </c>
      <c r="F58" s="38" t="s">
        <v>16</v>
      </c>
      <c r="G58" s="39" t="str">
        <f t="shared" si="2"/>
        <v>__</v>
      </c>
      <c r="H58" s="40" t="str">
        <f t="shared" si="3"/>
        <v>FALSE</v>
      </c>
      <c r="I58" s="41">
        <f t="shared" si="4"/>
        <v>7</v>
      </c>
      <c r="J58" s="4" t="s">
        <v>1424</v>
      </c>
      <c r="K58" s="43" t="str">
        <f>IF(VLOOKUP(J58,βοηθητικό!$J$2:$N$354,3,FALSE)="","",VLOOKUP(J58,βοηθητικό!$J$2:$N$354,3,FALSE))</f>
        <v>6970994433</v>
      </c>
      <c r="L58" s="44"/>
      <c r="M58" s="5" t="s">
        <v>1464</v>
      </c>
      <c r="N58" s="46" t="str">
        <f>IF(VLOOKUP(M58,βοηθητικό!$J$2:$N$354,3,FALSE)="","",VLOOKUP(M58,βοηθητικό!$J$2:$N$354,3,FALSE))</f>
        <v>6937334275</v>
      </c>
      <c r="O58" s="47"/>
      <c r="P58" s="4" t="s">
        <v>1493</v>
      </c>
      <c r="Q58" s="43" t="str">
        <f>IF(VLOOKUP(P58,βοηθητικό!$J$2:$N$354,3,FALSE)="","",VLOOKUP(P58,βοηθητικό!$J$2:$N$354,3,FALSE))</f>
        <v>6978022104</v>
      </c>
      <c r="R58" s="44"/>
      <c r="S58" s="5" t="s">
        <v>1452</v>
      </c>
      <c r="T58" s="46" t="str">
        <f>IF(VLOOKUP(S58,βοηθητικό!$J$2:$N$354,3,FALSE)="","",VLOOKUP(S58,βοηθητικό!$J$2:$N$354,3,FALSE))</f>
        <v>6944240803</v>
      </c>
      <c r="U58" s="47"/>
      <c r="V58" s="4" t="s">
        <v>1431</v>
      </c>
      <c r="W58" s="43" t="str">
        <f>IF(VLOOKUP(V58,βοηθητικό!$J$2:$N$354,3,FALSE)="","",VLOOKUP(V58,βοηθητικό!$J$2:$N$354,3,FALSE))</f>
        <v>6975534675</v>
      </c>
      <c r="X58" s="44"/>
      <c r="Y58" s="5" t="s">
        <v>1440</v>
      </c>
      <c r="Z58" s="46" t="str">
        <f>IF(VLOOKUP(Y58,βοηθητικό!$J$2:$N$354,3,FALSE)="","",VLOOKUP(Y58,βοηθητικό!$J$2:$N$354,3,FALSE))</f>
        <v>6978143337</v>
      </c>
      <c r="AA58" s="47"/>
      <c r="AB58" s="4" t="s">
        <v>1428</v>
      </c>
      <c r="AC58" s="43" t="str">
        <f>IF(VLOOKUP(AB58,βοηθητικό!$J$2:$N$354,3,FALSE)="","",VLOOKUP(AB58,βοηθητικό!$J$2:$N$354,3,FALSE))</f>
        <v>6984730924</v>
      </c>
      <c r="AD58" s="44"/>
      <c r="AE58" s="5" t="s">
        <v>16</v>
      </c>
      <c r="AF58" s="46" t="str">
        <f>IF(VLOOKUP(AE58,βοηθητικό!$J$2:$N$354,3,FALSE)="","",VLOOKUP(AE58,βοηθητικό!$J$2:$N$354,3,FALSE))</f>
        <v>_</v>
      </c>
      <c r="AG58" s="47"/>
      <c r="AH58" s="4" t="s">
        <v>16</v>
      </c>
      <c r="AI58" s="43" t="str">
        <f>IF(VLOOKUP(AH58,βοηθητικό!$J$2:$N$354,3,FALSE)="","",VLOOKUP(AH58,βοηθητικό!$J$2:$N$354,3,FALSE))</f>
        <v>_</v>
      </c>
      <c r="AJ58" s="44"/>
      <c r="AK58" s="5" t="s">
        <v>16</v>
      </c>
      <c r="AL58" s="46" t="str">
        <f>IF(VLOOKUP(AK58,βοηθητικό!$J$2:$N$354,3,FALSE)="","",VLOOKUP(AK58,βοηθητικό!$J$2:$N$354,3,FALSE))</f>
        <v>_</v>
      </c>
      <c r="AM58" s="47"/>
      <c r="AN58" s="4" t="s">
        <v>16</v>
      </c>
      <c r="AO58" s="43" t="str">
        <f>IF(VLOOKUP(AN58,βοηθητικό!$J$2:$N$354,3,FALSE)="","",VLOOKUP(AN58,βοηθητικό!$J$2:$N$354,3,FALSE))</f>
        <v>_</v>
      </c>
      <c r="AP58" s="44"/>
      <c r="AQ58" s="5" t="s">
        <v>16</v>
      </c>
      <c r="AR58" s="46" t="str">
        <f>IF(VLOOKUP(AQ58,βοηθητικό!$J$2:$N$354,3,FALSE)="","",VLOOKUP(AQ58,βοηθητικό!$J$2:$N$354,3,FALSE))</f>
        <v>_</v>
      </c>
      <c r="AS58" s="47"/>
      <c r="AT58" s="4" t="s">
        <v>16</v>
      </c>
      <c r="AU58" s="43" t="str">
        <f>IF(VLOOKUP(AT58,βοηθητικό!$J$2:$N$354,3,FALSE)="","",VLOOKUP(AT58,βοηθητικό!$J$2:$N$354,3,FALSE))</f>
        <v>_</v>
      </c>
      <c r="AV58" s="44"/>
      <c r="AW58" s="5" t="s">
        <v>16</v>
      </c>
      <c r="AX58" s="46" t="str">
        <f>IF(VLOOKUP(AW58,βοηθητικό!$J$2:$N$354,3,FALSE)="","",VLOOKUP(AW58,βοηθητικό!$J$2:$N$354,3,FALSE))</f>
        <v>_</v>
      </c>
      <c r="AY58" s="47"/>
      <c r="AZ58" s="4" t="s">
        <v>16</v>
      </c>
      <c r="BA58" s="43" t="str">
        <f>IF(VLOOKUP(AZ58,βοηθητικό!$J$2:$N$354,3,FALSE)="","",VLOOKUP(AZ58,βοηθητικό!$J$2:$N$354,3,FALSE))</f>
        <v>_</v>
      </c>
      <c r="BB58" s="44"/>
      <c r="BC58" s="45" t="s">
        <v>16</v>
      </c>
      <c r="BD58" s="46" t="str">
        <f>IF(VLOOKUP(BC58,βοηθητικό!$J$2:$N$354,3,FALSE)="","",VLOOKUP(BC58,βοηθητικό!$J$2:$N$354,3,FALSE))</f>
        <v>_</v>
      </c>
      <c r="BE58" s="47"/>
      <c r="BF58" s="42" t="s">
        <v>16</v>
      </c>
      <c r="BG58" s="43" t="str">
        <f>IF(VLOOKUP(BF58,βοηθητικό!$J$2:$N$354,3,FALSE)="","",VLOOKUP(BF58,βοηθητικό!$J$2:$N$354,3,FALSE))</f>
        <v>_</v>
      </c>
      <c r="BH58" s="44"/>
      <c r="BI58" s="45" t="s">
        <v>16</v>
      </c>
      <c r="BJ58" s="46" t="str">
        <f>IF(VLOOKUP(BI58,βοηθητικό!$J$2:$N$354,3,FALSE)="","",VLOOKUP(BI58,βοηθητικό!$J$2:$N$354,3,FALSE))</f>
        <v>_</v>
      </c>
      <c r="BK58" s="47"/>
      <c r="BL58" s="42" t="s">
        <v>16</v>
      </c>
      <c r="BM58" s="43" t="str">
        <f>IF(VLOOKUP(BL58,βοηθητικό!$J$2:$N$354,3,FALSE)="","",VLOOKUP(BL58,βοηθητικό!$J$2:$N$354,3,FALSE))</f>
        <v>_</v>
      </c>
      <c r="BN58" s="44"/>
      <c r="BO58" s="45" t="s">
        <v>16</v>
      </c>
      <c r="BP58" s="46" t="str">
        <f>IF(VLOOKUP(BO58,βοηθητικό!$J$2:$N$354,3,FALSE)="","",VLOOKUP(BO58,βοηθητικό!$J$2:$N$354,3,FALSE))</f>
        <v>_</v>
      </c>
      <c r="BQ58" s="47"/>
      <c r="BR58" s="42" t="s">
        <v>16</v>
      </c>
      <c r="BS58" s="43" t="str">
        <f>IF(VLOOKUP(BR58,βοηθητικό!$J$2:$N$354,3,FALSE)="","",VLOOKUP(BR58,βοηθητικό!$J$2:$N$354,3,FALSE))</f>
        <v>_</v>
      </c>
      <c r="BT58" s="44"/>
      <c r="BU58" s="45" t="s">
        <v>16</v>
      </c>
      <c r="BV58" s="46" t="str">
        <f>IF(VLOOKUP(BU58,βοηθητικό!$J$2:$N$354,3,FALSE)="","",VLOOKUP(BU58,βοηθητικό!$J$2:$N$354,3,FALSE))</f>
        <v>_</v>
      </c>
      <c r="BW58" s="47"/>
      <c r="BX58" s="42" t="s">
        <v>16</v>
      </c>
      <c r="BY58" s="43" t="str">
        <f>IF(VLOOKUP(BX58,βοηθητικό!$J$2:$N$354,3,FALSE)="","",VLOOKUP(BX58,βοηθητικό!$J$2:$N$354,3,FALSE))</f>
        <v>_</v>
      </c>
      <c r="BZ58" s="44"/>
      <c r="CA58" s="45" t="s">
        <v>16</v>
      </c>
      <c r="CB58" s="46" t="str">
        <f>IF(VLOOKUP(CA58,βοηθητικό!$J$2:$N$354,3,FALSE)="","",VLOOKUP(CA58,βοηθητικό!$J$2:$N$354,3,FALSE))</f>
        <v>_</v>
      </c>
      <c r="CC58" s="47"/>
      <c r="CD58" s="42" t="s">
        <v>16</v>
      </c>
      <c r="CE58" s="43" t="str">
        <f>IF(VLOOKUP(CD58,βοηθητικό!$J$2:$N$354,3,FALSE)="","",VLOOKUP(CD58,βοηθητικό!$J$2:$N$354,3,FALSE))</f>
        <v>_</v>
      </c>
      <c r="CF58" s="44"/>
      <c r="CG58" s="45" t="s">
        <v>16</v>
      </c>
      <c r="CH58" s="46" t="str">
        <f>IF(VLOOKUP(CG58,βοηθητικό!$J$2:$N$354,3,FALSE)="","",VLOOKUP(CG58,βοηθητικό!$J$2:$N$354,3,FALSE))</f>
        <v>_</v>
      </c>
      <c r="CI58" s="47"/>
      <c r="CJ58" s="42" t="s">
        <v>16</v>
      </c>
      <c r="CK58" s="43" t="str">
        <f>IF(VLOOKUP(CJ58,βοηθητικό!$J$2:$N$354,3,FALSE)="","",VLOOKUP(CJ58,βοηθητικό!$J$2:$N$354,3,FALSE))</f>
        <v>_</v>
      </c>
      <c r="CL58" s="44"/>
      <c r="CM58" s="45" t="s">
        <v>16</v>
      </c>
      <c r="CN58" s="46" t="str">
        <f>IF(VLOOKUP(CM58,βοηθητικό!$J$2:$N$354,3,FALSE)="","",VLOOKUP(CM58,βοηθητικό!$J$2:$N$354,3,FALSE))</f>
        <v>_</v>
      </c>
      <c r="CO58" s="47"/>
      <c r="CP58" s="42" t="s">
        <v>16</v>
      </c>
      <c r="CQ58" s="43" t="str">
        <f>IF(VLOOKUP(CP58,βοηθητικό!$J$2:$N$354,3,FALSE)="","",VLOOKUP(CP58,βοηθητικό!$J$2:$N$354,3,FALSE))</f>
        <v>_</v>
      </c>
      <c r="CR58" s="44"/>
      <c r="CS58" s="45" t="s">
        <v>16</v>
      </c>
      <c r="CT58" s="46" t="str">
        <f>IF(VLOOKUP(CS58,βοηθητικό!$J$2:$N$354,3,FALSE)="","",VLOOKUP(CS58,βοηθητικό!$J$2:$N$354,3,FALSE))</f>
        <v>_</v>
      </c>
      <c r="CU58" s="47"/>
    </row>
    <row r="59" spans="1:99" x14ac:dyDescent="0.25">
      <c r="A59" s="37">
        <f>--SUBTOTAL(3,$B$3:B58)</f>
        <v>56</v>
      </c>
      <c r="B59" s="2">
        <v>45083</v>
      </c>
      <c r="C59" s="3">
        <v>45088</v>
      </c>
      <c r="D59" s="55" t="s">
        <v>74</v>
      </c>
      <c r="E59" s="38" t="s">
        <v>16</v>
      </c>
      <c r="F59" s="38" t="s">
        <v>16</v>
      </c>
      <c r="G59" s="39" t="str">
        <f t="shared" si="2"/>
        <v>__</v>
      </c>
      <c r="H59" s="40" t="str">
        <f t="shared" si="3"/>
        <v>FALSE</v>
      </c>
      <c r="I59" s="41">
        <f t="shared" si="4"/>
        <v>7</v>
      </c>
      <c r="J59" s="4" t="s">
        <v>769</v>
      </c>
      <c r="K59" s="43" t="str">
        <f>IF(VLOOKUP(J59,βοηθητικό!$J$2:$N$354,3,FALSE)="","",VLOOKUP(J59,βοηθητικό!$J$2:$N$354,3,FALSE))</f>
        <v>6985807315</v>
      </c>
      <c r="L59" s="44"/>
      <c r="M59" s="5" t="s">
        <v>782</v>
      </c>
      <c r="N59" s="46" t="str">
        <f>IF(VLOOKUP(M59,βοηθητικό!$J$2:$N$354,3,FALSE)="","",VLOOKUP(M59,βοηθητικό!$J$2:$N$354,3,FALSE))</f>
        <v>6983002093</v>
      </c>
      <c r="O59" s="47"/>
      <c r="P59" s="4" t="s">
        <v>804</v>
      </c>
      <c r="Q59" s="43" t="str">
        <f>IF(VLOOKUP(P59,βοηθητικό!$J$2:$N$354,3,FALSE)="","",VLOOKUP(P59,βοηθητικό!$J$2:$N$354,3,FALSE))</f>
        <v>6947244486</v>
      </c>
      <c r="R59" s="44"/>
      <c r="S59" s="5" t="s">
        <v>813</v>
      </c>
      <c r="T59" s="46">
        <f>IF(VLOOKUP(S59,βοηθητικό!$J$2:$N$354,3,FALSE)="","",VLOOKUP(S59,βοηθητικό!$J$2:$N$354,3,FALSE))</f>
        <v>6988292634</v>
      </c>
      <c r="U59" s="47"/>
      <c r="V59" s="4" t="s">
        <v>821</v>
      </c>
      <c r="W59" s="43">
        <f>IF(VLOOKUP(V59,βοηθητικό!$J$2:$N$354,3,FALSE)="","",VLOOKUP(V59,βοηθητικό!$J$2:$N$354,3,FALSE))</f>
        <v>6973248110</v>
      </c>
      <c r="X59" s="44"/>
      <c r="Y59" s="5" t="s">
        <v>825</v>
      </c>
      <c r="Z59" s="46">
        <f>IF(VLOOKUP(Y59,βοηθητικό!$J$2:$N$354,3,FALSE)="","",VLOOKUP(Y59,βοηθητικό!$J$2:$N$354,3,FALSE))</f>
        <v>6907538451</v>
      </c>
      <c r="AA59" s="47"/>
      <c r="AB59" s="4" t="s">
        <v>864</v>
      </c>
      <c r="AC59" s="43">
        <f>IF(VLOOKUP(AB59,βοηθητικό!$J$2:$N$354,3,FALSE)="","",VLOOKUP(AB59,βοηθητικό!$J$2:$N$354,3,FALSE))</f>
        <v>6973430967</v>
      </c>
      <c r="AD59" s="44"/>
      <c r="AE59" s="5" t="s">
        <v>16</v>
      </c>
      <c r="AF59" s="46" t="str">
        <f>IF(VLOOKUP(AE59,βοηθητικό!$J$2:$N$354,3,FALSE)="","",VLOOKUP(AE59,βοηθητικό!$J$2:$N$354,3,FALSE))</f>
        <v>_</v>
      </c>
      <c r="AG59" s="47"/>
      <c r="AH59" s="4" t="s">
        <v>16</v>
      </c>
      <c r="AI59" s="43" t="str">
        <f>IF(VLOOKUP(AH59,βοηθητικό!$J$2:$N$354,3,FALSE)="","",VLOOKUP(AH59,βοηθητικό!$J$2:$N$354,3,FALSE))</f>
        <v>_</v>
      </c>
      <c r="AJ59" s="44"/>
      <c r="AK59" s="5" t="s">
        <v>16</v>
      </c>
      <c r="AL59" s="46" t="str">
        <f>IF(VLOOKUP(AK59,βοηθητικό!$J$2:$N$354,3,FALSE)="","",VLOOKUP(AK59,βοηθητικό!$J$2:$N$354,3,FALSE))</f>
        <v>_</v>
      </c>
      <c r="AM59" s="47"/>
      <c r="AN59" s="4" t="s">
        <v>16</v>
      </c>
      <c r="AO59" s="43" t="str">
        <f>IF(VLOOKUP(AN59,βοηθητικό!$J$2:$N$354,3,FALSE)="","",VLOOKUP(AN59,βοηθητικό!$J$2:$N$354,3,FALSE))</f>
        <v>_</v>
      </c>
      <c r="AP59" s="44"/>
      <c r="AQ59" s="5" t="s">
        <v>16</v>
      </c>
      <c r="AR59" s="46" t="str">
        <f>IF(VLOOKUP(AQ59,βοηθητικό!$J$2:$N$354,3,FALSE)="","",VLOOKUP(AQ59,βοηθητικό!$J$2:$N$354,3,FALSE))</f>
        <v>_</v>
      </c>
      <c r="AS59" s="47"/>
      <c r="AT59" s="4" t="s">
        <v>16</v>
      </c>
      <c r="AU59" s="43" t="str">
        <f>IF(VLOOKUP(AT59,βοηθητικό!$J$2:$N$354,3,FALSE)="","",VLOOKUP(AT59,βοηθητικό!$J$2:$N$354,3,FALSE))</f>
        <v>_</v>
      </c>
      <c r="AV59" s="44"/>
      <c r="AW59" s="5" t="s">
        <v>16</v>
      </c>
      <c r="AX59" s="46" t="str">
        <f>IF(VLOOKUP(AW59,βοηθητικό!$J$2:$N$354,3,FALSE)="","",VLOOKUP(AW59,βοηθητικό!$J$2:$N$354,3,FALSE))</f>
        <v>_</v>
      </c>
      <c r="AY59" s="47"/>
      <c r="AZ59" s="4" t="s">
        <v>16</v>
      </c>
      <c r="BA59" s="43" t="str">
        <f>IF(VLOOKUP(AZ59,βοηθητικό!$J$2:$N$354,3,FALSE)="","",VLOOKUP(AZ59,βοηθητικό!$J$2:$N$354,3,FALSE))</f>
        <v>_</v>
      </c>
      <c r="BB59" s="44"/>
      <c r="BC59" s="45" t="s">
        <v>16</v>
      </c>
      <c r="BD59" s="46" t="str">
        <f>IF(VLOOKUP(BC59,βοηθητικό!$J$2:$N$354,3,FALSE)="","",VLOOKUP(BC59,βοηθητικό!$J$2:$N$354,3,FALSE))</f>
        <v>_</v>
      </c>
      <c r="BE59" s="47"/>
      <c r="BF59" s="42" t="s">
        <v>16</v>
      </c>
      <c r="BG59" s="43" t="str">
        <f>IF(VLOOKUP(BF59,βοηθητικό!$J$2:$N$354,3,FALSE)="","",VLOOKUP(BF59,βοηθητικό!$J$2:$N$354,3,FALSE))</f>
        <v>_</v>
      </c>
      <c r="BH59" s="44"/>
      <c r="BI59" s="45" t="s">
        <v>16</v>
      </c>
      <c r="BJ59" s="46" t="str">
        <f>IF(VLOOKUP(BI59,βοηθητικό!$J$2:$N$354,3,FALSE)="","",VLOOKUP(BI59,βοηθητικό!$J$2:$N$354,3,FALSE))</f>
        <v>_</v>
      </c>
      <c r="BK59" s="47"/>
      <c r="BL59" s="42" t="s">
        <v>16</v>
      </c>
      <c r="BM59" s="43" t="str">
        <f>IF(VLOOKUP(BL59,βοηθητικό!$J$2:$N$354,3,FALSE)="","",VLOOKUP(BL59,βοηθητικό!$J$2:$N$354,3,FALSE))</f>
        <v>_</v>
      </c>
      <c r="BN59" s="44"/>
      <c r="BO59" s="45" t="s">
        <v>16</v>
      </c>
      <c r="BP59" s="46" t="str">
        <f>IF(VLOOKUP(BO59,βοηθητικό!$J$2:$N$354,3,FALSE)="","",VLOOKUP(BO59,βοηθητικό!$J$2:$N$354,3,FALSE))</f>
        <v>_</v>
      </c>
      <c r="BQ59" s="47"/>
      <c r="BR59" s="42" t="s">
        <v>16</v>
      </c>
      <c r="BS59" s="43" t="str">
        <f>IF(VLOOKUP(BR59,βοηθητικό!$J$2:$N$354,3,FALSE)="","",VLOOKUP(BR59,βοηθητικό!$J$2:$N$354,3,FALSE))</f>
        <v>_</v>
      </c>
      <c r="BT59" s="44"/>
      <c r="BU59" s="45" t="s">
        <v>16</v>
      </c>
      <c r="BV59" s="46" t="str">
        <f>IF(VLOOKUP(BU59,βοηθητικό!$J$2:$N$354,3,FALSE)="","",VLOOKUP(BU59,βοηθητικό!$J$2:$N$354,3,FALSE))</f>
        <v>_</v>
      </c>
      <c r="BW59" s="47"/>
      <c r="BX59" s="42" t="s">
        <v>16</v>
      </c>
      <c r="BY59" s="43" t="str">
        <f>IF(VLOOKUP(BX59,βοηθητικό!$J$2:$N$354,3,FALSE)="","",VLOOKUP(BX59,βοηθητικό!$J$2:$N$354,3,FALSE))</f>
        <v>_</v>
      </c>
      <c r="BZ59" s="44"/>
      <c r="CA59" s="45" t="s">
        <v>16</v>
      </c>
      <c r="CB59" s="46" t="str">
        <f>IF(VLOOKUP(CA59,βοηθητικό!$J$2:$N$354,3,FALSE)="","",VLOOKUP(CA59,βοηθητικό!$J$2:$N$354,3,FALSE))</f>
        <v>_</v>
      </c>
      <c r="CC59" s="47"/>
      <c r="CD59" s="42" t="s">
        <v>16</v>
      </c>
      <c r="CE59" s="43" t="str">
        <f>IF(VLOOKUP(CD59,βοηθητικό!$J$2:$N$354,3,FALSE)="","",VLOOKUP(CD59,βοηθητικό!$J$2:$N$354,3,FALSE))</f>
        <v>_</v>
      </c>
      <c r="CF59" s="44"/>
      <c r="CG59" s="45" t="s">
        <v>16</v>
      </c>
      <c r="CH59" s="46" t="str">
        <f>IF(VLOOKUP(CG59,βοηθητικό!$J$2:$N$354,3,FALSE)="","",VLOOKUP(CG59,βοηθητικό!$J$2:$N$354,3,FALSE))</f>
        <v>_</v>
      </c>
      <c r="CI59" s="47"/>
      <c r="CJ59" s="42" t="s">
        <v>16</v>
      </c>
      <c r="CK59" s="43" t="str">
        <f>IF(VLOOKUP(CJ59,βοηθητικό!$J$2:$N$354,3,FALSE)="","",VLOOKUP(CJ59,βοηθητικό!$J$2:$N$354,3,FALSE))</f>
        <v>_</v>
      </c>
      <c r="CL59" s="44"/>
      <c r="CM59" s="45" t="s">
        <v>16</v>
      </c>
      <c r="CN59" s="46" t="str">
        <f>IF(VLOOKUP(CM59,βοηθητικό!$J$2:$N$354,3,FALSE)="","",VLOOKUP(CM59,βοηθητικό!$J$2:$N$354,3,FALSE))</f>
        <v>_</v>
      </c>
      <c r="CO59" s="47"/>
      <c r="CP59" s="42" t="s">
        <v>16</v>
      </c>
      <c r="CQ59" s="43" t="str">
        <f>IF(VLOOKUP(CP59,βοηθητικό!$J$2:$N$354,3,FALSE)="","",VLOOKUP(CP59,βοηθητικό!$J$2:$N$354,3,FALSE))</f>
        <v>_</v>
      </c>
      <c r="CR59" s="44"/>
      <c r="CS59" s="45" t="s">
        <v>16</v>
      </c>
      <c r="CT59" s="46" t="str">
        <f>IF(VLOOKUP(CS59,βοηθητικό!$J$2:$N$354,3,FALSE)="","",VLOOKUP(CS59,βοηθητικό!$J$2:$N$354,3,FALSE))</f>
        <v>_</v>
      </c>
      <c r="CU59" s="47"/>
    </row>
    <row r="60" spans="1:99" x14ac:dyDescent="0.25">
      <c r="A60" s="37">
        <f>--SUBTOTAL(3,$B$3:B59)</f>
        <v>57</v>
      </c>
      <c r="B60" s="2">
        <v>45089</v>
      </c>
      <c r="C60" s="3">
        <v>45095</v>
      </c>
      <c r="D60" s="55" t="s">
        <v>74</v>
      </c>
      <c r="E60" s="38" t="s">
        <v>16</v>
      </c>
      <c r="F60" s="38" t="s">
        <v>16</v>
      </c>
      <c r="G60" s="39" t="str">
        <f t="shared" si="2"/>
        <v>__</v>
      </c>
      <c r="H60" s="40" t="str">
        <f t="shared" si="3"/>
        <v>FALSE</v>
      </c>
      <c r="I60" s="41">
        <f t="shared" si="4"/>
        <v>7</v>
      </c>
      <c r="J60" s="4" t="s">
        <v>759</v>
      </c>
      <c r="K60" s="43" t="str">
        <f>IF(VLOOKUP(J60,βοηθητικό!$J$2:$N$354,3,FALSE)="","",VLOOKUP(J60,βοηθητικό!$J$2:$N$354,3,FALSE))</f>
        <v>2104824991</v>
      </c>
      <c r="L60" s="44"/>
      <c r="M60" s="5" t="s">
        <v>778</v>
      </c>
      <c r="N60" s="46" t="str">
        <f>IF(VLOOKUP(M60,βοηθητικό!$J$2:$N$354,3,FALSE)="","",VLOOKUP(M60,βοηθητικό!$J$2:$N$354,3,FALSE))</f>
        <v>6948465629</v>
      </c>
      <c r="O60" s="47"/>
      <c r="P60" s="4" t="s">
        <v>809</v>
      </c>
      <c r="Q60" s="43">
        <f>IF(VLOOKUP(P60,βοηθητικό!$J$2:$N$354,3,FALSE)="","",VLOOKUP(P60,βοηθητικό!$J$2:$N$354,3,FALSE))</f>
        <v>6937044836</v>
      </c>
      <c r="R60" s="44"/>
      <c r="S60" s="5" t="s">
        <v>828</v>
      </c>
      <c r="T60" s="46" t="str">
        <f>IF(VLOOKUP(S60,βοηθητικό!$J$2:$N$354,3,FALSE)="","",VLOOKUP(S60,βοηθητικό!$J$2:$N$354,3,FALSE))</f>
        <v>6981873196</v>
      </c>
      <c r="U60" s="47"/>
      <c r="V60" s="4" t="s">
        <v>843</v>
      </c>
      <c r="W60" s="43" t="str">
        <f>IF(VLOOKUP(V60,βοηθητικό!$J$2:$N$354,3,FALSE)="","",VLOOKUP(V60,βοηθητικό!$J$2:$N$354,3,FALSE))</f>
        <v>_</v>
      </c>
      <c r="X60" s="44"/>
      <c r="Y60" s="5" t="s">
        <v>860</v>
      </c>
      <c r="Z60" s="46">
        <f>IF(VLOOKUP(Y60,βοηθητικό!$J$2:$N$354,3,FALSE)="","",VLOOKUP(Y60,βοηθητικό!$J$2:$N$354,3,FALSE))</f>
        <v>6989500588</v>
      </c>
      <c r="AA60" s="47"/>
      <c r="AB60" s="4" t="s">
        <v>873</v>
      </c>
      <c r="AC60" s="43">
        <f>IF(VLOOKUP(AB60,βοηθητικό!$J$2:$N$354,3,FALSE)="","",VLOOKUP(AB60,βοηθητικό!$J$2:$N$354,3,FALSE))</f>
        <v>6988549425</v>
      </c>
      <c r="AD60" s="44"/>
      <c r="AE60" s="5" t="s">
        <v>16</v>
      </c>
      <c r="AF60" s="46" t="str">
        <f>IF(VLOOKUP(AE60,βοηθητικό!$J$2:$N$354,3,FALSE)="","",VLOOKUP(AE60,βοηθητικό!$J$2:$N$354,3,FALSE))</f>
        <v>_</v>
      </c>
      <c r="AG60" s="47"/>
      <c r="AH60" s="4" t="s">
        <v>16</v>
      </c>
      <c r="AI60" s="43" t="str">
        <f>IF(VLOOKUP(AH60,βοηθητικό!$J$2:$N$354,3,FALSE)="","",VLOOKUP(AH60,βοηθητικό!$J$2:$N$354,3,FALSE))</f>
        <v>_</v>
      </c>
      <c r="AJ60" s="44"/>
      <c r="AK60" s="5" t="s">
        <v>16</v>
      </c>
      <c r="AL60" s="46" t="str">
        <f>IF(VLOOKUP(AK60,βοηθητικό!$J$2:$N$354,3,FALSE)="","",VLOOKUP(AK60,βοηθητικό!$J$2:$N$354,3,FALSE))</f>
        <v>_</v>
      </c>
      <c r="AM60" s="47"/>
      <c r="AN60" s="4" t="s">
        <v>16</v>
      </c>
      <c r="AO60" s="43" t="str">
        <f>IF(VLOOKUP(AN60,βοηθητικό!$J$2:$N$354,3,FALSE)="","",VLOOKUP(AN60,βοηθητικό!$J$2:$N$354,3,FALSE))</f>
        <v>_</v>
      </c>
      <c r="AP60" s="44"/>
      <c r="AQ60" s="5" t="s">
        <v>16</v>
      </c>
      <c r="AR60" s="46" t="str">
        <f>IF(VLOOKUP(AQ60,βοηθητικό!$J$2:$N$354,3,FALSE)="","",VLOOKUP(AQ60,βοηθητικό!$J$2:$N$354,3,FALSE))</f>
        <v>_</v>
      </c>
      <c r="AS60" s="47"/>
      <c r="AT60" s="4" t="s">
        <v>16</v>
      </c>
      <c r="AU60" s="43" t="str">
        <f>IF(VLOOKUP(AT60,βοηθητικό!$J$2:$N$354,3,FALSE)="","",VLOOKUP(AT60,βοηθητικό!$J$2:$N$354,3,FALSE))</f>
        <v>_</v>
      </c>
      <c r="AV60" s="44"/>
      <c r="AW60" s="5" t="s">
        <v>16</v>
      </c>
      <c r="AX60" s="46" t="str">
        <f>IF(VLOOKUP(AW60,βοηθητικό!$J$2:$N$354,3,FALSE)="","",VLOOKUP(AW60,βοηθητικό!$J$2:$N$354,3,FALSE))</f>
        <v>_</v>
      </c>
      <c r="AY60" s="47"/>
      <c r="AZ60" s="4" t="s">
        <v>16</v>
      </c>
      <c r="BA60" s="43" t="str">
        <f>IF(VLOOKUP(AZ60,βοηθητικό!$J$2:$N$354,3,FALSE)="","",VLOOKUP(AZ60,βοηθητικό!$J$2:$N$354,3,FALSE))</f>
        <v>_</v>
      </c>
      <c r="BB60" s="44"/>
      <c r="BC60" s="45" t="s">
        <v>16</v>
      </c>
      <c r="BD60" s="46" t="str">
        <f>IF(VLOOKUP(BC60,βοηθητικό!$J$2:$N$354,3,FALSE)="","",VLOOKUP(BC60,βοηθητικό!$J$2:$N$354,3,FALSE))</f>
        <v>_</v>
      </c>
      <c r="BE60" s="47"/>
      <c r="BF60" s="42" t="s">
        <v>16</v>
      </c>
      <c r="BG60" s="43" t="str">
        <f>IF(VLOOKUP(BF60,βοηθητικό!$J$2:$N$354,3,FALSE)="","",VLOOKUP(BF60,βοηθητικό!$J$2:$N$354,3,FALSE))</f>
        <v>_</v>
      </c>
      <c r="BH60" s="44"/>
      <c r="BI60" s="45" t="s">
        <v>16</v>
      </c>
      <c r="BJ60" s="46" t="str">
        <f>IF(VLOOKUP(BI60,βοηθητικό!$J$2:$N$354,3,FALSE)="","",VLOOKUP(BI60,βοηθητικό!$J$2:$N$354,3,FALSE))</f>
        <v>_</v>
      </c>
      <c r="BK60" s="47"/>
      <c r="BL60" s="42" t="s">
        <v>16</v>
      </c>
      <c r="BM60" s="43" t="str">
        <f>IF(VLOOKUP(BL60,βοηθητικό!$J$2:$N$354,3,FALSE)="","",VLOOKUP(BL60,βοηθητικό!$J$2:$N$354,3,FALSE))</f>
        <v>_</v>
      </c>
      <c r="BN60" s="44"/>
      <c r="BO60" s="45" t="s">
        <v>16</v>
      </c>
      <c r="BP60" s="46" t="str">
        <f>IF(VLOOKUP(BO60,βοηθητικό!$J$2:$N$354,3,FALSE)="","",VLOOKUP(BO60,βοηθητικό!$J$2:$N$354,3,FALSE))</f>
        <v>_</v>
      </c>
      <c r="BQ60" s="47"/>
      <c r="BR60" s="42" t="s">
        <v>16</v>
      </c>
      <c r="BS60" s="43" t="str">
        <f>IF(VLOOKUP(BR60,βοηθητικό!$J$2:$N$354,3,FALSE)="","",VLOOKUP(BR60,βοηθητικό!$J$2:$N$354,3,FALSE))</f>
        <v>_</v>
      </c>
      <c r="BT60" s="44"/>
      <c r="BU60" s="45" t="s">
        <v>16</v>
      </c>
      <c r="BV60" s="46" t="str">
        <f>IF(VLOOKUP(BU60,βοηθητικό!$J$2:$N$354,3,FALSE)="","",VLOOKUP(BU60,βοηθητικό!$J$2:$N$354,3,FALSE))</f>
        <v>_</v>
      </c>
      <c r="BW60" s="47"/>
      <c r="BX60" s="42" t="s">
        <v>16</v>
      </c>
      <c r="BY60" s="43" t="str">
        <f>IF(VLOOKUP(BX60,βοηθητικό!$J$2:$N$354,3,FALSE)="","",VLOOKUP(BX60,βοηθητικό!$J$2:$N$354,3,FALSE))</f>
        <v>_</v>
      </c>
      <c r="BZ60" s="44"/>
      <c r="CA60" s="45" t="s">
        <v>16</v>
      </c>
      <c r="CB60" s="46" t="str">
        <f>IF(VLOOKUP(CA60,βοηθητικό!$J$2:$N$354,3,FALSE)="","",VLOOKUP(CA60,βοηθητικό!$J$2:$N$354,3,FALSE))</f>
        <v>_</v>
      </c>
      <c r="CC60" s="47"/>
      <c r="CD60" s="42" t="s">
        <v>16</v>
      </c>
      <c r="CE60" s="43" t="str">
        <f>IF(VLOOKUP(CD60,βοηθητικό!$J$2:$N$354,3,FALSE)="","",VLOOKUP(CD60,βοηθητικό!$J$2:$N$354,3,FALSE))</f>
        <v>_</v>
      </c>
      <c r="CF60" s="44"/>
      <c r="CG60" s="45" t="s">
        <v>16</v>
      </c>
      <c r="CH60" s="46" t="str">
        <f>IF(VLOOKUP(CG60,βοηθητικό!$J$2:$N$354,3,FALSE)="","",VLOOKUP(CG60,βοηθητικό!$J$2:$N$354,3,FALSE))</f>
        <v>_</v>
      </c>
      <c r="CI60" s="47"/>
      <c r="CJ60" s="42" t="s">
        <v>16</v>
      </c>
      <c r="CK60" s="43" t="str">
        <f>IF(VLOOKUP(CJ60,βοηθητικό!$J$2:$N$354,3,FALSE)="","",VLOOKUP(CJ60,βοηθητικό!$J$2:$N$354,3,FALSE))</f>
        <v>_</v>
      </c>
      <c r="CL60" s="44"/>
      <c r="CM60" s="45" t="s">
        <v>16</v>
      </c>
      <c r="CN60" s="46" t="str">
        <f>IF(VLOOKUP(CM60,βοηθητικό!$J$2:$N$354,3,FALSE)="","",VLOOKUP(CM60,βοηθητικό!$J$2:$N$354,3,FALSE))</f>
        <v>_</v>
      </c>
      <c r="CO60" s="47"/>
      <c r="CP60" s="42" t="s">
        <v>16</v>
      </c>
      <c r="CQ60" s="43" t="str">
        <f>IF(VLOOKUP(CP60,βοηθητικό!$J$2:$N$354,3,FALSE)="","",VLOOKUP(CP60,βοηθητικό!$J$2:$N$354,3,FALSE))</f>
        <v>_</v>
      </c>
      <c r="CR60" s="44"/>
      <c r="CS60" s="45" t="s">
        <v>16</v>
      </c>
      <c r="CT60" s="46" t="str">
        <f>IF(VLOOKUP(CS60,βοηθητικό!$J$2:$N$354,3,FALSE)="","",VLOOKUP(CS60,βοηθητικό!$J$2:$N$354,3,FALSE))</f>
        <v>_</v>
      </c>
      <c r="CU60" s="47"/>
    </row>
    <row r="61" spans="1:99" x14ac:dyDescent="0.25">
      <c r="A61" s="37">
        <f>--SUBTOTAL(3,$B$3:B60)</f>
        <v>58</v>
      </c>
      <c r="B61" s="2">
        <v>45096</v>
      </c>
      <c r="C61" s="3">
        <v>45102</v>
      </c>
      <c r="D61" s="55" t="s">
        <v>74</v>
      </c>
      <c r="E61" s="38" t="s">
        <v>16</v>
      </c>
      <c r="F61" s="38" t="s">
        <v>16</v>
      </c>
      <c r="G61" s="39" t="str">
        <f t="shared" si="2"/>
        <v>__</v>
      </c>
      <c r="H61" s="40" t="str">
        <f t="shared" si="3"/>
        <v>FALSE</v>
      </c>
      <c r="I61" s="41">
        <f t="shared" si="4"/>
        <v>8</v>
      </c>
      <c r="J61" s="4" t="s">
        <v>774</v>
      </c>
      <c r="K61" s="43">
        <f>IF(VLOOKUP(J61,βοηθητικό!$J$2:$N$354,3,FALSE)="","",VLOOKUP(J61,βοηθητικό!$J$2:$N$354,3,FALSE))</f>
        <v>6973545514</v>
      </c>
      <c r="L61" s="44"/>
      <c r="M61" s="5" t="s">
        <v>786</v>
      </c>
      <c r="N61" s="46">
        <f>IF(VLOOKUP(M61,βοηθητικό!$J$2:$N$354,3,FALSE)="","",VLOOKUP(M61,βοηθητικό!$J$2:$N$354,3,FALSE))</f>
        <v>6948693451</v>
      </c>
      <c r="O61" s="47"/>
      <c r="P61" s="4" t="s">
        <v>799</v>
      </c>
      <c r="Q61" s="43" t="str">
        <f>IF(VLOOKUP(P61,βοηθητικό!$J$2:$N$354,3,FALSE)="","",VLOOKUP(P61,βοηθητικό!$J$2:$N$354,3,FALSE))</f>
        <v>6937776358</v>
      </c>
      <c r="R61" s="44"/>
      <c r="S61" s="5" t="s">
        <v>825</v>
      </c>
      <c r="T61" s="46">
        <f>IF(VLOOKUP(S61,βοηθητικό!$J$2:$N$354,3,FALSE)="","",VLOOKUP(S61,βοηθητικό!$J$2:$N$354,3,FALSE))</f>
        <v>6907538451</v>
      </c>
      <c r="U61" s="47"/>
      <c r="V61" s="4" t="s">
        <v>832</v>
      </c>
      <c r="W61" s="43" t="str">
        <f>IF(VLOOKUP(V61,βοηθητικό!$J$2:$N$354,3,FALSE)="","",VLOOKUP(V61,βοηθητικό!$J$2:$N$354,3,FALSE))</f>
        <v>6945400547</v>
      </c>
      <c r="X61" s="44"/>
      <c r="Y61" s="5" t="s">
        <v>838</v>
      </c>
      <c r="Z61" s="46" t="str">
        <f>IF(VLOOKUP(Y61,βοηθητικό!$J$2:$N$354,3,FALSE)="","",VLOOKUP(Y61,βοηθητικό!$J$2:$N$354,3,FALSE))</f>
        <v>6978485361 6949641611</v>
      </c>
      <c r="AA61" s="47"/>
      <c r="AB61" s="4" t="s">
        <v>844</v>
      </c>
      <c r="AC61" s="43">
        <f>IF(VLOOKUP(AB61,βοηθητικό!$J$2:$N$354,3,FALSE)="","",VLOOKUP(AB61,βοηθητικό!$J$2:$N$354,3,FALSE))</f>
        <v>6976768922</v>
      </c>
      <c r="AD61" s="44"/>
      <c r="AE61" s="5" t="s">
        <v>867</v>
      </c>
      <c r="AF61" s="46" t="str">
        <f>IF(VLOOKUP(AE61,βοηθητικό!$J$2:$N$354,3,FALSE)="","",VLOOKUP(AE61,βοηθητικό!$J$2:$N$354,3,FALSE))</f>
        <v>6934030989</v>
      </c>
      <c r="AG61" s="47"/>
      <c r="AH61" s="4" t="s">
        <v>16</v>
      </c>
      <c r="AI61" s="43" t="str">
        <f>IF(VLOOKUP(AH61,βοηθητικό!$J$2:$N$354,3,FALSE)="","",VLOOKUP(AH61,βοηθητικό!$J$2:$N$354,3,FALSE))</f>
        <v>_</v>
      </c>
      <c r="AJ61" s="44"/>
      <c r="AK61" s="5" t="s">
        <v>16</v>
      </c>
      <c r="AL61" s="46" t="str">
        <f>IF(VLOOKUP(AK61,βοηθητικό!$J$2:$N$354,3,FALSE)="","",VLOOKUP(AK61,βοηθητικό!$J$2:$N$354,3,FALSE))</f>
        <v>_</v>
      </c>
      <c r="AM61" s="47"/>
      <c r="AN61" s="4" t="s">
        <v>16</v>
      </c>
      <c r="AO61" s="43" t="str">
        <f>IF(VLOOKUP(AN61,βοηθητικό!$J$2:$N$354,3,FALSE)="","",VLOOKUP(AN61,βοηθητικό!$J$2:$N$354,3,FALSE))</f>
        <v>_</v>
      </c>
      <c r="AP61" s="44"/>
      <c r="AQ61" s="5" t="s">
        <v>16</v>
      </c>
      <c r="AR61" s="46" t="str">
        <f>IF(VLOOKUP(AQ61,βοηθητικό!$J$2:$N$354,3,FALSE)="","",VLOOKUP(AQ61,βοηθητικό!$J$2:$N$354,3,FALSE))</f>
        <v>_</v>
      </c>
      <c r="AS61" s="47"/>
      <c r="AT61" s="4" t="s">
        <v>16</v>
      </c>
      <c r="AU61" s="43" t="str">
        <f>IF(VLOOKUP(AT61,βοηθητικό!$J$2:$N$354,3,FALSE)="","",VLOOKUP(AT61,βοηθητικό!$J$2:$N$354,3,FALSE))</f>
        <v>_</v>
      </c>
      <c r="AV61" s="44"/>
      <c r="AW61" s="5" t="s">
        <v>16</v>
      </c>
      <c r="AX61" s="46" t="str">
        <f>IF(VLOOKUP(AW61,βοηθητικό!$J$2:$N$354,3,FALSE)="","",VLOOKUP(AW61,βοηθητικό!$J$2:$N$354,3,FALSE))</f>
        <v>_</v>
      </c>
      <c r="AY61" s="47"/>
      <c r="AZ61" s="4" t="s">
        <v>16</v>
      </c>
      <c r="BA61" s="43" t="str">
        <f>IF(VLOOKUP(AZ61,βοηθητικό!$J$2:$N$354,3,FALSE)="","",VLOOKUP(AZ61,βοηθητικό!$J$2:$N$354,3,FALSE))</f>
        <v>_</v>
      </c>
      <c r="BB61" s="44"/>
      <c r="BC61" s="45" t="s">
        <v>16</v>
      </c>
      <c r="BD61" s="46" t="str">
        <f>IF(VLOOKUP(BC61,βοηθητικό!$J$2:$N$354,3,FALSE)="","",VLOOKUP(BC61,βοηθητικό!$J$2:$N$354,3,FALSE))</f>
        <v>_</v>
      </c>
      <c r="BE61" s="47"/>
      <c r="BF61" s="42" t="s">
        <v>16</v>
      </c>
      <c r="BG61" s="43" t="str">
        <f>IF(VLOOKUP(BF61,βοηθητικό!$J$2:$N$354,3,FALSE)="","",VLOOKUP(BF61,βοηθητικό!$J$2:$N$354,3,FALSE))</f>
        <v>_</v>
      </c>
      <c r="BH61" s="44"/>
      <c r="BI61" s="45" t="s">
        <v>16</v>
      </c>
      <c r="BJ61" s="46" t="str">
        <f>IF(VLOOKUP(BI61,βοηθητικό!$J$2:$N$354,3,FALSE)="","",VLOOKUP(BI61,βοηθητικό!$J$2:$N$354,3,FALSE))</f>
        <v>_</v>
      </c>
      <c r="BK61" s="47"/>
      <c r="BL61" s="42" t="s">
        <v>16</v>
      </c>
      <c r="BM61" s="43" t="str">
        <f>IF(VLOOKUP(BL61,βοηθητικό!$J$2:$N$354,3,FALSE)="","",VLOOKUP(BL61,βοηθητικό!$J$2:$N$354,3,FALSE))</f>
        <v>_</v>
      </c>
      <c r="BN61" s="44"/>
      <c r="BO61" s="45" t="s">
        <v>16</v>
      </c>
      <c r="BP61" s="46" t="str">
        <f>IF(VLOOKUP(BO61,βοηθητικό!$J$2:$N$354,3,FALSE)="","",VLOOKUP(BO61,βοηθητικό!$J$2:$N$354,3,FALSE))</f>
        <v>_</v>
      </c>
      <c r="BQ61" s="47"/>
      <c r="BR61" s="42" t="s">
        <v>16</v>
      </c>
      <c r="BS61" s="43" t="str">
        <f>IF(VLOOKUP(BR61,βοηθητικό!$J$2:$N$354,3,FALSE)="","",VLOOKUP(BR61,βοηθητικό!$J$2:$N$354,3,FALSE))</f>
        <v>_</v>
      </c>
      <c r="BT61" s="44"/>
      <c r="BU61" s="45" t="s">
        <v>16</v>
      </c>
      <c r="BV61" s="46" t="str">
        <f>IF(VLOOKUP(BU61,βοηθητικό!$J$2:$N$354,3,FALSE)="","",VLOOKUP(BU61,βοηθητικό!$J$2:$N$354,3,FALSE))</f>
        <v>_</v>
      </c>
      <c r="BW61" s="47"/>
      <c r="BX61" s="42" t="s">
        <v>16</v>
      </c>
      <c r="BY61" s="43" t="str">
        <f>IF(VLOOKUP(BX61,βοηθητικό!$J$2:$N$354,3,FALSE)="","",VLOOKUP(BX61,βοηθητικό!$J$2:$N$354,3,FALSE))</f>
        <v>_</v>
      </c>
      <c r="BZ61" s="44"/>
      <c r="CA61" s="45" t="s">
        <v>16</v>
      </c>
      <c r="CB61" s="46" t="str">
        <f>IF(VLOOKUP(CA61,βοηθητικό!$J$2:$N$354,3,FALSE)="","",VLOOKUP(CA61,βοηθητικό!$J$2:$N$354,3,FALSE))</f>
        <v>_</v>
      </c>
      <c r="CC61" s="47"/>
      <c r="CD61" s="42" t="s">
        <v>16</v>
      </c>
      <c r="CE61" s="43" t="str">
        <f>IF(VLOOKUP(CD61,βοηθητικό!$J$2:$N$354,3,FALSE)="","",VLOOKUP(CD61,βοηθητικό!$J$2:$N$354,3,FALSE))</f>
        <v>_</v>
      </c>
      <c r="CF61" s="44"/>
      <c r="CG61" s="45" t="s">
        <v>16</v>
      </c>
      <c r="CH61" s="46" t="str">
        <f>IF(VLOOKUP(CG61,βοηθητικό!$J$2:$N$354,3,FALSE)="","",VLOOKUP(CG61,βοηθητικό!$J$2:$N$354,3,FALSE))</f>
        <v>_</v>
      </c>
      <c r="CI61" s="47"/>
      <c r="CJ61" s="42" t="s">
        <v>16</v>
      </c>
      <c r="CK61" s="43" t="str">
        <f>IF(VLOOKUP(CJ61,βοηθητικό!$J$2:$N$354,3,FALSE)="","",VLOOKUP(CJ61,βοηθητικό!$J$2:$N$354,3,FALSE))</f>
        <v>_</v>
      </c>
      <c r="CL61" s="44"/>
      <c r="CM61" s="45" t="s">
        <v>16</v>
      </c>
      <c r="CN61" s="46" t="str">
        <f>IF(VLOOKUP(CM61,βοηθητικό!$J$2:$N$354,3,FALSE)="","",VLOOKUP(CM61,βοηθητικό!$J$2:$N$354,3,FALSE))</f>
        <v>_</v>
      </c>
      <c r="CO61" s="47"/>
      <c r="CP61" s="42" t="s">
        <v>16</v>
      </c>
      <c r="CQ61" s="43" t="str">
        <f>IF(VLOOKUP(CP61,βοηθητικό!$J$2:$N$354,3,FALSE)="","",VLOOKUP(CP61,βοηθητικό!$J$2:$N$354,3,FALSE))</f>
        <v>_</v>
      </c>
      <c r="CR61" s="44"/>
      <c r="CS61" s="45" t="s">
        <v>16</v>
      </c>
      <c r="CT61" s="46" t="str">
        <f>IF(VLOOKUP(CS61,βοηθητικό!$J$2:$N$354,3,FALSE)="","",VLOOKUP(CS61,βοηθητικό!$J$2:$N$354,3,FALSE))</f>
        <v>_</v>
      </c>
      <c r="CU61" s="47"/>
    </row>
    <row r="62" spans="1:99" x14ac:dyDescent="0.25">
      <c r="A62" s="37">
        <f>--SUBTOTAL(3,$B$3:B61)</f>
        <v>59</v>
      </c>
      <c r="B62" s="2">
        <v>45103</v>
      </c>
      <c r="C62" s="3">
        <v>45109</v>
      </c>
      <c r="D62" s="55" t="s">
        <v>74</v>
      </c>
      <c r="E62" s="38" t="s">
        <v>16</v>
      </c>
      <c r="F62" s="38" t="s">
        <v>16</v>
      </c>
      <c r="G62" s="39" t="str">
        <f t="shared" si="2"/>
        <v>__</v>
      </c>
      <c r="H62" s="40" t="str">
        <f t="shared" si="3"/>
        <v>FALSE</v>
      </c>
      <c r="I62" s="41">
        <f t="shared" si="4"/>
        <v>7</v>
      </c>
      <c r="J62" s="4" t="s">
        <v>756</v>
      </c>
      <c r="K62" s="43">
        <f>IF(VLOOKUP(J62,βοηθητικό!$J$2:$N$354,3,FALSE)="","",VLOOKUP(J62,βοηθητικό!$J$2:$N$354,3,FALSE))</f>
        <v>6970113758</v>
      </c>
      <c r="L62" s="44"/>
      <c r="M62" s="5" t="s">
        <v>764</v>
      </c>
      <c r="N62" s="46" t="str">
        <f>IF(VLOOKUP(M62,βοηθητικό!$J$2:$N$354,3,FALSE)="","",VLOOKUP(M62,βοηθητικό!$J$2:$N$354,3,FALSE))</f>
        <v>6951136860</v>
      </c>
      <c r="O62" s="47"/>
      <c r="P62" s="4" t="s">
        <v>794</v>
      </c>
      <c r="Q62" s="43" t="str">
        <f>IF(VLOOKUP(P62,βοηθητικό!$J$2:$N$354,3,FALSE)="","",VLOOKUP(P62,βοηθητικό!$J$2:$N$354,3,FALSE))</f>
        <v>6983483104</v>
      </c>
      <c r="R62" s="44"/>
      <c r="S62" s="5" t="s">
        <v>816</v>
      </c>
      <c r="T62" s="46" t="str">
        <f>IF(VLOOKUP(S62,βοηθητικό!$J$2:$N$354,3,FALSE)="","",VLOOKUP(S62,βοηθητικό!$J$2:$N$354,3,FALSE))</f>
        <v>6977507325</v>
      </c>
      <c r="U62" s="47"/>
      <c r="V62" s="4" t="s">
        <v>835</v>
      </c>
      <c r="W62" s="43">
        <f>IF(VLOOKUP(V62,βοηθητικό!$J$2:$N$354,3,FALSE)="","",VLOOKUP(V62,βοηθητικό!$J$2:$N$354,3,FALSE))</f>
        <v>6972150340</v>
      </c>
      <c r="X62" s="44"/>
      <c r="Y62" s="5" t="s">
        <v>851</v>
      </c>
      <c r="Z62" s="46" t="str">
        <f>IF(VLOOKUP(Y62,βοηθητικό!$J$2:$N$354,3,FALSE)="","",VLOOKUP(Y62,βοηθητικό!$J$2:$N$354,3,FALSE))</f>
        <v>6944688337</v>
      </c>
      <c r="AA62" s="47"/>
      <c r="AB62" s="4" t="s">
        <v>860</v>
      </c>
      <c r="AC62" s="43">
        <f>IF(VLOOKUP(AB62,βοηθητικό!$J$2:$N$354,3,FALSE)="","",VLOOKUP(AB62,βοηθητικό!$J$2:$N$354,3,FALSE))</f>
        <v>6989500588</v>
      </c>
      <c r="AD62" s="44"/>
      <c r="AE62" s="5" t="s">
        <v>16</v>
      </c>
      <c r="AF62" s="46" t="str">
        <f>IF(VLOOKUP(AE62,βοηθητικό!$J$2:$N$354,3,FALSE)="","",VLOOKUP(AE62,βοηθητικό!$J$2:$N$354,3,FALSE))</f>
        <v>_</v>
      </c>
      <c r="AG62" s="47"/>
      <c r="AH62" s="4" t="s">
        <v>16</v>
      </c>
      <c r="AI62" s="43" t="str">
        <f>IF(VLOOKUP(AH62,βοηθητικό!$J$2:$N$354,3,FALSE)="","",VLOOKUP(AH62,βοηθητικό!$J$2:$N$354,3,FALSE))</f>
        <v>_</v>
      </c>
      <c r="AJ62" s="44"/>
      <c r="AK62" s="5" t="s">
        <v>16</v>
      </c>
      <c r="AL62" s="46" t="str">
        <f>IF(VLOOKUP(AK62,βοηθητικό!$J$2:$N$354,3,FALSE)="","",VLOOKUP(AK62,βοηθητικό!$J$2:$N$354,3,FALSE))</f>
        <v>_</v>
      </c>
      <c r="AM62" s="47"/>
      <c r="AN62" s="4" t="s">
        <v>16</v>
      </c>
      <c r="AO62" s="43" t="str">
        <f>IF(VLOOKUP(AN62,βοηθητικό!$J$2:$N$354,3,FALSE)="","",VLOOKUP(AN62,βοηθητικό!$J$2:$N$354,3,FALSE))</f>
        <v>_</v>
      </c>
      <c r="AP62" s="44"/>
      <c r="AQ62" s="5" t="s">
        <v>16</v>
      </c>
      <c r="AR62" s="46" t="str">
        <f>IF(VLOOKUP(AQ62,βοηθητικό!$J$2:$N$354,3,FALSE)="","",VLOOKUP(AQ62,βοηθητικό!$J$2:$N$354,3,FALSE))</f>
        <v>_</v>
      </c>
      <c r="AS62" s="47"/>
      <c r="AT62" s="4" t="s">
        <v>16</v>
      </c>
      <c r="AU62" s="43" t="str">
        <f>IF(VLOOKUP(AT62,βοηθητικό!$J$2:$N$354,3,FALSE)="","",VLOOKUP(AT62,βοηθητικό!$J$2:$N$354,3,FALSE))</f>
        <v>_</v>
      </c>
      <c r="AV62" s="44"/>
      <c r="AW62" s="5" t="s">
        <v>16</v>
      </c>
      <c r="AX62" s="46" t="str">
        <f>IF(VLOOKUP(AW62,βοηθητικό!$J$2:$N$354,3,FALSE)="","",VLOOKUP(AW62,βοηθητικό!$J$2:$N$354,3,FALSE))</f>
        <v>_</v>
      </c>
      <c r="AY62" s="47"/>
      <c r="AZ62" s="4" t="s">
        <v>16</v>
      </c>
      <c r="BA62" s="43" t="str">
        <f>IF(VLOOKUP(AZ62,βοηθητικό!$J$2:$N$354,3,FALSE)="","",VLOOKUP(AZ62,βοηθητικό!$J$2:$N$354,3,FALSE))</f>
        <v>_</v>
      </c>
      <c r="BB62" s="44"/>
      <c r="BC62" s="45" t="s">
        <v>16</v>
      </c>
      <c r="BD62" s="46" t="str">
        <f>IF(VLOOKUP(BC62,βοηθητικό!$J$2:$N$354,3,FALSE)="","",VLOOKUP(BC62,βοηθητικό!$J$2:$N$354,3,FALSE))</f>
        <v>_</v>
      </c>
      <c r="BE62" s="47"/>
      <c r="BF62" s="42" t="s">
        <v>16</v>
      </c>
      <c r="BG62" s="43" t="str">
        <f>IF(VLOOKUP(BF62,βοηθητικό!$J$2:$N$354,3,FALSE)="","",VLOOKUP(BF62,βοηθητικό!$J$2:$N$354,3,FALSE))</f>
        <v>_</v>
      </c>
      <c r="BH62" s="44"/>
      <c r="BI62" s="45" t="s">
        <v>16</v>
      </c>
      <c r="BJ62" s="46" t="str">
        <f>IF(VLOOKUP(BI62,βοηθητικό!$J$2:$N$354,3,FALSE)="","",VLOOKUP(BI62,βοηθητικό!$J$2:$N$354,3,FALSE))</f>
        <v>_</v>
      </c>
      <c r="BK62" s="47"/>
      <c r="BL62" s="42" t="s">
        <v>16</v>
      </c>
      <c r="BM62" s="43" t="str">
        <f>IF(VLOOKUP(BL62,βοηθητικό!$J$2:$N$354,3,FALSE)="","",VLOOKUP(BL62,βοηθητικό!$J$2:$N$354,3,FALSE))</f>
        <v>_</v>
      </c>
      <c r="BN62" s="44"/>
      <c r="BO62" s="45" t="s">
        <v>16</v>
      </c>
      <c r="BP62" s="46" t="str">
        <f>IF(VLOOKUP(BO62,βοηθητικό!$J$2:$N$354,3,FALSE)="","",VLOOKUP(BO62,βοηθητικό!$J$2:$N$354,3,FALSE))</f>
        <v>_</v>
      </c>
      <c r="BQ62" s="47"/>
      <c r="BR62" s="42" t="s">
        <v>16</v>
      </c>
      <c r="BS62" s="43" t="str">
        <f>IF(VLOOKUP(BR62,βοηθητικό!$J$2:$N$354,3,FALSE)="","",VLOOKUP(BR62,βοηθητικό!$J$2:$N$354,3,FALSE))</f>
        <v>_</v>
      </c>
      <c r="BT62" s="44"/>
      <c r="BU62" s="45" t="s">
        <v>16</v>
      </c>
      <c r="BV62" s="46" t="str">
        <f>IF(VLOOKUP(BU62,βοηθητικό!$J$2:$N$354,3,FALSE)="","",VLOOKUP(BU62,βοηθητικό!$J$2:$N$354,3,FALSE))</f>
        <v>_</v>
      </c>
      <c r="BW62" s="47"/>
      <c r="BX62" s="42" t="s">
        <v>16</v>
      </c>
      <c r="BY62" s="43" t="str">
        <f>IF(VLOOKUP(BX62,βοηθητικό!$J$2:$N$354,3,FALSE)="","",VLOOKUP(BX62,βοηθητικό!$J$2:$N$354,3,FALSE))</f>
        <v>_</v>
      </c>
      <c r="BZ62" s="44"/>
      <c r="CA62" s="45" t="s">
        <v>16</v>
      </c>
      <c r="CB62" s="46" t="str">
        <f>IF(VLOOKUP(CA62,βοηθητικό!$J$2:$N$354,3,FALSE)="","",VLOOKUP(CA62,βοηθητικό!$J$2:$N$354,3,FALSE))</f>
        <v>_</v>
      </c>
      <c r="CC62" s="47"/>
      <c r="CD62" s="42" t="s">
        <v>16</v>
      </c>
      <c r="CE62" s="43" t="str">
        <f>IF(VLOOKUP(CD62,βοηθητικό!$J$2:$N$354,3,FALSE)="","",VLOOKUP(CD62,βοηθητικό!$J$2:$N$354,3,FALSE))</f>
        <v>_</v>
      </c>
      <c r="CF62" s="44"/>
      <c r="CG62" s="45" t="s">
        <v>16</v>
      </c>
      <c r="CH62" s="46" t="str">
        <f>IF(VLOOKUP(CG62,βοηθητικό!$J$2:$N$354,3,FALSE)="","",VLOOKUP(CG62,βοηθητικό!$J$2:$N$354,3,FALSE))</f>
        <v>_</v>
      </c>
      <c r="CI62" s="47"/>
      <c r="CJ62" s="42" t="s">
        <v>16</v>
      </c>
      <c r="CK62" s="43" t="str">
        <f>IF(VLOOKUP(CJ62,βοηθητικό!$J$2:$N$354,3,FALSE)="","",VLOOKUP(CJ62,βοηθητικό!$J$2:$N$354,3,FALSE))</f>
        <v>_</v>
      </c>
      <c r="CL62" s="44"/>
      <c r="CM62" s="45" t="s">
        <v>16</v>
      </c>
      <c r="CN62" s="46" t="str">
        <f>IF(VLOOKUP(CM62,βοηθητικό!$J$2:$N$354,3,FALSE)="","",VLOOKUP(CM62,βοηθητικό!$J$2:$N$354,3,FALSE))</f>
        <v>_</v>
      </c>
      <c r="CO62" s="47"/>
      <c r="CP62" s="42" t="s">
        <v>16</v>
      </c>
      <c r="CQ62" s="43" t="str">
        <f>IF(VLOOKUP(CP62,βοηθητικό!$J$2:$N$354,3,FALSE)="","",VLOOKUP(CP62,βοηθητικό!$J$2:$N$354,3,FALSE))</f>
        <v>_</v>
      </c>
      <c r="CR62" s="44"/>
      <c r="CS62" s="45" t="s">
        <v>16</v>
      </c>
      <c r="CT62" s="46" t="str">
        <f>IF(VLOOKUP(CS62,βοηθητικό!$J$2:$N$354,3,FALSE)="","",VLOOKUP(CS62,βοηθητικό!$J$2:$N$354,3,FALSE))</f>
        <v>_</v>
      </c>
      <c r="CU62" s="47"/>
    </row>
    <row r="63" spans="1:99" x14ac:dyDescent="0.25">
      <c r="A63" s="37">
        <f>--SUBTOTAL(3,$B$3:B62)</f>
        <v>60</v>
      </c>
      <c r="B63" s="2">
        <v>45078</v>
      </c>
      <c r="C63" s="3">
        <v>45086</v>
      </c>
      <c r="D63" s="55" t="s">
        <v>92</v>
      </c>
      <c r="E63" s="38" t="s">
        <v>16</v>
      </c>
      <c r="F63" s="38" t="s">
        <v>16</v>
      </c>
      <c r="G63" s="39" t="str">
        <f t="shared" si="2"/>
        <v>__</v>
      </c>
      <c r="H63" s="40" t="str">
        <f t="shared" si="3"/>
        <v>FALSE</v>
      </c>
      <c r="I63" s="41">
        <f t="shared" si="4"/>
        <v>11</v>
      </c>
      <c r="J63" s="4" t="s">
        <v>1009</v>
      </c>
      <c r="K63" s="43">
        <f>IF(VLOOKUP(J63,βοηθητικό!$J$2:$N$354,3,FALSE)="","",VLOOKUP(J63,βοηθητικό!$J$2:$N$354,3,FALSE))</f>
        <v>6937084222</v>
      </c>
      <c r="L63" s="44"/>
      <c r="M63" s="5" t="s">
        <v>1016</v>
      </c>
      <c r="N63" s="46">
        <f>IF(VLOOKUP(M63,βοηθητικό!$J$2:$N$354,3,FALSE)="","",VLOOKUP(M63,βοηθητικό!$J$2:$N$354,3,FALSE))</f>
        <v>6932900686</v>
      </c>
      <c r="O63" s="47"/>
      <c r="P63" s="4" t="s">
        <v>1012</v>
      </c>
      <c r="Q63" s="43">
        <f>IF(VLOOKUP(P63,βοηθητικό!$J$2:$N$354,3,FALSE)="","",VLOOKUP(P63,βοηθητικό!$J$2:$N$354,3,FALSE))</f>
        <v>6972072589</v>
      </c>
      <c r="R63" s="44"/>
      <c r="S63" s="5" t="s">
        <v>1051</v>
      </c>
      <c r="T63" s="46">
        <f>IF(VLOOKUP(S63,βοηθητικό!$J$2:$N$354,3,FALSE)="","",VLOOKUP(S63,βοηθητικό!$J$2:$N$354,3,FALSE))</f>
        <v>6948358027</v>
      </c>
      <c r="U63" s="47"/>
      <c r="V63" s="4" t="s">
        <v>999</v>
      </c>
      <c r="W63" s="43" t="str">
        <f>IF(VLOOKUP(V63,βοηθητικό!$J$2:$N$354,3,FALSE)="","",VLOOKUP(V63,βοηθητικό!$J$2:$N$354,3,FALSE))</f>
        <v>6974030990</v>
      </c>
      <c r="X63" s="44"/>
      <c r="Y63" s="5" t="s">
        <v>1072</v>
      </c>
      <c r="Z63" s="46">
        <f>IF(VLOOKUP(Y63,βοηθητικό!$J$2:$N$354,3,FALSE)="","",VLOOKUP(Y63,βοηθητικό!$J$2:$N$354,3,FALSE))</f>
        <v>6945853478</v>
      </c>
      <c r="AA63" s="47"/>
      <c r="AB63" s="4" t="s">
        <v>1059</v>
      </c>
      <c r="AC63" s="43" t="str">
        <f>IF(VLOOKUP(AB63,βοηθητικό!$J$2:$N$354,3,FALSE)="","",VLOOKUP(AB63,βοηθητικό!$J$2:$N$354,3,FALSE))</f>
        <v>6984685650</v>
      </c>
      <c r="AD63" s="44"/>
      <c r="AE63" s="5" t="s">
        <v>974</v>
      </c>
      <c r="AF63" s="46" t="str">
        <f>IF(VLOOKUP(AE63,βοηθητικό!$J$2:$N$354,3,FALSE)="","",VLOOKUP(AE63,βοηθητικό!$J$2:$N$354,3,FALSE))</f>
        <v>6940552610</v>
      </c>
      <c r="AG63" s="47"/>
      <c r="AH63" s="4" t="s">
        <v>987</v>
      </c>
      <c r="AI63" s="43" t="str">
        <f>IF(VLOOKUP(AH63,βοηθητικό!$J$2:$N$354,3,FALSE)="","",VLOOKUP(AH63,βοηθητικό!$J$2:$N$354,3,FALSE))</f>
        <v>6984118511</v>
      </c>
      <c r="AJ63" s="44"/>
      <c r="AK63" s="5" t="s">
        <v>1068</v>
      </c>
      <c r="AL63" s="46" t="str">
        <f>IF(VLOOKUP(AK63,βοηθητικό!$J$2:$N$354,3,FALSE)="","",VLOOKUP(AK63,βοηθητικό!$J$2:$N$354,3,FALSE))</f>
        <v>6973806827</v>
      </c>
      <c r="AM63" s="47"/>
      <c r="AN63" s="4" t="s">
        <v>944</v>
      </c>
      <c r="AO63" s="43" t="str">
        <f>IF(VLOOKUP(AN63,βοηθητικό!$J$2:$N$354,3,FALSE)="","",VLOOKUP(AN63,βοηθητικό!$J$2:$N$354,3,FALSE))</f>
        <v>6943440301</v>
      </c>
      <c r="AP63" s="44"/>
      <c r="AQ63" s="5" t="s">
        <v>16</v>
      </c>
      <c r="AR63" s="46" t="str">
        <f>IF(VLOOKUP(AQ63,βοηθητικό!$J$2:$N$354,3,FALSE)="","",VLOOKUP(AQ63,βοηθητικό!$J$2:$N$354,3,FALSE))</f>
        <v>_</v>
      </c>
      <c r="AS63" s="47"/>
      <c r="AT63" s="4" t="s">
        <v>16</v>
      </c>
      <c r="AU63" s="43" t="str">
        <f>IF(VLOOKUP(AT63,βοηθητικό!$J$2:$N$354,3,FALSE)="","",VLOOKUP(AT63,βοηθητικό!$J$2:$N$354,3,FALSE))</f>
        <v>_</v>
      </c>
      <c r="AV63" s="44"/>
      <c r="AW63" s="5" t="s">
        <v>16</v>
      </c>
      <c r="AX63" s="46" t="str">
        <f>IF(VLOOKUP(AW63,βοηθητικό!$J$2:$N$354,3,FALSE)="","",VLOOKUP(AW63,βοηθητικό!$J$2:$N$354,3,FALSE))</f>
        <v>_</v>
      </c>
      <c r="AY63" s="47"/>
      <c r="AZ63" s="4" t="s">
        <v>16</v>
      </c>
      <c r="BA63" s="43" t="str">
        <f>IF(VLOOKUP(AZ63,βοηθητικό!$J$2:$N$354,3,FALSE)="","",VLOOKUP(AZ63,βοηθητικό!$J$2:$N$354,3,FALSE))</f>
        <v>_</v>
      </c>
      <c r="BB63" s="44"/>
      <c r="BC63" s="45" t="s">
        <v>16</v>
      </c>
      <c r="BD63" s="46" t="str">
        <f>IF(VLOOKUP(BC63,βοηθητικό!$J$2:$N$354,3,FALSE)="","",VLOOKUP(BC63,βοηθητικό!$J$2:$N$354,3,FALSE))</f>
        <v>_</v>
      </c>
      <c r="BE63" s="47"/>
      <c r="BF63" s="42" t="s">
        <v>16</v>
      </c>
      <c r="BG63" s="43" t="str">
        <f>IF(VLOOKUP(BF63,βοηθητικό!$J$2:$N$354,3,FALSE)="","",VLOOKUP(BF63,βοηθητικό!$J$2:$N$354,3,FALSE))</f>
        <v>_</v>
      </c>
      <c r="BH63" s="44"/>
      <c r="BI63" s="45" t="s">
        <v>16</v>
      </c>
      <c r="BJ63" s="46" t="str">
        <f>IF(VLOOKUP(BI63,βοηθητικό!$J$2:$N$354,3,FALSE)="","",VLOOKUP(BI63,βοηθητικό!$J$2:$N$354,3,FALSE))</f>
        <v>_</v>
      </c>
      <c r="BK63" s="47"/>
      <c r="BL63" s="42" t="s">
        <v>16</v>
      </c>
      <c r="BM63" s="43" t="str">
        <f>IF(VLOOKUP(BL63,βοηθητικό!$J$2:$N$354,3,FALSE)="","",VLOOKUP(BL63,βοηθητικό!$J$2:$N$354,3,FALSE))</f>
        <v>_</v>
      </c>
      <c r="BN63" s="44"/>
      <c r="BO63" s="45" t="s">
        <v>16</v>
      </c>
      <c r="BP63" s="46" t="str">
        <f>IF(VLOOKUP(BO63,βοηθητικό!$J$2:$N$354,3,FALSE)="","",VLOOKUP(BO63,βοηθητικό!$J$2:$N$354,3,FALSE))</f>
        <v>_</v>
      </c>
      <c r="BQ63" s="47"/>
      <c r="BR63" s="42" t="s">
        <v>16</v>
      </c>
      <c r="BS63" s="43" t="str">
        <f>IF(VLOOKUP(BR63,βοηθητικό!$J$2:$N$354,3,FALSE)="","",VLOOKUP(BR63,βοηθητικό!$J$2:$N$354,3,FALSE))</f>
        <v>_</v>
      </c>
      <c r="BT63" s="44"/>
      <c r="BU63" s="45" t="s">
        <v>16</v>
      </c>
      <c r="BV63" s="46" t="str">
        <f>IF(VLOOKUP(BU63,βοηθητικό!$J$2:$N$354,3,FALSE)="","",VLOOKUP(BU63,βοηθητικό!$J$2:$N$354,3,FALSE))</f>
        <v>_</v>
      </c>
      <c r="BW63" s="47"/>
      <c r="BX63" s="42" t="s">
        <v>16</v>
      </c>
      <c r="BY63" s="43" t="str">
        <f>IF(VLOOKUP(BX63,βοηθητικό!$J$2:$N$354,3,FALSE)="","",VLOOKUP(BX63,βοηθητικό!$J$2:$N$354,3,FALSE))</f>
        <v>_</v>
      </c>
      <c r="BZ63" s="44"/>
      <c r="CA63" s="45" t="s">
        <v>16</v>
      </c>
      <c r="CB63" s="46" t="str">
        <f>IF(VLOOKUP(CA63,βοηθητικό!$J$2:$N$354,3,FALSE)="","",VLOOKUP(CA63,βοηθητικό!$J$2:$N$354,3,FALSE))</f>
        <v>_</v>
      </c>
      <c r="CC63" s="47"/>
      <c r="CD63" s="42" t="s">
        <v>16</v>
      </c>
      <c r="CE63" s="43" t="str">
        <f>IF(VLOOKUP(CD63,βοηθητικό!$J$2:$N$354,3,FALSE)="","",VLOOKUP(CD63,βοηθητικό!$J$2:$N$354,3,FALSE))</f>
        <v>_</v>
      </c>
      <c r="CF63" s="44"/>
      <c r="CG63" s="45" t="s">
        <v>16</v>
      </c>
      <c r="CH63" s="46" t="str">
        <f>IF(VLOOKUP(CG63,βοηθητικό!$J$2:$N$354,3,FALSE)="","",VLOOKUP(CG63,βοηθητικό!$J$2:$N$354,3,FALSE))</f>
        <v>_</v>
      </c>
      <c r="CI63" s="47"/>
      <c r="CJ63" s="42" t="s">
        <v>16</v>
      </c>
      <c r="CK63" s="43" t="str">
        <f>IF(VLOOKUP(CJ63,βοηθητικό!$J$2:$N$354,3,FALSE)="","",VLOOKUP(CJ63,βοηθητικό!$J$2:$N$354,3,FALSE))</f>
        <v>_</v>
      </c>
      <c r="CL63" s="44"/>
      <c r="CM63" s="45" t="s">
        <v>16</v>
      </c>
      <c r="CN63" s="46" t="str">
        <f>IF(VLOOKUP(CM63,βοηθητικό!$J$2:$N$354,3,FALSE)="","",VLOOKUP(CM63,βοηθητικό!$J$2:$N$354,3,FALSE))</f>
        <v>_</v>
      </c>
      <c r="CO63" s="47"/>
      <c r="CP63" s="42" t="s">
        <v>16</v>
      </c>
      <c r="CQ63" s="43" t="str">
        <f>IF(VLOOKUP(CP63,βοηθητικό!$J$2:$N$354,3,FALSE)="","",VLOOKUP(CP63,βοηθητικό!$J$2:$N$354,3,FALSE))</f>
        <v>_</v>
      </c>
      <c r="CR63" s="44"/>
      <c r="CS63" s="45" t="s">
        <v>16</v>
      </c>
      <c r="CT63" s="46" t="str">
        <f>IF(VLOOKUP(CS63,βοηθητικό!$J$2:$N$354,3,FALSE)="","",VLOOKUP(CS63,βοηθητικό!$J$2:$N$354,3,FALSE))</f>
        <v>_</v>
      </c>
      <c r="CU63" s="47"/>
    </row>
    <row r="64" spans="1:99" x14ac:dyDescent="0.25">
      <c r="A64" s="37">
        <f>--SUBTOTAL(3,$B$3:B63)</f>
        <v>61</v>
      </c>
      <c r="B64" s="2">
        <v>45087</v>
      </c>
      <c r="C64" s="3">
        <v>45093</v>
      </c>
      <c r="D64" s="55" t="s">
        <v>92</v>
      </c>
      <c r="E64" s="38" t="s">
        <v>16</v>
      </c>
      <c r="F64" s="38" t="s">
        <v>16</v>
      </c>
      <c r="G64" s="39" t="str">
        <f t="shared" si="2"/>
        <v>__</v>
      </c>
      <c r="H64" s="40" t="str">
        <f t="shared" si="3"/>
        <v>FALSE</v>
      </c>
      <c r="I64" s="41">
        <f t="shared" si="4"/>
        <v>11</v>
      </c>
      <c r="J64" s="4" t="s">
        <v>978</v>
      </c>
      <c r="K64" s="43">
        <f>IF(VLOOKUP(J64,βοηθητικό!$J$2:$N$354,3,FALSE)="","",VLOOKUP(J64,βοηθητικό!$J$2:$N$354,3,FALSE))</f>
        <v>6976058607</v>
      </c>
      <c r="L64" s="44"/>
      <c r="M64" s="5" t="s">
        <v>1074</v>
      </c>
      <c r="N64" s="46">
        <f>IF(VLOOKUP(M64,βοηθητικό!$J$2:$N$354,3,FALSE)="","",VLOOKUP(M64,βοηθητικό!$J$2:$N$354,3,FALSE))</f>
        <v>6948254859</v>
      </c>
      <c r="O64" s="47"/>
      <c r="P64" s="4" t="s">
        <v>1036</v>
      </c>
      <c r="Q64" s="43" t="str">
        <f>IF(VLOOKUP(P64,βοηθητικό!$J$2:$N$354,3,FALSE)="","",VLOOKUP(P64,βοηθητικό!$J$2:$N$354,3,FALSE))</f>
        <v>6944393637</v>
      </c>
      <c r="R64" s="44"/>
      <c r="S64" s="5" t="s">
        <v>1026</v>
      </c>
      <c r="T64" s="46">
        <f>IF(VLOOKUP(S64,βοηθητικό!$J$2:$N$354,3,FALSE)="","",VLOOKUP(S64,βοηθητικό!$J$2:$N$354,3,FALSE))</f>
        <v>6972915741</v>
      </c>
      <c r="U64" s="47"/>
      <c r="V64" s="4" t="s">
        <v>954</v>
      </c>
      <c r="W64" s="43">
        <f>IF(VLOOKUP(V64,βοηθητικό!$J$2:$N$354,3,FALSE)="","",VLOOKUP(V64,βοηθητικό!$J$2:$N$354,3,FALSE))</f>
        <v>6944377718</v>
      </c>
      <c r="X64" s="44"/>
      <c r="Y64" s="5" t="s">
        <v>1056</v>
      </c>
      <c r="Z64" s="46">
        <f>IF(VLOOKUP(Y64,βοηθητικό!$J$2:$N$354,3,FALSE)="","",VLOOKUP(Y64,βοηθητικό!$J$2:$N$354,3,FALSE))</f>
        <v>6972015813</v>
      </c>
      <c r="AA64" s="47"/>
      <c r="AB64" s="4" t="s">
        <v>1080</v>
      </c>
      <c r="AC64" s="43" t="str">
        <f>IF(VLOOKUP(AB64,βοηθητικό!$J$2:$N$354,3,FALSE)="","",VLOOKUP(AB64,βοηθητικό!$J$2:$N$354,3,FALSE))</f>
        <v>6987312059</v>
      </c>
      <c r="AD64" s="44"/>
      <c r="AE64" s="5" t="s">
        <v>1004</v>
      </c>
      <c r="AF64" s="46" t="str">
        <f>IF(VLOOKUP(AE64,βοηθητικό!$J$2:$N$354,3,FALSE)="","",VLOOKUP(AE64,βοηθητικό!$J$2:$N$354,3,FALSE))</f>
        <v>6974057776</v>
      </c>
      <c r="AG64" s="47"/>
      <c r="AH64" s="4" t="s">
        <v>981</v>
      </c>
      <c r="AI64" s="43" t="str">
        <f>IF(VLOOKUP(AH64,βοηθητικό!$J$2:$N$354,3,FALSE)="","",VLOOKUP(AH64,βοηθητικό!$J$2:$N$354,3,FALSE))</f>
        <v>6978853783</v>
      </c>
      <c r="AJ64" s="44"/>
      <c r="AK64" s="5" t="s">
        <v>931</v>
      </c>
      <c r="AL64" s="46" t="str">
        <f>IF(VLOOKUP(AK64,βοηθητικό!$J$2:$N$354,3,FALSE)="","",VLOOKUP(AK64,βοηθητικό!$J$2:$N$354,3,FALSE))</f>
        <v>6973333473</v>
      </c>
      <c r="AM64" s="47"/>
      <c r="AN64" s="4" t="s">
        <v>1087</v>
      </c>
      <c r="AO64" s="43" t="str">
        <f>IF(VLOOKUP(AN64,βοηθητικό!$J$2:$N$354,3,FALSE)="","",VLOOKUP(AN64,βοηθητικό!$J$2:$N$354,3,FALSE))</f>
        <v>6938246522</v>
      </c>
      <c r="AP64" s="44"/>
      <c r="AQ64" s="5" t="s">
        <v>16</v>
      </c>
      <c r="AR64" s="46" t="str">
        <f>IF(VLOOKUP(AQ64,βοηθητικό!$J$2:$N$354,3,FALSE)="","",VLOOKUP(AQ64,βοηθητικό!$J$2:$N$354,3,FALSE))</f>
        <v>_</v>
      </c>
      <c r="AS64" s="47"/>
      <c r="AT64" s="4" t="s">
        <v>16</v>
      </c>
      <c r="AU64" s="43" t="str">
        <f>IF(VLOOKUP(AT64,βοηθητικό!$J$2:$N$354,3,FALSE)="","",VLOOKUP(AT64,βοηθητικό!$J$2:$N$354,3,FALSE))</f>
        <v>_</v>
      </c>
      <c r="AV64" s="44"/>
      <c r="AW64" s="5" t="s">
        <v>16</v>
      </c>
      <c r="AX64" s="46" t="str">
        <f>IF(VLOOKUP(AW64,βοηθητικό!$J$2:$N$354,3,FALSE)="","",VLOOKUP(AW64,βοηθητικό!$J$2:$N$354,3,FALSE))</f>
        <v>_</v>
      </c>
      <c r="AY64" s="47"/>
      <c r="AZ64" s="4" t="s">
        <v>16</v>
      </c>
      <c r="BA64" s="43" t="str">
        <f>IF(VLOOKUP(AZ64,βοηθητικό!$J$2:$N$354,3,FALSE)="","",VLOOKUP(AZ64,βοηθητικό!$J$2:$N$354,3,FALSE))</f>
        <v>_</v>
      </c>
      <c r="BB64" s="44"/>
      <c r="BC64" s="45" t="s">
        <v>16</v>
      </c>
      <c r="BD64" s="46" t="str">
        <f>IF(VLOOKUP(BC64,βοηθητικό!$J$2:$N$354,3,FALSE)="","",VLOOKUP(BC64,βοηθητικό!$J$2:$N$354,3,FALSE))</f>
        <v>_</v>
      </c>
      <c r="BE64" s="47"/>
      <c r="BF64" s="42" t="s">
        <v>16</v>
      </c>
      <c r="BG64" s="43" t="str">
        <f>IF(VLOOKUP(BF64,βοηθητικό!$J$2:$N$354,3,FALSE)="","",VLOOKUP(BF64,βοηθητικό!$J$2:$N$354,3,FALSE))</f>
        <v>_</v>
      </c>
      <c r="BH64" s="44"/>
      <c r="BI64" s="45" t="s">
        <v>16</v>
      </c>
      <c r="BJ64" s="46" t="str">
        <f>IF(VLOOKUP(BI64,βοηθητικό!$J$2:$N$354,3,FALSE)="","",VLOOKUP(BI64,βοηθητικό!$J$2:$N$354,3,FALSE))</f>
        <v>_</v>
      </c>
      <c r="BK64" s="47"/>
      <c r="BL64" s="42" t="s">
        <v>16</v>
      </c>
      <c r="BM64" s="43" t="str">
        <f>IF(VLOOKUP(BL64,βοηθητικό!$J$2:$N$354,3,FALSE)="","",VLOOKUP(BL64,βοηθητικό!$J$2:$N$354,3,FALSE))</f>
        <v>_</v>
      </c>
      <c r="BN64" s="44"/>
      <c r="BO64" s="45" t="s">
        <v>16</v>
      </c>
      <c r="BP64" s="46" t="str">
        <f>IF(VLOOKUP(BO64,βοηθητικό!$J$2:$N$354,3,FALSE)="","",VLOOKUP(BO64,βοηθητικό!$J$2:$N$354,3,FALSE))</f>
        <v>_</v>
      </c>
      <c r="BQ64" s="47"/>
      <c r="BR64" s="42" t="s">
        <v>16</v>
      </c>
      <c r="BS64" s="43" t="str">
        <f>IF(VLOOKUP(BR64,βοηθητικό!$J$2:$N$354,3,FALSE)="","",VLOOKUP(BR64,βοηθητικό!$J$2:$N$354,3,FALSE))</f>
        <v>_</v>
      </c>
      <c r="BT64" s="44"/>
      <c r="BU64" s="45" t="s">
        <v>16</v>
      </c>
      <c r="BV64" s="46" t="str">
        <f>IF(VLOOKUP(BU64,βοηθητικό!$J$2:$N$354,3,FALSE)="","",VLOOKUP(BU64,βοηθητικό!$J$2:$N$354,3,FALSE))</f>
        <v>_</v>
      </c>
      <c r="BW64" s="47"/>
      <c r="BX64" s="42" t="s">
        <v>16</v>
      </c>
      <c r="BY64" s="43" t="str">
        <f>IF(VLOOKUP(BX64,βοηθητικό!$J$2:$N$354,3,FALSE)="","",VLOOKUP(BX64,βοηθητικό!$J$2:$N$354,3,FALSE))</f>
        <v>_</v>
      </c>
      <c r="BZ64" s="44"/>
      <c r="CA64" s="45" t="s">
        <v>16</v>
      </c>
      <c r="CB64" s="46" t="str">
        <f>IF(VLOOKUP(CA64,βοηθητικό!$J$2:$N$354,3,FALSE)="","",VLOOKUP(CA64,βοηθητικό!$J$2:$N$354,3,FALSE))</f>
        <v>_</v>
      </c>
      <c r="CC64" s="47"/>
      <c r="CD64" s="42" t="s">
        <v>16</v>
      </c>
      <c r="CE64" s="43" t="str">
        <f>IF(VLOOKUP(CD64,βοηθητικό!$J$2:$N$354,3,FALSE)="","",VLOOKUP(CD64,βοηθητικό!$J$2:$N$354,3,FALSE))</f>
        <v>_</v>
      </c>
      <c r="CF64" s="44"/>
      <c r="CG64" s="45" t="s">
        <v>16</v>
      </c>
      <c r="CH64" s="46" t="str">
        <f>IF(VLOOKUP(CG64,βοηθητικό!$J$2:$N$354,3,FALSE)="","",VLOOKUP(CG64,βοηθητικό!$J$2:$N$354,3,FALSE))</f>
        <v>_</v>
      </c>
      <c r="CI64" s="47"/>
      <c r="CJ64" s="42" t="s">
        <v>16</v>
      </c>
      <c r="CK64" s="43" t="str">
        <f>IF(VLOOKUP(CJ64,βοηθητικό!$J$2:$N$354,3,FALSE)="","",VLOOKUP(CJ64,βοηθητικό!$J$2:$N$354,3,FALSE))</f>
        <v>_</v>
      </c>
      <c r="CL64" s="44"/>
      <c r="CM64" s="45" t="s">
        <v>16</v>
      </c>
      <c r="CN64" s="46" t="str">
        <f>IF(VLOOKUP(CM64,βοηθητικό!$J$2:$N$354,3,FALSE)="","",VLOOKUP(CM64,βοηθητικό!$J$2:$N$354,3,FALSE))</f>
        <v>_</v>
      </c>
      <c r="CO64" s="47"/>
      <c r="CP64" s="42" t="s">
        <v>16</v>
      </c>
      <c r="CQ64" s="43" t="str">
        <f>IF(VLOOKUP(CP64,βοηθητικό!$J$2:$N$354,3,FALSE)="","",VLOOKUP(CP64,βοηθητικό!$J$2:$N$354,3,FALSE))</f>
        <v>_</v>
      </c>
      <c r="CR64" s="44"/>
      <c r="CS64" s="45" t="s">
        <v>16</v>
      </c>
      <c r="CT64" s="46" t="str">
        <f>IF(VLOOKUP(CS64,βοηθητικό!$J$2:$N$354,3,FALSE)="","",VLOOKUP(CS64,βοηθητικό!$J$2:$N$354,3,FALSE))</f>
        <v>_</v>
      </c>
      <c r="CU64" s="47"/>
    </row>
    <row r="65" spans="1:99" x14ac:dyDescent="0.25">
      <c r="A65" s="37">
        <f>--SUBTOTAL(3,$B$3:B64)</f>
        <v>62</v>
      </c>
      <c r="B65" s="2">
        <v>45094</v>
      </c>
      <c r="C65" s="3">
        <v>45100</v>
      </c>
      <c r="D65" s="55" t="s">
        <v>92</v>
      </c>
      <c r="E65" s="38" t="s">
        <v>16</v>
      </c>
      <c r="F65" s="38" t="s">
        <v>16</v>
      </c>
      <c r="G65" s="39" t="str">
        <f t="shared" si="2"/>
        <v>__</v>
      </c>
      <c r="H65" s="40" t="str">
        <f t="shared" si="3"/>
        <v>FALSE</v>
      </c>
      <c r="I65" s="41">
        <f t="shared" si="4"/>
        <v>12</v>
      </c>
      <c r="J65" s="4" t="s">
        <v>1041</v>
      </c>
      <c r="K65" s="43">
        <f>IF(VLOOKUP(J65,βοηθητικό!$J$2:$N$354,3,FALSE)="","",VLOOKUP(J65,βοηθητικό!$J$2:$N$354,3,FALSE))</f>
        <v>6977628647</v>
      </c>
      <c r="L65" s="44"/>
      <c r="M65" s="5" t="s">
        <v>927</v>
      </c>
      <c r="N65" s="46">
        <f>IF(VLOOKUP(M65,βοηθητικό!$J$2:$N$354,3,FALSE)="","",VLOOKUP(M65,βοηθητικό!$J$2:$N$354,3,FALSE))</f>
        <v>6974929090</v>
      </c>
      <c r="O65" s="47"/>
      <c r="P65" s="4" t="s">
        <v>1062</v>
      </c>
      <c r="Q65" s="43">
        <f>IF(VLOOKUP(P65,βοηθητικό!$J$2:$N$354,3,FALSE)="","",VLOOKUP(P65,βοηθητικό!$J$2:$N$354,3,FALSE))</f>
        <v>6977010272</v>
      </c>
      <c r="R65" s="44"/>
      <c r="S65" s="5" t="s">
        <v>1065</v>
      </c>
      <c r="T65" s="46">
        <f>IF(VLOOKUP(S65,βοηθητικό!$J$2:$N$354,3,FALSE)="","",VLOOKUP(S65,βοηθητικό!$J$2:$N$354,3,FALSE))</f>
        <v>6977224085</v>
      </c>
      <c r="U65" s="47"/>
      <c r="V65" s="4" t="s">
        <v>935</v>
      </c>
      <c r="W65" s="43" t="str">
        <f>IF(VLOOKUP(V65,βοηθητικό!$J$2:$N$354,3,FALSE)="","",VLOOKUP(V65,βοηθητικό!$J$2:$N$354,3,FALSE))</f>
        <v>6934671271</v>
      </c>
      <c r="X65" s="44"/>
      <c r="Y65" s="5" t="s">
        <v>1077</v>
      </c>
      <c r="Z65" s="46" t="str">
        <f>IF(VLOOKUP(Y65,βοηθητικό!$J$2:$N$354,3,FALSE)="","",VLOOKUP(Y65,βοηθητικό!$J$2:$N$354,3,FALSE))</f>
        <v>6946474745</v>
      </c>
      <c r="AA65" s="47"/>
      <c r="AB65" s="4" t="s">
        <v>1048</v>
      </c>
      <c r="AC65" s="43" t="str">
        <f>IF(VLOOKUP(AB65,βοηθητικό!$J$2:$N$354,3,FALSE)="","",VLOOKUP(AB65,βοηθητικό!$J$2:$N$354,3,FALSE))</f>
        <v>6981800426</v>
      </c>
      <c r="AD65" s="44"/>
      <c r="AE65" s="5" t="s">
        <v>965</v>
      </c>
      <c r="AF65" s="46" t="str">
        <f>IF(VLOOKUP(AE65,βοηθητικό!$J$2:$N$354,3,FALSE)="","",VLOOKUP(AE65,βοηθητικό!$J$2:$N$354,3,FALSE))</f>
        <v>6942039538</v>
      </c>
      <c r="AG65" s="47"/>
      <c r="AH65" s="4" t="s">
        <v>951</v>
      </c>
      <c r="AI65" s="43" t="str">
        <f>IF(VLOOKUP(AH65,βοηθητικό!$J$2:$N$354,3,FALSE)="","",VLOOKUP(AH65,βοηθητικό!$J$2:$N$354,3,FALSE))</f>
        <v>6948491981</v>
      </c>
      <c r="AJ65" s="44"/>
      <c r="AK65" s="5" t="s">
        <v>1053</v>
      </c>
      <c r="AL65" s="46" t="str">
        <f>IF(VLOOKUP(AK65,βοηθητικό!$J$2:$N$354,3,FALSE)="","",VLOOKUP(AK65,βοηθητικό!$J$2:$N$354,3,FALSE))</f>
        <v>6983652275</v>
      </c>
      <c r="AM65" s="47"/>
      <c r="AN65" s="4" t="s">
        <v>1019</v>
      </c>
      <c r="AO65" s="43">
        <f>IF(VLOOKUP(AN65,βοηθητικό!$J$2:$N$354,3,FALSE)="","",VLOOKUP(AN65,βοηθητικό!$J$2:$N$354,3,FALSE))</f>
        <v>6999854936</v>
      </c>
      <c r="AP65" s="44"/>
      <c r="AQ65" s="5" t="s">
        <v>1084</v>
      </c>
      <c r="AR65" s="46">
        <f>IF(VLOOKUP(AQ65,βοηθητικό!$J$2:$N$354,3,FALSE)="","",VLOOKUP(AQ65,βοηθητικό!$J$2:$N$354,3,FALSE))</f>
        <v>6942419580</v>
      </c>
      <c r="AS65" s="47"/>
      <c r="AT65" s="4" t="s">
        <v>16</v>
      </c>
      <c r="AU65" s="43" t="str">
        <f>IF(VLOOKUP(AT65,βοηθητικό!$J$2:$N$354,3,FALSE)="","",VLOOKUP(AT65,βοηθητικό!$J$2:$N$354,3,FALSE))</f>
        <v>_</v>
      </c>
      <c r="AV65" s="44"/>
      <c r="AW65" s="5" t="s">
        <v>16</v>
      </c>
      <c r="AX65" s="46" t="str">
        <f>IF(VLOOKUP(AW65,βοηθητικό!$J$2:$N$354,3,FALSE)="","",VLOOKUP(AW65,βοηθητικό!$J$2:$N$354,3,FALSE))</f>
        <v>_</v>
      </c>
      <c r="AY65" s="47"/>
      <c r="AZ65" s="4" t="s">
        <v>16</v>
      </c>
      <c r="BA65" s="43" t="str">
        <f>IF(VLOOKUP(AZ65,βοηθητικό!$J$2:$N$354,3,FALSE)="","",VLOOKUP(AZ65,βοηθητικό!$J$2:$N$354,3,FALSE))</f>
        <v>_</v>
      </c>
      <c r="BB65" s="44"/>
      <c r="BC65" s="45" t="s">
        <v>16</v>
      </c>
      <c r="BD65" s="46" t="str">
        <f>IF(VLOOKUP(BC65,βοηθητικό!$J$2:$N$354,3,FALSE)="","",VLOOKUP(BC65,βοηθητικό!$J$2:$N$354,3,FALSE))</f>
        <v>_</v>
      </c>
      <c r="BE65" s="47"/>
      <c r="BF65" s="42" t="s">
        <v>16</v>
      </c>
      <c r="BG65" s="43" t="str">
        <f>IF(VLOOKUP(BF65,βοηθητικό!$J$2:$N$354,3,FALSE)="","",VLOOKUP(BF65,βοηθητικό!$J$2:$N$354,3,FALSE))</f>
        <v>_</v>
      </c>
      <c r="BH65" s="44"/>
      <c r="BI65" s="45" t="s">
        <v>16</v>
      </c>
      <c r="BJ65" s="46" t="str">
        <f>IF(VLOOKUP(BI65,βοηθητικό!$J$2:$N$354,3,FALSE)="","",VLOOKUP(BI65,βοηθητικό!$J$2:$N$354,3,FALSE))</f>
        <v>_</v>
      </c>
      <c r="BK65" s="47"/>
      <c r="BL65" s="42" t="s">
        <v>16</v>
      </c>
      <c r="BM65" s="43" t="str">
        <f>IF(VLOOKUP(BL65,βοηθητικό!$J$2:$N$354,3,FALSE)="","",VLOOKUP(BL65,βοηθητικό!$J$2:$N$354,3,FALSE))</f>
        <v>_</v>
      </c>
      <c r="BN65" s="44"/>
      <c r="BO65" s="45" t="s">
        <v>16</v>
      </c>
      <c r="BP65" s="46" t="str">
        <f>IF(VLOOKUP(BO65,βοηθητικό!$J$2:$N$354,3,FALSE)="","",VLOOKUP(BO65,βοηθητικό!$J$2:$N$354,3,FALSE))</f>
        <v>_</v>
      </c>
      <c r="BQ65" s="47"/>
      <c r="BR65" s="42" t="s">
        <v>16</v>
      </c>
      <c r="BS65" s="43" t="str">
        <f>IF(VLOOKUP(BR65,βοηθητικό!$J$2:$N$354,3,FALSE)="","",VLOOKUP(BR65,βοηθητικό!$J$2:$N$354,3,FALSE))</f>
        <v>_</v>
      </c>
      <c r="BT65" s="44"/>
      <c r="BU65" s="45" t="s">
        <v>16</v>
      </c>
      <c r="BV65" s="46" t="str">
        <f>IF(VLOOKUP(BU65,βοηθητικό!$J$2:$N$354,3,FALSE)="","",VLOOKUP(BU65,βοηθητικό!$J$2:$N$354,3,FALSE))</f>
        <v>_</v>
      </c>
      <c r="BW65" s="47"/>
      <c r="BX65" s="42" t="s">
        <v>16</v>
      </c>
      <c r="BY65" s="43" t="str">
        <f>IF(VLOOKUP(BX65,βοηθητικό!$J$2:$N$354,3,FALSE)="","",VLOOKUP(BX65,βοηθητικό!$J$2:$N$354,3,FALSE))</f>
        <v>_</v>
      </c>
      <c r="BZ65" s="44"/>
      <c r="CA65" s="45" t="s">
        <v>16</v>
      </c>
      <c r="CB65" s="46" t="str">
        <f>IF(VLOOKUP(CA65,βοηθητικό!$J$2:$N$354,3,FALSE)="","",VLOOKUP(CA65,βοηθητικό!$J$2:$N$354,3,FALSE))</f>
        <v>_</v>
      </c>
      <c r="CC65" s="47"/>
      <c r="CD65" s="42" t="s">
        <v>16</v>
      </c>
      <c r="CE65" s="43" t="str">
        <f>IF(VLOOKUP(CD65,βοηθητικό!$J$2:$N$354,3,FALSE)="","",VLOOKUP(CD65,βοηθητικό!$J$2:$N$354,3,FALSE))</f>
        <v>_</v>
      </c>
      <c r="CF65" s="44"/>
      <c r="CG65" s="45" t="s">
        <v>16</v>
      </c>
      <c r="CH65" s="46" t="str">
        <f>IF(VLOOKUP(CG65,βοηθητικό!$J$2:$N$354,3,FALSE)="","",VLOOKUP(CG65,βοηθητικό!$J$2:$N$354,3,FALSE))</f>
        <v>_</v>
      </c>
      <c r="CI65" s="47"/>
      <c r="CJ65" s="42" t="s">
        <v>16</v>
      </c>
      <c r="CK65" s="43" t="str">
        <f>IF(VLOOKUP(CJ65,βοηθητικό!$J$2:$N$354,3,FALSE)="","",VLOOKUP(CJ65,βοηθητικό!$J$2:$N$354,3,FALSE))</f>
        <v>_</v>
      </c>
      <c r="CL65" s="44"/>
      <c r="CM65" s="45" t="s">
        <v>16</v>
      </c>
      <c r="CN65" s="46" t="str">
        <f>IF(VLOOKUP(CM65,βοηθητικό!$J$2:$N$354,3,FALSE)="","",VLOOKUP(CM65,βοηθητικό!$J$2:$N$354,3,FALSE))</f>
        <v>_</v>
      </c>
      <c r="CO65" s="47"/>
      <c r="CP65" s="42" t="s">
        <v>16</v>
      </c>
      <c r="CQ65" s="43" t="str">
        <f>IF(VLOOKUP(CP65,βοηθητικό!$J$2:$N$354,3,FALSE)="","",VLOOKUP(CP65,βοηθητικό!$J$2:$N$354,3,FALSE))</f>
        <v>_</v>
      </c>
      <c r="CR65" s="44"/>
      <c r="CS65" s="45" t="s">
        <v>16</v>
      </c>
      <c r="CT65" s="46" t="str">
        <f>IF(VLOOKUP(CS65,βοηθητικό!$J$2:$N$354,3,FALSE)="","",VLOOKUP(CS65,βοηθητικό!$J$2:$N$354,3,FALSE))</f>
        <v>_</v>
      </c>
      <c r="CU65" s="47"/>
    </row>
    <row r="66" spans="1:99" x14ac:dyDescent="0.25">
      <c r="A66" s="37">
        <f>--SUBTOTAL(3,$B$3:B65)</f>
        <v>63</v>
      </c>
      <c r="B66" s="2">
        <v>45101</v>
      </c>
      <c r="C66" s="3">
        <v>45107</v>
      </c>
      <c r="D66" s="55" t="s">
        <v>92</v>
      </c>
      <c r="E66" s="38" t="s">
        <v>16</v>
      </c>
      <c r="F66" s="38" t="s">
        <v>16</v>
      </c>
      <c r="G66" s="39" t="str">
        <f t="shared" si="2"/>
        <v>__</v>
      </c>
      <c r="H66" s="40" t="str">
        <f t="shared" si="3"/>
        <v>FALSE</v>
      </c>
      <c r="I66" s="41">
        <f t="shared" si="4"/>
        <v>11</v>
      </c>
      <c r="J66" s="4" t="s">
        <v>969</v>
      </c>
      <c r="K66" s="43" t="str">
        <f>IF(VLOOKUP(J66,βοηθητικό!$J$2:$N$354,3,FALSE)="","",VLOOKUP(J66,βοηθητικό!$J$2:$N$354,3,FALSE))</f>
        <v>6972773725</v>
      </c>
      <c r="L66" s="44"/>
      <c r="M66" s="5" t="s">
        <v>1031</v>
      </c>
      <c r="N66" s="46">
        <f>IF(VLOOKUP(M66,βοηθητικό!$J$2:$N$354,3,FALSE)="","",VLOOKUP(M66,βοηθητικό!$J$2:$N$354,3,FALSE))</f>
        <v>6936970927</v>
      </c>
      <c r="O66" s="47"/>
      <c r="P66" s="4" t="s">
        <v>948</v>
      </c>
      <c r="Q66" s="43">
        <f>IF(VLOOKUP(P66,βοηθητικό!$J$2:$N$354,3,FALSE)="","",VLOOKUP(P66,βοηθητικό!$J$2:$N$354,3,FALSE))</f>
        <v>6972084481</v>
      </c>
      <c r="R66" s="44"/>
      <c r="S66" s="5" t="s">
        <v>1029</v>
      </c>
      <c r="T66" s="46">
        <f>IF(VLOOKUP(S66,βοηθητικό!$J$2:$N$354,3,FALSE)="","",VLOOKUP(S66,βοηθητικό!$J$2:$N$354,3,FALSE))</f>
        <v>6972210917</v>
      </c>
      <c r="U66" s="47"/>
      <c r="V66" s="4" t="s">
        <v>939</v>
      </c>
      <c r="W66" s="43" t="str">
        <f>IF(VLOOKUP(V66,βοηθητικό!$J$2:$N$354,3,FALSE)="","",VLOOKUP(V66,βοηθητικό!$J$2:$N$354,3,FALSE))</f>
        <v>6932393388</v>
      </c>
      <c r="X66" s="44"/>
      <c r="Y66" s="5" t="s">
        <v>957</v>
      </c>
      <c r="Z66" s="46" t="str">
        <f>IF(VLOOKUP(Y66,βοηθητικό!$J$2:$N$354,3,FALSE)="","",VLOOKUP(Y66,βοηθητικό!$J$2:$N$354,3,FALSE))</f>
        <v>6980042920</v>
      </c>
      <c r="AA66" s="47"/>
      <c r="AB66" s="4" t="s">
        <v>923</v>
      </c>
      <c r="AC66" s="43" t="str">
        <f>IF(VLOOKUP(AB66,βοηθητικό!$J$2:$N$354,3,FALSE)="","",VLOOKUP(AB66,βοηθητικό!$J$2:$N$354,3,FALSE))</f>
        <v>6970117758</v>
      </c>
      <c r="AD66" s="44"/>
      <c r="AE66" s="5" t="s">
        <v>995</v>
      </c>
      <c r="AF66" s="46" t="str">
        <f>IF(VLOOKUP(AE66,βοηθητικό!$J$2:$N$354,3,FALSE)="","",VLOOKUP(AE66,βοηθητικό!$J$2:$N$354,3,FALSE))</f>
        <v>6972386367</v>
      </c>
      <c r="AG66" s="47"/>
      <c r="AH66" s="4" t="s">
        <v>985</v>
      </c>
      <c r="AI66" s="43">
        <f>IF(VLOOKUP(AH66,βοηθητικό!$J$2:$N$354,3,FALSE)="","",VLOOKUP(AH66,βοηθητικό!$J$2:$N$354,3,FALSE))</f>
        <v>6978333756</v>
      </c>
      <c r="AJ66" s="44"/>
      <c r="AK66" s="5" t="s">
        <v>992</v>
      </c>
      <c r="AL66" s="46">
        <f>IF(VLOOKUP(AK66,βοηθητικό!$J$2:$N$354,3,FALSE)="","",VLOOKUP(AK66,βοηθητικό!$J$2:$N$354,3,FALSE))</f>
        <v>6978993984</v>
      </c>
      <c r="AM66" s="47"/>
      <c r="AN66" s="4" t="s">
        <v>1033</v>
      </c>
      <c r="AO66" s="43">
        <f>IF(VLOOKUP(AN66,βοηθητικό!$J$2:$N$354,3,FALSE)="","",VLOOKUP(AN66,βοηθητικό!$J$2:$N$354,3,FALSE))</f>
        <v>6974114328</v>
      </c>
      <c r="AP66" s="44"/>
      <c r="AQ66" s="5" t="s">
        <v>16</v>
      </c>
      <c r="AR66" s="46" t="str">
        <f>IF(VLOOKUP(AQ66,βοηθητικό!$J$2:$N$354,3,FALSE)="","",VLOOKUP(AQ66,βοηθητικό!$J$2:$N$354,3,FALSE))</f>
        <v>_</v>
      </c>
      <c r="AS66" s="47"/>
      <c r="AT66" s="4" t="s">
        <v>16</v>
      </c>
      <c r="AU66" s="43" t="str">
        <f>IF(VLOOKUP(AT66,βοηθητικό!$J$2:$N$354,3,FALSE)="","",VLOOKUP(AT66,βοηθητικό!$J$2:$N$354,3,FALSE))</f>
        <v>_</v>
      </c>
      <c r="AV66" s="44"/>
      <c r="AW66" s="5" t="s">
        <v>16</v>
      </c>
      <c r="AX66" s="46" t="str">
        <f>IF(VLOOKUP(AW66,βοηθητικό!$J$2:$N$354,3,FALSE)="","",VLOOKUP(AW66,βοηθητικό!$J$2:$N$354,3,FALSE))</f>
        <v>_</v>
      </c>
      <c r="AY66" s="47"/>
      <c r="AZ66" s="4" t="s">
        <v>16</v>
      </c>
      <c r="BA66" s="43" t="str">
        <f>IF(VLOOKUP(AZ66,βοηθητικό!$J$2:$N$354,3,FALSE)="","",VLOOKUP(AZ66,βοηθητικό!$J$2:$N$354,3,FALSE))</f>
        <v>_</v>
      </c>
      <c r="BB66" s="44"/>
      <c r="BC66" s="45" t="s">
        <v>16</v>
      </c>
      <c r="BD66" s="46" t="str">
        <f>IF(VLOOKUP(BC66,βοηθητικό!$J$2:$N$354,3,FALSE)="","",VLOOKUP(BC66,βοηθητικό!$J$2:$N$354,3,FALSE))</f>
        <v>_</v>
      </c>
      <c r="BE66" s="47"/>
      <c r="BF66" s="42" t="s">
        <v>16</v>
      </c>
      <c r="BG66" s="43" t="str">
        <f>IF(VLOOKUP(BF66,βοηθητικό!$J$2:$N$354,3,FALSE)="","",VLOOKUP(BF66,βοηθητικό!$J$2:$N$354,3,FALSE))</f>
        <v>_</v>
      </c>
      <c r="BH66" s="44"/>
      <c r="BI66" s="45" t="s">
        <v>16</v>
      </c>
      <c r="BJ66" s="46" t="str">
        <f>IF(VLOOKUP(BI66,βοηθητικό!$J$2:$N$354,3,FALSE)="","",VLOOKUP(BI66,βοηθητικό!$J$2:$N$354,3,FALSE))</f>
        <v>_</v>
      </c>
      <c r="BK66" s="47"/>
      <c r="BL66" s="42" t="s">
        <v>16</v>
      </c>
      <c r="BM66" s="43" t="str">
        <f>IF(VLOOKUP(BL66,βοηθητικό!$J$2:$N$354,3,FALSE)="","",VLOOKUP(BL66,βοηθητικό!$J$2:$N$354,3,FALSE))</f>
        <v>_</v>
      </c>
      <c r="BN66" s="44"/>
      <c r="BO66" s="45" t="s">
        <v>16</v>
      </c>
      <c r="BP66" s="46" t="str">
        <f>IF(VLOOKUP(BO66,βοηθητικό!$J$2:$N$354,3,FALSE)="","",VLOOKUP(BO66,βοηθητικό!$J$2:$N$354,3,FALSE))</f>
        <v>_</v>
      </c>
      <c r="BQ66" s="47"/>
      <c r="BR66" s="42" t="s">
        <v>16</v>
      </c>
      <c r="BS66" s="43" t="str">
        <f>IF(VLOOKUP(BR66,βοηθητικό!$J$2:$N$354,3,FALSE)="","",VLOOKUP(BR66,βοηθητικό!$J$2:$N$354,3,FALSE))</f>
        <v>_</v>
      </c>
      <c r="BT66" s="44"/>
      <c r="BU66" s="45" t="s">
        <v>16</v>
      </c>
      <c r="BV66" s="46" t="str">
        <f>IF(VLOOKUP(BU66,βοηθητικό!$J$2:$N$354,3,FALSE)="","",VLOOKUP(BU66,βοηθητικό!$J$2:$N$354,3,FALSE))</f>
        <v>_</v>
      </c>
      <c r="BW66" s="47"/>
      <c r="BX66" s="42" t="s">
        <v>16</v>
      </c>
      <c r="BY66" s="43" t="str">
        <f>IF(VLOOKUP(BX66,βοηθητικό!$J$2:$N$354,3,FALSE)="","",VLOOKUP(BX66,βοηθητικό!$J$2:$N$354,3,FALSE))</f>
        <v>_</v>
      </c>
      <c r="BZ66" s="44"/>
      <c r="CA66" s="45" t="s">
        <v>16</v>
      </c>
      <c r="CB66" s="46" t="str">
        <f>IF(VLOOKUP(CA66,βοηθητικό!$J$2:$N$354,3,FALSE)="","",VLOOKUP(CA66,βοηθητικό!$J$2:$N$354,3,FALSE))</f>
        <v>_</v>
      </c>
      <c r="CC66" s="47"/>
      <c r="CD66" s="42" t="s">
        <v>16</v>
      </c>
      <c r="CE66" s="43" t="str">
        <f>IF(VLOOKUP(CD66,βοηθητικό!$J$2:$N$354,3,FALSE)="","",VLOOKUP(CD66,βοηθητικό!$J$2:$N$354,3,FALSE))</f>
        <v>_</v>
      </c>
      <c r="CF66" s="44"/>
      <c r="CG66" s="45" t="s">
        <v>16</v>
      </c>
      <c r="CH66" s="46" t="str">
        <f>IF(VLOOKUP(CG66,βοηθητικό!$J$2:$N$354,3,FALSE)="","",VLOOKUP(CG66,βοηθητικό!$J$2:$N$354,3,FALSE))</f>
        <v>_</v>
      </c>
      <c r="CI66" s="47"/>
      <c r="CJ66" s="42" t="s">
        <v>16</v>
      </c>
      <c r="CK66" s="43" t="str">
        <f>IF(VLOOKUP(CJ66,βοηθητικό!$J$2:$N$354,3,FALSE)="","",VLOOKUP(CJ66,βοηθητικό!$J$2:$N$354,3,FALSE))</f>
        <v>_</v>
      </c>
      <c r="CL66" s="44"/>
      <c r="CM66" s="45" t="s">
        <v>16</v>
      </c>
      <c r="CN66" s="46" t="str">
        <f>IF(VLOOKUP(CM66,βοηθητικό!$J$2:$N$354,3,FALSE)="","",VLOOKUP(CM66,βοηθητικό!$J$2:$N$354,3,FALSE))</f>
        <v>_</v>
      </c>
      <c r="CO66" s="47"/>
      <c r="CP66" s="42" t="s">
        <v>16</v>
      </c>
      <c r="CQ66" s="43" t="str">
        <f>IF(VLOOKUP(CP66,βοηθητικό!$J$2:$N$354,3,FALSE)="","",VLOOKUP(CP66,βοηθητικό!$J$2:$N$354,3,FALSE))</f>
        <v>_</v>
      </c>
      <c r="CR66" s="44"/>
      <c r="CS66" s="45" t="s">
        <v>16</v>
      </c>
      <c r="CT66" s="46" t="str">
        <f>IF(VLOOKUP(CS66,βοηθητικό!$J$2:$N$354,3,FALSE)="","",VLOOKUP(CS66,βοηθητικό!$J$2:$N$354,3,FALSE))</f>
        <v>_</v>
      </c>
      <c r="CU66" s="47"/>
    </row>
    <row r="67" spans="1:99" x14ac:dyDescent="0.25">
      <c r="A67" s="37">
        <f>--SUBTOTAL(3,$B$3:B66)</f>
        <v>64</v>
      </c>
      <c r="B67" s="2">
        <v>45078</v>
      </c>
      <c r="C67" s="3">
        <v>45085</v>
      </c>
      <c r="D67" s="55" t="s">
        <v>45</v>
      </c>
      <c r="E67" s="38" t="s">
        <v>16</v>
      </c>
      <c r="F67" s="38" t="s">
        <v>16</v>
      </c>
      <c r="G67" s="39" t="str">
        <f t="shared" si="2"/>
        <v>__</v>
      </c>
      <c r="H67" s="40" t="str">
        <f t="shared" si="3"/>
        <v>FALSE</v>
      </c>
      <c r="I67" s="41">
        <f t="shared" si="4"/>
        <v>6</v>
      </c>
      <c r="J67" s="4" t="s">
        <v>489</v>
      </c>
      <c r="K67" s="43" t="str">
        <f>IF(VLOOKUP(J67,βοηθητικό!$J$2:$N$354,3,FALSE)="","",VLOOKUP(J67,βοηθητικό!$J$2:$N$354,3,FALSE))</f>
        <v>6972289471</v>
      </c>
      <c r="L67" s="44"/>
      <c r="M67" s="5" t="s">
        <v>587</v>
      </c>
      <c r="N67" s="46" t="str">
        <f>IF(VLOOKUP(M67,βοηθητικό!$J$2:$N$354,3,FALSE)="","",VLOOKUP(M67,βοηθητικό!$J$2:$N$354,3,FALSE))</f>
        <v>6947371545</v>
      </c>
      <c r="O67" s="47"/>
      <c r="P67" s="4" t="s">
        <v>509</v>
      </c>
      <c r="Q67" s="43" t="str">
        <f>IF(VLOOKUP(P67,βοηθητικό!$J$2:$N$354,3,FALSE)="","",VLOOKUP(P67,βοηθητικό!$J$2:$N$354,3,FALSE))</f>
        <v>6944370079</v>
      </c>
      <c r="R67" s="44"/>
      <c r="S67" s="5" t="s">
        <v>568</v>
      </c>
      <c r="T67" s="46" t="str">
        <f>IF(VLOOKUP(S67,βοηθητικό!$J$2:$N$354,3,FALSE)="","",VLOOKUP(S67,βοηθητικό!$J$2:$N$354,3,FALSE))</f>
        <v>6955562181</v>
      </c>
      <c r="U67" s="47"/>
      <c r="V67" s="4" t="s">
        <v>577</v>
      </c>
      <c r="W67" s="43" t="str">
        <f>IF(VLOOKUP(V67,βοηθητικό!$J$2:$N$354,3,FALSE)="","",VLOOKUP(V67,βοηθητικό!$J$2:$N$354,3,FALSE))</f>
        <v>6937185269</v>
      </c>
      <c r="X67" s="44"/>
      <c r="Y67" s="5" t="s">
        <v>559</v>
      </c>
      <c r="Z67" s="46" t="str">
        <f>IF(VLOOKUP(Y67,βοηθητικό!$J$2:$N$354,3,FALSE)="","",VLOOKUP(Y67,βοηθητικό!$J$2:$N$354,3,FALSE))</f>
        <v>6934004858</v>
      </c>
      <c r="AA67" s="47"/>
      <c r="AB67" s="4" t="s">
        <v>16</v>
      </c>
      <c r="AC67" s="43" t="str">
        <f>IF(VLOOKUP(AB67,βοηθητικό!$J$2:$N$354,3,FALSE)="","",VLOOKUP(AB67,βοηθητικό!$J$2:$N$354,3,FALSE))</f>
        <v>_</v>
      </c>
      <c r="AD67" s="44"/>
      <c r="AE67" s="5" t="s">
        <v>16</v>
      </c>
      <c r="AF67" s="46" t="str">
        <f>IF(VLOOKUP(AE67,βοηθητικό!$J$2:$N$354,3,FALSE)="","",VLOOKUP(AE67,βοηθητικό!$J$2:$N$354,3,FALSE))</f>
        <v>_</v>
      </c>
      <c r="AG67" s="47"/>
      <c r="AH67" s="4" t="s">
        <v>16</v>
      </c>
      <c r="AI67" s="43" t="str">
        <f>IF(VLOOKUP(AH67,βοηθητικό!$J$2:$N$354,3,FALSE)="","",VLOOKUP(AH67,βοηθητικό!$J$2:$N$354,3,FALSE))</f>
        <v>_</v>
      </c>
      <c r="AJ67" s="44"/>
      <c r="AK67" s="5" t="s">
        <v>16</v>
      </c>
      <c r="AL67" s="46" t="str">
        <f>IF(VLOOKUP(AK67,βοηθητικό!$J$2:$N$354,3,FALSE)="","",VLOOKUP(AK67,βοηθητικό!$J$2:$N$354,3,FALSE))</f>
        <v>_</v>
      </c>
      <c r="AM67" s="47"/>
      <c r="AN67" s="4" t="s">
        <v>16</v>
      </c>
      <c r="AO67" s="43" t="str">
        <f>IF(VLOOKUP(AN67,βοηθητικό!$J$2:$N$354,3,FALSE)="","",VLOOKUP(AN67,βοηθητικό!$J$2:$N$354,3,FALSE))</f>
        <v>_</v>
      </c>
      <c r="AP67" s="44"/>
      <c r="AQ67" s="5" t="s">
        <v>16</v>
      </c>
      <c r="AR67" s="46" t="str">
        <f>IF(VLOOKUP(AQ67,βοηθητικό!$J$2:$N$354,3,FALSE)="","",VLOOKUP(AQ67,βοηθητικό!$J$2:$N$354,3,FALSE))</f>
        <v>_</v>
      </c>
      <c r="AS67" s="47"/>
      <c r="AT67" s="4" t="s">
        <v>16</v>
      </c>
      <c r="AU67" s="43" t="str">
        <f>IF(VLOOKUP(AT67,βοηθητικό!$J$2:$N$354,3,FALSE)="","",VLOOKUP(AT67,βοηθητικό!$J$2:$N$354,3,FALSE))</f>
        <v>_</v>
      </c>
      <c r="AV67" s="44"/>
      <c r="AW67" s="5" t="s">
        <v>16</v>
      </c>
      <c r="AX67" s="46" t="str">
        <f>IF(VLOOKUP(AW67,βοηθητικό!$J$2:$N$354,3,FALSE)="","",VLOOKUP(AW67,βοηθητικό!$J$2:$N$354,3,FALSE))</f>
        <v>_</v>
      </c>
      <c r="AY67" s="47"/>
      <c r="AZ67" s="4" t="s">
        <v>16</v>
      </c>
      <c r="BA67" s="43" t="str">
        <f>IF(VLOOKUP(AZ67,βοηθητικό!$J$2:$N$354,3,FALSE)="","",VLOOKUP(AZ67,βοηθητικό!$J$2:$N$354,3,FALSE))</f>
        <v>_</v>
      </c>
      <c r="BB67" s="44"/>
      <c r="BC67" s="45" t="s">
        <v>16</v>
      </c>
      <c r="BD67" s="46" t="str">
        <f>IF(VLOOKUP(BC67,βοηθητικό!$J$2:$N$354,3,FALSE)="","",VLOOKUP(BC67,βοηθητικό!$J$2:$N$354,3,FALSE))</f>
        <v>_</v>
      </c>
      <c r="BE67" s="47"/>
      <c r="BF67" s="42" t="s">
        <v>16</v>
      </c>
      <c r="BG67" s="43" t="str">
        <f>IF(VLOOKUP(BF67,βοηθητικό!$J$2:$N$354,3,FALSE)="","",VLOOKUP(BF67,βοηθητικό!$J$2:$N$354,3,FALSE))</f>
        <v>_</v>
      </c>
      <c r="BH67" s="44"/>
      <c r="BI67" s="45" t="s">
        <v>16</v>
      </c>
      <c r="BJ67" s="46" t="str">
        <f>IF(VLOOKUP(BI67,βοηθητικό!$J$2:$N$354,3,FALSE)="","",VLOOKUP(BI67,βοηθητικό!$J$2:$N$354,3,FALSE))</f>
        <v>_</v>
      </c>
      <c r="BK67" s="47"/>
      <c r="BL67" s="42" t="s">
        <v>16</v>
      </c>
      <c r="BM67" s="43" t="str">
        <f>IF(VLOOKUP(BL67,βοηθητικό!$J$2:$N$354,3,FALSE)="","",VLOOKUP(BL67,βοηθητικό!$J$2:$N$354,3,FALSE))</f>
        <v>_</v>
      </c>
      <c r="BN67" s="44"/>
      <c r="BO67" s="45" t="s">
        <v>16</v>
      </c>
      <c r="BP67" s="46" t="str">
        <f>IF(VLOOKUP(BO67,βοηθητικό!$J$2:$N$354,3,FALSE)="","",VLOOKUP(BO67,βοηθητικό!$J$2:$N$354,3,FALSE))</f>
        <v>_</v>
      </c>
      <c r="BQ67" s="47"/>
      <c r="BR67" s="42" t="s">
        <v>16</v>
      </c>
      <c r="BS67" s="43" t="str">
        <f>IF(VLOOKUP(BR67,βοηθητικό!$J$2:$N$354,3,FALSE)="","",VLOOKUP(BR67,βοηθητικό!$J$2:$N$354,3,FALSE))</f>
        <v>_</v>
      </c>
      <c r="BT67" s="44"/>
      <c r="BU67" s="45" t="s">
        <v>16</v>
      </c>
      <c r="BV67" s="46" t="str">
        <f>IF(VLOOKUP(BU67,βοηθητικό!$J$2:$N$354,3,FALSE)="","",VLOOKUP(BU67,βοηθητικό!$J$2:$N$354,3,FALSE))</f>
        <v>_</v>
      </c>
      <c r="BW67" s="47"/>
      <c r="BX67" s="42" t="s">
        <v>16</v>
      </c>
      <c r="BY67" s="43" t="str">
        <f>IF(VLOOKUP(BX67,βοηθητικό!$J$2:$N$354,3,FALSE)="","",VLOOKUP(BX67,βοηθητικό!$J$2:$N$354,3,FALSE))</f>
        <v>_</v>
      </c>
      <c r="BZ67" s="44"/>
      <c r="CA67" s="45" t="s">
        <v>16</v>
      </c>
      <c r="CB67" s="46" t="str">
        <f>IF(VLOOKUP(CA67,βοηθητικό!$J$2:$N$354,3,FALSE)="","",VLOOKUP(CA67,βοηθητικό!$J$2:$N$354,3,FALSE))</f>
        <v>_</v>
      </c>
      <c r="CC67" s="47"/>
      <c r="CD67" s="42" t="s">
        <v>16</v>
      </c>
      <c r="CE67" s="43" t="str">
        <f>IF(VLOOKUP(CD67,βοηθητικό!$J$2:$N$354,3,FALSE)="","",VLOOKUP(CD67,βοηθητικό!$J$2:$N$354,3,FALSE))</f>
        <v>_</v>
      </c>
      <c r="CF67" s="44"/>
      <c r="CG67" s="45" t="s">
        <v>16</v>
      </c>
      <c r="CH67" s="46" t="str">
        <f>IF(VLOOKUP(CG67,βοηθητικό!$J$2:$N$354,3,FALSE)="","",VLOOKUP(CG67,βοηθητικό!$J$2:$N$354,3,FALSE))</f>
        <v>_</v>
      </c>
      <c r="CI67" s="47"/>
      <c r="CJ67" s="42" t="s">
        <v>16</v>
      </c>
      <c r="CK67" s="43" t="str">
        <f>IF(VLOOKUP(CJ67,βοηθητικό!$J$2:$N$354,3,FALSE)="","",VLOOKUP(CJ67,βοηθητικό!$J$2:$N$354,3,FALSE))</f>
        <v>_</v>
      </c>
      <c r="CL67" s="44"/>
      <c r="CM67" s="45" t="s">
        <v>16</v>
      </c>
      <c r="CN67" s="46" t="str">
        <f>IF(VLOOKUP(CM67,βοηθητικό!$J$2:$N$354,3,FALSE)="","",VLOOKUP(CM67,βοηθητικό!$J$2:$N$354,3,FALSE))</f>
        <v>_</v>
      </c>
      <c r="CO67" s="47"/>
      <c r="CP67" s="42" t="s">
        <v>16</v>
      </c>
      <c r="CQ67" s="43" t="str">
        <f>IF(VLOOKUP(CP67,βοηθητικό!$J$2:$N$354,3,FALSE)="","",VLOOKUP(CP67,βοηθητικό!$J$2:$N$354,3,FALSE))</f>
        <v>_</v>
      </c>
      <c r="CR67" s="44"/>
      <c r="CS67" s="45" t="s">
        <v>16</v>
      </c>
      <c r="CT67" s="46" t="str">
        <f>IF(VLOOKUP(CS67,βοηθητικό!$J$2:$N$354,3,FALSE)="","",VLOOKUP(CS67,βοηθητικό!$J$2:$N$354,3,FALSE))</f>
        <v>_</v>
      </c>
      <c r="CU67" s="47"/>
    </row>
    <row r="68" spans="1:99" x14ac:dyDescent="0.25">
      <c r="A68" s="37">
        <f>--SUBTOTAL(3,$B$3:B67)</f>
        <v>65</v>
      </c>
      <c r="B68" s="2">
        <v>45086</v>
      </c>
      <c r="C68" s="3">
        <v>45093</v>
      </c>
      <c r="D68" s="55" t="s">
        <v>45</v>
      </c>
      <c r="E68" s="38" t="s">
        <v>16</v>
      </c>
      <c r="F68" s="38" t="s">
        <v>16</v>
      </c>
      <c r="G68" s="39" t="str">
        <f t="shared" ref="G68:G131" si="5">IF(OR(C68="_",E68="_"),"__",CONCATENATE(C68,E68))</f>
        <v>__</v>
      </c>
      <c r="H68" s="40" t="str">
        <f t="shared" ref="H68:H131" si="6">IF(G68="__","FALSE",COUNTIF(G:G,G68)&gt;1)</f>
        <v>FALSE</v>
      </c>
      <c r="I68" s="41">
        <f t="shared" ref="I68:I131" si="7">SUMPRODUCT((J68:CU68&lt;&gt;"_")*(MOD(COLUMN(J68:CU68)-COLUMN(J68),3)=0))</f>
        <v>6</v>
      </c>
      <c r="J68" s="4" t="s">
        <v>548</v>
      </c>
      <c r="K68" s="43" t="str">
        <f>IF(VLOOKUP(J68,βοηθητικό!$J$2:$N$354,3,FALSE)="","",VLOOKUP(J68,βοηθητικό!$J$2:$N$354,3,FALSE))</f>
        <v>6977344183</v>
      </c>
      <c r="L68" s="44"/>
      <c r="M68" s="5" t="s">
        <v>485</v>
      </c>
      <c r="N68" s="46" t="str">
        <f>IF(VLOOKUP(M68,βοηθητικό!$J$2:$N$354,3,FALSE)="","",VLOOKUP(M68,βοηθητικό!$J$2:$N$354,3,FALSE))</f>
        <v>6972278604</v>
      </c>
      <c r="O68" s="47"/>
      <c r="P68" s="4" t="s">
        <v>500</v>
      </c>
      <c r="Q68" s="43" t="str">
        <f>IF(VLOOKUP(P68,βοηθητικό!$J$2:$N$354,3,FALSE)="","",VLOOKUP(P68,βοηθητικό!$J$2:$N$354,3,FALSE))</f>
        <v>6945398229</v>
      </c>
      <c r="R68" s="44"/>
      <c r="S68" s="5" t="s">
        <v>514</v>
      </c>
      <c r="T68" s="46" t="str">
        <f>IF(VLOOKUP(S68,βοηθητικό!$J$2:$N$354,3,FALSE)="","",VLOOKUP(S68,βοηθητικό!$J$2:$N$354,3,FALSE))</f>
        <v>6936815219</v>
      </c>
      <c r="U68" s="47"/>
      <c r="V68" s="4" t="s">
        <v>503</v>
      </c>
      <c r="W68" s="43" t="str">
        <f>IF(VLOOKUP(V68,βοηθητικό!$J$2:$N$354,3,FALSE)="","",VLOOKUP(V68,βοηθητικό!$J$2:$N$354,3,FALSE))</f>
        <v>6944234622</v>
      </c>
      <c r="X68" s="44"/>
      <c r="Y68" s="5" t="s">
        <v>523</v>
      </c>
      <c r="Z68" s="46" t="str">
        <f>IF(VLOOKUP(Y68,βοηθητικό!$J$2:$N$354,3,FALSE)="","",VLOOKUP(Y68,βοηθητικό!$J$2:$N$354,3,FALSE))</f>
        <v>6970940292</v>
      </c>
      <c r="AA68" s="47"/>
      <c r="AB68" s="4" t="s">
        <v>16</v>
      </c>
      <c r="AC68" s="43" t="str">
        <f>IF(VLOOKUP(AB68,βοηθητικό!$J$2:$N$354,3,FALSE)="","",VLOOKUP(AB68,βοηθητικό!$J$2:$N$354,3,FALSE))</f>
        <v>_</v>
      </c>
      <c r="AD68" s="44"/>
      <c r="AE68" s="5" t="s">
        <v>16</v>
      </c>
      <c r="AF68" s="46" t="str">
        <f>IF(VLOOKUP(AE68,βοηθητικό!$J$2:$N$354,3,FALSE)="","",VLOOKUP(AE68,βοηθητικό!$J$2:$N$354,3,FALSE))</f>
        <v>_</v>
      </c>
      <c r="AG68" s="47"/>
      <c r="AH68" s="4" t="s">
        <v>16</v>
      </c>
      <c r="AI68" s="43" t="str">
        <f>IF(VLOOKUP(AH68,βοηθητικό!$J$2:$N$354,3,FALSE)="","",VLOOKUP(AH68,βοηθητικό!$J$2:$N$354,3,FALSE))</f>
        <v>_</v>
      </c>
      <c r="AJ68" s="44"/>
      <c r="AK68" s="5" t="s">
        <v>16</v>
      </c>
      <c r="AL68" s="46" t="str">
        <f>IF(VLOOKUP(AK68,βοηθητικό!$J$2:$N$354,3,FALSE)="","",VLOOKUP(AK68,βοηθητικό!$J$2:$N$354,3,FALSE))</f>
        <v>_</v>
      </c>
      <c r="AM68" s="47"/>
      <c r="AN68" s="4" t="s">
        <v>16</v>
      </c>
      <c r="AO68" s="43" t="str">
        <f>IF(VLOOKUP(AN68,βοηθητικό!$J$2:$N$354,3,FALSE)="","",VLOOKUP(AN68,βοηθητικό!$J$2:$N$354,3,FALSE))</f>
        <v>_</v>
      </c>
      <c r="AP68" s="44"/>
      <c r="AQ68" s="5" t="s">
        <v>16</v>
      </c>
      <c r="AR68" s="46" t="str">
        <f>IF(VLOOKUP(AQ68,βοηθητικό!$J$2:$N$354,3,FALSE)="","",VLOOKUP(AQ68,βοηθητικό!$J$2:$N$354,3,FALSE))</f>
        <v>_</v>
      </c>
      <c r="AS68" s="47"/>
      <c r="AT68" s="4" t="s">
        <v>16</v>
      </c>
      <c r="AU68" s="43" t="str">
        <f>IF(VLOOKUP(AT68,βοηθητικό!$J$2:$N$354,3,FALSE)="","",VLOOKUP(AT68,βοηθητικό!$J$2:$N$354,3,FALSE))</f>
        <v>_</v>
      </c>
      <c r="AV68" s="44"/>
      <c r="AW68" s="5" t="s">
        <v>16</v>
      </c>
      <c r="AX68" s="46" t="str">
        <f>IF(VLOOKUP(AW68,βοηθητικό!$J$2:$N$354,3,FALSE)="","",VLOOKUP(AW68,βοηθητικό!$J$2:$N$354,3,FALSE))</f>
        <v>_</v>
      </c>
      <c r="AY68" s="47"/>
      <c r="AZ68" s="4" t="s">
        <v>16</v>
      </c>
      <c r="BA68" s="43" t="str">
        <f>IF(VLOOKUP(AZ68,βοηθητικό!$J$2:$N$354,3,FALSE)="","",VLOOKUP(AZ68,βοηθητικό!$J$2:$N$354,3,FALSE))</f>
        <v>_</v>
      </c>
      <c r="BB68" s="44"/>
      <c r="BC68" s="45" t="s">
        <v>16</v>
      </c>
      <c r="BD68" s="46" t="str">
        <f>IF(VLOOKUP(BC68,βοηθητικό!$J$2:$N$354,3,FALSE)="","",VLOOKUP(BC68,βοηθητικό!$J$2:$N$354,3,FALSE))</f>
        <v>_</v>
      </c>
      <c r="BE68" s="47"/>
      <c r="BF68" s="42" t="s">
        <v>16</v>
      </c>
      <c r="BG68" s="43" t="str">
        <f>IF(VLOOKUP(BF68,βοηθητικό!$J$2:$N$354,3,FALSE)="","",VLOOKUP(BF68,βοηθητικό!$J$2:$N$354,3,FALSE))</f>
        <v>_</v>
      </c>
      <c r="BH68" s="44"/>
      <c r="BI68" s="45" t="s">
        <v>16</v>
      </c>
      <c r="BJ68" s="46" t="str">
        <f>IF(VLOOKUP(BI68,βοηθητικό!$J$2:$N$354,3,FALSE)="","",VLOOKUP(BI68,βοηθητικό!$J$2:$N$354,3,FALSE))</f>
        <v>_</v>
      </c>
      <c r="BK68" s="47"/>
      <c r="BL68" s="42" t="s">
        <v>16</v>
      </c>
      <c r="BM68" s="43" t="str">
        <f>IF(VLOOKUP(BL68,βοηθητικό!$J$2:$N$354,3,FALSE)="","",VLOOKUP(BL68,βοηθητικό!$J$2:$N$354,3,FALSE))</f>
        <v>_</v>
      </c>
      <c r="BN68" s="44"/>
      <c r="BO68" s="45" t="s">
        <v>16</v>
      </c>
      <c r="BP68" s="46" t="str">
        <f>IF(VLOOKUP(BO68,βοηθητικό!$J$2:$N$354,3,FALSE)="","",VLOOKUP(BO68,βοηθητικό!$J$2:$N$354,3,FALSE))</f>
        <v>_</v>
      </c>
      <c r="BQ68" s="47"/>
      <c r="BR68" s="42" t="s">
        <v>16</v>
      </c>
      <c r="BS68" s="43" t="str">
        <f>IF(VLOOKUP(BR68,βοηθητικό!$J$2:$N$354,3,FALSE)="","",VLOOKUP(BR68,βοηθητικό!$J$2:$N$354,3,FALSE))</f>
        <v>_</v>
      </c>
      <c r="BT68" s="44"/>
      <c r="BU68" s="45" t="s">
        <v>16</v>
      </c>
      <c r="BV68" s="46" t="str">
        <f>IF(VLOOKUP(BU68,βοηθητικό!$J$2:$N$354,3,FALSE)="","",VLOOKUP(BU68,βοηθητικό!$J$2:$N$354,3,FALSE))</f>
        <v>_</v>
      </c>
      <c r="BW68" s="47"/>
      <c r="BX68" s="42" t="s">
        <v>16</v>
      </c>
      <c r="BY68" s="43" t="str">
        <f>IF(VLOOKUP(BX68,βοηθητικό!$J$2:$N$354,3,FALSE)="","",VLOOKUP(BX68,βοηθητικό!$J$2:$N$354,3,FALSE))</f>
        <v>_</v>
      </c>
      <c r="BZ68" s="44"/>
      <c r="CA68" s="45" t="s">
        <v>16</v>
      </c>
      <c r="CB68" s="46" t="str">
        <f>IF(VLOOKUP(CA68,βοηθητικό!$J$2:$N$354,3,FALSE)="","",VLOOKUP(CA68,βοηθητικό!$J$2:$N$354,3,FALSE))</f>
        <v>_</v>
      </c>
      <c r="CC68" s="47"/>
      <c r="CD68" s="42" t="s">
        <v>16</v>
      </c>
      <c r="CE68" s="43" t="str">
        <f>IF(VLOOKUP(CD68,βοηθητικό!$J$2:$N$354,3,FALSE)="","",VLOOKUP(CD68,βοηθητικό!$J$2:$N$354,3,FALSE))</f>
        <v>_</v>
      </c>
      <c r="CF68" s="44"/>
      <c r="CG68" s="45" t="s">
        <v>16</v>
      </c>
      <c r="CH68" s="46" t="str">
        <f>IF(VLOOKUP(CG68,βοηθητικό!$J$2:$N$354,3,FALSE)="","",VLOOKUP(CG68,βοηθητικό!$J$2:$N$354,3,FALSE))</f>
        <v>_</v>
      </c>
      <c r="CI68" s="47"/>
      <c r="CJ68" s="42" t="s">
        <v>16</v>
      </c>
      <c r="CK68" s="43" t="str">
        <f>IF(VLOOKUP(CJ68,βοηθητικό!$J$2:$N$354,3,FALSE)="","",VLOOKUP(CJ68,βοηθητικό!$J$2:$N$354,3,FALSE))</f>
        <v>_</v>
      </c>
      <c r="CL68" s="44"/>
      <c r="CM68" s="45" t="s">
        <v>16</v>
      </c>
      <c r="CN68" s="46" t="str">
        <f>IF(VLOOKUP(CM68,βοηθητικό!$J$2:$N$354,3,FALSE)="","",VLOOKUP(CM68,βοηθητικό!$J$2:$N$354,3,FALSE))</f>
        <v>_</v>
      </c>
      <c r="CO68" s="47"/>
      <c r="CP68" s="42" t="s">
        <v>16</v>
      </c>
      <c r="CQ68" s="43" t="str">
        <f>IF(VLOOKUP(CP68,βοηθητικό!$J$2:$N$354,3,FALSE)="","",VLOOKUP(CP68,βοηθητικό!$J$2:$N$354,3,FALSE))</f>
        <v>_</v>
      </c>
      <c r="CR68" s="44"/>
      <c r="CS68" s="45" t="s">
        <v>16</v>
      </c>
      <c r="CT68" s="46" t="str">
        <f>IF(VLOOKUP(CS68,βοηθητικό!$J$2:$N$354,3,FALSE)="","",VLOOKUP(CS68,βοηθητικό!$J$2:$N$354,3,FALSE))</f>
        <v>_</v>
      </c>
      <c r="CU68" s="47"/>
    </row>
    <row r="69" spans="1:99" x14ac:dyDescent="0.25">
      <c r="A69" s="37">
        <f>--SUBTOTAL(3,$B$3:B68)</f>
        <v>66</v>
      </c>
      <c r="B69" s="2">
        <v>45094</v>
      </c>
      <c r="C69" s="3">
        <v>45101</v>
      </c>
      <c r="D69" s="55" t="s">
        <v>45</v>
      </c>
      <c r="E69" s="38" t="s">
        <v>16</v>
      </c>
      <c r="F69" s="38" t="s">
        <v>16</v>
      </c>
      <c r="G69" s="39" t="str">
        <f t="shared" si="5"/>
        <v>__</v>
      </c>
      <c r="H69" s="40" t="str">
        <f t="shared" si="6"/>
        <v>FALSE</v>
      </c>
      <c r="I69" s="41">
        <f t="shared" si="7"/>
        <v>6</v>
      </c>
      <c r="J69" s="4" t="s">
        <v>581</v>
      </c>
      <c r="K69" s="43" t="str">
        <f>IF(VLOOKUP(J69,βοηθητικό!$J$2:$N$354,3,FALSE)="","",VLOOKUP(J69,βοηθητικό!$J$2:$N$354,3,FALSE))</f>
        <v>6932159538 6940215140</v>
      </c>
      <c r="L69" s="44"/>
      <c r="M69" s="5" t="s">
        <v>563</v>
      </c>
      <c r="N69" s="46" t="str">
        <f>IF(VLOOKUP(M69,βοηθητικό!$J$2:$N$354,3,FALSE)="","",VLOOKUP(M69,βοηθητικό!$J$2:$N$354,3,FALSE))</f>
        <v>6943571711</v>
      </c>
      <c r="O69" s="47"/>
      <c r="P69" s="4" t="s">
        <v>544</v>
      </c>
      <c r="Q69" s="43" t="str">
        <f>IF(VLOOKUP(P69,βοηθητικό!$J$2:$N$354,3,FALSE)="","",VLOOKUP(P69,βοηθητικό!$J$2:$N$354,3,FALSE))</f>
        <v>6978943962</v>
      </c>
      <c r="R69" s="44"/>
      <c r="S69" s="5" t="s">
        <v>534</v>
      </c>
      <c r="T69" s="46" t="str">
        <f>IF(VLOOKUP(S69,βοηθητικό!$J$2:$N$354,3,FALSE)="","",VLOOKUP(S69,βοηθητικό!$J$2:$N$354,3,FALSE))</f>
        <v>6955646945</v>
      </c>
      <c r="U69" s="47"/>
      <c r="V69" s="4" t="s">
        <v>539</v>
      </c>
      <c r="W69" s="43" t="str">
        <f>IF(VLOOKUP(V69,βοηθητικό!$J$2:$N$354,3,FALSE)="","",VLOOKUP(V69,βοηθητικό!$J$2:$N$354,3,FALSE))</f>
        <v>6972038001</v>
      </c>
      <c r="X69" s="44"/>
      <c r="Y69" s="5" t="s">
        <v>529</v>
      </c>
      <c r="Z69" s="46" t="str">
        <f>IF(VLOOKUP(Y69,βοηθητικό!$J$2:$N$354,3,FALSE)="","",VLOOKUP(Y69,βοηθητικό!$J$2:$N$354,3,FALSE))</f>
        <v>6947727931</v>
      </c>
      <c r="AA69" s="47"/>
      <c r="AB69" s="4" t="s">
        <v>16</v>
      </c>
      <c r="AC69" s="43" t="str">
        <f>IF(VLOOKUP(AB69,βοηθητικό!$J$2:$N$354,3,FALSE)="","",VLOOKUP(AB69,βοηθητικό!$J$2:$N$354,3,FALSE))</f>
        <v>_</v>
      </c>
      <c r="AD69" s="44"/>
      <c r="AE69" s="5" t="s">
        <v>16</v>
      </c>
      <c r="AF69" s="46" t="str">
        <f>IF(VLOOKUP(AE69,βοηθητικό!$J$2:$N$354,3,FALSE)="","",VLOOKUP(AE69,βοηθητικό!$J$2:$N$354,3,FALSE))</f>
        <v>_</v>
      </c>
      <c r="AG69" s="47"/>
      <c r="AH69" s="4" t="s">
        <v>16</v>
      </c>
      <c r="AI69" s="43" t="str">
        <f>IF(VLOOKUP(AH69,βοηθητικό!$J$2:$N$354,3,FALSE)="","",VLOOKUP(AH69,βοηθητικό!$J$2:$N$354,3,FALSE))</f>
        <v>_</v>
      </c>
      <c r="AJ69" s="44"/>
      <c r="AK69" s="5" t="s">
        <v>16</v>
      </c>
      <c r="AL69" s="46" t="str">
        <f>IF(VLOOKUP(AK69,βοηθητικό!$J$2:$N$354,3,FALSE)="","",VLOOKUP(AK69,βοηθητικό!$J$2:$N$354,3,FALSE))</f>
        <v>_</v>
      </c>
      <c r="AM69" s="47"/>
      <c r="AN69" s="4" t="s">
        <v>16</v>
      </c>
      <c r="AO69" s="43" t="str">
        <f>IF(VLOOKUP(AN69,βοηθητικό!$J$2:$N$354,3,FALSE)="","",VLOOKUP(AN69,βοηθητικό!$J$2:$N$354,3,FALSE))</f>
        <v>_</v>
      </c>
      <c r="AP69" s="44"/>
      <c r="AQ69" s="5" t="s">
        <v>16</v>
      </c>
      <c r="AR69" s="46" t="str">
        <f>IF(VLOOKUP(AQ69,βοηθητικό!$J$2:$N$354,3,FALSE)="","",VLOOKUP(AQ69,βοηθητικό!$J$2:$N$354,3,FALSE))</f>
        <v>_</v>
      </c>
      <c r="AS69" s="47"/>
      <c r="AT69" s="4" t="s">
        <v>16</v>
      </c>
      <c r="AU69" s="43" t="str">
        <f>IF(VLOOKUP(AT69,βοηθητικό!$J$2:$N$354,3,FALSE)="","",VLOOKUP(AT69,βοηθητικό!$J$2:$N$354,3,FALSE))</f>
        <v>_</v>
      </c>
      <c r="AV69" s="44"/>
      <c r="AW69" s="5" t="s">
        <v>16</v>
      </c>
      <c r="AX69" s="46" t="str">
        <f>IF(VLOOKUP(AW69,βοηθητικό!$J$2:$N$354,3,FALSE)="","",VLOOKUP(AW69,βοηθητικό!$J$2:$N$354,3,FALSE))</f>
        <v>_</v>
      </c>
      <c r="AY69" s="47"/>
      <c r="AZ69" s="4" t="s">
        <v>16</v>
      </c>
      <c r="BA69" s="43" t="str">
        <f>IF(VLOOKUP(AZ69,βοηθητικό!$J$2:$N$354,3,FALSE)="","",VLOOKUP(AZ69,βοηθητικό!$J$2:$N$354,3,FALSE))</f>
        <v>_</v>
      </c>
      <c r="BB69" s="44"/>
      <c r="BC69" s="45" t="s">
        <v>16</v>
      </c>
      <c r="BD69" s="46" t="str">
        <f>IF(VLOOKUP(BC69,βοηθητικό!$J$2:$N$354,3,FALSE)="","",VLOOKUP(BC69,βοηθητικό!$J$2:$N$354,3,FALSE))</f>
        <v>_</v>
      </c>
      <c r="BE69" s="47"/>
      <c r="BF69" s="42" t="s">
        <v>16</v>
      </c>
      <c r="BG69" s="43" t="str">
        <f>IF(VLOOKUP(BF69,βοηθητικό!$J$2:$N$354,3,FALSE)="","",VLOOKUP(BF69,βοηθητικό!$J$2:$N$354,3,FALSE))</f>
        <v>_</v>
      </c>
      <c r="BH69" s="44"/>
      <c r="BI69" s="45" t="s">
        <v>16</v>
      </c>
      <c r="BJ69" s="46" t="str">
        <f>IF(VLOOKUP(BI69,βοηθητικό!$J$2:$N$354,3,FALSE)="","",VLOOKUP(BI69,βοηθητικό!$J$2:$N$354,3,FALSE))</f>
        <v>_</v>
      </c>
      <c r="BK69" s="47"/>
      <c r="BL69" s="42" t="s">
        <v>16</v>
      </c>
      <c r="BM69" s="43" t="str">
        <f>IF(VLOOKUP(BL69,βοηθητικό!$J$2:$N$354,3,FALSE)="","",VLOOKUP(BL69,βοηθητικό!$J$2:$N$354,3,FALSE))</f>
        <v>_</v>
      </c>
      <c r="BN69" s="44"/>
      <c r="BO69" s="45" t="s">
        <v>16</v>
      </c>
      <c r="BP69" s="46" t="str">
        <f>IF(VLOOKUP(BO69,βοηθητικό!$J$2:$N$354,3,FALSE)="","",VLOOKUP(BO69,βοηθητικό!$J$2:$N$354,3,FALSE))</f>
        <v>_</v>
      </c>
      <c r="BQ69" s="47"/>
      <c r="BR69" s="42" t="s">
        <v>16</v>
      </c>
      <c r="BS69" s="43" t="str">
        <f>IF(VLOOKUP(BR69,βοηθητικό!$J$2:$N$354,3,FALSE)="","",VLOOKUP(BR69,βοηθητικό!$J$2:$N$354,3,FALSE))</f>
        <v>_</v>
      </c>
      <c r="BT69" s="44"/>
      <c r="BU69" s="45" t="s">
        <v>16</v>
      </c>
      <c r="BV69" s="46" t="str">
        <f>IF(VLOOKUP(BU69,βοηθητικό!$J$2:$N$354,3,FALSE)="","",VLOOKUP(BU69,βοηθητικό!$J$2:$N$354,3,FALSE))</f>
        <v>_</v>
      </c>
      <c r="BW69" s="47"/>
      <c r="BX69" s="42" t="s">
        <v>16</v>
      </c>
      <c r="BY69" s="43" t="str">
        <f>IF(VLOOKUP(BX69,βοηθητικό!$J$2:$N$354,3,FALSE)="","",VLOOKUP(BX69,βοηθητικό!$J$2:$N$354,3,FALSE))</f>
        <v>_</v>
      </c>
      <c r="BZ69" s="44"/>
      <c r="CA69" s="45" t="s">
        <v>16</v>
      </c>
      <c r="CB69" s="46" t="str">
        <f>IF(VLOOKUP(CA69,βοηθητικό!$J$2:$N$354,3,FALSE)="","",VLOOKUP(CA69,βοηθητικό!$J$2:$N$354,3,FALSE))</f>
        <v>_</v>
      </c>
      <c r="CC69" s="47"/>
      <c r="CD69" s="42" t="s">
        <v>16</v>
      </c>
      <c r="CE69" s="43" t="str">
        <f>IF(VLOOKUP(CD69,βοηθητικό!$J$2:$N$354,3,FALSE)="","",VLOOKUP(CD69,βοηθητικό!$J$2:$N$354,3,FALSE))</f>
        <v>_</v>
      </c>
      <c r="CF69" s="44"/>
      <c r="CG69" s="45" t="s">
        <v>16</v>
      </c>
      <c r="CH69" s="46" t="str">
        <f>IF(VLOOKUP(CG69,βοηθητικό!$J$2:$N$354,3,FALSE)="","",VLOOKUP(CG69,βοηθητικό!$J$2:$N$354,3,FALSE))</f>
        <v>_</v>
      </c>
      <c r="CI69" s="47"/>
      <c r="CJ69" s="42" t="s">
        <v>16</v>
      </c>
      <c r="CK69" s="43" t="str">
        <f>IF(VLOOKUP(CJ69,βοηθητικό!$J$2:$N$354,3,FALSE)="","",VLOOKUP(CJ69,βοηθητικό!$J$2:$N$354,3,FALSE))</f>
        <v>_</v>
      </c>
      <c r="CL69" s="44"/>
      <c r="CM69" s="45" t="s">
        <v>16</v>
      </c>
      <c r="CN69" s="46" t="str">
        <f>IF(VLOOKUP(CM69,βοηθητικό!$J$2:$N$354,3,FALSE)="","",VLOOKUP(CM69,βοηθητικό!$J$2:$N$354,3,FALSE))</f>
        <v>_</v>
      </c>
      <c r="CO69" s="47"/>
      <c r="CP69" s="42" t="s">
        <v>16</v>
      </c>
      <c r="CQ69" s="43" t="str">
        <f>IF(VLOOKUP(CP69,βοηθητικό!$J$2:$N$354,3,FALSE)="","",VLOOKUP(CP69,βοηθητικό!$J$2:$N$354,3,FALSE))</f>
        <v>_</v>
      </c>
      <c r="CR69" s="44"/>
      <c r="CS69" s="45" t="s">
        <v>16</v>
      </c>
      <c r="CT69" s="46" t="str">
        <f>IF(VLOOKUP(CS69,βοηθητικό!$J$2:$N$354,3,FALSE)="","",VLOOKUP(CS69,βοηθητικό!$J$2:$N$354,3,FALSE))</f>
        <v>_</v>
      </c>
      <c r="CU69" s="47"/>
    </row>
    <row r="70" spans="1:99" x14ac:dyDescent="0.25">
      <c r="A70" s="37">
        <f>--SUBTOTAL(3,$B$3:B69)</f>
        <v>67</v>
      </c>
      <c r="B70" s="2">
        <v>45102</v>
      </c>
      <c r="C70" s="3">
        <v>45107</v>
      </c>
      <c r="D70" s="55" t="s">
        <v>45</v>
      </c>
      <c r="E70" s="38" t="s">
        <v>16</v>
      </c>
      <c r="F70" s="38" t="s">
        <v>16</v>
      </c>
      <c r="G70" s="39" t="str">
        <f t="shared" si="5"/>
        <v>__</v>
      </c>
      <c r="H70" s="40" t="str">
        <f t="shared" si="6"/>
        <v>FALSE</v>
      </c>
      <c r="I70" s="41">
        <f t="shared" si="7"/>
        <v>6</v>
      </c>
      <c r="J70" s="4" t="s">
        <v>553</v>
      </c>
      <c r="K70" s="43" t="str">
        <f>IF(VLOOKUP(J70,βοηθητικό!$J$2:$N$354,3,FALSE)="","",VLOOKUP(J70,βοηθητικό!$J$2:$N$354,3,FALSE))</f>
        <v>6974882019</v>
      </c>
      <c r="L70" s="44"/>
      <c r="M70" s="5" t="s">
        <v>494</v>
      </c>
      <c r="N70" s="46" t="str">
        <f>IF(VLOOKUP(M70,βοηθητικό!$J$2:$N$354,3,FALSE)="","",VLOOKUP(M70,βοηθητικό!$J$2:$N$354,3,FALSE))</f>
        <v>6972015302</v>
      </c>
      <c r="O70" s="47"/>
      <c r="P70" s="4" t="s">
        <v>573</v>
      </c>
      <c r="Q70" s="43" t="str">
        <f>IF(VLOOKUP(P70,βοηθητικό!$J$2:$N$354,3,FALSE)="","",VLOOKUP(P70,βοηθητικό!$J$2:$N$354,3,FALSE))</f>
        <v>6978010154</v>
      </c>
      <c r="R70" s="44"/>
      <c r="S70" s="5" t="s">
        <v>479</v>
      </c>
      <c r="T70" s="46" t="str">
        <f>IF(VLOOKUP(S70,βοηθητικό!$J$2:$N$354,3,FALSE)="","",VLOOKUP(S70,βοηθητικό!$J$2:$N$354,3,FALSE))</f>
        <v>6977298022</v>
      </c>
      <c r="U70" s="47"/>
      <c r="V70" s="4" t="s">
        <v>474</v>
      </c>
      <c r="W70" s="43" t="str">
        <f>IF(VLOOKUP(V70,βοηθητικό!$J$2:$N$354,3,FALSE)="","",VLOOKUP(V70,βοηθητικό!$J$2:$N$354,3,FALSE))</f>
        <v>6955448080</v>
      </c>
      <c r="X70" s="44"/>
      <c r="Y70" s="5" t="s">
        <v>519</v>
      </c>
      <c r="Z70" s="46" t="str">
        <f>IF(VLOOKUP(Y70,βοηθητικό!$J$2:$N$354,3,FALSE)="","",VLOOKUP(Y70,βοηθητικό!$J$2:$N$354,3,FALSE))</f>
        <v>6942712190</v>
      </c>
      <c r="AA70" s="47"/>
      <c r="AB70" s="4" t="s">
        <v>16</v>
      </c>
      <c r="AC70" s="43" t="str">
        <f>IF(VLOOKUP(AB70,βοηθητικό!$J$2:$N$354,3,FALSE)="","",VLOOKUP(AB70,βοηθητικό!$J$2:$N$354,3,FALSE))</f>
        <v>_</v>
      </c>
      <c r="AD70" s="44"/>
      <c r="AE70" s="5" t="s">
        <v>16</v>
      </c>
      <c r="AF70" s="46" t="str">
        <f>IF(VLOOKUP(AE70,βοηθητικό!$J$2:$N$354,3,FALSE)="","",VLOOKUP(AE70,βοηθητικό!$J$2:$N$354,3,FALSE))</f>
        <v>_</v>
      </c>
      <c r="AG70" s="47"/>
      <c r="AH70" s="4" t="s">
        <v>16</v>
      </c>
      <c r="AI70" s="43" t="str">
        <f>IF(VLOOKUP(AH70,βοηθητικό!$J$2:$N$354,3,FALSE)="","",VLOOKUP(AH70,βοηθητικό!$J$2:$N$354,3,FALSE))</f>
        <v>_</v>
      </c>
      <c r="AJ70" s="44"/>
      <c r="AK70" s="5" t="s">
        <v>16</v>
      </c>
      <c r="AL70" s="46" t="str">
        <f>IF(VLOOKUP(AK70,βοηθητικό!$J$2:$N$354,3,FALSE)="","",VLOOKUP(AK70,βοηθητικό!$J$2:$N$354,3,FALSE))</f>
        <v>_</v>
      </c>
      <c r="AM70" s="47"/>
      <c r="AN70" s="4" t="s">
        <v>16</v>
      </c>
      <c r="AO70" s="43" t="str">
        <f>IF(VLOOKUP(AN70,βοηθητικό!$J$2:$N$354,3,FALSE)="","",VLOOKUP(AN70,βοηθητικό!$J$2:$N$354,3,FALSE))</f>
        <v>_</v>
      </c>
      <c r="AP70" s="44"/>
      <c r="AQ70" s="5" t="s">
        <v>16</v>
      </c>
      <c r="AR70" s="46" t="str">
        <f>IF(VLOOKUP(AQ70,βοηθητικό!$J$2:$N$354,3,FALSE)="","",VLOOKUP(AQ70,βοηθητικό!$J$2:$N$354,3,FALSE))</f>
        <v>_</v>
      </c>
      <c r="AS70" s="47"/>
      <c r="AT70" s="4" t="s">
        <v>16</v>
      </c>
      <c r="AU70" s="43" t="str">
        <f>IF(VLOOKUP(AT70,βοηθητικό!$J$2:$N$354,3,FALSE)="","",VLOOKUP(AT70,βοηθητικό!$J$2:$N$354,3,FALSE))</f>
        <v>_</v>
      </c>
      <c r="AV70" s="44"/>
      <c r="AW70" s="5" t="s">
        <v>16</v>
      </c>
      <c r="AX70" s="46" t="str">
        <f>IF(VLOOKUP(AW70,βοηθητικό!$J$2:$N$354,3,FALSE)="","",VLOOKUP(AW70,βοηθητικό!$J$2:$N$354,3,FALSE))</f>
        <v>_</v>
      </c>
      <c r="AY70" s="47"/>
      <c r="AZ70" s="4" t="s">
        <v>16</v>
      </c>
      <c r="BA70" s="43" t="str">
        <f>IF(VLOOKUP(AZ70,βοηθητικό!$J$2:$N$354,3,FALSE)="","",VLOOKUP(AZ70,βοηθητικό!$J$2:$N$354,3,FALSE))</f>
        <v>_</v>
      </c>
      <c r="BB70" s="44"/>
      <c r="BC70" s="45" t="s">
        <v>16</v>
      </c>
      <c r="BD70" s="46" t="str">
        <f>IF(VLOOKUP(BC70,βοηθητικό!$J$2:$N$354,3,FALSE)="","",VLOOKUP(BC70,βοηθητικό!$J$2:$N$354,3,FALSE))</f>
        <v>_</v>
      </c>
      <c r="BE70" s="47"/>
      <c r="BF70" s="42" t="s">
        <v>16</v>
      </c>
      <c r="BG70" s="43" t="str">
        <f>IF(VLOOKUP(BF70,βοηθητικό!$J$2:$N$354,3,FALSE)="","",VLOOKUP(BF70,βοηθητικό!$J$2:$N$354,3,FALSE))</f>
        <v>_</v>
      </c>
      <c r="BH70" s="44"/>
      <c r="BI70" s="45" t="s">
        <v>16</v>
      </c>
      <c r="BJ70" s="46" t="str">
        <f>IF(VLOOKUP(BI70,βοηθητικό!$J$2:$N$354,3,FALSE)="","",VLOOKUP(BI70,βοηθητικό!$J$2:$N$354,3,FALSE))</f>
        <v>_</v>
      </c>
      <c r="BK70" s="47"/>
      <c r="BL70" s="42" t="s">
        <v>16</v>
      </c>
      <c r="BM70" s="43" t="str">
        <f>IF(VLOOKUP(BL70,βοηθητικό!$J$2:$N$354,3,FALSE)="","",VLOOKUP(BL70,βοηθητικό!$J$2:$N$354,3,FALSE))</f>
        <v>_</v>
      </c>
      <c r="BN70" s="44"/>
      <c r="BO70" s="45" t="s">
        <v>16</v>
      </c>
      <c r="BP70" s="46" t="str">
        <f>IF(VLOOKUP(BO70,βοηθητικό!$J$2:$N$354,3,FALSE)="","",VLOOKUP(BO70,βοηθητικό!$J$2:$N$354,3,FALSE))</f>
        <v>_</v>
      </c>
      <c r="BQ70" s="47"/>
      <c r="BR70" s="42" t="s">
        <v>16</v>
      </c>
      <c r="BS70" s="43" t="str">
        <f>IF(VLOOKUP(BR70,βοηθητικό!$J$2:$N$354,3,FALSE)="","",VLOOKUP(BR70,βοηθητικό!$J$2:$N$354,3,FALSE))</f>
        <v>_</v>
      </c>
      <c r="BT70" s="44"/>
      <c r="BU70" s="45" t="s">
        <v>16</v>
      </c>
      <c r="BV70" s="46" t="str">
        <f>IF(VLOOKUP(BU70,βοηθητικό!$J$2:$N$354,3,FALSE)="","",VLOOKUP(BU70,βοηθητικό!$J$2:$N$354,3,FALSE))</f>
        <v>_</v>
      </c>
      <c r="BW70" s="47"/>
      <c r="BX70" s="42" t="s">
        <v>16</v>
      </c>
      <c r="BY70" s="43" t="str">
        <f>IF(VLOOKUP(BX70,βοηθητικό!$J$2:$N$354,3,FALSE)="","",VLOOKUP(BX70,βοηθητικό!$J$2:$N$354,3,FALSE))</f>
        <v>_</v>
      </c>
      <c r="BZ70" s="44"/>
      <c r="CA70" s="45" t="s">
        <v>16</v>
      </c>
      <c r="CB70" s="46" t="str">
        <f>IF(VLOOKUP(CA70,βοηθητικό!$J$2:$N$354,3,FALSE)="","",VLOOKUP(CA70,βοηθητικό!$J$2:$N$354,3,FALSE))</f>
        <v>_</v>
      </c>
      <c r="CC70" s="47"/>
      <c r="CD70" s="42" t="s">
        <v>16</v>
      </c>
      <c r="CE70" s="43" t="str">
        <f>IF(VLOOKUP(CD70,βοηθητικό!$J$2:$N$354,3,FALSE)="","",VLOOKUP(CD70,βοηθητικό!$J$2:$N$354,3,FALSE))</f>
        <v>_</v>
      </c>
      <c r="CF70" s="44"/>
      <c r="CG70" s="45" t="s">
        <v>16</v>
      </c>
      <c r="CH70" s="46" t="str">
        <f>IF(VLOOKUP(CG70,βοηθητικό!$J$2:$N$354,3,FALSE)="","",VLOOKUP(CG70,βοηθητικό!$J$2:$N$354,3,FALSE))</f>
        <v>_</v>
      </c>
      <c r="CI70" s="47"/>
      <c r="CJ70" s="42" t="s">
        <v>16</v>
      </c>
      <c r="CK70" s="43" t="str">
        <f>IF(VLOOKUP(CJ70,βοηθητικό!$J$2:$N$354,3,FALSE)="","",VLOOKUP(CJ70,βοηθητικό!$J$2:$N$354,3,FALSE))</f>
        <v>_</v>
      </c>
      <c r="CL70" s="44"/>
      <c r="CM70" s="45" t="s">
        <v>16</v>
      </c>
      <c r="CN70" s="46" t="str">
        <f>IF(VLOOKUP(CM70,βοηθητικό!$J$2:$N$354,3,FALSE)="","",VLOOKUP(CM70,βοηθητικό!$J$2:$N$354,3,FALSE))</f>
        <v>_</v>
      </c>
      <c r="CO70" s="47"/>
      <c r="CP70" s="42" t="s">
        <v>16</v>
      </c>
      <c r="CQ70" s="43" t="str">
        <f>IF(VLOOKUP(CP70,βοηθητικό!$J$2:$N$354,3,FALSE)="","",VLOOKUP(CP70,βοηθητικό!$J$2:$N$354,3,FALSE))</f>
        <v>_</v>
      </c>
      <c r="CR70" s="44"/>
      <c r="CS70" s="45" t="s">
        <v>16</v>
      </c>
      <c r="CT70" s="46" t="str">
        <f>IF(VLOOKUP(CS70,βοηθητικό!$J$2:$N$354,3,FALSE)="","",VLOOKUP(CS70,βοηθητικό!$J$2:$N$354,3,FALSE))</f>
        <v>_</v>
      </c>
      <c r="CU70" s="47"/>
    </row>
    <row r="71" spans="1:99" x14ac:dyDescent="0.25">
      <c r="A71" s="37">
        <f>--SUBTOTAL(3,$B$3:B70)</f>
        <v>68</v>
      </c>
      <c r="B71" s="68">
        <v>45108</v>
      </c>
      <c r="C71" s="69">
        <v>45116</v>
      </c>
      <c r="D71" s="57" t="s">
        <v>33</v>
      </c>
      <c r="E71" s="38" t="s">
        <v>16</v>
      </c>
      <c r="F71" s="38" t="s">
        <v>16</v>
      </c>
      <c r="G71" s="39" t="str">
        <f t="shared" si="5"/>
        <v>__</v>
      </c>
      <c r="H71" s="40" t="str">
        <f t="shared" si="6"/>
        <v>FALSE</v>
      </c>
      <c r="I71" s="41">
        <f t="shared" si="7"/>
        <v>13</v>
      </c>
      <c r="J71" s="4" t="s">
        <v>197</v>
      </c>
      <c r="K71" s="43" t="str">
        <f>IF(VLOOKUP(J71,βοηθητικό!$J$2:$N$354,3,FALSE)="","",VLOOKUP(J71,βοηθητικό!$J$2:$N$354,3,FALSE))</f>
        <v>6976681245</v>
      </c>
      <c r="L71" s="44"/>
      <c r="M71" s="5" t="s">
        <v>271</v>
      </c>
      <c r="N71" s="46" t="str">
        <f>IF(VLOOKUP(M71,βοηθητικό!$J$2:$N$354,3,FALSE)="","",VLOOKUP(M71,βοηθητικό!$J$2:$N$354,3,FALSE))</f>
        <v>6944508818</v>
      </c>
      <c r="O71" s="47"/>
      <c r="P71" s="4" t="s">
        <v>345</v>
      </c>
      <c r="Q71" s="43" t="str">
        <f>IF(VLOOKUP(P71,βοηθητικό!$J$2:$N$354,3,FALSE)="","",VLOOKUP(P71,βοηθητικό!$J$2:$N$354,3,FALSE))</f>
        <v>6937733373</v>
      </c>
      <c r="R71" s="44"/>
      <c r="S71" s="5" t="s">
        <v>227</v>
      </c>
      <c r="T71" s="46" t="str">
        <f>IF(VLOOKUP(S71,βοηθητικό!$J$2:$N$354,3,FALSE)="","",VLOOKUP(S71,βοηθητικό!$J$2:$N$354,3,FALSE))</f>
        <v>6946431686</v>
      </c>
      <c r="U71" s="47"/>
      <c r="V71" s="4" t="s">
        <v>238</v>
      </c>
      <c r="W71" s="43" t="str">
        <f>IF(VLOOKUP(V71,βοηθητικό!$J$2:$N$354,3,FALSE)="","",VLOOKUP(V71,βοηθητικό!$J$2:$N$354,3,FALSE))</f>
        <v>6985709513</v>
      </c>
      <c r="X71" s="44"/>
      <c r="Y71" s="5" t="s">
        <v>266</v>
      </c>
      <c r="Z71" s="46" t="str">
        <f>IF(VLOOKUP(Y71,βοηθητικό!$J$2:$N$354,3,FALSE)="","",VLOOKUP(Y71,βοηθητικό!$J$2:$N$354,3,FALSE))</f>
        <v>6947449447</v>
      </c>
      <c r="AA71" s="47"/>
      <c r="AB71" s="4" t="s">
        <v>283</v>
      </c>
      <c r="AC71" s="43" t="str">
        <f>IF(VLOOKUP(AB71,βοηθητικό!$J$2:$N$354,3,FALSE)="","",VLOOKUP(AB71,βοηθητικό!$J$2:$N$354,3,FALSE))</f>
        <v>6978486629</v>
      </c>
      <c r="AD71" s="44"/>
      <c r="AE71" s="5" t="s">
        <v>307</v>
      </c>
      <c r="AF71" s="46" t="str">
        <f>IF(VLOOKUP(AE71,βοηθητικό!$J$2:$N$354,3,FALSE)="","",VLOOKUP(AE71,βοηθητικό!$J$2:$N$354,3,FALSE))</f>
        <v>6907366486</v>
      </c>
      <c r="AG71" s="47"/>
      <c r="AH71" s="4" t="s">
        <v>152</v>
      </c>
      <c r="AI71" s="43" t="str">
        <f>IF(VLOOKUP(AH71,βοηθητικό!$J$2:$N$354,3,FALSE)="","",VLOOKUP(AH71,βοηθητικό!$J$2:$N$354,3,FALSE))</f>
        <v>6974605685</v>
      </c>
      <c r="AJ71" s="44"/>
      <c r="AK71" s="5" t="s">
        <v>249</v>
      </c>
      <c r="AL71" s="46" t="str">
        <f>IF(VLOOKUP(AK71,βοηθητικό!$J$2:$N$354,3,FALSE)="","",VLOOKUP(AK71,βοηθητικό!$J$2:$N$354,3,FALSE))</f>
        <v>6942712698</v>
      </c>
      <c r="AM71" s="47"/>
      <c r="AN71" s="4" t="s">
        <v>295</v>
      </c>
      <c r="AO71" s="43" t="str">
        <f>IF(VLOOKUP(AN71,βοηθητικό!$J$2:$N$354,3,FALSE)="","",VLOOKUP(AN71,βοηθητικό!$J$2:$N$354,3,FALSE))</f>
        <v>6945415670</v>
      </c>
      <c r="AP71" s="44"/>
      <c r="AQ71" s="5" t="s">
        <v>322</v>
      </c>
      <c r="AR71" s="46" t="str">
        <f>IF(VLOOKUP(AQ71,βοηθητικό!$J$2:$N$354,3,FALSE)="","",VLOOKUP(AQ71,βοηθητικό!$J$2:$N$354,3,FALSE))</f>
        <v>6947830538</v>
      </c>
      <c r="AS71" s="47"/>
      <c r="AT71" s="4" t="s">
        <v>406</v>
      </c>
      <c r="AU71" s="43" t="str">
        <f>IF(VLOOKUP(AT71,βοηθητικό!$J$2:$N$354,3,FALSE)="","",VLOOKUP(AT71,βοηθητικό!$J$2:$N$354,3,FALSE))</f>
        <v>2310450093</v>
      </c>
      <c r="AV71" s="44"/>
      <c r="AW71" s="5" t="s">
        <v>16</v>
      </c>
      <c r="AX71" s="46" t="str">
        <f>IF(VLOOKUP(AW71,βοηθητικό!$J$2:$N$354,3,FALSE)="","",VLOOKUP(AW71,βοηθητικό!$J$2:$N$354,3,FALSE))</f>
        <v>_</v>
      </c>
      <c r="AY71" s="47"/>
      <c r="AZ71" s="4" t="s">
        <v>16</v>
      </c>
      <c r="BA71" s="43" t="str">
        <f>IF(VLOOKUP(AZ71,βοηθητικό!$J$2:$N$354,3,FALSE)="","",VLOOKUP(AZ71,βοηθητικό!$J$2:$N$354,3,FALSE))</f>
        <v>_</v>
      </c>
      <c r="BB71" s="44"/>
      <c r="BC71" s="45" t="s">
        <v>16</v>
      </c>
      <c r="BD71" s="46" t="str">
        <f>IF(VLOOKUP(BC71,βοηθητικό!$J$2:$N$354,3,FALSE)="","",VLOOKUP(BC71,βοηθητικό!$J$2:$N$354,3,FALSE))</f>
        <v>_</v>
      </c>
      <c r="BE71" s="47"/>
      <c r="BF71" s="42" t="s">
        <v>16</v>
      </c>
      <c r="BG71" s="43" t="str">
        <f>IF(VLOOKUP(BF71,βοηθητικό!$J$2:$N$354,3,FALSE)="","",VLOOKUP(BF71,βοηθητικό!$J$2:$N$354,3,FALSE))</f>
        <v>_</v>
      </c>
      <c r="BH71" s="44"/>
      <c r="BI71" s="45" t="s">
        <v>16</v>
      </c>
      <c r="BJ71" s="46" t="str">
        <f>IF(VLOOKUP(BI71,βοηθητικό!$J$2:$N$354,3,FALSE)="","",VLOOKUP(BI71,βοηθητικό!$J$2:$N$354,3,FALSE))</f>
        <v>_</v>
      </c>
      <c r="BK71" s="47"/>
      <c r="BL71" s="42" t="s">
        <v>16</v>
      </c>
      <c r="BM71" s="43" t="str">
        <f>IF(VLOOKUP(BL71,βοηθητικό!$J$2:$N$354,3,FALSE)="","",VLOOKUP(BL71,βοηθητικό!$J$2:$N$354,3,FALSE))</f>
        <v>_</v>
      </c>
      <c r="BN71" s="44"/>
      <c r="BO71" s="45" t="s">
        <v>16</v>
      </c>
      <c r="BP71" s="46" t="str">
        <f>IF(VLOOKUP(BO71,βοηθητικό!$J$2:$N$354,3,FALSE)="","",VLOOKUP(BO71,βοηθητικό!$J$2:$N$354,3,FALSE))</f>
        <v>_</v>
      </c>
      <c r="BQ71" s="47"/>
      <c r="BR71" s="42" t="s">
        <v>16</v>
      </c>
      <c r="BS71" s="43" t="str">
        <f>IF(VLOOKUP(BR71,βοηθητικό!$J$2:$N$354,3,FALSE)="","",VLOOKUP(BR71,βοηθητικό!$J$2:$N$354,3,FALSE))</f>
        <v>_</v>
      </c>
      <c r="BT71" s="44"/>
      <c r="BU71" s="45" t="s">
        <v>16</v>
      </c>
      <c r="BV71" s="46" t="str">
        <f>IF(VLOOKUP(BU71,βοηθητικό!$J$2:$N$354,3,FALSE)="","",VLOOKUP(BU71,βοηθητικό!$J$2:$N$354,3,FALSE))</f>
        <v>_</v>
      </c>
      <c r="BW71" s="47"/>
      <c r="BX71" s="42" t="s">
        <v>16</v>
      </c>
      <c r="BY71" s="43" t="str">
        <f>IF(VLOOKUP(BX71,βοηθητικό!$J$2:$N$354,3,FALSE)="","",VLOOKUP(BX71,βοηθητικό!$J$2:$N$354,3,FALSE))</f>
        <v>_</v>
      </c>
      <c r="BZ71" s="44"/>
      <c r="CA71" s="45" t="s">
        <v>16</v>
      </c>
      <c r="CB71" s="46" t="str">
        <f>IF(VLOOKUP(CA71,βοηθητικό!$J$2:$N$354,3,FALSE)="","",VLOOKUP(CA71,βοηθητικό!$J$2:$N$354,3,FALSE))</f>
        <v>_</v>
      </c>
      <c r="CC71" s="47"/>
      <c r="CD71" s="42" t="s">
        <v>16</v>
      </c>
      <c r="CE71" s="43" t="str">
        <f>IF(VLOOKUP(CD71,βοηθητικό!$J$2:$N$354,3,FALSE)="","",VLOOKUP(CD71,βοηθητικό!$J$2:$N$354,3,FALSE))</f>
        <v>_</v>
      </c>
      <c r="CF71" s="44"/>
      <c r="CG71" s="45" t="s">
        <v>16</v>
      </c>
      <c r="CH71" s="46" t="str">
        <f>IF(VLOOKUP(CG71,βοηθητικό!$J$2:$N$354,3,FALSE)="","",VLOOKUP(CG71,βοηθητικό!$J$2:$N$354,3,FALSE))</f>
        <v>_</v>
      </c>
      <c r="CI71" s="47"/>
      <c r="CJ71" s="42" t="s">
        <v>16</v>
      </c>
      <c r="CK71" s="43" t="str">
        <f>IF(VLOOKUP(CJ71,βοηθητικό!$J$2:$N$354,3,FALSE)="","",VLOOKUP(CJ71,βοηθητικό!$J$2:$N$354,3,FALSE))</f>
        <v>_</v>
      </c>
      <c r="CL71" s="44"/>
      <c r="CM71" s="45" t="s">
        <v>16</v>
      </c>
      <c r="CN71" s="46" t="str">
        <f>IF(VLOOKUP(CM71,βοηθητικό!$J$2:$N$354,3,FALSE)="","",VLOOKUP(CM71,βοηθητικό!$J$2:$N$354,3,FALSE))</f>
        <v>_</v>
      </c>
      <c r="CO71" s="47"/>
      <c r="CP71" s="42" t="s">
        <v>16</v>
      </c>
      <c r="CQ71" s="43" t="str">
        <f>IF(VLOOKUP(CP71,βοηθητικό!$J$2:$N$354,3,FALSE)="","",VLOOKUP(CP71,βοηθητικό!$J$2:$N$354,3,FALSE))</f>
        <v>_</v>
      </c>
      <c r="CR71" s="44"/>
      <c r="CS71" s="45" t="s">
        <v>16</v>
      </c>
      <c r="CT71" s="46" t="str">
        <f>IF(VLOOKUP(CS71,βοηθητικό!$J$2:$N$354,3,FALSE)="","",VLOOKUP(CS71,βοηθητικό!$J$2:$N$354,3,FALSE))</f>
        <v>_</v>
      </c>
      <c r="CU71" s="47"/>
    </row>
    <row r="72" spans="1:99" x14ac:dyDescent="0.25">
      <c r="A72" s="37">
        <f>--SUBTOTAL(3,$B$3:B71)</f>
        <v>69</v>
      </c>
      <c r="B72" s="68">
        <v>45117</v>
      </c>
      <c r="C72" s="69">
        <v>45123</v>
      </c>
      <c r="D72" s="57" t="s">
        <v>33</v>
      </c>
      <c r="E72" s="38" t="s">
        <v>16</v>
      </c>
      <c r="F72" s="38" t="s">
        <v>16</v>
      </c>
      <c r="G72" s="39" t="str">
        <f t="shared" si="5"/>
        <v>__</v>
      </c>
      <c r="H72" s="40" t="str">
        <f t="shared" si="6"/>
        <v>FALSE</v>
      </c>
      <c r="I72" s="41">
        <f t="shared" si="7"/>
        <v>13</v>
      </c>
      <c r="J72" s="4" t="s">
        <v>179</v>
      </c>
      <c r="K72" s="43" t="str">
        <f>IF(VLOOKUP(J72,βοηθητικό!$J$2:$N$354,3,FALSE)="","",VLOOKUP(J72,βοηθητικό!$J$2:$N$354,3,FALSE))</f>
        <v>6944613389</v>
      </c>
      <c r="L72" s="44"/>
      <c r="M72" s="5" t="s">
        <v>313</v>
      </c>
      <c r="N72" s="46" t="str">
        <f>IF(VLOOKUP(M72,βοηθητικό!$J$2:$N$354,3,FALSE)="","",VLOOKUP(M72,βοηθητικό!$J$2:$N$354,3,FALSE))</f>
        <v>6947932494</v>
      </c>
      <c r="O72" s="47"/>
      <c r="P72" s="4" t="s">
        <v>355</v>
      </c>
      <c r="Q72" s="43" t="str">
        <f>IF(VLOOKUP(P72,βοηθητικό!$J$2:$N$354,3,FALSE)="","",VLOOKUP(P72,βοηθητικό!$J$2:$N$354,3,FALSE))</f>
        <v>6947899410</v>
      </c>
      <c r="R72" s="44"/>
      <c r="S72" s="5" t="s">
        <v>170</v>
      </c>
      <c r="T72" s="46" t="str">
        <f>IF(VLOOKUP(S72,βοηθητικό!$J$2:$N$354,3,FALSE)="","",VLOOKUP(S72,βοηθητικό!$J$2:$N$354,3,FALSE))</f>
        <v>6987268386</v>
      </c>
      <c r="U72" s="47"/>
      <c r="V72" s="4" t="s">
        <v>203</v>
      </c>
      <c r="W72" s="43" t="str">
        <f>IF(VLOOKUP(V72,βοηθητικό!$J$2:$N$354,3,FALSE)="","",VLOOKUP(V72,βοηθητικό!$J$2:$N$354,3,FALSE))</f>
        <v>6984435383</v>
      </c>
      <c r="X72" s="44"/>
      <c r="Y72" s="5" t="s">
        <v>431</v>
      </c>
      <c r="Z72" s="46" t="str">
        <f>IF(VLOOKUP(Y72,βοηθητικό!$J$2:$N$354,3,FALSE)="","",VLOOKUP(Y72,βοηθητικό!$J$2:$N$354,3,FALSE))</f>
        <v>6973935715</v>
      </c>
      <c r="AA72" s="47"/>
      <c r="AB72" s="4" t="s">
        <v>440</v>
      </c>
      <c r="AC72" s="43" t="str">
        <f>IF(VLOOKUP(AB72,βοηθητικό!$J$2:$N$354,3,FALSE)="","",VLOOKUP(AB72,βοηθητικό!$J$2:$N$354,3,FALSE))</f>
        <v>6981517173</v>
      </c>
      <c r="AD72" s="44"/>
      <c r="AE72" s="5" t="s">
        <v>424</v>
      </c>
      <c r="AF72" s="46" t="str">
        <f>IF(VLOOKUP(AE72,βοηθητικό!$J$2:$N$354,3,FALSE)="","",VLOOKUP(AE72,βοηθητικό!$J$2:$N$354,3,FALSE))</f>
        <v>6907545731</v>
      </c>
      <c r="AG72" s="47"/>
      <c r="AH72" s="4" t="s">
        <v>161</v>
      </c>
      <c r="AI72" s="43" t="str">
        <f>IF(VLOOKUP(AH72,βοηθητικό!$J$2:$N$354,3,FALSE)="","",VLOOKUP(AH72,βοηθητικό!$J$2:$N$354,3,FALSE))</f>
        <v>6944899817</v>
      </c>
      <c r="AJ72" s="44"/>
      <c r="AK72" s="5" t="s">
        <v>186</v>
      </c>
      <c r="AL72" s="46" t="str">
        <f>IF(VLOOKUP(AK72,βοηθητικό!$J$2:$N$354,3,FALSE)="","",VLOOKUP(AK72,βοηθητικό!$J$2:$N$354,3,FALSE))</f>
        <v>6938905960</v>
      </c>
      <c r="AM72" s="47"/>
      <c r="AN72" s="4" t="s">
        <v>243</v>
      </c>
      <c r="AO72" s="43" t="str">
        <f>IF(VLOOKUP(AN72,βοηθητικό!$J$2:$N$354,3,FALSE)="","",VLOOKUP(AN72,βοηθητικό!$J$2:$N$354,3,FALSE))</f>
        <v>6983032595</v>
      </c>
      <c r="AP72" s="44"/>
      <c r="AQ72" s="5" t="s">
        <v>277</v>
      </c>
      <c r="AR72" s="46" t="str">
        <f>IF(VLOOKUP(AQ72,βοηθητικό!$J$2:$N$354,3,FALSE)="","",VLOOKUP(AQ72,βοηθητικό!$J$2:$N$354,3,FALSE))</f>
        <v>6977827750</v>
      </c>
      <c r="AS72" s="47"/>
      <c r="AT72" s="4" t="s">
        <v>365</v>
      </c>
      <c r="AU72" s="43" t="str">
        <f>IF(VLOOKUP(AT72,βοηθητικό!$J$2:$N$354,3,FALSE)="","",VLOOKUP(AT72,βοηθητικό!$J$2:$N$354,3,FALSE))</f>
        <v>6908725909</v>
      </c>
      <c r="AV72" s="44"/>
      <c r="AW72" s="5" t="s">
        <v>16</v>
      </c>
      <c r="AX72" s="46" t="str">
        <f>IF(VLOOKUP(AW72,βοηθητικό!$J$2:$N$354,3,FALSE)="","",VLOOKUP(AW72,βοηθητικό!$J$2:$N$354,3,FALSE))</f>
        <v>_</v>
      </c>
      <c r="AY72" s="47"/>
      <c r="AZ72" s="4" t="s">
        <v>16</v>
      </c>
      <c r="BA72" s="43" t="str">
        <f>IF(VLOOKUP(AZ72,βοηθητικό!$J$2:$N$354,3,FALSE)="","",VLOOKUP(AZ72,βοηθητικό!$J$2:$N$354,3,FALSE))</f>
        <v>_</v>
      </c>
      <c r="BB72" s="44"/>
      <c r="BC72" s="45" t="s">
        <v>16</v>
      </c>
      <c r="BD72" s="46" t="str">
        <f>IF(VLOOKUP(BC72,βοηθητικό!$J$2:$N$354,3,FALSE)="","",VLOOKUP(BC72,βοηθητικό!$J$2:$N$354,3,FALSE))</f>
        <v>_</v>
      </c>
      <c r="BE72" s="47"/>
      <c r="BF72" s="42" t="s">
        <v>16</v>
      </c>
      <c r="BG72" s="43" t="str">
        <f>IF(VLOOKUP(BF72,βοηθητικό!$J$2:$N$354,3,FALSE)="","",VLOOKUP(BF72,βοηθητικό!$J$2:$N$354,3,FALSE))</f>
        <v>_</v>
      </c>
      <c r="BH72" s="44"/>
      <c r="BI72" s="45" t="s">
        <v>16</v>
      </c>
      <c r="BJ72" s="46" t="str">
        <f>IF(VLOOKUP(BI72,βοηθητικό!$J$2:$N$354,3,FALSE)="","",VLOOKUP(BI72,βοηθητικό!$J$2:$N$354,3,FALSE))</f>
        <v>_</v>
      </c>
      <c r="BK72" s="47"/>
      <c r="BL72" s="42" t="s">
        <v>16</v>
      </c>
      <c r="BM72" s="43" t="str">
        <f>IF(VLOOKUP(BL72,βοηθητικό!$J$2:$N$354,3,FALSE)="","",VLOOKUP(BL72,βοηθητικό!$J$2:$N$354,3,FALSE))</f>
        <v>_</v>
      </c>
      <c r="BN72" s="44"/>
      <c r="BO72" s="45" t="s">
        <v>16</v>
      </c>
      <c r="BP72" s="46" t="str">
        <f>IF(VLOOKUP(BO72,βοηθητικό!$J$2:$N$354,3,FALSE)="","",VLOOKUP(BO72,βοηθητικό!$J$2:$N$354,3,FALSE))</f>
        <v>_</v>
      </c>
      <c r="BQ72" s="47"/>
      <c r="BR72" s="42" t="s">
        <v>16</v>
      </c>
      <c r="BS72" s="43" t="str">
        <f>IF(VLOOKUP(BR72,βοηθητικό!$J$2:$N$354,3,FALSE)="","",VLOOKUP(BR72,βοηθητικό!$J$2:$N$354,3,FALSE))</f>
        <v>_</v>
      </c>
      <c r="BT72" s="44"/>
      <c r="BU72" s="45" t="s">
        <v>16</v>
      </c>
      <c r="BV72" s="46" t="str">
        <f>IF(VLOOKUP(BU72,βοηθητικό!$J$2:$N$354,3,FALSE)="","",VLOOKUP(BU72,βοηθητικό!$J$2:$N$354,3,FALSE))</f>
        <v>_</v>
      </c>
      <c r="BW72" s="47"/>
      <c r="BX72" s="42" t="s">
        <v>16</v>
      </c>
      <c r="BY72" s="43" t="str">
        <f>IF(VLOOKUP(BX72,βοηθητικό!$J$2:$N$354,3,FALSE)="","",VLOOKUP(BX72,βοηθητικό!$J$2:$N$354,3,FALSE))</f>
        <v>_</v>
      </c>
      <c r="BZ72" s="44"/>
      <c r="CA72" s="45" t="s">
        <v>16</v>
      </c>
      <c r="CB72" s="46" t="str">
        <f>IF(VLOOKUP(CA72,βοηθητικό!$J$2:$N$354,3,FALSE)="","",VLOOKUP(CA72,βοηθητικό!$J$2:$N$354,3,FALSE))</f>
        <v>_</v>
      </c>
      <c r="CC72" s="47"/>
      <c r="CD72" s="42" t="s">
        <v>16</v>
      </c>
      <c r="CE72" s="43" t="str">
        <f>IF(VLOOKUP(CD72,βοηθητικό!$J$2:$N$354,3,FALSE)="","",VLOOKUP(CD72,βοηθητικό!$J$2:$N$354,3,FALSE))</f>
        <v>_</v>
      </c>
      <c r="CF72" s="44"/>
      <c r="CG72" s="45" t="s">
        <v>16</v>
      </c>
      <c r="CH72" s="46" t="str">
        <f>IF(VLOOKUP(CG72,βοηθητικό!$J$2:$N$354,3,FALSE)="","",VLOOKUP(CG72,βοηθητικό!$J$2:$N$354,3,FALSE))</f>
        <v>_</v>
      </c>
      <c r="CI72" s="47"/>
      <c r="CJ72" s="42" t="s">
        <v>16</v>
      </c>
      <c r="CK72" s="43" t="str">
        <f>IF(VLOOKUP(CJ72,βοηθητικό!$J$2:$N$354,3,FALSE)="","",VLOOKUP(CJ72,βοηθητικό!$J$2:$N$354,3,FALSE))</f>
        <v>_</v>
      </c>
      <c r="CL72" s="44"/>
      <c r="CM72" s="45" t="s">
        <v>16</v>
      </c>
      <c r="CN72" s="46" t="str">
        <f>IF(VLOOKUP(CM72,βοηθητικό!$J$2:$N$354,3,FALSE)="","",VLOOKUP(CM72,βοηθητικό!$J$2:$N$354,3,FALSE))</f>
        <v>_</v>
      </c>
      <c r="CO72" s="47"/>
      <c r="CP72" s="42" t="s">
        <v>16</v>
      </c>
      <c r="CQ72" s="43" t="str">
        <f>IF(VLOOKUP(CP72,βοηθητικό!$J$2:$N$354,3,FALSE)="","",VLOOKUP(CP72,βοηθητικό!$J$2:$N$354,3,FALSE))</f>
        <v>_</v>
      </c>
      <c r="CR72" s="44"/>
      <c r="CS72" s="45" t="s">
        <v>16</v>
      </c>
      <c r="CT72" s="46" t="str">
        <f>IF(VLOOKUP(CS72,βοηθητικό!$J$2:$N$354,3,FALSE)="","",VLOOKUP(CS72,βοηθητικό!$J$2:$N$354,3,FALSE))</f>
        <v>_</v>
      </c>
      <c r="CU72" s="47"/>
    </row>
    <row r="73" spans="1:99" x14ac:dyDescent="0.25">
      <c r="A73" s="37">
        <f>--SUBTOTAL(3,$B$3:B72)</f>
        <v>70</v>
      </c>
      <c r="B73" s="68">
        <v>45124</v>
      </c>
      <c r="C73" s="69">
        <v>45130</v>
      </c>
      <c r="D73" s="57" t="s">
        <v>33</v>
      </c>
      <c r="E73" s="38" t="s">
        <v>16</v>
      </c>
      <c r="F73" s="38" t="s">
        <v>16</v>
      </c>
      <c r="G73" s="39" t="str">
        <f t="shared" si="5"/>
        <v>__</v>
      </c>
      <c r="H73" s="40" t="str">
        <f t="shared" si="6"/>
        <v>FALSE</v>
      </c>
      <c r="I73" s="41">
        <f t="shared" si="7"/>
        <v>14</v>
      </c>
      <c r="J73" s="4" t="s">
        <v>121</v>
      </c>
      <c r="K73" s="43" t="str">
        <f>IF(VLOOKUP(J73,βοηθητικό!$J$2:$N$354,3,FALSE)="","",VLOOKUP(J73,βοηθητικό!$J$2:$N$354,3,FALSE))</f>
        <v>6949672608</v>
      </c>
      <c r="L73" s="44"/>
      <c r="M73" s="5" t="s">
        <v>350</v>
      </c>
      <c r="N73" s="46" t="str">
        <f>IF(VLOOKUP(M73,βοηθητικό!$J$2:$N$354,3,FALSE)="","",VLOOKUP(M73,βοηθητικό!$J$2:$N$354,3,FALSE))</f>
        <v>6974790515</v>
      </c>
      <c r="O73" s="47"/>
      <c r="P73" s="4" t="s">
        <v>384</v>
      </c>
      <c r="Q73" s="43" t="str">
        <f>IF(VLOOKUP(P73,βοηθητικό!$J$2:$N$354,3,FALSE)="","",VLOOKUP(P73,βοηθητικό!$J$2:$N$354,3,FALSE))</f>
        <v>6972712141</v>
      </c>
      <c r="R73" s="44"/>
      <c r="S73" s="5" t="s">
        <v>418</v>
      </c>
      <c r="T73" s="46" t="str">
        <f>IF(VLOOKUP(S73,βοηθητικό!$J$2:$N$354,3,FALSE)="","",VLOOKUP(S73,βοηθητικό!$J$2:$N$354,3,FALSE))</f>
        <v>6944126355</v>
      </c>
      <c r="U73" s="47"/>
      <c r="V73" s="4" t="s">
        <v>192</v>
      </c>
      <c r="W73" s="43" t="str">
        <f>IF(VLOOKUP(V73,βοηθητικό!$J$2:$N$354,3,FALSE)="","",VLOOKUP(V73,βοηθητικό!$J$2:$N$354,3,FALSE))</f>
        <v>6942926446</v>
      </c>
      <c r="X73" s="44"/>
      <c r="Y73" s="5" t="s">
        <v>449</v>
      </c>
      <c r="Z73" s="46" t="str">
        <f>IF(VLOOKUP(Y73,βοηθητικό!$J$2:$N$354,3,FALSE)="","",VLOOKUP(Y73,βοηθητικό!$J$2:$N$354,3,FALSE))</f>
        <v>6972583885</v>
      </c>
      <c r="AA73" s="47"/>
      <c r="AB73" s="4" t="s">
        <v>455</v>
      </c>
      <c r="AC73" s="43" t="str">
        <f>IF(VLOOKUP(AB73,βοηθητικό!$J$2:$N$354,3,FALSE)="","",VLOOKUP(AB73,βοηθητικό!$J$2:$N$354,3,FALSE))</f>
        <v>6974815544</v>
      </c>
      <c r="AD73" s="44"/>
      <c r="AE73" s="5" t="s">
        <v>467</v>
      </c>
      <c r="AF73" s="46" t="str">
        <f>IF(VLOOKUP(AE73,βοηθητικό!$J$2:$N$354,3,FALSE)="","",VLOOKUP(AE73,βοηθητικό!$J$2:$N$354,3,FALSE))</f>
        <v>6949453697</v>
      </c>
      <c r="AG73" s="47"/>
      <c r="AH73" s="4" t="s">
        <v>401</v>
      </c>
      <c r="AI73" s="43" t="str">
        <f>IF(VLOOKUP(AH73,βοηθητικό!$J$2:$N$354,3,FALSE)="","",VLOOKUP(AH73,βοηθητικό!$J$2:$N$354,3,FALSE))</f>
        <v>6944884457</v>
      </c>
      <c r="AJ73" s="44"/>
      <c r="AK73" s="5" t="s">
        <v>132</v>
      </c>
      <c r="AL73" s="46" t="str">
        <f>IF(VLOOKUP(AK73,βοηθητικό!$J$2:$N$354,3,FALSE)="","",VLOOKUP(AK73,βοηθητικό!$J$2:$N$354,3,FALSE))</f>
        <v>6932853641</v>
      </c>
      <c r="AM73" s="47"/>
      <c r="AN73" s="4" t="s">
        <v>288</v>
      </c>
      <c r="AO73" s="43" t="str">
        <f>IF(VLOOKUP(AN73,βοηθητικό!$J$2:$N$354,3,FALSE)="","",VLOOKUP(AN73,βοηθητικό!$J$2:$N$354,3,FALSE))</f>
        <v>6936783135</v>
      </c>
      <c r="AP73" s="44"/>
      <c r="AQ73" s="5" t="s">
        <v>317</v>
      </c>
      <c r="AR73" s="46" t="str">
        <f>IF(VLOOKUP(AQ73,βοηθητικό!$J$2:$N$354,3,FALSE)="","",VLOOKUP(AQ73,βοηθητικό!$J$2:$N$354,3,FALSE))</f>
        <v>6936772633</v>
      </c>
      <c r="AS73" s="47"/>
      <c r="AT73" s="4" t="s">
        <v>373</v>
      </c>
      <c r="AU73" s="43" t="str">
        <f>IF(VLOOKUP(AT73,βοηθητικό!$J$2:$N$354,3,FALSE)="","",VLOOKUP(AT73,βοηθητικό!$J$2:$N$354,3,FALSE))</f>
        <v>6932911077</v>
      </c>
      <c r="AV73" s="44"/>
      <c r="AW73" s="5" t="s">
        <v>412</v>
      </c>
      <c r="AX73" s="46" t="str">
        <f>IF(VLOOKUP(AW73,βοηθητικό!$J$2:$N$354,3,FALSE)="","",VLOOKUP(AW73,βοηθητικό!$J$2:$N$354,3,FALSE))</f>
        <v>6942550725</v>
      </c>
      <c r="AY73" s="47"/>
      <c r="AZ73" s="4" t="s">
        <v>16</v>
      </c>
      <c r="BA73" s="43" t="str">
        <f>IF(VLOOKUP(AZ73,βοηθητικό!$J$2:$N$354,3,FALSE)="","",VLOOKUP(AZ73,βοηθητικό!$J$2:$N$354,3,FALSE))</f>
        <v>_</v>
      </c>
      <c r="BB73" s="44"/>
      <c r="BC73" s="45" t="s">
        <v>16</v>
      </c>
      <c r="BD73" s="46" t="str">
        <f>IF(VLOOKUP(BC73,βοηθητικό!$J$2:$N$354,3,FALSE)="","",VLOOKUP(BC73,βοηθητικό!$J$2:$N$354,3,FALSE))</f>
        <v>_</v>
      </c>
      <c r="BE73" s="47"/>
      <c r="BF73" s="42" t="s">
        <v>16</v>
      </c>
      <c r="BG73" s="43" t="str">
        <f>IF(VLOOKUP(BF73,βοηθητικό!$J$2:$N$354,3,FALSE)="","",VLOOKUP(BF73,βοηθητικό!$J$2:$N$354,3,FALSE))</f>
        <v>_</v>
      </c>
      <c r="BH73" s="44"/>
      <c r="BI73" s="45" t="s">
        <v>16</v>
      </c>
      <c r="BJ73" s="46" t="str">
        <f>IF(VLOOKUP(BI73,βοηθητικό!$J$2:$N$354,3,FALSE)="","",VLOOKUP(BI73,βοηθητικό!$J$2:$N$354,3,FALSE))</f>
        <v>_</v>
      </c>
      <c r="BK73" s="47"/>
      <c r="BL73" s="42" t="s">
        <v>16</v>
      </c>
      <c r="BM73" s="43" t="str">
        <f>IF(VLOOKUP(BL73,βοηθητικό!$J$2:$N$354,3,FALSE)="","",VLOOKUP(BL73,βοηθητικό!$J$2:$N$354,3,FALSE))</f>
        <v>_</v>
      </c>
      <c r="BN73" s="44"/>
      <c r="BO73" s="45" t="s">
        <v>16</v>
      </c>
      <c r="BP73" s="46" t="str">
        <f>IF(VLOOKUP(BO73,βοηθητικό!$J$2:$N$354,3,FALSE)="","",VLOOKUP(BO73,βοηθητικό!$J$2:$N$354,3,FALSE))</f>
        <v>_</v>
      </c>
      <c r="BQ73" s="47"/>
      <c r="BR73" s="42" t="s">
        <v>16</v>
      </c>
      <c r="BS73" s="43" t="str">
        <f>IF(VLOOKUP(BR73,βοηθητικό!$J$2:$N$354,3,FALSE)="","",VLOOKUP(BR73,βοηθητικό!$J$2:$N$354,3,FALSE))</f>
        <v>_</v>
      </c>
      <c r="BT73" s="44"/>
      <c r="BU73" s="45" t="s">
        <v>16</v>
      </c>
      <c r="BV73" s="46" t="str">
        <f>IF(VLOOKUP(BU73,βοηθητικό!$J$2:$N$354,3,FALSE)="","",VLOOKUP(BU73,βοηθητικό!$J$2:$N$354,3,FALSE))</f>
        <v>_</v>
      </c>
      <c r="BW73" s="47"/>
      <c r="BX73" s="42" t="s">
        <v>16</v>
      </c>
      <c r="BY73" s="43" t="str">
        <f>IF(VLOOKUP(BX73,βοηθητικό!$J$2:$N$354,3,FALSE)="","",VLOOKUP(BX73,βοηθητικό!$J$2:$N$354,3,FALSE))</f>
        <v>_</v>
      </c>
      <c r="BZ73" s="44"/>
      <c r="CA73" s="45" t="s">
        <v>16</v>
      </c>
      <c r="CB73" s="46" t="str">
        <f>IF(VLOOKUP(CA73,βοηθητικό!$J$2:$N$354,3,FALSE)="","",VLOOKUP(CA73,βοηθητικό!$J$2:$N$354,3,FALSE))</f>
        <v>_</v>
      </c>
      <c r="CC73" s="47"/>
      <c r="CD73" s="42" t="s">
        <v>16</v>
      </c>
      <c r="CE73" s="43" t="str">
        <f>IF(VLOOKUP(CD73,βοηθητικό!$J$2:$N$354,3,FALSE)="","",VLOOKUP(CD73,βοηθητικό!$J$2:$N$354,3,FALSE))</f>
        <v>_</v>
      </c>
      <c r="CF73" s="44"/>
      <c r="CG73" s="45" t="s">
        <v>16</v>
      </c>
      <c r="CH73" s="46" t="str">
        <f>IF(VLOOKUP(CG73,βοηθητικό!$J$2:$N$354,3,FALSE)="","",VLOOKUP(CG73,βοηθητικό!$J$2:$N$354,3,FALSE))</f>
        <v>_</v>
      </c>
      <c r="CI73" s="47"/>
      <c r="CJ73" s="42" t="s">
        <v>16</v>
      </c>
      <c r="CK73" s="43" t="str">
        <f>IF(VLOOKUP(CJ73,βοηθητικό!$J$2:$N$354,3,FALSE)="","",VLOOKUP(CJ73,βοηθητικό!$J$2:$N$354,3,FALSE))</f>
        <v>_</v>
      </c>
      <c r="CL73" s="44"/>
      <c r="CM73" s="45" t="s">
        <v>16</v>
      </c>
      <c r="CN73" s="46" t="str">
        <f>IF(VLOOKUP(CM73,βοηθητικό!$J$2:$N$354,3,FALSE)="","",VLOOKUP(CM73,βοηθητικό!$J$2:$N$354,3,FALSE))</f>
        <v>_</v>
      </c>
      <c r="CO73" s="47"/>
      <c r="CP73" s="42" t="s">
        <v>16</v>
      </c>
      <c r="CQ73" s="43" t="str">
        <f>IF(VLOOKUP(CP73,βοηθητικό!$J$2:$N$354,3,FALSE)="","",VLOOKUP(CP73,βοηθητικό!$J$2:$N$354,3,FALSE))</f>
        <v>_</v>
      </c>
      <c r="CR73" s="44"/>
      <c r="CS73" s="45" t="s">
        <v>16</v>
      </c>
      <c r="CT73" s="46" t="str">
        <f>IF(VLOOKUP(CS73,βοηθητικό!$J$2:$N$354,3,FALSE)="","",VLOOKUP(CS73,βοηθητικό!$J$2:$N$354,3,FALSE))</f>
        <v>_</v>
      </c>
      <c r="CU73" s="47"/>
    </row>
    <row r="74" spans="1:99" x14ac:dyDescent="0.25">
      <c r="A74" s="37">
        <f>--SUBTOTAL(3,$B$3:B73)</f>
        <v>71</v>
      </c>
      <c r="B74" s="68">
        <v>45131</v>
      </c>
      <c r="C74" s="69">
        <v>45137</v>
      </c>
      <c r="D74" s="57" t="s">
        <v>33</v>
      </c>
      <c r="E74" s="38" t="s">
        <v>16</v>
      </c>
      <c r="F74" s="38" t="s">
        <v>16</v>
      </c>
      <c r="G74" s="39" t="str">
        <f t="shared" si="5"/>
        <v>__</v>
      </c>
      <c r="H74" s="40" t="str">
        <f t="shared" si="6"/>
        <v>FALSE</v>
      </c>
      <c r="I74" s="41">
        <f t="shared" si="7"/>
        <v>13</v>
      </c>
      <c r="J74" s="4" t="s">
        <v>220</v>
      </c>
      <c r="K74" s="43" t="str">
        <f>IF(VLOOKUP(J74,βοηθητικό!$J$2:$N$354,3,FALSE)="","",VLOOKUP(J74,βοηθητικό!$J$2:$N$354,3,FALSE))</f>
        <v>6979228710</v>
      </c>
      <c r="L74" s="44"/>
      <c r="M74" s="5" t="s">
        <v>232</v>
      </c>
      <c r="N74" s="46" t="str">
        <f>IF(VLOOKUP(M74,βοηθητικό!$J$2:$N$354,3,FALSE)="","",VLOOKUP(M74,βοηθητικό!$J$2:$N$354,3,FALSE))</f>
        <v>6978333742</v>
      </c>
      <c r="O74" s="47"/>
      <c r="P74" s="4" t="s">
        <v>142</v>
      </c>
      <c r="Q74" s="43" t="str">
        <f>IF(VLOOKUP(P74,βοηθητικό!$J$2:$N$354,3,FALSE)="","",VLOOKUP(P74,βοηθητικό!$J$2:$N$354,3,FALSE))</f>
        <v>6981400643</v>
      </c>
      <c r="R74" s="44"/>
      <c r="S74" s="5" t="s">
        <v>301</v>
      </c>
      <c r="T74" s="46" t="str">
        <f>IF(VLOOKUP(S74,βοηθητικό!$J$2:$N$354,3,FALSE)="","",VLOOKUP(S74,βοηθητικό!$J$2:$N$354,3,FALSE))</f>
        <v>6944744680</v>
      </c>
      <c r="U74" s="47"/>
      <c r="V74" s="4" t="s">
        <v>333</v>
      </c>
      <c r="W74" s="43" t="str">
        <f>IF(VLOOKUP(V74,βοηθητικό!$J$2:$N$354,3,FALSE)="","",VLOOKUP(V74,βοηθητικό!$J$2:$N$354,3,FALSE))</f>
        <v>6948630062</v>
      </c>
      <c r="X74" s="44"/>
      <c r="Y74" s="5" t="s">
        <v>459</v>
      </c>
      <c r="Z74" s="46" t="str">
        <f>IF(VLOOKUP(Y74,βοηθητικό!$J$2:$N$354,3,FALSE)="","",VLOOKUP(Y74,βοηθητικό!$J$2:$N$354,3,FALSE))</f>
        <v>6978292709</v>
      </c>
      <c r="AA74" s="47"/>
      <c r="AB74" s="4" t="s">
        <v>360</v>
      </c>
      <c r="AC74" s="43" t="str">
        <f>IF(VLOOKUP(AB74,βοηθητικό!$J$2:$N$354,3,FALSE)="","",VLOOKUP(AB74,βοηθητικό!$J$2:$N$354,3,FALSE))</f>
        <v>6973306494</v>
      </c>
      <c r="AD74" s="44"/>
      <c r="AE74" s="5" t="s">
        <v>395</v>
      </c>
      <c r="AF74" s="46" t="str">
        <f>IF(VLOOKUP(AE74,βοηθητικό!$J$2:$N$354,3,FALSE)="","",VLOOKUP(AE74,βοηθητικό!$J$2:$N$354,3,FALSE))</f>
        <v>6987887267</v>
      </c>
      <c r="AG74" s="47"/>
      <c r="AH74" s="4" t="s">
        <v>255</v>
      </c>
      <c r="AI74" s="43" t="str">
        <f>IF(VLOOKUP(AH74,βοηθητικό!$J$2:$N$354,3,FALSE)="","",VLOOKUP(AH74,βοηθητικό!$J$2:$N$354,3,FALSE))</f>
        <v>6973803702</v>
      </c>
      <c r="AJ74" s="44"/>
      <c r="AK74" s="5" t="s">
        <v>444</v>
      </c>
      <c r="AL74" s="46" t="str">
        <f>IF(VLOOKUP(AK74,βοηθητικό!$J$2:$N$354,3,FALSE)="","",VLOOKUP(AK74,βοηθητικό!$J$2:$N$354,3,FALSE))</f>
        <v>6977538476</v>
      </c>
      <c r="AM74" s="47"/>
      <c r="AN74" s="4" t="s">
        <v>463</v>
      </c>
      <c r="AO74" s="43" t="str">
        <f>IF(VLOOKUP(AN74,βοηθητικό!$J$2:$N$354,3,FALSE)="","",VLOOKUP(AN74,βοηθητικό!$J$2:$N$354,3,FALSE))</f>
        <v>6957171149</v>
      </c>
      <c r="AP74" s="44"/>
      <c r="AQ74" s="5" t="s">
        <v>369</v>
      </c>
      <c r="AR74" s="46" t="str">
        <f>IF(VLOOKUP(AQ74,βοηθητικό!$J$2:$N$354,3,FALSE)="","",VLOOKUP(AQ74,βοηθητικό!$J$2:$N$354,3,FALSE))</f>
        <v>6945151494</v>
      </c>
      <c r="AS74" s="47"/>
      <c r="AT74" s="4" t="s">
        <v>389</v>
      </c>
      <c r="AU74" s="43" t="str">
        <f>IF(VLOOKUP(AT74,βοηθητικό!$J$2:$N$354,3,FALSE)="","",VLOOKUP(AT74,βοηθητικό!$J$2:$N$354,3,FALSE))</f>
        <v>6974050289</v>
      </c>
      <c r="AV74" s="44"/>
      <c r="AW74" s="5" t="s">
        <v>16</v>
      </c>
      <c r="AX74" s="46" t="str">
        <f>IF(VLOOKUP(AW74,βοηθητικό!$J$2:$N$354,3,FALSE)="","",VLOOKUP(AW74,βοηθητικό!$J$2:$N$354,3,FALSE))</f>
        <v>_</v>
      </c>
      <c r="AY74" s="47"/>
      <c r="AZ74" s="4" t="s">
        <v>16</v>
      </c>
      <c r="BA74" s="43" t="str">
        <f>IF(VLOOKUP(AZ74,βοηθητικό!$J$2:$N$354,3,FALSE)="","",VLOOKUP(AZ74,βοηθητικό!$J$2:$N$354,3,FALSE))</f>
        <v>_</v>
      </c>
      <c r="BB74" s="44"/>
      <c r="BC74" s="45" t="s">
        <v>16</v>
      </c>
      <c r="BD74" s="46" t="str">
        <f>IF(VLOOKUP(BC74,βοηθητικό!$J$2:$N$354,3,FALSE)="","",VLOOKUP(BC74,βοηθητικό!$J$2:$N$354,3,FALSE))</f>
        <v>_</v>
      </c>
      <c r="BE74" s="47"/>
      <c r="BF74" s="42" t="s">
        <v>16</v>
      </c>
      <c r="BG74" s="43" t="str">
        <f>IF(VLOOKUP(BF74,βοηθητικό!$J$2:$N$354,3,FALSE)="","",VLOOKUP(BF74,βοηθητικό!$J$2:$N$354,3,FALSE))</f>
        <v>_</v>
      </c>
      <c r="BH74" s="44"/>
      <c r="BI74" s="45" t="s">
        <v>16</v>
      </c>
      <c r="BJ74" s="46" t="str">
        <f>IF(VLOOKUP(BI74,βοηθητικό!$J$2:$N$354,3,FALSE)="","",VLOOKUP(BI74,βοηθητικό!$J$2:$N$354,3,FALSE))</f>
        <v>_</v>
      </c>
      <c r="BK74" s="47"/>
      <c r="BL74" s="42" t="s">
        <v>16</v>
      </c>
      <c r="BM74" s="43" t="str">
        <f>IF(VLOOKUP(BL74,βοηθητικό!$J$2:$N$354,3,FALSE)="","",VLOOKUP(BL74,βοηθητικό!$J$2:$N$354,3,FALSE))</f>
        <v>_</v>
      </c>
      <c r="BN74" s="44"/>
      <c r="BO74" s="45" t="s">
        <v>16</v>
      </c>
      <c r="BP74" s="46" t="str">
        <f>IF(VLOOKUP(BO74,βοηθητικό!$J$2:$N$354,3,FALSE)="","",VLOOKUP(BO74,βοηθητικό!$J$2:$N$354,3,FALSE))</f>
        <v>_</v>
      </c>
      <c r="BQ74" s="47"/>
      <c r="BR74" s="42" t="s">
        <v>16</v>
      </c>
      <c r="BS74" s="43" t="str">
        <f>IF(VLOOKUP(BR74,βοηθητικό!$J$2:$N$354,3,FALSE)="","",VLOOKUP(BR74,βοηθητικό!$J$2:$N$354,3,FALSE))</f>
        <v>_</v>
      </c>
      <c r="BT74" s="44"/>
      <c r="BU74" s="45" t="s">
        <v>16</v>
      </c>
      <c r="BV74" s="46" t="str">
        <f>IF(VLOOKUP(BU74,βοηθητικό!$J$2:$N$354,3,FALSE)="","",VLOOKUP(BU74,βοηθητικό!$J$2:$N$354,3,FALSE))</f>
        <v>_</v>
      </c>
      <c r="BW74" s="47"/>
      <c r="BX74" s="42" t="s">
        <v>16</v>
      </c>
      <c r="BY74" s="43" t="str">
        <f>IF(VLOOKUP(BX74,βοηθητικό!$J$2:$N$354,3,FALSE)="","",VLOOKUP(BX74,βοηθητικό!$J$2:$N$354,3,FALSE))</f>
        <v>_</v>
      </c>
      <c r="BZ74" s="44"/>
      <c r="CA74" s="45" t="s">
        <v>16</v>
      </c>
      <c r="CB74" s="46" t="str">
        <f>IF(VLOOKUP(CA74,βοηθητικό!$J$2:$N$354,3,FALSE)="","",VLOOKUP(CA74,βοηθητικό!$J$2:$N$354,3,FALSE))</f>
        <v>_</v>
      </c>
      <c r="CC74" s="47"/>
      <c r="CD74" s="42" t="s">
        <v>16</v>
      </c>
      <c r="CE74" s="43" t="str">
        <f>IF(VLOOKUP(CD74,βοηθητικό!$J$2:$N$354,3,FALSE)="","",VLOOKUP(CD74,βοηθητικό!$J$2:$N$354,3,FALSE))</f>
        <v>_</v>
      </c>
      <c r="CF74" s="44"/>
      <c r="CG74" s="45" t="s">
        <v>16</v>
      </c>
      <c r="CH74" s="46" t="str">
        <f>IF(VLOOKUP(CG74,βοηθητικό!$J$2:$N$354,3,FALSE)="","",VLOOKUP(CG74,βοηθητικό!$J$2:$N$354,3,FALSE))</f>
        <v>_</v>
      </c>
      <c r="CI74" s="47"/>
      <c r="CJ74" s="42" t="s">
        <v>16</v>
      </c>
      <c r="CK74" s="43" t="str">
        <f>IF(VLOOKUP(CJ74,βοηθητικό!$J$2:$N$354,3,FALSE)="","",VLOOKUP(CJ74,βοηθητικό!$J$2:$N$354,3,FALSE))</f>
        <v>_</v>
      </c>
      <c r="CL74" s="44"/>
      <c r="CM74" s="45" t="s">
        <v>16</v>
      </c>
      <c r="CN74" s="46" t="str">
        <f>IF(VLOOKUP(CM74,βοηθητικό!$J$2:$N$354,3,FALSE)="","",VLOOKUP(CM74,βοηθητικό!$J$2:$N$354,3,FALSE))</f>
        <v>_</v>
      </c>
      <c r="CO74" s="47"/>
      <c r="CP74" s="42" t="s">
        <v>16</v>
      </c>
      <c r="CQ74" s="43" t="str">
        <f>IF(VLOOKUP(CP74,βοηθητικό!$J$2:$N$354,3,FALSE)="","",VLOOKUP(CP74,βοηθητικό!$J$2:$N$354,3,FALSE))</f>
        <v>_</v>
      </c>
      <c r="CR74" s="44"/>
      <c r="CS74" s="45" t="s">
        <v>16</v>
      </c>
      <c r="CT74" s="46" t="str">
        <f>IF(VLOOKUP(CS74,βοηθητικό!$J$2:$N$354,3,FALSE)="","",VLOOKUP(CS74,βοηθητικό!$J$2:$N$354,3,FALSE))</f>
        <v>_</v>
      </c>
      <c r="CU74" s="47"/>
    </row>
    <row r="75" spans="1:99" x14ac:dyDescent="0.25">
      <c r="A75" s="37">
        <f>--SUBTOTAL(3,$B$3:B74)</f>
        <v>72</v>
      </c>
      <c r="B75" s="68">
        <v>45108</v>
      </c>
      <c r="C75" s="69">
        <v>45116</v>
      </c>
      <c r="D75" s="58" t="s">
        <v>45</v>
      </c>
      <c r="E75" s="38" t="s">
        <v>16</v>
      </c>
      <c r="F75" s="38" t="s">
        <v>16</v>
      </c>
      <c r="G75" s="39" t="str">
        <f t="shared" si="5"/>
        <v>__</v>
      </c>
      <c r="H75" s="40" t="str">
        <f t="shared" si="6"/>
        <v>FALSE</v>
      </c>
      <c r="I75" s="41">
        <f t="shared" si="7"/>
        <v>6</v>
      </c>
      <c r="J75" s="4" t="s">
        <v>489</v>
      </c>
      <c r="K75" s="43" t="str">
        <f>IF(VLOOKUP(J75,βοηθητικό!$J$2:$N$354,3,FALSE)="","",VLOOKUP(J75,βοηθητικό!$J$2:$N$354,3,FALSE))</f>
        <v>6972289471</v>
      </c>
      <c r="L75" s="44"/>
      <c r="M75" s="5" t="s">
        <v>587</v>
      </c>
      <c r="N75" s="46" t="str">
        <f>IF(VLOOKUP(M75,βοηθητικό!$J$2:$N$354,3,FALSE)="","",VLOOKUP(M75,βοηθητικό!$J$2:$N$354,3,FALSE))</f>
        <v>6947371545</v>
      </c>
      <c r="O75" s="47"/>
      <c r="P75" s="4" t="s">
        <v>509</v>
      </c>
      <c r="Q75" s="43" t="str">
        <f>IF(VLOOKUP(P75,βοηθητικό!$J$2:$N$354,3,FALSE)="","",VLOOKUP(P75,βοηθητικό!$J$2:$N$354,3,FALSE))</f>
        <v>6944370079</v>
      </c>
      <c r="R75" s="44"/>
      <c r="S75" s="5" t="s">
        <v>568</v>
      </c>
      <c r="T75" s="46" t="str">
        <f>IF(VLOOKUP(S75,βοηθητικό!$J$2:$N$354,3,FALSE)="","",VLOOKUP(S75,βοηθητικό!$J$2:$N$354,3,FALSE))</f>
        <v>6955562181</v>
      </c>
      <c r="U75" s="47"/>
      <c r="V75" s="4" t="s">
        <v>577</v>
      </c>
      <c r="W75" s="43" t="str">
        <f>IF(VLOOKUP(V75,βοηθητικό!$J$2:$N$354,3,FALSE)="","",VLOOKUP(V75,βοηθητικό!$J$2:$N$354,3,FALSE))</f>
        <v>6937185269</v>
      </c>
      <c r="X75" s="44"/>
      <c r="Y75" s="5" t="s">
        <v>559</v>
      </c>
      <c r="Z75" s="46" t="str">
        <f>IF(VLOOKUP(Y75,βοηθητικό!$J$2:$N$354,3,FALSE)="","",VLOOKUP(Y75,βοηθητικό!$J$2:$N$354,3,FALSE))</f>
        <v>6934004858</v>
      </c>
      <c r="AA75" s="47"/>
      <c r="AB75" s="4" t="s">
        <v>16</v>
      </c>
      <c r="AC75" s="43" t="str">
        <f>IF(VLOOKUP(AB75,βοηθητικό!$J$2:$N$354,3,FALSE)="","",VLOOKUP(AB75,βοηθητικό!$J$2:$N$354,3,FALSE))</f>
        <v>_</v>
      </c>
      <c r="AD75" s="44"/>
      <c r="AE75" s="5" t="s">
        <v>16</v>
      </c>
      <c r="AF75" s="46" t="str">
        <f>IF(VLOOKUP(AE75,βοηθητικό!$J$2:$N$354,3,FALSE)="","",VLOOKUP(AE75,βοηθητικό!$J$2:$N$354,3,FALSE))</f>
        <v>_</v>
      </c>
      <c r="AG75" s="47"/>
      <c r="AH75" s="4" t="s">
        <v>16</v>
      </c>
      <c r="AI75" s="43" t="str">
        <f>IF(VLOOKUP(AH75,βοηθητικό!$J$2:$N$354,3,FALSE)="","",VLOOKUP(AH75,βοηθητικό!$J$2:$N$354,3,FALSE))</f>
        <v>_</v>
      </c>
      <c r="AJ75" s="44"/>
      <c r="AK75" s="5" t="s">
        <v>16</v>
      </c>
      <c r="AL75" s="46" t="str">
        <f>IF(VLOOKUP(AK75,βοηθητικό!$J$2:$N$354,3,FALSE)="","",VLOOKUP(AK75,βοηθητικό!$J$2:$N$354,3,FALSE))</f>
        <v>_</v>
      </c>
      <c r="AM75" s="47"/>
      <c r="AN75" s="4" t="s">
        <v>16</v>
      </c>
      <c r="AO75" s="43" t="str">
        <f>IF(VLOOKUP(AN75,βοηθητικό!$J$2:$N$354,3,FALSE)="","",VLOOKUP(AN75,βοηθητικό!$J$2:$N$354,3,FALSE))</f>
        <v>_</v>
      </c>
      <c r="AP75" s="44"/>
      <c r="AQ75" s="5" t="s">
        <v>16</v>
      </c>
      <c r="AR75" s="46" t="str">
        <f>IF(VLOOKUP(AQ75,βοηθητικό!$J$2:$N$354,3,FALSE)="","",VLOOKUP(AQ75,βοηθητικό!$J$2:$N$354,3,FALSE))</f>
        <v>_</v>
      </c>
      <c r="AS75" s="47"/>
      <c r="AT75" s="4" t="s">
        <v>16</v>
      </c>
      <c r="AU75" s="43" t="str">
        <f>IF(VLOOKUP(AT75,βοηθητικό!$J$2:$N$354,3,FALSE)="","",VLOOKUP(AT75,βοηθητικό!$J$2:$N$354,3,FALSE))</f>
        <v>_</v>
      </c>
      <c r="AV75" s="44"/>
      <c r="AW75" s="5" t="s">
        <v>16</v>
      </c>
      <c r="AX75" s="46" t="str">
        <f>IF(VLOOKUP(AW75,βοηθητικό!$J$2:$N$354,3,FALSE)="","",VLOOKUP(AW75,βοηθητικό!$J$2:$N$354,3,FALSE))</f>
        <v>_</v>
      </c>
      <c r="AY75" s="47"/>
      <c r="AZ75" s="4" t="s">
        <v>16</v>
      </c>
      <c r="BA75" s="43" t="str">
        <f>IF(VLOOKUP(AZ75,βοηθητικό!$J$2:$N$354,3,FALSE)="","",VLOOKUP(AZ75,βοηθητικό!$J$2:$N$354,3,FALSE))</f>
        <v>_</v>
      </c>
      <c r="BB75" s="44"/>
      <c r="BC75" s="45" t="s">
        <v>16</v>
      </c>
      <c r="BD75" s="46" t="str">
        <f>IF(VLOOKUP(BC75,βοηθητικό!$J$2:$N$354,3,FALSE)="","",VLOOKUP(BC75,βοηθητικό!$J$2:$N$354,3,FALSE))</f>
        <v>_</v>
      </c>
      <c r="BE75" s="47"/>
      <c r="BF75" s="42" t="s">
        <v>16</v>
      </c>
      <c r="BG75" s="43" t="str">
        <f>IF(VLOOKUP(BF75,βοηθητικό!$J$2:$N$354,3,FALSE)="","",VLOOKUP(BF75,βοηθητικό!$J$2:$N$354,3,FALSE))</f>
        <v>_</v>
      </c>
      <c r="BH75" s="44"/>
      <c r="BI75" s="45" t="s">
        <v>16</v>
      </c>
      <c r="BJ75" s="46" t="str">
        <f>IF(VLOOKUP(BI75,βοηθητικό!$J$2:$N$354,3,FALSE)="","",VLOOKUP(BI75,βοηθητικό!$J$2:$N$354,3,FALSE))</f>
        <v>_</v>
      </c>
      <c r="BK75" s="47"/>
      <c r="BL75" s="42" t="s">
        <v>16</v>
      </c>
      <c r="BM75" s="43" t="str">
        <f>IF(VLOOKUP(BL75,βοηθητικό!$J$2:$N$354,3,FALSE)="","",VLOOKUP(BL75,βοηθητικό!$J$2:$N$354,3,FALSE))</f>
        <v>_</v>
      </c>
      <c r="BN75" s="44"/>
      <c r="BO75" s="45" t="s">
        <v>16</v>
      </c>
      <c r="BP75" s="46" t="str">
        <f>IF(VLOOKUP(BO75,βοηθητικό!$J$2:$N$354,3,FALSE)="","",VLOOKUP(BO75,βοηθητικό!$J$2:$N$354,3,FALSE))</f>
        <v>_</v>
      </c>
      <c r="BQ75" s="47"/>
      <c r="BR75" s="42" t="s">
        <v>16</v>
      </c>
      <c r="BS75" s="43" t="str">
        <f>IF(VLOOKUP(BR75,βοηθητικό!$J$2:$N$354,3,FALSE)="","",VLOOKUP(BR75,βοηθητικό!$J$2:$N$354,3,FALSE))</f>
        <v>_</v>
      </c>
      <c r="BT75" s="44"/>
      <c r="BU75" s="45" t="s">
        <v>16</v>
      </c>
      <c r="BV75" s="46" t="str">
        <f>IF(VLOOKUP(BU75,βοηθητικό!$J$2:$N$354,3,FALSE)="","",VLOOKUP(BU75,βοηθητικό!$J$2:$N$354,3,FALSE))</f>
        <v>_</v>
      </c>
      <c r="BW75" s="47"/>
      <c r="BX75" s="42" t="s">
        <v>16</v>
      </c>
      <c r="BY75" s="43" t="str">
        <f>IF(VLOOKUP(BX75,βοηθητικό!$J$2:$N$354,3,FALSE)="","",VLOOKUP(BX75,βοηθητικό!$J$2:$N$354,3,FALSE))</f>
        <v>_</v>
      </c>
      <c r="BZ75" s="44"/>
      <c r="CA75" s="45" t="s">
        <v>16</v>
      </c>
      <c r="CB75" s="46" t="str">
        <f>IF(VLOOKUP(CA75,βοηθητικό!$J$2:$N$354,3,FALSE)="","",VLOOKUP(CA75,βοηθητικό!$J$2:$N$354,3,FALSE))</f>
        <v>_</v>
      </c>
      <c r="CC75" s="47"/>
      <c r="CD75" s="42" t="s">
        <v>16</v>
      </c>
      <c r="CE75" s="43" t="str">
        <f>IF(VLOOKUP(CD75,βοηθητικό!$J$2:$N$354,3,FALSE)="","",VLOOKUP(CD75,βοηθητικό!$J$2:$N$354,3,FALSE))</f>
        <v>_</v>
      </c>
      <c r="CF75" s="44"/>
      <c r="CG75" s="45" t="s">
        <v>16</v>
      </c>
      <c r="CH75" s="46" t="str">
        <f>IF(VLOOKUP(CG75,βοηθητικό!$J$2:$N$354,3,FALSE)="","",VLOOKUP(CG75,βοηθητικό!$J$2:$N$354,3,FALSE))</f>
        <v>_</v>
      </c>
      <c r="CI75" s="47"/>
      <c r="CJ75" s="42" t="s">
        <v>16</v>
      </c>
      <c r="CK75" s="43" t="str">
        <f>IF(VLOOKUP(CJ75,βοηθητικό!$J$2:$N$354,3,FALSE)="","",VLOOKUP(CJ75,βοηθητικό!$J$2:$N$354,3,FALSE))</f>
        <v>_</v>
      </c>
      <c r="CL75" s="44"/>
      <c r="CM75" s="45" t="s">
        <v>16</v>
      </c>
      <c r="CN75" s="46" t="str">
        <f>IF(VLOOKUP(CM75,βοηθητικό!$J$2:$N$354,3,FALSE)="","",VLOOKUP(CM75,βοηθητικό!$J$2:$N$354,3,FALSE))</f>
        <v>_</v>
      </c>
      <c r="CO75" s="47"/>
      <c r="CP75" s="42" t="s">
        <v>16</v>
      </c>
      <c r="CQ75" s="43" t="str">
        <f>IF(VLOOKUP(CP75,βοηθητικό!$J$2:$N$354,3,FALSE)="","",VLOOKUP(CP75,βοηθητικό!$J$2:$N$354,3,FALSE))</f>
        <v>_</v>
      </c>
      <c r="CR75" s="44"/>
      <c r="CS75" s="45" t="s">
        <v>16</v>
      </c>
      <c r="CT75" s="46" t="str">
        <f>IF(VLOOKUP(CS75,βοηθητικό!$J$2:$N$354,3,FALSE)="","",VLOOKUP(CS75,βοηθητικό!$J$2:$N$354,3,FALSE))</f>
        <v>_</v>
      </c>
      <c r="CU75" s="47"/>
    </row>
    <row r="76" spans="1:99" x14ac:dyDescent="0.25">
      <c r="A76" s="37">
        <f>--SUBTOTAL(3,$B$3:B75)</f>
        <v>73</v>
      </c>
      <c r="B76" s="68">
        <v>45117</v>
      </c>
      <c r="C76" s="69">
        <v>45123</v>
      </c>
      <c r="D76" s="58" t="s">
        <v>45</v>
      </c>
      <c r="E76" s="38" t="s">
        <v>16</v>
      </c>
      <c r="F76" s="38" t="s">
        <v>16</v>
      </c>
      <c r="G76" s="39" t="str">
        <f t="shared" si="5"/>
        <v>__</v>
      </c>
      <c r="H76" s="40" t="str">
        <f t="shared" si="6"/>
        <v>FALSE</v>
      </c>
      <c r="I76" s="41">
        <f t="shared" si="7"/>
        <v>6</v>
      </c>
      <c r="J76" s="4" t="s">
        <v>548</v>
      </c>
      <c r="K76" s="43" t="str">
        <f>IF(VLOOKUP(J76,βοηθητικό!$J$2:$N$354,3,FALSE)="","",VLOOKUP(J76,βοηθητικό!$J$2:$N$354,3,FALSE))</f>
        <v>6977344183</v>
      </c>
      <c r="L76" s="44"/>
      <c r="M76" s="5" t="s">
        <v>485</v>
      </c>
      <c r="N76" s="46" t="str">
        <f>IF(VLOOKUP(M76,βοηθητικό!$J$2:$N$354,3,FALSE)="","",VLOOKUP(M76,βοηθητικό!$J$2:$N$354,3,FALSE))</f>
        <v>6972278604</v>
      </c>
      <c r="O76" s="47"/>
      <c r="P76" s="4" t="s">
        <v>500</v>
      </c>
      <c r="Q76" s="43" t="str">
        <f>IF(VLOOKUP(P76,βοηθητικό!$J$2:$N$354,3,FALSE)="","",VLOOKUP(P76,βοηθητικό!$J$2:$N$354,3,FALSE))</f>
        <v>6945398229</v>
      </c>
      <c r="R76" s="44"/>
      <c r="S76" s="5" t="s">
        <v>514</v>
      </c>
      <c r="T76" s="46" t="str">
        <f>IF(VLOOKUP(S76,βοηθητικό!$J$2:$N$354,3,FALSE)="","",VLOOKUP(S76,βοηθητικό!$J$2:$N$354,3,FALSE))</f>
        <v>6936815219</v>
      </c>
      <c r="U76" s="47"/>
      <c r="V76" s="4" t="s">
        <v>503</v>
      </c>
      <c r="W76" s="43" t="str">
        <f>IF(VLOOKUP(V76,βοηθητικό!$J$2:$N$354,3,FALSE)="","",VLOOKUP(V76,βοηθητικό!$J$2:$N$354,3,FALSE))</f>
        <v>6944234622</v>
      </c>
      <c r="X76" s="44"/>
      <c r="Y76" s="5" t="s">
        <v>523</v>
      </c>
      <c r="Z76" s="46" t="str">
        <f>IF(VLOOKUP(Y76,βοηθητικό!$J$2:$N$354,3,FALSE)="","",VLOOKUP(Y76,βοηθητικό!$J$2:$N$354,3,FALSE))</f>
        <v>6970940292</v>
      </c>
      <c r="AA76" s="47"/>
      <c r="AB76" s="4" t="s">
        <v>16</v>
      </c>
      <c r="AC76" s="43" t="str">
        <f>IF(VLOOKUP(AB76,βοηθητικό!$J$2:$N$354,3,FALSE)="","",VLOOKUP(AB76,βοηθητικό!$J$2:$N$354,3,FALSE))</f>
        <v>_</v>
      </c>
      <c r="AD76" s="44"/>
      <c r="AE76" s="5" t="s">
        <v>16</v>
      </c>
      <c r="AF76" s="46" t="str">
        <f>IF(VLOOKUP(AE76,βοηθητικό!$J$2:$N$354,3,FALSE)="","",VLOOKUP(AE76,βοηθητικό!$J$2:$N$354,3,FALSE))</f>
        <v>_</v>
      </c>
      <c r="AG76" s="47"/>
      <c r="AH76" s="4" t="s">
        <v>16</v>
      </c>
      <c r="AI76" s="43" t="str">
        <f>IF(VLOOKUP(AH76,βοηθητικό!$J$2:$N$354,3,FALSE)="","",VLOOKUP(AH76,βοηθητικό!$J$2:$N$354,3,FALSE))</f>
        <v>_</v>
      </c>
      <c r="AJ76" s="44"/>
      <c r="AK76" s="5" t="s">
        <v>16</v>
      </c>
      <c r="AL76" s="46" t="str">
        <f>IF(VLOOKUP(AK76,βοηθητικό!$J$2:$N$354,3,FALSE)="","",VLOOKUP(AK76,βοηθητικό!$J$2:$N$354,3,FALSE))</f>
        <v>_</v>
      </c>
      <c r="AM76" s="47"/>
      <c r="AN76" s="4" t="s">
        <v>16</v>
      </c>
      <c r="AO76" s="43" t="str">
        <f>IF(VLOOKUP(AN76,βοηθητικό!$J$2:$N$354,3,FALSE)="","",VLOOKUP(AN76,βοηθητικό!$J$2:$N$354,3,FALSE))</f>
        <v>_</v>
      </c>
      <c r="AP76" s="44"/>
      <c r="AQ76" s="5" t="s">
        <v>16</v>
      </c>
      <c r="AR76" s="46" t="str">
        <f>IF(VLOOKUP(AQ76,βοηθητικό!$J$2:$N$354,3,FALSE)="","",VLOOKUP(AQ76,βοηθητικό!$J$2:$N$354,3,FALSE))</f>
        <v>_</v>
      </c>
      <c r="AS76" s="47"/>
      <c r="AT76" s="4" t="s">
        <v>16</v>
      </c>
      <c r="AU76" s="43" t="str">
        <f>IF(VLOOKUP(AT76,βοηθητικό!$J$2:$N$354,3,FALSE)="","",VLOOKUP(AT76,βοηθητικό!$J$2:$N$354,3,FALSE))</f>
        <v>_</v>
      </c>
      <c r="AV76" s="44"/>
      <c r="AW76" s="5" t="s">
        <v>16</v>
      </c>
      <c r="AX76" s="46" t="str">
        <f>IF(VLOOKUP(AW76,βοηθητικό!$J$2:$N$354,3,FALSE)="","",VLOOKUP(AW76,βοηθητικό!$J$2:$N$354,3,FALSE))</f>
        <v>_</v>
      </c>
      <c r="AY76" s="47"/>
      <c r="AZ76" s="4" t="s">
        <v>16</v>
      </c>
      <c r="BA76" s="43" t="str">
        <f>IF(VLOOKUP(AZ76,βοηθητικό!$J$2:$N$354,3,FALSE)="","",VLOOKUP(AZ76,βοηθητικό!$J$2:$N$354,3,FALSE))</f>
        <v>_</v>
      </c>
      <c r="BB76" s="44"/>
      <c r="BC76" s="45" t="s">
        <v>16</v>
      </c>
      <c r="BD76" s="46" t="str">
        <f>IF(VLOOKUP(BC76,βοηθητικό!$J$2:$N$354,3,FALSE)="","",VLOOKUP(BC76,βοηθητικό!$J$2:$N$354,3,FALSE))</f>
        <v>_</v>
      </c>
      <c r="BE76" s="47"/>
      <c r="BF76" s="42" t="s">
        <v>16</v>
      </c>
      <c r="BG76" s="43" t="str">
        <f>IF(VLOOKUP(BF76,βοηθητικό!$J$2:$N$354,3,FALSE)="","",VLOOKUP(BF76,βοηθητικό!$J$2:$N$354,3,FALSE))</f>
        <v>_</v>
      </c>
      <c r="BH76" s="44"/>
      <c r="BI76" s="45" t="s">
        <v>16</v>
      </c>
      <c r="BJ76" s="46" t="str">
        <f>IF(VLOOKUP(BI76,βοηθητικό!$J$2:$N$354,3,FALSE)="","",VLOOKUP(BI76,βοηθητικό!$J$2:$N$354,3,FALSE))</f>
        <v>_</v>
      </c>
      <c r="BK76" s="47"/>
      <c r="BL76" s="42" t="s">
        <v>16</v>
      </c>
      <c r="BM76" s="43" t="str">
        <f>IF(VLOOKUP(BL76,βοηθητικό!$J$2:$N$354,3,FALSE)="","",VLOOKUP(BL76,βοηθητικό!$J$2:$N$354,3,FALSE))</f>
        <v>_</v>
      </c>
      <c r="BN76" s="44"/>
      <c r="BO76" s="45" t="s">
        <v>16</v>
      </c>
      <c r="BP76" s="46" t="str">
        <f>IF(VLOOKUP(BO76,βοηθητικό!$J$2:$N$354,3,FALSE)="","",VLOOKUP(BO76,βοηθητικό!$J$2:$N$354,3,FALSE))</f>
        <v>_</v>
      </c>
      <c r="BQ76" s="47"/>
      <c r="BR76" s="42" t="s">
        <v>16</v>
      </c>
      <c r="BS76" s="43" t="str">
        <f>IF(VLOOKUP(BR76,βοηθητικό!$J$2:$N$354,3,FALSE)="","",VLOOKUP(BR76,βοηθητικό!$J$2:$N$354,3,FALSE))</f>
        <v>_</v>
      </c>
      <c r="BT76" s="44"/>
      <c r="BU76" s="45" t="s">
        <v>16</v>
      </c>
      <c r="BV76" s="46" t="str">
        <f>IF(VLOOKUP(BU76,βοηθητικό!$J$2:$N$354,3,FALSE)="","",VLOOKUP(BU76,βοηθητικό!$J$2:$N$354,3,FALSE))</f>
        <v>_</v>
      </c>
      <c r="BW76" s="47"/>
      <c r="BX76" s="42" t="s">
        <v>16</v>
      </c>
      <c r="BY76" s="43" t="str">
        <f>IF(VLOOKUP(BX76,βοηθητικό!$J$2:$N$354,3,FALSE)="","",VLOOKUP(BX76,βοηθητικό!$J$2:$N$354,3,FALSE))</f>
        <v>_</v>
      </c>
      <c r="BZ76" s="44"/>
      <c r="CA76" s="45" t="s">
        <v>16</v>
      </c>
      <c r="CB76" s="46" t="str">
        <f>IF(VLOOKUP(CA76,βοηθητικό!$J$2:$N$354,3,FALSE)="","",VLOOKUP(CA76,βοηθητικό!$J$2:$N$354,3,FALSE))</f>
        <v>_</v>
      </c>
      <c r="CC76" s="47"/>
      <c r="CD76" s="42" t="s">
        <v>16</v>
      </c>
      <c r="CE76" s="43" t="str">
        <f>IF(VLOOKUP(CD76,βοηθητικό!$J$2:$N$354,3,FALSE)="","",VLOOKUP(CD76,βοηθητικό!$J$2:$N$354,3,FALSE))</f>
        <v>_</v>
      </c>
      <c r="CF76" s="44"/>
      <c r="CG76" s="45" t="s">
        <v>16</v>
      </c>
      <c r="CH76" s="46" t="str">
        <f>IF(VLOOKUP(CG76,βοηθητικό!$J$2:$N$354,3,FALSE)="","",VLOOKUP(CG76,βοηθητικό!$J$2:$N$354,3,FALSE))</f>
        <v>_</v>
      </c>
      <c r="CI76" s="47"/>
      <c r="CJ76" s="42" t="s">
        <v>16</v>
      </c>
      <c r="CK76" s="43" t="str">
        <f>IF(VLOOKUP(CJ76,βοηθητικό!$J$2:$N$354,3,FALSE)="","",VLOOKUP(CJ76,βοηθητικό!$J$2:$N$354,3,FALSE))</f>
        <v>_</v>
      </c>
      <c r="CL76" s="44"/>
      <c r="CM76" s="45" t="s">
        <v>16</v>
      </c>
      <c r="CN76" s="46" t="str">
        <f>IF(VLOOKUP(CM76,βοηθητικό!$J$2:$N$354,3,FALSE)="","",VLOOKUP(CM76,βοηθητικό!$J$2:$N$354,3,FALSE))</f>
        <v>_</v>
      </c>
      <c r="CO76" s="47"/>
      <c r="CP76" s="42" t="s">
        <v>16</v>
      </c>
      <c r="CQ76" s="43" t="str">
        <f>IF(VLOOKUP(CP76,βοηθητικό!$J$2:$N$354,3,FALSE)="","",VLOOKUP(CP76,βοηθητικό!$J$2:$N$354,3,FALSE))</f>
        <v>_</v>
      </c>
      <c r="CR76" s="44"/>
      <c r="CS76" s="45" t="s">
        <v>16</v>
      </c>
      <c r="CT76" s="46" t="str">
        <f>IF(VLOOKUP(CS76,βοηθητικό!$J$2:$N$354,3,FALSE)="","",VLOOKUP(CS76,βοηθητικό!$J$2:$N$354,3,FALSE))</f>
        <v>_</v>
      </c>
      <c r="CU76" s="47"/>
    </row>
    <row r="77" spans="1:99" x14ac:dyDescent="0.25">
      <c r="A77" s="37">
        <f>--SUBTOTAL(3,$B$3:B76)</f>
        <v>74</v>
      </c>
      <c r="B77" s="68">
        <v>45124</v>
      </c>
      <c r="C77" s="69">
        <v>45130</v>
      </c>
      <c r="D77" s="58" t="s">
        <v>45</v>
      </c>
      <c r="E77" s="38" t="s">
        <v>16</v>
      </c>
      <c r="F77" s="38" t="s">
        <v>16</v>
      </c>
      <c r="G77" s="39" t="str">
        <f t="shared" si="5"/>
        <v>__</v>
      </c>
      <c r="H77" s="40" t="str">
        <f t="shared" si="6"/>
        <v>FALSE</v>
      </c>
      <c r="I77" s="41">
        <f t="shared" si="7"/>
        <v>6</v>
      </c>
      <c r="J77" s="4" t="s">
        <v>581</v>
      </c>
      <c r="K77" s="43" t="str">
        <f>IF(VLOOKUP(J77,βοηθητικό!$J$2:$N$354,3,FALSE)="","",VLOOKUP(J77,βοηθητικό!$J$2:$N$354,3,FALSE))</f>
        <v>6932159538 6940215140</v>
      </c>
      <c r="L77" s="44"/>
      <c r="M77" s="5" t="s">
        <v>563</v>
      </c>
      <c r="N77" s="46" t="str">
        <f>IF(VLOOKUP(M77,βοηθητικό!$J$2:$N$354,3,FALSE)="","",VLOOKUP(M77,βοηθητικό!$J$2:$N$354,3,FALSE))</f>
        <v>6943571711</v>
      </c>
      <c r="O77" s="47"/>
      <c r="P77" s="4" t="s">
        <v>544</v>
      </c>
      <c r="Q77" s="43" t="str">
        <f>IF(VLOOKUP(P77,βοηθητικό!$J$2:$N$354,3,FALSE)="","",VLOOKUP(P77,βοηθητικό!$J$2:$N$354,3,FALSE))</f>
        <v>6978943962</v>
      </c>
      <c r="R77" s="44"/>
      <c r="S77" s="5" t="s">
        <v>534</v>
      </c>
      <c r="T77" s="46" t="str">
        <f>IF(VLOOKUP(S77,βοηθητικό!$J$2:$N$354,3,FALSE)="","",VLOOKUP(S77,βοηθητικό!$J$2:$N$354,3,FALSE))</f>
        <v>6955646945</v>
      </c>
      <c r="U77" s="47"/>
      <c r="V77" s="4" t="s">
        <v>539</v>
      </c>
      <c r="W77" s="43" t="str">
        <f>IF(VLOOKUP(V77,βοηθητικό!$J$2:$N$354,3,FALSE)="","",VLOOKUP(V77,βοηθητικό!$J$2:$N$354,3,FALSE))</f>
        <v>6972038001</v>
      </c>
      <c r="X77" s="44"/>
      <c r="Y77" s="5" t="s">
        <v>529</v>
      </c>
      <c r="Z77" s="46" t="str">
        <f>IF(VLOOKUP(Y77,βοηθητικό!$J$2:$N$354,3,FALSE)="","",VLOOKUP(Y77,βοηθητικό!$J$2:$N$354,3,FALSE))</f>
        <v>6947727931</v>
      </c>
      <c r="AA77" s="47"/>
      <c r="AB77" s="4" t="s">
        <v>16</v>
      </c>
      <c r="AC77" s="43" t="str">
        <f>IF(VLOOKUP(AB77,βοηθητικό!$J$2:$N$354,3,FALSE)="","",VLOOKUP(AB77,βοηθητικό!$J$2:$N$354,3,FALSE))</f>
        <v>_</v>
      </c>
      <c r="AD77" s="44"/>
      <c r="AE77" s="5" t="s">
        <v>16</v>
      </c>
      <c r="AF77" s="46" t="str">
        <f>IF(VLOOKUP(AE77,βοηθητικό!$J$2:$N$354,3,FALSE)="","",VLOOKUP(AE77,βοηθητικό!$J$2:$N$354,3,FALSE))</f>
        <v>_</v>
      </c>
      <c r="AG77" s="47"/>
      <c r="AH77" s="4" t="s">
        <v>16</v>
      </c>
      <c r="AI77" s="43" t="str">
        <f>IF(VLOOKUP(AH77,βοηθητικό!$J$2:$N$354,3,FALSE)="","",VLOOKUP(AH77,βοηθητικό!$J$2:$N$354,3,FALSE))</f>
        <v>_</v>
      </c>
      <c r="AJ77" s="44"/>
      <c r="AK77" s="5" t="s">
        <v>16</v>
      </c>
      <c r="AL77" s="46" t="str">
        <f>IF(VLOOKUP(AK77,βοηθητικό!$J$2:$N$354,3,FALSE)="","",VLOOKUP(AK77,βοηθητικό!$J$2:$N$354,3,FALSE))</f>
        <v>_</v>
      </c>
      <c r="AM77" s="47"/>
      <c r="AN77" s="4" t="s">
        <v>16</v>
      </c>
      <c r="AO77" s="43" t="str">
        <f>IF(VLOOKUP(AN77,βοηθητικό!$J$2:$N$354,3,FALSE)="","",VLOOKUP(AN77,βοηθητικό!$J$2:$N$354,3,FALSE))</f>
        <v>_</v>
      </c>
      <c r="AP77" s="44"/>
      <c r="AQ77" s="5" t="s">
        <v>16</v>
      </c>
      <c r="AR77" s="46" t="str">
        <f>IF(VLOOKUP(AQ77,βοηθητικό!$J$2:$N$354,3,FALSE)="","",VLOOKUP(AQ77,βοηθητικό!$J$2:$N$354,3,FALSE))</f>
        <v>_</v>
      </c>
      <c r="AS77" s="47"/>
      <c r="AT77" s="4" t="s">
        <v>16</v>
      </c>
      <c r="AU77" s="43" t="str">
        <f>IF(VLOOKUP(AT77,βοηθητικό!$J$2:$N$354,3,FALSE)="","",VLOOKUP(AT77,βοηθητικό!$J$2:$N$354,3,FALSE))</f>
        <v>_</v>
      </c>
      <c r="AV77" s="44"/>
      <c r="AW77" s="5" t="s">
        <v>16</v>
      </c>
      <c r="AX77" s="46" t="str">
        <f>IF(VLOOKUP(AW77,βοηθητικό!$J$2:$N$354,3,FALSE)="","",VLOOKUP(AW77,βοηθητικό!$J$2:$N$354,3,FALSE))</f>
        <v>_</v>
      </c>
      <c r="AY77" s="47"/>
      <c r="AZ77" s="4" t="s">
        <v>16</v>
      </c>
      <c r="BA77" s="43" t="str">
        <f>IF(VLOOKUP(AZ77,βοηθητικό!$J$2:$N$354,3,FALSE)="","",VLOOKUP(AZ77,βοηθητικό!$J$2:$N$354,3,FALSE))</f>
        <v>_</v>
      </c>
      <c r="BB77" s="44"/>
      <c r="BC77" s="45" t="s">
        <v>16</v>
      </c>
      <c r="BD77" s="46" t="str">
        <f>IF(VLOOKUP(BC77,βοηθητικό!$J$2:$N$354,3,FALSE)="","",VLOOKUP(BC77,βοηθητικό!$J$2:$N$354,3,FALSE))</f>
        <v>_</v>
      </c>
      <c r="BE77" s="47"/>
      <c r="BF77" s="42" t="s">
        <v>16</v>
      </c>
      <c r="BG77" s="43" t="str">
        <f>IF(VLOOKUP(BF77,βοηθητικό!$J$2:$N$354,3,FALSE)="","",VLOOKUP(BF77,βοηθητικό!$J$2:$N$354,3,FALSE))</f>
        <v>_</v>
      </c>
      <c r="BH77" s="44"/>
      <c r="BI77" s="45" t="s">
        <v>16</v>
      </c>
      <c r="BJ77" s="46" t="str">
        <f>IF(VLOOKUP(BI77,βοηθητικό!$J$2:$N$354,3,FALSE)="","",VLOOKUP(BI77,βοηθητικό!$J$2:$N$354,3,FALSE))</f>
        <v>_</v>
      </c>
      <c r="BK77" s="47"/>
      <c r="BL77" s="42" t="s">
        <v>16</v>
      </c>
      <c r="BM77" s="43" t="str">
        <f>IF(VLOOKUP(BL77,βοηθητικό!$J$2:$N$354,3,FALSE)="","",VLOOKUP(BL77,βοηθητικό!$J$2:$N$354,3,FALSE))</f>
        <v>_</v>
      </c>
      <c r="BN77" s="44"/>
      <c r="BO77" s="45" t="s">
        <v>16</v>
      </c>
      <c r="BP77" s="46" t="str">
        <f>IF(VLOOKUP(BO77,βοηθητικό!$J$2:$N$354,3,FALSE)="","",VLOOKUP(BO77,βοηθητικό!$J$2:$N$354,3,FALSE))</f>
        <v>_</v>
      </c>
      <c r="BQ77" s="47"/>
      <c r="BR77" s="42" t="s">
        <v>16</v>
      </c>
      <c r="BS77" s="43" t="str">
        <f>IF(VLOOKUP(BR77,βοηθητικό!$J$2:$N$354,3,FALSE)="","",VLOOKUP(BR77,βοηθητικό!$J$2:$N$354,3,FALSE))</f>
        <v>_</v>
      </c>
      <c r="BT77" s="44"/>
      <c r="BU77" s="45" t="s">
        <v>16</v>
      </c>
      <c r="BV77" s="46" t="str">
        <f>IF(VLOOKUP(BU77,βοηθητικό!$J$2:$N$354,3,FALSE)="","",VLOOKUP(BU77,βοηθητικό!$J$2:$N$354,3,FALSE))</f>
        <v>_</v>
      </c>
      <c r="BW77" s="47"/>
      <c r="BX77" s="42" t="s">
        <v>16</v>
      </c>
      <c r="BY77" s="43" t="str">
        <f>IF(VLOOKUP(BX77,βοηθητικό!$J$2:$N$354,3,FALSE)="","",VLOOKUP(BX77,βοηθητικό!$J$2:$N$354,3,FALSE))</f>
        <v>_</v>
      </c>
      <c r="BZ77" s="44"/>
      <c r="CA77" s="45" t="s">
        <v>16</v>
      </c>
      <c r="CB77" s="46" t="str">
        <f>IF(VLOOKUP(CA77,βοηθητικό!$J$2:$N$354,3,FALSE)="","",VLOOKUP(CA77,βοηθητικό!$J$2:$N$354,3,FALSE))</f>
        <v>_</v>
      </c>
      <c r="CC77" s="47"/>
      <c r="CD77" s="42" t="s">
        <v>16</v>
      </c>
      <c r="CE77" s="43" t="str">
        <f>IF(VLOOKUP(CD77,βοηθητικό!$J$2:$N$354,3,FALSE)="","",VLOOKUP(CD77,βοηθητικό!$J$2:$N$354,3,FALSE))</f>
        <v>_</v>
      </c>
      <c r="CF77" s="44"/>
      <c r="CG77" s="45" t="s">
        <v>16</v>
      </c>
      <c r="CH77" s="46" t="str">
        <f>IF(VLOOKUP(CG77,βοηθητικό!$J$2:$N$354,3,FALSE)="","",VLOOKUP(CG77,βοηθητικό!$J$2:$N$354,3,FALSE))</f>
        <v>_</v>
      </c>
      <c r="CI77" s="47"/>
      <c r="CJ77" s="42" t="s">
        <v>16</v>
      </c>
      <c r="CK77" s="43" t="str">
        <f>IF(VLOOKUP(CJ77,βοηθητικό!$J$2:$N$354,3,FALSE)="","",VLOOKUP(CJ77,βοηθητικό!$J$2:$N$354,3,FALSE))</f>
        <v>_</v>
      </c>
      <c r="CL77" s="44"/>
      <c r="CM77" s="45" t="s">
        <v>16</v>
      </c>
      <c r="CN77" s="46" t="str">
        <f>IF(VLOOKUP(CM77,βοηθητικό!$J$2:$N$354,3,FALSE)="","",VLOOKUP(CM77,βοηθητικό!$J$2:$N$354,3,FALSE))</f>
        <v>_</v>
      </c>
      <c r="CO77" s="47"/>
      <c r="CP77" s="42" t="s">
        <v>16</v>
      </c>
      <c r="CQ77" s="43" t="str">
        <f>IF(VLOOKUP(CP77,βοηθητικό!$J$2:$N$354,3,FALSE)="","",VLOOKUP(CP77,βοηθητικό!$J$2:$N$354,3,FALSE))</f>
        <v>_</v>
      </c>
      <c r="CR77" s="44"/>
      <c r="CS77" s="45" t="s">
        <v>16</v>
      </c>
      <c r="CT77" s="46" t="str">
        <f>IF(VLOOKUP(CS77,βοηθητικό!$J$2:$N$354,3,FALSE)="","",VLOOKUP(CS77,βοηθητικό!$J$2:$N$354,3,FALSE))</f>
        <v>_</v>
      </c>
      <c r="CU77" s="47"/>
    </row>
    <row r="78" spans="1:99" x14ac:dyDescent="0.25">
      <c r="A78" s="37">
        <f>--SUBTOTAL(3,$B$3:B77)</f>
        <v>75</v>
      </c>
      <c r="B78" s="68">
        <v>45131</v>
      </c>
      <c r="C78" s="69">
        <v>45137</v>
      </c>
      <c r="D78" s="58" t="s">
        <v>45</v>
      </c>
      <c r="E78" s="38" t="s">
        <v>16</v>
      </c>
      <c r="F78" s="38" t="s">
        <v>16</v>
      </c>
      <c r="G78" s="39" t="str">
        <f t="shared" si="5"/>
        <v>__</v>
      </c>
      <c r="H78" s="40" t="str">
        <f t="shared" si="6"/>
        <v>FALSE</v>
      </c>
      <c r="I78" s="41">
        <f t="shared" si="7"/>
        <v>6</v>
      </c>
      <c r="J78" s="4" t="s">
        <v>553</v>
      </c>
      <c r="K78" s="43" t="str">
        <f>IF(VLOOKUP(J78,βοηθητικό!$J$2:$N$354,3,FALSE)="","",VLOOKUP(J78,βοηθητικό!$J$2:$N$354,3,FALSE))</f>
        <v>6974882019</v>
      </c>
      <c r="L78" s="44"/>
      <c r="M78" s="5" t="s">
        <v>494</v>
      </c>
      <c r="N78" s="46" t="str">
        <f>IF(VLOOKUP(M78,βοηθητικό!$J$2:$N$354,3,FALSE)="","",VLOOKUP(M78,βοηθητικό!$J$2:$N$354,3,FALSE))</f>
        <v>6972015302</v>
      </c>
      <c r="O78" s="47"/>
      <c r="P78" s="4" t="s">
        <v>573</v>
      </c>
      <c r="Q78" s="43" t="str">
        <f>IF(VLOOKUP(P78,βοηθητικό!$J$2:$N$354,3,FALSE)="","",VLOOKUP(P78,βοηθητικό!$J$2:$N$354,3,FALSE))</f>
        <v>6978010154</v>
      </c>
      <c r="R78" s="44"/>
      <c r="S78" s="5" t="s">
        <v>479</v>
      </c>
      <c r="T78" s="46" t="str">
        <f>IF(VLOOKUP(S78,βοηθητικό!$J$2:$N$354,3,FALSE)="","",VLOOKUP(S78,βοηθητικό!$J$2:$N$354,3,FALSE))</f>
        <v>6977298022</v>
      </c>
      <c r="U78" s="47"/>
      <c r="V78" s="4" t="s">
        <v>474</v>
      </c>
      <c r="W78" s="43" t="str">
        <f>IF(VLOOKUP(V78,βοηθητικό!$J$2:$N$354,3,FALSE)="","",VLOOKUP(V78,βοηθητικό!$J$2:$N$354,3,FALSE))</f>
        <v>6955448080</v>
      </c>
      <c r="X78" s="44"/>
      <c r="Y78" s="5" t="s">
        <v>519</v>
      </c>
      <c r="Z78" s="46" t="str">
        <f>IF(VLOOKUP(Y78,βοηθητικό!$J$2:$N$354,3,FALSE)="","",VLOOKUP(Y78,βοηθητικό!$J$2:$N$354,3,FALSE))</f>
        <v>6942712190</v>
      </c>
      <c r="AA78" s="47"/>
      <c r="AB78" s="4" t="s">
        <v>16</v>
      </c>
      <c r="AC78" s="43" t="str">
        <f>IF(VLOOKUP(AB78,βοηθητικό!$J$2:$N$354,3,FALSE)="","",VLOOKUP(AB78,βοηθητικό!$J$2:$N$354,3,FALSE))</f>
        <v>_</v>
      </c>
      <c r="AD78" s="44"/>
      <c r="AE78" s="5" t="s">
        <v>16</v>
      </c>
      <c r="AF78" s="46" t="str">
        <f>IF(VLOOKUP(AE78,βοηθητικό!$J$2:$N$354,3,FALSE)="","",VLOOKUP(AE78,βοηθητικό!$J$2:$N$354,3,FALSE))</f>
        <v>_</v>
      </c>
      <c r="AG78" s="47"/>
      <c r="AH78" s="4" t="s">
        <v>16</v>
      </c>
      <c r="AI78" s="43" t="str">
        <f>IF(VLOOKUP(AH78,βοηθητικό!$J$2:$N$354,3,FALSE)="","",VLOOKUP(AH78,βοηθητικό!$J$2:$N$354,3,FALSE))</f>
        <v>_</v>
      </c>
      <c r="AJ78" s="44"/>
      <c r="AK78" s="5" t="s">
        <v>16</v>
      </c>
      <c r="AL78" s="46" t="str">
        <f>IF(VLOOKUP(AK78,βοηθητικό!$J$2:$N$354,3,FALSE)="","",VLOOKUP(AK78,βοηθητικό!$J$2:$N$354,3,FALSE))</f>
        <v>_</v>
      </c>
      <c r="AM78" s="47"/>
      <c r="AN78" s="4" t="s">
        <v>16</v>
      </c>
      <c r="AO78" s="43" t="str">
        <f>IF(VLOOKUP(AN78,βοηθητικό!$J$2:$N$354,3,FALSE)="","",VLOOKUP(AN78,βοηθητικό!$J$2:$N$354,3,FALSE))</f>
        <v>_</v>
      </c>
      <c r="AP78" s="44"/>
      <c r="AQ78" s="5" t="s">
        <v>16</v>
      </c>
      <c r="AR78" s="46" t="str">
        <f>IF(VLOOKUP(AQ78,βοηθητικό!$J$2:$N$354,3,FALSE)="","",VLOOKUP(AQ78,βοηθητικό!$J$2:$N$354,3,FALSE))</f>
        <v>_</v>
      </c>
      <c r="AS78" s="47"/>
      <c r="AT78" s="4" t="s">
        <v>16</v>
      </c>
      <c r="AU78" s="43" t="str">
        <f>IF(VLOOKUP(AT78,βοηθητικό!$J$2:$N$354,3,FALSE)="","",VLOOKUP(AT78,βοηθητικό!$J$2:$N$354,3,FALSE))</f>
        <v>_</v>
      </c>
      <c r="AV78" s="44"/>
      <c r="AW78" s="5" t="s">
        <v>16</v>
      </c>
      <c r="AX78" s="46" t="str">
        <f>IF(VLOOKUP(AW78,βοηθητικό!$J$2:$N$354,3,FALSE)="","",VLOOKUP(AW78,βοηθητικό!$J$2:$N$354,3,FALSE))</f>
        <v>_</v>
      </c>
      <c r="AY78" s="47"/>
      <c r="AZ78" s="4" t="s">
        <v>16</v>
      </c>
      <c r="BA78" s="43" t="str">
        <f>IF(VLOOKUP(AZ78,βοηθητικό!$J$2:$N$354,3,FALSE)="","",VLOOKUP(AZ78,βοηθητικό!$J$2:$N$354,3,FALSE))</f>
        <v>_</v>
      </c>
      <c r="BB78" s="44"/>
      <c r="BC78" s="45" t="s">
        <v>16</v>
      </c>
      <c r="BD78" s="46" t="str">
        <f>IF(VLOOKUP(BC78,βοηθητικό!$J$2:$N$354,3,FALSE)="","",VLOOKUP(BC78,βοηθητικό!$J$2:$N$354,3,FALSE))</f>
        <v>_</v>
      </c>
      <c r="BE78" s="47"/>
      <c r="BF78" s="42" t="s">
        <v>16</v>
      </c>
      <c r="BG78" s="43" t="str">
        <f>IF(VLOOKUP(BF78,βοηθητικό!$J$2:$N$354,3,FALSE)="","",VLOOKUP(BF78,βοηθητικό!$J$2:$N$354,3,FALSE))</f>
        <v>_</v>
      </c>
      <c r="BH78" s="44"/>
      <c r="BI78" s="45" t="s">
        <v>16</v>
      </c>
      <c r="BJ78" s="46" t="str">
        <f>IF(VLOOKUP(BI78,βοηθητικό!$J$2:$N$354,3,FALSE)="","",VLOOKUP(BI78,βοηθητικό!$J$2:$N$354,3,FALSE))</f>
        <v>_</v>
      </c>
      <c r="BK78" s="47"/>
      <c r="BL78" s="42" t="s">
        <v>16</v>
      </c>
      <c r="BM78" s="43" t="str">
        <f>IF(VLOOKUP(BL78,βοηθητικό!$J$2:$N$354,3,FALSE)="","",VLOOKUP(BL78,βοηθητικό!$J$2:$N$354,3,FALSE))</f>
        <v>_</v>
      </c>
      <c r="BN78" s="44"/>
      <c r="BO78" s="45" t="s">
        <v>16</v>
      </c>
      <c r="BP78" s="46" t="str">
        <f>IF(VLOOKUP(BO78,βοηθητικό!$J$2:$N$354,3,FALSE)="","",VLOOKUP(BO78,βοηθητικό!$J$2:$N$354,3,FALSE))</f>
        <v>_</v>
      </c>
      <c r="BQ78" s="47"/>
      <c r="BR78" s="42" t="s">
        <v>16</v>
      </c>
      <c r="BS78" s="43" t="str">
        <f>IF(VLOOKUP(BR78,βοηθητικό!$J$2:$N$354,3,FALSE)="","",VLOOKUP(BR78,βοηθητικό!$J$2:$N$354,3,FALSE))</f>
        <v>_</v>
      </c>
      <c r="BT78" s="44"/>
      <c r="BU78" s="45" t="s">
        <v>16</v>
      </c>
      <c r="BV78" s="46" t="str">
        <f>IF(VLOOKUP(BU78,βοηθητικό!$J$2:$N$354,3,FALSE)="","",VLOOKUP(BU78,βοηθητικό!$J$2:$N$354,3,FALSE))</f>
        <v>_</v>
      </c>
      <c r="BW78" s="47"/>
      <c r="BX78" s="42" t="s">
        <v>16</v>
      </c>
      <c r="BY78" s="43" t="str">
        <f>IF(VLOOKUP(BX78,βοηθητικό!$J$2:$N$354,3,FALSE)="","",VLOOKUP(BX78,βοηθητικό!$J$2:$N$354,3,FALSE))</f>
        <v>_</v>
      </c>
      <c r="BZ78" s="44"/>
      <c r="CA78" s="45" t="s">
        <v>16</v>
      </c>
      <c r="CB78" s="46" t="str">
        <f>IF(VLOOKUP(CA78,βοηθητικό!$J$2:$N$354,3,FALSE)="","",VLOOKUP(CA78,βοηθητικό!$J$2:$N$354,3,FALSE))</f>
        <v>_</v>
      </c>
      <c r="CC78" s="47"/>
      <c r="CD78" s="42" t="s">
        <v>16</v>
      </c>
      <c r="CE78" s="43" t="str">
        <f>IF(VLOOKUP(CD78,βοηθητικό!$J$2:$N$354,3,FALSE)="","",VLOOKUP(CD78,βοηθητικό!$J$2:$N$354,3,FALSE))</f>
        <v>_</v>
      </c>
      <c r="CF78" s="44"/>
      <c r="CG78" s="45" t="s">
        <v>16</v>
      </c>
      <c r="CH78" s="46" t="str">
        <f>IF(VLOOKUP(CG78,βοηθητικό!$J$2:$N$354,3,FALSE)="","",VLOOKUP(CG78,βοηθητικό!$J$2:$N$354,3,FALSE))</f>
        <v>_</v>
      </c>
      <c r="CI78" s="47"/>
      <c r="CJ78" s="42" t="s">
        <v>16</v>
      </c>
      <c r="CK78" s="43" t="str">
        <f>IF(VLOOKUP(CJ78,βοηθητικό!$J$2:$N$354,3,FALSE)="","",VLOOKUP(CJ78,βοηθητικό!$J$2:$N$354,3,FALSE))</f>
        <v>_</v>
      </c>
      <c r="CL78" s="44"/>
      <c r="CM78" s="45" t="s">
        <v>16</v>
      </c>
      <c r="CN78" s="46" t="str">
        <f>IF(VLOOKUP(CM78,βοηθητικό!$J$2:$N$354,3,FALSE)="","",VLOOKUP(CM78,βοηθητικό!$J$2:$N$354,3,FALSE))</f>
        <v>_</v>
      </c>
      <c r="CO78" s="47"/>
      <c r="CP78" s="42" t="s">
        <v>16</v>
      </c>
      <c r="CQ78" s="43" t="str">
        <f>IF(VLOOKUP(CP78,βοηθητικό!$J$2:$N$354,3,FALSE)="","",VLOOKUP(CP78,βοηθητικό!$J$2:$N$354,3,FALSE))</f>
        <v>_</v>
      </c>
      <c r="CR78" s="44"/>
      <c r="CS78" s="45" t="s">
        <v>16</v>
      </c>
      <c r="CT78" s="46" t="str">
        <f>IF(VLOOKUP(CS78,βοηθητικό!$J$2:$N$354,3,FALSE)="","",VLOOKUP(CS78,βοηθητικό!$J$2:$N$354,3,FALSE))</f>
        <v>_</v>
      </c>
      <c r="CU78" s="47"/>
    </row>
    <row r="79" spans="1:99" x14ac:dyDescent="0.25">
      <c r="A79" s="37">
        <f>--SUBTOTAL(3,$B$3:B78)</f>
        <v>76</v>
      </c>
      <c r="B79" s="68">
        <v>45110</v>
      </c>
      <c r="C79" s="69">
        <v>45116</v>
      </c>
      <c r="D79" s="57" t="s">
        <v>64</v>
      </c>
      <c r="E79" s="38" t="s">
        <v>16</v>
      </c>
      <c r="F79" s="38" t="s">
        <v>16</v>
      </c>
      <c r="G79" s="39" t="str">
        <f t="shared" si="5"/>
        <v>__</v>
      </c>
      <c r="H79" s="40" t="str">
        <f t="shared" si="6"/>
        <v>FALSE</v>
      </c>
      <c r="I79" s="41">
        <f t="shared" si="7"/>
        <v>7</v>
      </c>
      <c r="J79" s="4" t="s">
        <v>623</v>
      </c>
      <c r="K79" s="43" t="str">
        <f>IF(VLOOKUP(J79,βοηθητικό!$J$2:$N$354,3,FALSE)="","",VLOOKUP(J79,βοηθητικό!$J$2:$N$354,3,FALSE))</f>
        <v>6909870019</v>
      </c>
      <c r="L79" s="44"/>
      <c r="M79" s="5" t="s">
        <v>635</v>
      </c>
      <c r="N79" s="46" t="str">
        <f>IF(VLOOKUP(M79,βοηθητικό!$J$2:$N$354,3,FALSE)="","",VLOOKUP(M79,βοηθητικό!$J$2:$N$354,3,FALSE))</f>
        <v>6973762408 6972105023</v>
      </c>
      <c r="O79" s="47"/>
      <c r="P79" s="4" t="s">
        <v>656</v>
      </c>
      <c r="Q79" s="43" t="str">
        <f>IF(VLOOKUP(P79,βοηθητικό!$J$2:$N$354,3,FALSE)="","",VLOOKUP(P79,βοηθητικό!$J$2:$N$354,3,FALSE))</f>
        <v>6937323523</v>
      </c>
      <c r="R79" s="44"/>
      <c r="S79" s="5" t="s">
        <v>684</v>
      </c>
      <c r="T79" s="46" t="str">
        <f>IF(VLOOKUP(S79,βοηθητικό!$J$2:$N$354,3,FALSE)="","",VLOOKUP(S79,βοηθητικό!$J$2:$N$354,3,FALSE))</f>
        <v>6945186177</v>
      </c>
      <c r="U79" s="47"/>
      <c r="V79" s="4" t="s">
        <v>688</v>
      </c>
      <c r="W79" s="43">
        <f>IF(VLOOKUP(V79,βοηθητικό!$J$2:$N$354,3,FALSE)="","",VLOOKUP(V79,βοηθητικό!$J$2:$N$354,3,FALSE))</f>
        <v>6945919391</v>
      </c>
      <c r="X79" s="44"/>
      <c r="Y79" s="5" t="s">
        <v>729</v>
      </c>
      <c r="Z79" s="46">
        <f>IF(VLOOKUP(Y79,βοηθητικό!$J$2:$N$354,3,FALSE)="","",VLOOKUP(Y79,βοηθητικό!$J$2:$N$354,3,FALSE))</f>
        <v>6971762883</v>
      </c>
      <c r="AA79" s="47"/>
      <c r="AB79" s="4" t="s">
        <v>739</v>
      </c>
      <c r="AC79" s="43">
        <f>IF(VLOOKUP(AB79,βοηθητικό!$J$2:$N$354,3,FALSE)="","",VLOOKUP(AB79,βοηθητικό!$J$2:$N$354,3,FALSE))</f>
        <v>6974746709</v>
      </c>
      <c r="AD79" s="44"/>
      <c r="AE79" s="5" t="s">
        <v>16</v>
      </c>
      <c r="AF79" s="46" t="str">
        <f>IF(VLOOKUP(AE79,βοηθητικό!$J$2:$N$354,3,FALSE)="","",VLOOKUP(AE79,βοηθητικό!$J$2:$N$354,3,FALSE))</f>
        <v>_</v>
      </c>
      <c r="AG79" s="47"/>
      <c r="AH79" s="4" t="s">
        <v>16</v>
      </c>
      <c r="AI79" s="43" t="str">
        <f>IF(VLOOKUP(AH79,βοηθητικό!$J$2:$N$354,3,FALSE)="","",VLOOKUP(AH79,βοηθητικό!$J$2:$N$354,3,FALSE))</f>
        <v>_</v>
      </c>
      <c r="AJ79" s="44"/>
      <c r="AK79" s="5" t="s">
        <v>16</v>
      </c>
      <c r="AL79" s="46" t="str">
        <f>IF(VLOOKUP(AK79,βοηθητικό!$J$2:$N$354,3,FALSE)="","",VLOOKUP(AK79,βοηθητικό!$J$2:$N$354,3,FALSE))</f>
        <v>_</v>
      </c>
      <c r="AM79" s="47"/>
      <c r="AN79" s="4" t="s">
        <v>16</v>
      </c>
      <c r="AO79" s="43" t="str">
        <f>IF(VLOOKUP(AN79,βοηθητικό!$J$2:$N$354,3,FALSE)="","",VLOOKUP(AN79,βοηθητικό!$J$2:$N$354,3,FALSE))</f>
        <v>_</v>
      </c>
      <c r="AP79" s="44"/>
      <c r="AQ79" s="5" t="s">
        <v>16</v>
      </c>
      <c r="AR79" s="46" t="str">
        <f>IF(VLOOKUP(AQ79,βοηθητικό!$J$2:$N$354,3,FALSE)="","",VLOOKUP(AQ79,βοηθητικό!$J$2:$N$354,3,FALSE))</f>
        <v>_</v>
      </c>
      <c r="AS79" s="47"/>
      <c r="AT79" s="4" t="s">
        <v>16</v>
      </c>
      <c r="AU79" s="43" t="str">
        <f>IF(VLOOKUP(AT79,βοηθητικό!$J$2:$N$354,3,FALSE)="","",VLOOKUP(AT79,βοηθητικό!$J$2:$N$354,3,FALSE))</f>
        <v>_</v>
      </c>
      <c r="AV79" s="44"/>
      <c r="AW79" s="5" t="s">
        <v>16</v>
      </c>
      <c r="AX79" s="46" t="str">
        <f>IF(VLOOKUP(AW79,βοηθητικό!$J$2:$N$354,3,FALSE)="","",VLOOKUP(AW79,βοηθητικό!$J$2:$N$354,3,FALSE))</f>
        <v>_</v>
      </c>
      <c r="AY79" s="47"/>
      <c r="AZ79" s="4" t="s">
        <v>16</v>
      </c>
      <c r="BA79" s="43" t="str">
        <f>IF(VLOOKUP(AZ79,βοηθητικό!$J$2:$N$354,3,FALSE)="","",VLOOKUP(AZ79,βοηθητικό!$J$2:$N$354,3,FALSE))</f>
        <v>_</v>
      </c>
      <c r="BB79" s="44"/>
      <c r="BC79" s="45" t="s">
        <v>16</v>
      </c>
      <c r="BD79" s="46" t="str">
        <f>IF(VLOOKUP(BC79,βοηθητικό!$J$2:$N$354,3,FALSE)="","",VLOOKUP(BC79,βοηθητικό!$J$2:$N$354,3,FALSE))</f>
        <v>_</v>
      </c>
      <c r="BE79" s="47"/>
      <c r="BF79" s="42" t="s">
        <v>16</v>
      </c>
      <c r="BG79" s="43" t="str">
        <f>IF(VLOOKUP(BF79,βοηθητικό!$J$2:$N$354,3,FALSE)="","",VLOOKUP(BF79,βοηθητικό!$J$2:$N$354,3,FALSE))</f>
        <v>_</v>
      </c>
      <c r="BH79" s="44"/>
      <c r="BI79" s="45" t="s">
        <v>16</v>
      </c>
      <c r="BJ79" s="46" t="str">
        <f>IF(VLOOKUP(BI79,βοηθητικό!$J$2:$N$354,3,FALSE)="","",VLOOKUP(BI79,βοηθητικό!$J$2:$N$354,3,FALSE))</f>
        <v>_</v>
      </c>
      <c r="BK79" s="47"/>
      <c r="BL79" s="42" t="s">
        <v>16</v>
      </c>
      <c r="BM79" s="43" t="str">
        <f>IF(VLOOKUP(BL79,βοηθητικό!$J$2:$N$354,3,FALSE)="","",VLOOKUP(BL79,βοηθητικό!$J$2:$N$354,3,FALSE))</f>
        <v>_</v>
      </c>
      <c r="BN79" s="44"/>
      <c r="BO79" s="45" t="s">
        <v>16</v>
      </c>
      <c r="BP79" s="46" t="str">
        <f>IF(VLOOKUP(BO79,βοηθητικό!$J$2:$N$354,3,FALSE)="","",VLOOKUP(BO79,βοηθητικό!$J$2:$N$354,3,FALSE))</f>
        <v>_</v>
      </c>
      <c r="BQ79" s="47"/>
      <c r="BR79" s="42" t="s">
        <v>16</v>
      </c>
      <c r="BS79" s="43" t="str">
        <f>IF(VLOOKUP(BR79,βοηθητικό!$J$2:$N$354,3,FALSE)="","",VLOOKUP(BR79,βοηθητικό!$J$2:$N$354,3,FALSE))</f>
        <v>_</v>
      </c>
      <c r="BT79" s="44"/>
      <c r="BU79" s="45" t="s">
        <v>16</v>
      </c>
      <c r="BV79" s="46" t="str">
        <f>IF(VLOOKUP(BU79,βοηθητικό!$J$2:$N$354,3,FALSE)="","",VLOOKUP(BU79,βοηθητικό!$J$2:$N$354,3,FALSE))</f>
        <v>_</v>
      </c>
      <c r="BW79" s="47"/>
      <c r="BX79" s="42" t="s">
        <v>16</v>
      </c>
      <c r="BY79" s="43" t="str">
        <f>IF(VLOOKUP(BX79,βοηθητικό!$J$2:$N$354,3,FALSE)="","",VLOOKUP(BX79,βοηθητικό!$J$2:$N$354,3,FALSE))</f>
        <v>_</v>
      </c>
      <c r="BZ79" s="44"/>
      <c r="CA79" s="45" t="s">
        <v>16</v>
      </c>
      <c r="CB79" s="46" t="str">
        <f>IF(VLOOKUP(CA79,βοηθητικό!$J$2:$N$354,3,FALSE)="","",VLOOKUP(CA79,βοηθητικό!$J$2:$N$354,3,FALSE))</f>
        <v>_</v>
      </c>
      <c r="CC79" s="47"/>
      <c r="CD79" s="42" t="s">
        <v>16</v>
      </c>
      <c r="CE79" s="43" t="str">
        <f>IF(VLOOKUP(CD79,βοηθητικό!$J$2:$N$354,3,FALSE)="","",VLOOKUP(CD79,βοηθητικό!$J$2:$N$354,3,FALSE))</f>
        <v>_</v>
      </c>
      <c r="CF79" s="44"/>
      <c r="CG79" s="45" t="s">
        <v>16</v>
      </c>
      <c r="CH79" s="46" t="str">
        <f>IF(VLOOKUP(CG79,βοηθητικό!$J$2:$N$354,3,FALSE)="","",VLOOKUP(CG79,βοηθητικό!$J$2:$N$354,3,FALSE))</f>
        <v>_</v>
      </c>
      <c r="CI79" s="47"/>
      <c r="CJ79" s="42" t="s">
        <v>16</v>
      </c>
      <c r="CK79" s="43" t="str">
        <f>IF(VLOOKUP(CJ79,βοηθητικό!$J$2:$N$354,3,FALSE)="","",VLOOKUP(CJ79,βοηθητικό!$J$2:$N$354,3,FALSE))</f>
        <v>_</v>
      </c>
      <c r="CL79" s="44"/>
      <c r="CM79" s="45" t="s">
        <v>16</v>
      </c>
      <c r="CN79" s="46" t="str">
        <f>IF(VLOOKUP(CM79,βοηθητικό!$J$2:$N$354,3,FALSE)="","",VLOOKUP(CM79,βοηθητικό!$J$2:$N$354,3,FALSE))</f>
        <v>_</v>
      </c>
      <c r="CO79" s="47"/>
      <c r="CP79" s="42" t="s">
        <v>16</v>
      </c>
      <c r="CQ79" s="43" t="str">
        <f>IF(VLOOKUP(CP79,βοηθητικό!$J$2:$N$354,3,FALSE)="","",VLOOKUP(CP79,βοηθητικό!$J$2:$N$354,3,FALSE))</f>
        <v>_</v>
      </c>
      <c r="CR79" s="44"/>
      <c r="CS79" s="45" t="s">
        <v>16</v>
      </c>
      <c r="CT79" s="46" t="str">
        <f>IF(VLOOKUP(CS79,βοηθητικό!$J$2:$N$354,3,FALSE)="","",VLOOKUP(CS79,βοηθητικό!$J$2:$N$354,3,FALSE))</f>
        <v>_</v>
      </c>
      <c r="CU79" s="47"/>
    </row>
    <row r="80" spans="1:99" x14ac:dyDescent="0.25">
      <c r="A80" s="37">
        <f>--SUBTOTAL(3,$B$3:B79)</f>
        <v>77</v>
      </c>
      <c r="B80" s="68">
        <v>45117</v>
      </c>
      <c r="C80" s="69">
        <v>45123</v>
      </c>
      <c r="D80" s="57" t="s">
        <v>64</v>
      </c>
      <c r="E80" s="38" t="s">
        <v>16</v>
      </c>
      <c r="F80" s="38" t="s">
        <v>16</v>
      </c>
      <c r="G80" s="39" t="str">
        <f t="shared" si="5"/>
        <v>__</v>
      </c>
      <c r="H80" s="40" t="str">
        <f t="shared" si="6"/>
        <v>FALSE</v>
      </c>
      <c r="I80" s="41">
        <f t="shared" si="7"/>
        <v>7</v>
      </c>
      <c r="J80" s="4" t="s">
        <v>630</v>
      </c>
      <c r="K80" s="43" t="str">
        <f>IF(VLOOKUP(J80,βοηθητικό!$J$2:$N$354,3,FALSE)="","",VLOOKUP(J80,βοηθητικό!$J$2:$N$354,3,FALSE))</f>
        <v>6973050287</v>
      </c>
      <c r="L80" s="44"/>
      <c r="M80" s="5" t="s">
        <v>647</v>
      </c>
      <c r="N80" s="46">
        <f>IF(VLOOKUP(M80,βοηθητικό!$J$2:$N$354,3,FALSE)="","",VLOOKUP(M80,βοηθητικό!$J$2:$N$354,3,FALSE))</f>
        <v>6977248108</v>
      </c>
      <c r="O80" s="47"/>
      <c r="P80" s="4" t="s">
        <v>669</v>
      </c>
      <c r="Q80" s="43" t="str">
        <f>IF(VLOOKUP(P80,βοηθητικό!$J$2:$N$354,3,FALSE)="","",VLOOKUP(P80,βοηθητικό!$J$2:$N$354,3,FALSE))</f>
        <v>6976005555</v>
      </c>
      <c r="R80" s="44"/>
      <c r="S80" s="5" t="s">
        <v>713</v>
      </c>
      <c r="T80" s="46" t="str">
        <f>IF(VLOOKUP(S80,βοηθητικό!$J$2:$N$354,3,FALSE)="","",VLOOKUP(S80,βοηθητικό!$J$2:$N$354,3,FALSE))</f>
        <v>6978988086</v>
      </c>
      <c r="U80" s="47"/>
      <c r="V80" s="4" t="s">
        <v>725</v>
      </c>
      <c r="W80" s="43" t="str">
        <f>IF(VLOOKUP(V80,βοηθητικό!$J$2:$N$354,3,FALSE)="","",VLOOKUP(V80,βοηθητικό!$J$2:$N$354,3,FALSE))</f>
        <v>6948851335</v>
      </c>
      <c r="X80" s="44"/>
      <c r="Y80" s="5" t="s">
        <v>743</v>
      </c>
      <c r="Z80" s="46">
        <f>IF(VLOOKUP(Y80,βοηθητικό!$J$2:$N$354,3,FALSE)="","",VLOOKUP(Y80,βοηθητικό!$J$2:$N$354,3,FALSE))</f>
        <v>6977584355</v>
      </c>
      <c r="AA80" s="47"/>
      <c r="AB80" s="4" t="s">
        <v>747</v>
      </c>
      <c r="AC80" s="43">
        <f>IF(VLOOKUP(AB80,βοηθητικό!$J$2:$N$354,3,FALSE)="","",VLOOKUP(AB80,βοηθητικό!$J$2:$N$354,3,FALSE))</f>
        <v>6945552422</v>
      </c>
      <c r="AD80" s="44"/>
      <c r="AE80" s="5" t="s">
        <v>16</v>
      </c>
      <c r="AF80" s="46" t="str">
        <f>IF(VLOOKUP(AE80,βοηθητικό!$J$2:$N$354,3,FALSE)="","",VLOOKUP(AE80,βοηθητικό!$J$2:$N$354,3,FALSE))</f>
        <v>_</v>
      </c>
      <c r="AG80" s="47"/>
      <c r="AH80" s="4" t="s">
        <v>16</v>
      </c>
      <c r="AI80" s="43" t="str">
        <f>IF(VLOOKUP(AH80,βοηθητικό!$J$2:$N$354,3,FALSE)="","",VLOOKUP(AH80,βοηθητικό!$J$2:$N$354,3,FALSE))</f>
        <v>_</v>
      </c>
      <c r="AJ80" s="44"/>
      <c r="AK80" s="5" t="s">
        <v>16</v>
      </c>
      <c r="AL80" s="46" t="str">
        <f>IF(VLOOKUP(AK80,βοηθητικό!$J$2:$N$354,3,FALSE)="","",VLOOKUP(AK80,βοηθητικό!$J$2:$N$354,3,FALSE))</f>
        <v>_</v>
      </c>
      <c r="AM80" s="47"/>
      <c r="AN80" s="4" t="s">
        <v>16</v>
      </c>
      <c r="AO80" s="43" t="str">
        <f>IF(VLOOKUP(AN80,βοηθητικό!$J$2:$N$354,3,FALSE)="","",VLOOKUP(AN80,βοηθητικό!$J$2:$N$354,3,FALSE))</f>
        <v>_</v>
      </c>
      <c r="AP80" s="44"/>
      <c r="AQ80" s="5" t="s">
        <v>16</v>
      </c>
      <c r="AR80" s="46" t="str">
        <f>IF(VLOOKUP(AQ80,βοηθητικό!$J$2:$N$354,3,FALSE)="","",VLOOKUP(AQ80,βοηθητικό!$J$2:$N$354,3,FALSE))</f>
        <v>_</v>
      </c>
      <c r="AS80" s="47"/>
      <c r="AT80" s="4" t="s">
        <v>16</v>
      </c>
      <c r="AU80" s="43" t="str">
        <f>IF(VLOOKUP(AT80,βοηθητικό!$J$2:$N$354,3,FALSE)="","",VLOOKUP(AT80,βοηθητικό!$J$2:$N$354,3,FALSE))</f>
        <v>_</v>
      </c>
      <c r="AV80" s="44"/>
      <c r="AW80" s="5" t="s">
        <v>16</v>
      </c>
      <c r="AX80" s="46" t="str">
        <f>IF(VLOOKUP(AW80,βοηθητικό!$J$2:$N$354,3,FALSE)="","",VLOOKUP(AW80,βοηθητικό!$J$2:$N$354,3,FALSE))</f>
        <v>_</v>
      </c>
      <c r="AY80" s="47"/>
      <c r="AZ80" s="4" t="s">
        <v>16</v>
      </c>
      <c r="BA80" s="43" t="str">
        <f>IF(VLOOKUP(AZ80,βοηθητικό!$J$2:$N$354,3,FALSE)="","",VLOOKUP(AZ80,βοηθητικό!$J$2:$N$354,3,FALSE))</f>
        <v>_</v>
      </c>
      <c r="BB80" s="44"/>
      <c r="BC80" s="45" t="s">
        <v>16</v>
      </c>
      <c r="BD80" s="46" t="str">
        <f>IF(VLOOKUP(BC80,βοηθητικό!$J$2:$N$354,3,FALSE)="","",VLOOKUP(BC80,βοηθητικό!$J$2:$N$354,3,FALSE))</f>
        <v>_</v>
      </c>
      <c r="BE80" s="47"/>
      <c r="BF80" s="42" t="s">
        <v>16</v>
      </c>
      <c r="BG80" s="43" t="str">
        <f>IF(VLOOKUP(BF80,βοηθητικό!$J$2:$N$354,3,FALSE)="","",VLOOKUP(BF80,βοηθητικό!$J$2:$N$354,3,FALSE))</f>
        <v>_</v>
      </c>
      <c r="BH80" s="44"/>
      <c r="BI80" s="45" t="s">
        <v>16</v>
      </c>
      <c r="BJ80" s="46" t="str">
        <f>IF(VLOOKUP(BI80,βοηθητικό!$J$2:$N$354,3,FALSE)="","",VLOOKUP(BI80,βοηθητικό!$J$2:$N$354,3,FALSE))</f>
        <v>_</v>
      </c>
      <c r="BK80" s="47"/>
      <c r="BL80" s="42" t="s">
        <v>16</v>
      </c>
      <c r="BM80" s="43" t="str">
        <f>IF(VLOOKUP(BL80,βοηθητικό!$J$2:$N$354,3,FALSE)="","",VLOOKUP(BL80,βοηθητικό!$J$2:$N$354,3,FALSE))</f>
        <v>_</v>
      </c>
      <c r="BN80" s="44"/>
      <c r="BO80" s="45" t="s">
        <v>16</v>
      </c>
      <c r="BP80" s="46" t="str">
        <f>IF(VLOOKUP(BO80,βοηθητικό!$J$2:$N$354,3,FALSE)="","",VLOOKUP(BO80,βοηθητικό!$J$2:$N$354,3,FALSE))</f>
        <v>_</v>
      </c>
      <c r="BQ80" s="47"/>
      <c r="BR80" s="42" t="s">
        <v>16</v>
      </c>
      <c r="BS80" s="43" t="str">
        <f>IF(VLOOKUP(BR80,βοηθητικό!$J$2:$N$354,3,FALSE)="","",VLOOKUP(BR80,βοηθητικό!$J$2:$N$354,3,FALSE))</f>
        <v>_</v>
      </c>
      <c r="BT80" s="44"/>
      <c r="BU80" s="45" t="s">
        <v>16</v>
      </c>
      <c r="BV80" s="46" t="str">
        <f>IF(VLOOKUP(BU80,βοηθητικό!$J$2:$N$354,3,FALSE)="","",VLOOKUP(BU80,βοηθητικό!$J$2:$N$354,3,FALSE))</f>
        <v>_</v>
      </c>
      <c r="BW80" s="47"/>
      <c r="BX80" s="42" t="s">
        <v>16</v>
      </c>
      <c r="BY80" s="43" t="str">
        <f>IF(VLOOKUP(BX80,βοηθητικό!$J$2:$N$354,3,FALSE)="","",VLOOKUP(BX80,βοηθητικό!$J$2:$N$354,3,FALSE))</f>
        <v>_</v>
      </c>
      <c r="BZ80" s="44"/>
      <c r="CA80" s="45" t="s">
        <v>16</v>
      </c>
      <c r="CB80" s="46" t="str">
        <f>IF(VLOOKUP(CA80,βοηθητικό!$J$2:$N$354,3,FALSE)="","",VLOOKUP(CA80,βοηθητικό!$J$2:$N$354,3,FALSE))</f>
        <v>_</v>
      </c>
      <c r="CC80" s="47"/>
      <c r="CD80" s="42" t="s">
        <v>16</v>
      </c>
      <c r="CE80" s="43" t="str">
        <f>IF(VLOOKUP(CD80,βοηθητικό!$J$2:$N$354,3,FALSE)="","",VLOOKUP(CD80,βοηθητικό!$J$2:$N$354,3,FALSE))</f>
        <v>_</v>
      </c>
      <c r="CF80" s="44"/>
      <c r="CG80" s="45" t="s">
        <v>16</v>
      </c>
      <c r="CH80" s="46" t="str">
        <f>IF(VLOOKUP(CG80,βοηθητικό!$J$2:$N$354,3,FALSE)="","",VLOOKUP(CG80,βοηθητικό!$J$2:$N$354,3,FALSE))</f>
        <v>_</v>
      </c>
      <c r="CI80" s="47"/>
      <c r="CJ80" s="42" t="s">
        <v>16</v>
      </c>
      <c r="CK80" s="43" t="str">
        <f>IF(VLOOKUP(CJ80,βοηθητικό!$J$2:$N$354,3,FALSE)="","",VLOOKUP(CJ80,βοηθητικό!$J$2:$N$354,3,FALSE))</f>
        <v>_</v>
      </c>
      <c r="CL80" s="44"/>
      <c r="CM80" s="45" t="s">
        <v>16</v>
      </c>
      <c r="CN80" s="46" t="str">
        <f>IF(VLOOKUP(CM80,βοηθητικό!$J$2:$N$354,3,FALSE)="","",VLOOKUP(CM80,βοηθητικό!$J$2:$N$354,3,FALSE))</f>
        <v>_</v>
      </c>
      <c r="CO80" s="47"/>
      <c r="CP80" s="42" t="s">
        <v>16</v>
      </c>
      <c r="CQ80" s="43" t="str">
        <f>IF(VLOOKUP(CP80,βοηθητικό!$J$2:$N$354,3,FALSE)="","",VLOOKUP(CP80,βοηθητικό!$J$2:$N$354,3,FALSE))</f>
        <v>_</v>
      </c>
      <c r="CR80" s="44"/>
      <c r="CS80" s="45" t="s">
        <v>16</v>
      </c>
      <c r="CT80" s="46" t="str">
        <f>IF(VLOOKUP(CS80,βοηθητικό!$J$2:$N$354,3,FALSE)="","",VLOOKUP(CS80,βοηθητικό!$J$2:$N$354,3,FALSE))</f>
        <v>_</v>
      </c>
      <c r="CU80" s="47"/>
    </row>
    <row r="81" spans="1:99" x14ac:dyDescent="0.25">
      <c r="A81" s="37">
        <f>--SUBTOTAL(3,$B$3:B80)</f>
        <v>78</v>
      </c>
      <c r="B81" s="68">
        <v>45124</v>
      </c>
      <c r="C81" s="69">
        <v>45130</v>
      </c>
      <c r="D81" s="57" t="s">
        <v>64</v>
      </c>
      <c r="E81" s="38" t="s">
        <v>16</v>
      </c>
      <c r="F81" s="38" t="s">
        <v>16</v>
      </c>
      <c r="G81" s="39" t="str">
        <f t="shared" si="5"/>
        <v>__</v>
      </c>
      <c r="H81" s="40" t="str">
        <f t="shared" si="6"/>
        <v>FALSE</v>
      </c>
      <c r="I81" s="41">
        <f t="shared" si="7"/>
        <v>7</v>
      </c>
      <c r="J81" s="4" t="s">
        <v>612</v>
      </c>
      <c r="K81" s="43" t="str">
        <f>IF(VLOOKUP(J81,βοηθητικό!$J$2:$N$354,3,FALSE)="","",VLOOKUP(J81,βοηθητικό!$J$2:$N$354,3,FALSE))</f>
        <v>6998911942 6994433516</v>
      </c>
      <c r="L81" s="44"/>
      <c r="M81" s="5" t="s">
        <v>642</v>
      </c>
      <c r="N81" s="46">
        <f>IF(VLOOKUP(M81,βοηθητικό!$J$2:$N$354,3,FALSE)="","",VLOOKUP(M81,βοηθητικό!$J$2:$N$354,3,FALSE))</f>
        <v>6973305838</v>
      </c>
      <c r="O81" s="47"/>
      <c r="P81" s="4" t="s">
        <v>651</v>
      </c>
      <c r="Q81" s="43" t="str">
        <f>IF(VLOOKUP(P81,βοηθητικό!$J$2:$N$354,3,FALSE)="","",VLOOKUP(P81,βοηθητικό!$J$2:$N$354,3,FALSE))</f>
        <v>6973336452</v>
      </c>
      <c r="R81" s="44"/>
      <c r="S81" s="5" t="s">
        <v>663</v>
      </c>
      <c r="T81" s="46" t="str">
        <f>IF(VLOOKUP(S81,βοηθητικό!$J$2:$N$354,3,FALSE)="","",VLOOKUP(S81,βοηθητικό!$J$2:$N$354,3,FALSE))</f>
        <v>6972105023</v>
      </c>
      <c r="U81" s="47"/>
      <c r="V81" s="4" t="s">
        <v>703</v>
      </c>
      <c r="W81" s="43" t="str">
        <f>IF(VLOOKUP(V81,βοηθητικό!$J$2:$N$354,3,FALSE)="","",VLOOKUP(V81,βοηθητικό!$J$2:$N$354,3,FALSE))</f>
        <v>6971603158</v>
      </c>
      <c r="X81" s="44"/>
      <c r="Y81" s="5" t="s">
        <v>721</v>
      </c>
      <c r="Z81" s="46" t="str">
        <f>IF(VLOOKUP(Y81,βοηθητικό!$J$2:$N$354,3,FALSE)="","",VLOOKUP(Y81,βοηθητικό!$J$2:$N$354,3,FALSE))</f>
        <v>6947205702</v>
      </c>
      <c r="AA81" s="47"/>
      <c r="AB81" s="4" t="s">
        <v>735</v>
      </c>
      <c r="AC81" s="43">
        <f>IF(VLOOKUP(AB81,βοηθητικό!$J$2:$N$354,3,FALSE)="","",VLOOKUP(AB81,βοηθητικό!$J$2:$N$354,3,FALSE))</f>
        <v>6937699769</v>
      </c>
      <c r="AD81" s="44"/>
      <c r="AE81" s="5" t="s">
        <v>16</v>
      </c>
      <c r="AF81" s="46" t="str">
        <f>IF(VLOOKUP(AE81,βοηθητικό!$J$2:$N$354,3,FALSE)="","",VLOOKUP(AE81,βοηθητικό!$J$2:$N$354,3,FALSE))</f>
        <v>_</v>
      </c>
      <c r="AG81" s="47"/>
      <c r="AH81" s="4" t="s">
        <v>16</v>
      </c>
      <c r="AI81" s="43" t="str">
        <f>IF(VLOOKUP(AH81,βοηθητικό!$J$2:$N$354,3,FALSE)="","",VLOOKUP(AH81,βοηθητικό!$J$2:$N$354,3,FALSE))</f>
        <v>_</v>
      </c>
      <c r="AJ81" s="44"/>
      <c r="AK81" s="5" t="s">
        <v>16</v>
      </c>
      <c r="AL81" s="46" t="str">
        <f>IF(VLOOKUP(AK81,βοηθητικό!$J$2:$N$354,3,FALSE)="","",VLOOKUP(AK81,βοηθητικό!$J$2:$N$354,3,FALSE))</f>
        <v>_</v>
      </c>
      <c r="AM81" s="47"/>
      <c r="AN81" s="4" t="s">
        <v>16</v>
      </c>
      <c r="AO81" s="43" t="str">
        <f>IF(VLOOKUP(AN81,βοηθητικό!$J$2:$N$354,3,FALSE)="","",VLOOKUP(AN81,βοηθητικό!$J$2:$N$354,3,FALSE))</f>
        <v>_</v>
      </c>
      <c r="AP81" s="44"/>
      <c r="AQ81" s="5" t="s">
        <v>16</v>
      </c>
      <c r="AR81" s="46" t="str">
        <f>IF(VLOOKUP(AQ81,βοηθητικό!$J$2:$N$354,3,FALSE)="","",VLOOKUP(AQ81,βοηθητικό!$J$2:$N$354,3,FALSE))</f>
        <v>_</v>
      </c>
      <c r="AS81" s="47"/>
      <c r="AT81" s="4" t="s">
        <v>16</v>
      </c>
      <c r="AU81" s="43" t="str">
        <f>IF(VLOOKUP(AT81,βοηθητικό!$J$2:$N$354,3,FALSE)="","",VLOOKUP(AT81,βοηθητικό!$J$2:$N$354,3,FALSE))</f>
        <v>_</v>
      </c>
      <c r="AV81" s="44"/>
      <c r="AW81" s="5" t="s">
        <v>16</v>
      </c>
      <c r="AX81" s="46" t="str">
        <f>IF(VLOOKUP(AW81,βοηθητικό!$J$2:$N$354,3,FALSE)="","",VLOOKUP(AW81,βοηθητικό!$J$2:$N$354,3,FALSE))</f>
        <v>_</v>
      </c>
      <c r="AY81" s="47"/>
      <c r="AZ81" s="4" t="s">
        <v>16</v>
      </c>
      <c r="BA81" s="43" t="str">
        <f>IF(VLOOKUP(AZ81,βοηθητικό!$J$2:$N$354,3,FALSE)="","",VLOOKUP(AZ81,βοηθητικό!$J$2:$N$354,3,FALSE))</f>
        <v>_</v>
      </c>
      <c r="BB81" s="44"/>
      <c r="BC81" s="45" t="s">
        <v>16</v>
      </c>
      <c r="BD81" s="46" t="str">
        <f>IF(VLOOKUP(BC81,βοηθητικό!$J$2:$N$354,3,FALSE)="","",VLOOKUP(BC81,βοηθητικό!$J$2:$N$354,3,FALSE))</f>
        <v>_</v>
      </c>
      <c r="BE81" s="47"/>
      <c r="BF81" s="42" t="s">
        <v>16</v>
      </c>
      <c r="BG81" s="43" t="str">
        <f>IF(VLOOKUP(BF81,βοηθητικό!$J$2:$N$354,3,FALSE)="","",VLOOKUP(BF81,βοηθητικό!$J$2:$N$354,3,FALSE))</f>
        <v>_</v>
      </c>
      <c r="BH81" s="44"/>
      <c r="BI81" s="45" t="s">
        <v>16</v>
      </c>
      <c r="BJ81" s="46" t="str">
        <f>IF(VLOOKUP(BI81,βοηθητικό!$J$2:$N$354,3,FALSE)="","",VLOOKUP(BI81,βοηθητικό!$J$2:$N$354,3,FALSE))</f>
        <v>_</v>
      </c>
      <c r="BK81" s="47"/>
      <c r="BL81" s="42" t="s">
        <v>16</v>
      </c>
      <c r="BM81" s="43" t="str">
        <f>IF(VLOOKUP(BL81,βοηθητικό!$J$2:$N$354,3,FALSE)="","",VLOOKUP(BL81,βοηθητικό!$J$2:$N$354,3,FALSE))</f>
        <v>_</v>
      </c>
      <c r="BN81" s="44"/>
      <c r="BO81" s="45" t="s">
        <v>16</v>
      </c>
      <c r="BP81" s="46" t="str">
        <f>IF(VLOOKUP(BO81,βοηθητικό!$J$2:$N$354,3,FALSE)="","",VLOOKUP(BO81,βοηθητικό!$J$2:$N$354,3,FALSE))</f>
        <v>_</v>
      </c>
      <c r="BQ81" s="47"/>
      <c r="BR81" s="42" t="s">
        <v>16</v>
      </c>
      <c r="BS81" s="43" t="str">
        <f>IF(VLOOKUP(BR81,βοηθητικό!$J$2:$N$354,3,FALSE)="","",VLOOKUP(BR81,βοηθητικό!$J$2:$N$354,3,FALSE))</f>
        <v>_</v>
      </c>
      <c r="BT81" s="44"/>
      <c r="BU81" s="45" t="s">
        <v>16</v>
      </c>
      <c r="BV81" s="46" t="str">
        <f>IF(VLOOKUP(BU81,βοηθητικό!$J$2:$N$354,3,FALSE)="","",VLOOKUP(BU81,βοηθητικό!$J$2:$N$354,3,FALSE))</f>
        <v>_</v>
      </c>
      <c r="BW81" s="47"/>
      <c r="BX81" s="42" t="s">
        <v>16</v>
      </c>
      <c r="BY81" s="43" t="str">
        <f>IF(VLOOKUP(BX81,βοηθητικό!$J$2:$N$354,3,FALSE)="","",VLOOKUP(BX81,βοηθητικό!$J$2:$N$354,3,FALSE))</f>
        <v>_</v>
      </c>
      <c r="BZ81" s="44"/>
      <c r="CA81" s="45" t="s">
        <v>16</v>
      </c>
      <c r="CB81" s="46" t="str">
        <f>IF(VLOOKUP(CA81,βοηθητικό!$J$2:$N$354,3,FALSE)="","",VLOOKUP(CA81,βοηθητικό!$J$2:$N$354,3,FALSE))</f>
        <v>_</v>
      </c>
      <c r="CC81" s="47"/>
      <c r="CD81" s="42" t="s">
        <v>16</v>
      </c>
      <c r="CE81" s="43" t="str">
        <f>IF(VLOOKUP(CD81,βοηθητικό!$J$2:$N$354,3,FALSE)="","",VLOOKUP(CD81,βοηθητικό!$J$2:$N$354,3,FALSE))</f>
        <v>_</v>
      </c>
      <c r="CF81" s="44"/>
      <c r="CG81" s="45" t="s">
        <v>16</v>
      </c>
      <c r="CH81" s="46" t="str">
        <f>IF(VLOOKUP(CG81,βοηθητικό!$J$2:$N$354,3,FALSE)="","",VLOOKUP(CG81,βοηθητικό!$J$2:$N$354,3,FALSE))</f>
        <v>_</v>
      </c>
      <c r="CI81" s="47"/>
      <c r="CJ81" s="42" t="s">
        <v>16</v>
      </c>
      <c r="CK81" s="43" t="str">
        <f>IF(VLOOKUP(CJ81,βοηθητικό!$J$2:$N$354,3,FALSE)="","",VLOOKUP(CJ81,βοηθητικό!$J$2:$N$354,3,FALSE))</f>
        <v>_</v>
      </c>
      <c r="CL81" s="44"/>
      <c r="CM81" s="45" t="s">
        <v>16</v>
      </c>
      <c r="CN81" s="46" t="str">
        <f>IF(VLOOKUP(CM81,βοηθητικό!$J$2:$N$354,3,FALSE)="","",VLOOKUP(CM81,βοηθητικό!$J$2:$N$354,3,FALSE))</f>
        <v>_</v>
      </c>
      <c r="CO81" s="47"/>
      <c r="CP81" s="42" t="s">
        <v>16</v>
      </c>
      <c r="CQ81" s="43" t="str">
        <f>IF(VLOOKUP(CP81,βοηθητικό!$J$2:$N$354,3,FALSE)="","",VLOOKUP(CP81,βοηθητικό!$J$2:$N$354,3,FALSE))</f>
        <v>_</v>
      </c>
      <c r="CR81" s="44"/>
      <c r="CS81" s="45" t="s">
        <v>16</v>
      </c>
      <c r="CT81" s="46" t="str">
        <f>IF(VLOOKUP(CS81,βοηθητικό!$J$2:$N$354,3,FALSE)="","",VLOOKUP(CS81,βοηθητικό!$J$2:$N$354,3,FALSE))</f>
        <v>_</v>
      </c>
      <c r="CU81" s="47"/>
    </row>
    <row r="82" spans="1:99" x14ac:dyDescent="0.25">
      <c r="A82" s="37">
        <f>--SUBTOTAL(3,$B$3:B81)</f>
        <v>79</v>
      </c>
      <c r="B82" s="68">
        <v>45131</v>
      </c>
      <c r="C82" s="69">
        <v>45137</v>
      </c>
      <c r="D82" s="57" t="s">
        <v>64</v>
      </c>
      <c r="E82" s="38" t="s">
        <v>16</v>
      </c>
      <c r="F82" s="38" t="s">
        <v>16</v>
      </c>
      <c r="G82" s="39" t="str">
        <f t="shared" si="5"/>
        <v>__</v>
      </c>
      <c r="H82" s="40" t="str">
        <f t="shared" si="6"/>
        <v>FALSE</v>
      </c>
      <c r="I82" s="41">
        <f t="shared" si="7"/>
        <v>7</v>
      </c>
      <c r="J82" s="4" t="s">
        <v>618</v>
      </c>
      <c r="K82" s="43">
        <f>IF(VLOOKUP(J82,βοηθητικό!$J$2:$N$354,3,FALSE)="","",VLOOKUP(J82,βοηθητικό!$J$2:$N$354,3,FALSE))</f>
        <v>6977784031</v>
      </c>
      <c r="L82" s="44"/>
      <c r="M82" s="5" t="s">
        <v>675</v>
      </c>
      <c r="N82" s="46" t="str">
        <f>IF(VLOOKUP(M82,βοηθητικό!$J$2:$N$354,3,FALSE)="","",VLOOKUP(M82,βοηθητικό!$J$2:$N$354,3,FALSE))</f>
        <v>6970932706</v>
      </c>
      <c r="O82" s="47"/>
      <c r="P82" s="4" t="s">
        <v>680</v>
      </c>
      <c r="Q82" s="43">
        <f>IF(VLOOKUP(P82,βοηθητικό!$J$2:$N$354,3,FALSE)="","",VLOOKUP(P82,βοηθητικό!$J$2:$N$354,3,FALSE))</f>
        <v>6972606031</v>
      </c>
      <c r="R82" s="44"/>
      <c r="S82" s="5" t="s">
        <v>693</v>
      </c>
      <c r="T82" s="46">
        <f>IF(VLOOKUP(S82,βοηθητικό!$J$2:$N$354,3,FALSE)="","",VLOOKUP(S82,βοηθητικό!$J$2:$N$354,3,FALSE))</f>
        <v>6947551606</v>
      </c>
      <c r="U82" s="47"/>
      <c r="V82" s="4" t="s">
        <v>698</v>
      </c>
      <c r="W82" s="43" t="str">
        <f>IF(VLOOKUP(V82,βοηθητικό!$J$2:$N$354,3,FALSE)="","",VLOOKUP(V82,βοηθητικό!$J$2:$N$354,3,FALSE))</f>
        <v>6982255759</v>
      </c>
      <c r="X82" s="44"/>
      <c r="Y82" s="5" t="s">
        <v>709</v>
      </c>
      <c r="Z82" s="46" t="str">
        <f>IF(VLOOKUP(Y82,βοηθητικό!$J$2:$N$354,3,FALSE)="","",VLOOKUP(Y82,βοηθητικό!$J$2:$N$354,3,FALSE))</f>
        <v>6944439132</v>
      </c>
      <c r="AA82" s="47"/>
      <c r="AB82" s="4" t="s">
        <v>731</v>
      </c>
      <c r="AC82" s="43" t="str">
        <f>IF(VLOOKUP(AB82,βοηθητικό!$J$2:$N$354,3,FALSE)="","",VLOOKUP(AB82,βοηθητικό!$J$2:$N$354,3,FALSE))</f>
        <v>6940503291</v>
      </c>
      <c r="AD82" s="44"/>
      <c r="AE82" s="5" t="s">
        <v>16</v>
      </c>
      <c r="AF82" s="46" t="str">
        <f>IF(VLOOKUP(AE82,βοηθητικό!$J$2:$N$354,3,FALSE)="","",VLOOKUP(AE82,βοηθητικό!$J$2:$N$354,3,FALSE))</f>
        <v>_</v>
      </c>
      <c r="AG82" s="47"/>
      <c r="AH82" s="4" t="s">
        <v>16</v>
      </c>
      <c r="AI82" s="43" t="str">
        <f>IF(VLOOKUP(AH82,βοηθητικό!$J$2:$N$354,3,FALSE)="","",VLOOKUP(AH82,βοηθητικό!$J$2:$N$354,3,FALSE))</f>
        <v>_</v>
      </c>
      <c r="AJ82" s="44"/>
      <c r="AK82" s="5" t="s">
        <v>16</v>
      </c>
      <c r="AL82" s="46" t="str">
        <f>IF(VLOOKUP(AK82,βοηθητικό!$J$2:$N$354,3,FALSE)="","",VLOOKUP(AK82,βοηθητικό!$J$2:$N$354,3,FALSE))</f>
        <v>_</v>
      </c>
      <c r="AM82" s="47"/>
      <c r="AN82" s="4" t="s">
        <v>16</v>
      </c>
      <c r="AO82" s="43" t="str">
        <f>IF(VLOOKUP(AN82,βοηθητικό!$J$2:$N$354,3,FALSE)="","",VLOOKUP(AN82,βοηθητικό!$J$2:$N$354,3,FALSE))</f>
        <v>_</v>
      </c>
      <c r="AP82" s="44"/>
      <c r="AQ82" s="5" t="s">
        <v>16</v>
      </c>
      <c r="AR82" s="46" t="str">
        <f>IF(VLOOKUP(AQ82,βοηθητικό!$J$2:$N$354,3,FALSE)="","",VLOOKUP(AQ82,βοηθητικό!$J$2:$N$354,3,FALSE))</f>
        <v>_</v>
      </c>
      <c r="AS82" s="47"/>
      <c r="AT82" s="4" t="s">
        <v>16</v>
      </c>
      <c r="AU82" s="43" t="str">
        <f>IF(VLOOKUP(AT82,βοηθητικό!$J$2:$N$354,3,FALSE)="","",VLOOKUP(AT82,βοηθητικό!$J$2:$N$354,3,FALSE))</f>
        <v>_</v>
      </c>
      <c r="AV82" s="44"/>
      <c r="AW82" s="5" t="s">
        <v>16</v>
      </c>
      <c r="AX82" s="46" t="str">
        <f>IF(VLOOKUP(AW82,βοηθητικό!$J$2:$N$354,3,FALSE)="","",VLOOKUP(AW82,βοηθητικό!$J$2:$N$354,3,FALSE))</f>
        <v>_</v>
      </c>
      <c r="AY82" s="47"/>
      <c r="AZ82" s="4" t="s">
        <v>16</v>
      </c>
      <c r="BA82" s="43" t="str">
        <f>IF(VLOOKUP(AZ82,βοηθητικό!$J$2:$N$354,3,FALSE)="","",VLOOKUP(AZ82,βοηθητικό!$J$2:$N$354,3,FALSE))</f>
        <v>_</v>
      </c>
      <c r="BB82" s="44"/>
      <c r="BC82" s="45" t="s">
        <v>16</v>
      </c>
      <c r="BD82" s="46" t="str">
        <f>IF(VLOOKUP(BC82,βοηθητικό!$J$2:$N$354,3,FALSE)="","",VLOOKUP(BC82,βοηθητικό!$J$2:$N$354,3,FALSE))</f>
        <v>_</v>
      </c>
      <c r="BE82" s="47"/>
      <c r="BF82" s="42" t="s">
        <v>16</v>
      </c>
      <c r="BG82" s="43" t="str">
        <f>IF(VLOOKUP(BF82,βοηθητικό!$J$2:$N$354,3,FALSE)="","",VLOOKUP(BF82,βοηθητικό!$J$2:$N$354,3,FALSE))</f>
        <v>_</v>
      </c>
      <c r="BH82" s="44"/>
      <c r="BI82" s="45" t="s">
        <v>16</v>
      </c>
      <c r="BJ82" s="46" t="str">
        <f>IF(VLOOKUP(BI82,βοηθητικό!$J$2:$N$354,3,FALSE)="","",VLOOKUP(BI82,βοηθητικό!$J$2:$N$354,3,FALSE))</f>
        <v>_</v>
      </c>
      <c r="BK82" s="47"/>
      <c r="BL82" s="42" t="s">
        <v>16</v>
      </c>
      <c r="BM82" s="43" t="str">
        <f>IF(VLOOKUP(BL82,βοηθητικό!$J$2:$N$354,3,FALSE)="","",VLOOKUP(BL82,βοηθητικό!$J$2:$N$354,3,FALSE))</f>
        <v>_</v>
      </c>
      <c r="BN82" s="44"/>
      <c r="BO82" s="45" t="s">
        <v>16</v>
      </c>
      <c r="BP82" s="46" t="str">
        <f>IF(VLOOKUP(BO82,βοηθητικό!$J$2:$N$354,3,FALSE)="","",VLOOKUP(BO82,βοηθητικό!$J$2:$N$354,3,FALSE))</f>
        <v>_</v>
      </c>
      <c r="BQ82" s="47"/>
      <c r="BR82" s="42" t="s">
        <v>16</v>
      </c>
      <c r="BS82" s="43" t="str">
        <f>IF(VLOOKUP(BR82,βοηθητικό!$J$2:$N$354,3,FALSE)="","",VLOOKUP(BR82,βοηθητικό!$J$2:$N$354,3,FALSE))</f>
        <v>_</v>
      </c>
      <c r="BT82" s="44"/>
      <c r="BU82" s="45" t="s">
        <v>16</v>
      </c>
      <c r="BV82" s="46" t="str">
        <f>IF(VLOOKUP(BU82,βοηθητικό!$J$2:$N$354,3,FALSE)="","",VLOOKUP(BU82,βοηθητικό!$J$2:$N$354,3,FALSE))</f>
        <v>_</v>
      </c>
      <c r="BW82" s="47"/>
      <c r="BX82" s="42" t="s">
        <v>16</v>
      </c>
      <c r="BY82" s="43" t="str">
        <f>IF(VLOOKUP(BX82,βοηθητικό!$J$2:$N$354,3,FALSE)="","",VLOOKUP(BX82,βοηθητικό!$J$2:$N$354,3,FALSE))</f>
        <v>_</v>
      </c>
      <c r="BZ82" s="44"/>
      <c r="CA82" s="45" t="s">
        <v>16</v>
      </c>
      <c r="CB82" s="46" t="str">
        <f>IF(VLOOKUP(CA82,βοηθητικό!$J$2:$N$354,3,FALSE)="","",VLOOKUP(CA82,βοηθητικό!$J$2:$N$354,3,FALSE))</f>
        <v>_</v>
      </c>
      <c r="CC82" s="47"/>
      <c r="CD82" s="42" t="s">
        <v>16</v>
      </c>
      <c r="CE82" s="43" t="str">
        <f>IF(VLOOKUP(CD82,βοηθητικό!$J$2:$N$354,3,FALSE)="","",VLOOKUP(CD82,βοηθητικό!$J$2:$N$354,3,FALSE))</f>
        <v>_</v>
      </c>
      <c r="CF82" s="44"/>
      <c r="CG82" s="45" t="s">
        <v>16</v>
      </c>
      <c r="CH82" s="46" t="str">
        <f>IF(VLOOKUP(CG82,βοηθητικό!$J$2:$N$354,3,FALSE)="","",VLOOKUP(CG82,βοηθητικό!$J$2:$N$354,3,FALSE))</f>
        <v>_</v>
      </c>
      <c r="CI82" s="47"/>
      <c r="CJ82" s="42" t="s">
        <v>16</v>
      </c>
      <c r="CK82" s="43" t="str">
        <f>IF(VLOOKUP(CJ82,βοηθητικό!$J$2:$N$354,3,FALSE)="","",VLOOKUP(CJ82,βοηθητικό!$J$2:$N$354,3,FALSE))</f>
        <v>_</v>
      </c>
      <c r="CL82" s="44"/>
      <c r="CM82" s="45" t="s">
        <v>16</v>
      </c>
      <c r="CN82" s="46" t="str">
        <f>IF(VLOOKUP(CM82,βοηθητικό!$J$2:$N$354,3,FALSE)="","",VLOOKUP(CM82,βοηθητικό!$J$2:$N$354,3,FALSE))</f>
        <v>_</v>
      </c>
      <c r="CO82" s="47"/>
      <c r="CP82" s="42" t="s">
        <v>16</v>
      </c>
      <c r="CQ82" s="43" t="str">
        <f>IF(VLOOKUP(CP82,βοηθητικό!$J$2:$N$354,3,FALSE)="","",VLOOKUP(CP82,βοηθητικό!$J$2:$N$354,3,FALSE))</f>
        <v>_</v>
      </c>
      <c r="CR82" s="44"/>
      <c r="CS82" s="45" t="s">
        <v>16</v>
      </c>
      <c r="CT82" s="46" t="str">
        <f>IF(VLOOKUP(CS82,βοηθητικό!$J$2:$N$354,3,FALSE)="","",VLOOKUP(CS82,βοηθητικό!$J$2:$N$354,3,FALSE))</f>
        <v>_</v>
      </c>
      <c r="CU82" s="47"/>
    </row>
    <row r="83" spans="1:99" x14ac:dyDescent="0.25">
      <c r="A83" s="37">
        <f>--SUBTOTAL(3,$B$3:B82)</f>
        <v>80</v>
      </c>
      <c r="B83" s="68">
        <v>45110</v>
      </c>
      <c r="C83" s="69">
        <v>45116</v>
      </c>
      <c r="D83" s="58" t="s">
        <v>74</v>
      </c>
      <c r="E83" s="38" t="s">
        <v>16</v>
      </c>
      <c r="F83" s="38" t="s">
        <v>16</v>
      </c>
      <c r="G83" s="39" t="str">
        <f t="shared" si="5"/>
        <v>__</v>
      </c>
      <c r="H83" s="40" t="str">
        <f t="shared" si="6"/>
        <v>FALSE</v>
      </c>
      <c r="I83" s="41">
        <f t="shared" si="7"/>
        <v>7</v>
      </c>
      <c r="J83" s="4" t="s">
        <v>759</v>
      </c>
      <c r="K83" s="43" t="str">
        <f>IF(VLOOKUP(J83,βοηθητικό!$J$2:$N$354,3,FALSE)="","",VLOOKUP(J83,βοηθητικό!$J$2:$N$354,3,FALSE))</f>
        <v>2104824991</v>
      </c>
      <c r="L83" s="44"/>
      <c r="M83" s="5" t="s">
        <v>786</v>
      </c>
      <c r="N83" s="46">
        <f>IF(VLOOKUP(M83,βοηθητικό!$J$2:$N$354,3,FALSE)="","",VLOOKUP(M83,βοηθητικό!$J$2:$N$354,3,FALSE))</f>
        <v>6948693451</v>
      </c>
      <c r="O83" s="47"/>
      <c r="P83" s="4" t="s">
        <v>804</v>
      </c>
      <c r="Q83" s="43" t="str">
        <f>IF(VLOOKUP(P83,βοηθητικό!$J$2:$N$354,3,FALSE)="","",VLOOKUP(P83,βοηθητικό!$J$2:$N$354,3,FALSE))</f>
        <v>6947244486</v>
      </c>
      <c r="R83" s="44"/>
      <c r="S83" s="5" t="s">
        <v>816</v>
      </c>
      <c r="T83" s="46" t="str">
        <f>IF(VLOOKUP(S83,βοηθητικό!$J$2:$N$354,3,FALSE)="","",VLOOKUP(S83,βοηθητικό!$J$2:$N$354,3,FALSE))</f>
        <v>6977507325</v>
      </c>
      <c r="U83" s="47"/>
      <c r="V83" s="4" t="s">
        <v>821</v>
      </c>
      <c r="W83" s="43">
        <f>IF(VLOOKUP(V83,βοηθητικό!$J$2:$N$354,3,FALSE)="","",VLOOKUP(V83,βοηθητικό!$J$2:$N$354,3,FALSE))</f>
        <v>6973248110</v>
      </c>
      <c r="X83" s="44"/>
      <c r="Y83" s="5" t="s">
        <v>828</v>
      </c>
      <c r="Z83" s="46" t="str">
        <f>IF(VLOOKUP(Y83,βοηθητικό!$J$2:$N$354,3,FALSE)="","",VLOOKUP(Y83,βοηθητικό!$J$2:$N$354,3,FALSE))</f>
        <v>6981873196</v>
      </c>
      <c r="AA83" s="47"/>
      <c r="AB83" s="4" t="s">
        <v>838</v>
      </c>
      <c r="AC83" s="43" t="str">
        <f>IF(VLOOKUP(AB83,βοηθητικό!$J$2:$N$354,3,FALSE)="","",VLOOKUP(AB83,βοηθητικό!$J$2:$N$354,3,FALSE))</f>
        <v>6978485361 6949641611</v>
      </c>
      <c r="AD83" s="44"/>
      <c r="AE83" s="5" t="s">
        <v>16</v>
      </c>
      <c r="AF83" s="46" t="str">
        <f>IF(VLOOKUP(AE83,βοηθητικό!$J$2:$N$354,3,FALSE)="","",VLOOKUP(AE83,βοηθητικό!$J$2:$N$354,3,FALSE))</f>
        <v>_</v>
      </c>
      <c r="AG83" s="47"/>
      <c r="AH83" s="4" t="s">
        <v>16</v>
      </c>
      <c r="AI83" s="43" t="str">
        <f>IF(VLOOKUP(AH83,βοηθητικό!$J$2:$N$354,3,FALSE)="","",VLOOKUP(AH83,βοηθητικό!$J$2:$N$354,3,FALSE))</f>
        <v>_</v>
      </c>
      <c r="AJ83" s="44"/>
      <c r="AK83" s="5" t="s">
        <v>16</v>
      </c>
      <c r="AL83" s="46" t="str">
        <f>IF(VLOOKUP(AK83,βοηθητικό!$J$2:$N$354,3,FALSE)="","",VLOOKUP(AK83,βοηθητικό!$J$2:$N$354,3,FALSE))</f>
        <v>_</v>
      </c>
      <c r="AM83" s="47"/>
      <c r="AN83" s="4" t="s">
        <v>16</v>
      </c>
      <c r="AO83" s="43" t="str">
        <f>IF(VLOOKUP(AN83,βοηθητικό!$J$2:$N$354,3,FALSE)="","",VLOOKUP(AN83,βοηθητικό!$J$2:$N$354,3,FALSE))</f>
        <v>_</v>
      </c>
      <c r="AP83" s="44"/>
      <c r="AQ83" s="5" t="s">
        <v>16</v>
      </c>
      <c r="AR83" s="46" t="str">
        <f>IF(VLOOKUP(AQ83,βοηθητικό!$J$2:$N$354,3,FALSE)="","",VLOOKUP(AQ83,βοηθητικό!$J$2:$N$354,3,FALSE))</f>
        <v>_</v>
      </c>
      <c r="AS83" s="47"/>
      <c r="AT83" s="4" t="s">
        <v>16</v>
      </c>
      <c r="AU83" s="43" t="str">
        <f>IF(VLOOKUP(AT83,βοηθητικό!$J$2:$N$354,3,FALSE)="","",VLOOKUP(AT83,βοηθητικό!$J$2:$N$354,3,FALSE))</f>
        <v>_</v>
      </c>
      <c r="AV83" s="44"/>
      <c r="AW83" s="5" t="s">
        <v>16</v>
      </c>
      <c r="AX83" s="46" t="str">
        <f>IF(VLOOKUP(AW83,βοηθητικό!$J$2:$N$354,3,FALSE)="","",VLOOKUP(AW83,βοηθητικό!$J$2:$N$354,3,FALSE))</f>
        <v>_</v>
      </c>
      <c r="AY83" s="47"/>
      <c r="AZ83" s="4" t="s">
        <v>16</v>
      </c>
      <c r="BA83" s="43" t="str">
        <f>IF(VLOOKUP(AZ83,βοηθητικό!$J$2:$N$354,3,FALSE)="","",VLOOKUP(AZ83,βοηθητικό!$J$2:$N$354,3,FALSE))</f>
        <v>_</v>
      </c>
      <c r="BB83" s="44"/>
      <c r="BC83" s="45" t="s">
        <v>16</v>
      </c>
      <c r="BD83" s="46" t="str">
        <f>IF(VLOOKUP(BC83,βοηθητικό!$J$2:$N$354,3,FALSE)="","",VLOOKUP(BC83,βοηθητικό!$J$2:$N$354,3,FALSE))</f>
        <v>_</v>
      </c>
      <c r="BE83" s="47"/>
      <c r="BF83" s="42" t="s">
        <v>16</v>
      </c>
      <c r="BG83" s="43" t="str">
        <f>IF(VLOOKUP(BF83,βοηθητικό!$J$2:$N$354,3,FALSE)="","",VLOOKUP(BF83,βοηθητικό!$J$2:$N$354,3,FALSE))</f>
        <v>_</v>
      </c>
      <c r="BH83" s="44"/>
      <c r="BI83" s="45" t="s">
        <v>16</v>
      </c>
      <c r="BJ83" s="46" t="str">
        <f>IF(VLOOKUP(BI83,βοηθητικό!$J$2:$N$354,3,FALSE)="","",VLOOKUP(BI83,βοηθητικό!$J$2:$N$354,3,FALSE))</f>
        <v>_</v>
      </c>
      <c r="BK83" s="47"/>
      <c r="BL83" s="42" t="s">
        <v>16</v>
      </c>
      <c r="BM83" s="43" t="str">
        <f>IF(VLOOKUP(BL83,βοηθητικό!$J$2:$N$354,3,FALSE)="","",VLOOKUP(BL83,βοηθητικό!$J$2:$N$354,3,FALSE))</f>
        <v>_</v>
      </c>
      <c r="BN83" s="44"/>
      <c r="BO83" s="45" t="s">
        <v>16</v>
      </c>
      <c r="BP83" s="46" t="str">
        <f>IF(VLOOKUP(BO83,βοηθητικό!$J$2:$N$354,3,FALSE)="","",VLOOKUP(BO83,βοηθητικό!$J$2:$N$354,3,FALSE))</f>
        <v>_</v>
      </c>
      <c r="BQ83" s="47"/>
      <c r="BR83" s="42" t="s">
        <v>16</v>
      </c>
      <c r="BS83" s="43" t="str">
        <f>IF(VLOOKUP(BR83,βοηθητικό!$J$2:$N$354,3,FALSE)="","",VLOOKUP(BR83,βοηθητικό!$J$2:$N$354,3,FALSE))</f>
        <v>_</v>
      </c>
      <c r="BT83" s="44"/>
      <c r="BU83" s="45" t="s">
        <v>16</v>
      </c>
      <c r="BV83" s="46" t="str">
        <f>IF(VLOOKUP(BU83,βοηθητικό!$J$2:$N$354,3,FALSE)="","",VLOOKUP(BU83,βοηθητικό!$J$2:$N$354,3,FALSE))</f>
        <v>_</v>
      </c>
      <c r="BW83" s="47"/>
      <c r="BX83" s="42" t="s">
        <v>16</v>
      </c>
      <c r="BY83" s="43" t="str">
        <f>IF(VLOOKUP(BX83,βοηθητικό!$J$2:$N$354,3,FALSE)="","",VLOOKUP(BX83,βοηθητικό!$J$2:$N$354,3,FALSE))</f>
        <v>_</v>
      </c>
      <c r="BZ83" s="44"/>
      <c r="CA83" s="45" t="s">
        <v>16</v>
      </c>
      <c r="CB83" s="46" t="str">
        <f>IF(VLOOKUP(CA83,βοηθητικό!$J$2:$N$354,3,FALSE)="","",VLOOKUP(CA83,βοηθητικό!$J$2:$N$354,3,FALSE))</f>
        <v>_</v>
      </c>
      <c r="CC83" s="47"/>
      <c r="CD83" s="42" t="s">
        <v>16</v>
      </c>
      <c r="CE83" s="43" t="str">
        <f>IF(VLOOKUP(CD83,βοηθητικό!$J$2:$N$354,3,FALSE)="","",VLOOKUP(CD83,βοηθητικό!$J$2:$N$354,3,FALSE))</f>
        <v>_</v>
      </c>
      <c r="CF83" s="44"/>
      <c r="CG83" s="45" t="s">
        <v>16</v>
      </c>
      <c r="CH83" s="46" t="str">
        <f>IF(VLOOKUP(CG83,βοηθητικό!$J$2:$N$354,3,FALSE)="","",VLOOKUP(CG83,βοηθητικό!$J$2:$N$354,3,FALSE))</f>
        <v>_</v>
      </c>
      <c r="CI83" s="47"/>
      <c r="CJ83" s="42" t="s">
        <v>16</v>
      </c>
      <c r="CK83" s="43" t="str">
        <f>IF(VLOOKUP(CJ83,βοηθητικό!$J$2:$N$354,3,FALSE)="","",VLOOKUP(CJ83,βοηθητικό!$J$2:$N$354,3,FALSE))</f>
        <v>_</v>
      </c>
      <c r="CL83" s="44"/>
      <c r="CM83" s="45" t="s">
        <v>16</v>
      </c>
      <c r="CN83" s="46" t="str">
        <f>IF(VLOOKUP(CM83,βοηθητικό!$J$2:$N$354,3,FALSE)="","",VLOOKUP(CM83,βοηθητικό!$J$2:$N$354,3,FALSE))</f>
        <v>_</v>
      </c>
      <c r="CO83" s="47"/>
      <c r="CP83" s="42" t="s">
        <v>16</v>
      </c>
      <c r="CQ83" s="43" t="str">
        <f>IF(VLOOKUP(CP83,βοηθητικό!$J$2:$N$354,3,FALSE)="","",VLOOKUP(CP83,βοηθητικό!$J$2:$N$354,3,FALSE))</f>
        <v>_</v>
      </c>
      <c r="CR83" s="44"/>
      <c r="CS83" s="45" t="s">
        <v>16</v>
      </c>
      <c r="CT83" s="46" t="str">
        <f>IF(VLOOKUP(CS83,βοηθητικό!$J$2:$N$354,3,FALSE)="","",VLOOKUP(CS83,βοηθητικό!$J$2:$N$354,3,FALSE))</f>
        <v>_</v>
      </c>
      <c r="CU83" s="47"/>
    </row>
    <row r="84" spans="1:99" x14ac:dyDescent="0.25">
      <c r="A84" s="37">
        <f>--SUBTOTAL(3,$B$3:B83)</f>
        <v>81</v>
      </c>
      <c r="B84" s="68">
        <v>45117</v>
      </c>
      <c r="C84" s="69">
        <v>45123</v>
      </c>
      <c r="D84" s="58" t="s">
        <v>74</v>
      </c>
      <c r="E84" s="38" t="s">
        <v>16</v>
      </c>
      <c r="F84" s="38" t="s">
        <v>16</v>
      </c>
      <c r="G84" s="39" t="str">
        <f t="shared" si="5"/>
        <v>__</v>
      </c>
      <c r="H84" s="40" t="str">
        <f t="shared" si="6"/>
        <v>FALSE</v>
      </c>
      <c r="I84" s="41">
        <f t="shared" si="7"/>
        <v>8</v>
      </c>
      <c r="J84" s="4" t="s">
        <v>756</v>
      </c>
      <c r="K84" s="43">
        <f>IF(VLOOKUP(J84,βοηθητικό!$J$2:$N$354,3,FALSE)="","",VLOOKUP(J84,βοηθητικό!$J$2:$N$354,3,FALSE))</f>
        <v>6970113758</v>
      </c>
      <c r="L84" s="44"/>
      <c r="M84" s="5" t="s">
        <v>764</v>
      </c>
      <c r="N84" s="46" t="str">
        <f>IF(VLOOKUP(M84,βοηθητικό!$J$2:$N$354,3,FALSE)="","",VLOOKUP(M84,βοηθητικό!$J$2:$N$354,3,FALSE))</f>
        <v>6951136860</v>
      </c>
      <c r="O84" s="47"/>
      <c r="P84" s="4" t="s">
        <v>774</v>
      </c>
      <c r="Q84" s="43">
        <f>IF(VLOOKUP(P84,βοηθητικό!$J$2:$N$354,3,FALSE)="","",VLOOKUP(P84,βοηθητικό!$J$2:$N$354,3,FALSE))</f>
        <v>6973545514</v>
      </c>
      <c r="R84" s="44"/>
      <c r="S84" s="5" t="s">
        <v>789</v>
      </c>
      <c r="T84" s="46" t="str">
        <f>IF(VLOOKUP(S84,βοηθητικό!$J$2:$N$354,3,FALSE)="","",VLOOKUP(S84,βοηθητικό!$J$2:$N$354,3,FALSE))</f>
        <v>6981972682</v>
      </c>
      <c r="U84" s="47"/>
      <c r="V84" s="4" t="s">
        <v>832</v>
      </c>
      <c r="W84" s="43" t="str">
        <f>IF(VLOOKUP(V84,βοηθητικό!$J$2:$N$354,3,FALSE)="","",VLOOKUP(V84,βοηθητικό!$J$2:$N$354,3,FALSE))</f>
        <v>6945400547</v>
      </c>
      <c r="X84" s="44"/>
      <c r="Y84" s="5" t="s">
        <v>835</v>
      </c>
      <c r="Z84" s="46">
        <f>IF(VLOOKUP(Y84,βοηθητικό!$J$2:$N$354,3,FALSE)="","",VLOOKUP(Y84,βοηθητικό!$J$2:$N$354,3,FALSE))</f>
        <v>6972150340</v>
      </c>
      <c r="AA84" s="47"/>
      <c r="AB84" s="4" t="s">
        <v>860</v>
      </c>
      <c r="AC84" s="43">
        <f>IF(VLOOKUP(AB84,βοηθητικό!$J$2:$N$354,3,FALSE)="","",VLOOKUP(AB84,βοηθητικό!$J$2:$N$354,3,FALSE))</f>
        <v>6989500588</v>
      </c>
      <c r="AD84" s="44"/>
      <c r="AE84" s="5" t="s">
        <v>844</v>
      </c>
      <c r="AF84" s="46">
        <f>IF(VLOOKUP(AE84,βοηθητικό!$J$2:$N$354,3,FALSE)="","",VLOOKUP(AE84,βοηθητικό!$J$2:$N$354,3,FALSE))</f>
        <v>6976768922</v>
      </c>
      <c r="AG84" s="47"/>
      <c r="AH84" s="4" t="s">
        <v>16</v>
      </c>
      <c r="AI84" s="43" t="str">
        <f>IF(VLOOKUP(AH84,βοηθητικό!$J$2:$N$354,3,FALSE)="","",VLOOKUP(AH84,βοηθητικό!$J$2:$N$354,3,FALSE))</f>
        <v>_</v>
      </c>
      <c r="AJ84" s="44"/>
      <c r="AK84" s="5" t="s">
        <v>16</v>
      </c>
      <c r="AL84" s="46" t="str">
        <f>IF(VLOOKUP(AK84,βοηθητικό!$J$2:$N$354,3,FALSE)="","",VLOOKUP(AK84,βοηθητικό!$J$2:$N$354,3,FALSE))</f>
        <v>_</v>
      </c>
      <c r="AM84" s="47"/>
      <c r="AN84" s="4" t="s">
        <v>16</v>
      </c>
      <c r="AO84" s="43" t="str">
        <f>IF(VLOOKUP(AN84,βοηθητικό!$J$2:$N$354,3,FALSE)="","",VLOOKUP(AN84,βοηθητικό!$J$2:$N$354,3,FALSE))</f>
        <v>_</v>
      </c>
      <c r="AP84" s="44"/>
      <c r="AQ84" s="5" t="s">
        <v>16</v>
      </c>
      <c r="AR84" s="46" t="str">
        <f>IF(VLOOKUP(AQ84,βοηθητικό!$J$2:$N$354,3,FALSE)="","",VLOOKUP(AQ84,βοηθητικό!$J$2:$N$354,3,FALSE))</f>
        <v>_</v>
      </c>
      <c r="AS84" s="47"/>
      <c r="AT84" s="4" t="s">
        <v>16</v>
      </c>
      <c r="AU84" s="43" t="str">
        <f>IF(VLOOKUP(AT84,βοηθητικό!$J$2:$N$354,3,FALSE)="","",VLOOKUP(AT84,βοηθητικό!$J$2:$N$354,3,FALSE))</f>
        <v>_</v>
      </c>
      <c r="AV84" s="44"/>
      <c r="AW84" s="5" t="s">
        <v>16</v>
      </c>
      <c r="AX84" s="46" t="str">
        <f>IF(VLOOKUP(AW84,βοηθητικό!$J$2:$N$354,3,FALSE)="","",VLOOKUP(AW84,βοηθητικό!$J$2:$N$354,3,FALSE))</f>
        <v>_</v>
      </c>
      <c r="AY84" s="47"/>
      <c r="AZ84" s="4" t="s">
        <v>16</v>
      </c>
      <c r="BA84" s="43" t="str">
        <f>IF(VLOOKUP(AZ84,βοηθητικό!$J$2:$N$354,3,FALSE)="","",VLOOKUP(AZ84,βοηθητικό!$J$2:$N$354,3,FALSE))</f>
        <v>_</v>
      </c>
      <c r="BB84" s="44"/>
      <c r="BC84" s="45" t="s">
        <v>16</v>
      </c>
      <c r="BD84" s="46" t="str">
        <f>IF(VLOOKUP(BC84,βοηθητικό!$J$2:$N$354,3,FALSE)="","",VLOOKUP(BC84,βοηθητικό!$J$2:$N$354,3,FALSE))</f>
        <v>_</v>
      </c>
      <c r="BE84" s="47"/>
      <c r="BF84" s="42" t="s">
        <v>16</v>
      </c>
      <c r="BG84" s="43" t="str">
        <f>IF(VLOOKUP(BF84,βοηθητικό!$J$2:$N$354,3,FALSE)="","",VLOOKUP(BF84,βοηθητικό!$J$2:$N$354,3,FALSE))</f>
        <v>_</v>
      </c>
      <c r="BH84" s="44"/>
      <c r="BI84" s="45" t="s">
        <v>16</v>
      </c>
      <c r="BJ84" s="46" t="str">
        <f>IF(VLOOKUP(BI84,βοηθητικό!$J$2:$N$354,3,FALSE)="","",VLOOKUP(BI84,βοηθητικό!$J$2:$N$354,3,FALSE))</f>
        <v>_</v>
      </c>
      <c r="BK84" s="47"/>
      <c r="BL84" s="42" t="s">
        <v>16</v>
      </c>
      <c r="BM84" s="43" t="str">
        <f>IF(VLOOKUP(BL84,βοηθητικό!$J$2:$N$354,3,FALSE)="","",VLOOKUP(BL84,βοηθητικό!$J$2:$N$354,3,FALSE))</f>
        <v>_</v>
      </c>
      <c r="BN84" s="44"/>
      <c r="BO84" s="45" t="s">
        <v>16</v>
      </c>
      <c r="BP84" s="46" t="str">
        <f>IF(VLOOKUP(BO84,βοηθητικό!$J$2:$N$354,3,FALSE)="","",VLOOKUP(BO84,βοηθητικό!$J$2:$N$354,3,FALSE))</f>
        <v>_</v>
      </c>
      <c r="BQ84" s="47"/>
      <c r="BR84" s="42" t="s">
        <v>16</v>
      </c>
      <c r="BS84" s="43" t="str">
        <f>IF(VLOOKUP(BR84,βοηθητικό!$J$2:$N$354,3,FALSE)="","",VLOOKUP(BR84,βοηθητικό!$J$2:$N$354,3,FALSE))</f>
        <v>_</v>
      </c>
      <c r="BT84" s="44"/>
      <c r="BU84" s="45" t="s">
        <v>16</v>
      </c>
      <c r="BV84" s="46" t="str">
        <f>IF(VLOOKUP(BU84,βοηθητικό!$J$2:$N$354,3,FALSE)="","",VLOOKUP(BU84,βοηθητικό!$J$2:$N$354,3,FALSE))</f>
        <v>_</v>
      </c>
      <c r="BW84" s="47"/>
      <c r="BX84" s="42" t="s">
        <v>16</v>
      </c>
      <c r="BY84" s="43" t="str">
        <f>IF(VLOOKUP(BX84,βοηθητικό!$J$2:$N$354,3,FALSE)="","",VLOOKUP(BX84,βοηθητικό!$J$2:$N$354,3,FALSE))</f>
        <v>_</v>
      </c>
      <c r="BZ84" s="44"/>
      <c r="CA84" s="45" t="s">
        <v>16</v>
      </c>
      <c r="CB84" s="46" t="str">
        <f>IF(VLOOKUP(CA84,βοηθητικό!$J$2:$N$354,3,FALSE)="","",VLOOKUP(CA84,βοηθητικό!$J$2:$N$354,3,FALSE))</f>
        <v>_</v>
      </c>
      <c r="CC84" s="47"/>
      <c r="CD84" s="42" t="s">
        <v>16</v>
      </c>
      <c r="CE84" s="43" t="str">
        <f>IF(VLOOKUP(CD84,βοηθητικό!$J$2:$N$354,3,FALSE)="","",VLOOKUP(CD84,βοηθητικό!$J$2:$N$354,3,FALSE))</f>
        <v>_</v>
      </c>
      <c r="CF84" s="44"/>
      <c r="CG84" s="45" t="s">
        <v>16</v>
      </c>
      <c r="CH84" s="46" t="str">
        <f>IF(VLOOKUP(CG84,βοηθητικό!$J$2:$N$354,3,FALSE)="","",VLOOKUP(CG84,βοηθητικό!$J$2:$N$354,3,FALSE))</f>
        <v>_</v>
      </c>
      <c r="CI84" s="47"/>
      <c r="CJ84" s="42" t="s">
        <v>16</v>
      </c>
      <c r="CK84" s="43" t="str">
        <f>IF(VLOOKUP(CJ84,βοηθητικό!$J$2:$N$354,3,FALSE)="","",VLOOKUP(CJ84,βοηθητικό!$J$2:$N$354,3,FALSE))</f>
        <v>_</v>
      </c>
      <c r="CL84" s="44"/>
      <c r="CM84" s="45" t="s">
        <v>16</v>
      </c>
      <c r="CN84" s="46" t="str">
        <f>IF(VLOOKUP(CM84,βοηθητικό!$J$2:$N$354,3,FALSE)="","",VLOOKUP(CM84,βοηθητικό!$J$2:$N$354,3,FALSE))</f>
        <v>_</v>
      </c>
      <c r="CO84" s="47"/>
      <c r="CP84" s="42" t="s">
        <v>16</v>
      </c>
      <c r="CQ84" s="43" t="str">
        <f>IF(VLOOKUP(CP84,βοηθητικό!$J$2:$N$354,3,FALSE)="","",VLOOKUP(CP84,βοηθητικό!$J$2:$N$354,3,FALSE))</f>
        <v>_</v>
      </c>
      <c r="CR84" s="44"/>
      <c r="CS84" s="45" t="s">
        <v>16</v>
      </c>
      <c r="CT84" s="46" t="str">
        <f>IF(VLOOKUP(CS84,βοηθητικό!$J$2:$N$354,3,FALSE)="","",VLOOKUP(CS84,βοηθητικό!$J$2:$N$354,3,FALSE))</f>
        <v>_</v>
      </c>
      <c r="CU84" s="47"/>
    </row>
    <row r="85" spans="1:99" x14ac:dyDescent="0.25">
      <c r="A85" s="37">
        <f>--SUBTOTAL(3,$B$3:B84)</f>
        <v>82</v>
      </c>
      <c r="B85" s="68">
        <v>45124</v>
      </c>
      <c r="C85" s="69">
        <v>45130</v>
      </c>
      <c r="D85" s="58" t="s">
        <v>74</v>
      </c>
      <c r="E85" s="38" t="s">
        <v>16</v>
      </c>
      <c r="F85" s="38" t="s">
        <v>16</v>
      </c>
      <c r="G85" s="39" t="str">
        <f t="shared" si="5"/>
        <v>__</v>
      </c>
      <c r="H85" s="40" t="str">
        <f t="shared" si="6"/>
        <v>FALSE</v>
      </c>
      <c r="I85" s="41">
        <f t="shared" si="7"/>
        <v>7</v>
      </c>
      <c r="J85" s="4" t="s">
        <v>769</v>
      </c>
      <c r="K85" s="43" t="str">
        <f>IF(VLOOKUP(J85,βοηθητικό!$J$2:$N$354,3,FALSE)="","",VLOOKUP(J85,βοηθητικό!$J$2:$N$354,3,FALSE))</f>
        <v>6985807315</v>
      </c>
      <c r="L85" s="44"/>
      <c r="M85" s="5" t="s">
        <v>778</v>
      </c>
      <c r="N85" s="46" t="str">
        <f>IF(VLOOKUP(M85,βοηθητικό!$J$2:$N$354,3,FALSE)="","",VLOOKUP(M85,βοηθητικό!$J$2:$N$354,3,FALSE))</f>
        <v>6948465629</v>
      </c>
      <c r="O85" s="47"/>
      <c r="P85" s="4" t="s">
        <v>794</v>
      </c>
      <c r="Q85" s="43" t="str">
        <f>IF(VLOOKUP(P85,βοηθητικό!$J$2:$N$354,3,FALSE)="","",VLOOKUP(P85,βοηθητικό!$J$2:$N$354,3,FALSE))</f>
        <v>6983483104</v>
      </c>
      <c r="R85" s="44"/>
      <c r="S85" s="5" t="s">
        <v>809</v>
      </c>
      <c r="T85" s="46">
        <f>IF(VLOOKUP(S85,βοηθητικό!$J$2:$N$354,3,FALSE)="","",VLOOKUP(S85,βοηθητικό!$J$2:$N$354,3,FALSE))</f>
        <v>6937044836</v>
      </c>
      <c r="U85" s="47"/>
      <c r="V85" s="4" t="s">
        <v>813</v>
      </c>
      <c r="W85" s="43">
        <f>IF(VLOOKUP(V85,βοηθητικό!$J$2:$N$354,3,FALSE)="","",VLOOKUP(V85,βοηθητικό!$J$2:$N$354,3,FALSE))</f>
        <v>6988292634</v>
      </c>
      <c r="X85" s="44"/>
      <c r="Y85" s="5" t="s">
        <v>851</v>
      </c>
      <c r="Z85" s="46" t="str">
        <f>IF(VLOOKUP(Y85,βοηθητικό!$J$2:$N$354,3,FALSE)="","",VLOOKUP(Y85,βοηθητικό!$J$2:$N$354,3,FALSE))</f>
        <v>6944688337</v>
      </c>
      <c r="AA85" s="47"/>
      <c r="AB85" s="4" t="s">
        <v>864</v>
      </c>
      <c r="AC85" s="43">
        <f>IF(VLOOKUP(AB85,βοηθητικό!$J$2:$N$354,3,FALSE)="","",VLOOKUP(AB85,βοηθητικό!$J$2:$N$354,3,FALSE))</f>
        <v>6973430967</v>
      </c>
      <c r="AD85" s="44"/>
      <c r="AE85" s="5" t="s">
        <v>16</v>
      </c>
      <c r="AF85" s="46" t="str">
        <f>IF(VLOOKUP(AE85,βοηθητικό!$J$2:$N$354,3,FALSE)="","",VLOOKUP(AE85,βοηθητικό!$J$2:$N$354,3,FALSE))</f>
        <v>_</v>
      </c>
      <c r="AG85" s="47"/>
      <c r="AH85" s="4" t="s">
        <v>16</v>
      </c>
      <c r="AI85" s="43" t="str">
        <f>IF(VLOOKUP(AH85,βοηθητικό!$J$2:$N$354,3,FALSE)="","",VLOOKUP(AH85,βοηθητικό!$J$2:$N$354,3,FALSE))</f>
        <v>_</v>
      </c>
      <c r="AJ85" s="44"/>
      <c r="AK85" s="5" t="s">
        <v>16</v>
      </c>
      <c r="AL85" s="46" t="str">
        <f>IF(VLOOKUP(AK85,βοηθητικό!$J$2:$N$354,3,FALSE)="","",VLOOKUP(AK85,βοηθητικό!$J$2:$N$354,3,FALSE))</f>
        <v>_</v>
      </c>
      <c r="AM85" s="47"/>
      <c r="AN85" s="4" t="s">
        <v>16</v>
      </c>
      <c r="AO85" s="43" t="str">
        <f>IF(VLOOKUP(AN85,βοηθητικό!$J$2:$N$354,3,FALSE)="","",VLOOKUP(AN85,βοηθητικό!$J$2:$N$354,3,FALSE))</f>
        <v>_</v>
      </c>
      <c r="AP85" s="44"/>
      <c r="AQ85" s="5" t="s">
        <v>16</v>
      </c>
      <c r="AR85" s="46" t="str">
        <f>IF(VLOOKUP(AQ85,βοηθητικό!$J$2:$N$354,3,FALSE)="","",VLOOKUP(AQ85,βοηθητικό!$J$2:$N$354,3,FALSE))</f>
        <v>_</v>
      </c>
      <c r="AS85" s="47"/>
      <c r="AT85" s="4" t="s">
        <v>16</v>
      </c>
      <c r="AU85" s="43" t="str">
        <f>IF(VLOOKUP(AT85,βοηθητικό!$J$2:$N$354,3,FALSE)="","",VLOOKUP(AT85,βοηθητικό!$J$2:$N$354,3,FALSE))</f>
        <v>_</v>
      </c>
      <c r="AV85" s="44"/>
      <c r="AW85" s="5" t="s">
        <v>16</v>
      </c>
      <c r="AX85" s="46" t="str">
        <f>IF(VLOOKUP(AW85,βοηθητικό!$J$2:$N$354,3,FALSE)="","",VLOOKUP(AW85,βοηθητικό!$J$2:$N$354,3,FALSE))</f>
        <v>_</v>
      </c>
      <c r="AY85" s="47"/>
      <c r="AZ85" s="4" t="s">
        <v>16</v>
      </c>
      <c r="BA85" s="43" t="str">
        <f>IF(VLOOKUP(AZ85,βοηθητικό!$J$2:$N$354,3,FALSE)="","",VLOOKUP(AZ85,βοηθητικό!$J$2:$N$354,3,FALSE))</f>
        <v>_</v>
      </c>
      <c r="BB85" s="44"/>
      <c r="BC85" s="45" t="s">
        <v>16</v>
      </c>
      <c r="BD85" s="46" t="str">
        <f>IF(VLOOKUP(BC85,βοηθητικό!$J$2:$N$354,3,FALSE)="","",VLOOKUP(BC85,βοηθητικό!$J$2:$N$354,3,FALSE))</f>
        <v>_</v>
      </c>
      <c r="BE85" s="47"/>
      <c r="BF85" s="42" t="s">
        <v>16</v>
      </c>
      <c r="BG85" s="43" t="str">
        <f>IF(VLOOKUP(BF85,βοηθητικό!$J$2:$N$354,3,FALSE)="","",VLOOKUP(BF85,βοηθητικό!$J$2:$N$354,3,FALSE))</f>
        <v>_</v>
      </c>
      <c r="BH85" s="44"/>
      <c r="BI85" s="45" t="s">
        <v>16</v>
      </c>
      <c r="BJ85" s="46" t="str">
        <f>IF(VLOOKUP(BI85,βοηθητικό!$J$2:$N$354,3,FALSE)="","",VLOOKUP(BI85,βοηθητικό!$J$2:$N$354,3,FALSE))</f>
        <v>_</v>
      </c>
      <c r="BK85" s="47"/>
      <c r="BL85" s="42" t="s">
        <v>16</v>
      </c>
      <c r="BM85" s="43" t="str">
        <f>IF(VLOOKUP(BL85,βοηθητικό!$J$2:$N$354,3,FALSE)="","",VLOOKUP(BL85,βοηθητικό!$J$2:$N$354,3,FALSE))</f>
        <v>_</v>
      </c>
      <c r="BN85" s="44"/>
      <c r="BO85" s="45" t="s">
        <v>16</v>
      </c>
      <c r="BP85" s="46" t="str">
        <f>IF(VLOOKUP(BO85,βοηθητικό!$J$2:$N$354,3,FALSE)="","",VLOOKUP(BO85,βοηθητικό!$J$2:$N$354,3,FALSE))</f>
        <v>_</v>
      </c>
      <c r="BQ85" s="47"/>
      <c r="BR85" s="42" t="s">
        <v>16</v>
      </c>
      <c r="BS85" s="43" t="str">
        <f>IF(VLOOKUP(BR85,βοηθητικό!$J$2:$N$354,3,FALSE)="","",VLOOKUP(BR85,βοηθητικό!$J$2:$N$354,3,FALSE))</f>
        <v>_</v>
      </c>
      <c r="BT85" s="44"/>
      <c r="BU85" s="45" t="s">
        <v>16</v>
      </c>
      <c r="BV85" s="46" t="str">
        <f>IF(VLOOKUP(BU85,βοηθητικό!$J$2:$N$354,3,FALSE)="","",VLOOKUP(BU85,βοηθητικό!$J$2:$N$354,3,FALSE))</f>
        <v>_</v>
      </c>
      <c r="BW85" s="47"/>
      <c r="BX85" s="42" t="s">
        <v>16</v>
      </c>
      <c r="BY85" s="43" t="str">
        <f>IF(VLOOKUP(BX85,βοηθητικό!$J$2:$N$354,3,FALSE)="","",VLOOKUP(BX85,βοηθητικό!$J$2:$N$354,3,FALSE))</f>
        <v>_</v>
      </c>
      <c r="BZ85" s="44"/>
      <c r="CA85" s="45" t="s">
        <v>16</v>
      </c>
      <c r="CB85" s="46" t="str">
        <f>IF(VLOOKUP(CA85,βοηθητικό!$J$2:$N$354,3,FALSE)="","",VLOOKUP(CA85,βοηθητικό!$J$2:$N$354,3,FALSE))</f>
        <v>_</v>
      </c>
      <c r="CC85" s="47"/>
      <c r="CD85" s="42" t="s">
        <v>16</v>
      </c>
      <c r="CE85" s="43" t="str">
        <f>IF(VLOOKUP(CD85,βοηθητικό!$J$2:$N$354,3,FALSE)="","",VLOOKUP(CD85,βοηθητικό!$J$2:$N$354,3,FALSE))</f>
        <v>_</v>
      </c>
      <c r="CF85" s="44"/>
      <c r="CG85" s="45" t="s">
        <v>16</v>
      </c>
      <c r="CH85" s="46" t="str">
        <f>IF(VLOOKUP(CG85,βοηθητικό!$J$2:$N$354,3,FALSE)="","",VLOOKUP(CG85,βοηθητικό!$J$2:$N$354,3,FALSE))</f>
        <v>_</v>
      </c>
      <c r="CI85" s="47"/>
      <c r="CJ85" s="42" t="s">
        <v>16</v>
      </c>
      <c r="CK85" s="43" t="str">
        <f>IF(VLOOKUP(CJ85,βοηθητικό!$J$2:$N$354,3,FALSE)="","",VLOOKUP(CJ85,βοηθητικό!$J$2:$N$354,3,FALSE))</f>
        <v>_</v>
      </c>
      <c r="CL85" s="44"/>
      <c r="CM85" s="45" t="s">
        <v>16</v>
      </c>
      <c r="CN85" s="46" t="str">
        <f>IF(VLOOKUP(CM85,βοηθητικό!$J$2:$N$354,3,FALSE)="","",VLOOKUP(CM85,βοηθητικό!$J$2:$N$354,3,FALSE))</f>
        <v>_</v>
      </c>
      <c r="CO85" s="47"/>
      <c r="CP85" s="42" t="s">
        <v>16</v>
      </c>
      <c r="CQ85" s="43" t="str">
        <f>IF(VLOOKUP(CP85,βοηθητικό!$J$2:$N$354,3,FALSE)="","",VLOOKUP(CP85,βοηθητικό!$J$2:$N$354,3,FALSE))</f>
        <v>_</v>
      </c>
      <c r="CR85" s="44"/>
      <c r="CS85" s="45" t="s">
        <v>16</v>
      </c>
      <c r="CT85" s="46" t="str">
        <f>IF(VLOOKUP(CS85,βοηθητικό!$J$2:$N$354,3,FALSE)="","",VLOOKUP(CS85,βοηθητικό!$J$2:$N$354,3,FALSE))</f>
        <v>_</v>
      </c>
      <c r="CU85" s="47"/>
    </row>
    <row r="86" spans="1:99" x14ac:dyDescent="0.25">
      <c r="A86" s="37">
        <f>--SUBTOTAL(3,$B$3:B85)</f>
        <v>83</v>
      </c>
      <c r="B86" s="68">
        <v>45131</v>
      </c>
      <c r="C86" s="69">
        <v>45137</v>
      </c>
      <c r="D86" s="58" t="s">
        <v>74</v>
      </c>
      <c r="E86" s="38" t="s">
        <v>16</v>
      </c>
      <c r="F86" s="38" t="s">
        <v>16</v>
      </c>
      <c r="G86" s="39" t="str">
        <f t="shared" si="5"/>
        <v>__</v>
      </c>
      <c r="H86" s="40" t="str">
        <f t="shared" si="6"/>
        <v>FALSE</v>
      </c>
      <c r="I86" s="41">
        <f t="shared" si="7"/>
        <v>5</v>
      </c>
      <c r="J86" s="4" t="s">
        <v>782</v>
      </c>
      <c r="K86" s="43" t="str">
        <f>IF(VLOOKUP(J86,βοηθητικό!$J$2:$N$354,3,FALSE)="","",VLOOKUP(J86,βοηθητικό!$J$2:$N$354,3,FALSE))</f>
        <v>6983002093</v>
      </c>
      <c r="L86" s="44"/>
      <c r="M86" s="5" t="s">
        <v>825</v>
      </c>
      <c r="N86" s="46">
        <f>IF(VLOOKUP(M86,βοηθητικό!$J$2:$N$354,3,FALSE)="","",VLOOKUP(M86,βοηθητικό!$J$2:$N$354,3,FALSE))</f>
        <v>6907538451</v>
      </c>
      <c r="O86" s="47"/>
      <c r="P86" s="4" t="s">
        <v>843</v>
      </c>
      <c r="Q86" s="43" t="str">
        <f>IF(VLOOKUP(P86,βοηθητικό!$J$2:$N$354,3,FALSE)="","",VLOOKUP(P86,βοηθητικό!$J$2:$N$354,3,FALSE))</f>
        <v>_</v>
      </c>
      <c r="R86" s="44"/>
      <c r="S86" s="5" t="s">
        <v>867</v>
      </c>
      <c r="T86" s="46" t="str">
        <f>IF(VLOOKUP(S86,βοηθητικό!$J$2:$N$354,3,FALSE)="","",VLOOKUP(S86,βοηθητικό!$J$2:$N$354,3,FALSE))</f>
        <v>6934030989</v>
      </c>
      <c r="U86" s="47"/>
      <c r="V86" s="4" t="s">
        <v>873</v>
      </c>
      <c r="W86" s="43">
        <f>IF(VLOOKUP(V86,βοηθητικό!$J$2:$N$354,3,FALSE)="","",VLOOKUP(V86,βοηθητικό!$J$2:$N$354,3,FALSE))</f>
        <v>6988549425</v>
      </c>
      <c r="X86" s="44"/>
      <c r="Y86" s="5" t="s">
        <v>16</v>
      </c>
      <c r="Z86" s="46" t="str">
        <f>IF(VLOOKUP(Y86,βοηθητικό!$J$2:$N$354,3,FALSE)="","",VLOOKUP(Y86,βοηθητικό!$J$2:$N$354,3,FALSE))</f>
        <v>_</v>
      </c>
      <c r="AA86" s="47"/>
      <c r="AB86" s="4" t="s">
        <v>16</v>
      </c>
      <c r="AC86" s="43" t="str">
        <f>IF(VLOOKUP(AB86,βοηθητικό!$J$2:$N$354,3,FALSE)="","",VLOOKUP(AB86,βοηθητικό!$J$2:$N$354,3,FALSE))</f>
        <v>_</v>
      </c>
      <c r="AD86" s="44"/>
      <c r="AE86" s="5" t="s">
        <v>16</v>
      </c>
      <c r="AF86" s="46" t="str">
        <f>IF(VLOOKUP(AE86,βοηθητικό!$J$2:$N$354,3,FALSE)="","",VLOOKUP(AE86,βοηθητικό!$J$2:$N$354,3,FALSE))</f>
        <v>_</v>
      </c>
      <c r="AG86" s="47"/>
      <c r="AH86" s="4" t="s">
        <v>16</v>
      </c>
      <c r="AI86" s="43" t="str">
        <f>IF(VLOOKUP(AH86,βοηθητικό!$J$2:$N$354,3,FALSE)="","",VLOOKUP(AH86,βοηθητικό!$J$2:$N$354,3,FALSE))</f>
        <v>_</v>
      </c>
      <c r="AJ86" s="44"/>
      <c r="AK86" s="5" t="s">
        <v>16</v>
      </c>
      <c r="AL86" s="46" t="str">
        <f>IF(VLOOKUP(AK86,βοηθητικό!$J$2:$N$354,3,FALSE)="","",VLOOKUP(AK86,βοηθητικό!$J$2:$N$354,3,FALSE))</f>
        <v>_</v>
      </c>
      <c r="AM86" s="47"/>
      <c r="AN86" s="4" t="s">
        <v>16</v>
      </c>
      <c r="AO86" s="43" t="str">
        <f>IF(VLOOKUP(AN86,βοηθητικό!$J$2:$N$354,3,FALSE)="","",VLOOKUP(AN86,βοηθητικό!$J$2:$N$354,3,FALSE))</f>
        <v>_</v>
      </c>
      <c r="AP86" s="44"/>
      <c r="AQ86" s="5" t="s">
        <v>16</v>
      </c>
      <c r="AR86" s="46" t="str">
        <f>IF(VLOOKUP(AQ86,βοηθητικό!$J$2:$N$354,3,FALSE)="","",VLOOKUP(AQ86,βοηθητικό!$J$2:$N$354,3,FALSE))</f>
        <v>_</v>
      </c>
      <c r="AS86" s="47"/>
      <c r="AT86" s="4" t="s">
        <v>16</v>
      </c>
      <c r="AU86" s="43" t="str">
        <f>IF(VLOOKUP(AT86,βοηθητικό!$J$2:$N$354,3,FALSE)="","",VLOOKUP(AT86,βοηθητικό!$J$2:$N$354,3,FALSE))</f>
        <v>_</v>
      </c>
      <c r="AV86" s="44"/>
      <c r="AW86" s="5" t="s">
        <v>16</v>
      </c>
      <c r="AX86" s="46" t="str">
        <f>IF(VLOOKUP(AW86,βοηθητικό!$J$2:$N$354,3,FALSE)="","",VLOOKUP(AW86,βοηθητικό!$J$2:$N$354,3,FALSE))</f>
        <v>_</v>
      </c>
      <c r="AY86" s="47"/>
      <c r="AZ86" s="4" t="s">
        <v>16</v>
      </c>
      <c r="BA86" s="43" t="str">
        <f>IF(VLOOKUP(AZ86,βοηθητικό!$J$2:$N$354,3,FALSE)="","",VLOOKUP(AZ86,βοηθητικό!$J$2:$N$354,3,FALSE))</f>
        <v>_</v>
      </c>
      <c r="BB86" s="44"/>
      <c r="BC86" s="45" t="s">
        <v>16</v>
      </c>
      <c r="BD86" s="46" t="str">
        <f>IF(VLOOKUP(BC86,βοηθητικό!$J$2:$N$354,3,FALSE)="","",VLOOKUP(BC86,βοηθητικό!$J$2:$N$354,3,FALSE))</f>
        <v>_</v>
      </c>
      <c r="BE86" s="47"/>
      <c r="BF86" s="42" t="s">
        <v>16</v>
      </c>
      <c r="BG86" s="43" t="str">
        <f>IF(VLOOKUP(BF86,βοηθητικό!$J$2:$N$354,3,FALSE)="","",VLOOKUP(BF86,βοηθητικό!$J$2:$N$354,3,FALSE))</f>
        <v>_</v>
      </c>
      <c r="BH86" s="44"/>
      <c r="BI86" s="45" t="s">
        <v>16</v>
      </c>
      <c r="BJ86" s="46" t="str">
        <f>IF(VLOOKUP(BI86,βοηθητικό!$J$2:$N$354,3,FALSE)="","",VLOOKUP(BI86,βοηθητικό!$J$2:$N$354,3,FALSE))</f>
        <v>_</v>
      </c>
      <c r="BK86" s="47"/>
      <c r="BL86" s="42" t="s">
        <v>16</v>
      </c>
      <c r="BM86" s="43" t="str">
        <f>IF(VLOOKUP(BL86,βοηθητικό!$J$2:$N$354,3,FALSE)="","",VLOOKUP(BL86,βοηθητικό!$J$2:$N$354,3,FALSE))</f>
        <v>_</v>
      </c>
      <c r="BN86" s="44"/>
      <c r="BO86" s="45" t="s">
        <v>16</v>
      </c>
      <c r="BP86" s="46" t="str">
        <f>IF(VLOOKUP(BO86,βοηθητικό!$J$2:$N$354,3,FALSE)="","",VLOOKUP(BO86,βοηθητικό!$J$2:$N$354,3,FALSE))</f>
        <v>_</v>
      </c>
      <c r="BQ86" s="47"/>
      <c r="BR86" s="42" t="s">
        <v>16</v>
      </c>
      <c r="BS86" s="43" t="str">
        <f>IF(VLOOKUP(BR86,βοηθητικό!$J$2:$N$354,3,FALSE)="","",VLOOKUP(BR86,βοηθητικό!$J$2:$N$354,3,FALSE))</f>
        <v>_</v>
      </c>
      <c r="BT86" s="44"/>
      <c r="BU86" s="45" t="s">
        <v>16</v>
      </c>
      <c r="BV86" s="46" t="str">
        <f>IF(VLOOKUP(BU86,βοηθητικό!$J$2:$N$354,3,FALSE)="","",VLOOKUP(BU86,βοηθητικό!$J$2:$N$354,3,FALSE))</f>
        <v>_</v>
      </c>
      <c r="BW86" s="47"/>
      <c r="BX86" s="42" t="s">
        <v>16</v>
      </c>
      <c r="BY86" s="43" t="str">
        <f>IF(VLOOKUP(BX86,βοηθητικό!$J$2:$N$354,3,FALSE)="","",VLOOKUP(BX86,βοηθητικό!$J$2:$N$354,3,FALSE))</f>
        <v>_</v>
      </c>
      <c r="BZ86" s="44"/>
      <c r="CA86" s="45" t="s">
        <v>16</v>
      </c>
      <c r="CB86" s="46" t="str">
        <f>IF(VLOOKUP(CA86,βοηθητικό!$J$2:$N$354,3,FALSE)="","",VLOOKUP(CA86,βοηθητικό!$J$2:$N$354,3,FALSE))</f>
        <v>_</v>
      </c>
      <c r="CC86" s="47"/>
      <c r="CD86" s="42" t="s">
        <v>16</v>
      </c>
      <c r="CE86" s="43" t="str">
        <f>IF(VLOOKUP(CD86,βοηθητικό!$J$2:$N$354,3,FALSE)="","",VLOOKUP(CD86,βοηθητικό!$J$2:$N$354,3,FALSE))</f>
        <v>_</v>
      </c>
      <c r="CF86" s="44"/>
      <c r="CG86" s="45" t="s">
        <v>16</v>
      </c>
      <c r="CH86" s="46" t="str">
        <f>IF(VLOOKUP(CG86,βοηθητικό!$J$2:$N$354,3,FALSE)="","",VLOOKUP(CG86,βοηθητικό!$J$2:$N$354,3,FALSE))</f>
        <v>_</v>
      </c>
      <c r="CI86" s="47"/>
      <c r="CJ86" s="42" t="s">
        <v>16</v>
      </c>
      <c r="CK86" s="43" t="str">
        <f>IF(VLOOKUP(CJ86,βοηθητικό!$J$2:$N$354,3,FALSE)="","",VLOOKUP(CJ86,βοηθητικό!$J$2:$N$354,3,FALSE))</f>
        <v>_</v>
      </c>
      <c r="CL86" s="44"/>
      <c r="CM86" s="45" t="s">
        <v>16</v>
      </c>
      <c r="CN86" s="46" t="str">
        <f>IF(VLOOKUP(CM86,βοηθητικό!$J$2:$N$354,3,FALSE)="","",VLOOKUP(CM86,βοηθητικό!$J$2:$N$354,3,FALSE))</f>
        <v>_</v>
      </c>
      <c r="CO86" s="47"/>
      <c r="CP86" s="42" t="s">
        <v>16</v>
      </c>
      <c r="CQ86" s="43" t="str">
        <f>IF(VLOOKUP(CP86,βοηθητικό!$J$2:$N$354,3,FALSE)="","",VLOOKUP(CP86,βοηθητικό!$J$2:$N$354,3,FALSE))</f>
        <v>_</v>
      </c>
      <c r="CR86" s="44"/>
      <c r="CS86" s="45" t="s">
        <v>16</v>
      </c>
      <c r="CT86" s="46" t="str">
        <f>IF(VLOOKUP(CS86,βοηθητικό!$J$2:$N$354,3,FALSE)="","",VLOOKUP(CS86,βοηθητικό!$J$2:$N$354,3,FALSE))</f>
        <v>_</v>
      </c>
      <c r="CU86" s="47"/>
    </row>
    <row r="87" spans="1:99" x14ac:dyDescent="0.25">
      <c r="A87" s="37">
        <f>--SUBTOTAL(3,$B$3:B86)</f>
        <v>84</v>
      </c>
      <c r="B87" s="68">
        <v>45108</v>
      </c>
      <c r="C87" s="69">
        <v>45116</v>
      </c>
      <c r="D87" s="57" t="s">
        <v>83</v>
      </c>
      <c r="E87" s="38" t="s">
        <v>16</v>
      </c>
      <c r="F87" s="38" t="s">
        <v>16</v>
      </c>
      <c r="G87" s="39" t="str">
        <f t="shared" si="5"/>
        <v>__</v>
      </c>
      <c r="H87" s="40" t="str">
        <f t="shared" si="6"/>
        <v>FALSE</v>
      </c>
      <c r="I87" s="41">
        <f t="shared" si="7"/>
        <v>4</v>
      </c>
      <c r="J87" s="4" t="s">
        <v>887</v>
      </c>
      <c r="K87" s="43" t="str">
        <f>IF(VLOOKUP(J87,βοηθητικό!$J$2:$N$354,3,FALSE)="","",VLOOKUP(J87,βοηθητικό!$J$2:$N$354,3,FALSE))</f>
        <v>6974378663</v>
      </c>
      <c r="L87" s="63"/>
      <c r="M87" s="64" t="s">
        <v>911</v>
      </c>
      <c r="N87" s="46" t="str">
        <f>IF(VLOOKUP(M87,βοηθητικό!$J$2:$N$354,3,FALSE)="","",VLOOKUP(M87,βοηθητικό!$J$2:$N$354,3,FALSE))</f>
        <v>6972234942</v>
      </c>
      <c r="O87" s="65"/>
      <c r="P87" s="4" t="s">
        <v>915</v>
      </c>
      <c r="Q87" s="43" t="str">
        <f>IF(VLOOKUP(P87,βοηθητικό!$J$2:$N$354,3,FALSE)="","",VLOOKUP(P87,βοηθητικό!$J$2:$N$354,3,FALSE))</f>
        <v>6977293089</v>
      </c>
      <c r="R87" s="63"/>
      <c r="S87" s="64" t="s">
        <v>900</v>
      </c>
      <c r="T87" s="46" t="str">
        <f>IF(VLOOKUP(S87,βοηθητικό!$J$2:$N$354,3,FALSE)="","",VLOOKUP(S87,βοηθητικό!$J$2:$N$354,3,FALSE))</f>
        <v>_</v>
      </c>
      <c r="U87" s="47"/>
      <c r="V87" s="4" t="s">
        <v>16</v>
      </c>
      <c r="W87" s="43" t="str">
        <f>IF(VLOOKUP(V87,βοηθητικό!$J$2:$N$354,3,FALSE)="","",VLOOKUP(V87,βοηθητικό!$J$2:$N$354,3,FALSE))</f>
        <v>_</v>
      </c>
      <c r="X87" s="44"/>
      <c r="Y87" s="5" t="s">
        <v>16</v>
      </c>
      <c r="Z87" s="46" t="str">
        <f>IF(VLOOKUP(Y87,βοηθητικό!$J$2:$N$354,3,FALSE)="","",VLOOKUP(Y87,βοηθητικό!$J$2:$N$354,3,FALSE))</f>
        <v>_</v>
      </c>
      <c r="AA87" s="47"/>
      <c r="AB87" s="4" t="s">
        <v>16</v>
      </c>
      <c r="AC87" s="43" t="str">
        <f>IF(VLOOKUP(AB87,βοηθητικό!$J$2:$N$354,3,FALSE)="","",VLOOKUP(AB87,βοηθητικό!$J$2:$N$354,3,FALSE))</f>
        <v>_</v>
      </c>
      <c r="AD87" s="44"/>
      <c r="AE87" s="5" t="s">
        <v>16</v>
      </c>
      <c r="AF87" s="46" t="str">
        <f>IF(VLOOKUP(AE87,βοηθητικό!$J$2:$N$354,3,FALSE)="","",VLOOKUP(AE87,βοηθητικό!$J$2:$N$354,3,FALSE))</f>
        <v>_</v>
      </c>
      <c r="AG87" s="47"/>
      <c r="AH87" s="4" t="s">
        <v>16</v>
      </c>
      <c r="AI87" s="43" t="str">
        <f>IF(VLOOKUP(AH87,βοηθητικό!$J$2:$N$354,3,FALSE)="","",VLOOKUP(AH87,βοηθητικό!$J$2:$N$354,3,FALSE))</f>
        <v>_</v>
      </c>
      <c r="AJ87" s="44"/>
      <c r="AK87" s="5" t="s">
        <v>16</v>
      </c>
      <c r="AL87" s="46" t="str">
        <f>IF(VLOOKUP(AK87,βοηθητικό!$J$2:$N$354,3,FALSE)="","",VLOOKUP(AK87,βοηθητικό!$J$2:$N$354,3,FALSE))</f>
        <v>_</v>
      </c>
      <c r="AM87" s="47"/>
      <c r="AN87" s="4" t="s">
        <v>16</v>
      </c>
      <c r="AO87" s="43" t="str">
        <f>IF(VLOOKUP(AN87,βοηθητικό!$J$2:$N$354,3,FALSE)="","",VLOOKUP(AN87,βοηθητικό!$J$2:$N$354,3,FALSE))</f>
        <v>_</v>
      </c>
      <c r="AP87" s="44"/>
      <c r="AQ87" s="5" t="s">
        <v>16</v>
      </c>
      <c r="AR87" s="46" t="str">
        <f>IF(VLOOKUP(AQ87,βοηθητικό!$J$2:$N$354,3,FALSE)="","",VLOOKUP(AQ87,βοηθητικό!$J$2:$N$354,3,FALSE))</f>
        <v>_</v>
      </c>
      <c r="AS87" s="47"/>
      <c r="AT87" s="4" t="s">
        <v>16</v>
      </c>
      <c r="AU87" s="43" t="str">
        <f>IF(VLOOKUP(AT87,βοηθητικό!$J$2:$N$354,3,FALSE)="","",VLOOKUP(AT87,βοηθητικό!$J$2:$N$354,3,FALSE))</f>
        <v>_</v>
      </c>
      <c r="AV87" s="44"/>
      <c r="AW87" s="5" t="s">
        <v>16</v>
      </c>
      <c r="AX87" s="46" t="str">
        <f>IF(VLOOKUP(AW87,βοηθητικό!$J$2:$N$354,3,FALSE)="","",VLOOKUP(AW87,βοηθητικό!$J$2:$N$354,3,FALSE))</f>
        <v>_</v>
      </c>
      <c r="AY87" s="47"/>
      <c r="AZ87" s="4" t="s">
        <v>16</v>
      </c>
      <c r="BA87" s="43" t="str">
        <f>IF(VLOOKUP(AZ87,βοηθητικό!$J$2:$N$354,3,FALSE)="","",VLOOKUP(AZ87,βοηθητικό!$J$2:$N$354,3,FALSE))</f>
        <v>_</v>
      </c>
      <c r="BB87" s="44"/>
      <c r="BC87" s="45" t="s">
        <v>16</v>
      </c>
      <c r="BD87" s="46" t="str">
        <f>IF(VLOOKUP(BC87,βοηθητικό!$J$2:$N$354,3,FALSE)="","",VLOOKUP(BC87,βοηθητικό!$J$2:$N$354,3,FALSE))</f>
        <v>_</v>
      </c>
      <c r="BE87" s="47"/>
      <c r="BF87" s="42" t="s">
        <v>16</v>
      </c>
      <c r="BG87" s="43" t="str">
        <f>IF(VLOOKUP(BF87,βοηθητικό!$J$2:$N$354,3,FALSE)="","",VLOOKUP(BF87,βοηθητικό!$J$2:$N$354,3,FALSE))</f>
        <v>_</v>
      </c>
      <c r="BH87" s="44"/>
      <c r="BI87" s="45" t="s">
        <v>16</v>
      </c>
      <c r="BJ87" s="46" t="str">
        <f>IF(VLOOKUP(BI87,βοηθητικό!$J$2:$N$354,3,FALSE)="","",VLOOKUP(BI87,βοηθητικό!$J$2:$N$354,3,FALSE))</f>
        <v>_</v>
      </c>
      <c r="BK87" s="47"/>
      <c r="BL87" s="42" t="s">
        <v>16</v>
      </c>
      <c r="BM87" s="43" t="str">
        <f>IF(VLOOKUP(BL87,βοηθητικό!$J$2:$N$354,3,FALSE)="","",VLOOKUP(BL87,βοηθητικό!$J$2:$N$354,3,FALSE))</f>
        <v>_</v>
      </c>
      <c r="BN87" s="44"/>
      <c r="BO87" s="45" t="s">
        <v>16</v>
      </c>
      <c r="BP87" s="46" t="str">
        <f>IF(VLOOKUP(BO87,βοηθητικό!$J$2:$N$354,3,FALSE)="","",VLOOKUP(BO87,βοηθητικό!$J$2:$N$354,3,FALSE))</f>
        <v>_</v>
      </c>
      <c r="BQ87" s="47"/>
      <c r="BR87" s="42" t="s">
        <v>16</v>
      </c>
      <c r="BS87" s="43" t="str">
        <f>IF(VLOOKUP(BR87,βοηθητικό!$J$2:$N$354,3,FALSE)="","",VLOOKUP(BR87,βοηθητικό!$J$2:$N$354,3,FALSE))</f>
        <v>_</v>
      </c>
      <c r="BT87" s="44"/>
      <c r="BU87" s="45" t="s">
        <v>16</v>
      </c>
      <c r="BV87" s="46" t="str">
        <f>IF(VLOOKUP(BU87,βοηθητικό!$J$2:$N$354,3,FALSE)="","",VLOOKUP(BU87,βοηθητικό!$J$2:$N$354,3,FALSE))</f>
        <v>_</v>
      </c>
      <c r="BW87" s="47"/>
      <c r="BX87" s="42" t="s">
        <v>16</v>
      </c>
      <c r="BY87" s="43" t="str">
        <f>IF(VLOOKUP(BX87,βοηθητικό!$J$2:$N$354,3,FALSE)="","",VLOOKUP(BX87,βοηθητικό!$J$2:$N$354,3,FALSE))</f>
        <v>_</v>
      </c>
      <c r="BZ87" s="44"/>
      <c r="CA87" s="45" t="s">
        <v>16</v>
      </c>
      <c r="CB87" s="46" t="str">
        <f>IF(VLOOKUP(CA87,βοηθητικό!$J$2:$N$354,3,FALSE)="","",VLOOKUP(CA87,βοηθητικό!$J$2:$N$354,3,FALSE))</f>
        <v>_</v>
      </c>
      <c r="CC87" s="47"/>
      <c r="CD87" s="42" t="s">
        <v>16</v>
      </c>
      <c r="CE87" s="43" t="str">
        <f>IF(VLOOKUP(CD87,βοηθητικό!$J$2:$N$354,3,FALSE)="","",VLOOKUP(CD87,βοηθητικό!$J$2:$N$354,3,FALSE))</f>
        <v>_</v>
      </c>
      <c r="CF87" s="44"/>
      <c r="CG87" s="45" t="s">
        <v>16</v>
      </c>
      <c r="CH87" s="46" t="str">
        <f>IF(VLOOKUP(CG87,βοηθητικό!$J$2:$N$354,3,FALSE)="","",VLOOKUP(CG87,βοηθητικό!$J$2:$N$354,3,FALSE))</f>
        <v>_</v>
      </c>
      <c r="CI87" s="47"/>
      <c r="CJ87" s="42" t="s">
        <v>16</v>
      </c>
      <c r="CK87" s="43" t="str">
        <f>IF(VLOOKUP(CJ87,βοηθητικό!$J$2:$N$354,3,FALSE)="","",VLOOKUP(CJ87,βοηθητικό!$J$2:$N$354,3,FALSE))</f>
        <v>_</v>
      </c>
      <c r="CL87" s="44"/>
      <c r="CM87" s="45" t="s">
        <v>16</v>
      </c>
      <c r="CN87" s="46" t="str">
        <f>IF(VLOOKUP(CM87,βοηθητικό!$J$2:$N$354,3,FALSE)="","",VLOOKUP(CM87,βοηθητικό!$J$2:$N$354,3,FALSE))</f>
        <v>_</v>
      </c>
      <c r="CO87" s="47"/>
      <c r="CP87" s="42" t="s">
        <v>16</v>
      </c>
      <c r="CQ87" s="43" t="str">
        <f>IF(VLOOKUP(CP87,βοηθητικό!$J$2:$N$354,3,FALSE)="","",VLOOKUP(CP87,βοηθητικό!$J$2:$N$354,3,FALSE))</f>
        <v>_</v>
      </c>
      <c r="CR87" s="44"/>
      <c r="CS87" s="45" t="s">
        <v>16</v>
      </c>
      <c r="CT87" s="46" t="str">
        <f>IF(VLOOKUP(CS87,βοηθητικό!$J$2:$N$354,3,FALSE)="","",VLOOKUP(CS87,βοηθητικό!$J$2:$N$354,3,FALSE))</f>
        <v>_</v>
      </c>
      <c r="CU87" s="47"/>
    </row>
    <row r="88" spans="1:99" x14ac:dyDescent="0.25">
      <c r="A88" s="37">
        <f>--SUBTOTAL(3,$B$3:B87)</f>
        <v>85</v>
      </c>
      <c r="B88" s="68">
        <v>45117</v>
      </c>
      <c r="C88" s="69">
        <v>45123</v>
      </c>
      <c r="D88" s="57" t="s">
        <v>83</v>
      </c>
      <c r="E88" s="38" t="s">
        <v>16</v>
      </c>
      <c r="F88" s="38" t="s">
        <v>16</v>
      </c>
      <c r="G88" s="39" t="str">
        <f t="shared" si="5"/>
        <v>__</v>
      </c>
      <c r="H88" s="40" t="str">
        <f t="shared" si="6"/>
        <v>FALSE</v>
      </c>
      <c r="I88" s="41">
        <f t="shared" si="7"/>
        <v>4</v>
      </c>
      <c r="J88" s="4" t="s">
        <v>884</v>
      </c>
      <c r="K88" s="43" t="str">
        <f>IF(VLOOKUP(J88,βοηθητικό!$J$2:$N$354,3,FALSE)="","",VLOOKUP(J88,βοηθητικό!$J$2:$N$354,3,FALSE))</f>
        <v>6978894699</v>
      </c>
      <c r="L88" s="63"/>
      <c r="M88" s="64" t="s">
        <v>880</v>
      </c>
      <c r="N88" s="46" t="str">
        <f>IF(VLOOKUP(M88,βοηθητικό!$J$2:$N$354,3,FALSE)="","",VLOOKUP(M88,βοηθητικό!$J$2:$N$354,3,FALSE))</f>
        <v>6976657104</v>
      </c>
      <c r="O88" s="65"/>
      <c r="P88" s="4" t="s">
        <v>907</v>
      </c>
      <c r="Q88" s="43" t="str">
        <f>IF(VLOOKUP(P88,βοηθητικό!$J$2:$N$354,3,FALSE)="","",VLOOKUP(P88,βοηθητικό!$J$2:$N$354,3,FALSE))</f>
        <v>6974321817</v>
      </c>
      <c r="R88" s="63"/>
      <c r="S88" s="64" t="s">
        <v>915</v>
      </c>
      <c r="T88" s="46" t="str">
        <f>IF(VLOOKUP(S88,βοηθητικό!$J$2:$N$354,3,FALSE)="","",VLOOKUP(S88,βοηθητικό!$J$2:$N$354,3,FALSE))</f>
        <v>6977293089</v>
      </c>
      <c r="U88" s="47"/>
      <c r="V88" s="4" t="s">
        <v>16</v>
      </c>
      <c r="W88" s="43" t="str">
        <f>IF(VLOOKUP(V88,βοηθητικό!$J$2:$N$354,3,FALSE)="","",VLOOKUP(V88,βοηθητικό!$J$2:$N$354,3,FALSE))</f>
        <v>_</v>
      </c>
      <c r="X88" s="44"/>
      <c r="Y88" s="5" t="s">
        <v>16</v>
      </c>
      <c r="Z88" s="46" t="str">
        <f>IF(VLOOKUP(Y88,βοηθητικό!$J$2:$N$354,3,FALSE)="","",VLOOKUP(Y88,βοηθητικό!$J$2:$N$354,3,FALSE))</f>
        <v>_</v>
      </c>
      <c r="AA88" s="47"/>
      <c r="AB88" s="4" t="s">
        <v>16</v>
      </c>
      <c r="AC88" s="43" t="str">
        <f>IF(VLOOKUP(AB88,βοηθητικό!$J$2:$N$354,3,FALSE)="","",VLOOKUP(AB88,βοηθητικό!$J$2:$N$354,3,FALSE))</f>
        <v>_</v>
      </c>
      <c r="AD88" s="44"/>
      <c r="AE88" s="5" t="s">
        <v>16</v>
      </c>
      <c r="AF88" s="46" t="str">
        <f>IF(VLOOKUP(AE88,βοηθητικό!$J$2:$N$354,3,FALSE)="","",VLOOKUP(AE88,βοηθητικό!$J$2:$N$354,3,FALSE))</f>
        <v>_</v>
      </c>
      <c r="AG88" s="47"/>
      <c r="AH88" s="4" t="s">
        <v>16</v>
      </c>
      <c r="AI88" s="43" t="str">
        <f>IF(VLOOKUP(AH88,βοηθητικό!$J$2:$N$354,3,FALSE)="","",VLOOKUP(AH88,βοηθητικό!$J$2:$N$354,3,FALSE))</f>
        <v>_</v>
      </c>
      <c r="AJ88" s="44"/>
      <c r="AK88" s="5" t="s">
        <v>16</v>
      </c>
      <c r="AL88" s="46" t="str">
        <f>IF(VLOOKUP(AK88,βοηθητικό!$J$2:$N$354,3,FALSE)="","",VLOOKUP(AK88,βοηθητικό!$J$2:$N$354,3,FALSE))</f>
        <v>_</v>
      </c>
      <c r="AM88" s="47"/>
      <c r="AN88" s="4" t="s">
        <v>16</v>
      </c>
      <c r="AO88" s="43" t="str">
        <f>IF(VLOOKUP(AN88,βοηθητικό!$J$2:$N$354,3,FALSE)="","",VLOOKUP(AN88,βοηθητικό!$J$2:$N$354,3,FALSE))</f>
        <v>_</v>
      </c>
      <c r="AP88" s="44"/>
      <c r="AQ88" s="5" t="s">
        <v>16</v>
      </c>
      <c r="AR88" s="46" t="str">
        <f>IF(VLOOKUP(AQ88,βοηθητικό!$J$2:$N$354,3,FALSE)="","",VLOOKUP(AQ88,βοηθητικό!$J$2:$N$354,3,FALSE))</f>
        <v>_</v>
      </c>
      <c r="AS88" s="47"/>
      <c r="AT88" s="4" t="s">
        <v>16</v>
      </c>
      <c r="AU88" s="43" t="str">
        <f>IF(VLOOKUP(AT88,βοηθητικό!$J$2:$N$354,3,FALSE)="","",VLOOKUP(AT88,βοηθητικό!$J$2:$N$354,3,FALSE))</f>
        <v>_</v>
      </c>
      <c r="AV88" s="44"/>
      <c r="AW88" s="5" t="s">
        <v>16</v>
      </c>
      <c r="AX88" s="46" t="str">
        <f>IF(VLOOKUP(AW88,βοηθητικό!$J$2:$N$354,3,FALSE)="","",VLOOKUP(AW88,βοηθητικό!$J$2:$N$354,3,FALSE))</f>
        <v>_</v>
      </c>
      <c r="AY88" s="47"/>
      <c r="AZ88" s="4" t="s">
        <v>16</v>
      </c>
      <c r="BA88" s="43" t="str">
        <f>IF(VLOOKUP(AZ88,βοηθητικό!$J$2:$N$354,3,FALSE)="","",VLOOKUP(AZ88,βοηθητικό!$J$2:$N$354,3,FALSE))</f>
        <v>_</v>
      </c>
      <c r="BB88" s="44"/>
      <c r="BC88" s="45" t="s">
        <v>16</v>
      </c>
      <c r="BD88" s="46" t="str">
        <f>IF(VLOOKUP(BC88,βοηθητικό!$J$2:$N$354,3,FALSE)="","",VLOOKUP(BC88,βοηθητικό!$J$2:$N$354,3,FALSE))</f>
        <v>_</v>
      </c>
      <c r="BE88" s="47"/>
      <c r="BF88" s="42" t="s">
        <v>16</v>
      </c>
      <c r="BG88" s="43" t="str">
        <f>IF(VLOOKUP(BF88,βοηθητικό!$J$2:$N$354,3,FALSE)="","",VLOOKUP(BF88,βοηθητικό!$J$2:$N$354,3,FALSE))</f>
        <v>_</v>
      </c>
      <c r="BH88" s="44"/>
      <c r="BI88" s="45" t="s">
        <v>16</v>
      </c>
      <c r="BJ88" s="46" t="str">
        <f>IF(VLOOKUP(BI88,βοηθητικό!$J$2:$N$354,3,FALSE)="","",VLOOKUP(BI88,βοηθητικό!$J$2:$N$354,3,FALSE))</f>
        <v>_</v>
      </c>
      <c r="BK88" s="47"/>
      <c r="BL88" s="42" t="s">
        <v>16</v>
      </c>
      <c r="BM88" s="43" t="str">
        <f>IF(VLOOKUP(BL88,βοηθητικό!$J$2:$N$354,3,FALSE)="","",VLOOKUP(BL88,βοηθητικό!$J$2:$N$354,3,FALSE))</f>
        <v>_</v>
      </c>
      <c r="BN88" s="44"/>
      <c r="BO88" s="45" t="s">
        <v>16</v>
      </c>
      <c r="BP88" s="46" t="str">
        <f>IF(VLOOKUP(BO88,βοηθητικό!$J$2:$N$354,3,FALSE)="","",VLOOKUP(BO88,βοηθητικό!$J$2:$N$354,3,FALSE))</f>
        <v>_</v>
      </c>
      <c r="BQ88" s="47"/>
      <c r="BR88" s="42" t="s">
        <v>16</v>
      </c>
      <c r="BS88" s="43" t="str">
        <f>IF(VLOOKUP(BR88,βοηθητικό!$J$2:$N$354,3,FALSE)="","",VLOOKUP(BR88,βοηθητικό!$J$2:$N$354,3,FALSE))</f>
        <v>_</v>
      </c>
      <c r="BT88" s="44"/>
      <c r="BU88" s="45" t="s">
        <v>16</v>
      </c>
      <c r="BV88" s="46" t="str">
        <f>IF(VLOOKUP(BU88,βοηθητικό!$J$2:$N$354,3,FALSE)="","",VLOOKUP(BU88,βοηθητικό!$J$2:$N$354,3,FALSE))</f>
        <v>_</v>
      </c>
      <c r="BW88" s="47"/>
      <c r="BX88" s="42" t="s">
        <v>16</v>
      </c>
      <c r="BY88" s="43" t="str">
        <f>IF(VLOOKUP(BX88,βοηθητικό!$J$2:$N$354,3,FALSE)="","",VLOOKUP(BX88,βοηθητικό!$J$2:$N$354,3,FALSE))</f>
        <v>_</v>
      </c>
      <c r="BZ88" s="44"/>
      <c r="CA88" s="45" t="s">
        <v>16</v>
      </c>
      <c r="CB88" s="46" t="str">
        <f>IF(VLOOKUP(CA88,βοηθητικό!$J$2:$N$354,3,FALSE)="","",VLOOKUP(CA88,βοηθητικό!$J$2:$N$354,3,FALSE))</f>
        <v>_</v>
      </c>
      <c r="CC88" s="47"/>
      <c r="CD88" s="42" t="s">
        <v>16</v>
      </c>
      <c r="CE88" s="43" t="str">
        <f>IF(VLOOKUP(CD88,βοηθητικό!$J$2:$N$354,3,FALSE)="","",VLOOKUP(CD88,βοηθητικό!$J$2:$N$354,3,FALSE))</f>
        <v>_</v>
      </c>
      <c r="CF88" s="44"/>
      <c r="CG88" s="45" t="s">
        <v>16</v>
      </c>
      <c r="CH88" s="46" t="str">
        <f>IF(VLOOKUP(CG88,βοηθητικό!$J$2:$N$354,3,FALSE)="","",VLOOKUP(CG88,βοηθητικό!$J$2:$N$354,3,FALSE))</f>
        <v>_</v>
      </c>
      <c r="CI88" s="47"/>
      <c r="CJ88" s="42" t="s">
        <v>16</v>
      </c>
      <c r="CK88" s="43" t="str">
        <f>IF(VLOOKUP(CJ88,βοηθητικό!$J$2:$N$354,3,FALSE)="","",VLOOKUP(CJ88,βοηθητικό!$J$2:$N$354,3,FALSE))</f>
        <v>_</v>
      </c>
      <c r="CL88" s="44"/>
      <c r="CM88" s="45" t="s">
        <v>16</v>
      </c>
      <c r="CN88" s="46" t="str">
        <f>IF(VLOOKUP(CM88,βοηθητικό!$J$2:$N$354,3,FALSE)="","",VLOOKUP(CM88,βοηθητικό!$J$2:$N$354,3,FALSE))</f>
        <v>_</v>
      </c>
      <c r="CO88" s="47"/>
      <c r="CP88" s="42" t="s">
        <v>16</v>
      </c>
      <c r="CQ88" s="43" t="str">
        <f>IF(VLOOKUP(CP88,βοηθητικό!$J$2:$N$354,3,FALSE)="","",VLOOKUP(CP88,βοηθητικό!$J$2:$N$354,3,FALSE))</f>
        <v>_</v>
      </c>
      <c r="CR88" s="44"/>
      <c r="CS88" s="45" t="s">
        <v>16</v>
      </c>
      <c r="CT88" s="46" t="str">
        <f>IF(VLOOKUP(CS88,βοηθητικό!$J$2:$N$354,3,FALSE)="","",VLOOKUP(CS88,βοηθητικό!$J$2:$N$354,3,FALSE))</f>
        <v>_</v>
      </c>
      <c r="CU88" s="47"/>
    </row>
    <row r="89" spans="1:99" x14ac:dyDescent="0.25">
      <c r="A89" s="37">
        <f>--SUBTOTAL(3,$B$3:B88)</f>
        <v>86</v>
      </c>
      <c r="B89" s="68">
        <v>45124</v>
      </c>
      <c r="C89" s="69">
        <v>45130</v>
      </c>
      <c r="D89" s="57" t="s">
        <v>83</v>
      </c>
      <c r="E89" s="38" t="s">
        <v>16</v>
      </c>
      <c r="F89" s="38" t="s">
        <v>16</v>
      </c>
      <c r="G89" s="39" t="str">
        <f t="shared" si="5"/>
        <v>__</v>
      </c>
      <c r="H89" s="40" t="str">
        <f t="shared" si="6"/>
        <v>FALSE</v>
      </c>
      <c r="I89" s="41">
        <f t="shared" si="7"/>
        <v>4</v>
      </c>
      <c r="J89" s="4" t="s">
        <v>875</v>
      </c>
      <c r="K89" s="43" t="str">
        <f>IF(VLOOKUP(J89,βοηθητικό!$J$2:$N$354,3,FALSE)="","",VLOOKUP(J89,βοηθητικό!$J$2:$N$354,3,FALSE))</f>
        <v>6980736334</v>
      </c>
      <c r="L89" s="63"/>
      <c r="M89" s="64" t="s">
        <v>892</v>
      </c>
      <c r="N89" s="46" t="str">
        <f>IF(VLOOKUP(M89,βοηθητικό!$J$2:$N$354,3,FALSE)="","",VLOOKUP(M89,βοηθητικό!$J$2:$N$354,3,FALSE))</f>
        <v>6978335362</v>
      </c>
      <c r="O89" s="65"/>
      <c r="P89" s="4" t="s">
        <v>903</v>
      </c>
      <c r="Q89" s="43" t="str">
        <f>IF(VLOOKUP(P89,βοηθητικό!$J$2:$N$354,3,FALSE)="","",VLOOKUP(P89,βοηθητικό!$J$2:$N$354,3,FALSE))</f>
        <v>6934973849</v>
      </c>
      <c r="R89" s="63"/>
      <c r="S89" s="64" t="s">
        <v>900</v>
      </c>
      <c r="T89" s="46" t="str">
        <f>IF(VLOOKUP(S89,βοηθητικό!$J$2:$N$354,3,FALSE)="","",VLOOKUP(S89,βοηθητικό!$J$2:$N$354,3,FALSE))</f>
        <v>_</v>
      </c>
      <c r="U89" s="47"/>
      <c r="V89" s="4" t="s">
        <v>16</v>
      </c>
      <c r="W89" s="43" t="str">
        <f>IF(VLOOKUP(V89,βοηθητικό!$J$2:$N$354,3,FALSE)="","",VLOOKUP(V89,βοηθητικό!$J$2:$N$354,3,FALSE))</f>
        <v>_</v>
      </c>
      <c r="X89" s="44"/>
      <c r="Y89" s="5" t="s">
        <v>16</v>
      </c>
      <c r="Z89" s="46" t="str">
        <f>IF(VLOOKUP(Y89,βοηθητικό!$J$2:$N$354,3,FALSE)="","",VLOOKUP(Y89,βοηθητικό!$J$2:$N$354,3,FALSE))</f>
        <v>_</v>
      </c>
      <c r="AA89" s="47"/>
      <c r="AB89" s="4" t="s">
        <v>16</v>
      </c>
      <c r="AC89" s="43" t="str">
        <f>IF(VLOOKUP(AB89,βοηθητικό!$J$2:$N$354,3,FALSE)="","",VLOOKUP(AB89,βοηθητικό!$J$2:$N$354,3,FALSE))</f>
        <v>_</v>
      </c>
      <c r="AD89" s="44"/>
      <c r="AE89" s="5" t="s">
        <v>16</v>
      </c>
      <c r="AF89" s="46" t="str">
        <f>IF(VLOOKUP(AE89,βοηθητικό!$J$2:$N$354,3,FALSE)="","",VLOOKUP(AE89,βοηθητικό!$J$2:$N$354,3,FALSE))</f>
        <v>_</v>
      </c>
      <c r="AG89" s="47"/>
      <c r="AH89" s="4" t="s">
        <v>16</v>
      </c>
      <c r="AI89" s="43" t="str">
        <f>IF(VLOOKUP(AH89,βοηθητικό!$J$2:$N$354,3,FALSE)="","",VLOOKUP(AH89,βοηθητικό!$J$2:$N$354,3,FALSE))</f>
        <v>_</v>
      </c>
      <c r="AJ89" s="44"/>
      <c r="AK89" s="5" t="s">
        <v>16</v>
      </c>
      <c r="AL89" s="46" t="str">
        <f>IF(VLOOKUP(AK89,βοηθητικό!$J$2:$N$354,3,FALSE)="","",VLOOKUP(AK89,βοηθητικό!$J$2:$N$354,3,FALSE))</f>
        <v>_</v>
      </c>
      <c r="AM89" s="47"/>
      <c r="AN89" s="4" t="s">
        <v>16</v>
      </c>
      <c r="AO89" s="43" t="str">
        <f>IF(VLOOKUP(AN89,βοηθητικό!$J$2:$N$354,3,FALSE)="","",VLOOKUP(AN89,βοηθητικό!$J$2:$N$354,3,FALSE))</f>
        <v>_</v>
      </c>
      <c r="AP89" s="44"/>
      <c r="AQ89" s="5" t="s">
        <v>16</v>
      </c>
      <c r="AR89" s="46" t="str">
        <f>IF(VLOOKUP(AQ89,βοηθητικό!$J$2:$N$354,3,FALSE)="","",VLOOKUP(AQ89,βοηθητικό!$J$2:$N$354,3,FALSE))</f>
        <v>_</v>
      </c>
      <c r="AS89" s="47"/>
      <c r="AT89" s="4" t="s">
        <v>16</v>
      </c>
      <c r="AU89" s="43" t="str">
        <f>IF(VLOOKUP(AT89,βοηθητικό!$J$2:$N$354,3,FALSE)="","",VLOOKUP(AT89,βοηθητικό!$J$2:$N$354,3,FALSE))</f>
        <v>_</v>
      </c>
      <c r="AV89" s="44"/>
      <c r="AW89" s="5" t="s">
        <v>16</v>
      </c>
      <c r="AX89" s="46" t="str">
        <f>IF(VLOOKUP(AW89,βοηθητικό!$J$2:$N$354,3,FALSE)="","",VLOOKUP(AW89,βοηθητικό!$J$2:$N$354,3,FALSE))</f>
        <v>_</v>
      </c>
      <c r="AY89" s="47"/>
      <c r="AZ89" s="4" t="s">
        <v>16</v>
      </c>
      <c r="BA89" s="43" t="str">
        <f>IF(VLOOKUP(AZ89,βοηθητικό!$J$2:$N$354,3,FALSE)="","",VLOOKUP(AZ89,βοηθητικό!$J$2:$N$354,3,FALSE))</f>
        <v>_</v>
      </c>
      <c r="BB89" s="44"/>
      <c r="BC89" s="45" t="s">
        <v>16</v>
      </c>
      <c r="BD89" s="46" t="str">
        <f>IF(VLOOKUP(BC89,βοηθητικό!$J$2:$N$354,3,FALSE)="","",VLOOKUP(BC89,βοηθητικό!$J$2:$N$354,3,FALSE))</f>
        <v>_</v>
      </c>
      <c r="BE89" s="47"/>
      <c r="BF89" s="42" t="s">
        <v>16</v>
      </c>
      <c r="BG89" s="43" t="str">
        <f>IF(VLOOKUP(BF89,βοηθητικό!$J$2:$N$354,3,FALSE)="","",VLOOKUP(BF89,βοηθητικό!$J$2:$N$354,3,FALSE))</f>
        <v>_</v>
      </c>
      <c r="BH89" s="44"/>
      <c r="BI89" s="45" t="s">
        <v>16</v>
      </c>
      <c r="BJ89" s="46" t="str">
        <f>IF(VLOOKUP(BI89,βοηθητικό!$J$2:$N$354,3,FALSE)="","",VLOOKUP(BI89,βοηθητικό!$J$2:$N$354,3,FALSE))</f>
        <v>_</v>
      </c>
      <c r="BK89" s="47"/>
      <c r="BL89" s="42" t="s">
        <v>16</v>
      </c>
      <c r="BM89" s="43" t="str">
        <f>IF(VLOOKUP(BL89,βοηθητικό!$J$2:$N$354,3,FALSE)="","",VLOOKUP(BL89,βοηθητικό!$J$2:$N$354,3,FALSE))</f>
        <v>_</v>
      </c>
      <c r="BN89" s="44"/>
      <c r="BO89" s="45" t="s">
        <v>16</v>
      </c>
      <c r="BP89" s="46" t="str">
        <f>IF(VLOOKUP(BO89,βοηθητικό!$J$2:$N$354,3,FALSE)="","",VLOOKUP(BO89,βοηθητικό!$J$2:$N$354,3,FALSE))</f>
        <v>_</v>
      </c>
      <c r="BQ89" s="47"/>
      <c r="BR89" s="42" t="s">
        <v>16</v>
      </c>
      <c r="BS89" s="43" t="str">
        <f>IF(VLOOKUP(BR89,βοηθητικό!$J$2:$N$354,3,FALSE)="","",VLOOKUP(BR89,βοηθητικό!$J$2:$N$354,3,FALSE))</f>
        <v>_</v>
      </c>
      <c r="BT89" s="44"/>
      <c r="BU89" s="45" t="s">
        <v>16</v>
      </c>
      <c r="BV89" s="46" t="str">
        <f>IF(VLOOKUP(BU89,βοηθητικό!$J$2:$N$354,3,FALSE)="","",VLOOKUP(BU89,βοηθητικό!$J$2:$N$354,3,FALSE))</f>
        <v>_</v>
      </c>
      <c r="BW89" s="47"/>
      <c r="BX89" s="42" t="s">
        <v>16</v>
      </c>
      <c r="BY89" s="43" t="str">
        <f>IF(VLOOKUP(BX89,βοηθητικό!$J$2:$N$354,3,FALSE)="","",VLOOKUP(BX89,βοηθητικό!$J$2:$N$354,3,FALSE))</f>
        <v>_</v>
      </c>
      <c r="BZ89" s="44"/>
      <c r="CA89" s="45" t="s">
        <v>16</v>
      </c>
      <c r="CB89" s="46" t="str">
        <f>IF(VLOOKUP(CA89,βοηθητικό!$J$2:$N$354,3,FALSE)="","",VLOOKUP(CA89,βοηθητικό!$J$2:$N$354,3,FALSE))</f>
        <v>_</v>
      </c>
      <c r="CC89" s="47"/>
      <c r="CD89" s="42" t="s">
        <v>16</v>
      </c>
      <c r="CE89" s="43" t="str">
        <f>IF(VLOOKUP(CD89,βοηθητικό!$J$2:$N$354,3,FALSE)="","",VLOOKUP(CD89,βοηθητικό!$J$2:$N$354,3,FALSE))</f>
        <v>_</v>
      </c>
      <c r="CF89" s="44"/>
      <c r="CG89" s="45" t="s">
        <v>16</v>
      </c>
      <c r="CH89" s="46" t="str">
        <f>IF(VLOOKUP(CG89,βοηθητικό!$J$2:$N$354,3,FALSE)="","",VLOOKUP(CG89,βοηθητικό!$J$2:$N$354,3,FALSE))</f>
        <v>_</v>
      </c>
      <c r="CI89" s="47"/>
      <c r="CJ89" s="42" t="s">
        <v>16</v>
      </c>
      <c r="CK89" s="43" t="str">
        <f>IF(VLOOKUP(CJ89,βοηθητικό!$J$2:$N$354,3,FALSE)="","",VLOOKUP(CJ89,βοηθητικό!$J$2:$N$354,3,FALSE))</f>
        <v>_</v>
      </c>
      <c r="CL89" s="44"/>
      <c r="CM89" s="45" t="s">
        <v>16</v>
      </c>
      <c r="CN89" s="46" t="str">
        <f>IF(VLOOKUP(CM89,βοηθητικό!$J$2:$N$354,3,FALSE)="","",VLOOKUP(CM89,βοηθητικό!$J$2:$N$354,3,FALSE))</f>
        <v>_</v>
      </c>
      <c r="CO89" s="47"/>
      <c r="CP89" s="42" t="s">
        <v>16</v>
      </c>
      <c r="CQ89" s="43" t="str">
        <f>IF(VLOOKUP(CP89,βοηθητικό!$J$2:$N$354,3,FALSE)="","",VLOOKUP(CP89,βοηθητικό!$J$2:$N$354,3,FALSE))</f>
        <v>_</v>
      </c>
      <c r="CR89" s="44"/>
      <c r="CS89" s="45" t="s">
        <v>16</v>
      </c>
      <c r="CT89" s="46" t="str">
        <f>IF(VLOOKUP(CS89,βοηθητικό!$J$2:$N$354,3,FALSE)="","",VLOOKUP(CS89,βοηθητικό!$J$2:$N$354,3,FALSE))</f>
        <v>_</v>
      </c>
      <c r="CU89" s="47"/>
    </row>
    <row r="90" spans="1:99" x14ac:dyDescent="0.25">
      <c r="A90" s="37">
        <f>--SUBTOTAL(3,$B$3:B89)</f>
        <v>87</v>
      </c>
      <c r="B90" s="68">
        <v>45131</v>
      </c>
      <c r="C90" s="69">
        <v>45137</v>
      </c>
      <c r="D90" s="57" t="s">
        <v>83</v>
      </c>
      <c r="E90" s="38" t="s">
        <v>16</v>
      </c>
      <c r="F90" s="38" t="s">
        <v>16</v>
      </c>
      <c r="G90" s="39" t="str">
        <f t="shared" si="5"/>
        <v>__</v>
      </c>
      <c r="H90" s="40" t="str">
        <f t="shared" si="6"/>
        <v>FALSE</v>
      </c>
      <c r="I90" s="41">
        <f t="shared" si="7"/>
        <v>4</v>
      </c>
      <c r="J90" s="4" t="s">
        <v>896</v>
      </c>
      <c r="K90" s="43" t="str">
        <f>IF(VLOOKUP(J90,βοηθητικό!$J$2:$N$354,3,FALSE)="","",VLOOKUP(J90,βοηθητικό!$J$2:$N$354,3,FALSE))</f>
        <v>6989602050</v>
      </c>
      <c r="L90" s="63"/>
      <c r="M90" s="64" t="s">
        <v>919</v>
      </c>
      <c r="N90" s="46" t="str">
        <f>IF(VLOOKUP(M90,βοηθητικό!$J$2:$N$354,3,FALSE)="","",VLOOKUP(M90,βοηθητικό!$J$2:$N$354,3,FALSE))</f>
        <v>6972309803</v>
      </c>
      <c r="O90" s="65"/>
      <c r="P90" s="4" t="s">
        <v>907</v>
      </c>
      <c r="Q90" s="43" t="str">
        <f>IF(VLOOKUP(P90,βοηθητικό!$J$2:$N$354,3,FALSE)="","",VLOOKUP(P90,βοηθητικό!$J$2:$N$354,3,FALSE))</f>
        <v>6974321817</v>
      </c>
      <c r="R90" s="63"/>
      <c r="S90" s="64" t="s">
        <v>903</v>
      </c>
      <c r="T90" s="46" t="str">
        <f>IF(VLOOKUP(S90,βοηθητικό!$J$2:$N$354,3,FALSE)="","",VLOOKUP(S90,βοηθητικό!$J$2:$N$354,3,FALSE))</f>
        <v>6934973849</v>
      </c>
      <c r="U90" s="47"/>
      <c r="V90" s="4" t="s">
        <v>16</v>
      </c>
      <c r="W90" s="43" t="str">
        <f>IF(VLOOKUP(V90,βοηθητικό!$J$2:$N$354,3,FALSE)="","",VLOOKUP(V90,βοηθητικό!$J$2:$N$354,3,FALSE))</f>
        <v>_</v>
      </c>
      <c r="X90" s="44"/>
      <c r="Y90" s="5" t="s">
        <v>16</v>
      </c>
      <c r="Z90" s="46" t="str">
        <f>IF(VLOOKUP(Y90,βοηθητικό!$J$2:$N$354,3,FALSE)="","",VLOOKUP(Y90,βοηθητικό!$J$2:$N$354,3,FALSE))</f>
        <v>_</v>
      </c>
      <c r="AA90" s="47"/>
      <c r="AB90" s="4" t="s">
        <v>16</v>
      </c>
      <c r="AC90" s="43" t="str">
        <f>IF(VLOOKUP(AB90,βοηθητικό!$J$2:$N$354,3,FALSE)="","",VLOOKUP(AB90,βοηθητικό!$J$2:$N$354,3,FALSE))</f>
        <v>_</v>
      </c>
      <c r="AD90" s="44"/>
      <c r="AE90" s="5" t="s">
        <v>16</v>
      </c>
      <c r="AF90" s="46" t="str">
        <f>IF(VLOOKUP(AE90,βοηθητικό!$J$2:$N$354,3,FALSE)="","",VLOOKUP(AE90,βοηθητικό!$J$2:$N$354,3,FALSE))</f>
        <v>_</v>
      </c>
      <c r="AG90" s="47"/>
      <c r="AH90" s="4" t="s">
        <v>16</v>
      </c>
      <c r="AI90" s="43" t="str">
        <f>IF(VLOOKUP(AH90,βοηθητικό!$J$2:$N$354,3,FALSE)="","",VLOOKUP(AH90,βοηθητικό!$J$2:$N$354,3,FALSE))</f>
        <v>_</v>
      </c>
      <c r="AJ90" s="44"/>
      <c r="AK90" s="5" t="s">
        <v>16</v>
      </c>
      <c r="AL90" s="46" t="str">
        <f>IF(VLOOKUP(AK90,βοηθητικό!$J$2:$N$354,3,FALSE)="","",VLOOKUP(AK90,βοηθητικό!$J$2:$N$354,3,FALSE))</f>
        <v>_</v>
      </c>
      <c r="AM90" s="47"/>
      <c r="AN90" s="4" t="s">
        <v>16</v>
      </c>
      <c r="AO90" s="43" t="str">
        <f>IF(VLOOKUP(AN90,βοηθητικό!$J$2:$N$354,3,FALSE)="","",VLOOKUP(AN90,βοηθητικό!$J$2:$N$354,3,FALSE))</f>
        <v>_</v>
      </c>
      <c r="AP90" s="44"/>
      <c r="AQ90" s="5" t="s">
        <v>16</v>
      </c>
      <c r="AR90" s="46" t="str">
        <f>IF(VLOOKUP(AQ90,βοηθητικό!$J$2:$N$354,3,FALSE)="","",VLOOKUP(AQ90,βοηθητικό!$J$2:$N$354,3,FALSE))</f>
        <v>_</v>
      </c>
      <c r="AS90" s="47"/>
      <c r="AT90" s="4" t="s">
        <v>16</v>
      </c>
      <c r="AU90" s="43" t="str">
        <f>IF(VLOOKUP(AT90,βοηθητικό!$J$2:$N$354,3,FALSE)="","",VLOOKUP(AT90,βοηθητικό!$J$2:$N$354,3,FALSE))</f>
        <v>_</v>
      </c>
      <c r="AV90" s="44"/>
      <c r="AW90" s="5" t="s">
        <v>16</v>
      </c>
      <c r="AX90" s="46" t="str">
        <f>IF(VLOOKUP(AW90,βοηθητικό!$J$2:$N$354,3,FALSE)="","",VLOOKUP(AW90,βοηθητικό!$J$2:$N$354,3,FALSE))</f>
        <v>_</v>
      </c>
      <c r="AY90" s="47"/>
      <c r="AZ90" s="4" t="s">
        <v>16</v>
      </c>
      <c r="BA90" s="43" t="str">
        <f>IF(VLOOKUP(AZ90,βοηθητικό!$J$2:$N$354,3,FALSE)="","",VLOOKUP(AZ90,βοηθητικό!$J$2:$N$354,3,FALSE))</f>
        <v>_</v>
      </c>
      <c r="BB90" s="44"/>
      <c r="BC90" s="45" t="s">
        <v>16</v>
      </c>
      <c r="BD90" s="46" t="str">
        <f>IF(VLOOKUP(BC90,βοηθητικό!$J$2:$N$354,3,FALSE)="","",VLOOKUP(BC90,βοηθητικό!$J$2:$N$354,3,FALSE))</f>
        <v>_</v>
      </c>
      <c r="BE90" s="47"/>
      <c r="BF90" s="42" t="s">
        <v>16</v>
      </c>
      <c r="BG90" s="43" t="str">
        <f>IF(VLOOKUP(BF90,βοηθητικό!$J$2:$N$354,3,FALSE)="","",VLOOKUP(BF90,βοηθητικό!$J$2:$N$354,3,FALSE))</f>
        <v>_</v>
      </c>
      <c r="BH90" s="44"/>
      <c r="BI90" s="45" t="s">
        <v>16</v>
      </c>
      <c r="BJ90" s="46" t="str">
        <f>IF(VLOOKUP(BI90,βοηθητικό!$J$2:$N$354,3,FALSE)="","",VLOOKUP(BI90,βοηθητικό!$J$2:$N$354,3,FALSE))</f>
        <v>_</v>
      </c>
      <c r="BK90" s="47"/>
      <c r="BL90" s="42" t="s">
        <v>16</v>
      </c>
      <c r="BM90" s="43" t="str">
        <f>IF(VLOOKUP(BL90,βοηθητικό!$J$2:$N$354,3,FALSE)="","",VLOOKUP(BL90,βοηθητικό!$J$2:$N$354,3,FALSE))</f>
        <v>_</v>
      </c>
      <c r="BN90" s="44"/>
      <c r="BO90" s="45" t="s">
        <v>16</v>
      </c>
      <c r="BP90" s="46" t="str">
        <f>IF(VLOOKUP(BO90,βοηθητικό!$J$2:$N$354,3,FALSE)="","",VLOOKUP(BO90,βοηθητικό!$J$2:$N$354,3,FALSE))</f>
        <v>_</v>
      </c>
      <c r="BQ90" s="47"/>
      <c r="BR90" s="42" t="s">
        <v>16</v>
      </c>
      <c r="BS90" s="43" t="str">
        <f>IF(VLOOKUP(BR90,βοηθητικό!$J$2:$N$354,3,FALSE)="","",VLOOKUP(BR90,βοηθητικό!$J$2:$N$354,3,FALSE))</f>
        <v>_</v>
      </c>
      <c r="BT90" s="44"/>
      <c r="BU90" s="45" t="s">
        <v>16</v>
      </c>
      <c r="BV90" s="46" t="str">
        <f>IF(VLOOKUP(BU90,βοηθητικό!$J$2:$N$354,3,FALSE)="","",VLOOKUP(BU90,βοηθητικό!$J$2:$N$354,3,FALSE))</f>
        <v>_</v>
      </c>
      <c r="BW90" s="47"/>
      <c r="BX90" s="42" t="s">
        <v>16</v>
      </c>
      <c r="BY90" s="43" t="str">
        <f>IF(VLOOKUP(BX90,βοηθητικό!$J$2:$N$354,3,FALSE)="","",VLOOKUP(BX90,βοηθητικό!$J$2:$N$354,3,FALSE))</f>
        <v>_</v>
      </c>
      <c r="BZ90" s="44"/>
      <c r="CA90" s="45" t="s">
        <v>16</v>
      </c>
      <c r="CB90" s="46" t="str">
        <f>IF(VLOOKUP(CA90,βοηθητικό!$J$2:$N$354,3,FALSE)="","",VLOOKUP(CA90,βοηθητικό!$J$2:$N$354,3,FALSE))</f>
        <v>_</v>
      </c>
      <c r="CC90" s="47"/>
      <c r="CD90" s="42" t="s">
        <v>16</v>
      </c>
      <c r="CE90" s="43" t="str">
        <f>IF(VLOOKUP(CD90,βοηθητικό!$J$2:$N$354,3,FALSE)="","",VLOOKUP(CD90,βοηθητικό!$J$2:$N$354,3,FALSE))</f>
        <v>_</v>
      </c>
      <c r="CF90" s="44"/>
      <c r="CG90" s="45" t="s">
        <v>16</v>
      </c>
      <c r="CH90" s="46" t="str">
        <f>IF(VLOOKUP(CG90,βοηθητικό!$J$2:$N$354,3,FALSE)="","",VLOOKUP(CG90,βοηθητικό!$J$2:$N$354,3,FALSE))</f>
        <v>_</v>
      </c>
      <c r="CI90" s="47"/>
      <c r="CJ90" s="42" t="s">
        <v>16</v>
      </c>
      <c r="CK90" s="43" t="str">
        <f>IF(VLOOKUP(CJ90,βοηθητικό!$J$2:$N$354,3,FALSE)="","",VLOOKUP(CJ90,βοηθητικό!$J$2:$N$354,3,FALSE))</f>
        <v>_</v>
      </c>
      <c r="CL90" s="44"/>
      <c r="CM90" s="45" t="s">
        <v>16</v>
      </c>
      <c r="CN90" s="46" t="str">
        <f>IF(VLOOKUP(CM90,βοηθητικό!$J$2:$N$354,3,FALSE)="","",VLOOKUP(CM90,βοηθητικό!$J$2:$N$354,3,FALSE))</f>
        <v>_</v>
      </c>
      <c r="CO90" s="47"/>
      <c r="CP90" s="42" t="s">
        <v>16</v>
      </c>
      <c r="CQ90" s="43" t="str">
        <f>IF(VLOOKUP(CP90,βοηθητικό!$J$2:$N$354,3,FALSE)="","",VLOOKUP(CP90,βοηθητικό!$J$2:$N$354,3,FALSE))</f>
        <v>_</v>
      </c>
      <c r="CR90" s="44"/>
      <c r="CS90" s="45" t="s">
        <v>16</v>
      </c>
      <c r="CT90" s="46" t="str">
        <f>IF(VLOOKUP(CS90,βοηθητικό!$J$2:$N$354,3,FALSE)="","",VLOOKUP(CS90,βοηθητικό!$J$2:$N$354,3,FALSE))</f>
        <v>_</v>
      </c>
      <c r="CU90" s="47"/>
    </row>
    <row r="91" spans="1:99" x14ac:dyDescent="0.25">
      <c r="A91" s="37">
        <f>--SUBTOTAL(3,$B$3:B90)</f>
        <v>88</v>
      </c>
      <c r="B91" s="68">
        <v>45108</v>
      </c>
      <c r="C91" s="69">
        <v>45116</v>
      </c>
      <c r="D91" s="58" t="s">
        <v>92</v>
      </c>
      <c r="E91" s="38" t="s">
        <v>16</v>
      </c>
      <c r="F91" s="38" t="s">
        <v>16</v>
      </c>
      <c r="G91" s="39" t="str">
        <f t="shared" si="5"/>
        <v>__</v>
      </c>
      <c r="H91" s="40" t="str">
        <f t="shared" si="6"/>
        <v>FALSE</v>
      </c>
      <c r="I91" s="41">
        <f t="shared" si="7"/>
        <v>11</v>
      </c>
      <c r="J91" s="4" t="s">
        <v>1051</v>
      </c>
      <c r="K91" s="43">
        <f>IF(VLOOKUP(J91,βοηθητικό!$J$2:$N$354,3,FALSE)="","",VLOOKUP(J91,βοηθητικό!$J$2:$N$354,3,FALSE))</f>
        <v>6948358027</v>
      </c>
      <c r="L91" s="44"/>
      <c r="M91" s="5" t="s">
        <v>1065</v>
      </c>
      <c r="N91" s="46">
        <f>IF(VLOOKUP(M91,βοηθητικό!$J$2:$N$354,3,FALSE)="","",VLOOKUP(M91,βοηθητικό!$J$2:$N$354,3,FALSE))</f>
        <v>6977224085</v>
      </c>
      <c r="O91" s="47"/>
      <c r="P91" s="4" t="s">
        <v>1026</v>
      </c>
      <c r="Q91" s="43">
        <f>IF(VLOOKUP(P91,βοηθητικό!$J$2:$N$354,3,FALSE)="","",VLOOKUP(P91,βοηθητικό!$J$2:$N$354,3,FALSE))</f>
        <v>6972915741</v>
      </c>
      <c r="R91" s="44"/>
      <c r="S91" s="5" t="s">
        <v>957</v>
      </c>
      <c r="T91" s="46" t="str">
        <f>IF(VLOOKUP(S91,βοηθητικό!$J$2:$N$354,3,FALSE)="","",VLOOKUP(S91,βοηθητικό!$J$2:$N$354,3,FALSE))</f>
        <v>6980042920</v>
      </c>
      <c r="U91" s="47"/>
      <c r="V91" s="4" t="s">
        <v>935</v>
      </c>
      <c r="W91" s="43" t="str">
        <f>IF(VLOOKUP(V91,βοηθητικό!$J$2:$N$354,3,FALSE)="","",VLOOKUP(V91,βοηθητικό!$J$2:$N$354,3,FALSE))</f>
        <v>6934671271</v>
      </c>
      <c r="X91" s="44"/>
      <c r="Y91" s="5" t="s">
        <v>1062</v>
      </c>
      <c r="Z91" s="46">
        <f>IF(VLOOKUP(Y91,βοηθητικό!$J$2:$N$354,3,FALSE)="","",VLOOKUP(Y91,βοηθητικό!$J$2:$N$354,3,FALSE))</f>
        <v>6977010272</v>
      </c>
      <c r="AA91" s="47"/>
      <c r="AB91" s="4" t="s">
        <v>985</v>
      </c>
      <c r="AC91" s="43">
        <f>IF(VLOOKUP(AB91,βοηθητικό!$J$2:$N$354,3,FALSE)="","",VLOOKUP(AB91,βοηθητικό!$J$2:$N$354,3,FALSE))</f>
        <v>6978333756</v>
      </c>
      <c r="AD91" s="44"/>
      <c r="AE91" s="5" t="s">
        <v>1059</v>
      </c>
      <c r="AF91" s="46" t="str">
        <f>IF(VLOOKUP(AE91,βοηθητικό!$J$2:$N$354,3,FALSE)="","",VLOOKUP(AE91,βοηθητικό!$J$2:$N$354,3,FALSE))</f>
        <v>6984685650</v>
      </c>
      <c r="AG91" s="47"/>
      <c r="AH91" s="4" t="s">
        <v>1080</v>
      </c>
      <c r="AI91" s="43" t="str">
        <f>IF(VLOOKUP(AH91,βοηθητικό!$J$2:$N$354,3,FALSE)="","",VLOOKUP(AH91,βοηθητικό!$J$2:$N$354,3,FALSE))</f>
        <v>6987312059</v>
      </c>
      <c r="AJ91" s="44"/>
      <c r="AK91" s="5" t="s">
        <v>1019</v>
      </c>
      <c r="AL91" s="46">
        <f>IF(VLOOKUP(AK91,βοηθητικό!$J$2:$N$354,3,FALSE)="","",VLOOKUP(AK91,βοηθητικό!$J$2:$N$354,3,FALSE))</f>
        <v>6999854936</v>
      </c>
      <c r="AM91" s="47"/>
      <c r="AN91" s="4" t="s">
        <v>1033</v>
      </c>
      <c r="AO91" s="43">
        <f>IF(VLOOKUP(AN91,βοηθητικό!$J$2:$N$354,3,FALSE)="","",VLOOKUP(AN91,βοηθητικό!$J$2:$N$354,3,FALSE))</f>
        <v>6974114328</v>
      </c>
      <c r="AP91" s="44"/>
      <c r="AQ91" s="5" t="s">
        <v>16</v>
      </c>
      <c r="AR91" s="46" t="str">
        <f>IF(VLOOKUP(AQ91,βοηθητικό!$J$2:$N$354,3,FALSE)="","",VLOOKUP(AQ91,βοηθητικό!$J$2:$N$354,3,FALSE))</f>
        <v>_</v>
      </c>
      <c r="AS91" s="47"/>
      <c r="AT91" s="4" t="s">
        <v>16</v>
      </c>
      <c r="AU91" s="43" t="str">
        <f>IF(VLOOKUP(AT91,βοηθητικό!$J$2:$N$354,3,FALSE)="","",VLOOKUP(AT91,βοηθητικό!$J$2:$N$354,3,FALSE))</f>
        <v>_</v>
      </c>
      <c r="AV91" s="44"/>
      <c r="AW91" s="5" t="s">
        <v>16</v>
      </c>
      <c r="AX91" s="46" t="str">
        <f>IF(VLOOKUP(AW91,βοηθητικό!$J$2:$N$354,3,FALSE)="","",VLOOKUP(AW91,βοηθητικό!$J$2:$N$354,3,FALSE))</f>
        <v>_</v>
      </c>
      <c r="AY91" s="47"/>
      <c r="AZ91" s="4" t="s">
        <v>16</v>
      </c>
      <c r="BA91" s="43" t="str">
        <f>IF(VLOOKUP(AZ91,βοηθητικό!$J$2:$N$354,3,FALSE)="","",VLOOKUP(AZ91,βοηθητικό!$J$2:$N$354,3,FALSE))</f>
        <v>_</v>
      </c>
      <c r="BB91" s="44"/>
      <c r="BC91" s="45" t="s">
        <v>16</v>
      </c>
      <c r="BD91" s="46" t="str">
        <f>IF(VLOOKUP(BC91,βοηθητικό!$J$2:$N$354,3,FALSE)="","",VLOOKUP(BC91,βοηθητικό!$J$2:$N$354,3,FALSE))</f>
        <v>_</v>
      </c>
      <c r="BE91" s="47"/>
      <c r="BF91" s="42" t="s">
        <v>16</v>
      </c>
      <c r="BG91" s="43" t="str">
        <f>IF(VLOOKUP(BF91,βοηθητικό!$J$2:$N$354,3,FALSE)="","",VLOOKUP(BF91,βοηθητικό!$J$2:$N$354,3,FALSE))</f>
        <v>_</v>
      </c>
      <c r="BH91" s="44"/>
      <c r="BI91" s="45" t="s">
        <v>16</v>
      </c>
      <c r="BJ91" s="46" t="str">
        <f>IF(VLOOKUP(BI91,βοηθητικό!$J$2:$N$354,3,FALSE)="","",VLOOKUP(BI91,βοηθητικό!$J$2:$N$354,3,FALSE))</f>
        <v>_</v>
      </c>
      <c r="BK91" s="47"/>
      <c r="BL91" s="42" t="s">
        <v>16</v>
      </c>
      <c r="BM91" s="43" t="str">
        <f>IF(VLOOKUP(BL91,βοηθητικό!$J$2:$N$354,3,FALSE)="","",VLOOKUP(BL91,βοηθητικό!$J$2:$N$354,3,FALSE))</f>
        <v>_</v>
      </c>
      <c r="BN91" s="44"/>
      <c r="BO91" s="45" t="s">
        <v>16</v>
      </c>
      <c r="BP91" s="46" t="str">
        <f>IF(VLOOKUP(BO91,βοηθητικό!$J$2:$N$354,3,FALSE)="","",VLOOKUP(BO91,βοηθητικό!$J$2:$N$354,3,FALSE))</f>
        <v>_</v>
      </c>
      <c r="BQ91" s="47"/>
      <c r="BR91" s="42" t="s">
        <v>16</v>
      </c>
      <c r="BS91" s="43" t="str">
        <f>IF(VLOOKUP(BR91,βοηθητικό!$J$2:$N$354,3,FALSE)="","",VLOOKUP(BR91,βοηθητικό!$J$2:$N$354,3,FALSE))</f>
        <v>_</v>
      </c>
      <c r="BT91" s="44"/>
      <c r="BU91" s="45" t="s">
        <v>16</v>
      </c>
      <c r="BV91" s="46" t="str">
        <f>IF(VLOOKUP(BU91,βοηθητικό!$J$2:$N$354,3,FALSE)="","",VLOOKUP(BU91,βοηθητικό!$J$2:$N$354,3,FALSE))</f>
        <v>_</v>
      </c>
      <c r="BW91" s="47"/>
      <c r="BX91" s="42" t="s">
        <v>16</v>
      </c>
      <c r="BY91" s="43" t="str">
        <f>IF(VLOOKUP(BX91,βοηθητικό!$J$2:$N$354,3,FALSE)="","",VLOOKUP(BX91,βοηθητικό!$J$2:$N$354,3,FALSE))</f>
        <v>_</v>
      </c>
      <c r="BZ91" s="44"/>
      <c r="CA91" s="45" t="s">
        <v>16</v>
      </c>
      <c r="CB91" s="46" t="str">
        <f>IF(VLOOKUP(CA91,βοηθητικό!$J$2:$N$354,3,FALSE)="","",VLOOKUP(CA91,βοηθητικό!$J$2:$N$354,3,FALSE))</f>
        <v>_</v>
      </c>
      <c r="CC91" s="47"/>
      <c r="CD91" s="42" t="s">
        <v>16</v>
      </c>
      <c r="CE91" s="43" t="str">
        <f>IF(VLOOKUP(CD91,βοηθητικό!$J$2:$N$354,3,FALSE)="","",VLOOKUP(CD91,βοηθητικό!$J$2:$N$354,3,FALSE))</f>
        <v>_</v>
      </c>
      <c r="CF91" s="44"/>
      <c r="CG91" s="45" t="s">
        <v>16</v>
      </c>
      <c r="CH91" s="46" t="str">
        <f>IF(VLOOKUP(CG91,βοηθητικό!$J$2:$N$354,3,FALSE)="","",VLOOKUP(CG91,βοηθητικό!$J$2:$N$354,3,FALSE))</f>
        <v>_</v>
      </c>
      <c r="CI91" s="47"/>
      <c r="CJ91" s="42" t="s">
        <v>16</v>
      </c>
      <c r="CK91" s="43" t="str">
        <f>IF(VLOOKUP(CJ91,βοηθητικό!$J$2:$N$354,3,FALSE)="","",VLOOKUP(CJ91,βοηθητικό!$J$2:$N$354,3,FALSE))</f>
        <v>_</v>
      </c>
      <c r="CL91" s="44"/>
      <c r="CM91" s="45" t="s">
        <v>16</v>
      </c>
      <c r="CN91" s="46" t="str">
        <f>IF(VLOOKUP(CM91,βοηθητικό!$J$2:$N$354,3,FALSE)="","",VLOOKUP(CM91,βοηθητικό!$J$2:$N$354,3,FALSE))</f>
        <v>_</v>
      </c>
      <c r="CO91" s="47"/>
      <c r="CP91" s="42" t="s">
        <v>16</v>
      </c>
      <c r="CQ91" s="43" t="str">
        <f>IF(VLOOKUP(CP91,βοηθητικό!$J$2:$N$354,3,FALSE)="","",VLOOKUP(CP91,βοηθητικό!$J$2:$N$354,3,FALSE))</f>
        <v>_</v>
      </c>
      <c r="CR91" s="44"/>
      <c r="CS91" s="45" t="s">
        <v>16</v>
      </c>
      <c r="CT91" s="46" t="str">
        <f>IF(VLOOKUP(CS91,βοηθητικό!$J$2:$N$354,3,FALSE)="","",VLOOKUP(CS91,βοηθητικό!$J$2:$N$354,3,FALSE))</f>
        <v>_</v>
      </c>
      <c r="CU91" s="47"/>
    </row>
    <row r="92" spans="1:99" x14ac:dyDescent="0.25">
      <c r="A92" s="37">
        <f>--SUBTOTAL(3,$B$3:B91)</f>
        <v>89</v>
      </c>
      <c r="B92" s="68">
        <v>45117</v>
      </c>
      <c r="C92" s="69">
        <v>45123</v>
      </c>
      <c r="D92" s="58" t="s">
        <v>92</v>
      </c>
      <c r="E92" s="38" t="s">
        <v>16</v>
      </c>
      <c r="F92" s="38" t="s">
        <v>16</v>
      </c>
      <c r="G92" s="39" t="str">
        <f t="shared" si="5"/>
        <v>__</v>
      </c>
      <c r="H92" s="40" t="str">
        <f t="shared" si="6"/>
        <v>FALSE</v>
      </c>
      <c r="I92" s="41">
        <f t="shared" si="7"/>
        <v>12</v>
      </c>
      <c r="J92" s="4" t="s">
        <v>969</v>
      </c>
      <c r="K92" s="43" t="str">
        <f>IF(VLOOKUP(J92,βοηθητικό!$J$2:$N$354,3,FALSE)="","",VLOOKUP(J92,βοηθητικό!$J$2:$N$354,3,FALSE))</f>
        <v>6972773725</v>
      </c>
      <c r="L92" s="44"/>
      <c r="M92" s="5" t="s">
        <v>1041</v>
      </c>
      <c r="N92" s="46">
        <f>IF(VLOOKUP(M92,βοηθητικό!$J$2:$N$354,3,FALSE)="","",VLOOKUP(M92,βοηθητικό!$J$2:$N$354,3,FALSE))</f>
        <v>6977628647</v>
      </c>
      <c r="O92" s="47"/>
      <c r="P92" s="4" t="s">
        <v>1031</v>
      </c>
      <c r="Q92" s="43">
        <f>IF(VLOOKUP(P92,βοηθητικό!$J$2:$N$354,3,FALSE)="","",VLOOKUP(P92,βοηθητικό!$J$2:$N$354,3,FALSE))</f>
        <v>6936970927</v>
      </c>
      <c r="R92" s="44"/>
      <c r="S92" s="5" t="s">
        <v>995</v>
      </c>
      <c r="T92" s="46" t="str">
        <f>IF(VLOOKUP(S92,βοηθητικό!$J$2:$N$354,3,FALSE)="","",VLOOKUP(S92,βοηθητικό!$J$2:$N$354,3,FALSE))</f>
        <v>6972386367</v>
      </c>
      <c r="U92" s="47"/>
      <c r="V92" s="4" t="s">
        <v>1029</v>
      </c>
      <c r="W92" s="43">
        <f>IF(VLOOKUP(V92,βοηθητικό!$J$2:$N$354,3,FALSE)="","",VLOOKUP(V92,βοηθητικό!$J$2:$N$354,3,FALSE))</f>
        <v>6972210917</v>
      </c>
      <c r="X92" s="44"/>
      <c r="Y92" s="5" t="s">
        <v>965</v>
      </c>
      <c r="Z92" s="46" t="str">
        <f>IF(VLOOKUP(Y92,βοηθητικό!$J$2:$N$354,3,FALSE)="","",VLOOKUP(Y92,βοηθητικό!$J$2:$N$354,3,FALSE))</f>
        <v>6942039538</v>
      </c>
      <c r="AA92" s="47"/>
      <c r="AB92" s="4" t="s">
        <v>987</v>
      </c>
      <c r="AC92" s="43" t="str">
        <f>IF(VLOOKUP(AB92,βοηθητικό!$J$2:$N$354,3,FALSE)="","",VLOOKUP(AB92,βοηθητικό!$J$2:$N$354,3,FALSE))</f>
        <v>6984118511</v>
      </c>
      <c r="AD92" s="44"/>
      <c r="AE92" s="5" t="s">
        <v>1068</v>
      </c>
      <c r="AF92" s="46" t="str">
        <f>IF(VLOOKUP(AE92,βοηθητικό!$J$2:$N$354,3,FALSE)="","",VLOOKUP(AE92,βοηθητικό!$J$2:$N$354,3,FALSE))</f>
        <v>6973806827</v>
      </c>
      <c r="AG92" s="47"/>
      <c r="AH92" s="4" t="s">
        <v>1053</v>
      </c>
      <c r="AI92" s="43" t="str">
        <f>IF(VLOOKUP(AH92,βοηθητικό!$J$2:$N$354,3,FALSE)="","",VLOOKUP(AH92,βοηθητικό!$J$2:$N$354,3,FALSE))</f>
        <v>6983652275</v>
      </c>
      <c r="AJ92" s="44"/>
      <c r="AK92" s="5" t="s">
        <v>598</v>
      </c>
      <c r="AL92" s="46" t="str">
        <f>IF(VLOOKUP(AK92,βοηθητικό!$J$2:$N$354,3,FALSE)="","",VLOOKUP(AK92,βοηθητικό!$J$2:$N$354,3,FALSE))</f>
        <v>6944715209</v>
      </c>
      <c r="AM92" s="47"/>
      <c r="AN92" s="4" t="s">
        <v>981</v>
      </c>
      <c r="AO92" s="43" t="str">
        <f>IF(VLOOKUP(AN92,βοηθητικό!$J$2:$N$354,3,FALSE)="","",VLOOKUP(AN92,βοηθητικό!$J$2:$N$354,3,FALSE))</f>
        <v>6978853783</v>
      </c>
      <c r="AP92" s="44"/>
      <c r="AQ92" s="5" t="s">
        <v>1084</v>
      </c>
      <c r="AR92" s="46">
        <f>IF(VLOOKUP(AQ92,βοηθητικό!$J$2:$N$354,3,FALSE)="","",VLOOKUP(AQ92,βοηθητικό!$J$2:$N$354,3,FALSE))</f>
        <v>6942419580</v>
      </c>
      <c r="AS92" s="47"/>
      <c r="AT92" s="4" t="s">
        <v>16</v>
      </c>
      <c r="AU92" s="43" t="str">
        <f>IF(VLOOKUP(AT92,βοηθητικό!$J$2:$N$354,3,FALSE)="","",VLOOKUP(AT92,βοηθητικό!$J$2:$N$354,3,FALSE))</f>
        <v>_</v>
      </c>
      <c r="AV92" s="44"/>
      <c r="AW92" s="5" t="s">
        <v>16</v>
      </c>
      <c r="AX92" s="46" t="str">
        <f>IF(VLOOKUP(AW92,βοηθητικό!$J$2:$N$354,3,FALSE)="","",VLOOKUP(AW92,βοηθητικό!$J$2:$N$354,3,FALSE))</f>
        <v>_</v>
      </c>
      <c r="AY92" s="47"/>
      <c r="AZ92" s="4" t="s">
        <v>16</v>
      </c>
      <c r="BA92" s="43" t="str">
        <f>IF(VLOOKUP(AZ92,βοηθητικό!$J$2:$N$354,3,FALSE)="","",VLOOKUP(AZ92,βοηθητικό!$J$2:$N$354,3,FALSE))</f>
        <v>_</v>
      </c>
      <c r="BB92" s="44"/>
      <c r="BC92" s="45" t="s">
        <v>16</v>
      </c>
      <c r="BD92" s="46" t="str">
        <f>IF(VLOOKUP(BC92,βοηθητικό!$J$2:$N$354,3,FALSE)="","",VLOOKUP(BC92,βοηθητικό!$J$2:$N$354,3,FALSE))</f>
        <v>_</v>
      </c>
      <c r="BE92" s="47"/>
      <c r="BF92" s="42" t="s">
        <v>16</v>
      </c>
      <c r="BG92" s="43" t="str">
        <f>IF(VLOOKUP(BF92,βοηθητικό!$J$2:$N$354,3,FALSE)="","",VLOOKUP(BF92,βοηθητικό!$J$2:$N$354,3,FALSE))</f>
        <v>_</v>
      </c>
      <c r="BH92" s="44"/>
      <c r="BI92" s="45" t="s">
        <v>16</v>
      </c>
      <c r="BJ92" s="46" t="str">
        <f>IF(VLOOKUP(BI92,βοηθητικό!$J$2:$N$354,3,FALSE)="","",VLOOKUP(BI92,βοηθητικό!$J$2:$N$354,3,FALSE))</f>
        <v>_</v>
      </c>
      <c r="BK92" s="47"/>
      <c r="BL92" s="42" t="s">
        <v>16</v>
      </c>
      <c r="BM92" s="43" t="str">
        <f>IF(VLOOKUP(BL92,βοηθητικό!$J$2:$N$354,3,FALSE)="","",VLOOKUP(BL92,βοηθητικό!$J$2:$N$354,3,FALSE))</f>
        <v>_</v>
      </c>
      <c r="BN92" s="44"/>
      <c r="BO92" s="45" t="s">
        <v>16</v>
      </c>
      <c r="BP92" s="46" t="str">
        <f>IF(VLOOKUP(BO92,βοηθητικό!$J$2:$N$354,3,FALSE)="","",VLOOKUP(BO92,βοηθητικό!$J$2:$N$354,3,FALSE))</f>
        <v>_</v>
      </c>
      <c r="BQ92" s="47"/>
      <c r="BR92" s="42" t="s">
        <v>16</v>
      </c>
      <c r="BS92" s="43" t="str">
        <f>IF(VLOOKUP(BR92,βοηθητικό!$J$2:$N$354,3,FALSE)="","",VLOOKUP(BR92,βοηθητικό!$J$2:$N$354,3,FALSE))</f>
        <v>_</v>
      </c>
      <c r="BT92" s="44"/>
      <c r="BU92" s="45" t="s">
        <v>16</v>
      </c>
      <c r="BV92" s="46" t="str">
        <f>IF(VLOOKUP(BU92,βοηθητικό!$J$2:$N$354,3,FALSE)="","",VLOOKUP(BU92,βοηθητικό!$J$2:$N$354,3,FALSE))</f>
        <v>_</v>
      </c>
      <c r="BW92" s="47"/>
      <c r="BX92" s="42" t="s">
        <v>16</v>
      </c>
      <c r="BY92" s="43" t="str">
        <f>IF(VLOOKUP(BX92,βοηθητικό!$J$2:$N$354,3,FALSE)="","",VLOOKUP(BX92,βοηθητικό!$J$2:$N$354,3,FALSE))</f>
        <v>_</v>
      </c>
      <c r="BZ92" s="44"/>
      <c r="CA92" s="45" t="s">
        <v>16</v>
      </c>
      <c r="CB92" s="46" t="str">
        <f>IF(VLOOKUP(CA92,βοηθητικό!$J$2:$N$354,3,FALSE)="","",VLOOKUP(CA92,βοηθητικό!$J$2:$N$354,3,FALSE))</f>
        <v>_</v>
      </c>
      <c r="CC92" s="47"/>
      <c r="CD92" s="42" t="s">
        <v>16</v>
      </c>
      <c r="CE92" s="43" t="str">
        <f>IF(VLOOKUP(CD92,βοηθητικό!$J$2:$N$354,3,FALSE)="","",VLOOKUP(CD92,βοηθητικό!$J$2:$N$354,3,FALSE))</f>
        <v>_</v>
      </c>
      <c r="CF92" s="44"/>
      <c r="CG92" s="45" t="s">
        <v>16</v>
      </c>
      <c r="CH92" s="46" t="str">
        <f>IF(VLOOKUP(CG92,βοηθητικό!$J$2:$N$354,3,FALSE)="","",VLOOKUP(CG92,βοηθητικό!$J$2:$N$354,3,FALSE))</f>
        <v>_</v>
      </c>
      <c r="CI92" s="47"/>
      <c r="CJ92" s="42" t="s">
        <v>16</v>
      </c>
      <c r="CK92" s="43" t="str">
        <f>IF(VLOOKUP(CJ92,βοηθητικό!$J$2:$N$354,3,FALSE)="","",VLOOKUP(CJ92,βοηθητικό!$J$2:$N$354,3,FALSE))</f>
        <v>_</v>
      </c>
      <c r="CL92" s="44"/>
      <c r="CM92" s="45" t="s">
        <v>16</v>
      </c>
      <c r="CN92" s="46" t="str">
        <f>IF(VLOOKUP(CM92,βοηθητικό!$J$2:$N$354,3,FALSE)="","",VLOOKUP(CM92,βοηθητικό!$J$2:$N$354,3,FALSE))</f>
        <v>_</v>
      </c>
      <c r="CO92" s="47"/>
      <c r="CP92" s="42" t="s">
        <v>16</v>
      </c>
      <c r="CQ92" s="43" t="str">
        <f>IF(VLOOKUP(CP92,βοηθητικό!$J$2:$N$354,3,FALSE)="","",VLOOKUP(CP92,βοηθητικό!$J$2:$N$354,3,FALSE))</f>
        <v>_</v>
      </c>
      <c r="CR92" s="44"/>
      <c r="CS92" s="45" t="s">
        <v>16</v>
      </c>
      <c r="CT92" s="46" t="str">
        <f>IF(VLOOKUP(CS92,βοηθητικό!$J$2:$N$354,3,FALSE)="","",VLOOKUP(CS92,βοηθητικό!$J$2:$N$354,3,FALSE))</f>
        <v>_</v>
      </c>
      <c r="CU92" s="47"/>
    </row>
    <row r="93" spans="1:99" x14ac:dyDescent="0.25">
      <c r="A93" s="37">
        <f>--SUBTOTAL(3,$B$3:B92)</f>
        <v>90</v>
      </c>
      <c r="B93" s="68">
        <v>45124</v>
      </c>
      <c r="C93" s="69">
        <v>45130</v>
      </c>
      <c r="D93" s="58" t="s">
        <v>92</v>
      </c>
      <c r="E93" s="38" t="s">
        <v>16</v>
      </c>
      <c r="F93" s="38" t="s">
        <v>16</v>
      </c>
      <c r="G93" s="39" t="str">
        <f t="shared" si="5"/>
        <v>__</v>
      </c>
      <c r="H93" s="40" t="str">
        <f t="shared" si="6"/>
        <v>FALSE</v>
      </c>
      <c r="I93" s="41">
        <f t="shared" si="7"/>
        <v>11</v>
      </c>
      <c r="J93" s="4" t="s">
        <v>1009</v>
      </c>
      <c r="K93" s="43">
        <f>IF(VLOOKUP(J93,βοηθητικό!$J$2:$N$354,3,FALSE)="","",VLOOKUP(J93,βοηθητικό!$J$2:$N$354,3,FALSE))</f>
        <v>6937084222</v>
      </c>
      <c r="L93" s="44"/>
      <c r="M93" s="5" t="s">
        <v>948</v>
      </c>
      <c r="N93" s="46">
        <f>IF(VLOOKUP(M93,βοηθητικό!$J$2:$N$354,3,FALSE)="","",VLOOKUP(M93,βοηθητικό!$J$2:$N$354,3,FALSE))</f>
        <v>6972084481</v>
      </c>
      <c r="O93" s="47"/>
      <c r="P93" s="4" t="s">
        <v>1074</v>
      </c>
      <c r="Q93" s="43">
        <f>IF(VLOOKUP(P93,βοηθητικό!$J$2:$N$354,3,FALSE)="","",VLOOKUP(P93,βοηθητικό!$J$2:$N$354,3,FALSE))</f>
        <v>6948254859</v>
      </c>
      <c r="R93" s="44"/>
      <c r="S93" s="5" t="s">
        <v>1012</v>
      </c>
      <c r="T93" s="46">
        <f>IF(VLOOKUP(S93,βοηθητικό!$J$2:$N$354,3,FALSE)="","",VLOOKUP(S93,βοηθητικό!$J$2:$N$354,3,FALSE))</f>
        <v>6972072589</v>
      </c>
      <c r="U93" s="47"/>
      <c r="V93" s="4" t="s">
        <v>999</v>
      </c>
      <c r="W93" s="43" t="str">
        <f>IF(VLOOKUP(V93,βοηθητικό!$J$2:$N$354,3,FALSE)="","",VLOOKUP(V93,βοηθητικό!$J$2:$N$354,3,FALSE))</f>
        <v>6974030990</v>
      </c>
      <c r="X93" s="44"/>
      <c r="Y93" s="5" t="s">
        <v>939</v>
      </c>
      <c r="Z93" s="46" t="str">
        <f>IF(VLOOKUP(Y93,βοηθητικό!$J$2:$N$354,3,FALSE)="","",VLOOKUP(Y93,βοηθητικό!$J$2:$N$354,3,FALSE))</f>
        <v>6932393388</v>
      </c>
      <c r="AA93" s="47"/>
      <c r="AB93" s="4" t="s">
        <v>978</v>
      </c>
      <c r="AC93" s="43">
        <f>IF(VLOOKUP(AB93,βοηθητικό!$J$2:$N$354,3,FALSE)="","",VLOOKUP(AB93,βοηθητικό!$J$2:$N$354,3,FALSE))</f>
        <v>6976058607</v>
      </c>
      <c r="AD93" s="44"/>
      <c r="AE93" s="5" t="s">
        <v>954</v>
      </c>
      <c r="AF93" s="46">
        <f>IF(VLOOKUP(AE93,βοηθητικό!$J$2:$N$354,3,FALSE)="","",VLOOKUP(AE93,βοηθητικό!$J$2:$N$354,3,FALSE))</f>
        <v>6944377718</v>
      </c>
      <c r="AG93" s="47"/>
      <c r="AH93" s="4" t="s">
        <v>1077</v>
      </c>
      <c r="AI93" s="43" t="str">
        <f>IF(VLOOKUP(AH93,βοηθητικό!$J$2:$N$354,3,FALSE)="","",VLOOKUP(AH93,βοηθητικό!$J$2:$N$354,3,FALSE))</f>
        <v>6946474745</v>
      </c>
      <c r="AJ93" s="44"/>
      <c r="AK93" s="5" t="s">
        <v>1036</v>
      </c>
      <c r="AL93" s="46" t="str">
        <f>IF(VLOOKUP(AK93,βοηθητικό!$J$2:$N$354,3,FALSE)="","",VLOOKUP(AK93,βοηθητικό!$J$2:$N$354,3,FALSE))</f>
        <v>6944393637</v>
      </c>
      <c r="AM93" s="47"/>
      <c r="AN93" s="4" t="s">
        <v>944</v>
      </c>
      <c r="AO93" s="43" t="str">
        <f>IF(VLOOKUP(AN93,βοηθητικό!$J$2:$N$354,3,FALSE)="","",VLOOKUP(AN93,βοηθητικό!$J$2:$N$354,3,FALSE))</f>
        <v>6943440301</v>
      </c>
      <c r="AP93" s="44"/>
      <c r="AQ93" s="5" t="s">
        <v>16</v>
      </c>
      <c r="AR93" s="46" t="str">
        <f>IF(VLOOKUP(AQ93,βοηθητικό!$J$2:$N$354,3,FALSE)="","",VLOOKUP(AQ93,βοηθητικό!$J$2:$N$354,3,FALSE))</f>
        <v>_</v>
      </c>
      <c r="AS93" s="47"/>
      <c r="AT93" s="4" t="s">
        <v>16</v>
      </c>
      <c r="AU93" s="43" t="str">
        <f>IF(VLOOKUP(AT93,βοηθητικό!$J$2:$N$354,3,FALSE)="","",VLOOKUP(AT93,βοηθητικό!$J$2:$N$354,3,FALSE))</f>
        <v>_</v>
      </c>
      <c r="AV93" s="44"/>
      <c r="AW93" s="5" t="s">
        <v>16</v>
      </c>
      <c r="AX93" s="46" t="str">
        <f>IF(VLOOKUP(AW93,βοηθητικό!$J$2:$N$354,3,FALSE)="","",VLOOKUP(AW93,βοηθητικό!$J$2:$N$354,3,FALSE))</f>
        <v>_</v>
      </c>
      <c r="AY93" s="47"/>
      <c r="AZ93" s="4" t="s">
        <v>16</v>
      </c>
      <c r="BA93" s="43" t="str">
        <f>IF(VLOOKUP(AZ93,βοηθητικό!$J$2:$N$354,3,FALSE)="","",VLOOKUP(AZ93,βοηθητικό!$J$2:$N$354,3,FALSE))</f>
        <v>_</v>
      </c>
      <c r="BB93" s="44"/>
      <c r="BC93" s="45" t="s">
        <v>16</v>
      </c>
      <c r="BD93" s="46" t="str">
        <f>IF(VLOOKUP(BC93,βοηθητικό!$J$2:$N$354,3,FALSE)="","",VLOOKUP(BC93,βοηθητικό!$J$2:$N$354,3,FALSE))</f>
        <v>_</v>
      </c>
      <c r="BE93" s="47"/>
      <c r="BF93" s="42" t="s">
        <v>16</v>
      </c>
      <c r="BG93" s="43" t="str">
        <f>IF(VLOOKUP(BF93,βοηθητικό!$J$2:$N$354,3,FALSE)="","",VLOOKUP(BF93,βοηθητικό!$J$2:$N$354,3,FALSE))</f>
        <v>_</v>
      </c>
      <c r="BH93" s="44"/>
      <c r="BI93" s="45" t="s">
        <v>16</v>
      </c>
      <c r="BJ93" s="46" t="str">
        <f>IF(VLOOKUP(BI93,βοηθητικό!$J$2:$N$354,3,FALSE)="","",VLOOKUP(BI93,βοηθητικό!$J$2:$N$354,3,FALSE))</f>
        <v>_</v>
      </c>
      <c r="BK93" s="47"/>
      <c r="BL93" s="42" t="s">
        <v>16</v>
      </c>
      <c r="BM93" s="43" t="str">
        <f>IF(VLOOKUP(BL93,βοηθητικό!$J$2:$N$354,3,FALSE)="","",VLOOKUP(BL93,βοηθητικό!$J$2:$N$354,3,FALSE))</f>
        <v>_</v>
      </c>
      <c r="BN93" s="44"/>
      <c r="BO93" s="45" t="s">
        <v>16</v>
      </c>
      <c r="BP93" s="46" t="str">
        <f>IF(VLOOKUP(BO93,βοηθητικό!$J$2:$N$354,3,FALSE)="","",VLOOKUP(BO93,βοηθητικό!$J$2:$N$354,3,FALSE))</f>
        <v>_</v>
      </c>
      <c r="BQ93" s="47"/>
      <c r="BR93" s="42" t="s">
        <v>16</v>
      </c>
      <c r="BS93" s="43" t="str">
        <f>IF(VLOOKUP(BR93,βοηθητικό!$J$2:$N$354,3,FALSE)="","",VLOOKUP(BR93,βοηθητικό!$J$2:$N$354,3,FALSE))</f>
        <v>_</v>
      </c>
      <c r="BT93" s="44"/>
      <c r="BU93" s="45" t="s">
        <v>16</v>
      </c>
      <c r="BV93" s="46" t="str">
        <f>IF(VLOOKUP(BU93,βοηθητικό!$J$2:$N$354,3,FALSE)="","",VLOOKUP(BU93,βοηθητικό!$J$2:$N$354,3,FALSE))</f>
        <v>_</v>
      </c>
      <c r="BW93" s="47"/>
      <c r="BX93" s="42" t="s">
        <v>16</v>
      </c>
      <c r="BY93" s="43" t="str">
        <f>IF(VLOOKUP(BX93,βοηθητικό!$J$2:$N$354,3,FALSE)="","",VLOOKUP(BX93,βοηθητικό!$J$2:$N$354,3,FALSE))</f>
        <v>_</v>
      </c>
      <c r="BZ93" s="44"/>
      <c r="CA93" s="45" t="s">
        <v>16</v>
      </c>
      <c r="CB93" s="46" t="str">
        <f>IF(VLOOKUP(CA93,βοηθητικό!$J$2:$N$354,3,FALSE)="","",VLOOKUP(CA93,βοηθητικό!$J$2:$N$354,3,FALSE))</f>
        <v>_</v>
      </c>
      <c r="CC93" s="47"/>
      <c r="CD93" s="42" t="s">
        <v>16</v>
      </c>
      <c r="CE93" s="43" t="str">
        <f>IF(VLOOKUP(CD93,βοηθητικό!$J$2:$N$354,3,FALSE)="","",VLOOKUP(CD93,βοηθητικό!$J$2:$N$354,3,FALSE))</f>
        <v>_</v>
      </c>
      <c r="CF93" s="44"/>
      <c r="CG93" s="45" t="s">
        <v>16</v>
      </c>
      <c r="CH93" s="46" t="str">
        <f>IF(VLOOKUP(CG93,βοηθητικό!$J$2:$N$354,3,FALSE)="","",VLOOKUP(CG93,βοηθητικό!$J$2:$N$354,3,FALSE))</f>
        <v>_</v>
      </c>
      <c r="CI93" s="47"/>
      <c r="CJ93" s="42" t="s">
        <v>16</v>
      </c>
      <c r="CK93" s="43" t="str">
        <f>IF(VLOOKUP(CJ93,βοηθητικό!$J$2:$N$354,3,FALSE)="","",VLOOKUP(CJ93,βοηθητικό!$J$2:$N$354,3,FALSE))</f>
        <v>_</v>
      </c>
      <c r="CL93" s="44"/>
      <c r="CM93" s="45" t="s">
        <v>16</v>
      </c>
      <c r="CN93" s="46" t="str">
        <f>IF(VLOOKUP(CM93,βοηθητικό!$J$2:$N$354,3,FALSE)="","",VLOOKUP(CM93,βοηθητικό!$J$2:$N$354,3,FALSE))</f>
        <v>_</v>
      </c>
      <c r="CO93" s="47"/>
      <c r="CP93" s="42" t="s">
        <v>16</v>
      </c>
      <c r="CQ93" s="43" t="str">
        <f>IF(VLOOKUP(CP93,βοηθητικό!$J$2:$N$354,3,FALSE)="","",VLOOKUP(CP93,βοηθητικό!$J$2:$N$354,3,FALSE))</f>
        <v>_</v>
      </c>
      <c r="CR93" s="44"/>
      <c r="CS93" s="45" t="s">
        <v>16</v>
      </c>
      <c r="CT93" s="46" t="str">
        <f>IF(VLOOKUP(CS93,βοηθητικό!$J$2:$N$354,3,FALSE)="","",VLOOKUP(CS93,βοηθητικό!$J$2:$N$354,3,FALSE))</f>
        <v>_</v>
      </c>
      <c r="CU93" s="47"/>
    </row>
    <row r="94" spans="1:99" x14ac:dyDescent="0.25">
      <c r="A94" s="37">
        <f>--SUBTOTAL(3,$B$3:B93)</f>
        <v>91</v>
      </c>
      <c r="B94" s="68">
        <v>45131</v>
      </c>
      <c r="C94" s="69">
        <v>45137</v>
      </c>
      <c r="D94" s="58" t="s">
        <v>92</v>
      </c>
      <c r="E94" s="38" t="s">
        <v>16</v>
      </c>
      <c r="F94" s="38" t="s">
        <v>16</v>
      </c>
      <c r="G94" s="39" t="str">
        <f t="shared" si="5"/>
        <v>__</v>
      </c>
      <c r="H94" s="40" t="str">
        <f t="shared" si="6"/>
        <v>FALSE</v>
      </c>
      <c r="I94" s="41">
        <f t="shared" si="7"/>
        <v>12</v>
      </c>
      <c r="J94" s="4" t="s">
        <v>927</v>
      </c>
      <c r="K94" s="43">
        <f>IF(VLOOKUP(J94,βοηθητικό!$J$2:$N$354,3,FALSE)="","",VLOOKUP(J94,βοηθητικό!$J$2:$N$354,3,FALSE))</f>
        <v>6974929090</v>
      </c>
      <c r="L94" s="44"/>
      <c r="M94" s="5" t="s">
        <v>1016</v>
      </c>
      <c r="N94" s="46">
        <f>IF(VLOOKUP(M94,βοηθητικό!$J$2:$N$354,3,FALSE)="","",VLOOKUP(M94,βοηθητικό!$J$2:$N$354,3,FALSE))</f>
        <v>6932900686</v>
      </c>
      <c r="O94" s="47"/>
      <c r="P94" s="4" t="s">
        <v>1048</v>
      </c>
      <c r="Q94" s="43" t="str">
        <f>IF(VLOOKUP(P94,βοηθητικό!$J$2:$N$354,3,FALSE)="","",VLOOKUP(P94,βοηθητικό!$J$2:$N$354,3,FALSE))</f>
        <v>6981800426</v>
      </c>
      <c r="R94" s="44"/>
      <c r="S94" s="5" t="s">
        <v>1056</v>
      </c>
      <c r="T94" s="46">
        <f>IF(VLOOKUP(S94,βοηθητικό!$J$2:$N$354,3,FALSE)="","",VLOOKUP(S94,βοηθητικό!$J$2:$N$354,3,FALSE))</f>
        <v>6972015813</v>
      </c>
      <c r="U94" s="47"/>
      <c r="V94" s="4" t="s">
        <v>1004</v>
      </c>
      <c r="W94" s="43" t="str">
        <f>IF(VLOOKUP(V94,βοηθητικό!$J$2:$N$354,3,FALSE)="","",VLOOKUP(V94,βοηθητικό!$J$2:$N$354,3,FALSE))</f>
        <v>6974057776</v>
      </c>
      <c r="X94" s="44"/>
      <c r="Y94" s="5" t="s">
        <v>974</v>
      </c>
      <c r="Z94" s="46" t="str">
        <f>IF(VLOOKUP(Y94,βοηθητικό!$J$2:$N$354,3,FALSE)="","",VLOOKUP(Y94,βοηθητικό!$J$2:$N$354,3,FALSE))</f>
        <v>6940552610</v>
      </c>
      <c r="AA94" s="47"/>
      <c r="AB94" s="4" t="s">
        <v>1072</v>
      </c>
      <c r="AC94" s="43">
        <f>IF(VLOOKUP(AB94,βοηθητικό!$J$2:$N$354,3,FALSE)="","",VLOOKUP(AB94,βοηθητικό!$J$2:$N$354,3,FALSE))</f>
        <v>6945853478</v>
      </c>
      <c r="AD94" s="44"/>
      <c r="AE94" s="5" t="s">
        <v>951</v>
      </c>
      <c r="AF94" s="46" t="str">
        <f>IF(VLOOKUP(AE94,βοηθητικό!$J$2:$N$354,3,FALSE)="","",VLOOKUP(AE94,βοηθητικό!$J$2:$N$354,3,FALSE))</f>
        <v>6948491981</v>
      </c>
      <c r="AG94" s="47"/>
      <c r="AH94" s="4" t="s">
        <v>923</v>
      </c>
      <c r="AI94" s="43" t="str">
        <f>IF(VLOOKUP(AH94,βοηθητικό!$J$2:$N$354,3,FALSE)="","",VLOOKUP(AH94,βοηθητικό!$J$2:$N$354,3,FALSE))</f>
        <v>6970117758</v>
      </c>
      <c r="AJ94" s="44"/>
      <c r="AK94" s="5" t="s">
        <v>992</v>
      </c>
      <c r="AL94" s="46">
        <f>IF(VLOOKUP(AK94,βοηθητικό!$J$2:$N$354,3,FALSE)="","",VLOOKUP(AK94,βοηθητικό!$J$2:$N$354,3,FALSE))</f>
        <v>6978993984</v>
      </c>
      <c r="AM94" s="47"/>
      <c r="AN94" s="4" t="s">
        <v>1087</v>
      </c>
      <c r="AO94" s="43" t="str">
        <f>IF(VLOOKUP(AN94,βοηθητικό!$J$2:$N$354,3,FALSE)="","",VLOOKUP(AN94,βοηθητικό!$J$2:$N$354,3,FALSE))</f>
        <v>6938246522</v>
      </c>
      <c r="AP94" s="44"/>
      <c r="AQ94" s="5" t="s">
        <v>931</v>
      </c>
      <c r="AR94" s="46" t="str">
        <f>IF(VLOOKUP(AQ94,βοηθητικό!$J$2:$N$354,3,FALSE)="","",VLOOKUP(AQ94,βοηθητικό!$J$2:$N$354,3,FALSE))</f>
        <v>6973333473</v>
      </c>
      <c r="AS94" s="47"/>
      <c r="AT94" s="4" t="s">
        <v>16</v>
      </c>
      <c r="AU94" s="43" t="str">
        <f>IF(VLOOKUP(AT94,βοηθητικό!$J$2:$N$354,3,FALSE)="","",VLOOKUP(AT94,βοηθητικό!$J$2:$N$354,3,FALSE))</f>
        <v>_</v>
      </c>
      <c r="AV94" s="44"/>
      <c r="AW94" s="5" t="s">
        <v>16</v>
      </c>
      <c r="AX94" s="46" t="str">
        <f>IF(VLOOKUP(AW94,βοηθητικό!$J$2:$N$354,3,FALSE)="","",VLOOKUP(AW94,βοηθητικό!$J$2:$N$354,3,FALSE))</f>
        <v>_</v>
      </c>
      <c r="AY94" s="47"/>
      <c r="AZ94" s="4" t="s">
        <v>16</v>
      </c>
      <c r="BA94" s="43" t="str">
        <f>IF(VLOOKUP(AZ94,βοηθητικό!$J$2:$N$354,3,FALSE)="","",VLOOKUP(AZ94,βοηθητικό!$J$2:$N$354,3,FALSE))</f>
        <v>_</v>
      </c>
      <c r="BB94" s="44"/>
      <c r="BC94" s="45" t="s">
        <v>16</v>
      </c>
      <c r="BD94" s="46" t="str">
        <f>IF(VLOOKUP(BC94,βοηθητικό!$J$2:$N$354,3,FALSE)="","",VLOOKUP(BC94,βοηθητικό!$J$2:$N$354,3,FALSE))</f>
        <v>_</v>
      </c>
      <c r="BE94" s="47"/>
      <c r="BF94" s="42" t="s">
        <v>16</v>
      </c>
      <c r="BG94" s="43" t="str">
        <f>IF(VLOOKUP(BF94,βοηθητικό!$J$2:$N$354,3,FALSE)="","",VLOOKUP(BF94,βοηθητικό!$J$2:$N$354,3,FALSE))</f>
        <v>_</v>
      </c>
      <c r="BH94" s="44"/>
      <c r="BI94" s="45" t="s">
        <v>16</v>
      </c>
      <c r="BJ94" s="46" t="str">
        <f>IF(VLOOKUP(BI94,βοηθητικό!$J$2:$N$354,3,FALSE)="","",VLOOKUP(BI94,βοηθητικό!$J$2:$N$354,3,FALSE))</f>
        <v>_</v>
      </c>
      <c r="BK94" s="47"/>
      <c r="BL94" s="42" t="s">
        <v>16</v>
      </c>
      <c r="BM94" s="43" t="str">
        <f>IF(VLOOKUP(BL94,βοηθητικό!$J$2:$N$354,3,FALSE)="","",VLOOKUP(BL94,βοηθητικό!$J$2:$N$354,3,FALSE))</f>
        <v>_</v>
      </c>
      <c r="BN94" s="44"/>
      <c r="BO94" s="45" t="s">
        <v>16</v>
      </c>
      <c r="BP94" s="46" t="str">
        <f>IF(VLOOKUP(BO94,βοηθητικό!$J$2:$N$354,3,FALSE)="","",VLOOKUP(BO94,βοηθητικό!$J$2:$N$354,3,FALSE))</f>
        <v>_</v>
      </c>
      <c r="BQ94" s="47"/>
      <c r="BR94" s="42" t="s">
        <v>16</v>
      </c>
      <c r="BS94" s="43" t="str">
        <f>IF(VLOOKUP(BR94,βοηθητικό!$J$2:$N$354,3,FALSE)="","",VLOOKUP(BR94,βοηθητικό!$J$2:$N$354,3,FALSE))</f>
        <v>_</v>
      </c>
      <c r="BT94" s="44"/>
      <c r="BU94" s="45" t="s">
        <v>16</v>
      </c>
      <c r="BV94" s="46" t="str">
        <f>IF(VLOOKUP(BU94,βοηθητικό!$J$2:$N$354,3,FALSE)="","",VLOOKUP(BU94,βοηθητικό!$J$2:$N$354,3,FALSE))</f>
        <v>_</v>
      </c>
      <c r="BW94" s="47"/>
      <c r="BX94" s="42" t="s">
        <v>16</v>
      </c>
      <c r="BY94" s="43" t="str">
        <f>IF(VLOOKUP(BX94,βοηθητικό!$J$2:$N$354,3,FALSE)="","",VLOOKUP(BX94,βοηθητικό!$J$2:$N$354,3,FALSE))</f>
        <v>_</v>
      </c>
      <c r="BZ94" s="44"/>
      <c r="CA94" s="45" t="s">
        <v>16</v>
      </c>
      <c r="CB94" s="46" t="str">
        <f>IF(VLOOKUP(CA94,βοηθητικό!$J$2:$N$354,3,FALSE)="","",VLOOKUP(CA94,βοηθητικό!$J$2:$N$354,3,FALSE))</f>
        <v>_</v>
      </c>
      <c r="CC94" s="47"/>
      <c r="CD94" s="42" t="s">
        <v>16</v>
      </c>
      <c r="CE94" s="43" t="str">
        <f>IF(VLOOKUP(CD94,βοηθητικό!$J$2:$N$354,3,FALSE)="","",VLOOKUP(CD94,βοηθητικό!$J$2:$N$354,3,FALSE))</f>
        <v>_</v>
      </c>
      <c r="CF94" s="44"/>
      <c r="CG94" s="45" t="s">
        <v>16</v>
      </c>
      <c r="CH94" s="46" t="str">
        <f>IF(VLOOKUP(CG94,βοηθητικό!$J$2:$N$354,3,FALSE)="","",VLOOKUP(CG94,βοηθητικό!$J$2:$N$354,3,FALSE))</f>
        <v>_</v>
      </c>
      <c r="CI94" s="47"/>
      <c r="CJ94" s="42" t="s">
        <v>16</v>
      </c>
      <c r="CK94" s="43" t="str">
        <f>IF(VLOOKUP(CJ94,βοηθητικό!$J$2:$N$354,3,FALSE)="","",VLOOKUP(CJ94,βοηθητικό!$J$2:$N$354,3,FALSE))</f>
        <v>_</v>
      </c>
      <c r="CL94" s="44"/>
      <c r="CM94" s="45" t="s">
        <v>16</v>
      </c>
      <c r="CN94" s="46" t="str">
        <f>IF(VLOOKUP(CM94,βοηθητικό!$J$2:$N$354,3,FALSE)="","",VLOOKUP(CM94,βοηθητικό!$J$2:$N$354,3,FALSE))</f>
        <v>_</v>
      </c>
      <c r="CO94" s="47"/>
      <c r="CP94" s="42" t="s">
        <v>16</v>
      </c>
      <c r="CQ94" s="43" t="str">
        <f>IF(VLOOKUP(CP94,βοηθητικό!$J$2:$N$354,3,FALSE)="","",VLOOKUP(CP94,βοηθητικό!$J$2:$N$354,3,FALSE))</f>
        <v>_</v>
      </c>
      <c r="CR94" s="44"/>
      <c r="CS94" s="45" t="s">
        <v>16</v>
      </c>
      <c r="CT94" s="46" t="str">
        <f>IF(VLOOKUP(CS94,βοηθητικό!$J$2:$N$354,3,FALSE)="","",VLOOKUP(CS94,βοηθητικό!$J$2:$N$354,3,FALSE))</f>
        <v>_</v>
      </c>
      <c r="CU94" s="47"/>
    </row>
    <row r="95" spans="1:99" x14ac:dyDescent="0.25">
      <c r="A95" s="37">
        <f>--SUBTOTAL(3,$B$3:B94)</f>
        <v>92</v>
      </c>
      <c r="B95" s="68">
        <v>45110</v>
      </c>
      <c r="C95" s="69">
        <v>45116</v>
      </c>
      <c r="D95" s="57" t="s">
        <v>100</v>
      </c>
      <c r="E95" s="38" t="s">
        <v>16</v>
      </c>
      <c r="F95" s="38" t="s">
        <v>16</v>
      </c>
      <c r="G95" s="39" t="str">
        <f t="shared" si="5"/>
        <v>__</v>
      </c>
      <c r="H95" s="40" t="str">
        <f t="shared" si="6"/>
        <v>FALSE</v>
      </c>
      <c r="I95" s="41">
        <f t="shared" si="7"/>
        <v>7</v>
      </c>
      <c r="J95" s="4" t="s">
        <v>1091</v>
      </c>
      <c r="K95" s="43">
        <f>IF(VLOOKUP(J95,βοηθητικό!$J$2:$N$354,3,FALSE)="","",VLOOKUP(J95,βοηθητικό!$J$2:$N$354,3,FALSE))</f>
        <v>6987740677</v>
      </c>
      <c r="L95" s="44"/>
      <c r="M95" s="5" t="s">
        <v>1095</v>
      </c>
      <c r="N95" s="46">
        <f>IF(VLOOKUP(M95,βοηθητικό!$J$2:$N$354,3,FALSE)="","",VLOOKUP(M95,βοηθητικό!$J$2:$N$354,3,FALSE))</f>
        <v>6938358727</v>
      </c>
      <c r="O95" s="47"/>
      <c r="P95" s="4" t="s">
        <v>1157</v>
      </c>
      <c r="Q95" s="43">
        <f>IF(VLOOKUP(P95,βοηθητικό!$J$2:$N$354,3,FALSE)="","",VLOOKUP(P95,βοηθητικό!$J$2:$N$354,3,FALSE))</f>
        <v>6981832606</v>
      </c>
      <c r="R95" s="44"/>
      <c r="S95" s="5" t="s">
        <v>1160</v>
      </c>
      <c r="T95" s="46">
        <f>IF(VLOOKUP(S95,βοηθητικό!$J$2:$N$354,3,FALSE)="","",VLOOKUP(S95,βοηθητικό!$J$2:$N$354,3,FALSE))</f>
        <v>6932652897</v>
      </c>
      <c r="U95" s="47"/>
      <c r="V95" s="4" t="s">
        <v>1163</v>
      </c>
      <c r="W95" s="43">
        <f>IF(VLOOKUP(V95,βοηθητικό!$J$2:$N$354,3,FALSE)="","",VLOOKUP(V95,βοηθητικό!$J$2:$N$354,3,FALSE))</f>
        <v>6948210294</v>
      </c>
      <c r="X95" s="44"/>
      <c r="Y95" s="5" t="s">
        <v>1144</v>
      </c>
      <c r="Z95" s="46">
        <f>IF(VLOOKUP(Y95,βοηθητικό!$J$2:$N$354,3,FALSE)="","",VLOOKUP(Y95,βοηθητικό!$J$2:$N$354,3,FALSE))</f>
        <v>6944228486</v>
      </c>
      <c r="AA95" s="47"/>
      <c r="AB95" s="4" t="s">
        <v>1184</v>
      </c>
      <c r="AC95" s="43" t="str">
        <f>IF(VLOOKUP(AB95,βοηθητικό!$J$2:$N$354,3,FALSE)="","",VLOOKUP(AB95,βοηθητικό!$J$2:$N$354,3,FALSE))</f>
        <v>6978871348 6986664315</v>
      </c>
      <c r="AD95" s="44"/>
      <c r="AE95" s="5" t="s">
        <v>16</v>
      </c>
      <c r="AF95" s="46" t="str">
        <f>IF(VLOOKUP(AE95,βοηθητικό!$J$2:$N$354,3,FALSE)="","",VLOOKUP(AE95,βοηθητικό!$J$2:$N$354,3,FALSE))</f>
        <v>_</v>
      </c>
      <c r="AG95" s="47"/>
      <c r="AH95" s="4" t="s">
        <v>16</v>
      </c>
      <c r="AI95" s="43" t="str">
        <f>IF(VLOOKUP(AH95,βοηθητικό!$J$2:$N$354,3,FALSE)="","",VLOOKUP(AH95,βοηθητικό!$J$2:$N$354,3,FALSE))</f>
        <v>_</v>
      </c>
      <c r="AJ95" s="44"/>
      <c r="AK95" s="5" t="s">
        <v>16</v>
      </c>
      <c r="AL95" s="46" t="str">
        <f>IF(VLOOKUP(AK95,βοηθητικό!$J$2:$N$354,3,FALSE)="","",VLOOKUP(AK95,βοηθητικό!$J$2:$N$354,3,FALSE))</f>
        <v>_</v>
      </c>
      <c r="AM95" s="47"/>
      <c r="AN95" s="4" t="s">
        <v>16</v>
      </c>
      <c r="AO95" s="43" t="str">
        <f>IF(VLOOKUP(AN95,βοηθητικό!$J$2:$N$354,3,FALSE)="","",VLOOKUP(AN95,βοηθητικό!$J$2:$N$354,3,FALSE))</f>
        <v>_</v>
      </c>
      <c r="AP95" s="44"/>
      <c r="AQ95" s="5" t="s">
        <v>16</v>
      </c>
      <c r="AR95" s="46" t="str">
        <f>IF(VLOOKUP(AQ95,βοηθητικό!$J$2:$N$354,3,FALSE)="","",VLOOKUP(AQ95,βοηθητικό!$J$2:$N$354,3,FALSE))</f>
        <v>_</v>
      </c>
      <c r="AS95" s="47"/>
      <c r="AT95" s="4" t="s">
        <v>16</v>
      </c>
      <c r="AU95" s="43" t="str">
        <f>IF(VLOOKUP(AT95,βοηθητικό!$J$2:$N$354,3,FALSE)="","",VLOOKUP(AT95,βοηθητικό!$J$2:$N$354,3,FALSE))</f>
        <v>_</v>
      </c>
      <c r="AV95" s="44"/>
      <c r="AW95" s="5" t="s">
        <v>16</v>
      </c>
      <c r="AX95" s="46" t="str">
        <f>IF(VLOOKUP(AW95,βοηθητικό!$J$2:$N$354,3,FALSE)="","",VLOOKUP(AW95,βοηθητικό!$J$2:$N$354,3,FALSE))</f>
        <v>_</v>
      </c>
      <c r="AY95" s="47"/>
      <c r="AZ95" s="4" t="s">
        <v>16</v>
      </c>
      <c r="BA95" s="43" t="str">
        <f>IF(VLOOKUP(AZ95,βοηθητικό!$J$2:$N$354,3,FALSE)="","",VLOOKUP(AZ95,βοηθητικό!$J$2:$N$354,3,FALSE))</f>
        <v>_</v>
      </c>
      <c r="BB95" s="44"/>
      <c r="BC95" s="45" t="s">
        <v>16</v>
      </c>
      <c r="BD95" s="46" t="str">
        <f>IF(VLOOKUP(BC95,βοηθητικό!$J$2:$N$354,3,FALSE)="","",VLOOKUP(BC95,βοηθητικό!$J$2:$N$354,3,FALSE))</f>
        <v>_</v>
      </c>
      <c r="BE95" s="47"/>
      <c r="BF95" s="42" t="s">
        <v>16</v>
      </c>
      <c r="BG95" s="43" t="str">
        <f>IF(VLOOKUP(BF95,βοηθητικό!$J$2:$N$354,3,FALSE)="","",VLOOKUP(BF95,βοηθητικό!$J$2:$N$354,3,FALSE))</f>
        <v>_</v>
      </c>
      <c r="BH95" s="44"/>
      <c r="BI95" s="45" t="s">
        <v>16</v>
      </c>
      <c r="BJ95" s="46" t="str">
        <f>IF(VLOOKUP(BI95,βοηθητικό!$J$2:$N$354,3,FALSE)="","",VLOOKUP(BI95,βοηθητικό!$J$2:$N$354,3,FALSE))</f>
        <v>_</v>
      </c>
      <c r="BK95" s="47"/>
      <c r="BL95" s="42" t="s">
        <v>16</v>
      </c>
      <c r="BM95" s="43" t="str">
        <f>IF(VLOOKUP(BL95,βοηθητικό!$J$2:$N$354,3,FALSE)="","",VLOOKUP(BL95,βοηθητικό!$J$2:$N$354,3,FALSE))</f>
        <v>_</v>
      </c>
      <c r="BN95" s="44"/>
      <c r="BO95" s="45" t="s">
        <v>16</v>
      </c>
      <c r="BP95" s="46" t="str">
        <f>IF(VLOOKUP(BO95,βοηθητικό!$J$2:$N$354,3,FALSE)="","",VLOOKUP(BO95,βοηθητικό!$J$2:$N$354,3,FALSE))</f>
        <v>_</v>
      </c>
      <c r="BQ95" s="47"/>
      <c r="BR95" s="42" t="s">
        <v>16</v>
      </c>
      <c r="BS95" s="43" t="str">
        <f>IF(VLOOKUP(BR95,βοηθητικό!$J$2:$N$354,3,FALSE)="","",VLOOKUP(BR95,βοηθητικό!$J$2:$N$354,3,FALSE))</f>
        <v>_</v>
      </c>
      <c r="BT95" s="44"/>
      <c r="BU95" s="45" t="s">
        <v>16</v>
      </c>
      <c r="BV95" s="46" t="str">
        <f>IF(VLOOKUP(BU95,βοηθητικό!$J$2:$N$354,3,FALSE)="","",VLOOKUP(BU95,βοηθητικό!$J$2:$N$354,3,FALSE))</f>
        <v>_</v>
      </c>
      <c r="BW95" s="47"/>
      <c r="BX95" s="42" t="s">
        <v>16</v>
      </c>
      <c r="BY95" s="43" t="str">
        <f>IF(VLOOKUP(BX95,βοηθητικό!$J$2:$N$354,3,FALSE)="","",VLOOKUP(BX95,βοηθητικό!$J$2:$N$354,3,FALSE))</f>
        <v>_</v>
      </c>
      <c r="BZ95" s="44"/>
      <c r="CA95" s="45" t="s">
        <v>16</v>
      </c>
      <c r="CB95" s="46" t="str">
        <f>IF(VLOOKUP(CA95,βοηθητικό!$J$2:$N$354,3,FALSE)="","",VLOOKUP(CA95,βοηθητικό!$J$2:$N$354,3,FALSE))</f>
        <v>_</v>
      </c>
      <c r="CC95" s="47"/>
      <c r="CD95" s="42" t="s">
        <v>16</v>
      </c>
      <c r="CE95" s="43" t="str">
        <f>IF(VLOOKUP(CD95,βοηθητικό!$J$2:$N$354,3,FALSE)="","",VLOOKUP(CD95,βοηθητικό!$J$2:$N$354,3,FALSE))</f>
        <v>_</v>
      </c>
      <c r="CF95" s="44"/>
      <c r="CG95" s="45" t="s">
        <v>16</v>
      </c>
      <c r="CH95" s="46" t="str">
        <f>IF(VLOOKUP(CG95,βοηθητικό!$J$2:$N$354,3,FALSE)="","",VLOOKUP(CG95,βοηθητικό!$J$2:$N$354,3,FALSE))</f>
        <v>_</v>
      </c>
      <c r="CI95" s="47"/>
      <c r="CJ95" s="42" t="s">
        <v>16</v>
      </c>
      <c r="CK95" s="43" t="str">
        <f>IF(VLOOKUP(CJ95,βοηθητικό!$J$2:$N$354,3,FALSE)="","",VLOOKUP(CJ95,βοηθητικό!$J$2:$N$354,3,FALSE))</f>
        <v>_</v>
      </c>
      <c r="CL95" s="44"/>
      <c r="CM95" s="45" t="s">
        <v>16</v>
      </c>
      <c r="CN95" s="46" t="str">
        <f>IF(VLOOKUP(CM95,βοηθητικό!$J$2:$N$354,3,FALSE)="","",VLOOKUP(CM95,βοηθητικό!$J$2:$N$354,3,FALSE))</f>
        <v>_</v>
      </c>
      <c r="CO95" s="47"/>
      <c r="CP95" s="42" t="s">
        <v>16</v>
      </c>
      <c r="CQ95" s="43" t="str">
        <f>IF(VLOOKUP(CP95,βοηθητικό!$J$2:$N$354,3,FALSE)="","",VLOOKUP(CP95,βοηθητικό!$J$2:$N$354,3,FALSE))</f>
        <v>_</v>
      </c>
      <c r="CR95" s="44"/>
      <c r="CS95" s="45" t="s">
        <v>16</v>
      </c>
      <c r="CT95" s="46" t="str">
        <f>IF(VLOOKUP(CS95,βοηθητικό!$J$2:$N$354,3,FALSE)="","",VLOOKUP(CS95,βοηθητικό!$J$2:$N$354,3,FALSE))</f>
        <v>_</v>
      </c>
      <c r="CU95" s="47"/>
    </row>
    <row r="96" spans="1:99" x14ac:dyDescent="0.25">
      <c r="A96" s="37">
        <f>--SUBTOTAL(3,$B$3:B95)</f>
        <v>93</v>
      </c>
      <c r="B96" s="68">
        <v>45117</v>
      </c>
      <c r="C96" s="69">
        <v>45123</v>
      </c>
      <c r="D96" s="57" t="s">
        <v>100</v>
      </c>
      <c r="E96" s="38" t="s">
        <v>16</v>
      </c>
      <c r="F96" s="38" t="s">
        <v>16</v>
      </c>
      <c r="G96" s="39" t="str">
        <f t="shared" si="5"/>
        <v>__</v>
      </c>
      <c r="H96" s="40" t="str">
        <f t="shared" si="6"/>
        <v>FALSE</v>
      </c>
      <c r="I96" s="41">
        <f t="shared" si="7"/>
        <v>8</v>
      </c>
      <c r="J96" s="4" t="s">
        <v>1098</v>
      </c>
      <c r="K96" s="43">
        <f>IF(VLOOKUP(J96,βοηθητικό!$J$2:$N$354,3,FALSE)="","",VLOOKUP(J96,βοηθητικό!$J$2:$N$354,3,FALSE))</f>
        <v>6945877218</v>
      </c>
      <c r="L96" s="44"/>
      <c r="M96" s="5" t="s">
        <v>1104</v>
      </c>
      <c r="N96" s="46">
        <f>IF(VLOOKUP(M96,βοηθητικό!$J$2:$N$354,3,FALSE)="","",VLOOKUP(M96,βοηθητικό!$J$2:$N$354,3,FALSE))</f>
        <v>6981828992</v>
      </c>
      <c r="O96" s="47"/>
      <c r="P96" s="4" t="s">
        <v>1107</v>
      </c>
      <c r="Q96" s="43">
        <f>IF(VLOOKUP(P96,βοηθητικό!$J$2:$N$354,3,FALSE)="","",VLOOKUP(P96,βοηθητικό!$J$2:$N$354,3,FALSE))</f>
        <v>6980231814</v>
      </c>
      <c r="R96" s="44"/>
      <c r="S96" s="5" t="s">
        <v>1119</v>
      </c>
      <c r="T96" s="46">
        <f>IF(VLOOKUP(S96,βοηθητικό!$J$2:$N$354,3,FALSE)="","",VLOOKUP(S96,βοηθητικό!$J$2:$N$354,3,FALSE))</f>
        <v>6942674803</v>
      </c>
      <c r="U96" s="47"/>
      <c r="V96" s="4" t="s">
        <v>1122</v>
      </c>
      <c r="W96" s="43">
        <f>IF(VLOOKUP(V96,βοηθητικό!$J$2:$N$354,3,FALSE)="","",VLOOKUP(V96,βοηθητικό!$J$2:$N$354,3,FALSE))</f>
        <v>6987779674</v>
      </c>
      <c r="X96" s="44"/>
      <c r="Y96" s="5" t="s">
        <v>1134</v>
      </c>
      <c r="Z96" s="46">
        <f>IF(VLOOKUP(Y96,βοηθητικό!$J$2:$N$354,3,FALSE)="","",VLOOKUP(Y96,βοηθητικό!$J$2:$N$354,3,FALSE))</f>
        <v>6937922234</v>
      </c>
      <c r="AA96" s="47"/>
      <c r="AB96" s="4" t="s">
        <v>1166</v>
      </c>
      <c r="AC96" s="43">
        <f>IF(VLOOKUP(AB96,βοηθητικό!$J$2:$N$354,3,FALSE)="","",VLOOKUP(AB96,βοηθητικό!$J$2:$N$354,3,FALSE))</f>
        <v>6979699580</v>
      </c>
      <c r="AD96" s="44"/>
      <c r="AE96" s="5" t="s">
        <v>1169</v>
      </c>
      <c r="AF96" s="46">
        <f>IF(VLOOKUP(AE96,βοηθητικό!$J$2:$N$354,3,FALSE)="","",VLOOKUP(AE96,βοηθητικό!$J$2:$N$354,3,FALSE))</f>
        <v>6946467821</v>
      </c>
      <c r="AG96" s="47"/>
      <c r="AH96" s="4" t="s">
        <v>16</v>
      </c>
      <c r="AI96" s="43" t="str">
        <f>IF(VLOOKUP(AH96,βοηθητικό!$J$2:$N$354,3,FALSE)="","",VLOOKUP(AH96,βοηθητικό!$J$2:$N$354,3,FALSE))</f>
        <v>_</v>
      </c>
      <c r="AJ96" s="44"/>
      <c r="AK96" s="5" t="s">
        <v>16</v>
      </c>
      <c r="AL96" s="46" t="str">
        <f>IF(VLOOKUP(AK96,βοηθητικό!$J$2:$N$354,3,FALSE)="","",VLOOKUP(AK96,βοηθητικό!$J$2:$N$354,3,FALSE))</f>
        <v>_</v>
      </c>
      <c r="AM96" s="47"/>
      <c r="AN96" s="4" t="s">
        <v>16</v>
      </c>
      <c r="AO96" s="43" t="str">
        <f>IF(VLOOKUP(AN96,βοηθητικό!$J$2:$N$354,3,FALSE)="","",VLOOKUP(AN96,βοηθητικό!$J$2:$N$354,3,FALSE))</f>
        <v>_</v>
      </c>
      <c r="AP96" s="44"/>
      <c r="AQ96" s="5" t="s">
        <v>16</v>
      </c>
      <c r="AR96" s="46" t="str">
        <f>IF(VLOOKUP(AQ96,βοηθητικό!$J$2:$N$354,3,FALSE)="","",VLOOKUP(AQ96,βοηθητικό!$J$2:$N$354,3,FALSE))</f>
        <v>_</v>
      </c>
      <c r="AS96" s="47"/>
      <c r="AT96" s="4" t="s">
        <v>16</v>
      </c>
      <c r="AU96" s="43" t="str">
        <f>IF(VLOOKUP(AT96,βοηθητικό!$J$2:$N$354,3,FALSE)="","",VLOOKUP(AT96,βοηθητικό!$J$2:$N$354,3,FALSE))</f>
        <v>_</v>
      </c>
      <c r="AV96" s="44"/>
      <c r="AW96" s="5" t="s">
        <v>16</v>
      </c>
      <c r="AX96" s="46" t="str">
        <f>IF(VLOOKUP(AW96,βοηθητικό!$J$2:$N$354,3,FALSE)="","",VLOOKUP(AW96,βοηθητικό!$J$2:$N$354,3,FALSE))</f>
        <v>_</v>
      </c>
      <c r="AY96" s="47"/>
      <c r="AZ96" s="4" t="s">
        <v>16</v>
      </c>
      <c r="BA96" s="43" t="str">
        <f>IF(VLOOKUP(AZ96,βοηθητικό!$J$2:$N$354,3,FALSE)="","",VLOOKUP(AZ96,βοηθητικό!$J$2:$N$354,3,FALSE))</f>
        <v>_</v>
      </c>
      <c r="BB96" s="44"/>
      <c r="BC96" s="45" t="s">
        <v>16</v>
      </c>
      <c r="BD96" s="46" t="str">
        <f>IF(VLOOKUP(BC96,βοηθητικό!$J$2:$N$354,3,FALSE)="","",VLOOKUP(BC96,βοηθητικό!$J$2:$N$354,3,FALSE))</f>
        <v>_</v>
      </c>
      <c r="BE96" s="47"/>
      <c r="BF96" s="42" t="s">
        <v>16</v>
      </c>
      <c r="BG96" s="43" t="str">
        <f>IF(VLOOKUP(BF96,βοηθητικό!$J$2:$N$354,3,FALSE)="","",VLOOKUP(BF96,βοηθητικό!$J$2:$N$354,3,FALSE))</f>
        <v>_</v>
      </c>
      <c r="BH96" s="44"/>
      <c r="BI96" s="45" t="s">
        <v>16</v>
      </c>
      <c r="BJ96" s="46" t="str">
        <f>IF(VLOOKUP(BI96,βοηθητικό!$J$2:$N$354,3,FALSE)="","",VLOOKUP(BI96,βοηθητικό!$J$2:$N$354,3,FALSE))</f>
        <v>_</v>
      </c>
      <c r="BK96" s="47"/>
      <c r="BL96" s="42" t="s">
        <v>16</v>
      </c>
      <c r="BM96" s="43" t="str">
        <f>IF(VLOOKUP(BL96,βοηθητικό!$J$2:$N$354,3,FALSE)="","",VLOOKUP(BL96,βοηθητικό!$J$2:$N$354,3,FALSE))</f>
        <v>_</v>
      </c>
      <c r="BN96" s="44"/>
      <c r="BO96" s="45" t="s">
        <v>16</v>
      </c>
      <c r="BP96" s="46" t="str">
        <f>IF(VLOOKUP(BO96,βοηθητικό!$J$2:$N$354,3,FALSE)="","",VLOOKUP(BO96,βοηθητικό!$J$2:$N$354,3,FALSE))</f>
        <v>_</v>
      </c>
      <c r="BQ96" s="47"/>
      <c r="BR96" s="42" t="s">
        <v>16</v>
      </c>
      <c r="BS96" s="43" t="str">
        <f>IF(VLOOKUP(BR96,βοηθητικό!$J$2:$N$354,3,FALSE)="","",VLOOKUP(BR96,βοηθητικό!$J$2:$N$354,3,FALSE))</f>
        <v>_</v>
      </c>
      <c r="BT96" s="44"/>
      <c r="BU96" s="45" t="s">
        <v>16</v>
      </c>
      <c r="BV96" s="46" t="str">
        <f>IF(VLOOKUP(BU96,βοηθητικό!$J$2:$N$354,3,FALSE)="","",VLOOKUP(BU96,βοηθητικό!$J$2:$N$354,3,FALSE))</f>
        <v>_</v>
      </c>
      <c r="BW96" s="47"/>
      <c r="BX96" s="42" t="s">
        <v>16</v>
      </c>
      <c r="BY96" s="43" t="str">
        <f>IF(VLOOKUP(BX96,βοηθητικό!$J$2:$N$354,3,FALSE)="","",VLOOKUP(BX96,βοηθητικό!$J$2:$N$354,3,FALSE))</f>
        <v>_</v>
      </c>
      <c r="BZ96" s="44"/>
      <c r="CA96" s="45" t="s">
        <v>16</v>
      </c>
      <c r="CB96" s="46" t="str">
        <f>IF(VLOOKUP(CA96,βοηθητικό!$J$2:$N$354,3,FALSE)="","",VLOOKUP(CA96,βοηθητικό!$J$2:$N$354,3,FALSE))</f>
        <v>_</v>
      </c>
      <c r="CC96" s="47"/>
      <c r="CD96" s="42" t="s">
        <v>16</v>
      </c>
      <c r="CE96" s="43" t="str">
        <f>IF(VLOOKUP(CD96,βοηθητικό!$J$2:$N$354,3,FALSE)="","",VLOOKUP(CD96,βοηθητικό!$J$2:$N$354,3,FALSE))</f>
        <v>_</v>
      </c>
      <c r="CF96" s="44"/>
      <c r="CG96" s="45" t="s">
        <v>16</v>
      </c>
      <c r="CH96" s="46" t="str">
        <f>IF(VLOOKUP(CG96,βοηθητικό!$J$2:$N$354,3,FALSE)="","",VLOOKUP(CG96,βοηθητικό!$J$2:$N$354,3,FALSE))</f>
        <v>_</v>
      </c>
      <c r="CI96" s="47"/>
      <c r="CJ96" s="42" t="s">
        <v>16</v>
      </c>
      <c r="CK96" s="43" t="str">
        <f>IF(VLOOKUP(CJ96,βοηθητικό!$J$2:$N$354,3,FALSE)="","",VLOOKUP(CJ96,βοηθητικό!$J$2:$N$354,3,FALSE))</f>
        <v>_</v>
      </c>
      <c r="CL96" s="44"/>
      <c r="CM96" s="45" t="s">
        <v>16</v>
      </c>
      <c r="CN96" s="46" t="str">
        <f>IF(VLOOKUP(CM96,βοηθητικό!$J$2:$N$354,3,FALSE)="","",VLOOKUP(CM96,βοηθητικό!$J$2:$N$354,3,FALSE))</f>
        <v>_</v>
      </c>
      <c r="CO96" s="47"/>
      <c r="CP96" s="42" t="s">
        <v>16</v>
      </c>
      <c r="CQ96" s="43" t="str">
        <f>IF(VLOOKUP(CP96,βοηθητικό!$J$2:$N$354,3,FALSE)="","",VLOOKUP(CP96,βοηθητικό!$J$2:$N$354,3,FALSE))</f>
        <v>_</v>
      </c>
      <c r="CR96" s="44"/>
      <c r="CS96" s="45" t="s">
        <v>16</v>
      </c>
      <c r="CT96" s="46" t="str">
        <f>IF(VLOOKUP(CS96,βοηθητικό!$J$2:$N$354,3,FALSE)="","",VLOOKUP(CS96,βοηθητικό!$J$2:$N$354,3,FALSE))</f>
        <v>_</v>
      </c>
      <c r="CU96" s="47"/>
    </row>
    <row r="97" spans="1:99" x14ac:dyDescent="0.25">
      <c r="A97" s="37">
        <f>--SUBTOTAL(3,$B$3:B96)</f>
        <v>94</v>
      </c>
      <c r="B97" s="68">
        <v>45124</v>
      </c>
      <c r="C97" s="69">
        <v>45130</v>
      </c>
      <c r="D97" s="57" t="s">
        <v>100</v>
      </c>
      <c r="E97" s="38" t="s">
        <v>16</v>
      </c>
      <c r="F97" s="38" t="s">
        <v>16</v>
      </c>
      <c r="G97" s="39" t="str">
        <f t="shared" si="5"/>
        <v>__</v>
      </c>
      <c r="H97" s="40" t="str">
        <f t="shared" si="6"/>
        <v>FALSE</v>
      </c>
      <c r="I97" s="41">
        <f t="shared" si="7"/>
        <v>7</v>
      </c>
      <c r="J97" s="4" t="s">
        <v>1125</v>
      </c>
      <c r="K97" s="43">
        <f>IF(VLOOKUP(J97,βοηθητικό!$J$2:$N$354,3,FALSE)="","",VLOOKUP(J97,βοηθητικό!$J$2:$N$354,3,FALSE))</f>
        <v>6937125752</v>
      </c>
      <c r="L97" s="44"/>
      <c r="M97" s="5" t="s">
        <v>1131</v>
      </c>
      <c r="N97" s="46">
        <f>IF(VLOOKUP(M97,βοηθητικό!$J$2:$N$354,3,FALSE)="","",VLOOKUP(M97,βοηθητικό!$J$2:$N$354,3,FALSE))</f>
        <v>6942031589</v>
      </c>
      <c r="O97" s="47"/>
      <c r="P97" s="4" t="s">
        <v>1137</v>
      </c>
      <c r="Q97" s="43">
        <f>IF(VLOOKUP(P97,βοηθητικό!$J$2:$N$354,3,FALSE)="","",VLOOKUP(P97,βοηθητικό!$J$2:$N$354,3,FALSE))</f>
        <v>6946906906</v>
      </c>
      <c r="R97" s="44"/>
      <c r="S97" s="5" t="s">
        <v>1140</v>
      </c>
      <c r="T97" s="46">
        <f>IF(VLOOKUP(S97,βοηθητικό!$J$2:$N$354,3,FALSE)="","",VLOOKUP(S97,βοηθητικό!$J$2:$N$354,3,FALSE))</f>
        <v>6972866890</v>
      </c>
      <c r="U97" s="47"/>
      <c r="V97" s="4" t="s">
        <v>1151</v>
      </c>
      <c r="W97" s="43">
        <f>IF(VLOOKUP(V97,βοηθητικό!$J$2:$N$354,3,FALSE)="","",VLOOKUP(V97,βοηθητικό!$J$2:$N$354,3,FALSE))</f>
        <v>6945581886</v>
      </c>
      <c r="X97" s="44"/>
      <c r="Y97" s="5" t="s">
        <v>1154</v>
      </c>
      <c r="Z97" s="46">
        <f>IF(VLOOKUP(Y97,βοηθητικό!$J$2:$N$354,3,FALSE)="","",VLOOKUP(Y97,βοηθητικό!$J$2:$N$354,3,FALSE))</f>
        <v>6946013959</v>
      </c>
      <c r="AA97" s="47"/>
      <c r="AB97" s="4" t="s">
        <v>1178</v>
      </c>
      <c r="AC97" s="43">
        <f>IF(VLOOKUP(AB97,βοηθητικό!$J$2:$N$354,3,FALSE)="","",VLOOKUP(AB97,βοηθητικό!$J$2:$N$354,3,FALSE))</f>
        <v>6975861728</v>
      </c>
      <c r="AD97" s="44"/>
      <c r="AE97" s="5" t="s">
        <v>16</v>
      </c>
      <c r="AF97" s="46" t="str">
        <f>IF(VLOOKUP(AE97,βοηθητικό!$J$2:$N$354,3,FALSE)="","",VLOOKUP(AE97,βοηθητικό!$J$2:$N$354,3,FALSE))</f>
        <v>_</v>
      </c>
      <c r="AG97" s="47"/>
      <c r="AH97" s="4" t="s">
        <v>16</v>
      </c>
      <c r="AI97" s="43" t="str">
        <f>IF(VLOOKUP(AH97,βοηθητικό!$J$2:$N$354,3,FALSE)="","",VLOOKUP(AH97,βοηθητικό!$J$2:$N$354,3,FALSE))</f>
        <v>_</v>
      </c>
      <c r="AJ97" s="44"/>
      <c r="AK97" s="5" t="s">
        <v>16</v>
      </c>
      <c r="AL97" s="46" t="str">
        <f>IF(VLOOKUP(AK97,βοηθητικό!$J$2:$N$354,3,FALSE)="","",VLOOKUP(AK97,βοηθητικό!$J$2:$N$354,3,FALSE))</f>
        <v>_</v>
      </c>
      <c r="AM97" s="47"/>
      <c r="AN97" s="4" t="s">
        <v>16</v>
      </c>
      <c r="AO97" s="43" t="str">
        <f>IF(VLOOKUP(AN97,βοηθητικό!$J$2:$N$354,3,FALSE)="","",VLOOKUP(AN97,βοηθητικό!$J$2:$N$354,3,FALSE))</f>
        <v>_</v>
      </c>
      <c r="AP97" s="44"/>
      <c r="AQ97" s="5" t="s">
        <v>16</v>
      </c>
      <c r="AR97" s="46" t="str">
        <f>IF(VLOOKUP(AQ97,βοηθητικό!$J$2:$N$354,3,FALSE)="","",VLOOKUP(AQ97,βοηθητικό!$J$2:$N$354,3,FALSE))</f>
        <v>_</v>
      </c>
      <c r="AS97" s="47"/>
      <c r="AT97" s="4" t="s">
        <v>16</v>
      </c>
      <c r="AU97" s="43" t="str">
        <f>IF(VLOOKUP(AT97,βοηθητικό!$J$2:$N$354,3,FALSE)="","",VLOOKUP(AT97,βοηθητικό!$J$2:$N$354,3,FALSE))</f>
        <v>_</v>
      </c>
      <c r="AV97" s="44"/>
      <c r="AW97" s="5" t="s">
        <v>16</v>
      </c>
      <c r="AX97" s="46" t="str">
        <f>IF(VLOOKUP(AW97,βοηθητικό!$J$2:$N$354,3,FALSE)="","",VLOOKUP(AW97,βοηθητικό!$J$2:$N$354,3,FALSE))</f>
        <v>_</v>
      </c>
      <c r="AY97" s="47"/>
      <c r="AZ97" s="4" t="s">
        <v>16</v>
      </c>
      <c r="BA97" s="43" t="str">
        <f>IF(VLOOKUP(AZ97,βοηθητικό!$J$2:$N$354,3,FALSE)="","",VLOOKUP(AZ97,βοηθητικό!$J$2:$N$354,3,FALSE))</f>
        <v>_</v>
      </c>
      <c r="BB97" s="44"/>
      <c r="BC97" s="45" t="s">
        <v>16</v>
      </c>
      <c r="BD97" s="46" t="str">
        <f>IF(VLOOKUP(BC97,βοηθητικό!$J$2:$N$354,3,FALSE)="","",VLOOKUP(BC97,βοηθητικό!$J$2:$N$354,3,FALSE))</f>
        <v>_</v>
      </c>
      <c r="BE97" s="47"/>
      <c r="BF97" s="42" t="s">
        <v>16</v>
      </c>
      <c r="BG97" s="43" t="str">
        <f>IF(VLOOKUP(BF97,βοηθητικό!$J$2:$N$354,3,FALSE)="","",VLOOKUP(BF97,βοηθητικό!$J$2:$N$354,3,FALSE))</f>
        <v>_</v>
      </c>
      <c r="BH97" s="44"/>
      <c r="BI97" s="45" t="s">
        <v>16</v>
      </c>
      <c r="BJ97" s="46" t="str">
        <f>IF(VLOOKUP(BI97,βοηθητικό!$J$2:$N$354,3,FALSE)="","",VLOOKUP(BI97,βοηθητικό!$J$2:$N$354,3,FALSE))</f>
        <v>_</v>
      </c>
      <c r="BK97" s="47"/>
      <c r="BL97" s="42" t="s">
        <v>16</v>
      </c>
      <c r="BM97" s="43" t="str">
        <f>IF(VLOOKUP(BL97,βοηθητικό!$J$2:$N$354,3,FALSE)="","",VLOOKUP(BL97,βοηθητικό!$J$2:$N$354,3,FALSE))</f>
        <v>_</v>
      </c>
      <c r="BN97" s="44"/>
      <c r="BO97" s="45" t="s">
        <v>16</v>
      </c>
      <c r="BP97" s="46" t="str">
        <f>IF(VLOOKUP(BO97,βοηθητικό!$J$2:$N$354,3,FALSE)="","",VLOOKUP(BO97,βοηθητικό!$J$2:$N$354,3,FALSE))</f>
        <v>_</v>
      </c>
      <c r="BQ97" s="47"/>
      <c r="BR97" s="42" t="s">
        <v>16</v>
      </c>
      <c r="BS97" s="43" t="str">
        <f>IF(VLOOKUP(BR97,βοηθητικό!$J$2:$N$354,3,FALSE)="","",VLOOKUP(BR97,βοηθητικό!$J$2:$N$354,3,FALSE))</f>
        <v>_</v>
      </c>
      <c r="BT97" s="44"/>
      <c r="BU97" s="45" t="s">
        <v>16</v>
      </c>
      <c r="BV97" s="46" t="str">
        <f>IF(VLOOKUP(BU97,βοηθητικό!$J$2:$N$354,3,FALSE)="","",VLOOKUP(BU97,βοηθητικό!$J$2:$N$354,3,FALSE))</f>
        <v>_</v>
      </c>
      <c r="BW97" s="47"/>
      <c r="BX97" s="42" t="s">
        <v>16</v>
      </c>
      <c r="BY97" s="43" t="str">
        <f>IF(VLOOKUP(BX97,βοηθητικό!$J$2:$N$354,3,FALSE)="","",VLOOKUP(BX97,βοηθητικό!$J$2:$N$354,3,FALSE))</f>
        <v>_</v>
      </c>
      <c r="BZ97" s="44"/>
      <c r="CA97" s="45" t="s">
        <v>16</v>
      </c>
      <c r="CB97" s="46" t="str">
        <f>IF(VLOOKUP(CA97,βοηθητικό!$J$2:$N$354,3,FALSE)="","",VLOOKUP(CA97,βοηθητικό!$J$2:$N$354,3,FALSE))</f>
        <v>_</v>
      </c>
      <c r="CC97" s="47"/>
      <c r="CD97" s="42" t="s">
        <v>16</v>
      </c>
      <c r="CE97" s="43" t="str">
        <f>IF(VLOOKUP(CD97,βοηθητικό!$J$2:$N$354,3,FALSE)="","",VLOOKUP(CD97,βοηθητικό!$J$2:$N$354,3,FALSE))</f>
        <v>_</v>
      </c>
      <c r="CF97" s="44"/>
      <c r="CG97" s="45" t="s">
        <v>16</v>
      </c>
      <c r="CH97" s="46" t="str">
        <f>IF(VLOOKUP(CG97,βοηθητικό!$J$2:$N$354,3,FALSE)="","",VLOOKUP(CG97,βοηθητικό!$J$2:$N$354,3,FALSE))</f>
        <v>_</v>
      </c>
      <c r="CI97" s="47"/>
      <c r="CJ97" s="42" t="s">
        <v>16</v>
      </c>
      <c r="CK97" s="43" t="str">
        <f>IF(VLOOKUP(CJ97,βοηθητικό!$J$2:$N$354,3,FALSE)="","",VLOOKUP(CJ97,βοηθητικό!$J$2:$N$354,3,FALSE))</f>
        <v>_</v>
      </c>
      <c r="CL97" s="44"/>
      <c r="CM97" s="45" t="s">
        <v>16</v>
      </c>
      <c r="CN97" s="46" t="str">
        <f>IF(VLOOKUP(CM97,βοηθητικό!$J$2:$N$354,3,FALSE)="","",VLOOKUP(CM97,βοηθητικό!$J$2:$N$354,3,FALSE))</f>
        <v>_</v>
      </c>
      <c r="CO97" s="47"/>
      <c r="CP97" s="42" t="s">
        <v>16</v>
      </c>
      <c r="CQ97" s="43" t="str">
        <f>IF(VLOOKUP(CP97,βοηθητικό!$J$2:$N$354,3,FALSE)="","",VLOOKUP(CP97,βοηθητικό!$J$2:$N$354,3,FALSE))</f>
        <v>_</v>
      </c>
      <c r="CR97" s="44"/>
      <c r="CS97" s="45" t="s">
        <v>16</v>
      </c>
      <c r="CT97" s="46" t="str">
        <f>IF(VLOOKUP(CS97,βοηθητικό!$J$2:$N$354,3,FALSE)="","",VLOOKUP(CS97,βοηθητικό!$J$2:$N$354,3,FALSE))</f>
        <v>_</v>
      </c>
      <c r="CU97" s="47"/>
    </row>
    <row r="98" spans="1:99" x14ac:dyDescent="0.25">
      <c r="A98" s="37">
        <f>--SUBTOTAL(3,$B$3:B97)</f>
        <v>95</v>
      </c>
      <c r="B98" s="68">
        <v>45131</v>
      </c>
      <c r="C98" s="69">
        <v>45137</v>
      </c>
      <c r="D98" s="57" t="s">
        <v>100</v>
      </c>
      <c r="E98" s="38" t="s">
        <v>16</v>
      </c>
      <c r="F98" s="38" t="s">
        <v>16</v>
      </c>
      <c r="G98" s="39" t="str">
        <f t="shared" si="5"/>
        <v>__</v>
      </c>
      <c r="H98" s="40" t="str">
        <f t="shared" si="6"/>
        <v>FALSE</v>
      </c>
      <c r="I98" s="41">
        <f t="shared" si="7"/>
        <v>8</v>
      </c>
      <c r="J98" s="4" t="s">
        <v>1101</v>
      </c>
      <c r="K98" s="43">
        <f>IF(VLOOKUP(J98,βοηθητικό!$J$2:$N$354,3,FALSE)="","",VLOOKUP(J98,βοηθητικό!$J$2:$N$354,3,FALSE))</f>
        <v>6972535708</v>
      </c>
      <c r="L98" s="44"/>
      <c r="M98" s="5" t="s">
        <v>1110</v>
      </c>
      <c r="N98" s="46">
        <f>IF(VLOOKUP(M98,βοηθητικό!$J$2:$N$354,3,FALSE)="","",VLOOKUP(M98,βοηθητικό!$J$2:$N$354,3,FALSE))</f>
        <v>6946238179</v>
      </c>
      <c r="O98" s="47"/>
      <c r="P98" s="4" t="s">
        <v>1113</v>
      </c>
      <c r="Q98" s="43">
        <f>IF(VLOOKUP(P98,βοηθητικό!$J$2:$N$354,3,FALSE)="","",VLOOKUP(P98,βοηθητικό!$J$2:$N$354,3,FALSE))</f>
        <v>6949027222</v>
      </c>
      <c r="R98" s="44"/>
      <c r="S98" s="5" t="s">
        <v>1128</v>
      </c>
      <c r="T98" s="46">
        <f>IF(VLOOKUP(S98,βοηθητικό!$J$2:$N$354,3,FALSE)="","",VLOOKUP(S98,βοηθητικό!$J$2:$N$354,3,FALSE))</f>
        <v>6944208681</v>
      </c>
      <c r="U98" s="47"/>
      <c r="V98" s="4" t="s">
        <v>1147</v>
      </c>
      <c r="W98" s="43">
        <f>IF(VLOOKUP(V98,βοηθητικό!$J$2:$N$354,3,FALSE)="","",VLOOKUP(V98,βοηθητικό!$J$2:$N$354,3,FALSE))</f>
        <v>6970340744</v>
      </c>
      <c r="X98" s="44"/>
      <c r="Y98" s="5" t="s">
        <v>1172</v>
      </c>
      <c r="Z98" s="46">
        <f>IF(VLOOKUP(Y98,βοηθητικό!$J$2:$N$354,3,FALSE)="","",VLOOKUP(Y98,βοηθητικό!$J$2:$N$354,3,FALSE))</f>
        <v>6972205991</v>
      </c>
      <c r="AA98" s="47"/>
      <c r="AB98" s="4" t="s">
        <v>1175</v>
      </c>
      <c r="AC98" s="43">
        <f>IF(VLOOKUP(AB98,βοηθητικό!$J$2:$N$354,3,FALSE)="","",VLOOKUP(AB98,βοηθητικό!$J$2:$N$354,3,FALSE))</f>
        <v>6974156544</v>
      </c>
      <c r="AD98" s="44"/>
      <c r="AE98" s="5" t="s">
        <v>1181</v>
      </c>
      <c r="AF98" s="46">
        <f>IF(VLOOKUP(AE98,βοηθητικό!$J$2:$N$354,3,FALSE)="","",VLOOKUP(AE98,βοηθητικό!$J$2:$N$354,3,FALSE))</f>
        <v>6945816094</v>
      </c>
      <c r="AG98" s="47"/>
      <c r="AH98" s="4" t="s">
        <v>16</v>
      </c>
      <c r="AI98" s="43" t="str">
        <f>IF(VLOOKUP(AH98,βοηθητικό!$J$2:$N$354,3,FALSE)="","",VLOOKUP(AH98,βοηθητικό!$J$2:$N$354,3,FALSE))</f>
        <v>_</v>
      </c>
      <c r="AJ98" s="44"/>
      <c r="AK98" s="5" t="s">
        <v>16</v>
      </c>
      <c r="AL98" s="46" t="str">
        <f>IF(VLOOKUP(AK98,βοηθητικό!$J$2:$N$354,3,FALSE)="","",VLOOKUP(AK98,βοηθητικό!$J$2:$N$354,3,FALSE))</f>
        <v>_</v>
      </c>
      <c r="AM98" s="47"/>
      <c r="AN98" s="4" t="s">
        <v>16</v>
      </c>
      <c r="AO98" s="43" t="str">
        <f>IF(VLOOKUP(AN98,βοηθητικό!$J$2:$N$354,3,FALSE)="","",VLOOKUP(AN98,βοηθητικό!$J$2:$N$354,3,FALSE))</f>
        <v>_</v>
      </c>
      <c r="AP98" s="44"/>
      <c r="AQ98" s="5" t="s">
        <v>16</v>
      </c>
      <c r="AR98" s="46" t="str">
        <f>IF(VLOOKUP(AQ98,βοηθητικό!$J$2:$N$354,3,FALSE)="","",VLOOKUP(AQ98,βοηθητικό!$J$2:$N$354,3,FALSE))</f>
        <v>_</v>
      </c>
      <c r="AS98" s="47"/>
      <c r="AT98" s="4" t="s">
        <v>16</v>
      </c>
      <c r="AU98" s="43" t="str">
        <f>IF(VLOOKUP(AT98,βοηθητικό!$J$2:$N$354,3,FALSE)="","",VLOOKUP(AT98,βοηθητικό!$J$2:$N$354,3,FALSE))</f>
        <v>_</v>
      </c>
      <c r="AV98" s="44"/>
      <c r="AW98" s="5" t="s">
        <v>16</v>
      </c>
      <c r="AX98" s="46" t="str">
        <f>IF(VLOOKUP(AW98,βοηθητικό!$J$2:$N$354,3,FALSE)="","",VLOOKUP(AW98,βοηθητικό!$J$2:$N$354,3,FALSE))</f>
        <v>_</v>
      </c>
      <c r="AY98" s="47"/>
      <c r="AZ98" s="4" t="s">
        <v>16</v>
      </c>
      <c r="BA98" s="43" t="str">
        <f>IF(VLOOKUP(AZ98,βοηθητικό!$J$2:$N$354,3,FALSE)="","",VLOOKUP(AZ98,βοηθητικό!$J$2:$N$354,3,FALSE))</f>
        <v>_</v>
      </c>
      <c r="BB98" s="44"/>
      <c r="BC98" s="45" t="s">
        <v>16</v>
      </c>
      <c r="BD98" s="46" t="str">
        <f>IF(VLOOKUP(BC98,βοηθητικό!$J$2:$N$354,3,FALSE)="","",VLOOKUP(BC98,βοηθητικό!$J$2:$N$354,3,FALSE))</f>
        <v>_</v>
      </c>
      <c r="BE98" s="47"/>
      <c r="BF98" s="42" t="s">
        <v>16</v>
      </c>
      <c r="BG98" s="43" t="str">
        <f>IF(VLOOKUP(BF98,βοηθητικό!$J$2:$N$354,3,FALSE)="","",VLOOKUP(BF98,βοηθητικό!$J$2:$N$354,3,FALSE))</f>
        <v>_</v>
      </c>
      <c r="BH98" s="44"/>
      <c r="BI98" s="45" t="s">
        <v>16</v>
      </c>
      <c r="BJ98" s="46" t="str">
        <f>IF(VLOOKUP(BI98,βοηθητικό!$J$2:$N$354,3,FALSE)="","",VLOOKUP(BI98,βοηθητικό!$J$2:$N$354,3,FALSE))</f>
        <v>_</v>
      </c>
      <c r="BK98" s="47"/>
      <c r="BL98" s="42" t="s">
        <v>16</v>
      </c>
      <c r="BM98" s="43" t="str">
        <f>IF(VLOOKUP(BL98,βοηθητικό!$J$2:$N$354,3,FALSE)="","",VLOOKUP(BL98,βοηθητικό!$J$2:$N$354,3,FALSE))</f>
        <v>_</v>
      </c>
      <c r="BN98" s="44"/>
      <c r="BO98" s="45" t="s">
        <v>16</v>
      </c>
      <c r="BP98" s="46" t="str">
        <f>IF(VLOOKUP(BO98,βοηθητικό!$J$2:$N$354,3,FALSE)="","",VLOOKUP(BO98,βοηθητικό!$J$2:$N$354,3,FALSE))</f>
        <v>_</v>
      </c>
      <c r="BQ98" s="47"/>
      <c r="BR98" s="42" t="s">
        <v>16</v>
      </c>
      <c r="BS98" s="43" t="str">
        <f>IF(VLOOKUP(BR98,βοηθητικό!$J$2:$N$354,3,FALSE)="","",VLOOKUP(BR98,βοηθητικό!$J$2:$N$354,3,FALSE))</f>
        <v>_</v>
      </c>
      <c r="BT98" s="44"/>
      <c r="BU98" s="45" t="s">
        <v>16</v>
      </c>
      <c r="BV98" s="46" t="str">
        <f>IF(VLOOKUP(BU98,βοηθητικό!$J$2:$N$354,3,FALSE)="","",VLOOKUP(BU98,βοηθητικό!$J$2:$N$354,3,FALSE))</f>
        <v>_</v>
      </c>
      <c r="BW98" s="47"/>
      <c r="BX98" s="42" t="s">
        <v>16</v>
      </c>
      <c r="BY98" s="43" t="str">
        <f>IF(VLOOKUP(BX98,βοηθητικό!$J$2:$N$354,3,FALSE)="","",VLOOKUP(BX98,βοηθητικό!$J$2:$N$354,3,FALSE))</f>
        <v>_</v>
      </c>
      <c r="BZ98" s="44"/>
      <c r="CA98" s="45" t="s">
        <v>16</v>
      </c>
      <c r="CB98" s="46" t="str">
        <f>IF(VLOOKUP(CA98,βοηθητικό!$J$2:$N$354,3,FALSE)="","",VLOOKUP(CA98,βοηθητικό!$J$2:$N$354,3,FALSE))</f>
        <v>_</v>
      </c>
      <c r="CC98" s="47"/>
      <c r="CD98" s="42" t="s">
        <v>16</v>
      </c>
      <c r="CE98" s="43" t="str">
        <f>IF(VLOOKUP(CD98,βοηθητικό!$J$2:$N$354,3,FALSE)="","",VLOOKUP(CD98,βοηθητικό!$J$2:$N$354,3,FALSE))</f>
        <v>_</v>
      </c>
      <c r="CF98" s="44"/>
      <c r="CG98" s="45" t="s">
        <v>16</v>
      </c>
      <c r="CH98" s="46" t="str">
        <f>IF(VLOOKUP(CG98,βοηθητικό!$J$2:$N$354,3,FALSE)="","",VLOOKUP(CG98,βοηθητικό!$J$2:$N$354,3,FALSE))</f>
        <v>_</v>
      </c>
      <c r="CI98" s="47"/>
      <c r="CJ98" s="42" t="s">
        <v>16</v>
      </c>
      <c r="CK98" s="43" t="str">
        <f>IF(VLOOKUP(CJ98,βοηθητικό!$J$2:$N$354,3,FALSE)="","",VLOOKUP(CJ98,βοηθητικό!$J$2:$N$354,3,FALSE))</f>
        <v>_</v>
      </c>
      <c r="CL98" s="44"/>
      <c r="CM98" s="45" t="s">
        <v>16</v>
      </c>
      <c r="CN98" s="46" t="str">
        <f>IF(VLOOKUP(CM98,βοηθητικό!$J$2:$N$354,3,FALSE)="","",VLOOKUP(CM98,βοηθητικό!$J$2:$N$354,3,FALSE))</f>
        <v>_</v>
      </c>
      <c r="CO98" s="47"/>
      <c r="CP98" s="42" t="s">
        <v>16</v>
      </c>
      <c r="CQ98" s="43" t="str">
        <f>IF(VLOOKUP(CP98,βοηθητικό!$J$2:$N$354,3,FALSE)="","",VLOOKUP(CP98,βοηθητικό!$J$2:$N$354,3,FALSE))</f>
        <v>_</v>
      </c>
      <c r="CR98" s="44"/>
      <c r="CS98" s="45" t="s">
        <v>16</v>
      </c>
      <c r="CT98" s="46" t="str">
        <f>IF(VLOOKUP(CS98,βοηθητικό!$J$2:$N$354,3,FALSE)="","",VLOOKUP(CS98,βοηθητικό!$J$2:$N$354,3,FALSE))</f>
        <v>_</v>
      </c>
      <c r="CU98" s="47"/>
    </row>
    <row r="99" spans="1:99" x14ac:dyDescent="0.25">
      <c r="A99" s="37">
        <f>--SUBTOTAL(3,$B$3:B98)</f>
        <v>96</v>
      </c>
      <c r="B99" s="68">
        <v>45110</v>
      </c>
      <c r="C99" s="69">
        <v>45116</v>
      </c>
      <c r="D99" s="58" t="s">
        <v>110</v>
      </c>
      <c r="E99" s="38" t="s">
        <v>16</v>
      </c>
      <c r="F99" s="38" t="s">
        <v>16</v>
      </c>
      <c r="G99" s="39" t="str">
        <f t="shared" si="5"/>
        <v>__</v>
      </c>
      <c r="H99" s="40" t="str">
        <f t="shared" si="6"/>
        <v>FALSE</v>
      </c>
      <c r="I99" s="41">
        <f t="shared" si="7"/>
        <v>4</v>
      </c>
      <c r="J99" s="59" t="s">
        <v>1209</v>
      </c>
      <c r="K99" s="43" t="str">
        <f>IF(VLOOKUP(J99,βοηθητικό!$J$2:$N$354,3,FALSE)="","",VLOOKUP(J99,βοηθητικό!$J$2:$N$354,3,FALSE))</f>
        <v>6984422749</v>
      </c>
      <c r="L99" s="60"/>
      <c r="M99" s="61" t="s">
        <v>1215</v>
      </c>
      <c r="N99" s="46" t="str">
        <f>IF(VLOOKUP(M99,βοηθητικό!$J$2:$N$354,3,FALSE)="","",VLOOKUP(M99,βοηθητικό!$J$2:$N$354,3,FALSE))</f>
        <v>6977401233</v>
      </c>
      <c r="O99" s="62"/>
      <c r="P99" s="59" t="s">
        <v>1205</v>
      </c>
      <c r="Q99" s="43" t="str">
        <f>IF(VLOOKUP(P99,βοηθητικό!$J$2:$N$354,3,FALSE)="","",VLOOKUP(P99,βοηθητικό!$J$2:$N$354,3,FALSE))</f>
        <v>6944344579</v>
      </c>
      <c r="R99" s="60"/>
      <c r="S99" s="61" t="s">
        <v>1250</v>
      </c>
      <c r="T99" s="46">
        <f>IF(VLOOKUP(S99,βοηθητικό!$J$2:$N$354,3,FALSE)="","",VLOOKUP(S99,βοηθητικό!$J$2:$N$354,3,FALSE))</f>
        <v>6983956556</v>
      </c>
      <c r="U99" s="62"/>
      <c r="V99" s="59" t="s">
        <v>16</v>
      </c>
      <c r="W99" s="43" t="str">
        <f>IF(VLOOKUP(V99,βοηθητικό!$J$2:$N$354,3,FALSE)="","",VLOOKUP(V99,βοηθητικό!$J$2:$N$354,3,FALSE))</f>
        <v>_</v>
      </c>
      <c r="X99" s="44"/>
      <c r="Y99" s="5" t="s">
        <v>16</v>
      </c>
      <c r="Z99" s="46" t="str">
        <f>IF(VLOOKUP(Y99,βοηθητικό!$J$2:$N$354,3,FALSE)="","",VLOOKUP(Y99,βοηθητικό!$J$2:$N$354,3,FALSE))</f>
        <v>_</v>
      </c>
      <c r="AA99" s="47"/>
      <c r="AB99" s="4" t="s">
        <v>16</v>
      </c>
      <c r="AC99" s="43" t="str">
        <f>IF(VLOOKUP(AB99,βοηθητικό!$J$2:$N$354,3,FALSE)="","",VLOOKUP(AB99,βοηθητικό!$J$2:$N$354,3,FALSE))</f>
        <v>_</v>
      </c>
      <c r="AD99" s="44"/>
      <c r="AE99" s="5" t="s">
        <v>16</v>
      </c>
      <c r="AF99" s="46" t="str">
        <f>IF(VLOOKUP(AE99,βοηθητικό!$J$2:$N$354,3,FALSE)="","",VLOOKUP(AE99,βοηθητικό!$J$2:$N$354,3,FALSE))</f>
        <v>_</v>
      </c>
      <c r="AG99" s="47"/>
      <c r="AH99" s="4" t="s">
        <v>16</v>
      </c>
      <c r="AI99" s="43" t="str">
        <f>IF(VLOOKUP(AH99,βοηθητικό!$J$2:$N$354,3,FALSE)="","",VLOOKUP(AH99,βοηθητικό!$J$2:$N$354,3,FALSE))</f>
        <v>_</v>
      </c>
      <c r="AJ99" s="44"/>
      <c r="AK99" s="5" t="s">
        <v>16</v>
      </c>
      <c r="AL99" s="46" t="str">
        <f>IF(VLOOKUP(AK99,βοηθητικό!$J$2:$N$354,3,FALSE)="","",VLOOKUP(AK99,βοηθητικό!$J$2:$N$354,3,FALSE))</f>
        <v>_</v>
      </c>
      <c r="AM99" s="47"/>
      <c r="AN99" s="4" t="s">
        <v>16</v>
      </c>
      <c r="AO99" s="43" t="str">
        <f>IF(VLOOKUP(AN99,βοηθητικό!$J$2:$N$354,3,FALSE)="","",VLOOKUP(AN99,βοηθητικό!$J$2:$N$354,3,FALSE))</f>
        <v>_</v>
      </c>
      <c r="AP99" s="44"/>
      <c r="AQ99" s="5" t="s">
        <v>16</v>
      </c>
      <c r="AR99" s="46" t="str">
        <f>IF(VLOOKUP(AQ99,βοηθητικό!$J$2:$N$354,3,FALSE)="","",VLOOKUP(AQ99,βοηθητικό!$J$2:$N$354,3,FALSE))</f>
        <v>_</v>
      </c>
      <c r="AS99" s="47"/>
      <c r="AT99" s="4" t="s">
        <v>16</v>
      </c>
      <c r="AU99" s="43" t="str">
        <f>IF(VLOOKUP(AT99,βοηθητικό!$J$2:$N$354,3,FALSE)="","",VLOOKUP(AT99,βοηθητικό!$J$2:$N$354,3,FALSE))</f>
        <v>_</v>
      </c>
      <c r="AV99" s="44"/>
      <c r="AW99" s="5" t="s">
        <v>16</v>
      </c>
      <c r="AX99" s="46" t="str">
        <f>IF(VLOOKUP(AW99,βοηθητικό!$J$2:$N$354,3,FALSE)="","",VLOOKUP(AW99,βοηθητικό!$J$2:$N$354,3,FALSE))</f>
        <v>_</v>
      </c>
      <c r="AY99" s="47"/>
      <c r="AZ99" s="4" t="s">
        <v>16</v>
      </c>
      <c r="BA99" s="43" t="str">
        <f>IF(VLOOKUP(AZ99,βοηθητικό!$J$2:$N$354,3,FALSE)="","",VLOOKUP(AZ99,βοηθητικό!$J$2:$N$354,3,FALSE))</f>
        <v>_</v>
      </c>
      <c r="BB99" s="44"/>
      <c r="BC99" s="45" t="s">
        <v>16</v>
      </c>
      <c r="BD99" s="46" t="str">
        <f>IF(VLOOKUP(BC99,βοηθητικό!$J$2:$N$354,3,FALSE)="","",VLOOKUP(BC99,βοηθητικό!$J$2:$N$354,3,FALSE))</f>
        <v>_</v>
      </c>
      <c r="BE99" s="47"/>
      <c r="BF99" s="42" t="s">
        <v>16</v>
      </c>
      <c r="BG99" s="43" t="str">
        <f>IF(VLOOKUP(BF99,βοηθητικό!$J$2:$N$354,3,FALSE)="","",VLOOKUP(BF99,βοηθητικό!$J$2:$N$354,3,FALSE))</f>
        <v>_</v>
      </c>
      <c r="BH99" s="44"/>
      <c r="BI99" s="45" t="s">
        <v>16</v>
      </c>
      <c r="BJ99" s="46" t="str">
        <f>IF(VLOOKUP(BI99,βοηθητικό!$J$2:$N$354,3,FALSE)="","",VLOOKUP(BI99,βοηθητικό!$J$2:$N$354,3,FALSE))</f>
        <v>_</v>
      </c>
      <c r="BK99" s="47"/>
      <c r="BL99" s="42" t="s">
        <v>16</v>
      </c>
      <c r="BM99" s="43" t="str">
        <f>IF(VLOOKUP(BL99,βοηθητικό!$J$2:$N$354,3,FALSE)="","",VLOOKUP(BL99,βοηθητικό!$J$2:$N$354,3,FALSE))</f>
        <v>_</v>
      </c>
      <c r="BN99" s="44"/>
      <c r="BO99" s="45" t="s">
        <v>16</v>
      </c>
      <c r="BP99" s="46" t="str">
        <f>IF(VLOOKUP(BO99,βοηθητικό!$J$2:$N$354,3,FALSE)="","",VLOOKUP(BO99,βοηθητικό!$J$2:$N$354,3,FALSE))</f>
        <v>_</v>
      </c>
      <c r="BQ99" s="47"/>
      <c r="BR99" s="42" t="s">
        <v>16</v>
      </c>
      <c r="BS99" s="43" t="str">
        <f>IF(VLOOKUP(BR99,βοηθητικό!$J$2:$N$354,3,FALSE)="","",VLOOKUP(BR99,βοηθητικό!$J$2:$N$354,3,FALSE))</f>
        <v>_</v>
      </c>
      <c r="BT99" s="44"/>
      <c r="BU99" s="45" t="s">
        <v>16</v>
      </c>
      <c r="BV99" s="46" t="str">
        <f>IF(VLOOKUP(BU99,βοηθητικό!$J$2:$N$354,3,FALSE)="","",VLOOKUP(BU99,βοηθητικό!$J$2:$N$354,3,FALSE))</f>
        <v>_</v>
      </c>
      <c r="BW99" s="47"/>
      <c r="BX99" s="42" t="s">
        <v>16</v>
      </c>
      <c r="BY99" s="43" t="str">
        <f>IF(VLOOKUP(BX99,βοηθητικό!$J$2:$N$354,3,FALSE)="","",VLOOKUP(BX99,βοηθητικό!$J$2:$N$354,3,FALSE))</f>
        <v>_</v>
      </c>
      <c r="BZ99" s="44"/>
      <c r="CA99" s="45" t="s">
        <v>16</v>
      </c>
      <c r="CB99" s="46" t="str">
        <f>IF(VLOOKUP(CA99,βοηθητικό!$J$2:$N$354,3,FALSE)="","",VLOOKUP(CA99,βοηθητικό!$J$2:$N$354,3,FALSE))</f>
        <v>_</v>
      </c>
      <c r="CC99" s="47"/>
      <c r="CD99" s="42" t="s">
        <v>16</v>
      </c>
      <c r="CE99" s="43" t="str">
        <f>IF(VLOOKUP(CD99,βοηθητικό!$J$2:$N$354,3,FALSE)="","",VLOOKUP(CD99,βοηθητικό!$J$2:$N$354,3,FALSE))</f>
        <v>_</v>
      </c>
      <c r="CF99" s="44"/>
      <c r="CG99" s="45" t="s">
        <v>16</v>
      </c>
      <c r="CH99" s="46" t="str">
        <f>IF(VLOOKUP(CG99,βοηθητικό!$J$2:$N$354,3,FALSE)="","",VLOOKUP(CG99,βοηθητικό!$J$2:$N$354,3,FALSE))</f>
        <v>_</v>
      </c>
      <c r="CI99" s="47"/>
      <c r="CJ99" s="42" t="s">
        <v>16</v>
      </c>
      <c r="CK99" s="43" t="str">
        <f>IF(VLOOKUP(CJ99,βοηθητικό!$J$2:$N$354,3,FALSE)="","",VLOOKUP(CJ99,βοηθητικό!$J$2:$N$354,3,FALSE))</f>
        <v>_</v>
      </c>
      <c r="CL99" s="44"/>
      <c r="CM99" s="45" t="s">
        <v>16</v>
      </c>
      <c r="CN99" s="46" t="str">
        <f>IF(VLOOKUP(CM99,βοηθητικό!$J$2:$N$354,3,FALSE)="","",VLOOKUP(CM99,βοηθητικό!$J$2:$N$354,3,FALSE))</f>
        <v>_</v>
      </c>
      <c r="CO99" s="47"/>
      <c r="CP99" s="42" t="s">
        <v>16</v>
      </c>
      <c r="CQ99" s="43" t="str">
        <f>IF(VLOOKUP(CP99,βοηθητικό!$J$2:$N$354,3,FALSE)="","",VLOOKUP(CP99,βοηθητικό!$J$2:$N$354,3,FALSE))</f>
        <v>_</v>
      </c>
      <c r="CR99" s="44"/>
      <c r="CS99" s="45" t="s">
        <v>16</v>
      </c>
      <c r="CT99" s="46" t="str">
        <f>IF(VLOOKUP(CS99,βοηθητικό!$J$2:$N$354,3,FALSE)="","",VLOOKUP(CS99,βοηθητικό!$J$2:$N$354,3,FALSE))</f>
        <v>_</v>
      </c>
      <c r="CU99" s="47"/>
    </row>
    <row r="100" spans="1:99" x14ac:dyDescent="0.25">
      <c r="A100" s="37">
        <f>--SUBTOTAL(3,$B$3:B99)</f>
        <v>97</v>
      </c>
      <c r="B100" s="68">
        <v>45117</v>
      </c>
      <c r="C100" s="69">
        <v>45123</v>
      </c>
      <c r="D100" s="58" t="s">
        <v>110</v>
      </c>
      <c r="E100" s="38" t="s">
        <v>16</v>
      </c>
      <c r="F100" s="38" t="s">
        <v>16</v>
      </c>
      <c r="G100" s="39" t="str">
        <f t="shared" si="5"/>
        <v>__</v>
      </c>
      <c r="H100" s="40" t="str">
        <f t="shared" si="6"/>
        <v>FALSE</v>
      </c>
      <c r="I100" s="41">
        <f t="shared" si="7"/>
        <v>4</v>
      </c>
      <c r="J100" s="59" t="s">
        <v>1247</v>
      </c>
      <c r="K100" s="43" t="str">
        <f>IF(VLOOKUP(J100,βοηθητικό!$J$2:$N$354,3,FALSE)="","",VLOOKUP(J100,βοηθητικό!$J$2:$N$354,3,FALSE))</f>
        <v>6977779983</v>
      </c>
      <c r="L100" s="60"/>
      <c r="M100" s="61" t="s">
        <v>1196</v>
      </c>
      <c r="N100" s="46" t="str">
        <f>IF(VLOOKUP(M100,βοηθητικό!$J$2:$N$354,3,FALSE)="","",VLOOKUP(M100,βοηθητικό!$J$2:$N$354,3,FALSE))</f>
        <v>6988221973</v>
      </c>
      <c r="O100" s="62"/>
      <c r="P100" s="59" t="s">
        <v>1230</v>
      </c>
      <c r="Q100" s="43" t="str">
        <f>IF(VLOOKUP(P100,βοηθητικό!$J$2:$N$354,3,FALSE)="","",VLOOKUP(P100,βοηθητικό!$J$2:$N$354,3,FALSE))</f>
        <v>6948363936</v>
      </c>
      <c r="R100" s="60"/>
      <c r="S100" s="61" t="s">
        <v>1202</v>
      </c>
      <c r="T100" s="46" t="str">
        <f>IF(VLOOKUP(S100,βοηθητικό!$J$2:$N$354,3,FALSE)="","",VLOOKUP(S100,βοηθητικό!$J$2:$N$354,3,FALSE))</f>
        <v>6938601801</v>
      </c>
      <c r="U100" s="62"/>
      <c r="V100" s="59" t="s">
        <v>16</v>
      </c>
      <c r="W100" s="43" t="str">
        <f>IF(VLOOKUP(V100,βοηθητικό!$J$2:$N$354,3,FALSE)="","",VLOOKUP(V100,βοηθητικό!$J$2:$N$354,3,FALSE))</f>
        <v>_</v>
      </c>
      <c r="X100" s="44"/>
      <c r="Y100" s="5" t="s">
        <v>16</v>
      </c>
      <c r="Z100" s="46" t="str">
        <f>IF(VLOOKUP(Y100,βοηθητικό!$J$2:$N$354,3,FALSE)="","",VLOOKUP(Y100,βοηθητικό!$J$2:$N$354,3,FALSE))</f>
        <v>_</v>
      </c>
      <c r="AA100" s="47"/>
      <c r="AB100" s="4" t="s">
        <v>16</v>
      </c>
      <c r="AC100" s="43" t="str">
        <f>IF(VLOOKUP(AB100,βοηθητικό!$J$2:$N$354,3,FALSE)="","",VLOOKUP(AB100,βοηθητικό!$J$2:$N$354,3,FALSE))</f>
        <v>_</v>
      </c>
      <c r="AD100" s="44"/>
      <c r="AE100" s="5" t="s">
        <v>16</v>
      </c>
      <c r="AF100" s="46" t="str">
        <f>IF(VLOOKUP(AE100,βοηθητικό!$J$2:$N$354,3,FALSE)="","",VLOOKUP(AE100,βοηθητικό!$J$2:$N$354,3,FALSE))</f>
        <v>_</v>
      </c>
      <c r="AG100" s="47"/>
      <c r="AH100" s="4" t="s">
        <v>16</v>
      </c>
      <c r="AI100" s="43" t="str">
        <f>IF(VLOOKUP(AH100,βοηθητικό!$J$2:$N$354,3,FALSE)="","",VLOOKUP(AH100,βοηθητικό!$J$2:$N$354,3,FALSE))</f>
        <v>_</v>
      </c>
      <c r="AJ100" s="44"/>
      <c r="AK100" s="5" t="s">
        <v>16</v>
      </c>
      <c r="AL100" s="46" t="str">
        <f>IF(VLOOKUP(AK100,βοηθητικό!$J$2:$N$354,3,FALSE)="","",VLOOKUP(AK100,βοηθητικό!$J$2:$N$354,3,FALSE))</f>
        <v>_</v>
      </c>
      <c r="AM100" s="47"/>
      <c r="AN100" s="4" t="s">
        <v>16</v>
      </c>
      <c r="AO100" s="43" t="str">
        <f>IF(VLOOKUP(AN100,βοηθητικό!$J$2:$N$354,3,FALSE)="","",VLOOKUP(AN100,βοηθητικό!$J$2:$N$354,3,FALSE))</f>
        <v>_</v>
      </c>
      <c r="AP100" s="44"/>
      <c r="AQ100" s="5" t="s">
        <v>16</v>
      </c>
      <c r="AR100" s="46" t="str">
        <f>IF(VLOOKUP(AQ100,βοηθητικό!$J$2:$N$354,3,FALSE)="","",VLOOKUP(AQ100,βοηθητικό!$J$2:$N$354,3,FALSE))</f>
        <v>_</v>
      </c>
      <c r="AS100" s="47"/>
      <c r="AT100" s="4" t="s">
        <v>16</v>
      </c>
      <c r="AU100" s="43" t="str">
        <f>IF(VLOOKUP(AT100,βοηθητικό!$J$2:$N$354,3,FALSE)="","",VLOOKUP(AT100,βοηθητικό!$J$2:$N$354,3,FALSE))</f>
        <v>_</v>
      </c>
      <c r="AV100" s="44"/>
      <c r="AW100" s="5" t="s">
        <v>16</v>
      </c>
      <c r="AX100" s="46" t="str">
        <f>IF(VLOOKUP(AW100,βοηθητικό!$J$2:$N$354,3,FALSE)="","",VLOOKUP(AW100,βοηθητικό!$J$2:$N$354,3,FALSE))</f>
        <v>_</v>
      </c>
      <c r="AY100" s="47"/>
      <c r="AZ100" s="4" t="s">
        <v>16</v>
      </c>
      <c r="BA100" s="43" t="str">
        <f>IF(VLOOKUP(AZ100,βοηθητικό!$J$2:$N$354,3,FALSE)="","",VLOOKUP(AZ100,βοηθητικό!$J$2:$N$354,3,FALSE))</f>
        <v>_</v>
      </c>
      <c r="BB100" s="44"/>
      <c r="BC100" s="45" t="s">
        <v>16</v>
      </c>
      <c r="BD100" s="46" t="str">
        <f>IF(VLOOKUP(BC100,βοηθητικό!$J$2:$N$354,3,FALSE)="","",VLOOKUP(BC100,βοηθητικό!$J$2:$N$354,3,FALSE))</f>
        <v>_</v>
      </c>
      <c r="BE100" s="47"/>
      <c r="BF100" s="42" t="s">
        <v>16</v>
      </c>
      <c r="BG100" s="43" t="str">
        <f>IF(VLOOKUP(BF100,βοηθητικό!$J$2:$N$354,3,FALSE)="","",VLOOKUP(BF100,βοηθητικό!$J$2:$N$354,3,FALSE))</f>
        <v>_</v>
      </c>
      <c r="BH100" s="44"/>
      <c r="BI100" s="45" t="s">
        <v>16</v>
      </c>
      <c r="BJ100" s="46" t="str">
        <f>IF(VLOOKUP(BI100,βοηθητικό!$J$2:$N$354,3,FALSE)="","",VLOOKUP(BI100,βοηθητικό!$J$2:$N$354,3,FALSE))</f>
        <v>_</v>
      </c>
      <c r="BK100" s="47"/>
      <c r="BL100" s="42" t="s">
        <v>16</v>
      </c>
      <c r="BM100" s="43" t="str">
        <f>IF(VLOOKUP(BL100,βοηθητικό!$J$2:$N$354,3,FALSE)="","",VLOOKUP(BL100,βοηθητικό!$J$2:$N$354,3,FALSE))</f>
        <v>_</v>
      </c>
      <c r="BN100" s="44"/>
      <c r="BO100" s="45" t="s">
        <v>16</v>
      </c>
      <c r="BP100" s="46" t="str">
        <f>IF(VLOOKUP(BO100,βοηθητικό!$J$2:$N$354,3,FALSE)="","",VLOOKUP(BO100,βοηθητικό!$J$2:$N$354,3,FALSE))</f>
        <v>_</v>
      </c>
      <c r="BQ100" s="47"/>
      <c r="BR100" s="42" t="s">
        <v>16</v>
      </c>
      <c r="BS100" s="43" t="str">
        <f>IF(VLOOKUP(BR100,βοηθητικό!$J$2:$N$354,3,FALSE)="","",VLOOKUP(BR100,βοηθητικό!$J$2:$N$354,3,FALSE))</f>
        <v>_</v>
      </c>
      <c r="BT100" s="44"/>
      <c r="BU100" s="45" t="s">
        <v>16</v>
      </c>
      <c r="BV100" s="46" t="str">
        <f>IF(VLOOKUP(BU100,βοηθητικό!$J$2:$N$354,3,FALSE)="","",VLOOKUP(BU100,βοηθητικό!$J$2:$N$354,3,FALSE))</f>
        <v>_</v>
      </c>
      <c r="BW100" s="47"/>
      <c r="BX100" s="42" t="s">
        <v>16</v>
      </c>
      <c r="BY100" s="43" t="str">
        <f>IF(VLOOKUP(BX100,βοηθητικό!$J$2:$N$354,3,FALSE)="","",VLOOKUP(BX100,βοηθητικό!$J$2:$N$354,3,FALSE))</f>
        <v>_</v>
      </c>
      <c r="BZ100" s="44"/>
      <c r="CA100" s="45" t="s">
        <v>16</v>
      </c>
      <c r="CB100" s="46" t="str">
        <f>IF(VLOOKUP(CA100,βοηθητικό!$J$2:$N$354,3,FALSE)="","",VLOOKUP(CA100,βοηθητικό!$J$2:$N$354,3,FALSE))</f>
        <v>_</v>
      </c>
      <c r="CC100" s="47"/>
      <c r="CD100" s="42" t="s">
        <v>16</v>
      </c>
      <c r="CE100" s="43" t="str">
        <f>IF(VLOOKUP(CD100,βοηθητικό!$J$2:$N$354,3,FALSE)="","",VLOOKUP(CD100,βοηθητικό!$J$2:$N$354,3,FALSE))</f>
        <v>_</v>
      </c>
      <c r="CF100" s="44"/>
      <c r="CG100" s="45" t="s">
        <v>16</v>
      </c>
      <c r="CH100" s="46" t="str">
        <f>IF(VLOOKUP(CG100,βοηθητικό!$J$2:$N$354,3,FALSE)="","",VLOOKUP(CG100,βοηθητικό!$J$2:$N$354,3,FALSE))</f>
        <v>_</v>
      </c>
      <c r="CI100" s="47"/>
      <c r="CJ100" s="42" t="s">
        <v>16</v>
      </c>
      <c r="CK100" s="43" t="str">
        <f>IF(VLOOKUP(CJ100,βοηθητικό!$J$2:$N$354,3,FALSE)="","",VLOOKUP(CJ100,βοηθητικό!$J$2:$N$354,3,FALSE))</f>
        <v>_</v>
      </c>
      <c r="CL100" s="44"/>
      <c r="CM100" s="45" t="s">
        <v>16</v>
      </c>
      <c r="CN100" s="46" t="str">
        <f>IF(VLOOKUP(CM100,βοηθητικό!$J$2:$N$354,3,FALSE)="","",VLOOKUP(CM100,βοηθητικό!$J$2:$N$354,3,FALSE))</f>
        <v>_</v>
      </c>
      <c r="CO100" s="47"/>
      <c r="CP100" s="42" t="s">
        <v>16</v>
      </c>
      <c r="CQ100" s="43" t="str">
        <f>IF(VLOOKUP(CP100,βοηθητικό!$J$2:$N$354,3,FALSE)="","",VLOOKUP(CP100,βοηθητικό!$J$2:$N$354,3,FALSE))</f>
        <v>_</v>
      </c>
      <c r="CR100" s="44"/>
      <c r="CS100" s="45" t="s">
        <v>16</v>
      </c>
      <c r="CT100" s="46" t="str">
        <f>IF(VLOOKUP(CS100,βοηθητικό!$J$2:$N$354,3,FALSE)="","",VLOOKUP(CS100,βοηθητικό!$J$2:$N$354,3,FALSE))</f>
        <v>_</v>
      </c>
      <c r="CU100" s="47"/>
    </row>
    <row r="101" spans="1:99" x14ac:dyDescent="0.25">
      <c r="A101" s="37">
        <f>--SUBTOTAL(3,$B$3:B100)</f>
        <v>98</v>
      </c>
      <c r="B101" s="68">
        <v>45124</v>
      </c>
      <c r="C101" s="69">
        <v>45130</v>
      </c>
      <c r="D101" s="58" t="s">
        <v>110</v>
      </c>
      <c r="E101" s="38" t="s">
        <v>16</v>
      </c>
      <c r="F101" s="38" t="s">
        <v>16</v>
      </c>
      <c r="G101" s="39" t="str">
        <f t="shared" si="5"/>
        <v>__</v>
      </c>
      <c r="H101" s="40" t="str">
        <f t="shared" si="6"/>
        <v>FALSE</v>
      </c>
      <c r="I101" s="41">
        <f t="shared" si="7"/>
        <v>5</v>
      </c>
      <c r="J101" s="59" t="s">
        <v>1224</v>
      </c>
      <c r="K101" s="43" t="str">
        <f>IF(VLOOKUP(J101,βοηθητικό!$J$2:$N$354,3,FALSE)="","",VLOOKUP(J101,βοηθητικό!$J$2:$N$354,3,FALSE))</f>
        <v>6982360550</v>
      </c>
      <c r="L101" s="60"/>
      <c r="M101" s="61" t="s">
        <v>1212</v>
      </c>
      <c r="N101" s="46" t="str">
        <f>IF(VLOOKUP(M101,βοηθητικό!$J$2:$N$354,3,FALSE)="","",VLOOKUP(M101,βοηθητικό!$J$2:$N$354,3,FALSE))</f>
        <v>6932703127</v>
      </c>
      <c r="O101" s="62"/>
      <c r="P101" s="59" t="s">
        <v>1189</v>
      </c>
      <c r="Q101" s="43" t="str">
        <f>IF(VLOOKUP(P101,βοηθητικό!$J$2:$N$354,3,FALSE)="","",VLOOKUP(P101,βοηθητικό!$J$2:$N$354,3,FALSE))</f>
        <v>6949333494</v>
      </c>
      <c r="R101" s="60"/>
      <c r="S101" s="61" t="s">
        <v>1218</v>
      </c>
      <c r="T101" s="46" t="str">
        <f>IF(VLOOKUP(S101,βοηθητικό!$J$2:$N$354,3,FALSE)="","",VLOOKUP(S101,βοηθητικό!$J$2:$N$354,3,FALSE))</f>
        <v>6976559998</v>
      </c>
      <c r="U101" s="62"/>
      <c r="V101" s="59" t="s">
        <v>1194</v>
      </c>
      <c r="W101" s="43">
        <f>IF(VLOOKUP(V101,βοηθητικό!$J$2:$N$354,3,FALSE)="","",VLOOKUP(V101,βοηθητικό!$J$2:$N$354,3,FALSE))</f>
        <v>6972440994</v>
      </c>
      <c r="X101" s="44"/>
      <c r="Y101" s="5" t="s">
        <v>16</v>
      </c>
      <c r="Z101" s="46" t="str">
        <f>IF(VLOOKUP(Y101,βοηθητικό!$J$2:$N$354,3,FALSE)="","",VLOOKUP(Y101,βοηθητικό!$J$2:$N$354,3,FALSE))</f>
        <v>_</v>
      </c>
      <c r="AA101" s="47"/>
      <c r="AB101" s="4" t="s">
        <v>16</v>
      </c>
      <c r="AC101" s="43" t="str">
        <f>IF(VLOOKUP(AB101,βοηθητικό!$J$2:$N$354,3,FALSE)="","",VLOOKUP(AB101,βοηθητικό!$J$2:$N$354,3,FALSE))</f>
        <v>_</v>
      </c>
      <c r="AD101" s="44"/>
      <c r="AE101" s="5" t="s">
        <v>16</v>
      </c>
      <c r="AF101" s="46" t="str">
        <f>IF(VLOOKUP(AE101,βοηθητικό!$J$2:$N$354,3,FALSE)="","",VLOOKUP(AE101,βοηθητικό!$J$2:$N$354,3,FALSE))</f>
        <v>_</v>
      </c>
      <c r="AG101" s="47"/>
      <c r="AH101" s="4" t="s">
        <v>16</v>
      </c>
      <c r="AI101" s="43" t="str">
        <f>IF(VLOOKUP(AH101,βοηθητικό!$J$2:$N$354,3,FALSE)="","",VLOOKUP(AH101,βοηθητικό!$J$2:$N$354,3,FALSE))</f>
        <v>_</v>
      </c>
      <c r="AJ101" s="44"/>
      <c r="AK101" s="5" t="s">
        <v>16</v>
      </c>
      <c r="AL101" s="46" t="str">
        <f>IF(VLOOKUP(AK101,βοηθητικό!$J$2:$N$354,3,FALSE)="","",VLOOKUP(AK101,βοηθητικό!$J$2:$N$354,3,FALSE))</f>
        <v>_</v>
      </c>
      <c r="AM101" s="47"/>
      <c r="AN101" s="4" t="s">
        <v>16</v>
      </c>
      <c r="AO101" s="43" t="str">
        <f>IF(VLOOKUP(AN101,βοηθητικό!$J$2:$N$354,3,FALSE)="","",VLOOKUP(AN101,βοηθητικό!$J$2:$N$354,3,FALSE))</f>
        <v>_</v>
      </c>
      <c r="AP101" s="44"/>
      <c r="AQ101" s="5" t="s">
        <v>16</v>
      </c>
      <c r="AR101" s="46" t="str">
        <f>IF(VLOOKUP(AQ101,βοηθητικό!$J$2:$N$354,3,FALSE)="","",VLOOKUP(AQ101,βοηθητικό!$J$2:$N$354,3,FALSE))</f>
        <v>_</v>
      </c>
      <c r="AS101" s="47"/>
      <c r="AT101" s="4" t="s">
        <v>16</v>
      </c>
      <c r="AU101" s="43" t="str">
        <f>IF(VLOOKUP(AT101,βοηθητικό!$J$2:$N$354,3,FALSE)="","",VLOOKUP(AT101,βοηθητικό!$J$2:$N$354,3,FALSE))</f>
        <v>_</v>
      </c>
      <c r="AV101" s="44"/>
      <c r="AW101" s="5" t="s">
        <v>16</v>
      </c>
      <c r="AX101" s="46" t="str">
        <f>IF(VLOOKUP(AW101,βοηθητικό!$J$2:$N$354,3,FALSE)="","",VLOOKUP(AW101,βοηθητικό!$J$2:$N$354,3,FALSE))</f>
        <v>_</v>
      </c>
      <c r="AY101" s="47"/>
      <c r="AZ101" s="4" t="s">
        <v>16</v>
      </c>
      <c r="BA101" s="43" t="str">
        <f>IF(VLOOKUP(AZ101,βοηθητικό!$J$2:$N$354,3,FALSE)="","",VLOOKUP(AZ101,βοηθητικό!$J$2:$N$354,3,FALSE))</f>
        <v>_</v>
      </c>
      <c r="BB101" s="44"/>
      <c r="BC101" s="45" t="s">
        <v>16</v>
      </c>
      <c r="BD101" s="46" t="str">
        <f>IF(VLOOKUP(BC101,βοηθητικό!$J$2:$N$354,3,FALSE)="","",VLOOKUP(BC101,βοηθητικό!$J$2:$N$354,3,FALSE))</f>
        <v>_</v>
      </c>
      <c r="BE101" s="47"/>
      <c r="BF101" s="42" t="s">
        <v>16</v>
      </c>
      <c r="BG101" s="43" t="str">
        <f>IF(VLOOKUP(BF101,βοηθητικό!$J$2:$N$354,3,FALSE)="","",VLOOKUP(BF101,βοηθητικό!$J$2:$N$354,3,FALSE))</f>
        <v>_</v>
      </c>
      <c r="BH101" s="44"/>
      <c r="BI101" s="45" t="s">
        <v>16</v>
      </c>
      <c r="BJ101" s="46" t="str">
        <f>IF(VLOOKUP(BI101,βοηθητικό!$J$2:$N$354,3,FALSE)="","",VLOOKUP(BI101,βοηθητικό!$J$2:$N$354,3,FALSE))</f>
        <v>_</v>
      </c>
      <c r="BK101" s="47"/>
      <c r="BL101" s="42" t="s">
        <v>16</v>
      </c>
      <c r="BM101" s="43" t="str">
        <f>IF(VLOOKUP(BL101,βοηθητικό!$J$2:$N$354,3,FALSE)="","",VLOOKUP(BL101,βοηθητικό!$J$2:$N$354,3,FALSE))</f>
        <v>_</v>
      </c>
      <c r="BN101" s="44"/>
      <c r="BO101" s="45" t="s">
        <v>16</v>
      </c>
      <c r="BP101" s="46" t="str">
        <f>IF(VLOOKUP(BO101,βοηθητικό!$J$2:$N$354,3,FALSE)="","",VLOOKUP(BO101,βοηθητικό!$J$2:$N$354,3,FALSE))</f>
        <v>_</v>
      </c>
      <c r="BQ101" s="47"/>
      <c r="BR101" s="42" t="s">
        <v>16</v>
      </c>
      <c r="BS101" s="43" t="str">
        <f>IF(VLOOKUP(BR101,βοηθητικό!$J$2:$N$354,3,FALSE)="","",VLOOKUP(BR101,βοηθητικό!$J$2:$N$354,3,FALSE))</f>
        <v>_</v>
      </c>
      <c r="BT101" s="44"/>
      <c r="BU101" s="45" t="s">
        <v>16</v>
      </c>
      <c r="BV101" s="46" t="str">
        <f>IF(VLOOKUP(BU101,βοηθητικό!$J$2:$N$354,3,FALSE)="","",VLOOKUP(BU101,βοηθητικό!$J$2:$N$354,3,FALSE))</f>
        <v>_</v>
      </c>
      <c r="BW101" s="47"/>
      <c r="BX101" s="42" t="s">
        <v>16</v>
      </c>
      <c r="BY101" s="43" t="str">
        <f>IF(VLOOKUP(BX101,βοηθητικό!$J$2:$N$354,3,FALSE)="","",VLOOKUP(BX101,βοηθητικό!$J$2:$N$354,3,FALSE))</f>
        <v>_</v>
      </c>
      <c r="BZ101" s="44"/>
      <c r="CA101" s="45" t="s">
        <v>16</v>
      </c>
      <c r="CB101" s="46" t="str">
        <f>IF(VLOOKUP(CA101,βοηθητικό!$J$2:$N$354,3,FALSE)="","",VLOOKUP(CA101,βοηθητικό!$J$2:$N$354,3,FALSE))</f>
        <v>_</v>
      </c>
      <c r="CC101" s="47"/>
      <c r="CD101" s="42" t="s">
        <v>16</v>
      </c>
      <c r="CE101" s="43" t="str">
        <f>IF(VLOOKUP(CD101,βοηθητικό!$J$2:$N$354,3,FALSE)="","",VLOOKUP(CD101,βοηθητικό!$J$2:$N$354,3,FALSE))</f>
        <v>_</v>
      </c>
      <c r="CF101" s="44"/>
      <c r="CG101" s="45" t="s">
        <v>16</v>
      </c>
      <c r="CH101" s="46" t="str">
        <f>IF(VLOOKUP(CG101,βοηθητικό!$J$2:$N$354,3,FALSE)="","",VLOOKUP(CG101,βοηθητικό!$J$2:$N$354,3,FALSE))</f>
        <v>_</v>
      </c>
      <c r="CI101" s="47"/>
      <c r="CJ101" s="42" t="s">
        <v>16</v>
      </c>
      <c r="CK101" s="43" t="str">
        <f>IF(VLOOKUP(CJ101,βοηθητικό!$J$2:$N$354,3,FALSE)="","",VLOOKUP(CJ101,βοηθητικό!$J$2:$N$354,3,FALSE))</f>
        <v>_</v>
      </c>
      <c r="CL101" s="44"/>
      <c r="CM101" s="45" t="s">
        <v>16</v>
      </c>
      <c r="CN101" s="46" t="str">
        <f>IF(VLOOKUP(CM101,βοηθητικό!$J$2:$N$354,3,FALSE)="","",VLOOKUP(CM101,βοηθητικό!$J$2:$N$354,3,FALSE))</f>
        <v>_</v>
      </c>
      <c r="CO101" s="47"/>
      <c r="CP101" s="42" t="s">
        <v>16</v>
      </c>
      <c r="CQ101" s="43" t="str">
        <f>IF(VLOOKUP(CP101,βοηθητικό!$J$2:$N$354,3,FALSE)="","",VLOOKUP(CP101,βοηθητικό!$J$2:$N$354,3,FALSE))</f>
        <v>_</v>
      </c>
      <c r="CR101" s="44"/>
      <c r="CS101" s="45" t="s">
        <v>16</v>
      </c>
      <c r="CT101" s="46" t="str">
        <f>IF(VLOOKUP(CS101,βοηθητικό!$J$2:$N$354,3,FALSE)="","",VLOOKUP(CS101,βοηθητικό!$J$2:$N$354,3,FALSE))</f>
        <v>_</v>
      </c>
      <c r="CU101" s="47"/>
    </row>
    <row r="102" spans="1:99" x14ac:dyDescent="0.25">
      <c r="A102" s="37">
        <f>--SUBTOTAL(3,$B$3:B101)</f>
        <v>99</v>
      </c>
      <c r="B102" s="68">
        <v>45131</v>
      </c>
      <c r="C102" s="69">
        <v>45137</v>
      </c>
      <c r="D102" s="58" t="s">
        <v>110</v>
      </c>
      <c r="E102" s="38" t="s">
        <v>16</v>
      </c>
      <c r="F102" s="38" t="s">
        <v>16</v>
      </c>
      <c r="G102" s="39" t="str">
        <f t="shared" si="5"/>
        <v>__</v>
      </c>
      <c r="H102" s="40" t="str">
        <f t="shared" si="6"/>
        <v>FALSE</v>
      </c>
      <c r="I102" s="41">
        <f t="shared" si="7"/>
        <v>4</v>
      </c>
      <c r="J102" s="59" t="s">
        <v>1236</v>
      </c>
      <c r="K102" s="43" t="str">
        <f>IF(VLOOKUP(J102,βοηθητικό!$J$2:$N$354,3,FALSE)="","",VLOOKUP(J102,βοηθητικό!$J$2:$N$354,3,FALSE))</f>
        <v>6945728316</v>
      </c>
      <c r="L102" s="60"/>
      <c r="M102" s="61" t="s">
        <v>1221</v>
      </c>
      <c r="N102" s="46" t="str">
        <f>IF(VLOOKUP(M102,βοηθητικό!$J$2:$N$354,3,FALSE)="","",VLOOKUP(M102,βοηθητικό!$J$2:$N$354,3,FALSE))</f>
        <v>6971641783</v>
      </c>
      <c r="O102" s="62"/>
      <c r="P102" s="59" t="s">
        <v>1244</v>
      </c>
      <c r="Q102" s="43" t="str">
        <f>IF(VLOOKUP(P102,βοηθητικό!$J$2:$N$354,3,FALSE)="","",VLOOKUP(P102,βοηθητικό!$J$2:$N$354,3,FALSE))</f>
        <v>6986975035</v>
      </c>
      <c r="R102" s="60"/>
      <c r="S102" s="61" t="s">
        <v>1227</v>
      </c>
      <c r="T102" s="46" t="str">
        <f>IF(VLOOKUP(S102,βοηθητικό!$J$2:$N$354,3,FALSE)="","",VLOOKUP(S102,βοηθητικό!$J$2:$N$354,3,FALSE))</f>
        <v>6984493906</v>
      </c>
      <c r="U102" s="62"/>
      <c r="V102" s="59" t="s">
        <v>16</v>
      </c>
      <c r="W102" s="43" t="str">
        <f>IF(VLOOKUP(V102,βοηθητικό!$J$2:$N$354,3,FALSE)="","",VLOOKUP(V102,βοηθητικό!$J$2:$N$354,3,FALSE))</f>
        <v>_</v>
      </c>
      <c r="X102" s="44"/>
      <c r="Y102" s="5" t="s">
        <v>16</v>
      </c>
      <c r="Z102" s="46" t="str">
        <f>IF(VLOOKUP(Y102,βοηθητικό!$J$2:$N$354,3,FALSE)="","",VLOOKUP(Y102,βοηθητικό!$J$2:$N$354,3,FALSE))</f>
        <v>_</v>
      </c>
      <c r="AA102" s="47"/>
      <c r="AB102" s="4" t="s">
        <v>16</v>
      </c>
      <c r="AC102" s="43" t="str">
        <f>IF(VLOOKUP(AB102,βοηθητικό!$J$2:$N$354,3,FALSE)="","",VLOOKUP(AB102,βοηθητικό!$J$2:$N$354,3,FALSE))</f>
        <v>_</v>
      </c>
      <c r="AD102" s="44"/>
      <c r="AE102" s="5" t="s">
        <v>16</v>
      </c>
      <c r="AF102" s="46" t="str">
        <f>IF(VLOOKUP(AE102,βοηθητικό!$J$2:$N$354,3,FALSE)="","",VLOOKUP(AE102,βοηθητικό!$J$2:$N$354,3,FALSE))</f>
        <v>_</v>
      </c>
      <c r="AG102" s="47"/>
      <c r="AH102" s="4" t="s">
        <v>16</v>
      </c>
      <c r="AI102" s="43" t="str">
        <f>IF(VLOOKUP(AH102,βοηθητικό!$J$2:$N$354,3,FALSE)="","",VLOOKUP(AH102,βοηθητικό!$J$2:$N$354,3,FALSE))</f>
        <v>_</v>
      </c>
      <c r="AJ102" s="44"/>
      <c r="AK102" s="5" t="s">
        <v>16</v>
      </c>
      <c r="AL102" s="46" t="str">
        <f>IF(VLOOKUP(AK102,βοηθητικό!$J$2:$N$354,3,FALSE)="","",VLOOKUP(AK102,βοηθητικό!$J$2:$N$354,3,FALSE))</f>
        <v>_</v>
      </c>
      <c r="AM102" s="47"/>
      <c r="AN102" s="4" t="s">
        <v>16</v>
      </c>
      <c r="AO102" s="43" t="str">
        <f>IF(VLOOKUP(AN102,βοηθητικό!$J$2:$N$354,3,FALSE)="","",VLOOKUP(AN102,βοηθητικό!$J$2:$N$354,3,FALSE))</f>
        <v>_</v>
      </c>
      <c r="AP102" s="44"/>
      <c r="AQ102" s="5" t="s">
        <v>16</v>
      </c>
      <c r="AR102" s="46" t="str">
        <f>IF(VLOOKUP(AQ102,βοηθητικό!$J$2:$N$354,3,FALSE)="","",VLOOKUP(AQ102,βοηθητικό!$J$2:$N$354,3,FALSE))</f>
        <v>_</v>
      </c>
      <c r="AS102" s="47"/>
      <c r="AT102" s="4" t="s">
        <v>16</v>
      </c>
      <c r="AU102" s="43" t="str">
        <f>IF(VLOOKUP(AT102,βοηθητικό!$J$2:$N$354,3,FALSE)="","",VLOOKUP(AT102,βοηθητικό!$J$2:$N$354,3,FALSE))</f>
        <v>_</v>
      </c>
      <c r="AV102" s="44"/>
      <c r="AW102" s="5" t="s">
        <v>16</v>
      </c>
      <c r="AX102" s="46" t="str">
        <f>IF(VLOOKUP(AW102,βοηθητικό!$J$2:$N$354,3,FALSE)="","",VLOOKUP(AW102,βοηθητικό!$J$2:$N$354,3,FALSE))</f>
        <v>_</v>
      </c>
      <c r="AY102" s="47"/>
      <c r="AZ102" s="4" t="s">
        <v>16</v>
      </c>
      <c r="BA102" s="43" t="str">
        <f>IF(VLOOKUP(AZ102,βοηθητικό!$J$2:$N$354,3,FALSE)="","",VLOOKUP(AZ102,βοηθητικό!$J$2:$N$354,3,FALSE))</f>
        <v>_</v>
      </c>
      <c r="BB102" s="44"/>
      <c r="BC102" s="45" t="s">
        <v>16</v>
      </c>
      <c r="BD102" s="46" t="str">
        <f>IF(VLOOKUP(BC102,βοηθητικό!$J$2:$N$354,3,FALSE)="","",VLOOKUP(BC102,βοηθητικό!$J$2:$N$354,3,FALSE))</f>
        <v>_</v>
      </c>
      <c r="BE102" s="47"/>
      <c r="BF102" s="42" t="s">
        <v>16</v>
      </c>
      <c r="BG102" s="43" t="str">
        <f>IF(VLOOKUP(BF102,βοηθητικό!$J$2:$N$354,3,FALSE)="","",VLOOKUP(BF102,βοηθητικό!$J$2:$N$354,3,FALSE))</f>
        <v>_</v>
      </c>
      <c r="BH102" s="44"/>
      <c r="BI102" s="45" t="s">
        <v>16</v>
      </c>
      <c r="BJ102" s="46" t="str">
        <f>IF(VLOOKUP(BI102,βοηθητικό!$J$2:$N$354,3,FALSE)="","",VLOOKUP(BI102,βοηθητικό!$J$2:$N$354,3,FALSE))</f>
        <v>_</v>
      </c>
      <c r="BK102" s="47"/>
      <c r="BL102" s="42" t="s">
        <v>16</v>
      </c>
      <c r="BM102" s="43" t="str">
        <f>IF(VLOOKUP(BL102,βοηθητικό!$J$2:$N$354,3,FALSE)="","",VLOOKUP(BL102,βοηθητικό!$J$2:$N$354,3,FALSE))</f>
        <v>_</v>
      </c>
      <c r="BN102" s="44"/>
      <c r="BO102" s="45" t="s">
        <v>16</v>
      </c>
      <c r="BP102" s="46" t="str">
        <f>IF(VLOOKUP(BO102,βοηθητικό!$J$2:$N$354,3,FALSE)="","",VLOOKUP(BO102,βοηθητικό!$J$2:$N$354,3,FALSE))</f>
        <v>_</v>
      </c>
      <c r="BQ102" s="47"/>
      <c r="BR102" s="42" t="s">
        <v>16</v>
      </c>
      <c r="BS102" s="43" t="str">
        <f>IF(VLOOKUP(BR102,βοηθητικό!$J$2:$N$354,3,FALSE)="","",VLOOKUP(BR102,βοηθητικό!$J$2:$N$354,3,FALSE))</f>
        <v>_</v>
      </c>
      <c r="BT102" s="44"/>
      <c r="BU102" s="45" t="s">
        <v>16</v>
      </c>
      <c r="BV102" s="46" t="str">
        <f>IF(VLOOKUP(BU102,βοηθητικό!$J$2:$N$354,3,FALSE)="","",VLOOKUP(BU102,βοηθητικό!$J$2:$N$354,3,FALSE))</f>
        <v>_</v>
      </c>
      <c r="BW102" s="47"/>
      <c r="BX102" s="42" t="s">
        <v>16</v>
      </c>
      <c r="BY102" s="43" t="str">
        <f>IF(VLOOKUP(BX102,βοηθητικό!$J$2:$N$354,3,FALSE)="","",VLOOKUP(BX102,βοηθητικό!$J$2:$N$354,3,FALSE))</f>
        <v>_</v>
      </c>
      <c r="BZ102" s="44"/>
      <c r="CA102" s="45" t="s">
        <v>16</v>
      </c>
      <c r="CB102" s="46" t="str">
        <f>IF(VLOOKUP(CA102,βοηθητικό!$J$2:$N$354,3,FALSE)="","",VLOOKUP(CA102,βοηθητικό!$J$2:$N$354,3,FALSE))</f>
        <v>_</v>
      </c>
      <c r="CC102" s="47"/>
      <c r="CD102" s="42" t="s">
        <v>16</v>
      </c>
      <c r="CE102" s="43" t="str">
        <f>IF(VLOOKUP(CD102,βοηθητικό!$J$2:$N$354,3,FALSE)="","",VLOOKUP(CD102,βοηθητικό!$J$2:$N$354,3,FALSE))</f>
        <v>_</v>
      </c>
      <c r="CF102" s="44"/>
      <c r="CG102" s="45" t="s">
        <v>16</v>
      </c>
      <c r="CH102" s="46" t="str">
        <f>IF(VLOOKUP(CG102,βοηθητικό!$J$2:$N$354,3,FALSE)="","",VLOOKUP(CG102,βοηθητικό!$J$2:$N$354,3,FALSE))</f>
        <v>_</v>
      </c>
      <c r="CI102" s="47"/>
      <c r="CJ102" s="42" t="s">
        <v>16</v>
      </c>
      <c r="CK102" s="43" t="str">
        <f>IF(VLOOKUP(CJ102,βοηθητικό!$J$2:$N$354,3,FALSE)="","",VLOOKUP(CJ102,βοηθητικό!$J$2:$N$354,3,FALSE))</f>
        <v>_</v>
      </c>
      <c r="CL102" s="44"/>
      <c r="CM102" s="45" t="s">
        <v>16</v>
      </c>
      <c r="CN102" s="46" t="str">
        <f>IF(VLOOKUP(CM102,βοηθητικό!$J$2:$N$354,3,FALSE)="","",VLOOKUP(CM102,βοηθητικό!$J$2:$N$354,3,FALSE))</f>
        <v>_</v>
      </c>
      <c r="CO102" s="47"/>
      <c r="CP102" s="42" t="s">
        <v>16</v>
      </c>
      <c r="CQ102" s="43" t="str">
        <f>IF(VLOOKUP(CP102,βοηθητικό!$J$2:$N$354,3,FALSE)="","",VLOOKUP(CP102,βοηθητικό!$J$2:$N$354,3,FALSE))</f>
        <v>_</v>
      </c>
      <c r="CR102" s="44"/>
      <c r="CS102" s="45" t="s">
        <v>16</v>
      </c>
      <c r="CT102" s="46" t="str">
        <f>IF(VLOOKUP(CS102,βοηθητικό!$J$2:$N$354,3,FALSE)="","",VLOOKUP(CS102,βοηθητικό!$J$2:$N$354,3,FALSE))</f>
        <v>_</v>
      </c>
      <c r="CU102" s="47"/>
    </row>
    <row r="103" spans="1:99" x14ac:dyDescent="0.25">
      <c r="A103" s="37">
        <f>--SUBTOTAL(3,$B$3:B102)</f>
        <v>100</v>
      </c>
      <c r="B103" s="68">
        <v>45108</v>
      </c>
      <c r="C103" s="69">
        <v>45116</v>
      </c>
      <c r="D103" s="57" t="s">
        <v>115</v>
      </c>
      <c r="E103" s="38" t="s">
        <v>16</v>
      </c>
      <c r="F103" s="38" t="s">
        <v>16</v>
      </c>
      <c r="G103" s="39" t="str">
        <f t="shared" si="5"/>
        <v>__</v>
      </c>
      <c r="H103" s="40" t="str">
        <f t="shared" si="6"/>
        <v>FALSE</v>
      </c>
      <c r="I103" s="41">
        <f t="shared" si="7"/>
        <v>9</v>
      </c>
      <c r="J103" s="4" t="s">
        <v>1403</v>
      </c>
      <c r="K103" s="43" t="str">
        <f>IF(VLOOKUP(J103,βοηθητικό!$J$2:$N$354,3,FALSE)="","",VLOOKUP(J103,βοηθητικό!$J$2:$N$354,3,FALSE))</f>
        <v>6936631245</v>
      </c>
      <c r="L103" s="44"/>
      <c r="M103" s="5" t="s">
        <v>1287</v>
      </c>
      <c r="N103" s="46" t="str">
        <f>IF(VLOOKUP(M103,βοηθητικό!$J$2:$N$354,3,FALSE)="","",VLOOKUP(M103,βοηθητικό!$J$2:$N$354,3,FALSE))</f>
        <v>6939405094</v>
      </c>
      <c r="O103" s="47"/>
      <c r="P103" s="4" t="s">
        <v>1371</v>
      </c>
      <c r="Q103" s="43" t="str">
        <f>IF(VLOOKUP(P103,βοηθητικό!$J$2:$N$354,3,FALSE)="","",VLOOKUP(P103,βοηθητικό!$J$2:$N$354,3,FALSE))</f>
        <v>6977413847</v>
      </c>
      <c r="R103" s="44"/>
      <c r="S103" s="5" t="s">
        <v>1355</v>
      </c>
      <c r="T103" s="46" t="str">
        <f>IF(VLOOKUP(S103,βοηθητικό!$J$2:$N$354,3,FALSE)="","",VLOOKUP(S103,βοηθητικό!$J$2:$N$354,3,FALSE))</f>
        <v>6985127305</v>
      </c>
      <c r="U103" s="47"/>
      <c r="V103" s="4" t="s">
        <v>1326</v>
      </c>
      <c r="W103" s="43" t="str">
        <f>IF(VLOOKUP(V103,βοηθητικό!$J$2:$N$354,3,FALSE)="","",VLOOKUP(V103,βοηθητικό!$J$2:$N$354,3,FALSE))</f>
        <v>6944050931</v>
      </c>
      <c r="X103" s="44"/>
      <c r="Y103" s="5" t="s">
        <v>1295</v>
      </c>
      <c r="Z103" s="46" t="str">
        <f>IF(VLOOKUP(Y103,βοηθητικό!$J$2:$N$354,3,FALSE)="","",VLOOKUP(Y103,βοηθητικό!$J$2:$N$354,3,FALSE))</f>
        <v>6973559599</v>
      </c>
      <c r="AA103" s="47"/>
      <c r="AB103" s="4" t="s">
        <v>1391</v>
      </c>
      <c r="AC103" s="43" t="str">
        <f>IF(VLOOKUP(AB103,βοηθητικό!$J$2:$N$354,3,FALSE)="","",VLOOKUP(AB103,βοηθητικό!$J$2:$N$354,3,FALSE))</f>
        <v>6977638141</v>
      </c>
      <c r="AD103" s="44"/>
      <c r="AE103" s="5" t="s">
        <v>1399</v>
      </c>
      <c r="AF103" s="46" t="str">
        <f>IF(VLOOKUP(AE103,βοηθητικό!$J$2:$N$354,3,FALSE)="","",VLOOKUP(AE103,βοηθητικό!$J$2:$N$354,3,FALSE))</f>
        <v>6974117272</v>
      </c>
      <c r="AG103" s="47"/>
      <c r="AH103" s="4" t="s">
        <v>1379</v>
      </c>
      <c r="AI103" s="43" t="str">
        <f>IF(VLOOKUP(AH103,βοηθητικό!$J$2:$N$354,3,FALSE)="","",VLOOKUP(AH103,βοηθητικό!$J$2:$N$354,3,FALSE))</f>
        <v>6942448798</v>
      </c>
      <c r="AJ103" s="44"/>
      <c r="AK103" s="5" t="s">
        <v>16</v>
      </c>
      <c r="AL103" s="46" t="str">
        <f>IF(VLOOKUP(AK103,βοηθητικό!$J$2:$N$354,3,FALSE)="","",VLOOKUP(AK103,βοηθητικό!$J$2:$N$354,3,FALSE))</f>
        <v>_</v>
      </c>
      <c r="AM103" s="47"/>
      <c r="AN103" s="4" t="s">
        <v>16</v>
      </c>
      <c r="AO103" s="43" t="str">
        <f>IF(VLOOKUP(AN103,βοηθητικό!$J$2:$N$354,3,FALSE)="","",VLOOKUP(AN103,βοηθητικό!$J$2:$N$354,3,FALSE))</f>
        <v>_</v>
      </c>
      <c r="AP103" s="44"/>
      <c r="AQ103" s="5" t="s">
        <v>16</v>
      </c>
      <c r="AR103" s="46" t="str">
        <f>IF(VLOOKUP(AQ103,βοηθητικό!$J$2:$N$354,3,FALSE)="","",VLOOKUP(AQ103,βοηθητικό!$J$2:$N$354,3,FALSE))</f>
        <v>_</v>
      </c>
      <c r="AS103" s="47"/>
      <c r="AT103" s="4" t="s">
        <v>16</v>
      </c>
      <c r="AU103" s="43" t="str">
        <f>IF(VLOOKUP(AT103,βοηθητικό!$J$2:$N$354,3,FALSE)="","",VLOOKUP(AT103,βοηθητικό!$J$2:$N$354,3,FALSE))</f>
        <v>_</v>
      </c>
      <c r="AV103" s="44"/>
      <c r="AW103" s="5" t="s">
        <v>16</v>
      </c>
      <c r="AX103" s="46" t="str">
        <f>IF(VLOOKUP(AW103,βοηθητικό!$J$2:$N$354,3,FALSE)="","",VLOOKUP(AW103,βοηθητικό!$J$2:$N$354,3,FALSE))</f>
        <v>_</v>
      </c>
      <c r="AY103" s="47"/>
      <c r="AZ103" s="4" t="s">
        <v>16</v>
      </c>
      <c r="BA103" s="43" t="str">
        <f>IF(VLOOKUP(AZ103,βοηθητικό!$J$2:$N$354,3,FALSE)="","",VLOOKUP(AZ103,βοηθητικό!$J$2:$N$354,3,FALSE))</f>
        <v>_</v>
      </c>
      <c r="BB103" s="44"/>
      <c r="BC103" s="45" t="s">
        <v>16</v>
      </c>
      <c r="BD103" s="46" t="str">
        <f>IF(VLOOKUP(BC103,βοηθητικό!$J$2:$N$354,3,FALSE)="","",VLOOKUP(BC103,βοηθητικό!$J$2:$N$354,3,FALSE))</f>
        <v>_</v>
      </c>
      <c r="BE103" s="47"/>
      <c r="BF103" s="42" t="s">
        <v>16</v>
      </c>
      <c r="BG103" s="43" t="str">
        <f>IF(VLOOKUP(BF103,βοηθητικό!$J$2:$N$354,3,FALSE)="","",VLOOKUP(BF103,βοηθητικό!$J$2:$N$354,3,FALSE))</f>
        <v>_</v>
      </c>
      <c r="BH103" s="44"/>
      <c r="BI103" s="45" t="s">
        <v>16</v>
      </c>
      <c r="BJ103" s="46" t="str">
        <f>IF(VLOOKUP(BI103,βοηθητικό!$J$2:$N$354,3,FALSE)="","",VLOOKUP(BI103,βοηθητικό!$J$2:$N$354,3,FALSE))</f>
        <v>_</v>
      </c>
      <c r="BK103" s="47"/>
      <c r="BL103" s="42" t="s">
        <v>16</v>
      </c>
      <c r="BM103" s="43" t="str">
        <f>IF(VLOOKUP(BL103,βοηθητικό!$J$2:$N$354,3,FALSE)="","",VLOOKUP(BL103,βοηθητικό!$J$2:$N$354,3,FALSE))</f>
        <v>_</v>
      </c>
      <c r="BN103" s="44"/>
      <c r="BO103" s="45" t="s">
        <v>16</v>
      </c>
      <c r="BP103" s="46" t="str">
        <f>IF(VLOOKUP(BO103,βοηθητικό!$J$2:$N$354,3,FALSE)="","",VLOOKUP(BO103,βοηθητικό!$J$2:$N$354,3,FALSE))</f>
        <v>_</v>
      </c>
      <c r="BQ103" s="47"/>
      <c r="BR103" s="42" t="s">
        <v>16</v>
      </c>
      <c r="BS103" s="43" t="str">
        <f>IF(VLOOKUP(BR103,βοηθητικό!$J$2:$N$354,3,FALSE)="","",VLOOKUP(BR103,βοηθητικό!$J$2:$N$354,3,FALSE))</f>
        <v>_</v>
      </c>
      <c r="BT103" s="44"/>
      <c r="BU103" s="45" t="s">
        <v>16</v>
      </c>
      <c r="BV103" s="46" t="str">
        <f>IF(VLOOKUP(BU103,βοηθητικό!$J$2:$N$354,3,FALSE)="","",VLOOKUP(BU103,βοηθητικό!$J$2:$N$354,3,FALSE))</f>
        <v>_</v>
      </c>
      <c r="BW103" s="47"/>
      <c r="BX103" s="42" t="s">
        <v>16</v>
      </c>
      <c r="BY103" s="43" t="str">
        <f>IF(VLOOKUP(BX103,βοηθητικό!$J$2:$N$354,3,FALSE)="","",VLOOKUP(BX103,βοηθητικό!$J$2:$N$354,3,FALSE))</f>
        <v>_</v>
      </c>
      <c r="BZ103" s="44"/>
      <c r="CA103" s="45" t="s">
        <v>16</v>
      </c>
      <c r="CB103" s="46" t="str">
        <f>IF(VLOOKUP(CA103,βοηθητικό!$J$2:$N$354,3,FALSE)="","",VLOOKUP(CA103,βοηθητικό!$J$2:$N$354,3,FALSE))</f>
        <v>_</v>
      </c>
      <c r="CC103" s="47"/>
      <c r="CD103" s="42" t="s">
        <v>16</v>
      </c>
      <c r="CE103" s="43" t="str">
        <f>IF(VLOOKUP(CD103,βοηθητικό!$J$2:$N$354,3,FALSE)="","",VLOOKUP(CD103,βοηθητικό!$J$2:$N$354,3,FALSE))</f>
        <v>_</v>
      </c>
      <c r="CF103" s="44"/>
      <c r="CG103" s="45" t="s">
        <v>16</v>
      </c>
      <c r="CH103" s="46" t="str">
        <f>IF(VLOOKUP(CG103,βοηθητικό!$J$2:$N$354,3,FALSE)="","",VLOOKUP(CG103,βοηθητικό!$J$2:$N$354,3,FALSE))</f>
        <v>_</v>
      </c>
      <c r="CI103" s="47"/>
      <c r="CJ103" s="42" t="s">
        <v>16</v>
      </c>
      <c r="CK103" s="43" t="str">
        <f>IF(VLOOKUP(CJ103,βοηθητικό!$J$2:$N$354,3,FALSE)="","",VLOOKUP(CJ103,βοηθητικό!$J$2:$N$354,3,FALSE))</f>
        <v>_</v>
      </c>
      <c r="CL103" s="44"/>
      <c r="CM103" s="45" t="s">
        <v>16</v>
      </c>
      <c r="CN103" s="46" t="str">
        <f>IF(VLOOKUP(CM103,βοηθητικό!$J$2:$N$354,3,FALSE)="","",VLOOKUP(CM103,βοηθητικό!$J$2:$N$354,3,FALSE))</f>
        <v>_</v>
      </c>
      <c r="CO103" s="47"/>
      <c r="CP103" s="42" t="s">
        <v>16</v>
      </c>
      <c r="CQ103" s="43" t="str">
        <f>IF(VLOOKUP(CP103,βοηθητικό!$J$2:$N$354,3,FALSE)="","",VLOOKUP(CP103,βοηθητικό!$J$2:$N$354,3,FALSE))</f>
        <v>_</v>
      </c>
      <c r="CR103" s="44"/>
      <c r="CS103" s="45" t="s">
        <v>16</v>
      </c>
      <c r="CT103" s="46" t="str">
        <f>IF(VLOOKUP(CS103,βοηθητικό!$J$2:$N$354,3,FALSE)="","",VLOOKUP(CS103,βοηθητικό!$J$2:$N$354,3,FALSE))</f>
        <v>_</v>
      </c>
      <c r="CU103" s="47"/>
    </row>
    <row r="104" spans="1:99" x14ac:dyDescent="0.25">
      <c r="A104" s="37">
        <f>--SUBTOTAL(3,$B$3:B103)</f>
        <v>101</v>
      </c>
      <c r="B104" s="68">
        <v>45117</v>
      </c>
      <c r="C104" s="69">
        <v>45123</v>
      </c>
      <c r="D104" s="57" t="s">
        <v>115</v>
      </c>
      <c r="E104" s="38" t="s">
        <v>16</v>
      </c>
      <c r="F104" s="38" t="s">
        <v>16</v>
      </c>
      <c r="G104" s="39" t="str">
        <f t="shared" si="5"/>
        <v>__</v>
      </c>
      <c r="H104" s="40" t="str">
        <f t="shared" si="6"/>
        <v>FALSE</v>
      </c>
      <c r="I104" s="41">
        <f t="shared" si="7"/>
        <v>9</v>
      </c>
      <c r="J104" s="4" t="s">
        <v>1270</v>
      </c>
      <c r="K104" s="43" t="str">
        <f>IF(VLOOKUP(J104,βοηθητικό!$J$2:$N$354,3,FALSE)="","",VLOOKUP(J104,βοηθητικό!$J$2:$N$354,3,FALSE))</f>
        <v>6970320059</v>
      </c>
      <c r="L104" s="44"/>
      <c r="M104" s="5" t="s">
        <v>1322</v>
      </c>
      <c r="N104" s="46" t="str">
        <f>IF(VLOOKUP(M104,βοηθητικό!$J$2:$N$354,3,FALSE)="","",VLOOKUP(M104,βοηθητικό!$J$2:$N$354,3,FALSE))</f>
        <v>6977303667</v>
      </c>
      <c r="O104" s="47"/>
      <c r="P104" s="4" t="s">
        <v>1351</v>
      </c>
      <c r="Q104" s="43" t="str">
        <f>IF(VLOOKUP(P104,βοηθητικό!$J$2:$N$354,3,FALSE)="","",VLOOKUP(P104,βοηθητικό!$J$2:$N$354,3,FALSE))</f>
        <v>6974072869</v>
      </c>
      <c r="R104" s="44"/>
      <c r="S104" s="5" t="s">
        <v>1274</v>
      </c>
      <c r="T104" s="46">
        <f>IF(VLOOKUP(S104,βοηθητικό!$J$2:$N$354,3,FALSE)="","",VLOOKUP(S104,βοηθητικό!$J$2:$N$354,3,FALSE))</f>
        <v>6947007553</v>
      </c>
      <c r="U104" s="47"/>
      <c r="V104" s="4" t="s">
        <v>1383</v>
      </c>
      <c r="W104" s="43" t="str">
        <f>IF(VLOOKUP(V104,βοηθητικό!$J$2:$N$354,3,FALSE)="","",VLOOKUP(V104,βοηθητικό!$J$2:$N$354,3,FALSE))</f>
        <v>6944771437</v>
      </c>
      <c r="X104" s="44"/>
      <c r="Y104" s="5" t="s">
        <v>1258</v>
      </c>
      <c r="Z104" s="46" t="str">
        <f>IF(VLOOKUP(Y104,βοηθητικό!$J$2:$N$354,3,FALSE)="","",VLOOKUP(Y104,βοηθητικό!$J$2:$N$354,3,FALSE))</f>
        <v>6972087747</v>
      </c>
      <c r="AA104" s="47"/>
      <c r="AB104" s="4" t="s">
        <v>1291</v>
      </c>
      <c r="AC104" s="43" t="str">
        <f>IF(VLOOKUP(AB104,βοηθητικό!$J$2:$N$354,3,FALSE)="","",VLOOKUP(AB104,βοηθητικό!$J$2:$N$354,3,FALSE))</f>
        <v>6985677805</v>
      </c>
      <c r="AD104" s="44"/>
      <c r="AE104" s="5" t="s">
        <v>1310</v>
      </c>
      <c r="AF104" s="46" t="str">
        <f>IF(VLOOKUP(AE104,βοηθητικό!$J$2:$N$354,3,FALSE)="","",VLOOKUP(AE104,βοηθητικό!$J$2:$N$354,3,FALSE))</f>
        <v>6955003825</v>
      </c>
      <c r="AG104" s="47"/>
      <c r="AH104" s="4" t="s">
        <v>1363</v>
      </c>
      <c r="AI104" s="43" t="str">
        <f>IF(VLOOKUP(AH104,βοηθητικό!$J$2:$N$354,3,FALSE)="","",VLOOKUP(AH104,βοηθητικό!$J$2:$N$354,3,FALSE))</f>
        <v>6949144335 6932257519</v>
      </c>
      <c r="AJ104" s="44"/>
      <c r="AK104" s="5" t="s">
        <v>16</v>
      </c>
      <c r="AL104" s="46" t="str">
        <f>IF(VLOOKUP(AK104,βοηθητικό!$J$2:$N$354,3,FALSE)="","",VLOOKUP(AK104,βοηθητικό!$J$2:$N$354,3,FALSE))</f>
        <v>_</v>
      </c>
      <c r="AM104" s="47"/>
      <c r="AN104" s="4" t="s">
        <v>16</v>
      </c>
      <c r="AO104" s="43" t="str">
        <f>IF(VLOOKUP(AN104,βοηθητικό!$J$2:$N$354,3,FALSE)="","",VLOOKUP(AN104,βοηθητικό!$J$2:$N$354,3,FALSE))</f>
        <v>_</v>
      </c>
      <c r="AP104" s="44"/>
      <c r="AQ104" s="5" t="s">
        <v>16</v>
      </c>
      <c r="AR104" s="46" t="str">
        <f>IF(VLOOKUP(AQ104,βοηθητικό!$J$2:$N$354,3,FALSE)="","",VLOOKUP(AQ104,βοηθητικό!$J$2:$N$354,3,FALSE))</f>
        <v>_</v>
      </c>
      <c r="AS104" s="47"/>
      <c r="AT104" s="4" t="s">
        <v>16</v>
      </c>
      <c r="AU104" s="43" t="str">
        <f>IF(VLOOKUP(AT104,βοηθητικό!$J$2:$N$354,3,FALSE)="","",VLOOKUP(AT104,βοηθητικό!$J$2:$N$354,3,FALSE))</f>
        <v>_</v>
      </c>
      <c r="AV104" s="44"/>
      <c r="AW104" s="5" t="s">
        <v>16</v>
      </c>
      <c r="AX104" s="46" t="str">
        <f>IF(VLOOKUP(AW104,βοηθητικό!$J$2:$N$354,3,FALSE)="","",VLOOKUP(AW104,βοηθητικό!$J$2:$N$354,3,FALSE))</f>
        <v>_</v>
      </c>
      <c r="AY104" s="47"/>
      <c r="AZ104" s="4" t="s">
        <v>16</v>
      </c>
      <c r="BA104" s="43" t="str">
        <f>IF(VLOOKUP(AZ104,βοηθητικό!$J$2:$N$354,3,FALSE)="","",VLOOKUP(AZ104,βοηθητικό!$J$2:$N$354,3,FALSE))</f>
        <v>_</v>
      </c>
      <c r="BB104" s="44"/>
      <c r="BC104" s="45" t="s">
        <v>16</v>
      </c>
      <c r="BD104" s="46" t="str">
        <f>IF(VLOOKUP(BC104,βοηθητικό!$J$2:$N$354,3,FALSE)="","",VLOOKUP(BC104,βοηθητικό!$J$2:$N$354,3,FALSE))</f>
        <v>_</v>
      </c>
      <c r="BE104" s="47"/>
      <c r="BF104" s="42" t="s">
        <v>16</v>
      </c>
      <c r="BG104" s="43" t="str">
        <f>IF(VLOOKUP(BF104,βοηθητικό!$J$2:$N$354,3,FALSE)="","",VLOOKUP(BF104,βοηθητικό!$J$2:$N$354,3,FALSE))</f>
        <v>_</v>
      </c>
      <c r="BH104" s="44"/>
      <c r="BI104" s="45" t="s">
        <v>16</v>
      </c>
      <c r="BJ104" s="46" t="str">
        <f>IF(VLOOKUP(BI104,βοηθητικό!$J$2:$N$354,3,FALSE)="","",VLOOKUP(BI104,βοηθητικό!$J$2:$N$354,3,FALSE))</f>
        <v>_</v>
      </c>
      <c r="BK104" s="47"/>
      <c r="BL104" s="42" t="s">
        <v>16</v>
      </c>
      <c r="BM104" s="43" t="str">
        <f>IF(VLOOKUP(BL104,βοηθητικό!$J$2:$N$354,3,FALSE)="","",VLOOKUP(BL104,βοηθητικό!$J$2:$N$354,3,FALSE))</f>
        <v>_</v>
      </c>
      <c r="BN104" s="44"/>
      <c r="BO104" s="45" t="s">
        <v>16</v>
      </c>
      <c r="BP104" s="46" t="str">
        <f>IF(VLOOKUP(BO104,βοηθητικό!$J$2:$N$354,3,FALSE)="","",VLOOKUP(BO104,βοηθητικό!$J$2:$N$354,3,FALSE))</f>
        <v>_</v>
      </c>
      <c r="BQ104" s="47"/>
      <c r="BR104" s="42" t="s">
        <v>16</v>
      </c>
      <c r="BS104" s="43" t="str">
        <f>IF(VLOOKUP(BR104,βοηθητικό!$J$2:$N$354,3,FALSE)="","",VLOOKUP(BR104,βοηθητικό!$J$2:$N$354,3,FALSE))</f>
        <v>_</v>
      </c>
      <c r="BT104" s="44"/>
      <c r="BU104" s="45" t="s">
        <v>16</v>
      </c>
      <c r="BV104" s="46" t="str">
        <f>IF(VLOOKUP(BU104,βοηθητικό!$J$2:$N$354,3,FALSE)="","",VLOOKUP(BU104,βοηθητικό!$J$2:$N$354,3,FALSE))</f>
        <v>_</v>
      </c>
      <c r="BW104" s="47"/>
      <c r="BX104" s="42" t="s">
        <v>16</v>
      </c>
      <c r="BY104" s="43" t="str">
        <f>IF(VLOOKUP(BX104,βοηθητικό!$J$2:$N$354,3,FALSE)="","",VLOOKUP(BX104,βοηθητικό!$J$2:$N$354,3,FALSE))</f>
        <v>_</v>
      </c>
      <c r="BZ104" s="44"/>
      <c r="CA104" s="45" t="s">
        <v>16</v>
      </c>
      <c r="CB104" s="46" t="str">
        <f>IF(VLOOKUP(CA104,βοηθητικό!$J$2:$N$354,3,FALSE)="","",VLOOKUP(CA104,βοηθητικό!$J$2:$N$354,3,FALSE))</f>
        <v>_</v>
      </c>
      <c r="CC104" s="47"/>
      <c r="CD104" s="42" t="s">
        <v>16</v>
      </c>
      <c r="CE104" s="43" t="str">
        <f>IF(VLOOKUP(CD104,βοηθητικό!$J$2:$N$354,3,FALSE)="","",VLOOKUP(CD104,βοηθητικό!$J$2:$N$354,3,FALSE))</f>
        <v>_</v>
      </c>
      <c r="CF104" s="44"/>
      <c r="CG104" s="45" t="s">
        <v>16</v>
      </c>
      <c r="CH104" s="46" t="str">
        <f>IF(VLOOKUP(CG104,βοηθητικό!$J$2:$N$354,3,FALSE)="","",VLOOKUP(CG104,βοηθητικό!$J$2:$N$354,3,FALSE))</f>
        <v>_</v>
      </c>
      <c r="CI104" s="47"/>
      <c r="CJ104" s="42" t="s">
        <v>16</v>
      </c>
      <c r="CK104" s="43" t="str">
        <f>IF(VLOOKUP(CJ104,βοηθητικό!$J$2:$N$354,3,FALSE)="","",VLOOKUP(CJ104,βοηθητικό!$J$2:$N$354,3,FALSE))</f>
        <v>_</v>
      </c>
      <c r="CL104" s="44"/>
      <c r="CM104" s="45" t="s">
        <v>16</v>
      </c>
      <c r="CN104" s="46" t="str">
        <f>IF(VLOOKUP(CM104,βοηθητικό!$J$2:$N$354,3,FALSE)="","",VLOOKUP(CM104,βοηθητικό!$J$2:$N$354,3,FALSE))</f>
        <v>_</v>
      </c>
      <c r="CO104" s="47"/>
      <c r="CP104" s="42" t="s">
        <v>16</v>
      </c>
      <c r="CQ104" s="43" t="str">
        <f>IF(VLOOKUP(CP104,βοηθητικό!$J$2:$N$354,3,FALSE)="","",VLOOKUP(CP104,βοηθητικό!$J$2:$N$354,3,FALSE))</f>
        <v>_</v>
      </c>
      <c r="CR104" s="44"/>
      <c r="CS104" s="45" t="s">
        <v>16</v>
      </c>
      <c r="CT104" s="46" t="str">
        <f>IF(VLOOKUP(CS104,βοηθητικό!$J$2:$N$354,3,FALSE)="","",VLOOKUP(CS104,βοηθητικό!$J$2:$N$354,3,FALSE))</f>
        <v>_</v>
      </c>
      <c r="CU104" s="47"/>
    </row>
    <row r="105" spans="1:99" x14ac:dyDescent="0.25">
      <c r="A105" s="37">
        <f>--SUBTOTAL(3,$B$3:B104)</f>
        <v>102</v>
      </c>
      <c r="B105" s="68">
        <v>45124</v>
      </c>
      <c r="C105" s="69">
        <v>45130</v>
      </c>
      <c r="D105" s="57" t="s">
        <v>115</v>
      </c>
      <c r="E105" s="38" t="s">
        <v>16</v>
      </c>
      <c r="F105" s="38" t="s">
        <v>16</v>
      </c>
      <c r="G105" s="39" t="str">
        <f t="shared" si="5"/>
        <v>__</v>
      </c>
      <c r="H105" s="40" t="str">
        <f t="shared" si="6"/>
        <v>FALSE</v>
      </c>
      <c r="I105" s="41">
        <f t="shared" si="7"/>
        <v>9</v>
      </c>
      <c r="J105" s="4" t="s">
        <v>1279</v>
      </c>
      <c r="K105" s="43" t="str">
        <f>IF(VLOOKUP(J105,βοηθητικό!$J$2:$N$354,3,FALSE)="","",VLOOKUP(J105,βοηθητικό!$J$2:$N$354,3,FALSE))</f>
        <v>6972820547</v>
      </c>
      <c r="L105" s="44"/>
      <c r="M105" s="5" t="s">
        <v>1279</v>
      </c>
      <c r="N105" s="46" t="str">
        <f>IF(VLOOKUP(M105,βοηθητικό!$J$2:$N$354,3,FALSE)="","",VLOOKUP(M105,βοηθητικό!$J$2:$N$354,3,FALSE))</f>
        <v>6972820547</v>
      </c>
      <c r="O105" s="47"/>
      <c r="P105" s="4" t="s">
        <v>1331</v>
      </c>
      <c r="Q105" s="43" t="str">
        <f>IF(VLOOKUP(P105,βοηθητικό!$J$2:$N$354,3,FALSE)="","",VLOOKUP(P105,βοηθητικό!$J$2:$N$354,3,FALSE))</f>
        <v>6942496492</v>
      </c>
      <c r="R105" s="44"/>
      <c r="S105" s="5" t="s">
        <v>1306</v>
      </c>
      <c r="T105" s="46" t="str">
        <f>IF(VLOOKUP(S105,βοηθητικό!$J$2:$N$354,3,FALSE)="","",VLOOKUP(S105,βοηθητικό!$J$2:$N$354,3,FALSE))</f>
        <v>6932637784</v>
      </c>
      <c r="U105" s="47"/>
      <c r="V105" s="4" t="s">
        <v>1387</v>
      </c>
      <c r="W105" s="43" t="str">
        <f>IF(VLOOKUP(V105,βοηθητικό!$J$2:$N$354,3,FALSE)="","",VLOOKUP(V105,βοηθητικό!$J$2:$N$354,3,FALSE))</f>
        <v>6955110793</v>
      </c>
      <c r="X105" s="44"/>
      <c r="Y105" s="5" t="s">
        <v>1343</v>
      </c>
      <c r="Z105" s="46" t="str">
        <f>IF(VLOOKUP(Y105,βοηθητικό!$J$2:$N$354,3,FALSE)="","",VLOOKUP(Y105,βοηθητικό!$J$2:$N$354,3,FALSE))</f>
        <v>6976140354</v>
      </c>
      <c r="AA105" s="47"/>
      <c r="AB105" s="4" t="s">
        <v>1299</v>
      </c>
      <c r="AC105" s="43">
        <f>IF(VLOOKUP(AB105,βοηθητικό!$J$2:$N$354,3,FALSE)="","",VLOOKUP(AB105,βοηθητικό!$J$2:$N$354,3,FALSE))</f>
        <v>6948330665</v>
      </c>
      <c r="AD105" s="44"/>
      <c r="AE105" s="5" t="s">
        <v>1395</v>
      </c>
      <c r="AF105" s="46" t="str">
        <f>IF(VLOOKUP(AE105,βοηθητικό!$J$2:$N$354,3,FALSE)="","",VLOOKUP(AE105,βοηθητικό!$J$2:$N$354,3,FALSE))</f>
        <v>6994789972</v>
      </c>
      <c r="AG105" s="47"/>
      <c r="AH105" s="4" t="s">
        <v>1267</v>
      </c>
      <c r="AI105" s="43">
        <f>IF(VLOOKUP(AH105,βοηθητικό!$J$2:$N$354,3,FALSE)="","",VLOOKUP(AH105,βοηθητικό!$J$2:$N$354,3,FALSE))</f>
        <v>6978300669</v>
      </c>
      <c r="AJ105" s="44"/>
      <c r="AK105" s="5" t="s">
        <v>16</v>
      </c>
      <c r="AL105" s="46" t="str">
        <f>IF(VLOOKUP(AK105,βοηθητικό!$J$2:$N$354,3,FALSE)="","",VLOOKUP(AK105,βοηθητικό!$J$2:$N$354,3,FALSE))</f>
        <v>_</v>
      </c>
      <c r="AM105" s="47"/>
      <c r="AN105" s="4" t="s">
        <v>16</v>
      </c>
      <c r="AO105" s="43" t="str">
        <f>IF(VLOOKUP(AN105,βοηθητικό!$J$2:$N$354,3,FALSE)="","",VLOOKUP(AN105,βοηθητικό!$J$2:$N$354,3,FALSE))</f>
        <v>_</v>
      </c>
      <c r="AP105" s="44"/>
      <c r="AQ105" s="5" t="s">
        <v>16</v>
      </c>
      <c r="AR105" s="46" t="str">
        <f>IF(VLOOKUP(AQ105,βοηθητικό!$J$2:$N$354,3,FALSE)="","",VLOOKUP(AQ105,βοηθητικό!$J$2:$N$354,3,FALSE))</f>
        <v>_</v>
      </c>
      <c r="AS105" s="47"/>
      <c r="AT105" s="4" t="s">
        <v>16</v>
      </c>
      <c r="AU105" s="43" t="str">
        <f>IF(VLOOKUP(AT105,βοηθητικό!$J$2:$N$354,3,FALSE)="","",VLOOKUP(AT105,βοηθητικό!$J$2:$N$354,3,FALSE))</f>
        <v>_</v>
      </c>
      <c r="AV105" s="44"/>
      <c r="AW105" s="5" t="s">
        <v>16</v>
      </c>
      <c r="AX105" s="46" t="str">
        <f>IF(VLOOKUP(AW105,βοηθητικό!$J$2:$N$354,3,FALSE)="","",VLOOKUP(AW105,βοηθητικό!$J$2:$N$354,3,FALSE))</f>
        <v>_</v>
      </c>
      <c r="AY105" s="47"/>
      <c r="AZ105" s="4" t="s">
        <v>16</v>
      </c>
      <c r="BA105" s="43" t="str">
        <f>IF(VLOOKUP(AZ105,βοηθητικό!$J$2:$N$354,3,FALSE)="","",VLOOKUP(AZ105,βοηθητικό!$J$2:$N$354,3,FALSE))</f>
        <v>_</v>
      </c>
      <c r="BB105" s="44"/>
      <c r="BC105" s="45" t="s">
        <v>16</v>
      </c>
      <c r="BD105" s="46" t="str">
        <f>IF(VLOOKUP(BC105,βοηθητικό!$J$2:$N$354,3,FALSE)="","",VLOOKUP(BC105,βοηθητικό!$J$2:$N$354,3,FALSE))</f>
        <v>_</v>
      </c>
      <c r="BE105" s="47"/>
      <c r="BF105" s="42" t="s">
        <v>16</v>
      </c>
      <c r="BG105" s="43" t="str">
        <f>IF(VLOOKUP(BF105,βοηθητικό!$J$2:$N$354,3,FALSE)="","",VLOOKUP(BF105,βοηθητικό!$J$2:$N$354,3,FALSE))</f>
        <v>_</v>
      </c>
      <c r="BH105" s="44"/>
      <c r="BI105" s="45" t="s">
        <v>16</v>
      </c>
      <c r="BJ105" s="46" t="str">
        <f>IF(VLOOKUP(BI105,βοηθητικό!$J$2:$N$354,3,FALSE)="","",VLOOKUP(BI105,βοηθητικό!$J$2:$N$354,3,FALSE))</f>
        <v>_</v>
      </c>
      <c r="BK105" s="47"/>
      <c r="BL105" s="42" t="s">
        <v>16</v>
      </c>
      <c r="BM105" s="43" t="str">
        <f>IF(VLOOKUP(BL105,βοηθητικό!$J$2:$N$354,3,FALSE)="","",VLOOKUP(BL105,βοηθητικό!$J$2:$N$354,3,FALSE))</f>
        <v>_</v>
      </c>
      <c r="BN105" s="44"/>
      <c r="BO105" s="45" t="s">
        <v>16</v>
      </c>
      <c r="BP105" s="46" t="str">
        <f>IF(VLOOKUP(BO105,βοηθητικό!$J$2:$N$354,3,FALSE)="","",VLOOKUP(BO105,βοηθητικό!$J$2:$N$354,3,FALSE))</f>
        <v>_</v>
      </c>
      <c r="BQ105" s="47"/>
      <c r="BR105" s="42" t="s">
        <v>16</v>
      </c>
      <c r="BS105" s="43" t="str">
        <f>IF(VLOOKUP(BR105,βοηθητικό!$J$2:$N$354,3,FALSE)="","",VLOOKUP(BR105,βοηθητικό!$J$2:$N$354,3,FALSE))</f>
        <v>_</v>
      </c>
      <c r="BT105" s="44"/>
      <c r="BU105" s="45" t="s">
        <v>16</v>
      </c>
      <c r="BV105" s="46" t="str">
        <f>IF(VLOOKUP(BU105,βοηθητικό!$J$2:$N$354,3,FALSE)="","",VLOOKUP(BU105,βοηθητικό!$J$2:$N$354,3,FALSE))</f>
        <v>_</v>
      </c>
      <c r="BW105" s="47"/>
      <c r="BX105" s="42" t="s">
        <v>16</v>
      </c>
      <c r="BY105" s="43" t="str">
        <f>IF(VLOOKUP(BX105,βοηθητικό!$J$2:$N$354,3,FALSE)="","",VLOOKUP(BX105,βοηθητικό!$J$2:$N$354,3,FALSE))</f>
        <v>_</v>
      </c>
      <c r="BZ105" s="44"/>
      <c r="CA105" s="45" t="s">
        <v>16</v>
      </c>
      <c r="CB105" s="46" t="str">
        <f>IF(VLOOKUP(CA105,βοηθητικό!$J$2:$N$354,3,FALSE)="","",VLOOKUP(CA105,βοηθητικό!$J$2:$N$354,3,FALSE))</f>
        <v>_</v>
      </c>
      <c r="CC105" s="47"/>
      <c r="CD105" s="42" t="s">
        <v>16</v>
      </c>
      <c r="CE105" s="43" t="str">
        <f>IF(VLOOKUP(CD105,βοηθητικό!$J$2:$N$354,3,FALSE)="","",VLOOKUP(CD105,βοηθητικό!$J$2:$N$354,3,FALSE))</f>
        <v>_</v>
      </c>
      <c r="CF105" s="44"/>
      <c r="CG105" s="45" t="s">
        <v>16</v>
      </c>
      <c r="CH105" s="46" t="str">
        <f>IF(VLOOKUP(CG105,βοηθητικό!$J$2:$N$354,3,FALSE)="","",VLOOKUP(CG105,βοηθητικό!$J$2:$N$354,3,FALSE))</f>
        <v>_</v>
      </c>
      <c r="CI105" s="47"/>
      <c r="CJ105" s="42" t="s">
        <v>16</v>
      </c>
      <c r="CK105" s="43" t="str">
        <f>IF(VLOOKUP(CJ105,βοηθητικό!$J$2:$N$354,3,FALSE)="","",VLOOKUP(CJ105,βοηθητικό!$J$2:$N$354,3,FALSE))</f>
        <v>_</v>
      </c>
      <c r="CL105" s="44"/>
      <c r="CM105" s="45" t="s">
        <v>16</v>
      </c>
      <c r="CN105" s="46" t="str">
        <f>IF(VLOOKUP(CM105,βοηθητικό!$J$2:$N$354,3,FALSE)="","",VLOOKUP(CM105,βοηθητικό!$J$2:$N$354,3,FALSE))</f>
        <v>_</v>
      </c>
      <c r="CO105" s="47"/>
      <c r="CP105" s="42" t="s">
        <v>16</v>
      </c>
      <c r="CQ105" s="43" t="str">
        <f>IF(VLOOKUP(CP105,βοηθητικό!$J$2:$N$354,3,FALSE)="","",VLOOKUP(CP105,βοηθητικό!$J$2:$N$354,3,FALSE))</f>
        <v>_</v>
      </c>
      <c r="CR105" s="44"/>
      <c r="CS105" s="45" t="s">
        <v>16</v>
      </c>
      <c r="CT105" s="46" t="str">
        <f>IF(VLOOKUP(CS105,βοηθητικό!$J$2:$N$354,3,FALSE)="","",VLOOKUP(CS105,βοηθητικό!$J$2:$N$354,3,FALSE))</f>
        <v>_</v>
      </c>
      <c r="CU105" s="47"/>
    </row>
    <row r="106" spans="1:99" x14ac:dyDescent="0.25">
      <c r="A106" s="37">
        <f>--SUBTOTAL(3,$B$3:B105)</f>
        <v>103</v>
      </c>
      <c r="B106" s="68">
        <v>45131</v>
      </c>
      <c r="C106" s="69">
        <v>45137</v>
      </c>
      <c r="D106" s="57" t="s">
        <v>115</v>
      </c>
      <c r="E106" s="38" t="s">
        <v>16</v>
      </c>
      <c r="F106" s="38" t="s">
        <v>16</v>
      </c>
      <c r="G106" s="39" t="str">
        <f t="shared" si="5"/>
        <v>__</v>
      </c>
      <c r="H106" s="40" t="str">
        <f t="shared" si="6"/>
        <v>FALSE</v>
      </c>
      <c r="I106" s="41">
        <f t="shared" si="7"/>
        <v>8</v>
      </c>
      <c r="J106" s="4" t="s">
        <v>1302</v>
      </c>
      <c r="K106" s="43" t="str">
        <f>IF(VLOOKUP(J106,βοηθητικό!$J$2:$N$354,3,FALSE)="","",VLOOKUP(J106,βοηθητικό!$J$2:$N$354,3,FALSE))</f>
        <v>6984576537</v>
      </c>
      <c r="L106" s="44"/>
      <c r="M106" s="5" t="s">
        <v>1359</v>
      </c>
      <c r="N106" s="46" t="str">
        <f>IF(VLOOKUP(M106,βοηθητικό!$J$2:$N$354,3,FALSE)="","",VLOOKUP(M106,βοηθητικό!$J$2:$N$354,3,FALSE))</f>
        <v>6934066535</v>
      </c>
      <c r="O106" s="47"/>
      <c r="P106" s="4" t="s">
        <v>1335</v>
      </c>
      <c r="Q106" s="43" t="str">
        <f>IF(VLOOKUP(P106,βοηθητικό!$J$2:$N$354,3,FALSE)="","",VLOOKUP(P106,βοηθητικό!$J$2:$N$354,3,FALSE))</f>
        <v>6944757544</v>
      </c>
      <c r="R106" s="44"/>
      <c r="S106" s="5" t="s">
        <v>1375</v>
      </c>
      <c r="T106" s="46" t="str">
        <f>IF(VLOOKUP(S106,βοηθητικό!$J$2:$N$354,3,FALSE)="","",VLOOKUP(S106,βοηθητικό!$J$2:$N$354,3,FALSE))</f>
        <v>6948880905</v>
      </c>
      <c r="U106" s="47"/>
      <c r="V106" s="4" t="s">
        <v>1262</v>
      </c>
      <c r="W106" s="43" t="str">
        <f>IF(VLOOKUP(V106,βοηθητικό!$J$2:$N$354,3,FALSE)="","",VLOOKUP(V106,βοηθητικό!$J$2:$N$354,3,FALSE))</f>
        <v>6980996968</v>
      </c>
      <c r="X106" s="44"/>
      <c r="Y106" s="5" t="s">
        <v>1276</v>
      </c>
      <c r="Z106" s="46">
        <f>IF(VLOOKUP(Y106,βοηθητικό!$J$2:$N$354,3,FALSE)="","",VLOOKUP(Y106,βοηθητικό!$J$2:$N$354,3,FALSE))</f>
        <v>6936705244</v>
      </c>
      <c r="AA106" s="47"/>
      <c r="AB106" s="4" t="s">
        <v>1283</v>
      </c>
      <c r="AC106" s="43" t="str">
        <f>IF(VLOOKUP(AB106,βοηθητικό!$J$2:$N$354,3,FALSE)="","",VLOOKUP(AB106,βοηθητικό!$J$2:$N$354,3,FALSE))</f>
        <v>6939327305</v>
      </c>
      <c r="AD106" s="44"/>
      <c r="AE106" s="5" t="s">
        <v>1339</v>
      </c>
      <c r="AF106" s="46" t="str">
        <f>IF(VLOOKUP(AE106,βοηθητικό!$J$2:$N$354,3,FALSE)="","",VLOOKUP(AE106,βοηθητικό!$J$2:$N$354,3,FALSE))</f>
        <v>6936582412</v>
      </c>
      <c r="AG106" s="47"/>
      <c r="AH106" s="4" t="s">
        <v>16</v>
      </c>
      <c r="AI106" s="43" t="str">
        <f>IF(VLOOKUP(AH106,βοηθητικό!$J$2:$N$354,3,FALSE)="","",VLOOKUP(AH106,βοηθητικό!$J$2:$N$354,3,FALSE))</f>
        <v>_</v>
      </c>
      <c r="AJ106" s="44"/>
      <c r="AK106" s="5" t="s">
        <v>16</v>
      </c>
      <c r="AL106" s="46" t="str">
        <f>IF(VLOOKUP(AK106,βοηθητικό!$J$2:$N$354,3,FALSE)="","",VLOOKUP(AK106,βοηθητικό!$J$2:$N$354,3,FALSE))</f>
        <v>_</v>
      </c>
      <c r="AM106" s="47"/>
      <c r="AN106" s="4" t="s">
        <v>16</v>
      </c>
      <c r="AO106" s="43" t="str">
        <f>IF(VLOOKUP(AN106,βοηθητικό!$J$2:$N$354,3,FALSE)="","",VLOOKUP(AN106,βοηθητικό!$J$2:$N$354,3,FALSE))</f>
        <v>_</v>
      </c>
      <c r="AP106" s="44"/>
      <c r="AQ106" s="5" t="s">
        <v>16</v>
      </c>
      <c r="AR106" s="46" t="str">
        <f>IF(VLOOKUP(AQ106,βοηθητικό!$J$2:$N$354,3,FALSE)="","",VLOOKUP(AQ106,βοηθητικό!$J$2:$N$354,3,FALSE))</f>
        <v>_</v>
      </c>
      <c r="AS106" s="47"/>
      <c r="AT106" s="4" t="s">
        <v>16</v>
      </c>
      <c r="AU106" s="43" t="str">
        <f>IF(VLOOKUP(AT106,βοηθητικό!$J$2:$N$354,3,FALSE)="","",VLOOKUP(AT106,βοηθητικό!$J$2:$N$354,3,FALSE))</f>
        <v>_</v>
      </c>
      <c r="AV106" s="44"/>
      <c r="AW106" s="5" t="s">
        <v>16</v>
      </c>
      <c r="AX106" s="46" t="str">
        <f>IF(VLOOKUP(AW106,βοηθητικό!$J$2:$N$354,3,FALSE)="","",VLOOKUP(AW106,βοηθητικό!$J$2:$N$354,3,FALSE))</f>
        <v>_</v>
      </c>
      <c r="AY106" s="47"/>
      <c r="AZ106" s="4" t="s">
        <v>16</v>
      </c>
      <c r="BA106" s="43" t="str">
        <f>IF(VLOOKUP(AZ106,βοηθητικό!$J$2:$N$354,3,FALSE)="","",VLOOKUP(AZ106,βοηθητικό!$J$2:$N$354,3,FALSE))</f>
        <v>_</v>
      </c>
      <c r="BB106" s="44"/>
      <c r="BC106" s="45" t="s">
        <v>16</v>
      </c>
      <c r="BD106" s="46" t="str">
        <f>IF(VLOOKUP(BC106,βοηθητικό!$J$2:$N$354,3,FALSE)="","",VLOOKUP(BC106,βοηθητικό!$J$2:$N$354,3,FALSE))</f>
        <v>_</v>
      </c>
      <c r="BE106" s="47"/>
      <c r="BF106" s="42" t="s">
        <v>16</v>
      </c>
      <c r="BG106" s="43" t="str">
        <f>IF(VLOOKUP(BF106,βοηθητικό!$J$2:$N$354,3,FALSE)="","",VLOOKUP(BF106,βοηθητικό!$J$2:$N$354,3,FALSE))</f>
        <v>_</v>
      </c>
      <c r="BH106" s="44"/>
      <c r="BI106" s="45" t="s">
        <v>16</v>
      </c>
      <c r="BJ106" s="46" t="str">
        <f>IF(VLOOKUP(BI106,βοηθητικό!$J$2:$N$354,3,FALSE)="","",VLOOKUP(BI106,βοηθητικό!$J$2:$N$354,3,FALSE))</f>
        <v>_</v>
      </c>
      <c r="BK106" s="47"/>
      <c r="BL106" s="42" t="s">
        <v>16</v>
      </c>
      <c r="BM106" s="43" t="str">
        <f>IF(VLOOKUP(BL106,βοηθητικό!$J$2:$N$354,3,FALSE)="","",VLOOKUP(BL106,βοηθητικό!$J$2:$N$354,3,FALSE))</f>
        <v>_</v>
      </c>
      <c r="BN106" s="44"/>
      <c r="BO106" s="45" t="s">
        <v>16</v>
      </c>
      <c r="BP106" s="46" t="str">
        <f>IF(VLOOKUP(BO106,βοηθητικό!$J$2:$N$354,3,FALSE)="","",VLOOKUP(BO106,βοηθητικό!$J$2:$N$354,3,FALSE))</f>
        <v>_</v>
      </c>
      <c r="BQ106" s="47"/>
      <c r="BR106" s="42" t="s">
        <v>16</v>
      </c>
      <c r="BS106" s="43" t="str">
        <f>IF(VLOOKUP(BR106,βοηθητικό!$J$2:$N$354,3,FALSE)="","",VLOOKUP(BR106,βοηθητικό!$J$2:$N$354,3,FALSE))</f>
        <v>_</v>
      </c>
      <c r="BT106" s="44"/>
      <c r="BU106" s="45" t="s">
        <v>16</v>
      </c>
      <c r="BV106" s="46" t="str">
        <f>IF(VLOOKUP(BU106,βοηθητικό!$J$2:$N$354,3,FALSE)="","",VLOOKUP(BU106,βοηθητικό!$J$2:$N$354,3,FALSE))</f>
        <v>_</v>
      </c>
      <c r="BW106" s="47"/>
      <c r="BX106" s="42" t="s">
        <v>16</v>
      </c>
      <c r="BY106" s="43" t="str">
        <f>IF(VLOOKUP(BX106,βοηθητικό!$J$2:$N$354,3,FALSE)="","",VLOOKUP(BX106,βοηθητικό!$J$2:$N$354,3,FALSE))</f>
        <v>_</v>
      </c>
      <c r="BZ106" s="44"/>
      <c r="CA106" s="45" t="s">
        <v>16</v>
      </c>
      <c r="CB106" s="46" t="str">
        <f>IF(VLOOKUP(CA106,βοηθητικό!$J$2:$N$354,3,FALSE)="","",VLOOKUP(CA106,βοηθητικό!$J$2:$N$354,3,FALSE))</f>
        <v>_</v>
      </c>
      <c r="CC106" s="47"/>
      <c r="CD106" s="42" t="s">
        <v>16</v>
      </c>
      <c r="CE106" s="43" t="str">
        <f>IF(VLOOKUP(CD106,βοηθητικό!$J$2:$N$354,3,FALSE)="","",VLOOKUP(CD106,βοηθητικό!$J$2:$N$354,3,FALSE))</f>
        <v>_</v>
      </c>
      <c r="CF106" s="44"/>
      <c r="CG106" s="45" t="s">
        <v>16</v>
      </c>
      <c r="CH106" s="46" t="str">
        <f>IF(VLOOKUP(CG106,βοηθητικό!$J$2:$N$354,3,FALSE)="","",VLOOKUP(CG106,βοηθητικό!$J$2:$N$354,3,FALSE))</f>
        <v>_</v>
      </c>
      <c r="CI106" s="47"/>
      <c r="CJ106" s="42" t="s">
        <v>16</v>
      </c>
      <c r="CK106" s="43" t="str">
        <f>IF(VLOOKUP(CJ106,βοηθητικό!$J$2:$N$354,3,FALSE)="","",VLOOKUP(CJ106,βοηθητικό!$J$2:$N$354,3,FALSE))</f>
        <v>_</v>
      </c>
      <c r="CL106" s="44"/>
      <c r="CM106" s="45" t="s">
        <v>16</v>
      </c>
      <c r="CN106" s="46" t="str">
        <f>IF(VLOOKUP(CM106,βοηθητικό!$J$2:$N$354,3,FALSE)="","",VLOOKUP(CM106,βοηθητικό!$J$2:$N$354,3,FALSE))</f>
        <v>_</v>
      </c>
      <c r="CO106" s="47"/>
      <c r="CP106" s="42" t="s">
        <v>16</v>
      </c>
      <c r="CQ106" s="43" t="str">
        <f>IF(VLOOKUP(CP106,βοηθητικό!$J$2:$N$354,3,FALSE)="","",VLOOKUP(CP106,βοηθητικό!$J$2:$N$354,3,FALSE))</f>
        <v>_</v>
      </c>
      <c r="CR106" s="44"/>
      <c r="CS106" s="45" t="s">
        <v>16</v>
      </c>
      <c r="CT106" s="46" t="str">
        <f>IF(VLOOKUP(CS106,βοηθητικό!$J$2:$N$354,3,FALSE)="","",VLOOKUP(CS106,βοηθητικό!$J$2:$N$354,3,FALSE))</f>
        <v>_</v>
      </c>
      <c r="CU106" s="47"/>
    </row>
    <row r="107" spans="1:99" x14ac:dyDescent="0.25">
      <c r="A107" s="37">
        <f>--SUBTOTAL(3,$B$3:B106)</f>
        <v>104</v>
      </c>
      <c r="B107" s="68">
        <v>45110</v>
      </c>
      <c r="C107" s="69">
        <v>45116</v>
      </c>
      <c r="D107" s="58" t="s">
        <v>127</v>
      </c>
      <c r="E107" s="38" t="s">
        <v>16</v>
      </c>
      <c r="F107" s="38" t="s">
        <v>16</v>
      </c>
      <c r="G107" s="39" t="str">
        <f t="shared" si="5"/>
        <v>__</v>
      </c>
      <c r="H107" s="40" t="str">
        <f t="shared" si="6"/>
        <v>FALSE</v>
      </c>
      <c r="I107" s="41">
        <f t="shared" si="7"/>
        <v>7</v>
      </c>
      <c r="J107" s="4" t="s">
        <v>1407</v>
      </c>
      <c r="K107" s="43" t="str">
        <f>IF(VLOOKUP(J107,βοηθητικό!$J$2:$N$354,3,FALSE)="","",VLOOKUP(J107,βοηθητικό!$J$2:$N$354,3,FALSE))</f>
        <v>6992097226</v>
      </c>
      <c r="L107" s="44"/>
      <c r="M107" s="5" t="s">
        <v>1464</v>
      </c>
      <c r="N107" s="46" t="str">
        <f>IF(VLOOKUP(M107,βοηθητικό!$J$2:$N$354,3,FALSE)="","",VLOOKUP(M107,βοηθητικό!$J$2:$N$354,3,FALSE))</f>
        <v>6937334275</v>
      </c>
      <c r="O107" s="47"/>
      <c r="P107" s="4" t="s">
        <v>1485</v>
      </c>
      <c r="Q107" s="43" t="str">
        <f>IF(VLOOKUP(P107,βοηθητικό!$J$2:$N$354,3,FALSE)="","",VLOOKUP(P107,βοηθητικό!$J$2:$N$354,3,FALSE))</f>
        <v>6974472231</v>
      </c>
      <c r="R107" s="44"/>
      <c r="S107" s="5" t="s">
        <v>1434</v>
      </c>
      <c r="T107" s="46" t="str">
        <f>IF(VLOOKUP(S107,βοηθητικό!$J$2:$N$354,3,FALSE)="","",VLOOKUP(S107,βοηθητικό!$J$2:$N$354,3,FALSE))</f>
        <v>6977995010</v>
      </c>
      <c r="U107" s="47"/>
      <c r="V107" s="4" t="s">
        <v>1449</v>
      </c>
      <c r="W107" s="43" t="str">
        <f>IF(VLOOKUP(V107,βοηθητικό!$J$2:$N$354,3,FALSE)="","",VLOOKUP(V107,βοηθητικό!$J$2:$N$354,3,FALSE))</f>
        <v>6942065498</v>
      </c>
      <c r="X107" s="44"/>
      <c r="Y107" s="5" t="s">
        <v>1446</v>
      </c>
      <c r="Z107" s="46" t="str">
        <f>IF(VLOOKUP(Y107,βοηθητικό!$J$2:$N$354,3,FALSE)="","",VLOOKUP(Y107,βοηθητικό!$J$2:$N$354,3,FALSE))</f>
        <v>6980080409</v>
      </c>
      <c r="AA107" s="47"/>
      <c r="AB107" s="4" t="s">
        <v>1455</v>
      </c>
      <c r="AC107" s="43" t="str">
        <f>IF(VLOOKUP(AB107,βοηθητικό!$J$2:$N$354,3,FALSE)="","",VLOOKUP(AB107,βοηθητικό!$J$2:$N$354,3,FALSE))</f>
        <v>6945859412</v>
      </c>
      <c r="AD107" s="44"/>
      <c r="AE107" s="5" t="s">
        <v>16</v>
      </c>
      <c r="AF107" s="46" t="str">
        <f>IF(VLOOKUP(AE107,βοηθητικό!$J$2:$N$354,3,FALSE)="","",VLOOKUP(AE107,βοηθητικό!$J$2:$N$354,3,FALSE))</f>
        <v>_</v>
      </c>
      <c r="AG107" s="47"/>
      <c r="AH107" s="4" t="s">
        <v>16</v>
      </c>
      <c r="AI107" s="43" t="str">
        <f>IF(VLOOKUP(AH107,βοηθητικό!$J$2:$N$354,3,FALSE)="","",VLOOKUP(AH107,βοηθητικό!$J$2:$N$354,3,FALSE))</f>
        <v>_</v>
      </c>
      <c r="AJ107" s="44"/>
      <c r="AK107" s="5" t="s">
        <v>16</v>
      </c>
      <c r="AL107" s="46" t="str">
        <f>IF(VLOOKUP(AK107,βοηθητικό!$J$2:$N$354,3,FALSE)="","",VLOOKUP(AK107,βοηθητικό!$J$2:$N$354,3,FALSE))</f>
        <v>_</v>
      </c>
      <c r="AM107" s="47"/>
      <c r="AN107" s="4" t="s">
        <v>16</v>
      </c>
      <c r="AO107" s="43" t="str">
        <f>IF(VLOOKUP(AN107,βοηθητικό!$J$2:$N$354,3,FALSE)="","",VLOOKUP(AN107,βοηθητικό!$J$2:$N$354,3,FALSE))</f>
        <v>_</v>
      </c>
      <c r="AP107" s="44"/>
      <c r="AQ107" s="5" t="s">
        <v>16</v>
      </c>
      <c r="AR107" s="46" t="str">
        <f>IF(VLOOKUP(AQ107,βοηθητικό!$J$2:$N$354,3,FALSE)="","",VLOOKUP(AQ107,βοηθητικό!$J$2:$N$354,3,FALSE))</f>
        <v>_</v>
      </c>
      <c r="AS107" s="47"/>
      <c r="AT107" s="4" t="s">
        <v>16</v>
      </c>
      <c r="AU107" s="43" t="str">
        <f>IF(VLOOKUP(AT107,βοηθητικό!$J$2:$N$354,3,FALSE)="","",VLOOKUP(AT107,βοηθητικό!$J$2:$N$354,3,FALSE))</f>
        <v>_</v>
      </c>
      <c r="AV107" s="44"/>
      <c r="AW107" s="5" t="s">
        <v>16</v>
      </c>
      <c r="AX107" s="46" t="str">
        <f>IF(VLOOKUP(AW107,βοηθητικό!$J$2:$N$354,3,FALSE)="","",VLOOKUP(AW107,βοηθητικό!$J$2:$N$354,3,FALSE))</f>
        <v>_</v>
      </c>
      <c r="AY107" s="47"/>
      <c r="AZ107" s="4" t="s">
        <v>16</v>
      </c>
      <c r="BA107" s="43" t="str">
        <f>IF(VLOOKUP(AZ107,βοηθητικό!$J$2:$N$354,3,FALSE)="","",VLOOKUP(AZ107,βοηθητικό!$J$2:$N$354,3,FALSE))</f>
        <v>_</v>
      </c>
      <c r="BB107" s="44"/>
      <c r="BC107" s="45" t="s">
        <v>16</v>
      </c>
      <c r="BD107" s="46" t="str">
        <f>IF(VLOOKUP(BC107,βοηθητικό!$J$2:$N$354,3,FALSE)="","",VLOOKUP(BC107,βοηθητικό!$J$2:$N$354,3,FALSE))</f>
        <v>_</v>
      </c>
      <c r="BE107" s="47"/>
      <c r="BF107" s="42" t="s">
        <v>16</v>
      </c>
      <c r="BG107" s="43" t="str">
        <f>IF(VLOOKUP(BF107,βοηθητικό!$J$2:$N$354,3,FALSE)="","",VLOOKUP(BF107,βοηθητικό!$J$2:$N$354,3,FALSE))</f>
        <v>_</v>
      </c>
      <c r="BH107" s="44"/>
      <c r="BI107" s="45" t="s">
        <v>16</v>
      </c>
      <c r="BJ107" s="46" t="str">
        <f>IF(VLOOKUP(BI107,βοηθητικό!$J$2:$N$354,3,FALSE)="","",VLOOKUP(BI107,βοηθητικό!$J$2:$N$354,3,FALSE))</f>
        <v>_</v>
      </c>
      <c r="BK107" s="47"/>
      <c r="BL107" s="42" t="s">
        <v>16</v>
      </c>
      <c r="BM107" s="43" t="str">
        <f>IF(VLOOKUP(BL107,βοηθητικό!$J$2:$N$354,3,FALSE)="","",VLOOKUP(BL107,βοηθητικό!$J$2:$N$354,3,FALSE))</f>
        <v>_</v>
      </c>
      <c r="BN107" s="44"/>
      <c r="BO107" s="45" t="s">
        <v>16</v>
      </c>
      <c r="BP107" s="46" t="str">
        <f>IF(VLOOKUP(BO107,βοηθητικό!$J$2:$N$354,3,FALSE)="","",VLOOKUP(BO107,βοηθητικό!$J$2:$N$354,3,FALSE))</f>
        <v>_</v>
      </c>
      <c r="BQ107" s="47"/>
      <c r="BR107" s="42" t="s">
        <v>16</v>
      </c>
      <c r="BS107" s="43" t="str">
        <f>IF(VLOOKUP(BR107,βοηθητικό!$J$2:$N$354,3,FALSE)="","",VLOOKUP(BR107,βοηθητικό!$J$2:$N$354,3,FALSE))</f>
        <v>_</v>
      </c>
      <c r="BT107" s="44"/>
      <c r="BU107" s="45" t="s">
        <v>16</v>
      </c>
      <c r="BV107" s="46" t="str">
        <f>IF(VLOOKUP(BU107,βοηθητικό!$J$2:$N$354,3,FALSE)="","",VLOOKUP(BU107,βοηθητικό!$J$2:$N$354,3,FALSE))</f>
        <v>_</v>
      </c>
      <c r="BW107" s="47"/>
      <c r="BX107" s="42" t="s">
        <v>16</v>
      </c>
      <c r="BY107" s="43" t="str">
        <f>IF(VLOOKUP(BX107,βοηθητικό!$J$2:$N$354,3,FALSE)="","",VLOOKUP(BX107,βοηθητικό!$J$2:$N$354,3,FALSE))</f>
        <v>_</v>
      </c>
      <c r="BZ107" s="44"/>
      <c r="CA107" s="45" t="s">
        <v>16</v>
      </c>
      <c r="CB107" s="46" t="str">
        <f>IF(VLOOKUP(CA107,βοηθητικό!$J$2:$N$354,3,FALSE)="","",VLOOKUP(CA107,βοηθητικό!$J$2:$N$354,3,FALSE))</f>
        <v>_</v>
      </c>
      <c r="CC107" s="47"/>
      <c r="CD107" s="42" t="s">
        <v>16</v>
      </c>
      <c r="CE107" s="43" t="str">
        <f>IF(VLOOKUP(CD107,βοηθητικό!$J$2:$N$354,3,FALSE)="","",VLOOKUP(CD107,βοηθητικό!$J$2:$N$354,3,FALSE))</f>
        <v>_</v>
      </c>
      <c r="CF107" s="44"/>
      <c r="CG107" s="45" t="s">
        <v>16</v>
      </c>
      <c r="CH107" s="46" t="str">
        <f>IF(VLOOKUP(CG107,βοηθητικό!$J$2:$N$354,3,FALSE)="","",VLOOKUP(CG107,βοηθητικό!$J$2:$N$354,3,FALSE))</f>
        <v>_</v>
      </c>
      <c r="CI107" s="47"/>
      <c r="CJ107" s="42" t="s">
        <v>16</v>
      </c>
      <c r="CK107" s="43" t="str">
        <f>IF(VLOOKUP(CJ107,βοηθητικό!$J$2:$N$354,3,FALSE)="","",VLOOKUP(CJ107,βοηθητικό!$J$2:$N$354,3,FALSE))</f>
        <v>_</v>
      </c>
      <c r="CL107" s="44"/>
      <c r="CM107" s="45" t="s">
        <v>16</v>
      </c>
      <c r="CN107" s="46" t="str">
        <f>IF(VLOOKUP(CM107,βοηθητικό!$J$2:$N$354,3,FALSE)="","",VLOOKUP(CM107,βοηθητικό!$J$2:$N$354,3,FALSE))</f>
        <v>_</v>
      </c>
      <c r="CO107" s="47"/>
      <c r="CP107" s="42" t="s">
        <v>16</v>
      </c>
      <c r="CQ107" s="43" t="str">
        <f>IF(VLOOKUP(CP107,βοηθητικό!$J$2:$N$354,3,FALSE)="","",VLOOKUP(CP107,βοηθητικό!$J$2:$N$354,3,FALSE))</f>
        <v>_</v>
      </c>
      <c r="CR107" s="44"/>
      <c r="CS107" s="45" t="s">
        <v>16</v>
      </c>
      <c r="CT107" s="46" t="str">
        <f>IF(VLOOKUP(CS107,βοηθητικό!$J$2:$N$354,3,FALSE)="","",VLOOKUP(CS107,βοηθητικό!$J$2:$N$354,3,FALSE))</f>
        <v>_</v>
      </c>
      <c r="CU107" s="47"/>
    </row>
    <row r="108" spans="1:99" x14ac:dyDescent="0.25">
      <c r="A108" s="37">
        <f>--SUBTOTAL(3,$B$3:B107)</f>
        <v>105</v>
      </c>
      <c r="B108" s="68">
        <v>45117</v>
      </c>
      <c r="C108" s="69">
        <v>45123</v>
      </c>
      <c r="D108" s="58" t="s">
        <v>127</v>
      </c>
      <c r="E108" s="38" t="s">
        <v>16</v>
      </c>
      <c r="F108" s="38" t="s">
        <v>16</v>
      </c>
      <c r="G108" s="39" t="str">
        <f t="shared" si="5"/>
        <v>__</v>
      </c>
      <c r="H108" s="40" t="str">
        <f t="shared" si="6"/>
        <v>FALSE</v>
      </c>
      <c r="I108" s="41">
        <f t="shared" si="7"/>
        <v>7</v>
      </c>
      <c r="J108" s="4" t="s">
        <v>1411</v>
      </c>
      <c r="K108" s="43" t="str">
        <f>IF(VLOOKUP(J108,βοηθητικό!$J$2:$N$354,3,FALSE)="","",VLOOKUP(J108,βοηθητικό!$J$2:$N$354,3,FALSE))</f>
        <v>6976704746</v>
      </c>
      <c r="L108" s="44"/>
      <c r="M108" s="5" t="s">
        <v>1452</v>
      </c>
      <c r="N108" s="46" t="str">
        <f>IF(VLOOKUP(M108,βοηθητικό!$J$2:$N$354,3,FALSE)="","",VLOOKUP(M108,βοηθητικό!$J$2:$N$354,3,FALSE))</f>
        <v>6944240803</v>
      </c>
      <c r="O108" s="47"/>
      <c r="P108" s="4" t="s">
        <v>1431</v>
      </c>
      <c r="Q108" s="43" t="str">
        <f>IF(VLOOKUP(P108,βοηθητικό!$J$2:$N$354,3,FALSE)="","",VLOOKUP(P108,βοηθητικό!$J$2:$N$354,3,FALSE))</f>
        <v>6975534675</v>
      </c>
      <c r="R108" s="44"/>
      <c r="S108" s="5" t="s">
        <v>1473</v>
      </c>
      <c r="T108" s="46" t="str">
        <f>IF(VLOOKUP(S108,βοηθητικό!$J$2:$N$354,3,FALSE)="","",VLOOKUP(S108,βοηθητικό!$J$2:$N$354,3,FALSE))</f>
        <v>6937601117</v>
      </c>
      <c r="U108" s="47"/>
      <c r="V108" s="4" t="s">
        <v>1493</v>
      </c>
      <c r="W108" s="43" t="str">
        <f>IF(VLOOKUP(V108,βοηθητικό!$J$2:$N$354,3,FALSE)="","",VLOOKUP(V108,βοηθητικό!$J$2:$N$354,3,FALSE))</f>
        <v>6978022104</v>
      </c>
      <c r="X108" s="44"/>
      <c r="Y108" s="5" t="s">
        <v>1488</v>
      </c>
      <c r="Z108" s="46" t="str">
        <f>IF(VLOOKUP(Y108,βοηθητικό!$J$2:$N$354,3,FALSE)="","",VLOOKUP(Y108,βοηθητικό!$J$2:$N$354,3,FALSE))</f>
        <v>6949282970</v>
      </c>
      <c r="AA108" s="47"/>
      <c r="AB108" s="4" t="s">
        <v>1491</v>
      </c>
      <c r="AC108" s="43">
        <f>IF(VLOOKUP(AB108,βοηθητικό!$J$2:$N$354,3,FALSE)="","",VLOOKUP(AB108,βοηθητικό!$J$2:$N$354,3,FALSE))</f>
        <v>6944027398</v>
      </c>
      <c r="AD108" s="44"/>
      <c r="AE108" s="5" t="s">
        <v>16</v>
      </c>
      <c r="AF108" s="46" t="str">
        <f>IF(VLOOKUP(AE108,βοηθητικό!$J$2:$N$354,3,FALSE)="","",VLOOKUP(AE108,βοηθητικό!$J$2:$N$354,3,FALSE))</f>
        <v>_</v>
      </c>
      <c r="AG108" s="47"/>
      <c r="AH108" s="4" t="s">
        <v>16</v>
      </c>
      <c r="AI108" s="43" t="str">
        <f>IF(VLOOKUP(AH108,βοηθητικό!$J$2:$N$354,3,FALSE)="","",VLOOKUP(AH108,βοηθητικό!$J$2:$N$354,3,FALSE))</f>
        <v>_</v>
      </c>
      <c r="AJ108" s="44"/>
      <c r="AK108" s="5" t="s">
        <v>16</v>
      </c>
      <c r="AL108" s="46" t="str">
        <f>IF(VLOOKUP(AK108,βοηθητικό!$J$2:$N$354,3,FALSE)="","",VLOOKUP(AK108,βοηθητικό!$J$2:$N$354,3,FALSE))</f>
        <v>_</v>
      </c>
      <c r="AM108" s="47"/>
      <c r="AN108" s="4" t="s">
        <v>16</v>
      </c>
      <c r="AO108" s="43" t="str">
        <f>IF(VLOOKUP(AN108,βοηθητικό!$J$2:$N$354,3,FALSE)="","",VLOOKUP(AN108,βοηθητικό!$J$2:$N$354,3,FALSE))</f>
        <v>_</v>
      </c>
      <c r="AP108" s="44"/>
      <c r="AQ108" s="5" t="s">
        <v>16</v>
      </c>
      <c r="AR108" s="46" t="str">
        <f>IF(VLOOKUP(AQ108,βοηθητικό!$J$2:$N$354,3,FALSE)="","",VLOOKUP(AQ108,βοηθητικό!$J$2:$N$354,3,FALSE))</f>
        <v>_</v>
      </c>
      <c r="AS108" s="47"/>
      <c r="AT108" s="4" t="s">
        <v>16</v>
      </c>
      <c r="AU108" s="43" t="str">
        <f>IF(VLOOKUP(AT108,βοηθητικό!$J$2:$N$354,3,FALSE)="","",VLOOKUP(AT108,βοηθητικό!$J$2:$N$354,3,FALSE))</f>
        <v>_</v>
      </c>
      <c r="AV108" s="44"/>
      <c r="AW108" s="5" t="s">
        <v>16</v>
      </c>
      <c r="AX108" s="46" t="str">
        <f>IF(VLOOKUP(AW108,βοηθητικό!$J$2:$N$354,3,FALSE)="","",VLOOKUP(AW108,βοηθητικό!$J$2:$N$354,3,FALSE))</f>
        <v>_</v>
      </c>
      <c r="AY108" s="47"/>
      <c r="AZ108" s="4" t="s">
        <v>16</v>
      </c>
      <c r="BA108" s="43" t="str">
        <f>IF(VLOOKUP(AZ108,βοηθητικό!$J$2:$N$354,3,FALSE)="","",VLOOKUP(AZ108,βοηθητικό!$J$2:$N$354,3,FALSE))</f>
        <v>_</v>
      </c>
      <c r="BB108" s="44"/>
      <c r="BC108" s="45" t="s">
        <v>16</v>
      </c>
      <c r="BD108" s="46" t="str">
        <f>IF(VLOOKUP(BC108,βοηθητικό!$J$2:$N$354,3,FALSE)="","",VLOOKUP(BC108,βοηθητικό!$J$2:$N$354,3,FALSE))</f>
        <v>_</v>
      </c>
      <c r="BE108" s="47"/>
      <c r="BF108" s="42" t="s">
        <v>16</v>
      </c>
      <c r="BG108" s="43" t="str">
        <f>IF(VLOOKUP(BF108,βοηθητικό!$J$2:$N$354,3,FALSE)="","",VLOOKUP(BF108,βοηθητικό!$J$2:$N$354,3,FALSE))</f>
        <v>_</v>
      </c>
      <c r="BH108" s="44"/>
      <c r="BI108" s="45" t="s">
        <v>16</v>
      </c>
      <c r="BJ108" s="46" t="str">
        <f>IF(VLOOKUP(BI108,βοηθητικό!$J$2:$N$354,3,FALSE)="","",VLOOKUP(BI108,βοηθητικό!$J$2:$N$354,3,FALSE))</f>
        <v>_</v>
      </c>
      <c r="BK108" s="47"/>
      <c r="BL108" s="42" t="s">
        <v>16</v>
      </c>
      <c r="BM108" s="43" t="str">
        <f>IF(VLOOKUP(BL108,βοηθητικό!$J$2:$N$354,3,FALSE)="","",VLOOKUP(BL108,βοηθητικό!$J$2:$N$354,3,FALSE))</f>
        <v>_</v>
      </c>
      <c r="BN108" s="44"/>
      <c r="BO108" s="45" t="s">
        <v>16</v>
      </c>
      <c r="BP108" s="46" t="str">
        <f>IF(VLOOKUP(BO108,βοηθητικό!$J$2:$N$354,3,FALSE)="","",VLOOKUP(BO108,βοηθητικό!$J$2:$N$354,3,FALSE))</f>
        <v>_</v>
      </c>
      <c r="BQ108" s="47"/>
      <c r="BR108" s="42" t="s">
        <v>16</v>
      </c>
      <c r="BS108" s="43" t="str">
        <f>IF(VLOOKUP(BR108,βοηθητικό!$J$2:$N$354,3,FALSE)="","",VLOOKUP(BR108,βοηθητικό!$J$2:$N$354,3,FALSE))</f>
        <v>_</v>
      </c>
      <c r="BT108" s="44"/>
      <c r="BU108" s="45" t="s">
        <v>16</v>
      </c>
      <c r="BV108" s="46" t="str">
        <f>IF(VLOOKUP(BU108,βοηθητικό!$J$2:$N$354,3,FALSE)="","",VLOOKUP(BU108,βοηθητικό!$J$2:$N$354,3,FALSE))</f>
        <v>_</v>
      </c>
      <c r="BW108" s="47"/>
      <c r="BX108" s="42" t="s">
        <v>16</v>
      </c>
      <c r="BY108" s="43" t="str">
        <f>IF(VLOOKUP(BX108,βοηθητικό!$J$2:$N$354,3,FALSE)="","",VLOOKUP(BX108,βοηθητικό!$J$2:$N$354,3,FALSE))</f>
        <v>_</v>
      </c>
      <c r="BZ108" s="44"/>
      <c r="CA108" s="45" t="s">
        <v>16</v>
      </c>
      <c r="CB108" s="46" t="str">
        <f>IF(VLOOKUP(CA108,βοηθητικό!$J$2:$N$354,3,FALSE)="","",VLOOKUP(CA108,βοηθητικό!$J$2:$N$354,3,FALSE))</f>
        <v>_</v>
      </c>
      <c r="CC108" s="47"/>
      <c r="CD108" s="42" t="s">
        <v>16</v>
      </c>
      <c r="CE108" s="43" t="str">
        <f>IF(VLOOKUP(CD108,βοηθητικό!$J$2:$N$354,3,FALSE)="","",VLOOKUP(CD108,βοηθητικό!$J$2:$N$354,3,FALSE))</f>
        <v>_</v>
      </c>
      <c r="CF108" s="44"/>
      <c r="CG108" s="45" t="s">
        <v>16</v>
      </c>
      <c r="CH108" s="46" t="str">
        <f>IF(VLOOKUP(CG108,βοηθητικό!$J$2:$N$354,3,FALSE)="","",VLOOKUP(CG108,βοηθητικό!$J$2:$N$354,3,FALSE))</f>
        <v>_</v>
      </c>
      <c r="CI108" s="47"/>
      <c r="CJ108" s="42" t="s">
        <v>16</v>
      </c>
      <c r="CK108" s="43" t="str">
        <f>IF(VLOOKUP(CJ108,βοηθητικό!$J$2:$N$354,3,FALSE)="","",VLOOKUP(CJ108,βοηθητικό!$J$2:$N$354,3,FALSE))</f>
        <v>_</v>
      </c>
      <c r="CL108" s="44"/>
      <c r="CM108" s="45" t="s">
        <v>16</v>
      </c>
      <c r="CN108" s="46" t="str">
        <f>IF(VLOOKUP(CM108,βοηθητικό!$J$2:$N$354,3,FALSE)="","",VLOOKUP(CM108,βοηθητικό!$J$2:$N$354,3,FALSE))</f>
        <v>_</v>
      </c>
      <c r="CO108" s="47"/>
      <c r="CP108" s="42" t="s">
        <v>16</v>
      </c>
      <c r="CQ108" s="43" t="str">
        <f>IF(VLOOKUP(CP108,βοηθητικό!$J$2:$N$354,3,FALSE)="","",VLOOKUP(CP108,βοηθητικό!$J$2:$N$354,3,FALSE))</f>
        <v>_</v>
      </c>
      <c r="CR108" s="44"/>
      <c r="CS108" s="45" t="s">
        <v>16</v>
      </c>
      <c r="CT108" s="46" t="str">
        <f>IF(VLOOKUP(CS108,βοηθητικό!$J$2:$N$354,3,FALSE)="","",VLOOKUP(CS108,βοηθητικό!$J$2:$N$354,3,FALSE))</f>
        <v>_</v>
      </c>
      <c r="CU108" s="47"/>
    </row>
    <row r="109" spans="1:99" x14ac:dyDescent="0.25">
      <c r="A109" s="37">
        <f>--SUBTOTAL(3,$B$3:B108)</f>
        <v>106</v>
      </c>
      <c r="B109" s="68">
        <v>45124</v>
      </c>
      <c r="C109" s="69">
        <v>45130</v>
      </c>
      <c r="D109" s="58" t="s">
        <v>127</v>
      </c>
      <c r="E109" s="38" t="s">
        <v>16</v>
      </c>
      <c r="F109" s="38" t="s">
        <v>16</v>
      </c>
      <c r="G109" s="39" t="str">
        <f t="shared" si="5"/>
        <v>__</v>
      </c>
      <c r="H109" s="40" t="str">
        <f t="shared" si="6"/>
        <v>FALSE</v>
      </c>
      <c r="I109" s="41">
        <f t="shared" si="7"/>
        <v>7</v>
      </c>
      <c r="J109" s="4" t="s">
        <v>1424</v>
      </c>
      <c r="K109" s="43" t="str">
        <f>IF(VLOOKUP(J109,βοηθητικό!$J$2:$N$354,3,FALSE)="","",VLOOKUP(J109,βοηθητικό!$J$2:$N$354,3,FALSE))</f>
        <v>6970994433</v>
      </c>
      <c r="L109" s="44"/>
      <c r="M109" s="5" t="s">
        <v>1421</v>
      </c>
      <c r="N109" s="46" t="str">
        <f>IF(VLOOKUP(M109,βοηθητικό!$J$2:$N$354,3,FALSE)="","",VLOOKUP(M109,βοηθητικό!$J$2:$N$354,3,FALSE))</f>
        <v>6948112484</v>
      </c>
      <c r="O109" s="47"/>
      <c r="P109" s="4" t="s">
        <v>1443</v>
      </c>
      <c r="Q109" s="43" t="str">
        <f>IF(VLOOKUP(P109,βοηθητικό!$J$2:$N$354,3,FALSE)="","",VLOOKUP(P109,βοηθητικό!$J$2:$N$354,3,FALSE))</f>
        <v>6947937446</v>
      </c>
      <c r="R109" s="44"/>
      <c r="S109" s="5" t="s">
        <v>1476</v>
      </c>
      <c r="T109" s="46" t="str">
        <f>IF(VLOOKUP(S109,βοηθητικό!$J$2:$N$354,3,FALSE)="","",VLOOKUP(S109,βοηθητικό!$J$2:$N$354,3,FALSE))</f>
        <v>6946808213</v>
      </c>
      <c r="U109" s="47"/>
      <c r="V109" s="4" t="s">
        <v>1428</v>
      </c>
      <c r="W109" s="43" t="str">
        <f>IF(VLOOKUP(V109,βοηθητικό!$J$2:$N$354,3,FALSE)="","",VLOOKUP(V109,βοηθητικό!$J$2:$N$354,3,FALSE))</f>
        <v>6984730924</v>
      </c>
      <c r="X109" s="44"/>
      <c r="Y109" s="5" t="s">
        <v>1440</v>
      </c>
      <c r="Z109" s="46" t="str">
        <f>IF(VLOOKUP(Y109,βοηθητικό!$J$2:$N$354,3,FALSE)="","",VLOOKUP(Y109,βοηθητικό!$J$2:$N$354,3,FALSE))</f>
        <v>6978143337</v>
      </c>
      <c r="AA109" s="47"/>
      <c r="AB109" s="4" t="s">
        <v>1414</v>
      </c>
      <c r="AC109" s="43" t="str">
        <f>IF(VLOOKUP(AB109,βοηθητικό!$J$2:$N$354,3,FALSE)="","",VLOOKUP(AB109,βοηθητικό!$J$2:$N$354,3,FALSE))</f>
        <v>6908866517</v>
      </c>
      <c r="AD109" s="44"/>
      <c r="AE109" s="5" t="s">
        <v>16</v>
      </c>
      <c r="AF109" s="46" t="str">
        <f>IF(VLOOKUP(AE109,βοηθητικό!$J$2:$N$354,3,FALSE)="","",VLOOKUP(AE109,βοηθητικό!$J$2:$N$354,3,FALSE))</f>
        <v>_</v>
      </c>
      <c r="AG109" s="47"/>
      <c r="AH109" s="4" t="s">
        <v>16</v>
      </c>
      <c r="AI109" s="43" t="str">
        <f>IF(VLOOKUP(AH109,βοηθητικό!$J$2:$N$354,3,FALSE)="","",VLOOKUP(AH109,βοηθητικό!$J$2:$N$354,3,FALSE))</f>
        <v>_</v>
      </c>
      <c r="AJ109" s="44"/>
      <c r="AK109" s="5" t="s">
        <v>16</v>
      </c>
      <c r="AL109" s="46" t="str">
        <f>IF(VLOOKUP(AK109,βοηθητικό!$J$2:$N$354,3,FALSE)="","",VLOOKUP(AK109,βοηθητικό!$J$2:$N$354,3,FALSE))</f>
        <v>_</v>
      </c>
      <c r="AM109" s="47"/>
      <c r="AN109" s="4" t="s">
        <v>16</v>
      </c>
      <c r="AO109" s="43" t="str">
        <f>IF(VLOOKUP(AN109,βοηθητικό!$J$2:$N$354,3,FALSE)="","",VLOOKUP(AN109,βοηθητικό!$J$2:$N$354,3,FALSE))</f>
        <v>_</v>
      </c>
      <c r="AP109" s="44"/>
      <c r="AQ109" s="5" t="s">
        <v>16</v>
      </c>
      <c r="AR109" s="46" t="str">
        <f>IF(VLOOKUP(AQ109,βοηθητικό!$J$2:$N$354,3,FALSE)="","",VLOOKUP(AQ109,βοηθητικό!$J$2:$N$354,3,FALSE))</f>
        <v>_</v>
      </c>
      <c r="AS109" s="47"/>
      <c r="AT109" s="4" t="s">
        <v>16</v>
      </c>
      <c r="AU109" s="43" t="str">
        <f>IF(VLOOKUP(AT109,βοηθητικό!$J$2:$N$354,3,FALSE)="","",VLOOKUP(AT109,βοηθητικό!$J$2:$N$354,3,FALSE))</f>
        <v>_</v>
      </c>
      <c r="AV109" s="44"/>
      <c r="AW109" s="5" t="s">
        <v>16</v>
      </c>
      <c r="AX109" s="46" t="str">
        <f>IF(VLOOKUP(AW109,βοηθητικό!$J$2:$N$354,3,FALSE)="","",VLOOKUP(AW109,βοηθητικό!$J$2:$N$354,3,FALSE))</f>
        <v>_</v>
      </c>
      <c r="AY109" s="47"/>
      <c r="AZ109" s="4" t="s">
        <v>16</v>
      </c>
      <c r="BA109" s="43" t="str">
        <f>IF(VLOOKUP(AZ109,βοηθητικό!$J$2:$N$354,3,FALSE)="","",VLOOKUP(AZ109,βοηθητικό!$J$2:$N$354,3,FALSE))</f>
        <v>_</v>
      </c>
      <c r="BB109" s="44"/>
      <c r="BC109" s="45" t="s">
        <v>16</v>
      </c>
      <c r="BD109" s="46" t="str">
        <f>IF(VLOOKUP(BC109,βοηθητικό!$J$2:$N$354,3,FALSE)="","",VLOOKUP(BC109,βοηθητικό!$J$2:$N$354,3,FALSE))</f>
        <v>_</v>
      </c>
      <c r="BE109" s="47"/>
      <c r="BF109" s="42" t="s">
        <v>16</v>
      </c>
      <c r="BG109" s="43" t="str">
        <f>IF(VLOOKUP(BF109,βοηθητικό!$J$2:$N$354,3,FALSE)="","",VLOOKUP(BF109,βοηθητικό!$J$2:$N$354,3,FALSE))</f>
        <v>_</v>
      </c>
      <c r="BH109" s="44"/>
      <c r="BI109" s="45" t="s">
        <v>16</v>
      </c>
      <c r="BJ109" s="46" t="str">
        <f>IF(VLOOKUP(BI109,βοηθητικό!$J$2:$N$354,3,FALSE)="","",VLOOKUP(BI109,βοηθητικό!$J$2:$N$354,3,FALSE))</f>
        <v>_</v>
      </c>
      <c r="BK109" s="47"/>
      <c r="BL109" s="42" t="s">
        <v>16</v>
      </c>
      <c r="BM109" s="43" t="str">
        <f>IF(VLOOKUP(BL109,βοηθητικό!$J$2:$N$354,3,FALSE)="","",VLOOKUP(BL109,βοηθητικό!$J$2:$N$354,3,FALSE))</f>
        <v>_</v>
      </c>
      <c r="BN109" s="44"/>
      <c r="BO109" s="45" t="s">
        <v>16</v>
      </c>
      <c r="BP109" s="46" t="str">
        <f>IF(VLOOKUP(BO109,βοηθητικό!$J$2:$N$354,3,FALSE)="","",VLOOKUP(BO109,βοηθητικό!$J$2:$N$354,3,FALSE))</f>
        <v>_</v>
      </c>
      <c r="BQ109" s="47"/>
      <c r="BR109" s="42" t="s">
        <v>16</v>
      </c>
      <c r="BS109" s="43" t="str">
        <f>IF(VLOOKUP(BR109,βοηθητικό!$J$2:$N$354,3,FALSE)="","",VLOOKUP(BR109,βοηθητικό!$J$2:$N$354,3,FALSE))</f>
        <v>_</v>
      </c>
      <c r="BT109" s="44"/>
      <c r="BU109" s="45" t="s">
        <v>16</v>
      </c>
      <c r="BV109" s="46" t="str">
        <f>IF(VLOOKUP(BU109,βοηθητικό!$J$2:$N$354,3,FALSE)="","",VLOOKUP(BU109,βοηθητικό!$J$2:$N$354,3,FALSE))</f>
        <v>_</v>
      </c>
      <c r="BW109" s="47"/>
      <c r="BX109" s="42" t="s">
        <v>16</v>
      </c>
      <c r="BY109" s="43" t="str">
        <f>IF(VLOOKUP(BX109,βοηθητικό!$J$2:$N$354,3,FALSE)="","",VLOOKUP(BX109,βοηθητικό!$J$2:$N$354,3,FALSE))</f>
        <v>_</v>
      </c>
      <c r="BZ109" s="44"/>
      <c r="CA109" s="45" t="s">
        <v>16</v>
      </c>
      <c r="CB109" s="46" t="str">
        <f>IF(VLOOKUP(CA109,βοηθητικό!$J$2:$N$354,3,FALSE)="","",VLOOKUP(CA109,βοηθητικό!$J$2:$N$354,3,FALSE))</f>
        <v>_</v>
      </c>
      <c r="CC109" s="47"/>
      <c r="CD109" s="42" t="s">
        <v>16</v>
      </c>
      <c r="CE109" s="43" t="str">
        <f>IF(VLOOKUP(CD109,βοηθητικό!$J$2:$N$354,3,FALSE)="","",VLOOKUP(CD109,βοηθητικό!$J$2:$N$354,3,FALSE))</f>
        <v>_</v>
      </c>
      <c r="CF109" s="44"/>
      <c r="CG109" s="45" t="s">
        <v>16</v>
      </c>
      <c r="CH109" s="46" t="str">
        <f>IF(VLOOKUP(CG109,βοηθητικό!$J$2:$N$354,3,FALSE)="","",VLOOKUP(CG109,βοηθητικό!$J$2:$N$354,3,FALSE))</f>
        <v>_</v>
      </c>
      <c r="CI109" s="47"/>
      <c r="CJ109" s="42" t="s">
        <v>16</v>
      </c>
      <c r="CK109" s="43" t="str">
        <f>IF(VLOOKUP(CJ109,βοηθητικό!$J$2:$N$354,3,FALSE)="","",VLOOKUP(CJ109,βοηθητικό!$J$2:$N$354,3,FALSE))</f>
        <v>_</v>
      </c>
      <c r="CL109" s="44"/>
      <c r="CM109" s="45" t="s">
        <v>16</v>
      </c>
      <c r="CN109" s="46" t="str">
        <f>IF(VLOOKUP(CM109,βοηθητικό!$J$2:$N$354,3,FALSE)="","",VLOOKUP(CM109,βοηθητικό!$J$2:$N$354,3,FALSE))</f>
        <v>_</v>
      </c>
      <c r="CO109" s="47"/>
      <c r="CP109" s="42" t="s">
        <v>16</v>
      </c>
      <c r="CQ109" s="43" t="str">
        <f>IF(VLOOKUP(CP109,βοηθητικό!$J$2:$N$354,3,FALSE)="","",VLOOKUP(CP109,βοηθητικό!$J$2:$N$354,3,FALSE))</f>
        <v>_</v>
      </c>
      <c r="CR109" s="44"/>
      <c r="CS109" s="45" t="s">
        <v>16</v>
      </c>
      <c r="CT109" s="46" t="str">
        <f>IF(VLOOKUP(CS109,βοηθητικό!$J$2:$N$354,3,FALSE)="","",VLOOKUP(CS109,βοηθητικό!$J$2:$N$354,3,FALSE))</f>
        <v>_</v>
      </c>
      <c r="CU109" s="47"/>
    </row>
    <row r="110" spans="1:99" x14ac:dyDescent="0.25">
      <c r="A110" s="37">
        <f>--SUBTOTAL(3,$B$3:B109)</f>
        <v>107</v>
      </c>
      <c r="B110" s="68">
        <v>45131</v>
      </c>
      <c r="C110" s="69">
        <v>45137</v>
      </c>
      <c r="D110" s="58" t="s">
        <v>127</v>
      </c>
      <c r="E110" s="38" t="s">
        <v>16</v>
      </c>
      <c r="F110" s="38" t="s">
        <v>16</v>
      </c>
      <c r="G110" s="39" t="str">
        <f t="shared" si="5"/>
        <v>__</v>
      </c>
      <c r="H110" s="40" t="str">
        <f t="shared" si="6"/>
        <v>FALSE</v>
      </c>
      <c r="I110" s="41">
        <f t="shared" si="7"/>
        <v>7</v>
      </c>
      <c r="J110" s="4" t="s">
        <v>1461</v>
      </c>
      <c r="K110" s="43" t="str">
        <f>IF(VLOOKUP(J110,βοηθητικό!$J$2:$N$354,3,FALSE)="","",VLOOKUP(J110,βοηθητικό!$J$2:$N$354,3,FALSE))</f>
        <v>6949802689</v>
      </c>
      <c r="L110" s="44"/>
      <c r="M110" s="5" t="s">
        <v>1496</v>
      </c>
      <c r="N110" s="46" t="str">
        <f>IF(VLOOKUP(M110,βοηθητικό!$J$2:$N$354,3,FALSE)="","",VLOOKUP(M110,βοηθητικό!$J$2:$N$354,3,FALSE))</f>
        <v>6940821569</v>
      </c>
      <c r="O110" s="47"/>
      <c r="P110" s="4" t="s">
        <v>1479</v>
      </c>
      <c r="Q110" s="43" t="str">
        <f>IF(VLOOKUP(P110,βοηθητικό!$J$2:$N$354,3,FALSE)="","",VLOOKUP(P110,βοηθητικό!$J$2:$N$354,3,FALSE))</f>
        <v>6972254244</v>
      </c>
      <c r="R110" s="44"/>
      <c r="S110" s="5" t="s">
        <v>1499</v>
      </c>
      <c r="T110" s="46" t="str">
        <f>IF(VLOOKUP(S110,βοηθητικό!$J$2:$N$354,3,FALSE)="","",VLOOKUP(S110,βοηθητικό!$J$2:$N$354,3,FALSE))</f>
        <v>6946014358</v>
      </c>
      <c r="U110" s="47"/>
      <c r="V110" s="4" t="s">
        <v>1417</v>
      </c>
      <c r="W110" s="43" t="str">
        <f>IF(VLOOKUP(V110,βοηθητικό!$J$2:$N$354,3,FALSE)="","",VLOOKUP(V110,βοηθητικό!$J$2:$N$354,3,FALSE))</f>
        <v>6932436923</v>
      </c>
      <c r="X110" s="44"/>
      <c r="Y110" s="5" t="s">
        <v>1470</v>
      </c>
      <c r="Z110" s="46">
        <f>IF(VLOOKUP(Y110,βοηθητικό!$J$2:$N$354,3,FALSE)="","",VLOOKUP(Y110,βοηθητικό!$J$2:$N$354,3,FALSE))</f>
        <v>6946954972</v>
      </c>
      <c r="AA110" s="47"/>
      <c r="AB110" s="4" t="s">
        <v>1437</v>
      </c>
      <c r="AC110" s="43" t="str">
        <f>IF(VLOOKUP(AB110,βοηθητικό!$J$2:$N$354,3,FALSE)="","",VLOOKUP(AB110,βοηθητικό!$J$2:$N$354,3,FALSE))</f>
        <v>6971594645</v>
      </c>
      <c r="AD110" s="44"/>
      <c r="AE110" s="5" t="s">
        <v>16</v>
      </c>
      <c r="AF110" s="46" t="str">
        <f>IF(VLOOKUP(AE110,βοηθητικό!$J$2:$N$354,3,FALSE)="","",VLOOKUP(AE110,βοηθητικό!$J$2:$N$354,3,FALSE))</f>
        <v>_</v>
      </c>
      <c r="AG110" s="47"/>
      <c r="AH110" s="4" t="s">
        <v>16</v>
      </c>
      <c r="AI110" s="43" t="str">
        <f>IF(VLOOKUP(AH110,βοηθητικό!$J$2:$N$354,3,FALSE)="","",VLOOKUP(AH110,βοηθητικό!$J$2:$N$354,3,FALSE))</f>
        <v>_</v>
      </c>
      <c r="AJ110" s="44"/>
      <c r="AK110" s="5" t="s">
        <v>16</v>
      </c>
      <c r="AL110" s="46" t="str">
        <f>IF(VLOOKUP(AK110,βοηθητικό!$J$2:$N$354,3,FALSE)="","",VLOOKUP(AK110,βοηθητικό!$J$2:$N$354,3,FALSE))</f>
        <v>_</v>
      </c>
      <c r="AM110" s="47"/>
      <c r="AN110" s="4" t="s">
        <v>16</v>
      </c>
      <c r="AO110" s="43" t="str">
        <f>IF(VLOOKUP(AN110,βοηθητικό!$J$2:$N$354,3,FALSE)="","",VLOOKUP(AN110,βοηθητικό!$J$2:$N$354,3,FALSE))</f>
        <v>_</v>
      </c>
      <c r="AP110" s="44"/>
      <c r="AQ110" s="5" t="s">
        <v>16</v>
      </c>
      <c r="AR110" s="46" t="str">
        <f>IF(VLOOKUP(AQ110,βοηθητικό!$J$2:$N$354,3,FALSE)="","",VLOOKUP(AQ110,βοηθητικό!$J$2:$N$354,3,FALSE))</f>
        <v>_</v>
      </c>
      <c r="AS110" s="47"/>
      <c r="AT110" s="4" t="s">
        <v>16</v>
      </c>
      <c r="AU110" s="43" t="str">
        <f>IF(VLOOKUP(AT110,βοηθητικό!$J$2:$N$354,3,FALSE)="","",VLOOKUP(AT110,βοηθητικό!$J$2:$N$354,3,FALSE))</f>
        <v>_</v>
      </c>
      <c r="AV110" s="44"/>
      <c r="AW110" s="5" t="s">
        <v>16</v>
      </c>
      <c r="AX110" s="46" t="str">
        <f>IF(VLOOKUP(AW110,βοηθητικό!$J$2:$N$354,3,FALSE)="","",VLOOKUP(AW110,βοηθητικό!$J$2:$N$354,3,FALSE))</f>
        <v>_</v>
      </c>
      <c r="AY110" s="47"/>
      <c r="AZ110" s="4" t="s">
        <v>16</v>
      </c>
      <c r="BA110" s="43" t="str">
        <f>IF(VLOOKUP(AZ110,βοηθητικό!$J$2:$N$354,3,FALSE)="","",VLOOKUP(AZ110,βοηθητικό!$J$2:$N$354,3,FALSE))</f>
        <v>_</v>
      </c>
      <c r="BB110" s="44"/>
      <c r="BC110" s="45" t="s">
        <v>16</v>
      </c>
      <c r="BD110" s="46" t="str">
        <f>IF(VLOOKUP(BC110,βοηθητικό!$J$2:$N$354,3,FALSE)="","",VLOOKUP(BC110,βοηθητικό!$J$2:$N$354,3,FALSE))</f>
        <v>_</v>
      </c>
      <c r="BE110" s="47"/>
      <c r="BF110" s="42" t="s">
        <v>16</v>
      </c>
      <c r="BG110" s="43" t="str">
        <f>IF(VLOOKUP(BF110,βοηθητικό!$J$2:$N$354,3,FALSE)="","",VLOOKUP(BF110,βοηθητικό!$J$2:$N$354,3,FALSE))</f>
        <v>_</v>
      </c>
      <c r="BH110" s="44"/>
      <c r="BI110" s="45" t="s">
        <v>16</v>
      </c>
      <c r="BJ110" s="46" t="str">
        <f>IF(VLOOKUP(BI110,βοηθητικό!$J$2:$N$354,3,FALSE)="","",VLOOKUP(BI110,βοηθητικό!$J$2:$N$354,3,FALSE))</f>
        <v>_</v>
      </c>
      <c r="BK110" s="47"/>
      <c r="BL110" s="42" t="s">
        <v>16</v>
      </c>
      <c r="BM110" s="43" t="str">
        <f>IF(VLOOKUP(BL110,βοηθητικό!$J$2:$N$354,3,FALSE)="","",VLOOKUP(BL110,βοηθητικό!$J$2:$N$354,3,FALSE))</f>
        <v>_</v>
      </c>
      <c r="BN110" s="44"/>
      <c r="BO110" s="45" t="s">
        <v>16</v>
      </c>
      <c r="BP110" s="46" t="str">
        <f>IF(VLOOKUP(BO110,βοηθητικό!$J$2:$N$354,3,FALSE)="","",VLOOKUP(BO110,βοηθητικό!$J$2:$N$354,3,FALSE))</f>
        <v>_</v>
      </c>
      <c r="BQ110" s="47"/>
      <c r="BR110" s="42" t="s">
        <v>16</v>
      </c>
      <c r="BS110" s="43" t="str">
        <f>IF(VLOOKUP(BR110,βοηθητικό!$J$2:$N$354,3,FALSE)="","",VLOOKUP(BR110,βοηθητικό!$J$2:$N$354,3,FALSE))</f>
        <v>_</v>
      </c>
      <c r="BT110" s="44"/>
      <c r="BU110" s="45" t="s">
        <v>16</v>
      </c>
      <c r="BV110" s="46" t="str">
        <f>IF(VLOOKUP(BU110,βοηθητικό!$J$2:$N$354,3,FALSE)="","",VLOOKUP(BU110,βοηθητικό!$J$2:$N$354,3,FALSE))</f>
        <v>_</v>
      </c>
      <c r="BW110" s="47"/>
      <c r="BX110" s="42" t="s">
        <v>16</v>
      </c>
      <c r="BY110" s="43" t="str">
        <f>IF(VLOOKUP(BX110,βοηθητικό!$J$2:$N$354,3,FALSE)="","",VLOOKUP(BX110,βοηθητικό!$J$2:$N$354,3,FALSE))</f>
        <v>_</v>
      </c>
      <c r="BZ110" s="44"/>
      <c r="CA110" s="45" t="s">
        <v>16</v>
      </c>
      <c r="CB110" s="46" t="str">
        <f>IF(VLOOKUP(CA110,βοηθητικό!$J$2:$N$354,3,FALSE)="","",VLOOKUP(CA110,βοηθητικό!$J$2:$N$354,3,FALSE))</f>
        <v>_</v>
      </c>
      <c r="CC110" s="47"/>
      <c r="CD110" s="42" t="s">
        <v>16</v>
      </c>
      <c r="CE110" s="43" t="str">
        <f>IF(VLOOKUP(CD110,βοηθητικό!$J$2:$N$354,3,FALSE)="","",VLOOKUP(CD110,βοηθητικό!$J$2:$N$354,3,FALSE))</f>
        <v>_</v>
      </c>
      <c r="CF110" s="44"/>
      <c r="CG110" s="45" t="s">
        <v>16</v>
      </c>
      <c r="CH110" s="46" t="str">
        <f>IF(VLOOKUP(CG110,βοηθητικό!$J$2:$N$354,3,FALSE)="","",VLOOKUP(CG110,βοηθητικό!$J$2:$N$354,3,FALSE))</f>
        <v>_</v>
      </c>
      <c r="CI110" s="47"/>
      <c r="CJ110" s="42" t="s">
        <v>16</v>
      </c>
      <c r="CK110" s="43" t="str">
        <f>IF(VLOOKUP(CJ110,βοηθητικό!$J$2:$N$354,3,FALSE)="","",VLOOKUP(CJ110,βοηθητικό!$J$2:$N$354,3,FALSE))</f>
        <v>_</v>
      </c>
      <c r="CL110" s="44"/>
      <c r="CM110" s="45" t="s">
        <v>16</v>
      </c>
      <c r="CN110" s="46" t="str">
        <f>IF(VLOOKUP(CM110,βοηθητικό!$J$2:$N$354,3,FALSE)="","",VLOOKUP(CM110,βοηθητικό!$J$2:$N$354,3,FALSE))</f>
        <v>_</v>
      </c>
      <c r="CO110" s="47"/>
      <c r="CP110" s="42" t="s">
        <v>16</v>
      </c>
      <c r="CQ110" s="43" t="str">
        <f>IF(VLOOKUP(CP110,βοηθητικό!$J$2:$N$354,3,FALSE)="","",VLOOKUP(CP110,βοηθητικό!$J$2:$N$354,3,FALSE))</f>
        <v>_</v>
      </c>
      <c r="CR110" s="44"/>
      <c r="CS110" s="45" t="s">
        <v>16</v>
      </c>
      <c r="CT110" s="46" t="str">
        <f>IF(VLOOKUP(CS110,βοηθητικό!$J$2:$N$354,3,FALSE)="","",VLOOKUP(CS110,βοηθητικό!$J$2:$N$354,3,FALSE))</f>
        <v>_</v>
      </c>
      <c r="CU110" s="47"/>
    </row>
    <row r="111" spans="1:99" x14ac:dyDescent="0.25">
      <c r="A111" s="37">
        <f>--SUBTOTAL(3,$B$3:B110)</f>
        <v>108</v>
      </c>
      <c r="B111" s="2">
        <v>45138</v>
      </c>
      <c r="C111" s="3">
        <v>45144</v>
      </c>
      <c r="D111" s="57" t="s">
        <v>33</v>
      </c>
      <c r="E111" s="38" t="s">
        <v>16</v>
      </c>
      <c r="F111" s="38" t="s">
        <v>16</v>
      </c>
      <c r="G111" s="39" t="str">
        <f t="shared" si="5"/>
        <v>__</v>
      </c>
      <c r="H111" s="40" t="str">
        <f t="shared" si="6"/>
        <v>FALSE</v>
      </c>
      <c r="I111" s="41">
        <f t="shared" si="7"/>
        <v>10</v>
      </c>
      <c r="J111" s="4" t="s">
        <v>232</v>
      </c>
      <c r="K111" s="43" t="str">
        <f>IF(VLOOKUP(J111,βοηθητικό!$J$2:$N$354,3,FALSE)="","",VLOOKUP(J111,βοηθητικό!$J$2:$N$354,3,FALSE))</f>
        <v>6978333742</v>
      </c>
      <c r="L111" s="44"/>
      <c r="M111" s="5" t="s">
        <v>313</v>
      </c>
      <c r="N111" s="46" t="str">
        <f>IF(VLOOKUP(M111,βοηθητικό!$J$2:$N$354,3,FALSE)="","",VLOOKUP(M111,βοηθητικό!$J$2:$N$354,3,FALSE))</f>
        <v>6947932494</v>
      </c>
      <c r="O111" s="47"/>
      <c r="P111" s="4" t="s">
        <v>192</v>
      </c>
      <c r="Q111" s="43" t="str">
        <f>IF(VLOOKUP(P111,βοηθητικό!$J$2:$N$354,3,FALSE)="","",VLOOKUP(P111,βοηθητικό!$J$2:$N$354,3,FALSE))</f>
        <v>6942926446</v>
      </c>
      <c r="R111" s="44"/>
      <c r="S111" s="5" t="s">
        <v>203</v>
      </c>
      <c r="T111" s="46" t="str">
        <f>IF(VLOOKUP(S111,βοηθητικό!$J$2:$N$354,3,FALSE)="","",VLOOKUP(S111,βοηθητικό!$J$2:$N$354,3,FALSE))</f>
        <v>6984435383</v>
      </c>
      <c r="U111" s="47"/>
      <c r="V111" s="4" t="s">
        <v>266</v>
      </c>
      <c r="W111" s="43" t="str">
        <f>IF(VLOOKUP(V111,βοηθητικό!$J$2:$N$354,3,FALSE)="","",VLOOKUP(V111,βοηθητικό!$J$2:$N$354,3,FALSE))</f>
        <v>6947449447</v>
      </c>
      <c r="X111" s="44"/>
      <c r="Y111" s="5" t="s">
        <v>301</v>
      </c>
      <c r="Z111" s="46" t="str">
        <f>IF(VLOOKUP(Y111,βοηθητικό!$J$2:$N$354,3,FALSE)="","",VLOOKUP(Y111,βοηθητικό!$J$2:$N$354,3,FALSE))</f>
        <v>6944744680</v>
      </c>
      <c r="AA111" s="47"/>
      <c r="AB111" s="4" t="s">
        <v>132</v>
      </c>
      <c r="AC111" s="43" t="str">
        <f>IF(VLOOKUP(AB111,βοηθητικό!$J$2:$N$354,3,FALSE)="","",VLOOKUP(AB111,βοηθητικό!$J$2:$N$354,3,FALSE))</f>
        <v>6932853641</v>
      </c>
      <c r="AD111" s="44"/>
      <c r="AE111" s="5" t="s">
        <v>255</v>
      </c>
      <c r="AF111" s="46" t="str">
        <f>IF(VLOOKUP(AE111,βοηθητικό!$J$2:$N$354,3,FALSE)="","",VLOOKUP(AE111,βοηθητικό!$J$2:$N$354,3,FALSE))</f>
        <v>6973803702</v>
      </c>
      <c r="AG111" s="47"/>
      <c r="AH111" s="4" t="s">
        <v>389</v>
      </c>
      <c r="AI111" s="43" t="str">
        <f>IF(VLOOKUP(AH111,βοηθητικό!$J$2:$N$354,3,FALSE)="","",VLOOKUP(AH111,βοηθητικό!$J$2:$N$354,3,FALSE))</f>
        <v>6974050289</v>
      </c>
      <c r="AJ111" s="44"/>
      <c r="AK111" s="5" t="s">
        <v>406</v>
      </c>
      <c r="AL111" s="46" t="str">
        <f>IF(VLOOKUP(AK111,βοηθητικό!$J$2:$N$354,3,FALSE)="","",VLOOKUP(AK111,βοηθητικό!$J$2:$N$354,3,FALSE))</f>
        <v>2310450093</v>
      </c>
      <c r="AM111" s="47"/>
      <c r="AN111" s="4" t="s">
        <v>16</v>
      </c>
      <c r="AO111" s="43" t="str">
        <f>IF(VLOOKUP(AN111,βοηθητικό!$J$2:$N$354,3,FALSE)="","",VLOOKUP(AN111,βοηθητικό!$J$2:$N$354,3,FALSE))</f>
        <v>_</v>
      </c>
      <c r="AP111" s="44"/>
      <c r="AQ111" s="5" t="s">
        <v>16</v>
      </c>
      <c r="AR111" s="46" t="str">
        <f>IF(VLOOKUP(AQ111,βοηθητικό!$J$2:$N$354,3,FALSE)="","",VLOOKUP(AQ111,βοηθητικό!$J$2:$N$354,3,FALSE))</f>
        <v>_</v>
      </c>
      <c r="AS111" s="47"/>
      <c r="AT111" s="4" t="s">
        <v>16</v>
      </c>
      <c r="AU111" s="43" t="str">
        <f>IF(VLOOKUP(AT111,βοηθητικό!$J$2:$N$354,3,FALSE)="","",VLOOKUP(AT111,βοηθητικό!$J$2:$N$354,3,FALSE))</f>
        <v>_</v>
      </c>
      <c r="AV111" s="44"/>
      <c r="AW111" s="5" t="s">
        <v>16</v>
      </c>
      <c r="AX111" s="46" t="str">
        <f>IF(VLOOKUP(AW111,βοηθητικό!$J$2:$N$354,3,FALSE)="","",VLOOKUP(AW111,βοηθητικό!$J$2:$N$354,3,FALSE))</f>
        <v>_</v>
      </c>
      <c r="AY111" s="47"/>
      <c r="AZ111" s="4" t="s">
        <v>16</v>
      </c>
      <c r="BA111" s="43" t="str">
        <f>IF(VLOOKUP(AZ111,βοηθητικό!$J$2:$N$354,3,FALSE)="","",VLOOKUP(AZ111,βοηθητικό!$J$2:$N$354,3,FALSE))</f>
        <v>_</v>
      </c>
      <c r="BB111" s="44"/>
      <c r="BC111" s="45" t="s">
        <v>16</v>
      </c>
      <c r="BD111" s="46" t="str">
        <f>IF(VLOOKUP(BC111,βοηθητικό!$J$2:$N$354,3,FALSE)="","",VLOOKUP(BC111,βοηθητικό!$J$2:$N$354,3,FALSE))</f>
        <v>_</v>
      </c>
      <c r="BE111" s="47"/>
      <c r="BF111" s="42" t="s">
        <v>16</v>
      </c>
      <c r="BG111" s="43" t="str">
        <f>IF(VLOOKUP(BF111,βοηθητικό!$J$2:$N$354,3,FALSE)="","",VLOOKUP(BF111,βοηθητικό!$J$2:$N$354,3,FALSE))</f>
        <v>_</v>
      </c>
      <c r="BH111" s="44"/>
      <c r="BI111" s="45" t="s">
        <v>16</v>
      </c>
      <c r="BJ111" s="46" t="str">
        <f>IF(VLOOKUP(BI111,βοηθητικό!$J$2:$N$354,3,FALSE)="","",VLOOKUP(BI111,βοηθητικό!$J$2:$N$354,3,FALSE))</f>
        <v>_</v>
      </c>
      <c r="BK111" s="47"/>
      <c r="BL111" s="42" t="s">
        <v>16</v>
      </c>
      <c r="BM111" s="43" t="str">
        <f>IF(VLOOKUP(BL111,βοηθητικό!$J$2:$N$354,3,FALSE)="","",VLOOKUP(BL111,βοηθητικό!$J$2:$N$354,3,FALSE))</f>
        <v>_</v>
      </c>
      <c r="BN111" s="44"/>
      <c r="BO111" s="45" t="s">
        <v>16</v>
      </c>
      <c r="BP111" s="46" t="str">
        <f>IF(VLOOKUP(BO111,βοηθητικό!$J$2:$N$354,3,FALSE)="","",VLOOKUP(BO111,βοηθητικό!$J$2:$N$354,3,FALSE))</f>
        <v>_</v>
      </c>
      <c r="BQ111" s="47"/>
      <c r="BR111" s="42" t="s">
        <v>16</v>
      </c>
      <c r="BS111" s="43" t="str">
        <f>IF(VLOOKUP(BR111,βοηθητικό!$J$2:$N$354,3,FALSE)="","",VLOOKUP(BR111,βοηθητικό!$J$2:$N$354,3,FALSE))</f>
        <v>_</v>
      </c>
      <c r="BT111" s="44"/>
      <c r="BU111" s="45" t="s">
        <v>16</v>
      </c>
      <c r="BV111" s="46" t="str">
        <f>IF(VLOOKUP(BU111,βοηθητικό!$J$2:$N$354,3,FALSE)="","",VLOOKUP(BU111,βοηθητικό!$J$2:$N$354,3,FALSE))</f>
        <v>_</v>
      </c>
      <c r="BW111" s="47"/>
      <c r="BX111" s="42" t="s">
        <v>16</v>
      </c>
      <c r="BY111" s="43" t="str">
        <f>IF(VLOOKUP(BX111,βοηθητικό!$J$2:$N$354,3,FALSE)="","",VLOOKUP(BX111,βοηθητικό!$J$2:$N$354,3,FALSE))</f>
        <v>_</v>
      </c>
      <c r="BZ111" s="44"/>
      <c r="CA111" s="45" t="s">
        <v>16</v>
      </c>
      <c r="CB111" s="46" t="str">
        <f>IF(VLOOKUP(CA111,βοηθητικό!$J$2:$N$354,3,FALSE)="","",VLOOKUP(CA111,βοηθητικό!$J$2:$N$354,3,FALSE))</f>
        <v>_</v>
      </c>
      <c r="CC111" s="47"/>
      <c r="CD111" s="42" t="s">
        <v>16</v>
      </c>
      <c r="CE111" s="43" t="str">
        <f>IF(VLOOKUP(CD111,βοηθητικό!$J$2:$N$354,3,FALSE)="","",VLOOKUP(CD111,βοηθητικό!$J$2:$N$354,3,FALSE))</f>
        <v>_</v>
      </c>
      <c r="CF111" s="44"/>
      <c r="CG111" s="45" t="s">
        <v>16</v>
      </c>
      <c r="CH111" s="46" t="str">
        <f>IF(VLOOKUP(CG111,βοηθητικό!$J$2:$N$354,3,FALSE)="","",VLOOKUP(CG111,βοηθητικό!$J$2:$N$354,3,FALSE))</f>
        <v>_</v>
      </c>
      <c r="CI111" s="47"/>
      <c r="CJ111" s="42" t="s">
        <v>16</v>
      </c>
      <c r="CK111" s="43" t="str">
        <f>IF(VLOOKUP(CJ111,βοηθητικό!$J$2:$N$354,3,FALSE)="","",VLOOKUP(CJ111,βοηθητικό!$J$2:$N$354,3,FALSE))</f>
        <v>_</v>
      </c>
      <c r="CL111" s="44"/>
      <c r="CM111" s="45" t="s">
        <v>16</v>
      </c>
      <c r="CN111" s="46" t="str">
        <f>IF(VLOOKUP(CM111,βοηθητικό!$J$2:$N$354,3,FALSE)="","",VLOOKUP(CM111,βοηθητικό!$J$2:$N$354,3,FALSE))</f>
        <v>_</v>
      </c>
      <c r="CO111" s="47"/>
      <c r="CP111" s="42" t="s">
        <v>16</v>
      </c>
      <c r="CQ111" s="43" t="str">
        <f>IF(VLOOKUP(CP111,βοηθητικό!$J$2:$N$354,3,FALSE)="","",VLOOKUP(CP111,βοηθητικό!$J$2:$N$354,3,FALSE))</f>
        <v>_</v>
      </c>
      <c r="CR111" s="44"/>
      <c r="CS111" s="45" t="s">
        <v>16</v>
      </c>
      <c r="CT111" s="46" t="str">
        <f>IF(VLOOKUP(CS111,βοηθητικό!$J$2:$N$354,3,FALSE)="","",VLOOKUP(CS111,βοηθητικό!$J$2:$N$354,3,FALSE))</f>
        <v>_</v>
      </c>
      <c r="CU111" s="47"/>
    </row>
    <row r="112" spans="1:99" x14ac:dyDescent="0.25">
      <c r="A112" s="37">
        <f>--SUBTOTAL(3,$B$3:B111)</f>
        <v>109</v>
      </c>
      <c r="B112" s="2">
        <v>45145</v>
      </c>
      <c r="C112" s="3">
        <v>45151</v>
      </c>
      <c r="D112" s="57" t="s">
        <v>33</v>
      </c>
      <c r="E112" s="38" t="s">
        <v>16</v>
      </c>
      <c r="F112" s="38" t="s">
        <v>16</v>
      </c>
      <c r="G112" s="39" t="str">
        <f t="shared" si="5"/>
        <v>__</v>
      </c>
      <c r="H112" s="40" t="str">
        <f t="shared" si="6"/>
        <v>FALSE</v>
      </c>
      <c r="I112" s="41">
        <f t="shared" si="7"/>
        <v>11</v>
      </c>
      <c r="J112" s="4" t="s">
        <v>197</v>
      </c>
      <c r="K112" s="43" t="str">
        <f>IF(VLOOKUP(J112,βοηθητικό!$J$2:$N$354,3,FALSE)="","",VLOOKUP(J112,βοηθητικό!$J$2:$N$354,3,FALSE))</f>
        <v>6976681245</v>
      </c>
      <c r="L112" s="44"/>
      <c r="M112" s="5" t="s">
        <v>271</v>
      </c>
      <c r="N112" s="46" t="str">
        <f>IF(VLOOKUP(M112,βοηθητικό!$J$2:$N$354,3,FALSE)="","",VLOOKUP(M112,βοηθητικό!$J$2:$N$354,3,FALSE))</f>
        <v>6944508818</v>
      </c>
      <c r="O112" s="47"/>
      <c r="P112" s="4" t="s">
        <v>384</v>
      </c>
      <c r="Q112" s="43" t="str">
        <f>IF(VLOOKUP(P112,βοηθητικό!$J$2:$N$354,3,FALSE)="","",VLOOKUP(P112,βοηθητικό!$J$2:$N$354,3,FALSE))</f>
        <v>6972712141</v>
      </c>
      <c r="R112" s="44"/>
      <c r="S112" s="5" t="s">
        <v>142</v>
      </c>
      <c r="T112" s="46" t="str">
        <f>IF(VLOOKUP(S112,βοηθητικό!$J$2:$N$354,3,FALSE)="","",VLOOKUP(S112,βοηθητικό!$J$2:$N$354,3,FALSE))</f>
        <v>6981400643</v>
      </c>
      <c r="U112" s="47"/>
      <c r="V112" s="4" t="s">
        <v>170</v>
      </c>
      <c r="W112" s="43" t="str">
        <f>IF(VLOOKUP(V112,βοηθητικό!$J$2:$N$354,3,FALSE)="","",VLOOKUP(V112,βοηθητικό!$J$2:$N$354,3,FALSE))</f>
        <v>6987268386</v>
      </c>
      <c r="X112" s="44"/>
      <c r="Y112" s="5" t="s">
        <v>455</v>
      </c>
      <c r="Z112" s="46" t="str">
        <f>IF(VLOOKUP(Y112,βοηθητικό!$J$2:$N$354,3,FALSE)="","",VLOOKUP(Y112,βοηθητικό!$J$2:$N$354,3,FALSE))</f>
        <v>6974815544</v>
      </c>
      <c r="AA112" s="47"/>
      <c r="AB112" s="4" t="s">
        <v>467</v>
      </c>
      <c r="AC112" s="43" t="str">
        <f>IF(VLOOKUP(AB112,βοηθητικό!$J$2:$N$354,3,FALSE)="","",VLOOKUP(AB112,βοηθητικό!$J$2:$N$354,3,FALSE))</f>
        <v>6949453697</v>
      </c>
      <c r="AD112" s="44"/>
      <c r="AE112" s="5" t="s">
        <v>161</v>
      </c>
      <c r="AF112" s="46" t="str">
        <f>IF(VLOOKUP(AE112,βοηθητικό!$J$2:$N$354,3,FALSE)="","",VLOOKUP(AE112,βοηθητικό!$J$2:$N$354,3,FALSE))</f>
        <v>6944899817</v>
      </c>
      <c r="AG112" s="47"/>
      <c r="AH112" s="4" t="s">
        <v>243</v>
      </c>
      <c r="AI112" s="43" t="str">
        <f>IF(VLOOKUP(AH112,βοηθητικό!$J$2:$N$354,3,FALSE)="","",VLOOKUP(AH112,βοηθητικό!$J$2:$N$354,3,FALSE))</f>
        <v>6983032595</v>
      </c>
      <c r="AJ112" s="44"/>
      <c r="AK112" s="5" t="s">
        <v>322</v>
      </c>
      <c r="AL112" s="46" t="str">
        <f>IF(VLOOKUP(AK112,βοηθητικό!$J$2:$N$354,3,FALSE)="","",VLOOKUP(AK112,βοηθητικό!$J$2:$N$354,3,FALSE))</f>
        <v>6947830538</v>
      </c>
      <c r="AM112" s="47"/>
      <c r="AN112" s="4" t="s">
        <v>463</v>
      </c>
      <c r="AO112" s="43" t="str">
        <f>IF(VLOOKUP(AN112,βοηθητικό!$J$2:$N$354,3,FALSE)="","",VLOOKUP(AN112,βοηθητικό!$J$2:$N$354,3,FALSE))</f>
        <v>6957171149</v>
      </c>
      <c r="AP112" s="44"/>
      <c r="AQ112" s="5" t="s">
        <v>16</v>
      </c>
      <c r="AR112" s="46" t="str">
        <f>IF(VLOOKUP(AQ112,βοηθητικό!$J$2:$N$354,3,FALSE)="","",VLOOKUP(AQ112,βοηθητικό!$J$2:$N$354,3,FALSE))</f>
        <v>_</v>
      </c>
      <c r="AS112" s="47"/>
      <c r="AT112" s="4" t="s">
        <v>16</v>
      </c>
      <c r="AU112" s="43" t="str">
        <f>IF(VLOOKUP(AT112,βοηθητικό!$J$2:$N$354,3,FALSE)="","",VLOOKUP(AT112,βοηθητικό!$J$2:$N$354,3,FALSE))</f>
        <v>_</v>
      </c>
      <c r="AV112" s="44"/>
      <c r="AW112" s="5" t="s">
        <v>16</v>
      </c>
      <c r="AX112" s="46" t="str">
        <f>IF(VLOOKUP(AW112,βοηθητικό!$J$2:$N$354,3,FALSE)="","",VLOOKUP(AW112,βοηθητικό!$J$2:$N$354,3,FALSE))</f>
        <v>_</v>
      </c>
      <c r="AY112" s="47"/>
      <c r="AZ112" s="4" t="s">
        <v>16</v>
      </c>
      <c r="BA112" s="43" t="str">
        <f>IF(VLOOKUP(AZ112,βοηθητικό!$J$2:$N$354,3,FALSE)="","",VLOOKUP(AZ112,βοηθητικό!$J$2:$N$354,3,FALSE))</f>
        <v>_</v>
      </c>
      <c r="BB112" s="44"/>
      <c r="BC112" s="45" t="s">
        <v>16</v>
      </c>
      <c r="BD112" s="46" t="str">
        <f>IF(VLOOKUP(BC112,βοηθητικό!$J$2:$N$354,3,FALSE)="","",VLOOKUP(BC112,βοηθητικό!$J$2:$N$354,3,FALSE))</f>
        <v>_</v>
      </c>
      <c r="BE112" s="47"/>
      <c r="BF112" s="42" t="s">
        <v>16</v>
      </c>
      <c r="BG112" s="43" t="str">
        <f>IF(VLOOKUP(BF112,βοηθητικό!$J$2:$N$354,3,FALSE)="","",VLOOKUP(BF112,βοηθητικό!$J$2:$N$354,3,FALSE))</f>
        <v>_</v>
      </c>
      <c r="BH112" s="44"/>
      <c r="BI112" s="45" t="s">
        <v>16</v>
      </c>
      <c r="BJ112" s="46" t="str">
        <f>IF(VLOOKUP(BI112,βοηθητικό!$J$2:$N$354,3,FALSE)="","",VLOOKUP(BI112,βοηθητικό!$J$2:$N$354,3,FALSE))</f>
        <v>_</v>
      </c>
      <c r="BK112" s="47"/>
      <c r="BL112" s="42" t="s">
        <v>16</v>
      </c>
      <c r="BM112" s="43" t="str">
        <f>IF(VLOOKUP(BL112,βοηθητικό!$J$2:$N$354,3,FALSE)="","",VLOOKUP(BL112,βοηθητικό!$J$2:$N$354,3,FALSE))</f>
        <v>_</v>
      </c>
      <c r="BN112" s="44"/>
      <c r="BO112" s="45" t="s">
        <v>16</v>
      </c>
      <c r="BP112" s="46" t="str">
        <f>IF(VLOOKUP(BO112,βοηθητικό!$J$2:$N$354,3,FALSE)="","",VLOOKUP(BO112,βοηθητικό!$J$2:$N$354,3,FALSE))</f>
        <v>_</v>
      </c>
      <c r="BQ112" s="47"/>
      <c r="BR112" s="42" t="s">
        <v>16</v>
      </c>
      <c r="BS112" s="43" t="str">
        <f>IF(VLOOKUP(BR112,βοηθητικό!$J$2:$N$354,3,FALSE)="","",VLOOKUP(BR112,βοηθητικό!$J$2:$N$354,3,FALSE))</f>
        <v>_</v>
      </c>
      <c r="BT112" s="44"/>
      <c r="BU112" s="45" t="s">
        <v>16</v>
      </c>
      <c r="BV112" s="46" t="str">
        <f>IF(VLOOKUP(BU112,βοηθητικό!$J$2:$N$354,3,FALSE)="","",VLOOKUP(BU112,βοηθητικό!$J$2:$N$354,3,FALSE))</f>
        <v>_</v>
      </c>
      <c r="BW112" s="47"/>
      <c r="BX112" s="42" t="s">
        <v>16</v>
      </c>
      <c r="BY112" s="43" t="str">
        <f>IF(VLOOKUP(BX112,βοηθητικό!$J$2:$N$354,3,FALSE)="","",VLOOKUP(BX112,βοηθητικό!$J$2:$N$354,3,FALSE))</f>
        <v>_</v>
      </c>
      <c r="BZ112" s="44"/>
      <c r="CA112" s="45" t="s">
        <v>16</v>
      </c>
      <c r="CB112" s="46" t="str">
        <f>IF(VLOOKUP(CA112,βοηθητικό!$J$2:$N$354,3,FALSE)="","",VLOOKUP(CA112,βοηθητικό!$J$2:$N$354,3,FALSE))</f>
        <v>_</v>
      </c>
      <c r="CC112" s="47"/>
      <c r="CD112" s="42" t="s">
        <v>16</v>
      </c>
      <c r="CE112" s="43" t="str">
        <f>IF(VLOOKUP(CD112,βοηθητικό!$J$2:$N$354,3,FALSE)="","",VLOOKUP(CD112,βοηθητικό!$J$2:$N$354,3,FALSE))</f>
        <v>_</v>
      </c>
      <c r="CF112" s="44"/>
      <c r="CG112" s="45" t="s">
        <v>16</v>
      </c>
      <c r="CH112" s="46" t="str">
        <f>IF(VLOOKUP(CG112,βοηθητικό!$J$2:$N$354,3,FALSE)="","",VLOOKUP(CG112,βοηθητικό!$J$2:$N$354,3,FALSE))</f>
        <v>_</v>
      </c>
      <c r="CI112" s="47"/>
      <c r="CJ112" s="42" t="s">
        <v>16</v>
      </c>
      <c r="CK112" s="43" t="str">
        <f>IF(VLOOKUP(CJ112,βοηθητικό!$J$2:$N$354,3,FALSE)="","",VLOOKUP(CJ112,βοηθητικό!$J$2:$N$354,3,FALSE))</f>
        <v>_</v>
      </c>
      <c r="CL112" s="44"/>
      <c r="CM112" s="45" t="s">
        <v>16</v>
      </c>
      <c r="CN112" s="46" t="str">
        <f>IF(VLOOKUP(CM112,βοηθητικό!$J$2:$N$354,3,FALSE)="","",VLOOKUP(CM112,βοηθητικό!$J$2:$N$354,3,FALSE))</f>
        <v>_</v>
      </c>
      <c r="CO112" s="47"/>
      <c r="CP112" s="42" t="s">
        <v>16</v>
      </c>
      <c r="CQ112" s="43" t="str">
        <f>IF(VLOOKUP(CP112,βοηθητικό!$J$2:$N$354,3,FALSE)="","",VLOOKUP(CP112,βοηθητικό!$J$2:$N$354,3,FALSE))</f>
        <v>_</v>
      </c>
      <c r="CR112" s="44"/>
      <c r="CS112" s="45" t="s">
        <v>16</v>
      </c>
      <c r="CT112" s="46" t="str">
        <f>IF(VLOOKUP(CS112,βοηθητικό!$J$2:$N$354,3,FALSE)="","",VLOOKUP(CS112,βοηθητικό!$J$2:$N$354,3,FALSE))</f>
        <v>_</v>
      </c>
      <c r="CU112" s="47"/>
    </row>
    <row r="113" spans="1:99" x14ac:dyDescent="0.25">
      <c r="A113" s="37">
        <f>--SUBTOTAL(3,$B$3:B112)</f>
        <v>110</v>
      </c>
      <c r="B113" s="2">
        <v>45152</v>
      </c>
      <c r="C113" s="3">
        <v>45158</v>
      </c>
      <c r="D113" s="57" t="s">
        <v>33</v>
      </c>
      <c r="E113" s="38" t="s">
        <v>16</v>
      </c>
      <c r="F113" s="38" t="s">
        <v>16</v>
      </c>
      <c r="G113" s="39" t="str">
        <f t="shared" si="5"/>
        <v>__</v>
      </c>
      <c r="H113" s="40" t="str">
        <f t="shared" si="6"/>
        <v>FALSE</v>
      </c>
      <c r="I113" s="41">
        <f t="shared" si="7"/>
        <v>11</v>
      </c>
      <c r="J113" s="4" t="s">
        <v>345</v>
      </c>
      <c r="K113" s="43" t="str">
        <f>IF(VLOOKUP(J113,βοηθητικό!$J$2:$N$354,3,FALSE)="","",VLOOKUP(J113,βοηθητικό!$J$2:$N$354,3,FALSE))</f>
        <v>6937733373</v>
      </c>
      <c r="L113" s="44"/>
      <c r="M113" s="5" t="s">
        <v>350</v>
      </c>
      <c r="N113" s="46" t="str">
        <f>IF(VLOOKUP(M113,βοηθητικό!$J$2:$N$354,3,FALSE)="","",VLOOKUP(M113,βοηθητικό!$J$2:$N$354,3,FALSE))</f>
        <v>6974790515</v>
      </c>
      <c r="O113" s="47"/>
      <c r="P113" s="4" t="s">
        <v>418</v>
      </c>
      <c r="Q113" s="43" t="str">
        <f>IF(VLOOKUP(P113,βοηθητικό!$J$2:$N$354,3,FALSE)="","",VLOOKUP(P113,βοηθητικό!$J$2:$N$354,3,FALSE))</f>
        <v>6944126355</v>
      </c>
      <c r="R113" s="44"/>
      <c r="S113" s="5" t="s">
        <v>227</v>
      </c>
      <c r="T113" s="46" t="str">
        <f>IF(VLOOKUP(S113,βοηθητικό!$J$2:$N$354,3,FALSE)="","",VLOOKUP(S113,βοηθητικό!$J$2:$N$354,3,FALSE))</f>
        <v>6946431686</v>
      </c>
      <c r="U113" s="47"/>
      <c r="V113" s="4" t="s">
        <v>238</v>
      </c>
      <c r="W113" s="43" t="str">
        <f>IF(VLOOKUP(V113,βοηθητικό!$J$2:$N$354,3,FALSE)="","",VLOOKUP(V113,βοηθητικό!$J$2:$N$354,3,FALSE))</f>
        <v>6985709513</v>
      </c>
      <c r="X113" s="44"/>
      <c r="Y113" s="5" t="s">
        <v>431</v>
      </c>
      <c r="Z113" s="46" t="str">
        <f>IF(VLOOKUP(Y113,βοηθητικό!$J$2:$N$354,3,FALSE)="","",VLOOKUP(Y113,βοηθητικό!$J$2:$N$354,3,FALSE))</f>
        <v>6973935715</v>
      </c>
      <c r="AA113" s="47"/>
      <c r="AB113" s="4" t="s">
        <v>440</v>
      </c>
      <c r="AC113" s="43" t="str">
        <f>IF(VLOOKUP(AB113,βοηθητικό!$J$2:$N$354,3,FALSE)="","",VLOOKUP(AB113,βοηθητικό!$J$2:$N$354,3,FALSE))</f>
        <v>6981517173</v>
      </c>
      <c r="AD113" s="44"/>
      <c r="AE113" s="5" t="s">
        <v>152</v>
      </c>
      <c r="AF113" s="46" t="str">
        <f>IF(VLOOKUP(AE113,βοηθητικό!$J$2:$N$354,3,FALSE)="","",VLOOKUP(AE113,βοηθητικό!$J$2:$N$354,3,FALSE))</f>
        <v>6974605685</v>
      </c>
      <c r="AG113" s="47"/>
      <c r="AH113" s="4" t="s">
        <v>277</v>
      </c>
      <c r="AI113" s="43" t="str">
        <f>IF(VLOOKUP(AH113,βοηθητικό!$J$2:$N$354,3,FALSE)="","",VLOOKUP(AH113,βοηθητικό!$J$2:$N$354,3,FALSE))</f>
        <v>6977827750</v>
      </c>
      <c r="AJ113" s="44"/>
      <c r="AK113" s="5" t="s">
        <v>444</v>
      </c>
      <c r="AL113" s="46" t="str">
        <f>IF(VLOOKUP(AK113,βοηθητικό!$J$2:$N$354,3,FALSE)="","",VLOOKUP(AK113,βοηθητικό!$J$2:$N$354,3,FALSE))</f>
        <v>6977538476</v>
      </c>
      <c r="AM113" s="47"/>
      <c r="AN113" s="4" t="s">
        <v>288</v>
      </c>
      <c r="AO113" s="43" t="str">
        <f>IF(VLOOKUP(AN113,βοηθητικό!$J$2:$N$354,3,FALSE)="","",VLOOKUP(AN113,βοηθητικό!$J$2:$N$354,3,FALSE))</f>
        <v>6936783135</v>
      </c>
      <c r="AP113" s="44"/>
      <c r="AQ113" s="5" t="s">
        <v>16</v>
      </c>
      <c r="AR113" s="46" t="str">
        <f>IF(VLOOKUP(AQ113,βοηθητικό!$J$2:$N$354,3,FALSE)="","",VLOOKUP(AQ113,βοηθητικό!$J$2:$N$354,3,FALSE))</f>
        <v>_</v>
      </c>
      <c r="AS113" s="47"/>
      <c r="AT113" s="4" t="s">
        <v>16</v>
      </c>
      <c r="AU113" s="43" t="str">
        <f>IF(VLOOKUP(AT113,βοηθητικό!$J$2:$N$354,3,FALSE)="","",VLOOKUP(AT113,βοηθητικό!$J$2:$N$354,3,FALSE))</f>
        <v>_</v>
      </c>
      <c r="AV113" s="44"/>
      <c r="AW113" s="5" t="s">
        <v>16</v>
      </c>
      <c r="AX113" s="46" t="str">
        <f>IF(VLOOKUP(AW113,βοηθητικό!$J$2:$N$354,3,FALSE)="","",VLOOKUP(AW113,βοηθητικό!$J$2:$N$354,3,FALSE))</f>
        <v>_</v>
      </c>
      <c r="AY113" s="47"/>
      <c r="AZ113" s="4" t="s">
        <v>16</v>
      </c>
      <c r="BA113" s="43" t="str">
        <f>IF(VLOOKUP(AZ113,βοηθητικό!$J$2:$N$354,3,FALSE)="","",VLOOKUP(AZ113,βοηθητικό!$J$2:$N$354,3,FALSE))</f>
        <v>_</v>
      </c>
      <c r="BB113" s="44"/>
      <c r="BC113" s="45" t="s">
        <v>16</v>
      </c>
      <c r="BD113" s="46" t="str">
        <f>IF(VLOOKUP(BC113,βοηθητικό!$J$2:$N$354,3,FALSE)="","",VLOOKUP(BC113,βοηθητικό!$J$2:$N$354,3,FALSE))</f>
        <v>_</v>
      </c>
      <c r="BE113" s="47"/>
      <c r="BF113" s="42" t="s">
        <v>16</v>
      </c>
      <c r="BG113" s="43" t="str">
        <f>IF(VLOOKUP(BF113,βοηθητικό!$J$2:$N$354,3,FALSE)="","",VLOOKUP(BF113,βοηθητικό!$J$2:$N$354,3,FALSE))</f>
        <v>_</v>
      </c>
      <c r="BH113" s="44"/>
      <c r="BI113" s="45" t="s">
        <v>16</v>
      </c>
      <c r="BJ113" s="46" t="str">
        <f>IF(VLOOKUP(BI113,βοηθητικό!$J$2:$N$354,3,FALSE)="","",VLOOKUP(BI113,βοηθητικό!$J$2:$N$354,3,FALSE))</f>
        <v>_</v>
      </c>
      <c r="BK113" s="47"/>
      <c r="BL113" s="42" t="s">
        <v>16</v>
      </c>
      <c r="BM113" s="43" t="str">
        <f>IF(VLOOKUP(BL113,βοηθητικό!$J$2:$N$354,3,FALSE)="","",VLOOKUP(BL113,βοηθητικό!$J$2:$N$354,3,FALSE))</f>
        <v>_</v>
      </c>
      <c r="BN113" s="44"/>
      <c r="BO113" s="45" t="s">
        <v>16</v>
      </c>
      <c r="BP113" s="46" t="str">
        <f>IF(VLOOKUP(BO113,βοηθητικό!$J$2:$N$354,3,FALSE)="","",VLOOKUP(BO113,βοηθητικό!$J$2:$N$354,3,FALSE))</f>
        <v>_</v>
      </c>
      <c r="BQ113" s="47"/>
      <c r="BR113" s="42" t="s">
        <v>16</v>
      </c>
      <c r="BS113" s="43" t="str">
        <f>IF(VLOOKUP(BR113,βοηθητικό!$J$2:$N$354,3,FALSE)="","",VLOOKUP(BR113,βοηθητικό!$J$2:$N$354,3,FALSE))</f>
        <v>_</v>
      </c>
      <c r="BT113" s="44"/>
      <c r="BU113" s="45" t="s">
        <v>16</v>
      </c>
      <c r="BV113" s="46" t="str">
        <f>IF(VLOOKUP(BU113,βοηθητικό!$J$2:$N$354,3,FALSE)="","",VLOOKUP(BU113,βοηθητικό!$J$2:$N$354,3,FALSE))</f>
        <v>_</v>
      </c>
      <c r="BW113" s="47"/>
      <c r="BX113" s="42" t="s">
        <v>16</v>
      </c>
      <c r="BY113" s="43" t="str">
        <f>IF(VLOOKUP(BX113,βοηθητικό!$J$2:$N$354,3,FALSE)="","",VLOOKUP(BX113,βοηθητικό!$J$2:$N$354,3,FALSE))</f>
        <v>_</v>
      </c>
      <c r="BZ113" s="44"/>
      <c r="CA113" s="45" t="s">
        <v>16</v>
      </c>
      <c r="CB113" s="46" t="str">
        <f>IF(VLOOKUP(CA113,βοηθητικό!$J$2:$N$354,3,FALSE)="","",VLOOKUP(CA113,βοηθητικό!$J$2:$N$354,3,FALSE))</f>
        <v>_</v>
      </c>
      <c r="CC113" s="47"/>
      <c r="CD113" s="42" t="s">
        <v>16</v>
      </c>
      <c r="CE113" s="43" t="str">
        <f>IF(VLOOKUP(CD113,βοηθητικό!$J$2:$N$354,3,FALSE)="","",VLOOKUP(CD113,βοηθητικό!$J$2:$N$354,3,FALSE))</f>
        <v>_</v>
      </c>
      <c r="CF113" s="44"/>
      <c r="CG113" s="45" t="s">
        <v>16</v>
      </c>
      <c r="CH113" s="46" t="str">
        <f>IF(VLOOKUP(CG113,βοηθητικό!$J$2:$N$354,3,FALSE)="","",VLOOKUP(CG113,βοηθητικό!$J$2:$N$354,3,FALSE))</f>
        <v>_</v>
      </c>
      <c r="CI113" s="47"/>
      <c r="CJ113" s="42" t="s">
        <v>16</v>
      </c>
      <c r="CK113" s="43" t="str">
        <f>IF(VLOOKUP(CJ113,βοηθητικό!$J$2:$N$354,3,FALSE)="","",VLOOKUP(CJ113,βοηθητικό!$J$2:$N$354,3,FALSE))</f>
        <v>_</v>
      </c>
      <c r="CL113" s="44"/>
      <c r="CM113" s="45" t="s">
        <v>16</v>
      </c>
      <c r="CN113" s="46" t="str">
        <f>IF(VLOOKUP(CM113,βοηθητικό!$J$2:$N$354,3,FALSE)="","",VLOOKUP(CM113,βοηθητικό!$J$2:$N$354,3,FALSE))</f>
        <v>_</v>
      </c>
      <c r="CO113" s="47"/>
      <c r="CP113" s="42" t="s">
        <v>16</v>
      </c>
      <c r="CQ113" s="43" t="str">
        <f>IF(VLOOKUP(CP113,βοηθητικό!$J$2:$N$354,3,FALSE)="","",VLOOKUP(CP113,βοηθητικό!$J$2:$N$354,3,FALSE))</f>
        <v>_</v>
      </c>
      <c r="CR113" s="44"/>
      <c r="CS113" s="45" t="s">
        <v>16</v>
      </c>
      <c r="CT113" s="46" t="str">
        <f>IF(VLOOKUP(CS113,βοηθητικό!$J$2:$N$354,3,FALSE)="","",VLOOKUP(CS113,βοηθητικό!$J$2:$N$354,3,FALSE))</f>
        <v>_</v>
      </c>
      <c r="CU113" s="47"/>
    </row>
    <row r="114" spans="1:99" x14ac:dyDescent="0.25">
      <c r="A114" s="37">
        <f>--SUBTOTAL(3,$B$3:B113)</f>
        <v>111</v>
      </c>
      <c r="B114" s="2">
        <v>45159</v>
      </c>
      <c r="C114" s="3">
        <v>45165</v>
      </c>
      <c r="D114" s="57" t="s">
        <v>33</v>
      </c>
      <c r="E114" s="38" t="s">
        <v>16</v>
      </c>
      <c r="F114" s="38" t="s">
        <v>16</v>
      </c>
      <c r="G114" s="39" t="str">
        <f t="shared" si="5"/>
        <v>__</v>
      </c>
      <c r="H114" s="40" t="str">
        <f t="shared" si="6"/>
        <v>FALSE</v>
      </c>
      <c r="I114" s="41">
        <f t="shared" si="7"/>
        <v>10</v>
      </c>
      <c r="J114" s="4" t="s">
        <v>121</v>
      </c>
      <c r="K114" s="43" t="str">
        <f>IF(VLOOKUP(J114,βοηθητικό!$J$2:$N$354,3,FALSE)="","",VLOOKUP(J114,βοηθητικό!$J$2:$N$354,3,FALSE))</f>
        <v>6949672608</v>
      </c>
      <c r="L114" s="44"/>
      <c r="M114" s="5" t="s">
        <v>355</v>
      </c>
      <c r="N114" s="46" t="str">
        <f>IF(VLOOKUP(M114,βοηθητικό!$J$2:$N$354,3,FALSE)="","",VLOOKUP(M114,βοηθητικό!$J$2:$N$354,3,FALSE))</f>
        <v>6947899410</v>
      </c>
      <c r="O114" s="47"/>
      <c r="P114" s="4" t="s">
        <v>449</v>
      </c>
      <c r="Q114" s="43" t="str">
        <f>IF(VLOOKUP(P114,βοηθητικό!$J$2:$N$354,3,FALSE)="","",VLOOKUP(P114,βοηθητικό!$J$2:$N$354,3,FALSE))</f>
        <v>6972583885</v>
      </c>
      <c r="R114" s="44"/>
      <c r="S114" s="5" t="s">
        <v>333</v>
      </c>
      <c r="T114" s="46" t="str">
        <f>IF(VLOOKUP(S114,βοηθητικό!$J$2:$N$354,3,FALSE)="","",VLOOKUP(S114,βοηθητικό!$J$2:$N$354,3,FALSE))</f>
        <v>6948630062</v>
      </c>
      <c r="U114" s="47"/>
      <c r="V114" s="4" t="s">
        <v>395</v>
      </c>
      <c r="W114" s="43" t="str">
        <f>IF(VLOOKUP(V114,βοηθητικό!$J$2:$N$354,3,FALSE)="","",VLOOKUP(V114,βοηθητικό!$J$2:$N$354,3,FALSE))</f>
        <v>6987887267</v>
      </c>
      <c r="X114" s="44"/>
      <c r="Y114" s="5" t="s">
        <v>401</v>
      </c>
      <c r="Z114" s="46" t="str">
        <f>IF(VLOOKUP(Y114,βοηθητικό!$J$2:$N$354,3,FALSE)="","",VLOOKUP(Y114,βοηθητικό!$J$2:$N$354,3,FALSE))</f>
        <v>6944884457</v>
      </c>
      <c r="AA114" s="47"/>
      <c r="AB114" s="4" t="s">
        <v>186</v>
      </c>
      <c r="AC114" s="43" t="str">
        <f>IF(VLOOKUP(AB114,βοηθητικό!$J$2:$N$354,3,FALSE)="","",VLOOKUP(AB114,βοηθητικό!$J$2:$N$354,3,FALSE))</f>
        <v>6938905960</v>
      </c>
      <c r="AD114" s="44"/>
      <c r="AE114" s="5" t="s">
        <v>249</v>
      </c>
      <c r="AF114" s="46" t="str">
        <f>IF(VLOOKUP(AE114,βοηθητικό!$J$2:$N$354,3,FALSE)="","",VLOOKUP(AE114,βοηθητικό!$J$2:$N$354,3,FALSE))</f>
        <v>6942712698</v>
      </c>
      <c r="AG114" s="47"/>
      <c r="AH114" s="4" t="s">
        <v>295</v>
      </c>
      <c r="AI114" s="43" t="str">
        <f>IF(VLOOKUP(AH114,βοηθητικό!$J$2:$N$354,3,FALSE)="","",VLOOKUP(AH114,βοηθητικό!$J$2:$N$354,3,FALSE))</f>
        <v>6945415670</v>
      </c>
      <c r="AJ114" s="44"/>
      <c r="AK114" s="5" t="s">
        <v>365</v>
      </c>
      <c r="AL114" s="46" t="str">
        <f>IF(VLOOKUP(AK114,βοηθητικό!$J$2:$N$354,3,FALSE)="","",VLOOKUP(AK114,βοηθητικό!$J$2:$N$354,3,FALSE))</f>
        <v>6908725909</v>
      </c>
      <c r="AM114" s="47"/>
      <c r="AN114" s="4" t="s">
        <v>16</v>
      </c>
      <c r="AO114" s="43" t="str">
        <f>IF(VLOOKUP(AN114,βοηθητικό!$J$2:$N$354,3,FALSE)="","",VLOOKUP(AN114,βοηθητικό!$J$2:$N$354,3,FALSE))</f>
        <v>_</v>
      </c>
      <c r="AP114" s="44"/>
      <c r="AQ114" s="5" t="s">
        <v>16</v>
      </c>
      <c r="AR114" s="46" t="str">
        <f>IF(VLOOKUP(AQ114,βοηθητικό!$J$2:$N$354,3,FALSE)="","",VLOOKUP(AQ114,βοηθητικό!$J$2:$N$354,3,FALSE))</f>
        <v>_</v>
      </c>
      <c r="AS114" s="47"/>
      <c r="AT114" s="4" t="s">
        <v>16</v>
      </c>
      <c r="AU114" s="43" t="str">
        <f>IF(VLOOKUP(AT114,βοηθητικό!$J$2:$N$354,3,FALSE)="","",VLOOKUP(AT114,βοηθητικό!$J$2:$N$354,3,FALSE))</f>
        <v>_</v>
      </c>
      <c r="AV114" s="44"/>
      <c r="AW114" s="5" t="s">
        <v>16</v>
      </c>
      <c r="AX114" s="46" t="str">
        <f>IF(VLOOKUP(AW114,βοηθητικό!$J$2:$N$354,3,FALSE)="","",VLOOKUP(AW114,βοηθητικό!$J$2:$N$354,3,FALSE))</f>
        <v>_</v>
      </c>
      <c r="AY114" s="47"/>
      <c r="AZ114" s="4" t="s">
        <v>16</v>
      </c>
      <c r="BA114" s="43" t="str">
        <f>IF(VLOOKUP(AZ114,βοηθητικό!$J$2:$N$354,3,FALSE)="","",VLOOKUP(AZ114,βοηθητικό!$J$2:$N$354,3,FALSE))</f>
        <v>_</v>
      </c>
      <c r="BB114" s="44"/>
      <c r="BC114" s="45" t="s">
        <v>16</v>
      </c>
      <c r="BD114" s="46" t="str">
        <f>IF(VLOOKUP(BC114,βοηθητικό!$J$2:$N$354,3,FALSE)="","",VLOOKUP(BC114,βοηθητικό!$J$2:$N$354,3,FALSE))</f>
        <v>_</v>
      </c>
      <c r="BE114" s="47"/>
      <c r="BF114" s="42" t="s">
        <v>16</v>
      </c>
      <c r="BG114" s="43" t="str">
        <f>IF(VLOOKUP(BF114,βοηθητικό!$J$2:$N$354,3,FALSE)="","",VLOOKUP(BF114,βοηθητικό!$J$2:$N$354,3,FALSE))</f>
        <v>_</v>
      </c>
      <c r="BH114" s="44"/>
      <c r="BI114" s="45" t="s">
        <v>16</v>
      </c>
      <c r="BJ114" s="46" t="str">
        <f>IF(VLOOKUP(BI114,βοηθητικό!$J$2:$N$354,3,FALSE)="","",VLOOKUP(BI114,βοηθητικό!$J$2:$N$354,3,FALSE))</f>
        <v>_</v>
      </c>
      <c r="BK114" s="47"/>
      <c r="BL114" s="42" t="s">
        <v>16</v>
      </c>
      <c r="BM114" s="43" t="str">
        <f>IF(VLOOKUP(BL114,βοηθητικό!$J$2:$N$354,3,FALSE)="","",VLOOKUP(BL114,βοηθητικό!$J$2:$N$354,3,FALSE))</f>
        <v>_</v>
      </c>
      <c r="BN114" s="44"/>
      <c r="BO114" s="45" t="s">
        <v>16</v>
      </c>
      <c r="BP114" s="46" t="str">
        <f>IF(VLOOKUP(BO114,βοηθητικό!$J$2:$N$354,3,FALSE)="","",VLOOKUP(BO114,βοηθητικό!$J$2:$N$354,3,FALSE))</f>
        <v>_</v>
      </c>
      <c r="BQ114" s="47"/>
      <c r="BR114" s="42" t="s">
        <v>16</v>
      </c>
      <c r="BS114" s="43" t="str">
        <f>IF(VLOOKUP(BR114,βοηθητικό!$J$2:$N$354,3,FALSE)="","",VLOOKUP(BR114,βοηθητικό!$J$2:$N$354,3,FALSE))</f>
        <v>_</v>
      </c>
      <c r="BT114" s="44"/>
      <c r="BU114" s="45" t="s">
        <v>16</v>
      </c>
      <c r="BV114" s="46" t="str">
        <f>IF(VLOOKUP(BU114,βοηθητικό!$J$2:$N$354,3,FALSE)="","",VLOOKUP(BU114,βοηθητικό!$J$2:$N$354,3,FALSE))</f>
        <v>_</v>
      </c>
      <c r="BW114" s="47"/>
      <c r="BX114" s="42" t="s">
        <v>16</v>
      </c>
      <c r="BY114" s="43" t="str">
        <f>IF(VLOOKUP(BX114,βοηθητικό!$J$2:$N$354,3,FALSE)="","",VLOOKUP(BX114,βοηθητικό!$J$2:$N$354,3,FALSE))</f>
        <v>_</v>
      </c>
      <c r="BZ114" s="44"/>
      <c r="CA114" s="45" t="s">
        <v>16</v>
      </c>
      <c r="CB114" s="46" t="str">
        <f>IF(VLOOKUP(CA114,βοηθητικό!$J$2:$N$354,3,FALSE)="","",VLOOKUP(CA114,βοηθητικό!$J$2:$N$354,3,FALSE))</f>
        <v>_</v>
      </c>
      <c r="CC114" s="47"/>
      <c r="CD114" s="42" t="s">
        <v>16</v>
      </c>
      <c r="CE114" s="43" t="str">
        <f>IF(VLOOKUP(CD114,βοηθητικό!$J$2:$N$354,3,FALSE)="","",VLOOKUP(CD114,βοηθητικό!$J$2:$N$354,3,FALSE))</f>
        <v>_</v>
      </c>
      <c r="CF114" s="44"/>
      <c r="CG114" s="45" t="s">
        <v>16</v>
      </c>
      <c r="CH114" s="46" t="str">
        <f>IF(VLOOKUP(CG114,βοηθητικό!$J$2:$N$354,3,FALSE)="","",VLOOKUP(CG114,βοηθητικό!$J$2:$N$354,3,FALSE))</f>
        <v>_</v>
      </c>
      <c r="CI114" s="47"/>
      <c r="CJ114" s="42" t="s">
        <v>16</v>
      </c>
      <c r="CK114" s="43" t="str">
        <f>IF(VLOOKUP(CJ114,βοηθητικό!$J$2:$N$354,3,FALSE)="","",VLOOKUP(CJ114,βοηθητικό!$J$2:$N$354,3,FALSE))</f>
        <v>_</v>
      </c>
      <c r="CL114" s="44"/>
      <c r="CM114" s="45" t="s">
        <v>16</v>
      </c>
      <c r="CN114" s="46" t="str">
        <f>IF(VLOOKUP(CM114,βοηθητικό!$J$2:$N$354,3,FALSE)="","",VLOOKUP(CM114,βοηθητικό!$J$2:$N$354,3,FALSE))</f>
        <v>_</v>
      </c>
      <c r="CO114" s="47"/>
      <c r="CP114" s="42" t="s">
        <v>16</v>
      </c>
      <c r="CQ114" s="43" t="str">
        <f>IF(VLOOKUP(CP114,βοηθητικό!$J$2:$N$354,3,FALSE)="","",VLOOKUP(CP114,βοηθητικό!$J$2:$N$354,3,FALSE))</f>
        <v>_</v>
      </c>
      <c r="CR114" s="44"/>
      <c r="CS114" s="45" t="s">
        <v>16</v>
      </c>
      <c r="CT114" s="46" t="str">
        <f>IF(VLOOKUP(CS114,βοηθητικό!$J$2:$N$354,3,FALSE)="","",VLOOKUP(CS114,βοηθητικό!$J$2:$N$354,3,FALSE))</f>
        <v>_</v>
      </c>
      <c r="CU114" s="47"/>
    </row>
    <row r="115" spans="1:99" x14ac:dyDescent="0.25">
      <c r="A115" s="37">
        <f>--SUBTOTAL(3,$B$3:B114)</f>
        <v>112</v>
      </c>
      <c r="B115" s="2">
        <v>45138</v>
      </c>
      <c r="C115" s="3">
        <v>45144</v>
      </c>
      <c r="D115" s="58" t="s">
        <v>45</v>
      </c>
      <c r="E115" s="38" t="s">
        <v>16</v>
      </c>
      <c r="F115" s="38" t="s">
        <v>16</v>
      </c>
      <c r="G115" s="39" t="str">
        <f t="shared" si="5"/>
        <v>__</v>
      </c>
      <c r="H115" s="40" t="str">
        <f t="shared" si="6"/>
        <v>FALSE</v>
      </c>
      <c r="I115" s="41">
        <f t="shared" si="7"/>
        <v>6</v>
      </c>
      <c r="J115" s="4" t="s">
        <v>489</v>
      </c>
      <c r="K115" s="43" t="str">
        <f>IF(VLOOKUP(J115,βοηθητικό!$J$2:$N$354,3,FALSE)="","",VLOOKUP(J115,βοηθητικό!$J$2:$N$354,3,FALSE))</f>
        <v>6972289471</v>
      </c>
      <c r="L115" s="44"/>
      <c r="M115" s="5" t="s">
        <v>548</v>
      </c>
      <c r="N115" s="46" t="str">
        <f>IF(VLOOKUP(M115,βοηθητικό!$J$2:$N$354,3,FALSE)="","",VLOOKUP(M115,βοηθητικό!$J$2:$N$354,3,FALSE))</f>
        <v>6977344183</v>
      </c>
      <c r="O115" s="47"/>
      <c r="P115" s="4" t="s">
        <v>509</v>
      </c>
      <c r="Q115" s="43" t="str">
        <f>IF(VLOOKUP(P115,βοηθητικό!$J$2:$N$354,3,FALSE)="","",VLOOKUP(P115,βοηθητικό!$J$2:$N$354,3,FALSE))</f>
        <v>6944370079</v>
      </c>
      <c r="R115" s="44"/>
      <c r="S115" s="5" t="s">
        <v>479</v>
      </c>
      <c r="T115" s="46" t="str">
        <f>IF(VLOOKUP(S115,βοηθητικό!$J$2:$N$354,3,FALSE)="","",VLOOKUP(S115,βοηθητικό!$J$2:$N$354,3,FALSE))</f>
        <v>6977298022</v>
      </c>
      <c r="U115" s="47"/>
      <c r="V115" s="4" t="s">
        <v>577</v>
      </c>
      <c r="W115" s="43" t="str">
        <f>IF(VLOOKUP(V115,βοηθητικό!$J$2:$N$354,3,FALSE)="","",VLOOKUP(V115,βοηθητικό!$J$2:$N$354,3,FALSE))</f>
        <v>6937185269</v>
      </c>
      <c r="X115" s="44"/>
      <c r="Y115" s="5" t="s">
        <v>559</v>
      </c>
      <c r="Z115" s="46" t="str">
        <f>IF(VLOOKUP(Y115,βοηθητικό!$J$2:$N$354,3,FALSE)="","",VLOOKUP(Y115,βοηθητικό!$J$2:$N$354,3,FALSE))</f>
        <v>6934004858</v>
      </c>
      <c r="AA115" s="47"/>
      <c r="AB115" s="4" t="s">
        <v>16</v>
      </c>
      <c r="AC115" s="43" t="str">
        <f>IF(VLOOKUP(AB115,βοηθητικό!$J$2:$N$354,3,FALSE)="","",VLOOKUP(AB115,βοηθητικό!$J$2:$N$354,3,FALSE))</f>
        <v>_</v>
      </c>
      <c r="AD115" s="44"/>
      <c r="AE115" s="5" t="s">
        <v>16</v>
      </c>
      <c r="AF115" s="46" t="str">
        <f>IF(VLOOKUP(AE115,βοηθητικό!$J$2:$N$354,3,FALSE)="","",VLOOKUP(AE115,βοηθητικό!$J$2:$N$354,3,FALSE))</f>
        <v>_</v>
      </c>
      <c r="AG115" s="47"/>
      <c r="AH115" s="4" t="s">
        <v>16</v>
      </c>
      <c r="AI115" s="43" t="str">
        <f>IF(VLOOKUP(AH115,βοηθητικό!$J$2:$N$354,3,FALSE)="","",VLOOKUP(AH115,βοηθητικό!$J$2:$N$354,3,FALSE))</f>
        <v>_</v>
      </c>
      <c r="AJ115" s="44"/>
      <c r="AK115" s="5" t="s">
        <v>16</v>
      </c>
      <c r="AL115" s="46" t="str">
        <f>IF(VLOOKUP(AK115,βοηθητικό!$J$2:$N$354,3,FALSE)="","",VLOOKUP(AK115,βοηθητικό!$J$2:$N$354,3,FALSE))</f>
        <v>_</v>
      </c>
      <c r="AM115" s="47"/>
      <c r="AN115" s="4" t="s">
        <v>16</v>
      </c>
      <c r="AO115" s="43" t="str">
        <f>IF(VLOOKUP(AN115,βοηθητικό!$J$2:$N$354,3,FALSE)="","",VLOOKUP(AN115,βοηθητικό!$J$2:$N$354,3,FALSE))</f>
        <v>_</v>
      </c>
      <c r="AP115" s="44"/>
      <c r="AQ115" s="5" t="s">
        <v>16</v>
      </c>
      <c r="AR115" s="46" t="str">
        <f>IF(VLOOKUP(AQ115,βοηθητικό!$J$2:$N$354,3,FALSE)="","",VLOOKUP(AQ115,βοηθητικό!$J$2:$N$354,3,FALSE))</f>
        <v>_</v>
      </c>
      <c r="AS115" s="47"/>
      <c r="AT115" s="4" t="s">
        <v>16</v>
      </c>
      <c r="AU115" s="43" t="str">
        <f>IF(VLOOKUP(AT115,βοηθητικό!$J$2:$N$354,3,FALSE)="","",VLOOKUP(AT115,βοηθητικό!$J$2:$N$354,3,FALSE))</f>
        <v>_</v>
      </c>
      <c r="AV115" s="44"/>
      <c r="AW115" s="5" t="s">
        <v>16</v>
      </c>
      <c r="AX115" s="46" t="str">
        <f>IF(VLOOKUP(AW115,βοηθητικό!$J$2:$N$354,3,FALSE)="","",VLOOKUP(AW115,βοηθητικό!$J$2:$N$354,3,FALSE))</f>
        <v>_</v>
      </c>
      <c r="AY115" s="47"/>
      <c r="AZ115" s="4" t="s">
        <v>16</v>
      </c>
      <c r="BA115" s="43" t="str">
        <f>IF(VLOOKUP(AZ115,βοηθητικό!$J$2:$N$354,3,FALSE)="","",VLOOKUP(AZ115,βοηθητικό!$J$2:$N$354,3,FALSE))</f>
        <v>_</v>
      </c>
      <c r="BB115" s="44"/>
      <c r="BC115" s="45" t="s">
        <v>16</v>
      </c>
      <c r="BD115" s="46" t="str">
        <f>IF(VLOOKUP(BC115,βοηθητικό!$J$2:$N$354,3,FALSE)="","",VLOOKUP(BC115,βοηθητικό!$J$2:$N$354,3,FALSE))</f>
        <v>_</v>
      </c>
      <c r="BE115" s="47"/>
      <c r="BF115" s="42" t="s">
        <v>16</v>
      </c>
      <c r="BG115" s="43" t="str">
        <f>IF(VLOOKUP(BF115,βοηθητικό!$J$2:$N$354,3,FALSE)="","",VLOOKUP(BF115,βοηθητικό!$J$2:$N$354,3,FALSE))</f>
        <v>_</v>
      </c>
      <c r="BH115" s="44"/>
      <c r="BI115" s="45" t="s">
        <v>16</v>
      </c>
      <c r="BJ115" s="46" t="str">
        <f>IF(VLOOKUP(BI115,βοηθητικό!$J$2:$N$354,3,FALSE)="","",VLOOKUP(BI115,βοηθητικό!$J$2:$N$354,3,FALSE))</f>
        <v>_</v>
      </c>
      <c r="BK115" s="47"/>
      <c r="BL115" s="42" t="s">
        <v>16</v>
      </c>
      <c r="BM115" s="43" t="str">
        <f>IF(VLOOKUP(BL115,βοηθητικό!$J$2:$N$354,3,FALSE)="","",VLOOKUP(BL115,βοηθητικό!$J$2:$N$354,3,FALSE))</f>
        <v>_</v>
      </c>
      <c r="BN115" s="44"/>
      <c r="BO115" s="45" t="s">
        <v>16</v>
      </c>
      <c r="BP115" s="46" t="str">
        <f>IF(VLOOKUP(BO115,βοηθητικό!$J$2:$N$354,3,FALSE)="","",VLOOKUP(BO115,βοηθητικό!$J$2:$N$354,3,FALSE))</f>
        <v>_</v>
      </c>
      <c r="BQ115" s="47"/>
      <c r="BR115" s="42" t="s">
        <v>16</v>
      </c>
      <c r="BS115" s="43" t="str">
        <f>IF(VLOOKUP(BR115,βοηθητικό!$J$2:$N$354,3,FALSE)="","",VLOOKUP(BR115,βοηθητικό!$J$2:$N$354,3,FALSE))</f>
        <v>_</v>
      </c>
      <c r="BT115" s="44"/>
      <c r="BU115" s="45" t="s">
        <v>16</v>
      </c>
      <c r="BV115" s="46" t="str">
        <f>IF(VLOOKUP(BU115,βοηθητικό!$J$2:$N$354,3,FALSE)="","",VLOOKUP(BU115,βοηθητικό!$J$2:$N$354,3,FALSE))</f>
        <v>_</v>
      </c>
      <c r="BW115" s="47"/>
      <c r="BX115" s="42" t="s">
        <v>16</v>
      </c>
      <c r="BY115" s="43" t="str">
        <f>IF(VLOOKUP(BX115,βοηθητικό!$J$2:$N$354,3,FALSE)="","",VLOOKUP(BX115,βοηθητικό!$J$2:$N$354,3,FALSE))</f>
        <v>_</v>
      </c>
      <c r="BZ115" s="44"/>
      <c r="CA115" s="45" t="s">
        <v>16</v>
      </c>
      <c r="CB115" s="46" t="str">
        <f>IF(VLOOKUP(CA115,βοηθητικό!$J$2:$N$354,3,FALSE)="","",VLOOKUP(CA115,βοηθητικό!$J$2:$N$354,3,FALSE))</f>
        <v>_</v>
      </c>
      <c r="CC115" s="47"/>
      <c r="CD115" s="42" t="s">
        <v>16</v>
      </c>
      <c r="CE115" s="43" t="str">
        <f>IF(VLOOKUP(CD115,βοηθητικό!$J$2:$N$354,3,FALSE)="","",VLOOKUP(CD115,βοηθητικό!$J$2:$N$354,3,FALSE))</f>
        <v>_</v>
      </c>
      <c r="CF115" s="44"/>
      <c r="CG115" s="45" t="s">
        <v>16</v>
      </c>
      <c r="CH115" s="46" t="str">
        <f>IF(VLOOKUP(CG115,βοηθητικό!$J$2:$N$354,3,FALSE)="","",VLOOKUP(CG115,βοηθητικό!$J$2:$N$354,3,FALSE))</f>
        <v>_</v>
      </c>
      <c r="CI115" s="47"/>
      <c r="CJ115" s="42" t="s">
        <v>16</v>
      </c>
      <c r="CK115" s="43" t="str">
        <f>IF(VLOOKUP(CJ115,βοηθητικό!$J$2:$N$354,3,FALSE)="","",VLOOKUP(CJ115,βοηθητικό!$J$2:$N$354,3,FALSE))</f>
        <v>_</v>
      </c>
      <c r="CL115" s="44"/>
      <c r="CM115" s="45" t="s">
        <v>16</v>
      </c>
      <c r="CN115" s="46" t="str">
        <f>IF(VLOOKUP(CM115,βοηθητικό!$J$2:$N$354,3,FALSE)="","",VLOOKUP(CM115,βοηθητικό!$J$2:$N$354,3,FALSE))</f>
        <v>_</v>
      </c>
      <c r="CO115" s="47"/>
      <c r="CP115" s="42" t="s">
        <v>16</v>
      </c>
      <c r="CQ115" s="43" t="str">
        <f>IF(VLOOKUP(CP115,βοηθητικό!$J$2:$N$354,3,FALSE)="","",VLOOKUP(CP115,βοηθητικό!$J$2:$N$354,3,FALSE))</f>
        <v>_</v>
      </c>
      <c r="CR115" s="44"/>
      <c r="CS115" s="45" t="s">
        <v>16</v>
      </c>
      <c r="CT115" s="46" t="str">
        <f>IF(VLOOKUP(CS115,βοηθητικό!$J$2:$N$354,3,FALSE)="","",VLOOKUP(CS115,βοηθητικό!$J$2:$N$354,3,FALSE))</f>
        <v>_</v>
      </c>
      <c r="CU115" s="47"/>
    </row>
    <row r="116" spans="1:99" x14ac:dyDescent="0.25">
      <c r="A116" s="37">
        <f>--SUBTOTAL(3,$B$3:B115)</f>
        <v>113</v>
      </c>
      <c r="B116" s="2">
        <v>45145</v>
      </c>
      <c r="C116" s="3">
        <v>45151</v>
      </c>
      <c r="D116" s="58" t="s">
        <v>45</v>
      </c>
      <c r="E116" s="38" t="s">
        <v>16</v>
      </c>
      <c r="F116" s="38" t="s">
        <v>16</v>
      </c>
      <c r="G116" s="39" t="str">
        <f t="shared" si="5"/>
        <v>__</v>
      </c>
      <c r="H116" s="40" t="str">
        <f t="shared" si="6"/>
        <v>FALSE</v>
      </c>
      <c r="I116" s="41">
        <f t="shared" si="7"/>
        <v>6</v>
      </c>
      <c r="J116" s="4" t="s">
        <v>587</v>
      </c>
      <c r="K116" s="43" t="str">
        <f>IF(VLOOKUP(J116,βοηθητικό!$J$2:$N$354,3,FALSE)="","",VLOOKUP(J116,βοηθητικό!$J$2:$N$354,3,FALSE))</f>
        <v>6947371545</v>
      </c>
      <c r="L116" s="44"/>
      <c r="M116" s="5" t="s">
        <v>485</v>
      </c>
      <c r="N116" s="46" t="str">
        <f>IF(VLOOKUP(M116,βοηθητικό!$J$2:$N$354,3,FALSE)="","",VLOOKUP(M116,βοηθητικό!$J$2:$N$354,3,FALSE))</f>
        <v>6972278604</v>
      </c>
      <c r="O116" s="47"/>
      <c r="P116" s="4" t="s">
        <v>534</v>
      </c>
      <c r="Q116" s="43" t="str">
        <f>IF(VLOOKUP(P116,βοηθητικό!$J$2:$N$354,3,FALSE)="","",VLOOKUP(P116,βοηθητικό!$J$2:$N$354,3,FALSE))</f>
        <v>6955646945</v>
      </c>
      <c r="R116" s="44"/>
      <c r="S116" s="5" t="s">
        <v>544</v>
      </c>
      <c r="T116" s="46" t="str">
        <f>IF(VLOOKUP(S116,βοηθητικό!$J$2:$N$354,3,FALSE)="","",VLOOKUP(S116,βοηθητικό!$J$2:$N$354,3,FALSE))</f>
        <v>6978943962</v>
      </c>
      <c r="U116" s="47"/>
      <c r="V116" s="4" t="s">
        <v>503</v>
      </c>
      <c r="W116" s="43" t="str">
        <f>IF(VLOOKUP(V116,βοηθητικό!$J$2:$N$354,3,FALSE)="","",VLOOKUP(V116,βοηθητικό!$J$2:$N$354,3,FALSE))</f>
        <v>6944234622</v>
      </c>
      <c r="X116" s="44"/>
      <c r="Y116" s="5" t="s">
        <v>523</v>
      </c>
      <c r="Z116" s="46" t="str">
        <f>IF(VLOOKUP(Y116,βοηθητικό!$J$2:$N$354,3,FALSE)="","",VLOOKUP(Y116,βοηθητικό!$J$2:$N$354,3,FALSE))</f>
        <v>6970940292</v>
      </c>
      <c r="AA116" s="47"/>
      <c r="AB116" s="4" t="s">
        <v>16</v>
      </c>
      <c r="AC116" s="43" t="str">
        <f>IF(VLOOKUP(AB116,βοηθητικό!$J$2:$N$354,3,FALSE)="","",VLOOKUP(AB116,βοηθητικό!$J$2:$N$354,3,FALSE))</f>
        <v>_</v>
      </c>
      <c r="AD116" s="44"/>
      <c r="AE116" s="5" t="s">
        <v>16</v>
      </c>
      <c r="AF116" s="46" t="str">
        <f>IF(VLOOKUP(AE116,βοηθητικό!$J$2:$N$354,3,FALSE)="","",VLOOKUP(AE116,βοηθητικό!$J$2:$N$354,3,FALSE))</f>
        <v>_</v>
      </c>
      <c r="AG116" s="47"/>
      <c r="AH116" s="4" t="s">
        <v>16</v>
      </c>
      <c r="AI116" s="43" t="str">
        <f>IF(VLOOKUP(AH116,βοηθητικό!$J$2:$N$354,3,FALSE)="","",VLOOKUP(AH116,βοηθητικό!$J$2:$N$354,3,FALSE))</f>
        <v>_</v>
      </c>
      <c r="AJ116" s="44"/>
      <c r="AK116" s="5" t="s">
        <v>16</v>
      </c>
      <c r="AL116" s="46" t="str">
        <f>IF(VLOOKUP(AK116,βοηθητικό!$J$2:$N$354,3,FALSE)="","",VLOOKUP(AK116,βοηθητικό!$J$2:$N$354,3,FALSE))</f>
        <v>_</v>
      </c>
      <c r="AM116" s="47"/>
      <c r="AN116" s="4" t="s">
        <v>16</v>
      </c>
      <c r="AO116" s="43" t="str">
        <f>IF(VLOOKUP(AN116,βοηθητικό!$J$2:$N$354,3,FALSE)="","",VLOOKUP(AN116,βοηθητικό!$J$2:$N$354,3,FALSE))</f>
        <v>_</v>
      </c>
      <c r="AP116" s="44"/>
      <c r="AQ116" s="5" t="s">
        <v>16</v>
      </c>
      <c r="AR116" s="46" t="str">
        <f>IF(VLOOKUP(AQ116,βοηθητικό!$J$2:$N$354,3,FALSE)="","",VLOOKUP(AQ116,βοηθητικό!$J$2:$N$354,3,FALSE))</f>
        <v>_</v>
      </c>
      <c r="AS116" s="47"/>
      <c r="AT116" s="4" t="s">
        <v>16</v>
      </c>
      <c r="AU116" s="43" t="str">
        <f>IF(VLOOKUP(AT116,βοηθητικό!$J$2:$N$354,3,FALSE)="","",VLOOKUP(AT116,βοηθητικό!$J$2:$N$354,3,FALSE))</f>
        <v>_</v>
      </c>
      <c r="AV116" s="44"/>
      <c r="AW116" s="5" t="s">
        <v>16</v>
      </c>
      <c r="AX116" s="46" t="str">
        <f>IF(VLOOKUP(AW116,βοηθητικό!$J$2:$N$354,3,FALSE)="","",VLOOKUP(AW116,βοηθητικό!$J$2:$N$354,3,FALSE))</f>
        <v>_</v>
      </c>
      <c r="AY116" s="47"/>
      <c r="AZ116" s="4" t="s">
        <v>16</v>
      </c>
      <c r="BA116" s="43" t="str">
        <f>IF(VLOOKUP(AZ116,βοηθητικό!$J$2:$N$354,3,FALSE)="","",VLOOKUP(AZ116,βοηθητικό!$J$2:$N$354,3,FALSE))</f>
        <v>_</v>
      </c>
      <c r="BB116" s="44"/>
      <c r="BC116" s="45" t="s">
        <v>16</v>
      </c>
      <c r="BD116" s="46" t="str">
        <f>IF(VLOOKUP(BC116,βοηθητικό!$J$2:$N$354,3,FALSE)="","",VLOOKUP(BC116,βοηθητικό!$J$2:$N$354,3,FALSE))</f>
        <v>_</v>
      </c>
      <c r="BE116" s="47"/>
      <c r="BF116" s="42" t="s">
        <v>16</v>
      </c>
      <c r="BG116" s="43" t="str">
        <f>IF(VLOOKUP(BF116,βοηθητικό!$J$2:$N$354,3,FALSE)="","",VLOOKUP(BF116,βοηθητικό!$J$2:$N$354,3,FALSE))</f>
        <v>_</v>
      </c>
      <c r="BH116" s="44"/>
      <c r="BI116" s="45" t="s">
        <v>16</v>
      </c>
      <c r="BJ116" s="46" t="str">
        <f>IF(VLOOKUP(BI116,βοηθητικό!$J$2:$N$354,3,FALSE)="","",VLOOKUP(BI116,βοηθητικό!$J$2:$N$354,3,FALSE))</f>
        <v>_</v>
      </c>
      <c r="BK116" s="47"/>
      <c r="BL116" s="42" t="s">
        <v>16</v>
      </c>
      <c r="BM116" s="43" t="str">
        <f>IF(VLOOKUP(BL116,βοηθητικό!$J$2:$N$354,3,FALSE)="","",VLOOKUP(BL116,βοηθητικό!$J$2:$N$354,3,FALSE))</f>
        <v>_</v>
      </c>
      <c r="BN116" s="44"/>
      <c r="BO116" s="45" t="s">
        <v>16</v>
      </c>
      <c r="BP116" s="46" t="str">
        <f>IF(VLOOKUP(BO116,βοηθητικό!$J$2:$N$354,3,FALSE)="","",VLOOKUP(BO116,βοηθητικό!$J$2:$N$354,3,FALSE))</f>
        <v>_</v>
      </c>
      <c r="BQ116" s="47"/>
      <c r="BR116" s="42" t="s">
        <v>16</v>
      </c>
      <c r="BS116" s="43" t="str">
        <f>IF(VLOOKUP(BR116,βοηθητικό!$J$2:$N$354,3,FALSE)="","",VLOOKUP(BR116,βοηθητικό!$J$2:$N$354,3,FALSE))</f>
        <v>_</v>
      </c>
      <c r="BT116" s="44"/>
      <c r="BU116" s="45" t="s">
        <v>16</v>
      </c>
      <c r="BV116" s="46" t="str">
        <f>IF(VLOOKUP(BU116,βοηθητικό!$J$2:$N$354,3,FALSE)="","",VLOOKUP(BU116,βοηθητικό!$J$2:$N$354,3,FALSE))</f>
        <v>_</v>
      </c>
      <c r="BW116" s="47"/>
      <c r="BX116" s="42" t="s">
        <v>16</v>
      </c>
      <c r="BY116" s="43" t="str">
        <f>IF(VLOOKUP(BX116,βοηθητικό!$J$2:$N$354,3,FALSE)="","",VLOOKUP(BX116,βοηθητικό!$J$2:$N$354,3,FALSE))</f>
        <v>_</v>
      </c>
      <c r="BZ116" s="44"/>
      <c r="CA116" s="45" t="s">
        <v>16</v>
      </c>
      <c r="CB116" s="46" t="str">
        <f>IF(VLOOKUP(CA116,βοηθητικό!$J$2:$N$354,3,FALSE)="","",VLOOKUP(CA116,βοηθητικό!$J$2:$N$354,3,FALSE))</f>
        <v>_</v>
      </c>
      <c r="CC116" s="47"/>
      <c r="CD116" s="42" t="s">
        <v>16</v>
      </c>
      <c r="CE116" s="43" t="str">
        <f>IF(VLOOKUP(CD116,βοηθητικό!$J$2:$N$354,3,FALSE)="","",VLOOKUP(CD116,βοηθητικό!$J$2:$N$354,3,FALSE))</f>
        <v>_</v>
      </c>
      <c r="CF116" s="44"/>
      <c r="CG116" s="45" t="s">
        <v>16</v>
      </c>
      <c r="CH116" s="46" t="str">
        <f>IF(VLOOKUP(CG116,βοηθητικό!$J$2:$N$354,3,FALSE)="","",VLOOKUP(CG116,βοηθητικό!$J$2:$N$354,3,FALSE))</f>
        <v>_</v>
      </c>
      <c r="CI116" s="47"/>
      <c r="CJ116" s="42" t="s">
        <v>16</v>
      </c>
      <c r="CK116" s="43" t="str">
        <f>IF(VLOOKUP(CJ116,βοηθητικό!$J$2:$N$354,3,FALSE)="","",VLOOKUP(CJ116,βοηθητικό!$J$2:$N$354,3,FALSE))</f>
        <v>_</v>
      </c>
      <c r="CL116" s="44"/>
      <c r="CM116" s="45" t="s">
        <v>16</v>
      </c>
      <c r="CN116" s="46" t="str">
        <f>IF(VLOOKUP(CM116,βοηθητικό!$J$2:$N$354,3,FALSE)="","",VLOOKUP(CM116,βοηθητικό!$J$2:$N$354,3,FALSE))</f>
        <v>_</v>
      </c>
      <c r="CO116" s="47"/>
      <c r="CP116" s="42" t="s">
        <v>16</v>
      </c>
      <c r="CQ116" s="43" t="str">
        <f>IF(VLOOKUP(CP116,βοηθητικό!$J$2:$N$354,3,FALSE)="","",VLOOKUP(CP116,βοηθητικό!$J$2:$N$354,3,FALSE))</f>
        <v>_</v>
      </c>
      <c r="CR116" s="44"/>
      <c r="CS116" s="45" t="s">
        <v>16</v>
      </c>
      <c r="CT116" s="46" t="str">
        <f>IF(VLOOKUP(CS116,βοηθητικό!$J$2:$N$354,3,FALSE)="","",VLOOKUP(CS116,βοηθητικό!$J$2:$N$354,3,FALSE))</f>
        <v>_</v>
      </c>
      <c r="CU116" s="47"/>
    </row>
    <row r="117" spans="1:99" x14ac:dyDescent="0.25">
      <c r="A117" s="37">
        <f>--SUBTOTAL(3,$B$3:B116)</f>
        <v>114</v>
      </c>
      <c r="B117" s="2">
        <v>45152</v>
      </c>
      <c r="C117" s="3">
        <v>45158</v>
      </c>
      <c r="D117" s="58" t="s">
        <v>45</v>
      </c>
      <c r="E117" s="38" t="s">
        <v>16</v>
      </c>
      <c r="F117" s="38" t="s">
        <v>16</v>
      </c>
      <c r="G117" s="39" t="str">
        <f t="shared" si="5"/>
        <v>__</v>
      </c>
      <c r="H117" s="40" t="str">
        <f t="shared" si="6"/>
        <v>FALSE</v>
      </c>
      <c r="I117" s="41">
        <f t="shared" si="7"/>
        <v>5</v>
      </c>
      <c r="J117" s="4" t="s">
        <v>581</v>
      </c>
      <c r="K117" s="43" t="str">
        <f>IF(VLOOKUP(J117,βοηθητικό!$J$2:$N$354,3,FALSE)="","",VLOOKUP(J117,βοηθητικό!$J$2:$N$354,3,FALSE))</f>
        <v>6932159538 6940215140</v>
      </c>
      <c r="L117" s="44"/>
      <c r="M117" s="5" t="s">
        <v>563</v>
      </c>
      <c r="N117" s="46" t="str">
        <f>IF(VLOOKUP(M117,βοηθητικό!$J$2:$N$354,3,FALSE)="","",VLOOKUP(M117,βοηθητικό!$J$2:$N$354,3,FALSE))</f>
        <v>6943571711</v>
      </c>
      <c r="O117" s="47"/>
      <c r="P117" s="4" t="s">
        <v>500</v>
      </c>
      <c r="Q117" s="43" t="str">
        <f>IF(VLOOKUP(P117,βοηθητικό!$J$2:$N$354,3,FALSE)="","",VLOOKUP(P117,βοηθητικό!$J$2:$N$354,3,FALSE))</f>
        <v>6945398229</v>
      </c>
      <c r="R117" s="44"/>
      <c r="S117" s="5" t="s">
        <v>514</v>
      </c>
      <c r="T117" s="46" t="str">
        <f>IF(VLOOKUP(S117,βοηθητικό!$J$2:$N$354,3,FALSE)="","",VLOOKUP(S117,βοηθητικό!$J$2:$N$354,3,FALSE))</f>
        <v>6936815219</v>
      </c>
      <c r="U117" s="47"/>
      <c r="V117" s="4" t="s">
        <v>519</v>
      </c>
      <c r="W117" s="43" t="str">
        <f>IF(VLOOKUP(V117,βοηθητικό!$J$2:$N$354,3,FALSE)="","",VLOOKUP(V117,βοηθητικό!$J$2:$N$354,3,FALSE))</f>
        <v>6942712190</v>
      </c>
      <c r="X117" s="44"/>
      <c r="Y117" s="5" t="s">
        <v>16</v>
      </c>
      <c r="Z117" s="46" t="str">
        <f>IF(VLOOKUP(Y117,βοηθητικό!$J$2:$N$354,3,FALSE)="","",VLOOKUP(Y117,βοηθητικό!$J$2:$N$354,3,FALSE))</f>
        <v>_</v>
      </c>
      <c r="AA117" s="47"/>
      <c r="AB117" s="4" t="s">
        <v>16</v>
      </c>
      <c r="AC117" s="43" t="str">
        <f>IF(VLOOKUP(AB117,βοηθητικό!$J$2:$N$354,3,FALSE)="","",VLOOKUP(AB117,βοηθητικό!$J$2:$N$354,3,FALSE))</f>
        <v>_</v>
      </c>
      <c r="AD117" s="44"/>
      <c r="AE117" s="5" t="s">
        <v>16</v>
      </c>
      <c r="AF117" s="46" t="str">
        <f>IF(VLOOKUP(AE117,βοηθητικό!$J$2:$N$354,3,FALSE)="","",VLOOKUP(AE117,βοηθητικό!$J$2:$N$354,3,FALSE))</f>
        <v>_</v>
      </c>
      <c r="AG117" s="47"/>
      <c r="AH117" s="4" t="s">
        <v>16</v>
      </c>
      <c r="AI117" s="43" t="str">
        <f>IF(VLOOKUP(AH117,βοηθητικό!$J$2:$N$354,3,FALSE)="","",VLOOKUP(AH117,βοηθητικό!$J$2:$N$354,3,FALSE))</f>
        <v>_</v>
      </c>
      <c r="AJ117" s="44"/>
      <c r="AK117" s="5" t="s">
        <v>16</v>
      </c>
      <c r="AL117" s="46" t="str">
        <f>IF(VLOOKUP(AK117,βοηθητικό!$J$2:$N$354,3,FALSE)="","",VLOOKUP(AK117,βοηθητικό!$J$2:$N$354,3,FALSE))</f>
        <v>_</v>
      </c>
      <c r="AM117" s="47"/>
      <c r="AN117" s="4" t="s">
        <v>16</v>
      </c>
      <c r="AO117" s="43" t="str">
        <f>IF(VLOOKUP(AN117,βοηθητικό!$J$2:$N$354,3,FALSE)="","",VLOOKUP(AN117,βοηθητικό!$J$2:$N$354,3,FALSE))</f>
        <v>_</v>
      </c>
      <c r="AP117" s="44"/>
      <c r="AQ117" s="5" t="s">
        <v>16</v>
      </c>
      <c r="AR117" s="46" t="str">
        <f>IF(VLOOKUP(AQ117,βοηθητικό!$J$2:$N$354,3,FALSE)="","",VLOOKUP(AQ117,βοηθητικό!$J$2:$N$354,3,FALSE))</f>
        <v>_</v>
      </c>
      <c r="AS117" s="47"/>
      <c r="AT117" s="4" t="s">
        <v>16</v>
      </c>
      <c r="AU117" s="43" t="str">
        <f>IF(VLOOKUP(AT117,βοηθητικό!$J$2:$N$354,3,FALSE)="","",VLOOKUP(AT117,βοηθητικό!$J$2:$N$354,3,FALSE))</f>
        <v>_</v>
      </c>
      <c r="AV117" s="44"/>
      <c r="AW117" s="5" t="s">
        <v>16</v>
      </c>
      <c r="AX117" s="46" t="str">
        <f>IF(VLOOKUP(AW117,βοηθητικό!$J$2:$N$354,3,FALSE)="","",VLOOKUP(AW117,βοηθητικό!$J$2:$N$354,3,FALSE))</f>
        <v>_</v>
      </c>
      <c r="AY117" s="47"/>
      <c r="AZ117" s="4" t="s">
        <v>16</v>
      </c>
      <c r="BA117" s="43" t="str">
        <f>IF(VLOOKUP(AZ117,βοηθητικό!$J$2:$N$354,3,FALSE)="","",VLOOKUP(AZ117,βοηθητικό!$J$2:$N$354,3,FALSE))</f>
        <v>_</v>
      </c>
      <c r="BB117" s="44"/>
      <c r="BC117" s="45" t="s">
        <v>16</v>
      </c>
      <c r="BD117" s="46" t="str">
        <f>IF(VLOOKUP(BC117,βοηθητικό!$J$2:$N$354,3,FALSE)="","",VLOOKUP(BC117,βοηθητικό!$J$2:$N$354,3,FALSE))</f>
        <v>_</v>
      </c>
      <c r="BE117" s="47"/>
      <c r="BF117" s="42" t="s">
        <v>16</v>
      </c>
      <c r="BG117" s="43" t="str">
        <f>IF(VLOOKUP(BF117,βοηθητικό!$J$2:$N$354,3,FALSE)="","",VLOOKUP(BF117,βοηθητικό!$J$2:$N$354,3,FALSE))</f>
        <v>_</v>
      </c>
      <c r="BH117" s="44"/>
      <c r="BI117" s="45" t="s">
        <v>16</v>
      </c>
      <c r="BJ117" s="46" t="str">
        <f>IF(VLOOKUP(BI117,βοηθητικό!$J$2:$N$354,3,FALSE)="","",VLOOKUP(BI117,βοηθητικό!$J$2:$N$354,3,FALSE))</f>
        <v>_</v>
      </c>
      <c r="BK117" s="47"/>
      <c r="BL117" s="42" t="s">
        <v>16</v>
      </c>
      <c r="BM117" s="43" t="str">
        <f>IF(VLOOKUP(BL117,βοηθητικό!$J$2:$N$354,3,FALSE)="","",VLOOKUP(BL117,βοηθητικό!$J$2:$N$354,3,FALSE))</f>
        <v>_</v>
      </c>
      <c r="BN117" s="44"/>
      <c r="BO117" s="45" t="s">
        <v>16</v>
      </c>
      <c r="BP117" s="46" t="str">
        <f>IF(VLOOKUP(BO117,βοηθητικό!$J$2:$N$354,3,FALSE)="","",VLOOKUP(BO117,βοηθητικό!$J$2:$N$354,3,FALSE))</f>
        <v>_</v>
      </c>
      <c r="BQ117" s="47"/>
      <c r="BR117" s="42" t="s">
        <v>16</v>
      </c>
      <c r="BS117" s="43" t="str">
        <f>IF(VLOOKUP(BR117,βοηθητικό!$J$2:$N$354,3,FALSE)="","",VLOOKUP(BR117,βοηθητικό!$J$2:$N$354,3,FALSE))</f>
        <v>_</v>
      </c>
      <c r="BT117" s="44"/>
      <c r="BU117" s="45" t="s">
        <v>16</v>
      </c>
      <c r="BV117" s="46" t="str">
        <f>IF(VLOOKUP(BU117,βοηθητικό!$J$2:$N$354,3,FALSE)="","",VLOOKUP(BU117,βοηθητικό!$J$2:$N$354,3,FALSE))</f>
        <v>_</v>
      </c>
      <c r="BW117" s="47"/>
      <c r="BX117" s="42" t="s">
        <v>16</v>
      </c>
      <c r="BY117" s="43" t="str">
        <f>IF(VLOOKUP(BX117,βοηθητικό!$J$2:$N$354,3,FALSE)="","",VLOOKUP(BX117,βοηθητικό!$J$2:$N$354,3,FALSE))</f>
        <v>_</v>
      </c>
      <c r="BZ117" s="44"/>
      <c r="CA117" s="45" t="s">
        <v>16</v>
      </c>
      <c r="CB117" s="46" t="str">
        <f>IF(VLOOKUP(CA117,βοηθητικό!$J$2:$N$354,3,FALSE)="","",VLOOKUP(CA117,βοηθητικό!$J$2:$N$354,3,FALSE))</f>
        <v>_</v>
      </c>
      <c r="CC117" s="47"/>
      <c r="CD117" s="42" t="s">
        <v>16</v>
      </c>
      <c r="CE117" s="43" t="str">
        <f>IF(VLOOKUP(CD117,βοηθητικό!$J$2:$N$354,3,FALSE)="","",VLOOKUP(CD117,βοηθητικό!$J$2:$N$354,3,FALSE))</f>
        <v>_</v>
      </c>
      <c r="CF117" s="44"/>
      <c r="CG117" s="45" t="s">
        <v>16</v>
      </c>
      <c r="CH117" s="46" t="str">
        <f>IF(VLOOKUP(CG117,βοηθητικό!$J$2:$N$354,3,FALSE)="","",VLOOKUP(CG117,βοηθητικό!$J$2:$N$354,3,FALSE))</f>
        <v>_</v>
      </c>
      <c r="CI117" s="47"/>
      <c r="CJ117" s="42" t="s">
        <v>16</v>
      </c>
      <c r="CK117" s="43" t="str">
        <f>IF(VLOOKUP(CJ117,βοηθητικό!$J$2:$N$354,3,FALSE)="","",VLOOKUP(CJ117,βοηθητικό!$J$2:$N$354,3,FALSE))</f>
        <v>_</v>
      </c>
      <c r="CL117" s="44"/>
      <c r="CM117" s="45" t="s">
        <v>16</v>
      </c>
      <c r="CN117" s="46" t="str">
        <f>IF(VLOOKUP(CM117,βοηθητικό!$J$2:$N$354,3,FALSE)="","",VLOOKUP(CM117,βοηθητικό!$J$2:$N$354,3,FALSE))</f>
        <v>_</v>
      </c>
      <c r="CO117" s="47"/>
      <c r="CP117" s="42" t="s">
        <v>16</v>
      </c>
      <c r="CQ117" s="43" t="str">
        <f>IF(VLOOKUP(CP117,βοηθητικό!$J$2:$N$354,3,FALSE)="","",VLOOKUP(CP117,βοηθητικό!$J$2:$N$354,3,FALSE))</f>
        <v>_</v>
      </c>
      <c r="CR117" s="44"/>
      <c r="CS117" s="45" t="s">
        <v>16</v>
      </c>
      <c r="CT117" s="46" t="str">
        <f>IF(VLOOKUP(CS117,βοηθητικό!$J$2:$N$354,3,FALSE)="","",VLOOKUP(CS117,βοηθητικό!$J$2:$N$354,3,FALSE))</f>
        <v>_</v>
      </c>
      <c r="CU117" s="47"/>
    </row>
    <row r="118" spans="1:99" x14ac:dyDescent="0.25">
      <c r="A118" s="37">
        <f>--SUBTOTAL(3,$B$3:B117)</f>
        <v>115</v>
      </c>
      <c r="B118" s="2">
        <v>45159</v>
      </c>
      <c r="C118" s="3">
        <v>45165</v>
      </c>
      <c r="D118" s="58" t="s">
        <v>45</v>
      </c>
      <c r="E118" s="38" t="s">
        <v>16</v>
      </c>
      <c r="F118" s="38" t="s">
        <v>16</v>
      </c>
      <c r="G118" s="39" t="str">
        <f t="shared" si="5"/>
        <v>__</v>
      </c>
      <c r="H118" s="40" t="str">
        <f t="shared" si="6"/>
        <v>FALSE</v>
      </c>
      <c r="I118" s="41">
        <f t="shared" si="7"/>
        <v>5</v>
      </c>
      <c r="J118" s="4" t="s">
        <v>494</v>
      </c>
      <c r="K118" s="43" t="str">
        <f>IF(VLOOKUP(J118,βοηθητικό!$J$2:$N$354,3,FALSE)="","",VLOOKUP(J118,βοηθητικό!$J$2:$N$354,3,FALSE))</f>
        <v>6972015302</v>
      </c>
      <c r="L118" s="44"/>
      <c r="M118" s="5" t="s">
        <v>553</v>
      </c>
      <c r="N118" s="46" t="str">
        <f>IF(VLOOKUP(M118,βοηθητικό!$J$2:$N$354,3,FALSE)="","",VLOOKUP(M118,βοηθητικό!$J$2:$N$354,3,FALSE))</f>
        <v>6974882019</v>
      </c>
      <c r="O118" s="47"/>
      <c r="P118" s="4" t="s">
        <v>573</v>
      </c>
      <c r="Q118" s="43" t="str">
        <f>IF(VLOOKUP(P118,βοηθητικό!$J$2:$N$354,3,FALSE)="","",VLOOKUP(P118,βοηθητικό!$J$2:$N$354,3,FALSE))</f>
        <v>6978010154</v>
      </c>
      <c r="R118" s="44"/>
      <c r="S118" s="5" t="s">
        <v>474</v>
      </c>
      <c r="T118" s="46" t="str">
        <f>IF(VLOOKUP(S118,βοηθητικό!$J$2:$N$354,3,FALSE)="","",VLOOKUP(S118,βοηθητικό!$J$2:$N$354,3,FALSE))</f>
        <v>6955448080</v>
      </c>
      <c r="U118" s="47"/>
      <c r="V118" s="4" t="s">
        <v>529</v>
      </c>
      <c r="W118" s="43" t="str">
        <f>IF(VLOOKUP(V118,βοηθητικό!$J$2:$N$354,3,FALSE)="","",VLOOKUP(V118,βοηθητικό!$J$2:$N$354,3,FALSE))</f>
        <v>6947727931</v>
      </c>
      <c r="X118" s="44"/>
      <c r="Y118" s="5" t="s">
        <v>16</v>
      </c>
      <c r="Z118" s="46" t="str">
        <f>IF(VLOOKUP(Y118,βοηθητικό!$J$2:$N$354,3,FALSE)="","",VLOOKUP(Y118,βοηθητικό!$J$2:$N$354,3,FALSE))</f>
        <v>_</v>
      </c>
      <c r="AA118" s="47"/>
      <c r="AB118" s="4" t="s">
        <v>16</v>
      </c>
      <c r="AC118" s="43" t="str">
        <f>IF(VLOOKUP(AB118,βοηθητικό!$J$2:$N$354,3,FALSE)="","",VLOOKUP(AB118,βοηθητικό!$J$2:$N$354,3,FALSE))</f>
        <v>_</v>
      </c>
      <c r="AD118" s="44"/>
      <c r="AE118" s="5" t="s">
        <v>16</v>
      </c>
      <c r="AF118" s="46" t="str">
        <f>IF(VLOOKUP(AE118,βοηθητικό!$J$2:$N$354,3,FALSE)="","",VLOOKUP(AE118,βοηθητικό!$J$2:$N$354,3,FALSE))</f>
        <v>_</v>
      </c>
      <c r="AG118" s="47"/>
      <c r="AH118" s="4" t="s">
        <v>16</v>
      </c>
      <c r="AI118" s="43" t="str">
        <f>IF(VLOOKUP(AH118,βοηθητικό!$J$2:$N$354,3,FALSE)="","",VLOOKUP(AH118,βοηθητικό!$J$2:$N$354,3,FALSE))</f>
        <v>_</v>
      </c>
      <c r="AJ118" s="44"/>
      <c r="AK118" s="5" t="s">
        <v>16</v>
      </c>
      <c r="AL118" s="46" t="str">
        <f>IF(VLOOKUP(AK118,βοηθητικό!$J$2:$N$354,3,FALSE)="","",VLOOKUP(AK118,βοηθητικό!$J$2:$N$354,3,FALSE))</f>
        <v>_</v>
      </c>
      <c r="AM118" s="47"/>
      <c r="AN118" s="4" t="s">
        <v>16</v>
      </c>
      <c r="AO118" s="43" t="str">
        <f>IF(VLOOKUP(AN118,βοηθητικό!$J$2:$N$354,3,FALSE)="","",VLOOKUP(AN118,βοηθητικό!$J$2:$N$354,3,FALSE))</f>
        <v>_</v>
      </c>
      <c r="AP118" s="44"/>
      <c r="AQ118" s="5" t="s">
        <v>16</v>
      </c>
      <c r="AR118" s="46" t="str">
        <f>IF(VLOOKUP(AQ118,βοηθητικό!$J$2:$N$354,3,FALSE)="","",VLOOKUP(AQ118,βοηθητικό!$J$2:$N$354,3,FALSE))</f>
        <v>_</v>
      </c>
      <c r="AS118" s="47"/>
      <c r="AT118" s="4" t="s">
        <v>16</v>
      </c>
      <c r="AU118" s="43" t="str">
        <f>IF(VLOOKUP(AT118,βοηθητικό!$J$2:$N$354,3,FALSE)="","",VLOOKUP(AT118,βοηθητικό!$J$2:$N$354,3,FALSE))</f>
        <v>_</v>
      </c>
      <c r="AV118" s="44"/>
      <c r="AW118" s="5" t="s">
        <v>16</v>
      </c>
      <c r="AX118" s="46" t="str">
        <f>IF(VLOOKUP(AW118,βοηθητικό!$J$2:$N$354,3,FALSE)="","",VLOOKUP(AW118,βοηθητικό!$J$2:$N$354,3,FALSE))</f>
        <v>_</v>
      </c>
      <c r="AY118" s="47"/>
      <c r="AZ118" s="4" t="s">
        <v>16</v>
      </c>
      <c r="BA118" s="43" t="str">
        <f>IF(VLOOKUP(AZ118,βοηθητικό!$J$2:$N$354,3,FALSE)="","",VLOOKUP(AZ118,βοηθητικό!$J$2:$N$354,3,FALSE))</f>
        <v>_</v>
      </c>
      <c r="BB118" s="44"/>
      <c r="BC118" s="45" t="s">
        <v>16</v>
      </c>
      <c r="BD118" s="46" t="str">
        <f>IF(VLOOKUP(BC118,βοηθητικό!$J$2:$N$354,3,FALSE)="","",VLOOKUP(BC118,βοηθητικό!$J$2:$N$354,3,FALSE))</f>
        <v>_</v>
      </c>
      <c r="BE118" s="47"/>
      <c r="BF118" s="42" t="s">
        <v>16</v>
      </c>
      <c r="BG118" s="43" t="str">
        <f>IF(VLOOKUP(BF118,βοηθητικό!$J$2:$N$354,3,FALSE)="","",VLOOKUP(BF118,βοηθητικό!$J$2:$N$354,3,FALSE))</f>
        <v>_</v>
      </c>
      <c r="BH118" s="44"/>
      <c r="BI118" s="45" t="s">
        <v>16</v>
      </c>
      <c r="BJ118" s="46" t="str">
        <f>IF(VLOOKUP(BI118,βοηθητικό!$J$2:$N$354,3,FALSE)="","",VLOOKUP(BI118,βοηθητικό!$J$2:$N$354,3,FALSE))</f>
        <v>_</v>
      </c>
      <c r="BK118" s="47"/>
      <c r="BL118" s="42" t="s">
        <v>16</v>
      </c>
      <c r="BM118" s="43" t="str">
        <f>IF(VLOOKUP(BL118,βοηθητικό!$J$2:$N$354,3,FALSE)="","",VLOOKUP(BL118,βοηθητικό!$J$2:$N$354,3,FALSE))</f>
        <v>_</v>
      </c>
      <c r="BN118" s="44"/>
      <c r="BO118" s="45" t="s">
        <v>16</v>
      </c>
      <c r="BP118" s="46" t="str">
        <f>IF(VLOOKUP(BO118,βοηθητικό!$J$2:$N$354,3,FALSE)="","",VLOOKUP(BO118,βοηθητικό!$J$2:$N$354,3,FALSE))</f>
        <v>_</v>
      </c>
      <c r="BQ118" s="47"/>
      <c r="BR118" s="42" t="s">
        <v>16</v>
      </c>
      <c r="BS118" s="43" t="str">
        <f>IF(VLOOKUP(BR118,βοηθητικό!$J$2:$N$354,3,FALSE)="","",VLOOKUP(BR118,βοηθητικό!$J$2:$N$354,3,FALSE))</f>
        <v>_</v>
      </c>
      <c r="BT118" s="44"/>
      <c r="BU118" s="45" t="s">
        <v>16</v>
      </c>
      <c r="BV118" s="46" t="str">
        <f>IF(VLOOKUP(BU118,βοηθητικό!$J$2:$N$354,3,FALSE)="","",VLOOKUP(BU118,βοηθητικό!$J$2:$N$354,3,FALSE))</f>
        <v>_</v>
      </c>
      <c r="BW118" s="47"/>
      <c r="BX118" s="42" t="s">
        <v>16</v>
      </c>
      <c r="BY118" s="43" t="str">
        <f>IF(VLOOKUP(BX118,βοηθητικό!$J$2:$N$354,3,FALSE)="","",VLOOKUP(BX118,βοηθητικό!$J$2:$N$354,3,FALSE))</f>
        <v>_</v>
      </c>
      <c r="BZ118" s="44"/>
      <c r="CA118" s="45" t="s">
        <v>16</v>
      </c>
      <c r="CB118" s="46" t="str">
        <f>IF(VLOOKUP(CA118,βοηθητικό!$J$2:$N$354,3,FALSE)="","",VLOOKUP(CA118,βοηθητικό!$J$2:$N$354,3,FALSE))</f>
        <v>_</v>
      </c>
      <c r="CC118" s="47"/>
      <c r="CD118" s="42" t="s">
        <v>16</v>
      </c>
      <c r="CE118" s="43" t="str">
        <f>IF(VLOOKUP(CD118,βοηθητικό!$J$2:$N$354,3,FALSE)="","",VLOOKUP(CD118,βοηθητικό!$J$2:$N$354,3,FALSE))</f>
        <v>_</v>
      </c>
      <c r="CF118" s="44"/>
      <c r="CG118" s="45" t="s">
        <v>16</v>
      </c>
      <c r="CH118" s="46" t="str">
        <f>IF(VLOOKUP(CG118,βοηθητικό!$J$2:$N$354,3,FALSE)="","",VLOOKUP(CG118,βοηθητικό!$J$2:$N$354,3,FALSE))</f>
        <v>_</v>
      </c>
      <c r="CI118" s="47"/>
      <c r="CJ118" s="42" t="s">
        <v>16</v>
      </c>
      <c r="CK118" s="43" t="str">
        <f>IF(VLOOKUP(CJ118,βοηθητικό!$J$2:$N$354,3,FALSE)="","",VLOOKUP(CJ118,βοηθητικό!$J$2:$N$354,3,FALSE))</f>
        <v>_</v>
      </c>
      <c r="CL118" s="44"/>
      <c r="CM118" s="45" t="s">
        <v>16</v>
      </c>
      <c r="CN118" s="46" t="str">
        <f>IF(VLOOKUP(CM118,βοηθητικό!$J$2:$N$354,3,FALSE)="","",VLOOKUP(CM118,βοηθητικό!$J$2:$N$354,3,FALSE))</f>
        <v>_</v>
      </c>
      <c r="CO118" s="47"/>
      <c r="CP118" s="42" t="s">
        <v>16</v>
      </c>
      <c r="CQ118" s="43" t="str">
        <f>IF(VLOOKUP(CP118,βοηθητικό!$J$2:$N$354,3,FALSE)="","",VLOOKUP(CP118,βοηθητικό!$J$2:$N$354,3,FALSE))</f>
        <v>_</v>
      </c>
      <c r="CR118" s="44"/>
      <c r="CS118" s="45" t="s">
        <v>16</v>
      </c>
      <c r="CT118" s="46" t="str">
        <f>IF(VLOOKUP(CS118,βοηθητικό!$J$2:$N$354,3,FALSE)="","",VLOOKUP(CS118,βοηθητικό!$J$2:$N$354,3,FALSE))</f>
        <v>_</v>
      </c>
      <c r="CU118" s="47"/>
    </row>
    <row r="119" spans="1:99" x14ac:dyDescent="0.25">
      <c r="A119" s="37">
        <f>--SUBTOTAL(3,$B$3:B118)</f>
        <v>116</v>
      </c>
      <c r="B119" s="2">
        <v>45138</v>
      </c>
      <c r="C119" s="3">
        <v>45144</v>
      </c>
      <c r="D119" s="57" t="s">
        <v>64</v>
      </c>
      <c r="E119" s="38" t="s">
        <v>16</v>
      </c>
      <c r="F119" s="38" t="s">
        <v>16</v>
      </c>
      <c r="G119" s="39" t="str">
        <f t="shared" si="5"/>
        <v>__</v>
      </c>
      <c r="H119" s="40" t="str">
        <f t="shared" si="6"/>
        <v>FALSE</v>
      </c>
      <c r="I119" s="41">
        <f t="shared" si="7"/>
        <v>5</v>
      </c>
      <c r="J119" s="4" t="s">
        <v>647</v>
      </c>
      <c r="K119" s="43">
        <f>IF(VLOOKUP(J119,βοηθητικό!$J$2:$N$354,3,FALSE)="","",VLOOKUP(J119,βοηθητικό!$J$2:$N$354,3,FALSE))</f>
        <v>6977248108</v>
      </c>
      <c r="L119" s="44"/>
      <c r="M119" s="5" t="s">
        <v>675</v>
      </c>
      <c r="N119" s="46" t="str">
        <f>IF(VLOOKUP(M119,βοηθητικό!$J$2:$N$354,3,FALSE)="","",VLOOKUP(M119,βοηθητικό!$J$2:$N$354,3,FALSE))</f>
        <v>6970932706</v>
      </c>
      <c r="O119" s="47"/>
      <c r="P119" s="4" t="s">
        <v>709</v>
      </c>
      <c r="Q119" s="43" t="str">
        <f>IF(VLOOKUP(P119,βοηθητικό!$J$2:$N$354,3,FALSE)="","",VLOOKUP(P119,βοηθητικό!$J$2:$N$354,3,FALSE))</f>
        <v>6944439132</v>
      </c>
      <c r="R119" s="44"/>
      <c r="S119" s="5" t="s">
        <v>721</v>
      </c>
      <c r="T119" s="46" t="str">
        <f>IF(VLOOKUP(S119,βοηθητικό!$J$2:$N$354,3,FALSE)="","",VLOOKUP(S119,βοηθητικό!$J$2:$N$354,3,FALSE))</f>
        <v>6947205702</v>
      </c>
      <c r="U119" s="47"/>
      <c r="V119" s="4" t="s">
        <v>735</v>
      </c>
      <c r="W119" s="43">
        <f>IF(VLOOKUP(V119,βοηθητικό!$J$2:$N$354,3,FALSE)="","",VLOOKUP(V119,βοηθητικό!$J$2:$N$354,3,FALSE))</f>
        <v>6937699769</v>
      </c>
      <c r="X119" s="44"/>
      <c r="Y119" s="5" t="s">
        <v>16</v>
      </c>
      <c r="Z119" s="46" t="str">
        <f>IF(VLOOKUP(Y119,βοηθητικό!$J$2:$N$354,3,FALSE)="","",VLOOKUP(Y119,βοηθητικό!$J$2:$N$354,3,FALSE))</f>
        <v>_</v>
      </c>
      <c r="AA119" s="47"/>
      <c r="AB119" s="4" t="s">
        <v>16</v>
      </c>
      <c r="AC119" s="43" t="str">
        <f>IF(VLOOKUP(AB119,βοηθητικό!$J$2:$N$354,3,FALSE)="","",VLOOKUP(AB119,βοηθητικό!$J$2:$N$354,3,FALSE))</f>
        <v>_</v>
      </c>
      <c r="AD119" s="44"/>
      <c r="AE119" s="5" t="s">
        <v>16</v>
      </c>
      <c r="AF119" s="46" t="str">
        <f>IF(VLOOKUP(AE119,βοηθητικό!$J$2:$N$354,3,FALSE)="","",VLOOKUP(AE119,βοηθητικό!$J$2:$N$354,3,FALSE))</f>
        <v>_</v>
      </c>
      <c r="AG119" s="47"/>
      <c r="AH119" s="4" t="s">
        <v>16</v>
      </c>
      <c r="AI119" s="43" t="str">
        <f>IF(VLOOKUP(AH119,βοηθητικό!$J$2:$N$354,3,FALSE)="","",VLOOKUP(AH119,βοηθητικό!$J$2:$N$354,3,FALSE))</f>
        <v>_</v>
      </c>
      <c r="AJ119" s="44"/>
      <c r="AK119" s="5" t="s">
        <v>16</v>
      </c>
      <c r="AL119" s="46" t="str">
        <f>IF(VLOOKUP(AK119,βοηθητικό!$J$2:$N$354,3,FALSE)="","",VLOOKUP(AK119,βοηθητικό!$J$2:$N$354,3,FALSE))</f>
        <v>_</v>
      </c>
      <c r="AM119" s="47"/>
      <c r="AN119" s="4" t="s">
        <v>16</v>
      </c>
      <c r="AO119" s="43" t="str">
        <f>IF(VLOOKUP(AN119,βοηθητικό!$J$2:$N$354,3,FALSE)="","",VLOOKUP(AN119,βοηθητικό!$J$2:$N$354,3,FALSE))</f>
        <v>_</v>
      </c>
      <c r="AP119" s="44"/>
      <c r="AQ119" s="5" t="s">
        <v>16</v>
      </c>
      <c r="AR119" s="46" t="str">
        <f>IF(VLOOKUP(AQ119,βοηθητικό!$J$2:$N$354,3,FALSE)="","",VLOOKUP(AQ119,βοηθητικό!$J$2:$N$354,3,FALSE))</f>
        <v>_</v>
      </c>
      <c r="AS119" s="47"/>
      <c r="AT119" s="4" t="s">
        <v>16</v>
      </c>
      <c r="AU119" s="43" t="str">
        <f>IF(VLOOKUP(AT119,βοηθητικό!$J$2:$N$354,3,FALSE)="","",VLOOKUP(AT119,βοηθητικό!$J$2:$N$354,3,FALSE))</f>
        <v>_</v>
      </c>
      <c r="AV119" s="44"/>
      <c r="AW119" s="5" t="s">
        <v>16</v>
      </c>
      <c r="AX119" s="46" t="str">
        <f>IF(VLOOKUP(AW119,βοηθητικό!$J$2:$N$354,3,FALSE)="","",VLOOKUP(AW119,βοηθητικό!$J$2:$N$354,3,FALSE))</f>
        <v>_</v>
      </c>
      <c r="AY119" s="47"/>
      <c r="AZ119" s="4" t="s">
        <v>16</v>
      </c>
      <c r="BA119" s="43" t="str">
        <f>IF(VLOOKUP(AZ119,βοηθητικό!$J$2:$N$354,3,FALSE)="","",VLOOKUP(AZ119,βοηθητικό!$J$2:$N$354,3,FALSE))</f>
        <v>_</v>
      </c>
      <c r="BB119" s="44"/>
      <c r="BC119" s="45" t="s">
        <v>16</v>
      </c>
      <c r="BD119" s="46" t="str">
        <f>IF(VLOOKUP(BC119,βοηθητικό!$J$2:$N$354,3,FALSE)="","",VLOOKUP(BC119,βοηθητικό!$J$2:$N$354,3,FALSE))</f>
        <v>_</v>
      </c>
      <c r="BE119" s="47"/>
      <c r="BF119" s="42" t="s">
        <v>16</v>
      </c>
      <c r="BG119" s="43" t="str">
        <f>IF(VLOOKUP(BF119,βοηθητικό!$J$2:$N$354,3,FALSE)="","",VLOOKUP(BF119,βοηθητικό!$J$2:$N$354,3,FALSE))</f>
        <v>_</v>
      </c>
      <c r="BH119" s="44"/>
      <c r="BI119" s="45" t="s">
        <v>16</v>
      </c>
      <c r="BJ119" s="46" t="str">
        <f>IF(VLOOKUP(BI119,βοηθητικό!$J$2:$N$354,3,FALSE)="","",VLOOKUP(BI119,βοηθητικό!$J$2:$N$354,3,FALSE))</f>
        <v>_</v>
      </c>
      <c r="BK119" s="47"/>
      <c r="BL119" s="42" t="s">
        <v>16</v>
      </c>
      <c r="BM119" s="43" t="str">
        <f>IF(VLOOKUP(BL119,βοηθητικό!$J$2:$N$354,3,FALSE)="","",VLOOKUP(BL119,βοηθητικό!$J$2:$N$354,3,FALSE))</f>
        <v>_</v>
      </c>
      <c r="BN119" s="44"/>
      <c r="BO119" s="45" t="s">
        <v>16</v>
      </c>
      <c r="BP119" s="46" t="str">
        <f>IF(VLOOKUP(BO119,βοηθητικό!$J$2:$N$354,3,FALSE)="","",VLOOKUP(BO119,βοηθητικό!$J$2:$N$354,3,FALSE))</f>
        <v>_</v>
      </c>
      <c r="BQ119" s="47"/>
      <c r="BR119" s="42" t="s">
        <v>16</v>
      </c>
      <c r="BS119" s="43" t="str">
        <f>IF(VLOOKUP(BR119,βοηθητικό!$J$2:$N$354,3,FALSE)="","",VLOOKUP(BR119,βοηθητικό!$J$2:$N$354,3,FALSE))</f>
        <v>_</v>
      </c>
      <c r="BT119" s="44"/>
      <c r="BU119" s="45" t="s">
        <v>16</v>
      </c>
      <c r="BV119" s="46" t="str">
        <f>IF(VLOOKUP(BU119,βοηθητικό!$J$2:$N$354,3,FALSE)="","",VLOOKUP(BU119,βοηθητικό!$J$2:$N$354,3,FALSE))</f>
        <v>_</v>
      </c>
      <c r="BW119" s="47"/>
      <c r="BX119" s="42" t="s">
        <v>16</v>
      </c>
      <c r="BY119" s="43" t="str">
        <f>IF(VLOOKUP(BX119,βοηθητικό!$J$2:$N$354,3,FALSE)="","",VLOOKUP(BX119,βοηθητικό!$J$2:$N$354,3,FALSE))</f>
        <v>_</v>
      </c>
      <c r="BZ119" s="44"/>
      <c r="CA119" s="45" t="s">
        <v>16</v>
      </c>
      <c r="CB119" s="46" t="str">
        <f>IF(VLOOKUP(CA119,βοηθητικό!$J$2:$N$354,3,FALSE)="","",VLOOKUP(CA119,βοηθητικό!$J$2:$N$354,3,FALSE))</f>
        <v>_</v>
      </c>
      <c r="CC119" s="47"/>
      <c r="CD119" s="42" t="s">
        <v>16</v>
      </c>
      <c r="CE119" s="43" t="str">
        <f>IF(VLOOKUP(CD119,βοηθητικό!$J$2:$N$354,3,FALSE)="","",VLOOKUP(CD119,βοηθητικό!$J$2:$N$354,3,FALSE))</f>
        <v>_</v>
      </c>
      <c r="CF119" s="44"/>
      <c r="CG119" s="45" t="s">
        <v>16</v>
      </c>
      <c r="CH119" s="46" t="str">
        <f>IF(VLOOKUP(CG119,βοηθητικό!$J$2:$N$354,3,FALSE)="","",VLOOKUP(CG119,βοηθητικό!$J$2:$N$354,3,FALSE))</f>
        <v>_</v>
      </c>
      <c r="CI119" s="47"/>
      <c r="CJ119" s="42" t="s">
        <v>16</v>
      </c>
      <c r="CK119" s="43" t="str">
        <f>IF(VLOOKUP(CJ119,βοηθητικό!$J$2:$N$354,3,FALSE)="","",VLOOKUP(CJ119,βοηθητικό!$J$2:$N$354,3,FALSE))</f>
        <v>_</v>
      </c>
      <c r="CL119" s="44"/>
      <c r="CM119" s="45" t="s">
        <v>16</v>
      </c>
      <c r="CN119" s="46" t="str">
        <f>IF(VLOOKUP(CM119,βοηθητικό!$J$2:$N$354,3,FALSE)="","",VLOOKUP(CM119,βοηθητικό!$J$2:$N$354,3,FALSE))</f>
        <v>_</v>
      </c>
      <c r="CO119" s="47"/>
      <c r="CP119" s="42" t="s">
        <v>16</v>
      </c>
      <c r="CQ119" s="43" t="str">
        <f>IF(VLOOKUP(CP119,βοηθητικό!$J$2:$N$354,3,FALSE)="","",VLOOKUP(CP119,βοηθητικό!$J$2:$N$354,3,FALSE))</f>
        <v>_</v>
      </c>
      <c r="CR119" s="44"/>
      <c r="CS119" s="45" t="s">
        <v>16</v>
      </c>
      <c r="CT119" s="46" t="str">
        <f>IF(VLOOKUP(CS119,βοηθητικό!$J$2:$N$354,3,FALSE)="","",VLOOKUP(CS119,βοηθητικό!$J$2:$N$354,3,FALSE))</f>
        <v>_</v>
      </c>
      <c r="CU119" s="47"/>
    </row>
    <row r="120" spans="1:99" x14ac:dyDescent="0.25">
      <c r="A120" s="37">
        <f>--SUBTOTAL(3,$B$3:B119)</f>
        <v>117</v>
      </c>
      <c r="B120" s="2">
        <v>45145</v>
      </c>
      <c r="C120" s="3">
        <v>45151</v>
      </c>
      <c r="D120" s="57" t="s">
        <v>64</v>
      </c>
      <c r="E120" s="38" t="s">
        <v>16</v>
      </c>
      <c r="F120" s="38" t="s">
        <v>16</v>
      </c>
      <c r="G120" s="39" t="str">
        <f t="shared" si="5"/>
        <v>__</v>
      </c>
      <c r="H120" s="40" t="str">
        <f t="shared" si="6"/>
        <v>FALSE</v>
      </c>
      <c r="I120" s="41">
        <f t="shared" si="7"/>
        <v>6</v>
      </c>
      <c r="J120" s="4" t="s">
        <v>618</v>
      </c>
      <c r="K120" s="43">
        <f>IF(VLOOKUP(J120,βοηθητικό!$J$2:$N$354,3,FALSE)="","",VLOOKUP(J120,βοηθητικό!$J$2:$N$354,3,FALSE))</f>
        <v>6977784031</v>
      </c>
      <c r="L120" s="44"/>
      <c r="M120" s="5" t="s">
        <v>630</v>
      </c>
      <c r="N120" s="46" t="str">
        <f>IF(VLOOKUP(M120,βοηθητικό!$J$2:$N$354,3,FALSE)="","",VLOOKUP(M120,βοηθητικό!$J$2:$N$354,3,FALSE))</f>
        <v>6973050287</v>
      </c>
      <c r="O120" s="47"/>
      <c r="P120" s="4" t="s">
        <v>684</v>
      </c>
      <c r="Q120" s="43" t="str">
        <f>IF(VLOOKUP(P120,βοηθητικό!$J$2:$N$354,3,FALSE)="","",VLOOKUP(P120,βοηθητικό!$J$2:$N$354,3,FALSE))</f>
        <v>6945186177</v>
      </c>
      <c r="R120" s="44"/>
      <c r="S120" s="5" t="s">
        <v>680</v>
      </c>
      <c r="T120" s="46">
        <f>IF(VLOOKUP(S120,βοηθητικό!$J$2:$N$354,3,FALSE)="","",VLOOKUP(S120,βοηθητικό!$J$2:$N$354,3,FALSE))</f>
        <v>6972606031</v>
      </c>
      <c r="U120" s="47"/>
      <c r="V120" s="4" t="s">
        <v>698</v>
      </c>
      <c r="W120" s="43" t="str">
        <f>IF(VLOOKUP(V120,βοηθητικό!$J$2:$N$354,3,FALSE)="","",VLOOKUP(V120,βοηθητικό!$J$2:$N$354,3,FALSE))</f>
        <v>6982255759</v>
      </c>
      <c r="X120" s="44"/>
      <c r="Y120" s="5" t="s">
        <v>725</v>
      </c>
      <c r="Z120" s="46" t="str">
        <f>IF(VLOOKUP(Y120,βοηθητικό!$J$2:$N$354,3,FALSE)="","",VLOOKUP(Y120,βοηθητικό!$J$2:$N$354,3,FALSE))</f>
        <v>6948851335</v>
      </c>
      <c r="AA120" s="47"/>
      <c r="AB120" s="4" t="s">
        <v>16</v>
      </c>
      <c r="AC120" s="43" t="str">
        <f>IF(VLOOKUP(AB120,βοηθητικό!$J$2:$N$354,3,FALSE)="","",VLOOKUP(AB120,βοηθητικό!$J$2:$N$354,3,FALSE))</f>
        <v>_</v>
      </c>
      <c r="AD120" s="44"/>
      <c r="AE120" s="5" t="s">
        <v>16</v>
      </c>
      <c r="AF120" s="46" t="str">
        <f>IF(VLOOKUP(AE120,βοηθητικό!$J$2:$N$354,3,FALSE)="","",VLOOKUP(AE120,βοηθητικό!$J$2:$N$354,3,FALSE))</f>
        <v>_</v>
      </c>
      <c r="AG120" s="47"/>
      <c r="AH120" s="4" t="s">
        <v>16</v>
      </c>
      <c r="AI120" s="43" t="str">
        <f>IF(VLOOKUP(AH120,βοηθητικό!$J$2:$N$354,3,FALSE)="","",VLOOKUP(AH120,βοηθητικό!$J$2:$N$354,3,FALSE))</f>
        <v>_</v>
      </c>
      <c r="AJ120" s="44"/>
      <c r="AK120" s="5" t="s">
        <v>16</v>
      </c>
      <c r="AL120" s="46" t="str">
        <f>IF(VLOOKUP(AK120,βοηθητικό!$J$2:$N$354,3,FALSE)="","",VLOOKUP(AK120,βοηθητικό!$J$2:$N$354,3,FALSE))</f>
        <v>_</v>
      </c>
      <c r="AM120" s="47"/>
      <c r="AN120" s="4" t="s">
        <v>16</v>
      </c>
      <c r="AO120" s="43" t="str">
        <f>IF(VLOOKUP(AN120,βοηθητικό!$J$2:$N$354,3,FALSE)="","",VLOOKUP(AN120,βοηθητικό!$J$2:$N$354,3,FALSE))</f>
        <v>_</v>
      </c>
      <c r="AP120" s="44"/>
      <c r="AQ120" s="5" t="s">
        <v>16</v>
      </c>
      <c r="AR120" s="46" t="str">
        <f>IF(VLOOKUP(AQ120,βοηθητικό!$J$2:$N$354,3,FALSE)="","",VLOOKUP(AQ120,βοηθητικό!$J$2:$N$354,3,FALSE))</f>
        <v>_</v>
      </c>
      <c r="AS120" s="47"/>
      <c r="AT120" s="4" t="s">
        <v>16</v>
      </c>
      <c r="AU120" s="43" t="str">
        <f>IF(VLOOKUP(AT120,βοηθητικό!$J$2:$N$354,3,FALSE)="","",VLOOKUP(AT120,βοηθητικό!$J$2:$N$354,3,FALSE))</f>
        <v>_</v>
      </c>
      <c r="AV120" s="44"/>
      <c r="AW120" s="5" t="s">
        <v>16</v>
      </c>
      <c r="AX120" s="46" t="str">
        <f>IF(VLOOKUP(AW120,βοηθητικό!$J$2:$N$354,3,FALSE)="","",VLOOKUP(AW120,βοηθητικό!$J$2:$N$354,3,FALSE))</f>
        <v>_</v>
      </c>
      <c r="AY120" s="47"/>
      <c r="AZ120" s="4" t="s">
        <v>16</v>
      </c>
      <c r="BA120" s="43" t="str">
        <f>IF(VLOOKUP(AZ120,βοηθητικό!$J$2:$N$354,3,FALSE)="","",VLOOKUP(AZ120,βοηθητικό!$J$2:$N$354,3,FALSE))</f>
        <v>_</v>
      </c>
      <c r="BB120" s="44"/>
      <c r="BC120" s="45" t="s">
        <v>16</v>
      </c>
      <c r="BD120" s="46" t="str">
        <f>IF(VLOOKUP(BC120,βοηθητικό!$J$2:$N$354,3,FALSE)="","",VLOOKUP(BC120,βοηθητικό!$J$2:$N$354,3,FALSE))</f>
        <v>_</v>
      </c>
      <c r="BE120" s="47"/>
      <c r="BF120" s="42" t="s">
        <v>16</v>
      </c>
      <c r="BG120" s="43" t="str">
        <f>IF(VLOOKUP(BF120,βοηθητικό!$J$2:$N$354,3,FALSE)="","",VLOOKUP(BF120,βοηθητικό!$J$2:$N$354,3,FALSE))</f>
        <v>_</v>
      </c>
      <c r="BH120" s="44"/>
      <c r="BI120" s="45" t="s">
        <v>16</v>
      </c>
      <c r="BJ120" s="46" t="str">
        <f>IF(VLOOKUP(BI120,βοηθητικό!$J$2:$N$354,3,FALSE)="","",VLOOKUP(BI120,βοηθητικό!$J$2:$N$354,3,FALSE))</f>
        <v>_</v>
      </c>
      <c r="BK120" s="47"/>
      <c r="BL120" s="42" t="s">
        <v>16</v>
      </c>
      <c r="BM120" s="43" t="str">
        <f>IF(VLOOKUP(BL120,βοηθητικό!$J$2:$N$354,3,FALSE)="","",VLOOKUP(BL120,βοηθητικό!$J$2:$N$354,3,FALSE))</f>
        <v>_</v>
      </c>
      <c r="BN120" s="44"/>
      <c r="BO120" s="45" t="s">
        <v>16</v>
      </c>
      <c r="BP120" s="46" t="str">
        <f>IF(VLOOKUP(BO120,βοηθητικό!$J$2:$N$354,3,FALSE)="","",VLOOKUP(BO120,βοηθητικό!$J$2:$N$354,3,FALSE))</f>
        <v>_</v>
      </c>
      <c r="BQ120" s="47"/>
      <c r="BR120" s="42" t="s">
        <v>16</v>
      </c>
      <c r="BS120" s="43" t="str">
        <f>IF(VLOOKUP(BR120,βοηθητικό!$J$2:$N$354,3,FALSE)="","",VLOOKUP(BR120,βοηθητικό!$J$2:$N$354,3,FALSE))</f>
        <v>_</v>
      </c>
      <c r="BT120" s="44"/>
      <c r="BU120" s="45" t="s">
        <v>16</v>
      </c>
      <c r="BV120" s="46" t="str">
        <f>IF(VLOOKUP(BU120,βοηθητικό!$J$2:$N$354,3,FALSE)="","",VLOOKUP(BU120,βοηθητικό!$J$2:$N$354,3,FALSE))</f>
        <v>_</v>
      </c>
      <c r="BW120" s="47"/>
      <c r="BX120" s="42" t="s">
        <v>16</v>
      </c>
      <c r="BY120" s="43" t="str">
        <f>IF(VLOOKUP(BX120,βοηθητικό!$J$2:$N$354,3,FALSE)="","",VLOOKUP(BX120,βοηθητικό!$J$2:$N$354,3,FALSE))</f>
        <v>_</v>
      </c>
      <c r="BZ120" s="44"/>
      <c r="CA120" s="45" t="s">
        <v>16</v>
      </c>
      <c r="CB120" s="46" t="str">
        <f>IF(VLOOKUP(CA120,βοηθητικό!$J$2:$N$354,3,FALSE)="","",VLOOKUP(CA120,βοηθητικό!$J$2:$N$354,3,FALSE))</f>
        <v>_</v>
      </c>
      <c r="CC120" s="47"/>
      <c r="CD120" s="42" t="s">
        <v>16</v>
      </c>
      <c r="CE120" s="43" t="str">
        <f>IF(VLOOKUP(CD120,βοηθητικό!$J$2:$N$354,3,FALSE)="","",VLOOKUP(CD120,βοηθητικό!$J$2:$N$354,3,FALSE))</f>
        <v>_</v>
      </c>
      <c r="CF120" s="44"/>
      <c r="CG120" s="45" t="s">
        <v>16</v>
      </c>
      <c r="CH120" s="46" t="str">
        <f>IF(VLOOKUP(CG120,βοηθητικό!$J$2:$N$354,3,FALSE)="","",VLOOKUP(CG120,βοηθητικό!$J$2:$N$354,3,FALSE))</f>
        <v>_</v>
      </c>
      <c r="CI120" s="47"/>
      <c r="CJ120" s="42" t="s">
        <v>16</v>
      </c>
      <c r="CK120" s="43" t="str">
        <f>IF(VLOOKUP(CJ120,βοηθητικό!$J$2:$N$354,3,FALSE)="","",VLOOKUP(CJ120,βοηθητικό!$J$2:$N$354,3,FALSE))</f>
        <v>_</v>
      </c>
      <c r="CL120" s="44"/>
      <c r="CM120" s="45" t="s">
        <v>16</v>
      </c>
      <c r="CN120" s="46" t="str">
        <f>IF(VLOOKUP(CM120,βοηθητικό!$J$2:$N$354,3,FALSE)="","",VLOOKUP(CM120,βοηθητικό!$J$2:$N$354,3,FALSE))</f>
        <v>_</v>
      </c>
      <c r="CO120" s="47"/>
      <c r="CP120" s="42" t="s">
        <v>16</v>
      </c>
      <c r="CQ120" s="43" t="str">
        <f>IF(VLOOKUP(CP120,βοηθητικό!$J$2:$N$354,3,FALSE)="","",VLOOKUP(CP120,βοηθητικό!$J$2:$N$354,3,FALSE))</f>
        <v>_</v>
      </c>
      <c r="CR120" s="44"/>
      <c r="CS120" s="45" t="s">
        <v>16</v>
      </c>
      <c r="CT120" s="46" t="str">
        <f>IF(VLOOKUP(CS120,βοηθητικό!$J$2:$N$354,3,FALSE)="","",VLOOKUP(CS120,βοηθητικό!$J$2:$N$354,3,FALSE))</f>
        <v>_</v>
      </c>
      <c r="CU120" s="47"/>
    </row>
    <row r="121" spans="1:99" x14ac:dyDescent="0.25">
      <c r="A121" s="37">
        <f>--SUBTOTAL(3,$B$3:B120)</f>
        <v>118</v>
      </c>
      <c r="B121" s="2">
        <v>45152</v>
      </c>
      <c r="C121" s="3">
        <v>45158</v>
      </c>
      <c r="D121" s="57" t="s">
        <v>64</v>
      </c>
      <c r="E121" s="38" t="s">
        <v>16</v>
      </c>
      <c r="F121" s="38" t="s">
        <v>16</v>
      </c>
      <c r="G121" s="39" t="str">
        <f t="shared" si="5"/>
        <v>__</v>
      </c>
      <c r="H121" s="40" t="str">
        <f t="shared" si="6"/>
        <v>FALSE</v>
      </c>
      <c r="I121" s="41">
        <f t="shared" si="7"/>
        <v>6</v>
      </c>
      <c r="J121" s="4" t="s">
        <v>612</v>
      </c>
      <c r="K121" s="43" t="str">
        <f>IF(VLOOKUP(J121,βοηθητικό!$J$2:$N$354,3,FALSE)="","",VLOOKUP(J121,βοηθητικό!$J$2:$N$354,3,FALSE))</f>
        <v>6998911942 6994433516</v>
      </c>
      <c r="L121" s="44"/>
      <c r="M121" s="5" t="s">
        <v>651</v>
      </c>
      <c r="N121" s="46" t="str">
        <f>IF(VLOOKUP(M121,βοηθητικό!$J$2:$N$354,3,FALSE)="","",VLOOKUP(M121,βοηθητικό!$J$2:$N$354,3,FALSE))</f>
        <v>6973336452</v>
      </c>
      <c r="O121" s="47"/>
      <c r="P121" s="4" t="s">
        <v>663</v>
      </c>
      <c r="Q121" s="43" t="str">
        <f>IF(VLOOKUP(P121,βοηθητικό!$J$2:$N$354,3,FALSE)="","",VLOOKUP(P121,βοηθητικό!$J$2:$N$354,3,FALSE))</f>
        <v>6972105023</v>
      </c>
      <c r="R121" s="44"/>
      <c r="S121" s="5" t="s">
        <v>669</v>
      </c>
      <c r="T121" s="46" t="str">
        <f>IF(VLOOKUP(S121,βοηθητικό!$J$2:$N$354,3,FALSE)="","",VLOOKUP(S121,βοηθητικό!$J$2:$N$354,3,FALSE))</f>
        <v>6976005555</v>
      </c>
      <c r="U121" s="47"/>
      <c r="V121" s="4" t="s">
        <v>693</v>
      </c>
      <c r="W121" s="43">
        <f>IF(VLOOKUP(V121,βοηθητικό!$J$2:$N$354,3,FALSE)="","",VLOOKUP(V121,βοηθητικό!$J$2:$N$354,3,FALSE))</f>
        <v>6947551606</v>
      </c>
      <c r="X121" s="44"/>
      <c r="Y121" s="5" t="s">
        <v>703</v>
      </c>
      <c r="Z121" s="46" t="str">
        <f>IF(VLOOKUP(Y121,βοηθητικό!$J$2:$N$354,3,FALSE)="","",VLOOKUP(Y121,βοηθητικό!$J$2:$N$354,3,FALSE))</f>
        <v>6971603158</v>
      </c>
      <c r="AA121" s="47"/>
      <c r="AB121" s="4" t="s">
        <v>16</v>
      </c>
      <c r="AC121" s="43" t="str">
        <f>IF(VLOOKUP(AB121,βοηθητικό!$J$2:$N$354,3,FALSE)="","",VLOOKUP(AB121,βοηθητικό!$J$2:$N$354,3,FALSE))</f>
        <v>_</v>
      </c>
      <c r="AD121" s="44"/>
      <c r="AE121" s="5" t="s">
        <v>16</v>
      </c>
      <c r="AF121" s="46" t="str">
        <f>IF(VLOOKUP(AE121,βοηθητικό!$J$2:$N$354,3,FALSE)="","",VLOOKUP(AE121,βοηθητικό!$J$2:$N$354,3,FALSE))</f>
        <v>_</v>
      </c>
      <c r="AG121" s="47"/>
      <c r="AH121" s="4" t="s">
        <v>16</v>
      </c>
      <c r="AI121" s="43" t="str">
        <f>IF(VLOOKUP(AH121,βοηθητικό!$J$2:$N$354,3,FALSE)="","",VLOOKUP(AH121,βοηθητικό!$J$2:$N$354,3,FALSE))</f>
        <v>_</v>
      </c>
      <c r="AJ121" s="44"/>
      <c r="AK121" s="5" t="s">
        <v>16</v>
      </c>
      <c r="AL121" s="46" t="str">
        <f>IF(VLOOKUP(AK121,βοηθητικό!$J$2:$N$354,3,FALSE)="","",VLOOKUP(AK121,βοηθητικό!$J$2:$N$354,3,FALSE))</f>
        <v>_</v>
      </c>
      <c r="AM121" s="47"/>
      <c r="AN121" s="4" t="s">
        <v>16</v>
      </c>
      <c r="AO121" s="43" t="str">
        <f>IF(VLOOKUP(AN121,βοηθητικό!$J$2:$N$354,3,FALSE)="","",VLOOKUP(AN121,βοηθητικό!$J$2:$N$354,3,FALSE))</f>
        <v>_</v>
      </c>
      <c r="AP121" s="44"/>
      <c r="AQ121" s="5" t="s">
        <v>16</v>
      </c>
      <c r="AR121" s="46" t="str">
        <f>IF(VLOOKUP(AQ121,βοηθητικό!$J$2:$N$354,3,FALSE)="","",VLOOKUP(AQ121,βοηθητικό!$J$2:$N$354,3,FALSE))</f>
        <v>_</v>
      </c>
      <c r="AS121" s="47"/>
      <c r="AT121" s="4" t="s">
        <v>16</v>
      </c>
      <c r="AU121" s="43" t="str">
        <f>IF(VLOOKUP(AT121,βοηθητικό!$J$2:$N$354,3,FALSE)="","",VLOOKUP(AT121,βοηθητικό!$J$2:$N$354,3,FALSE))</f>
        <v>_</v>
      </c>
      <c r="AV121" s="44"/>
      <c r="AW121" s="5" t="s">
        <v>16</v>
      </c>
      <c r="AX121" s="46" t="str">
        <f>IF(VLOOKUP(AW121,βοηθητικό!$J$2:$N$354,3,FALSE)="","",VLOOKUP(AW121,βοηθητικό!$J$2:$N$354,3,FALSE))</f>
        <v>_</v>
      </c>
      <c r="AY121" s="47"/>
      <c r="AZ121" s="4" t="s">
        <v>16</v>
      </c>
      <c r="BA121" s="43" t="str">
        <f>IF(VLOOKUP(AZ121,βοηθητικό!$J$2:$N$354,3,FALSE)="","",VLOOKUP(AZ121,βοηθητικό!$J$2:$N$354,3,FALSE))</f>
        <v>_</v>
      </c>
      <c r="BB121" s="44"/>
      <c r="BC121" s="45" t="s">
        <v>16</v>
      </c>
      <c r="BD121" s="46" t="str">
        <f>IF(VLOOKUP(BC121,βοηθητικό!$J$2:$N$354,3,FALSE)="","",VLOOKUP(BC121,βοηθητικό!$J$2:$N$354,3,FALSE))</f>
        <v>_</v>
      </c>
      <c r="BE121" s="47"/>
      <c r="BF121" s="42" t="s">
        <v>16</v>
      </c>
      <c r="BG121" s="43" t="str">
        <f>IF(VLOOKUP(BF121,βοηθητικό!$J$2:$N$354,3,FALSE)="","",VLOOKUP(BF121,βοηθητικό!$J$2:$N$354,3,FALSE))</f>
        <v>_</v>
      </c>
      <c r="BH121" s="44"/>
      <c r="BI121" s="45" t="s">
        <v>16</v>
      </c>
      <c r="BJ121" s="46" t="str">
        <f>IF(VLOOKUP(BI121,βοηθητικό!$J$2:$N$354,3,FALSE)="","",VLOOKUP(BI121,βοηθητικό!$J$2:$N$354,3,FALSE))</f>
        <v>_</v>
      </c>
      <c r="BK121" s="47"/>
      <c r="BL121" s="42" t="s">
        <v>16</v>
      </c>
      <c r="BM121" s="43" t="str">
        <f>IF(VLOOKUP(BL121,βοηθητικό!$J$2:$N$354,3,FALSE)="","",VLOOKUP(BL121,βοηθητικό!$J$2:$N$354,3,FALSE))</f>
        <v>_</v>
      </c>
      <c r="BN121" s="44"/>
      <c r="BO121" s="45" t="s">
        <v>16</v>
      </c>
      <c r="BP121" s="46" t="str">
        <f>IF(VLOOKUP(BO121,βοηθητικό!$J$2:$N$354,3,FALSE)="","",VLOOKUP(BO121,βοηθητικό!$J$2:$N$354,3,FALSE))</f>
        <v>_</v>
      </c>
      <c r="BQ121" s="47"/>
      <c r="BR121" s="42" t="s">
        <v>16</v>
      </c>
      <c r="BS121" s="43" t="str">
        <f>IF(VLOOKUP(BR121,βοηθητικό!$J$2:$N$354,3,FALSE)="","",VLOOKUP(BR121,βοηθητικό!$J$2:$N$354,3,FALSE))</f>
        <v>_</v>
      </c>
      <c r="BT121" s="44"/>
      <c r="BU121" s="45" t="s">
        <v>16</v>
      </c>
      <c r="BV121" s="46" t="str">
        <f>IF(VLOOKUP(BU121,βοηθητικό!$J$2:$N$354,3,FALSE)="","",VLOOKUP(BU121,βοηθητικό!$J$2:$N$354,3,FALSE))</f>
        <v>_</v>
      </c>
      <c r="BW121" s="47"/>
      <c r="BX121" s="42" t="s">
        <v>16</v>
      </c>
      <c r="BY121" s="43" t="str">
        <f>IF(VLOOKUP(BX121,βοηθητικό!$J$2:$N$354,3,FALSE)="","",VLOOKUP(BX121,βοηθητικό!$J$2:$N$354,3,FALSE))</f>
        <v>_</v>
      </c>
      <c r="BZ121" s="44"/>
      <c r="CA121" s="45" t="s">
        <v>16</v>
      </c>
      <c r="CB121" s="46" t="str">
        <f>IF(VLOOKUP(CA121,βοηθητικό!$J$2:$N$354,3,FALSE)="","",VLOOKUP(CA121,βοηθητικό!$J$2:$N$354,3,FALSE))</f>
        <v>_</v>
      </c>
      <c r="CC121" s="47"/>
      <c r="CD121" s="42" t="s">
        <v>16</v>
      </c>
      <c r="CE121" s="43" t="str">
        <f>IF(VLOOKUP(CD121,βοηθητικό!$J$2:$N$354,3,FALSE)="","",VLOOKUP(CD121,βοηθητικό!$J$2:$N$354,3,FALSE))</f>
        <v>_</v>
      </c>
      <c r="CF121" s="44"/>
      <c r="CG121" s="45" t="s">
        <v>16</v>
      </c>
      <c r="CH121" s="46" t="str">
        <f>IF(VLOOKUP(CG121,βοηθητικό!$J$2:$N$354,3,FALSE)="","",VLOOKUP(CG121,βοηθητικό!$J$2:$N$354,3,FALSE))</f>
        <v>_</v>
      </c>
      <c r="CI121" s="47"/>
      <c r="CJ121" s="42" t="s">
        <v>16</v>
      </c>
      <c r="CK121" s="43" t="str">
        <f>IF(VLOOKUP(CJ121,βοηθητικό!$J$2:$N$354,3,FALSE)="","",VLOOKUP(CJ121,βοηθητικό!$J$2:$N$354,3,FALSE))</f>
        <v>_</v>
      </c>
      <c r="CL121" s="44"/>
      <c r="CM121" s="45" t="s">
        <v>16</v>
      </c>
      <c r="CN121" s="46" t="str">
        <f>IF(VLOOKUP(CM121,βοηθητικό!$J$2:$N$354,3,FALSE)="","",VLOOKUP(CM121,βοηθητικό!$J$2:$N$354,3,FALSE))</f>
        <v>_</v>
      </c>
      <c r="CO121" s="47"/>
      <c r="CP121" s="42" t="s">
        <v>16</v>
      </c>
      <c r="CQ121" s="43" t="str">
        <f>IF(VLOOKUP(CP121,βοηθητικό!$J$2:$N$354,3,FALSE)="","",VLOOKUP(CP121,βοηθητικό!$J$2:$N$354,3,FALSE))</f>
        <v>_</v>
      </c>
      <c r="CR121" s="44"/>
      <c r="CS121" s="45" t="s">
        <v>16</v>
      </c>
      <c r="CT121" s="46" t="str">
        <f>IF(VLOOKUP(CS121,βοηθητικό!$J$2:$N$354,3,FALSE)="","",VLOOKUP(CS121,βοηθητικό!$J$2:$N$354,3,FALSE))</f>
        <v>_</v>
      </c>
      <c r="CU121" s="47"/>
    </row>
    <row r="122" spans="1:99" x14ac:dyDescent="0.25">
      <c r="A122" s="37">
        <f>--SUBTOTAL(3,$B$3:B121)</f>
        <v>119</v>
      </c>
      <c r="B122" s="2">
        <v>45159</v>
      </c>
      <c r="C122" s="3">
        <v>45165</v>
      </c>
      <c r="D122" s="57" t="s">
        <v>64</v>
      </c>
      <c r="E122" s="38" t="s">
        <v>16</v>
      </c>
      <c r="F122" s="38" t="s">
        <v>16</v>
      </c>
      <c r="G122" s="39" t="str">
        <f t="shared" si="5"/>
        <v>__</v>
      </c>
      <c r="H122" s="40" t="str">
        <f t="shared" si="6"/>
        <v>FALSE</v>
      </c>
      <c r="I122" s="41">
        <f t="shared" si="7"/>
        <v>6</v>
      </c>
      <c r="J122" s="4" t="s">
        <v>623</v>
      </c>
      <c r="K122" s="43" t="str">
        <f>IF(VLOOKUP(J122,βοηθητικό!$J$2:$N$354,3,FALSE)="","",VLOOKUP(J122,βοηθητικό!$J$2:$N$354,3,FALSE))</f>
        <v>6909870019</v>
      </c>
      <c r="L122" s="44"/>
      <c r="M122" s="5" t="s">
        <v>642</v>
      </c>
      <c r="N122" s="46">
        <f>IF(VLOOKUP(M122,βοηθητικό!$J$2:$N$354,3,FALSE)="","",VLOOKUP(M122,βοηθητικό!$J$2:$N$354,3,FALSE))</f>
        <v>6973305838</v>
      </c>
      <c r="O122" s="47"/>
      <c r="P122" s="4" t="s">
        <v>729</v>
      </c>
      <c r="Q122" s="43">
        <f>IF(VLOOKUP(P122,βοηθητικό!$J$2:$N$354,3,FALSE)="","",VLOOKUP(P122,βοηθητικό!$J$2:$N$354,3,FALSE))</f>
        <v>6971762883</v>
      </c>
      <c r="R122" s="44"/>
      <c r="S122" s="5" t="s">
        <v>731</v>
      </c>
      <c r="T122" s="46" t="str">
        <f>IF(VLOOKUP(S122,βοηθητικό!$J$2:$N$354,3,FALSE)="","",VLOOKUP(S122,βοηθητικό!$J$2:$N$354,3,FALSE))</f>
        <v>6940503291</v>
      </c>
      <c r="U122" s="47"/>
      <c r="V122" s="4" t="s">
        <v>739</v>
      </c>
      <c r="W122" s="43">
        <f>IF(VLOOKUP(V122,βοηθητικό!$J$2:$N$354,3,FALSE)="","",VLOOKUP(V122,βοηθητικό!$J$2:$N$354,3,FALSE))</f>
        <v>6974746709</v>
      </c>
      <c r="X122" s="44"/>
      <c r="Y122" s="5" t="s">
        <v>743</v>
      </c>
      <c r="Z122" s="46">
        <f>IF(VLOOKUP(Y122,βοηθητικό!$J$2:$N$354,3,FALSE)="","",VLOOKUP(Y122,βοηθητικό!$J$2:$N$354,3,FALSE))</f>
        <v>6977584355</v>
      </c>
      <c r="AA122" s="47"/>
      <c r="AB122" s="4" t="s">
        <v>16</v>
      </c>
      <c r="AC122" s="43" t="str">
        <f>IF(VLOOKUP(AB122,βοηθητικό!$J$2:$N$354,3,FALSE)="","",VLOOKUP(AB122,βοηθητικό!$J$2:$N$354,3,FALSE))</f>
        <v>_</v>
      </c>
      <c r="AD122" s="44"/>
      <c r="AE122" s="5" t="s">
        <v>16</v>
      </c>
      <c r="AF122" s="46" t="str">
        <f>IF(VLOOKUP(AE122,βοηθητικό!$J$2:$N$354,3,FALSE)="","",VLOOKUP(AE122,βοηθητικό!$J$2:$N$354,3,FALSE))</f>
        <v>_</v>
      </c>
      <c r="AG122" s="47"/>
      <c r="AH122" s="4" t="s">
        <v>16</v>
      </c>
      <c r="AI122" s="43" t="str">
        <f>IF(VLOOKUP(AH122,βοηθητικό!$J$2:$N$354,3,FALSE)="","",VLOOKUP(AH122,βοηθητικό!$J$2:$N$354,3,FALSE))</f>
        <v>_</v>
      </c>
      <c r="AJ122" s="44"/>
      <c r="AK122" s="5" t="s">
        <v>16</v>
      </c>
      <c r="AL122" s="46" t="str">
        <f>IF(VLOOKUP(AK122,βοηθητικό!$J$2:$N$354,3,FALSE)="","",VLOOKUP(AK122,βοηθητικό!$J$2:$N$354,3,FALSE))</f>
        <v>_</v>
      </c>
      <c r="AM122" s="47"/>
      <c r="AN122" s="4" t="s">
        <v>16</v>
      </c>
      <c r="AO122" s="43" t="str">
        <f>IF(VLOOKUP(AN122,βοηθητικό!$J$2:$N$354,3,FALSE)="","",VLOOKUP(AN122,βοηθητικό!$J$2:$N$354,3,FALSE))</f>
        <v>_</v>
      </c>
      <c r="AP122" s="44"/>
      <c r="AQ122" s="5" t="s">
        <v>16</v>
      </c>
      <c r="AR122" s="46" t="str">
        <f>IF(VLOOKUP(AQ122,βοηθητικό!$J$2:$N$354,3,FALSE)="","",VLOOKUP(AQ122,βοηθητικό!$J$2:$N$354,3,FALSE))</f>
        <v>_</v>
      </c>
      <c r="AS122" s="47"/>
      <c r="AT122" s="4" t="s">
        <v>16</v>
      </c>
      <c r="AU122" s="43" t="str">
        <f>IF(VLOOKUP(AT122,βοηθητικό!$J$2:$N$354,3,FALSE)="","",VLOOKUP(AT122,βοηθητικό!$J$2:$N$354,3,FALSE))</f>
        <v>_</v>
      </c>
      <c r="AV122" s="44"/>
      <c r="AW122" s="5" t="s">
        <v>16</v>
      </c>
      <c r="AX122" s="46" t="str">
        <f>IF(VLOOKUP(AW122,βοηθητικό!$J$2:$N$354,3,FALSE)="","",VLOOKUP(AW122,βοηθητικό!$J$2:$N$354,3,FALSE))</f>
        <v>_</v>
      </c>
      <c r="AY122" s="47"/>
      <c r="AZ122" s="4" t="s">
        <v>16</v>
      </c>
      <c r="BA122" s="43" t="str">
        <f>IF(VLOOKUP(AZ122,βοηθητικό!$J$2:$N$354,3,FALSE)="","",VLOOKUP(AZ122,βοηθητικό!$J$2:$N$354,3,FALSE))</f>
        <v>_</v>
      </c>
      <c r="BB122" s="44"/>
      <c r="BC122" s="45" t="s">
        <v>16</v>
      </c>
      <c r="BD122" s="46" t="str">
        <f>IF(VLOOKUP(BC122,βοηθητικό!$J$2:$N$354,3,FALSE)="","",VLOOKUP(BC122,βοηθητικό!$J$2:$N$354,3,FALSE))</f>
        <v>_</v>
      </c>
      <c r="BE122" s="47"/>
      <c r="BF122" s="42" t="s">
        <v>16</v>
      </c>
      <c r="BG122" s="43" t="str">
        <f>IF(VLOOKUP(BF122,βοηθητικό!$J$2:$N$354,3,FALSE)="","",VLOOKUP(BF122,βοηθητικό!$J$2:$N$354,3,FALSE))</f>
        <v>_</v>
      </c>
      <c r="BH122" s="44"/>
      <c r="BI122" s="45" t="s">
        <v>16</v>
      </c>
      <c r="BJ122" s="46" t="str">
        <f>IF(VLOOKUP(BI122,βοηθητικό!$J$2:$N$354,3,FALSE)="","",VLOOKUP(BI122,βοηθητικό!$J$2:$N$354,3,FALSE))</f>
        <v>_</v>
      </c>
      <c r="BK122" s="47"/>
      <c r="BL122" s="42" t="s">
        <v>16</v>
      </c>
      <c r="BM122" s="43" t="str">
        <f>IF(VLOOKUP(BL122,βοηθητικό!$J$2:$N$354,3,FALSE)="","",VLOOKUP(BL122,βοηθητικό!$J$2:$N$354,3,FALSE))</f>
        <v>_</v>
      </c>
      <c r="BN122" s="44"/>
      <c r="BO122" s="45" t="s">
        <v>16</v>
      </c>
      <c r="BP122" s="46" t="str">
        <f>IF(VLOOKUP(BO122,βοηθητικό!$J$2:$N$354,3,FALSE)="","",VLOOKUP(BO122,βοηθητικό!$J$2:$N$354,3,FALSE))</f>
        <v>_</v>
      </c>
      <c r="BQ122" s="47"/>
      <c r="BR122" s="42" t="s">
        <v>16</v>
      </c>
      <c r="BS122" s="43" t="str">
        <f>IF(VLOOKUP(BR122,βοηθητικό!$J$2:$N$354,3,FALSE)="","",VLOOKUP(BR122,βοηθητικό!$J$2:$N$354,3,FALSE))</f>
        <v>_</v>
      </c>
      <c r="BT122" s="44"/>
      <c r="BU122" s="45" t="s">
        <v>16</v>
      </c>
      <c r="BV122" s="46" t="str">
        <f>IF(VLOOKUP(BU122,βοηθητικό!$J$2:$N$354,3,FALSE)="","",VLOOKUP(BU122,βοηθητικό!$J$2:$N$354,3,FALSE))</f>
        <v>_</v>
      </c>
      <c r="BW122" s="47"/>
      <c r="BX122" s="42" t="s">
        <v>16</v>
      </c>
      <c r="BY122" s="43" t="str">
        <f>IF(VLOOKUP(BX122,βοηθητικό!$J$2:$N$354,3,FALSE)="","",VLOOKUP(BX122,βοηθητικό!$J$2:$N$354,3,FALSE))</f>
        <v>_</v>
      </c>
      <c r="BZ122" s="44"/>
      <c r="CA122" s="45" t="s">
        <v>16</v>
      </c>
      <c r="CB122" s="46" t="str">
        <f>IF(VLOOKUP(CA122,βοηθητικό!$J$2:$N$354,3,FALSE)="","",VLOOKUP(CA122,βοηθητικό!$J$2:$N$354,3,FALSE))</f>
        <v>_</v>
      </c>
      <c r="CC122" s="47"/>
      <c r="CD122" s="42" t="s">
        <v>16</v>
      </c>
      <c r="CE122" s="43" t="str">
        <f>IF(VLOOKUP(CD122,βοηθητικό!$J$2:$N$354,3,FALSE)="","",VLOOKUP(CD122,βοηθητικό!$J$2:$N$354,3,FALSE))</f>
        <v>_</v>
      </c>
      <c r="CF122" s="44"/>
      <c r="CG122" s="45" t="s">
        <v>16</v>
      </c>
      <c r="CH122" s="46" t="str">
        <f>IF(VLOOKUP(CG122,βοηθητικό!$J$2:$N$354,3,FALSE)="","",VLOOKUP(CG122,βοηθητικό!$J$2:$N$354,3,FALSE))</f>
        <v>_</v>
      </c>
      <c r="CI122" s="47"/>
      <c r="CJ122" s="42" t="s">
        <v>16</v>
      </c>
      <c r="CK122" s="43" t="str">
        <f>IF(VLOOKUP(CJ122,βοηθητικό!$J$2:$N$354,3,FALSE)="","",VLOOKUP(CJ122,βοηθητικό!$J$2:$N$354,3,FALSE))</f>
        <v>_</v>
      </c>
      <c r="CL122" s="44"/>
      <c r="CM122" s="45" t="s">
        <v>16</v>
      </c>
      <c r="CN122" s="46" t="str">
        <f>IF(VLOOKUP(CM122,βοηθητικό!$J$2:$N$354,3,FALSE)="","",VLOOKUP(CM122,βοηθητικό!$J$2:$N$354,3,FALSE))</f>
        <v>_</v>
      </c>
      <c r="CO122" s="47"/>
      <c r="CP122" s="42" t="s">
        <v>16</v>
      </c>
      <c r="CQ122" s="43" t="str">
        <f>IF(VLOOKUP(CP122,βοηθητικό!$J$2:$N$354,3,FALSE)="","",VLOOKUP(CP122,βοηθητικό!$J$2:$N$354,3,FALSE))</f>
        <v>_</v>
      </c>
      <c r="CR122" s="44"/>
      <c r="CS122" s="45" t="s">
        <v>16</v>
      </c>
      <c r="CT122" s="46" t="str">
        <f>IF(VLOOKUP(CS122,βοηθητικό!$J$2:$N$354,3,FALSE)="","",VLOOKUP(CS122,βοηθητικό!$J$2:$N$354,3,FALSE))</f>
        <v>_</v>
      </c>
      <c r="CU122" s="47"/>
    </row>
    <row r="123" spans="1:99" x14ac:dyDescent="0.25">
      <c r="A123" s="37">
        <f>--SUBTOTAL(3,$B$3:B122)</f>
        <v>120</v>
      </c>
      <c r="B123" s="2">
        <v>45138</v>
      </c>
      <c r="C123" s="3">
        <v>45144</v>
      </c>
      <c r="D123" s="58" t="s">
        <v>74</v>
      </c>
      <c r="E123" s="38" t="s">
        <v>16</v>
      </c>
      <c r="F123" s="38" t="s">
        <v>16</v>
      </c>
      <c r="G123" s="39" t="str">
        <f t="shared" si="5"/>
        <v>__</v>
      </c>
      <c r="H123" s="40" t="str">
        <f t="shared" si="6"/>
        <v>FALSE</v>
      </c>
      <c r="I123" s="41">
        <f t="shared" si="7"/>
        <v>7</v>
      </c>
      <c r="J123" s="4" t="s">
        <v>764</v>
      </c>
      <c r="K123" s="43" t="str">
        <f>IF(VLOOKUP(J123,βοηθητικό!$J$2:$N$354,3,FALSE)="","",VLOOKUP(J123,βοηθητικό!$J$2:$N$354,3,FALSE))</f>
        <v>6951136860</v>
      </c>
      <c r="L123" s="44"/>
      <c r="M123" s="5" t="s">
        <v>774</v>
      </c>
      <c r="N123" s="46">
        <f>IF(VLOOKUP(M123,βοηθητικό!$J$2:$N$354,3,FALSE)="","",VLOOKUP(M123,βοηθητικό!$J$2:$N$354,3,FALSE))</f>
        <v>6973545514</v>
      </c>
      <c r="O123" s="47"/>
      <c r="P123" s="4" t="s">
        <v>860</v>
      </c>
      <c r="Q123" s="43">
        <f>IF(VLOOKUP(P123,βοηθητικό!$J$2:$N$354,3,FALSE)="","",VLOOKUP(P123,βοηθητικό!$J$2:$N$354,3,FALSE))</f>
        <v>6989500588</v>
      </c>
      <c r="R123" s="44"/>
      <c r="S123" s="5" t="s">
        <v>813</v>
      </c>
      <c r="T123" s="46">
        <f>IF(VLOOKUP(S123,βοηθητικό!$J$2:$N$354,3,FALSE)="","",VLOOKUP(S123,βοηθητικό!$J$2:$N$354,3,FALSE))</f>
        <v>6988292634</v>
      </c>
      <c r="U123" s="47"/>
      <c r="V123" s="4" t="s">
        <v>828</v>
      </c>
      <c r="W123" s="43" t="str">
        <f>IF(VLOOKUP(V123,βοηθητικό!$J$2:$N$354,3,FALSE)="","",VLOOKUP(V123,βοηθητικό!$J$2:$N$354,3,FALSE))</f>
        <v>6981873196</v>
      </c>
      <c r="X123" s="44"/>
      <c r="Y123" s="5" t="s">
        <v>832</v>
      </c>
      <c r="Z123" s="46" t="str">
        <f>IF(VLOOKUP(Y123,βοηθητικό!$J$2:$N$354,3,FALSE)="","",VLOOKUP(Y123,βοηθητικό!$J$2:$N$354,3,FALSE))</f>
        <v>6945400547</v>
      </c>
      <c r="AA123" s="47"/>
      <c r="AB123" s="4" t="s">
        <v>838</v>
      </c>
      <c r="AC123" s="43" t="str">
        <f>IF(VLOOKUP(AB123,βοηθητικό!$J$2:$N$354,3,FALSE)="","",VLOOKUP(AB123,βοηθητικό!$J$2:$N$354,3,FALSE))</f>
        <v>6978485361 6949641611</v>
      </c>
      <c r="AD123" s="44"/>
      <c r="AE123" s="5" t="s">
        <v>16</v>
      </c>
      <c r="AF123" s="46" t="str">
        <f>IF(VLOOKUP(AE123,βοηθητικό!$J$2:$N$354,3,FALSE)="","",VLOOKUP(AE123,βοηθητικό!$J$2:$N$354,3,FALSE))</f>
        <v>_</v>
      </c>
      <c r="AG123" s="47"/>
      <c r="AH123" s="4" t="s">
        <v>16</v>
      </c>
      <c r="AI123" s="43" t="str">
        <f>IF(VLOOKUP(AH123,βοηθητικό!$J$2:$N$354,3,FALSE)="","",VLOOKUP(AH123,βοηθητικό!$J$2:$N$354,3,FALSE))</f>
        <v>_</v>
      </c>
      <c r="AJ123" s="44"/>
      <c r="AK123" s="5" t="s">
        <v>16</v>
      </c>
      <c r="AL123" s="46" t="str">
        <f>IF(VLOOKUP(AK123,βοηθητικό!$J$2:$N$354,3,FALSE)="","",VLOOKUP(AK123,βοηθητικό!$J$2:$N$354,3,FALSE))</f>
        <v>_</v>
      </c>
      <c r="AM123" s="47"/>
      <c r="AN123" s="4" t="s">
        <v>16</v>
      </c>
      <c r="AO123" s="43" t="str">
        <f>IF(VLOOKUP(AN123,βοηθητικό!$J$2:$N$354,3,FALSE)="","",VLOOKUP(AN123,βοηθητικό!$J$2:$N$354,3,FALSE))</f>
        <v>_</v>
      </c>
      <c r="AP123" s="44"/>
      <c r="AQ123" s="5" t="s">
        <v>16</v>
      </c>
      <c r="AR123" s="46" t="str">
        <f>IF(VLOOKUP(AQ123,βοηθητικό!$J$2:$N$354,3,FALSE)="","",VLOOKUP(AQ123,βοηθητικό!$J$2:$N$354,3,FALSE))</f>
        <v>_</v>
      </c>
      <c r="AS123" s="47"/>
      <c r="AT123" s="4" t="s">
        <v>16</v>
      </c>
      <c r="AU123" s="43" t="str">
        <f>IF(VLOOKUP(AT123,βοηθητικό!$J$2:$N$354,3,FALSE)="","",VLOOKUP(AT123,βοηθητικό!$J$2:$N$354,3,FALSE))</f>
        <v>_</v>
      </c>
      <c r="AV123" s="44"/>
      <c r="AW123" s="5" t="s">
        <v>16</v>
      </c>
      <c r="AX123" s="46" t="str">
        <f>IF(VLOOKUP(AW123,βοηθητικό!$J$2:$N$354,3,FALSE)="","",VLOOKUP(AW123,βοηθητικό!$J$2:$N$354,3,FALSE))</f>
        <v>_</v>
      </c>
      <c r="AY123" s="47"/>
      <c r="AZ123" s="4" t="s">
        <v>16</v>
      </c>
      <c r="BA123" s="43" t="str">
        <f>IF(VLOOKUP(AZ123,βοηθητικό!$J$2:$N$354,3,FALSE)="","",VLOOKUP(AZ123,βοηθητικό!$J$2:$N$354,3,FALSE))</f>
        <v>_</v>
      </c>
      <c r="BB123" s="44"/>
      <c r="BC123" s="45" t="s">
        <v>16</v>
      </c>
      <c r="BD123" s="46" t="str">
        <f>IF(VLOOKUP(BC123,βοηθητικό!$J$2:$N$354,3,FALSE)="","",VLOOKUP(BC123,βοηθητικό!$J$2:$N$354,3,FALSE))</f>
        <v>_</v>
      </c>
      <c r="BE123" s="47"/>
      <c r="BF123" s="42" t="s">
        <v>16</v>
      </c>
      <c r="BG123" s="43" t="str">
        <f>IF(VLOOKUP(BF123,βοηθητικό!$J$2:$N$354,3,FALSE)="","",VLOOKUP(BF123,βοηθητικό!$J$2:$N$354,3,FALSE))</f>
        <v>_</v>
      </c>
      <c r="BH123" s="44"/>
      <c r="BI123" s="45" t="s">
        <v>16</v>
      </c>
      <c r="BJ123" s="46" t="str">
        <f>IF(VLOOKUP(BI123,βοηθητικό!$J$2:$N$354,3,FALSE)="","",VLOOKUP(BI123,βοηθητικό!$J$2:$N$354,3,FALSE))</f>
        <v>_</v>
      </c>
      <c r="BK123" s="47"/>
      <c r="BL123" s="42" t="s">
        <v>16</v>
      </c>
      <c r="BM123" s="43" t="str">
        <f>IF(VLOOKUP(BL123,βοηθητικό!$J$2:$N$354,3,FALSE)="","",VLOOKUP(BL123,βοηθητικό!$J$2:$N$354,3,FALSE))</f>
        <v>_</v>
      </c>
      <c r="BN123" s="44"/>
      <c r="BO123" s="45" t="s">
        <v>16</v>
      </c>
      <c r="BP123" s="46" t="str">
        <f>IF(VLOOKUP(BO123,βοηθητικό!$J$2:$N$354,3,FALSE)="","",VLOOKUP(BO123,βοηθητικό!$J$2:$N$354,3,FALSE))</f>
        <v>_</v>
      </c>
      <c r="BQ123" s="47"/>
      <c r="BR123" s="42" t="s">
        <v>16</v>
      </c>
      <c r="BS123" s="43" t="str">
        <f>IF(VLOOKUP(BR123,βοηθητικό!$J$2:$N$354,3,FALSE)="","",VLOOKUP(BR123,βοηθητικό!$J$2:$N$354,3,FALSE))</f>
        <v>_</v>
      </c>
      <c r="BT123" s="44"/>
      <c r="BU123" s="45" t="s">
        <v>16</v>
      </c>
      <c r="BV123" s="46" t="str">
        <f>IF(VLOOKUP(BU123,βοηθητικό!$J$2:$N$354,3,FALSE)="","",VLOOKUP(BU123,βοηθητικό!$J$2:$N$354,3,FALSE))</f>
        <v>_</v>
      </c>
      <c r="BW123" s="47"/>
      <c r="BX123" s="42" t="s">
        <v>16</v>
      </c>
      <c r="BY123" s="43" t="str">
        <f>IF(VLOOKUP(BX123,βοηθητικό!$J$2:$N$354,3,FALSE)="","",VLOOKUP(BX123,βοηθητικό!$J$2:$N$354,3,FALSE))</f>
        <v>_</v>
      </c>
      <c r="BZ123" s="44"/>
      <c r="CA123" s="45" t="s">
        <v>16</v>
      </c>
      <c r="CB123" s="46" t="str">
        <f>IF(VLOOKUP(CA123,βοηθητικό!$J$2:$N$354,3,FALSE)="","",VLOOKUP(CA123,βοηθητικό!$J$2:$N$354,3,FALSE))</f>
        <v>_</v>
      </c>
      <c r="CC123" s="47"/>
      <c r="CD123" s="42" t="s">
        <v>16</v>
      </c>
      <c r="CE123" s="43" t="str">
        <f>IF(VLOOKUP(CD123,βοηθητικό!$J$2:$N$354,3,FALSE)="","",VLOOKUP(CD123,βοηθητικό!$J$2:$N$354,3,FALSE))</f>
        <v>_</v>
      </c>
      <c r="CF123" s="44"/>
      <c r="CG123" s="45" t="s">
        <v>16</v>
      </c>
      <c r="CH123" s="46" t="str">
        <f>IF(VLOOKUP(CG123,βοηθητικό!$J$2:$N$354,3,FALSE)="","",VLOOKUP(CG123,βοηθητικό!$J$2:$N$354,3,FALSE))</f>
        <v>_</v>
      </c>
      <c r="CI123" s="47"/>
      <c r="CJ123" s="42" t="s">
        <v>16</v>
      </c>
      <c r="CK123" s="43" t="str">
        <f>IF(VLOOKUP(CJ123,βοηθητικό!$J$2:$N$354,3,FALSE)="","",VLOOKUP(CJ123,βοηθητικό!$J$2:$N$354,3,FALSE))</f>
        <v>_</v>
      </c>
      <c r="CL123" s="44"/>
      <c r="CM123" s="45" t="s">
        <v>16</v>
      </c>
      <c r="CN123" s="46" t="str">
        <f>IF(VLOOKUP(CM123,βοηθητικό!$J$2:$N$354,3,FALSE)="","",VLOOKUP(CM123,βοηθητικό!$J$2:$N$354,3,FALSE))</f>
        <v>_</v>
      </c>
      <c r="CO123" s="47"/>
      <c r="CP123" s="42" t="s">
        <v>16</v>
      </c>
      <c r="CQ123" s="43" t="str">
        <f>IF(VLOOKUP(CP123,βοηθητικό!$J$2:$N$354,3,FALSE)="","",VLOOKUP(CP123,βοηθητικό!$J$2:$N$354,3,FALSE))</f>
        <v>_</v>
      </c>
      <c r="CR123" s="44"/>
      <c r="CS123" s="45" t="s">
        <v>16</v>
      </c>
      <c r="CT123" s="46" t="str">
        <f>IF(VLOOKUP(CS123,βοηθητικό!$J$2:$N$354,3,FALSE)="","",VLOOKUP(CS123,βοηθητικό!$J$2:$N$354,3,FALSE))</f>
        <v>_</v>
      </c>
      <c r="CU123" s="47"/>
    </row>
    <row r="124" spans="1:99" x14ac:dyDescent="0.25">
      <c r="A124" s="37">
        <f>--SUBTOTAL(3,$B$3:B123)</f>
        <v>121</v>
      </c>
      <c r="B124" s="2">
        <v>45145</v>
      </c>
      <c r="C124" s="3">
        <v>45151</v>
      </c>
      <c r="D124" s="58" t="s">
        <v>74</v>
      </c>
      <c r="E124" s="38" t="s">
        <v>16</v>
      </c>
      <c r="F124" s="38" t="s">
        <v>16</v>
      </c>
      <c r="G124" s="39" t="str">
        <f t="shared" si="5"/>
        <v>__</v>
      </c>
      <c r="H124" s="40" t="str">
        <f t="shared" si="6"/>
        <v>FALSE</v>
      </c>
      <c r="I124" s="41">
        <f t="shared" si="7"/>
        <v>7</v>
      </c>
      <c r="J124" s="4" t="s">
        <v>756</v>
      </c>
      <c r="K124" s="43">
        <f>IF(VLOOKUP(J124,βοηθητικό!$J$2:$N$354,3,FALSE)="","",VLOOKUP(J124,βοηθητικό!$J$2:$N$354,3,FALSE))</f>
        <v>6970113758</v>
      </c>
      <c r="L124" s="44"/>
      <c r="M124" s="5" t="s">
        <v>769</v>
      </c>
      <c r="N124" s="46" t="str">
        <f>IF(VLOOKUP(M124,βοηθητικό!$J$2:$N$354,3,FALSE)="","",VLOOKUP(M124,βοηθητικό!$J$2:$N$354,3,FALSE))</f>
        <v>6985807315</v>
      </c>
      <c r="O124" s="47"/>
      <c r="P124" s="4" t="s">
        <v>794</v>
      </c>
      <c r="Q124" s="43" t="str">
        <f>IF(VLOOKUP(P124,βοηθητικό!$J$2:$N$354,3,FALSE)="","",VLOOKUP(P124,βοηθητικό!$J$2:$N$354,3,FALSE))</f>
        <v>6983483104</v>
      </c>
      <c r="R124" s="44"/>
      <c r="S124" s="5" t="s">
        <v>809</v>
      </c>
      <c r="T124" s="46">
        <f>IF(VLOOKUP(S124,βοηθητικό!$J$2:$N$354,3,FALSE)="","",VLOOKUP(S124,βοηθητικό!$J$2:$N$354,3,FALSE))</f>
        <v>6937044836</v>
      </c>
      <c r="U124" s="47"/>
      <c r="V124" s="4" t="s">
        <v>835</v>
      </c>
      <c r="W124" s="43">
        <f>IF(VLOOKUP(V124,βοηθητικό!$J$2:$N$354,3,FALSE)="","",VLOOKUP(V124,βοηθητικό!$J$2:$N$354,3,FALSE))</f>
        <v>6972150340</v>
      </c>
      <c r="X124" s="44"/>
      <c r="Y124" s="5" t="s">
        <v>860</v>
      </c>
      <c r="Z124" s="46">
        <f>IF(VLOOKUP(Y124,βοηθητικό!$J$2:$N$354,3,FALSE)="","",VLOOKUP(Y124,βοηθητικό!$J$2:$N$354,3,FALSE))</f>
        <v>6989500588</v>
      </c>
      <c r="AA124" s="47"/>
      <c r="AB124" s="4" t="s">
        <v>870</v>
      </c>
      <c r="AC124" s="43" t="str">
        <f>IF(VLOOKUP(AB124,βοηθητικό!$J$2:$N$354,3,FALSE)="","",VLOOKUP(AB124,βοηθητικό!$J$2:$N$354,3,FALSE))</f>
        <v>6945204636</v>
      </c>
      <c r="AD124" s="44"/>
      <c r="AE124" s="5" t="s">
        <v>16</v>
      </c>
      <c r="AF124" s="46" t="str">
        <f>IF(VLOOKUP(AE124,βοηθητικό!$J$2:$N$354,3,FALSE)="","",VLOOKUP(AE124,βοηθητικό!$J$2:$N$354,3,FALSE))</f>
        <v>_</v>
      </c>
      <c r="AG124" s="47"/>
      <c r="AH124" s="4" t="s">
        <v>16</v>
      </c>
      <c r="AI124" s="43" t="str">
        <f>IF(VLOOKUP(AH124,βοηθητικό!$J$2:$N$354,3,FALSE)="","",VLOOKUP(AH124,βοηθητικό!$J$2:$N$354,3,FALSE))</f>
        <v>_</v>
      </c>
      <c r="AJ124" s="44"/>
      <c r="AK124" s="5" t="s">
        <v>16</v>
      </c>
      <c r="AL124" s="46" t="str">
        <f>IF(VLOOKUP(AK124,βοηθητικό!$J$2:$N$354,3,FALSE)="","",VLOOKUP(AK124,βοηθητικό!$J$2:$N$354,3,FALSE))</f>
        <v>_</v>
      </c>
      <c r="AM124" s="47"/>
      <c r="AN124" s="4" t="s">
        <v>16</v>
      </c>
      <c r="AO124" s="43" t="str">
        <f>IF(VLOOKUP(AN124,βοηθητικό!$J$2:$N$354,3,FALSE)="","",VLOOKUP(AN124,βοηθητικό!$J$2:$N$354,3,FALSE))</f>
        <v>_</v>
      </c>
      <c r="AP124" s="44"/>
      <c r="AQ124" s="5" t="s">
        <v>16</v>
      </c>
      <c r="AR124" s="46" t="str">
        <f>IF(VLOOKUP(AQ124,βοηθητικό!$J$2:$N$354,3,FALSE)="","",VLOOKUP(AQ124,βοηθητικό!$J$2:$N$354,3,FALSE))</f>
        <v>_</v>
      </c>
      <c r="AS124" s="47"/>
      <c r="AT124" s="4" t="s">
        <v>16</v>
      </c>
      <c r="AU124" s="43" t="str">
        <f>IF(VLOOKUP(AT124,βοηθητικό!$J$2:$N$354,3,FALSE)="","",VLOOKUP(AT124,βοηθητικό!$J$2:$N$354,3,FALSE))</f>
        <v>_</v>
      </c>
      <c r="AV124" s="44"/>
      <c r="AW124" s="5" t="s">
        <v>16</v>
      </c>
      <c r="AX124" s="46" t="str">
        <f>IF(VLOOKUP(AW124,βοηθητικό!$J$2:$N$354,3,FALSE)="","",VLOOKUP(AW124,βοηθητικό!$J$2:$N$354,3,FALSE))</f>
        <v>_</v>
      </c>
      <c r="AY124" s="47"/>
      <c r="AZ124" s="4" t="s">
        <v>16</v>
      </c>
      <c r="BA124" s="43" t="str">
        <f>IF(VLOOKUP(AZ124,βοηθητικό!$J$2:$N$354,3,FALSE)="","",VLOOKUP(AZ124,βοηθητικό!$J$2:$N$354,3,FALSE))</f>
        <v>_</v>
      </c>
      <c r="BB124" s="44"/>
      <c r="BC124" s="45" t="s">
        <v>16</v>
      </c>
      <c r="BD124" s="46" t="str">
        <f>IF(VLOOKUP(BC124,βοηθητικό!$J$2:$N$354,3,FALSE)="","",VLOOKUP(BC124,βοηθητικό!$J$2:$N$354,3,FALSE))</f>
        <v>_</v>
      </c>
      <c r="BE124" s="47"/>
      <c r="BF124" s="42" t="s">
        <v>16</v>
      </c>
      <c r="BG124" s="43" t="str">
        <f>IF(VLOOKUP(BF124,βοηθητικό!$J$2:$N$354,3,FALSE)="","",VLOOKUP(BF124,βοηθητικό!$J$2:$N$354,3,FALSE))</f>
        <v>_</v>
      </c>
      <c r="BH124" s="44"/>
      <c r="BI124" s="45" t="s">
        <v>16</v>
      </c>
      <c r="BJ124" s="46" t="str">
        <f>IF(VLOOKUP(BI124,βοηθητικό!$J$2:$N$354,3,FALSE)="","",VLOOKUP(BI124,βοηθητικό!$J$2:$N$354,3,FALSE))</f>
        <v>_</v>
      </c>
      <c r="BK124" s="47"/>
      <c r="BL124" s="42" t="s">
        <v>16</v>
      </c>
      <c r="BM124" s="43" t="str">
        <f>IF(VLOOKUP(BL124,βοηθητικό!$J$2:$N$354,3,FALSE)="","",VLOOKUP(BL124,βοηθητικό!$J$2:$N$354,3,FALSE))</f>
        <v>_</v>
      </c>
      <c r="BN124" s="44"/>
      <c r="BO124" s="45" t="s">
        <v>16</v>
      </c>
      <c r="BP124" s="46" t="str">
        <f>IF(VLOOKUP(BO124,βοηθητικό!$J$2:$N$354,3,FALSE)="","",VLOOKUP(BO124,βοηθητικό!$J$2:$N$354,3,FALSE))</f>
        <v>_</v>
      </c>
      <c r="BQ124" s="47"/>
      <c r="BR124" s="42" t="s">
        <v>16</v>
      </c>
      <c r="BS124" s="43" t="str">
        <f>IF(VLOOKUP(BR124,βοηθητικό!$J$2:$N$354,3,FALSE)="","",VLOOKUP(BR124,βοηθητικό!$J$2:$N$354,3,FALSE))</f>
        <v>_</v>
      </c>
      <c r="BT124" s="44"/>
      <c r="BU124" s="45" t="s">
        <v>16</v>
      </c>
      <c r="BV124" s="46" t="str">
        <f>IF(VLOOKUP(BU124,βοηθητικό!$J$2:$N$354,3,FALSE)="","",VLOOKUP(BU124,βοηθητικό!$J$2:$N$354,3,FALSE))</f>
        <v>_</v>
      </c>
      <c r="BW124" s="47"/>
      <c r="BX124" s="42" t="s">
        <v>16</v>
      </c>
      <c r="BY124" s="43" t="str">
        <f>IF(VLOOKUP(BX124,βοηθητικό!$J$2:$N$354,3,FALSE)="","",VLOOKUP(BX124,βοηθητικό!$J$2:$N$354,3,FALSE))</f>
        <v>_</v>
      </c>
      <c r="BZ124" s="44"/>
      <c r="CA124" s="45" t="s">
        <v>16</v>
      </c>
      <c r="CB124" s="46" t="str">
        <f>IF(VLOOKUP(CA124,βοηθητικό!$J$2:$N$354,3,FALSE)="","",VLOOKUP(CA124,βοηθητικό!$J$2:$N$354,3,FALSE))</f>
        <v>_</v>
      </c>
      <c r="CC124" s="47"/>
      <c r="CD124" s="42" t="s">
        <v>16</v>
      </c>
      <c r="CE124" s="43" t="str">
        <f>IF(VLOOKUP(CD124,βοηθητικό!$J$2:$N$354,3,FALSE)="","",VLOOKUP(CD124,βοηθητικό!$J$2:$N$354,3,FALSE))</f>
        <v>_</v>
      </c>
      <c r="CF124" s="44"/>
      <c r="CG124" s="45" t="s">
        <v>16</v>
      </c>
      <c r="CH124" s="46" t="str">
        <f>IF(VLOOKUP(CG124,βοηθητικό!$J$2:$N$354,3,FALSE)="","",VLOOKUP(CG124,βοηθητικό!$J$2:$N$354,3,FALSE))</f>
        <v>_</v>
      </c>
      <c r="CI124" s="47"/>
      <c r="CJ124" s="42" t="s">
        <v>16</v>
      </c>
      <c r="CK124" s="43" t="str">
        <f>IF(VLOOKUP(CJ124,βοηθητικό!$J$2:$N$354,3,FALSE)="","",VLOOKUP(CJ124,βοηθητικό!$J$2:$N$354,3,FALSE))</f>
        <v>_</v>
      </c>
      <c r="CL124" s="44"/>
      <c r="CM124" s="45" t="s">
        <v>16</v>
      </c>
      <c r="CN124" s="46" t="str">
        <f>IF(VLOOKUP(CM124,βοηθητικό!$J$2:$N$354,3,FALSE)="","",VLOOKUP(CM124,βοηθητικό!$J$2:$N$354,3,FALSE))</f>
        <v>_</v>
      </c>
      <c r="CO124" s="47"/>
      <c r="CP124" s="42" t="s">
        <v>16</v>
      </c>
      <c r="CQ124" s="43" t="str">
        <f>IF(VLOOKUP(CP124,βοηθητικό!$J$2:$N$354,3,FALSE)="","",VLOOKUP(CP124,βοηθητικό!$J$2:$N$354,3,FALSE))</f>
        <v>_</v>
      </c>
      <c r="CR124" s="44"/>
      <c r="CS124" s="45" t="s">
        <v>16</v>
      </c>
      <c r="CT124" s="46" t="str">
        <f>IF(VLOOKUP(CS124,βοηθητικό!$J$2:$N$354,3,FALSE)="","",VLOOKUP(CS124,βοηθητικό!$J$2:$N$354,3,FALSE))</f>
        <v>_</v>
      </c>
      <c r="CU124" s="47"/>
    </row>
    <row r="125" spans="1:99" x14ac:dyDescent="0.25">
      <c r="A125" s="37">
        <f>--SUBTOTAL(3,$B$3:B124)</f>
        <v>122</v>
      </c>
      <c r="B125" s="2">
        <v>45152</v>
      </c>
      <c r="C125" s="3">
        <v>45158</v>
      </c>
      <c r="D125" s="58" t="s">
        <v>74</v>
      </c>
      <c r="E125" s="38" t="s">
        <v>16</v>
      </c>
      <c r="F125" s="38" t="s">
        <v>16</v>
      </c>
      <c r="G125" s="39" t="str">
        <f t="shared" si="5"/>
        <v>__</v>
      </c>
      <c r="H125" s="40" t="str">
        <f t="shared" si="6"/>
        <v>FALSE</v>
      </c>
      <c r="I125" s="41">
        <f t="shared" si="7"/>
        <v>7</v>
      </c>
      <c r="J125" s="4" t="s">
        <v>778</v>
      </c>
      <c r="K125" s="43" t="str">
        <f>IF(VLOOKUP(J125,βοηθητικό!$J$2:$N$354,3,FALSE)="","",VLOOKUP(J125,βοηθητικό!$J$2:$N$354,3,FALSE))</f>
        <v>6948465629</v>
      </c>
      <c r="L125" s="44"/>
      <c r="M125" s="5" t="s">
        <v>782</v>
      </c>
      <c r="N125" s="46" t="str">
        <f>IF(VLOOKUP(M125,βοηθητικό!$J$2:$N$354,3,FALSE)="","",VLOOKUP(M125,βοηθητικό!$J$2:$N$354,3,FALSE))</f>
        <v>6983002093</v>
      </c>
      <c r="O125" s="47"/>
      <c r="P125" s="4" t="s">
        <v>789</v>
      </c>
      <c r="Q125" s="43" t="str">
        <f>IF(VLOOKUP(P125,βοηθητικό!$J$2:$N$354,3,FALSE)="","",VLOOKUP(P125,βοηθητικό!$J$2:$N$354,3,FALSE))</f>
        <v>6981972682</v>
      </c>
      <c r="R125" s="44"/>
      <c r="S125" s="5" t="s">
        <v>821</v>
      </c>
      <c r="T125" s="46">
        <f>IF(VLOOKUP(S125,βοηθητικό!$J$2:$N$354,3,FALSE)="","",VLOOKUP(S125,βοηθητικό!$J$2:$N$354,3,FALSE))</f>
        <v>6973248110</v>
      </c>
      <c r="U125" s="47"/>
      <c r="V125" s="4" t="s">
        <v>825</v>
      </c>
      <c r="W125" s="43">
        <f>IF(VLOOKUP(V125,βοηθητικό!$J$2:$N$354,3,FALSE)="","",VLOOKUP(V125,βοηθητικό!$J$2:$N$354,3,FALSE))</f>
        <v>6907538451</v>
      </c>
      <c r="X125" s="44"/>
      <c r="Y125" s="5" t="s">
        <v>864</v>
      </c>
      <c r="Z125" s="46">
        <f>IF(VLOOKUP(Y125,βοηθητικό!$J$2:$N$354,3,FALSE)="","",VLOOKUP(Y125,βοηθητικό!$J$2:$N$354,3,FALSE))</f>
        <v>6973430967</v>
      </c>
      <c r="AA125" s="47"/>
      <c r="AB125" s="4" t="s">
        <v>873</v>
      </c>
      <c r="AC125" s="43">
        <f>IF(VLOOKUP(AB125,βοηθητικό!$J$2:$N$354,3,FALSE)="","",VLOOKUP(AB125,βοηθητικό!$J$2:$N$354,3,FALSE))</f>
        <v>6988549425</v>
      </c>
      <c r="AD125" s="44"/>
      <c r="AE125" s="5" t="s">
        <v>16</v>
      </c>
      <c r="AF125" s="46" t="str">
        <f>IF(VLOOKUP(AE125,βοηθητικό!$J$2:$N$354,3,FALSE)="","",VLOOKUP(AE125,βοηθητικό!$J$2:$N$354,3,FALSE))</f>
        <v>_</v>
      </c>
      <c r="AG125" s="47"/>
      <c r="AH125" s="4" t="s">
        <v>16</v>
      </c>
      <c r="AI125" s="43" t="str">
        <f>IF(VLOOKUP(AH125,βοηθητικό!$J$2:$N$354,3,FALSE)="","",VLOOKUP(AH125,βοηθητικό!$J$2:$N$354,3,FALSE))</f>
        <v>_</v>
      </c>
      <c r="AJ125" s="44"/>
      <c r="AK125" s="5" t="s">
        <v>16</v>
      </c>
      <c r="AL125" s="46" t="str">
        <f>IF(VLOOKUP(AK125,βοηθητικό!$J$2:$N$354,3,FALSE)="","",VLOOKUP(AK125,βοηθητικό!$J$2:$N$354,3,FALSE))</f>
        <v>_</v>
      </c>
      <c r="AM125" s="47"/>
      <c r="AN125" s="4" t="s">
        <v>16</v>
      </c>
      <c r="AO125" s="43" t="str">
        <f>IF(VLOOKUP(AN125,βοηθητικό!$J$2:$N$354,3,FALSE)="","",VLOOKUP(AN125,βοηθητικό!$J$2:$N$354,3,FALSE))</f>
        <v>_</v>
      </c>
      <c r="AP125" s="44"/>
      <c r="AQ125" s="5" t="s">
        <v>16</v>
      </c>
      <c r="AR125" s="46" t="str">
        <f>IF(VLOOKUP(AQ125,βοηθητικό!$J$2:$N$354,3,FALSE)="","",VLOOKUP(AQ125,βοηθητικό!$J$2:$N$354,3,FALSE))</f>
        <v>_</v>
      </c>
      <c r="AS125" s="47"/>
      <c r="AT125" s="4" t="s">
        <v>16</v>
      </c>
      <c r="AU125" s="43" t="str">
        <f>IF(VLOOKUP(AT125,βοηθητικό!$J$2:$N$354,3,FALSE)="","",VLOOKUP(AT125,βοηθητικό!$J$2:$N$354,3,FALSE))</f>
        <v>_</v>
      </c>
      <c r="AV125" s="44"/>
      <c r="AW125" s="5" t="s">
        <v>16</v>
      </c>
      <c r="AX125" s="46" t="str">
        <f>IF(VLOOKUP(AW125,βοηθητικό!$J$2:$N$354,3,FALSE)="","",VLOOKUP(AW125,βοηθητικό!$J$2:$N$354,3,FALSE))</f>
        <v>_</v>
      </c>
      <c r="AY125" s="47"/>
      <c r="AZ125" s="4" t="s">
        <v>16</v>
      </c>
      <c r="BA125" s="43" t="str">
        <f>IF(VLOOKUP(AZ125,βοηθητικό!$J$2:$N$354,3,FALSE)="","",VLOOKUP(AZ125,βοηθητικό!$J$2:$N$354,3,FALSE))</f>
        <v>_</v>
      </c>
      <c r="BB125" s="44"/>
      <c r="BC125" s="45" t="s">
        <v>16</v>
      </c>
      <c r="BD125" s="46" t="str">
        <f>IF(VLOOKUP(BC125,βοηθητικό!$J$2:$N$354,3,FALSE)="","",VLOOKUP(BC125,βοηθητικό!$J$2:$N$354,3,FALSE))</f>
        <v>_</v>
      </c>
      <c r="BE125" s="47"/>
      <c r="BF125" s="42" t="s">
        <v>16</v>
      </c>
      <c r="BG125" s="43" t="str">
        <f>IF(VLOOKUP(BF125,βοηθητικό!$J$2:$N$354,3,FALSE)="","",VLOOKUP(BF125,βοηθητικό!$J$2:$N$354,3,FALSE))</f>
        <v>_</v>
      </c>
      <c r="BH125" s="44"/>
      <c r="BI125" s="45" t="s">
        <v>16</v>
      </c>
      <c r="BJ125" s="46" t="str">
        <f>IF(VLOOKUP(BI125,βοηθητικό!$J$2:$N$354,3,FALSE)="","",VLOOKUP(BI125,βοηθητικό!$J$2:$N$354,3,FALSE))</f>
        <v>_</v>
      </c>
      <c r="BK125" s="47"/>
      <c r="BL125" s="42" t="s">
        <v>16</v>
      </c>
      <c r="BM125" s="43" t="str">
        <f>IF(VLOOKUP(BL125,βοηθητικό!$J$2:$N$354,3,FALSE)="","",VLOOKUP(BL125,βοηθητικό!$J$2:$N$354,3,FALSE))</f>
        <v>_</v>
      </c>
      <c r="BN125" s="44"/>
      <c r="BO125" s="45" t="s">
        <v>16</v>
      </c>
      <c r="BP125" s="46" t="str">
        <f>IF(VLOOKUP(BO125,βοηθητικό!$J$2:$N$354,3,FALSE)="","",VLOOKUP(BO125,βοηθητικό!$J$2:$N$354,3,FALSE))</f>
        <v>_</v>
      </c>
      <c r="BQ125" s="47"/>
      <c r="BR125" s="42" t="s">
        <v>16</v>
      </c>
      <c r="BS125" s="43" t="str">
        <f>IF(VLOOKUP(BR125,βοηθητικό!$J$2:$N$354,3,FALSE)="","",VLOOKUP(BR125,βοηθητικό!$J$2:$N$354,3,FALSE))</f>
        <v>_</v>
      </c>
      <c r="BT125" s="44"/>
      <c r="BU125" s="45" t="s">
        <v>16</v>
      </c>
      <c r="BV125" s="46" t="str">
        <f>IF(VLOOKUP(BU125,βοηθητικό!$J$2:$N$354,3,FALSE)="","",VLOOKUP(BU125,βοηθητικό!$J$2:$N$354,3,FALSE))</f>
        <v>_</v>
      </c>
      <c r="BW125" s="47"/>
      <c r="BX125" s="42" t="s">
        <v>16</v>
      </c>
      <c r="BY125" s="43" t="str">
        <f>IF(VLOOKUP(BX125,βοηθητικό!$J$2:$N$354,3,FALSE)="","",VLOOKUP(BX125,βοηθητικό!$J$2:$N$354,3,FALSE))</f>
        <v>_</v>
      </c>
      <c r="BZ125" s="44"/>
      <c r="CA125" s="45" t="s">
        <v>16</v>
      </c>
      <c r="CB125" s="46" t="str">
        <f>IF(VLOOKUP(CA125,βοηθητικό!$J$2:$N$354,3,FALSE)="","",VLOOKUP(CA125,βοηθητικό!$J$2:$N$354,3,FALSE))</f>
        <v>_</v>
      </c>
      <c r="CC125" s="47"/>
      <c r="CD125" s="42" t="s">
        <v>16</v>
      </c>
      <c r="CE125" s="43" t="str">
        <f>IF(VLOOKUP(CD125,βοηθητικό!$J$2:$N$354,3,FALSE)="","",VLOOKUP(CD125,βοηθητικό!$J$2:$N$354,3,FALSE))</f>
        <v>_</v>
      </c>
      <c r="CF125" s="44"/>
      <c r="CG125" s="45" t="s">
        <v>16</v>
      </c>
      <c r="CH125" s="46" t="str">
        <f>IF(VLOOKUP(CG125,βοηθητικό!$J$2:$N$354,3,FALSE)="","",VLOOKUP(CG125,βοηθητικό!$J$2:$N$354,3,FALSE))</f>
        <v>_</v>
      </c>
      <c r="CI125" s="47"/>
      <c r="CJ125" s="42" t="s">
        <v>16</v>
      </c>
      <c r="CK125" s="43" t="str">
        <f>IF(VLOOKUP(CJ125,βοηθητικό!$J$2:$N$354,3,FALSE)="","",VLOOKUP(CJ125,βοηθητικό!$J$2:$N$354,3,FALSE))</f>
        <v>_</v>
      </c>
      <c r="CL125" s="44"/>
      <c r="CM125" s="45" t="s">
        <v>16</v>
      </c>
      <c r="CN125" s="46" t="str">
        <f>IF(VLOOKUP(CM125,βοηθητικό!$J$2:$N$354,3,FALSE)="","",VLOOKUP(CM125,βοηθητικό!$J$2:$N$354,3,FALSE))</f>
        <v>_</v>
      </c>
      <c r="CO125" s="47"/>
      <c r="CP125" s="42" t="s">
        <v>16</v>
      </c>
      <c r="CQ125" s="43" t="str">
        <f>IF(VLOOKUP(CP125,βοηθητικό!$J$2:$N$354,3,FALSE)="","",VLOOKUP(CP125,βοηθητικό!$J$2:$N$354,3,FALSE))</f>
        <v>_</v>
      </c>
      <c r="CR125" s="44"/>
      <c r="CS125" s="45" t="s">
        <v>16</v>
      </c>
      <c r="CT125" s="46" t="str">
        <f>IF(VLOOKUP(CS125,βοηθητικό!$J$2:$N$354,3,FALSE)="","",VLOOKUP(CS125,βοηθητικό!$J$2:$N$354,3,FALSE))</f>
        <v>_</v>
      </c>
      <c r="CU125" s="47"/>
    </row>
    <row r="126" spans="1:99" x14ac:dyDescent="0.25">
      <c r="A126" s="37">
        <f>--SUBTOTAL(3,$B$3:B125)</f>
        <v>123</v>
      </c>
      <c r="B126" s="2">
        <v>45159</v>
      </c>
      <c r="C126" s="3">
        <v>45165</v>
      </c>
      <c r="D126" s="58" t="s">
        <v>74</v>
      </c>
      <c r="E126" s="38" t="s">
        <v>16</v>
      </c>
      <c r="F126" s="38" t="s">
        <v>16</v>
      </c>
      <c r="G126" s="39" t="str">
        <f t="shared" si="5"/>
        <v>__</v>
      </c>
      <c r="H126" s="40" t="str">
        <f t="shared" si="6"/>
        <v>FALSE</v>
      </c>
      <c r="I126" s="41">
        <f t="shared" si="7"/>
        <v>8</v>
      </c>
      <c r="J126" s="4" t="s">
        <v>786</v>
      </c>
      <c r="K126" s="43">
        <f>IF(VLOOKUP(J126,βοηθητικό!$J$2:$N$354,3,FALSE)="","",VLOOKUP(J126,βοηθητικό!$J$2:$N$354,3,FALSE))</f>
        <v>6948693451</v>
      </c>
      <c r="L126" s="44"/>
      <c r="M126" s="5" t="s">
        <v>799</v>
      </c>
      <c r="N126" s="46" t="str">
        <f>IF(VLOOKUP(M126,βοηθητικό!$J$2:$N$354,3,FALSE)="","",VLOOKUP(M126,βοηθητικό!$J$2:$N$354,3,FALSE))</f>
        <v>6937776358</v>
      </c>
      <c r="O126" s="47"/>
      <c r="P126" s="4" t="s">
        <v>804</v>
      </c>
      <c r="Q126" s="43" t="str">
        <f>IF(VLOOKUP(P126,βοηθητικό!$J$2:$N$354,3,FALSE)="","",VLOOKUP(P126,βοηθητικό!$J$2:$N$354,3,FALSE))</f>
        <v>6947244486</v>
      </c>
      <c r="R126" s="44"/>
      <c r="S126" s="5" t="s">
        <v>816</v>
      </c>
      <c r="T126" s="46" t="str">
        <f>IF(VLOOKUP(S126,βοηθητικό!$J$2:$N$354,3,FALSE)="","",VLOOKUP(S126,βοηθητικό!$J$2:$N$354,3,FALSE))</f>
        <v>6977507325</v>
      </c>
      <c r="U126" s="47"/>
      <c r="V126" s="4" t="s">
        <v>825</v>
      </c>
      <c r="W126" s="43">
        <f>IF(VLOOKUP(V126,βοηθητικό!$J$2:$N$354,3,FALSE)="","",VLOOKUP(V126,βοηθητικό!$J$2:$N$354,3,FALSE))</f>
        <v>6907538451</v>
      </c>
      <c r="X126" s="44"/>
      <c r="Y126" s="5" t="s">
        <v>843</v>
      </c>
      <c r="Z126" s="46" t="str">
        <f>IF(VLOOKUP(Y126,βοηθητικό!$J$2:$N$354,3,FALSE)="","",VLOOKUP(Y126,βοηθητικό!$J$2:$N$354,3,FALSE))</f>
        <v>_</v>
      </c>
      <c r="AA126" s="47"/>
      <c r="AB126" s="4" t="s">
        <v>851</v>
      </c>
      <c r="AC126" s="43" t="str">
        <f>IF(VLOOKUP(AB126,βοηθητικό!$J$2:$N$354,3,FALSE)="","",VLOOKUP(AB126,βοηθητικό!$J$2:$N$354,3,FALSE))</f>
        <v>6944688337</v>
      </c>
      <c r="AD126" s="44"/>
      <c r="AE126" s="5" t="s">
        <v>867</v>
      </c>
      <c r="AF126" s="46" t="str">
        <f>IF(VLOOKUP(AE126,βοηθητικό!$J$2:$N$354,3,FALSE)="","",VLOOKUP(AE126,βοηθητικό!$J$2:$N$354,3,FALSE))</f>
        <v>6934030989</v>
      </c>
      <c r="AG126" s="47"/>
      <c r="AH126" s="4" t="s">
        <v>16</v>
      </c>
      <c r="AI126" s="43" t="str">
        <f>IF(VLOOKUP(AH126,βοηθητικό!$J$2:$N$354,3,FALSE)="","",VLOOKUP(AH126,βοηθητικό!$J$2:$N$354,3,FALSE))</f>
        <v>_</v>
      </c>
      <c r="AJ126" s="44"/>
      <c r="AK126" s="5" t="s">
        <v>16</v>
      </c>
      <c r="AL126" s="46" t="str">
        <f>IF(VLOOKUP(AK126,βοηθητικό!$J$2:$N$354,3,FALSE)="","",VLOOKUP(AK126,βοηθητικό!$J$2:$N$354,3,FALSE))</f>
        <v>_</v>
      </c>
      <c r="AM126" s="47"/>
      <c r="AN126" s="4" t="s">
        <v>16</v>
      </c>
      <c r="AO126" s="43" t="str">
        <f>IF(VLOOKUP(AN126,βοηθητικό!$J$2:$N$354,3,FALSE)="","",VLOOKUP(AN126,βοηθητικό!$J$2:$N$354,3,FALSE))</f>
        <v>_</v>
      </c>
      <c r="AP126" s="44"/>
      <c r="AQ126" s="5" t="s">
        <v>16</v>
      </c>
      <c r="AR126" s="46" t="str">
        <f>IF(VLOOKUP(AQ126,βοηθητικό!$J$2:$N$354,3,FALSE)="","",VLOOKUP(AQ126,βοηθητικό!$J$2:$N$354,3,FALSE))</f>
        <v>_</v>
      </c>
      <c r="AS126" s="47"/>
      <c r="AT126" s="4" t="s">
        <v>16</v>
      </c>
      <c r="AU126" s="43" t="str">
        <f>IF(VLOOKUP(AT126,βοηθητικό!$J$2:$N$354,3,FALSE)="","",VLOOKUP(AT126,βοηθητικό!$J$2:$N$354,3,FALSE))</f>
        <v>_</v>
      </c>
      <c r="AV126" s="44"/>
      <c r="AW126" s="5" t="s">
        <v>16</v>
      </c>
      <c r="AX126" s="46" t="str">
        <f>IF(VLOOKUP(AW126,βοηθητικό!$J$2:$N$354,3,FALSE)="","",VLOOKUP(AW126,βοηθητικό!$J$2:$N$354,3,FALSE))</f>
        <v>_</v>
      </c>
      <c r="AY126" s="47"/>
      <c r="AZ126" s="4" t="s">
        <v>16</v>
      </c>
      <c r="BA126" s="43" t="str">
        <f>IF(VLOOKUP(AZ126,βοηθητικό!$J$2:$N$354,3,FALSE)="","",VLOOKUP(AZ126,βοηθητικό!$J$2:$N$354,3,FALSE))</f>
        <v>_</v>
      </c>
      <c r="BB126" s="44"/>
      <c r="BC126" s="45" t="s">
        <v>16</v>
      </c>
      <c r="BD126" s="46" t="str">
        <f>IF(VLOOKUP(BC126,βοηθητικό!$J$2:$N$354,3,FALSE)="","",VLOOKUP(BC126,βοηθητικό!$J$2:$N$354,3,FALSE))</f>
        <v>_</v>
      </c>
      <c r="BE126" s="47"/>
      <c r="BF126" s="42" t="s">
        <v>16</v>
      </c>
      <c r="BG126" s="43" t="str">
        <f>IF(VLOOKUP(BF126,βοηθητικό!$J$2:$N$354,3,FALSE)="","",VLOOKUP(BF126,βοηθητικό!$J$2:$N$354,3,FALSE))</f>
        <v>_</v>
      </c>
      <c r="BH126" s="44"/>
      <c r="BI126" s="45" t="s">
        <v>16</v>
      </c>
      <c r="BJ126" s="46" t="str">
        <f>IF(VLOOKUP(BI126,βοηθητικό!$J$2:$N$354,3,FALSE)="","",VLOOKUP(BI126,βοηθητικό!$J$2:$N$354,3,FALSE))</f>
        <v>_</v>
      </c>
      <c r="BK126" s="47"/>
      <c r="BL126" s="42" t="s">
        <v>16</v>
      </c>
      <c r="BM126" s="43" t="str">
        <f>IF(VLOOKUP(BL126,βοηθητικό!$J$2:$N$354,3,FALSE)="","",VLOOKUP(BL126,βοηθητικό!$J$2:$N$354,3,FALSE))</f>
        <v>_</v>
      </c>
      <c r="BN126" s="44"/>
      <c r="BO126" s="45" t="s">
        <v>16</v>
      </c>
      <c r="BP126" s="46" t="str">
        <f>IF(VLOOKUP(BO126,βοηθητικό!$J$2:$N$354,3,FALSE)="","",VLOOKUP(BO126,βοηθητικό!$J$2:$N$354,3,FALSE))</f>
        <v>_</v>
      </c>
      <c r="BQ126" s="47"/>
      <c r="BR126" s="42" t="s">
        <v>16</v>
      </c>
      <c r="BS126" s="43" t="str">
        <f>IF(VLOOKUP(BR126,βοηθητικό!$J$2:$N$354,3,FALSE)="","",VLOOKUP(BR126,βοηθητικό!$J$2:$N$354,3,FALSE))</f>
        <v>_</v>
      </c>
      <c r="BT126" s="44"/>
      <c r="BU126" s="45" t="s">
        <v>16</v>
      </c>
      <c r="BV126" s="46" t="str">
        <f>IF(VLOOKUP(BU126,βοηθητικό!$J$2:$N$354,3,FALSE)="","",VLOOKUP(BU126,βοηθητικό!$J$2:$N$354,3,FALSE))</f>
        <v>_</v>
      </c>
      <c r="BW126" s="47"/>
      <c r="BX126" s="42" t="s">
        <v>16</v>
      </c>
      <c r="BY126" s="43" t="str">
        <f>IF(VLOOKUP(BX126,βοηθητικό!$J$2:$N$354,3,FALSE)="","",VLOOKUP(BX126,βοηθητικό!$J$2:$N$354,3,FALSE))</f>
        <v>_</v>
      </c>
      <c r="BZ126" s="44"/>
      <c r="CA126" s="45" t="s">
        <v>16</v>
      </c>
      <c r="CB126" s="46" t="str">
        <f>IF(VLOOKUP(CA126,βοηθητικό!$J$2:$N$354,3,FALSE)="","",VLOOKUP(CA126,βοηθητικό!$J$2:$N$354,3,FALSE))</f>
        <v>_</v>
      </c>
      <c r="CC126" s="47"/>
      <c r="CD126" s="42" t="s">
        <v>16</v>
      </c>
      <c r="CE126" s="43" t="str">
        <f>IF(VLOOKUP(CD126,βοηθητικό!$J$2:$N$354,3,FALSE)="","",VLOOKUP(CD126,βοηθητικό!$J$2:$N$354,3,FALSE))</f>
        <v>_</v>
      </c>
      <c r="CF126" s="44"/>
      <c r="CG126" s="45" t="s">
        <v>16</v>
      </c>
      <c r="CH126" s="46" t="str">
        <f>IF(VLOOKUP(CG126,βοηθητικό!$J$2:$N$354,3,FALSE)="","",VLOOKUP(CG126,βοηθητικό!$J$2:$N$354,3,FALSE))</f>
        <v>_</v>
      </c>
      <c r="CI126" s="47"/>
      <c r="CJ126" s="42" t="s">
        <v>16</v>
      </c>
      <c r="CK126" s="43" t="str">
        <f>IF(VLOOKUP(CJ126,βοηθητικό!$J$2:$N$354,3,FALSE)="","",VLOOKUP(CJ126,βοηθητικό!$J$2:$N$354,3,FALSE))</f>
        <v>_</v>
      </c>
      <c r="CL126" s="44"/>
      <c r="CM126" s="45" t="s">
        <v>16</v>
      </c>
      <c r="CN126" s="46" t="str">
        <f>IF(VLOOKUP(CM126,βοηθητικό!$J$2:$N$354,3,FALSE)="","",VLOOKUP(CM126,βοηθητικό!$J$2:$N$354,3,FALSE))</f>
        <v>_</v>
      </c>
      <c r="CO126" s="47"/>
      <c r="CP126" s="42" t="s">
        <v>16</v>
      </c>
      <c r="CQ126" s="43" t="str">
        <f>IF(VLOOKUP(CP126,βοηθητικό!$J$2:$N$354,3,FALSE)="","",VLOOKUP(CP126,βοηθητικό!$J$2:$N$354,3,FALSE))</f>
        <v>_</v>
      </c>
      <c r="CR126" s="44"/>
      <c r="CS126" s="45" t="s">
        <v>16</v>
      </c>
      <c r="CT126" s="46" t="str">
        <f>IF(VLOOKUP(CS126,βοηθητικό!$J$2:$N$354,3,FALSE)="","",VLOOKUP(CS126,βοηθητικό!$J$2:$N$354,3,FALSE))</f>
        <v>_</v>
      </c>
      <c r="CU126" s="47"/>
    </row>
    <row r="127" spans="1:99" x14ac:dyDescent="0.25">
      <c r="A127" s="37">
        <f>--SUBTOTAL(3,$B$3:B126)</f>
        <v>124</v>
      </c>
      <c r="B127" s="2">
        <v>45138</v>
      </c>
      <c r="C127" s="3">
        <v>45144</v>
      </c>
      <c r="D127" s="57" t="s">
        <v>83</v>
      </c>
      <c r="E127" s="38" t="s">
        <v>16</v>
      </c>
      <c r="F127" s="38" t="s">
        <v>16</v>
      </c>
      <c r="G127" s="39" t="str">
        <f t="shared" si="5"/>
        <v>__</v>
      </c>
      <c r="H127" s="40" t="str">
        <f t="shared" si="6"/>
        <v>FALSE</v>
      </c>
      <c r="I127" s="41">
        <f t="shared" si="7"/>
        <v>4</v>
      </c>
      <c r="J127" s="4" t="s">
        <v>884</v>
      </c>
      <c r="K127" s="43" t="str">
        <f>IF(VLOOKUP(J127,βοηθητικό!$J$2:$N$354,3,FALSE)="","",VLOOKUP(J127,βοηθητικό!$J$2:$N$354,3,FALSE))</f>
        <v>6978894699</v>
      </c>
      <c r="L127" s="44"/>
      <c r="M127" s="5" t="s">
        <v>915</v>
      </c>
      <c r="N127" s="46" t="str">
        <f>IF(VLOOKUP(M127,βοηθητικό!$J$2:$N$354,3,FALSE)="","",VLOOKUP(M127,βοηθητικό!$J$2:$N$354,3,FALSE))</f>
        <v>6977293089</v>
      </c>
      <c r="O127" s="47"/>
      <c r="P127" s="4" t="s">
        <v>892</v>
      </c>
      <c r="Q127" s="43" t="str">
        <f>IF(VLOOKUP(P127,βοηθητικό!$J$2:$N$354,3,FALSE)="","",VLOOKUP(P127,βοηθητικό!$J$2:$N$354,3,FALSE))</f>
        <v>6978335362</v>
      </c>
      <c r="R127" s="44"/>
      <c r="S127" s="5" t="s">
        <v>907</v>
      </c>
      <c r="T127" s="46" t="str">
        <f>IF(VLOOKUP(S127,βοηθητικό!$J$2:$N$354,3,FALSE)="","",VLOOKUP(S127,βοηθητικό!$J$2:$N$354,3,FALSE))</f>
        <v>6974321817</v>
      </c>
      <c r="U127" s="47"/>
      <c r="V127" s="4" t="s">
        <v>16</v>
      </c>
      <c r="W127" s="43" t="str">
        <f>IF(VLOOKUP(V127,βοηθητικό!$J$2:$N$354,3,FALSE)="","",VLOOKUP(V127,βοηθητικό!$J$2:$N$354,3,FALSE))</f>
        <v>_</v>
      </c>
      <c r="X127" s="44"/>
      <c r="Y127" s="5" t="s">
        <v>16</v>
      </c>
      <c r="Z127" s="46" t="str">
        <f>IF(VLOOKUP(Y127,βοηθητικό!$J$2:$N$354,3,FALSE)="","",VLOOKUP(Y127,βοηθητικό!$J$2:$N$354,3,FALSE))</f>
        <v>_</v>
      </c>
      <c r="AA127" s="47"/>
      <c r="AB127" s="4" t="s">
        <v>16</v>
      </c>
      <c r="AC127" s="43" t="str">
        <f>IF(VLOOKUP(AB127,βοηθητικό!$J$2:$N$354,3,FALSE)="","",VLOOKUP(AB127,βοηθητικό!$J$2:$N$354,3,FALSE))</f>
        <v>_</v>
      </c>
      <c r="AD127" s="44"/>
      <c r="AE127" s="5" t="s">
        <v>16</v>
      </c>
      <c r="AF127" s="46" t="str">
        <f>IF(VLOOKUP(AE127,βοηθητικό!$J$2:$N$354,3,FALSE)="","",VLOOKUP(AE127,βοηθητικό!$J$2:$N$354,3,FALSE))</f>
        <v>_</v>
      </c>
      <c r="AG127" s="47"/>
      <c r="AH127" s="4" t="s">
        <v>16</v>
      </c>
      <c r="AI127" s="43" t="str">
        <f>IF(VLOOKUP(AH127,βοηθητικό!$J$2:$N$354,3,FALSE)="","",VLOOKUP(AH127,βοηθητικό!$J$2:$N$354,3,FALSE))</f>
        <v>_</v>
      </c>
      <c r="AJ127" s="44"/>
      <c r="AK127" s="5" t="s">
        <v>16</v>
      </c>
      <c r="AL127" s="46" t="str">
        <f>IF(VLOOKUP(AK127,βοηθητικό!$J$2:$N$354,3,FALSE)="","",VLOOKUP(AK127,βοηθητικό!$J$2:$N$354,3,FALSE))</f>
        <v>_</v>
      </c>
      <c r="AM127" s="47"/>
      <c r="AN127" s="4" t="s">
        <v>16</v>
      </c>
      <c r="AO127" s="43" t="str">
        <f>IF(VLOOKUP(AN127,βοηθητικό!$J$2:$N$354,3,FALSE)="","",VLOOKUP(AN127,βοηθητικό!$J$2:$N$354,3,FALSE))</f>
        <v>_</v>
      </c>
      <c r="AP127" s="44"/>
      <c r="AQ127" s="5" t="s">
        <v>16</v>
      </c>
      <c r="AR127" s="46" t="str">
        <f>IF(VLOOKUP(AQ127,βοηθητικό!$J$2:$N$354,3,FALSE)="","",VLOOKUP(AQ127,βοηθητικό!$J$2:$N$354,3,FALSE))</f>
        <v>_</v>
      </c>
      <c r="AS127" s="47"/>
      <c r="AT127" s="4" t="s">
        <v>16</v>
      </c>
      <c r="AU127" s="43" t="str">
        <f>IF(VLOOKUP(AT127,βοηθητικό!$J$2:$N$354,3,FALSE)="","",VLOOKUP(AT127,βοηθητικό!$J$2:$N$354,3,FALSE))</f>
        <v>_</v>
      </c>
      <c r="AV127" s="44"/>
      <c r="AW127" s="5" t="s">
        <v>16</v>
      </c>
      <c r="AX127" s="46" t="str">
        <f>IF(VLOOKUP(AW127,βοηθητικό!$J$2:$N$354,3,FALSE)="","",VLOOKUP(AW127,βοηθητικό!$J$2:$N$354,3,FALSE))</f>
        <v>_</v>
      </c>
      <c r="AY127" s="47"/>
      <c r="AZ127" s="4" t="s">
        <v>16</v>
      </c>
      <c r="BA127" s="43" t="str">
        <f>IF(VLOOKUP(AZ127,βοηθητικό!$J$2:$N$354,3,FALSE)="","",VLOOKUP(AZ127,βοηθητικό!$J$2:$N$354,3,FALSE))</f>
        <v>_</v>
      </c>
      <c r="BB127" s="44"/>
      <c r="BC127" s="45" t="s">
        <v>16</v>
      </c>
      <c r="BD127" s="46" t="str">
        <f>IF(VLOOKUP(BC127,βοηθητικό!$J$2:$N$354,3,FALSE)="","",VLOOKUP(BC127,βοηθητικό!$J$2:$N$354,3,FALSE))</f>
        <v>_</v>
      </c>
      <c r="BE127" s="47"/>
      <c r="BF127" s="42" t="s">
        <v>16</v>
      </c>
      <c r="BG127" s="43" t="str">
        <f>IF(VLOOKUP(BF127,βοηθητικό!$J$2:$N$354,3,FALSE)="","",VLOOKUP(BF127,βοηθητικό!$J$2:$N$354,3,FALSE))</f>
        <v>_</v>
      </c>
      <c r="BH127" s="44"/>
      <c r="BI127" s="45" t="s">
        <v>16</v>
      </c>
      <c r="BJ127" s="46" t="str">
        <f>IF(VLOOKUP(BI127,βοηθητικό!$J$2:$N$354,3,FALSE)="","",VLOOKUP(BI127,βοηθητικό!$J$2:$N$354,3,FALSE))</f>
        <v>_</v>
      </c>
      <c r="BK127" s="47"/>
      <c r="BL127" s="42" t="s">
        <v>16</v>
      </c>
      <c r="BM127" s="43" t="str">
        <f>IF(VLOOKUP(BL127,βοηθητικό!$J$2:$N$354,3,FALSE)="","",VLOOKUP(BL127,βοηθητικό!$J$2:$N$354,3,FALSE))</f>
        <v>_</v>
      </c>
      <c r="BN127" s="44"/>
      <c r="BO127" s="45" t="s">
        <v>16</v>
      </c>
      <c r="BP127" s="46" t="str">
        <f>IF(VLOOKUP(BO127,βοηθητικό!$J$2:$N$354,3,FALSE)="","",VLOOKUP(BO127,βοηθητικό!$J$2:$N$354,3,FALSE))</f>
        <v>_</v>
      </c>
      <c r="BQ127" s="47"/>
      <c r="BR127" s="42" t="s">
        <v>16</v>
      </c>
      <c r="BS127" s="43" t="str">
        <f>IF(VLOOKUP(BR127,βοηθητικό!$J$2:$N$354,3,FALSE)="","",VLOOKUP(BR127,βοηθητικό!$J$2:$N$354,3,FALSE))</f>
        <v>_</v>
      </c>
      <c r="BT127" s="44"/>
      <c r="BU127" s="45" t="s">
        <v>16</v>
      </c>
      <c r="BV127" s="46" t="str">
        <f>IF(VLOOKUP(BU127,βοηθητικό!$J$2:$N$354,3,FALSE)="","",VLOOKUP(BU127,βοηθητικό!$J$2:$N$354,3,FALSE))</f>
        <v>_</v>
      </c>
      <c r="BW127" s="47"/>
      <c r="BX127" s="42" t="s">
        <v>16</v>
      </c>
      <c r="BY127" s="43" t="str">
        <f>IF(VLOOKUP(BX127,βοηθητικό!$J$2:$N$354,3,FALSE)="","",VLOOKUP(BX127,βοηθητικό!$J$2:$N$354,3,FALSE))</f>
        <v>_</v>
      </c>
      <c r="BZ127" s="44"/>
      <c r="CA127" s="45" t="s">
        <v>16</v>
      </c>
      <c r="CB127" s="46" t="str">
        <f>IF(VLOOKUP(CA127,βοηθητικό!$J$2:$N$354,3,FALSE)="","",VLOOKUP(CA127,βοηθητικό!$J$2:$N$354,3,FALSE))</f>
        <v>_</v>
      </c>
      <c r="CC127" s="47"/>
      <c r="CD127" s="42" t="s">
        <v>16</v>
      </c>
      <c r="CE127" s="43" t="str">
        <f>IF(VLOOKUP(CD127,βοηθητικό!$J$2:$N$354,3,FALSE)="","",VLOOKUP(CD127,βοηθητικό!$J$2:$N$354,3,FALSE))</f>
        <v>_</v>
      </c>
      <c r="CF127" s="44"/>
      <c r="CG127" s="45" t="s">
        <v>16</v>
      </c>
      <c r="CH127" s="46" t="str">
        <f>IF(VLOOKUP(CG127,βοηθητικό!$J$2:$N$354,3,FALSE)="","",VLOOKUP(CG127,βοηθητικό!$J$2:$N$354,3,FALSE))</f>
        <v>_</v>
      </c>
      <c r="CI127" s="47"/>
      <c r="CJ127" s="42" t="s">
        <v>16</v>
      </c>
      <c r="CK127" s="43" t="str">
        <f>IF(VLOOKUP(CJ127,βοηθητικό!$J$2:$N$354,3,FALSE)="","",VLOOKUP(CJ127,βοηθητικό!$J$2:$N$354,3,FALSE))</f>
        <v>_</v>
      </c>
      <c r="CL127" s="44"/>
      <c r="CM127" s="45" t="s">
        <v>16</v>
      </c>
      <c r="CN127" s="46" t="str">
        <f>IF(VLOOKUP(CM127,βοηθητικό!$J$2:$N$354,3,FALSE)="","",VLOOKUP(CM127,βοηθητικό!$J$2:$N$354,3,FALSE))</f>
        <v>_</v>
      </c>
      <c r="CO127" s="47"/>
      <c r="CP127" s="42" t="s">
        <v>16</v>
      </c>
      <c r="CQ127" s="43" t="str">
        <f>IF(VLOOKUP(CP127,βοηθητικό!$J$2:$N$354,3,FALSE)="","",VLOOKUP(CP127,βοηθητικό!$J$2:$N$354,3,FALSE))</f>
        <v>_</v>
      </c>
      <c r="CR127" s="44"/>
      <c r="CS127" s="45" t="s">
        <v>16</v>
      </c>
      <c r="CT127" s="46" t="str">
        <f>IF(VLOOKUP(CS127,βοηθητικό!$J$2:$N$354,3,FALSE)="","",VLOOKUP(CS127,βοηθητικό!$J$2:$N$354,3,FALSE))</f>
        <v>_</v>
      </c>
      <c r="CU127" s="47"/>
    </row>
    <row r="128" spans="1:99" x14ac:dyDescent="0.25">
      <c r="A128" s="37">
        <f>--SUBTOTAL(3,$B$3:B127)</f>
        <v>125</v>
      </c>
      <c r="B128" s="2">
        <v>45145</v>
      </c>
      <c r="C128" s="3">
        <v>45151</v>
      </c>
      <c r="D128" s="57" t="s">
        <v>83</v>
      </c>
      <c r="E128" s="38" t="s">
        <v>16</v>
      </c>
      <c r="F128" s="38" t="s">
        <v>16</v>
      </c>
      <c r="G128" s="39" t="str">
        <f t="shared" si="5"/>
        <v>__</v>
      </c>
      <c r="H128" s="40" t="str">
        <f t="shared" si="6"/>
        <v>FALSE</v>
      </c>
      <c r="I128" s="41">
        <f t="shared" si="7"/>
        <v>4</v>
      </c>
      <c r="J128" s="4" t="s">
        <v>911</v>
      </c>
      <c r="K128" s="43" t="str">
        <f>IF(VLOOKUP(J128,βοηθητικό!$J$2:$N$354,3,FALSE)="","",VLOOKUP(J128,βοηθητικό!$J$2:$N$354,3,FALSE))</f>
        <v>6972234942</v>
      </c>
      <c r="L128" s="44"/>
      <c r="M128" s="5" t="s">
        <v>903</v>
      </c>
      <c r="N128" s="46" t="str">
        <f>IF(VLOOKUP(M128,βοηθητικό!$J$2:$N$354,3,FALSE)="","",VLOOKUP(M128,βοηθητικό!$J$2:$N$354,3,FALSE))</f>
        <v>6934973849</v>
      </c>
      <c r="O128" s="47"/>
      <c r="P128" s="4" t="s">
        <v>915</v>
      </c>
      <c r="Q128" s="43" t="str">
        <f>IF(VLOOKUP(P128,βοηθητικό!$J$2:$N$354,3,FALSE)="","",VLOOKUP(P128,βοηθητικό!$J$2:$N$354,3,FALSE))</f>
        <v>6977293089</v>
      </c>
      <c r="R128" s="44"/>
      <c r="S128" s="5" t="s">
        <v>900</v>
      </c>
      <c r="T128" s="46" t="str">
        <f>IF(VLOOKUP(S128,βοηθητικό!$J$2:$N$354,3,FALSE)="","",VLOOKUP(S128,βοηθητικό!$J$2:$N$354,3,FALSE))</f>
        <v>_</v>
      </c>
      <c r="U128" s="47"/>
      <c r="V128" s="4" t="s">
        <v>16</v>
      </c>
      <c r="W128" s="43" t="str">
        <f>IF(VLOOKUP(V128,βοηθητικό!$J$2:$N$354,3,FALSE)="","",VLOOKUP(V128,βοηθητικό!$J$2:$N$354,3,FALSE))</f>
        <v>_</v>
      </c>
      <c r="X128" s="44"/>
      <c r="Y128" s="5" t="s">
        <v>16</v>
      </c>
      <c r="Z128" s="46" t="str">
        <f>IF(VLOOKUP(Y128,βοηθητικό!$J$2:$N$354,3,FALSE)="","",VLOOKUP(Y128,βοηθητικό!$J$2:$N$354,3,FALSE))</f>
        <v>_</v>
      </c>
      <c r="AA128" s="47"/>
      <c r="AB128" s="4" t="s">
        <v>16</v>
      </c>
      <c r="AC128" s="43" t="str">
        <f>IF(VLOOKUP(AB128,βοηθητικό!$J$2:$N$354,3,FALSE)="","",VLOOKUP(AB128,βοηθητικό!$J$2:$N$354,3,FALSE))</f>
        <v>_</v>
      </c>
      <c r="AD128" s="44"/>
      <c r="AE128" s="5" t="s">
        <v>16</v>
      </c>
      <c r="AF128" s="46" t="str">
        <f>IF(VLOOKUP(AE128,βοηθητικό!$J$2:$N$354,3,FALSE)="","",VLOOKUP(AE128,βοηθητικό!$J$2:$N$354,3,FALSE))</f>
        <v>_</v>
      </c>
      <c r="AG128" s="47"/>
      <c r="AH128" s="4" t="s">
        <v>16</v>
      </c>
      <c r="AI128" s="43" t="str">
        <f>IF(VLOOKUP(AH128,βοηθητικό!$J$2:$N$354,3,FALSE)="","",VLOOKUP(AH128,βοηθητικό!$J$2:$N$354,3,FALSE))</f>
        <v>_</v>
      </c>
      <c r="AJ128" s="44"/>
      <c r="AK128" s="5" t="s">
        <v>16</v>
      </c>
      <c r="AL128" s="46" t="str">
        <f>IF(VLOOKUP(AK128,βοηθητικό!$J$2:$N$354,3,FALSE)="","",VLOOKUP(AK128,βοηθητικό!$J$2:$N$354,3,FALSE))</f>
        <v>_</v>
      </c>
      <c r="AM128" s="47"/>
      <c r="AN128" s="4" t="s">
        <v>16</v>
      </c>
      <c r="AO128" s="43" t="str">
        <f>IF(VLOOKUP(AN128,βοηθητικό!$J$2:$N$354,3,FALSE)="","",VLOOKUP(AN128,βοηθητικό!$J$2:$N$354,3,FALSE))</f>
        <v>_</v>
      </c>
      <c r="AP128" s="44"/>
      <c r="AQ128" s="5" t="s">
        <v>16</v>
      </c>
      <c r="AR128" s="46" t="str">
        <f>IF(VLOOKUP(AQ128,βοηθητικό!$J$2:$N$354,3,FALSE)="","",VLOOKUP(AQ128,βοηθητικό!$J$2:$N$354,3,FALSE))</f>
        <v>_</v>
      </c>
      <c r="AS128" s="47"/>
      <c r="AT128" s="4" t="s">
        <v>16</v>
      </c>
      <c r="AU128" s="43" t="str">
        <f>IF(VLOOKUP(AT128,βοηθητικό!$J$2:$N$354,3,FALSE)="","",VLOOKUP(AT128,βοηθητικό!$J$2:$N$354,3,FALSE))</f>
        <v>_</v>
      </c>
      <c r="AV128" s="44"/>
      <c r="AW128" s="5" t="s">
        <v>16</v>
      </c>
      <c r="AX128" s="46" t="str">
        <f>IF(VLOOKUP(AW128,βοηθητικό!$J$2:$N$354,3,FALSE)="","",VLOOKUP(AW128,βοηθητικό!$J$2:$N$354,3,FALSE))</f>
        <v>_</v>
      </c>
      <c r="AY128" s="47"/>
      <c r="AZ128" s="4" t="s">
        <v>16</v>
      </c>
      <c r="BA128" s="43" t="str">
        <f>IF(VLOOKUP(AZ128,βοηθητικό!$J$2:$N$354,3,FALSE)="","",VLOOKUP(AZ128,βοηθητικό!$J$2:$N$354,3,FALSE))</f>
        <v>_</v>
      </c>
      <c r="BB128" s="44"/>
      <c r="BC128" s="45" t="s">
        <v>16</v>
      </c>
      <c r="BD128" s="46" t="str">
        <f>IF(VLOOKUP(BC128,βοηθητικό!$J$2:$N$354,3,FALSE)="","",VLOOKUP(BC128,βοηθητικό!$J$2:$N$354,3,FALSE))</f>
        <v>_</v>
      </c>
      <c r="BE128" s="47"/>
      <c r="BF128" s="42" t="s">
        <v>16</v>
      </c>
      <c r="BG128" s="43" t="str">
        <f>IF(VLOOKUP(BF128,βοηθητικό!$J$2:$N$354,3,FALSE)="","",VLOOKUP(BF128,βοηθητικό!$J$2:$N$354,3,FALSE))</f>
        <v>_</v>
      </c>
      <c r="BH128" s="44"/>
      <c r="BI128" s="45" t="s">
        <v>16</v>
      </c>
      <c r="BJ128" s="46" t="str">
        <f>IF(VLOOKUP(BI128,βοηθητικό!$J$2:$N$354,3,FALSE)="","",VLOOKUP(BI128,βοηθητικό!$J$2:$N$354,3,FALSE))</f>
        <v>_</v>
      </c>
      <c r="BK128" s="47"/>
      <c r="BL128" s="42" t="s">
        <v>16</v>
      </c>
      <c r="BM128" s="43" t="str">
        <f>IF(VLOOKUP(BL128,βοηθητικό!$J$2:$N$354,3,FALSE)="","",VLOOKUP(BL128,βοηθητικό!$J$2:$N$354,3,FALSE))</f>
        <v>_</v>
      </c>
      <c r="BN128" s="44"/>
      <c r="BO128" s="45" t="s">
        <v>16</v>
      </c>
      <c r="BP128" s="46" t="str">
        <f>IF(VLOOKUP(BO128,βοηθητικό!$J$2:$N$354,3,FALSE)="","",VLOOKUP(BO128,βοηθητικό!$J$2:$N$354,3,FALSE))</f>
        <v>_</v>
      </c>
      <c r="BQ128" s="47"/>
      <c r="BR128" s="42" t="s">
        <v>16</v>
      </c>
      <c r="BS128" s="43" t="str">
        <f>IF(VLOOKUP(BR128,βοηθητικό!$J$2:$N$354,3,FALSE)="","",VLOOKUP(BR128,βοηθητικό!$J$2:$N$354,3,FALSE))</f>
        <v>_</v>
      </c>
      <c r="BT128" s="44"/>
      <c r="BU128" s="45" t="s">
        <v>16</v>
      </c>
      <c r="BV128" s="46" t="str">
        <f>IF(VLOOKUP(BU128,βοηθητικό!$J$2:$N$354,3,FALSE)="","",VLOOKUP(BU128,βοηθητικό!$J$2:$N$354,3,FALSE))</f>
        <v>_</v>
      </c>
      <c r="BW128" s="47"/>
      <c r="BX128" s="42" t="s">
        <v>16</v>
      </c>
      <c r="BY128" s="43" t="str">
        <f>IF(VLOOKUP(BX128,βοηθητικό!$J$2:$N$354,3,FALSE)="","",VLOOKUP(BX128,βοηθητικό!$J$2:$N$354,3,FALSE))</f>
        <v>_</v>
      </c>
      <c r="BZ128" s="44"/>
      <c r="CA128" s="45" t="s">
        <v>16</v>
      </c>
      <c r="CB128" s="46" t="str">
        <f>IF(VLOOKUP(CA128,βοηθητικό!$J$2:$N$354,3,FALSE)="","",VLOOKUP(CA128,βοηθητικό!$J$2:$N$354,3,FALSE))</f>
        <v>_</v>
      </c>
      <c r="CC128" s="47"/>
      <c r="CD128" s="42" t="s">
        <v>16</v>
      </c>
      <c r="CE128" s="43" t="str">
        <f>IF(VLOOKUP(CD128,βοηθητικό!$J$2:$N$354,3,FALSE)="","",VLOOKUP(CD128,βοηθητικό!$J$2:$N$354,3,FALSE))</f>
        <v>_</v>
      </c>
      <c r="CF128" s="44"/>
      <c r="CG128" s="45" t="s">
        <v>16</v>
      </c>
      <c r="CH128" s="46" t="str">
        <f>IF(VLOOKUP(CG128,βοηθητικό!$J$2:$N$354,3,FALSE)="","",VLOOKUP(CG128,βοηθητικό!$J$2:$N$354,3,FALSE))</f>
        <v>_</v>
      </c>
      <c r="CI128" s="47"/>
      <c r="CJ128" s="42" t="s">
        <v>16</v>
      </c>
      <c r="CK128" s="43" t="str">
        <f>IF(VLOOKUP(CJ128,βοηθητικό!$J$2:$N$354,3,FALSE)="","",VLOOKUP(CJ128,βοηθητικό!$J$2:$N$354,3,FALSE))</f>
        <v>_</v>
      </c>
      <c r="CL128" s="44"/>
      <c r="CM128" s="45" t="s">
        <v>16</v>
      </c>
      <c r="CN128" s="46" t="str">
        <f>IF(VLOOKUP(CM128,βοηθητικό!$J$2:$N$354,3,FALSE)="","",VLOOKUP(CM128,βοηθητικό!$J$2:$N$354,3,FALSE))</f>
        <v>_</v>
      </c>
      <c r="CO128" s="47"/>
      <c r="CP128" s="42" t="s">
        <v>16</v>
      </c>
      <c r="CQ128" s="43" t="str">
        <f>IF(VLOOKUP(CP128,βοηθητικό!$J$2:$N$354,3,FALSE)="","",VLOOKUP(CP128,βοηθητικό!$J$2:$N$354,3,FALSE))</f>
        <v>_</v>
      </c>
      <c r="CR128" s="44"/>
      <c r="CS128" s="45" t="s">
        <v>16</v>
      </c>
      <c r="CT128" s="46" t="str">
        <f>IF(VLOOKUP(CS128,βοηθητικό!$J$2:$N$354,3,FALSE)="","",VLOOKUP(CS128,βοηθητικό!$J$2:$N$354,3,FALSE))</f>
        <v>_</v>
      </c>
      <c r="CU128" s="47"/>
    </row>
    <row r="129" spans="1:99" x14ac:dyDescent="0.25">
      <c r="A129" s="37">
        <f>--SUBTOTAL(3,$B$3:B128)</f>
        <v>126</v>
      </c>
      <c r="B129" s="2">
        <v>45152</v>
      </c>
      <c r="C129" s="3">
        <v>45158</v>
      </c>
      <c r="D129" s="57" t="s">
        <v>83</v>
      </c>
      <c r="E129" s="38" t="s">
        <v>16</v>
      </c>
      <c r="F129" s="38" t="s">
        <v>16</v>
      </c>
      <c r="G129" s="39" t="str">
        <f t="shared" si="5"/>
        <v>__</v>
      </c>
      <c r="H129" s="40" t="str">
        <f t="shared" si="6"/>
        <v>FALSE</v>
      </c>
      <c r="I129" s="41">
        <f t="shared" si="7"/>
        <v>3</v>
      </c>
      <c r="J129" s="4" t="s">
        <v>880</v>
      </c>
      <c r="K129" s="43" t="str">
        <f>IF(VLOOKUP(J129,βοηθητικό!$J$2:$N$354,3,FALSE)="","",VLOOKUP(J129,βοηθητικό!$J$2:$N$354,3,FALSE))</f>
        <v>6976657104</v>
      </c>
      <c r="L129" s="44"/>
      <c r="M129" s="5" t="s">
        <v>907</v>
      </c>
      <c r="N129" s="46" t="str">
        <f>IF(VLOOKUP(M129,βοηθητικό!$J$2:$N$354,3,FALSE)="","",VLOOKUP(M129,βοηθητικό!$J$2:$N$354,3,FALSE))</f>
        <v>6974321817</v>
      </c>
      <c r="O129" s="47"/>
      <c r="P129" s="4" t="s">
        <v>896</v>
      </c>
      <c r="Q129" s="43" t="str">
        <f>IF(VLOOKUP(P129,βοηθητικό!$J$2:$N$354,3,FALSE)="","",VLOOKUP(P129,βοηθητικό!$J$2:$N$354,3,FALSE))</f>
        <v>6989602050</v>
      </c>
      <c r="R129" s="44"/>
      <c r="S129" s="5" t="s">
        <v>16</v>
      </c>
      <c r="T129" s="46" t="str">
        <f>IF(VLOOKUP(S129,βοηθητικό!$J$2:$N$354,3,FALSE)="","",VLOOKUP(S129,βοηθητικό!$J$2:$N$354,3,FALSE))</f>
        <v>_</v>
      </c>
      <c r="U129" s="47"/>
      <c r="V129" s="4" t="s">
        <v>16</v>
      </c>
      <c r="W129" s="43" t="str">
        <f>IF(VLOOKUP(V129,βοηθητικό!$J$2:$N$354,3,FALSE)="","",VLOOKUP(V129,βοηθητικό!$J$2:$N$354,3,FALSE))</f>
        <v>_</v>
      </c>
      <c r="X129" s="44"/>
      <c r="Y129" s="5" t="s">
        <v>16</v>
      </c>
      <c r="Z129" s="46" t="str">
        <f>IF(VLOOKUP(Y129,βοηθητικό!$J$2:$N$354,3,FALSE)="","",VLOOKUP(Y129,βοηθητικό!$J$2:$N$354,3,FALSE))</f>
        <v>_</v>
      </c>
      <c r="AA129" s="47"/>
      <c r="AB129" s="4" t="s">
        <v>16</v>
      </c>
      <c r="AC129" s="43" t="str">
        <f>IF(VLOOKUP(AB129,βοηθητικό!$J$2:$N$354,3,FALSE)="","",VLOOKUP(AB129,βοηθητικό!$J$2:$N$354,3,FALSE))</f>
        <v>_</v>
      </c>
      <c r="AD129" s="44"/>
      <c r="AE129" s="5" t="s">
        <v>16</v>
      </c>
      <c r="AF129" s="46" t="str">
        <f>IF(VLOOKUP(AE129,βοηθητικό!$J$2:$N$354,3,FALSE)="","",VLOOKUP(AE129,βοηθητικό!$J$2:$N$354,3,FALSE))</f>
        <v>_</v>
      </c>
      <c r="AG129" s="47"/>
      <c r="AH129" s="4" t="s">
        <v>16</v>
      </c>
      <c r="AI129" s="43" t="str">
        <f>IF(VLOOKUP(AH129,βοηθητικό!$J$2:$N$354,3,FALSE)="","",VLOOKUP(AH129,βοηθητικό!$J$2:$N$354,3,FALSE))</f>
        <v>_</v>
      </c>
      <c r="AJ129" s="44"/>
      <c r="AK129" s="5" t="s">
        <v>16</v>
      </c>
      <c r="AL129" s="46" t="str">
        <f>IF(VLOOKUP(AK129,βοηθητικό!$J$2:$N$354,3,FALSE)="","",VLOOKUP(AK129,βοηθητικό!$J$2:$N$354,3,FALSE))</f>
        <v>_</v>
      </c>
      <c r="AM129" s="47"/>
      <c r="AN129" s="4" t="s">
        <v>16</v>
      </c>
      <c r="AO129" s="43" t="str">
        <f>IF(VLOOKUP(AN129,βοηθητικό!$J$2:$N$354,3,FALSE)="","",VLOOKUP(AN129,βοηθητικό!$J$2:$N$354,3,FALSE))</f>
        <v>_</v>
      </c>
      <c r="AP129" s="44"/>
      <c r="AQ129" s="5" t="s">
        <v>16</v>
      </c>
      <c r="AR129" s="46" t="str">
        <f>IF(VLOOKUP(AQ129,βοηθητικό!$J$2:$N$354,3,FALSE)="","",VLOOKUP(AQ129,βοηθητικό!$J$2:$N$354,3,FALSE))</f>
        <v>_</v>
      </c>
      <c r="AS129" s="47"/>
      <c r="AT129" s="4" t="s">
        <v>16</v>
      </c>
      <c r="AU129" s="43" t="str">
        <f>IF(VLOOKUP(AT129,βοηθητικό!$J$2:$N$354,3,FALSE)="","",VLOOKUP(AT129,βοηθητικό!$J$2:$N$354,3,FALSE))</f>
        <v>_</v>
      </c>
      <c r="AV129" s="44"/>
      <c r="AW129" s="5" t="s">
        <v>16</v>
      </c>
      <c r="AX129" s="46" t="str">
        <f>IF(VLOOKUP(AW129,βοηθητικό!$J$2:$N$354,3,FALSE)="","",VLOOKUP(AW129,βοηθητικό!$J$2:$N$354,3,FALSE))</f>
        <v>_</v>
      </c>
      <c r="AY129" s="47"/>
      <c r="AZ129" s="4" t="s">
        <v>16</v>
      </c>
      <c r="BA129" s="43" t="str">
        <f>IF(VLOOKUP(AZ129,βοηθητικό!$J$2:$N$354,3,FALSE)="","",VLOOKUP(AZ129,βοηθητικό!$J$2:$N$354,3,FALSE))</f>
        <v>_</v>
      </c>
      <c r="BB129" s="44"/>
      <c r="BC129" s="45" t="s">
        <v>16</v>
      </c>
      <c r="BD129" s="46" t="str">
        <f>IF(VLOOKUP(BC129,βοηθητικό!$J$2:$N$354,3,FALSE)="","",VLOOKUP(BC129,βοηθητικό!$J$2:$N$354,3,FALSE))</f>
        <v>_</v>
      </c>
      <c r="BE129" s="47"/>
      <c r="BF129" s="42" t="s">
        <v>16</v>
      </c>
      <c r="BG129" s="43" t="str">
        <f>IF(VLOOKUP(BF129,βοηθητικό!$J$2:$N$354,3,FALSE)="","",VLOOKUP(BF129,βοηθητικό!$J$2:$N$354,3,FALSE))</f>
        <v>_</v>
      </c>
      <c r="BH129" s="44"/>
      <c r="BI129" s="45" t="s">
        <v>16</v>
      </c>
      <c r="BJ129" s="46" t="str">
        <f>IF(VLOOKUP(BI129,βοηθητικό!$J$2:$N$354,3,FALSE)="","",VLOOKUP(BI129,βοηθητικό!$J$2:$N$354,3,FALSE))</f>
        <v>_</v>
      </c>
      <c r="BK129" s="47"/>
      <c r="BL129" s="42" t="s">
        <v>16</v>
      </c>
      <c r="BM129" s="43" t="str">
        <f>IF(VLOOKUP(BL129,βοηθητικό!$J$2:$N$354,3,FALSE)="","",VLOOKUP(BL129,βοηθητικό!$J$2:$N$354,3,FALSE))</f>
        <v>_</v>
      </c>
      <c r="BN129" s="44"/>
      <c r="BO129" s="45" t="s">
        <v>16</v>
      </c>
      <c r="BP129" s="46" t="str">
        <f>IF(VLOOKUP(BO129,βοηθητικό!$J$2:$N$354,3,FALSE)="","",VLOOKUP(BO129,βοηθητικό!$J$2:$N$354,3,FALSE))</f>
        <v>_</v>
      </c>
      <c r="BQ129" s="47"/>
      <c r="BR129" s="42" t="s">
        <v>16</v>
      </c>
      <c r="BS129" s="43" t="str">
        <f>IF(VLOOKUP(BR129,βοηθητικό!$J$2:$N$354,3,FALSE)="","",VLOOKUP(BR129,βοηθητικό!$J$2:$N$354,3,FALSE))</f>
        <v>_</v>
      </c>
      <c r="BT129" s="44"/>
      <c r="BU129" s="45" t="s">
        <v>16</v>
      </c>
      <c r="BV129" s="46" t="str">
        <f>IF(VLOOKUP(BU129,βοηθητικό!$J$2:$N$354,3,FALSE)="","",VLOOKUP(BU129,βοηθητικό!$J$2:$N$354,3,FALSE))</f>
        <v>_</v>
      </c>
      <c r="BW129" s="47"/>
      <c r="BX129" s="42" t="s">
        <v>16</v>
      </c>
      <c r="BY129" s="43" t="str">
        <f>IF(VLOOKUP(BX129,βοηθητικό!$J$2:$N$354,3,FALSE)="","",VLOOKUP(BX129,βοηθητικό!$J$2:$N$354,3,FALSE))</f>
        <v>_</v>
      </c>
      <c r="BZ129" s="44"/>
      <c r="CA129" s="45" t="s">
        <v>16</v>
      </c>
      <c r="CB129" s="46" t="str">
        <f>IF(VLOOKUP(CA129,βοηθητικό!$J$2:$N$354,3,FALSE)="","",VLOOKUP(CA129,βοηθητικό!$J$2:$N$354,3,FALSE))</f>
        <v>_</v>
      </c>
      <c r="CC129" s="47"/>
      <c r="CD129" s="42" t="s">
        <v>16</v>
      </c>
      <c r="CE129" s="43" t="str">
        <f>IF(VLOOKUP(CD129,βοηθητικό!$J$2:$N$354,3,FALSE)="","",VLOOKUP(CD129,βοηθητικό!$J$2:$N$354,3,FALSE))</f>
        <v>_</v>
      </c>
      <c r="CF129" s="44"/>
      <c r="CG129" s="45" t="s">
        <v>16</v>
      </c>
      <c r="CH129" s="46" t="str">
        <f>IF(VLOOKUP(CG129,βοηθητικό!$J$2:$N$354,3,FALSE)="","",VLOOKUP(CG129,βοηθητικό!$J$2:$N$354,3,FALSE))</f>
        <v>_</v>
      </c>
      <c r="CI129" s="47"/>
      <c r="CJ129" s="42" t="s">
        <v>16</v>
      </c>
      <c r="CK129" s="43" t="str">
        <f>IF(VLOOKUP(CJ129,βοηθητικό!$J$2:$N$354,3,FALSE)="","",VLOOKUP(CJ129,βοηθητικό!$J$2:$N$354,3,FALSE))</f>
        <v>_</v>
      </c>
      <c r="CL129" s="44"/>
      <c r="CM129" s="45" t="s">
        <v>16</v>
      </c>
      <c r="CN129" s="46" t="str">
        <f>IF(VLOOKUP(CM129,βοηθητικό!$J$2:$N$354,3,FALSE)="","",VLOOKUP(CM129,βοηθητικό!$J$2:$N$354,3,FALSE))</f>
        <v>_</v>
      </c>
      <c r="CO129" s="47"/>
      <c r="CP129" s="42" t="s">
        <v>16</v>
      </c>
      <c r="CQ129" s="43" t="str">
        <f>IF(VLOOKUP(CP129,βοηθητικό!$J$2:$N$354,3,FALSE)="","",VLOOKUP(CP129,βοηθητικό!$J$2:$N$354,3,FALSE))</f>
        <v>_</v>
      </c>
      <c r="CR129" s="44"/>
      <c r="CS129" s="45" t="s">
        <v>16</v>
      </c>
      <c r="CT129" s="46" t="str">
        <f>IF(VLOOKUP(CS129,βοηθητικό!$J$2:$N$354,3,FALSE)="","",VLOOKUP(CS129,βοηθητικό!$J$2:$N$354,3,FALSE))</f>
        <v>_</v>
      </c>
      <c r="CU129" s="47"/>
    </row>
    <row r="130" spans="1:99" x14ac:dyDescent="0.25">
      <c r="A130" s="37">
        <f>--SUBTOTAL(3,$B$3:B129)</f>
        <v>127</v>
      </c>
      <c r="B130" s="2">
        <v>45159</v>
      </c>
      <c r="C130" s="3">
        <v>45165</v>
      </c>
      <c r="D130" s="57" t="s">
        <v>83</v>
      </c>
      <c r="E130" s="38" t="s">
        <v>16</v>
      </c>
      <c r="F130" s="38" t="s">
        <v>16</v>
      </c>
      <c r="G130" s="39" t="str">
        <f t="shared" si="5"/>
        <v>__</v>
      </c>
      <c r="H130" s="40" t="str">
        <f t="shared" si="6"/>
        <v>FALSE</v>
      </c>
      <c r="I130" s="41">
        <f t="shared" si="7"/>
        <v>3</v>
      </c>
      <c r="J130" s="4" t="s">
        <v>887</v>
      </c>
      <c r="K130" s="43" t="str">
        <f>IF(VLOOKUP(J130,βοηθητικό!$J$2:$N$354,3,FALSE)="","",VLOOKUP(J130,βοηθητικό!$J$2:$N$354,3,FALSE))</f>
        <v>6974378663</v>
      </c>
      <c r="L130" s="44"/>
      <c r="M130" s="5" t="s">
        <v>875</v>
      </c>
      <c r="N130" s="46" t="str">
        <f>IF(VLOOKUP(M130,βοηθητικό!$J$2:$N$354,3,FALSE)="","",VLOOKUP(M130,βοηθητικό!$J$2:$N$354,3,FALSE))</f>
        <v>6980736334</v>
      </c>
      <c r="O130" s="47"/>
      <c r="P130" s="4" t="s">
        <v>907</v>
      </c>
      <c r="Q130" s="43" t="str">
        <f>IF(VLOOKUP(P130,βοηθητικό!$J$2:$N$354,3,FALSE)="","",VLOOKUP(P130,βοηθητικό!$J$2:$N$354,3,FALSE))</f>
        <v>6974321817</v>
      </c>
      <c r="R130" s="44"/>
      <c r="S130" s="5" t="s">
        <v>16</v>
      </c>
      <c r="T130" s="46" t="str">
        <f>IF(VLOOKUP(S130,βοηθητικό!$J$2:$N$354,3,FALSE)="","",VLOOKUP(S130,βοηθητικό!$J$2:$N$354,3,FALSE))</f>
        <v>_</v>
      </c>
      <c r="U130" s="47"/>
      <c r="V130" s="4" t="s">
        <v>16</v>
      </c>
      <c r="W130" s="43" t="str">
        <f>IF(VLOOKUP(V130,βοηθητικό!$J$2:$N$354,3,FALSE)="","",VLOOKUP(V130,βοηθητικό!$J$2:$N$354,3,FALSE))</f>
        <v>_</v>
      </c>
      <c r="X130" s="44"/>
      <c r="Y130" s="5" t="s">
        <v>16</v>
      </c>
      <c r="Z130" s="46" t="str">
        <f>IF(VLOOKUP(Y130,βοηθητικό!$J$2:$N$354,3,FALSE)="","",VLOOKUP(Y130,βοηθητικό!$J$2:$N$354,3,FALSE))</f>
        <v>_</v>
      </c>
      <c r="AA130" s="47"/>
      <c r="AB130" s="4" t="s">
        <v>16</v>
      </c>
      <c r="AC130" s="43" t="str">
        <f>IF(VLOOKUP(AB130,βοηθητικό!$J$2:$N$354,3,FALSE)="","",VLOOKUP(AB130,βοηθητικό!$J$2:$N$354,3,FALSE))</f>
        <v>_</v>
      </c>
      <c r="AD130" s="44"/>
      <c r="AE130" s="5" t="s">
        <v>16</v>
      </c>
      <c r="AF130" s="46" t="str">
        <f>IF(VLOOKUP(AE130,βοηθητικό!$J$2:$N$354,3,FALSE)="","",VLOOKUP(AE130,βοηθητικό!$J$2:$N$354,3,FALSE))</f>
        <v>_</v>
      </c>
      <c r="AG130" s="47"/>
      <c r="AH130" s="4" t="s">
        <v>16</v>
      </c>
      <c r="AI130" s="43" t="str">
        <f>IF(VLOOKUP(AH130,βοηθητικό!$J$2:$N$354,3,FALSE)="","",VLOOKUP(AH130,βοηθητικό!$J$2:$N$354,3,FALSE))</f>
        <v>_</v>
      </c>
      <c r="AJ130" s="44"/>
      <c r="AK130" s="5" t="s">
        <v>16</v>
      </c>
      <c r="AL130" s="46" t="str">
        <f>IF(VLOOKUP(AK130,βοηθητικό!$J$2:$N$354,3,FALSE)="","",VLOOKUP(AK130,βοηθητικό!$J$2:$N$354,3,FALSE))</f>
        <v>_</v>
      </c>
      <c r="AM130" s="47"/>
      <c r="AN130" s="4" t="s">
        <v>16</v>
      </c>
      <c r="AO130" s="43" t="str">
        <f>IF(VLOOKUP(AN130,βοηθητικό!$J$2:$N$354,3,FALSE)="","",VLOOKUP(AN130,βοηθητικό!$J$2:$N$354,3,FALSE))</f>
        <v>_</v>
      </c>
      <c r="AP130" s="44"/>
      <c r="AQ130" s="5" t="s">
        <v>16</v>
      </c>
      <c r="AR130" s="46" t="str">
        <f>IF(VLOOKUP(AQ130,βοηθητικό!$J$2:$N$354,3,FALSE)="","",VLOOKUP(AQ130,βοηθητικό!$J$2:$N$354,3,FALSE))</f>
        <v>_</v>
      </c>
      <c r="AS130" s="47"/>
      <c r="AT130" s="4" t="s">
        <v>16</v>
      </c>
      <c r="AU130" s="43" t="str">
        <f>IF(VLOOKUP(AT130,βοηθητικό!$J$2:$N$354,3,FALSE)="","",VLOOKUP(AT130,βοηθητικό!$J$2:$N$354,3,FALSE))</f>
        <v>_</v>
      </c>
      <c r="AV130" s="44"/>
      <c r="AW130" s="5" t="s">
        <v>16</v>
      </c>
      <c r="AX130" s="46" t="str">
        <f>IF(VLOOKUP(AW130,βοηθητικό!$J$2:$N$354,3,FALSE)="","",VLOOKUP(AW130,βοηθητικό!$J$2:$N$354,3,FALSE))</f>
        <v>_</v>
      </c>
      <c r="AY130" s="47"/>
      <c r="AZ130" s="4" t="s">
        <v>16</v>
      </c>
      <c r="BA130" s="43" t="str">
        <f>IF(VLOOKUP(AZ130,βοηθητικό!$J$2:$N$354,3,FALSE)="","",VLOOKUP(AZ130,βοηθητικό!$J$2:$N$354,3,FALSE))</f>
        <v>_</v>
      </c>
      <c r="BB130" s="44"/>
      <c r="BC130" s="45" t="s">
        <v>16</v>
      </c>
      <c r="BD130" s="46" t="str">
        <f>IF(VLOOKUP(BC130,βοηθητικό!$J$2:$N$354,3,FALSE)="","",VLOOKUP(BC130,βοηθητικό!$J$2:$N$354,3,FALSE))</f>
        <v>_</v>
      </c>
      <c r="BE130" s="47"/>
      <c r="BF130" s="42" t="s">
        <v>16</v>
      </c>
      <c r="BG130" s="43" t="str">
        <f>IF(VLOOKUP(BF130,βοηθητικό!$J$2:$N$354,3,FALSE)="","",VLOOKUP(BF130,βοηθητικό!$J$2:$N$354,3,FALSE))</f>
        <v>_</v>
      </c>
      <c r="BH130" s="44"/>
      <c r="BI130" s="45" t="s">
        <v>16</v>
      </c>
      <c r="BJ130" s="46" t="str">
        <f>IF(VLOOKUP(BI130,βοηθητικό!$J$2:$N$354,3,FALSE)="","",VLOOKUP(BI130,βοηθητικό!$J$2:$N$354,3,FALSE))</f>
        <v>_</v>
      </c>
      <c r="BK130" s="47"/>
      <c r="BL130" s="42" t="s">
        <v>16</v>
      </c>
      <c r="BM130" s="43" t="str">
        <f>IF(VLOOKUP(BL130,βοηθητικό!$J$2:$N$354,3,FALSE)="","",VLOOKUP(BL130,βοηθητικό!$J$2:$N$354,3,FALSE))</f>
        <v>_</v>
      </c>
      <c r="BN130" s="44"/>
      <c r="BO130" s="45" t="s">
        <v>16</v>
      </c>
      <c r="BP130" s="46" t="str">
        <f>IF(VLOOKUP(BO130,βοηθητικό!$J$2:$N$354,3,FALSE)="","",VLOOKUP(BO130,βοηθητικό!$J$2:$N$354,3,FALSE))</f>
        <v>_</v>
      </c>
      <c r="BQ130" s="47"/>
      <c r="BR130" s="42" t="s">
        <v>16</v>
      </c>
      <c r="BS130" s="43" t="str">
        <f>IF(VLOOKUP(BR130,βοηθητικό!$J$2:$N$354,3,FALSE)="","",VLOOKUP(BR130,βοηθητικό!$J$2:$N$354,3,FALSE))</f>
        <v>_</v>
      </c>
      <c r="BT130" s="44"/>
      <c r="BU130" s="45" t="s">
        <v>16</v>
      </c>
      <c r="BV130" s="46" t="str">
        <f>IF(VLOOKUP(BU130,βοηθητικό!$J$2:$N$354,3,FALSE)="","",VLOOKUP(BU130,βοηθητικό!$J$2:$N$354,3,FALSE))</f>
        <v>_</v>
      </c>
      <c r="BW130" s="47"/>
      <c r="BX130" s="42" t="s">
        <v>16</v>
      </c>
      <c r="BY130" s="43" t="str">
        <f>IF(VLOOKUP(BX130,βοηθητικό!$J$2:$N$354,3,FALSE)="","",VLOOKUP(BX130,βοηθητικό!$J$2:$N$354,3,FALSE))</f>
        <v>_</v>
      </c>
      <c r="BZ130" s="44"/>
      <c r="CA130" s="45" t="s">
        <v>16</v>
      </c>
      <c r="CB130" s="46" t="str">
        <f>IF(VLOOKUP(CA130,βοηθητικό!$J$2:$N$354,3,FALSE)="","",VLOOKUP(CA130,βοηθητικό!$J$2:$N$354,3,FALSE))</f>
        <v>_</v>
      </c>
      <c r="CC130" s="47"/>
      <c r="CD130" s="42" t="s">
        <v>16</v>
      </c>
      <c r="CE130" s="43" t="str">
        <f>IF(VLOOKUP(CD130,βοηθητικό!$J$2:$N$354,3,FALSE)="","",VLOOKUP(CD130,βοηθητικό!$J$2:$N$354,3,FALSE))</f>
        <v>_</v>
      </c>
      <c r="CF130" s="44"/>
      <c r="CG130" s="45" t="s">
        <v>16</v>
      </c>
      <c r="CH130" s="46" t="str">
        <f>IF(VLOOKUP(CG130,βοηθητικό!$J$2:$N$354,3,FALSE)="","",VLOOKUP(CG130,βοηθητικό!$J$2:$N$354,3,FALSE))</f>
        <v>_</v>
      </c>
      <c r="CI130" s="47"/>
      <c r="CJ130" s="42" t="s">
        <v>16</v>
      </c>
      <c r="CK130" s="43" t="str">
        <f>IF(VLOOKUP(CJ130,βοηθητικό!$J$2:$N$354,3,FALSE)="","",VLOOKUP(CJ130,βοηθητικό!$J$2:$N$354,3,FALSE))</f>
        <v>_</v>
      </c>
      <c r="CL130" s="44"/>
      <c r="CM130" s="45" t="s">
        <v>16</v>
      </c>
      <c r="CN130" s="46" t="str">
        <f>IF(VLOOKUP(CM130,βοηθητικό!$J$2:$N$354,3,FALSE)="","",VLOOKUP(CM130,βοηθητικό!$J$2:$N$354,3,FALSE))</f>
        <v>_</v>
      </c>
      <c r="CO130" s="47"/>
      <c r="CP130" s="42" t="s">
        <v>16</v>
      </c>
      <c r="CQ130" s="43" t="str">
        <f>IF(VLOOKUP(CP130,βοηθητικό!$J$2:$N$354,3,FALSE)="","",VLOOKUP(CP130,βοηθητικό!$J$2:$N$354,3,FALSE))</f>
        <v>_</v>
      </c>
      <c r="CR130" s="44"/>
      <c r="CS130" s="45" t="s">
        <v>16</v>
      </c>
      <c r="CT130" s="46" t="str">
        <f>IF(VLOOKUP(CS130,βοηθητικό!$J$2:$N$354,3,FALSE)="","",VLOOKUP(CS130,βοηθητικό!$J$2:$N$354,3,FALSE))</f>
        <v>_</v>
      </c>
      <c r="CU130" s="47"/>
    </row>
    <row r="131" spans="1:99" x14ac:dyDescent="0.25">
      <c r="A131" s="37">
        <f>--SUBTOTAL(3,$B$3:B130)</f>
        <v>128</v>
      </c>
      <c r="B131" s="2">
        <v>45138</v>
      </c>
      <c r="C131" s="3">
        <v>45144</v>
      </c>
      <c r="D131" s="58" t="s">
        <v>92</v>
      </c>
      <c r="E131" s="38" t="s">
        <v>16</v>
      </c>
      <c r="F131" s="38" t="s">
        <v>16</v>
      </c>
      <c r="G131" s="39" t="str">
        <f t="shared" si="5"/>
        <v>__</v>
      </c>
      <c r="H131" s="40" t="str">
        <f t="shared" si="6"/>
        <v>FALSE</v>
      </c>
      <c r="I131" s="41">
        <f t="shared" si="7"/>
        <v>13</v>
      </c>
      <c r="J131" s="4" t="s">
        <v>1009</v>
      </c>
      <c r="K131" s="43">
        <f>IF(VLOOKUP(J131,βοηθητικό!$J$2:$N$354,3,FALSE)="","",VLOOKUP(J131,βοηθητικό!$J$2:$N$354,3,FALSE))</f>
        <v>6937084222</v>
      </c>
      <c r="L131" s="44"/>
      <c r="M131" s="5" t="s">
        <v>1012</v>
      </c>
      <c r="N131" s="46">
        <f>IF(VLOOKUP(M131,βοηθητικό!$J$2:$N$354,3,FALSE)="","",VLOOKUP(M131,βοηθητικό!$J$2:$N$354,3,FALSE))</f>
        <v>6972072589</v>
      </c>
      <c r="O131" s="47"/>
      <c r="P131" s="4" t="s">
        <v>1026</v>
      </c>
      <c r="Q131" s="43">
        <f>IF(VLOOKUP(P131,βοηθητικό!$J$2:$N$354,3,FALSE)="","",VLOOKUP(P131,βοηθητικό!$J$2:$N$354,3,FALSE))</f>
        <v>6972915741</v>
      </c>
      <c r="R131" s="44"/>
      <c r="S131" s="5" t="s">
        <v>1065</v>
      </c>
      <c r="T131" s="46">
        <f>IF(VLOOKUP(S131,βοηθητικό!$J$2:$N$354,3,FALSE)="","",VLOOKUP(S131,βοηθητικό!$J$2:$N$354,3,FALSE))</f>
        <v>6977224085</v>
      </c>
      <c r="U131" s="47"/>
      <c r="V131" s="4" t="s">
        <v>999</v>
      </c>
      <c r="W131" s="43" t="str">
        <f>IF(VLOOKUP(V131,βοηθητικό!$J$2:$N$354,3,FALSE)="","",VLOOKUP(V131,βοηθητικό!$J$2:$N$354,3,FALSE))</f>
        <v>6974030990</v>
      </c>
      <c r="X131" s="44"/>
      <c r="Y131" s="5" t="s">
        <v>1068</v>
      </c>
      <c r="Z131" s="46" t="str">
        <f>IF(VLOOKUP(Y131,βοηθητικό!$J$2:$N$354,3,FALSE)="","",VLOOKUP(Y131,βοηθητικό!$J$2:$N$354,3,FALSE))</f>
        <v>6973806827</v>
      </c>
      <c r="AA131" s="47"/>
      <c r="AB131" s="4" t="s">
        <v>987</v>
      </c>
      <c r="AC131" s="43" t="str">
        <f>IF(VLOOKUP(AB131,βοηθητικό!$J$2:$N$354,3,FALSE)="","",VLOOKUP(AB131,βοηθητικό!$J$2:$N$354,3,FALSE))</f>
        <v>6984118511</v>
      </c>
      <c r="AD131" s="44"/>
      <c r="AE131" s="5" t="s">
        <v>1048</v>
      </c>
      <c r="AF131" s="46" t="str">
        <f>IF(VLOOKUP(AE131,βοηθητικό!$J$2:$N$354,3,FALSE)="","",VLOOKUP(AE131,βοηθητικό!$J$2:$N$354,3,FALSE))</f>
        <v>6981800426</v>
      </c>
      <c r="AG131" s="47"/>
      <c r="AH131" s="4" t="s">
        <v>965</v>
      </c>
      <c r="AI131" s="43" t="str">
        <f>IF(VLOOKUP(AH131,βοηθητικό!$J$2:$N$354,3,FALSE)="","",VLOOKUP(AH131,βοηθητικό!$J$2:$N$354,3,FALSE))</f>
        <v>6942039538</v>
      </c>
      <c r="AJ131" s="44"/>
      <c r="AK131" s="5" t="s">
        <v>1053</v>
      </c>
      <c r="AL131" s="46" t="str">
        <f>IF(VLOOKUP(AK131,βοηθητικό!$J$2:$N$354,3,FALSE)="","",VLOOKUP(AK131,βοηθητικό!$J$2:$N$354,3,FALSE))</f>
        <v>6983652275</v>
      </c>
      <c r="AM131" s="47"/>
      <c r="AN131" s="4" t="s">
        <v>1033</v>
      </c>
      <c r="AO131" s="43">
        <f>IF(VLOOKUP(AN131,βοηθητικό!$J$2:$N$354,3,FALSE)="","",VLOOKUP(AN131,βοηθητικό!$J$2:$N$354,3,FALSE))</f>
        <v>6974114328</v>
      </c>
      <c r="AP131" s="44"/>
      <c r="AQ131" s="5" t="s">
        <v>1084</v>
      </c>
      <c r="AR131" s="46">
        <f>IF(VLOOKUP(AQ131,βοηθητικό!$J$2:$N$354,3,FALSE)="","",VLOOKUP(AQ131,βοηθητικό!$J$2:$N$354,3,FALSE))</f>
        <v>6942419580</v>
      </c>
      <c r="AS131" s="47"/>
      <c r="AT131" s="4" t="s">
        <v>1087</v>
      </c>
      <c r="AU131" s="43" t="str">
        <f>IF(VLOOKUP(AT131,βοηθητικό!$J$2:$N$354,3,FALSE)="","",VLOOKUP(AT131,βοηθητικό!$J$2:$N$354,3,FALSE))</f>
        <v>6938246522</v>
      </c>
      <c r="AV131" s="44"/>
      <c r="AW131" s="5" t="s">
        <v>16</v>
      </c>
      <c r="AX131" s="46" t="str">
        <f>IF(VLOOKUP(AW131,βοηθητικό!$J$2:$N$354,3,FALSE)="","",VLOOKUP(AW131,βοηθητικό!$J$2:$N$354,3,FALSE))</f>
        <v>_</v>
      </c>
      <c r="AY131" s="47"/>
      <c r="AZ131" s="4" t="s">
        <v>16</v>
      </c>
      <c r="BA131" s="43" t="str">
        <f>IF(VLOOKUP(AZ131,βοηθητικό!$J$2:$N$354,3,FALSE)="","",VLOOKUP(AZ131,βοηθητικό!$J$2:$N$354,3,FALSE))</f>
        <v>_</v>
      </c>
      <c r="BB131" s="44"/>
      <c r="BC131" s="45" t="s">
        <v>16</v>
      </c>
      <c r="BD131" s="46" t="str">
        <f>IF(VLOOKUP(BC131,βοηθητικό!$J$2:$N$354,3,FALSE)="","",VLOOKUP(BC131,βοηθητικό!$J$2:$N$354,3,FALSE))</f>
        <v>_</v>
      </c>
      <c r="BE131" s="47"/>
      <c r="BF131" s="42" t="s">
        <v>16</v>
      </c>
      <c r="BG131" s="43" t="str">
        <f>IF(VLOOKUP(BF131,βοηθητικό!$J$2:$N$354,3,FALSE)="","",VLOOKUP(BF131,βοηθητικό!$J$2:$N$354,3,FALSE))</f>
        <v>_</v>
      </c>
      <c r="BH131" s="44"/>
      <c r="BI131" s="45" t="s">
        <v>16</v>
      </c>
      <c r="BJ131" s="46" t="str">
        <f>IF(VLOOKUP(BI131,βοηθητικό!$J$2:$N$354,3,FALSE)="","",VLOOKUP(BI131,βοηθητικό!$J$2:$N$354,3,FALSE))</f>
        <v>_</v>
      </c>
      <c r="BK131" s="47"/>
      <c r="BL131" s="42" t="s">
        <v>16</v>
      </c>
      <c r="BM131" s="43" t="str">
        <f>IF(VLOOKUP(BL131,βοηθητικό!$J$2:$N$354,3,FALSE)="","",VLOOKUP(BL131,βοηθητικό!$J$2:$N$354,3,FALSE))</f>
        <v>_</v>
      </c>
      <c r="BN131" s="44"/>
      <c r="BO131" s="45" t="s">
        <v>16</v>
      </c>
      <c r="BP131" s="46" t="str">
        <f>IF(VLOOKUP(BO131,βοηθητικό!$J$2:$N$354,3,FALSE)="","",VLOOKUP(BO131,βοηθητικό!$J$2:$N$354,3,FALSE))</f>
        <v>_</v>
      </c>
      <c r="BQ131" s="47"/>
      <c r="BR131" s="42" t="s">
        <v>16</v>
      </c>
      <c r="BS131" s="43" t="str">
        <f>IF(VLOOKUP(BR131,βοηθητικό!$J$2:$N$354,3,FALSE)="","",VLOOKUP(BR131,βοηθητικό!$J$2:$N$354,3,FALSE))</f>
        <v>_</v>
      </c>
      <c r="BT131" s="44"/>
      <c r="BU131" s="45" t="s">
        <v>16</v>
      </c>
      <c r="BV131" s="46" t="str">
        <f>IF(VLOOKUP(BU131,βοηθητικό!$J$2:$N$354,3,FALSE)="","",VLOOKUP(BU131,βοηθητικό!$J$2:$N$354,3,FALSE))</f>
        <v>_</v>
      </c>
      <c r="BW131" s="47"/>
      <c r="BX131" s="42" t="s">
        <v>16</v>
      </c>
      <c r="BY131" s="43" t="str">
        <f>IF(VLOOKUP(BX131,βοηθητικό!$J$2:$N$354,3,FALSE)="","",VLOOKUP(BX131,βοηθητικό!$J$2:$N$354,3,FALSE))</f>
        <v>_</v>
      </c>
      <c r="BZ131" s="44"/>
      <c r="CA131" s="45" t="s">
        <v>16</v>
      </c>
      <c r="CB131" s="46" t="str">
        <f>IF(VLOOKUP(CA131,βοηθητικό!$J$2:$N$354,3,FALSE)="","",VLOOKUP(CA131,βοηθητικό!$J$2:$N$354,3,FALSE))</f>
        <v>_</v>
      </c>
      <c r="CC131" s="47"/>
      <c r="CD131" s="42" t="s">
        <v>16</v>
      </c>
      <c r="CE131" s="43" t="str">
        <f>IF(VLOOKUP(CD131,βοηθητικό!$J$2:$N$354,3,FALSE)="","",VLOOKUP(CD131,βοηθητικό!$J$2:$N$354,3,FALSE))</f>
        <v>_</v>
      </c>
      <c r="CF131" s="44"/>
      <c r="CG131" s="45" t="s">
        <v>16</v>
      </c>
      <c r="CH131" s="46" t="str">
        <f>IF(VLOOKUP(CG131,βοηθητικό!$J$2:$N$354,3,FALSE)="","",VLOOKUP(CG131,βοηθητικό!$J$2:$N$354,3,FALSE))</f>
        <v>_</v>
      </c>
      <c r="CI131" s="47"/>
      <c r="CJ131" s="42" t="s">
        <v>16</v>
      </c>
      <c r="CK131" s="43" t="str">
        <f>IF(VLOOKUP(CJ131,βοηθητικό!$J$2:$N$354,3,FALSE)="","",VLOOKUP(CJ131,βοηθητικό!$J$2:$N$354,3,FALSE))</f>
        <v>_</v>
      </c>
      <c r="CL131" s="44"/>
      <c r="CM131" s="45" t="s">
        <v>16</v>
      </c>
      <c r="CN131" s="46" t="str">
        <f>IF(VLOOKUP(CM131,βοηθητικό!$J$2:$N$354,3,FALSE)="","",VLOOKUP(CM131,βοηθητικό!$J$2:$N$354,3,FALSE))</f>
        <v>_</v>
      </c>
      <c r="CO131" s="47"/>
      <c r="CP131" s="42" t="s">
        <v>16</v>
      </c>
      <c r="CQ131" s="43" t="str">
        <f>IF(VLOOKUP(CP131,βοηθητικό!$J$2:$N$354,3,FALSE)="","",VLOOKUP(CP131,βοηθητικό!$J$2:$N$354,3,FALSE))</f>
        <v>_</v>
      </c>
      <c r="CR131" s="44"/>
      <c r="CS131" s="45" t="s">
        <v>16</v>
      </c>
      <c r="CT131" s="46" t="str">
        <f>IF(VLOOKUP(CS131,βοηθητικό!$J$2:$N$354,3,FALSE)="","",VLOOKUP(CS131,βοηθητικό!$J$2:$N$354,3,FALSE))</f>
        <v>_</v>
      </c>
      <c r="CU131" s="47"/>
    </row>
    <row r="132" spans="1:99" x14ac:dyDescent="0.25">
      <c r="A132" s="37">
        <f>--SUBTOTAL(3,$B$3:B131)</f>
        <v>129</v>
      </c>
      <c r="B132" s="2">
        <v>45145</v>
      </c>
      <c r="C132" s="3">
        <v>45151</v>
      </c>
      <c r="D132" s="58" t="s">
        <v>92</v>
      </c>
      <c r="E132" s="38" t="s">
        <v>16</v>
      </c>
      <c r="F132" s="38" t="s">
        <v>16</v>
      </c>
      <c r="G132" s="39" t="str">
        <f t="shared" ref="G132:G195" si="8">IF(OR(C132="_",E132="_"),"__",CONCATENATE(C132,E132))</f>
        <v>__</v>
      </c>
      <c r="H132" s="40" t="str">
        <f t="shared" ref="H132:H195" si="9">IF(G132="__","FALSE",COUNTIF(G:G,G132)&gt;1)</f>
        <v>FALSE</v>
      </c>
      <c r="I132" s="41">
        <f t="shared" ref="I132:I195" si="10">SUMPRODUCT((J132:CU132&lt;&gt;"_")*(MOD(COLUMN(J132:CU132)-COLUMN(J132),3)=0))</f>
        <v>9</v>
      </c>
      <c r="J132" s="4" t="s">
        <v>1062</v>
      </c>
      <c r="K132" s="43">
        <f>IF(VLOOKUP(J132,βοηθητικό!$J$2:$N$354,3,FALSE)="","",VLOOKUP(J132,βοηθητικό!$J$2:$N$354,3,FALSE))</f>
        <v>6977010272</v>
      </c>
      <c r="L132" s="44"/>
      <c r="M132" s="5" t="s">
        <v>1031</v>
      </c>
      <c r="N132" s="46">
        <f>IF(VLOOKUP(M132,βοηθητικό!$J$2:$N$354,3,FALSE)="","",VLOOKUP(M132,βοηθητικό!$J$2:$N$354,3,FALSE))</f>
        <v>6936970927</v>
      </c>
      <c r="O132" s="47"/>
      <c r="P132" s="4" t="s">
        <v>1016</v>
      </c>
      <c r="Q132" s="43">
        <f>IF(VLOOKUP(P132,βοηθητικό!$J$2:$N$354,3,FALSE)="","",VLOOKUP(P132,βοηθητικό!$J$2:$N$354,3,FALSE))</f>
        <v>6932900686</v>
      </c>
      <c r="R132" s="44"/>
      <c r="S132" s="5" t="s">
        <v>957</v>
      </c>
      <c r="T132" s="46" t="str">
        <f>IF(VLOOKUP(S132,βοηθητικό!$J$2:$N$354,3,FALSE)="","",VLOOKUP(S132,βοηθητικό!$J$2:$N$354,3,FALSE))</f>
        <v>6980042920</v>
      </c>
      <c r="U132" s="47"/>
      <c r="V132" s="4" t="s">
        <v>985</v>
      </c>
      <c r="W132" s="43">
        <f>IF(VLOOKUP(V132,βοηθητικό!$J$2:$N$354,3,FALSE)="","",VLOOKUP(V132,βοηθητικό!$J$2:$N$354,3,FALSE))</f>
        <v>6978333756</v>
      </c>
      <c r="X132" s="44"/>
      <c r="Y132" s="5" t="s">
        <v>974</v>
      </c>
      <c r="Z132" s="46" t="str">
        <f>IF(VLOOKUP(Y132,βοηθητικό!$J$2:$N$354,3,FALSE)="","",VLOOKUP(Y132,βοηθητικό!$J$2:$N$354,3,FALSE))</f>
        <v>6940552610</v>
      </c>
      <c r="AA132" s="47"/>
      <c r="AB132" s="4" t="s">
        <v>1059</v>
      </c>
      <c r="AC132" s="43" t="str">
        <f>IF(VLOOKUP(AB132,βοηθητικό!$J$2:$N$354,3,FALSE)="","",VLOOKUP(AB132,βοηθητικό!$J$2:$N$354,3,FALSE))</f>
        <v>6984685650</v>
      </c>
      <c r="AD132" s="44"/>
      <c r="AE132" s="5" t="s">
        <v>598</v>
      </c>
      <c r="AF132" s="46" t="str">
        <f>IF(VLOOKUP(AE132,βοηθητικό!$J$2:$N$354,3,FALSE)="","",VLOOKUP(AE132,βοηθητικό!$J$2:$N$354,3,FALSE))</f>
        <v>6944715209</v>
      </c>
      <c r="AG132" s="47"/>
      <c r="AH132" s="4" t="s">
        <v>1019</v>
      </c>
      <c r="AI132" s="43">
        <f>IF(VLOOKUP(AH132,βοηθητικό!$J$2:$N$354,3,FALSE)="","",VLOOKUP(AH132,βοηθητικό!$J$2:$N$354,3,FALSE))</f>
        <v>6999854936</v>
      </c>
      <c r="AJ132" s="44"/>
      <c r="AK132" s="5" t="s">
        <v>16</v>
      </c>
      <c r="AL132" s="46" t="str">
        <f>IF(VLOOKUP(AK132,βοηθητικό!$J$2:$N$354,3,FALSE)="","",VLOOKUP(AK132,βοηθητικό!$J$2:$N$354,3,FALSE))</f>
        <v>_</v>
      </c>
      <c r="AM132" s="47"/>
      <c r="AN132" s="4" t="s">
        <v>16</v>
      </c>
      <c r="AO132" s="43" t="str">
        <f>IF(VLOOKUP(AN132,βοηθητικό!$J$2:$N$354,3,FALSE)="","",VLOOKUP(AN132,βοηθητικό!$J$2:$N$354,3,FALSE))</f>
        <v>_</v>
      </c>
      <c r="AP132" s="44"/>
      <c r="AQ132" s="5" t="s">
        <v>16</v>
      </c>
      <c r="AR132" s="46" t="str">
        <f>IF(VLOOKUP(AQ132,βοηθητικό!$J$2:$N$354,3,FALSE)="","",VLOOKUP(AQ132,βοηθητικό!$J$2:$N$354,3,FALSE))</f>
        <v>_</v>
      </c>
      <c r="AS132" s="47"/>
      <c r="AT132" s="4" t="s">
        <v>16</v>
      </c>
      <c r="AU132" s="43" t="str">
        <f>IF(VLOOKUP(AT132,βοηθητικό!$J$2:$N$354,3,FALSE)="","",VLOOKUP(AT132,βοηθητικό!$J$2:$N$354,3,FALSE))</f>
        <v>_</v>
      </c>
      <c r="AV132" s="44"/>
      <c r="AW132" s="5" t="s">
        <v>16</v>
      </c>
      <c r="AX132" s="46" t="str">
        <f>IF(VLOOKUP(AW132,βοηθητικό!$J$2:$N$354,3,FALSE)="","",VLOOKUP(AW132,βοηθητικό!$J$2:$N$354,3,FALSE))</f>
        <v>_</v>
      </c>
      <c r="AY132" s="47"/>
      <c r="AZ132" s="4" t="s">
        <v>16</v>
      </c>
      <c r="BA132" s="43" t="str">
        <f>IF(VLOOKUP(AZ132,βοηθητικό!$J$2:$N$354,3,FALSE)="","",VLOOKUP(AZ132,βοηθητικό!$J$2:$N$354,3,FALSE))</f>
        <v>_</v>
      </c>
      <c r="BB132" s="44"/>
      <c r="BC132" s="45" t="s">
        <v>16</v>
      </c>
      <c r="BD132" s="46" t="str">
        <f>IF(VLOOKUP(BC132,βοηθητικό!$J$2:$N$354,3,FALSE)="","",VLOOKUP(BC132,βοηθητικό!$J$2:$N$354,3,FALSE))</f>
        <v>_</v>
      </c>
      <c r="BE132" s="47"/>
      <c r="BF132" s="42" t="s">
        <v>16</v>
      </c>
      <c r="BG132" s="43" t="str">
        <f>IF(VLOOKUP(BF132,βοηθητικό!$J$2:$N$354,3,FALSE)="","",VLOOKUP(BF132,βοηθητικό!$J$2:$N$354,3,FALSE))</f>
        <v>_</v>
      </c>
      <c r="BH132" s="44"/>
      <c r="BI132" s="45" t="s">
        <v>16</v>
      </c>
      <c r="BJ132" s="46" t="str">
        <f>IF(VLOOKUP(BI132,βοηθητικό!$J$2:$N$354,3,FALSE)="","",VLOOKUP(BI132,βοηθητικό!$J$2:$N$354,3,FALSE))</f>
        <v>_</v>
      </c>
      <c r="BK132" s="47"/>
      <c r="BL132" s="42" t="s">
        <v>16</v>
      </c>
      <c r="BM132" s="43" t="str">
        <f>IF(VLOOKUP(BL132,βοηθητικό!$J$2:$N$354,3,FALSE)="","",VLOOKUP(BL132,βοηθητικό!$J$2:$N$354,3,FALSE))</f>
        <v>_</v>
      </c>
      <c r="BN132" s="44"/>
      <c r="BO132" s="45" t="s">
        <v>16</v>
      </c>
      <c r="BP132" s="46" t="str">
        <f>IF(VLOOKUP(BO132,βοηθητικό!$J$2:$N$354,3,FALSE)="","",VLOOKUP(BO132,βοηθητικό!$J$2:$N$354,3,FALSE))</f>
        <v>_</v>
      </c>
      <c r="BQ132" s="47"/>
      <c r="BR132" s="42" t="s">
        <v>16</v>
      </c>
      <c r="BS132" s="43" t="str">
        <f>IF(VLOOKUP(BR132,βοηθητικό!$J$2:$N$354,3,FALSE)="","",VLOOKUP(BR132,βοηθητικό!$J$2:$N$354,3,FALSE))</f>
        <v>_</v>
      </c>
      <c r="BT132" s="44"/>
      <c r="BU132" s="45" t="s">
        <v>16</v>
      </c>
      <c r="BV132" s="46" t="str">
        <f>IF(VLOOKUP(BU132,βοηθητικό!$J$2:$N$354,3,FALSE)="","",VLOOKUP(BU132,βοηθητικό!$J$2:$N$354,3,FALSE))</f>
        <v>_</v>
      </c>
      <c r="BW132" s="47"/>
      <c r="BX132" s="42" t="s">
        <v>16</v>
      </c>
      <c r="BY132" s="43" t="str">
        <f>IF(VLOOKUP(BX132,βοηθητικό!$J$2:$N$354,3,FALSE)="","",VLOOKUP(BX132,βοηθητικό!$J$2:$N$354,3,FALSE))</f>
        <v>_</v>
      </c>
      <c r="BZ132" s="44"/>
      <c r="CA132" s="45" t="s">
        <v>16</v>
      </c>
      <c r="CB132" s="46" t="str">
        <f>IF(VLOOKUP(CA132,βοηθητικό!$J$2:$N$354,3,FALSE)="","",VLOOKUP(CA132,βοηθητικό!$J$2:$N$354,3,FALSE))</f>
        <v>_</v>
      </c>
      <c r="CC132" s="47"/>
      <c r="CD132" s="42" t="s">
        <v>16</v>
      </c>
      <c r="CE132" s="43" t="str">
        <f>IF(VLOOKUP(CD132,βοηθητικό!$J$2:$N$354,3,FALSE)="","",VLOOKUP(CD132,βοηθητικό!$J$2:$N$354,3,FALSE))</f>
        <v>_</v>
      </c>
      <c r="CF132" s="44"/>
      <c r="CG132" s="45" t="s">
        <v>16</v>
      </c>
      <c r="CH132" s="46" t="str">
        <f>IF(VLOOKUP(CG132,βοηθητικό!$J$2:$N$354,3,FALSE)="","",VLOOKUP(CG132,βοηθητικό!$J$2:$N$354,3,FALSE))</f>
        <v>_</v>
      </c>
      <c r="CI132" s="47"/>
      <c r="CJ132" s="42" t="s">
        <v>16</v>
      </c>
      <c r="CK132" s="43" t="str">
        <f>IF(VLOOKUP(CJ132,βοηθητικό!$J$2:$N$354,3,FALSE)="","",VLOOKUP(CJ132,βοηθητικό!$J$2:$N$354,3,FALSE))</f>
        <v>_</v>
      </c>
      <c r="CL132" s="44"/>
      <c r="CM132" s="45" t="s">
        <v>16</v>
      </c>
      <c r="CN132" s="46" t="str">
        <f>IF(VLOOKUP(CM132,βοηθητικό!$J$2:$N$354,3,FALSE)="","",VLOOKUP(CM132,βοηθητικό!$J$2:$N$354,3,FALSE))</f>
        <v>_</v>
      </c>
      <c r="CO132" s="47"/>
      <c r="CP132" s="42" t="s">
        <v>16</v>
      </c>
      <c r="CQ132" s="43" t="str">
        <f>IF(VLOOKUP(CP132,βοηθητικό!$J$2:$N$354,3,FALSE)="","",VLOOKUP(CP132,βοηθητικό!$J$2:$N$354,3,FALSE))</f>
        <v>_</v>
      </c>
      <c r="CR132" s="44"/>
      <c r="CS132" s="45" t="s">
        <v>16</v>
      </c>
      <c r="CT132" s="46" t="str">
        <f>IF(VLOOKUP(CS132,βοηθητικό!$J$2:$N$354,3,FALSE)="","",VLOOKUP(CS132,βοηθητικό!$J$2:$N$354,3,FALSE))</f>
        <v>_</v>
      </c>
      <c r="CU132" s="47"/>
    </row>
    <row r="133" spans="1:99" x14ac:dyDescent="0.25">
      <c r="A133" s="37">
        <f>--SUBTOTAL(3,$B$3:B132)</f>
        <v>130</v>
      </c>
      <c r="B133" s="2">
        <v>45152</v>
      </c>
      <c r="C133" s="3">
        <v>45158</v>
      </c>
      <c r="D133" s="58" t="s">
        <v>92</v>
      </c>
      <c r="E133" s="38" t="s">
        <v>16</v>
      </c>
      <c r="F133" s="38" t="s">
        <v>16</v>
      </c>
      <c r="G133" s="39" t="str">
        <f t="shared" si="8"/>
        <v>__</v>
      </c>
      <c r="H133" s="40" t="str">
        <f t="shared" si="9"/>
        <v>FALSE</v>
      </c>
      <c r="I133" s="41">
        <f t="shared" si="10"/>
        <v>10</v>
      </c>
      <c r="J133" s="4" t="s">
        <v>1041</v>
      </c>
      <c r="K133" s="43">
        <f>IF(VLOOKUP(J133,βοηθητικό!$J$2:$N$354,3,FALSE)="","",VLOOKUP(J133,βοηθητικό!$J$2:$N$354,3,FALSE))</f>
        <v>6977628647</v>
      </c>
      <c r="L133" s="44"/>
      <c r="M133" s="5" t="s">
        <v>1074</v>
      </c>
      <c r="N133" s="46">
        <f>IF(VLOOKUP(M133,βοηθητικό!$J$2:$N$354,3,FALSE)="","",VLOOKUP(M133,βοηθητικό!$J$2:$N$354,3,FALSE))</f>
        <v>6948254859</v>
      </c>
      <c r="O133" s="47"/>
      <c r="P133" s="4" t="s">
        <v>995</v>
      </c>
      <c r="Q133" s="43" t="str">
        <f>IF(VLOOKUP(P133,βοηθητικό!$J$2:$N$354,3,FALSE)="","",VLOOKUP(P133,βοηθητικό!$J$2:$N$354,3,FALSE))</f>
        <v>6972386367</v>
      </c>
      <c r="R133" s="44"/>
      <c r="S133" s="5" t="s">
        <v>1080</v>
      </c>
      <c r="T133" s="46" t="str">
        <f>IF(VLOOKUP(S133,βοηθητικό!$J$2:$N$354,3,FALSE)="","",VLOOKUP(S133,βοηθητικό!$J$2:$N$354,3,FALSE))</f>
        <v>6987312059</v>
      </c>
      <c r="U133" s="47"/>
      <c r="V133" s="4" t="s">
        <v>1072</v>
      </c>
      <c r="W133" s="43">
        <f>IF(VLOOKUP(V133,βοηθητικό!$J$2:$N$354,3,FALSE)="","",VLOOKUP(V133,βοηθητικό!$J$2:$N$354,3,FALSE))</f>
        <v>6945853478</v>
      </c>
      <c r="X133" s="44"/>
      <c r="Y133" s="5" t="s">
        <v>923</v>
      </c>
      <c r="Z133" s="46" t="str">
        <f>IF(VLOOKUP(Y133,βοηθητικό!$J$2:$N$354,3,FALSE)="","",VLOOKUP(Y133,βοηθητικό!$J$2:$N$354,3,FALSE))</f>
        <v>6970117758</v>
      </c>
      <c r="AA133" s="47"/>
      <c r="AB133" s="4" t="s">
        <v>1004</v>
      </c>
      <c r="AC133" s="43" t="str">
        <f>IF(VLOOKUP(AB133,βοηθητικό!$J$2:$N$354,3,FALSE)="","",VLOOKUP(AB133,βοηθητικό!$J$2:$N$354,3,FALSE))</f>
        <v>6974057776</v>
      </c>
      <c r="AD133" s="44"/>
      <c r="AE133" s="5" t="s">
        <v>985</v>
      </c>
      <c r="AF133" s="46">
        <f>IF(VLOOKUP(AE133,βοηθητικό!$J$2:$N$354,3,FALSE)="","",VLOOKUP(AE133,βοηθητικό!$J$2:$N$354,3,FALSE))</f>
        <v>6978333756</v>
      </c>
      <c r="AG133" s="47"/>
      <c r="AH133" s="4" t="s">
        <v>992</v>
      </c>
      <c r="AI133" s="43">
        <f>IF(VLOOKUP(AH133,βοηθητικό!$J$2:$N$354,3,FALSE)="","",VLOOKUP(AH133,βοηθητικό!$J$2:$N$354,3,FALSE))</f>
        <v>6978993984</v>
      </c>
      <c r="AJ133" s="44"/>
      <c r="AK133" s="5" t="s">
        <v>944</v>
      </c>
      <c r="AL133" s="46" t="str">
        <f>IF(VLOOKUP(AK133,βοηθητικό!$J$2:$N$354,3,FALSE)="","",VLOOKUP(AK133,βοηθητικό!$J$2:$N$354,3,FALSE))</f>
        <v>6943440301</v>
      </c>
      <c r="AM133" s="47"/>
      <c r="AN133" s="4" t="s">
        <v>16</v>
      </c>
      <c r="AO133" s="43" t="str">
        <f>IF(VLOOKUP(AN133,βοηθητικό!$J$2:$N$354,3,FALSE)="","",VLOOKUP(AN133,βοηθητικό!$J$2:$N$354,3,FALSE))</f>
        <v>_</v>
      </c>
      <c r="AP133" s="44"/>
      <c r="AQ133" s="5" t="s">
        <v>16</v>
      </c>
      <c r="AR133" s="46" t="str">
        <f>IF(VLOOKUP(AQ133,βοηθητικό!$J$2:$N$354,3,FALSE)="","",VLOOKUP(AQ133,βοηθητικό!$J$2:$N$354,3,FALSE))</f>
        <v>_</v>
      </c>
      <c r="AS133" s="47"/>
      <c r="AT133" s="4" t="s">
        <v>16</v>
      </c>
      <c r="AU133" s="43" t="str">
        <f>IF(VLOOKUP(AT133,βοηθητικό!$J$2:$N$354,3,FALSE)="","",VLOOKUP(AT133,βοηθητικό!$J$2:$N$354,3,FALSE))</f>
        <v>_</v>
      </c>
      <c r="AV133" s="44"/>
      <c r="AW133" s="5" t="s">
        <v>16</v>
      </c>
      <c r="AX133" s="46" t="str">
        <f>IF(VLOOKUP(AW133,βοηθητικό!$J$2:$N$354,3,FALSE)="","",VLOOKUP(AW133,βοηθητικό!$J$2:$N$354,3,FALSE))</f>
        <v>_</v>
      </c>
      <c r="AY133" s="47"/>
      <c r="AZ133" s="4" t="s">
        <v>16</v>
      </c>
      <c r="BA133" s="43" t="str">
        <f>IF(VLOOKUP(AZ133,βοηθητικό!$J$2:$N$354,3,FALSE)="","",VLOOKUP(AZ133,βοηθητικό!$J$2:$N$354,3,FALSE))</f>
        <v>_</v>
      </c>
      <c r="BB133" s="44"/>
      <c r="BC133" s="45" t="s">
        <v>16</v>
      </c>
      <c r="BD133" s="46" t="str">
        <f>IF(VLOOKUP(BC133,βοηθητικό!$J$2:$N$354,3,FALSE)="","",VLOOKUP(BC133,βοηθητικό!$J$2:$N$354,3,FALSE))</f>
        <v>_</v>
      </c>
      <c r="BE133" s="47"/>
      <c r="BF133" s="42" t="s">
        <v>16</v>
      </c>
      <c r="BG133" s="43" t="str">
        <f>IF(VLOOKUP(BF133,βοηθητικό!$J$2:$N$354,3,FALSE)="","",VLOOKUP(BF133,βοηθητικό!$J$2:$N$354,3,FALSE))</f>
        <v>_</v>
      </c>
      <c r="BH133" s="44"/>
      <c r="BI133" s="45" t="s">
        <v>16</v>
      </c>
      <c r="BJ133" s="46" t="str">
        <f>IF(VLOOKUP(BI133,βοηθητικό!$J$2:$N$354,3,FALSE)="","",VLOOKUP(BI133,βοηθητικό!$J$2:$N$354,3,FALSE))</f>
        <v>_</v>
      </c>
      <c r="BK133" s="47"/>
      <c r="BL133" s="42" t="s">
        <v>16</v>
      </c>
      <c r="BM133" s="43" t="str">
        <f>IF(VLOOKUP(BL133,βοηθητικό!$J$2:$N$354,3,FALSE)="","",VLOOKUP(BL133,βοηθητικό!$J$2:$N$354,3,FALSE))</f>
        <v>_</v>
      </c>
      <c r="BN133" s="44"/>
      <c r="BO133" s="45" t="s">
        <v>16</v>
      </c>
      <c r="BP133" s="46" t="str">
        <f>IF(VLOOKUP(BO133,βοηθητικό!$J$2:$N$354,3,FALSE)="","",VLOOKUP(BO133,βοηθητικό!$J$2:$N$354,3,FALSE))</f>
        <v>_</v>
      </c>
      <c r="BQ133" s="47"/>
      <c r="BR133" s="42" t="s">
        <v>16</v>
      </c>
      <c r="BS133" s="43" t="str">
        <f>IF(VLOOKUP(BR133,βοηθητικό!$J$2:$N$354,3,FALSE)="","",VLOOKUP(BR133,βοηθητικό!$J$2:$N$354,3,FALSE))</f>
        <v>_</v>
      </c>
      <c r="BT133" s="44"/>
      <c r="BU133" s="45" t="s">
        <v>16</v>
      </c>
      <c r="BV133" s="46" t="str">
        <f>IF(VLOOKUP(BU133,βοηθητικό!$J$2:$N$354,3,FALSE)="","",VLOOKUP(BU133,βοηθητικό!$J$2:$N$354,3,FALSE))</f>
        <v>_</v>
      </c>
      <c r="BW133" s="47"/>
      <c r="BX133" s="42" t="s">
        <v>16</v>
      </c>
      <c r="BY133" s="43" t="str">
        <f>IF(VLOOKUP(BX133,βοηθητικό!$J$2:$N$354,3,FALSE)="","",VLOOKUP(BX133,βοηθητικό!$J$2:$N$354,3,FALSE))</f>
        <v>_</v>
      </c>
      <c r="BZ133" s="44"/>
      <c r="CA133" s="45" t="s">
        <v>16</v>
      </c>
      <c r="CB133" s="46" t="str">
        <f>IF(VLOOKUP(CA133,βοηθητικό!$J$2:$N$354,3,FALSE)="","",VLOOKUP(CA133,βοηθητικό!$J$2:$N$354,3,FALSE))</f>
        <v>_</v>
      </c>
      <c r="CC133" s="47"/>
      <c r="CD133" s="42" t="s">
        <v>16</v>
      </c>
      <c r="CE133" s="43" t="str">
        <f>IF(VLOOKUP(CD133,βοηθητικό!$J$2:$N$354,3,FALSE)="","",VLOOKUP(CD133,βοηθητικό!$J$2:$N$354,3,FALSE))</f>
        <v>_</v>
      </c>
      <c r="CF133" s="44"/>
      <c r="CG133" s="45" t="s">
        <v>16</v>
      </c>
      <c r="CH133" s="46" t="str">
        <f>IF(VLOOKUP(CG133,βοηθητικό!$J$2:$N$354,3,FALSE)="","",VLOOKUP(CG133,βοηθητικό!$J$2:$N$354,3,FALSE))</f>
        <v>_</v>
      </c>
      <c r="CI133" s="47"/>
      <c r="CJ133" s="42" t="s">
        <v>16</v>
      </c>
      <c r="CK133" s="43" t="str">
        <f>IF(VLOOKUP(CJ133,βοηθητικό!$J$2:$N$354,3,FALSE)="","",VLOOKUP(CJ133,βοηθητικό!$J$2:$N$354,3,FALSE))</f>
        <v>_</v>
      </c>
      <c r="CL133" s="44"/>
      <c r="CM133" s="45" t="s">
        <v>16</v>
      </c>
      <c r="CN133" s="46" t="str">
        <f>IF(VLOOKUP(CM133,βοηθητικό!$J$2:$N$354,3,FALSE)="","",VLOOKUP(CM133,βοηθητικό!$J$2:$N$354,3,FALSE))</f>
        <v>_</v>
      </c>
      <c r="CO133" s="47"/>
      <c r="CP133" s="42" t="s">
        <v>16</v>
      </c>
      <c r="CQ133" s="43" t="str">
        <f>IF(VLOOKUP(CP133,βοηθητικό!$J$2:$N$354,3,FALSE)="","",VLOOKUP(CP133,βοηθητικό!$J$2:$N$354,3,FALSE))</f>
        <v>_</v>
      </c>
      <c r="CR133" s="44"/>
      <c r="CS133" s="45" t="s">
        <v>16</v>
      </c>
      <c r="CT133" s="46" t="str">
        <f>IF(VLOOKUP(CS133,βοηθητικό!$J$2:$N$354,3,FALSE)="","",VLOOKUP(CS133,βοηθητικό!$J$2:$N$354,3,FALSE))</f>
        <v>_</v>
      </c>
      <c r="CU133" s="47"/>
    </row>
    <row r="134" spans="1:99" x14ac:dyDescent="0.25">
      <c r="A134" s="37">
        <f>--SUBTOTAL(3,$B$3:B133)</f>
        <v>131</v>
      </c>
      <c r="B134" s="2">
        <v>45159</v>
      </c>
      <c r="C134" s="3">
        <v>45165</v>
      </c>
      <c r="D134" s="58" t="s">
        <v>92</v>
      </c>
      <c r="E134" s="38" t="s">
        <v>16</v>
      </c>
      <c r="F134" s="38" t="s">
        <v>16</v>
      </c>
      <c r="G134" s="39" t="str">
        <f t="shared" si="8"/>
        <v>__</v>
      </c>
      <c r="H134" s="40" t="str">
        <f t="shared" si="9"/>
        <v>FALSE</v>
      </c>
      <c r="I134" s="41">
        <f t="shared" si="10"/>
        <v>13</v>
      </c>
      <c r="J134" s="4" t="s">
        <v>969</v>
      </c>
      <c r="K134" s="43" t="str">
        <f>IF(VLOOKUP(J134,βοηθητικό!$J$2:$N$354,3,FALSE)="","",VLOOKUP(J134,βοηθητικό!$J$2:$N$354,3,FALSE))</f>
        <v>6972773725</v>
      </c>
      <c r="L134" s="44"/>
      <c r="M134" s="5" t="s">
        <v>948</v>
      </c>
      <c r="N134" s="46">
        <f>IF(VLOOKUP(M134,βοηθητικό!$J$2:$N$354,3,FALSE)="","",VLOOKUP(M134,βοηθητικό!$J$2:$N$354,3,FALSE))</f>
        <v>6972084481</v>
      </c>
      <c r="O134" s="47"/>
      <c r="P134" s="4" t="s">
        <v>978</v>
      </c>
      <c r="Q134" s="43">
        <f>IF(VLOOKUP(P134,βοηθητικό!$J$2:$N$354,3,FALSE)="","",VLOOKUP(P134,βοηθητικό!$J$2:$N$354,3,FALSE))</f>
        <v>6976058607</v>
      </c>
      <c r="R134" s="44"/>
      <c r="S134" s="5" t="s">
        <v>1029</v>
      </c>
      <c r="T134" s="46">
        <f>IF(VLOOKUP(S134,βοηθητικό!$J$2:$N$354,3,FALSE)="","",VLOOKUP(S134,βοηθητικό!$J$2:$N$354,3,FALSE))</f>
        <v>6972210917</v>
      </c>
      <c r="U134" s="47"/>
      <c r="V134" s="4" t="s">
        <v>927</v>
      </c>
      <c r="W134" s="43">
        <f>IF(VLOOKUP(V134,βοηθητικό!$J$2:$N$354,3,FALSE)="","",VLOOKUP(V134,βοηθητικό!$J$2:$N$354,3,FALSE))</f>
        <v>6974929090</v>
      </c>
      <c r="X134" s="44"/>
      <c r="Y134" s="5" t="s">
        <v>954</v>
      </c>
      <c r="Z134" s="46">
        <f>IF(VLOOKUP(Y134,βοηθητικό!$J$2:$N$354,3,FALSE)="","",VLOOKUP(Y134,βοηθητικό!$J$2:$N$354,3,FALSE))</f>
        <v>6944377718</v>
      </c>
      <c r="AA134" s="47"/>
      <c r="AB134" s="4" t="s">
        <v>939</v>
      </c>
      <c r="AC134" s="43" t="str">
        <f>IF(VLOOKUP(AB134,βοηθητικό!$J$2:$N$354,3,FALSE)="","",VLOOKUP(AB134,βοηθητικό!$J$2:$N$354,3,FALSE))</f>
        <v>6932393388</v>
      </c>
      <c r="AD134" s="44"/>
      <c r="AE134" s="5" t="s">
        <v>1056</v>
      </c>
      <c r="AF134" s="46">
        <f>IF(VLOOKUP(AE134,βοηθητικό!$J$2:$N$354,3,FALSE)="","",VLOOKUP(AE134,βοηθητικό!$J$2:$N$354,3,FALSE))</f>
        <v>6972015813</v>
      </c>
      <c r="AG134" s="47"/>
      <c r="AH134" s="4" t="s">
        <v>1077</v>
      </c>
      <c r="AI134" s="43" t="str">
        <f>IF(VLOOKUP(AH134,βοηθητικό!$J$2:$N$354,3,FALSE)="","",VLOOKUP(AH134,βοηθητικό!$J$2:$N$354,3,FALSE))</f>
        <v>6946474745</v>
      </c>
      <c r="AJ134" s="44"/>
      <c r="AK134" s="5" t="s">
        <v>1051</v>
      </c>
      <c r="AL134" s="46">
        <f>IF(VLOOKUP(AK134,βοηθητικό!$J$2:$N$354,3,FALSE)="","",VLOOKUP(AK134,βοηθητικό!$J$2:$N$354,3,FALSE))</f>
        <v>6948358027</v>
      </c>
      <c r="AM134" s="47"/>
      <c r="AN134" s="4" t="s">
        <v>935</v>
      </c>
      <c r="AO134" s="43" t="str">
        <f>IF(VLOOKUP(AN134,βοηθητικό!$J$2:$N$354,3,FALSE)="","",VLOOKUP(AN134,βοηθητικό!$J$2:$N$354,3,FALSE))</f>
        <v>6934671271</v>
      </c>
      <c r="AP134" s="44"/>
      <c r="AQ134" s="5" t="s">
        <v>981</v>
      </c>
      <c r="AR134" s="46" t="str">
        <f>IF(VLOOKUP(AQ134,βοηθητικό!$J$2:$N$354,3,FALSE)="","",VLOOKUP(AQ134,βοηθητικό!$J$2:$N$354,3,FALSE))</f>
        <v>6978853783</v>
      </c>
      <c r="AS134" s="47"/>
      <c r="AT134" s="4" t="s">
        <v>931</v>
      </c>
      <c r="AU134" s="43" t="str">
        <f>IF(VLOOKUP(AT134,βοηθητικό!$J$2:$N$354,3,FALSE)="","",VLOOKUP(AT134,βοηθητικό!$J$2:$N$354,3,FALSE))</f>
        <v>6973333473</v>
      </c>
      <c r="AV134" s="44"/>
      <c r="AW134" s="5" t="s">
        <v>16</v>
      </c>
      <c r="AX134" s="46" t="str">
        <f>IF(VLOOKUP(AW134,βοηθητικό!$J$2:$N$354,3,FALSE)="","",VLOOKUP(AW134,βοηθητικό!$J$2:$N$354,3,FALSE))</f>
        <v>_</v>
      </c>
      <c r="AY134" s="47"/>
      <c r="AZ134" s="4" t="s">
        <v>16</v>
      </c>
      <c r="BA134" s="43" t="str">
        <f>IF(VLOOKUP(AZ134,βοηθητικό!$J$2:$N$354,3,FALSE)="","",VLOOKUP(AZ134,βοηθητικό!$J$2:$N$354,3,FALSE))</f>
        <v>_</v>
      </c>
      <c r="BB134" s="44"/>
      <c r="BC134" s="45" t="s">
        <v>16</v>
      </c>
      <c r="BD134" s="46" t="str">
        <f>IF(VLOOKUP(BC134,βοηθητικό!$J$2:$N$354,3,FALSE)="","",VLOOKUP(BC134,βοηθητικό!$J$2:$N$354,3,FALSE))</f>
        <v>_</v>
      </c>
      <c r="BE134" s="47"/>
      <c r="BF134" s="42" t="s">
        <v>16</v>
      </c>
      <c r="BG134" s="43" t="str">
        <f>IF(VLOOKUP(BF134,βοηθητικό!$J$2:$N$354,3,FALSE)="","",VLOOKUP(BF134,βοηθητικό!$J$2:$N$354,3,FALSE))</f>
        <v>_</v>
      </c>
      <c r="BH134" s="44"/>
      <c r="BI134" s="45" t="s">
        <v>16</v>
      </c>
      <c r="BJ134" s="46" t="str">
        <f>IF(VLOOKUP(BI134,βοηθητικό!$J$2:$N$354,3,FALSE)="","",VLOOKUP(BI134,βοηθητικό!$J$2:$N$354,3,FALSE))</f>
        <v>_</v>
      </c>
      <c r="BK134" s="47"/>
      <c r="BL134" s="42" t="s">
        <v>16</v>
      </c>
      <c r="BM134" s="43" t="str">
        <f>IF(VLOOKUP(BL134,βοηθητικό!$J$2:$N$354,3,FALSE)="","",VLOOKUP(BL134,βοηθητικό!$J$2:$N$354,3,FALSE))</f>
        <v>_</v>
      </c>
      <c r="BN134" s="44"/>
      <c r="BO134" s="45" t="s">
        <v>16</v>
      </c>
      <c r="BP134" s="46" t="str">
        <f>IF(VLOOKUP(BO134,βοηθητικό!$J$2:$N$354,3,FALSE)="","",VLOOKUP(BO134,βοηθητικό!$J$2:$N$354,3,FALSE))</f>
        <v>_</v>
      </c>
      <c r="BQ134" s="47"/>
      <c r="BR134" s="42" t="s">
        <v>16</v>
      </c>
      <c r="BS134" s="43" t="str">
        <f>IF(VLOOKUP(BR134,βοηθητικό!$J$2:$N$354,3,FALSE)="","",VLOOKUP(BR134,βοηθητικό!$J$2:$N$354,3,FALSE))</f>
        <v>_</v>
      </c>
      <c r="BT134" s="44"/>
      <c r="BU134" s="45" t="s">
        <v>16</v>
      </c>
      <c r="BV134" s="46" t="str">
        <f>IF(VLOOKUP(BU134,βοηθητικό!$J$2:$N$354,3,FALSE)="","",VLOOKUP(BU134,βοηθητικό!$J$2:$N$354,3,FALSE))</f>
        <v>_</v>
      </c>
      <c r="BW134" s="47"/>
      <c r="BX134" s="42" t="s">
        <v>16</v>
      </c>
      <c r="BY134" s="43" t="str">
        <f>IF(VLOOKUP(BX134,βοηθητικό!$J$2:$N$354,3,FALSE)="","",VLOOKUP(BX134,βοηθητικό!$J$2:$N$354,3,FALSE))</f>
        <v>_</v>
      </c>
      <c r="BZ134" s="44"/>
      <c r="CA134" s="45" t="s">
        <v>16</v>
      </c>
      <c r="CB134" s="46" t="str">
        <f>IF(VLOOKUP(CA134,βοηθητικό!$J$2:$N$354,3,FALSE)="","",VLOOKUP(CA134,βοηθητικό!$J$2:$N$354,3,FALSE))</f>
        <v>_</v>
      </c>
      <c r="CC134" s="47"/>
      <c r="CD134" s="42" t="s">
        <v>16</v>
      </c>
      <c r="CE134" s="43" t="str">
        <f>IF(VLOOKUP(CD134,βοηθητικό!$J$2:$N$354,3,FALSE)="","",VLOOKUP(CD134,βοηθητικό!$J$2:$N$354,3,FALSE))</f>
        <v>_</v>
      </c>
      <c r="CF134" s="44"/>
      <c r="CG134" s="45" t="s">
        <v>16</v>
      </c>
      <c r="CH134" s="46" t="str">
        <f>IF(VLOOKUP(CG134,βοηθητικό!$J$2:$N$354,3,FALSE)="","",VLOOKUP(CG134,βοηθητικό!$J$2:$N$354,3,FALSE))</f>
        <v>_</v>
      </c>
      <c r="CI134" s="47"/>
      <c r="CJ134" s="42" t="s">
        <v>16</v>
      </c>
      <c r="CK134" s="43" t="str">
        <f>IF(VLOOKUP(CJ134,βοηθητικό!$J$2:$N$354,3,FALSE)="","",VLOOKUP(CJ134,βοηθητικό!$J$2:$N$354,3,FALSE))</f>
        <v>_</v>
      </c>
      <c r="CL134" s="44"/>
      <c r="CM134" s="45" t="s">
        <v>16</v>
      </c>
      <c r="CN134" s="46" t="str">
        <f>IF(VLOOKUP(CM134,βοηθητικό!$J$2:$N$354,3,FALSE)="","",VLOOKUP(CM134,βοηθητικό!$J$2:$N$354,3,FALSE))</f>
        <v>_</v>
      </c>
      <c r="CO134" s="47"/>
      <c r="CP134" s="42" t="s">
        <v>16</v>
      </c>
      <c r="CQ134" s="43" t="str">
        <f>IF(VLOOKUP(CP134,βοηθητικό!$J$2:$N$354,3,FALSE)="","",VLOOKUP(CP134,βοηθητικό!$J$2:$N$354,3,FALSE))</f>
        <v>_</v>
      </c>
      <c r="CR134" s="44"/>
      <c r="CS134" s="45" t="s">
        <v>16</v>
      </c>
      <c r="CT134" s="46" t="str">
        <f>IF(VLOOKUP(CS134,βοηθητικό!$J$2:$N$354,3,FALSE)="","",VLOOKUP(CS134,βοηθητικό!$J$2:$N$354,3,FALSE))</f>
        <v>_</v>
      </c>
      <c r="CU134" s="47"/>
    </row>
    <row r="135" spans="1:99" x14ac:dyDescent="0.25">
      <c r="A135" s="37">
        <f>--SUBTOTAL(3,$B$3:B134)</f>
        <v>132</v>
      </c>
      <c r="B135" s="2">
        <v>45138</v>
      </c>
      <c r="C135" s="3">
        <v>45144</v>
      </c>
      <c r="D135" s="57" t="s">
        <v>100</v>
      </c>
      <c r="E135" s="38" t="s">
        <v>16</v>
      </c>
      <c r="F135" s="38" t="s">
        <v>16</v>
      </c>
      <c r="G135" s="39" t="str">
        <f t="shared" si="8"/>
        <v>__</v>
      </c>
      <c r="H135" s="40" t="str">
        <f t="shared" si="9"/>
        <v>FALSE</v>
      </c>
      <c r="I135" s="41">
        <f t="shared" si="10"/>
        <v>8</v>
      </c>
      <c r="J135" s="4" t="s">
        <v>1166</v>
      </c>
      <c r="K135" s="43">
        <f>IF(VLOOKUP(J135,βοηθητικό!$J$2:$N$354,3,FALSE)="","",VLOOKUP(J135,βοηθητικό!$J$2:$N$354,3,FALSE))</f>
        <v>6979699580</v>
      </c>
      <c r="L135" s="44"/>
      <c r="M135" s="5" t="s">
        <v>1101</v>
      </c>
      <c r="N135" s="46">
        <f>IF(VLOOKUP(M135,βοηθητικό!$J$2:$N$354,3,FALSE)="","",VLOOKUP(M135,βοηθητικό!$J$2:$N$354,3,FALSE))</f>
        <v>6972535708</v>
      </c>
      <c r="O135" s="47"/>
      <c r="P135" s="4" t="s">
        <v>1113</v>
      </c>
      <c r="Q135" s="43">
        <f>IF(VLOOKUP(P135,βοηθητικό!$J$2:$N$354,3,FALSE)="","",VLOOKUP(P135,βοηθητικό!$J$2:$N$354,3,FALSE))</f>
        <v>6949027222</v>
      </c>
      <c r="R135" s="44"/>
      <c r="S135" s="5" t="s">
        <v>1169</v>
      </c>
      <c r="T135" s="46">
        <f>IF(VLOOKUP(S135,βοηθητικό!$J$2:$N$354,3,FALSE)="","",VLOOKUP(S135,βοηθητικό!$J$2:$N$354,3,FALSE))</f>
        <v>6946467821</v>
      </c>
      <c r="U135" s="47"/>
      <c r="V135" s="4" t="s">
        <v>1160</v>
      </c>
      <c r="W135" s="43">
        <f>IF(VLOOKUP(V135,βοηθητικό!$J$2:$N$354,3,FALSE)="","",VLOOKUP(V135,βοηθητικό!$J$2:$N$354,3,FALSE))</f>
        <v>6932652897</v>
      </c>
      <c r="X135" s="44"/>
      <c r="Y135" s="5" t="s">
        <v>1107</v>
      </c>
      <c r="Z135" s="46">
        <f>IF(VLOOKUP(Y135,βοηθητικό!$J$2:$N$354,3,FALSE)="","",VLOOKUP(Y135,βοηθητικό!$J$2:$N$354,3,FALSE))</f>
        <v>6980231814</v>
      </c>
      <c r="AA135" s="47"/>
      <c r="AB135" s="4" t="s">
        <v>1157</v>
      </c>
      <c r="AC135" s="43">
        <f>IF(VLOOKUP(AB135,βοηθητικό!$J$2:$N$354,3,FALSE)="","",VLOOKUP(AB135,βοηθητικό!$J$2:$N$354,3,FALSE))</f>
        <v>6981832606</v>
      </c>
      <c r="AD135" s="44"/>
      <c r="AE135" s="5" t="s">
        <v>1163</v>
      </c>
      <c r="AF135" s="46">
        <f>IF(VLOOKUP(AE135,βοηθητικό!$J$2:$N$354,3,FALSE)="","",VLOOKUP(AE135,βοηθητικό!$J$2:$N$354,3,FALSE))</f>
        <v>6948210294</v>
      </c>
      <c r="AG135" s="47"/>
      <c r="AH135" s="4" t="s">
        <v>16</v>
      </c>
      <c r="AI135" s="43" t="str">
        <f>IF(VLOOKUP(AH135,βοηθητικό!$J$2:$N$354,3,FALSE)="","",VLOOKUP(AH135,βοηθητικό!$J$2:$N$354,3,FALSE))</f>
        <v>_</v>
      </c>
      <c r="AJ135" s="44"/>
      <c r="AK135" s="5" t="s">
        <v>16</v>
      </c>
      <c r="AL135" s="46" t="str">
        <f>IF(VLOOKUP(AK135,βοηθητικό!$J$2:$N$354,3,FALSE)="","",VLOOKUP(AK135,βοηθητικό!$J$2:$N$354,3,FALSE))</f>
        <v>_</v>
      </c>
      <c r="AM135" s="47"/>
      <c r="AN135" s="4" t="s">
        <v>16</v>
      </c>
      <c r="AO135" s="43" t="str">
        <f>IF(VLOOKUP(AN135,βοηθητικό!$J$2:$N$354,3,FALSE)="","",VLOOKUP(AN135,βοηθητικό!$J$2:$N$354,3,FALSE))</f>
        <v>_</v>
      </c>
      <c r="AP135" s="44"/>
      <c r="AQ135" s="5" t="s">
        <v>16</v>
      </c>
      <c r="AR135" s="46" t="str">
        <f>IF(VLOOKUP(AQ135,βοηθητικό!$J$2:$N$354,3,FALSE)="","",VLOOKUP(AQ135,βοηθητικό!$J$2:$N$354,3,FALSE))</f>
        <v>_</v>
      </c>
      <c r="AS135" s="47"/>
      <c r="AT135" s="4" t="s">
        <v>16</v>
      </c>
      <c r="AU135" s="43" t="str">
        <f>IF(VLOOKUP(AT135,βοηθητικό!$J$2:$N$354,3,FALSE)="","",VLOOKUP(AT135,βοηθητικό!$J$2:$N$354,3,FALSE))</f>
        <v>_</v>
      </c>
      <c r="AV135" s="44"/>
      <c r="AW135" s="5" t="s">
        <v>16</v>
      </c>
      <c r="AX135" s="46" t="str">
        <f>IF(VLOOKUP(AW135,βοηθητικό!$J$2:$N$354,3,FALSE)="","",VLOOKUP(AW135,βοηθητικό!$J$2:$N$354,3,FALSE))</f>
        <v>_</v>
      </c>
      <c r="AY135" s="47"/>
      <c r="AZ135" s="4" t="s">
        <v>16</v>
      </c>
      <c r="BA135" s="43" t="str">
        <f>IF(VLOOKUP(AZ135,βοηθητικό!$J$2:$N$354,3,FALSE)="","",VLOOKUP(AZ135,βοηθητικό!$J$2:$N$354,3,FALSE))</f>
        <v>_</v>
      </c>
      <c r="BB135" s="44"/>
      <c r="BC135" s="45" t="s">
        <v>16</v>
      </c>
      <c r="BD135" s="46" t="str">
        <f>IF(VLOOKUP(BC135,βοηθητικό!$J$2:$N$354,3,FALSE)="","",VLOOKUP(BC135,βοηθητικό!$J$2:$N$354,3,FALSE))</f>
        <v>_</v>
      </c>
      <c r="BE135" s="47"/>
      <c r="BF135" s="42" t="s">
        <v>16</v>
      </c>
      <c r="BG135" s="43" t="str">
        <f>IF(VLOOKUP(BF135,βοηθητικό!$J$2:$N$354,3,FALSE)="","",VLOOKUP(BF135,βοηθητικό!$J$2:$N$354,3,FALSE))</f>
        <v>_</v>
      </c>
      <c r="BH135" s="44"/>
      <c r="BI135" s="45" t="s">
        <v>16</v>
      </c>
      <c r="BJ135" s="46" t="str">
        <f>IF(VLOOKUP(BI135,βοηθητικό!$J$2:$N$354,3,FALSE)="","",VLOOKUP(BI135,βοηθητικό!$J$2:$N$354,3,FALSE))</f>
        <v>_</v>
      </c>
      <c r="BK135" s="47"/>
      <c r="BL135" s="42" t="s">
        <v>16</v>
      </c>
      <c r="BM135" s="43" t="str">
        <f>IF(VLOOKUP(BL135,βοηθητικό!$J$2:$N$354,3,FALSE)="","",VLOOKUP(BL135,βοηθητικό!$J$2:$N$354,3,FALSE))</f>
        <v>_</v>
      </c>
      <c r="BN135" s="44"/>
      <c r="BO135" s="45" t="s">
        <v>16</v>
      </c>
      <c r="BP135" s="46" t="str">
        <f>IF(VLOOKUP(BO135,βοηθητικό!$J$2:$N$354,3,FALSE)="","",VLOOKUP(BO135,βοηθητικό!$J$2:$N$354,3,FALSE))</f>
        <v>_</v>
      </c>
      <c r="BQ135" s="47"/>
      <c r="BR135" s="42" t="s">
        <v>16</v>
      </c>
      <c r="BS135" s="43" t="str">
        <f>IF(VLOOKUP(BR135,βοηθητικό!$J$2:$N$354,3,FALSE)="","",VLOOKUP(BR135,βοηθητικό!$J$2:$N$354,3,FALSE))</f>
        <v>_</v>
      </c>
      <c r="BT135" s="44"/>
      <c r="BU135" s="45" t="s">
        <v>16</v>
      </c>
      <c r="BV135" s="46" t="str">
        <f>IF(VLOOKUP(BU135,βοηθητικό!$J$2:$N$354,3,FALSE)="","",VLOOKUP(BU135,βοηθητικό!$J$2:$N$354,3,FALSE))</f>
        <v>_</v>
      </c>
      <c r="BW135" s="47"/>
      <c r="BX135" s="42" t="s">
        <v>16</v>
      </c>
      <c r="BY135" s="43" t="str">
        <f>IF(VLOOKUP(BX135,βοηθητικό!$J$2:$N$354,3,FALSE)="","",VLOOKUP(BX135,βοηθητικό!$J$2:$N$354,3,FALSE))</f>
        <v>_</v>
      </c>
      <c r="BZ135" s="44"/>
      <c r="CA135" s="45" t="s">
        <v>16</v>
      </c>
      <c r="CB135" s="46" t="str">
        <f>IF(VLOOKUP(CA135,βοηθητικό!$J$2:$N$354,3,FALSE)="","",VLOOKUP(CA135,βοηθητικό!$J$2:$N$354,3,FALSE))</f>
        <v>_</v>
      </c>
      <c r="CC135" s="47"/>
      <c r="CD135" s="42" t="s">
        <v>16</v>
      </c>
      <c r="CE135" s="43" t="str">
        <f>IF(VLOOKUP(CD135,βοηθητικό!$J$2:$N$354,3,FALSE)="","",VLOOKUP(CD135,βοηθητικό!$J$2:$N$354,3,FALSE))</f>
        <v>_</v>
      </c>
      <c r="CF135" s="44"/>
      <c r="CG135" s="45" t="s">
        <v>16</v>
      </c>
      <c r="CH135" s="46" t="str">
        <f>IF(VLOOKUP(CG135,βοηθητικό!$J$2:$N$354,3,FALSE)="","",VLOOKUP(CG135,βοηθητικό!$J$2:$N$354,3,FALSE))</f>
        <v>_</v>
      </c>
      <c r="CI135" s="47"/>
      <c r="CJ135" s="42" t="s">
        <v>16</v>
      </c>
      <c r="CK135" s="43" t="str">
        <f>IF(VLOOKUP(CJ135,βοηθητικό!$J$2:$N$354,3,FALSE)="","",VLOOKUP(CJ135,βοηθητικό!$J$2:$N$354,3,FALSE))</f>
        <v>_</v>
      </c>
      <c r="CL135" s="44"/>
      <c r="CM135" s="45" t="s">
        <v>16</v>
      </c>
      <c r="CN135" s="46" t="str">
        <f>IF(VLOOKUP(CM135,βοηθητικό!$J$2:$N$354,3,FALSE)="","",VLOOKUP(CM135,βοηθητικό!$J$2:$N$354,3,FALSE))</f>
        <v>_</v>
      </c>
      <c r="CO135" s="47"/>
      <c r="CP135" s="42" t="s">
        <v>16</v>
      </c>
      <c r="CQ135" s="43" t="str">
        <f>IF(VLOOKUP(CP135,βοηθητικό!$J$2:$N$354,3,FALSE)="","",VLOOKUP(CP135,βοηθητικό!$J$2:$N$354,3,FALSE))</f>
        <v>_</v>
      </c>
      <c r="CR135" s="44"/>
      <c r="CS135" s="45" t="s">
        <v>16</v>
      </c>
      <c r="CT135" s="46" t="str">
        <f>IF(VLOOKUP(CS135,βοηθητικό!$J$2:$N$354,3,FALSE)="","",VLOOKUP(CS135,βοηθητικό!$J$2:$N$354,3,FALSE))</f>
        <v>_</v>
      </c>
      <c r="CU135" s="47"/>
    </row>
    <row r="136" spans="1:99" x14ac:dyDescent="0.25">
      <c r="A136" s="37">
        <f>--SUBTOTAL(3,$B$3:B135)</f>
        <v>133</v>
      </c>
      <c r="B136" s="2">
        <v>45145</v>
      </c>
      <c r="C136" s="3">
        <v>45151</v>
      </c>
      <c r="D136" s="57" t="s">
        <v>100</v>
      </c>
      <c r="E136" s="38" t="s">
        <v>16</v>
      </c>
      <c r="F136" s="38" t="s">
        <v>16</v>
      </c>
      <c r="G136" s="39" t="str">
        <f t="shared" si="8"/>
        <v>__</v>
      </c>
      <c r="H136" s="40" t="str">
        <f t="shared" si="9"/>
        <v>FALSE</v>
      </c>
      <c r="I136" s="41">
        <f t="shared" si="10"/>
        <v>8</v>
      </c>
      <c r="J136" s="4" t="s">
        <v>1122</v>
      </c>
      <c r="K136" s="43">
        <f>IF(VLOOKUP(J136,βοηθητικό!$J$2:$N$354,3,FALSE)="","",VLOOKUP(J136,βοηθητικό!$J$2:$N$354,3,FALSE))</f>
        <v>6987779674</v>
      </c>
      <c r="L136" s="44"/>
      <c r="M136" s="5" t="s">
        <v>1184</v>
      </c>
      <c r="N136" s="46" t="str">
        <f>IF(VLOOKUP(M136,βοηθητικό!$J$2:$N$354,3,FALSE)="","",VLOOKUP(M136,βοηθητικό!$J$2:$N$354,3,FALSE))</f>
        <v>6978871348 6986664315</v>
      </c>
      <c r="O136" s="47"/>
      <c r="P136" s="4" t="s">
        <v>1178</v>
      </c>
      <c r="Q136" s="43">
        <f>IF(VLOOKUP(P136,βοηθητικό!$J$2:$N$354,3,FALSE)="","",VLOOKUP(P136,βοηθητικό!$J$2:$N$354,3,FALSE))</f>
        <v>6975861728</v>
      </c>
      <c r="R136" s="44"/>
      <c r="S136" s="5" t="s">
        <v>1110</v>
      </c>
      <c r="T136" s="46">
        <f>IF(VLOOKUP(S136,βοηθητικό!$J$2:$N$354,3,FALSE)="","",VLOOKUP(S136,βοηθητικό!$J$2:$N$354,3,FALSE))</f>
        <v>6946238179</v>
      </c>
      <c r="U136" s="47"/>
      <c r="V136" s="4" t="s">
        <v>1091</v>
      </c>
      <c r="W136" s="43">
        <f>IF(VLOOKUP(V136,βοηθητικό!$J$2:$N$354,3,FALSE)="","",VLOOKUP(V136,βοηθητικό!$J$2:$N$354,3,FALSE))</f>
        <v>6987740677</v>
      </c>
      <c r="X136" s="44"/>
      <c r="Y136" s="5" t="s">
        <v>1116</v>
      </c>
      <c r="Z136" s="46">
        <f>IF(VLOOKUP(Y136,βοηθητικό!$J$2:$N$354,3,FALSE)="","",VLOOKUP(Y136,βοηθητικό!$J$2:$N$354,3,FALSE))</f>
        <v>6947145973</v>
      </c>
      <c r="AA136" s="47"/>
      <c r="AB136" s="4" t="s">
        <v>1125</v>
      </c>
      <c r="AC136" s="43">
        <f>IF(VLOOKUP(AB136,βοηθητικό!$J$2:$N$354,3,FALSE)="","",VLOOKUP(AB136,βοηθητικό!$J$2:$N$354,3,FALSE))</f>
        <v>6937125752</v>
      </c>
      <c r="AD136" s="44"/>
      <c r="AE136" s="5" t="s">
        <v>1172</v>
      </c>
      <c r="AF136" s="46">
        <f>IF(VLOOKUP(AE136,βοηθητικό!$J$2:$N$354,3,FALSE)="","",VLOOKUP(AE136,βοηθητικό!$J$2:$N$354,3,FALSE))</f>
        <v>6972205991</v>
      </c>
      <c r="AG136" s="47"/>
      <c r="AH136" s="4" t="s">
        <v>16</v>
      </c>
      <c r="AI136" s="43" t="str">
        <f>IF(VLOOKUP(AH136,βοηθητικό!$J$2:$N$354,3,FALSE)="","",VLOOKUP(AH136,βοηθητικό!$J$2:$N$354,3,FALSE))</f>
        <v>_</v>
      </c>
      <c r="AJ136" s="44"/>
      <c r="AK136" s="5" t="s">
        <v>16</v>
      </c>
      <c r="AL136" s="46" t="str">
        <f>IF(VLOOKUP(AK136,βοηθητικό!$J$2:$N$354,3,FALSE)="","",VLOOKUP(AK136,βοηθητικό!$J$2:$N$354,3,FALSE))</f>
        <v>_</v>
      </c>
      <c r="AM136" s="47"/>
      <c r="AN136" s="4" t="s">
        <v>16</v>
      </c>
      <c r="AO136" s="43" t="str">
        <f>IF(VLOOKUP(AN136,βοηθητικό!$J$2:$N$354,3,FALSE)="","",VLOOKUP(AN136,βοηθητικό!$J$2:$N$354,3,FALSE))</f>
        <v>_</v>
      </c>
      <c r="AP136" s="44"/>
      <c r="AQ136" s="5" t="s">
        <v>16</v>
      </c>
      <c r="AR136" s="46" t="str">
        <f>IF(VLOOKUP(AQ136,βοηθητικό!$J$2:$N$354,3,FALSE)="","",VLOOKUP(AQ136,βοηθητικό!$J$2:$N$354,3,FALSE))</f>
        <v>_</v>
      </c>
      <c r="AS136" s="47"/>
      <c r="AT136" s="4" t="s">
        <v>16</v>
      </c>
      <c r="AU136" s="43" t="str">
        <f>IF(VLOOKUP(AT136,βοηθητικό!$J$2:$N$354,3,FALSE)="","",VLOOKUP(AT136,βοηθητικό!$J$2:$N$354,3,FALSE))</f>
        <v>_</v>
      </c>
      <c r="AV136" s="44"/>
      <c r="AW136" s="5" t="s">
        <v>16</v>
      </c>
      <c r="AX136" s="46" t="str">
        <f>IF(VLOOKUP(AW136,βοηθητικό!$J$2:$N$354,3,FALSE)="","",VLOOKUP(AW136,βοηθητικό!$J$2:$N$354,3,FALSE))</f>
        <v>_</v>
      </c>
      <c r="AY136" s="47"/>
      <c r="AZ136" s="4" t="s">
        <v>16</v>
      </c>
      <c r="BA136" s="43" t="str">
        <f>IF(VLOOKUP(AZ136,βοηθητικό!$J$2:$N$354,3,FALSE)="","",VLOOKUP(AZ136,βοηθητικό!$J$2:$N$354,3,FALSE))</f>
        <v>_</v>
      </c>
      <c r="BB136" s="44"/>
      <c r="BC136" s="45" t="s">
        <v>16</v>
      </c>
      <c r="BD136" s="46" t="str">
        <f>IF(VLOOKUP(BC136,βοηθητικό!$J$2:$N$354,3,FALSE)="","",VLOOKUP(BC136,βοηθητικό!$J$2:$N$354,3,FALSE))</f>
        <v>_</v>
      </c>
      <c r="BE136" s="47"/>
      <c r="BF136" s="42" t="s">
        <v>16</v>
      </c>
      <c r="BG136" s="43" t="str">
        <f>IF(VLOOKUP(BF136,βοηθητικό!$J$2:$N$354,3,FALSE)="","",VLOOKUP(BF136,βοηθητικό!$J$2:$N$354,3,FALSE))</f>
        <v>_</v>
      </c>
      <c r="BH136" s="44"/>
      <c r="BI136" s="45" t="s">
        <v>16</v>
      </c>
      <c r="BJ136" s="46" t="str">
        <f>IF(VLOOKUP(BI136,βοηθητικό!$J$2:$N$354,3,FALSE)="","",VLOOKUP(BI136,βοηθητικό!$J$2:$N$354,3,FALSE))</f>
        <v>_</v>
      </c>
      <c r="BK136" s="47"/>
      <c r="BL136" s="42" t="s">
        <v>16</v>
      </c>
      <c r="BM136" s="43" t="str">
        <f>IF(VLOOKUP(BL136,βοηθητικό!$J$2:$N$354,3,FALSE)="","",VLOOKUP(BL136,βοηθητικό!$J$2:$N$354,3,FALSE))</f>
        <v>_</v>
      </c>
      <c r="BN136" s="44"/>
      <c r="BO136" s="45" t="s">
        <v>16</v>
      </c>
      <c r="BP136" s="46" t="str">
        <f>IF(VLOOKUP(BO136,βοηθητικό!$J$2:$N$354,3,FALSE)="","",VLOOKUP(BO136,βοηθητικό!$J$2:$N$354,3,FALSE))</f>
        <v>_</v>
      </c>
      <c r="BQ136" s="47"/>
      <c r="BR136" s="42" t="s">
        <v>16</v>
      </c>
      <c r="BS136" s="43" t="str">
        <f>IF(VLOOKUP(BR136,βοηθητικό!$J$2:$N$354,3,FALSE)="","",VLOOKUP(BR136,βοηθητικό!$J$2:$N$354,3,FALSE))</f>
        <v>_</v>
      </c>
      <c r="BT136" s="44"/>
      <c r="BU136" s="45" t="s">
        <v>16</v>
      </c>
      <c r="BV136" s="46" t="str">
        <f>IF(VLOOKUP(BU136,βοηθητικό!$J$2:$N$354,3,FALSE)="","",VLOOKUP(BU136,βοηθητικό!$J$2:$N$354,3,FALSE))</f>
        <v>_</v>
      </c>
      <c r="BW136" s="47"/>
      <c r="BX136" s="42" t="s">
        <v>16</v>
      </c>
      <c r="BY136" s="43" t="str">
        <f>IF(VLOOKUP(BX136,βοηθητικό!$J$2:$N$354,3,FALSE)="","",VLOOKUP(BX136,βοηθητικό!$J$2:$N$354,3,FALSE))</f>
        <v>_</v>
      </c>
      <c r="BZ136" s="44"/>
      <c r="CA136" s="45" t="s">
        <v>16</v>
      </c>
      <c r="CB136" s="46" t="str">
        <f>IF(VLOOKUP(CA136,βοηθητικό!$J$2:$N$354,3,FALSE)="","",VLOOKUP(CA136,βοηθητικό!$J$2:$N$354,3,FALSE))</f>
        <v>_</v>
      </c>
      <c r="CC136" s="47"/>
      <c r="CD136" s="42" t="s">
        <v>16</v>
      </c>
      <c r="CE136" s="43" t="str">
        <f>IF(VLOOKUP(CD136,βοηθητικό!$J$2:$N$354,3,FALSE)="","",VLOOKUP(CD136,βοηθητικό!$J$2:$N$354,3,FALSE))</f>
        <v>_</v>
      </c>
      <c r="CF136" s="44"/>
      <c r="CG136" s="45" t="s">
        <v>16</v>
      </c>
      <c r="CH136" s="46" t="str">
        <f>IF(VLOOKUP(CG136,βοηθητικό!$J$2:$N$354,3,FALSE)="","",VLOOKUP(CG136,βοηθητικό!$J$2:$N$354,3,FALSE))</f>
        <v>_</v>
      </c>
      <c r="CI136" s="47"/>
      <c r="CJ136" s="42" t="s">
        <v>16</v>
      </c>
      <c r="CK136" s="43" t="str">
        <f>IF(VLOOKUP(CJ136,βοηθητικό!$J$2:$N$354,3,FALSE)="","",VLOOKUP(CJ136,βοηθητικό!$J$2:$N$354,3,FALSE))</f>
        <v>_</v>
      </c>
      <c r="CL136" s="44"/>
      <c r="CM136" s="45" t="s">
        <v>16</v>
      </c>
      <c r="CN136" s="46" t="str">
        <f>IF(VLOOKUP(CM136,βοηθητικό!$J$2:$N$354,3,FALSE)="","",VLOOKUP(CM136,βοηθητικό!$J$2:$N$354,3,FALSE))</f>
        <v>_</v>
      </c>
      <c r="CO136" s="47"/>
      <c r="CP136" s="42" t="s">
        <v>16</v>
      </c>
      <c r="CQ136" s="43" t="str">
        <f>IF(VLOOKUP(CP136,βοηθητικό!$J$2:$N$354,3,FALSE)="","",VLOOKUP(CP136,βοηθητικό!$J$2:$N$354,3,FALSE))</f>
        <v>_</v>
      </c>
      <c r="CR136" s="44"/>
      <c r="CS136" s="45" t="s">
        <v>16</v>
      </c>
      <c r="CT136" s="46" t="str">
        <f>IF(VLOOKUP(CS136,βοηθητικό!$J$2:$N$354,3,FALSE)="","",VLOOKUP(CS136,βοηθητικό!$J$2:$N$354,3,FALSE))</f>
        <v>_</v>
      </c>
      <c r="CU136" s="47"/>
    </row>
    <row r="137" spans="1:99" x14ac:dyDescent="0.25">
      <c r="A137" s="37">
        <f>--SUBTOTAL(3,$B$3:B136)</f>
        <v>134</v>
      </c>
      <c r="B137" s="2">
        <v>45152</v>
      </c>
      <c r="C137" s="3">
        <v>45158</v>
      </c>
      <c r="D137" s="57" t="s">
        <v>100</v>
      </c>
      <c r="E137" s="38" t="s">
        <v>16</v>
      </c>
      <c r="F137" s="38" t="s">
        <v>16</v>
      </c>
      <c r="G137" s="39" t="str">
        <f t="shared" si="8"/>
        <v>__</v>
      </c>
      <c r="H137" s="40" t="str">
        <f t="shared" si="9"/>
        <v>FALSE</v>
      </c>
      <c r="I137" s="41">
        <f t="shared" si="10"/>
        <v>8</v>
      </c>
      <c r="J137" s="4" t="s">
        <v>1181</v>
      </c>
      <c r="K137" s="43">
        <f>IF(VLOOKUP(J137,βοηθητικό!$J$2:$N$354,3,FALSE)="","",VLOOKUP(J137,βοηθητικό!$J$2:$N$354,3,FALSE))</f>
        <v>6945816094</v>
      </c>
      <c r="L137" s="44"/>
      <c r="M137" s="5" t="s">
        <v>1128</v>
      </c>
      <c r="N137" s="46">
        <f>IF(VLOOKUP(M137,βοηθητικό!$J$2:$N$354,3,FALSE)="","",VLOOKUP(M137,βοηθητικό!$J$2:$N$354,3,FALSE))</f>
        <v>6944208681</v>
      </c>
      <c r="O137" s="47"/>
      <c r="P137" s="4" t="s">
        <v>1140</v>
      </c>
      <c r="Q137" s="43">
        <f>IF(VLOOKUP(P137,βοηθητικό!$J$2:$N$354,3,FALSE)="","",VLOOKUP(P137,βοηθητικό!$J$2:$N$354,3,FALSE))</f>
        <v>6972866890</v>
      </c>
      <c r="R137" s="44"/>
      <c r="S137" s="5" t="s">
        <v>1144</v>
      </c>
      <c r="T137" s="46">
        <f>IF(VLOOKUP(S137,βοηθητικό!$J$2:$N$354,3,FALSE)="","",VLOOKUP(S137,βοηθητικό!$J$2:$N$354,3,FALSE))</f>
        <v>6944228486</v>
      </c>
      <c r="U137" s="47"/>
      <c r="V137" s="4" t="s">
        <v>1147</v>
      </c>
      <c r="W137" s="43">
        <f>IF(VLOOKUP(V137,βοηθητικό!$J$2:$N$354,3,FALSE)="","",VLOOKUP(V137,βοηθητικό!$J$2:$N$354,3,FALSE))</f>
        <v>6970340744</v>
      </c>
      <c r="X137" s="44"/>
      <c r="Y137" s="5" t="s">
        <v>1137</v>
      </c>
      <c r="Z137" s="46">
        <f>IF(VLOOKUP(Y137,βοηθητικό!$J$2:$N$354,3,FALSE)="","",VLOOKUP(Y137,βοηθητικό!$J$2:$N$354,3,FALSE))</f>
        <v>6946906906</v>
      </c>
      <c r="AA137" s="47"/>
      <c r="AB137" s="4" t="s">
        <v>1134</v>
      </c>
      <c r="AC137" s="43">
        <f>IF(VLOOKUP(AB137,βοηθητικό!$J$2:$N$354,3,FALSE)="","",VLOOKUP(AB137,βοηθητικό!$J$2:$N$354,3,FALSE))</f>
        <v>6937922234</v>
      </c>
      <c r="AD137" s="44"/>
      <c r="AE137" s="5" t="s">
        <v>1151</v>
      </c>
      <c r="AF137" s="46">
        <f>IF(VLOOKUP(AE137,βοηθητικό!$J$2:$N$354,3,FALSE)="","",VLOOKUP(AE137,βοηθητικό!$J$2:$N$354,3,FALSE))</f>
        <v>6945581886</v>
      </c>
      <c r="AG137" s="47"/>
      <c r="AH137" s="4" t="s">
        <v>16</v>
      </c>
      <c r="AI137" s="43" t="str">
        <f>IF(VLOOKUP(AH137,βοηθητικό!$J$2:$N$354,3,FALSE)="","",VLOOKUP(AH137,βοηθητικό!$J$2:$N$354,3,FALSE))</f>
        <v>_</v>
      </c>
      <c r="AJ137" s="44"/>
      <c r="AK137" s="5" t="s">
        <v>16</v>
      </c>
      <c r="AL137" s="46" t="str">
        <f>IF(VLOOKUP(AK137,βοηθητικό!$J$2:$N$354,3,FALSE)="","",VLOOKUP(AK137,βοηθητικό!$J$2:$N$354,3,FALSE))</f>
        <v>_</v>
      </c>
      <c r="AM137" s="47"/>
      <c r="AN137" s="4" t="s">
        <v>16</v>
      </c>
      <c r="AO137" s="43" t="str">
        <f>IF(VLOOKUP(AN137,βοηθητικό!$J$2:$N$354,3,FALSE)="","",VLOOKUP(AN137,βοηθητικό!$J$2:$N$354,3,FALSE))</f>
        <v>_</v>
      </c>
      <c r="AP137" s="44"/>
      <c r="AQ137" s="5" t="s">
        <v>16</v>
      </c>
      <c r="AR137" s="46" t="str">
        <f>IF(VLOOKUP(AQ137,βοηθητικό!$J$2:$N$354,3,FALSE)="","",VLOOKUP(AQ137,βοηθητικό!$J$2:$N$354,3,FALSE))</f>
        <v>_</v>
      </c>
      <c r="AS137" s="47"/>
      <c r="AT137" s="4" t="s">
        <v>16</v>
      </c>
      <c r="AU137" s="43" t="str">
        <f>IF(VLOOKUP(AT137,βοηθητικό!$J$2:$N$354,3,FALSE)="","",VLOOKUP(AT137,βοηθητικό!$J$2:$N$354,3,FALSE))</f>
        <v>_</v>
      </c>
      <c r="AV137" s="44"/>
      <c r="AW137" s="5" t="s">
        <v>16</v>
      </c>
      <c r="AX137" s="46" t="str">
        <f>IF(VLOOKUP(AW137,βοηθητικό!$J$2:$N$354,3,FALSE)="","",VLOOKUP(AW137,βοηθητικό!$J$2:$N$354,3,FALSE))</f>
        <v>_</v>
      </c>
      <c r="AY137" s="47"/>
      <c r="AZ137" s="4" t="s">
        <v>16</v>
      </c>
      <c r="BA137" s="43" t="str">
        <f>IF(VLOOKUP(AZ137,βοηθητικό!$J$2:$N$354,3,FALSE)="","",VLOOKUP(AZ137,βοηθητικό!$J$2:$N$354,3,FALSE))</f>
        <v>_</v>
      </c>
      <c r="BB137" s="44"/>
      <c r="BC137" s="45" t="s">
        <v>16</v>
      </c>
      <c r="BD137" s="46" t="str">
        <f>IF(VLOOKUP(BC137,βοηθητικό!$J$2:$N$354,3,FALSE)="","",VLOOKUP(BC137,βοηθητικό!$J$2:$N$354,3,FALSE))</f>
        <v>_</v>
      </c>
      <c r="BE137" s="47"/>
      <c r="BF137" s="42" t="s">
        <v>16</v>
      </c>
      <c r="BG137" s="43" t="str">
        <f>IF(VLOOKUP(BF137,βοηθητικό!$J$2:$N$354,3,FALSE)="","",VLOOKUP(BF137,βοηθητικό!$J$2:$N$354,3,FALSE))</f>
        <v>_</v>
      </c>
      <c r="BH137" s="44"/>
      <c r="BI137" s="45" t="s">
        <v>16</v>
      </c>
      <c r="BJ137" s="46" t="str">
        <f>IF(VLOOKUP(BI137,βοηθητικό!$J$2:$N$354,3,FALSE)="","",VLOOKUP(BI137,βοηθητικό!$J$2:$N$354,3,FALSE))</f>
        <v>_</v>
      </c>
      <c r="BK137" s="47"/>
      <c r="BL137" s="42" t="s">
        <v>16</v>
      </c>
      <c r="BM137" s="43" t="str">
        <f>IF(VLOOKUP(BL137,βοηθητικό!$J$2:$N$354,3,FALSE)="","",VLOOKUP(BL137,βοηθητικό!$J$2:$N$354,3,FALSE))</f>
        <v>_</v>
      </c>
      <c r="BN137" s="44"/>
      <c r="BO137" s="45" t="s">
        <v>16</v>
      </c>
      <c r="BP137" s="46" t="str">
        <f>IF(VLOOKUP(BO137,βοηθητικό!$J$2:$N$354,3,FALSE)="","",VLOOKUP(BO137,βοηθητικό!$J$2:$N$354,3,FALSE))</f>
        <v>_</v>
      </c>
      <c r="BQ137" s="47"/>
      <c r="BR137" s="42" t="s">
        <v>16</v>
      </c>
      <c r="BS137" s="43" t="str">
        <f>IF(VLOOKUP(BR137,βοηθητικό!$J$2:$N$354,3,FALSE)="","",VLOOKUP(BR137,βοηθητικό!$J$2:$N$354,3,FALSE))</f>
        <v>_</v>
      </c>
      <c r="BT137" s="44"/>
      <c r="BU137" s="45" t="s">
        <v>16</v>
      </c>
      <c r="BV137" s="46" t="str">
        <f>IF(VLOOKUP(BU137,βοηθητικό!$J$2:$N$354,3,FALSE)="","",VLOOKUP(BU137,βοηθητικό!$J$2:$N$354,3,FALSE))</f>
        <v>_</v>
      </c>
      <c r="BW137" s="47"/>
      <c r="BX137" s="42" t="s">
        <v>16</v>
      </c>
      <c r="BY137" s="43" t="str">
        <f>IF(VLOOKUP(BX137,βοηθητικό!$J$2:$N$354,3,FALSE)="","",VLOOKUP(BX137,βοηθητικό!$J$2:$N$354,3,FALSE))</f>
        <v>_</v>
      </c>
      <c r="BZ137" s="44"/>
      <c r="CA137" s="45" t="s">
        <v>16</v>
      </c>
      <c r="CB137" s="46" t="str">
        <f>IF(VLOOKUP(CA137,βοηθητικό!$J$2:$N$354,3,FALSE)="","",VLOOKUP(CA137,βοηθητικό!$J$2:$N$354,3,FALSE))</f>
        <v>_</v>
      </c>
      <c r="CC137" s="47"/>
      <c r="CD137" s="42" t="s">
        <v>16</v>
      </c>
      <c r="CE137" s="43" t="str">
        <f>IF(VLOOKUP(CD137,βοηθητικό!$J$2:$N$354,3,FALSE)="","",VLOOKUP(CD137,βοηθητικό!$J$2:$N$354,3,FALSE))</f>
        <v>_</v>
      </c>
      <c r="CF137" s="44"/>
      <c r="CG137" s="45" t="s">
        <v>16</v>
      </c>
      <c r="CH137" s="46" t="str">
        <f>IF(VLOOKUP(CG137,βοηθητικό!$J$2:$N$354,3,FALSE)="","",VLOOKUP(CG137,βοηθητικό!$J$2:$N$354,3,FALSE))</f>
        <v>_</v>
      </c>
      <c r="CI137" s="47"/>
      <c r="CJ137" s="42" t="s">
        <v>16</v>
      </c>
      <c r="CK137" s="43" t="str">
        <f>IF(VLOOKUP(CJ137,βοηθητικό!$J$2:$N$354,3,FALSE)="","",VLOOKUP(CJ137,βοηθητικό!$J$2:$N$354,3,FALSE))</f>
        <v>_</v>
      </c>
      <c r="CL137" s="44"/>
      <c r="CM137" s="45" t="s">
        <v>16</v>
      </c>
      <c r="CN137" s="46" t="str">
        <f>IF(VLOOKUP(CM137,βοηθητικό!$J$2:$N$354,3,FALSE)="","",VLOOKUP(CM137,βοηθητικό!$J$2:$N$354,3,FALSE))</f>
        <v>_</v>
      </c>
      <c r="CO137" s="47"/>
      <c r="CP137" s="42" t="s">
        <v>16</v>
      </c>
      <c r="CQ137" s="43" t="str">
        <f>IF(VLOOKUP(CP137,βοηθητικό!$J$2:$N$354,3,FALSE)="","",VLOOKUP(CP137,βοηθητικό!$J$2:$N$354,3,FALSE))</f>
        <v>_</v>
      </c>
      <c r="CR137" s="44"/>
      <c r="CS137" s="45" t="s">
        <v>16</v>
      </c>
      <c r="CT137" s="46" t="str">
        <f>IF(VLOOKUP(CS137,βοηθητικό!$J$2:$N$354,3,FALSE)="","",VLOOKUP(CS137,βοηθητικό!$J$2:$N$354,3,FALSE))</f>
        <v>_</v>
      </c>
      <c r="CU137" s="47"/>
    </row>
    <row r="138" spans="1:99" x14ac:dyDescent="0.25">
      <c r="A138" s="37">
        <f>--SUBTOTAL(3,$B$3:B137)</f>
        <v>135</v>
      </c>
      <c r="B138" s="2">
        <v>45159</v>
      </c>
      <c r="C138" s="3">
        <v>45165</v>
      </c>
      <c r="D138" s="57" t="s">
        <v>100</v>
      </c>
      <c r="E138" s="38" t="s">
        <v>16</v>
      </c>
      <c r="F138" s="38" t="s">
        <v>16</v>
      </c>
      <c r="G138" s="39" t="str">
        <f t="shared" si="8"/>
        <v>__</v>
      </c>
      <c r="H138" s="40" t="str">
        <f t="shared" si="9"/>
        <v>FALSE</v>
      </c>
      <c r="I138" s="41">
        <f t="shared" si="10"/>
        <v>8</v>
      </c>
      <c r="J138" s="4" t="s">
        <v>1095</v>
      </c>
      <c r="K138" s="43">
        <f>IF(VLOOKUP(J138,βοηθητικό!$J$2:$N$354,3,FALSE)="","",VLOOKUP(J138,βοηθητικό!$J$2:$N$354,3,FALSE))</f>
        <v>6938358727</v>
      </c>
      <c r="L138" s="44"/>
      <c r="M138" s="5" t="s">
        <v>1098</v>
      </c>
      <c r="N138" s="46">
        <f>IF(VLOOKUP(M138,βοηθητικό!$J$2:$N$354,3,FALSE)="","",VLOOKUP(M138,βοηθητικό!$J$2:$N$354,3,FALSE))</f>
        <v>6945877218</v>
      </c>
      <c r="O138" s="47"/>
      <c r="P138" s="4" t="s">
        <v>1104</v>
      </c>
      <c r="Q138" s="43">
        <f>IF(VLOOKUP(P138,βοηθητικό!$J$2:$N$354,3,FALSE)="","",VLOOKUP(P138,βοηθητικό!$J$2:$N$354,3,FALSE))</f>
        <v>6981828992</v>
      </c>
      <c r="R138" s="44"/>
      <c r="S138" s="5" t="s">
        <v>1131</v>
      </c>
      <c r="T138" s="46">
        <f>IF(VLOOKUP(S138,βοηθητικό!$J$2:$N$354,3,FALSE)="","",VLOOKUP(S138,βοηθητικό!$J$2:$N$354,3,FALSE))</f>
        <v>6942031589</v>
      </c>
      <c r="U138" s="47"/>
      <c r="V138" s="4" t="s">
        <v>1119</v>
      </c>
      <c r="W138" s="43">
        <f>IF(VLOOKUP(V138,βοηθητικό!$J$2:$N$354,3,FALSE)="","",VLOOKUP(V138,βοηθητικό!$J$2:$N$354,3,FALSE))</f>
        <v>6942674803</v>
      </c>
      <c r="X138" s="44"/>
      <c r="Y138" s="5" t="s">
        <v>1110</v>
      </c>
      <c r="Z138" s="46">
        <f>IF(VLOOKUP(Y138,βοηθητικό!$J$2:$N$354,3,FALSE)="","",VLOOKUP(Y138,βοηθητικό!$J$2:$N$354,3,FALSE))</f>
        <v>6946238179</v>
      </c>
      <c r="AA138" s="47"/>
      <c r="AB138" s="4" t="s">
        <v>1154</v>
      </c>
      <c r="AC138" s="43">
        <f>IF(VLOOKUP(AB138,βοηθητικό!$J$2:$N$354,3,FALSE)="","",VLOOKUP(AB138,βοηθητικό!$J$2:$N$354,3,FALSE))</f>
        <v>6946013959</v>
      </c>
      <c r="AD138" s="44"/>
      <c r="AE138" s="5" t="s">
        <v>1175</v>
      </c>
      <c r="AF138" s="46">
        <f>IF(VLOOKUP(AE138,βοηθητικό!$J$2:$N$354,3,FALSE)="","",VLOOKUP(AE138,βοηθητικό!$J$2:$N$354,3,FALSE))</f>
        <v>6974156544</v>
      </c>
      <c r="AG138" s="47"/>
      <c r="AH138" s="4" t="s">
        <v>16</v>
      </c>
      <c r="AI138" s="43" t="str">
        <f>IF(VLOOKUP(AH138,βοηθητικό!$J$2:$N$354,3,FALSE)="","",VLOOKUP(AH138,βοηθητικό!$J$2:$N$354,3,FALSE))</f>
        <v>_</v>
      </c>
      <c r="AJ138" s="44"/>
      <c r="AK138" s="5" t="s">
        <v>16</v>
      </c>
      <c r="AL138" s="46" t="str">
        <f>IF(VLOOKUP(AK138,βοηθητικό!$J$2:$N$354,3,FALSE)="","",VLOOKUP(AK138,βοηθητικό!$J$2:$N$354,3,FALSE))</f>
        <v>_</v>
      </c>
      <c r="AM138" s="47"/>
      <c r="AN138" s="4" t="s">
        <v>16</v>
      </c>
      <c r="AO138" s="43" t="str">
        <f>IF(VLOOKUP(AN138,βοηθητικό!$J$2:$N$354,3,FALSE)="","",VLOOKUP(AN138,βοηθητικό!$J$2:$N$354,3,FALSE))</f>
        <v>_</v>
      </c>
      <c r="AP138" s="44"/>
      <c r="AQ138" s="5" t="s">
        <v>16</v>
      </c>
      <c r="AR138" s="46" t="str">
        <f>IF(VLOOKUP(AQ138,βοηθητικό!$J$2:$N$354,3,FALSE)="","",VLOOKUP(AQ138,βοηθητικό!$J$2:$N$354,3,FALSE))</f>
        <v>_</v>
      </c>
      <c r="AS138" s="47"/>
      <c r="AT138" s="4" t="s">
        <v>16</v>
      </c>
      <c r="AU138" s="43" t="str">
        <f>IF(VLOOKUP(AT138,βοηθητικό!$J$2:$N$354,3,FALSE)="","",VLOOKUP(AT138,βοηθητικό!$J$2:$N$354,3,FALSE))</f>
        <v>_</v>
      </c>
      <c r="AV138" s="44"/>
      <c r="AW138" s="5" t="s">
        <v>16</v>
      </c>
      <c r="AX138" s="46" t="str">
        <f>IF(VLOOKUP(AW138,βοηθητικό!$J$2:$N$354,3,FALSE)="","",VLOOKUP(AW138,βοηθητικό!$J$2:$N$354,3,FALSE))</f>
        <v>_</v>
      </c>
      <c r="AY138" s="47"/>
      <c r="AZ138" s="4" t="s">
        <v>16</v>
      </c>
      <c r="BA138" s="43" t="str">
        <f>IF(VLOOKUP(AZ138,βοηθητικό!$J$2:$N$354,3,FALSE)="","",VLOOKUP(AZ138,βοηθητικό!$J$2:$N$354,3,FALSE))</f>
        <v>_</v>
      </c>
      <c r="BB138" s="44"/>
      <c r="BC138" s="45" t="s">
        <v>16</v>
      </c>
      <c r="BD138" s="46" t="str">
        <f>IF(VLOOKUP(BC138,βοηθητικό!$J$2:$N$354,3,FALSE)="","",VLOOKUP(BC138,βοηθητικό!$J$2:$N$354,3,FALSE))</f>
        <v>_</v>
      </c>
      <c r="BE138" s="47"/>
      <c r="BF138" s="42" t="s">
        <v>16</v>
      </c>
      <c r="BG138" s="43" t="str">
        <f>IF(VLOOKUP(BF138,βοηθητικό!$J$2:$N$354,3,FALSE)="","",VLOOKUP(BF138,βοηθητικό!$J$2:$N$354,3,FALSE))</f>
        <v>_</v>
      </c>
      <c r="BH138" s="44"/>
      <c r="BI138" s="45" t="s">
        <v>16</v>
      </c>
      <c r="BJ138" s="46" t="str">
        <f>IF(VLOOKUP(BI138,βοηθητικό!$J$2:$N$354,3,FALSE)="","",VLOOKUP(BI138,βοηθητικό!$J$2:$N$354,3,FALSE))</f>
        <v>_</v>
      </c>
      <c r="BK138" s="47"/>
      <c r="BL138" s="42" t="s">
        <v>16</v>
      </c>
      <c r="BM138" s="43" t="str">
        <f>IF(VLOOKUP(BL138,βοηθητικό!$J$2:$N$354,3,FALSE)="","",VLOOKUP(BL138,βοηθητικό!$J$2:$N$354,3,FALSE))</f>
        <v>_</v>
      </c>
      <c r="BN138" s="44"/>
      <c r="BO138" s="45" t="s">
        <v>16</v>
      </c>
      <c r="BP138" s="46" t="str">
        <f>IF(VLOOKUP(BO138,βοηθητικό!$J$2:$N$354,3,FALSE)="","",VLOOKUP(BO138,βοηθητικό!$J$2:$N$354,3,FALSE))</f>
        <v>_</v>
      </c>
      <c r="BQ138" s="47"/>
      <c r="BR138" s="42" t="s">
        <v>16</v>
      </c>
      <c r="BS138" s="43" t="str">
        <f>IF(VLOOKUP(BR138,βοηθητικό!$J$2:$N$354,3,FALSE)="","",VLOOKUP(BR138,βοηθητικό!$J$2:$N$354,3,FALSE))</f>
        <v>_</v>
      </c>
      <c r="BT138" s="44"/>
      <c r="BU138" s="45" t="s">
        <v>16</v>
      </c>
      <c r="BV138" s="46" t="str">
        <f>IF(VLOOKUP(BU138,βοηθητικό!$J$2:$N$354,3,FALSE)="","",VLOOKUP(BU138,βοηθητικό!$J$2:$N$354,3,FALSE))</f>
        <v>_</v>
      </c>
      <c r="BW138" s="47"/>
      <c r="BX138" s="42" t="s">
        <v>16</v>
      </c>
      <c r="BY138" s="43" t="str">
        <f>IF(VLOOKUP(BX138,βοηθητικό!$J$2:$N$354,3,FALSE)="","",VLOOKUP(BX138,βοηθητικό!$J$2:$N$354,3,FALSE))</f>
        <v>_</v>
      </c>
      <c r="BZ138" s="44"/>
      <c r="CA138" s="45" t="s">
        <v>16</v>
      </c>
      <c r="CB138" s="46" t="str">
        <f>IF(VLOOKUP(CA138,βοηθητικό!$J$2:$N$354,3,FALSE)="","",VLOOKUP(CA138,βοηθητικό!$J$2:$N$354,3,FALSE))</f>
        <v>_</v>
      </c>
      <c r="CC138" s="47"/>
      <c r="CD138" s="42" t="s">
        <v>16</v>
      </c>
      <c r="CE138" s="43" t="str">
        <f>IF(VLOOKUP(CD138,βοηθητικό!$J$2:$N$354,3,FALSE)="","",VLOOKUP(CD138,βοηθητικό!$J$2:$N$354,3,FALSE))</f>
        <v>_</v>
      </c>
      <c r="CF138" s="44"/>
      <c r="CG138" s="45" t="s">
        <v>16</v>
      </c>
      <c r="CH138" s="46" t="str">
        <f>IF(VLOOKUP(CG138,βοηθητικό!$J$2:$N$354,3,FALSE)="","",VLOOKUP(CG138,βοηθητικό!$J$2:$N$354,3,FALSE))</f>
        <v>_</v>
      </c>
      <c r="CI138" s="47"/>
      <c r="CJ138" s="42" t="s">
        <v>16</v>
      </c>
      <c r="CK138" s="43" t="str">
        <f>IF(VLOOKUP(CJ138,βοηθητικό!$J$2:$N$354,3,FALSE)="","",VLOOKUP(CJ138,βοηθητικό!$J$2:$N$354,3,FALSE))</f>
        <v>_</v>
      </c>
      <c r="CL138" s="44"/>
      <c r="CM138" s="45" t="s">
        <v>16</v>
      </c>
      <c r="CN138" s="46" t="str">
        <f>IF(VLOOKUP(CM138,βοηθητικό!$J$2:$N$354,3,FALSE)="","",VLOOKUP(CM138,βοηθητικό!$J$2:$N$354,3,FALSE))</f>
        <v>_</v>
      </c>
      <c r="CO138" s="47"/>
      <c r="CP138" s="42" t="s">
        <v>16</v>
      </c>
      <c r="CQ138" s="43" t="str">
        <f>IF(VLOOKUP(CP138,βοηθητικό!$J$2:$N$354,3,FALSE)="","",VLOOKUP(CP138,βοηθητικό!$J$2:$N$354,3,FALSE))</f>
        <v>_</v>
      </c>
      <c r="CR138" s="44"/>
      <c r="CS138" s="45" t="s">
        <v>16</v>
      </c>
      <c r="CT138" s="46" t="str">
        <f>IF(VLOOKUP(CS138,βοηθητικό!$J$2:$N$354,3,FALSE)="","",VLOOKUP(CS138,βοηθητικό!$J$2:$N$354,3,FALSE))</f>
        <v>_</v>
      </c>
      <c r="CU138" s="47"/>
    </row>
    <row r="139" spans="1:99" x14ac:dyDescent="0.25">
      <c r="A139" s="37">
        <f>--SUBTOTAL(3,$B$3:B138)</f>
        <v>136</v>
      </c>
      <c r="B139" s="2">
        <v>45138</v>
      </c>
      <c r="C139" s="3">
        <v>45144</v>
      </c>
      <c r="D139" s="58" t="s">
        <v>110</v>
      </c>
      <c r="E139" s="38" t="s">
        <v>16</v>
      </c>
      <c r="F139" s="38" t="s">
        <v>16</v>
      </c>
      <c r="G139" s="39" t="str">
        <f t="shared" si="8"/>
        <v>__</v>
      </c>
      <c r="H139" s="40" t="str">
        <f t="shared" si="9"/>
        <v>FALSE</v>
      </c>
      <c r="I139" s="41">
        <f t="shared" si="10"/>
        <v>4</v>
      </c>
      <c r="J139" s="4" t="s">
        <v>1209</v>
      </c>
      <c r="K139" s="43" t="str">
        <f>IF(VLOOKUP(J139,βοηθητικό!$J$2:$N$354,3,FALSE)="","",VLOOKUP(J139,βοηθητικό!$J$2:$N$354,3,FALSE))</f>
        <v>6984422749</v>
      </c>
      <c r="L139" s="44"/>
      <c r="M139" s="5" t="s">
        <v>1215</v>
      </c>
      <c r="N139" s="46" t="str">
        <f>IF(VLOOKUP(M139,βοηθητικό!$J$2:$N$354,3,FALSE)="","",VLOOKUP(M139,βοηθητικό!$J$2:$N$354,3,FALSE))</f>
        <v>6977401233</v>
      </c>
      <c r="O139" s="47"/>
      <c r="P139" s="4" t="s">
        <v>1205</v>
      </c>
      <c r="Q139" s="43" t="str">
        <f>IF(VLOOKUP(P139,βοηθητικό!$J$2:$N$354,3,FALSE)="","",VLOOKUP(P139,βοηθητικό!$J$2:$N$354,3,FALSE))</f>
        <v>6944344579</v>
      </c>
      <c r="R139" s="44"/>
      <c r="S139" s="5" t="s">
        <v>1250</v>
      </c>
      <c r="T139" s="46">
        <f>IF(VLOOKUP(S139,βοηθητικό!$J$2:$N$354,3,FALSE)="","",VLOOKUP(S139,βοηθητικό!$J$2:$N$354,3,FALSE))</f>
        <v>6983956556</v>
      </c>
      <c r="U139" s="47"/>
      <c r="V139" s="4" t="s">
        <v>16</v>
      </c>
      <c r="W139" s="43" t="str">
        <f>IF(VLOOKUP(V139,βοηθητικό!$J$2:$N$354,3,FALSE)="","",VLOOKUP(V139,βοηθητικό!$J$2:$N$354,3,FALSE))</f>
        <v>_</v>
      </c>
      <c r="X139" s="44"/>
      <c r="Y139" s="5" t="s">
        <v>16</v>
      </c>
      <c r="Z139" s="46" t="str">
        <f>IF(VLOOKUP(Y139,βοηθητικό!$J$2:$N$354,3,FALSE)="","",VLOOKUP(Y139,βοηθητικό!$J$2:$N$354,3,FALSE))</f>
        <v>_</v>
      </c>
      <c r="AA139" s="47"/>
      <c r="AB139" s="4" t="s">
        <v>16</v>
      </c>
      <c r="AC139" s="43" t="str">
        <f>IF(VLOOKUP(AB139,βοηθητικό!$J$2:$N$354,3,FALSE)="","",VLOOKUP(AB139,βοηθητικό!$J$2:$N$354,3,FALSE))</f>
        <v>_</v>
      </c>
      <c r="AD139" s="44"/>
      <c r="AE139" s="5" t="s">
        <v>16</v>
      </c>
      <c r="AF139" s="46" t="str">
        <f>IF(VLOOKUP(AE139,βοηθητικό!$J$2:$N$354,3,FALSE)="","",VLOOKUP(AE139,βοηθητικό!$J$2:$N$354,3,FALSE))</f>
        <v>_</v>
      </c>
      <c r="AG139" s="47"/>
      <c r="AH139" s="4" t="s">
        <v>16</v>
      </c>
      <c r="AI139" s="43" t="str">
        <f>IF(VLOOKUP(AH139,βοηθητικό!$J$2:$N$354,3,FALSE)="","",VLOOKUP(AH139,βοηθητικό!$J$2:$N$354,3,FALSE))</f>
        <v>_</v>
      </c>
      <c r="AJ139" s="44"/>
      <c r="AK139" s="5" t="s">
        <v>16</v>
      </c>
      <c r="AL139" s="46" t="str">
        <f>IF(VLOOKUP(AK139,βοηθητικό!$J$2:$N$354,3,FALSE)="","",VLOOKUP(AK139,βοηθητικό!$J$2:$N$354,3,FALSE))</f>
        <v>_</v>
      </c>
      <c r="AM139" s="47"/>
      <c r="AN139" s="4" t="s">
        <v>16</v>
      </c>
      <c r="AO139" s="43" t="str">
        <f>IF(VLOOKUP(AN139,βοηθητικό!$J$2:$N$354,3,FALSE)="","",VLOOKUP(AN139,βοηθητικό!$J$2:$N$354,3,FALSE))</f>
        <v>_</v>
      </c>
      <c r="AP139" s="44"/>
      <c r="AQ139" s="5" t="s">
        <v>16</v>
      </c>
      <c r="AR139" s="46" t="str">
        <f>IF(VLOOKUP(AQ139,βοηθητικό!$J$2:$N$354,3,FALSE)="","",VLOOKUP(AQ139,βοηθητικό!$J$2:$N$354,3,FALSE))</f>
        <v>_</v>
      </c>
      <c r="AS139" s="47"/>
      <c r="AT139" s="4" t="s">
        <v>16</v>
      </c>
      <c r="AU139" s="43" t="str">
        <f>IF(VLOOKUP(AT139,βοηθητικό!$J$2:$N$354,3,FALSE)="","",VLOOKUP(AT139,βοηθητικό!$J$2:$N$354,3,FALSE))</f>
        <v>_</v>
      </c>
      <c r="AV139" s="44"/>
      <c r="AW139" s="5" t="s">
        <v>16</v>
      </c>
      <c r="AX139" s="46" t="str">
        <f>IF(VLOOKUP(AW139,βοηθητικό!$J$2:$N$354,3,FALSE)="","",VLOOKUP(AW139,βοηθητικό!$J$2:$N$354,3,FALSE))</f>
        <v>_</v>
      </c>
      <c r="AY139" s="47"/>
      <c r="AZ139" s="4" t="s">
        <v>16</v>
      </c>
      <c r="BA139" s="43" t="str">
        <f>IF(VLOOKUP(AZ139,βοηθητικό!$J$2:$N$354,3,FALSE)="","",VLOOKUP(AZ139,βοηθητικό!$J$2:$N$354,3,FALSE))</f>
        <v>_</v>
      </c>
      <c r="BB139" s="44"/>
      <c r="BC139" s="45" t="s">
        <v>16</v>
      </c>
      <c r="BD139" s="46" t="str">
        <f>IF(VLOOKUP(BC139,βοηθητικό!$J$2:$N$354,3,FALSE)="","",VLOOKUP(BC139,βοηθητικό!$J$2:$N$354,3,FALSE))</f>
        <v>_</v>
      </c>
      <c r="BE139" s="47"/>
      <c r="BF139" s="42" t="s">
        <v>16</v>
      </c>
      <c r="BG139" s="43" t="str">
        <f>IF(VLOOKUP(BF139,βοηθητικό!$J$2:$N$354,3,FALSE)="","",VLOOKUP(BF139,βοηθητικό!$J$2:$N$354,3,FALSE))</f>
        <v>_</v>
      </c>
      <c r="BH139" s="44"/>
      <c r="BI139" s="45" t="s">
        <v>16</v>
      </c>
      <c r="BJ139" s="46" t="str">
        <f>IF(VLOOKUP(BI139,βοηθητικό!$J$2:$N$354,3,FALSE)="","",VLOOKUP(BI139,βοηθητικό!$J$2:$N$354,3,FALSE))</f>
        <v>_</v>
      </c>
      <c r="BK139" s="47"/>
      <c r="BL139" s="42" t="s">
        <v>16</v>
      </c>
      <c r="BM139" s="43" t="str">
        <f>IF(VLOOKUP(BL139,βοηθητικό!$J$2:$N$354,3,FALSE)="","",VLOOKUP(BL139,βοηθητικό!$J$2:$N$354,3,FALSE))</f>
        <v>_</v>
      </c>
      <c r="BN139" s="44"/>
      <c r="BO139" s="45" t="s">
        <v>16</v>
      </c>
      <c r="BP139" s="46" t="str">
        <f>IF(VLOOKUP(BO139,βοηθητικό!$J$2:$N$354,3,FALSE)="","",VLOOKUP(BO139,βοηθητικό!$J$2:$N$354,3,FALSE))</f>
        <v>_</v>
      </c>
      <c r="BQ139" s="47"/>
      <c r="BR139" s="42" t="s">
        <v>16</v>
      </c>
      <c r="BS139" s="43" t="str">
        <f>IF(VLOOKUP(BR139,βοηθητικό!$J$2:$N$354,3,FALSE)="","",VLOOKUP(BR139,βοηθητικό!$J$2:$N$354,3,FALSE))</f>
        <v>_</v>
      </c>
      <c r="BT139" s="44"/>
      <c r="BU139" s="45" t="s">
        <v>16</v>
      </c>
      <c r="BV139" s="46" t="str">
        <f>IF(VLOOKUP(BU139,βοηθητικό!$J$2:$N$354,3,FALSE)="","",VLOOKUP(BU139,βοηθητικό!$J$2:$N$354,3,FALSE))</f>
        <v>_</v>
      </c>
      <c r="BW139" s="47"/>
      <c r="BX139" s="42" t="s">
        <v>16</v>
      </c>
      <c r="BY139" s="43" t="str">
        <f>IF(VLOOKUP(BX139,βοηθητικό!$J$2:$N$354,3,FALSE)="","",VLOOKUP(BX139,βοηθητικό!$J$2:$N$354,3,FALSE))</f>
        <v>_</v>
      </c>
      <c r="BZ139" s="44"/>
      <c r="CA139" s="45" t="s">
        <v>16</v>
      </c>
      <c r="CB139" s="46" t="str">
        <f>IF(VLOOKUP(CA139,βοηθητικό!$J$2:$N$354,3,FALSE)="","",VLOOKUP(CA139,βοηθητικό!$J$2:$N$354,3,FALSE))</f>
        <v>_</v>
      </c>
      <c r="CC139" s="47"/>
      <c r="CD139" s="42" t="s">
        <v>16</v>
      </c>
      <c r="CE139" s="43" t="str">
        <f>IF(VLOOKUP(CD139,βοηθητικό!$J$2:$N$354,3,FALSE)="","",VLOOKUP(CD139,βοηθητικό!$J$2:$N$354,3,FALSE))</f>
        <v>_</v>
      </c>
      <c r="CF139" s="44"/>
      <c r="CG139" s="45" t="s">
        <v>16</v>
      </c>
      <c r="CH139" s="46" t="str">
        <f>IF(VLOOKUP(CG139,βοηθητικό!$J$2:$N$354,3,FALSE)="","",VLOOKUP(CG139,βοηθητικό!$J$2:$N$354,3,FALSE))</f>
        <v>_</v>
      </c>
      <c r="CI139" s="47"/>
      <c r="CJ139" s="42" t="s">
        <v>16</v>
      </c>
      <c r="CK139" s="43" t="str">
        <f>IF(VLOOKUP(CJ139,βοηθητικό!$J$2:$N$354,3,FALSE)="","",VLOOKUP(CJ139,βοηθητικό!$J$2:$N$354,3,FALSE))</f>
        <v>_</v>
      </c>
      <c r="CL139" s="44"/>
      <c r="CM139" s="45" t="s">
        <v>16</v>
      </c>
      <c r="CN139" s="46" t="str">
        <f>IF(VLOOKUP(CM139,βοηθητικό!$J$2:$N$354,3,FALSE)="","",VLOOKUP(CM139,βοηθητικό!$J$2:$N$354,3,FALSE))</f>
        <v>_</v>
      </c>
      <c r="CO139" s="47"/>
      <c r="CP139" s="42" t="s">
        <v>16</v>
      </c>
      <c r="CQ139" s="43" t="str">
        <f>IF(VLOOKUP(CP139,βοηθητικό!$J$2:$N$354,3,FALSE)="","",VLOOKUP(CP139,βοηθητικό!$J$2:$N$354,3,FALSE))</f>
        <v>_</v>
      </c>
      <c r="CR139" s="44"/>
      <c r="CS139" s="45" t="s">
        <v>16</v>
      </c>
      <c r="CT139" s="46" t="str">
        <f>IF(VLOOKUP(CS139,βοηθητικό!$J$2:$N$354,3,FALSE)="","",VLOOKUP(CS139,βοηθητικό!$J$2:$N$354,3,FALSE))</f>
        <v>_</v>
      </c>
      <c r="CU139" s="47"/>
    </row>
    <row r="140" spans="1:99" x14ac:dyDescent="0.25">
      <c r="A140" s="37">
        <f>--SUBTOTAL(3,$B$3:B139)</f>
        <v>137</v>
      </c>
      <c r="B140" s="2">
        <v>45145</v>
      </c>
      <c r="C140" s="3">
        <v>45151</v>
      </c>
      <c r="D140" s="58" t="s">
        <v>110</v>
      </c>
      <c r="E140" s="38" t="s">
        <v>16</v>
      </c>
      <c r="F140" s="38" t="s">
        <v>16</v>
      </c>
      <c r="G140" s="39" t="str">
        <f t="shared" si="8"/>
        <v>__</v>
      </c>
      <c r="H140" s="40" t="str">
        <f t="shared" si="9"/>
        <v>FALSE</v>
      </c>
      <c r="I140" s="41">
        <f t="shared" si="10"/>
        <v>4</v>
      </c>
      <c r="J140" s="4" t="s">
        <v>1247</v>
      </c>
      <c r="K140" s="43" t="str">
        <f>IF(VLOOKUP(J140,βοηθητικό!$J$2:$N$354,3,FALSE)="","",VLOOKUP(J140,βοηθητικό!$J$2:$N$354,3,FALSE))</f>
        <v>6977779983</v>
      </c>
      <c r="L140" s="44"/>
      <c r="M140" s="5" t="s">
        <v>1196</v>
      </c>
      <c r="N140" s="46" t="str">
        <f>IF(VLOOKUP(M140,βοηθητικό!$J$2:$N$354,3,FALSE)="","",VLOOKUP(M140,βοηθητικό!$J$2:$N$354,3,FALSE))</f>
        <v>6988221973</v>
      </c>
      <c r="O140" s="47"/>
      <c r="P140" s="4" t="s">
        <v>1230</v>
      </c>
      <c r="Q140" s="43" t="str">
        <f>IF(VLOOKUP(P140,βοηθητικό!$J$2:$N$354,3,FALSE)="","",VLOOKUP(P140,βοηθητικό!$J$2:$N$354,3,FALSE))</f>
        <v>6948363936</v>
      </c>
      <c r="R140" s="44"/>
      <c r="S140" s="5" t="s">
        <v>1202</v>
      </c>
      <c r="T140" s="46" t="str">
        <f>IF(VLOOKUP(S140,βοηθητικό!$J$2:$N$354,3,FALSE)="","",VLOOKUP(S140,βοηθητικό!$J$2:$N$354,3,FALSE))</f>
        <v>6938601801</v>
      </c>
      <c r="U140" s="47"/>
      <c r="V140" s="4" t="s">
        <v>16</v>
      </c>
      <c r="W140" s="43" t="str">
        <f>IF(VLOOKUP(V140,βοηθητικό!$J$2:$N$354,3,FALSE)="","",VLOOKUP(V140,βοηθητικό!$J$2:$N$354,3,FALSE))</f>
        <v>_</v>
      </c>
      <c r="X140" s="44"/>
      <c r="Y140" s="5" t="s">
        <v>16</v>
      </c>
      <c r="Z140" s="46" t="str">
        <f>IF(VLOOKUP(Y140,βοηθητικό!$J$2:$N$354,3,FALSE)="","",VLOOKUP(Y140,βοηθητικό!$J$2:$N$354,3,FALSE))</f>
        <v>_</v>
      </c>
      <c r="AA140" s="47"/>
      <c r="AB140" s="4" t="s">
        <v>16</v>
      </c>
      <c r="AC140" s="43" t="str">
        <f>IF(VLOOKUP(AB140,βοηθητικό!$J$2:$N$354,3,FALSE)="","",VLOOKUP(AB140,βοηθητικό!$J$2:$N$354,3,FALSE))</f>
        <v>_</v>
      </c>
      <c r="AD140" s="44"/>
      <c r="AE140" s="5" t="s">
        <v>16</v>
      </c>
      <c r="AF140" s="46" t="str">
        <f>IF(VLOOKUP(AE140,βοηθητικό!$J$2:$N$354,3,FALSE)="","",VLOOKUP(AE140,βοηθητικό!$J$2:$N$354,3,FALSE))</f>
        <v>_</v>
      </c>
      <c r="AG140" s="47"/>
      <c r="AH140" s="4" t="s">
        <v>16</v>
      </c>
      <c r="AI140" s="43" t="str">
        <f>IF(VLOOKUP(AH140,βοηθητικό!$J$2:$N$354,3,FALSE)="","",VLOOKUP(AH140,βοηθητικό!$J$2:$N$354,3,FALSE))</f>
        <v>_</v>
      </c>
      <c r="AJ140" s="44"/>
      <c r="AK140" s="5" t="s">
        <v>16</v>
      </c>
      <c r="AL140" s="46" t="str">
        <f>IF(VLOOKUP(AK140,βοηθητικό!$J$2:$N$354,3,FALSE)="","",VLOOKUP(AK140,βοηθητικό!$J$2:$N$354,3,FALSE))</f>
        <v>_</v>
      </c>
      <c r="AM140" s="47"/>
      <c r="AN140" s="4" t="s">
        <v>16</v>
      </c>
      <c r="AO140" s="43" t="str">
        <f>IF(VLOOKUP(AN140,βοηθητικό!$J$2:$N$354,3,FALSE)="","",VLOOKUP(AN140,βοηθητικό!$J$2:$N$354,3,FALSE))</f>
        <v>_</v>
      </c>
      <c r="AP140" s="44"/>
      <c r="AQ140" s="5" t="s">
        <v>16</v>
      </c>
      <c r="AR140" s="46" t="str">
        <f>IF(VLOOKUP(AQ140,βοηθητικό!$J$2:$N$354,3,FALSE)="","",VLOOKUP(AQ140,βοηθητικό!$J$2:$N$354,3,FALSE))</f>
        <v>_</v>
      </c>
      <c r="AS140" s="47"/>
      <c r="AT140" s="4" t="s">
        <v>16</v>
      </c>
      <c r="AU140" s="43" t="str">
        <f>IF(VLOOKUP(AT140,βοηθητικό!$J$2:$N$354,3,FALSE)="","",VLOOKUP(AT140,βοηθητικό!$J$2:$N$354,3,FALSE))</f>
        <v>_</v>
      </c>
      <c r="AV140" s="44"/>
      <c r="AW140" s="5" t="s">
        <v>16</v>
      </c>
      <c r="AX140" s="46" t="str">
        <f>IF(VLOOKUP(AW140,βοηθητικό!$J$2:$N$354,3,FALSE)="","",VLOOKUP(AW140,βοηθητικό!$J$2:$N$354,3,FALSE))</f>
        <v>_</v>
      </c>
      <c r="AY140" s="47"/>
      <c r="AZ140" s="4" t="s">
        <v>16</v>
      </c>
      <c r="BA140" s="43" t="str">
        <f>IF(VLOOKUP(AZ140,βοηθητικό!$J$2:$N$354,3,FALSE)="","",VLOOKUP(AZ140,βοηθητικό!$J$2:$N$354,3,FALSE))</f>
        <v>_</v>
      </c>
      <c r="BB140" s="44"/>
      <c r="BC140" s="45" t="s">
        <v>16</v>
      </c>
      <c r="BD140" s="46" t="str">
        <f>IF(VLOOKUP(BC140,βοηθητικό!$J$2:$N$354,3,FALSE)="","",VLOOKUP(BC140,βοηθητικό!$J$2:$N$354,3,FALSE))</f>
        <v>_</v>
      </c>
      <c r="BE140" s="47"/>
      <c r="BF140" s="42" t="s">
        <v>16</v>
      </c>
      <c r="BG140" s="43" t="str">
        <f>IF(VLOOKUP(BF140,βοηθητικό!$J$2:$N$354,3,FALSE)="","",VLOOKUP(BF140,βοηθητικό!$J$2:$N$354,3,FALSE))</f>
        <v>_</v>
      </c>
      <c r="BH140" s="44"/>
      <c r="BI140" s="45" t="s">
        <v>16</v>
      </c>
      <c r="BJ140" s="46" t="str">
        <f>IF(VLOOKUP(BI140,βοηθητικό!$J$2:$N$354,3,FALSE)="","",VLOOKUP(BI140,βοηθητικό!$J$2:$N$354,3,FALSE))</f>
        <v>_</v>
      </c>
      <c r="BK140" s="47"/>
      <c r="BL140" s="42" t="s">
        <v>16</v>
      </c>
      <c r="BM140" s="43" t="str">
        <f>IF(VLOOKUP(BL140,βοηθητικό!$J$2:$N$354,3,FALSE)="","",VLOOKUP(BL140,βοηθητικό!$J$2:$N$354,3,FALSE))</f>
        <v>_</v>
      </c>
      <c r="BN140" s="44"/>
      <c r="BO140" s="45" t="s">
        <v>16</v>
      </c>
      <c r="BP140" s="46" t="str">
        <f>IF(VLOOKUP(BO140,βοηθητικό!$J$2:$N$354,3,FALSE)="","",VLOOKUP(BO140,βοηθητικό!$J$2:$N$354,3,FALSE))</f>
        <v>_</v>
      </c>
      <c r="BQ140" s="47"/>
      <c r="BR140" s="42" t="s">
        <v>16</v>
      </c>
      <c r="BS140" s="43" t="str">
        <f>IF(VLOOKUP(BR140,βοηθητικό!$J$2:$N$354,3,FALSE)="","",VLOOKUP(BR140,βοηθητικό!$J$2:$N$354,3,FALSE))</f>
        <v>_</v>
      </c>
      <c r="BT140" s="44"/>
      <c r="BU140" s="45" t="s">
        <v>16</v>
      </c>
      <c r="BV140" s="46" t="str">
        <f>IF(VLOOKUP(BU140,βοηθητικό!$J$2:$N$354,3,FALSE)="","",VLOOKUP(BU140,βοηθητικό!$J$2:$N$354,3,FALSE))</f>
        <v>_</v>
      </c>
      <c r="BW140" s="47"/>
      <c r="BX140" s="42" t="s">
        <v>16</v>
      </c>
      <c r="BY140" s="43" t="str">
        <f>IF(VLOOKUP(BX140,βοηθητικό!$J$2:$N$354,3,FALSE)="","",VLOOKUP(BX140,βοηθητικό!$J$2:$N$354,3,FALSE))</f>
        <v>_</v>
      </c>
      <c r="BZ140" s="44"/>
      <c r="CA140" s="45" t="s">
        <v>16</v>
      </c>
      <c r="CB140" s="46" t="str">
        <f>IF(VLOOKUP(CA140,βοηθητικό!$J$2:$N$354,3,FALSE)="","",VLOOKUP(CA140,βοηθητικό!$J$2:$N$354,3,FALSE))</f>
        <v>_</v>
      </c>
      <c r="CC140" s="47"/>
      <c r="CD140" s="42" t="s">
        <v>16</v>
      </c>
      <c r="CE140" s="43" t="str">
        <f>IF(VLOOKUP(CD140,βοηθητικό!$J$2:$N$354,3,FALSE)="","",VLOOKUP(CD140,βοηθητικό!$J$2:$N$354,3,FALSE))</f>
        <v>_</v>
      </c>
      <c r="CF140" s="44"/>
      <c r="CG140" s="45" t="s">
        <v>16</v>
      </c>
      <c r="CH140" s="46" t="str">
        <f>IF(VLOOKUP(CG140,βοηθητικό!$J$2:$N$354,3,FALSE)="","",VLOOKUP(CG140,βοηθητικό!$J$2:$N$354,3,FALSE))</f>
        <v>_</v>
      </c>
      <c r="CI140" s="47"/>
      <c r="CJ140" s="42" t="s">
        <v>16</v>
      </c>
      <c r="CK140" s="43" t="str">
        <f>IF(VLOOKUP(CJ140,βοηθητικό!$J$2:$N$354,3,FALSE)="","",VLOOKUP(CJ140,βοηθητικό!$J$2:$N$354,3,FALSE))</f>
        <v>_</v>
      </c>
      <c r="CL140" s="44"/>
      <c r="CM140" s="45" t="s">
        <v>16</v>
      </c>
      <c r="CN140" s="46" t="str">
        <f>IF(VLOOKUP(CM140,βοηθητικό!$J$2:$N$354,3,FALSE)="","",VLOOKUP(CM140,βοηθητικό!$J$2:$N$354,3,FALSE))</f>
        <v>_</v>
      </c>
      <c r="CO140" s="47"/>
      <c r="CP140" s="42" t="s">
        <v>16</v>
      </c>
      <c r="CQ140" s="43" t="str">
        <f>IF(VLOOKUP(CP140,βοηθητικό!$J$2:$N$354,3,FALSE)="","",VLOOKUP(CP140,βοηθητικό!$J$2:$N$354,3,FALSE))</f>
        <v>_</v>
      </c>
      <c r="CR140" s="44"/>
      <c r="CS140" s="45" t="s">
        <v>16</v>
      </c>
      <c r="CT140" s="46" t="str">
        <f>IF(VLOOKUP(CS140,βοηθητικό!$J$2:$N$354,3,FALSE)="","",VLOOKUP(CS140,βοηθητικό!$J$2:$N$354,3,FALSE))</f>
        <v>_</v>
      </c>
      <c r="CU140" s="47"/>
    </row>
    <row r="141" spans="1:99" x14ac:dyDescent="0.25">
      <c r="A141" s="37">
        <f>--SUBTOTAL(3,$B$3:B140)</f>
        <v>138</v>
      </c>
      <c r="B141" s="2">
        <v>45152</v>
      </c>
      <c r="C141" s="3">
        <v>45158</v>
      </c>
      <c r="D141" s="58" t="s">
        <v>110</v>
      </c>
      <c r="E141" s="38" t="s">
        <v>16</v>
      </c>
      <c r="F141" s="38" t="s">
        <v>16</v>
      </c>
      <c r="G141" s="39" t="str">
        <f t="shared" si="8"/>
        <v>__</v>
      </c>
      <c r="H141" s="40" t="str">
        <f t="shared" si="9"/>
        <v>FALSE</v>
      </c>
      <c r="I141" s="41">
        <f t="shared" si="10"/>
        <v>5</v>
      </c>
      <c r="J141" s="4" t="s">
        <v>1224</v>
      </c>
      <c r="K141" s="43" t="str">
        <f>IF(VLOOKUP(J141,βοηθητικό!$J$2:$N$354,3,FALSE)="","",VLOOKUP(J141,βοηθητικό!$J$2:$N$354,3,FALSE))</f>
        <v>6982360550</v>
      </c>
      <c r="L141" s="44"/>
      <c r="M141" s="5" t="s">
        <v>1212</v>
      </c>
      <c r="N141" s="46" t="str">
        <f>IF(VLOOKUP(M141,βοηθητικό!$J$2:$N$354,3,FALSE)="","",VLOOKUP(M141,βοηθητικό!$J$2:$N$354,3,FALSE))</f>
        <v>6932703127</v>
      </c>
      <c r="O141" s="47"/>
      <c r="P141" s="4" t="s">
        <v>1189</v>
      </c>
      <c r="Q141" s="43" t="str">
        <f>IF(VLOOKUP(P141,βοηθητικό!$J$2:$N$354,3,FALSE)="","",VLOOKUP(P141,βοηθητικό!$J$2:$N$354,3,FALSE))</f>
        <v>6949333494</v>
      </c>
      <c r="R141" s="44"/>
      <c r="S141" s="5" t="s">
        <v>1218</v>
      </c>
      <c r="T141" s="46" t="str">
        <f>IF(VLOOKUP(S141,βοηθητικό!$J$2:$N$354,3,FALSE)="","",VLOOKUP(S141,βοηθητικό!$J$2:$N$354,3,FALSE))</f>
        <v>6976559998</v>
      </c>
      <c r="U141" s="47"/>
      <c r="V141" s="4" t="s">
        <v>1194</v>
      </c>
      <c r="W141" s="43">
        <f>IF(VLOOKUP(V141,βοηθητικό!$J$2:$N$354,3,FALSE)="","",VLOOKUP(V141,βοηθητικό!$J$2:$N$354,3,FALSE))</f>
        <v>6972440994</v>
      </c>
      <c r="X141" s="44"/>
      <c r="Y141" s="5" t="s">
        <v>16</v>
      </c>
      <c r="Z141" s="46" t="str">
        <f>IF(VLOOKUP(Y141,βοηθητικό!$J$2:$N$354,3,FALSE)="","",VLOOKUP(Y141,βοηθητικό!$J$2:$N$354,3,FALSE))</f>
        <v>_</v>
      </c>
      <c r="AA141" s="47"/>
      <c r="AB141" s="4" t="s">
        <v>16</v>
      </c>
      <c r="AC141" s="43" t="str">
        <f>IF(VLOOKUP(AB141,βοηθητικό!$J$2:$N$354,3,FALSE)="","",VLOOKUP(AB141,βοηθητικό!$J$2:$N$354,3,FALSE))</f>
        <v>_</v>
      </c>
      <c r="AD141" s="44"/>
      <c r="AE141" s="5" t="s">
        <v>16</v>
      </c>
      <c r="AF141" s="46" t="str">
        <f>IF(VLOOKUP(AE141,βοηθητικό!$J$2:$N$354,3,FALSE)="","",VLOOKUP(AE141,βοηθητικό!$J$2:$N$354,3,FALSE))</f>
        <v>_</v>
      </c>
      <c r="AG141" s="47"/>
      <c r="AH141" s="4" t="s">
        <v>16</v>
      </c>
      <c r="AI141" s="43" t="str">
        <f>IF(VLOOKUP(AH141,βοηθητικό!$J$2:$N$354,3,FALSE)="","",VLOOKUP(AH141,βοηθητικό!$J$2:$N$354,3,FALSE))</f>
        <v>_</v>
      </c>
      <c r="AJ141" s="44"/>
      <c r="AK141" s="5" t="s">
        <v>16</v>
      </c>
      <c r="AL141" s="46" t="str">
        <f>IF(VLOOKUP(AK141,βοηθητικό!$J$2:$N$354,3,FALSE)="","",VLOOKUP(AK141,βοηθητικό!$J$2:$N$354,3,FALSE))</f>
        <v>_</v>
      </c>
      <c r="AM141" s="47"/>
      <c r="AN141" s="4" t="s">
        <v>16</v>
      </c>
      <c r="AO141" s="43" t="str">
        <f>IF(VLOOKUP(AN141,βοηθητικό!$J$2:$N$354,3,FALSE)="","",VLOOKUP(AN141,βοηθητικό!$J$2:$N$354,3,FALSE))</f>
        <v>_</v>
      </c>
      <c r="AP141" s="44"/>
      <c r="AQ141" s="5" t="s">
        <v>16</v>
      </c>
      <c r="AR141" s="46" t="str">
        <f>IF(VLOOKUP(AQ141,βοηθητικό!$J$2:$N$354,3,FALSE)="","",VLOOKUP(AQ141,βοηθητικό!$J$2:$N$354,3,FALSE))</f>
        <v>_</v>
      </c>
      <c r="AS141" s="47"/>
      <c r="AT141" s="4" t="s">
        <v>16</v>
      </c>
      <c r="AU141" s="43" t="str">
        <f>IF(VLOOKUP(AT141,βοηθητικό!$J$2:$N$354,3,FALSE)="","",VLOOKUP(AT141,βοηθητικό!$J$2:$N$354,3,FALSE))</f>
        <v>_</v>
      </c>
      <c r="AV141" s="44"/>
      <c r="AW141" s="5" t="s">
        <v>16</v>
      </c>
      <c r="AX141" s="46" t="str">
        <f>IF(VLOOKUP(AW141,βοηθητικό!$J$2:$N$354,3,FALSE)="","",VLOOKUP(AW141,βοηθητικό!$J$2:$N$354,3,FALSE))</f>
        <v>_</v>
      </c>
      <c r="AY141" s="47"/>
      <c r="AZ141" s="4" t="s">
        <v>16</v>
      </c>
      <c r="BA141" s="43" t="str">
        <f>IF(VLOOKUP(AZ141,βοηθητικό!$J$2:$N$354,3,FALSE)="","",VLOOKUP(AZ141,βοηθητικό!$J$2:$N$354,3,FALSE))</f>
        <v>_</v>
      </c>
      <c r="BB141" s="44"/>
      <c r="BC141" s="45" t="s">
        <v>16</v>
      </c>
      <c r="BD141" s="46" t="str">
        <f>IF(VLOOKUP(BC141,βοηθητικό!$J$2:$N$354,3,FALSE)="","",VLOOKUP(BC141,βοηθητικό!$J$2:$N$354,3,FALSE))</f>
        <v>_</v>
      </c>
      <c r="BE141" s="47"/>
      <c r="BF141" s="42" t="s">
        <v>16</v>
      </c>
      <c r="BG141" s="43" t="str">
        <f>IF(VLOOKUP(BF141,βοηθητικό!$J$2:$N$354,3,FALSE)="","",VLOOKUP(BF141,βοηθητικό!$J$2:$N$354,3,FALSE))</f>
        <v>_</v>
      </c>
      <c r="BH141" s="44"/>
      <c r="BI141" s="45" t="s">
        <v>16</v>
      </c>
      <c r="BJ141" s="46" t="str">
        <f>IF(VLOOKUP(BI141,βοηθητικό!$J$2:$N$354,3,FALSE)="","",VLOOKUP(BI141,βοηθητικό!$J$2:$N$354,3,FALSE))</f>
        <v>_</v>
      </c>
      <c r="BK141" s="47"/>
      <c r="BL141" s="42" t="s">
        <v>16</v>
      </c>
      <c r="BM141" s="43" t="str">
        <f>IF(VLOOKUP(BL141,βοηθητικό!$J$2:$N$354,3,FALSE)="","",VLOOKUP(BL141,βοηθητικό!$J$2:$N$354,3,FALSE))</f>
        <v>_</v>
      </c>
      <c r="BN141" s="44"/>
      <c r="BO141" s="45" t="s">
        <v>16</v>
      </c>
      <c r="BP141" s="46" t="str">
        <f>IF(VLOOKUP(BO141,βοηθητικό!$J$2:$N$354,3,FALSE)="","",VLOOKUP(BO141,βοηθητικό!$J$2:$N$354,3,FALSE))</f>
        <v>_</v>
      </c>
      <c r="BQ141" s="47"/>
      <c r="BR141" s="42" t="s">
        <v>16</v>
      </c>
      <c r="BS141" s="43" t="str">
        <f>IF(VLOOKUP(BR141,βοηθητικό!$J$2:$N$354,3,FALSE)="","",VLOOKUP(BR141,βοηθητικό!$J$2:$N$354,3,FALSE))</f>
        <v>_</v>
      </c>
      <c r="BT141" s="44"/>
      <c r="BU141" s="45" t="s">
        <v>16</v>
      </c>
      <c r="BV141" s="46" t="str">
        <f>IF(VLOOKUP(BU141,βοηθητικό!$J$2:$N$354,3,FALSE)="","",VLOOKUP(BU141,βοηθητικό!$J$2:$N$354,3,FALSE))</f>
        <v>_</v>
      </c>
      <c r="BW141" s="47"/>
      <c r="BX141" s="42" t="s">
        <v>16</v>
      </c>
      <c r="BY141" s="43" t="str">
        <f>IF(VLOOKUP(BX141,βοηθητικό!$J$2:$N$354,3,FALSE)="","",VLOOKUP(BX141,βοηθητικό!$J$2:$N$354,3,FALSE))</f>
        <v>_</v>
      </c>
      <c r="BZ141" s="44"/>
      <c r="CA141" s="45" t="s">
        <v>16</v>
      </c>
      <c r="CB141" s="46" t="str">
        <f>IF(VLOOKUP(CA141,βοηθητικό!$J$2:$N$354,3,FALSE)="","",VLOOKUP(CA141,βοηθητικό!$J$2:$N$354,3,FALSE))</f>
        <v>_</v>
      </c>
      <c r="CC141" s="47"/>
      <c r="CD141" s="42" t="s">
        <v>16</v>
      </c>
      <c r="CE141" s="43" t="str">
        <f>IF(VLOOKUP(CD141,βοηθητικό!$J$2:$N$354,3,FALSE)="","",VLOOKUP(CD141,βοηθητικό!$J$2:$N$354,3,FALSE))</f>
        <v>_</v>
      </c>
      <c r="CF141" s="44"/>
      <c r="CG141" s="45" t="s">
        <v>16</v>
      </c>
      <c r="CH141" s="46" t="str">
        <f>IF(VLOOKUP(CG141,βοηθητικό!$J$2:$N$354,3,FALSE)="","",VLOOKUP(CG141,βοηθητικό!$J$2:$N$354,3,FALSE))</f>
        <v>_</v>
      </c>
      <c r="CI141" s="47"/>
      <c r="CJ141" s="42" t="s">
        <v>16</v>
      </c>
      <c r="CK141" s="43" t="str">
        <f>IF(VLOOKUP(CJ141,βοηθητικό!$J$2:$N$354,3,FALSE)="","",VLOOKUP(CJ141,βοηθητικό!$J$2:$N$354,3,FALSE))</f>
        <v>_</v>
      </c>
      <c r="CL141" s="44"/>
      <c r="CM141" s="45" t="s">
        <v>16</v>
      </c>
      <c r="CN141" s="46" t="str">
        <f>IF(VLOOKUP(CM141,βοηθητικό!$J$2:$N$354,3,FALSE)="","",VLOOKUP(CM141,βοηθητικό!$J$2:$N$354,3,FALSE))</f>
        <v>_</v>
      </c>
      <c r="CO141" s="47"/>
      <c r="CP141" s="42" t="s">
        <v>16</v>
      </c>
      <c r="CQ141" s="43" t="str">
        <f>IF(VLOOKUP(CP141,βοηθητικό!$J$2:$N$354,3,FALSE)="","",VLOOKUP(CP141,βοηθητικό!$J$2:$N$354,3,FALSE))</f>
        <v>_</v>
      </c>
      <c r="CR141" s="44"/>
      <c r="CS141" s="45" t="s">
        <v>16</v>
      </c>
      <c r="CT141" s="46" t="str">
        <f>IF(VLOOKUP(CS141,βοηθητικό!$J$2:$N$354,3,FALSE)="","",VLOOKUP(CS141,βοηθητικό!$J$2:$N$354,3,FALSE))</f>
        <v>_</v>
      </c>
      <c r="CU141" s="47"/>
    </row>
    <row r="142" spans="1:99" x14ac:dyDescent="0.25">
      <c r="A142" s="37">
        <f>--SUBTOTAL(3,$B$3:B141)</f>
        <v>139</v>
      </c>
      <c r="B142" s="2">
        <v>45159</v>
      </c>
      <c r="C142" s="3">
        <v>45165</v>
      </c>
      <c r="D142" s="58" t="s">
        <v>110</v>
      </c>
      <c r="E142" s="38" t="s">
        <v>16</v>
      </c>
      <c r="F142" s="38" t="s">
        <v>16</v>
      </c>
      <c r="G142" s="39" t="str">
        <f t="shared" si="8"/>
        <v>__</v>
      </c>
      <c r="H142" s="40" t="str">
        <f t="shared" si="9"/>
        <v>FALSE</v>
      </c>
      <c r="I142" s="41">
        <f t="shared" si="10"/>
        <v>4</v>
      </c>
      <c r="J142" s="4" t="s">
        <v>1236</v>
      </c>
      <c r="K142" s="43" t="str">
        <f>IF(VLOOKUP(J142,βοηθητικό!$J$2:$N$354,3,FALSE)="","",VLOOKUP(J142,βοηθητικό!$J$2:$N$354,3,FALSE))</f>
        <v>6945728316</v>
      </c>
      <c r="L142" s="44"/>
      <c r="M142" s="5" t="s">
        <v>1221</v>
      </c>
      <c r="N142" s="46" t="str">
        <f>IF(VLOOKUP(M142,βοηθητικό!$J$2:$N$354,3,FALSE)="","",VLOOKUP(M142,βοηθητικό!$J$2:$N$354,3,FALSE))</f>
        <v>6971641783</v>
      </c>
      <c r="O142" s="47"/>
      <c r="P142" s="4" t="s">
        <v>1244</v>
      </c>
      <c r="Q142" s="43" t="str">
        <f>IF(VLOOKUP(P142,βοηθητικό!$J$2:$N$354,3,FALSE)="","",VLOOKUP(P142,βοηθητικό!$J$2:$N$354,3,FALSE))</f>
        <v>6986975035</v>
      </c>
      <c r="R142" s="44"/>
      <c r="S142" s="5" t="s">
        <v>1227</v>
      </c>
      <c r="T142" s="46" t="str">
        <f>IF(VLOOKUP(S142,βοηθητικό!$J$2:$N$354,3,FALSE)="","",VLOOKUP(S142,βοηθητικό!$J$2:$N$354,3,FALSE))</f>
        <v>6984493906</v>
      </c>
      <c r="U142" s="47"/>
      <c r="V142" s="4" t="s">
        <v>16</v>
      </c>
      <c r="W142" s="43" t="str">
        <f>IF(VLOOKUP(V142,βοηθητικό!$J$2:$N$354,3,FALSE)="","",VLOOKUP(V142,βοηθητικό!$J$2:$N$354,3,FALSE))</f>
        <v>_</v>
      </c>
      <c r="X142" s="44"/>
      <c r="Y142" s="5" t="s">
        <v>16</v>
      </c>
      <c r="Z142" s="46" t="str">
        <f>IF(VLOOKUP(Y142,βοηθητικό!$J$2:$N$354,3,FALSE)="","",VLOOKUP(Y142,βοηθητικό!$J$2:$N$354,3,FALSE))</f>
        <v>_</v>
      </c>
      <c r="AA142" s="47"/>
      <c r="AB142" s="4" t="s">
        <v>16</v>
      </c>
      <c r="AC142" s="43" t="str">
        <f>IF(VLOOKUP(AB142,βοηθητικό!$J$2:$N$354,3,FALSE)="","",VLOOKUP(AB142,βοηθητικό!$J$2:$N$354,3,FALSE))</f>
        <v>_</v>
      </c>
      <c r="AD142" s="44"/>
      <c r="AE142" s="5" t="s">
        <v>16</v>
      </c>
      <c r="AF142" s="46" t="str">
        <f>IF(VLOOKUP(AE142,βοηθητικό!$J$2:$N$354,3,FALSE)="","",VLOOKUP(AE142,βοηθητικό!$J$2:$N$354,3,FALSE))</f>
        <v>_</v>
      </c>
      <c r="AG142" s="47"/>
      <c r="AH142" s="4" t="s">
        <v>16</v>
      </c>
      <c r="AI142" s="43" t="str">
        <f>IF(VLOOKUP(AH142,βοηθητικό!$J$2:$N$354,3,FALSE)="","",VLOOKUP(AH142,βοηθητικό!$J$2:$N$354,3,FALSE))</f>
        <v>_</v>
      </c>
      <c r="AJ142" s="44"/>
      <c r="AK142" s="5" t="s">
        <v>16</v>
      </c>
      <c r="AL142" s="46" t="str">
        <f>IF(VLOOKUP(AK142,βοηθητικό!$J$2:$N$354,3,FALSE)="","",VLOOKUP(AK142,βοηθητικό!$J$2:$N$354,3,FALSE))</f>
        <v>_</v>
      </c>
      <c r="AM142" s="47"/>
      <c r="AN142" s="4" t="s">
        <v>16</v>
      </c>
      <c r="AO142" s="43" t="str">
        <f>IF(VLOOKUP(AN142,βοηθητικό!$J$2:$N$354,3,FALSE)="","",VLOOKUP(AN142,βοηθητικό!$J$2:$N$354,3,FALSE))</f>
        <v>_</v>
      </c>
      <c r="AP142" s="44"/>
      <c r="AQ142" s="5" t="s">
        <v>16</v>
      </c>
      <c r="AR142" s="46" t="str">
        <f>IF(VLOOKUP(AQ142,βοηθητικό!$J$2:$N$354,3,FALSE)="","",VLOOKUP(AQ142,βοηθητικό!$J$2:$N$354,3,FALSE))</f>
        <v>_</v>
      </c>
      <c r="AS142" s="47"/>
      <c r="AT142" s="4" t="s">
        <v>16</v>
      </c>
      <c r="AU142" s="43" t="str">
        <f>IF(VLOOKUP(AT142,βοηθητικό!$J$2:$N$354,3,FALSE)="","",VLOOKUP(AT142,βοηθητικό!$J$2:$N$354,3,FALSE))</f>
        <v>_</v>
      </c>
      <c r="AV142" s="44"/>
      <c r="AW142" s="5" t="s">
        <v>16</v>
      </c>
      <c r="AX142" s="46" t="str">
        <f>IF(VLOOKUP(AW142,βοηθητικό!$J$2:$N$354,3,FALSE)="","",VLOOKUP(AW142,βοηθητικό!$J$2:$N$354,3,FALSE))</f>
        <v>_</v>
      </c>
      <c r="AY142" s="47"/>
      <c r="AZ142" s="4" t="s">
        <v>16</v>
      </c>
      <c r="BA142" s="43" t="str">
        <f>IF(VLOOKUP(AZ142,βοηθητικό!$J$2:$N$354,3,FALSE)="","",VLOOKUP(AZ142,βοηθητικό!$J$2:$N$354,3,FALSE))</f>
        <v>_</v>
      </c>
      <c r="BB142" s="44"/>
      <c r="BC142" s="45" t="s">
        <v>16</v>
      </c>
      <c r="BD142" s="46" t="str">
        <f>IF(VLOOKUP(BC142,βοηθητικό!$J$2:$N$354,3,FALSE)="","",VLOOKUP(BC142,βοηθητικό!$J$2:$N$354,3,FALSE))</f>
        <v>_</v>
      </c>
      <c r="BE142" s="47"/>
      <c r="BF142" s="42" t="s">
        <v>16</v>
      </c>
      <c r="BG142" s="43" t="str">
        <f>IF(VLOOKUP(BF142,βοηθητικό!$J$2:$N$354,3,FALSE)="","",VLOOKUP(BF142,βοηθητικό!$J$2:$N$354,3,FALSE))</f>
        <v>_</v>
      </c>
      <c r="BH142" s="44"/>
      <c r="BI142" s="45" t="s">
        <v>16</v>
      </c>
      <c r="BJ142" s="46" t="str">
        <f>IF(VLOOKUP(BI142,βοηθητικό!$J$2:$N$354,3,FALSE)="","",VLOOKUP(BI142,βοηθητικό!$J$2:$N$354,3,FALSE))</f>
        <v>_</v>
      </c>
      <c r="BK142" s="47"/>
      <c r="BL142" s="42" t="s">
        <v>16</v>
      </c>
      <c r="BM142" s="43" t="str">
        <f>IF(VLOOKUP(BL142,βοηθητικό!$J$2:$N$354,3,FALSE)="","",VLOOKUP(BL142,βοηθητικό!$J$2:$N$354,3,FALSE))</f>
        <v>_</v>
      </c>
      <c r="BN142" s="44"/>
      <c r="BO142" s="45" t="s">
        <v>16</v>
      </c>
      <c r="BP142" s="46" t="str">
        <f>IF(VLOOKUP(BO142,βοηθητικό!$J$2:$N$354,3,FALSE)="","",VLOOKUP(BO142,βοηθητικό!$J$2:$N$354,3,FALSE))</f>
        <v>_</v>
      </c>
      <c r="BQ142" s="47"/>
      <c r="BR142" s="42" t="s">
        <v>16</v>
      </c>
      <c r="BS142" s="43" t="str">
        <f>IF(VLOOKUP(BR142,βοηθητικό!$J$2:$N$354,3,FALSE)="","",VLOOKUP(BR142,βοηθητικό!$J$2:$N$354,3,FALSE))</f>
        <v>_</v>
      </c>
      <c r="BT142" s="44"/>
      <c r="BU142" s="45" t="s">
        <v>16</v>
      </c>
      <c r="BV142" s="46" t="str">
        <f>IF(VLOOKUP(BU142,βοηθητικό!$J$2:$N$354,3,FALSE)="","",VLOOKUP(BU142,βοηθητικό!$J$2:$N$354,3,FALSE))</f>
        <v>_</v>
      </c>
      <c r="BW142" s="47"/>
      <c r="BX142" s="42" t="s">
        <v>16</v>
      </c>
      <c r="BY142" s="43" t="str">
        <f>IF(VLOOKUP(BX142,βοηθητικό!$J$2:$N$354,3,FALSE)="","",VLOOKUP(BX142,βοηθητικό!$J$2:$N$354,3,FALSE))</f>
        <v>_</v>
      </c>
      <c r="BZ142" s="44"/>
      <c r="CA142" s="45" t="s">
        <v>16</v>
      </c>
      <c r="CB142" s="46" t="str">
        <f>IF(VLOOKUP(CA142,βοηθητικό!$J$2:$N$354,3,FALSE)="","",VLOOKUP(CA142,βοηθητικό!$J$2:$N$354,3,FALSE))</f>
        <v>_</v>
      </c>
      <c r="CC142" s="47"/>
      <c r="CD142" s="42" t="s">
        <v>16</v>
      </c>
      <c r="CE142" s="43" t="str">
        <f>IF(VLOOKUP(CD142,βοηθητικό!$J$2:$N$354,3,FALSE)="","",VLOOKUP(CD142,βοηθητικό!$J$2:$N$354,3,FALSE))</f>
        <v>_</v>
      </c>
      <c r="CF142" s="44"/>
      <c r="CG142" s="45" t="s">
        <v>16</v>
      </c>
      <c r="CH142" s="46" t="str">
        <f>IF(VLOOKUP(CG142,βοηθητικό!$J$2:$N$354,3,FALSE)="","",VLOOKUP(CG142,βοηθητικό!$J$2:$N$354,3,FALSE))</f>
        <v>_</v>
      </c>
      <c r="CI142" s="47"/>
      <c r="CJ142" s="42" t="s">
        <v>16</v>
      </c>
      <c r="CK142" s="43" t="str">
        <f>IF(VLOOKUP(CJ142,βοηθητικό!$J$2:$N$354,3,FALSE)="","",VLOOKUP(CJ142,βοηθητικό!$J$2:$N$354,3,FALSE))</f>
        <v>_</v>
      </c>
      <c r="CL142" s="44"/>
      <c r="CM142" s="45" t="s">
        <v>16</v>
      </c>
      <c r="CN142" s="46" t="str">
        <f>IF(VLOOKUP(CM142,βοηθητικό!$J$2:$N$354,3,FALSE)="","",VLOOKUP(CM142,βοηθητικό!$J$2:$N$354,3,FALSE))</f>
        <v>_</v>
      </c>
      <c r="CO142" s="47"/>
      <c r="CP142" s="42" t="s">
        <v>16</v>
      </c>
      <c r="CQ142" s="43" t="str">
        <f>IF(VLOOKUP(CP142,βοηθητικό!$J$2:$N$354,3,FALSE)="","",VLOOKUP(CP142,βοηθητικό!$J$2:$N$354,3,FALSE))</f>
        <v>_</v>
      </c>
      <c r="CR142" s="44"/>
      <c r="CS142" s="45" t="s">
        <v>16</v>
      </c>
      <c r="CT142" s="46" t="str">
        <f>IF(VLOOKUP(CS142,βοηθητικό!$J$2:$N$354,3,FALSE)="","",VLOOKUP(CS142,βοηθητικό!$J$2:$N$354,3,FALSE))</f>
        <v>_</v>
      </c>
      <c r="CU142" s="47"/>
    </row>
    <row r="143" spans="1:99" x14ac:dyDescent="0.25">
      <c r="A143" s="37">
        <f>--SUBTOTAL(3,$B$3:B142)</f>
        <v>140</v>
      </c>
      <c r="B143" s="2">
        <v>45138</v>
      </c>
      <c r="C143" s="3">
        <v>45144</v>
      </c>
      <c r="D143" s="57" t="s">
        <v>115</v>
      </c>
      <c r="E143" s="38" t="s">
        <v>16</v>
      </c>
      <c r="F143" s="38" t="s">
        <v>16</v>
      </c>
      <c r="G143" s="39" t="str">
        <f t="shared" si="8"/>
        <v>__</v>
      </c>
      <c r="H143" s="40" t="str">
        <f t="shared" si="9"/>
        <v>FALSE</v>
      </c>
      <c r="I143" s="41">
        <f t="shared" si="10"/>
        <v>9</v>
      </c>
      <c r="J143" s="4" t="s">
        <v>1375</v>
      </c>
      <c r="K143" s="43" t="str">
        <f>IF(VLOOKUP(J143,βοηθητικό!$J$2:$N$354,3,FALSE)="","",VLOOKUP(J143,βοηθητικό!$J$2:$N$354,3,FALSE))</f>
        <v>6948880905</v>
      </c>
      <c r="L143" s="44"/>
      <c r="M143" s="5" t="s">
        <v>1322</v>
      </c>
      <c r="N143" s="46" t="str">
        <f>IF(VLOOKUP(M143,βοηθητικό!$J$2:$N$354,3,FALSE)="","",VLOOKUP(M143,βοηθητικό!$J$2:$N$354,3,FALSE))</f>
        <v>6977303667</v>
      </c>
      <c r="O143" s="47"/>
      <c r="P143" s="4" t="s">
        <v>1331</v>
      </c>
      <c r="Q143" s="43" t="str">
        <f>IF(VLOOKUP(P143,βοηθητικό!$J$2:$N$354,3,FALSE)="","",VLOOKUP(P143,βοηθητικό!$J$2:$N$354,3,FALSE))</f>
        <v>6942496492</v>
      </c>
      <c r="R143" s="44"/>
      <c r="S143" s="5" t="s">
        <v>1355</v>
      </c>
      <c r="T143" s="46" t="str">
        <f>IF(VLOOKUP(S143,βοηθητικό!$J$2:$N$354,3,FALSE)="","",VLOOKUP(S143,βοηθητικό!$J$2:$N$354,3,FALSE))</f>
        <v>6985127305</v>
      </c>
      <c r="U143" s="47"/>
      <c r="V143" s="4" t="s">
        <v>1262</v>
      </c>
      <c r="W143" s="43" t="str">
        <f>IF(VLOOKUP(V143,βοηθητικό!$J$2:$N$354,3,FALSE)="","",VLOOKUP(V143,βοηθητικό!$J$2:$N$354,3,FALSE))</f>
        <v>6980996968</v>
      </c>
      <c r="X143" s="44"/>
      <c r="Y143" s="5" t="s">
        <v>1295</v>
      </c>
      <c r="Z143" s="46" t="str">
        <f>IF(VLOOKUP(Y143,βοηθητικό!$J$2:$N$354,3,FALSE)="","",VLOOKUP(Y143,βοηθητικό!$J$2:$N$354,3,FALSE))</f>
        <v>6973559599</v>
      </c>
      <c r="AA143" s="47"/>
      <c r="AB143" s="4" t="s">
        <v>1391</v>
      </c>
      <c r="AC143" s="43" t="str">
        <f>IF(VLOOKUP(AB143,βοηθητικό!$J$2:$N$354,3,FALSE)="","",VLOOKUP(AB143,βοηθητικό!$J$2:$N$354,3,FALSE))</f>
        <v>6977638141</v>
      </c>
      <c r="AD143" s="44"/>
      <c r="AE143" s="5" t="s">
        <v>1399</v>
      </c>
      <c r="AF143" s="46" t="str">
        <f>IF(VLOOKUP(AE143,βοηθητικό!$J$2:$N$354,3,FALSE)="","",VLOOKUP(AE143,βοηθητικό!$J$2:$N$354,3,FALSE))</f>
        <v>6974117272</v>
      </c>
      <c r="AG143" s="47"/>
      <c r="AH143" s="4" t="s">
        <v>1379</v>
      </c>
      <c r="AI143" s="43" t="str">
        <f>IF(VLOOKUP(AH143,βοηθητικό!$J$2:$N$354,3,FALSE)="","",VLOOKUP(AH143,βοηθητικό!$J$2:$N$354,3,FALSE))</f>
        <v>6942448798</v>
      </c>
      <c r="AJ143" s="44"/>
      <c r="AK143" s="5" t="s">
        <v>16</v>
      </c>
      <c r="AL143" s="46" t="str">
        <f>IF(VLOOKUP(AK143,βοηθητικό!$J$2:$N$354,3,FALSE)="","",VLOOKUP(AK143,βοηθητικό!$J$2:$N$354,3,FALSE))</f>
        <v>_</v>
      </c>
      <c r="AM143" s="47"/>
      <c r="AN143" s="4" t="s">
        <v>16</v>
      </c>
      <c r="AO143" s="43" t="str">
        <f>IF(VLOOKUP(AN143,βοηθητικό!$J$2:$N$354,3,FALSE)="","",VLOOKUP(AN143,βοηθητικό!$J$2:$N$354,3,FALSE))</f>
        <v>_</v>
      </c>
      <c r="AP143" s="44"/>
      <c r="AQ143" s="5" t="s">
        <v>16</v>
      </c>
      <c r="AR143" s="46" t="str">
        <f>IF(VLOOKUP(AQ143,βοηθητικό!$J$2:$N$354,3,FALSE)="","",VLOOKUP(AQ143,βοηθητικό!$J$2:$N$354,3,FALSE))</f>
        <v>_</v>
      </c>
      <c r="AS143" s="47"/>
      <c r="AT143" s="4" t="s">
        <v>16</v>
      </c>
      <c r="AU143" s="43" t="str">
        <f>IF(VLOOKUP(AT143,βοηθητικό!$J$2:$N$354,3,FALSE)="","",VLOOKUP(AT143,βοηθητικό!$J$2:$N$354,3,FALSE))</f>
        <v>_</v>
      </c>
      <c r="AV143" s="44"/>
      <c r="AW143" s="5" t="s">
        <v>16</v>
      </c>
      <c r="AX143" s="46" t="str">
        <f>IF(VLOOKUP(AW143,βοηθητικό!$J$2:$N$354,3,FALSE)="","",VLOOKUP(AW143,βοηθητικό!$J$2:$N$354,3,FALSE))</f>
        <v>_</v>
      </c>
      <c r="AY143" s="47"/>
      <c r="AZ143" s="4" t="s">
        <v>16</v>
      </c>
      <c r="BA143" s="43" t="str">
        <f>IF(VLOOKUP(AZ143,βοηθητικό!$J$2:$N$354,3,FALSE)="","",VLOOKUP(AZ143,βοηθητικό!$J$2:$N$354,3,FALSE))</f>
        <v>_</v>
      </c>
      <c r="BB143" s="44"/>
      <c r="BC143" s="45" t="s">
        <v>16</v>
      </c>
      <c r="BD143" s="46" t="str">
        <f>IF(VLOOKUP(BC143,βοηθητικό!$J$2:$N$354,3,FALSE)="","",VLOOKUP(BC143,βοηθητικό!$J$2:$N$354,3,FALSE))</f>
        <v>_</v>
      </c>
      <c r="BE143" s="47"/>
      <c r="BF143" s="42" t="s">
        <v>16</v>
      </c>
      <c r="BG143" s="43" t="str">
        <f>IF(VLOOKUP(BF143,βοηθητικό!$J$2:$N$354,3,FALSE)="","",VLOOKUP(BF143,βοηθητικό!$J$2:$N$354,3,FALSE))</f>
        <v>_</v>
      </c>
      <c r="BH143" s="44"/>
      <c r="BI143" s="45" t="s">
        <v>16</v>
      </c>
      <c r="BJ143" s="46" t="str">
        <f>IF(VLOOKUP(BI143,βοηθητικό!$J$2:$N$354,3,FALSE)="","",VLOOKUP(BI143,βοηθητικό!$J$2:$N$354,3,FALSE))</f>
        <v>_</v>
      </c>
      <c r="BK143" s="47"/>
      <c r="BL143" s="42" t="s">
        <v>16</v>
      </c>
      <c r="BM143" s="43" t="str">
        <f>IF(VLOOKUP(BL143,βοηθητικό!$J$2:$N$354,3,FALSE)="","",VLOOKUP(BL143,βοηθητικό!$J$2:$N$354,3,FALSE))</f>
        <v>_</v>
      </c>
      <c r="BN143" s="44"/>
      <c r="BO143" s="45" t="s">
        <v>16</v>
      </c>
      <c r="BP143" s="46" t="str">
        <f>IF(VLOOKUP(BO143,βοηθητικό!$J$2:$N$354,3,FALSE)="","",VLOOKUP(BO143,βοηθητικό!$J$2:$N$354,3,FALSE))</f>
        <v>_</v>
      </c>
      <c r="BQ143" s="47"/>
      <c r="BR143" s="42" t="s">
        <v>16</v>
      </c>
      <c r="BS143" s="43" t="str">
        <f>IF(VLOOKUP(BR143,βοηθητικό!$J$2:$N$354,3,FALSE)="","",VLOOKUP(BR143,βοηθητικό!$J$2:$N$354,3,FALSE))</f>
        <v>_</v>
      </c>
      <c r="BT143" s="44"/>
      <c r="BU143" s="45" t="s">
        <v>16</v>
      </c>
      <c r="BV143" s="46" t="str">
        <f>IF(VLOOKUP(BU143,βοηθητικό!$J$2:$N$354,3,FALSE)="","",VLOOKUP(BU143,βοηθητικό!$J$2:$N$354,3,FALSE))</f>
        <v>_</v>
      </c>
      <c r="BW143" s="47"/>
      <c r="BX143" s="42" t="s">
        <v>16</v>
      </c>
      <c r="BY143" s="43" t="str">
        <f>IF(VLOOKUP(BX143,βοηθητικό!$J$2:$N$354,3,FALSE)="","",VLOOKUP(BX143,βοηθητικό!$J$2:$N$354,3,FALSE))</f>
        <v>_</v>
      </c>
      <c r="BZ143" s="44"/>
      <c r="CA143" s="45" t="s">
        <v>16</v>
      </c>
      <c r="CB143" s="46" t="str">
        <f>IF(VLOOKUP(CA143,βοηθητικό!$J$2:$N$354,3,FALSE)="","",VLOOKUP(CA143,βοηθητικό!$J$2:$N$354,3,FALSE))</f>
        <v>_</v>
      </c>
      <c r="CC143" s="47"/>
      <c r="CD143" s="42" t="s">
        <v>16</v>
      </c>
      <c r="CE143" s="43" t="str">
        <f>IF(VLOOKUP(CD143,βοηθητικό!$J$2:$N$354,3,FALSE)="","",VLOOKUP(CD143,βοηθητικό!$J$2:$N$354,3,FALSE))</f>
        <v>_</v>
      </c>
      <c r="CF143" s="44"/>
      <c r="CG143" s="45" t="s">
        <v>16</v>
      </c>
      <c r="CH143" s="46" t="str">
        <f>IF(VLOOKUP(CG143,βοηθητικό!$J$2:$N$354,3,FALSE)="","",VLOOKUP(CG143,βοηθητικό!$J$2:$N$354,3,FALSE))</f>
        <v>_</v>
      </c>
      <c r="CI143" s="47"/>
      <c r="CJ143" s="42" t="s">
        <v>16</v>
      </c>
      <c r="CK143" s="43" t="str">
        <f>IF(VLOOKUP(CJ143,βοηθητικό!$J$2:$N$354,3,FALSE)="","",VLOOKUP(CJ143,βοηθητικό!$J$2:$N$354,3,FALSE))</f>
        <v>_</v>
      </c>
      <c r="CL143" s="44"/>
      <c r="CM143" s="45" t="s">
        <v>16</v>
      </c>
      <c r="CN143" s="46" t="str">
        <f>IF(VLOOKUP(CM143,βοηθητικό!$J$2:$N$354,3,FALSE)="","",VLOOKUP(CM143,βοηθητικό!$J$2:$N$354,3,FALSE))</f>
        <v>_</v>
      </c>
      <c r="CO143" s="47"/>
      <c r="CP143" s="42" t="s">
        <v>16</v>
      </c>
      <c r="CQ143" s="43" t="str">
        <f>IF(VLOOKUP(CP143,βοηθητικό!$J$2:$N$354,3,FALSE)="","",VLOOKUP(CP143,βοηθητικό!$J$2:$N$354,3,FALSE))</f>
        <v>_</v>
      </c>
      <c r="CR143" s="44"/>
      <c r="CS143" s="45" t="s">
        <v>16</v>
      </c>
      <c r="CT143" s="46" t="str">
        <f>IF(VLOOKUP(CS143,βοηθητικό!$J$2:$N$354,3,FALSE)="","",VLOOKUP(CS143,βοηθητικό!$J$2:$N$354,3,FALSE))</f>
        <v>_</v>
      </c>
      <c r="CU143" s="47"/>
    </row>
    <row r="144" spans="1:99" x14ac:dyDescent="0.25">
      <c r="A144" s="37">
        <f>--SUBTOTAL(3,$B$3:B143)</f>
        <v>141</v>
      </c>
      <c r="B144" s="2">
        <v>45145</v>
      </c>
      <c r="C144" s="3">
        <v>45151</v>
      </c>
      <c r="D144" s="57" t="s">
        <v>115</v>
      </c>
      <c r="E144" s="38" t="s">
        <v>16</v>
      </c>
      <c r="F144" s="38" t="s">
        <v>16</v>
      </c>
      <c r="G144" s="39" t="str">
        <f t="shared" si="8"/>
        <v>__</v>
      </c>
      <c r="H144" s="40" t="str">
        <f t="shared" si="9"/>
        <v>FALSE</v>
      </c>
      <c r="I144" s="41">
        <f t="shared" si="10"/>
        <v>9</v>
      </c>
      <c r="J144" s="4" t="s">
        <v>1335</v>
      </c>
      <c r="K144" s="43" t="str">
        <f>IF(VLOOKUP(J144,βοηθητικό!$J$2:$N$354,3,FALSE)="","",VLOOKUP(J144,βοηθητικό!$J$2:$N$354,3,FALSE))</f>
        <v>6944757544</v>
      </c>
      <c r="L144" s="44"/>
      <c r="M144" s="5" t="s">
        <v>1287</v>
      </c>
      <c r="N144" s="46" t="str">
        <f>IF(VLOOKUP(M144,βοηθητικό!$J$2:$N$354,3,FALSE)="","",VLOOKUP(M144,βοηθητικό!$J$2:$N$354,3,FALSE))</f>
        <v>6939405094</v>
      </c>
      <c r="O144" s="47"/>
      <c r="P144" s="4" t="s">
        <v>1359</v>
      </c>
      <c r="Q144" s="43" t="str">
        <f>IF(VLOOKUP(P144,βοηθητικό!$J$2:$N$354,3,FALSE)="","",VLOOKUP(P144,βοηθητικό!$J$2:$N$354,3,FALSE))</f>
        <v>6934066535</v>
      </c>
      <c r="R144" s="44"/>
      <c r="S144" s="5" t="s">
        <v>1274</v>
      </c>
      <c r="T144" s="46">
        <f>IF(VLOOKUP(S144,βοηθητικό!$J$2:$N$354,3,FALSE)="","",VLOOKUP(S144,βοηθητικό!$J$2:$N$354,3,FALSE))</f>
        <v>6947007553</v>
      </c>
      <c r="U144" s="47"/>
      <c r="V144" s="4" t="s">
        <v>1383</v>
      </c>
      <c r="W144" s="43" t="str">
        <f>IF(VLOOKUP(V144,βοηθητικό!$J$2:$N$354,3,FALSE)="","",VLOOKUP(V144,βοηθητικό!$J$2:$N$354,3,FALSE))</f>
        <v>6944771437</v>
      </c>
      <c r="X144" s="44"/>
      <c r="Y144" s="5" t="s">
        <v>1276</v>
      </c>
      <c r="Z144" s="46">
        <f>IF(VLOOKUP(Y144,βοηθητικό!$J$2:$N$354,3,FALSE)="","",VLOOKUP(Y144,βοηθητικό!$J$2:$N$354,3,FALSE))</f>
        <v>6936705244</v>
      </c>
      <c r="AA144" s="47"/>
      <c r="AB144" s="4" t="s">
        <v>1291</v>
      </c>
      <c r="AC144" s="43" t="str">
        <f>IF(VLOOKUP(AB144,βοηθητικό!$J$2:$N$354,3,FALSE)="","",VLOOKUP(AB144,βοηθητικό!$J$2:$N$354,3,FALSE))</f>
        <v>6985677805</v>
      </c>
      <c r="AD144" s="44"/>
      <c r="AE144" s="5" t="s">
        <v>1310</v>
      </c>
      <c r="AF144" s="46" t="str">
        <f>IF(VLOOKUP(AE144,βοηθητικό!$J$2:$N$354,3,FALSE)="","",VLOOKUP(AE144,βοηθητικό!$J$2:$N$354,3,FALSE))</f>
        <v>6955003825</v>
      </c>
      <c r="AG144" s="47"/>
      <c r="AH144" s="4" t="s">
        <v>1363</v>
      </c>
      <c r="AI144" s="43" t="str">
        <f>IF(VLOOKUP(AH144,βοηθητικό!$J$2:$N$354,3,FALSE)="","",VLOOKUP(AH144,βοηθητικό!$J$2:$N$354,3,FALSE))</f>
        <v>6949144335 6932257519</v>
      </c>
      <c r="AJ144" s="44"/>
      <c r="AK144" s="5" t="s">
        <v>16</v>
      </c>
      <c r="AL144" s="46" t="str">
        <f>IF(VLOOKUP(AK144,βοηθητικό!$J$2:$N$354,3,FALSE)="","",VLOOKUP(AK144,βοηθητικό!$J$2:$N$354,3,FALSE))</f>
        <v>_</v>
      </c>
      <c r="AM144" s="47"/>
      <c r="AN144" s="4" t="s">
        <v>16</v>
      </c>
      <c r="AO144" s="43" t="str">
        <f>IF(VLOOKUP(AN144,βοηθητικό!$J$2:$N$354,3,FALSE)="","",VLOOKUP(AN144,βοηθητικό!$J$2:$N$354,3,FALSE))</f>
        <v>_</v>
      </c>
      <c r="AP144" s="44"/>
      <c r="AQ144" s="5" t="s">
        <v>16</v>
      </c>
      <c r="AR144" s="46" t="str">
        <f>IF(VLOOKUP(AQ144,βοηθητικό!$J$2:$N$354,3,FALSE)="","",VLOOKUP(AQ144,βοηθητικό!$J$2:$N$354,3,FALSE))</f>
        <v>_</v>
      </c>
      <c r="AS144" s="47"/>
      <c r="AT144" s="4" t="s">
        <v>16</v>
      </c>
      <c r="AU144" s="43" t="str">
        <f>IF(VLOOKUP(AT144,βοηθητικό!$J$2:$N$354,3,FALSE)="","",VLOOKUP(AT144,βοηθητικό!$J$2:$N$354,3,FALSE))</f>
        <v>_</v>
      </c>
      <c r="AV144" s="44"/>
      <c r="AW144" s="5" t="s">
        <v>16</v>
      </c>
      <c r="AX144" s="46" t="str">
        <f>IF(VLOOKUP(AW144,βοηθητικό!$J$2:$N$354,3,FALSE)="","",VLOOKUP(AW144,βοηθητικό!$J$2:$N$354,3,FALSE))</f>
        <v>_</v>
      </c>
      <c r="AY144" s="47"/>
      <c r="AZ144" s="4" t="s">
        <v>16</v>
      </c>
      <c r="BA144" s="43" t="str">
        <f>IF(VLOOKUP(AZ144,βοηθητικό!$J$2:$N$354,3,FALSE)="","",VLOOKUP(AZ144,βοηθητικό!$J$2:$N$354,3,FALSE))</f>
        <v>_</v>
      </c>
      <c r="BB144" s="44"/>
      <c r="BC144" s="45" t="s">
        <v>16</v>
      </c>
      <c r="BD144" s="46" t="str">
        <f>IF(VLOOKUP(BC144,βοηθητικό!$J$2:$N$354,3,FALSE)="","",VLOOKUP(BC144,βοηθητικό!$J$2:$N$354,3,FALSE))</f>
        <v>_</v>
      </c>
      <c r="BE144" s="47"/>
      <c r="BF144" s="42" t="s">
        <v>16</v>
      </c>
      <c r="BG144" s="43" t="str">
        <f>IF(VLOOKUP(BF144,βοηθητικό!$J$2:$N$354,3,FALSE)="","",VLOOKUP(BF144,βοηθητικό!$J$2:$N$354,3,FALSE))</f>
        <v>_</v>
      </c>
      <c r="BH144" s="44"/>
      <c r="BI144" s="45" t="s">
        <v>16</v>
      </c>
      <c r="BJ144" s="46" t="str">
        <f>IF(VLOOKUP(BI144,βοηθητικό!$J$2:$N$354,3,FALSE)="","",VLOOKUP(BI144,βοηθητικό!$J$2:$N$354,3,FALSE))</f>
        <v>_</v>
      </c>
      <c r="BK144" s="47"/>
      <c r="BL144" s="42" t="s">
        <v>16</v>
      </c>
      <c r="BM144" s="43" t="str">
        <f>IF(VLOOKUP(BL144,βοηθητικό!$J$2:$N$354,3,FALSE)="","",VLOOKUP(BL144,βοηθητικό!$J$2:$N$354,3,FALSE))</f>
        <v>_</v>
      </c>
      <c r="BN144" s="44"/>
      <c r="BO144" s="45" t="s">
        <v>16</v>
      </c>
      <c r="BP144" s="46" t="str">
        <f>IF(VLOOKUP(BO144,βοηθητικό!$J$2:$N$354,3,FALSE)="","",VLOOKUP(BO144,βοηθητικό!$J$2:$N$354,3,FALSE))</f>
        <v>_</v>
      </c>
      <c r="BQ144" s="47"/>
      <c r="BR144" s="42" t="s">
        <v>16</v>
      </c>
      <c r="BS144" s="43" t="str">
        <f>IF(VLOOKUP(BR144,βοηθητικό!$J$2:$N$354,3,FALSE)="","",VLOOKUP(BR144,βοηθητικό!$J$2:$N$354,3,FALSE))</f>
        <v>_</v>
      </c>
      <c r="BT144" s="44"/>
      <c r="BU144" s="45" t="s">
        <v>16</v>
      </c>
      <c r="BV144" s="46" t="str">
        <f>IF(VLOOKUP(BU144,βοηθητικό!$J$2:$N$354,3,FALSE)="","",VLOOKUP(BU144,βοηθητικό!$J$2:$N$354,3,FALSE))</f>
        <v>_</v>
      </c>
      <c r="BW144" s="47"/>
      <c r="BX144" s="42" t="s">
        <v>16</v>
      </c>
      <c r="BY144" s="43" t="str">
        <f>IF(VLOOKUP(BX144,βοηθητικό!$J$2:$N$354,3,FALSE)="","",VLOOKUP(BX144,βοηθητικό!$J$2:$N$354,3,FALSE))</f>
        <v>_</v>
      </c>
      <c r="BZ144" s="44"/>
      <c r="CA144" s="45" t="s">
        <v>16</v>
      </c>
      <c r="CB144" s="46" t="str">
        <f>IF(VLOOKUP(CA144,βοηθητικό!$J$2:$N$354,3,FALSE)="","",VLOOKUP(CA144,βοηθητικό!$J$2:$N$354,3,FALSE))</f>
        <v>_</v>
      </c>
      <c r="CC144" s="47"/>
      <c r="CD144" s="42" t="s">
        <v>16</v>
      </c>
      <c r="CE144" s="43" t="str">
        <f>IF(VLOOKUP(CD144,βοηθητικό!$J$2:$N$354,3,FALSE)="","",VLOOKUP(CD144,βοηθητικό!$J$2:$N$354,3,FALSE))</f>
        <v>_</v>
      </c>
      <c r="CF144" s="44"/>
      <c r="CG144" s="45" t="s">
        <v>16</v>
      </c>
      <c r="CH144" s="46" t="str">
        <f>IF(VLOOKUP(CG144,βοηθητικό!$J$2:$N$354,3,FALSE)="","",VLOOKUP(CG144,βοηθητικό!$J$2:$N$354,3,FALSE))</f>
        <v>_</v>
      </c>
      <c r="CI144" s="47"/>
      <c r="CJ144" s="42" t="s">
        <v>16</v>
      </c>
      <c r="CK144" s="43" t="str">
        <f>IF(VLOOKUP(CJ144,βοηθητικό!$J$2:$N$354,3,FALSE)="","",VLOOKUP(CJ144,βοηθητικό!$J$2:$N$354,3,FALSE))</f>
        <v>_</v>
      </c>
      <c r="CL144" s="44"/>
      <c r="CM144" s="45" t="s">
        <v>16</v>
      </c>
      <c r="CN144" s="46" t="str">
        <f>IF(VLOOKUP(CM144,βοηθητικό!$J$2:$N$354,3,FALSE)="","",VLOOKUP(CM144,βοηθητικό!$J$2:$N$354,3,FALSE))</f>
        <v>_</v>
      </c>
      <c r="CO144" s="47"/>
      <c r="CP144" s="42" t="s">
        <v>16</v>
      </c>
      <c r="CQ144" s="43" t="str">
        <f>IF(VLOOKUP(CP144,βοηθητικό!$J$2:$N$354,3,FALSE)="","",VLOOKUP(CP144,βοηθητικό!$J$2:$N$354,3,FALSE))</f>
        <v>_</v>
      </c>
      <c r="CR144" s="44"/>
      <c r="CS144" s="45" t="s">
        <v>16</v>
      </c>
      <c r="CT144" s="46" t="str">
        <f>IF(VLOOKUP(CS144,βοηθητικό!$J$2:$N$354,3,FALSE)="","",VLOOKUP(CS144,βοηθητικό!$J$2:$N$354,3,FALSE))</f>
        <v>_</v>
      </c>
      <c r="CU144" s="47"/>
    </row>
    <row r="145" spans="1:99" x14ac:dyDescent="0.25">
      <c r="A145" s="37">
        <f>--SUBTOTAL(3,$B$3:B144)</f>
        <v>142</v>
      </c>
      <c r="B145" s="2">
        <v>45152</v>
      </c>
      <c r="C145" s="3">
        <v>45158</v>
      </c>
      <c r="D145" s="57" t="s">
        <v>115</v>
      </c>
      <c r="E145" s="38" t="s">
        <v>16</v>
      </c>
      <c r="F145" s="38" t="s">
        <v>16</v>
      </c>
      <c r="G145" s="39" t="str">
        <f t="shared" si="8"/>
        <v>__</v>
      </c>
      <c r="H145" s="40" t="str">
        <f t="shared" si="9"/>
        <v>FALSE</v>
      </c>
      <c r="I145" s="41">
        <f t="shared" si="10"/>
        <v>8</v>
      </c>
      <c r="J145" s="4" t="s">
        <v>1302</v>
      </c>
      <c r="K145" s="43" t="str">
        <f>IF(VLOOKUP(J145,βοηθητικό!$J$2:$N$354,3,FALSE)="","",VLOOKUP(J145,βοηθητικό!$J$2:$N$354,3,FALSE))</f>
        <v>6984576537</v>
      </c>
      <c r="L145" s="44"/>
      <c r="M145" s="5" t="s">
        <v>1395</v>
      </c>
      <c r="N145" s="46" t="str">
        <f>IF(VLOOKUP(M145,βοηθητικό!$J$2:$N$354,3,FALSE)="","",VLOOKUP(M145,βοηθητικό!$J$2:$N$354,3,FALSE))</f>
        <v>6994789972</v>
      </c>
      <c r="O145" s="47"/>
      <c r="P145" s="4" t="s">
        <v>1371</v>
      </c>
      <c r="Q145" s="43" t="str">
        <f>IF(VLOOKUP(P145,βοηθητικό!$J$2:$N$354,3,FALSE)="","",VLOOKUP(P145,βοηθητικό!$J$2:$N$354,3,FALSE))</f>
        <v>6977413847</v>
      </c>
      <c r="R145" s="44"/>
      <c r="S145" s="5" t="s">
        <v>1306</v>
      </c>
      <c r="T145" s="46" t="str">
        <f>IF(VLOOKUP(S145,βοηθητικό!$J$2:$N$354,3,FALSE)="","",VLOOKUP(S145,βοηθητικό!$J$2:$N$354,3,FALSE))</f>
        <v>6932637784</v>
      </c>
      <c r="U145" s="47"/>
      <c r="V145" s="4" t="s">
        <v>1387</v>
      </c>
      <c r="W145" s="43" t="str">
        <f>IF(VLOOKUP(V145,βοηθητικό!$J$2:$N$354,3,FALSE)="","",VLOOKUP(V145,βοηθητικό!$J$2:$N$354,3,FALSE))</f>
        <v>6955110793</v>
      </c>
      <c r="X145" s="44"/>
      <c r="Y145" s="5" t="s">
        <v>1283</v>
      </c>
      <c r="Z145" s="46" t="str">
        <f>IF(VLOOKUP(Y145,βοηθητικό!$J$2:$N$354,3,FALSE)="","",VLOOKUP(Y145,βοηθητικό!$J$2:$N$354,3,FALSE))</f>
        <v>6939327305</v>
      </c>
      <c r="AA145" s="47"/>
      <c r="AB145" s="4" t="s">
        <v>1299</v>
      </c>
      <c r="AC145" s="43">
        <f>IF(VLOOKUP(AB145,βοηθητικό!$J$2:$N$354,3,FALSE)="","",VLOOKUP(AB145,βοηθητικό!$J$2:$N$354,3,FALSE))</f>
        <v>6948330665</v>
      </c>
      <c r="AD145" s="44"/>
      <c r="AE145" s="5" t="s">
        <v>1339</v>
      </c>
      <c r="AF145" s="46" t="str">
        <f>IF(VLOOKUP(AE145,βοηθητικό!$J$2:$N$354,3,FALSE)="","",VLOOKUP(AE145,βοηθητικό!$J$2:$N$354,3,FALSE))</f>
        <v>6936582412</v>
      </c>
      <c r="AG145" s="47"/>
      <c r="AH145" s="4" t="s">
        <v>16</v>
      </c>
      <c r="AI145" s="43" t="str">
        <f>IF(VLOOKUP(AH145,βοηθητικό!$J$2:$N$354,3,FALSE)="","",VLOOKUP(AH145,βοηθητικό!$J$2:$N$354,3,FALSE))</f>
        <v>_</v>
      </c>
      <c r="AJ145" s="44"/>
      <c r="AK145" s="5" t="s">
        <v>16</v>
      </c>
      <c r="AL145" s="46" t="str">
        <f>IF(VLOOKUP(AK145,βοηθητικό!$J$2:$N$354,3,FALSE)="","",VLOOKUP(AK145,βοηθητικό!$J$2:$N$354,3,FALSE))</f>
        <v>_</v>
      </c>
      <c r="AM145" s="47"/>
      <c r="AN145" s="4" t="s">
        <v>16</v>
      </c>
      <c r="AO145" s="43" t="str">
        <f>IF(VLOOKUP(AN145,βοηθητικό!$J$2:$N$354,3,FALSE)="","",VLOOKUP(AN145,βοηθητικό!$J$2:$N$354,3,FALSE))</f>
        <v>_</v>
      </c>
      <c r="AP145" s="44"/>
      <c r="AQ145" s="5" t="s">
        <v>16</v>
      </c>
      <c r="AR145" s="46" t="str">
        <f>IF(VLOOKUP(AQ145,βοηθητικό!$J$2:$N$354,3,FALSE)="","",VLOOKUP(AQ145,βοηθητικό!$J$2:$N$354,3,FALSE))</f>
        <v>_</v>
      </c>
      <c r="AS145" s="47"/>
      <c r="AT145" s="4" t="s">
        <v>16</v>
      </c>
      <c r="AU145" s="43" t="str">
        <f>IF(VLOOKUP(AT145,βοηθητικό!$J$2:$N$354,3,FALSE)="","",VLOOKUP(AT145,βοηθητικό!$J$2:$N$354,3,FALSE))</f>
        <v>_</v>
      </c>
      <c r="AV145" s="44"/>
      <c r="AW145" s="5" t="s">
        <v>16</v>
      </c>
      <c r="AX145" s="46" t="str">
        <f>IF(VLOOKUP(AW145,βοηθητικό!$J$2:$N$354,3,FALSE)="","",VLOOKUP(AW145,βοηθητικό!$J$2:$N$354,3,FALSE))</f>
        <v>_</v>
      </c>
      <c r="AY145" s="47"/>
      <c r="AZ145" s="4" t="s">
        <v>16</v>
      </c>
      <c r="BA145" s="43" t="str">
        <f>IF(VLOOKUP(AZ145,βοηθητικό!$J$2:$N$354,3,FALSE)="","",VLOOKUP(AZ145,βοηθητικό!$J$2:$N$354,3,FALSE))</f>
        <v>_</v>
      </c>
      <c r="BB145" s="44"/>
      <c r="BC145" s="45" t="s">
        <v>16</v>
      </c>
      <c r="BD145" s="46" t="str">
        <f>IF(VLOOKUP(BC145,βοηθητικό!$J$2:$N$354,3,FALSE)="","",VLOOKUP(BC145,βοηθητικό!$J$2:$N$354,3,FALSE))</f>
        <v>_</v>
      </c>
      <c r="BE145" s="47"/>
      <c r="BF145" s="42" t="s">
        <v>16</v>
      </c>
      <c r="BG145" s="43" t="str">
        <f>IF(VLOOKUP(BF145,βοηθητικό!$J$2:$N$354,3,FALSE)="","",VLOOKUP(BF145,βοηθητικό!$J$2:$N$354,3,FALSE))</f>
        <v>_</v>
      </c>
      <c r="BH145" s="44"/>
      <c r="BI145" s="45" t="s">
        <v>16</v>
      </c>
      <c r="BJ145" s="46" t="str">
        <f>IF(VLOOKUP(BI145,βοηθητικό!$J$2:$N$354,3,FALSE)="","",VLOOKUP(BI145,βοηθητικό!$J$2:$N$354,3,FALSE))</f>
        <v>_</v>
      </c>
      <c r="BK145" s="47"/>
      <c r="BL145" s="42" t="s">
        <v>16</v>
      </c>
      <c r="BM145" s="43" t="str">
        <f>IF(VLOOKUP(BL145,βοηθητικό!$J$2:$N$354,3,FALSE)="","",VLOOKUP(BL145,βοηθητικό!$J$2:$N$354,3,FALSE))</f>
        <v>_</v>
      </c>
      <c r="BN145" s="44"/>
      <c r="BO145" s="45" t="s">
        <v>16</v>
      </c>
      <c r="BP145" s="46" t="str">
        <f>IF(VLOOKUP(BO145,βοηθητικό!$J$2:$N$354,3,FALSE)="","",VLOOKUP(BO145,βοηθητικό!$J$2:$N$354,3,FALSE))</f>
        <v>_</v>
      </c>
      <c r="BQ145" s="47"/>
      <c r="BR145" s="42" t="s">
        <v>16</v>
      </c>
      <c r="BS145" s="43" t="str">
        <f>IF(VLOOKUP(BR145,βοηθητικό!$J$2:$N$354,3,FALSE)="","",VLOOKUP(BR145,βοηθητικό!$J$2:$N$354,3,FALSE))</f>
        <v>_</v>
      </c>
      <c r="BT145" s="44"/>
      <c r="BU145" s="45" t="s">
        <v>16</v>
      </c>
      <c r="BV145" s="46" t="str">
        <f>IF(VLOOKUP(BU145,βοηθητικό!$J$2:$N$354,3,FALSE)="","",VLOOKUP(BU145,βοηθητικό!$J$2:$N$354,3,FALSE))</f>
        <v>_</v>
      </c>
      <c r="BW145" s="47"/>
      <c r="BX145" s="42" t="s">
        <v>16</v>
      </c>
      <c r="BY145" s="43" t="str">
        <f>IF(VLOOKUP(BX145,βοηθητικό!$J$2:$N$354,3,FALSE)="","",VLOOKUP(BX145,βοηθητικό!$J$2:$N$354,3,FALSE))</f>
        <v>_</v>
      </c>
      <c r="BZ145" s="44"/>
      <c r="CA145" s="45" t="s">
        <v>16</v>
      </c>
      <c r="CB145" s="46" t="str">
        <f>IF(VLOOKUP(CA145,βοηθητικό!$J$2:$N$354,3,FALSE)="","",VLOOKUP(CA145,βοηθητικό!$J$2:$N$354,3,FALSE))</f>
        <v>_</v>
      </c>
      <c r="CC145" s="47"/>
      <c r="CD145" s="42" t="s">
        <v>16</v>
      </c>
      <c r="CE145" s="43" t="str">
        <f>IF(VLOOKUP(CD145,βοηθητικό!$J$2:$N$354,3,FALSE)="","",VLOOKUP(CD145,βοηθητικό!$J$2:$N$354,3,FALSE))</f>
        <v>_</v>
      </c>
      <c r="CF145" s="44"/>
      <c r="CG145" s="45" t="s">
        <v>16</v>
      </c>
      <c r="CH145" s="46" t="str">
        <f>IF(VLOOKUP(CG145,βοηθητικό!$J$2:$N$354,3,FALSE)="","",VLOOKUP(CG145,βοηθητικό!$J$2:$N$354,3,FALSE))</f>
        <v>_</v>
      </c>
      <c r="CI145" s="47"/>
      <c r="CJ145" s="42" t="s">
        <v>16</v>
      </c>
      <c r="CK145" s="43" t="str">
        <f>IF(VLOOKUP(CJ145,βοηθητικό!$J$2:$N$354,3,FALSE)="","",VLOOKUP(CJ145,βοηθητικό!$J$2:$N$354,3,FALSE))</f>
        <v>_</v>
      </c>
      <c r="CL145" s="44"/>
      <c r="CM145" s="45" t="s">
        <v>16</v>
      </c>
      <c r="CN145" s="46" t="str">
        <f>IF(VLOOKUP(CM145,βοηθητικό!$J$2:$N$354,3,FALSE)="","",VLOOKUP(CM145,βοηθητικό!$J$2:$N$354,3,FALSE))</f>
        <v>_</v>
      </c>
      <c r="CO145" s="47"/>
      <c r="CP145" s="42" t="s">
        <v>16</v>
      </c>
      <c r="CQ145" s="43" t="str">
        <f>IF(VLOOKUP(CP145,βοηθητικό!$J$2:$N$354,3,FALSE)="","",VLOOKUP(CP145,βοηθητικό!$J$2:$N$354,3,FALSE))</f>
        <v>_</v>
      </c>
      <c r="CR145" s="44"/>
      <c r="CS145" s="45" t="s">
        <v>16</v>
      </c>
      <c r="CT145" s="46" t="str">
        <f>IF(VLOOKUP(CS145,βοηθητικό!$J$2:$N$354,3,FALSE)="","",VLOOKUP(CS145,βοηθητικό!$J$2:$N$354,3,FALSE))</f>
        <v>_</v>
      </c>
      <c r="CU145" s="47"/>
    </row>
    <row r="146" spans="1:99" x14ac:dyDescent="0.25">
      <c r="A146" s="37">
        <f>--SUBTOTAL(3,$B$3:B145)</f>
        <v>143</v>
      </c>
      <c r="B146" s="2">
        <v>45159</v>
      </c>
      <c r="C146" s="3">
        <v>45165</v>
      </c>
      <c r="D146" s="57" t="s">
        <v>115</v>
      </c>
      <c r="E146" s="38" t="s">
        <v>16</v>
      </c>
      <c r="F146" s="38" t="s">
        <v>16</v>
      </c>
      <c r="G146" s="39" t="str">
        <f t="shared" si="8"/>
        <v>__</v>
      </c>
      <c r="H146" s="40" t="str">
        <f t="shared" si="9"/>
        <v>FALSE</v>
      </c>
      <c r="I146" s="41">
        <f t="shared" si="10"/>
        <v>9</v>
      </c>
      <c r="J146" s="4" t="s">
        <v>1279</v>
      </c>
      <c r="K146" s="43" t="str">
        <f>IF(VLOOKUP(J146,βοηθητικό!$J$2:$N$354,3,FALSE)="","",VLOOKUP(J146,βοηθητικό!$J$2:$N$354,3,FALSE))</f>
        <v>6972820547</v>
      </c>
      <c r="L146" s="44"/>
      <c r="M146" s="5" t="s">
        <v>1351</v>
      </c>
      <c r="N146" s="46" t="str">
        <f>IF(VLOOKUP(M146,βοηθητικό!$J$2:$N$354,3,FALSE)="","",VLOOKUP(M146,βοηθητικό!$J$2:$N$354,3,FALSE))</f>
        <v>6974072869</v>
      </c>
      <c r="O146" s="47"/>
      <c r="P146" s="4" t="s">
        <v>1270</v>
      </c>
      <c r="Q146" s="43" t="str">
        <f>IF(VLOOKUP(P146,βοηθητικό!$J$2:$N$354,3,FALSE)="","",VLOOKUP(P146,βοηθητικό!$J$2:$N$354,3,FALSE))</f>
        <v>6970320059</v>
      </c>
      <c r="R146" s="44"/>
      <c r="S146" s="5" t="s">
        <v>1403</v>
      </c>
      <c r="T146" s="46" t="str">
        <f>IF(VLOOKUP(S146,βοηθητικό!$J$2:$N$354,3,FALSE)="","",VLOOKUP(S146,βοηθητικό!$J$2:$N$354,3,FALSE))</f>
        <v>6936631245</v>
      </c>
      <c r="U146" s="47"/>
      <c r="V146" s="4" t="s">
        <v>1326</v>
      </c>
      <c r="W146" s="43" t="str">
        <f>IF(VLOOKUP(V146,βοηθητικό!$J$2:$N$354,3,FALSE)="","",VLOOKUP(V146,βοηθητικό!$J$2:$N$354,3,FALSE))</f>
        <v>6944050931</v>
      </c>
      <c r="X146" s="44"/>
      <c r="Y146" s="5" t="s">
        <v>1258</v>
      </c>
      <c r="Z146" s="46" t="str">
        <f>IF(VLOOKUP(Y146,βοηθητικό!$J$2:$N$354,3,FALSE)="","",VLOOKUP(Y146,βοηθητικό!$J$2:$N$354,3,FALSE))</f>
        <v>6972087747</v>
      </c>
      <c r="AA146" s="47"/>
      <c r="AB146" s="4" t="s">
        <v>1343</v>
      </c>
      <c r="AC146" s="43" t="str">
        <f>IF(VLOOKUP(AB146,βοηθητικό!$J$2:$N$354,3,FALSE)="","",VLOOKUP(AB146,βοηθητικό!$J$2:$N$354,3,FALSE))</f>
        <v>6976140354</v>
      </c>
      <c r="AD146" s="44"/>
      <c r="AE146" s="5" t="s">
        <v>1318</v>
      </c>
      <c r="AF146" s="46" t="str">
        <f>IF(VLOOKUP(AE146,βοηθητικό!$J$2:$N$354,3,FALSE)="","",VLOOKUP(AE146,βοηθητικό!$J$2:$N$354,3,FALSE))</f>
        <v>6977421366</v>
      </c>
      <c r="AG146" s="47"/>
      <c r="AH146" s="4" t="s">
        <v>1267</v>
      </c>
      <c r="AI146" s="43">
        <f>IF(VLOOKUP(AH146,βοηθητικό!$J$2:$N$354,3,FALSE)="","",VLOOKUP(AH146,βοηθητικό!$J$2:$N$354,3,FALSE))</f>
        <v>6978300669</v>
      </c>
      <c r="AJ146" s="44"/>
      <c r="AK146" s="5" t="s">
        <v>16</v>
      </c>
      <c r="AL146" s="46" t="str">
        <f>IF(VLOOKUP(AK146,βοηθητικό!$J$2:$N$354,3,FALSE)="","",VLOOKUP(AK146,βοηθητικό!$J$2:$N$354,3,FALSE))</f>
        <v>_</v>
      </c>
      <c r="AM146" s="47"/>
      <c r="AN146" s="4" t="s">
        <v>16</v>
      </c>
      <c r="AO146" s="43" t="str">
        <f>IF(VLOOKUP(AN146,βοηθητικό!$J$2:$N$354,3,FALSE)="","",VLOOKUP(AN146,βοηθητικό!$J$2:$N$354,3,FALSE))</f>
        <v>_</v>
      </c>
      <c r="AP146" s="44"/>
      <c r="AQ146" s="5" t="s">
        <v>16</v>
      </c>
      <c r="AR146" s="46" t="str">
        <f>IF(VLOOKUP(AQ146,βοηθητικό!$J$2:$N$354,3,FALSE)="","",VLOOKUP(AQ146,βοηθητικό!$J$2:$N$354,3,FALSE))</f>
        <v>_</v>
      </c>
      <c r="AS146" s="47"/>
      <c r="AT146" s="4" t="s">
        <v>16</v>
      </c>
      <c r="AU146" s="43" t="str">
        <f>IF(VLOOKUP(AT146,βοηθητικό!$J$2:$N$354,3,FALSE)="","",VLOOKUP(AT146,βοηθητικό!$J$2:$N$354,3,FALSE))</f>
        <v>_</v>
      </c>
      <c r="AV146" s="44"/>
      <c r="AW146" s="5" t="s">
        <v>16</v>
      </c>
      <c r="AX146" s="46" t="str">
        <f>IF(VLOOKUP(AW146,βοηθητικό!$J$2:$N$354,3,FALSE)="","",VLOOKUP(AW146,βοηθητικό!$J$2:$N$354,3,FALSE))</f>
        <v>_</v>
      </c>
      <c r="AY146" s="47"/>
      <c r="AZ146" s="4" t="s">
        <v>16</v>
      </c>
      <c r="BA146" s="43" t="str">
        <f>IF(VLOOKUP(AZ146,βοηθητικό!$J$2:$N$354,3,FALSE)="","",VLOOKUP(AZ146,βοηθητικό!$J$2:$N$354,3,FALSE))</f>
        <v>_</v>
      </c>
      <c r="BB146" s="44"/>
      <c r="BC146" s="45" t="s">
        <v>16</v>
      </c>
      <c r="BD146" s="46" t="str">
        <f>IF(VLOOKUP(BC146,βοηθητικό!$J$2:$N$354,3,FALSE)="","",VLOOKUP(BC146,βοηθητικό!$J$2:$N$354,3,FALSE))</f>
        <v>_</v>
      </c>
      <c r="BE146" s="47"/>
      <c r="BF146" s="42" t="s">
        <v>16</v>
      </c>
      <c r="BG146" s="43" t="str">
        <f>IF(VLOOKUP(BF146,βοηθητικό!$J$2:$N$354,3,FALSE)="","",VLOOKUP(BF146,βοηθητικό!$J$2:$N$354,3,FALSE))</f>
        <v>_</v>
      </c>
      <c r="BH146" s="44"/>
      <c r="BI146" s="45" t="s">
        <v>16</v>
      </c>
      <c r="BJ146" s="46" t="str">
        <f>IF(VLOOKUP(BI146,βοηθητικό!$J$2:$N$354,3,FALSE)="","",VLOOKUP(BI146,βοηθητικό!$J$2:$N$354,3,FALSE))</f>
        <v>_</v>
      </c>
      <c r="BK146" s="47"/>
      <c r="BL146" s="42" t="s">
        <v>16</v>
      </c>
      <c r="BM146" s="43" t="str">
        <f>IF(VLOOKUP(BL146,βοηθητικό!$J$2:$N$354,3,FALSE)="","",VLOOKUP(BL146,βοηθητικό!$J$2:$N$354,3,FALSE))</f>
        <v>_</v>
      </c>
      <c r="BN146" s="44"/>
      <c r="BO146" s="45" t="s">
        <v>16</v>
      </c>
      <c r="BP146" s="46" t="str">
        <f>IF(VLOOKUP(BO146,βοηθητικό!$J$2:$N$354,3,FALSE)="","",VLOOKUP(BO146,βοηθητικό!$J$2:$N$354,3,FALSE))</f>
        <v>_</v>
      </c>
      <c r="BQ146" s="47"/>
      <c r="BR146" s="42" t="s">
        <v>16</v>
      </c>
      <c r="BS146" s="43" t="str">
        <f>IF(VLOOKUP(BR146,βοηθητικό!$J$2:$N$354,3,FALSE)="","",VLOOKUP(BR146,βοηθητικό!$J$2:$N$354,3,FALSE))</f>
        <v>_</v>
      </c>
      <c r="BT146" s="44"/>
      <c r="BU146" s="45" t="s">
        <v>16</v>
      </c>
      <c r="BV146" s="46" t="str">
        <f>IF(VLOOKUP(BU146,βοηθητικό!$J$2:$N$354,3,FALSE)="","",VLOOKUP(BU146,βοηθητικό!$J$2:$N$354,3,FALSE))</f>
        <v>_</v>
      </c>
      <c r="BW146" s="47"/>
      <c r="BX146" s="42" t="s">
        <v>16</v>
      </c>
      <c r="BY146" s="43" t="str">
        <f>IF(VLOOKUP(BX146,βοηθητικό!$J$2:$N$354,3,FALSE)="","",VLOOKUP(BX146,βοηθητικό!$J$2:$N$354,3,FALSE))</f>
        <v>_</v>
      </c>
      <c r="BZ146" s="44"/>
      <c r="CA146" s="45" t="s">
        <v>16</v>
      </c>
      <c r="CB146" s="46" t="str">
        <f>IF(VLOOKUP(CA146,βοηθητικό!$J$2:$N$354,3,FALSE)="","",VLOOKUP(CA146,βοηθητικό!$J$2:$N$354,3,FALSE))</f>
        <v>_</v>
      </c>
      <c r="CC146" s="47"/>
      <c r="CD146" s="42" t="s">
        <v>16</v>
      </c>
      <c r="CE146" s="43" t="str">
        <f>IF(VLOOKUP(CD146,βοηθητικό!$J$2:$N$354,3,FALSE)="","",VLOOKUP(CD146,βοηθητικό!$J$2:$N$354,3,FALSE))</f>
        <v>_</v>
      </c>
      <c r="CF146" s="44"/>
      <c r="CG146" s="45" t="s">
        <v>16</v>
      </c>
      <c r="CH146" s="46" t="str">
        <f>IF(VLOOKUP(CG146,βοηθητικό!$J$2:$N$354,3,FALSE)="","",VLOOKUP(CG146,βοηθητικό!$J$2:$N$354,3,FALSE))</f>
        <v>_</v>
      </c>
      <c r="CI146" s="47"/>
      <c r="CJ146" s="42" t="s">
        <v>16</v>
      </c>
      <c r="CK146" s="43" t="str">
        <f>IF(VLOOKUP(CJ146,βοηθητικό!$J$2:$N$354,3,FALSE)="","",VLOOKUP(CJ146,βοηθητικό!$J$2:$N$354,3,FALSE))</f>
        <v>_</v>
      </c>
      <c r="CL146" s="44"/>
      <c r="CM146" s="45" t="s">
        <v>16</v>
      </c>
      <c r="CN146" s="46" t="str">
        <f>IF(VLOOKUP(CM146,βοηθητικό!$J$2:$N$354,3,FALSE)="","",VLOOKUP(CM146,βοηθητικό!$J$2:$N$354,3,FALSE))</f>
        <v>_</v>
      </c>
      <c r="CO146" s="47"/>
      <c r="CP146" s="42" t="s">
        <v>16</v>
      </c>
      <c r="CQ146" s="43" t="str">
        <f>IF(VLOOKUP(CP146,βοηθητικό!$J$2:$N$354,3,FALSE)="","",VLOOKUP(CP146,βοηθητικό!$J$2:$N$354,3,FALSE))</f>
        <v>_</v>
      </c>
      <c r="CR146" s="44"/>
      <c r="CS146" s="45" t="s">
        <v>16</v>
      </c>
      <c r="CT146" s="46" t="str">
        <f>IF(VLOOKUP(CS146,βοηθητικό!$J$2:$N$354,3,FALSE)="","",VLOOKUP(CS146,βοηθητικό!$J$2:$N$354,3,FALSE))</f>
        <v>_</v>
      </c>
      <c r="CU146" s="47"/>
    </row>
    <row r="147" spans="1:99" x14ac:dyDescent="0.25">
      <c r="A147" s="37">
        <f>--SUBTOTAL(3,$B$3:B146)</f>
        <v>144</v>
      </c>
      <c r="B147" s="2">
        <v>45138</v>
      </c>
      <c r="C147" s="3">
        <v>45144</v>
      </c>
      <c r="D147" s="58" t="s">
        <v>127</v>
      </c>
      <c r="E147" s="38" t="s">
        <v>16</v>
      </c>
      <c r="F147" s="38" t="s">
        <v>16</v>
      </c>
      <c r="G147" s="39" t="str">
        <f t="shared" si="8"/>
        <v>__</v>
      </c>
      <c r="H147" s="40" t="str">
        <f t="shared" si="9"/>
        <v>FALSE</v>
      </c>
      <c r="I147" s="41">
        <f t="shared" si="10"/>
        <v>7</v>
      </c>
      <c r="J147" s="4" t="s">
        <v>1467</v>
      </c>
      <c r="K147" s="43" t="str">
        <f>IF(VLOOKUP(J147,βοηθητικό!$J$2:$N$354,3,FALSE)="","",VLOOKUP(J147,βοηθητικό!$J$2:$N$354,3,FALSE))</f>
        <v>6945897445</v>
      </c>
      <c r="L147" s="44"/>
      <c r="M147" s="5" t="s">
        <v>1443</v>
      </c>
      <c r="N147" s="46" t="str">
        <f>IF(VLOOKUP(M147,βοηθητικό!$J$2:$N$354,3,FALSE)="","",VLOOKUP(M147,βοηθητικό!$J$2:$N$354,3,FALSE))</f>
        <v>6947937446</v>
      </c>
      <c r="O147" s="47"/>
      <c r="P147" s="4" t="s">
        <v>1434</v>
      </c>
      <c r="Q147" s="43" t="str">
        <f>IF(VLOOKUP(P147,βοηθητικό!$J$2:$N$354,3,FALSE)="","",VLOOKUP(P147,βοηθητικό!$J$2:$N$354,3,FALSE))</f>
        <v>6977995010</v>
      </c>
      <c r="R147" s="44"/>
      <c r="S147" s="5" t="s">
        <v>1449</v>
      </c>
      <c r="T147" s="46" t="str">
        <f>IF(VLOOKUP(S147,βοηθητικό!$J$2:$N$354,3,FALSE)="","",VLOOKUP(S147,βοηθητικό!$J$2:$N$354,3,FALSE))</f>
        <v>6942065498</v>
      </c>
      <c r="U147" s="47"/>
      <c r="V147" s="4" t="s">
        <v>1417</v>
      </c>
      <c r="W147" s="43" t="str">
        <f>IF(VLOOKUP(V147,βοηθητικό!$J$2:$N$354,3,FALSE)="","",VLOOKUP(V147,βοηθητικό!$J$2:$N$354,3,FALSE))</f>
        <v>6932436923</v>
      </c>
      <c r="X147" s="44"/>
      <c r="Y147" s="5" t="s">
        <v>1488</v>
      </c>
      <c r="Z147" s="46" t="str">
        <f>IF(VLOOKUP(Y147,βοηθητικό!$J$2:$N$354,3,FALSE)="","",VLOOKUP(Y147,βοηθητικό!$J$2:$N$354,3,FALSE))</f>
        <v>6949282970</v>
      </c>
      <c r="AA147" s="47"/>
      <c r="AB147" s="4" t="s">
        <v>1491</v>
      </c>
      <c r="AC147" s="43">
        <f>IF(VLOOKUP(AB147,βοηθητικό!$J$2:$N$354,3,FALSE)="","",VLOOKUP(AB147,βοηθητικό!$J$2:$N$354,3,FALSE))</f>
        <v>6944027398</v>
      </c>
      <c r="AD147" s="44"/>
      <c r="AE147" s="5" t="s">
        <v>16</v>
      </c>
      <c r="AF147" s="46" t="str">
        <f>IF(VLOOKUP(AE147,βοηθητικό!$J$2:$N$354,3,FALSE)="","",VLOOKUP(AE147,βοηθητικό!$J$2:$N$354,3,FALSE))</f>
        <v>_</v>
      </c>
      <c r="AG147" s="47"/>
      <c r="AH147" s="4" t="s">
        <v>16</v>
      </c>
      <c r="AI147" s="43" t="str">
        <f>IF(VLOOKUP(AH147,βοηθητικό!$J$2:$N$354,3,FALSE)="","",VLOOKUP(AH147,βοηθητικό!$J$2:$N$354,3,FALSE))</f>
        <v>_</v>
      </c>
      <c r="AJ147" s="44"/>
      <c r="AK147" s="5" t="s">
        <v>16</v>
      </c>
      <c r="AL147" s="46" t="str">
        <f>IF(VLOOKUP(AK147,βοηθητικό!$J$2:$N$354,3,FALSE)="","",VLOOKUP(AK147,βοηθητικό!$J$2:$N$354,3,FALSE))</f>
        <v>_</v>
      </c>
      <c r="AM147" s="47"/>
      <c r="AN147" s="4" t="s">
        <v>16</v>
      </c>
      <c r="AO147" s="43" t="str">
        <f>IF(VLOOKUP(AN147,βοηθητικό!$J$2:$N$354,3,FALSE)="","",VLOOKUP(AN147,βοηθητικό!$J$2:$N$354,3,FALSE))</f>
        <v>_</v>
      </c>
      <c r="AP147" s="44"/>
      <c r="AQ147" s="5" t="s">
        <v>16</v>
      </c>
      <c r="AR147" s="46" t="str">
        <f>IF(VLOOKUP(AQ147,βοηθητικό!$J$2:$N$354,3,FALSE)="","",VLOOKUP(AQ147,βοηθητικό!$J$2:$N$354,3,FALSE))</f>
        <v>_</v>
      </c>
      <c r="AS147" s="47"/>
      <c r="AT147" s="4" t="s">
        <v>16</v>
      </c>
      <c r="AU147" s="43" t="str">
        <f>IF(VLOOKUP(AT147,βοηθητικό!$J$2:$N$354,3,FALSE)="","",VLOOKUP(AT147,βοηθητικό!$J$2:$N$354,3,FALSE))</f>
        <v>_</v>
      </c>
      <c r="AV147" s="44"/>
      <c r="AW147" s="5" t="s">
        <v>16</v>
      </c>
      <c r="AX147" s="46" t="str">
        <f>IF(VLOOKUP(AW147,βοηθητικό!$J$2:$N$354,3,FALSE)="","",VLOOKUP(AW147,βοηθητικό!$J$2:$N$354,3,FALSE))</f>
        <v>_</v>
      </c>
      <c r="AY147" s="47"/>
      <c r="AZ147" s="4" t="s">
        <v>16</v>
      </c>
      <c r="BA147" s="43" t="str">
        <f>IF(VLOOKUP(AZ147,βοηθητικό!$J$2:$N$354,3,FALSE)="","",VLOOKUP(AZ147,βοηθητικό!$J$2:$N$354,3,FALSE))</f>
        <v>_</v>
      </c>
      <c r="BB147" s="44"/>
      <c r="BC147" s="45" t="s">
        <v>16</v>
      </c>
      <c r="BD147" s="46" t="str">
        <f>IF(VLOOKUP(BC147,βοηθητικό!$J$2:$N$354,3,FALSE)="","",VLOOKUP(BC147,βοηθητικό!$J$2:$N$354,3,FALSE))</f>
        <v>_</v>
      </c>
      <c r="BE147" s="47"/>
      <c r="BF147" s="42" t="s">
        <v>16</v>
      </c>
      <c r="BG147" s="43" t="str">
        <f>IF(VLOOKUP(BF147,βοηθητικό!$J$2:$N$354,3,FALSE)="","",VLOOKUP(BF147,βοηθητικό!$J$2:$N$354,3,FALSE))</f>
        <v>_</v>
      </c>
      <c r="BH147" s="44"/>
      <c r="BI147" s="45" t="s">
        <v>16</v>
      </c>
      <c r="BJ147" s="46" t="str">
        <f>IF(VLOOKUP(BI147,βοηθητικό!$J$2:$N$354,3,FALSE)="","",VLOOKUP(BI147,βοηθητικό!$J$2:$N$354,3,FALSE))</f>
        <v>_</v>
      </c>
      <c r="BK147" s="47"/>
      <c r="BL147" s="42" t="s">
        <v>16</v>
      </c>
      <c r="BM147" s="43" t="str">
        <f>IF(VLOOKUP(BL147,βοηθητικό!$J$2:$N$354,3,FALSE)="","",VLOOKUP(BL147,βοηθητικό!$J$2:$N$354,3,FALSE))</f>
        <v>_</v>
      </c>
      <c r="BN147" s="44"/>
      <c r="BO147" s="45" t="s">
        <v>16</v>
      </c>
      <c r="BP147" s="46" t="str">
        <f>IF(VLOOKUP(BO147,βοηθητικό!$J$2:$N$354,3,FALSE)="","",VLOOKUP(BO147,βοηθητικό!$J$2:$N$354,3,FALSE))</f>
        <v>_</v>
      </c>
      <c r="BQ147" s="47"/>
      <c r="BR147" s="42" t="s">
        <v>16</v>
      </c>
      <c r="BS147" s="43" t="str">
        <f>IF(VLOOKUP(BR147,βοηθητικό!$J$2:$N$354,3,FALSE)="","",VLOOKUP(BR147,βοηθητικό!$J$2:$N$354,3,FALSE))</f>
        <v>_</v>
      </c>
      <c r="BT147" s="44"/>
      <c r="BU147" s="45" t="s">
        <v>16</v>
      </c>
      <c r="BV147" s="46" t="str">
        <f>IF(VLOOKUP(BU147,βοηθητικό!$J$2:$N$354,3,FALSE)="","",VLOOKUP(BU147,βοηθητικό!$J$2:$N$354,3,FALSE))</f>
        <v>_</v>
      </c>
      <c r="BW147" s="47"/>
      <c r="BX147" s="42" t="s">
        <v>16</v>
      </c>
      <c r="BY147" s="43" t="str">
        <f>IF(VLOOKUP(BX147,βοηθητικό!$J$2:$N$354,3,FALSE)="","",VLOOKUP(BX147,βοηθητικό!$J$2:$N$354,3,FALSE))</f>
        <v>_</v>
      </c>
      <c r="BZ147" s="44"/>
      <c r="CA147" s="45" t="s">
        <v>16</v>
      </c>
      <c r="CB147" s="46" t="str">
        <f>IF(VLOOKUP(CA147,βοηθητικό!$J$2:$N$354,3,FALSE)="","",VLOOKUP(CA147,βοηθητικό!$J$2:$N$354,3,FALSE))</f>
        <v>_</v>
      </c>
      <c r="CC147" s="47"/>
      <c r="CD147" s="42" t="s">
        <v>16</v>
      </c>
      <c r="CE147" s="43" t="str">
        <f>IF(VLOOKUP(CD147,βοηθητικό!$J$2:$N$354,3,FALSE)="","",VLOOKUP(CD147,βοηθητικό!$J$2:$N$354,3,FALSE))</f>
        <v>_</v>
      </c>
      <c r="CF147" s="44"/>
      <c r="CG147" s="45" t="s">
        <v>16</v>
      </c>
      <c r="CH147" s="46" t="str">
        <f>IF(VLOOKUP(CG147,βοηθητικό!$J$2:$N$354,3,FALSE)="","",VLOOKUP(CG147,βοηθητικό!$J$2:$N$354,3,FALSE))</f>
        <v>_</v>
      </c>
      <c r="CI147" s="47"/>
      <c r="CJ147" s="42" t="s">
        <v>16</v>
      </c>
      <c r="CK147" s="43" t="str">
        <f>IF(VLOOKUP(CJ147,βοηθητικό!$J$2:$N$354,3,FALSE)="","",VLOOKUP(CJ147,βοηθητικό!$J$2:$N$354,3,FALSE))</f>
        <v>_</v>
      </c>
      <c r="CL147" s="44"/>
      <c r="CM147" s="45" t="s">
        <v>16</v>
      </c>
      <c r="CN147" s="46" t="str">
        <f>IF(VLOOKUP(CM147,βοηθητικό!$J$2:$N$354,3,FALSE)="","",VLOOKUP(CM147,βοηθητικό!$J$2:$N$354,3,FALSE))</f>
        <v>_</v>
      </c>
      <c r="CO147" s="47"/>
      <c r="CP147" s="42" t="s">
        <v>16</v>
      </c>
      <c r="CQ147" s="43" t="str">
        <f>IF(VLOOKUP(CP147,βοηθητικό!$J$2:$N$354,3,FALSE)="","",VLOOKUP(CP147,βοηθητικό!$J$2:$N$354,3,FALSE))</f>
        <v>_</v>
      </c>
      <c r="CR147" s="44"/>
      <c r="CS147" s="45" t="s">
        <v>16</v>
      </c>
      <c r="CT147" s="46" t="str">
        <f>IF(VLOOKUP(CS147,βοηθητικό!$J$2:$N$354,3,FALSE)="","",VLOOKUP(CS147,βοηθητικό!$J$2:$N$354,3,FALSE))</f>
        <v>_</v>
      </c>
      <c r="CU147" s="47"/>
    </row>
    <row r="148" spans="1:99" x14ac:dyDescent="0.25">
      <c r="A148" s="37">
        <f>--SUBTOTAL(3,$B$3:B147)</f>
        <v>145</v>
      </c>
      <c r="B148" s="2">
        <v>45145</v>
      </c>
      <c r="C148" s="3">
        <v>45151</v>
      </c>
      <c r="D148" s="58" t="s">
        <v>127</v>
      </c>
      <c r="E148" s="38" t="s">
        <v>16</v>
      </c>
      <c r="F148" s="38" t="s">
        <v>16</v>
      </c>
      <c r="G148" s="39" t="str">
        <f t="shared" si="8"/>
        <v>__</v>
      </c>
      <c r="H148" s="40" t="str">
        <f t="shared" si="9"/>
        <v>FALSE</v>
      </c>
      <c r="I148" s="41">
        <f t="shared" si="10"/>
        <v>7</v>
      </c>
      <c r="J148" s="4" t="s">
        <v>1424</v>
      </c>
      <c r="K148" s="43" t="str">
        <f>IF(VLOOKUP(J148,βοηθητικό!$J$2:$N$354,3,FALSE)="","",VLOOKUP(J148,βοηθητικό!$J$2:$N$354,3,FALSE))</f>
        <v>6970994433</v>
      </c>
      <c r="L148" s="44"/>
      <c r="M148" s="5" t="s">
        <v>1421</v>
      </c>
      <c r="N148" s="46" t="str">
        <f>IF(VLOOKUP(M148,βοηθητικό!$J$2:$N$354,3,FALSE)="","",VLOOKUP(M148,βοηθητικό!$J$2:$N$354,3,FALSE))</f>
        <v>6948112484</v>
      </c>
      <c r="O148" s="47"/>
      <c r="P148" s="4" t="s">
        <v>1496</v>
      </c>
      <c r="Q148" s="43" t="str">
        <f>IF(VLOOKUP(P148,βοηθητικό!$J$2:$N$354,3,FALSE)="","",VLOOKUP(P148,βοηθητικό!$J$2:$N$354,3,FALSE))</f>
        <v>6940821569</v>
      </c>
      <c r="R148" s="44"/>
      <c r="S148" s="5" t="s">
        <v>1476</v>
      </c>
      <c r="T148" s="46" t="str">
        <f>IF(VLOOKUP(S148,βοηθητικό!$J$2:$N$354,3,FALSE)="","",VLOOKUP(S148,βοηθητικό!$J$2:$N$354,3,FALSE))</f>
        <v>6946808213</v>
      </c>
      <c r="U148" s="47"/>
      <c r="V148" s="4" t="s">
        <v>1479</v>
      </c>
      <c r="W148" s="43" t="str">
        <f>IF(VLOOKUP(V148,βοηθητικό!$J$2:$N$354,3,FALSE)="","",VLOOKUP(V148,βοηθητικό!$J$2:$N$354,3,FALSE))</f>
        <v>6972254244</v>
      </c>
      <c r="X148" s="44"/>
      <c r="Y148" s="5" t="s">
        <v>1446</v>
      </c>
      <c r="Z148" s="46" t="str">
        <f>IF(VLOOKUP(Y148,βοηθητικό!$J$2:$N$354,3,FALSE)="","",VLOOKUP(Y148,βοηθητικό!$J$2:$N$354,3,FALSE))</f>
        <v>6980080409</v>
      </c>
      <c r="AA148" s="47"/>
      <c r="AB148" s="4" t="s">
        <v>1455</v>
      </c>
      <c r="AC148" s="43" t="str">
        <f>IF(VLOOKUP(AB148,βοηθητικό!$J$2:$N$354,3,FALSE)="","",VLOOKUP(AB148,βοηθητικό!$J$2:$N$354,3,FALSE))</f>
        <v>6945859412</v>
      </c>
      <c r="AD148" s="44"/>
      <c r="AE148" s="5" t="s">
        <v>16</v>
      </c>
      <c r="AF148" s="46" t="str">
        <f>IF(VLOOKUP(AE148,βοηθητικό!$J$2:$N$354,3,FALSE)="","",VLOOKUP(AE148,βοηθητικό!$J$2:$N$354,3,FALSE))</f>
        <v>_</v>
      </c>
      <c r="AG148" s="47"/>
      <c r="AH148" s="4" t="s">
        <v>16</v>
      </c>
      <c r="AI148" s="43" t="str">
        <f>IF(VLOOKUP(AH148,βοηθητικό!$J$2:$N$354,3,FALSE)="","",VLOOKUP(AH148,βοηθητικό!$J$2:$N$354,3,FALSE))</f>
        <v>_</v>
      </c>
      <c r="AJ148" s="44"/>
      <c r="AK148" s="5" t="s">
        <v>16</v>
      </c>
      <c r="AL148" s="46" t="str">
        <f>IF(VLOOKUP(AK148,βοηθητικό!$J$2:$N$354,3,FALSE)="","",VLOOKUP(AK148,βοηθητικό!$J$2:$N$354,3,FALSE))</f>
        <v>_</v>
      </c>
      <c r="AM148" s="47"/>
      <c r="AN148" s="4" t="s">
        <v>16</v>
      </c>
      <c r="AO148" s="43" t="str">
        <f>IF(VLOOKUP(AN148,βοηθητικό!$J$2:$N$354,3,FALSE)="","",VLOOKUP(AN148,βοηθητικό!$J$2:$N$354,3,FALSE))</f>
        <v>_</v>
      </c>
      <c r="AP148" s="44"/>
      <c r="AQ148" s="5" t="s">
        <v>16</v>
      </c>
      <c r="AR148" s="46" t="str">
        <f>IF(VLOOKUP(AQ148,βοηθητικό!$J$2:$N$354,3,FALSE)="","",VLOOKUP(AQ148,βοηθητικό!$J$2:$N$354,3,FALSE))</f>
        <v>_</v>
      </c>
      <c r="AS148" s="47"/>
      <c r="AT148" s="4" t="s">
        <v>16</v>
      </c>
      <c r="AU148" s="43" t="str">
        <f>IF(VLOOKUP(AT148,βοηθητικό!$J$2:$N$354,3,FALSE)="","",VLOOKUP(AT148,βοηθητικό!$J$2:$N$354,3,FALSE))</f>
        <v>_</v>
      </c>
      <c r="AV148" s="44"/>
      <c r="AW148" s="5" t="s">
        <v>16</v>
      </c>
      <c r="AX148" s="46" t="str">
        <f>IF(VLOOKUP(AW148,βοηθητικό!$J$2:$N$354,3,FALSE)="","",VLOOKUP(AW148,βοηθητικό!$J$2:$N$354,3,FALSE))</f>
        <v>_</v>
      </c>
      <c r="AY148" s="47"/>
      <c r="AZ148" s="4" t="s">
        <v>16</v>
      </c>
      <c r="BA148" s="43" t="str">
        <f>IF(VLOOKUP(AZ148,βοηθητικό!$J$2:$N$354,3,FALSE)="","",VLOOKUP(AZ148,βοηθητικό!$J$2:$N$354,3,FALSE))</f>
        <v>_</v>
      </c>
      <c r="BB148" s="44"/>
      <c r="BC148" s="45" t="s">
        <v>16</v>
      </c>
      <c r="BD148" s="46" t="str">
        <f>IF(VLOOKUP(BC148,βοηθητικό!$J$2:$N$354,3,FALSE)="","",VLOOKUP(BC148,βοηθητικό!$J$2:$N$354,3,FALSE))</f>
        <v>_</v>
      </c>
      <c r="BE148" s="47"/>
      <c r="BF148" s="42" t="s">
        <v>16</v>
      </c>
      <c r="BG148" s="43" t="str">
        <f>IF(VLOOKUP(BF148,βοηθητικό!$J$2:$N$354,3,FALSE)="","",VLOOKUP(BF148,βοηθητικό!$J$2:$N$354,3,FALSE))</f>
        <v>_</v>
      </c>
      <c r="BH148" s="44"/>
      <c r="BI148" s="45" t="s">
        <v>16</v>
      </c>
      <c r="BJ148" s="46" t="str">
        <f>IF(VLOOKUP(BI148,βοηθητικό!$J$2:$N$354,3,FALSE)="","",VLOOKUP(BI148,βοηθητικό!$J$2:$N$354,3,FALSE))</f>
        <v>_</v>
      </c>
      <c r="BK148" s="47"/>
      <c r="BL148" s="42" t="s">
        <v>16</v>
      </c>
      <c r="BM148" s="43" t="str">
        <f>IF(VLOOKUP(BL148,βοηθητικό!$J$2:$N$354,3,FALSE)="","",VLOOKUP(BL148,βοηθητικό!$J$2:$N$354,3,FALSE))</f>
        <v>_</v>
      </c>
      <c r="BN148" s="44"/>
      <c r="BO148" s="45" t="s">
        <v>16</v>
      </c>
      <c r="BP148" s="46" t="str">
        <f>IF(VLOOKUP(BO148,βοηθητικό!$J$2:$N$354,3,FALSE)="","",VLOOKUP(BO148,βοηθητικό!$J$2:$N$354,3,FALSE))</f>
        <v>_</v>
      </c>
      <c r="BQ148" s="47"/>
      <c r="BR148" s="42" t="s">
        <v>16</v>
      </c>
      <c r="BS148" s="43" t="str">
        <f>IF(VLOOKUP(BR148,βοηθητικό!$J$2:$N$354,3,FALSE)="","",VLOOKUP(BR148,βοηθητικό!$J$2:$N$354,3,FALSE))</f>
        <v>_</v>
      </c>
      <c r="BT148" s="44"/>
      <c r="BU148" s="45" t="s">
        <v>16</v>
      </c>
      <c r="BV148" s="46" t="str">
        <f>IF(VLOOKUP(BU148,βοηθητικό!$J$2:$N$354,3,FALSE)="","",VLOOKUP(BU148,βοηθητικό!$J$2:$N$354,3,FALSE))</f>
        <v>_</v>
      </c>
      <c r="BW148" s="47"/>
      <c r="BX148" s="42" t="s">
        <v>16</v>
      </c>
      <c r="BY148" s="43" t="str">
        <f>IF(VLOOKUP(BX148,βοηθητικό!$J$2:$N$354,3,FALSE)="","",VLOOKUP(BX148,βοηθητικό!$J$2:$N$354,3,FALSE))</f>
        <v>_</v>
      </c>
      <c r="BZ148" s="44"/>
      <c r="CA148" s="45" t="s">
        <v>16</v>
      </c>
      <c r="CB148" s="46" t="str">
        <f>IF(VLOOKUP(CA148,βοηθητικό!$J$2:$N$354,3,FALSE)="","",VLOOKUP(CA148,βοηθητικό!$J$2:$N$354,3,FALSE))</f>
        <v>_</v>
      </c>
      <c r="CC148" s="47"/>
      <c r="CD148" s="42" t="s">
        <v>16</v>
      </c>
      <c r="CE148" s="43" t="str">
        <f>IF(VLOOKUP(CD148,βοηθητικό!$J$2:$N$354,3,FALSE)="","",VLOOKUP(CD148,βοηθητικό!$J$2:$N$354,3,FALSE))</f>
        <v>_</v>
      </c>
      <c r="CF148" s="44"/>
      <c r="CG148" s="45" t="s">
        <v>16</v>
      </c>
      <c r="CH148" s="46" t="str">
        <f>IF(VLOOKUP(CG148,βοηθητικό!$J$2:$N$354,3,FALSE)="","",VLOOKUP(CG148,βοηθητικό!$J$2:$N$354,3,FALSE))</f>
        <v>_</v>
      </c>
      <c r="CI148" s="47"/>
      <c r="CJ148" s="42" t="s">
        <v>16</v>
      </c>
      <c r="CK148" s="43" t="str">
        <f>IF(VLOOKUP(CJ148,βοηθητικό!$J$2:$N$354,3,FALSE)="","",VLOOKUP(CJ148,βοηθητικό!$J$2:$N$354,3,FALSE))</f>
        <v>_</v>
      </c>
      <c r="CL148" s="44"/>
      <c r="CM148" s="45" t="s">
        <v>16</v>
      </c>
      <c r="CN148" s="46" t="str">
        <f>IF(VLOOKUP(CM148,βοηθητικό!$J$2:$N$354,3,FALSE)="","",VLOOKUP(CM148,βοηθητικό!$J$2:$N$354,3,FALSE))</f>
        <v>_</v>
      </c>
      <c r="CO148" s="47"/>
      <c r="CP148" s="42" t="s">
        <v>16</v>
      </c>
      <c r="CQ148" s="43" t="str">
        <f>IF(VLOOKUP(CP148,βοηθητικό!$J$2:$N$354,3,FALSE)="","",VLOOKUP(CP148,βοηθητικό!$J$2:$N$354,3,FALSE))</f>
        <v>_</v>
      </c>
      <c r="CR148" s="44"/>
      <c r="CS148" s="45" t="s">
        <v>16</v>
      </c>
      <c r="CT148" s="46" t="str">
        <f>IF(VLOOKUP(CS148,βοηθητικό!$J$2:$N$354,3,FALSE)="","",VLOOKUP(CS148,βοηθητικό!$J$2:$N$354,3,FALSE))</f>
        <v>_</v>
      </c>
      <c r="CU148" s="47"/>
    </row>
    <row r="149" spans="1:99" x14ac:dyDescent="0.25">
      <c r="A149" s="37">
        <f>--SUBTOTAL(3,$B$3:B148)</f>
        <v>146</v>
      </c>
      <c r="B149" s="2">
        <v>45152</v>
      </c>
      <c r="C149" s="3">
        <v>45158</v>
      </c>
      <c r="D149" s="58" t="s">
        <v>127</v>
      </c>
      <c r="E149" s="38" t="s">
        <v>16</v>
      </c>
      <c r="F149" s="38" t="s">
        <v>16</v>
      </c>
      <c r="G149" s="39" t="str">
        <f t="shared" si="8"/>
        <v>__</v>
      </c>
      <c r="H149" s="40" t="str">
        <f t="shared" si="9"/>
        <v>FALSE</v>
      </c>
      <c r="I149" s="41">
        <f t="shared" si="10"/>
        <v>7</v>
      </c>
      <c r="J149" s="4" t="s">
        <v>1464</v>
      </c>
      <c r="K149" s="43" t="str">
        <f>IF(VLOOKUP(J149,βοηθητικό!$J$2:$N$354,3,FALSE)="","",VLOOKUP(J149,βοηθητικό!$J$2:$N$354,3,FALSE))</f>
        <v>6937334275</v>
      </c>
      <c r="L149" s="44"/>
      <c r="M149" s="5" t="s">
        <v>1411</v>
      </c>
      <c r="N149" s="46" t="str">
        <f>IF(VLOOKUP(M149,βοηθητικό!$J$2:$N$354,3,FALSE)="","",VLOOKUP(M149,βοηθητικό!$J$2:$N$354,3,FALSE))</f>
        <v>6976704746</v>
      </c>
      <c r="O149" s="47"/>
      <c r="P149" s="4" t="s">
        <v>1431</v>
      </c>
      <c r="Q149" s="43" t="str">
        <f>IF(VLOOKUP(P149,βοηθητικό!$J$2:$N$354,3,FALSE)="","",VLOOKUP(P149,βοηθητικό!$J$2:$N$354,3,FALSE))</f>
        <v>6975534675</v>
      </c>
      <c r="R149" s="44"/>
      <c r="S149" s="5" t="s">
        <v>1473</v>
      </c>
      <c r="T149" s="46" t="str">
        <f>IF(VLOOKUP(S149,βοηθητικό!$J$2:$N$354,3,FALSE)="","",VLOOKUP(S149,βοηθητικό!$J$2:$N$354,3,FALSE))</f>
        <v>6937601117</v>
      </c>
      <c r="U149" s="47"/>
      <c r="V149" s="4" t="s">
        <v>1437</v>
      </c>
      <c r="W149" s="43" t="str">
        <f>IF(VLOOKUP(V149,βοηθητικό!$J$2:$N$354,3,FALSE)="","",VLOOKUP(V149,βοηθητικό!$J$2:$N$354,3,FALSE))</f>
        <v>6971594645</v>
      </c>
      <c r="X149" s="44"/>
      <c r="Y149" s="5" t="s">
        <v>1440</v>
      </c>
      <c r="Z149" s="46" t="str">
        <f>IF(VLOOKUP(Y149,βοηθητικό!$J$2:$N$354,3,FALSE)="","",VLOOKUP(Y149,βοηθητικό!$J$2:$N$354,3,FALSE))</f>
        <v>6978143337</v>
      </c>
      <c r="AA149" s="47"/>
      <c r="AB149" s="4" t="s">
        <v>1414</v>
      </c>
      <c r="AC149" s="43" t="str">
        <f>IF(VLOOKUP(AB149,βοηθητικό!$J$2:$N$354,3,FALSE)="","",VLOOKUP(AB149,βοηθητικό!$J$2:$N$354,3,FALSE))</f>
        <v>6908866517</v>
      </c>
      <c r="AD149" s="44"/>
      <c r="AE149" s="5" t="s">
        <v>16</v>
      </c>
      <c r="AF149" s="46" t="str">
        <f>IF(VLOOKUP(AE149,βοηθητικό!$J$2:$N$354,3,FALSE)="","",VLOOKUP(AE149,βοηθητικό!$J$2:$N$354,3,FALSE))</f>
        <v>_</v>
      </c>
      <c r="AG149" s="47"/>
      <c r="AH149" s="4" t="s">
        <v>16</v>
      </c>
      <c r="AI149" s="43" t="str">
        <f>IF(VLOOKUP(AH149,βοηθητικό!$J$2:$N$354,3,FALSE)="","",VLOOKUP(AH149,βοηθητικό!$J$2:$N$354,3,FALSE))</f>
        <v>_</v>
      </c>
      <c r="AJ149" s="44"/>
      <c r="AK149" s="5" t="s">
        <v>16</v>
      </c>
      <c r="AL149" s="46" t="str">
        <f>IF(VLOOKUP(AK149,βοηθητικό!$J$2:$N$354,3,FALSE)="","",VLOOKUP(AK149,βοηθητικό!$J$2:$N$354,3,FALSE))</f>
        <v>_</v>
      </c>
      <c r="AM149" s="47"/>
      <c r="AN149" s="4" t="s">
        <v>16</v>
      </c>
      <c r="AO149" s="43" t="str">
        <f>IF(VLOOKUP(AN149,βοηθητικό!$J$2:$N$354,3,FALSE)="","",VLOOKUP(AN149,βοηθητικό!$J$2:$N$354,3,FALSE))</f>
        <v>_</v>
      </c>
      <c r="AP149" s="44"/>
      <c r="AQ149" s="5" t="s">
        <v>16</v>
      </c>
      <c r="AR149" s="46" t="str">
        <f>IF(VLOOKUP(AQ149,βοηθητικό!$J$2:$N$354,3,FALSE)="","",VLOOKUP(AQ149,βοηθητικό!$J$2:$N$354,3,FALSE))</f>
        <v>_</v>
      </c>
      <c r="AS149" s="47"/>
      <c r="AT149" s="4" t="s">
        <v>16</v>
      </c>
      <c r="AU149" s="43" t="str">
        <f>IF(VLOOKUP(AT149,βοηθητικό!$J$2:$N$354,3,FALSE)="","",VLOOKUP(AT149,βοηθητικό!$J$2:$N$354,3,FALSE))</f>
        <v>_</v>
      </c>
      <c r="AV149" s="44"/>
      <c r="AW149" s="5" t="s">
        <v>16</v>
      </c>
      <c r="AX149" s="46" t="str">
        <f>IF(VLOOKUP(AW149,βοηθητικό!$J$2:$N$354,3,FALSE)="","",VLOOKUP(AW149,βοηθητικό!$J$2:$N$354,3,FALSE))</f>
        <v>_</v>
      </c>
      <c r="AY149" s="47"/>
      <c r="AZ149" s="4" t="s">
        <v>16</v>
      </c>
      <c r="BA149" s="43" t="str">
        <f>IF(VLOOKUP(AZ149,βοηθητικό!$J$2:$N$354,3,FALSE)="","",VLOOKUP(AZ149,βοηθητικό!$J$2:$N$354,3,FALSE))</f>
        <v>_</v>
      </c>
      <c r="BB149" s="44"/>
      <c r="BC149" s="45" t="s">
        <v>16</v>
      </c>
      <c r="BD149" s="46" t="str">
        <f>IF(VLOOKUP(BC149,βοηθητικό!$J$2:$N$354,3,FALSE)="","",VLOOKUP(BC149,βοηθητικό!$J$2:$N$354,3,FALSE))</f>
        <v>_</v>
      </c>
      <c r="BE149" s="47"/>
      <c r="BF149" s="42" t="s">
        <v>16</v>
      </c>
      <c r="BG149" s="43" t="str">
        <f>IF(VLOOKUP(BF149,βοηθητικό!$J$2:$N$354,3,FALSE)="","",VLOOKUP(BF149,βοηθητικό!$J$2:$N$354,3,FALSE))</f>
        <v>_</v>
      </c>
      <c r="BH149" s="44"/>
      <c r="BI149" s="45" t="s">
        <v>16</v>
      </c>
      <c r="BJ149" s="46" t="str">
        <f>IF(VLOOKUP(BI149,βοηθητικό!$J$2:$N$354,3,FALSE)="","",VLOOKUP(BI149,βοηθητικό!$J$2:$N$354,3,FALSE))</f>
        <v>_</v>
      </c>
      <c r="BK149" s="47"/>
      <c r="BL149" s="42" t="s">
        <v>16</v>
      </c>
      <c r="BM149" s="43" t="str">
        <f>IF(VLOOKUP(BL149,βοηθητικό!$J$2:$N$354,3,FALSE)="","",VLOOKUP(BL149,βοηθητικό!$J$2:$N$354,3,FALSE))</f>
        <v>_</v>
      </c>
      <c r="BN149" s="44"/>
      <c r="BO149" s="45" t="s">
        <v>16</v>
      </c>
      <c r="BP149" s="46" t="str">
        <f>IF(VLOOKUP(BO149,βοηθητικό!$J$2:$N$354,3,FALSE)="","",VLOOKUP(BO149,βοηθητικό!$J$2:$N$354,3,FALSE))</f>
        <v>_</v>
      </c>
      <c r="BQ149" s="47"/>
      <c r="BR149" s="42" t="s">
        <v>16</v>
      </c>
      <c r="BS149" s="43" t="str">
        <f>IF(VLOOKUP(BR149,βοηθητικό!$J$2:$N$354,3,FALSE)="","",VLOOKUP(BR149,βοηθητικό!$J$2:$N$354,3,FALSE))</f>
        <v>_</v>
      </c>
      <c r="BT149" s="44"/>
      <c r="BU149" s="45" t="s">
        <v>16</v>
      </c>
      <c r="BV149" s="46" t="str">
        <f>IF(VLOOKUP(BU149,βοηθητικό!$J$2:$N$354,3,FALSE)="","",VLOOKUP(BU149,βοηθητικό!$J$2:$N$354,3,FALSE))</f>
        <v>_</v>
      </c>
      <c r="BW149" s="47"/>
      <c r="BX149" s="42" t="s">
        <v>16</v>
      </c>
      <c r="BY149" s="43" t="str">
        <f>IF(VLOOKUP(BX149,βοηθητικό!$J$2:$N$354,3,FALSE)="","",VLOOKUP(BX149,βοηθητικό!$J$2:$N$354,3,FALSE))</f>
        <v>_</v>
      </c>
      <c r="BZ149" s="44"/>
      <c r="CA149" s="45" t="s">
        <v>16</v>
      </c>
      <c r="CB149" s="46" t="str">
        <f>IF(VLOOKUP(CA149,βοηθητικό!$J$2:$N$354,3,FALSE)="","",VLOOKUP(CA149,βοηθητικό!$J$2:$N$354,3,FALSE))</f>
        <v>_</v>
      </c>
      <c r="CC149" s="47"/>
      <c r="CD149" s="42" t="s">
        <v>16</v>
      </c>
      <c r="CE149" s="43" t="str">
        <f>IF(VLOOKUP(CD149,βοηθητικό!$J$2:$N$354,3,FALSE)="","",VLOOKUP(CD149,βοηθητικό!$J$2:$N$354,3,FALSE))</f>
        <v>_</v>
      </c>
      <c r="CF149" s="44"/>
      <c r="CG149" s="45" t="s">
        <v>16</v>
      </c>
      <c r="CH149" s="46" t="str">
        <f>IF(VLOOKUP(CG149,βοηθητικό!$J$2:$N$354,3,FALSE)="","",VLOOKUP(CG149,βοηθητικό!$J$2:$N$354,3,FALSE))</f>
        <v>_</v>
      </c>
      <c r="CI149" s="47"/>
      <c r="CJ149" s="42" t="s">
        <v>16</v>
      </c>
      <c r="CK149" s="43" t="str">
        <f>IF(VLOOKUP(CJ149,βοηθητικό!$J$2:$N$354,3,FALSE)="","",VLOOKUP(CJ149,βοηθητικό!$J$2:$N$354,3,FALSE))</f>
        <v>_</v>
      </c>
      <c r="CL149" s="44"/>
      <c r="CM149" s="45" t="s">
        <v>16</v>
      </c>
      <c r="CN149" s="46" t="str">
        <f>IF(VLOOKUP(CM149,βοηθητικό!$J$2:$N$354,3,FALSE)="","",VLOOKUP(CM149,βοηθητικό!$J$2:$N$354,3,FALSE))</f>
        <v>_</v>
      </c>
      <c r="CO149" s="47"/>
      <c r="CP149" s="42" t="s">
        <v>16</v>
      </c>
      <c r="CQ149" s="43" t="str">
        <f>IF(VLOOKUP(CP149,βοηθητικό!$J$2:$N$354,3,FALSE)="","",VLOOKUP(CP149,βοηθητικό!$J$2:$N$354,3,FALSE))</f>
        <v>_</v>
      </c>
      <c r="CR149" s="44"/>
      <c r="CS149" s="45" t="s">
        <v>16</v>
      </c>
      <c r="CT149" s="46" t="str">
        <f>IF(VLOOKUP(CS149,βοηθητικό!$J$2:$N$354,3,FALSE)="","",VLOOKUP(CS149,βοηθητικό!$J$2:$N$354,3,FALSE))</f>
        <v>_</v>
      </c>
      <c r="CU149" s="47"/>
    </row>
    <row r="150" spans="1:99" x14ac:dyDescent="0.25">
      <c r="A150" s="37">
        <f>--SUBTOTAL(3,$B$3:B149)</f>
        <v>147</v>
      </c>
      <c r="B150" s="2">
        <v>45159</v>
      </c>
      <c r="C150" s="3">
        <v>45165</v>
      </c>
      <c r="D150" s="58" t="s">
        <v>127</v>
      </c>
      <c r="E150" s="38" t="s">
        <v>16</v>
      </c>
      <c r="F150" s="38" t="s">
        <v>16</v>
      </c>
      <c r="G150" s="39" t="str">
        <f t="shared" si="8"/>
        <v>__</v>
      </c>
      <c r="H150" s="40" t="str">
        <f t="shared" si="9"/>
        <v>FALSE</v>
      </c>
      <c r="I150" s="41">
        <f t="shared" si="10"/>
        <v>7</v>
      </c>
      <c r="J150" s="4" t="s">
        <v>1485</v>
      </c>
      <c r="K150" s="43" t="str">
        <f>IF(VLOOKUP(J150,βοηθητικό!$J$2:$N$354,3,FALSE)="","",VLOOKUP(J150,βοηθητικό!$J$2:$N$354,3,FALSE))</f>
        <v>6974472231</v>
      </c>
      <c r="L150" s="44"/>
      <c r="M150" s="5" t="s">
        <v>1461</v>
      </c>
      <c r="N150" s="46" t="str">
        <f>IF(VLOOKUP(M150,βοηθητικό!$J$2:$N$354,3,FALSE)="","",VLOOKUP(M150,βοηθητικό!$J$2:$N$354,3,FALSE))</f>
        <v>6949802689</v>
      </c>
      <c r="O150" s="47"/>
      <c r="P150" s="4" t="s">
        <v>1452</v>
      </c>
      <c r="Q150" s="43" t="str">
        <f>IF(VLOOKUP(P150,βοηθητικό!$J$2:$N$354,3,FALSE)="","",VLOOKUP(P150,βοηθητικό!$J$2:$N$354,3,FALSE))</f>
        <v>6944240803</v>
      </c>
      <c r="R150" s="44"/>
      <c r="S150" s="5" t="s">
        <v>1499</v>
      </c>
      <c r="T150" s="46" t="str">
        <f>IF(VLOOKUP(S150,βοηθητικό!$J$2:$N$354,3,FALSE)="","",VLOOKUP(S150,βοηθητικό!$J$2:$N$354,3,FALSE))</f>
        <v>6946014358</v>
      </c>
      <c r="U150" s="47"/>
      <c r="V150" s="4" t="s">
        <v>1493</v>
      </c>
      <c r="W150" s="43" t="str">
        <f>IF(VLOOKUP(V150,βοηθητικό!$J$2:$N$354,3,FALSE)="","",VLOOKUP(V150,βοηθητικό!$J$2:$N$354,3,FALSE))</f>
        <v>6978022104</v>
      </c>
      <c r="X150" s="44"/>
      <c r="Y150" s="5" t="s">
        <v>1470</v>
      </c>
      <c r="Z150" s="46">
        <f>IF(VLOOKUP(Y150,βοηθητικό!$J$2:$N$354,3,FALSE)="","",VLOOKUP(Y150,βοηθητικό!$J$2:$N$354,3,FALSE))</f>
        <v>6946954972</v>
      </c>
      <c r="AA150" s="47"/>
      <c r="AB150" s="4" t="s">
        <v>1428</v>
      </c>
      <c r="AC150" s="43" t="str">
        <f>IF(VLOOKUP(AB150,βοηθητικό!$J$2:$N$354,3,FALSE)="","",VLOOKUP(AB150,βοηθητικό!$J$2:$N$354,3,FALSE))</f>
        <v>6984730924</v>
      </c>
      <c r="AD150" s="44"/>
      <c r="AE150" s="5" t="s">
        <v>16</v>
      </c>
      <c r="AF150" s="46" t="str">
        <f>IF(VLOOKUP(AE150,βοηθητικό!$J$2:$N$354,3,FALSE)="","",VLOOKUP(AE150,βοηθητικό!$J$2:$N$354,3,FALSE))</f>
        <v>_</v>
      </c>
      <c r="AG150" s="47"/>
      <c r="AH150" s="4" t="s">
        <v>16</v>
      </c>
      <c r="AI150" s="43" t="str">
        <f>IF(VLOOKUP(AH150,βοηθητικό!$J$2:$N$354,3,FALSE)="","",VLOOKUP(AH150,βοηθητικό!$J$2:$N$354,3,FALSE))</f>
        <v>_</v>
      </c>
      <c r="AJ150" s="44"/>
      <c r="AK150" s="5" t="s">
        <v>16</v>
      </c>
      <c r="AL150" s="46" t="str">
        <f>IF(VLOOKUP(AK150,βοηθητικό!$J$2:$N$354,3,FALSE)="","",VLOOKUP(AK150,βοηθητικό!$J$2:$N$354,3,FALSE))</f>
        <v>_</v>
      </c>
      <c r="AM150" s="47"/>
      <c r="AN150" s="4" t="s">
        <v>16</v>
      </c>
      <c r="AO150" s="43" t="str">
        <f>IF(VLOOKUP(AN150,βοηθητικό!$J$2:$N$354,3,FALSE)="","",VLOOKUP(AN150,βοηθητικό!$J$2:$N$354,3,FALSE))</f>
        <v>_</v>
      </c>
      <c r="AP150" s="44"/>
      <c r="AQ150" s="5" t="s">
        <v>16</v>
      </c>
      <c r="AR150" s="46" t="str">
        <f>IF(VLOOKUP(AQ150,βοηθητικό!$J$2:$N$354,3,FALSE)="","",VLOOKUP(AQ150,βοηθητικό!$J$2:$N$354,3,FALSE))</f>
        <v>_</v>
      </c>
      <c r="AS150" s="47"/>
      <c r="AT150" s="4" t="s">
        <v>16</v>
      </c>
      <c r="AU150" s="43" t="str">
        <f>IF(VLOOKUP(AT150,βοηθητικό!$J$2:$N$354,3,FALSE)="","",VLOOKUP(AT150,βοηθητικό!$J$2:$N$354,3,FALSE))</f>
        <v>_</v>
      </c>
      <c r="AV150" s="44"/>
      <c r="AW150" s="5" t="s">
        <v>16</v>
      </c>
      <c r="AX150" s="46" t="str">
        <f>IF(VLOOKUP(AW150,βοηθητικό!$J$2:$N$354,3,FALSE)="","",VLOOKUP(AW150,βοηθητικό!$J$2:$N$354,3,FALSE))</f>
        <v>_</v>
      </c>
      <c r="AY150" s="47"/>
      <c r="AZ150" s="4" t="s">
        <v>16</v>
      </c>
      <c r="BA150" s="43" t="str">
        <f>IF(VLOOKUP(AZ150,βοηθητικό!$J$2:$N$354,3,FALSE)="","",VLOOKUP(AZ150,βοηθητικό!$J$2:$N$354,3,FALSE))</f>
        <v>_</v>
      </c>
      <c r="BB150" s="44"/>
      <c r="BC150" s="45" t="s">
        <v>16</v>
      </c>
      <c r="BD150" s="46" t="str">
        <f>IF(VLOOKUP(BC150,βοηθητικό!$J$2:$N$354,3,FALSE)="","",VLOOKUP(BC150,βοηθητικό!$J$2:$N$354,3,FALSE))</f>
        <v>_</v>
      </c>
      <c r="BE150" s="47"/>
      <c r="BF150" s="42" t="s">
        <v>16</v>
      </c>
      <c r="BG150" s="43" t="str">
        <f>IF(VLOOKUP(BF150,βοηθητικό!$J$2:$N$354,3,FALSE)="","",VLOOKUP(BF150,βοηθητικό!$J$2:$N$354,3,FALSE))</f>
        <v>_</v>
      </c>
      <c r="BH150" s="44"/>
      <c r="BI150" s="45" t="s">
        <v>16</v>
      </c>
      <c r="BJ150" s="46" t="str">
        <f>IF(VLOOKUP(BI150,βοηθητικό!$J$2:$N$354,3,FALSE)="","",VLOOKUP(BI150,βοηθητικό!$J$2:$N$354,3,FALSE))</f>
        <v>_</v>
      </c>
      <c r="BK150" s="47"/>
      <c r="BL150" s="42" t="s">
        <v>16</v>
      </c>
      <c r="BM150" s="43" t="str">
        <f>IF(VLOOKUP(BL150,βοηθητικό!$J$2:$N$354,3,FALSE)="","",VLOOKUP(BL150,βοηθητικό!$J$2:$N$354,3,FALSE))</f>
        <v>_</v>
      </c>
      <c r="BN150" s="44"/>
      <c r="BO150" s="45" t="s">
        <v>16</v>
      </c>
      <c r="BP150" s="46" t="str">
        <f>IF(VLOOKUP(BO150,βοηθητικό!$J$2:$N$354,3,FALSE)="","",VLOOKUP(BO150,βοηθητικό!$J$2:$N$354,3,FALSE))</f>
        <v>_</v>
      </c>
      <c r="BQ150" s="47"/>
      <c r="BR150" s="42" t="s">
        <v>16</v>
      </c>
      <c r="BS150" s="43" t="str">
        <f>IF(VLOOKUP(BR150,βοηθητικό!$J$2:$N$354,3,FALSE)="","",VLOOKUP(BR150,βοηθητικό!$J$2:$N$354,3,FALSE))</f>
        <v>_</v>
      </c>
      <c r="BT150" s="44"/>
      <c r="BU150" s="45" t="s">
        <v>16</v>
      </c>
      <c r="BV150" s="46" t="str">
        <f>IF(VLOOKUP(BU150,βοηθητικό!$J$2:$N$354,3,FALSE)="","",VLOOKUP(BU150,βοηθητικό!$J$2:$N$354,3,FALSE))</f>
        <v>_</v>
      </c>
      <c r="BW150" s="47"/>
      <c r="BX150" s="42" t="s">
        <v>16</v>
      </c>
      <c r="BY150" s="43" t="str">
        <f>IF(VLOOKUP(BX150,βοηθητικό!$J$2:$N$354,3,FALSE)="","",VLOOKUP(BX150,βοηθητικό!$J$2:$N$354,3,FALSE))</f>
        <v>_</v>
      </c>
      <c r="BZ150" s="44"/>
      <c r="CA150" s="45" t="s">
        <v>16</v>
      </c>
      <c r="CB150" s="46" t="str">
        <f>IF(VLOOKUP(CA150,βοηθητικό!$J$2:$N$354,3,FALSE)="","",VLOOKUP(CA150,βοηθητικό!$J$2:$N$354,3,FALSE))</f>
        <v>_</v>
      </c>
      <c r="CC150" s="47"/>
      <c r="CD150" s="42" t="s">
        <v>16</v>
      </c>
      <c r="CE150" s="43" t="str">
        <f>IF(VLOOKUP(CD150,βοηθητικό!$J$2:$N$354,3,FALSE)="","",VLOOKUP(CD150,βοηθητικό!$J$2:$N$354,3,FALSE))</f>
        <v>_</v>
      </c>
      <c r="CF150" s="44"/>
      <c r="CG150" s="45" t="s">
        <v>16</v>
      </c>
      <c r="CH150" s="46" t="str">
        <f>IF(VLOOKUP(CG150,βοηθητικό!$J$2:$N$354,3,FALSE)="","",VLOOKUP(CG150,βοηθητικό!$J$2:$N$354,3,FALSE))</f>
        <v>_</v>
      </c>
      <c r="CI150" s="47"/>
      <c r="CJ150" s="42" t="s">
        <v>16</v>
      </c>
      <c r="CK150" s="43" t="str">
        <f>IF(VLOOKUP(CJ150,βοηθητικό!$J$2:$N$354,3,FALSE)="","",VLOOKUP(CJ150,βοηθητικό!$J$2:$N$354,3,FALSE))</f>
        <v>_</v>
      </c>
      <c r="CL150" s="44"/>
      <c r="CM150" s="45" t="s">
        <v>16</v>
      </c>
      <c r="CN150" s="46" t="str">
        <f>IF(VLOOKUP(CM150,βοηθητικό!$J$2:$N$354,3,FALSE)="","",VLOOKUP(CM150,βοηθητικό!$J$2:$N$354,3,FALSE))</f>
        <v>_</v>
      </c>
      <c r="CO150" s="47"/>
      <c r="CP150" s="42" t="s">
        <v>16</v>
      </c>
      <c r="CQ150" s="43" t="str">
        <f>IF(VLOOKUP(CP150,βοηθητικό!$J$2:$N$354,3,FALSE)="","",VLOOKUP(CP150,βοηθητικό!$J$2:$N$354,3,FALSE))</f>
        <v>_</v>
      </c>
      <c r="CR150" s="44"/>
      <c r="CS150" s="45" t="s">
        <v>16</v>
      </c>
      <c r="CT150" s="46" t="str">
        <f>IF(VLOOKUP(CS150,βοηθητικό!$J$2:$N$354,3,FALSE)="","",VLOOKUP(CS150,βοηθητικό!$J$2:$N$354,3,FALSE))</f>
        <v>_</v>
      </c>
      <c r="CU150" s="47"/>
    </row>
    <row r="151" spans="1:99" x14ac:dyDescent="0.25">
      <c r="A151" s="37">
        <f>--SUBTOTAL(3,$B$3:B150)</f>
        <v>148</v>
      </c>
      <c r="B151" s="68">
        <v>45166</v>
      </c>
      <c r="C151" s="69">
        <v>45172</v>
      </c>
      <c r="D151" s="57" t="s">
        <v>33</v>
      </c>
      <c r="E151" s="38" t="s">
        <v>16</v>
      </c>
      <c r="F151" s="38" t="s">
        <v>16</v>
      </c>
      <c r="G151" s="39" t="str">
        <f t="shared" si="8"/>
        <v>__</v>
      </c>
      <c r="H151" s="40" t="str">
        <f t="shared" si="9"/>
        <v>FALSE</v>
      </c>
      <c r="I151" s="41">
        <f t="shared" si="10"/>
        <v>10</v>
      </c>
      <c r="J151" s="4" t="s">
        <v>179</v>
      </c>
      <c r="K151" s="43" t="str">
        <f>IF(VLOOKUP(J151,βοηθητικό!$J$2:$N$354,3,FALSE)="","",VLOOKUP(J151,βοηθητικό!$J$2:$N$354,3,FALSE))</f>
        <v>6944613389</v>
      </c>
      <c r="L151" s="44"/>
      <c r="M151" s="5" t="s">
        <v>220</v>
      </c>
      <c r="N151" s="46" t="str">
        <f>IF(VLOOKUP(M151,βοηθητικό!$J$2:$N$354,3,FALSE)="","",VLOOKUP(M151,βοηθητικό!$J$2:$N$354,3,FALSE))</f>
        <v>6979228710</v>
      </c>
      <c r="O151" s="47"/>
      <c r="P151" s="4" t="s">
        <v>283</v>
      </c>
      <c r="Q151" s="43" t="str">
        <f>IF(VLOOKUP(P151,βοηθητικό!$J$2:$N$354,3,FALSE)="","",VLOOKUP(P151,βοηθητικό!$J$2:$N$354,3,FALSE))</f>
        <v>6978486629</v>
      </c>
      <c r="R151" s="44"/>
      <c r="S151" s="5" t="s">
        <v>459</v>
      </c>
      <c r="T151" s="46" t="str">
        <f>IF(VLOOKUP(S151,βοηθητικό!$J$2:$N$354,3,FALSE)="","",VLOOKUP(S151,βοηθητικό!$J$2:$N$354,3,FALSE))</f>
        <v>6978292709</v>
      </c>
      <c r="U151" s="47"/>
      <c r="V151" s="4" t="s">
        <v>360</v>
      </c>
      <c r="W151" s="43" t="str">
        <f>IF(VLOOKUP(V151,βοηθητικό!$J$2:$N$354,3,FALSE)="","",VLOOKUP(V151,βοηθητικό!$J$2:$N$354,3,FALSE))</f>
        <v>6973306494</v>
      </c>
      <c r="X151" s="44"/>
      <c r="Y151" s="5" t="s">
        <v>424</v>
      </c>
      <c r="Z151" s="46" t="str">
        <f>IF(VLOOKUP(Y151,βοηθητικό!$J$2:$N$354,3,FALSE)="","",VLOOKUP(Y151,βοηθητικό!$J$2:$N$354,3,FALSE))</f>
        <v>6907545731</v>
      </c>
      <c r="AA151" s="47"/>
      <c r="AB151" s="4" t="s">
        <v>317</v>
      </c>
      <c r="AC151" s="43" t="str">
        <f>IF(VLOOKUP(AB151,βοηθητικό!$J$2:$N$354,3,FALSE)="","",VLOOKUP(AB151,βοηθητικό!$J$2:$N$354,3,FALSE))</f>
        <v>6936772633</v>
      </c>
      <c r="AD151" s="44"/>
      <c r="AE151" s="5" t="s">
        <v>369</v>
      </c>
      <c r="AF151" s="46" t="str">
        <f>IF(VLOOKUP(AE151,βοηθητικό!$J$2:$N$354,3,FALSE)="","",VLOOKUP(AE151,βοηθητικό!$J$2:$N$354,3,FALSE))</f>
        <v>6945151494</v>
      </c>
      <c r="AG151" s="47"/>
      <c r="AH151" s="4" t="s">
        <v>373</v>
      </c>
      <c r="AI151" s="43" t="str">
        <f>IF(VLOOKUP(AH151,βοηθητικό!$J$2:$N$354,3,FALSE)="","",VLOOKUP(AH151,βοηθητικό!$J$2:$N$354,3,FALSE))</f>
        <v>6932911077</v>
      </c>
      <c r="AJ151" s="44"/>
      <c r="AK151" s="5" t="s">
        <v>412</v>
      </c>
      <c r="AL151" s="46" t="str">
        <f>IF(VLOOKUP(AK151,βοηθητικό!$J$2:$N$354,3,FALSE)="","",VLOOKUP(AK151,βοηθητικό!$J$2:$N$354,3,FALSE))</f>
        <v>6942550725</v>
      </c>
      <c r="AM151" s="47"/>
      <c r="AN151" s="4" t="s">
        <v>16</v>
      </c>
      <c r="AO151" s="43" t="str">
        <f>IF(VLOOKUP(AN151,βοηθητικό!$J$2:$N$354,3,FALSE)="","",VLOOKUP(AN151,βοηθητικό!$J$2:$N$354,3,FALSE))</f>
        <v>_</v>
      </c>
      <c r="AP151" s="44"/>
      <c r="AQ151" s="5" t="s">
        <v>16</v>
      </c>
      <c r="AR151" s="46" t="str">
        <f>IF(VLOOKUP(AQ151,βοηθητικό!$J$2:$N$354,3,FALSE)="","",VLOOKUP(AQ151,βοηθητικό!$J$2:$N$354,3,FALSE))</f>
        <v>_</v>
      </c>
      <c r="AS151" s="47"/>
      <c r="AT151" s="4" t="s">
        <v>16</v>
      </c>
      <c r="AU151" s="43" t="str">
        <f>IF(VLOOKUP(AT151,βοηθητικό!$J$2:$N$354,3,FALSE)="","",VLOOKUP(AT151,βοηθητικό!$J$2:$N$354,3,FALSE))</f>
        <v>_</v>
      </c>
      <c r="AV151" s="44"/>
      <c r="AW151" s="5" t="s">
        <v>16</v>
      </c>
      <c r="AX151" s="46" t="str">
        <f>IF(VLOOKUP(AW151,βοηθητικό!$J$2:$N$354,3,FALSE)="","",VLOOKUP(AW151,βοηθητικό!$J$2:$N$354,3,FALSE))</f>
        <v>_</v>
      </c>
      <c r="AY151" s="47"/>
      <c r="AZ151" s="4" t="s">
        <v>16</v>
      </c>
      <c r="BA151" s="43" t="str">
        <f>IF(VLOOKUP(AZ151,βοηθητικό!$J$2:$N$354,3,FALSE)="","",VLOOKUP(AZ151,βοηθητικό!$J$2:$N$354,3,FALSE))</f>
        <v>_</v>
      </c>
      <c r="BB151" s="44"/>
      <c r="BC151" s="45" t="s">
        <v>16</v>
      </c>
      <c r="BD151" s="46" t="str">
        <f>IF(VLOOKUP(BC151,βοηθητικό!$J$2:$N$354,3,FALSE)="","",VLOOKUP(BC151,βοηθητικό!$J$2:$N$354,3,FALSE))</f>
        <v>_</v>
      </c>
      <c r="BE151" s="47"/>
      <c r="BF151" s="42" t="s">
        <v>16</v>
      </c>
      <c r="BG151" s="43" t="str">
        <f>IF(VLOOKUP(BF151,βοηθητικό!$J$2:$N$354,3,FALSE)="","",VLOOKUP(BF151,βοηθητικό!$J$2:$N$354,3,FALSE))</f>
        <v>_</v>
      </c>
      <c r="BH151" s="44"/>
      <c r="BI151" s="45" t="s">
        <v>16</v>
      </c>
      <c r="BJ151" s="46" t="str">
        <f>IF(VLOOKUP(BI151,βοηθητικό!$J$2:$N$354,3,FALSE)="","",VLOOKUP(BI151,βοηθητικό!$J$2:$N$354,3,FALSE))</f>
        <v>_</v>
      </c>
      <c r="BK151" s="47"/>
      <c r="BL151" s="42" t="s">
        <v>16</v>
      </c>
      <c r="BM151" s="43" t="str">
        <f>IF(VLOOKUP(BL151,βοηθητικό!$J$2:$N$354,3,FALSE)="","",VLOOKUP(BL151,βοηθητικό!$J$2:$N$354,3,FALSE))</f>
        <v>_</v>
      </c>
      <c r="BN151" s="44"/>
      <c r="BO151" s="45" t="s">
        <v>16</v>
      </c>
      <c r="BP151" s="46" t="str">
        <f>IF(VLOOKUP(BO151,βοηθητικό!$J$2:$N$354,3,FALSE)="","",VLOOKUP(BO151,βοηθητικό!$J$2:$N$354,3,FALSE))</f>
        <v>_</v>
      </c>
      <c r="BQ151" s="47"/>
      <c r="BR151" s="42" t="s">
        <v>16</v>
      </c>
      <c r="BS151" s="43" t="str">
        <f>IF(VLOOKUP(BR151,βοηθητικό!$J$2:$N$354,3,FALSE)="","",VLOOKUP(BR151,βοηθητικό!$J$2:$N$354,3,FALSE))</f>
        <v>_</v>
      </c>
      <c r="BT151" s="44"/>
      <c r="BU151" s="45" t="s">
        <v>16</v>
      </c>
      <c r="BV151" s="46" t="str">
        <f>IF(VLOOKUP(BU151,βοηθητικό!$J$2:$N$354,3,FALSE)="","",VLOOKUP(BU151,βοηθητικό!$J$2:$N$354,3,FALSE))</f>
        <v>_</v>
      </c>
      <c r="BW151" s="47"/>
      <c r="BX151" s="42" t="s">
        <v>16</v>
      </c>
      <c r="BY151" s="43" t="str">
        <f>IF(VLOOKUP(BX151,βοηθητικό!$J$2:$N$354,3,FALSE)="","",VLOOKUP(BX151,βοηθητικό!$J$2:$N$354,3,FALSE))</f>
        <v>_</v>
      </c>
      <c r="BZ151" s="44"/>
      <c r="CA151" s="45" t="s">
        <v>16</v>
      </c>
      <c r="CB151" s="46" t="str">
        <f>IF(VLOOKUP(CA151,βοηθητικό!$J$2:$N$354,3,FALSE)="","",VLOOKUP(CA151,βοηθητικό!$J$2:$N$354,3,FALSE))</f>
        <v>_</v>
      </c>
      <c r="CC151" s="47"/>
      <c r="CD151" s="42" t="s">
        <v>16</v>
      </c>
      <c r="CE151" s="43" t="str">
        <f>IF(VLOOKUP(CD151,βοηθητικό!$J$2:$N$354,3,FALSE)="","",VLOOKUP(CD151,βοηθητικό!$J$2:$N$354,3,FALSE))</f>
        <v>_</v>
      </c>
      <c r="CF151" s="44"/>
      <c r="CG151" s="45" t="s">
        <v>16</v>
      </c>
      <c r="CH151" s="46" t="str">
        <f>IF(VLOOKUP(CG151,βοηθητικό!$J$2:$N$354,3,FALSE)="","",VLOOKUP(CG151,βοηθητικό!$J$2:$N$354,3,FALSE))</f>
        <v>_</v>
      </c>
      <c r="CI151" s="47"/>
      <c r="CJ151" s="42" t="s">
        <v>16</v>
      </c>
      <c r="CK151" s="43" t="str">
        <f>IF(VLOOKUP(CJ151,βοηθητικό!$J$2:$N$354,3,FALSE)="","",VLOOKUP(CJ151,βοηθητικό!$J$2:$N$354,3,FALSE))</f>
        <v>_</v>
      </c>
      <c r="CL151" s="44"/>
      <c r="CM151" s="45" t="s">
        <v>16</v>
      </c>
      <c r="CN151" s="46" t="str">
        <f>IF(VLOOKUP(CM151,βοηθητικό!$J$2:$N$354,3,FALSE)="","",VLOOKUP(CM151,βοηθητικό!$J$2:$N$354,3,FALSE))</f>
        <v>_</v>
      </c>
      <c r="CO151" s="47"/>
      <c r="CP151" s="42" t="s">
        <v>16</v>
      </c>
      <c r="CQ151" s="43" t="str">
        <f>IF(VLOOKUP(CP151,βοηθητικό!$J$2:$N$354,3,FALSE)="","",VLOOKUP(CP151,βοηθητικό!$J$2:$N$354,3,FALSE))</f>
        <v>_</v>
      </c>
      <c r="CR151" s="44"/>
      <c r="CS151" s="45" t="s">
        <v>16</v>
      </c>
      <c r="CT151" s="46" t="str">
        <f>IF(VLOOKUP(CS151,βοηθητικό!$J$2:$N$354,3,FALSE)="","",VLOOKUP(CS151,βοηθητικό!$J$2:$N$354,3,FALSE))</f>
        <v>_</v>
      </c>
      <c r="CU151" s="47"/>
    </row>
    <row r="152" spans="1:99" x14ac:dyDescent="0.25">
      <c r="A152" s="37">
        <f>--SUBTOTAL(3,$B$3:B151)</f>
        <v>149</v>
      </c>
      <c r="B152" s="68">
        <v>45173</v>
      </c>
      <c r="C152" s="69">
        <v>45179</v>
      </c>
      <c r="D152" s="57" t="s">
        <v>33</v>
      </c>
      <c r="E152" s="38" t="s">
        <v>16</v>
      </c>
      <c r="F152" s="38" t="s">
        <v>16</v>
      </c>
      <c r="G152" s="39" t="str">
        <f t="shared" si="8"/>
        <v>__</v>
      </c>
      <c r="H152" s="40" t="str">
        <f t="shared" si="9"/>
        <v>FALSE</v>
      </c>
      <c r="I152" s="41">
        <f t="shared" si="10"/>
        <v>11</v>
      </c>
      <c r="J152" s="4" t="s">
        <v>350</v>
      </c>
      <c r="K152" s="43" t="str">
        <f>IF(VLOOKUP(J152,βοηθητικό!$J$2:$N$354,3,FALSE)="","",VLOOKUP(J152,βοηθητικό!$J$2:$N$354,3,FALSE))</f>
        <v>6974790515</v>
      </c>
      <c r="L152" s="44"/>
      <c r="M152" s="5" t="s">
        <v>271</v>
      </c>
      <c r="N152" s="46" t="str">
        <f>IF(VLOOKUP(M152,βοηθητικό!$J$2:$N$354,3,FALSE)="","",VLOOKUP(M152,βοηθητικό!$J$2:$N$354,3,FALSE))</f>
        <v>6944508818</v>
      </c>
      <c r="O152" s="47"/>
      <c r="P152" s="4" t="s">
        <v>121</v>
      </c>
      <c r="Q152" s="43" t="str">
        <f>IF(VLOOKUP(P152,βοηθητικό!$J$2:$N$354,3,FALSE)="","",VLOOKUP(P152,βοηθητικό!$J$2:$N$354,3,FALSE))</f>
        <v>6949672608</v>
      </c>
      <c r="R152" s="44"/>
      <c r="S152" s="5" t="s">
        <v>227</v>
      </c>
      <c r="T152" s="46" t="str">
        <f>IF(VLOOKUP(S152,βοηθητικό!$J$2:$N$354,3,FALSE)="","",VLOOKUP(S152,βοηθητικό!$J$2:$N$354,3,FALSE))</f>
        <v>6946431686</v>
      </c>
      <c r="U152" s="47"/>
      <c r="V152" s="4" t="s">
        <v>238</v>
      </c>
      <c r="W152" s="43" t="str">
        <f>IF(VLOOKUP(V152,βοηθητικό!$J$2:$N$354,3,FALSE)="","",VLOOKUP(V152,βοηθητικό!$J$2:$N$354,3,FALSE))</f>
        <v>6985709513</v>
      </c>
      <c r="X152" s="44"/>
      <c r="Y152" s="5" t="s">
        <v>431</v>
      </c>
      <c r="Z152" s="46" t="str">
        <f>IF(VLOOKUP(Y152,βοηθητικό!$J$2:$N$354,3,FALSE)="","",VLOOKUP(Y152,βοηθητικό!$J$2:$N$354,3,FALSE))</f>
        <v>6973935715</v>
      </c>
      <c r="AA152" s="47"/>
      <c r="AB152" s="4" t="s">
        <v>440</v>
      </c>
      <c r="AC152" s="43" t="str">
        <f>IF(VLOOKUP(AB152,βοηθητικό!$J$2:$N$354,3,FALSE)="","",VLOOKUP(AB152,βοηθητικό!$J$2:$N$354,3,FALSE))</f>
        <v>6981517173</v>
      </c>
      <c r="AD152" s="44"/>
      <c r="AE152" s="5" t="s">
        <v>152</v>
      </c>
      <c r="AF152" s="46" t="str">
        <f>IF(VLOOKUP(AE152,βοηθητικό!$J$2:$N$354,3,FALSE)="","",VLOOKUP(AE152,βοηθητικό!$J$2:$N$354,3,FALSE))</f>
        <v>6974605685</v>
      </c>
      <c r="AG152" s="47"/>
      <c r="AH152" s="4" t="s">
        <v>277</v>
      </c>
      <c r="AI152" s="43" t="str">
        <f>IF(VLOOKUP(AH152,βοηθητικό!$J$2:$N$354,3,FALSE)="","",VLOOKUP(AH152,βοηθητικό!$J$2:$N$354,3,FALSE))</f>
        <v>6977827750</v>
      </c>
      <c r="AJ152" s="44"/>
      <c r="AK152" s="5" t="s">
        <v>444</v>
      </c>
      <c r="AL152" s="46" t="str">
        <f>IF(VLOOKUP(AK152,βοηθητικό!$J$2:$N$354,3,FALSE)="","",VLOOKUP(AK152,βοηθητικό!$J$2:$N$354,3,FALSE))</f>
        <v>6977538476</v>
      </c>
      <c r="AM152" s="47"/>
      <c r="AN152" s="4" t="s">
        <v>288</v>
      </c>
      <c r="AO152" s="43" t="str">
        <f>IF(VLOOKUP(AN152,βοηθητικό!$J$2:$N$354,3,FALSE)="","",VLOOKUP(AN152,βοηθητικό!$J$2:$N$354,3,FALSE))</f>
        <v>6936783135</v>
      </c>
      <c r="AP152" s="44"/>
      <c r="AQ152" s="5" t="s">
        <v>16</v>
      </c>
      <c r="AR152" s="46" t="str">
        <f>IF(VLOOKUP(AQ152,βοηθητικό!$J$2:$N$354,3,FALSE)="","",VLOOKUP(AQ152,βοηθητικό!$J$2:$N$354,3,FALSE))</f>
        <v>_</v>
      </c>
      <c r="AS152" s="47"/>
      <c r="AT152" s="4" t="s">
        <v>16</v>
      </c>
      <c r="AU152" s="43" t="str">
        <f>IF(VLOOKUP(AT152,βοηθητικό!$J$2:$N$354,3,FALSE)="","",VLOOKUP(AT152,βοηθητικό!$J$2:$N$354,3,FALSE))</f>
        <v>_</v>
      </c>
      <c r="AV152" s="44"/>
      <c r="AW152" s="5" t="s">
        <v>16</v>
      </c>
      <c r="AX152" s="46" t="str">
        <f>IF(VLOOKUP(AW152,βοηθητικό!$J$2:$N$354,3,FALSE)="","",VLOOKUP(AW152,βοηθητικό!$J$2:$N$354,3,FALSE))</f>
        <v>_</v>
      </c>
      <c r="AY152" s="47"/>
      <c r="AZ152" s="4" t="s">
        <v>16</v>
      </c>
      <c r="BA152" s="43" t="str">
        <f>IF(VLOOKUP(AZ152,βοηθητικό!$J$2:$N$354,3,FALSE)="","",VLOOKUP(AZ152,βοηθητικό!$J$2:$N$354,3,FALSE))</f>
        <v>_</v>
      </c>
      <c r="BB152" s="44"/>
      <c r="BC152" s="45" t="s">
        <v>16</v>
      </c>
      <c r="BD152" s="46" t="str">
        <f>IF(VLOOKUP(BC152,βοηθητικό!$J$2:$N$354,3,FALSE)="","",VLOOKUP(BC152,βοηθητικό!$J$2:$N$354,3,FALSE))</f>
        <v>_</v>
      </c>
      <c r="BE152" s="47"/>
      <c r="BF152" s="42" t="s">
        <v>16</v>
      </c>
      <c r="BG152" s="43" t="str">
        <f>IF(VLOOKUP(BF152,βοηθητικό!$J$2:$N$354,3,FALSE)="","",VLOOKUP(BF152,βοηθητικό!$J$2:$N$354,3,FALSE))</f>
        <v>_</v>
      </c>
      <c r="BH152" s="44"/>
      <c r="BI152" s="45" t="s">
        <v>16</v>
      </c>
      <c r="BJ152" s="46" t="str">
        <f>IF(VLOOKUP(BI152,βοηθητικό!$J$2:$N$354,3,FALSE)="","",VLOOKUP(BI152,βοηθητικό!$J$2:$N$354,3,FALSE))</f>
        <v>_</v>
      </c>
      <c r="BK152" s="47"/>
      <c r="BL152" s="42" t="s">
        <v>16</v>
      </c>
      <c r="BM152" s="43" t="str">
        <f>IF(VLOOKUP(BL152,βοηθητικό!$J$2:$N$354,3,FALSE)="","",VLOOKUP(BL152,βοηθητικό!$J$2:$N$354,3,FALSE))</f>
        <v>_</v>
      </c>
      <c r="BN152" s="44"/>
      <c r="BO152" s="45" t="s">
        <v>16</v>
      </c>
      <c r="BP152" s="46" t="str">
        <f>IF(VLOOKUP(BO152,βοηθητικό!$J$2:$N$354,3,FALSE)="","",VLOOKUP(BO152,βοηθητικό!$J$2:$N$354,3,FALSE))</f>
        <v>_</v>
      </c>
      <c r="BQ152" s="47"/>
      <c r="BR152" s="42" t="s">
        <v>16</v>
      </c>
      <c r="BS152" s="43" t="str">
        <f>IF(VLOOKUP(BR152,βοηθητικό!$J$2:$N$354,3,FALSE)="","",VLOOKUP(BR152,βοηθητικό!$J$2:$N$354,3,FALSE))</f>
        <v>_</v>
      </c>
      <c r="BT152" s="44"/>
      <c r="BU152" s="45" t="s">
        <v>16</v>
      </c>
      <c r="BV152" s="46" t="str">
        <f>IF(VLOOKUP(BU152,βοηθητικό!$J$2:$N$354,3,FALSE)="","",VLOOKUP(BU152,βοηθητικό!$J$2:$N$354,3,FALSE))</f>
        <v>_</v>
      </c>
      <c r="BW152" s="47"/>
      <c r="BX152" s="42" t="s">
        <v>16</v>
      </c>
      <c r="BY152" s="43" t="str">
        <f>IF(VLOOKUP(BX152,βοηθητικό!$J$2:$N$354,3,FALSE)="","",VLOOKUP(BX152,βοηθητικό!$J$2:$N$354,3,FALSE))</f>
        <v>_</v>
      </c>
      <c r="BZ152" s="44"/>
      <c r="CA152" s="45" t="s">
        <v>16</v>
      </c>
      <c r="CB152" s="46" t="str">
        <f>IF(VLOOKUP(CA152,βοηθητικό!$J$2:$N$354,3,FALSE)="","",VLOOKUP(CA152,βοηθητικό!$J$2:$N$354,3,FALSE))</f>
        <v>_</v>
      </c>
      <c r="CC152" s="47"/>
      <c r="CD152" s="42" t="s">
        <v>16</v>
      </c>
      <c r="CE152" s="43" t="str">
        <f>IF(VLOOKUP(CD152,βοηθητικό!$J$2:$N$354,3,FALSE)="","",VLOOKUP(CD152,βοηθητικό!$J$2:$N$354,3,FALSE))</f>
        <v>_</v>
      </c>
      <c r="CF152" s="44"/>
      <c r="CG152" s="45" t="s">
        <v>16</v>
      </c>
      <c r="CH152" s="46" t="str">
        <f>IF(VLOOKUP(CG152,βοηθητικό!$J$2:$N$354,3,FALSE)="","",VLOOKUP(CG152,βοηθητικό!$J$2:$N$354,3,FALSE))</f>
        <v>_</v>
      </c>
      <c r="CI152" s="47"/>
      <c r="CJ152" s="42" t="s">
        <v>16</v>
      </c>
      <c r="CK152" s="43" t="str">
        <f>IF(VLOOKUP(CJ152,βοηθητικό!$J$2:$N$354,3,FALSE)="","",VLOOKUP(CJ152,βοηθητικό!$J$2:$N$354,3,FALSE))</f>
        <v>_</v>
      </c>
      <c r="CL152" s="44"/>
      <c r="CM152" s="45" t="s">
        <v>16</v>
      </c>
      <c r="CN152" s="46" t="str">
        <f>IF(VLOOKUP(CM152,βοηθητικό!$J$2:$N$354,3,FALSE)="","",VLOOKUP(CM152,βοηθητικό!$J$2:$N$354,3,FALSE))</f>
        <v>_</v>
      </c>
      <c r="CO152" s="47"/>
      <c r="CP152" s="42" t="s">
        <v>16</v>
      </c>
      <c r="CQ152" s="43" t="str">
        <f>IF(VLOOKUP(CP152,βοηθητικό!$J$2:$N$354,3,FALSE)="","",VLOOKUP(CP152,βοηθητικό!$J$2:$N$354,3,FALSE))</f>
        <v>_</v>
      </c>
      <c r="CR152" s="44"/>
      <c r="CS152" s="45" t="s">
        <v>16</v>
      </c>
      <c r="CT152" s="46" t="str">
        <f>IF(VLOOKUP(CS152,βοηθητικό!$J$2:$N$354,3,FALSE)="","",VLOOKUP(CS152,βοηθητικό!$J$2:$N$354,3,FALSE))</f>
        <v>_</v>
      </c>
      <c r="CU152" s="47"/>
    </row>
    <row r="153" spans="1:99" x14ac:dyDescent="0.25">
      <c r="A153" s="37">
        <f>--SUBTOTAL(3,$B$3:B152)</f>
        <v>150</v>
      </c>
      <c r="B153" s="68">
        <v>45180</v>
      </c>
      <c r="C153" s="69">
        <v>45186</v>
      </c>
      <c r="D153" s="57" t="s">
        <v>33</v>
      </c>
      <c r="E153" s="38" t="s">
        <v>16</v>
      </c>
      <c r="F153" s="38" t="s">
        <v>16</v>
      </c>
      <c r="G153" s="39" t="str">
        <f t="shared" si="8"/>
        <v>__</v>
      </c>
      <c r="H153" s="40" t="str">
        <f t="shared" si="9"/>
        <v>FALSE</v>
      </c>
      <c r="I153" s="41">
        <f t="shared" si="10"/>
        <v>10</v>
      </c>
      <c r="J153" s="4" t="s">
        <v>345</v>
      </c>
      <c r="K153" s="43" t="str">
        <f>IF(VLOOKUP(J153,βοηθητικό!$J$2:$N$354,3,FALSE)="","",VLOOKUP(J153,βοηθητικό!$J$2:$N$354,3,FALSE))</f>
        <v>6937733373</v>
      </c>
      <c r="L153" s="44"/>
      <c r="M153" s="5" t="s">
        <v>355</v>
      </c>
      <c r="N153" s="46" t="str">
        <f>IF(VLOOKUP(M153,βοηθητικό!$J$2:$N$354,3,FALSE)="","",VLOOKUP(M153,βοηθητικό!$J$2:$N$354,3,FALSE))</f>
        <v>6947899410</v>
      </c>
      <c r="O153" s="47"/>
      <c r="P153" s="4" t="s">
        <v>449</v>
      </c>
      <c r="Q153" s="43" t="str">
        <f>IF(VLOOKUP(P153,βοηθητικό!$J$2:$N$354,3,FALSE)="","",VLOOKUP(P153,βοηθητικό!$J$2:$N$354,3,FALSE))</f>
        <v>6972583885</v>
      </c>
      <c r="R153" s="44"/>
      <c r="S153" s="5" t="s">
        <v>333</v>
      </c>
      <c r="T153" s="46" t="str">
        <f>IF(VLOOKUP(S153,βοηθητικό!$J$2:$N$354,3,FALSE)="","",VLOOKUP(S153,βοηθητικό!$J$2:$N$354,3,FALSE))</f>
        <v>6948630062</v>
      </c>
      <c r="U153" s="47"/>
      <c r="V153" s="4" t="s">
        <v>395</v>
      </c>
      <c r="W153" s="43" t="str">
        <f>IF(VLOOKUP(V153,βοηθητικό!$J$2:$N$354,3,FALSE)="","",VLOOKUP(V153,βοηθητικό!$J$2:$N$354,3,FALSE))</f>
        <v>6987887267</v>
      </c>
      <c r="X153" s="44"/>
      <c r="Y153" s="5" t="s">
        <v>401</v>
      </c>
      <c r="Z153" s="46" t="str">
        <f>IF(VLOOKUP(Y153,βοηθητικό!$J$2:$N$354,3,FALSE)="","",VLOOKUP(Y153,βοηθητικό!$J$2:$N$354,3,FALSE))</f>
        <v>6944884457</v>
      </c>
      <c r="AA153" s="47"/>
      <c r="AB153" s="4" t="s">
        <v>186</v>
      </c>
      <c r="AC153" s="43" t="str">
        <f>IF(VLOOKUP(AB153,βοηθητικό!$J$2:$N$354,3,FALSE)="","",VLOOKUP(AB153,βοηθητικό!$J$2:$N$354,3,FALSE))</f>
        <v>6938905960</v>
      </c>
      <c r="AD153" s="44"/>
      <c r="AE153" s="5" t="s">
        <v>249</v>
      </c>
      <c r="AF153" s="46" t="str">
        <f>IF(VLOOKUP(AE153,βοηθητικό!$J$2:$N$354,3,FALSE)="","",VLOOKUP(AE153,βοηθητικό!$J$2:$N$354,3,FALSE))</f>
        <v>6942712698</v>
      </c>
      <c r="AG153" s="47"/>
      <c r="AH153" s="4" t="s">
        <v>295</v>
      </c>
      <c r="AI153" s="43" t="str">
        <f>IF(VLOOKUP(AH153,βοηθητικό!$J$2:$N$354,3,FALSE)="","",VLOOKUP(AH153,βοηθητικό!$J$2:$N$354,3,FALSE))</f>
        <v>6945415670</v>
      </c>
      <c r="AJ153" s="44"/>
      <c r="AK153" s="5" t="s">
        <v>365</v>
      </c>
      <c r="AL153" s="46" t="str">
        <f>IF(VLOOKUP(AK153,βοηθητικό!$J$2:$N$354,3,FALSE)="","",VLOOKUP(AK153,βοηθητικό!$J$2:$N$354,3,FALSE))</f>
        <v>6908725909</v>
      </c>
      <c r="AM153" s="47"/>
      <c r="AN153" s="4" t="s">
        <v>16</v>
      </c>
      <c r="AO153" s="43" t="str">
        <f>IF(VLOOKUP(AN153,βοηθητικό!$J$2:$N$354,3,FALSE)="","",VLOOKUP(AN153,βοηθητικό!$J$2:$N$354,3,FALSE))</f>
        <v>_</v>
      </c>
      <c r="AP153" s="44"/>
      <c r="AQ153" s="5" t="s">
        <v>16</v>
      </c>
      <c r="AR153" s="46" t="str">
        <f>IF(VLOOKUP(AQ153,βοηθητικό!$J$2:$N$354,3,FALSE)="","",VLOOKUP(AQ153,βοηθητικό!$J$2:$N$354,3,FALSE))</f>
        <v>_</v>
      </c>
      <c r="AS153" s="47"/>
      <c r="AT153" s="4" t="s">
        <v>16</v>
      </c>
      <c r="AU153" s="43" t="str">
        <f>IF(VLOOKUP(AT153,βοηθητικό!$J$2:$N$354,3,FALSE)="","",VLOOKUP(AT153,βοηθητικό!$J$2:$N$354,3,FALSE))</f>
        <v>_</v>
      </c>
      <c r="AV153" s="44"/>
      <c r="AW153" s="5" t="s">
        <v>16</v>
      </c>
      <c r="AX153" s="46" t="str">
        <f>IF(VLOOKUP(AW153,βοηθητικό!$J$2:$N$354,3,FALSE)="","",VLOOKUP(AW153,βοηθητικό!$J$2:$N$354,3,FALSE))</f>
        <v>_</v>
      </c>
      <c r="AY153" s="47"/>
      <c r="AZ153" s="4" t="s">
        <v>16</v>
      </c>
      <c r="BA153" s="43" t="str">
        <f>IF(VLOOKUP(AZ153,βοηθητικό!$J$2:$N$354,3,FALSE)="","",VLOOKUP(AZ153,βοηθητικό!$J$2:$N$354,3,FALSE))</f>
        <v>_</v>
      </c>
      <c r="BB153" s="44"/>
      <c r="BC153" s="45" t="s">
        <v>16</v>
      </c>
      <c r="BD153" s="46" t="str">
        <f>IF(VLOOKUP(BC153,βοηθητικό!$J$2:$N$354,3,FALSE)="","",VLOOKUP(BC153,βοηθητικό!$J$2:$N$354,3,FALSE))</f>
        <v>_</v>
      </c>
      <c r="BE153" s="47"/>
      <c r="BF153" s="42" t="s">
        <v>16</v>
      </c>
      <c r="BG153" s="43" t="str">
        <f>IF(VLOOKUP(BF153,βοηθητικό!$J$2:$N$354,3,FALSE)="","",VLOOKUP(BF153,βοηθητικό!$J$2:$N$354,3,FALSE))</f>
        <v>_</v>
      </c>
      <c r="BH153" s="44"/>
      <c r="BI153" s="45" t="s">
        <v>16</v>
      </c>
      <c r="BJ153" s="46" t="str">
        <f>IF(VLOOKUP(BI153,βοηθητικό!$J$2:$N$354,3,FALSE)="","",VLOOKUP(BI153,βοηθητικό!$J$2:$N$354,3,FALSE))</f>
        <v>_</v>
      </c>
      <c r="BK153" s="47"/>
      <c r="BL153" s="42" t="s">
        <v>16</v>
      </c>
      <c r="BM153" s="43" t="str">
        <f>IF(VLOOKUP(BL153,βοηθητικό!$J$2:$N$354,3,FALSE)="","",VLOOKUP(BL153,βοηθητικό!$J$2:$N$354,3,FALSE))</f>
        <v>_</v>
      </c>
      <c r="BN153" s="44"/>
      <c r="BO153" s="45" t="s">
        <v>16</v>
      </c>
      <c r="BP153" s="46" t="str">
        <f>IF(VLOOKUP(BO153,βοηθητικό!$J$2:$N$354,3,FALSE)="","",VLOOKUP(BO153,βοηθητικό!$J$2:$N$354,3,FALSE))</f>
        <v>_</v>
      </c>
      <c r="BQ153" s="47"/>
      <c r="BR153" s="42" t="s">
        <v>16</v>
      </c>
      <c r="BS153" s="43" t="str">
        <f>IF(VLOOKUP(BR153,βοηθητικό!$J$2:$N$354,3,FALSE)="","",VLOOKUP(BR153,βοηθητικό!$J$2:$N$354,3,FALSE))</f>
        <v>_</v>
      </c>
      <c r="BT153" s="44"/>
      <c r="BU153" s="45" t="s">
        <v>16</v>
      </c>
      <c r="BV153" s="46" t="str">
        <f>IF(VLOOKUP(BU153,βοηθητικό!$J$2:$N$354,3,FALSE)="","",VLOOKUP(BU153,βοηθητικό!$J$2:$N$354,3,FALSE))</f>
        <v>_</v>
      </c>
      <c r="BW153" s="47"/>
      <c r="BX153" s="42" t="s">
        <v>16</v>
      </c>
      <c r="BY153" s="43" t="str">
        <f>IF(VLOOKUP(BX153,βοηθητικό!$J$2:$N$354,3,FALSE)="","",VLOOKUP(BX153,βοηθητικό!$J$2:$N$354,3,FALSE))</f>
        <v>_</v>
      </c>
      <c r="BZ153" s="44"/>
      <c r="CA153" s="45" t="s">
        <v>16</v>
      </c>
      <c r="CB153" s="46" t="str">
        <f>IF(VLOOKUP(CA153,βοηθητικό!$J$2:$N$354,3,FALSE)="","",VLOOKUP(CA153,βοηθητικό!$J$2:$N$354,3,FALSE))</f>
        <v>_</v>
      </c>
      <c r="CC153" s="47"/>
      <c r="CD153" s="42" t="s">
        <v>16</v>
      </c>
      <c r="CE153" s="43" t="str">
        <f>IF(VLOOKUP(CD153,βοηθητικό!$J$2:$N$354,3,FALSE)="","",VLOOKUP(CD153,βοηθητικό!$J$2:$N$354,3,FALSE))</f>
        <v>_</v>
      </c>
      <c r="CF153" s="44"/>
      <c r="CG153" s="45" t="s">
        <v>16</v>
      </c>
      <c r="CH153" s="46" t="str">
        <f>IF(VLOOKUP(CG153,βοηθητικό!$J$2:$N$354,3,FALSE)="","",VLOOKUP(CG153,βοηθητικό!$J$2:$N$354,3,FALSE))</f>
        <v>_</v>
      </c>
      <c r="CI153" s="47"/>
      <c r="CJ153" s="42" t="s">
        <v>16</v>
      </c>
      <c r="CK153" s="43" t="str">
        <f>IF(VLOOKUP(CJ153,βοηθητικό!$J$2:$N$354,3,FALSE)="","",VLOOKUP(CJ153,βοηθητικό!$J$2:$N$354,3,FALSE))</f>
        <v>_</v>
      </c>
      <c r="CL153" s="44"/>
      <c r="CM153" s="45" t="s">
        <v>16</v>
      </c>
      <c r="CN153" s="46" t="str">
        <f>IF(VLOOKUP(CM153,βοηθητικό!$J$2:$N$354,3,FALSE)="","",VLOOKUP(CM153,βοηθητικό!$J$2:$N$354,3,FALSE))</f>
        <v>_</v>
      </c>
      <c r="CO153" s="47"/>
      <c r="CP153" s="42" t="s">
        <v>16</v>
      </c>
      <c r="CQ153" s="43" t="str">
        <f>IF(VLOOKUP(CP153,βοηθητικό!$J$2:$N$354,3,FALSE)="","",VLOOKUP(CP153,βοηθητικό!$J$2:$N$354,3,FALSE))</f>
        <v>_</v>
      </c>
      <c r="CR153" s="44"/>
      <c r="CS153" s="45" t="s">
        <v>16</v>
      </c>
      <c r="CT153" s="46" t="str">
        <f>IF(VLOOKUP(CS153,βοηθητικό!$J$2:$N$354,3,FALSE)="","",VLOOKUP(CS153,βοηθητικό!$J$2:$N$354,3,FALSE))</f>
        <v>_</v>
      </c>
      <c r="CU153" s="47"/>
    </row>
    <row r="154" spans="1:99" x14ac:dyDescent="0.25">
      <c r="A154" s="37">
        <f>--SUBTOTAL(3,$B$3:B153)</f>
        <v>151</v>
      </c>
      <c r="B154" s="68">
        <v>45187</v>
      </c>
      <c r="C154" s="69">
        <v>45193</v>
      </c>
      <c r="D154" s="57" t="s">
        <v>33</v>
      </c>
      <c r="E154" s="38" t="s">
        <v>16</v>
      </c>
      <c r="F154" s="38" t="s">
        <v>16</v>
      </c>
      <c r="G154" s="39" t="str">
        <f t="shared" si="8"/>
        <v>__</v>
      </c>
      <c r="H154" s="40" t="str">
        <f t="shared" si="9"/>
        <v>FALSE</v>
      </c>
      <c r="I154" s="41">
        <f t="shared" si="10"/>
        <v>10</v>
      </c>
      <c r="J154" s="4" t="s">
        <v>197</v>
      </c>
      <c r="K154" s="43" t="str">
        <f>IF(VLOOKUP(J154,βοηθητικό!$J$2:$N$354,3,FALSE)="","",VLOOKUP(J154,βοηθητικό!$J$2:$N$354,3,FALSE))</f>
        <v>6976681245</v>
      </c>
      <c r="L154" s="44"/>
      <c r="M154" s="5" t="s">
        <v>384</v>
      </c>
      <c r="N154" s="46" t="str">
        <f>IF(VLOOKUP(M154,βοηθητικό!$J$2:$N$354,3,FALSE)="","",VLOOKUP(M154,βοηθητικό!$J$2:$N$354,3,FALSE))</f>
        <v>6972712141</v>
      </c>
      <c r="O154" s="47"/>
      <c r="P154" s="4" t="s">
        <v>142</v>
      </c>
      <c r="Q154" s="43" t="str">
        <f>IF(VLOOKUP(P154,βοηθητικό!$J$2:$N$354,3,FALSE)="","",VLOOKUP(P154,βοηθητικό!$J$2:$N$354,3,FALSE))</f>
        <v>6981400643</v>
      </c>
      <c r="R154" s="44"/>
      <c r="S154" s="5" t="s">
        <v>170</v>
      </c>
      <c r="T154" s="46" t="str">
        <f>IF(VLOOKUP(S154,βοηθητικό!$J$2:$N$354,3,FALSE)="","",VLOOKUP(S154,βοηθητικό!$J$2:$N$354,3,FALSE))</f>
        <v>6987268386</v>
      </c>
      <c r="U154" s="47"/>
      <c r="V154" s="4" t="s">
        <v>455</v>
      </c>
      <c r="W154" s="43" t="str">
        <f>IF(VLOOKUP(V154,βοηθητικό!$J$2:$N$354,3,FALSE)="","",VLOOKUP(V154,βοηθητικό!$J$2:$N$354,3,FALSE))</f>
        <v>6974815544</v>
      </c>
      <c r="X154" s="44"/>
      <c r="Y154" s="5" t="s">
        <v>467</v>
      </c>
      <c r="Z154" s="46" t="str">
        <f>IF(VLOOKUP(Y154,βοηθητικό!$J$2:$N$354,3,FALSE)="","",VLOOKUP(Y154,βοηθητικό!$J$2:$N$354,3,FALSE))</f>
        <v>6949453697</v>
      </c>
      <c r="AA154" s="47"/>
      <c r="AB154" s="4" t="s">
        <v>161</v>
      </c>
      <c r="AC154" s="43" t="str">
        <f>IF(VLOOKUP(AB154,βοηθητικό!$J$2:$N$354,3,FALSE)="","",VLOOKUP(AB154,βοηθητικό!$J$2:$N$354,3,FALSE))</f>
        <v>6944899817</v>
      </c>
      <c r="AD154" s="44"/>
      <c r="AE154" s="5" t="s">
        <v>243</v>
      </c>
      <c r="AF154" s="46" t="str">
        <f>IF(VLOOKUP(AE154,βοηθητικό!$J$2:$N$354,3,FALSE)="","",VLOOKUP(AE154,βοηθητικό!$J$2:$N$354,3,FALSE))</f>
        <v>6983032595</v>
      </c>
      <c r="AG154" s="47"/>
      <c r="AH154" s="4" t="s">
        <v>322</v>
      </c>
      <c r="AI154" s="43" t="str">
        <f>IF(VLOOKUP(AH154,βοηθητικό!$J$2:$N$354,3,FALSE)="","",VLOOKUP(AH154,βοηθητικό!$J$2:$N$354,3,FALSE))</f>
        <v>6947830538</v>
      </c>
      <c r="AJ154" s="44"/>
      <c r="AK154" s="5" t="s">
        <v>463</v>
      </c>
      <c r="AL154" s="46" t="str">
        <f>IF(VLOOKUP(AK154,βοηθητικό!$J$2:$N$354,3,FALSE)="","",VLOOKUP(AK154,βοηθητικό!$J$2:$N$354,3,FALSE))</f>
        <v>6957171149</v>
      </c>
      <c r="AM154" s="47"/>
      <c r="AN154" s="4" t="s">
        <v>16</v>
      </c>
      <c r="AO154" s="43" t="str">
        <f>IF(VLOOKUP(AN154,βοηθητικό!$J$2:$N$354,3,FALSE)="","",VLOOKUP(AN154,βοηθητικό!$J$2:$N$354,3,FALSE))</f>
        <v>_</v>
      </c>
      <c r="AP154" s="44"/>
      <c r="AQ154" s="5" t="s">
        <v>16</v>
      </c>
      <c r="AR154" s="46" t="str">
        <f>IF(VLOOKUP(AQ154,βοηθητικό!$J$2:$N$354,3,FALSE)="","",VLOOKUP(AQ154,βοηθητικό!$J$2:$N$354,3,FALSE))</f>
        <v>_</v>
      </c>
      <c r="AS154" s="47"/>
      <c r="AT154" s="4" t="s">
        <v>16</v>
      </c>
      <c r="AU154" s="43" t="str">
        <f>IF(VLOOKUP(AT154,βοηθητικό!$J$2:$N$354,3,FALSE)="","",VLOOKUP(AT154,βοηθητικό!$J$2:$N$354,3,FALSE))</f>
        <v>_</v>
      </c>
      <c r="AV154" s="44"/>
      <c r="AW154" s="5" t="s">
        <v>16</v>
      </c>
      <c r="AX154" s="46" t="str">
        <f>IF(VLOOKUP(AW154,βοηθητικό!$J$2:$N$354,3,FALSE)="","",VLOOKUP(AW154,βοηθητικό!$J$2:$N$354,3,FALSE))</f>
        <v>_</v>
      </c>
      <c r="AY154" s="47"/>
      <c r="AZ154" s="4" t="s">
        <v>16</v>
      </c>
      <c r="BA154" s="43" t="str">
        <f>IF(VLOOKUP(AZ154,βοηθητικό!$J$2:$N$354,3,FALSE)="","",VLOOKUP(AZ154,βοηθητικό!$J$2:$N$354,3,FALSE))</f>
        <v>_</v>
      </c>
      <c r="BB154" s="44"/>
      <c r="BC154" s="45" t="s">
        <v>16</v>
      </c>
      <c r="BD154" s="46" t="str">
        <f>IF(VLOOKUP(BC154,βοηθητικό!$J$2:$N$354,3,FALSE)="","",VLOOKUP(BC154,βοηθητικό!$J$2:$N$354,3,FALSE))</f>
        <v>_</v>
      </c>
      <c r="BE154" s="47"/>
      <c r="BF154" s="42" t="s">
        <v>16</v>
      </c>
      <c r="BG154" s="43" t="str">
        <f>IF(VLOOKUP(BF154,βοηθητικό!$J$2:$N$354,3,FALSE)="","",VLOOKUP(BF154,βοηθητικό!$J$2:$N$354,3,FALSE))</f>
        <v>_</v>
      </c>
      <c r="BH154" s="44"/>
      <c r="BI154" s="45" t="s">
        <v>16</v>
      </c>
      <c r="BJ154" s="46" t="str">
        <f>IF(VLOOKUP(BI154,βοηθητικό!$J$2:$N$354,3,FALSE)="","",VLOOKUP(BI154,βοηθητικό!$J$2:$N$354,3,FALSE))</f>
        <v>_</v>
      </c>
      <c r="BK154" s="47"/>
      <c r="BL154" s="42" t="s">
        <v>16</v>
      </c>
      <c r="BM154" s="43" t="str">
        <f>IF(VLOOKUP(BL154,βοηθητικό!$J$2:$N$354,3,FALSE)="","",VLOOKUP(BL154,βοηθητικό!$J$2:$N$354,3,FALSE))</f>
        <v>_</v>
      </c>
      <c r="BN154" s="44"/>
      <c r="BO154" s="45" t="s">
        <v>16</v>
      </c>
      <c r="BP154" s="46" t="str">
        <f>IF(VLOOKUP(BO154,βοηθητικό!$J$2:$N$354,3,FALSE)="","",VLOOKUP(BO154,βοηθητικό!$J$2:$N$354,3,FALSE))</f>
        <v>_</v>
      </c>
      <c r="BQ154" s="47"/>
      <c r="BR154" s="42" t="s">
        <v>16</v>
      </c>
      <c r="BS154" s="43" t="str">
        <f>IF(VLOOKUP(BR154,βοηθητικό!$J$2:$N$354,3,FALSE)="","",VLOOKUP(BR154,βοηθητικό!$J$2:$N$354,3,FALSE))</f>
        <v>_</v>
      </c>
      <c r="BT154" s="44"/>
      <c r="BU154" s="45" t="s">
        <v>16</v>
      </c>
      <c r="BV154" s="46" t="str">
        <f>IF(VLOOKUP(BU154,βοηθητικό!$J$2:$N$354,3,FALSE)="","",VLOOKUP(BU154,βοηθητικό!$J$2:$N$354,3,FALSE))</f>
        <v>_</v>
      </c>
      <c r="BW154" s="47"/>
      <c r="BX154" s="42" t="s">
        <v>16</v>
      </c>
      <c r="BY154" s="43" t="str">
        <f>IF(VLOOKUP(BX154,βοηθητικό!$J$2:$N$354,3,FALSE)="","",VLOOKUP(BX154,βοηθητικό!$J$2:$N$354,3,FALSE))</f>
        <v>_</v>
      </c>
      <c r="BZ154" s="44"/>
      <c r="CA154" s="45" t="s">
        <v>16</v>
      </c>
      <c r="CB154" s="46" t="str">
        <f>IF(VLOOKUP(CA154,βοηθητικό!$J$2:$N$354,3,FALSE)="","",VLOOKUP(CA154,βοηθητικό!$J$2:$N$354,3,FALSE))</f>
        <v>_</v>
      </c>
      <c r="CC154" s="47"/>
      <c r="CD154" s="42" t="s">
        <v>16</v>
      </c>
      <c r="CE154" s="43" t="str">
        <f>IF(VLOOKUP(CD154,βοηθητικό!$J$2:$N$354,3,FALSE)="","",VLOOKUP(CD154,βοηθητικό!$J$2:$N$354,3,FALSE))</f>
        <v>_</v>
      </c>
      <c r="CF154" s="44"/>
      <c r="CG154" s="45" t="s">
        <v>16</v>
      </c>
      <c r="CH154" s="46" t="str">
        <f>IF(VLOOKUP(CG154,βοηθητικό!$J$2:$N$354,3,FALSE)="","",VLOOKUP(CG154,βοηθητικό!$J$2:$N$354,3,FALSE))</f>
        <v>_</v>
      </c>
      <c r="CI154" s="47"/>
      <c r="CJ154" s="42" t="s">
        <v>16</v>
      </c>
      <c r="CK154" s="43" t="str">
        <f>IF(VLOOKUP(CJ154,βοηθητικό!$J$2:$N$354,3,FALSE)="","",VLOOKUP(CJ154,βοηθητικό!$J$2:$N$354,3,FALSE))</f>
        <v>_</v>
      </c>
      <c r="CL154" s="44"/>
      <c r="CM154" s="45" t="s">
        <v>16</v>
      </c>
      <c r="CN154" s="46" t="str">
        <f>IF(VLOOKUP(CM154,βοηθητικό!$J$2:$N$354,3,FALSE)="","",VLOOKUP(CM154,βοηθητικό!$J$2:$N$354,3,FALSE))</f>
        <v>_</v>
      </c>
      <c r="CO154" s="47"/>
      <c r="CP154" s="42" t="s">
        <v>16</v>
      </c>
      <c r="CQ154" s="43" t="str">
        <f>IF(VLOOKUP(CP154,βοηθητικό!$J$2:$N$354,3,FALSE)="","",VLOOKUP(CP154,βοηθητικό!$J$2:$N$354,3,FALSE))</f>
        <v>_</v>
      </c>
      <c r="CR154" s="44"/>
      <c r="CS154" s="45" t="s">
        <v>16</v>
      </c>
      <c r="CT154" s="46" t="str">
        <f>IF(VLOOKUP(CS154,βοηθητικό!$J$2:$N$354,3,FALSE)="","",VLOOKUP(CS154,βοηθητικό!$J$2:$N$354,3,FALSE))</f>
        <v>_</v>
      </c>
      <c r="CU154" s="47"/>
    </row>
    <row r="155" spans="1:99" x14ac:dyDescent="0.25">
      <c r="A155" s="37">
        <f>--SUBTOTAL(3,$B$3:B154)</f>
        <v>152</v>
      </c>
      <c r="B155" s="68">
        <v>45194</v>
      </c>
      <c r="C155" s="69">
        <v>45200</v>
      </c>
      <c r="D155" s="57" t="s">
        <v>33</v>
      </c>
      <c r="E155" s="38" t="s">
        <v>16</v>
      </c>
      <c r="F155" s="38" t="s">
        <v>16</v>
      </c>
      <c r="G155" s="39" t="str">
        <f t="shared" si="8"/>
        <v>__</v>
      </c>
      <c r="H155" s="40" t="str">
        <f t="shared" si="9"/>
        <v>FALSE</v>
      </c>
      <c r="I155" s="41">
        <f t="shared" si="10"/>
        <v>10</v>
      </c>
      <c r="J155" s="4" t="s">
        <v>418</v>
      </c>
      <c r="K155" s="43" t="str">
        <f>IF(VLOOKUP(J155,βοηθητικό!$J$2:$N$354,3,FALSE)="","",VLOOKUP(J155,βοηθητικό!$J$2:$N$354,3,FALSE))</f>
        <v>6944126355</v>
      </c>
      <c r="L155" s="44"/>
      <c r="M155" s="5" t="s">
        <v>232</v>
      </c>
      <c r="N155" s="46" t="str">
        <f>IF(VLOOKUP(M155,βοηθητικό!$J$2:$N$354,3,FALSE)="","",VLOOKUP(M155,βοηθητικό!$J$2:$N$354,3,FALSE))</f>
        <v>6978333742</v>
      </c>
      <c r="O155" s="47"/>
      <c r="P155" s="4" t="s">
        <v>313</v>
      </c>
      <c r="Q155" s="43" t="str">
        <f>IF(VLOOKUP(P155,βοηθητικό!$J$2:$N$354,3,FALSE)="","",VLOOKUP(P155,βοηθητικό!$J$2:$N$354,3,FALSE))</f>
        <v>6947932494</v>
      </c>
      <c r="R155" s="44"/>
      <c r="S155" s="5" t="s">
        <v>192</v>
      </c>
      <c r="T155" s="46" t="str">
        <f>IF(VLOOKUP(S155,βοηθητικό!$J$2:$N$354,3,FALSE)="","",VLOOKUP(S155,βοηθητικό!$J$2:$N$354,3,FALSE))</f>
        <v>6942926446</v>
      </c>
      <c r="U155" s="47"/>
      <c r="V155" s="4" t="s">
        <v>203</v>
      </c>
      <c r="W155" s="43" t="str">
        <f>IF(VLOOKUP(V155,βοηθητικό!$J$2:$N$354,3,FALSE)="","",VLOOKUP(V155,βοηθητικό!$J$2:$N$354,3,FALSE))</f>
        <v>6984435383</v>
      </c>
      <c r="X155" s="44"/>
      <c r="Y155" s="5" t="s">
        <v>266</v>
      </c>
      <c r="Z155" s="46" t="str">
        <f>IF(VLOOKUP(Y155,βοηθητικό!$J$2:$N$354,3,FALSE)="","",VLOOKUP(Y155,βοηθητικό!$J$2:$N$354,3,FALSE))</f>
        <v>6947449447</v>
      </c>
      <c r="AA155" s="47"/>
      <c r="AB155" s="4" t="s">
        <v>132</v>
      </c>
      <c r="AC155" s="43" t="str">
        <f>IF(VLOOKUP(AB155,βοηθητικό!$J$2:$N$354,3,FALSE)="","",VLOOKUP(AB155,βοηθητικό!$J$2:$N$354,3,FALSE))</f>
        <v>6932853641</v>
      </c>
      <c r="AD155" s="44"/>
      <c r="AE155" s="5" t="s">
        <v>255</v>
      </c>
      <c r="AF155" s="46" t="str">
        <f>IF(VLOOKUP(AE155,βοηθητικό!$J$2:$N$354,3,FALSE)="","",VLOOKUP(AE155,βοηθητικό!$J$2:$N$354,3,FALSE))</f>
        <v>6973803702</v>
      </c>
      <c r="AG155" s="47"/>
      <c r="AH155" s="4" t="s">
        <v>389</v>
      </c>
      <c r="AI155" s="43" t="str">
        <f>IF(VLOOKUP(AH155,βοηθητικό!$J$2:$N$354,3,FALSE)="","",VLOOKUP(AH155,βοηθητικό!$J$2:$N$354,3,FALSE))</f>
        <v>6974050289</v>
      </c>
      <c r="AJ155" s="44"/>
      <c r="AK155" s="5" t="s">
        <v>406</v>
      </c>
      <c r="AL155" s="46" t="str">
        <f>IF(VLOOKUP(AK155,βοηθητικό!$J$2:$N$354,3,FALSE)="","",VLOOKUP(AK155,βοηθητικό!$J$2:$N$354,3,FALSE))</f>
        <v>2310450093</v>
      </c>
      <c r="AM155" s="47"/>
      <c r="AN155" s="4" t="s">
        <v>16</v>
      </c>
      <c r="AO155" s="43" t="str">
        <f>IF(VLOOKUP(AN155,βοηθητικό!$J$2:$N$354,3,FALSE)="","",VLOOKUP(AN155,βοηθητικό!$J$2:$N$354,3,FALSE))</f>
        <v>_</v>
      </c>
      <c r="AP155" s="44"/>
      <c r="AQ155" s="5" t="s">
        <v>16</v>
      </c>
      <c r="AR155" s="46" t="str">
        <f>IF(VLOOKUP(AQ155,βοηθητικό!$J$2:$N$354,3,FALSE)="","",VLOOKUP(AQ155,βοηθητικό!$J$2:$N$354,3,FALSE))</f>
        <v>_</v>
      </c>
      <c r="AS155" s="47"/>
      <c r="AT155" s="4" t="s">
        <v>16</v>
      </c>
      <c r="AU155" s="43" t="str">
        <f>IF(VLOOKUP(AT155,βοηθητικό!$J$2:$N$354,3,FALSE)="","",VLOOKUP(AT155,βοηθητικό!$J$2:$N$354,3,FALSE))</f>
        <v>_</v>
      </c>
      <c r="AV155" s="44"/>
      <c r="AW155" s="5" t="s">
        <v>16</v>
      </c>
      <c r="AX155" s="46" t="str">
        <f>IF(VLOOKUP(AW155,βοηθητικό!$J$2:$N$354,3,FALSE)="","",VLOOKUP(AW155,βοηθητικό!$J$2:$N$354,3,FALSE))</f>
        <v>_</v>
      </c>
      <c r="AY155" s="47"/>
      <c r="AZ155" s="4" t="s">
        <v>16</v>
      </c>
      <c r="BA155" s="43" t="str">
        <f>IF(VLOOKUP(AZ155,βοηθητικό!$J$2:$N$354,3,FALSE)="","",VLOOKUP(AZ155,βοηθητικό!$J$2:$N$354,3,FALSE))</f>
        <v>_</v>
      </c>
      <c r="BB155" s="44"/>
      <c r="BC155" s="45" t="s">
        <v>16</v>
      </c>
      <c r="BD155" s="46" t="str">
        <f>IF(VLOOKUP(BC155,βοηθητικό!$J$2:$N$354,3,FALSE)="","",VLOOKUP(BC155,βοηθητικό!$J$2:$N$354,3,FALSE))</f>
        <v>_</v>
      </c>
      <c r="BE155" s="47"/>
      <c r="BF155" s="42" t="s">
        <v>16</v>
      </c>
      <c r="BG155" s="43" t="str">
        <f>IF(VLOOKUP(BF155,βοηθητικό!$J$2:$N$354,3,FALSE)="","",VLOOKUP(BF155,βοηθητικό!$J$2:$N$354,3,FALSE))</f>
        <v>_</v>
      </c>
      <c r="BH155" s="44"/>
      <c r="BI155" s="45" t="s">
        <v>16</v>
      </c>
      <c r="BJ155" s="46" t="str">
        <f>IF(VLOOKUP(BI155,βοηθητικό!$J$2:$N$354,3,FALSE)="","",VLOOKUP(BI155,βοηθητικό!$J$2:$N$354,3,FALSE))</f>
        <v>_</v>
      </c>
      <c r="BK155" s="47"/>
      <c r="BL155" s="42" t="s">
        <v>16</v>
      </c>
      <c r="BM155" s="43" t="str">
        <f>IF(VLOOKUP(BL155,βοηθητικό!$J$2:$N$354,3,FALSE)="","",VLOOKUP(BL155,βοηθητικό!$J$2:$N$354,3,FALSE))</f>
        <v>_</v>
      </c>
      <c r="BN155" s="44"/>
      <c r="BO155" s="45" t="s">
        <v>16</v>
      </c>
      <c r="BP155" s="46" t="str">
        <f>IF(VLOOKUP(BO155,βοηθητικό!$J$2:$N$354,3,FALSE)="","",VLOOKUP(BO155,βοηθητικό!$J$2:$N$354,3,FALSE))</f>
        <v>_</v>
      </c>
      <c r="BQ155" s="47"/>
      <c r="BR155" s="42" t="s">
        <v>16</v>
      </c>
      <c r="BS155" s="43" t="str">
        <f>IF(VLOOKUP(BR155,βοηθητικό!$J$2:$N$354,3,FALSE)="","",VLOOKUP(BR155,βοηθητικό!$J$2:$N$354,3,FALSE))</f>
        <v>_</v>
      </c>
      <c r="BT155" s="44"/>
      <c r="BU155" s="45" t="s">
        <v>16</v>
      </c>
      <c r="BV155" s="46" t="str">
        <f>IF(VLOOKUP(BU155,βοηθητικό!$J$2:$N$354,3,FALSE)="","",VLOOKUP(BU155,βοηθητικό!$J$2:$N$354,3,FALSE))</f>
        <v>_</v>
      </c>
      <c r="BW155" s="47"/>
      <c r="BX155" s="42" t="s">
        <v>16</v>
      </c>
      <c r="BY155" s="43" t="str">
        <f>IF(VLOOKUP(BX155,βοηθητικό!$J$2:$N$354,3,FALSE)="","",VLOOKUP(BX155,βοηθητικό!$J$2:$N$354,3,FALSE))</f>
        <v>_</v>
      </c>
      <c r="BZ155" s="44"/>
      <c r="CA155" s="45" t="s">
        <v>16</v>
      </c>
      <c r="CB155" s="46" t="str">
        <f>IF(VLOOKUP(CA155,βοηθητικό!$J$2:$N$354,3,FALSE)="","",VLOOKUP(CA155,βοηθητικό!$J$2:$N$354,3,FALSE))</f>
        <v>_</v>
      </c>
      <c r="CC155" s="47"/>
      <c r="CD155" s="42" t="s">
        <v>16</v>
      </c>
      <c r="CE155" s="43" t="str">
        <f>IF(VLOOKUP(CD155,βοηθητικό!$J$2:$N$354,3,FALSE)="","",VLOOKUP(CD155,βοηθητικό!$J$2:$N$354,3,FALSE))</f>
        <v>_</v>
      </c>
      <c r="CF155" s="44"/>
      <c r="CG155" s="45" t="s">
        <v>16</v>
      </c>
      <c r="CH155" s="46" t="str">
        <f>IF(VLOOKUP(CG155,βοηθητικό!$J$2:$N$354,3,FALSE)="","",VLOOKUP(CG155,βοηθητικό!$J$2:$N$354,3,FALSE))</f>
        <v>_</v>
      </c>
      <c r="CI155" s="47"/>
      <c r="CJ155" s="42" t="s">
        <v>16</v>
      </c>
      <c r="CK155" s="43" t="str">
        <f>IF(VLOOKUP(CJ155,βοηθητικό!$J$2:$N$354,3,FALSE)="","",VLOOKUP(CJ155,βοηθητικό!$J$2:$N$354,3,FALSE))</f>
        <v>_</v>
      </c>
      <c r="CL155" s="44"/>
      <c r="CM155" s="45" t="s">
        <v>16</v>
      </c>
      <c r="CN155" s="46" t="str">
        <f>IF(VLOOKUP(CM155,βοηθητικό!$J$2:$N$354,3,FALSE)="","",VLOOKUP(CM155,βοηθητικό!$J$2:$N$354,3,FALSE))</f>
        <v>_</v>
      </c>
      <c r="CO155" s="47"/>
      <c r="CP155" s="42" t="s">
        <v>16</v>
      </c>
      <c r="CQ155" s="43" t="str">
        <f>IF(VLOOKUP(CP155,βοηθητικό!$J$2:$N$354,3,FALSE)="","",VLOOKUP(CP155,βοηθητικό!$J$2:$N$354,3,FALSE))</f>
        <v>_</v>
      </c>
      <c r="CR155" s="44"/>
      <c r="CS155" s="45" t="s">
        <v>16</v>
      </c>
      <c r="CT155" s="46" t="str">
        <f>IF(VLOOKUP(CS155,βοηθητικό!$J$2:$N$354,3,FALSE)="","",VLOOKUP(CS155,βοηθητικό!$J$2:$N$354,3,FALSE))</f>
        <v>_</v>
      </c>
      <c r="CU155" s="47"/>
    </row>
    <row r="156" spans="1:99" x14ac:dyDescent="0.25">
      <c r="A156" s="37">
        <f>--SUBTOTAL(3,$B$3:B155)</f>
        <v>153</v>
      </c>
      <c r="B156" s="68">
        <v>45166</v>
      </c>
      <c r="C156" s="69">
        <v>45172</v>
      </c>
      <c r="D156" s="58" t="s">
        <v>45</v>
      </c>
      <c r="E156" s="38" t="s">
        <v>16</v>
      </c>
      <c r="F156" s="38" t="s">
        <v>16</v>
      </c>
      <c r="G156" s="39" t="str">
        <f t="shared" si="8"/>
        <v>__</v>
      </c>
      <c r="H156" s="40" t="str">
        <f t="shared" si="9"/>
        <v>FALSE</v>
      </c>
      <c r="I156" s="41">
        <f t="shared" si="10"/>
        <v>6</v>
      </c>
      <c r="J156" s="4" t="s">
        <v>489</v>
      </c>
      <c r="K156" s="43" t="str">
        <f>IF(VLOOKUP(J156,βοηθητικό!$J$2:$N$354,3,FALSE)="","",VLOOKUP(J156,βοηθητικό!$J$2:$N$354,3,FALSE))</f>
        <v>6972289471</v>
      </c>
      <c r="L156" s="44"/>
      <c r="M156" s="5" t="s">
        <v>548</v>
      </c>
      <c r="N156" s="46" t="str">
        <f>IF(VLOOKUP(M156,βοηθητικό!$J$2:$N$354,3,FALSE)="","",VLOOKUP(M156,βοηθητικό!$J$2:$N$354,3,FALSE))</f>
        <v>6977344183</v>
      </c>
      <c r="O156" s="47"/>
      <c r="P156" s="4" t="s">
        <v>509</v>
      </c>
      <c r="Q156" s="43" t="str">
        <f>IF(VLOOKUP(P156,βοηθητικό!$J$2:$N$354,3,FALSE)="","",VLOOKUP(P156,βοηθητικό!$J$2:$N$354,3,FALSE))</f>
        <v>6944370079</v>
      </c>
      <c r="R156" s="44">
        <v>0</v>
      </c>
      <c r="S156" s="5" t="s">
        <v>479</v>
      </c>
      <c r="T156" s="46" t="str">
        <f>IF(VLOOKUP(S156,βοηθητικό!$J$2:$N$354,3,FALSE)="","",VLOOKUP(S156,βοηθητικό!$J$2:$N$354,3,FALSE))</f>
        <v>6977298022</v>
      </c>
      <c r="U156" s="47"/>
      <c r="V156" s="4" t="s">
        <v>577</v>
      </c>
      <c r="W156" s="43" t="str">
        <f>IF(VLOOKUP(V156,βοηθητικό!$J$2:$N$354,3,FALSE)="","",VLOOKUP(V156,βοηθητικό!$J$2:$N$354,3,FALSE))</f>
        <v>6937185269</v>
      </c>
      <c r="X156" s="44"/>
      <c r="Y156" s="5" t="s">
        <v>559</v>
      </c>
      <c r="Z156" s="46" t="str">
        <f>IF(VLOOKUP(Y156,βοηθητικό!$J$2:$N$354,3,FALSE)="","",VLOOKUP(Y156,βοηθητικό!$J$2:$N$354,3,FALSE))</f>
        <v>6934004858</v>
      </c>
      <c r="AA156" s="47"/>
      <c r="AB156" s="4" t="s">
        <v>16</v>
      </c>
      <c r="AC156" s="43" t="str">
        <f>IF(VLOOKUP(AB156,βοηθητικό!$J$2:$N$354,3,FALSE)="","",VLOOKUP(AB156,βοηθητικό!$J$2:$N$354,3,FALSE))</f>
        <v>_</v>
      </c>
      <c r="AD156" s="44"/>
      <c r="AE156" s="5" t="s">
        <v>16</v>
      </c>
      <c r="AF156" s="46" t="str">
        <f>IF(VLOOKUP(AE156,βοηθητικό!$J$2:$N$354,3,FALSE)="","",VLOOKUP(AE156,βοηθητικό!$J$2:$N$354,3,FALSE))</f>
        <v>_</v>
      </c>
      <c r="AG156" s="47"/>
      <c r="AH156" s="4" t="s">
        <v>16</v>
      </c>
      <c r="AI156" s="43" t="str">
        <f>IF(VLOOKUP(AH156,βοηθητικό!$J$2:$N$354,3,FALSE)="","",VLOOKUP(AH156,βοηθητικό!$J$2:$N$354,3,FALSE))</f>
        <v>_</v>
      </c>
      <c r="AJ156" s="44"/>
      <c r="AK156" s="5" t="s">
        <v>16</v>
      </c>
      <c r="AL156" s="46" t="str">
        <f>IF(VLOOKUP(AK156,βοηθητικό!$J$2:$N$354,3,FALSE)="","",VLOOKUP(AK156,βοηθητικό!$J$2:$N$354,3,FALSE))</f>
        <v>_</v>
      </c>
      <c r="AM156" s="47"/>
      <c r="AN156" s="4" t="s">
        <v>16</v>
      </c>
      <c r="AO156" s="43" t="str">
        <f>IF(VLOOKUP(AN156,βοηθητικό!$J$2:$N$354,3,FALSE)="","",VLOOKUP(AN156,βοηθητικό!$J$2:$N$354,3,FALSE))</f>
        <v>_</v>
      </c>
      <c r="AP156" s="44"/>
      <c r="AQ156" s="5" t="s">
        <v>16</v>
      </c>
      <c r="AR156" s="46" t="str">
        <f>IF(VLOOKUP(AQ156,βοηθητικό!$J$2:$N$354,3,FALSE)="","",VLOOKUP(AQ156,βοηθητικό!$J$2:$N$354,3,FALSE))</f>
        <v>_</v>
      </c>
      <c r="AS156" s="47"/>
      <c r="AT156" s="4" t="s">
        <v>16</v>
      </c>
      <c r="AU156" s="43" t="str">
        <f>IF(VLOOKUP(AT156,βοηθητικό!$J$2:$N$354,3,FALSE)="","",VLOOKUP(AT156,βοηθητικό!$J$2:$N$354,3,FALSE))</f>
        <v>_</v>
      </c>
      <c r="AV156" s="44"/>
      <c r="AW156" s="5" t="s">
        <v>16</v>
      </c>
      <c r="AX156" s="46" t="str">
        <f>IF(VLOOKUP(AW156,βοηθητικό!$J$2:$N$354,3,FALSE)="","",VLOOKUP(AW156,βοηθητικό!$J$2:$N$354,3,FALSE))</f>
        <v>_</v>
      </c>
      <c r="AY156" s="47"/>
      <c r="AZ156" s="4" t="s">
        <v>16</v>
      </c>
      <c r="BA156" s="43" t="str">
        <f>IF(VLOOKUP(AZ156,βοηθητικό!$J$2:$N$354,3,FALSE)="","",VLOOKUP(AZ156,βοηθητικό!$J$2:$N$354,3,FALSE))</f>
        <v>_</v>
      </c>
      <c r="BB156" s="44"/>
      <c r="BC156" s="45" t="s">
        <v>16</v>
      </c>
      <c r="BD156" s="46" t="str">
        <f>IF(VLOOKUP(BC156,βοηθητικό!$J$2:$N$354,3,FALSE)="","",VLOOKUP(BC156,βοηθητικό!$J$2:$N$354,3,FALSE))</f>
        <v>_</v>
      </c>
      <c r="BE156" s="47"/>
      <c r="BF156" s="42" t="s">
        <v>16</v>
      </c>
      <c r="BG156" s="43" t="str">
        <f>IF(VLOOKUP(BF156,βοηθητικό!$J$2:$N$354,3,FALSE)="","",VLOOKUP(BF156,βοηθητικό!$J$2:$N$354,3,FALSE))</f>
        <v>_</v>
      </c>
      <c r="BH156" s="44"/>
      <c r="BI156" s="45" t="s">
        <v>16</v>
      </c>
      <c r="BJ156" s="46" t="str">
        <f>IF(VLOOKUP(BI156,βοηθητικό!$J$2:$N$354,3,FALSE)="","",VLOOKUP(BI156,βοηθητικό!$J$2:$N$354,3,FALSE))</f>
        <v>_</v>
      </c>
      <c r="BK156" s="47"/>
      <c r="BL156" s="42" t="s">
        <v>16</v>
      </c>
      <c r="BM156" s="43" t="str">
        <f>IF(VLOOKUP(BL156,βοηθητικό!$J$2:$N$354,3,FALSE)="","",VLOOKUP(BL156,βοηθητικό!$J$2:$N$354,3,FALSE))</f>
        <v>_</v>
      </c>
      <c r="BN156" s="44"/>
      <c r="BO156" s="45" t="s">
        <v>16</v>
      </c>
      <c r="BP156" s="46" t="str">
        <f>IF(VLOOKUP(BO156,βοηθητικό!$J$2:$N$354,3,FALSE)="","",VLOOKUP(BO156,βοηθητικό!$J$2:$N$354,3,FALSE))</f>
        <v>_</v>
      </c>
      <c r="BQ156" s="47"/>
      <c r="BR156" s="42" t="s">
        <v>16</v>
      </c>
      <c r="BS156" s="43" t="str">
        <f>IF(VLOOKUP(BR156,βοηθητικό!$J$2:$N$354,3,FALSE)="","",VLOOKUP(BR156,βοηθητικό!$J$2:$N$354,3,FALSE))</f>
        <v>_</v>
      </c>
      <c r="BT156" s="44"/>
      <c r="BU156" s="45" t="s">
        <v>16</v>
      </c>
      <c r="BV156" s="46" t="str">
        <f>IF(VLOOKUP(BU156,βοηθητικό!$J$2:$N$354,3,FALSE)="","",VLOOKUP(BU156,βοηθητικό!$J$2:$N$354,3,FALSE))</f>
        <v>_</v>
      </c>
      <c r="BW156" s="47"/>
      <c r="BX156" s="42" t="s">
        <v>16</v>
      </c>
      <c r="BY156" s="43" t="str">
        <f>IF(VLOOKUP(BX156,βοηθητικό!$J$2:$N$354,3,FALSE)="","",VLOOKUP(BX156,βοηθητικό!$J$2:$N$354,3,FALSE))</f>
        <v>_</v>
      </c>
      <c r="BZ156" s="44"/>
      <c r="CA156" s="45" t="s">
        <v>16</v>
      </c>
      <c r="CB156" s="46" t="str">
        <f>IF(VLOOKUP(CA156,βοηθητικό!$J$2:$N$354,3,FALSE)="","",VLOOKUP(CA156,βοηθητικό!$J$2:$N$354,3,FALSE))</f>
        <v>_</v>
      </c>
      <c r="CC156" s="47"/>
      <c r="CD156" s="42" t="s">
        <v>16</v>
      </c>
      <c r="CE156" s="43" t="str">
        <f>IF(VLOOKUP(CD156,βοηθητικό!$J$2:$N$354,3,FALSE)="","",VLOOKUP(CD156,βοηθητικό!$J$2:$N$354,3,FALSE))</f>
        <v>_</v>
      </c>
      <c r="CF156" s="44"/>
      <c r="CG156" s="45" t="s">
        <v>16</v>
      </c>
      <c r="CH156" s="46" t="str">
        <f>IF(VLOOKUP(CG156,βοηθητικό!$J$2:$N$354,3,FALSE)="","",VLOOKUP(CG156,βοηθητικό!$J$2:$N$354,3,FALSE))</f>
        <v>_</v>
      </c>
      <c r="CI156" s="47"/>
      <c r="CJ156" s="42" t="s">
        <v>16</v>
      </c>
      <c r="CK156" s="43" t="str">
        <f>IF(VLOOKUP(CJ156,βοηθητικό!$J$2:$N$354,3,FALSE)="","",VLOOKUP(CJ156,βοηθητικό!$J$2:$N$354,3,FALSE))</f>
        <v>_</v>
      </c>
      <c r="CL156" s="44"/>
      <c r="CM156" s="45" t="s">
        <v>16</v>
      </c>
      <c r="CN156" s="46" t="str">
        <f>IF(VLOOKUP(CM156,βοηθητικό!$J$2:$N$354,3,FALSE)="","",VLOOKUP(CM156,βοηθητικό!$J$2:$N$354,3,FALSE))</f>
        <v>_</v>
      </c>
      <c r="CO156" s="47"/>
      <c r="CP156" s="42" t="s">
        <v>16</v>
      </c>
      <c r="CQ156" s="43" t="str">
        <f>IF(VLOOKUP(CP156,βοηθητικό!$J$2:$N$354,3,FALSE)="","",VLOOKUP(CP156,βοηθητικό!$J$2:$N$354,3,FALSE))</f>
        <v>_</v>
      </c>
      <c r="CR156" s="44"/>
      <c r="CS156" s="45" t="s">
        <v>16</v>
      </c>
      <c r="CT156" s="46" t="str">
        <f>IF(VLOOKUP(CS156,βοηθητικό!$J$2:$N$354,3,FALSE)="","",VLOOKUP(CS156,βοηθητικό!$J$2:$N$354,3,FALSE))</f>
        <v>_</v>
      </c>
      <c r="CU156" s="47"/>
    </row>
    <row r="157" spans="1:99" x14ac:dyDescent="0.25">
      <c r="A157" s="37">
        <f>--SUBTOTAL(3,$B$3:B156)</f>
        <v>154</v>
      </c>
      <c r="B157" s="68">
        <v>45173</v>
      </c>
      <c r="C157" s="69">
        <v>45179</v>
      </c>
      <c r="D157" s="58" t="s">
        <v>45</v>
      </c>
      <c r="E157" s="38" t="s">
        <v>16</v>
      </c>
      <c r="F157" s="38" t="s">
        <v>16</v>
      </c>
      <c r="G157" s="39" t="str">
        <f t="shared" si="8"/>
        <v>__</v>
      </c>
      <c r="H157" s="40" t="str">
        <f t="shared" si="9"/>
        <v>FALSE</v>
      </c>
      <c r="I157" s="41">
        <f t="shared" si="10"/>
        <v>6</v>
      </c>
      <c r="J157" s="4" t="s">
        <v>587</v>
      </c>
      <c r="K157" s="43" t="str">
        <f>IF(VLOOKUP(J157,βοηθητικό!$J$2:$N$354,3,FALSE)="","",VLOOKUP(J157,βοηθητικό!$J$2:$N$354,3,FALSE))</f>
        <v>6947371545</v>
      </c>
      <c r="L157" s="44"/>
      <c r="M157" s="5" t="s">
        <v>485</v>
      </c>
      <c r="N157" s="46" t="str">
        <f>IF(VLOOKUP(M157,βοηθητικό!$J$2:$N$354,3,FALSE)="","",VLOOKUP(M157,βοηθητικό!$J$2:$N$354,3,FALSE))</f>
        <v>6972278604</v>
      </c>
      <c r="O157" s="47"/>
      <c r="P157" s="4" t="s">
        <v>534</v>
      </c>
      <c r="Q157" s="43" t="str">
        <f>IF(VLOOKUP(P157,βοηθητικό!$J$2:$N$354,3,FALSE)="","",VLOOKUP(P157,βοηθητικό!$J$2:$N$354,3,FALSE))</f>
        <v>6955646945</v>
      </c>
      <c r="R157" s="44">
        <v>0</v>
      </c>
      <c r="S157" s="5" t="s">
        <v>544</v>
      </c>
      <c r="T157" s="46" t="str">
        <f>IF(VLOOKUP(S157,βοηθητικό!$J$2:$N$354,3,FALSE)="","",VLOOKUP(S157,βοηθητικό!$J$2:$N$354,3,FALSE))</f>
        <v>6978943962</v>
      </c>
      <c r="U157" s="47"/>
      <c r="V157" s="4" t="s">
        <v>503</v>
      </c>
      <c r="W157" s="43" t="str">
        <f>IF(VLOOKUP(V157,βοηθητικό!$J$2:$N$354,3,FALSE)="","",VLOOKUP(V157,βοηθητικό!$J$2:$N$354,3,FALSE))</f>
        <v>6944234622</v>
      </c>
      <c r="X157" s="44"/>
      <c r="Y157" s="5" t="s">
        <v>523</v>
      </c>
      <c r="Z157" s="46" t="str">
        <f>IF(VLOOKUP(Y157,βοηθητικό!$J$2:$N$354,3,FALSE)="","",VLOOKUP(Y157,βοηθητικό!$J$2:$N$354,3,FALSE))</f>
        <v>6970940292</v>
      </c>
      <c r="AA157" s="47"/>
      <c r="AB157" s="4" t="s">
        <v>16</v>
      </c>
      <c r="AC157" s="43" t="str">
        <f>IF(VLOOKUP(AB157,βοηθητικό!$J$2:$N$354,3,FALSE)="","",VLOOKUP(AB157,βοηθητικό!$J$2:$N$354,3,FALSE))</f>
        <v>_</v>
      </c>
      <c r="AD157" s="44"/>
      <c r="AE157" s="5" t="s">
        <v>16</v>
      </c>
      <c r="AF157" s="46" t="str">
        <f>IF(VLOOKUP(AE157,βοηθητικό!$J$2:$N$354,3,FALSE)="","",VLOOKUP(AE157,βοηθητικό!$J$2:$N$354,3,FALSE))</f>
        <v>_</v>
      </c>
      <c r="AG157" s="47"/>
      <c r="AH157" s="4" t="s">
        <v>16</v>
      </c>
      <c r="AI157" s="43" t="str">
        <f>IF(VLOOKUP(AH157,βοηθητικό!$J$2:$N$354,3,FALSE)="","",VLOOKUP(AH157,βοηθητικό!$J$2:$N$354,3,FALSE))</f>
        <v>_</v>
      </c>
      <c r="AJ157" s="44"/>
      <c r="AK157" s="5" t="s">
        <v>16</v>
      </c>
      <c r="AL157" s="46" t="str">
        <f>IF(VLOOKUP(AK157,βοηθητικό!$J$2:$N$354,3,FALSE)="","",VLOOKUP(AK157,βοηθητικό!$J$2:$N$354,3,FALSE))</f>
        <v>_</v>
      </c>
      <c r="AM157" s="47"/>
      <c r="AN157" s="4" t="s">
        <v>16</v>
      </c>
      <c r="AO157" s="43" t="str">
        <f>IF(VLOOKUP(AN157,βοηθητικό!$J$2:$N$354,3,FALSE)="","",VLOOKUP(AN157,βοηθητικό!$J$2:$N$354,3,FALSE))</f>
        <v>_</v>
      </c>
      <c r="AP157" s="44"/>
      <c r="AQ157" s="5" t="s">
        <v>16</v>
      </c>
      <c r="AR157" s="46" t="str">
        <f>IF(VLOOKUP(AQ157,βοηθητικό!$J$2:$N$354,3,FALSE)="","",VLOOKUP(AQ157,βοηθητικό!$J$2:$N$354,3,FALSE))</f>
        <v>_</v>
      </c>
      <c r="AS157" s="47"/>
      <c r="AT157" s="4" t="s">
        <v>16</v>
      </c>
      <c r="AU157" s="43" t="str">
        <f>IF(VLOOKUP(AT157,βοηθητικό!$J$2:$N$354,3,FALSE)="","",VLOOKUP(AT157,βοηθητικό!$J$2:$N$354,3,FALSE))</f>
        <v>_</v>
      </c>
      <c r="AV157" s="44"/>
      <c r="AW157" s="5" t="s">
        <v>16</v>
      </c>
      <c r="AX157" s="46" t="str">
        <f>IF(VLOOKUP(AW157,βοηθητικό!$J$2:$N$354,3,FALSE)="","",VLOOKUP(AW157,βοηθητικό!$J$2:$N$354,3,FALSE))</f>
        <v>_</v>
      </c>
      <c r="AY157" s="47"/>
      <c r="AZ157" s="4" t="s">
        <v>16</v>
      </c>
      <c r="BA157" s="43" t="str">
        <f>IF(VLOOKUP(AZ157,βοηθητικό!$J$2:$N$354,3,FALSE)="","",VLOOKUP(AZ157,βοηθητικό!$J$2:$N$354,3,FALSE))</f>
        <v>_</v>
      </c>
      <c r="BB157" s="44"/>
      <c r="BC157" s="45" t="s">
        <v>16</v>
      </c>
      <c r="BD157" s="46" t="str">
        <f>IF(VLOOKUP(BC157,βοηθητικό!$J$2:$N$354,3,FALSE)="","",VLOOKUP(BC157,βοηθητικό!$J$2:$N$354,3,FALSE))</f>
        <v>_</v>
      </c>
      <c r="BE157" s="47"/>
      <c r="BF157" s="42" t="s">
        <v>16</v>
      </c>
      <c r="BG157" s="43" t="str">
        <f>IF(VLOOKUP(BF157,βοηθητικό!$J$2:$N$354,3,FALSE)="","",VLOOKUP(BF157,βοηθητικό!$J$2:$N$354,3,FALSE))</f>
        <v>_</v>
      </c>
      <c r="BH157" s="44"/>
      <c r="BI157" s="45" t="s">
        <v>16</v>
      </c>
      <c r="BJ157" s="46" t="str">
        <f>IF(VLOOKUP(BI157,βοηθητικό!$J$2:$N$354,3,FALSE)="","",VLOOKUP(BI157,βοηθητικό!$J$2:$N$354,3,FALSE))</f>
        <v>_</v>
      </c>
      <c r="BK157" s="47"/>
      <c r="BL157" s="42" t="s">
        <v>16</v>
      </c>
      <c r="BM157" s="43" t="str">
        <f>IF(VLOOKUP(BL157,βοηθητικό!$J$2:$N$354,3,FALSE)="","",VLOOKUP(BL157,βοηθητικό!$J$2:$N$354,3,FALSE))</f>
        <v>_</v>
      </c>
      <c r="BN157" s="44"/>
      <c r="BO157" s="45" t="s">
        <v>16</v>
      </c>
      <c r="BP157" s="46" t="str">
        <f>IF(VLOOKUP(BO157,βοηθητικό!$J$2:$N$354,3,FALSE)="","",VLOOKUP(BO157,βοηθητικό!$J$2:$N$354,3,FALSE))</f>
        <v>_</v>
      </c>
      <c r="BQ157" s="47"/>
      <c r="BR157" s="42" t="s">
        <v>16</v>
      </c>
      <c r="BS157" s="43" t="str">
        <f>IF(VLOOKUP(BR157,βοηθητικό!$J$2:$N$354,3,FALSE)="","",VLOOKUP(BR157,βοηθητικό!$J$2:$N$354,3,FALSE))</f>
        <v>_</v>
      </c>
      <c r="BT157" s="44"/>
      <c r="BU157" s="45" t="s">
        <v>16</v>
      </c>
      <c r="BV157" s="46" t="str">
        <f>IF(VLOOKUP(BU157,βοηθητικό!$J$2:$N$354,3,FALSE)="","",VLOOKUP(BU157,βοηθητικό!$J$2:$N$354,3,FALSE))</f>
        <v>_</v>
      </c>
      <c r="BW157" s="47"/>
      <c r="BX157" s="42" t="s">
        <v>16</v>
      </c>
      <c r="BY157" s="43" t="str">
        <f>IF(VLOOKUP(BX157,βοηθητικό!$J$2:$N$354,3,FALSE)="","",VLOOKUP(BX157,βοηθητικό!$J$2:$N$354,3,FALSE))</f>
        <v>_</v>
      </c>
      <c r="BZ157" s="44"/>
      <c r="CA157" s="45" t="s">
        <v>16</v>
      </c>
      <c r="CB157" s="46" t="str">
        <f>IF(VLOOKUP(CA157,βοηθητικό!$J$2:$N$354,3,FALSE)="","",VLOOKUP(CA157,βοηθητικό!$J$2:$N$354,3,FALSE))</f>
        <v>_</v>
      </c>
      <c r="CC157" s="47"/>
      <c r="CD157" s="42" t="s">
        <v>16</v>
      </c>
      <c r="CE157" s="43" t="str">
        <f>IF(VLOOKUP(CD157,βοηθητικό!$J$2:$N$354,3,FALSE)="","",VLOOKUP(CD157,βοηθητικό!$J$2:$N$354,3,FALSE))</f>
        <v>_</v>
      </c>
      <c r="CF157" s="44"/>
      <c r="CG157" s="45" t="s">
        <v>16</v>
      </c>
      <c r="CH157" s="46" t="str">
        <f>IF(VLOOKUP(CG157,βοηθητικό!$J$2:$N$354,3,FALSE)="","",VLOOKUP(CG157,βοηθητικό!$J$2:$N$354,3,FALSE))</f>
        <v>_</v>
      </c>
      <c r="CI157" s="47"/>
      <c r="CJ157" s="42" t="s">
        <v>16</v>
      </c>
      <c r="CK157" s="43" t="str">
        <f>IF(VLOOKUP(CJ157,βοηθητικό!$J$2:$N$354,3,FALSE)="","",VLOOKUP(CJ157,βοηθητικό!$J$2:$N$354,3,FALSE))</f>
        <v>_</v>
      </c>
      <c r="CL157" s="44"/>
      <c r="CM157" s="45" t="s">
        <v>16</v>
      </c>
      <c r="CN157" s="46" t="str">
        <f>IF(VLOOKUP(CM157,βοηθητικό!$J$2:$N$354,3,FALSE)="","",VLOOKUP(CM157,βοηθητικό!$J$2:$N$354,3,FALSE))</f>
        <v>_</v>
      </c>
      <c r="CO157" s="47"/>
      <c r="CP157" s="42" t="s">
        <v>16</v>
      </c>
      <c r="CQ157" s="43" t="str">
        <f>IF(VLOOKUP(CP157,βοηθητικό!$J$2:$N$354,3,FALSE)="","",VLOOKUP(CP157,βοηθητικό!$J$2:$N$354,3,FALSE))</f>
        <v>_</v>
      </c>
      <c r="CR157" s="44"/>
      <c r="CS157" s="45" t="s">
        <v>16</v>
      </c>
      <c r="CT157" s="46" t="str">
        <f>IF(VLOOKUP(CS157,βοηθητικό!$J$2:$N$354,3,FALSE)="","",VLOOKUP(CS157,βοηθητικό!$J$2:$N$354,3,FALSE))</f>
        <v>_</v>
      </c>
      <c r="CU157" s="47"/>
    </row>
    <row r="158" spans="1:99" x14ac:dyDescent="0.25">
      <c r="A158" s="37">
        <f>--SUBTOTAL(3,$B$3:B157)</f>
        <v>155</v>
      </c>
      <c r="B158" s="68">
        <v>45180</v>
      </c>
      <c r="C158" s="69">
        <v>45186</v>
      </c>
      <c r="D158" s="58" t="s">
        <v>45</v>
      </c>
      <c r="E158" s="38" t="s">
        <v>16</v>
      </c>
      <c r="F158" s="38" t="s">
        <v>16</v>
      </c>
      <c r="G158" s="39" t="str">
        <f t="shared" si="8"/>
        <v>__</v>
      </c>
      <c r="H158" s="40" t="str">
        <f t="shared" si="9"/>
        <v>FALSE</v>
      </c>
      <c r="I158" s="41">
        <f t="shared" si="10"/>
        <v>5</v>
      </c>
      <c r="J158" s="4" t="s">
        <v>581</v>
      </c>
      <c r="K158" s="43" t="str">
        <f>IF(VLOOKUP(J158,βοηθητικό!$J$2:$N$354,3,FALSE)="","",VLOOKUP(J158,βοηθητικό!$J$2:$N$354,3,FALSE))</f>
        <v>6932159538 6940215140</v>
      </c>
      <c r="L158" s="44"/>
      <c r="M158" s="5" t="s">
        <v>563</v>
      </c>
      <c r="N158" s="46" t="str">
        <f>IF(VLOOKUP(M158,βοηθητικό!$J$2:$N$354,3,FALSE)="","",VLOOKUP(M158,βοηθητικό!$J$2:$N$354,3,FALSE))</f>
        <v>6943571711</v>
      </c>
      <c r="O158" s="47"/>
      <c r="P158" s="4" t="s">
        <v>500</v>
      </c>
      <c r="Q158" s="43" t="str">
        <f>IF(VLOOKUP(P158,βοηθητικό!$J$2:$N$354,3,FALSE)="","",VLOOKUP(P158,βοηθητικό!$J$2:$N$354,3,FALSE))</f>
        <v>6945398229</v>
      </c>
      <c r="R158" s="44">
        <v>0</v>
      </c>
      <c r="S158" s="5" t="s">
        <v>514</v>
      </c>
      <c r="T158" s="46" t="str">
        <f>IF(VLOOKUP(S158,βοηθητικό!$J$2:$N$354,3,FALSE)="","",VLOOKUP(S158,βοηθητικό!$J$2:$N$354,3,FALSE))</f>
        <v>6936815219</v>
      </c>
      <c r="U158" s="47"/>
      <c r="V158" s="4" t="s">
        <v>519</v>
      </c>
      <c r="W158" s="43" t="str">
        <f>IF(VLOOKUP(V158,βοηθητικό!$J$2:$N$354,3,FALSE)="","",VLOOKUP(V158,βοηθητικό!$J$2:$N$354,3,FALSE))</f>
        <v>6942712190</v>
      </c>
      <c r="X158" s="44"/>
      <c r="Y158" s="5" t="s">
        <v>16</v>
      </c>
      <c r="Z158" s="46" t="str">
        <f>IF(VLOOKUP(Y158,βοηθητικό!$J$2:$N$354,3,FALSE)="","",VLOOKUP(Y158,βοηθητικό!$J$2:$N$354,3,FALSE))</f>
        <v>_</v>
      </c>
      <c r="AA158" s="47"/>
      <c r="AB158" s="4" t="s">
        <v>16</v>
      </c>
      <c r="AC158" s="43" t="str">
        <f>IF(VLOOKUP(AB158,βοηθητικό!$J$2:$N$354,3,FALSE)="","",VLOOKUP(AB158,βοηθητικό!$J$2:$N$354,3,FALSE))</f>
        <v>_</v>
      </c>
      <c r="AD158" s="44"/>
      <c r="AE158" s="5" t="s">
        <v>16</v>
      </c>
      <c r="AF158" s="46" t="str">
        <f>IF(VLOOKUP(AE158,βοηθητικό!$J$2:$N$354,3,FALSE)="","",VLOOKUP(AE158,βοηθητικό!$J$2:$N$354,3,FALSE))</f>
        <v>_</v>
      </c>
      <c r="AG158" s="47"/>
      <c r="AH158" s="4" t="s">
        <v>16</v>
      </c>
      <c r="AI158" s="43" t="str">
        <f>IF(VLOOKUP(AH158,βοηθητικό!$J$2:$N$354,3,FALSE)="","",VLOOKUP(AH158,βοηθητικό!$J$2:$N$354,3,FALSE))</f>
        <v>_</v>
      </c>
      <c r="AJ158" s="44"/>
      <c r="AK158" s="5" t="s">
        <v>16</v>
      </c>
      <c r="AL158" s="46" t="str">
        <f>IF(VLOOKUP(AK158,βοηθητικό!$J$2:$N$354,3,FALSE)="","",VLOOKUP(AK158,βοηθητικό!$J$2:$N$354,3,FALSE))</f>
        <v>_</v>
      </c>
      <c r="AM158" s="47"/>
      <c r="AN158" s="4" t="s">
        <v>16</v>
      </c>
      <c r="AO158" s="43" t="str">
        <f>IF(VLOOKUP(AN158,βοηθητικό!$J$2:$N$354,3,FALSE)="","",VLOOKUP(AN158,βοηθητικό!$J$2:$N$354,3,FALSE))</f>
        <v>_</v>
      </c>
      <c r="AP158" s="44"/>
      <c r="AQ158" s="5" t="s">
        <v>16</v>
      </c>
      <c r="AR158" s="46" t="str">
        <f>IF(VLOOKUP(AQ158,βοηθητικό!$J$2:$N$354,3,FALSE)="","",VLOOKUP(AQ158,βοηθητικό!$J$2:$N$354,3,FALSE))</f>
        <v>_</v>
      </c>
      <c r="AS158" s="47"/>
      <c r="AT158" s="4" t="s">
        <v>16</v>
      </c>
      <c r="AU158" s="43" t="str">
        <f>IF(VLOOKUP(AT158,βοηθητικό!$J$2:$N$354,3,FALSE)="","",VLOOKUP(AT158,βοηθητικό!$J$2:$N$354,3,FALSE))</f>
        <v>_</v>
      </c>
      <c r="AV158" s="44"/>
      <c r="AW158" s="5" t="s">
        <v>16</v>
      </c>
      <c r="AX158" s="46" t="str">
        <f>IF(VLOOKUP(AW158,βοηθητικό!$J$2:$N$354,3,FALSE)="","",VLOOKUP(AW158,βοηθητικό!$J$2:$N$354,3,FALSE))</f>
        <v>_</v>
      </c>
      <c r="AY158" s="47"/>
      <c r="AZ158" s="4" t="s">
        <v>16</v>
      </c>
      <c r="BA158" s="43" t="str">
        <f>IF(VLOOKUP(AZ158,βοηθητικό!$J$2:$N$354,3,FALSE)="","",VLOOKUP(AZ158,βοηθητικό!$J$2:$N$354,3,FALSE))</f>
        <v>_</v>
      </c>
      <c r="BB158" s="44"/>
      <c r="BC158" s="45" t="s">
        <v>16</v>
      </c>
      <c r="BD158" s="46" t="str">
        <f>IF(VLOOKUP(BC158,βοηθητικό!$J$2:$N$354,3,FALSE)="","",VLOOKUP(BC158,βοηθητικό!$J$2:$N$354,3,FALSE))</f>
        <v>_</v>
      </c>
      <c r="BE158" s="47"/>
      <c r="BF158" s="42" t="s">
        <v>16</v>
      </c>
      <c r="BG158" s="43" t="str">
        <f>IF(VLOOKUP(BF158,βοηθητικό!$J$2:$N$354,3,FALSE)="","",VLOOKUP(BF158,βοηθητικό!$J$2:$N$354,3,FALSE))</f>
        <v>_</v>
      </c>
      <c r="BH158" s="44"/>
      <c r="BI158" s="45" t="s">
        <v>16</v>
      </c>
      <c r="BJ158" s="46" t="str">
        <f>IF(VLOOKUP(BI158,βοηθητικό!$J$2:$N$354,3,FALSE)="","",VLOOKUP(BI158,βοηθητικό!$J$2:$N$354,3,FALSE))</f>
        <v>_</v>
      </c>
      <c r="BK158" s="47"/>
      <c r="BL158" s="42" t="s">
        <v>16</v>
      </c>
      <c r="BM158" s="43" t="str">
        <f>IF(VLOOKUP(BL158,βοηθητικό!$J$2:$N$354,3,FALSE)="","",VLOOKUP(BL158,βοηθητικό!$J$2:$N$354,3,FALSE))</f>
        <v>_</v>
      </c>
      <c r="BN158" s="44"/>
      <c r="BO158" s="45" t="s">
        <v>16</v>
      </c>
      <c r="BP158" s="46" t="str">
        <f>IF(VLOOKUP(BO158,βοηθητικό!$J$2:$N$354,3,FALSE)="","",VLOOKUP(BO158,βοηθητικό!$J$2:$N$354,3,FALSE))</f>
        <v>_</v>
      </c>
      <c r="BQ158" s="47"/>
      <c r="BR158" s="42" t="s">
        <v>16</v>
      </c>
      <c r="BS158" s="43" t="str">
        <f>IF(VLOOKUP(BR158,βοηθητικό!$J$2:$N$354,3,FALSE)="","",VLOOKUP(BR158,βοηθητικό!$J$2:$N$354,3,FALSE))</f>
        <v>_</v>
      </c>
      <c r="BT158" s="44"/>
      <c r="BU158" s="45" t="s">
        <v>16</v>
      </c>
      <c r="BV158" s="46" t="str">
        <f>IF(VLOOKUP(BU158,βοηθητικό!$J$2:$N$354,3,FALSE)="","",VLOOKUP(BU158,βοηθητικό!$J$2:$N$354,3,FALSE))</f>
        <v>_</v>
      </c>
      <c r="BW158" s="47"/>
      <c r="BX158" s="42" t="s">
        <v>16</v>
      </c>
      <c r="BY158" s="43" t="str">
        <f>IF(VLOOKUP(BX158,βοηθητικό!$J$2:$N$354,3,FALSE)="","",VLOOKUP(BX158,βοηθητικό!$J$2:$N$354,3,FALSE))</f>
        <v>_</v>
      </c>
      <c r="BZ158" s="44"/>
      <c r="CA158" s="45" t="s">
        <v>16</v>
      </c>
      <c r="CB158" s="46" t="str">
        <f>IF(VLOOKUP(CA158,βοηθητικό!$J$2:$N$354,3,FALSE)="","",VLOOKUP(CA158,βοηθητικό!$J$2:$N$354,3,FALSE))</f>
        <v>_</v>
      </c>
      <c r="CC158" s="47"/>
      <c r="CD158" s="42" t="s">
        <v>16</v>
      </c>
      <c r="CE158" s="43" t="str">
        <f>IF(VLOOKUP(CD158,βοηθητικό!$J$2:$N$354,3,FALSE)="","",VLOOKUP(CD158,βοηθητικό!$J$2:$N$354,3,FALSE))</f>
        <v>_</v>
      </c>
      <c r="CF158" s="44"/>
      <c r="CG158" s="45" t="s">
        <v>16</v>
      </c>
      <c r="CH158" s="46" t="str">
        <f>IF(VLOOKUP(CG158,βοηθητικό!$J$2:$N$354,3,FALSE)="","",VLOOKUP(CG158,βοηθητικό!$J$2:$N$354,3,FALSE))</f>
        <v>_</v>
      </c>
      <c r="CI158" s="47"/>
      <c r="CJ158" s="42" t="s">
        <v>16</v>
      </c>
      <c r="CK158" s="43" t="str">
        <f>IF(VLOOKUP(CJ158,βοηθητικό!$J$2:$N$354,3,FALSE)="","",VLOOKUP(CJ158,βοηθητικό!$J$2:$N$354,3,FALSE))</f>
        <v>_</v>
      </c>
      <c r="CL158" s="44"/>
      <c r="CM158" s="45" t="s">
        <v>16</v>
      </c>
      <c r="CN158" s="46" t="str">
        <f>IF(VLOOKUP(CM158,βοηθητικό!$J$2:$N$354,3,FALSE)="","",VLOOKUP(CM158,βοηθητικό!$J$2:$N$354,3,FALSE))</f>
        <v>_</v>
      </c>
      <c r="CO158" s="47"/>
      <c r="CP158" s="42" t="s">
        <v>16</v>
      </c>
      <c r="CQ158" s="43" t="str">
        <f>IF(VLOOKUP(CP158,βοηθητικό!$J$2:$N$354,3,FALSE)="","",VLOOKUP(CP158,βοηθητικό!$J$2:$N$354,3,FALSE))</f>
        <v>_</v>
      </c>
      <c r="CR158" s="44"/>
      <c r="CS158" s="45" t="s">
        <v>16</v>
      </c>
      <c r="CT158" s="46" t="str">
        <f>IF(VLOOKUP(CS158,βοηθητικό!$J$2:$N$354,3,FALSE)="","",VLOOKUP(CS158,βοηθητικό!$J$2:$N$354,3,FALSE))</f>
        <v>_</v>
      </c>
      <c r="CU158" s="47"/>
    </row>
    <row r="159" spans="1:99" x14ac:dyDescent="0.25">
      <c r="A159" s="37">
        <f>--SUBTOTAL(3,$B$3:B158)</f>
        <v>156</v>
      </c>
      <c r="B159" s="68">
        <v>45187</v>
      </c>
      <c r="C159" s="69">
        <v>45193</v>
      </c>
      <c r="D159" s="58" t="s">
        <v>45</v>
      </c>
      <c r="E159" s="38" t="s">
        <v>16</v>
      </c>
      <c r="F159" s="38" t="s">
        <v>16</v>
      </c>
      <c r="G159" s="39" t="str">
        <f t="shared" si="8"/>
        <v>__</v>
      </c>
      <c r="H159" s="40" t="str">
        <f t="shared" si="9"/>
        <v>FALSE</v>
      </c>
      <c r="I159" s="41">
        <f t="shared" si="10"/>
        <v>5</v>
      </c>
      <c r="J159" s="4" t="s">
        <v>494</v>
      </c>
      <c r="K159" s="43" t="str">
        <f>IF(VLOOKUP(J159,βοηθητικό!$J$2:$N$354,3,FALSE)="","",VLOOKUP(J159,βοηθητικό!$J$2:$N$354,3,FALSE))</f>
        <v>6972015302</v>
      </c>
      <c r="L159" s="44"/>
      <c r="M159" s="5" t="s">
        <v>553</v>
      </c>
      <c r="N159" s="46" t="str">
        <f>IF(VLOOKUP(M159,βοηθητικό!$J$2:$N$354,3,FALSE)="","",VLOOKUP(M159,βοηθητικό!$J$2:$N$354,3,FALSE))</f>
        <v>6974882019</v>
      </c>
      <c r="O159" s="47"/>
      <c r="P159" s="4" t="s">
        <v>573</v>
      </c>
      <c r="Q159" s="43" t="str">
        <f>IF(VLOOKUP(P159,βοηθητικό!$J$2:$N$354,3,FALSE)="","",VLOOKUP(P159,βοηθητικό!$J$2:$N$354,3,FALSE))</f>
        <v>6978010154</v>
      </c>
      <c r="R159" s="44">
        <v>0</v>
      </c>
      <c r="S159" s="5" t="s">
        <v>474</v>
      </c>
      <c r="T159" s="46" t="str">
        <f>IF(VLOOKUP(S159,βοηθητικό!$J$2:$N$354,3,FALSE)="","",VLOOKUP(S159,βοηθητικό!$J$2:$N$354,3,FALSE))</f>
        <v>6955448080</v>
      </c>
      <c r="U159" s="47"/>
      <c r="V159" s="4" t="s">
        <v>529</v>
      </c>
      <c r="W159" s="43" t="str">
        <f>IF(VLOOKUP(V159,βοηθητικό!$J$2:$N$354,3,FALSE)="","",VLOOKUP(V159,βοηθητικό!$J$2:$N$354,3,FALSE))</f>
        <v>6947727931</v>
      </c>
      <c r="X159" s="44"/>
      <c r="Y159" s="5" t="s">
        <v>16</v>
      </c>
      <c r="Z159" s="46" t="str">
        <f>IF(VLOOKUP(Y159,βοηθητικό!$J$2:$N$354,3,FALSE)="","",VLOOKUP(Y159,βοηθητικό!$J$2:$N$354,3,FALSE))</f>
        <v>_</v>
      </c>
      <c r="AA159" s="47"/>
      <c r="AB159" s="4" t="s">
        <v>16</v>
      </c>
      <c r="AC159" s="43" t="str">
        <f>IF(VLOOKUP(AB159,βοηθητικό!$J$2:$N$354,3,FALSE)="","",VLOOKUP(AB159,βοηθητικό!$J$2:$N$354,3,FALSE))</f>
        <v>_</v>
      </c>
      <c r="AD159" s="44"/>
      <c r="AE159" s="5" t="s">
        <v>16</v>
      </c>
      <c r="AF159" s="46" t="str">
        <f>IF(VLOOKUP(AE159,βοηθητικό!$J$2:$N$354,3,FALSE)="","",VLOOKUP(AE159,βοηθητικό!$J$2:$N$354,3,FALSE))</f>
        <v>_</v>
      </c>
      <c r="AG159" s="47"/>
      <c r="AH159" s="4" t="s">
        <v>16</v>
      </c>
      <c r="AI159" s="43" t="str">
        <f>IF(VLOOKUP(AH159,βοηθητικό!$J$2:$N$354,3,FALSE)="","",VLOOKUP(AH159,βοηθητικό!$J$2:$N$354,3,FALSE))</f>
        <v>_</v>
      </c>
      <c r="AJ159" s="44"/>
      <c r="AK159" s="5" t="s">
        <v>16</v>
      </c>
      <c r="AL159" s="46" t="str">
        <f>IF(VLOOKUP(AK159,βοηθητικό!$J$2:$N$354,3,FALSE)="","",VLOOKUP(AK159,βοηθητικό!$J$2:$N$354,3,FALSE))</f>
        <v>_</v>
      </c>
      <c r="AM159" s="47"/>
      <c r="AN159" s="4" t="s">
        <v>16</v>
      </c>
      <c r="AO159" s="43" t="str">
        <f>IF(VLOOKUP(AN159,βοηθητικό!$J$2:$N$354,3,FALSE)="","",VLOOKUP(AN159,βοηθητικό!$J$2:$N$354,3,FALSE))</f>
        <v>_</v>
      </c>
      <c r="AP159" s="44"/>
      <c r="AQ159" s="5" t="s">
        <v>16</v>
      </c>
      <c r="AR159" s="46" t="str">
        <f>IF(VLOOKUP(AQ159,βοηθητικό!$J$2:$N$354,3,FALSE)="","",VLOOKUP(AQ159,βοηθητικό!$J$2:$N$354,3,FALSE))</f>
        <v>_</v>
      </c>
      <c r="AS159" s="47"/>
      <c r="AT159" s="4" t="s">
        <v>16</v>
      </c>
      <c r="AU159" s="43" t="str">
        <f>IF(VLOOKUP(AT159,βοηθητικό!$J$2:$N$354,3,FALSE)="","",VLOOKUP(AT159,βοηθητικό!$J$2:$N$354,3,FALSE))</f>
        <v>_</v>
      </c>
      <c r="AV159" s="44"/>
      <c r="AW159" s="5" t="s">
        <v>16</v>
      </c>
      <c r="AX159" s="46" t="str">
        <f>IF(VLOOKUP(AW159,βοηθητικό!$J$2:$N$354,3,FALSE)="","",VLOOKUP(AW159,βοηθητικό!$J$2:$N$354,3,FALSE))</f>
        <v>_</v>
      </c>
      <c r="AY159" s="47"/>
      <c r="AZ159" s="4" t="s">
        <v>16</v>
      </c>
      <c r="BA159" s="43" t="str">
        <f>IF(VLOOKUP(AZ159,βοηθητικό!$J$2:$N$354,3,FALSE)="","",VLOOKUP(AZ159,βοηθητικό!$J$2:$N$354,3,FALSE))</f>
        <v>_</v>
      </c>
      <c r="BB159" s="44"/>
      <c r="BC159" s="45" t="s">
        <v>16</v>
      </c>
      <c r="BD159" s="46" t="str">
        <f>IF(VLOOKUP(BC159,βοηθητικό!$J$2:$N$354,3,FALSE)="","",VLOOKUP(BC159,βοηθητικό!$J$2:$N$354,3,FALSE))</f>
        <v>_</v>
      </c>
      <c r="BE159" s="47"/>
      <c r="BF159" s="42" t="s">
        <v>16</v>
      </c>
      <c r="BG159" s="43" t="str">
        <f>IF(VLOOKUP(BF159,βοηθητικό!$J$2:$N$354,3,FALSE)="","",VLOOKUP(BF159,βοηθητικό!$J$2:$N$354,3,FALSE))</f>
        <v>_</v>
      </c>
      <c r="BH159" s="44"/>
      <c r="BI159" s="45" t="s">
        <v>16</v>
      </c>
      <c r="BJ159" s="46" t="str">
        <f>IF(VLOOKUP(BI159,βοηθητικό!$J$2:$N$354,3,FALSE)="","",VLOOKUP(BI159,βοηθητικό!$J$2:$N$354,3,FALSE))</f>
        <v>_</v>
      </c>
      <c r="BK159" s="47"/>
      <c r="BL159" s="42" t="s">
        <v>16</v>
      </c>
      <c r="BM159" s="43" t="str">
        <f>IF(VLOOKUP(BL159,βοηθητικό!$J$2:$N$354,3,FALSE)="","",VLOOKUP(BL159,βοηθητικό!$J$2:$N$354,3,FALSE))</f>
        <v>_</v>
      </c>
      <c r="BN159" s="44"/>
      <c r="BO159" s="45" t="s">
        <v>16</v>
      </c>
      <c r="BP159" s="46" t="str">
        <f>IF(VLOOKUP(BO159,βοηθητικό!$J$2:$N$354,3,FALSE)="","",VLOOKUP(BO159,βοηθητικό!$J$2:$N$354,3,FALSE))</f>
        <v>_</v>
      </c>
      <c r="BQ159" s="47"/>
      <c r="BR159" s="42" t="s">
        <v>16</v>
      </c>
      <c r="BS159" s="43" t="str">
        <f>IF(VLOOKUP(BR159,βοηθητικό!$J$2:$N$354,3,FALSE)="","",VLOOKUP(BR159,βοηθητικό!$J$2:$N$354,3,FALSE))</f>
        <v>_</v>
      </c>
      <c r="BT159" s="44"/>
      <c r="BU159" s="45" t="s">
        <v>16</v>
      </c>
      <c r="BV159" s="46" t="str">
        <f>IF(VLOOKUP(BU159,βοηθητικό!$J$2:$N$354,3,FALSE)="","",VLOOKUP(BU159,βοηθητικό!$J$2:$N$354,3,FALSE))</f>
        <v>_</v>
      </c>
      <c r="BW159" s="47"/>
      <c r="BX159" s="42" t="s">
        <v>16</v>
      </c>
      <c r="BY159" s="43" t="str">
        <f>IF(VLOOKUP(BX159,βοηθητικό!$J$2:$N$354,3,FALSE)="","",VLOOKUP(BX159,βοηθητικό!$J$2:$N$354,3,FALSE))</f>
        <v>_</v>
      </c>
      <c r="BZ159" s="44"/>
      <c r="CA159" s="45" t="s">
        <v>16</v>
      </c>
      <c r="CB159" s="46" t="str">
        <f>IF(VLOOKUP(CA159,βοηθητικό!$J$2:$N$354,3,FALSE)="","",VLOOKUP(CA159,βοηθητικό!$J$2:$N$354,3,FALSE))</f>
        <v>_</v>
      </c>
      <c r="CC159" s="47"/>
      <c r="CD159" s="42" t="s">
        <v>16</v>
      </c>
      <c r="CE159" s="43" t="str">
        <f>IF(VLOOKUP(CD159,βοηθητικό!$J$2:$N$354,3,FALSE)="","",VLOOKUP(CD159,βοηθητικό!$J$2:$N$354,3,FALSE))</f>
        <v>_</v>
      </c>
      <c r="CF159" s="44"/>
      <c r="CG159" s="45" t="s">
        <v>16</v>
      </c>
      <c r="CH159" s="46" t="str">
        <f>IF(VLOOKUP(CG159,βοηθητικό!$J$2:$N$354,3,FALSE)="","",VLOOKUP(CG159,βοηθητικό!$J$2:$N$354,3,FALSE))</f>
        <v>_</v>
      </c>
      <c r="CI159" s="47"/>
      <c r="CJ159" s="42" t="s">
        <v>16</v>
      </c>
      <c r="CK159" s="43" t="str">
        <f>IF(VLOOKUP(CJ159,βοηθητικό!$J$2:$N$354,3,FALSE)="","",VLOOKUP(CJ159,βοηθητικό!$J$2:$N$354,3,FALSE))</f>
        <v>_</v>
      </c>
      <c r="CL159" s="44"/>
      <c r="CM159" s="45" t="s">
        <v>16</v>
      </c>
      <c r="CN159" s="46" t="str">
        <f>IF(VLOOKUP(CM159,βοηθητικό!$J$2:$N$354,3,FALSE)="","",VLOOKUP(CM159,βοηθητικό!$J$2:$N$354,3,FALSE))</f>
        <v>_</v>
      </c>
      <c r="CO159" s="47"/>
      <c r="CP159" s="42" t="s">
        <v>16</v>
      </c>
      <c r="CQ159" s="43" t="str">
        <f>IF(VLOOKUP(CP159,βοηθητικό!$J$2:$N$354,3,FALSE)="","",VLOOKUP(CP159,βοηθητικό!$J$2:$N$354,3,FALSE))</f>
        <v>_</v>
      </c>
      <c r="CR159" s="44"/>
      <c r="CS159" s="45" t="s">
        <v>16</v>
      </c>
      <c r="CT159" s="46" t="str">
        <f>IF(VLOOKUP(CS159,βοηθητικό!$J$2:$N$354,3,FALSE)="","",VLOOKUP(CS159,βοηθητικό!$J$2:$N$354,3,FALSE))</f>
        <v>_</v>
      </c>
      <c r="CU159" s="47"/>
    </row>
    <row r="160" spans="1:99" x14ac:dyDescent="0.25">
      <c r="A160" s="37">
        <f>--SUBTOTAL(3,$B$3:B159)</f>
        <v>157</v>
      </c>
      <c r="B160" s="68">
        <v>45194</v>
      </c>
      <c r="C160" s="69">
        <v>45200</v>
      </c>
      <c r="D160" s="58" t="s">
        <v>45</v>
      </c>
      <c r="E160" s="38" t="s">
        <v>16</v>
      </c>
      <c r="F160" s="38" t="s">
        <v>16</v>
      </c>
      <c r="G160" s="39" t="str">
        <f t="shared" si="8"/>
        <v>__</v>
      </c>
      <c r="H160" s="40" t="str">
        <f t="shared" si="9"/>
        <v>FALSE</v>
      </c>
      <c r="I160" s="41">
        <f t="shared" si="10"/>
        <v>6</v>
      </c>
      <c r="J160" s="4" t="s">
        <v>489</v>
      </c>
      <c r="K160" s="43" t="str">
        <f>IF(VLOOKUP(J160,βοηθητικό!$J$2:$N$354,3,FALSE)="","",VLOOKUP(J160,βοηθητικό!$J$2:$N$354,3,FALSE))</f>
        <v>6972289471</v>
      </c>
      <c r="L160" s="44"/>
      <c r="M160" s="5" t="s">
        <v>548</v>
      </c>
      <c r="N160" s="46" t="str">
        <f>IF(VLOOKUP(M160,βοηθητικό!$J$2:$N$354,3,FALSE)="","",VLOOKUP(M160,βοηθητικό!$J$2:$N$354,3,FALSE))</f>
        <v>6977344183</v>
      </c>
      <c r="O160" s="47"/>
      <c r="P160" s="4" t="s">
        <v>509</v>
      </c>
      <c r="Q160" s="43" t="str">
        <f>IF(VLOOKUP(P160,βοηθητικό!$J$2:$N$354,3,FALSE)="","",VLOOKUP(P160,βοηθητικό!$J$2:$N$354,3,FALSE))</f>
        <v>6944370079</v>
      </c>
      <c r="R160" s="44">
        <v>0</v>
      </c>
      <c r="S160" s="5" t="s">
        <v>479</v>
      </c>
      <c r="T160" s="46" t="str">
        <f>IF(VLOOKUP(S160,βοηθητικό!$J$2:$N$354,3,FALSE)="","",VLOOKUP(S160,βοηθητικό!$J$2:$N$354,3,FALSE))</f>
        <v>6977298022</v>
      </c>
      <c r="U160" s="47"/>
      <c r="V160" s="4" t="s">
        <v>577</v>
      </c>
      <c r="W160" s="43" t="str">
        <f>IF(VLOOKUP(V160,βοηθητικό!$J$2:$N$354,3,FALSE)="","",VLOOKUP(V160,βοηθητικό!$J$2:$N$354,3,FALSE))</f>
        <v>6937185269</v>
      </c>
      <c r="X160" s="44"/>
      <c r="Y160" s="5" t="s">
        <v>559</v>
      </c>
      <c r="Z160" s="46" t="str">
        <f>IF(VLOOKUP(Y160,βοηθητικό!$J$2:$N$354,3,FALSE)="","",VLOOKUP(Y160,βοηθητικό!$J$2:$N$354,3,FALSE))</f>
        <v>6934004858</v>
      </c>
      <c r="AA160" s="47"/>
      <c r="AB160" s="4" t="s">
        <v>16</v>
      </c>
      <c r="AC160" s="43" t="str">
        <f>IF(VLOOKUP(AB160,βοηθητικό!$J$2:$N$354,3,FALSE)="","",VLOOKUP(AB160,βοηθητικό!$J$2:$N$354,3,FALSE))</f>
        <v>_</v>
      </c>
      <c r="AD160" s="44"/>
      <c r="AE160" s="5" t="s">
        <v>16</v>
      </c>
      <c r="AF160" s="46" t="str">
        <f>IF(VLOOKUP(AE160,βοηθητικό!$J$2:$N$354,3,FALSE)="","",VLOOKUP(AE160,βοηθητικό!$J$2:$N$354,3,FALSE))</f>
        <v>_</v>
      </c>
      <c r="AG160" s="47"/>
      <c r="AH160" s="4" t="s">
        <v>16</v>
      </c>
      <c r="AI160" s="43" t="str">
        <f>IF(VLOOKUP(AH160,βοηθητικό!$J$2:$N$354,3,FALSE)="","",VLOOKUP(AH160,βοηθητικό!$J$2:$N$354,3,FALSE))</f>
        <v>_</v>
      </c>
      <c r="AJ160" s="44"/>
      <c r="AK160" s="5" t="s">
        <v>16</v>
      </c>
      <c r="AL160" s="46" t="str">
        <f>IF(VLOOKUP(AK160,βοηθητικό!$J$2:$N$354,3,FALSE)="","",VLOOKUP(AK160,βοηθητικό!$J$2:$N$354,3,FALSE))</f>
        <v>_</v>
      </c>
      <c r="AM160" s="47"/>
      <c r="AN160" s="4" t="s">
        <v>16</v>
      </c>
      <c r="AO160" s="43" t="str">
        <f>IF(VLOOKUP(AN160,βοηθητικό!$J$2:$N$354,3,FALSE)="","",VLOOKUP(AN160,βοηθητικό!$J$2:$N$354,3,FALSE))</f>
        <v>_</v>
      </c>
      <c r="AP160" s="44"/>
      <c r="AQ160" s="5" t="s">
        <v>16</v>
      </c>
      <c r="AR160" s="46" t="str">
        <f>IF(VLOOKUP(AQ160,βοηθητικό!$J$2:$N$354,3,FALSE)="","",VLOOKUP(AQ160,βοηθητικό!$J$2:$N$354,3,FALSE))</f>
        <v>_</v>
      </c>
      <c r="AS160" s="47"/>
      <c r="AT160" s="4" t="s">
        <v>16</v>
      </c>
      <c r="AU160" s="43" t="str">
        <f>IF(VLOOKUP(AT160,βοηθητικό!$J$2:$N$354,3,FALSE)="","",VLOOKUP(AT160,βοηθητικό!$J$2:$N$354,3,FALSE))</f>
        <v>_</v>
      </c>
      <c r="AV160" s="44"/>
      <c r="AW160" s="5" t="s">
        <v>16</v>
      </c>
      <c r="AX160" s="46" t="str">
        <f>IF(VLOOKUP(AW160,βοηθητικό!$J$2:$N$354,3,FALSE)="","",VLOOKUP(AW160,βοηθητικό!$J$2:$N$354,3,FALSE))</f>
        <v>_</v>
      </c>
      <c r="AY160" s="47"/>
      <c r="AZ160" s="4" t="s">
        <v>16</v>
      </c>
      <c r="BA160" s="43" t="str">
        <f>IF(VLOOKUP(AZ160,βοηθητικό!$J$2:$N$354,3,FALSE)="","",VLOOKUP(AZ160,βοηθητικό!$J$2:$N$354,3,FALSE))</f>
        <v>_</v>
      </c>
      <c r="BB160" s="44"/>
      <c r="BC160" s="45" t="s">
        <v>16</v>
      </c>
      <c r="BD160" s="46" t="str">
        <f>IF(VLOOKUP(BC160,βοηθητικό!$J$2:$N$354,3,FALSE)="","",VLOOKUP(BC160,βοηθητικό!$J$2:$N$354,3,FALSE))</f>
        <v>_</v>
      </c>
      <c r="BE160" s="47"/>
      <c r="BF160" s="42" t="s">
        <v>16</v>
      </c>
      <c r="BG160" s="43" t="str">
        <f>IF(VLOOKUP(BF160,βοηθητικό!$J$2:$N$354,3,FALSE)="","",VLOOKUP(BF160,βοηθητικό!$J$2:$N$354,3,FALSE))</f>
        <v>_</v>
      </c>
      <c r="BH160" s="44"/>
      <c r="BI160" s="45" t="s">
        <v>16</v>
      </c>
      <c r="BJ160" s="46" t="str">
        <f>IF(VLOOKUP(BI160,βοηθητικό!$J$2:$N$354,3,FALSE)="","",VLOOKUP(BI160,βοηθητικό!$J$2:$N$354,3,FALSE))</f>
        <v>_</v>
      </c>
      <c r="BK160" s="47"/>
      <c r="BL160" s="42" t="s">
        <v>16</v>
      </c>
      <c r="BM160" s="43" t="str">
        <f>IF(VLOOKUP(BL160,βοηθητικό!$J$2:$N$354,3,FALSE)="","",VLOOKUP(BL160,βοηθητικό!$J$2:$N$354,3,FALSE))</f>
        <v>_</v>
      </c>
      <c r="BN160" s="44"/>
      <c r="BO160" s="45" t="s">
        <v>16</v>
      </c>
      <c r="BP160" s="46" t="str">
        <f>IF(VLOOKUP(BO160,βοηθητικό!$J$2:$N$354,3,FALSE)="","",VLOOKUP(BO160,βοηθητικό!$J$2:$N$354,3,FALSE))</f>
        <v>_</v>
      </c>
      <c r="BQ160" s="47"/>
      <c r="BR160" s="42" t="s">
        <v>16</v>
      </c>
      <c r="BS160" s="43" t="str">
        <f>IF(VLOOKUP(BR160,βοηθητικό!$J$2:$N$354,3,FALSE)="","",VLOOKUP(BR160,βοηθητικό!$J$2:$N$354,3,FALSE))</f>
        <v>_</v>
      </c>
      <c r="BT160" s="44"/>
      <c r="BU160" s="45" t="s">
        <v>16</v>
      </c>
      <c r="BV160" s="46" t="str">
        <f>IF(VLOOKUP(BU160,βοηθητικό!$J$2:$N$354,3,FALSE)="","",VLOOKUP(BU160,βοηθητικό!$J$2:$N$354,3,FALSE))</f>
        <v>_</v>
      </c>
      <c r="BW160" s="47"/>
      <c r="BX160" s="42" t="s">
        <v>16</v>
      </c>
      <c r="BY160" s="43" t="str">
        <f>IF(VLOOKUP(BX160,βοηθητικό!$J$2:$N$354,3,FALSE)="","",VLOOKUP(BX160,βοηθητικό!$J$2:$N$354,3,FALSE))</f>
        <v>_</v>
      </c>
      <c r="BZ160" s="44"/>
      <c r="CA160" s="45" t="s">
        <v>16</v>
      </c>
      <c r="CB160" s="46" t="str">
        <f>IF(VLOOKUP(CA160,βοηθητικό!$J$2:$N$354,3,FALSE)="","",VLOOKUP(CA160,βοηθητικό!$J$2:$N$354,3,FALSE))</f>
        <v>_</v>
      </c>
      <c r="CC160" s="47"/>
      <c r="CD160" s="42" t="s">
        <v>16</v>
      </c>
      <c r="CE160" s="43" t="str">
        <f>IF(VLOOKUP(CD160,βοηθητικό!$J$2:$N$354,3,FALSE)="","",VLOOKUP(CD160,βοηθητικό!$J$2:$N$354,3,FALSE))</f>
        <v>_</v>
      </c>
      <c r="CF160" s="44"/>
      <c r="CG160" s="45" t="s">
        <v>16</v>
      </c>
      <c r="CH160" s="46" t="str">
        <f>IF(VLOOKUP(CG160,βοηθητικό!$J$2:$N$354,3,FALSE)="","",VLOOKUP(CG160,βοηθητικό!$J$2:$N$354,3,FALSE))</f>
        <v>_</v>
      </c>
      <c r="CI160" s="47"/>
      <c r="CJ160" s="42" t="s">
        <v>16</v>
      </c>
      <c r="CK160" s="43" t="str">
        <f>IF(VLOOKUP(CJ160,βοηθητικό!$J$2:$N$354,3,FALSE)="","",VLOOKUP(CJ160,βοηθητικό!$J$2:$N$354,3,FALSE))</f>
        <v>_</v>
      </c>
      <c r="CL160" s="44"/>
      <c r="CM160" s="45" t="s">
        <v>16</v>
      </c>
      <c r="CN160" s="46" t="str">
        <f>IF(VLOOKUP(CM160,βοηθητικό!$J$2:$N$354,3,FALSE)="","",VLOOKUP(CM160,βοηθητικό!$J$2:$N$354,3,FALSE))</f>
        <v>_</v>
      </c>
      <c r="CO160" s="47"/>
      <c r="CP160" s="42" t="s">
        <v>16</v>
      </c>
      <c r="CQ160" s="43" t="str">
        <f>IF(VLOOKUP(CP160,βοηθητικό!$J$2:$N$354,3,FALSE)="","",VLOOKUP(CP160,βοηθητικό!$J$2:$N$354,3,FALSE))</f>
        <v>_</v>
      </c>
      <c r="CR160" s="44"/>
      <c r="CS160" s="45" t="s">
        <v>16</v>
      </c>
      <c r="CT160" s="46" t="str">
        <f>IF(VLOOKUP(CS160,βοηθητικό!$J$2:$N$354,3,FALSE)="","",VLOOKUP(CS160,βοηθητικό!$J$2:$N$354,3,FALSE))</f>
        <v>_</v>
      </c>
      <c r="CU160" s="47"/>
    </row>
    <row r="161" spans="1:99" x14ac:dyDescent="0.25">
      <c r="A161" s="37">
        <f>--SUBTOTAL(3,$B$3:B160)</f>
        <v>158</v>
      </c>
      <c r="B161" s="68">
        <v>45166</v>
      </c>
      <c r="C161" s="69">
        <v>45172</v>
      </c>
      <c r="D161" s="57" t="s">
        <v>64</v>
      </c>
      <c r="E161" s="38" t="s">
        <v>16</v>
      </c>
      <c r="F161" s="38" t="s">
        <v>16</v>
      </c>
      <c r="G161" s="39" t="str">
        <f t="shared" si="8"/>
        <v>__</v>
      </c>
      <c r="H161" s="40" t="str">
        <f t="shared" si="9"/>
        <v>FALSE</v>
      </c>
      <c r="I161" s="41">
        <f t="shared" si="10"/>
        <v>5</v>
      </c>
      <c r="J161" s="4" t="s">
        <v>693</v>
      </c>
      <c r="K161" s="43">
        <f>IF(VLOOKUP(J161,βοηθητικό!$J$2:$N$354,3,FALSE)="","",VLOOKUP(J161,βοηθητικό!$J$2:$N$354,3,FALSE))</f>
        <v>6947551606</v>
      </c>
      <c r="L161" s="44"/>
      <c r="M161" s="5" t="s">
        <v>698</v>
      </c>
      <c r="N161" s="46" t="str">
        <f>IF(VLOOKUP(M161,βοηθητικό!$J$2:$N$354,3,FALSE)="","",VLOOKUP(M161,βοηθητικό!$J$2:$N$354,3,FALSE))</f>
        <v>6982255759</v>
      </c>
      <c r="O161" s="47"/>
      <c r="P161" s="4" t="s">
        <v>729</v>
      </c>
      <c r="Q161" s="43">
        <f>IF(VLOOKUP(P161,βοηθητικό!$J$2:$N$354,3,FALSE)="","",VLOOKUP(P161,βοηθητικό!$J$2:$N$354,3,FALSE))</f>
        <v>6971762883</v>
      </c>
      <c r="R161" s="44"/>
      <c r="S161" s="5" t="s">
        <v>735</v>
      </c>
      <c r="T161" s="46">
        <f>IF(VLOOKUP(S161,βοηθητικό!$J$2:$N$354,3,FALSE)="","",VLOOKUP(S161,βοηθητικό!$J$2:$N$354,3,FALSE))</f>
        <v>6937699769</v>
      </c>
      <c r="U161" s="47"/>
      <c r="V161" s="4" t="s">
        <v>739</v>
      </c>
      <c r="W161" s="43">
        <f>IF(VLOOKUP(V161,βοηθητικό!$J$2:$N$354,3,FALSE)="","",VLOOKUP(V161,βοηθητικό!$J$2:$N$354,3,FALSE))</f>
        <v>6974746709</v>
      </c>
      <c r="X161" s="44"/>
      <c r="Y161" s="5" t="s">
        <v>16</v>
      </c>
      <c r="Z161" s="46" t="str">
        <f>IF(VLOOKUP(Y161,βοηθητικό!$J$2:$N$354,3,FALSE)="","",VLOOKUP(Y161,βοηθητικό!$J$2:$N$354,3,FALSE))</f>
        <v>_</v>
      </c>
      <c r="AA161" s="47"/>
      <c r="AB161" s="4" t="s">
        <v>16</v>
      </c>
      <c r="AC161" s="43" t="str">
        <f>IF(VLOOKUP(AB161,βοηθητικό!$J$2:$N$354,3,FALSE)="","",VLOOKUP(AB161,βοηθητικό!$J$2:$N$354,3,FALSE))</f>
        <v>_</v>
      </c>
      <c r="AD161" s="44"/>
      <c r="AE161" s="5" t="s">
        <v>16</v>
      </c>
      <c r="AF161" s="46" t="str">
        <f>IF(VLOOKUP(AE161,βοηθητικό!$J$2:$N$354,3,FALSE)="","",VLOOKUP(AE161,βοηθητικό!$J$2:$N$354,3,FALSE))</f>
        <v>_</v>
      </c>
      <c r="AG161" s="47"/>
      <c r="AH161" s="4" t="s">
        <v>16</v>
      </c>
      <c r="AI161" s="43" t="str">
        <f>IF(VLOOKUP(AH161,βοηθητικό!$J$2:$N$354,3,FALSE)="","",VLOOKUP(AH161,βοηθητικό!$J$2:$N$354,3,FALSE))</f>
        <v>_</v>
      </c>
      <c r="AJ161" s="44"/>
      <c r="AK161" s="5" t="s">
        <v>16</v>
      </c>
      <c r="AL161" s="46" t="str">
        <f>IF(VLOOKUP(AK161,βοηθητικό!$J$2:$N$354,3,FALSE)="","",VLOOKUP(AK161,βοηθητικό!$J$2:$N$354,3,FALSE))</f>
        <v>_</v>
      </c>
      <c r="AM161" s="47"/>
      <c r="AN161" s="4" t="s">
        <v>16</v>
      </c>
      <c r="AO161" s="43" t="str">
        <f>IF(VLOOKUP(AN161,βοηθητικό!$J$2:$N$354,3,FALSE)="","",VLOOKUP(AN161,βοηθητικό!$J$2:$N$354,3,FALSE))</f>
        <v>_</v>
      </c>
      <c r="AP161" s="44"/>
      <c r="AQ161" s="5" t="s">
        <v>16</v>
      </c>
      <c r="AR161" s="46" t="str">
        <f>IF(VLOOKUP(AQ161,βοηθητικό!$J$2:$N$354,3,FALSE)="","",VLOOKUP(AQ161,βοηθητικό!$J$2:$N$354,3,FALSE))</f>
        <v>_</v>
      </c>
      <c r="AS161" s="47"/>
      <c r="AT161" s="4" t="s">
        <v>16</v>
      </c>
      <c r="AU161" s="43" t="str">
        <f>IF(VLOOKUP(AT161,βοηθητικό!$J$2:$N$354,3,FALSE)="","",VLOOKUP(AT161,βοηθητικό!$J$2:$N$354,3,FALSE))</f>
        <v>_</v>
      </c>
      <c r="AV161" s="44"/>
      <c r="AW161" s="5" t="s">
        <v>16</v>
      </c>
      <c r="AX161" s="46" t="str">
        <f>IF(VLOOKUP(AW161,βοηθητικό!$J$2:$N$354,3,FALSE)="","",VLOOKUP(AW161,βοηθητικό!$J$2:$N$354,3,FALSE))</f>
        <v>_</v>
      </c>
      <c r="AY161" s="47"/>
      <c r="AZ161" s="4" t="s">
        <v>16</v>
      </c>
      <c r="BA161" s="43" t="str">
        <f>IF(VLOOKUP(AZ161,βοηθητικό!$J$2:$N$354,3,FALSE)="","",VLOOKUP(AZ161,βοηθητικό!$J$2:$N$354,3,FALSE))</f>
        <v>_</v>
      </c>
      <c r="BB161" s="44"/>
      <c r="BC161" s="45" t="s">
        <v>16</v>
      </c>
      <c r="BD161" s="46" t="str">
        <f>IF(VLOOKUP(BC161,βοηθητικό!$J$2:$N$354,3,FALSE)="","",VLOOKUP(BC161,βοηθητικό!$J$2:$N$354,3,FALSE))</f>
        <v>_</v>
      </c>
      <c r="BE161" s="47"/>
      <c r="BF161" s="42" t="s">
        <v>16</v>
      </c>
      <c r="BG161" s="43" t="str">
        <f>IF(VLOOKUP(BF161,βοηθητικό!$J$2:$N$354,3,FALSE)="","",VLOOKUP(BF161,βοηθητικό!$J$2:$N$354,3,FALSE))</f>
        <v>_</v>
      </c>
      <c r="BH161" s="44"/>
      <c r="BI161" s="45" t="s">
        <v>16</v>
      </c>
      <c r="BJ161" s="46" t="str">
        <f>IF(VLOOKUP(BI161,βοηθητικό!$J$2:$N$354,3,FALSE)="","",VLOOKUP(BI161,βοηθητικό!$J$2:$N$354,3,FALSE))</f>
        <v>_</v>
      </c>
      <c r="BK161" s="47"/>
      <c r="BL161" s="42" t="s">
        <v>16</v>
      </c>
      <c r="BM161" s="43" t="str">
        <f>IF(VLOOKUP(BL161,βοηθητικό!$J$2:$N$354,3,FALSE)="","",VLOOKUP(BL161,βοηθητικό!$J$2:$N$354,3,FALSE))</f>
        <v>_</v>
      </c>
      <c r="BN161" s="44"/>
      <c r="BO161" s="45" t="s">
        <v>16</v>
      </c>
      <c r="BP161" s="46" t="str">
        <f>IF(VLOOKUP(BO161,βοηθητικό!$J$2:$N$354,3,FALSE)="","",VLOOKUP(BO161,βοηθητικό!$J$2:$N$354,3,FALSE))</f>
        <v>_</v>
      </c>
      <c r="BQ161" s="47"/>
      <c r="BR161" s="42" t="s">
        <v>16</v>
      </c>
      <c r="BS161" s="43" t="str">
        <f>IF(VLOOKUP(BR161,βοηθητικό!$J$2:$N$354,3,FALSE)="","",VLOOKUP(BR161,βοηθητικό!$J$2:$N$354,3,FALSE))</f>
        <v>_</v>
      </c>
      <c r="BT161" s="44"/>
      <c r="BU161" s="45" t="s">
        <v>16</v>
      </c>
      <c r="BV161" s="46" t="str">
        <f>IF(VLOOKUP(BU161,βοηθητικό!$J$2:$N$354,3,FALSE)="","",VLOOKUP(BU161,βοηθητικό!$J$2:$N$354,3,FALSE))</f>
        <v>_</v>
      </c>
      <c r="BW161" s="47"/>
      <c r="BX161" s="42" t="s">
        <v>16</v>
      </c>
      <c r="BY161" s="43" t="str">
        <f>IF(VLOOKUP(BX161,βοηθητικό!$J$2:$N$354,3,FALSE)="","",VLOOKUP(BX161,βοηθητικό!$J$2:$N$354,3,FALSE))</f>
        <v>_</v>
      </c>
      <c r="BZ161" s="44"/>
      <c r="CA161" s="45" t="s">
        <v>16</v>
      </c>
      <c r="CB161" s="46" t="str">
        <f>IF(VLOOKUP(CA161,βοηθητικό!$J$2:$N$354,3,FALSE)="","",VLOOKUP(CA161,βοηθητικό!$J$2:$N$354,3,FALSE))</f>
        <v>_</v>
      </c>
      <c r="CC161" s="47"/>
      <c r="CD161" s="42" t="s">
        <v>16</v>
      </c>
      <c r="CE161" s="43" t="str">
        <f>IF(VLOOKUP(CD161,βοηθητικό!$J$2:$N$354,3,FALSE)="","",VLOOKUP(CD161,βοηθητικό!$J$2:$N$354,3,FALSE))</f>
        <v>_</v>
      </c>
      <c r="CF161" s="44"/>
      <c r="CG161" s="45" t="s">
        <v>16</v>
      </c>
      <c r="CH161" s="46" t="str">
        <f>IF(VLOOKUP(CG161,βοηθητικό!$J$2:$N$354,3,FALSE)="","",VLOOKUP(CG161,βοηθητικό!$J$2:$N$354,3,FALSE))</f>
        <v>_</v>
      </c>
      <c r="CI161" s="47"/>
      <c r="CJ161" s="42" t="s">
        <v>16</v>
      </c>
      <c r="CK161" s="43" t="str">
        <f>IF(VLOOKUP(CJ161,βοηθητικό!$J$2:$N$354,3,FALSE)="","",VLOOKUP(CJ161,βοηθητικό!$J$2:$N$354,3,FALSE))</f>
        <v>_</v>
      </c>
      <c r="CL161" s="44"/>
      <c r="CM161" s="45" t="s">
        <v>16</v>
      </c>
      <c r="CN161" s="46" t="str">
        <f>IF(VLOOKUP(CM161,βοηθητικό!$J$2:$N$354,3,FALSE)="","",VLOOKUP(CM161,βοηθητικό!$J$2:$N$354,3,FALSE))</f>
        <v>_</v>
      </c>
      <c r="CO161" s="47"/>
      <c r="CP161" s="42" t="s">
        <v>16</v>
      </c>
      <c r="CQ161" s="43" t="str">
        <f>IF(VLOOKUP(CP161,βοηθητικό!$J$2:$N$354,3,FALSE)="","",VLOOKUP(CP161,βοηθητικό!$J$2:$N$354,3,FALSE))</f>
        <v>_</v>
      </c>
      <c r="CR161" s="44"/>
      <c r="CS161" s="45" t="s">
        <v>16</v>
      </c>
      <c r="CT161" s="46" t="str">
        <f>IF(VLOOKUP(CS161,βοηθητικό!$J$2:$N$354,3,FALSE)="","",VLOOKUP(CS161,βοηθητικό!$J$2:$N$354,3,FALSE))</f>
        <v>_</v>
      </c>
      <c r="CU161" s="47"/>
    </row>
    <row r="162" spans="1:99" x14ac:dyDescent="0.25">
      <c r="A162" s="37">
        <f>--SUBTOTAL(3,$B$3:B161)</f>
        <v>159</v>
      </c>
      <c r="B162" s="68">
        <v>45173</v>
      </c>
      <c r="C162" s="69">
        <v>45179</v>
      </c>
      <c r="D162" s="57" t="s">
        <v>64</v>
      </c>
      <c r="E162" s="38" t="s">
        <v>16</v>
      </c>
      <c r="F162" s="38" t="s">
        <v>16</v>
      </c>
      <c r="G162" s="39" t="str">
        <f t="shared" si="8"/>
        <v>__</v>
      </c>
      <c r="H162" s="40" t="str">
        <f t="shared" si="9"/>
        <v>FALSE</v>
      </c>
      <c r="I162" s="41">
        <f t="shared" si="10"/>
        <v>5</v>
      </c>
      <c r="J162" s="4" t="s">
        <v>623</v>
      </c>
      <c r="K162" s="43" t="str">
        <f>IF(VLOOKUP(J162,βοηθητικό!$J$2:$N$354,3,FALSE)="","",VLOOKUP(J162,βοηθητικό!$J$2:$N$354,3,FALSE))</f>
        <v>6909870019</v>
      </c>
      <c r="L162" s="44"/>
      <c r="M162" s="5" t="s">
        <v>647</v>
      </c>
      <c r="N162" s="46">
        <f>IF(VLOOKUP(M162,βοηθητικό!$J$2:$N$354,3,FALSE)="","",VLOOKUP(M162,βοηθητικό!$J$2:$N$354,3,FALSE))</f>
        <v>6977248108</v>
      </c>
      <c r="O162" s="47"/>
      <c r="P162" s="4" t="s">
        <v>709</v>
      </c>
      <c r="Q162" s="43" t="str">
        <f>IF(VLOOKUP(P162,βοηθητικό!$J$2:$N$354,3,FALSE)="","",VLOOKUP(P162,βοηθητικό!$J$2:$N$354,3,FALSE))</f>
        <v>6944439132</v>
      </c>
      <c r="R162" s="44"/>
      <c r="S162" s="5" t="s">
        <v>725</v>
      </c>
      <c r="T162" s="46" t="str">
        <f>IF(VLOOKUP(S162,βοηθητικό!$J$2:$N$354,3,FALSE)="","",VLOOKUP(S162,βοηθητικό!$J$2:$N$354,3,FALSE))</f>
        <v>6948851335</v>
      </c>
      <c r="U162" s="47"/>
      <c r="V162" s="4" t="s">
        <v>739</v>
      </c>
      <c r="W162" s="43">
        <f>IF(VLOOKUP(V162,βοηθητικό!$J$2:$N$354,3,FALSE)="","",VLOOKUP(V162,βοηθητικό!$J$2:$N$354,3,FALSE))</f>
        <v>6974746709</v>
      </c>
      <c r="X162" s="44"/>
      <c r="Y162" s="5" t="s">
        <v>16</v>
      </c>
      <c r="Z162" s="46" t="str">
        <f>IF(VLOOKUP(Y162,βοηθητικό!$J$2:$N$354,3,FALSE)="","",VLOOKUP(Y162,βοηθητικό!$J$2:$N$354,3,FALSE))</f>
        <v>_</v>
      </c>
      <c r="AA162" s="47"/>
      <c r="AB162" s="4" t="s">
        <v>16</v>
      </c>
      <c r="AC162" s="43" t="str">
        <f>IF(VLOOKUP(AB162,βοηθητικό!$J$2:$N$354,3,FALSE)="","",VLOOKUP(AB162,βοηθητικό!$J$2:$N$354,3,FALSE))</f>
        <v>_</v>
      </c>
      <c r="AD162" s="44"/>
      <c r="AE162" s="5" t="s">
        <v>16</v>
      </c>
      <c r="AF162" s="46" t="str">
        <f>IF(VLOOKUP(AE162,βοηθητικό!$J$2:$N$354,3,FALSE)="","",VLOOKUP(AE162,βοηθητικό!$J$2:$N$354,3,FALSE))</f>
        <v>_</v>
      </c>
      <c r="AG162" s="47"/>
      <c r="AH162" s="4" t="s">
        <v>16</v>
      </c>
      <c r="AI162" s="43" t="str">
        <f>IF(VLOOKUP(AH162,βοηθητικό!$J$2:$N$354,3,FALSE)="","",VLOOKUP(AH162,βοηθητικό!$J$2:$N$354,3,FALSE))</f>
        <v>_</v>
      </c>
      <c r="AJ162" s="44"/>
      <c r="AK162" s="5" t="s">
        <v>16</v>
      </c>
      <c r="AL162" s="46" t="str">
        <f>IF(VLOOKUP(AK162,βοηθητικό!$J$2:$N$354,3,FALSE)="","",VLOOKUP(AK162,βοηθητικό!$J$2:$N$354,3,FALSE))</f>
        <v>_</v>
      </c>
      <c r="AM162" s="47"/>
      <c r="AN162" s="4" t="s">
        <v>16</v>
      </c>
      <c r="AO162" s="43" t="str">
        <f>IF(VLOOKUP(AN162,βοηθητικό!$J$2:$N$354,3,FALSE)="","",VLOOKUP(AN162,βοηθητικό!$J$2:$N$354,3,FALSE))</f>
        <v>_</v>
      </c>
      <c r="AP162" s="44"/>
      <c r="AQ162" s="5" t="s">
        <v>16</v>
      </c>
      <c r="AR162" s="46" t="str">
        <f>IF(VLOOKUP(AQ162,βοηθητικό!$J$2:$N$354,3,FALSE)="","",VLOOKUP(AQ162,βοηθητικό!$J$2:$N$354,3,FALSE))</f>
        <v>_</v>
      </c>
      <c r="AS162" s="47"/>
      <c r="AT162" s="4" t="s">
        <v>16</v>
      </c>
      <c r="AU162" s="43" t="str">
        <f>IF(VLOOKUP(AT162,βοηθητικό!$J$2:$N$354,3,FALSE)="","",VLOOKUP(AT162,βοηθητικό!$J$2:$N$354,3,FALSE))</f>
        <v>_</v>
      </c>
      <c r="AV162" s="44"/>
      <c r="AW162" s="5" t="s">
        <v>16</v>
      </c>
      <c r="AX162" s="46" t="str">
        <f>IF(VLOOKUP(AW162,βοηθητικό!$J$2:$N$354,3,FALSE)="","",VLOOKUP(AW162,βοηθητικό!$J$2:$N$354,3,FALSE))</f>
        <v>_</v>
      </c>
      <c r="AY162" s="47"/>
      <c r="AZ162" s="4" t="s">
        <v>16</v>
      </c>
      <c r="BA162" s="43" t="str">
        <f>IF(VLOOKUP(AZ162,βοηθητικό!$J$2:$N$354,3,FALSE)="","",VLOOKUP(AZ162,βοηθητικό!$J$2:$N$354,3,FALSE))</f>
        <v>_</v>
      </c>
      <c r="BB162" s="44"/>
      <c r="BC162" s="45" t="s">
        <v>16</v>
      </c>
      <c r="BD162" s="46" t="str">
        <f>IF(VLOOKUP(BC162,βοηθητικό!$J$2:$N$354,3,FALSE)="","",VLOOKUP(BC162,βοηθητικό!$J$2:$N$354,3,FALSE))</f>
        <v>_</v>
      </c>
      <c r="BE162" s="47"/>
      <c r="BF162" s="42" t="s">
        <v>16</v>
      </c>
      <c r="BG162" s="43" t="str">
        <f>IF(VLOOKUP(BF162,βοηθητικό!$J$2:$N$354,3,FALSE)="","",VLOOKUP(BF162,βοηθητικό!$J$2:$N$354,3,FALSE))</f>
        <v>_</v>
      </c>
      <c r="BH162" s="44"/>
      <c r="BI162" s="45" t="s">
        <v>16</v>
      </c>
      <c r="BJ162" s="46" t="str">
        <f>IF(VLOOKUP(BI162,βοηθητικό!$J$2:$N$354,3,FALSE)="","",VLOOKUP(BI162,βοηθητικό!$J$2:$N$354,3,FALSE))</f>
        <v>_</v>
      </c>
      <c r="BK162" s="47"/>
      <c r="BL162" s="42" t="s">
        <v>16</v>
      </c>
      <c r="BM162" s="43" t="str">
        <f>IF(VLOOKUP(BL162,βοηθητικό!$J$2:$N$354,3,FALSE)="","",VLOOKUP(BL162,βοηθητικό!$J$2:$N$354,3,FALSE))</f>
        <v>_</v>
      </c>
      <c r="BN162" s="44"/>
      <c r="BO162" s="45" t="s">
        <v>16</v>
      </c>
      <c r="BP162" s="46" t="str">
        <f>IF(VLOOKUP(BO162,βοηθητικό!$J$2:$N$354,3,FALSE)="","",VLOOKUP(BO162,βοηθητικό!$J$2:$N$354,3,FALSE))</f>
        <v>_</v>
      </c>
      <c r="BQ162" s="47"/>
      <c r="BR162" s="42" t="s">
        <v>16</v>
      </c>
      <c r="BS162" s="43" t="str">
        <f>IF(VLOOKUP(BR162,βοηθητικό!$J$2:$N$354,3,FALSE)="","",VLOOKUP(BR162,βοηθητικό!$J$2:$N$354,3,FALSE))</f>
        <v>_</v>
      </c>
      <c r="BT162" s="44"/>
      <c r="BU162" s="45" t="s">
        <v>16</v>
      </c>
      <c r="BV162" s="46" t="str">
        <f>IF(VLOOKUP(BU162,βοηθητικό!$J$2:$N$354,3,FALSE)="","",VLOOKUP(BU162,βοηθητικό!$J$2:$N$354,3,FALSE))</f>
        <v>_</v>
      </c>
      <c r="BW162" s="47"/>
      <c r="BX162" s="42" t="s">
        <v>16</v>
      </c>
      <c r="BY162" s="43" t="str">
        <f>IF(VLOOKUP(BX162,βοηθητικό!$J$2:$N$354,3,FALSE)="","",VLOOKUP(BX162,βοηθητικό!$J$2:$N$354,3,FALSE))</f>
        <v>_</v>
      </c>
      <c r="BZ162" s="44"/>
      <c r="CA162" s="45" t="s">
        <v>16</v>
      </c>
      <c r="CB162" s="46" t="str">
        <f>IF(VLOOKUP(CA162,βοηθητικό!$J$2:$N$354,3,FALSE)="","",VLOOKUP(CA162,βοηθητικό!$J$2:$N$354,3,FALSE))</f>
        <v>_</v>
      </c>
      <c r="CC162" s="47"/>
      <c r="CD162" s="42" t="s">
        <v>16</v>
      </c>
      <c r="CE162" s="43" t="str">
        <f>IF(VLOOKUP(CD162,βοηθητικό!$J$2:$N$354,3,FALSE)="","",VLOOKUP(CD162,βοηθητικό!$J$2:$N$354,3,FALSE))</f>
        <v>_</v>
      </c>
      <c r="CF162" s="44"/>
      <c r="CG162" s="45" t="s">
        <v>16</v>
      </c>
      <c r="CH162" s="46" t="str">
        <f>IF(VLOOKUP(CG162,βοηθητικό!$J$2:$N$354,3,FALSE)="","",VLOOKUP(CG162,βοηθητικό!$J$2:$N$354,3,FALSE))</f>
        <v>_</v>
      </c>
      <c r="CI162" s="47"/>
      <c r="CJ162" s="42" t="s">
        <v>16</v>
      </c>
      <c r="CK162" s="43" t="str">
        <f>IF(VLOOKUP(CJ162,βοηθητικό!$J$2:$N$354,3,FALSE)="","",VLOOKUP(CJ162,βοηθητικό!$J$2:$N$354,3,FALSE))</f>
        <v>_</v>
      </c>
      <c r="CL162" s="44"/>
      <c r="CM162" s="45" t="s">
        <v>16</v>
      </c>
      <c r="CN162" s="46" t="str">
        <f>IF(VLOOKUP(CM162,βοηθητικό!$J$2:$N$354,3,FALSE)="","",VLOOKUP(CM162,βοηθητικό!$J$2:$N$354,3,FALSE))</f>
        <v>_</v>
      </c>
      <c r="CO162" s="47"/>
      <c r="CP162" s="42" t="s">
        <v>16</v>
      </c>
      <c r="CQ162" s="43" t="str">
        <f>IF(VLOOKUP(CP162,βοηθητικό!$J$2:$N$354,3,FALSE)="","",VLOOKUP(CP162,βοηθητικό!$J$2:$N$354,3,FALSE))</f>
        <v>_</v>
      </c>
      <c r="CR162" s="44"/>
      <c r="CS162" s="45" t="s">
        <v>16</v>
      </c>
      <c r="CT162" s="46" t="str">
        <f>IF(VLOOKUP(CS162,βοηθητικό!$J$2:$N$354,3,FALSE)="","",VLOOKUP(CS162,βοηθητικό!$J$2:$N$354,3,FALSE))</f>
        <v>_</v>
      </c>
      <c r="CU162" s="47"/>
    </row>
    <row r="163" spans="1:99" x14ac:dyDescent="0.25">
      <c r="A163" s="37">
        <f>--SUBTOTAL(3,$B$3:B162)</f>
        <v>160</v>
      </c>
      <c r="B163" s="68">
        <v>45180</v>
      </c>
      <c r="C163" s="69">
        <v>45186</v>
      </c>
      <c r="D163" s="57" t="s">
        <v>64</v>
      </c>
      <c r="E163" s="38" t="s">
        <v>16</v>
      </c>
      <c r="F163" s="38" t="s">
        <v>16</v>
      </c>
      <c r="G163" s="39" t="str">
        <f t="shared" si="8"/>
        <v>__</v>
      </c>
      <c r="H163" s="40" t="str">
        <f t="shared" si="9"/>
        <v>FALSE</v>
      </c>
      <c r="I163" s="41">
        <f t="shared" si="10"/>
        <v>5</v>
      </c>
      <c r="J163" s="4" t="s">
        <v>630</v>
      </c>
      <c r="K163" s="43" t="str">
        <f>IF(VLOOKUP(J163,βοηθητικό!$J$2:$N$354,3,FALSE)="","",VLOOKUP(J163,βοηθητικό!$J$2:$N$354,3,FALSE))</f>
        <v>6973050287</v>
      </c>
      <c r="L163" s="44"/>
      <c r="M163" s="5" t="s">
        <v>669</v>
      </c>
      <c r="N163" s="46" t="str">
        <f>IF(VLOOKUP(M163,βοηθητικό!$J$2:$N$354,3,FALSE)="","",VLOOKUP(M163,βοηθητικό!$J$2:$N$354,3,FALSE))</f>
        <v>6976005555</v>
      </c>
      <c r="O163" s="47"/>
      <c r="P163" s="4" t="s">
        <v>675</v>
      </c>
      <c r="Q163" s="43" t="str">
        <f>IF(VLOOKUP(P163,βοηθητικό!$J$2:$N$354,3,FALSE)="","",VLOOKUP(P163,βοηθητικό!$J$2:$N$354,3,FALSE))</f>
        <v>6970932706</v>
      </c>
      <c r="R163" s="44"/>
      <c r="S163" s="5" t="s">
        <v>680</v>
      </c>
      <c r="T163" s="46">
        <f>IF(VLOOKUP(S163,βοηθητικό!$J$2:$N$354,3,FALSE)="","",VLOOKUP(S163,βοηθητικό!$J$2:$N$354,3,FALSE))</f>
        <v>6972606031</v>
      </c>
      <c r="U163" s="47"/>
      <c r="V163" s="4" t="s">
        <v>703</v>
      </c>
      <c r="W163" s="43" t="str">
        <f>IF(VLOOKUP(V163,βοηθητικό!$J$2:$N$354,3,FALSE)="","",VLOOKUP(V163,βοηθητικό!$J$2:$N$354,3,FALSE))</f>
        <v>6971603158</v>
      </c>
      <c r="X163" s="44"/>
      <c r="Y163" s="5" t="s">
        <v>16</v>
      </c>
      <c r="Z163" s="46" t="str">
        <f>IF(VLOOKUP(Y163,βοηθητικό!$J$2:$N$354,3,FALSE)="","",VLOOKUP(Y163,βοηθητικό!$J$2:$N$354,3,FALSE))</f>
        <v>_</v>
      </c>
      <c r="AA163" s="47"/>
      <c r="AB163" s="4" t="s">
        <v>16</v>
      </c>
      <c r="AC163" s="43" t="str">
        <f>IF(VLOOKUP(AB163,βοηθητικό!$J$2:$N$354,3,FALSE)="","",VLOOKUP(AB163,βοηθητικό!$J$2:$N$354,3,FALSE))</f>
        <v>_</v>
      </c>
      <c r="AD163" s="44"/>
      <c r="AE163" s="5" t="s">
        <v>16</v>
      </c>
      <c r="AF163" s="46" t="str">
        <f>IF(VLOOKUP(AE163,βοηθητικό!$J$2:$N$354,3,FALSE)="","",VLOOKUP(AE163,βοηθητικό!$J$2:$N$354,3,FALSE))</f>
        <v>_</v>
      </c>
      <c r="AG163" s="47"/>
      <c r="AH163" s="4" t="s">
        <v>16</v>
      </c>
      <c r="AI163" s="43" t="str">
        <f>IF(VLOOKUP(AH163,βοηθητικό!$J$2:$N$354,3,FALSE)="","",VLOOKUP(AH163,βοηθητικό!$J$2:$N$354,3,FALSE))</f>
        <v>_</v>
      </c>
      <c r="AJ163" s="44"/>
      <c r="AK163" s="5" t="s">
        <v>16</v>
      </c>
      <c r="AL163" s="46" t="str">
        <f>IF(VLOOKUP(AK163,βοηθητικό!$J$2:$N$354,3,FALSE)="","",VLOOKUP(AK163,βοηθητικό!$J$2:$N$354,3,FALSE))</f>
        <v>_</v>
      </c>
      <c r="AM163" s="47"/>
      <c r="AN163" s="4" t="s">
        <v>16</v>
      </c>
      <c r="AO163" s="43" t="str">
        <f>IF(VLOOKUP(AN163,βοηθητικό!$J$2:$N$354,3,FALSE)="","",VLOOKUP(AN163,βοηθητικό!$J$2:$N$354,3,FALSE))</f>
        <v>_</v>
      </c>
      <c r="AP163" s="44"/>
      <c r="AQ163" s="5" t="s">
        <v>16</v>
      </c>
      <c r="AR163" s="46" t="str">
        <f>IF(VLOOKUP(AQ163,βοηθητικό!$J$2:$N$354,3,FALSE)="","",VLOOKUP(AQ163,βοηθητικό!$J$2:$N$354,3,FALSE))</f>
        <v>_</v>
      </c>
      <c r="AS163" s="47"/>
      <c r="AT163" s="4" t="s">
        <v>16</v>
      </c>
      <c r="AU163" s="43" t="str">
        <f>IF(VLOOKUP(AT163,βοηθητικό!$J$2:$N$354,3,FALSE)="","",VLOOKUP(AT163,βοηθητικό!$J$2:$N$354,3,FALSE))</f>
        <v>_</v>
      </c>
      <c r="AV163" s="44"/>
      <c r="AW163" s="5" t="s">
        <v>16</v>
      </c>
      <c r="AX163" s="46" t="str">
        <f>IF(VLOOKUP(AW163,βοηθητικό!$J$2:$N$354,3,FALSE)="","",VLOOKUP(AW163,βοηθητικό!$J$2:$N$354,3,FALSE))</f>
        <v>_</v>
      </c>
      <c r="AY163" s="47"/>
      <c r="AZ163" s="4" t="s">
        <v>16</v>
      </c>
      <c r="BA163" s="43" t="str">
        <f>IF(VLOOKUP(AZ163,βοηθητικό!$J$2:$N$354,3,FALSE)="","",VLOOKUP(AZ163,βοηθητικό!$J$2:$N$354,3,FALSE))</f>
        <v>_</v>
      </c>
      <c r="BB163" s="44"/>
      <c r="BC163" s="45" t="s">
        <v>16</v>
      </c>
      <c r="BD163" s="46" t="str">
        <f>IF(VLOOKUP(BC163,βοηθητικό!$J$2:$N$354,3,FALSE)="","",VLOOKUP(BC163,βοηθητικό!$J$2:$N$354,3,FALSE))</f>
        <v>_</v>
      </c>
      <c r="BE163" s="47"/>
      <c r="BF163" s="42" t="s">
        <v>16</v>
      </c>
      <c r="BG163" s="43" t="str">
        <f>IF(VLOOKUP(BF163,βοηθητικό!$J$2:$N$354,3,FALSE)="","",VLOOKUP(BF163,βοηθητικό!$J$2:$N$354,3,FALSE))</f>
        <v>_</v>
      </c>
      <c r="BH163" s="44"/>
      <c r="BI163" s="45" t="s">
        <v>16</v>
      </c>
      <c r="BJ163" s="46" t="str">
        <f>IF(VLOOKUP(BI163,βοηθητικό!$J$2:$N$354,3,FALSE)="","",VLOOKUP(BI163,βοηθητικό!$J$2:$N$354,3,FALSE))</f>
        <v>_</v>
      </c>
      <c r="BK163" s="47"/>
      <c r="BL163" s="42" t="s">
        <v>16</v>
      </c>
      <c r="BM163" s="43" t="str">
        <f>IF(VLOOKUP(BL163,βοηθητικό!$J$2:$N$354,3,FALSE)="","",VLOOKUP(BL163,βοηθητικό!$J$2:$N$354,3,FALSE))</f>
        <v>_</v>
      </c>
      <c r="BN163" s="44"/>
      <c r="BO163" s="45" t="s">
        <v>16</v>
      </c>
      <c r="BP163" s="46" t="str">
        <f>IF(VLOOKUP(BO163,βοηθητικό!$J$2:$N$354,3,FALSE)="","",VLOOKUP(BO163,βοηθητικό!$J$2:$N$354,3,FALSE))</f>
        <v>_</v>
      </c>
      <c r="BQ163" s="47"/>
      <c r="BR163" s="42" t="s">
        <v>16</v>
      </c>
      <c r="BS163" s="43" t="str">
        <f>IF(VLOOKUP(BR163,βοηθητικό!$J$2:$N$354,3,FALSE)="","",VLOOKUP(BR163,βοηθητικό!$J$2:$N$354,3,FALSE))</f>
        <v>_</v>
      </c>
      <c r="BT163" s="44"/>
      <c r="BU163" s="45" t="s">
        <v>16</v>
      </c>
      <c r="BV163" s="46" t="str">
        <f>IF(VLOOKUP(BU163,βοηθητικό!$J$2:$N$354,3,FALSE)="","",VLOOKUP(BU163,βοηθητικό!$J$2:$N$354,3,FALSE))</f>
        <v>_</v>
      </c>
      <c r="BW163" s="47"/>
      <c r="BX163" s="42" t="s">
        <v>16</v>
      </c>
      <c r="BY163" s="43" t="str">
        <f>IF(VLOOKUP(BX163,βοηθητικό!$J$2:$N$354,3,FALSE)="","",VLOOKUP(BX163,βοηθητικό!$J$2:$N$354,3,FALSE))</f>
        <v>_</v>
      </c>
      <c r="BZ163" s="44"/>
      <c r="CA163" s="45" t="s">
        <v>16</v>
      </c>
      <c r="CB163" s="46" t="str">
        <f>IF(VLOOKUP(CA163,βοηθητικό!$J$2:$N$354,3,FALSE)="","",VLOOKUP(CA163,βοηθητικό!$J$2:$N$354,3,FALSE))</f>
        <v>_</v>
      </c>
      <c r="CC163" s="47"/>
      <c r="CD163" s="42" t="s">
        <v>16</v>
      </c>
      <c r="CE163" s="43" t="str">
        <f>IF(VLOOKUP(CD163,βοηθητικό!$J$2:$N$354,3,FALSE)="","",VLOOKUP(CD163,βοηθητικό!$J$2:$N$354,3,FALSE))</f>
        <v>_</v>
      </c>
      <c r="CF163" s="44"/>
      <c r="CG163" s="45" t="s">
        <v>16</v>
      </c>
      <c r="CH163" s="46" t="str">
        <f>IF(VLOOKUP(CG163,βοηθητικό!$J$2:$N$354,3,FALSE)="","",VLOOKUP(CG163,βοηθητικό!$J$2:$N$354,3,FALSE))</f>
        <v>_</v>
      </c>
      <c r="CI163" s="47"/>
      <c r="CJ163" s="42" t="s">
        <v>16</v>
      </c>
      <c r="CK163" s="43" t="str">
        <f>IF(VLOOKUP(CJ163,βοηθητικό!$J$2:$N$354,3,FALSE)="","",VLOOKUP(CJ163,βοηθητικό!$J$2:$N$354,3,FALSE))</f>
        <v>_</v>
      </c>
      <c r="CL163" s="44"/>
      <c r="CM163" s="45" t="s">
        <v>16</v>
      </c>
      <c r="CN163" s="46" t="str">
        <f>IF(VLOOKUP(CM163,βοηθητικό!$J$2:$N$354,3,FALSE)="","",VLOOKUP(CM163,βοηθητικό!$J$2:$N$354,3,FALSE))</f>
        <v>_</v>
      </c>
      <c r="CO163" s="47"/>
      <c r="CP163" s="42" t="s">
        <v>16</v>
      </c>
      <c r="CQ163" s="43" t="str">
        <f>IF(VLOOKUP(CP163,βοηθητικό!$J$2:$N$354,3,FALSE)="","",VLOOKUP(CP163,βοηθητικό!$J$2:$N$354,3,FALSE))</f>
        <v>_</v>
      </c>
      <c r="CR163" s="44"/>
      <c r="CS163" s="45" t="s">
        <v>16</v>
      </c>
      <c r="CT163" s="46" t="str">
        <f>IF(VLOOKUP(CS163,βοηθητικό!$J$2:$N$354,3,FALSE)="","",VLOOKUP(CS163,βοηθητικό!$J$2:$N$354,3,FALSE))</f>
        <v>_</v>
      </c>
      <c r="CU163" s="47"/>
    </row>
    <row r="164" spans="1:99" x14ac:dyDescent="0.25">
      <c r="A164" s="37">
        <f>--SUBTOTAL(3,$B$3:B163)</f>
        <v>161</v>
      </c>
      <c r="B164" s="68">
        <v>45187</v>
      </c>
      <c r="C164" s="69">
        <v>45193</v>
      </c>
      <c r="D164" s="57" t="s">
        <v>64</v>
      </c>
      <c r="E164" s="38" t="s">
        <v>16</v>
      </c>
      <c r="F164" s="38" t="s">
        <v>16</v>
      </c>
      <c r="G164" s="39" t="str">
        <f t="shared" si="8"/>
        <v>__</v>
      </c>
      <c r="H164" s="40" t="str">
        <f t="shared" si="9"/>
        <v>FALSE</v>
      </c>
      <c r="I164" s="41">
        <f t="shared" si="10"/>
        <v>5</v>
      </c>
      <c r="J164" s="4" t="s">
        <v>651</v>
      </c>
      <c r="K164" s="43" t="str">
        <f>IF(VLOOKUP(J164,βοηθητικό!$J$2:$N$354,3,FALSE)="","",VLOOKUP(J164,βοηθητικό!$J$2:$N$354,3,FALSE))</f>
        <v>6973336452</v>
      </c>
      <c r="L164" s="44"/>
      <c r="M164" s="5" t="s">
        <v>684</v>
      </c>
      <c r="N164" s="46" t="str">
        <f>IF(VLOOKUP(M164,βοηθητικό!$J$2:$N$354,3,FALSE)="","",VLOOKUP(M164,βοηθητικό!$J$2:$N$354,3,FALSE))</f>
        <v>6945186177</v>
      </c>
      <c r="O164" s="47"/>
      <c r="P164" s="4" t="s">
        <v>721</v>
      </c>
      <c r="Q164" s="43" t="str">
        <f>IF(VLOOKUP(P164,βοηθητικό!$J$2:$N$354,3,FALSE)="","",VLOOKUP(P164,βοηθητικό!$J$2:$N$354,3,FALSE))</f>
        <v>6947205702</v>
      </c>
      <c r="R164" s="44"/>
      <c r="S164" s="5" t="s">
        <v>731</v>
      </c>
      <c r="T164" s="46" t="str">
        <f>IF(VLOOKUP(S164,βοηθητικό!$J$2:$N$354,3,FALSE)="","",VLOOKUP(S164,βοηθητικό!$J$2:$N$354,3,FALSE))</f>
        <v>6940503291</v>
      </c>
      <c r="U164" s="47"/>
      <c r="V164" s="4" t="s">
        <v>743</v>
      </c>
      <c r="W164" s="43">
        <f>IF(VLOOKUP(V164,βοηθητικό!$J$2:$N$354,3,FALSE)="","",VLOOKUP(V164,βοηθητικό!$J$2:$N$354,3,FALSE))</f>
        <v>6977584355</v>
      </c>
      <c r="X164" s="44"/>
      <c r="Y164" s="5" t="s">
        <v>16</v>
      </c>
      <c r="Z164" s="46" t="str">
        <f>IF(VLOOKUP(Y164,βοηθητικό!$J$2:$N$354,3,FALSE)="","",VLOOKUP(Y164,βοηθητικό!$J$2:$N$354,3,FALSE))</f>
        <v>_</v>
      </c>
      <c r="AA164" s="47"/>
      <c r="AB164" s="4" t="s">
        <v>16</v>
      </c>
      <c r="AC164" s="43" t="str">
        <f>IF(VLOOKUP(AB164,βοηθητικό!$J$2:$N$354,3,FALSE)="","",VLOOKUP(AB164,βοηθητικό!$J$2:$N$354,3,FALSE))</f>
        <v>_</v>
      </c>
      <c r="AD164" s="44"/>
      <c r="AE164" s="5" t="s">
        <v>16</v>
      </c>
      <c r="AF164" s="46" t="str">
        <f>IF(VLOOKUP(AE164,βοηθητικό!$J$2:$N$354,3,FALSE)="","",VLOOKUP(AE164,βοηθητικό!$J$2:$N$354,3,FALSE))</f>
        <v>_</v>
      </c>
      <c r="AG164" s="47"/>
      <c r="AH164" s="4" t="s">
        <v>16</v>
      </c>
      <c r="AI164" s="43" t="str">
        <f>IF(VLOOKUP(AH164,βοηθητικό!$J$2:$N$354,3,FALSE)="","",VLOOKUP(AH164,βοηθητικό!$J$2:$N$354,3,FALSE))</f>
        <v>_</v>
      </c>
      <c r="AJ164" s="44"/>
      <c r="AK164" s="5" t="s">
        <v>16</v>
      </c>
      <c r="AL164" s="46" t="str">
        <f>IF(VLOOKUP(AK164,βοηθητικό!$J$2:$N$354,3,FALSE)="","",VLOOKUP(AK164,βοηθητικό!$J$2:$N$354,3,FALSE))</f>
        <v>_</v>
      </c>
      <c r="AM164" s="47"/>
      <c r="AN164" s="4" t="s">
        <v>16</v>
      </c>
      <c r="AO164" s="43" t="str">
        <f>IF(VLOOKUP(AN164,βοηθητικό!$J$2:$N$354,3,FALSE)="","",VLOOKUP(AN164,βοηθητικό!$J$2:$N$354,3,FALSE))</f>
        <v>_</v>
      </c>
      <c r="AP164" s="44"/>
      <c r="AQ164" s="5" t="s">
        <v>16</v>
      </c>
      <c r="AR164" s="46" t="str">
        <f>IF(VLOOKUP(AQ164,βοηθητικό!$J$2:$N$354,3,FALSE)="","",VLOOKUP(AQ164,βοηθητικό!$J$2:$N$354,3,FALSE))</f>
        <v>_</v>
      </c>
      <c r="AS164" s="47"/>
      <c r="AT164" s="4" t="s">
        <v>16</v>
      </c>
      <c r="AU164" s="43" t="str">
        <f>IF(VLOOKUP(AT164,βοηθητικό!$J$2:$N$354,3,FALSE)="","",VLOOKUP(AT164,βοηθητικό!$J$2:$N$354,3,FALSE))</f>
        <v>_</v>
      </c>
      <c r="AV164" s="44"/>
      <c r="AW164" s="5" t="s">
        <v>16</v>
      </c>
      <c r="AX164" s="46" t="str">
        <f>IF(VLOOKUP(AW164,βοηθητικό!$J$2:$N$354,3,FALSE)="","",VLOOKUP(AW164,βοηθητικό!$J$2:$N$354,3,FALSE))</f>
        <v>_</v>
      </c>
      <c r="AY164" s="47"/>
      <c r="AZ164" s="4" t="s">
        <v>16</v>
      </c>
      <c r="BA164" s="43" t="str">
        <f>IF(VLOOKUP(AZ164,βοηθητικό!$J$2:$N$354,3,FALSE)="","",VLOOKUP(AZ164,βοηθητικό!$J$2:$N$354,3,FALSE))</f>
        <v>_</v>
      </c>
      <c r="BB164" s="44"/>
      <c r="BC164" s="45" t="s">
        <v>16</v>
      </c>
      <c r="BD164" s="46" t="str">
        <f>IF(VLOOKUP(BC164,βοηθητικό!$J$2:$N$354,3,FALSE)="","",VLOOKUP(BC164,βοηθητικό!$J$2:$N$354,3,FALSE))</f>
        <v>_</v>
      </c>
      <c r="BE164" s="47"/>
      <c r="BF164" s="42" t="s">
        <v>16</v>
      </c>
      <c r="BG164" s="43" t="str">
        <f>IF(VLOOKUP(BF164,βοηθητικό!$J$2:$N$354,3,FALSE)="","",VLOOKUP(BF164,βοηθητικό!$J$2:$N$354,3,FALSE))</f>
        <v>_</v>
      </c>
      <c r="BH164" s="44"/>
      <c r="BI164" s="45" t="s">
        <v>16</v>
      </c>
      <c r="BJ164" s="46" t="str">
        <f>IF(VLOOKUP(BI164,βοηθητικό!$J$2:$N$354,3,FALSE)="","",VLOOKUP(BI164,βοηθητικό!$J$2:$N$354,3,FALSE))</f>
        <v>_</v>
      </c>
      <c r="BK164" s="47"/>
      <c r="BL164" s="42" t="s">
        <v>16</v>
      </c>
      <c r="BM164" s="43" t="str">
        <f>IF(VLOOKUP(BL164,βοηθητικό!$J$2:$N$354,3,FALSE)="","",VLOOKUP(BL164,βοηθητικό!$J$2:$N$354,3,FALSE))</f>
        <v>_</v>
      </c>
      <c r="BN164" s="44"/>
      <c r="BO164" s="45" t="s">
        <v>16</v>
      </c>
      <c r="BP164" s="46" t="str">
        <f>IF(VLOOKUP(BO164,βοηθητικό!$J$2:$N$354,3,FALSE)="","",VLOOKUP(BO164,βοηθητικό!$J$2:$N$354,3,FALSE))</f>
        <v>_</v>
      </c>
      <c r="BQ164" s="47"/>
      <c r="BR164" s="42" t="s">
        <v>16</v>
      </c>
      <c r="BS164" s="43" t="str">
        <f>IF(VLOOKUP(BR164,βοηθητικό!$J$2:$N$354,3,FALSE)="","",VLOOKUP(BR164,βοηθητικό!$J$2:$N$354,3,FALSE))</f>
        <v>_</v>
      </c>
      <c r="BT164" s="44"/>
      <c r="BU164" s="45" t="s">
        <v>16</v>
      </c>
      <c r="BV164" s="46" t="str">
        <f>IF(VLOOKUP(BU164,βοηθητικό!$J$2:$N$354,3,FALSE)="","",VLOOKUP(BU164,βοηθητικό!$J$2:$N$354,3,FALSE))</f>
        <v>_</v>
      </c>
      <c r="BW164" s="47"/>
      <c r="BX164" s="42" t="s">
        <v>16</v>
      </c>
      <c r="BY164" s="43" t="str">
        <f>IF(VLOOKUP(BX164,βοηθητικό!$J$2:$N$354,3,FALSE)="","",VLOOKUP(BX164,βοηθητικό!$J$2:$N$354,3,FALSE))</f>
        <v>_</v>
      </c>
      <c r="BZ164" s="44"/>
      <c r="CA164" s="45" t="s">
        <v>16</v>
      </c>
      <c r="CB164" s="46" t="str">
        <f>IF(VLOOKUP(CA164,βοηθητικό!$J$2:$N$354,3,FALSE)="","",VLOOKUP(CA164,βοηθητικό!$J$2:$N$354,3,FALSE))</f>
        <v>_</v>
      </c>
      <c r="CC164" s="47"/>
      <c r="CD164" s="42" t="s">
        <v>16</v>
      </c>
      <c r="CE164" s="43" t="str">
        <f>IF(VLOOKUP(CD164,βοηθητικό!$J$2:$N$354,3,FALSE)="","",VLOOKUP(CD164,βοηθητικό!$J$2:$N$354,3,FALSE))</f>
        <v>_</v>
      </c>
      <c r="CF164" s="44"/>
      <c r="CG164" s="45" t="s">
        <v>16</v>
      </c>
      <c r="CH164" s="46" t="str">
        <f>IF(VLOOKUP(CG164,βοηθητικό!$J$2:$N$354,3,FALSE)="","",VLOOKUP(CG164,βοηθητικό!$J$2:$N$354,3,FALSE))</f>
        <v>_</v>
      </c>
      <c r="CI164" s="47"/>
      <c r="CJ164" s="42" t="s">
        <v>16</v>
      </c>
      <c r="CK164" s="43" t="str">
        <f>IF(VLOOKUP(CJ164,βοηθητικό!$J$2:$N$354,3,FALSE)="","",VLOOKUP(CJ164,βοηθητικό!$J$2:$N$354,3,FALSE))</f>
        <v>_</v>
      </c>
      <c r="CL164" s="44"/>
      <c r="CM164" s="45" t="s">
        <v>16</v>
      </c>
      <c r="CN164" s="46" t="str">
        <f>IF(VLOOKUP(CM164,βοηθητικό!$J$2:$N$354,3,FALSE)="","",VLOOKUP(CM164,βοηθητικό!$J$2:$N$354,3,FALSE))</f>
        <v>_</v>
      </c>
      <c r="CO164" s="47"/>
      <c r="CP164" s="42" t="s">
        <v>16</v>
      </c>
      <c r="CQ164" s="43" t="str">
        <f>IF(VLOOKUP(CP164,βοηθητικό!$J$2:$N$354,3,FALSE)="","",VLOOKUP(CP164,βοηθητικό!$J$2:$N$354,3,FALSE))</f>
        <v>_</v>
      </c>
      <c r="CR164" s="44"/>
      <c r="CS164" s="45" t="s">
        <v>16</v>
      </c>
      <c r="CT164" s="46" t="str">
        <f>IF(VLOOKUP(CS164,βοηθητικό!$J$2:$N$354,3,FALSE)="","",VLOOKUP(CS164,βοηθητικό!$J$2:$N$354,3,FALSE))</f>
        <v>_</v>
      </c>
      <c r="CU164" s="47"/>
    </row>
    <row r="165" spans="1:99" x14ac:dyDescent="0.25">
      <c r="A165" s="37">
        <f>--SUBTOTAL(3,$B$3:B164)</f>
        <v>162</v>
      </c>
      <c r="B165" s="68">
        <v>45194</v>
      </c>
      <c r="C165" s="69">
        <v>45200</v>
      </c>
      <c r="D165" s="57" t="s">
        <v>64</v>
      </c>
      <c r="E165" s="38" t="s">
        <v>16</v>
      </c>
      <c r="F165" s="38" t="s">
        <v>16</v>
      </c>
      <c r="G165" s="39" t="str">
        <f t="shared" si="8"/>
        <v>__</v>
      </c>
      <c r="H165" s="40" t="str">
        <f t="shared" si="9"/>
        <v>FALSE</v>
      </c>
      <c r="I165" s="41">
        <f t="shared" si="10"/>
        <v>5</v>
      </c>
      <c r="J165" s="4" t="s">
        <v>663</v>
      </c>
      <c r="K165" s="43" t="str">
        <f>IF(VLOOKUP(J165,βοηθητικό!$J$2:$N$354,3,FALSE)="","",VLOOKUP(J165,βοηθητικό!$J$2:$N$354,3,FALSE))</f>
        <v>6972105023</v>
      </c>
      <c r="L165" s="44"/>
      <c r="M165" s="5" t="s">
        <v>698</v>
      </c>
      <c r="N165" s="46" t="str">
        <f>IF(VLOOKUP(M165,βοηθητικό!$J$2:$N$354,3,FALSE)="","",VLOOKUP(M165,βοηθητικό!$J$2:$N$354,3,FALSE))</f>
        <v>6982255759</v>
      </c>
      <c r="O165" s="47"/>
      <c r="P165" s="4" t="s">
        <v>725</v>
      </c>
      <c r="Q165" s="43" t="str">
        <f>IF(VLOOKUP(P165,βοηθητικό!$J$2:$N$354,3,FALSE)="","",VLOOKUP(P165,βοηθητικό!$J$2:$N$354,3,FALSE))</f>
        <v>6948851335</v>
      </c>
      <c r="R165" s="44"/>
      <c r="S165" s="5" t="s">
        <v>729</v>
      </c>
      <c r="T165" s="46">
        <f>IF(VLOOKUP(S165,βοηθητικό!$J$2:$N$354,3,FALSE)="","",VLOOKUP(S165,βοηθητικό!$J$2:$N$354,3,FALSE))</f>
        <v>6971762883</v>
      </c>
      <c r="U165" s="47"/>
      <c r="V165" s="4" t="s">
        <v>623</v>
      </c>
      <c r="W165" s="43" t="str">
        <f>IF(VLOOKUP(V165,βοηθητικό!$J$2:$N$354,3,FALSE)="","",VLOOKUP(V165,βοηθητικό!$J$2:$N$354,3,FALSE))</f>
        <v>6909870019</v>
      </c>
      <c r="X165" s="44"/>
      <c r="Y165" s="5" t="s">
        <v>16</v>
      </c>
      <c r="Z165" s="46" t="str">
        <f>IF(VLOOKUP(Y165,βοηθητικό!$J$2:$N$354,3,FALSE)="","",VLOOKUP(Y165,βοηθητικό!$J$2:$N$354,3,FALSE))</f>
        <v>_</v>
      </c>
      <c r="AA165" s="47"/>
      <c r="AB165" s="4" t="s">
        <v>16</v>
      </c>
      <c r="AC165" s="43" t="str">
        <f>IF(VLOOKUP(AB165,βοηθητικό!$J$2:$N$354,3,FALSE)="","",VLOOKUP(AB165,βοηθητικό!$J$2:$N$354,3,FALSE))</f>
        <v>_</v>
      </c>
      <c r="AD165" s="44"/>
      <c r="AE165" s="5" t="s">
        <v>16</v>
      </c>
      <c r="AF165" s="46" t="str">
        <f>IF(VLOOKUP(AE165,βοηθητικό!$J$2:$N$354,3,FALSE)="","",VLOOKUP(AE165,βοηθητικό!$J$2:$N$354,3,FALSE))</f>
        <v>_</v>
      </c>
      <c r="AG165" s="47"/>
      <c r="AH165" s="4" t="s">
        <v>16</v>
      </c>
      <c r="AI165" s="43" t="str">
        <f>IF(VLOOKUP(AH165,βοηθητικό!$J$2:$N$354,3,FALSE)="","",VLOOKUP(AH165,βοηθητικό!$J$2:$N$354,3,FALSE))</f>
        <v>_</v>
      </c>
      <c r="AJ165" s="44"/>
      <c r="AK165" s="5" t="s">
        <v>16</v>
      </c>
      <c r="AL165" s="46" t="str">
        <f>IF(VLOOKUP(AK165,βοηθητικό!$J$2:$N$354,3,FALSE)="","",VLOOKUP(AK165,βοηθητικό!$J$2:$N$354,3,FALSE))</f>
        <v>_</v>
      </c>
      <c r="AM165" s="47"/>
      <c r="AN165" s="4" t="s">
        <v>16</v>
      </c>
      <c r="AO165" s="43" t="str">
        <f>IF(VLOOKUP(AN165,βοηθητικό!$J$2:$N$354,3,FALSE)="","",VLOOKUP(AN165,βοηθητικό!$J$2:$N$354,3,FALSE))</f>
        <v>_</v>
      </c>
      <c r="AP165" s="44"/>
      <c r="AQ165" s="5" t="s">
        <v>16</v>
      </c>
      <c r="AR165" s="46" t="str">
        <f>IF(VLOOKUP(AQ165,βοηθητικό!$J$2:$N$354,3,FALSE)="","",VLOOKUP(AQ165,βοηθητικό!$J$2:$N$354,3,FALSE))</f>
        <v>_</v>
      </c>
      <c r="AS165" s="47"/>
      <c r="AT165" s="4" t="s">
        <v>16</v>
      </c>
      <c r="AU165" s="43" t="str">
        <f>IF(VLOOKUP(AT165,βοηθητικό!$J$2:$N$354,3,FALSE)="","",VLOOKUP(AT165,βοηθητικό!$J$2:$N$354,3,FALSE))</f>
        <v>_</v>
      </c>
      <c r="AV165" s="44"/>
      <c r="AW165" s="5" t="s">
        <v>16</v>
      </c>
      <c r="AX165" s="46" t="str">
        <f>IF(VLOOKUP(AW165,βοηθητικό!$J$2:$N$354,3,FALSE)="","",VLOOKUP(AW165,βοηθητικό!$J$2:$N$354,3,FALSE))</f>
        <v>_</v>
      </c>
      <c r="AY165" s="47"/>
      <c r="AZ165" s="4" t="s">
        <v>16</v>
      </c>
      <c r="BA165" s="43" t="str">
        <f>IF(VLOOKUP(AZ165,βοηθητικό!$J$2:$N$354,3,FALSE)="","",VLOOKUP(AZ165,βοηθητικό!$J$2:$N$354,3,FALSE))</f>
        <v>_</v>
      </c>
      <c r="BB165" s="44"/>
      <c r="BC165" s="45" t="s">
        <v>16</v>
      </c>
      <c r="BD165" s="46" t="str">
        <f>IF(VLOOKUP(BC165,βοηθητικό!$J$2:$N$354,3,FALSE)="","",VLOOKUP(BC165,βοηθητικό!$J$2:$N$354,3,FALSE))</f>
        <v>_</v>
      </c>
      <c r="BE165" s="47"/>
      <c r="BF165" s="42" t="s">
        <v>16</v>
      </c>
      <c r="BG165" s="43" t="str">
        <f>IF(VLOOKUP(BF165,βοηθητικό!$J$2:$N$354,3,FALSE)="","",VLOOKUP(BF165,βοηθητικό!$J$2:$N$354,3,FALSE))</f>
        <v>_</v>
      </c>
      <c r="BH165" s="44"/>
      <c r="BI165" s="45" t="s">
        <v>16</v>
      </c>
      <c r="BJ165" s="46" t="str">
        <f>IF(VLOOKUP(BI165,βοηθητικό!$J$2:$N$354,3,FALSE)="","",VLOOKUP(BI165,βοηθητικό!$J$2:$N$354,3,FALSE))</f>
        <v>_</v>
      </c>
      <c r="BK165" s="47"/>
      <c r="BL165" s="42" t="s">
        <v>16</v>
      </c>
      <c r="BM165" s="43" t="str">
        <f>IF(VLOOKUP(BL165,βοηθητικό!$J$2:$N$354,3,FALSE)="","",VLOOKUP(BL165,βοηθητικό!$J$2:$N$354,3,FALSE))</f>
        <v>_</v>
      </c>
      <c r="BN165" s="44"/>
      <c r="BO165" s="45" t="s">
        <v>16</v>
      </c>
      <c r="BP165" s="46" t="str">
        <f>IF(VLOOKUP(BO165,βοηθητικό!$J$2:$N$354,3,FALSE)="","",VLOOKUP(BO165,βοηθητικό!$J$2:$N$354,3,FALSE))</f>
        <v>_</v>
      </c>
      <c r="BQ165" s="47"/>
      <c r="BR165" s="42" t="s">
        <v>16</v>
      </c>
      <c r="BS165" s="43" t="str">
        <f>IF(VLOOKUP(BR165,βοηθητικό!$J$2:$N$354,3,FALSE)="","",VLOOKUP(BR165,βοηθητικό!$J$2:$N$354,3,FALSE))</f>
        <v>_</v>
      </c>
      <c r="BT165" s="44"/>
      <c r="BU165" s="45" t="s">
        <v>16</v>
      </c>
      <c r="BV165" s="46" t="str">
        <f>IF(VLOOKUP(BU165,βοηθητικό!$J$2:$N$354,3,FALSE)="","",VLOOKUP(BU165,βοηθητικό!$J$2:$N$354,3,FALSE))</f>
        <v>_</v>
      </c>
      <c r="BW165" s="47"/>
      <c r="BX165" s="42" t="s">
        <v>16</v>
      </c>
      <c r="BY165" s="43" t="str">
        <f>IF(VLOOKUP(BX165,βοηθητικό!$J$2:$N$354,3,FALSE)="","",VLOOKUP(BX165,βοηθητικό!$J$2:$N$354,3,FALSE))</f>
        <v>_</v>
      </c>
      <c r="BZ165" s="44"/>
      <c r="CA165" s="45" t="s">
        <v>16</v>
      </c>
      <c r="CB165" s="46" t="str">
        <f>IF(VLOOKUP(CA165,βοηθητικό!$J$2:$N$354,3,FALSE)="","",VLOOKUP(CA165,βοηθητικό!$J$2:$N$354,3,FALSE))</f>
        <v>_</v>
      </c>
      <c r="CC165" s="47"/>
      <c r="CD165" s="42" t="s">
        <v>16</v>
      </c>
      <c r="CE165" s="43" t="str">
        <f>IF(VLOOKUP(CD165,βοηθητικό!$J$2:$N$354,3,FALSE)="","",VLOOKUP(CD165,βοηθητικό!$J$2:$N$354,3,FALSE))</f>
        <v>_</v>
      </c>
      <c r="CF165" s="44"/>
      <c r="CG165" s="45" t="s">
        <v>16</v>
      </c>
      <c r="CH165" s="46" t="str">
        <f>IF(VLOOKUP(CG165,βοηθητικό!$J$2:$N$354,3,FALSE)="","",VLOOKUP(CG165,βοηθητικό!$J$2:$N$354,3,FALSE))</f>
        <v>_</v>
      </c>
      <c r="CI165" s="47"/>
      <c r="CJ165" s="42" t="s">
        <v>16</v>
      </c>
      <c r="CK165" s="43" t="str">
        <f>IF(VLOOKUP(CJ165,βοηθητικό!$J$2:$N$354,3,FALSE)="","",VLOOKUP(CJ165,βοηθητικό!$J$2:$N$354,3,FALSE))</f>
        <v>_</v>
      </c>
      <c r="CL165" s="44"/>
      <c r="CM165" s="45" t="s">
        <v>16</v>
      </c>
      <c r="CN165" s="46" t="str">
        <f>IF(VLOOKUP(CM165,βοηθητικό!$J$2:$N$354,3,FALSE)="","",VLOOKUP(CM165,βοηθητικό!$J$2:$N$354,3,FALSE))</f>
        <v>_</v>
      </c>
      <c r="CO165" s="47"/>
      <c r="CP165" s="42" t="s">
        <v>16</v>
      </c>
      <c r="CQ165" s="43" t="str">
        <f>IF(VLOOKUP(CP165,βοηθητικό!$J$2:$N$354,3,FALSE)="","",VLOOKUP(CP165,βοηθητικό!$J$2:$N$354,3,FALSE))</f>
        <v>_</v>
      </c>
      <c r="CR165" s="44"/>
      <c r="CS165" s="45" t="s">
        <v>16</v>
      </c>
      <c r="CT165" s="46" t="str">
        <f>IF(VLOOKUP(CS165,βοηθητικό!$J$2:$N$354,3,FALSE)="","",VLOOKUP(CS165,βοηθητικό!$J$2:$N$354,3,FALSE))</f>
        <v>_</v>
      </c>
      <c r="CU165" s="47"/>
    </row>
    <row r="166" spans="1:99" x14ac:dyDescent="0.25">
      <c r="A166" s="37">
        <f>--SUBTOTAL(3,$B$3:B165)</f>
        <v>163</v>
      </c>
      <c r="B166" s="68">
        <v>45166</v>
      </c>
      <c r="C166" s="69">
        <v>45172</v>
      </c>
      <c r="D166" s="58" t="s">
        <v>74</v>
      </c>
      <c r="E166" s="38" t="s">
        <v>16</v>
      </c>
      <c r="F166" s="38" t="s">
        <v>16</v>
      </c>
      <c r="G166" s="39" t="str">
        <f t="shared" si="8"/>
        <v>__</v>
      </c>
      <c r="H166" s="40" t="str">
        <f t="shared" si="9"/>
        <v>FALSE</v>
      </c>
      <c r="I166" s="41">
        <f t="shared" si="10"/>
        <v>6</v>
      </c>
      <c r="J166" s="4" t="s">
        <v>764</v>
      </c>
      <c r="K166" s="43" t="str">
        <f>IF(VLOOKUP(J166,βοηθητικό!$J$2:$N$354,3,FALSE)="","",VLOOKUP(J166,βοηθητικό!$J$2:$N$354,3,FALSE))</f>
        <v>6951136860</v>
      </c>
      <c r="L166" s="44"/>
      <c r="M166" s="5" t="s">
        <v>786</v>
      </c>
      <c r="N166" s="46">
        <f>IF(VLOOKUP(M166,βοηθητικό!$J$2:$N$354,3,FALSE)="","",VLOOKUP(M166,βοηθητικό!$J$2:$N$354,3,FALSE))</f>
        <v>6948693451</v>
      </c>
      <c r="O166" s="47"/>
      <c r="P166" s="4" t="s">
        <v>825</v>
      </c>
      <c r="Q166" s="43">
        <f>IF(VLOOKUP(P166,βοηθητικό!$J$2:$N$354,3,FALSE)="","",VLOOKUP(P166,βοηθητικό!$J$2:$N$354,3,FALSE))</f>
        <v>6907538451</v>
      </c>
      <c r="R166" s="44"/>
      <c r="S166" s="5" t="s">
        <v>816</v>
      </c>
      <c r="T166" s="46" t="str">
        <f>IF(VLOOKUP(S166,βοηθητικό!$J$2:$N$354,3,FALSE)="","",VLOOKUP(S166,βοηθητικό!$J$2:$N$354,3,FALSE))</f>
        <v>6977507325</v>
      </c>
      <c r="U166" s="47"/>
      <c r="V166" s="4" t="s">
        <v>864</v>
      </c>
      <c r="W166" s="43">
        <f>IF(VLOOKUP(V166,βοηθητικό!$J$2:$N$354,3,FALSE)="","",VLOOKUP(V166,βοηθητικό!$J$2:$N$354,3,FALSE))</f>
        <v>6973430967</v>
      </c>
      <c r="X166" s="44"/>
      <c r="Y166" s="5" t="s">
        <v>870</v>
      </c>
      <c r="Z166" s="46" t="str">
        <f>IF(VLOOKUP(Y166,βοηθητικό!$J$2:$N$354,3,FALSE)="","",VLOOKUP(Y166,βοηθητικό!$J$2:$N$354,3,FALSE))</f>
        <v>6945204636</v>
      </c>
      <c r="AA166" s="47"/>
      <c r="AB166" s="4" t="s">
        <v>16</v>
      </c>
      <c r="AC166" s="43" t="str">
        <f>IF(VLOOKUP(AB166,βοηθητικό!$J$2:$N$354,3,FALSE)="","",VLOOKUP(AB166,βοηθητικό!$J$2:$N$354,3,FALSE))</f>
        <v>_</v>
      </c>
      <c r="AD166" s="44"/>
      <c r="AE166" s="5" t="s">
        <v>16</v>
      </c>
      <c r="AF166" s="46" t="str">
        <f>IF(VLOOKUP(AE166,βοηθητικό!$J$2:$N$354,3,FALSE)="","",VLOOKUP(AE166,βοηθητικό!$J$2:$N$354,3,FALSE))</f>
        <v>_</v>
      </c>
      <c r="AG166" s="47"/>
      <c r="AH166" s="4" t="s">
        <v>16</v>
      </c>
      <c r="AI166" s="43" t="str">
        <f>IF(VLOOKUP(AH166,βοηθητικό!$J$2:$N$354,3,FALSE)="","",VLOOKUP(AH166,βοηθητικό!$J$2:$N$354,3,FALSE))</f>
        <v>_</v>
      </c>
      <c r="AJ166" s="44"/>
      <c r="AK166" s="5" t="s">
        <v>16</v>
      </c>
      <c r="AL166" s="46" t="str">
        <f>IF(VLOOKUP(AK166,βοηθητικό!$J$2:$N$354,3,FALSE)="","",VLOOKUP(AK166,βοηθητικό!$J$2:$N$354,3,FALSE))</f>
        <v>_</v>
      </c>
      <c r="AM166" s="47"/>
      <c r="AN166" s="4" t="s">
        <v>16</v>
      </c>
      <c r="AO166" s="43" t="str">
        <f>IF(VLOOKUP(AN166,βοηθητικό!$J$2:$N$354,3,FALSE)="","",VLOOKUP(AN166,βοηθητικό!$J$2:$N$354,3,FALSE))</f>
        <v>_</v>
      </c>
      <c r="AP166" s="44"/>
      <c r="AQ166" s="5" t="s">
        <v>16</v>
      </c>
      <c r="AR166" s="46" t="str">
        <f>IF(VLOOKUP(AQ166,βοηθητικό!$J$2:$N$354,3,FALSE)="","",VLOOKUP(AQ166,βοηθητικό!$J$2:$N$354,3,FALSE))</f>
        <v>_</v>
      </c>
      <c r="AS166" s="47"/>
      <c r="AT166" s="4" t="s">
        <v>16</v>
      </c>
      <c r="AU166" s="43" t="str">
        <f>IF(VLOOKUP(AT166,βοηθητικό!$J$2:$N$354,3,FALSE)="","",VLOOKUP(AT166,βοηθητικό!$J$2:$N$354,3,FALSE))</f>
        <v>_</v>
      </c>
      <c r="AV166" s="44"/>
      <c r="AW166" s="5" t="s">
        <v>16</v>
      </c>
      <c r="AX166" s="46" t="str">
        <f>IF(VLOOKUP(AW166,βοηθητικό!$J$2:$N$354,3,FALSE)="","",VLOOKUP(AW166,βοηθητικό!$J$2:$N$354,3,FALSE))</f>
        <v>_</v>
      </c>
      <c r="AY166" s="47"/>
      <c r="AZ166" s="4" t="s">
        <v>16</v>
      </c>
      <c r="BA166" s="43" t="str">
        <f>IF(VLOOKUP(AZ166,βοηθητικό!$J$2:$N$354,3,FALSE)="","",VLOOKUP(AZ166,βοηθητικό!$J$2:$N$354,3,FALSE))</f>
        <v>_</v>
      </c>
      <c r="BB166" s="44"/>
      <c r="BC166" s="45" t="s">
        <v>16</v>
      </c>
      <c r="BD166" s="46" t="str">
        <f>IF(VLOOKUP(BC166,βοηθητικό!$J$2:$N$354,3,FALSE)="","",VLOOKUP(BC166,βοηθητικό!$J$2:$N$354,3,FALSE))</f>
        <v>_</v>
      </c>
      <c r="BE166" s="47"/>
      <c r="BF166" s="42" t="s">
        <v>16</v>
      </c>
      <c r="BG166" s="43" t="str">
        <f>IF(VLOOKUP(BF166,βοηθητικό!$J$2:$N$354,3,FALSE)="","",VLOOKUP(BF166,βοηθητικό!$J$2:$N$354,3,FALSE))</f>
        <v>_</v>
      </c>
      <c r="BH166" s="44"/>
      <c r="BI166" s="45" t="s">
        <v>16</v>
      </c>
      <c r="BJ166" s="46" t="str">
        <f>IF(VLOOKUP(BI166,βοηθητικό!$J$2:$N$354,3,FALSE)="","",VLOOKUP(BI166,βοηθητικό!$J$2:$N$354,3,FALSE))</f>
        <v>_</v>
      </c>
      <c r="BK166" s="47"/>
      <c r="BL166" s="42" t="s">
        <v>16</v>
      </c>
      <c r="BM166" s="43" t="str">
        <f>IF(VLOOKUP(BL166,βοηθητικό!$J$2:$N$354,3,FALSE)="","",VLOOKUP(BL166,βοηθητικό!$J$2:$N$354,3,FALSE))</f>
        <v>_</v>
      </c>
      <c r="BN166" s="44"/>
      <c r="BO166" s="45" t="s">
        <v>16</v>
      </c>
      <c r="BP166" s="46" t="str">
        <f>IF(VLOOKUP(BO166,βοηθητικό!$J$2:$N$354,3,FALSE)="","",VLOOKUP(BO166,βοηθητικό!$J$2:$N$354,3,FALSE))</f>
        <v>_</v>
      </c>
      <c r="BQ166" s="47"/>
      <c r="BR166" s="42" t="s">
        <v>16</v>
      </c>
      <c r="BS166" s="43" t="str">
        <f>IF(VLOOKUP(BR166,βοηθητικό!$J$2:$N$354,3,FALSE)="","",VLOOKUP(BR166,βοηθητικό!$J$2:$N$354,3,FALSE))</f>
        <v>_</v>
      </c>
      <c r="BT166" s="44"/>
      <c r="BU166" s="45" t="s">
        <v>16</v>
      </c>
      <c r="BV166" s="46" t="str">
        <f>IF(VLOOKUP(BU166,βοηθητικό!$J$2:$N$354,3,FALSE)="","",VLOOKUP(BU166,βοηθητικό!$J$2:$N$354,3,FALSE))</f>
        <v>_</v>
      </c>
      <c r="BW166" s="47"/>
      <c r="BX166" s="42" t="s">
        <v>16</v>
      </c>
      <c r="BY166" s="43" t="str">
        <f>IF(VLOOKUP(BX166,βοηθητικό!$J$2:$N$354,3,FALSE)="","",VLOOKUP(BX166,βοηθητικό!$J$2:$N$354,3,FALSE))</f>
        <v>_</v>
      </c>
      <c r="BZ166" s="44"/>
      <c r="CA166" s="45" t="s">
        <v>16</v>
      </c>
      <c r="CB166" s="46" t="str">
        <f>IF(VLOOKUP(CA166,βοηθητικό!$J$2:$N$354,3,FALSE)="","",VLOOKUP(CA166,βοηθητικό!$J$2:$N$354,3,FALSE))</f>
        <v>_</v>
      </c>
      <c r="CC166" s="47"/>
      <c r="CD166" s="42" t="s">
        <v>16</v>
      </c>
      <c r="CE166" s="43" t="str">
        <f>IF(VLOOKUP(CD166,βοηθητικό!$J$2:$N$354,3,FALSE)="","",VLOOKUP(CD166,βοηθητικό!$J$2:$N$354,3,FALSE))</f>
        <v>_</v>
      </c>
      <c r="CF166" s="44"/>
      <c r="CG166" s="45" t="s">
        <v>16</v>
      </c>
      <c r="CH166" s="46" t="str">
        <f>IF(VLOOKUP(CG166,βοηθητικό!$J$2:$N$354,3,FALSE)="","",VLOOKUP(CG166,βοηθητικό!$J$2:$N$354,3,FALSE))</f>
        <v>_</v>
      </c>
      <c r="CI166" s="47"/>
      <c r="CJ166" s="42" t="s">
        <v>16</v>
      </c>
      <c r="CK166" s="43" t="str">
        <f>IF(VLOOKUP(CJ166,βοηθητικό!$J$2:$N$354,3,FALSE)="","",VLOOKUP(CJ166,βοηθητικό!$J$2:$N$354,3,FALSE))</f>
        <v>_</v>
      </c>
      <c r="CL166" s="44"/>
      <c r="CM166" s="45" t="s">
        <v>16</v>
      </c>
      <c r="CN166" s="46" t="str">
        <f>IF(VLOOKUP(CM166,βοηθητικό!$J$2:$N$354,3,FALSE)="","",VLOOKUP(CM166,βοηθητικό!$J$2:$N$354,3,FALSE))</f>
        <v>_</v>
      </c>
      <c r="CO166" s="47"/>
      <c r="CP166" s="42" t="s">
        <v>16</v>
      </c>
      <c r="CQ166" s="43" t="str">
        <f>IF(VLOOKUP(CP166,βοηθητικό!$J$2:$N$354,3,FALSE)="","",VLOOKUP(CP166,βοηθητικό!$J$2:$N$354,3,FALSE))</f>
        <v>_</v>
      </c>
      <c r="CR166" s="44"/>
      <c r="CS166" s="45" t="s">
        <v>16</v>
      </c>
      <c r="CT166" s="46" t="str">
        <f>IF(VLOOKUP(CS166,βοηθητικό!$J$2:$N$354,3,FALSE)="","",VLOOKUP(CS166,βοηθητικό!$J$2:$N$354,3,FALSE))</f>
        <v>_</v>
      </c>
      <c r="CU166" s="47"/>
    </row>
    <row r="167" spans="1:99" x14ac:dyDescent="0.25">
      <c r="A167" s="37">
        <f>--SUBTOTAL(3,$B$3:B166)</f>
        <v>164</v>
      </c>
      <c r="B167" s="68">
        <v>45173</v>
      </c>
      <c r="C167" s="69">
        <v>45179</v>
      </c>
      <c r="D167" s="58" t="s">
        <v>74</v>
      </c>
      <c r="E167" s="38" t="s">
        <v>16</v>
      </c>
      <c r="F167" s="38" t="s">
        <v>16</v>
      </c>
      <c r="G167" s="39" t="str">
        <f t="shared" si="8"/>
        <v>__</v>
      </c>
      <c r="H167" s="40" t="str">
        <f t="shared" si="9"/>
        <v>FALSE</v>
      </c>
      <c r="I167" s="41">
        <f t="shared" si="10"/>
        <v>7</v>
      </c>
      <c r="J167" s="4" t="s">
        <v>769</v>
      </c>
      <c r="K167" s="43" t="str">
        <f>IF(VLOOKUP(J167,βοηθητικό!$J$2:$N$354,3,FALSE)="","",VLOOKUP(J167,βοηθητικό!$J$2:$N$354,3,FALSE))</f>
        <v>6985807315</v>
      </c>
      <c r="L167" s="44"/>
      <c r="M167" s="5" t="s">
        <v>809</v>
      </c>
      <c r="N167" s="46">
        <f>IF(VLOOKUP(M167,βοηθητικό!$J$2:$N$354,3,FALSE)="","",VLOOKUP(M167,βοηθητικό!$J$2:$N$354,3,FALSE))</f>
        <v>6937044836</v>
      </c>
      <c r="O167" s="47"/>
      <c r="P167" s="4" t="s">
        <v>789</v>
      </c>
      <c r="Q167" s="43" t="str">
        <f>IF(VLOOKUP(P167,βοηθητικό!$J$2:$N$354,3,FALSE)="","",VLOOKUP(P167,βοηθητικό!$J$2:$N$354,3,FALSE))</f>
        <v>6981972682</v>
      </c>
      <c r="R167" s="44"/>
      <c r="S167" s="5" t="s">
        <v>860</v>
      </c>
      <c r="T167" s="46">
        <f>IF(VLOOKUP(S167,βοηθητικό!$J$2:$N$354,3,FALSE)="","",VLOOKUP(S167,βοηθητικό!$J$2:$N$354,3,FALSE))</f>
        <v>6989500588</v>
      </c>
      <c r="U167" s="47"/>
      <c r="V167" s="4" t="s">
        <v>828</v>
      </c>
      <c r="W167" s="43" t="str">
        <f>IF(VLOOKUP(V167,βοηθητικό!$J$2:$N$354,3,FALSE)="","",VLOOKUP(V167,βοηθητικό!$J$2:$N$354,3,FALSE))</f>
        <v>6981873196</v>
      </c>
      <c r="X167" s="44"/>
      <c r="Y167" s="5" t="s">
        <v>838</v>
      </c>
      <c r="Z167" s="46" t="str">
        <f>IF(VLOOKUP(Y167,βοηθητικό!$J$2:$N$354,3,FALSE)="","",VLOOKUP(Y167,βοηθητικό!$J$2:$N$354,3,FALSE))</f>
        <v>6978485361 6949641611</v>
      </c>
      <c r="AA167" s="47"/>
      <c r="AB167" s="4" t="s">
        <v>867</v>
      </c>
      <c r="AC167" s="43" t="str">
        <f>IF(VLOOKUP(AB167,βοηθητικό!$J$2:$N$354,3,FALSE)="","",VLOOKUP(AB167,βοηθητικό!$J$2:$N$354,3,FALSE))</f>
        <v>6934030989</v>
      </c>
      <c r="AD167" s="44"/>
      <c r="AE167" s="5" t="s">
        <v>16</v>
      </c>
      <c r="AF167" s="46" t="str">
        <f>IF(VLOOKUP(AE167,βοηθητικό!$J$2:$N$354,3,FALSE)="","",VLOOKUP(AE167,βοηθητικό!$J$2:$N$354,3,FALSE))</f>
        <v>_</v>
      </c>
      <c r="AG167" s="47"/>
      <c r="AH167" s="4" t="s">
        <v>16</v>
      </c>
      <c r="AI167" s="43" t="str">
        <f>IF(VLOOKUP(AH167,βοηθητικό!$J$2:$N$354,3,FALSE)="","",VLOOKUP(AH167,βοηθητικό!$J$2:$N$354,3,FALSE))</f>
        <v>_</v>
      </c>
      <c r="AJ167" s="44"/>
      <c r="AK167" s="5" t="s">
        <v>16</v>
      </c>
      <c r="AL167" s="46" t="str">
        <f>IF(VLOOKUP(AK167,βοηθητικό!$J$2:$N$354,3,FALSE)="","",VLOOKUP(AK167,βοηθητικό!$J$2:$N$354,3,FALSE))</f>
        <v>_</v>
      </c>
      <c r="AM167" s="47"/>
      <c r="AN167" s="4" t="s">
        <v>16</v>
      </c>
      <c r="AO167" s="43" t="str">
        <f>IF(VLOOKUP(AN167,βοηθητικό!$J$2:$N$354,3,FALSE)="","",VLOOKUP(AN167,βοηθητικό!$J$2:$N$354,3,FALSE))</f>
        <v>_</v>
      </c>
      <c r="AP167" s="44"/>
      <c r="AQ167" s="5" t="s">
        <v>16</v>
      </c>
      <c r="AR167" s="46" t="str">
        <f>IF(VLOOKUP(AQ167,βοηθητικό!$J$2:$N$354,3,FALSE)="","",VLOOKUP(AQ167,βοηθητικό!$J$2:$N$354,3,FALSE))</f>
        <v>_</v>
      </c>
      <c r="AS167" s="47"/>
      <c r="AT167" s="4" t="s">
        <v>16</v>
      </c>
      <c r="AU167" s="43" t="str">
        <f>IF(VLOOKUP(AT167,βοηθητικό!$J$2:$N$354,3,FALSE)="","",VLOOKUP(AT167,βοηθητικό!$J$2:$N$354,3,FALSE))</f>
        <v>_</v>
      </c>
      <c r="AV167" s="44"/>
      <c r="AW167" s="5" t="s">
        <v>16</v>
      </c>
      <c r="AX167" s="46" t="str">
        <f>IF(VLOOKUP(AW167,βοηθητικό!$J$2:$N$354,3,FALSE)="","",VLOOKUP(AW167,βοηθητικό!$J$2:$N$354,3,FALSE))</f>
        <v>_</v>
      </c>
      <c r="AY167" s="47"/>
      <c r="AZ167" s="4" t="s">
        <v>16</v>
      </c>
      <c r="BA167" s="43" t="str">
        <f>IF(VLOOKUP(AZ167,βοηθητικό!$J$2:$N$354,3,FALSE)="","",VLOOKUP(AZ167,βοηθητικό!$J$2:$N$354,3,FALSE))</f>
        <v>_</v>
      </c>
      <c r="BB167" s="44"/>
      <c r="BC167" s="45" t="s">
        <v>16</v>
      </c>
      <c r="BD167" s="46" t="str">
        <f>IF(VLOOKUP(BC167,βοηθητικό!$J$2:$N$354,3,FALSE)="","",VLOOKUP(BC167,βοηθητικό!$J$2:$N$354,3,FALSE))</f>
        <v>_</v>
      </c>
      <c r="BE167" s="47"/>
      <c r="BF167" s="42" t="s">
        <v>16</v>
      </c>
      <c r="BG167" s="43" t="str">
        <f>IF(VLOOKUP(BF167,βοηθητικό!$J$2:$N$354,3,FALSE)="","",VLOOKUP(BF167,βοηθητικό!$J$2:$N$354,3,FALSE))</f>
        <v>_</v>
      </c>
      <c r="BH167" s="44"/>
      <c r="BI167" s="45" t="s">
        <v>16</v>
      </c>
      <c r="BJ167" s="46" t="str">
        <f>IF(VLOOKUP(BI167,βοηθητικό!$J$2:$N$354,3,FALSE)="","",VLOOKUP(BI167,βοηθητικό!$J$2:$N$354,3,FALSE))</f>
        <v>_</v>
      </c>
      <c r="BK167" s="47"/>
      <c r="BL167" s="42" t="s">
        <v>16</v>
      </c>
      <c r="BM167" s="43" t="str">
        <f>IF(VLOOKUP(BL167,βοηθητικό!$J$2:$N$354,3,FALSE)="","",VLOOKUP(BL167,βοηθητικό!$J$2:$N$354,3,FALSE))</f>
        <v>_</v>
      </c>
      <c r="BN167" s="44"/>
      <c r="BO167" s="45" t="s">
        <v>16</v>
      </c>
      <c r="BP167" s="46" t="str">
        <f>IF(VLOOKUP(BO167,βοηθητικό!$J$2:$N$354,3,FALSE)="","",VLOOKUP(BO167,βοηθητικό!$J$2:$N$354,3,FALSE))</f>
        <v>_</v>
      </c>
      <c r="BQ167" s="47"/>
      <c r="BR167" s="42" t="s">
        <v>16</v>
      </c>
      <c r="BS167" s="43" t="str">
        <f>IF(VLOOKUP(BR167,βοηθητικό!$J$2:$N$354,3,FALSE)="","",VLOOKUP(BR167,βοηθητικό!$J$2:$N$354,3,FALSE))</f>
        <v>_</v>
      </c>
      <c r="BT167" s="44"/>
      <c r="BU167" s="45" t="s">
        <v>16</v>
      </c>
      <c r="BV167" s="46" t="str">
        <f>IF(VLOOKUP(BU167,βοηθητικό!$J$2:$N$354,3,FALSE)="","",VLOOKUP(BU167,βοηθητικό!$J$2:$N$354,3,FALSE))</f>
        <v>_</v>
      </c>
      <c r="BW167" s="47"/>
      <c r="BX167" s="42" t="s">
        <v>16</v>
      </c>
      <c r="BY167" s="43" t="str">
        <f>IF(VLOOKUP(BX167,βοηθητικό!$J$2:$N$354,3,FALSE)="","",VLOOKUP(BX167,βοηθητικό!$J$2:$N$354,3,FALSE))</f>
        <v>_</v>
      </c>
      <c r="BZ167" s="44"/>
      <c r="CA167" s="45" t="s">
        <v>16</v>
      </c>
      <c r="CB167" s="46" t="str">
        <f>IF(VLOOKUP(CA167,βοηθητικό!$J$2:$N$354,3,FALSE)="","",VLOOKUP(CA167,βοηθητικό!$J$2:$N$354,3,FALSE))</f>
        <v>_</v>
      </c>
      <c r="CC167" s="47"/>
      <c r="CD167" s="42" t="s">
        <v>16</v>
      </c>
      <c r="CE167" s="43" t="str">
        <f>IF(VLOOKUP(CD167,βοηθητικό!$J$2:$N$354,3,FALSE)="","",VLOOKUP(CD167,βοηθητικό!$J$2:$N$354,3,FALSE))</f>
        <v>_</v>
      </c>
      <c r="CF167" s="44"/>
      <c r="CG167" s="45" t="s">
        <v>16</v>
      </c>
      <c r="CH167" s="46" t="str">
        <f>IF(VLOOKUP(CG167,βοηθητικό!$J$2:$N$354,3,FALSE)="","",VLOOKUP(CG167,βοηθητικό!$J$2:$N$354,3,FALSE))</f>
        <v>_</v>
      </c>
      <c r="CI167" s="47"/>
      <c r="CJ167" s="42" t="s">
        <v>16</v>
      </c>
      <c r="CK167" s="43" t="str">
        <f>IF(VLOOKUP(CJ167,βοηθητικό!$J$2:$N$354,3,FALSE)="","",VLOOKUP(CJ167,βοηθητικό!$J$2:$N$354,3,FALSE))</f>
        <v>_</v>
      </c>
      <c r="CL167" s="44"/>
      <c r="CM167" s="45" t="s">
        <v>16</v>
      </c>
      <c r="CN167" s="46" t="str">
        <f>IF(VLOOKUP(CM167,βοηθητικό!$J$2:$N$354,3,FALSE)="","",VLOOKUP(CM167,βοηθητικό!$J$2:$N$354,3,FALSE))</f>
        <v>_</v>
      </c>
      <c r="CO167" s="47"/>
      <c r="CP167" s="42" t="s">
        <v>16</v>
      </c>
      <c r="CQ167" s="43" t="str">
        <f>IF(VLOOKUP(CP167,βοηθητικό!$J$2:$N$354,3,FALSE)="","",VLOOKUP(CP167,βοηθητικό!$J$2:$N$354,3,FALSE))</f>
        <v>_</v>
      </c>
      <c r="CR167" s="44"/>
      <c r="CS167" s="45" t="s">
        <v>16</v>
      </c>
      <c r="CT167" s="46" t="str">
        <f>IF(VLOOKUP(CS167,βοηθητικό!$J$2:$N$354,3,FALSE)="","",VLOOKUP(CS167,βοηθητικό!$J$2:$N$354,3,FALSE))</f>
        <v>_</v>
      </c>
      <c r="CU167" s="47"/>
    </row>
    <row r="168" spans="1:99" x14ac:dyDescent="0.25">
      <c r="A168" s="37">
        <f>--SUBTOTAL(3,$B$3:B167)</f>
        <v>165</v>
      </c>
      <c r="B168" s="68">
        <v>45180</v>
      </c>
      <c r="C168" s="69">
        <v>45186</v>
      </c>
      <c r="D168" s="58" t="s">
        <v>74</v>
      </c>
      <c r="E168" s="38" t="s">
        <v>16</v>
      </c>
      <c r="F168" s="38" t="s">
        <v>16</v>
      </c>
      <c r="G168" s="39" t="str">
        <f t="shared" si="8"/>
        <v>__</v>
      </c>
      <c r="H168" s="40" t="str">
        <f t="shared" si="9"/>
        <v>FALSE</v>
      </c>
      <c r="I168" s="41">
        <f t="shared" si="10"/>
        <v>7</v>
      </c>
      <c r="J168" s="4" t="s">
        <v>759</v>
      </c>
      <c r="K168" s="43" t="str">
        <f>IF(VLOOKUP(J168,βοηθητικό!$J$2:$N$354,3,FALSE)="","",VLOOKUP(J168,βοηθητικό!$J$2:$N$354,3,FALSE))</f>
        <v>2104824991</v>
      </c>
      <c r="L168" s="44"/>
      <c r="M168" s="5" t="s">
        <v>813</v>
      </c>
      <c r="N168" s="46">
        <f>IF(VLOOKUP(M168,βοηθητικό!$J$2:$N$354,3,FALSE)="","",VLOOKUP(M168,βοηθητικό!$J$2:$N$354,3,FALSE))</f>
        <v>6988292634</v>
      </c>
      <c r="O168" s="47"/>
      <c r="P168" s="4" t="s">
        <v>825</v>
      </c>
      <c r="Q168" s="43">
        <f>IF(VLOOKUP(P168,βοηθητικό!$J$2:$N$354,3,FALSE)="","",VLOOKUP(P168,βοηθητικό!$J$2:$N$354,3,FALSE))</f>
        <v>6907538451</v>
      </c>
      <c r="R168" s="44"/>
      <c r="S168" s="5" t="s">
        <v>832</v>
      </c>
      <c r="T168" s="46" t="str">
        <f>IF(VLOOKUP(S168,βοηθητικό!$J$2:$N$354,3,FALSE)="","",VLOOKUP(S168,βοηθητικό!$J$2:$N$354,3,FALSE))</f>
        <v>6945400547</v>
      </c>
      <c r="U168" s="47"/>
      <c r="V168" s="4" t="s">
        <v>843</v>
      </c>
      <c r="W168" s="43" t="str">
        <f>IF(VLOOKUP(V168,βοηθητικό!$J$2:$N$354,3,FALSE)="","",VLOOKUP(V168,βοηθητικό!$J$2:$N$354,3,FALSE))</f>
        <v>_</v>
      </c>
      <c r="X168" s="44"/>
      <c r="Y168" s="5" t="s">
        <v>844</v>
      </c>
      <c r="Z168" s="46">
        <f>IF(VLOOKUP(Y168,βοηθητικό!$J$2:$N$354,3,FALSE)="","",VLOOKUP(Y168,βοηθητικό!$J$2:$N$354,3,FALSE))</f>
        <v>6976768922</v>
      </c>
      <c r="AA168" s="47"/>
      <c r="AB168" s="4" t="s">
        <v>756</v>
      </c>
      <c r="AC168" s="43">
        <f>IF(VLOOKUP(AB168,βοηθητικό!$J$2:$N$354,3,FALSE)="","",VLOOKUP(AB168,βοηθητικό!$J$2:$N$354,3,FALSE))</f>
        <v>6970113758</v>
      </c>
      <c r="AD168" s="44"/>
      <c r="AE168" s="5" t="s">
        <v>16</v>
      </c>
      <c r="AF168" s="46" t="str">
        <f>IF(VLOOKUP(AE168,βοηθητικό!$J$2:$N$354,3,FALSE)="","",VLOOKUP(AE168,βοηθητικό!$J$2:$N$354,3,FALSE))</f>
        <v>_</v>
      </c>
      <c r="AG168" s="47"/>
      <c r="AH168" s="4" t="s">
        <v>16</v>
      </c>
      <c r="AI168" s="43" t="str">
        <f>IF(VLOOKUP(AH168,βοηθητικό!$J$2:$N$354,3,FALSE)="","",VLOOKUP(AH168,βοηθητικό!$J$2:$N$354,3,FALSE))</f>
        <v>_</v>
      </c>
      <c r="AJ168" s="44"/>
      <c r="AK168" s="5" t="s">
        <v>16</v>
      </c>
      <c r="AL168" s="46" t="str">
        <f>IF(VLOOKUP(AK168,βοηθητικό!$J$2:$N$354,3,FALSE)="","",VLOOKUP(AK168,βοηθητικό!$J$2:$N$354,3,FALSE))</f>
        <v>_</v>
      </c>
      <c r="AM168" s="47"/>
      <c r="AN168" s="4" t="s">
        <v>16</v>
      </c>
      <c r="AO168" s="43" t="str">
        <f>IF(VLOOKUP(AN168,βοηθητικό!$J$2:$N$354,3,FALSE)="","",VLOOKUP(AN168,βοηθητικό!$J$2:$N$354,3,FALSE))</f>
        <v>_</v>
      </c>
      <c r="AP168" s="44"/>
      <c r="AQ168" s="5" t="s">
        <v>16</v>
      </c>
      <c r="AR168" s="46" t="str">
        <f>IF(VLOOKUP(AQ168,βοηθητικό!$J$2:$N$354,3,FALSE)="","",VLOOKUP(AQ168,βοηθητικό!$J$2:$N$354,3,FALSE))</f>
        <v>_</v>
      </c>
      <c r="AS168" s="47"/>
      <c r="AT168" s="4" t="s">
        <v>16</v>
      </c>
      <c r="AU168" s="43" t="str">
        <f>IF(VLOOKUP(AT168,βοηθητικό!$J$2:$N$354,3,FALSE)="","",VLOOKUP(AT168,βοηθητικό!$J$2:$N$354,3,FALSE))</f>
        <v>_</v>
      </c>
      <c r="AV168" s="44"/>
      <c r="AW168" s="5" t="s">
        <v>16</v>
      </c>
      <c r="AX168" s="46" t="str">
        <f>IF(VLOOKUP(AW168,βοηθητικό!$J$2:$N$354,3,FALSE)="","",VLOOKUP(AW168,βοηθητικό!$J$2:$N$354,3,FALSE))</f>
        <v>_</v>
      </c>
      <c r="AY168" s="47"/>
      <c r="AZ168" s="4" t="s">
        <v>16</v>
      </c>
      <c r="BA168" s="43" t="str">
        <f>IF(VLOOKUP(AZ168,βοηθητικό!$J$2:$N$354,3,FALSE)="","",VLOOKUP(AZ168,βοηθητικό!$J$2:$N$354,3,FALSE))</f>
        <v>_</v>
      </c>
      <c r="BB168" s="44"/>
      <c r="BC168" s="45" t="s">
        <v>16</v>
      </c>
      <c r="BD168" s="46" t="str">
        <f>IF(VLOOKUP(BC168,βοηθητικό!$J$2:$N$354,3,FALSE)="","",VLOOKUP(BC168,βοηθητικό!$J$2:$N$354,3,FALSE))</f>
        <v>_</v>
      </c>
      <c r="BE168" s="47"/>
      <c r="BF168" s="42" t="s">
        <v>16</v>
      </c>
      <c r="BG168" s="43" t="str">
        <f>IF(VLOOKUP(BF168,βοηθητικό!$J$2:$N$354,3,FALSE)="","",VLOOKUP(BF168,βοηθητικό!$J$2:$N$354,3,FALSE))</f>
        <v>_</v>
      </c>
      <c r="BH168" s="44"/>
      <c r="BI168" s="45" t="s">
        <v>16</v>
      </c>
      <c r="BJ168" s="46" t="str">
        <f>IF(VLOOKUP(BI168,βοηθητικό!$J$2:$N$354,3,FALSE)="","",VLOOKUP(BI168,βοηθητικό!$J$2:$N$354,3,FALSE))</f>
        <v>_</v>
      </c>
      <c r="BK168" s="47"/>
      <c r="BL168" s="42" t="s">
        <v>16</v>
      </c>
      <c r="BM168" s="43" t="str">
        <f>IF(VLOOKUP(BL168,βοηθητικό!$J$2:$N$354,3,FALSE)="","",VLOOKUP(BL168,βοηθητικό!$J$2:$N$354,3,FALSE))</f>
        <v>_</v>
      </c>
      <c r="BN168" s="44"/>
      <c r="BO168" s="45" t="s">
        <v>16</v>
      </c>
      <c r="BP168" s="46" t="str">
        <f>IF(VLOOKUP(BO168,βοηθητικό!$J$2:$N$354,3,FALSE)="","",VLOOKUP(BO168,βοηθητικό!$J$2:$N$354,3,FALSE))</f>
        <v>_</v>
      </c>
      <c r="BQ168" s="47"/>
      <c r="BR168" s="42" t="s">
        <v>16</v>
      </c>
      <c r="BS168" s="43" t="str">
        <f>IF(VLOOKUP(BR168,βοηθητικό!$J$2:$N$354,3,FALSE)="","",VLOOKUP(BR168,βοηθητικό!$J$2:$N$354,3,FALSE))</f>
        <v>_</v>
      </c>
      <c r="BT168" s="44"/>
      <c r="BU168" s="45" t="s">
        <v>16</v>
      </c>
      <c r="BV168" s="46" t="str">
        <f>IF(VLOOKUP(BU168,βοηθητικό!$J$2:$N$354,3,FALSE)="","",VLOOKUP(BU168,βοηθητικό!$J$2:$N$354,3,FALSE))</f>
        <v>_</v>
      </c>
      <c r="BW168" s="47"/>
      <c r="BX168" s="42" t="s">
        <v>16</v>
      </c>
      <c r="BY168" s="43" t="str">
        <f>IF(VLOOKUP(BX168,βοηθητικό!$J$2:$N$354,3,FALSE)="","",VLOOKUP(BX168,βοηθητικό!$J$2:$N$354,3,FALSE))</f>
        <v>_</v>
      </c>
      <c r="BZ168" s="44"/>
      <c r="CA168" s="45" t="s">
        <v>16</v>
      </c>
      <c r="CB168" s="46" t="str">
        <f>IF(VLOOKUP(CA168,βοηθητικό!$J$2:$N$354,3,FALSE)="","",VLOOKUP(CA168,βοηθητικό!$J$2:$N$354,3,FALSE))</f>
        <v>_</v>
      </c>
      <c r="CC168" s="47"/>
      <c r="CD168" s="42" t="s">
        <v>16</v>
      </c>
      <c r="CE168" s="43" t="str">
        <f>IF(VLOOKUP(CD168,βοηθητικό!$J$2:$N$354,3,FALSE)="","",VLOOKUP(CD168,βοηθητικό!$J$2:$N$354,3,FALSE))</f>
        <v>_</v>
      </c>
      <c r="CF168" s="44"/>
      <c r="CG168" s="45" t="s">
        <v>16</v>
      </c>
      <c r="CH168" s="46" t="str">
        <f>IF(VLOOKUP(CG168,βοηθητικό!$J$2:$N$354,3,FALSE)="","",VLOOKUP(CG168,βοηθητικό!$J$2:$N$354,3,FALSE))</f>
        <v>_</v>
      </c>
      <c r="CI168" s="47"/>
      <c r="CJ168" s="42" t="s">
        <v>16</v>
      </c>
      <c r="CK168" s="43" t="str">
        <f>IF(VLOOKUP(CJ168,βοηθητικό!$J$2:$N$354,3,FALSE)="","",VLOOKUP(CJ168,βοηθητικό!$J$2:$N$354,3,FALSE))</f>
        <v>_</v>
      </c>
      <c r="CL168" s="44"/>
      <c r="CM168" s="45" t="s">
        <v>16</v>
      </c>
      <c r="CN168" s="46" t="str">
        <f>IF(VLOOKUP(CM168,βοηθητικό!$J$2:$N$354,3,FALSE)="","",VLOOKUP(CM168,βοηθητικό!$J$2:$N$354,3,FALSE))</f>
        <v>_</v>
      </c>
      <c r="CO168" s="47"/>
      <c r="CP168" s="42" t="s">
        <v>16</v>
      </c>
      <c r="CQ168" s="43" t="str">
        <f>IF(VLOOKUP(CP168,βοηθητικό!$J$2:$N$354,3,FALSE)="","",VLOOKUP(CP168,βοηθητικό!$J$2:$N$354,3,FALSE))</f>
        <v>_</v>
      </c>
      <c r="CR168" s="44"/>
      <c r="CS168" s="45" t="s">
        <v>16</v>
      </c>
      <c r="CT168" s="46" t="str">
        <f>IF(VLOOKUP(CS168,βοηθητικό!$J$2:$N$354,3,FALSE)="","",VLOOKUP(CS168,βοηθητικό!$J$2:$N$354,3,FALSE))</f>
        <v>_</v>
      </c>
      <c r="CU168" s="47"/>
    </row>
    <row r="169" spans="1:99" x14ac:dyDescent="0.25">
      <c r="A169" s="37">
        <f>--SUBTOTAL(3,$B$3:B168)</f>
        <v>166</v>
      </c>
      <c r="B169" s="68">
        <v>45187</v>
      </c>
      <c r="C169" s="69">
        <v>45193</v>
      </c>
      <c r="D169" s="58" t="s">
        <v>74</v>
      </c>
      <c r="E169" s="38" t="s">
        <v>16</v>
      </c>
      <c r="F169" s="38" t="s">
        <v>16</v>
      </c>
      <c r="G169" s="39" t="str">
        <f t="shared" si="8"/>
        <v>__</v>
      </c>
      <c r="H169" s="40" t="str">
        <f t="shared" si="9"/>
        <v>FALSE</v>
      </c>
      <c r="I169" s="41">
        <f t="shared" si="10"/>
        <v>5</v>
      </c>
      <c r="J169" s="4" t="s">
        <v>778</v>
      </c>
      <c r="K169" s="43" t="str">
        <f>IF(VLOOKUP(J169,βοηθητικό!$J$2:$N$354,3,FALSE)="","",VLOOKUP(J169,βοηθητικό!$J$2:$N$354,3,FALSE))</f>
        <v>6948465629</v>
      </c>
      <c r="L169" s="44"/>
      <c r="M169" s="5" t="s">
        <v>799</v>
      </c>
      <c r="N169" s="46" t="str">
        <f>IF(VLOOKUP(M169,βοηθητικό!$J$2:$N$354,3,FALSE)="","",VLOOKUP(M169,βοηθητικό!$J$2:$N$354,3,FALSE))</f>
        <v>6937776358</v>
      </c>
      <c r="O169" s="47"/>
      <c r="P169" s="4" t="s">
        <v>821</v>
      </c>
      <c r="Q169" s="43">
        <f>IF(VLOOKUP(P169,βοηθητικό!$J$2:$N$354,3,FALSE)="","",VLOOKUP(P169,βοηθητικό!$J$2:$N$354,3,FALSE))</f>
        <v>6973248110</v>
      </c>
      <c r="R169" s="44"/>
      <c r="S169" s="5" t="s">
        <v>860</v>
      </c>
      <c r="T169" s="46">
        <f>IF(VLOOKUP(S169,βοηθητικό!$J$2:$N$354,3,FALSE)="","",VLOOKUP(S169,βοηθητικό!$J$2:$N$354,3,FALSE))</f>
        <v>6989500588</v>
      </c>
      <c r="U169" s="47"/>
      <c r="V169" s="4" t="s">
        <v>835</v>
      </c>
      <c r="W169" s="43">
        <f>IF(VLOOKUP(V169,βοηθητικό!$J$2:$N$354,3,FALSE)="","",VLOOKUP(V169,βοηθητικό!$J$2:$N$354,3,FALSE))</f>
        <v>6972150340</v>
      </c>
      <c r="X169" s="44"/>
      <c r="Y169" s="5" t="s">
        <v>16</v>
      </c>
      <c r="Z169" s="46" t="str">
        <f>IF(VLOOKUP(Y169,βοηθητικό!$J$2:$N$354,3,FALSE)="","",VLOOKUP(Y169,βοηθητικό!$J$2:$N$354,3,FALSE))</f>
        <v>_</v>
      </c>
      <c r="AA169" s="47"/>
      <c r="AB169" s="4" t="s">
        <v>16</v>
      </c>
      <c r="AC169" s="43" t="str">
        <f>IF(VLOOKUP(AB169,βοηθητικό!$J$2:$N$354,3,FALSE)="","",VLOOKUP(AB169,βοηθητικό!$J$2:$N$354,3,FALSE))</f>
        <v>_</v>
      </c>
      <c r="AD169" s="44"/>
      <c r="AE169" s="5" t="s">
        <v>16</v>
      </c>
      <c r="AF169" s="46" t="str">
        <f>IF(VLOOKUP(AE169,βοηθητικό!$J$2:$N$354,3,FALSE)="","",VLOOKUP(AE169,βοηθητικό!$J$2:$N$354,3,FALSE))</f>
        <v>_</v>
      </c>
      <c r="AG169" s="47"/>
      <c r="AH169" s="4" t="s">
        <v>16</v>
      </c>
      <c r="AI169" s="43" t="str">
        <f>IF(VLOOKUP(AH169,βοηθητικό!$J$2:$N$354,3,FALSE)="","",VLOOKUP(AH169,βοηθητικό!$J$2:$N$354,3,FALSE))</f>
        <v>_</v>
      </c>
      <c r="AJ169" s="44"/>
      <c r="AK169" s="5" t="s">
        <v>16</v>
      </c>
      <c r="AL169" s="46" t="str">
        <f>IF(VLOOKUP(AK169,βοηθητικό!$J$2:$N$354,3,FALSE)="","",VLOOKUP(AK169,βοηθητικό!$J$2:$N$354,3,FALSE))</f>
        <v>_</v>
      </c>
      <c r="AM169" s="47"/>
      <c r="AN169" s="4" t="s">
        <v>16</v>
      </c>
      <c r="AO169" s="43" t="str">
        <f>IF(VLOOKUP(AN169,βοηθητικό!$J$2:$N$354,3,FALSE)="","",VLOOKUP(AN169,βοηθητικό!$J$2:$N$354,3,FALSE))</f>
        <v>_</v>
      </c>
      <c r="AP169" s="44"/>
      <c r="AQ169" s="5" t="s">
        <v>16</v>
      </c>
      <c r="AR169" s="46" t="str">
        <f>IF(VLOOKUP(AQ169,βοηθητικό!$J$2:$N$354,3,FALSE)="","",VLOOKUP(AQ169,βοηθητικό!$J$2:$N$354,3,FALSE))</f>
        <v>_</v>
      </c>
      <c r="AS169" s="47"/>
      <c r="AT169" s="4" t="s">
        <v>16</v>
      </c>
      <c r="AU169" s="43" t="str">
        <f>IF(VLOOKUP(AT169,βοηθητικό!$J$2:$N$354,3,FALSE)="","",VLOOKUP(AT169,βοηθητικό!$J$2:$N$354,3,FALSE))</f>
        <v>_</v>
      </c>
      <c r="AV169" s="44"/>
      <c r="AW169" s="5" t="s">
        <v>16</v>
      </c>
      <c r="AX169" s="46" t="str">
        <f>IF(VLOOKUP(AW169,βοηθητικό!$J$2:$N$354,3,FALSE)="","",VLOOKUP(AW169,βοηθητικό!$J$2:$N$354,3,FALSE))</f>
        <v>_</v>
      </c>
      <c r="AY169" s="47"/>
      <c r="AZ169" s="4" t="s">
        <v>16</v>
      </c>
      <c r="BA169" s="43" t="str">
        <f>IF(VLOOKUP(AZ169,βοηθητικό!$J$2:$N$354,3,FALSE)="","",VLOOKUP(AZ169,βοηθητικό!$J$2:$N$354,3,FALSE))</f>
        <v>_</v>
      </c>
      <c r="BB169" s="44"/>
      <c r="BC169" s="45" t="s">
        <v>16</v>
      </c>
      <c r="BD169" s="46" t="str">
        <f>IF(VLOOKUP(BC169,βοηθητικό!$J$2:$N$354,3,FALSE)="","",VLOOKUP(BC169,βοηθητικό!$J$2:$N$354,3,FALSE))</f>
        <v>_</v>
      </c>
      <c r="BE169" s="47"/>
      <c r="BF169" s="42" t="s">
        <v>16</v>
      </c>
      <c r="BG169" s="43" t="str">
        <f>IF(VLOOKUP(BF169,βοηθητικό!$J$2:$N$354,3,FALSE)="","",VLOOKUP(BF169,βοηθητικό!$J$2:$N$354,3,FALSE))</f>
        <v>_</v>
      </c>
      <c r="BH169" s="44"/>
      <c r="BI169" s="45" t="s">
        <v>16</v>
      </c>
      <c r="BJ169" s="46" t="str">
        <f>IF(VLOOKUP(BI169,βοηθητικό!$J$2:$N$354,3,FALSE)="","",VLOOKUP(BI169,βοηθητικό!$J$2:$N$354,3,FALSE))</f>
        <v>_</v>
      </c>
      <c r="BK169" s="47"/>
      <c r="BL169" s="42" t="s">
        <v>16</v>
      </c>
      <c r="BM169" s="43" t="str">
        <f>IF(VLOOKUP(BL169,βοηθητικό!$J$2:$N$354,3,FALSE)="","",VLOOKUP(BL169,βοηθητικό!$J$2:$N$354,3,FALSE))</f>
        <v>_</v>
      </c>
      <c r="BN169" s="44"/>
      <c r="BO169" s="45" t="s">
        <v>16</v>
      </c>
      <c r="BP169" s="46" t="str">
        <f>IF(VLOOKUP(BO169,βοηθητικό!$J$2:$N$354,3,FALSE)="","",VLOOKUP(BO169,βοηθητικό!$J$2:$N$354,3,FALSE))</f>
        <v>_</v>
      </c>
      <c r="BQ169" s="47"/>
      <c r="BR169" s="42" t="s">
        <v>16</v>
      </c>
      <c r="BS169" s="43" t="str">
        <f>IF(VLOOKUP(BR169,βοηθητικό!$J$2:$N$354,3,FALSE)="","",VLOOKUP(BR169,βοηθητικό!$J$2:$N$354,3,FALSE))</f>
        <v>_</v>
      </c>
      <c r="BT169" s="44"/>
      <c r="BU169" s="45" t="s">
        <v>16</v>
      </c>
      <c r="BV169" s="46" t="str">
        <f>IF(VLOOKUP(BU169,βοηθητικό!$J$2:$N$354,3,FALSE)="","",VLOOKUP(BU169,βοηθητικό!$J$2:$N$354,3,FALSE))</f>
        <v>_</v>
      </c>
      <c r="BW169" s="47"/>
      <c r="BX169" s="42" t="s">
        <v>16</v>
      </c>
      <c r="BY169" s="43" t="str">
        <f>IF(VLOOKUP(BX169,βοηθητικό!$J$2:$N$354,3,FALSE)="","",VLOOKUP(BX169,βοηθητικό!$J$2:$N$354,3,FALSE))</f>
        <v>_</v>
      </c>
      <c r="BZ169" s="44"/>
      <c r="CA169" s="45" t="s">
        <v>16</v>
      </c>
      <c r="CB169" s="46" t="str">
        <f>IF(VLOOKUP(CA169,βοηθητικό!$J$2:$N$354,3,FALSE)="","",VLOOKUP(CA169,βοηθητικό!$J$2:$N$354,3,FALSE))</f>
        <v>_</v>
      </c>
      <c r="CC169" s="47"/>
      <c r="CD169" s="42" t="s">
        <v>16</v>
      </c>
      <c r="CE169" s="43" t="str">
        <f>IF(VLOOKUP(CD169,βοηθητικό!$J$2:$N$354,3,FALSE)="","",VLOOKUP(CD169,βοηθητικό!$J$2:$N$354,3,FALSE))</f>
        <v>_</v>
      </c>
      <c r="CF169" s="44"/>
      <c r="CG169" s="45" t="s">
        <v>16</v>
      </c>
      <c r="CH169" s="46" t="str">
        <f>IF(VLOOKUP(CG169,βοηθητικό!$J$2:$N$354,3,FALSE)="","",VLOOKUP(CG169,βοηθητικό!$J$2:$N$354,3,FALSE))</f>
        <v>_</v>
      </c>
      <c r="CI169" s="47"/>
      <c r="CJ169" s="42" t="s">
        <v>16</v>
      </c>
      <c r="CK169" s="43" t="str">
        <f>IF(VLOOKUP(CJ169,βοηθητικό!$J$2:$N$354,3,FALSE)="","",VLOOKUP(CJ169,βοηθητικό!$J$2:$N$354,3,FALSE))</f>
        <v>_</v>
      </c>
      <c r="CL169" s="44"/>
      <c r="CM169" s="45" t="s">
        <v>16</v>
      </c>
      <c r="CN169" s="46" t="str">
        <f>IF(VLOOKUP(CM169,βοηθητικό!$J$2:$N$354,3,FALSE)="","",VLOOKUP(CM169,βοηθητικό!$J$2:$N$354,3,FALSE))</f>
        <v>_</v>
      </c>
      <c r="CO169" s="47"/>
      <c r="CP169" s="42" t="s">
        <v>16</v>
      </c>
      <c r="CQ169" s="43" t="str">
        <f>IF(VLOOKUP(CP169,βοηθητικό!$J$2:$N$354,3,FALSE)="","",VLOOKUP(CP169,βοηθητικό!$J$2:$N$354,3,FALSE))</f>
        <v>_</v>
      </c>
      <c r="CR169" s="44"/>
      <c r="CS169" s="45" t="s">
        <v>16</v>
      </c>
      <c r="CT169" s="46" t="str">
        <f>IF(VLOOKUP(CS169,βοηθητικό!$J$2:$N$354,3,FALSE)="","",VLOOKUP(CS169,βοηθητικό!$J$2:$N$354,3,FALSE))</f>
        <v>_</v>
      </c>
      <c r="CU169" s="47"/>
    </row>
    <row r="170" spans="1:99" x14ac:dyDescent="0.25">
      <c r="A170" s="37">
        <f>--SUBTOTAL(3,$B$3:B169)</f>
        <v>167</v>
      </c>
      <c r="B170" s="68">
        <v>45194</v>
      </c>
      <c r="C170" s="69">
        <v>45200</v>
      </c>
      <c r="D170" s="58" t="s">
        <v>74</v>
      </c>
      <c r="E170" s="38" t="s">
        <v>16</v>
      </c>
      <c r="F170" s="38" t="s">
        <v>16</v>
      </c>
      <c r="G170" s="39" t="str">
        <f t="shared" si="8"/>
        <v>__</v>
      </c>
      <c r="H170" s="40" t="str">
        <f t="shared" si="9"/>
        <v>FALSE</v>
      </c>
      <c r="I170" s="41">
        <f t="shared" si="10"/>
        <v>7</v>
      </c>
      <c r="J170" s="4" t="s">
        <v>782</v>
      </c>
      <c r="K170" s="43" t="str">
        <f>IF(VLOOKUP(J170,βοηθητικό!$J$2:$N$354,3,FALSE)="","",VLOOKUP(J170,βοηθητικό!$J$2:$N$354,3,FALSE))</f>
        <v>6983002093</v>
      </c>
      <c r="L170" s="44"/>
      <c r="M170" s="5" t="s">
        <v>794</v>
      </c>
      <c r="N170" s="46" t="str">
        <f>IF(VLOOKUP(M170,βοηθητικό!$J$2:$N$354,3,FALSE)="","",VLOOKUP(M170,βοηθητικό!$J$2:$N$354,3,FALSE))</f>
        <v>6983483104</v>
      </c>
      <c r="O170" s="47"/>
      <c r="P170" s="4" t="s">
        <v>804</v>
      </c>
      <c r="Q170" s="43" t="str">
        <f>IF(VLOOKUP(P170,βοηθητικό!$J$2:$N$354,3,FALSE)="","",VLOOKUP(P170,βοηθητικό!$J$2:$N$354,3,FALSE))</f>
        <v>6947244486</v>
      </c>
      <c r="R170" s="44"/>
      <c r="S170" s="5" t="s">
        <v>825</v>
      </c>
      <c r="T170" s="46">
        <f>IF(VLOOKUP(S170,βοηθητικό!$J$2:$N$354,3,FALSE)="","",VLOOKUP(S170,βοηθητικό!$J$2:$N$354,3,FALSE))</f>
        <v>6907538451</v>
      </c>
      <c r="U170" s="47"/>
      <c r="V170" s="4" t="s">
        <v>851</v>
      </c>
      <c r="W170" s="43" t="str">
        <f>IF(VLOOKUP(V170,βοηθητικό!$J$2:$N$354,3,FALSE)="","",VLOOKUP(V170,βοηθητικό!$J$2:$N$354,3,FALSE))</f>
        <v>6944688337</v>
      </c>
      <c r="X170" s="44"/>
      <c r="Y170" s="5" t="s">
        <v>774</v>
      </c>
      <c r="Z170" s="46">
        <f>IF(VLOOKUP(Y170,βοηθητικό!$J$2:$N$354,3,FALSE)="","",VLOOKUP(Y170,βοηθητικό!$J$2:$N$354,3,FALSE))</f>
        <v>6973545514</v>
      </c>
      <c r="AA170" s="47"/>
      <c r="AB170" s="4" t="s">
        <v>873</v>
      </c>
      <c r="AC170" s="43">
        <f>IF(VLOOKUP(AB170,βοηθητικό!$J$2:$N$354,3,FALSE)="","",VLOOKUP(AB170,βοηθητικό!$J$2:$N$354,3,FALSE))</f>
        <v>6988549425</v>
      </c>
      <c r="AD170" s="44"/>
      <c r="AE170" s="5" t="s">
        <v>16</v>
      </c>
      <c r="AF170" s="46" t="str">
        <f>IF(VLOOKUP(AE170,βοηθητικό!$J$2:$N$354,3,FALSE)="","",VLOOKUP(AE170,βοηθητικό!$J$2:$N$354,3,FALSE))</f>
        <v>_</v>
      </c>
      <c r="AG170" s="47"/>
      <c r="AH170" s="4" t="s">
        <v>16</v>
      </c>
      <c r="AI170" s="43" t="str">
        <f>IF(VLOOKUP(AH170,βοηθητικό!$J$2:$N$354,3,FALSE)="","",VLOOKUP(AH170,βοηθητικό!$J$2:$N$354,3,FALSE))</f>
        <v>_</v>
      </c>
      <c r="AJ170" s="44"/>
      <c r="AK170" s="5" t="s">
        <v>16</v>
      </c>
      <c r="AL170" s="46" t="str">
        <f>IF(VLOOKUP(AK170,βοηθητικό!$J$2:$N$354,3,FALSE)="","",VLOOKUP(AK170,βοηθητικό!$J$2:$N$354,3,FALSE))</f>
        <v>_</v>
      </c>
      <c r="AM170" s="47"/>
      <c r="AN170" s="4" t="s">
        <v>16</v>
      </c>
      <c r="AO170" s="43" t="str">
        <f>IF(VLOOKUP(AN170,βοηθητικό!$J$2:$N$354,3,FALSE)="","",VLOOKUP(AN170,βοηθητικό!$J$2:$N$354,3,FALSE))</f>
        <v>_</v>
      </c>
      <c r="AP170" s="44"/>
      <c r="AQ170" s="5" t="s">
        <v>16</v>
      </c>
      <c r="AR170" s="46" t="str">
        <f>IF(VLOOKUP(AQ170,βοηθητικό!$J$2:$N$354,3,FALSE)="","",VLOOKUP(AQ170,βοηθητικό!$J$2:$N$354,3,FALSE))</f>
        <v>_</v>
      </c>
      <c r="AS170" s="47"/>
      <c r="AT170" s="4" t="s">
        <v>16</v>
      </c>
      <c r="AU170" s="43" t="str">
        <f>IF(VLOOKUP(AT170,βοηθητικό!$J$2:$N$354,3,FALSE)="","",VLOOKUP(AT170,βοηθητικό!$J$2:$N$354,3,FALSE))</f>
        <v>_</v>
      </c>
      <c r="AV170" s="44"/>
      <c r="AW170" s="5" t="s">
        <v>16</v>
      </c>
      <c r="AX170" s="46" t="str">
        <f>IF(VLOOKUP(AW170,βοηθητικό!$J$2:$N$354,3,FALSE)="","",VLOOKUP(AW170,βοηθητικό!$J$2:$N$354,3,FALSE))</f>
        <v>_</v>
      </c>
      <c r="AY170" s="47"/>
      <c r="AZ170" s="4" t="s">
        <v>16</v>
      </c>
      <c r="BA170" s="43" t="str">
        <f>IF(VLOOKUP(AZ170,βοηθητικό!$J$2:$N$354,3,FALSE)="","",VLOOKUP(AZ170,βοηθητικό!$J$2:$N$354,3,FALSE))</f>
        <v>_</v>
      </c>
      <c r="BB170" s="44"/>
      <c r="BC170" s="45" t="s">
        <v>16</v>
      </c>
      <c r="BD170" s="46" t="str">
        <f>IF(VLOOKUP(BC170,βοηθητικό!$J$2:$N$354,3,FALSE)="","",VLOOKUP(BC170,βοηθητικό!$J$2:$N$354,3,FALSE))</f>
        <v>_</v>
      </c>
      <c r="BE170" s="47"/>
      <c r="BF170" s="42" t="s">
        <v>16</v>
      </c>
      <c r="BG170" s="43" t="str">
        <f>IF(VLOOKUP(BF170,βοηθητικό!$J$2:$N$354,3,FALSE)="","",VLOOKUP(BF170,βοηθητικό!$J$2:$N$354,3,FALSE))</f>
        <v>_</v>
      </c>
      <c r="BH170" s="44"/>
      <c r="BI170" s="45" t="s">
        <v>16</v>
      </c>
      <c r="BJ170" s="46" t="str">
        <f>IF(VLOOKUP(BI170,βοηθητικό!$J$2:$N$354,3,FALSE)="","",VLOOKUP(BI170,βοηθητικό!$J$2:$N$354,3,FALSE))</f>
        <v>_</v>
      </c>
      <c r="BK170" s="47"/>
      <c r="BL170" s="42" t="s">
        <v>16</v>
      </c>
      <c r="BM170" s="43" t="str">
        <f>IF(VLOOKUP(BL170,βοηθητικό!$J$2:$N$354,3,FALSE)="","",VLOOKUP(BL170,βοηθητικό!$J$2:$N$354,3,FALSE))</f>
        <v>_</v>
      </c>
      <c r="BN170" s="44"/>
      <c r="BO170" s="45" t="s">
        <v>16</v>
      </c>
      <c r="BP170" s="46" t="str">
        <f>IF(VLOOKUP(BO170,βοηθητικό!$J$2:$N$354,3,FALSE)="","",VLOOKUP(BO170,βοηθητικό!$J$2:$N$354,3,FALSE))</f>
        <v>_</v>
      </c>
      <c r="BQ170" s="47"/>
      <c r="BR170" s="42" t="s">
        <v>16</v>
      </c>
      <c r="BS170" s="43" t="str">
        <f>IF(VLOOKUP(BR170,βοηθητικό!$J$2:$N$354,3,FALSE)="","",VLOOKUP(BR170,βοηθητικό!$J$2:$N$354,3,FALSE))</f>
        <v>_</v>
      </c>
      <c r="BT170" s="44"/>
      <c r="BU170" s="45" t="s">
        <v>16</v>
      </c>
      <c r="BV170" s="46" t="str">
        <f>IF(VLOOKUP(BU170,βοηθητικό!$J$2:$N$354,3,FALSE)="","",VLOOKUP(BU170,βοηθητικό!$J$2:$N$354,3,FALSE))</f>
        <v>_</v>
      </c>
      <c r="BW170" s="47"/>
      <c r="BX170" s="42" t="s">
        <v>16</v>
      </c>
      <c r="BY170" s="43" t="str">
        <f>IF(VLOOKUP(BX170,βοηθητικό!$J$2:$N$354,3,FALSE)="","",VLOOKUP(BX170,βοηθητικό!$J$2:$N$354,3,FALSE))</f>
        <v>_</v>
      </c>
      <c r="BZ170" s="44"/>
      <c r="CA170" s="45" t="s">
        <v>16</v>
      </c>
      <c r="CB170" s="46" t="str">
        <f>IF(VLOOKUP(CA170,βοηθητικό!$J$2:$N$354,3,FALSE)="","",VLOOKUP(CA170,βοηθητικό!$J$2:$N$354,3,FALSE))</f>
        <v>_</v>
      </c>
      <c r="CC170" s="47"/>
      <c r="CD170" s="42" t="s">
        <v>16</v>
      </c>
      <c r="CE170" s="43" t="str">
        <f>IF(VLOOKUP(CD170,βοηθητικό!$J$2:$N$354,3,FALSE)="","",VLOOKUP(CD170,βοηθητικό!$J$2:$N$354,3,FALSE))</f>
        <v>_</v>
      </c>
      <c r="CF170" s="44"/>
      <c r="CG170" s="45" t="s">
        <v>16</v>
      </c>
      <c r="CH170" s="46" t="str">
        <f>IF(VLOOKUP(CG170,βοηθητικό!$J$2:$N$354,3,FALSE)="","",VLOOKUP(CG170,βοηθητικό!$J$2:$N$354,3,FALSE))</f>
        <v>_</v>
      </c>
      <c r="CI170" s="47"/>
      <c r="CJ170" s="42" t="s">
        <v>16</v>
      </c>
      <c r="CK170" s="43" t="str">
        <f>IF(VLOOKUP(CJ170,βοηθητικό!$J$2:$N$354,3,FALSE)="","",VLOOKUP(CJ170,βοηθητικό!$J$2:$N$354,3,FALSE))</f>
        <v>_</v>
      </c>
      <c r="CL170" s="44"/>
      <c r="CM170" s="45" t="s">
        <v>16</v>
      </c>
      <c r="CN170" s="46" t="str">
        <f>IF(VLOOKUP(CM170,βοηθητικό!$J$2:$N$354,3,FALSE)="","",VLOOKUP(CM170,βοηθητικό!$J$2:$N$354,3,FALSE))</f>
        <v>_</v>
      </c>
      <c r="CO170" s="47"/>
      <c r="CP170" s="42" t="s">
        <v>16</v>
      </c>
      <c r="CQ170" s="43" t="str">
        <f>IF(VLOOKUP(CP170,βοηθητικό!$J$2:$N$354,3,FALSE)="","",VLOOKUP(CP170,βοηθητικό!$J$2:$N$354,3,FALSE))</f>
        <v>_</v>
      </c>
      <c r="CR170" s="44"/>
      <c r="CS170" s="45" t="s">
        <v>16</v>
      </c>
      <c r="CT170" s="46" t="str">
        <f>IF(VLOOKUP(CS170,βοηθητικό!$J$2:$N$354,3,FALSE)="","",VLOOKUP(CS170,βοηθητικό!$J$2:$N$354,3,FALSE))</f>
        <v>_</v>
      </c>
      <c r="CU170" s="47"/>
    </row>
    <row r="171" spans="1:99" x14ac:dyDescent="0.25">
      <c r="A171" s="37">
        <f>--SUBTOTAL(3,$B$3:B170)</f>
        <v>168</v>
      </c>
      <c r="B171" s="68">
        <v>45166</v>
      </c>
      <c r="C171" s="69">
        <v>45172</v>
      </c>
      <c r="D171" s="57" t="s">
        <v>83</v>
      </c>
      <c r="E171" s="38" t="s">
        <v>16</v>
      </c>
      <c r="F171" s="38" t="s">
        <v>16</v>
      </c>
      <c r="G171" s="39" t="str">
        <f t="shared" si="8"/>
        <v>__</v>
      </c>
      <c r="H171" s="40" t="str">
        <f t="shared" si="9"/>
        <v>FALSE</v>
      </c>
      <c r="I171" s="41">
        <f t="shared" si="10"/>
        <v>3</v>
      </c>
      <c r="J171" s="4" t="s">
        <v>875</v>
      </c>
      <c r="K171" s="43" t="str">
        <f>IF(VLOOKUP(J171,βοηθητικό!$J$2:$N$354,3,FALSE)="","",VLOOKUP(J171,βοηθητικό!$J$2:$N$354,3,FALSE))</f>
        <v>6980736334</v>
      </c>
      <c r="L171" s="44"/>
      <c r="M171" s="5" t="s">
        <v>896</v>
      </c>
      <c r="N171" s="46" t="str">
        <f>IF(VLOOKUP(M171,βοηθητικό!$J$2:$N$354,3,FALSE)="","",VLOOKUP(M171,βοηθητικό!$J$2:$N$354,3,FALSE))</f>
        <v>6989602050</v>
      </c>
      <c r="O171" s="47"/>
      <c r="P171" s="4" t="s">
        <v>907</v>
      </c>
      <c r="Q171" s="43" t="str">
        <f>IF(VLOOKUP(P171,βοηθητικό!$J$2:$N$354,3,FALSE)="","",VLOOKUP(P171,βοηθητικό!$J$2:$N$354,3,FALSE))</f>
        <v>6974321817</v>
      </c>
      <c r="R171" s="44"/>
      <c r="S171" s="5" t="s">
        <v>16</v>
      </c>
      <c r="T171" s="46" t="str">
        <f>IF(VLOOKUP(S171,βοηθητικό!$J$2:$N$354,3,FALSE)="","",VLOOKUP(S171,βοηθητικό!$J$2:$N$354,3,FALSE))</f>
        <v>_</v>
      </c>
      <c r="U171" s="47"/>
      <c r="V171" s="4" t="s">
        <v>16</v>
      </c>
      <c r="W171" s="43" t="str">
        <f>IF(VLOOKUP(V171,βοηθητικό!$J$2:$N$354,3,FALSE)="","",VLOOKUP(V171,βοηθητικό!$J$2:$N$354,3,FALSE))</f>
        <v>_</v>
      </c>
      <c r="X171" s="44"/>
      <c r="Y171" s="5" t="s">
        <v>16</v>
      </c>
      <c r="Z171" s="46" t="str">
        <f>IF(VLOOKUP(Y171,βοηθητικό!$J$2:$N$354,3,FALSE)="","",VLOOKUP(Y171,βοηθητικό!$J$2:$N$354,3,FALSE))</f>
        <v>_</v>
      </c>
      <c r="AA171" s="47"/>
      <c r="AB171" s="4" t="s">
        <v>16</v>
      </c>
      <c r="AC171" s="43" t="str">
        <f>IF(VLOOKUP(AB171,βοηθητικό!$J$2:$N$354,3,FALSE)="","",VLOOKUP(AB171,βοηθητικό!$J$2:$N$354,3,FALSE))</f>
        <v>_</v>
      </c>
      <c r="AD171" s="44"/>
      <c r="AE171" s="5" t="s">
        <v>16</v>
      </c>
      <c r="AF171" s="46" t="str">
        <f>IF(VLOOKUP(AE171,βοηθητικό!$J$2:$N$354,3,FALSE)="","",VLOOKUP(AE171,βοηθητικό!$J$2:$N$354,3,FALSE))</f>
        <v>_</v>
      </c>
      <c r="AG171" s="47"/>
      <c r="AH171" s="4" t="s">
        <v>16</v>
      </c>
      <c r="AI171" s="43" t="str">
        <f>IF(VLOOKUP(AH171,βοηθητικό!$J$2:$N$354,3,FALSE)="","",VLOOKUP(AH171,βοηθητικό!$J$2:$N$354,3,FALSE))</f>
        <v>_</v>
      </c>
      <c r="AJ171" s="44"/>
      <c r="AK171" s="5" t="s">
        <v>16</v>
      </c>
      <c r="AL171" s="46" t="str">
        <f>IF(VLOOKUP(AK171,βοηθητικό!$J$2:$N$354,3,FALSE)="","",VLOOKUP(AK171,βοηθητικό!$J$2:$N$354,3,FALSE))</f>
        <v>_</v>
      </c>
      <c r="AM171" s="47"/>
      <c r="AN171" s="4" t="s">
        <v>16</v>
      </c>
      <c r="AO171" s="43" t="str">
        <f>IF(VLOOKUP(AN171,βοηθητικό!$J$2:$N$354,3,FALSE)="","",VLOOKUP(AN171,βοηθητικό!$J$2:$N$354,3,FALSE))</f>
        <v>_</v>
      </c>
      <c r="AP171" s="44"/>
      <c r="AQ171" s="5" t="s">
        <v>16</v>
      </c>
      <c r="AR171" s="46" t="str">
        <f>IF(VLOOKUP(AQ171,βοηθητικό!$J$2:$N$354,3,FALSE)="","",VLOOKUP(AQ171,βοηθητικό!$J$2:$N$354,3,FALSE))</f>
        <v>_</v>
      </c>
      <c r="AS171" s="47"/>
      <c r="AT171" s="4" t="s">
        <v>16</v>
      </c>
      <c r="AU171" s="43" t="str">
        <f>IF(VLOOKUP(AT171,βοηθητικό!$J$2:$N$354,3,FALSE)="","",VLOOKUP(AT171,βοηθητικό!$J$2:$N$354,3,FALSE))</f>
        <v>_</v>
      </c>
      <c r="AV171" s="44"/>
      <c r="AW171" s="5" t="s">
        <v>16</v>
      </c>
      <c r="AX171" s="46" t="str">
        <f>IF(VLOOKUP(AW171,βοηθητικό!$J$2:$N$354,3,FALSE)="","",VLOOKUP(AW171,βοηθητικό!$J$2:$N$354,3,FALSE))</f>
        <v>_</v>
      </c>
      <c r="AY171" s="47"/>
      <c r="AZ171" s="4" t="s">
        <v>16</v>
      </c>
      <c r="BA171" s="43" t="str">
        <f>IF(VLOOKUP(AZ171,βοηθητικό!$J$2:$N$354,3,FALSE)="","",VLOOKUP(AZ171,βοηθητικό!$J$2:$N$354,3,FALSE))</f>
        <v>_</v>
      </c>
      <c r="BB171" s="44"/>
      <c r="BC171" s="45" t="s">
        <v>16</v>
      </c>
      <c r="BD171" s="46" t="str">
        <f>IF(VLOOKUP(BC171,βοηθητικό!$J$2:$N$354,3,FALSE)="","",VLOOKUP(BC171,βοηθητικό!$J$2:$N$354,3,FALSE))</f>
        <v>_</v>
      </c>
      <c r="BE171" s="47"/>
      <c r="BF171" s="42" t="s">
        <v>16</v>
      </c>
      <c r="BG171" s="43" t="str">
        <f>IF(VLOOKUP(BF171,βοηθητικό!$J$2:$N$354,3,FALSE)="","",VLOOKUP(BF171,βοηθητικό!$J$2:$N$354,3,FALSE))</f>
        <v>_</v>
      </c>
      <c r="BH171" s="44"/>
      <c r="BI171" s="45" t="s">
        <v>16</v>
      </c>
      <c r="BJ171" s="46" t="str">
        <f>IF(VLOOKUP(BI171,βοηθητικό!$J$2:$N$354,3,FALSE)="","",VLOOKUP(BI171,βοηθητικό!$J$2:$N$354,3,FALSE))</f>
        <v>_</v>
      </c>
      <c r="BK171" s="47"/>
      <c r="BL171" s="42" t="s">
        <v>16</v>
      </c>
      <c r="BM171" s="43" t="str">
        <f>IF(VLOOKUP(BL171,βοηθητικό!$J$2:$N$354,3,FALSE)="","",VLOOKUP(BL171,βοηθητικό!$J$2:$N$354,3,FALSE))</f>
        <v>_</v>
      </c>
      <c r="BN171" s="44"/>
      <c r="BO171" s="45" t="s">
        <v>16</v>
      </c>
      <c r="BP171" s="46" t="str">
        <f>IF(VLOOKUP(BO171,βοηθητικό!$J$2:$N$354,3,FALSE)="","",VLOOKUP(BO171,βοηθητικό!$J$2:$N$354,3,FALSE))</f>
        <v>_</v>
      </c>
      <c r="BQ171" s="47"/>
      <c r="BR171" s="42" t="s">
        <v>16</v>
      </c>
      <c r="BS171" s="43" t="str">
        <f>IF(VLOOKUP(BR171,βοηθητικό!$J$2:$N$354,3,FALSE)="","",VLOOKUP(BR171,βοηθητικό!$J$2:$N$354,3,FALSE))</f>
        <v>_</v>
      </c>
      <c r="BT171" s="44"/>
      <c r="BU171" s="45" t="s">
        <v>16</v>
      </c>
      <c r="BV171" s="46" t="str">
        <f>IF(VLOOKUP(BU171,βοηθητικό!$J$2:$N$354,3,FALSE)="","",VLOOKUP(BU171,βοηθητικό!$J$2:$N$354,3,FALSE))</f>
        <v>_</v>
      </c>
      <c r="BW171" s="47"/>
      <c r="BX171" s="42" t="s">
        <v>16</v>
      </c>
      <c r="BY171" s="43" t="str">
        <f>IF(VLOOKUP(BX171,βοηθητικό!$J$2:$N$354,3,FALSE)="","",VLOOKUP(BX171,βοηθητικό!$J$2:$N$354,3,FALSE))</f>
        <v>_</v>
      </c>
      <c r="BZ171" s="44"/>
      <c r="CA171" s="45" t="s">
        <v>16</v>
      </c>
      <c r="CB171" s="46" t="str">
        <f>IF(VLOOKUP(CA171,βοηθητικό!$J$2:$N$354,3,FALSE)="","",VLOOKUP(CA171,βοηθητικό!$J$2:$N$354,3,FALSE))</f>
        <v>_</v>
      </c>
      <c r="CC171" s="47"/>
      <c r="CD171" s="42" t="s">
        <v>16</v>
      </c>
      <c r="CE171" s="43" t="str">
        <f>IF(VLOOKUP(CD171,βοηθητικό!$J$2:$N$354,3,FALSE)="","",VLOOKUP(CD171,βοηθητικό!$J$2:$N$354,3,FALSE))</f>
        <v>_</v>
      </c>
      <c r="CF171" s="44"/>
      <c r="CG171" s="45" t="s">
        <v>16</v>
      </c>
      <c r="CH171" s="46" t="str">
        <f>IF(VLOOKUP(CG171,βοηθητικό!$J$2:$N$354,3,FALSE)="","",VLOOKUP(CG171,βοηθητικό!$J$2:$N$354,3,FALSE))</f>
        <v>_</v>
      </c>
      <c r="CI171" s="47"/>
      <c r="CJ171" s="42" t="s">
        <v>16</v>
      </c>
      <c r="CK171" s="43" t="str">
        <f>IF(VLOOKUP(CJ171,βοηθητικό!$J$2:$N$354,3,FALSE)="","",VLOOKUP(CJ171,βοηθητικό!$J$2:$N$354,3,FALSE))</f>
        <v>_</v>
      </c>
      <c r="CL171" s="44"/>
      <c r="CM171" s="45" t="s">
        <v>16</v>
      </c>
      <c r="CN171" s="46" t="str">
        <f>IF(VLOOKUP(CM171,βοηθητικό!$J$2:$N$354,3,FALSE)="","",VLOOKUP(CM171,βοηθητικό!$J$2:$N$354,3,FALSE))</f>
        <v>_</v>
      </c>
      <c r="CO171" s="47"/>
      <c r="CP171" s="42" t="s">
        <v>16</v>
      </c>
      <c r="CQ171" s="43" t="str">
        <f>IF(VLOOKUP(CP171,βοηθητικό!$J$2:$N$354,3,FALSE)="","",VLOOKUP(CP171,βοηθητικό!$J$2:$N$354,3,FALSE))</f>
        <v>_</v>
      </c>
      <c r="CR171" s="44"/>
      <c r="CS171" s="45" t="s">
        <v>16</v>
      </c>
      <c r="CT171" s="46" t="str">
        <f>IF(VLOOKUP(CS171,βοηθητικό!$J$2:$N$354,3,FALSE)="","",VLOOKUP(CS171,βοηθητικό!$J$2:$N$354,3,FALSE))</f>
        <v>_</v>
      </c>
      <c r="CU171" s="47"/>
    </row>
    <row r="172" spans="1:99" x14ac:dyDescent="0.25">
      <c r="A172" s="37">
        <f>--SUBTOTAL(3,$B$3:B171)</f>
        <v>169</v>
      </c>
      <c r="B172" s="68">
        <v>45173</v>
      </c>
      <c r="C172" s="69">
        <v>45179</v>
      </c>
      <c r="D172" s="57" t="s">
        <v>83</v>
      </c>
      <c r="E172" s="38" t="s">
        <v>16</v>
      </c>
      <c r="F172" s="38" t="s">
        <v>16</v>
      </c>
      <c r="G172" s="39" t="str">
        <f t="shared" si="8"/>
        <v>__</v>
      </c>
      <c r="H172" s="40" t="str">
        <f t="shared" si="9"/>
        <v>FALSE</v>
      </c>
      <c r="I172" s="41">
        <f t="shared" si="10"/>
        <v>3</v>
      </c>
      <c r="J172" s="4" t="s">
        <v>887</v>
      </c>
      <c r="K172" s="43" t="str">
        <f>IF(VLOOKUP(J172,βοηθητικό!$J$2:$N$354,3,FALSE)="","",VLOOKUP(J172,βοηθητικό!$J$2:$N$354,3,FALSE))</f>
        <v>6974378663</v>
      </c>
      <c r="L172" s="44"/>
      <c r="M172" s="5" t="s">
        <v>911</v>
      </c>
      <c r="N172" s="46" t="str">
        <f>IF(VLOOKUP(M172,βοηθητικό!$J$2:$N$354,3,FALSE)="","",VLOOKUP(M172,βοηθητικό!$J$2:$N$354,3,FALSE))</f>
        <v>6972234942</v>
      </c>
      <c r="O172" s="47"/>
      <c r="P172" s="4" t="s">
        <v>915</v>
      </c>
      <c r="Q172" s="43" t="str">
        <f>IF(VLOOKUP(P172,βοηθητικό!$J$2:$N$354,3,FALSE)="","",VLOOKUP(P172,βοηθητικό!$J$2:$N$354,3,FALSE))</f>
        <v>6977293089</v>
      </c>
      <c r="R172" s="44"/>
      <c r="S172" s="5" t="s">
        <v>16</v>
      </c>
      <c r="T172" s="46" t="str">
        <f>IF(VLOOKUP(S172,βοηθητικό!$J$2:$N$354,3,FALSE)="","",VLOOKUP(S172,βοηθητικό!$J$2:$N$354,3,FALSE))</f>
        <v>_</v>
      </c>
      <c r="U172" s="47"/>
      <c r="V172" s="4" t="s">
        <v>16</v>
      </c>
      <c r="W172" s="43" t="str">
        <f>IF(VLOOKUP(V172,βοηθητικό!$J$2:$N$354,3,FALSE)="","",VLOOKUP(V172,βοηθητικό!$J$2:$N$354,3,FALSE))</f>
        <v>_</v>
      </c>
      <c r="X172" s="44"/>
      <c r="Y172" s="5" t="s">
        <v>16</v>
      </c>
      <c r="Z172" s="46" t="str">
        <f>IF(VLOOKUP(Y172,βοηθητικό!$J$2:$N$354,3,FALSE)="","",VLOOKUP(Y172,βοηθητικό!$J$2:$N$354,3,FALSE))</f>
        <v>_</v>
      </c>
      <c r="AA172" s="47"/>
      <c r="AB172" s="4" t="s">
        <v>16</v>
      </c>
      <c r="AC172" s="43" t="str">
        <f>IF(VLOOKUP(AB172,βοηθητικό!$J$2:$N$354,3,FALSE)="","",VLOOKUP(AB172,βοηθητικό!$J$2:$N$354,3,FALSE))</f>
        <v>_</v>
      </c>
      <c r="AD172" s="44"/>
      <c r="AE172" s="5" t="s">
        <v>16</v>
      </c>
      <c r="AF172" s="46" t="str">
        <f>IF(VLOOKUP(AE172,βοηθητικό!$J$2:$N$354,3,FALSE)="","",VLOOKUP(AE172,βοηθητικό!$J$2:$N$354,3,FALSE))</f>
        <v>_</v>
      </c>
      <c r="AG172" s="47"/>
      <c r="AH172" s="4" t="s">
        <v>16</v>
      </c>
      <c r="AI172" s="43" t="str">
        <f>IF(VLOOKUP(AH172,βοηθητικό!$J$2:$N$354,3,FALSE)="","",VLOOKUP(AH172,βοηθητικό!$J$2:$N$354,3,FALSE))</f>
        <v>_</v>
      </c>
      <c r="AJ172" s="44"/>
      <c r="AK172" s="5" t="s">
        <v>16</v>
      </c>
      <c r="AL172" s="46" t="str">
        <f>IF(VLOOKUP(AK172,βοηθητικό!$J$2:$N$354,3,FALSE)="","",VLOOKUP(AK172,βοηθητικό!$J$2:$N$354,3,FALSE))</f>
        <v>_</v>
      </c>
      <c r="AM172" s="47"/>
      <c r="AN172" s="4" t="s">
        <v>16</v>
      </c>
      <c r="AO172" s="43" t="str">
        <f>IF(VLOOKUP(AN172,βοηθητικό!$J$2:$N$354,3,FALSE)="","",VLOOKUP(AN172,βοηθητικό!$J$2:$N$354,3,FALSE))</f>
        <v>_</v>
      </c>
      <c r="AP172" s="44"/>
      <c r="AQ172" s="5" t="s">
        <v>16</v>
      </c>
      <c r="AR172" s="46" t="str">
        <f>IF(VLOOKUP(AQ172,βοηθητικό!$J$2:$N$354,3,FALSE)="","",VLOOKUP(AQ172,βοηθητικό!$J$2:$N$354,3,FALSE))</f>
        <v>_</v>
      </c>
      <c r="AS172" s="47"/>
      <c r="AT172" s="4" t="s">
        <v>16</v>
      </c>
      <c r="AU172" s="43" t="str">
        <f>IF(VLOOKUP(AT172,βοηθητικό!$J$2:$N$354,3,FALSE)="","",VLOOKUP(AT172,βοηθητικό!$J$2:$N$354,3,FALSE))</f>
        <v>_</v>
      </c>
      <c r="AV172" s="44"/>
      <c r="AW172" s="5" t="s">
        <v>16</v>
      </c>
      <c r="AX172" s="46" t="str">
        <f>IF(VLOOKUP(AW172,βοηθητικό!$J$2:$N$354,3,FALSE)="","",VLOOKUP(AW172,βοηθητικό!$J$2:$N$354,3,FALSE))</f>
        <v>_</v>
      </c>
      <c r="AY172" s="47"/>
      <c r="AZ172" s="4" t="s">
        <v>16</v>
      </c>
      <c r="BA172" s="43" t="str">
        <f>IF(VLOOKUP(AZ172,βοηθητικό!$J$2:$N$354,3,FALSE)="","",VLOOKUP(AZ172,βοηθητικό!$J$2:$N$354,3,FALSE))</f>
        <v>_</v>
      </c>
      <c r="BB172" s="44"/>
      <c r="BC172" s="45" t="s">
        <v>16</v>
      </c>
      <c r="BD172" s="46" t="str">
        <f>IF(VLOOKUP(BC172,βοηθητικό!$J$2:$N$354,3,FALSE)="","",VLOOKUP(BC172,βοηθητικό!$J$2:$N$354,3,FALSE))</f>
        <v>_</v>
      </c>
      <c r="BE172" s="47"/>
      <c r="BF172" s="42" t="s">
        <v>16</v>
      </c>
      <c r="BG172" s="43" t="str">
        <f>IF(VLOOKUP(BF172,βοηθητικό!$J$2:$N$354,3,FALSE)="","",VLOOKUP(BF172,βοηθητικό!$J$2:$N$354,3,FALSE))</f>
        <v>_</v>
      </c>
      <c r="BH172" s="44"/>
      <c r="BI172" s="45" t="s">
        <v>16</v>
      </c>
      <c r="BJ172" s="46" t="str">
        <f>IF(VLOOKUP(BI172,βοηθητικό!$J$2:$N$354,3,FALSE)="","",VLOOKUP(BI172,βοηθητικό!$J$2:$N$354,3,FALSE))</f>
        <v>_</v>
      </c>
      <c r="BK172" s="47"/>
      <c r="BL172" s="42" t="s">
        <v>16</v>
      </c>
      <c r="BM172" s="43" t="str">
        <f>IF(VLOOKUP(BL172,βοηθητικό!$J$2:$N$354,3,FALSE)="","",VLOOKUP(BL172,βοηθητικό!$J$2:$N$354,3,FALSE))</f>
        <v>_</v>
      </c>
      <c r="BN172" s="44"/>
      <c r="BO172" s="45" t="s">
        <v>16</v>
      </c>
      <c r="BP172" s="46" t="str">
        <f>IF(VLOOKUP(BO172,βοηθητικό!$J$2:$N$354,3,FALSE)="","",VLOOKUP(BO172,βοηθητικό!$J$2:$N$354,3,FALSE))</f>
        <v>_</v>
      </c>
      <c r="BQ172" s="47"/>
      <c r="BR172" s="42" t="s">
        <v>16</v>
      </c>
      <c r="BS172" s="43" t="str">
        <f>IF(VLOOKUP(BR172,βοηθητικό!$J$2:$N$354,3,FALSE)="","",VLOOKUP(BR172,βοηθητικό!$J$2:$N$354,3,FALSE))</f>
        <v>_</v>
      </c>
      <c r="BT172" s="44"/>
      <c r="BU172" s="45" t="s">
        <v>16</v>
      </c>
      <c r="BV172" s="46" t="str">
        <f>IF(VLOOKUP(BU172,βοηθητικό!$J$2:$N$354,3,FALSE)="","",VLOOKUP(BU172,βοηθητικό!$J$2:$N$354,3,FALSE))</f>
        <v>_</v>
      </c>
      <c r="BW172" s="47"/>
      <c r="BX172" s="42" t="s">
        <v>16</v>
      </c>
      <c r="BY172" s="43" t="str">
        <f>IF(VLOOKUP(BX172,βοηθητικό!$J$2:$N$354,3,FALSE)="","",VLOOKUP(BX172,βοηθητικό!$J$2:$N$354,3,FALSE))</f>
        <v>_</v>
      </c>
      <c r="BZ172" s="44"/>
      <c r="CA172" s="45" t="s">
        <v>16</v>
      </c>
      <c r="CB172" s="46" t="str">
        <f>IF(VLOOKUP(CA172,βοηθητικό!$J$2:$N$354,3,FALSE)="","",VLOOKUP(CA172,βοηθητικό!$J$2:$N$354,3,FALSE))</f>
        <v>_</v>
      </c>
      <c r="CC172" s="47"/>
      <c r="CD172" s="42" t="s">
        <v>16</v>
      </c>
      <c r="CE172" s="43" t="str">
        <f>IF(VLOOKUP(CD172,βοηθητικό!$J$2:$N$354,3,FALSE)="","",VLOOKUP(CD172,βοηθητικό!$J$2:$N$354,3,FALSE))</f>
        <v>_</v>
      </c>
      <c r="CF172" s="44"/>
      <c r="CG172" s="45" t="s">
        <v>16</v>
      </c>
      <c r="CH172" s="46" t="str">
        <f>IF(VLOOKUP(CG172,βοηθητικό!$J$2:$N$354,3,FALSE)="","",VLOOKUP(CG172,βοηθητικό!$J$2:$N$354,3,FALSE))</f>
        <v>_</v>
      </c>
      <c r="CI172" s="47"/>
      <c r="CJ172" s="42" t="s">
        <v>16</v>
      </c>
      <c r="CK172" s="43" t="str">
        <f>IF(VLOOKUP(CJ172,βοηθητικό!$J$2:$N$354,3,FALSE)="","",VLOOKUP(CJ172,βοηθητικό!$J$2:$N$354,3,FALSE))</f>
        <v>_</v>
      </c>
      <c r="CL172" s="44"/>
      <c r="CM172" s="45" t="s">
        <v>16</v>
      </c>
      <c r="CN172" s="46" t="str">
        <f>IF(VLOOKUP(CM172,βοηθητικό!$J$2:$N$354,3,FALSE)="","",VLOOKUP(CM172,βοηθητικό!$J$2:$N$354,3,FALSE))</f>
        <v>_</v>
      </c>
      <c r="CO172" s="47"/>
      <c r="CP172" s="42" t="s">
        <v>16</v>
      </c>
      <c r="CQ172" s="43" t="str">
        <f>IF(VLOOKUP(CP172,βοηθητικό!$J$2:$N$354,3,FALSE)="","",VLOOKUP(CP172,βοηθητικό!$J$2:$N$354,3,FALSE))</f>
        <v>_</v>
      </c>
      <c r="CR172" s="44"/>
      <c r="CS172" s="45" t="s">
        <v>16</v>
      </c>
      <c r="CT172" s="46" t="str">
        <f>IF(VLOOKUP(CS172,βοηθητικό!$J$2:$N$354,3,FALSE)="","",VLOOKUP(CS172,βοηθητικό!$J$2:$N$354,3,FALSE))</f>
        <v>_</v>
      </c>
      <c r="CU172" s="47"/>
    </row>
    <row r="173" spans="1:99" x14ac:dyDescent="0.25">
      <c r="A173" s="37">
        <f>--SUBTOTAL(3,$B$3:B172)</f>
        <v>170</v>
      </c>
      <c r="B173" s="68">
        <v>45180</v>
      </c>
      <c r="C173" s="69">
        <v>45186</v>
      </c>
      <c r="D173" s="57" t="s">
        <v>83</v>
      </c>
      <c r="E173" s="38" t="s">
        <v>16</v>
      </c>
      <c r="F173" s="38" t="s">
        <v>16</v>
      </c>
      <c r="G173" s="39" t="str">
        <f t="shared" si="8"/>
        <v>__</v>
      </c>
      <c r="H173" s="40" t="str">
        <f t="shared" si="9"/>
        <v>FALSE</v>
      </c>
      <c r="I173" s="41">
        <f t="shared" si="10"/>
        <v>3</v>
      </c>
      <c r="J173" s="4" t="s">
        <v>880</v>
      </c>
      <c r="K173" s="43" t="str">
        <f>IF(VLOOKUP(J173,βοηθητικό!$J$2:$N$354,3,FALSE)="","",VLOOKUP(J173,βοηθητικό!$J$2:$N$354,3,FALSE))</f>
        <v>6976657104</v>
      </c>
      <c r="L173" s="44"/>
      <c r="M173" s="5" t="s">
        <v>919</v>
      </c>
      <c r="N173" s="46" t="str">
        <f>IF(VLOOKUP(M173,βοηθητικό!$J$2:$N$354,3,FALSE)="","",VLOOKUP(M173,βοηθητικό!$J$2:$N$354,3,FALSE))</f>
        <v>6972309803</v>
      </c>
      <c r="O173" s="47"/>
      <c r="P173" s="4" t="s">
        <v>892</v>
      </c>
      <c r="Q173" s="43" t="str">
        <f>IF(VLOOKUP(P173,βοηθητικό!$J$2:$N$354,3,FALSE)="","",VLOOKUP(P173,βοηθητικό!$J$2:$N$354,3,FALSE))</f>
        <v>6978335362</v>
      </c>
      <c r="R173" s="44"/>
      <c r="S173" s="5" t="s">
        <v>16</v>
      </c>
      <c r="T173" s="46" t="str">
        <f>IF(VLOOKUP(S173,βοηθητικό!$J$2:$N$354,3,FALSE)="","",VLOOKUP(S173,βοηθητικό!$J$2:$N$354,3,FALSE))</f>
        <v>_</v>
      </c>
      <c r="U173" s="47"/>
      <c r="V173" s="4" t="s">
        <v>16</v>
      </c>
      <c r="W173" s="43" t="str">
        <f>IF(VLOOKUP(V173,βοηθητικό!$J$2:$N$354,3,FALSE)="","",VLOOKUP(V173,βοηθητικό!$J$2:$N$354,3,FALSE))</f>
        <v>_</v>
      </c>
      <c r="X173" s="44"/>
      <c r="Y173" s="5" t="s">
        <v>16</v>
      </c>
      <c r="Z173" s="46" t="str">
        <f>IF(VLOOKUP(Y173,βοηθητικό!$J$2:$N$354,3,FALSE)="","",VLOOKUP(Y173,βοηθητικό!$J$2:$N$354,3,FALSE))</f>
        <v>_</v>
      </c>
      <c r="AA173" s="47"/>
      <c r="AB173" s="4" t="s">
        <v>16</v>
      </c>
      <c r="AC173" s="43" t="str">
        <f>IF(VLOOKUP(AB173,βοηθητικό!$J$2:$N$354,3,FALSE)="","",VLOOKUP(AB173,βοηθητικό!$J$2:$N$354,3,FALSE))</f>
        <v>_</v>
      </c>
      <c r="AD173" s="44"/>
      <c r="AE173" s="5" t="s">
        <v>16</v>
      </c>
      <c r="AF173" s="46" t="str">
        <f>IF(VLOOKUP(AE173,βοηθητικό!$J$2:$N$354,3,FALSE)="","",VLOOKUP(AE173,βοηθητικό!$J$2:$N$354,3,FALSE))</f>
        <v>_</v>
      </c>
      <c r="AG173" s="47"/>
      <c r="AH173" s="4" t="s">
        <v>16</v>
      </c>
      <c r="AI173" s="43" t="str">
        <f>IF(VLOOKUP(AH173,βοηθητικό!$J$2:$N$354,3,FALSE)="","",VLOOKUP(AH173,βοηθητικό!$J$2:$N$354,3,FALSE))</f>
        <v>_</v>
      </c>
      <c r="AJ173" s="44"/>
      <c r="AK173" s="5" t="s">
        <v>16</v>
      </c>
      <c r="AL173" s="46" t="str">
        <f>IF(VLOOKUP(AK173,βοηθητικό!$J$2:$N$354,3,FALSE)="","",VLOOKUP(AK173,βοηθητικό!$J$2:$N$354,3,FALSE))</f>
        <v>_</v>
      </c>
      <c r="AM173" s="47"/>
      <c r="AN173" s="4" t="s">
        <v>16</v>
      </c>
      <c r="AO173" s="43" t="str">
        <f>IF(VLOOKUP(AN173,βοηθητικό!$J$2:$N$354,3,FALSE)="","",VLOOKUP(AN173,βοηθητικό!$J$2:$N$354,3,FALSE))</f>
        <v>_</v>
      </c>
      <c r="AP173" s="44"/>
      <c r="AQ173" s="5" t="s">
        <v>16</v>
      </c>
      <c r="AR173" s="46" t="str">
        <f>IF(VLOOKUP(AQ173,βοηθητικό!$J$2:$N$354,3,FALSE)="","",VLOOKUP(AQ173,βοηθητικό!$J$2:$N$354,3,FALSE))</f>
        <v>_</v>
      </c>
      <c r="AS173" s="47"/>
      <c r="AT173" s="4" t="s">
        <v>16</v>
      </c>
      <c r="AU173" s="43" t="str">
        <f>IF(VLOOKUP(AT173,βοηθητικό!$J$2:$N$354,3,FALSE)="","",VLOOKUP(AT173,βοηθητικό!$J$2:$N$354,3,FALSE))</f>
        <v>_</v>
      </c>
      <c r="AV173" s="44"/>
      <c r="AW173" s="5" t="s">
        <v>16</v>
      </c>
      <c r="AX173" s="46" t="str">
        <f>IF(VLOOKUP(AW173,βοηθητικό!$J$2:$N$354,3,FALSE)="","",VLOOKUP(AW173,βοηθητικό!$J$2:$N$354,3,FALSE))</f>
        <v>_</v>
      </c>
      <c r="AY173" s="47"/>
      <c r="AZ173" s="4" t="s">
        <v>16</v>
      </c>
      <c r="BA173" s="43" t="str">
        <f>IF(VLOOKUP(AZ173,βοηθητικό!$J$2:$N$354,3,FALSE)="","",VLOOKUP(AZ173,βοηθητικό!$J$2:$N$354,3,FALSE))</f>
        <v>_</v>
      </c>
      <c r="BB173" s="44"/>
      <c r="BC173" s="45" t="s">
        <v>16</v>
      </c>
      <c r="BD173" s="46" t="str">
        <f>IF(VLOOKUP(BC173,βοηθητικό!$J$2:$N$354,3,FALSE)="","",VLOOKUP(BC173,βοηθητικό!$J$2:$N$354,3,FALSE))</f>
        <v>_</v>
      </c>
      <c r="BE173" s="47"/>
      <c r="BF173" s="42" t="s">
        <v>16</v>
      </c>
      <c r="BG173" s="43" t="str">
        <f>IF(VLOOKUP(BF173,βοηθητικό!$J$2:$N$354,3,FALSE)="","",VLOOKUP(BF173,βοηθητικό!$J$2:$N$354,3,FALSE))</f>
        <v>_</v>
      </c>
      <c r="BH173" s="44"/>
      <c r="BI173" s="45" t="s">
        <v>16</v>
      </c>
      <c r="BJ173" s="46" t="str">
        <f>IF(VLOOKUP(BI173,βοηθητικό!$J$2:$N$354,3,FALSE)="","",VLOOKUP(BI173,βοηθητικό!$J$2:$N$354,3,FALSE))</f>
        <v>_</v>
      </c>
      <c r="BK173" s="47"/>
      <c r="BL173" s="42" t="s">
        <v>16</v>
      </c>
      <c r="BM173" s="43" t="str">
        <f>IF(VLOOKUP(BL173,βοηθητικό!$J$2:$N$354,3,FALSE)="","",VLOOKUP(BL173,βοηθητικό!$J$2:$N$354,3,FALSE))</f>
        <v>_</v>
      </c>
      <c r="BN173" s="44"/>
      <c r="BO173" s="45" t="s">
        <v>16</v>
      </c>
      <c r="BP173" s="46" t="str">
        <f>IF(VLOOKUP(BO173,βοηθητικό!$J$2:$N$354,3,FALSE)="","",VLOOKUP(BO173,βοηθητικό!$J$2:$N$354,3,FALSE))</f>
        <v>_</v>
      </c>
      <c r="BQ173" s="47"/>
      <c r="BR173" s="42" t="s">
        <v>16</v>
      </c>
      <c r="BS173" s="43" t="str">
        <f>IF(VLOOKUP(BR173,βοηθητικό!$J$2:$N$354,3,FALSE)="","",VLOOKUP(BR173,βοηθητικό!$J$2:$N$354,3,FALSE))</f>
        <v>_</v>
      </c>
      <c r="BT173" s="44"/>
      <c r="BU173" s="45" t="s">
        <v>16</v>
      </c>
      <c r="BV173" s="46" t="str">
        <f>IF(VLOOKUP(BU173,βοηθητικό!$J$2:$N$354,3,FALSE)="","",VLOOKUP(BU173,βοηθητικό!$J$2:$N$354,3,FALSE))</f>
        <v>_</v>
      </c>
      <c r="BW173" s="47"/>
      <c r="BX173" s="42" t="s">
        <v>16</v>
      </c>
      <c r="BY173" s="43" t="str">
        <f>IF(VLOOKUP(BX173,βοηθητικό!$J$2:$N$354,3,FALSE)="","",VLOOKUP(BX173,βοηθητικό!$J$2:$N$354,3,FALSE))</f>
        <v>_</v>
      </c>
      <c r="BZ173" s="44"/>
      <c r="CA173" s="45" t="s">
        <v>16</v>
      </c>
      <c r="CB173" s="46" t="str">
        <f>IF(VLOOKUP(CA173,βοηθητικό!$J$2:$N$354,3,FALSE)="","",VLOOKUP(CA173,βοηθητικό!$J$2:$N$354,3,FALSE))</f>
        <v>_</v>
      </c>
      <c r="CC173" s="47"/>
      <c r="CD173" s="42" t="s">
        <v>16</v>
      </c>
      <c r="CE173" s="43" t="str">
        <f>IF(VLOOKUP(CD173,βοηθητικό!$J$2:$N$354,3,FALSE)="","",VLOOKUP(CD173,βοηθητικό!$J$2:$N$354,3,FALSE))</f>
        <v>_</v>
      </c>
      <c r="CF173" s="44"/>
      <c r="CG173" s="45" t="s">
        <v>16</v>
      </c>
      <c r="CH173" s="46" t="str">
        <f>IF(VLOOKUP(CG173,βοηθητικό!$J$2:$N$354,3,FALSE)="","",VLOOKUP(CG173,βοηθητικό!$J$2:$N$354,3,FALSE))</f>
        <v>_</v>
      </c>
      <c r="CI173" s="47"/>
      <c r="CJ173" s="42" t="s">
        <v>16</v>
      </c>
      <c r="CK173" s="43" t="str">
        <f>IF(VLOOKUP(CJ173,βοηθητικό!$J$2:$N$354,3,FALSE)="","",VLOOKUP(CJ173,βοηθητικό!$J$2:$N$354,3,FALSE))</f>
        <v>_</v>
      </c>
      <c r="CL173" s="44"/>
      <c r="CM173" s="45" t="s">
        <v>16</v>
      </c>
      <c r="CN173" s="46" t="str">
        <f>IF(VLOOKUP(CM173,βοηθητικό!$J$2:$N$354,3,FALSE)="","",VLOOKUP(CM173,βοηθητικό!$J$2:$N$354,3,FALSE))</f>
        <v>_</v>
      </c>
      <c r="CO173" s="47"/>
      <c r="CP173" s="42" t="s">
        <v>16</v>
      </c>
      <c r="CQ173" s="43" t="str">
        <f>IF(VLOOKUP(CP173,βοηθητικό!$J$2:$N$354,3,FALSE)="","",VLOOKUP(CP173,βοηθητικό!$J$2:$N$354,3,FALSE))</f>
        <v>_</v>
      </c>
      <c r="CR173" s="44"/>
      <c r="CS173" s="45" t="s">
        <v>16</v>
      </c>
      <c r="CT173" s="46" t="str">
        <f>IF(VLOOKUP(CS173,βοηθητικό!$J$2:$N$354,3,FALSE)="","",VLOOKUP(CS173,βοηθητικό!$J$2:$N$354,3,FALSE))</f>
        <v>_</v>
      </c>
      <c r="CU173" s="47"/>
    </row>
    <row r="174" spans="1:99" x14ac:dyDescent="0.25">
      <c r="A174" s="37">
        <f>--SUBTOTAL(3,$B$3:B173)</f>
        <v>171</v>
      </c>
      <c r="B174" s="68">
        <v>45187</v>
      </c>
      <c r="C174" s="69">
        <v>45193</v>
      </c>
      <c r="D174" s="57" t="s">
        <v>83</v>
      </c>
      <c r="E174" s="38" t="s">
        <v>16</v>
      </c>
      <c r="F174" s="38" t="s">
        <v>16</v>
      </c>
      <c r="G174" s="39" t="str">
        <f t="shared" si="8"/>
        <v>__</v>
      </c>
      <c r="H174" s="40" t="str">
        <f t="shared" si="9"/>
        <v>FALSE</v>
      </c>
      <c r="I174" s="41">
        <f t="shared" si="10"/>
        <v>3</v>
      </c>
      <c r="J174" s="4" t="s">
        <v>884</v>
      </c>
      <c r="K174" s="43" t="str">
        <f>IF(VLOOKUP(J174,βοηθητικό!$J$2:$N$354,3,FALSE)="","",VLOOKUP(J174,βοηθητικό!$J$2:$N$354,3,FALSE))</f>
        <v>6978894699</v>
      </c>
      <c r="L174" s="44"/>
      <c r="M174" s="5" t="s">
        <v>907</v>
      </c>
      <c r="N174" s="46" t="str">
        <f>IF(VLOOKUP(M174,βοηθητικό!$J$2:$N$354,3,FALSE)="","",VLOOKUP(M174,βοηθητικό!$J$2:$N$354,3,FALSE))</f>
        <v>6974321817</v>
      </c>
      <c r="O174" s="47"/>
      <c r="P174" s="4" t="s">
        <v>900</v>
      </c>
      <c r="Q174" s="43" t="str">
        <f>IF(VLOOKUP(P174,βοηθητικό!$J$2:$N$354,3,FALSE)="","",VLOOKUP(P174,βοηθητικό!$J$2:$N$354,3,FALSE))</f>
        <v>_</v>
      </c>
      <c r="R174" s="44"/>
      <c r="S174" s="5" t="s">
        <v>16</v>
      </c>
      <c r="T174" s="46" t="str">
        <f>IF(VLOOKUP(S174,βοηθητικό!$J$2:$N$354,3,FALSE)="","",VLOOKUP(S174,βοηθητικό!$J$2:$N$354,3,FALSE))</f>
        <v>_</v>
      </c>
      <c r="U174" s="47"/>
      <c r="V174" s="4" t="s">
        <v>16</v>
      </c>
      <c r="W174" s="43" t="str">
        <f>IF(VLOOKUP(V174,βοηθητικό!$J$2:$N$354,3,FALSE)="","",VLOOKUP(V174,βοηθητικό!$J$2:$N$354,3,FALSE))</f>
        <v>_</v>
      </c>
      <c r="X174" s="44"/>
      <c r="Y174" s="5" t="s">
        <v>16</v>
      </c>
      <c r="Z174" s="46" t="str">
        <f>IF(VLOOKUP(Y174,βοηθητικό!$J$2:$N$354,3,FALSE)="","",VLOOKUP(Y174,βοηθητικό!$J$2:$N$354,3,FALSE))</f>
        <v>_</v>
      </c>
      <c r="AA174" s="47"/>
      <c r="AB174" s="4" t="s">
        <v>16</v>
      </c>
      <c r="AC174" s="43" t="str">
        <f>IF(VLOOKUP(AB174,βοηθητικό!$J$2:$N$354,3,FALSE)="","",VLOOKUP(AB174,βοηθητικό!$J$2:$N$354,3,FALSE))</f>
        <v>_</v>
      </c>
      <c r="AD174" s="44"/>
      <c r="AE174" s="5" t="s">
        <v>16</v>
      </c>
      <c r="AF174" s="46" t="str">
        <f>IF(VLOOKUP(AE174,βοηθητικό!$J$2:$N$354,3,FALSE)="","",VLOOKUP(AE174,βοηθητικό!$J$2:$N$354,3,FALSE))</f>
        <v>_</v>
      </c>
      <c r="AG174" s="47"/>
      <c r="AH174" s="4" t="s">
        <v>16</v>
      </c>
      <c r="AI174" s="43" t="str">
        <f>IF(VLOOKUP(AH174,βοηθητικό!$J$2:$N$354,3,FALSE)="","",VLOOKUP(AH174,βοηθητικό!$J$2:$N$354,3,FALSE))</f>
        <v>_</v>
      </c>
      <c r="AJ174" s="44"/>
      <c r="AK174" s="5" t="s">
        <v>16</v>
      </c>
      <c r="AL174" s="46" t="str">
        <f>IF(VLOOKUP(AK174,βοηθητικό!$J$2:$N$354,3,FALSE)="","",VLOOKUP(AK174,βοηθητικό!$J$2:$N$354,3,FALSE))</f>
        <v>_</v>
      </c>
      <c r="AM174" s="47"/>
      <c r="AN174" s="4" t="s">
        <v>16</v>
      </c>
      <c r="AO174" s="43" t="str">
        <f>IF(VLOOKUP(AN174,βοηθητικό!$J$2:$N$354,3,FALSE)="","",VLOOKUP(AN174,βοηθητικό!$J$2:$N$354,3,FALSE))</f>
        <v>_</v>
      </c>
      <c r="AP174" s="44"/>
      <c r="AQ174" s="5" t="s">
        <v>16</v>
      </c>
      <c r="AR174" s="46" t="str">
        <f>IF(VLOOKUP(AQ174,βοηθητικό!$J$2:$N$354,3,FALSE)="","",VLOOKUP(AQ174,βοηθητικό!$J$2:$N$354,3,FALSE))</f>
        <v>_</v>
      </c>
      <c r="AS174" s="47"/>
      <c r="AT174" s="4" t="s">
        <v>16</v>
      </c>
      <c r="AU174" s="43" t="str">
        <f>IF(VLOOKUP(AT174,βοηθητικό!$J$2:$N$354,3,FALSE)="","",VLOOKUP(AT174,βοηθητικό!$J$2:$N$354,3,FALSE))</f>
        <v>_</v>
      </c>
      <c r="AV174" s="44"/>
      <c r="AW174" s="5" t="s">
        <v>16</v>
      </c>
      <c r="AX174" s="46" t="str">
        <f>IF(VLOOKUP(AW174,βοηθητικό!$J$2:$N$354,3,FALSE)="","",VLOOKUP(AW174,βοηθητικό!$J$2:$N$354,3,FALSE))</f>
        <v>_</v>
      </c>
      <c r="AY174" s="47"/>
      <c r="AZ174" s="4" t="s">
        <v>16</v>
      </c>
      <c r="BA174" s="43" t="str">
        <f>IF(VLOOKUP(AZ174,βοηθητικό!$J$2:$N$354,3,FALSE)="","",VLOOKUP(AZ174,βοηθητικό!$J$2:$N$354,3,FALSE))</f>
        <v>_</v>
      </c>
      <c r="BB174" s="44"/>
      <c r="BC174" s="45" t="s">
        <v>16</v>
      </c>
      <c r="BD174" s="46" t="str">
        <f>IF(VLOOKUP(BC174,βοηθητικό!$J$2:$N$354,3,FALSE)="","",VLOOKUP(BC174,βοηθητικό!$J$2:$N$354,3,FALSE))</f>
        <v>_</v>
      </c>
      <c r="BE174" s="47"/>
      <c r="BF174" s="42" t="s">
        <v>16</v>
      </c>
      <c r="BG174" s="43" t="str">
        <f>IF(VLOOKUP(BF174,βοηθητικό!$J$2:$N$354,3,FALSE)="","",VLOOKUP(BF174,βοηθητικό!$J$2:$N$354,3,FALSE))</f>
        <v>_</v>
      </c>
      <c r="BH174" s="44"/>
      <c r="BI174" s="45" t="s">
        <v>16</v>
      </c>
      <c r="BJ174" s="46" t="str">
        <f>IF(VLOOKUP(BI174,βοηθητικό!$J$2:$N$354,3,FALSE)="","",VLOOKUP(BI174,βοηθητικό!$J$2:$N$354,3,FALSE))</f>
        <v>_</v>
      </c>
      <c r="BK174" s="47"/>
      <c r="BL174" s="42" t="s">
        <v>16</v>
      </c>
      <c r="BM174" s="43" t="str">
        <f>IF(VLOOKUP(BL174,βοηθητικό!$J$2:$N$354,3,FALSE)="","",VLOOKUP(BL174,βοηθητικό!$J$2:$N$354,3,FALSE))</f>
        <v>_</v>
      </c>
      <c r="BN174" s="44"/>
      <c r="BO174" s="45" t="s">
        <v>16</v>
      </c>
      <c r="BP174" s="46" t="str">
        <f>IF(VLOOKUP(BO174,βοηθητικό!$J$2:$N$354,3,FALSE)="","",VLOOKUP(BO174,βοηθητικό!$J$2:$N$354,3,FALSE))</f>
        <v>_</v>
      </c>
      <c r="BQ174" s="47"/>
      <c r="BR174" s="42" t="s">
        <v>16</v>
      </c>
      <c r="BS174" s="43" t="str">
        <f>IF(VLOOKUP(BR174,βοηθητικό!$J$2:$N$354,3,FALSE)="","",VLOOKUP(BR174,βοηθητικό!$J$2:$N$354,3,FALSE))</f>
        <v>_</v>
      </c>
      <c r="BT174" s="44"/>
      <c r="BU174" s="45" t="s">
        <v>16</v>
      </c>
      <c r="BV174" s="46" t="str">
        <f>IF(VLOOKUP(BU174,βοηθητικό!$J$2:$N$354,3,FALSE)="","",VLOOKUP(BU174,βοηθητικό!$J$2:$N$354,3,FALSE))</f>
        <v>_</v>
      </c>
      <c r="BW174" s="47"/>
      <c r="BX174" s="42" t="s">
        <v>16</v>
      </c>
      <c r="BY174" s="43" t="str">
        <f>IF(VLOOKUP(BX174,βοηθητικό!$J$2:$N$354,3,FALSE)="","",VLOOKUP(BX174,βοηθητικό!$J$2:$N$354,3,FALSE))</f>
        <v>_</v>
      </c>
      <c r="BZ174" s="44"/>
      <c r="CA174" s="45" t="s">
        <v>16</v>
      </c>
      <c r="CB174" s="46" t="str">
        <f>IF(VLOOKUP(CA174,βοηθητικό!$J$2:$N$354,3,FALSE)="","",VLOOKUP(CA174,βοηθητικό!$J$2:$N$354,3,FALSE))</f>
        <v>_</v>
      </c>
      <c r="CC174" s="47"/>
      <c r="CD174" s="42" t="s">
        <v>16</v>
      </c>
      <c r="CE174" s="43" t="str">
        <f>IF(VLOOKUP(CD174,βοηθητικό!$J$2:$N$354,3,FALSE)="","",VLOOKUP(CD174,βοηθητικό!$J$2:$N$354,3,FALSE))</f>
        <v>_</v>
      </c>
      <c r="CF174" s="44"/>
      <c r="CG174" s="45" t="s">
        <v>16</v>
      </c>
      <c r="CH174" s="46" t="str">
        <f>IF(VLOOKUP(CG174,βοηθητικό!$J$2:$N$354,3,FALSE)="","",VLOOKUP(CG174,βοηθητικό!$J$2:$N$354,3,FALSE))</f>
        <v>_</v>
      </c>
      <c r="CI174" s="47"/>
      <c r="CJ174" s="42" t="s">
        <v>16</v>
      </c>
      <c r="CK174" s="43" t="str">
        <f>IF(VLOOKUP(CJ174,βοηθητικό!$J$2:$N$354,3,FALSE)="","",VLOOKUP(CJ174,βοηθητικό!$J$2:$N$354,3,FALSE))</f>
        <v>_</v>
      </c>
      <c r="CL174" s="44"/>
      <c r="CM174" s="45" t="s">
        <v>16</v>
      </c>
      <c r="CN174" s="46" t="str">
        <f>IF(VLOOKUP(CM174,βοηθητικό!$J$2:$N$354,3,FALSE)="","",VLOOKUP(CM174,βοηθητικό!$J$2:$N$354,3,FALSE))</f>
        <v>_</v>
      </c>
      <c r="CO174" s="47"/>
      <c r="CP174" s="42" t="s">
        <v>16</v>
      </c>
      <c r="CQ174" s="43" t="str">
        <f>IF(VLOOKUP(CP174,βοηθητικό!$J$2:$N$354,3,FALSE)="","",VLOOKUP(CP174,βοηθητικό!$J$2:$N$354,3,FALSE))</f>
        <v>_</v>
      </c>
      <c r="CR174" s="44"/>
      <c r="CS174" s="45" t="s">
        <v>16</v>
      </c>
      <c r="CT174" s="46" t="str">
        <f>IF(VLOOKUP(CS174,βοηθητικό!$J$2:$N$354,3,FALSE)="","",VLOOKUP(CS174,βοηθητικό!$J$2:$N$354,3,FALSE))</f>
        <v>_</v>
      </c>
      <c r="CU174" s="47"/>
    </row>
    <row r="175" spans="1:99" x14ac:dyDescent="0.25">
      <c r="A175" s="37">
        <f>--SUBTOTAL(3,$B$3:B174)</f>
        <v>172</v>
      </c>
      <c r="B175" s="68">
        <v>45194</v>
      </c>
      <c r="C175" s="69">
        <v>45200</v>
      </c>
      <c r="D175" s="57" t="s">
        <v>83</v>
      </c>
      <c r="E175" s="38" t="s">
        <v>16</v>
      </c>
      <c r="F175" s="38" t="s">
        <v>16</v>
      </c>
      <c r="G175" s="39" t="str">
        <f t="shared" si="8"/>
        <v>__</v>
      </c>
      <c r="H175" s="40" t="str">
        <f t="shared" si="9"/>
        <v>FALSE</v>
      </c>
      <c r="I175" s="41">
        <f t="shared" si="10"/>
        <v>3</v>
      </c>
      <c r="J175" s="4" t="s">
        <v>911</v>
      </c>
      <c r="K175" s="43" t="str">
        <f>IF(VLOOKUP(J175,βοηθητικό!$J$2:$N$354,3,FALSE)="","",VLOOKUP(J175,βοηθητικό!$J$2:$N$354,3,FALSE))</f>
        <v>6972234942</v>
      </c>
      <c r="L175" s="44"/>
      <c r="M175" s="5" t="s">
        <v>896</v>
      </c>
      <c r="N175" s="46" t="str">
        <f>IF(VLOOKUP(M175,βοηθητικό!$J$2:$N$354,3,FALSE)="","",VLOOKUP(M175,βοηθητικό!$J$2:$N$354,3,FALSE))</f>
        <v>6989602050</v>
      </c>
      <c r="O175" s="47"/>
      <c r="P175" s="4" t="s">
        <v>892</v>
      </c>
      <c r="Q175" s="43" t="str">
        <f>IF(VLOOKUP(P175,βοηθητικό!$J$2:$N$354,3,FALSE)="","",VLOOKUP(P175,βοηθητικό!$J$2:$N$354,3,FALSE))</f>
        <v>6978335362</v>
      </c>
      <c r="R175" s="44"/>
      <c r="S175" s="5" t="s">
        <v>16</v>
      </c>
      <c r="T175" s="46" t="str">
        <f>IF(VLOOKUP(S175,βοηθητικό!$J$2:$N$354,3,FALSE)="","",VLOOKUP(S175,βοηθητικό!$J$2:$N$354,3,FALSE))</f>
        <v>_</v>
      </c>
      <c r="U175" s="47"/>
      <c r="V175" s="4" t="s">
        <v>16</v>
      </c>
      <c r="W175" s="43" t="str">
        <f>IF(VLOOKUP(V175,βοηθητικό!$J$2:$N$354,3,FALSE)="","",VLOOKUP(V175,βοηθητικό!$J$2:$N$354,3,FALSE))</f>
        <v>_</v>
      </c>
      <c r="X175" s="44"/>
      <c r="Y175" s="5" t="s">
        <v>16</v>
      </c>
      <c r="Z175" s="46" t="str">
        <f>IF(VLOOKUP(Y175,βοηθητικό!$J$2:$N$354,3,FALSE)="","",VLOOKUP(Y175,βοηθητικό!$J$2:$N$354,3,FALSE))</f>
        <v>_</v>
      </c>
      <c r="AA175" s="47"/>
      <c r="AB175" s="4" t="s">
        <v>16</v>
      </c>
      <c r="AC175" s="43" t="str">
        <f>IF(VLOOKUP(AB175,βοηθητικό!$J$2:$N$354,3,FALSE)="","",VLOOKUP(AB175,βοηθητικό!$J$2:$N$354,3,FALSE))</f>
        <v>_</v>
      </c>
      <c r="AD175" s="44"/>
      <c r="AE175" s="5" t="s">
        <v>16</v>
      </c>
      <c r="AF175" s="46" t="str">
        <f>IF(VLOOKUP(AE175,βοηθητικό!$J$2:$N$354,3,FALSE)="","",VLOOKUP(AE175,βοηθητικό!$J$2:$N$354,3,FALSE))</f>
        <v>_</v>
      </c>
      <c r="AG175" s="47"/>
      <c r="AH175" s="4" t="s">
        <v>16</v>
      </c>
      <c r="AI175" s="43" t="str">
        <f>IF(VLOOKUP(AH175,βοηθητικό!$J$2:$N$354,3,FALSE)="","",VLOOKUP(AH175,βοηθητικό!$J$2:$N$354,3,FALSE))</f>
        <v>_</v>
      </c>
      <c r="AJ175" s="44"/>
      <c r="AK175" s="5" t="s">
        <v>16</v>
      </c>
      <c r="AL175" s="46" t="str">
        <f>IF(VLOOKUP(AK175,βοηθητικό!$J$2:$N$354,3,FALSE)="","",VLOOKUP(AK175,βοηθητικό!$J$2:$N$354,3,FALSE))</f>
        <v>_</v>
      </c>
      <c r="AM175" s="47"/>
      <c r="AN175" s="4" t="s">
        <v>16</v>
      </c>
      <c r="AO175" s="43" t="str">
        <f>IF(VLOOKUP(AN175,βοηθητικό!$J$2:$N$354,3,FALSE)="","",VLOOKUP(AN175,βοηθητικό!$J$2:$N$354,3,FALSE))</f>
        <v>_</v>
      </c>
      <c r="AP175" s="44"/>
      <c r="AQ175" s="5" t="s">
        <v>16</v>
      </c>
      <c r="AR175" s="46" t="str">
        <f>IF(VLOOKUP(AQ175,βοηθητικό!$J$2:$N$354,3,FALSE)="","",VLOOKUP(AQ175,βοηθητικό!$J$2:$N$354,3,FALSE))</f>
        <v>_</v>
      </c>
      <c r="AS175" s="47"/>
      <c r="AT175" s="4" t="s">
        <v>16</v>
      </c>
      <c r="AU175" s="43" t="str">
        <f>IF(VLOOKUP(AT175,βοηθητικό!$J$2:$N$354,3,FALSE)="","",VLOOKUP(AT175,βοηθητικό!$J$2:$N$354,3,FALSE))</f>
        <v>_</v>
      </c>
      <c r="AV175" s="44"/>
      <c r="AW175" s="5" t="s">
        <v>16</v>
      </c>
      <c r="AX175" s="46" t="str">
        <f>IF(VLOOKUP(AW175,βοηθητικό!$J$2:$N$354,3,FALSE)="","",VLOOKUP(AW175,βοηθητικό!$J$2:$N$354,3,FALSE))</f>
        <v>_</v>
      </c>
      <c r="AY175" s="47"/>
      <c r="AZ175" s="4" t="s">
        <v>16</v>
      </c>
      <c r="BA175" s="43" t="str">
        <f>IF(VLOOKUP(AZ175,βοηθητικό!$J$2:$N$354,3,FALSE)="","",VLOOKUP(AZ175,βοηθητικό!$J$2:$N$354,3,FALSE))</f>
        <v>_</v>
      </c>
      <c r="BB175" s="44"/>
      <c r="BC175" s="45" t="s">
        <v>16</v>
      </c>
      <c r="BD175" s="46" t="str">
        <f>IF(VLOOKUP(BC175,βοηθητικό!$J$2:$N$354,3,FALSE)="","",VLOOKUP(BC175,βοηθητικό!$J$2:$N$354,3,FALSE))</f>
        <v>_</v>
      </c>
      <c r="BE175" s="47"/>
      <c r="BF175" s="42" t="s">
        <v>16</v>
      </c>
      <c r="BG175" s="43" t="str">
        <f>IF(VLOOKUP(BF175,βοηθητικό!$J$2:$N$354,3,FALSE)="","",VLOOKUP(BF175,βοηθητικό!$J$2:$N$354,3,FALSE))</f>
        <v>_</v>
      </c>
      <c r="BH175" s="44"/>
      <c r="BI175" s="45" t="s">
        <v>16</v>
      </c>
      <c r="BJ175" s="46" t="str">
        <f>IF(VLOOKUP(BI175,βοηθητικό!$J$2:$N$354,3,FALSE)="","",VLOOKUP(BI175,βοηθητικό!$J$2:$N$354,3,FALSE))</f>
        <v>_</v>
      </c>
      <c r="BK175" s="47"/>
      <c r="BL175" s="42" t="s">
        <v>16</v>
      </c>
      <c r="BM175" s="43" t="str">
        <f>IF(VLOOKUP(BL175,βοηθητικό!$J$2:$N$354,3,FALSE)="","",VLOOKUP(BL175,βοηθητικό!$J$2:$N$354,3,FALSE))</f>
        <v>_</v>
      </c>
      <c r="BN175" s="44"/>
      <c r="BO175" s="45" t="s">
        <v>16</v>
      </c>
      <c r="BP175" s="46" t="str">
        <f>IF(VLOOKUP(BO175,βοηθητικό!$J$2:$N$354,3,FALSE)="","",VLOOKUP(BO175,βοηθητικό!$J$2:$N$354,3,FALSE))</f>
        <v>_</v>
      </c>
      <c r="BQ175" s="47"/>
      <c r="BR175" s="42" t="s">
        <v>16</v>
      </c>
      <c r="BS175" s="43" t="str">
        <f>IF(VLOOKUP(BR175,βοηθητικό!$J$2:$N$354,3,FALSE)="","",VLOOKUP(BR175,βοηθητικό!$J$2:$N$354,3,FALSE))</f>
        <v>_</v>
      </c>
      <c r="BT175" s="44"/>
      <c r="BU175" s="45" t="s">
        <v>16</v>
      </c>
      <c r="BV175" s="46" t="str">
        <f>IF(VLOOKUP(BU175,βοηθητικό!$J$2:$N$354,3,FALSE)="","",VLOOKUP(BU175,βοηθητικό!$J$2:$N$354,3,FALSE))</f>
        <v>_</v>
      </c>
      <c r="BW175" s="47"/>
      <c r="BX175" s="42" t="s">
        <v>16</v>
      </c>
      <c r="BY175" s="43" t="str">
        <f>IF(VLOOKUP(BX175,βοηθητικό!$J$2:$N$354,3,FALSE)="","",VLOOKUP(BX175,βοηθητικό!$J$2:$N$354,3,FALSE))</f>
        <v>_</v>
      </c>
      <c r="BZ175" s="44"/>
      <c r="CA175" s="45" t="s">
        <v>16</v>
      </c>
      <c r="CB175" s="46" t="str">
        <f>IF(VLOOKUP(CA175,βοηθητικό!$J$2:$N$354,3,FALSE)="","",VLOOKUP(CA175,βοηθητικό!$J$2:$N$354,3,FALSE))</f>
        <v>_</v>
      </c>
      <c r="CC175" s="47"/>
      <c r="CD175" s="42" t="s">
        <v>16</v>
      </c>
      <c r="CE175" s="43" t="str">
        <f>IF(VLOOKUP(CD175,βοηθητικό!$J$2:$N$354,3,FALSE)="","",VLOOKUP(CD175,βοηθητικό!$J$2:$N$354,3,FALSE))</f>
        <v>_</v>
      </c>
      <c r="CF175" s="44"/>
      <c r="CG175" s="45" t="s">
        <v>16</v>
      </c>
      <c r="CH175" s="46" t="str">
        <f>IF(VLOOKUP(CG175,βοηθητικό!$J$2:$N$354,3,FALSE)="","",VLOOKUP(CG175,βοηθητικό!$J$2:$N$354,3,FALSE))</f>
        <v>_</v>
      </c>
      <c r="CI175" s="47"/>
      <c r="CJ175" s="42" t="s">
        <v>16</v>
      </c>
      <c r="CK175" s="43" t="str">
        <f>IF(VLOOKUP(CJ175,βοηθητικό!$J$2:$N$354,3,FALSE)="","",VLOOKUP(CJ175,βοηθητικό!$J$2:$N$354,3,FALSE))</f>
        <v>_</v>
      </c>
      <c r="CL175" s="44"/>
      <c r="CM175" s="45" t="s">
        <v>16</v>
      </c>
      <c r="CN175" s="46" t="str">
        <f>IF(VLOOKUP(CM175,βοηθητικό!$J$2:$N$354,3,FALSE)="","",VLOOKUP(CM175,βοηθητικό!$J$2:$N$354,3,FALSE))</f>
        <v>_</v>
      </c>
      <c r="CO175" s="47"/>
      <c r="CP175" s="42" t="s">
        <v>16</v>
      </c>
      <c r="CQ175" s="43" t="str">
        <f>IF(VLOOKUP(CP175,βοηθητικό!$J$2:$N$354,3,FALSE)="","",VLOOKUP(CP175,βοηθητικό!$J$2:$N$354,3,FALSE))</f>
        <v>_</v>
      </c>
      <c r="CR175" s="44"/>
      <c r="CS175" s="45" t="s">
        <v>16</v>
      </c>
      <c r="CT175" s="46" t="str">
        <f>IF(VLOOKUP(CS175,βοηθητικό!$J$2:$N$354,3,FALSE)="","",VLOOKUP(CS175,βοηθητικό!$J$2:$N$354,3,FALSE))</f>
        <v>_</v>
      </c>
      <c r="CU175" s="47"/>
    </row>
    <row r="176" spans="1:99" x14ac:dyDescent="0.25">
      <c r="A176" s="37">
        <f>--SUBTOTAL(3,$B$3:B175)</f>
        <v>173</v>
      </c>
      <c r="B176" s="68">
        <v>45166</v>
      </c>
      <c r="C176" s="69">
        <v>45172</v>
      </c>
      <c r="D176" s="58" t="s">
        <v>92</v>
      </c>
      <c r="E176" s="38" t="s">
        <v>16</v>
      </c>
      <c r="F176" s="38" t="s">
        <v>16</v>
      </c>
      <c r="G176" s="39" t="str">
        <f t="shared" si="8"/>
        <v>__</v>
      </c>
      <c r="H176" s="40" t="str">
        <f t="shared" si="9"/>
        <v>FALSE</v>
      </c>
      <c r="I176" s="41">
        <f t="shared" si="10"/>
        <v>0</v>
      </c>
      <c r="J176" s="4" t="s">
        <v>16</v>
      </c>
      <c r="K176" s="43" t="str">
        <f>IF(VLOOKUP(J176,βοηθητικό!$J$2:$N$354,3,FALSE)="","",VLOOKUP(J176,βοηθητικό!$J$2:$N$354,3,FALSE))</f>
        <v>_</v>
      </c>
      <c r="L176" s="44"/>
      <c r="M176" s="5" t="s">
        <v>16</v>
      </c>
      <c r="N176" s="46" t="str">
        <f>IF(VLOOKUP(M176,βοηθητικό!$J$2:$N$354,3,FALSE)="","",VLOOKUP(M176,βοηθητικό!$J$2:$N$354,3,FALSE))</f>
        <v>_</v>
      </c>
      <c r="O176" s="47"/>
      <c r="P176" s="4" t="s">
        <v>16</v>
      </c>
      <c r="Q176" s="43" t="str">
        <f>IF(VLOOKUP(P176,βοηθητικό!$J$2:$N$354,3,FALSE)="","",VLOOKUP(P176,βοηθητικό!$J$2:$N$354,3,FALSE))</f>
        <v>_</v>
      </c>
      <c r="R176" s="44"/>
      <c r="S176" s="5" t="s">
        <v>16</v>
      </c>
      <c r="T176" s="46" t="str">
        <f>IF(VLOOKUP(S176,βοηθητικό!$J$2:$N$354,3,FALSE)="","",VLOOKUP(S176,βοηθητικό!$J$2:$N$354,3,FALSE))</f>
        <v>_</v>
      </c>
      <c r="U176" s="47"/>
      <c r="V176" s="4" t="s">
        <v>16</v>
      </c>
      <c r="W176" s="43" t="str">
        <f>IF(VLOOKUP(V176,βοηθητικό!$J$2:$N$354,3,FALSE)="","",VLOOKUP(V176,βοηθητικό!$J$2:$N$354,3,FALSE))</f>
        <v>_</v>
      </c>
      <c r="X176" s="44"/>
      <c r="Y176" s="5" t="s">
        <v>16</v>
      </c>
      <c r="Z176" s="46" t="str">
        <f>IF(VLOOKUP(Y176,βοηθητικό!$J$2:$N$354,3,FALSE)="","",VLOOKUP(Y176,βοηθητικό!$J$2:$N$354,3,FALSE))</f>
        <v>_</v>
      </c>
      <c r="AA176" s="47"/>
      <c r="AB176" s="4" t="s">
        <v>16</v>
      </c>
      <c r="AC176" s="43" t="str">
        <f>IF(VLOOKUP(AB176,βοηθητικό!$J$2:$N$354,3,FALSE)="","",VLOOKUP(AB176,βοηθητικό!$J$2:$N$354,3,FALSE))</f>
        <v>_</v>
      </c>
      <c r="AD176" s="44"/>
      <c r="AE176" s="5" t="s">
        <v>16</v>
      </c>
      <c r="AF176" s="46" t="str">
        <f>IF(VLOOKUP(AE176,βοηθητικό!$J$2:$N$354,3,FALSE)="","",VLOOKUP(AE176,βοηθητικό!$J$2:$N$354,3,FALSE))</f>
        <v>_</v>
      </c>
      <c r="AG176" s="47"/>
      <c r="AH176" s="4" t="s">
        <v>16</v>
      </c>
      <c r="AI176" s="43" t="str">
        <f>IF(VLOOKUP(AH176,βοηθητικό!$J$2:$N$354,3,FALSE)="","",VLOOKUP(AH176,βοηθητικό!$J$2:$N$354,3,FALSE))</f>
        <v>_</v>
      </c>
      <c r="AJ176" s="44"/>
      <c r="AK176" s="5" t="s">
        <v>16</v>
      </c>
      <c r="AL176" s="46" t="str">
        <f>IF(VLOOKUP(AK176,βοηθητικό!$J$2:$N$354,3,FALSE)="","",VLOOKUP(AK176,βοηθητικό!$J$2:$N$354,3,FALSE))</f>
        <v>_</v>
      </c>
      <c r="AM176" s="47"/>
      <c r="AN176" s="4" t="s">
        <v>16</v>
      </c>
      <c r="AO176" s="43" t="str">
        <f>IF(VLOOKUP(AN176,βοηθητικό!$J$2:$N$354,3,FALSE)="","",VLOOKUP(AN176,βοηθητικό!$J$2:$N$354,3,FALSE))</f>
        <v>_</v>
      </c>
      <c r="AP176" s="44"/>
      <c r="AQ176" s="5" t="s">
        <v>16</v>
      </c>
      <c r="AR176" s="46" t="str">
        <f>IF(VLOOKUP(AQ176,βοηθητικό!$J$2:$N$354,3,FALSE)="","",VLOOKUP(AQ176,βοηθητικό!$J$2:$N$354,3,FALSE))</f>
        <v>_</v>
      </c>
      <c r="AS176" s="47"/>
      <c r="AT176" s="4" t="s">
        <v>16</v>
      </c>
      <c r="AU176" s="43" t="str">
        <f>IF(VLOOKUP(AT176,βοηθητικό!$J$2:$N$354,3,FALSE)="","",VLOOKUP(AT176,βοηθητικό!$J$2:$N$354,3,FALSE))</f>
        <v>_</v>
      </c>
      <c r="AV176" s="44"/>
      <c r="AW176" s="5" t="s">
        <v>16</v>
      </c>
      <c r="AX176" s="46" t="str">
        <f>IF(VLOOKUP(AW176,βοηθητικό!$J$2:$N$354,3,FALSE)="","",VLOOKUP(AW176,βοηθητικό!$J$2:$N$354,3,FALSE))</f>
        <v>_</v>
      </c>
      <c r="AY176" s="47"/>
      <c r="AZ176" s="4" t="s">
        <v>16</v>
      </c>
      <c r="BA176" s="43" t="str">
        <f>IF(VLOOKUP(AZ176,βοηθητικό!$J$2:$N$354,3,FALSE)="","",VLOOKUP(AZ176,βοηθητικό!$J$2:$N$354,3,FALSE))</f>
        <v>_</v>
      </c>
      <c r="BB176" s="44"/>
      <c r="BC176" s="45" t="s">
        <v>16</v>
      </c>
      <c r="BD176" s="46" t="str">
        <f>IF(VLOOKUP(BC176,βοηθητικό!$J$2:$N$354,3,FALSE)="","",VLOOKUP(BC176,βοηθητικό!$J$2:$N$354,3,FALSE))</f>
        <v>_</v>
      </c>
      <c r="BE176" s="47"/>
      <c r="BF176" s="42" t="s">
        <v>16</v>
      </c>
      <c r="BG176" s="43" t="str">
        <f>IF(VLOOKUP(BF176,βοηθητικό!$J$2:$N$354,3,FALSE)="","",VLOOKUP(BF176,βοηθητικό!$J$2:$N$354,3,FALSE))</f>
        <v>_</v>
      </c>
      <c r="BH176" s="44"/>
      <c r="BI176" s="45" t="s">
        <v>16</v>
      </c>
      <c r="BJ176" s="46" t="str">
        <f>IF(VLOOKUP(BI176,βοηθητικό!$J$2:$N$354,3,FALSE)="","",VLOOKUP(BI176,βοηθητικό!$J$2:$N$354,3,FALSE))</f>
        <v>_</v>
      </c>
      <c r="BK176" s="47"/>
      <c r="BL176" s="42" t="s">
        <v>16</v>
      </c>
      <c r="BM176" s="43" t="str">
        <f>IF(VLOOKUP(BL176,βοηθητικό!$J$2:$N$354,3,FALSE)="","",VLOOKUP(BL176,βοηθητικό!$J$2:$N$354,3,FALSE))</f>
        <v>_</v>
      </c>
      <c r="BN176" s="44"/>
      <c r="BO176" s="45" t="s">
        <v>16</v>
      </c>
      <c r="BP176" s="46" t="str">
        <f>IF(VLOOKUP(BO176,βοηθητικό!$J$2:$N$354,3,FALSE)="","",VLOOKUP(BO176,βοηθητικό!$J$2:$N$354,3,FALSE))</f>
        <v>_</v>
      </c>
      <c r="BQ176" s="47"/>
      <c r="BR176" s="42" t="s">
        <v>16</v>
      </c>
      <c r="BS176" s="43" t="str">
        <f>IF(VLOOKUP(BR176,βοηθητικό!$J$2:$N$354,3,FALSE)="","",VLOOKUP(BR176,βοηθητικό!$J$2:$N$354,3,FALSE))</f>
        <v>_</v>
      </c>
      <c r="BT176" s="44"/>
      <c r="BU176" s="45" t="s">
        <v>16</v>
      </c>
      <c r="BV176" s="46" t="str">
        <f>IF(VLOOKUP(BU176,βοηθητικό!$J$2:$N$354,3,FALSE)="","",VLOOKUP(BU176,βοηθητικό!$J$2:$N$354,3,FALSE))</f>
        <v>_</v>
      </c>
      <c r="BW176" s="47"/>
      <c r="BX176" s="42" t="s">
        <v>16</v>
      </c>
      <c r="BY176" s="43" t="str">
        <f>IF(VLOOKUP(BX176,βοηθητικό!$J$2:$N$354,3,FALSE)="","",VLOOKUP(BX176,βοηθητικό!$J$2:$N$354,3,FALSE))</f>
        <v>_</v>
      </c>
      <c r="BZ176" s="44"/>
      <c r="CA176" s="45" t="s">
        <v>16</v>
      </c>
      <c r="CB176" s="46" t="str">
        <f>IF(VLOOKUP(CA176,βοηθητικό!$J$2:$N$354,3,FALSE)="","",VLOOKUP(CA176,βοηθητικό!$J$2:$N$354,3,FALSE))</f>
        <v>_</v>
      </c>
      <c r="CC176" s="47"/>
      <c r="CD176" s="42" t="s">
        <v>16</v>
      </c>
      <c r="CE176" s="43" t="str">
        <f>IF(VLOOKUP(CD176,βοηθητικό!$J$2:$N$354,3,FALSE)="","",VLOOKUP(CD176,βοηθητικό!$J$2:$N$354,3,FALSE))</f>
        <v>_</v>
      </c>
      <c r="CF176" s="44"/>
      <c r="CG176" s="45" t="s">
        <v>16</v>
      </c>
      <c r="CH176" s="46" t="str">
        <f>IF(VLOOKUP(CG176,βοηθητικό!$J$2:$N$354,3,FALSE)="","",VLOOKUP(CG176,βοηθητικό!$J$2:$N$354,3,FALSE))</f>
        <v>_</v>
      </c>
      <c r="CI176" s="47"/>
      <c r="CJ176" s="42" t="s">
        <v>16</v>
      </c>
      <c r="CK176" s="43" t="str">
        <f>IF(VLOOKUP(CJ176,βοηθητικό!$J$2:$N$354,3,FALSE)="","",VLOOKUP(CJ176,βοηθητικό!$J$2:$N$354,3,FALSE))</f>
        <v>_</v>
      </c>
      <c r="CL176" s="44"/>
      <c r="CM176" s="45" t="s">
        <v>16</v>
      </c>
      <c r="CN176" s="46" t="str">
        <f>IF(VLOOKUP(CM176,βοηθητικό!$J$2:$N$354,3,FALSE)="","",VLOOKUP(CM176,βοηθητικό!$J$2:$N$354,3,FALSE))</f>
        <v>_</v>
      </c>
      <c r="CO176" s="47"/>
      <c r="CP176" s="42" t="s">
        <v>16</v>
      </c>
      <c r="CQ176" s="43" t="str">
        <f>IF(VLOOKUP(CP176,βοηθητικό!$J$2:$N$354,3,FALSE)="","",VLOOKUP(CP176,βοηθητικό!$J$2:$N$354,3,FALSE))</f>
        <v>_</v>
      </c>
      <c r="CR176" s="44"/>
      <c r="CS176" s="45" t="s">
        <v>16</v>
      </c>
      <c r="CT176" s="46" t="str">
        <f>IF(VLOOKUP(CS176,βοηθητικό!$J$2:$N$354,3,FALSE)="","",VLOOKUP(CS176,βοηθητικό!$J$2:$N$354,3,FALSE))</f>
        <v>_</v>
      </c>
      <c r="CU176" s="47"/>
    </row>
    <row r="177" spans="1:99" x14ac:dyDescent="0.25">
      <c r="A177" s="37">
        <f>--SUBTOTAL(3,$B$3:B176)</f>
        <v>174</v>
      </c>
      <c r="B177" s="68">
        <v>45173</v>
      </c>
      <c r="C177" s="69">
        <v>45179</v>
      </c>
      <c r="D177" s="58" t="s">
        <v>92</v>
      </c>
      <c r="E177" s="38" t="s">
        <v>16</v>
      </c>
      <c r="F177" s="38" t="s">
        <v>16</v>
      </c>
      <c r="G177" s="39" t="str">
        <f t="shared" si="8"/>
        <v>__</v>
      </c>
      <c r="H177" s="40" t="str">
        <f t="shared" si="9"/>
        <v>FALSE</v>
      </c>
      <c r="I177" s="41">
        <f t="shared" si="10"/>
        <v>11</v>
      </c>
      <c r="J177" s="4" t="s">
        <v>1009</v>
      </c>
      <c r="K177" s="43">
        <f>IF(VLOOKUP(J177,βοηθητικό!$J$2:$N$354,3,FALSE)="","",VLOOKUP(J177,βοηθητικό!$J$2:$N$354,3,FALSE))</f>
        <v>6937084222</v>
      </c>
      <c r="L177" s="44"/>
      <c r="M177" s="5" t="s">
        <v>1012</v>
      </c>
      <c r="N177" s="46">
        <f>IF(VLOOKUP(M177,βοηθητικό!$J$2:$N$354,3,FALSE)="","",VLOOKUP(M177,βοηθητικό!$J$2:$N$354,3,FALSE))</f>
        <v>6972072589</v>
      </c>
      <c r="O177" s="47"/>
      <c r="P177" s="4" t="s">
        <v>1026</v>
      </c>
      <c r="Q177" s="43">
        <f>IF(VLOOKUP(P177,βοηθητικό!$J$2:$N$354,3,FALSE)="","",VLOOKUP(P177,βοηθητικό!$J$2:$N$354,3,FALSE))</f>
        <v>6972915741</v>
      </c>
      <c r="R177" s="44"/>
      <c r="S177" s="5" t="s">
        <v>1065</v>
      </c>
      <c r="T177" s="46">
        <f>IF(VLOOKUP(S177,βοηθητικό!$J$2:$N$354,3,FALSE)="","",VLOOKUP(S177,βοηθητικό!$J$2:$N$354,3,FALSE))</f>
        <v>6977224085</v>
      </c>
      <c r="U177" s="47"/>
      <c r="V177" s="4" t="s">
        <v>999</v>
      </c>
      <c r="W177" s="43" t="str">
        <f>IF(VLOOKUP(V177,βοηθητικό!$J$2:$N$354,3,FALSE)="","",VLOOKUP(V177,βοηθητικό!$J$2:$N$354,3,FALSE))</f>
        <v>6974030990</v>
      </c>
      <c r="X177" s="44"/>
      <c r="Y177" s="5" t="s">
        <v>1048</v>
      </c>
      <c r="Z177" s="46" t="str">
        <f>IF(VLOOKUP(Y177,βοηθητικό!$J$2:$N$354,3,FALSE)="","",VLOOKUP(Y177,βοηθητικό!$J$2:$N$354,3,FALSE))</f>
        <v>6981800426</v>
      </c>
      <c r="AA177" s="47"/>
      <c r="AB177" s="4" t="s">
        <v>1072</v>
      </c>
      <c r="AC177" s="43">
        <f>IF(VLOOKUP(AB177,βοηθητικό!$J$2:$N$354,3,FALSE)="","",VLOOKUP(AB177,βοηθητικό!$J$2:$N$354,3,FALSE))</f>
        <v>6945853478</v>
      </c>
      <c r="AD177" s="44"/>
      <c r="AE177" s="5" t="s">
        <v>1062</v>
      </c>
      <c r="AF177" s="46">
        <f>IF(VLOOKUP(AE177,βοηθητικό!$J$2:$N$354,3,FALSE)="","",VLOOKUP(AE177,βοηθητικό!$J$2:$N$354,3,FALSE))</f>
        <v>6977010272</v>
      </c>
      <c r="AG177" s="47"/>
      <c r="AH177" s="4" t="s">
        <v>1053</v>
      </c>
      <c r="AI177" s="43" t="str">
        <f>IF(VLOOKUP(AH177,βοηθητικό!$J$2:$N$354,3,FALSE)="","",VLOOKUP(AH177,βοηθητικό!$J$2:$N$354,3,FALSE))</f>
        <v>6983652275</v>
      </c>
      <c r="AJ177" s="44"/>
      <c r="AK177" s="5" t="s">
        <v>935</v>
      </c>
      <c r="AL177" s="46" t="str">
        <f>IF(VLOOKUP(AK177,βοηθητικό!$J$2:$N$354,3,FALSE)="","",VLOOKUP(AK177,βοηθητικό!$J$2:$N$354,3,FALSE))</f>
        <v>6934671271</v>
      </c>
      <c r="AM177" s="47"/>
      <c r="AN177" s="4" t="s">
        <v>1033</v>
      </c>
      <c r="AO177" s="43">
        <f>IF(VLOOKUP(AN177,βοηθητικό!$J$2:$N$354,3,FALSE)="","",VLOOKUP(AN177,βοηθητικό!$J$2:$N$354,3,FALSE))</f>
        <v>6974114328</v>
      </c>
      <c r="AP177" s="44"/>
      <c r="AQ177" s="5" t="s">
        <v>16</v>
      </c>
      <c r="AR177" s="46" t="str">
        <f>IF(VLOOKUP(AQ177,βοηθητικό!$J$2:$N$354,3,FALSE)="","",VLOOKUP(AQ177,βοηθητικό!$J$2:$N$354,3,FALSE))</f>
        <v>_</v>
      </c>
      <c r="AS177" s="47"/>
      <c r="AT177" s="4" t="s">
        <v>16</v>
      </c>
      <c r="AU177" s="43" t="str">
        <f>IF(VLOOKUP(AT177,βοηθητικό!$J$2:$N$354,3,FALSE)="","",VLOOKUP(AT177,βοηθητικό!$J$2:$N$354,3,FALSE))</f>
        <v>_</v>
      </c>
      <c r="AV177" s="44"/>
      <c r="AW177" s="5" t="s">
        <v>16</v>
      </c>
      <c r="AX177" s="46" t="str">
        <f>IF(VLOOKUP(AW177,βοηθητικό!$J$2:$N$354,3,FALSE)="","",VLOOKUP(AW177,βοηθητικό!$J$2:$N$354,3,FALSE))</f>
        <v>_</v>
      </c>
      <c r="AY177" s="47"/>
      <c r="AZ177" s="4" t="s">
        <v>16</v>
      </c>
      <c r="BA177" s="43" t="str">
        <f>IF(VLOOKUP(AZ177,βοηθητικό!$J$2:$N$354,3,FALSE)="","",VLOOKUP(AZ177,βοηθητικό!$J$2:$N$354,3,FALSE))</f>
        <v>_</v>
      </c>
      <c r="BB177" s="44"/>
      <c r="BC177" s="45" t="s">
        <v>16</v>
      </c>
      <c r="BD177" s="46" t="str">
        <f>IF(VLOOKUP(BC177,βοηθητικό!$J$2:$N$354,3,FALSE)="","",VLOOKUP(BC177,βοηθητικό!$J$2:$N$354,3,FALSE))</f>
        <v>_</v>
      </c>
      <c r="BE177" s="47"/>
      <c r="BF177" s="42" t="s">
        <v>16</v>
      </c>
      <c r="BG177" s="43" t="str">
        <f>IF(VLOOKUP(BF177,βοηθητικό!$J$2:$N$354,3,FALSE)="","",VLOOKUP(BF177,βοηθητικό!$J$2:$N$354,3,FALSE))</f>
        <v>_</v>
      </c>
      <c r="BH177" s="44"/>
      <c r="BI177" s="45" t="s">
        <v>16</v>
      </c>
      <c r="BJ177" s="46" t="str">
        <f>IF(VLOOKUP(BI177,βοηθητικό!$J$2:$N$354,3,FALSE)="","",VLOOKUP(BI177,βοηθητικό!$J$2:$N$354,3,FALSE))</f>
        <v>_</v>
      </c>
      <c r="BK177" s="47"/>
      <c r="BL177" s="42" t="s">
        <v>16</v>
      </c>
      <c r="BM177" s="43" t="str">
        <f>IF(VLOOKUP(BL177,βοηθητικό!$J$2:$N$354,3,FALSE)="","",VLOOKUP(BL177,βοηθητικό!$J$2:$N$354,3,FALSE))</f>
        <v>_</v>
      </c>
      <c r="BN177" s="44"/>
      <c r="BO177" s="45" t="s">
        <v>16</v>
      </c>
      <c r="BP177" s="46" t="str">
        <f>IF(VLOOKUP(BO177,βοηθητικό!$J$2:$N$354,3,FALSE)="","",VLOOKUP(BO177,βοηθητικό!$J$2:$N$354,3,FALSE))</f>
        <v>_</v>
      </c>
      <c r="BQ177" s="47"/>
      <c r="BR177" s="42" t="s">
        <v>16</v>
      </c>
      <c r="BS177" s="43" t="str">
        <f>IF(VLOOKUP(BR177,βοηθητικό!$J$2:$N$354,3,FALSE)="","",VLOOKUP(BR177,βοηθητικό!$J$2:$N$354,3,FALSE))</f>
        <v>_</v>
      </c>
      <c r="BT177" s="44"/>
      <c r="BU177" s="45" t="s">
        <v>16</v>
      </c>
      <c r="BV177" s="46" t="str">
        <f>IF(VLOOKUP(BU177,βοηθητικό!$J$2:$N$354,3,FALSE)="","",VLOOKUP(BU177,βοηθητικό!$J$2:$N$354,3,FALSE))</f>
        <v>_</v>
      </c>
      <c r="BW177" s="47"/>
      <c r="BX177" s="42" t="s">
        <v>16</v>
      </c>
      <c r="BY177" s="43" t="str">
        <f>IF(VLOOKUP(BX177,βοηθητικό!$J$2:$N$354,3,FALSE)="","",VLOOKUP(BX177,βοηθητικό!$J$2:$N$354,3,FALSE))</f>
        <v>_</v>
      </c>
      <c r="BZ177" s="44"/>
      <c r="CA177" s="45" t="s">
        <v>16</v>
      </c>
      <c r="CB177" s="46" t="str">
        <f>IF(VLOOKUP(CA177,βοηθητικό!$J$2:$N$354,3,FALSE)="","",VLOOKUP(CA177,βοηθητικό!$J$2:$N$354,3,FALSE))</f>
        <v>_</v>
      </c>
      <c r="CC177" s="47"/>
      <c r="CD177" s="42" t="s">
        <v>16</v>
      </c>
      <c r="CE177" s="43" t="str">
        <f>IF(VLOOKUP(CD177,βοηθητικό!$J$2:$N$354,3,FALSE)="","",VLOOKUP(CD177,βοηθητικό!$J$2:$N$354,3,FALSE))</f>
        <v>_</v>
      </c>
      <c r="CF177" s="44"/>
      <c r="CG177" s="45" t="s">
        <v>16</v>
      </c>
      <c r="CH177" s="46" t="str">
        <f>IF(VLOOKUP(CG177,βοηθητικό!$J$2:$N$354,3,FALSE)="","",VLOOKUP(CG177,βοηθητικό!$J$2:$N$354,3,FALSE))</f>
        <v>_</v>
      </c>
      <c r="CI177" s="47"/>
      <c r="CJ177" s="42" t="s">
        <v>16</v>
      </c>
      <c r="CK177" s="43" t="str">
        <f>IF(VLOOKUP(CJ177,βοηθητικό!$J$2:$N$354,3,FALSE)="","",VLOOKUP(CJ177,βοηθητικό!$J$2:$N$354,3,FALSE))</f>
        <v>_</v>
      </c>
      <c r="CL177" s="44"/>
      <c r="CM177" s="45" t="s">
        <v>16</v>
      </c>
      <c r="CN177" s="46" t="str">
        <f>IF(VLOOKUP(CM177,βοηθητικό!$J$2:$N$354,3,FALSE)="","",VLOOKUP(CM177,βοηθητικό!$J$2:$N$354,3,FALSE))</f>
        <v>_</v>
      </c>
      <c r="CO177" s="47"/>
      <c r="CP177" s="42" t="s">
        <v>16</v>
      </c>
      <c r="CQ177" s="43" t="str">
        <f>IF(VLOOKUP(CP177,βοηθητικό!$J$2:$N$354,3,FALSE)="","",VLOOKUP(CP177,βοηθητικό!$J$2:$N$354,3,FALSE))</f>
        <v>_</v>
      </c>
      <c r="CR177" s="44"/>
      <c r="CS177" s="45" t="s">
        <v>16</v>
      </c>
      <c r="CT177" s="46" t="str">
        <f>IF(VLOOKUP(CS177,βοηθητικό!$J$2:$N$354,3,FALSE)="","",VLOOKUP(CS177,βοηθητικό!$J$2:$N$354,3,FALSE))</f>
        <v>_</v>
      </c>
      <c r="CU177" s="47"/>
    </row>
    <row r="178" spans="1:99" x14ac:dyDescent="0.25">
      <c r="A178" s="37">
        <f>--SUBTOTAL(3,$B$3:B177)</f>
        <v>175</v>
      </c>
      <c r="B178" s="68">
        <v>45180</v>
      </c>
      <c r="C178" s="69">
        <v>45186</v>
      </c>
      <c r="D178" s="58" t="s">
        <v>92</v>
      </c>
      <c r="E178" s="38" t="s">
        <v>16</v>
      </c>
      <c r="F178" s="38" t="s">
        <v>16</v>
      </c>
      <c r="G178" s="39" t="str">
        <f t="shared" si="8"/>
        <v>__</v>
      </c>
      <c r="H178" s="40" t="str">
        <f t="shared" si="9"/>
        <v>FALSE</v>
      </c>
      <c r="I178" s="41">
        <f t="shared" si="10"/>
        <v>11</v>
      </c>
      <c r="J178" s="4" t="s">
        <v>1016</v>
      </c>
      <c r="K178" s="43">
        <f>IF(VLOOKUP(J178,βοηθητικό!$J$2:$N$354,3,FALSE)="","",VLOOKUP(J178,βοηθητικό!$J$2:$N$354,3,FALSE))</f>
        <v>6932900686</v>
      </c>
      <c r="L178" s="44"/>
      <c r="M178" s="5" t="s">
        <v>957</v>
      </c>
      <c r="N178" s="46" t="str">
        <f>IF(VLOOKUP(M178,βοηθητικό!$J$2:$N$354,3,FALSE)="","",VLOOKUP(M178,βοηθητικό!$J$2:$N$354,3,FALSE))</f>
        <v>6980042920</v>
      </c>
      <c r="O178" s="47"/>
      <c r="P178" s="4" t="s">
        <v>965</v>
      </c>
      <c r="Q178" s="43" t="str">
        <f>IF(VLOOKUP(P178,βοηθητικό!$J$2:$N$354,3,FALSE)="","",VLOOKUP(P178,βοηθητικό!$J$2:$N$354,3,FALSE))</f>
        <v>6942039538</v>
      </c>
      <c r="R178" s="44"/>
      <c r="S178" s="5" t="s">
        <v>1031</v>
      </c>
      <c r="T178" s="46">
        <f>IF(VLOOKUP(S178,βοηθητικό!$J$2:$N$354,3,FALSE)="","",VLOOKUP(S178,βοηθητικό!$J$2:$N$354,3,FALSE))</f>
        <v>6936970927</v>
      </c>
      <c r="U178" s="47"/>
      <c r="V178" s="4" t="s">
        <v>985</v>
      </c>
      <c r="W178" s="43">
        <f>IF(VLOOKUP(V178,βοηθητικό!$J$2:$N$354,3,FALSE)="","",VLOOKUP(V178,βοηθητικό!$J$2:$N$354,3,FALSE))</f>
        <v>6978333756</v>
      </c>
      <c r="X178" s="44"/>
      <c r="Y178" s="5" t="s">
        <v>974</v>
      </c>
      <c r="Z178" s="46" t="str">
        <f>IF(VLOOKUP(Y178,βοηθητικό!$J$2:$N$354,3,FALSE)="","",VLOOKUP(Y178,βοηθητικό!$J$2:$N$354,3,FALSE))</f>
        <v>6940552610</v>
      </c>
      <c r="AA178" s="47"/>
      <c r="AB178" s="4" t="s">
        <v>1051</v>
      </c>
      <c r="AC178" s="43">
        <f>IF(VLOOKUP(AB178,βοηθητικό!$J$2:$N$354,3,FALSE)="","",VLOOKUP(AB178,βοηθητικό!$J$2:$N$354,3,FALSE))</f>
        <v>6948358027</v>
      </c>
      <c r="AD178" s="44"/>
      <c r="AE178" s="5" t="s">
        <v>1059</v>
      </c>
      <c r="AF178" s="46" t="str">
        <f>IF(VLOOKUP(AE178,βοηθητικό!$J$2:$N$354,3,FALSE)="","",VLOOKUP(AE178,βοηθητικό!$J$2:$N$354,3,FALSE))</f>
        <v>6984685650</v>
      </c>
      <c r="AG178" s="47"/>
      <c r="AH178" s="4" t="s">
        <v>598</v>
      </c>
      <c r="AI178" s="43" t="str">
        <f>IF(VLOOKUP(AH178,βοηθητικό!$J$2:$N$354,3,FALSE)="","",VLOOKUP(AH178,βοηθητικό!$J$2:$N$354,3,FALSE))</f>
        <v>6944715209</v>
      </c>
      <c r="AJ178" s="44"/>
      <c r="AK178" s="5" t="s">
        <v>1019</v>
      </c>
      <c r="AL178" s="46">
        <f>IF(VLOOKUP(AK178,βοηθητικό!$J$2:$N$354,3,FALSE)="","",VLOOKUP(AK178,βοηθητικό!$J$2:$N$354,3,FALSE))</f>
        <v>6999854936</v>
      </c>
      <c r="AM178" s="47"/>
      <c r="AN178" s="4" t="s">
        <v>1087</v>
      </c>
      <c r="AO178" s="43" t="str">
        <f>IF(VLOOKUP(AN178,βοηθητικό!$J$2:$N$354,3,FALSE)="","",VLOOKUP(AN178,βοηθητικό!$J$2:$N$354,3,FALSE))</f>
        <v>6938246522</v>
      </c>
      <c r="AP178" s="44"/>
      <c r="AQ178" s="5" t="s">
        <v>16</v>
      </c>
      <c r="AR178" s="46" t="str">
        <f>IF(VLOOKUP(AQ178,βοηθητικό!$J$2:$N$354,3,FALSE)="","",VLOOKUP(AQ178,βοηθητικό!$J$2:$N$354,3,FALSE))</f>
        <v>_</v>
      </c>
      <c r="AS178" s="47"/>
      <c r="AT178" s="4" t="s">
        <v>16</v>
      </c>
      <c r="AU178" s="43" t="str">
        <f>IF(VLOOKUP(AT178,βοηθητικό!$J$2:$N$354,3,FALSE)="","",VLOOKUP(AT178,βοηθητικό!$J$2:$N$354,3,FALSE))</f>
        <v>_</v>
      </c>
      <c r="AV178" s="44"/>
      <c r="AW178" s="5" t="s">
        <v>16</v>
      </c>
      <c r="AX178" s="46" t="str">
        <f>IF(VLOOKUP(AW178,βοηθητικό!$J$2:$N$354,3,FALSE)="","",VLOOKUP(AW178,βοηθητικό!$J$2:$N$354,3,FALSE))</f>
        <v>_</v>
      </c>
      <c r="AY178" s="47"/>
      <c r="AZ178" s="4" t="s">
        <v>16</v>
      </c>
      <c r="BA178" s="43" t="str">
        <f>IF(VLOOKUP(AZ178,βοηθητικό!$J$2:$N$354,3,FALSE)="","",VLOOKUP(AZ178,βοηθητικό!$J$2:$N$354,3,FALSE))</f>
        <v>_</v>
      </c>
      <c r="BB178" s="44"/>
      <c r="BC178" s="45" t="s">
        <v>16</v>
      </c>
      <c r="BD178" s="46" t="str">
        <f>IF(VLOOKUP(BC178,βοηθητικό!$J$2:$N$354,3,FALSE)="","",VLOOKUP(BC178,βοηθητικό!$J$2:$N$354,3,FALSE))</f>
        <v>_</v>
      </c>
      <c r="BE178" s="47"/>
      <c r="BF178" s="42" t="s">
        <v>16</v>
      </c>
      <c r="BG178" s="43" t="str">
        <f>IF(VLOOKUP(BF178,βοηθητικό!$J$2:$N$354,3,FALSE)="","",VLOOKUP(BF178,βοηθητικό!$J$2:$N$354,3,FALSE))</f>
        <v>_</v>
      </c>
      <c r="BH178" s="44"/>
      <c r="BI178" s="45" t="s">
        <v>16</v>
      </c>
      <c r="BJ178" s="46" t="str">
        <f>IF(VLOOKUP(BI178,βοηθητικό!$J$2:$N$354,3,FALSE)="","",VLOOKUP(BI178,βοηθητικό!$J$2:$N$354,3,FALSE))</f>
        <v>_</v>
      </c>
      <c r="BK178" s="47"/>
      <c r="BL178" s="42" t="s">
        <v>16</v>
      </c>
      <c r="BM178" s="43" t="str">
        <f>IF(VLOOKUP(BL178,βοηθητικό!$J$2:$N$354,3,FALSE)="","",VLOOKUP(BL178,βοηθητικό!$J$2:$N$354,3,FALSE))</f>
        <v>_</v>
      </c>
      <c r="BN178" s="44"/>
      <c r="BO178" s="45" t="s">
        <v>16</v>
      </c>
      <c r="BP178" s="46" t="str">
        <f>IF(VLOOKUP(BO178,βοηθητικό!$J$2:$N$354,3,FALSE)="","",VLOOKUP(BO178,βοηθητικό!$J$2:$N$354,3,FALSE))</f>
        <v>_</v>
      </c>
      <c r="BQ178" s="47"/>
      <c r="BR178" s="42" t="s">
        <v>16</v>
      </c>
      <c r="BS178" s="43" t="str">
        <f>IF(VLOOKUP(BR178,βοηθητικό!$J$2:$N$354,3,FALSE)="","",VLOOKUP(BR178,βοηθητικό!$J$2:$N$354,3,FALSE))</f>
        <v>_</v>
      </c>
      <c r="BT178" s="44"/>
      <c r="BU178" s="45" t="s">
        <v>16</v>
      </c>
      <c r="BV178" s="46" t="str">
        <f>IF(VLOOKUP(BU178,βοηθητικό!$J$2:$N$354,3,FALSE)="","",VLOOKUP(BU178,βοηθητικό!$J$2:$N$354,3,FALSE))</f>
        <v>_</v>
      </c>
      <c r="BW178" s="47"/>
      <c r="BX178" s="42" t="s">
        <v>16</v>
      </c>
      <c r="BY178" s="43" t="str">
        <f>IF(VLOOKUP(BX178,βοηθητικό!$J$2:$N$354,3,FALSE)="","",VLOOKUP(BX178,βοηθητικό!$J$2:$N$354,3,FALSE))</f>
        <v>_</v>
      </c>
      <c r="BZ178" s="44"/>
      <c r="CA178" s="45" t="s">
        <v>16</v>
      </c>
      <c r="CB178" s="46" t="str">
        <f>IF(VLOOKUP(CA178,βοηθητικό!$J$2:$N$354,3,FALSE)="","",VLOOKUP(CA178,βοηθητικό!$J$2:$N$354,3,FALSE))</f>
        <v>_</v>
      </c>
      <c r="CC178" s="47"/>
      <c r="CD178" s="42" t="s">
        <v>16</v>
      </c>
      <c r="CE178" s="43" t="str">
        <f>IF(VLOOKUP(CD178,βοηθητικό!$J$2:$N$354,3,FALSE)="","",VLOOKUP(CD178,βοηθητικό!$J$2:$N$354,3,FALSE))</f>
        <v>_</v>
      </c>
      <c r="CF178" s="44"/>
      <c r="CG178" s="45" t="s">
        <v>16</v>
      </c>
      <c r="CH178" s="46" t="str">
        <f>IF(VLOOKUP(CG178,βοηθητικό!$J$2:$N$354,3,FALSE)="","",VLOOKUP(CG178,βοηθητικό!$J$2:$N$354,3,FALSE))</f>
        <v>_</v>
      </c>
      <c r="CI178" s="47"/>
      <c r="CJ178" s="42" t="s">
        <v>16</v>
      </c>
      <c r="CK178" s="43" t="str">
        <f>IF(VLOOKUP(CJ178,βοηθητικό!$J$2:$N$354,3,FALSE)="","",VLOOKUP(CJ178,βοηθητικό!$J$2:$N$354,3,FALSE))</f>
        <v>_</v>
      </c>
      <c r="CL178" s="44"/>
      <c r="CM178" s="45" t="s">
        <v>16</v>
      </c>
      <c r="CN178" s="46" t="str">
        <f>IF(VLOOKUP(CM178,βοηθητικό!$J$2:$N$354,3,FALSE)="","",VLOOKUP(CM178,βοηθητικό!$J$2:$N$354,3,FALSE))</f>
        <v>_</v>
      </c>
      <c r="CO178" s="47"/>
      <c r="CP178" s="42" t="s">
        <v>16</v>
      </c>
      <c r="CQ178" s="43" t="str">
        <f>IF(VLOOKUP(CP178,βοηθητικό!$J$2:$N$354,3,FALSE)="","",VLOOKUP(CP178,βοηθητικό!$J$2:$N$354,3,FALSE))</f>
        <v>_</v>
      </c>
      <c r="CR178" s="44"/>
      <c r="CS178" s="45" t="s">
        <v>16</v>
      </c>
      <c r="CT178" s="46" t="str">
        <f>IF(VLOOKUP(CS178,βοηθητικό!$J$2:$N$354,3,FALSE)="","",VLOOKUP(CS178,βοηθητικό!$J$2:$N$354,3,FALSE))</f>
        <v>_</v>
      </c>
      <c r="CU178" s="47"/>
    </row>
    <row r="179" spans="1:99" x14ac:dyDescent="0.25">
      <c r="A179" s="37">
        <f>--SUBTOTAL(3,$B$3:B178)</f>
        <v>176</v>
      </c>
      <c r="B179" s="68">
        <v>45187</v>
      </c>
      <c r="C179" s="69">
        <v>45193</v>
      </c>
      <c r="D179" s="58" t="s">
        <v>92</v>
      </c>
      <c r="E179" s="38" t="s">
        <v>16</v>
      </c>
      <c r="F179" s="38" t="s">
        <v>16</v>
      </c>
      <c r="G179" s="39" t="str">
        <f t="shared" si="8"/>
        <v>__</v>
      </c>
      <c r="H179" s="40" t="str">
        <f t="shared" si="9"/>
        <v>FALSE</v>
      </c>
      <c r="I179" s="41">
        <f t="shared" si="10"/>
        <v>12</v>
      </c>
      <c r="J179" s="4" t="s">
        <v>1041</v>
      </c>
      <c r="K179" s="43">
        <f>IF(VLOOKUP(J179,βοηθητικό!$J$2:$N$354,3,FALSE)="","",VLOOKUP(J179,βοηθητικό!$J$2:$N$354,3,FALSE))</f>
        <v>6977628647</v>
      </c>
      <c r="L179" s="44"/>
      <c r="M179" s="5" t="s">
        <v>1074</v>
      </c>
      <c r="N179" s="46">
        <f>IF(VLOOKUP(M179,βοηθητικό!$J$2:$N$354,3,FALSE)="","",VLOOKUP(M179,βοηθητικό!$J$2:$N$354,3,FALSE))</f>
        <v>6948254859</v>
      </c>
      <c r="O179" s="47"/>
      <c r="P179" s="4" t="s">
        <v>995</v>
      </c>
      <c r="Q179" s="43" t="str">
        <f>IF(VLOOKUP(P179,βοηθητικό!$J$2:$N$354,3,FALSE)="","",VLOOKUP(P179,βοηθητικό!$J$2:$N$354,3,FALSE))</f>
        <v>6972386367</v>
      </c>
      <c r="R179" s="44"/>
      <c r="S179" s="5" t="s">
        <v>1080</v>
      </c>
      <c r="T179" s="46" t="str">
        <f>IF(VLOOKUP(S179,βοηθητικό!$J$2:$N$354,3,FALSE)="","",VLOOKUP(S179,βοηθητικό!$J$2:$N$354,3,FALSE))</f>
        <v>6987312059</v>
      </c>
      <c r="U179" s="47"/>
      <c r="V179" s="4" t="s">
        <v>923</v>
      </c>
      <c r="W179" s="43" t="str">
        <f>IF(VLOOKUP(V179,βοηθητικό!$J$2:$N$354,3,FALSE)="","",VLOOKUP(V179,βοηθητικό!$J$2:$N$354,3,FALSE))</f>
        <v>6970117758</v>
      </c>
      <c r="X179" s="44"/>
      <c r="Y179" s="5" t="s">
        <v>1004</v>
      </c>
      <c r="Z179" s="46" t="str">
        <f>IF(VLOOKUP(Y179,βοηθητικό!$J$2:$N$354,3,FALSE)="","",VLOOKUP(Y179,βοηθητικό!$J$2:$N$354,3,FALSE))</f>
        <v>6974057776</v>
      </c>
      <c r="AA179" s="47"/>
      <c r="AB179" s="4" t="s">
        <v>1044</v>
      </c>
      <c r="AC179" s="43" t="str">
        <f>IF(VLOOKUP(AB179,βοηθητικό!$J$2:$N$354,3,FALSE)="","",VLOOKUP(AB179,βοηθητικό!$J$2:$N$354,3,FALSE))</f>
        <v>6982201343</v>
      </c>
      <c r="AD179" s="44"/>
      <c r="AE179" s="5" t="s">
        <v>1068</v>
      </c>
      <c r="AF179" s="46" t="str">
        <f>IF(VLOOKUP(AE179,βοηθητικό!$J$2:$N$354,3,FALSE)="","",VLOOKUP(AE179,βοηθητικό!$J$2:$N$354,3,FALSE))</f>
        <v>6973806827</v>
      </c>
      <c r="AG179" s="47"/>
      <c r="AH179" s="4" t="s">
        <v>987</v>
      </c>
      <c r="AI179" s="43" t="str">
        <f>IF(VLOOKUP(AH179,βοηθητικό!$J$2:$N$354,3,FALSE)="","",VLOOKUP(AH179,βοηθητικό!$J$2:$N$354,3,FALSE))</f>
        <v>6984118511</v>
      </c>
      <c r="AJ179" s="44"/>
      <c r="AK179" s="5" t="s">
        <v>992</v>
      </c>
      <c r="AL179" s="46">
        <f>IF(VLOOKUP(AK179,βοηθητικό!$J$2:$N$354,3,FALSE)="","",VLOOKUP(AK179,βοηθητικό!$J$2:$N$354,3,FALSE))</f>
        <v>6978993984</v>
      </c>
      <c r="AM179" s="47"/>
      <c r="AN179" s="4" t="s">
        <v>944</v>
      </c>
      <c r="AO179" s="43" t="str">
        <f>IF(VLOOKUP(AN179,βοηθητικό!$J$2:$N$354,3,FALSE)="","",VLOOKUP(AN179,βοηθητικό!$J$2:$N$354,3,FALSE))</f>
        <v>6943440301</v>
      </c>
      <c r="AP179" s="44"/>
      <c r="AQ179" s="5" t="s">
        <v>1084</v>
      </c>
      <c r="AR179" s="46">
        <f>IF(VLOOKUP(AQ179,βοηθητικό!$J$2:$N$354,3,FALSE)="","",VLOOKUP(AQ179,βοηθητικό!$J$2:$N$354,3,FALSE))</f>
        <v>6942419580</v>
      </c>
      <c r="AS179" s="47"/>
      <c r="AT179" s="4" t="s">
        <v>16</v>
      </c>
      <c r="AU179" s="43" t="str">
        <f>IF(VLOOKUP(AT179,βοηθητικό!$J$2:$N$354,3,FALSE)="","",VLOOKUP(AT179,βοηθητικό!$J$2:$N$354,3,FALSE))</f>
        <v>_</v>
      </c>
      <c r="AV179" s="44"/>
      <c r="AW179" s="5" t="s">
        <v>16</v>
      </c>
      <c r="AX179" s="46" t="str">
        <f>IF(VLOOKUP(AW179,βοηθητικό!$J$2:$N$354,3,FALSE)="","",VLOOKUP(AW179,βοηθητικό!$J$2:$N$354,3,FALSE))</f>
        <v>_</v>
      </c>
      <c r="AY179" s="47"/>
      <c r="AZ179" s="4" t="s">
        <v>16</v>
      </c>
      <c r="BA179" s="43" t="str">
        <f>IF(VLOOKUP(AZ179,βοηθητικό!$J$2:$N$354,3,FALSE)="","",VLOOKUP(AZ179,βοηθητικό!$J$2:$N$354,3,FALSE))</f>
        <v>_</v>
      </c>
      <c r="BB179" s="44"/>
      <c r="BC179" s="45" t="s">
        <v>16</v>
      </c>
      <c r="BD179" s="46" t="str">
        <f>IF(VLOOKUP(BC179,βοηθητικό!$J$2:$N$354,3,FALSE)="","",VLOOKUP(BC179,βοηθητικό!$J$2:$N$354,3,FALSE))</f>
        <v>_</v>
      </c>
      <c r="BE179" s="47"/>
      <c r="BF179" s="42" t="s">
        <v>16</v>
      </c>
      <c r="BG179" s="43" t="str">
        <f>IF(VLOOKUP(BF179,βοηθητικό!$J$2:$N$354,3,FALSE)="","",VLOOKUP(BF179,βοηθητικό!$J$2:$N$354,3,FALSE))</f>
        <v>_</v>
      </c>
      <c r="BH179" s="44"/>
      <c r="BI179" s="45" t="s">
        <v>16</v>
      </c>
      <c r="BJ179" s="46" t="str">
        <f>IF(VLOOKUP(BI179,βοηθητικό!$J$2:$N$354,3,FALSE)="","",VLOOKUP(BI179,βοηθητικό!$J$2:$N$354,3,FALSE))</f>
        <v>_</v>
      </c>
      <c r="BK179" s="47"/>
      <c r="BL179" s="42" t="s">
        <v>16</v>
      </c>
      <c r="BM179" s="43" t="str">
        <f>IF(VLOOKUP(BL179,βοηθητικό!$J$2:$N$354,3,FALSE)="","",VLOOKUP(BL179,βοηθητικό!$J$2:$N$354,3,FALSE))</f>
        <v>_</v>
      </c>
      <c r="BN179" s="44"/>
      <c r="BO179" s="45" t="s">
        <v>16</v>
      </c>
      <c r="BP179" s="46" t="str">
        <f>IF(VLOOKUP(BO179,βοηθητικό!$J$2:$N$354,3,FALSE)="","",VLOOKUP(BO179,βοηθητικό!$J$2:$N$354,3,FALSE))</f>
        <v>_</v>
      </c>
      <c r="BQ179" s="47"/>
      <c r="BR179" s="42" t="s">
        <v>16</v>
      </c>
      <c r="BS179" s="43" t="str">
        <f>IF(VLOOKUP(BR179,βοηθητικό!$J$2:$N$354,3,FALSE)="","",VLOOKUP(BR179,βοηθητικό!$J$2:$N$354,3,FALSE))</f>
        <v>_</v>
      </c>
      <c r="BT179" s="44"/>
      <c r="BU179" s="45" t="s">
        <v>16</v>
      </c>
      <c r="BV179" s="46" t="str">
        <f>IF(VLOOKUP(BU179,βοηθητικό!$J$2:$N$354,3,FALSE)="","",VLOOKUP(BU179,βοηθητικό!$J$2:$N$354,3,FALSE))</f>
        <v>_</v>
      </c>
      <c r="BW179" s="47"/>
      <c r="BX179" s="42" t="s">
        <v>16</v>
      </c>
      <c r="BY179" s="43" t="str">
        <f>IF(VLOOKUP(BX179,βοηθητικό!$J$2:$N$354,3,FALSE)="","",VLOOKUP(BX179,βοηθητικό!$J$2:$N$354,3,FALSE))</f>
        <v>_</v>
      </c>
      <c r="BZ179" s="44"/>
      <c r="CA179" s="45" t="s">
        <v>16</v>
      </c>
      <c r="CB179" s="46" t="str">
        <f>IF(VLOOKUP(CA179,βοηθητικό!$J$2:$N$354,3,FALSE)="","",VLOOKUP(CA179,βοηθητικό!$J$2:$N$354,3,FALSE))</f>
        <v>_</v>
      </c>
      <c r="CC179" s="47"/>
      <c r="CD179" s="42" t="s">
        <v>16</v>
      </c>
      <c r="CE179" s="43" t="str">
        <f>IF(VLOOKUP(CD179,βοηθητικό!$J$2:$N$354,3,FALSE)="","",VLOOKUP(CD179,βοηθητικό!$J$2:$N$354,3,FALSE))</f>
        <v>_</v>
      </c>
      <c r="CF179" s="44"/>
      <c r="CG179" s="45" t="s">
        <v>16</v>
      </c>
      <c r="CH179" s="46" t="str">
        <f>IF(VLOOKUP(CG179,βοηθητικό!$J$2:$N$354,3,FALSE)="","",VLOOKUP(CG179,βοηθητικό!$J$2:$N$354,3,FALSE))</f>
        <v>_</v>
      </c>
      <c r="CI179" s="47"/>
      <c r="CJ179" s="42" t="s">
        <v>16</v>
      </c>
      <c r="CK179" s="43" t="str">
        <f>IF(VLOOKUP(CJ179,βοηθητικό!$J$2:$N$354,3,FALSE)="","",VLOOKUP(CJ179,βοηθητικό!$J$2:$N$354,3,FALSE))</f>
        <v>_</v>
      </c>
      <c r="CL179" s="44"/>
      <c r="CM179" s="45" t="s">
        <v>16</v>
      </c>
      <c r="CN179" s="46" t="str">
        <f>IF(VLOOKUP(CM179,βοηθητικό!$J$2:$N$354,3,FALSE)="","",VLOOKUP(CM179,βοηθητικό!$J$2:$N$354,3,FALSE))</f>
        <v>_</v>
      </c>
      <c r="CO179" s="47"/>
      <c r="CP179" s="42" t="s">
        <v>16</v>
      </c>
      <c r="CQ179" s="43" t="str">
        <f>IF(VLOOKUP(CP179,βοηθητικό!$J$2:$N$354,3,FALSE)="","",VLOOKUP(CP179,βοηθητικό!$J$2:$N$354,3,FALSE))</f>
        <v>_</v>
      </c>
      <c r="CR179" s="44"/>
      <c r="CS179" s="45" t="s">
        <v>16</v>
      </c>
      <c r="CT179" s="46" t="str">
        <f>IF(VLOOKUP(CS179,βοηθητικό!$J$2:$N$354,3,FALSE)="","",VLOOKUP(CS179,βοηθητικό!$J$2:$N$354,3,FALSE))</f>
        <v>_</v>
      </c>
      <c r="CU179" s="47"/>
    </row>
    <row r="180" spans="1:99" x14ac:dyDescent="0.25">
      <c r="A180" s="37">
        <f>--SUBTOTAL(3,$B$3:B179)</f>
        <v>177</v>
      </c>
      <c r="B180" s="68">
        <v>45194</v>
      </c>
      <c r="C180" s="69">
        <v>45200</v>
      </c>
      <c r="D180" s="58" t="s">
        <v>92</v>
      </c>
      <c r="E180" s="38" t="s">
        <v>16</v>
      </c>
      <c r="F180" s="38" t="s">
        <v>16</v>
      </c>
      <c r="G180" s="39" t="str">
        <f t="shared" si="8"/>
        <v>__</v>
      </c>
      <c r="H180" s="40" t="str">
        <f t="shared" si="9"/>
        <v>FALSE</v>
      </c>
      <c r="I180" s="41">
        <f t="shared" si="10"/>
        <v>11</v>
      </c>
      <c r="J180" s="4" t="s">
        <v>969</v>
      </c>
      <c r="K180" s="43" t="str">
        <f>IF(VLOOKUP(J180,βοηθητικό!$J$2:$N$354,3,FALSE)="","",VLOOKUP(J180,βοηθητικό!$J$2:$N$354,3,FALSE))</f>
        <v>6972773725</v>
      </c>
      <c r="L180" s="44"/>
      <c r="M180" s="5" t="s">
        <v>948</v>
      </c>
      <c r="N180" s="46">
        <f>IF(VLOOKUP(M180,βοηθητικό!$J$2:$N$354,3,FALSE)="","",VLOOKUP(M180,βοηθητικό!$J$2:$N$354,3,FALSE))</f>
        <v>6972084481</v>
      </c>
      <c r="O180" s="47"/>
      <c r="P180" s="4" t="s">
        <v>978</v>
      </c>
      <c r="Q180" s="43">
        <f>IF(VLOOKUP(P180,βοηθητικό!$J$2:$N$354,3,FALSE)="","",VLOOKUP(P180,βοηθητικό!$J$2:$N$354,3,FALSE))</f>
        <v>6976058607</v>
      </c>
      <c r="R180" s="44"/>
      <c r="S180" s="5" t="s">
        <v>1029</v>
      </c>
      <c r="T180" s="46">
        <f>IF(VLOOKUP(S180,βοηθητικό!$J$2:$N$354,3,FALSE)="","",VLOOKUP(S180,βοηθητικό!$J$2:$N$354,3,FALSE))</f>
        <v>6972210917</v>
      </c>
      <c r="U180" s="47"/>
      <c r="V180" s="4" t="s">
        <v>927</v>
      </c>
      <c r="W180" s="43">
        <f>IF(VLOOKUP(V180,βοηθητικό!$J$2:$N$354,3,FALSE)="","",VLOOKUP(V180,βοηθητικό!$J$2:$N$354,3,FALSE))</f>
        <v>6974929090</v>
      </c>
      <c r="X180" s="44"/>
      <c r="Y180" s="5" t="s">
        <v>954</v>
      </c>
      <c r="Z180" s="46">
        <f>IF(VLOOKUP(Y180,βοηθητικό!$J$2:$N$354,3,FALSE)="","",VLOOKUP(Y180,βοηθητικό!$J$2:$N$354,3,FALSE))</f>
        <v>6944377718</v>
      </c>
      <c r="AA180" s="47"/>
      <c r="AB180" s="4" t="s">
        <v>939</v>
      </c>
      <c r="AC180" s="43" t="str">
        <f>IF(VLOOKUP(AB180,βοηθητικό!$J$2:$N$354,3,FALSE)="","",VLOOKUP(AB180,βοηθητικό!$J$2:$N$354,3,FALSE))</f>
        <v>6932393388</v>
      </c>
      <c r="AD180" s="44"/>
      <c r="AE180" s="5" t="s">
        <v>1056</v>
      </c>
      <c r="AF180" s="46">
        <f>IF(VLOOKUP(AE180,βοηθητικό!$J$2:$N$354,3,FALSE)="","",VLOOKUP(AE180,βοηθητικό!$J$2:$N$354,3,FALSE))</f>
        <v>6972015813</v>
      </c>
      <c r="AG180" s="47"/>
      <c r="AH180" s="4" t="s">
        <v>1077</v>
      </c>
      <c r="AI180" s="43" t="str">
        <f>IF(VLOOKUP(AH180,βοηθητικό!$J$2:$N$354,3,FALSE)="","",VLOOKUP(AH180,βοηθητικό!$J$2:$N$354,3,FALSE))</f>
        <v>6946474745</v>
      </c>
      <c r="AJ180" s="44"/>
      <c r="AK180" s="5" t="s">
        <v>981</v>
      </c>
      <c r="AL180" s="46" t="str">
        <f>IF(VLOOKUP(AK180,βοηθητικό!$J$2:$N$354,3,FALSE)="","",VLOOKUP(AK180,βοηθητικό!$J$2:$N$354,3,FALSE))</f>
        <v>6978853783</v>
      </c>
      <c r="AM180" s="47"/>
      <c r="AN180" s="4" t="s">
        <v>931</v>
      </c>
      <c r="AO180" s="43" t="str">
        <f>IF(VLOOKUP(AN180,βοηθητικό!$J$2:$N$354,3,FALSE)="","",VLOOKUP(AN180,βοηθητικό!$J$2:$N$354,3,FALSE))</f>
        <v>6973333473</v>
      </c>
      <c r="AP180" s="44"/>
      <c r="AQ180" s="5" t="s">
        <v>16</v>
      </c>
      <c r="AR180" s="46" t="str">
        <f>IF(VLOOKUP(AQ180,βοηθητικό!$J$2:$N$354,3,FALSE)="","",VLOOKUP(AQ180,βοηθητικό!$J$2:$N$354,3,FALSE))</f>
        <v>_</v>
      </c>
      <c r="AS180" s="47"/>
      <c r="AT180" s="4" t="s">
        <v>16</v>
      </c>
      <c r="AU180" s="43" t="str">
        <f>IF(VLOOKUP(AT180,βοηθητικό!$J$2:$N$354,3,FALSE)="","",VLOOKUP(AT180,βοηθητικό!$J$2:$N$354,3,FALSE))</f>
        <v>_</v>
      </c>
      <c r="AV180" s="44"/>
      <c r="AW180" s="5" t="s">
        <v>16</v>
      </c>
      <c r="AX180" s="46" t="str">
        <f>IF(VLOOKUP(AW180,βοηθητικό!$J$2:$N$354,3,FALSE)="","",VLOOKUP(AW180,βοηθητικό!$J$2:$N$354,3,FALSE))</f>
        <v>_</v>
      </c>
      <c r="AY180" s="47"/>
      <c r="AZ180" s="4" t="s">
        <v>16</v>
      </c>
      <c r="BA180" s="43" t="str">
        <f>IF(VLOOKUP(AZ180,βοηθητικό!$J$2:$N$354,3,FALSE)="","",VLOOKUP(AZ180,βοηθητικό!$J$2:$N$354,3,FALSE))</f>
        <v>_</v>
      </c>
      <c r="BB180" s="44"/>
      <c r="BC180" s="45" t="s">
        <v>16</v>
      </c>
      <c r="BD180" s="46" t="str">
        <f>IF(VLOOKUP(BC180,βοηθητικό!$J$2:$N$354,3,FALSE)="","",VLOOKUP(BC180,βοηθητικό!$J$2:$N$354,3,FALSE))</f>
        <v>_</v>
      </c>
      <c r="BE180" s="47"/>
      <c r="BF180" s="42" t="s">
        <v>16</v>
      </c>
      <c r="BG180" s="43" t="str">
        <f>IF(VLOOKUP(BF180,βοηθητικό!$J$2:$N$354,3,FALSE)="","",VLOOKUP(BF180,βοηθητικό!$J$2:$N$354,3,FALSE))</f>
        <v>_</v>
      </c>
      <c r="BH180" s="44"/>
      <c r="BI180" s="45" t="s">
        <v>16</v>
      </c>
      <c r="BJ180" s="46" t="str">
        <f>IF(VLOOKUP(BI180,βοηθητικό!$J$2:$N$354,3,FALSE)="","",VLOOKUP(BI180,βοηθητικό!$J$2:$N$354,3,FALSE))</f>
        <v>_</v>
      </c>
      <c r="BK180" s="47"/>
      <c r="BL180" s="42" t="s">
        <v>16</v>
      </c>
      <c r="BM180" s="43" t="str">
        <f>IF(VLOOKUP(BL180,βοηθητικό!$J$2:$N$354,3,FALSE)="","",VLOOKUP(BL180,βοηθητικό!$J$2:$N$354,3,FALSE))</f>
        <v>_</v>
      </c>
      <c r="BN180" s="44"/>
      <c r="BO180" s="45" t="s">
        <v>16</v>
      </c>
      <c r="BP180" s="46" t="str">
        <f>IF(VLOOKUP(BO180,βοηθητικό!$J$2:$N$354,3,FALSE)="","",VLOOKUP(BO180,βοηθητικό!$J$2:$N$354,3,FALSE))</f>
        <v>_</v>
      </c>
      <c r="BQ180" s="47"/>
      <c r="BR180" s="42" t="s">
        <v>16</v>
      </c>
      <c r="BS180" s="43" t="str">
        <f>IF(VLOOKUP(BR180,βοηθητικό!$J$2:$N$354,3,FALSE)="","",VLOOKUP(BR180,βοηθητικό!$J$2:$N$354,3,FALSE))</f>
        <v>_</v>
      </c>
      <c r="BT180" s="44"/>
      <c r="BU180" s="45" t="s">
        <v>16</v>
      </c>
      <c r="BV180" s="46" t="str">
        <f>IF(VLOOKUP(BU180,βοηθητικό!$J$2:$N$354,3,FALSE)="","",VLOOKUP(BU180,βοηθητικό!$J$2:$N$354,3,FALSE))</f>
        <v>_</v>
      </c>
      <c r="BW180" s="47"/>
      <c r="BX180" s="42" t="s">
        <v>16</v>
      </c>
      <c r="BY180" s="43" t="str">
        <f>IF(VLOOKUP(BX180,βοηθητικό!$J$2:$N$354,3,FALSE)="","",VLOOKUP(BX180,βοηθητικό!$J$2:$N$354,3,FALSE))</f>
        <v>_</v>
      </c>
      <c r="BZ180" s="44"/>
      <c r="CA180" s="45" t="s">
        <v>16</v>
      </c>
      <c r="CB180" s="46" t="str">
        <f>IF(VLOOKUP(CA180,βοηθητικό!$J$2:$N$354,3,FALSE)="","",VLOOKUP(CA180,βοηθητικό!$J$2:$N$354,3,FALSE))</f>
        <v>_</v>
      </c>
      <c r="CC180" s="47"/>
      <c r="CD180" s="42" t="s">
        <v>16</v>
      </c>
      <c r="CE180" s="43" t="str">
        <f>IF(VLOOKUP(CD180,βοηθητικό!$J$2:$N$354,3,FALSE)="","",VLOOKUP(CD180,βοηθητικό!$J$2:$N$354,3,FALSE))</f>
        <v>_</v>
      </c>
      <c r="CF180" s="44"/>
      <c r="CG180" s="45" t="s">
        <v>16</v>
      </c>
      <c r="CH180" s="46" t="str">
        <f>IF(VLOOKUP(CG180,βοηθητικό!$J$2:$N$354,3,FALSE)="","",VLOOKUP(CG180,βοηθητικό!$J$2:$N$354,3,FALSE))</f>
        <v>_</v>
      </c>
      <c r="CI180" s="47"/>
      <c r="CJ180" s="42" t="s">
        <v>16</v>
      </c>
      <c r="CK180" s="43" t="str">
        <f>IF(VLOOKUP(CJ180,βοηθητικό!$J$2:$N$354,3,FALSE)="","",VLOOKUP(CJ180,βοηθητικό!$J$2:$N$354,3,FALSE))</f>
        <v>_</v>
      </c>
      <c r="CL180" s="44"/>
      <c r="CM180" s="45" t="s">
        <v>16</v>
      </c>
      <c r="CN180" s="46" t="str">
        <f>IF(VLOOKUP(CM180,βοηθητικό!$J$2:$N$354,3,FALSE)="","",VLOOKUP(CM180,βοηθητικό!$J$2:$N$354,3,FALSE))</f>
        <v>_</v>
      </c>
      <c r="CO180" s="47"/>
      <c r="CP180" s="42" t="s">
        <v>16</v>
      </c>
      <c r="CQ180" s="43" t="str">
        <f>IF(VLOOKUP(CP180,βοηθητικό!$J$2:$N$354,3,FALSE)="","",VLOOKUP(CP180,βοηθητικό!$J$2:$N$354,3,FALSE))</f>
        <v>_</v>
      </c>
      <c r="CR180" s="44"/>
      <c r="CS180" s="45" t="s">
        <v>16</v>
      </c>
      <c r="CT180" s="46" t="str">
        <f>IF(VLOOKUP(CS180,βοηθητικό!$J$2:$N$354,3,FALSE)="","",VLOOKUP(CS180,βοηθητικό!$J$2:$N$354,3,FALSE))</f>
        <v>_</v>
      </c>
      <c r="CU180" s="47"/>
    </row>
    <row r="181" spans="1:99" x14ac:dyDescent="0.25">
      <c r="A181" s="37">
        <f>--SUBTOTAL(3,$B$3:B180)</f>
        <v>178</v>
      </c>
      <c r="B181" s="68">
        <v>45166</v>
      </c>
      <c r="C181" s="69">
        <v>45172</v>
      </c>
      <c r="D181" s="57" t="s">
        <v>100</v>
      </c>
      <c r="E181" s="38" t="s">
        <v>16</v>
      </c>
      <c r="F181" s="38" t="s">
        <v>16</v>
      </c>
      <c r="G181" s="39" t="str">
        <f t="shared" si="8"/>
        <v>__</v>
      </c>
      <c r="H181" s="40" t="str">
        <f t="shared" si="9"/>
        <v>FALSE</v>
      </c>
      <c r="I181" s="41">
        <f t="shared" si="10"/>
        <v>7</v>
      </c>
      <c r="J181" s="4" t="s">
        <v>1128</v>
      </c>
      <c r="K181" s="43">
        <f>IF(VLOOKUP(J181,βοηθητικό!$J$2:$N$354,3,FALSE)="","",VLOOKUP(J181,βοηθητικό!$J$2:$N$354,3,FALSE))</f>
        <v>6944208681</v>
      </c>
      <c r="L181" s="44"/>
      <c r="M181" s="5" t="s">
        <v>1131</v>
      </c>
      <c r="N181" s="46">
        <f>IF(VLOOKUP(M181,βοηθητικό!$J$2:$N$354,3,FALSE)="","",VLOOKUP(M181,βοηθητικό!$J$2:$N$354,3,FALSE))</f>
        <v>6942031589</v>
      </c>
      <c r="O181" s="47"/>
      <c r="P181" s="4" t="s">
        <v>1147</v>
      </c>
      <c r="Q181" s="43">
        <f>IF(VLOOKUP(P181,βοηθητικό!$J$2:$N$354,3,FALSE)="","",VLOOKUP(P181,βοηθητικό!$J$2:$N$354,3,FALSE))</f>
        <v>6970340744</v>
      </c>
      <c r="R181" s="44"/>
      <c r="S181" s="5" t="s">
        <v>1151</v>
      </c>
      <c r="T181" s="46">
        <f>IF(VLOOKUP(S181,βοηθητικό!$J$2:$N$354,3,FALSE)="","",VLOOKUP(S181,βοηθητικό!$J$2:$N$354,3,FALSE))</f>
        <v>6945581886</v>
      </c>
      <c r="U181" s="47"/>
      <c r="V181" s="4" t="s">
        <v>1154</v>
      </c>
      <c r="W181" s="43">
        <f>IF(VLOOKUP(V181,βοηθητικό!$J$2:$N$354,3,FALSE)="","",VLOOKUP(V181,βοηθητικό!$J$2:$N$354,3,FALSE))</f>
        <v>6946013959</v>
      </c>
      <c r="X181" s="44"/>
      <c r="Y181" s="5" t="s">
        <v>1175</v>
      </c>
      <c r="Z181" s="46">
        <f>IF(VLOOKUP(Y181,βοηθητικό!$J$2:$N$354,3,FALSE)="","",VLOOKUP(Y181,βοηθητικό!$J$2:$N$354,3,FALSE))</f>
        <v>6974156544</v>
      </c>
      <c r="AA181" s="47"/>
      <c r="AB181" s="4" t="s">
        <v>1181</v>
      </c>
      <c r="AC181" s="43">
        <f>IF(VLOOKUP(AB181,βοηθητικό!$J$2:$N$354,3,FALSE)="","",VLOOKUP(AB181,βοηθητικό!$J$2:$N$354,3,FALSE))</f>
        <v>6945816094</v>
      </c>
      <c r="AD181" s="44"/>
      <c r="AE181" s="5" t="s">
        <v>16</v>
      </c>
      <c r="AF181" s="46" t="str">
        <f>IF(VLOOKUP(AE181,βοηθητικό!$J$2:$N$354,3,FALSE)="","",VLOOKUP(AE181,βοηθητικό!$J$2:$N$354,3,FALSE))</f>
        <v>_</v>
      </c>
      <c r="AG181" s="47"/>
      <c r="AH181" s="4" t="s">
        <v>16</v>
      </c>
      <c r="AI181" s="43" t="str">
        <f>IF(VLOOKUP(AH181,βοηθητικό!$J$2:$N$354,3,FALSE)="","",VLOOKUP(AH181,βοηθητικό!$J$2:$N$354,3,FALSE))</f>
        <v>_</v>
      </c>
      <c r="AJ181" s="44"/>
      <c r="AK181" s="5" t="s">
        <v>16</v>
      </c>
      <c r="AL181" s="46" t="str">
        <f>IF(VLOOKUP(AK181,βοηθητικό!$J$2:$N$354,3,FALSE)="","",VLOOKUP(AK181,βοηθητικό!$J$2:$N$354,3,FALSE))</f>
        <v>_</v>
      </c>
      <c r="AM181" s="47"/>
      <c r="AN181" s="4" t="s">
        <v>16</v>
      </c>
      <c r="AO181" s="43" t="str">
        <f>IF(VLOOKUP(AN181,βοηθητικό!$J$2:$N$354,3,FALSE)="","",VLOOKUP(AN181,βοηθητικό!$J$2:$N$354,3,FALSE))</f>
        <v>_</v>
      </c>
      <c r="AP181" s="44"/>
      <c r="AQ181" s="5" t="s">
        <v>16</v>
      </c>
      <c r="AR181" s="46" t="str">
        <f>IF(VLOOKUP(AQ181,βοηθητικό!$J$2:$N$354,3,FALSE)="","",VLOOKUP(AQ181,βοηθητικό!$J$2:$N$354,3,FALSE))</f>
        <v>_</v>
      </c>
      <c r="AS181" s="47"/>
      <c r="AT181" s="4" t="s">
        <v>16</v>
      </c>
      <c r="AU181" s="43" t="str">
        <f>IF(VLOOKUP(AT181,βοηθητικό!$J$2:$N$354,3,FALSE)="","",VLOOKUP(AT181,βοηθητικό!$J$2:$N$354,3,FALSE))</f>
        <v>_</v>
      </c>
      <c r="AV181" s="44"/>
      <c r="AW181" s="5" t="s">
        <v>16</v>
      </c>
      <c r="AX181" s="46" t="str">
        <f>IF(VLOOKUP(AW181,βοηθητικό!$J$2:$N$354,3,FALSE)="","",VLOOKUP(AW181,βοηθητικό!$J$2:$N$354,3,FALSE))</f>
        <v>_</v>
      </c>
      <c r="AY181" s="47"/>
      <c r="AZ181" s="4" t="s">
        <v>16</v>
      </c>
      <c r="BA181" s="43" t="str">
        <f>IF(VLOOKUP(AZ181,βοηθητικό!$J$2:$N$354,3,FALSE)="","",VLOOKUP(AZ181,βοηθητικό!$J$2:$N$354,3,FALSE))</f>
        <v>_</v>
      </c>
      <c r="BB181" s="44"/>
      <c r="BC181" s="45" t="s">
        <v>16</v>
      </c>
      <c r="BD181" s="46" t="str">
        <f>IF(VLOOKUP(BC181,βοηθητικό!$J$2:$N$354,3,FALSE)="","",VLOOKUP(BC181,βοηθητικό!$J$2:$N$354,3,FALSE))</f>
        <v>_</v>
      </c>
      <c r="BE181" s="47"/>
      <c r="BF181" s="42" t="s">
        <v>16</v>
      </c>
      <c r="BG181" s="43" t="str">
        <f>IF(VLOOKUP(BF181,βοηθητικό!$J$2:$N$354,3,FALSE)="","",VLOOKUP(BF181,βοηθητικό!$J$2:$N$354,3,FALSE))</f>
        <v>_</v>
      </c>
      <c r="BH181" s="44"/>
      <c r="BI181" s="45" t="s">
        <v>16</v>
      </c>
      <c r="BJ181" s="46" t="str">
        <f>IF(VLOOKUP(BI181,βοηθητικό!$J$2:$N$354,3,FALSE)="","",VLOOKUP(BI181,βοηθητικό!$J$2:$N$354,3,FALSE))</f>
        <v>_</v>
      </c>
      <c r="BK181" s="47"/>
      <c r="BL181" s="42" t="s">
        <v>16</v>
      </c>
      <c r="BM181" s="43" t="str">
        <f>IF(VLOOKUP(BL181,βοηθητικό!$J$2:$N$354,3,FALSE)="","",VLOOKUP(BL181,βοηθητικό!$J$2:$N$354,3,FALSE))</f>
        <v>_</v>
      </c>
      <c r="BN181" s="44"/>
      <c r="BO181" s="45" t="s">
        <v>16</v>
      </c>
      <c r="BP181" s="46" t="str">
        <f>IF(VLOOKUP(BO181,βοηθητικό!$J$2:$N$354,3,FALSE)="","",VLOOKUP(BO181,βοηθητικό!$J$2:$N$354,3,FALSE))</f>
        <v>_</v>
      </c>
      <c r="BQ181" s="47"/>
      <c r="BR181" s="42" t="s">
        <v>16</v>
      </c>
      <c r="BS181" s="43" t="str">
        <f>IF(VLOOKUP(BR181,βοηθητικό!$J$2:$N$354,3,FALSE)="","",VLOOKUP(BR181,βοηθητικό!$J$2:$N$354,3,FALSE))</f>
        <v>_</v>
      </c>
      <c r="BT181" s="44"/>
      <c r="BU181" s="45" t="s">
        <v>16</v>
      </c>
      <c r="BV181" s="46" t="str">
        <f>IF(VLOOKUP(BU181,βοηθητικό!$J$2:$N$354,3,FALSE)="","",VLOOKUP(BU181,βοηθητικό!$J$2:$N$354,3,FALSE))</f>
        <v>_</v>
      </c>
      <c r="BW181" s="47"/>
      <c r="BX181" s="42" t="s">
        <v>16</v>
      </c>
      <c r="BY181" s="43" t="str">
        <f>IF(VLOOKUP(BX181,βοηθητικό!$J$2:$N$354,3,FALSE)="","",VLOOKUP(BX181,βοηθητικό!$J$2:$N$354,3,FALSE))</f>
        <v>_</v>
      </c>
      <c r="BZ181" s="44"/>
      <c r="CA181" s="45" t="s">
        <v>16</v>
      </c>
      <c r="CB181" s="46" t="str">
        <f>IF(VLOOKUP(CA181,βοηθητικό!$J$2:$N$354,3,FALSE)="","",VLOOKUP(CA181,βοηθητικό!$J$2:$N$354,3,FALSE))</f>
        <v>_</v>
      </c>
      <c r="CC181" s="47"/>
      <c r="CD181" s="42" t="s">
        <v>16</v>
      </c>
      <c r="CE181" s="43" t="str">
        <f>IF(VLOOKUP(CD181,βοηθητικό!$J$2:$N$354,3,FALSE)="","",VLOOKUP(CD181,βοηθητικό!$J$2:$N$354,3,FALSE))</f>
        <v>_</v>
      </c>
      <c r="CF181" s="44"/>
      <c r="CG181" s="45" t="s">
        <v>16</v>
      </c>
      <c r="CH181" s="46" t="str">
        <f>IF(VLOOKUP(CG181,βοηθητικό!$J$2:$N$354,3,FALSE)="","",VLOOKUP(CG181,βοηθητικό!$J$2:$N$354,3,FALSE))</f>
        <v>_</v>
      </c>
      <c r="CI181" s="47"/>
      <c r="CJ181" s="42" t="s">
        <v>16</v>
      </c>
      <c r="CK181" s="43" t="str">
        <f>IF(VLOOKUP(CJ181,βοηθητικό!$J$2:$N$354,3,FALSE)="","",VLOOKUP(CJ181,βοηθητικό!$J$2:$N$354,3,FALSE))</f>
        <v>_</v>
      </c>
      <c r="CL181" s="44"/>
      <c r="CM181" s="45" t="s">
        <v>16</v>
      </c>
      <c r="CN181" s="46" t="str">
        <f>IF(VLOOKUP(CM181,βοηθητικό!$J$2:$N$354,3,FALSE)="","",VLOOKUP(CM181,βοηθητικό!$J$2:$N$354,3,FALSE))</f>
        <v>_</v>
      </c>
      <c r="CO181" s="47"/>
      <c r="CP181" s="42" t="s">
        <v>16</v>
      </c>
      <c r="CQ181" s="43" t="str">
        <f>IF(VLOOKUP(CP181,βοηθητικό!$J$2:$N$354,3,FALSE)="","",VLOOKUP(CP181,βοηθητικό!$J$2:$N$354,3,FALSE))</f>
        <v>_</v>
      </c>
      <c r="CR181" s="44"/>
      <c r="CS181" s="45" t="s">
        <v>16</v>
      </c>
      <c r="CT181" s="46" t="str">
        <f>IF(VLOOKUP(CS181,βοηθητικό!$J$2:$N$354,3,FALSE)="","",VLOOKUP(CS181,βοηθητικό!$J$2:$N$354,3,FALSE))</f>
        <v>_</v>
      </c>
      <c r="CU181" s="47"/>
    </row>
    <row r="182" spans="1:99" x14ac:dyDescent="0.25">
      <c r="A182" s="37">
        <f>--SUBTOTAL(3,$B$3:B181)</f>
        <v>179</v>
      </c>
      <c r="B182" s="68">
        <v>45173</v>
      </c>
      <c r="C182" s="69">
        <v>45179</v>
      </c>
      <c r="D182" s="57" t="s">
        <v>100</v>
      </c>
      <c r="E182" s="38" t="s">
        <v>16</v>
      </c>
      <c r="F182" s="38" t="s">
        <v>16</v>
      </c>
      <c r="G182" s="39" t="str">
        <f t="shared" si="8"/>
        <v>__</v>
      </c>
      <c r="H182" s="40" t="str">
        <f t="shared" si="9"/>
        <v>FALSE</v>
      </c>
      <c r="I182" s="41">
        <f t="shared" si="10"/>
        <v>6</v>
      </c>
      <c r="J182" s="4" t="s">
        <v>1095</v>
      </c>
      <c r="K182" s="43">
        <f>IF(VLOOKUP(J182,βοηθητικό!$J$2:$N$354,3,FALSE)="","",VLOOKUP(J182,βοηθητικό!$J$2:$N$354,3,FALSE))</f>
        <v>6938358727</v>
      </c>
      <c r="L182" s="44"/>
      <c r="M182" s="5" t="s">
        <v>1104</v>
      </c>
      <c r="N182" s="46">
        <f>IF(VLOOKUP(M182,βοηθητικό!$J$2:$N$354,3,FALSE)="","",VLOOKUP(M182,βοηθητικό!$J$2:$N$354,3,FALSE))</f>
        <v>6981828992</v>
      </c>
      <c r="O182" s="47"/>
      <c r="P182" s="4" t="s">
        <v>1116</v>
      </c>
      <c r="Q182" s="43">
        <f>IF(VLOOKUP(P182,βοηθητικό!$J$2:$N$354,3,FALSE)="","",VLOOKUP(P182,βοηθητικό!$J$2:$N$354,3,FALSE))</f>
        <v>6947145973</v>
      </c>
      <c r="R182" s="44"/>
      <c r="S182" s="5" t="s">
        <v>1144</v>
      </c>
      <c r="T182" s="46">
        <f>IF(VLOOKUP(S182,βοηθητικό!$J$2:$N$354,3,FALSE)="","",VLOOKUP(S182,βοηθητικό!$J$2:$N$354,3,FALSE))</f>
        <v>6944228486</v>
      </c>
      <c r="U182" s="47"/>
      <c r="V182" s="4" t="s">
        <v>1160</v>
      </c>
      <c r="W182" s="43">
        <f>IF(VLOOKUP(V182,βοηθητικό!$J$2:$N$354,3,FALSE)="","",VLOOKUP(V182,βοηθητικό!$J$2:$N$354,3,FALSE))</f>
        <v>6932652897</v>
      </c>
      <c r="X182" s="44"/>
      <c r="Y182" s="5" t="s">
        <v>1163</v>
      </c>
      <c r="Z182" s="46">
        <f>IF(VLOOKUP(Y182,βοηθητικό!$J$2:$N$354,3,FALSE)="","",VLOOKUP(Y182,βοηθητικό!$J$2:$N$354,3,FALSE))</f>
        <v>6948210294</v>
      </c>
      <c r="AA182" s="47"/>
      <c r="AB182" s="4" t="s">
        <v>16</v>
      </c>
      <c r="AC182" s="43" t="str">
        <f>IF(VLOOKUP(AB182,βοηθητικό!$J$2:$N$354,3,FALSE)="","",VLOOKUP(AB182,βοηθητικό!$J$2:$N$354,3,FALSE))</f>
        <v>_</v>
      </c>
      <c r="AD182" s="44"/>
      <c r="AE182" s="5" t="s">
        <v>16</v>
      </c>
      <c r="AF182" s="46" t="str">
        <f>IF(VLOOKUP(AE182,βοηθητικό!$J$2:$N$354,3,FALSE)="","",VLOOKUP(AE182,βοηθητικό!$J$2:$N$354,3,FALSE))</f>
        <v>_</v>
      </c>
      <c r="AG182" s="47"/>
      <c r="AH182" s="4" t="s">
        <v>16</v>
      </c>
      <c r="AI182" s="43" t="str">
        <f>IF(VLOOKUP(AH182,βοηθητικό!$J$2:$N$354,3,FALSE)="","",VLOOKUP(AH182,βοηθητικό!$J$2:$N$354,3,FALSE))</f>
        <v>_</v>
      </c>
      <c r="AJ182" s="44"/>
      <c r="AK182" s="5" t="s">
        <v>16</v>
      </c>
      <c r="AL182" s="46" t="str">
        <f>IF(VLOOKUP(AK182,βοηθητικό!$J$2:$N$354,3,FALSE)="","",VLOOKUP(AK182,βοηθητικό!$J$2:$N$354,3,FALSE))</f>
        <v>_</v>
      </c>
      <c r="AM182" s="47"/>
      <c r="AN182" s="4" t="s">
        <v>16</v>
      </c>
      <c r="AO182" s="43" t="str">
        <f>IF(VLOOKUP(AN182,βοηθητικό!$J$2:$N$354,3,FALSE)="","",VLOOKUP(AN182,βοηθητικό!$J$2:$N$354,3,FALSE))</f>
        <v>_</v>
      </c>
      <c r="AP182" s="44"/>
      <c r="AQ182" s="5" t="s">
        <v>16</v>
      </c>
      <c r="AR182" s="46" t="str">
        <f>IF(VLOOKUP(AQ182,βοηθητικό!$J$2:$N$354,3,FALSE)="","",VLOOKUP(AQ182,βοηθητικό!$J$2:$N$354,3,FALSE))</f>
        <v>_</v>
      </c>
      <c r="AS182" s="47"/>
      <c r="AT182" s="4" t="s">
        <v>16</v>
      </c>
      <c r="AU182" s="43" t="str">
        <f>IF(VLOOKUP(AT182,βοηθητικό!$J$2:$N$354,3,FALSE)="","",VLOOKUP(AT182,βοηθητικό!$J$2:$N$354,3,FALSE))</f>
        <v>_</v>
      </c>
      <c r="AV182" s="44"/>
      <c r="AW182" s="5" t="s">
        <v>16</v>
      </c>
      <c r="AX182" s="46" t="str">
        <f>IF(VLOOKUP(AW182,βοηθητικό!$J$2:$N$354,3,FALSE)="","",VLOOKUP(AW182,βοηθητικό!$J$2:$N$354,3,FALSE))</f>
        <v>_</v>
      </c>
      <c r="AY182" s="47"/>
      <c r="AZ182" s="4" t="s">
        <v>16</v>
      </c>
      <c r="BA182" s="43" t="str">
        <f>IF(VLOOKUP(AZ182,βοηθητικό!$J$2:$N$354,3,FALSE)="","",VLOOKUP(AZ182,βοηθητικό!$J$2:$N$354,3,FALSE))</f>
        <v>_</v>
      </c>
      <c r="BB182" s="44"/>
      <c r="BC182" s="45" t="s">
        <v>16</v>
      </c>
      <c r="BD182" s="46" t="str">
        <f>IF(VLOOKUP(BC182,βοηθητικό!$J$2:$N$354,3,FALSE)="","",VLOOKUP(BC182,βοηθητικό!$J$2:$N$354,3,FALSE))</f>
        <v>_</v>
      </c>
      <c r="BE182" s="47"/>
      <c r="BF182" s="42" t="s">
        <v>16</v>
      </c>
      <c r="BG182" s="43" t="str">
        <f>IF(VLOOKUP(BF182,βοηθητικό!$J$2:$N$354,3,FALSE)="","",VLOOKUP(BF182,βοηθητικό!$J$2:$N$354,3,FALSE))</f>
        <v>_</v>
      </c>
      <c r="BH182" s="44"/>
      <c r="BI182" s="45" t="s">
        <v>16</v>
      </c>
      <c r="BJ182" s="46" t="str">
        <f>IF(VLOOKUP(BI182,βοηθητικό!$J$2:$N$354,3,FALSE)="","",VLOOKUP(BI182,βοηθητικό!$J$2:$N$354,3,FALSE))</f>
        <v>_</v>
      </c>
      <c r="BK182" s="47"/>
      <c r="BL182" s="42" t="s">
        <v>16</v>
      </c>
      <c r="BM182" s="43" t="str">
        <f>IF(VLOOKUP(BL182,βοηθητικό!$J$2:$N$354,3,FALSE)="","",VLOOKUP(BL182,βοηθητικό!$J$2:$N$354,3,FALSE))</f>
        <v>_</v>
      </c>
      <c r="BN182" s="44"/>
      <c r="BO182" s="45" t="s">
        <v>16</v>
      </c>
      <c r="BP182" s="46" t="str">
        <f>IF(VLOOKUP(BO182,βοηθητικό!$J$2:$N$354,3,FALSE)="","",VLOOKUP(BO182,βοηθητικό!$J$2:$N$354,3,FALSE))</f>
        <v>_</v>
      </c>
      <c r="BQ182" s="47"/>
      <c r="BR182" s="42" t="s">
        <v>16</v>
      </c>
      <c r="BS182" s="43" t="str">
        <f>IF(VLOOKUP(BR182,βοηθητικό!$J$2:$N$354,3,FALSE)="","",VLOOKUP(BR182,βοηθητικό!$J$2:$N$354,3,FALSE))</f>
        <v>_</v>
      </c>
      <c r="BT182" s="44"/>
      <c r="BU182" s="45" t="s">
        <v>16</v>
      </c>
      <c r="BV182" s="46" t="str">
        <f>IF(VLOOKUP(BU182,βοηθητικό!$J$2:$N$354,3,FALSE)="","",VLOOKUP(BU182,βοηθητικό!$J$2:$N$354,3,FALSE))</f>
        <v>_</v>
      </c>
      <c r="BW182" s="47"/>
      <c r="BX182" s="42" t="s">
        <v>16</v>
      </c>
      <c r="BY182" s="43" t="str">
        <f>IF(VLOOKUP(BX182,βοηθητικό!$J$2:$N$354,3,FALSE)="","",VLOOKUP(BX182,βοηθητικό!$J$2:$N$354,3,FALSE))</f>
        <v>_</v>
      </c>
      <c r="BZ182" s="44"/>
      <c r="CA182" s="45" t="s">
        <v>16</v>
      </c>
      <c r="CB182" s="46" t="str">
        <f>IF(VLOOKUP(CA182,βοηθητικό!$J$2:$N$354,3,FALSE)="","",VLOOKUP(CA182,βοηθητικό!$J$2:$N$354,3,FALSE))</f>
        <v>_</v>
      </c>
      <c r="CC182" s="47"/>
      <c r="CD182" s="42" t="s">
        <v>16</v>
      </c>
      <c r="CE182" s="43" t="str">
        <f>IF(VLOOKUP(CD182,βοηθητικό!$J$2:$N$354,3,FALSE)="","",VLOOKUP(CD182,βοηθητικό!$J$2:$N$354,3,FALSE))</f>
        <v>_</v>
      </c>
      <c r="CF182" s="44"/>
      <c r="CG182" s="45" t="s">
        <v>16</v>
      </c>
      <c r="CH182" s="46" t="str">
        <f>IF(VLOOKUP(CG182,βοηθητικό!$J$2:$N$354,3,FALSE)="","",VLOOKUP(CG182,βοηθητικό!$J$2:$N$354,3,FALSE))</f>
        <v>_</v>
      </c>
      <c r="CI182" s="47"/>
      <c r="CJ182" s="42" t="s">
        <v>16</v>
      </c>
      <c r="CK182" s="43" t="str">
        <f>IF(VLOOKUP(CJ182,βοηθητικό!$J$2:$N$354,3,FALSE)="","",VLOOKUP(CJ182,βοηθητικό!$J$2:$N$354,3,FALSE))</f>
        <v>_</v>
      </c>
      <c r="CL182" s="44"/>
      <c r="CM182" s="45" t="s">
        <v>16</v>
      </c>
      <c r="CN182" s="46" t="str">
        <f>IF(VLOOKUP(CM182,βοηθητικό!$J$2:$N$354,3,FALSE)="","",VLOOKUP(CM182,βοηθητικό!$J$2:$N$354,3,FALSE))</f>
        <v>_</v>
      </c>
      <c r="CO182" s="47"/>
      <c r="CP182" s="42" t="s">
        <v>16</v>
      </c>
      <c r="CQ182" s="43" t="str">
        <f>IF(VLOOKUP(CP182,βοηθητικό!$J$2:$N$354,3,FALSE)="","",VLOOKUP(CP182,βοηθητικό!$J$2:$N$354,3,FALSE))</f>
        <v>_</v>
      </c>
      <c r="CR182" s="44"/>
      <c r="CS182" s="45" t="s">
        <v>16</v>
      </c>
      <c r="CT182" s="46" t="str">
        <f>IF(VLOOKUP(CS182,βοηθητικό!$J$2:$N$354,3,FALSE)="","",VLOOKUP(CS182,βοηθητικό!$J$2:$N$354,3,FALSE))</f>
        <v>_</v>
      </c>
      <c r="CU182" s="47"/>
    </row>
    <row r="183" spans="1:99" x14ac:dyDescent="0.25">
      <c r="A183" s="37">
        <f>--SUBTOTAL(3,$B$3:B182)</f>
        <v>180</v>
      </c>
      <c r="B183" s="68">
        <v>45180</v>
      </c>
      <c r="C183" s="69">
        <v>45186</v>
      </c>
      <c r="D183" s="57" t="s">
        <v>100</v>
      </c>
      <c r="E183" s="38" t="s">
        <v>16</v>
      </c>
      <c r="F183" s="38" t="s">
        <v>16</v>
      </c>
      <c r="G183" s="39" t="str">
        <f t="shared" si="8"/>
        <v>__</v>
      </c>
      <c r="H183" s="40" t="str">
        <f t="shared" si="9"/>
        <v>FALSE</v>
      </c>
      <c r="I183" s="41">
        <f t="shared" si="10"/>
        <v>7</v>
      </c>
      <c r="J183" s="4" t="s">
        <v>1119</v>
      </c>
      <c r="K183" s="43">
        <f>IF(VLOOKUP(J183,βοηθητικό!$J$2:$N$354,3,FALSE)="","",VLOOKUP(J183,βοηθητικό!$J$2:$N$354,3,FALSE))</f>
        <v>6942674803</v>
      </c>
      <c r="L183" s="44"/>
      <c r="M183" s="5" t="s">
        <v>1122</v>
      </c>
      <c r="N183" s="46">
        <f>IF(VLOOKUP(M183,βοηθητικό!$J$2:$N$354,3,FALSE)="","",VLOOKUP(M183,βοηθητικό!$J$2:$N$354,3,FALSE))</f>
        <v>6987779674</v>
      </c>
      <c r="O183" s="47"/>
      <c r="P183" s="4" t="s">
        <v>1140</v>
      </c>
      <c r="Q183" s="43">
        <f>IF(VLOOKUP(P183,βοηθητικό!$J$2:$N$354,3,FALSE)="","",VLOOKUP(P183,βοηθητικό!$J$2:$N$354,3,FALSE))</f>
        <v>6972866890</v>
      </c>
      <c r="R183" s="44"/>
      <c r="S183" s="5" t="s">
        <v>1157</v>
      </c>
      <c r="T183" s="46">
        <f>IF(VLOOKUP(S183,βοηθητικό!$J$2:$N$354,3,FALSE)="","",VLOOKUP(S183,βοηθητικό!$J$2:$N$354,3,FALSE))</f>
        <v>6981832606</v>
      </c>
      <c r="U183" s="47"/>
      <c r="V183" s="4" t="s">
        <v>1166</v>
      </c>
      <c r="W183" s="43">
        <f>IF(VLOOKUP(V183,βοηθητικό!$J$2:$N$354,3,FALSE)="","",VLOOKUP(V183,βοηθητικό!$J$2:$N$354,3,FALSE))</f>
        <v>6979699580</v>
      </c>
      <c r="X183" s="44"/>
      <c r="Y183" s="5" t="s">
        <v>1172</v>
      </c>
      <c r="Z183" s="46">
        <f>IF(VLOOKUP(Y183,βοηθητικό!$J$2:$N$354,3,FALSE)="","",VLOOKUP(Y183,βοηθητικό!$J$2:$N$354,3,FALSE))</f>
        <v>6972205991</v>
      </c>
      <c r="AA183" s="47"/>
      <c r="AB183" s="4" t="s">
        <v>1178</v>
      </c>
      <c r="AC183" s="43">
        <f>IF(VLOOKUP(AB183,βοηθητικό!$J$2:$N$354,3,FALSE)="","",VLOOKUP(AB183,βοηθητικό!$J$2:$N$354,3,FALSE))</f>
        <v>6975861728</v>
      </c>
      <c r="AD183" s="44"/>
      <c r="AE183" s="5" t="s">
        <v>16</v>
      </c>
      <c r="AF183" s="46" t="str">
        <f>IF(VLOOKUP(AE183,βοηθητικό!$J$2:$N$354,3,FALSE)="","",VLOOKUP(AE183,βοηθητικό!$J$2:$N$354,3,FALSE))</f>
        <v>_</v>
      </c>
      <c r="AG183" s="47"/>
      <c r="AH183" s="4" t="s">
        <v>16</v>
      </c>
      <c r="AI183" s="43" t="str">
        <f>IF(VLOOKUP(AH183,βοηθητικό!$J$2:$N$354,3,FALSE)="","",VLOOKUP(AH183,βοηθητικό!$J$2:$N$354,3,FALSE))</f>
        <v>_</v>
      </c>
      <c r="AJ183" s="44"/>
      <c r="AK183" s="5" t="s">
        <v>16</v>
      </c>
      <c r="AL183" s="46" t="str">
        <f>IF(VLOOKUP(AK183,βοηθητικό!$J$2:$N$354,3,FALSE)="","",VLOOKUP(AK183,βοηθητικό!$J$2:$N$354,3,FALSE))</f>
        <v>_</v>
      </c>
      <c r="AM183" s="47"/>
      <c r="AN183" s="4" t="s">
        <v>16</v>
      </c>
      <c r="AO183" s="43" t="str">
        <f>IF(VLOOKUP(AN183,βοηθητικό!$J$2:$N$354,3,FALSE)="","",VLOOKUP(AN183,βοηθητικό!$J$2:$N$354,3,FALSE))</f>
        <v>_</v>
      </c>
      <c r="AP183" s="44"/>
      <c r="AQ183" s="5" t="s">
        <v>16</v>
      </c>
      <c r="AR183" s="46" t="str">
        <f>IF(VLOOKUP(AQ183,βοηθητικό!$J$2:$N$354,3,FALSE)="","",VLOOKUP(AQ183,βοηθητικό!$J$2:$N$354,3,FALSE))</f>
        <v>_</v>
      </c>
      <c r="AS183" s="47"/>
      <c r="AT183" s="4" t="s">
        <v>16</v>
      </c>
      <c r="AU183" s="43" t="str">
        <f>IF(VLOOKUP(AT183,βοηθητικό!$J$2:$N$354,3,FALSE)="","",VLOOKUP(AT183,βοηθητικό!$J$2:$N$354,3,FALSE))</f>
        <v>_</v>
      </c>
      <c r="AV183" s="44"/>
      <c r="AW183" s="5" t="s">
        <v>16</v>
      </c>
      <c r="AX183" s="46" t="str">
        <f>IF(VLOOKUP(AW183,βοηθητικό!$J$2:$N$354,3,FALSE)="","",VLOOKUP(AW183,βοηθητικό!$J$2:$N$354,3,FALSE))</f>
        <v>_</v>
      </c>
      <c r="AY183" s="47"/>
      <c r="AZ183" s="4" t="s">
        <v>16</v>
      </c>
      <c r="BA183" s="43" t="str">
        <f>IF(VLOOKUP(AZ183,βοηθητικό!$J$2:$N$354,3,FALSE)="","",VLOOKUP(AZ183,βοηθητικό!$J$2:$N$354,3,FALSE))</f>
        <v>_</v>
      </c>
      <c r="BB183" s="44"/>
      <c r="BC183" s="45" t="s">
        <v>16</v>
      </c>
      <c r="BD183" s="46" t="str">
        <f>IF(VLOOKUP(BC183,βοηθητικό!$J$2:$N$354,3,FALSE)="","",VLOOKUP(BC183,βοηθητικό!$J$2:$N$354,3,FALSE))</f>
        <v>_</v>
      </c>
      <c r="BE183" s="47"/>
      <c r="BF183" s="42" t="s">
        <v>16</v>
      </c>
      <c r="BG183" s="43" t="str">
        <f>IF(VLOOKUP(BF183,βοηθητικό!$J$2:$N$354,3,FALSE)="","",VLOOKUP(BF183,βοηθητικό!$J$2:$N$354,3,FALSE))</f>
        <v>_</v>
      </c>
      <c r="BH183" s="44"/>
      <c r="BI183" s="45" t="s">
        <v>16</v>
      </c>
      <c r="BJ183" s="46" t="str">
        <f>IF(VLOOKUP(BI183,βοηθητικό!$J$2:$N$354,3,FALSE)="","",VLOOKUP(BI183,βοηθητικό!$J$2:$N$354,3,FALSE))</f>
        <v>_</v>
      </c>
      <c r="BK183" s="47"/>
      <c r="BL183" s="42" t="s">
        <v>16</v>
      </c>
      <c r="BM183" s="43" t="str">
        <f>IF(VLOOKUP(BL183,βοηθητικό!$J$2:$N$354,3,FALSE)="","",VLOOKUP(BL183,βοηθητικό!$J$2:$N$354,3,FALSE))</f>
        <v>_</v>
      </c>
      <c r="BN183" s="44"/>
      <c r="BO183" s="45" t="s">
        <v>16</v>
      </c>
      <c r="BP183" s="46" t="str">
        <f>IF(VLOOKUP(BO183,βοηθητικό!$J$2:$N$354,3,FALSE)="","",VLOOKUP(BO183,βοηθητικό!$J$2:$N$354,3,FALSE))</f>
        <v>_</v>
      </c>
      <c r="BQ183" s="47"/>
      <c r="BR183" s="42" t="s">
        <v>16</v>
      </c>
      <c r="BS183" s="43" t="str">
        <f>IF(VLOOKUP(BR183,βοηθητικό!$J$2:$N$354,3,FALSE)="","",VLOOKUP(BR183,βοηθητικό!$J$2:$N$354,3,FALSE))</f>
        <v>_</v>
      </c>
      <c r="BT183" s="44"/>
      <c r="BU183" s="45" t="s">
        <v>16</v>
      </c>
      <c r="BV183" s="46" t="str">
        <f>IF(VLOOKUP(BU183,βοηθητικό!$J$2:$N$354,3,FALSE)="","",VLOOKUP(BU183,βοηθητικό!$J$2:$N$354,3,FALSE))</f>
        <v>_</v>
      </c>
      <c r="BW183" s="47"/>
      <c r="BX183" s="42" t="s">
        <v>16</v>
      </c>
      <c r="BY183" s="43" t="str">
        <f>IF(VLOOKUP(BX183,βοηθητικό!$J$2:$N$354,3,FALSE)="","",VLOOKUP(BX183,βοηθητικό!$J$2:$N$354,3,FALSE))</f>
        <v>_</v>
      </c>
      <c r="BZ183" s="44"/>
      <c r="CA183" s="45" t="s">
        <v>16</v>
      </c>
      <c r="CB183" s="46" t="str">
        <f>IF(VLOOKUP(CA183,βοηθητικό!$J$2:$N$354,3,FALSE)="","",VLOOKUP(CA183,βοηθητικό!$J$2:$N$354,3,FALSE))</f>
        <v>_</v>
      </c>
      <c r="CC183" s="47"/>
      <c r="CD183" s="42" t="s">
        <v>16</v>
      </c>
      <c r="CE183" s="43" t="str">
        <f>IF(VLOOKUP(CD183,βοηθητικό!$J$2:$N$354,3,FALSE)="","",VLOOKUP(CD183,βοηθητικό!$J$2:$N$354,3,FALSE))</f>
        <v>_</v>
      </c>
      <c r="CF183" s="44"/>
      <c r="CG183" s="45" t="s">
        <v>16</v>
      </c>
      <c r="CH183" s="46" t="str">
        <f>IF(VLOOKUP(CG183,βοηθητικό!$J$2:$N$354,3,FALSE)="","",VLOOKUP(CG183,βοηθητικό!$J$2:$N$354,3,FALSE))</f>
        <v>_</v>
      </c>
      <c r="CI183" s="47"/>
      <c r="CJ183" s="42" t="s">
        <v>16</v>
      </c>
      <c r="CK183" s="43" t="str">
        <f>IF(VLOOKUP(CJ183,βοηθητικό!$J$2:$N$354,3,FALSE)="","",VLOOKUP(CJ183,βοηθητικό!$J$2:$N$354,3,FALSE))</f>
        <v>_</v>
      </c>
      <c r="CL183" s="44"/>
      <c r="CM183" s="45" t="s">
        <v>16</v>
      </c>
      <c r="CN183" s="46" t="str">
        <f>IF(VLOOKUP(CM183,βοηθητικό!$J$2:$N$354,3,FALSE)="","",VLOOKUP(CM183,βοηθητικό!$J$2:$N$354,3,FALSE))</f>
        <v>_</v>
      </c>
      <c r="CO183" s="47"/>
      <c r="CP183" s="42" t="s">
        <v>16</v>
      </c>
      <c r="CQ183" s="43" t="str">
        <f>IF(VLOOKUP(CP183,βοηθητικό!$J$2:$N$354,3,FALSE)="","",VLOOKUP(CP183,βοηθητικό!$J$2:$N$354,3,FALSE))</f>
        <v>_</v>
      </c>
      <c r="CR183" s="44"/>
      <c r="CS183" s="45" t="s">
        <v>16</v>
      </c>
      <c r="CT183" s="46" t="str">
        <f>IF(VLOOKUP(CS183,βοηθητικό!$J$2:$N$354,3,FALSE)="","",VLOOKUP(CS183,βοηθητικό!$J$2:$N$354,3,FALSE))</f>
        <v>_</v>
      </c>
      <c r="CU183" s="47"/>
    </row>
    <row r="184" spans="1:99" x14ac:dyDescent="0.25">
      <c r="A184" s="37">
        <f>--SUBTOTAL(3,$B$3:B183)</f>
        <v>181</v>
      </c>
      <c r="B184" s="68">
        <v>45187</v>
      </c>
      <c r="C184" s="69">
        <v>45193</v>
      </c>
      <c r="D184" s="57" t="s">
        <v>100</v>
      </c>
      <c r="E184" s="38" t="s">
        <v>16</v>
      </c>
      <c r="F184" s="38" t="s">
        <v>16</v>
      </c>
      <c r="G184" s="39" t="str">
        <f t="shared" si="8"/>
        <v>__</v>
      </c>
      <c r="H184" s="40" t="str">
        <f t="shared" si="9"/>
        <v>FALSE</v>
      </c>
      <c r="I184" s="41">
        <f t="shared" si="10"/>
        <v>7</v>
      </c>
      <c r="J184" s="4" t="s">
        <v>1107</v>
      </c>
      <c r="K184" s="43">
        <f>IF(VLOOKUP(J184,βοηθητικό!$J$2:$N$354,3,FALSE)="","",VLOOKUP(J184,βοηθητικό!$J$2:$N$354,3,FALSE))</f>
        <v>6980231814</v>
      </c>
      <c r="L184" s="44"/>
      <c r="M184" s="5" t="s">
        <v>1113</v>
      </c>
      <c r="N184" s="46">
        <f>IF(VLOOKUP(M184,βοηθητικό!$J$2:$N$354,3,FALSE)="","",VLOOKUP(M184,βοηθητικό!$J$2:$N$354,3,FALSE))</f>
        <v>6949027222</v>
      </c>
      <c r="O184" s="47"/>
      <c r="P184" s="4" t="s">
        <v>1125</v>
      </c>
      <c r="Q184" s="43">
        <f>IF(VLOOKUP(P184,βοηθητικό!$J$2:$N$354,3,FALSE)="","",VLOOKUP(P184,βοηθητικό!$J$2:$N$354,3,FALSE))</f>
        <v>6937125752</v>
      </c>
      <c r="R184" s="44"/>
      <c r="S184" s="5" t="s">
        <v>1134</v>
      </c>
      <c r="T184" s="46">
        <f>IF(VLOOKUP(S184,βοηθητικό!$J$2:$N$354,3,FALSE)="","",VLOOKUP(S184,βοηθητικό!$J$2:$N$354,3,FALSE))</f>
        <v>6937922234</v>
      </c>
      <c r="U184" s="47"/>
      <c r="V184" s="4" t="s">
        <v>1137</v>
      </c>
      <c r="W184" s="43">
        <f>IF(VLOOKUP(V184,βοηθητικό!$J$2:$N$354,3,FALSE)="","",VLOOKUP(V184,βοηθητικό!$J$2:$N$354,3,FALSE))</f>
        <v>6946906906</v>
      </c>
      <c r="X184" s="44"/>
      <c r="Y184" s="5" t="s">
        <v>1169</v>
      </c>
      <c r="Z184" s="46">
        <f>IF(VLOOKUP(Y184,βοηθητικό!$J$2:$N$354,3,FALSE)="","",VLOOKUP(Y184,βοηθητικό!$J$2:$N$354,3,FALSE))</f>
        <v>6946467821</v>
      </c>
      <c r="AA184" s="47"/>
      <c r="AB184" s="4" t="s">
        <v>1184</v>
      </c>
      <c r="AC184" s="43" t="str">
        <f>IF(VLOOKUP(AB184,βοηθητικό!$J$2:$N$354,3,FALSE)="","",VLOOKUP(AB184,βοηθητικό!$J$2:$N$354,3,FALSE))</f>
        <v>6978871348 6986664315</v>
      </c>
      <c r="AD184" s="44"/>
      <c r="AE184" s="5" t="s">
        <v>16</v>
      </c>
      <c r="AF184" s="46" t="str">
        <f>IF(VLOOKUP(AE184,βοηθητικό!$J$2:$N$354,3,FALSE)="","",VLOOKUP(AE184,βοηθητικό!$J$2:$N$354,3,FALSE))</f>
        <v>_</v>
      </c>
      <c r="AG184" s="47"/>
      <c r="AH184" s="4" t="s">
        <v>16</v>
      </c>
      <c r="AI184" s="43" t="str">
        <f>IF(VLOOKUP(AH184,βοηθητικό!$J$2:$N$354,3,FALSE)="","",VLOOKUP(AH184,βοηθητικό!$J$2:$N$354,3,FALSE))</f>
        <v>_</v>
      </c>
      <c r="AJ184" s="44"/>
      <c r="AK184" s="5" t="s">
        <v>16</v>
      </c>
      <c r="AL184" s="46" t="str">
        <f>IF(VLOOKUP(AK184,βοηθητικό!$J$2:$N$354,3,FALSE)="","",VLOOKUP(AK184,βοηθητικό!$J$2:$N$354,3,FALSE))</f>
        <v>_</v>
      </c>
      <c r="AM184" s="47"/>
      <c r="AN184" s="4" t="s">
        <v>16</v>
      </c>
      <c r="AO184" s="43" t="str">
        <f>IF(VLOOKUP(AN184,βοηθητικό!$J$2:$N$354,3,FALSE)="","",VLOOKUP(AN184,βοηθητικό!$J$2:$N$354,3,FALSE))</f>
        <v>_</v>
      </c>
      <c r="AP184" s="44"/>
      <c r="AQ184" s="5" t="s">
        <v>16</v>
      </c>
      <c r="AR184" s="46" t="str">
        <f>IF(VLOOKUP(AQ184,βοηθητικό!$J$2:$N$354,3,FALSE)="","",VLOOKUP(AQ184,βοηθητικό!$J$2:$N$354,3,FALSE))</f>
        <v>_</v>
      </c>
      <c r="AS184" s="47"/>
      <c r="AT184" s="4" t="s">
        <v>16</v>
      </c>
      <c r="AU184" s="43" t="str">
        <f>IF(VLOOKUP(AT184,βοηθητικό!$J$2:$N$354,3,FALSE)="","",VLOOKUP(AT184,βοηθητικό!$J$2:$N$354,3,FALSE))</f>
        <v>_</v>
      </c>
      <c r="AV184" s="44"/>
      <c r="AW184" s="5" t="s">
        <v>16</v>
      </c>
      <c r="AX184" s="46" t="str">
        <f>IF(VLOOKUP(AW184,βοηθητικό!$J$2:$N$354,3,FALSE)="","",VLOOKUP(AW184,βοηθητικό!$J$2:$N$354,3,FALSE))</f>
        <v>_</v>
      </c>
      <c r="AY184" s="47"/>
      <c r="AZ184" s="4" t="s">
        <v>16</v>
      </c>
      <c r="BA184" s="43" t="str">
        <f>IF(VLOOKUP(AZ184,βοηθητικό!$J$2:$N$354,3,FALSE)="","",VLOOKUP(AZ184,βοηθητικό!$J$2:$N$354,3,FALSE))</f>
        <v>_</v>
      </c>
      <c r="BB184" s="44"/>
      <c r="BC184" s="45" t="s">
        <v>16</v>
      </c>
      <c r="BD184" s="46" t="str">
        <f>IF(VLOOKUP(BC184,βοηθητικό!$J$2:$N$354,3,FALSE)="","",VLOOKUP(BC184,βοηθητικό!$J$2:$N$354,3,FALSE))</f>
        <v>_</v>
      </c>
      <c r="BE184" s="47"/>
      <c r="BF184" s="42" t="s">
        <v>16</v>
      </c>
      <c r="BG184" s="43" t="str">
        <f>IF(VLOOKUP(BF184,βοηθητικό!$J$2:$N$354,3,FALSE)="","",VLOOKUP(BF184,βοηθητικό!$J$2:$N$354,3,FALSE))</f>
        <v>_</v>
      </c>
      <c r="BH184" s="44"/>
      <c r="BI184" s="45" t="s">
        <v>16</v>
      </c>
      <c r="BJ184" s="46" t="str">
        <f>IF(VLOOKUP(BI184,βοηθητικό!$J$2:$N$354,3,FALSE)="","",VLOOKUP(BI184,βοηθητικό!$J$2:$N$354,3,FALSE))</f>
        <v>_</v>
      </c>
      <c r="BK184" s="47"/>
      <c r="BL184" s="42" t="s">
        <v>16</v>
      </c>
      <c r="BM184" s="43" t="str">
        <f>IF(VLOOKUP(BL184,βοηθητικό!$J$2:$N$354,3,FALSE)="","",VLOOKUP(BL184,βοηθητικό!$J$2:$N$354,3,FALSE))</f>
        <v>_</v>
      </c>
      <c r="BN184" s="44"/>
      <c r="BO184" s="45" t="s">
        <v>16</v>
      </c>
      <c r="BP184" s="46" t="str">
        <f>IF(VLOOKUP(BO184,βοηθητικό!$J$2:$N$354,3,FALSE)="","",VLOOKUP(BO184,βοηθητικό!$J$2:$N$354,3,FALSE))</f>
        <v>_</v>
      </c>
      <c r="BQ184" s="47"/>
      <c r="BR184" s="42" t="s">
        <v>16</v>
      </c>
      <c r="BS184" s="43" t="str">
        <f>IF(VLOOKUP(BR184,βοηθητικό!$J$2:$N$354,3,FALSE)="","",VLOOKUP(BR184,βοηθητικό!$J$2:$N$354,3,FALSE))</f>
        <v>_</v>
      </c>
      <c r="BT184" s="44"/>
      <c r="BU184" s="45" t="s">
        <v>16</v>
      </c>
      <c r="BV184" s="46" t="str">
        <f>IF(VLOOKUP(BU184,βοηθητικό!$J$2:$N$354,3,FALSE)="","",VLOOKUP(BU184,βοηθητικό!$J$2:$N$354,3,FALSE))</f>
        <v>_</v>
      </c>
      <c r="BW184" s="47"/>
      <c r="BX184" s="42" t="s">
        <v>16</v>
      </c>
      <c r="BY184" s="43" t="str">
        <f>IF(VLOOKUP(BX184,βοηθητικό!$J$2:$N$354,3,FALSE)="","",VLOOKUP(BX184,βοηθητικό!$J$2:$N$354,3,FALSE))</f>
        <v>_</v>
      </c>
      <c r="BZ184" s="44"/>
      <c r="CA184" s="45" t="s">
        <v>16</v>
      </c>
      <c r="CB184" s="46" t="str">
        <f>IF(VLOOKUP(CA184,βοηθητικό!$J$2:$N$354,3,FALSE)="","",VLOOKUP(CA184,βοηθητικό!$J$2:$N$354,3,FALSE))</f>
        <v>_</v>
      </c>
      <c r="CC184" s="47"/>
      <c r="CD184" s="42" t="s">
        <v>16</v>
      </c>
      <c r="CE184" s="43" t="str">
        <f>IF(VLOOKUP(CD184,βοηθητικό!$J$2:$N$354,3,FALSE)="","",VLOOKUP(CD184,βοηθητικό!$J$2:$N$354,3,FALSE))</f>
        <v>_</v>
      </c>
      <c r="CF184" s="44"/>
      <c r="CG184" s="45" t="s">
        <v>16</v>
      </c>
      <c r="CH184" s="46" t="str">
        <f>IF(VLOOKUP(CG184,βοηθητικό!$J$2:$N$354,3,FALSE)="","",VLOOKUP(CG184,βοηθητικό!$J$2:$N$354,3,FALSE))</f>
        <v>_</v>
      </c>
      <c r="CI184" s="47"/>
      <c r="CJ184" s="42" t="s">
        <v>16</v>
      </c>
      <c r="CK184" s="43" t="str">
        <f>IF(VLOOKUP(CJ184,βοηθητικό!$J$2:$N$354,3,FALSE)="","",VLOOKUP(CJ184,βοηθητικό!$J$2:$N$354,3,FALSE))</f>
        <v>_</v>
      </c>
      <c r="CL184" s="44"/>
      <c r="CM184" s="45" t="s">
        <v>16</v>
      </c>
      <c r="CN184" s="46" t="str">
        <f>IF(VLOOKUP(CM184,βοηθητικό!$J$2:$N$354,3,FALSE)="","",VLOOKUP(CM184,βοηθητικό!$J$2:$N$354,3,FALSE))</f>
        <v>_</v>
      </c>
      <c r="CO184" s="47"/>
      <c r="CP184" s="42" t="s">
        <v>16</v>
      </c>
      <c r="CQ184" s="43" t="str">
        <f>IF(VLOOKUP(CP184,βοηθητικό!$J$2:$N$354,3,FALSE)="","",VLOOKUP(CP184,βοηθητικό!$J$2:$N$354,3,FALSE))</f>
        <v>_</v>
      </c>
      <c r="CR184" s="44"/>
      <c r="CS184" s="45" t="s">
        <v>16</v>
      </c>
      <c r="CT184" s="46" t="str">
        <f>IF(VLOOKUP(CS184,βοηθητικό!$J$2:$N$354,3,FALSE)="","",VLOOKUP(CS184,βοηθητικό!$J$2:$N$354,3,FALSE))</f>
        <v>_</v>
      </c>
      <c r="CU184" s="47"/>
    </row>
    <row r="185" spans="1:99" x14ac:dyDescent="0.25">
      <c r="A185" s="37">
        <f>--SUBTOTAL(3,$B$3:B184)</f>
        <v>182</v>
      </c>
      <c r="B185" s="68">
        <v>45194</v>
      </c>
      <c r="C185" s="69">
        <v>45200</v>
      </c>
      <c r="D185" s="57" t="s">
        <v>100</v>
      </c>
      <c r="E185" s="38" t="s">
        <v>16</v>
      </c>
      <c r="F185" s="38" t="s">
        <v>16</v>
      </c>
      <c r="G185" s="39" t="str">
        <f t="shared" si="8"/>
        <v>__</v>
      </c>
      <c r="H185" s="40" t="str">
        <f t="shared" si="9"/>
        <v>FALSE</v>
      </c>
      <c r="I185" s="41">
        <f t="shared" si="10"/>
        <v>7</v>
      </c>
      <c r="J185" s="4" t="s">
        <v>1128</v>
      </c>
      <c r="K185" s="43">
        <f>IF(VLOOKUP(J185,βοηθητικό!$J$2:$N$354,3,FALSE)="","",VLOOKUP(J185,βοηθητικό!$J$2:$N$354,3,FALSE))</f>
        <v>6944208681</v>
      </c>
      <c r="L185" s="44"/>
      <c r="M185" s="5" t="s">
        <v>1131</v>
      </c>
      <c r="N185" s="46">
        <f>IF(VLOOKUP(M185,βοηθητικό!$J$2:$N$354,3,FALSE)="","",VLOOKUP(M185,βοηθητικό!$J$2:$N$354,3,FALSE))</f>
        <v>6942031589</v>
      </c>
      <c r="O185" s="47"/>
      <c r="P185" s="4" t="s">
        <v>1147</v>
      </c>
      <c r="Q185" s="43">
        <f>IF(VLOOKUP(P185,βοηθητικό!$J$2:$N$354,3,FALSE)="","",VLOOKUP(P185,βοηθητικό!$J$2:$N$354,3,FALSE))</f>
        <v>6970340744</v>
      </c>
      <c r="R185" s="44"/>
      <c r="S185" s="5" t="s">
        <v>1151</v>
      </c>
      <c r="T185" s="46">
        <f>IF(VLOOKUP(S185,βοηθητικό!$J$2:$N$354,3,FALSE)="","",VLOOKUP(S185,βοηθητικό!$J$2:$N$354,3,FALSE))</f>
        <v>6945581886</v>
      </c>
      <c r="U185" s="47"/>
      <c r="V185" s="4" t="s">
        <v>1154</v>
      </c>
      <c r="W185" s="43">
        <f>IF(VLOOKUP(V185,βοηθητικό!$J$2:$N$354,3,FALSE)="","",VLOOKUP(V185,βοηθητικό!$J$2:$N$354,3,FALSE))</f>
        <v>6946013959</v>
      </c>
      <c r="X185" s="44"/>
      <c r="Y185" s="5" t="s">
        <v>1175</v>
      </c>
      <c r="Z185" s="46">
        <f>IF(VLOOKUP(Y185,βοηθητικό!$J$2:$N$354,3,FALSE)="","",VLOOKUP(Y185,βοηθητικό!$J$2:$N$354,3,FALSE))</f>
        <v>6974156544</v>
      </c>
      <c r="AA185" s="47"/>
      <c r="AB185" s="4" t="s">
        <v>1181</v>
      </c>
      <c r="AC185" s="43">
        <f>IF(VLOOKUP(AB185,βοηθητικό!$J$2:$N$354,3,FALSE)="","",VLOOKUP(AB185,βοηθητικό!$J$2:$N$354,3,FALSE))</f>
        <v>6945816094</v>
      </c>
      <c r="AD185" s="44"/>
      <c r="AE185" s="5" t="s">
        <v>16</v>
      </c>
      <c r="AF185" s="46" t="str">
        <f>IF(VLOOKUP(AE185,βοηθητικό!$J$2:$N$354,3,FALSE)="","",VLOOKUP(AE185,βοηθητικό!$J$2:$N$354,3,FALSE))</f>
        <v>_</v>
      </c>
      <c r="AG185" s="47"/>
      <c r="AH185" s="4" t="s">
        <v>16</v>
      </c>
      <c r="AI185" s="43" t="str">
        <f>IF(VLOOKUP(AH185,βοηθητικό!$J$2:$N$354,3,FALSE)="","",VLOOKUP(AH185,βοηθητικό!$J$2:$N$354,3,FALSE))</f>
        <v>_</v>
      </c>
      <c r="AJ185" s="44"/>
      <c r="AK185" s="5" t="s">
        <v>16</v>
      </c>
      <c r="AL185" s="46" t="str">
        <f>IF(VLOOKUP(AK185,βοηθητικό!$J$2:$N$354,3,FALSE)="","",VLOOKUP(AK185,βοηθητικό!$J$2:$N$354,3,FALSE))</f>
        <v>_</v>
      </c>
      <c r="AM185" s="47"/>
      <c r="AN185" s="4" t="s">
        <v>16</v>
      </c>
      <c r="AO185" s="43" t="str">
        <f>IF(VLOOKUP(AN185,βοηθητικό!$J$2:$N$354,3,FALSE)="","",VLOOKUP(AN185,βοηθητικό!$J$2:$N$354,3,FALSE))</f>
        <v>_</v>
      </c>
      <c r="AP185" s="44"/>
      <c r="AQ185" s="5" t="s">
        <v>16</v>
      </c>
      <c r="AR185" s="46" t="str">
        <f>IF(VLOOKUP(AQ185,βοηθητικό!$J$2:$N$354,3,FALSE)="","",VLOOKUP(AQ185,βοηθητικό!$J$2:$N$354,3,FALSE))</f>
        <v>_</v>
      </c>
      <c r="AS185" s="47"/>
      <c r="AT185" s="4" t="s">
        <v>16</v>
      </c>
      <c r="AU185" s="43" t="str">
        <f>IF(VLOOKUP(AT185,βοηθητικό!$J$2:$N$354,3,FALSE)="","",VLOOKUP(AT185,βοηθητικό!$J$2:$N$354,3,FALSE))</f>
        <v>_</v>
      </c>
      <c r="AV185" s="44"/>
      <c r="AW185" s="5" t="s">
        <v>16</v>
      </c>
      <c r="AX185" s="46" t="str">
        <f>IF(VLOOKUP(AW185,βοηθητικό!$J$2:$N$354,3,FALSE)="","",VLOOKUP(AW185,βοηθητικό!$J$2:$N$354,3,FALSE))</f>
        <v>_</v>
      </c>
      <c r="AY185" s="47"/>
      <c r="AZ185" s="4" t="s">
        <v>16</v>
      </c>
      <c r="BA185" s="43" t="str">
        <f>IF(VLOOKUP(AZ185,βοηθητικό!$J$2:$N$354,3,FALSE)="","",VLOOKUP(AZ185,βοηθητικό!$J$2:$N$354,3,FALSE))</f>
        <v>_</v>
      </c>
      <c r="BB185" s="44"/>
      <c r="BC185" s="45" t="s">
        <v>16</v>
      </c>
      <c r="BD185" s="46" t="str">
        <f>IF(VLOOKUP(BC185,βοηθητικό!$J$2:$N$354,3,FALSE)="","",VLOOKUP(BC185,βοηθητικό!$J$2:$N$354,3,FALSE))</f>
        <v>_</v>
      </c>
      <c r="BE185" s="47"/>
      <c r="BF185" s="42" t="s">
        <v>16</v>
      </c>
      <c r="BG185" s="43" t="str">
        <f>IF(VLOOKUP(BF185,βοηθητικό!$J$2:$N$354,3,FALSE)="","",VLOOKUP(BF185,βοηθητικό!$J$2:$N$354,3,FALSE))</f>
        <v>_</v>
      </c>
      <c r="BH185" s="44"/>
      <c r="BI185" s="45" t="s">
        <v>16</v>
      </c>
      <c r="BJ185" s="46" t="str">
        <f>IF(VLOOKUP(BI185,βοηθητικό!$J$2:$N$354,3,FALSE)="","",VLOOKUP(BI185,βοηθητικό!$J$2:$N$354,3,FALSE))</f>
        <v>_</v>
      </c>
      <c r="BK185" s="47"/>
      <c r="BL185" s="42" t="s">
        <v>16</v>
      </c>
      <c r="BM185" s="43" t="str">
        <f>IF(VLOOKUP(BL185,βοηθητικό!$J$2:$N$354,3,FALSE)="","",VLOOKUP(BL185,βοηθητικό!$J$2:$N$354,3,FALSE))</f>
        <v>_</v>
      </c>
      <c r="BN185" s="44"/>
      <c r="BO185" s="45" t="s">
        <v>16</v>
      </c>
      <c r="BP185" s="46" t="str">
        <f>IF(VLOOKUP(BO185,βοηθητικό!$J$2:$N$354,3,FALSE)="","",VLOOKUP(BO185,βοηθητικό!$J$2:$N$354,3,FALSE))</f>
        <v>_</v>
      </c>
      <c r="BQ185" s="47"/>
      <c r="BR185" s="42" t="s">
        <v>16</v>
      </c>
      <c r="BS185" s="43" t="str">
        <f>IF(VLOOKUP(BR185,βοηθητικό!$J$2:$N$354,3,FALSE)="","",VLOOKUP(BR185,βοηθητικό!$J$2:$N$354,3,FALSE))</f>
        <v>_</v>
      </c>
      <c r="BT185" s="44"/>
      <c r="BU185" s="45" t="s">
        <v>16</v>
      </c>
      <c r="BV185" s="46" t="str">
        <f>IF(VLOOKUP(BU185,βοηθητικό!$J$2:$N$354,3,FALSE)="","",VLOOKUP(BU185,βοηθητικό!$J$2:$N$354,3,FALSE))</f>
        <v>_</v>
      </c>
      <c r="BW185" s="47"/>
      <c r="BX185" s="42" t="s">
        <v>16</v>
      </c>
      <c r="BY185" s="43" t="str">
        <f>IF(VLOOKUP(BX185,βοηθητικό!$J$2:$N$354,3,FALSE)="","",VLOOKUP(BX185,βοηθητικό!$J$2:$N$354,3,FALSE))</f>
        <v>_</v>
      </c>
      <c r="BZ185" s="44"/>
      <c r="CA185" s="45" t="s">
        <v>16</v>
      </c>
      <c r="CB185" s="46" t="str">
        <f>IF(VLOOKUP(CA185,βοηθητικό!$J$2:$N$354,3,FALSE)="","",VLOOKUP(CA185,βοηθητικό!$J$2:$N$354,3,FALSE))</f>
        <v>_</v>
      </c>
      <c r="CC185" s="47"/>
      <c r="CD185" s="42" t="s">
        <v>16</v>
      </c>
      <c r="CE185" s="43" t="str">
        <f>IF(VLOOKUP(CD185,βοηθητικό!$J$2:$N$354,3,FALSE)="","",VLOOKUP(CD185,βοηθητικό!$J$2:$N$354,3,FALSE))</f>
        <v>_</v>
      </c>
      <c r="CF185" s="44"/>
      <c r="CG185" s="45" t="s">
        <v>16</v>
      </c>
      <c r="CH185" s="46" t="str">
        <f>IF(VLOOKUP(CG185,βοηθητικό!$J$2:$N$354,3,FALSE)="","",VLOOKUP(CG185,βοηθητικό!$J$2:$N$354,3,FALSE))</f>
        <v>_</v>
      </c>
      <c r="CI185" s="47"/>
      <c r="CJ185" s="42" t="s">
        <v>16</v>
      </c>
      <c r="CK185" s="43" t="str">
        <f>IF(VLOOKUP(CJ185,βοηθητικό!$J$2:$N$354,3,FALSE)="","",VLOOKUP(CJ185,βοηθητικό!$J$2:$N$354,3,FALSE))</f>
        <v>_</v>
      </c>
      <c r="CL185" s="44"/>
      <c r="CM185" s="45" t="s">
        <v>16</v>
      </c>
      <c r="CN185" s="46" t="str">
        <f>IF(VLOOKUP(CM185,βοηθητικό!$J$2:$N$354,3,FALSE)="","",VLOOKUP(CM185,βοηθητικό!$J$2:$N$354,3,FALSE))</f>
        <v>_</v>
      </c>
      <c r="CO185" s="47"/>
      <c r="CP185" s="42" t="s">
        <v>16</v>
      </c>
      <c r="CQ185" s="43" t="str">
        <f>IF(VLOOKUP(CP185,βοηθητικό!$J$2:$N$354,3,FALSE)="","",VLOOKUP(CP185,βοηθητικό!$J$2:$N$354,3,FALSE))</f>
        <v>_</v>
      </c>
      <c r="CR185" s="44"/>
      <c r="CS185" s="45" t="s">
        <v>16</v>
      </c>
      <c r="CT185" s="46" t="str">
        <f>IF(VLOOKUP(CS185,βοηθητικό!$J$2:$N$354,3,FALSE)="","",VLOOKUP(CS185,βοηθητικό!$J$2:$N$354,3,FALSE))</f>
        <v>_</v>
      </c>
      <c r="CU185" s="47"/>
    </row>
    <row r="186" spans="1:99" x14ac:dyDescent="0.25">
      <c r="A186" s="37">
        <f>--SUBTOTAL(3,$B$3:B185)</f>
        <v>183</v>
      </c>
      <c r="B186" s="68">
        <v>45166</v>
      </c>
      <c r="C186" s="69">
        <v>45172</v>
      </c>
      <c r="D186" s="58" t="s">
        <v>110</v>
      </c>
      <c r="E186" s="38" t="s">
        <v>16</v>
      </c>
      <c r="F186" s="38" t="s">
        <v>16</v>
      </c>
      <c r="G186" s="39" t="str">
        <f t="shared" si="8"/>
        <v>__</v>
      </c>
      <c r="H186" s="40" t="str">
        <f t="shared" si="9"/>
        <v>FALSE</v>
      </c>
      <c r="I186" s="41">
        <f t="shared" si="10"/>
        <v>4</v>
      </c>
      <c r="J186" s="4" t="s">
        <v>1209</v>
      </c>
      <c r="K186" s="43" t="str">
        <f>IF(VLOOKUP(J186,βοηθητικό!$J$2:$N$354,3,FALSE)="","",VLOOKUP(J186,βοηθητικό!$J$2:$N$354,3,FALSE))</f>
        <v>6984422749</v>
      </c>
      <c r="L186" s="44"/>
      <c r="M186" s="5" t="s">
        <v>1215</v>
      </c>
      <c r="N186" s="46" t="str">
        <f>IF(VLOOKUP(M186,βοηθητικό!$J$2:$N$354,3,FALSE)="","",VLOOKUP(M186,βοηθητικό!$J$2:$N$354,3,FALSE))</f>
        <v>6977401233</v>
      </c>
      <c r="O186" s="47"/>
      <c r="P186" s="4" t="s">
        <v>1205</v>
      </c>
      <c r="Q186" s="43" t="str">
        <f>IF(VLOOKUP(P186,βοηθητικό!$J$2:$N$354,3,FALSE)="","",VLOOKUP(P186,βοηθητικό!$J$2:$N$354,3,FALSE))</f>
        <v>6944344579</v>
      </c>
      <c r="R186" s="44"/>
      <c r="S186" s="5" t="s">
        <v>1250</v>
      </c>
      <c r="T186" s="46">
        <f>IF(VLOOKUP(S186,βοηθητικό!$J$2:$N$354,3,FALSE)="","",VLOOKUP(S186,βοηθητικό!$J$2:$N$354,3,FALSE))</f>
        <v>6983956556</v>
      </c>
      <c r="U186" s="47"/>
      <c r="V186" s="4" t="s">
        <v>16</v>
      </c>
      <c r="W186" s="43" t="str">
        <f>IF(VLOOKUP(V186,βοηθητικό!$J$2:$N$354,3,FALSE)="","",VLOOKUP(V186,βοηθητικό!$J$2:$N$354,3,FALSE))</f>
        <v>_</v>
      </c>
      <c r="X186" s="44"/>
      <c r="Y186" s="5" t="s">
        <v>16</v>
      </c>
      <c r="Z186" s="46" t="str">
        <f>IF(VLOOKUP(Y186,βοηθητικό!$J$2:$N$354,3,FALSE)="","",VLOOKUP(Y186,βοηθητικό!$J$2:$N$354,3,FALSE))</f>
        <v>_</v>
      </c>
      <c r="AA186" s="47"/>
      <c r="AB186" s="4" t="s">
        <v>16</v>
      </c>
      <c r="AC186" s="43" t="str">
        <f>IF(VLOOKUP(AB186,βοηθητικό!$J$2:$N$354,3,FALSE)="","",VLOOKUP(AB186,βοηθητικό!$J$2:$N$354,3,FALSE))</f>
        <v>_</v>
      </c>
      <c r="AD186" s="44"/>
      <c r="AE186" s="5" t="s">
        <v>16</v>
      </c>
      <c r="AF186" s="46" t="str">
        <f>IF(VLOOKUP(AE186,βοηθητικό!$J$2:$N$354,3,FALSE)="","",VLOOKUP(AE186,βοηθητικό!$J$2:$N$354,3,FALSE))</f>
        <v>_</v>
      </c>
      <c r="AG186" s="47"/>
      <c r="AH186" s="4" t="s">
        <v>16</v>
      </c>
      <c r="AI186" s="43" t="str">
        <f>IF(VLOOKUP(AH186,βοηθητικό!$J$2:$N$354,3,FALSE)="","",VLOOKUP(AH186,βοηθητικό!$J$2:$N$354,3,FALSE))</f>
        <v>_</v>
      </c>
      <c r="AJ186" s="44"/>
      <c r="AK186" s="5" t="s">
        <v>16</v>
      </c>
      <c r="AL186" s="46" t="str">
        <f>IF(VLOOKUP(AK186,βοηθητικό!$J$2:$N$354,3,FALSE)="","",VLOOKUP(AK186,βοηθητικό!$J$2:$N$354,3,FALSE))</f>
        <v>_</v>
      </c>
      <c r="AM186" s="47"/>
      <c r="AN186" s="4" t="s">
        <v>16</v>
      </c>
      <c r="AO186" s="43" t="str">
        <f>IF(VLOOKUP(AN186,βοηθητικό!$J$2:$N$354,3,FALSE)="","",VLOOKUP(AN186,βοηθητικό!$J$2:$N$354,3,FALSE))</f>
        <v>_</v>
      </c>
      <c r="AP186" s="44"/>
      <c r="AQ186" s="5" t="s">
        <v>16</v>
      </c>
      <c r="AR186" s="46" t="str">
        <f>IF(VLOOKUP(AQ186,βοηθητικό!$J$2:$N$354,3,FALSE)="","",VLOOKUP(AQ186,βοηθητικό!$J$2:$N$354,3,FALSE))</f>
        <v>_</v>
      </c>
      <c r="AS186" s="47"/>
      <c r="AT186" s="4" t="s">
        <v>16</v>
      </c>
      <c r="AU186" s="43" t="str">
        <f>IF(VLOOKUP(AT186,βοηθητικό!$J$2:$N$354,3,FALSE)="","",VLOOKUP(AT186,βοηθητικό!$J$2:$N$354,3,FALSE))</f>
        <v>_</v>
      </c>
      <c r="AV186" s="44"/>
      <c r="AW186" s="5" t="s">
        <v>16</v>
      </c>
      <c r="AX186" s="46" t="str">
        <f>IF(VLOOKUP(AW186,βοηθητικό!$J$2:$N$354,3,FALSE)="","",VLOOKUP(AW186,βοηθητικό!$J$2:$N$354,3,FALSE))</f>
        <v>_</v>
      </c>
      <c r="AY186" s="47"/>
      <c r="AZ186" s="4" t="s">
        <v>16</v>
      </c>
      <c r="BA186" s="43" t="str">
        <f>IF(VLOOKUP(AZ186,βοηθητικό!$J$2:$N$354,3,FALSE)="","",VLOOKUP(AZ186,βοηθητικό!$J$2:$N$354,3,FALSE))</f>
        <v>_</v>
      </c>
      <c r="BB186" s="44"/>
      <c r="BC186" s="45" t="s">
        <v>16</v>
      </c>
      <c r="BD186" s="46" t="str">
        <f>IF(VLOOKUP(BC186,βοηθητικό!$J$2:$N$354,3,FALSE)="","",VLOOKUP(BC186,βοηθητικό!$J$2:$N$354,3,FALSE))</f>
        <v>_</v>
      </c>
      <c r="BE186" s="47"/>
      <c r="BF186" s="42" t="s">
        <v>16</v>
      </c>
      <c r="BG186" s="43" t="str">
        <f>IF(VLOOKUP(BF186,βοηθητικό!$J$2:$N$354,3,FALSE)="","",VLOOKUP(BF186,βοηθητικό!$J$2:$N$354,3,FALSE))</f>
        <v>_</v>
      </c>
      <c r="BH186" s="44"/>
      <c r="BI186" s="45" t="s">
        <v>16</v>
      </c>
      <c r="BJ186" s="46" t="str">
        <f>IF(VLOOKUP(BI186,βοηθητικό!$J$2:$N$354,3,FALSE)="","",VLOOKUP(BI186,βοηθητικό!$J$2:$N$354,3,FALSE))</f>
        <v>_</v>
      </c>
      <c r="BK186" s="47"/>
      <c r="BL186" s="42" t="s">
        <v>16</v>
      </c>
      <c r="BM186" s="43" t="str">
        <f>IF(VLOOKUP(BL186,βοηθητικό!$J$2:$N$354,3,FALSE)="","",VLOOKUP(BL186,βοηθητικό!$J$2:$N$354,3,FALSE))</f>
        <v>_</v>
      </c>
      <c r="BN186" s="44"/>
      <c r="BO186" s="45" t="s">
        <v>16</v>
      </c>
      <c r="BP186" s="46" t="str">
        <f>IF(VLOOKUP(BO186,βοηθητικό!$J$2:$N$354,3,FALSE)="","",VLOOKUP(BO186,βοηθητικό!$J$2:$N$354,3,FALSE))</f>
        <v>_</v>
      </c>
      <c r="BQ186" s="47"/>
      <c r="BR186" s="42" t="s">
        <v>16</v>
      </c>
      <c r="BS186" s="43" t="str">
        <f>IF(VLOOKUP(BR186,βοηθητικό!$J$2:$N$354,3,FALSE)="","",VLOOKUP(BR186,βοηθητικό!$J$2:$N$354,3,FALSE))</f>
        <v>_</v>
      </c>
      <c r="BT186" s="44"/>
      <c r="BU186" s="45" t="s">
        <v>16</v>
      </c>
      <c r="BV186" s="46" t="str">
        <f>IF(VLOOKUP(BU186,βοηθητικό!$J$2:$N$354,3,FALSE)="","",VLOOKUP(BU186,βοηθητικό!$J$2:$N$354,3,FALSE))</f>
        <v>_</v>
      </c>
      <c r="BW186" s="47"/>
      <c r="BX186" s="42" t="s">
        <v>16</v>
      </c>
      <c r="BY186" s="43" t="str">
        <f>IF(VLOOKUP(BX186,βοηθητικό!$J$2:$N$354,3,FALSE)="","",VLOOKUP(BX186,βοηθητικό!$J$2:$N$354,3,FALSE))</f>
        <v>_</v>
      </c>
      <c r="BZ186" s="44"/>
      <c r="CA186" s="45" t="s">
        <v>16</v>
      </c>
      <c r="CB186" s="46" t="str">
        <f>IF(VLOOKUP(CA186,βοηθητικό!$J$2:$N$354,3,FALSE)="","",VLOOKUP(CA186,βοηθητικό!$J$2:$N$354,3,FALSE))</f>
        <v>_</v>
      </c>
      <c r="CC186" s="47"/>
      <c r="CD186" s="42" t="s">
        <v>16</v>
      </c>
      <c r="CE186" s="43" t="str">
        <f>IF(VLOOKUP(CD186,βοηθητικό!$J$2:$N$354,3,FALSE)="","",VLOOKUP(CD186,βοηθητικό!$J$2:$N$354,3,FALSE))</f>
        <v>_</v>
      </c>
      <c r="CF186" s="44"/>
      <c r="CG186" s="45" t="s">
        <v>16</v>
      </c>
      <c r="CH186" s="46" t="str">
        <f>IF(VLOOKUP(CG186,βοηθητικό!$J$2:$N$354,3,FALSE)="","",VLOOKUP(CG186,βοηθητικό!$J$2:$N$354,3,FALSE))</f>
        <v>_</v>
      </c>
      <c r="CI186" s="47"/>
      <c r="CJ186" s="42" t="s">
        <v>16</v>
      </c>
      <c r="CK186" s="43" t="str">
        <f>IF(VLOOKUP(CJ186,βοηθητικό!$J$2:$N$354,3,FALSE)="","",VLOOKUP(CJ186,βοηθητικό!$J$2:$N$354,3,FALSE))</f>
        <v>_</v>
      </c>
      <c r="CL186" s="44"/>
      <c r="CM186" s="45" t="s">
        <v>16</v>
      </c>
      <c r="CN186" s="46" t="str">
        <f>IF(VLOOKUP(CM186,βοηθητικό!$J$2:$N$354,3,FALSE)="","",VLOOKUP(CM186,βοηθητικό!$J$2:$N$354,3,FALSE))</f>
        <v>_</v>
      </c>
      <c r="CO186" s="47"/>
      <c r="CP186" s="42" t="s">
        <v>16</v>
      </c>
      <c r="CQ186" s="43" t="str">
        <f>IF(VLOOKUP(CP186,βοηθητικό!$J$2:$N$354,3,FALSE)="","",VLOOKUP(CP186,βοηθητικό!$J$2:$N$354,3,FALSE))</f>
        <v>_</v>
      </c>
      <c r="CR186" s="44"/>
      <c r="CS186" s="45" t="s">
        <v>16</v>
      </c>
      <c r="CT186" s="46" t="str">
        <f>IF(VLOOKUP(CS186,βοηθητικό!$J$2:$N$354,3,FALSE)="","",VLOOKUP(CS186,βοηθητικό!$J$2:$N$354,3,FALSE))</f>
        <v>_</v>
      </c>
      <c r="CU186" s="47"/>
    </row>
    <row r="187" spans="1:99" x14ac:dyDescent="0.25">
      <c r="A187" s="37">
        <f>--SUBTOTAL(3,$B$3:B186)</f>
        <v>184</v>
      </c>
      <c r="B187" s="68">
        <v>45173</v>
      </c>
      <c r="C187" s="69">
        <v>45179</v>
      </c>
      <c r="D187" s="58" t="s">
        <v>110</v>
      </c>
      <c r="E187" s="38" t="s">
        <v>16</v>
      </c>
      <c r="F187" s="38" t="s">
        <v>16</v>
      </c>
      <c r="G187" s="39" t="str">
        <f t="shared" si="8"/>
        <v>__</v>
      </c>
      <c r="H187" s="40" t="str">
        <f t="shared" si="9"/>
        <v>FALSE</v>
      </c>
      <c r="I187" s="41">
        <f t="shared" si="10"/>
        <v>4</v>
      </c>
      <c r="J187" s="4" t="s">
        <v>1247</v>
      </c>
      <c r="K187" s="43" t="str">
        <f>IF(VLOOKUP(J187,βοηθητικό!$J$2:$N$354,3,FALSE)="","",VLOOKUP(J187,βοηθητικό!$J$2:$N$354,3,FALSE))</f>
        <v>6977779983</v>
      </c>
      <c r="L187" s="44"/>
      <c r="M187" s="5" t="s">
        <v>1196</v>
      </c>
      <c r="N187" s="46" t="str">
        <f>IF(VLOOKUP(M187,βοηθητικό!$J$2:$N$354,3,FALSE)="","",VLOOKUP(M187,βοηθητικό!$J$2:$N$354,3,FALSE))</f>
        <v>6988221973</v>
      </c>
      <c r="O187" s="47"/>
      <c r="P187" s="4" t="s">
        <v>1230</v>
      </c>
      <c r="Q187" s="43" t="str">
        <f>IF(VLOOKUP(P187,βοηθητικό!$J$2:$N$354,3,FALSE)="","",VLOOKUP(P187,βοηθητικό!$J$2:$N$354,3,FALSE))</f>
        <v>6948363936</v>
      </c>
      <c r="R187" s="44"/>
      <c r="S187" s="5" t="s">
        <v>1202</v>
      </c>
      <c r="T187" s="46" t="str">
        <f>IF(VLOOKUP(S187,βοηθητικό!$J$2:$N$354,3,FALSE)="","",VLOOKUP(S187,βοηθητικό!$J$2:$N$354,3,FALSE))</f>
        <v>6938601801</v>
      </c>
      <c r="U187" s="47"/>
      <c r="V187" s="4" t="s">
        <v>16</v>
      </c>
      <c r="W187" s="43" t="str">
        <f>IF(VLOOKUP(V187,βοηθητικό!$J$2:$N$354,3,FALSE)="","",VLOOKUP(V187,βοηθητικό!$J$2:$N$354,3,FALSE))</f>
        <v>_</v>
      </c>
      <c r="X187" s="44"/>
      <c r="Y187" s="5" t="s">
        <v>16</v>
      </c>
      <c r="Z187" s="46" t="str">
        <f>IF(VLOOKUP(Y187,βοηθητικό!$J$2:$N$354,3,FALSE)="","",VLOOKUP(Y187,βοηθητικό!$J$2:$N$354,3,FALSE))</f>
        <v>_</v>
      </c>
      <c r="AA187" s="47"/>
      <c r="AB187" s="4" t="s">
        <v>16</v>
      </c>
      <c r="AC187" s="43" t="str">
        <f>IF(VLOOKUP(AB187,βοηθητικό!$J$2:$N$354,3,FALSE)="","",VLOOKUP(AB187,βοηθητικό!$J$2:$N$354,3,FALSE))</f>
        <v>_</v>
      </c>
      <c r="AD187" s="44"/>
      <c r="AE187" s="5" t="s">
        <v>16</v>
      </c>
      <c r="AF187" s="46" t="str">
        <f>IF(VLOOKUP(AE187,βοηθητικό!$J$2:$N$354,3,FALSE)="","",VLOOKUP(AE187,βοηθητικό!$J$2:$N$354,3,FALSE))</f>
        <v>_</v>
      </c>
      <c r="AG187" s="47"/>
      <c r="AH187" s="4" t="s">
        <v>16</v>
      </c>
      <c r="AI187" s="43" t="str">
        <f>IF(VLOOKUP(AH187,βοηθητικό!$J$2:$N$354,3,FALSE)="","",VLOOKUP(AH187,βοηθητικό!$J$2:$N$354,3,FALSE))</f>
        <v>_</v>
      </c>
      <c r="AJ187" s="44"/>
      <c r="AK187" s="5" t="s">
        <v>16</v>
      </c>
      <c r="AL187" s="46" t="str">
        <f>IF(VLOOKUP(AK187,βοηθητικό!$J$2:$N$354,3,FALSE)="","",VLOOKUP(AK187,βοηθητικό!$J$2:$N$354,3,FALSE))</f>
        <v>_</v>
      </c>
      <c r="AM187" s="47"/>
      <c r="AN187" s="4" t="s">
        <v>16</v>
      </c>
      <c r="AO187" s="43" t="str">
        <f>IF(VLOOKUP(AN187,βοηθητικό!$J$2:$N$354,3,FALSE)="","",VLOOKUP(AN187,βοηθητικό!$J$2:$N$354,3,FALSE))</f>
        <v>_</v>
      </c>
      <c r="AP187" s="44"/>
      <c r="AQ187" s="5" t="s">
        <v>16</v>
      </c>
      <c r="AR187" s="46" t="str">
        <f>IF(VLOOKUP(AQ187,βοηθητικό!$J$2:$N$354,3,FALSE)="","",VLOOKUP(AQ187,βοηθητικό!$J$2:$N$354,3,FALSE))</f>
        <v>_</v>
      </c>
      <c r="AS187" s="47"/>
      <c r="AT187" s="4" t="s">
        <v>16</v>
      </c>
      <c r="AU187" s="43" t="str">
        <f>IF(VLOOKUP(AT187,βοηθητικό!$J$2:$N$354,3,FALSE)="","",VLOOKUP(AT187,βοηθητικό!$J$2:$N$354,3,FALSE))</f>
        <v>_</v>
      </c>
      <c r="AV187" s="44"/>
      <c r="AW187" s="5" t="s">
        <v>16</v>
      </c>
      <c r="AX187" s="46" t="str">
        <f>IF(VLOOKUP(AW187,βοηθητικό!$J$2:$N$354,3,FALSE)="","",VLOOKUP(AW187,βοηθητικό!$J$2:$N$354,3,FALSE))</f>
        <v>_</v>
      </c>
      <c r="AY187" s="47"/>
      <c r="AZ187" s="4" t="s">
        <v>16</v>
      </c>
      <c r="BA187" s="43" t="str">
        <f>IF(VLOOKUP(AZ187,βοηθητικό!$J$2:$N$354,3,FALSE)="","",VLOOKUP(AZ187,βοηθητικό!$J$2:$N$354,3,FALSE))</f>
        <v>_</v>
      </c>
      <c r="BB187" s="44"/>
      <c r="BC187" s="45" t="s">
        <v>16</v>
      </c>
      <c r="BD187" s="46" t="str">
        <f>IF(VLOOKUP(BC187,βοηθητικό!$J$2:$N$354,3,FALSE)="","",VLOOKUP(BC187,βοηθητικό!$J$2:$N$354,3,FALSE))</f>
        <v>_</v>
      </c>
      <c r="BE187" s="47"/>
      <c r="BF187" s="42" t="s">
        <v>16</v>
      </c>
      <c r="BG187" s="43" t="str">
        <f>IF(VLOOKUP(BF187,βοηθητικό!$J$2:$N$354,3,FALSE)="","",VLOOKUP(BF187,βοηθητικό!$J$2:$N$354,3,FALSE))</f>
        <v>_</v>
      </c>
      <c r="BH187" s="44"/>
      <c r="BI187" s="45" t="s">
        <v>16</v>
      </c>
      <c r="BJ187" s="46" t="str">
        <f>IF(VLOOKUP(BI187,βοηθητικό!$J$2:$N$354,3,FALSE)="","",VLOOKUP(BI187,βοηθητικό!$J$2:$N$354,3,FALSE))</f>
        <v>_</v>
      </c>
      <c r="BK187" s="47"/>
      <c r="BL187" s="42" t="s">
        <v>16</v>
      </c>
      <c r="BM187" s="43" t="str">
        <f>IF(VLOOKUP(BL187,βοηθητικό!$J$2:$N$354,3,FALSE)="","",VLOOKUP(BL187,βοηθητικό!$J$2:$N$354,3,FALSE))</f>
        <v>_</v>
      </c>
      <c r="BN187" s="44"/>
      <c r="BO187" s="45" t="s">
        <v>16</v>
      </c>
      <c r="BP187" s="46" t="str">
        <f>IF(VLOOKUP(BO187,βοηθητικό!$J$2:$N$354,3,FALSE)="","",VLOOKUP(BO187,βοηθητικό!$J$2:$N$354,3,FALSE))</f>
        <v>_</v>
      </c>
      <c r="BQ187" s="47"/>
      <c r="BR187" s="42" t="s">
        <v>16</v>
      </c>
      <c r="BS187" s="43" t="str">
        <f>IF(VLOOKUP(BR187,βοηθητικό!$J$2:$N$354,3,FALSE)="","",VLOOKUP(BR187,βοηθητικό!$J$2:$N$354,3,FALSE))</f>
        <v>_</v>
      </c>
      <c r="BT187" s="44"/>
      <c r="BU187" s="45" t="s">
        <v>16</v>
      </c>
      <c r="BV187" s="46" t="str">
        <f>IF(VLOOKUP(BU187,βοηθητικό!$J$2:$N$354,3,FALSE)="","",VLOOKUP(BU187,βοηθητικό!$J$2:$N$354,3,FALSE))</f>
        <v>_</v>
      </c>
      <c r="BW187" s="47"/>
      <c r="BX187" s="42" t="s">
        <v>16</v>
      </c>
      <c r="BY187" s="43" t="str">
        <f>IF(VLOOKUP(BX187,βοηθητικό!$J$2:$N$354,3,FALSE)="","",VLOOKUP(BX187,βοηθητικό!$J$2:$N$354,3,FALSE))</f>
        <v>_</v>
      </c>
      <c r="BZ187" s="44"/>
      <c r="CA187" s="45" t="s">
        <v>16</v>
      </c>
      <c r="CB187" s="46" t="str">
        <f>IF(VLOOKUP(CA187,βοηθητικό!$J$2:$N$354,3,FALSE)="","",VLOOKUP(CA187,βοηθητικό!$J$2:$N$354,3,FALSE))</f>
        <v>_</v>
      </c>
      <c r="CC187" s="47"/>
      <c r="CD187" s="42" t="s">
        <v>16</v>
      </c>
      <c r="CE187" s="43" t="str">
        <f>IF(VLOOKUP(CD187,βοηθητικό!$J$2:$N$354,3,FALSE)="","",VLOOKUP(CD187,βοηθητικό!$J$2:$N$354,3,FALSE))</f>
        <v>_</v>
      </c>
      <c r="CF187" s="44"/>
      <c r="CG187" s="45" t="s">
        <v>16</v>
      </c>
      <c r="CH187" s="46" t="str">
        <f>IF(VLOOKUP(CG187,βοηθητικό!$J$2:$N$354,3,FALSE)="","",VLOOKUP(CG187,βοηθητικό!$J$2:$N$354,3,FALSE))</f>
        <v>_</v>
      </c>
      <c r="CI187" s="47"/>
      <c r="CJ187" s="42" t="s">
        <v>16</v>
      </c>
      <c r="CK187" s="43" t="str">
        <f>IF(VLOOKUP(CJ187,βοηθητικό!$J$2:$N$354,3,FALSE)="","",VLOOKUP(CJ187,βοηθητικό!$J$2:$N$354,3,FALSE))</f>
        <v>_</v>
      </c>
      <c r="CL187" s="44"/>
      <c r="CM187" s="45" t="s">
        <v>16</v>
      </c>
      <c r="CN187" s="46" t="str">
        <f>IF(VLOOKUP(CM187,βοηθητικό!$J$2:$N$354,3,FALSE)="","",VLOOKUP(CM187,βοηθητικό!$J$2:$N$354,3,FALSE))</f>
        <v>_</v>
      </c>
      <c r="CO187" s="47"/>
      <c r="CP187" s="42" t="s">
        <v>16</v>
      </c>
      <c r="CQ187" s="43" t="str">
        <f>IF(VLOOKUP(CP187,βοηθητικό!$J$2:$N$354,3,FALSE)="","",VLOOKUP(CP187,βοηθητικό!$J$2:$N$354,3,FALSE))</f>
        <v>_</v>
      </c>
      <c r="CR187" s="44"/>
      <c r="CS187" s="45" t="s">
        <v>16</v>
      </c>
      <c r="CT187" s="46" t="str">
        <f>IF(VLOOKUP(CS187,βοηθητικό!$J$2:$N$354,3,FALSE)="","",VLOOKUP(CS187,βοηθητικό!$J$2:$N$354,3,FALSE))</f>
        <v>_</v>
      </c>
      <c r="CU187" s="47"/>
    </row>
    <row r="188" spans="1:99" x14ac:dyDescent="0.25">
      <c r="A188" s="37">
        <f>--SUBTOTAL(3,$B$3:B187)</f>
        <v>185</v>
      </c>
      <c r="B188" s="68">
        <v>45180</v>
      </c>
      <c r="C188" s="69">
        <v>45186</v>
      </c>
      <c r="D188" s="58" t="s">
        <v>110</v>
      </c>
      <c r="E188" s="38" t="s">
        <v>16</v>
      </c>
      <c r="F188" s="38" t="s">
        <v>16</v>
      </c>
      <c r="G188" s="39" t="str">
        <f t="shared" si="8"/>
        <v>__</v>
      </c>
      <c r="H188" s="40" t="str">
        <f t="shared" si="9"/>
        <v>FALSE</v>
      </c>
      <c r="I188" s="41">
        <f t="shared" si="10"/>
        <v>5</v>
      </c>
      <c r="J188" s="4" t="s">
        <v>1224</v>
      </c>
      <c r="K188" s="43" t="str">
        <f>IF(VLOOKUP(J188,βοηθητικό!$J$2:$N$354,3,FALSE)="","",VLOOKUP(J188,βοηθητικό!$J$2:$N$354,3,FALSE))</f>
        <v>6982360550</v>
      </c>
      <c r="L188" s="44"/>
      <c r="M188" s="5" t="s">
        <v>1212</v>
      </c>
      <c r="N188" s="46" t="str">
        <f>IF(VLOOKUP(M188,βοηθητικό!$J$2:$N$354,3,FALSE)="","",VLOOKUP(M188,βοηθητικό!$J$2:$N$354,3,FALSE))</f>
        <v>6932703127</v>
      </c>
      <c r="O188" s="47"/>
      <c r="P188" s="4" t="s">
        <v>1189</v>
      </c>
      <c r="Q188" s="43" t="str">
        <f>IF(VLOOKUP(P188,βοηθητικό!$J$2:$N$354,3,FALSE)="","",VLOOKUP(P188,βοηθητικό!$J$2:$N$354,3,FALSE))</f>
        <v>6949333494</v>
      </c>
      <c r="R188" s="44"/>
      <c r="S188" s="5" t="s">
        <v>1218</v>
      </c>
      <c r="T188" s="46" t="str">
        <f>IF(VLOOKUP(S188,βοηθητικό!$J$2:$N$354,3,FALSE)="","",VLOOKUP(S188,βοηθητικό!$J$2:$N$354,3,FALSE))</f>
        <v>6976559998</v>
      </c>
      <c r="U188" s="47"/>
      <c r="V188" s="4" t="s">
        <v>1194</v>
      </c>
      <c r="W188" s="43">
        <f>IF(VLOOKUP(V188,βοηθητικό!$J$2:$N$354,3,FALSE)="","",VLOOKUP(V188,βοηθητικό!$J$2:$N$354,3,FALSE))</f>
        <v>6972440994</v>
      </c>
      <c r="X188" s="44"/>
      <c r="Y188" s="5" t="s">
        <v>16</v>
      </c>
      <c r="Z188" s="46" t="str">
        <f>IF(VLOOKUP(Y188,βοηθητικό!$J$2:$N$354,3,FALSE)="","",VLOOKUP(Y188,βοηθητικό!$J$2:$N$354,3,FALSE))</f>
        <v>_</v>
      </c>
      <c r="AA188" s="47"/>
      <c r="AB188" s="4" t="s">
        <v>16</v>
      </c>
      <c r="AC188" s="43" t="str">
        <f>IF(VLOOKUP(AB188,βοηθητικό!$J$2:$N$354,3,FALSE)="","",VLOOKUP(AB188,βοηθητικό!$J$2:$N$354,3,FALSE))</f>
        <v>_</v>
      </c>
      <c r="AD188" s="44"/>
      <c r="AE188" s="5" t="s">
        <v>16</v>
      </c>
      <c r="AF188" s="46" t="str">
        <f>IF(VLOOKUP(AE188,βοηθητικό!$J$2:$N$354,3,FALSE)="","",VLOOKUP(AE188,βοηθητικό!$J$2:$N$354,3,FALSE))</f>
        <v>_</v>
      </c>
      <c r="AG188" s="47"/>
      <c r="AH188" s="4" t="s">
        <v>16</v>
      </c>
      <c r="AI188" s="43" t="str">
        <f>IF(VLOOKUP(AH188,βοηθητικό!$J$2:$N$354,3,FALSE)="","",VLOOKUP(AH188,βοηθητικό!$J$2:$N$354,3,FALSE))</f>
        <v>_</v>
      </c>
      <c r="AJ188" s="44"/>
      <c r="AK188" s="5" t="s">
        <v>16</v>
      </c>
      <c r="AL188" s="46" t="str">
        <f>IF(VLOOKUP(AK188,βοηθητικό!$J$2:$N$354,3,FALSE)="","",VLOOKUP(AK188,βοηθητικό!$J$2:$N$354,3,FALSE))</f>
        <v>_</v>
      </c>
      <c r="AM188" s="47"/>
      <c r="AN188" s="4" t="s">
        <v>16</v>
      </c>
      <c r="AO188" s="43" t="str">
        <f>IF(VLOOKUP(AN188,βοηθητικό!$J$2:$N$354,3,FALSE)="","",VLOOKUP(AN188,βοηθητικό!$J$2:$N$354,3,FALSE))</f>
        <v>_</v>
      </c>
      <c r="AP188" s="44"/>
      <c r="AQ188" s="5" t="s">
        <v>16</v>
      </c>
      <c r="AR188" s="46" t="str">
        <f>IF(VLOOKUP(AQ188,βοηθητικό!$J$2:$N$354,3,FALSE)="","",VLOOKUP(AQ188,βοηθητικό!$J$2:$N$354,3,FALSE))</f>
        <v>_</v>
      </c>
      <c r="AS188" s="47"/>
      <c r="AT188" s="4" t="s">
        <v>16</v>
      </c>
      <c r="AU188" s="43" t="str">
        <f>IF(VLOOKUP(AT188,βοηθητικό!$J$2:$N$354,3,FALSE)="","",VLOOKUP(AT188,βοηθητικό!$J$2:$N$354,3,FALSE))</f>
        <v>_</v>
      </c>
      <c r="AV188" s="44"/>
      <c r="AW188" s="5" t="s">
        <v>16</v>
      </c>
      <c r="AX188" s="46" t="str">
        <f>IF(VLOOKUP(AW188,βοηθητικό!$J$2:$N$354,3,FALSE)="","",VLOOKUP(AW188,βοηθητικό!$J$2:$N$354,3,FALSE))</f>
        <v>_</v>
      </c>
      <c r="AY188" s="47"/>
      <c r="AZ188" s="4" t="s">
        <v>16</v>
      </c>
      <c r="BA188" s="43" t="str">
        <f>IF(VLOOKUP(AZ188,βοηθητικό!$J$2:$N$354,3,FALSE)="","",VLOOKUP(AZ188,βοηθητικό!$J$2:$N$354,3,FALSE))</f>
        <v>_</v>
      </c>
      <c r="BB188" s="44"/>
      <c r="BC188" s="45" t="s">
        <v>16</v>
      </c>
      <c r="BD188" s="46" t="str">
        <f>IF(VLOOKUP(BC188,βοηθητικό!$J$2:$N$354,3,FALSE)="","",VLOOKUP(BC188,βοηθητικό!$J$2:$N$354,3,FALSE))</f>
        <v>_</v>
      </c>
      <c r="BE188" s="47"/>
      <c r="BF188" s="42" t="s">
        <v>16</v>
      </c>
      <c r="BG188" s="43" t="str">
        <f>IF(VLOOKUP(BF188,βοηθητικό!$J$2:$N$354,3,FALSE)="","",VLOOKUP(BF188,βοηθητικό!$J$2:$N$354,3,FALSE))</f>
        <v>_</v>
      </c>
      <c r="BH188" s="44"/>
      <c r="BI188" s="45" t="s">
        <v>16</v>
      </c>
      <c r="BJ188" s="46" t="str">
        <f>IF(VLOOKUP(BI188,βοηθητικό!$J$2:$N$354,3,FALSE)="","",VLOOKUP(BI188,βοηθητικό!$J$2:$N$354,3,FALSE))</f>
        <v>_</v>
      </c>
      <c r="BK188" s="47"/>
      <c r="BL188" s="42" t="s">
        <v>16</v>
      </c>
      <c r="BM188" s="43" t="str">
        <f>IF(VLOOKUP(BL188,βοηθητικό!$J$2:$N$354,3,FALSE)="","",VLOOKUP(BL188,βοηθητικό!$J$2:$N$354,3,FALSE))</f>
        <v>_</v>
      </c>
      <c r="BN188" s="44"/>
      <c r="BO188" s="45" t="s">
        <v>16</v>
      </c>
      <c r="BP188" s="46" t="str">
        <f>IF(VLOOKUP(BO188,βοηθητικό!$J$2:$N$354,3,FALSE)="","",VLOOKUP(BO188,βοηθητικό!$J$2:$N$354,3,FALSE))</f>
        <v>_</v>
      </c>
      <c r="BQ188" s="47"/>
      <c r="BR188" s="42" t="s">
        <v>16</v>
      </c>
      <c r="BS188" s="43" t="str">
        <f>IF(VLOOKUP(BR188,βοηθητικό!$J$2:$N$354,3,FALSE)="","",VLOOKUP(BR188,βοηθητικό!$J$2:$N$354,3,FALSE))</f>
        <v>_</v>
      </c>
      <c r="BT188" s="44"/>
      <c r="BU188" s="45" t="s">
        <v>16</v>
      </c>
      <c r="BV188" s="46" t="str">
        <f>IF(VLOOKUP(BU188,βοηθητικό!$J$2:$N$354,3,FALSE)="","",VLOOKUP(BU188,βοηθητικό!$J$2:$N$354,3,FALSE))</f>
        <v>_</v>
      </c>
      <c r="BW188" s="47"/>
      <c r="BX188" s="42" t="s">
        <v>16</v>
      </c>
      <c r="BY188" s="43" t="str">
        <f>IF(VLOOKUP(BX188,βοηθητικό!$J$2:$N$354,3,FALSE)="","",VLOOKUP(BX188,βοηθητικό!$J$2:$N$354,3,FALSE))</f>
        <v>_</v>
      </c>
      <c r="BZ188" s="44"/>
      <c r="CA188" s="45" t="s">
        <v>16</v>
      </c>
      <c r="CB188" s="46" t="str">
        <f>IF(VLOOKUP(CA188,βοηθητικό!$J$2:$N$354,3,FALSE)="","",VLOOKUP(CA188,βοηθητικό!$J$2:$N$354,3,FALSE))</f>
        <v>_</v>
      </c>
      <c r="CC188" s="47"/>
      <c r="CD188" s="42" t="s">
        <v>16</v>
      </c>
      <c r="CE188" s="43" t="str">
        <f>IF(VLOOKUP(CD188,βοηθητικό!$J$2:$N$354,3,FALSE)="","",VLOOKUP(CD188,βοηθητικό!$J$2:$N$354,3,FALSE))</f>
        <v>_</v>
      </c>
      <c r="CF188" s="44"/>
      <c r="CG188" s="45" t="s">
        <v>16</v>
      </c>
      <c r="CH188" s="46" t="str">
        <f>IF(VLOOKUP(CG188,βοηθητικό!$J$2:$N$354,3,FALSE)="","",VLOOKUP(CG188,βοηθητικό!$J$2:$N$354,3,FALSE))</f>
        <v>_</v>
      </c>
      <c r="CI188" s="47"/>
      <c r="CJ188" s="42" t="s">
        <v>16</v>
      </c>
      <c r="CK188" s="43" t="str">
        <f>IF(VLOOKUP(CJ188,βοηθητικό!$J$2:$N$354,3,FALSE)="","",VLOOKUP(CJ188,βοηθητικό!$J$2:$N$354,3,FALSE))</f>
        <v>_</v>
      </c>
      <c r="CL188" s="44"/>
      <c r="CM188" s="45" t="s">
        <v>16</v>
      </c>
      <c r="CN188" s="46" t="str">
        <f>IF(VLOOKUP(CM188,βοηθητικό!$J$2:$N$354,3,FALSE)="","",VLOOKUP(CM188,βοηθητικό!$J$2:$N$354,3,FALSE))</f>
        <v>_</v>
      </c>
      <c r="CO188" s="47"/>
      <c r="CP188" s="42" t="s">
        <v>16</v>
      </c>
      <c r="CQ188" s="43" t="str">
        <f>IF(VLOOKUP(CP188,βοηθητικό!$J$2:$N$354,3,FALSE)="","",VLOOKUP(CP188,βοηθητικό!$J$2:$N$354,3,FALSE))</f>
        <v>_</v>
      </c>
      <c r="CR188" s="44"/>
      <c r="CS188" s="45" t="s">
        <v>16</v>
      </c>
      <c r="CT188" s="46" t="str">
        <f>IF(VLOOKUP(CS188,βοηθητικό!$J$2:$N$354,3,FALSE)="","",VLOOKUP(CS188,βοηθητικό!$J$2:$N$354,3,FALSE))</f>
        <v>_</v>
      </c>
      <c r="CU188" s="47"/>
    </row>
    <row r="189" spans="1:99" x14ac:dyDescent="0.25">
      <c r="A189" s="37">
        <f>--SUBTOTAL(3,$B$3:B188)</f>
        <v>186</v>
      </c>
      <c r="B189" s="68">
        <v>45187</v>
      </c>
      <c r="C189" s="69">
        <v>45193</v>
      </c>
      <c r="D189" s="58" t="s">
        <v>110</v>
      </c>
      <c r="E189" s="38" t="s">
        <v>16</v>
      </c>
      <c r="F189" s="38" t="s">
        <v>16</v>
      </c>
      <c r="G189" s="39" t="str">
        <f t="shared" si="8"/>
        <v>__</v>
      </c>
      <c r="H189" s="40" t="str">
        <f t="shared" si="9"/>
        <v>FALSE</v>
      </c>
      <c r="I189" s="41">
        <f t="shared" si="10"/>
        <v>4</v>
      </c>
      <c r="J189" s="4" t="s">
        <v>1236</v>
      </c>
      <c r="K189" s="43" t="str">
        <f>IF(VLOOKUP(J189,βοηθητικό!$J$2:$N$354,3,FALSE)="","",VLOOKUP(J189,βοηθητικό!$J$2:$N$354,3,FALSE))</f>
        <v>6945728316</v>
      </c>
      <c r="L189" s="44"/>
      <c r="M189" s="5" t="s">
        <v>1221</v>
      </c>
      <c r="N189" s="46" t="str">
        <f>IF(VLOOKUP(M189,βοηθητικό!$J$2:$N$354,3,FALSE)="","",VLOOKUP(M189,βοηθητικό!$J$2:$N$354,3,FALSE))</f>
        <v>6971641783</v>
      </c>
      <c r="O189" s="47"/>
      <c r="P189" s="4" t="s">
        <v>1244</v>
      </c>
      <c r="Q189" s="43" t="str">
        <f>IF(VLOOKUP(P189,βοηθητικό!$J$2:$N$354,3,FALSE)="","",VLOOKUP(P189,βοηθητικό!$J$2:$N$354,3,FALSE))</f>
        <v>6986975035</v>
      </c>
      <c r="R189" s="44"/>
      <c r="S189" s="5" t="s">
        <v>1227</v>
      </c>
      <c r="T189" s="46" t="str">
        <f>IF(VLOOKUP(S189,βοηθητικό!$J$2:$N$354,3,FALSE)="","",VLOOKUP(S189,βοηθητικό!$J$2:$N$354,3,FALSE))</f>
        <v>6984493906</v>
      </c>
      <c r="U189" s="47"/>
      <c r="V189" s="4" t="s">
        <v>16</v>
      </c>
      <c r="W189" s="43" t="str">
        <f>IF(VLOOKUP(V189,βοηθητικό!$J$2:$N$354,3,FALSE)="","",VLOOKUP(V189,βοηθητικό!$J$2:$N$354,3,FALSE))</f>
        <v>_</v>
      </c>
      <c r="X189" s="44"/>
      <c r="Y189" s="5" t="s">
        <v>16</v>
      </c>
      <c r="Z189" s="46" t="str">
        <f>IF(VLOOKUP(Y189,βοηθητικό!$J$2:$N$354,3,FALSE)="","",VLOOKUP(Y189,βοηθητικό!$J$2:$N$354,3,FALSE))</f>
        <v>_</v>
      </c>
      <c r="AA189" s="47"/>
      <c r="AB189" s="4" t="s">
        <v>16</v>
      </c>
      <c r="AC189" s="43" t="str">
        <f>IF(VLOOKUP(AB189,βοηθητικό!$J$2:$N$354,3,FALSE)="","",VLOOKUP(AB189,βοηθητικό!$J$2:$N$354,3,FALSE))</f>
        <v>_</v>
      </c>
      <c r="AD189" s="44"/>
      <c r="AE189" s="5" t="s">
        <v>16</v>
      </c>
      <c r="AF189" s="46" t="str">
        <f>IF(VLOOKUP(AE189,βοηθητικό!$J$2:$N$354,3,FALSE)="","",VLOOKUP(AE189,βοηθητικό!$J$2:$N$354,3,FALSE))</f>
        <v>_</v>
      </c>
      <c r="AG189" s="47"/>
      <c r="AH189" s="4" t="s">
        <v>16</v>
      </c>
      <c r="AI189" s="43" t="str">
        <f>IF(VLOOKUP(AH189,βοηθητικό!$J$2:$N$354,3,FALSE)="","",VLOOKUP(AH189,βοηθητικό!$J$2:$N$354,3,FALSE))</f>
        <v>_</v>
      </c>
      <c r="AJ189" s="44"/>
      <c r="AK189" s="5" t="s">
        <v>16</v>
      </c>
      <c r="AL189" s="46" t="str">
        <f>IF(VLOOKUP(AK189,βοηθητικό!$J$2:$N$354,3,FALSE)="","",VLOOKUP(AK189,βοηθητικό!$J$2:$N$354,3,FALSE))</f>
        <v>_</v>
      </c>
      <c r="AM189" s="47"/>
      <c r="AN189" s="4" t="s">
        <v>16</v>
      </c>
      <c r="AO189" s="43" t="str">
        <f>IF(VLOOKUP(AN189,βοηθητικό!$J$2:$N$354,3,FALSE)="","",VLOOKUP(AN189,βοηθητικό!$J$2:$N$354,3,FALSE))</f>
        <v>_</v>
      </c>
      <c r="AP189" s="44"/>
      <c r="AQ189" s="5" t="s">
        <v>16</v>
      </c>
      <c r="AR189" s="46" t="str">
        <f>IF(VLOOKUP(AQ189,βοηθητικό!$J$2:$N$354,3,FALSE)="","",VLOOKUP(AQ189,βοηθητικό!$J$2:$N$354,3,FALSE))</f>
        <v>_</v>
      </c>
      <c r="AS189" s="47"/>
      <c r="AT189" s="4" t="s">
        <v>16</v>
      </c>
      <c r="AU189" s="43" t="str">
        <f>IF(VLOOKUP(AT189,βοηθητικό!$J$2:$N$354,3,FALSE)="","",VLOOKUP(AT189,βοηθητικό!$J$2:$N$354,3,FALSE))</f>
        <v>_</v>
      </c>
      <c r="AV189" s="44"/>
      <c r="AW189" s="5" t="s">
        <v>16</v>
      </c>
      <c r="AX189" s="46" t="str">
        <f>IF(VLOOKUP(AW189,βοηθητικό!$J$2:$N$354,3,FALSE)="","",VLOOKUP(AW189,βοηθητικό!$J$2:$N$354,3,FALSE))</f>
        <v>_</v>
      </c>
      <c r="AY189" s="47"/>
      <c r="AZ189" s="4" t="s">
        <v>16</v>
      </c>
      <c r="BA189" s="43" t="str">
        <f>IF(VLOOKUP(AZ189,βοηθητικό!$J$2:$N$354,3,FALSE)="","",VLOOKUP(AZ189,βοηθητικό!$J$2:$N$354,3,FALSE))</f>
        <v>_</v>
      </c>
      <c r="BB189" s="44"/>
      <c r="BC189" s="45" t="s">
        <v>16</v>
      </c>
      <c r="BD189" s="46" t="str">
        <f>IF(VLOOKUP(BC189,βοηθητικό!$J$2:$N$354,3,FALSE)="","",VLOOKUP(BC189,βοηθητικό!$J$2:$N$354,3,FALSE))</f>
        <v>_</v>
      </c>
      <c r="BE189" s="47"/>
      <c r="BF189" s="42" t="s">
        <v>16</v>
      </c>
      <c r="BG189" s="43" t="str">
        <f>IF(VLOOKUP(BF189,βοηθητικό!$J$2:$N$354,3,FALSE)="","",VLOOKUP(BF189,βοηθητικό!$J$2:$N$354,3,FALSE))</f>
        <v>_</v>
      </c>
      <c r="BH189" s="44"/>
      <c r="BI189" s="45" t="s">
        <v>16</v>
      </c>
      <c r="BJ189" s="46" t="str">
        <f>IF(VLOOKUP(BI189,βοηθητικό!$J$2:$N$354,3,FALSE)="","",VLOOKUP(BI189,βοηθητικό!$J$2:$N$354,3,FALSE))</f>
        <v>_</v>
      </c>
      <c r="BK189" s="47"/>
      <c r="BL189" s="42" t="s">
        <v>16</v>
      </c>
      <c r="BM189" s="43" t="str">
        <f>IF(VLOOKUP(BL189,βοηθητικό!$J$2:$N$354,3,FALSE)="","",VLOOKUP(BL189,βοηθητικό!$J$2:$N$354,3,FALSE))</f>
        <v>_</v>
      </c>
      <c r="BN189" s="44"/>
      <c r="BO189" s="45" t="s">
        <v>16</v>
      </c>
      <c r="BP189" s="46" t="str">
        <f>IF(VLOOKUP(BO189,βοηθητικό!$J$2:$N$354,3,FALSE)="","",VLOOKUP(BO189,βοηθητικό!$J$2:$N$354,3,FALSE))</f>
        <v>_</v>
      </c>
      <c r="BQ189" s="47"/>
      <c r="BR189" s="42" t="s">
        <v>16</v>
      </c>
      <c r="BS189" s="43" t="str">
        <f>IF(VLOOKUP(BR189,βοηθητικό!$J$2:$N$354,3,FALSE)="","",VLOOKUP(BR189,βοηθητικό!$J$2:$N$354,3,FALSE))</f>
        <v>_</v>
      </c>
      <c r="BT189" s="44"/>
      <c r="BU189" s="45" t="s">
        <v>16</v>
      </c>
      <c r="BV189" s="46" t="str">
        <f>IF(VLOOKUP(BU189,βοηθητικό!$J$2:$N$354,3,FALSE)="","",VLOOKUP(BU189,βοηθητικό!$J$2:$N$354,3,FALSE))</f>
        <v>_</v>
      </c>
      <c r="BW189" s="47"/>
      <c r="BX189" s="42" t="s">
        <v>16</v>
      </c>
      <c r="BY189" s="43" t="str">
        <f>IF(VLOOKUP(BX189,βοηθητικό!$J$2:$N$354,3,FALSE)="","",VLOOKUP(BX189,βοηθητικό!$J$2:$N$354,3,FALSE))</f>
        <v>_</v>
      </c>
      <c r="BZ189" s="44"/>
      <c r="CA189" s="45" t="s">
        <v>16</v>
      </c>
      <c r="CB189" s="46" t="str">
        <f>IF(VLOOKUP(CA189,βοηθητικό!$J$2:$N$354,3,FALSE)="","",VLOOKUP(CA189,βοηθητικό!$J$2:$N$354,3,FALSE))</f>
        <v>_</v>
      </c>
      <c r="CC189" s="47"/>
      <c r="CD189" s="42" t="s">
        <v>16</v>
      </c>
      <c r="CE189" s="43" t="str">
        <f>IF(VLOOKUP(CD189,βοηθητικό!$J$2:$N$354,3,FALSE)="","",VLOOKUP(CD189,βοηθητικό!$J$2:$N$354,3,FALSE))</f>
        <v>_</v>
      </c>
      <c r="CF189" s="44"/>
      <c r="CG189" s="45" t="s">
        <v>16</v>
      </c>
      <c r="CH189" s="46" t="str">
        <f>IF(VLOOKUP(CG189,βοηθητικό!$J$2:$N$354,3,FALSE)="","",VLOOKUP(CG189,βοηθητικό!$J$2:$N$354,3,FALSE))</f>
        <v>_</v>
      </c>
      <c r="CI189" s="47"/>
      <c r="CJ189" s="42" t="s">
        <v>16</v>
      </c>
      <c r="CK189" s="43" t="str">
        <f>IF(VLOOKUP(CJ189,βοηθητικό!$J$2:$N$354,3,FALSE)="","",VLOOKUP(CJ189,βοηθητικό!$J$2:$N$354,3,FALSE))</f>
        <v>_</v>
      </c>
      <c r="CL189" s="44"/>
      <c r="CM189" s="45" t="s">
        <v>16</v>
      </c>
      <c r="CN189" s="46" t="str">
        <f>IF(VLOOKUP(CM189,βοηθητικό!$J$2:$N$354,3,FALSE)="","",VLOOKUP(CM189,βοηθητικό!$J$2:$N$354,3,FALSE))</f>
        <v>_</v>
      </c>
      <c r="CO189" s="47"/>
      <c r="CP189" s="42" t="s">
        <v>16</v>
      </c>
      <c r="CQ189" s="43" t="str">
        <f>IF(VLOOKUP(CP189,βοηθητικό!$J$2:$N$354,3,FALSE)="","",VLOOKUP(CP189,βοηθητικό!$J$2:$N$354,3,FALSE))</f>
        <v>_</v>
      </c>
      <c r="CR189" s="44"/>
      <c r="CS189" s="45" t="s">
        <v>16</v>
      </c>
      <c r="CT189" s="46" t="str">
        <f>IF(VLOOKUP(CS189,βοηθητικό!$J$2:$N$354,3,FALSE)="","",VLOOKUP(CS189,βοηθητικό!$J$2:$N$354,3,FALSE))</f>
        <v>_</v>
      </c>
      <c r="CU189" s="47"/>
    </row>
    <row r="190" spans="1:99" x14ac:dyDescent="0.25">
      <c r="A190" s="37">
        <f>--SUBTOTAL(3,$B$3:B189)</f>
        <v>187</v>
      </c>
      <c r="B190" s="68">
        <v>45194</v>
      </c>
      <c r="C190" s="69">
        <v>45200</v>
      </c>
      <c r="D190" s="58" t="s">
        <v>110</v>
      </c>
      <c r="E190" s="38" t="s">
        <v>16</v>
      </c>
      <c r="F190" s="38" t="s">
        <v>16</v>
      </c>
      <c r="G190" s="39" t="str">
        <f t="shared" si="8"/>
        <v>__</v>
      </c>
      <c r="H190" s="40" t="str">
        <f t="shared" si="9"/>
        <v>FALSE</v>
      </c>
      <c r="I190" s="41">
        <f t="shared" si="10"/>
        <v>4</v>
      </c>
      <c r="J190" s="4" t="s">
        <v>1209</v>
      </c>
      <c r="K190" s="43" t="str">
        <f>IF(VLOOKUP(J190,βοηθητικό!$J$2:$N$354,3,FALSE)="","",VLOOKUP(J190,βοηθητικό!$J$2:$N$354,3,FALSE))</f>
        <v>6984422749</v>
      </c>
      <c r="L190" s="44"/>
      <c r="M190" s="5" t="s">
        <v>1215</v>
      </c>
      <c r="N190" s="46" t="str">
        <f>IF(VLOOKUP(M190,βοηθητικό!$J$2:$N$354,3,FALSE)="","",VLOOKUP(M190,βοηθητικό!$J$2:$N$354,3,FALSE))</f>
        <v>6977401233</v>
      </c>
      <c r="O190" s="47"/>
      <c r="P190" s="4" t="s">
        <v>1205</v>
      </c>
      <c r="Q190" s="43" t="str">
        <f>IF(VLOOKUP(P190,βοηθητικό!$J$2:$N$354,3,FALSE)="","",VLOOKUP(P190,βοηθητικό!$J$2:$N$354,3,FALSE))</f>
        <v>6944344579</v>
      </c>
      <c r="R190" s="44"/>
      <c r="S190" s="5" t="s">
        <v>1250</v>
      </c>
      <c r="T190" s="46"/>
      <c r="U190" s="47"/>
      <c r="V190" s="4" t="s">
        <v>16</v>
      </c>
      <c r="W190" s="43" t="str">
        <f>IF(VLOOKUP(V190,βοηθητικό!$J$2:$N$354,3,FALSE)="","",VLOOKUP(V190,βοηθητικό!$J$2:$N$354,3,FALSE))</f>
        <v>_</v>
      </c>
      <c r="X190" s="44"/>
      <c r="Y190" s="5" t="s">
        <v>16</v>
      </c>
      <c r="Z190" s="46" t="str">
        <f>IF(VLOOKUP(Y190,βοηθητικό!$J$2:$N$354,3,FALSE)="","",VLOOKUP(Y190,βοηθητικό!$J$2:$N$354,3,FALSE))</f>
        <v>_</v>
      </c>
      <c r="AA190" s="47"/>
      <c r="AB190" s="4" t="s">
        <v>16</v>
      </c>
      <c r="AC190" s="43" t="str">
        <f>IF(VLOOKUP(AB190,βοηθητικό!$J$2:$N$354,3,FALSE)="","",VLOOKUP(AB190,βοηθητικό!$J$2:$N$354,3,FALSE))</f>
        <v>_</v>
      </c>
      <c r="AD190" s="44"/>
      <c r="AE190" s="5" t="s">
        <v>16</v>
      </c>
      <c r="AF190" s="46" t="str">
        <f>IF(VLOOKUP(AE190,βοηθητικό!$J$2:$N$354,3,FALSE)="","",VLOOKUP(AE190,βοηθητικό!$J$2:$N$354,3,FALSE))</f>
        <v>_</v>
      </c>
      <c r="AG190" s="47"/>
      <c r="AH190" s="4" t="s">
        <v>16</v>
      </c>
      <c r="AI190" s="43" t="str">
        <f>IF(VLOOKUP(AH190,βοηθητικό!$J$2:$N$354,3,FALSE)="","",VLOOKUP(AH190,βοηθητικό!$J$2:$N$354,3,FALSE))</f>
        <v>_</v>
      </c>
      <c r="AJ190" s="44"/>
      <c r="AK190" s="5" t="s">
        <v>16</v>
      </c>
      <c r="AL190" s="46" t="str">
        <f>IF(VLOOKUP(AK190,βοηθητικό!$J$2:$N$354,3,FALSE)="","",VLOOKUP(AK190,βοηθητικό!$J$2:$N$354,3,FALSE))</f>
        <v>_</v>
      </c>
      <c r="AM190" s="47"/>
      <c r="AN190" s="4" t="s">
        <v>16</v>
      </c>
      <c r="AO190" s="43" t="str">
        <f>IF(VLOOKUP(AN190,βοηθητικό!$J$2:$N$354,3,FALSE)="","",VLOOKUP(AN190,βοηθητικό!$J$2:$N$354,3,FALSE))</f>
        <v>_</v>
      </c>
      <c r="AP190" s="44"/>
      <c r="AQ190" s="5" t="s">
        <v>16</v>
      </c>
      <c r="AR190" s="46" t="str">
        <f>IF(VLOOKUP(AQ190,βοηθητικό!$J$2:$N$354,3,FALSE)="","",VLOOKUP(AQ190,βοηθητικό!$J$2:$N$354,3,FALSE))</f>
        <v>_</v>
      </c>
      <c r="AS190" s="47"/>
      <c r="AT190" s="4" t="s">
        <v>16</v>
      </c>
      <c r="AU190" s="43" t="str">
        <f>IF(VLOOKUP(AT190,βοηθητικό!$J$2:$N$354,3,FALSE)="","",VLOOKUP(AT190,βοηθητικό!$J$2:$N$354,3,FALSE))</f>
        <v>_</v>
      </c>
      <c r="AV190" s="44"/>
      <c r="AW190" s="5" t="s">
        <v>16</v>
      </c>
      <c r="AX190" s="46" t="str">
        <f>IF(VLOOKUP(AW190,βοηθητικό!$J$2:$N$354,3,FALSE)="","",VLOOKUP(AW190,βοηθητικό!$J$2:$N$354,3,FALSE))</f>
        <v>_</v>
      </c>
      <c r="AY190" s="47"/>
      <c r="AZ190" s="4" t="s">
        <v>16</v>
      </c>
      <c r="BA190" s="43" t="str">
        <f>IF(VLOOKUP(AZ190,βοηθητικό!$J$2:$N$354,3,FALSE)="","",VLOOKUP(AZ190,βοηθητικό!$J$2:$N$354,3,FALSE))</f>
        <v>_</v>
      </c>
      <c r="BB190" s="44"/>
      <c r="BC190" s="45" t="s">
        <v>16</v>
      </c>
      <c r="BD190" s="46" t="str">
        <f>IF(VLOOKUP(BC190,βοηθητικό!$J$2:$N$354,3,FALSE)="","",VLOOKUP(BC190,βοηθητικό!$J$2:$N$354,3,FALSE))</f>
        <v>_</v>
      </c>
      <c r="BE190" s="47"/>
      <c r="BF190" s="42" t="s">
        <v>16</v>
      </c>
      <c r="BG190" s="43" t="str">
        <f>IF(VLOOKUP(BF190,βοηθητικό!$J$2:$N$354,3,FALSE)="","",VLOOKUP(BF190,βοηθητικό!$J$2:$N$354,3,FALSE))</f>
        <v>_</v>
      </c>
      <c r="BH190" s="44"/>
      <c r="BI190" s="45" t="s">
        <v>16</v>
      </c>
      <c r="BJ190" s="46" t="str">
        <f>IF(VLOOKUP(BI190,βοηθητικό!$J$2:$N$354,3,FALSE)="","",VLOOKUP(BI190,βοηθητικό!$J$2:$N$354,3,FALSE))</f>
        <v>_</v>
      </c>
      <c r="BK190" s="47"/>
      <c r="BL190" s="42" t="s">
        <v>16</v>
      </c>
      <c r="BM190" s="43" t="str">
        <f>IF(VLOOKUP(BL190,βοηθητικό!$J$2:$N$354,3,FALSE)="","",VLOOKUP(BL190,βοηθητικό!$J$2:$N$354,3,FALSE))</f>
        <v>_</v>
      </c>
      <c r="BN190" s="44"/>
      <c r="BO190" s="45" t="s">
        <v>16</v>
      </c>
      <c r="BP190" s="46" t="str">
        <f>IF(VLOOKUP(BO190,βοηθητικό!$J$2:$N$354,3,FALSE)="","",VLOOKUP(BO190,βοηθητικό!$J$2:$N$354,3,FALSE))</f>
        <v>_</v>
      </c>
      <c r="BQ190" s="47"/>
      <c r="BR190" s="42" t="s">
        <v>16</v>
      </c>
      <c r="BS190" s="43" t="str">
        <f>IF(VLOOKUP(BR190,βοηθητικό!$J$2:$N$354,3,FALSE)="","",VLOOKUP(BR190,βοηθητικό!$J$2:$N$354,3,FALSE))</f>
        <v>_</v>
      </c>
      <c r="BT190" s="44"/>
      <c r="BU190" s="45" t="s">
        <v>16</v>
      </c>
      <c r="BV190" s="46" t="str">
        <f>IF(VLOOKUP(BU190,βοηθητικό!$J$2:$N$354,3,FALSE)="","",VLOOKUP(BU190,βοηθητικό!$J$2:$N$354,3,FALSE))</f>
        <v>_</v>
      </c>
      <c r="BW190" s="47"/>
      <c r="BX190" s="42" t="s">
        <v>16</v>
      </c>
      <c r="BY190" s="43" t="str">
        <f>IF(VLOOKUP(BX190,βοηθητικό!$J$2:$N$354,3,FALSE)="","",VLOOKUP(BX190,βοηθητικό!$J$2:$N$354,3,FALSE))</f>
        <v>_</v>
      </c>
      <c r="BZ190" s="44"/>
      <c r="CA190" s="45" t="s">
        <v>16</v>
      </c>
      <c r="CB190" s="46" t="str">
        <f>IF(VLOOKUP(CA190,βοηθητικό!$J$2:$N$354,3,FALSE)="","",VLOOKUP(CA190,βοηθητικό!$J$2:$N$354,3,FALSE))</f>
        <v>_</v>
      </c>
      <c r="CC190" s="47"/>
      <c r="CD190" s="42" t="s">
        <v>16</v>
      </c>
      <c r="CE190" s="43" t="str">
        <f>IF(VLOOKUP(CD190,βοηθητικό!$J$2:$N$354,3,FALSE)="","",VLOOKUP(CD190,βοηθητικό!$J$2:$N$354,3,FALSE))</f>
        <v>_</v>
      </c>
      <c r="CF190" s="44"/>
      <c r="CG190" s="45" t="s">
        <v>16</v>
      </c>
      <c r="CH190" s="46" t="str">
        <f>IF(VLOOKUP(CG190,βοηθητικό!$J$2:$N$354,3,FALSE)="","",VLOOKUP(CG190,βοηθητικό!$J$2:$N$354,3,FALSE))</f>
        <v>_</v>
      </c>
      <c r="CI190" s="47"/>
      <c r="CJ190" s="42" t="s">
        <v>16</v>
      </c>
      <c r="CK190" s="43" t="str">
        <f>IF(VLOOKUP(CJ190,βοηθητικό!$J$2:$N$354,3,FALSE)="","",VLOOKUP(CJ190,βοηθητικό!$J$2:$N$354,3,FALSE))</f>
        <v>_</v>
      </c>
      <c r="CL190" s="44"/>
      <c r="CM190" s="45" t="s">
        <v>16</v>
      </c>
      <c r="CN190" s="46" t="str">
        <f>IF(VLOOKUP(CM190,βοηθητικό!$J$2:$N$354,3,FALSE)="","",VLOOKUP(CM190,βοηθητικό!$J$2:$N$354,3,FALSE))</f>
        <v>_</v>
      </c>
      <c r="CO190" s="47"/>
      <c r="CP190" s="42" t="s">
        <v>16</v>
      </c>
      <c r="CQ190" s="43" t="str">
        <f>IF(VLOOKUP(CP190,βοηθητικό!$J$2:$N$354,3,FALSE)="","",VLOOKUP(CP190,βοηθητικό!$J$2:$N$354,3,FALSE))</f>
        <v>_</v>
      </c>
      <c r="CR190" s="44"/>
      <c r="CS190" s="45" t="s">
        <v>16</v>
      </c>
      <c r="CT190" s="46" t="str">
        <f>IF(VLOOKUP(CS190,βοηθητικό!$J$2:$N$354,3,FALSE)="","",VLOOKUP(CS190,βοηθητικό!$J$2:$N$354,3,FALSE))</f>
        <v>_</v>
      </c>
      <c r="CU190" s="47"/>
    </row>
    <row r="191" spans="1:99" x14ac:dyDescent="0.25">
      <c r="A191" s="37">
        <f>--SUBTOTAL(3,$B$3:B190)</f>
        <v>188</v>
      </c>
      <c r="B191" s="68">
        <v>45166</v>
      </c>
      <c r="C191" s="69">
        <v>45172</v>
      </c>
      <c r="D191" s="57" t="s">
        <v>115</v>
      </c>
      <c r="E191" s="38" t="s">
        <v>16</v>
      </c>
      <c r="F191" s="38" t="s">
        <v>16</v>
      </c>
      <c r="G191" s="39" t="str">
        <f t="shared" si="8"/>
        <v>__</v>
      </c>
      <c r="H191" s="40" t="str">
        <f t="shared" si="9"/>
        <v>FALSE</v>
      </c>
      <c r="I191" s="41">
        <f t="shared" si="10"/>
        <v>7</v>
      </c>
      <c r="J191" s="4" t="s">
        <v>1279</v>
      </c>
      <c r="K191" s="43" t="str">
        <f>IF(VLOOKUP(J191,βοηθητικό!$J$2:$N$354,3,FALSE)="","",VLOOKUP(J191,βοηθητικό!$J$2:$N$354,3,FALSE))</f>
        <v>6972820547</v>
      </c>
      <c r="L191" s="44"/>
      <c r="M191" s="5" t="s">
        <v>1331</v>
      </c>
      <c r="N191" s="46" t="str">
        <f>IF(VLOOKUP(M191,βοηθητικό!$J$2:$N$354,3,FALSE)="","",VLOOKUP(M191,βοηθητικό!$J$2:$N$354,3,FALSE))</f>
        <v>6942496492</v>
      </c>
      <c r="O191" s="47"/>
      <c r="P191" s="4" t="s">
        <v>1371</v>
      </c>
      <c r="Q191" s="43" t="str">
        <f>IF(VLOOKUP(P191,βοηθητικό!$J$2:$N$354,3,FALSE)="","",VLOOKUP(P191,βοηθητικό!$J$2:$N$354,3,FALSE))</f>
        <v>6977413847</v>
      </c>
      <c r="R191" s="44"/>
      <c r="S191" s="5" t="s">
        <v>1262</v>
      </c>
      <c r="T191" s="46" t="s">
        <v>1263</v>
      </c>
      <c r="U191" s="47"/>
      <c r="V191" s="4" t="s">
        <v>1276</v>
      </c>
      <c r="W191" s="43">
        <f>IF(VLOOKUP(V191,βοηθητικό!$J$2:$N$354,3,FALSE)="","",VLOOKUP(V191,βοηθητικό!$J$2:$N$354,3,FALSE))</f>
        <v>6936705244</v>
      </c>
      <c r="X191" s="44"/>
      <c r="Y191" s="5" t="s">
        <v>1310</v>
      </c>
      <c r="Z191" s="46" t="str">
        <f>IF(VLOOKUP(Y191,βοηθητικό!$J$2:$N$354,3,FALSE)="","",VLOOKUP(Y191,βοηθητικό!$J$2:$N$354,3,FALSE))</f>
        <v>6955003825</v>
      </c>
      <c r="AA191" s="47"/>
      <c r="AB191" s="4" t="s">
        <v>1339</v>
      </c>
      <c r="AC191" s="43" t="str">
        <f>IF(VLOOKUP(AB191,βοηθητικό!$J$2:$N$354,3,FALSE)="","",VLOOKUP(AB191,βοηθητικό!$J$2:$N$354,3,FALSE))</f>
        <v>6936582412</v>
      </c>
      <c r="AD191" s="44"/>
      <c r="AE191" s="5" t="s">
        <v>16</v>
      </c>
      <c r="AF191" s="46" t="str">
        <f>IF(VLOOKUP(AE191,βοηθητικό!$J$2:$N$354,3,FALSE)="","",VLOOKUP(AE191,βοηθητικό!$J$2:$N$354,3,FALSE))</f>
        <v>_</v>
      </c>
      <c r="AG191" s="47"/>
      <c r="AH191" s="4" t="s">
        <v>16</v>
      </c>
      <c r="AI191" s="43" t="str">
        <f>IF(VLOOKUP(AH191,βοηθητικό!$J$2:$N$354,3,FALSE)="","",VLOOKUP(AH191,βοηθητικό!$J$2:$N$354,3,FALSE))</f>
        <v>_</v>
      </c>
      <c r="AJ191" s="44"/>
      <c r="AK191" s="5" t="s">
        <v>16</v>
      </c>
      <c r="AL191" s="46" t="str">
        <f>IF(VLOOKUP(AK191,βοηθητικό!$J$2:$N$354,3,FALSE)="","",VLOOKUP(AK191,βοηθητικό!$J$2:$N$354,3,FALSE))</f>
        <v>_</v>
      </c>
      <c r="AM191" s="47"/>
      <c r="AN191" s="4" t="s">
        <v>16</v>
      </c>
      <c r="AO191" s="43" t="str">
        <f>IF(VLOOKUP(AN191,βοηθητικό!$J$2:$N$354,3,FALSE)="","",VLOOKUP(AN191,βοηθητικό!$J$2:$N$354,3,FALSE))</f>
        <v>_</v>
      </c>
      <c r="AP191" s="44"/>
      <c r="AQ191" s="5" t="s">
        <v>16</v>
      </c>
      <c r="AR191" s="46" t="str">
        <f>IF(VLOOKUP(AQ191,βοηθητικό!$J$2:$N$354,3,FALSE)="","",VLOOKUP(AQ191,βοηθητικό!$J$2:$N$354,3,FALSE))</f>
        <v>_</v>
      </c>
      <c r="AS191" s="47"/>
      <c r="AT191" s="4" t="s">
        <v>16</v>
      </c>
      <c r="AU191" s="43" t="str">
        <f>IF(VLOOKUP(AT191,βοηθητικό!$J$2:$N$354,3,FALSE)="","",VLOOKUP(AT191,βοηθητικό!$J$2:$N$354,3,FALSE))</f>
        <v>_</v>
      </c>
      <c r="AV191" s="44"/>
      <c r="AW191" s="5" t="s">
        <v>16</v>
      </c>
      <c r="AX191" s="46" t="str">
        <f>IF(VLOOKUP(AW191,βοηθητικό!$J$2:$N$354,3,FALSE)="","",VLOOKUP(AW191,βοηθητικό!$J$2:$N$354,3,FALSE))</f>
        <v>_</v>
      </c>
      <c r="AY191" s="47"/>
      <c r="AZ191" s="4" t="s">
        <v>16</v>
      </c>
      <c r="BA191" s="43" t="str">
        <f>IF(VLOOKUP(AZ191,βοηθητικό!$J$2:$N$354,3,FALSE)="","",VLOOKUP(AZ191,βοηθητικό!$J$2:$N$354,3,FALSE))</f>
        <v>_</v>
      </c>
      <c r="BB191" s="44"/>
      <c r="BC191" s="45" t="s">
        <v>16</v>
      </c>
      <c r="BD191" s="46" t="str">
        <f>IF(VLOOKUP(BC191,βοηθητικό!$J$2:$N$354,3,FALSE)="","",VLOOKUP(BC191,βοηθητικό!$J$2:$N$354,3,FALSE))</f>
        <v>_</v>
      </c>
      <c r="BE191" s="47"/>
      <c r="BF191" s="42" t="s">
        <v>16</v>
      </c>
      <c r="BG191" s="43" t="str">
        <f>IF(VLOOKUP(BF191,βοηθητικό!$J$2:$N$354,3,FALSE)="","",VLOOKUP(BF191,βοηθητικό!$J$2:$N$354,3,FALSE))</f>
        <v>_</v>
      </c>
      <c r="BH191" s="44"/>
      <c r="BI191" s="45" t="s">
        <v>16</v>
      </c>
      <c r="BJ191" s="46" t="str">
        <f>IF(VLOOKUP(BI191,βοηθητικό!$J$2:$N$354,3,FALSE)="","",VLOOKUP(BI191,βοηθητικό!$J$2:$N$354,3,FALSE))</f>
        <v>_</v>
      </c>
      <c r="BK191" s="47"/>
      <c r="BL191" s="42" t="s">
        <v>16</v>
      </c>
      <c r="BM191" s="43" t="str">
        <f>IF(VLOOKUP(BL191,βοηθητικό!$J$2:$N$354,3,FALSE)="","",VLOOKUP(BL191,βοηθητικό!$J$2:$N$354,3,FALSE))</f>
        <v>_</v>
      </c>
      <c r="BN191" s="44"/>
      <c r="BO191" s="45" t="s">
        <v>16</v>
      </c>
      <c r="BP191" s="46" t="str">
        <f>IF(VLOOKUP(BO191,βοηθητικό!$J$2:$N$354,3,FALSE)="","",VLOOKUP(BO191,βοηθητικό!$J$2:$N$354,3,FALSE))</f>
        <v>_</v>
      </c>
      <c r="BQ191" s="47"/>
      <c r="BR191" s="42" t="s">
        <v>16</v>
      </c>
      <c r="BS191" s="43" t="str">
        <f>IF(VLOOKUP(BR191,βοηθητικό!$J$2:$N$354,3,FALSE)="","",VLOOKUP(BR191,βοηθητικό!$J$2:$N$354,3,FALSE))</f>
        <v>_</v>
      </c>
      <c r="BT191" s="44"/>
      <c r="BU191" s="45" t="s">
        <v>16</v>
      </c>
      <c r="BV191" s="46" t="str">
        <f>IF(VLOOKUP(BU191,βοηθητικό!$J$2:$N$354,3,FALSE)="","",VLOOKUP(BU191,βοηθητικό!$J$2:$N$354,3,FALSE))</f>
        <v>_</v>
      </c>
      <c r="BW191" s="47"/>
      <c r="BX191" s="42" t="s">
        <v>16</v>
      </c>
      <c r="BY191" s="43" t="str">
        <f>IF(VLOOKUP(BX191,βοηθητικό!$J$2:$N$354,3,FALSE)="","",VLOOKUP(BX191,βοηθητικό!$J$2:$N$354,3,FALSE))</f>
        <v>_</v>
      </c>
      <c r="BZ191" s="44"/>
      <c r="CA191" s="45" t="s">
        <v>16</v>
      </c>
      <c r="CB191" s="46" t="str">
        <f>IF(VLOOKUP(CA191,βοηθητικό!$J$2:$N$354,3,FALSE)="","",VLOOKUP(CA191,βοηθητικό!$J$2:$N$354,3,FALSE))</f>
        <v>_</v>
      </c>
      <c r="CC191" s="47"/>
      <c r="CD191" s="42" t="s">
        <v>16</v>
      </c>
      <c r="CE191" s="43" t="str">
        <f>IF(VLOOKUP(CD191,βοηθητικό!$J$2:$N$354,3,FALSE)="","",VLOOKUP(CD191,βοηθητικό!$J$2:$N$354,3,FALSE))</f>
        <v>_</v>
      </c>
      <c r="CF191" s="44"/>
      <c r="CG191" s="45" t="s">
        <v>16</v>
      </c>
      <c r="CH191" s="46" t="str">
        <f>IF(VLOOKUP(CG191,βοηθητικό!$J$2:$N$354,3,FALSE)="","",VLOOKUP(CG191,βοηθητικό!$J$2:$N$354,3,FALSE))</f>
        <v>_</v>
      </c>
      <c r="CI191" s="47"/>
      <c r="CJ191" s="42" t="s">
        <v>16</v>
      </c>
      <c r="CK191" s="43" t="str">
        <f>IF(VLOOKUP(CJ191,βοηθητικό!$J$2:$N$354,3,FALSE)="","",VLOOKUP(CJ191,βοηθητικό!$J$2:$N$354,3,FALSE))</f>
        <v>_</v>
      </c>
      <c r="CL191" s="44"/>
      <c r="CM191" s="45" t="s">
        <v>16</v>
      </c>
      <c r="CN191" s="46" t="str">
        <f>IF(VLOOKUP(CM191,βοηθητικό!$J$2:$N$354,3,FALSE)="","",VLOOKUP(CM191,βοηθητικό!$J$2:$N$354,3,FALSE))</f>
        <v>_</v>
      </c>
      <c r="CO191" s="47"/>
      <c r="CP191" s="42" t="s">
        <v>16</v>
      </c>
      <c r="CQ191" s="43" t="str">
        <f>IF(VLOOKUP(CP191,βοηθητικό!$J$2:$N$354,3,FALSE)="","",VLOOKUP(CP191,βοηθητικό!$J$2:$N$354,3,FALSE))</f>
        <v>_</v>
      </c>
      <c r="CR191" s="44"/>
      <c r="CS191" s="45" t="s">
        <v>16</v>
      </c>
      <c r="CT191" s="46" t="str">
        <f>IF(VLOOKUP(CS191,βοηθητικό!$J$2:$N$354,3,FALSE)="","",VLOOKUP(CS191,βοηθητικό!$J$2:$N$354,3,FALSE))</f>
        <v>_</v>
      </c>
      <c r="CU191" s="47"/>
    </row>
    <row r="192" spans="1:99" x14ac:dyDescent="0.25">
      <c r="A192" s="37">
        <f>--SUBTOTAL(3,$B$3:B191)</f>
        <v>189</v>
      </c>
      <c r="B192" s="68">
        <v>45173</v>
      </c>
      <c r="C192" s="69">
        <v>45179</v>
      </c>
      <c r="D192" s="57" t="s">
        <v>115</v>
      </c>
      <c r="E192" s="38" t="s">
        <v>16</v>
      </c>
      <c r="F192" s="38" t="s">
        <v>16</v>
      </c>
      <c r="G192" s="39" t="str">
        <f t="shared" si="8"/>
        <v>__</v>
      </c>
      <c r="H192" s="40" t="str">
        <f t="shared" si="9"/>
        <v>FALSE</v>
      </c>
      <c r="I192" s="41">
        <f t="shared" si="10"/>
        <v>7</v>
      </c>
      <c r="J192" s="4" t="s">
        <v>1318</v>
      </c>
      <c r="K192" s="43" t="str">
        <f>IF(VLOOKUP(J192,βοηθητικό!$J$2:$N$354,3,FALSE)="","",VLOOKUP(J192,βοηθητικό!$J$2:$N$354,3,FALSE))</f>
        <v>6977421366</v>
      </c>
      <c r="L192" s="44"/>
      <c r="M192" s="5" t="s">
        <v>1355</v>
      </c>
      <c r="N192" s="46" t="str">
        <f>IF(VLOOKUP(M192,βοηθητικό!$J$2:$N$354,3,FALSE)="","",VLOOKUP(M192,βοηθητικό!$J$2:$N$354,3,FALSE))</f>
        <v>6985127305</v>
      </c>
      <c r="O192" s="47"/>
      <c r="P192" s="4" t="s">
        <v>1375</v>
      </c>
      <c r="Q192" s="43" t="str">
        <f>IF(VLOOKUP(P192,βοηθητικό!$J$2:$N$354,3,FALSE)="","",VLOOKUP(P192,βοηθητικό!$J$2:$N$354,3,FALSE))</f>
        <v>6948880905</v>
      </c>
      <c r="R192" s="44"/>
      <c r="S192" s="5" t="s">
        <v>1403</v>
      </c>
      <c r="T192" s="46" t="s">
        <v>1404</v>
      </c>
      <c r="U192" s="47"/>
      <c r="V192" s="4" t="s">
        <v>1295</v>
      </c>
      <c r="W192" s="43" t="str">
        <f>IF(VLOOKUP(V192,βοηθητικό!$J$2:$N$354,3,FALSE)="","",VLOOKUP(V192,βοηθητικό!$J$2:$N$354,3,FALSE))</f>
        <v>6973559599</v>
      </c>
      <c r="X192" s="44"/>
      <c r="Y192" s="5" t="s">
        <v>1326</v>
      </c>
      <c r="Z192" s="46" t="str">
        <f>IF(VLOOKUP(Y192,βοηθητικό!$J$2:$N$354,3,FALSE)="","",VLOOKUP(Y192,βοηθητικό!$J$2:$N$354,3,FALSE))</f>
        <v>6944050931</v>
      </c>
      <c r="AA192" s="47"/>
      <c r="AB192" s="4" t="s">
        <v>1363</v>
      </c>
      <c r="AC192" s="43" t="str">
        <f>IF(VLOOKUP(AB192,βοηθητικό!$J$2:$N$354,3,FALSE)="","",VLOOKUP(AB192,βοηθητικό!$J$2:$N$354,3,FALSE))</f>
        <v>6949144335 6932257519</v>
      </c>
      <c r="AD192" s="44"/>
      <c r="AE192" s="5" t="s">
        <v>16</v>
      </c>
      <c r="AF192" s="46" t="str">
        <f>IF(VLOOKUP(AE192,βοηθητικό!$J$2:$N$354,3,FALSE)="","",VLOOKUP(AE192,βοηθητικό!$J$2:$N$354,3,FALSE))</f>
        <v>_</v>
      </c>
      <c r="AG192" s="47"/>
      <c r="AH192" s="4" t="s">
        <v>16</v>
      </c>
      <c r="AI192" s="43" t="str">
        <f>IF(VLOOKUP(AH192,βοηθητικό!$J$2:$N$354,3,FALSE)="","",VLOOKUP(AH192,βοηθητικό!$J$2:$N$354,3,FALSE))</f>
        <v>_</v>
      </c>
      <c r="AJ192" s="44"/>
      <c r="AK192" s="5" t="s">
        <v>16</v>
      </c>
      <c r="AL192" s="46" t="str">
        <f>IF(VLOOKUP(AK192,βοηθητικό!$J$2:$N$354,3,FALSE)="","",VLOOKUP(AK192,βοηθητικό!$J$2:$N$354,3,FALSE))</f>
        <v>_</v>
      </c>
      <c r="AM192" s="47"/>
      <c r="AN192" s="4" t="s">
        <v>16</v>
      </c>
      <c r="AO192" s="43" t="str">
        <f>IF(VLOOKUP(AN192,βοηθητικό!$J$2:$N$354,3,FALSE)="","",VLOOKUP(AN192,βοηθητικό!$J$2:$N$354,3,FALSE))</f>
        <v>_</v>
      </c>
      <c r="AP192" s="44"/>
      <c r="AQ192" s="5" t="s">
        <v>16</v>
      </c>
      <c r="AR192" s="46" t="str">
        <f>IF(VLOOKUP(AQ192,βοηθητικό!$J$2:$N$354,3,FALSE)="","",VLOOKUP(AQ192,βοηθητικό!$J$2:$N$354,3,FALSE))</f>
        <v>_</v>
      </c>
      <c r="AS192" s="47"/>
      <c r="AT192" s="4" t="s">
        <v>16</v>
      </c>
      <c r="AU192" s="43" t="str">
        <f>IF(VLOOKUP(AT192,βοηθητικό!$J$2:$N$354,3,FALSE)="","",VLOOKUP(AT192,βοηθητικό!$J$2:$N$354,3,FALSE))</f>
        <v>_</v>
      </c>
      <c r="AV192" s="44"/>
      <c r="AW192" s="5" t="s">
        <v>16</v>
      </c>
      <c r="AX192" s="46" t="str">
        <f>IF(VLOOKUP(AW192,βοηθητικό!$J$2:$N$354,3,FALSE)="","",VLOOKUP(AW192,βοηθητικό!$J$2:$N$354,3,FALSE))</f>
        <v>_</v>
      </c>
      <c r="AY192" s="47"/>
      <c r="AZ192" s="4" t="s">
        <v>16</v>
      </c>
      <c r="BA192" s="43" t="str">
        <f>IF(VLOOKUP(AZ192,βοηθητικό!$J$2:$N$354,3,FALSE)="","",VLOOKUP(AZ192,βοηθητικό!$J$2:$N$354,3,FALSE))</f>
        <v>_</v>
      </c>
      <c r="BB192" s="44"/>
      <c r="BC192" s="45" t="s">
        <v>16</v>
      </c>
      <c r="BD192" s="46" t="str">
        <f>IF(VLOOKUP(BC192,βοηθητικό!$J$2:$N$354,3,FALSE)="","",VLOOKUP(BC192,βοηθητικό!$J$2:$N$354,3,FALSE))</f>
        <v>_</v>
      </c>
      <c r="BE192" s="47"/>
      <c r="BF192" s="42" t="s">
        <v>16</v>
      </c>
      <c r="BG192" s="43" t="str">
        <f>IF(VLOOKUP(BF192,βοηθητικό!$J$2:$N$354,3,FALSE)="","",VLOOKUP(BF192,βοηθητικό!$J$2:$N$354,3,FALSE))</f>
        <v>_</v>
      </c>
      <c r="BH192" s="44"/>
      <c r="BI192" s="45" t="s">
        <v>16</v>
      </c>
      <c r="BJ192" s="46" t="str">
        <f>IF(VLOOKUP(BI192,βοηθητικό!$J$2:$N$354,3,FALSE)="","",VLOOKUP(BI192,βοηθητικό!$J$2:$N$354,3,FALSE))</f>
        <v>_</v>
      </c>
      <c r="BK192" s="47"/>
      <c r="BL192" s="42" t="s">
        <v>16</v>
      </c>
      <c r="BM192" s="43" t="str">
        <f>IF(VLOOKUP(BL192,βοηθητικό!$J$2:$N$354,3,FALSE)="","",VLOOKUP(BL192,βοηθητικό!$J$2:$N$354,3,FALSE))</f>
        <v>_</v>
      </c>
      <c r="BN192" s="44"/>
      <c r="BO192" s="45" t="s">
        <v>16</v>
      </c>
      <c r="BP192" s="46" t="str">
        <f>IF(VLOOKUP(BO192,βοηθητικό!$J$2:$N$354,3,FALSE)="","",VLOOKUP(BO192,βοηθητικό!$J$2:$N$354,3,FALSE))</f>
        <v>_</v>
      </c>
      <c r="BQ192" s="47"/>
      <c r="BR192" s="42" t="s">
        <v>16</v>
      </c>
      <c r="BS192" s="43" t="str">
        <f>IF(VLOOKUP(BR192,βοηθητικό!$J$2:$N$354,3,FALSE)="","",VLOOKUP(BR192,βοηθητικό!$J$2:$N$354,3,FALSE))</f>
        <v>_</v>
      </c>
      <c r="BT192" s="44"/>
      <c r="BU192" s="45" t="s">
        <v>16</v>
      </c>
      <c r="BV192" s="46" t="str">
        <f>IF(VLOOKUP(BU192,βοηθητικό!$J$2:$N$354,3,FALSE)="","",VLOOKUP(BU192,βοηθητικό!$J$2:$N$354,3,FALSE))</f>
        <v>_</v>
      </c>
      <c r="BW192" s="47"/>
      <c r="BX192" s="42" t="s">
        <v>16</v>
      </c>
      <c r="BY192" s="43" t="str">
        <f>IF(VLOOKUP(BX192,βοηθητικό!$J$2:$N$354,3,FALSE)="","",VLOOKUP(BX192,βοηθητικό!$J$2:$N$354,3,FALSE))</f>
        <v>_</v>
      </c>
      <c r="BZ192" s="44"/>
      <c r="CA192" s="45" t="s">
        <v>16</v>
      </c>
      <c r="CB192" s="46" t="str">
        <f>IF(VLOOKUP(CA192,βοηθητικό!$J$2:$N$354,3,FALSE)="","",VLOOKUP(CA192,βοηθητικό!$J$2:$N$354,3,FALSE))</f>
        <v>_</v>
      </c>
      <c r="CC192" s="47"/>
      <c r="CD192" s="42" t="s">
        <v>16</v>
      </c>
      <c r="CE192" s="43" t="str">
        <f>IF(VLOOKUP(CD192,βοηθητικό!$J$2:$N$354,3,FALSE)="","",VLOOKUP(CD192,βοηθητικό!$J$2:$N$354,3,FALSE))</f>
        <v>_</v>
      </c>
      <c r="CF192" s="44"/>
      <c r="CG192" s="45" t="s">
        <v>16</v>
      </c>
      <c r="CH192" s="46" t="str">
        <f>IF(VLOOKUP(CG192,βοηθητικό!$J$2:$N$354,3,FALSE)="","",VLOOKUP(CG192,βοηθητικό!$J$2:$N$354,3,FALSE))</f>
        <v>_</v>
      </c>
      <c r="CI192" s="47"/>
      <c r="CJ192" s="42" t="s">
        <v>16</v>
      </c>
      <c r="CK192" s="43" t="str">
        <f>IF(VLOOKUP(CJ192,βοηθητικό!$J$2:$N$354,3,FALSE)="","",VLOOKUP(CJ192,βοηθητικό!$J$2:$N$354,3,FALSE))</f>
        <v>_</v>
      </c>
      <c r="CL192" s="44"/>
      <c r="CM192" s="45" t="s">
        <v>16</v>
      </c>
      <c r="CN192" s="46" t="str">
        <f>IF(VLOOKUP(CM192,βοηθητικό!$J$2:$N$354,3,FALSE)="","",VLOOKUP(CM192,βοηθητικό!$J$2:$N$354,3,FALSE))</f>
        <v>_</v>
      </c>
      <c r="CO192" s="47"/>
      <c r="CP192" s="42" t="s">
        <v>16</v>
      </c>
      <c r="CQ192" s="43" t="str">
        <f>IF(VLOOKUP(CP192,βοηθητικό!$J$2:$N$354,3,FALSE)="","",VLOOKUP(CP192,βοηθητικό!$J$2:$N$354,3,FALSE))</f>
        <v>_</v>
      </c>
      <c r="CR192" s="44"/>
      <c r="CS192" s="45" t="s">
        <v>16</v>
      </c>
      <c r="CT192" s="46" t="str">
        <f>IF(VLOOKUP(CS192,βοηθητικό!$J$2:$N$354,3,FALSE)="","",VLOOKUP(CS192,βοηθητικό!$J$2:$N$354,3,FALSE))</f>
        <v>_</v>
      </c>
      <c r="CU192" s="47"/>
    </row>
    <row r="193" spans="1:99" x14ac:dyDescent="0.25">
      <c r="A193" s="37">
        <f>--SUBTOTAL(3,$B$3:B192)</f>
        <v>190</v>
      </c>
      <c r="B193" s="68">
        <v>45180</v>
      </c>
      <c r="C193" s="69">
        <v>45186</v>
      </c>
      <c r="D193" s="57" t="s">
        <v>115</v>
      </c>
      <c r="E193" s="38" t="s">
        <v>16</v>
      </c>
      <c r="F193" s="38" t="s">
        <v>16</v>
      </c>
      <c r="G193" s="39" t="str">
        <f t="shared" si="8"/>
        <v>__</v>
      </c>
      <c r="H193" s="40" t="str">
        <f t="shared" si="9"/>
        <v>FALSE</v>
      </c>
      <c r="I193" s="41">
        <f t="shared" si="10"/>
        <v>7</v>
      </c>
      <c r="J193" s="4" t="s">
        <v>1287</v>
      </c>
      <c r="K193" s="43" t="str">
        <f>IF(VLOOKUP(J193,βοηθητικό!$J$2:$N$354,3,FALSE)="","",VLOOKUP(J193,βοηθητικό!$J$2:$N$354,3,FALSE))</f>
        <v>6939405094</v>
      </c>
      <c r="L193" s="44"/>
      <c r="M193" s="5" t="s">
        <v>1302</v>
      </c>
      <c r="N193" s="46" t="str">
        <f>IF(VLOOKUP(M193,βοηθητικό!$J$2:$N$354,3,FALSE)="","",VLOOKUP(M193,βοηθητικό!$J$2:$N$354,3,FALSE))</f>
        <v>6984576537</v>
      </c>
      <c r="O193" s="47"/>
      <c r="P193" s="4" t="s">
        <v>1335</v>
      </c>
      <c r="Q193" s="43" t="str">
        <f>IF(VLOOKUP(P193,βοηθητικό!$J$2:$N$354,3,FALSE)="","",VLOOKUP(P193,βοηθητικό!$J$2:$N$354,3,FALSE))</f>
        <v>6944757544</v>
      </c>
      <c r="R193" s="44"/>
      <c r="S193" s="5" t="s">
        <v>1343</v>
      </c>
      <c r="T193" s="46" t="s">
        <v>1344</v>
      </c>
      <c r="U193" s="47"/>
      <c r="V193" s="4" t="s">
        <v>1274</v>
      </c>
      <c r="W193" s="43">
        <f>IF(VLOOKUP(V193,βοηθητικό!$J$2:$N$354,3,FALSE)="","",VLOOKUP(V193,βοηθητικό!$J$2:$N$354,3,FALSE))</f>
        <v>6947007553</v>
      </c>
      <c r="X193" s="44"/>
      <c r="Y193" s="5" t="s">
        <v>1391</v>
      </c>
      <c r="Z193" s="46" t="str">
        <f>IF(VLOOKUP(Y193,βοηθητικό!$J$2:$N$354,3,FALSE)="","",VLOOKUP(Y193,βοηθητικό!$J$2:$N$354,3,FALSE))</f>
        <v>6977638141</v>
      </c>
      <c r="AA193" s="47"/>
      <c r="AB193" s="4" t="s">
        <v>1291</v>
      </c>
      <c r="AC193" s="43" t="str">
        <f>IF(VLOOKUP(AB193,βοηθητικό!$J$2:$N$354,3,FALSE)="","",VLOOKUP(AB193,βοηθητικό!$J$2:$N$354,3,FALSE))</f>
        <v>6985677805</v>
      </c>
      <c r="AD193" s="44"/>
      <c r="AE193" s="5" t="s">
        <v>16</v>
      </c>
      <c r="AF193" s="46" t="str">
        <f>IF(VLOOKUP(AE193,βοηθητικό!$J$2:$N$354,3,FALSE)="","",VLOOKUP(AE193,βοηθητικό!$J$2:$N$354,3,FALSE))</f>
        <v>_</v>
      </c>
      <c r="AG193" s="47"/>
      <c r="AH193" s="4" t="s">
        <v>16</v>
      </c>
      <c r="AI193" s="43" t="str">
        <f>IF(VLOOKUP(AH193,βοηθητικό!$J$2:$N$354,3,FALSE)="","",VLOOKUP(AH193,βοηθητικό!$J$2:$N$354,3,FALSE))</f>
        <v>_</v>
      </c>
      <c r="AJ193" s="44"/>
      <c r="AK193" s="5" t="s">
        <v>16</v>
      </c>
      <c r="AL193" s="46" t="str">
        <f>IF(VLOOKUP(AK193,βοηθητικό!$J$2:$N$354,3,FALSE)="","",VLOOKUP(AK193,βοηθητικό!$J$2:$N$354,3,FALSE))</f>
        <v>_</v>
      </c>
      <c r="AM193" s="47"/>
      <c r="AN193" s="4" t="s">
        <v>16</v>
      </c>
      <c r="AO193" s="43" t="str">
        <f>IF(VLOOKUP(AN193,βοηθητικό!$J$2:$N$354,3,FALSE)="","",VLOOKUP(AN193,βοηθητικό!$J$2:$N$354,3,FALSE))</f>
        <v>_</v>
      </c>
      <c r="AP193" s="44"/>
      <c r="AQ193" s="5" t="s">
        <v>16</v>
      </c>
      <c r="AR193" s="46" t="str">
        <f>IF(VLOOKUP(AQ193,βοηθητικό!$J$2:$N$354,3,FALSE)="","",VLOOKUP(AQ193,βοηθητικό!$J$2:$N$354,3,FALSE))</f>
        <v>_</v>
      </c>
      <c r="AS193" s="47"/>
      <c r="AT193" s="4" t="s">
        <v>16</v>
      </c>
      <c r="AU193" s="43" t="str">
        <f>IF(VLOOKUP(AT193,βοηθητικό!$J$2:$N$354,3,FALSE)="","",VLOOKUP(AT193,βοηθητικό!$J$2:$N$354,3,FALSE))</f>
        <v>_</v>
      </c>
      <c r="AV193" s="44"/>
      <c r="AW193" s="5" t="s">
        <v>16</v>
      </c>
      <c r="AX193" s="46" t="str">
        <f>IF(VLOOKUP(AW193,βοηθητικό!$J$2:$N$354,3,FALSE)="","",VLOOKUP(AW193,βοηθητικό!$J$2:$N$354,3,FALSE))</f>
        <v>_</v>
      </c>
      <c r="AY193" s="47"/>
      <c r="AZ193" s="4" t="s">
        <v>16</v>
      </c>
      <c r="BA193" s="43" t="str">
        <f>IF(VLOOKUP(AZ193,βοηθητικό!$J$2:$N$354,3,FALSE)="","",VLOOKUP(AZ193,βοηθητικό!$J$2:$N$354,3,FALSE))</f>
        <v>_</v>
      </c>
      <c r="BB193" s="44"/>
      <c r="BC193" s="45" t="s">
        <v>16</v>
      </c>
      <c r="BD193" s="46" t="str">
        <f>IF(VLOOKUP(BC193,βοηθητικό!$J$2:$N$354,3,FALSE)="","",VLOOKUP(BC193,βοηθητικό!$J$2:$N$354,3,FALSE))</f>
        <v>_</v>
      </c>
      <c r="BE193" s="47"/>
      <c r="BF193" s="42" t="s">
        <v>16</v>
      </c>
      <c r="BG193" s="43" t="str">
        <f>IF(VLOOKUP(BF193,βοηθητικό!$J$2:$N$354,3,FALSE)="","",VLOOKUP(BF193,βοηθητικό!$J$2:$N$354,3,FALSE))</f>
        <v>_</v>
      </c>
      <c r="BH193" s="44"/>
      <c r="BI193" s="45" t="s">
        <v>16</v>
      </c>
      <c r="BJ193" s="46" t="str">
        <f>IF(VLOOKUP(BI193,βοηθητικό!$J$2:$N$354,3,FALSE)="","",VLOOKUP(BI193,βοηθητικό!$J$2:$N$354,3,FALSE))</f>
        <v>_</v>
      </c>
      <c r="BK193" s="47"/>
      <c r="BL193" s="42" t="s">
        <v>16</v>
      </c>
      <c r="BM193" s="43" t="str">
        <f>IF(VLOOKUP(BL193,βοηθητικό!$J$2:$N$354,3,FALSE)="","",VLOOKUP(BL193,βοηθητικό!$J$2:$N$354,3,FALSE))</f>
        <v>_</v>
      </c>
      <c r="BN193" s="44"/>
      <c r="BO193" s="45" t="s">
        <v>16</v>
      </c>
      <c r="BP193" s="46" t="str">
        <f>IF(VLOOKUP(BO193,βοηθητικό!$J$2:$N$354,3,FALSE)="","",VLOOKUP(BO193,βοηθητικό!$J$2:$N$354,3,FALSE))</f>
        <v>_</v>
      </c>
      <c r="BQ193" s="47"/>
      <c r="BR193" s="42" t="s">
        <v>16</v>
      </c>
      <c r="BS193" s="43" t="str">
        <f>IF(VLOOKUP(BR193,βοηθητικό!$J$2:$N$354,3,FALSE)="","",VLOOKUP(BR193,βοηθητικό!$J$2:$N$354,3,FALSE))</f>
        <v>_</v>
      </c>
      <c r="BT193" s="44"/>
      <c r="BU193" s="45" t="s">
        <v>16</v>
      </c>
      <c r="BV193" s="46" t="str">
        <f>IF(VLOOKUP(BU193,βοηθητικό!$J$2:$N$354,3,FALSE)="","",VLOOKUP(BU193,βοηθητικό!$J$2:$N$354,3,FALSE))</f>
        <v>_</v>
      </c>
      <c r="BW193" s="47"/>
      <c r="BX193" s="42" t="s">
        <v>16</v>
      </c>
      <c r="BY193" s="43" t="str">
        <f>IF(VLOOKUP(BX193,βοηθητικό!$J$2:$N$354,3,FALSE)="","",VLOOKUP(BX193,βοηθητικό!$J$2:$N$354,3,FALSE))</f>
        <v>_</v>
      </c>
      <c r="BZ193" s="44"/>
      <c r="CA193" s="45" t="s">
        <v>16</v>
      </c>
      <c r="CB193" s="46" t="str">
        <f>IF(VLOOKUP(CA193,βοηθητικό!$J$2:$N$354,3,FALSE)="","",VLOOKUP(CA193,βοηθητικό!$J$2:$N$354,3,FALSE))</f>
        <v>_</v>
      </c>
      <c r="CC193" s="47"/>
      <c r="CD193" s="42" t="s">
        <v>16</v>
      </c>
      <c r="CE193" s="43" t="str">
        <f>IF(VLOOKUP(CD193,βοηθητικό!$J$2:$N$354,3,FALSE)="","",VLOOKUP(CD193,βοηθητικό!$J$2:$N$354,3,FALSE))</f>
        <v>_</v>
      </c>
      <c r="CF193" s="44"/>
      <c r="CG193" s="45" t="s">
        <v>16</v>
      </c>
      <c r="CH193" s="46" t="str">
        <f>IF(VLOOKUP(CG193,βοηθητικό!$J$2:$N$354,3,FALSE)="","",VLOOKUP(CG193,βοηθητικό!$J$2:$N$354,3,FALSE))</f>
        <v>_</v>
      </c>
      <c r="CI193" s="47"/>
      <c r="CJ193" s="42" t="s">
        <v>16</v>
      </c>
      <c r="CK193" s="43" t="str">
        <f>IF(VLOOKUP(CJ193,βοηθητικό!$J$2:$N$354,3,FALSE)="","",VLOOKUP(CJ193,βοηθητικό!$J$2:$N$354,3,FALSE))</f>
        <v>_</v>
      </c>
      <c r="CL193" s="44"/>
      <c r="CM193" s="45" t="s">
        <v>16</v>
      </c>
      <c r="CN193" s="46" t="str">
        <f>IF(VLOOKUP(CM193,βοηθητικό!$J$2:$N$354,3,FALSE)="","",VLOOKUP(CM193,βοηθητικό!$J$2:$N$354,3,FALSE))</f>
        <v>_</v>
      </c>
      <c r="CO193" s="47"/>
      <c r="CP193" s="42" t="s">
        <v>16</v>
      </c>
      <c r="CQ193" s="43" t="str">
        <f>IF(VLOOKUP(CP193,βοηθητικό!$J$2:$N$354,3,FALSE)="","",VLOOKUP(CP193,βοηθητικό!$J$2:$N$354,3,FALSE))</f>
        <v>_</v>
      </c>
      <c r="CR193" s="44"/>
      <c r="CS193" s="45" t="s">
        <v>16</v>
      </c>
      <c r="CT193" s="46" t="str">
        <f>IF(VLOOKUP(CS193,βοηθητικό!$J$2:$N$354,3,FALSE)="","",VLOOKUP(CS193,βοηθητικό!$J$2:$N$354,3,FALSE))</f>
        <v>_</v>
      </c>
      <c r="CU193" s="47"/>
    </row>
    <row r="194" spans="1:99" x14ac:dyDescent="0.25">
      <c r="A194" s="37">
        <f>--SUBTOTAL(3,$B$3:B193)</f>
        <v>191</v>
      </c>
      <c r="B194" s="68">
        <v>45187</v>
      </c>
      <c r="C194" s="69">
        <v>45193</v>
      </c>
      <c r="D194" s="57" t="s">
        <v>115</v>
      </c>
      <c r="E194" s="38" t="s">
        <v>16</v>
      </c>
      <c r="F194" s="38" t="s">
        <v>16</v>
      </c>
      <c r="G194" s="39" t="str">
        <f t="shared" si="8"/>
        <v>__</v>
      </c>
      <c r="H194" s="40" t="str">
        <f t="shared" si="9"/>
        <v>FALSE</v>
      </c>
      <c r="I194" s="41">
        <f t="shared" si="10"/>
        <v>7</v>
      </c>
      <c r="J194" s="4" t="s">
        <v>1306</v>
      </c>
      <c r="K194" s="43" t="str">
        <f>IF(VLOOKUP(J194,βοηθητικό!$J$2:$N$354,3,FALSE)="","",VLOOKUP(J194,βοηθητικό!$J$2:$N$354,3,FALSE))</f>
        <v>6932637784</v>
      </c>
      <c r="L194" s="44"/>
      <c r="M194" s="5" t="s">
        <v>1322</v>
      </c>
      <c r="N194" s="46" t="str">
        <f>IF(VLOOKUP(M194,βοηθητικό!$J$2:$N$354,3,FALSE)="","",VLOOKUP(M194,βοηθητικό!$J$2:$N$354,3,FALSE))</f>
        <v>6977303667</v>
      </c>
      <c r="O194" s="47"/>
      <c r="P194" s="4" t="s">
        <v>1359</v>
      </c>
      <c r="Q194" s="43" t="str">
        <f>IF(VLOOKUP(P194,βοηθητικό!$J$2:$N$354,3,FALSE)="","",VLOOKUP(P194,βοηθητικό!$J$2:$N$354,3,FALSE))</f>
        <v>6934066535</v>
      </c>
      <c r="R194" s="44"/>
      <c r="S194" s="5" t="s">
        <v>1383</v>
      </c>
      <c r="T194" s="46" t="s">
        <v>1384</v>
      </c>
      <c r="U194" s="47"/>
      <c r="V194" s="4" t="s">
        <v>1258</v>
      </c>
      <c r="W194" s="43" t="str">
        <f>IF(VLOOKUP(V194,βοηθητικό!$J$2:$N$354,3,FALSE)="","",VLOOKUP(V194,βοηθητικό!$J$2:$N$354,3,FALSE))</f>
        <v>6972087747</v>
      </c>
      <c r="X194" s="44"/>
      <c r="Y194" s="5" t="s">
        <v>1283</v>
      </c>
      <c r="Z194" s="46" t="str">
        <f>IF(VLOOKUP(Y194,βοηθητικό!$J$2:$N$354,3,FALSE)="","",VLOOKUP(Y194,βοηθητικό!$J$2:$N$354,3,FALSE))</f>
        <v>6939327305</v>
      </c>
      <c r="AA194" s="47"/>
      <c r="AB194" s="4" t="s">
        <v>1395</v>
      </c>
      <c r="AC194" s="43" t="str">
        <f>IF(VLOOKUP(AB194,βοηθητικό!$J$2:$N$354,3,FALSE)="","",VLOOKUP(AB194,βοηθητικό!$J$2:$N$354,3,FALSE))</f>
        <v>6994789972</v>
      </c>
      <c r="AD194" s="44"/>
      <c r="AE194" s="5" t="s">
        <v>16</v>
      </c>
      <c r="AF194" s="46" t="str">
        <f>IF(VLOOKUP(AE194,βοηθητικό!$J$2:$N$354,3,FALSE)="","",VLOOKUP(AE194,βοηθητικό!$J$2:$N$354,3,FALSE))</f>
        <v>_</v>
      </c>
      <c r="AG194" s="47"/>
      <c r="AH194" s="4" t="s">
        <v>16</v>
      </c>
      <c r="AI194" s="43" t="str">
        <f>IF(VLOOKUP(AH194,βοηθητικό!$J$2:$N$354,3,FALSE)="","",VLOOKUP(AH194,βοηθητικό!$J$2:$N$354,3,FALSE))</f>
        <v>_</v>
      </c>
      <c r="AJ194" s="44"/>
      <c r="AK194" s="5" t="s">
        <v>16</v>
      </c>
      <c r="AL194" s="46" t="str">
        <f>IF(VLOOKUP(AK194,βοηθητικό!$J$2:$N$354,3,FALSE)="","",VLOOKUP(AK194,βοηθητικό!$J$2:$N$354,3,FALSE))</f>
        <v>_</v>
      </c>
      <c r="AM194" s="47"/>
      <c r="AN194" s="4" t="s">
        <v>16</v>
      </c>
      <c r="AO194" s="43" t="str">
        <f>IF(VLOOKUP(AN194,βοηθητικό!$J$2:$N$354,3,FALSE)="","",VLOOKUP(AN194,βοηθητικό!$J$2:$N$354,3,FALSE))</f>
        <v>_</v>
      </c>
      <c r="AP194" s="44"/>
      <c r="AQ194" s="5" t="s">
        <v>16</v>
      </c>
      <c r="AR194" s="46" t="str">
        <f>IF(VLOOKUP(AQ194,βοηθητικό!$J$2:$N$354,3,FALSE)="","",VLOOKUP(AQ194,βοηθητικό!$J$2:$N$354,3,FALSE))</f>
        <v>_</v>
      </c>
      <c r="AS194" s="47"/>
      <c r="AT194" s="4" t="s">
        <v>16</v>
      </c>
      <c r="AU194" s="43" t="str">
        <f>IF(VLOOKUP(AT194,βοηθητικό!$J$2:$N$354,3,FALSE)="","",VLOOKUP(AT194,βοηθητικό!$J$2:$N$354,3,FALSE))</f>
        <v>_</v>
      </c>
      <c r="AV194" s="44"/>
      <c r="AW194" s="5" t="s">
        <v>16</v>
      </c>
      <c r="AX194" s="46" t="str">
        <f>IF(VLOOKUP(AW194,βοηθητικό!$J$2:$N$354,3,FALSE)="","",VLOOKUP(AW194,βοηθητικό!$J$2:$N$354,3,FALSE))</f>
        <v>_</v>
      </c>
      <c r="AY194" s="47"/>
      <c r="AZ194" s="4" t="s">
        <v>16</v>
      </c>
      <c r="BA194" s="43" t="str">
        <f>IF(VLOOKUP(AZ194,βοηθητικό!$J$2:$N$354,3,FALSE)="","",VLOOKUP(AZ194,βοηθητικό!$J$2:$N$354,3,FALSE))</f>
        <v>_</v>
      </c>
      <c r="BB194" s="44"/>
      <c r="BC194" s="45" t="s">
        <v>16</v>
      </c>
      <c r="BD194" s="46" t="str">
        <f>IF(VLOOKUP(BC194,βοηθητικό!$J$2:$N$354,3,FALSE)="","",VLOOKUP(BC194,βοηθητικό!$J$2:$N$354,3,FALSE))</f>
        <v>_</v>
      </c>
      <c r="BE194" s="47"/>
      <c r="BF194" s="42" t="s">
        <v>16</v>
      </c>
      <c r="BG194" s="43" t="str">
        <f>IF(VLOOKUP(BF194,βοηθητικό!$J$2:$N$354,3,FALSE)="","",VLOOKUP(BF194,βοηθητικό!$J$2:$N$354,3,FALSE))</f>
        <v>_</v>
      </c>
      <c r="BH194" s="44"/>
      <c r="BI194" s="45" t="s">
        <v>16</v>
      </c>
      <c r="BJ194" s="46" t="str">
        <f>IF(VLOOKUP(BI194,βοηθητικό!$J$2:$N$354,3,FALSE)="","",VLOOKUP(BI194,βοηθητικό!$J$2:$N$354,3,FALSE))</f>
        <v>_</v>
      </c>
      <c r="BK194" s="47"/>
      <c r="BL194" s="42" t="s">
        <v>16</v>
      </c>
      <c r="BM194" s="43" t="str">
        <f>IF(VLOOKUP(BL194,βοηθητικό!$J$2:$N$354,3,FALSE)="","",VLOOKUP(BL194,βοηθητικό!$J$2:$N$354,3,FALSE))</f>
        <v>_</v>
      </c>
      <c r="BN194" s="44"/>
      <c r="BO194" s="45" t="s">
        <v>16</v>
      </c>
      <c r="BP194" s="46" t="str">
        <f>IF(VLOOKUP(BO194,βοηθητικό!$J$2:$N$354,3,FALSE)="","",VLOOKUP(BO194,βοηθητικό!$J$2:$N$354,3,FALSE))</f>
        <v>_</v>
      </c>
      <c r="BQ194" s="47"/>
      <c r="BR194" s="42" t="s">
        <v>16</v>
      </c>
      <c r="BS194" s="43" t="str">
        <f>IF(VLOOKUP(BR194,βοηθητικό!$J$2:$N$354,3,FALSE)="","",VLOOKUP(BR194,βοηθητικό!$J$2:$N$354,3,FALSE))</f>
        <v>_</v>
      </c>
      <c r="BT194" s="44"/>
      <c r="BU194" s="45" t="s">
        <v>16</v>
      </c>
      <c r="BV194" s="46" t="str">
        <f>IF(VLOOKUP(BU194,βοηθητικό!$J$2:$N$354,3,FALSE)="","",VLOOKUP(BU194,βοηθητικό!$J$2:$N$354,3,FALSE))</f>
        <v>_</v>
      </c>
      <c r="BW194" s="47"/>
      <c r="BX194" s="42" t="s">
        <v>16</v>
      </c>
      <c r="BY194" s="43" t="str">
        <f>IF(VLOOKUP(BX194,βοηθητικό!$J$2:$N$354,3,FALSE)="","",VLOOKUP(BX194,βοηθητικό!$J$2:$N$354,3,FALSE))</f>
        <v>_</v>
      </c>
      <c r="BZ194" s="44"/>
      <c r="CA194" s="45" t="s">
        <v>16</v>
      </c>
      <c r="CB194" s="46" t="str">
        <f>IF(VLOOKUP(CA194,βοηθητικό!$J$2:$N$354,3,FALSE)="","",VLOOKUP(CA194,βοηθητικό!$J$2:$N$354,3,FALSE))</f>
        <v>_</v>
      </c>
      <c r="CC194" s="47"/>
      <c r="CD194" s="42" t="s">
        <v>16</v>
      </c>
      <c r="CE194" s="43" t="str">
        <f>IF(VLOOKUP(CD194,βοηθητικό!$J$2:$N$354,3,FALSE)="","",VLOOKUP(CD194,βοηθητικό!$J$2:$N$354,3,FALSE))</f>
        <v>_</v>
      </c>
      <c r="CF194" s="44"/>
      <c r="CG194" s="45" t="s">
        <v>16</v>
      </c>
      <c r="CH194" s="46" t="str">
        <f>IF(VLOOKUP(CG194,βοηθητικό!$J$2:$N$354,3,FALSE)="","",VLOOKUP(CG194,βοηθητικό!$J$2:$N$354,3,FALSE))</f>
        <v>_</v>
      </c>
      <c r="CI194" s="47"/>
      <c r="CJ194" s="42" t="s">
        <v>16</v>
      </c>
      <c r="CK194" s="43" t="str">
        <f>IF(VLOOKUP(CJ194,βοηθητικό!$J$2:$N$354,3,FALSE)="","",VLOOKUP(CJ194,βοηθητικό!$J$2:$N$354,3,FALSE))</f>
        <v>_</v>
      </c>
      <c r="CL194" s="44"/>
      <c r="CM194" s="45" t="s">
        <v>16</v>
      </c>
      <c r="CN194" s="46" t="str">
        <f>IF(VLOOKUP(CM194,βοηθητικό!$J$2:$N$354,3,FALSE)="","",VLOOKUP(CM194,βοηθητικό!$J$2:$N$354,3,FALSE))</f>
        <v>_</v>
      </c>
      <c r="CO194" s="47"/>
      <c r="CP194" s="42" t="s">
        <v>16</v>
      </c>
      <c r="CQ194" s="43" t="str">
        <f>IF(VLOOKUP(CP194,βοηθητικό!$J$2:$N$354,3,FALSE)="","",VLOOKUP(CP194,βοηθητικό!$J$2:$N$354,3,FALSE))</f>
        <v>_</v>
      </c>
      <c r="CR194" s="44"/>
      <c r="CS194" s="45" t="s">
        <v>16</v>
      </c>
      <c r="CT194" s="46" t="str">
        <f>IF(VLOOKUP(CS194,βοηθητικό!$J$2:$N$354,3,FALSE)="","",VLOOKUP(CS194,βοηθητικό!$J$2:$N$354,3,FALSE))</f>
        <v>_</v>
      </c>
      <c r="CU194" s="47"/>
    </row>
    <row r="195" spans="1:99" x14ac:dyDescent="0.25">
      <c r="A195" s="37">
        <f>--SUBTOTAL(3,$B$3:B194)</f>
        <v>192</v>
      </c>
      <c r="B195" s="68">
        <v>45194</v>
      </c>
      <c r="C195" s="69">
        <v>45200</v>
      </c>
      <c r="D195" s="57" t="s">
        <v>115</v>
      </c>
      <c r="E195" s="38" t="s">
        <v>16</v>
      </c>
      <c r="F195" s="38" t="s">
        <v>16</v>
      </c>
      <c r="G195" s="39" t="str">
        <f t="shared" si="8"/>
        <v>__</v>
      </c>
      <c r="H195" s="40" t="str">
        <f t="shared" si="9"/>
        <v>FALSE</v>
      </c>
      <c r="I195" s="41">
        <f t="shared" si="10"/>
        <v>6</v>
      </c>
      <c r="J195" s="4" t="s">
        <v>1267</v>
      </c>
      <c r="K195" s="43">
        <f>IF(VLOOKUP(J195,βοηθητικό!$J$2:$N$354,3,FALSE)="","",VLOOKUP(J195,βοηθητικό!$J$2:$N$354,3,FALSE))</f>
        <v>6978300669</v>
      </c>
      <c r="L195" s="44"/>
      <c r="M195" s="5" t="s">
        <v>1270</v>
      </c>
      <c r="N195" s="46" t="str">
        <f>IF(VLOOKUP(M195,βοηθητικό!$J$2:$N$354,3,FALSE)="","",VLOOKUP(M195,βοηθητικό!$J$2:$N$354,3,FALSE))</f>
        <v>6970320059</v>
      </c>
      <c r="O195" s="47"/>
      <c r="P195" s="4" t="s">
        <v>1351</v>
      </c>
      <c r="Q195" s="43" t="str">
        <f>IF(VLOOKUP(P195,βοηθητικό!$J$2:$N$354,3,FALSE)="","",VLOOKUP(P195,βοηθητικό!$J$2:$N$354,3,FALSE))</f>
        <v>6974072869</v>
      </c>
      <c r="R195" s="44"/>
      <c r="S195" s="5" t="s">
        <v>1387</v>
      </c>
      <c r="T195" s="46" t="s">
        <v>1388</v>
      </c>
      <c r="U195" s="47"/>
      <c r="V195" s="4" t="s">
        <v>1299</v>
      </c>
      <c r="W195" s="43">
        <f>IF(VLOOKUP(V195,βοηθητικό!$J$2:$N$354,3,FALSE)="","",VLOOKUP(V195,βοηθητικό!$J$2:$N$354,3,FALSE))</f>
        <v>6948330665</v>
      </c>
      <c r="X195" s="44"/>
      <c r="Y195" s="5" t="s">
        <v>1399</v>
      </c>
      <c r="Z195" s="46" t="str">
        <f>IF(VLOOKUP(Y195,βοηθητικό!$J$2:$N$354,3,FALSE)="","",VLOOKUP(Y195,βοηθητικό!$J$2:$N$354,3,FALSE))</f>
        <v>6974117272</v>
      </c>
      <c r="AA195" s="47"/>
      <c r="AB195" s="4" t="s">
        <v>16</v>
      </c>
      <c r="AC195" s="43" t="str">
        <f>IF(VLOOKUP(AB195,βοηθητικό!$J$2:$N$354,3,FALSE)="","",VLOOKUP(AB195,βοηθητικό!$J$2:$N$354,3,FALSE))</f>
        <v>_</v>
      </c>
      <c r="AD195" s="44"/>
      <c r="AE195" s="5" t="s">
        <v>16</v>
      </c>
      <c r="AF195" s="46" t="str">
        <f>IF(VLOOKUP(AE195,βοηθητικό!$J$2:$N$354,3,FALSE)="","",VLOOKUP(AE195,βοηθητικό!$J$2:$N$354,3,FALSE))</f>
        <v>_</v>
      </c>
      <c r="AG195" s="47"/>
      <c r="AH195" s="4" t="s">
        <v>16</v>
      </c>
      <c r="AI195" s="43" t="str">
        <f>IF(VLOOKUP(AH195,βοηθητικό!$J$2:$N$354,3,FALSE)="","",VLOOKUP(AH195,βοηθητικό!$J$2:$N$354,3,FALSE))</f>
        <v>_</v>
      </c>
      <c r="AJ195" s="44"/>
      <c r="AK195" s="5" t="s">
        <v>16</v>
      </c>
      <c r="AL195" s="46" t="str">
        <f>IF(VLOOKUP(AK195,βοηθητικό!$J$2:$N$354,3,FALSE)="","",VLOOKUP(AK195,βοηθητικό!$J$2:$N$354,3,FALSE))</f>
        <v>_</v>
      </c>
      <c r="AM195" s="47"/>
      <c r="AN195" s="4" t="s">
        <v>16</v>
      </c>
      <c r="AO195" s="43" t="str">
        <f>IF(VLOOKUP(AN195,βοηθητικό!$J$2:$N$354,3,FALSE)="","",VLOOKUP(AN195,βοηθητικό!$J$2:$N$354,3,FALSE))</f>
        <v>_</v>
      </c>
      <c r="AP195" s="44"/>
      <c r="AQ195" s="5" t="s">
        <v>16</v>
      </c>
      <c r="AR195" s="46" t="str">
        <f>IF(VLOOKUP(AQ195,βοηθητικό!$J$2:$N$354,3,FALSE)="","",VLOOKUP(AQ195,βοηθητικό!$J$2:$N$354,3,FALSE))</f>
        <v>_</v>
      </c>
      <c r="AS195" s="47"/>
      <c r="AT195" s="4" t="s">
        <v>16</v>
      </c>
      <c r="AU195" s="43" t="str">
        <f>IF(VLOOKUP(AT195,βοηθητικό!$J$2:$N$354,3,FALSE)="","",VLOOKUP(AT195,βοηθητικό!$J$2:$N$354,3,FALSE))</f>
        <v>_</v>
      </c>
      <c r="AV195" s="44"/>
      <c r="AW195" s="5" t="s">
        <v>16</v>
      </c>
      <c r="AX195" s="46" t="str">
        <f>IF(VLOOKUP(AW195,βοηθητικό!$J$2:$N$354,3,FALSE)="","",VLOOKUP(AW195,βοηθητικό!$J$2:$N$354,3,FALSE))</f>
        <v>_</v>
      </c>
      <c r="AY195" s="47"/>
      <c r="AZ195" s="4" t="s">
        <v>16</v>
      </c>
      <c r="BA195" s="43" t="str">
        <f>IF(VLOOKUP(AZ195,βοηθητικό!$J$2:$N$354,3,FALSE)="","",VLOOKUP(AZ195,βοηθητικό!$J$2:$N$354,3,FALSE))</f>
        <v>_</v>
      </c>
      <c r="BB195" s="44"/>
      <c r="BC195" s="45" t="s">
        <v>16</v>
      </c>
      <c r="BD195" s="46" t="str">
        <f>IF(VLOOKUP(BC195,βοηθητικό!$J$2:$N$354,3,FALSE)="","",VLOOKUP(BC195,βοηθητικό!$J$2:$N$354,3,FALSE))</f>
        <v>_</v>
      </c>
      <c r="BE195" s="47"/>
      <c r="BF195" s="42" t="s">
        <v>16</v>
      </c>
      <c r="BG195" s="43" t="str">
        <f>IF(VLOOKUP(BF195,βοηθητικό!$J$2:$N$354,3,FALSE)="","",VLOOKUP(BF195,βοηθητικό!$J$2:$N$354,3,FALSE))</f>
        <v>_</v>
      </c>
      <c r="BH195" s="44"/>
      <c r="BI195" s="45" t="s">
        <v>16</v>
      </c>
      <c r="BJ195" s="46" t="str">
        <f>IF(VLOOKUP(BI195,βοηθητικό!$J$2:$N$354,3,FALSE)="","",VLOOKUP(BI195,βοηθητικό!$J$2:$N$354,3,FALSE))</f>
        <v>_</v>
      </c>
      <c r="BK195" s="47"/>
      <c r="BL195" s="42" t="s">
        <v>16</v>
      </c>
      <c r="BM195" s="43" t="str">
        <f>IF(VLOOKUP(BL195,βοηθητικό!$J$2:$N$354,3,FALSE)="","",VLOOKUP(BL195,βοηθητικό!$J$2:$N$354,3,FALSE))</f>
        <v>_</v>
      </c>
      <c r="BN195" s="44"/>
      <c r="BO195" s="45" t="s">
        <v>16</v>
      </c>
      <c r="BP195" s="46" t="str">
        <f>IF(VLOOKUP(BO195,βοηθητικό!$J$2:$N$354,3,FALSE)="","",VLOOKUP(BO195,βοηθητικό!$J$2:$N$354,3,FALSE))</f>
        <v>_</v>
      </c>
      <c r="BQ195" s="47"/>
      <c r="BR195" s="42" t="s">
        <v>16</v>
      </c>
      <c r="BS195" s="43" t="str">
        <f>IF(VLOOKUP(BR195,βοηθητικό!$J$2:$N$354,3,FALSE)="","",VLOOKUP(BR195,βοηθητικό!$J$2:$N$354,3,FALSE))</f>
        <v>_</v>
      </c>
      <c r="BT195" s="44"/>
      <c r="BU195" s="45" t="s">
        <v>16</v>
      </c>
      <c r="BV195" s="46" t="str">
        <f>IF(VLOOKUP(BU195,βοηθητικό!$J$2:$N$354,3,FALSE)="","",VLOOKUP(BU195,βοηθητικό!$J$2:$N$354,3,FALSE))</f>
        <v>_</v>
      </c>
      <c r="BW195" s="47"/>
      <c r="BX195" s="42" t="s">
        <v>16</v>
      </c>
      <c r="BY195" s="43" t="str">
        <f>IF(VLOOKUP(BX195,βοηθητικό!$J$2:$N$354,3,FALSE)="","",VLOOKUP(BX195,βοηθητικό!$J$2:$N$354,3,FALSE))</f>
        <v>_</v>
      </c>
      <c r="BZ195" s="44"/>
      <c r="CA195" s="45" t="s">
        <v>16</v>
      </c>
      <c r="CB195" s="46" t="str">
        <f>IF(VLOOKUP(CA195,βοηθητικό!$J$2:$N$354,3,FALSE)="","",VLOOKUP(CA195,βοηθητικό!$J$2:$N$354,3,FALSE))</f>
        <v>_</v>
      </c>
      <c r="CC195" s="47"/>
      <c r="CD195" s="42" t="s">
        <v>16</v>
      </c>
      <c r="CE195" s="43" t="str">
        <f>IF(VLOOKUP(CD195,βοηθητικό!$J$2:$N$354,3,FALSE)="","",VLOOKUP(CD195,βοηθητικό!$J$2:$N$354,3,FALSE))</f>
        <v>_</v>
      </c>
      <c r="CF195" s="44"/>
      <c r="CG195" s="45" t="s">
        <v>16</v>
      </c>
      <c r="CH195" s="46" t="str">
        <f>IF(VLOOKUP(CG195,βοηθητικό!$J$2:$N$354,3,FALSE)="","",VLOOKUP(CG195,βοηθητικό!$J$2:$N$354,3,FALSE))</f>
        <v>_</v>
      </c>
      <c r="CI195" s="47"/>
      <c r="CJ195" s="42" t="s">
        <v>16</v>
      </c>
      <c r="CK195" s="43" t="str">
        <f>IF(VLOOKUP(CJ195,βοηθητικό!$J$2:$N$354,3,FALSE)="","",VLOOKUP(CJ195,βοηθητικό!$J$2:$N$354,3,FALSE))</f>
        <v>_</v>
      </c>
      <c r="CL195" s="44"/>
      <c r="CM195" s="45" t="s">
        <v>16</v>
      </c>
      <c r="CN195" s="46" t="str">
        <f>IF(VLOOKUP(CM195,βοηθητικό!$J$2:$N$354,3,FALSE)="","",VLOOKUP(CM195,βοηθητικό!$J$2:$N$354,3,FALSE))</f>
        <v>_</v>
      </c>
      <c r="CO195" s="47"/>
      <c r="CP195" s="42" t="s">
        <v>16</v>
      </c>
      <c r="CQ195" s="43" t="str">
        <f>IF(VLOOKUP(CP195,βοηθητικό!$J$2:$N$354,3,FALSE)="","",VLOOKUP(CP195,βοηθητικό!$J$2:$N$354,3,FALSE))</f>
        <v>_</v>
      </c>
      <c r="CR195" s="44"/>
      <c r="CS195" s="45" t="s">
        <v>16</v>
      </c>
      <c r="CT195" s="46" t="str">
        <f>IF(VLOOKUP(CS195,βοηθητικό!$J$2:$N$354,3,FALSE)="","",VLOOKUP(CS195,βοηθητικό!$J$2:$N$354,3,FALSE))</f>
        <v>_</v>
      </c>
      <c r="CU195" s="47"/>
    </row>
    <row r="196" spans="1:99" x14ac:dyDescent="0.25">
      <c r="A196" s="37">
        <f>--SUBTOTAL(3,$B$3:B195)</f>
        <v>193</v>
      </c>
      <c r="B196" s="68">
        <v>45166</v>
      </c>
      <c r="C196" s="69">
        <v>45172</v>
      </c>
      <c r="D196" s="58" t="s">
        <v>127</v>
      </c>
      <c r="E196" s="38" t="s">
        <v>16</v>
      </c>
      <c r="F196" s="38" t="s">
        <v>16</v>
      </c>
      <c r="G196" s="39" t="str">
        <f t="shared" ref="G196:G259" si="11">IF(OR(C196="_",E196="_"),"__",CONCATENATE(C196,E196))</f>
        <v>__</v>
      </c>
      <c r="H196" s="40" t="str">
        <f t="shared" ref="H196:H259" si="12">IF(G196="__","FALSE",COUNTIF(G:G,G196)&gt;1)</f>
        <v>FALSE</v>
      </c>
      <c r="I196" s="41">
        <f t="shared" ref="I196:I259" si="13">SUMPRODUCT((J196:CU196&lt;&gt;"_")*(MOD(COLUMN(J196:CU196)-COLUMN(J196),3)=0))</f>
        <v>7</v>
      </c>
      <c r="J196" s="4" t="s">
        <v>1467</v>
      </c>
      <c r="K196" s="43" t="str">
        <f>IF(VLOOKUP(J196,βοηθητικό!$J$2:$N$354,3,FALSE)="","",VLOOKUP(J196,βοηθητικό!$J$2:$N$354,3,FALSE))</f>
        <v>6945897445</v>
      </c>
      <c r="L196" s="44"/>
      <c r="M196" s="5" t="s">
        <v>1443</v>
      </c>
      <c r="N196" s="46" t="str">
        <f>IF(VLOOKUP(M196,βοηθητικό!$J$2:$N$354,3,FALSE)="","",VLOOKUP(M196,βοηθητικό!$J$2:$N$354,3,FALSE))</f>
        <v>6947937446</v>
      </c>
      <c r="O196" s="47"/>
      <c r="P196" s="4" t="s">
        <v>1434</v>
      </c>
      <c r="Q196" s="43" t="str">
        <f>IF(VLOOKUP(P196,βοηθητικό!$J$2:$N$354,3,FALSE)="","",VLOOKUP(P196,βοηθητικό!$J$2:$N$354,3,FALSE))</f>
        <v>6977995010</v>
      </c>
      <c r="R196" s="44"/>
      <c r="S196" s="5" t="s">
        <v>1449</v>
      </c>
      <c r="T196" s="46" t="str">
        <f>IF(VLOOKUP(S196,βοηθητικό!$J$2:$N$354,3,FALSE)="","",VLOOKUP(S196,βοηθητικό!$J$2:$N$354,3,FALSE))</f>
        <v>6942065498</v>
      </c>
      <c r="U196" s="47"/>
      <c r="V196" s="4" t="s">
        <v>1417</v>
      </c>
      <c r="W196" s="43" t="str">
        <f>IF(VLOOKUP(V196,βοηθητικό!$J$2:$N$354,3,FALSE)="","",VLOOKUP(V196,βοηθητικό!$J$2:$N$354,3,FALSE))</f>
        <v>6932436923</v>
      </c>
      <c r="X196" s="44"/>
      <c r="Y196" s="5" t="s">
        <v>1488</v>
      </c>
      <c r="Z196" s="46" t="str">
        <f>IF(VLOOKUP(Y196,βοηθητικό!$J$2:$N$354,3,FALSE)="","",VLOOKUP(Y196,βοηθητικό!$J$2:$N$354,3,FALSE))</f>
        <v>6949282970</v>
      </c>
      <c r="AA196" s="47"/>
      <c r="AB196" s="4" t="s">
        <v>1491</v>
      </c>
      <c r="AC196" s="43">
        <f>IF(VLOOKUP(AB196,βοηθητικό!$J$2:$N$354,3,FALSE)="","",VLOOKUP(AB196,βοηθητικό!$J$2:$N$354,3,FALSE))</f>
        <v>6944027398</v>
      </c>
      <c r="AD196" s="44"/>
      <c r="AE196" s="5" t="s">
        <v>16</v>
      </c>
      <c r="AF196" s="46" t="str">
        <f>IF(VLOOKUP(AE196,βοηθητικό!$J$2:$N$354,3,FALSE)="","",VLOOKUP(AE196,βοηθητικό!$J$2:$N$354,3,FALSE))</f>
        <v>_</v>
      </c>
      <c r="AG196" s="47"/>
      <c r="AH196" s="4" t="s">
        <v>16</v>
      </c>
      <c r="AI196" s="43" t="str">
        <f>IF(VLOOKUP(AH196,βοηθητικό!$J$2:$N$354,3,FALSE)="","",VLOOKUP(AH196,βοηθητικό!$J$2:$N$354,3,FALSE))</f>
        <v>_</v>
      </c>
      <c r="AJ196" s="44"/>
      <c r="AK196" s="5" t="s">
        <v>16</v>
      </c>
      <c r="AL196" s="46" t="str">
        <f>IF(VLOOKUP(AK196,βοηθητικό!$J$2:$N$354,3,FALSE)="","",VLOOKUP(AK196,βοηθητικό!$J$2:$N$354,3,FALSE))</f>
        <v>_</v>
      </c>
      <c r="AM196" s="47"/>
      <c r="AN196" s="4" t="s">
        <v>16</v>
      </c>
      <c r="AO196" s="43" t="str">
        <f>IF(VLOOKUP(AN196,βοηθητικό!$J$2:$N$354,3,FALSE)="","",VLOOKUP(AN196,βοηθητικό!$J$2:$N$354,3,FALSE))</f>
        <v>_</v>
      </c>
      <c r="AP196" s="44"/>
      <c r="AQ196" s="5" t="s">
        <v>16</v>
      </c>
      <c r="AR196" s="46" t="str">
        <f>IF(VLOOKUP(AQ196,βοηθητικό!$J$2:$N$354,3,FALSE)="","",VLOOKUP(AQ196,βοηθητικό!$J$2:$N$354,3,FALSE))</f>
        <v>_</v>
      </c>
      <c r="AS196" s="47"/>
      <c r="AT196" s="4" t="s">
        <v>16</v>
      </c>
      <c r="AU196" s="43" t="str">
        <f>IF(VLOOKUP(AT196,βοηθητικό!$J$2:$N$354,3,FALSE)="","",VLOOKUP(AT196,βοηθητικό!$J$2:$N$354,3,FALSE))</f>
        <v>_</v>
      </c>
      <c r="AV196" s="44"/>
      <c r="AW196" s="5" t="s">
        <v>16</v>
      </c>
      <c r="AX196" s="46" t="str">
        <f>IF(VLOOKUP(AW196,βοηθητικό!$J$2:$N$354,3,FALSE)="","",VLOOKUP(AW196,βοηθητικό!$J$2:$N$354,3,FALSE))</f>
        <v>_</v>
      </c>
      <c r="AY196" s="47"/>
      <c r="AZ196" s="4" t="s">
        <v>16</v>
      </c>
      <c r="BA196" s="43" t="str">
        <f>IF(VLOOKUP(AZ196,βοηθητικό!$J$2:$N$354,3,FALSE)="","",VLOOKUP(AZ196,βοηθητικό!$J$2:$N$354,3,FALSE))</f>
        <v>_</v>
      </c>
      <c r="BB196" s="44"/>
      <c r="BC196" s="45" t="s">
        <v>16</v>
      </c>
      <c r="BD196" s="46" t="str">
        <f>IF(VLOOKUP(BC196,βοηθητικό!$J$2:$N$354,3,FALSE)="","",VLOOKUP(BC196,βοηθητικό!$J$2:$N$354,3,FALSE))</f>
        <v>_</v>
      </c>
      <c r="BE196" s="47"/>
      <c r="BF196" s="42" t="s">
        <v>16</v>
      </c>
      <c r="BG196" s="43" t="str">
        <f>IF(VLOOKUP(BF196,βοηθητικό!$J$2:$N$354,3,FALSE)="","",VLOOKUP(BF196,βοηθητικό!$J$2:$N$354,3,FALSE))</f>
        <v>_</v>
      </c>
      <c r="BH196" s="44"/>
      <c r="BI196" s="45" t="s">
        <v>16</v>
      </c>
      <c r="BJ196" s="46" t="str">
        <f>IF(VLOOKUP(BI196,βοηθητικό!$J$2:$N$354,3,FALSE)="","",VLOOKUP(BI196,βοηθητικό!$J$2:$N$354,3,FALSE))</f>
        <v>_</v>
      </c>
      <c r="BK196" s="47"/>
      <c r="BL196" s="42" t="s">
        <v>16</v>
      </c>
      <c r="BM196" s="43" t="str">
        <f>IF(VLOOKUP(BL196,βοηθητικό!$J$2:$N$354,3,FALSE)="","",VLOOKUP(BL196,βοηθητικό!$J$2:$N$354,3,FALSE))</f>
        <v>_</v>
      </c>
      <c r="BN196" s="44"/>
      <c r="BO196" s="45" t="s">
        <v>16</v>
      </c>
      <c r="BP196" s="46" t="str">
        <f>IF(VLOOKUP(BO196,βοηθητικό!$J$2:$N$354,3,FALSE)="","",VLOOKUP(BO196,βοηθητικό!$J$2:$N$354,3,FALSE))</f>
        <v>_</v>
      </c>
      <c r="BQ196" s="47"/>
      <c r="BR196" s="42" t="s">
        <v>16</v>
      </c>
      <c r="BS196" s="43" t="str">
        <f>IF(VLOOKUP(BR196,βοηθητικό!$J$2:$N$354,3,FALSE)="","",VLOOKUP(BR196,βοηθητικό!$J$2:$N$354,3,FALSE))</f>
        <v>_</v>
      </c>
      <c r="BT196" s="44"/>
      <c r="BU196" s="45" t="s">
        <v>16</v>
      </c>
      <c r="BV196" s="46" t="str">
        <f>IF(VLOOKUP(BU196,βοηθητικό!$J$2:$N$354,3,FALSE)="","",VLOOKUP(BU196,βοηθητικό!$J$2:$N$354,3,FALSE))</f>
        <v>_</v>
      </c>
      <c r="BW196" s="47"/>
      <c r="BX196" s="42" t="s">
        <v>16</v>
      </c>
      <c r="BY196" s="43" t="str">
        <f>IF(VLOOKUP(BX196,βοηθητικό!$J$2:$N$354,3,FALSE)="","",VLOOKUP(BX196,βοηθητικό!$J$2:$N$354,3,FALSE))</f>
        <v>_</v>
      </c>
      <c r="BZ196" s="44"/>
      <c r="CA196" s="45" t="s">
        <v>16</v>
      </c>
      <c r="CB196" s="46" t="str">
        <f>IF(VLOOKUP(CA196,βοηθητικό!$J$2:$N$354,3,FALSE)="","",VLOOKUP(CA196,βοηθητικό!$J$2:$N$354,3,FALSE))</f>
        <v>_</v>
      </c>
      <c r="CC196" s="47"/>
      <c r="CD196" s="42" t="s">
        <v>16</v>
      </c>
      <c r="CE196" s="43" t="str">
        <f>IF(VLOOKUP(CD196,βοηθητικό!$J$2:$N$354,3,FALSE)="","",VLOOKUP(CD196,βοηθητικό!$J$2:$N$354,3,FALSE))</f>
        <v>_</v>
      </c>
      <c r="CF196" s="44"/>
      <c r="CG196" s="45" t="s">
        <v>16</v>
      </c>
      <c r="CH196" s="46" t="str">
        <f>IF(VLOOKUP(CG196,βοηθητικό!$J$2:$N$354,3,FALSE)="","",VLOOKUP(CG196,βοηθητικό!$J$2:$N$354,3,FALSE))</f>
        <v>_</v>
      </c>
      <c r="CI196" s="47"/>
      <c r="CJ196" s="42" t="s">
        <v>16</v>
      </c>
      <c r="CK196" s="43" t="str">
        <f>IF(VLOOKUP(CJ196,βοηθητικό!$J$2:$N$354,3,FALSE)="","",VLOOKUP(CJ196,βοηθητικό!$J$2:$N$354,3,FALSE))</f>
        <v>_</v>
      </c>
      <c r="CL196" s="44"/>
      <c r="CM196" s="45" t="s">
        <v>16</v>
      </c>
      <c r="CN196" s="46" t="str">
        <f>IF(VLOOKUP(CM196,βοηθητικό!$J$2:$N$354,3,FALSE)="","",VLOOKUP(CM196,βοηθητικό!$J$2:$N$354,3,FALSE))</f>
        <v>_</v>
      </c>
      <c r="CO196" s="47"/>
      <c r="CP196" s="42" t="s">
        <v>16</v>
      </c>
      <c r="CQ196" s="43" t="str">
        <f>IF(VLOOKUP(CP196,βοηθητικό!$J$2:$N$354,3,FALSE)="","",VLOOKUP(CP196,βοηθητικό!$J$2:$N$354,3,FALSE))</f>
        <v>_</v>
      </c>
      <c r="CR196" s="44"/>
      <c r="CS196" s="45" t="s">
        <v>16</v>
      </c>
      <c r="CT196" s="46" t="str">
        <f>IF(VLOOKUP(CS196,βοηθητικό!$J$2:$N$354,3,FALSE)="","",VLOOKUP(CS196,βοηθητικό!$J$2:$N$354,3,FALSE))</f>
        <v>_</v>
      </c>
      <c r="CU196" s="47"/>
    </row>
    <row r="197" spans="1:99" x14ac:dyDescent="0.25">
      <c r="A197" s="37">
        <f>--SUBTOTAL(3,$B$3:B196)</f>
        <v>194</v>
      </c>
      <c r="B197" s="68">
        <v>45173</v>
      </c>
      <c r="C197" s="69">
        <v>45179</v>
      </c>
      <c r="D197" s="58" t="s">
        <v>127</v>
      </c>
      <c r="E197" s="38" t="s">
        <v>16</v>
      </c>
      <c r="F197" s="38" t="s">
        <v>16</v>
      </c>
      <c r="G197" s="39" t="str">
        <f t="shared" si="11"/>
        <v>__</v>
      </c>
      <c r="H197" s="40" t="str">
        <f t="shared" si="12"/>
        <v>FALSE</v>
      </c>
      <c r="I197" s="41">
        <f t="shared" si="13"/>
        <v>7</v>
      </c>
      <c r="J197" s="4" t="s">
        <v>1467</v>
      </c>
      <c r="K197" s="43" t="str">
        <f>IF(VLOOKUP(J197,βοηθητικό!$J$2:$N$354,3,FALSE)="","",VLOOKUP(J197,βοηθητικό!$J$2:$N$354,3,FALSE))</f>
        <v>6945897445</v>
      </c>
      <c r="L197" s="44"/>
      <c r="M197" s="5" t="s">
        <v>1424</v>
      </c>
      <c r="N197" s="46" t="str">
        <f>IF(VLOOKUP(M197,βοηθητικό!$J$2:$N$354,3,FALSE)="","",VLOOKUP(M197,βοηθητικό!$J$2:$N$354,3,FALSE))</f>
        <v>6970994433</v>
      </c>
      <c r="O197" s="47"/>
      <c r="P197" s="4" t="s">
        <v>1461</v>
      </c>
      <c r="Q197" s="43" t="str">
        <f>IF(VLOOKUP(P197,βοηθητικό!$J$2:$N$354,3,FALSE)="","",VLOOKUP(P197,βοηθητικό!$J$2:$N$354,3,FALSE))</f>
        <v>6949802689</v>
      </c>
      <c r="R197" s="44"/>
      <c r="S197" s="5" t="s">
        <v>1496</v>
      </c>
      <c r="T197" s="46" t="str">
        <f>IF(VLOOKUP(S197,βοηθητικό!$J$2:$N$354,3,FALSE)="","",VLOOKUP(S197,βοηθητικό!$J$2:$N$354,3,FALSE))</f>
        <v>6940821569</v>
      </c>
      <c r="U197" s="47"/>
      <c r="V197" s="4" t="s">
        <v>1452</v>
      </c>
      <c r="W197" s="43" t="str">
        <f>IF(VLOOKUP(V197,βοηθητικό!$J$2:$N$354,3,FALSE)="","",VLOOKUP(V197,βοηθητικό!$J$2:$N$354,3,FALSE))</f>
        <v>6944240803</v>
      </c>
      <c r="X197" s="44"/>
      <c r="Y197" s="5" t="s">
        <v>1470</v>
      </c>
      <c r="Z197" s="46">
        <f>IF(VLOOKUP(Y197,βοηθητικό!$J$2:$N$354,3,FALSE)="","",VLOOKUP(Y197,βοηθητικό!$J$2:$N$354,3,FALSE))</f>
        <v>6946954972</v>
      </c>
      <c r="AA197" s="47"/>
      <c r="AB197" s="4" t="s">
        <v>1437</v>
      </c>
      <c r="AC197" s="43" t="str">
        <f>IF(VLOOKUP(AB197,βοηθητικό!$J$2:$N$354,3,FALSE)="","",VLOOKUP(AB197,βοηθητικό!$J$2:$N$354,3,FALSE))</f>
        <v>6971594645</v>
      </c>
      <c r="AD197" s="44"/>
      <c r="AE197" s="5" t="s">
        <v>16</v>
      </c>
      <c r="AF197" s="46" t="str">
        <f>IF(VLOOKUP(AE197,βοηθητικό!$J$2:$N$354,3,FALSE)="","",VLOOKUP(AE197,βοηθητικό!$J$2:$N$354,3,FALSE))</f>
        <v>_</v>
      </c>
      <c r="AG197" s="47"/>
      <c r="AH197" s="4" t="s">
        <v>16</v>
      </c>
      <c r="AI197" s="43" t="str">
        <f>IF(VLOOKUP(AH197,βοηθητικό!$J$2:$N$354,3,FALSE)="","",VLOOKUP(AH197,βοηθητικό!$J$2:$N$354,3,FALSE))</f>
        <v>_</v>
      </c>
      <c r="AJ197" s="44"/>
      <c r="AK197" s="5" t="s">
        <v>16</v>
      </c>
      <c r="AL197" s="46" t="str">
        <f>IF(VLOOKUP(AK197,βοηθητικό!$J$2:$N$354,3,FALSE)="","",VLOOKUP(AK197,βοηθητικό!$J$2:$N$354,3,FALSE))</f>
        <v>_</v>
      </c>
      <c r="AM197" s="47"/>
      <c r="AN197" s="4" t="s">
        <v>16</v>
      </c>
      <c r="AO197" s="43" t="str">
        <f>IF(VLOOKUP(AN197,βοηθητικό!$J$2:$N$354,3,FALSE)="","",VLOOKUP(AN197,βοηθητικό!$J$2:$N$354,3,FALSE))</f>
        <v>_</v>
      </c>
      <c r="AP197" s="44"/>
      <c r="AQ197" s="5" t="s">
        <v>16</v>
      </c>
      <c r="AR197" s="46" t="str">
        <f>IF(VLOOKUP(AQ197,βοηθητικό!$J$2:$N$354,3,FALSE)="","",VLOOKUP(AQ197,βοηθητικό!$J$2:$N$354,3,FALSE))</f>
        <v>_</v>
      </c>
      <c r="AS197" s="47"/>
      <c r="AT197" s="4" t="s">
        <v>16</v>
      </c>
      <c r="AU197" s="43" t="str">
        <f>IF(VLOOKUP(AT197,βοηθητικό!$J$2:$N$354,3,FALSE)="","",VLOOKUP(AT197,βοηθητικό!$J$2:$N$354,3,FALSE))</f>
        <v>_</v>
      </c>
      <c r="AV197" s="44"/>
      <c r="AW197" s="5" t="s">
        <v>16</v>
      </c>
      <c r="AX197" s="46" t="str">
        <f>IF(VLOOKUP(AW197,βοηθητικό!$J$2:$N$354,3,FALSE)="","",VLOOKUP(AW197,βοηθητικό!$J$2:$N$354,3,FALSE))</f>
        <v>_</v>
      </c>
      <c r="AY197" s="47"/>
      <c r="AZ197" s="4" t="s">
        <v>16</v>
      </c>
      <c r="BA197" s="43" t="str">
        <f>IF(VLOOKUP(AZ197,βοηθητικό!$J$2:$N$354,3,FALSE)="","",VLOOKUP(AZ197,βοηθητικό!$J$2:$N$354,3,FALSE))</f>
        <v>_</v>
      </c>
      <c r="BB197" s="44"/>
      <c r="BC197" s="45" t="s">
        <v>16</v>
      </c>
      <c r="BD197" s="46" t="str">
        <f>IF(VLOOKUP(BC197,βοηθητικό!$J$2:$N$354,3,FALSE)="","",VLOOKUP(BC197,βοηθητικό!$J$2:$N$354,3,FALSE))</f>
        <v>_</v>
      </c>
      <c r="BE197" s="47"/>
      <c r="BF197" s="42" t="s">
        <v>16</v>
      </c>
      <c r="BG197" s="43" t="str">
        <f>IF(VLOOKUP(BF197,βοηθητικό!$J$2:$N$354,3,FALSE)="","",VLOOKUP(BF197,βοηθητικό!$J$2:$N$354,3,FALSE))</f>
        <v>_</v>
      </c>
      <c r="BH197" s="44"/>
      <c r="BI197" s="45" t="s">
        <v>16</v>
      </c>
      <c r="BJ197" s="46" t="str">
        <f>IF(VLOOKUP(BI197,βοηθητικό!$J$2:$N$354,3,FALSE)="","",VLOOKUP(BI197,βοηθητικό!$J$2:$N$354,3,FALSE))</f>
        <v>_</v>
      </c>
      <c r="BK197" s="47"/>
      <c r="BL197" s="42" t="s">
        <v>16</v>
      </c>
      <c r="BM197" s="43" t="str">
        <f>IF(VLOOKUP(BL197,βοηθητικό!$J$2:$N$354,3,FALSE)="","",VLOOKUP(BL197,βοηθητικό!$J$2:$N$354,3,FALSE))</f>
        <v>_</v>
      </c>
      <c r="BN197" s="44"/>
      <c r="BO197" s="45" t="s">
        <v>16</v>
      </c>
      <c r="BP197" s="46" t="str">
        <f>IF(VLOOKUP(BO197,βοηθητικό!$J$2:$N$354,3,FALSE)="","",VLOOKUP(BO197,βοηθητικό!$J$2:$N$354,3,FALSE))</f>
        <v>_</v>
      </c>
      <c r="BQ197" s="47"/>
      <c r="BR197" s="42" t="s">
        <v>16</v>
      </c>
      <c r="BS197" s="43" t="str">
        <f>IF(VLOOKUP(BR197,βοηθητικό!$J$2:$N$354,3,FALSE)="","",VLOOKUP(BR197,βοηθητικό!$J$2:$N$354,3,FALSE))</f>
        <v>_</v>
      </c>
      <c r="BT197" s="44"/>
      <c r="BU197" s="45" t="s">
        <v>16</v>
      </c>
      <c r="BV197" s="46" t="str">
        <f>IF(VLOOKUP(BU197,βοηθητικό!$J$2:$N$354,3,FALSE)="","",VLOOKUP(BU197,βοηθητικό!$J$2:$N$354,3,FALSE))</f>
        <v>_</v>
      </c>
      <c r="BW197" s="47"/>
      <c r="BX197" s="42" t="s">
        <v>16</v>
      </c>
      <c r="BY197" s="43" t="str">
        <f>IF(VLOOKUP(BX197,βοηθητικό!$J$2:$N$354,3,FALSE)="","",VLOOKUP(BX197,βοηθητικό!$J$2:$N$354,3,FALSE))</f>
        <v>_</v>
      </c>
      <c r="BZ197" s="44"/>
      <c r="CA197" s="45" t="s">
        <v>16</v>
      </c>
      <c r="CB197" s="46" t="str">
        <f>IF(VLOOKUP(CA197,βοηθητικό!$J$2:$N$354,3,FALSE)="","",VLOOKUP(CA197,βοηθητικό!$J$2:$N$354,3,FALSE))</f>
        <v>_</v>
      </c>
      <c r="CC197" s="47"/>
      <c r="CD197" s="42" t="s">
        <v>16</v>
      </c>
      <c r="CE197" s="43" t="str">
        <f>IF(VLOOKUP(CD197,βοηθητικό!$J$2:$N$354,3,FALSE)="","",VLOOKUP(CD197,βοηθητικό!$J$2:$N$354,3,FALSE))</f>
        <v>_</v>
      </c>
      <c r="CF197" s="44"/>
      <c r="CG197" s="45" t="s">
        <v>16</v>
      </c>
      <c r="CH197" s="46" t="str">
        <f>IF(VLOOKUP(CG197,βοηθητικό!$J$2:$N$354,3,FALSE)="","",VLOOKUP(CG197,βοηθητικό!$J$2:$N$354,3,FALSE))</f>
        <v>_</v>
      </c>
      <c r="CI197" s="47"/>
      <c r="CJ197" s="42" t="s">
        <v>16</v>
      </c>
      <c r="CK197" s="43" t="str">
        <f>IF(VLOOKUP(CJ197,βοηθητικό!$J$2:$N$354,3,FALSE)="","",VLOOKUP(CJ197,βοηθητικό!$J$2:$N$354,3,FALSE))</f>
        <v>_</v>
      </c>
      <c r="CL197" s="44"/>
      <c r="CM197" s="45" t="s">
        <v>16</v>
      </c>
      <c r="CN197" s="46" t="str">
        <f>IF(VLOOKUP(CM197,βοηθητικό!$J$2:$N$354,3,FALSE)="","",VLOOKUP(CM197,βοηθητικό!$J$2:$N$354,3,FALSE))</f>
        <v>_</v>
      </c>
      <c r="CO197" s="47"/>
      <c r="CP197" s="42" t="s">
        <v>16</v>
      </c>
      <c r="CQ197" s="43" t="str">
        <f>IF(VLOOKUP(CP197,βοηθητικό!$J$2:$N$354,3,FALSE)="","",VLOOKUP(CP197,βοηθητικό!$J$2:$N$354,3,FALSE))</f>
        <v>_</v>
      </c>
      <c r="CR197" s="44"/>
      <c r="CS197" s="45" t="s">
        <v>16</v>
      </c>
      <c r="CT197" s="46" t="str">
        <f>IF(VLOOKUP(CS197,βοηθητικό!$J$2:$N$354,3,FALSE)="","",VLOOKUP(CS197,βοηθητικό!$J$2:$N$354,3,FALSE))</f>
        <v>_</v>
      </c>
      <c r="CU197" s="47"/>
    </row>
    <row r="198" spans="1:99" x14ac:dyDescent="0.25">
      <c r="A198" s="37">
        <f>--SUBTOTAL(3,$B$3:B197)</f>
        <v>195</v>
      </c>
      <c r="B198" s="68">
        <v>45180</v>
      </c>
      <c r="C198" s="69">
        <v>45186</v>
      </c>
      <c r="D198" s="58" t="s">
        <v>127</v>
      </c>
      <c r="E198" s="38" t="s">
        <v>16</v>
      </c>
      <c r="F198" s="38" t="s">
        <v>16</v>
      </c>
      <c r="G198" s="39" t="str">
        <f t="shared" si="11"/>
        <v>__</v>
      </c>
      <c r="H198" s="40" t="str">
        <f t="shared" si="12"/>
        <v>FALSE</v>
      </c>
      <c r="I198" s="41">
        <f t="shared" si="13"/>
        <v>7</v>
      </c>
      <c r="J198" s="4" t="s">
        <v>1464</v>
      </c>
      <c r="K198" s="43" t="str">
        <f>IF(VLOOKUP(J198,βοηθητικό!$J$2:$N$354,3,FALSE)="","",VLOOKUP(J198,βοηθητικό!$J$2:$N$354,3,FALSE))</f>
        <v>6937334275</v>
      </c>
      <c r="L198" s="44"/>
      <c r="M198" s="5" t="s">
        <v>1485</v>
      </c>
      <c r="N198" s="46" t="str">
        <f>IF(VLOOKUP(M198,βοηθητικό!$J$2:$N$354,3,FALSE)="","",VLOOKUP(M198,βοηθητικό!$J$2:$N$354,3,FALSE))</f>
        <v>6974472231</v>
      </c>
      <c r="O198" s="47"/>
      <c r="P198" s="4" t="s">
        <v>1431</v>
      </c>
      <c r="Q198" s="43" t="str">
        <f>IF(VLOOKUP(P198,βοηθητικό!$J$2:$N$354,3,FALSE)="","",VLOOKUP(P198,βοηθητικό!$J$2:$N$354,3,FALSE))</f>
        <v>6975534675</v>
      </c>
      <c r="R198" s="44"/>
      <c r="S198" s="5" t="s">
        <v>1499</v>
      </c>
      <c r="T198" s="46" t="str">
        <f>IF(VLOOKUP(S198,βοηθητικό!$J$2:$N$354,3,FALSE)="","",VLOOKUP(S198,βοηθητικό!$J$2:$N$354,3,FALSE))</f>
        <v>6946014358</v>
      </c>
      <c r="U198" s="47"/>
      <c r="V198" s="4" t="s">
        <v>1488</v>
      </c>
      <c r="W198" s="43" t="str">
        <f>IF(VLOOKUP(V198,βοηθητικό!$J$2:$N$354,3,FALSE)="","",VLOOKUP(V198,βοηθητικό!$J$2:$N$354,3,FALSE))</f>
        <v>6949282970</v>
      </c>
      <c r="X198" s="44"/>
      <c r="Y198" s="5" t="s">
        <v>1491</v>
      </c>
      <c r="Z198" s="46">
        <f>IF(VLOOKUP(Y198,βοηθητικό!$J$2:$N$354,3,FALSE)="","",VLOOKUP(Y198,βοηθητικό!$J$2:$N$354,3,FALSE))</f>
        <v>6944027398</v>
      </c>
      <c r="AA198" s="47"/>
      <c r="AB198" s="4" t="s">
        <v>1428</v>
      </c>
      <c r="AC198" s="43" t="str">
        <f>IF(VLOOKUP(AB198,βοηθητικό!$J$2:$N$354,3,FALSE)="","",VLOOKUP(AB198,βοηθητικό!$J$2:$N$354,3,FALSE))</f>
        <v>6984730924</v>
      </c>
      <c r="AD198" s="44"/>
      <c r="AE198" s="5" t="s">
        <v>16</v>
      </c>
      <c r="AF198" s="46" t="str">
        <f>IF(VLOOKUP(AE198,βοηθητικό!$J$2:$N$354,3,FALSE)="","",VLOOKUP(AE198,βοηθητικό!$J$2:$N$354,3,FALSE))</f>
        <v>_</v>
      </c>
      <c r="AG198" s="47"/>
      <c r="AH198" s="4" t="s">
        <v>16</v>
      </c>
      <c r="AI198" s="43" t="str">
        <f>IF(VLOOKUP(AH198,βοηθητικό!$J$2:$N$354,3,FALSE)="","",VLOOKUP(AH198,βοηθητικό!$J$2:$N$354,3,FALSE))</f>
        <v>_</v>
      </c>
      <c r="AJ198" s="44"/>
      <c r="AK198" s="5" t="s">
        <v>16</v>
      </c>
      <c r="AL198" s="46" t="str">
        <f>IF(VLOOKUP(AK198,βοηθητικό!$J$2:$N$354,3,FALSE)="","",VLOOKUP(AK198,βοηθητικό!$J$2:$N$354,3,FALSE))</f>
        <v>_</v>
      </c>
      <c r="AM198" s="47"/>
      <c r="AN198" s="4" t="s">
        <v>16</v>
      </c>
      <c r="AO198" s="43" t="str">
        <f>IF(VLOOKUP(AN198,βοηθητικό!$J$2:$N$354,3,FALSE)="","",VLOOKUP(AN198,βοηθητικό!$J$2:$N$354,3,FALSE))</f>
        <v>_</v>
      </c>
      <c r="AP198" s="44"/>
      <c r="AQ198" s="5" t="s">
        <v>16</v>
      </c>
      <c r="AR198" s="46" t="str">
        <f>IF(VLOOKUP(AQ198,βοηθητικό!$J$2:$N$354,3,FALSE)="","",VLOOKUP(AQ198,βοηθητικό!$J$2:$N$354,3,FALSE))</f>
        <v>_</v>
      </c>
      <c r="AS198" s="47"/>
      <c r="AT198" s="4" t="s">
        <v>16</v>
      </c>
      <c r="AU198" s="43" t="str">
        <f>IF(VLOOKUP(AT198,βοηθητικό!$J$2:$N$354,3,FALSE)="","",VLOOKUP(AT198,βοηθητικό!$J$2:$N$354,3,FALSE))</f>
        <v>_</v>
      </c>
      <c r="AV198" s="44"/>
      <c r="AW198" s="5" t="s">
        <v>16</v>
      </c>
      <c r="AX198" s="46" t="str">
        <f>IF(VLOOKUP(AW198,βοηθητικό!$J$2:$N$354,3,FALSE)="","",VLOOKUP(AW198,βοηθητικό!$J$2:$N$354,3,FALSE))</f>
        <v>_</v>
      </c>
      <c r="AY198" s="47"/>
      <c r="AZ198" s="4" t="s">
        <v>16</v>
      </c>
      <c r="BA198" s="43" t="str">
        <f>IF(VLOOKUP(AZ198,βοηθητικό!$J$2:$N$354,3,FALSE)="","",VLOOKUP(AZ198,βοηθητικό!$J$2:$N$354,3,FALSE))</f>
        <v>_</v>
      </c>
      <c r="BB198" s="44"/>
      <c r="BC198" s="45" t="s">
        <v>16</v>
      </c>
      <c r="BD198" s="46" t="str">
        <f>IF(VLOOKUP(BC198,βοηθητικό!$J$2:$N$354,3,FALSE)="","",VLOOKUP(BC198,βοηθητικό!$J$2:$N$354,3,FALSE))</f>
        <v>_</v>
      </c>
      <c r="BE198" s="47"/>
      <c r="BF198" s="42" t="s">
        <v>16</v>
      </c>
      <c r="BG198" s="43" t="str">
        <f>IF(VLOOKUP(BF198,βοηθητικό!$J$2:$N$354,3,FALSE)="","",VLOOKUP(BF198,βοηθητικό!$J$2:$N$354,3,FALSE))</f>
        <v>_</v>
      </c>
      <c r="BH198" s="44"/>
      <c r="BI198" s="45" t="s">
        <v>16</v>
      </c>
      <c r="BJ198" s="46" t="str">
        <f>IF(VLOOKUP(BI198,βοηθητικό!$J$2:$N$354,3,FALSE)="","",VLOOKUP(BI198,βοηθητικό!$J$2:$N$354,3,FALSE))</f>
        <v>_</v>
      </c>
      <c r="BK198" s="47"/>
      <c r="BL198" s="42" t="s">
        <v>16</v>
      </c>
      <c r="BM198" s="43" t="str">
        <f>IF(VLOOKUP(BL198,βοηθητικό!$J$2:$N$354,3,FALSE)="","",VLOOKUP(BL198,βοηθητικό!$J$2:$N$354,3,FALSE))</f>
        <v>_</v>
      </c>
      <c r="BN198" s="44"/>
      <c r="BO198" s="45" t="s">
        <v>16</v>
      </c>
      <c r="BP198" s="46" t="str">
        <f>IF(VLOOKUP(BO198,βοηθητικό!$J$2:$N$354,3,FALSE)="","",VLOOKUP(BO198,βοηθητικό!$J$2:$N$354,3,FALSE))</f>
        <v>_</v>
      </c>
      <c r="BQ198" s="47"/>
      <c r="BR198" s="42" t="s">
        <v>16</v>
      </c>
      <c r="BS198" s="43" t="str">
        <f>IF(VLOOKUP(BR198,βοηθητικό!$J$2:$N$354,3,FALSE)="","",VLOOKUP(BR198,βοηθητικό!$J$2:$N$354,3,FALSE))</f>
        <v>_</v>
      </c>
      <c r="BT198" s="44"/>
      <c r="BU198" s="45" t="s">
        <v>16</v>
      </c>
      <c r="BV198" s="46" t="str">
        <f>IF(VLOOKUP(BU198,βοηθητικό!$J$2:$N$354,3,FALSE)="","",VLOOKUP(BU198,βοηθητικό!$J$2:$N$354,3,FALSE))</f>
        <v>_</v>
      </c>
      <c r="BW198" s="47"/>
      <c r="BX198" s="42" t="s">
        <v>16</v>
      </c>
      <c r="BY198" s="43" t="str">
        <f>IF(VLOOKUP(BX198,βοηθητικό!$J$2:$N$354,3,FALSE)="","",VLOOKUP(BX198,βοηθητικό!$J$2:$N$354,3,FALSE))</f>
        <v>_</v>
      </c>
      <c r="BZ198" s="44"/>
      <c r="CA198" s="45" t="s">
        <v>16</v>
      </c>
      <c r="CB198" s="46" t="str">
        <f>IF(VLOOKUP(CA198,βοηθητικό!$J$2:$N$354,3,FALSE)="","",VLOOKUP(CA198,βοηθητικό!$J$2:$N$354,3,FALSE))</f>
        <v>_</v>
      </c>
      <c r="CC198" s="47"/>
      <c r="CD198" s="42" t="s">
        <v>16</v>
      </c>
      <c r="CE198" s="43" t="str">
        <f>IF(VLOOKUP(CD198,βοηθητικό!$J$2:$N$354,3,FALSE)="","",VLOOKUP(CD198,βοηθητικό!$J$2:$N$354,3,FALSE))</f>
        <v>_</v>
      </c>
      <c r="CF198" s="44"/>
      <c r="CG198" s="45" t="s">
        <v>16</v>
      </c>
      <c r="CH198" s="46" t="str">
        <f>IF(VLOOKUP(CG198,βοηθητικό!$J$2:$N$354,3,FALSE)="","",VLOOKUP(CG198,βοηθητικό!$J$2:$N$354,3,FALSE))</f>
        <v>_</v>
      </c>
      <c r="CI198" s="47"/>
      <c r="CJ198" s="42" t="s">
        <v>16</v>
      </c>
      <c r="CK198" s="43" t="str">
        <f>IF(VLOOKUP(CJ198,βοηθητικό!$J$2:$N$354,3,FALSE)="","",VLOOKUP(CJ198,βοηθητικό!$J$2:$N$354,3,FALSE))</f>
        <v>_</v>
      </c>
      <c r="CL198" s="44"/>
      <c r="CM198" s="45" t="s">
        <v>16</v>
      </c>
      <c r="CN198" s="46" t="str">
        <f>IF(VLOOKUP(CM198,βοηθητικό!$J$2:$N$354,3,FALSE)="","",VLOOKUP(CM198,βοηθητικό!$J$2:$N$354,3,FALSE))</f>
        <v>_</v>
      </c>
      <c r="CO198" s="47"/>
      <c r="CP198" s="42" t="s">
        <v>16</v>
      </c>
      <c r="CQ198" s="43" t="str">
        <f>IF(VLOOKUP(CP198,βοηθητικό!$J$2:$N$354,3,FALSE)="","",VLOOKUP(CP198,βοηθητικό!$J$2:$N$354,3,FALSE))</f>
        <v>_</v>
      </c>
      <c r="CR198" s="44"/>
      <c r="CS198" s="45" t="s">
        <v>16</v>
      </c>
      <c r="CT198" s="46" t="str">
        <f>IF(VLOOKUP(CS198,βοηθητικό!$J$2:$N$354,3,FALSE)="","",VLOOKUP(CS198,βοηθητικό!$J$2:$N$354,3,FALSE))</f>
        <v>_</v>
      </c>
      <c r="CU198" s="47"/>
    </row>
    <row r="199" spans="1:99" x14ac:dyDescent="0.25">
      <c r="A199" s="37">
        <f>--SUBTOTAL(3,$B$3:B198)</f>
        <v>196</v>
      </c>
      <c r="B199" s="68">
        <v>45187</v>
      </c>
      <c r="C199" s="69">
        <v>45193</v>
      </c>
      <c r="D199" s="58" t="s">
        <v>127</v>
      </c>
      <c r="E199" s="38" t="s">
        <v>16</v>
      </c>
      <c r="F199" s="38" t="s">
        <v>16</v>
      </c>
      <c r="G199" s="39" t="str">
        <f t="shared" si="11"/>
        <v>__</v>
      </c>
      <c r="H199" s="40" t="str">
        <f t="shared" si="12"/>
        <v>FALSE</v>
      </c>
      <c r="I199" s="41">
        <f t="shared" si="13"/>
        <v>7</v>
      </c>
      <c r="J199" s="4" t="s">
        <v>1421</v>
      </c>
      <c r="K199" s="43" t="str">
        <f>IF(VLOOKUP(J199,βοηθητικό!$J$2:$N$354,3,FALSE)="","",VLOOKUP(J199,βοηθητικό!$J$2:$N$354,3,FALSE))</f>
        <v>6948112484</v>
      </c>
      <c r="L199" s="44"/>
      <c r="M199" s="5" t="s">
        <v>1476</v>
      </c>
      <c r="N199" s="46" t="str">
        <f>IF(VLOOKUP(M199,βοηθητικό!$J$2:$N$354,3,FALSE)="","",VLOOKUP(M199,βοηθητικό!$J$2:$N$354,3,FALSE))</f>
        <v>6946808213</v>
      </c>
      <c r="O199" s="47"/>
      <c r="P199" s="4" t="s">
        <v>1479</v>
      </c>
      <c r="Q199" s="43" t="str">
        <f>IF(VLOOKUP(P199,βοηθητικό!$J$2:$N$354,3,FALSE)="","",VLOOKUP(P199,βοηθητικό!$J$2:$N$354,3,FALSE))</f>
        <v>6972254244</v>
      </c>
      <c r="R199" s="44"/>
      <c r="S199" s="5" t="s">
        <v>1473</v>
      </c>
      <c r="T199" s="46" t="str">
        <f>IF(VLOOKUP(S199,βοηθητικό!$J$2:$N$354,3,FALSE)="","",VLOOKUP(S199,βοηθητικό!$J$2:$N$354,3,FALSE))</f>
        <v>6937601117</v>
      </c>
      <c r="U199" s="47"/>
      <c r="V199" s="4" t="s">
        <v>1417</v>
      </c>
      <c r="W199" s="43" t="str">
        <f>IF(VLOOKUP(V199,βοηθητικό!$J$2:$N$354,3,FALSE)="","",VLOOKUP(V199,βοηθητικό!$J$2:$N$354,3,FALSE))</f>
        <v>6932436923</v>
      </c>
      <c r="X199" s="44"/>
      <c r="Y199" s="5" t="s">
        <v>1440</v>
      </c>
      <c r="Z199" s="46" t="str">
        <f>IF(VLOOKUP(Y199,βοηθητικό!$J$2:$N$354,3,FALSE)="","",VLOOKUP(Y199,βοηθητικό!$J$2:$N$354,3,FALSE))</f>
        <v>6978143337</v>
      </c>
      <c r="AA199" s="47"/>
      <c r="AB199" s="4" t="s">
        <v>1414</v>
      </c>
      <c r="AC199" s="43" t="str">
        <f>IF(VLOOKUP(AB199,βοηθητικό!$J$2:$N$354,3,FALSE)="","",VLOOKUP(AB199,βοηθητικό!$J$2:$N$354,3,FALSE))</f>
        <v>6908866517</v>
      </c>
      <c r="AD199" s="44"/>
      <c r="AE199" s="5" t="s">
        <v>16</v>
      </c>
      <c r="AF199" s="46" t="str">
        <f>IF(VLOOKUP(AE199,βοηθητικό!$J$2:$N$354,3,FALSE)="","",VLOOKUP(AE199,βοηθητικό!$J$2:$N$354,3,FALSE))</f>
        <v>_</v>
      </c>
      <c r="AG199" s="47"/>
      <c r="AH199" s="4" t="s">
        <v>16</v>
      </c>
      <c r="AI199" s="43" t="str">
        <f>IF(VLOOKUP(AH199,βοηθητικό!$J$2:$N$354,3,FALSE)="","",VLOOKUP(AH199,βοηθητικό!$J$2:$N$354,3,FALSE))</f>
        <v>_</v>
      </c>
      <c r="AJ199" s="44"/>
      <c r="AK199" s="5" t="s">
        <v>16</v>
      </c>
      <c r="AL199" s="46" t="str">
        <f>IF(VLOOKUP(AK199,βοηθητικό!$J$2:$N$354,3,FALSE)="","",VLOOKUP(AK199,βοηθητικό!$J$2:$N$354,3,FALSE))</f>
        <v>_</v>
      </c>
      <c r="AM199" s="47"/>
      <c r="AN199" s="4" t="s">
        <v>16</v>
      </c>
      <c r="AO199" s="43" t="str">
        <f>IF(VLOOKUP(AN199,βοηθητικό!$J$2:$N$354,3,FALSE)="","",VLOOKUP(AN199,βοηθητικό!$J$2:$N$354,3,FALSE))</f>
        <v>_</v>
      </c>
      <c r="AP199" s="44"/>
      <c r="AQ199" s="5" t="s">
        <v>16</v>
      </c>
      <c r="AR199" s="46" t="str">
        <f>IF(VLOOKUP(AQ199,βοηθητικό!$J$2:$N$354,3,FALSE)="","",VLOOKUP(AQ199,βοηθητικό!$J$2:$N$354,3,FALSE))</f>
        <v>_</v>
      </c>
      <c r="AS199" s="47"/>
      <c r="AT199" s="4" t="s">
        <v>16</v>
      </c>
      <c r="AU199" s="43" t="str">
        <f>IF(VLOOKUP(AT199,βοηθητικό!$J$2:$N$354,3,FALSE)="","",VLOOKUP(AT199,βοηθητικό!$J$2:$N$354,3,FALSE))</f>
        <v>_</v>
      </c>
      <c r="AV199" s="44"/>
      <c r="AW199" s="5" t="s">
        <v>16</v>
      </c>
      <c r="AX199" s="46" t="str">
        <f>IF(VLOOKUP(AW199,βοηθητικό!$J$2:$N$354,3,FALSE)="","",VLOOKUP(AW199,βοηθητικό!$J$2:$N$354,3,FALSE))</f>
        <v>_</v>
      </c>
      <c r="AY199" s="47"/>
      <c r="AZ199" s="4" t="s">
        <v>16</v>
      </c>
      <c r="BA199" s="43" t="str">
        <f>IF(VLOOKUP(AZ199,βοηθητικό!$J$2:$N$354,3,FALSE)="","",VLOOKUP(AZ199,βοηθητικό!$J$2:$N$354,3,FALSE))</f>
        <v>_</v>
      </c>
      <c r="BB199" s="44"/>
      <c r="BC199" s="45" t="s">
        <v>16</v>
      </c>
      <c r="BD199" s="46" t="str">
        <f>IF(VLOOKUP(BC199,βοηθητικό!$J$2:$N$354,3,FALSE)="","",VLOOKUP(BC199,βοηθητικό!$J$2:$N$354,3,FALSE))</f>
        <v>_</v>
      </c>
      <c r="BE199" s="47"/>
      <c r="BF199" s="42" t="s">
        <v>16</v>
      </c>
      <c r="BG199" s="43" t="str">
        <f>IF(VLOOKUP(BF199,βοηθητικό!$J$2:$N$354,3,FALSE)="","",VLOOKUP(BF199,βοηθητικό!$J$2:$N$354,3,FALSE))</f>
        <v>_</v>
      </c>
      <c r="BH199" s="44"/>
      <c r="BI199" s="45" t="s">
        <v>16</v>
      </c>
      <c r="BJ199" s="46" t="str">
        <f>IF(VLOOKUP(BI199,βοηθητικό!$J$2:$N$354,3,FALSE)="","",VLOOKUP(BI199,βοηθητικό!$J$2:$N$354,3,FALSE))</f>
        <v>_</v>
      </c>
      <c r="BK199" s="47"/>
      <c r="BL199" s="42" t="s">
        <v>16</v>
      </c>
      <c r="BM199" s="43" t="str">
        <f>IF(VLOOKUP(BL199,βοηθητικό!$J$2:$N$354,3,FALSE)="","",VLOOKUP(BL199,βοηθητικό!$J$2:$N$354,3,FALSE))</f>
        <v>_</v>
      </c>
      <c r="BN199" s="44"/>
      <c r="BO199" s="45" t="s">
        <v>16</v>
      </c>
      <c r="BP199" s="46" t="str">
        <f>IF(VLOOKUP(BO199,βοηθητικό!$J$2:$N$354,3,FALSE)="","",VLOOKUP(BO199,βοηθητικό!$J$2:$N$354,3,FALSE))</f>
        <v>_</v>
      </c>
      <c r="BQ199" s="47"/>
      <c r="BR199" s="42" t="s">
        <v>16</v>
      </c>
      <c r="BS199" s="43" t="str">
        <f>IF(VLOOKUP(BR199,βοηθητικό!$J$2:$N$354,3,FALSE)="","",VLOOKUP(BR199,βοηθητικό!$J$2:$N$354,3,FALSE))</f>
        <v>_</v>
      </c>
      <c r="BT199" s="44"/>
      <c r="BU199" s="45" t="s">
        <v>16</v>
      </c>
      <c r="BV199" s="46" t="str">
        <f>IF(VLOOKUP(BU199,βοηθητικό!$J$2:$N$354,3,FALSE)="","",VLOOKUP(BU199,βοηθητικό!$J$2:$N$354,3,FALSE))</f>
        <v>_</v>
      </c>
      <c r="BW199" s="47"/>
      <c r="BX199" s="42" t="s">
        <v>16</v>
      </c>
      <c r="BY199" s="43" t="str">
        <f>IF(VLOOKUP(BX199,βοηθητικό!$J$2:$N$354,3,FALSE)="","",VLOOKUP(BX199,βοηθητικό!$J$2:$N$354,3,FALSE))</f>
        <v>_</v>
      </c>
      <c r="BZ199" s="44"/>
      <c r="CA199" s="45" t="s">
        <v>16</v>
      </c>
      <c r="CB199" s="46" t="str">
        <f>IF(VLOOKUP(CA199,βοηθητικό!$J$2:$N$354,3,FALSE)="","",VLOOKUP(CA199,βοηθητικό!$J$2:$N$354,3,FALSE))</f>
        <v>_</v>
      </c>
      <c r="CC199" s="47"/>
      <c r="CD199" s="42" t="s">
        <v>16</v>
      </c>
      <c r="CE199" s="43" t="str">
        <f>IF(VLOOKUP(CD199,βοηθητικό!$J$2:$N$354,3,FALSE)="","",VLOOKUP(CD199,βοηθητικό!$J$2:$N$354,3,FALSE))</f>
        <v>_</v>
      </c>
      <c r="CF199" s="44"/>
      <c r="CG199" s="45" t="s">
        <v>16</v>
      </c>
      <c r="CH199" s="46" t="str">
        <f>IF(VLOOKUP(CG199,βοηθητικό!$J$2:$N$354,3,FALSE)="","",VLOOKUP(CG199,βοηθητικό!$J$2:$N$354,3,FALSE))</f>
        <v>_</v>
      </c>
      <c r="CI199" s="47"/>
      <c r="CJ199" s="42" t="s">
        <v>16</v>
      </c>
      <c r="CK199" s="43" t="str">
        <f>IF(VLOOKUP(CJ199,βοηθητικό!$J$2:$N$354,3,FALSE)="","",VLOOKUP(CJ199,βοηθητικό!$J$2:$N$354,3,FALSE))</f>
        <v>_</v>
      </c>
      <c r="CL199" s="44"/>
      <c r="CM199" s="45" t="s">
        <v>16</v>
      </c>
      <c r="CN199" s="46" t="str">
        <f>IF(VLOOKUP(CM199,βοηθητικό!$J$2:$N$354,3,FALSE)="","",VLOOKUP(CM199,βοηθητικό!$J$2:$N$354,3,FALSE))</f>
        <v>_</v>
      </c>
      <c r="CO199" s="47"/>
      <c r="CP199" s="42" t="s">
        <v>16</v>
      </c>
      <c r="CQ199" s="43" t="str">
        <f>IF(VLOOKUP(CP199,βοηθητικό!$J$2:$N$354,3,FALSE)="","",VLOOKUP(CP199,βοηθητικό!$J$2:$N$354,3,FALSE))</f>
        <v>_</v>
      </c>
      <c r="CR199" s="44"/>
      <c r="CS199" s="45" t="s">
        <v>16</v>
      </c>
      <c r="CT199" s="46" t="str">
        <f>IF(VLOOKUP(CS199,βοηθητικό!$J$2:$N$354,3,FALSE)="","",VLOOKUP(CS199,βοηθητικό!$J$2:$N$354,3,FALSE))</f>
        <v>_</v>
      </c>
      <c r="CU199" s="47"/>
    </row>
    <row r="200" spans="1:99" x14ac:dyDescent="0.25">
      <c r="A200" s="37">
        <f>--SUBTOTAL(3,$B$3:B199)</f>
        <v>197</v>
      </c>
      <c r="B200" s="68">
        <v>45194</v>
      </c>
      <c r="C200" s="69">
        <v>45200</v>
      </c>
      <c r="D200" s="58" t="s">
        <v>127</v>
      </c>
      <c r="E200" s="38" t="s">
        <v>16</v>
      </c>
      <c r="F200" s="38" t="s">
        <v>16</v>
      </c>
      <c r="G200" s="39" t="str">
        <f t="shared" si="11"/>
        <v>__</v>
      </c>
      <c r="H200" s="40" t="str">
        <f t="shared" si="12"/>
        <v>FALSE</v>
      </c>
      <c r="I200" s="41">
        <f t="shared" si="13"/>
        <v>7</v>
      </c>
      <c r="J200" s="4" t="s">
        <v>1443</v>
      </c>
      <c r="K200" s="43" t="str">
        <f>IF(VLOOKUP(J200,βοηθητικό!$J$2:$N$354,3,FALSE)="","",VLOOKUP(J200,βοηθητικό!$J$2:$N$354,3,FALSE))</f>
        <v>6947937446</v>
      </c>
      <c r="L200" s="44"/>
      <c r="M200" s="5" t="s">
        <v>1411</v>
      </c>
      <c r="N200" s="46" t="str">
        <f>IF(VLOOKUP(M200,βοηθητικό!$J$2:$N$354,3,FALSE)="","",VLOOKUP(M200,βοηθητικό!$J$2:$N$354,3,FALSE))</f>
        <v>6976704746</v>
      </c>
      <c r="O200" s="47"/>
      <c r="P200" s="4" t="s">
        <v>1434</v>
      </c>
      <c r="Q200" s="43" t="str">
        <f>IF(VLOOKUP(P200,βοηθητικό!$J$2:$N$354,3,FALSE)="","",VLOOKUP(P200,βοηθητικό!$J$2:$N$354,3,FALSE))</f>
        <v>6977995010</v>
      </c>
      <c r="R200" s="44"/>
      <c r="S200" s="5" t="s">
        <v>1449</v>
      </c>
      <c r="T200" s="46" t="str">
        <f>IF(VLOOKUP(S200,βοηθητικό!$J$2:$N$354,3,FALSE)="","",VLOOKUP(S200,βοηθητικό!$J$2:$N$354,3,FALSE))</f>
        <v>6942065498</v>
      </c>
      <c r="U200" s="47"/>
      <c r="V200" s="4" t="s">
        <v>1493</v>
      </c>
      <c r="W200" s="43" t="str">
        <f>IF(VLOOKUP(V200,βοηθητικό!$J$2:$N$354,3,FALSE)="","",VLOOKUP(V200,βοηθητικό!$J$2:$N$354,3,FALSE))</f>
        <v>6978022104</v>
      </c>
      <c r="X200" s="44"/>
      <c r="Y200" s="5" t="s">
        <v>1455</v>
      </c>
      <c r="Z200" s="46" t="str">
        <f>IF(VLOOKUP(Y200,βοηθητικό!$J$2:$N$354,3,FALSE)="","",VLOOKUP(Y200,βοηθητικό!$J$2:$N$354,3,FALSE))</f>
        <v>6945859412</v>
      </c>
      <c r="AA200" s="47"/>
      <c r="AB200" s="4" t="s">
        <v>1446</v>
      </c>
      <c r="AC200" s="43" t="str">
        <f>IF(VLOOKUP(AB200,βοηθητικό!$J$2:$N$354,3,FALSE)="","",VLOOKUP(AB200,βοηθητικό!$J$2:$N$354,3,FALSE))</f>
        <v>6980080409</v>
      </c>
      <c r="AD200" s="44"/>
      <c r="AE200" s="5" t="s">
        <v>16</v>
      </c>
      <c r="AF200" s="46" t="str">
        <f>IF(VLOOKUP(AE200,βοηθητικό!$J$2:$N$354,3,FALSE)="","",VLOOKUP(AE200,βοηθητικό!$J$2:$N$354,3,FALSE))</f>
        <v>_</v>
      </c>
      <c r="AG200" s="47"/>
      <c r="AH200" s="4" t="s">
        <v>16</v>
      </c>
      <c r="AI200" s="43" t="str">
        <f>IF(VLOOKUP(AH200,βοηθητικό!$J$2:$N$354,3,FALSE)="","",VLOOKUP(AH200,βοηθητικό!$J$2:$N$354,3,FALSE))</f>
        <v>_</v>
      </c>
      <c r="AJ200" s="44"/>
      <c r="AK200" s="5" t="s">
        <v>16</v>
      </c>
      <c r="AL200" s="46" t="str">
        <f>IF(VLOOKUP(AK200,βοηθητικό!$J$2:$N$354,3,FALSE)="","",VLOOKUP(AK200,βοηθητικό!$J$2:$N$354,3,FALSE))</f>
        <v>_</v>
      </c>
      <c r="AM200" s="47"/>
      <c r="AN200" s="4" t="s">
        <v>16</v>
      </c>
      <c r="AO200" s="43" t="str">
        <f>IF(VLOOKUP(AN200,βοηθητικό!$J$2:$N$354,3,FALSE)="","",VLOOKUP(AN200,βοηθητικό!$J$2:$N$354,3,FALSE))</f>
        <v>_</v>
      </c>
      <c r="AP200" s="44"/>
      <c r="AQ200" s="5" t="s">
        <v>16</v>
      </c>
      <c r="AR200" s="46" t="str">
        <f>IF(VLOOKUP(AQ200,βοηθητικό!$J$2:$N$354,3,FALSE)="","",VLOOKUP(AQ200,βοηθητικό!$J$2:$N$354,3,FALSE))</f>
        <v>_</v>
      </c>
      <c r="AS200" s="47"/>
      <c r="AT200" s="4" t="s">
        <v>16</v>
      </c>
      <c r="AU200" s="43" t="str">
        <f>IF(VLOOKUP(AT200,βοηθητικό!$J$2:$N$354,3,FALSE)="","",VLOOKUP(AT200,βοηθητικό!$J$2:$N$354,3,FALSE))</f>
        <v>_</v>
      </c>
      <c r="AV200" s="44"/>
      <c r="AW200" s="5" t="s">
        <v>16</v>
      </c>
      <c r="AX200" s="46" t="str">
        <f>IF(VLOOKUP(AW200,βοηθητικό!$J$2:$N$354,3,FALSE)="","",VLOOKUP(AW200,βοηθητικό!$J$2:$N$354,3,FALSE))</f>
        <v>_</v>
      </c>
      <c r="AY200" s="47"/>
      <c r="AZ200" s="4" t="s">
        <v>16</v>
      </c>
      <c r="BA200" s="43" t="str">
        <f>IF(VLOOKUP(AZ200,βοηθητικό!$J$2:$N$354,3,FALSE)="","",VLOOKUP(AZ200,βοηθητικό!$J$2:$N$354,3,FALSE))</f>
        <v>_</v>
      </c>
      <c r="BB200" s="44"/>
      <c r="BC200" s="45" t="s">
        <v>16</v>
      </c>
      <c r="BD200" s="46" t="str">
        <f>IF(VLOOKUP(BC200,βοηθητικό!$J$2:$N$354,3,FALSE)="","",VLOOKUP(BC200,βοηθητικό!$J$2:$N$354,3,FALSE))</f>
        <v>_</v>
      </c>
      <c r="BE200" s="47"/>
      <c r="BF200" s="42" t="s">
        <v>16</v>
      </c>
      <c r="BG200" s="43" t="str">
        <f>IF(VLOOKUP(BF200,βοηθητικό!$J$2:$N$354,3,FALSE)="","",VLOOKUP(BF200,βοηθητικό!$J$2:$N$354,3,FALSE))</f>
        <v>_</v>
      </c>
      <c r="BH200" s="44"/>
      <c r="BI200" s="45" t="s">
        <v>16</v>
      </c>
      <c r="BJ200" s="46" t="str">
        <f>IF(VLOOKUP(BI200,βοηθητικό!$J$2:$N$354,3,FALSE)="","",VLOOKUP(BI200,βοηθητικό!$J$2:$N$354,3,FALSE))</f>
        <v>_</v>
      </c>
      <c r="BK200" s="47"/>
      <c r="BL200" s="42" t="s">
        <v>16</v>
      </c>
      <c r="BM200" s="43" t="str">
        <f>IF(VLOOKUP(BL200,βοηθητικό!$J$2:$N$354,3,FALSE)="","",VLOOKUP(BL200,βοηθητικό!$J$2:$N$354,3,FALSE))</f>
        <v>_</v>
      </c>
      <c r="BN200" s="44"/>
      <c r="BO200" s="45" t="s">
        <v>16</v>
      </c>
      <c r="BP200" s="46" t="str">
        <f>IF(VLOOKUP(BO200,βοηθητικό!$J$2:$N$354,3,FALSE)="","",VLOOKUP(BO200,βοηθητικό!$J$2:$N$354,3,FALSE))</f>
        <v>_</v>
      </c>
      <c r="BQ200" s="47"/>
      <c r="BR200" s="42" t="s">
        <v>16</v>
      </c>
      <c r="BS200" s="43" t="str">
        <f>IF(VLOOKUP(BR200,βοηθητικό!$J$2:$N$354,3,FALSE)="","",VLOOKUP(BR200,βοηθητικό!$J$2:$N$354,3,FALSE))</f>
        <v>_</v>
      </c>
      <c r="BT200" s="44"/>
      <c r="BU200" s="45" t="s">
        <v>16</v>
      </c>
      <c r="BV200" s="46" t="str">
        <f>IF(VLOOKUP(BU200,βοηθητικό!$J$2:$N$354,3,FALSE)="","",VLOOKUP(BU200,βοηθητικό!$J$2:$N$354,3,FALSE))</f>
        <v>_</v>
      </c>
      <c r="BW200" s="47"/>
      <c r="BX200" s="42" t="s">
        <v>16</v>
      </c>
      <c r="BY200" s="43" t="str">
        <f>IF(VLOOKUP(BX200,βοηθητικό!$J$2:$N$354,3,FALSE)="","",VLOOKUP(BX200,βοηθητικό!$J$2:$N$354,3,FALSE))</f>
        <v>_</v>
      </c>
      <c r="BZ200" s="44"/>
      <c r="CA200" s="45" t="s">
        <v>16</v>
      </c>
      <c r="CB200" s="46" t="str">
        <f>IF(VLOOKUP(CA200,βοηθητικό!$J$2:$N$354,3,FALSE)="","",VLOOKUP(CA200,βοηθητικό!$J$2:$N$354,3,FALSE))</f>
        <v>_</v>
      </c>
      <c r="CC200" s="47"/>
      <c r="CD200" s="42" t="s">
        <v>16</v>
      </c>
      <c r="CE200" s="43" t="str">
        <f>IF(VLOOKUP(CD200,βοηθητικό!$J$2:$N$354,3,FALSE)="","",VLOOKUP(CD200,βοηθητικό!$J$2:$N$354,3,FALSE))</f>
        <v>_</v>
      </c>
      <c r="CF200" s="44"/>
      <c r="CG200" s="45" t="s">
        <v>16</v>
      </c>
      <c r="CH200" s="46" t="str">
        <f>IF(VLOOKUP(CG200,βοηθητικό!$J$2:$N$354,3,FALSE)="","",VLOOKUP(CG200,βοηθητικό!$J$2:$N$354,3,FALSE))</f>
        <v>_</v>
      </c>
      <c r="CI200" s="47"/>
      <c r="CJ200" s="42" t="s">
        <v>16</v>
      </c>
      <c r="CK200" s="43" t="str">
        <f>IF(VLOOKUP(CJ200,βοηθητικό!$J$2:$N$354,3,FALSE)="","",VLOOKUP(CJ200,βοηθητικό!$J$2:$N$354,3,FALSE))</f>
        <v>_</v>
      </c>
      <c r="CL200" s="44"/>
      <c r="CM200" s="45" t="s">
        <v>16</v>
      </c>
      <c r="CN200" s="46" t="str">
        <f>IF(VLOOKUP(CM200,βοηθητικό!$J$2:$N$354,3,FALSE)="","",VLOOKUP(CM200,βοηθητικό!$J$2:$N$354,3,FALSE))</f>
        <v>_</v>
      </c>
      <c r="CO200" s="47"/>
      <c r="CP200" s="42" t="s">
        <v>16</v>
      </c>
      <c r="CQ200" s="43" t="str">
        <f>IF(VLOOKUP(CP200,βοηθητικό!$J$2:$N$354,3,FALSE)="","",VLOOKUP(CP200,βοηθητικό!$J$2:$N$354,3,FALSE))</f>
        <v>_</v>
      </c>
      <c r="CR200" s="44"/>
      <c r="CS200" s="45" t="s">
        <v>16</v>
      </c>
      <c r="CT200" s="46" t="str">
        <f>IF(VLOOKUP(CS200,βοηθητικό!$J$2:$N$354,3,FALSE)="","",VLOOKUP(CS200,βοηθητικό!$J$2:$N$354,3,FALSE))</f>
        <v>_</v>
      </c>
      <c r="CU200" s="47"/>
    </row>
    <row r="201" spans="1:99" x14ac:dyDescent="0.25">
      <c r="A201" s="37">
        <f>--SUBTOTAL(3,$B$3:B200)</f>
        <v>198</v>
      </c>
      <c r="B201" s="2"/>
      <c r="C201" s="3"/>
      <c r="D201" s="55" t="s">
        <v>18</v>
      </c>
      <c r="E201" s="38" t="s">
        <v>16</v>
      </c>
      <c r="F201" s="38" t="s">
        <v>16</v>
      </c>
      <c r="G201" s="39" t="str">
        <f t="shared" si="11"/>
        <v>__</v>
      </c>
      <c r="H201" s="40" t="str">
        <f t="shared" si="12"/>
        <v>FALSE</v>
      </c>
      <c r="I201" s="41">
        <f t="shared" si="13"/>
        <v>0</v>
      </c>
      <c r="J201" s="4" t="s">
        <v>16</v>
      </c>
      <c r="K201" s="43" t="str">
        <f>IF(VLOOKUP(J201,βοηθητικό!$J$2:$N$354,3,FALSE)="","",VLOOKUP(J201,βοηθητικό!$J$2:$N$354,3,FALSE))</f>
        <v>_</v>
      </c>
      <c r="L201" s="44"/>
      <c r="M201" s="5" t="s">
        <v>16</v>
      </c>
      <c r="N201" s="46" t="str">
        <f>IF(VLOOKUP(M201,βοηθητικό!$J$2:$N$354,3,FALSE)="","",VLOOKUP(M201,βοηθητικό!$J$2:$N$354,3,FALSE))</f>
        <v>_</v>
      </c>
      <c r="O201" s="47"/>
      <c r="P201" s="4" t="s">
        <v>16</v>
      </c>
      <c r="Q201" s="43" t="str">
        <f>IF(VLOOKUP(P201,βοηθητικό!$J$2:$N$354,3,FALSE)="","",VLOOKUP(P201,βοηθητικό!$J$2:$N$354,3,FALSE))</f>
        <v>_</v>
      </c>
      <c r="R201" s="44"/>
      <c r="S201" s="5" t="s">
        <v>16</v>
      </c>
      <c r="T201" s="46" t="str">
        <f>IF(VLOOKUP(S201,βοηθητικό!$J$2:$N$354,3,FALSE)="","",VLOOKUP(S201,βοηθητικό!$J$2:$N$354,3,FALSE))</f>
        <v>_</v>
      </c>
      <c r="U201" s="47"/>
      <c r="V201" s="4" t="s">
        <v>16</v>
      </c>
      <c r="W201" s="43" t="str">
        <f>IF(VLOOKUP(V201,βοηθητικό!$J$2:$N$354,3,FALSE)="","",VLOOKUP(V201,βοηθητικό!$J$2:$N$354,3,FALSE))</f>
        <v>_</v>
      </c>
      <c r="X201" s="44"/>
      <c r="Y201" s="5" t="s">
        <v>16</v>
      </c>
      <c r="Z201" s="46" t="str">
        <f>IF(VLOOKUP(Y201,βοηθητικό!$J$2:$N$354,3,FALSE)="","",VLOOKUP(Y201,βοηθητικό!$J$2:$N$354,3,FALSE))</f>
        <v>_</v>
      </c>
      <c r="AA201" s="47"/>
      <c r="AB201" s="4" t="s">
        <v>16</v>
      </c>
      <c r="AC201" s="43" t="str">
        <f>IF(VLOOKUP(AB201,βοηθητικό!$J$2:$N$354,3,FALSE)="","",VLOOKUP(AB201,βοηθητικό!$J$2:$N$354,3,FALSE))</f>
        <v>_</v>
      </c>
      <c r="AD201" s="44"/>
      <c r="AE201" s="5" t="s">
        <v>16</v>
      </c>
      <c r="AF201" s="46" t="str">
        <f>IF(VLOOKUP(AE201,βοηθητικό!$J$2:$N$354,3,FALSE)="","",VLOOKUP(AE201,βοηθητικό!$J$2:$N$354,3,FALSE))</f>
        <v>_</v>
      </c>
      <c r="AG201" s="47"/>
      <c r="AH201" s="4" t="s">
        <v>16</v>
      </c>
      <c r="AI201" s="43" t="str">
        <f>IF(VLOOKUP(AH201,βοηθητικό!$J$2:$N$354,3,FALSE)="","",VLOOKUP(AH201,βοηθητικό!$J$2:$N$354,3,FALSE))</f>
        <v>_</v>
      </c>
      <c r="AJ201" s="44"/>
      <c r="AK201" s="5" t="s">
        <v>16</v>
      </c>
      <c r="AL201" s="46" t="str">
        <f>IF(VLOOKUP(AK201,βοηθητικό!$J$2:$N$354,3,FALSE)="","",VLOOKUP(AK201,βοηθητικό!$J$2:$N$354,3,FALSE))</f>
        <v>_</v>
      </c>
      <c r="AM201" s="47"/>
      <c r="AN201" s="4" t="s">
        <v>16</v>
      </c>
      <c r="AO201" s="43" t="str">
        <f>IF(VLOOKUP(AN201,βοηθητικό!$J$2:$N$354,3,FALSE)="","",VLOOKUP(AN201,βοηθητικό!$J$2:$N$354,3,FALSE))</f>
        <v>_</v>
      </c>
      <c r="AP201" s="44"/>
      <c r="AQ201" s="5" t="s">
        <v>16</v>
      </c>
      <c r="AR201" s="46" t="str">
        <f>IF(VLOOKUP(AQ201,βοηθητικό!$J$2:$N$354,3,FALSE)="","",VLOOKUP(AQ201,βοηθητικό!$J$2:$N$354,3,FALSE))</f>
        <v>_</v>
      </c>
      <c r="AS201" s="47"/>
      <c r="AT201" s="4" t="s">
        <v>16</v>
      </c>
      <c r="AU201" s="43" t="str">
        <f>IF(VLOOKUP(AT201,βοηθητικό!$J$2:$N$354,3,FALSE)="","",VLOOKUP(AT201,βοηθητικό!$J$2:$N$354,3,FALSE))</f>
        <v>_</v>
      </c>
      <c r="AV201" s="44"/>
      <c r="AW201" s="5" t="s">
        <v>16</v>
      </c>
      <c r="AX201" s="46" t="str">
        <f>IF(VLOOKUP(AW201,βοηθητικό!$J$2:$N$354,3,FALSE)="","",VLOOKUP(AW201,βοηθητικό!$J$2:$N$354,3,FALSE))</f>
        <v>_</v>
      </c>
      <c r="AY201" s="47"/>
      <c r="AZ201" s="4" t="s">
        <v>16</v>
      </c>
      <c r="BA201" s="43" t="str">
        <f>IF(VLOOKUP(AZ201,βοηθητικό!$J$2:$N$354,3,FALSE)="","",VLOOKUP(AZ201,βοηθητικό!$J$2:$N$354,3,FALSE))</f>
        <v>_</v>
      </c>
      <c r="BB201" s="44"/>
      <c r="BC201" s="45" t="s">
        <v>16</v>
      </c>
      <c r="BD201" s="46" t="str">
        <f>IF(VLOOKUP(BC201,βοηθητικό!$J$2:$N$354,3,FALSE)="","",VLOOKUP(BC201,βοηθητικό!$J$2:$N$354,3,FALSE))</f>
        <v>_</v>
      </c>
      <c r="BE201" s="47"/>
      <c r="BF201" s="42" t="s">
        <v>16</v>
      </c>
      <c r="BG201" s="43" t="str">
        <f>IF(VLOOKUP(BF201,βοηθητικό!$J$2:$N$354,3,FALSE)="","",VLOOKUP(BF201,βοηθητικό!$J$2:$N$354,3,FALSE))</f>
        <v>_</v>
      </c>
      <c r="BH201" s="44"/>
      <c r="BI201" s="45" t="s">
        <v>16</v>
      </c>
      <c r="BJ201" s="46" t="str">
        <f>IF(VLOOKUP(BI201,βοηθητικό!$J$2:$N$354,3,FALSE)="","",VLOOKUP(BI201,βοηθητικό!$J$2:$N$354,3,FALSE))</f>
        <v>_</v>
      </c>
      <c r="BK201" s="47"/>
      <c r="BL201" s="42" t="s">
        <v>16</v>
      </c>
      <c r="BM201" s="43" t="str">
        <f>IF(VLOOKUP(BL201,βοηθητικό!$J$2:$N$354,3,FALSE)="","",VLOOKUP(BL201,βοηθητικό!$J$2:$N$354,3,FALSE))</f>
        <v>_</v>
      </c>
      <c r="BN201" s="44"/>
      <c r="BO201" s="45" t="s">
        <v>16</v>
      </c>
      <c r="BP201" s="46" t="str">
        <f>IF(VLOOKUP(BO201,βοηθητικό!$J$2:$N$354,3,FALSE)="","",VLOOKUP(BO201,βοηθητικό!$J$2:$N$354,3,FALSE))</f>
        <v>_</v>
      </c>
      <c r="BQ201" s="47"/>
      <c r="BR201" s="42" t="s">
        <v>16</v>
      </c>
      <c r="BS201" s="43" t="str">
        <f>IF(VLOOKUP(BR201,βοηθητικό!$J$2:$N$354,3,FALSE)="","",VLOOKUP(BR201,βοηθητικό!$J$2:$N$354,3,FALSE))</f>
        <v>_</v>
      </c>
      <c r="BT201" s="44"/>
      <c r="BU201" s="45" t="s">
        <v>16</v>
      </c>
      <c r="BV201" s="46" t="str">
        <f>IF(VLOOKUP(BU201,βοηθητικό!$J$2:$N$354,3,FALSE)="","",VLOOKUP(BU201,βοηθητικό!$J$2:$N$354,3,FALSE))</f>
        <v>_</v>
      </c>
      <c r="BW201" s="47"/>
      <c r="BX201" s="42" t="s">
        <v>16</v>
      </c>
      <c r="BY201" s="43" t="str">
        <f>IF(VLOOKUP(BX201,βοηθητικό!$J$2:$N$354,3,FALSE)="","",VLOOKUP(BX201,βοηθητικό!$J$2:$N$354,3,FALSE))</f>
        <v>_</v>
      </c>
      <c r="BZ201" s="44"/>
      <c r="CA201" s="45" t="s">
        <v>16</v>
      </c>
      <c r="CB201" s="46" t="str">
        <f>IF(VLOOKUP(CA201,βοηθητικό!$J$2:$N$354,3,FALSE)="","",VLOOKUP(CA201,βοηθητικό!$J$2:$N$354,3,FALSE))</f>
        <v>_</v>
      </c>
      <c r="CC201" s="47"/>
      <c r="CD201" s="42" t="s">
        <v>16</v>
      </c>
      <c r="CE201" s="43" t="str">
        <f>IF(VLOOKUP(CD201,βοηθητικό!$J$2:$N$354,3,FALSE)="","",VLOOKUP(CD201,βοηθητικό!$J$2:$N$354,3,FALSE))</f>
        <v>_</v>
      </c>
      <c r="CF201" s="44"/>
      <c r="CG201" s="45" t="s">
        <v>16</v>
      </c>
      <c r="CH201" s="46" t="str">
        <f>IF(VLOOKUP(CG201,βοηθητικό!$J$2:$N$354,3,FALSE)="","",VLOOKUP(CG201,βοηθητικό!$J$2:$N$354,3,FALSE))</f>
        <v>_</v>
      </c>
      <c r="CI201" s="47"/>
      <c r="CJ201" s="42" t="s">
        <v>16</v>
      </c>
      <c r="CK201" s="43" t="str">
        <f>IF(VLOOKUP(CJ201,βοηθητικό!$J$2:$N$354,3,FALSE)="","",VLOOKUP(CJ201,βοηθητικό!$J$2:$N$354,3,FALSE))</f>
        <v>_</v>
      </c>
      <c r="CL201" s="44"/>
      <c r="CM201" s="45" t="s">
        <v>16</v>
      </c>
      <c r="CN201" s="46" t="str">
        <f>IF(VLOOKUP(CM201,βοηθητικό!$J$2:$N$354,3,FALSE)="","",VLOOKUP(CM201,βοηθητικό!$J$2:$N$354,3,FALSE))</f>
        <v>_</v>
      </c>
      <c r="CO201" s="47"/>
      <c r="CP201" s="42" t="s">
        <v>16</v>
      </c>
      <c r="CQ201" s="43" t="str">
        <f>IF(VLOOKUP(CP201,βοηθητικό!$J$2:$N$354,3,FALSE)="","",VLOOKUP(CP201,βοηθητικό!$J$2:$N$354,3,FALSE))</f>
        <v>_</v>
      </c>
      <c r="CR201" s="44"/>
      <c r="CS201" s="45" t="s">
        <v>16</v>
      </c>
      <c r="CT201" s="46" t="str">
        <f>IF(VLOOKUP(CS201,βοηθητικό!$J$2:$N$354,3,FALSE)="","",VLOOKUP(CS201,βοηθητικό!$J$2:$N$354,3,FALSE))</f>
        <v>_</v>
      </c>
      <c r="CU201" s="47"/>
    </row>
    <row r="202" spans="1:99" x14ac:dyDescent="0.25">
      <c r="A202" s="37">
        <f>--SUBTOTAL(3,$B$3:B201)</f>
        <v>198</v>
      </c>
      <c r="B202" s="2"/>
      <c r="C202" s="3"/>
      <c r="D202" s="55" t="s">
        <v>18</v>
      </c>
      <c r="E202" s="38" t="s">
        <v>16</v>
      </c>
      <c r="F202" s="38" t="s">
        <v>16</v>
      </c>
      <c r="G202" s="39" t="str">
        <f t="shared" si="11"/>
        <v>__</v>
      </c>
      <c r="H202" s="40" t="str">
        <f t="shared" si="12"/>
        <v>FALSE</v>
      </c>
      <c r="I202" s="41">
        <f t="shared" si="13"/>
        <v>0</v>
      </c>
      <c r="J202" s="4" t="s">
        <v>16</v>
      </c>
      <c r="K202" s="43" t="str">
        <f>IF(VLOOKUP(J202,βοηθητικό!$J$2:$N$354,3,FALSE)="","",VLOOKUP(J202,βοηθητικό!$J$2:$N$354,3,FALSE))</f>
        <v>_</v>
      </c>
      <c r="L202" s="44"/>
      <c r="M202" s="5" t="s">
        <v>16</v>
      </c>
      <c r="N202" s="46" t="str">
        <f>IF(VLOOKUP(M202,βοηθητικό!$J$2:$N$354,3,FALSE)="","",VLOOKUP(M202,βοηθητικό!$J$2:$N$354,3,FALSE))</f>
        <v>_</v>
      </c>
      <c r="O202" s="47"/>
      <c r="P202" s="4" t="s">
        <v>16</v>
      </c>
      <c r="Q202" s="43" t="str">
        <f>IF(VLOOKUP(P202,βοηθητικό!$J$2:$N$354,3,FALSE)="","",VLOOKUP(P202,βοηθητικό!$J$2:$N$354,3,FALSE))</f>
        <v>_</v>
      </c>
      <c r="R202" s="44"/>
      <c r="S202" s="5" t="s">
        <v>16</v>
      </c>
      <c r="T202" s="46" t="str">
        <f>IF(VLOOKUP(S202,βοηθητικό!$J$2:$N$354,3,FALSE)="","",VLOOKUP(S202,βοηθητικό!$J$2:$N$354,3,FALSE))</f>
        <v>_</v>
      </c>
      <c r="U202" s="47"/>
      <c r="V202" s="4" t="s">
        <v>16</v>
      </c>
      <c r="W202" s="43" t="str">
        <f>IF(VLOOKUP(V202,βοηθητικό!$J$2:$N$354,3,FALSE)="","",VLOOKUP(V202,βοηθητικό!$J$2:$N$354,3,FALSE))</f>
        <v>_</v>
      </c>
      <c r="X202" s="44"/>
      <c r="Y202" s="5" t="s">
        <v>16</v>
      </c>
      <c r="Z202" s="46" t="str">
        <f>IF(VLOOKUP(Y202,βοηθητικό!$J$2:$N$354,3,FALSE)="","",VLOOKUP(Y202,βοηθητικό!$J$2:$N$354,3,FALSE))</f>
        <v>_</v>
      </c>
      <c r="AA202" s="47"/>
      <c r="AB202" s="4" t="s">
        <v>16</v>
      </c>
      <c r="AC202" s="43" t="str">
        <f>IF(VLOOKUP(AB202,βοηθητικό!$J$2:$N$354,3,FALSE)="","",VLOOKUP(AB202,βοηθητικό!$J$2:$N$354,3,FALSE))</f>
        <v>_</v>
      </c>
      <c r="AD202" s="44"/>
      <c r="AE202" s="5" t="s">
        <v>16</v>
      </c>
      <c r="AF202" s="46" t="str">
        <f>IF(VLOOKUP(AE202,βοηθητικό!$J$2:$N$354,3,FALSE)="","",VLOOKUP(AE202,βοηθητικό!$J$2:$N$354,3,FALSE))</f>
        <v>_</v>
      </c>
      <c r="AG202" s="47"/>
      <c r="AH202" s="4" t="s">
        <v>16</v>
      </c>
      <c r="AI202" s="43" t="str">
        <f>IF(VLOOKUP(AH202,βοηθητικό!$J$2:$N$354,3,FALSE)="","",VLOOKUP(AH202,βοηθητικό!$J$2:$N$354,3,FALSE))</f>
        <v>_</v>
      </c>
      <c r="AJ202" s="44"/>
      <c r="AK202" s="5" t="s">
        <v>16</v>
      </c>
      <c r="AL202" s="46" t="str">
        <f>IF(VLOOKUP(AK202,βοηθητικό!$J$2:$N$354,3,FALSE)="","",VLOOKUP(AK202,βοηθητικό!$J$2:$N$354,3,FALSE))</f>
        <v>_</v>
      </c>
      <c r="AM202" s="47"/>
      <c r="AN202" s="4" t="s">
        <v>16</v>
      </c>
      <c r="AO202" s="43" t="str">
        <f>IF(VLOOKUP(AN202,βοηθητικό!$J$2:$N$354,3,FALSE)="","",VLOOKUP(AN202,βοηθητικό!$J$2:$N$354,3,FALSE))</f>
        <v>_</v>
      </c>
      <c r="AP202" s="44"/>
      <c r="AQ202" s="5" t="s">
        <v>16</v>
      </c>
      <c r="AR202" s="46" t="str">
        <f>IF(VLOOKUP(AQ202,βοηθητικό!$J$2:$N$354,3,FALSE)="","",VLOOKUP(AQ202,βοηθητικό!$J$2:$N$354,3,FALSE))</f>
        <v>_</v>
      </c>
      <c r="AS202" s="47"/>
      <c r="AT202" s="4" t="s">
        <v>16</v>
      </c>
      <c r="AU202" s="43" t="str">
        <f>IF(VLOOKUP(AT202,βοηθητικό!$J$2:$N$354,3,FALSE)="","",VLOOKUP(AT202,βοηθητικό!$J$2:$N$354,3,FALSE))</f>
        <v>_</v>
      </c>
      <c r="AV202" s="44"/>
      <c r="AW202" s="5" t="s">
        <v>16</v>
      </c>
      <c r="AX202" s="46" t="str">
        <f>IF(VLOOKUP(AW202,βοηθητικό!$J$2:$N$354,3,FALSE)="","",VLOOKUP(AW202,βοηθητικό!$J$2:$N$354,3,FALSE))</f>
        <v>_</v>
      </c>
      <c r="AY202" s="47"/>
      <c r="AZ202" s="4" t="s">
        <v>16</v>
      </c>
      <c r="BA202" s="43" t="str">
        <f>IF(VLOOKUP(AZ202,βοηθητικό!$J$2:$N$354,3,FALSE)="","",VLOOKUP(AZ202,βοηθητικό!$J$2:$N$354,3,FALSE))</f>
        <v>_</v>
      </c>
      <c r="BB202" s="44"/>
      <c r="BC202" s="45" t="s">
        <v>16</v>
      </c>
      <c r="BD202" s="46" t="str">
        <f>IF(VLOOKUP(BC202,βοηθητικό!$J$2:$N$354,3,FALSE)="","",VLOOKUP(BC202,βοηθητικό!$J$2:$N$354,3,FALSE))</f>
        <v>_</v>
      </c>
      <c r="BE202" s="47"/>
      <c r="BF202" s="42" t="s">
        <v>16</v>
      </c>
      <c r="BG202" s="43" t="str">
        <f>IF(VLOOKUP(BF202,βοηθητικό!$J$2:$N$354,3,FALSE)="","",VLOOKUP(BF202,βοηθητικό!$J$2:$N$354,3,FALSE))</f>
        <v>_</v>
      </c>
      <c r="BH202" s="44"/>
      <c r="BI202" s="45" t="s">
        <v>16</v>
      </c>
      <c r="BJ202" s="46" t="str">
        <f>IF(VLOOKUP(BI202,βοηθητικό!$J$2:$N$354,3,FALSE)="","",VLOOKUP(BI202,βοηθητικό!$J$2:$N$354,3,FALSE))</f>
        <v>_</v>
      </c>
      <c r="BK202" s="47"/>
      <c r="BL202" s="42" t="s">
        <v>16</v>
      </c>
      <c r="BM202" s="43" t="str">
        <f>IF(VLOOKUP(BL202,βοηθητικό!$J$2:$N$354,3,FALSE)="","",VLOOKUP(BL202,βοηθητικό!$J$2:$N$354,3,FALSE))</f>
        <v>_</v>
      </c>
      <c r="BN202" s="44"/>
      <c r="BO202" s="45" t="s">
        <v>16</v>
      </c>
      <c r="BP202" s="46" t="str">
        <f>IF(VLOOKUP(BO202,βοηθητικό!$J$2:$N$354,3,FALSE)="","",VLOOKUP(BO202,βοηθητικό!$J$2:$N$354,3,FALSE))</f>
        <v>_</v>
      </c>
      <c r="BQ202" s="47"/>
      <c r="BR202" s="42" t="s">
        <v>16</v>
      </c>
      <c r="BS202" s="43" t="str">
        <f>IF(VLOOKUP(BR202,βοηθητικό!$J$2:$N$354,3,FALSE)="","",VLOOKUP(BR202,βοηθητικό!$J$2:$N$354,3,FALSE))</f>
        <v>_</v>
      </c>
      <c r="BT202" s="44"/>
      <c r="BU202" s="45" t="s">
        <v>16</v>
      </c>
      <c r="BV202" s="46" t="str">
        <f>IF(VLOOKUP(BU202,βοηθητικό!$J$2:$N$354,3,FALSE)="","",VLOOKUP(BU202,βοηθητικό!$J$2:$N$354,3,FALSE))</f>
        <v>_</v>
      </c>
      <c r="BW202" s="47"/>
      <c r="BX202" s="42" t="s">
        <v>16</v>
      </c>
      <c r="BY202" s="43" t="str">
        <f>IF(VLOOKUP(BX202,βοηθητικό!$J$2:$N$354,3,FALSE)="","",VLOOKUP(BX202,βοηθητικό!$J$2:$N$354,3,FALSE))</f>
        <v>_</v>
      </c>
      <c r="BZ202" s="44"/>
      <c r="CA202" s="45" t="s">
        <v>16</v>
      </c>
      <c r="CB202" s="46" t="str">
        <f>IF(VLOOKUP(CA202,βοηθητικό!$J$2:$N$354,3,FALSE)="","",VLOOKUP(CA202,βοηθητικό!$J$2:$N$354,3,FALSE))</f>
        <v>_</v>
      </c>
      <c r="CC202" s="47"/>
      <c r="CD202" s="42" t="s">
        <v>16</v>
      </c>
      <c r="CE202" s="43" t="str">
        <f>IF(VLOOKUP(CD202,βοηθητικό!$J$2:$N$354,3,FALSE)="","",VLOOKUP(CD202,βοηθητικό!$J$2:$N$354,3,FALSE))</f>
        <v>_</v>
      </c>
      <c r="CF202" s="44"/>
      <c r="CG202" s="45" t="s">
        <v>16</v>
      </c>
      <c r="CH202" s="46" t="str">
        <f>IF(VLOOKUP(CG202,βοηθητικό!$J$2:$N$354,3,FALSE)="","",VLOOKUP(CG202,βοηθητικό!$J$2:$N$354,3,FALSE))</f>
        <v>_</v>
      </c>
      <c r="CI202" s="47"/>
      <c r="CJ202" s="42" t="s">
        <v>16</v>
      </c>
      <c r="CK202" s="43" t="str">
        <f>IF(VLOOKUP(CJ202,βοηθητικό!$J$2:$N$354,3,FALSE)="","",VLOOKUP(CJ202,βοηθητικό!$J$2:$N$354,3,FALSE))</f>
        <v>_</v>
      </c>
      <c r="CL202" s="44"/>
      <c r="CM202" s="45" t="s">
        <v>16</v>
      </c>
      <c r="CN202" s="46" t="str">
        <f>IF(VLOOKUP(CM202,βοηθητικό!$J$2:$N$354,3,FALSE)="","",VLOOKUP(CM202,βοηθητικό!$J$2:$N$354,3,FALSE))</f>
        <v>_</v>
      </c>
      <c r="CO202" s="47"/>
      <c r="CP202" s="42" t="s">
        <v>16</v>
      </c>
      <c r="CQ202" s="43" t="str">
        <f>IF(VLOOKUP(CP202,βοηθητικό!$J$2:$N$354,3,FALSE)="","",VLOOKUP(CP202,βοηθητικό!$J$2:$N$354,3,FALSE))</f>
        <v>_</v>
      </c>
      <c r="CR202" s="44"/>
      <c r="CS202" s="45" t="s">
        <v>16</v>
      </c>
      <c r="CT202" s="46" t="str">
        <f>IF(VLOOKUP(CS202,βοηθητικό!$J$2:$N$354,3,FALSE)="","",VLOOKUP(CS202,βοηθητικό!$J$2:$N$354,3,FALSE))</f>
        <v>_</v>
      </c>
      <c r="CU202" s="47"/>
    </row>
    <row r="203" spans="1:99" x14ac:dyDescent="0.25">
      <c r="A203" s="37">
        <f>--SUBTOTAL(3,$B$3:B202)</f>
        <v>198</v>
      </c>
      <c r="B203" s="2"/>
      <c r="C203" s="3"/>
      <c r="D203" s="55" t="s">
        <v>18</v>
      </c>
      <c r="E203" s="38" t="s">
        <v>16</v>
      </c>
      <c r="F203" s="38" t="s">
        <v>16</v>
      </c>
      <c r="G203" s="39" t="str">
        <f t="shared" si="11"/>
        <v>__</v>
      </c>
      <c r="H203" s="40" t="str">
        <f t="shared" si="12"/>
        <v>FALSE</v>
      </c>
      <c r="I203" s="41">
        <f t="shared" si="13"/>
        <v>0</v>
      </c>
      <c r="J203" s="4" t="s">
        <v>16</v>
      </c>
      <c r="K203" s="43" t="str">
        <f>IF(VLOOKUP(J203,βοηθητικό!$J$2:$N$354,3,FALSE)="","",VLOOKUP(J203,βοηθητικό!$J$2:$N$354,3,FALSE))</f>
        <v>_</v>
      </c>
      <c r="L203" s="44"/>
      <c r="M203" s="5" t="s">
        <v>16</v>
      </c>
      <c r="N203" s="46" t="str">
        <f>IF(VLOOKUP(M203,βοηθητικό!$J$2:$N$354,3,FALSE)="","",VLOOKUP(M203,βοηθητικό!$J$2:$N$354,3,FALSE))</f>
        <v>_</v>
      </c>
      <c r="O203" s="47"/>
      <c r="P203" s="4" t="s">
        <v>16</v>
      </c>
      <c r="Q203" s="43" t="str">
        <f>IF(VLOOKUP(P203,βοηθητικό!$J$2:$N$354,3,FALSE)="","",VLOOKUP(P203,βοηθητικό!$J$2:$N$354,3,FALSE))</f>
        <v>_</v>
      </c>
      <c r="R203" s="44"/>
      <c r="S203" s="5" t="s">
        <v>16</v>
      </c>
      <c r="T203" s="46" t="str">
        <f>IF(VLOOKUP(S203,βοηθητικό!$J$2:$N$354,3,FALSE)="","",VLOOKUP(S203,βοηθητικό!$J$2:$N$354,3,FALSE))</f>
        <v>_</v>
      </c>
      <c r="U203" s="47"/>
      <c r="V203" s="4" t="s">
        <v>16</v>
      </c>
      <c r="W203" s="43" t="str">
        <f>IF(VLOOKUP(V203,βοηθητικό!$J$2:$N$354,3,FALSE)="","",VLOOKUP(V203,βοηθητικό!$J$2:$N$354,3,FALSE))</f>
        <v>_</v>
      </c>
      <c r="X203" s="44"/>
      <c r="Y203" s="5" t="s">
        <v>16</v>
      </c>
      <c r="Z203" s="46" t="str">
        <f>IF(VLOOKUP(Y203,βοηθητικό!$J$2:$N$354,3,FALSE)="","",VLOOKUP(Y203,βοηθητικό!$J$2:$N$354,3,FALSE))</f>
        <v>_</v>
      </c>
      <c r="AA203" s="47"/>
      <c r="AB203" s="4" t="s">
        <v>16</v>
      </c>
      <c r="AC203" s="43" t="str">
        <f>IF(VLOOKUP(AB203,βοηθητικό!$J$2:$N$354,3,FALSE)="","",VLOOKUP(AB203,βοηθητικό!$J$2:$N$354,3,FALSE))</f>
        <v>_</v>
      </c>
      <c r="AD203" s="44"/>
      <c r="AE203" s="5" t="s">
        <v>16</v>
      </c>
      <c r="AF203" s="46" t="str">
        <f>IF(VLOOKUP(AE203,βοηθητικό!$J$2:$N$354,3,FALSE)="","",VLOOKUP(AE203,βοηθητικό!$J$2:$N$354,3,FALSE))</f>
        <v>_</v>
      </c>
      <c r="AG203" s="47"/>
      <c r="AH203" s="4" t="s">
        <v>16</v>
      </c>
      <c r="AI203" s="43" t="str">
        <f>IF(VLOOKUP(AH203,βοηθητικό!$J$2:$N$354,3,FALSE)="","",VLOOKUP(AH203,βοηθητικό!$J$2:$N$354,3,FALSE))</f>
        <v>_</v>
      </c>
      <c r="AJ203" s="44"/>
      <c r="AK203" s="5" t="s">
        <v>16</v>
      </c>
      <c r="AL203" s="46" t="str">
        <f>IF(VLOOKUP(AK203,βοηθητικό!$J$2:$N$354,3,FALSE)="","",VLOOKUP(AK203,βοηθητικό!$J$2:$N$354,3,FALSE))</f>
        <v>_</v>
      </c>
      <c r="AM203" s="47"/>
      <c r="AN203" s="4" t="s">
        <v>16</v>
      </c>
      <c r="AO203" s="43" t="str">
        <f>IF(VLOOKUP(AN203,βοηθητικό!$J$2:$N$354,3,FALSE)="","",VLOOKUP(AN203,βοηθητικό!$J$2:$N$354,3,FALSE))</f>
        <v>_</v>
      </c>
      <c r="AP203" s="44"/>
      <c r="AQ203" s="5" t="s">
        <v>16</v>
      </c>
      <c r="AR203" s="46" t="str">
        <f>IF(VLOOKUP(AQ203,βοηθητικό!$J$2:$N$354,3,FALSE)="","",VLOOKUP(AQ203,βοηθητικό!$J$2:$N$354,3,FALSE))</f>
        <v>_</v>
      </c>
      <c r="AS203" s="47"/>
      <c r="AT203" s="4" t="s">
        <v>16</v>
      </c>
      <c r="AU203" s="43" t="str">
        <f>IF(VLOOKUP(AT203,βοηθητικό!$J$2:$N$354,3,FALSE)="","",VLOOKUP(AT203,βοηθητικό!$J$2:$N$354,3,FALSE))</f>
        <v>_</v>
      </c>
      <c r="AV203" s="44"/>
      <c r="AW203" s="5" t="s">
        <v>16</v>
      </c>
      <c r="AX203" s="46" t="str">
        <f>IF(VLOOKUP(AW203,βοηθητικό!$J$2:$N$354,3,FALSE)="","",VLOOKUP(AW203,βοηθητικό!$J$2:$N$354,3,FALSE))</f>
        <v>_</v>
      </c>
      <c r="AY203" s="47"/>
      <c r="AZ203" s="4" t="s">
        <v>16</v>
      </c>
      <c r="BA203" s="43" t="str">
        <f>IF(VLOOKUP(AZ203,βοηθητικό!$J$2:$N$354,3,FALSE)="","",VLOOKUP(AZ203,βοηθητικό!$J$2:$N$354,3,FALSE))</f>
        <v>_</v>
      </c>
      <c r="BB203" s="44"/>
      <c r="BC203" s="45" t="s">
        <v>16</v>
      </c>
      <c r="BD203" s="46" t="str">
        <f>IF(VLOOKUP(BC203,βοηθητικό!$J$2:$N$354,3,FALSE)="","",VLOOKUP(BC203,βοηθητικό!$J$2:$N$354,3,FALSE))</f>
        <v>_</v>
      </c>
      <c r="BE203" s="47"/>
      <c r="BF203" s="42" t="s">
        <v>16</v>
      </c>
      <c r="BG203" s="43" t="str">
        <f>IF(VLOOKUP(BF203,βοηθητικό!$J$2:$N$354,3,FALSE)="","",VLOOKUP(BF203,βοηθητικό!$J$2:$N$354,3,FALSE))</f>
        <v>_</v>
      </c>
      <c r="BH203" s="44"/>
      <c r="BI203" s="45" t="s">
        <v>16</v>
      </c>
      <c r="BJ203" s="46" t="str">
        <f>IF(VLOOKUP(BI203,βοηθητικό!$J$2:$N$354,3,FALSE)="","",VLOOKUP(BI203,βοηθητικό!$J$2:$N$354,3,FALSE))</f>
        <v>_</v>
      </c>
      <c r="BK203" s="47"/>
      <c r="BL203" s="42" t="s">
        <v>16</v>
      </c>
      <c r="BM203" s="43" t="str">
        <f>IF(VLOOKUP(BL203,βοηθητικό!$J$2:$N$354,3,FALSE)="","",VLOOKUP(BL203,βοηθητικό!$J$2:$N$354,3,FALSE))</f>
        <v>_</v>
      </c>
      <c r="BN203" s="44"/>
      <c r="BO203" s="45" t="s">
        <v>16</v>
      </c>
      <c r="BP203" s="46" t="str">
        <f>IF(VLOOKUP(BO203,βοηθητικό!$J$2:$N$354,3,FALSE)="","",VLOOKUP(BO203,βοηθητικό!$J$2:$N$354,3,FALSE))</f>
        <v>_</v>
      </c>
      <c r="BQ203" s="47"/>
      <c r="BR203" s="42" t="s">
        <v>16</v>
      </c>
      <c r="BS203" s="43" t="str">
        <f>IF(VLOOKUP(BR203,βοηθητικό!$J$2:$N$354,3,FALSE)="","",VLOOKUP(BR203,βοηθητικό!$J$2:$N$354,3,FALSE))</f>
        <v>_</v>
      </c>
      <c r="BT203" s="44"/>
      <c r="BU203" s="45" t="s">
        <v>16</v>
      </c>
      <c r="BV203" s="46" t="str">
        <f>IF(VLOOKUP(BU203,βοηθητικό!$J$2:$N$354,3,FALSE)="","",VLOOKUP(BU203,βοηθητικό!$J$2:$N$354,3,FALSE))</f>
        <v>_</v>
      </c>
      <c r="BW203" s="47"/>
      <c r="BX203" s="42" t="s">
        <v>16</v>
      </c>
      <c r="BY203" s="43" t="str">
        <f>IF(VLOOKUP(BX203,βοηθητικό!$J$2:$N$354,3,FALSE)="","",VLOOKUP(BX203,βοηθητικό!$J$2:$N$354,3,FALSE))</f>
        <v>_</v>
      </c>
      <c r="BZ203" s="44"/>
      <c r="CA203" s="45" t="s">
        <v>16</v>
      </c>
      <c r="CB203" s="46" t="str">
        <f>IF(VLOOKUP(CA203,βοηθητικό!$J$2:$N$354,3,FALSE)="","",VLOOKUP(CA203,βοηθητικό!$J$2:$N$354,3,FALSE))</f>
        <v>_</v>
      </c>
      <c r="CC203" s="47"/>
      <c r="CD203" s="42" t="s">
        <v>16</v>
      </c>
      <c r="CE203" s="43" t="str">
        <f>IF(VLOOKUP(CD203,βοηθητικό!$J$2:$N$354,3,FALSE)="","",VLOOKUP(CD203,βοηθητικό!$J$2:$N$354,3,FALSE))</f>
        <v>_</v>
      </c>
      <c r="CF203" s="44"/>
      <c r="CG203" s="45" t="s">
        <v>16</v>
      </c>
      <c r="CH203" s="46" t="str">
        <f>IF(VLOOKUP(CG203,βοηθητικό!$J$2:$N$354,3,FALSE)="","",VLOOKUP(CG203,βοηθητικό!$J$2:$N$354,3,FALSE))</f>
        <v>_</v>
      </c>
      <c r="CI203" s="47"/>
      <c r="CJ203" s="42" t="s">
        <v>16</v>
      </c>
      <c r="CK203" s="43" t="str">
        <f>IF(VLOOKUP(CJ203,βοηθητικό!$J$2:$N$354,3,FALSE)="","",VLOOKUP(CJ203,βοηθητικό!$J$2:$N$354,3,FALSE))</f>
        <v>_</v>
      </c>
      <c r="CL203" s="44"/>
      <c r="CM203" s="45" t="s">
        <v>16</v>
      </c>
      <c r="CN203" s="46" t="str">
        <f>IF(VLOOKUP(CM203,βοηθητικό!$J$2:$N$354,3,FALSE)="","",VLOOKUP(CM203,βοηθητικό!$J$2:$N$354,3,FALSE))</f>
        <v>_</v>
      </c>
      <c r="CO203" s="47"/>
      <c r="CP203" s="42" t="s">
        <v>16</v>
      </c>
      <c r="CQ203" s="43" t="str">
        <f>IF(VLOOKUP(CP203,βοηθητικό!$J$2:$N$354,3,FALSE)="","",VLOOKUP(CP203,βοηθητικό!$J$2:$N$354,3,FALSE))</f>
        <v>_</v>
      </c>
      <c r="CR203" s="44"/>
      <c r="CS203" s="45" t="s">
        <v>16</v>
      </c>
      <c r="CT203" s="46" t="str">
        <f>IF(VLOOKUP(CS203,βοηθητικό!$J$2:$N$354,3,FALSE)="","",VLOOKUP(CS203,βοηθητικό!$J$2:$N$354,3,FALSE))</f>
        <v>_</v>
      </c>
      <c r="CU203" s="47"/>
    </row>
    <row r="204" spans="1:99" x14ac:dyDescent="0.25">
      <c r="A204" s="37">
        <f>--SUBTOTAL(3,$B$3:B203)</f>
        <v>198</v>
      </c>
      <c r="B204" s="2"/>
      <c r="C204" s="3"/>
      <c r="D204" s="55" t="s">
        <v>18</v>
      </c>
      <c r="E204" s="38" t="s">
        <v>16</v>
      </c>
      <c r="F204" s="38" t="s">
        <v>16</v>
      </c>
      <c r="G204" s="39" t="str">
        <f t="shared" si="11"/>
        <v>__</v>
      </c>
      <c r="H204" s="40" t="str">
        <f t="shared" si="12"/>
        <v>FALSE</v>
      </c>
      <c r="I204" s="41">
        <f t="shared" si="13"/>
        <v>0</v>
      </c>
      <c r="J204" s="4" t="s">
        <v>16</v>
      </c>
      <c r="K204" s="43" t="str">
        <f>IF(VLOOKUP(J204,βοηθητικό!$J$2:$N$354,3,FALSE)="","",VLOOKUP(J204,βοηθητικό!$J$2:$N$354,3,FALSE))</f>
        <v>_</v>
      </c>
      <c r="L204" s="44"/>
      <c r="M204" s="5" t="s">
        <v>16</v>
      </c>
      <c r="N204" s="46" t="str">
        <f>IF(VLOOKUP(M204,βοηθητικό!$J$2:$N$354,3,FALSE)="","",VLOOKUP(M204,βοηθητικό!$J$2:$N$354,3,FALSE))</f>
        <v>_</v>
      </c>
      <c r="O204" s="47"/>
      <c r="P204" s="4" t="s">
        <v>16</v>
      </c>
      <c r="Q204" s="43" t="str">
        <f>IF(VLOOKUP(P204,βοηθητικό!$J$2:$N$354,3,FALSE)="","",VLOOKUP(P204,βοηθητικό!$J$2:$N$354,3,FALSE))</f>
        <v>_</v>
      </c>
      <c r="R204" s="44"/>
      <c r="S204" s="5" t="s">
        <v>16</v>
      </c>
      <c r="T204" s="46" t="str">
        <f>IF(VLOOKUP(S204,βοηθητικό!$J$2:$N$354,3,FALSE)="","",VLOOKUP(S204,βοηθητικό!$J$2:$N$354,3,FALSE))</f>
        <v>_</v>
      </c>
      <c r="U204" s="47"/>
      <c r="V204" s="4" t="s">
        <v>16</v>
      </c>
      <c r="W204" s="43" t="str">
        <f>IF(VLOOKUP(V204,βοηθητικό!$J$2:$N$354,3,FALSE)="","",VLOOKUP(V204,βοηθητικό!$J$2:$N$354,3,FALSE))</f>
        <v>_</v>
      </c>
      <c r="X204" s="44"/>
      <c r="Y204" s="5" t="s">
        <v>16</v>
      </c>
      <c r="Z204" s="46" t="str">
        <f>IF(VLOOKUP(Y204,βοηθητικό!$J$2:$N$354,3,FALSE)="","",VLOOKUP(Y204,βοηθητικό!$J$2:$N$354,3,FALSE))</f>
        <v>_</v>
      </c>
      <c r="AA204" s="47"/>
      <c r="AB204" s="4" t="s">
        <v>16</v>
      </c>
      <c r="AC204" s="43" t="str">
        <f>IF(VLOOKUP(AB204,βοηθητικό!$J$2:$N$354,3,FALSE)="","",VLOOKUP(AB204,βοηθητικό!$J$2:$N$354,3,FALSE))</f>
        <v>_</v>
      </c>
      <c r="AD204" s="44"/>
      <c r="AE204" s="5" t="s">
        <v>16</v>
      </c>
      <c r="AF204" s="46" t="str">
        <f>IF(VLOOKUP(AE204,βοηθητικό!$J$2:$N$354,3,FALSE)="","",VLOOKUP(AE204,βοηθητικό!$J$2:$N$354,3,FALSE))</f>
        <v>_</v>
      </c>
      <c r="AG204" s="47"/>
      <c r="AH204" s="4" t="s">
        <v>16</v>
      </c>
      <c r="AI204" s="43" t="str">
        <f>IF(VLOOKUP(AH204,βοηθητικό!$J$2:$N$354,3,FALSE)="","",VLOOKUP(AH204,βοηθητικό!$J$2:$N$354,3,FALSE))</f>
        <v>_</v>
      </c>
      <c r="AJ204" s="44"/>
      <c r="AK204" s="5" t="s">
        <v>16</v>
      </c>
      <c r="AL204" s="46" t="str">
        <f>IF(VLOOKUP(AK204,βοηθητικό!$J$2:$N$354,3,FALSE)="","",VLOOKUP(AK204,βοηθητικό!$J$2:$N$354,3,FALSE))</f>
        <v>_</v>
      </c>
      <c r="AM204" s="47"/>
      <c r="AN204" s="4" t="s">
        <v>16</v>
      </c>
      <c r="AO204" s="43" t="str">
        <f>IF(VLOOKUP(AN204,βοηθητικό!$J$2:$N$354,3,FALSE)="","",VLOOKUP(AN204,βοηθητικό!$J$2:$N$354,3,FALSE))</f>
        <v>_</v>
      </c>
      <c r="AP204" s="44"/>
      <c r="AQ204" s="5" t="s">
        <v>16</v>
      </c>
      <c r="AR204" s="46" t="str">
        <f>IF(VLOOKUP(AQ204,βοηθητικό!$J$2:$N$354,3,FALSE)="","",VLOOKUP(AQ204,βοηθητικό!$J$2:$N$354,3,FALSE))</f>
        <v>_</v>
      </c>
      <c r="AS204" s="47"/>
      <c r="AT204" s="4" t="s">
        <v>16</v>
      </c>
      <c r="AU204" s="43" t="str">
        <f>IF(VLOOKUP(AT204,βοηθητικό!$J$2:$N$354,3,FALSE)="","",VLOOKUP(AT204,βοηθητικό!$J$2:$N$354,3,FALSE))</f>
        <v>_</v>
      </c>
      <c r="AV204" s="44"/>
      <c r="AW204" s="5" t="s">
        <v>16</v>
      </c>
      <c r="AX204" s="46" t="str">
        <f>IF(VLOOKUP(AW204,βοηθητικό!$J$2:$N$354,3,FALSE)="","",VLOOKUP(AW204,βοηθητικό!$J$2:$N$354,3,FALSE))</f>
        <v>_</v>
      </c>
      <c r="AY204" s="47"/>
      <c r="AZ204" s="4" t="s">
        <v>16</v>
      </c>
      <c r="BA204" s="43" t="str">
        <f>IF(VLOOKUP(AZ204,βοηθητικό!$J$2:$N$354,3,FALSE)="","",VLOOKUP(AZ204,βοηθητικό!$J$2:$N$354,3,FALSE))</f>
        <v>_</v>
      </c>
      <c r="BB204" s="44"/>
      <c r="BC204" s="45" t="s">
        <v>16</v>
      </c>
      <c r="BD204" s="46" t="str">
        <f>IF(VLOOKUP(BC204,βοηθητικό!$J$2:$N$354,3,FALSE)="","",VLOOKUP(BC204,βοηθητικό!$J$2:$N$354,3,FALSE))</f>
        <v>_</v>
      </c>
      <c r="BE204" s="47"/>
      <c r="BF204" s="42" t="s">
        <v>16</v>
      </c>
      <c r="BG204" s="43" t="str">
        <f>IF(VLOOKUP(BF204,βοηθητικό!$J$2:$N$354,3,FALSE)="","",VLOOKUP(BF204,βοηθητικό!$J$2:$N$354,3,FALSE))</f>
        <v>_</v>
      </c>
      <c r="BH204" s="44"/>
      <c r="BI204" s="45" t="s">
        <v>16</v>
      </c>
      <c r="BJ204" s="46" t="str">
        <f>IF(VLOOKUP(BI204,βοηθητικό!$J$2:$N$354,3,FALSE)="","",VLOOKUP(BI204,βοηθητικό!$J$2:$N$354,3,FALSE))</f>
        <v>_</v>
      </c>
      <c r="BK204" s="47"/>
      <c r="BL204" s="42" t="s">
        <v>16</v>
      </c>
      <c r="BM204" s="43" t="str">
        <f>IF(VLOOKUP(BL204,βοηθητικό!$J$2:$N$354,3,FALSE)="","",VLOOKUP(BL204,βοηθητικό!$J$2:$N$354,3,FALSE))</f>
        <v>_</v>
      </c>
      <c r="BN204" s="44"/>
      <c r="BO204" s="45" t="s">
        <v>16</v>
      </c>
      <c r="BP204" s="46" t="str">
        <f>IF(VLOOKUP(BO204,βοηθητικό!$J$2:$N$354,3,FALSE)="","",VLOOKUP(BO204,βοηθητικό!$J$2:$N$354,3,FALSE))</f>
        <v>_</v>
      </c>
      <c r="BQ204" s="47"/>
      <c r="BR204" s="42" t="s">
        <v>16</v>
      </c>
      <c r="BS204" s="43" t="str">
        <f>IF(VLOOKUP(BR204,βοηθητικό!$J$2:$N$354,3,FALSE)="","",VLOOKUP(BR204,βοηθητικό!$J$2:$N$354,3,FALSE))</f>
        <v>_</v>
      </c>
      <c r="BT204" s="44"/>
      <c r="BU204" s="45" t="s">
        <v>16</v>
      </c>
      <c r="BV204" s="46" t="str">
        <f>IF(VLOOKUP(BU204,βοηθητικό!$J$2:$N$354,3,FALSE)="","",VLOOKUP(BU204,βοηθητικό!$J$2:$N$354,3,FALSE))</f>
        <v>_</v>
      </c>
      <c r="BW204" s="47"/>
      <c r="BX204" s="42" t="s">
        <v>16</v>
      </c>
      <c r="BY204" s="43" t="str">
        <f>IF(VLOOKUP(BX204,βοηθητικό!$J$2:$N$354,3,FALSE)="","",VLOOKUP(BX204,βοηθητικό!$J$2:$N$354,3,FALSE))</f>
        <v>_</v>
      </c>
      <c r="BZ204" s="44"/>
      <c r="CA204" s="45" t="s">
        <v>16</v>
      </c>
      <c r="CB204" s="46" t="str">
        <f>IF(VLOOKUP(CA204,βοηθητικό!$J$2:$N$354,3,FALSE)="","",VLOOKUP(CA204,βοηθητικό!$J$2:$N$354,3,FALSE))</f>
        <v>_</v>
      </c>
      <c r="CC204" s="47"/>
      <c r="CD204" s="42" t="s">
        <v>16</v>
      </c>
      <c r="CE204" s="43" t="str">
        <f>IF(VLOOKUP(CD204,βοηθητικό!$J$2:$N$354,3,FALSE)="","",VLOOKUP(CD204,βοηθητικό!$J$2:$N$354,3,FALSE))</f>
        <v>_</v>
      </c>
      <c r="CF204" s="44"/>
      <c r="CG204" s="45" t="s">
        <v>16</v>
      </c>
      <c r="CH204" s="46" t="str">
        <f>IF(VLOOKUP(CG204,βοηθητικό!$J$2:$N$354,3,FALSE)="","",VLOOKUP(CG204,βοηθητικό!$J$2:$N$354,3,FALSE))</f>
        <v>_</v>
      </c>
      <c r="CI204" s="47"/>
      <c r="CJ204" s="42" t="s">
        <v>16</v>
      </c>
      <c r="CK204" s="43" t="str">
        <f>IF(VLOOKUP(CJ204,βοηθητικό!$J$2:$N$354,3,FALSE)="","",VLOOKUP(CJ204,βοηθητικό!$J$2:$N$354,3,FALSE))</f>
        <v>_</v>
      </c>
      <c r="CL204" s="44"/>
      <c r="CM204" s="45" t="s">
        <v>16</v>
      </c>
      <c r="CN204" s="46" t="str">
        <f>IF(VLOOKUP(CM204,βοηθητικό!$J$2:$N$354,3,FALSE)="","",VLOOKUP(CM204,βοηθητικό!$J$2:$N$354,3,FALSE))</f>
        <v>_</v>
      </c>
      <c r="CO204" s="47"/>
      <c r="CP204" s="42" t="s">
        <v>16</v>
      </c>
      <c r="CQ204" s="43" t="str">
        <f>IF(VLOOKUP(CP204,βοηθητικό!$J$2:$N$354,3,FALSE)="","",VLOOKUP(CP204,βοηθητικό!$J$2:$N$354,3,FALSE))</f>
        <v>_</v>
      </c>
      <c r="CR204" s="44"/>
      <c r="CS204" s="45" t="s">
        <v>16</v>
      </c>
      <c r="CT204" s="46" t="str">
        <f>IF(VLOOKUP(CS204,βοηθητικό!$J$2:$N$354,3,FALSE)="","",VLOOKUP(CS204,βοηθητικό!$J$2:$N$354,3,FALSE))</f>
        <v>_</v>
      </c>
      <c r="CU204" s="47"/>
    </row>
    <row r="205" spans="1:99" x14ac:dyDescent="0.25">
      <c r="A205" s="37">
        <f>--SUBTOTAL(3,$B$3:B204)</f>
        <v>198</v>
      </c>
      <c r="B205" s="2"/>
      <c r="C205" s="3"/>
      <c r="D205" s="55" t="s">
        <v>18</v>
      </c>
      <c r="E205" s="38" t="s">
        <v>16</v>
      </c>
      <c r="F205" s="38" t="s">
        <v>16</v>
      </c>
      <c r="G205" s="39" t="str">
        <f t="shared" si="11"/>
        <v>__</v>
      </c>
      <c r="H205" s="40" t="str">
        <f t="shared" si="12"/>
        <v>FALSE</v>
      </c>
      <c r="I205" s="41">
        <f t="shared" si="13"/>
        <v>0</v>
      </c>
      <c r="J205" s="4" t="s">
        <v>16</v>
      </c>
      <c r="K205" s="43" t="str">
        <f>IF(VLOOKUP(J205,βοηθητικό!$J$2:$N$354,3,FALSE)="","",VLOOKUP(J205,βοηθητικό!$J$2:$N$354,3,FALSE))</f>
        <v>_</v>
      </c>
      <c r="L205" s="44"/>
      <c r="M205" s="5" t="s">
        <v>16</v>
      </c>
      <c r="N205" s="46" t="str">
        <f>IF(VLOOKUP(M205,βοηθητικό!$J$2:$N$354,3,FALSE)="","",VLOOKUP(M205,βοηθητικό!$J$2:$N$354,3,FALSE))</f>
        <v>_</v>
      </c>
      <c r="O205" s="47"/>
      <c r="P205" s="4" t="s">
        <v>16</v>
      </c>
      <c r="Q205" s="43" t="str">
        <f>IF(VLOOKUP(P205,βοηθητικό!$J$2:$N$354,3,FALSE)="","",VLOOKUP(P205,βοηθητικό!$J$2:$N$354,3,FALSE))</f>
        <v>_</v>
      </c>
      <c r="R205" s="44"/>
      <c r="S205" s="5" t="s">
        <v>16</v>
      </c>
      <c r="T205" s="46" t="str">
        <f>IF(VLOOKUP(S205,βοηθητικό!$J$2:$N$354,3,FALSE)="","",VLOOKUP(S205,βοηθητικό!$J$2:$N$354,3,FALSE))</f>
        <v>_</v>
      </c>
      <c r="U205" s="47"/>
      <c r="V205" s="4" t="s">
        <v>16</v>
      </c>
      <c r="W205" s="43" t="str">
        <f>IF(VLOOKUP(V205,βοηθητικό!$J$2:$N$354,3,FALSE)="","",VLOOKUP(V205,βοηθητικό!$J$2:$N$354,3,FALSE))</f>
        <v>_</v>
      </c>
      <c r="X205" s="44"/>
      <c r="Y205" s="5" t="s">
        <v>16</v>
      </c>
      <c r="Z205" s="46" t="str">
        <f>IF(VLOOKUP(Y205,βοηθητικό!$J$2:$N$354,3,FALSE)="","",VLOOKUP(Y205,βοηθητικό!$J$2:$N$354,3,FALSE))</f>
        <v>_</v>
      </c>
      <c r="AA205" s="47"/>
      <c r="AB205" s="4" t="s">
        <v>16</v>
      </c>
      <c r="AC205" s="43" t="str">
        <f>IF(VLOOKUP(AB205,βοηθητικό!$J$2:$N$354,3,FALSE)="","",VLOOKUP(AB205,βοηθητικό!$J$2:$N$354,3,FALSE))</f>
        <v>_</v>
      </c>
      <c r="AD205" s="44"/>
      <c r="AE205" s="5" t="s">
        <v>16</v>
      </c>
      <c r="AF205" s="46" t="str">
        <f>IF(VLOOKUP(AE205,βοηθητικό!$J$2:$N$354,3,FALSE)="","",VLOOKUP(AE205,βοηθητικό!$J$2:$N$354,3,FALSE))</f>
        <v>_</v>
      </c>
      <c r="AG205" s="47"/>
      <c r="AH205" s="4" t="s">
        <v>16</v>
      </c>
      <c r="AI205" s="43" t="str">
        <f>IF(VLOOKUP(AH205,βοηθητικό!$J$2:$N$354,3,FALSE)="","",VLOOKUP(AH205,βοηθητικό!$J$2:$N$354,3,FALSE))</f>
        <v>_</v>
      </c>
      <c r="AJ205" s="44"/>
      <c r="AK205" s="5" t="s">
        <v>16</v>
      </c>
      <c r="AL205" s="46" t="str">
        <f>IF(VLOOKUP(AK205,βοηθητικό!$J$2:$N$354,3,FALSE)="","",VLOOKUP(AK205,βοηθητικό!$J$2:$N$354,3,FALSE))</f>
        <v>_</v>
      </c>
      <c r="AM205" s="47"/>
      <c r="AN205" s="4" t="s">
        <v>16</v>
      </c>
      <c r="AO205" s="43" t="str">
        <f>IF(VLOOKUP(AN205,βοηθητικό!$J$2:$N$354,3,FALSE)="","",VLOOKUP(AN205,βοηθητικό!$J$2:$N$354,3,FALSE))</f>
        <v>_</v>
      </c>
      <c r="AP205" s="44"/>
      <c r="AQ205" s="5" t="s">
        <v>16</v>
      </c>
      <c r="AR205" s="46" t="str">
        <f>IF(VLOOKUP(AQ205,βοηθητικό!$J$2:$N$354,3,FALSE)="","",VLOOKUP(AQ205,βοηθητικό!$J$2:$N$354,3,FALSE))</f>
        <v>_</v>
      </c>
      <c r="AS205" s="47"/>
      <c r="AT205" s="4" t="s">
        <v>16</v>
      </c>
      <c r="AU205" s="43" t="str">
        <f>IF(VLOOKUP(AT205,βοηθητικό!$J$2:$N$354,3,FALSE)="","",VLOOKUP(AT205,βοηθητικό!$J$2:$N$354,3,FALSE))</f>
        <v>_</v>
      </c>
      <c r="AV205" s="44"/>
      <c r="AW205" s="5" t="s">
        <v>16</v>
      </c>
      <c r="AX205" s="46" t="str">
        <f>IF(VLOOKUP(AW205,βοηθητικό!$J$2:$N$354,3,FALSE)="","",VLOOKUP(AW205,βοηθητικό!$J$2:$N$354,3,FALSE))</f>
        <v>_</v>
      </c>
      <c r="AY205" s="47"/>
      <c r="AZ205" s="4" t="s">
        <v>16</v>
      </c>
      <c r="BA205" s="43" t="str">
        <f>IF(VLOOKUP(AZ205,βοηθητικό!$J$2:$N$354,3,FALSE)="","",VLOOKUP(AZ205,βοηθητικό!$J$2:$N$354,3,FALSE))</f>
        <v>_</v>
      </c>
      <c r="BB205" s="44"/>
      <c r="BC205" s="45" t="s">
        <v>16</v>
      </c>
      <c r="BD205" s="46" t="str">
        <f>IF(VLOOKUP(BC205,βοηθητικό!$J$2:$N$354,3,FALSE)="","",VLOOKUP(BC205,βοηθητικό!$J$2:$N$354,3,FALSE))</f>
        <v>_</v>
      </c>
      <c r="BE205" s="47"/>
      <c r="BF205" s="42" t="s">
        <v>16</v>
      </c>
      <c r="BG205" s="43" t="str">
        <f>IF(VLOOKUP(BF205,βοηθητικό!$J$2:$N$354,3,FALSE)="","",VLOOKUP(BF205,βοηθητικό!$J$2:$N$354,3,FALSE))</f>
        <v>_</v>
      </c>
      <c r="BH205" s="44"/>
      <c r="BI205" s="45" t="s">
        <v>16</v>
      </c>
      <c r="BJ205" s="46" t="str">
        <f>IF(VLOOKUP(BI205,βοηθητικό!$J$2:$N$354,3,FALSE)="","",VLOOKUP(BI205,βοηθητικό!$J$2:$N$354,3,FALSE))</f>
        <v>_</v>
      </c>
      <c r="BK205" s="47"/>
      <c r="BL205" s="42" t="s">
        <v>16</v>
      </c>
      <c r="BM205" s="43" t="str">
        <f>IF(VLOOKUP(BL205,βοηθητικό!$J$2:$N$354,3,FALSE)="","",VLOOKUP(BL205,βοηθητικό!$J$2:$N$354,3,FALSE))</f>
        <v>_</v>
      </c>
      <c r="BN205" s="44"/>
      <c r="BO205" s="45" t="s">
        <v>16</v>
      </c>
      <c r="BP205" s="46" t="str">
        <f>IF(VLOOKUP(BO205,βοηθητικό!$J$2:$N$354,3,FALSE)="","",VLOOKUP(BO205,βοηθητικό!$J$2:$N$354,3,FALSE))</f>
        <v>_</v>
      </c>
      <c r="BQ205" s="47"/>
      <c r="BR205" s="42" t="s">
        <v>16</v>
      </c>
      <c r="BS205" s="43" t="str">
        <f>IF(VLOOKUP(BR205,βοηθητικό!$J$2:$N$354,3,FALSE)="","",VLOOKUP(BR205,βοηθητικό!$J$2:$N$354,3,FALSE))</f>
        <v>_</v>
      </c>
      <c r="BT205" s="44"/>
      <c r="BU205" s="45" t="s">
        <v>16</v>
      </c>
      <c r="BV205" s="46" t="str">
        <f>IF(VLOOKUP(BU205,βοηθητικό!$J$2:$N$354,3,FALSE)="","",VLOOKUP(BU205,βοηθητικό!$J$2:$N$354,3,FALSE))</f>
        <v>_</v>
      </c>
      <c r="BW205" s="47"/>
      <c r="BX205" s="42" t="s">
        <v>16</v>
      </c>
      <c r="BY205" s="43" t="str">
        <f>IF(VLOOKUP(BX205,βοηθητικό!$J$2:$N$354,3,FALSE)="","",VLOOKUP(BX205,βοηθητικό!$J$2:$N$354,3,FALSE))</f>
        <v>_</v>
      </c>
      <c r="BZ205" s="44"/>
      <c r="CA205" s="45" t="s">
        <v>16</v>
      </c>
      <c r="CB205" s="46" t="str">
        <f>IF(VLOOKUP(CA205,βοηθητικό!$J$2:$N$354,3,FALSE)="","",VLOOKUP(CA205,βοηθητικό!$J$2:$N$354,3,FALSE))</f>
        <v>_</v>
      </c>
      <c r="CC205" s="47"/>
      <c r="CD205" s="42" t="s">
        <v>16</v>
      </c>
      <c r="CE205" s="43" t="str">
        <f>IF(VLOOKUP(CD205,βοηθητικό!$J$2:$N$354,3,FALSE)="","",VLOOKUP(CD205,βοηθητικό!$J$2:$N$354,3,FALSE))</f>
        <v>_</v>
      </c>
      <c r="CF205" s="44"/>
      <c r="CG205" s="45" t="s">
        <v>16</v>
      </c>
      <c r="CH205" s="46" t="str">
        <f>IF(VLOOKUP(CG205,βοηθητικό!$J$2:$N$354,3,FALSE)="","",VLOOKUP(CG205,βοηθητικό!$J$2:$N$354,3,FALSE))</f>
        <v>_</v>
      </c>
      <c r="CI205" s="47"/>
      <c r="CJ205" s="42" t="s">
        <v>16</v>
      </c>
      <c r="CK205" s="43" t="str">
        <f>IF(VLOOKUP(CJ205,βοηθητικό!$J$2:$N$354,3,FALSE)="","",VLOOKUP(CJ205,βοηθητικό!$J$2:$N$354,3,FALSE))</f>
        <v>_</v>
      </c>
      <c r="CL205" s="44"/>
      <c r="CM205" s="45" t="s">
        <v>16</v>
      </c>
      <c r="CN205" s="46" t="str">
        <f>IF(VLOOKUP(CM205,βοηθητικό!$J$2:$N$354,3,FALSE)="","",VLOOKUP(CM205,βοηθητικό!$J$2:$N$354,3,FALSE))</f>
        <v>_</v>
      </c>
      <c r="CO205" s="47"/>
      <c r="CP205" s="42" t="s">
        <v>16</v>
      </c>
      <c r="CQ205" s="43" t="str">
        <f>IF(VLOOKUP(CP205,βοηθητικό!$J$2:$N$354,3,FALSE)="","",VLOOKUP(CP205,βοηθητικό!$J$2:$N$354,3,FALSE))</f>
        <v>_</v>
      </c>
      <c r="CR205" s="44"/>
      <c r="CS205" s="45" t="s">
        <v>16</v>
      </c>
      <c r="CT205" s="46" t="str">
        <f>IF(VLOOKUP(CS205,βοηθητικό!$J$2:$N$354,3,FALSE)="","",VLOOKUP(CS205,βοηθητικό!$J$2:$N$354,3,FALSE))</f>
        <v>_</v>
      </c>
      <c r="CU205" s="47"/>
    </row>
    <row r="206" spans="1:99" x14ac:dyDescent="0.25">
      <c r="A206" s="37">
        <f>--SUBTOTAL(3,$B$3:B205)</f>
        <v>198</v>
      </c>
      <c r="B206" s="2"/>
      <c r="C206" s="3"/>
      <c r="D206" s="55" t="s">
        <v>18</v>
      </c>
      <c r="E206" s="38" t="s">
        <v>16</v>
      </c>
      <c r="F206" s="38" t="s">
        <v>16</v>
      </c>
      <c r="G206" s="39" t="str">
        <f t="shared" si="11"/>
        <v>__</v>
      </c>
      <c r="H206" s="40" t="str">
        <f t="shared" si="12"/>
        <v>FALSE</v>
      </c>
      <c r="I206" s="41">
        <f t="shared" si="13"/>
        <v>0</v>
      </c>
      <c r="J206" s="4" t="s">
        <v>16</v>
      </c>
      <c r="K206" s="43" t="str">
        <f>IF(VLOOKUP(J206,βοηθητικό!$J$2:$N$354,3,FALSE)="","",VLOOKUP(J206,βοηθητικό!$J$2:$N$354,3,FALSE))</f>
        <v>_</v>
      </c>
      <c r="L206" s="44"/>
      <c r="M206" s="5" t="s">
        <v>16</v>
      </c>
      <c r="N206" s="46" t="str">
        <f>IF(VLOOKUP(M206,βοηθητικό!$J$2:$N$354,3,FALSE)="","",VLOOKUP(M206,βοηθητικό!$J$2:$N$354,3,FALSE))</f>
        <v>_</v>
      </c>
      <c r="O206" s="47"/>
      <c r="P206" s="4" t="s">
        <v>16</v>
      </c>
      <c r="Q206" s="43" t="str">
        <f>IF(VLOOKUP(P206,βοηθητικό!$J$2:$N$354,3,FALSE)="","",VLOOKUP(P206,βοηθητικό!$J$2:$N$354,3,FALSE))</f>
        <v>_</v>
      </c>
      <c r="R206" s="44"/>
      <c r="S206" s="5" t="s">
        <v>16</v>
      </c>
      <c r="T206" s="46" t="str">
        <f>IF(VLOOKUP(S206,βοηθητικό!$J$2:$N$354,3,FALSE)="","",VLOOKUP(S206,βοηθητικό!$J$2:$N$354,3,FALSE))</f>
        <v>_</v>
      </c>
      <c r="U206" s="47"/>
      <c r="V206" s="4" t="s">
        <v>16</v>
      </c>
      <c r="W206" s="43" t="str">
        <f>IF(VLOOKUP(V206,βοηθητικό!$J$2:$N$354,3,FALSE)="","",VLOOKUP(V206,βοηθητικό!$J$2:$N$354,3,FALSE))</f>
        <v>_</v>
      </c>
      <c r="X206" s="44"/>
      <c r="Y206" s="5" t="s">
        <v>16</v>
      </c>
      <c r="Z206" s="46" t="str">
        <f>IF(VLOOKUP(Y206,βοηθητικό!$J$2:$N$354,3,FALSE)="","",VLOOKUP(Y206,βοηθητικό!$J$2:$N$354,3,FALSE))</f>
        <v>_</v>
      </c>
      <c r="AA206" s="47"/>
      <c r="AB206" s="4" t="s">
        <v>16</v>
      </c>
      <c r="AC206" s="43" t="str">
        <f>IF(VLOOKUP(AB206,βοηθητικό!$J$2:$N$354,3,FALSE)="","",VLOOKUP(AB206,βοηθητικό!$J$2:$N$354,3,FALSE))</f>
        <v>_</v>
      </c>
      <c r="AD206" s="44"/>
      <c r="AE206" s="5" t="s">
        <v>16</v>
      </c>
      <c r="AF206" s="46" t="str">
        <f>IF(VLOOKUP(AE206,βοηθητικό!$J$2:$N$354,3,FALSE)="","",VLOOKUP(AE206,βοηθητικό!$J$2:$N$354,3,FALSE))</f>
        <v>_</v>
      </c>
      <c r="AG206" s="47"/>
      <c r="AH206" s="4" t="s">
        <v>16</v>
      </c>
      <c r="AI206" s="43" t="str">
        <f>IF(VLOOKUP(AH206,βοηθητικό!$J$2:$N$354,3,FALSE)="","",VLOOKUP(AH206,βοηθητικό!$J$2:$N$354,3,FALSE))</f>
        <v>_</v>
      </c>
      <c r="AJ206" s="44"/>
      <c r="AK206" s="5" t="s">
        <v>16</v>
      </c>
      <c r="AL206" s="46" t="str">
        <f>IF(VLOOKUP(AK206,βοηθητικό!$J$2:$N$354,3,FALSE)="","",VLOOKUP(AK206,βοηθητικό!$J$2:$N$354,3,FALSE))</f>
        <v>_</v>
      </c>
      <c r="AM206" s="47"/>
      <c r="AN206" s="4" t="s">
        <v>16</v>
      </c>
      <c r="AO206" s="43" t="str">
        <f>IF(VLOOKUP(AN206,βοηθητικό!$J$2:$N$354,3,FALSE)="","",VLOOKUP(AN206,βοηθητικό!$J$2:$N$354,3,FALSE))</f>
        <v>_</v>
      </c>
      <c r="AP206" s="44"/>
      <c r="AQ206" s="5" t="s">
        <v>16</v>
      </c>
      <c r="AR206" s="46" t="str">
        <f>IF(VLOOKUP(AQ206,βοηθητικό!$J$2:$N$354,3,FALSE)="","",VLOOKUP(AQ206,βοηθητικό!$J$2:$N$354,3,FALSE))</f>
        <v>_</v>
      </c>
      <c r="AS206" s="47"/>
      <c r="AT206" s="4" t="s">
        <v>16</v>
      </c>
      <c r="AU206" s="43" t="str">
        <f>IF(VLOOKUP(AT206,βοηθητικό!$J$2:$N$354,3,FALSE)="","",VLOOKUP(AT206,βοηθητικό!$J$2:$N$354,3,FALSE))</f>
        <v>_</v>
      </c>
      <c r="AV206" s="44"/>
      <c r="AW206" s="5" t="s">
        <v>16</v>
      </c>
      <c r="AX206" s="46" t="str">
        <f>IF(VLOOKUP(AW206,βοηθητικό!$J$2:$N$354,3,FALSE)="","",VLOOKUP(AW206,βοηθητικό!$J$2:$N$354,3,FALSE))</f>
        <v>_</v>
      </c>
      <c r="AY206" s="47"/>
      <c r="AZ206" s="4" t="s">
        <v>16</v>
      </c>
      <c r="BA206" s="43" t="str">
        <f>IF(VLOOKUP(AZ206,βοηθητικό!$J$2:$N$354,3,FALSE)="","",VLOOKUP(AZ206,βοηθητικό!$J$2:$N$354,3,FALSE))</f>
        <v>_</v>
      </c>
      <c r="BB206" s="44"/>
      <c r="BC206" s="45" t="s">
        <v>16</v>
      </c>
      <c r="BD206" s="46" t="str">
        <f>IF(VLOOKUP(BC206,βοηθητικό!$J$2:$N$354,3,FALSE)="","",VLOOKUP(BC206,βοηθητικό!$J$2:$N$354,3,FALSE))</f>
        <v>_</v>
      </c>
      <c r="BE206" s="47"/>
      <c r="BF206" s="42" t="s">
        <v>16</v>
      </c>
      <c r="BG206" s="43" t="str">
        <f>IF(VLOOKUP(BF206,βοηθητικό!$J$2:$N$354,3,FALSE)="","",VLOOKUP(BF206,βοηθητικό!$J$2:$N$354,3,FALSE))</f>
        <v>_</v>
      </c>
      <c r="BH206" s="44"/>
      <c r="BI206" s="45" t="s">
        <v>16</v>
      </c>
      <c r="BJ206" s="46" t="str">
        <f>IF(VLOOKUP(BI206,βοηθητικό!$J$2:$N$354,3,FALSE)="","",VLOOKUP(BI206,βοηθητικό!$J$2:$N$354,3,FALSE))</f>
        <v>_</v>
      </c>
      <c r="BK206" s="47"/>
      <c r="BL206" s="42" t="s">
        <v>16</v>
      </c>
      <c r="BM206" s="43" t="str">
        <f>IF(VLOOKUP(BL206,βοηθητικό!$J$2:$N$354,3,FALSE)="","",VLOOKUP(BL206,βοηθητικό!$J$2:$N$354,3,FALSE))</f>
        <v>_</v>
      </c>
      <c r="BN206" s="44"/>
      <c r="BO206" s="45" t="s">
        <v>16</v>
      </c>
      <c r="BP206" s="46" t="str">
        <f>IF(VLOOKUP(BO206,βοηθητικό!$J$2:$N$354,3,FALSE)="","",VLOOKUP(BO206,βοηθητικό!$J$2:$N$354,3,FALSE))</f>
        <v>_</v>
      </c>
      <c r="BQ206" s="47"/>
      <c r="BR206" s="42" t="s">
        <v>16</v>
      </c>
      <c r="BS206" s="43" t="str">
        <f>IF(VLOOKUP(BR206,βοηθητικό!$J$2:$N$354,3,FALSE)="","",VLOOKUP(BR206,βοηθητικό!$J$2:$N$354,3,FALSE))</f>
        <v>_</v>
      </c>
      <c r="BT206" s="44"/>
      <c r="BU206" s="45" t="s">
        <v>16</v>
      </c>
      <c r="BV206" s="46" t="str">
        <f>IF(VLOOKUP(BU206,βοηθητικό!$J$2:$N$354,3,FALSE)="","",VLOOKUP(BU206,βοηθητικό!$J$2:$N$354,3,FALSE))</f>
        <v>_</v>
      </c>
      <c r="BW206" s="47"/>
      <c r="BX206" s="42" t="s">
        <v>16</v>
      </c>
      <c r="BY206" s="43" t="str">
        <f>IF(VLOOKUP(BX206,βοηθητικό!$J$2:$N$354,3,FALSE)="","",VLOOKUP(BX206,βοηθητικό!$J$2:$N$354,3,FALSE))</f>
        <v>_</v>
      </c>
      <c r="BZ206" s="44"/>
      <c r="CA206" s="45" t="s">
        <v>16</v>
      </c>
      <c r="CB206" s="46" t="str">
        <f>IF(VLOOKUP(CA206,βοηθητικό!$J$2:$N$354,3,FALSE)="","",VLOOKUP(CA206,βοηθητικό!$J$2:$N$354,3,FALSE))</f>
        <v>_</v>
      </c>
      <c r="CC206" s="47"/>
      <c r="CD206" s="42" t="s">
        <v>16</v>
      </c>
      <c r="CE206" s="43" t="str">
        <f>IF(VLOOKUP(CD206,βοηθητικό!$J$2:$N$354,3,FALSE)="","",VLOOKUP(CD206,βοηθητικό!$J$2:$N$354,3,FALSE))</f>
        <v>_</v>
      </c>
      <c r="CF206" s="44"/>
      <c r="CG206" s="45" t="s">
        <v>16</v>
      </c>
      <c r="CH206" s="46" t="str">
        <f>IF(VLOOKUP(CG206,βοηθητικό!$J$2:$N$354,3,FALSE)="","",VLOOKUP(CG206,βοηθητικό!$J$2:$N$354,3,FALSE))</f>
        <v>_</v>
      </c>
      <c r="CI206" s="47"/>
      <c r="CJ206" s="42" t="s">
        <v>16</v>
      </c>
      <c r="CK206" s="43" t="str">
        <f>IF(VLOOKUP(CJ206,βοηθητικό!$J$2:$N$354,3,FALSE)="","",VLOOKUP(CJ206,βοηθητικό!$J$2:$N$354,3,FALSE))</f>
        <v>_</v>
      </c>
      <c r="CL206" s="44"/>
      <c r="CM206" s="45" t="s">
        <v>16</v>
      </c>
      <c r="CN206" s="46" t="str">
        <f>IF(VLOOKUP(CM206,βοηθητικό!$J$2:$N$354,3,FALSE)="","",VLOOKUP(CM206,βοηθητικό!$J$2:$N$354,3,FALSE))</f>
        <v>_</v>
      </c>
      <c r="CO206" s="47"/>
      <c r="CP206" s="42" t="s">
        <v>16</v>
      </c>
      <c r="CQ206" s="43" t="str">
        <f>IF(VLOOKUP(CP206,βοηθητικό!$J$2:$N$354,3,FALSE)="","",VLOOKUP(CP206,βοηθητικό!$J$2:$N$354,3,FALSE))</f>
        <v>_</v>
      </c>
      <c r="CR206" s="44"/>
      <c r="CS206" s="45" t="s">
        <v>16</v>
      </c>
      <c r="CT206" s="46" t="str">
        <f>IF(VLOOKUP(CS206,βοηθητικό!$J$2:$N$354,3,FALSE)="","",VLOOKUP(CS206,βοηθητικό!$J$2:$N$354,3,FALSE))</f>
        <v>_</v>
      </c>
      <c r="CU206" s="47"/>
    </row>
    <row r="207" spans="1:99" x14ac:dyDescent="0.25">
      <c r="A207" s="37">
        <f>--SUBTOTAL(3,$B$3:B206)</f>
        <v>198</v>
      </c>
      <c r="B207" s="2"/>
      <c r="C207" s="3"/>
      <c r="D207" s="55" t="s">
        <v>18</v>
      </c>
      <c r="E207" s="38" t="s">
        <v>16</v>
      </c>
      <c r="F207" s="38" t="s">
        <v>16</v>
      </c>
      <c r="G207" s="39" t="str">
        <f t="shared" si="11"/>
        <v>__</v>
      </c>
      <c r="H207" s="40" t="str">
        <f t="shared" si="12"/>
        <v>FALSE</v>
      </c>
      <c r="I207" s="41">
        <f t="shared" si="13"/>
        <v>0</v>
      </c>
      <c r="J207" s="4" t="s">
        <v>16</v>
      </c>
      <c r="K207" s="43" t="str">
        <f>IF(VLOOKUP(J207,βοηθητικό!$J$2:$N$354,3,FALSE)="","",VLOOKUP(J207,βοηθητικό!$J$2:$N$354,3,FALSE))</f>
        <v>_</v>
      </c>
      <c r="L207" s="44"/>
      <c r="M207" s="5" t="s">
        <v>16</v>
      </c>
      <c r="N207" s="46" t="str">
        <f>IF(VLOOKUP(M207,βοηθητικό!$J$2:$N$354,3,FALSE)="","",VLOOKUP(M207,βοηθητικό!$J$2:$N$354,3,FALSE))</f>
        <v>_</v>
      </c>
      <c r="O207" s="47"/>
      <c r="P207" s="4" t="s">
        <v>16</v>
      </c>
      <c r="Q207" s="43" t="str">
        <f>IF(VLOOKUP(P207,βοηθητικό!$J$2:$N$354,3,FALSE)="","",VLOOKUP(P207,βοηθητικό!$J$2:$N$354,3,FALSE))</f>
        <v>_</v>
      </c>
      <c r="R207" s="44"/>
      <c r="S207" s="5" t="s">
        <v>16</v>
      </c>
      <c r="T207" s="46" t="str">
        <f>IF(VLOOKUP(S207,βοηθητικό!$J$2:$N$354,3,FALSE)="","",VLOOKUP(S207,βοηθητικό!$J$2:$N$354,3,FALSE))</f>
        <v>_</v>
      </c>
      <c r="U207" s="47"/>
      <c r="V207" s="4" t="s">
        <v>16</v>
      </c>
      <c r="W207" s="43" t="str">
        <f>IF(VLOOKUP(V207,βοηθητικό!$J$2:$N$354,3,FALSE)="","",VLOOKUP(V207,βοηθητικό!$J$2:$N$354,3,FALSE))</f>
        <v>_</v>
      </c>
      <c r="X207" s="44"/>
      <c r="Y207" s="5" t="s">
        <v>16</v>
      </c>
      <c r="Z207" s="46" t="str">
        <f>IF(VLOOKUP(Y207,βοηθητικό!$J$2:$N$354,3,FALSE)="","",VLOOKUP(Y207,βοηθητικό!$J$2:$N$354,3,FALSE))</f>
        <v>_</v>
      </c>
      <c r="AA207" s="47"/>
      <c r="AB207" s="4" t="s">
        <v>16</v>
      </c>
      <c r="AC207" s="43" t="str">
        <f>IF(VLOOKUP(AB207,βοηθητικό!$J$2:$N$354,3,FALSE)="","",VLOOKUP(AB207,βοηθητικό!$J$2:$N$354,3,FALSE))</f>
        <v>_</v>
      </c>
      <c r="AD207" s="44"/>
      <c r="AE207" s="5" t="s">
        <v>16</v>
      </c>
      <c r="AF207" s="46" t="str">
        <f>IF(VLOOKUP(AE207,βοηθητικό!$J$2:$N$354,3,FALSE)="","",VLOOKUP(AE207,βοηθητικό!$J$2:$N$354,3,FALSE))</f>
        <v>_</v>
      </c>
      <c r="AG207" s="47"/>
      <c r="AH207" s="4" t="s">
        <v>16</v>
      </c>
      <c r="AI207" s="43" t="str">
        <f>IF(VLOOKUP(AH207,βοηθητικό!$J$2:$N$354,3,FALSE)="","",VLOOKUP(AH207,βοηθητικό!$J$2:$N$354,3,FALSE))</f>
        <v>_</v>
      </c>
      <c r="AJ207" s="44"/>
      <c r="AK207" s="5" t="s">
        <v>16</v>
      </c>
      <c r="AL207" s="46" t="str">
        <f>IF(VLOOKUP(AK207,βοηθητικό!$J$2:$N$354,3,FALSE)="","",VLOOKUP(AK207,βοηθητικό!$J$2:$N$354,3,FALSE))</f>
        <v>_</v>
      </c>
      <c r="AM207" s="47"/>
      <c r="AN207" s="4" t="s">
        <v>16</v>
      </c>
      <c r="AO207" s="43" t="str">
        <f>IF(VLOOKUP(AN207,βοηθητικό!$J$2:$N$354,3,FALSE)="","",VLOOKUP(AN207,βοηθητικό!$J$2:$N$354,3,FALSE))</f>
        <v>_</v>
      </c>
      <c r="AP207" s="44"/>
      <c r="AQ207" s="5" t="s">
        <v>16</v>
      </c>
      <c r="AR207" s="46" t="str">
        <f>IF(VLOOKUP(AQ207,βοηθητικό!$J$2:$N$354,3,FALSE)="","",VLOOKUP(AQ207,βοηθητικό!$J$2:$N$354,3,FALSE))</f>
        <v>_</v>
      </c>
      <c r="AS207" s="47"/>
      <c r="AT207" s="4" t="s">
        <v>16</v>
      </c>
      <c r="AU207" s="43" t="str">
        <f>IF(VLOOKUP(AT207,βοηθητικό!$J$2:$N$354,3,FALSE)="","",VLOOKUP(AT207,βοηθητικό!$J$2:$N$354,3,FALSE))</f>
        <v>_</v>
      </c>
      <c r="AV207" s="44"/>
      <c r="AW207" s="5" t="s">
        <v>16</v>
      </c>
      <c r="AX207" s="46" t="str">
        <f>IF(VLOOKUP(AW207,βοηθητικό!$J$2:$N$354,3,FALSE)="","",VLOOKUP(AW207,βοηθητικό!$J$2:$N$354,3,FALSE))</f>
        <v>_</v>
      </c>
      <c r="AY207" s="47"/>
      <c r="AZ207" s="4" t="s">
        <v>16</v>
      </c>
      <c r="BA207" s="43" t="str">
        <f>IF(VLOOKUP(AZ207,βοηθητικό!$J$2:$N$354,3,FALSE)="","",VLOOKUP(AZ207,βοηθητικό!$J$2:$N$354,3,FALSE))</f>
        <v>_</v>
      </c>
      <c r="BB207" s="44"/>
      <c r="BC207" s="45" t="s">
        <v>16</v>
      </c>
      <c r="BD207" s="46" t="str">
        <f>IF(VLOOKUP(BC207,βοηθητικό!$J$2:$N$354,3,FALSE)="","",VLOOKUP(BC207,βοηθητικό!$J$2:$N$354,3,FALSE))</f>
        <v>_</v>
      </c>
      <c r="BE207" s="47"/>
      <c r="BF207" s="42" t="s">
        <v>16</v>
      </c>
      <c r="BG207" s="43" t="str">
        <f>IF(VLOOKUP(BF207,βοηθητικό!$J$2:$N$354,3,FALSE)="","",VLOOKUP(BF207,βοηθητικό!$J$2:$N$354,3,FALSE))</f>
        <v>_</v>
      </c>
      <c r="BH207" s="44"/>
      <c r="BI207" s="45" t="s">
        <v>16</v>
      </c>
      <c r="BJ207" s="46" t="str">
        <f>IF(VLOOKUP(BI207,βοηθητικό!$J$2:$N$354,3,FALSE)="","",VLOOKUP(BI207,βοηθητικό!$J$2:$N$354,3,FALSE))</f>
        <v>_</v>
      </c>
      <c r="BK207" s="47"/>
      <c r="BL207" s="42" t="s">
        <v>16</v>
      </c>
      <c r="BM207" s="43" t="str">
        <f>IF(VLOOKUP(BL207,βοηθητικό!$J$2:$N$354,3,FALSE)="","",VLOOKUP(BL207,βοηθητικό!$J$2:$N$354,3,FALSE))</f>
        <v>_</v>
      </c>
      <c r="BN207" s="44"/>
      <c r="BO207" s="45" t="s">
        <v>16</v>
      </c>
      <c r="BP207" s="46" t="str">
        <f>IF(VLOOKUP(BO207,βοηθητικό!$J$2:$N$354,3,FALSE)="","",VLOOKUP(BO207,βοηθητικό!$J$2:$N$354,3,FALSE))</f>
        <v>_</v>
      </c>
      <c r="BQ207" s="47"/>
      <c r="BR207" s="42" t="s">
        <v>16</v>
      </c>
      <c r="BS207" s="43" t="str">
        <f>IF(VLOOKUP(BR207,βοηθητικό!$J$2:$N$354,3,FALSE)="","",VLOOKUP(BR207,βοηθητικό!$J$2:$N$354,3,FALSE))</f>
        <v>_</v>
      </c>
      <c r="BT207" s="44"/>
      <c r="BU207" s="45" t="s">
        <v>16</v>
      </c>
      <c r="BV207" s="46" t="str">
        <f>IF(VLOOKUP(BU207,βοηθητικό!$J$2:$N$354,3,FALSE)="","",VLOOKUP(BU207,βοηθητικό!$J$2:$N$354,3,FALSE))</f>
        <v>_</v>
      </c>
      <c r="BW207" s="47"/>
      <c r="BX207" s="42" t="s">
        <v>16</v>
      </c>
      <c r="BY207" s="43" t="str">
        <f>IF(VLOOKUP(BX207,βοηθητικό!$J$2:$N$354,3,FALSE)="","",VLOOKUP(BX207,βοηθητικό!$J$2:$N$354,3,FALSE))</f>
        <v>_</v>
      </c>
      <c r="BZ207" s="44"/>
      <c r="CA207" s="45" t="s">
        <v>16</v>
      </c>
      <c r="CB207" s="46" t="str">
        <f>IF(VLOOKUP(CA207,βοηθητικό!$J$2:$N$354,3,FALSE)="","",VLOOKUP(CA207,βοηθητικό!$J$2:$N$354,3,FALSE))</f>
        <v>_</v>
      </c>
      <c r="CC207" s="47"/>
      <c r="CD207" s="42" t="s">
        <v>16</v>
      </c>
      <c r="CE207" s="43" t="str">
        <f>IF(VLOOKUP(CD207,βοηθητικό!$J$2:$N$354,3,FALSE)="","",VLOOKUP(CD207,βοηθητικό!$J$2:$N$354,3,FALSE))</f>
        <v>_</v>
      </c>
      <c r="CF207" s="44"/>
      <c r="CG207" s="45" t="s">
        <v>16</v>
      </c>
      <c r="CH207" s="46" t="str">
        <f>IF(VLOOKUP(CG207,βοηθητικό!$J$2:$N$354,3,FALSE)="","",VLOOKUP(CG207,βοηθητικό!$J$2:$N$354,3,FALSE))</f>
        <v>_</v>
      </c>
      <c r="CI207" s="47"/>
      <c r="CJ207" s="42" t="s">
        <v>16</v>
      </c>
      <c r="CK207" s="43" t="str">
        <f>IF(VLOOKUP(CJ207,βοηθητικό!$J$2:$N$354,3,FALSE)="","",VLOOKUP(CJ207,βοηθητικό!$J$2:$N$354,3,FALSE))</f>
        <v>_</v>
      </c>
      <c r="CL207" s="44"/>
      <c r="CM207" s="45" t="s">
        <v>16</v>
      </c>
      <c r="CN207" s="46" t="str">
        <f>IF(VLOOKUP(CM207,βοηθητικό!$J$2:$N$354,3,FALSE)="","",VLOOKUP(CM207,βοηθητικό!$J$2:$N$354,3,FALSE))</f>
        <v>_</v>
      </c>
      <c r="CO207" s="47"/>
      <c r="CP207" s="42" t="s">
        <v>16</v>
      </c>
      <c r="CQ207" s="43" t="str">
        <f>IF(VLOOKUP(CP207,βοηθητικό!$J$2:$N$354,3,FALSE)="","",VLOOKUP(CP207,βοηθητικό!$J$2:$N$354,3,FALSE))</f>
        <v>_</v>
      </c>
      <c r="CR207" s="44"/>
      <c r="CS207" s="45" t="s">
        <v>16</v>
      </c>
      <c r="CT207" s="46" t="str">
        <f>IF(VLOOKUP(CS207,βοηθητικό!$J$2:$N$354,3,FALSE)="","",VLOOKUP(CS207,βοηθητικό!$J$2:$N$354,3,FALSE))</f>
        <v>_</v>
      </c>
      <c r="CU207" s="47"/>
    </row>
    <row r="208" spans="1:99" x14ac:dyDescent="0.25">
      <c r="A208" s="37">
        <f>--SUBTOTAL(3,$B$3:B207)</f>
        <v>198</v>
      </c>
      <c r="B208" s="2"/>
      <c r="C208" s="3"/>
      <c r="D208" s="55" t="s">
        <v>18</v>
      </c>
      <c r="E208" s="38" t="s">
        <v>16</v>
      </c>
      <c r="F208" s="38" t="s">
        <v>16</v>
      </c>
      <c r="G208" s="39" t="str">
        <f t="shared" si="11"/>
        <v>__</v>
      </c>
      <c r="H208" s="40" t="str">
        <f t="shared" si="12"/>
        <v>FALSE</v>
      </c>
      <c r="I208" s="41">
        <f t="shared" si="13"/>
        <v>0</v>
      </c>
      <c r="J208" s="4" t="s">
        <v>16</v>
      </c>
      <c r="K208" s="43" t="str">
        <f>IF(VLOOKUP(J208,βοηθητικό!$J$2:$N$354,3,FALSE)="","",VLOOKUP(J208,βοηθητικό!$J$2:$N$354,3,FALSE))</f>
        <v>_</v>
      </c>
      <c r="L208" s="44"/>
      <c r="M208" s="5" t="s">
        <v>16</v>
      </c>
      <c r="N208" s="46" t="str">
        <f>IF(VLOOKUP(M208,βοηθητικό!$J$2:$N$354,3,FALSE)="","",VLOOKUP(M208,βοηθητικό!$J$2:$N$354,3,FALSE))</f>
        <v>_</v>
      </c>
      <c r="O208" s="47"/>
      <c r="P208" s="4" t="s">
        <v>16</v>
      </c>
      <c r="Q208" s="43" t="str">
        <f>IF(VLOOKUP(P208,βοηθητικό!$J$2:$N$354,3,FALSE)="","",VLOOKUP(P208,βοηθητικό!$J$2:$N$354,3,FALSE))</f>
        <v>_</v>
      </c>
      <c r="R208" s="44"/>
      <c r="S208" s="5" t="s">
        <v>16</v>
      </c>
      <c r="T208" s="46" t="str">
        <f>IF(VLOOKUP(S208,βοηθητικό!$J$2:$N$354,3,FALSE)="","",VLOOKUP(S208,βοηθητικό!$J$2:$N$354,3,FALSE))</f>
        <v>_</v>
      </c>
      <c r="U208" s="47"/>
      <c r="V208" s="4" t="s">
        <v>16</v>
      </c>
      <c r="W208" s="43" t="str">
        <f>IF(VLOOKUP(V208,βοηθητικό!$J$2:$N$354,3,FALSE)="","",VLOOKUP(V208,βοηθητικό!$J$2:$N$354,3,FALSE))</f>
        <v>_</v>
      </c>
      <c r="X208" s="44"/>
      <c r="Y208" s="5" t="s">
        <v>16</v>
      </c>
      <c r="Z208" s="46" t="str">
        <f>IF(VLOOKUP(Y208,βοηθητικό!$J$2:$N$354,3,FALSE)="","",VLOOKUP(Y208,βοηθητικό!$J$2:$N$354,3,FALSE))</f>
        <v>_</v>
      </c>
      <c r="AA208" s="47"/>
      <c r="AB208" s="4" t="s">
        <v>16</v>
      </c>
      <c r="AC208" s="43" t="str">
        <f>IF(VLOOKUP(AB208,βοηθητικό!$J$2:$N$354,3,FALSE)="","",VLOOKUP(AB208,βοηθητικό!$J$2:$N$354,3,FALSE))</f>
        <v>_</v>
      </c>
      <c r="AD208" s="44"/>
      <c r="AE208" s="5" t="s">
        <v>16</v>
      </c>
      <c r="AF208" s="46" t="str">
        <f>IF(VLOOKUP(AE208,βοηθητικό!$J$2:$N$354,3,FALSE)="","",VLOOKUP(AE208,βοηθητικό!$J$2:$N$354,3,FALSE))</f>
        <v>_</v>
      </c>
      <c r="AG208" s="47"/>
      <c r="AH208" s="4" t="s">
        <v>16</v>
      </c>
      <c r="AI208" s="43" t="str">
        <f>IF(VLOOKUP(AH208,βοηθητικό!$J$2:$N$354,3,FALSE)="","",VLOOKUP(AH208,βοηθητικό!$J$2:$N$354,3,FALSE))</f>
        <v>_</v>
      </c>
      <c r="AJ208" s="44"/>
      <c r="AK208" s="5" t="s">
        <v>16</v>
      </c>
      <c r="AL208" s="46" t="str">
        <f>IF(VLOOKUP(AK208,βοηθητικό!$J$2:$N$354,3,FALSE)="","",VLOOKUP(AK208,βοηθητικό!$J$2:$N$354,3,FALSE))</f>
        <v>_</v>
      </c>
      <c r="AM208" s="47"/>
      <c r="AN208" s="4" t="s">
        <v>16</v>
      </c>
      <c r="AO208" s="43" t="str">
        <f>IF(VLOOKUP(AN208,βοηθητικό!$J$2:$N$354,3,FALSE)="","",VLOOKUP(AN208,βοηθητικό!$J$2:$N$354,3,FALSE))</f>
        <v>_</v>
      </c>
      <c r="AP208" s="44"/>
      <c r="AQ208" s="5" t="s">
        <v>16</v>
      </c>
      <c r="AR208" s="46" t="str">
        <f>IF(VLOOKUP(AQ208,βοηθητικό!$J$2:$N$354,3,FALSE)="","",VLOOKUP(AQ208,βοηθητικό!$J$2:$N$354,3,FALSE))</f>
        <v>_</v>
      </c>
      <c r="AS208" s="47"/>
      <c r="AT208" s="4" t="s">
        <v>16</v>
      </c>
      <c r="AU208" s="43" t="str">
        <f>IF(VLOOKUP(AT208,βοηθητικό!$J$2:$N$354,3,FALSE)="","",VLOOKUP(AT208,βοηθητικό!$J$2:$N$354,3,FALSE))</f>
        <v>_</v>
      </c>
      <c r="AV208" s="44"/>
      <c r="AW208" s="5" t="s">
        <v>16</v>
      </c>
      <c r="AX208" s="46" t="str">
        <f>IF(VLOOKUP(AW208,βοηθητικό!$J$2:$N$354,3,FALSE)="","",VLOOKUP(AW208,βοηθητικό!$J$2:$N$354,3,FALSE))</f>
        <v>_</v>
      </c>
      <c r="AY208" s="47"/>
      <c r="AZ208" s="4" t="s">
        <v>16</v>
      </c>
      <c r="BA208" s="43" t="str">
        <f>IF(VLOOKUP(AZ208,βοηθητικό!$J$2:$N$354,3,FALSE)="","",VLOOKUP(AZ208,βοηθητικό!$J$2:$N$354,3,FALSE))</f>
        <v>_</v>
      </c>
      <c r="BB208" s="44"/>
      <c r="BC208" s="45" t="s">
        <v>16</v>
      </c>
      <c r="BD208" s="46" t="str">
        <f>IF(VLOOKUP(BC208,βοηθητικό!$J$2:$N$354,3,FALSE)="","",VLOOKUP(BC208,βοηθητικό!$J$2:$N$354,3,FALSE))</f>
        <v>_</v>
      </c>
      <c r="BE208" s="47"/>
      <c r="BF208" s="42" t="s">
        <v>16</v>
      </c>
      <c r="BG208" s="43" t="str">
        <f>IF(VLOOKUP(BF208,βοηθητικό!$J$2:$N$354,3,FALSE)="","",VLOOKUP(BF208,βοηθητικό!$J$2:$N$354,3,FALSE))</f>
        <v>_</v>
      </c>
      <c r="BH208" s="44"/>
      <c r="BI208" s="45" t="s">
        <v>16</v>
      </c>
      <c r="BJ208" s="46" t="str">
        <f>IF(VLOOKUP(BI208,βοηθητικό!$J$2:$N$354,3,FALSE)="","",VLOOKUP(BI208,βοηθητικό!$J$2:$N$354,3,FALSE))</f>
        <v>_</v>
      </c>
      <c r="BK208" s="47"/>
      <c r="BL208" s="42" t="s">
        <v>16</v>
      </c>
      <c r="BM208" s="43" t="str">
        <f>IF(VLOOKUP(BL208,βοηθητικό!$J$2:$N$354,3,FALSE)="","",VLOOKUP(BL208,βοηθητικό!$J$2:$N$354,3,FALSE))</f>
        <v>_</v>
      </c>
      <c r="BN208" s="44"/>
      <c r="BO208" s="45" t="s">
        <v>16</v>
      </c>
      <c r="BP208" s="46" t="str">
        <f>IF(VLOOKUP(BO208,βοηθητικό!$J$2:$N$354,3,FALSE)="","",VLOOKUP(BO208,βοηθητικό!$J$2:$N$354,3,FALSE))</f>
        <v>_</v>
      </c>
      <c r="BQ208" s="47"/>
      <c r="BR208" s="42" t="s">
        <v>16</v>
      </c>
      <c r="BS208" s="43" t="str">
        <f>IF(VLOOKUP(BR208,βοηθητικό!$J$2:$N$354,3,FALSE)="","",VLOOKUP(BR208,βοηθητικό!$J$2:$N$354,3,FALSE))</f>
        <v>_</v>
      </c>
      <c r="BT208" s="44"/>
      <c r="BU208" s="45" t="s">
        <v>16</v>
      </c>
      <c r="BV208" s="46" t="str">
        <f>IF(VLOOKUP(BU208,βοηθητικό!$J$2:$N$354,3,FALSE)="","",VLOOKUP(BU208,βοηθητικό!$J$2:$N$354,3,FALSE))</f>
        <v>_</v>
      </c>
      <c r="BW208" s="47"/>
      <c r="BX208" s="42" t="s">
        <v>16</v>
      </c>
      <c r="BY208" s="43" t="str">
        <f>IF(VLOOKUP(BX208,βοηθητικό!$J$2:$N$354,3,FALSE)="","",VLOOKUP(BX208,βοηθητικό!$J$2:$N$354,3,FALSE))</f>
        <v>_</v>
      </c>
      <c r="BZ208" s="44"/>
      <c r="CA208" s="45" t="s">
        <v>16</v>
      </c>
      <c r="CB208" s="46" t="str">
        <f>IF(VLOOKUP(CA208,βοηθητικό!$J$2:$N$354,3,FALSE)="","",VLOOKUP(CA208,βοηθητικό!$J$2:$N$354,3,FALSE))</f>
        <v>_</v>
      </c>
      <c r="CC208" s="47"/>
      <c r="CD208" s="42" t="s">
        <v>16</v>
      </c>
      <c r="CE208" s="43" t="str">
        <f>IF(VLOOKUP(CD208,βοηθητικό!$J$2:$N$354,3,FALSE)="","",VLOOKUP(CD208,βοηθητικό!$J$2:$N$354,3,FALSE))</f>
        <v>_</v>
      </c>
      <c r="CF208" s="44"/>
      <c r="CG208" s="45" t="s">
        <v>16</v>
      </c>
      <c r="CH208" s="46" t="str">
        <f>IF(VLOOKUP(CG208,βοηθητικό!$J$2:$N$354,3,FALSE)="","",VLOOKUP(CG208,βοηθητικό!$J$2:$N$354,3,FALSE))</f>
        <v>_</v>
      </c>
      <c r="CI208" s="47"/>
      <c r="CJ208" s="42" t="s">
        <v>16</v>
      </c>
      <c r="CK208" s="43" t="str">
        <f>IF(VLOOKUP(CJ208,βοηθητικό!$J$2:$N$354,3,FALSE)="","",VLOOKUP(CJ208,βοηθητικό!$J$2:$N$354,3,FALSE))</f>
        <v>_</v>
      </c>
      <c r="CL208" s="44"/>
      <c r="CM208" s="45" t="s">
        <v>16</v>
      </c>
      <c r="CN208" s="46" t="str">
        <f>IF(VLOOKUP(CM208,βοηθητικό!$J$2:$N$354,3,FALSE)="","",VLOOKUP(CM208,βοηθητικό!$J$2:$N$354,3,FALSE))</f>
        <v>_</v>
      </c>
      <c r="CO208" s="47"/>
      <c r="CP208" s="42" t="s">
        <v>16</v>
      </c>
      <c r="CQ208" s="43" t="str">
        <f>IF(VLOOKUP(CP208,βοηθητικό!$J$2:$N$354,3,FALSE)="","",VLOOKUP(CP208,βοηθητικό!$J$2:$N$354,3,FALSE))</f>
        <v>_</v>
      </c>
      <c r="CR208" s="44"/>
      <c r="CS208" s="45" t="s">
        <v>16</v>
      </c>
      <c r="CT208" s="46" t="str">
        <f>IF(VLOOKUP(CS208,βοηθητικό!$J$2:$N$354,3,FALSE)="","",VLOOKUP(CS208,βοηθητικό!$J$2:$N$354,3,FALSE))</f>
        <v>_</v>
      </c>
      <c r="CU208" s="47"/>
    </row>
    <row r="209" spans="1:99" x14ac:dyDescent="0.25">
      <c r="A209" s="37">
        <f>--SUBTOTAL(3,$B$3:B208)</f>
        <v>198</v>
      </c>
      <c r="B209" s="2"/>
      <c r="C209" s="3"/>
      <c r="D209" s="55" t="s">
        <v>18</v>
      </c>
      <c r="E209" s="38" t="s">
        <v>16</v>
      </c>
      <c r="F209" s="38" t="s">
        <v>16</v>
      </c>
      <c r="G209" s="39" t="str">
        <f t="shared" si="11"/>
        <v>__</v>
      </c>
      <c r="H209" s="40" t="str">
        <f t="shared" si="12"/>
        <v>FALSE</v>
      </c>
      <c r="I209" s="41">
        <f t="shared" si="13"/>
        <v>0</v>
      </c>
      <c r="J209" s="4" t="s">
        <v>16</v>
      </c>
      <c r="K209" s="43" t="str">
        <f>IF(VLOOKUP(J209,βοηθητικό!$J$2:$N$354,3,FALSE)="","",VLOOKUP(J209,βοηθητικό!$J$2:$N$354,3,FALSE))</f>
        <v>_</v>
      </c>
      <c r="L209" s="44"/>
      <c r="M209" s="5" t="s">
        <v>16</v>
      </c>
      <c r="N209" s="46" t="str">
        <f>IF(VLOOKUP(M209,βοηθητικό!$J$2:$N$354,3,FALSE)="","",VLOOKUP(M209,βοηθητικό!$J$2:$N$354,3,FALSE))</f>
        <v>_</v>
      </c>
      <c r="O209" s="47"/>
      <c r="P209" s="4" t="s">
        <v>16</v>
      </c>
      <c r="Q209" s="43" t="str">
        <f>IF(VLOOKUP(P209,βοηθητικό!$J$2:$N$354,3,FALSE)="","",VLOOKUP(P209,βοηθητικό!$J$2:$N$354,3,FALSE))</f>
        <v>_</v>
      </c>
      <c r="R209" s="44"/>
      <c r="S209" s="5" t="s">
        <v>16</v>
      </c>
      <c r="T209" s="46" t="str">
        <f>IF(VLOOKUP(S209,βοηθητικό!$J$2:$N$354,3,FALSE)="","",VLOOKUP(S209,βοηθητικό!$J$2:$N$354,3,FALSE))</f>
        <v>_</v>
      </c>
      <c r="U209" s="47"/>
      <c r="V209" s="4" t="s">
        <v>16</v>
      </c>
      <c r="W209" s="43" t="str">
        <f>IF(VLOOKUP(V209,βοηθητικό!$J$2:$N$354,3,FALSE)="","",VLOOKUP(V209,βοηθητικό!$J$2:$N$354,3,FALSE))</f>
        <v>_</v>
      </c>
      <c r="X209" s="44"/>
      <c r="Y209" s="5" t="s">
        <v>16</v>
      </c>
      <c r="Z209" s="46" t="str">
        <f>IF(VLOOKUP(Y209,βοηθητικό!$J$2:$N$354,3,FALSE)="","",VLOOKUP(Y209,βοηθητικό!$J$2:$N$354,3,FALSE))</f>
        <v>_</v>
      </c>
      <c r="AA209" s="47"/>
      <c r="AB209" s="4" t="s">
        <v>16</v>
      </c>
      <c r="AC209" s="43" t="str">
        <f>IF(VLOOKUP(AB209,βοηθητικό!$J$2:$N$354,3,FALSE)="","",VLOOKUP(AB209,βοηθητικό!$J$2:$N$354,3,FALSE))</f>
        <v>_</v>
      </c>
      <c r="AD209" s="44"/>
      <c r="AE209" s="5" t="s">
        <v>16</v>
      </c>
      <c r="AF209" s="46" t="str">
        <f>IF(VLOOKUP(AE209,βοηθητικό!$J$2:$N$354,3,FALSE)="","",VLOOKUP(AE209,βοηθητικό!$J$2:$N$354,3,FALSE))</f>
        <v>_</v>
      </c>
      <c r="AG209" s="47"/>
      <c r="AH209" s="4" t="s">
        <v>16</v>
      </c>
      <c r="AI209" s="43" t="str">
        <f>IF(VLOOKUP(AH209,βοηθητικό!$J$2:$N$354,3,FALSE)="","",VLOOKUP(AH209,βοηθητικό!$J$2:$N$354,3,FALSE))</f>
        <v>_</v>
      </c>
      <c r="AJ209" s="44"/>
      <c r="AK209" s="5" t="s">
        <v>16</v>
      </c>
      <c r="AL209" s="46" t="str">
        <f>IF(VLOOKUP(AK209,βοηθητικό!$J$2:$N$354,3,FALSE)="","",VLOOKUP(AK209,βοηθητικό!$J$2:$N$354,3,FALSE))</f>
        <v>_</v>
      </c>
      <c r="AM209" s="47"/>
      <c r="AN209" s="4" t="s">
        <v>16</v>
      </c>
      <c r="AO209" s="43" t="str">
        <f>IF(VLOOKUP(AN209,βοηθητικό!$J$2:$N$354,3,FALSE)="","",VLOOKUP(AN209,βοηθητικό!$J$2:$N$354,3,FALSE))</f>
        <v>_</v>
      </c>
      <c r="AP209" s="44"/>
      <c r="AQ209" s="5" t="s">
        <v>16</v>
      </c>
      <c r="AR209" s="46" t="str">
        <f>IF(VLOOKUP(AQ209,βοηθητικό!$J$2:$N$354,3,FALSE)="","",VLOOKUP(AQ209,βοηθητικό!$J$2:$N$354,3,FALSE))</f>
        <v>_</v>
      </c>
      <c r="AS209" s="47"/>
      <c r="AT209" s="4" t="s">
        <v>16</v>
      </c>
      <c r="AU209" s="43" t="str">
        <f>IF(VLOOKUP(AT209,βοηθητικό!$J$2:$N$354,3,FALSE)="","",VLOOKUP(AT209,βοηθητικό!$J$2:$N$354,3,FALSE))</f>
        <v>_</v>
      </c>
      <c r="AV209" s="44"/>
      <c r="AW209" s="5" t="s">
        <v>16</v>
      </c>
      <c r="AX209" s="46" t="str">
        <f>IF(VLOOKUP(AW209,βοηθητικό!$J$2:$N$354,3,FALSE)="","",VLOOKUP(AW209,βοηθητικό!$J$2:$N$354,3,FALSE))</f>
        <v>_</v>
      </c>
      <c r="AY209" s="47"/>
      <c r="AZ209" s="4" t="s">
        <v>16</v>
      </c>
      <c r="BA209" s="43" t="str">
        <f>IF(VLOOKUP(AZ209,βοηθητικό!$J$2:$N$354,3,FALSE)="","",VLOOKUP(AZ209,βοηθητικό!$J$2:$N$354,3,FALSE))</f>
        <v>_</v>
      </c>
      <c r="BB209" s="44"/>
      <c r="BC209" s="45" t="s">
        <v>16</v>
      </c>
      <c r="BD209" s="46" t="str">
        <f>IF(VLOOKUP(BC209,βοηθητικό!$J$2:$N$354,3,FALSE)="","",VLOOKUP(BC209,βοηθητικό!$J$2:$N$354,3,FALSE))</f>
        <v>_</v>
      </c>
      <c r="BE209" s="47"/>
      <c r="BF209" s="42" t="s">
        <v>16</v>
      </c>
      <c r="BG209" s="43" t="str">
        <f>IF(VLOOKUP(BF209,βοηθητικό!$J$2:$N$354,3,FALSE)="","",VLOOKUP(BF209,βοηθητικό!$J$2:$N$354,3,FALSE))</f>
        <v>_</v>
      </c>
      <c r="BH209" s="44"/>
      <c r="BI209" s="45" t="s">
        <v>16</v>
      </c>
      <c r="BJ209" s="46" t="str">
        <f>IF(VLOOKUP(BI209,βοηθητικό!$J$2:$N$354,3,FALSE)="","",VLOOKUP(BI209,βοηθητικό!$J$2:$N$354,3,FALSE))</f>
        <v>_</v>
      </c>
      <c r="BK209" s="47"/>
      <c r="BL209" s="42" t="s">
        <v>16</v>
      </c>
      <c r="BM209" s="43" t="str">
        <f>IF(VLOOKUP(BL209,βοηθητικό!$J$2:$N$354,3,FALSE)="","",VLOOKUP(BL209,βοηθητικό!$J$2:$N$354,3,FALSE))</f>
        <v>_</v>
      </c>
      <c r="BN209" s="44"/>
      <c r="BO209" s="45" t="s">
        <v>16</v>
      </c>
      <c r="BP209" s="46" t="str">
        <f>IF(VLOOKUP(BO209,βοηθητικό!$J$2:$N$354,3,FALSE)="","",VLOOKUP(BO209,βοηθητικό!$J$2:$N$354,3,FALSE))</f>
        <v>_</v>
      </c>
      <c r="BQ209" s="47"/>
      <c r="BR209" s="42" t="s">
        <v>16</v>
      </c>
      <c r="BS209" s="43" t="str">
        <f>IF(VLOOKUP(BR209,βοηθητικό!$J$2:$N$354,3,FALSE)="","",VLOOKUP(BR209,βοηθητικό!$J$2:$N$354,3,FALSE))</f>
        <v>_</v>
      </c>
      <c r="BT209" s="44"/>
      <c r="BU209" s="45" t="s">
        <v>16</v>
      </c>
      <c r="BV209" s="46" t="str">
        <f>IF(VLOOKUP(BU209,βοηθητικό!$J$2:$N$354,3,FALSE)="","",VLOOKUP(BU209,βοηθητικό!$J$2:$N$354,3,FALSE))</f>
        <v>_</v>
      </c>
      <c r="BW209" s="47"/>
      <c r="BX209" s="42" t="s">
        <v>16</v>
      </c>
      <c r="BY209" s="43" t="str">
        <f>IF(VLOOKUP(BX209,βοηθητικό!$J$2:$N$354,3,FALSE)="","",VLOOKUP(BX209,βοηθητικό!$J$2:$N$354,3,FALSE))</f>
        <v>_</v>
      </c>
      <c r="BZ209" s="44"/>
      <c r="CA209" s="45" t="s">
        <v>16</v>
      </c>
      <c r="CB209" s="46" t="str">
        <f>IF(VLOOKUP(CA209,βοηθητικό!$J$2:$N$354,3,FALSE)="","",VLOOKUP(CA209,βοηθητικό!$J$2:$N$354,3,FALSE))</f>
        <v>_</v>
      </c>
      <c r="CC209" s="47"/>
      <c r="CD209" s="42" t="s">
        <v>16</v>
      </c>
      <c r="CE209" s="43" t="str">
        <f>IF(VLOOKUP(CD209,βοηθητικό!$J$2:$N$354,3,FALSE)="","",VLOOKUP(CD209,βοηθητικό!$J$2:$N$354,3,FALSE))</f>
        <v>_</v>
      </c>
      <c r="CF209" s="44"/>
      <c r="CG209" s="45" t="s">
        <v>16</v>
      </c>
      <c r="CH209" s="46" t="str">
        <f>IF(VLOOKUP(CG209,βοηθητικό!$J$2:$N$354,3,FALSE)="","",VLOOKUP(CG209,βοηθητικό!$J$2:$N$354,3,FALSE))</f>
        <v>_</v>
      </c>
      <c r="CI209" s="47"/>
      <c r="CJ209" s="42" t="s">
        <v>16</v>
      </c>
      <c r="CK209" s="43" t="str">
        <f>IF(VLOOKUP(CJ209,βοηθητικό!$J$2:$N$354,3,FALSE)="","",VLOOKUP(CJ209,βοηθητικό!$J$2:$N$354,3,FALSE))</f>
        <v>_</v>
      </c>
      <c r="CL209" s="44"/>
      <c r="CM209" s="45" t="s">
        <v>16</v>
      </c>
      <c r="CN209" s="46" t="str">
        <f>IF(VLOOKUP(CM209,βοηθητικό!$J$2:$N$354,3,FALSE)="","",VLOOKUP(CM209,βοηθητικό!$J$2:$N$354,3,FALSE))</f>
        <v>_</v>
      </c>
      <c r="CO209" s="47"/>
      <c r="CP209" s="42" t="s">
        <v>16</v>
      </c>
      <c r="CQ209" s="43" t="str">
        <f>IF(VLOOKUP(CP209,βοηθητικό!$J$2:$N$354,3,FALSE)="","",VLOOKUP(CP209,βοηθητικό!$J$2:$N$354,3,FALSE))</f>
        <v>_</v>
      </c>
      <c r="CR209" s="44"/>
      <c r="CS209" s="45" t="s">
        <v>16</v>
      </c>
      <c r="CT209" s="46" t="str">
        <f>IF(VLOOKUP(CS209,βοηθητικό!$J$2:$N$354,3,FALSE)="","",VLOOKUP(CS209,βοηθητικό!$J$2:$N$354,3,FALSE))</f>
        <v>_</v>
      </c>
      <c r="CU209" s="47"/>
    </row>
    <row r="210" spans="1:99" x14ac:dyDescent="0.25">
      <c r="A210" s="37">
        <f>--SUBTOTAL(3,$B$3:B209)</f>
        <v>198</v>
      </c>
      <c r="B210" s="2"/>
      <c r="C210" s="3"/>
      <c r="D210" s="55" t="s">
        <v>18</v>
      </c>
      <c r="E210" s="38" t="s">
        <v>16</v>
      </c>
      <c r="F210" s="38" t="s">
        <v>16</v>
      </c>
      <c r="G210" s="39" t="str">
        <f t="shared" si="11"/>
        <v>__</v>
      </c>
      <c r="H210" s="40" t="str">
        <f t="shared" si="12"/>
        <v>FALSE</v>
      </c>
      <c r="I210" s="41">
        <f t="shared" si="13"/>
        <v>0</v>
      </c>
      <c r="J210" s="4" t="s">
        <v>16</v>
      </c>
      <c r="K210" s="43" t="str">
        <f>IF(VLOOKUP(J210,βοηθητικό!$J$2:$N$354,3,FALSE)="","",VLOOKUP(J210,βοηθητικό!$J$2:$N$354,3,FALSE))</f>
        <v>_</v>
      </c>
      <c r="L210" s="44"/>
      <c r="M210" s="5" t="s">
        <v>16</v>
      </c>
      <c r="N210" s="46" t="str">
        <f>IF(VLOOKUP(M210,βοηθητικό!$J$2:$N$354,3,FALSE)="","",VLOOKUP(M210,βοηθητικό!$J$2:$N$354,3,FALSE))</f>
        <v>_</v>
      </c>
      <c r="O210" s="47"/>
      <c r="P210" s="4" t="s">
        <v>16</v>
      </c>
      <c r="Q210" s="43" t="str">
        <f>IF(VLOOKUP(P210,βοηθητικό!$J$2:$N$354,3,FALSE)="","",VLOOKUP(P210,βοηθητικό!$J$2:$N$354,3,FALSE))</f>
        <v>_</v>
      </c>
      <c r="R210" s="44"/>
      <c r="S210" s="5" t="s">
        <v>16</v>
      </c>
      <c r="T210" s="46" t="str">
        <f>IF(VLOOKUP(S210,βοηθητικό!$J$2:$N$354,3,FALSE)="","",VLOOKUP(S210,βοηθητικό!$J$2:$N$354,3,FALSE))</f>
        <v>_</v>
      </c>
      <c r="U210" s="47"/>
      <c r="V210" s="4" t="s">
        <v>16</v>
      </c>
      <c r="W210" s="43" t="str">
        <f>IF(VLOOKUP(V210,βοηθητικό!$J$2:$N$354,3,FALSE)="","",VLOOKUP(V210,βοηθητικό!$J$2:$N$354,3,FALSE))</f>
        <v>_</v>
      </c>
      <c r="X210" s="44"/>
      <c r="Y210" s="5" t="s">
        <v>16</v>
      </c>
      <c r="Z210" s="46" t="str">
        <f>IF(VLOOKUP(Y210,βοηθητικό!$J$2:$N$354,3,FALSE)="","",VLOOKUP(Y210,βοηθητικό!$J$2:$N$354,3,FALSE))</f>
        <v>_</v>
      </c>
      <c r="AA210" s="47"/>
      <c r="AB210" s="4" t="s">
        <v>16</v>
      </c>
      <c r="AC210" s="43" t="str">
        <f>IF(VLOOKUP(AB210,βοηθητικό!$J$2:$N$354,3,FALSE)="","",VLOOKUP(AB210,βοηθητικό!$J$2:$N$354,3,FALSE))</f>
        <v>_</v>
      </c>
      <c r="AD210" s="44"/>
      <c r="AE210" s="5" t="s">
        <v>16</v>
      </c>
      <c r="AF210" s="46" t="str">
        <f>IF(VLOOKUP(AE210,βοηθητικό!$J$2:$N$354,3,FALSE)="","",VLOOKUP(AE210,βοηθητικό!$J$2:$N$354,3,FALSE))</f>
        <v>_</v>
      </c>
      <c r="AG210" s="47"/>
      <c r="AH210" s="4" t="s">
        <v>16</v>
      </c>
      <c r="AI210" s="43" t="str">
        <f>IF(VLOOKUP(AH210,βοηθητικό!$J$2:$N$354,3,FALSE)="","",VLOOKUP(AH210,βοηθητικό!$J$2:$N$354,3,FALSE))</f>
        <v>_</v>
      </c>
      <c r="AJ210" s="44"/>
      <c r="AK210" s="5" t="s">
        <v>16</v>
      </c>
      <c r="AL210" s="46" t="str">
        <f>IF(VLOOKUP(AK210,βοηθητικό!$J$2:$N$354,3,FALSE)="","",VLOOKUP(AK210,βοηθητικό!$J$2:$N$354,3,FALSE))</f>
        <v>_</v>
      </c>
      <c r="AM210" s="47"/>
      <c r="AN210" s="4" t="s">
        <v>16</v>
      </c>
      <c r="AO210" s="43" t="str">
        <f>IF(VLOOKUP(AN210,βοηθητικό!$J$2:$N$354,3,FALSE)="","",VLOOKUP(AN210,βοηθητικό!$J$2:$N$354,3,FALSE))</f>
        <v>_</v>
      </c>
      <c r="AP210" s="44"/>
      <c r="AQ210" s="5" t="s">
        <v>16</v>
      </c>
      <c r="AR210" s="46" t="str">
        <f>IF(VLOOKUP(AQ210,βοηθητικό!$J$2:$N$354,3,FALSE)="","",VLOOKUP(AQ210,βοηθητικό!$J$2:$N$354,3,FALSE))</f>
        <v>_</v>
      </c>
      <c r="AS210" s="47"/>
      <c r="AT210" s="4" t="s">
        <v>16</v>
      </c>
      <c r="AU210" s="43" t="str">
        <f>IF(VLOOKUP(AT210,βοηθητικό!$J$2:$N$354,3,FALSE)="","",VLOOKUP(AT210,βοηθητικό!$J$2:$N$354,3,FALSE))</f>
        <v>_</v>
      </c>
      <c r="AV210" s="44"/>
      <c r="AW210" s="5" t="s">
        <v>16</v>
      </c>
      <c r="AX210" s="46" t="str">
        <f>IF(VLOOKUP(AW210,βοηθητικό!$J$2:$N$354,3,FALSE)="","",VLOOKUP(AW210,βοηθητικό!$J$2:$N$354,3,FALSE))</f>
        <v>_</v>
      </c>
      <c r="AY210" s="47"/>
      <c r="AZ210" s="4" t="s">
        <v>16</v>
      </c>
      <c r="BA210" s="43" t="str">
        <f>IF(VLOOKUP(AZ210,βοηθητικό!$J$2:$N$354,3,FALSE)="","",VLOOKUP(AZ210,βοηθητικό!$J$2:$N$354,3,FALSE))</f>
        <v>_</v>
      </c>
      <c r="BB210" s="44"/>
      <c r="BC210" s="45" t="s">
        <v>16</v>
      </c>
      <c r="BD210" s="46" t="str">
        <f>IF(VLOOKUP(BC210,βοηθητικό!$J$2:$N$354,3,FALSE)="","",VLOOKUP(BC210,βοηθητικό!$J$2:$N$354,3,FALSE))</f>
        <v>_</v>
      </c>
      <c r="BE210" s="47"/>
      <c r="BF210" s="42" t="s">
        <v>16</v>
      </c>
      <c r="BG210" s="43" t="str">
        <f>IF(VLOOKUP(BF210,βοηθητικό!$J$2:$N$354,3,FALSE)="","",VLOOKUP(BF210,βοηθητικό!$J$2:$N$354,3,FALSE))</f>
        <v>_</v>
      </c>
      <c r="BH210" s="44"/>
      <c r="BI210" s="45" t="s">
        <v>16</v>
      </c>
      <c r="BJ210" s="46" t="str">
        <f>IF(VLOOKUP(BI210,βοηθητικό!$J$2:$N$354,3,FALSE)="","",VLOOKUP(BI210,βοηθητικό!$J$2:$N$354,3,FALSE))</f>
        <v>_</v>
      </c>
      <c r="BK210" s="47"/>
      <c r="BL210" s="42" t="s">
        <v>16</v>
      </c>
      <c r="BM210" s="43" t="str">
        <f>IF(VLOOKUP(BL210,βοηθητικό!$J$2:$N$354,3,FALSE)="","",VLOOKUP(BL210,βοηθητικό!$J$2:$N$354,3,FALSE))</f>
        <v>_</v>
      </c>
      <c r="BN210" s="44"/>
      <c r="BO210" s="45" t="s">
        <v>16</v>
      </c>
      <c r="BP210" s="46" t="str">
        <f>IF(VLOOKUP(BO210,βοηθητικό!$J$2:$N$354,3,FALSE)="","",VLOOKUP(BO210,βοηθητικό!$J$2:$N$354,3,FALSE))</f>
        <v>_</v>
      </c>
      <c r="BQ210" s="47"/>
      <c r="BR210" s="42" t="s">
        <v>16</v>
      </c>
      <c r="BS210" s="43" t="str">
        <f>IF(VLOOKUP(BR210,βοηθητικό!$J$2:$N$354,3,FALSE)="","",VLOOKUP(BR210,βοηθητικό!$J$2:$N$354,3,FALSE))</f>
        <v>_</v>
      </c>
      <c r="BT210" s="44"/>
      <c r="BU210" s="45" t="s">
        <v>16</v>
      </c>
      <c r="BV210" s="46" t="str">
        <f>IF(VLOOKUP(BU210,βοηθητικό!$J$2:$N$354,3,FALSE)="","",VLOOKUP(BU210,βοηθητικό!$J$2:$N$354,3,FALSE))</f>
        <v>_</v>
      </c>
      <c r="BW210" s="47"/>
      <c r="BX210" s="42" t="s">
        <v>16</v>
      </c>
      <c r="BY210" s="43" t="str">
        <f>IF(VLOOKUP(BX210,βοηθητικό!$J$2:$N$354,3,FALSE)="","",VLOOKUP(BX210,βοηθητικό!$J$2:$N$354,3,FALSE))</f>
        <v>_</v>
      </c>
      <c r="BZ210" s="44"/>
      <c r="CA210" s="45" t="s">
        <v>16</v>
      </c>
      <c r="CB210" s="46" t="str">
        <f>IF(VLOOKUP(CA210,βοηθητικό!$J$2:$N$354,3,FALSE)="","",VLOOKUP(CA210,βοηθητικό!$J$2:$N$354,3,FALSE))</f>
        <v>_</v>
      </c>
      <c r="CC210" s="47"/>
      <c r="CD210" s="42" t="s">
        <v>16</v>
      </c>
      <c r="CE210" s="43" t="str">
        <f>IF(VLOOKUP(CD210,βοηθητικό!$J$2:$N$354,3,FALSE)="","",VLOOKUP(CD210,βοηθητικό!$J$2:$N$354,3,FALSE))</f>
        <v>_</v>
      </c>
      <c r="CF210" s="44"/>
      <c r="CG210" s="45" t="s">
        <v>16</v>
      </c>
      <c r="CH210" s="46" t="str">
        <f>IF(VLOOKUP(CG210,βοηθητικό!$J$2:$N$354,3,FALSE)="","",VLOOKUP(CG210,βοηθητικό!$J$2:$N$354,3,FALSE))</f>
        <v>_</v>
      </c>
      <c r="CI210" s="47"/>
      <c r="CJ210" s="42" t="s">
        <v>16</v>
      </c>
      <c r="CK210" s="43" t="str">
        <f>IF(VLOOKUP(CJ210,βοηθητικό!$J$2:$N$354,3,FALSE)="","",VLOOKUP(CJ210,βοηθητικό!$J$2:$N$354,3,FALSE))</f>
        <v>_</v>
      </c>
      <c r="CL210" s="44"/>
      <c r="CM210" s="45" t="s">
        <v>16</v>
      </c>
      <c r="CN210" s="46" t="str">
        <f>IF(VLOOKUP(CM210,βοηθητικό!$J$2:$N$354,3,FALSE)="","",VLOOKUP(CM210,βοηθητικό!$J$2:$N$354,3,FALSE))</f>
        <v>_</v>
      </c>
      <c r="CO210" s="47"/>
      <c r="CP210" s="42" t="s">
        <v>16</v>
      </c>
      <c r="CQ210" s="43" t="str">
        <f>IF(VLOOKUP(CP210,βοηθητικό!$J$2:$N$354,3,FALSE)="","",VLOOKUP(CP210,βοηθητικό!$J$2:$N$354,3,FALSE))</f>
        <v>_</v>
      </c>
      <c r="CR210" s="44"/>
      <c r="CS210" s="45" t="s">
        <v>16</v>
      </c>
      <c r="CT210" s="46" t="str">
        <f>IF(VLOOKUP(CS210,βοηθητικό!$J$2:$N$354,3,FALSE)="","",VLOOKUP(CS210,βοηθητικό!$J$2:$N$354,3,FALSE))</f>
        <v>_</v>
      </c>
      <c r="CU210" s="47"/>
    </row>
    <row r="211" spans="1:99" x14ac:dyDescent="0.25">
      <c r="A211" s="37">
        <f>--SUBTOTAL(3,$B$3:B210)</f>
        <v>198</v>
      </c>
      <c r="B211" s="2"/>
      <c r="C211" s="3"/>
      <c r="D211" s="55" t="s">
        <v>18</v>
      </c>
      <c r="E211" s="38" t="s">
        <v>16</v>
      </c>
      <c r="F211" s="38" t="s">
        <v>16</v>
      </c>
      <c r="G211" s="39" t="str">
        <f t="shared" si="11"/>
        <v>__</v>
      </c>
      <c r="H211" s="40" t="str">
        <f t="shared" si="12"/>
        <v>FALSE</v>
      </c>
      <c r="I211" s="41">
        <f t="shared" si="13"/>
        <v>0</v>
      </c>
      <c r="J211" s="4" t="s">
        <v>16</v>
      </c>
      <c r="K211" s="43" t="str">
        <f>IF(VLOOKUP(J211,βοηθητικό!$J$2:$N$354,3,FALSE)="","",VLOOKUP(J211,βοηθητικό!$J$2:$N$354,3,FALSE))</f>
        <v>_</v>
      </c>
      <c r="L211" s="44"/>
      <c r="M211" s="5" t="s">
        <v>16</v>
      </c>
      <c r="N211" s="46" t="str">
        <f>IF(VLOOKUP(M211,βοηθητικό!$J$2:$N$354,3,FALSE)="","",VLOOKUP(M211,βοηθητικό!$J$2:$N$354,3,FALSE))</f>
        <v>_</v>
      </c>
      <c r="O211" s="47"/>
      <c r="P211" s="4" t="s">
        <v>16</v>
      </c>
      <c r="Q211" s="43" t="str">
        <f>IF(VLOOKUP(P211,βοηθητικό!$J$2:$N$354,3,FALSE)="","",VLOOKUP(P211,βοηθητικό!$J$2:$N$354,3,FALSE))</f>
        <v>_</v>
      </c>
      <c r="R211" s="44"/>
      <c r="S211" s="5" t="s">
        <v>16</v>
      </c>
      <c r="T211" s="46" t="str">
        <f>IF(VLOOKUP(S211,βοηθητικό!$J$2:$N$354,3,FALSE)="","",VLOOKUP(S211,βοηθητικό!$J$2:$N$354,3,FALSE))</f>
        <v>_</v>
      </c>
      <c r="U211" s="47"/>
      <c r="V211" s="4" t="s">
        <v>16</v>
      </c>
      <c r="W211" s="43" t="str">
        <f>IF(VLOOKUP(V211,βοηθητικό!$J$2:$N$354,3,FALSE)="","",VLOOKUP(V211,βοηθητικό!$J$2:$N$354,3,FALSE))</f>
        <v>_</v>
      </c>
      <c r="X211" s="44"/>
      <c r="Y211" s="5" t="s">
        <v>16</v>
      </c>
      <c r="Z211" s="46" t="str">
        <f>IF(VLOOKUP(Y211,βοηθητικό!$J$2:$N$354,3,FALSE)="","",VLOOKUP(Y211,βοηθητικό!$J$2:$N$354,3,FALSE))</f>
        <v>_</v>
      </c>
      <c r="AA211" s="47"/>
      <c r="AB211" s="4" t="s">
        <v>16</v>
      </c>
      <c r="AC211" s="43" t="str">
        <f>IF(VLOOKUP(AB211,βοηθητικό!$J$2:$N$354,3,FALSE)="","",VLOOKUP(AB211,βοηθητικό!$J$2:$N$354,3,FALSE))</f>
        <v>_</v>
      </c>
      <c r="AD211" s="44"/>
      <c r="AE211" s="5" t="s">
        <v>16</v>
      </c>
      <c r="AF211" s="46" t="str">
        <f>IF(VLOOKUP(AE211,βοηθητικό!$J$2:$N$354,3,FALSE)="","",VLOOKUP(AE211,βοηθητικό!$J$2:$N$354,3,FALSE))</f>
        <v>_</v>
      </c>
      <c r="AG211" s="47"/>
      <c r="AH211" s="4" t="s">
        <v>16</v>
      </c>
      <c r="AI211" s="43" t="str">
        <f>IF(VLOOKUP(AH211,βοηθητικό!$J$2:$N$354,3,FALSE)="","",VLOOKUP(AH211,βοηθητικό!$J$2:$N$354,3,FALSE))</f>
        <v>_</v>
      </c>
      <c r="AJ211" s="44"/>
      <c r="AK211" s="5" t="s">
        <v>16</v>
      </c>
      <c r="AL211" s="46" t="str">
        <f>IF(VLOOKUP(AK211,βοηθητικό!$J$2:$N$354,3,FALSE)="","",VLOOKUP(AK211,βοηθητικό!$J$2:$N$354,3,FALSE))</f>
        <v>_</v>
      </c>
      <c r="AM211" s="47"/>
      <c r="AN211" s="4" t="s">
        <v>16</v>
      </c>
      <c r="AO211" s="43" t="str">
        <f>IF(VLOOKUP(AN211,βοηθητικό!$J$2:$N$354,3,FALSE)="","",VLOOKUP(AN211,βοηθητικό!$J$2:$N$354,3,FALSE))</f>
        <v>_</v>
      </c>
      <c r="AP211" s="44"/>
      <c r="AQ211" s="5" t="s">
        <v>16</v>
      </c>
      <c r="AR211" s="46" t="str">
        <f>IF(VLOOKUP(AQ211,βοηθητικό!$J$2:$N$354,3,FALSE)="","",VLOOKUP(AQ211,βοηθητικό!$J$2:$N$354,3,FALSE))</f>
        <v>_</v>
      </c>
      <c r="AS211" s="47"/>
      <c r="AT211" s="4" t="s">
        <v>16</v>
      </c>
      <c r="AU211" s="43" t="str">
        <f>IF(VLOOKUP(AT211,βοηθητικό!$J$2:$N$354,3,FALSE)="","",VLOOKUP(AT211,βοηθητικό!$J$2:$N$354,3,FALSE))</f>
        <v>_</v>
      </c>
      <c r="AV211" s="44"/>
      <c r="AW211" s="5" t="s">
        <v>16</v>
      </c>
      <c r="AX211" s="46" t="str">
        <f>IF(VLOOKUP(AW211,βοηθητικό!$J$2:$N$354,3,FALSE)="","",VLOOKUP(AW211,βοηθητικό!$J$2:$N$354,3,FALSE))</f>
        <v>_</v>
      </c>
      <c r="AY211" s="47"/>
      <c r="AZ211" s="4" t="s">
        <v>16</v>
      </c>
      <c r="BA211" s="43" t="str">
        <f>IF(VLOOKUP(AZ211,βοηθητικό!$J$2:$N$354,3,FALSE)="","",VLOOKUP(AZ211,βοηθητικό!$J$2:$N$354,3,FALSE))</f>
        <v>_</v>
      </c>
      <c r="BB211" s="44"/>
      <c r="BC211" s="45" t="s">
        <v>16</v>
      </c>
      <c r="BD211" s="46" t="str">
        <f>IF(VLOOKUP(BC211,βοηθητικό!$J$2:$N$354,3,FALSE)="","",VLOOKUP(BC211,βοηθητικό!$J$2:$N$354,3,FALSE))</f>
        <v>_</v>
      </c>
      <c r="BE211" s="47"/>
      <c r="BF211" s="42" t="s">
        <v>16</v>
      </c>
      <c r="BG211" s="43" t="str">
        <f>IF(VLOOKUP(BF211,βοηθητικό!$J$2:$N$354,3,FALSE)="","",VLOOKUP(BF211,βοηθητικό!$J$2:$N$354,3,FALSE))</f>
        <v>_</v>
      </c>
      <c r="BH211" s="44"/>
      <c r="BI211" s="45" t="s">
        <v>16</v>
      </c>
      <c r="BJ211" s="46" t="str">
        <f>IF(VLOOKUP(BI211,βοηθητικό!$J$2:$N$354,3,FALSE)="","",VLOOKUP(BI211,βοηθητικό!$J$2:$N$354,3,FALSE))</f>
        <v>_</v>
      </c>
      <c r="BK211" s="47"/>
      <c r="BL211" s="42" t="s">
        <v>16</v>
      </c>
      <c r="BM211" s="43" t="str">
        <f>IF(VLOOKUP(BL211,βοηθητικό!$J$2:$N$354,3,FALSE)="","",VLOOKUP(BL211,βοηθητικό!$J$2:$N$354,3,FALSE))</f>
        <v>_</v>
      </c>
      <c r="BN211" s="44"/>
      <c r="BO211" s="45" t="s">
        <v>16</v>
      </c>
      <c r="BP211" s="46" t="str">
        <f>IF(VLOOKUP(BO211,βοηθητικό!$J$2:$N$354,3,FALSE)="","",VLOOKUP(BO211,βοηθητικό!$J$2:$N$354,3,FALSE))</f>
        <v>_</v>
      </c>
      <c r="BQ211" s="47"/>
      <c r="BR211" s="42" t="s">
        <v>16</v>
      </c>
      <c r="BS211" s="43" t="str">
        <f>IF(VLOOKUP(BR211,βοηθητικό!$J$2:$N$354,3,FALSE)="","",VLOOKUP(BR211,βοηθητικό!$J$2:$N$354,3,FALSE))</f>
        <v>_</v>
      </c>
      <c r="BT211" s="44"/>
      <c r="BU211" s="45" t="s">
        <v>16</v>
      </c>
      <c r="BV211" s="46" t="str">
        <f>IF(VLOOKUP(BU211,βοηθητικό!$J$2:$N$354,3,FALSE)="","",VLOOKUP(BU211,βοηθητικό!$J$2:$N$354,3,FALSE))</f>
        <v>_</v>
      </c>
      <c r="BW211" s="47"/>
      <c r="BX211" s="42" t="s">
        <v>16</v>
      </c>
      <c r="BY211" s="43" t="str">
        <f>IF(VLOOKUP(BX211,βοηθητικό!$J$2:$N$354,3,FALSE)="","",VLOOKUP(BX211,βοηθητικό!$J$2:$N$354,3,FALSE))</f>
        <v>_</v>
      </c>
      <c r="BZ211" s="44"/>
      <c r="CA211" s="45" t="s">
        <v>16</v>
      </c>
      <c r="CB211" s="46" t="str">
        <f>IF(VLOOKUP(CA211,βοηθητικό!$J$2:$N$354,3,FALSE)="","",VLOOKUP(CA211,βοηθητικό!$J$2:$N$354,3,FALSE))</f>
        <v>_</v>
      </c>
      <c r="CC211" s="47"/>
      <c r="CD211" s="42" t="s">
        <v>16</v>
      </c>
      <c r="CE211" s="43" t="str">
        <f>IF(VLOOKUP(CD211,βοηθητικό!$J$2:$N$354,3,FALSE)="","",VLOOKUP(CD211,βοηθητικό!$J$2:$N$354,3,FALSE))</f>
        <v>_</v>
      </c>
      <c r="CF211" s="44"/>
      <c r="CG211" s="45" t="s">
        <v>16</v>
      </c>
      <c r="CH211" s="46" t="str">
        <f>IF(VLOOKUP(CG211,βοηθητικό!$J$2:$N$354,3,FALSE)="","",VLOOKUP(CG211,βοηθητικό!$J$2:$N$354,3,FALSE))</f>
        <v>_</v>
      </c>
      <c r="CI211" s="47"/>
      <c r="CJ211" s="42" t="s">
        <v>16</v>
      </c>
      <c r="CK211" s="43" t="str">
        <f>IF(VLOOKUP(CJ211,βοηθητικό!$J$2:$N$354,3,FALSE)="","",VLOOKUP(CJ211,βοηθητικό!$J$2:$N$354,3,FALSE))</f>
        <v>_</v>
      </c>
      <c r="CL211" s="44"/>
      <c r="CM211" s="45" t="s">
        <v>16</v>
      </c>
      <c r="CN211" s="46" t="str">
        <f>IF(VLOOKUP(CM211,βοηθητικό!$J$2:$N$354,3,FALSE)="","",VLOOKUP(CM211,βοηθητικό!$J$2:$N$354,3,FALSE))</f>
        <v>_</v>
      </c>
      <c r="CO211" s="47"/>
      <c r="CP211" s="42" t="s">
        <v>16</v>
      </c>
      <c r="CQ211" s="43" t="str">
        <f>IF(VLOOKUP(CP211,βοηθητικό!$J$2:$N$354,3,FALSE)="","",VLOOKUP(CP211,βοηθητικό!$J$2:$N$354,3,FALSE))</f>
        <v>_</v>
      </c>
      <c r="CR211" s="44"/>
      <c r="CS211" s="45" t="s">
        <v>16</v>
      </c>
      <c r="CT211" s="46" t="str">
        <f>IF(VLOOKUP(CS211,βοηθητικό!$J$2:$N$354,3,FALSE)="","",VLOOKUP(CS211,βοηθητικό!$J$2:$N$354,3,FALSE))</f>
        <v>_</v>
      </c>
      <c r="CU211" s="47"/>
    </row>
    <row r="212" spans="1:99" x14ac:dyDescent="0.25">
      <c r="A212" s="37">
        <f>--SUBTOTAL(3,$B$3:B211)</f>
        <v>198</v>
      </c>
      <c r="B212" s="2"/>
      <c r="C212" s="3"/>
      <c r="D212" s="55" t="s">
        <v>18</v>
      </c>
      <c r="E212" s="38" t="s">
        <v>16</v>
      </c>
      <c r="F212" s="38" t="s">
        <v>16</v>
      </c>
      <c r="G212" s="39" t="str">
        <f t="shared" si="11"/>
        <v>__</v>
      </c>
      <c r="H212" s="40" t="str">
        <f t="shared" si="12"/>
        <v>FALSE</v>
      </c>
      <c r="I212" s="41">
        <f t="shared" si="13"/>
        <v>0</v>
      </c>
      <c r="J212" s="4" t="s">
        <v>16</v>
      </c>
      <c r="K212" s="43" t="str">
        <f>IF(VLOOKUP(J212,βοηθητικό!$J$2:$N$354,3,FALSE)="","",VLOOKUP(J212,βοηθητικό!$J$2:$N$354,3,FALSE))</f>
        <v>_</v>
      </c>
      <c r="L212" s="44"/>
      <c r="M212" s="5" t="s">
        <v>16</v>
      </c>
      <c r="N212" s="46" t="str">
        <f>IF(VLOOKUP(M212,βοηθητικό!$J$2:$N$354,3,FALSE)="","",VLOOKUP(M212,βοηθητικό!$J$2:$N$354,3,FALSE))</f>
        <v>_</v>
      </c>
      <c r="O212" s="47"/>
      <c r="P212" s="4" t="s">
        <v>16</v>
      </c>
      <c r="Q212" s="43" t="str">
        <f>IF(VLOOKUP(P212,βοηθητικό!$J$2:$N$354,3,FALSE)="","",VLOOKUP(P212,βοηθητικό!$J$2:$N$354,3,FALSE))</f>
        <v>_</v>
      </c>
      <c r="R212" s="44"/>
      <c r="S212" s="5" t="s">
        <v>16</v>
      </c>
      <c r="T212" s="46" t="str">
        <f>IF(VLOOKUP(S212,βοηθητικό!$J$2:$N$354,3,FALSE)="","",VLOOKUP(S212,βοηθητικό!$J$2:$N$354,3,FALSE))</f>
        <v>_</v>
      </c>
      <c r="U212" s="47"/>
      <c r="V212" s="4" t="s">
        <v>16</v>
      </c>
      <c r="W212" s="43" t="str">
        <f>IF(VLOOKUP(V212,βοηθητικό!$J$2:$N$354,3,FALSE)="","",VLOOKUP(V212,βοηθητικό!$J$2:$N$354,3,FALSE))</f>
        <v>_</v>
      </c>
      <c r="X212" s="44"/>
      <c r="Y212" s="5" t="s">
        <v>16</v>
      </c>
      <c r="Z212" s="46" t="str">
        <f>IF(VLOOKUP(Y212,βοηθητικό!$J$2:$N$354,3,FALSE)="","",VLOOKUP(Y212,βοηθητικό!$J$2:$N$354,3,FALSE))</f>
        <v>_</v>
      </c>
      <c r="AA212" s="47"/>
      <c r="AB212" s="4" t="s">
        <v>16</v>
      </c>
      <c r="AC212" s="43" t="str">
        <f>IF(VLOOKUP(AB212,βοηθητικό!$J$2:$N$354,3,FALSE)="","",VLOOKUP(AB212,βοηθητικό!$J$2:$N$354,3,FALSE))</f>
        <v>_</v>
      </c>
      <c r="AD212" s="44"/>
      <c r="AE212" s="5" t="s">
        <v>16</v>
      </c>
      <c r="AF212" s="46" t="str">
        <f>IF(VLOOKUP(AE212,βοηθητικό!$J$2:$N$354,3,FALSE)="","",VLOOKUP(AE212,βοηθητικό!$J$2:$N$354,3,FALSE))</f>
        <v>_</v>
      </c>
      <c r="AG212" s="47"/>
      <c r="AH212" s="4" t="s">
        <v>16</v>
      </c>
      <c r="AI212" s="43" t="str">
        <f>IF(VLOOKUP(AH212,βοηθητικό!$J$2:$N$354,3,FALSE)="","",VLOOKUP(AH212,βοηθητικό!$J$2:$N$354,3,FALSE))</f>
        <v>_</v>
      </c>
      <c r="AJ212" s="44"/>
      <c r="AK212" s="5" t="s">
        <v>16</v>
      </c>
      <c r="AL212" s="46" t="str">
        <f>IF(VLOOKUP(AK212,βοηθητικό!$J$2:$N$354,3,FALSE)="","",VLOOKUP(AK212,βοηθητικό!$J$2:$N$354,3,FALSE))</f>
        <v>_</v>
      </c>
      <c r="AM212" s="47"/>
      <c r="AN212" s="4" t="s">
        <v>16</v>
      </c>
      <c r="AO212" s="43" t="str">
        <f>IF(VLOOKUP(AN212,βοηθητικό!$J$2:$N$354,3,FALSE)="","",VLOOKUP(AN212,βοηθητικό!$J$2:$N$354,3,FALSE))</f>
        <v>_</v>
      </c>
      <c r="AP212" s="44"/>
      <c r="AQ212" s="5" t="s">
        <v>16</v>
      </c>
      <c r="AR212" s="46" t="str">
        <f>IF(VLOOKUP(AQ212,βοηθητικό!$J$2:$N$354,3,FALSE)="","",VLOOKUP(AQ212,βοηθητικό!$J$2:$N$354,3,FALSE))</f>
        <v>_</v>
      </c>
      <c r="AS212" s="47"/>
      <c r="AT212" s="4" t="s">
        <v>16</v>
      </c>
      <c r="AU212" s="43" t="str">
        <f>IF(VLOOKUP(AT212,βοηθητικό!$J$2:$N$354,3,FALSE)="","",VLOOKUP(AT212,βοηθητικό!$J$2:$N$354,3,FALSE))</f>
        <v>_</v>
      </c>
      <c r="AV212" s="44"/>
      <c r="AW212" s="5" t="s">
        <v>16</v>
      </c>
      <c r="AX212" s="46" t="str">
        <f>IF(VLOOKUP(AW212,βοηθητικό!$J$2:$N$354,3,FALSE)="","",VLOOKUP(AW212,βοηθητικό!$J$2:$N$354,3,FALSE))</f>
        <v>_</v>
      </c>
      <c r="AY212" s="47"/>
      <c r="AZ212" s="4" t="s">
        <v>16</v>
      </c>
      <c r="BA212" s="43" t="str">
        <f>IF(VLOOKUP(AZ212,βοηθητικό!$J$2:$N$354,3,FALSE)="","",VLOOKUP(AZ212,βοηθητικό!$J$2:$N$354,3,FALSE))</f>
        <v>_</v>
      </c>
      <c r="BB212" s="44"/>
      <c r="BC212" s="45" t="s">
        <v>16</v>
      </c>
      <c r="BD212" s="46" t="str">
        <f>IF(VLOOKUP(BC212,βοηθητικό!$J$2:$N$354,3,FALSE)="","",VLOOKUP(BC212,βοηθητικό!$J$2:$N$354,3,FALSE))</f>
        <v>_</v>
      </c>
      <c r="BE212" s="47"/>
      <c r="BF212" s="42" t="s">
        <v>16</v>
      </c>
      <c r="BG212" s="43" t="str">
        <f>IF(VLOOKUP(BF212,βοηθητικό!$J$2:$N$354,3,FALSE)="","",VLOOKUP(BF212,βοηθητικό!$J$2:$N$354,3,FALSE))</f>
        <v>_</v>
      </c>
      <c r="BH212" s="44"/>
      <c r="BI212" s="45" t="s">
        <v>16</v>
      </c>
      <c r="BJ212" s="46" t="str">
        <f>IF(VLOOKUP(BI212,βοηθητικό!$J$2:$N$354,3,FALSE)="","",VLOOKUP(BI212,βοηθητικό!$J$2:$N$354,3,FALSE))</f>
        <v>_</v>
      </c>
      <c r="BK212" s="47"/>
      <c r="BL212" s="42" t="s">
        <v>16</v>
      </c>
      <c r="BM212" s="43" t="str">
        <f>IF(VLOOKUP(BL212,βοηθητικό!$J$2:$N$354,3,FALSE)="","",VLOOKUP(BL212,βοηθητικό!$J$2:$N$354,3,FALSE))</f>
        <v>_</v>
      </c>
      <c r="BN212" s="44"/>
      <c r="BO212" s="45" t="s">
        <v>16</v>
      </c>
      <c r="BP212" s="46" t="str">
        <f>IF(VLOOKUP(BO212,βοηθητικό!$J$2:$N$354,3,FALSE)="","",VLOOKUP(BO212,βοηθητικό!$J$2:$N$354,3,FALSE))</f>
        <v>_</v>
      </c>
      <c r="BQ212" s="47"/>
      <c r="BR212" s="42" t="s">
        <v>16</v>
      </c>
      <c r="BS212" s="43" t="str">
        <f>IF(VLOOKUP(BR212,βοηθητικό!$J$2:$N$354,3,FALSE)="","",VLOOKUP(BR212,βοηθητικό!$J$2:$N$354,3,FALSE))</f>
        <v>_</v>
      </c>
      <c r="BT212" s="44"/>
      <c r="BU212" s="45" t="s">
        <v>16</v>
      </c>
      <c r="BV212" s="46" t="str">
        <f>IF(VLOOKUP(BU212,βοηθητικό!$J$2:$N$354,3,FALSE)="","",VLOOKUP(BU212,βοηθητικό!$J$2:$N$354,3,FALSE))</f>
        <v>_</v>
      </c>
      <c r="BW212" s="47"/>
      <c r="BX212" s="42" t="s">
        <v>16</v>
      </c>
      <c r="BY212" s="43" t="str">
        <f>IF(VLOOKUP(BX212,βοηθητικό!$J$2:$N$354,3,FALSE)="","",VLOOKUP(BX212,βοηθητικό!$J$2:$N$354,3,FALSE))</f>
        <v>_</v>
      </c>
      <c r="BZ212" s="44"/>
      <c r="CA212" s="45" t="s">
        <v>16</v>
      </c>
      <c r="CB212" s="46" t="str">
        <f>IF(VLOOKUP(CA212,βοηθητικό!$J$2:$N$354,3,FALSE)="","",VLOOKUP(CA212,βοηθητικό!$J$2:$N$354,3,FALSE))</f>
        <v>_</v>
      </c>
      <c r="CC212" s="47"/>
      <c r="CD212" s="42" t="s">
        <v>16</v>
      </c>
      <c r="CE212" s="43" t="str">
        <f>IF(VLOOKUP(CD212,βοηθητικό!$J$2:$N$354,3,FALSE)="","",VLOOKUP(CD212,βοηθητικό!$J$2:$N$354,3,FALSE))</f>
        <v>_</v>
      </c>
      <c r="CF212" s="44"/>
      <c r="CG212" s="45" t="s">
        <v>16</v>
      </c>
      <c r="CH212" s="46" t="str">
        <f>IF(VLOOKUP(CG212,βοηθητικό!$J$2:$N$354,3,FALSE)="","",VLOOKUP(CG212,βοηθητικό!$J$2:$N$354,3,FALSE))</f>
        <v>_</v>
      </c>
      <c r="CI212" s="47"/>
      <c r="CJ212" s="42" t="s">
        <v>16</v>
      </c>
      <c r="CK212" s="43" t="str">
        <f>IF(VLOOKUP(CJ212,βοηθητικό!$J$2:$N$354,3,FALSE)="","",VLOOKUP(CJ212,βοηθητικό!$J$2:$N$354,3,FALSE))</f>
        <v>_</v>
      </c>
      <c r="CL212" s="44"/>
      <c r="CM212" s="45" t="s">
        <v>16</v>
      </c>
      <c r="CN212" s="46" t="str">
        <f>IF(VLOOKUP(CM212,βοηθητικό!$J$2:$N$354,3,FALSE)="","",VLOOKUP(CM212,βοηθητικό!$J$2:$N$354,3,FALSE))</f>
        <v>_</v>
      </c>
      <c r="CO212" s="47"/>
      <c r="CP212" s="42" t="s">
        <v>16</v>
      </c>
      <c r="CQ212" s="43" t="str">
        <f>IF(VLOOKUP(CP212,βοηθητικό!$J$2:$N$354,3,FALSE)="","",VLOOKUP(CP212,βοηθητικό!$J$2:$N$354,3,FALSE))</f>
        <v>_</v>
      </c>
      <c r="CR212" s="44"/>
      <c r="CS212" s="45" t="s">
        <v>16</v>
      </c>
      <c r="CT212" s="46" t="str">
        <f>IF(VLOOKUP(CS212,βοηθητικό!$J$2:$N$354,3,FALSE)="","",VLOOKUP(CS212,βοηθητικό!$J$2:$N$354,3,FALSE))</f>
        <v>_</v>
      </c>
      <c r="CU212" s="47"/>
    </row>
    <row r="213" spans="1:99" x14ac:dyDescent="0.25">
      <c r="A213" s="37">
        <f>--SUBTOTAL(3,$B$3:B212)</f>
        <v>198</v>
      </c>
      <c r="B213" s="2"/>
      <c r="C213" s="3"/>
      <c r="D213" s="55" t="s">
        <v>18</v>
      </c>
      <c r="E213" s="38" t="s">
        <v>16</v>
      </c>
      <c r="F213" s="38" t="s">
        <v>16</v>
      </c>
      <c r="G213" s="39" t="str">
        <f t="shared" si="11"/>
        <v>__</v>
      </c>
      <c r="H213" s="40" t="str">
        <f t="shared" si="12"/>
        <v>FALSE</v>
      </c>
      <c r="I213" s="41">
        <f t="shared" si="13"/>
        <v>0</v>
      </c>
      <c r="J213" s="4" t="s">
        <v>16</v>
      </c>
      <c r="K213" s="43" t="str">
        <f>IF(VLOOKUP(J213,βοηθητικό!$J$2:$N$354,3,FALSE)="","",VLOOKUP(J213,βοηθητικό!$J$2:$N$354,3,FALSE))</f>
        <v>_</v>
      </c>
      <c r="L213" s="44"/>
      <c r="M213" s="5" t="s">
        <v>16</v>
      </c>
      <c r="N213" s="46" t="str">
        <f>IF(VLOOKUP(M213,βοηθητικό!$J$2:$N$354,3,FALSE)="","",VLOOKUP(M213,βοηθητικό!$J$2:$N$354,3,FALSE))</f>
        <v>_</v>
      </c>
      <c r="O213" s="47"/>
      <c r="P213" s="4" t="s">
        <v>16</v>
      </c>
      <c r="Q213" s="43" t="str">
        <f>IF(VLOOKUP(P213,βοηθητικό!$J$2:$N$354,3,FALSE)="","",VLOOKUP(P213,βοηθητικό!$J$2:$N$354,3,FALSE))</f>
        <v>_</v>
      </c>
      <c r="R213" s="44"/>
      <c r="S213" s="5" t="s">
        <v>16</v>
      </c>
      <c r="T213" s="46" t="str">
        <f>IF(VLOOKUP(S213,βοηθητικό!$J$2:$N$354,3,FALSE)="","",VLOOKUP(S213,βοηθητικό!$J$2:$N$354,3,FALSE))</f>
        <v>_</v>
      </c>
      <c r="U213" s="47"/>
      <c r="V213" s="4" t="s">
        <v>16</v>
      </c>
      <c r="W213" s="43" t="str">
        <f>IF(VLOOKUP(V213,βοηθητικό!$J$2:$N$354,3,FALSE)="","",VLOOKUP(V213,βοηθητικό!$J$2:$N$354,3,FALSE))</f>
        <v>_</v>
      </c>
      <c r="X213" s="44"/>
      <c r="Y213" s="5" t="s">
        <v>16</v>
      </c>
      <c r="Z213" s="46" t="str">
        <f>IF(VLOOKUP(Y213,βοηθητικό!$J$2:$N$354,3,FALSE)="","",VLOOKUP(Y213,βοηθητικό!$J$2:$N$354,3,FALSE))</f>
        <v>_</v>
      </c>
      <c r="AA213" s="47"/>
      <c r="AB213" s="4" t="s">
        <v>16</v>
      </c>
      <c r="AC213" s="43" t="str">
        <f>IF(VLOOKUP(AB213,βοηθητικό!$J$2:$N$354,3,FALSE)="","",VLOOKUP(AB213,βοηθητικό!$J$2:$N$354,3,FALSE))</f>
        <v>_</v>
      </c>
      <c r="AD213" s="44"/>
      <c r="AE213" s="5" t="s">
        <v>16</v>
      </c>
      <c r="AF213" s="46" t="str">
        <f>IF(VLOOKUP(AE213,βοηθητικό!$J$2:$N$354,3,FALSE)="","",VLOOKUP(AE213,βοηθητικό!$J$2:$N$354,3,FALSE))</f>
        <v>_</v>
      </c>
      <c r="AG213" s="47"/>
      <c r="AH213" s="4" t="s">
        <v>16</v>
      </c>
      <c r="AI213" s="43" t="str">
        <f>IF(VLOOKUP(AH213,βοηθητικό!$J$2:$N$354,3,FALSE)="","",VLOOKUP(AH213,βοηθητικό!$J$2:$N$354,3,FALSE))</f>
        <v>_</v>
      </c>
      <c r="AJ213" s="44"/>
      <c r="AK213" s="5" t="s">
        <v>16</v>
      </c>
      <c r="AL213" s="46" t="str">
        <f>IF(VLOOKUP(AK213,βοηθητικό!$J$2:$N$354,3,FALSE)="","",VLOOKUP(AK213,βοηθητικό!$J$2:$N$354,3,FALSE))</f>
        <v>_</v>
      </c>
      <c r="AM213" s="47"/>
      <c r="AN213" s="4" t="s">
        <v>16</v>
      </c>
      <c r="AO213" s="43" t="str">
        <f>IF(VLOOKUP(AN213,βοηθητικό!$J$2:$N$354,3,FALSE)="","",VLOOKUP(AN213,βοηθητικό!$J$2:$N$354,3,FALSE))</f>
        <v>_</v>
      </c>
      <c r="AP213" s="44"/>
      <c r="AQ213" s="5" t="s">
        <v>16</v>
      </c>
      <c r="AR213" s="46" t="str">
        <f>IF(VLOOKUP(AQ213,βοηθητικό!$J$2:$N$354,3,FALSE)="","",VLOOKUP(AQ213,βοηθητικό!$J$2:$N$354,3,FALSE))</f>
        <v>_</v>
      </c>
      <c r="AS213" s="47"/>
      <c r="AT213" s="4" t="s">
        <v>16</v>
      </c>
      <c r="AU213" s="43" t="str">
        <f>IF(VLOOKUP(AT213,βοηθητικό!$J$2:$N$354,3,FALSE)="","",VLOOKUP(AT213,βοηθητικό!$J$2:$N$354,3,FALSE))</f>
        <v>_</v>
      </c>
      <c r="AV213" s="44"/>
      <c r="AW213" s="5" t="s">
        <v>16</v>
      </c>
      <c r="AX213" s="46" t="str">
        <f>IF(VLOOKUP(AW213,βοηθητικό!$J$2:$N$354,3,FALSE)="","",VLOOKUP(AW213,βοηθητικό!$J$2:$N$354,3,FALSE))</f>
        <v>_</v>
      </c>
      <c r="AY213" s="47"/>
      <c r="AZ213" s="4" t="s">
        <v>16</v>
      </c>
      <c r="BA213" s="43" t="str">
        <f>IF(VLOOKUP(AZ213,βοηθητικό!$J$2:$N$354,3,FALSE)="","",VLOOKUP(AZ213,βοηθητικό!$J$2:$N$354,3,FALSE))</f>
        <v>_</v>
      </c>
      <c r="BB213" s="44"/>
      <c r="BC213" s="45" t="s">
        <v>16</v>
      </c>
      <c r="BD213" s="46" t="str">
        <f>IF(VLOOKUP(BC213,βοηθητικό!$J$2:$N$354,3,FALSE)="","",VLOOKUP(BC213,βοηθητικό!$J$2:$N$354,3,FALSE))</f>
        <v>_</v>
      </c>
      <c r="BE213" s="47"/>
      <c r="BF213" s="42" t="s">
        <v>16</v>
      </c>
      <c r="BG213" s="43" t="str">
        <f>IF(VLOOKUP(BF213,βοηθητικό!$J$2:$N$354,3,FALSE)="","",VLOOKUP(BF213,βοηθητικό!$J$2:$N$354,3,FALSE))</f>
        <v>_</v>
      </c>
      <c r="BH213" s="44"/>
      <c r="BI213" s="45" t="s">
        <v>16</v>
      </c>
      <c r="BJ213" s="46" t="str">
        <f>IF(VLOOKUP(BI213,βοηθητικό!$J$2:$N$354,3,FALSE)="","",VLOOKUP(BI213,βοηθητικό!$J$2:$N$354,3,FALSE))</f>
        <v>_</v>
      </c>
      <c r="BK213" s="47"/>
      <c r="BL213" s="42" t="s">
        <v>16</v>
      </c>
      <c r="BM213" s="43" t="str">
        <f>IF(VLOOKUP(BL213,βοηθητικό!$J$2:$N$354,3,FALSE)="","",VLOOKUP(BL213,βοηθητικό!$J$2:$N$354,3,FALSE))</f>
        <v>_</v>
      </c>
      <c r="BN213" s="44"/>
      <c r="BO213" s="45" t="s">
        <v>16</v>
      </c>
      <c r="BP213" s="46" t="str">
        <f>IF(VLOOKUP(BO213,βοηθητικό!$J$2:$N$354,3,FALSE)="","",VLOOKUP(BO213,βοηθητικό!$J$2:$N$354,3,FALSE))</f>
        <v>_</v>
      </c>
      <c r="BQ213" s="47"/>
      <c r="BR213" s="42" t="s">
        <v>16</v>
      </c>
      <c r="BS213" s="43" t="str">
        <f>IF(VLOOKUP(BR213,βοηθητικό!$J$2:$N$354,3,FALSE)="","",VLOOKUP(BR213,βοηθητικό!$J$2:$N$354,3,FALSE))</f>
        <v>_</v>
      </c>
      <c r="BT213" s="44"/>
      <c r="BU213" s="45" t="s">
        <v>16</v>
      </c>
      <c r="BV213" s="46" t="str">
        <f>IF(VLOOKUP(BU213,βοηθητικό!$J$2:$N$354,3,FALSE)="","",VLOOKUP(BU213,βοηθητικό!$J$2:$N$354,3,FALSE))</f>
        <v>_</v>
      </c>
      <c r="BW213" s="47"/>
      <c r="BX213" s="42" t="s">
        <v>16</v>
      </c>
      <c r="BY213" s="43" t="str">
        <f>IF(VLOOKUP(BX213,βοηθητικό!$J$2:$N$354,3,FALSE)="","",VLOOKUP(BX213,βοηθητικό!$J$2:$N$354,3,FALSE))</f>
        <v>_</v>
      </c>
      <c r="BZ213" s="44"/>
      <c r="CA213" s="45" t="s">
        <v>16</v>
      </c>
      <c r="CB213" s="46" t="str">
        <f>IF(VLOOKUP(CA213,βοηθητικό!$J$2:$N$354,3,FALSE)="","",VLOOKUP(CA213,βοηθητικό!$J$2:$N$354,3,FALSE))</f>
        <v>_</v>
      </c>
      <c r="CC213" s="47"/>
      <c r="CD213" s="42" t="s">
        <v>16</v>
      </c>
      <c r="CE213" s="43" t="str">
        <f>IF(VLOOKUP(CD213,βοηθητικό!$J$2:$N$354,3,FALSE)="","",VLOOKUP(CD213,βοηθητικό!$J$2:$N$354,3,FALSE))</f>
        <v>_</v>
      </c>
      <c r="CF213" s="44"/>
      <c r="CG213" s="45" t="s">
        <v>16</v>
      </c>
      <c r="CH213" s="46" t="str">
        <f>IF(VLOOKUP(CG213,βοηθητικό!$J$2:$N$354,3,FALSE)="","",VLOOKUP(CG213,βοηθητικό!$J$2:$N$354,3,FALSE))</f>
        <v>_</v>
      </c>
      <c r="CI213" s="47"/>
      <c r="CJ213" s="42" t="s">
        <v>16</v>
      </c>
      <c r="CK213" s="43" t="str">
        <f>IF(VLOOKUP(CJ213,βοηθητικό!$J$2:$N$354,3,FALSE)="","",VLOOKUP(CJ213,βοηθητικό!$J$2:$N$354,3,FALSE))</f>
        <v>_</v>
      </c>
      <c r="CL213" s="44"/>
      <c r="CM213" s="45" t="s">
        <v>16</v>
      </c>
      <c r="CN213" s="46" t="str">
        <f>IF(VLOOKUP(CM213,βοηθητικό!$J$2:$N$354,3,FALSE)="","",VLOOKUP(CM213,βοηθητικό!$J$2:$N$354,3,FALSE))</f>
        <v>_</v>
      </c>
      <c r="CO213" s="47"/>
      <c r="CP213" s="42" t="s">
        <v>16</v>
      </c>
      <c r="CQ213" s="43" t="str">
        <f>IF(VLOOKUP(CP213,βοηθητικό!$J$2:$N$354,3,FALSE)="","",VLOOKUP(CP213,βοηθητικό!$J$2:$N$354,3,FALSE))</f>
        <v>_</v>
      </c>
      <c r="CR213" s="44"/>
      <c r="CS213" s="45" t="s">
        <v>16</v>
      </c>
      <c r="CT213" s="46" t="str">
        <f>IF(VLOOKUP(CS213,βοηθητικό!$J$2:$N$354,3,FALSE)="","",VLOOKUP(CS213,βοηθητικό!$J$2:$N$354,3,FALSE))</f>
        <v>_</v>
      </c>
      <c r="CU213" s="47"/>
    </row>
    <row r="214" spans="1:99" x14ac:dyDescent="0.25">
      <c r="A214" s="37">
        <f>--SUBTOTAL(3,$B$3:B213)</f>
        <v>198</v>
      </c>
      <c r="B214" s="2"/>
      <c r="C214" s="3"/>
      <c r="D214" s="55" t="s">
        <v>18</v>
      </c>
      <c r="E214" s="38" t="s">
        <v>16</v>
      </c>
      <c r="F214" s="38" t="s">
        <v>16</v>
      </c>
      <c r="G214" s="39" t="str">
        <f t="shared" si="11"/>
        <v>__</v>
      </c>
      <c r="H214" s="40" t="str">
        <f t="shared" si="12"/>
        <v>FALSE</v>
      </c>
      <c r="I214" s="41">
        <f t="shared" si="13"/>
        <v>0</v>
      </c>
      <c r="J214" s="4" t="s">
        <v>16</v>
      </c>
      <c r="K214" s="43" t="str">
        <f>IF(VLOOKUP(J214,βοηθητικό!$J$2:$N$354,3,FALSE)="","",VLOOKUP(J214,βοηθητικό!$J$2:$N$354,3,FALSE))</f>
        <v>_</v>
      </c>
      <c r="L214" s="44"/>
      <c r="M214" s="5" t="s">
        <v>16</v>
      </c>
      <c r="N214" s="46" t="str">
        <f>IF(VLOOKUP(M214,βοηθητικό!$J$2:$N$354,3,FALSE)="","",VLOOKUP(M214,βοηθητικό!$J$2:$N$354,3,FALSE))</f>
        <v>_</v>
      </c>
      <c r="O214" s="47"/>
      <c r="P214" s="4" t="s">
        <v>16</v>
      </c>
      <c r="Q214" s="43" t="str">
        <f>IF(VLOOKUP(P214,βοηθητικό!$J$2:$N$354,3,FALSE)="","",VLOOKUP(P214,βοηθητικό!$J$2:$N$354,3,FALSE))</f>
        <v>_</v>
      </c>
      <c r="R214" s="44"/>
      <c r="S214" s="5" t="s">
        <v>16</v>
      </c>
      <c r="T214" s="46" t="str">
        <f>IF(VLOOKUP(S214,βοηθητικό!$J$2:$N$354,3,FALSE)="","",VLOOKUP(S214,βοηθητικό!$J$2:$N$354,3,FALSE))</f>
        <v>_</v>
      </c>
      <c r="U214" s="47"/>
      <c r="V214" s="4" t="s">
        <v>16</v>
      </c>
      <c r="W214" s="43" t="str">
        <f>IF(VLOOKUP(V214,βοηθητικό!$J$2:$N$354,3,FALSE)="","",VLOOKUP(V214,βοηθητικό!$J$2:$N$354,3,FALSE))</f>
        <v>_</v>
      </c>
      <c r="X214" s="44"/>
      <c r="Y214" s="5" t="s">
        <v>16</v>
      </c>
      <c r="Z214" s="46" t="str">
        <f>IF(VLOOKUP(Y214,βοηθητικό!$J$2:$N$354,3,FALSE)="","",VLOOKUP(Y214,βοηθητικό!$J$2:$N$354,3,FALSE))</f>
        <v>_</v>
      </c>
      <c r="AA214" s="47"/>
      <c r="AB214" s="4" t="s">
        <v>16</v>
      </c>
      <c r="AC214" s="43" t="str">
        <f>IF(VLOOKUP(AB214,βοηθητικό!$J$2:$N$354,3,FALSE)="","",VLOOKUP(AB214,βοηθητικό!$J$2:$N$354,3,FALSE))</f>
        <v>_</v>
      </c>
      <c r="AD214" s="44"/>
      <c r="AE214" s="5" t="s">
        <v>16</v>
      </c>
      <c r="AF214" s="46" t="str">
        <f>IF(VLOOKUP(AE214,βοηθητικό!$J$2:$N$354,3,FALSE)="","",VLOOKUP(AE214,βοηθητικό!$J$2:$N$354,3,FALSE))</f>
        <v>_</v>
      </c>
      <c r="AG214" s="47"/>
      <c r="AH214" s="4" t="s">
        <v>16</v>
      </c>
      <c r="AI214" s="43" t="str">
        <f>IF(VLOOKUP(AH214,βοηθητικό!$J$2:$N$354,3,FALSE)="","",VLOOKUP(AH214,βοηθητικό!$J$2:$N$354,3,FALSE))</f>
        <v>_</v>
      </c>
      <c r="AJ214" s="44"/>
      <c r="AK214" s="5" t="s">
        <v>16</v>
      </c>
      <c r="AL214" s="46" t="str">
        <f>IF(VLOOKUP(AK214,βοηθητικό!$J$2:$N$354,3,FALSE)="","",VLOOKUP(AK214,βοηθητικό!$J$2:$N$354,3,FALSE))</f>
        <v>_</v>
      </c>
      <c r="AM214" s="47"/>
      <c r="AN214" s="4" t="s">
        <v>16</v>
      </c>
      <c r="AO214" s="43" t="str">
        <f>IF(VLOOKUP(AN214,βοηθητικό!$J$2:$N$354,3,FALSE)="","",VLOOKUP(AN214,βοηθητικό!$J$2:$N$354,3,FALSE))</f>
        <v>_</v>
      </c>
      <c r="AP214" s="44"/>
      <c r="AQ214" s="5" t="s">
        <v>16</v>
      </c>
      <c r="AR214" s="46" t="str">
        <f>IF(VLOOKUP(AQ214,βοηθητικό!$J$2:$N$354,3,FALSE)="","",VLOOKUP(AQ214,βοηθητικό!$J$2:$N$354,3,FALSE))</f>
        <v>_</v>
      </c>
      <c r="AS214" s="47"/>
      <c r="AT214" s="4" t="s">
        <v>16</v>
      </c>
      <c r="AU214" s="43" t="str">
        <f>IF(VLOOKUP(AT214,βοηθητικό!$J$2:$N$354,3,FALSE)="","",VLOOKUP(AT214,βοηθητικό!$J$2:$N$354,3,FALSE))</f>
        <v>_</v>
      </c>
      <c r="AV214" s="44"/>
      <c r="AW214" s="5" t="s">
        <v>16</v>
      </c>
      <c r="AX214" s="46" t="str">
        <f>IF(VLOOKUP(AW214,βοηθητικό!$J$2:$N$354,3,FALSE)="","",VLOOKUP(AW214,βοηθητικό!$J$2:$N$354,3,FALSE))</f>
        <v>_</v>
      </c>
      <c r="AY214" s="47"/>
      <c r="AZ214" s="4" t="s">
        <v>16</v>
      </c>
      <c r="BA214" s="43" t="str">
        <f>IF(VLOOKUP(AZ214,βοηθητικό!$J$2:$N$354,3,FALSE)="","",VLOOKUP(AZ214,βοηθητικό!$J$2:$N$354,3,FALSE))</f>
        <v>_</v>
      </c>
      <c r="BB214" s="44"/>
      <c r="BC214" s="45" t="s">
        <v>16</v>
      </c>
      <c r="BD214" s="46" t="str">
        <f>IF(VLOOKUP(BC214,βοηθητικό!$J$2:$N$354,3,FALSE)="","",VLOOKUP(BC214,βοηθητικό!$J$2:$N$354,3,FALSE))</f>
        <v>_</v>
      </c>
      <c r="BE214" s="47"/>
      <c r="BF214" s="42" t="s">
        <v>16</v>
      </c>
      <c r="BG214" s="43" t="str">
        <f>IF(VLOOKUP(BF214,βοηθητικό!$J$2:$N$354,3,FALSE)="","",VLOOKUP(BF214,βοηθητικό!$J$2:$N$354,3,FALSE))</f>
        <v>_</v>
      </c>
      <c r="BH214" s="44"/>
      <c r="BI214" s="45" t="s">
        <v>16</v>
      </c>
      <c r="BJ214" s="46" t="str">
        <f>IF(VLOOKUP(BI214,βοηθητικό!$J$2:$N$354,3,FALSE)="","",VLOOKUP(BI214,βοηθητικό!$J$2:$N$354,3,FALSE))</f>
        <v>_</v>
      </c>
      <c r="BK214" s="47"/>
      <c r="BL214" s="42" t="s">
        <v>16</v>
      </c>
      <c r="BM214" s="43" t="str">
        <f>IF(VLOOKUP(BL214,βοηθητικό!$J$2:$N$354,3,FALSE)="","",VLOOKUP(BL214,βοηθητικό!$J$2:$N$354,3,FALSE))</f>
        <v>_</v>
      </c>
      <c r="BN214" s="44"/>
      <c r="BO214" s="45" t="s">
        <v>16</v>
      </c>
      <c r="BP214" s="46" t="str">
        <f>IF(VLOOKUP(BO214,βοηθητικό!$J$2:$N$354,3,FALSE)="","",VLOOKUP(BO214,βοηθητικό!$J$2:$N$354,3,FALSE))</f>
        <v>_</v>
      </c>
      <c r="BQ214" s="47"/>
      <c r="BR214" s="42" t="s">
        <v>16</v>
      </c>
      <c r="BS214" s="43" t="str">
        <f>IF(VLOOKUP(BR214,βοηθητικό!$J$2:$N$354,3,FALSE)="","",VLOOKUP(BR214,βοηθητικό!$J$2:$N$354,3,FALSE))</f>
        <v>_</v>
      </c>
      <c r="BT214" s="44"/>
      <c r="BU214" s="45" t="s">
        <v>16</v>
      </c>
      <c r="BV214" s="46" t="str">
        <f>IF(VLOOKUP(BU214,βοηθητικό!$J$2:$N$354,3,FALSE)="","",VLOOKUP(BU214,βοηθητικό!$J$2:$N$354,3,FALSE))</f>
        <v>_</v>
      </c>
      <c r="BW214" s="47"/>
      <c r="BX214" s="42" t="s">
        <v>16</v>
      </c>
      <c r="BY214" s="43" t="str">
        <f>IF(VLOOKUP(BX214,βοηθητικό!$J$2:$N$354,3,FALSE)="","",VLOOKUP(BX214,βοηθητικό!$J$2:$N$354,3,FALSE))</f>
        <v>_</v>
      </c>
      <c r="BZ214" s="44"/>
      <c r="CA214" s="45" t="s">
        <v>16</v>
      </c>
      <c r="CB214" s="46" t="str">
        <f>IF(VLOOKUP(CA214,βοηθητικό!$J$2:$N$354,3,FALSE)="","",VLOOKUP(CA214,βοηθητικό!$J$2:$N$354,3,FALSE))</f>
        <v>_</v>
      </c>
      <c r="CC214" s="47"/>
      <c r="CD214" s="42" t="s">
        <v>16</v>
      </c>
      <c r="CE214" s="43" t="str">
        <f>IF(VLOOKUP(CD214,βοηθητικό!$J$2:$N$354,3,FALSE)="","",VLOOKUP(CD214,βοηθητικό!$J$2:$N$354,3,FALSE))</f>
        <v>_</v>
      </c>
      <c r="CF214" s="44"/>
      <c r="CG214" s="45" t="s">
        <v>16</v>
      </c>
      <c r="CH214" s="46" t="str">
        <f>IF(VLOOKUP(CG214,βοηθητικό!$J$2:$N$354,3,FALSE)="","",VLOOKUP(CG214,βοηθητικό!$J$2:$N$354,3,FALSE))</f>
        <v>_</v>
      </c>
      <c r="CI214" s="47"/>
      <c r="CJ214" s="42" t="s">
        <v>16</v>
      </c>
      <c r="CK214" s="43" t="str">
        <f>IF(VLOOKUP(CJ214,βοηθητικό!$J$2:$N$354,3,FALSE)="","",VLOOKUP(CJ214,βοηθητικό!$J$2:$N$354,3,FALSE))</f>
        <v>_</v>
      </c>
      <c r="CL214" s="44"/>
      <c r="CM214" s="45" t="s">
        <v>16</v>
      </c>
      <c r="CN214" s="46" t="str">
        <f>IF(VLOOKUP(CM214,βοηθητικό!$J$2:$N$354,3,FALSE)="","",VLOOKUP(CM214,βοηθητικό!$J$2:$N$354,3,FALSE))</f>
        <v>_</v>
      </c>
      <c r="CO214" s="47"/>
      <c r="CP214" s="42" t="s">
        <v>16</v>
      </c>
      <c r="CQ214" s="43" t="str">
        <f>IF(VLOOKUP(CP214,βοηθητικό!$J$2:$N$354,3,FALSE)="","",VLOOKUP(CP214,βοηθητικό!$J$2:$N$354,3,FALSE))</f>
        <v>_</v>
      </c>
      <c r="CR214" s="44"/>
      <c r="CS214" s="45" t="s">
        <v>16</v>
      </c>
      <c r="CT214" s="46" t="str">
        <f>IF(VLOOKUP(CS214,βοηθητικό!$J$2:$N$354,3,FALSE)="","",VLOOKUP(CS214,βοηθητικό!$J$2:$N$354,3,FALSE))</f>
        <v>_</v>
      </c>
      <c r="CU214" s="47"/>
    </row>
    <row r="215" spans="1:99" x14ac:dyDescent="0.25">
      <c r="A215" s="37">
        <f>--SUBTOTAL(3,$B$3:B214)</f>
        <v>198</v>
      </c>
      <c r="B215" s="2"/>
      <c r="C215" s="3"/>
      <c r="D215" s="55" t="s">
        <v>18</v>
      </c>
      <c r="E215" s="38" t="s">
        <v>16</v>
      </c>
      <c r="F215" s="38" t="s">
        <v>16</v>
      </c>
      <c r="G215" s="39" t="str">
        <f t="shared" si="11"/>
        <v>__</v>
      </c>
      <c r="H215" s="40" t="str">
        <f t="shared" si="12"/>
        <v>FALSE</v>
      </c>
      <c r="I215" s="41">
        <f t="shared" si="13"/>
        <v>0</v>
      </c>
      <c r="J215" s="4" t="s">
        <v>16</v>
      </c>
      <c r="K215" s="43" t="str">
        <f>IF(VLOOKUP(J215,βοηθητικό!$J$2:$N$354,3,FALSE)="","",VLOOKUP(J215,βοηθητικό!$J$2:$N$354,3,FALSE))</f>
        <v>_</v>
      </c>
      <c r="L215" s="44"/>
      <c r="M215" s="5" t="s">
        <v>16</v>
      </c>
      <c r="N215" s="46" t="str">
        <f>IF(VLOOKUP(M215,βοηθητικό!$J$2:$N$354,3,FALSE)="","",VLOOKUP(M215,βοηθητικό!$J$2:$N$354,3,FALSE))</f>
        <v>_</v>
      </c>
      <c r="O215" s="47"/>
      <c r="P215" s="4" t="s">
        <v>16</v>
      </c>
      <c r="Q215" s="43" t="str">
        <f>IF(VLOOKUP(P215,βοηθητικό!$J$2:$N$354,3,FALSE)="","",VLOOKUP(P215,βοηθητικό!$J$2:$N$354,3,FALSE))</f>
        <v>_</v>
      </c>
      <c r="R215" s="44"/>
      <c r="S215" s="5" t="s">
        <v>16</v>
      </c>
      <c r="T215" s="46" t="str">
        <f>IF(VLOOKUP(S215,βοηθητικό!$J$2:$N$354,3,FALSE)="","",VLOOKUP(S215,βοηθητικό!$J$2:$N$354,3,FALSE))</f>
        <v>_</v>
      </c>
      <c r="U215" s="47"/>
      <c r="V215" s="4" t="s">
        <v>16</v>
      </c>
      <c r="W215" s="43" t="str">
        <f>IF(VLOOKUP(V215,βοηθητικό!$J$2:$N$354,3,FALSE)="","",VLOOKUP(V215,βοηθητικό!$J$2:$N$354,3,FALSE))</f>
        <v>_</v>
      </c>
      <c r="X215" s="44"/>
      <c r="Y215" s="5" t="s">
        <v>16</v>
      </c>
      <c r="Z215" s="46" t="str">
        <f>IF(VLOOKUP(Y215,βοηθητικό!$J$2:$N$354,3,FALSE)="","",VLOOKUP(Y215,βοηθητικό!$J$2:$N$354,3,FALSE))</f>
        <v>_</v>
      </c>
      <c r="AA215" s="47"/>
      <c r="AB215" s="4" t="s">
        <v>16</v>
      </c>
      <c r="AC215" s="43" t="str">
        <f>IF(VLOOKUP(AB215,βοηθητικό!$J$2:$N$354,3,FALSE)="","",VLOOKUP(AB215,βοηθητικό!$J$2:$N$354,3,FALSE))</f>
        <v>_</v>
      </c>
      <c r="AD215" s="44"/>
      <c r="AE215" s="5" t="s">
        <v>16</v>
      </c>
      <c r="AF215" s="46" t="str">
        <f>IF(VLOOKUP(AE215,βοηθητικό!$J$2:$N$354,3,FALSE)="","",VLOOKUP(AE215,βοηθητικό!$J$2:$N$354,3,FALSE))</f>
        <v>_</v>
      </c>
      <c r="AG215" s="47"/>
      <c r="AH215" s="4" t="s">
        <v>16</v>
      </c>
      <c r="AI215" s="43" t="str">
        <f>IF(VLOOKUP(AH215,βοηθητικό!$J$2:$N$354,3,FALSE)="","",VLOOKUP(AH215,βοηθητικό!$J$2:$N$354,3,FALSE))</f>
        <v>_</v>
      </c>
      <c r="AJ215" s="44"/>
      <c r="AK215" s="5" t="s">
        <v>16</v>
      </c>
      <c r="AL215" s="46" t="str">
        <f>IF(VLOOKUP(AK215,βοηθητικό!$J$2:$N$354,3,FALSE)="","",VLOOKUP(AK215,βοηθητικό!$J$2:$N$354,3,FALSE))</f>
        <v>_</v>
      </c>
      <c r="AM215" s="47"/>
      <c r="AN215" s="4" t="s">
        <v>16</v>
      </c>
      <c r="AO215" s="43" t="str">
        <f>IF(VLOOKUP(AN215,βοηθητικό!$J$2:$N$354,3,FALSE)="","",VLOOKUP(AN215,βοηθητικό!$J$2:$N$354,3,FALSE))</f>
        <v>_</v>
      </c>
      <c r="AP215" s="44"/>
      <c r="AQ215" s="5" t="s">
        <v>16</v>
      </c>
      <c r="AR215" s="46" t="str">
        <f>IF(VLOOKUP(AQ215,βοηθητικό!$J$2:$N$354,3,FALSE)="","",VLOOKUP(AQ215,βοηθητικό!$J$2:$N$354,3,FALSE))</f>
        <v>_</v>
      </c>
      <c r="AS215" s="47"/>
      <c r="AT215" s="4" t="s">
        <v>16</v>
      </c>
      <c r="AU215" s="43" t="str">
        <f>IF(VLOOKUP(AT215,βοηθητικό!$J$2:$N$354,3,FALSE)="","",VLOOKUP(AT215,βοηθητικό!$J$2:$N$354,3,FALSE))</f>
        <v>_</v>
      </c>
      <c r="AV215" s="44"/>
      <c r="AW215" s="5" t="s">
        <v>16</v>
      </c>
      <c r="AX215" s="46" t="str">
        <f>IF(VLOOKUP(AW215,βοηθητικό!$J$2:$N$354,3,FALSE)="","",VLOOKUP(AW215,βοηθητικό!$J$2:$N$354,3,FALSE))</f>
        <v>_</v>
      </c>
      <c r="AY215" s="47"/>
      <c r="AZ215" s="4" t="s">
        <v>16</v>
      </c>
      <c r="BA215" s="43" t="str">
        <f>IF(VLOOKUP(AZ215,βοηθητικό!$J$2:$N$354,3,FALSE)="","",VLOOKUP(AZ215,βοηθητικό!$J$2:$N$354,3,FALSE))</f>
        <v>_</v>
      </c>
      <c r="BB215" s="44"/>
      <c r="BC215" s="45" t="s">
        <v>16</v>
      </c>
      <c r="BD215" s="46" t="str">
        <f>IF(VLOOKUP(BC215,βοηθητικό!$J$2:$N$354,3,FALSE)="","",VLOOKUP(BC215,βοηθητικό!$J$2:$N$354,3,FALSE))</f>
        <v>_</v>
      </c>
      <c r="BE215" s="47"/>
      <c r="BF215" s="42" t="s">
        <v>16</v>
      </c>
      <c r="BG215" s="43" t="str">
        <f>IF(VLOOKUP(BF215,βοηθητικό!$J$2:$N$354,3,FALSE)="","",VLOOKUP(BF215,βοηθητικό!$J$2:$N$354,3,FALSE))</f>
        <v>_</v>
      </c>
      <c r="BH215" s="44"/>
      <c r="BI215" s="45" t="s">
        <v>16</v>
      </c>
      <c r="BJ215" s="46" t="str">
        <f>IF(VLOOKUP(BI215,βοηθητικό!$J$2:$N$354,3,FALSE)="","",VLOOKUP(BI215,βοηθητικό!$J$2:$N$354,3,FALSE))</f>
        <v>_</v>
      </c>
      <c r="BK215" s="47"/>
      <c r="BL215" s="42" t="s">
        <v>16</v>
      </c>
      <c r="BM215" s="43" t="str">
        <f>IF(VLOOKUP(BL215,βοηθητικό!$J$2:$N$354,3,FALSE)="","",VLOOKUP(BL215,βοηθητικό!$J$2:$N$354,3,FALSE))</f>
        <v>_</v>
      </c>
      <c r="BN215" s="44"/>
      <c r="BO215" s="45" t="s">
        <v>16</v>
      </c>
      <c r="BP215" s="46" t="str">
        <f>IF(VLOOKUP(BO215,βοηθητικό!$J$2:$N$354,3,FALSE)="","",VLOOKUP(BO215,βοηθητικό!$J$2:$N$354,3,FALSE))</f>
        <v>_</v>
      </c>
      <c r="BQ215" s="47"/>
      <c r="BR215" s="42" t="s">
        <v>16</v>
      </c>
      <c r="BS215" s="43" t="str">
        <f>IF(VLOOKUP(BR215,βοηθητικό!$J$2:$N$354,3,FALSE)="","",VLOOKUP(BR215,βοηθητικό!$J$2:$N$354,3,FALSE))</f>
        <v>_</v>
      </c>
      <c r="BT215" s="44"/>
      <c r="BU215" s="45" t="s">
        <v>16</v>
      </c>
      <c r="BV215" s="46" t="str">
        <f>IF(VLOOKUP(BU215,βοηθητικό!$J$2:$N$354,3,FALSE)="","",VLOOKUP(BU215,βοηθητικό!$J$2:$N$354,3,FALSE))</f>
        <v>_</v>
      </c>
      <c r="BW215" s="47"/>
      <c r="BX215" s="42" t="s">
        <v>16</v>
      </c>
      <c r="BY215" s="43" t="str">
        <f>IF(VLOOKUP(BX215,βοηθητικό!$J$2:$N$354,3,FALSE)="","",VLOOKUP(BX215,βοηθητικό!$J$2:$N$354,3,FALSE))</f>
        <v>_</v>
      </c>
      <c r="BZ215" s="44"/>
      <c r="CA215" s="45" t="s">
        <v>16</v>
      </c>
      <c r="CB215" s="46" t="str">
        <f>IF(VLOOKUP(CA215,βοηθητικό!$J$2:$N$354,3,FALSE)="","",VLOOKUP(CA215,βοηθητικό!$J$2:$N$354,3,FALSE))</f>
        <v>_</v>
      </c>
      <c r="CC215" s="47"/>
      <c r="CD215" s="42" t="s">
        <v>16</v>
      </c>
      <c r="CE215" s="43" t="str">
        <f>IF(VLOOKUP(CD215,βοηθητικό!$J$2:$N$354,3,FALSE)="","",VLOOKUP(CD215,βοηθητικό!$J$2:$N$354,3,FALSE))</f>
        <v>_</v>
      </c>
      <c r="CF215" s="44"/>
      <c r="CG215" s="45" t="s">
        <v>16</v>
      </c>
      <c r="CH215" s="46" t="str">
        <f>IF(VLOOKUP(CG215,βοηθητικό!$J$2:$N$354,3,FALSE)="","",VLOOKUP(CG215,βοηθητικό!$J$2:$N$354,3,FALSE))</f>
        <v>_</v>
      </c>
      <c r="CI215" s="47"/>
      <c r="CJ215" s="42" t="s">
        <v>16</v>
      </c>
      <c r="CK215" s="43" t="str">
        <f>IF(VLOOKUP(CJ215,βοηθητικό!$J$2:$N$354,3,FALSE)="","",VLOOKUP(CJ215,βοηθητικό!$J$2:$N$354,3,FALSE))</f>
        <v>_</v>
      </c>
      <c r="CL215" s="44"/>
      <c r="CM215" s="45" t="s">
        <v>16</v>
      </c>
      <c r="CN215" s="46" t="str">
        <f>IF(VLOOKUP(CM215,βοηθητικό!$J$2:$N$354,3,FALSE)="","",VLOOKUP(CM215,βοηθητικό!$J$2:$N$354,3,FALSE))</f>
        <v>_</v>
      </c>
      <c r="CO215" s="47"/>
      <c r="CP215" s="42" t="s">
        <v>16</v>
      </c>
      <c r="CQ215" s="43" t="str">
        <f>IF(VLOOKUP(CP215,βοηθητικό!$J$2:$N$354,3,FALSE)="","",VLOOKUP(CP215,βοηθητικό!$J$2:$N$354,3,FALSE))</f>
        <v>_</v>
      </c>
      <c r="CR215" s="44"/>
      <c r="CS215" s="45" t="s">
        <v>16</v>
      </c>
      <c r="CT215" s="46" t="str">
        <f>IF(VLOOKUP(CS215,βοηθητικό!$J$2:$N$354,3,FALSE)="","",VLOOKUP(CS215,βοηθητικό!$J$2:$N$354,3,FALSE))</f>
        <v>_</v>
      </c>
      <c r="CU215" s="47"/>
    </row>
    <row r="216" spans="1:99" x14ac:dyDescent="0.25">
      <c r="A216" s="37">
        <f>--SUBTOTAL(3,$B$3:B215)</f>
        <v>198</v>
      </c>
      <c r="B216" s="2"/>
      <c r="C216" s="3"/>
      <c r="D216" s="55" t="s">
        <v>18</v>
      </c>
      <c r="E216" s="38" t="s">
        <v>16</v>
      </c>
      <c r="F216" s="38" t="s">
        <v>16</v>
      </c>
      <c r="G216" s="39" t="str">
        <f t="shared" si="11"/>
        <v>__</v>
      </c>
      <c r="H216" s="40" t="str">
        <f t="shared" si="12"/>
        <v>FALSE</v>
      </c>
      <c r="I216" s="41">
        <f t="shared" si="13"/>
        <v>0</v>
      </c>
      <c r="J216" s="4" t="s">
        <v>16</v>
      </c>
      <c r="K216" s="43" t="str">
        <f>IF(VLOOKUP(J216,βοηθητικό!$J$2:$N$354,3,FALSE)="","",VLOOKUP(J216,βοηθητικό!$J$2:$N$354,3,FALSE))</f>
        <v>_</v>
      </c>
      <c r="L216" s="44"/>
      <c r="M216" s="5" t="s">
        <v>16</v>
      </c>
      <c r="N216" s="46" t="str">
        <f>IF(VLOOKUP(M216,βοηθητικό!$J$2:$N$354,3,FALSE)="","",VLOOKUP(M216,βοηθητικό!$J$2:$N$354,3,FALSE))</f>
        <v>_</v>
      </c>
      <c r="O216" s="47"/>
      <c r="P216" s="4" t="s">
        <v>16</v>
      </c>
      <c r="Q216" s="43" t="str">
        <f>IF(VLOOKUP(P216,βοηθητικό!$J$2:$N$354,3,FALSE)="","",VLOOKUP(P216,βοηθητικό!$J$2:$N$354,3,FALSE))</f>
        <v>_</v>
      </c>
      <c r="R216" s="44"/>
      <c r="S216" s="5" t="s">
        <v>16</v>
      </c>
      <c r="T216" s="46" t="str">
        <f>IF(VLOOKUP(S216,βοηθητικό!$J$2:$N$354,3,FALSE)="","",VLOOKUP(S216,βοηθητικό!$J$2:$N$354,3,FALSE))</f>
        <v>_</v>
      </c>
      <c r="U216" s="47"/>
      <c r="V216" s="4" t="s">
        <v>16</v>
      </c>
      <c r="W216" s="43" t="str">
        <f>IF(VLOOKUP(V216,βοηθητικό!$J$2:$N$354,3,FALSE)="","",VLOOKUP(V216,βοηθητικό!$J$2:$N$354,3,FALSE))</f>
        <v>_</v>
      </c>
      <c r="X216" s="44"/>
      <c r="Y216" s="5" t="s">
        <v>16</v>
      </c>
      <c r="Z216" s="46" t="str">
        <f>IF(VLOOKUP(Y216,βοηθητικό!$J$2:$N$354,3,FALSE)="","",VLOOKUP(Y216,βοηθητικό!$J$2:$N$354,3,FALSE))</f>
        <v>_</v>
      </c>
      <c r="AA216" s="47"/>
      <c r="AB216" s="4" t="s">
        <v>16</v>
      </c>
      <c r="AC216" s="43" t="str">
        <f>IF(VLOOKUP(AB216,βοηθητικό!$J$2:$N$354,3,FALSE)="","",VLOOKUP(AB216,βοηθητικό!$J$2:$N$354,3,FALSE))</f>
        <v>_</v>
      </c>
      <c r="AD216" s="44"/>
      <c r="AE216" s="5" t="s">
        <v>16</v>
      </c>
      <c r="AF216" s="46" t="str">
        <f>IF(VLOOKUP(AE216,βοηθητικό!$J$2:$N$354,3,FALSE)="","",VLOOKUP(AE216,βοηθητικό!$J$2:$N$354,3,FALSE))</f>
        <v>_</v>
      </c>
      <c r="AG216" s="47"/>
      <c r="AH216" s="4" t="s">
        <v>16</v>
      </c>
      <c r="AI216" s="43" t="str">
        <f>IF(VLOOKUP(AH216,βοηθητικό!$J$2:$N$354,3,FALSE)="","",VLOOKUP(AH216,βοηθητικό!$J$2:$N$354,3,FALSE))</f>
        <v>_</v>
      </c>
      <c r="AJ216" s="44"/>
      <c r="AK216" s="5" t="s">
        <v>16</v>
      </c>
      <c r="AL216" s="46" t="str">
        <f>IF(VLOOKUP(AK216,βοηθητικό!$J$2:$N$354,3,FALSE)="","",VLOOKUP(AK216,βοηθητικό!$J$2:$N$354,3,FALSE))</f>
        <v>_</v>
      </c>
      <c r="AM216" s="47"/>
      <c r="AN216" s="4" t="s">
        <v>16</v>
      </c>
      <c r="AO216" s="43" t="str">
        <f>IF(VLOOKUP(AN216,βοηθητικό!$J$2:$N$354,3,FALSE)="","",VLOOKUP(AN216,βοηθητικό!$J$2:$N$354,3,FALSE))</f>
        <v>_</v>
      </c>
      <c r="AP216" s="44"/>
      <c r="AQ216" s="5" t="s">
        <v>16</v>
      </c>
      <c r="AR216" s="46" t="str">
        <f>IF(VLOOKUP(AQ216,βοηθητικό!$J$2:$N$354,3,FALSE)="","",VLOOKUP(AQ216,βοηθητικό!$J$2:$N$354,3,FALSE))</f>
        <v>_</v>
      </c>
      <c r="AS216" s="47"/>
      <c r="AT216" s="4" t="s">
        <v>16</v>
      </c>
      <c r="AU216" s="43" t="str">
        <f>IF(VLOOKUP(AT216,βοηθητικό!$J$2:$N$354,3,FALSE)="","",VLOOKUP(AT216,βοηθητικό!$J$2:$N$354,3,FALSE))</f>
        <v>_</v>
      </c>
      <c r="AV216" s="44"/>
      <c r="AW216" s="5" t="s">
        <v>16</v>
      </c>
      <c r="AX216" s="46" t="str">
        <f>IF(VLOOKUP(AW216,βοηθητικό!$J$2:$N$354,3,FALSE)="","",VLOOKUP(AW216,βοηθητικό!$J$2:$N$354,3,FALSE))</f>
        <v>_</v>
      </c>
      <c r="AY216" s="47"/>
      <c r="AZ216" s="4" t="s">
        <v>16</v>
      </c>
      <c r="BA216" s="43" t="str">
        <f>IF(VLOOKUP(AZ216,βοηθητικό!$J$2:$N$354,3,FALSE)="","",VLOOKUP(AZ216,βοηθητικό!$J$2:$N$354,3,FALSE))</f>
        <v>_</v>
      </c>
      <c r="BB216" s="44"/>
      <c r="BC216" s="45" t="s">
        <v>16</v>
      </c>
      <c r="BD216" s="46" t="str">
        <f>IF(VLOOKUP(BC216,βοηθητικό!$J$2:$N$354,3,FALSE)="","",VLOOKUP(BC216,βοηθητικό!$J$2:$N$354,3,FALSE))</f>
        <v>_</v>
      </c>
      <c r="BE216" s="47"/>
      <c r="BF216" s="42" t="s">
        <v>16</v>
      </c>
      <c r="BG216" s="43" t="str">
        <f>IF(VLOOKUP(BF216,βοηθητικό!$J$2:$N$354,3,FALSE)="","",VLOOKUP(BF216,βοηθητικό!$J$2:$N$354,3,FALSE))</f>
        <v>_</v>
      </c>
      <c r="BH216" s="44"/>
      <c r="BI216" s="45" t="s">
        <v>16</v>
      </c>
      <c r="BJ216" s="46" t="str">
        <f>IF(VLOOKUP(BI216,βοηθητικό!$J$2:$N$354,3,FALSE)="","",VLOOKUP(BI216,βοηθητικό!$J$2:$N$354,3,FALSE))</f>
        <v>_</v>
      </c>
      <c r="BK216" s="47"/>
      <c r="BL216" s="42" t="s">
        <v>16</v>
      </c>
      <c r="BM216" s="43" t="str">
        <f>IF(VLOOKUP(BL216,βοηθητικό!$J$2:$N$354,3,FALSE)="","",VLOOKUP(BL216,βοηθητικό!$J$2:$N$354,3,FALSE))</f>
        <v>_</v>
      </c>
      <c r="BN216" s="44"/>
      <c r="BO216" s="45" t="s">
        <v>16</v>
      </c>
      <c r="BP216" s="46" t="str">
        <f>IF(VLOOKUP(BO216,βοηθητικό!$J$2:$N$354,3,FALSE)="","",VLOOKUP(BO216,βοηθητικό!$J$2:$N$354,3,FALSE))</f>
        <v>_</v>
      </c>
      <c r="BQ216" s="47"/>
      <c r="BR216" s="42" t="s">
        <v>16</v>
      </c>
      <c r="BS216" s="43" t="str">
        <f>IF(VLOOKUP(BR216,βοηθητικό!$J$2:$N$354,3,FALSE)="","",VLOOKUP(BR216,βοηθητικό!$J$2:$N$354,3,FALSE))</f>
        <v>_</v>
      </c>
      <c r="BT216" s="44"/>
      <c r="BU216" s="45" t="s">
        <v>16</v>
      </c>
      <c r="BV216" s="46" t="str">
        <f>IF(VLOOKUP(BU216,βοηθητικό!$J$2:$N$354,3,FALSE)="","",VLOOKUP(BU216,βοηθητικό!$J$2:$N$354,3,FALSE))</f>
        <v>_</v>
      </c>
      <c r="BW216" s="47"/>
      <c r="BX216" s="42" t="s">
        <v>16</v>
      </c>
      <c r="BY216" s="43" t="str">
        <f>IF(VLOOKUP(BX216,βοηθητικό!$J$2:$N$354,3,FALSE)="","",VLOOKUP(BX216,βοηθητικό!$J$2:$N$354,3,FALSE))</f>
        <v>_</v>
      </c>
      <c r="BZ216" s="44"/>
      <c r="CA216" s="45" t="s">
        <v>16</v>
      </c>
      <c r="CB216" s="46" t="str">
        <f>IF(VLOOKUP(CA216,βοηθητικό!$J$2:$N$354,3,FALSE)="","",VLOOKUP(CA216,βοηθητικό!$J$2:$N$354,3,FALSE))</f>
        <v>_</v>
      </c>
      <c r="CC216" s="47"/>
      <c r="CD216" s="42" t="s">
        <v>16</v>
      </c>
      <c r="CE216" s="43" t="str">
        <f>IF(VLOOKUP(CD216,βοηθητικό!$J$2:$N$354,3,FALSE)="","",VLOOKUP(CD216,βοηθητικό!$J$2:$N$354,3,FALSE))</f>
        <v>_</v>
      </c>
      <c r="CF216" s="44"/>
      <c r="CG216" s="45" t="s">
        <v>16</v>
      </c>
      <c r="CH216" s="46" t="str">
        <f>IF(VLOOKUP(CG216,βοηθητικό!$J$2:$N$354,3,FALSE)="","",VLOOKUP(CG216,βοηθητικό!$J$2:$N$354,3,FALSE))</f>
        <v>_</v>
      </c>
      <c r="CI216" s="47"/>
      <c r="CJ216" s="42" t="s">
        <v>16</v>
      </c>
      <c r="CK216" s="43" t="str">
        <f>IF(VLOOKUP(CJ216,βοηθητικό!$J$2:$N$354,3,FALSE)="","",VLOOKUP(CJ216,βοηθητικό!$J$2:$N$354,3,FALSE))</f>
        <v>_</v>
      </c>
      <c r="CL216" s="44"/>
      <c r="CM216" s="45" t="s">
        <v>16</v>
      </c>
      <c r="CN216" s="46" t="str">
        <f>IF(VLOOKUP(CM216,βοηθητικό!$J$2:$N$354,3,FALSE)="","",VLOOKUP(CM216,βοηθητικό!$J$2:$N$354,3,FALSE))</f>
        <v>_</v>
      </c>
      <c r="CO216" s="47"/>
      <c r="CP216" s="42" t="s">
        <v>16</v>
      </c>
      <c r="CQ216" s="43" t="str">
        <f>IF(VLOOKUP(CP216,βοηθητικό!$J$2:$N$354,3,FALSE)="","",VLOOKUP(CP216,βοηθητικό!$J$2:$N$354,3,FALSE))</f>
        <v>_</v>
      </c>
      <c r="CR216" s="44"/>
      <c r="CS216" s="45" t="s">
        <v>16</v>
      </c>
      <c r="CT216" s="46" t="str">
        <f>IF(VLOOKUP(CS216,βοηθητικό!$J$2:$N$354,3,FALSE)="","",VLOOKUP(CS216,βοηθητικό!$J$2:$N$354,3,FALSE))</f>
        <v>_</v>
      </c>
      <c r="CU216" s="47"/>
    </row>
    <row r="217" spans="1:99" x14ac:dyDescent="0.25">
      <c r="A217" s="37">
        <f>--SUBTOTAL(3,$B$3:B216)</f>
        <v>198</v>
      </c>
      <c r="B217" s="2"/>
      <c r="C217" s="3"/>
      <c r="D217" s="55" t="s">
        <v>18</v>
      </c>
      <c r="E217" s="38" t="s">
        <v>16</v>
      </c>
      <c r="F217" s="38" t="s">
        <v>16</v>
      </c>
      <c r="G217" s="39" t="str">
        <f t="shared" si="11"/>
        <v>__</v>
      </c>
      <c r="H217" s="40" t="str">
        <f t="shared" si="12"/>
        <v>FALSE</v>
      </c>
      <c r="I217" s="41">
        <f t="shared" si="13"/>
        <v>0</v>
      </c>
      <c r="J217" s="4" t="s">
        <v>16</v>
      </c>
      <c r="K217" s="43" t="str">
        <f>IF(VLOOKUP(J217,βοηθητικό!$J$2:$N$354,3,FALSE)="","",VLOOKUP(J217,βοηθητικό!$J$2:$N$354,3,FALSE))</f>
        <v>_</v>
      </c>
      <c r="L217" s="44"/>
      <c r="M217" s="5" t="s">
        <v>16</v>
      </c>
      <c r="N217" s="46" t="str">
        <f>IF(VLOOKUP(M217,βοηθητικό!$J$2:$N$354,3,FALSE)="","",VLOOKUP(M217,βοηθητικό!$J$2:$N$354,3,FALSE))</f>
        <v>_</v>
      </c>
      <c r="O217" s="47"/>
      <c r="P217" s="4" t="s">
        <v>16</v>
      </c>
      <c r="Q217" s="43" t="str">
        <f>IF(VLOOKUP(P217,βοηθητικό!$J$2:$N$354,3,FALSE)="","",VLOOKUP(P217,βοηθητικό!$J$2:$N$354,3,FALSE))</f>
        <v>_</v>
      </c>
      <c r="R217" s="44"/>
      <c r="S217" s="5" t="s">
        <v>16</v>
      </c>
      <c r="T217" s="46" t="str">
        <f>IF(VLOOKUP(S217,βοηθητικό!$J$2:$N$354,3,FALSE)="","",VLOOKUP(S217,βοηθητικό!$J$2:$N$354,3,FALSE))</f>
        <v>_</v>
      </c>
      <c r="U217" s="47"/>
      <c r="V217" s="4" t="s">
        <v>16</v>
      </c>
      <c r="W217" s="43" t="str">
        <f>IF(VLOOKUP(V217,βοηθητικό!$J$2:$N$354,3,FALSE)="","",VLOOKUP(V217,βοηθητικό!$J$2:$N$354,3,FALSE))</f>
        <v>_</v>
      </c>
      <c r="X217" s="44"/>
      <c r="Y217" s="5" t="s">
        <v>16</v>
      </c>
      <c r="Z217" s="46" t="str">
        <f>IF(VLOOKUP(Y217,βοηθητικό!$J$2:$N$354,3,FALSE)="","",VLOOKUP(Y217,βοηθητικό!$J$2:$N$354,3,FALSE))</f>
        <v>_</v>
      </c>
      <c r="AA217" s="47"/>
      <c r="AB217" s="4" t="s">
        <v>16</v>
      </c>
      <c r="AC217" s="43" t="str">
        <f>IF(VLOOKUP(AB217,βοηθητικό!$J$2:$N$354,3,FALSE)="","",VLOOKUP(AB217,βοηθητικό!$J$2:$N$354,3,FALSE))</f>
        <v>_</v>
      </c>
      <c r="AD217" s="44"/>
      <c r="AE217" s="5" t="s">
        <v>16</v>
      </c>
      <c r="AF217" s="46" t="str">
        <f>IF(VLOOKUP(AE217,βοηθητικό!$J$2:$N$354,3,FALSE)="","",VLOOKUP(AE217,βοηθητικό!$J$2:$N$354,3,FALSE))</f>
        <v>_</v>
      </c>
      <c r="AG217" s="47"/>
      <c r="AH217" s="4" t="s">
        <v>16</v>
      </c>
      <c r="AI217" s="43" t="str">
        <f>IF(VLOOKUP(AH217,βοηθητικό!$J$2:$N$354,3,FALSE)="","",VLOOKUP(AH217,βοηθητικό!$J$2:$N$354,3,FALSE))</f>
        <v>_</v>
      </c>
      <c r="AJ217" s="44"/>
      <c r="AK217" s="5" t="s">
        <v>16</v>
      </c>
      <c r="AL217" s="46" t="str">
        <f>IF(VLOOKUP(AK217,βοηθητικό!$J$2:$N$354,3,FALSE)="","",VLOOKUP(AK217,βοηθητικό!$J$2:$N$354,3,FALSE))</f>
        <v>_</v>
      </c>
      <c r="AM217" s="47"/>
      <c r="AN217" s="4" t="s">
        <v>16</v>
      </c>
      <c r="AO217" s="43" t="str">
        <f>IF(VLOOKUP(AN217,βοηθητικό!$J$2:$N$354,3,FALSE)="","",VLOOKUP(AN217,βοηθητικό!$J$2:$N$354,3,FALSE))</f>
        <v>_</v>
      </c>
      <c r="AP217" s="44"/>
      <c r="AQ217" s="5" t="s">
        <v>16</v>
      </c>
      <c r="AR217" s="46" t="str">
        <f>IF(VLOOKUP(AQ217,βοηθητικό!$J$2:$N$354,3,FALSE)="","",VLOOKUP(AQ217,βοηθητικό!$J$2:$N$354,3,FALSE))</f>
        <v>_</v>
      </c>
      <c r="AS217" s="47"/>
      <c r="AT217" s="4" t="s">
        <v>16</v>
      </c>
      <c r="AU217" s="43" t="str">
        <f>IF(VLOOKUP(AT217,βοηθητικό!$J$2:$N$354,3,FALSE)="","",VLOOKUP(AT217,βοηθητικό!$J$2:$N$354,3,FALSE))</f>
        <v>_</v>
      </c>
      <c r="AV217" s="44"/>
      <c r="AW217" s="5" t="s">
        <v>16</v>
      </c>
      <c r="AX217" s="46" t="str">
        <f>IF(VLOOKUP(AW217,βοηθητικό!$J$2:$N$354,3,FALSE)="","",VLOOKUP(AW217,βοηθητικό!$J$2:$N$354,3,FALSE))</f>
        <v>_</v>
      </c>
      <c r="AY217" s="47"/>
      <c r="AZ217" s="4" t="s">
        <v>16</v>
      </c>
      <c r="BA217" s="43" t="str">
        <f>IF(VLOOKUP(AZ217,βοηθητικό!$J$2:$N$354,3,FALSE)="","",VLOOKUP(AZ217,βοηθητικό!$J$2:$N$354,3,FALSE))</f>
        <v>_</v>
      </c>
      <c r="BB217" s="44"/>
      <c r="BC217" s="45" t="s">
        <v>16</v>
      </c>
      <c r="BD217" s="46" t="str">
        <f>IF(VLOOKUP(BC217,βοηθητικό!$J$2:$N$354,3,FALSE)="","",VLOOKUP(BC217,βοηθητικό!$J$2:$N$354,3,FALSE))</f>
        <v>_</v>
      </c>
      <c r="BE217" s="47"/>
      <c r="BF217" s="42" t="s">
        <v>16</v>
      </c>
      <c r="BG217" s="43" t="str">
        <f>IF(VLOOKUP(BF217,βοηθητικό!$J$2:$N$354,3,FALSE)="","",VLOOKUP(BF217,βοηθητικό!$J$2:$N$354,3,FALSE))</f>
        <v>_</v>
      </c>
      <c r="BH217" s="44"/>
      <c r="BI217" s="45" t="s">
        <v>16</v>
      </c>
      <c r="BJ217" s="46" t="str">
        <f>IF(VLOOKUP(BI217,βοηθητικό!$J$2:$N$354,3,FALSE)="","",VLOOKUP(BI217,βοηθητικό!$J$2:$N$354,3,FALSE))</f>
        <v>_</v>
      </c>
      <c r="BK217" s="47"/>
      <c r="BL217" s="42" t="s">
        <v>16</v>
      </c>
      <c r="BM217" s="43" t="str">
        <f>IF(VLOOKUP(BL217,βοηθητικό!$J$2:$N$354,3,FALSE)="","",VLOOKUP(BL217,βοηθητικό!$J$2:$N$354,3,FALSE))</f>
        <v>_</v>
      </c>
      <c r="BN217" s="44"/>
      <c r="BO217" s="45" t="s">
        <v>16</v>
      </c>
      <c r="BP217" s="46" t="str">
        <f>IF(VLOOKUP(BO217,βοηθητικό!$J$2:$N$354,3,FALSE)="","",VLOOKUP(BO217,βοηθητικό!$J$2:$N$354,3,FALSE))</f>
        <v>_</v>
      </c>
      <c r="BQ217" s="47"/>
      <c r="BR217" s="42" t="s">
        <v>16</v>
      </c>
      <c r="BS217" s="43" t="str">
        <f>IF(VLOOKUP(BR217,βοηθητικό!$J$2:$N$354,3,FALSE)="","",VLOOKUP(BR217,βοηθητικό!$J$2:$N$354,3,FALSE))</f>
        <v>_</v>
      </c>
      <c r="BT217" s="44"/>
      <c r="BU217" s="45" t="s">
        <v>16</v>
      </c>
      <c r="BV217" s="46" t="str">
        <f>IF(VLOOKUP(BU217,βοηθητικό!$J$2:$N$354,3,FALSE)="","",VLOOKUP(BU217,βοηθητικό!$J$2:$N$354,3,FALSE))</f>
        <v>_</v>
      </c>
      <c r="BW217" s="47"/>
      <c r="BX217" s="42" t="s">
        <v>16</v>
      </c>
      <c r="BY217" s="43" t="str">
        <f>IF(VLOOKUP(BX217,βοηθητικό!$J$2:$N$354,3,FALSE)="","",VLOOKUP(BX217,βοηθητικό!$J$2:$N$354,3,FALSE))</f>
        <v>_</v>
      </c>
      <c r="BZ217" s="44"/>
      <c r="CA217" s="45" t="s">
        <v>16</v>
      </c>
      <c r="CB217" s="46" t="str">
        <f>IF(VLOOKUP(CA217,βοηθητικό!$J$2:$N$354,3,FALSE)="","",VLOOKUP(CA217,βοηθητικό!$J$2:$N$354,3,FALSE))</f>
        <v>_</v>
      </c>
      <c r="CC217" s="47"/>
      <c r="CD217" s="42" t="s">
        <v>16</v>
      </c>
      <c r="CE217" s="43" t="str">
        <f>IF(VLOOKUP(CD217,βοηθητικό!$J$2:$N$354,3,FALSE)="","",VLOOKUP(CD217,βοηθητικό!$J$2:$N$354,3,FALSE))</f>
        <v>_</v>
      </c>
      <c r="CF217" s="44"/>
      <c r="CG217" s="45" t="s">
        <v>16</v>
      </c>
      <c r="CH217" s="46" t="str">
        <f>IF(VLOOKUP(CG217,βοηθητικό!$J$2:$N$354,3,FALSE)="","",VLOOKUP(CG217,βοηθητικό!$J$2:$N$354,3,FALSE))</f>
        <v>_</v>
      </c>
      <c r="CI217" s="47"/>
      <c r="CJ217" s="42" t="s">
        <v>16</v>
      </c>
      <c r="CK217" s="43" t="str">
        <f>IF(VLOOKUP(CJ217,βοηθητικό!$J$2:$N$354,3,FALSE)="","",VLOOKUP(CJ217,βοηθητικό!$J$2:$N$354,3,FALSE))</f>
        <v>_</v>
      </c>
      <c r="CL217" s="44"/>
      <c r="CM217" s="45" t="s">
        <v>16</v>
      </c>
      <c r="CN217" s="46" t="str">
        <f>IF(VLOOKUP(CM217,βοηθητικό!$J$2:$N$354,3,FALSE)="","",VLOOKUP(CM217,βοηθητικό!$J$2:$N$354,3,FALSE))</f>
        <v>_</v>
      </c>
      <c r="CO217" s="47"/>
      <c r="CP217" s="42" t="s">
        <v>16</v>
      </c>
      <c r="CQ217" s="43" t="str">
        <f>IF(VLOOKUP(CP217,βοηθητικό!$J$2:$N$354,3,FALSE)="","",VLOOKUP(CP217,βοηθητικό!$J$2:$N$354,3,FALSE))</f>
        <v>_</v>
      </c>
      <c r="CR217" s="44"/>
      <c r="CS217" s="45" t="s">
        <v>16</v>
      </c>
      <c r="CT217" s="46" t="str">
        <f>IF(VLOOKUP(CS217,βοηθητικό!$J$2:$N$354,3,FALSE)="","",VLOOKUP(CS217,βοηθητικό!$J$2:$N$354,3,FALSE))</f>
        <v>_</v>
      </c>
      <c r="CU217" s="47"/>
    </row>
    <row r="218" spans="1:99" x14ac:dyDescent="0.25">
      <c r="A218" s="37">
        <f>--SUBTOTAL(3,$B$3:B217)</f>
        <v>198</v>
      </c>
      <c r="B218" s="2"/>
      <c r="C218" s="3"/>
      <c r="D218" s="55" t="s">
        <v>18</v>
      </c>
      <c r="E218" s="38" t="s">
        <v>16</v>
      </c>
      <c r="F218" s="38" t="s">
        <v>16</v>
      </c>
      <c r="G218" s="39" t="str">
        <f t="shared" si="11"/>
        <v>__</v>
      </c>
      <c r="H218" s="40" t="str">
        <f t="shared" si="12"/>
        <v>FALSE</v>
      </c>
      <c r="I218" s="41">
        <f t="shared" si="13"/>
        <v>0</v>
      </c>
      <c r="J218" s="4" t="s">
        <v>16</v>
      </c>
      <c r="K218" s="43" t="str">
        <f>IF(VLOOKUP(J218,βοηθητικό!$J$2:$N$354,3,FALSE)="","",VLOOKUP(J218,βοηθητικό!$J$2:$N$354,3,FALSE))</f>
        <v>_</v>
      </c>
      <c r="L218" s="44"/>
      <c r="M218" s="5" t="s">
        <v>16</v>
      </c>
      <c r="N218" s="46" t="str">
        <f>IF(VLOOKUP(M218,βοηθητικό!$J$2:$N$354,3,FALSE)="","",VLOOKUP(M218,βοηθητικό!$J$2:$N$354,3,FALSE))</f>
        <v>_</v>
      </c>
      <c r="O218" s="47"/>
      <c r="P218" s="4" t="s">
        <v>16</v>
      </c>
      <c r="Q218" s="43" t="str">
        <f>IF(VLOOKUP(P218,βοηθητικό!$J$2:$N$354,3,FALSE)="","",VLOOKUP(P218,βοηθητικό!$J$2:$N$354,3,FALSE))</f>
        <v>_</v>
      </c>
      <c r="R218" s="44"/>
      <c r="S218" s="5" t="s">
        <v>16</v>
      </c>
      <c r="T218" s="46" t="str">
        <f>IF(VLOOKUP(S218,βοηθητικό!$J$2:$N$354,3,FALSE)="","",VLOOKUP(S218,βοηθητικό!$J$2:$N$354,3,FALSE))</f>
        <v>_</v>
      </c>
      <c r="U218" s="47"/>
      <c r="V218" s="4" t="s">
        <v>16</v>
      </c>
      <c r="W218" s="43" t="str">
        <f>IF(VLOOKUP(V218,βοηθητικό!$J$2:$N$354,3,FALSE)="","",VLOOKUP(V218,βοηθητικό!$J$2:$N$354,3,FALSE))</f>
        <v>_</v>
      </c>
      <c r="X218" s="44"/>
      <c r="Y218" s="5" t="s">
        <v>16</v>
      </c>
      <c r="Z218" s="46" t="str">
        <f>IF(VLOOKUP(Y218,βοηθητικό!$J$2:$N$354,3,FALSE)="","",VLOOKUP(Y218,βοηθητικό!$J$2:$N$354,3,FALSE))</f>
        <v>_</v>
      </c>
      <c r="AA218" s="47"/>
      <c r="AB218" s="4" t="s">
        <v>16</v>
      </c>
      <c r="AC218" s="43" t="str">
        <f>IF(VLOOKUP(AB218,βοηθητικό!$J$2:$N$354,3,FALSE)="","",VLOOKUP(AB218,βοηθητικό!$J$2:$N$354,3,FALSE))</f>
        <v>_</v>
      </c>
      <c r="AD218" s="44"/>
      <c r="AE218" s="5" t="s">
        <v>16</v>
      </c>
      <c r="AF218" s="46" t="str">
        <f>IF(VLOOKUP(AE218,βοηθητικό!$J$2:$N$354,3,FALSE)="","",VLOOKUP(AE218,βοηθητικό!$J$2:$N$354,3,FALSE))</f>
        <v>_</v>
      </c>
      <c r="AG218" s="47"/>
      <c r="AH218" s="4" t="s">
        <v>16</v>
      </c>
      <c r="AI218" s="43" t="str">
        <f>IF(VLOOKUP(AH218,βοηθητικό!$J$2:$N$354,3,FALSE)="","",VLOOKUP(AH218,βοηθητικό!$J$2:$N$354,3,FALSE))</f>
        <v>_</v>
      </c>
      <c r="AJ218" s="44"/>
      <c r="AK218" s="5" t="s">
        <v>16</v>
      </c>
      <c r="AL218" s="46" t="str">
        <f>IF(VLOOKUP(AK218,βοηθητικό!$J$2:$N$354,3,FALSE)="","",VLOOKUP(AK218,βοηθητικό!$J$2:$N$354,3,FALSE))</f>
        <v>_</v>
      </c>
      <c r="AM218" s="47"/>
      <c r="AN218" s="4" t="s">
        <v>16</v>
      </c>
      <c r="AO218" s="43" t="str">
        <f>IF(VLOOKUP(AN218,βοηθητικό!$J$2:$N$354,3,FALSE)="","",VLOOKUP(AN218,βοηθητικό!$J$2:$N$354,3,FALSE))</f>
        <v>_</v>
      </c>
      <c r="AP218" s="44"/>
      <c r="AQ218" s="5" t="s">
        <v>16</v>
      </c>
      <c r="AR218" s="46" t="str">
        <f>IF(VLOOKUP(AQ218,βοηθητικό!$J$2:$N$354,3,FALSE)="","",VLOOKUP(AQ218,βοηθητικό!$J$2:$N$354,3,FALSE))</f>
        <v>_</v>
      </c>
      <c r="AS218" s="47"/>
      <c r="AT218" s="4" t="s">
        <v>16</v>
      </c>
      <c r="AU218" s="43" t="str">
        <f>IF(VLOOKUP(AT218,βοηθητικό!$J$2:$N$354,3,FALSE)="","",VLOOKUP(AT218,βοηθητικό!$J$2:$N$354,3,FALSE))</f>
        <v>_</v>
      </c>
      <c r="AV218" s="44"/>
      <c r="AW218" s="5" t="s">
        <v>16</v>
      </c>
      <c r="AX218" s="46" t="str">
        <f>IF(VLOOKUP(AW218,βοηθητικό!$J$2:$N$354,3,FALSE)="","",VLOOKUP(AW218,βοηθητικό!$J$2:$N$354,3,FALSE))</f>
        <v>_</v>
      </c>
      <c r="AY218" s="47"/>
      <c r="AZ218" s="4" t="s">
        <v>16</v>
      </c>
      <c r="BA218" s="43" t="str">
        <f>IF(VLOOKUP(AZ218,βοηθητικό!$J$2:$N$354,3,FALSE)="","",VLOOKUP(AZ218,βοηθητικό!$J$2:$N$354,3,FALSE))</f>
        <v>_</v>
      </c>
      <c r="BB218" s="44"/>
      <c r="BC218" s="45" t="s">
        <v>16</v>
      </c>
      <c r="BD218" s="46" t="str">
        <f>IF(VLOOKUP(BC218,βοηθητικό!$J$2:$N$354,3,FALSE)="","",VLOOKUP(BC218,βοηθητικό!$J$2:$N$354,3,FALSE))</f>
        <v>_</v>
      </c>
      <c r="BE218" s="47"/>
      <c r="BF218" s="42" t="s">
        <v>16</v>
      </c>
      <c r="BG218" s="43" t="str">
        <f>IF(VLOOKUP(BF218,βοηθητικό!$J$2:$N$354,3,FALSE)="","",VLOOKUP(BF218,βοηθητικό!$J$2:$N$354,3,FALSE))</f>
        <v>_</v>
      </c>
      <c r="BH218" s="44"/>
      <c r="BI218" s="45" t="s">
        <v>16</v>
      </c>
      <c r="BJ218" s="46" t="str">
        <f>IF(VLOOKUP(BI218,βοηθητικό!$J$2:$N$354,3,FALSE)="","",VLOOKUP(BI218,βοηθητικό!$J$2:$N$354,3,FALSE))</f>
        <v>_</v>
      </c>
      <c r="BK218" s="47"/>
      <c r="BL218" s="42" t="s">
        <v>16</v>
      </c>
      <c r="BM218" s="43" t="str">
        <f>IF(VLOOKUP(BL218,βοηθητικό!$J$2:$N$354,3,FALSE)="","",VLOOKUP(BL218,βοηθητικό!$J$2:$N$354,3,FALSE))</f>
        <v>_</v>
      </c>
      <c r="BN218" s="44"/>
      <c r="BO218" s="45" t="s">
        <v>16</v>
      </c>
      <c r="BP218" s="46" t="str">
        <f>IF(VLOOKUP(BO218,βοηθητικό!$J$2:$N$354,3,FALSE)="","",VLOOKUP(BO218,βοηθητικό!$J$2:$N$354,3,FALSE))</f>
        <v>_</v>
      </c>
      <c r="BQ218" s="47"/>
      <c r="BR218" s="42" t="s">
        <v>16</v>
      </c>
      <c r="BS218" s="43" t="str">
        <f>IF(VLOOKUP(BR218,βοηθητικό!$J$2:$N$354,3,FALSE)="","",VLOOKUP(BR218,βοηθητικό!$J$2:$N$354,3,FALSE))</f>
        <v>_</v>
      </c>
      <c r="BT218" s="44"/>
      <c r="BU218" s="45" t="s">
        <v>16</v>
      </c>
      <c r="BV218" s="46" t="str">
        <f>IF(VLOOKUP(BU218,βοηθητικό!$J$2:$N$354,3,FALSE)="","",VLOOKUP(BU218,βοηθητικό!$J$2:$N$354,3,FALSE))</f>
        <v>_</v>
      </c>
      <c r="BW218" s="47"/>
      <c r="BX218" s="42" t="s">
        <v>16</v>
      </c>
      <c r="BY218" s="43" t="str">
        <f>IF(VLOOKUP(BX218,βοηθητικό!$J$2:$N$354,3,FALSE)="","",VLOOKUP(BX218,βοηθητικό!$J$2:$N$354,3,FALSE))</f>
        <v>_</v>
      </c>
      <c r="BZ218" s="44"/>
      <c r="CA218" s="45" t="s">
        <v>16</v>
      </c>
      <c r="CB218" s="46" t="str">
        <f>IF(VLOOKUP(CA218,βοηθητικό!$J$2:$N$354,3,FALSE)="","",VLOOKUP(CA218,βοηθητικό!$J$2:$N$354,3,FALSE))</f>
        <v>_</v>
      </c>
      <c r="CC218" s="47"/>
      <c r="CD218" s="42" t="s">
        <v>16</v>
      </c>
      <c r="CE218" s="43" t="str">
        <f>IF(VLOOKUP(CD218,βοηθητικό!$J$2:$N$354,3,FALSE)="","",VLOOKUP(CD218,βοηθητικό!$J$2:$N$354,3,FALSE))</f>
        <v>_</v>
      </c>
      <c r="CF218" s="44"/>
      <c r="CG218" s="45" t="s">
        <v>16</v>
      </c>
      <c r="CH218" s="46" t="str">
        <f>IF(VLOOKUP(CG218,βοηθητικό!$J$2:$N$354,3,FALSE)="","",VLOOKUP(CG218,βοηθητικό!$J$2:$N$354,3,FALSE))</f>
        <v>_</v>
      </c>
      <c r="CI218" s="47"/>
      <c r="CJ218" s="42" t="s">
        <v>16</v>
      </c>
      <c r="CK218" s="43" t="str">
        <f>IF(VLOOKUP(CJ218,βοηθητικό!$J$2:$N$354,3,FALSE)="","",VLOOKUP(CJ218,βοηθητικό!$J$2:$N$354,3,FALSE))</f>
        <v>_</v>
      </c>
      <c r="CL218" s="44"/>
      <c r="CM218" s="45" t="s">
        <v>16</v>
      </c>
      <c r="CN218" s="46" t="str">
        <f>IF(VLOOKUP(CM218,βοηθητικό!$J$2:$N$354,3,FALSE)="","",VLOOKUP(CM218,βοηθητικό!$J$2:$N$354,3,FALSE))</f>
        <v>_</v>
      </c>
      <c r="CO218" s="47"/>
      <c r="CP218" s="42" t="s">
        <v>16</v>
      </c>
      <c r="CQ218" s="43" t="str">
        <f>IF(VLOOKUP(CP218,βοηθητικό!$J$2:$N$354,3,FALSE)="","",VLOOKUP(CP218,βοηθητικό!$J$2:$N$354,3,FALSE))</f>
        <v>_</v>
      </c>
      <c r="CR218" s="44"/>
      <c r="CS218" s="45" t="s">
        <v>16</v>
      </c>
      <c r="CT218" s="46" t="str">
        <f>IF(VLOOKUP(CS218,βοηθητικό!$J$2:$N$354,3,FALSE)="","",VLOOKUP(CS218,βοηθητικό!$J$2:$N$354,3,FALSE))</f>
        <v>_</v>
      </c>
      <c r="CU218" s="47"/>
    </row>
    <row r="219" spans="1:99" x14ac:dyDescent="0.25">
      <c r="A219" s="37">
        <f>--SUBTOTAL(3,$B$3:B218)</f>
        <v>198</v>
      </c>
      <c r="B219" s="2"/>
      <c r="C219" s="3"/>
      <c r="D219" s="55" t="s">
        <v>18</v>
      </c>
      <c r="E219" s="38" t="s">
        <v>16</v>
      </c>
      <c r="F219" s="38" t="s">
        <v>16</v>
      </c>
      <c r="G219" s="39" t="str">
        <f t="shared" si="11"/>
        <v>__</v>
      </c>
      <c r="H219" s="40" t="str">
        <f t="shared" si="12"/>
        <v>FALSE</v>
      </c>
      <c r="I219" s="41">
        <f t="shared" si="13"/>
        <v>0</v>
      </c>
      <c r="J219" s="4" t="s">
        <v>16</v>
      </c>
      <c r="K219" s="43" t="str">
        <f>IF(VLOOKUP(J219,βοηθητικό!$J$2:$N$354,3,FALSE)="","",VLOOKUP(J219,βοηθητικό!$J$2:$N$354,3,FALSE))</f>
        <v>_</v>
      </c>
      <c r="L219" s="44"/>
      <c r="M219" s="5" t="s">
        <v>16</v>
      </c>
      <c r="N219" s="46" t="str">
        <f>IF(VLOOKUP(M219,βοηθητικό!$J$2:$N$354,3,FALSE)="","",VLOOKUP(M219,βοηθητικό!$J$2:$N$354,3,FALSE))</f>
        <v>_</v>
      </c>
      <c r="O219" s="47"/>
      <c r="P219" s="4" t="s">
        <v>16</v>
      </c>
      <c r="Q219" s="43" t="str">
        <f>IF(VLOOKUP(P219,βοηθητικό!$J$2:$N$354,3,FALSE)="","",VLOOKUP(P219,βοηθητικό!$J$2:$N$354,3,FALSE))</f>
        <v>_</v>
      </c>
      <c r="R219" s="44"/>
      <c r="S219" s="5" t="s">
        <v>16</v>
      </c>
      <c r="T219" s="46" t="str">
        <f>IF(VLOOKUP(S219,βοηθητικό!$J$2:$N$354,3,FALSE)="","",VLOOKUP(S219,βοηθητικό!$J$2:$N$354,3,FALSE))</f>
        <v>_</v>
      </c>
      <c r="U219" s="47"/>
      <c r="V219" s="4" t="s">
        <v>16</v>
      </c>
      <c r="W219" s="43" t="str">
        <f>IF(VLOOKUP(V219,βοηθητικό!$J$2:$N$354,3,FALSE)="","",VLOOKUP(V219,βοηθητικό!$J$2:$N$354,3,FALSE))</f>
        <v>_</v>
      </c>
      <c r="X219" s="44"/>
      <c r="Y219" s="5" t="s">
        <v>16</v>
      </c>
      <c r="Z219" s="46" t="str">
        <f>IF(VLOOKUP(Y219,βοηθητικό!$J$2:$N$354,3,FALSE)="","",VLOOKUP(Y219,βοηθητικό!$J$2:$N$354,3,FALSE))</f>
        <v>_</v>
      </c>
      <c r="AA219" s="47"/>
      <c r="AB219" s="4" t="s">
        <v>16</v>
      </c>
      <c r="AC219" s="43" t="str">
        <f>IF(VLOOKUP(AB219,βοηθητικό!$J$2:$N$354,3,FALSE)="","",VLOOKUP(AB219,βοηθητικό!$J$2:$N$354,3,FALSE))</f>
        <v>_</v>
      </c>
      <c r="AD219" s="44"/>
      <c r="AE219" s="5" t="s">
        <v>16</v>
      </c>
      <c r="AF219" s="46" t="str">
        <f>IF(VLOOKUP(AE219,βοηθητικό!$J$2:$N$354,3,FALSE)="","",VLOOKUP(AE219,βοηθητικό!$J$2:$N$354,3,FALSE))</f>
        <v>_</v>
      </c>
      <c r="AG219" s="47"/>
      <c r="AH219" s="4" t="s">
        <v>16</v>
      </c>
      <c r="AI219" s="43" t="str">
        <f>IF(VLOOKUP(AH219,βοηθητικό!$J$2:$N$354,3,FALSE)="","",VLOOKUP(AH219,βοηθητικό!$J$2:$N$354,3,FALSE))</f>
        <v>_</v>
      </c>
      <c r="AJ219" s="44"/>
      <c r="AK219" s="5" t="s">
        <v>16</v>
      </c>
      <c r="AL219" s="46" t="str">
        <f>IF(VLOOKUP(AK219,βοηθητικό!$J$2:$N$354,3,FALSE)="","",VLOOKUP(AK219,βοηθητικό!$J$2:$N$354,3,FALSE))</f>
        <v>_</v>
      </c>
      <c r="AM219" s="47"/>
      <c r="AN219" s="4" t="s">
        <v>16</v>
      </c>
      <c r="AO219" s="43" t="str">
        <f>IF(VLOOKUP(AN219,βοηθητικό!$J$2:$N$354,3,FALSE)="","",VLOOKUP(AN219,βοηθητικό!$J$2:$N$354,3,FALSE))</f>
        <v>_</v>
      </c>
      <c r="AP219" s="44"/>
      <c r="AQ219" s="5" t="s">
        <v>16</v>
      </c>
      <c r="AR219" s="46" t="str">
        <f>IF(VLOOKUP(AQ219,βοηθητικό!$J$2:$N$354,3,FALSE)="","",VLOOKUP(AQ219,βοηθητικό!$J$2:$N$354,3,FALSE))</f>
        <v>_</v>
      </c>
      <c r="AS219" s="47"/>
      <c r="AT219" s="4" t="s">
        <v>16</v>
      </c>
      <c r="AU219" s="43" t="str">
        <f>IF(VLOOKUP(AT219,βοηθητικό!$J$2:$N$354,3,FALSE)="","",VLOOKUP(AT219,βοηθητικό!$J$2:$N$354,3,FALSE))</f>
        <v>_</v>
      </c>
      <c r="AV219" s="44"/>
      <c r="AW219" s="5" t="s">
        <v>16</v>
      </c>
      <c r="AX219" s="46" t="str">
        <f>IF(VLOOKUP(AW219,βοηθητικό!$J$2:$N$354,3,FALSE)="","",VLOOKUP(AW219,βοηθητικό!$J$2:$N$354,3,FALSE))</f>
        <v>_</v>
      </c>
      <c r="AY219" s="47"/>
      <c r="AZ219" s="4" t="s">
        <v>16</v>
      </c>
      <c r="BA219" s="43" t="str">
        <f>IF(VLOOKUP(AZ219,βοηθητικό!$J$2:$N$354,3,FALSE)="","",VLOOKUP(AZ219,βοηθητικό!$J$2:$N$354,3,FALSE))</f>
        <v>_</v>
      </c>
      <c r="BB219" s="44"/>
      <c r="BC219" s="45" t="s">
        <v>16</v>
      </c>
      <c r="BD219" s="46" t="str">
        <f>IF(VLOOKUP(BC219,βοηθητικό!$J$2:$N$354,3,FALSE)="","",VLOOKUP(BC219,βοηθητικό!$J$2:$N$354,3,FALSE))</f>
        <v>_</v>
      </c>
      <c r="BE219" s="47"/>
      <c r="BF219" s="42" t="s">
        <v>16</v>
      </c>
      <c r="BG219" s="43" t="str">
        <f>IF(VLOOKUP(BF219,βοηθητικό!$J$2:$N$354,3,FALSE)="","",VLOOKUP(BF219,βοηθητικό!$J$2:$N$354,3,FALSE))</f>
        <v>_</v>
      </c>
      <c r="BH219" s="44"/>
      <c r="BI219" s="45" t="s">
        <v>16</v>
      </c>
      <c r="BJ219" s="46" t="str">
        <f>IF(VLOOKUP(BI219,βοηθητικό!$J$2:$N$354,3,FALSE)="","",VLOOKUP(BI219,βοηθητικό!$J$2:$N$354,3,FALSE))</f>
        <v>_</v>
      </c>
      <c r="BK219" s="47"/>
      <c r="BL219" s="42" t="s">
        <v>16</v>
      </c>
      <c r="BM219" s="43" t="str">
        <f>IF(VLOOKUP(BL219,βοηθητικό!$J$2:$N$354,3,FALSE)="","",VLOOKUP(BL219,βοηθητικό!$J$2:$N$354,3,FALSE))</f>
        <v>_</v>
      </c>
      <c r="BN219" s="44"/>
      <c r="BO219" s="45" t="s">
        <v>16</v>
      </c>
      <c r="BP219" s="46" t="str">
        <f>IF(VLOOKUP(BO219,βοηθητικό!$J$2:$N$354,3,FALSE)="","",VLOOKUP(BO219,βοηθητικό!$J$2:$N$354,3,FALSE))</f>
        <v>_</v>
      </c>
      <c r="BQ219" s="47"/>
      <c r="BR219" s="42" t="s">
        <v>16</v>
      </c>
      <c r="BS219" s="43" t="str">
        <f>IF(VLOOKUP(BR219,βοηθητικό!$J$2:$N$354,3,FALSE)="","",VLOOKUP(BR219,βοηθητικό!$J$2:$N$354,3,FALSE))</f>
        <v>_</v>
      </c>
      <c r="BT219" s="44"/>
      <c r="BU219" s="45" t="s">
        <v>16</v>
      </c>
      <c r="BV219" s="46" t="str">
        <f>IF(VLOOKUP(BU219,βοηθητικό!$J$2:$N$354,3,FALSE)="","",VLOOKUP(BU219,βοηθητικό!$J$2:$N$354,3,FALSE))</f>
        <v>_</v>
      </c>
      <c r="BW219" s="47"/>
      <c r="BX219" s="42" t="s">
        <v>16</v>
      </c>
      <c r="BY219" s="43" t="str">
        <f>IF(VLOOKUP(BX219,βοηθητικό!$J$2:$N$354,3,FALSE)="","",VLOOKUP(BX219,βοηθητικό!$J$2:$N$354,3,FALSE))</f>
        <v>_</v>
      </c>
      <c r="BZ219" s="44"/>
      <c r="CA219" s="45" t="s">
        <v>16</v>
      </c>
      <c r="CB219" s="46" t="str">
        <f>IF(VLOOKUP(CA219,βοηθητικό!$J$2:$N$354,3,FALSE)="","",VLOOKUP(CA219,βοηθητικό!$J$2:$N$354,3,FALSE))</f>
        <v>_</v>
      </c>
      <c r="CC219" s="47"/>
      <c r="CD219" s="42" t="s">
        <v>16</v>
      </c>
      <c r="CE219" s="43" t="str">
        <f>IF(VLOOKUP(CD219,βοηθητικό!$J$2:$N$354,3,FALSE)="","",VLOOKUP(CD219,βοηθητικό!$J$2:$N$354,3,FALSE))</f>
        <v>_</v>
      </c>
      <c r="CF219" s="44"/>
      <c r="CG219" s="45" t="s">
        <v>16</v>
      </c>
      <c r="CH219" s="46" t="str">
        <f>IF(VLOOKUP(CG219,βοηθητικό!$J$2:$N$354,3,FALSE)="","",VLOOKUP(CG219,βοηθητικό!$J$2:$N$354,3,FALSE))</f>
        <v>_</v>
      </c>
      <c r="CI219" s="47"/>
      <c r="CJ219" s="42" t="s">
        <v>16</v>
      </c>
      <c r="CK219" s="43" t="str">
        <f>IF(VLOOKUP(CJ219,βοηθητικό!$J$2:$N$354,3,FALSE)="","",VLOOKUP(CJ219,βοηθητικό!$J$2:$N$354,3,FALSE))</f>
        <v>_</v>
      </c>
      <c r="CL219" s="44"/>
      <c r="CM219" s="45" t="s">
        <v>16</v>
      </c>
      <c r="CN219" s="46" t="str">
        <f>IF(VLOOKUP(CM219,βοηθητικό!$J$2:$N$354,3,FALSE)="","",VLOOKUP(CM219,βοηθητικό!$J$2:$N$354,3,FALSE))</f>
        <v>_</v>
      </c>
      <c r="CO219" s="47"/>
      <c r="CP219" s="42" t="s">
        <v>16</v>
      </c>
      <c r="CQ219" s="43" t="str">
        <f>IF(VLOOKUP(CP219,βοηθητικό!$J$2:$N$354,3,FALSE)="","",VLOOKUP(CP219,βοηθητικό!$J$2:$N$354,3,FALSE))</f>
        <v>_</v>
      </c>
      <c r="CR219" s="44"/>
      <c r="CS219" s="45" t="s">
        <v>16</v>
      </c>
      <c r="CT219" s="46" t="str">
        <f>IF(VLOOKUP(CS219,βοηθητικό!$J$2:$N$354,3,FALSE)="","",VLOOKUP(CS219,βοηθητικό!$J$2:$N$354,3,FALSE))</f>
        <v>_</v>
      </c>
      <c r="CU219" s="47"/>
    </row>
    <row r="220" spans="1:99" x14ac:dyDescent="0.25">
      <c r="A220" s="37">
        <f>--SUBTOTAL(3,$B$3:B219)</f>
        <v>198</v>
      </c>
      <c r="B220" s="2"/>
      <c r="C220" s="3"/>
      <c r="D220" s="55" t="s">
        <v>18</v>
      </c>
      <c r="E220" s="38" t="s">
        <v>16</v>
      </c>
      <c r="F220" s="38" t="s">
        <v>16</v>
      </c>
      <c r="G220" s="39" t="str">
        <f t="shared" si="11"/>
        <v>__</v>
      </c>
      <c r="H220" s="40" t="str">
        <f t="shared" si="12"/>
        <v>FALSE</v>
      </c>
      <c r="I220" s="41">
        <f t="shared" si="13"/>
        <v>0</v>
      </c>
      <c r="J220" s="4" t="s">
        <v>16</v>
      </c>
      <c r="K220" s="43" t="str">
        <f>IF(VLOOKUP(J220,βοηθητικό!$J$2:$N$354,3,FALSE)="","",VLOOKUP(J220,βοηθητικό!$J$2:$N$354,3,FALSE))</f>
        <v>_</v>
      </c>
      <c r="L220" s="44"/>
      <c r="M220" s="5" t="s">
        <v>16</v>
      </c>
      <c r="N220" s="46" t="str">
        <f>IF(VLOOKUP(M220,βοηθητικό!$J$2:$N$354,3,FALSE)="","",VLOOKUP(M220,βοηθητικό!$J$2:$N$354,3,FALSE))</f>
        <v>_</v>
      </c>
      <c r="O220" s="47"/>
      <c r="P220" s="4" t="s">
        <v>16</v>
      </c>
      <c r="Q220" s="43" t="str">
        <f>IF(VLOOKUP(P220,βοηθητικό!$J$2:$N$354,3,FALSE)="","",VLOOKUP(P220,βοηθητικό!$J$2:$N$354,3,FALSE))</f>
        <v>_</v>
      </c>
      <c r="R220" s="44"/>
      <c r="S220" s="5" t="s">
        <v>16</v>
      </c>
      <c r="T220" s="46" t="str">
        <f>IF(VLOOKUP(S220,βοηθητικό!$J$2:$N$354,3,FALSE)="","",VLOOKUP(S220,βοηθητικό!$J$2:$N$354,3,FALSE))</f>
        <v>_</v>
      </c>
      <c r="U220" s="47"/>
      <c r="V220" s="4" t="s">
        <v>16</v>
      </c>
      <c r="W220" s="43" t="str">
        <f>IF(VLOOKUP(V220,βοηθητικό!$J$2:$N$354,3,FALSE)="","",VLOOKUP(V220,βοηθητικό!$J$2:$N$354,3,FALSE))</f>
        <v>_</v>
      </c>
      <c r="X220" s="44"/>
      <c r="Y220" s="5" t="s">
        <v>16</v>
      </c>
      <c r="Z220" s="46" t="str">
        <f>IF(VLOOKUP(Y220,βοηθητικό!$J$2:$N$354,3,FALSE)="","",VLOOKUP(Y220,βοηθητικό!$J$2:$N$354,3,FALSE))</f>
        <v>_</v>
      </c>
      <c r="AA220" s="47"/>
      <c r="AB220" s="4" t="s">
        <v>16</v>
      </c>
      <c r="AC220" s="43" t="str">
        <f>IF(VLOOKUP(AB220,βοηθητικό!$J$2:$N$354,3,FALSE)="","",VLOOKUP(AB220,βοηθητικό!$J$2:$N$354,3,FALSE))</f>
        <v>_</v>
      </c>
      <c r="AD220" s="44"/>
      <c r="AE220" s="5" t="s">
        <v>16</v>
      </c>
      <c r="AF220" s="46" t="str">
        <f>IF(VLOOKUP(AE220,βοηθητικό!$J$2:$N$354,3,FALSE)="","",VLOOKUP(AE220,βοηθητικό!$J$2:$N$354,3,FALSE))</f>
        <v>_</v>
      </c>
      <c r="AG220" s="47"/>
      <c r="AH220" s="4" t="s">
        <v>16</v>
      </c>
      <c r="AI220" s="43" t="str">
        <f>IF(VLOOKUP(AH220,βοηθητικό!$J$2:$N$354,3,FALSE)="","",VLOOKUP(AH220,βοηθητικό!$J$2:$N$354,3,FALSE))</f>
        <v>_</v>
      </c>
      <c r="AJ220" s="44"/>
      <c r="AK220" s="5" t="s">
        <v>16</v>
      </c>
      <c r="AL220" s="46" t="str">
        <f>IF(VLOOKUP(AK220,βοηθητικό!$J$2:$N$354,3,FALSE)="","",VLOOKUP(AK220,βοηθητικό!$J$2:$N$354,3,FALSE))</f>
        <v>_</v>
      </c>
      <c r="AM220" s="47"/>
      <c r="AN220" s="4" t="s">
        <v>16</v>
      </c>
      <c r="AO220" s="43" t="str">
        <f>IF(VLOOKUP(AN220,βοηθητικό!$J$2:$N$354,3,FALSE)="","",VLOOKUP(AN220,βοηθητικό!$J$2:$N$354,3,FALSE))</f>
        <v>_</v>
      </c>
      <c r="AP220" s="44"/>
      <c r="AQ220" s="5" t="s">
        <v>16</v>
      </c>
      <c r="AR220" s="46" t="str">
        <f>IF(VLOOKUP(AQ220,βοηθητικό!$J$2:$N$354,3,FALSE)="","",VLOOKUP(AQ220,βοηθητικό!$J$2:$N$354,3,FALSE))</f>
        <v>_</v>
      </c>
      <c r="AS220" s="47"/>
      <c r="AT220" s="4" t="s">
        <v>16</v>
      </c>
      <c r="AU220" s="43" t="str">
        <f>IF(VLOOKUP(AT220,βοηθητικό!$J$2:$N$354,3,FALSE)="","",VLOOKUP(AT220,βοηθητικό!$J$2:$N$354,3,FALSE))</f>
        <v>_</v>
      </c>
      <c r="AV220" s="44"/>
      <c r="AW220" s="5" t="s">
        <v>16</v>
      </c>
      <c r="AX220" s="46" t="str">
        <f>IF(VLOOKUP(AW220,βοηθητικό!$J$2:$N$354,3,FALSE)="","",VLOOKUP(AW220,βοηθητικό!$J$2:$N$354,3,FALSE))</f>
        <v>_</v>
      </c>
      <c r="AY220" s="47"/>
      <c r="AZ220" s="4" t="s">
        <v>16</v>
      </c>
      <c r="BA220" s="43" t="str">
        <f>IF(VLOOKUP(AZ220,βοηθητικό!$J$2:$N$354,3,FALSE)="","",VLOOKUP(AZ220,βοηθητικό!$J$2:$N$354,3,FALSE))</f>
        <v>_</v>
      </c>
      <c r="BB220" s="44"/>
      <c r="BC220" s="45" t="s">
        <v>16</v>
      </c>
      <c r="BD220" s="46" t="str">
        <f>IF(VLOOKUP(BC220,βοηθητικό!$J$2:$N$354,3,FALSE)="","",VLOOKUP(BC220,βοηθητικό!$J$2:$N$354,3,FALSE))</f>
        <v>_</v>
      </c>
      <c r="BE220" s="47"/>
      <c r="BF220" s="42" t="s">
        <v>16</v>
      </c>
      <c r="BG220" s="43" t="str">
        <f>IF(VLOOKUP(BF220,βοηθητικό!$J$2:$N$354,3,FALSE)="","",VLOOKUP(BF220,βοηθητικό!$J$2:$N$354,3,FALSE))</f>
        <v>_</v>
      </c>
      <c r="BH220" s="44"/>
      <c r="BI220" s="45" t="s">
        <v>16</v>
      </c>
      <c r="BJ220" s="46" t="str">
        <f>IF(VLOOKUP(BI220,βοηθητικό!$J$2:$N$354,3,FALSE)="","",VLOOKUP(BI220,βοηθητικό!$J$2:$N$354,3,FALSE))</f>
        <v>_</v>
      </c>
      <c r="BK220" s="47"/>
      <c r="BL220" s="42" t="s">
        <v>16</v>
      </c>
      <c r="BM220" s="43" t="str">
        <f>IF(VLOOKUP(BL220,βοηθητικό!$J$2:$N$354,3,FALSE)="","",VLOOKUP(BL220,βοηθητικό!$J$2:$N$354,3,FALSE))</f>
        <v>_</v>
      </c>
      <c r="BN220" s="44"/>
      <c r="BO220" s="45" t="s">
        <v>16</v>
      </c>
      <c r="BP220" s="46" t="str">
        <f>IF(VLOOKUP(BO220,βοηθητικό!$J$2:$N$354,3,FALSE)="","",VLOOKUP(BO220,βοηθητικό!$J$2:$N$354,3,FALSE))</f>
        <v>_</v>
      </c>
      <c r="BQ220" s="47"/>
      <c r="BR220" s="42" t="s">
        <v>16</v>
      </c>
      <c r="BS220" s="43" t="str">
        <f>IF(VLOOKUP(BR220,βοηθητικό!$J$2:$N$354,3,FALSE)="","",VLOOKUP(BR220,βοηθητικό!$J$2:$N$354,3,FALSE))</f>
        <v>_</v>
      </c>
      <c r="BT220" s="44"/>
      <c r="BU220" s="45" t="s">
        <v>16</v>
      </c>
      <c r="BV220" s="46" t="str">
        <f>IF(VLOOKUP(BU220,βοηθητικό!$J$2:$N$354,3,FALSE)="","",VLOOKUP(BU220,βοηθητικό!$J$2:$N$354,3,FALSE))</f>
        <v>_</v>
      </c>
      <c r="BW220" s="47"/>
      <c r="BX220" s="42" t="s">
        <v>16</v>
      </c>
      <c r="BY220" s="43" t="str">
        <f>IF(VLOOKUP(BX220,βοηθητικό!$J$2:$N$354,3,FALSE)="","",VLOOKUP(BX220,βοηθητικό!$J$2:$N$354,3,FALSE))</f>
        <v>_</v>
      </c>
      <c r="BZ220" s="44"/>
      <c r="CA220" s="45" t="s">
        <v>16</v>
      </c>
      <c r="CB220" s="46" t="str">
        <f>IF(VLOOKUP(CA220,βοηθητικό!$J$2:$N$354,3,FALSE)="","",VLOOKUP(CA220,βοηθητικό!$J$2:$N$354,3,FALSE))</f>
        <v>_</v>
      </c>
      <c r="CC220" s="47"/>
      <c r="CD220" s="42" t="s">
        <v>16</v>
      </c>
      <c r="CE220" s="43" t="str">
        <f>IF(VLOOKUP(CD220,βοηθητικό!$J$2:$N$354,3,FALSE)="","",VLOOKUP(CD220,βοηθητικό!$J$2:$N$354,3,FALSE))</f>
        <v>_</v>
      </c>
      <c r="CF220" s="44"/>
      <c r="CG220" s="45" t="s">
        <v>16</v>
      </c>
      <c r="CH220" s="46" t="str">
        <f>IF(VLOOKUP(CG220,βοηθητικό!$J$2:$N$354,3,FALSE)="","",VLOOKUP(CG220,βοηθητικό!$J$2:$N$354,3,FALSE))</f>
        <v>_</v>
      </c>
      <c r="CI220" s="47"/>
      <c r="CJ220" s="42" t="s">
        <v>16</v>
      </c>
      <c r="CK220" s="43" t="str">
        <f>IF(VLOOKUP(CJ220,βοηθητικό!$J$2:$N$354,3,FALSE)="","",VLOOKUP(CJ220,βοηθητικό!$J$2:$N$354,3,FALSE))</f>
        <v>_</v>
      </c>
      <c r="CL220" s="44"/>
      <c r="CM220" s="45" t="s">
        <v>16</v>
      </c>
      <c r="CN220" s="46" t="str">
        <f>IF(VLOOKUP(CM220,βοηθητικό!$J$2:$N$354,3,FALSE)="","",VLOOKUP(CM220,βοηθητικό!$J$2:$N$354,3,FALSE))</f>
        <v>_</v>
      </c>
      <c r="CO220" s="47"/>
      <c r="CP220" s="42" t="s">
        <v>16</v>
      </c>
      <c r="CQ220" s="43" t="str">
        <f>IF(VLOOKUP(CP220,βοηθητικό!$J$2:$N$354,3,FALSE)="","",VLOOKUP(CP220,βοηθητικό!$J$2:$N$354,3,FALSE))</f>
        <v>_</v>
      </c>
      <c r="CR220" s="44"/>
      <c r="CS220" s="45" t="s">
        <v>16</v>
      </c>
      <c r="CT220" s="46" t="str">
        <f>IF(VLOOKUP(CS220,βοηθητικό!$J$2:$N$354,3,FALSE)="","",VLOOKUP(CS220,βοηθητικό!$J$2:$N$354,3,FALSE))</f>
        <v>_</v>
      </c>
      <c r="CU220" s="47"/>
    </row>
    <row r="221" spans="1:99" x14ac:dyDescent="0.25">
      <c r="A221" s="37">
        <f>--SUBTOTAL(3,$B$3:B220)</f>
        <v>198</v>
      </c>
      <c r="B221" s="2"/>
      <c r="C221" s="3"/>
      <c r="D221" s="55" t="s">
        <v>18</v>
      </c>
      <c r="E221" s="38" t="s">
        <v>16</v>
      </c>
      <c r="F221" s="38" t="s">
        <v>16</v>
      </c>
      <c r="G221" s="39" t="str">
        <f t="shared" si="11"/>
        <v>__</v>
      </c>
      <c r="H221" s="40" t="str">
        <f t="shared" si="12"/>
        <v>FALSE</v>
      </c>
      <c r="I221" s="41">
        <f t="shared" si="13"/>
        <v>0</v>
      </c>
      <c r="J221" s="4" t="s">
        <v>16</v>
      </c>
      <c r="K221" s="43" t="str">
        <f>IF(VLOOKUP(J221,βοηθητικό!$J$2:$N$354,3,FALSE)="","",VLOOKUP(J221,βοηθητικό!$J$2:$N$354,3,FALSE))</f>
        <v>_</v>
      </c>
      <c r="L221" s="44"/>
      <c r="M221" s="5" t="s">
        <v>16</v>
      </c>
      <c r="N221" s="46" t="str">
        <f>IF(VLOOKUP(M221,βοηθητικό!$J$2:$N$354,3,FALSE)="","",VLOOKUP(M221,βοηθητικό!$J$2:$N$354,3,FALSE))</f>
        <v>_</v>
      </c>
      <c r="O221" s="47"/>
      <c r="P221" s="4" t="s">
        <v>16</v>
      </c>
      <c r="Q221" s="43" t="str">
        <f>IF(VLOOKUP(P221,βοηθητικό!$J$2:$N$354,3,FALSE)="","",VLOOKUP(P221,βοηθητικό!$J$2:$N$354,3,FALSE))</f>
        <v>_</v>
      </c>
      <c r="R221" s="44"/>
      <c r="S221" s="5" t="s">
        <v>16</v>
      </c>
      <c r="T221" s="46" t="str">
        <f>IF(VLOOKUP(S221,βοηθητικό!$J$2:$N$354,3,FALSE)="","",VLOOKUP(S221,βοηθητικό!$J$2:$N$354,3,FALSE))</f>
        <v>_</v>
      </c>
      <c r="U221" s="47"/>
      <c r="V221" s="4" t="s">
        <v>16</v>
      </c>
      <c r="W221" s="43" t="str">
        <f>IF(VLOOKUP(V221,βοηθητικό!$J$2:$N$354,3,FALSE)="","",VLOOKUP(V221,βοηθητικό!$J$2:$N$354,3,FALSE))</f>
        <v>_</v>
      </c>
      <c r="X221" s="44"/>
      <c r="Y221" s="5" t="s">
        <v>16</v>
      </c>
      <c r="Z221" s="46" t="str">
        <f>IF(VLOOKUP(Y221,βοηθητικό!$J$2:$N$354,3,FALSE)="","",VLOOKUP(Y221,βοηθητικό!$J$2:$N$354,3,FALSE))</f>
        <v>_</v>
      </c>
      <c r="AA221" s="47"/>
      <c r="AB221" s="4" t="s">
        <v>16</v>
      </c>
      <c r="AC221" s="43" t="str">
        <f>IF(VLOOKUP(AB221,βοηθητικό!$J$2:$N$354,3,FALSE)="","",VLOOKUP(AB221,βοηθητικό!$J$2:$N$354,3,FALSE))</f>
        <v>_</v>
      </c>
      <c r="AD221" s="44"/>
      <c r="AE221" s="5" t="s">
        <v>16</v>
      </c>
      <c r="AF221" s="46" t="str">
        <f>IF(VLOOKUP(AE221,βοηθητικό!$J$2:$N$354,3,FALSE)="","",VLOOKUP(AE221,βοηθητικό!$J$2:$N$354,3,FALSE))</f>
        <v>_</v>
      </c>
      <c r="AG221" s="47"/>
      <c r="AH221" s="4" t="s">
        <v>16</v>
      </c>
      <c r="AI221" s="43" t="str">
        <f>IF(VLOOKUP(AH221,βοηθητικό!$J$2:$N$354,3,FALSE)="","",VLOOKUP(AH221,βοηθητικό!$J$2:$N$354,3,FALSE))</f>
        <v>_</v>
      </c>
      <c r="AJ221" s="44"/>
      <c r="AK221" s="5" t="s">
        <v>16</v>
      </c>
      <c r="AL221" s="46" t="str">
        <f>IF(VLOOKUP(AK221,βοηθητικό!$J$2:$N$354,3,FALSE)="","",VLOOKUP(AK221,βοηθητικό!$J$2:$N$354,3,FALSE))</f>
        <v>_</v>
      </c>
      <c r="AM221" s="47"/>
      <c r="AN221" s="4" t="s">
        <v>16</v>
      </c>
      <c r="AO221" s="43" t="str">
        <f>IF(VLOOKUP(AN221,βοηθητικό!$J$2:$N$354,3,FALSE)="","",VLOOKUP(AN221,βοηθητικό!$J$2:$N$354,3,FALSE))</f>
        <v>_</v>
      </c>
      <c r="AP221" s="44"/>
      <c r="AQ221" s="5" t="s">
        <v>16</v>
      </c>
      <c r="AR221" s="46" t="str">
        <f>IF(VLOOKUP(AQ221,βοηθητικό!$J$2:$N$354,3,FALSE)="","",VLOOKUP(AQ221,βοηθητικό!$J$2:$N$354,3,FALSE))</f>
        <v>_</v>
      </c>
      <c r="AS221" s="47"/>
      <c r="AT221" s="4" t="s">
        <v>16</v>
      </c>
      <c r="AU221" s="43" t="str">
        <f>IF(VLOOKUP(AT221,βοηθητικό!$J$2:$N$354,3,FALSE)="","",VLOOKUP(AT221,βοηθητικό!$J$2:$N$354,3,FALSE))</f>
        <v>_</v>
      </c>
      <c r="AV221" s="44"/>
      <c r="AW221" s="5" t="s">
        <v>16</v>
      </c>
      <c r="AX221" s="46" t="str">
        <f>IF(VLOOKUP(AW221,βοηθητικό!$J$2:$N$354,3,FALSE)="","",VLOOKUP(AW221,βοηθητικό!$J$2:$N$354,3,FALSE))</f>
        <v>_</v>
      </c>
      <c r="AY221" s="47"/>
      <c r="AZ221" s="4" t="s">
        <v>16</v>
      </c>
      <c r="BA221" s="43" t="str">
        <f>IF(VLOOKUP(AZ221,βοηθητικό!$J$2:$N$354,3,FALSE)="","",VLOOKUP(AZ221,βοηθητικό!$J$2:$N$354,3,FALSE))</f>
        <v>_</v>
      </c>
      <c r="BB221" s="44"/>
      <c r="BC221" s="45" t="s">
        <v>16</v>
      </c>
      <c r="BD221" s="46" t="str">
        <f>IF(VLOOKUP(BC221,βοηθητικό!$J$2:$N$354,3,FALSE)="","",VLOOKUP(BC221,βοηθητικό!$J$2:$N$354,3,FALSE))</f>
        <v>_</v>
      </c>
      <c r="BE221" s="47"/>
      <c r="BF221" s="42" t="s">
        <v>16</v>
      </c>
      <c r="BG221" s="43" t="str">
        <f>IF(VLOOKUP(BF221,βοηθητικό!$J$2:$N$354,3,FALSE)="","",VLOOKUP(BF221,βοηθητικό!$J$2:$N$354,3,FALSE))</f>
        <v>_</v>
      </c>
      <c r="BH221" s="44"/>
      <c r="BI221" s="45" t="s">
        <v>16</v>
      </c>
      <c r="BJ221" s="46" t="str">
        <f>IF(VLOOKUP(BI221,βοηθητικό!$J$2:$N$354,3,FALSE)="","",VLOOKUP(BI221,βοηθητικό!$J$2:$N$354,3,FALSE))</f>
        <v>_</v>
      </c>
      <c r="BK221" s="47"/>
      <c r="BL221" s="42" t="s">
        <v>16</v>
      </c>
      <c r="BM221" s="43" t="str">
        <f>IF(VLOOKUP(BL221,βοηθητικό!$J$2:$N$354,3,FALSE)="","",VLOOKUP(BL221,βοηθητικό!$J$2:$N$354,3,FALSE))</f>
        <v>_</v>
      </c>
      <c r="BN221" s="44"/>
      <c r="BO221" s="45" t="s">
        <v>16</v>
      </c>
      <c r="BP221" s="46" t="str">
        <f>IF(VLOOKUP(BO221,βοηθητικό!$J$2:$N$354,3,FALSE)="","",VLOOKUP(BO221,βοηθητικό!$J$2:$N$354,3,FALSE))</f>
        <v>_</v>
      </c>
      <c r="BQ221" s="47"/>
      <c r="BR221" s="42" t="s">
        <v>16</v>
      </c>
      <c r="BS221" s="43" t="str">
        <f>IF(VLOOKUP(BR221,βοηθητικό!$J$2:$N$354,3,FALSE)="","",VLOOKUP(BR221,βοηθητικό!$J$2:$N$354,3,FALSE))</f>
        <v>_</v>
      </c>
      <c r="BT221" s="44"/>
      <c r="BU221" s="45" t="s">
        <v>16</v>
      </c>
      <c r="BV221" s="46" t="str">
        <f>IF(VLOOKUP(BU221,βοηθητικό!$J$2:$N$354,3,FALSE)="","",VLOOKUP(BU221,βοηθητικό!$J$2:$N$354,3,FALSE))</f>
        <v>_</v>
      </c>
      <c r="BW221" s="47"/>
      <c r="BX221" s="42" t="s">
        <v>16</v>
      </c>
      <c r="BY221" s="43" t="str">
        <f>IF(VLOOKUP(BX221,βοηθητικό!$J$2:$N$354,3,FALSE)="","",VLOOKUP(BX221,βοηθητικό!$J$2:$N$354,3,FALSE))</f>
        <v>_</v>
      </c>
      <c r="BZ221" s="44"/>
      <c r="CA221" s="45" t="s">
        <v>16</v>
      </c>
      <c r="CB221" s="46" t="str">
        <f>IF(VLOOKUP(CA221,βοηθητικό!$J$2:$N$354,3,FALSE)="","",VLOOKUP(CA221,βοηθητικό!$J$2:$N$354,3,FALSE))</f>
        <v>_</v>
      </c>
      <c r="CC221" s="47"/>
      <c r="CD221" s="42" t="s">
        <v>16</v>
      </c>
      <c r="CE221" s="43" t="str">
        <f>IF(VLOOKUP(CD221,βοηθητικό!$J$2:$N$354,3,FALSE)="","",VLOOKUP(CD221,βοηθητικό!$J$2:$N$354,3,FALSE))</f>
        <v>_</v>
      </c>
      <c r="CF221" s="44"/>
      <c r="CG221" s="45" t="s">
        <v>16</v>
      </c>
      <c r="CH221" s="46" t="str">
        <f>IF(VLOOKUP(CG221,βοηθητικό!$J$2:$N$354,3,FALSE)="","",VLOOKUP(CG221,βοηθητικό!$J$2:$N$354,3,FALSE))</f>
        <v>_</v>
      </c>
      <c r="CI221" s="47"/>
      <c r="CJ221" s="42" t="s">
        <v>16</v>
      </c>
      <c r="CK221" s="43" t="str">
        <f>IF(VLOOKUP(CJ221,βοηθητικό!$J$2:$N$354,3,FALSE)="","",VLOOKUP(CJ221,βοηθητικό!$J$2:$N$354,3,FALSE))</f>
        <v>_</v>
      </c>
      <c r="CL221" s="44"/>
      <c r="CM221" s="45" t="s">
        <v>16</v>
      </c>
      <c r="CN221" s="46" t="str">
        <f>IF(VLOOKUP(CM221,βοηθητικό!$J$2:$N$354,3,FALSE)="","",VLOOKUP(CM221,βοηθητικό!$J$2:$N$354,3,FALSE))</f>
        <v>_</v>
      </c>
      <c r="CO221" s="47"/>
      <c r="CP221" s="42" t="s">
        <v>16</v>
      </c>
      <c r="CQ221" s="43" t="str">
        <f>IF(VLOOKUP(CP221,βοηθητικό!$J$2:$N$354,3,FALSE)="","",VLOOKUP(CP221,βοηθητικό!$J$2:$N$354,3,FALSE))</f>
        <v>_</v>
      </c>
      <c r="CR221" s="44"/>
      <c r="CS221" s="45" t="s">
        <v>16</v>
      </c>
      <c r="CT221" s="46" t="str">
        <f>IF(VLOOKUP(CS221,βοηθητικό!$J$2:$N$354,3,FALSE)="","",VLOOKUP(CS221,βοηθητικό!$J$2:$N$354,3,FALSE))</f>
        <v>_</v>
      </c>
      <c r="CU221" s="47"/>
    </row>
    <row r="222" spans="1:99" x14ac:dyDescent="0.25">
      <c r="A222" s="37">
        <f>--SUBTOTAL(3,$B$3:B221)</f>
        <v>198</v>
      </c>
      <c r="B222" s="2"/>
      <c r="C222" s="3"/>
      <c r="D222" s="55" t="s">
        <v>18</v>
      </c>
      <c r="E222" s="38" t="s">
        <v>16</v>
      </c>
      <c r="F222" s="38" t="s">
        <v>16</v>
      </c>
      <c r="G222" s="39" t="str">
        <f t="shared" si="11"/>
        <v>__</v>
      </c>
      <c r="H222" s="40" t="str">
        <f t="shared" si="12"/>
        <v>FALSE</v>
      </c>
      <c r="I222" s="41">
        <f t="shared" si="13"/>
        <v>0</v>
      </c>
      <c r="J222" s="4" t="s">
        <v>16</v>
      </c>
      <c r="K222" s="43" t="str">
        <f>IF(VLOOKUP(J222,βοηθητικό!$J$2:$N$354,3,FALSE)="","",VLOOKUP(J222,βοηθητικό!$J$2:$N$354,3,FALSE))</f>
        <v>_</v>
      </c>
      <c r="L222" s="44"/>
      <c r="M222" s="5" t="s">
        <v>16</v>
      </c>
      <c r="N222" s="46" t="str">
        <f>IF(VLOOKUP(M222,βοηθητικό!$J$2:$N$354,3,FALSE)="","",VLOOKUP(M222,βοηθητικό!$J$2:$N$354,3,FALSE))</f>
        <v>_</v>
      </c>
      <c r="O222" s="47"/>
      <c r="P222" s="4" t="s">
        <v>16</v>
      </c>
      <c r="Q222" s="43" t="str">
        <f>IF(VLOOKUP(P222,βοηθητικό!$J$2:$N$354,3,FALSE)="","",VLOOKUP(P222,βοηθητικό!$J$2:$N$354,3,FALSE))</f>
        <v>_</v>
      </c>
      <c r="R222" s="44"/>
      <c r="S222" s="5" t="s">
        <v>16</v>
      </c>
      <c r="T222" s="46" t="str">
        <f>IF(VLOOKUP(S222,βοηθητικό!$J$2:$N$354,3,FALSE)="","",VLOOKUP(S222,βοηθητικό!$J$2:$N$354,3,FALSE))</f>
        <v>_</v>
      </c>
      <c r="U222" s="47"/>
      <c r="V222" s="4" t="s">
        <v>16</v>
      </c>
      <c r="W222" s="43" t="str">
        <f>IF(VLOOKUP(V222,βοηθητικό!$J$2:$N$354,3,FALSE)="","",VLOOKUP(V222,βοηθητικό!$J$2:$N$354,3,FALSE))</f>
        <v>_</v>
      </c>
      <c r="X222" s="44"/>
      <c r="Y222" s="5" t="s">
        <v>16</v>
      </c>
      <c r="Z222" s="46" t="str">
        <f>IF(VLOOKUP(Y222,βοηθητικό!$J$2:$N$354,3,FALSE)="","",VLOOKUP(Y222,βοηθητικό!$J$2:$N$354,3,FALSE))</f>
        <v>_</v>
      </c>
      <c r="AA222" s="47"/>
      <c r="AB222" s="4" t="s">
        <v>16</v>
      </c>
      <c r="AC222" s="43" t="str">
        <f>IF(VLOOKUP(AB222,βοηθητικό!$J$2:$N$354,3,FALSE)="","",VLOOKUP(AB222,βοηθητικό!$J$2:$N$354,3,FALSE))</f>
        <v>_</v>
      </c>
      <c r="AD222" s="44"/>
      <c r="AE222" s="5" t="s">
        <v>16</v>
      </c>
      <c r="AF222" s="46" t="str">
        <f>IF(VLOOKUP(AE222,βοηθητικό!$J$2:$N$354,3,FALSE)="","",VLOOKUP(AE222,βοηθητικό!$J$2:$N$354,3,FALSE))</f>
        <v>_</v>
      </c>
      <c r="AG222" s="47"/>
      <c r="AH222" s="4" t="s">
        <v>16</v>
      </c>
      <c r="AI222" s="43" t="str">
        <f>IF(VLOOKUP(AH222,βοηθητικό!$J$2:$N$354,3,FALSE)="","",VLOOKUP(AH222,βοηθητικό!$J$2:$N$354,3,FALSE))</f>
        <v>_</v>
      </c>
      <c r="AJ222" s="44"/>
      <c r="AK222" s="5" t="s">
        <v>16</v>
      </c>
      <c r="AL222" s="46" t="str">
        <f>IF(VLOOKUP(AK222,βοηθητικό!$J$2:$N$354,3,FALSE)="","",VLOOKUP(AK222,βοηθητικό!$J$2:$N$354,3,FALSE))</f>
        <v>_</v>
      </c>
      <c r="AM222" s="47"/>
      <c r="AN222" s="4" t="s">
        <v>16</v>
      </c>
      <c r="AO222" s="43" t="str">
        <f>IF(VLOOKUP(AN222,βοηθητικό!$J$2:$N$354,3,FALSE)="","",VLOOKUP(AN222,βοηθητικό!$J$2:$N$354,3,FALSE))</f>
        <v>_</v>
      </c>
      <c r="AP222" s="44"/>
      <c r="AQ222" s="5" t="s">
        <v>16</v>
      </c>
      <c r="AR222" s="46" t="str">
        <f>IF(VLOOKUP(AQ222,βοηθητικό!$J$2:$N$354,3,FALSE)="","",VLOOKUP(AQ222,βοηθητικό!$J$2:$N$354,3,FALSE))</f>
        <v>_</v>
      </c>
      <c r="AS222" s="47"/>
      <c r="AT222" s="4" t="s">
        <v>16</v>
      </c>
      <c r="AU222" s="43" t="str">
        <f>IF(VLOOKUP(AT222,βοηθητικό!$J$2:$N$354,3,FALSE)="","",VLOOKUP(AT222,βοηθητικό!$J$2:$N$354,3,FALSE))</f>
        <v>_</v>
      </c>
      <c r="AV222" s="44"/>
      <c r="AW222" s="5" t="s">
        <v>16</v>
      </c>
      <c r="AX222" s="46" t="str">
        <f>IF(VLOOKUP(AW222,βοηθητικό!$J$2:$N$354,3,FALSE)="","",VLOOKUP(AW222,βοηθητικό!$J$2:$N$354,3,FALSE))</f>
        <v>_</v>
      </c>
      <c r="AY222" s="47"/>
      <c r="AZ222" s="4" t="s">
        <v>16</v>
      </c>
      <c r="BA222" s="43" t="str">
        <f>IF(VLOOKUP(AZ222,βοηθητικό!$J$2:$N$354,3,FALSE)="","",VLOOKUP(AZ222,βοηθητικό!$J$2:$N$354,3,FALSE))</f>
        <v>_</v>
      </c>
      <c r="BB222" s="44"/>
      <c r="BC222" s="45" t="s">
        <v>16</v>
      </c>
      <c r="BD222" s="46" t="str">
        <f>IF(VLOOKUP(BC222,βοηθητικό!$J$2:$N$354,3,FALSE)="","",VLOOKUP(BC222,βοηθητικό!$J$2:$N$354,3,FALSE))</f>
        <v>_</v>
      </c>
      <c r="BE222" s="47"/>
      <c r="BF222" s="42" t="s">
        <v>16</v>
      </c>
      <c r="BG222" s="43" t="str">
        <f>IF(VLOOKUP(BF222,βοηθητικό!$J$2:$N$354,3,FALSE)="","",VLOOKUP(BF222,βοηθητικό!$J$2:$N$354,3,FALSE))</f>
        <v>_</v>
      </c>
      <c r="BH222" s="44"/>
      <c r="BI222" s="45" t="s">
        <v>16</v>
      </c>
      <c r="BJ222" s="46" t="str">
        <f>IF(VLOOKUP(BI222,βοηθητικό!$J$2:$N$354,3,FALSE)="","",VLOOKUP(BI222,βοηθητικό!$J$2:$N$354,3,FALSE))</f>
        <v>_</v>
      </c>
      <c r="BK222" s="47"/>
      <c r="BL222" s="42" t="s">
        <v>16</v>
      </c>
      <c r="BM222" s="43" t="str">
        <f>IF(VLOOKUP(BL222,βοηθητικό!$J$2:$N$354,3,FALSE)="","",VLOOKUP(BL222,βοηθητικό!$J$2:$N$354,3,FALSE))</f>
        <v>_</v>
      </c>
      <c r="BN222" s="44"/>
      <c r="BO222" s="45" t="s">
        <v>16</v>
      </c>
      <c r="BP222" s="46" t="str">
        <f>IF(VLOOKUP(BO222,βοηθητικό!$J$2:$N$354,3,FALSE)="","",VLOOKUP(BO222,βοηθητικό!$J$2:$N$354,3,FALSE))</f>
        <v>_</v>
      </c>
      <c r="BQ222" s="47"/>
      <c r="BR222" s="42" t="s">
        <v>16</v>
      </c>
      <c r="BS222" s="43" t="str">
        <f>IF(VLOOKUP(BR222,βοηθητικό!$J$2:$N$354,3,FALSE)="","",VLOOKUP(BR222,βοηθητικό!$J$2:$N$354,3,FALSE))</f>
        <v>_</v>
      </c>
      <c r="BT222" s="44"/>
      <c r="BU222" s="45" t="s">
        <v>16</v>
      </c>
      <c r="BV222" s="46" t="str">
        <f>IF(VLOOKUP(BU222,βοηθητικό!$J$2:$N$354,3,FALSE)="","",VLOOKUP(BU222,βοηθητικό!$J$2:$N$354,3,FALSE))</f>
        <v>_</v>
      </c>
      <c r="BW222" s="47"/>
      <c r="BX222" s="42" t="s">
        <v>16</v>
      </c>
      <c r="BY222" s="43" t="str">
        <f>IF(VLOOKUP(BX222,βοηθητικό!$J$2:$N$354,3,FALSE)="","",VLOOKUP(BX222,βοηθητικό!$J$2:$N$354,3,FALSE))</f>
        <v>_</v>
      </c>
      <c r="BZ222" s="44"/>
      <c r="CA222" s="45" t="s">
        <v>16</v>
      </c>
      <c r="CB222" s="46" t="str">
        <f>IF(VLOOKUP(CA222,βοηθητικό!$J$2:$N$354,3,FALSE)="","",VLOOKUP(CA222,βοηθητικό!$J$2:$N$354,3,FALSE))</f>
        <v>_</v>
      </c>
      <c r="CC222" s="47"/>
      <c r="CD222" s="42" t="s">
        <v>16</v>
      </c>
      <c r="CE222" s="43" t="str">
        <f>IF(VLOOKUP(CD222,βοηθητικό!$J$2:$N$354,3,FALSE)="","",VLOOKUP(CD222,βοηθητικό!$J$2:$N$354,3,FALSE))</f>
        <v>_</v>
      </c>
      <c r="CF222" s="44"/>
      <c r="CG222" s="45" t="s">
        <v>16</v>
      </c>
      <c r="CH222" s="46" t="str">
        <f>IF(VLOOKUP(CG222,βοηθητικό!$J$2:$N$354,3,FALSE)="","",VLOOKUP(CG222,βοηθητικό!$J$2:$N$354,3,FALSE))</f>
        <v>_</v>
      </c>
      <c r="CI222" s="47"/>
      <c r="CJ222" s="42" t="s">
        <v>16</v>
      </c>
      <c r="CK222" s="43" t="str">
        <f>IF(VLOOKUP(CJ222,βοηθητικό!$J$2:$N$354,3,FALSE)="","",VLOOKUP(CJ222,βοηθητικό!$J$2:$N$354,3,FALSE))</f>
        <v>_</v>
      </c>
      <c r="CL222" s="44"/>
      <c r="CM222" s="45" t="s">
        <v>16</v>
      </c>
      <c r="CN222" s="46" t="str">
        <f>IF(VLOOKUP(CM222,βοηθητικό!$J$2:$N$354,3,FALSE)="","",VLOOKUP(CM222,βοηθητικό!$J$2:$N$354,3,FALSE))</f>
        <v>_</v>
      </c>
      <c r="CO222" s="47"/>
      <c r="CP222" s="42" t="s">
        <v>16</v>
      </c>
      <c r="CQ222" s="43" t="str">
        <f>IF(VLOOKUP(CP222,βοηθητικό!$J$2:$N$354,3,FALSE)="","",VLOOKUP(CP222,βοηθητικό!$J$2:$N$354,3,FALSE))</f>
        <v>_</v>
      </c>
      <c r="CR222" s="44"/>
      <c r="CS222" s="45" t="s">
        <v>16</v>
      </c>
      <c r="CT222" s="46" t="str">
        <f>IF(VLOOKUP(CS222,βοηθητικό!$J$2:$N$354,3,FALSE)="","",VLOOKUP(CS222,βοηθητικό!$J$2:$N$354,3,FALSE))</f>
        <v>_</v>
      </c>
      <c r="CU222" s="47"/>
    </row>
    <row r="223" spans="1:99" x14ac:dyDescent="0.25">
      <c r="A223" s="37">
        <f>--SUBTOTAL(3,$B$3:B222)</f>
        <v>198</v>
      </c>
      <c r="B223" s="2"/>
      <c r="C223" s="3"/>
      <c r="D223" s="55" t="s">
        <v>18</v>
      </c>
      <c r="E223" s="38" t="s">
        <v>16</v>
      </c>
      <c r="F223" s="38" t="s">
        <v>16</v>
      </c>
      <c r="G223" s="39" t="str">
        <f t="shared" si="11"/>
        <v>__</v>
      </c>
      <c r="H223" s="40" t="str">
        <f t="shared" si="12"/>
        <v>FALSE</v>
      </c>
      <c r="I223" s="41">
        <f t="shared" si="13"/>
        <v>0</v>
      </c>
      <c r="J223" s="4" t="s">
        <v>16</v>
      </c>
      <c r="K223" s="43" t="str">
        <f>IF(VLOOKUP(J223,βοηθητικό!$J$2:$N$354,3,FALSE)="","",VLOOKUP(J223,βοηθητικό!$J$2:$N$354,3,FALSE))</f>
        <v>_</v>
      </c>
      <c r="L223" s="44"/>
      <c r="M223" s="5" t="s">
        <v>16</v>
      </c>
      <c r="N223" s="46" t="str">
        <f>IF(VLOOKUP(M223,βοηθητικό!$J$2:$N$354,3,FALSE)="","",VLOOKUP(M223,βοηθητικό!$J$2:$N$354,3,FALSE))</f>
        <v>_</v>
      </c>
      <c r="O223" s="47"/>
      <c r="P223" s="4" t="s">
        <v>16</v>
      </c>
      <c r="Q223" s="43" t="str">
        <f>IF(VLOOKUP(P223,βοηθητικό!$J$2:$N$354,3,FALSE)="","",VLOOKUP(P223,βοηθητικό!$J$2:$N$354,3,FALSE))</f>
        <v>_</v>
      </c>
      <c r="R223" s="44"/>
      <c r="S223" s="5" t="s">
        <v>16</v>
      </c>
      <c r="T223" s="46" t="str">
        <f>IF(VLOOKUP(S223,βοηθητικό!$J$2:$N$354,3,FALSE)="","",VLOOKUP(S223,βοηθητικό!$J$2:$N$354,3,FALSE))</f>
        <v>_</v>
      </c>
      <c r="U223" s="47"/>
      <c r="V223" s="4" t="s">
        <v>16</v>
      </c>
      <c r="W223" s="43" t="str">
        <f>IF(VLOOKUP(V223,βοηθητικό!$J$2:$N$354,3,FALSE)="","",VLOOKUP(V223,βοηθητικό!$J$2:$N$354,3,FALSE))</f>
        <v>_</v>
      </c>
      <c r="X223" s="44"/>
      <c r="Y223" s="5" t="s">
        <v>16</v>
      </c>
      <c r="Z223" s="46" t="str">
        <f>IF(VLOOKUP(Y223,βοηθητικό!$J$2:$N$354,3,FALSE)="","",VLOOKUP(Y223,βοηθητικό!$J$2:$N$354,3,FALSE))</f>
        <v>_</v>
      </c>
      <c r="AA223" s="47"/>
      <c r="AB223" s="4" t="s">
        <v>16</v>
      </c>
      <c r="AC223" s="43" t="str">
        <f>IF(VLOOKUP(AB223,βοηθητικό!$J$2:$N$354,3,FALSE)="","",VLOOKUP(AB223,βοηθητικό!$J$2:$N$354,3,FALSE))</f>
        <v>_</v>
      </c>
      <c r="AD223" s="44"/>
      <c r="AE223" s="5" t="s">
        <v>16</v>
      </c>
      <c r="AF223" s="46" t="str">
        <f>IF(VLOOKUP(AE223,βοηθητικό!$J$2:$N$354,3,FALSE)="","",VLOOKUP(AE223,βοηθητικό!$J$2:$N$354,3,FALSE))</f>
        <v>_</v>
      </c>
      <c r="AG223" s="47"/>
      <c r="AH223" s="4" t="s">
        <v>16</v>
      </c>
      <c r="AI223" s="43" t="str">
        <f>IF(VLOOKUP(AH223,βοηθητικό!$J$2:$N$354,3,FALSE)="","",VLOOKUP(AH223,βοηθητικό!$J$2:$N$354,3,FALSE))</f>
        <v>_</v>
      </c>
      <c r="AJ223" s="44"/>
      <c r="AK223" s="5" t="s">
        <v>16</v>
      </c>
      <c r="AL223" s="46" t="str">
        <f>IF(VLOOKUP(AK223,βοηθητικό!$J$2:$N$354,3,FALSE)="","",VLOOKUP(AK223,βοηθητικό!$J$2:$N$354,3,FALSE))</f>
        <v>_</v>
      </c>
      <c r="AM223" s="47"/>
      <c r="AN223" s="4" t="s">
        <v>16</v>
      </c>
      <c r="AO223" s="43" t="str">
        <f>IF(VLOOKUP(AN223,βοηθητικό!$J$2:$N$354,3,FALSE)="","",VLOOKUP(AN223,βοηθητικό!$J$2:$N$354,3,FALSE))</f>
        <v>_</v>
      </c>
      <c r="AP223" s="44"/>
      <c r="AQ223" s="5" t="s">
        <v>16</v>
      </c>
      <c r="AR223" s="46" t="str">
        <f>IF(VLOOKUP(AQ223,βοηθητικό!$J$2:$N$354,3,FALSE)="","",VLOOKUP(AQ223,βοηθητικό!$J$2:$N$354,3,FALSE))</f>
        <v>_</v>
      </c>
      <c r="AS223" s="47"/>
      <c r="AT223" s="4" t="s">
        <v>16</v>
      </c>
      <c r="AU223" s="43" t="str">
        <f>IF(VLOOKUP(AT223,βοηθητικό!$J$2:$N$354,3,FALSE)="","",VLOOKUP(AT223,βοηθητικό!$J$2:$N$354,3,FALSE))</f>
        <v>_</v>
      </c>
      <c r="AV223" s="44"/>
      <c r="AW223" s="5" t="s">
        <v>16</v>
      </c>
      <c r="AX223" s="46" t="str">
        <f>IF(VLOOKUP(AW223,βοηθητικό!$J$2:$N$354,3,FALSE)="","",VLOOKUP(AW223,βοηθητικό!$J$2:$N$354,3,FALSE))</f>
        <v>_</v>
      </c>
      <c r="AY223" s="47"/>
      <c r="AZ223" s="4" t="s">
        <v>16</v>
      </c>
      <c r="BA223" s="43" t="str">
        <f>IF(VLOOKUP(AZ223,βοηθητικό!$J$2:$N$354,3,FALSE)="","",VLOOKUP(AZ223,βοηθητικό!$J$2:$N$354,3,FALSE))</f>
        <v>_</v>
      </c>
      <c r="BB223" s="44"/>
      <c r="BC223" s="45" t="s">
        <v>16</v>
      </c>
      <c r="BD223" s="46" t="str">
        <f>IF(VLOOKUP(BC223,βοηθητικό!$J$2:$N$354,3,FALSE)="","",VLOOKUP(BC223,βοηθητικό!$J$2:$N$354,3,FALSE))</f>
        <v>_</v>
      </c>
      <c r="BE223" s="47"/>
      <c r="BF223" s="42" t="s">
        <v>16</v>
      </c>
      <c r="BG223" s="43" t="str">
        <f>IF(VLOOKUP(BF223,βοηθητικό!$J$2:$N$354,3,FALSE)="","",VLOOKUP(BF223,βοηθητικό!$J$2:$N$354,3,FALSE))</f>
        <v>_</v>
      </c>
      <c r="BH223" s="44"/>
      <c r="BI223" s="45" t="s">
        <v>16</v>
      </c>
      <c r="BJ223" s="46" t="str">
        <f>IF(VLOOKUP(BI223,βοηθητικό!$J$2:$N$354,3,FALSE)="","",VLOOKUP(BI223,βοηθητικό!$J$2:$N$354,3,FALSE))</f>
        <v>_</v>
      </c>
      <c r="BK223" s="47"/>
      <c r="BL223" s="42" t="s">
        <v>16</v>
      </c>
      <c r="BM223" s="43" t="str">
        <f>IF(VLOOKUP(BL223,βοηθητικό!$J$2:$N$354,3,FALSE)="","",VLOOKUP(BL223,βοηθητικό!$J$2:$N$354,3,FALSE))</f>
        <v>_</v>
      </c>
      <c r="BN223" s="44"/>
      <c r="BO223" s="45" t="s">
        <v>16</v>
      </c>
      <c r="BP223" s="46" t="str">
        <f>IF(VLOOKUP(BO223,βοηθητικό!$J$2:$N$354,3,FALSE)="","",VLOOKUP(BO223,βοηθητικό!$J$2:$N$354,3,FALSE))</f>
        <v>_</v>
      </c>
      <c r="BQ223" s="47"/>
      <c r="BR223" s="42" t="s">
        <v>16</v>
      </c>
      <c r="BS223" s="43" t="str">
        <f>IF(VLOOKUP(BR223,βοηθητικό!$J$2:$N$354,3,FALSE)="","",VLOOKUP(BR223,βοηθητικό!$J$2:$N$354,3,FALSE))</f>
        <v>_</v>
      </c>
      <c r="BT223" s="44"/>
      <c r="BU223" s="45" t="s">
        <v>16</v>
      </c>
      <c r="BV223" s="46" t="str">
        <f>IF(VLOOKUP(BU223,βοηθητικό!$J$2:$N$354,3,FALSE)="","",VLOOKUP(BU223,βοηθητικό!$J$2:$N$354,3,FALSE))</f>
        <v>_</v>
      </c>
      <c r="BW223" s="47"/>
      <c r="BX223" s="42" t="s">
        <v>16</v>
      </c>
      <c r="BY223" s="43" t="str">
        <f>IF(VLOOKUP(BX223,βοηθητικό!$J$2:$N$354,3,FALSE)="","",VLOOKUP(BX223,βοηθητικό!$J$2:$N$354,3,FALSE))</f>
        <v>_</v>
      </c>
      <c r="BZ223" s="44"/>
      <c r="CA223" s="45" t="s">
        <v>16</v>
      </c>
      <c r="CB223" s="46" t="str">
        <f>IF(VLOOKUP(CA223,βοηθητικό!$J$2:$N$354,3,FALSE)="","",VLOOKUP(CA223,βοηθητικό!$J$2:$N$354,3,FALSE))</f>
        <v>_</v>
      </c>
      <c r="CC223" s="47"/>
      <c r="CD223" s="42" t="s">
        <v>16</v>
      </c>
      <c r="CE223" s="43" t="str">
        <f>IF(VLOOKUP(CD223,βοηθητικό!$J$2:$N$354,3,FALSE)="","",VLOOKUP(CD223,βοηθητικό!$J$2:$N$354,3,FALSE))</f>
        <v>_</v>
      </c>
      <c r="CF223" s="44"/>
      <c r="CG223" s="45" t="s">
        <v>16</v>
      </c>
      <c r="CH223" s="46" t="str">
        <f>IF(VLOOKUP(CG223,βοηθητικό!$J$2:$N$354,3,FALSE)="","",VLOOKUP(CG223,βοηθητικό!$J$2:$N$354,3,FALSE))</f>
        <v>_</v>
      </c>
      <c r="CI223" s="47"/>
      <c r="CJ223" s="42" t="s">
        <v>16</v>
      </c>
      <c r="CK223" s="43" t="str">
        <f>IF(VLOOKUP(CJ223,βοηθητικό!$J$2:$N$354,3,FALSE)="","",VLOOKUP(CJ223,βοηθητικό!$J$2:$N$354,3,FALSE))</f>
        <v>_</v>
      </c>
      <c r="CL223" s="44"/>
      <c r="CM223" s="45" t="s">
        <v>16</v>
      </c>
      <c r="CN223" s="46" t="str">
        <f>IF(VLOOKUP(CM223,βοηθητικό!$J$2:$N$354,3,FALSE)="","",VLOOKUP(CM223,βοηθητικό!$J$2:$N$354,3,FALSE))</f>
        <v>_</v>
      </c>
      <c r="CO223" s="47"/>
      <c r="CP223" s="42" t="s">
        <v>16</v>
      </c>
      <c r="CQ223" s="43" t="str">
        <f>IF(VLOOKUP(CP223,βοηθητικό!$J$2:$N$354,3,FALSE)="","",VLOOKUP(CP223,βοηθητικό!$J$2:$N$354,3,FALSE))</f>
        <v>_</v>
      </c>
      <c r="CR223" s="44"/>
      <c r="CS223" s="45" t="s">
        <v>16</v>
      </c>
      <c r="CT223" s="46" t="str">
        <f>IF(VLOOKUP(CS223,βοηθητικό!$J$2:$N$354,3,FALSE)="","",VLOOKUP(CS223,βοηθητικό!$J$2:$N$354,3,FALSE))</f>
        <v>_</v>
      </c>
      <c r="CU223" s="47"/>
    </row>
    <row r="224" spans="1:99" x14ac:dyDescent="0.25">
      <c r="A224" s="37">
        <f>--SUBTOTAL(3,$B$3:B223)</f>
        <v>198</v>
      </c>
      <c r="B224" s="2"/>
      <c r="C224" s="3"/>
      <c r="D224" s="55" t="s">
        <v>18</v>
      </c>
      <c r="E224" s="38" t="s">
        <v>16</v>
      </c>
      <c r="F224" s="38" t="s">
        <v>16</v>
      </c>
      <c r="G224" s="39" t="str">
        <f t="shared" si="11"/>
        <v>__</v>
      </c>
      <c r="H224" s="40" t="str">
        <f t="shared" si="12"/>
        <v>FALSE</v>
      </c>
      <c r="I224" s="41">
        <f t="shared" si="13"/>
        <v>0</v>
      </c>
      <c r="J224" s="4" t="s">
        <v>16</v>
      </c>
      <c r="K224" s="43" t="str">
        <f>IF(VLOOKUP(J224,βοηθητικό!$J$2:$N$354,3,FALSE)="","",VLOOKUP(J224,βοηθητικό!$J$2:$N$354,3,FALSE))</f>
        <v>_</v>
      </c>
      <c r="L224" s="44"/>
      <c r="M224" s="5" t="s">
        <v>16</v>
      </c>
      <c r="N224" s="46" t="str">
        <f>IF(VLOOKUP(M224,βοηθητικό!$J$2:$N$354,3,FALSE)="","",VLOOKUP(M224,βοηθητικό!$J$2:$N$354,3,FALSE))</f>
        <v>_</v>
      </c>
      <c r="O224" s="47"/>
      <c r="P224" s="4" t="s">
        <v>16</v>
      </c>
      <c r="Q224" s="43" t="str">
        <f>IF(VLOOKUP(P224,βοηθητικό!$J$2:$N$354,3,FALSE)="","",VLOOKUP(P224,βοηθητικό!$J$2:$N$354,3,FALSE))</f>
        <v>_</v>
      </c>
      <c r="R224" s="44"/>
      <c r="S224" s="5" t="s">
        <v>16</v>
      </c>
      <c r="T224" s="46" t="str">
        <f>IF(VLOOKUP(S224,βοηθητικό!$J$2:$N$354,3,FALSE)="","",VLOOKUP(S224,βοηθητικό!$J$2:$N$354,3,FALSE))</f>
        <v>_</v>
      </c>
      <c r="U224" s="47"/>
      <c r="V224" s="4" t="s">
        <v>16</v>
      </c>
      <c r="W224" s="43" t="str">
        <f>IF(VLOOKUP(V224,βοηθητικό!$J$2:$N$354,3,FALSE)="","",VLOOKUP(V224,βοηθητικό!$J$2:$N$354,3,FALSE))</f>
        <v>_</v>
      </c>
      <c r="X224" s="44"/>
      <c r="Y224" s="5" t="s">
        <v>16</v>
      </c>
      <c r="Z224" s="46" t="str">
        <f>IF(VLOOKUP(Y224,βοηθητικό!$J$2:$N$354,3,FALSE)="","",VLOOKUP(Y224,βοηθητικό!$J$2:$N$354,3,FALSE))</f>
        <v>_</v>
      </c>
      <c r="AA224" s="47"/>
      <c r="AB224" s="4" t="s">
        <v>16</v>
      </c>
      <c r="AC224" s="43" t="str">
        <f>IF(VLOOKUP(AB224,βοηθητικό!$J$2:$N$354,3,FALSE)="","",VLOOKUP(AB224,βοηθητικό!$J$2:$N$354,3,FALSE))</f>
        <v>_</v>
      </c>
      <c r="AD224" s="44"/>
      <c r="AE224" s="5" t="s">
        <v>16</v>
      </c>
      <c r="AF224" s="46" t="str">
        <f>IF(VLOOKUP(AE224,βοηθητικό!$J$2:$N$354,3,FALSE)="","",VLOOKUP(AE224,βοηθητικό!$J$2:$N$354,3,FALSE))</f>
        <v>_</v>
      </c>
      <c r="AG224" s="47"/>
      <c r="AH224" s="4" t="s">
        <v>16</v>
      </c>
      <c r="AI224" s="43" t="str">
        <f>IF(VLOOKUP(AH224,βοηθητικό!$J$2:$N$354,3,FALSE)="","",VLOOKUP(AH224,βοηθητικό!$J$2:$N$354,3,FALSE))</f>
        <v>_</v>
      </c>
      <c r="AJ224" s="44"/>
      <c r="AK224" s="5" t="s">
        <v>16</v>
      </c>
      <c r="AL224" s="46" t="str">
        <f>IF(VLOOKUP(AK224,βοηθητικό!$J$2:$N$354,3,FALSE)="","",VLOOKUP(AK224,βοηθητικό!$J$2:$N$354,3,FALSE))</f>
        <v>_</v>
      </c>
      <c r="AM224" s="47"/>
      <c r="AN224" s="4" t="s">
        <v>16</v>
      </c>
      <c r="AO224" s="43" t="str">
        <f>IF(VLOOKUP(AN224,βοηθητικό!$J$2:$N$354,3,FALSE)="","",VLOOKUP(AN224,βοηθητικό!$J$2:$N$354,3,FALSE))</f>
        <v>_</v>
      </c>
      <c r="AP224" s="44"/>
      <c r="AQ224" s="5" t="s">
        <v>16</v>
      </c>
      <c r="AR224" s="46" t="str">
        <f>IF(VLOOKUP(AQ224,βοηθητικό!$J$2:$N$354,3,FALSE)="","",VLOOKUP(AQ224,βοηθητικό!$J$2:$N$354,3,FALSE))</f>
        <v>_</v>
      </c>
      <c r="AS224" s="47"/>
      <c r="AT224" s="4" t="s">
        <v>16</v>
      </c>
      <c r="AU224" s="43" t="str">
        <f>IF(VLOOKUP(AT224,βοηθητικό!$J$2:$N$354,3,FALSE)="","",VLOOKUP(AT224,βοηθητικό!$J$2:$N$354,3,FALSE))</f>
        <v>_</v>
      </c>
      <c r="AV224" s="44"/>
      <c r="AW224" s="5" t="s">
        <v>16</v>
      </c>
      <c r="AX224" s="46" t="str">
        <f>IF(VLOOKUP(AW224,βοηθητικό!$J$2:$N$354,3,FALSE)="","",VLOOKUP(AW224,βοηθητικό!$J$2:$N$354,3,FALSE))</f>
        <v>_</v>
      </c>
      <c r="AY224" s="47"/>
      <c r="AZ224" s="4" t="s">
        <v>16</v>
      </c>
      <c r="BA224" s="43" t="str">
        <f>IF(VLOOKUP(AZ224,βοηθητικό!$J$2:$N$354,3,FALSE)="","",VLOOKUP(AZ224,βοηθητικό!$J$2:$N$354,3,FALSE))</f>
        <v>_</v>
      </c>
      <c r="BB224" s="44"/>
      <c r="BC224" s="45" t="s">
        <v>16</v>
      </c>
      <c r="BD224" s="46" t="str">
        <f>IF(VLOOKUP(BC224,βοηθητικό!$J$2:$N$354,3,FALSE)="","",VLOOKUP(BC224,βοηθητικό!$J$2:$N$354,3,FALSE))</f>
        <v>_</v>
      </c>
      <c r="BE224" s="47"/>
      <c r="BF224" s="42" t="s">
        <v>16</v>
      </c>
      <c r="BG224" s="43" t="str">
        <f>IF(VLOOKUP(BF224,βοηθητικό!$J$2:$N$354,3,FALSE)="","",VLOOKUP(BF224,βοηθητικό!$J$2:$N$354,3,FALSE))</f>
        <v>_</v>
      </c>
      <c r="BH224" s="44"/>
      <c r="BI224" s="45" t="s">
        <v>16</v>
      </c>
      <c r="BJ224" s="46" t="str">
        <f>IF(VLOOKUP(BI224,βοηθητικό!$J$2:$N$354,3,FALSE)="","",VLOOKUP(BI224,βοηθητικό!$J$2:$N$354,3,FALSE))</f>
        <v>_</v>
      </c>
      <c r="BK224" s="47"/>
      <c r="BL224" s="42" t="s">
        <v>16</v>
      </c>
      <c r="BM224" s="43" t="str">
        <f>IF(VLOOKUP(BL224,βοηθητικό!$J$2:$N$354,3,FALSE)="","",VLOOKUP(BL224,βοηθητικό!$J$2:$N$354,3,FALSE))</f>
        <v>_</v>
      </c>
      <c r="BN224" s="44"/>
      <c r="BO224" s="45" t="s">
        <v>16</v>
      </c>
      <c r="BP224" s="46" t="str">
        <f>IF(VLOOKUP(BO224,βοηθητικό!$J$2:$N$354,3,FALSE)="","",VLOOKUP(BO224,βοηθητικό!$J$2:$N$354,3,FALSE))</f>
        <v>_</v>
      </c>
      <c r="BQ224" s="47"/>
      <c r="BR224" s="42" t="s">
        <v>16</v>
      </c>
      <c r="BS224" s="43" t="str">
        <f>IF(VLOOKUP(BR224,βοηθητικό!$J$2:$N$354,3,FALSE)="","",VLOOKUP(BR224,βοηθητικό!$J$2:$N$354,3,FALSE))</f>
        <v>_</v>
      </c>
      <c r="BT224" s="44"/>
      <c r="BU224" s="45" t="s">
        <v>16</v>
      </c>
      <c r="BV224" s="46" t="str">
        <f>IF(VLOOKUP(BU224,βοηθητικό!$J$2:$N$354,3,FALSE)="","",VLOOKUP(BU224,βοηθητικό!$J$2:$N$354,3,FALSE))</f>
        <v>_</v>
      </c>
      <c r="BW224" s="47"/>
      <c r="BX224" s="42" t="s">
        <v>16</v>
      </c>
      <c r="BY224" s="43" t="str">
        <f>IF(VLOOKUP(BX224,βοηθητικό!$J$2:$N$354,3,FALSE)="","",VLOOKUP(BX224,βοηθητικό!$J$2:$N$354,3,FALSE))</f>
        <v>_</v>
      </c>
      <c r="BZ224" s="44"/>
      <c r="CA224" s="45" t="s">
        <v>16</v>
      </c>
      <c r="CB224" s="46" t="str">
        <f>IF(VLOOKUP(CA224,βοηθητικό!$J$2:$N$354,3,FALSE)="","",VLOOKUP(CA224,βοηθητικό!$J$2:$N$354,3,FALSE))</f>
        <v>_</v>
      </c>
      <c r="CC224" s="47"/>
      <c r="CD224" s="42" t="s">
        <v>16</v>
      </c>
      <c r="CE224" s="43" t="str">
        <f>IF(VLOOKUP(CD224,βοηθητικό!$J$2:$N$354,3,FALSE)="","",VLOOKUP(CD224,βοηθητικό!$J$2:$N$354,3,FALSE))</f>
        <v>_</v>
      </c>
      <c r="CF224" s="44"/>
      <c r="CG224" s="45" t="s">
        <v>16</v>
      </c>
      <c r="CH224" s="46" t="str">
        <f>IF(VLOOKUP(CG224,βοηθητικό!$J$2:$N$354,3,FALSE)="","",VLOOKUP(CG224,βοηθητικό!$J$2:$N$354,3,FALSE))</f>
        <v>_</v>
      </c>
      <c r="CI224" s="47"/>
      <c r="CJ224" s="42" t="s">
        <v>16</v>
      </c>
      <c r="CK224" s="43" t="str">
        <f>IF(VLOOKUP(CJ224,βοηθητικό!$J$2:$N$354,3,FALSE)="","",VLOOKUP(CJ224,βοηθητικό!$J$2:$N$354,3,FALSE))</f>
        <v>_</v>
      </c>
      <c r="CL224" s="44"/>
      <c r="CM224" s="45" t="s">
        <v>16</v>
      </c>
      <c r="CN224" s="46" t="str">
        <f>IF(VLOOKUP(CM224,βοηθητικό!$J$2:$N$354,3,FALSE)="","",VLOOKUP(CM224,βοηθητικό!$J$2:$N$354,3,FALSE))</f>
        <v>_</v>
      </c>
      <c r="CO224" s="47"/>
      <c r="CP224" s="42" t="s">
        <v>16</v>
      </c>
      <c r="CQ224" s="43" t="str">
        <f>IF(VLOOKUP(CP224,βοηθητικό!$J$2:$N$354,3,FALSE)="","",VLOOKUP(CP224,βοηθητικό!$J$2:$N$354,3,FALSE))</f>
        <v>_</v>
      </c>
      <c r="CR224" s="44"/>
      <c r="CS224" s="45" t="s">
        <v>16</v>
      </c>
      <c r="CT224" s="46" t="str">
        <f>IF(VLOOKUP(CS224,βοηθητικό!$J$2:$N$354,3,FALSE)="","",VLOOKUP(CS224,βοηθητικό!$J$2:$N$354,3,FALSE))</f>
        <v>_</v>
      </c>
      <c r="CU224" s="47"/>
    </row>
    <row r="225" spans="1:99" x14ac:dyDescent="0.25">
      <c r="A225" s="37">
        <f>--SUBTOTAL(3,$B$3:B224)</f>
        <v>198</v>
      </c>
      <c r="B225" s="2"/>
      <c r="C225" s="3"/>
      <c r="D225" s="55" t="s">
        <v>18</v>
      </c>
      <c r="E225" s="38" t="s">
        <v>16</v>
      </c>
      <c r="F225" s="38" t="s">
        <v>16</v>
      </c>
      <c r="G225" s="39" t="str">
        <f t="shared" si="11"/>
        <v>__</v>
      </c>
      <c r="H225" s="40" t="str">
        <f t="shared" si="12"/>
        <v>FALSE</v>
      </c>
      <c r="I225" s="41">
        <f t="shared" si="13"/>
        <v>0</v>
      </c>
      <c r="J225" s="4" t="s">
        <v>16</v>
      </c>
      <c r="K225" s="43" t="str">
        <f>IF(VLOOKUP(J225,βοηθητικό!$J$2:$N$354,3,FALSE)="","",VLOOKUP(J225,βοηθητικό!$J$2:$N$354,3,FALSE))</f>
        <v>_</v>
      </c>
      <c r="L225" s="44"/>
      <c r="M225" s="5" t="s">
        <v>16</v>
      </c>
      <c r="N225" s="46" t="str">
        <f>IF(VLOOKUP(M225,βοηθητικό!$J$2:$N$354,3,FALSE)="","",VLOOKUP(M225,βοηθητικό!$J$2:$N$354,3,FALSE))</f>
        <v>_</v>
      </c>
      <c r="O225" s="47"/>
      <c r="P225" s="4" t="s">
        <v>16</v>
      </c>
      <c r="Q225" s="43" t="str">
        <f>IF(VLOOKUP(P225,βοηθητικό!$J$2:$N$354,3,FALSE)="","",VLOOKUP(P225,βοηθητικό!$J$2:$N$354,3,FALSE))</f>
        <v>_</v>
      </c>
      <c r="R225" s="44"/>
      <c r="S225" s="5" t="s">
        <v>16</v>
      </c>
      <c r="T225" s="46" t="str">
        <f>IF(VLOOKUP(S225,βοηθητικό!$J$2:$N$354,3,FALSE)="","",VLOOKUP(S225,βοηθητικό!$J$2:$N$354,3,FALSE))</f>
        <v>_</v>
      </c>
      <c r="U225" s="47"/>
      <c r="V225" s="4" t="s">
        <v>16</v>
      </c>
      <c r="W225" s="43" t="str">
        <f>IF(VLOOKUP(V225,βοηθητικό!$J$2:$N$354,3,FALSE)="","",VLOOKUP(V225,βοηθητικό!$J$2:$N$354,3,FALSE))</f>
        <v>_</v>
      </c>
      <c r="X225" s="44"/>
      <c r="Y225" s="5" t="s">
        <v>16</v>
      </c>
      <c r="Z225" s="46" t="str">
        <f>IF(VLOOKUP(Y225,βοηθητικό!$J$2:$N$354,3,FALSE)="","",VLOOKUP(Y225,βοηθητικό!$J$2:$N$354,3,FALSE))</f>
        <v>_</v>
      </c>
      <c r="AA225" s="47"/>
      <c r="AB225" s="4" t="s">
        <v>16</v>
      </c>
      <c r="AC225" s="43" t="str">
        <f>IF(VLOOKUP(AB225,βοηθητικό!$J$2:$N$354,3,FALSE)="","",VLOOKUP(AB225,βοηθητικό!$J$2:$N$354,3,FALSE))</f>
        <v>_</v>
      </c>
      <c r="AD225" s="44"/>
      <c r="AE225" s="5" t="s">
        <v>16</v>
      </c>
      <c r="AF225" s="46" t="str">
        <f>IF(VLOOKUP(AE225,βοηθητικό!$J$2:$N$354,3,FALSE)="","",VLOOKUP(AE225,βοηθητικό!$J$2:$N$354,3,FALSE))</f>
        <v>_</v>
      </c>
      <c r="AG225" s="47"/>
      <c r="AH225" s="4" t="s">
        <v>16</v>
      </c>
      <c r="AI225" s="43" t="str">
        <f>IF(VLOOKUP(AH225,βοηθητικό!$J$2:$N$354,3,FALSE)="","",VLOOKUP(AH225,βοηθητικό!$J$2:$N$354,3,FALSE))</f>
        <v>_</v>
      </c>
      <c r="AJ225" s="44"/>
      <c r="AK225" s="5" t="s">
        <v>16</v>
      </c>
      <c r="AL225" s="46" t="str">
        <f>IF(VLOOKUP(AK225,βοηθητικό!$J$2:$N$354,3,FALSE)="","",VLOOKUP(AK225,βοηθητικό!$J$2:$N$354,3,FALSE))</f>
        <v>_</v>
      </c>
      <c r="AM225" s="47"/>
      <c r="AN225" s="4" t="s">
        <v>16</v>
      </c>
      <c r="AO225" s="43" t="str">
        <f>IF(VLOOKUP(AN225,βοηθητικό!$J$2:$N$354,3,FALSE)="","",VLOOKUP(AN225,βοηθητικό!$J$2:$N$354,3,FALSE))</f>
        <v>_</v>
      </c>
      <c r="AP225" s="44"/>
      <c r="AQ225" s="5" t="s">
        <v>16</v>
      </c>
      <c r="AR225" s="46" t="str">
        <f>IF(VLOOKUP(AQ225,βοηθητικό!$J$2:$N$354,3,FALSE)="","",VLOOKUP(AQ225,βοηθητικό!$J$2:$N$354,3,FALSE))</f>
        <v>_</v>
      </c>
      <c r="AS225" s="47"/>
      <c r="AT225" s="4" t="s">
        <v>16</v>
      </c>
      <c r="AU225" s="43" t="str">
        <f>IF(VLOOKUP(AT225,βοηθητικό!$J$2:$N$354,3,FALSE)="","",VLOOKUP(AT225,βοηθητικό!$J$2:$N$354,3,FALSE))</f>
        <v>_</v>
      </c>
      <c r="AV225" s="44"/>
      <c r="AW225" s="5" t="s">
        <v>16</v>
      </c>
      <c r="AX225" s="46" t="str">
        <f>IF(VLOOKUP(AW225,βοηθητικό!$J$2:$N$354,3,FALSE)="","",VLOOKUP(AW225,βοηθητικό!$J$2:$N$354,3,FALSE))</f>
        <v>_</v>
      </c>
      <c r="AY225" s="47"/>
      <c r="AZ225" s="4" t="s">
        <v>16</v>
      </c>
      <c r="BA225" s="43" t="str">
        <f>IF(VLOOKUP(AZ225,βοηθητικό!$J$2:$N$354,3,FALSE)="","",VLOOKUP(AZ225,βοηθητικό!$J$2:$N$354,3,FALSE))</f>
        <v>_</v>
      </c>
      <c r="BB225" s="44"/>
      <c r="BC225" s="45" t="s">
        <v>16</v>
      </c>
      <c r="BD225" s="46" t="str">
        <f>IF(VLOOKUP(BC225,βοηθητικό!$J$2:$N$354,3,FALSE)="","",VLOOKUP(BC225,βοηθητικό!$J$2:$N$354,3,FALSE))</f>
        <v>_</v>
      </c>
      <c r="BE225" s="47"/>
      <c r="BF225" s="42" t="s">
        <v>16</v>
      </c>
      <c r="BG225" s="43" t="str">
        <f>IF(VLOOKUP(BF225,βοηθητικό!$J$2:$N$354,3,FALSE)="","",VLOOKUP(BF225,βοηθητικό!$J$2:$N$354,3,FALSE))</f>
        <v>_</v>
      </c>
      <c r="BH225" s="44"/>
      <c r="BI225" s="45" t="s">
        <v>16</v>
      </c>
      <c r="BJ225" s="46" t="str">
        <f>IF(VLOOKUP(BI225,βοηθητικό!$J$2:$N$354,3,FALSE)="","",VLOOKUP(BI225,βοηθητικό!$J$2:$N$354,3,FALSE))</f>
        <v>_</v>
      </c>
      <c r="BK225" s="47"/>
      <c r="BL225" s="42" t="s">
        <v>16</v>
      </c>
      <c r="BM225" s="43" t="str">
        <f>IF(VLOOKUP(BL225,βοηθητικό!$J$2:$N$354,3,FALSE)="","",VLOOKUP(BL225,βοηθητικό!$J$2:$N$354,3,FALSE))</f>
        <v>_</v>
      </c>
      <c r="BN225" s="44"/>
      <c r="BO225" s="45" t="s">
        <v>16</v>
      </c>
      <c r="BP225" s="46" t="str">
        <f>IF(VLOOKUP(BO225,βοηθητικό!$J$2:$N$354,3,FALSE)="","",VLOOKUP(BO225,βοηθητικό!$J$2:$N$354,3,FALSE))</f>
        <v>_</v>
      </c>
      <c r="BQ225" s="47"/>
      <c r="BR225" s="42" t="s">
        <v>16</v>
      </c>
      <c r="BS225" s="43" t="str">
        <f>IF(VLOOKUP(BR225,βοηθητικό!$J$2:$N$354,3,FALSE)="","",VLOOKUP(BR225,βοηθητικό!$J$2:$N$354,3,FALSE))</f>
        <v>_</v>
      </c>
      <c r="BT225" s="44"/>
      <c r="BU225" s="45" t="s">
        <v>16</v>
      </c>
      <c r="BV225" s="46" t="str">
        <f>IF(VLOOKUP(BU225,βοηθητικό!$J$2:$N$354,3,FALSE)="","",VLOOKUP(BU225,βοηθητικό!$J$2:$N$354,3,FALSE))</f>
        <v>_</v>
      </c>
      <c r="BW225" s="47"/>
      <c r="BX225" s="42" t="s">
        <v>16</v>
      </c>
      <c r="BY225" s="43" t="str">
        <f>IF(VLOOKUP(BX225,βοηθητικό!$J$2:$N$354,3,FALSE)="","",VLOOKUP(BX225,βοηθητικό!$J$2:$N$354,3,FALSE))</f>
        <v>_</v>
      </c>
      <c r="BZ225" s="44"/>
      <c r="CA225" s="45" t="s">
        <v>16</v>
      </c>
      <c r="CB225" s="46" t="str">
        <f>IF(VLOOKUP(CA225,βοηθητικό!$J$2:$N$354,3,FALSE)="","",VLOOKUP(CA225,βοηθητικό!$J$2:$N$354,3,FALSE))</f>
        <v>_</v>
      </c>
      <c r="CC225" s="47"/>
      <c r="CD225" s="42" t="s">
        <v>16</v>
      </c>
      <c r="CE225" s="43" t="str">
        <f>IF(VLOOKUP(CD225,βοηθητικό!$J$2:$N$354,3,FALSE)="","",VLOOKUP(CD225,βοηθητικό!$J$2:$N$354,3,FALSE))</f>
        <v>_</v>
      </c>
      <c r="CF225" s="44"/>
      <c r="CG225" s="45" t="s">
        <v>16</v>
      </c>
      <c r="CH225" s="46" t="str">
        <f>IF(VLOOKUP(CG225,βοηθητικό!$J$2:$N$354,3,FALSE)="","",VLOOKUP(CG225,βοηθητικό!$J$2:$N$354,3,FALSE))</f>
        <v>_</v>
      </c>
      <c r="CI225" s="47"/>
      <c r="CJ225" s="42" t="s">
        <v>16</v>
      </c>
      <c r="CK225" s="43" t="str">
        <f>IF(VLOOKUP(CJ225,βοηθητικό!$J$2:$N$354,3,FALSE)="","",VLOOKUP(CJ225,βοηθητικό!$J$2:$N$354,3,FALSE))</f>
        <v>_</v>
      </c>
      <c r="CL225" s="44"/>
      <c r="CM225" s="45" t="s">
        <v>16</v>
      </c>
      <c r="CN225" s="46" t="str">
        <f>IF(VLOOKUP(CM225,βοηθητικό!$J$2:$N$354,3,FALSE)="","",VLOOKUP(CM225,βοηθητικό!$J$2:$N$354,3,FALSE))</f>
        <v>_</v>
      </c>
      <c r="CO225" s="47"/>
      <c r="CP225" s="42" t="s">
        <v>16</v>
      </c>
      <c r="CQ225" s="43" t="str">
        <f>IF(VLOOKUP(CP225,βοηθητικό!$J$2:$N$354,3,FALSE)="","",VLOOKUP(CP225,βοηθητικό!$J$2:$N$354,3,FALSE))</f>
        <v>_</v>
      </c>
      <c r="CR225" s="44"/>
      <c r="CS225" s="45" t="s">
        <v>16</v>
      </c>
      <c r="CT225" s="46" t="str">
        <f>IF(VLOOKUP(CS225,βοηθητικό!$J$2:$N$354,3,FALSE)="","",VLOOKUP(CS225,βοηθητικό!$J$2:$N$354,3,FALSE))</f>
        <v>_</v>
      </c>
      <c r="CU225" s="47"/>
    </row>
    <row r="226" spans="1:99" x14ac:dyDescent="0.25">
      <c r="A226" s="37">
        <f>--SUBTOTAL(3,$B$3:B225)</f>
        <v>198</v>
      </c>
      <c r="B226" s="2"/>
      <c r="C226" s="3"/>
      <c r="D226" s="55" t="s">
        <v>18</v>
      </c>
      <c r="E226" s="38" t="s">
        <v>16</v>
      </c>
      <c r="F226" s="38" t="s">
        <v>16</v>
      </c>
      <c r="G226" s="39" t="str">
        <f t="shared" si="11"/>
        <v>__</v>
      </c>
      <c r="H226" s="40" t="str">
        <f t="shared" si="12"/>
        <v>FALSE</v>
      </c>
      <c r="I226" s="41">
        <f t="shared" si="13"/>
        <v>0</v>
      </c>
      <c r="J226" s="4" t="s">
        <v>16</v>
      </c>
      <c r="K226" s="43" t="str">
        <f>IF(VLOOKUP(J226,βοηθητικό!$J$2:$N$354,3,FALSE)="","",VLOOKUP(J226,βοηθητικό!$J$2:$N$354,3,FALSE))</f>
        <v>_</v>
      </c>
      <c r="L226" s="44"/>
      <c r="M226" s="5" t="s">
        <v>16</v>
      </c>
      <c r="N226" s="46" t="str">
        <f>IF(VLOOKUP(M226,βοηθητικό!$J$2:$N$354,3,FALSE)="","",VLOOKUP(M226,βοηθητικό!$J$2:$N$354,3,FALSE))</f>
        <v>_</v>
      </c>
      <c r="O226" s="47"/>
      <c r="P226" s="4" t="s">
        <v>16</v>
      </c>
      <c r="Q226" s="43" t="str">
        <f>IF(VLOOKUP(P226,βοηθητικό!$J$2:$N$354,3,FALSE)="","",VLOOKUP(P226,βοηθητικό!$J$2:$N$354,3,FALSE))</f>
        <v>_</v>
      </c>
      <c r="R226" s="44"/>
      <c r="S226" s="5" t="s">
        <v>16</v>
      </c>
      <c r="T226" s="46" t="str">
        <f>IF(VLOOKUP(S226,βοηθητικό!$J$2:$N$354,3,FALSE)="","",VLOOKUP(S226,βοηθητικό!$J$2:$N$354,3,FALSE))</f>
        <v>_</v>
      </c>
      <c r="U226" s="47"/>
      <c r="V226" s="4" t="s">
        <v>16</v>
      </c>
      <c r="W226" s="43" t="str">
        <f>IF(VLOOKUP(V226,βοηθητικό!$J$2:$N$354,3,FALSE)="","",VLOOKUP(V226,βοηθητικό!$J$2:$N$354,3,FALSE))</f>
        <v>_</v>
      </c>
      <c r="X226" s="44"/>
      <c r="Y226" s="5" t="s">
        <v>16</v>
      </c>
      <c r="Z226" s="46" t="str">
        <f>IF(VLOOKUP(Y226,βοηθητικό!$J$2:$N$354,3,FALSE)="","",VLOOKUP(Y226,βοηθητικό!$J$2:$N$354,3,FALSE))</f>
        <v>_</v>
      </c>
      <c r="AA226" s="47"/>
      <c r="AB226" s="4" t="s">
        <v>16</v>
      </c>
      <c r="AC226" s="43" t="str">
        <f>IF(VLOOKUP(AB226,βοηθητικό!$J$2:$N$354,3,FALSE)="","",VLOOKUP(AB226,βοηθητικό!$J$2:$N$354,3,FALSE))</f>
        <v>_</v>
      </c>
      <c r="AD226" s="44"/>
      <c r="AE226" s="5" t="s">
        <v>16</v>
      </c>
      <c r="AF226" s="46" t="str">
        <f>IF(VLOOKUP(AE226,βοηθητικό!$J$2:$N$354,3,FALSE)="","",VLOOKUP(AE226,βοηθητικό!$J$2:$N$354,3,FALSE))</f>
        <v>_</v>
      </c>
      <c r="AG226" s="47"/>
      <c r="AH226" s="4" t="s">
        <v>16</v>
      </c>
      <c r="AI226" s="43" t="str">
        <f>IF(VLOOKUP(AH226,βοηθητικό!$J$2:$N$354,3,FALSE)="","",VLOOKUP(AH226,βοηθητικό!$J$2:$N$354,3,FALSE))</f>
        <v>_</v>
      </c>
      <c r="AJ226" s="44"/>
      <c r="AK226" s="5" t="s">
        <v>16</v>
      </c>
      <c r="AL226" s="46" t="str">
        <f>IF(VLOOKUP(AK226,βοηθητικό!$J$2:$N$354,3,FALSE)="","",VLOOKUP(AK226,βοηθητικό!$J$2:$N$354,3,FALSE))</f>
        <v>_</v>
      </c>
      <c r="AM226" s="47"/>
      <c r="AN226" s="4" t="s">
        <v>16</v>
      </c>
      <c r="AO226" s="43" t="str">
        <f>IF(VLOOKUP(AN226,βοηθητικό!$J$2:$N$354,3,FALSE)="","",VLOOKUP(AN226,βοηθητικό!$J$2:$N$354,3,FALSE))</f>
        <v>_</v>
      </c>
      <c r="AP226" s="44"/>
      <c r="AQ226" s="5" t="s">
        <v>16</v>
      </c>
      <c r="AR226" s="46" t="str">
        <f>IF(VLOOKUP(AQ226,βοηθητικό!$J$2:$N$354,3,FALSE)="","",VLOOKUP(AQ226,βοηθητικό!$J$2:$N$354,3,FALSE))</f>
        <v>_</v>
      </c>
      <c r="AS226" s="47"/>
      <c r="AT226" s="4" t="s">
        <v>16</v>
      </c>
      <c r="AU226" s="43" t="str">
        <f>IF(VLOOKUP(AT226,βοηθητικό!$J$2:$N$354,3,FALSE)="","",VLOOKUP(AT226,βοηθητικό!$J$2:$N$354,3,FALSE))</f>
        <v>_</v>
      </c>
      <c r="AV226" s="44"/>
      <c r="AW226" s="5" t="s">
        <v>16</v>
      </c>
      <c r="AX226" s="46" t="str">
        <f>IF(VLOOKUP(AW226,βοηθητικό!$J$2:$N$354,3,FALSE)="","",VLOOKUP(AW226,βοηθητικό!$J$2:$N$354,3,FALSE))</f>
        <v>_</v>
      </c>
      <c r="AY226" s="47"/>
      <c r="AZ226" s="4" t="s">
        <v>16</v>
      </c>
      <c r="BA226" s="43" t="str">
        <f>IF(VLOOKUP(AZ226,βοηθητικό!$J$2:$N$354,3,FALSE)="","",VLOOKUP(AZ226,βοηθητικό!$J$2:$N$354,3,FALSE))</f>
        <v>_</v>
      </c>
      <c r="BB226" s="44"/>
      <c r="BC226" s="45" t="s">
        <v>16</v>
      </c>
      <c r="BD226" s="46" t="str">
        <f>IF(VLOOKUP(BC226,βοηθητικό!$J$2:$N$354,3,FALSE)="","",VLOOKUP(BC226,βοηθητικό!$J$2:$N$354,3,FALSE))</f>
        <v>_</v>
      </c>
      <c r="BE226" s="47"/>
      <c r="BF226" s="42" t="s">
        <v>16</v>
      </c>
      <c r="BG226" s="43" t="str">
        <f>IF(VLOOKUP(BF226,βοηθητικό!$J$2:$N$354,3,FALSE)="","",VLOOKUP(BF226,βοηθητικό!$J$2:$N$354,3,FALSE))</f>
        <v>_</v>
      </c>
      <c r="BH226" s="44"/>
      <c r="BI226" s="45" t="s">
        <v>16</v>
      </c>
      <c r="BJ226" s="46" t="str">
        <f>IF(VLOOKUP(BI226,βοηθητικό!$J$2:$N$354,3,FALSE)="","",VLOOKUP(BI226,βοηθητικό!$J$2:$N$354,3,FALSE))</f>
        <v>_</v>
      </c>
      <c r="BK226" s="47"/>
      <c r="BL226" s="42" t="s">
        <v>16</v>
      </c>
      <c r="BM226" s="43" t="str">
        <f>IF(VLOOKUP(BL226,βοηθητικό!$J$2:$N$354,3,FALSE)="","",VLOOKUP(BL226,βοηθητικό!$J$2:$N$354,3,FALSE))</f>
        <v>_</v>
      </c>
      <c r="BN226" s="44"/>
      <c r="BO226" s="45" t="s">
        <v>16</v>
      </c>
      <c r="BP226" s="46" t="str">
        <f>IF(VLOOKUP(BO226,βοηθητικό!$J$2:$N$354,3,FALSE)="","",VLOOKUP(BO226,βοηθητικό!$J$2:$N$354,3,FALSE))</f>
        <v>_</v>
      </c>
      <c r="BQ226" s="47"/>
      <c r="BR226" s="42" t="s">
        <v>16</v>
      </c>
      <c r="BS226" s="43" t="str">
        <f>IF(VLOOKUP(BR226,βοηθητικό!$J$2:$N$354,3,FALSE)="","",VLOOKUP(BR226,βοηθητικό!$J$2:$N$354,3,FALSE))</f>
        <v>_</v>
      </c>
      <c r="BT226" s="44"/>
      <c r="BU226" s="45" t="s">
        <v>16</v>
      </c>
      <c r="BV226" s="46" t="str">
        <f>IF(VLOOKUP(BU226,βοηθητικό!$J$2:$N$354,3,FALSE)="","",VLOOKUP(BU226,βοηθητικό!$J$2:$N$354,3,FALSE))</f>
        <v>_</v>
      </c>
      <c r="BW226" s="47"/>
      <c r="BX226" s="42" t="s">
        <v>16</v>
      </c>
      <c r="BY226" s="43" t="str">
        <f>IF(VLOOKUP(BX226,βοηθητικό!$J$2:$N$354,3,FALSE)="","",VLOOKUP(BX226,βοηθητικό!$J$2:$N$354,3,FALSE))</f>
        <v>_</v>
      </c>
      <c r="BZ226" s="44"/>
      <c r="CA226" s="45" t="s">
        <v>16</v>
      </c>
      <c r="CB226" s="46" t="str">
        <f>IF(VLOOKUP(CA226,βοηθητικό!$J$2:$N$354,3,FALSE)="","",VLOOKUP(CA226,βοηθητικό!$J$2:$N$354,3,FALSE))</f>
        <v>_</v>
      </c>
      <c r="CC226" s="47"/>
      <c r="CD226" s="42" t="s">
        <v>16</v>
      </c>
      <c r="CE226" s="43" t="str">
        <f>IF(VLOOKUP(CD226,βοηθητικό!$J$2:$N$354,3,FALSE)="","",VLOOKUP(CD226,βοηθητικό!$J$2:$N$354,3,FALSE))</f>
        <v>_</v>
      </c>
      <c r="CF226" s="44"/>
      <c r="CG226" s="45" t="s">
        <v>16</v>
      </c>
      <c r="CH226" s="46" t="str">
        <f>IF(VLOOKUP(CG226,βοηθητικό!$J$2:$N$354,3,FALSE)="","",VLOOKUP(CG226,βοηθητικό!$J$2:$N$354,3,FALSE))</f>
        <v>_</v>
      </c>
      <c r="CI226" s="47"/>
      <c r="CJ226" s="42" t="s">
        <v>16</v>
      </c>
      <c r="CK226" s="43" t="str">
        <f>IF(VLOOKUP(CJ226,βοηθητικό!$J$2:$N$354,3,FALSE)="","",VLOOKUP(CJ226,βοηθητικό!$J$2:$N$354,3,FALSE))</f>
        <v>_</v>
      </c>
      <c r="CL226" s="44"/>
      <c r="CM226" s="45" t="s">
        <v>16</v>
      </c>
      <c r="CN226" s="46" t="str">
        <f>IF(VLOOKUP(CM226,βοηθητικό!$J$2:$N$354,3,FALSE)="","",VLOOKUP(CM226,βοηθητικό!$J$2:$N$354,3,FALSE))</f>
        <v>_</v>
      </c>
      <c r="CO226" s="47"/>
      <c r="CP226" s="42" t="s">
        <v>16</v>
      </c>
      <c r="CQ226" s="43" t="str">
        <f>IF(VLOOKUP(CP226,βοηθητικό!$J$2:$N$354,3,FALSE)="","",VLOOKUP(CP226,βοηθητικό!$J$2:$N$354,3,FALSE))</f>
        <v>_</v>
      </c>
      <c r="CR226" s="44"/>
      <c r="CS226" s="45" t="s">
        <v>16</v>
      </c>
      <c r="CT226" s="46" t="str">
        <f>IF(VLOOKUP(CS226,βοηθητικό!$J$2:$N$354,3,FALSE)="","",VLOOKUP(CS226,βοηθητικό!$J$2:$N$354,3,FALSE))</f>
        <v>_</v>
      </c>
      <c r="CU226" s="47"/>
    </row>
    <row r="227" spans="1:99" x14ac:dyDescent="0.25">
      <c r="A227" s="37">
        <f>--SUBTOTAL(3,$B$3:B226)</f>
        <v>198</v>
      </c>
      <c r="B227" s="2"/>
      <c r="C227" s="3"/>
      <c r="D227" s="55" t="s">
        <v>18</v>
      </c>
      <c r="E227" s="38" t="s">
        <v>16</v>
      </c>
      <c r="F227" s="38" t="s">
        <v>16</v>
      </c>
      <c r="G227" s="39" t="str">
        <f t="shared" si="11"/>
        <v>__</v>
      </c>
      <c r="H227" s="40" t="str">
        <f t="shared" si="12"/>
        <v>FALSE</v>
      </c>
      <c r="I227" s="41">
        <f t="shared" si="13"/>
        <v>0</v>
      </c>
      <c r="J227" s="4" t="s">
        <v>16</v>
      </c>
      <c r="K227" s="43" t="str">
        <f>IF(VLOOKUP(J227,βοηθητικό!$J$2:$N$354,3,FALSE)="","",VLOOKUP(J227,βοηθητικό!$J$2:$N$354,3,FALSE))</f>
        <v>_</v>
      </c>
      <c r="L227" s="44"/>
      <c r="M227" s="5" t="s">
        <v>16</v>
      </c>
      <c r="N227" s="46" t="str">
        <f>IF(VLOOKUP(M227,βοηθητικό!$J$2:$N$354,3,FALSE)="","",VLOOKUP(M227,βοηθητικό!$J$2:$N$354,3,FALSE))</f>
        <v>_</v>
      </c>
      <c r="O227" s="47"/>
      <c r="P227" s="4" t="s">
        <v>16</v>
      </c>
      <c r="Q227" s="43" t="str">
        <f>IF(VLOOKUP(P227,βοηθητικό!$J$2:$N$354,3,FALSE)="","",VLOOKUP(P227,βοηθητικό!$J$2:$N$354,3,FALSE))</f>
        <v>_</v>
      </c>
      <c r="R227" s="44"/>
      <c r="S227" s="5" t="s">
        <v>16</v>
      </c>
      <c r="T227" s="46" t="str">
        <f>IF(VLOOKUP(S227,βοηθητικό!$J$2:$N$354,3,FALSE)="","",VLOOKUP(S227,βοηθητικό!$J$2:$N$354,3,FALSE))</f>
        <v>_</v>
      </c>
      <c r="U227" s="47"/>
      <c r="V227" s="4" t="s">
        <v>16</v>
      </c>
      <c r="W227" s="43" t="str">
        <f>IF(VLOOKUP(V227,βοηθητικό!$J$2:$N$354,3,FALSE)="","",VLOOKUP(V227,βοηθητικό!$J$2:$N$354,3,FALSE))</f>
        <v>_</v>
      </c>
      <c r="X227" s="44"/>
      <c r="Y227" s="5" t="s">
        <v>16</v>
      </c>
      <c r="Z227" s="46" t="str">
        <f>IF(VLOOKUP(Y227,βοηθητικό!$J$2:$N$354,3,FALSE)="","",VLOOKUP(Y227,βοηθητικό!$J$2:$N$354,3,FALSE))</f>
        <v>_</v>
      </c>
      <c r="AA227" s="47"/>
      <c r="AB227" s="4" t="s">
        <v>16</v>
      </c>
      <c r="AC227" s="43" t="str">
        <f>IF(VLOOKUP(AB227,βοηθητικό!$J$2:$N$354,3,FALSE)="","",VLOOKUP(AB227,βοηθητικό!$J$2:$N$354,3,FALSE))</f>
        <v>_</v>
      </c>
      <c r="AD227" s="44"/>
      <c r="AE227" s="5" t="s">
        <v>16</v>
      </c>
      <c r="AF227" s="46" t="str">
        <f>IF(VLOOKUP(AE227,βοηθητικό!$J$2:$N$354,3,FALSE)="","",VLOOKUP(AE227,βοηθητικό!$J$2:$N$354,3,FALSE))</f>
        <v>_</v>
      </c>
      <c r="AG227" s="47"/>
      <c r="AH227" s="4" t="s">
        <v>16</v>
      </c>
      <c r="AI227" s="43" t="str">
        <f>IF(VLOOKUP(AH227,βοηθητικό!$J$2:$N$354,3,FALSE)="","",VLOOKUP(AH227,βοηθητικό!$J$2:$N$354,3,FALSE))</f>
        <v>_</v>
      </c>
      <c r="AJ227" s="44"/>
      <c r="AK227" s="5" t="s">
        <v>16</v>
      </c>
      <c r="AL227" s="46" t="str">
        <f>IF(VLOOKUP(AK227,βοηθητικό!$J$2:$N$354,3,FALSE)="","",VLOOKUP(AK227,βοηθητικό!$J$2:$N$354,3,FALSE))</f>
        <v>_</v>
      </c>
      <c r="AM227" s="47"/>
      <c r="AN227" s="4" t="s">
        <v>16</v>
      </c>
      <c r="AO227" s="43" t="str">
        <f>IF(VLOOKUP(AN227,βοηθητικό!$J$2:$N$354,3,FALSE)="","",VLOOKUP(AN227,βοηθητικό!$J$2:$N$354,3,FALSE))</f>
        <v>_</v>
      </c>
      <c r="AP227" s="44"/>
      <c r="AQ227" s="5" t="s">
        <v>16</v>
      </c>
      <c r="AR227" s="46" t="str">
        <f>IF(VLOOKUP(AQ227,βοηθητικό!$J$2:$N$354,3,FALSE)="","",VLOOKUP(AQ227,βοηθητικό!$J$2:$N$354,3,FALSE))</f>
        <v>_</v>
      </c>
      <c r="AS227" s="47"/>
      <c r="AT227" s="4" t="s">
        <v>16</v>
      </c>
      <c r="AU227" s="43" t="str">
        <f>IF(VLOOKUP(AT227,βοηθητικό!$J$2:$N$354,3,FALSE)="","",VLOOKUP(AT227,βοηθητικό!$J$2:$N$354,3,FALSE))</f>
        <v>_</v>
      </c>
      <c r="AV227" s="44"/>
      <c r="AW227" s="5" t="s">
        <v>16</v>
      </c>
      <c r="AX227" s="46" t="str">
        <f>IF(VLOOKUP(AW227,βοηθητικό!$J$2:$N$354,3,FALSE)="","",VLOOKUP(AW227,βοηθητικό!$J$2:$N$354,3,FALSE))</f>
        <v>_</v>
      </c>
      <c r="AY227" s="47"/>
      <c r="AZ227" s="4" t="s">
        <v>16</v>
      </c>
      <c r="BA227" s="43" t="str">
        <f>IF(VLOOKUP(AZ227,βοηθητικό!$J$2:$N$354,3,FALSE)="","",VLOOKUP(AZ227,βοηθητικό!$J$2:$N$354,3,FALSE))</f>
        <v>_</v>
      </c>
      <c r="BB227" s="44"/>
      <c r="BC227" s="45" t="s">
        <v>16</v>
      </c>
      <c r="BD227" s="46" t="str">
        <f>IF(VLOOKUP(BC227,βοηθητικό!$J$2:$N$354,3,FALSE)="","",VLOOKUP(BC227,βοηθητικό!$J$2:$N$354,3,FALSE))</f>
        <v>_</v>
      </c>
      <c r="BE227" s="47"/>
      <c r="BF227" s="42" t="s">
        <v>16</v>
      </c>
      <c r="BG227" s="43" t="str">
        <f>IF(VLOOKUP(BF227,βοηθητικό!$J$2:$N$354,3,FALSE)="","",VLOOKUP(BF227,βοηθητικό!$J$2:$N$354,3,FALSE))</f>
        <v>_</v>
      </c>
      <c r="BH227" s="44"/>
      <c r="BI227" s="45" t="s">
        <v>16</v>
      </c>
      <c r="BJ227" s="46" t="str">
        <f>IF(VLOOKUP(BI227,βοηθητικό!$J$2:$N$354,3,FALSE)="","",VLOOKUP(BI227,βοηθητικό!$J$2:$N$354,3,FALSE))</f>
        <v>_</v>
      </c>
      <c r="BK227" s="47"/>
      <c r="BL227" s="42" t="s">
        <v>16</v>
      </c>
      <c r="BM227" s="43" t="str">
        <f>IF(VLOOKUP(BL227,βοηθητικό!$J$2:$N$354,3,FALSE)="","",VLOOKUP(BL227,βοηθητικό!$J$2:$N$354,3,FALSE))</f>
        <v>_</v>
      </c>
      <c r="BN227" s="44"/>
      <c r="BO227" s="45" t="s">
        <v>16</v>
      </c>
      <c r="BP227" s="46" t="str">
        <f>IF(VLOOKUP(BO227,βοηθητικό!$J$2:$N$354,3,FALSE)="","",VLOOKUP(BO227,βοηθητικό!$J$2:$N$354,3,FALSE))</f>
        <v>_</v>
      </c>
      <c r="BQ227" s="47"/>
      <c r="BR227" s="42" t="s">
        <v>16</v>
      </c>
      <c r="BS227" s="43" t="str">
        <f>IF(VLOOKUP(BR227,βοηθητικό!$J$2:$N$354,3,FALSE)="","",VLOOKUP(BR227,βοηθητικό!$J$2:$N$354,3,FALSE))</f>
        <v>_</v>
      </c>
      <c r="BT227" s="44"/>
      <c r="BU227" s="45" t="s">
        <v>16</v>
      </c>
      <c r="BV227" s="46" t="str">
        <f>IF(VLOOKUP(BU227,βοηθητικό!$J$2:$N$354,3,FALSE)="","",VLOOKUP(BU227,βοηθητικό!$J$2:$N$354,3,FALSE))</f>
        <v>_</v>
      </c>
      <c r="BW227" s="47"/>
      <c r="BX227" s="42" t="s">
        <v>16</v>
      </c>
      <c r="BY227" s="43" t="str">
        <f>IF(VLOOKUP(BX227,βοηθητικό!$J$2:$N$354,3,FALSE)="","",VLOOKUP(BX227,βοηθητικό!$J$2:$N$354,3,FALSE))</f>
        <v>_</v>
      </c>
      <c r="BZ227" s="44"/>
      <c r="CA227" s="45" t="s">
        <v>16</v>
      </c>
      <c r="CB227" s="46" t="str">
        <f>IF(VLOOKUP(CA227,βοηθητικό!$J$2:$N$354,3,FALSE)="","",VLOOKUP(CA227,βοηθητικό!$J$2:$N$354,3,FALSE))</f>
        <v>_</v>
      </c>
      <c r="CC227" s="47"/>
      <c r="CD227" s="42" t="s">
        <v>16</v>
      </c>
      <c r="CE227" s="43" t="str">
        <f>IF(VLOOKUP(CD227,βοηθητικό!$J$2:$N$354,3,FALSE)="","",VLOOKUP(CD227,βοηθητικό!$J$2:$N$354,3,FALSE))</f>
        <v>_</v>
      </c>
      <c r="CF227" s="44"/>
      <c r="CG227" s="45" t="s">
        <v>16</v>
      </c>
      <c r="CH227" s="46" t="str">
        <f>IF(VLOOKUP(CG227,βοηθητικό!$J$2:$N$354,3,FALSE)="","",VLOOKUP(CG227,βοηθητικό!$J$2:$N$354,3,FALSE))</f>
        <v>_</v>
      </c>
      <c r="CI227" s="47"/>
      <c r="CJ227" s="42" t="s">
        <v>16</v>
      </c>
      <c r="CK227" s="43" t="str">
        <f>IF(VLOOKUP(CJ227,βοηθητικό!$J$2:$N$354,3,FALSE)="","",VLOOKUP(CJ227,βοηθητικό!$J$2:$N$354,3,FALSE))</f>
        <v>_</v>
      </c>
      <c r="CL227" s="44"/>
      <c r="CM227" s="45" t="s">
        <v>16</v>
      </c>
      <c r="CN227" s="46" t="str">
        <f>IF(VLOOKUP(CM227,βοηθητικό!$J$2:$N$354,3,FALSE)="","",VLOOKUP(CM227,βοηθητικό!$J$2:$N$354,3,FALSE))</f>
        <v>_</v>
      </c>
      <c r="CO227" s="47"/>
      <c r="CP227" s="42" t="s">
        <v>16</v>
      </c>
      <c r="CQ227" s="43" t="str">
        <f>IF(VLOOKUP(CP227,βοηθητικό!$J$2:$N$354,3,FALSE)="","",VLOOKUP(CP227,βοηθητικό!$J$2:$N$354,3,FALSE))</f>
        <v>_</v>
      </c>
      <c r="CR227" s="44"/>
      <c r="CS227" s="45" t="s">
        <v>16</v>
      </c>
      <c r="CT227" s="46" t="str">
        <f>IF(VLOOKUP(CS227,βοηθητικό!$J$2:$N$354,3,FALSE)="","",VLOOKUP(CS227,βοηθητικό!$J$2:$N$354,3,FALSE))</f>
        <v>_</v>
      </c>
      <c r="CU227" s="47"/>
    </row>
    <row r="228" spans="1:99" x14ac:dyDescent="0.25">
      <c r="A228" s="37">
        <f>--SUBTOTAL(3,$B$3:B227)</f>
        <v>198</v>
      </c>
      <c r="B228" s="2"/>
      <c r="C228" s="3"/>
      <c r="D228" s="55" t="s">
        <v>18</v>
      </c>
      <c r="E228" s="38" t="s">
        <v>16</v>
      </c>
      <c r="F228" s="38" t="s">
        <v>16</v>
      </c>
      <c r="G228" s="39" t="str">
        <f t="shared" si="11"/>
        <v>__</v>
      </c>
      <c r="H228" s="40" t="str">
        <f t="shared" si="12"/>
        <v>FALSE</v>
      </c>
      <c r="I228" s="41">
        <f t="shared" si="13"/>
        <v>0</v>
      </c>
      <c r="J228" s="4" t="s">
        <v>16</v>
      </c>
      <c r="K228" s="43" t="str">
        <f>IF(VLOOKUP(J228,βοηθητικό!$J$2:$N$354,3,FALSE)="","",VLOOKUP(J228,βοηθητικό!$J$2:$N$354,3,FALSE))</f>
        <v>_</v>
      </c>
      <c r="L228" s="44"/>
      <c r="M228" s="5" t="s">
        <v>16</v>
      </c>
      <c r="N228" s="46" t="str">
        <f>IF(VLOOKUP(M228,βοηθητικό!$J$2:$N$354,3,FALSE)="","",VLOOKUP(M228,βοηθητικό!$J$2:$N$354,3,FALSE))</f>
        <v>_</v>
      </c>
      <c r="O228" s="47"/>
      <c r="P228" s="4" t="s">
        <v>16</v>
      </c>
      <c r="Q228" s="43" t="str">
        <f>IF(VLOOKUP(P228,βοηθητικό!$J$2:$N$354,3,FALSE)="","",VLOOKUP(P228,βοηθητικό!$J$2:$N$354,3,FALSE))</f>
        <v>_</v>
      </c>
      <c r="R228" s="44"/>
      <c r="S228" s="5" t="s">
        <v>16</v>
      </c>
      <c r="T228" s="46" t="str">
        <f>IF(VLOOKUP(S228,βοηθητικό!$J$2:$N$354,3,FALSE)="","",VLOOKUP(S228,βοηθητικό!$J$2:$N$354,3,FALSE))</f>
        <v>_</v>
      </c>
      <c r="U228" s="47"/>
      <c r="V228" s="4" t="s">
        <v>16</v>
      </c>
      <c r="W228" s="43" t="str">
        <f>IF(VLOOKUP(V228,βοηθητικό!$J$2:$N$354,3,FALSE)="","",VLOOKUP(V228,βοηθητικό!$J$2:$N$354,3,FALSE))</f>
        <v>_</v>
      </c>
      <c r="X228" s="44"/>
      <c r="Y228" s="5" t="s">
        <v>16</v>
      </c>
      <c r="Z228" s="46" t="str">
        <f>IF(VLOOKUP(Y228,βοηθητικό!$J$2:$N$354,3,FALSE)="","",VLOOKUP(Y228,βοηθητικό!$J$2:$N$354,3,FALSE))</f>
        <v>_</v>
      </c>
      <c r="AA228" s="47"/>
      <c r="AB228" s="4" t="s">
        <v>16</v>
      </c>
      <c r="AC228" s="43" t="str">
        <f>IF(VLOOKUP(AB228,βοηθητικό!$J$2:$N$354,3,FALSE)="","",VLOOKUP(AB228,βοηθητικό!$J$2:$N$354,3,FALSE))</f>
        <v>_</v>
      </c>
      <c r="AD228" s="44"/>
      <c r="AE228" s="5" t="s">
        <v>16</v>
      </c>
      <c r="AF228" s="46" t="str">
        <f>IF(VLOOKUP(AE228,βοηθητικό!$J$2:$N$354,3,FALSE)="","",VLOOKUP(AE228,βοηθητικό!$J$2:$N$354,3,FALSE))</f>
        <v>_</v>
      </c>
      <c r="AG228" s="47"/>
      <c r="AH228" s="4" t="s">
        <v>16</v>
      </c>
      <c r="AI228" s="43" t="str">
        <f>IF(VLOOKUP(AH228,βοηθητικό!$J$2:$N$354,3,FALSE)="","",VLOOKUP(AH228,βοηθητικό!$J$2:$N$354,3,FALSE))</f>
        <v>_</v>
      </c>
      <c r="AJ228" s="44"/>
      <c r="AK228" s="5" t="s">
        <v>16</v>
      </c>
      <c r="AL228" s="46" t="str">
        <f>IF(VLOOKUP(AK228,βοηθητικό!$J$2:$N$354,3,FALSE)="","",VLOOKUP(AK228,βοηθητικό!$J$2:$N$354,3,FALSE))</f>
        <v>_</v>
      </c>
      <c r="AM228" s="47"/>
      <c r="AN228" s="4" t="s">
        <v>16</v>
      </c>
      <c r="AO228" s="43" t="str">
        <f>IF(VLOOKUP(AN228,βοηθητικό!$J$2:$N$354,3,FALSE)="","",VLOOKUP(AN228,βοηθητικό!$J$2:$N$354,3,FALSE))</f>
        <v>_</v>
      </c>
      <c r="AP228" s="44"/>
      <c r="AQ228" s="5" t="s">
        <v>16</v>
      </c>
      <c r="AR228" s="46" t="str">
        <f>IF(VLOOKUP(AQ228,βοηθητικό!$J$2:$N$354,3,FALSE)="","",VLOOKUP(AQ228,βοηθητικό!$J$2:$N$354,3,FALSE))</f>
        <v>_</v>
      </c>
      <c r="AS228" s="47"/>
      <c r="AT228" s="4" t="s">
        <v>16</v>
      </c>
      <c r="AU228" s="43" t="str">
        <f>IF(VLOOKUP(AT228,βοηθητικό!$J$2:$N$354,3,FALSE)="","",VLOOKUP(AT228,βοηθητικό!$J$2:$N$354,3,FALSE))</f>
        <v>_</v>
      </c>
      <c r="AV228" s="44"/>
      <c r="AW228" s="5" t="s">
        <v>16</v>
      </c>
      <c r="AX228" s="46" t="str">
        <f>IF(VLOOKUP(AW228,βοηθητικό!$J$2:$N$354,3,FALSE)="","",VLOOKUP(AW228,βοηθητικό!$J$2:$N$354,3,FALSE))</f>
        <v>_</v>
      </c>
      <c r="AY228" s="47"/>
      <c r="AZ228" s="4" t="s">
        <v>16</v>
      </c>
      <c r="BA228" s="43" t="str">
        <f>IF(VLOOKUP(AZ228,βοηθητικό!$J$2:$N$354,3,FALSE)="","",VLOOKUP(AZ228,βοηθητικό!$J$2:$N$354,3,FALSE))</f>
        <v>_</v>
      </c>
      <c r="BB228" s="44"/>
      <c r="BC228" s="45" t="s">
        <v>16</v>
      </c>
      <c r="BD228" s="46" t="str">
        <f>IF(VLOOKUP(BC228,βοηθητικό!$J$2:$N$354,3,FALSE)="","",VLOOKUP(BC228,βοηθητικό!$J$2:$N$354,3,FALSE))</f>
        <v>_</v>
      </c>
      <c r="BE228" s="47"/>
      <c r="BF228" s="42" t="s">
        <v>16</v>
      </c>
      <c r="BG228" s="43" t="str">
        <f>IF(VLOOKUP(BF228,βοηθητικό!$J$2:$N$354,3,FALSE)="","",VLOOKUP(BF228,βοηθητικό!$J$2:$N$354,3,FALSE))</f>
        <v>_</v>
      </c>
      <c r="BH228" s="44"/>
      <c r="BI228" s="45" t="s">
        <v>16</v>
      </c>
      <c r="BJ228" s="46" t="str">
        <f>IF(VLOOKUP(BI228,βοηθητικό!$J$2:$N$354,3,FALSE)="","",VLOOKUP(BI228,βοηθητικό!$J$2:$N$354,3,FALSE))</f>
        <v>_</v>
      </c>
      <c r="BK228" s="47"/>
      <c r="BL228" s="42" t="s">
        <v>16</v>
      </c>
      <c r="BM228" s="43" t="str">
        <f>IF(VLOOKUP(BL228,βοηθητικό!$J$2:$N$354,3,FALSE)="","",VLOOKUP(BL228,βοηθητικό!$J$2:$N$354,3,FALSE))</f>
        <v>_</v>
      </c>
      <c r="BN228" s="44"/>
      <c r="BO228" s="45" t="s">
        <v>16</v>
      </c>
      <c r="BP228" s="46" t="str">
        <f>IF(VLOOKUP(BO228,βοηθητικό!$J$2:$N$354,3,FALSE)="","",VLOOKUP(BO228,βοηθητικό!$J$2:$N$354,3,FALSE))</f>
        <v>_</v>
      </c>
      <c r="BQ228" s="47"/>
      <c r="BR228" s="42" t="s">
        <v>16</v>
      </c>
      <c r="BS228" s="43" t="str">
        <f>IF(VLOOKUP(BR228,βοηθητικό!$J$2:$N$354,3,FALSE)="","",VLOOKUP(BR228,βοηθητικό!$J$2:$N$354,3,FALSE))</f>
        <v>_</v>
      </c>
      <c r="BT228" s="44"/>
      <c r="BU228" s="45" t="s">
        <v>16</v>
      </c>
      <c r="BV228" s="46" t="str">
        <f>IF(VLOOKUP(BU228,βοηθητικό!$J$2:$N$354,3,FALSE)="","",VLOOKUP(BU228,βοηθητικό!$J$2:$N$354,3,FALSE))</f>
        <v>_</v>
      </c>
      <c r="BW228" s="47"/>
      <c r="BX228" s="42" t="s">
        <v>16</v>
      </c>
      <c r="BY228" s="43" t="str">
        <f>IF(VLOOKUP(BX228,βοηθητικό!$J$2:$N$354,3,FALSE)="","",VLOOKUP(BX228,βοηθητικό!$J$2:$N$354,3,FALSE))</f>
        <v>_</v>
      </c>
      <c r="BZ228" s="44"/>
      <c r="CA228" s="45" t="s">
        <v>16</v>
      </c>
      <c r="CB228" s="46" t="str">
        <f>IF(VLOOKUP(CA228,βοηθητικό!$J$2:$N$354,3,FALSE)="","",VLOOKUP(CA228,βοηθητικό!$J$2:$N$354,3,FALSE))</f>
        <v>_</v>
      </c>
      <c r="CC228" s="47"/>
      <c r="CD228" s="42" t="s">
        <v>16</v>
      </c>
      <c r="CE228" s="43" t="str">
        <f>IF(VLOOKUP(CD228,βοηθητικό!$J$2:$N$354,3,FALSE)="","",VLOOKUP(CD228,βοηθητικό!$J$2:$N$354,3,FALSE))</f>
        <v>_</v>
      </c>
      <c r="CF228" s="44"/>
      <c r="CG228" s="45" t="s">
        <v>16</v>
      </c>
      <c r="CH228" s="46" t="str">
        <f>IF(VLOOKUP(CG228,βοηθητικό!$J$2:$N$354,3,FALSE)="","",VLOOKUP(CG228,βοηθητικό!$J$2:$N$354,3,FALSE))</f>
        <v>_</v>
      </c>
      <c r="CI228" s="47"/>
      <c r="CJ228" s="42" t="s">
        <v>16</v>
      </c>
      <c r="CK228" s="43" t="str">
        <f>IF(VLOOKUP(CJ228,βοηθητικό!$J$2:$N$354,3,FALSE)="","",VLOOKUP(CJ228,βοηθητικό!$J$2:$N$354,3,FALSE))</f>
        <v>_</v>
      </c>
      <c r="CL228" s="44"/>
      <c r="CM228" s="45" t="s">
        <v>16</v>
      </c>
      <c r="CN228" s="46" t="str">
        <f>IF(VLOOKUP(CM228,βοηθητικό!$J$2:$N$354,3,FALSE)="","",VLOOKUP(CM228,βοηθητικό!$J$2:$N$354,3,FALSE))</f>
        <v>_</v>
      </c>
      <c r="CO228" s="47"/>
      <c r="CP228" s="42" t="s">
        <v>16</v>
      </c>
      <c r="CQ228" s="43" t="str">
        <f>IF(VLOOKUP(CP228,βοηθητικό!$J$2:$N$354,3,FALSE)="","",VLOOKUP(CP228,βοηθητικό!$J$2:$N$354,3,FALSE))</f>
        <v>_</v>
      </c>
      <c r="CR228" s="44"/>
      <c r="CS228" s="45" t="s">
        <v>16</v>
      </c>
      <c r="CT228" s="46" t="str">
        <f>IF(VLOOKUP(CS228,βοηθητικό!$J$2:$N$354,3,FALSE)="","",VLOOKUP(CS228,βοηθητικό!$J$2:$N$354,3,FALSE))</f>
        <v>_</v>
      </c>
      <c r="CU228" s="47"/>
    </row>
    <row r="229" spans="1:99" x14ac:dyDescent="0.25">
      <c r="A229" s="37">
        <f>--SUBTOTAL(3,$B$3:B228)</f>
        <v>198</v>
      </c>
      <c r="B229" s="2"/>
      <c r="C229" s="3"/>
      <c r="D229" s="55" t="s">
        <v>18</v>
      </c>
      <c r="E229" s="38" t="s">
        <v>16</v>
      </c>
      <c r="F229" s="38" t="s">
        <v>16</v>
      </c>
      <c r="G229" s="39" t="str">
        <f t="shared" si="11"/>
        <v>__</v>
      </c>
      <c r="H229" s="40" t="str">
        <f t="shared" si="12"/>
        <v>FALSE</v>
      </c>
      <c r="I229" s="41">
        <f t="shared" si="13"/>
        <v>0</v>
      </c>
      <c r="J229" s="4" t="s">
        <v>16</v>
      </c>
      <c r="K229" s="43" t="str">
        <f>IF(VLOOKUP(J229,βοηθητικό!$J$2:$N$354,3,FALSE)="","",VLOOKUP(J229,βοηθητικό!$J$2:$N$354,3,FALSE))</f>
        <v>_</v>
      </c>
      <c r="L229" s="44"/>
      <c r="M229" s="5" t="s">
        <v>16</v>
      </c>
      <c r="N229" s="46" t="str">
        <f>IF(VLOOKUP(M229,βοηθητικό!$J$2:$N$354,3,FALSE)="","",VLOOKUP(M229,βοηθητικό!$J$2:$N$354,3,FALSE))</f>
        <v>_</v>
      </c>
      <c r="O229" s="47"/>
      <c r="P229" s="4" t="s">
        <v>16</v>
      </c>
      <c r="Q229" s="43" t="str">
        <f>IF(VLOOKUP(P229,βοηθητικό!$J$2:$N$354,3,FALSE)="","",VLOOKUP(P229,βοηθητικό!$J$2:$N$354,3,FALSE))</f>
        <v>_</v>
      </c>
      <c r="R229" s="44"/>
      <c r="S229" s="5" t="s">
        <v>16</v>
      </c>
      <c r="T229" s="46" t="str">
        <f>IF(VLOOKUP(S229,βοηθητικό!$J$2:$N$354,3,FALSE)="","",VLOOKUP(S229,βοηθητικό!$J$2:$N$354,3,FALSE))</f>
        <v>_</v>
      </c>
      <c r="U229" s="47"/>
      <c r="V229" s="4" t="s">
        <v>16</v>
      </c>
      <c r="W229" s="43" t="str">
        <f>IF(VLOOKUP(V229,βοηθητικό!$J$2:$N$354,3,FALSE)="","",VLOOKUP(V229,βοηθητικό!$J$2:$N$354,3,FALSE))</f>
        <v>_</v>
      </c>
      <c r="X229" s="44"/>
      <c r="Y229" s="5" t="s">
        <v>16</v>
      </c>
      <c r="Z229" s="46" t="str">
        <f>IF(VLOOKUP(Y229,βοηθητικό!$J$2:$N$354,3,FALSE)="","",VLOOKUP(Y229,βοηθητικό!$J$2:$N$354,3,FALSE))</f>
        <v>_</v>
      </c>
      <c r="AA229" s="47"/>
      <c r="AB229" s="4" t="s">
        <v>16</v>
      </c>
      <c r="AC229" s="43" t="str">
        <f>IF(VLOOKUP(AB229,βοηθητικό!$J$2:$N$354,3,FALSE)="","",VLOOKUP(AB229,βοηθητικό!$J$2:$N$354,3,FALSE))</f>
        <v>_</v>
      </c>
      <c r="AD229" s="44"/>
      <c r="AE229" s="5" t="s">
        <v>16</v>
      </c>
      <c r="AF229" s="46" t="str">
        <f>IF(VLOOKUP(AE229,βοηθητικό!$J$2:$N$354,3,FALSE)="","",VLOOKUP(AE229,βοηθητικό!$J$2:$N$354,3,FALSE))</f>
        <v>_</v>
      </c>
      <c r="AG229" s="47"/>
      <c r="AH229" s="4" t="s">
        <v>16</v>
      </c>
      <c r="AI229" s="43" t="str">
        <f>IF(VLOOKUP(AH229,βοηθητικό!$J$2:$N$354,3,FALSE)="","",VLOOKUP(AH229,βοηθητικό!$J$2:$N$354,3,FALSE))</f>
        <v>_</v>
      </c>
      <c r="AJ229" s="44"/>
      <c r="AK229" s="5" t="s">
        <v>16</v>
      </c>
      <c r="AL229" s="46" t="str">
        <f>IF(VLOOKUP(AK229,βοηθητικό!$J$2:$N$354,3,FALSE)="","",VLOOKUP(AK229,βοηθητικό!$J$2:$N$354,3,FALSE))</f>
        <v>_</v>
      </c>
      <c r="AM229" s="47"/>
      <c r="AN229" s="4" t="s">
        <v>16</v>
      </c>
      <c r="AO229" s="43" t="str">
        <f>IF(VLOOKUP(AN229,βοηθητικό!$J$2:$N$354,3,FALSE)="","",VLOOKUP(AN229,βοηθητικό!$J$2:$N$354,3,FALSE))</f>
        <v>_</v>
      </c>
      <c r="AP229" s="44"/>
      <c r="AQ229" s="5" t="s">
        <v>16</v>
      </c>
      <c r="AR229" s="46" t="str">
        <f>IF(VLOOKUP(AQ229,βοηθητικό!$J$2:$N$354,3,FALSE)="","",VLOOKUP(AQ229,βοηθητικό!$J$2:$N$354,3,FALSE))</f>
        <v>_</v>
      </c>
      <c r="AS229" s="47"/>
      <c r="AT229" s="4" t="s">
        <v>16</v>
      </c>
      <c r="AU229" s="43" t="str">
        <f>IF(VLOOKUP(AT229,βοηθητικό!$J$2:$N$354,3,FALSE)="","",VLOOKUP(AT229,βοηθητικό!$J$2:$N$354,3,FALSE))</f>
        <v>_</v>
      </c>
      <c r="AV229" s="44"/>
      <c r="AW229" s="5" t="s">
        <v>16</v>
      </c>
      <c r="AX229" s="46" t="str">
        <f>IF(VLOOKUP(AW229,βοηθητικό!$J$2:$N$354,3,FALSE)="","",VLOOKUP(AW229,βοηθητικό!$J$2:$N$354,3,FALSE))</f>
        <v>_</v>
      </c>
      <c r="AY229" s="47"/>
      <c r="AZ229" s="4" t="s">
        <v>16</v>
      </c>
      <c r="BA229" s="43" t="str">
        <f>IF(VLOOKUP(AZ229,βοηθητικό!$J$2:$N$354,3,FALSE)="","",VLOOKUP(AZ229,βοηθητικό!$J$2:$N$354,3,FALSE))</f>
        <v>_</v>
      </c>
      <c r="BB229" s="44"/>
      <c r="BC229" s="45" t="s">
        <v>16</v>
      </c>
      <c r="BD229" s="46" t="str">
        <f>IF(VLOOKUP(BC229,βοηθητικό!$J$2:$N$354,3,FALSE)="","",VLOOKUP(BC229,βοηθητικό!$J$2:$N$354,3,FALSE))</f>
        <v>_</v>
      </c>
      <c r="BE229" s="47"/>
      <c r="BF229" s="42" t="s">
        <v>16</v>
      </c>
      <c r="BG229" s="43" t="str">
        <f>IF(VLOOKUP(BF229,βοηθητικό!$J$2:$N$354,3,FALSE)="","",VLOOKUP(BF229,βοηθητικό!$J$2:$N$354,3,FALSE))</f>
        <v>_</v>
      </c>
      <c r="BH229" s="44"/>
      <c r="BI229" s="45" t="s">
        <v>16</v>
      </c>
      <c r="BJ229" s="46" t="str">
        <f>IF(VLOOKUP(BI229,βοηθητικό!$J$2:$N$354,3,FALSE)="","",VLOOKUP(BI229,βοηθητικό!$J$2:$N$354,3,FALSE))</f>
        <v>_</v>
      </c>
      <c r="BK229" s="47"/>
      <c r="BL229" s="42" t="s">
        <v>16</v>
      </c>
      <c r="BM229" s="43" t="str">
        <f>IF(VLOOKUP(BL229,βοηθητικό!$J$2:$N$354,3,FALSE)="","",VLOOKUP(BL229,βοηθητικό!$J$2:$N$354,3,FALSE))</f>
        <v>_</v>
      </c>
      <c r="BN229" s="44"/>
      <c r="BO229" s="45" t="s">
        <v>16</v>
      </c>
      <c r="BP229" s="46" t="str">
        <f>IF(VLOOKUP(BO229,βοηθητικό!$J$2:$N$354,3,FALSE)="","",VLOOKUP(BO229,βοηθητικό!$J$2:$N$354,3,FALSE))</f>
        <v>_</v>
      </c>
      <c r="BQ229" s="47"/>
      <c r="BR229" s="42" t="s">
        <v>16</v>
      </c>
      <c r="BS229" s="43" t="str">
        <f>IF(VLOOKUP(BR229,βοηθητικό!$J$2:$N$354,3,FALSE)="","",VLOOKUP(BR229,βοηθητικό!$J$2:$N$354,3,FALSE))</f>
        <v>_</v>
      </c>
      <c r="BT229" s="44"/>
      <c r="BU229" s="45" t="s">
        <v>16</v>
      </c>
      <c r="BV229" s="46" t="str">
        <f>IF(VLOOKUP(BU229,βοηθητικό!$J$2:$N$354,3,FALSE)="","",VLOOKUP(BU229,βοηθητικό!$J$2:$N$354,3,FALSE))</f>
        <v>_</v>
      </c>
      <c r="BW229" s="47"/>
      <c r="BX229" s="42" t="s">
        <v>16</v>
      </c>
      <c r="BY229" s="43" t="str">
        <f>IF(VLOOKUP(BX229,βοηθητικό!$J$2:$N$354,3,FALSE)="","",VLOOKUP(BX229,βοηθητικό!$J$2:$N$354,3,FALSE))</f>
        <v>_</v>
      </c>
      <c r="BZ229" s="44"/>
      <c r="CA229" s="45" t="s">
        <v>16</v>
      </c>
      <c r="CB229" s="46" t="str">
        <f>IF(VLOOKUP(CA229,βοηθητικό!$J$2:$N$354,3,FALSE)="","",VLOOKUP(CA229,βοηθητικό!$J$2:$N$354,3,FALSE))</f>
        <v>_</v>
      </c>
      <c r="CC229" s="47"/>
      <c r="CD229" s="42" t="s">
        <v>16</v>
      </c>
      <c r="CE229" s="43" t="str">
        <f>IF(VLOOKUP(CD229,βοηθητικό!$J$2:$N$354,3,FALSE)="","",VLOOKUP(CD229,βοηθητικό!$J$2:$N$354,3,FALSE))</f>
        <v>_</v>
      </c>
      <c r="CF229" s="44"/>
      <c r="CG229" s="45" t="s">
        <v>16</v>
      </c>
      <c r="CH229" s="46" t="str">
        <f>IF(VLOOKUP(CG229,βοηθητικό!$J$2:$N$354,3,FALSE)="","",VLOOKUP(CG229,βοηθητικό!$J$2:$N$354,3,FALSE))</f>
        <v>_</v>
      </c>
      <c r="CI229" s="47"/>
      <c r="CJ229" s="42" t="s">
        <v>16</v>
      </c>
      <c r="CK229" s="43" t="str">
        <f>IF(VLOOKUP(CJ229,βοηθητικό!$J$2:$N$354,3,FALSE)="","",VLOOKUP(CJ229,βοηθητικό!$J$2:$N$354,3,FALSE))</f>
        <v>_</v>
      </c>
      <c r="CL229" s="44"/>
      <c r="CM229" s="45" t="s">
        <v>16</v>
      </c>
      <c r="CN229" s="46" t="str">
        <f>IF(VLOOKUP(CM229,βοηθητικό!$J$2:$N$354,3,FALSE)="","",VLOOKUP(CM229,βοηθητικό!$J$2:$N$354,3,FALSE))</f>
        <v>_</v>
      </c>
      <c r="CO229" s="47"/>
      <c r="CP229" s="42" t="s">
        <v>16</v>
      </c>
      <c r="CQ229" s="43" t="str">
        <f>IF(VLOOKUP(CP229,βοηθητικό!$J$2:$N$354,3,FALSE)="","",VLOOKUP(CP229,βοηθητικό!$J$2:$N$354,3,FALSE))</f>
        <v>_</v>
      </c>
      <c r="CR229" s="44"/>
      <c r="CS229" s="45" t="s">
        <v>16</v>
      </c>
      <c r="CT229" s="46" t="str">
        <f>IF(VLOOKUP(CS229,βοηθητικό!$J$2:$N$354,3,FALSE)="","",VLOOKUP(CS229,βοηθητικό!$J$2:$N$354,3,FALSE))</f>
        <v>_</v>
      </c>
      <c r="CU229" s="47"/>
    </row>
    <row r="230" spans="1:99" x14ac:dyDescent="0.25">
      <c r="A230" s="37">
        <f>--SUBTOTAL(3,$B$3:B229)</f>
        <v>198</v>
      </c>
      <c r="B230" s="2"/>
      <c r="C230" s="3"/>
      <c r="D230" s="55" t="s">
        <v>18</v>
      </c>
      <c r="E230" s="38" t="s">
        <v>16</v>
      </c>
      <c r="F230" s="38" t="s">
        <v>16</v>
      </c>
      <c r="G230" s="39" t="str">
        <f t="shared" si="11"/>
        <v>__</v>
      </c>
      <c r="H230" s="40" t="str">
        <f t="shared" si="12"/>
        <v>FALSE</v>
      </c>
      <c r="I230" s="41">
        <f t="shared" si="13"/>
        <v>0</v>
      </c>
      <c r="J230" s="4" t="s">
        <v>16</v>
      </c>
      <c r="K230" s="43" t="str">
        <f>IF(VLOOKUP(J230,βοηθητικό!$J$2:$N$354,3,FALSE)="","",VLOOKUP(J230,βοηθητικό!$J$2:$N$354,3,FALSE))</f>
        <v>_</v>
      </c>
      <c r="L230" s="44"/>
      <c r="M230" s="5" t="s">
        <v>16</v>
      </c>
      <c r="N230" s="46" t="str">
        <f>IF(VLOOKUP(M230,βοηθητικό!$J$2:$N$354,3,FALSE)="","",VLOOKUP(M230,βοηθητικό!$J$2:$N$354,3,FALSE))</f>
        <v>_</v>
      </c>
      <c r="O230" s="47"/>
      <c r="P230" s="4" t="s">
        <v>16</v>
      </c>
      <c r="Q230" s="43" t="str">
        <f>IF(VLOOKUP(P230,βοηθητικό!$J$2:$N$354,3,FALSE)="","",VLOOKUP(P230,βοηθητικό!$J$2:$N$354,3,FALSE))</f>
        <v>_</v>
      </c>
      <c r="R230" s="44"/>
      <c r="S230" s="5" t="s">
        <v>16</v>
      </c>
      <c r="T230" s="46" t="str">
        <f>IF(VLOOKUP(S230,βοηθητικό!$J$2:$N$354,3,FALSE)="","",VLOOKUP(S230,βοηθητικό!$J$2:$N$354,3,FALSE))</f>
        <v>_</v>
      </c>
      <c r="U230" s="47"/>
      <c r="V230" s="4" t="s">
        <v>16</v>
      </c>
      <c r="W230" s="43" t="str">
        <f>IF(VLOOKUP(V230,βοηθητικό!$J$2:$N$354,3,FALSE)="","",VLOOKUP(V230,βοηθητικό!$J$2:$N$354,3,FALSE))</f>
        <v>_</v>
      </c>
      <c r="X230" s="44"/>
      <c r="Y230" s="5" t="s">
        <v>16</v>
      </c>
      <c r="Z230" s="46" t="str">
        <f>IF(VLOOKUP(Y230,βοηθητικό!$J$2:$N$354,3,FALSE)="","",VLOOKUP(Y230,βοηθητικό!$J$2:$N$354,3,FALSE))</f>
        <v>_</v>
      </c>
      <c r="AA230" s="47"/>
      <c r="AB230" s="4" t="s">
        <v>16</v>
      </c>
      <c r="AC230" s="43" t="str">
        <f>IF(VLOOKUP(AB230,βοηθητικό!$J$2:$N$354,3,FALSE)="","",VLOOKUP(AB230,βοηθητικό!$J$2:$N$354,3,FALSE))</f>
        <v>_</v>
      </c>
      <c r="AD230" s="44"/>
      <c r="AE230" s="5" t="s">
        <v>16</v>
      </c>
      <c r="AF230" s="46" t="str">
        <f>IF(VLOOKUP(AE230,βοηθητικό!$J$2:$N$354,3,FALSE)="","",VLOOKUP(AE230,βοηθητικό!$J$2:$N$354,3,FALSE))</f>
        <v>_</v>
      </c>
      <c r="AG230" s="47"/>
      <c r="AH230" s="4" t="s">
        <v>16</v>
      </c>
      <c r="AI230" s="43" t="str">
        <f>IF(VLOOKUP(AH230,βοηθητικό!$J$2:$N$354,3,FALSE)="","",VLOOKUP(AH230,βοηθητικό!$J$2:$N$354,3,FALSE))</f>
        <v>_</v>
      </c>
      <c r="AJ230" s="44"/>
      <c r="AK230" s="5" t="s">
        <v>16</v>
      </c>
      <c r="AL230" s="46" t="str">
        <f>IF(VLOOKUP(AK230,βοηθητικό!$J$2:$N$354,3,FALSE)="","",VLOOKUP(AK230,βοηθητικό!$J$2:$N$354,3,FALSE))</f>
        <v>_</v>
      </c>
      <c r="AM230" s="47"/>
      <c r="AN230" s="4" t="s">
        <v>16</v>
      </c>
      <c r="AO230" s="43" t="str">
        <f>IF(VLOOKUP(AN230,βοηθητικό!$J$2:$N$354,3,FALSE)="","",VLOOKUP(AN230,βοηθητικό!$J$2:$N$354,3,FALSE))</f>
        <v>_</v>
      </c>
      <c r="AP230" s="44"/>
      <c r="AQ230" s="5" t="s">
        <v>16</v>
      </c>
      <c r="AR230" s="46" t="str">
        <f>IF(VLOOKUP(AQ230,βοηθητικό!$J$2:$N$354,3,FALSE)="","",VLOOKUP(AQ230,βοηθητικό!$J$2:$N$354,3,FALSE))</f>
        <v>_</v>
      </c>
      <c r="AS230" s="47"/>
      <c r="AT230" s="4" t="s">
        <v>16</v>
      </c>
      <c r="AU230" s="43" t="str">
        <f>IF(VLOOKUP(AT230,βοηθητικό!$J$2:$N$354,3,FALSE)="","",VLOOKUP(AT230,βοηθητικό!$J$2:$N$354,3,FALSE))</f>
        <v>_</v>
      </c>
      <c r="AV230" s="44"/>
      <c r="AW230" s="5" t="s">
        <v>16</v>
      </c>
      <c r="AX230" s="46" t="str">
        <f>IF(VLOOKUP(AW230,βοηθητικό!$J$2:$N$354,3,FALSE)="","",VLOOKUP(AW230,βοηθητικό!$J$2:$N$354,3,FALSE))</f>
        <v>_</v>
      </c>
      <c r="AY230" s="47"/>
      <c r="AZ230" s="4" t="s">
        <v>16</v>
      </c>
      <c r="BA230" s="43" t="str">
        <f>IF(VLOOKUP(AZ230,βοηθητικό!$J$2:$N$354,3,FALSE)="","",VLOOKUP(AZ230,βοηθητικό!$J$2:$N$354,3,FALSE))</f>
        <v>_</v>
      </c>
      <c r="BB230" s="44"/>
      <c r="BC230" s="45" t="s">
        <v>16</v>
      </c>
      <c r="BD230" s="46" t="str">
        <f>IF(VLOOKUP(BC230,βοηθητικό!$J$2:$N$354,3,FALSE)="","",VLOOKUP(BC230,βοηθητικό!$J$2:$N$354,3,FALSE))</f>
        <v>_</v>
      </c>
      <c r="BE230" s="47"/>
      <c r="BF230" s="42" t="s">
        <v>16</v>
      </c>
      <c r="BG230" s="43" t="str">
        <f>IF(VLOOKUP(BF230,βοηθητικό!$J$2:$N$354,3,FALSE)="","",VLOOKUP(BF230,βοηθητικό!$J$2:$N$354,3,FALSE))</f>
        <v>_</v>
      </c>
      <c r="BH230" s="44"/>
      <c r="BI230" s="45" t="s">
        <v>16</v>
      </c>
      <c r="BJ230" s="46" t="str">
        <f>IF(VLOOKUP(BI230,βοηθητικό!$J$2:$N$354,3,FALSE)="","",VLOOKUP(BI230,βοηθητικό!$J$2:$N$354,3,FALSE))</f>
        <v>_</v>
      </c>
      <c r="BK230" s="47"/>
      <c r="BL230" s="42" t="s">
        <v>16</v>
      </c>
      <c r="BM230" s="43" t="str">
        <f>IF(VLOOKUP(BL230,βοηθητικό!$J$2:$N$354,3,FALSE)="","",VLOOKUP(BL230,βοηθητικό!$J$2:$N$354,3,FALSE))</f>
        <v>_</v>
      </c>
      <c r="BN230" s="44"/>
      <c r="BO230" s="45" t="s">
        <v>16</v>
      </c>
      <c r="BP230" s="46" t="str">
        <f>IF(VLOOKUP(BO230,βοηθητικό!$J$2:$N$354,3,FALSE)="","",VLOOKUP(BO230,βοηθητικό!$J$2:$N$354,3,FALSE))</f>
        <v>_</v>
      </c>
      <c r="BQ230" s="47"/>
      <c r="BR230" s="42" t="s">
        <v>16</v>
      </c>
      <c r="BS230" s="43" t="str">
        <f>IF(VLOOKUP(BR230,βοηθητικό!$J$2:$N$354,3,FALSE)="","",VLOOKUP(BR230,βοηθητικό!$J$2:$N$354,3,FALSE))</f>
        <v>_</v>
      </c>
      <c r="BT230" s="44"/>
      <c r="BU230" s="45" t="s">
        <v>16</v>
      </c>
      <c r="BV230" s="46" t="str">
        <f>IF(VLOOKUP(BU230,βοηθητικό!$J$2:$N$354,3,FALSE)="","",VLOOKUP(BU230,βοηθητικό!$J$2:$N$354,3,FALSE))</f>
        <v>_</v>
      </c>
      <c r="BW230" s="47"/>
      <c r="BX230" s="42" t="s">
        <v>16</v>
      </c>
      <c r="BY230" s="43" t="str">
        <f>IF(VLOOKUP(BX230,βοηθητικό!$J$2:$N$354,3,FALSE)="","",VLOOKUP(BX230,βοηθητικό!$J$2:$N$354,3,FALSE))</f>
        <v>_</v>
      </c>
      <c r="BZ230" s="44"/>
      <c r="CA230" s="45" t="s">
        <v>16</v>
      </c>
      <c r="CB230" s="46" t="str">
        <f>IF(VLOOKUP(CA230,βοηθητικό!$J$2:$N$354,3,FALSE)="","",VLOOKUP(CA230,βοηθητικό!$J$2:$N$354,3,FALSE))</f>
        <v>_</v>
      </c>
      <c r="CC230" s="47"/>
      <c r="CD230" s="42" t="s">
        <v>16</v>
      </c>
      <c r="CE230" s="43" t="str">
        <f>IF(VLOOKUP(CD230,βοηθητικό!$J$2:$N$354,3,FALSE)="","",VLOOKUP(CD230,βοηθητικό!$J$2:$N$354,3,FALSE))</f>
        <v>_</v>
      </c>
      <c r="CF230" s="44"/>
      <c r="CG230" s="45" t="s">
        <v>16</v>
      </c>
      <c r="CH230" s="46" t="str">
        <f>IF(VLOOKUP(CG230,βοηθητικό!$J$2:$N$354,3,FALSE)="","",VLOOKUP(CG230,βοηθητικό!$J$2:$N$354,3,FALSE))</f>
        <v>_</v>
      </c>
      <c r="CI230" s="47"/>
      <c r="CJ230" s="42" t="s">
        <v>16</v>
      </c>
      <c r="CK230" s="43" t="str">
        <f>IF(VLOOKUP(CJ230,βοηθητικό!$J$2:$N$354,3,FALSE)="","",VLOOKUP(CJ230,βοηθητικό!$J$2:$N$354,3,FALSE))</f>
        <v>_</v>
      </c>
      <c r="CL230" s="44"/>
      <c r="CM230" s="45" t="s">
        <v>16</v>
      </c>
      <c r="CN230" s="46" t="str">
        <f>IF(VLOOKUP(CM230,βοηθητικό!$J$2:$N$354,3,FALSE)="","",VLOOKUP(CM230,βοηθητικό!$J$2:$N$354,3,FALSE))</f>
        <v>_</v>
      </c>
      <c r="CO230" s="47"/>
      <c r="CP230" s="42" t="s">
        <v>16</v>
      </c>
      <c r="CQ230" s="43" t="str">
        <f>IF(VLOOKUP(CP230,βοηθητικό!$J$2:$N$354,3,FALSE)="","",VLOOKUP(CP230,βοηθητικό!$J$2:$N$354,3,FALSE))</f>
        <v>_</v>
      </c>
      <c r="CR230" s="44"/>
      <c r="CS230" s="45" t="s">
        <v>16</v>
      </c>
      <c r="CT230" s="46" t="str">
        <f>IF(VLOOKUP(CS230,βοηθητικό!$J$2:$N$354,3,FALSE)="","",VLOOKUP(CS230,βοηθητικό!$J$2:$N$354,3,FALSE))</f>
        <v>_</v>
      </c>
      <c r="CU230" s="47"/>
    </row>
    <row r="231" spans="1:99" x14ac:dyDescent="0.25">
      <c r="A231" s="37">
        <f>--SUBTOTAL(3,$B$3:B230)</f>
        <v>198</v>
      </c>
      <c r="B231" s="2"/>
      <c r="C231" s="3"/>
      <c r="D231" s="55" t="s">
        <v>18</v>
      </c>
      <c r="E231" s="38" t="s">
        <v>16</v>
      </c>
      <c r="F231" s="38" t="s">
        <v>16</v>
      </c>
      <c r="G231" s="39" t="str">
        <f t="shared" si="11"/>
        <v>__</v>
      </c>
      <c r="H231" s="40" t="str">
        <f t="shared" si="12"/>
        <v>FALSE</v>
      </c>
      <c r="I231" s="41">
        <f t="shared" si="13"/>
        <v>0</v>
      </c>
      <c r="J231" s="4" t="s">
        <v>16</v>
      </c>
      <c r="K231" s="43" t="str">
        <f>IF(VLOOKUP(J231,βοηθητικό!$J$2:$N$354,3,FALSE)="","",VLOOKUP(J231,βοηθητικό!$J$2:$N$354,3,FALSE))</f>
        <v>_</v>
      </c>
      <c r="L231" s="44"/>
      <c r="M231" s="5" t="s">
        <v>16</v>
      </c>
      <c r="N231" s="46" t="str">
        <f>IF(VLOOKUP(M231,βοηθητικό!$J$2:$N$354,3,FALSE)="","",VLOOKUP(M231,βοηθητικό!$J$2:$N$354,3,FALSE))</f>
        <v>_</v>
      </c>
      <c r="O231" s="47"/>
      <c r="P231" s="4" t="s">
        <v>16</v>
      </c>
      <c r="Q231" s="43" t="str">
        <f>IF(VLOOKUP(P231,βοηθητικό!$J$2:$N$354,3,FALSE)="","",VLOOKUP(P231,βοηθητικό!$J$2:$N$354,3,FALSE))</f>
        <v>_</v>
      </c>
      <c r="R231" s="44"/>
      <c r="S231" s="5" t="s">
        <v>16</v>
      </c>
      <c r="T231" s="46" t="str">
        <f>IF(VLOOKUP(S231,βοηθητικό!$J$2:$N$354,3,FALSE)="","",VLOOKUP(S231,βοηθητικό!$J$2:$N$354,3,FALSE))</f>
        <v>_</v>
      </c>
      <c r="U231" s="47"/>
      <c r="V231" s="4" t="s">
        <v>16</v>
      </c>
      <c r="W231" s="43" t="str">
        <f>IF(VLOOKUP(V231,βοηθητικό!$J$2:$N$354,3,FALSE)="","",VLOOKUP(V231,βοηθητικό!$J$2:$N$354,3,FALSE))</f>
        <v>_</v>
      </c>
      <c r="X231" s="44"/>
      <c r="Y231" s="5" t="s">
        <v>16</v>
      </c>
      <c r="Z231" s="46" t="str">
        <f>IF(VLOOKUP(Y231,βοηθητικό!$J$2:$N$354,3,FALSE)="","",VLOOKUP(Y231,βοηθητικό!$J$2:$N$354,3,FALSE))</f>
        <v>_</v>
      </c>
      <c r="AA231" s="47"/>
      <c r="AB231" s="4" t="s">
        <v>16</v>
      </c>
      <c r="AC231" s="43" t="str">
        <f>IF(VLOOKUP(AB231,βοηθητικό!$J$2:$N$354,3,FALSE)="","",VLOOKUP(AB231,βοηθητικό!$J$2:$N$354,3,FALSE))</f>
        <v>_</v>
      </c>
      <c r="AD231" s="44"/>
      <c r="AE231" s="5" t="s">
        <v>16</v>
      </c>
      <c r="AF231" s="46" t="str">
        <f>IF(VLOOKUP(AE231,βοηθητικό!$J$2:$N$354,3,FALSE)="","",VLOOKUP(AE231,βοηθητικό!$J$2:$N$354,3,FALSE))</f>
        <v>_</v>
      </c>
      <c r="AG231" s="47"/>
      <c r="AH231" s="4" t="s">
        <v>16</v>
      </c>
      <c r="AI231" s="43" t="str">
        <f>IF(VLOOKUP(AH231,βοηθητικό!$J$2:$N$354,3,FALSE)="","",VLOOKUP(AH231,βοηθητικό!$J$2:$N$354,3,FALSE))</f>
        <v>_</v>
      </c>
      <c r="AJ231" s="44"/>
      <c r="AK231" s="5" t="s">
        <v>16</v>
      </c>
      <c r="AL231" s="46" t="str">
        <f>IF(VLOOKUP(AK231,βοηθητικό!$J$2:$N$354,3,FALSE)="","",VLOOKUP(AK231,βοηθητικό!$J$2:$N$354,3,FALSE))</f>
        <v>_</v>
      </c>
      <c r="AM231" s="47"/>
      <c r="AN231" s="4" t="s">
        <v>16</v>
      </c>
      <c r="AO231" s="43" t="str">
        <f>IF(VLOOKUP(AN231,βοηθητικό!$J$2:$N$354,3,FALSE)="","",VLOOKUP(AN231,βοηθητικό!$J$2:$N$354,3,FALSE))</f>
        <v>_</v>
      </c>
      <c r="AP231" s="44"/>
      <c r="AQ231" s="5" t="s">
        <v>16</v>
      </c>
      <c r="AR231" s="46" t="str">
        <f>IF(VLOOKUP(AQ231,βοηθητικό!$J$2:$N$354,3,FALSE)="","",VLOOKUP(AQ231,βοηθητικό!$J$2:$N$354,3,FALSE))</f>
        <v>_</v>
      </c>
      <c r="AS231" s="47"/>
      <c r="AT231" s="4" t="s">
        <v>16</v>
      </c>
      <c r="AU231" s="43" t="str">
        <f>IF(VLOOKUP(AT231,βοηθητικό!$J$2:$N$354,3,FALSE)="","",VLOOKUP(AT231,βοηθητικό!$J$2:$N$354,3,FALSE))</f>
        <v>_</v>
      </c>
      <c r="AV231" s="44"/>
      <c r="AW231" s="5" t="s">
        <v>16</v>
      </c>
      <c r="AX231" s="46" t="str">
        <f>IF(VLOOKUP(AW231,βοηθητικό!$J$2:$N$354,3,FALSE)="","",VLOOKUP(AW231,βοηθητικό!$J$2:$N$354,3,FALSE))</f>
        <v>_</v>
      </c>
      <c r="AY231" s="47"/>
      <c r="AZ231" s="4" t="s">
        <v>16</v>
      </c>
      <c r="BA231" s="43" t="str">
        <f>IF(VLOOKUP(AZ231,βοηθητικό!$J$2:$N$354,3,FALSE)="","",VLOOKUP(AZ231,βοηθητικό!$J$2:$N$354,3,FALSE))</f>
        <v>_</v>
      </c>
      <c r="BB231" s="44"/>
      <c r="BC231" s="45" t="s">
        <v>16</v>
      </c>
      <c r="BD231" s="46" t="str">
        <f>IF(VLOOKUP(BC231,βοηθητικό!$J$2:$N$354,3,FALSE)="","",VLOOKUP(BC231,βοηθητικό!$J$2:$N$354,3,FALSE))</f>
        <v>_</v>
      </c>
      <c r="BE231" s="47"/>
      <c r="BF231" s="42" t="s">
        <v>16</v>
      </c>
      <c r="BG231" s="43" t="str">
        <f>IF(VLOOKUP(BF231,βοηθητικό!$J$2:$N$354,3,FALSE)="","",VLOOKUP(BF231,βοηθητικό!$J$2:$N$354,3,FALSE))</f>
        <v>_</v>
      </c>
      <c r="BH231" s="44"/>
      <c r="BI231" s="45" t="s">
        <v>16</v>
      </c>
      <c r="BJ231" s="46" t="str">
        <f>IF(VLOOKUP(BI231,βοηθητικό!$J$2:$N$354,3,FALSE)="","",VLOOKUP(BI231,βοηθητικό!$J$2:$N$354,3,FALSE))</f>
        <v>_</v>
      </c>
      <c r="BK231" s="47"/>
      <c r="BL231" s="42" t="s">
        <v>16</v>
      </c>
      <c r="BM231" s="43" t="str">
        <f>IF(VLOOKUP(BL231,βοηθητικό!$J$2:$N$354,3,FALSE)="","",VLOOKUP(BL231,βοηθητικό!$J$2:$N$354,3,FALSE))</f>
        <v>_</v>
      </c>
      <c r="BN231" s="44"/>
      <c r="BO231" s="45" t="s">
        <v>16</v>
      </c>
      <c r="BP231" s="46" t="str">
        <f>IF(VLOOKUP(BO231,βοηθητικό!$J$2:$N$354,3,FALSE)="","",VLOOKUP(BO231,βοηθητικό!$J$2:$N$354,3,FALSE))</f>
        <v>_</v>
      </c>
      <c r="BQ231" s="47"/>
      <c r="BR231" s="42" t="s">
        <v>16</v>
      </c>
      <c r="BS231" s="43" t="str">
        <f>IF(VLOOKUP(BR231,βοηθητικό!$J$2:$N$354,3,FALSE)="","",VLOOKUP(BR231,βοηθητικό!$J$2:$N$354,3,FALSE))</f>
        <v>_</v>
      </c>
      <c r="BT231" s="44"/>
      <c r="BU231" s="45" t="s">
        <v>16</v>
      </c>
      <c r="BV231" s="46" t="str">
        <f>IF(VLOOKUP(BU231,βοηθητικό!$J$2:$N$354,3,FALSE)="","",VLOOKUP(BU231,βοηθητικό!$J$2:$N$354,3,FALSE))</f>
        <v>_</v>
      </c>
      <c r="BW231" s="47"/>
      <c r="BX231" s="42" t="s">
        <v>16</v>
      </c>
      <c r="BY231" s="43" t="str">
        <f>IF(VLOOKUP(BX231,βοηθητικό!$J$2:$N$354,3,FALSE)="","",VLOOKUP(BX231,βοηθητικό!$J$2:$N$354,3,FALSE))</f>
        <v>_</v>
      </c>
      <c r="BZ231" s="44"/>
      <c r="CA231" s="45" t="s">
        <v>16</v>
      </c>
      <c r="CB231" s="46" t="str">
        <f>IF(VLOOKUP(CA231,βοηθητικό!$J$2:$N$354,3,FALSE)="","",VLOOKUP(CA231,βοηθητικό!$J$2:$N$354,3,FALSE))</f>
        <v>_</v>
      </c>
      <c r="CC231" s="47"/>
      <c r="CD231" s="42" t="s">
        <v>16</v>
      </c>
      <c r="CE231" s="43" t="str">
        <f>IF(VLOOKUP(CD231,βοηθητικό!$J$2:$N$354,3,FALSE)="","",VLOOKUP(CD231,βοηθητικό!$J$2:$N$354,3,FALSE))</f>
        <v>_</v>
      </c>
      <c r="CF231" s="44"/>
      <c r="CG231" s="45" t="s">
        <v>16</v>
      </c>
      <c r="CH231" s="46" t="str">
        <f>IF(VLOOKUP(CG231,βοηθητικό!$J$2:$N$354,3,FALSE)="","",VLOOKUP(CG231,βοηθητικό!$J$2:$N$354,3,FALSE))</f>
        <v>_</v>
      </c>
      <c r="CI231" s="47"/>
      <c r="CJ231" s="42" t="s">
        <v>16</v>
      </c>
      <c r="CK231" s="43" t="str">
        <f>IF(VLOOKUP(CJ231,βοηθητικό!$J$2:$N$354,3,FALSE)="","",VLOOKUP(CJ231,βοηθητικό!$J$2:$N$354,3,FALSE))</f>
        <v>_</v>
      </c>
      <c r="CL231" s="44"/>
      <c r="CM231" s="45" t="s">
        <v>16</v>
      </c>
      <c r="CN231" s="46" t="str">
        <f>IF(VLOOKUP(CM231,βοηθητικό!$J$2:$N$354,3,FALSE)="","",VLOOKUP(CM231,βοηθητικό!$J$2:$N$354,3,FALSE))</f>
        <v>_</v>
      </c>
      <c r="CO231" s="47"/>
      <c r="CP231" s="42" t="s">
        <v>16</v>
      </c>
      <c r="CQ231" s="43" t="str">
        <f>IF(VLOOKUP(CP231,βοηθητικό!$J$2:$N$354,3,FALSE)="","",VLOOKUP(CP231,βοηθητικό!$J$2:$N$354,3,FALSE))</f>
        <v>_</v>
      </c>
      <c r="CR231" s="44"/>
      <c r="CS231" s="45" t="s">
        <v>16</v>
      </c>
      <c r="CT231" s="46" t="str">
        <f>IF(VLOOKUP(CS231,βοηθητικό!$J$2:$N$354,3,FALSE)="","",VLOOKUP(CS231,βοηθητικό!$J$2:$N$354,3,FALSE))</f>
        <v>_</v>
      </c>
      <c r="CU231" s="47"/>
    </row>
    <row r="232" spans="1:99" x14ac:dyDescent="0.25">
      <c r="A232" s="37">
        <f>--SUBTOTAL(3,$B$3:B231)</f>
        <v>198</v>
      </c>
      <c r="B232" s="2"/>
      <c r="C232" s="3"/>
      <c r="D232" s="55" t="s">
        <v>18</v>
      </c>
      <c r="E232" s="38" t="s">
        <v>16</v>
      </c>
      <c r="F232" s="38" t="s">
        <v>16</v>
      </c>
      <c r="G232" s="39" t="str">
        <f t="shared" si="11"/>
        <v>__</v>
      </c>
      <c r="H232" s="40" t="str">
        <f t="shared" si="12"/>
        <v>FALSE</v>
      </c>
      <c r="I232" s="41">
        <f t="shared" si="13"/>
        <v>0</v>
      </c>
      <c r="J232" s="4" t="s">
        <v>16</v>
      </c>
      <c r="K232" s="43" t="str">
        <f>IF(VLOOKUP(J232,βοηθητικό!$J$2:$N$354,3,FALSE)="","",VLOOKUP(J232,βοηθητικό!$J$2:$N$354,3,FALSE))</f>
        <v>_</v>
      </c>
      <c r="L232" s="44"/>
      <c r="M232" s="5" t="s">
        <v>16</v>
      </c>
      <c r="N232" s="46" t="str">
        <f>IF(VLOOKUP(M232,βοηθητικό!$J$2:$N$354,3,FALSE)="","",VLOOKUP(M232,βοηθητικό!$J$2:$N$354,3,FALSE))</f>
        <v>_</v>
      </c>
      <c r="O232" s="47"/>
      <c r="P232" s="4" t="s">
        <v>16</v>
      </c>
      <c r="Q232" s="43" t="str">
        <f>IF(VLOOKUP(P232,βοηθητικό!$J$2:$N$354,3,FALSE)="","",VLOOKUP(P232,βοηθητικό!$J$2:$N$354,3,FALSE))</f>
        <v>_</v>
      </c>
      <c r="R232" s="44"/>
      <c r="S232" s="5" t="s">
        <v>16</v>
      </c>
      <c r="T232" s="46" t="str">
        <f>IF(VLOOKUP(S232,βοηθητικό!$J$2:$N$354,3,FALSE)="","",VLOOKUP(S232,βοηθητικό!$J$2:$N$354,3,FALSE))</f>
        <v>_</v>
      </c>
      <c r="U232" s="47"/>
      <c r="V232" s="4" t="s">
        <v>16</v>
      </c>
      <c r="W232" s="43" t="str">
        <f>IF(VLOOKUP(V232,βοηθητικό!$J$2:$N$354,3,FALSE)="","",VLOOKUP(V232,βοηθητικό!$J$2:$N$354,3,FALSE))</f>
        <v>_</v>
      </c>
      <c r="X232" s="44"/>
      <c r="Y232" s="5" t="s">
        <v>16</v>
      </c>
      <c r="Z232" s="46" t="str">
        <f>IF(VLOOKUP(Y232,βοηθητικό!$J$2:$N$354,3,FALSE)="","",VLOOKUP(Y232,βοηθητικό!$J$2:$N$354,3,FALSE))</f>
        <v>_</v>
      </c>
      <c r="AA232" s="47"/>
      <c r="AB232" s="4" t="s">
        <v>16</v>
      </c>
      <c r="AC232" s="43" t="str">
        <f>IF(VLOOKUP(AB232,βοηθητικό!$J$2:$N$354,3,FALSE)="","",VLOOKUP(AB232,βοηθητικό!$J$2:$N$354,3,FALSE))</f>
        <v>_</v>
      </c>
      <c r="AD232" s="44"/>
      <c r="AE232" s="5" t="s">
        <v>16</v>
      </c>
      <c r="AF232" s="46" t="str">
        <f>IF(VLOOKUP(AE232,βοηθητικό!$J$2:$N$354,3,FALSE)="","",VLOOKUP(AE232,βοηθητικό!$J$2:$N$354,3,FALSE))</f>
        <v>_</v>
      </c>
      <c r="AG232" s="47"/>
      <c r="AH232" s="4" t="s">
        <v>16</v>
      </c>
      <c r="AI232" s="43" t="str">
        <f>IF(VLOOKUP(AH232,βοηθητικό!$J$2:$N$354,3,FALSE)="","",VLOOKUP(AH232,βοηθητικό!$J$2:$N$354,3,FALSE))</f>
        <v>_</v>
      </c>
      <c r="AJ232" s="44"/>
      <c r="AK232" s="5" t="s">
        <v>16</v>
      </c>
      <c r="AL232" s="46" t="str">
        <f>IF(VLOOKUP(AK232,βοηθητικό!$J$2:$N$354,3,FALSE)="","",VLOOKUP(AK232,βοηθητικό!$J$2:$N$354,3,FALSE))</f>
        <v>_</v>
      </c>
      <c r="AM232" s="47"/>
      <c r="AN232" s="4" t="s">
        <v>16</v>
      </c>
      <c r="AO232" s="43" t="str">
        <f>IF(VLOOKUP(AN232,βοηθητικό!$J$2:$N$354,3,FALSE)="","",VLOOKUP(AN232,βοηθητικό!$J$2:$N$354,3,FALSE))</f>
        <v>_</v>
      </c>
      <c r="AP232" s="44"/>
      <c r="AQ232" s="5" t="s">
        <v>16</v>
      </c>
      <c r="AR232" s="46" t="str">
        <f>IF(VLOOKUP(AQ232,βοηθητικό!$J$2:$N$354,3,FALSE)="","",VLOOKUP(AQ232,βοηθητικό!$J$2:$N$354,3,FALSE))</f>
        <v>_</v>
      </c>
      <c r="AS232" s="47"/>
      <c r="AT232" s="4" t="s">
        <v>16</v>
      </c>
      <c r="AU232" s="43" t="str">
        <f>IF(VLOOKUP(AT232,βοηθητικό!$J$2:$N$354,3,FALSE)="","",VLOOKUP(AT232,βοηθητικό!$J$2:$N$354,3,FALSE))</f>
        <v>_</v>
      </c>
      <c r="AV232" s="44"/>
      <c r="AW232" s="5" t="s">
        <v>16</v>
      </c>
      <c r="AX232" s="46" t="str">
        <f>IF(VLOOKUP(AW232,βοηθητικό!$J$2:$N$354,3,FALSE)="","",VLOOKUP(AW232,βοηθητικό!$J$2:$N$354,3,FALSE))</f>
        <v>_</v>
      </c>
      <c r="AY232" s="47"/>
      <c r="AZ232" s="4" t="s">
        <v>16</v>
      </c>
      <c r="BA232" s="43" t="str">
        <f>IF(VLOOKUP(AZ232,βοηθητικό!$J$2:$N$354,3,FALSE)="","",VLOOKUP(AZ232,βοηθητικό!$J$2:$N$354,3,FALSE))</f>
        <v>_</v>
      </c>
      <c r="BB232" s="44"/>
      <c r="BC232" s="45" t="s">
        <v>16</v>
      </c>
      <c r="BD232" s="46" t="str">
        <f>IF(VLOOKUP(BC232,βοηθητικό!$J$2:$N$354,3,FALSE)="","",VLOOKUP(BC232,βοηθητικό!$J$2:$N$354,3,FALSE))</f>
        <v>_</v>
      </c>
      <c r="BE232" s="47"/>
      <c r="BF232" s="42" t="s">
        <v>16</v>
      </c>
      <c r="BG232" s="43" t="str">
        <f>IF(VLOOKUP(BF232,βοηθητικό!$J$2:$N$354,3,FALSE)="","",VLOOKUP(BF232,βοηθητικό!$J$2:$N$354,3,FALSE))</f>
        <v>_</v>
      </c>
      <c r="BH232" s="44"/>
      <c r="BI232" s="45" t="s">
        <v>16</v>
      </c>
      <c r="BJ232" s="46" t="str">
        <f>IF(VLOOKUP(BI232,βοηθητικό!$J$2:$N$354,3,FALSE)="","",VLOOKUP(BI232,βοηθητικό!$J$2:$N$354,3,FALSE))</f>
        <v>_</v>
      </c>
      <c r="BK232" s="47"/>
      <c r="BL232" s="42" t="s">
        <v>16</v>
      </c>
      <c r="BM232" s="43" t="str">
        <f>IF(VLOOKUP(BL232,βοηθητικό!$J$2:$N$354,3,FALSE)="","",VLOOKUP(BL232,βοηθητικό!$J$2:$N$354,3,FALSE))</f>
        <v>_</v>
      </c>
      <c r="BN232" s="44"/>
      <c r="BO232" s="45" t="s">
        <v>16</v>
      </c>
      <c r="BP232" s="46" t="str">
        <f>IF(VLOOKUP(BO232,βοηθητικό!$J$2:$N$354,3,FALSE)="","",VLOOKUP(BO232,βοηθητικό!$J$2:$N$354,3,FALSE))</f>
        <v>_</v>
      </c>
      <c r="BQ232" s="47"/>
      <c r="BR232" s="42" t="s">
        <v>16</v>
      </c>
      <c r="BS232" s="43" t="str">
        <f>IF(VLOOKUP(BR232,βοηθητικό!$J$2:$N$354,3,FALSE)="","",VLOOKUP(BR232,βοηθητικό!$J$2:$N$354,3,FALSE))</f>
        <v>_</v>
      </c>
      <c r="BT232" s="44"/>
      <c r="BU232" s="45" t="s">
        <v>16</v>
      </c>
      <c r="BV232" s="46" t="str">
        <f>IF(VLOOKUP(BU232,βοηθητικό!$J$2:$N$354,3,FALSE)="","",VLOOKUP(BU232,βοηθητικό!$J$2:$N$354,3,FALSE))</f>
        <v>_</v>
      </c>
      <c r="BW232" s="47"/>
      <c r="BX232" s="42" t="s">
        <v>16</v>
      </c>
      <c r="BY232" s="43" t="str">
        <f>IF(VLOOKUP(BX232,βοηθητικό!$J$2:$N$354,3,FALSE)="","",VLOOKUP(BX232,βοηθητικό!$J$2:$N$354,3,FALSE))</f>
        <v>_</v>
      </c>
      <c r="BZ232" s="44"/>
      <c r="CA232" s="45" t="s">
        <v>16</v>
      </c>
      <c r="CB232" s="46" t="str">
        <f>IF(VLOOKUP(CA232,βοηθητικό!$J$2:$N$354,3,FALSE)="","",VLOOKUP(CA232,βοηθητικό!$J$2:$N$354,3,FALSE))</f>
        <v>_</v>
      </c>
      <c r="CC232" s="47"/>
      <c r="CD232" s="42" t="s">
        <v>16</v>
      </c>
      <c r="CE232" s="43" t="str">
        <f>IF(VLOOKUP(CD232,βοηθητικό!$J$2:$N$354,3,FALSE)="","",VLOOKUP(CD232,βοηθητικό!$J$2:$N$354,3,FALSE))</f>
        <v>_</v>
      </c>
      <c r="CF232" s="44"/>
      <c r="CG232" s="45" t="s">
        <v>16</v>
      </c>
      <c r="CH232" s="46" t="str">
        <f>IF(VLOOKUP(CG232,βοηθητικό!$J$2:$N$354,3,FALSE)="","",VLOOKUP(CG232,βοηθητικό!$J$2:$N$354,3,FALSE))</f>
        <v>_</v>
      </c>
      <c r="CI232" s="47"/>
      <c r="CJ232" s="42" t="s">
        <v>16</v>
      </c>
      <c r="CK232" s="43" t="str">
        <f>IF(VLOOKUP(CJ232,βοηθητικό!$J$2:$N$354,3,FALSE)="","",VLOOKUP(CJ232,βοηθητικό!$J$2:$N$354,3,FALSE))</f>
        <v>_</v>
      </c>
      <c r="CL232" s="44"/>
      <c r="CM232" s="45" t="s">
        <v>16</v>
      </c>
      <c r="CN232" s="46" t="str">
        <f>IF(VLOOKUP(CM232,βοηθητικό!$J$2:$N$354,3,FALSE)="","",VLOOKUP(CM232,βοηθητικό!$J$2:$N$354,3,FALSE))</f>
        <v>_</v>
      </c>
      <c r="CO232" s="47"/>
      <c r="CP232" s="42" t="s">
        <v>16</v>
      </c>
      <c r="CQ232" s="43" t="str">
        <f>IF(VLOOKUP(CP232,βοηθητικό!$J$2:$N$354,3,FALSE)="","",VLOOKUP(CP232,βοηθητικό!$J$2:$N$354,3,FALSE))</f>
        <v>_</v>
      </c>
      <c r="CR232" s="44"/>
      <c r="CS232" s="45" t="s">
        <v>16</v>
      </c>
      <c r="CT232" s="46" t="str">
        <f>IF(VLOOKUP(CS232,βοηθητικό!$J$2:$N$354,3,FALSE)="","",VLOOKUP(CS232,βοηθητικό!$J$2:$N$354,3,FALSE))</f>
        <v>_</v>
      </c>
      <c r="CU232" s="47"/>
    </row>
    <row r="233" spans="1:99" x14ac:dyDescent="0.25">
      <c r="A233" s="37">
        <f>--SUBTOTAL(3,$B$3:B232)</f>
        <v>198</v>
      </c>
      <c r="B233" s="2"/>
      <c r="C233" s="3"/>
      <c r="D233" s="55" t="s">
        <v>18</v>
      </c>
      <c r="E233" s="38" t="s">
        <v>16</v>
      </c>
      <c r="F233" s="38" t="s">
        <v>16</v>
      </c>
      <c r="G233" s="39" t="str">
        <f t="shared" si="11"/>
        <v>__</v>
      </c>
      <c r="H233" s="40" t="str">
        <f t="shared" si="12"/>
        <v>FALSE</v>
      </c>
      <c r="I233" s="41">
        <f t="shared" si="13"/>
        <v>0</v>
      </c>
      <c r="J233" s="4" t="s">
        <v>16</v>
      </c>
      <c r="K233" s="43" t="str">
        <f>IF(VLOOKUP(J233,βοηθητικό!$J$2:$N$354,3,FALSE)="","",VLOOKUP(J233,βοηθητικό!$J$2:$N$354,3,FALSE))</f>
        <v>_</v>
      </c>
      <c r="L233" s="44"/>
      <c r="M233" s="5" t="s">
        <v>16</v>
      </c>
      <c r="N233" s="46" t="str">
        <f>IF(VLOOKUP(M233,βοηθητικό!$J$2:$N$354,3,FALSE)="","",VLOOKUP(M233,βοηθητικό!$J$2:$N$354,3,FALSE))</f>
        <v>_</v>
      </c>
      <c r="O233" s="47"/>
      <c r="P233" s="4" t="s">
        <v>16</v>
      </c>
      <c r="Q233" s="43" t="str">
        <f>IF(VLOOKUP(P233,βοηθητικό!$J$2:$N$354,3,FALSE)="","",VLOOKUP(P233,βοηθητικό!$J$2:$N$354,3,FALSE))</f>
        <v>_</v>
      </c>
      <c r="R233" s="44"/>
      <c r="S233" s="5" t="s">
        <v>16</v>
      </c>
      <c r="T233" s="46" t="str">
        <f>IF(VLOOKUP(S233,βοηθητικό!$J$2:$N$354,3,FALSE)="","",VLOOKUP(S233,βοηθητικό!$J$2:$N$354,3,FALSE))</f>
        <v>_</v>
      </c>
      <c r="U233" s="47"/>
      <c r="V233" s="4" t="s">
        <v>16</v>
      </c>
      <c r="W233" s="43" t="str">
        <f>IF(VLOOKUP(V233,βοηθητικό!$J$2:$N$354,3,FALSE)="","",VLOOKUP(V233,βοηθητικό!$J$2:$N$354,3,FALSE))</f>
        <v>_</v>
      </c>
      <c r="X233" s="44"/>
      <c r="Y233" s="5" t="s">
        <v>16</v>
      </c>
      <c r="Z233" s="46" t="str">
        <f>IF(VLOOKUP(Y233,βοηθητικό!$J$2:$N$354,3,FALSE)="","",VLOOKUP(Y233,βοηθητικό!$J$2:$N$354,3,FALSE))</f>
        <v>_</v>
      </c>
      <c r="AA233" s="47"/>
      <c r="AB233" s="4" t="s">
        <v>16</v>
      </c>
      <c r="AC233" s="43" t="str">
        <f>IF(VLOOKUP(AB233,βοηθητικό!$J$2:$N$354,3,FALSE)="","",VLOOKUP(AB233,βοηθητικό!$J$2:$N$354,3,FALSE))</f>
        <v>_</v>
      </c>
      <c r="AD233" s="44"/>
      <c r="AE233" s="5" t="s">
        <v>16</v>
      </c>
      <c r="AF233" s="46" t="str">
        <f>IF(VLOOKUP(AE233,βοηθητικό!$J$2:$N$354,3,FALSE)="","",VLOOKUP(AE233,βοηθητικό!$J$2:$N$354,3,FALSE))</f>
        <v>_</v>
      </c>
      <c r="AG233" s="47"/>
      <c r="AH233" s="4" t="s">
        <v>16</v>
      </c>
      <c r="AI233" s="43" t="str">
        <f>IF(VLOOKUP(AH233,βοηθητικό!$J$2:$N$354,3,FALSE)="","",VLOOKUP(AH233,βοηθητικό!$J$2:$N$354,3,FALSE))</f>
        <v>_</v>
      </c>
      <c r="AJ233" s="44"/>
      <c r="AK233" s="5" t="s">
        <v>16</v>
      </c>
      <c r="AL233" s="46" t="str">
        <f>IF(VLOOKUP(AK233,βοηθητικό!$J$2:$N$354,3,FALSE)="","",VLOOKUP(AK233,βοηθητικό!$J$2:$N$354,3,FALSE))</f>
        <v>_</v>
      </c>
      <c r="AM233" s="47"/>
      <c r="AN233" s="4" t="s">
        <v>16</v>
      </c>
      <c r="AO233" s="43" t="str">
        <f>IF(VLOOKUP(AN233,βοηθητικό!$J$2:$N$354,3,FALSE)="","",VLOOKUP(AN233,βοηθητικό!$J$2:$N$354,3,FALSE))</f>
        <v>_</v>
      </c>
      <c r="AP233" s="44"/>
      <c r="AQ233" s="5" t="s">
        <v>16</v>
      </c>
      <c r="AR233" s="46" t="str">
        <f>IF(VLOOKUP(AQ233,βοηθητικό!$J$2:$N$354,3,FALSE)="","",VLOOKUP(AQ233,βοηθητικό!$J$2:$N$354,3,FALSE))</f>
        <v>_</v>
      </c>
      <c r="AS233" s="47"/>
      <c r="AT233" s="4" t="s">
        <v>16</v>
      </c>
      <c r="AU233" s="43" t="str">
        <f>IF(VLOOKUP(AT233,βοηθητικό!$J$2:$N$354,3,FALSE)="","",VLOOKUP(AT233,βοηθητικό!$J$2:$N$354,3,FALSE))</f>
        <v>_</v>
      </c>
      <c r="AV233" s="44"/>
      <c r="AW233" s="5" t="s">
        <v>16</v>
      </c>
      <c r="AX233" s="46" t="str">
        <f>IF(VLOOKUP(AW233,βοηθητικό!$J$2:$N$354,3,FALSE)="","",VLOOKUP(AW233,βοηθητικό!$J$2:$N$354,3,FALSE))</f>
        <v>_</v>
      </c>
      <c r="AY233" s="47"/>
      <c r="AZ233" s="4" t="s">
        <v>16</v>
      </c>
      <c r="BA233" s="43" t="str">
        <f>IF(VLOOKUP(AZ233,βοηθητικό!$J$2:$N$354,3,FALSE)="","",VLOOKUP(AZ233,βοηθητικό!$J$2:$N$354,3,FALSE))</f>
        <v>_</v>
      </c>
      <c r="BB233" s="44"/>
      <c r="BC233" s="45" t="s">
        <v>16</v>
      </c>
      <c r="BD233" s="46" t="str">
        <f>IF(VLOOKUP(BC233,βοηθητικό!$J$2:$N$354,3,FALSE)="","",VLOOKUP(BC233,βοηθητικό!$J$2:$N$354,3,FALSE))</f>
        <v>_</v>
      </c>
      <c r="BE233" s="47"/>
      <c r="BF233" s="42" t="s">
        <v>16</v>
      </c>
      <c r="BG233" s="43" t="str">
        <f>IF(VLOOKUP(BF233,βοηθητικό!$J$2:$N$354,3,FALSE)="","",VLOOKUP(BF233,βοηθητικό!$J$2:$N$354,3,FALSE))</f>
        <v>_</v>
      </c>
      <c r="BH233" s="44"/>
      <c r="BI233" s="45" t="s">
        <v>16</v>
      </c>
      <c r="BJ233" s="46" t="str">
        <f>IF(VLOOKUP(BI233,βοηθητικό!$J$2:$N$354,3,FALSE)="","",VLOOKUP(BI233,βοηθητικό!$J$2:$N$354,3,FALSE))</f>
        <v>_</v>
      </c>
      <c r="BK233" s="47"/>
      <c r="BL233" s="42" t="s">
        <v>16</v>
      </c>
      <c r="BM233" s="43" t="str">
        <f>IF(VLOOKUP(BL233,βοηθητικό!$J$2:$N$354,3,FALSE)="","",VLOOKUP(BL233,βοηθητικό!$J$2:$N$354,3,FALSE))</f>
        <v>_</v>
      </c>
      <c r="BN233" s="44"/>
      <c r="BO233" s="45" t="s">
        <v>16</v>
      </c>
      <c r="BP233" s="46" t="str">
        <f>IF(VLOOKUP(BO233,βοηθητικό!$J$2:$N$354,3,FALSE)="","",VLOOKUP(BO233,βοηθητικό!$J$2:$N$354,3,FALSE))</f>
        <v>_</v>
      </c>
      <c r="BQ233" s="47"/>
      <c r="BR233" s="42" t="s">
        <v>16</v>
      </c>
      <c r="BS233" s="43" t="str">
        <f>IF(VLOOKUP(BR233,βοηθητικό!$J$2:$N$354,3,FALSE)="","",VLOOKUP(BR233,βοηθητικό!$J$2:$N$354,3,FALSE))</f>
        <v>_</v>
      </c>
      <c r="BT233" s="44"/>
      <c r="BU233" s="45" t="s">
        <v>16</v>
      </c>
      <c r="BV233" s="46" t="str">
        <f>IF(VLOOKUP(BU233,βοηθητικό!$J$2:$N$354,3,FALSE)="","",VLOOKUP(BU233,βοηθητικό!$J$2:$N$354,3,FALSE))</f>
        <v>_</v>
      </c>
      <c r="BW233" s="47"/>
      <c r="BX233" s="42" t="s">
        <v>16</v>
      </c>
      <c r="BY233" s="43" t="str">
        <f>IF(VLOOKUP(BX233,βοηθητικό!$J$2:$N$354,3,FALSE)="","",VLOOKUP(BX233,βοηθητικό!$J$2:$N$354,3,FALSE))</f>
        <v>_</v>
      </c>
      <c r="BZ233" s="44"/>
      <c r="CA233" s="45" t="s">
        <v>16</v>
      </c>
      <c r="CB233" s="46" t="str">
        <f>IF(VLOOKUP(CA233,βοηθητικό!$J$2:$N$354,3,FALSE)="","",VLOOKUP(CA233,βοηθητικό!$J$2:$N$354,3,FALSE))</f>
        <v>_</v>
      </c>
      <c r="CC233" s="47"/>
      <c r="CD233" s="42" t="s">
        <v>16</v>
      </c>
      <c r="CE233" s="43" t="str">
        <f>IF(VLOOKUP(CD233,βοηθητικό!$J$2:$N$354,3,FALSE)="","",VLOOKUP(CD233,βοηθητικό!$J$2:$N$354,3,FALSE))</f>
        <v>_</v>
      </c>
      <c r="CF233" s="44"/>
      <c r="CG233" s="45" t="s">
        <v>16</v>
      </c>
      <c r="CH233" s="46" t="str">
        <f>IF(VLOOKUP(CG233,βοηθητικό!$J$2:$N$354,3,FALSE)="","",VLOOKUP(CG233,βοηθητικό!$J$2:$N$354,3,FALSE))</f>
        <v>_</v>
      </c>
      <c r="CI233" s="47"/>
      <c r="CJ233" s="42" t="s">
        <v>16</v>
      </c>
      <c r="CK233" s="43" t="str">
        <f>IF(VLOOKUP(CJ233,βοηθητικό!$J$2:$N$354,3,FALSE)="","",VLOOKUP(CJ233,βοηθητικό!$J$2:$N$354,3,FALSE))</f>
        <v>_</v>
      </c>
      <c r="CL233" s="44"/>
      <c r="CM233" s="45" t="s">
        <v>16</v>
      </c>
      <c r="CN233" s="46" t="str">
        <f>IF(VLOOKUP(CM233,βοηθητικό!$J$2:$N$354,3,FALSE)="","",VLOOKUP(CM233,βοηθητικό!$J$2:$N$354,3,FALSE))</f>
        <v>_</v>
      </c>
      <c r="CO233" s="47"/>
      <c r="CP233" s="42" t="s">
        <v>16</v>
      </c>
      <c r="CQ233" s="43" t="str">
        <f>IF(VLOOKUP(CP233,βοηθητικό!$J$2:$N$354,3,FALSE)="","",VLOOKUP(CP233,βοηθητικό!$J$2:$N$354,3,FALSE))</f>
        <v>_</v>
      </c>
      <c r="CR233" s="44"/>
      <c r="CS233" s="45" t="s">
        <v>16</v>
      </c>
      <c r="CT233" s="46" t="str">
        <f>IF(VLOOKUP(CS233,βοηθητικό!$J$2:$N$354,3,FALSE)="","",VLOOKUP(CS233,βοηθητικό!$J$2:$N$354,3,FALSE))</f>
        <v>_</v>
      </c>
      <c r="CU233" s="47"/>
    </row>
    <row r="234" spans="1:99" x14ac:dyDescent="0.25">
      <c r="A234" s="37">
        <f>--SUBTOTAL(3,$B$3:B233)</f>
        <v>198</v>
      </c>
      <c r="B234" s="2"/>
      <c r="C234" s="3"/>
      <c r="D234" s="55" t="s">
        <v>18</v>
      </c>
      <c r="E234" s="38" t="s">
        <v>16</v>
      </c>
      <c r="F234" s="38" t="s">
        <v>16</v>
      </c>
      <c r="G234" s="39" t="str">
        <f t="shared" si="11"/>
        <v>__</v>
      </c>
      <c r="H234" s="40" t="str">
        <f t="shared" si="12"/>
        <v>FALSE</v>
      </c>
      <c r="I234" s="41">
        <f t="shared" si="13"/>
        <v>0</v>
      </c>
      <c r="J234" s="4" t="s">
        <v>16</v>
      </c>
      <c r="K234" s="43" t="str">
        <f>IF(VLOOKUP(J234,βοηθητικό!$J$2:$N$354,3,FALSE)="","",VLOOKUP(J234,βοηθητικό!$J$2:$N$354,3,FALSE))</f>
        <v>_</v>
      </c>
      <c r="L234" s="44"/>
      <c r="M234" s="5" t="s">
        <v>16</v>
      </c>
      <c r="N234" s="46" t="str">
        <f>IF(VLOOKUP(M234,βοηθητικό!$J$2:$N$354,3,FALSE)="","",VLOOKUP(M234,βοηθητικό!$J$2:$N$354,3,FALSE))</f>
        <v>_</v>
      </c>
      <c r="O234" s="47"/>
      <c r="P234" s="4" t="s">
        <v>16</v>
      </c>
      <c r="Q234" s="43" t="str">
        <f>IF(VLOOKUP(P234,βοηθητικό!$J$2:$N$354,3,FALSE)="","",VLOOKUP(P234,βοηθητικό!$J$2:$N$354,3,FALSE))</f>
        <v>_</v>
      </c>
      <c r="R234" s="44"/>
      <c r="S234" s="5" t="s">
        <v>16</v>
      </c>
      <c r="T234" s="46" t="str">
        <f>IF(VLOOKUP(S234,βοηθητικό!$J$2:$N$354,3,FALSE)="","",VLOOKUP(S234,βοηθητικό!$J$2:$N$354,3,FALSE))</f>
        <v>_</v>
      </c>
      <c r="U234" s="47"/>
      <c r="V234" s="4" t="s">
        <v>16</v>
      </c>
      <c r="W234" s="43" t="str">
        <f>IF(VLOOKUP(V234,βοηθητικό!$J$2:$N$354,3,FALSE)="","",VLOOKUP(V234,βοηθητικό!$J$2:$N$354,3,FALSE))</f>
        <v>_</v>
      </c>
      <c r="X234" s="44"/>
      <c r="Y234" s="5" t="s">
        <v>16</v>
      </c>
      <c r="Z234" s="46" t="str">
        <f>IF(VLOOKUP(Y234,βοηθητικό!$J$2:$N$354,3,FALSE)="","",VLOOKUP(Y234,βοηθητικό!$J$2:$N$354,3,FALSE))</f>
        <v>_</v>
      </c>
      <c r="AA234" s="47"/>
      <c r="AB234" s="4" t="s">
        <v>16</v>
      </c>
      <c r="AC234" s="43" t="str">
        <f>IF(VLOOKUP(AB234,βοηθητικό!$J$2:$N$354,3,FALSE)="","",VLOOKUP(AB234,βοηθητικό!$J$2:$N$354,3,FALSE))</f>
        <v>_</v>
      </c>
      <c r="AD234" s="44"/>
      <c r="AE234" s="5" t="s">
        <v>16</v>
      </c>
      <c r="AF234" s="46" t="str">
        <f>IF(VLOOKUP(AE234,βοηθητικό!$J$2:$N$354,3,FALSE)="","",VLOOKUP(AE234,βοηθητικό!$J$2:$N$354,3,FALSE))</f>
        <v>_</v>
      </c>
      <c r="AG234" s="47"/>
      <c r="AH234" s="4" t="s">
        <v>16</v>
      </c>
      <c r="AI234" s="43" t="str">
        <f>IF(VLOOKUP(AH234,βοηθητικό!$J$2:$N$354,3,FALSE)="","",VLOOKUP(AH234,βοηθητικό!$J$2:$N$354,3,FALSE))</f>
        <v>_</v>
      </c>
      <c r="AJ234" s="44"/>
      <c r="AK234" s="5" t="s">
        <v>16</v>
      </c>
      <c r="AL234" s="46" t="str">
        <f>IF(VLOOKUP(AK234,βοηθητικό!$J$2:$N$354,3,FALSE)="","",VLOOKUP(AK234,βοηθητικό!$J$2:$N$354,3,FALSE))</f>
        <v>_</v>
      </c>
      <c r="AM234" s="47"/>
      <c r="AN234" s="4" t="s">
        <v>16</v>
      </c>
      <c r="AO234" s="43" t="str">
        <f>IF(VLOOKUP(AN234,βοηθητικό!$J$2:$N$354,3,FALSE)="","",VLOOKUP(AN234,βοηθητικό!$J$2:$N$354,3,FALSE))</f>
        <v>_</v>
      </c>
      <c r="AP234" s="44"/>
      <c r="AQ234" s="5" t="s">
        <v>16</v>
      </c>
      <c r="AR234" s="46" t="str">
        <f>IF(VLOOKUP(AQ234,βοηθητικό!$J$2:$N$354,3,FALSE)="","",VLOOKUP(AQ234,βοηθητικό!$J$2:$N$354,3,FALSE))</f>
        <v>_</v>
      </c>
      <c r="AS234" s="47"/>
      <c r="AT234" s="4" t="s">
        <v>16</v>
      </c>
      <c r="AU234" s="43" t="str">
        <f>IF(VLOOKUP(AT234,βοηθητικό!$J$2:$N$354,3,FALSE)="","",VLOOKUP(AT234,βοηθητικό!$J$2:$N$354,3,FALSE))</f>
        <v>_</v>
      </c>
      <c r="AV234" s="44"/>
      <c r="AW234" s="5" t="s">
        <v>16</v>
      </c>
      <c r="AX234" s="46" t="str">
        <f>IF(VLOOKUP(AW234,βοηθητικό!$J$2:$N$354,3,FALSE)="","",VLOOKUP(AW234,βοηθητικό!$J$2:$N$354,3,FALSE))</f>
        <v>_</v>
      </c>
      <c r="AY234" s="47"/>
      <c r="AZ234" s="4" t="s">
        <v>16</v>
      </c>
      <c r="BA234" s="43" t="str">
        <f>IF(VLOOKUP(AZ234,βοηθητικό!$J$2:$N$354,3,FALSE)="","",VLOOKUP(AZ234,βοηθητικό!$J$2:$N$354,3,FALSE))</f>
        <v>_</v>
      </c>
      <c r="BB234" s="44"/>
      <c r="BC234" s="45" t="s">
        <v>16</v>
      </c>
      <c r="BD234" s="46" t="str">
        <f>IF(VLOOKUP(BC234,βοηθητικό!$J$2:$N$354,3,FALSE)="","",VLOOKUP(BC234,βοηθητικό!$J$2:$N$354,3,FALSE))</f>
        <v>_</v>
      </c>
      <c r="BE234" s="47"/>
      <c r="BF234" s="42" t="s">
        <v>16</v>
      </c>
      <c r="BG234" s="43" t="str">
        <f>IF(VLOOKUP(BF234,βοηθητικό!$J$2:$N$354,3,FALSE)="","",VLOOKUP(BF234,βοηθητικό!$J$2:$N$354,3,FALSE))</f>
        <v>_</v>
      </c>
      <c r="BH234" s="44"/>
      <c r="BI234" s="45" t="s">
        <v>16</v>
      </c>
      <c r="BJ234" s="46" t="str">
        <f>IF(VLOOKUP(BI234,βοηθητικό!$J$2:$N$354,3,FALSE)="","",VLOOKUP(BI234,βοηθητικό!$J$2:$N$354,3,FALSE))</f>
        <v>_</v>
      </c>
      <c r="BK234" s="47"/>
      <c r="BL234" s="42" t="s">
        <v>16</v>
      </c>
      <c r="BM234" s="43" t="str">
        <f>IF(VLOOKUP(BL234,βοηθητικό!$J$2:$N$354,3,FALSE)="","",VLOOKUP(BL234,βοηθητικό!$J$2:$N$354,3,FALSE))</f>
        <v>_</v>
      </c>
      <c r="BN234" s="44"/>
      <c r="BO234" s="45" t="s">
        <v>16</v>
      </c>
      <c r="BP234" s="46" t="str">
        <f>IF(VLOOKUP(BO234,βοηθητικό!$J$2:$N$354,3,FALSE)="","",VLOOKUP(BO234,βοηθητικό!$J$2:$N$354,3,FALSE))</f>
        <v>_</v>
      </c>
      <c r="BQ234" s="47"/>
      <c r="BR234" s="42" t="s">
        <v>16</v>
      </c>
      <c r="BS234" s="43" t="str">
        <f>IF(VLOOKUP(BR234,βοηθητικό!$J$2:$N$354,3,FALSE)="","",VLOOKUP(BR234,βοηθητικό!$J$2:$N$354,3,FALSE))</f>
        <v>_</v>
      </c>
      <c r="BT234" s="44"/>
      <c r="BU234" s="45" t="s">
        <v>16</v>
      </c>
      <c r="BV234" s="46" t="str">
        <f>IF(VLOOKUP(BU234,βοηθητικό!$J$2:$N$354,3,FALSE)="","",VLOOKUP(BU234,βοηθητικό!$J$2:$N$354,3,FALSE))</f>
        <v>_</v>
      </c>
      <c r="BW234" s="47"/>
      <c r="BX234" s="42" t="s">
        <v>16</v>
      </c>
      <c r="BY234" s="43" t="str">
        <f>IF(VLOOKUP(BX234,βοηθητικό!$J$2:$N$354,3,FALSE)="","",VLOOKUP(BX234,βοηθητικό!$J$2:$N$354,3,FALSE))</f>
        <v>_</v>
      </c>
      <c r="BZ234" s="44"/>
      <c r="CA234" s="45" t="s">
        <v>16</v>
      </c>
      <c r="CB234" s="46" t="str">
        <f>IF(VLOOKUP(CA234,βοηθητικό!$J$2:$N$354,3,FALSE)="","",VLOOKUP(CA234,βοηθητικό!$J$2:$N$354,3,FALSE))</f>
        <v>_</v>
      </c>
      <c r="CC234" s="47"/>
      <c r="CD234" s="42" t="s">
        <v>16</v>
      </c>
      <c r="CE234" s="43" t="str">
        <f>IF(VLOOKUP(CD234,βοηθητικό!$J$2:$N$354,3,FALSE)="","",VLOOKUP(CD234,βοηθητικό!$J$2:$N$354,3,FALSE))</f>
        <v>_</v>
      </c>
      <c r="CF234" s="44"/>
      <c r="CG234" s="45" t="s">
        <v>16</v>
      </c>
      <c r="CH234" s="46" t="str">
        <f>IF(VLOOKUP(CG234,βοηθητικό!$J$2:$N$354,3,FALSE)="","",VLOOKUP(CG234,βοηθητικό!$J$2:$N$354,3,FALSE))</f>
        <v>_</v>
      </c>
      <c r="CI234" s="47"/>
      <c r="CJ234" s="42" t="s">
        <v>16</v>
      </c>
      <c r="CK234" s="43" t="str">
        <f>IF(VLOOKUP(CJ234,βοηθητικό!$J$2:$N$354,3,FALSE)="","",VLOOKUP(CJ234,βοηθητικό!$J$2:$N$354,3,FALSE))</f>
        <v>_</v>
      </c>
      <c r="CL234" s="44"/>
      <c r="CM234" s="45" t="s">
        <v>16</v>
      </c>
      <c r="CN234" s="46" t="str">
        <f>IF(VLOOKUP(CM234,βοηθητικό!$J$2:$N$354,3,FALSE)="","",VLOOKUP(CM234,βοηθητικό!$J$2:$N$354,3,FALSE))</f>
        <v>_</v>
      </c>
      <c r="CO234" s="47"/>
      <c r="CP234" s="42" t="s">
        <v>16</v>
      </c>
      <c r="CQ234" s="43" t="str">
        <f>IF(VLOOKUP(CP234,βοηθητικό!$J$2:$N$354,3,FALSE)="","",VLOOKUP(CP234,βοηθητικό!$J$2:$N$354,3,FALSE))</f>
        <v>_</v>
      </c>
      <c r="CR234" s="44"/>
      <c r="CS234" s="45" t="s">
        <v>16</v>
      </c>
      <c r="CT234" s="46" t="str">
        <f>IF(VLOOKUP(CS234,βοηθητικό!$J$2:$N$354,3,FALSE)="","",VLOOKUP(CS234,βοηθητικό!$J$2:$N$354,3,FALSE))</f>
        <v>_</v>
      </c>
      <c r="CU234" s="47"/>
    </row>
    <row r="235" spans="1:99" x14ac:dyDescent="0.25">
      <c r="A235" s="37">
        <f>--SUBTOTAL(3,$B$3:B234)</f>
        <v>198</v>
      </c>
      <c r="B235" s="2"/>
      <c r="C235" s="3"/>
      <c r="D235" s="55" t="s">
        <v>18</v>
      </c>
      <c r="E235" s="38" t="s">
        <v>16</v>
      </c>
      <c r="F235" s="38" t="s">
        <v>16</v>
      </c>
      <c r="G235" s="39" t="str">
        <f t="shared" si="11"/>
        <v>__</v>
      </c>
      <c r="H235" s="40" t="str">
        <f t="shared" si="12"/>
        <v>FALSE</v>
      </c>
      <c r="I235" s="41">
        <f t="shared" si="13"/>
        <v>0</v>
      </c>
      <c r="J235" s="4" t="s">
        <v>16</v>
      </c>
      <c r="K235" s="43" t="str">
        <f>IF(VLOOKUP(J235,βοηθητικό!$J$2:$N$354,3,FALSE)="","",VLOOKUP(J235,βοηθητικό!$J$2:$N$354,3,FALSE))</f>
        <v>_</v>
      </c>
      <c r="L235" s="44"/>
      <c r="M235" s="5" t="s">
        <v>16</v>
      </c>
      <c r="N235" s="46" t="str">
        <f>IF(VLOOKUP(M235,βοηθητικό!$J$2:$N$354,3,FALSE)="","",VLOOKUP(M235,βοηθητικό!$J$2:$N$354,3,FALSE))</f>
        <v>_</v>
      </c>
      <c r="O235" s="47"/>
      <c r="P235" s="4" t="s">
        <v>16</v>
      </c>
      <c r="Q235" s="43" t="str">
        <f>IF(VLOOKUP(P235,βοηθητικό!$J$2:$N$354,3,FALSE)="","",VLOOKUP(P235,βοηθητικό!$J$2:$N$354,3,FALSE))</f>
        <v>_</v>
      </c>
      <c r="R235" s="44"/>
      <c r="S235" s="5" t="s">
        <v>16</v>
      </c>
      <c r="T235" s="46" t="str">
        <f>IF(VLOOKUP(S235,βοηθητικό!$J$2:$N$354,3,FALSE)="","",VLOOKUP(S235,βοηθητικό!$J$2:$N$354,3,FALSE))</f>
        <v>_</v>
      </c>
      <c r="U235" s="47"/>
      <c r="V235" s="4" t="s">
        <v>16</v>
      </c>
      <c r="W235" s="43" t="str">
        <f>IF(VLOOKUP(V235,βοηθητικό!$J$2:$N$354,3,FALSE)="","",VLOOKUP(V235,βοηθητικό!$J$2:$N$354,3,FALSE))</f>
        <v>_</v>
      </c>
      <c r="X235" s="44"/>
      <c r="Y235" s="5" t="s">
        <v>16</v>
      </c>
      <c r="Z235" s="46" t="str">
        <f>IF(VLOOKUP(Y235,βοηθητικό!$J$2:$N$354,3,FALSE)="","",VLOOKUP(Y235,βοηθητικό!$J$2:$N$354,3,FALSE))</f>
        <v>_</v>
      </c>
      <c r="AA235" s="47"/>
      <c r="AB235" s="4" t="s">
        <v>16</v>
      </c>
      <c r="AC235" s="43" t="str">
        <f>IF(VLOOKUP(AB235,βοηθητικό!$J$2:$N$354,3,FALSE)="","",VLOOKUP(AB235,βοηθητικό!$J$2:$N$354,3,FALSE))</f>
        <v>_</v>
      </c>
      <c r="AD235" s="44"/>
      <c r="AE235" s="5" t="s">
        <v>16</v>
      </c>
      <c r="AF235" s="46" t="str">
        <f>IF(VLOOKUP(AE235,βοηθητικό!$J$2:$N$354,3,FALSE)="","",VLOOKUP(AE235,βοηθητικό!$J$2:$N$354,3,FALSE))</f>
        <v>_</v>
      </c>
      <c r="AG235" s="47"/>
      <c r="AH235" s="4" t="s">
        <v>16</v>
      </c>
      <c r="AI235" s="43" t="str">
        <f>IF(VLOOKUP(AH235,βοηθητικό!$J$2:$N$354,3,FALSE)="","",VLOOKUP(AH235,βοηθητικό!$J$2:$N$354,3,FALSE))</f>
        <v>_</v>
      </c>
      <c r="AJ235" s="44"/>
      <c r="AK235" s="5" t="s">
        <v>16</v>
      </c>
      <c r="AL235" s="46" t="str">
        <f>IF(VLOOKUP(AK235,βοηθητικό!$J$2:$N$354,3,FALSE)="","",VLOOKUP(AK235,βοηθητικό!$J$2:$N$354,3,FALSE))</f>
        <v>_</v>
      </c>
      <c r="AM235" s="47"/>
      <c r="AN235" s="4" t="s">
        <v>16</v>
      </c>
      <c r="AO235" s="43" t="str">
        <f>IF(VLOOKUP(AN235,βοηθητικό!$J$2:$N$354,3,FALSE)="","",VLOOKUP(AN235,βοηθητικό!$J$2:$N$354,3,FALSE))</f>
        <v>_</v>
      </c>
      <c r="AP235" s="44"/>
      <c r="AQ235" s="5" t="s">
        <v>16</v>
      </c>
      <c r="AR235" s="46" t="str">
        <f>IF(VLOOKUP(AQ235,βοηθητικό!$J$2:$N$354,3,FALSE)="","",VLOOKUP(AQ235,βοηθητικό!$J$2:$N$354,3,FALSE))</f>
        <v>_</v>
      </c>
      <c r="AS235" s="47"/>
      <c r="AT235" s="4" t="s">
        <v>16</v>
      </c>
      <c r="AU235" s="43" t="str">
        <f>IF(VLOOKUP(AT235,βοηθητικό!$J$2:$N$354,3,FALSE)="","",VLOOKUP(AT235,βοηθητικό!$J$2:$N$354,3,FALSE))</f>
        <v>_</v>
      </c>
      <c r="AV235" s="44"/>
      <c r="AW235" s="5" t="s">
        <v>16</v>
      </c>
      <c r="AX235" s="46" t="str">
        <f>IF(VLOOKUP(AW235,βοηθητικό!$J$2:$N$354,3,FALSE)="","",VLOOKUP(AW235,βοηθητικό!$J$2:$N$354,3,FALSE))</f>
        <v>_</v>
      </c>
      <c r="AY235" s="47"/>
      <c r="AZ235" s="4" t="s">
        <v>16</v>
      </c>
      <c r="BA235" s="43" t="str">
        <f>IF(VLOOKUP(AZ235,βοηθητικό!$J$2:$N$354,3,FALSE)="","",VLOOKUP(AZ235,βοηθητικό!$J$2:$N$354,3,FALSE))</f>
        <v>_</v>
      </c>
      <c r="BB235" s="44"/>
      <c r="BC235" s="45" t="s">
        <v>16</v>
      </c>
      <c r="BD235" s="46" t="str">
        <f>IF(VLOOKUP(BC235,βοηθητικό!$J$2:$N$354,3,FALSE)="","",VLOOKUP(BC235,βοηθητικό!$J$2:$N$354,3,FALSE))</f>
        <v>_</v>
      </c>
      <c r="BE235" s="47"/>
      <c r="BF235" s="42" t="s">
        <v>16</v>
      </c>
      <c r="BG235" s="43" t="str">
        <f>IF(VLOOKUP(BF235,βοηθητικό!$J$2:$N$354,3,FALSE)="","",VLOOKUP(BF235,βοηθητικό!$J$2:$N$354,3,FALSE))</f>
        <v>_</v>
      </c>
      <c r="BH235" s="44"/>
      <c r="BI235" s="45" t="s">
        <v>16</v>
      </c>
      <c r="BJ235" s="46" t="str">
        <f>IF(VLOOKUP(BI235,βοηθητικό!$J$2:$N$354,3,FALSE)="","",VLOOKUP(BI235,βοηθητικό!$J$2:$N$354,3,FALSE))</f>
        <v>_</v>
      </c>
      <c r="BK235" s="47"/>
      <c r="BL235" s="42" t="s">
        <v>16</v>
      </c>
      <c r="BM235" s="43" t="str">
        <f>IF(VLOOKUP(BL235,βοηθητικό!$J$2:$N$354,3,FALSE)="","",VLOOKUP(BL235,βοηθητικό!$J$2:$N$354,3,FALSE))</f>
        <v>_</v>
      </c>
      <c r="BN235" s="44"/>
      <c r="BO235" s="45" t="s">
        <v>16</v>
      </c>
      <c r="BP235" s="46" t="str">
        <f>IF(VLOOKUP(BO235,βοηθητικό!$J$2:$N$354,3,FALSE)="","",VLOOKUP(BO235,βοηθητικό!$J$2:$N$354,3,FALSE))</f>
        <v>_</v>
      </c>
      <c r="BQ235" s="47"/>
      <c r="BR235" s="42" t="s">
        <v>16</v>
      </c>
      <c r="BS235" s="43" t="str">
        <f>IF(VLOOKUP(BR235,βοηθητικό!$J$2:$N$354,3,FALSE)="","",VLOOKUP(BR235,βοηθητικό!$J$2:$N$354,3,FALSE))</f>
        <v>_</v>
      </c>
      <c r="BT235" s="44"/>
      <c r="BU235" s="45" t="s">
        <v>16</v>
      </c>
      <c r="BV235" s="46" t="str">
        <f>IF(VLOOKUP(BU235,βοηθητικό!$J$2:$N$354,3,FALSE)="","",VLOOKUP(BU235,βοηθητικό!$J$2:$N$354,3,FALSE))</f>
        <v>_</v>
      </c>
      <c r="BW235" s="47"/>
      <c r="BX235" s="42" t="s">
        <v>16</v>
      </c>
      <c r="BY235" s="43" t="str">
        <f>IF(VLOOKUP(BX235,βοηθητικό!$J$2:$N$354,3,FALSE)="","",VLOOKUP(BX235,βοηθητικό!$J$2:$N$354,3,FALSE))</f>
        <v>_</v>
      </c>
      <c r="BZ235" s="44"/>
      <c r="CA235" s="45" t="s">
        <v>16</v>
      </c>
      <c r="CB235" s="46" t="str">
        <f>IF(VLOOKUP(CA235,βοηθητικό!$J$2:$N$354,3,FALSE)="","",VLOOKUP(CA235,βοηθητικό!$J$2:$N$354,3,FALSE))</f>
        <v>_</v>
      </c>
      <c r="CC235" s="47"/>
      <c r="CD235" s="42" t="s">
        <v>16</v>
      </c>
      <c r="CE235" s="43" t="str">
        <f>IF(VLOOKUP(CD235,βοηθητικό!$J$2:$N$354,3,FALSE)="","",VLOOKUP(CD235,βοηθητικό!$J$2:$N$354,3,FALSE))</f>
        <v>_</v>
      </c>
      <c r="CF235" s="44"/>
      <c r="CG235" s="45" t="s">
        <v>16</v>
      </c>
      <c r="CH235" s="46" t="str">
        <f>IF(VLOOKUP(CG235,βοηθητικό!$J$2:$N$354,3,FALSE)="","",VLOOKUP(CG235,βοηθητικό!$J$2:$N$354,3,FALSE))</f>
        <v>_</v>
      </c>
      <c r="CI235" s="47"/>
      <c r="CJ235" s="42" t="s">
        <v>16</v>
      </c>
      <c r="CK235" s="43" t="str">
        <f>IF(VLOOKUP(CJ235,βοηθητικό!$J$2:$N$354,3,FALSE)="","",VLOOKUP(CJ235,βοηθητικό!$J$2:$N$354,3,FALSE))</f>
        <v>_</v>
      </c>
      <c r="CL235" s="44"/>
      <c r="CM235" s="45" t="s">
        <v>16</v>
      </c>
      <c r="CN235" s="46" t="str">
        <f>IF(VLOOKUP(CM235,βοηθητικό!$J$2:$N$354,3,FALSE)="","",VLOOKUP(CM235,βοηθητικό!$J$2:$N$354,3,FALSE))</f>
        <v>_</v>
      </c>
      <c r="CO235" s="47"/>
      <c r="CP235" s="42" t="s">
        <v>16</v>
      </c>
      <c r="CQ235" s="43" t="str">
        <f>IF(VLOOKUP(CP235,βοηθητικό!$J$2:$N$354,3,FALSE)="","",VLOOKUP(CP235,βοηθητικό!$J$2:$N$354,3,FALSE))</f>
        <v>_</v>
      </c>
      <c r="CR235" s="44"/>
      <c r="CS235" s="45" t="s">
        <v>16</v>
      </c>
      <c r="CT235" s="46" t="str">
        <f>IF(VLOOKUP(CS235,βοηθητικό!$J$2:$N$354,3,FALSE)="","",VLOOKUP(CS235,βοηθητικό!$J$2:$N$354,3,FALSE))</f>
        <v>_</v>
      </c>
      <c r="CU235" s="47"/>
    </row>
    <row r="236" spans="1:99" x14ac:dyDescent="0.25">
      <c r="A236" s="37">
        <f>--SUBTOTAL(3,$B$3:B235)</f>
        <v>198</v>
      </c>
      <c r="B236" s="2"/>
      <c r="C236" s="3"/>
      <c r="D236" s="55" t="s">
        <v>18</v>
      </c>
      <c r="E236" s="38" t="s">
        <v>16</v>
      </c>
      <c r="F236" s="38" t="s">
        <v>16</v>
      </c>
      <c r="G236" s="39" t="str">
        <f t="shared" si="11"/>
        <v>__</v>
      </c>
      <c r="H236" s="40" t="str">
        <f t="shared" si="12"/>
        <v>FALSE</v>
      </c>
      <c r="I236" s="41">
        <f t="shared" si="13"/>
        <v>0</v>
      </c>
      <c r="J236" s="4" t="s">
        <v>16</v>
      </c>
      <c r="K236" s="43" t="str">
        <f>IF(VLOOKUP(J236,βοηθητικό!$J$2:$N$354,3,FALSE)="","",VLOOKUP(J236,βοηθητικό!$J$2:$N$354,3,FALSE))</f>
        <v>_</v>
      </c>
      <c r="L236" s="44"/>
      <c r="M236" s="5" t="s">
        <v>16</v>
      </c>
      <c r="N236" s="46" t="str">
        <f>IF(VLOOKUP(M236,βοηθητικό!$J$2:$N$354,3,FALSE)="","",VLOOKUP(M236,βοηθητικό!$J$2:$N$354,3,FALSE))</f>
        <v>_</v>
      </c>
      <c r="O236" s="47"/>
      <c r="P236" s="4" t="s">
        <v>16</v>
      </c>
      <c r="Q236" s="43" t="str">
        <f>IF(VLOOKUP(P236,βοηθητικό!$J$2:$N$354,3,FALSE)="","",VLOOKUP(P236,βοηθητικό!$J$2:$N$354,3,FALSE))</f>
        <v>_</v>
      </c>
      <c r="R236" s="44"/>
      <c r="S236" s="5" t="s">
        <v>16</v>
      </c>
      <c r="T236" s="46" t="str">
        <f>IF(VLOOKUP(S236,βοηθητικό!$J$2:$N$354,3,FALSE)="","",VLOOKUP(S236,βοηθητικό!$J$2:$N$354,3,FALSE))</f>
        <v>_</v>
      </c>
      <c r="U236" s="47"/>
      <c r="V236" s="4" t="s">
        <v>16</v>
      </c>
      <c r="W236" s="43" t="str">
        <f>IF(VLOOKUP(V236,βοηθητικό!$J$2:$N$354,3,FALSE)="","",VLOOKUP(V236,βοηθητικό!$J$2:$N$354,3,FALSE))</f>
        <v>_</v>
      </c>
      <c r="X236" s="44"/>
      <c r="Y236" s="5" t="s">
        <v>16</v>
      </c>
      <c r="Z236" s="46" t="str">
        <f>IF(VLOOKUP(Y236,βοηθητικό!$J$2:$N$354,3,FALSE)="","",VLOOKUP(Y236,βοηθητικό!$J$2:$N$354,3,FALSE))</f>
        <v>_</v>
      </c>
      <c r="AA236" s="47"/>
      <c r="AB236" s="4" t="s">
        <v>16</v>
      </c>
      <c r="AC236" s="43" t="str">
        <f>IF(VLOOKUP(AB236,βοηθητικό!$J$2:$N$354,3,FALSE)="","",VLOOKUP(AB236,βοηθητικό!$J$2:$N$354,3,FALSE))</f>
        <v>_</v>
      </c>
      <c r="AD236" s="44"/>
      <c r="AE236" s="5" t="s">
        <v>16</v>
      </c>
      <c r="AF236" s="46" t="str">
        <f>IF(VLOOKUP(AE236,βοηθητικό!$J$2:$N$354,3,FALSE)="","",VLOOKUP(AE236,βοηθητικό!$J$2:$N$354,3,FALSE))</f>
        <v>_</v>
      </c>
      <c r="AG236" s="47"/>
      <c r="AH236" s="4" t="s">
        <v>16</v>
      </c>
      <c r="AI236" s="43" t="str">
        <f>IF(VLOOKUP(AH236,βοηθητικό!$J$2:$N$354,3,FALSE)="","",VLOOKUP(AH236,βοηθητικό!$J$2:$N$354,3,FALSE))</f>
        <v>_</v>
      </c>
      <c r="AJ236" s="44"/>
      <c r="AK236" s="5" t="s">
        <v>16</v>
      </c>
      <c r="AL236" s="46" t="str">
        <f>IF(VLOOKUP(AK236,βοηθητικό!$J$2:$N$354,3,FALSE)="","",VLOOKUP(AK236,βοηθητικό!$J$2:$N$354,3,FALSE))</f>
        <v>_</v>
      </c>
      <c r="AM236" s="47"/>
      <c r="AN236" s="4" t="s">
        <v>16</v>
      </c>
      <c r="AO236" s="43" t="str">
        <f>IF(VLOOKUP(AN236,βοηθητικό!$J$2:$N$354,3,FALSE)="","",VLOOKUP(AN236,βοηθητικό!$J$2:$N$354,3,FALSE))</f>
        <v>_</v>
      </c>
      <c r="AP236" s="44"/>
      <c r="AQ236" s="5" t="s">
        <v>16</v>
      </c>
      <c r="AR236" s="46" t="str">
        <f>IF(VLOOKUP(AQ236,βοηθητικό!$J$2:$N$354,3,FALSE)="","",VLOOKUP(AQ236,βοηθητικό!$J$2:$N$354,3,FALSE))</f>
        <v>_</v>
      </c>
      <c r="AS236" s="47"/>
      <c r="AT236" s="4" t="s">
        <v>16</v>
      </c>
      <c r="AU236" s="43" t="str">
        <f>IF(VLOOKUP(AT236,βοηθητικό!$J$2:$N$354,3,FALSE)="","",VLOOKUP(AT236,βοηθητικό!$J$2:$N$354,3,FALSE))</f>
        <v>_</v>
      </c>
      <c r="AV236" s="44"/>
      <c r="AW236" s="5" t="s">
        <v>16</v>
      </c>
      <c r="AX236" s="46" t="str">
        <f>IF(VLOOKUP(AW236,βοηθητικό!$J$2:$N$354,3,FALSE)="","",VLOOKUP(AW236,βοηθητικό!$J$2:$N$354,3,FALSE))</f>
        <v>_</v>
      </c>
      <c r="AY236" s="47"/>
      <c r="AZ236" s="4" t="s">
        <v>16</v>
      </c>
      <c r="BA236" s="43" t="str">
        <f>IF(VLOOKUP(AZ236,βοηθητικό!$J$2:$N$354,3,FALSE)="","",VLOOKUP(AZ236,βοηθητικό!$J$2:$N$354,3,FALSE))</f>
        <v>_</v>
      </c>
      <c r="BB236" s="44"/>
      <c r="BC236" s="45" t="s">
        <v>16</v>
      </c>
      <c r="BD236" s="46" t="str">
        <f>IF(VLOOKUP(BC236,βοηθητικό!$J$2:$N$354,3,FALSE)="","",VLOOKUP(BC236,βοηθητικό!$J$2:$N$354,3,FALSE))</f>
        <v>_</v>
      </c>
      <c r="BE236" s="47"/>
      <c r="BF236" s="42" t="s">
        <v>16</v>
      </c>
      <c r="BG236" s="43" t="str">
        <f>IF(VLOOKUP(BF236,βοηθητικό!$J$2:$N$354,3,FALSE)="","",VLOOKUP(BF236,βοηθητικό!$J$2:$N$354,3,FALSE))</f>
        <v>_</v>
      </c>
      <c r="BH236" s="44"/>
      <c r="BI236" s="45" t="s">
        <v>16</v>
      </c>
      <c r="BJ236" s="46" t="str">
        <f>IF(VLOOKUP(BI236,βοηθητικό!$J$2:$N$354,3,FALSE)="","",VLOOKUP(BI236,βοηθητικό!$J$2:$N$354,3,FALSE))</f>
        <v>_</v>
      </c>
      <c r="BK236" s="47"/>
      <c r="BL236" s="42" t="s">
        <v>16</v>
      </c>
      <c r="BM236" s="43" t="str">
        <f>IF(VLOOKUP(BL236,βοηθητικό!$J$2:$N$354,3,FALSE)="","",VLOOKUP(BL236,βοηθητικό!$J$2:$N$354,3,FALSE))</f>
        <v>_</v>
      </c>
      <c r="BN236" s="44"/>
      <c r="BO236" s="45" t="s">
        <v>16</v>
      </c>
      <c r="BP236" s="46" t="str">
        <f>IF(VLOOKUP(BO236,βοηθητικό!$J$2:$N$354,3,FALSE)="","",VLOOKUP(BO236,βοηθητικό!$J$2:$N$354,3,FALSE))</f>
        <v>_</v>
      </c>
      <c r="BQ236" s="47"/>
      <c r="BR236" s="42" t="s">
        <v>16</v>
      </c>
      <c r="BS236" s="43" t="str">
        <f>IF(VLOOKUP(BR236,βοηθητικό!$J$2:$N$354,3,FALSE)="","",VLOOKUP(BR236,βοηθητικό!$J$2:$N$354,3,FALSE))</f>
        <v>_</v>
      </c>
      <c r="BT236" s="44"/>
      <c r="BU236" s="45" t="s">
        <v>16</v>
      </c>
      <c r="BV236" s="46" t="str">
        <f>IF(VLOOKUP(BU236,βοηθητικό!$J$2:$N$354,3,FALSE)="","",VLOOKUP(BU236,βοηθητικό!$J$2:$N$354,3,FALSE))</f>
        <v>_</v>
      </c>
      <c r="BW236" s="47"/>
      <c r="BX236" s="42" t="s">
        <v>16</v>
      </c>
      <c r="BY236" s="43" t="str">
        <f>IF(VLOOKUP(BX236,βοηθητικό!$J$2:$N$354,3,FALSE)="","",VLOOKUP(BX236,βοηθητικό!$J$2:$N$354,3,FALSE))</f>
        <v>_</v>
      </c>
      <c r="BZ236" s="44"/>
      <c r="CA236" s="45" t="s">
        <v>16</v>
      </c>
      <c r="CB236" s="46" t="str">
        <f>IF(VLOOKUP(CA236,βοηθητικό!$J$2:$N$354,3,FALSE)="","",VLOOKUP(CA236,βοηθητικό!$J$2:$N$354,3,FALSE))</f>
        <v>_</v>
      </c>
      <c r="CC236" s="47"/>
      <c r="CD236" s="42" t="s">
        <v>16</v>
      </c>
      <c r="CE236" s="43" t="str">
        <f>IF(VLOOKUP(CD236,βοηθητικό!$J$2:$N$354,3,FALSE)="","",VLOOKUP(CD236,βοηθητικό!$J$2:$N$354,3,FALSE))</f>
        <v>_</v>
      </c>
      <c r="CF236" s="44"/>
      <c r="CG236" s="45" t="s">
        <v>16</v>
      </c>
      <c r="CH236" s="46" t="str">
        <f>IF(VLOOKUP(CG236,βοηθητικό!$J$2:$N$354,3,FALSE)="","",VLOOKUP(CG236,βοηθητικό!$J$2:$N$354,3,FALSE))</f>
        <v>_</v>
      </c>
      <c r="CI236" s="47"/>
      <c r="CJ236" s="42" t="s">
        <v>16</v>
      </c>
      <c r="CK236" s="43" t="str">
        <f>IF(VLOOKUP(CJ236,βοηθητικό!$J$2:$N$354,3,FALSE)="","",VLOOKUP(CJ236,βοηθητικό!$J$2:$N$354,3,FALSE))</f>
        <v>_</v>
      </c>
      <c r="CL236" s="44"/>
      <c r="CM236" s="45" t="s">
        <v>16</v>
      </c>
      <c r="CN236" s="46" t="str">
        <f>IF(VLOOKUP(CM236,βοηθητικό!$J$2:$N$354,3,FALSE)="","",VLOOKUP(CM236,βοηθητικό!$J$2:$N$354,3,FALSE))</f>
        <v>_</v>
      </c>
      <c r="CO236" s="47"/>
      <c r="CP236" s="42" t="s">
        <v>16</v>
      </c>
      <c r="CQ236" s="43" t="str">
        <f>IF(VLOOKUP(CP236,βοηθητικό!$J$2:$N$354,3,FALSE)="","",VLOOKUP(CP236,βοηθητικό!$J$2:$N$354,3,FALSE))</f>
        <v>_</v>
      </c>
      <c r="CR236" s="44"/>
      <c r="CS236" s="45" t="s">
        <v>16</v>
      </c>
      <c r="CT236" s="46" t="str">
        <f>IF(VLOOKUP(CS236,βοηθητικό!$J$2:$N$354,3,FALSE)="","",VLOOKUP(CS236,βοηθητικό!$J$2:$N$354,3,FALSE))</f>
        <v>_</v>
      </c>
      <c r="CU236" s="47"/>
    </row>
    <row r="237" spans="1:99" x14ac:dyDescent="0.25">
      <c r="A237" s="37">
        <f>--SUBTOTAL(3,$B$3:B236)</f>
        <v>198</v>
      </c>
      <c r="B237" s="2"/>
      <c r="C237" s="3"/>
      <c r="D237" s="55" t="s">
        <v>18</v>
      </c>
      <c r="E237" s="38" t="s">
        <v>16</v>
      </c>
      <c r="F237" s="38" t="s">
        <v>16</v>
      </c>
      <c r="G237" s="39" t="str">
        <f t="shared" si="11"/>
        <v>__</v>
      </c>
      <c r="H237" s="40" t="str">
        <f t="shared" si="12"/>
        <v>FALSE</v>
      </c>
      <c r="I237" s="41">
        <f t="shared" si="13"/>
        <v>0</v>
      </c>
      <c r="J237" s="4" t="s">
        <v>16</v>
      </c>
      <c r="K237" s="43" t="str">
        <f>IF(VLOOKUP(J237,βοηθητικό!$J$2:$N$354,3,FALSE)="","",VLOOKUP(J237,βοηθητικό!$J$2:$N$354,3,FALSE))</f>
        <v>_</v>
      </c>
      <c r="L237" s="44"/>
      <c r="M237" s="5" t="s">
        <v>16</v>
      </c>
      <c r="N237" s="46" t="str">
        <f>IF(VLOOKUP(M237,βοηθητικό!$J$2:$N$354,3,FALSE)="","",VLOOKUP(M237,βοηθητικό!$J$2:$N$354,3,FALSE))</f>
        <v>_</v>
      </c>
      <c r="O237" s="47"/>
      <c r="P237" s="4" t="s">
        <v>16</v>
      </c>
      <c r="Q237" s="43" t="str">
        <f>IF(VLOOKUP(P237,βοηθητικό!$J$2:$N$354,3,FALSE)="","",VLOOKUP(P237,βοηθητικό!$J$2:$N$354,3,FALSE))</f>
        <v>_</v>
      </c>
      <c r="R237" s="44"/>
      <c r="S237" s="5" t="s">
        <v>16</v>
      </c>
      <c r="T237" s="46" t="str">
        <f>IF(VLOOKUP(S237,βοηθητικό!$J$2:$N$354,3,FALSE)="","",VLOOKUP(S237,βοηθητικό!$J$2:$N$354,3,FALSE))</f>
        <v>_</v>
      </c>
      <c r="U237" s="47"/>
      <c r="V237" s="4" t="s">
        <v>16</v>
      </c>
      <c r="W237" s="43" t="str">
        <f>IF(VLOOKUP(V237,βοηθητικό!$J$2:$N$354,3,FALSE)="","",VLOOKUP(V237,βοηθητικό!$J$2:$N$354,3,FALSE))</f>
        <v>_</v>
      </c>
      <c r="X237" s="44"/>
      <c r="Y237" s="5" t="s">
        <v>16</v>
      </c>
      <c r="Z237" s="46" t="str">
        <f>IF(VLOOKUP(Y237,βοηθητικό!$J$2:$N$354,3,FALSE)="","",VLOOKUP(Y237,βοηθητικό!$J$2:$N$354,3,FALSE))</f>
        <v>_</v>
      </c>
      <c r="AA237" s="47"/>
      <c r="AB237" s="4" t="s">
        <v>16</v>
      </c>
      <c r="AC237" s="43" t="str">
        <f>IF(VLOOKUP(AB237,βοηθητικό!$J$2:$N$354,3,FALSE)="","",VLOOKUP(AB237,βοηθητικό!$J$2:$N$354,3,FALSE))</f>
        <v>_</v>
      </c>
      <c r="AD237" s="44"/>
      <c r="AE237" s="5" t="s">
        <v>16</v>
      </c>
      <c r="AF237" s="46" t="str">
        <f>IF(VLOOKUP(AE237,βοηθητικό!$J$2:$N$354,3,FALSE)="","",VLOOKUP(AE237,βοηθητικό!$J$2:$N$354,3,FALSE))</f>
        <v>_</v>
      </c>
      <c r="AG237" s="47"/>
      <c r="AH237" s="4" t="s">
        <v>16</v>
      </c>
      <c r="AI237" s="43" t="str">
        <f>IF(VLOOKUP(AH237,βοηθητικό!$J$2:$N$354,3,FALSE)="","",VLOOKUP(AH237,βοηθητικό!$J$2:$N$354,3,FALSE))</f>
        <v>_</v>
      </c>
      <c r="AJ237" s="44"/>
      <c r="AK237" s="5" t="s">
        <v>16</v>
      </c>
      <c r="AL237" s="46" t="str">
        <f>IF(VLOOKUP(AK237,βοηθητικό!$J$2:$N$354,3,FALSE)="","",VLOOKUP(AK237,βοηθητικό!$J$2:$N$354,3,FALSE))</f>
        <v>_</v>
      </c>
      <c r="AM237" s="47"/>
      <c r="AN237" s="4" t="s">
        <v>16</v>
      </c>
      <c r="AO237" s="43" t="str">
        <f>IF(VLOOKUP(AN237,βοηθητικό!$J$2:$N$354,3,FALSE)="","",VLOOKUP(AN237,βοηθητικό!$J$2:$N$354,3,FALSE))</f>
        <v>_</v>
      </c>
      <c r="AP237" s="44"/>
      <c r="AQ237" s="5" t="s">
        <v>16</v>
      </c>
      <c r="AR237" s="46" t="str">
        <f>IF(VLOOKUP(AQ237,βοηθητικό!$J$2:$N$354,3,FALSE)="","",VLOOKUP(AQ237,βοηθητικό!$J$2:$N$354,3,FALSE))</f>
        <v>_</v>
      </c>
      <c r="AS237" s="47"/>
      <c r="AT237" s="4" t="s">
        <v>16</v>
      </c>
      <c r="AU237" s="43" t="str">
        <f>IF(VLOOKUP(AT237,βοηθητικό!$J$2:$N$354,3,FALSE)="","",VLOOKUP(AT237,βοηθητικό!$J$2:$N$354,3,FALSE))</f>
        <v>_</v>
      </c>
      <c r="AV237" s="44"/>
      <c r="AW237" s="5" t="s">
        <v>16</v>
      </c>
      <c r="AX237" s="46" t="str">
        <f>IF(VLOOKUP(AW237,βοηθητικό!$J$2:$N$354,3,FALSE)="","",VLOOKUP(AW237,βοηθητικό!$J$2:$N$354,3,FALSE))</f>
        <v>_</v>
      </c>
      <c r="AY237" s="47"/>
      <c r="AZ237" s="4" t="s">
        <v>16</v>
      </c>
      <c r="BA237" s="43" t="str">
        <f>IF(VLOOKUP(AZ237,βοηθητικό!$J$2:$N$354,3,FALSE)="","",VLOOKUP(AZ237,βοηθητικό!$J$2:$N$354,3,FALSE))</f>
        <v>_</v>
      </c>
      <c r="BB237" s="44"/>
      <c r="BC237" s="45" t="s">
        <v>16</v>
      </c>
      <c r="BD237" s="46" t="str">
        <f>IF(VLOOKUP(BC237,βοηθητικό!$J$2:$N$354,3,FALSE)="","",VLOOKUP(BC237,βοηθητικό!$J$2:$N$354,3,FALSE))</f>
        <v>_</v>
      </c>
      <c r="BE237" s="47"/>
      <c r="BF237" s="42" t="s">
        <v>16</v>
      </c>
      <c r="BG237" s="43" t="str">
        <f>IF(VLOOKUP(BF237,βοηθητικό!$J$2:$N$354,3,FALSE)="","",VLOOKUP(BF237,βοηθητικό!$J$2:$N$354,3,FALSE))</f>
        <v>_</v>
      </c>
      <c r="BH237" s="44"/>
      <c r="BI237" s="45" t="s">
        <v>16</v>
      </c>
      <c r="BJ237" s="46" t="str">
        <f>IF(VLOOKUP(BI237,βοηθητικό!$J$2:$N$354,3,FALSE)="","",VLOOKUP(BI237,βοηθητικό!$J$2:$N$354,3,FALSE))</f>
        <v>_</v>
      </c>
      <c r="BK237" s="47"/>
      <c r="BL237" s="42" t="s">
        <v>16</v>
      </c>
      <c r="BM237" s="43" t="str">
        <f>IF(VLOOKUP(BL237,βοηθητικό!$J$2:$N$354,3,FALSE)="","",VLOOKUP(BL237,βοηθητικό!$J$2:$N$354,3,FALSE))</f>
        <v>_</v>
      </c>
      <c r="BN237" s="44"/>
      <c r="BO237" s="45" t="s">
        <v>16</v>
      </c>
      <c r="BP237" s="46" t="str">
        <f>IF(VLOOKUP(BO237,βοηθητικό!$J$2:$N$354,3,FALSE)="","",VLOOKUP(BO237,βοηθητικό!$J$2:$N$354,3,FALSE))</f>
        <v>_</v>
      </c>
      <c r="BQ237" s="47"/>
      <c r="BR237" s="42" t="s">
        <v>16</v>
      </c>
      <c r="BS237" s="43" t="str">
        <f>IF(VLOOKUP(BR237,βοηθητικό!$J$2:$N$354,3,FALSE)="","",VLOOKUP(BR237,βοηθητικό!$J$2:$N$354,3,FALSE))</f>
        <v>_</v>
      </c>
      <c r="BT237" s="44"/>
      <c r="BU237" s="45" t="s">
        <v>16</v>
      </c>
      <c r="BV237" s="46" t="str">
        <f>IF(VLOOKUP(BU237,βοηθητικό!$J$2:$N$354,3,FALSE)="","",VLOOKUP(BU237,βοηθητικό!$J$2:$N$354,3,FALSE))</f>
        <v>_</v>
      </c>
      <c r="BW237" s="47"/>
      <c r="BX237" s="42" t="s">
        <v>16</v>
      </c>
      <c r="BY237" s="43" t="str">
        <f>IF(VLOOKUP(BX237,βοηθητικό!$J$2:$N$354,3,FALSE)="","",VLOOKUP(BX237,βοηθητικό!$J$2:$N$354,3,FALSE))</f>
        <v>_</v>
      </c>
      <c r="BZ237" s="44"/>
      <c r="CA237" s="45" t="s">
        <v>16</v>
      </c>
      <c r="CB237" s="46" t="str">
        <f>IF(VLOOKUP(CA237,βοηθητικό!$J$2:$N$354,3,FALSE)="","",VLOOKUP(CA237,βοηθητικό!$J$2:$N$354,3,FALSE))</f>
        <v>_</v>
      </c>
      <c r="CC237" s="47"/>
      <c r="CD237" s="42" t="s">
        <v>16</v>
      </c>
      <c r="CE237" s="43" t="str">
        <f>IF(VLOOKUP(CD237,βοηθητικό!$J$2:$N$354,3,FALSE)="","",VLOOKUP(CD237,βοηθητικό!$J$2:$N$354,3,FALSE))</f>
        <v>_</v>
      </c>
      <c r="CF237" s="44"/>
      <c r="CG237" s="45" t="s">
        <v>16</v>
      </c>
      <c r="CH237" s="46" t="str">
        <f>IF(VLOOKUP(CG237,βοηθητικό!$J$2:$N$354,3,FALSE)="","",VLOOKUP(CG237,βοηθητικό!$J$2:$N$354,3,FALSE))</f>
        <v>_</v>
      </c>
      <c r="CI237" s="47"/>
      <c r="CJ237" s="42" t="s">
        <v>16</v>
      </c>
      <c r="CK237" s="43" t="str">
        <f>IF(VLOOKUP(CJ237,βοηθητικό!$J$2:$N$354,3,FALSE)="","",VLOOKUP(CJ237,βοηθητικό!$J$2:$N$354,3,FALSE))</f>
        <v>_</v>
      </c>
      <c r="CL237" s="44"/>
      <c r="CM237" s="45" t="s">
        <v>16</v>
      </c>
      <c r="CN237" s="46" t="str">
        <f>IF(VLOOKUP(CM237,βοηθητικό!$J$2:$N$354,3,FALSE)="","",VLOOKUP(CM237,βοηθητικό!$J$2:$N$354,3,FALSE))</f>
        <v>_</v>
      </c>
      <c r="CO237" s="47"/>
      <c r="CP237" s="42" t="s">
        <v>16</v>
      </c>
      <c r="CQ237" s="43" t="str">
        <f>IF(VLOOKUP(CP237,βοηθητικό!$J$2:$N$354,3,FALSE)="","",VLOOKUP(CP237,βοηθητικό!$J$2:$N$354,3,FALSE))</f>
        <v>_</v>
      </c>
      <c r="CR237" s="44"/>
      <c r="CS237" s="45" t="s">
        <v>16</v>
      </c>
      <c r="CT237" s="46" t="str">
        <f>IF(VLOOKUP(CS237,βοηθητικό!$J$2:$N$354,3,FALSE)="","",VLOOKUP(CS237,βοηθητικό!$J$2:$N$354,3,FALSE))</f>
        <v>_</v>
      </c>
      <c r="CU237" s="47"/>
    </row>
    <row r="238" spans="1:99" x14ac:dyDescent="0.25">
      <c r="A238" s="37">
        <f>--SUBTOTAL(3,$B$3:B237)</f>
        <v>198</v>
      </c>
      <c r="B238" s="2"/>
      <c r="C238" s="3"/>
      <c r="D238" s="55" t="s">
        <v>18</v>
      </c>
      <c r="E238" s="38" t="s">
        <v>16</v>
      </c>
      <c r="F238" s="38" t="s">
        <v>16</v>
      </c>
      <c r="G238" s="39" t="str">
        <f t="shared" si="11"/>
        <v>__</v>
      </c>
      <c r="H238" s="40" t="str">
        <f t="shared" si="12"/>
        <v>FALSE</v>
      </c>
      <c r="I238" s="41">
        <f t="shared" si="13"/>
        <v>0</v>
      </c>
      <c r="J238" s="4" t="s">
        <v>16</v>
      </c>
      <c r="K238" s="43" t="str">
        <f>IF(VLOOKUP(J238,βοηθητικό!$J$2:$N$354,3,FALSE)="","",VLOOKUP(J238,βοηθητικό!$J$2:$N$354,3,FALSE))</f>
        <v>_</v>
      </c>
      <c r="L238" s="44"/>
      <c r="M238" s="5" t="s">
        <v>16</v>
      </c>
      <c r="N238" s="46" t="str">
        <f>IF(VLOOKUP(M238,βοηθητικό!$J$2:$N$354,3,FALSE)="","",VLOOKUP(M238,βοηθητικό!$J$2:$N$354,3,FALSE))</f>
        <v>_</v>
      </c>
      <c r="O238" s="47"/>
      <c r="P238" s="4" t="s">
        <v>16</v>
      </c>
      <c r="Q238" s="43" t="str">
        <f>IF(VLOOKUP(P238,βοηθητικό!$J$2:$N$354,3,FALSE)="","",VLOOKUP(P238,βοηθητικό!$J$2:$N$354,3,FALSE))</f>
        <v>_</v>
      </c>
      <c r="R238" s="44"/>
      <c r="S238" s="5" t="s">
        <v>16</v>
      </c>
      <c r="T238" s="46" t="str">
        <f>IF(VLOOKUP(S238,βοηθητικό!$J$2:$N$354,3,FALSE)="","",VLOOKUP(S238,βοηθητικό!$J$2:$N$354,3,FALSE))</f>
        <v>_</v>
      </c>
      <c r="U238" s="47"/>
      <c r="V238" s="4" t="s">
        <v>16</v>
      </c>
      <c r="W238" s="43" t="str">
        <f>IF(VLOOKUP(V238,βοηθητικό!$J$2:$N$354,3,FALSE)="","",VLOOKUP(V238,βοηθητικό!$J$2:$N$354,3,FALSE))</f>
        <v>_</v>
      </c>
      <c r="X238" s="44"/>
      <c r="Y238" s="5" t="s">
        <v>16</v>
      </c>
      <c r="Z238" s="46" t="str">
        <f>IF(VLOOKUP(Y238,βοηθητικό!$J$2:$N$354,3,FALSE)="","",VLOOKUP(Y238,βοηθητικό!$J$2:$N$354,3,FALSE))</f>
        <v>_</v>
      </c>
      <c r="AA238" s="47"/>
      <c r="AB238" s="4" t="s">
        <v>16</v>
      </c>
      <c r="AC238" s="43" t="str">
        <f>IF(VLOOKUP(AB238,βοηθητικό!$J$2:$N$354,3,FALSE)="","",VLOOKUP(AB238,βοηθητικό!$J$2:$N$354,3,FALSE))</f>
        <v>_</v>
      </c>
      <c r="AD238" s="44"/>
      <c r="AE238" s="5" t="s">
        <v>16</v>
      </c>
      <c r="AF238" s="46" t="str">
        <f>IF(VLOOKUP(AE238,βοηθητικό!$J$2:$N$354,3,FALSE)="","",VLOOKUP(AE238,βοηθητικό!$J$2:$N$354,3,FALSE))</f>
        <v>_</v>
      </c>
      <c r="AG238" s="47"/>
      <c r="AH238" s="4" t="s">
        <v>16</v>
      </c>
      <c r="AI238" s="43" t="str">
        <f>IF(VLOOKUP(AH238,βοηθητικό!$J$2:$N$354,3,FALSE)="","",VLOOKUP(AH238,βοηθητικό!$J$2:$N$354,3,FALSE))</f>
        <v>_</v>
      </c>
      <c r="AJ238" s="44"/>
      <c r="AK238" s="5" t="s">
        <v>16</v>
      </c>
      <c r="AL238" s="46" t="str">
        <f>IF(VLOOKUP(AK238,βοηθητικό!$J$2:$N$354,3,FALSE)="","",VLOOKUP(AK238,βοηθητικό!$J$2:$N$354,3,FALSE))</f>
        <v>_</v>
      </c>
      <c r="AM238" s="47"/>
      <c r="AN238" s="4" t="s">
        <v>16</v>
      </c>
      <c r="AO238" s="43" t="str">
        <f>IF(VLOOKUP(AN238,βοηθητικό!$J$2:$N$354,3,FALSE)="","",VLOOKUP(AN238,βοηθητικό!$J$2:$N$354,3,FALSE))</f>
        <v>_</v>
      </c>
      <c r="AP238" s="44"/>
      <c r="AQ238" s="5" t="s">
        <v>16</v>
      </c>
      <c r="AR238" s="46" t="str">
        <f>IF(VLOOKUP(AQ238,βοηθητικό!$J$2:$N$354,3,FALSE)="","",VLOOKUP(AQ238,βοηθητικό!$J$2:$N$354,3,FALSE))</f>
        <v>_</v>
      </c>
      <c r="AS238" s="47"/>
      <c r="AT238" s="4" t="s">
        <v>16</v>
      </c>
      <c r="AU238" s="43" t="str">
        <f>IF(VLOOKUP(AT238,βοηθητικό!$J$2:$N$354,3,FALSE)="","",VLOOKUP(AT238,βοηθητικό!$J$2:$N$354,3,FALSE))</f>
        <v>_</v>
      </c>
      <c r="AV238" s="44"/>
      <c r="AW238" s="5" t="s">
        <v>16</v>
      </c>
      <c r="AX238" s="46" t="str">
        <f>IF(VLOOKUP(AW238,βοηθητικό!$J$2:$N$354,3,FALSE)="","",VLOOKUP(AW238,βοηθητικό!$J$2:$N$354,3,FALSE))</f>
        <v>_</v>
      </c>
      <c r="AY238" s="47"/>
      <c r="AZ238" s="4" t="s">
        <v>16</v>
      </c>
      <c r="BA238" s="43" t="str">
        <f>IF(VLOOKUP(AZ238,βοηθητικό!$J$2:$N$354,3,FALSE)="","",VLOOKUP(AZ238,βοηθητικό!$J$2:$N$354,3,FALSE))</f>
        <v>_</v>
      </c>
      <c r="BB238" s="44"/>
      <c r="BC238" s="45" t="s">
        <v>16</v>
      </c>
      <c r="BD238" s="46" t="str">
        <f>IF(VLOOKUP(BC238,βοηθητικό!$J$2:$N$354,3,FALSE)="","",VLOOKUP(BC238,βοηθητικό!$J$2:$N$354,3,FALSE))</f>
        <v>_</v>
      </c>
      <c r="BE238" s="47"/>
      <c r="BF238" s="42" t="s">
        <v>16</v>
      </c>
      <c r="BG238" s="43" t="str">
        <f>IF(VLOOKUP(BF238,βοηθητικό!$J$2:$N$354,3,FALSE)="","",VLOOKUP(BF238,βοηθητικό!$J$2:$N$354,3,FALSE))</f>
        <v>_</v>
      </c>
      <c r="BH238" s="44"/>
      <c r="BI238" s="45" t="s">
        <v>16</v>
      </c>
      <c r="BJ238" s="46" t="str">
        <f>IF(VLOOKUP(BI238,βοηθητικό!$J$2:$N$354,3,FALSE)="","",VLOOKUP(BI238,βοηθητικό!$J$2:$N$354,3,FALSE))</f>
        <v>_</v>
      </c>
      <c r="BK238" s="47"/>
      <c r="BL238" s="42" t="s">
        <v>16</v>
      </c>
      <c r="BM238" s="43" t="str">
        <f>IF(VLOOKUP(BL238,βοηθητικό!$J$2:$N$354,3,FALSE)="","",VLOOKUP(BL238,βοηθητικό!$J$2:$N$354,3,FALSE))</f>
        <v>_</v>
      </c>
      <c r="BN238" s="44"/>
      <c r="BO238" s="45" t="s">
        <v>16</v>
      </c>
      <c r="BP238" s="46" t="str">
        <f>IF(VLOOKUP(BO238,βοηθητικό!$J$2:$N$354,3,FALSE)="","",VLOOKUP(BO238,βοηθητικό!$J$2:$N$354,3,FALSE))</f>
        <v>_</v>
      </c>
      <c r="BQ238" s="47"/>
      <c r="BR238" s="42" t="s">
        <v>16</v>
      </c>
      <c r="BS238" s="43" t="str">
        <f>IF(VLOOKUP(BR238,βοηθητικό!$J$2:$N$354,3,FALSE)="","",VLOOKUP(BR238,βοηθητικό!$J$2:$N$354,3,FALSE))</f>
        <v>_</v>
      </c>
      <c r="BT238" s="44"/>
      <c r="BU238" s="45" t="s">
        <v>16</v>
      </c>
      <c r="BV238" s="46" t="str">
        <f>IF(VLOOKUP(BU238,βοηθητικό!$J$2:$N$354,3,FALSE)="","",VLOOKUP(BU238,βοηθητικό!$J$2:$N$354,3,FALSE))</f>
        <v>_</v>
      </c>
      <c r="BW238" s="47"/>
      <c r="BX238" s="42" t="s">
        <v>16</v>
      </c>
      <c r="BY238" s="43" t="str">
        <f>IF(VLOOKUP(BX238,βοηθητικό!$J$2:$N$354,3,FALSE)="","",VLOOKUP(BX238,βοηθητικό!$J$2:$N$354,3,FALSE))</f>
        <v>_</v>
      </c>
      <c r="BZ238" s="44"/>
      <c r="CA238" s="45" t="s">
        <v>16</v>
      </c>
      <c r="CB238" s="46" t="str">
        <f>IF(VLOOKUP(CA238,βοηθητικό!$J$2:$N$354,3,FALSE)="","",VLOOKUP(CA238,βοηθητικό!$J$2:$N$354,3,FALSE))</f>
        <v>_</v>
      </c>
      <c r="CC238" s="47"/>
      <c r="CD238" s="42" t="s">
        <v>16</v>
      </c>
      <c r="CE238" s="43" t="str">
        <f>IF(VLOOKUP(CD238,βοηθητικό!$J$2:$N$354,3,FALSE)="","",VLOOKUP(CD238,βοηθητικό!$J$2:$N$354,3,FALSE))</f>
        <v>_</v>
      </c>
      <c r="CF238" s="44"/>
      <c r="CG238" s="45" t="s">
        <v>16</v>
      </c>
      <c r="CH238" s="46" t="str">
        <f>IF(VLOOKUP(CG238,βοηθητικό!$J$2:$N$354,3,FALSE)="","",VLOOKUP(CG238,βοηθητικό!$J$2:$N$354,3,FALSE))</f>
        <v>_</v>
      </c>
      <c r="CI238" s="47"/>
      <c r="CJ238" s="42" t="s">
        <v>16</v>
      </c>
      <c r="CK238" s="43" t="str">
        <f>IF(VLOOKUP(CJ238,βοηθητικό!$J$2:$N$354,3,FALSE)="","",VLOOKUP(CJ238,βοηθητικό!$J$2:$N$354,3,FALSE))</f>
        <v>_</v>
      </c>
      <c r="CL238" s="44"/>
      <c r="CM238" s="45" t="s">
        <v>16</v>
      </c>
      <c r="CN238" s="46" t="str">
        <f>IF(VLOOKUP(CM238,βοηθητικό!$J$2:$N$354,3,FALSE)="","",VLOOKUP(CM238,βοηθητικό!$J$2:$N$354,3,FALSE))</f>
        <v>_</v>
      </c>
      <c r="CO238" s="47"/>
      <c r="CP238" s="42" t="s">
        <v>16</v>
      </c>
      <c r="CQ238" s="43" t="str">
        <f>IF(VLOOKUP(CP238,βοηθητικό!$J$2:$N$354,3,FALSE)="","",VLOOKUP(CP238,βοηθητικό!$J$2:$N$354,3,FALSE))</f>
        <v>_</v>
      </c>
      <c r="CR238" s="44"/>
      <c r="CS238" s="45" t="s">
        <v>16</v>
      </c>
      <c r="CT238" s="46" t="str">
        <f>IF(VLOOKUP(CS238,βοηθητικό!$J$2:$N$354,3,FALSE)="","",VLOOKUP(CS238,βοηθητικό!$J$2:$N$354,3,FALSE))</f>
        <v>_</v>
      </c>
      <c r="CU238" s="47"/>
    </row>
    <row r="239" spans="1:99" x14ac:dyDescent="0.25">
      <c r="A239" s="37">
        <f>--SUBTOTAL(3,$B$3:B238)</f>
        <v>198</v>
      </c>
      <c r="B239" s="2"/>
      <c r="C239" s="3"/>
      <c r="D239" s="55" t="s">
        <v>18</v>
      </c>
      <c r="E239" s="38" t="s">
        <v>16</v>
      </c>
      <c r="F239" s="38" t="s">
        <v>16</v>
      </c>
      <c r="G239" s="39" t="str">
        <f t="shared" si="11"/>
        <v>__</v>
      </c>
      <c r="H239" s="40" t="str">
        <f t="shared" si="12"/>
        <v>FALSE</v>
      </c>
      <c r="I239" s="41">
        <f t="shared" si="13"/>
        <v>0</v>
      </c>
      <c r="J239" s="4" t="s">
        <v>16</v>
      </c>
      <c r="K239" s="43" t="str">
        <f>IF(VLOOKUP(J239,βοηθητικό!$J$2:$N$354,3,FALSE)="","",VLOOKUP(J239,βοηθητικό!$J$2:$N$354,3,FALSE))</f>
        <v>_</v>
      </c>
      <c r="L239" s="44"/>
      <c r="M239" s="5" t="s">
        <v>16</v>
      </c>
      <c r="N239" s="46" t="str">
        <f>IF(VLOOKUP(M239,βοηθητικό!$J$2:$N$354,3,FALSE)="","",VLOOKUP(M239,βοηθητικό!$J$2:$N$354,3,FALSE))</f>
        <v>_</v>
      </c>
      <c r="O239" s="47"/>
      <c r="P239" s="4" t="s">
        <v>16</v>
      </c>
      <c r="Q239" s="43" t="str">
        <f>IF(VLOOKUP(P239,βοηθητικό!$J$2:$N$354,3,FALSE)="","",VLOOKUP(P239,βοηθητικό!$J$2:$N$354,3,FALSE))</f>
        <v>_</v>
      </c>
      <c r="R239" s="44"/>
      <c r="S239" s="5" t="s">
        <v>16</v>
      </c>
      <c r="T239" s="46" t="str">
        <f>IF(VLOOKUP(S239,βοηθητικό!$J$2:$N$354,3,FALSE)="","",VLOOKUP(S239,βοηθητικό!$J$2:$N$354,3,FALSE))</f>
        <v>_</v>
      </c>
      <c r="U239" s="47"/>
      <c r="V239" s="4" t="s">
        <v>16</v>
      </c>
      <c r="W239" s="43" t="str">
        <f>IF(VLOOKUP(V239,βοηθητικό!$J$2:$N$354,3,FALSE)="","",VLOOKUP(V239,βοηθητικό!$J$2:$N$354,3,FALSE))</f>
        <v>_</v>
      </c>
      <c r="X239" s="44"/>
      <c r="Y239" s="5" t="s">
        <v>16</v>
      </c>
      <c r="Z239" s="46" t="str">
        <f>IF(VLOOKUP(Y239,βοηθητικό!$J$2:$N$354,3,FALSE)="","",VLOOKUP(Y239,βοηθητικό!$J$2:$N$354,3,FALSE))</f>
        <v>_</v>
      </c>
      <c r="AA239" s="47"/>
      <c r="AB239" s="4" t="s">
        <v>16</v>
      </c>
      <c r="AC239" s="43" t="str">
        <f>IF(VLOOKUP(AB239,βοηθητικό!$J$2:$N$354,3,FALSE)="","",VLOOKUP(AB239,βοηθητικό!$J$2:$N$354,3,FALSE))</f>
        <v>_</v>
      </c>
      <c r="AD239" s="44"/>
      <c r="AE239" s="5" t="s">
        <v>16</v>
      </c>
      <c r="AF239" s="46" t="str">
        <f>IF(VLOOKUP(AE239,βοηθητικό!$J$2:$N$354,3,FALSE)="","",VLOOKUP(AE239,βοηθητικό!$J$2:$N$354,3,FALSE))</f>
        <v>_</v>
      </c>
      <c r="AG239" s="47"/>
      <c r="AH239" s="4" t="s">
        <v>16</v>
      </c>
      <c r="AI239" s="43" t="str">
        <f>IF(VLOOKUP(AH239,βοηθητικό!$J$2:$N$354,3,FALSE)="","",VLOOKUP(AH239,βοηθητικό!$J$2:$N$354,3,FALSE))</f>
        <v>_</v>
      </c>
      <c r="AJ239" s="44"/>
      <c r="AK239" s="5" t="s">
        <v>16</v>
      </c>
      <c r="AL239" s="46" t="str">
        <f>IF(VLOOKUP(AK239,βοηθητικό!$J$2:$N$354,3,FALSE)="","",VLOOKUP(AK239,βοηθητικό!$J$2:$N$354,3,FALSE))</f>
        <v>_</v>
      </c>
      <c r="AM239" s="47"/>
      <c r="AN239" s="4" t="s">
        <v>16</v>
      </c>
      <c r="AO239" s="43" t="str">
        <f>IF(VLOOKUP(AN239,βοηθητικό!$J$2:$N$354,3,FALSE)="","",VLOOKUP(AN239,βοηθητικό!$J$2:$N$354,3,FALSE))</f>
        <v>_</v>
      </c>
      <c r="AP239" s="44"/>
      <c r="AQ239" s="5" t="s">
        <v>16</v>
      </c>
      <c r="AR239" s="46" t="str">
        <f>IF(VLOOKUP(AQ239,βοηθητικό!$J$2:$N$354,3,FALSE)="","",VLOOKUP(AQ239,βοηθητικό!$J$2:$N$354,3,FALSE))</f>
        <v>_</v>
      </c>
      <c r="AS239" s="47"/>
      <c r="AT239" s="4" t="s">
        <v>16</v>
      </c>
      <c r="AU239" s="43" t="str">
        <f>IF(VLOOKUP(AT239,βοηθητικό!$J$2:$N$354,3,FALSE)="","",VLOOKUP(AT239,βοηθητικό!$J$2:$N$354,3,FALSE))</f>
        <v>_</v>
      </c>
      <c r="AV239" s="44"/>
      <c r="AW239" s="5" t="s">
        <v>16</v>
      </c>
      <c r="AX239" s="46" t="str">
        <f>IF(VLOOKUP(AW239,βοηθητικό!$J$2:$N$354,3,FALSE)="","",VLOOKUP(AW239,βοηθητικό!$J$2:$N$354,3,FALSE))</f>
        <v>_</v>
      </c>
      <c r="AY239" s="47"/>
      <c r="AZ239" s="4" t="s">
        <v>16</v>
      </c>
      <c r="BA239" s="43" t="str">
        <f>IF(VLOOKUP(AZ239,βοηθητικό!$J$2:$N$354,3,FALSE)="","",VLOOKUP(AZ239,βοηθητικό!$J$2:$N$354,3,FALSE))</f>
        <v>_</v>
      </c>
      <c r="BB239" s="44"/>
      <c r="BC239" s="45" t="s">
        <v>16</v>
      </c>
      <c r="BD239" s="46" t="str">
        <f>IF(VLOOKUP(BC239,βοηθητικό!$J$2:$N$354,3,FALSE)="","",VLOOKUP(BC239,βοηθητικό!$J$2:$N$354,3,FALSE))</f>
        <v>_</v>
      </c>
      <c r="BE239" s="47"/>
      <c r="BF239" s="42" t="s">
        <v>16</v>
      </c>
      <c r="BG239" s="43" t="str">
        <f>IF(VLOOKUP(BF239,βοηθητικό!$J$2:$N$354,3,FALSE)="","",VLOOKUP(BF239,βοηθητικό!$J$2:$N$354,3,FALSE))</f>
        <v>_</v>
      </c>
      <c r="BH239" s="44"/>
      <c r="BI239" s="45" t="s">
        <v>16</v>
      </c>
      <c r="BJ239" s="46" t="str">
        <f>IF(VLOOKUP(BI239,βοηθητικό!$J$2:$N$354,3,FALSE)="","",VLOOKUP(BI239,βοηθητικό!$J$2:$N$354,3,FALSE))</f>
        <v>_</v>
      </c>
      <c r="BK239" s="47"/>
      <c r="BL239" s="42" t="s">
        <v>16</v>
      </c>
      <c r="BM239" s="43" t="str">
        <f>IF(VLOOKUP(BL239,βοηθητικό!$J$2:$N$354,3,FALSE)="","",VLOOKUP(BL239,βοηθητικό!$J$2:$N$354,3,FALSE))</f>
        <v>_</v>
      </c>
      <c r="BN239" s="44"/>
      <c r="BO239" s="45" t="s">
        <v>16</v>
      </c>
      <c r="BP239" s="46" t="str">
        <f>IF(VLOOKUP(BO239,βοηθητικό!$J$2:$N$354,3,FALSE)="","",VLOOKUP(BO239,βοηθητικό!$J$2:$N$354,3,FALSE))</f>
        <v>_</v>
      </c>
      <c r="BQ239" s="47"/>
      <c r="BR239" s="42" t="s">
        <v>16</v>
      </c>
      <c r="BS239" s="43" t="str">
        <f>IF(VLOOKUP(BR239,βοηθητικό!$J$2:$N$354,3,FALSE)="","",VLOOKUP(BR239,βοηθητικό!$J$2:$N$354,3,FALSE))</f>
        <v>_</v>
      </c>
      <c r="BT239" s="44"/>
      <c r="BU239" s="45" t="s">
        <v>16</v>
      </c>
      <c r="BV239" s="46" t="str">
        <f>IF(VLOOKUP(BU239,βοηθητικό!$J$2:$N$354,3,FALSE)="","",VLOOKUP(BU239,βοηθητικό!$J$2:$N$354,3,FALSE))</f>
        <v>_</v>
      </c>
      <c r="BW239" s="47"/>
      <c r="BX239" s="42" t="s">
        <v>16</v>
      </c>
      <c r="BY239" s="43" t="str">
        <f>IF(VLOOKUP(BX239,βοηθητικό!$J$2:$N$354,3,FALSE)="","",VLOOKUP(BX239,βοηθητικό!$J$2:$N$354,3,FALSE))</f>
        <v>_</v>
      </c>
      <c r="BZ239" s="44"/>
      <c r="CA239" s="45" t="s">
        <v>16</v>
      </c>
      <c r="CB239" s="46" t="str">
        <f>IF(VLOOKUP(CA239,βοηθητικό!$J$2:$N$354,3,FALSE)="","",VLOOKUP(CA239,βοηθητικό!$J$2:$N$354,3,FALSE))</f>
        <v>_</v>
      </c>
      <c r="CC239" s="47"/>
      <c r="CD239" s="42" t="s">
        <v>16</v>
      </c>
      <c r="CE239" s="43" t="str">
        <f>IF(VLOOKUP(CD239,βοηθητικό!$J$2:$N$354,3,FALSE)="","",VLOOKUP(CD239,βοηθητικό!$J$2:$N$354,3,FALSE))</f>
        <v>_</v>
      </c>
      <c r="CF239" s="44"/>
      <c r="CG239" s="45" t="s">
        <v>16</v>
      </c>
      <c r="CH239" s="46" t="str">
        <f>IF(VLOOKUP(CG239,βοηθητικό!$J$2:$N$354,3,FALSE)="","",VLOOKUP(CG239,βοηθητικό!$J$2:$N$354,3,FALSE))</f>
        <v>_</v>
      </c>
      <c r="CI239" s="47"/>
      <c r="CJ239" s="42" t="s">
        <v>16</v>
      </c>
      <c r="CK239" s="43" t="str">
        <f>IF(VLOOKUP(CJ239,βοηθητικό!$J$2:$N$354,3,FALSE)="","",VLOOKUP(CJ239,βοηθητικό!$J$2:$N$354,3,FALSE))</f>
        <v>_</v>
      </c>
      <c r="CL239" s="44"/>
      <c r="CM239" s="45" t="s">
        <v>16</v>
      </c>
      <c r="CN239" s="46" t="str">
        <f>IF(VLOOKUP(CM239,βοηθητικό!$J$2:$N$354,3,FALSE)="","",VLOOKUP(CM239,βοηθητικό!$J$2:$N$354,3,FALSE))</f>
        <v>_</v>
      </c>
      <c r="CO239" s="47"/>
      <c r="CP239" s="42" t="s">
        <v>16</v>
      </c>
      <c r="CQ239" s="43" t="str">
        <f>IF(VLOOKUP(CP239,βοηθητικό!$J$2:$N$354,3,FALSE)="","",VLOOKUP(CP239,βοηθητικό!$J$2:$N$354,3,FALSE))</f>
        <v>_</v>
      </c>
      <c r="CR239" s="44"/>
      <c r="CS239" s="45" t="s">
        <v>16</v>
      </c>
      <c r="CT239" s="46" t="str">
        <f>IF(VLOOKUP(CS239,βοηθητικό!$J$2:$N$354,3,FALSE)="","",VLOOKUP(CS239,βοηθητικό!$J$2:$N$354,3,FALSE))</f>
        <v>_</v>
      </c>
      <c r="CU239" s="47"/>
    </row>
    <row r="240" spans="1:99" x14ac:dyDescent="0.25">
      <c r="A240" s="37">
        <f>--SUBTOTAL(3,$B$3:B239)</f>
        <v>198</v>
      </c>
      <c r="B240" s="2"/>
      <c r="C240" s="3"/>
      <c r="D240" s="55" t="s">
        <v>18</v>
      </c>
      <c r="E240" s="38" t="s">
        <v>16</v>
      </c>
      <c r="F240" s="38" t="s">
        <v>16</v>
      </c>
      <c r="G240" s="39" t="str">
        <f t="shared" si="11"/>
        <v>__</v>
      </c>
      <c r="H240" s="40" t="str">
        <f t="shared" si="12"/>
        <v>FALSE</v>
      </c>
      <c r="I240" s="41">
        <f t="shared" si="13"/>
        <v>0</v>
      </c>
      <c r="J240" s="4" t="s">
        <v>16</v>
      </c>
      <c r="K240" s="43" t="str">
        <f>IF(VLOOKUP(J240,βοηθητικό!$J$2:$N$354,3,FALSE)="","",VLOOKUP(J240,βοηθητικό!$J$2:$N$354,3,FALSE))</f>
        <v>_</v>
      </c>
      <c r="L240" s="44"/>
      <c r="M240" s="5" t="s">
        <v>16</v>
      </c>
      <c r="N240" s="46" t="str">
        <f>IF(VLOOKUP(M240,βοηθητικό!$J$2:$N$354,3,FALSE)="","",VLOOKUP(M240,βοηθητικό!$J$2:$N$354,3,FALSE))</f>
        <v>_</v>
      </c>
      <c r="O240" s="47"/>
      <c r="P240" s="4" t="s">
        <v>16</v>
      </c>
      <c r="Q240" s="43" t="str">
        <f>IF(VLOOKUP(P240,βοηθητικό!$J$2:$N$354,3,FALSE)="","",VLOOKUP(P240,βοηθητικό!$J$2:$N$354,3,FALSE))</f>
        <v>_</v>
      </c>
      <c r="R240" s="44"/>
      <c r="S240" s="5" t="s">
        <v>16</v>
      </c>
      <c r="T240" s="46" t="str">
        <f>IF(VLOOKUP(S240,βοηθητικό!$J$2:$N$354,3,FALSE)="","",VLOOKUP(S240,βοηθητικό!$J$2:$N$354,3,FALSE))</f>
        <v>_</v>
      </c>
      <c r="U240" s="47"/>
      <c r="V240" s="4" t="s">
        <v>16</v>
      </c>
      <c r="W240" s="43" t="str">
        <f>IF(VLOOKUP(V240,βοηθητικό!$J$2:$N$354,3,FALSE)="","",VLOOKUP(V240,βοηθητικό!$J$2:$N$354,3,FALSE))</f>
        <v>_</v>
      </c>
      <c r="X240" s="44"/>
      <c r="Y240" s="5" t="s">
        <v>16</v>
      </c>
      <c r="Z240" s="46" t="str">
        <f>IF(VLOOKUP(Y240,βοηθητικό!$J$2:$N$354,3,FALSE)="","",VLOOKUP(Y240,βοηθητικό!$J$2:$N$354,3,FALSE))</f>
        <v>_</v>
      </c>
      <c r="AA240" s="47"/>
      <c r="AB240" s="4" t="s">
        <v>16</v>
      </c>
      <c r="AC240" s="43" t="str">
        <f>IF(VLOOKUP(AB240,βοηθητικό!$J$2:$N$354,3,FALSE)="","",VLOOKUP(AB240,βοηθητικό!$J$2:$N$354,3,FALSE))</f>
        <v>_</v>
      </c>
      <c r="AD240" s="44"/>
      <c r="AE240" s="5" t="s">
        <v>16</v>
      </c>
      <c r="AF240" s="46" t="str">
        <f>IF(VLOOKUP(AE240,βοηθητικό!$J$2:$N$354,3,FALSE)="","",VLOOKUP(AE240,βοηθητικό!$J$2:$N$354,3,FALSE))</f>
        <v>_</v>
      </c>
      <c r="AG240" s="47"/>
      <c r="AH240" s="4" t="s">
        <v>16</v>
      </c>
      <c r="AI240" s="43" t="str">
        <f>IF(VLOOKUP(AH240,βοηθητικό!$J$2:$N$354,3,FALSE)="","",VLOOKUP(AH240,βοηθητικό!$J$2:$N$354,3,FALSE))</f>
        <v>_</v>
      </c>
      <c r="AJ240" s="44"/>
      <c r="AK240" s="5" t="s">
        <v>16</v>
      </c>
      <c r="AL240" s="46" t="str">
        <f>IF(VLOOKUP(AK240,βοηθητικό!$J$2:$N$354,3,FALSE)="","",VLOOKUP(AK240,βοηθητικό!$J$2:$N$354,3,FALSE))</f>
        <v>_</v>
      </c>
      <c r="AM240" s="47"/>
      <c r="AN240" s="4" t="s">
        <v>16</v>
      </c>
      <c r="AO240" s="43" t="str">
        <f>IF(VLOOKUP(AN240,βοηθητικό!$J$2:$N$354,3,FALSE)="","",VLOOKUP(AN240,βοηθητικό!$J$2:$N$354,3,FALSE))</f>
        <v>_</v>
      </c>
      <c r="AP240" s="44"/>
      <c r="AQ240" s="5" t="s">
        <v>16</v>
      </c>
      <c r="AR240" s="46" t="str">
        <f>IF(VLOOKUP(AQ240,βοηθητικό!$J$2:$N$354,3,FALSE)="","",VLOOKUP(AQ240,βοηθητικό!$J$2:$N$354,3,FALSE))</f>
        <v>_</v>
      </c>
      <c r="AS240" s="47"/>
      <c r="AT240" s="4" t="s">
        <v>16</v>
      </c>
      <c r="AU240" s="43" t="str">
        <f>IF(VLOOKUP(AT240,βοηθητικό!$J$2:$N$354,3,FALSE)="","",VLOOKUP(AT240,βοηθητικό!$J$2:$N$354,3,FALSE))</f>
        <v>_</v>
      </c>
      <c r="AV240" s="44"/>
      <c r="AW240" s="5" t="s">
        <v>16</v>
      </c>
      <c r="AX240" s="46" t="str">
        <f>IF(VLOOKUP(AW240,βοηθητικό!$J$2:$N$354,3,FALSE)="","",VLOOKUP(AW240,βοηθητικό!$J$2:$N$354,3,FALSE))</f>
        <v>_</v>
      </c>
      <c r="AY240" s="47"/>
      <c r="AZ240" s="4" t="s">
        <v>16</v>
      </c>
      <c r="BA240" s="43" t="str">
        <f>IF(VLOOKUP(AZ240,βοηθητικό!$J$2:$N$354,3,FALSE)="","",VLOOKUP(AZ240,βοηθητικό!$J$2:$N$354,3,FALSE))</f>
        <v>_</v>
      </c>
      <c r="BB240" s="44"/>
      <c r="BC240" s="45" t="s">
        <v>16</v>
      </c>
      <c r="BD240" s="46" t="str">
        <f>IF(VLOOKUP(BC240,βοηθητικό!$J$2:$N$354,3,FALSE)="","",VLOOKUP(BC240,βοηθητικό!$J$2:$N$354,3,FALSE))</f>
        <v>_</v>
      </c>
      <c r="BE240" s="47"/>
      <c r="BF240" s="42" t="s">
        <v>16</v>
      </c>
      <c r="BG240" s="43" t="str">
        <f>IF(VLOOKUP(BF240,βοηθητικό!$J$2:$N$354,3,FALSE)="","",VLOOKUP(BF240,βοηθητικό!$J$2:$N$354,3,FALSE))</f>
        <v>_</v>
      </c>
      <c r="BH240" s="44"/>
      <c r="BI240" s="45" t="s">
        <v>16</v>
      </c>
      <c r="BJ240" s="46" t="str">
        <f>IF(VLOOKUP(BI240,βοηθητικό!$J$2:$N$354,3,FALSE)="","",VLOOKUP(BI240,βοηθητικό!$J$2:$N$354,3,FALSE))</f>
        <v>_</v>
      </c>
      <c r="BK240" s="47"/>
      <c r="BL240" s="42" t="s">
        <v>16</v>
      </c>
      <c r="BM240" s="43" t="str">
        <f>IF(VLOOKUP(BL240,βοηθητικό!$J$2:$N$354,3,FALSE)="","",VLOOKUP(BL240,βοηθητικό!$J$2:$N$354,3,FALSE))</f>
        <v>_</v>
      </c>
      <c r="BN240" s="44"/>
      <c r="BO240" s="45" t="s">
        <v>16</v>
      </c>
      <c r="BP240" s="46" t="str">
        <f>IF(VLOOKUP(BO240,βοηθητικό!$J$2:$N$354,3,FALSE)="","",VLOOKUP(BO240,βοηθητικό!$J$2:$N$354,3,FALSE))</f>
        <v>_</v>
      </c>
      <c r="BQ240" s="47"/>
      <c r="BR240" s="42" t="s">
        <v>16</v>
      </c>
      <c r="BS240" s="43" t="str">
        <f>IF(VLOOKUP(BR240,βοηθητικό!$J$2:$N$354,3,FALSE)="","",VLOOKUP(BR240,βοηθητικό!$J$2:$N$354,3,FALSE))</f>
        <v>_</v>
      </c>
      <c r="BT240" s="44"/>
      <c r="BU240" s="45" t="s">
        <v>16</v>
      </c>
      <c r="BV240" s="46" t="str">
        <f>IF(VLOOKUP(BU240,βοηθητικό!$J$2:$N$354,3,FALSE)="","",VLOOKUP(BU240,βοηθητικό!$J$2:$N$354,3,FALSE))</f>
        <v>_</v>
      </c>
      <c r="BW240" s="47"/>
      <c r="BX240" s="42" t="s">
        <v>16</v>
      </c>
      <c r="BY240" s="43" t="str">
        <f>IF(VLOOKUP(BX240,βοηθητικό!$J$2:$N$354,3,FALSE)="","",VLOOKUP(BX240,βοηθητικό!$J$2:$N$354,3,FALSE))</f>
        <v>_</v>
      </c>
      <c r="BZ240" s="44"/>
      <c r="CA240" s="45" t="s">
        <v>16</v>
      </c>
      <c r="CB240" s="46" t="str">
        <f>IF(VLOOKUP(CA240,βοηθητικό!$J$2:$N$354,3,FALSE)="","",VLOOKUP(CA240,βοηθητικό!$J$2:$N$354,3,FALSE))</f>
        <v>_</v>
      </c>
      <c r="CC240" s="47"/>
      <c r="CD240" s="42" t="s">
        <v>16</v>
      </c>
      <c r="CE240" s="43" t="str">
        <f>IF(VLOOKUP(CD240,βοηθητικό!$J$2:$N$354,3,FALSE)="","",VLOOKUP(CD240,βοηθητικό!$J$2:$N$354,3,FALSE))</f>
        <v>_</v>
      </c>
      <c r="CF240" s="44"/>
      <c r="CG240" s="45" t="s">
        <v>16</v>
      </c>
      <c r="CH240" s="46" t="str">
        <f>IF(VLOOKUP(CG240,βοηθητικό!$J$2:$N$354,3,FALSE)="","",VLOOKUP(CG240,βοηθητικό!$J$2:$N$354,3,FALSE))</f>
        <v>_</v>
      </c>
      <c r="CI240" s="47"/>
      <c r="CJ240" s="42" t="s">
        <v>16</v>
      </c>
      <c r="CK240" s="43" t="str">
        <f>IF(VLOOKUP(CJ240,βοηθητικό!$J$2:$N$354,3,FALSE)="","",VLOOKUP(CJ240,βοηθητικό!$J$2:$N$354,3,FALSE))</f>
        <v>_</v>
      </c>
      <c r="CL240" s="44"/>
      <c r="CM240" s="45" t="s">
        <v>16</v>
      </c>
      <c r="CN240" s="46" t="str">
        <f>IF(VLOOKUP(CM240,βοηθητικό!$J$2:$N$354,3,FALSE)="","",VLOOKUP(CM240,βοηθητικό!$J$2:$N$354,3,FALSE))</f>
        <v>_</v>
      </c>
      <c r="CO240" s="47"/>
      <c r="CP240" s="42" t="s">
        <v>16</v>
      </c>
      <c r="CQ240" s="43" t="str">
        <f>IF(VLOOKUP(CP240,βοηθητικό!$J$2:$N$354,3,FALSE)="","",VLOOKUP(CP240,βοηθητικό!$J$2:$N$354,3,FALSE))</f>
        <v>_</v>
      </c>
      <c r="CR240" s="44"/>
      <c r="CS240" s="45" t="s">
        <v>16</v>
      </c>
      <c r="CT240" s="46" t="str">
        <f>IF(VLOOKUP(CS240,βοηθητικό!$J$2:$N$354,3,FALSE)="","",VLOOKUP(CS240,βοηθητικό!$J$2:$N$354,3,FALSE))</f>
        <v>_</v>
      </c>
      <c r="CU240" s="47"/>
    </row>
    <row r="241" spans="1:99" x14ac:dyDescent="0.25">
      <c r="A241" s="37">
        <f>--SUBTOTAL(3,$B$3:B240)</f>
        <v>198</v>
      </c>
      <c r="B241" s="2"/>
      <c r="C241" s="3"/>
      <c r="D241" s="55" t="s">
        <v>18</v>
      </c>
      <c r="E241" s="38" t="s">
        <v>16</v>
      </c>
      <c r="F241" s="38" t="s">
        <v>16</v>
      </c>
      <c r="G241" s="39" t="str">
        <f t="shared" si="11"/>
        <v>__</v>
      </c>
      <c r="H241" s="40" t="str">
        <f t="shared" si="12"/>
        <v>FALSE</v>
      </c>
      <c r="I241" s="41">
        <f t="shared" si="13"/>
        <v>0</v>
      </c>
      <c r="J241" s="4" t="s">
        <v>16</v>
      </c>
      <c r="K241" s="43" t="str">
        <f>IF(VLOOKUP(J241,βοηθητικό!$J$2:$N$354,3,FALSE)="","",VLOOKUP(J241,βοηθητικό!$J$2:$N$354,3,FALSE))</f>
        <v>_</v>
      </c>
      <c r="L241" s="44"/>
      <c r="M241" s="5" t="s">
        <v>16</v>
      </c>
      <c r="N241" s="46" t="str">
        <f>IF(VLOOKUP(M241,βοηθητικό!$J$2:$N$354,3,FALSE)="","",VLOOKUP(M241,βοηθητικό!$J$2:$N$354,3,FALSE))</f>
        <v>_</v>
      </c>
      <c r="O241" s="47"/>
      <c r="P241" s="4" t="s">
        <v>16</v>
      </c>
      <c r="Q241" s="43" t="str">
        <f>IF(VLOOKUP(P241,βοηθητικό!$J$2:$N$354,3,FALSE)="","",VLOOKUP(P241,βοηθητικό!$J$2:$N$354,3,FALSE))</f>
        <v>_</v>
      </c>
      <c r="R241" s="44"/>
      <c r="S241" s="5" t="s">
        <v>16</v>
      </c>
      <c r="T241" s="46" t="str">
        <f>IF(VLOOKUP(S241,βοηθητικό!$J$2:$N$354,3,FALSE)="","",VLOOKUP(S241,βοηθητικό!$J$2:$N$354,3,FALSE))</f>
        <v>_</v>
      </c>
      <c r="U241" s="47"/>
      <c r="V241" s="4" t="s">
        <v>16</v>
      </c>
      <c r="W241" s="43" t="str">
        <f>IF(VLOOKUP(V241,βοηθητικό!$J$2:$N$354,3,FALSE)="","",VLOOKUP(V241,βοηθητικό!$J$2:$N$354,3,FALSE))</f>
        <v>_</v>
      </c>
      <c r="X241" s="44"/>
      <c r="Y241" s="5" t="s">
        <v>16</v>
      </c>
      <c r="Z241" s="46" t="str">
        <f>IF(VLOOKUP(Y241,βοηθητικό!$J$2:$N$354,3,FALSE)="","",VLOOKUP(Y241,βοηθητικό!$J$2:$N$354,3,FALSE))</f>
        <v>_</v>
      </c>
      <c r="AA241" s="47"/>
      <c r="AB241" s="4" t="s">
        <v>16</v>
      </c>
      <c r="AC241" s="43" t="str">
        <f>IF(VLOOKUP(AB241,βοηθητικό!$J$2:$N$354,3,FALSE)="","",VLOOKUP(AB241,βοηθητικό!$J$2:$N$354,3,FALSE))</f>
        <v>_</v>
      </c>
      <c r="AD241" s="44"/>
      <c r="AE241" s="5" t="s">
        <v>16</v>
      </c>
      <c r="AF241" s="46" t="str">
        <f>IF(VLOOKUP(AE241,βοηθητικό!$J$2:$N$354,3,FALSE)="","",VLOOKUP(AE241,βοηθητικό!$J$2:$N$354,3,FALSE))</f>
        <v>_</v>
      </c>
      <c r="AG241" s="47"/>
      <c r="AH241" s="4" t="s">
        <v>16</v>
      </c>
      <c r="AI241" s="43" t="str">
        <f>IF(VLOOKUP(AH241,βοηθητικό!$J$2:$N$354,3,FALSE)="","",VLOOKUP(AH241,βοηθητικό!$J$2:$N$354,3,FALSE))</f>
        <v>_</v>
      </c>
      <c r="AJ241" s="44"/>
      <c r="AK241" s="5" t="s">
        <v>16</v>
      </c>
      <c r="AL241" s="46" t="str">
        <f>IF(VLOOKUP(AK241,βοηθητικό!$J$2:$N$354,3,FALSE)="","",VLOOKUP(AK241,βοηθητικό!$J$2:$N$354,3,FALSE))</f>
        <v>_</v>
      </c>
      <c r="AM241" s="47"/>
      <c r="AN241" s="4" t="s">
        <v>16</v>
      </c>
      <c r="AO241" s="43" t="str">
        <f>IF(VLOOKUP(AN241,βοηθητικό!$J$2:$N$354,3,FALSE)="","",VLOOKUP(AN241,βοηθητικό!$J$2:$N$354,3,FALSE))</f>
        <v>_</v>
      </c>
      <c r="AP241" s="44"/>
      <c r="AQ241" s="5" t="s">
        <v>16</v>
      </c>
      <c r="AR241" s="46" t="str">
        <f>IF(VLOOKUP(AQ241,βοηθητικό!$J$2:$N$354,3,FALSE)="","",VLOOKUP(AQ241,βοηθητικό!$J$2:$N$354,3,FALSE))</f>
        <v>_</v>
      </c>
      <c r="AS241" s="47"/>
      <c r="AT241" s="4" t="s">
        <v>16</v>
      </c>
      <c r="AU241" s="43" t="str">
        <f>IF(VLOOKUP(AT241,βοηθητικό!$J$2:$N$354,3,FALSE)="","",VLOOKUP(AT241,βοηθητικό!$J$2:$N$354,3,FALSE))</f>
        <v>_</v>
      </c>
      <c r="AV241" s="44"/>
      <c r="AW241" s="5" t="s">
        <v>16</v>
      </c>
      <c r="AX241" s="46" t="str">
        <f>IF(VLOOKUP(AW241,βοηθητικό!$J$2:$N$354,3,FALSE)="","",VLOOKUP(AW241,βοηθητικό!$J$2:$N$354,3,FALSE))</f>
        <v>_</v>
      </c>
      <c r="AY241" s="47"/>
      <c r="AZ241" s="4" t="s">
        <v>16</v>
      </c>
      <c r="BA241" s="43" t="str">
        <f>IF(VLOOKUP(AZ241,βοηθητικό!$J$2:$N$354,3,FALSE)="","",VLOOKUP(AZ241,βοηθητικό!$J$2:$N$354,3,FALSE))</f>
        <v>_</v>
      </c>
      <c r="BB241" s="44"/>
      <c r="BC241" s="45" t="s">
        <v>16</v>
      </c>
      <c r="BD241" s="46" t="str">
        <f>IF(VLOOKUP(BC241,βοηθητικό!$J$2:$N$354,3,FALSE)="","",VLOOKUP(BC241,βοηθητικό!$J$2:$N$354,3,FALSE))</f>
        <v>_</v>
      </c>
      <c r="BE241" s="47"/>
      <c r="BF241" s="42" t="s">
        <v>16</v>
      </c>
      <c r="BG241" s="43" t="str">
        <f>IF(VLOOKUP(BF241,βοηθητικό!$J$2:$N$354,3,FALSE)="","",VLOOKUP(BF241,βοηθητικό!$J$2:$N$354,3,FALSE))</f>
        <v>_</v>
      </c>
      <c r="BH241" s="44"/>
      <c r="BI241" s="45" t="s">
        <v>16</v>
      </c>
      <c r="BJ241" s="46" t="str">
        <f>IF(VLOOKUP(BI241,βοηθητικό!$J$2:$N$354,3,FALSE)="","",VLOOKUP(BI241,βοηθητικό!$J$2:$N$354,3,FALSE))</f>
        <v>_</v>
      </c>
      <c r="BK241" s="47"/>
      <c r="BL241" s="42" t="s">
        <v>16</v>
      </c>
      <c r="BM241" s="43" t="str">
        <f>IF(VLOOKUP(BL241,βοηθητικό!$J$2:$N$354,3,FALSE)="","",VLOOKUP(BL241,βοηθητικό!$J$2:$N$354,3,FALSE))</f>
        <v>_</v>
      </c>
      <c r="BN241" s="44"/>
      <c r="BO241" s="45" t="s">
        <v>16</v>
      </c>
      <c r="BP241" s="46" t="str">
        <f>IF(VLOOKUP(BO241,βοηθητικό!$J$2:$N$354,3,FALSE)="","",VLOOKUP(BO241,βοηθητικό!$J$2:$N$354,3,FALSE))</f>
        <v>_</v>
      </c>
      <c r="BQ241" s="47"/>
      <c r="BR241" s="42" t="s">
        <v>16</v>
      </c>
      <c r="BS241" s="43" t="str">
        <f>IF(VLOOKUP(BR241,βοηθητικό!$J$2:$N$354,3,FALSE)="","",VLOOKUP(BR241,βοηθητικό!$J$2:$N$354,3,FALSE))</f>
        <v>_</v>
      </c>
      <c r="BT241" s="44"/>
      <c r="BU241" s="45" t="s">
        <v>16</v>
      </c>
      <c r="BV241" s="46" t="str">
        <f>IF(VLOOKUP(BU241,βοηθητικό!$J$2:$N$354,3,FALSE)="","",VLOOKUP(BU241,βοηθητικό!$J$2:$N$354,3,FALSE))</f>
        <v>_</v>
      </c>
      <c r="BW241" s="47"/>
      <c r="BX241" s="42" t="s">
        <v>16</v>
      </c>
      <c r="BY241" s="43" t="str">
        <f>IF(VLOOKUP(BX241,βοηθητικό!$J$2:$N$354,3,FALSE)="","",VLOOKUP(BX241,βοηθητικό!$J$2:$N$354,3,FALSE))</f>
        <v>_</v>
      </c>
      <c r="BZ241" s="44"/>
      <c r="CA241" s="45" t="s">
        <v>16</v>
      </c>
      <c r="CB241" s="46" t="str">
        <f>IF(VLOOKUP(CA241,βοηθητικό!$J$2:$N$354,3,FALSE)="","",VLOOKUP(CA241,βοηθητικό!$J$2:$N$354,3,FALSE))</f>
        <v>_</v>
      </c>
      <c r="CC241" s="47"/>
      <c r="CD241" s="42" t="s">
        <v>16</v>
      </c>
      <c r="CE241" s="43" t="str">
        <f>IF(VLOOKUP(CD241,βοηθητικό!$J$2:$N$354,3,FALSE)="","",VLOOKUP(CD241,βοηθητικό!$J$2:$N$354,3,FALSE))</f>
        <v>_</v>
      </c>
      <c r="CF241" s="44"/>
      <c r="CG241" s="45" t="s">
        <v>16</v>
      </c>
      <c r="CH241" s="46" t="str">
        <f>IF(VLOOKUP(CG241,βοηθητικό!$J$2:$N$354,3,FALSE)="","",VLOOKUP(CG241,βοηθητικό!$J$2:$N$354,3,FALSE))</f>
        <v>_</v>
      </c>
      <c r="CI241" s="47"/>
      <c r="CJ241" s="42" t="s">
        <v>16</v>
      </c>
      <c r="CK241" s="43" t="str">
        <f>IF(VLOOKUP(CJ241,βοηθητικό!$J$2:$N$354,3,FALSE)="","",VLOOKUP(CJ241,βοηθητικό!$J$2:$N$354,3,FALSE))</f>
        <v>_</v>
      </c>
      <c r="CL241" s="44"/>
      <c r="CM241" s="45" t="s">
        <v>16</v>
      </c>
      <c r="CN241" s="46" t="str">
        <f>IF(VLOOKUP(CM241,βοηθητικό!$J$2:$N$354,3,FALSE)="","",VLOOKUP(CM241,βοηθητικό!$J$2:$N$354,3,FALSE))</f>
        <v>_</v>
      </c>
      <c r="CO241" s="47"/>
      <c r="CP241" s="42" t="s">
        <v>16</v>
      </c>
      <c r="CQ241" s="43" t="str">
        <f>IF(VLOOKUP(CP241,βοηθητικό!$J$2:$N$354,3,FALSE)="","",VLOOKUP(CP241,βοηθητικό!$J$2:$N$354,3,FALSE))</f>
        <v>_</v>
      </c>
      <c r="CR241" s="44"/>
      <c r="CS241" s="45" t="s">
        <v>16</v>
      </c>
      <c r="CT241" s="46" t="str">
        <f>IF(VLOOKUP(CS241,βοηθητικό!$J$2:$N$354,3,FALSE)="","",VLOOKUP(CS241,βοηθητικό!$J$2:$N$354,3,FALSE))</f>
        <v>_</v>
      </c>
      <c r="CU241" s="47"/>
    </row>
    <row r="242" spans="1:99" x14ac:dyDescent="0.25">
      <c r="A242" s="37">
        <f>--SUBTOTAL(3,$B$3:B241)</f>
        <v>198</v>
      </c>
      <c r="B242" s="2"/>
      <c r="C242" s="3"/>
      <c r="D242" s="55" t="s">
        <v>18</v>
      </c>
      <c r="E242" s="38" t="s">
        <v>16</v>
      </c>
      <c r="F242" s="38" t="s">
        <v>16</v>
      </c>
      <c r="G242" s="39" t="str">
        <f t="shared" si="11"/>
        <v>__</v>
      </c>
      <c r="H242" s="40" t="str">
        <f t="shared" si="12"/>
        <v>FALSE</v>
      </c>
      <c r="I242" s="41">
        <f t="shared" si="13"/>
        <v>0</v>
      </c>
      <c r="J242" s="4" t="s">
        <v>16</v>
      </c>
      <c r="K242" s="43" t="str">
        <f>IF(VLOOKUP(J242,βοηθητικό!$J$2:$N$354,3,FALSE)="","",VLOOKUP(J242,βοηθητικό!$J$2:$N$354,3,FALSE))</f>
        <v>_</v>
      </c>
      <c r="L242" s="44"/>
      <c r="M242" s="5" t="s">
        <v>16</v>
      </c>
      <c r="N242" s="46" t="str">
        <f>IF(VLOOKUP(M242,βοηθητικό!$J$2:$N$354,3,FALSE)="","",VLOOKUP(M242,βοηθητικό!$J$2:$N$354,3,FALSE))</f>
        <v>_</v>
      </c>
      <c r="O242" s="47"/>
      <c r="P242" s="4" t="s">
        <v>16</v>
      </c>
      <c r="Q242" s="43" t="str">
        <f>IF(VLOOKUP(P242,βοηθητικό!$J$2:$N$354,3,FALSE)="","",VLOOKUP(P242,βοηθητικό!$J$2:$N$354,3,FALSE))</f>
        <v>_</v>
      </c>
      <c r="R242" s="44"/>
      <c r="S242" s="5" t="s">
        <v>16</v>
      </c>
      <c r="T242" s="46" t="str">
        <f>IF(VLOOKUP(S242,βοηθητικό!$J$2:$N$354,3,FALSE)="","",VLOOKUP(S242,βοηθητικό!$J$2:$N$354,3,FALSE))</f>
        <v>_</v>
      </c>
      <c r="U242" s="47"/>
      <c r="V242" s="4" t="s">
        <v>16</v>
      </c>
      <c r="W242" s="43" t="str">
        <f>IF(VLOOKUP(V242,βοηθητικό!$J$2:$N$354,3,FALSE)="","",VLOOKUP(V242,βοηθητικό!$J$2:$N$354,3,FALSE))</f>
        <v>_</v>
      </c>
      <c r="X242" s="44"/>
      <c r="Y242" s="5" t="s">
        <v>16</v>
      </c>
      <c r="Z242" s="46" t="str">
        <f>IF(VLOOKUP(Y242,βοηθητικό!$J$2:$N$354,3,FALSE)="","",VLOOKUP(Y242,βοηθητικό!$J$2:$N$354,3,FALSE))</f>
        <v>_</v>
      </c>
      <c r="AA242" s="47"/>
      <c r="AB242" s="4" t="s">
        <v>16</v>
      </c>
      <c r="AC242" s="43" t="str">
        <f>IF(VLOOKUP(AB242,βοηθητικό!$J$2:$N$354,3,FALSE)="","",VLOOKUP(AB242,βοηθητικό!$J$2:$N$354,3,FALSE))</f>
        <v>_</v>
      </c>
      <c r="AD242" s="44"/>
      <c r="AE242" s="5" t="s">
        <v>16</v>
      </c>
      <c r="AF242" s="46" t="str">
        <f>IF(VLOOKUP(AE242,βοηθητικό!$J$2:$N$354,3,FALSE)="","",VLOOKUP(AE242,βοηθητικό!$J$2:$N$354,3,FALSE))</f>
        <v>_</v>
      </c>
      <c r="AG242" s="47"/>
      <c r="AH242" s="4" t="s">
        <v>16</v>
      </c>
      <c r="AI242" s="43" t="str">
        <f>IF(VLOOKUP(AH242,βοηθητικό!$J$2:$N$354,3,FALSE)="","",VLOOKUP(AH242,βοηθητικό!$J$2:$N$354,3,FALSE))</f>
        <v>_</v>
      </c>
      <c r="AJ242" s="44"/>
      <c r="AK242" s="5" t="s">
        <v>16</v>
      </c>
      <c r="AL242" s="46" t="str">
        <f>IF(VLOOKUP(AK242,βοηθητικό!$J$2:$N$354,3,FALSE)="","",VLOOKUP(AK242,βοηθητικό!$J$2:$N$354,3,FALSE))</f>
        <v>_</v>
      </c>
      <c r="AM242" s="47"/>
      <c r="AN242" s="4" t="s">
        <v>16</v>
      </c>
      <c r="AO242" s="43" t="str">
        <f>IF(VLOOKUP(AN242,βοηθητικό!$J$2:$N$354,3,FALSE)="","",VLOOKUP(AN242,βοηθητικό!$J$2:$N$354,3,FALSE))</f>
        <v>_</v>
      </c>
      <c r="AP242" s="44"/>
      <c r="AQ242" s="5" t="s">
        <v>16</v>
      </c>
      <c r="AR242" s="46" t="str">
        <f>IF(VLOOKUP(AQ242,βοηθητικό!$J$2:$N$354,3,FALSE)="","",VLOOKUP(AQ242,βοηθητικό!$J$2:$N$354,3,FALSE))</f>
        <v>_</v>
      </c>
      <c r="AS242" s="47"/>
      <c r="AT242" s="4" t="s">
        <v>16</v>
      </c>
      <c r="AU242" s="43" t="str">
        <f>IF(VLOOKUP(AT242,βοηθητικό!$J$2:$N$354,3,FALSE)="","",VLOOKUP(AT242,βοηθητικό!$J$2:$N$354,3,FALSE))</f>
        <v>_</v>
      </c>
      <c r="AV242" s="44"/>
      <c r="AW242" s="5" t="s">
        <v>16</v>
      </c>
      <c r="AX242" s="46" t="str">
        <f>IF(VLOOKUP(AW242,βοηθητικό!$J$2:$N$354,3,FALSE)="","",VLOOKUP(AW242,βοηθητικό!$J$2:$N$354,3,FALSE))</f>
        <v>_</v>
      </c>
      <c r="AY242" s="47"/>
      <c r="AZ242" s="4" t="s">
        <v>16</v>
      </c>
      <c r="BA242" s="43" t="str">
        <f>IF(VLOOKUP(AZ242,βοηθητικό!$J$2:$N$354,3,FALSE)="","",VLOOKUP(AZ242,βοηθητικό!$J$2:$N$354,3,FALSE))</f>
        <v>_</v>
      </c>
      <c r="BB242" s="44"/>
      <c r="BC242" s="45" t="s">
        <v>16</v>
      </c>
      <c r="BD242" s="46" t="str">
        <f>IF(VLOOKUP(BC242,βοηθητικό!$J$2:$N$354,3,FALSE)="","",VLOOKUP(BC242,βοηθητικό!$J$2:$N$354,3,FALSE))</f>
        <v>_</v>
      </c>
      <c r="BE242" s="47"/>
      <c r="BF242" s="42" t="s">
        <v>16</v>
      </c>
      <c r="BG242" s="43" t="str">
        <f>IF(VLOOKUP(BF242,βοηθητικό!$J$2:$N$354,3,FALSE)="","",VLOOKUP(BF242,βοηθητικό!$J$2:$N$354,3,FALSE))</f>
        <v>_</v>
      </c>
      <c r="BH242" s="44"/>
      <c r="BI242" s="45" t="s">
        <v>16</v>
      </c>
      <c r="BJ242" s="46" t="str">
        <f>IF(VLOOKUP(BI242,βοηθητικό!$J$2:$N$354,3,FALSE)="","",VLOOKUP(BI242,βοηθητικό!$J$2:$N$354,3,FALSE))</f>
        <v>_</v>
      </c>
      <c r="BK242" s="47"/>
      <c r="BL242" s="42" t="s">
        <v>16</v>
      </c>
      <c r="BM242" s="43" t="str">
        <f>IF(VLOOKUP(BL242,βοηθητικό!$J$2:$N$354,3,FALSE)="","",VLOOKUP(BL242,βοηθητικό!$J$2:$N$354,3,FALSE))</f>
        <v>_</v>
      </c>
      <c r="BN242" s="44"/>
      <c r="BO242" s="45" t="s">
        <v>16</v>
      </c>
      <c r="BP242" s="46" t="str">
        <f>IF(VLOOKUP(BO242,βοηθητικό!$J$2:$N$354,3,FALSE)="","",VLOOKUP(BO242,βοηθητικό!$J$2:$N$354,3,FALSE))</f>
        <v>_</v>
      </c>
      <c r="BQ242" s="47"/>
      <c r="BR242" s="42" t="s">
        <v>16</v>
      </c>
      <c r="BS242" s="43" t="str">
        <f>IF(VLOOKUP(BR242,βοηθητικό!$J$2:$N$354,3,FALSE)="","",VLOOKUP(BR242,βοηθητικό!$J$2:$N$354,3,FALSE))</f>
        <v>_</v>
      </c>
      <c r="BT242" s="44"/>
      <c r="BU242" s="45" t="s">
        <v>16</v>
      </c>
      <c r="BV242" s="46" t="str">
        <f>IF(VLOOKUP(BU242,βοηθητικό!$J$2:$N$354,3,FALSE)="","",VLOOKUP(BU242,βοηθητικό!$J$2:$N$354,3,FALSE))</f>
        <v>_</v>
      </c>
      <c r="BW242" s="47"/>
      <c r="BX242" s="42" t="s">
        <v>16</v>
      </c>
      <c r="BY242" s="43" t="str">
        <f>IF(VLOOKUP(BX242,βοηθητικό!$J$2:$N$354,3,FALSE)="","",VLOOKUP(BX242,βοηθητικό!$J$2:$N$354,3,FALSE))</f>
        <v>_</v>
      </c>
      <c r="BZ242" s="44"/>
      <c r="CA242" s="45" t="s">
        <v>16</v>
      </c>
      <c r="CB242" s="46" t="str">
        <f>IF(VLOOKUP(CA242,βοηθητικό!$J$2:$N$354,3,FALSE)="","",VLOOKUP(CA242,βοηθητικό!$J$2:$N$354,3,FALSE))</f>
        <v>_</v>
      </c>
      <c r="CC242" s="47"/>
      <c r="CD242" s="42" t="s">
        <v>16</v>
      </c>
      <c r="CE242" s="43" t="str">
        <f>IF(VLOOKUP(CD242,βοηθητικό!$J$2:$N$354,3,FALSE)="","",VLOOKUP(CD242,βοηθητικό!$J$2:$N$354,3,FALSE))</f>
        <v>_</v>
      </c>
      <c r="CF242" s="44"/>
      <c r="CG242" s="45" t="s">
        <v>16</v>
      </c>
      <c r="CH242" s="46" t="str">
        <f>IF(VLOOKUP(CG242,βοηθητικό!$J$2:$N$354,3,FALSE)="","",VLOOKUP(CG242,βοηθητικό!$J$2:$N$354,3,FALSE))</f>
        <v>_</v>
      </c>
      <c r="CI242" s="47"/>
      <c r="CJ242" s="42" t="s">
        <v>16</v>
      </c>
      <c r="CK242" s="43" t="str">
        <f>IF(VLOOKUP(CJ242,βοηθητικό!$J$2:$N$354,3,FALSE)="","",VLOOKUP(CJ242,βοηθητικό!$J$2:$N$354,3,FALSE))</f>
        <v>_</v>
      </c>
      <c r="CL242" s="44"/>
      <c r="CM242" s="45" t="s">
        <v>16</v>
      </c>
      <c r="CN242" s="46" t="str">
        <f>IF(VLOOKUP(CM242,βοηθητικό!$J$2:$N$354,3,FALSE)="","",VLOOKUP(CM242,βοηθητικό!$J$2:$N$354,3,FALSE))</f>
        <v>_</v>
      </c>
      <c r="CO242" s="47"/>
      <c r="CP242" s="42" t="s">
        <v>16</v>
      </c>
      <c r="CQ242" s="43" t="str">
        <f>IF(VLOOKUP(CP242,βοηθητικό!$J$2:$N$354,3,FALSE)="","",VLOOKUP(CP242,βοηθητικό!$J$2:$N$354,3,FALSE))</f>
        <v>_</v>
      </c>
      <c r="CR242" s="44"/>
      <c r="CS242" s="45" t="s">
        <v>16</v>
      </c>
      <c r="CT242" s="46" t="str">
        <f>IF(VLOOKUP(CS242,βοηθητικό!$J$2:$N$354,3,FALSE)="","",VLOOKUP(CS242,βοηθητικό!$J$2:$N$354,3,FALSE))</f>
        <v>_</v>
      </c>
      <c r="CU242" s="47"/>
    </row>
    <row r="243" spans="1:99" x14ac:dyDescent="0.25">
      <c r="A243" s="37">
        <f>--SUBTOTAL(3,$B$3:B242)</f>
        <v>198</v>
      </c>
      <c r="B243" s="2"/>
      <c r="C243" s="3"/>
      <c r="D243" s="55" t="s">
        <v>18</v>
      </c>
      <c r="E243" s="38" t="s">
        <v>16</v>
      </c>
      <c r="F243" s="38" t="s">
        <v>16</v>
      </c>
      <c r="G243" s="39" t="str">
        <f t="shared" si="11"/>
        <v>__</v>
      </c>
      <c r="H243" s="40" t="str">
        <f t="shared" si="12"/>
        <v>FALSE</v>
      </c>
      <c r="I243" s="41">
        <f t="shared" si="13"/>
        <v>0</v>
      </c>
      <c r="J243" s="4" t="s">
        <v>16</v>
      </c>
      <c r="K243" s="43" t="str">
        <f>IF(VLOOKUP(J243,βοηθητικό!$J$2:$N$354,3,FALSE)="","",VLOOKUP(J243,βοηθητικό!$J$2:$N$354,3,FALSE))</f>
        <v>_</v>
      </c>
      <c r="L243" s="44"/>
      <c r="M243" s="5" t="s">
        <v>16</v>
      </c>
      <c r="N243" s="46" t="str">
        <f>IF(VLOOKUP(M243,βοηθητικό!$J$2:$N$354,3,FALSE)="","",VLOOKUP(M243,βοηθητικό!$J$2:$N$354,3,FALSE))</f>
        <v>_</v>
      </c>
      <c r="O243" s="47"/>
      <c r="P243" s="4" t="s">
        <v>16</v>
      </c>
      <c r="Q243" s="43" t="str">
        <f>IF(VLOOKUP(P243,βοηθητικό!$J$2:$N$354,3,FALSE)="","",VLOOKUP(P243,βοηθητικό!$J$2:$N$354,3,FALSE))</f>
        <v>_</v>
      </c>
      <c r="R243" s="44"/>
      <c r="S243" s="5" t="s">
        <v>16</v>
      </c>
      <c r="T243" s="46" t="str">
        <f>IF(VLOOKUP(S243,βοηθητικό!$J$2:$N$354,3,FALSE)="","",VLOOKUP(S243,βοηθητικό!$J$2:$N$354,3,FALSE))</f>
        <v>_</v>
      </c>
      <c r="U243" s="47"/>
      <c r="V243" s="4" t="s">
        <v>16</v>
      </c>
      <c r="W243" s="43" t="str">
        <f>IF(VLOOKUP(V243,βοηθητικό!$J$2:$N$354,3,FALSE)="","",VLOOKUP(V243,βοηθητικό!$J$2:$N$354,3,FALSE))</f>
        <v>_</v>
      </c>
      <c r="X243" s="44"/>
      <c r="Y243" s="5" t="s">
        <v>16</v>
      </c>
      <c r="Z243" s="46" t="str">
        <f>IF(VLOOKUP(Y243,βοηθητικό!$J$2:$N$354,3,FALSE)="","",VLOOKUP(Y243,βοηθητικό!$J$2:$N$354,3,FALSE))</f>
        <v>_</v>
      </c>
      <c r="AA243" s="47"/>
      <c r="AB243" s="4" t="s">
        <v>16</v>
      </c>
      <c r="AC243" s="43" t="str">
        <f>IF(VLOOKUP(AB243,βοηθητικό!$J$2:$N$354,3,FALSE)="","",VLOOKUP(AB243,βοηθητικό!$J$2:$N$354,3,FALSE))</f>
        <v>_</v>
      </c>
      <c r="AD243" s="44"/>
      <c r="AE243" s="5" t="s">
        <v>16</v>
      </c>
      <c r="AF243" s="46" t="str">
        <f>IF(VLOOKUP(AE243,βοηθητικό!$J$2:$N$354,3,FALSE)="","",VLOOKUP(AE243,βοηθητικό!$J$2:$N$354,3,FALSE))</f>
        <v>_</v>
      </c>
      <c r="AG243" s="47"/>
      <c r="AH243" s="4" t="s">
        <v>16</v>
      </c>
      <c r="AI243" s="43" t="str">
        <f>IF(VLOOKUP(AH243,βοηθητικό!$J$2:$N$354,3,FALSE)="","",VLOOKUP(AH243,βοηθητικό!$J$2:$N$354,3,FALSE))</f>
        <v>_</v>
      </c>
      <c r="AJ243" s="44"/>
      <c r="AK243" s="5" t="s">
        <v>16</v>
      </c>
      <c r="AL243" s="46" t="str">
        <f>IF(VLOOKUP(AK243,βοηθητικό!$J$2:$N$354,3,FALSE)="","",VLOOKUP(AK243,βοηθητικό!$J$2:$N$354,3,FALSE))</f>
        <v>_</v>
      </c>
      <c r="AM243" s="47"/>
      <c r="AN243" s="4" t="s">
        <v>16</v>
      </c>
      <c r="AO243" s="43" t="str">
        <f>IF(VLOOKUP(AN243,βοηθητικό!$J$2:$N$354,3,FALSE)="","",VLOOKUP(AN243,βοηθητικό!$J$2:$N$354,3,FALSE))</f>
        <v>_</v>
      </c>
      <c r="AP243" s="44"/>
      <c r="AQ243" s="5" t="s">
        <v>16</v>
      </c>
      <c r="AR243" s="46" t="str">
        <f>IF(VLOOKUP(AQ243,βοηθητικό!$J$2:$N$354,3,FALSE)="","",VLOOKUP(AQ243,βοηθητικό!$J$2:$N$354,3,FALSE))</f>
        <v>_</v>
      </c>
      <c r="AS243" s="47"/>
      <c r="AT243" s="4" t="s">
        <v>16</v>
      </c>
      <c r="AU243" s="43" t="str">
        <f>IF(VLOOKUP(AT243,βοηθητικό!$J$2:$N$354,3,FALSE)="","",VLOOKUP(AT243,βοηθητικό!$J$2:$N$354,3,FALSE))</f>
        <v>_</v>
      </c>
      <c r="AV243" s="44"/>
      <c r="AW243" s="5" t="s">
        <v>16</v>
      </c>
      <c r="AX243" s="46" t="str">
        <f>IF(VLOOKUP(AW243,βοηθητικό!$J$2:$N$354,3,FALSE)="","",VLOOKUP(AW243,βοηθητικό!$J$2:$N$354,3,FALSE))</f>
        <v>_</v>
      </c>
      <c r="AY243" s="47"/>
      <c r="AZ243" s="4" t="s">
        <v>16</v>
      </c>
      <c r="BA243" s="43" t="str">
        <f>IF(VLOOKUP(AZ243,βοηθητικό!$J$2:$N$354,3,FALSE)="","",VLOOKUP(AZ243,βοηθητικό!$J$2:$N$354,3,FALSE))</f>
        <v>_</v>
      </c>
      <c r="BB243" s="44"/>
      <c r="BC243" s="45" t="s">
        <v>16</v>
      </c>
      <c r="BD243" s="46" t="str">
        <f>IF(VLOOKUP(BC243,βοηθητικό!$J$2:$N$354,3,FALSE)="","",VLOOKUP(BC243,βοηθητικό!$J$2:$N$354,3,FALSE))</f>
        <v>_</v>
      </c>
      <c r="BE243" s="47"/>
      <c r="BF243" s="42" t="s">
        <v>16</v>
      </c>
      <c r="BG243" s="43" t="str">
        <f>IF(VLOOKUP(BF243,βοηθητικό!$J$2:$N$354,3,FALSE)="","",VLOOKUP(BF243,βοηθητικό!$J$2:$N$354,3,FALSE))</f>
        <v>_</v>
      </c>
      <c r="BH243" s="44"/>
      <c r="BI243" s="45" t="s">
        <v>16</v>
      </c>
      <c r="BJ243" s="46" t="str">
        <f>IF(VLOOKUP(BI243,βοηθητικό!$J$2:$N$354,3,FALSE)="","",VLOOKUP(BI243,βοηθητικό!$J$2:$N$354,3,FALSE))</f>
        <v>_</v>
      </c>
      <c r="BK243" s="47"/>
      <c r="BL243" s="42" t="s">
        <v>16</v>
      </c>
      <c r="BM243" s="43" t="str">
        <f>IF(VLOOKUP(BL243,βοηθητικό!$J$2:$N$354,3,FALSE)="","",VLOOKUP(BL243,βοηθητικό!$J$2:$N$354,3,FALSE))</f>
        <v>_</v>
      </c>
      <c r="BN243" s="44"/>
      <c r="BO243" s="45" t="s">
        <v>16</v>
      </c>
      <c r="BP243" s="46" t="str">
        <f>IF(VLOOKUP(BO243,βοηθητικό!$J$2:$N$354,3,FALSE)="","",VLOOKUP(BO243,βοηθητικό!$J$2:$N$354,3,FALSE))</f>
        <v>_</v>
      </c>
      <c r="BQ243" s="47"/>
      <c r="BR243" s="42" t="s">
        <v>16</v>
      </c>
      <c r="BS243" s="43" t="str">
        <f>IF(VLOOKUP(BR243,βοηθητικό!$J$2:$N$354,3,FALSE)="","",VLOOKUP(BR243,βοηθητικό!$J$2:$N$354,3,FALSE))</f>
        <v>_</v>
      </c>
      <c r="BT243" s="44"/>
      <c r="BU243" s="45" t="s">
        <v>16</v>
      </c>
      <c r="BV243" s="46" t="str">
        <f>IF(VLOOKUP(BU243,βοηθητικό!$J$2:$N$354,3,FALSE)="","",VLOOKUP(BU243,βοηθητικό!$J$2:$N$354,3,FALSE))</f>
        <v>_</v>
      </c>
      <c r="BW243" s="47"/>
      <c r="BX243" s="42" t="s">
        <v>16</v>
      </c>
      <c r="BY243" s="43" t="str">
        <f>IF(VLOOKUP(BX243,βοηθητικό!$J$2:$N$354,3,FALSE)="","",VLOOKUP(BX243,βοηθητικό!$J$2:$N$354,3,FALSE))</f>
        <v>_</v>
      </c>
      <c r="BZ243" s="44"/>
      <c r="CA243" s="45" t="s">
        <v>16</v>
      </c>
      <c r="CB243" s="46" t="str">
        <f>IF(VLOOKUP(CA243,βοηθητικό!$J$2:$N$354,3,FALSE)="","",VLOOKUP(CA243,βοηθητικό!$J$2:$N$354,3,FALSE))</f>
        <v>_</v>
      </c>
      <c r="CC243" s="47"/>
      <c r="CD243" s="42" t="s">
        <v>16</v>
      </c>
      <c r="CE243" s="43" t="str">
        <f>IF(VLOOKUP(CD243,βοηθητικό!$J$2:$N$354,3,FALSE)="","",VLOOKUP(CD243,βοηθητικό!$J$2:$N$354,3,FALSE))</f>
        <v>_</v>
      </c>
      <c r="CF243" s="44"/>
      <c r="CG243" s="45" t="s">
        <v>16</v>
      </c>
      <c r="CH243" s="46" t="str">
        <f>IF(VLOOKUP(CG243,βοηθητικό!$J$2:$N$354,3,FALSE)="","",VLOOKUP(CG243,βοηθητικό!$J$2:$N$354,3,FALSE))</f>
        <v>_</v>
      </c>
      <c r="CI243" s="47"/>
      <c r="CJ243" s="42" t="s">
        <v>16</v>
      </c>
      <c r="CK243" s="43" t="str">
        <f>IF(VLOOKUP(CJ243,βοηθητικό!$J$2:$N$354,3,FALSE)="","",VLOOKUP(CJ243,βοηθητικό!$J$2:$N$354,3,FALSE))</f>
        <v>_</v>
      </c>
      <c r="CL243" s="44"/>
      <c r="CM243" s="45" t="s">
        <v>16</v>
      </c>
      <c r="CN243" s="46" t="str">
        <f>IF(VLOOKUP(CM243,βοηθητικό!$J$2:$N$354,3,FALSE)="","",VLOOKUP(CM243,βοηθητικό!$J$2:$N$354,3,FALSE))</f>
        <v>_</v>
      </c>
      <c r="CO243" s="47"/>
      <c r="CP243" s="42" t="s">
        <v>16</v>
      </c>
      <c r="CQ243" s="43" t="str">
        <f>IF(VLOOKUP(CP243,βοηθητικό!$J$2:$N$354,3,FALSE)="","",VLOOKUP(CP243,βοηθητικό!$J$2:$N$354,3,FALSE))</f>
        <v>_</v>
      </c>
      <c r="CR243" s="44"/>
      <c r="CS243" s="45" t="s">
        <v>16</v>
      </c>
      <c r="CT243" s="46" t="str">
        <f>IF(VLOOKUP(CS243,βοηθητικό!$J$2:$N$354,3,FALSE)="","",VLOOKUP(CS243,βοηθητικό!$J$2:$N$354,3,FALSE))</f>
        <v>_</v>
      </c>
      <c r="CU243" s="47"/>
    </row>
    <row r="244" spans="1:99" x14ac:dyDescent="0.25">
      <c r="A244" s="37">
        <f>--SUBTOTAL(3,$B$3:B243)</f>
        <v>198</v>
      </c>
      <c r="B244" s="2"/>
      <c r="C244" s="3"/>
      <c r="D244" s="55" t="s">
        <v>18</v>
      </c>
      <c r="E244" s="38" t="s">
        <v>16</v>
      </c>
      <c r="F244" s="38" t="s">
        <v>16</v>
      </c>
      <c r="G244" s="39" t="str">
        <f t="shared" si="11"/>
        <v>__</v>
      </c>
      <c r="H244" s="40" t="str">
        <f t="shared" si="12"/>
        <v>FALSE</v>
      </c>
      <c r="I244" s="41">
        <f t="shared" si="13"/>
        <v>0</v>
      </c>
      <c r="J244" s="4" t="s">
        <v>16</v>
      </c>
      <c r="K244" s="43" t="str">
        <f>IF(VLOOKUP(J244,βοηθητικό!$J$2:$N$354,3,FALSE)="","",VLOOKUP(J244,βοηθητικό!$J$2:$N$354,3,FALSE))</f>
        <v>_</v>
      </c>
      <c r="L244" s="44"/>
      <c r="M244" s="5" t="s">
        <v>16</v>
      </c>
      <c r="N244" s="46" t="str">
        <f>IF(VLOOKUP(M244,βοηθητικό!$J$2:$N$354,3,FALSE)="","",VLOOKUP(M244,βοηθητικό!$J$2:$N$354,3,FALSE))</f>
        <v>_</v>
      </c>
      <c r="O244" s="47"/>
      <c r="P244" s="4" t="s">
        <v>16</v>
      </c>
      <c r="Q244" s="43" t="str">
        <f>IF(VLOOKUP(P244,βοηθητικό!$J$2:$N$354,3,FALSE)="","",VLOOKUP(P244,βοηθητικό!$J$2:$N$354,3,FALSE))</f>
        <v>_</v>
      </c>
      <c r="R244" s="44"/>
      <c r="S244" s="5" t="s">
        <v>16</v>
      </c>
      <c r="T244" s="46" t="str">
        <f>IF(VLOOKUP(S244,βοηθητικό!$J$2:$N$354,3,FALSE)="","",VLOOKUP(S244,βοηθητικό!$J$2:$N$354,3,FALSE))</f>
        <v>_</v>
      </c>
      <c r="U244" s="47"/>
      <c r="V244" s="4" t="s">
        <v>16</v>
      </c>
      <c r="W244" s="43" t="str">
        <f>IF(VLOOKUP(V244,βοηθητικό!$J$2:$N$354,3,FALSE)="","",VLOOKUP(V244,βοηθητικό!$J$2:$N$354,3,FALSE))</f>
        <v>_</v>
      </c>
      <c r="X244" s="44"/>
      <c r="Y244" s="5" t="s">
        <v>16</v>
      </c>
      <c r="Z244" s="46" t="str">
        <f>IF(VLOOKUP(Y244,βοηθητικό!$J$2:$N$354,3,FALSE)="","",VLOOKUP(Y244,βοηθητικό!$J$2:$N$354,3,FALSE))</f>
        <v>_</v>
      </c>
      <c r="AA244" s="47"/>
      <c r="AB244" s="4" t="s">
        <v>16</v>
      </c>
      <c r="AC244" s="43" t="str">
        <f>IF(VLOOKUP(AB244,βοηθητικό!$J$2:$N$354,3,FALSE)="","",VLOOKUP(AB244,βοηθητικό!$J$2:$N$354,3,FALSE))</f>
        <v>_</v>
      </c>
      <c r="AD244" s="44"/>
      <c r="AE244" s="5" t="s">
        <v>16</v>
      </c>
      <c r="AF244" s="46" t="str">
        <f>IF(VLOOKUP(AE244,βοηθητικό!$J$2:$N$354,3,FALSE)="","",VLOOKUP(AE244,βοηθητικό!$J$2:$N$354,3,FALSE))</f>
        <v>_</v>
      </c>
      <c r="AG244" s="47"/>
      <c r="AH244" s="4" t="s">
        <v>16</v>
      </c>
      <c r="AI244" s="43" t="str">
        <f>IF(VLOOKUP(AH244,βοηθητικό!$J$2:$N$354,3,FALSE)="","",VLOOKUP(AH244,βοηθητικό!$J$2:$N$354,3,FALSE))</f>
        <v>_</v>
      </c>
      <c r="AJ244" s="44"/>
      <c r="AK244" s="5" t="s">
        <v>16</v>
      </c>
      <c r="AL244" s="46" t="str">
        <f>IF(VLOOKUP(AK244,βοηθητικό!$J$2:$N$354,3,FALSE)="","",VLOOKUP(AK244,βοηθητικό!$J$2:$N$354,3,FALSE))</f>
        <v>_</v>
      </c>
      <c r="AM244" s="47"/>
      <c r="AN244" s="4" t="s">
        <v>16</v>
      </c>
      <c r="AO244" s="43" t="str">
        <f>IF(VLOOKUP(AN244,βοηθητικό!$J$2:$N$354,3,FALSE)="","",VLOOKUP(AN244,βοηθητικό!$J$2:$N$354,3,FALSE))</f>
        <v>_</v>
      </c>
      <c r="AP244" s="44"/>
      <c r="AQ244" s="5" t="s">
        <v>16</v>
      </c>
      <c r="AR244" s="46" t="str">
        <f>IF(VLOOKUP(AQ244,βοηθητικό!$J$2:$N$354,3,FALSE)="","",VLOOKUP(AQ244,βοηθητικό!$J$2:$N$354,3,FALSE))</f>
        <v>_</v>
      </c>
      <c r="AS244" s="47"/>
      <c r="AT244" s="4" t="s">
        <v>16</v>
      </c>
      <c r="AU244" s="43" t="str">
        <f>IF(VLOOKUP(AT244,βοηθητικό!$J$2:$N$354,3,FALSE)="","",VLOOKUP(AT244,βοηθητικό!$J$2:$N$354,3,FALSE))</f>
        <v>_</v>
      </c>
      <c r="AV244" s="44"/>
      <c r="AW244" s="5" t="s">
        <v>16</v>
      </c>
      <c r="AX244" s="46" t="str">
        <f>IF(VLOOKUP(AW244,βοηθητικό!$J$2:$N$354,3,FALSE)="","",VLOOKUP(AW244,βοηθητικό!$J$2:$N$354,3,FALSE))</f>
        <v>_</v>
      </c>
      <c r="AY244" s="47"/>
      <c r="AZ244" s="4" t="s">
        <v>16</v>
      </c>
      <c r="BA244" s="43" t="str">
        <f>IF(VLOOKUP(AZ244,βοηθητικό!$J$2:$N$354,3,FALSE)="","",VLOOKUP(AZ244,βοηθητικό!$J$2:$N$354,3,FALSE))</f>
        <v>_</v>
      </c>
      <c r="BB244" s="44"/>
      <c r="BC244" s="45" t="s">
        <v>16</v>
      </c>
      <c r="BD244" s="46" t="str">
        <f>IF(VLOOKUP(BC244,βοηθητικό!$J$2:$N$354,3,FALSE)="","",VLOOKUP(BC244,βοηθητικό!$J$2:$N$354,3,FALSE))</f>
        <v>_</v>
      </c>
      <c r="BE244" s="47"/>
      <c r="BF244" s="42" t="s">
        <v>16</v>
      </c>
      <c r="BG244" s="43" t="str">
        <f>IF(VLOOKUP(BF244,βοηθητικό!$J$2:$N$354,3,FALSE)="","",VLOOKUP(BF244,βοηθητικό!$J$2:$N$354,3,FALSE))</f>
        <v>_</v>
      </c>
      <c r="BH244" s="44"/>
      <c r="BI244" s="45" t="s">
        <v>16</v>
      </c>
      <c r="BJ244" s="46" t="str">
        <f>IF(VLOOKUP(BI244,βοηθητικό!$J$2:$N$354,3,FALSE)="","",VLOOKUP(BI244,βοηθητικό!$J$2:$N$354,3,FALSE))</f>
        <v>_</v>
      </c>
      <c r="BK244" s="47"/>
      <c r="BL244" s="42" t="s">
        <v>16</v>
      </c>
      <c r="BM244" s="43" t="str">
        <f>IF(VLOOKUP(BL244,βοηθητικό!$J$2:$N$354,3,FALSE)="","",VLOOKUP(BL244,βοηθητικό!$J$2:$N$354,3,FALSE))</f>
        <v>_</v>
      </c>
      <c r="BN244" s="44"/>
      <c r="BO244" s="45" t="s">
        <v>16</v>
      </c>
      <c r="BP244" s="46" t="str">
        <f>IF(VLOOKUP(BO244,βοηθητικό!$J$2:$N$354,3,FALSE)="","",VLOOKUP(BO244,βοηθητικό!$J$2:$N$354,3,FALSE))</f>
        <v>_</v>
      </c>
      <c r="BQ244" s="47"/>
      <c r="BR244" s="42" t="s">
        <v>16</v>
      </c>
      <c r="BS244" s="43" t="str">
        <f>IF(VLOOKUP(BR244,βοηθητικό!$J$2:$N$354,3,FALSE)="","",VLOOKUP(BR244,βοηθητικό!$J$2:$N$354,3,FALSE))</f>
        <v>_</v>
      </c>
      <c r="BT244" s="44"/>
      <c r="BU244" s="45" t="s">
        <v>16</v>
      </c>
      <c r="BV244" s="46" t="str">
        <f>IF(VLOOKUP(BU244,βοηθητικό!$J$2:$N$354,3,FALSE)="","",VLOOKUP(BU244,βοηθητικό!$J$2:$N$354,3,FALSE))</f>
        <v>_</v>
      </c>
      <c r="BW244" s="47"/>
      <c r="BX244" s="42" t="s">
        <v>16</v>
      </c>
      <c r="BY244" s="43" t="str">
        <f>IF(VLOOKUP(BX244,βοηθητικό!$J$2:$N$354,3,FALSE)="","",VLOOKUP(BX244,βοηθητικό!$J$2:$N$354,3,FALSE))</f>
        <v>_</v>
      </c>
      <c r="BZ244" s="44"/>
      <c r="CA244" s="45" t="s">
        <v>16</v>
      </c>
      <c r="CB244" s="46" t="str">
        <f>IF(VLOOKUP(CA244,βοηθητικό!$J$2:$N$354,3,FALSE)="","",VLOOKUP(CA244,βοηθητικό!$J$2:$N$354,3,FALSE))</f>
        <v>_</v>
      </c>
      <c r="CC244" s="47"/>
      <c r="CD244" s="42" t="s">
        <v>16</v>
      </c>
      <c r="CE244" s="43" t="str">
        <f>IF(VLOOKUP(CD244,βοηθητικό!$J$2:$N$354,3,FALSE)="","",VLOOKUP(CD244,βοηθητικό!$J$2:$N$354,3,FALSE))</f>
        <v>_</v>
      </c>
      <c r="CF244" s="44"/>
      <c r="CG244" s="45" t="s">
        <v>16</v>
      </c>
      <c r="CH244" s="46" t="str">
        <f>IF(VLOOKUP(CG244,βοηθητικό!$J$2:$N$354,3,FALSE)="","",VLOOKUP(CG244,βοηθητικό!$J$2:$N$354,3,FALSE))</f>
        <v>_</v>
      </c>
      <c r="CI244" s="47"/>
      <c r="CJ244" s="42" t="s">
        <v>16</v>
      </c>
      <c r="CK244" s="43" t="str">
        <f>IF(VLOOKUP(CJ244,βοηθητικό!$J$2:$N$354,3,FALSE)="","",VLOOKUP(CJ244,βοηθητικό!$J$2:$N$354,3,FALSE))</f>
        <v>_</v>
      </c>
      <c r="CL244" s="44"/>
      <c r="CM244" s="45" t="s">
        <v>16</v>
      </c>
      <c r="CN244" s="46" t="str">
        <f>IF(VLOOKUP(CM244,βοηθητικό!$J$2:$N$354,3,FALSE)="","",VLOOKUP(CM244,βοηθητικό!$J$2:$N$354,3,FALSE))</f>
        <v>_</v>
      </c>
      <c r="CO244" s="47"/>
      <c r="CP244" s="42" t="s">
        <v>16</v>
      </c>
      <c r="CQ244" s="43" t="str">
        <f>IF(VLOOKUP(CP244,βοηθητικό!$J$2:$N$354,3,FALSE)="","",VLOOKUP(CP244,βοηθητικό!$J$2:$N$354,3,FALSE))</f>
        <v>_</v>
      </c>
      <c r="CR244" s="44"/>
      <c r="CS244" s="45" t="s">
        <v>16</v>
      </c>
      <c r="CT244" s="46" t="str">
        <f>IF(VLOOKUP(CS244,βοηθητικό!$J$2:$N$354,3,FALSE)="","",VLOOKUP(CS244,βοηθητικό!$J$2:$N$354,3,FALSE))</f>
        <v>_</v>
      </c>
      <c r="CU244" s="47"/>
    </row>
    <row r="245" spans="1:99" x14ac:dyDescent="0.25">
      <c r="A245" s="37">
        <f>--SUBTOTAL(3,$B$3:B244)</f>
        <v>198</v>
      </c>
      <c r="B245" s="2"/>
      <c r="C245" s="3"/>
      <c r="D245" s="55" t="s">
        <v>18</v>
      </c>
      <c r="E245" s="38" t="s">
        <v>16</v>
      </c>
      <c r="F245" s="38" t="s">
        <v>16</v>
      </c>
      <c r="G245" s="39" t="str">
        <f t="shared" si="11"/>
        <v>__</v>
      </c>
      <c r="H245" s="40" t="str">
        <f t="shared" si="12"/>
        <v>FALSE</v>
      </c>
      <c r="I245" s="41">
        <f t="shared" si="13"/>
        <v>0</v>
      </c>
      <c r="J245" s="4" t="s">
        <v>16</v>
      </c>
      <c r="K245" s="43" t="str">
        <f>IF(VLOOKUP(J245,βοηθητικό!$J$2:$N$354,3,FALSE)="","",VLOOKUP(J245,βοηθητικό!$J$2:$N$354,3,FALSE))</f>
        <v>_</v>
      </c>
      <c r="L245" s="44"/>
      <c r="M245" s="5" t="s">
        <v>16</v>
      </c>
      <c r="N245" s="46" t="str">
        <f>IF(VLOOKUP(M245,βοηθητικό!$J$2:$N$354,3,FALSE)="","",VLOOKUP(M245,βοηθητικό!$J$2:$N$354,3,FALSE))</f>
        <v>_</v>
      </c>
      <c r="O245" s="47"/>
      <c r="P245" s="4" t="s">
        <v>16</v>
      </c>
      <c r="Q245" s="43" t="str">
        <f>IF(VLOOKUP(P245,βοηθητικό!$J$2:$N$354,3,FALSE)="","",VLOOKUP(P245,βοηθητικό!$J$2:$N$354,3,FALSE))</f>
        <v>_</v>
      </c>
      <c r="R245" s="44"/>
      <c r="S245" s="5" t="s">
        <v>16</v>
      </c>
      <c r="T245" s="46" t="str">
        <f>IF(VLOOKUP(S245,βοηθητικό!$J$2:$N$354,3,FALSE)="","",VLOOKUP(S245,βοηθητικό!$J$2:$N$354,3,FALSE))</f>
        <v>_</v>
      </c>
      <c r="U245" s="47"/>
      <c r="V245" s="4" t="s">
        <v>16</v>
      </c>
      <c r="W245" s="43" t="str">
        <f>IF(VLOOKUP(V245,βοηθητικό!$J$2:$N$354,3,FALSE)="","",VLOOKUP(V245,βοηθητικό!$J$2:$N$354,3,FALSE))</f>
        <v>_</v>
      </c>
      <c r="X245" s="44"/>
      <c r="Y245" s="5" t="s">
        <v>16</v>
      </c>
      <c r="Z245" s="46" t="str">
        <f>IF(VLOOKUP(Y245,βοηθητικό!$J$2:$N$354,3,FALSE)="","",VLOOKUP(Y245,βοηθητικό!$J$2:$N$354,3,FALSE))</f>
        <v>_</v>
      </c>
      <c r="AA245" s="47"/>
      <c r="AB245" s="4" t="s">
        <v>16</v>
      </c>
      <c r="AC245" s="43" t="str">
        <f>IF(VLOOKUP(AB245,βοηθητικό!$J$2:$N$354,3,FALSE)="","",VLOOKUP(AB245,βοηθητικό!$J$2:$N$354,3,FALSE))</f>
        <v>_</v>
      </c>
      <c r="AD245" s="44"/>
      <c r="AE245" s="5" t="s">
        <v>16</v>
      </c>
      <c r="AF245" s="46" t="str">
        <f>IF(VLOOKUP(AE245,βοηθητικό!$J$2:$N$354,3,FALSE)="","",VLOOKUP(AE245,βοηθητικό!$J$2:$N$354,3,FALSE))</f>
        <v>_</v>
      </c>
      <c r="AG245" s="47"/>
      <c r="AH245" s="4" t="s">
        <v>16</v>
      </c>
      <c r="AI245" s="43" t="str">
        <f>IF(VLOOKUP(AH245,βοηθητικό!$J$2:$N$354,3,FALSE)="","",VLOOKUP(AH245,βοηθητικό!$J$2:$N$354,3,FALSE))</f>
        <v>_</v>
      </c>
      <c r="AJ245" s="44"/>
      <c r="AK245" s="5" t="s">
        <v>16</v>
      </c>
      <c r="AL245" s="46" t="str">
        <f>IF(VLOOKUP(AK245,βοηθητικό!$J$2:$N$354,3,FALSE)="","",VLOOKUP(AK245,βοηθητικό!$J$2:$N$354,3,FALSE))</f>
        <v>_</v>
      </c>
      <c r="AM245" s="47"/>
      <c r="AN245" s="4" t="s">
        <v>16</v>
      </c>
      <c r="AO245" s="43" t="str">
        <f>IF(VLOOKUP(AN245,βοηθητικό!$J$2:$N$354,3,FALSE)="","",VLOOKUP(AN245,βοηθητικό!$J$2:$N$354,3,FALSE))</f>
        <v>_</v>
      </c>
      <c r="AP245" s="44"/>
      <c r="AQ245" s="5" t="s">
        <v>16</v>
      </c>
      <c r="AR245" s="46" t="str">
        <f>IF(VLOOKUP(AQ245,βοηθητικό!$J$2:$N$354,3,FALSE)="","",VLOOKUP(AQ245,βοηθητικό!$J$2:$N$354,3,FALSE))</f>
        <v>_</v>
      </c>
      <c r="AS245" s="47"/>
      <c r="AT245" s="4" t="s">
        <v>16</v>
      </c>
      <c r="AU245" s="43" t="str">
        <f>IF(VLOOKUP(AT245,βοηθητικό!$J$2:$N$354,3,FALSE)="","",VLOOKUP(AT245,βοηθητικό!$J$2:$N$354,3,FALSE))</f>
        <v>_</v>
      </c>
      <c r="AV245" s="44"/>
      <c r="AW245" s="5" t="s">
        <v>16</v>
      </c>
      <c r="AX245" s="46" t="str">
        <f>IF(VLOOKUP(AW245,βοηθητικό!$J$2:$N$354,3,FALSE)="","",VLOOKUP(AW245,βοηθητικό!$J$2:$N$354,3,FALSE))</f>
        <v>_</v>
      </c>
      <c r="AY245" s="47"/>
      <c r="AZ245" s="4" t="s">
        <v>16</v>
      </c>
      <c r="BA245" s="43" t="str">
        <f>IF(VLOOKUP(AZ245,βοηθητικό!$J$2:$N$354,3,FALSE)="","",VLOOKUP(AZ245,βοηθητικό!$J$2:$N$354,3,FALSE))</f>
        <v>_</v>
      </c>
      <c r="BB245" s="44"/>
      <c r="BC245" s="45" t="s">
        <v>16</v>
      </c>
      <c r="BD245" s="46" t="str">
        <f>IF(VLOOKUP(BC245,βοηθητικό!$J$2:$N$354,3,FALSE)="","",VLOOKUP(BC245,βοηθητικό!$J$2:$N$354,3,FALSE))</f>
        <v>_</v>
      </c>
      <c r="BE245" s="47"/>
      <c r="BF245" s="42" t="s">
        <v>16</v>
      </c>
      <c r="BG245" s="43" t="str">
        <f>IF(VLOOKUP(BF245,βοηθητικό!$J$2:$N$354,3,FALSE)="","",VLOOKUP(BF245,βοηθητικό!$J$2:$N$354,3,FALSE))</f>
        <v>_</v>
      </c>
      <c r="BH245" s="44"/>
      <c r="BI245" s="45" t="s">
        <v>16</v>
      </c>
      <c r="BJ245" s="46" t="str">
        <f>IF(VLOOKUP(BI245,βοηθητικό!$J$2:$N$354,3,FALSE)="","",VLOOKUP(BI245,βοηθητικό!$J$2:$N$354,3,FALSE))</f>
        <v>_</v>
      </c>
      <c r="BK245" s="47"/>
      <c r="BL245" s="42" t="s">
        <v>16</v>
      </c>
      <c r="BM245" s="43" t="str">
        <f>IF(VLOOKUP(BL245,βοηθητικό!$J$2:$N$354,3,FALSE)="","",VLOOKUP(BL245,βοηθητικό!$J$2:$N$354,3,FALSE))</f>
        <v>_</v>
      </c>
      <c r="BN245" s="44"/>
      <c r="BO245" s="45" t="s">
        <v>16</v>
      </c>
      <c r="BP245" s="46" t="str">
        <f>IF(VLOOKUP(BO245,βοηθητικό!$J$2:$N$354,3,FALSE)="","",VLOOKUP(BO245,βοηθητικό!$J$2:$N$354,3,FALSE))</f>
        <v>_</v>
      </c>
      <c r="BQ245" s="47"/>
      <c r="BR245" s="42" t="s">
        <v>16</v>
      </c>
      <c r="BS245" s="43" t="str">
        <f>IF(VLOOKUP(BR245,βοηθητικό!$J$2:$N$354,3,FALSE)="","",VLOOKUP(BR245,βοηθητικό!$J$2:$N$354,3,FALSE))</f>
        <v>_</v>
      </c>
      <c r="BT245" s="44"/>
      <c r="BU245" s="45" t="s">
        <v>16</v>
      </c>
      <c r="BV245" s="46" t="str">
        <f>IF(VLOOKUP(BU245,βοηθητικό!$J$2:$N$354,3,FALSE)="","",VLOOKUP(BU245,βοηθητικό!$J$2:$N$354,3,FALSE))</f>
        <v>_</v>
      </c>
      <c r="BW245" s="47"/>
      <c r="BX245" s="42" t="s">
        <v>16</v>
      </c>
      <c r="BY245" s="43" t="str">
        <f>IF(VLOOKUP(BX245,βοηθητικό!$J$2:$N$354,3,FALSE)="","",VLOOKUP(BX245,βοηθητικό!$J$2:$N$354,3,FALSE))</f>
        <v>_</v>
      </c>
      <c r="BZ245" s="44"/>
      <c r="CA245" s="45" t="s">
        <v>16</v>
      </c>
      <c r="CB245" s="46" t="str">
        <f>IF(VLOOKUP(CA245,βοηθητικό!$J$2:$N$354,3,FALSE)="","",VLOOKUP(CA245,βοηθητικό!$J$2:$N$354,3,FALSE))</f>
        <v>_</v>
      </c>
      <c r="CC245" s="47"/>
      <c r="CD245" s="42" t="s">
        <v>16</v>
      </c>
      <c r="CE245" s="43" t="str">
        <f>IF(VLOOKUP(CD245,βοηθητικό!$J$2:$N$354,3,FALSE)="","",VLOOKUP(CD245,βοηθητικό!$J$2:$N$354,3,FALSE))</f>
        <v>_</v>
      </c>
      <c r="CF245" s="44"/>
      <c r="CG245" s="45" t="s">
        <v>16</v>
      </c>
      <c r="CH245" s="46" t="str">
        <f>IF(VLOOKUP(CG245,βοηθητικό!$J$2:$N$354,3,FALSE)="","",VLOOKUP(CG245,βοηθητικό!$J$2:$N$354,3,FALSE))</f>
        <v>_</v>
      </c>
      <c r="CI245" s="47"/>
      <c r="CJ245" s="42" t="s">
        <v>16</v>
      </c>
      <c r="CK245" s="43" t="str">
        <f>IF(VLOOKUP(CJ245,βοηθητικό!$J$2:$N$354,3,FALSE)="","",VLOOKUP(CJ245,βοηθητικό!$J$2:$N$354,3,FALSE))</f>
        <v>_</v>
      </c>
      <c r="CL245" s="44"/>
      <c r="CM245" s="45" t="s">
        <v>16</v>
      </c>
      <c r="CN245" s="46" t="str">
        <f>IF(VLOOKUP(CM245,βοηθητικό!$J$2:$N$354,3,FALSE)="","",VLOOKUP(CM245,βοηθητικό!$J$2:$N$354,3,FALSE))</f>
        <v>_</v>
      </c>
      <c r="CO245" s="47"/>
      <c r="CP245" s="42" t="s">
        <v>16</v>
      </c>
      <c r="CQ245" s="43" t="str">
        <f>IF(VLOOKUP(CP245,βοηθητικό!$J$2:$N$354,3,FALSE)="","",VLOOKUP(CP245,βοηθητικό!$J$2:$N$354,3,FALSE))</f>
        <v>_</v>
      </c>
      <c r="CR245" s="44"/>
      <c r="CS245" s="45" t="s">
        <v>16</v>
      </c>
      <c r="CT245" s="46" t="str">
        <f>IF(VLOOKUP(CS245,βοηθητικό!$J$2:$N$354,3,FALSE)="","",VLOOKUP(CS245,βοηθητικό!$J$2:$N$354,3,FALSE))</f>
        <v>_</v>
      </c>
      <c r="CU245" s="47"/>
    </row>
    <row r="246" spans="1:99" x14ac:dyDescent="0.25">
      <c r="A246" s="37">
        <f>--SUBTOTAL(3,$B$3:B245)</f>
        <v>198</v>
      </c>
      <c r="B246" s="2"/>
      <c r="C246" s="3"/>
      <c r="D246" s="55" t="s">
        <v>18</v>
      </c>
      <c r="E246" s="38" t="s">
        <v>16</v>
      </c>
      <c r="F246" s="38" t="s">
        <v>16</v>
      </c>
      <c r="G246" s="39" t="str">
        <f t="shared" si="11"/>
        <v>__</v>
      </c>
      <c r="H246" s="40" t="str">
        <f t="shared" si="12"/>
        <v>FALSE</v>
      </c>
      <c r="I246" s="41">
        <f t="shared" si="13"/>
        <v>0</v>
      </c>
      <c r="J246" s="4" t="s">
        <v>16</v>
      </c>
      <c r="K246" s="43" t="str">
        <f>IF(VLOOKUP(J246,βοηθητικό!$J$2:$N$354,3,FALSE)="","",VLOOKUP(J246,βοηθητικό!$J$2:$N$354,3,FALSE))</f>
        <v>_</v>
      </c>
      <c r="L246" s="44"/>
      <c r="M246" s="5" t="s">
        <v>16</v>
      </c>
      <c r="N246" s="46" t="str">
        <f>IF(VLOOKUP(M246,βοηθητικό!$J$2:$N$354,3,FALSE)="","",VLOOKUP(M246,βοηθητικό!$J$2:$N$354,3,FALSE))</f>
        <v>_</v>
      </c>
      <c r="O246" s="47"/>
      <c r="P246" s="4" t="s">
        <v>16</v>
      </c>
      <c r="Q246" s="43" t="str">
        <f>IF(VLOOKUP(P246,βοηθητικό!$J$2:$N$354,3,FALSE)="","",VLOOKUP(P246,βοηθητικό!$J$2:$N$354,3,FALSE))</f>
        <v>_</v>
      </c>
      <c r="R246" s="44"/>
      <c r="S246" s="5" t="s">
        <v>16</v>
      </c>
      <c r="T246" s="46" t="str">
        <f>IF(VLOOKUP(S246,βοηθητικό!$J$2:$N$354,3,FALSE)="","",VLOOKUP(S246,βοηθητικό!$J$2:$N$354,3,FALSE))</f>
        <v>_</v>
      </c>
      <c r="U246" s="47"/>
      <c r="V246" s="4" t="s">
        <v>16</v>
      </c>
      <c r="W246" s="43" t="str">
        <f>IF(VLOOKUP(V246,βοηθητικό!$J$2:$N$354,3,FALSE)="","",VLOOKUP(V246,βοηθητικό!$J$2:$N$354,3,FALSE))</f>
        <v>_</v>
      </c>
      <c r="X246" s="44"/>
      <c r="Y246" s="5" t="s">
        <v>16</v>
      </c>
      <c r="Z246" s="46" t="str">
        <f>IF(VLOOKUP(Y246,βοηθητικό!$J$2:$N$354,3,FALSE)="","",VLOOKUP(Y246,βοηθητικό!$J$2:$N$354,3,FALSE))</f>
        <v>_</v>
      </c>
      <c r="AA246" s="47"/>
      <c r="AB246" s="4" t="s">
        <v>16</v>
      </c>
      <c r="AC246" s="43" t="str">
        <f>IF(VLOOKUP(AB246,βοηθητικό!$J$2:$N$354,3,FALSE)="","",VLOOKUP(AB246,βοηθητικό!$J$2:$N$354,3,FALSE))</f>
        <v>_</v>
      </c>
      <c r="AD246" s="44"/>
      <c r="AE246" s="5" t="s">
        <v>16</v>
      </c>
      <c r="AF246" s="46" t="str">
        <f>IF(VLOOKUP(AE246,βοηθητικό!$J$2:$N$354,3,FALSE)="","",VLOOKUP(AE246,βοηθητικό!$J$2:$N$354,3,FALSE))</f>
        <v>_</v>
      </c>
      <c r="AG246" s="47"/>
      <c r="AH246" s="4" t="s">
        <v>16</v>
      </c>
      <c r="AI246" s="43" t="str">
        <f>IF(VLOOKUP(AH246,βοηθητικό!$J$2:$N$354,3,FALSE)="","",VLOOKUP(AH246,βοηθητικό!$J$2:$N$354,3,FALSE))</f>
        <v>_</v>
      </c>
      <c r="AJ246" s="44"/>
      <c r="AK246" s="5" t="s">
        <v>16</v>
      </c>
      <c r="AL246" s="46" t="str">
        <f>IF(VLOOKUP(AK246,βοηθητικό!$J$2:$N$354,3,FALSE)="","",VLOOKUP(AK246,βοηθητικό!$J$2:$N$354,3,FALSE))</f>
        <v>_</v>
      </c>
      <c r="AM246" s="47"/>
      <c r="AN246" s="4" t="s">
        <v>16</v>
      </c>
      <c r="AO246" s="43" t="str">
        <f>IF(VLOOKUP(AN246,βοηθητικό!$J$2:$N$354,3,FALSE)="","",VLOOKUP(AN246,βοηθητικό!$J$2:$N$354,3,FALSE))</f>
        <v>_</v>
      </c>
      <c r="AP246" s="44"/>
      <c r="AQ246" s="5" t="s">
        <v>16</v>
      </c>
      <c r="AR246" s="46" t="str">
        <f>IF(VLOOKUP(AQ246,βοηθητικό!$J$2:$N$354,3,FALSE)="","",VLOOKUP(AQ246,βοηθητικό!$J$2:$N$354,3,FALSE))</f>
        <v>_</v>
      </c>
      <c r="AS246" s="47"/>
      <c r="AT246" s="4" t="s">
        <v>16</v>
      </c>
      <c r="AU246" s="43" t="str">
        <f>IF(VLOOKUP(AT246,βοηθητικό!$J$2:$N$354,3,FALSE)="","",VLOOKUP(AT246,βοηθητικό!$J$2:$N$354,3,FALSE))</f>
        <v>_</v>
      </c>
      <c r="AV246" s="44"/>
      <c r="AW246" s="5" t="s">
        <v>16</v>
      </c>
      <c r="AX246" s="46" t="str">
        <f>IF(VLOOKUP(AW246,βοηθητικό!$J$2:$N$354,3,FALSE)="","",VLOOKUP(AW246,βοηθητικό!$J$2:$N$354,3,FALSE))</f>
        <v>_</v>
      </c>
      <c r="AY246" s="47"/>
      <c r="AZ246" s="4" t="s">
        <v>16</v>
      </c>
      <c r="BA246" s="43" t="str">
        <f>IF(VLOOKUP(AZ246,βοηθητικό!$J$2:$N$354,3,FALSE)="","",VLOOKUP(AZ246,βοηθητικό!$J$2:$N$354,3,FALSE))</f>
        <v>_</v>
      </c>
      <c r="BB246" s="44"/>
      <c r="BC246" s="45" t="s">
        <v>16</v>
      </c>
      <c r="BD246" s="46" t="str">
        <f>IF(VLOOKUP(BC246,βοηθητικό!$J$2:$N$354,3,FALSE)="","",VLOOKUP(BC246,βοηθητικό!$J$2:$N$354,3,FALSE))</f>
        <v>_</v>
      </c>
      <c r="BE246" s="47"/>
      <c r="BF246" s="42" t="s">
        <v>16</v>
      </c>
      <c r="BG246" s="43" t="str">
        <f>IF(VLOOKUP(BF246,βοηθητικό!$J$2:$N$354,3,FALSE)="","",VLOOKUP(BF246,βοηθητικό!$J$2:$N$354,3,FALSE))</f>
        <v>_</v>
      </c>
      <c r="BH246" s="44"/>
      <c r="BI246" s="45" t="s">
        <v>16</v>
      </c>
      <c r="BJ246" s="46" t="str">
        <f>IF(VLOOKUP(BI246,βοηθητικό!$J$2:$N$354,3,FALSE)="","",VLOOKUP(BI246,βοηθητικό!$J$2:$N$354,3,FALSE))</f>
        <v>_</v>
      </c>
      <c r="BK246" s="47"/>
      <c r="BL246" s="42" t="s">
        <v>16</v>
      </c>
      <c r="BM246" s="43" t="str">
        <f>IF(VLOOKUP(BL246,βοηθητικό!$J$2:$N$354,3,FALSE)="","",VLOOKUP(BL246,βοηθητικό!$J$2:$N$354,3,FALSE))</f>
        <v>_</v>
      </c>
      <c r="BN246" s="44"/>
      <c r="BO246" s="45" t="s">
        <v>16</v>
      </c>
      <c r="BP246" s="46" t="str">
        <f>IF(VLOOKUP(BO246,βοηθητικό!$J$2:$N$354,3,FALSE)="","",VLOOKUP(BO246,βοηθητικό!$J$2:$N$354,3,FALSE))</f>
        <v>_</v>
      </c>
      <c r="BQ246" s="47"/>
      <c r="BR246" s="42" t="s">
        <v>16</v>
      </c>
      <c r="BS246" s="43" t="str">
        <f>IF(VLOOKUP(BR246,βοηθητικό!$J$2:$N$354,3,FALSE)="","",VLOOKUP(BR246,βοηθητικό!$J$2:$N$354,3,FALSE))</f>
        <v>_</v>
      </c>
      <c r="BT246" s="44"/>
      <c r="BU246" s="45" t="s">
        <v>16</v>
      </c>
      <c r="BV246" s="46" t="str">
        <f>IF(VLOOKUP(BU246,βοηθητικό!$J$2:$N$354,3,FALSE)="","",VLOOKUP(BU246,βοηθητικό!$J$2:$N$354,3,FALSE))</f>
        <v>_</v>
      </c>
      <c r="BW246" s="47"/>
      <c r="BX246" s="42" t="s">
        <v>16</v>
      </c>
      <c r="BY246" s="43" t="str">
        <f>IF(VLOOKUP(BX246,βοηθητικό!$J$2:$N$354,3,FALSE)="","",VLOOKUP(BX246,βοηθητικό!$J$2:$N$354,3,FALSE))</f>
        <v>_</v>
      </c>
      <c r="BZ246" s="44"/>
      <c r="CA246" s="45" t="s">
        <v>16</v>
      </c>
      <c r="CB246" s="46" t="str">
        <f>IF(VLOOKUP(CA246,βοηθητικό!$J$2:$N$354,3,FALSE)="","",VLOOKUP(CA246,βοηθητικό!$J$2:$N$354,3,FALSE))</f>
        <v>_</v>
      </c>
      <c r="CC246" s="47"/>
      <c r="CD246" s="42" t="s">
        <v>16</v>
      </c>
      <c r="CE246" s="43" t="str">
        <f>IF(VLOOKUP(CD246,βοηθητικό!$J$2:$N$354,3,FALSE)="","",VLOOKUP(CD246,βοηθητικό!$J$2:$N$354,3,FALSE))</f>
        <v>_</v>
      </c>
      <c r="CF246" s="44"/>
      <c r="CG246" s="45" t="s">
        <v>16</v>
      </c>
      <c r="CH246" s="46" t="str">
        <f>IF(VLOOKUP(CG246,βοηθητικό!$J$2:$N$354,3,FALSE)="","",VLOOKUP(CG246,βοηθητικό!$J$2:$N$354,3,FALSE))</f>
        <v>_</v>
      </c>
      <c r="CI246" s="47"/>
      <c r="CJ246" s="42" t="s">
        <v>16</v>
      </c>
      <c r="CK246" s="43" t="str">
        <f>IF(VLOOKUP(CJ246,βοηθητικό!$J$2:$N$354,3,FALSE)="","",VLOOKUP(CJ246,βοηθητικό!$J$2:$N$354,3,FALSE))</f>
        <v>_</v>
      </c>
      <c r="CL246" s="44"/>
      <c r="CM246" s="45" t="s">
        <v>16</v>
      </c>
      <c r="CN246" s="46" t="str">
        <f>IF(VLOOKUP(CM246,βοηθητικό!$J$2:$N$354,3,FALSE)="","",VLOOKUP(CM246,βοηθητικό!$J$2:$N$354,3,FALSE))</f>
        <v>_</v>
      </c>
      <c r="CO246" s="47"/>
      <c r="CP246" s="42" t="s">
        <v>16</v>
      </c>
      <c r="CQ246" s="43" t="str">
        <f>IF(VLOOKUP(CP246,βοηθητικό!$J$2:$N$354,3,FALSE)="","",VLOOKUP(CP246,βοηθητικό!$J$2:$N$354,3,FALSE))</f>
        <v>_</v>
      </c>
      <c r="CR246" s="44"/>
      <c r="CS246" s="45" t="s">
        <v>16</v>
      </c>
      <c r="CT246" s="46" t="str">
        <f>IF(VLOOKUP(CS246,βοηθητικό!$J$2:$N$354,3,FALSE)="","",VLOOKUP(CS246,βοηθητικό!$J$2:$N$354,3,FALSE))</f>
        <v>_</v>
      </c>
      <c r="CU246" s="47"/>
    </row>
    <row r="247" spans="1:99" x14ac:dyDescent="0.25">
      <c r="A247" s="37">
        <f>--SUBTOTAL(3,$B$3:B246)</f>
        <v>198</v>
      </c>
      <c r="B247" s="2"/>
      <c r="C247" s="3"/>
      <c r="D247" s="55" t="s">
        <v>18</v>
      </c>
      <c r="E247" s="38" t="s">
        <v>16</v>
      </c>
      <c r="F247" s="38" t="s">
        <v>16</v>
      </c>
      <c r="G247" s="39" t="str">
        <f t="shared" si="11"/>
        <v>__</v>
      </c>
      <c r="H247" s="40" t="str">
        <f t="shared" si="12"/>
        <v>FALSE</v>
      </c>
      <c r="I247" s="41">
        <f t="shared" si="13"/>
        <v>0</v>
      </c>
      <c r="J247" s="4" t="s">
        <v>16</v>
      </c>
      <c r="K247" s="43" t="str">
        <f>IF(VLOOKUP(J247,βοηθητικό!$J$2:$N$354,3,FALSE)="","",VLOOKUP(J247,βοηθητικό!$J$2:$N$354,3,FALSE))</f>
        <v>_</v>
      </c>
      <c r="L247" s="44"/>
      <c r="M247" s="5" t="s">
        <v>16</v>
      </c>
      <c r="N247" s="46" t="str">
        <f>IF(VLOOKUP(M247,βοηθητικό!$J$2:$N$354,3,FALSE)="","",VLOOKUP(M247,βοηθητικό!$J$2:$N$354,3,FALSE))</f>
        <v>_</v>
      </c>
      <c r="O247" s="47"/>
      <c r="P247" s="4" t="s">
        <v>16</v>
      </c>
      <c r="Q247" s="43" t="str">
        <f>IF(VLOOKUP(P247,βοηθητικό!$J$2:$N$354,3,FALSE)="","",VLOOKUP(P247,βοηθητικό!$J$2:$N$354,3,FALSE))</f>
        <v>_</v>
      </c>
      <c r="R247" s="44"/>
      <c r="S247" s="5" t="s">
        <v>16</v>
      </c>
      <c r="T247" s="46" t="str">
        <f>IF(VLOOKUP(S247,βοηθητικό!$J$2:$N$354,3,FALSE)="","",VLOOKUP(S247,βοηθητικό!$J$2:$N$354,3,FALSE))</f>
        <v>_</v>
      </c>
      <c r="U247" s="47"/>
      <c r="V247" s="4" t="s">
        <v>16</v>
      </c>
      <c r="W247" s="43" t="str">
        <f>IF(VLOOKUP(V247,βοηθητικό!$J$2:$N$354,3,FALSE)="","",VLOOKUP(V247,βοηθητικό!$J$2:$N$354,3,FALSE))</f>
        <v>_</v>
      </c>
      <c r="X247" s="44"/>
      <c r="Y247" s="5" t="s">
        <v>16</v>
      </c>
      <c r="Z247" s="46" t="str">
        <f>IF(VLOOKUP(Y247,βοηθητικό!$J$2:$N$354,3,FALSE)="","",VLOOKUP(Y247,βοηθητικό!$J$2:$N$354,3,FALSE))</f>
        <v>_</v>
      </c>
      <c r="AA247" s="47"/>
      <c r="AB247" s="4" t="s">
        <v>16</v>
      </c>
      <c r="AC247" s="43" t="str">
        <f>IF(VLOOKUP(AB247,βοηθητικό!$J$2:$N$354,3,FALSE)="","",VLOOKUP(AB247,βοηθητικό!$J$2:$N$354,3,FALSE))</f>
        <v>_</v>
      </c>
      <c r="AD247" s="44"/>
      <c r="AE247" s="5" t="s">
        <v>16</v>
      </c>
      <c r="AF247" s="46" t="str">
        <f>IF(VLOOKUP(AE247,βοηθητικό!$J$2:$N$354,3,FALSE)="","",VLOOKUP(AE247,βοηθητικό!$J$2:$N$354,3,FALSE))</f>
        <v>_</v>
      </c>
      <c r="AG247" s="47"/>
      <c r="AH247" s="4" t="s">
        <v>16</v>
      </c>
      <c r="AI247" s="43" t="str">
        <f>IF(VLOOKUP(AH247,βοηθητικό!$J$2:$N$354,3,FALSE)="","",VLOOKUP(AH247,βοηθητικό!$J$2:$N$354,3,FALSE))</f>
        <v>_</v>
      </c>
      <c r="AJ247" s="44"/>
      <c r="AK247" s="5" t="s">
        <v>16</v>
      </c>
      <c r="AL247" s="46" t="str">
        <f>IF(VLOOKUP(AK247,βοηθητικό!$J$2:$N$354,3,FALSE)="","",VLOOKUP(AK247,βοηθητικό!$J$2:$N$354,3,FALSE))</f>
        <v>_</v>
      </c>
      <c r="AM247" s="47"/>
      <c r="AN247" s="4" t="s">
        <v>16</v>
      </c>
      <c r="AO247" s="43" t="str">
        <f>IF(VLOOKUP(AN247,βοηθητικό!$J$2:$N$354,3,FALSE)="","",VLOOKUP(AN247,βοηθητικό!$J$2:$N$354,3,FALSE))</f>
        <v>_</v>
      </c>
      <c r="AP247" s="44"/>
      <c r="AQ247" s="5" t="s">
        <v>16</v>
      </c>
      <c r="AR247" s="46" t="str">
        <f>IF(VLOOKUP(AQ247,βοηθητικό!$J$2:$N$354,3,FALSE)="","",VLOOKUP(AQ247,βοηθητικό!$J$2:$N$354,3,FALSE))</f>
        <v>_</v>
      </c>
      <c r="AS247" s="47"/>
      <c r="AT247" s="4" t="s">
        <v>16</v>
      </c>
      <c r="AU247" s="43" t="str">
        <f>IF(VLOOKUP(AT247,βοηθητικό!$J$2:$N$354,3,FALSE)="","",VLOOKUP(AT247,βοηθητικό!$J$2:$N$354,3,FALSE))</f>
        <v>_</v>
      </c>
      <c r="AV247" s="44"/>
      <c r="AW247" s="5" t="s">
        <v>16</v>
      </c>
      <c r="AX247" s="46" t="str">
        <f>IF(VLOOKUP(AW247,βοηθητικό!$J$2:$N$354,3,FALSE)="","",VLOOKUP(AW247,βοηθητικό!$J$2:$N$354,3,FALSE))</f>
        <v>_</v>
      </c>
      <c r="AY247" s="47"/>
      <c r="AZ247" s="4" t="s">
        <v>16</v>
      </c>
      <c r="BA247" s="43" t="str">
        <f>IF(VLOOKUP(AZ247,βοηθητικό!$J$2:$N$354,3,FALSE)="","",VLOOKUP(AZ247,βοηθητικό!$J$2:$N$354,3,FALSE))</f>
        <v>_</v>
      </c>
      <c r="BB247" s="44"/>
      <c r="BC247" s="45" t="s">
        <v>16</v>
      </c>
      <c r="BD247" s="46" t="str">
        <f>IF(VLOOKUP(BC247,βοηθητικό!$J$2:$N$354,3,FALSE)="","",VLOOKUP(BC247,βοηθητικό!$J$2:$N$354,3,FALSE))</f>
        <v>_</v>
      </c>
      <c r="BE247" s="47"/>
      <c r="BF247" s="42" t="s">
        <v>16</v>
      </c>
      <c r="BG247" s="43" t="str">
        <f>IF(VLOOKUP(BF247,βοηθητικό!$J$2:$N$354,3,FALSE)="","",VLOOKUP(BF247,βοηθητικό!$J$2:$N$354,3,FALSE))</f>
        <v>_</v>
      </c>
      <c r="BH247" s="44"/>
      <c r="BI247" s="45" t="s">
        <v>16</v>
      </c>
      <c r="BJ247" s="46" t="str">
        <f>IF(VLOOKUP(BI247,βοηθητικό!$J$2:$N$354,3,FALSE)="","",VLOOKUP(BI247,βοηθητικό!$J$2:$N$354,3,FALSE))</f>
        <v>_</v>
      </c>
      <c r="BK247" s="47"/>
      <c r="BL247" s="42" t="s">
        <v>16</v>
      </c>
      <c r="BM247" s="43" t="str">
        <f>IF(VLOOKUP(BL247,βοηθητικό!$J$2:$N$354,3,FALSE)="","",VLOOKUP(BL247,βοηθητικό!$J$2:$N$354,3,FALSE))</f>
        <v>_</v>
      </c>
      <c r="BN247" s="44"/>
      <c r="BO247" s="45" t="s">
        <v>16</v>
      </c>
      <c r="BP247" s="46" t="str">
        <f>IF(VLOOKUP(BO247,βοηθητικό!$J$2:$N$354,3,FALSE)="","",VLOOKUP(BO247,βοηθητικό!$J$2:$N$354,3,FALSE))</f>
        <v>_</v>
      </c>
      <c r="BQ247" s="47"/>
      <c r="BR247" s="42" t="s">
        <v>16</v>
      </c>
      <c r="BS247" s="43" t="str">
        <f>IF(VLOOKUP(BR247,βοηθητικό!$J$2:$N$354,3,FALSE)="","",VLOOKUP(BR247,βοηθητικό!$J$2:$N$354,3,FALSE))</f>
        <v>_</v>
      </c>
      <c r="BT247" s="44"/>
      <c r="BU247" s="45" t="s">
        <v>16</v>
      </c>
      <c r="BV247" s="46" t="str">
        <f>IF(VLOOKUP(BU247,βοηθητικό!$J$2:$N$354,3,FALSE)="","",VLOOKUP(BU247,βοηθητικό!$J$2:$N$354,3,FALSE))</f>
        <v>_</v>
      </c>
      <c r="BW247" s="47"/>
      <c r="BX247" s="42" t="s">
        <v>16</v>
      </c>
      <c r="BY247" s="43" t="str">
        <f>IF(VLOOKUP(BX247,βοηθητικό!$J$2:$N$354,3,FALSE)="","",VLOOKUP(BX247,βοηθητικό!$J$2:$N$354,3,FALSE))</f>
        <v>_</v>
      </c>
      <c r="BZ247" s="44"/>
      <c r="CA247" s="45" t="s">
        <v>16</v>
      </c>
      <c r="CB247" s="46" t="str">
        <f>IF(VLOOKUP(CA247,βοηθητικό!$J$2:$N$354,3,FALSE)="","",VLOOKUP(CA247,βοηθητικό!$J$2:$N$354,3,FALSE))</f>
        <v>_</v>
      </c>
      <c r="CC247" s="47"/>
      <c r="CD247" s="42" t="s">
        <v>16</v>
      </c>
      <c r="CE247" s="43" t="str">
        <f>IF(VLOOKUP(CD247,βοηθητικό!$J$2:$N$354,3,FALSE)="","",VLOOKUP(CD247,βοηθητικό!$J$2:$N$354,3,FALSE))</f>
        <v>_</v>
      </c>
      <c r="CF247" s="44"/>
      <c r="CG247" s="45" t="s">
        <v>16</v>
      </c>
      <c r="CH247" s="46" t="str">
        <f>IF(VLOOKUP(CG247,βοηθητικό!$J$2:$N$354,3,FALSE)="","",VLOOKUP(CG247,βοηθητικό!$J$2:$N$354,3,FALSE))</f>
        <v>_</v>
      </c>
      <c r="CI247" s="47"/>
      <c r="CJ247" s="42" t="s">
        <v>16</v>
      </c>
      <c r="CK247" s="43" t="str">
        <f>IF(VLOOKUP(CJ247,βοηθητικό!$J$2:$N$354,3,FALSE)="","",VLOOKUP(CJ247,βοηθητικό!$J$2:$N$354,3,FALSE))</f>
        <v>_</v>
      </c>
      <c r="CL247" s="44"/>
      <c r="CM247" s="45" t="s">
        <v>16</v>
      </c>
      <c r="CN247" s="46" t="str">
        <f>IF(VLOOKUP(CM247,βοηθητικό!$J$2:$N$354,3,FALSE)="","",VLOOKUP(CM247,βοηθητικό!$J$2:$N$354,3,FALSE))</f>
        <v>_</v>
      </c>
      <c r="CO247" s="47"/>
      <c r="CP247" s="42" t="s">
        <v>16</v>
      </c>
      <c r="CQ247" s="43" t="str">
        <f>IF(VLOOKUP(CP247,βοηθητικό!$J$2:$N$354,3,FALSE)="","",VLOOKUP(CP247,βοηθητικό!$J$2:$N$354,3,FALSE))</f>
        <v>_</v>
      </c>
      <c r="CR247" s="44"/>
      <c r="CS247" s="45" t="s">
        <v>16</v>
      </c>
      <c r="CT247" s="46" t="str">
        <f>IF(VLOOKUP(CS247,βοηθητικό!$J$2:$N$354,3,FALSE)="","",VLOOKUP(CS247,βοηθητικό!$J$2:$N$354,3,FALSE))</f>
        <v>_</v>
      </c>
      <c r="CU247" s="47"/>
    </row>
    <row r="248" spans="1:99" x14ac:dyDescent="0.25">
      <c r="A248" s="37">
        <f>--SUBTOTAL(3,$B$3:B247)</f>
        <v>198</v>
      </c>
      <c r="B248" s="2"/>
      <c r="C248" s="3"/>
      <c r="D248" s="55" t="s">
        <v>18</v>
      </c>
      <c r="E248" s="38" t="s">
        <v>16</v>
      </c>
      <c r="F248" s="38" t="s">
        <v>16</v>
      </c>
      <c r="G248" s="39" t="str">
        <f t="shared" si="11"/>
        <v>__</v>
      </c>
      <c r="H248" s="40" t="str">
        <f t="shared" si="12"/>
        <v>FALSE</v>
      </c>
      <c r="I248" s="41">
        <f t="shared" si="13"/>
        <v>0</v>
      </c>
      <c r="J248" s="4" t="s">
        <v>16</v>
      </c>
      <c r="K248" s="43" t="str">
        <f>IF(VLOOKUP(J248,βοηθητικό!$J$2:$N$354,3,FALSE)="","",VLOOKUP(J248,βοηθητικό!$J$2:$N$354,3,FALSE))</f>
        <v>_</v>
      </c>
      <c r="L248" s="44"/>
      <c r="M248" s="5" t="s">
        <v>16</v>
      </c>
      <c r="N248" s="46" t="str">
        <f>IF(VLOOKUP(M248,βοηθητικό!$J$2:$N$354,3,FALSE)="","",VLOOKUP(M248,βοηθητικό!$J$2:$N$354,3,FALSE))</f>
        <v>_</v>
      </c>
      <c r="O248" s="47"/>
      <c r="P248" s="4" t="s">
        <v>16</v>
      </c>
      <c r="Q248" s="43" t="str">
        <f>IF(VLOOKUP(P248,βοηθητικό!$J$2:$N$354,3,FALSE)="","",VLOOKUP(P248,βοηθητικό!$J$2:$N$354,3,FALSE))</f>
        <v>_</v>
      </c>
      <c r="R248" s="44"/>
      <c r="S248" s="5" t="s">
        <v>16</v>
      </c>
      <c r="T248" s="46" t="str">
        <f>IF(VLOOKUP(S248,βοηθητικό!$J$2:$N$354,3,FALSE)="","",VLOOKUP(S248,βοηθητικό!$J$2:$N$354,3,FALSE))</f>
        <v>_</v>
      </c>
      <c r="U248" s="47"/>
      <c r="V248" s="4" t="s">
        <v>16</v>
      </c>
      <c r="W248" s="43" t="str">
        <f>IF(VLOOKUP(V248,βοηθητικό!$J$2:$N$354,3,FALSE)="","",VLOOKUP(V248,βοηθητικό!$J$2:$N$354,3,FALSE))</f>
        <v>_</v>
      </c>
      <c r="X248" s="44"/>
      <c r="Y248" s="5" t="s">
        <v>16</v>
      </c>
      <c r="Z248" s="46" t="str">
        <f>IF(VLOOKUP(Y248,βοηθητικό!$J$2:$N$354,3,FALSE)="","",VLOOKUP(Y248,βοηθητικό!$J$2:$N$354,3,FALSE))</f>
        <v>_</v>
      </c>
      <c r="AA248" s="47"/>
      <c r="AB248" s="4" t="s">
        <v>16</v>
      </c>
      <c r="AC248" s="43" t="str">
        <f>IF(VLOOKUP(AB248,βοηθητικό!$J$2:$N$354,3,FALSE)="","",VLOOKUP(AB248,βοηθητικό!$J$2:$N$354,3,FALSE))</f>
        <v>_</v>
      </c>
      <c r="AD248" s="44"/>
      <c r="AE248" s="5" t="s">
        <v>16</v>
      </c>
      <c r="AF248" s="46" t="str">
        <f>IF(VLOOKUP(AE248,βοηθητικό!$J$2:$N$354,3,FALSE)="","",VLOOKUP(AE248,βοηθητικό!$J$2:$N$354,3,FALSE))</f>
        <v>_</v>
      </c>
      <c r="AG248" s="47"/>
      <c r="AH248" s="4" t="s">
        <v>16</v>
      </c>
      <c r="AI248" s="43" t="str">
        <f>IF(VLOOKUP(AH248,βοηθητικό!$J$2:$N$354,3,FALSE)="","",VLOOKUP(AH248,βοηθητικό!$J$2:$N$354,3,FALSE))</f>
        <v>_</v>
      </c>
      <c r="AJ248" s="44"/>
      <c r="AK248" s="5" t="s">
        <v>16</v>
      </c>
      <c r="AL248" s="46" t="str">
        <f>IF(VLOOKUP(AK248,βοηθητικό!$J$2:$N$354,3,FALSE)="","",VLOOKUP(AK248,βοηθητικό!$J$2:$N$354,3,FALSE))</f>
        <v>_</v>
      </c>
      <c r="AM248" s="47"/>
      <c r="AN248" s="4" t="s">
        <v>16</v>
      </c>
      <c r="AO248" s="43" t="str">
        <f>IF(VLOOKUP(AN248,βοηθητικό!$J$2:$N$354,3,FALSE)="","",VLOOKUP(AN248,βοηθητικό!$J$2:$N$354,3,FALSE))</f>
        <v>_</v>
      </c>
      <c r="AP248" s="44"/>
      <c r="AQ248" s="5" t="s">
        <v>16</v>
      </c>
      <c r="AR248" s="46" t="str">
        <f>IF(VLOOKUP(AQ248,βοηθητικό!$J$2:$N$354,3,FALSE)="","",VLOOKUP(AQ248,βοηθητικό!$J$2:$N$354,3,FALSE))</f>
        <v>_</v>
      </c>
      <c r="AS248" s="47"/>
      <c r="AT248" s="4" t="s">
        <v>16</v>
      </c>
      <c r="AU248" s="43" t="str">
        <f>IF(VLOOKUP(AT248,βοηθητικό!$J$2:$N$354,3,FALSE)="","",VLOOKUP(AT248,βοηθητικό!$J$2:$N$354,3,FALSE))</f>
        <v>_</v>
      </c>
      <c r="AV248" s="44"/>
      <c r="AW248" s="5" t="s">
        <v>16</v>
      </c>
      <c r="AX248" s="46" t="str">
        <f>IF(VLOOKUP(AW248,βοηθητικό!$J$2:$N$354,3,FALSE)="","",VLOOKUP(AW248,βοηθητικό!$J$2:$N$354,3,FALSE))</f>
        <v>_</v>
      </c>
      <c r="AY248" s="47"/>
      <c r="AZ248" s="4" t="s">
        <v>16</v>
      </c>
      <c r="BA248" s="43" t="str">
        <f>IF(VLOOKUP(AZ248,βοηθητικό!$J$2:$N$354,3,FALSE)="","",VLOOKUP(AZ248,βοηθητικό!$J$2:$N$354,3,FALSE))</f>
        <v>_</v>
      </c>
      <c r="BB248" s="44"/>
      <c r="BC248" s="45" t="s">
        <v>16</v>
      </c>
      <c r="BD248" s="46" t="str">
        <f>IF(VLOOKUP(BC248,βοηθητικό!$J$2:$N$354,3,FALSE)="","",VLOOKUP(BC248,βοηθητικό!$J$2:$N$354,3,FALSE))</f>
        <v>_</v>
      </c>
      <c r="BE248" s="47"/>
      <c r="BF248" s="42" t="s">
        <v>16</v>
      </c>
      <c r="BG248" s="43" t="str">
        <f>IF(VLOOKUP(BF248,βοηθητικό!$J$2:$N$354,3,FALSE)="","",VLOOKUP(BF248,βοηθητικό!$J$2:$N$354,3,FALSE))</f>
        <v>_</v>
      </c>
      <c r="BH248" s="44"/>
      <c r="BI248" s="45" t="s">
        <v>16</v>
      </c>
      <c r="BJ248" s="46" t="str">
        <f>IF(VLOOKUP(BI248,βοηθητικό!$J$2:$N$354,3,FALSE)="","",VLOOKUP(BI248,βοηθητικό!$J$2:$N$354,3,FALSE))</f>
        <v>_</v>
      </c>
      <c r="BK248" s="47"/>
      <c r="BL248" s="42" t="s">
        <v>16</v>
      </c>
      <c r="BM248" s="43" t="str">
        <f>IF(VLOOKUP(BL248,βοηθητικό!$J$2:$N$354,3,FALSE)="","",VLOOKUP(BL248,βοηθητικό!$J$2:$N$354,3,FALSE))</f>
        <v>_</v>
      </c>
      <c r="BN248" s="44"/>
      <c r="BO248" s="45" t="s">
        <v>16</v>
      </c>
      <c r="BP248" s="46" t="str">
        <f>IF(VLOOKUP(BO248,βοηθητικό!$J$2:$N$354,3,FALSE)="","",VLOOKUP(BO248,βοηθητικό!$J$2:$N$354,3,FALSE))</f>
        <v>_</v>
      </c>
      <c r="BQ248" s="47"/>
      <c r="BR248" s="42" t="s">
        <v>16</v>
      </c>
      <c r="BS248" s="43" t="str">
        <f>IF(VLOOKUP(BR248,βοηθητικό!$J$2:$N$354,3,FALSE)="","",VLOOKUP(BR248,βοηθητικό!$J$2:$N$354,3,FALSE))</f>
        <v>_</v>
      </c>
      <c r="BT248" s="44"/>
      <c r="BU248" s="45" t="s">
        <v>16</v>
      </c>
      <c r="BV248" s="46" t="str">
        <f>IF(VLOOKUP(BU248,βοηθητικό!$J$2:$N$354,3,FALSE)="","",VLOOKUP(BU248,βοηθητικό!$J$2:$N$354,3,FALSE))</f>
        <v>_</v>
      </c>
      <c r="BW248" s="47"/>
      <c r="BX248" s="42" t="s">
        <v>16</v>
      </c>
      <c r="BY248" s="43" t="str">
        <f>IF(VLOOKUP(BX248,βοηθητικό!$J$2:$N$354,3,FALSE)="","",VLOOKUP(BX248,βοηθητικό!$J$2:$N$354,3,FALSE))</f>
        <v>_</v>
      </c>
      <c r="BZ248" s="44"/>
      <c r="CA248" s="45" t="s">
        <v>16</v>
      </c>
      <c r="CB248" s="46" t="str">
        <f>IF(VLOOKUP(CA248,βοηθητικό!$J$2:$N$354,3,FALSE)="","",VLOOKUP(CA248,βοηθητικό!$J$2:$N$354,3,FALSE))</f>
        <v>_</v>
      </c>
      <c r="CC248" s="47"/>
      <c r="CD248" s="42" t="s">
        <v>16</v>
      </c>
      <c r="CE248" s="43" t="str">
        <f>IF(VLOOKUP(CD248,βοηθητικό!$J$2:$N$354,3,FALSE)="","",VLOOKUP(CD248,βοηθητικό!$J$2:$N$354,3,FALSE))</f>
        <v>_</v>
      </c>
      <c r="CF248" s="44"/>
      <c r="CG248" s="45" t="s">
        <v>16</v>
      </c>
      <c r="CH248" s="46" t="str">
        <f>IF(VLOOKUP(CG248,βοηθητικό!$J$2:$N$354,3,FALSE)="","",VLOOKUP(CG248,βοηθητικό!$J$2:$N$354,3,FALSE))</f>
        <v>_</v>
      </c>
      <c r="CI248" s="47"/>
      <c r="CJ248" s="42" t="s">
        <v>16</v>
      </c>
      <c r="CK248" s="43" t="str">
        <f>IF(VLOOKUP(CJ248,βοηθητικό!$J$2:$N$354,3,FALSE)="","",VLOOKUP(CJ248,βοηθητικό!$J$2:$N$354,3,FALSE))</f>
        <v>_</v>
      </c>
      <c r="CL248" s="44"/>
      <c r="CM248" s="45" t="s">
        <v>16</v>
      </c>
      <c r="CN248" s="46" t="str">
        <f>IF(VLOOKUP(CM248,βοηθητικό!$J$2:$N$354,3,FALSE)="","",VLOOKUP(CM248,βοηθητικό!$J$2:$N$354,3,FALSE))</f>
        <v>_</v>
      </c>
      <c r="CO248" s="47"/>
      <c r="CP248" s="42" t="s">
        <v>16</v>
      </c>
      <c r="CQ248" s="43" t="str">
        <f>IF(VLOOKUP(CP248,βοηθητικό!$J$2:$N$354,3,FALSE)="","",VLOOKUP(CP248,βοηθητικό!$J$2:$N$354,3,FALSE))</f>
        <v>_</v>
      </c>
      <c r="CR248" s="44"/>
      <c r="CS248" s="45" t="s">
        <v>16</v>
      </c>
      <c r="CT248" s="46" t="str">
        <f>IF(VLOOKUP(CS248,βοηθητικό!$J$2:$N$354,3,FALSE)="","",VLOOKUP(CS248,βοηθητικό!$J$2:$N$354,3,FALSE))</f>
        <v>_</v>
      </c>
      <c r="CU248" s="47"/>
    </row>
    <row r="249" spans="1:99" x14ac:dyDescent="0.25">
      <c r="A249" s="37">
        <f>--SUBTOTAL(3,$B$3:B248)</f>
        <v>198</v>
      </c>
      <c r="B249" s="2"/>
      <c r="C249" s="3"/>
      <c r="D249" s="55" t="s">
        <v>18</v>
      </c>
      <c r="E249" s="38" t="s">
        <v>16</v>
      </c>
      <c r="F249" s="38" t="s">
        <v>16</v>
      </c>
      <c r="G249" s="39" t="str">
        <f t="shared" si="11"/>
        <v>__</v>
      </c>
      <c r="H249" s="40" t="str">
        <f t="shared" si="12"/>
        <v>FALSE</v>
      </c>
      <c r="I249" s="41">
        <f t="shared" si="13"/>
        <v>0</v>
      </c>
      <c r="J249" s="4" t="s">
        <v>16</v>
      </c>
      <c r="K249" s="43" t="str">
        <f>IF(VLOOKUP(J249,βοηθητικό!$J$2:$N$354,3,FALSE)="","",VLOOKUP(J249,βοηθητικό!$J$2:$N$354,3,FALSE))</f>
        <v>_</v>
      </c>
      <c r="L249" s="44"/>
      <c r="M249" s="5" t="s">
        <v>16</v>
      </c>
      <c r="N249" s="46" t="str">
        <f>IF(VLOOKUP(M249,βοηθητικό!$J$2:$N$354,3,FALSE)="","",VLOOKUP(M249,βοηθητικό!$J$2:$N$354,3,FALSE))</f>
        <v>_</v>
      </c>
      <c r="O249" s="47"/>
      <c r="P249" s="4" t="s">
        <v>16</v>
      </c>
      <c r="Q249" s="43" t="str">
        <f>IF(VLOOKUP(P249,βοηθητικό!$J$2:$N$354,3,FALSE)="","",VLOOKUP(P249,βοηθητικό!$J$2:$N$354,3,FALSE))</f>
        <v>_</v>
      </c>
      <c r="R249" s="44"/>
      <c r="S249" s="5" t="s">
        <v>16</v>
      </c>
      <c r="T249" s="46" t="str">
        <f>IF(VLOOKUP(S249,βοηθητικό!$J$2:$N$354,3,FALSE)="","",VLOOKUP(S249,βοηθητικό!$J$2:$N$354,3,FALSE))</f>
        <v>_</v>
      </c>
      <c r="U249" s="47"/>
      <c r="V249" s="4" t="s">
        <v>16</v>
      </c>
      <c r="W249" s="43" t="str">
        <f>IF(VLOOKUP(V249,βοηθητικό!$J$2:$N$354,3,FALSE)="","",VLOOKUP(V249,βοηθητικό!$J$2:$N$354,3,FALSE))</f>
        <v>_</v>
      </c>
      <c r="X249" s="44"/>
      <c r="Y249" s="5" t="s">
        <v>16</v>
      </c>
      <c r="Z249" s="46" t="str">
        <f>IF(VLOOKUP(Y249,βοηθητικό!$J$2:$N$354,3,FALSE)="","",VLOOKUP(Y249,βοηθητικό!$J$2:$N$354,3,FALSE))</f>
        <v>_</v>
      </c>
      <c r="AA249" s="47"/>
      <c r="AB249" s="4" t="s">
        <v>16</v>
      </c>
      <c r="AC249" s="43" t="str">
        <f>IF(VLOOKUP(AB249,βοηθητικό!$J$2:$N$354,3,FALSE)="","",VLOOKUP(AB249,βοηθητικό!$J$2:$N$354,3,FALSE))</f>
        <v>_</v>
      </c>
      <c r="AD249" s="44"/>
      <c r="AE249" s="5" t="s">
        <v>16</v>
      </c>
      <c r="AF249" s="46" t="str">
        <f>IF(VLOOKUP(AE249,βοηθητικό!$J$2:$N$354,3,FALSE)="","",VLOOKUP(AE249,βοηθητικό!$J$2:$N$354,3,FALSE))</f>
        <v>_</v>
      </c>
      <c r="AG249" s="47"/>
      <c r="AH249" s="4" t="s">
        <v>16</v>
      </c>
      <c r="AI249" s="43" t="str">
        <f>IF(VLOOKUP(AH249,βοηθητικό!$J$2:$N$354,3,FALSE)="","",VLOOKUP(AH249,βοηθητικό!$J$2:$N$354,3,FALSE))</f>
        <v>_</v>
      </c>
      <c r="AJ249" s="44"/>
      <c r="AK249" s="5" t="s">
        <v>16</v>
      </c>
      <c r="AL249" s="46" t="str">
        <f>IF(VLOOKUP(AK249,βοηθητικό!$J$2:$N$354,3,FALSE)="","",VLOOKUP(AK249,βοηθητικό!$J$2:$N$354,3,FALSE))</f>
        <v>_</v>
      </c>
      <c r="AM249" s="47"/>
      <c r="AN249" s="4" t="s">
        <v>16</v>
      </c>
      <c r="AO249" s="43" t="str">
        <f>IF(VLOOKUP(AN249,βοηθητικό!$J$2:$N$354,3,FALSE)="","",VLOOKUP(AN249,βοηθητικό!$J$2:$N$354,3,FALSE))</f>
        <v>_</v>
      </c>
      <c r="AP249" s="44"/>
      <c r="AQ249" s="5" t="s">
        <v>16</v>
      </c>
      <c r="AR249" s="46" t="str">
        <f>IF(VLOOKUP(AQ249,βοηθητικό!$J$2:$N$354,3,FALSE)="","",VLOOKUP(AQ249,βοηθητικό!$J$2:$N$354,3,FALSE))</f>
        <v>_</v>
      </c>
      <c r="AS249" s="47"/>
      <c r="AT249" s="4" t="s">
        <v>16</v>
      </c>
      <c r="AU249" s="43" t="str">
        <f>IF(VLOOKUP(AT249,βοηθητικό!$J$2:$N$354,3,FALSE)="","",VLOOKUP(AT249,βοηθητικό!$J$2:$N$354,3,FALSE))</f>
        <v>_</v>
      </c>
      <c r="AV249" s="44"/>
      <c r="AW249" s="5" t="s">
        <v>16</v>
      </c>
      <c r="AX249" s="46" t="str">
        <f>IF(VLOOKUP(AW249,βοηθητικό!$J$2:$N$354,3,FALSE)="","",VLOOKUP(AW249,βοηθητικό!$J$2:$N$354,3,FALSE))</f>
        <v>_</v>
      </c>
      <c r="AY249" s="47"/>
      <c r="AZ249" s="4" t="s">
        <v>16</v>
      </c>
      <c r="BA249" s="43" t="str">
        <f>IF(VLOOKUP(AZ249,βοηθητικό!$J$2:$N$354,3,FALSE)="","",VLOOKUP(AZ249,βοηθητικό!$J$2:$N$354,3,FALSE))</f>
        <v>_</v>
      </c>
      <c r="BB249" s="44"/>
      <c r="BC249" s="45" t="s">
        <v>16</v>
      </c>
      <c r="BD249" s="46" t="str">
        <f>IF(VLOOKUP(BC249,βοηθητικό!$J$2:$N$354,3,FALSE)="","",VLOOKUP(BC249,βοηθητικό!$J$2:$N$354,3,FALSE))</f>
        <v>_</v>
      </c>
      <c r="BE249" s="47"/>
      <c r="BF249" s="42" t="s">
        <v>16</v>
      </c>
      <c r="BG249" s="43" t="str">
        <f>IF(VLOOKUP(BF249,βοηθητικό!$J$2:$N$354,3,FALSE)="","",VLOOKUP(BF249,βοηθητικό!$J$2:$N$354,3,FALSE))</f>
        <v>_</v>
      </c>
      <c r="BH249" s="44"/>
      <c r="BI249" s="45" t="s">
        <v>16</v>
      </c>
      <c r="BJ249" s="46" t="str">
        <f>IF(VLOOKUP(BI249,βοηθητικό!$J$2:$N$354,3,FALSE)="","",VLOOKUP(BI249,βοηθητικό!$J$2:$N$354,3,FALSE))</f>
        <v>_</v>
      </c>
      <c r="BK249" s="47"/>
      <c r="BL249" s="42" t="s">
        <v>16</v>
      </c>
      <c r="BM249" s="43" t="str">
        <f>IF(VLOOKUP(BL249,βοηθητικό!$J$2:$N$354,3,FALSE)="","",VLOOKUP(BL249,βοηθητικό!$J$2:$N$354,3,FALSE))</f>
        <v>_</v>
      </c>
      <c r="BN249" s="44"/>
      <c r="BO249" s="45" t="s">
        <v>16</v>
      </c>
      <c r="BP249" s="46" t="str">
        <f>IF(VLOOKUP(BO249,βοηθητικό!$J$2:$N$354,3,FALSE)="","",VLOOKUP(BO249,βοηθητικό!$J$2:$N$354,3,FALSE))</f>
        <v>_</v>
      </c>
      <c r="BQ249" s="47"/>
      <c r="BR249" s="42" t="s">
        <v>16</v>
      </c>
      <c r="BS249" s="43" t="str">
        <f>IF(VLOOKUP(BR249,βοηθητικό!$J$2:$N$354,3,FALSE)="","",VLOOKUP(BR249,βοηθητικό!$J$2:$N$354,3,FALSE))</f>
        <v>_</v>
      </c>
      <c r="BT249" s="44"/>
      <c r="BU249" s="45" t="s">
        <v>16</v>
      </c>
      <c r="BV249" s="46" t="str">
        <f>IF(VLOOKUP(BU249,βοηθητικό!$J$2:$N$354,3,FALSE)="","",VLOOKUP(BU249,βοηθητικό!$J$2:$N$354,3,FALSE))</f>
        <v>_</v>
      </c>
      <c r="BW249" s="47"/>
      <c r="BX249" s="42" t="s">
        <v>16</v>
      </c>
      <c r="BY249" s="43" t="str">
        <f>IF(VLOOKUP(BX249,βοηθητικό!$J$2:$N$354,3,FALSE)="","",VLOOKUP(BX249,βοηθητικό!$J$2:$N$354,3,FALSE))</f>
        <v>_</v>
      </c>
      <c r="BZ249" s="44"/>
      <c r="CA249" s="45" t="s">
        <v>16</v>
      </c>
      <c r="CB249" s="46" t="str">
        <f>IF(VLOOKUP(CA249,βοηθητικό!$J$2:$N$354,3,FALSE)="","",VLOOKUP(CA249,βοηθητικό!$J$2:$N$354,3,FALSE))</f>
        <v>_</v>
      </c>
      <c r="CC249" s="47"/>
      <c r="CD249" s="42" t="s">
        <v>16</v>
      </c>
      <c r="CE249" s="43" t="str">
        <f>IF(VLOOKUP(CD249,βοηθητικό!$J$2:$N$354,3,FALSE)="","",VLOOKUP(CD249,βοηθητικό!$J$2:$N$354,3,FALSE))</f>
        <v>_</v>
      </c>
      <c r="CF249" s="44"/>
      <c r="CG249" s="45" t="s">
        <v>16</v>
      </c>
      <c r="CH249" s="46" t="str">
        <f>IF(VLOOKUP(CG249,βοηθητικό!$J$2:$N$354,3,FALSE)="","",VLOOKUP(CG249,βοηθητικό!$J$2:$N$354,3,FALSE))</f>
        <v>_</v>
      </c>
      <c r="CI249" s="47"/>
      <c r="CJ249" s="42" t="s">
        <v>16</v>
      </c>
      <c r="CK249" s="43" t="str">
        <f>IF(VLOOKUP(CJ249,βοηθητικό!$J$2:$N$354,3,FALSE)="","",VLOOKUP(CJ249,βοηθητικό!$J$2:$N$354,3,FALSE))</f>
        <v>_</v>
      </c>
      <c r="CL249" s="44"/>
      <c r="CM249" s="45" t="s">
        <v>16</v>
      </c>
      <c r="CN249" s="46" t="str">
        <f>IF(VLOOKUP(CM249,βοηθητικό!$J$2:$N$354,3,FALSE)="","",VLOOKUP(CM249,βοηθητικό!$J$2:$N$354,3,FALSE))</f>
        <v>_</v>
      </c>
      <c r="CO249" s="47"/>
      <c r="CP249" s="42" t="s">
        <v>16</v>
      </c>
      <c r="CQ249" s="43" t="str">
        <f>IF(VLOOKUP(CP249,βοηθητικό!$J$2:$N$354,3,FALSE)="","",VLOOKUP(CP249,βοηθητικό!$J$2:$N$354,3,FALSE))</f>
        <v>_</v>
      </c>
      <c r="CR249" s="44"/>
      <c r="CS249" s="45" t="s">
        <v>16</v>
      </c>
      <c r="CT249" s="46" t="str">
        <f>IF(VLOOKUP(CS249,βοηθητικό!$J$2:$N$354,3,FALSE)="","",VLOOKUP(CS249,βοηθητικό!$J$2:$N$354,3,FALSE))</f>
        <v>_</v>
      </c>
      <c r="CU249" s="47"/>
    </row>
    <row r="250" spans="1:99" x14ac:dyDescent="0.25">
      <c r="A250" s="37">
        <f>--SUBTOTAL(3,$B$3:B249)</f>
        <v>198</v>
      </c>
      <c r="B250" s="2"/>
      <c r="C250" s="3"/>
      <c r="D250" s="55" t="s">
        <v>18</v>
      </c>
      <c r="E250" s="38" t="s">
        <v>16</v>
      </c>
      <c r="F250" s="38" t="s">
        <v>16</v>
      </c>
      <c r="G250" s="39" t="str">
        <f t="shared" si="11"/>
        <v>__</v>
      </c>
      <c r="H250" s="40" t="str">
        <f t="shared" si="12"/>
        <v>FALSE</v>
      </c>
      <c r="I250" s="41">
        <f t="shared" si="13"/>
        <v>0</v>
      </c>
      <c r="J250" s="4" t="s">
        <v>16</v>
      </c>
      <c r="K250" s="43" t="str">
        <f>IF(VLOOKUP(J250,βοηθητικό!$J$2:$N$354,3,FALSE)="","",VLOOKUP(J250,βοηθητικό!$J$2:$N$354,3,FALSE))</f>
        <v>_</v>
      </c>
      <c r="L250" s="44"/>
      <c r="M250" s="5" t="s">
        <v>16</v>
      </c>
      <c r="N250" s="46" t="str">
        <f>IF(VLOOKUP(M250,βοηθητικό!$J$2:$N$354,3,FALSE)="","",VLOOKUP(M250,βοηθητικό!$J$2:$N$354,3,FALSE))</f>
        <v>_</v>
      </c>
      <c r="O250" s="47"/>
      <c r="P250" s="4" t="s">
        <v>16</v>
      </c>
      <c r="Q250" s="43" t="str">
        <f>IF(VLOOKUP(P250,βοηθητικό!$J$2:$N$354,3,FALSE)="","",VLOOKUP(P250,βοηθητικό!$J$2:$N$354,3,FALSE))</f>
        <v>_</v>
      </c>
      <c r="R250" s="44"/>
      <c r="S250" s="5" t="s">
        <v>16</v>
      </c>
      <c r="T250" s="46" t="str">
        <f>IF(VLOOKUP(S250,βοηθητικό!$J$2:$N$354,3,FALSE)="","",VLOOKUP(S250,βοηθητικό!$J$2:$N$354,3,FALSE))</f>
        <v>_</v>
      </c>
      <c r="U250" s="47"/>
      <c r="V250" s="4" t="s">
        <v>16</v>
      </c>
      <c r="W250" s="43" t="str">
        <f>IF(VLOOKUP(V250,βοηθητικό!$J$2:$N$354,3,FALSE)="","",VLOOKUP(V250,βοηθητικό!$J$2:$N$354,3,FALSE))</f>
        <v>_</v>
      </c>
      <c r="X250" s="44"/>
      <c r="Y250" s="5" t="s">
        <v>16</v>
      </c>
      <c r="Z250" s="46" t="str">
        <f>IF(VLOOKUP(Y250,βοηθητικό!$J$2:$N$354,3,FALSE)="","",VLOOKUP(Y250,βοηθητικό!$J$2:$N$354,3,FALSE))</f>
        <v>_</v>
      </c>
      <c r="AA250" s="47"/>
      <c r="AB250" s="4" t="s">
        <v>16</v>
      </c>
      <c r="AC250" s="43" t="str">
        <f>IF(VLOOKUP(AB250,βοηθητικό!$J$2:$N$354,3,FALSE)="","",VLOOKUP(AB250,βοηθητικό!$J$2:$N$354,3,FALSE))</f>
        <v>_</v>
      </c>
      <c r="AD250" s="44"/>
      <c r="AE250" s="5" t="s">
        <v>16</v>
      </c>
      <c r="AF250" s="46" t="str">
        <f>IF(VLOOKUP(AE250,βοηθητικό!$J$2:$N$354,3,FALSE)="","",VLOOKUP(AE250,βοηθητικό!$J$2:$N$354,3,FALSE))</f>
        <v>_</v>
      </c>
      <c r="AG250" s="47"/>
      <c r="AH250" s="4" t="s">
        <v>16</v>
      </c>
      <c r="AI250" s="43" t="str">
        <f>IF(VLOOKUP(AH250,βοηθητικό!$J$2:$N$354,3,FALSE)="","",VLOOKUP(AH250,βοηθητικό!$J$2:$N$354,3,FALSE))</f>
        <v>_</v>
      </c>
      <c r="AJ250" s="44"/>
      <c r="AK250" s="5" t="s">
        <v>16</v>
      </c>
      <c r="AL250" s="46" t="str">
        <f>IF(VLOOKUP(AK250,βοηθητικό!$J$2:$N$354,3,FALSE)="","",VLOOKUP(AK250,βοηθητικό!$J$2:$N$354,3,FALSE))</f>
        <v>_</v>
      </c>
      <c r="AM250" s="47"/>
      <c r="AN250" s="4" t="s">
        <v>16</v>
      </c>
      <c r="AO250" s="43" t="str">
        <f>IF(VLOOKUP(AN250,βοηθητικό!$J$2:$N$354,3,FALSE)="","",VLOOKUP(AN250,βοηθητικό!$J$2:$N$354,3,FALSE))</f>
        <v>_</v>
      </c>
      <c r="AP250" s="44"/>
      <c r="AQ250" s="5" t="s">
        <v>16</v>
      </c>
      <c r="AR250" s="46" t="str">
        <f>IF(VLOOKUP(AQ250,βοηθητικό!$J$2:$N$354,3,FALSE)="","",VLOOKUP(AQ250,βοηθητικό!$J$2:$N$354,3,FALSE))</f>
        <v>_</v>
      </c>
      <c r="AS250" s="47"/>
      <c r="AT250" s="4" t="s">
        <v>16</v>
      </c>
      <c r="AU250" s="43" t="str">
        <f>IF(VLOOKUP(AT250,βοηθητικό!$J$2:$N$354,3,FALSE)="","",VLOOKUP(AT250,βοηθητικό!$J$2:$N$354,3,FALSE))</f>
        <v>_</v>
      </c>
      <c r="AV250" s="44"/>
      <c r="AW250" s="5" t="s">
        <v>16</v>
      </c>
      <c r="AX250" s="46" t="str">
        <f>IF(VLOOKUP(AW250,βοηθητικό!$J$2:$N$354,3,FALSE)="","",VLOOKUP(AW250,βοηθητικό!$J$2:$N$354,3,FALSE))</f>
        <v>_</v>
      </c>
      <c r="AY250" s="47"/>
      <c r="AZ250" s="4" t="s">
        <v>16</v>
      </c>
      <c r="BA250" s="43" t="str">
        <f>IF(VLOOKUP(AZ250,βοηθητικό!$J$2:$N$354,3,FALSE)="","",VLOOKUP(AZ250,βοηθητικό!$J$2:$N$354,3,FALSE))</f>
        <v>_</v>
      </c>
      <c r="BB250" s="44"/>
      <c r="BC250" s="45" t="s">
        <v>16</v>
      </c>
      <c r="BD250" s="46" t="str">
        <f>IF(VLOOKUP(BC250,βοηθητικό!$J$2:$N$354,3,FALSE)="","",VLOOKUP(BC250,βοηθητικό!$J$2:$N$354,3,FALSE))</f>
        <v>_</v>
      </c>
      <c r="BE250" s="47"/>
      <c r="BF250" s="42" t="s">
        <v>16</v>
      </c>
      <c r="BG250" s="43" t="str">
        <f>IF(VLOOKUP(BF250,βοηθητικό!$J$2:$N$354,3,FALSE)="","",VLOOKUP(BF250,βοηθητικό!$J$2:$N$354,3,FALSE))</f>
        <v>_</v>
      </c>
      <c r="BH250" s="44"/>
      <c r="BI250" s="45" t="s">
        <v>16</v>
      </c>
      <c r="BJ250" s="46" t="str">
        <f>IF(VLOOKUP(BI250,βοηθητικό!$J$2:$N$354,3,FALSE)="","",VLOOKUP(BI250,βοηθητικό!$J$2:$N$354,3,FALSE))</f>
        <v>_</v>
      </c>
      <c r="BK250" s="47"/>
      <c r="BL250" s="42" t="s">
        <v>16</v>
      </c>
      <c r="BM250" s="43" t="str">
        <f>IF(VLOOKUP(BL250,βοηθητικό!$J$2:$N$354,3,FALSE)="","",VLOOKUP(BL250,βοηθητικό!$J$2:$N$354,3,FALSE))</f>
        <v>_</v>
      </c>
      <c r="BN250" s="44"/>
      <c r="BO250" s="45" t="s">
        <v>16</v>
      </c>
      <c r="BP250" s="46" t="str">
        <f>IF(VLOOKUP(BO250,βοηθητικό!$J$2:$N$354,3,FALSE)="","",VLOOKUP(BO250,βοηθητικό!$J$2:$N$354,3,FALSE))</f>
        <v>_</v>
      </c>
      <c r="BQ250" s="47"/>
      <c r="BR250" s="42" t="s">
        <v>16</v>
      </c>
      <c r="BS250" s="43" t="str">
        <f>IF(VLOOKUP(BR250,βοηθητικό!$J$2:$N$354,3,FALSE)="","",VLOOKUP(BR250,βοηθητικό!$J$2:$N$354,3,FALSE))</f>
        <v>_</v>
      </c>
      <c r="BT250" s="44"/>
      <c r="BU250" s="45" t="s">
        <v>16</v>
      </c>
      <c r="BV250" s="46" t="str">
        <f>IF(VLOOKUP(BU250,βοηθητικό!$J$2:$N$354,3,FALSE)="","",VLOOKUP(BU250,βοηθητικό!$J$2:$N$354,3,FALSE))</f>
        <v>_</v>
      </c>
      <c r="BW250" s="47"/>
      <c r="BX250" s="42" t="s">
        <v>16</v>
      </c>
      <c r="BY250" s="43" t="str">
        <f>IF(VLOOKUP(BX250,βοηθητικό!$J$2:$N$354,3,FALSE)="","",VLOOKUP(BX250,βοηθητικό!$J$2:$N$354,3,FALSE))</f>
        <v>_</v>
      </c>
      <c r="BZ250" s="44"/>
      <c r="CA250" s="45" t="s">
        <v>16</v>
      </c>
      <c r="CB250" s="46" t="str">
        <f>IF(VLOOKUP(CA250,βοηθητικό!$J$2:$N$354,3,FALSE)="","",VLOOKUP(CA250,βοηθητικό!$J$2:$N$354,3,FALSE))</f>
        <v>_</v>
      </c>
      <c r="CC250" s="47"/>
      <c r="CD250" s="42" t="s">
        <v>16</v>
      </c>
      <c r="CE250" s="43" t="str">
        <f>IF(VLOOKUP(CD250,βοηθητικό!$J$2:$N$354,3,FALSE)="","",VLOOKUP(CD250,βοηθητικό!$J$2:$N$354,3,FALSE))</f>
        <v>_</v>
      </c>
      <c r="CF250" s="44"/>
      <c r="CG250" s="45" t="s">
        <v>16</v>
      </c>
      <c r="CH250" s="46" t="str">
        <f>IF(VLOOKUP(CG250,βοηθητικό!$J$2:$N$354,3,FALSE)="","",VLOOKUP(CG250,βοηθητικό!$J$2:$N$354,3,FALSE))</f>
        <v>_</v>
      </c>
      <c r="CI250" s="47"/>
      <c r="CJ250" s="42" t="s">
        <v>16</v>
      </c>
      <c r="CK250" s="43" t="str">
        <f>IF(VLOOKUP(CJ250,βοηθητικό!$J$2:$N$354,3,FALSE)="","",VLOOKUP(CJ250,βοηθητικό!$J$2:$N$354,3,FALSE))</f>
        <v>_</v>
      </c>
      <c r="CL250" s="44"/>
      <c r="CM250" s="45" t="s">
        <v>16</v>
      </c>
      <c r="CN250" s="46" t="str">
        <f>IF(VLOOKUP(CM250,βοηθητικό!$J$2:$N$354,3,FALSE)="","",VLOOKUP(CM250,βοηθητικό!$J$2:$N$354,3,FALSE))</f>
        <v>_</v>
      </c>
      <c r="CO250" s="47"/>
      <c r="CP250" s="42" t="s">
        <v>16</v>
      </c>
      <c r="CQ250" s="43" t="str">
        <f>IF(VLOOKUP(CP250,βοηθητικό!$J$2:$N$354,3,FALSE)="","",VLOOKUP(CP250,βοηθητικό!$J$2:$N$354,3,FALSE))</f>
        <v>_</v>
      </c>
      <c r="CR250" s="44"/>
      <c r="CS250" s="45" t="s">
        <v>16</v>
      </c>
      <c r="CT250" s="46" t="str">
        <f>IF(VLOOKUP(CS250,βοηθητικό!$J$2:$N$354,3,FALSE)="","",VLOOKUP(CS250,βοηθητικό!$J$2:$N$354,3,FALSE))</f>
        <v>_</v>
      </c>
      <c r="CU250" s="47"/>
    </row>
    <row r="251" spans="1:99" x14ac:dyDescent="0.25">
      <c r="A251" s="37">
        <f>--SUBTOTAL(3,$B$3:B250)</f>
        <v>198</v>
      </c>
      <c r="B251" s="2"/>
      <c r="C251" s="3"/>
      <c r="D251" s="55" t="s">
        <v>18</v>
      </c>
      <c r="E251" s="38" t="s">
        <v>16</v>
      </c>
      <c r="F251" s="38" t="s">
        <v>16</v>
      </c>
      <c r="G251" s="39" t="str">
        <f t="shared" si="11"/>
        <v>__</v>
      </c>
      <c r="H251" s="40" t="str">
        <f t="shared" si="12"/>
        <v>FALSE</v>
      </c>
      <c r="I251" s="41">
        <f t="shared" si="13"/>
        <v>0</v>
      </c>
      <c r="J251" s="4" t="s">
        <v>16</v>
      </c>
      <c r="K251" s="43" t="str">
        <f>IF(VLOOKUP(J251,βοηθητικό!$J$2:$N$354,3,FALSE)="","",VLOOKUP(J251,βοηθητικό!$J$2:$N$354,3,FALSE))</f>
        <v>_</v>
      </c>
      <c r="L251" s="44"/>
      <c r="M251" s="5" t="s">
        <v>16</v>
      </c>
      <c r="N251" s="46" t="str">
        <f>IF(VLOOKUP(M251,βοηθητικό!$J$2:$N$354,3,FALSE)="","",VLOOKUP(M251,βοηθητικό!$J$2:$N$354,3,FALSE))</f>
        <v>_</v>
      </c>
      <c r="O251" s="47"/>
      <c r="P251" s="4" t="s">
        <v>16</v>
      </c>
      <c r="Q251" s="43" t="str">
        <f>IF(VLOOKUP(P251,βοηθητικό!$J$2:$N$354,3,FALSE)="","",VLOOKUP(P251,βοηθητικό!$J$2:$N$354,3,FALSE))</f>
        <v>_</v>
      </c>
      <c r="R251" s="44"/>
      <c r="S251" s="5" t="s">
        <v>16</v>
      </c>
      <c r="T251" s="46" t="str">
        <f>IF(VLOOKUP(S251,βοηθητικό!$J$2:$N$354,3,FALSE)="","",VLOOKUP(S251,βοηθητικό!$J$2:$N$354,3,FALSE))</f>
        <v>_</v>
      </c>
      <c r="U251" s="47"/>
      <c r="V251" s="4" t="s">
        <v>16</v>
      </c>
      <c r="W251" s="43" t="str">
        <f>IF(VLOOKUP(V251,βοηθητικό!$J$2:$N$354,3,FALSE)="","",VLOOKUP(V251,βοηθητικό!$J$2:$N$354,3,FALSE))</f>
        <v>_</v>
      </c>
      <c r="X251" s="44"/>
      <c r="Y251" s="5" t="s">
        <v>16</v>
      </c>
      <c r="Z251" s="46" t="str">
        <f>IF(VLOOKUP(Y251,βοηθητικό!$J$2:$N$354,3,FALSE)="","",VLOOKUP(Y251,βοηθητικό!$J$2:$N$354,3,FALSE))</f>
        <v>_</v>
      </c>
      <c r="AA251" s="47"/>
      <c r="AB251" s="4" t="s">
        <v>16</v>
      </c>
      <c r="AC251" s="43" t="str">
        <f>IF(VLOOKUP(AB251,βοηθητικό!$J$2:$N$354,3,FALSE)="","",VLOOKUP(AB251,βοηθητικό!$J$2:$N$354,3,FALSE))</f>
        <v>_</v>
      </c>
      <c r="AD251" s="44"/>
      <c r="AE251" s="5" t="s">
        <v>16</v>
      </c>
      <c r="AF251" s="46" t="str">
        <f>IF(VLOOKUP(AE251,βοηθητικό!$J$2:$N$354,3,FALSE)="","",VLOOKUP(AE251,βοηθητικό!$J$2:$N$354,3,FALSE))</f>
        <v>_</v>
      </c>
      <c r="AG251" s="47"/>
      <c r="AH251" s="4" t="s">
        <v>16</v>
      </c>
      <c r="AI251" s="43" t="str">
        <f>IF(VLOOKUP(AH251,βοηθητικό!$J$2:$N$354,3,FALSE)="","",VLOOKUP(AH251,βοηθητικό!$J$2:$N$354,3,FALSE))</f>
        <v>_</v>
      </c>
      <c r="AJ251" s="44"/>
      <c r="AK251" s="5" t="s">
        <v>16</v>
      </c>
      <c r="AL251" s="46" t="str">
        <f>IF(VLOOKUP(AK251,βοηθητικό!$J$2:$N$354,3,FALSE)="","",VLOOKUP(AK251,βοηθητικό!$J$2:$N$354,3,FALSE))</f>
        <v>_</v>
      </c>
      <c r="AM251" s="47"/>
      <c r="AN251" s="4" t="s">
        <v>16</v>
      </c>
      <c r="AO251" s="43" t="str">
        <f>IF(VLOOKUP(AN251,βοηθητικό!$J$2:$N$354,3,FALSE)="","",VLOOKUP(AN251,βοηθητικό!$J$2:$N$354,3,FALSE))</f>
        <v>_</v>
      </c>
      <c r="AP251" s="44"/>
      <c r="AQ251" s="5" t="s">
        <v>16</v>
      </c>
      <c r="AR251" s="46" t="str">
        <f>IF(VLOOKUP(AQ251,βοηθητικό!$J$2:$N$354,3,FALSE)="","",VLOOKUP(AQ251,βοηθητικό!$J$2:$N$354,3,FALSE))</f>
        <v>_</v>
      </c>
      <c r="AS251" s="47"/>
      <c r="AT251" s="4" t="s">
        <v>16</v>
      </c>
      <c r="AU251" s="43" t="str">
        <f>IF(VLOOKUP(AT251,βοηθητικό!$J$2:$N$354,3,FALSE)="","",VLOOKUP(AT251,βοηθητικό!$J$2:$N$354,3,FALSE))</f>
        <v>_</v>
      </c>
      <c r="AV251" s="44"/>
      <c r="AW251" s="5" t="s">
        <v>16</v>
      </c>
      <c r="AX251" s="46" t="str">
        <f>IF(VLOOKUP(AW251,βοηθητικό!$J$2:$N$354,3,FALSE)="","",VLOOKUP(AW251,βοηθητικό!$J$2:$N$354,3,FALSE))</f>
        <v>_</v>
      </c>
      <c r="AY251" s="47"/>
      <c r="AZ251" s="4" t="s">
        <v>16</v>
      </c>
      <c r="BA251" s="43" t="str">
        <f>IF(VLOOKUP(AZ251,βοηθητικό!$J$2:$N$354,3,FALSE)="","",VLOOKUP(AZ251,βοηθητικό!$J$2:$N$354,3,FALSE))</f>
        <v>_</v>
      </c>
      <c r="BB251" s="44"/>
      <c r="BC251" s="45" t="s">
        <v>16</v>
      </c>
      <c r="BD251" s="46" t="str">
        <f>IF(VLOOKUP(BC251,βοηθητικό!$J$2:$N$354,3,FALSE)="","",VLOOKUP(BC251,βοηθητικό!$J$2:$N$354,3,FALSE))</f>
        <v>_</v>
      </c>
      <c r="BE251" s="47"/>
      <c r="BF251" s="42" t="s">
        <v>16</v>
      </c>
      <c r="BG251" s="43" t="str">
        <f>IF(VLOOKUP(BF251,βοηθητικό!$J$2:$N$354,3,FALSE)="","",VLOOKUP(BF251,βοηθητικό!$J$2:$N$354,3,FALSE))</f>
        <v>_</v>
      </c>
      <c r="BH251" s="44"/>
      <c r="BI251" s="45" t="s">
        <v>16</v>
      </c>
      <c r="BJ251" s="46" t="str">
        <f>IF(VLOOKUP(BI251,βοηθητικό!$J$2:$N$354,3,FALSE)="","",VLOOKUP(BI251,βοηθητικό!$J$2:$N$354,3,FALSE))</f>
        <v>_</v>
      </c>
      <c r="BK251" s="47"/>
      <c r="BL251" s="42" t="s">
        <v>16</v>
      </c>
      <c r="BM251" s="43" t="str">
        <f>IF(VLOOKUP(BL251,βοηθητικό!$J$2:$N$354,3,FALSE)="","",VLOOKUP(BL251,βοηθητικό!$J$2:$N$354,3,FALSE))</f>
        <v>_</v>
      </c>
      <c r="BN251" s="44"/>
      <c r="BO251" s="45" t="s">
        <v>16</v>
      </c>
      <c r="BP251" s="46" t="str">
        <f>IF(VLOOKUP(BO251,βοηθητικό!$J$2:$N$354,3,FALSE)="","",VLOOKUP(BO251,βοηθητικό!$J$2:$N$354,3,FALSE))</f>
        <v>_</v>
      </c>
      <c r="BQ251" s="47"/>
      <c r="BR251" s="42" t="s">
        <v>16</v>
      </c>
      <c r="BS251" s="43" t="str">
        <f>IF(VLOOKUP(BR251,βοηθητικό!$J$2:$N$354,3,FALSE)="","",VLOOKUP(BR251,βοηθητικό!$J$2:$N$354,3,FALSE))</f>
        <v>_</v>
      </c>
      <c r="BT251" s="44"/>
      <c r="BU251" s="45" t="s">
        <v>16</v>
      </c>
      <c r="BV251" s="46" t="str">
        <f>IF(VLOOKUP(BU251,βοηθητικό!$J$2:$N$354,3,FALSE)="","",VLOOKUP(BU251,βοηθητικό!$J$2:$N$354,3,FALSE))</f>
        <v>_</v>
      </c>
      <c r="BW251" s="47"/>
      <c r="BX251" s="42" t="s">
        <v>16</v>
      </c>
      <c r="BY251" s="43" t="str">
        <f>IF(VLOOKUP(BX251,βοηθητικό!$J$2:$N$354,3,FALSE)="","",VLOOKUP(BX251,βοηθητικό!$J$2:$N$354,3,FALSE))</f>
        <v>_</v>
      </c>
      <c r="BZ251" s="44"/>
      <c r="CA251" s="45" t="s">
        <v>16</v>
      </c>
      <c r="CB251" s="46" t="str">
        <f>IF(VLOOKUP(CA251,βοηθητικό!$J$2:$N$354,3,FALSE)="","",VLOOKUP(CA251,βοηθητικό!$J$2:$N$354,3,FALSE))</f>
        <v>_</v>
      </c>
      <c r="CC251" s="47"/>
      <c r="CD251" s="42" t="s">
        <v>16</v>
      </c>
      <c r="CE251" s="43" t="str">
        <f>IF(VLOOKUP(CD251,βοηθητικό!$J$2:$N$354,3,FALSE)="","",VLOOKUP(CD251,βοηθητικό!$J$2:$N$354,3,FALSE))</f>
        <v>_</v>
      </c>
      <c r="CF251" s="44"/>
      <c r="CG251" s="45" t="s">
        <v>16</v>
      </c>
      <c r="CH251" s="46" t="str">
        <f>IF(VLOOKUP(CG251,βοηθητικό!$J$2:$N$354,3,FALSE)="","",VLOOKUP(CG251,βοηθητικό!$J$2:$N$354,3,FALSE))</f>
        <v>_</v>
      </c>
      <c r="CI251" s="47"/>
      <c r="CJ251" s="42" t="s">
        <v>16</v>
      </c>
      <c r="CK251" s="43" t="str">
        <f>IF(VLOOKUP(CJ251,βοηθητικό!$J$2:$N$354,3,FALSE)="","",VLOOKUP(CJ251,βοηθητικό!$J$2:$N$354,3,FALSE))</f>
        <v>_</v>
      </c>
      <c r="CL251" s="44"/>
      <c r="CM251" s="45" t="s">
        <v>16</v>
      </c>
      <c r="CN251" s="46" t="str">
        <f>IF(VLOOKUP(CM251,βοηθητικό!$J$2:$N$354,3,FALSE)="","",VLOOKUP(CM251,βοηθητικό!$J$2:$N$354,3,FALSE))</f>
        <v>_</v>
      </c>
      <c r="CO251" s="47"/>
      <c r="CP251" s="42" t="s">
        <v>16</v>
      </c>
      <c r="CQ251" s="43" t="str">
        <f>IF(VLOOKUP(CP251,βοηθητικό!$J$2:$N$354,3,FALSE)="","",VLOOKUP(CP251,βοηθητικό!$J$2:$N$354,3,FALSE))</f>
        <v>_</v>
      </c>
      <c r="CR251" s="44"/>
      <c r="CS251" s="45" t="s">
        <v>16</v>
      </c>
      <c r="CT251" s="46" t="str">
        <f>IF(VLOOKUP(CS251,βοηθητικό!$J$2:$N$354,3,FALSE)="","",VLOOKUP(CS251,βοηθητικό!$J$2:$N$354,3,FALSE))</f>
        <v>_</v>
      </c>
      <c r="CU251" s="47"/>
    </row>
    <row r="252" spans="1:99" x14ac:dyDescent="0.25">
      <c r="A252" s="37">
        <f>--SUBTOTAL(3,$B$3:B251)</f>
        <v>198</v>
      </c>
      <c r="B252" s="2"/>
      <c r="C252" s="3"/>
      <c r="D252" s="55" t="s">
        <v>18</v>
      </c>
      <c r="E252" s="38" t="s">
        <v>16</v>
      </c>
      <c r="F252" s="38" t="s">
        <v>16</v>
      </c>
      <c r="G252" s="39" t="str">
        <f t="shared" si="11"/>
        <v>__</v>
      </c>
      <c r="H252" s="40" t="str">
        <f t="shared" si="12"/>
        <v>FALSE</v>
      </c>
      <c r="I252" s="41">
        <f t="shared" si="13"/>
        <v>0</v>
      </c>
      <c r="J252" s="4" t="s">
        <v>16</v>
      </c>
      <c r="K252" s="43" t="str">
        <f>IF(VLOOKUP(J252,βοηθητικό!$J$2:$N$354,3,FALSE)="","",VLOOKUP(J252,βοηθητικό!$J$2:$N$354,3,FALSE))</f>
        <v>_</v>
      </c>
      <c r="L252" s="44"/>
      <c r="M252" s="5" t="s">
        <v>16</v>
      </c>
      <c r="N252" s="46" t="str">
        <f>IF(VLOOKUP(M252,βοηθητικό!$J$2:$N$354,3,FALSE)="","",VLOOKUP(M252,βοηθητικό!$J$2:$N$354,3,FALSE))</f>
        <v>_</v>
      </c>
      <c r="O252" s="47"/>
      <c r="P252" s="4" t="s">
        <v>16</v>
      </c>
      <c r="Q252" s="43" t="str">
        <f>IF(VLOOKUP(P252,βοηθητικό!$J$2:$N$354,3,FALSE)="","",VLOOKUP(P252,βοηθητικό!$J$2:$N$354,3,FALSE))</f>
        <v>_</v>
      </c>
      <c r="R252" s="44"/>
      <c r="S252" s="5" t="s">
        <v>16</v>
      </c>
      <c r="T252" s="46" t="str">
        <f>IF(VLOOKUP(S252,βοηθητικό!$J$2:$N$354,3,FALSE)="","",VLOOKUP(S252,βοηθητικό!$J$2:$N$354,3,FALSE))</f>
        <v>_</v>
      </c>
      <c r="U252" s="47"/>
      <c r="V252" s="4" t="s">
        <v>16</v>
      </c>
      <c r="W252" s="43" t="str">
        <f>IF(VLOOKUP(V252,βοηθητικό!$J$2:$N$354,3,FALSE)="","",VLOOKUP(V252,βοηθητικό!$J$2:$N$354,3,FALSE))</f>
        <v>_</v>
      </c>
      <c r="X252" s="44"/>
      <c r="Y252" s="5" t="s">
        <v>16</v>
      </c>
      <c r="Z252" s="46" t="str">
        <f>IF(VLOOKUP(Y252,βοηθητικό!$J$2:$N$354,3,FALSE)="","",VLOOKUP(Y252,βοηθητικό!$J$2:$N$354,3,FALSE))</f>
        <v>_</v>
      </c>
      <c r="AA252" s="47"/>
      <c r="AB252" s="4" t="s">
        <v>16</v>
      </c>
      <c r="AC252" s="43" t="str">
        <f>IF(VLOOKUP(AB252,βοηθητικό!$J$2:$N$354,3,FALSE)="","",VLOOKUP(AB252,βοηθητικό!$J$2:$N$354,3,FALSE))</f>
        <v>_</v>
      </c>
      <c r="AD252" s="44"/>
      <c r="AE252" s="5" t="s">
        <v>16</v>
      </c>
      <c r="AF252" s="46" t="str">
        <f>IF(VLOOKUP(AE252,βοηθητικό!$J$2:$N$354,3,FALSE)="","",VLOOKUP(AE252,βοηθητικό!$J$2:$N$354,3,FALSE))</f>
        <v>_</v>
      </c>
      <c r="AG252" s="47"/>
      <c r="AH252" s="4" t="s">
        <v>16</v>
      </c>
      <c r="AI252" s="43" t="str">
        <f>IF(VLOOKUP(AH252,βοηθητικό!$J$2:$N$354,3,FALSE)="","",VLOOKUP(AH252,βοηθητικό!$J$2:$N$354,3,FALSE))</f>
        <v>_</v>
      </c>
      <c r="AJ252" s="44"/>
      <c r="AK252" s="5" t="s">
        <v>16</v>
      </c>
      <c r="AL252" s="46" t="str">
        <f>IF(VLOOKUP(AK252,βοηθητικό!$J$2:$N$354,3,FALSE)="","",VLOOKUP(AK252,βοηθητικό!$J$2:$N$354,3,FALSE))</f>
        <v>_</v>
      </c>
      <c r="AM252" s="47"/>
      <c r="AN252" s="4" t="s">
        <v>16</v>
      </c>
      <c r="AO252" s="43" t="str">
        <f>IF(VLOOKUP(AN252,βοηθητικό!$J$2:$N$354,3,FALSE)="","",VLOOKUP(AN252,βοηθητικό!$J$2:$N$354,3,FALSE))</f>
        <v>_</v>
      </c>
      <c r="AP252" s="44"/>
      <c r="AQ252" s="5" t="s">
        <v>16</v>
      </c>
      <c r="AR252" s="46" t="str">
        <f>IF(VLOOKUP(AQ252,βοηθητικό!$J$2:$N$354,3,FALSE)="","",VLOOKUP(AQ252,βοηθητικό!$J$2:$N$354,3,FALSE))</f>
        <v>_</v>
      </c>
      <c r="AS252" s="47"/>
      <c r="AT252" s="4" t="s">
        <v>16</v>
      </c>
      <c r="AU252" s="43" t="str">
        <f>IF(VLOOKUP(AT252,βοηθητικό!$J$2:$N$354,3,FALSE)="","",VLOOKUP(AT252,βοηθητικό!$J$2:$N$354,3,FALSE))</f>
        <v>_</v>
      </c>
      <c r="AV252" s="44"/>
      <c r="AW252" s="5" t="s">
        <v>16</v>
      </c>
      <c r="AX252" s="46" t="str">
        <f>IF(VLOOKUP(AW252,βοηθητικό!$J$2:$N$354,3,FALSE)="","",VLOOKUP(AW252,βοηθητικό!$J$2:$N$354,3,FALSE))</f>
        <v>_</v>
      </c>
      <c r="AY252" s="47"/>
      <c r="AZ252" s="4" t="s">
        <v>16</v>
      </c>
      <c r="BA252" s="43" t="str">
        <f>IF(VLOOKUP(AZ252,βοηθητικό!$J$2:$N$354,3,FALSE)="","",VLOOKUP(AZ252,βοηθητικό!$J$2:$N$354,3,FALSE))</f>
        <v>_</v>
      </c>
      <c r="BB252" s="44"/>
      <c r="BC252" s="45" t="s">
        <v>16</v>
      </c>
      <c r="BD252" s="46" t="str">
        <f>IF(VLOOKUP(BC252,βοηθητικό!$J$2:$N$354,3,FALSE)="","",VLOOKUP(BC252,βοηθητικό!$J$2:$N$354,3,FALSE))</f>
        <v>_</v>
      </c>
      <c r="BE252" s="47"/>
      <c r="BF252" s="42" t="s">
        <v>16</v>
      </c>
      <c r="BG252" s="43" t="str">
        <f>IF(VLOOKUP(BF252,βοηθητικό!$J$2:$N$354,3,FALSE)="","",VLOOKUP(BF252,βοηθητικό!$J$2:$N$354,3,FALSE))</f>
        <v>_</v>
      </c>
      <c r="BH252" s="44"/>
      <c r="BI252" s="45" t="s">
        <v>16</v>
      </c>
      <c r="BJ252" s="46" t="str">
        <f>IF(VLOOKUP(BI252,βοηθητικό!$J$2:$N$354,3,FALSE)="","",VLOOKUP(BI252,βοηθητικό!$J$2:$N$354,3,FALSE))</f>
        <v>_</v>
      </c>
      <c r="BK252" s="47"/>
      <c r="BL252" s="42" t="s">
        <v>16</v>
      </c>
      <c r="BM252" s="43" t="str">
        <f>IF(VLOOKUP(BL252,βοηθητικό!$J$2:$N$354,3,FALSE)="","",VLOOKUP(BL252,βοηθητικό!$J$2:$N$354,3,FALSE))</f>
        <v>_</v>
      </c>
      <c r="BN252" s="44"/>
      <c r="BO252" s="45" t="s">
        <v>16</v>
      </c>
      <c r="BP252" s="46" t="str">
        <f>IF(VLOOKUP(BO252,βοηθητικό!$J$2:$N$354,3,FALSE)="","",VLOOKUP(BO252,βοηθητικό!$J$2:$N$354,3,FALSE))</f>
        <v>_</v>
      </c>
      <c r="BQ252" s="47"/>
      <c r="BR252" s="42" t="s">
        <v>16</v>
      </c>
      <c r="BS252" s="43" t="str">
        <f>IF(VLOOKUP(BR252,βοηθητικό!$J$2:$N$354,3,FALSE)="","",VLOOKUP(BR252,βοηθητικό!$J$2:$N$354,3,FALSE))</f>
        <v>_</v>
      </c>
      <c r="BT252" s="44"/>
      <c r="BU252" s="45" t="s">
        <v>16</v>
      </c>
      <c r="BV252" s="46" t="str">
        <f>IF(VLOOKUP(BU252,βοηθητικό!$J$2:$N$354,3,FALSE)="","",VLOOKUP(BU252,βοηθητικό!$J$2:$N$354,3,FALSE))</f>
        <v>_</v>
      </c>
      <c r="BW252" s="47"/>
      <c r="BX252" s="42" t="s">
        <v>16</v>
      </c>
      <c r="BY252" s="43" t="str">
        <f>IF(VLOOKUP(BX252,βοηθητικό!$J$2:$N$354,3,FALSE)="","",VLOOKUP(BX252,βοηθητικό!$J$2:$N$354,3,FALSE))</f>
        <v>_</v>
      </c>
      <c r="BZ252" s="44"/>
      <c r="CA252" s="45" t="s">
        <v>16</v>
      </c>
      <c r="CB252" s="46" t="str">
        <f>IF(VLOOKUP(CA252,βοηθητικό!$J$2:$N$354,3,FALSE)="","",VLOOKUP(CA252,βοηθητικό!$J$2:$N$354,3,FALSE))</f>
        <v>_</v>
      </c>
      <c r="CC252" s="47"/>
      <c r="CD252" s="42" t="s">
        <v>16</v>
      </c>
      <c r="CE252" s="43" t="str">
        <f>IF(VLOOKUP(CD252,βοηθητικό!$J$2:$N$354,3,FALSE)="","",VLOOKUP(CD252,βοηθητικό!$J$2:$N$354,3,FALSE))</f>
        <v>_</v>
      </c>
      <c r="CF252" s="44"/>
      <c r="CG252" s="45" t="s">
        <v>16</v>
      </c>
      <c r="CH252" s="46" t="str">
        <f>IF(VLOOKUP(CG252,βοηθητικό!$J$2:$N$354,3,FALSE)="","",VLOOKUP(CG252,βοηθητικό!$J$2:$N$354,3,FALSE))</f>
        <v>_</v>
      </c>
      <c r="CI252" s="47"/>
      <c r="CJ252" s="42" t="s">
        <v>16</v>
      </c>
      <c r="CK252" s="43" t="str">
        <f>IF(VLOOKUP(CJ252,βοηθητικό!$J$2:$N$354,3,FALSE)="","",VLOOKUP(CJ252,βοηθητικό!$J$2:$N$354,3,FALSE))</f>
        <v>_</v>
      </c>
      <c r="CL252" s="44"/>
      <c r="CM252" s="45" t="s">
        <v>16</v>
      </c>
      <c r="CN252" s="46" t="str">
        <f>IF(VLOOKUP(CM252,βοηθητικό!$J$2:$N$354,3,FALSE)="","",VLOOKUP(CM252,βοηθητικό!$J$2:$N$354,3,FALSE))</f>
        <v>_</v>
      </c>
      <c r="CO252" s="47"/>
      <c r="CP252" s="42" t="s">
        <v>16</v>
      </c>
      <c r="CQ252" s="43" t="str">
        <f>IF(VLOOKUP(CP252,βοηθητικό!$J$2:$N$354,3,FALSE)="","",VLOOKUP(CP252,βοηθητικό!$J$2:$N$354,3,FALSE))</f>
        <v>_</v>
      </c>
      <c r="CR252" s="44"/>
      <c r="CS252" s="45" t="s">
        <v>16</v>
      </c>
      <c r="CT252" s="46" t="str">
        <f>IF(VLOOKUP(CS252,βοηθητικό!$J$2:$N$354,3,FALSE)="","",VLOOKUP(CS252,βοηθητικό!$J$2:$N$354,3,FALSE))</f>
        <v>_</v>
      </c>
      <c r="CU252" s="47"/>
    </row>
    <row r="253" spans="1:99" x14ac:dyDescent="0.25">
      <c r="A253" s="37">
        <f>--SUBTOTAL(3,$B$3:B252)</f>
        <v>198</v>
      </c>
      <c r="B253" s="2"/>
      <c r="C253" s="3"/>
      <c r="D253" s="55" t="s">
        <v>18</v>
      </c>
      <c r="E253" s="38" t="s">
        <v>16</v>
      </c>
      <c r="F253" s="38" t="s">
        <v>16</v>
      </c>
      <c r="G253" s="39" t="str">
        <f t="shared" si="11"/>
        <v>__</v>
      </c>
      <c r="H253" s="40" t="str">
        <f t="shared" si="12"/>
        <v>FALSE</v>
      </c>
      <c r="I253" s="41">
        <f t="shared" si="13"/>
        <v>0</v>
      </c>
      <c r="J253" s="4" t="s">
        <v>16</v>
      </c>
      <c r="K253" s="43" t="str">
        <f>IF(VLOOKUP(J253,βοηθητικό!$J$2:$N$354,3,FALSE)="","",VLOOKUP(J253,βοηθητικό!$J$2:$N$354,3,FALSE))</f>
        <v>_</v>
      </c>
      <c r="L253" s="44"/>
      <c r="M253" s="5" t="s">
        <v>16</v>
      </c>
      <c r="N253" s="46" t="str">
        <f>IF(VLOOKUP(M253,βοηθητικό!$J$2:$N$354,3,FALSE)="","",VLOOKUP(M253,βοηθητικό!$J$2:$N$354,3,FALSE))</f>
        <v>_</v>
      </c>
      <c r="O253" s="47"/>
      <c r="P253" s="4" t="s">
        <v>16</v>
      </c>
      <c r="Q253" s="43" t="str">
        <f>IF(VLOOKUP(P253,βοηθητικό!$J$2:$N$354,3,FALSE)="","",VLOOKUP(P253,βοηθητικό!$J$2:$N$354,3,FALSE))</f>
        <v>_</v>
      </c>
      <c r="R253" s="44"/>
      <c r="S253" s="5" t="s">
        <v>16</v>
      </c>
      <c r="T253" s="46" t="str">
        <f>IF(VLOOKUP(S253,βοηθητικό!$J$2:$N$354,3,FALSE)="","",VLOOKUP(S253,βοηθητικό!$J$2:$N$354,3,FALSE))</f>
        <v>_</v>
      </c>
      <c r="U253" s="47"/>
      <c r="V253" s="4" t="s">
        <v>16</v>
      </c>
      <c r="W253" s="43" t="str">
        <f>IF(VLOOKUP(V253,βοηθητικό!$J$2:$N$354,3,FALSE)="","",VLOOKUP(V253,βοηθητικό!$J$2:$N$354,3,FALSE))</f>
        <v>_</v>
      </c>
      <c r="X253" s="44"/>
      <c r="Y253" s="5" t="s">
        <v>16</v>
      </c>
      <c r="Z253" s="46" t="str">
        <f>IF(VLOOKUP(Y253,βοηθητικό!$J$2:$N$354,3,FALSE)="","",VLOOKUP(Y253,βοηθητικό!$J$2:$N$354,3,FALSE))</f>
        <v>_</v>
      </c>
      <c r="AA253" s="47"/>
      <c r="AB253" s="4" t="s">
        <v>16</v>
      </c>
      <c r="AC253" s="43" t="str">
        <f>IF(VLOOKUP(AB253,βοηθητικό!$J$2:$N$354,3,FALSE)="","",VLOOKUP(AB253,βοηθητικό!$J$2:$N$354,3,FALSE))</f>
        <v>_</v>
      </c>
      <c r="AD253" s="44"/>
      <c r="AE253" s="5" t="s">
        <v>16</v>
      </c>
      <c r="AF253" s="46" t="str">
        <f>IF(VLOOKUP(AE253,βοηθητικό!$J$2:$N$354,3,FALSE)="","",VLOOKUP(AE253,βοηθητικό!$J$2:$N$354,3,FALSE))</f>
        <v>_</v>
      </c>
      <c r="AG253" s="47"/>
      <c r="AH253" s="4" t="s">
        <v>16</v>
      </c>
      <c r="AI253" s="43" t="str">
        <f>IF(VLOOKUP(AH253,βοηθητικό!$J$2:$N$354,3,FALSE)="","",VLOOKUP(AH253,βοηθητικό!$J$2:$N$354,3,FALSE))</f>
        <v>_</v>
      </c>
      <c r="AJ253" s="44"/>
      <c r="AK253" s="5" t="s">
        <v>16</v>
      </c>
      <c r="AL253" s="46" t="str">
        <f>IF(VLOOKUP(AK253,βοηθητικό!$J$2:$N$354,3,FALSE)="","",VLOOKUP(AK253,βοηθητικό!$J$2:$N$354,3,FALSE))</f>
        <v>_</v>
      </c>
      <c r="AM253" s="47"/>
      <c r="AN253" s="4" t="s">
        <v>16</v>
      </c>
      <c r="AO253" s="43" t="str">
        <f>IF(VLOOKUP(AN253,βοηθητικό!$J$2:$N$354,3,FALSE)="","",VLOOKUP(AN253,βοηθητικό!$J$2:$N$354,3,FALSE))</f>
        <v>_</v>
      </c>
      <c r="AP253" s="44"/>
      <c r="AQ253" s="5" t="s">
        <v>16</v>
      </c>
      <c r="AR253" s="46" t="str">
        <f>IF(VLOOKUP(AQ253,βοηθητικό!$J$2:$N$354,3,FALSE)="","",VLOOKUP(AQ253,βοηθητικό!$J$2:$N$354,3,FALSE))</f>
        <v>_</v>
      </c>
      <c r="AS253" s="47"/>
      <c r="AT253" s="4" t="s">
        <v>16</v>
      </c>
      <c r="AU253" s="43" t="str">
        <f>IF(VLOOKUP(AT253,βοηθητικό!$J$2:$N$354,3,FALSE)="","",VLOOKUP(AT253,βοηθητικό!$J$2:$N$354,3,FALSE))</f>
        <v>_</v>
      </c>
      <c r="AV253" s="44"/>
      <c r="AW253" s="5" t="s">
        <v>16</v>
      </c>
      <c r="AX253" s="46" t="str">
        <f>IF(VLOOKUP(AW253,βοηθητικό!$J$2:$N$354,3,FALSE)="","",VLOOKUP(AW253,βοηθητικό!$J$2:$N$354,3,FALSE))</f>
        <v>_</v>
      </c>
      <c r="AY253" s="47"/>
      <c r="AZ253" s="4" t="s">
        <v>16</v>
      </c>
      <c r="BA253" s="43" t="str">
        <f>IF(VLOOKUP(AZ253,βοηθητικό!$J$2:$N$354,3,FALSE)="","",VLOOKUP(AZ253,βοηθητικό!$J$2:$N$354,3,FALSE))</f>
        <v>_</v>
      </c>
      <c r="BB253" s="44"/>
      <c r="BC253" s="45" t="s">
        <v>16</v>
      </c>
      <c r="BD253" s="46" t="str">
        <f>IF(VLOOKUP(BC253,βοηθητικό!$J$2:$N$354,3,FALSE)="","",VLOOKUP(BC253,βοηθητικό!$J$2:$N$354,3,FALSE))</f>
        <v>_</v>
      </c>
      <c r="BE253" s="47"/>
      <c r="BF253" s="42" t="s">
        <v>16</v>
      </c>
      <c r="BG253" s="43" t="str">
        <f>IF(VLOOKUP(BF253,βοηθητικό!$J$2:$N$354,3,FALSE)="","",VLOOKUP(BF253,βοηθητικό!$J$2:$N$354,3,FALSE))</f>
        <v>_</v>
      </c>
      <c r="BH253" s="44"/>
      <c r="BI253" s="45" t="s">
        <v>16</v>
      </c>
      <c r="BJ253" s="46" t="str">
        <f>IF(VLOOKUP(BI253,βοηθητικό!$J$2:$N$354,3,FALSE)="","",VLOOKUP(BI253,βοηθητικό!$J$2:$N$354,3,FALSE))</f>
        <v>_</v>
      </c>
      <c r="BK253" s="47"/>
      <c r="BL253" s="42" t="s">
        <v>16</v>
      </c>
      <c r="BM253" s="43" t="str">
        <f>IF(VLOOKUP(BL253,βοηθητικό!$J$2:$N$354,3,FALSE)="","",VLOOKUP(BL253,βοηθητικό!$J$2:$N$354,3,FALSE))</f>
        <v>_</v>
      </c>
      <c r="BN253" s="44"/>
      <c r="BO253" s="45" t="s">
        <v>16</v>
      </c>
      <c r="BP253" s="46" t="str">
        <f>IF(VLOOKUP(BO253,βοηθητικό!$J$2:$N$354,3,FALSE)="","",VLOOKUP(BO253,βοηθητικό!$J$2:$N$354,3,FALSE))</f>
        <v>_</v>
      </c>
      <c r="BQ253" s="47"/>
      <c r="BR253" s="42" t="s">
        <v>16</v>
      </c>
      <c r="BS253" s="43" t="str">
        <f>IF(VLOOKUP(BR253,βοηθητικό!$J$2:$N$354,3,FALSE)="","",VLOOKUP(BR253,βοηθητικό!$J$2:$N$354,3,FALSE))</f>
        <v>_</v>
      </c>
      <c r="BT253" s="44"/>
      <c r="BU253" s="45" t="s">
        <v>16</v>
      </c>
      <c r="BV253" s="46" t="str">
        <f>IF(VLOOKUP(BU253,βοηθητικό!$J$2:$N$354,3,FALSE)="","",VLOOKUP(BU253,βοηθητικό!$J$2:$N$354,3,FALSE))</f>
        <v>_</v>
      </c>
      <c r="BW253" s="47"/>
      <c r="BX253" s="42" t="s">
        <v>16</v>
      </c>
      <c r="BY253" s="43" t="str">
        <f>IF(VLOOKUP(BX253,βοηθητικό!$J$2:$N$354,3,FALSE)="","",VLOOKUP(BX253,βοηθητικό!$J$2:$N$354,3,FALSE))</f>
        <v>_</v>
      </c>
      <c r="BZ253" s="44"/>
      <c r="CA253" s="45" t="s">
        <v>16</v>
      </c>
      <c r="CB253" s="46" t="str">
        <f>IF(VLOOKUP(CA253,βοηθητικό!$J$2:$N$354,3,FALSE)="","",VLOOKUP(CA253,βοηθητικό!$J$2:$N$354,3,FALSE))</f>
        <v>_</v>
      </c>
      <c r="CC253" s="47"/>
      <c r="CD253" s="42" t="s">
        <v>16</v>
      </c>
      <c r="CE253" s="43" t="str">
        <f>IF(VLOOKUP(CD253,βοηθητικό!$J$2:$N$354,3,FALSE)="","",VLOOKUP(CD253,βοηθητικό!$J$2:$N$354,3,FALSE))</f>
        <v>_</v>
      </c>
      <c r="CF253" s="44"/>
      <c r="CG253" s="45" t="s">
        <v>16</v>
      </c>
      <c r="CH253" s="46" t="str">
        <f>IF(VLOOKUP(CG253,βοηθητικό!$J$2:$N$354,3,FALSE)="","",VLOOKUP(CG253,βοηθητικό!$J$2:$N$354,3,FALSE))</f>
        <v>_</v>
      </c>
      <c r="CI253" s="47"/>
      <c r="CJ253" s="42" t="s">
        <v>16</v>
      </c>
      <c r="CK253" s="43" t="str">
        <f>IF(VLOOKUP(CJ253,βοηθητικό!$J$2:$N$354,3,FALSE)="","",VLOOKUP(CJ253,βοηθητικό!$J$2:$N$354,3,FALSE))</f>
        <v>_</v>
      </c>
      <c r="CL253" s="44"/>
      <c r="CM253" s="45" t="s">
        <v>16</v>
      </c>
      <c r="CN253" s="46" t="str">
        <f>IF(VLOOKUP(CM253,βοηθητικό!$J$2:$N$354,3,FALSE)="","",VLOOKUP(CM253,βοηθητικό!$J$2:$N$354,3,FALSE))</f>
        <v>_</v>
      </c>
      <c r="CO253" s="47"/>
      <c r="CP253" s="42" t="s">
        <v>16</v>
      </c>
      <c r="CQ253" s="43" t="str">
        <f>IF(VLOOKUP(CP253,βοηθητικό!$J$2:$N$354,3,FALSE)="","",VLOOKUP(CP253,βοηθητικό!$J$2:$N$354,3,FALSE))</f>
        <v>_</v>
      </c>
      <c r="CR253" s="44"/>
      <c r="CS253" s="45" t="s">
        <v>16</v>
      </c>
      <c r="CT253" s="46" t="str">
        <f>IF(VLOOKUP(CS253,βοηθητικό!$J$2:$N$354,3,FALSE)="","",VLOOKUP(CS253,βοηθητικό!$J$2:$N$354,3,FALSE))</f>
        <v>_</v>
      </c>
      <c r="CU253" s="47"/>
    </row>
    <row r="254" spans="1:99" x14ac:dyDescent="0.25">
      <c r="A254" s="37">
        <f>--SUBTOTAL(3,$B$3:B253)</f>
        <v>198</v>
      </c>
      <c r="B254" s="2"/>
      <c r="C254" s="3"/>
      <c r="D254" s="55" t="s">
        <v>18</v>
      </c>
      <c r="E254" s="38" t="s">
        <v>16</v>
      </c>
      <c r="F254" s="38" t="s">
        <v>16</v>
      </c>
      <c r="G254" s="39" t="str">
        <f t="shared" si="11"/>
        <v>__</v>
      </c>
      <c r="H254" s="40" t="str">
        <f t="shared" si="12"/>
        <v>FALSE</v>
      </c>
      <c r="I254" s="41">
        <f t="shared" si="13"/>
        <v>0</v>
      </c>
      <c r="J254" s="4" t="s">
        <v>16</v>
      </c>
      <c r="K254" s="43" t="str">
        <f>IF(VLOOKUP(J254,βοηθητικό!$J$2:$N$354,3,FALSE)="","",VLOOKUP(J254,βοηθητικό!$J$2:$N$354,3,FALSE))</f>
        <v>_</v>
      </c>
      <c r="L254" s="44"/>
      <c r="M254" s="5" t="s">
        <v>16</v>
      </c>
      <c r="N254" s="46" t="str">
        <f>IF(VLOOKUP(M254,βοηθητικό!$J$2:$N$354,3,FALSE)="","",VLOOKUP(M254,βοηθητικό!$J$2:$N$354,3,FALSE))</f>
        <v>_</v>
      </c>
      <c r="O254" s="47"/>
      <c r="P254" s="4" t="s">
        <v>16</v>
      </c>
      <c r="Q254" s="43" t="str">
        <f>IF(VLOOKUP(P254,βοηθητικό!$J$2:$N$354,3,FALSE)="","",VLOOKUP(P254,βοηθητικό!$J$2:$N$354,3,FALSE))</f>
        <v>_</v>
      </c>
      <c r="R254" s="44"/>
      <c r="S254" s="5" t="s">
        <v>16</v>
      </c>
      <c r="T254" s="46" t="str">
        <f>IF(VLOOKUP(S254,βοηθητικό!$J$2:$N$354,3,FALSE)="","",VLOOKUP(S254,βοηθητικό!$J$2:$N$354,3,FALSE))</f>
        <v>_</v>
      </c>
      <c r="U254" s="47"/>
      <c r="V254" s="4" t="s">
        <v>16</v>
      </c>
      <c r="W254" s="43" t="str">
        <f>IF(VLOOKUP(V254,βοηθητικό!$J$2:$N$354,3,FALSE)="","",VLOOKUP(V254,βοηθητικό!$J$2:$N$354,3,FALSE))</f>
        <v>_</v>
      </c>
      <c r="X254" s="44"/>
      <c r="Y254" s="5" t="s">
        <v>16</v>
      </c>
      <c r="Z254" s="46" t="str">
        <f>IF(VLOOKUP(Y254,βοηθητικό!$J$2:$N$354,3,FALSE)="","",VLOOKUP(Y254,βοηθητικό!$J$2:$N$354,3,FALSE))</f>
        <v>_</v>
      </c>
      <c r="AA254" s="47"/>
      <c r="AB254" s="4" t="s">
        <v>16</v>
      </c>
      <c r="AC254" s="43" t="str">
        <f>IF(VLOOKUP(AB254,βοηθητικό!$J$2:$N$354,3,FALSE)="","",VLOOKUP(AB254,βοηθητικό!$J$2:$N$354,3,FALSE))</f>
        <v>_</v>
      </c>
      <c r="AD254" s="44"/>
      <c r="AE254" s="5" t="s">
        <v>16</v>
      </c>
      <c r="AF254" s="46" t="str">
        <f>IF(VLOOKUP(AE254,βοηθητικό!$J$2:$N$354,3,FALSE)="","",VLOOKUP(AE254,βοηθητικό!$J$2:$N$354,3,FALSE))</f>
        <v>_</v>
      </c>
      <c r="AG254" s="47"/>
      <c r="AH254" s="4" t="s">
        <v>16</v>
      </c>
      <c r="AI254" s="43" t="str">
        <f>IF(VLOOKUP(AH254,βοηθητικό!$J$2:$N$354,3,FALSE)="","",VLOOKUP(AH254,βοηθητικό!$J$2:$N$354,3,FALSE))</f>
        <v>_</v>
      </c>
      <c r="AJ254" s="44"/>
      <c r="AK254" s="5" t="s">
        <v>16</v>
      </c>
      <c r="AL254" s="46" t="str">
        <f>IF(VLOOKUP(AK254,βοηθητικό!$J$2:$N$354,3,FALSE)="","",VLOOKUP(AK254,βοηθητικό!$J$2:$N$354,3,FALSE))</f>
        <v>_</v>
      </c>
      <c r="AM254" s="47"/>
      <c r="AN254" s="4" t="s">
        <v>16</v>
      </c>
      <c r="AO254" s="43" t="str">
        <f>IF(VLOOKUP(AN254,βοηθητικό!$J$2:$N$354,3,FALSE)="","",VLOOKUP(AN254,βοηθητικό!$J$2:$N$354,3,FALSE))</f>
        <v>_</v>
      </c>
      <c r="AP254" s="44"/>
      <c r="AQ254" s="5" t="s">
        <v>16</v>
      </c>
      <c r="AR254" s="46" t="str">
        <f>IF(VLOOKUP(AQ254,βοηθητικό!$J$2:$N$354,3,FALSE)="","",VLOOKUP(AQ254,βοηθητικό!$J$2:$N$354,3,FALSE))</f>
        <v>_</v>
      </c>
      <c r="AS254" s="47"/>
      <c r="AT254" s="4" t="s">
        <v>16</v>
      </c>
      <c r="AU254" s="43" t="str">
        <f>IF(VLOOKUP(AT254,βοηθητικό!$J$2:$N$354,3,FALSE)="","",VLOOKUP(AT254,βοηθητικό!$J$2:$N$354,3,FALSE))</f>
        <v>_</v>
      </c>
      <c r="AV254" s="44"/>
      <c r="AW254" s="5" t="s">
        <v>16</v>
      </c>
      <c r="AX254" s="46" t="str">
        <f>IF(VLOOKUP(AW254,βοηθητικό!$J$2:$N$354,3,FALSE)="","",VLOOKUP(AW254,βοηθητικό!$J$2:$N$354,3,FALSE))</f>
        <v>_</v>
      </c>
      <c r="AY254" s="47"/>
      <c r="AZ254" s="4" t="s">
        <v>16</v>
      </c>
      <c r="BA254" s="43" t="str">
        <f>IF(VLOOKUP(AZ254,βοηθητικό!$J$2:$N$354,3,FALSE)="","",VLOOKUP(AZ254,βοηθητικό!$J$2:$N$354,3,FALSE))</f>
        <v>_</v>
      </c>
      <c r="BB254" s="44"/>
      <c r="BC254" s="45" t="s">
        <v>16</v>
      </c>
      <c r="BD254" s="46" t="str">
        <f>IF(VLOOKUP(BC254,βοηθητικό!$J$2:$N$354,3,FALSE)="","",VLOOKUP(BC254,βοηθητικό!$J$2:$N$354,3,FALSE))</f>
        <v>_</v>
      </c>
      <c r="BE254" s="47"/>
      <c r="BF254" s="42" t="s">
        <v>16</v>
      </c>
      <c r="BG254" s="43" t="str">
        <f>IF(VLOOKUP(BF254,βοηθητικό!$J$2:$N$354,3,FALSE)="","",VLOOKUP(BF254,βοηθητικό!$J$2:$N$354,3,FALSE))</f>
        <v>_</v>
      </c>
      <c r="BH254" s="44"/>
      <c r="BI254" s="45" t="s">
        <v>16</v>
      </c>
      <c r="BJ254" s="46" t="str">
        <f>IF(VLOOKUP(BI254,βοηθητικό!$J$2:$N$354,3,FALSE)="","",VLOOKUP(BI254,βοηθητικό!$J$2:$N$354,3,FALSE))</f>
        <v>_</v>
      </c>
      <c r="BK254" s="47"/>
      <c r="BL254" s="42" t="s">
        <v>16</v>
      </c>
      <c r="BM254" s="43" t="str">
        <f>IF(VLOOKUP(BL254,βοηθητικό!$J$2:$N$354,3,FALSE)="","",VLOOKUP(BL254,βοηθητικό!$J$2:$N$354,3,FALSE))</f>
        <v>_</v>
      </c>
      <c r="BN254" s="44"/>
      <c r="BO254" s="45" t="s">
        <v>16</v>
      </c>
      <c r="BP254" s="46" t="str">
        <f>IF(VLOOKUP(BO254,βοηθητικό!$J$2:$N$354,3,FALSE)="","",VLOOKUP(BO254,βοηθητικό!$J$2:$N$354,3,FALSE))</f>
        <v>_</v>
      </c>
      <c r="BQ254" s="47"/>
      <c r="BR254" s="42" t="s">
        <v>16</v>
      </c>
      <c r="BS254" s="43" t="str">
        <f>IF(VLOOKUP(BR254,βοηθητικό!$J$2:$N$354,3,FALSE)="","",VLOOKUP(BR254,βοηθητικό!$J$2:$N$354,3,FALSE))</f>
        <v>_</v>
      </c>
      <c r="BT254" s="44"/>
      <c r="BU254" s="45" t="s">
        <v>16</v>
      </c>
      <c r="BV254" s="46" t="str">
        <f>IF(VLOOKUP(BU254,βοηθητικό!$J$2:$N$354,3,FALSE)="","",VLOOKUP(BU254,βοηθητικό!$J$2:$N$354,3,FALSE))</f>
        <v>_</v>
      </c>
      <c r="BW254" s="47"/>
      <c r="BX254" s="42" t="s">
        <v>16</v>
      </c>
      <c r="BY254" s="43" t="str">
        <f>IF(VLOOKUP(BX254,βοηθητικό!$J$2:$N$354,3,FALSE)="","",VLOOKUP(BX254,βοηθητικό!$J$2:$N$354,3,FALSE))</f>
        <v>_</v>
      </c>
      <c r="BZ254" s="44"/>
      <c r="CA254" s="45" t="s">
        <v>16</v>
      </c>
      <c r="CB254" s="46" t="str">
        <f>IF(VLOOKUP(CA254,βοηθητικό!$J$2:$N$354,3,FALSE)="","",VLOOKUP(CA254,βοηθητικό!$J$2:$N$354,3,FALSE))</f>
        <v>_</v>
      </c>
      <c r="CC254" s="47"/>
      <c r="CD254" s="42" t="s">
        <v>16</v>
      </c>
      <c r="CE254" s="43" t="str">
        <f>IF(VLOOKUP(CD254,βοηθητικό!$J$2:$N$354,3,FALSE)="","",VLOOKUP(CD254,βοηθητικό!$J$2:$N$354,3,FALSE))</f>
        <v>_</v>
      </c>
      <c r="CF254" s="44"/>
      <c r="CG254" s="45" t="s">
        <v>16</v>
      </c>
      <c r="CH254" s="46" t="str">
        <f>IF(VLOOKUP(CG254,βοηθητικό!$J$2:$N$354,3,FALSE)="","",VLOOKUP(CG254,βοηθητικό!$J$2:$N$354,3,FALSE))</f>
        <v>_</v>
      </c>
      <c r="CI254" s="47"/>
      <c r="CJ254" s="42" t="s">
        <v>16</v>
      </c>
      <c r="CK254" s="43" t="str">
        <f>IF(VLOOKUP(CJ254,βοηθητικό!$J$2:$N$354,3,FALSE)="","",VLOOKUP(CJ254,βοηθητικό!$J$2:$N$354,3,FALSE))</f>
        <v>_</v>
      </c>
      <c r="CL254" s="44"/>
      <c r="CM254" s="45" t="s">
        <v>16</v>
      </c>
      <c r="CN254" s="46" t="str">
        <f>IF(VLOOKUP(CM254,βοηθητικό!$J$2:$N$354,3,FALSE)="","",VLOOKUP(CM254,βοηθητικό!$J$2:$N$354,3,FALSE))</f>
        <v>_</v>
      </c>
      <c r="CO254" s="47"/>
      <c r="CP254" s="42" t="s">
        <v>16</v>
      </c>
      <c r="CQ254" s="43" t="str">
        <f>IF(VLOOKUP(CP254,βοηθητικό!$J$2:$N$354,3,FALSE)="","",VLOOKUP(CP254,βοηθητικό!$J$2:$N$354,3,FALSE))</f>
        <v>_</v>
      </c>
      <c r="CR254" s="44"/>
      <c r="CS254" s="45" t="s">
        <v>16</v>
      </c>
      <c r="CT254" s="46" t="str">
        <f>IF(VLOOKUP(CS254,βοηθητικό!$J$2:$N$354,3,FALSE)="","",VLOOKUP(CS254,βοηθητικό!$J$2:$N$354,3,FALSE))</f>
        <v>_</v>
      </c>
      <c r="CU254" s="47"/>
    </row>
    <row r="255" spans="1:99" x14ac:dyDescent="0.25">
      <c r="A255" s="37">
        <f>--SUBTOTAL(3,$B$3:B254)</f>
        <v>198</v>
      </c>
      <c r="B255" s="2"/>
      <c r="C255" s="3"/>
      <c r="D255" s="55" t="s">
        <v>18</v>
      </c>
      <c r="E255" s="38" t="s">
        <v>16</v>
      </c>
      <c r="F255" s="38" t="s">
        <v>16</v>
      </c>
      <c r="G255" s="39" t="str">
        <f t="shared" si="11"/>
        <v>__</v>
      </c>
      <c r="H255" s="40" t="str">
        <f t="shared" si="12"/>
        <v>FALSE</v>
      </c>
      <c r="I255" s="41">
        <f t="shared" si="13"/>
        <v>0</v>
      </c>
      <c r="J255" s="4" t="s">
        <v>16</v>
      </c>
      <c r="K255" s="43" t="str">
        <f>IF(VLOOKUP(J255,βοηθητικό!$J$2:$N$354,3,FALSE)="","",VLOOKUP(J255,βοηθητικό!$J$2:$N$354,3,FALSE))</f>
        <v>_</v>
      </c>
      <c r="L255" s="44"/>
      <c r="M255" s="5" t="s">
        <v>16</v>
      </c>
      <c r="N255" s="46" t="str">
        <f>IF(VLOOKUP(M255,βοηθητικό!$J$2:$N$354,3,FALSE)="","",VLOOKUP(M255,βοηθητικό!$J$2:$N$354,3,FALSE))</f>
        <v>_</v>
      </c>
      <c r="O255" s="47"/>
      <c r="P255" s="4" t="s">
        <v>16</v>
      </c>
      <c r="Q255" s="43" t="str">
        <f>IF(VLOOKUP(P255,βοηθητικό!$J$2:$N$354,3,FALSE)="","",VLOOKUP(P255,βοηθητικό!$J$2:$N$354,3,FALSE))</f>
        <v>_</v>
      </c>
      <c r="R255" s="44"/>
      <c r="S255" s="5" t="s">
        <v>16</v>
      </c>
      <c r="T255" s="46" t="str">
        <f>IF(VLOOKUP(S255,βοηθητικό!$J$2:$N$354,3,FALSE)="","",VLOOKUP(S255,βοηθητικό!$J$2:$N$354,3,FALSE))</f>
        <v>_</v>
      </c>
      <c r="U255" s="47"/>
      <c r="V255" s="4" t="s">
        <v>16</v>
      </c>
      <c r="W255" s="43" t="str">
        <f>IF(VLOOKUP(V255,βοηθητικό!$J$2:$N$354,3,FALSE)="","",VLOOKUP(V255,βοηθητικό!$J$2:$N$354,3,FALSE))</f>
        <v>_</v>
      </c>
      <c r="X255" s="44"/>
      <c r="Y255" s="5" t="s">
        <v>16</v>
      </c>
      <c r="Z255" s="46" t="str">
        <f>IF(VLOOKUP(Y255,βοηθητικό!$J$2:$N$354,3,FALSE)="","",VLOOKUP(Y255,βοηθητικό!$J$2:$N$354,3,FALSE))</f>
        <v>_</v>
      </c>
      <c r="AA255" s="47"/>
      <c r="AB255" s="4" t="s">
        <v>16</v>
      </c>
      <c r="AC255" s="43" t="str">
        <f>IF(VLOOKUP(AB255,βοηθητικό!$J$2:$N$354,3,FALSE)="","",VLOOKUP(AB255,βοηθητικό!$J$2:$N$354,3,FALSE))</f>
        <v>_</v>
      </c>
      <c r="AD255" s="44"/>
      <c r="AE255" s="5" t="s">
        <v>16</v>
      </c>
      <c r="AF255" s="46" t="str">
        <f>IF(VLOOKUP(AE255,βοηθητικό!$J$2:$N$354,3,FALSE)="","",VLOOKUP(AE255,βοηθητικό!$J$2:$N$354,3,FALSE))</f>
        <v>_</v>
      </c>
      <c r="AG255" s="47"/>
      <c r="AH255" s="4" t="s">
        <v>16</v>
      </c>
      <c r="AI255" s="43" t="str">
        <f>IF(VLOOKUP(AH255,βοηθητικό!$J$2:$N$354,3,FALSE)="","",VLOOKUP(AH255,βοηθητικό!$J$2:$N$354,3,FALSE))</f>
        <v>_</v>
      </c>
      <c r="AJ255" s="44"/>
      <c r="AK255" s="5" t="s">
        <v>16</v>
      </c>
      <c r="AL255" s="46" t="str">
        <f>IF(VLOOKUP(AK255,βοηθητικό!$J$2:$N$354,3,FALSE)="","",VLOOKUP(AK255,βοηθητικό!$J$2:$N$354,3,FALSE))</f>
        <v>_</v>
      </c>
      <c r="AM255" s="47"/>
      <c r="AN255" s="4" t="s">
        <v>16</v>
      </c>
      <c r="AO255" s="43" t="str">
        <f>IF(VLOOKUP(AN255,βοηθητικό!$J$2:$N$354,3,FALSE)="","",VLOOKUP(AN255,βοηθητικό!$J$2:$N$354,3,FALSE))</f>
        <v>_</v>
      </c>
      <c r="AP255" s="44"/>
      <c r="AQ255" s="5" t="s">
        <v>16</v>
      </c>
      <c r="AR255" s="46" t="str">
        <f>IF(VLOOKUP(AQ255,βοηθητικό!$J$2:$N$354,3,FALSE)="","",VLOOKUP(AQ255,βοηθητικό!$J$2:$N$354,3,FALSE))</f>
        <v>_</v>
      </c>
      <c r="AS255" s="47"/>
      <c r="AT255" s="4" t="s">
        <v>16</v>
      </c>
      <c r="AU255" s="43" t="str">
        <f>IF(VLOOKUP(AT255,βοηθητικό!$J$2:$N$354,3,FALSE)="","",VLOOKUP(AT255,βοηθητικό!$J$2:$N$354,3,FALSE))</f>
        <v>_</v>
      </c>
      <c r="AV255" s="44"/>
      <c r="AW255" s="5" t="s">
        <v>16</v>
      </c>
      <c r="AX255" s="46" t="str">
        <f>IF(VLOOKUP(AW255,βοηθητικό!$J$2:$N$354,3,FALSE)="","",VLOOKUP(AW255,βοηθητικό!$J$2:$N$354,3,FALSE))</f>
        <v>_</v>
      </c>
      <c r="AY255" s="47"/>
      <c r="AZ255" s="4" t="s">
        <v>16</v>
      </c>
      <c r="BA255" s="43" t="str">
        <f>IF(VLOOKUP(AZ255,βοηθητικό!$J$2:$N$354,3,FALSE)="","",VLOOKUP(AZ255,βοηθητικό!$J$2:$N$354,3,FALSE))</f>
        <v>_</v>
      </c>
      <c r="BB255" s="44"/>
      <c r="BC255" s="45" t="s">
        <v>16</v>
      </c>
      <c r="BD255" s="46" t="str">
        <f>IF(VLOOKUP(BC255,βοηθητικό!$J$2:$N$354,3,FALSE)="","",VLOOKUP(BC255,βοηθητικό!$J$2:$N$354,3,FALSE))</f>
        <v>_</v>
      </c>
      <c r="BE255" s="47"/>
      <c r="BF255" s="42" t="s">
        <v>16</v>
      </c>
      <c r="BG255" s="43" t="str">
        <f>IF(VLOOKUP(BF255,βοηθητικό!$J$2:$N$354,3,FALSE)="","",VLOOKUP(BF255,βοηθητικό!$J$2:$N$354,3,FALSE))</f>
        <v>_</v>
      </c>
      <c r="BH255" s="44"/>
      <c r="BI255" s="45" t="s">
        <v>16</v>
      </c>
      <c r="BJ255" s="46" t="str">
        <f>IF(VLOOKUP(BI255,βοηθητικό!$J$2:$N$354,3,FALSE)="","",VLOOKUP(BI255,βοηθητικό!$J$2:$N$354,3,FALSE))</f>
        <v>_</v>
      </c>
      <c r="BK255" s="47"/>
      <c r="BL255" s="42" t="s">
        <v>16</v>
      </c>
      <c r="BM255" s="43" t="str">
        <f>IF(VLOOKUP(BL255,βοηθητικό!$J$2:$N$354,3,FALSE)="","",VLOOKUP(BL255,βοηθητικό!$J$2:$N$354,3,FALSE))</f>
        <v>_</v>
      </c>
      <c r="BN255" s="44"/>
      <c r="BO255" s="45" t="s">
        <v>16</v>
      </c>
      <c r="BP255" s="46" t="str">
        <f>IF(VLOOKUP(BO255,βοηθητικό!$J$2:$N$354,3,FALSE)="","",VLOOKUP(BO255,βοηθητικό!$J$2:$N$354,3,FALSE))</f>
        <v>_</v>
      </c>
      <c r="BQ255" s="47"/>
      <c r="BR255" s="42" t="s">
        <v>16</v>
      </c>
      <c r="BS255" s="43" t="str">
        <f>IF(VLOOKUP(BR255,βοηθητικό!$J$2:$N$354,3,FALSE)="","",VLOOKUP(BR255,βοηθητικό!$J$2:$N$354,3,FALSE))</f>
        <v>_</v>
      </c>
      <c r="BT255" s="44"/>
      <c r="BU255" s="45" t="s">
        <v>16</v>
      </c>
      <c r="BV255" s="46" t="str">
        <f>IF(VLOOKUP(BU255,βοηθητικό!$J$2:$N$354,3,FALSE)="","",VLOOKUP(BU255,βοηθητικό!$J$2:$N$354,3,FALSE))</f>
        <v>_</v>
      </c>
      <c r="BW255" s="47"/>
      <c r="BX255" s="42" t="s">
        <v>16</v>
      </c>
      <c r="BY255" s="43" t="str">
        <f>IF(VLOOKUP(BX255,βοηθητικό!$J$2:$N$354,3,FALSE)="","",VLOOKUP(BX255,βοηθητικό!$J$2:$N$354,3,FALSE))</f>
        <v>_</v>
      </c>
      <c r="BZ255" s="44"/>
      <c r="CA255" s="45" t="s">
        <v>16</v>
      </c>
      <c r="CB255" s="46" t="str">
        <f>IF(VLOOKUP(CA255,βοηθητικό!$J$2:$N$354,3,FALSE)="","",VLOOKUP(CA255,βοηθητικό!$J$2:$N$354,3,FALSE))</f>
        <v>_</v>
      </c>
      <c r="CC255" s="47"/>
      <c r="CD255" s="42" t="s">
        <v>16</v>
      </c>
      <c r="CE255" s="43" t="str">
        <f>IF(VLOOKUP(CD255,βοηθητικό!$J$2:$N$354,3,FALSE)="","",VLOOKUP(CD255,βοηθητικό!$J$2:$N$354,3,FALSE))</f>
        <v>_</v>
      </c>
      <c r="CF255" s="44"/>
      <c r="CG255" s="45" t="s">
        <v>16</v>
      </c>
      <c r="CH255" s="46" t="str">
        <f>IF(VLOOKUP(CG255,βοηθητικό!$J$2:$N$354,3,FALSE)="","",VLOOKUP(CG255,βοηθητικό!$J$2:$N$354,3,FALSE))</f>
        <v>_</v>
      </c>
      <c r="CI255" s="47"/>
      <c r="CJ255" s="42" t="s">
        <v>16</v>
      </c>
      <c r="CK255" s="43" t="str">
        <f>IF(VLOOKUP(CJ255,βοηθητικό!$J$2:$N$354,3,FALSE)="","",VLOOKUP(CJ255,βοηθητικό!$J$2:$N$354,3,FALSE))</f>
        <v>_</v>
      </c>
      <c r="CL255" s="44"/>
      <c r="CM255" s="45" t="s">
        <v>16</v>
      </c>
      <c r="CN255" s="46" t="str">
        <f>IF(VLOOKUP(CM255,βοηθητικό!$J$2:$N$354,3,FALSE)="","",VLOOKUP(CM255,βοηθητικό!$J$2:$N$354,3,FALSE))</f>
        <v>_</v>
      </c>
      <c r="CO255" s="47"/>
      <c r="CP255" s="42" t="s">
        <v>16</v>
      </c>
      <c r="CQ255" s="43" t="str">
        <f>IF(VLOOKUP(CP255,βοηθητικό!$J$2:$N$354,3,FALSE)="","",VLOOKUP(CP255,βοηθητικό!$J$2:$N$354,3,FALSE))</f>
        <v>_</v>
      </c>
      <c r="CR255" s="44"/>
      <c r="CS255" s="45" t="s">
        <v>16</v>
      </c>
      <c r="CT255" s="46" t="str">
        <f>IF(VLOOKUP(CS255,βοηθητικό!$J$2:$N$354,3,FALSE)="","",VLOOKUP(CS255,βοηθητικό!$J$2:$N$354,3,FALSE))</f>
        <v>_</v>
      </c>
      <c r="CU255" s="47"/>
    </row>
    <row r="256" spans="1:99" x14ac:dyDescent="0.25">
      <c r="A256" s="37">
        <f>--SUBTOTAL(3,$B$3:B255)</f>
        <v>198</v>
      </c>
      <c r="B256" s="2"/>
      <c r="C256" s="3"/>
      <c r="D256" s="55" t="s">
        <v>18</v>
      </c>
      <c r="E256" s="38" t="s">
        <v>16</v>
      </c>
      <c r="F256" s="38" t="s">
        <v>16</v>
      </c>
      <c r="G256" s="39" t="str">
        <f t="shared" si="11"/>
        <v>__</v>
      </c>
      <c r="H256" s="40" t="str">
        <f t="shared" si="12"/>
        <v>FALSE</v>
      </c>
      <c r="I256" s="41">
        <f t="shared" si="13"/>
        <v>0</v>
      </c>
      <c r="J256" s="4" t="s">
        <v>16</v>
      </c>
      <c r="K256" s="43" t="str">
        <f>IF(VLOOKUP(J256,βοηθητικό!$J$2:$N$354,3,FALSE)="","",VLOOKUP(J256,βοηθητικό!$J$2:$N$354,3,FALSE))</f>
        <v>_</v>
      </c>
      <c r="L256" s="44"/>
      <c r="M256" s="5" t="s">
        <v>16</v>
      </c>
      <c r="N256" s="46" t="str">
        <f>IF(VLOOKUP(M256,βοηθητικό!$J$2:$N$354,3,FALSE)="","",VLOOKUP(M256,βοηθητικό!$J$2:$N$354,3,FALSE))</f>
        <v>_</v>
      </c>
      <c r="O256" s="47"/>
      <c r="P256" s="4" t="s">
        <v>16</v>
      </c>
      <c r="Q256" s="43" t="str">
        <f>IF(VLOOKUP(P256,βοηθητικό!$J$2:$N$354,3,FALSE)="","",VLOOKUP(P256,βοηθητικό!$J$2:$N$354,3,FALSE))</f>
        <v>_</v>
      </c>
      <c r="R256" s="44"/>
      <c r="S256" s="5" t="s">
        <v>16</v>
      </c>
      <c r="T256" s="46" t="str">
        <f>IF(VLOOKUP(S256,βοηθητικό!$J$2:$N$354,3,FALSE)="","",VLOOKUP(S256,βοηθητικό!$J$2:$N$354,3,FALSE))</f>
        <v>_</v>
      </c>
      <c r="U256" s="47"/>
      <c r="V256" s="4" t="s">
        <v>16</v>
      </c>
      <c r="W256" s="43" t="str">
        <f>IF(VLOOKUP(V256,βοηθητικό!$J$2:$N$354,3,FALSE)="","",VLOOKUP(V256,βοηθητικό!$J$2:$N$354,3,FALSE))</f>
        <v>_</v>
      </c>
      <c r="X256" s="44"/>
      <c r="Y256" s="5" t="s">
        <v>16</v>
      </c>
      <c r="Z256" s="46" t="str">
        <f>IF(VLOOKUP(Y256,βοηθητικό!$J$2:$N$354,3,FALSE)="","",VLOOKUP(Y256,βοηθητικό!$J$2:$N$354,3,FALSE))</f>
        <v>_</v>
      </c>
      <c r="AA256" s="47"/>
      <c r="AB256" s="4" t="s">
        <v>16</v>
      </c>
      <c r="AC256" s="43" t="str">
        <f>IF(VLOOKUP(AB256,βοηθητικό!$J$2:$N$354,3,FALSE)="","",VLOOKUP(AB256,βοηθητικό!$J$2:$N$354,3,FALSE))</f>
        <v>_</v>
      </c>
      <c r="AD256" s="44"/>
      <c r="AE256" s="5" t="s">
        <v>16</v>
      </c>
      <c r="AF256" s="46" t="str">
        <f>IF(VLOOKUP(AE256,βοηθητικό!$J$2:$N$354,3,FALSE)="","",VLOOKUP(AE256,βοηθητικό!$J$2:$N$354,3,FALSE))</f>
        <v>_</v>
      </c>
      <c r="AG256" s="47"/>
      <c r="AH256" s="4" t="s">
        <v>16</v>
      </c>
      <c r="AI256" s="43" t="str">
        <f>IF(VLOOKUP(AH256,βοηθητικό!$J$2:$N$354,3,FALSE)="","",VLOOKUP(AH256,βοηθητικό!$J$2:$N$354,3,FALSE))</f>
        <v>_</v>
      </c>
      <c r="AJ256" s="44"/>
      <c r="AK256" s="5" t="s">
        <v>16</v>
      </c>
      <c r="AL256" s="46" t="str">
        <f>IF(VLOOKUP(AK256,βοηθητικό!$J$2:$N$354,3,FALSE)="","",VLOOKUP(AK256,βοηθητικό!$J$2:$N$354,3,FALSE))</f>
        <v>_</v>
      </c>
      <c r="AM256" s="47"/>
      <c r="AN256" s="4" t="s">
        <v>16</v>
      </c>
      <c r="AO256" s="43" t="str">
        <f>IF(VLOOKUP(AN256,βοηθητικό!$J$2:$N$354,3,FALSE)="","",VLOOKUP(AN256,βοηθητικό!$J$2:$N$354,3,FALSE))</f>
        <v>_</v>
      </c>
      <c r="AP256" s="44"/>
      <c r="AQ256" s="5" t="s">
        <v>16</v>
      </c>
      <c r="AR256" s="46" t="str">
        <f>IF(VLOOKUP(AQ256,βοηθητικό!$J$2:$N$354,3,FALSE)="","",VLOOKUP(AQ256,βοηθητικό!$J$2:$N$354,3,FALSE))</f>
        <v>_</v>
      </c>
      <c r="AS256" s="47"/>
      <c r="AT256" s="4" t="s">
        <v>16</v>
      </c>
      <c r="AU256" s="43" t="str">
        <f>IF(VLOOKUP(AT256,βοηθητικό!$J$2:$N$354,3,FALSE)="","",VLOOKUP(AT256,βοηθητικό!$J$2:$N$354,3,FALSE))</f>
        <v>_</v>
      </c>
      <c r="AV256" s="44"/>
      <c r="AW256" s="5" t="s">
        <v>16</v>
      </c>
      <c r="AX256" s="46" t="str">
        <f>IF(VLOOKUP(AW256,βοηθητικό!$J$2:$N$354,3,FALSE)="","",VLOOKUP(AW256,βοηθητικό!$J$2:$N$354,3,FALSE))</f>
        <v>_</v>
      </c>
      <c r="AY256" s="47"/>
      <c r="AZ256" s="4" t="s">
        <v>16</v>
      </c>
      <c r="BA256" s="43" t="str">
        <f>IF(VLOOKUP(AZ256,βοηθητικό!$J$2:$N$354,3,FALSE)="","",VLOOKUP(AZ256,βοηθητικό!$J$2:$N$354,3,FALSE))</f>
        <v>_</v>
      </c>
      <c r="BB256" s="44"/>
      <c r="BC256" s="45" t="s">
        <v>16</v>
      </c>
      <c r="BD256" s="46" t="str">
        <f>IF(VLOOKUP(BC256,βοηθητικό!$J$2:$N$354,3,FALSE)="","",VLOOKUP(BC256,βοηθητικό!$J$2:$N$354,3,FALSE))</f>
        <v>_</v>
      </c>
      <c r="BE256" s="47"/>
      <c r="BF256" s="42" t="s">
        <v>16</v>
      </c>
      <c r="BG256" s="43" t="str">
        <f>IF(VLOOKUP(BF256,βοηθητικό!$J$2:$N$354,3,FALSE)="","",VLOOKUP(BF256,βοηθητικό!$J$2:$N$354,3,FALSE))</f>
        <v>_</v>
      </c>
      <c r="BH256" s="44"/>
      <c r="BI256" s="45" t="s">
        <v>16</v>
      </c>
      <c r="BJ256" s="46" t="str">
        <f>IF(VLOOKUP(BI256,βοηθητικό!$J$2:$N$354,3,FALSE)="","",VLOOKUP(BI256,βοηθητικό!$J$2:$N$354,3,FALSE))</f>
        <v>_</v>
      </c>
      <c r="BK256" s="47"/>
      <c r="BL256" s="42" t="s">
        <v>16</v>
      </c>
      <c r="BM256" s="43" t="str">
        <f>IF(VLOOKUP(BL256,βοηθητικό!$J$2:$N$354,3,FALSE)="","",VLOOKUP(BL256,βοηθητικό!$J$2:$N$354,3,FALSE))</f>
        <v>_</v>
      </c>
      <c r="BN256" s="44"/>
      <c r="BO256" s="45" t="s">
        <v>16</v>
      </c>
      <c r="BP256" s="46" t="str">
        <f>IF(VLOOKUP(BO256,βοηθητικό!$J$2:$N$354,3,FALSE)="","",VLOOKUP(BO256,βοηθητικό!$J$2:$N$354,3,FALSE))</f>
        <v>_</v>
      </c>
      <c r="BQ256" s="47"/>
      <c r="BR256" s="42" t="s">
        <v>16</v>
      </c>
      <c r="BS256" s="43" t="str">
        <f>IF(VLOOKUP(BR256,βοηθητικό!$J$2:$N$354,3,FALSE)="","",VLOOKUP(BR256,βοηθητικό!$J$2:$N$354,3,FALSE))</f>
        <v>_</v>
      </c>
      <c r="BT256" s="44"/>
      <c r="BU256" s="45" t="s">
        <v>16</v>
      </c>
      <c r="BV256" s="46" t="str">
        <f>IF(VLOOKUP(BU256,βοηθητικό!$J$2:$N$354,3,FALSE)="","",VLOOKUP(BU256,βοηθητικό!$J$2:$N$354,3,FALSE))</f>
        <v>_</v>
      </c>
      <c r="BW256" s="47"/>
      <c r="BX256" s="42" t="s">
        <v>16</v>
      </c>
      <c r="BY256" s="43" t="str">
        <f>IF(VLOOKUP(BX256,βοηθητικό!$J$2:$N$354,3,FALSE)="","",VLOOKUP(BX256,βοηθητικό!$J$2:$N$354,3,FALSE))</f>
        <v>_</v>
      </c>
      <c r="BZ256" s="44"/>
      <c r="CA256" s="45" t="s">
        <v>16</v>
      </c>
      <c r="CB256" s="46" t="str">
        <f>IF(VLOOKUP(CA256,βοηθητικό!$J$2:$N$354,3,FALSE)="","",VLOOKUP(CA256,βοηθητικό!$J$2:$N$354,3,FALSE))</f>
        <v>_</v>
      </c>
      <c r="CC256" s="47"/>
      <c r="CD256" s="42" t="s">
        <v>16</v>
      </c>
      <c r="CE256" s="43" t="str">
        <f>IF(VLOOKUP(CD256,βοηθητικό!$J$2:$N$354,3,FALSE)="","",VLOOKUP(CD256,βοηθητικό!$J$2:$N$354,3,FALSE))</f>
        <v>_</v>
      </c>
      <c r="CF256" s="44"/>
      <c r="CG256" s="45" t="s">
        <v>16</v>
      </c>
      <c r="CH256" s="46" t="str">
        <f>IF(VLOOKUP(CG256,βοηθητικό!$J$2:$N$354,3,FALSE)="","",VLOOKUP(CG256,βοηθητικό!$J$2:$N$354,3,FALSE))</f>
        <v>_</v>
      </c>
      <c r="CI256" s="47"/>
      <c r="CJ256" s="42" t="s">
        <v>16</v>
      </c>
      <c r="CK256" s="43" t="str">
        <f>IF(VLOOKUP(CJ256,βοηθητικό!$J$2:$N$354,3,FALSE)="","",VLOOKUP(CJ256,βοηθητικό!$J$2:$N$354,3,FALSE))</f>
        <v>_</v>
      </c>
      <c r="CL256" s="44"/>
      <c r="CM256" s="45" t="s">
        <v>16</v>
      </c>
      <c r="CN256" s="46" t="str">
        <f>IF(VLOOKUP(CM256,βοηθητικό!$J$2:$N$354,3,FALSE)="","",VLOOKUP(CM256,βοηθητικό!$J$2:$N$354,3,FALSE))</f>
        <v>_</v>
      </c>
      <c r="CO256" s="47"/>
      <c r="CP256" s="42" t="s">
        <v>16</v>
      </c>
      <c r="CQ256" s="43" t="str">
        <f>IF(VLOOKUP(CP256,βοηθητικό!$J$2:$N$354,3,FALSE)="","",VLOOKUP(CP256,βοηθητικό!$J$2:$N$354,3,FALSE))</f>
        <v>_</v>
      </c>
      <c r="CR256" s="44"/>
      <c r="CS256" s="45" t="s">
        <v>16</v>
      </c>
      <c r="CT256" s="46" t="str">
        <f>IF(VLOOKUP(CS256,βοηθητικό!$J$2:$N$354,3,FALSE)="","",VLOOKUP(CS256,βοηθητικό!$J$2:$N$354,3,FALSE))</f>
        <v>_</v>
      </c>
      <c r="CU256" s="47"/>
    </row>
    <row r="257" spans="1:99" x14ac:dyDescent="0.25">
      <c r="A257" s="37">
        <f>--SUBTOTAL(3,$B$3:B256)</f>
        <v>198</v>
      </c>
      <c r="B257" s="2"/>
      <c r="C257" s="3"/>
      <c r="D257" s="55" t="s">
        <v>18</v>
      </c>
      <c r="E257" s="38" t="s">
        <v>16</v>
      </c>
      <c r="F257" s="38" t="s">
        <v>16</v>
      </c>
      <c r="G257" s="39" t="str">
        <f t="shared" si="11"/>
        <v>__</v>
      </c>
      <c r="H257" s="40" t="str">
        <f t="shared" si="12"/>
        <v>FALSE</v>
      </c>
      <c r="I257" s="41">
        <f t="shared" si="13"/>
        <v>0</v>
      </c>
      <c r="J257" s="4" t="s">
        <v>16</v>
      </c>
      <c r="K257" s="43" t="str">
        <f>IF(VLOOKUP(J257,βοηθητικό!$J$2:$N$354,3,FALSE)="","",VLOOKUP(J257,βοηθητικό!$J$2:$N$354,3,FALSE))</f>
        <v>_</v>
      </c>
      <c r="L257" s="44"/>
      <c r="M257" s="5" t="s">
        <v>16</v>
      </c>
      <c r="N257" s="46" t="str">
        <f>IF(VLOOKUP(M257,βοηθητικό!$J$2:$N$354,3,FALSE)="","",VLOOKUP(M257,βοηθητικό!$J$2:$N$354,3,FALSE))</f>
        <v>_</v>
      </c>
      <c r="O257" s="47"/>
      <c r="P257" s="4" t="s">
        <v>16</v>
      </c>
      <c r="Q257" s="43" t="str">
        <f>IF(VLOOKUP(P257,βοηθητικό!$J$2:$N$354,3,FALSE)="","",VLOOKUP(P257,βοηθητικό!$J$2:$N$354,3,FALSE))</f>
        <v>_</v>
      </c>
      <c r="R257" s="44"/>
      <c r="S257" s="5" t="s">
        <v>16</v>
      </c>
      <c r="T257" s="46" t="str">
        <f>IF(VLOOKUP(S257,βοηθητικό!$J$2:$N$354,3,FALSE)="","",VLOOKUP(S257,βοηθητικό!$J$2:$N$354,3,FALSE))</f>
        <v>_</v>
      </c>
      <c r="U257" s="47"/>
      <c r="V257" s="4" t="s">
        <v>16</v>
      </c>
      <c r="W257" s="43" t="str">
        <f>IF(VLOOKUP(V257,βοηθητικό!$J$2:$N$354,3,FALSE)="","",VLOOKUP(V257,βοηθητικό!$J$2:$N$354,3,FALSE))</f>
        <v>_</v>
      </c>
      <c r="X257" s="44"/>
      <c r="Y257" s="5" t="s">
        <v>16</v>
      </c>
      <c r="Z257" s="46" t="str">
        <f>IF(VLOOKUP(Y257,βοηθητικό!$J$2:$N$354,3,FALSE)="","",VLOOKUP(Y257,βοηθητικό!$J$2:$N$354,3,FALSE))</f>
        <v>_</v>
      </c>
      <c r="AA257" s="47"/>
      <c r="AB257" s="4" t="s">
        <v>16</v>
      </c>
      <c r="AC257" s="43" t="str">
        <f>IF(VLOOKUP(AB257,βοηθητικό!$J$2:$N$354,3,FALSE)="","",VLOOKUP(AB257,βοηθητικό!$J$2:$N$354,3,FALSE))</f>
        <v>_</v>
      </c>
      <c r="AD257" s="44"/>
      <c r="AE257" s="5" t="s">
        <v>16</v>
      </c>
      <c r="AF257" s="46" t="str">
        <f>IF(VLOOKUP(AE257,βοηθητικό!$J$2:$N$354,3,FALSE)="","",VLOOKUP(AE257,βοηθητικό!$J$2:$N$354,3,FALSE))</f>
        <v>_</v>
      </c>
      <c r="AG257" s="47"/>
      <c r="AH257" s="4" t="s">
        <v>16</v>
      </c>
      <c r="AI257" s="43" t="str">
        <f>IF(VLOOKUP(AH257,βοηθητικό!$J$2:$N$354,3,FALSE)="","",VLOOKUP(AH257,βοηθητικό!$J$2:$N$354,3,FALSE))</f>
        <v>_</v>
      </c>
      <c r="AJ257" s="44"/>
      <c r="AK257" s="5" t="s">
        <v>16</v>
      </c>
      <c r="AL257" s="46" t="str">
        <f>IF(VLOOKUP(AK257,βοηθητικό!$J$2:$N$354,3,FALSE)="","",VLOOKUP(AK257,βοηθητικό!$J$2:$N$354,3,FALSE))</f>
        <v>_</v>
      </c>
      <c r="AM257" s="47"/>
      <c r="AN257" s="4" t="s">
        <v>16</v>
      </c>
      <c r="AO257" s="43" t="str">
        <f>IF(VLOOKUP(AN257,βοηθητικό!$J$2:$N$354,3,FALSE)="","",VLOOKUP(AN257,βοηθητικό!$J$2:$N$354,3,FALSE))</f>
        <v>_</v>
      </c>
      <c r="AP257" s="44"/>
      <c r="AQ257" s="5" t="s">
        <v>16</v>
      </c>
      <c r="AR257" s="46" t="str">
        <f>IF(VLOOKUP(AQ257,βοηθητικό!$J$2:$N$354,3,FALSE)="","",VLOOKUP(AQ257,βοηθητικό!$J$2:$N$354,3,FALSE))</f>
        <v>_</v>
      </c>
      <c r="AS257" s="47"/>
      <c r="AT257" s="4" t="s">
        <v>16</v>
      </c>
      <c r="AU257" s="43" t="str">
        <f>IF(VLOOKUP(AT257,βοηθητικό!$J$2:$N$354,3,FALSE)="","",VLOOKUP(AT257,βοηθητικό!$J$2:$N$354,3,FALSE))</f>
        <v>_</v>
      </c>
      <c r="AV257" s="44"/>
      <c r="AW257" s="5" t="s">
        <v>16</v>
      </c>
      <c r="AX257" s="46" t="str">
        <f>IF(VLOOKUP(AW257,βοηθητικό!$J$2:$N$354,3,FALSE)="","",VLOOKUP(AW257,βοηθητικό!$J$2:$N$354,3,FALSE))</f>
        <v>_</v>
      </c>
      <c r="AY257" s="47"/>
      <c r="AZ257" s="4" t="s">
        <v>16</v>
      </c>
      <c r="BA257" s="43" t="str">
        <f>IF(VLOOKUP(AZ257,βοηθητικό!$J$2:$N$354,3,FALSE)="","",VLOOKUP(AZ257,βοηθητικό!$J$2:$N$354,3,FALSE))</f>
        <v>_</v>
      </c>
      <c r="BB257" s="44"/>
      <c r="BC257" s="45" t="s">
        <v>16</v>
      </c>
      <c r="BD257" s="46" t="str">
        <f>IF(VLOOKUP(BC257,βοηθητικό!$J$2:$N$354,3,FALSE)="","",VLOOKUP(BC257,βοηθητικό!$J$2:$N$354,3,FALSE))</f>
        <v>_</v>
      </c>
      <c r="BE257" s="47"/>
      <c r="BF257" s="42" t="s">
        <v>16</v>
      </c>
      <c r="BG257" s="43" t="str">
        <f>IF(VLOOKUP(BF257,βοηθητικό!$J$2:$N$354,3,FALSE)="","",VLOOKUP(BF257,βοηθητικό!$J$2:$N$354,3,FALSE))</f>
        <v>_</v>
      </c>
      <c r="BH257" s="44"/>
      <c r="BI257" s="45" t="s">
        <v>16</v>
      </c>
      <c r="BJ257" s="46" t="str">
        <f>IF(VLOOKUP(BI257,βοηθητικό!$J$2:$N$354,3,FALSE)="","",VLOOKUP(BI257,βοηθητικό!$J$2:$N$354,3,FALSE))</f>
        <v>_</v>
      </c>
      <c r="BK257" s="47"/>
      <c r="BL257" s="42" t="s">
        <v>16</v>
      </c>
      <c r="BM257" s="43" t="str">
        <f>IF(VLOOKUP(BL257,βοηθητικό!$J$2:$N$354,3,FALSE)="","",VLOOKUP(BL257,βοηθητικό!$J$2:$N$354,3,FALSE))</f>
        <v>_</v>
      </c>
      <c r="BN257" s="44"/>
      <c r="BO257" s="45" t="s">
        <v>16</v>
      </c>
      <c r="BP257" s="46" t="str">
        <f>IF(VLOOKUP(BO257,βοηθητικό!$J$2:$N$354,3,FALSE)="","",VLOOKUP(BO257,βοηθητικό!$J$2:$N$354,3,FALSE))</f>
        <v>_</v>
      </c>
      <c r="BQ257" s="47"/>
      <c r="BR257" s="42" t="s">
        <v>16</v>
      </c>
      <c r="BS257" s="43" t="str">
        <f>IF(VLOOKUP(BR257,βοηθητικό!$J$2:$N$354,3,FALSE)="","",VLOOKUP(BR257,βοηθητικό!$J$2:$N$354,3,FALSE))</f>
        <v>_</v>
      </c>
      <c r="BT257" s="44"/>
      <c r="BU257" s="45" t="s">
        <v>16</v>
      </c>
      <c r="BV257" s="46" t="str">
        <f>IF(VLOOKUP(BU257,βοηθητικό!$J$2:$N$354,3,FALSE)="","",VLOOKUP(BU257,βοηθητικό!$J$2:$N$354,3,FALSE))</f>
        <v>_</v>
      </c>
      <c r="BW257" s="47"/>
      <c r="BX257" s="42" t="s">
        <v>16</v>
      </c>
      <c r="BY257" s="43" t="str">
        <f>IF(VLOOKUP(BX257,βοηθητικό!$J$2:$N$354,3,FALSE)="","",VLOOKUP(BX257,βοηθητικό!$J$2:$N$354,3,FALSE))</f>
        <v>_</v>
      </c>
      <c r="BZ257" s="44"/>
      <c r="CA257" s="45" t="s">
        <v>16</v>
      </c>
      <c r="CB257" s="46" t="str">
        <f>IF(VLOOKUP(CA257,βοηθητικό!$J$2:$N$354,3,FALSE)="","",VLOOKUP(CA257,βοηθητικό!$J$2:$N$354,3,FALSE))</f>
        <v>_</v>
      </c>
      <c r="CC257" s="47"/>
      <c r="CD257" s="42" t="s">
        <v>16</v>
      </c>
      <c r="CE257" s="43" t="str">
        <f>IF(VLOOKUP(CD257,βοηθητικό!$J$2:$N$354,3,FALSE)="","",VLOOKUP(CD257,βοηθητικό!$J$2:$N$354,3,FALSE))</f>
        <v>_</v>
      </c>
      <c r="CF257" s="44"/>
      <c r="CG257" s="45" t="s">
        <v>16</v>
      </c>
      <c r="CH257" s="46" t="str">
        <f>IF(VLOOKUP(CG257,βοηθητικό!$J$2:$N$354,3,FALSE)="","",VLOOKUP(CG257,βοηθητικό!$J$2:$N$354,3,FALSE))</f>
        <v>_</v>
      </c>
      <c r="CI257" s="47"/>
      <c r="CJ257" s="42" t="s">
        <v>16</v>
      </c>
      <c r="CK257" s="43" t="str">
        <f>IF(VLOOKUP(CJ257,βοηθητικό!$J$2:$N$354,3,FALSE)="","",VLOOKUP(CJ257,βοηθητικό!$J$2:$N$354,3,FALSE))</f>
        <v>_</v>
      </c>
      <c r="CL257" s="44"/>
      <c r="CM257" s="45" t="s">
        <v>16</v>
      </c>
      <c r="CN257" s="46" t="str">
        <f>IF(VLOOKUP(CM257,βοηθητικό!$J$2:$N$354,3,FALSE)="","",VLOOKUP(CM257,βοηθητικό!$J$2:$N$354,3,FALSE))</f>
        <v>_</v>
      </c>
      <c r="CO257" s="47"/>
      <c r="CP257" s="42" t="s">
        <v>16</v>
      </c>
      <c r="CQ257" s="43" t="str">
        <f>IF(VLOOKUP(CP257,βοηθητικό!$J$2:$N$354,3,FALSE)="","",VLOOKUP(CP257,βοηθητικό!$J$2:$N$354,3,FALSE))</f>
        <v>_</v>
      </c>
      <c r="CR257" s="44"/>
      <c r="CS257" s="45" t="s">
        <v>16</v>
      </c>
      <c r="CT257" s="46" t="str">
        <f>IF(VLOOKUP(CS257,βοηθητικό!$J$2:$N$354,3,FALSE)="","",VLOOKUP(CS257,βοηθητικό!$J$2:$N$354,3,FALSE))</f>
        <v>_</v>
      </c>
      <c r="CU257" s="47"/>
    </row>
    <row r="258" spans="1:99" x14ac:dyDescent="0.25">
      <c r="A258" s="37">
        <f>--SUBTOTAL(3,$B$3:B257)</f>
        <v>198</v>
      </c>
      <c r="B258" s="2"/>
      <c r="C258" s="3"/>
      <c r="D258" s="55" t="s">
        <v>18</v>
      </c>
      <c r="E258" s="38" t="s">
        <v>16</v>
      </c>
      <c r="F258" s="38" t="s">
        <v>16</v>
      </c>
      <c r="G258" s="39" t="str">
        <f t="shared" si="11"/>
        <v>__</v>
      </c>
      <c r="H258" s="40" t="str">
        <f t="shared" si="12"/>
        <v>FALSE</v>
      </c>
      <c r="I258" s="41">
        <f t="shared" si="13"/>
        <v>0</v>
      </c>
      <c r="J258" s="4" t="s">
        <v>16</v>
      </c>
      <c r="K258" s="43" t="str">
        <f>IF(VLOOKUP(J258,βοηθητικό!$J$2:$N$354,3,FALSE)="","",VLOOKUP(J258,βοηθητικό!$J$2:$N$354,3,FALSE))</f>
        <v>_</v>
      </c>
      <c r="L258" s="44"/>
      <c r="M258" s="5" t="s">
        <v>16</v>
      </c>
      <c r="N258" s="46" t="str">
        <f>IF(VLOOKUP(M258,βοηθητικό!$J$2:$N$354,3,FALSE)="","",VLOOKUP(M258,βοηθητικό!$J$2:$N$354,3,FALSE))</f>
        <v>_</v>
      </c>
      <c r="O258" s="47"/>
      <c r="P258" s="4" t="s">
        <v>16</v>
      </c>
      <c r="Q258" s="43" t="str">
        <f>IF(VLOOKUP(P258,βοηθητικό!$J$2:$N$354,3,FALSE)="","",VLOOKUP(P258,βοηθητικό!$J$2:$N$354,3,FALSE))</f>
        <v>_</v>
      </c>
      <c r="R258" s="44"/>
      <c r="S258" s="5" t="s">
        <v>16</v>
      </c>
      <c r="T258" s="46" t="str">
        <f>IF(VLOOKUP(S258,βοηθητικό!$J$2:$N$354,3,FALSE)="","",VLOOKUP(S258,βοηθητικό!$J$2:$N$354,3,FALSE))</f>
        <v>_</v>
      </c>
      <c r="U258" s="47"/>
      <c r="V258" s="4" t="s">
        <v>16</v>
      </c>
      <c r="W258" s="43" t="str">
        <f>IF(VLOOKUP(V258,βοηθητικό!$J$2:$N$354,3,FALSE)="","",VLOOKUP(V258,βοηθητικό!$J$2:$N$354,3,FALSE))</f>
        <v>_</v>
      </c>
      <c r="X258" s="44"/>
      <c r="Y258" s="5" t="s">
        <v>16</v>
      </c>
      <c r="Z258" s="46" t="str">
        <f>IF(VLOOKUP(Y258,βοηθητικό!$J$2:$N$354,3,FALSE)="","",VLOOKUP(Y258,βοηθητικό!$J$2:$N$354,3,FALSE))</f>
        <v>_</v>
      </c>
      <c r="AA258" s="47"/>
      <c r="AB258" s="4" t="s">
        <v>16</v>
      </c>
      <c r="AC258" s="43" t="str">
        <f>IF(VLOOKUP(AB258,βοηθητικό!$J$2:$N$354,3,FALSE)="","",VLOOKUP(AB258,βοηθητικό!$J$2:$N$354,3,FALSE))</f>
        <v>_</v>
      </c>
      <c r="AD258" s="44"/>
      <c r="AE258" s="5" t="s">
        <v>16</v>
      </c>
      <c r="AF258" s="46" t="str">
        <f>IF(VLOOKUP(AE258,βοηθητικό!$J$2:$N$354,3,FALSE)="","",VLOOKUP(AE258,βοηθητικό!$J$2:$N$354,3,FALSE))</f>
        <v>_</v>
      </c>
      <c r="AG258" s="47"/>
      <c r="AH258" s="4" t="s">
        <v>16</v>
      </c>
      <c r="AI258" s="43" t="str">
        <f>IF(VLOOKUP(AH258,βοηθητικό!$J$2:$N$354,3,FALSE)="","",VLOOKUP(AH258,βοηθητικό!$J$2:$N$354,3,FALSE))</f>
        <v>_</v>
      </c>
      <c r="AJ258" s="44"/>
      <c r="AK258" s="5" t="s">
        <v>16</v>
      </c>
      <c r="AL258" s="46" t="str">
        <f>IF(VLOOKUP(AK258,βοηθητικό!$J$2:$N$354,3,FALSE)="","",VLOOKUP(AK258,βοηθητικό!$J$2:$N$354,3,FALSE))</f>
        <v>_</v>
      </c>
      <c r="AM258" s="47"/>
      <c r="AN258" s="4" t="s">
        <v>16</v>
      </c>
      <c r="AO258" s="43" t="str">
        <f>IF(VLOOKUP(AN258,βοηθητικό!$J$2:$N$354,3,FALSE)="","",VLOOKUP(AN258,βοηθητικό!$J$2:$N$354,3,FALSE))</f>
        <v>_</v>
      </c>
      <c r="AP258" s="44"/>
      <c r="AQ258" s="5" t="s">
        <v>16</v>
      </c>
      <c r="AR258" s="46" t="str">
        <f>IF(VLOOKUP(AQ258,βοηθητικό!$J$2:$N$354,3,FALSE)="","",VLOOKUP(AQ258,βοηθητικό!$J$2:$N$354,3,FALSE))</f>
        <v>_</v>
      </c>
      <c r="AS258" s="47"/>
      <c r="AT258" s="4" t="s">
        <v>16</v>
      </c>
      <c r="AU258" s="43" t="str">
        <f>IF(VLOOKUP(AT258,βοηθητικό!$J$2:$N$354,3,FALSE)="","",VLOOKUP(AT258,βοηθητικό!$J$2:$N$354,3,FALSE))</f>
        <v>_</v>
      </c>
      <c r="AV258" s="44"/>
      <c r="AW258" s="5" t="s">
        <v>16</v>
      </c>
      <c r="AX258" s="46" t="str">
        <f>IF(VLOOKUP(AW258,βοηθητικό!$J$2:$N$354,3,FALSE)="","",VLOOKUP(AW258,βοηθητικό!$J$2:$N$354,3,FALSE))</f>
        <v>_</v>
      </c>
      <c r="AY258" s="47"/>
      <c r="AZ258" s="4" t="s">
        <v>16</v>
      </c>
      <c r="BA258" s="43" t="str">
        <f>IF(VLOOKUP(AZ258,βοηθητικό!$J$2:$N$354,3,FALSE)="","",VLOOKUP(AZ258,βοηθητικό!$J$2:$N$354,3,FALSE))</f>
        <v>_</v>
      </c>
      <c r="BB258" s="44"/>
      <c r="BC258" s="45" t="s">
        <v>16</v>
      </c>
      <c r="BD258" s="46" t="str">
        <f>IF(VLOOKUP(BC258,βοηθητικό!$J$2:$N$354,3,FALSE)="","",VLOOKUP(BC258,βοηθητικό!$J$2:$N$354,3,FALSE))</f>
        <v>_</v>
      </c>
      <c r="BE258" s="47"/>
      <c r="BF258" s="42" t="s">
        <v>16</v>
      </c>
      <c r="BG258" s="43" t="str">
        <f>IF(VLOOKUP(BF258,βοηθητικό!$J$2:$N$354,3,FALSE)="","",VLOOKUP(BF258,βοηθητικό!$J$2:$N$354,3,FALSE))</f>
        <v>_</v>
      </c>
      <c r="BH258" s="44"/>
      <c r="BI258" s="45" t="s">
        <v>16</v>
      </c>
      <c r="BJ258" s="46" t="str">
        <f>IF(VLOOKUP(BI258,βοηθητικό!$J$2:$N$354,3,FALSE)="","",VLOOKUP(BI258,βοηθητικό!$J$2:$N$354,3,FALSE))</f>
        <v>_</v>
      </c>
      <c r="BK258" s="47"/>
      <c r="BL258" s="42" t="s">
        <v>16</v>
      </c>
      <c r="BM258" s="43" t="str">
        <f>IF(VLOOKUP(BL258,βοηθητικό!$J$2:$N$354,3,FALSE)="","",VLOOKUP(BL258,βοηθητικό!$J$2:$N$354,3,FALSE))</f>
        <v>_</v>
      </c>
      <c r="BN258" s="44"/>
      <c r="BO258" s="45" t="s">
        <v>16</v>
      </c>
      <c r="BP258" s="46" t="str">
        <f>IF(VLOOKUP(BO258,βοηθητικό!$J$2:$N$354,3,FALSE)="","",VLOOKUP(BO258,βοηθητικό!$J$2:$N$354,3,FALSE))</f>
        <v>_</v>
      </c>
      <c r="BQ258" s="47"/>
      <c r="BR258" s="42" t="s">
        <v>16</v>
      </c>
      <c r="BS258" s="43" t="str">
        <f>IF(VLOOKUP(BR258,βοηθητικό!$J$2:$N$354,3,FALSE)="","",VLOOKUP(BR258,βοηθητικό!$J$2:$N$354,3,FALSE))</f>
        <v>_</v>
      </c>
      <c r="BT258" s="44"/>
      <c r="BU258" s="45" t="s">
        <v>16</v>
      </c>
      <c r="BV258" s="46" t="str">
        <f>IF(VLOOKUP(BU258,βοηθητικό!$J$2:$N$354,3,FALSE)="","",VLOOKUP(BU258,βοηθητικό!$J$2:$N$354,3,FALSE))</f>
        <v>_</v>
      </c>
      <c r="BW258" s="47"/>
      <c r="BX258" s="42" t="s">
        <v>16</v>
      </c>
      <c r="BY258" s="43" t="str">
        <f>IF(VLOOKUP(BX258,βοηθητικό!$J$2:$N$354,3,FALSE)="","",VLOOKUP(BX258,βοηθητικό!$J$2:$N$354,3,FALSE))</f>
        <v>_</v>
      </c>
      <c r="BZ258" s="44"/>
      <c r="CA258" s="45" t="s">
        <v>16</v>
      </c>
      <c r="CB258" s="46" t="str">
        <f>IF(VLOOKUP(CA258,βοηθητικό!$J$2:$N$354,3,FALSE)="","",VLOOKUP(CA258,βοηθητικό!$J$2:$N$354,3,FALSE))</f>
        <v>_</v>
      </c>
      <c r="CC258" s="47"/>
      <c r="CD258" s="42" t="s">
        <v>16</v>
      </c>
      <c r="CE258" s="43" t="str">
        <f>IF(VLOOKUP(CD258,βοηθητικό!$J$2:$N$354,3,FALSE)="","",VLOOKUP(CD258,βοηθητικό!$J$2:$N$354,3,FALSE))</f>
        <v>_</v>
      </c>
      <c r="CF258" s="44"/>
      <c r="CG258" s="45" t="s">
        <v>16</v>
      </c>
      <c r="CH258" s="46" t="str">
        <f>IF(VLOOKUP(CG258,βοηθητικό!$J$2:$N$354,3,FALSE)="","",VLOOKUP(CG258,βοηθητικό!$J$2:$N$354,3,FALSE))</f>
        <v>_</v>
      </c>
      <c r="CI258" s="47"/>
      <c r="CJ258" s="42" t="s">
        <v>16</v>
      </c>
      <c r="CK258" s="43" t="str">
        <f>IF(VLOOKUP(CJ258,βοηθητικό!$J$2:$N$354,3,FALSE)="","",VLOOKUP(CJ258,βοηθητικό!$J$2:$N$354,3,FALSE))</f>
        <v>_</v>
      </c>
      <c r="CL258" s="44"/>
      <c r="CM258" s="45" t="s">
        <v>16</v>
      </c>
      <c r="CN258" s="46" t="str">
        <f>IF(VLOOKUP(CM258,βοηθητικό!$J$2:$N$354,3,FALSE)="","",VLOOKUP(CM258,βοηθητικό!$J$2:$N$354,3,FALSE))</f>
        <v>_</v>
      </c>
      <c r="CO258" s="47"/>
      <c r="CP258" s="42" t="s">
        <v>16</v>
      </c>
      <c r="CQ258" s="43" t="str">
        <f>IF(VLOOKUP(CP258,βοηθητικό!$J$2:$N$354,3,FALSE)="","",VLOOKUP(CP258,βοηθητικό!$J$2:$N$354,3,FALSE))</f>
        <v>_</v>
      </c>
      <c r="CR258" s="44"/>
      <c r="CS258" s="45" t="s">
        <v>16</v>
      </c>
      <c r="CT258" s="46" t="str">
        <f>IF(VLOOKUP(CS258,βοηθητικό!$J$2:$N$354,3,FALSE)="","",VLOOKUP(CS258,βοηθητικό!$J$2:$N$354,3,FALSE))</f>
        <v>_</v>
      </c>
      <c r="CU258" s="47"/>
    </row>
    <row r="259" spans="1:99" x14ac:dyDescent="0.25">
      <c r="A259" s="37">
        <f>--SUBTOTAL(3,$B$3:B258)</f>
        <v>198</v>
      </c>
      <c r="B259" s="2"/>
      <c r="C259" s="3"/>
      <c r="D259" s="55" t="s">
        <v>18</v>
      </c>
      <c r="E259" s="38" t="s">
        <v>16</v>
      </c>
      <c r="F259" s="38" t="s">
        <v>16</v>
      </c>
      <c r="G259" s="39" t="str">
        <f t="shared" si="11"/>
        <v>__</v>
      </c>
      <c r="H259" s="40" t="str">
        <f t="shared" si="12"/>
        <v>FALSE</v>
      </c>
      <c r="I259" s="41">
        <f t="shared" si="13"/>
        <v>0</v>
      </c>
      <c r="J259" s="4" t="s">
        <v>16</v>
      </c>
      <c r="K259" s="43" t="str">
        <f>IF(VLOOKUP(J259,βοηθητικό!$J$2:$N$354,3,FALSE)="","",VLOOKUP(J259,βοηθητικό!$J$2:$N$354,3,FALSE))</f>
        <v>_</v>
      </c>
      <c r="L259" s="44"/>
      <c r="M259" s="5" t="s">
        <v>16</v>
      </c>
      <c r="N259" s="46" t="str">
        <f>IF(VLOOKUP(M259,βοηθητικό!$J$2:$N$354,3,FALSE)="","",VLOOKUP(M259,βοηθητικό!$J$2:$N$354,3,FALSE))</f>
        <v>_</v>
      </c>
      <c r="O259" s="47"/>
      <c r="P259" s="4" t="s">
        <v>16</v>
      </c>
      <c r="Q259" s="43" t="str">
        <f>IF(VLOOKUP(P259,βοηθητικό!$J$2:$N$354,3,FALSE)="","",VLOOKUP(P259,βοηθητικό!$J$2:$N$354,3,FALSE))</f>
        <v>_</v>
      </c>
      <c r="R259" s="44"/>
      <c r="S259" s="5" t="s">
        <v>16</v>
      </c>
      <c r="T259" s="46" t="str">
        <f>IF(VLOOKUP(S259,βοηθητικό!$J$2:$N$354,3,FALSE)="","",VLOOKUP(S259,βοηθητικό!$J$2:$N$354,3,FALSE))</f>
        <v>_</v>
      </c>
      <c r="U259" s="47"/>
      <c r="V259" s="4" t="s">
        <v>16</v>
      </c>
      <c r="W259" s="43" t="str">
        <f>IF(VLOOKUP(V259,βοηθητικό!$J$2:$N$354,3,FALSE)="","",VLOOKUP(V259,βοηθητικό!$J$2:$N$354,3,FALSE))</f>
        <v>_</v>
      </c>
      <c r="X259" s="44"/>
      <c r="Y259" s="5" t="s">
        <v>16</v>
      </c>
      <c r="Z259" s="46" t="str">
        <f>IF(VLOOKUP(Y259,βοηθητικό!$J$2:$N$354,3,FALSE)="","",VLOOKUP(Y259,βοηθητικό!$J$2:$N$354,3,FALSE))</f>
        <v>_</v>
      </c>
      <c r="AA259" s="47"/>
      <c r="AB259" s="4" t="s">
        <v>16</v>
      </c>
      <c r="AC259" s="43" t="str">
        <f>IF(VLOOKUP(AB259,βοηθητικό!$J$2:$N$354,3,FALSE)="","",VLOOKUP(AB259,βοηθητικό!$J$2:$N$354,3,FALSE))</f>
        <v>_</v>
      </c>
      <c r="AD259" s="44"/>
      <c r="AE259" s="5" t="s">
        <v>16</v>
      </c>
      <c r="AF259" s="46" t="str">
        <f>IF(VLOOKUP(AE259,βοηθητικό!$J$2:$N$354,3,FALSE)="","",VLOOKUP(AE259,βοηθητικό!$J$2:$N$354,3,FALSE))</f>
        <v>_</v>
      </c>
      <c r="AG259" s="47"/>
      <c r="AH259" s="4" t="s">
        <v>16</v>
      </c>
      <c r="AI259" s="43" t="str">
        <f>IF(VLOOKUP(AH259,βοηθητικό!$J$2:$N$354,3,FALSE)="","",VLOOKUP(AH259,βοηθητικό!$J$2:$N$354,3,FALSE))</f>
        <v>_</v>
      </c>
      <c r="AJ259" s="44"/>
      <c r="AK259" s="5" t="s">
        <v>16</v>
      </c>
      <c r="AL259" s="46" t="str">
        <f>IF(VLOOKUP(AK259,βοηθητικό!$J$2:$N$354,3,FALSE)="","",VLOOKUP(AK259,βοηθητικό!$J$2:$N$354,3,FALSE))</f>
        <v>_</v>
      </c>
      <c r="AM259" s="47"/>
      <c r="AN259" s="4" t="s">
        <v>16</v>
      </c>
      <c r="AO259" s="43" t="str">
        <f>IF(VLOOKUP(AN259,βοηθητικό!$J$2:$N$354,3,FALSE)="","",VLOOKUP(AN259,βοηθητικό!$J$2:$N$354,3,FALSE))</f>
        <v>_</v>
      </c>
      <c r="AP259" s="44"/>
      <c r="AQ259" s="5" t="s">
        <v>16</v>
      </c>
      <c r="AR259" s="46" t="str">
        <f>IF(VLOOKUP(AQ259,βοηθητικό!$J$2:$N$354,3,FALSE)="","",VLOOKUP(AQ259,βοηθητικό!$J$2:$N$354,3,FALSE))</f>
        <v>_</v>
      </c>
      <c r="AS259" s="47"/>
      <c r="AT259" s="4" t="s">
        <v>16</v>
      </c>
      <c r="AU259" s="43" t="str">
        <f>IF(VLOOKUP(AT259,βοηθητικό!$J$2:$N$354,3,FALSE)="","",VLOOKUP(AT259,βοηθητικό!$J$2:$N$354,3,FALSE))</f>
        <v>_</v>
      </c>
      <c r="AV259" s="44"/>
      <c r="AW259" s="5" t="s">
        <v>16</v>
      </c>
      <c r="AX259" s="46" t="str">
        <f>IF(VLOOKUP(AW259,βοηθητικό!$J$2:$N$354,3,FALSE)="","",VLOOKUP(AW259,βοηθητικό!$J$2:$N$354,3,FALSE))</f>
        <v>_</v>
      </c>
      <c r="AY259" s="47"/>
      <c r="AZ259" s="4" t="s">
        <v>16</v>
      </c>
      <c r="BA259" s="43" t="str">
        <f>IF(VLOOKUP(AZ259,βοηθητικό!$J$2:$N$354,3,FALSE)="","",VLOOKUP(AZ259,βοηθητικό!$J$2:$N$354,3,FALSE))</f>
        <v>_</v>
      </c>
      <c r="BB259" s="44"/>
      <c r="BC259" s="45" t="s">
        <v>16</v>
      </c>
      <c r="BD259" s="46" t="str">
        <f>IF(VLOOKUP(BC259,βοηθητικό!$J$2:$N$354,3,FALSE)="","",VLOOKUP(BC259,βοηθητικό!$J$2:$N$354,3,FALSE))</f>
        <v>_</v>
      </c>
      <c r="BE259" s="47"/>
      <c r="BF259" s="42" t="s">
        <v>16</v>
      </c>
      <c r="BG259" s="43" t="str">
        <f>IF(VLOOKUP(BF259,βοηθητικό!$J$2:$N$354,3,FALSE)="","",VLOOKUP(BF259,βοηθητικό!$J$2:$N$354,3,FALSE))</f>
        <v>_</v>
      </c>
      <c r="BH259" s="44"/>
      <c r="BI259" s="45" t="s">
        <v>16</v>
      </c>
      <c r="BJ259" s="46" t="str">
        <f>IF(VLOOKUP(BI259,βοηθητικό!$J$2:$N$354,3,FALSE)="","",VLOOKUP(BI259,βοηθητικό!$J$2:$N$354,3,FALSE))</f>
        <v>_</v>
      </c>
      <c r="BK259" s="47"/>
      <c r="BL259" s="42" t="s">
        <v>16</v>
      </c>
      <c r="BM259" s="43" t="str">
        <f>IF(VLOOKUP(BL259,βοηθητικό!$J$2:$N$354,3,FALSE)="","",VLOOKUP(BL259,βοηθητικό!$J$2:$N$354,3,FALSE))</f>
        <v>_</v>
      </c>
      <c r="BN259" s="44"/>
      <c r="BO259" s="45" t="s">
        <v>16</v>
      </c>
      <c r="BP259" s="46" t="str">
        <f>IF(VLOOKUP(BO259,βοηθητικό!$J$2:$N$354,3,FALSE)="","",VLOOKUP(BO259,βοηθητικό!$J$2:$N$354,3,FALSE))</f>
        <v>_</v>
      </c>
      <c r="BQ259" s="47"/>
      <c r="BR259" s="42" t="s">
        <v>16</v>
      </c>
      <c r="BS259" s="43" t="str">
        <f>IF(VLOOKUP(BR259,βοηθητικό!$J$2:$N$354,3,FALSE)="","",VLOOKUP(BR259,βοηθητικό!$J$2:$N$354,3,FALSE))</f>
        <v>_</v>
      </c>
      <c r="BT259" s="44"/>
      <c r="BU259" s="45" t="s">
        <v>16</v>
      </c>
      <c r="BV259" s="46" t="str">
        <f>IF(VLOOKUP(BU259,βοηθητικό!$J$2:$N$354,3,FALSE)="","",VLOOKUP(BU259,βοηθητικό!$J$2:$N$354,3,FALSE))</f>
        <v>_</v>
      </c>
      <c r="BW259" s="47"/>
      <c r="BX259" s="42" t="s">
        <v>16</v>
      </c>
      <c r="BY259" s="43" t="str">
        <f>IF(VLOOKUP(BX259,βοηθητικό!$J$2:$N$354,3,FALSE)="","",VLOOKUP(BX259,βοηθητικό!$J$2:$N$354,3,FALSE))</f>
        <v>_</v>
      </c>
      <c r="BZ259" s="44"/>
      <c r="CA259" s="45" t="s">
        <v>16</v>
      </c>
      <c r="CB259" s="46" t="str">
        <f>IF(VLOOKUP(CA259,βοηθητικό!$J$2:$N$354,3,FALSE)="","",VLOOKUP(CA259,βοηθητικό!$J$2:$N$354,3,FALSE))</f>
        <v>_</v>
      </c>
      <c r="CC259" s="47"/>
      <c r="CD259" s="42" t="s">
        <v>16</v>
      </c>
      <c r="CE259" s="43" t="str">
        <f>IF(VLOOKUP(CD259,βοηθητικό!$J$2:$N$354,3,FALSE)="","",VLOOKUP(CD259,βοηθητικό!$J$2:$N$354,3,FALSE))</f>
        <v>_</v>
      </c>
      <c r="CF259" s="44"/>
      <c r="CG259" s="45" t="s">
        <v>16</v>
      </c>
      <c r="CH259" s="46" t="str">
        <f>IF(VLOOKUP(CG259,βοηθητικό!$J$2:$N$354,3,FALSE)="","",VLOOKUP(CG259,βοηθητικό!$J$2:$N$354,3,FALSE))</f>
        <v>_</v>
      </c>
      <c r="CI259" s="47"/>
      <c r="CJ259" s="42" t="s">
        <v>16</v>
      </c>
      <c r="CK259" s="43" t="str">
        <f>IF(VLOOKUP(CJ259,βοηθητικό!$J$2:$N$354,3,FALSE)="","",VLOOKUP(CJ259,βοηθητικό!$J$2:$N$354,3,FALSE))</f>
        <v>_</v>
      </c>
      <c r="CL259" s="44"/>
      <c r="CM259" s="45" t="s">
        <v>16</v>
      </c>
      <c r="CN259" s="46" t="str">
        <f>IF(VLOOKUP(CM259,βοηθητικό!$J$2:$N$354,3,FALSE)="","",VLOOKUP(CM259,βοηθητικό!$J$2:$N$354,3,FALSE))</f>
        <v>_</v>
      </c>
      <c r="CO259" s="47"/>
      <c r="CP259" s="42" t="s">
        <v>16</v>
      </c>
      <c r="CQ259" s="43" t="str">
        <f>IF(VLOOKUP(CP259,βοηθητικό!$J$2:$N$354,3,FALSE)="","",VLOOKUP(CP259,βοηθητικό!$J$2:$N$354,3,FALSE))</f>
        <v>_</v>
      </c>
      <c r="CR259" s="44"/>
      <c r="CS259" s="45" t="s">
        <v>16</v>
      </c>
      <c r="CT259" s="46" t="str">
        <f>IF(VLOOKUP(CS259,βοηθητικό!$J$2:$N$354,3,FALSE)="","",VLOOKUP(CS259,βοηθητικό!$J$2:$N$354,3,FALSE))</f>
        <v>_</v>
      </c>
      <c r="CU259" s="47"/>
    </row>
    <row r="260" spans="1:99" x14ac:dyDescent="0.25">
      <c r="A260" s="37">
        <f>--SUBTOTAL(3,$B$3:B259)</f>
        <v>198</v>
      </c>
      <c r="B260" s="2"/>
      <c r="C260" s="3"/>
      <c r="D260" s="55" t="s">
        <v>18</v>
      </c>
      <c r="E260" s="38" t="s">
        <v>16</v>
      </c>
      <c r="F260" s="38" t="s">
        <v>16</v>
      </c>
      <c r="G260" s="39" t="str">
        <f t="shared" ref="G260:G323" si="14">IF(OR(C260="_",E260="_"),"__",CONCATENATE(C260,E260))</f>
        <v>__</v>
      </c>
      <c r="H260" s="40" t="str">
        <f t="shared" ref="H260:H323" si="15">IF(G260="__","FALSE",COUNTIF(G:G,G260)&gt;1)</f>
        <v>FALSE</v>
      </c>
      <c r="I260" s="41">
        <f t="shared" ref="I260:I323" si="16">SUMPRODUCT((J260:CU260&lt;&gt;"_")*(MOD(COLUMN(J260:CU260)-COLUMN(J260),3)=0))</f>
        <v>0</v>
      </c>
      <c r="J260" s="4" t="s">
        <v>16</v>
      </c>
      <c r="K260" s="43" t="str">
        <f>IF(VLOOKUP(J260,βοηθητικό!$J$2:$N$354,3,FALSE)="","",VLOOKUP(J260,βοηθητικό!$J$2:$N$354,3,FALSE))</f>
        <v>_</v>
      </c>
      <c r="L260" s="44"/>
      <c r="M260" s="5" t="s">
        <v>16</v>
      </c>
      <c r="N260" s="46" t="str">
        <f>IF(VLOOKUP(M260,βοηθητικό!$J$2:$N$354,3,FALSE)="","",VLOOKUP(M260,βοηθητικό!$J$2:$N$354,3,FALSE))</f>
        <v>_</v>
      </c>
      <c r="O260" s="47"/>
      <c r="P260" s="4" t="s">
        <v>16</v>
      </c>
      <c r="Q260" s="43" t="str">
        <f>IF(VLOOKUP(P260,βοηθητικό!$J$2:$N$354,3,FALSE)="","",VLOOKUP(P260,βοηθητικό!$J$2:$N$354,3,FALSE))</f>
        <v>_</v>
      </c>
      <c r="R260" s="44"/>
      <c r="S260" s="5" t="s">
        <v>16</v>
      </c>
      <c r="T260" s="46" t="str">
        <f>IF(VLOOKUP(S260,βοηθητικό!$J$2:$N$354,3,FALSE)="","",VLOOKUP(S260,βοηθητικό!$J$2:$N$354,3,FALSE))</f>
        <v>_</v>
      </c>
      <c r="U260" s="47"/>
      <c r="V260" s="4" t="s">
        <v>16</v>
      </c>
      <c r="W260" s="43" t="str">
        <f>IF(VLOOKUP(V260,βοηθητικό!$J$2:$N$354,3,FALSE)="","",VLOOKUP(V260,βοηθητικό!$J$2:$N$354,3,FALSE))</f>
        <v>_</v>
      </c>
      <c r="X260" s="44"/>
      <c r="Y260" s="5" t="s">
        <v>16</v>
      </c>
      <c r="Z260" s="46" t="str">
        <f>IF(VLOOKUP(Y260,βοηθητικό!$J$2:$N$354,3,FALSE)="","",VLOOKUP(Y260,βοηθητικό!$J$2:$N$354,3,FALSE))</f>
        <v>_</v>
      </c>
      <c r="AA260" s="47"/>
      <c r="AB260" s="4" t="s">
        <v>16</v>
      </c>
      <c r="AC260" s="43" t="str">
        <f>IF(VLOOKUP(AB260,βοηθητικό!$J$2:$N$354,3,FALSE)="","",VLOOKUP(AB260,βοηθητικό!$J$2:$N$354,3,FALSE))</f>
        <v>_</v>
      </c>
      <c r="AD260" s="44"/>
      <c r="AE260" s="5" t="s">
        <v>16</v>
      </c>
      <c r="AF260" s="46" t="str">
        <f>IF(VLOOKUP(AE260,βοηθητικό!$J$2:$N$354,3,FALSE)="","",VLOOKUP(AE260,βοηθητικό!$J$2:$N$354,3,FALSE))</f>
        <v>_</v>
      </c>
      <c r="AG260" s="47"/>
      <c r="AH260" s="4" t="s">
        <v>16</v>
      </c>
      <c r="AI260" s="43" t="str">
        <f>IF(VLOOKUP(AH260,βοηθητικό!$J$2:$N$354,3,FALSE)="","",VLOOKUP(AH260,βοηθητικό!$J$2:$N$354,3,FALSE))</f>
        <v>_</v>
      </c>
      <c r="AJ260" s="44"/>
      <c r="AK260" s="5" t="s">
        <v>16</v>
      </c>
      <c r="AL260" s="46" t="str">
        <f>IF(VLOOKUP(AK260,βοηθητικό!$J$2:$N$354,3,FALSE)="","",VLOOKUP(AK260,βοηθητικό!$J$2:$N$354,3,FALSE))</f>
        <v>_</v>
      </c>
      <c r="AM260" s="47"/>
      <c r="AN260" s="4" t="s">
        <v>16</v>
      </c>
      <c r="AO260" s="43" t="str">
        <f>IF(VLOOKUP(AN260,βοηθητικό!$J$2:$N$354,3,FALSE)="","",VLOOKUP(AN260,βοηθητικό!$J$2:$N$354,3,FALSE))</f>
        <v>_</v>
      </c>
      <c r="AP260" s="44"/>
      <c r="AQ260" s="5" t="s">
        <v>16</v>
      </c>
      <c r="AR260" s="46" t="str">
        <f>IF(VLOOKUP(AQ260,βοηθητικό!$J$2:$N$354,3,FALSE)="","",VLOOKUP(AQ260,βοηθητικό!$J$2:$N$354,3,FALSE))</f>
        <v>_</v>
      </c>
      <c r="AS260" s="47"/>
      <c r="AT260" s="4" t="s">
        <v>16</v>
      </c>
      <c r="AU260" s="43" t="str">
        <f>IF(VLOOKUP(AT260,βοηθητικό!$J$2:$N$354,3,FALSE)="","",VLOOKUP(AT260,βοηθητικό!$J$2:$N$354,3,FALSE))</f>
        <v>_</v>
      </c>
      <c r="AV260" s="44"/>
      <c r="AW260" s="5" t="s">
        <v>16</v>
      </c>
      <c r="AX260" s="46" t="str">
        <f>IF(VLOOKUP(AW260,βοηθητικό!$J$2:$N$354,3,FALSE)="","",VLOOKUP(AW260,βοηθητικό!$J$2:$N$354,3,FALSE))</f>
        <v>_</v>
      </c>
      <c r="AY260" s="47"/>
      <c r="AZ260" s="4" t="s">
        <v>16</v>
      </c>
      <c r="BA260" s="43" t="str">
        <f>IF(VLOOKUP(AZ260,βοηθητικό!$J$2:$N$354,3,FALSE)="","",VLOOKUP(AZ260,βοηθητικό!$J$2:$N$354,3,FALSE))</f>
        <v>_</v>
      </c>
      <c r="BB260" s="44"/>
      <c r="BC260" s="45" t="s">
        <v>16</v>
      </c>
      <c r="BD260" s="46" t="str">
        <f>IF(VLOOKUP(BC260,βοηθητικό!$J$2:$N$354,3,FALSE)="","",VLOOKUP(BC260,βοηθητικό!$J$2:$N$354,3,FALSE))</f>
        <v>_</v>
      </c>
      <c r="BE260" s="47"/>
      <c r="BF260" s="42" t="s">
        <v>16</v>
      </c>
      <c r="BG260" s="43" t="str">
        <f>IF(VLOOKUP(BF260,βοηθητικό!$J$2:$N$354,3,FALSE)="","",VLOOKUP(BF260,βοηθητικό!$J$2:$N$354,3,FALSE))</f>
        <v>_</v>
      </c>
      <c r="BH260" s="44"/>
      <c r="BI260" s="45" t="s">
        <v>16</v>
      </c>
      <c r="BJ260" s="46" t="str">
        <f>IF(VLOOKUP(BI260,βοηθητικό!$J$2:$N$354,3,FALSE)="","",VLOOKUP(BI260,βοηθητικό!$J$2:$N$354,3,FALSE))</f>
        <v>_</v>
      </c>
      <c r="BK260" s="47"/>
      <c r="BL260" s="42" t="s">
        <v>16</v>
      </c>
      <c r="BM260" s="43" t="str">
        <f>IF(VLOOKUP(BL260,βοηθητικό!$J$2:$N$354,3,FALSE)="","",VLOOKUP(BL260,βοηθητικό!$J$2:$N$354,3,FALSE))</f>
        <v>_</v>
      </c>
      <c r="BN260" s="44"/>
      <c r="BO260" s="45" t="s">
        <v>16</v>
      </c>
      <c r="BP260" s="46" t="str">
        <f>IF(VLOOKUP(BO260,βοηθητικό!$J$2:$N$354,3,FALSE)="","",VLOOKUP(BO260,βοηθητικό!$J$2:$N$354,3,FALSE))</f>
        <v>_</v>
      </c>
      <c r="BQ260" s="47"/>
      <c r="BR260" s="42" t="s">
        <v>16</v>
      </c>
      <c r="BS260" s="43" t="str">
        <f>IF(VLOOKUP(BR260,βοηθητικό!$J$2:$N$354,3,FALSE)="","",VLOOKUP(BR260,βοηθητικό!$J$2:$N$354,3,FALSE))</f>
        <v>_</v>
      </c>
      <c r="BT260" s="44"/>
      <c r="BU260" s="45" t="s">
        <v>16</v>
      </c>
      <c r="BV260" s="46" t="str">
        <f>IF(VLOOKUP(BU260,βοηθητικό!$J$2:$N$354,3,FALSE)="","",VLOOKUP(BU260,βοηθητικό!$J$2:$N$354,3,FALSE))</f>
        <v>_</v>
      </c>
      <c r="BW260" s="47"/>
      <c r="BX260" s="42" t="s">
        <v>16</v>
      </c>
      <c r="BY260" s="43" t="str">
        <f>IF(VLOOKUP(BX260,βοηθητικό!$J$2:$N$354,3,FALSE)="","",VLOOKUP(BX260,βοηθητικό!$J$2:$N$354,3,FALSE))</f>
        <v>_</v>
      </c>
      <c r="BZ260" s="44"/>
      <c r="CA260" s="45" t="s">
        <v>16</v>
      </c>
      <c r="CB260" s="46" t="str">
        <f>IF(VLOOKUP(CA260,βοηθητικό!$J$2:$N$354,3,FALSE)="","",VLOOKUP(CA260,βοηθητικό!$J$2:$N$354,3,FALSE))</f>
        <v>_</v>
      </c>
      <c r="CC260" s="47"/>
      <c r="CD260" s="42" t="s">
        <v>16</v>
      </c>
      <c r="CE260" s="43" t="str">
        <f>IF(VLOOKUP(CD260,βοηθητικό!$J$2:$N$354,3,FALSE)="","",VLOOKUP(CD260,βοηθητικό!$J$2:$N$354,3,FALSE))</f>
        <v>_</v>
      </c>
      <c r="CF260" s="44"/>
      <c r="CG260" s="45" t="s">
        <v>16</v>
      </c>
      <c r="CH260" s="46" t="str">
        <f>IF(VLOOKUP(CG260,βοηθητικό!$J$2:$N$354,3,FALSE)="","",VLOOKUP(CG260,βοηθητικό!$J$2:$N$354,3,FALSE))</f>
        <v>_</v>
      </c>
      <c r="CI260" s="47"/>
      <c r="CJ260" s="42" t="s">
        <v>16</v>
      </c>
      <c r="CK260" s="43" t="str">
        <f>IF(VLOOKUP(CJ260,βοηθητικό!$J$2:$N$354,3,FALSE)="","",VLOOKUP(CJ260,βοηθητικό!$J$2:$N$354,3,FALSE))</f>
        <v>_</v>
      </c>
      <c r="CL260" s="44"/>
      <c r="CM260" s="45" t="s">
        <v>16</v>
      </c>
      <c r="CN260" s="46" t="str">
        <f>IF(VLOOKUP(CM260,βοηθητικό!$J$2:$N$354,3,FALSE)="","",VLOOKUP(CM260,βοηθητικό!$J$2:$N$354,3,FALSE))</f>
        <v>_</v>
      </c>
      <c r="CO260" s="47"/>
      <c r="CP260" s="42" t="s">
        <v>16</v>
      </c>
      <c r="CQ260" s="43" t="str">
        <f>IF(VLOOKUP(CP260,βοηθητικό!$J$2:$N$354,3,FALSE)="","",VLOOKUP(CP260,βοηθητικό!$J$2:$N$354,3,FALSE))</f>
        <v>_</v>
      </c>
      <c r="CR260" s="44"/>
      <c r="CS260" s="45" t="s">
        <v>16</v>
      </c>
      <c r="CT260" s="46" t="str">
        <f>IF(VLOOKUP(CS260,βοηθητικό!$J$2:$N$354,3,FALSE)="","",VLOOKUP(CS260,βοηθητικό!$J$2:$N$354,3,FALSE))</f>
        <v>_</v>
      </c>
      <c r="CU260" s="47"/>
    </row>
    <row r="261" spans="1:99" x14ac:dyDescent="0.25">
      <c r="A261" s="37">
        <f>--SUBTOTAL(3,$B$3:B260)</f>
        <v>198</v>
      </c>
      <c r="B261" s="2"/>
      <c r="C261" s="3"/>
      <c r="D261" s="55" t="s">
        <v>18</v>
      </c>
      <c r="E261" s="38" t="s">
        <v>16</v>
      </c>
      <c r="F261" s="38" t="s">
        <v>16</v>
      </c>
      <c r="G261" s="39" t="str">
        <f t="shared" si="14"/>
        <v>__</v>
      </c>
      <c r="H261" s="40" t="str">
        <f t="shared" si="15"/>
        <v>FALSE</v>
      </c>
      <c r="I261" s="41">
        <f t="shared" si="16"/>
        <v>0</v>
      </c>
      <c r="J261" s="4" t="s">
        <v>16</v>
      </c>
      <c r="K261" s="43" t="str">
        <f>IF(VLOOKUP(J261,βοηθητικό!$J$2:$N$354,3,FALSE)="","",VLOOKUP(J261,βοηθητικό!$J$2:$N$354,3,FALSE))</f>
        <v>_</v>
      </c>
      <c r="L261" s="44"/>
      <c r="M261" s="5" t="s">
        <v>16</v>
      </c>
      <c r="N261" s="46" t="str">
        <f>IF(VLOOKUP(M261,βοηθητικό!$J$2:$N$354,3,FALSE)="","",VLOOKUP(M261,βοηθητικό!$J$2:$N$354,3,FALSE))</f>
        <v>_</v>
      </c>
      <c r="O261" s="47"/>
      <c r="P261" s="4" t="s">
        <v>16</v>
      </c>
      <c r="Q261" s="43" t="str">
        <f>IF(VLOOKUP(P261,βοηθητικό!$J$2:$N$354,3,FALSE)="","",VLOOKUP(P261,βοηθητικό!$J$2:$N$354,3,FALSE))</f>
        <v>_</v>
      </c>
      <c r="R261" s="44"/>
      <c r="S261" s="5" t="s">
        <v>16</v>
      </c>
      <c r="T261" s="46" t="str">
        <f>IF(VLOOKUP(S261,βοηθητικό!$J$2:$N$354,3,FALSE)="","",VLOOKUP(S261,βοηθητικό!$J$2:$N$354,3,FALSE))</f>
        <v>_</v>
      </c>
      <c r="U261" s="47"/>
      <c r="V261" s="4" t="s">
        <v>16</v>
      </c>
      <c r="W261" s="43" t="str">
        <f>IF(VLOOKUP(V261,βοηθητικό!$J$2:$N$354,3,FALSE)="","",VLOOKUP(V261,βοηθητικό!$J$2:$N$354,3,FALSE))</f>
        <v>_</v>
      </c>
      <c r="X261" s="44"/>
      <c r="Y261" s="5" t="s">
        <v>16</v>
      </c>
      <c r="Z261" s="46" t="str">
        <f>IF(VLOOKUP(Y261,βοηθητικό!$J$2:$N$354,3,FALSE)="","",VLOOKUP(Y261,βοηθητικό!$J$2:$N$354,3,FALSE))</f>
        <v>_</v>
      </c>
      <c r="AA261" s="47"/>
      <c r="AB261" s="4" t="s">
        <v>16</v>
      </c>
      <c r="AC261" s="43" t="str">
        <f>IF(VLOOKUP(AB261,βοηθητικό!$J$2:$N$354,3,FALSE)="","",VLOOKUP(AB261,βοηθητικό!$J$2:$N$354,3,FALSE))</f>
        <v>_</v>
      </c>
      <c r="AD261" s="44"/>
      <c r="AE261" s="5" t="s">
        <v>16</v>
      </c>
      <c r="AF261" s="46" t="str">
        <f>IF(VLOOKUP(AE261,βοηθητικό!$J$2:$N$354,3,FALSE)="","",VLOOKUP(AE261,βοηθητικό!$J$2:$N$354,3,FALSE))</f>
        <v>_</v>
      </c>
      <c r="AG261" s="47"/>
      <c r="AH261" s="4" t="s">
        <v>16</v>
      </c>
      <c r="AI261" s="43" t="str">
        <f>IF(VLOOKUP(AH261,βοηθητικό!$J$2:$N$354,3,FALSE)="","",VLOOKUP(AH261,βοηθητικό!$J$2:$N$354,3,FALSE))</f>
        <v>_</v>
      </c>
      <c r="AJ261" s="44"/>
      <c r="AK261" s="5" t="s">
        <v>16</v>
      </c>
      <c r="AL261" s="46" t="str">
        <f>IF(VLOOKUP(AK261,βοηθητικό!$J$2:$N$354,3,FALSE)="","",VLOOKUP(AK261,βοηθητικό!$J$2:$N$354,3,FALSE))</f>
        <v>_</v>
      </c>
      <c r="AM261" s="47"/>
      <c r="AN261" s="4" t="s">
        <v>16</v>
      </c>
      <c r="AO261" s="43" t="str">
        <f>IF(VLOOKUP(AN261,βοηθητικό!$J$2:$N$354,3,FALSE)="","",VLOOKUP(AN261,βοηθητικό!$J$2:$N$354,3,FALSE))</f>
        <v>_</v>
      </c>
      <c r="AP261" s="44"/>
      <c r="AQ261" s="5" t="s">
        <v>16</v>
      </c>
      <c r="AR261" s="46" t="str">
        <f>IF(VLOOKUP(AQ261,βοηθητικό!$J$2:$N$354,3,FALSE)="","",VLOOKUP(AQ261,βοηθητικό!$J$2:$N$354,3,FALSE))</f>
        <v>_</v>
      </c>
      <c r="AS261" s="47"/>
      <c r="AT261" s="4" t="s">
        <v>16</v>
      </c>
      <c r="AU261" s="43" t="str">
        <f>IF(VLOOKUP(AT261,βοηθητικό!$J$2:$N$354,3,FALSE)="","",VLOOKUP(AT261,βοηθητικό!$J$2:$N$354,3,FALSE))</f>
        <v>_</v>
      </c>
      <c r="AV261" s="44"/>
      <c r="AW261" s="5" t="s">
        <v>16</v>
      </c>
      <c r="AX261" s="46" t="str">
        <f>IF(VLOOKUP(AW261,βοηθητικό!$J$2:$N$354,3,FALSE)="","",VLOOKUP(AW261,βοηθητικό!$J$2:$N$354,3,FALSE))</f>
        <v>_</v>
      </c>
      <c r="AY261" s="47"/>
      <c r="AZ261" s="4" t="s">
        <v>16</v>
      </c>
      <c r="BA261" s="43" t="str">
        <f>IF(VLOOKUP(AZ261,βοηθητικό!$J$2:$N$354,3,FALSE)="","",VLOOKUP(AZ261,βοηθητικό!$J$2:$N$354,3,FALSE))</f>
        <v>_</v>
      </c>
      <c r="BB261" s="44"/>
      <c r="BC261" s="45" t="s">
        <v>16</v>
      </c>
      <c r="BD261" s="46" t="str">
        <f>IF(VLOOKUP(BC261,βοηθητικό!$J$2:$N$354,3,FALSE)="","",VLOOKUP(BC261,βοηθητικό!$J$2:$N$354,3,FALSE))</f>
        <v>_</v>
      </c>
      <c r="BE261" s="47"/>
      <c r="BF261" s="42" t="s">
        <v>16</v>
      </c>
      <c r="BG261" s="43" t="str">
        <f>IF(VLOOKUP(BF261,βοηθητικό!$J$2:$N$354,3,FALSE)="","",VLOOKUP(BF261,βοηθητικό!$J$2:$N$354,3,FALSE))</f>
        <v>_</v>
      </c>
      <c r="BH261" s="44"/>
      <c r="BI261" s="45" t="s">
        <v>16</v>
      </c>
      <c r="BJ261" s="46" t="str">
        <f>IF(VLOOKUP(BI261,βοηθητικό!$J$2:$N$354,3,FALSE)="","",VLOOKUP(BI261,βοηθητικό!$J$2:$N$354,3,FALSE))</f>
        <v>_</v>
      </c>
      <c r="BK261" s="47"/>
      <c r="BL261" s="42" t="s">
        <v>16</v>
      </c>
      <c r="BM261" s="43" t="str">
        <f>IF(VLOOKUP(BL261,βοηθητικό!$J$2:$N$354,3,FALSE)="","",VLOOKUP(BL261,βοηθητικό!$J$2:$N$354,3,FALSE))</f>
        <v>_</v>
      </c>
      <c r="BN261" s="44"/>
      <c r="BO261" s="45" t="s">
        <v>16</v>
      </c>
      <c r="BP261" s="46" t="str">
        <f>IF(VLOOKUP(BO261,βοηθητικό!$J$2:$N$354,3,FALSE)="","",VLOOKUP(BO261,βοηθητικό!$J$2:$N$354,3,FALSE))</f>
        <v>_</v>
      </c>
      <c r="BQ261" s="47"/>
      <c r="BR261" s="42" t="s">
        <v>16</v>
      </c>
      <c r="BS261" s="43" t="str">
        <f>IF(VLOOKUP(BR261,βοηθητικό!$J$2:$N$354,3,FALSE)="","",VLOOKUP(BR261,βοηθητικό!$J$2:$N$354,3,FALSE))</f>
        <v>_</v>
      </c>
      <c r="BT261" s="44"/>
      <c r="BU261" s="45" t="s">
        <v>16</v>
      </c>
      <c r="BV261" s="46" t="str">
        <f>IF(VLOOKUP(BU261,βοηθητικό!$J$2:$N$354,3,FALSE)="","",VLOOKUP(BU261,βοηθητικό!$J$2:$N$354,3,FALSE))</f>
        <v>_</v>
      </c>
      <c r="BW261" s="47"/>
      <c r="BX261" s="42" t="s">
        <v>16</v>
      </c>
      <c r="BY261" s="43" t="str">
        <f>IF(VLOOKUP(BX261,βοηθητικό!$J$2:$N$354,3,FALSE)="","",VLOOKUP(BX261,βοηθητικό!$J$2:$N$354,3,FALSE))</f>
        <v>_</v>
      </c>
      <c r="BZ261" s="44"/>
      <c r="CA261" s="45" t="s">
        <v>16</v>
      </c>
      <c r="CB261" s="46" t="str">
        <f>IF(VLOOKUP(CA261,βοηθητικό!$J$2:$N$354,3,FALSE)="","",VLOOKUP(CA261,βοηθητικό!$J$2:$N$354,3,FALSE))</f>
        <v>_</v>
      </c>
      <c r="CC261" s="47"/>
      <c r="CD261" s="42" t="s">
        <v>16</v>
      </c>
      <c r="CE261" s="43" t="str">
        <f>IF(VLOOKUP(CD261,βοηθητικό!$J$2:$N$354,3,FALSE)="","",VLOOKUP(CD261,βοηθητικό!$J$2:$N$354,3,FALSE))</f>
        <v>_</v>
      </c>
      <c r="CF261" s="44"/>
      <c r="CG261" s="45" t="s">
        <v>16</v>
      </c>
      <c r="CH261" s="46" t="str">
        <f>IF(VLOOKUP(CG261,βοηθητικό!$J$2:$N$354,3,FALSE)="","",VLOOKUP(CG261,βοηθητικό!$J$2:$N$354,3,FALSE))</f>
        <v>_</v>
      </c>
      <c r="CI261" s="47"/>
      <c r="CJ261" s="42" t="s">
        <v>16</v>
      </c>
      <c r="CK261" s="43" t="str">
        <f>IF(VLOOKUP(CJ261,βοηθητικό!$J$2:$N$354,3,FALSE)="","",VLOOKUP(CJ261,βοηθητικό!$J$2:$N$354,3,FALSE))</f>
        <v>_</v>
      </c>
      <c r="CL261" s="44"/>
      <c r="CM261" s="45" t="s">
        <v>16</v>
      </c>
      <c r="CN261" s="46" t="str">
        <f>IF(VLOOKUP(CM261,βοηθητικό!$J$2:$N$354,3,FALSE)="","",VLOOKUP(CM261,βοηθητικό!$J$2:$N$354,3,FALSE))</f>
        <v>_</v>
      </c>
      <c r="CO261" s="47"/>
      <c r="CP261" s="42" t="s">
        <v>16</v>
      </c>
      <c r="CQ261" s="43" t="str">
        <f>IF(VLOOKUP(CP261,βοηθητικό!$J$2:$N$354,3,FALSE)="","",VLOOKUP(CP261,βοηθητικό!$J$2:$N$354,3,FALSE))</f>
        <v>_</v>
      </c>
      <c r="CR261" s="44"/>
      <c r="CS261" s="45" t="s">
        <v>16</v>
      </c>
      <c r="CT261" s="46" t="str">
        <f>IF(VLOOKUP(CS261,βοηθητικό!$J$2:$N$354,3,FALSE)="","",VLOOKUP(CS261,βοηθητικό!$J$2:$N$354,3,FALSE))</f>
        <v>_</v>
      </c>
      <c r="CU261" s="47"/>
    </row>
    <row r="262" spans="1:99" x14ac:dyDescent="0.25">
      <c r="A262" s="37">
        <f>--SUBTOTAL(3,$B$3:B261)</f>
        <v>198</v>
      </c>
      <c r="B262" s="2"/>
      <c r="C262" s="3"/>
      <c r="D262" s="55" t="s">
        <v>18</v>
      </c>
      <c r="E262" s="38" t="s">
        <v>16</v>
      </c>
      <c r="F262" s="38" t="s">
        <v>16</v>
      </c>
      <c r="G262" s="39" t="str">
        <f t="shared" si="14"/>
        <v>__</v>
      </c>
      <c r="H262" s="40" t="str">
        <f t="shared" si="15"/>
        <v>FALSE</v>
      </c>
      <c r="I262" s="41">
        <f t="shared" si="16"/>
        <v>0</v>
      </c>
      <c r="J262" s="4" t="s">
        <v>16</v>
      </c>
      <c r="K262" s="43" t="str">
        <f>IF(VLOOKUP(J262,βοηθητικό!$J$2:$N$354,3,FALSE)="","",VLOOKUP(J262,βοηθητικό!$J$2:$N$354,3,FALSE))</f>
        <v>_</v>
      </c>
      <c r="L262" s="44"/>
      <c r="M262" s="5" t="s">
        <v>16</v>
      </c>
      <c r="N262" s="46" t="str">
        <f>IF(VLOOKUP(M262,βοηθητικό!$J$2:$N$354,3,FALSE)="","",VLOOKUP(M262,βοηθητικό!$J$2:$N$354,3,FALSE))</f>
        <v>_</v>
      </c>
      <c r="O262" s="47"/>
      <c r="P262" s="4" t="s">
        <v>16</v>
      </c>
      <c r="Q262" s="43" t="str">
        <f>IF(VLOOKUP(P262,βοηθητικό!$J$2:$N$354,3,FALSE)="","",VLOOKUP(P262,βοηθητικό!$J$2:$N$354,3,FALSE))</f>
        <v>_</v>
      </c>
      <c r="R262" s="44"/>
      <c r="S262" s="5" t="s">
        <v>16</v>
      </c>
      <c r="T262" s="46" t="str">
        <f>IF(VLOOKUP(S262,βοηθητικό!$J$2:$N$354,3,FALSE)="","",VLOOKUP(S262,βοηθητικό!$J$2:$N$354,3,FALSE))</f>
        <v>_</v>
      </c>
      <c r="U262" s="47"/>
      <c r="V262" s="4" t="s">
        <v>16</v>
      </c>
      <c r="W262" s="43" t="str">
        <f>IF(VLOOKUP(V262,βοηθητικό!$J$2:$N$354,3,FALSE)="","",VLOOKUP(V262,βοηθητικό!$J$2:$N$354,3,FALSE))</f>
        <v>_</v>
      </c>
      <c r="X262" s="44"/>
      <c r="Y262" s="5" t="s">
        <v>16</v>
      </c>
      <c r="Z262" s="46" t="str">
        <f>IF(VLOOKUP(Y262,βοηθητικό!$J$2:$N$354,3,FALSE)="","",VLOOKUP(Y262,βοηθητικό!$J$2:$N$354,3,FALSE))</f>
        <v>_</v>
      </c>
      <c r="AA262" s="47"/>
      <c r="AB262" s="4" t="s">
        <v>16</v>
      </c>
      <c r="AC262" s="43" t="str">
        <f>IF(VLOOKUP(AB262,βοηθητικό!$J$2:$N$354,3,FALSE)="","",VLOOKUP(AB262,βοηθητικό!$J$2:$N$354,3,FALSE))</f>
        <v>_</v>
      </c>
      <c r="AD262" s="44"/>
      <c r="AE262" s="5" t="s">
        <v>16</v>
      </c>
      <c r="AF262" s="46" t="str">
        <f>IF(VLOOKUP(AE262,βοηθητικό!$J$2:$N$354,3,FALSE)="","",VLOOKUP(AE262,βοηθητικό!$J$2:$N$354,3,FALSE))</f>
        <v>_</v>
      </c>
      <c r="AG262" s="47"/>
      <c r="AH262" s="4" t="s">
        <v>16</v>
      </c>
      <c r="AI262" s="43" t="str">
        <f>IF(VLOOKUP(AH262,βοηθητικό!$J$2:$N$354,3,FALSE)="","",VLOOKUP(AH262,βοηθητικό!$J$2:$N$354,3,FALSE))</f>
        <v>_</v>
      </c>
      <c r="AJ262" s="44"/>
      <c r="AK262" s="5" t="s">
        <v>16</v>
      </c>
      <c r="AL262" s="46" t="str">
        <f>IF(VLOOKUP(AK262,βοηθητικό!$J$2:$N$354,3,FALSE)="","",VLOOKUP(AK262,βοηθητικό!$J$2:$N$354,3,FALSE))</f>
        <v>_</v>
      </c>
      <c r="AM262" s="47"/>
      <c r="AN262" s="4" t="s">
        <v>16</v>
      </c>
      <c r="AO262" s="43" t="str">
        <f>IF(VLOOKUP(AN262,βοηθητικό!$J$2:$N$354,3,FALSE)="","",VLOOKUP(AN262,βοηθητικό!$J$2:$N$354,3,FALSE))</f>
        <v>_</v>
      </c>
      <c r="AP262" s="44"/>
      <c r="AQ262" s="5" t="s">
        <v>16</v>
      </c>
      <c r="AR262" s="46" t="str">
        <f>IF(VLOOKUP(AQ262,βοηθητικό!$J$2:$N$354,3,FALSE)="","",VLOOKUP(AQ262,βοηθητικό!$J$2:$N$354,3,FALSE))</f>
        <v>_</v>
      </c>
      <c r="AS262" s="47"/>
      <c r="AT262" s="4" t="s">
        <v>16</v>
      </c>
      <c r="AU262" s="43" t="str">
        <f>IF(VLOOKUP(AT262,βοηθητικό!$J$2:$N$354,3,FALSE)="","",VLOOKUP(AT262,βοηθητικό!$J$2:$N$354,3,FALSE))</f>
        <v>_</v>
      </c>
      <c r="AV262" s="44"/>
      <c r="AW262" s="5" t="s">
        <v>16</v>
      </c>
      <c r="AX262" s="46" t="str">
        <f>IF(VLOOKUP(AW262,βοηθητικό!$J$2:$N$354,3,FALSE)="","",VLOOKUP(AW262,βοηθητικό!$J$2:$N$354,3,FALSE))</f>
        <v>_</v>
      </c>
      <c r="AY262" s="47"/>
      <c r="AZ262" s="4" t="s">
        <v>16</v>
      </c>
      <c r="BA262" s="43" t="str">
        <f>IF(VLOOKUP(AZ262,βοηθητικό!$J$2:$N$354,3,FALSE)="","",VLOOKUP(AZ262,βοηθητικό!$J$2:$N$354,3,FALSE))</f>
        <v>_</v>
      </c>
      <c r="BB262" s="44"/>
      <c r="BC262" s="45" t="s">
        <v>16</v>
      </c>
      <c r="BD262" s="46" t="str">
        <f>IF(VLOOKUP(BC262,βοηθητικό!$J$2:$N$354,3,FALSE)="","",VLOOKUP(BC262,βοηθητικό!$J$2:$N$354,3,FALSE))</f>
        <v>_</v>
      </c>
      <c r="BE262" s="47"/>
      <c r="BF262" s="42" t="s">
        <v>16</v>
      </c>
      <c r="BG262" s="43" t="str">
        <f>IF(VLOOKUP(BF262,βοηθητικό!$J$2:$N$354,3,FALSE)="","",VLOOKUP(BF262,βοηθητικό!$J$2:$N$354,3,FALSE))</f>
        <v>_</v>
      </c>
      <c r="BH262" s="44"/>
      <c r="BI262" s="45" t="s">
        <v>16</v>
      </c>
      <c r="BJ262" s="46" t="str">
        <f>IF(VLOOKUP(BI262,βοηθητικό!$J$2:$N$354,3,FALSE)="","",VLOOKUP(BI262,βοηθητικό!$J$2:$N$354,3,FALSE))</f>
        <v>_</v>
      </c>
      <c r="BK262" s="47"/>
      <c r="BL262" s="42" t="s">
        <v>16</v>
      </c>
      <c r="BM262" s="43" t="str">
        <f>IF(VLOOKUP(BL262,βοηθητικό!$J$2:$N$354,3,FALSE)="","",VLOOKUP(BL262,βοηθητικό!$J$2:$N$354,3,FALSE))</f>
        <v>_</v>
      </c>
      <c r="BN262" s="44"/>
      <c r="BO262" s="45" t="s">
        <v>16</v>
      </c>
      <c r="BP262" s="46" t="str">
        <f>IF(VLOOKUP(BO262,βοηθητικό!$J$2:$N$354,3,FALSE)="","",VLOOKUP(BO262,βοηθητικό!$J$2:$N$354,3,FALSE))</f>
        <v>_</v>
      </c>
      <c r="BQ262" s="47"/>
      <c r="BR262" s="42" t="s">
        <v>16</v>
      </c>
      <c r="BS262" s="43" t="str">
        <f>IF(VLOOKUP(BR262,βοηθητικό!$J$2:$N$354,3,FALSE)="","",VLOOKUP(BR262,βοηθητικό!$J$2:$N$354,3,FALSE))</f>
        <v>_</v>
      </c>
      <c r="BT262" s="44"/>
      <c r="BU262" s="45" t="s">
        <v>16</v>
      </c>
      <c r="BV262" s="46" t="str">
        <f>IF(VLOOKUP(BU262,βοηθητικό!$J$2:$N$354,3,FALSE)="","",VLOOKUP(BU262,βοηθητικό!$J$2:$N$354,3,FALSE))</f>
        <v>_</v>
      </c>
      <c r="BW262" s="47"/>
      <c r="BX262" s="42" t="s">
        <v>16</v>
      </c>
      <c r="BY262" s="43" t="str">
        <f>IF(VLOOKUP(BX262,βοηθητικό!$J$2:$N$354,3,FALSE)="","",VLOOKUP(BX262,βοηθητικό!$J$2:$N$354,3,FALSE))</f>
        <v>_</v>
      </c>
      <c r="BZ262" s="44"/>
      <c r="CA262" s="45" t="s">
        <v>16</v>
      </c>
      <c r="CB262" s="46" t="str">
        <f>IF(VLOOKUP(CA262,βοηθητικό!$J$2:$N$354,3,FALSE)="","",VLOOKUP(CA262,βοηθητικό!$J$2:$N$354,3,FALSE))</f>
        <v>_</v>
      </c>
      <c r="CC262" s="47"/>
      <c r="CD262" s="42" t="s">
        <v>16</v>
      </c>
      <c r="CE262" s="43" t="str">
        <f>IF(VLOOKUP(CD262,βοηθητικό!$J$2:$N$354,3,FALSE)="","",VLOOKUP(CD262,βοηθητικό!$J$2:$N$354,3,FALSE))</f>
        <v>_</v>
      </c>
      <c r="CF262" s="44"/>
      <c r="CG262" s="45" t="s">
        <v>16</v>
      </c>
      <c r="CH262" s="46" t="str">
        <f>IF(VLOOKUP(CG262,βοηθητικό!$J$2:$N$354,3,FALSE)="","",VLOOKUP(CG262,βοηθητικό!$J$2:$N$354,3,FALSE))</f>
        <v>_</v>
      </c>
      <c r="CI262" s="47"/>
      <c r="CJ262" s="42" t="s">
        <v>16</v>
      </c>
      <c r="CK262" s="43" t="str">
        <f>IF(VLOOKUP(CJ262,βοηθητικό!$J$2:$N$354,3,FALSE)="","",VLOOKUP(CJ262,βοηθητικό!$J$2:$N$354,3,FALSE))</f>
        <v>_</v>
      </c>
      <c r="CL262" s="44"/>
      <c r="CM262" s="45" t="s">
        <v>16</v>
      </c>
      <c r="CN262" s="46" t="str">
        <f>IF(VLOOKUP(CM262,βοηθητικό!$J$2:$N$354,3,FALSE)="","",VLOOKUP(CM262,βοηθητικό!$J$2:$N$354,3,FALSE))</f>
        <v>_</v>
      </c>
      <c r="CO262" s="47"/>
      <c r="CP262" s="42" t="s">
        <v>16</v>
      </c>
      <c r="CQ262" s="43" t="str">
        <f>IF(VLOOKUP(CP262,βοηθητικό!$J$2:$N$354,3,FALSE)="","",VLOOKUP(CP262,βοηθητικό!$J$2:$N$354,3,FALSE))</f>
        <v>_</v>
      </c>
      <c r="CR262" s="44"/>
      <c r="CS262" s="45" t="s">
        <v>16</v>
      </c>
      <c r="CT262" s="46" t="str">
        <f>IF(VLOOKUP(CS262,βοηθητικό!$J$2:$N$354,3,FALSE)="","",VLOOKUP(CS262,βοηθητικό!$J$2:$N$354,3,FALSE))</f>
        <v>_</v>
      </c>
      <c r="CU262" s="47"/>
    </row>
    <row r="263" spans="1:99" x14ac:dyDescent="0.25">
      <c r="A263" s="37">
        <f>--SUBTOTAL(3,$B$3:B262)</f>
        <v>198</v>
      </c>
      <c r="B263" s="2"/>
      <c r="C263" s="3"/>
      <c r="D263" s="55" t="s">
        <v>18</v>
      </c>
      <c r="E263" s="38" t="s">
        <v>16</v>
      </c>
      <c r="F263" s="38" t="s">
        <v>16</v>
      </c>
      <c r="G263" s="39" t="str">
        <f t="shared" si="14"/>
        <v>__</v>
      </c>
      <c r="H263" s="40" t="str">
        <f t="shared" si="15"/>
        <v>FALSE</v>
      </c>
      <c r="I263" s="41">
        <f t="shared" si="16"/>
        <v>0</v>
      </c>
      <c r="J263" s="4" t="s">
        <v>16</v>
      </c>
      <c r="K263" s="43" t="str">
        <f>IF(VLOOKUP(J263,βοηθητικό!$J$2:$N$354,3,FALSE)="","",VLOOKUP(J263,βοηθητικό!$J$2:$N$354,3,FALSE))</f>
        <v>_</v>
      </c>
      <c r="L263" s="44"/>
      <c r="M263" s="5" t="s">
        <v>16</v>
      </c>
      <c r="N263" s="46" t="str">
        <f>IF(VLOOKUP(M263,βοηθητικό!$J$2:$N$354,3,FALSE)="","",VLOOKUP(M263,βοηθητικό!$J$2:$N$354,3,FALSE))</f>
        <v>_</v>
      </c>
      <c r="O263" s="47"/>
      <c r="P263" s="4" t="s">
        <v>16</v>
      </c>
      <c r="Q263" s="43" t="str">
        <f>IF(VLOOKUP(P263,βοηθητικό!$J$2:$N$354,3,FALSE)="","",VLOOKUP(P263,βοηθητικό!$J$2:$N$354,3,FALSE))</f>
        <v>_</v>
      </c>
      <c r="R263" s="44"/>
      <c r="S263" s="5" t="s">
        <v>16</v>
      </c>
      <c r="T263" s="46" t="str">
        <f>IF(VLOOKUP(S263,βοηθητικό!$J$2:$N$354,3,FALSE)="","",VLOOKUP(S263,βοηθητικό!$J$2:$N$354,3,FALSE))</f>
        <v>_</v>
      </c>
      <c r="U263" s="47"/>
      <c r="V263" s="4" t="s">
        <v>16</v>
      </c>
      <c r="W263" s="43" t="str">
        <f>IF(VLOOKUP(V263,βοηθητικό!$J$2:$N$354,3,FALSE)="","",VLOOKUP(V263,βοηθητικό!$J$2:$N$354,3,FALSE))</f>
        <v>_</v>
      </c>
      <c r="X263" s="44"/>
      <c r="Y263" s="5" t="s">
        <v>16</v>
      </c>
      <c r="Z263" s="46" t="str">
        <f>IF(VLOOKUP(Y263,βοηθητικό!$J$2:$N$354,3,FALSE)="","",VLOOKUP(Y263,βοηθητικό!$J$2:$N$354,3,FALSE))</f>
        <v>_</v>
      </c>
      <c r="AA263" s="47"/>
      <c r="AB263" s="4" t="s">
        <v>16</v>
      </c>
      <c r="AC263" s="43" t="str">
        <f>IF(VLOOKUP(AB263,βοηθητικό!$J$2:$N$354,3,FALSE)="","",VLOOKUP(AB263,βοηθητικό!$J$2:$N$354,3,FALSE))</f>
        <v>_</v>
      </c>
      <c r="AD263" s="44"/>
      <c r="AE263" s="5" t="s">
        <v>16</v>
      </c>
      <c r="AF263" s="46" t="str">
        <f>IF(VLOOKUP(AE263,βοηθητικό!$J$2:$N$354,3,FALSE)="","",VLOOKUP(AE263,βοηθητικό!$J$2:$N$354,3,FALSE))</f>
        <v>_</v>
      </c>
      <c r="AG263" s="47"/>
      <c r="AH263" s="4" t="s">
        <v>16</v>
      </c>
      <c r="AI263" s="43" t="str">
        <f>IF(VLOOKUP(AH263,βοηθητικό!$J$2:$N$354,3,FALSE)="","",VLOOKUP(AH263,βοηθητικό!$J$2:$N$354,3,FALSE))</f>
        <v>_</v>
      </c>
      <c r="AJ263" s="44"/>
      <c r="AK263" s="5" t="s">
        <v>16</v>
      </c>
      <c r="AL263" s="46" t="str">
        <f>IF(VLOOKUP(AK263,βοηθητικό!$J$2:$N$354,3,FALSE)="","",VLOOKUP(AK263,βοηθητικό!$J$2:$N$354,3,FALSE))</f>
        <v>_</v>
      </c>
      <c r="AM263" s="47"/>
      <c r="AN263" s="4" t="s">
        <v>16</v>
      </c>
      <c r="AO263" s="43" t="str">
        <f>IF(VLOOKUP(AN263,βοηθητικό!$J$2:$N$354,3,FALSE)="","",VLOOKUP(AN263,βοηθητικό!$J$2:$N$354,3,FALSE))</f>
        <v>_</v>
      </c>
      <c r="AP263" s="44"/>
      <c r="AQ263" s="5" t="s">
        <v>16</v>
      </c>
      <c r="AR263" s="46" t="str">
        <f>IF(VLOOKUP(AQ263,βοηθητικό!$J$2:$N$354,3,FALSE)="","",VLOOKUP(AQ263,βοηθητικό!$J$2:$N$354,3,FALSE))</f>
        <v>_</v>
      </c>
      <c r="AS263" s="47"/>
      <c r="AT263" s="4" t="s">
        <v>16</v>
      </c>
      <c r="AU263" s="43" t="str">
        <f>IF(VLOOKUP(AT263,βοηθητικό!$J$2:$N$354,3,FALSE)="","",VLOOKUP(AT263,βοηθητικό!$J$2:$N$354,3,FALSE))</f>
        <v>_</v>
      </c>
      <c r="AV263" s="44"/>
      <c r="AW263" s="5" t="s">
        <v>16</v>
      </c>
      <c r="AX263" s="46" t="str">
        <f>IF(VLOOKUP(AW263,βοηθητικό!$J$2:$N$354,3,FALSE)="","",VLOOKUP(AW263,βοηθητικό!$J$2:$N$354,3,FALSE))</f>
        <v>_</v>
      </c>
      <c r="AY263" s="47"/>
      <c r="AZ263" s="4" t="s">
        <v>16</v>
      </c>
      <c r="BA263" s="43" t="str">
        <f>IF(VLOOKUP(AZ263,βοηθητικό!$J$2:$N$354,3,FALSE)="","",VLOOKUP(AZ263,βοηθητικό!$J$2:$N$354,3,FALSE))</f>
        <v>_</v>
      </c>
      <c r="BB263" s="44"/>
      <c r="BC263" s="45" t="s">
        <v>16</v>
      </c>
      <c r="BD263" s="46" t="str">
        <f>IF(VLOOKUP(BC263,βοηθητικό!$J$2:$N$354,3,FALSE)="","",VLOOKUP(BC263,βοηθητικό!$J$2:$N$354,3,FALSE))</f>
        <v>_</v>
      </c>
      <c r="BE263" s="47"/>
      <c r="BF263" s="42" t="s">
        <v>16</v>
      </c>
      <c r="BG263" s="43" t="str">
        <f>IF(VLOOKUP(BF263,βοηθητικό!$J$2:$N$354,3,FALSE)="","",VLOOKUP(BF263,βοηθητικό!$J$2:$N$354,3,FALSE))</f>
        <v>_</v>
      </c>
      <c r="BH263" s="44"/>
      <c r="BI263" s="45" t="s">
        <v>16</v>
      </c>
      <c r="BJ263" s="46" t="str">
        <f>IF(VLOOKUP(BI263,βοηθητικό!$J$2:$N$354,3,FALSE)="","",VLOOKUP(BI263,βοηθητικό!$J$2:$N$354,3,FALSE))</f>
        <v>_</v>
      </c>
      <c r="BK263" s="47"/>
      <c r="BL263" s="42" t="s">
        <v>16</v>
      </c>
      <c r="BM263" s="43" t="str">
        <f>IF(VLOOKUP(BL263,βοηθητικό!$J$2:$N$354,3,FALSE)="","",VLOOKUP(BL263,βοηθητικό!$J$2:$N$354,3,FALSE))</f>
        <v>_</v>
      </c>
      <c r="BN263" s="44"/>
      <c r="BO263" s="45" t="s">
        <v>16</v>
      </c>
      <c r="BP263" s="46" t="str">
        <f>IF(VLOOKUP(BO263,βοηθητικό!$J$2:$N$354,3,FALSE)="","",VLOOKUP(BO263,βοηθητικό!$J$2:$N$354,3,FALSE))</f>
        <v>_</v>
      </c>
      <c r="BQ263" s="47"/>
      <c r="BR263" s="42" t="s">
        <v>16</v>
      </c>
      <c r="BS263" s="43" t="str">
        <f>IF(VLOOKUP(BR263,βοηθητικό!$J$2:$N$354,3,FALSE)="","",VLOOKUP(BR263,βοηθητικό!$J$2:$N$354,3,FALSE))</f>
        <v>_</v>
      </c>
      <c r="BT263" s="44"/>
      <c r="BU263" s="45" t="s">
        <v>16</v>
      </c>
      <c r="BV263" s="46" t="str">
        <f>IF(VLOOKUP(BU263,βοηθητικό!$J$2:$N$354,3,FALSE)="","",VLOOKUP(BU263,βοηθητικό!$J$2:$N$354,3,FALSE))</f>
        <v>_</v>
      </c>
      <c r="BW263" s="47"/>
      <c r="BX263" s="42" t="s">
        <v>16</v>
      </c>
      <c r="BY263" s="43" t="str">
        <f>IF(VLOOKUP(BX263,βοηθητικό!$J$2:$N$354,3,FALSE)="","",VLOOKUP(BX263,βοηθητικό!$J$2:$N$354,3,FALSE))</f>
        <v>_</v>
      </c>
      <c r="BZ263" s="44"/>
      <c r="CA263" s="45" t="s">
        <v>16</v>
      </c>
      <c r="CB263" s="46" t="str">
        <f>IF(VLOOKUP(CA263,βοηθητικό!$J$2:$N$354,3,FALSE)="","",VLOOKUP(CA263,βοηθητικό!$J$2:$N$354,3,FALSE))</f>
        <v>_</v>
      </c>
      <c r="CC263" s="47"/>
      <c r="CD263" s="42" t="s">
        <v>16</v>
      </c>
      <c r="CE263" s="43" t="str">
        <f>IF(VLOOKUP(CD263,βοηθητικό!$J$2:$N$354,3,FALSE)="","",VLOOKUP(CD263,βοηθητικό!$J$2:$N$354,3,FALSE))</f>
        <v>_</v>
      </c>
      <c r="CF263" s="44"/>
      <c r="CG263" s="45" t="s">
        <v>16</v>
      </c>
      <c r="CH263" s="46" t="str">
        <f>IF(VLOOKUP(CG263,βοηθητικό!$J$2:$N$354,3,FALSE)="","",VLOOKUP(CG263,βοηθητικό!$J$2:$N$354,3,FALSE))</f>
        <v>_</v>
      </c>
      <c r="CI263" s="47"/>
      <c r="CJ263" s="42" t="s">
        <v>16</v>
      </c>
      <c r="CK263" s="43" t="str">
        <f>IF(VLOOKUP(CJ263,βοηθητικό!$J$2:$N$354,3,FALSE)="","",VLOOKUP(CJ263,βοηθητικό!$J$2:$N$354,3,FALSE))</f>
        <v>_</v>
      </c>
      <c r="CL263" s="44"/>
      <c r="CM263" s="45" t="s">
        <v>16</v>
      </c>
      <c r="CN263" s="46" t="str">
        <f>IF(VLOOKUP(CM263,βοηθητικό!$J$2:$N$354,3,FALSE)="","",VLOOKUP(CM263,βοηθητικό!$J$2:$N$354,3,FALSE))</f>
        <v>_</v>
      </c>
      <c r="CO263" s="47"/>
      <c r="CP263" s="42" t="s">
        <v>16</v>
      </c>
      <c r="CQ263" s="43" t="str">
        <f>IF(VLOOKUP(CP263,βοηθητικό!$J$2:$N$354,3,FALSE)="","",VLOOKUP(CP263,βοηθητικό!$J$2:$N$354,3,FALSE))</f>
        <v>_</v>
      </c>
      <c r="CR263" s="44"/>
      <c r="CS263" s="45" t="s">
        <v>16</v>
      </c>
      <c r="CT263" s="46" t="str">
        <f>IF(VLOOKUP(CS263,βοηθητικό!$J$2:$N$354,3,FALSE)="","",VLOOKUP(CS263,βοηθητικό!$J$2:$N$354,3,FALSE))</f>
        <v>_</v>
      </c>
      <c r="CU263" s="47"/>
    </row>
    <row r="264" spans="1:99" x14ac:dyDescent="0.25">
      <c r="A264" s="37">
        <f>--SUBTOTAL(3,$B$3:B263)</f>
        <v>198</v>
      </c>
      <c r="B264" s="2"/>
      <c r="C264" s="3"/>
      <c r="D264" s="55" t="s">
        <v>18</v>
      </c>
      <c r="E264" s="38" t="s">
        <v>16</v>
      </c>
      <c r="F264" s="38" t="s">
        <v>16</v>
      </c>
      <c r="G264" s="39" t="str">
        <f t="shared" si="14"/>
        <v>__</v>
      </c>
      <c r="H264" s="40" t="str">
        <f t="shared" si="15"/>
        <v>FALSE</v>
      </c>
      <c r="I264" s="41">
        <f t="shared" si="16"/>
        <v>0</v>
      </c>
      <c r="J264" s="4" t="s">
        <v>16</v>
      </c>
      <c r="K264" s="43" t="str">
        <f>IF(VLOOKUP(J264,βοηθητικό!$J$2:$N$354,3,FALSE)="","",VLOOKUP(J264,βοηθητικό!$J$2:$N$354,3,FALSE))</f>
        <v>_</v>
      </c>
      <c r="L264" s="44"/>
      <c r="M264" s="5" t="s">
        <v>16</v>
      </c>
      <c r="N264" s="46" t="str">
        <f>IF(VLOOKUP(M264,βοηθητικό!$J$2:$N$354,3,FALSE)="","",VLOOKUP(M264,βοηθητικό!$J$2:$N$354,3,FALSE))</f>
        <v>_</v>
      </c>
      <c r="O264" s="47"/>
      <c r="P264" s="4" t="s">
        <v>16</v>
      </c>
      <c r="Q264" s="43" t="str">
        <f>IF(VLOOKUP(P264,βοηθητικό!$J$2:$N$354,3,FALSE)="","",VLOOKUP(P264,βοηθητικό!$J$2:$N$354,3,FALSE))</f>
        <v>_</v>
      </c>
      <c r="R264" s="44"/>
      <c r="S264" s="5" t="s">
        <v>16</v>
      </c>
      <c r="T264" s="46" t="str">
        <f>IF(VLOOKUP(S264,βοηθητικό!$J$2:$N$354,3,FALSE)="","",VLOOKUP(S264,βοηθητικό!$J$2:$N$354,3,FALSE))</f>
        <v>_</v>
      </c>
      <c r="U264" s="47"/>
      <c r="V264" s="4" t="s">
        <v>16</v>
      </c>
      <c r="W264" s="43" t="str">
        <f>IF(VLOOKUP(V264,βοηθητικό!$J$2:$N$354,3,FALSE)="","",VLOOKUP(V264,βοηθητικό!$J$2:$N$354,3,FALSE))</f>
        <v>_</v>
      </c>
      <c r="X264" s="44"/>
      <c r="Y264" s="5" t="s">
        <v>16</v>
      </c>
      <c r="Z264" s="46" t="str">
        <f>IF(VLOOKUP(Y264,βοηθητικό!$J$2:$N$354,3,FALSE)="","",VLOOKUP(Y264,βοηθητικό!$J$2:$N$354,3,FALSE))</f>
        <v>_</v>
      </c>
      <c r="AA264" s="47"/>
      <c r="AB264" s="4" t="s">
        <v>16</v>
      </c>
      <c r="AC264" s="43" t="str">
        <f>IF(VLOOKUP(AB264,βοηθητικό!$J$2:$N$354,3,FALSE)="","",VLOOKUP(AB264,βοηθητικό!$J$2:$N$354,3,FALSE))</f>
        <v>_</v>
      </c>
      <c r="AD264" s="44"/>
      <c r="AE264" s="5" t="s">
        <v>16</v>
      </c>
      <c r="AF264" s="46" t="str">
        <f>IF(VLOOKUP(AE264,βοηθητικό!$J$2:$N$354,3,FALSE)="","",VLOOKUP(AE264,βοηθητικό!$J$2:$N$354,3,FALSE))</f>
        <v>_</v>
      </c>
      <c r="AG264" s="47"/>
      <c r="AH264" s="4" t="s">
        <v>16</v>
      </c>
      <c r="AI264" s="43" t="str">
        <f>IF(VLOOKUP(AH264,βοηθητικό!$J$2:$N$354,3,FALSE)="","",VLOOKUP(AH264,βοηθητικό!$J$2:$N$354,3,FALSE))</f>
        <v>_</v>
      </c>
      <c r="AJ264" s="44"/>
      <c r="AK264" s="5" t="s">
        <v>16</v>
      </c>
      <c r="AL264" s="46" t="str">
        <f>IF(VLOOKUP(AK264,βοηθητικό!$J$2:$N$354,3,FALSE)="","",VLOOKUP(AK264,βοηθητικό!$J$2:$N$354,3,FALSE))</f>
        <v>_</v>
      </c>
      <c r="AM264" s="47"/>
      <c r="AN264" s="4" t="s">
        <v>16</v>
      </c>
      <c r="AO264" s="43" t="str">
        <f>IF(VLOOKUP(AN264,βοηθητικό!$J$2:$N$354,3,FALSE)="","",VLOOKUP(AN264,βοηθητικό!$J$2:$N$354,3,FALSE))</f>
        <v>_</v>
      </c>
      <c r="AP264" s="44"/>
      <c r="AQ264" s="5" t="s">
        <v>16</v>
      </c>
      <c r="AR264" s="46" t="str">
        <f>IF(VLOOKUP(AQ264,βοηθητικό!$J$2:$N$354,3,FALSE)="","",VLOOKUP(AQ264,βοηθητικό!$J$2:$N$354,3,FALSE))</f>
        <v>_</v>
      </c>
      <c r="AS264" s="47"/>
      <c r="AT264" s="4" t="s">
        <v>16</v>
      </c>
      <c r="AU264" s="43" t="str">
        <f>IF(VLOOKUP(AT264,βοηθητικό!$J$2:$N$354,3,FALSE)="","",VLOOKUP(AT264,βοηθητικό!$J$2:$N$354,3,FALSE))</f>
        <v>_</v>
      </c>
      <c r="AV264" s="44"/>
      <c r="AW264" s="5" t="s">
        <v>16</v>
      </c>
      <c r="AX264" s="46" t="str">
        <f>IF(VLOOKUP(AW264,βοηθητικό!$J$2:$N$354,3,FALSE)="","",VLOOKUP(AW264,βοηθητικό!$J$2:$N$354,3,FALSE))</f>
        <v>_</v>
      </c>
      <c r="AY264" s="47"/>
      <c r="AZ264" s="4" t="s">
        <v>16</v>
      </c>
      <c r="BA264" s="43" t="str">
        <f>IF(VLOOKUP(AZ264,βοηθητικό!$J$2:$N$354,3,FALSE)="","",VLOOKUP(AZ264,βοηθητικό!$J$2:$N$354,3,FALSE))</f>
        <v>_</v>
      </c>
      <c r="BB264" s="44"/>
      <c r="BC264" s="45" t="s">
        <v>16</v>
      </c>
      <c r="BD264" s="46" t="str">
        <f>IF(VLOOKUP(BC264,βοηθητικό!$J$2:$N$354,3,FALSE)="","",VLOOKUP(BC264,βοηθητικό!$J$2:$N$354,3,FALSE))</f>
        <v>_</v>
      </c>
      <c r="BE264" s="47"/>
      <c r="BF264" s="42" t="s">
        <v>16</v>
      </c>
      <c r="BG264" s="43" t="str">
        <f>IF(VLOOKUP(BF264,βοηθητικό!$J$2:$N$354,3,FALSE)="","",VLOOKUP(BF264,βοηθητικό!$J$2:$N$354,3,FALSE))</f>
        <v>_</v>
      </c>
      <c r="BH264" s="44"/>
      <c r="BI264" s="45" t="s">
        <v>16</v>
      </c>
      <c r="BJ264" s="46" t="str">
        <f>IF(VLOOKUP(BI264,βοηθητικό!$J$2:$N$354,3,FALSE)="","",VLOOKUP(BI264,βοηθητικό!$J$2:$N$354,3,FALSE))</f>
        <v>_</v>
      </c>
      <c r="BK264" s="47"/>
      <c r="BL264" s="42" t="s">
        <v>16</v>
      </c>
      <c r="BM264" s="43" t="str">
        <f>IF(VLOOKUP(BL264,βοηθητικό!$J$2:$N$354,3,FALSE)="","",VLOOKUP(BL264,βοηθητικό!$J$2:$N$354,3,FALSE))</f>
        <v>_</v>
      </c>
      <c r="BN264" s="44"/>
      <c r="BO264" s="45" t="s">
        <v>16</v>
      </c>
      <c r="BP264" s="46" t="str">
        <f>IF(VLOOKUP(BO264,βοηθητικό!$J$2:$N$354,3,FALSE)="","",VLOOKUP(BO264,βοηθητικό!$J$2:$N$354,3,FALSE))</f>
        <v>_</v>
      </c>
      <c r="BQ264" s="47"/>
      <c r="BR264" s="42" t="s">
        <v>16</v>
      </c>
      <c r="BS264" s="43" t="str">
        <f>IF(VLOOKUP(BR264,βοηθητικό!$J$2:$N$354,3,FALSE)="","",VLOOKUP(BR264,βοηθητικό!$J$2:$N$354,3,FALSE))</f>
        <v>_</v>
      </c>
      <c r="BT264" s="44"/>
      <c r="BU264" s="45" t="s">
        <v>16</v>
      </c>
      <c r="BV264" s="46" t="str">
        <f>IF(VLOOKUP(BU264,βοηθητικό!$J$2:$N$354,3,FALSE)="","",VLOOKUP(BU264,βοηθητικό!$J$2:$N$354,3,FALSE))</f>
        <v>_</v>
      </c>
      <c r="BW264" s="47"/>
      <c r="BX264" s="42" t="s">
        <v>16</v>
      </c>
      <c r="BY264" s="43" t="str">
        <f>IF(VLOOKUP(BX264,βοηθητικό!$J$2:$N$354,3,FALSE)="","",VLOOKUP(BX264,βοηθητικό!$J$2:$N$354,3,FALSE))</f>
        <v>_</v>
      </c>
      <c r="BZ264" s="44"/>
      <c r="CA264" s="45" t="s">
        <v>16</v>
      </c>
      <c r="CB264" s="46" t="str">
        <f>IF(VLOOKUP(CA264,βοηθητικό!$J$2:$N$354,3,FALSE)="","",VLOOKUP(CA264,βοηθητικό!$J$2:$N$354,3,FALSE))</f>
        <v>_</v>
      </c>
      <c r="CC264" s="47"/>
      <c r="CD264" s="42" t="s">
        <v>16</v>
      </c>
      <c r="CE264" s="43" t="str">
        <f>IF(VLOOKUP(CD264,βοηθητικό!$J$2:$N$354,3,FALSE)="","",VLOOKUP(CD264,βοηθητικό!$J$2:$N$354,3,FALSE))</f>
        <v>_</v>
      </c>
      <c r="CF264" s="44"/>
      <c r="CG264" s="45" t="s">
        <v>16</v>
      </c>
      <c r="CH264" s="46" t="str">
        <f>IF(VLOOKUP(CG264,βοηθητικό!$J$2:$N$354,3,FALSE)="","",VLOOKUP(CG264,βοηθητικό!$J$2:$N$354,3,FALSE))</f>
        <v>_</v>
      </c>
      <c r="CI264" s="47"/>
      <c r="CJ264" s="42" t="s">
        <v>16</v>
      </c>
      <c r="CK264" s="43" t="str">
        <f>IF(VLOOKUP(CJ264,βοηθητικό!$J$2:$N$354,3,FALSE)="","",VLOOKUP(CJ264,βοηθητικό!$J$2:$N$354,3,FALSE))</f>
        <v>_</v>
      </c>
      <c r="CL264" s="44"/>
      <c r="CM264" s="45" t="s">
        <v>16</v>
      </c>
      <c r="CN264" s="46" t="str">
        <f>IF(VLOOKUP(CM264,βοηθητικό!$J$2:$N$354,3,FALSE)="","",VLOOKUP(CM264,βοηθητικό!$J$2:$N$354,3,FALSE))</f>
        <v>_</v>
      </c>
      <c r="CO264" s="47"/>
      <c r="CP264" s="42" t="s">
        <v>16</v>
      </c>
      <c r="CQ264" s="43" t="str">
        <f>IF(VLOOKUP(CP264,βοηθητικό!$J$2:$N$354,3,FALSE)="","",VLOOKUP(CP264,βοηθητικό!$J$2:$N$354,3,FALSE))</f>
        <v>_</v>
      </c>
      <c r="CR264" s="44"/>
      <c r="CS264" s="45" t="s">
        <v>16</v>
      </c>
      <c r="CT264" s="46" t="str">
        <f>IF(VLOOKUP(CS264,βοηθητικό!$J$2:$N$354,3,FALSE)="","",VLOOKUP(CS264,βοηθητικό!$J$2:$N$354,3,FALSE))</f>
        <v>_</v>
      </c>
      <c r="CU264" s="47"/>
    </row>
    <row r="265" spans="1:99" x14ac:dyDescent="0.25">
      <c r="A265" s="37">
        <f>--SUBTOTAL(3,$B$3:B264)</f>
        <v>198</v>
      </c>
      <c r="B265" s="2"/>
      <c r="C265" s="3"/>
      <c r="D265" s="55" t="s">
        <v>18</v>
      </c>
      <c r="E265" s="38" t="s">
        <v>16</v>
      </c>
      <c r="F265" s="38" t="s">
        <v>16</v>
      </c>
      <c r="G265" s="39" t="str">
        <f t="shared" si="14"/>
        <v>__</v>
      </c>
      <c r="H265" s="40" t="str">
        <f t="shared" si="15"/>
        <v>FALSE</v>
      </c>
      <c r="I265" s="41">
        <f t="shared" si="16"/>
        <v>0</v>
      </c>
      <c r="J265" s="4" t="s">
        <v>16</v>
      </c>
      <c r="K265" s="43" t="str">
        <f>IF(VLOOKUP(J265,βοηθητικό!$J$2:$N$354,3,FALSE)="","",VLOOKUP(J265,βοηθητικό!$J$2:$N$354,3,FALSE))</f>
        <v>_</v>
      </c>
      <c r="L265" s="44"/>
      <c r="M265" s="5" t="s">
        <v>16</v>
      </c>
      <c r="N265" s="46" t="str">
        <f>IF(VLOOKUP(M265,βοηθητικό!$J$2:$N$354,3,FALSE)="","",VLOOKUP(M265,βοηθητικό!$J$2:$N$354,3,FALSE))</f>
        <v>_</v>
      </c>
      <c r="O265" s="47"/>
      <c r="P265" s="4" t="s">
        <v>16</v>
      </c>
      <c r="Q265" s="43" t="str">
        <f>IF(VLOOKUP(P265,βοηθητικό!$J$2:$N$354,3,FALSE)="","",VLOOKUP(P265,βοηθητικό!$J$2:$N$354,3,FALSE))</f>
        <v>_</v>
      </c>
      <c r="R265" s="44"/>
      <c r="S265" s="5" t="s">
        <v>16</v>
      </c>
      <c r="T265" s="46" t="str">
        <f>IF(VLOOKUP(S265,βοηθητικό!$J$2:$N$354,3,FALSE)="","",VLOOKUP(S265,βοηθητικό!$J$2:$N$354,3,FALSE))</f>
        <v>_</v>
      </c>
      <c r="U265" s="47"/>
      <c r="V265" s="4" t="s">
        <v>16</v>
      </c>
      <c r="W265" s="43" t="str">
        <f>IF(VLOOKUP(V265,βοηθητικό!$J$2:$N$354,3,FALSE)="","",VLOOKUP(V265,βοηθητικό!$J$2:$N$354,3,FALSE))</f>
        <v>_</v>
      </c>
      <c r="X265" s="44"/>
      <c r="Y265" s="5" t="s">
        <v>16</v>
      </c>
      <c r="Z265" s="46" t="str">
        <f>IF(VLOOKUP(Y265,βοηθητικό!$J$2:$N$354,3,FALSE)="","",VLOOKUP(Y265,βοηθητικό!$J$2:$N$354,3,FALSE))</f>
        <v>_</v>
      </c>
      <c r="AA265" s="47"/>
      <c r="AB265" s="4" t="s">
        <v>16</v>
      </c>
      <c r="AC265" s="43" t="str">
        <f>IF(VLOOKUP(AB265,βοηθητικό!$J$2:$N$354,3,FALSE)="","",VLOOKUP(AB265,βοηθητικό!$J$2:$N$354,3,FALSE))</f>
        <v>_</v>
      </c>
      <c r="AD265" s="44"/>
      <c r="AE265" s="5" t="s">
        <v>16</v>
      </c>
      <c r="AF265" s="46" t="str">
        <f>IF(VLOOKUP(AE265,βοηθητικό!$J$2:$N$354,3,FALSE)="","",VLOOKUP(AE265,βοηθητικό!$J$2:$N$354,3,FALSE))</f>
        <v>_</v>
      </c>
      <c r="AG265" s="47"/>
      <c r="AH265" s="4" t="s">
        <v>16</v>
      </c>
      <c r="AI265" s="43" t="str">
        <f>IF(VLOOKUP(AH265,βοηθητικό!$J$2:$N$354,3,FALSE)="","",VLOOKUP(AH265,βοηθητικό!$J$2:$N$354,3,FALSE))</f>
        <v>_</v>
      </c>
      <c r="AJ265" s="44"/>
      <c r="AK265" s="5" t="s">
        <v>16</v>
      </c>
      <c r="AL265" s="46" t="str">
        <f>IF(VLOOKUP(AK265,βοηθητικό!$J$2:$N$354,3,FALSE)="","",VLOOKUP(AK265,βοηθητικό!$J$2:$N$354,3,FALSE))</f>
        <v>_</v>
      </c>
      <c r="AM265" s="47"/>
      <c r="AN265" s="4" t="s">
        <v>16</v>
      </c>
      <c r="AO265" s="43" t="str">
        <f>IF(VLOOKUP(AN265,βοηθητικό!$J$2:$N$354,3,FALSE)="","",VLOOKUP(AN265,βοηθητικό!$J$2:$N$354,3,FALSE))</f>
        <v>_</v>
      </c>
      <c r="AP265" s="44"/>
      <c r="AQ265" s="5" t="s">
        <v>16</v>
      </c>
      <c r="AR265" s="46" t="str">
        <f>IF(VLOOKUP(AQ265,βοηθητικό!$J$2:$N$354,3,FALSE)="","",VLOOKUP(AQ265,βοηθητικό!$J$2:$N$354,3,FALSE))</f>
        <v>_</v>
      </c>
      <c r="AS265" s="47"/>
      <c r="AT265" s="4" t="s">
        <v>16</v>
      </c>
      <c r="AU265" s="43" t="str">
        <f>IF(VLOOKUP(AT265,βοηθητικό!$J$2:$N$354,3,FALSE)="","",VLOOKUP(AT265,βοηθητικό!$J$2:$N$354,3,FALSE))</f>
        <v>_</v>
      </c>
      <c r="AV265" s="44"/>
      <c r="AW265" s="5" t="s">
        <v>16</v>
      </c>
      <c r="AX265" s="46" t="str">
        <f>IF(VLOOKUP(AW265,βοηθητικό!$J$2:$N$354,3,FALSE)="","",VLOOKUP(AW265,βοηθητικό!$J$2:$N$354,3,FALSE))</f>
        <v>_</v>
      </c>
      <c r="AY265" s="47"/>
      <c r="AZ265" s="4" t="s">
        <v>16</v>
      </c>
      <c r="BA265" s="43" t="str">
        <f>IF(VLOOKUP(AZ265,βοηθητικό!$J$2:$N$354,3,FALSE)="","",VLOOKUP(AZ265,βοηθητικό!$J$2:$N$354,3,FALSE))</f>
        <v>_</v>
      </c>
      <c r="BB265" s="44"/>
      <c r="BC265" s="45" t="s">
        <v>16</v>
      </c>
      <c r="BD265" s="46" t="str">
        <f>IF(VLOOKUP(BC265,βοηθητικό!$J$2:$N$354,3,FALSE)="","",VLOOKUP(BC265,βοηθητικό!$J$2:$N$354,3,FALSE))</f>
        <v>_</v>
      </c>
      <c r="BE265" s="47"/>
      <c r="BF265" s="42" t="s">
        <v>16</v>
      </c>
      <c r="BG265" s="43" t="str">
        <f>IF(VLOOKUP(BF265,βοηθητικό!$J$2:$N$354,3,FALSE)="","",VLOOKUP(BF265,βοηθητικό!$J$2:$N$354,3,FALSE))</f>
        <v>_</v>
      </c>
      <c r="BH265" s="44"/>
      <c r="BI265" s="45" t="s">
        <v>16</v>
      </c>
      <c r="BJ265" s="46" t="str">
        <f>IF(VLOOKUP(BI265,βοηθητικό!$J$2:$N$354,3,FALSE)="","",VLOOKUP(BI265,βοηθητικό!$J$2:$N$354,3,FALSE))</f>
        <v>_</v>
      </c>
      <c r="BK265" s="47"/>
      <c r="BL265" s="42" t="s">
        <v>16</v>
      </c>
      <c r="BM265" s="43" t="str">
        <f>IF(VLOOKUP(BL265,βοηθητικό!$J$2:$N$354,3,FALSE)="","",VLOOKUP(BL265,βοηθητικό!$J$2:$N$354,3,FALSE))</f>
        <v>_</v>
      </c>
      <c r="BN265" s="44"/>
      <c r="BO265" s="45" t="s">
        <v>16</v>
      </c>
      <c r="BP265" s="46" t="str">
        <f>IF(VLOOKUP(BO265,βοηθητικό!$J$2:$N$354,3,FALSE)="","",VLOOKUP(BO265,βοηθητικό!$J$2:$N$354,3,FALSE))</f>
        <v>_</v>
      </c>
      <c r="BQ265" s="47"/>
      <c r="BR265" s="42" t="s">
        <v>16</v>
      </c>
      <c r="BS265" s="43" t="str">
        <f>IF(VLOOKUP(BR265,βοηθητικό!$J$2:$N$354,3,FALSE)="","",VLOOKUP(BR265,βοηθητικό!$J$2:$N$354,3,FALSE))</f>
        <v>_</v>
      </c>
      <c r="BT265" s="44"/>
      <c r="BU265" s="45" t="s">
        <v>16</v>
      </c>
      <c r="BV265" s="46" t="str">
        <f>IF(VLOOKUP(BU265,βοηθητικό!$J$2:$N$354,3,FALSE)="","",VLOOKUP(BU265,βοηθητικό!$J$2:$N$354,3,FALSE))</f>
        <v>_</v>
      </c>
      <c r="BW265" s="47"/>
      <c r="BX265" s="42" t="s">
        <v>16</v>
      </c>
      <c r="BY265" s="43" t="str">
        <f>IF(VLOOKUP(BX265,βοηθητικό!$J$2:$N$354,3,FALSE)="","",VLOOKUP(BX265,βοηθητικό!$J$2:$N$354,3,FALSE))</f>
        <v>_</v>
      </c>
      <c r="BZ265" s="44"/>
      <c r="CA265" s="45" t="s">
        <v>16</v>
      </c>
      <c r="CB265" s="46" t="str">
        <f>IF(VLOOKUP(CA265,βοηθητικό!$J$2:$N$354,3,FALSE)="","",VLOOKUP(CA265,βοηθητικό!$J$2:$N$354,3,FALSE))</f>
        <v>_</v>
      </c>
      <c r="CC265" s="47"/>
      <c r="CD265" s="42" t="s">
        <v>16</v>
      </c>
      <c r="CE265" s="43" t="str">
        <f>IF(VLOOKUP(CD265,βοηθητικό!$J$2:$N$354,3,FALSE)="","",VLOOKUP(CD265,βοηθητικό!$J$2:$N$354,3,FALSE))</f>
        <v>_</v>
      </c>
      <c r="CF265" s="44"/>
      <c r="CG265" s="45" t="s">
        <v>16</v>
      </c>
      <c r="CH265" s="46" t="str">
        <f>IF(VLOOKUP(CG265,βοηθητικό!$J$2:$N$354,3,FALSE)="","",VLOOKUP(CG265,βοηθητικό!$J$2:$N$354,3,FALSE))</f>
        <v>_</v>
      </c>
      <c r="CI265" s="47"/>
      <c r="CJ265" s="42" t="s">
        <v>16</v>
      </c>
      <c r="CK265" s="43" t="str">
        <f>IF(VLOOKUP(CJ265,βοηθητικό!$J$2:$N$354,3,FALSE)="","",VLOOKUP(CJ265,βοηθητικό!$J$2:$N$354,3,FALSE))</f>
        <v>_</v>
      </c>
      <c r="CL265" s="44"/>
      <c r="CM265" s="45" t="s">
        <v>16</v>
      </c>
      <c r="CN265" s="46" t="str">
        <f>IF(VLOOKUP(CM265,βοηθητικό!$J$2:$N$354,3,FALSE)="","",VLOOKUP(CM265,βοηθητικό!$J$2:$N$354,3,FALSE))</f>
        <v>_</v>
      </c>
      <c r="CO265" s="47"/>
      <c r="CP265" s="42" t="s">
        <v>16</v>
      </c>
      <c r="CQ265" s="43" t="str">
        <f>IF(VLOOKUP(CP265,βοηθητικό!$J$2:$N$354,3,FALSE)="","",VLOOKUP(CP265,βοηθητικό!$J$2:$N$354,3,FALSE))</f>
        <v>_</v>
      </c>
      <c r="CR265" s="44"/>
      <c r="CS265" s="45" t="s">
        <v>16</v>
      </c>
      <c r="CT265" s="46" t="str">
        <f>IF(VLOOKUP(CS265,βοηθητικό!$J$2:$N$354,3,FALSE)="","",VLOOKUP(CS265,βοηθητικό!$J$2:$N$354,3,FALSE))</f>
        <v>_</v>
      </c>
      <c r="CU265" s="47"/>
    </row>
    <row r="266" spans="1:99" x14ac:dyDescent="0.25">
      <c r="A266" s="37">
        <f>--SUBTOTAL(3,$B$3:B265)</f>
        <v>198</v>
      </c>
      <c r="B266" s="2"/>
      <c r="C266" s="3"/>
      <c r="D266" s="55" t="s">
        <v>18</v>
      </c>
      <c r="E266" s="38" t="s">
        <v>16</v>
      </c>
      <c r="F266" s="38" t="s">
        <v>16</v>
      </c>
      <c r="G266" s="39" t="str">
        <f t="shared" si="14"/>
        <v>__</v>
      </c>
      <c r="H266" s="40" t="str">
        <f t="shared" si="15"/>
        <v>FALSE</v>
      </c>
      <c r="I266" s="41">
        <f t="shared" si="16"/>
        <v>0</v>
      </c>
      <c r="J266" s="4" t="s">
        <v>16</v>
      </c>
      <c r="K266" s="43" t="str">
        <f>IF(VLOOKUP(J266,βοηθητικό!$J$2:$N$354,3,FALSE)="","",VLOOKUP(J266,βοηθητικό!$J$2:$N$354,3,FALSE))</f>
        <v>_</v>
      </c>
      <c r="L266" s="44"/>
      <c r="M266" s="5" t="s">
        <v>16</v>
      </c>
      <c r="N266" s="46" t="str">
        <f>IF(VLOOKUP(M266,βοηθητικό!$J$2:$N$354,3,FALSE)="","",VLOOKUP(M266,βοηθητικό!$J$2:$N$354,3,FALSE))</f>
        <v>_</v>
      </c>
      <c r="O266" s="47"/>
      <c r="P266" s="4" t="s">
        <v>16</v>
      </c>
      <c r="Q266" s="43" t="str">
        <f>IF(VLOOKUP(P266,βοηθητικό!$J$2:$N$354,3,FALSE)="","",VLOOKUP(P266,βοηθητικό!$J$2:$N$354,3,FALSE))</f>
        <v>_</v>
      </c>
      <c r="R266" s="44"/>
      <c r="S266" s="5" t="s">
        <v>16</v>
      </c>
      <c r="T266" s="46" t="str">
        <f>IF(VLOOKUP(S266,βοηθητικό!$J$2:$N$354,3,FALSE)="","",VLOOKUP(S266,βοηθητικό!$J$2:$N$354,3,FALSE))</f>
        <v>_</v>
      </c>
      <c r="U266" s="47"/>
      <c r="V266" s="4" t="s">
        <v>16</v>
      </c>
      <c r="W266" s="43" t="str">
        <f>IF(VLOOKUP(V266,βοηθητικό!$J$2:$N$354,3,FALSE)="","",VLOOKUP(V266,βοηθητικό!$J$2:$N$354,3,FALSE))</f>
        <v>_</v>
      </c>
      <c r="X266" s="44"/>
      <c r="Y266" s="5" t="s">
        <v>16</v>
      </c>
      <c r="Z266" s="46" t="str">
        <f>IF(VLOOKUP(Y266,βοηθητικό!$J$2:$N$354,3,FALSE)="","",VLOOKUP(Y266,βοηθητικό!$J$2:$N$354,3,FALSE))</f>
        <v>_</v>
      </c>
      <c r="AA266" s="47"/>
      <c r="AB266" s="4" t="s">
        <v>16</v>
      </c>
      <c r="AC266" s="43" t="str">
        <f>IF(VLOOKUP(AB266,βοηθητικό!$J$2:$N$354,3,FALSE)="","",VLOOKUP(AB266,βοηθητικό!$J$2:$N$354,3,FALSE))</f>
        <v>_</v>
      </c>
      <c r="AD266" s="44"/>
      <c r="AE266" s="5" t="s">
        <v>16</v>
      </c>
      <c r="AF266" s="46" t="str">
        <f>IF(VLOOKUP(AE266,βοηθητικό!$J$2:$N$354,3,FALSE)="","",VLOOKUP(AE266,βοηθητικό!$J$2:$N$354,3,FALSE))</f>
        <v>_</v>
      </c>
      <c r="AG266" s="47"/>
      <c r="AH266" s="4" t="s">
        <v>16</v>
      </c>
      <c r="AI266" s="43" t="str">
        <f>IF(VLOOKUP(AH266,βοηθητικό!$J$2:$N$354,3,FALSE)="","",VLOOKUP(AH266,βοηθητικό!$J$2:$N$354,3,FALSE))</f>
        <v>_</v>
      </c>
      <c r="AJ266" s="44"/>
      <c r="AK266" s="5" t="s">
        <v>16</v>
      </c>
      <c r="AL266" s="46" t="str">
        <f>IF(VLOOKUP(AK266,βοηθητικό!$J$2:$N$354,3,FALSE)="","",VLOOKUP(AK266,βοηθητικό!$J$2:$N$354,3,FALSE))</f>
        <v>_</v>
      </c>
      <c r="AM266" s="47"/>
      <c r="AN266" s="4" t="s">
        <v>16</v>
      </c>
      <c r="AO266" s="43" t="str">
        <f>IF(VLOOKUP(AN266,βοηθητικό!$J$2:$N$354,3,FALSE)="","",VLOOKUP(AN266,βοηθητικό!$J$2:$N$354,3,FALSE))</f>
        <v>_</v>
      </c>
      <c r="AP266" s="44"/>
      <c r="AQ266" s="5" t="s">
        <v>16</v>
      </c>
      <c r="AR266" s="46" t="str">
        <f>IF(VLOOKUP(AQ266,βοηθητικό!$J$2:$N$354,3,FALSE)="","",VLOOKUP(AQ266,βοηθητικό!$J$2:$N$354,3,FALSE))</f>
        <v>_</v>
      </c>
      <c r="AS266" s="47"/>
      <c r="AT266" s="4" t="s">
        <v>16</v>
      </c>
      <c r="AU266" s="43" t="str">
        <f>IF(VLOOKUP(AT266,βοηθητικό!$J$2:$N$354,3,FALSE)="","",VLOOKUP(AT266,βοηθητικό!$J$2:$N$354,3,FALSE))</f>
        <v>_</v>
      </c>
      <c r="AV266" s="44"/>
      <c r="AW266" s="5" t="s">
        <v>16</v>
      </c>
      <c r="AX266" s="46" t="str">
        <f>IF(VLOOKUP(AW266,βοηθητικό!$J$2:$N$354,3,FALSE)="","",VLOOKUP(AW266,βοηθητικό!$J$2:$N$354,3,FALSE))</f>
        <v>_</v>
      </c>
      <c r="AY266" s="47"/>
      <c r="AZ266" s="4" t="s">
        <v>16</v>
      </c>
      <c r="BA266" s="43" t="str">
        <f>IF(VLOOKUP(AZ266,βοηθητικό!$J$2:$N$354,3,FALSE)="","",VLOOKUP(AZ266,βοηθητικό!$J$2:$N$354,3,FALSE))</f>
        <v>_</v>
      </c>
      <c r="BB266" s="44"/>
      <c r="BC266" s="45" t="s">
        <v>16</v>
      </c>
      <c r="BD266" s="46" t="str">
        <f>IF(VLOOKUP(BC266,βοηθητικό!$J$2:$N$354,3,FALSE)="","",VLOOKUP(BC266,βοηθητικό!$J$2:$N$354,3,FALSE))</f>
        <v>_</v>
      </c>
      <c r="BE266" s="47"/>
      <c r="BF266" s="42" t="s">
        <v>16</v>
      </c>
      <c r="BG266" s="43" t="str">
        <f>IF(VLOOKUP(BF266,βοηθητικό!$J$2:$N$354,3,FALSE)="","",VLOOKUP(BF266,βοηθητικό!$J$2:$N$354,3,FALSE))</f>
        <v>_</v>
      </c>
      <c r="BH266" s="44"/>
      <c r="BI266" s="45" t="s">
        <v>16</v>
      </c>
      <c r="BJ266" s="46" t="str">
        <f>IF(VLOOKUP(BI266,βοηθητικό!$J$2:$N$354,3,FALSE)="","",VLOOKUP(BI266,βοηθητικό!$J$2:$N$354,3,FALSE))</f>
        <v>_</v>
      </c>
      <c r="BK266" s="47"/>
      <c r="BL266" s="42" t="s">
        <v>16</v>
      </c>
      <c r="BM266" s="43" t="str">
        <f>IF(VLOOKUP(BL266,βοηθητικό!$J$2:$N$354,3,FALSE)="","",VLOOKUP(BL266,βοηθητικό!$J$2:$N$354,3,FALSE))</f>
        <v>_</v>
      </c>
      <c r="BN266" s="44"/>
      <c r="BO266" s="45" t="s">
        <v>16</v>
      </c>
      <c r="BP266" s="46" t="str">
        <f>IF(VLOOKUP(BO266,βοηθητικό!$J$2:$N$354,3,FALSE)="","",VLOOKUP(BO266,βοηθητικό!$J$2:$N$354,3,FALSE))</f>
        <v>_</v>
      </c>
      <c r="BQ266" s="47"/>
      <c r="BR266" s="42" t="s">
        <v>16</v>
      </c>
      <c r="BS266" s="43" t="str">
        <f>IF(VLOOKUP(BR266,βοηθητικό!$J$2:$N$354,3,FALSE)="","",VLOOKUP(BR266,βοηθητικό!$J$2:$N$354,3,FALSE))</f>
        <v>_</v>
      </c>
      <c r="BT266" s="44"/>
      <c r="BU266" s="45" t="s">
        <v>16</v>
      </c>
      <c r="BV266" s="46" t="str">
        <f>IF(VLOOKUP(BU266,βοηθητικό!$J$2:$N$354,3,FALSE)="","",VLOOKUP(BU266,βοηθητικό!$J$2:$N$354,3,FALSE))</f>
        <v>_</v>
      </c>
      <c r="BW266" s="47"/>
      <c r="BX266" s="42" t="s">
        <v>16</v>
      </c>
      <c r="BY266" s="43" t="str">
        <f>IF(VLOOKUP(BX266,βοηθητικό!$J$2:$N$354,3,FALSE)="","",VLOOKUP(BX266,βοηθητικό!$J$2:$N$354,3,FALSE))</f>
        <v>_</v>
      </c>
      <c r="BZ266" s="44"/>
      <c r="CA266" s="45" t="s">
        <v>16</v>
      </c>
      <c r="CB266" s="46" t="str">
        <f>IF(VLOOKUP(CA266,βοηθητικό!$J$2:$N$354,3,FALSE)="","",VLOOKUP(CA266,βοηθητικό!$J$2:$N$354,3,FALSE))</f>
        <v>_</v>
      </c>
      <c r="CC266" s="47"/>
      <c r="CD266" s="42" t="s">
        <v>16</v>
      </c>
      <c r="CE266" s="43" t="str">
        <f>IF(VLOOKUP(CD266,βοηθητικό!$J$2:$N$354,3,FALSE)="","",VLOOKUP(CD266,βοηθητικό!$J$2:$N$354,3,FALSE))</f>
        <v>_</v>
      </c>
      <c r="CF266" s="44"/>
      <c r="CG266" s="45" t="s">
        <v>16</v>
      </c>
      <c r="CH266" s="46" t="str">
        <f>IF(VLOOKUP(CG266,βοηθητικό!$J$2:$N$354,3,FALSE)="","",VLOOKUP(CG266,βοηθητικό!$J$2:$N$354,3,FALSE))</f>
        <v>_</v>
      </c>
      <c r="CI266" s="47"/>
      <c r="CJ266" s="42" t="s">
        <v>16</v>
      </c>
      <c r="CK266" s="43" t="str">
        <f>IF(VLOOKUP(CJ266,βοηθητικό!$J$2:$N$354,3,FALSE)="","",VLOOKUP(CJ266,βοηθητικό!$J$2:$N$354,3,FALSE))</f>
        <v>_</v>
      </c>
      <c r="CL266" s="44"/>
      <c r="CM266" s="45" t="s">
        <v>16</v>
      </c>
      <c r="CN266" s="46" t="str">
        <f>IF(VLOOKUP(CM266,βοηθητικό!$J$2:$N$354,3,FALSE)="","",VLOOKUP(CM266,βοηθητικό!$J$2:$N$354,3,FALSE))</f>
        <v>_</v>
      </c>
      <c r="CO266" s="47"/>
      <c r="CP266" s="42" t="s">
        <v>16</v>
      </c>
      <c r="CQ266" s="43" t="str">
        <f>IF(VLOOKUP(CP266,βοηθητικό!$J$2:$N$354,3,FALSE)="","",VLOOKUP(CP266,βοηθητικό!$J$2:$N$354,3,FALSE))</f>
        <v>_</v>
      </c>
      <c r="CR266" s="44"/>
      <c r="CS266" s="45" t="s">
        <v>16</v>
      </c>
      <c r="CT266" s="46" t="str">
        <f>IF(VLOOKUP(CS266,βοηθητικό!$J$2:$N$354,3,FALSE)="","",VLOOKUP(CS266,βοηθητικό!$J$2:$N$354,3,FALSE))</f>
        <v>_</v>
      </c>
      <c r="CU266" s="47"/>
    </row>
    <row r="267" spans="1:99" x14ac:dyDescent="0.25">
      <c r="A267" s="37">
        <f>--SUBTOTAL(3,$B$3:B266)</f>
        <v>198</v>
      </c>
      <c r="B267" s="2"/>
      <c r="C267" s="3"/>
      <c r="D267" s="55" t="s">
        <v>18</v>
      </c>
      <c r="E267" s="38" t="s">
        <v>16</v>
      </c>
      <c r="F267" s="38" t="s">
        <v>16</v>
      </c>
      <c r="G267" s="39" t="str">
        <f t="shared" si="14"/>
        <v>__</v>
      </c>
      <c r="H267" s="40" t="str">
        <f t="shared" si="15"/>
        <v>FALSE</v>
      </c>
      <c r="I267" s="41">
        <f t="shared" si="16"/>
        <v>0</v>
      </c>
      <c r="J267" s="4" t="s">
        <v>16</v>
      </c>
      <c r="K267" s="43" t="str">
        <f>IF(VLOOKUP(J267,βοηθητικό!$J$2:$N$354,3,FALSE)="","",VLOOKUP(J267,βοηθητικό!$J$2:$N$354,3,FALSE))</f>
        <v>_</v>
      </c>
      <c r="L267" s="44"/>
      <c r="M267" s="5" t="s">
        <v>16</v>
      </c>
      <c r="N267" s="46" t="str">
        <f>IF(VLOOKUP(M267,βοηθητικό!$J$2:$N$354,3,FALSE)="","",VLOOKUP(M267,βοηθητικό!$J$2:$N$354,3,FALSE))</f>
        <v>_</v>
      </c>
      <c r="O267" s="47"/>
      <c r="P267" s="4" t="s">
        <v>16</v>
      </c>
      <c r="Q267" s="43" t="str">
        <f>IF(VLOOKUP(P267,βοηθητικό!$J$2:$N$354,3,FALSE)="","",VLOOKUP(P267,βοηθητικό!$J$2:$N$354,3,FALSE))</f>
        <v>_</v>
      </c>
      <c r="R267" s="44"/>
      <c r="S267" s="5" t="s">
        <v>16</v>
      </c>
      <c r="T267" s="46" t="str">
        <f>IF(VLOOKUP(S267,βοηθητικό!$J$2:$N$354,3,FALSE)="","",VLOOKUP(S267,βοηθητικό!$J$2:$N$354,3,FALSE))</f>
        <v>_</v>
      </c>
      <c r="U267" s="47"/>
      <c r="V267" s="4" t="s">
        <v>16</v>
      </c>
      <c r="W267" s="43" t="str">
        <f>IF(VLOOKUP(V267,βοηθητικό!$J$2:$N$354,3,FALSE)="","",VLOOKUP(V267,βοηθητικό!$J$2:$N$354,3,FALSE))</f>
        <v>_</v>
      </c>
      <c r="X267" s="44"/>
      <c r="Y267" s="5" t="s">
        <v>16</v>
      </c>
      <c r="Z267" s="46" t="str">
        <f>IF(VLOOKUP(Y267,βοηθητικό!$J$2:$N$354,3,FALSE)="","",VLOOKUP(Y267,βοηθητικό!$J$2:$N$354,3,FALSE))</f>
        <v>_</v>
      </c>
      <c r="AA267" s="47"/>
      <c r="AB267" s="4" t="s">
        <v>16</v>
      </c>
      <c r="AC267" s="43" t="str">
        <f>IF(VLOOKUP(AB267,βοηθητικό!$J$2:$N$354,3,FALSE)="","",VLOOKUP(AB267,βοηθητικό!$J$2:$N$354,3,FALSE))</f>
        <v>_</v>
      </c>
      <c r="AD267" s="44"/>
      <c r="AE267" s="5" t="s">
        <v>16</v>
      </c>
      <c r="AF267" s="46" t="str">
        <f>IF(VLOOKUP(AE267,βοηθητικό!$J$2:$N$354,3,FALSE)="","",VLOOKUP(AE267,βοηθητικό!$J$2:$N$354,3,FALSE))</f>
        <v>_</v>
      </c>
      <c r="AG267" s="47"/>
      <c r="AH267" s="4" t="s">
        <v>16</v>
      </c>
      <c r="AI267" s="43" t="str">
        <f>IF(VLOOKUP(AH267,βοηθητικό!$J$2:$N$354,3,FALSE)="","",VLOOKUP(AH267,βοηθητικό!$J$2:$N$354,3,FALSE))</f>
        <v>_</v>
      </c>
      <c r="AJ267" s="44"/>
      <c r="AK267" s="5" t="s">
        <v>16</v>
      </c>
      <c r="AL267" s="46" t="str">
        <f>IF(VLOOKUP(AK267,βοηθητικό!$J$2:$N$354,3,FALSE)="","",VLOOKUP(AK267,βοηθητικό!$J$2:$N$354,3,FALSE))</f>
        <v>_</v>
      </c>
      <c r="AM267" s="47"/>
      <c r="AN267" s="4" t="s">
        <v>16</v>
      </c>
      <c r="AO267" s="43" t="str">
        <f>IF(VLOOKUP(AN267,βοηθητικό!$J$2:$N$354,3,FALSE)="","",VLOOKUP(AN267,βοηθητικό!$J$2:$N$354,3,FALSE))</f>
        <v>_</v>
      </c>
      <c r="AP267" s="44"/>
      <c r="AQ267" s="5" t="s">
        <v>16</v>
      </c>
      <c r="AR267" s="46" t="str">
        <f>IF(VLOOKUP(AQ267,βοηθητικό!$J$2:$N$354,3,FALSE)="","",VLOOKUP(AQ267,βοηθητικό!$J$2:$N$354,3,FALSE))</f>
        <v>_</v>
      </c>
      <c r="AS267" s="47"/>
      <c r="AT267" s="4" t="s">
        <v>16</v>
      </c>
      <c r="AU267" s="43" t="str">
        <f>IF(VLOOKUP(AT267,βοηθητικό!$J$2:$N$354,3,FALSE)="","",VLOOKUP(AT267,βοηθητικό!$J$2:$N$354,3,FALSE))</f>
        <v>_</v>
      </c>
      <c r="AV267" s="44"/>
      <c r="AW267" s="5" t="s">
        <v>16</v>
      </c>
      <c r="AX267" s="46" t="str">
        <f>IF(VLOOKUP(AW267,βοηθητικό!$J$2:$N$354,3,FALSE)="","",VLOOKUP(AW267,βοηθητικό!$J$2:$N$354,3,FALSE))</f>
        <v>_</v>
      </c>
      <c r="AY267" s="47"/>
      <c r="AZ267" s="4" t="s">
        <v>16</v>
      </c>
      <c r="BA267" s="43" t="str">
        <f>IF(VLOOKUP(AZ267,βοηθητικό!$J$2:$N$354,3,FALSE)="","",VLOOKUP(AZ267,βοηθητικό!$J$2:$N$354,3,FALSE))</f>
        <v>_</v>
      </c>
      <c r="BB267" s="44"/>
      <c r="BC267" s="45" t="s">
        <v>16</v>
      </c>
      <c r="BD267" s="46" t="str">
        <f>IF(VLOOKUP(BC267,βοηθητικό!$J$2:$N$354,3,FALSE)="","",VLOOKUP(BC267,βοηθητικό!$J$2:$N$354,3,FALSE))</f>
        <v>_</v>
      </c>
      <c r="BE267" s="47"/>
      <c r="BF267" s="42" t="s">
        <v>16</v>
      </c>
      <c r="BG267" s="43" t="str">
        <f>IF(VLOOKUP(BF267,βοηθητικό!$J$2:$N$354,3,FALSE)="","",VLOOKUP(BF267,βοηθητικό!$J$2:$N$354,3,FALSE))</f>
        <v>_</v>
      </c>
      <c r="BH267" s="44"/>
      <c r="BI267" s="45" t="s">
        <v>16</v>
      </c>
      <c r="BJ267" s="46" t="str">
        <f>IF(VLOOKUP(BI267,βοηθητικό!$J$2:$N$354,3,FALSE)="","",VLOOKUP(BI267,βοηθητικό!$J$2:$N$354,3,FALSE))</f>
        <v>_</v>
      </c>
      <c r="BK267" s="47"/>
      <c r="BL267" s="42" t="s">
        <v>16</v>
      </c>
      <c r="BM267" s="43" t="str">
        <f>IF(VLOOKUP(BL267,βοηθητικό!$J$2:$N$354,3,FALSE)="","",VLOOKUP(BL267,βοηθητικό!$J$2:$N$354,3,FALSE))</f>
        <v>_</v>
      </c>
      <c r="BN267" s="44"/>
      <c r="BO267" s="45" t="s">
        <v>16</v>
      </c>
      <c r="BP267" s="46" t="str">
        <f>IF(VLOOKUP(BO267,βοηθητικό!$J$2:$N$354,3,FALSE)="","",VLOOKUP(BO267,βοηθητικό!$J$2:$N$354,3,FALSE))</f>
        <v>_</v>
      </c>
      <c r="BQ267" s="47"/>
      <c r="BR267" s="42" t="s">
        <v>16</v>
      </c>
      <c r="BS267" s="43" t="str">
        <f>IF(VLOOKUP(BR267,βοηθητικό!$J$2:$N$354,3,FALSE)="","",VLOOKUP(BR267,βοηθητικό!$J$2:$N$354,3,FALSE))</f>
        <v>_</v>
      </c>
      <c r="BT267" s="44"/>
      <c r="BU267" s="45" t="s">
        <v>16</v>
      </c>
      <c r="BV267" s="46" t="str">
        <f>IF(VLOOKUP(BU267,βοηθητικό!$J$2:$N$354,3,FALSE)="","",VLOOKUP(BU267,βοηθητικό!$J$2:$N$354,3,FALSE))</f>
        <v>_</v>
      </c>
      <c r="BW267" s="47"/>
      <c r="BX267" s="42" t="s">
        <v>16</v>
      </c>
      <c r="BY267" s="43" t="str">
        <f>IF(VLOOKUP(BX267,βοηθητικό!$J$2:$N$354,3,FALSE)="","",VLOOKUP(BX267,βοηθητικό!$J$2:$N$354,3,FALSE))</f>
        <v>_</v>
      </c>
      <c r="BZ267" s="44"/>
      <c r="CA267" s="45" t="s">
        <v>16</v>
      </c>
      <c r="CB267" s="46" t="str">
        <f>IF(VLOOKUP(CA267,βοηθητικό!$J$2:$N$354,3,FALSE)="","",VLOOKUP(CA267,βοηθητικό!$J$2:$N$354,3,FALSE))</f>
        <v>_</v>
      </c>
      <c r="CC267" s="47"/>
      <c r="CD267" s="42" t="s">
        <v>16</v>
      </c>
      <c r="CE267" s="43" t="str">
        <f>IF(VLOOKUP(CD267,βοηθητικό!$J$2:$N$354,3,FALSE)="","",VLOOKUP(CD267,βοηθητικό!$J$2:$N$354,3,FALSE))</f>
        <v>_</v>
      </c>
      <c r="CF267" s="44"/>
      <c r="CG267" s="45" t="s">
        <v>16</v>
      </c>
      <c r="CH267" s="46" t="str">
        <f>IF(VLOOKUP(CG267,βοηθητικό!$J$2:$N$354,3,FALSE)="","",VLOOKUP(CG267,βοηθητικό!$J$2:$N$354,3,FALSE))</f>
        <v>_</v>
      </c>
      <c r="CI267" s="47"/>
      <c r="CJ267" s="42" t="s">
        <v>16</v>
      </c>
      <c r="CK267" s="43" t="str">
        <f>IF(VLOOKUP(CJ267,βοηθητικό!$J$2:$N$354,3,FALSE)="","",VLOOKUP(CJ267,βοηθητικό!$J$2:$N$354,3,FALSE))</f>
        <v>_</v>
      </c>
      <c r="CL267" s="44"/>
      <c r="CM267" s="45" t="s">
        <v>16</v>
      </c>
      <c r="CN267" s="46" t="str">
        <f>IF(VLOOKUP(CM267,βοηθητικό!$J$2:$N$354,3,FALSE)="","",VLOOKUP(CM267,βοηθητικό!$J$2:$N$354,3,FALSE))</f>
        <v>_</v>
      </c>
      <c r="CO267" s="47"/>
      <c r="CP267" s="42" t="s">
        <v>16</v>
      </c>
      <c r="CQ267" s="43" t="str">
        <f>IF(VLOOKUP(CP267,βοηθητικό!$J$2:$N$354,3,FALSE)="","",VLOOKUP(CP267,βοηθητικό!$J$2:$N$354,3,FALSE))</f>
        <v>_</v>
      </c>
      <c r="CR267" s="44"/>
      <c r="CS267" s="45" t="s">
        <v>16</v>
      </c>
      <c r="CT267" s="46" t="str">
        <f>IF(VLOOKUP(CS267,βοηθητικό!$J$2:$N$354,3,FALSE)="","",VLOOKUP(CS267,βοηθητικό!$J$2:$N$354,3,FALSE))</f>
        <v>_</v>
      </c>
      <c r="CU267" s="47"/>
    </row>
    <row r="268" spans="1:99" x14ac:dyDescent="0.25">
      <c r="A268" s="37">
        <f>--SUBTOTAL(3,$B$3:B267)</f>
        <v>198</v>
      </c>
      <c r="B268" s="2"/>
      <c r="C268" s="3"/>
      <c r="D268" s="55" t="s">
        <v>18</v>
      </c>
      <c r="E268" s="38" t="s">
        <v>16</v>
      </c>
      <c r="F268" s="38" t="s">
        <v>16</v>
      </c>
      <c r="G268" s="39" t="str">
        <f t="shared" si="14"/>
        <v>__</v>
      </c>
      <c r="H268" s="40" t="str">
        <f t="shared" si="15"/>
        <v>FALSE</v>
      </c>
      <c r="I268" s="41">
        <f t="shared" si="16"/>
        <v>0</v>
      </c>
      <c r="J268" s="4" t="s">
        <v>16</v>
      </c>
      <c r="K268" s="43" t="str">
        <f>IF(VLOOKUP(J268,βοηθητικό!$J$2:$N$354,3,FALSE)="","",VLOOKUP(J268,βοηθητικό!$J$2:$N$354,3,FALSE))</f>
        <v>_</v>
      </c>
      <c r="L268" s="44"/>
      <c r="M268" s="5" t="s">
        <v>16</v>
      </c>
      <c r="N268" s="46" t="str">
        <f>IF(VLOOKUP(M268,βοηθητικό!$J$2:$N$354,3,FALSE)="","",VLOOKUP(M268,βοηθητικό!$J$2:$N$354,3,FALSE))</f>
        <v>_</v>
      </c>
      <c r="O268" s="47"/>
      <c r="P268" s="4" t="s">
        <v>16</v>
      </c>
      <c r="Q268" s="43" t="str">
        <f>IF(VLOOKUP(P268,βοηθητικό!$J$2:$N$354,3,FALSE)="","",VLOOKUP(P268,βοηθητικό!$J$2:$N$354,3,FALSE))</f>
        <v>_</v>
      </c>
      <c r="R268" s="44"/>
      <c r="S268" s="5" t="s">
        <v>16</v>
      </c>
      <c r="T268" s="46" t="str">
        <f>IF(VLOOKUP(S268,βοηθητικό!$J$2:$N$354,3,FALSE)="","",VLOOKUP(S268,βοηθητικό!$J$2:$N$354,3,FALSE))</f>
        <v>_</v>
      </c>
      <c r="U268" s="47"/>
      <c r="V268" s="4" t="s">
        <v>16</v>
      </c>
      <c r="W268" s="43" t="str">
        <f>IF(VLOOKUP(V268,βοηθητικό!$J$2:$N$354,3,FALSE)="","",VLOOKUP(V268,βοηθητικό!$J$2:$N$354,3,FALSE))</f>
        <v>_</v>
      </c>
      <c r="X268" s="44"/>
      <c r="Y268" s="5" t="s">
        <v>16</v>
      </c>
      <c r="Z268" s="46" t="str">
        <f>IF(VLOOKUP(Y268,βοηθητικό!$J$2:$N$354,3,FALSE)="","",VLOOKUP(Y268,βοηθητικό!$J$2:$N$354,3,FALSE))</f>
        <v>_</v>
      </c>
      <c r="AA268" s="47"/>
      <c r="AB268" s="4" t="s">
        <v>16</v>
      </c>
      <c r="AC268" s="43" t="str">
        <f>IF(VLOOKUP(AB268,βοηθητικό!$J$2:$N$354,3,FALSE)="","",VLOOKUP(AB268,βοηθητικό!$J$2:$N$354,3,FALSE))</f>
        <v>_</v>
      </c>
      <c r="AD268" s="44"/>
      <c r="AE268" s="5" t="s">
        <v>16</v>
      </c>
      <c r="AF268" s="46" t="str">
        <f>IF(VLOOKUP(AE268,βοηθητικό!$J$2:$N$354,3,FALSE)="","",VLOOKUP(AE268,βοηθητικό!$J$2:$N$354,3,FALSE))</f>
        <v>_</v>
      </c>
      <c r="AG268" s="47"/>
      <c r="AH268" s="4" t="s">
        <v>16</v>
      </c>
      <c r="AI268" s="43" t="str">
        <f>IF(VLOOKUP(AH268,βοηθητικό!$J$2:$N$354,3,FALSE)="","",VLOOKUP(AH268,βοηθητικό!$J$2:$N$354,3,FALSE))</f>
        <v>_</v>
      </c>
      <c r="AJ268" s="44"/>
      <c r="AK268" s="5" t="s">
        <v>16</v>
      </c>
      <c r="AL268" s="46" t="str">
        <f>IF(VLOOKUP(AK268,βοηθητικό!$J$2:$N$354,3,FALSE)="","",VLOOKUP(AK268,βοηθητικό!$J$2:$N$354,3,FALSE))</f>
        <v>_</v>
      </c>
      <c r="AM268" s="47"/>
      <c r="AN268" s="4" t="s">
        <v>16</v>
      </c>
      <c r="AO268" s="43" t="str">
        <f>IF(VLOOKUP(AN268,βοηθητικό!$J$2:$N$354,3,FALSE)="","",VLOOKUP(AN268,βοηθητικό!$J$2:$N$354,3,FALSE))</f>
        <v>_</v>
      </c>
      <c r="AP268" s="44"/>
      <c r="AQ268" s="5" t="s">
        <v>16</v>
      </c>
      <c r="AR268" s="46" t="str">
        <f>IF(VLOOKUP(AQ268,βοηθητικό!$J$2:$N$354,3,FALSE)="","",VLOOKUP(AQ268,βοηθητικό!$J$2:$N$354,3,FALSE))</f>
        <v>_</v>
      </c>
      <c r="AS268" s="47"/>
      <c r="AT268" s="4" t="s">
        <v>16</v>
      </c>
      <c r="AU268" s="43" t="str">
        <f>IF(VLOOKUP(AT268,βοηθητικό!$J$2:$N$354,3,FALSE)="","",VLOOKUP(AT268,βοηθητικό!$J$2:$N$354,3,FALSE))</f>
        <v>_</v>
      </c>
      <c r="AV268" s="44"/>
      <c r="AW268" s="5" t="s">
        <v>16</v>
      </c>
      <c r="AX268" s="46" t="str">
        <f>IF(VLOOKUP(AW268,βοηθητικό!$J$2:$N$354,3,FALSE)="","",VLOOKUP(AW268,βοηθητικό!$J$2:$N$354,3,FALSE))</f>
        <v>_</v>
      </c>
      <c r="AY268" s="47"/>
      <c r="AZ268" s="4" t="s">
        <v>16</v>
      </c>
      <c r="BA268" s="43" t="str">
        <f>IF(VLOOKUP(AZ268,βοηθητικό!$J$2:$N$354,3,FALSE)="","",VLOOKUP(AZ268,βοηθητικό!$J$2:$N$354,3,FALSE))</f>
        <v>_</v>
      </c>
      <c r="BB268" s="44"/>
      <c r="BC268" s="45" t="s">
        <v>16</v>
      </c>
      <c r="BD268" s="46" t="str">
        <f>IF(VLOOKUP(BC268,βοηθητικό!$J$2:$N$354,3,FALSE)="","",VLOOKUP(BC268,βοηθητικό!$J$2:$N$354,3,FALSE))</f>
        <v>_</v>
      </c>
      <c r="BE268" s="47"/>
      <c r="BF268" s="42" t="s">
        <v>16</v>
      </c>
      <c r="BG268" s="43" t="str">
        <f>IF(VLOOKUP(BF268,βοηθητικό!$J$2:$N$354,3,FALSE)="","",VLOOKUP(BF268,βοηθητικό!$J$2:$N$354,3,FALSE))</f>
        <v>_</v>
      </c>
      <c r="BH268" s="44"/>
      <c r="BI268" s="45" t="s">
        <v>16</v>
      </c>
      <c r="BJ268" s="46" t="str">
        <f>IF(VLOOKUP(BI268,βοηθητικό!$J$2:$N$354,3,FALSE)="","",VLOOKUP(BI268,βοηθητικό!$J$2:$N$354,3,FALSE))</f>
        <v>_</v>
      </c>
      <c r="BK268" s="47"/>
      <c r="BL268" s="42" t="s">
        <v>16</v>
      </c>
      <c r="BM268" s="43" t="str">
        <f>IF(VLOOKUP(BL268,βοηθητικό!$J$2:$N$354,3,FALSE)="","",VLOOKUP(BL268,βοηθητικό!$J$2:$N$354,3,FALSE))</f>
        <v>_</v>
      </c>
      <c r="BN268" s="44"/>
      <c r="BO268" s="45" t="s">
        <v>16</v>
      </c>
      <c r="BP268" s="46" t="str">
        <f>IF(VLOOKUP(BO268,βοηθητικό!$J$2:$N$354,3,FALSE)="","",VLOOKUP(BO268,βοηθητικό!$J$2:$N$354,3,FALSE))</f>
        <v>_</v>
      </c>
      <c r="BQ268" s="47"/>
      <c r="BR268" s="42" t="s">
        <v>16</v>
      </c>
      <c r="BS268" s="43" t="str">
        <f>IF(VLOOKUP(BR268,βοηθητικό!$J$2:$N$354,3,FALSE)="","",VLOOKUP(BR268,βοηθητικό!$J$2:$N$354,3,FALSE))</f>
        <v>_</v>
      </c>
      <c r="BT268" s="44"/>
      <c r="BU268" s="45" t="s">
        <v>16</v>
      </c>
      <c r="BV268" s="46" t="str">
        <f>IF(VLOOKUP(BU268,βοηθητικό!$J$2:$N$354,3,FALSE)="","",VLOOKUP(BU268,βοηθητικό!$J$2:$N$354,3,FALSE))</f>
        <v>_</v>
      </c>
      <c r="BW268" s="47"/>
      <c r="BX268" s="42" t="s">
        <v>16</v>
      </c>
      <c r="BY268" s="43" t="str">
        <f>IF(VLOOKUP(BX268,βοηθητικό!$J$2:$N$354,3,FALSE)="","",VLOOKUP(BX268,βοηθητικό!$J$2:$N$354,3,FALSE))</f>
        <v>_</v>
      </c>
      <c r="BZ268" s="44"/>
      <c r="CA268" s="45" t="s">
        <v>16</v>
      </c>
      <c r="CB268" s="46" t="str">
        <f>IF(VLOOKUP(CA268,βοηθητικό!$J$2:$N$354,3,FALSE)="","",VLOOKUP(CA268,βοηθητικό!$J$2:$N$354,3,FALSE))</f>
        <v>_</v>
      </c>
      <c r="CC268" s="47"/>
      <c r="CD268" s="42" t="s">
        <v>16</v>
      </c>
      <c r="CE268" s="43" t="str">
        <f>IF(VLOOKUP(CD268,βοηθητικό!$J$2:$N$354,3,FALSE)="","",VLOOKUP(CD268,βοηθητικό!$J$2:$N$354,3,FALSE))</f>
        <v>_</v>
      </c>
      <c r="CF268" s="44"/>
      <c r="CG268" s="45" t="s">
        <v>16</v>
      </c>
      <c r="CH268" s="46" t="str">
        <f>IF(VLOOKUP(CG268,βοηθητικό!$J$2:$N$354,3,FALSE)="","",VLOOKUP(CG268,βοηθητικό!$J$2:$N$354,3,FALSE))</f>
        <v>_</v>
      </c>
      <c r="CI268" s="47"/>
      <c r="CJ268" s="42" t="s">
        <v>16</v>
      </c>
      <c r="CK268" s="43" t="str">
        <f>IF(VLOOKUP(CJ268,βοηθητικό!$J$2:$N$354,3,FALSE)="","",VLOOKUP(CJ268,βοηθητικό!$J$2:$N$354,3,FALSE))</f>
        <v>_</v>
      </c>
      <c r="CL268" s="44"/>
      <c r="CM268" s="45" t="s">
        <v>16</v>
      </c>
      <c r="CN268" s="46" t="str">
        <f>IF(VLOOKUP(CM268,βοηθητικό!$J$2:$N$354,3,FALSE)="","",VLOOKUP(CM268,βοηθητικό!$J$2:$N$354,3,FALSE))</f>
        <v>_</v>
      </c>
      <c r="CO268" s="47"/>
      <c r="CP268" s="42" t="s">
        <v>16</v>
      </c>
      <c r="CQ268" s="43" t="str">
        <f>IF(VLOOKUP(CP268,βοηθητικό!$J$2:$N$354,3,FALSE)="","",VLOOKUP(CP268,βοηθητικό!$J$2:$N$354,3,FALSE))</f>
        <v>_</v>
      </c>
      <c r="CR268" s="44"/>
      <c r="CS268" s="45" t="s">
        <v>16</v>
      </c>
      <c r="CT268" s="46" t="str">
        <f>IF(VLOOKUP(CS268,βοηθητικό!$J$2:$N$354,3,FALSE)="","",VLOOKUP(CS268,βοηθητικό!$J$2:$N$354,3,FALSE))</f>
        <v>_</v>
      </c>
      <c r="CU268" s="47"/>
    </row>
    <row r="269" spans="1:99" x14ac:dyDescent="0.25">
      <c r="A269" s="37">
        <f>--SUBTOTAL(3,$B$3:B268)</f>
        <v>198</v>
      </c>
      <c r="B269" s="2"/>
      <c r="C269" s="3"/>
      <c r="D269" s="55" t="s">
        <v>18</v>
      </c>
      <c r="E269" s="38" t="s">
        <v>16</v>
      </c>
      <c r="F269" s="38" t="s">
        <v>16</v>
      </c>
      <c r="G269" s="39" t="str">
        <f t="shared" si="14"/>
        <v>__</v>
      </c>
      <c r="H269" s="40" t="str">
        <f t="shared" si="15"/>
        <v>FALSE</v>
      </c>
      <c r="I269" s="41">
        <f t="shared" si="16"/>
        <v>0</v>
      </c>
      <c r="J269" s="4" t="s">
        <v>16</v>
      </c>
      <c r="K269" s="43" t="str">
        <f>IF(VLOOKUP(J269,βοηθητικό!$J$2:$N$354,3,FALSE)="","",VLOOKUP(J269,βοηθητικό!$J$2:$N$354,3,FALSE))</f>
        <v>_</v>
      </c>
      <c r="L269" s="44"/>
      <c r="M269" s="5" t="s">
        <v>16</v>
      </c>
      <c r="N269" s="46" t="str">
        <f>IF(VLOOKUP(M269,βοηθητικό!$J$2:$N$354,3,FALSE)="","",VLOOKUP(M269,βοηθητικό!$J$2:$N$354,3,FALSE))</f>
        <v>_</v>
      </c>
      <c r="O269" s="47"/>
      <c r="P269" s="4" t="s">
        <v>16</v>
      </c>
      <c r="Q269" s="43" t="str">
        <f>IF(VLOOKUP(P269,βοηθητικό!$J$2:$N$354,3,FALSE)="","",VLOOKUP(P269,βοηθητικό!$J$2:$N$354,3,FALSE))</f>
        <v>_</v>
      </c>
      <c r="R269" s="44"/>
      <c r="S269" s="5" t="s">
        <v>16</v>
      </c>
      <c r="T269" s="46" t="str">
        <f>IF(VLOOKUP(S269,βοηθητικό!$J$2:$N$354,3,FALSE)="","",VLOOKUP(S269,βοηθητικό!$J$2:$N$354,3,FALSE))</f>
        <v>_</v>
      </c>
      <c r="U269" s="47"/>
      <c r="V269" s="4" t="s">
        <v>16</v>
      </c>
      <c r="W269" s="43" t="str">
        <f>IF(VLOOKUP(V269,βοηθητικό!$J$2:$N$354,3,FALSE)="","",VLOOKUP(V269,βοηθητικό!$J$2:$N$354,3,FALSE))</f>
        <v>_</v>
      </c>
      <c r="X269" s="44"/>
      <c r="Y269" s="5" t="s">
        <v>16</v>
      </c>
      <c r="Z269" s="46" t="str">
        <f>IF(VLOOKUP(Y269,βοηθητικό!$J$2:$N$354,3,FALSE)="","",VLOOKUP(Y269,βοηθητικό!$J$2:$N$354,3,FALSE))</f>
        <v>_</v>
      </c>
      <c r="AA269" s="47"/>
      <c r="AB269" s="4" t="s">
        <v>16</v>
      </c>
      <c r="AC269" s="43" t="str">
        <f>IF(VLOOKUP(AB269,βοηθητικό!$J$2:$N$354,3,FALSE)="","",VLOOKUP(AB269,βοηθητικό!$J$2:$N$354,3,FALSE))</f>
        <v>_</v>
      </c>
      <c r="AD269" s="44"/>
      <c r="AE269" s="5" t="s">
        <v>16</v>
      </c>
      <c r="AF269" s="46" t="str">
        <f>IF(VLOOKUP(AE269,βοηθητικό!$J$2:$N$354,3,FALSE)="","",VLOOKUP(AE269,βοηθητικό!$J$2:$N$354,3,FALSE))</f>
        <v>_</v>
      </c>
      <c r="AG269" s="47"/>
      <c r="AH269" s="4" t="s">
        <v>16</v>
      </c>
      <c r="AI269" s="43" t="str">
        <f>IF(VLOOKUP(AH269,βοηθητικό!$J$2:$N$354,3,FALSE)="","",VLOOKUP(AH269,βοηθητικό!$J$2:$N$354,3,FALSE))</f>
        <v>_</v>
      </c>
      <c r="AJ269" s="44"/>
      <c r="AK269" s="5" t="s">
        <v>16</v>
      </c>
      <c r="AL269" s="46" t="str">
        <f>IF(VLOOKUP(AK269,βοηθητικό!$J$2:$N$354,3,FALSE)="","",VLOOKUP(AK269,βοηθητικό!$J$2:$N$354,3,FALSE))</f>
        <v>_</v>
      </c>
      <c r="AM269" s="47"/>
      <c r="AN269" s="4" t="s">
        <v>16</v>
      </c>
      <c r="AO269" s="43" t="str">
        <f>IF(VLOOKUP(AN269,βοηθητικό!$J$2:$N$354,3,FALSE)="","",VLOOKUP(AN269,βοηθητικό!$J$2:$N$354,3,FALSE))</f>
        <v>_</v>
      </c>
      <c r="AP269" s="44"/>
      <c r="AQ269" s="5" t="s">
        <v>16</v>
      </c>
      <c r="AR269" s="46" t="str">
        <f>IF(VLOOKUP(AQ269,βοηθητικό!$J$2:$N$354,3,FALSE)="","",VLOOKUP(AQ269,βοηθητικό!$J$2:$N$354,3,FALSE))</f>
        <v>_</v>
      </c>
      <c r="AS269" s="47"/>
      <c r="AT269" s="4" t="s">
        <v>16</v>
      </c>
      <c r="AU269" s="43" t="str">
        <f>IF(VLOOKUP(AT269,βοηθητικό!$J$2:$N$354,3,FALSE)="","",VLOOKUP(AT269,βοηθητικό!$J$2:$N$354,3,FALSE))</f>
        <v>_</v>
      </c>
      <c r="AV269" s="44"/>
      <c r="AW269" s="5" t="s">
        <v>16</v>
      </c>
      <c r="AX269" s="46" t="str">
        <f>IF(VLOOKUP(AW269,βοηθητικό!$J$2:$N$354,3,FALSE)="","",VLOOKUP(AW269,βοηθητικό!$J$2:$N$354,3,FALSE))</f>
        <v>_</v>
      </c>
      <c r="AY269" s="47"/>
      <c r="AZ269" s="4" t="s">
        <v>16</v>
      </c>
      <c r="BA269" s="43" t="str">
        <f>IF(VLOOKUP(AZ269,βοηθητικό!$J$2:$N$354,3,FALSE)="","",VLOOKUP(AZ269,βοηθητικό!$J$2:$N$354,3,FALSE))</f>
        <v>_</v>
      </c>
      <c r="BB269" s="44"/>
      <c r="BC269" s="45" t="s">
        <v>16</v>
      </c>
      <c r="BD269" s="46" t="str">
        <f>IF(VLOOKUP(BC269,βοηθητικό!$J$2:$N$354,3,FALSE)="","",VLOOKUP(BC269,βοηθητικό!$J$2:$N$354,3,FALSE))</f>
        <v>_</v>
      </c>
      <c r="BE269" s="47"/>
      <c r="BF269" s="42" t="s">
        <v>16</v>
      </c>
      <c r="BG269" s="43" t="str">
        <f>IF(VLOOKUP(BF269,βοηθητικό!$J$2:$N$354,3,FALSE)="","",VLOOKUP(BF269,βοηθητικό!$J$2:$N$354,3,FALSE))</f>
        <v>_</v>
      </c>
      <c r="BH269" s="44"/>
      <c r="BI269" s="45" t="s">
        <v>16</v>
      </c>
      <c r="BJ269" s="46" t="str">
        <f>IF(VLOOKUP(BI269,βοηθητικό!$J$2:$N$354,3,FALSE)="","",VLOOKUP(BI269,βοηθητικό!$J$2:$N$354,3,FALSE))</f>
        <v>_</v>
      </c>
      <c r="BK269" s="47"/>
      <c r="BL269" s="42" t="s">
        <v>16</v>
      </c>
      <c r="BM269" s="43" t="str">
        <f>IF(VLOOKUP(BL269,βοηθητικό!$J$2:$N$354,3,FALSE)="","",VLOOKUP(BL269,βοηθητικό!$J$2:$N$354,3,FALSE))</f>
        <v>_</v>
      </c>
      <c r="BN269" s="44"/>
      <c r="BO269" s="45" t="s">
        <v>16</v>
      </c>
      <c r="BP269" s="46" t="str">
        <f>IF(VLOOKUP(BO269,βοηθητικό!$J$2:$N$354,3,FALSE)="","",VLOOKUP(BO269,βοηθητικό!$J$2:$N$354,3,FALSE))</f>
        <v>_</v>
      </c>
      <c r="BQ269" s="47"/>
      <c r="BR269" s="42" t="s">
        <v>16</v>
      </c>
      <c r="BS269" s="43" t="str">
        <f>IF(VLOOKUP(BR269,βοηθητικό!$J$2:$N$354,3,FALSE)="","",VLOOKUP(BR269,βοηθητικό!$J$2:$N$354,3,FALSE))</f>
        <v>_</v>
      </c>
      <c r="BT269" s="44"/>
      <c r="BU269" s="45" t="s">
        <v>16</v>
      </c>
      <c r="BV269" s="46" t="str">
        <f>IF(VLOOKUP(BU269,βοηθητικό!$J$2:$N$354,3,FALSE)="","",VLOOKUP(BU269,βοηθητικό!$J$2:$N$354,3,FALSE))</f>
        <v>_</v>
      </c>
      <c r="BW269" s="47"/>
      <c r="BX269" s="42" t="s">
        <v>16</v>
      </c>
      <c r="BY269" s="43" t="str">
        <f>IF(VLOOKUP(BX269,βοηθητικό!$J$2:$N$354,3,FALSE)="","",VLOOKUP(BX269,βοηθητικό!$J$2:$N$354,3,FALSE))</f>
        <v>_</v>
      </c>
      <c r="BZ269" s="44"/>
      <c r="CA269" s="45" t="s">
        <v>16</v>
      </c>
      <c r="CB269" s="46" t="str">
        <f>IF(VLOOKUP(CA269,βοηθητικό!$J$2:$N$354,3,FALSE)="","",VLOOKUP(CA269,βοηθητικό!$J$2:$N$354,3,FALSE))</f>
        <v>_</v>
      </c>
      <c r="CC269" s="47"/>
      <c r="CD269" s="42" t="s">
        <v>16</v>
      </c>
      <c r="CE269" s="43" t="str">
        <f>IF(VLOOKUP(CD269,βοηθητικό!$J$2:$N$354,3,FALSE)="","",VLOOKUP(CD269,βοηθητικό!$J$2:$N$354,3,FALSE))</f>
        <v>_</v>
      </c>
      <c r="CF269" s="44"/>
      <c r="CG269" s="45" t="s">
        <v>16</v>
      </c>
      <c r="CH269" s="46" t="str">
        <f>IF(VLOOKUP(CG269,βοηθητικό!$J$2:$N$354,3,FALSE)="","",VLOOKUP(CG269,βοηθητικό!$J$2:$N$354,3,FALSE))</f>
        <v>_</v>
      </c>
      <c r="CI269" s="47"/>
      <c r="CJ269" s="42" t="s">
        <v>16</v>
      </c>
      <c r="CK269" s="43" t="str">
        <f>IF(VLOOKUP(CJ269,βοηθητικό!$J$2:$N$354,3,FALSE)="","",VLOOKUP(CJ269,βοηθητικό!$J$2:$N$354,3,FALSE))</f>
        <v>_</v>
      </c>
      <c r="CL269" s="44"/>
      <c r="CM269" s="45" t="s">
        <v>16</v>
      </c>
      <c r="CN269" s="46" t="str">
        <f>IF(VLOOKUP(CM269,βοηθητικό!$J$2:$N$354,3,FALSE)="","",VLOOKUP(CM269,βοηθητικό!$J$2:$N$354,3,FALSE))</f>
        <v>_</v>
      </c>
      <c r="CO269" s="47"/>
      <c r="CP269" s="42" t="s">
        <v>16</v>
      </c>
      <c r="CQ269" s="43" t="str">
        <f>IF(VLOOKUP(CP269,βοηθητικό!$J$2:$N$354,3,FALSE)="","",VLOOKUP(CP269,βοηθητικό!$J$2:$N$354,3,FALSE))</f>
        <v>_</v>
      </c>
      <c r="CR269" s="44"/>
      <c r="CS269" s="45" t="s">
        <v>16</v>
      </c>
      <c r="CT269" s="46" t="str">
        <f>IF(VLOOKUP(CS269,βοηθητικό!$J$2:$N$354,3,FALSE)="","",VLOOKUP(CS269,βοηθητικό!$J$2:$N$354,3,FALSE))</f>
        <v>_</v>
      </c>
      <c r="CU269" s="47"/>
    </row>
    <row r="270" spans="1:99" x14ac:dyDescent="0.25">
      <c r="A270" s="37">
        <f>--SUBTOTAL(3,$B$3:B269)</f>
        <v>198</v>
      </c>
      <c r="B270" s="2"/>
      <c r="C270" s="3"/>
      <c r="D270" s="55" t="s">
        <v>18</v>
      </c>
      <c r="E270" s="38" t="s">
        <v>16</v>
      </c>
      <c r="F270" s="38" t="s">
        <v>16</v>
      </c>
      <c r="G270" s="39" t="str">
        <f t="shared" si="14"/>
        <v>__</v>
      </c>
      <c r="H270" s="40" t="str">
        <f t="shared" si="15"/>
        <v>FALSE</v>
      </c>
      <c r="I270" s="41">
        <f t="shared" si="16"/>
        <v>0</v>
      </c>
      <c r="J270" s="4" t="s">
        <v>16</v>
      </c>
      <c r="K270" s="43" t="str">
        <f>IF(VLOOKUP(J270,βοηθητικό!$J$2:$N$354,3,FALSE)="","",VLOOKUP(J270,βοηθητικό!$J$2:$N$354,3,FALSE))</f>
        <v>_</v>
      </c>
      <c r="L270" s="44"/>
      <c r="M270" s="5" t="s">
        <v>16</v>
      </c>
      <c r="N270" s="46" t="str">
        <f>IF(VLOOKUP(M270,βοηθητικό!$J$2:$N$354,3,FALSE)="","",VLOOKUP(M270,βοηθητικό!$J$2:$N$354,3,FALSE))</f>
        <v>_</v>
      </c>
      <c r="O270" s="47"/>
      <c r="P270" s="4" t="s">
        <v>16</v>
      </c>
      <c r="Q270" s="43" t="str">
        <f>IF(VLOOKUP(P270,βοηθητικό!$J$2:$N$354,3,FALSE)="","",VLOOKUP(P270,βοηθητικό!$J$2:$N$354,3,FALSE))</f>
        <v>_</v>
      </c>
      <c r="R270" s="44"/>
      <c r="S270" s="5" t="s">
        <v>16</v>
      </c>
      <c r="T270" s="46" t="str">
        <f>IF(VLOOKUP(S270,βοηθητικό!$J$2:$N$354,3,FALSE)="","",VLOOKUP(S270,βοηθητικό!$J$2:$N$354,3,FALSE))</f>
        <v>_</v>
      </c>
      <c r="U270" s="47"/>
      <c r="V270" s="4" t="s">
        <v>16</v>
      </c>
      <c r="W270" s="43" t="str">
        <f>IF(VLOOKUP(V270,βοηθητικό!$J$2:$N$354,3,FALSE)="","",VLOOKUP(V270,βοηθητικό!$J$2:$N$354,3,FALSE))</f>
        <v>_</v>
      </c>
      <c r="X270" s="44"/>
      <c r="Y270" s="5" t="s">
        <v>16</v>
      </c>
      <c r="Z270" s="46" t="str">
        <f>IF(VLOOKUP(Y270,βοηθητικό!$J$2:$N$354,3,FALSE)="","",VLOOKUP(Y270,βοηθητικό!$J$2:$N$354,3,FALSE))</f>
        <v>_</v>
      </c>
      <c r="AA270" s="47"/>
      <c r="AB270" s="4" t="s">
        <v>16</v>
      </c>
      <c r="AC270" s="43" t="str">
        <f>IF(VLOOKUP(AB270,βοηθητικό!$J$2:$N$354,3,FALSE)="","",VLOOKUP(AB270,βοηθητικό!$J$2:$N$354,3,FALSE))</f>
        <v>_</v>
      </c>
      <c r="AD270" s="44"/>
      <c r="AE270" s="5" t="s">
        <v>16</v>
      </c>
      <c r="AF270" s="46" t="str">
        <f>IF(VLOOKUP(AE270,βοηθητικό!$J$2:$N$354,3,FALSE)="","",VLOOKUP(AE270,βοηθητικό!$J$2:$N$354,3,FALSE))</f>
        <v>_</v>
      </c>
      <c r="AG270" s="47"/>
      <c r="AH270" s="4" t="s">
        <v>16</v>
      </c>
      <c r="AI270" s="43" t="str">
        <f>IF(VLOOKUP(AH270,βοηθητικό!$J$2:$N$354,3,FALSE)="","",VLOOKUP(AH270,βοηθητικό!$J$2:$N$354,3,FALSE))</f>
        <v>_</v>
      </c>
      <c r="AJ270" s="44"/>
      <c r="AK270" s="5" t="s">
        <v>16</v>
      </c>
      <c r="AL270" s="46" t="str">
        <f>IF(VLOOKUP(AK270,βοηθητικό!$J$2:$N$354,3,FALSE)="","",VLOOKUP(AK270,βοηθητικό!$J$2:$N$354,3,FALSE))</f>
        <v>_</v>
      </c>
      <c r="AM270" s="47"/>
      <c r="AN270" s="4" t="s">
        <v>16</v>
      </c>
      <c r="AO270" s="43" t="str">
        <f>IF(VLOOKUP(AN270,βοηθητικό!$J$2:$N$354,3,FALSE)="","",VLOOKUP(AN270,βοηθητικό!$J$2:$N$354,3,FALSE))</f>
        <v>_</v>
      </c>
      <c r="AP270" s="44"/>
      <c r="AQ270" s="5" t="s">
        <v>16</v>
      </c>
      <c r="AR270" s="46" t="str">
        <f>IF(VLOOKUP(AQ270,βοηθητικό!$J$2:$N$354,3,FALSE)="","",VLOOKUP(AQ270,βοηθητικό!$J$2:$N$354,3,FALSE))</f>
        <v>_</v>
      </c>
      <c r="AS270" s="47"/>
      <c r="AT270" s="4" t="s">
        <v>16</v>
      </c>
      <c r="AU270" s="43" t="str">
        <f>IF(VLOOKUP(AT270,βοηθητικό!$J$2:$N$354,3,FALSE)="","",VLOOKUP(AT270,βοηθητικό!$J$2:$N$354,3,FALSE))</f>
        <v>_</v>
      </c>
      <c r="AV270" s="44"/>
      <c r="AW270" s="5" t="s">
        <v>16</v>
      </c>
      <c r="AX270" s="46" t="str">
        <f>IF(VLOOKUP(AW270,βοηθητικό!$J$2:$N$354,3,FALSE)="","",VLOOKUP(AW270,βοηθητικό!$J$2:$N$354,3,FALSE))</f>
        <v>_</v>
      </c>
      <c r="AY270" s="47"/>
      <c r="AZ270" s="4" t="s">
        <v>16</v>
      </c>
      <c r="BA270" s="43" t="str">
        <f>IF(VLOOKUP(AZ270,βοηθητικό!$J$2:$N$354,3,FALSE)="","",VLOOKUP(AZ270,βοηθητικό!$J$2:$N$354,3,FALSE))</f>
        <v>_</v>
      </c>
      <c r="BB270" s="44"/>
      <c r="BC270" s="45" t="s">
        <v>16</v>
      </c>
      <c r="BD270" s="46" t="str">
        <f>IF(VLOOKUP(BC270,βοηθητικό!$J$2:$N$354,3,FALSE)="","",VLOOKUP(BC270,βοηθητικό!$J$2:$N$354,3,FALSE))</f>
        <v>_</v>
      </c>
      <c r="BE270" s="47"/>
      <c r="BF270" s="42" t="s">
        <v>16</v>
      </c>
      <c r="BG270" s="43" t="str">
        <f>IF(VLOOKUP(BF270,βοηθητικό!$J$2:$N$354,3,FALSE)="","",VLOOKUP(BF270,βοηθητικό!$J$2:$N$354,3,FALSE))</f>
        <v>_</v>
      </c>
      <c r="BH270" s="44"/>
      <c r="BI270" s="45" t="s">
        <v>16</v>
      </c>
      <c r="BJ270" s="46" t="str">
        <f>IF(VLOOKUP(BI270,βοηθητικό!$J$2:$N$354,3,FALSE)="","",VLOOKUP(BI270,βοηθητικό!$J$2:$N$354,3,FALSE))</f>
        <v>_</v>
      </c>
      <c r="BK270" s="47"/>
      <c r="BL270" s="42" t="s">
        <v>16</v>
      </c>
      <c r="BM270" s="43" t="str">
        <f>IF(VLOOKUP(BL270,βοηθητικό!$J$2:$N$354,3,FALSE)="","",VLOOKUP(BL270,βοηθητικό!$J$2:$N$354,3,FALSE))</f>
        <v>_</v>
      </c>
      <c r="BN270" s="44"/>
      <c r="BO270" s="45" t="s">
        <v>16</v>
      </c>
      <c r="BP270" s="46" t="str">
        <f>IF(VLOOKUP(BO270,βοηθητικό!$J$2:$N$354,3,FALSE)="","",VLOOKUP(BO270,βοηθητικό!$J$2:$N$354,3,FALSE))</f>
        <v>_</v>
      </c>
      <c r="BQ270" s="47"/>
      <c r="BR270" s="42" t="s">
        <v>16</v>
      </c>
      <c r="BS270" s="43" t="str">
        <f>IF(VLOOKUP(BR270,βοηθητικό!$J$2:$N$354,3,FALSE)="","",VLOOKUP(BR270,βοηθητικό!$J$2:$N$354,3,FALSE))</f>
        <v>_</v>
      </c>
      <c r="BT270" s="44"/>
      <c r="BU270" s="45" t="s">
        <v>16</v>
      </c>
      <c r="BV270" s="46" t="str">
        <f>IF(VLOOKUP(BU270,βοηθητικό!$J$2:$N$354,3,FALSE)="","",VLOOKUP(BU270,βοηθητικό!$J$2:$N$354,3,FALSE))</f>
        <v>_</v>
      </c>
      <c r="BW270" s="47"/>
      <c r="BX270" s="42" t="s">
        <v>16</v>
      </c>
      <c r="BY270" s="43" t="str">
        <f>IF(VLOOKUP(BX270,βοηθητικό!$J$2:$N$354,3,FALSE)="","",VLOOKUP(BX270,βοηθητικό!$J$2:$N$354,3,FALSE))</f>
        <v>_</v>
      </c>
      <c r="BZ270" s="44"/>
      <c r="CA270" s="45" t="s">
        <v>16</v>
      </c>
      <c r="CB270" s="46" t="str">
        <f>IF(VLOOKUP(CA270,βοηθητικό!$J$2:$N$354,3,FALSE)="","",VLOOKUP(CA270,βοηθητικό!$J$2:$N$354,3,FALSE))</f>
        <v>_</v>
      </c>
      <c r="CC270" s="47"/>
      <c r="CD270" s="42" t="s">
        <v>16</v>
      </c>
      <c r="CE270" s="43" t="str">
        <f>IF(VLOOKUP(CD270,βοηθητικό!$J$2:$N$354,3,FALSE)="","",VLOOKUP(CD270,βοηθητικό!$J$2:$N$354,3,FALSE))</f>
        <v>_</v>
      </c>
      <c r="CF270" s="44"/>
      <c r="CG270" s="45" t="s">
        <v>16</v>
      </c>
      <c r="CH270" s="46" t="str">
        <f>IF(VLOOKUP(CG270,βοηθητικό!$J$2:$N$354,3,FALSE)="","",VLOOKUP(CG270,βοηθητικό!$J$2:$N$354,3,FALSE))</f>
        <v>_</v>
      </c>
      <c r="CI270" s="47"/>
      <c r="CJ270" s="42" t="s">
        <v>16</v>
      </c>
      <c r="CK270" s="43" t="str">
        <f>IF(VLOOKUP(CJ270,βοηθητικό!$J$2:$N$354,3,FALSE)="","",VLOOKUP(CJ270,βοηθητικό!$J$2:$N$354,3,FALSE))</f>
        <v>_</v>
      </c>
      <c r="CL270" s="44"/>
      <c r="CM270" s="45" t="s">
        <v>16</v>
      </c>
      <c r="CN270" s="46" t="str">
        <f>IF(VLOOKUP(CM270,βοηθητικό!$J$2:$N$354,3,FALSE)="","",VLOOKUP(CM270,βοηθητικό!$J$2:$N$354,3,FALSE))</f>
        <v>_</v>
      </c>
      <c r="CO270" s="47"/>
      <c r="CP270" s="42" t="s">
        <v>16</v>
      </c>
      <c r="CQ270" s="43" t="str">
        <f>IF(VLOOKUP(CP270,βοηθητικό!$J$2:$N$354,3,FALSE)="","",VLOOKUP(CP270,βοηθητικό!$J$2:$N$354,3,FALSE))</f>
        <v>_</v>
      </c>
      <c r="CR270" s="44"/>
      <c r="CS270" s="45" t="s">
        <v>16</v>
      </c>
      <c r="CT270" s="46" t="str">
        <f>IF(VLOOKUP(CS270,βοηθητικό!$J$2:$N$354,3,FALSE)="","",VLOOKUP(CS270,βοηθητικό!$J$2:$N$354,3,FALSE))</f>
        <v>_</v>
      </c>
      <c r="CU270" s="47"/>
    </row>
    <row r="271" spans="1:99" x14ac:dyDescent="0.25">
      <c r="A271" s="37">
        <f>--SUBTOTAL(3,$B$3:B270)</f>
        <v>198</v>
      </c>
      <c r="B271" s="2"/>
      <c r="C271" s="3"/>
      <c r="D271" s="55" t="s">
        <v>18</v>
      </c>
      <c r="E271" s="38" t="s">
        <v>16</v>
      </c>
      <c r="F271" s="38" t="s">
        <v>16</v>
      </c>
      <c r="G271" s="39" t="str">
        <f t="shared" si="14"/>
        <v>__</v>
      </c>
      <c r="H271" s="40" t="str">
        <f t="shared" si="15"/>
        <v>FALSE</v>
      </c>
      <c r="I271" s="41">
        <f t="shared" si="16"/>
        <v>0</v>
      </c>
      <c r="J271" s="4" t="s">
        <v>16</v>
      </c>
      <c r="K271" s="43" t="str">
        <f>IF(VLOOKUP(J271,βοηθητικό!$J$2:$N$354,3,FALSE)="","",VLOOKUP(J271,βοηθητικό!$J$2:$N$354,3,FALSE))</f>
        <v>_</v>
      </c>
      <c r="L271" s="44"/>
      <c r="M271" s="5" t="s">
        <v>16</v>
      </c>
      <c r="N271" s="46" t="str">
        <f>IF(VLOOKUP(M271,βοηθητικό!$J$2:$N$354,3,FALSE)="","",VLOOKUP(M271,βοηθητικό!$J$2:$N$354,3,FALSE))</f>
        <v>_</v>
      </c>
      <c r="O271" s="47"/>
      <c r="P271" s="4" t="s">
        <v>16</v>
      </c>
      <c r="Q271" s="43" t="str">
        <f>IF(VLOOKUP(P271,βοηθητικό!$J$2:$N$354,3,FALSE)="","",VLOOKUP(P271,βοηθητικό!$J$2:$N$354,3,FALSE))</f>
        <v>_</v>
      </c>
      <c r="R271" s="44"/>
      <c r="S271" s="5" t="s">
        <v>16</v>
      </c>
      <c r="T271" s="46" t="str">
        <f>IF(VLOOKUP(S271,βοηθητικό!$J$2:$N$354,3,FALSE)="","",VLOOKUP(S271,βοηθητικό!$J$2:$N$354,3,FALSE))</f>
        <v>_</v>
      </c>
      <c r="U271" s="47"/>
      <c r="V271" s="4" t="s">
        <v>16</v>
      </c>
      <c r="W271" s="43" t="str">
        <f>IF(VLOOKUP(V271,βοηθητικό!$J$2:$N$354,3,FALSE)="","",VLOOKUP(V271,βοηθητικό!$J$2:$N$354,3,FALSE))</f>
        <v>_</v>
      </c>
      <c r="X271" s="44"/>
      <c r="Y271" s="5" t="s">
        <v>16</v>
      </c>
      <c r="Z271" s="46" t="str">
        <f>IF(VLOOKUP(Y271,βοηθητικό!$J$2:$N$354,3,FALSE)="","",VLOOKUP(Y271,βοηθητικό!$J$2:$N$354,3,FALSE))</f>
        <v>_</v>
      </c>
      <c r="AA271" s="47"/>
      <c r="AB271" s="4" t="s">
        <v>16</v>
      </c>
      <c r="AC271" s="43" t="str">
        <f>IF(VLOOKUP(AB271,βοηθητικό!$J$2:$N$354,3,FALSE)="","",VLOOKUP(AB271,βοηθητικό!$J$2:$N$354,3,FALSE))</f>
        <v>_</v>
      </c>
      <c r="AD271" s="44"/>
      <c r="AE271" s="5" t="s">
        <v>16</v>
      </c>
      <c r="AF271" s="46" t="str">
        <f>IF(VLOOKUP(AE271,βοηθητικό!$J$2:$N$354,3,FALSE)="","",VLOOKUP(AE271,βοηθητικό!$J$2:$N$354,3,FALSE))</f>
        <v>_</v>
      </c>
      <c r="AG271" s="47"/>
      <c r="AH271" s="4" t="s">
        <v>16</v>
      </c>
      <c r="AI271" s="43" t="str">
        <f>IF(VLOOKUP(AH271,βοηθητικό!$J$2:$N$354,3,FALSE)="","",VLOOKUP(AH271,βοηθητικό!$J$2:$N$354,3,FALSE))</f>
        <v>_</v>
      </c>
      <c r="AJ271" s="44"/>
      <c r="AK271" s="5" t="s">
        <v>16</v>
      </c>
      <c r="AL271" s="46" t="str">
        <f>IF(VLOOKUP(AK271,βοηθητικό!$J$2:$N$354,3,FALSE)="","",VLOOKUP(AK271,βοηθητικό!$J$2:$N$354,3,FALSE))</f>
        <v>_</v>
      </c>
      <c r="AM271" s="47"/>
      <c r="AN271" s="4" t="s">
        <v>16</v>
      </c>
      <c r="AO271" s="43" t="str">
        <f>IF(VLOOKUP(AN271,βοηθητικό!$J$2:$N$354,3,FALSE)="","",VLOOKUP(AN271,βοηθητικό!$J$2:$N$354,3,FALSE))</f>
        <v>_</v>
      </c>
      <c r="AP271" s="44"/>
      <c r="AQ271" s="5" t="s">
        <v>16</v>
      </c>
      <c r="AR271" s="46" t="str">
        <f>IF(VLOOKUP(AQ271,βοηθητικό!$J$2:$N$354,3,FALSE)="","",VLOOKUP(AQ271,βοηθητικό!$J$2:$N$354,3,FALSE))</f>
        <v>_</v>
      </c>
      <c r="AS271" s="47"/>
      <c r="AT271" s="4" t="s">
        <v>16</v>
      </c>
      <c r="AU271" s="43" t="str">
        <f>IF(VLOOKUP(AT271,βοηθητικό!$J$2:$N$354,3,FALSE)="","",VLOOKUP(AT271,βοηθητικό!$J$2:$N$354,3,FALSE))</f>
        <v>_</v>
      </c>
      <c r="AV271" s="44"/>
      <c r="AW271" s="5" t="s">
        <v>16</v>
      </c>
      <c r="AX271" s="46" t="str">
        <f>IF(VLOOKUP(AW271,βοηθητικό!$J$2:$N$354,3,FALSE)="","",VLOOKUP(AW271,βοηθητικό!$J$2:$N$354,3,FALSE))</f>
        <v>_</v>
      </c>
      <c r="AY271" s="47"/>
      <c r="AZ271" s="4" t="s">
        <v>16</v>
      </c>
      <c r="BA271" s="43" t="str">
        <f>IF(VLOOKUP(AZ271,βοηθητικό!$J$2:$N$354,3,FALSE)="","",VLOOKUP(AZ271,βοηθητικό!$J$2:$N$354,3,FALSE))</f>
        <v>_</v>
      </c>
      <c r="BB271" s="44"/>
      <c r="BC271" s="45" t="s">
        <v>16</v>
      </c>
      <c r="BD271" s="46" t="str">
        <f>IF(VLOOKUP(BC271,βοηθητικό!$J$2:$N$354,3,FALSE)="","",VLOOKUP(BC271,βοηθητικό!$J$2:$N$354,3,FALSE))</f>
        <v>_</v>
      </c>
      <c r="BE271" s="47"/>
      <c r="BF271" s="42" t="s">
        <v>16</v>
      </c>
      <c r="BG271" s="43" t="str">
        <f>IF(VLOOKUP(BF271,βοηθητικό!$J$2:$N$354,3,FALSE)="","",VLOOKUP(BF271,βοηθητικό!$J$2:$N$354,3,FALSE))</f>
        <v>_</v>
      </c>
      <c r="BH271" s="44"/>
      <c r="BI271" s="45" t="s">
        <v>16</v>
      </c>
      <c r="BJ271" s="46" t="str">
        <f>IF(VLOOKUP(BI271,βοηθητικό!$J$2:$N$354,3,FALSE)="","",VLOOKUP(BI271,βοηθητικό!$J$2:$N$354,3,FALSE))</f>
        <v>_</v>
      </c>
      <c r="BK271" s="47"/>
      <c r="BL271" s="42" t="s">
        <v>16</v>
      </c>
      <c r="BM271" s="43" t="str">
        <f>IF(VLOOKUP(BL271,βοηθητικό!$J$2:$N$354,3,FALSE)="","",VLOOKUP(BL271,βοηθητικό!$J$2:$N$354,3,FALSE))</f>
        <v>_</v>
      </c>
      <c r="BN271" s="44"/>
      <c r="BO271" s="45" t="s">
        <v>16</v>
      </c>
      <c r="BP271" s="46" t="str">
        <f>IF(VLOOKUP(BO271,βοηθητικό!$J$2:$N$354,3,FALSE)="","",VLOOKUP(BO271,βοηθητικό!$J$2:$N$354,3,FALSE))</f>
        <v>_</v>
      </c>
      <c r="BQ271" s="47"/>
      <c r="BR271" s="42" t="s">
        <v>16</v>
      </c>
      <c r="BS271" s="43" t="str">
        <f>IF(VLOOKUP(BR271,βοηθητικό!$J$2:$N$354,3,FALSE)="","",VLOOKUP(BR271,βοηθητικό!$J$2:$N$354,3,FALSE))</f>
        <v>_</v>
      </c>
      <c r="BT271" s="44"/>
      <c r="BU271" s="45" t="s">
        <v>16</v>
      </c>
      <c r="BV271" s="46" t="str">
        <f>IF(VLOOKUP(BU271,βοηθητικό!$J$2:$N$354,3,FALSE)="","",VLOOKUP(BU271,βοηθητικό!$J$2:$N$354,3,FALSE))</f>
        <v>_</v>
      </c>
      <c r="BW271" s="47"/>
      <c r="BX271" s="42" t="s">
        <v>16</v>
      </c>
      <c r="BY271" s="43" t="str">
        <f>IF(VLOOKUP(BX271,βοηθητικό!$J$2:$N$354,3,FALSE)="","",VLOOKUP(BX271,βοηθητικό!$J$2:$N$354,3,FALSE))</f>
        <v>_</v>
      </c>
      <c r="BZ271" s="44"/>
      <c r="CA271" s="45" t="s">
        <v>16</v>
      </c>
      <c r="CB271" s="46" t="str">
        <f>IF(VLOOKUP(CA271,βοηθητικό!$J$2:$N$354,3,FALSE)="","",VLOOKUP(CA271,βοηθητικό!$J$2:$N$354,3,FALSE))</f>
        <v>_</v>
      </c>
      <c r="CC271" s="47"/>
      <c r="CD271" s="42" t="s">
        <v>16</v>
      </c>
      <c r="CE271" s="43" t="str">
        <f>IF(VLOOKUP(CD271,βοηθητικό!$J$2:$N$354,3,FALSE)="","",VLOOKUP(CD271,βοηθητικό!$J$2:$N$354,3,FALSE))</f>
        <v>_</v>
      </c>
      <c r="CF271" s="44"/>
      <c r="CG271" s="45" t="s">
        <v>16</v>
      </c>
      <c r="CH271" s="46" t="str">
        <f>IF(VLOOKUP(CG271,βοηθητικό!$J$2:$N$354,3,FALSE)="","",VLOOKUP(CG271,βοηθητικό!$J$2:$N$354,3,FALSE))</f>
        <v>_</v>
      </c>
      <c r="CI271" s="47"/>
      <c r="CJ271" s="42" t="s">
        <v>16</v>
      </c>
      <c r="CK271" s="43" t="str">
        <f>IF(VLOOKUP(CJ271,βοηθητικό!$J$2:$N$354,3,FALSE)="","",VLOOKUP(CJ271,βοηθητικό!$J$2:$N$354,3,FALSE))</f>
        <v>_</v>
      </c>
      <c r="CL271" s="44"/>
      <c r="CM271" s="45" t="s">
        <v>16</v>
      </c>
      <c r="CN271" s="46" t="str">
        <f>IF(VLOOKUP(CM271,βοηθητικό!$J$2:$N$354,3,FALSE)="","",VLOOKUP(CM271,βοηθητικό!$J$2:$N$354,3,FALSE))</f>
        <v>_</v>
      </c>
      <c r="CO271" s="47"/>
      <c r="CP271" s="42" t="s">
        <v>16</v>
      </c>
      <c r="CQ271" s="43" t="str">
        <f>IF(VLOOKUP(CP271,βοηθητικό!$J$2:$N$354,3,FALSE)="","",VLOOKUP(CP271,βοηθητικό!$J$2:$N$354,3,FALSE))</f>
        <v>_</v>
      </c>
      <c r="CR271" s="44"/>
      <c r="CS271" s="45" t="s">
        <v>16</v>
      </c>
      <c r="CT271" s="46" t="str">
        <f>IF(VLOOKUP(CS271,βοηθητικό!$J$2:$N$354,3,FALSE)="","",VLOOKUP(CS271,βοηθητικό!$J$2:$N$354,3,FALSE))</f>
        <v>_</v>
      </c>
      <c r="CU271" s="47"/>
    </row>
    <row r="272" spans="1:99" x14ac:dyDescent="0.25">
      <c r="A272" s="37">
        <f>--SUBTOTAL(3,$B$3:B271)</f>
        <v>198</v>
      </c>
      <c r="B272" s="2"/>
      <c r="C272" s="3"/>
      <c r="D272" s="55" t="s">
        <v>18</v>
      </c>
      <c r="E272" s="38" t="s">
        <v>16</v>
      </c>
      <c r="F272" s="38" t="s">
        <v>16</v>
      </c>
      <c r="G272" s="39" t="str">
        <f t="shared" si="14"/>
        <v>__</v>
      </c>
      <c r="H272" s="40" t="str">
        <f t="shared" si="15"/>
        <v>FALSE</v>
      </c>
      <c r="I272" s="41">
        <f t="shared" si="16"/>
        <v>0</v>
      </c>
      <c r="J272" s="4" t="s">
        <v>16</v>
      </c>
      <c r="K272" s="43" t="str">
        <f>IF(VLOOKUP(J272,βοηθητικό!$J$2:$N$354,3,FALSE)="","",VLOOKUP(J272,βοηθητικό!$J$2:$N$354,3,FALSE))</f>
        <v>_</v>
      </c>
      <c r="L272" s="44"/>
      <c r="M272" s="5" t="s">
        <v>16</v>
      </c>
      <c r="N272" s="46" t="str">
        <f>IF(VLOOKUP(M272,βοηθητικό!$J$2:$N$354,3,FALSE)="","",VLOOKUP(M272,βοηθητικό!$J$2:$N$354,3,FALSE))</f>
        <v>_</v>
      </c>
      <c r="O272" s="47"/>
      <c r="P272" s="4" t="s">
        <v>16</v>
      </c>
      <c r="Q272" s="43" t="str">
        <f>IF(VLOOKUP(P272,βοηθητικό!$J$2:$N$354,3,FALSE)="","",VLOOKUP(P272,βοηθητικό!$J$2:$N$354,3,FALSE))</f>
        <v>_</v>
      </c>
      <c r="R272" s="44"/>
      <c r="S272" s="5" t="s">
        <v>16</v>
      </c>
      <c r="T272" s="46" t="str">
        <f>IF(VLOOKUP(S272,βοηθητικό!$J$2:$N$354,3,FALSE)="","",VLOOKUP(S272,βοηθητικό!$J$2:$N$354,3,FALSE))</f>
        <v>_</v>
      </c>
      <c r="U272" s="47"/>
      <c r="V272" s="4" t="s">
        <v>16</v>
      </c>
      <c r="W272" s="43" t="str">
        <f>IF(VLOOKUP(V272,βοηθητικό!$J$2:$N$354,3,FALSE)="","",VLOOKUP(V272,βοηθητικό!$J$2:$N$354,3,FALSE))</f>
        <v>_</v>
      </c>
      <c r="X272" s="44"/>
      <c r="Y272" s="5" t="s">
        <v>16</v>
      </c>
      <c r="Z272" s="46" t="str">
        <f>IF(VLOOKUP(Y272,βοηθητικό!$J$2:$N$354,3,FALSE)="","",VLOOKUP(Y272,βοηθητικό!$J$2:$N$354,3,FALSE))</f>
        <v>_</v>
      </c>
      <c r="AA272" s="47"/>
      <c r="AB272" s="4" t="s">
        <v>16</v>
      </c>
      <c r="AC272" s="43" t="str">
        <f>IF(VLOOKUP(AB272,βοηθητικό!$J$2:$N$354,3,FALSE)="","",VLOOKUP(AB272,βοηθητικό!$J$2:$N$354,3,FALSE))</f>
        <v>_</v>
      </c>
      <c r="AD272" s="44"/>
      <c r="AE272" s="5" t="s">
        <v>16</v>
      </c>
      <c r="AF272" s="46" t="str">
        <f>IF(VLOOKUP(AE272,βοηθητικό!$J$2:$N$354,3,FALSE)="","",VLOOKUP(AE272,βοηθητικό!$J$2:$N$354,3,FALSE))</f>
        <v>_</v>
      </c>
      <c r="AG272" s="47"/>
      <c r="AH272" s="4" t="s">
        <v>16</v>
      </c>
      <c r="AI272" s="43" t="str">
        <f>IF(VLOOKUP(AH272,βοηθητικό!$J$2:$N$354,3,FALSE)="","",VLOOKUP(AH272,βοηθητικό!$J$2:$N$354,3,FALSE))</f>
        <v>_</v>
      </c>
      <c r="AJ272" s="44"/>
      <c r="AK272" s="5" t="s">
        <v>16</v>
      </c>
      <c r="AL272" s="46" t="str">
        <f>IF(VLOOKUP(AK272,βοηθητικό!$J$2:$N$354,3,FALSE)="","",VLOOKUP(AK272,βοηθητικό!$J$2:$N$354,3,FALSE))</f>
        <v>_</v>
      </c>
      <c r="AM272" s="47"/>
      <c r="AN272" s="4" t="s">
        <v>16</v>
      </c>
      <c r="AO272" s="43" t="str">
        <f>IF(VLOOKUP(AN272,βοηθητικό!$J$2:$N$354,3,FALSE)="","",VLOOKUP(AN272,βοηθητικό!$J$2:$N$354,3,FALSE))</f>
        <v>_</v>
      </c>
      <c r="AP272" s="44"/>
      <c r="AQ272" s="5" t="s">
        <v>16</v>
      </c>
      <c r="AR272" s="46" t="str">
        <f>IF(VLOOKUP(AQ272,βοηθητικό!$J$2:$N$354,3,FALSE)="","",VLOOKUP(AQ272,βοηθητικό!$J$2:$N$354,3,FALSE))</f>
        <v>_</v>
      </c>
      <c r="AS272" s="47"/>
      <c r="AT272" s="4" t="s">
        <v>16</v>
      </c>
      <c r="AU272" s="43" t="str">
        <f>IF(VLOOKUP(AT272,βοηθητικό!$J$2:$N$354,3,FALSE)="","",VLOOKUP(AT272,βοηθητικό!$J$2:$N$354,3,FALSE))</f>
        <v>_</v>
      </c>
      <c r="AV272" s="44"/>
      <c r="AW272" s="5" t="s">
        <v>16</v>
      </c>
      <c r="AX272" s="46" t="str">
        <f>IF(VLOOKUP(AW272,βοηθητικό!$J$2:$N$354,3,FALSE)="","",VLOOKUP(AW272,βοηθητικό!$J$2:$N$354,3,FALSE))</f>
        <v>_</v>
      </c>
      <c r="AY272" s="47"/>
      <c r="AZ272" s="4" t="s">
        <v>16</v>
      </c>
      <c r="BA272" s="43" t="str">
        <f>IF(VLOOKUP(AZ272,βοηθητικό!$J$2:$N$354,3,FALSE)="","",VLOOKUP(AZ272,βοηθητικό!$J$2:$N$354,3,FALSE))</f>
        <v>_</v>
      </c>
      <c r="BB272" s="44"/>
      <c r="BC272" s="45" t="s">
        <v>16</v>
      </c>
      <c r="BD272" s="46" t="str">
        <f>IF(VLOOKUP(BC272,βοηθητικό!$J$2:$N$354,3,FALSE)="","",VLOOKUP(BC272,βοηθητικό!$J$2:$N$354,3,FALSE))</f>
        <v>_</v>
      </c>
      <c r="BE272" s="47"/>
      <c r="BF272" s="42" t="s">
        <v>16</v>
      </c>
      <c r="BG272" s="43" t="str">
        <f>IF(VLOOKUP(BF272,βοηθητικό!$J$2:$N$354,3,FALSE)="","",VLOOKUP(BF272,βοηθητικό!$J$2:$N$354,3,FALSE))</f>
        <v>_</v>
      </c>
      <c r="BH272" s="44"/>
      <c r="BI272" s="45" t="s">
        <v>16</v>
      </c>
      <c r="BJ272" s="46" t="str">
        <f>IF(VLOOKUP(BI272,βοηθητικό!$J$2:$N$354,3,FALSE)="","",VLOOKUP(BI272,βοηθητικό!$J$2:$N$354,3,FALSE))</f>
        <v>_</v>
      </c>
      <c r="BK272" s="47"/>
      <c r="BL272" s="42" t="s">
        <v>16</v>
      </c>
      <c r="BM272" s="43" t="str">
        <f>IF(VLOOKUP(BL272,βοηθητικό!$J$2:$N$354,3,FALSE)="","",VLOOKUP(BL272,βοηθητικό!$J$2:$N$354,3,FALSE))</f>
        <v>_</v>
      </c>
      <c r="BN272" s="44"/>
      <c r="BO272" s="45" t="s">
        <v>16</v>
      </c>
      <c r="BP272" s="46" t="str">
        <f>IF(VLOOKUP(BO272,βοηθητικό!$J$2:$N$354,3,FALSE)="","",VLOOKUP(BO272,βοηθητικό!$J$2:$N$354,3,FALSE))</f>
        <v>_</v>
      </c>
      <c r="BQ272" s="47"/>
      <c r="BR272" s="42" t="s">
        <v>16</v>
      </c>
      <c r="BS272" s="43" t="str">
        <f>IF(VLOOKUP(BR272,βοηθητικό!$J$2:$N$354,3,FALSE)="","",VLOOKUP(BR272,βοηθητικό!$J$2:$N$354,3,FALSE))</f>
        <v>_</v>
      </c>
      <c r="BT272" s="44"/>
      <c r="BU272" s="45" t="s">
        <v>16</v>
      </c>
      <c r="BV272" s="46" t="str">
        <f>IF(VLOOKUP(BU272,βοηθητικό!$J$2:$N$354,3,FALSE)="","",VLOOKUP(BU272,βοηθητικό!$J$2:$N$354,3,FALSE))</f>
        <v>_</v>
      </c>
      <c r="BW272" s="47"/>
      <c r="BX272" s="42" t="s">
        <v>16</v>
      </c>
      <c r="BY272" s="43" t="str">
        <f>IF(VLOOKUP(BX272,βοηθητικό!$J$2:$N$354,3,FALSE)="","",VLOOKUP(BX272,βοηθητικό!$J$2:$N$354,3,FALSE))</f>
        <v>_</v>
      </c>
      <c r="BZ272" s="44"/>
      <c r="CA272" s="45" t="s">
        <v>16</v>
      </c>
      <c r="CB272" s="46" t="str">
        <f>IF(VLOOKUP(CA272,βοηθητικό!$J$2:$N$354,3,FALSE)="","",VLOOKUP(CA272,βοηθητικό!$J$2:$N$354,3,FALSE))</f>
        <v>_</v>
      </c>
      <c r="CC272" s="47"/>
      <c r="CD272" s="42" t="s">
        <v>16</v>
      </c>
      <c r="CE272" s="43" t="str">
        <f>IF(VLOOKUP(CD272,βοηθητικό!$J$2:$N$354,3,FALSE)="","",VLOOKUP(CD272,βοηθητικό!$J$2:$N$354,3,FALSE))</f>
        <v>_</v>
      </c>
      <c r="CF272" s="44"/>
      <c r="CG272" s="45" t="s">
        <v>16</v>
      </c>
      <c r="CH272" s="46" t="str">
        <f>IF(VLOOKUP(CG272,βοηθητικό!$J$2:$N$354,3,FALSE)="","",VLOOKUP(CG272,βοηθητικό!$J$2:$N$354,3,FALSE))</f>
        <v>_</v>
      </c>
      <c r="CI272" s="47"/>
      <c r="CJ272" s="42" t="s">
        <v>16</v>
      </c>
      <c r="CK272" s="43" t="str">
        <f>IF(VLOOKUP(CJ272,βοηθητικό!$J$2:$N$354,3,FALSE)="","",VLOOKUP(CJ272,βοηθητικό!$J$2:$N$354,3,FALSE))</f>
        <v>_</v>
      </c>
      <c r="CL272" s="44"/>
      <c r="CM272" s="45" t="s">
        <v>16</v>
      </c>
      <c r="CN272" s="46" t="str">
        <f>IF(VLOOKUP(CM272,βοηθητικό!$J$2:$N$354,3,FALSE)="","",VLOOKUP(CM272,βοηθητικό!$J$2:$N$354,3,FALSE))</f>
        <v>_</v>
      </c>
      <c r="CO272" s="47"/>
      <c r="CP272" s="42" t="s">
        <v>16</v>
      </c>
      <c r="CQ272" s="43" t="str">
        <f>IF(VLOOKUP(CP272,βοηθητικό!$J$2:$N$354,3,FALSE)="","",VLOOKUP(CP272,βοηθητικό!$J$2:$N$354,3,FALSE))</f>
        <v>_</v>
      </c>
      <c r="CR272" s="44"/>
      <c r="CS272" s="45" t="s">
        <v>16</v>
      </c>
      <c r="CT272" s="46" t="str">
        <f>IF(VLOOKUP(CS272,βοηθητικό!$J$2:$N$354,3,FALSE)="","",VLOOKUP(CS272,βοηθητικό!$J$2:$N$354,3,FALSE))</f>
        <v>_</v>
      </c>
      <c r="CU272" s="47"/>
    </row>
    <row r="273" spans="1:99" x14ac:dyDescent="0.25">
      <c r="A273" s="37">
        <f>--SUBTOTAL(3,$B$3:B272)</f>
        <v>198</v>
      </c>
      <c r="B273" s="2"/>
      <c r="C273" s="3"/>
      <c r="D273" s="55" t="s">
        <v>18</v>
      </c>
      <c r="E273" s="38" t="s">
        <v>16</v>
      </c>
      <c r="F273" s="38" t="s">
        <v>16</v>
      </c>
      <c r="G273" s="39" t="str">
        <f t="shared" si="14"/>
        <v>__</v>
      </c>
      <c r="H273" s="40" t="str">
        <f t="shared" si="15"/>
        <v>FALSE</v>
      </c>
      <c r="I273" s="41">
        <f t="shared" si="16"/>
        <v>0</v>
      </c>
      <c r="J273" s="4" t="s">
        <v>16</v>
      </c>
      <c r="K273" s="43" t="str">
        <f>IF(VLOOKUP(J273,βοηθητικό!$J$2:$N$354,3,FALSE)="","",VLOOKUP(J273,βοηθητικό!$J$2:$N$354,3,FALSE))</f>
        <v>_</v>
      </c>
      <c r="L273" s="44"/>
      <c r="M273" s="5" t="s">
        <v>16</v>
      </c>
      <c r="N273" s="46" t="str">
        <f>IF(VLOOKUP(M273,βοηθητικό!$J$2:$N$354,3,FALSE)="","",VLOOKUP(M273,βοηθητικό!$J$2:$N$354,3,FALSE))</f>
        <v>_</v>
      </c>
      <c r="O273" s="47"/>
      <c r="P273" s="4" t="s">
        <v>16</v>
      </c>
      <c r="Q273" s="43" t="str">
        <f>IF(VLOOKUP(P273,βοηθητικό!$J$2:$N$354,3,FALSE)="","",VLOOKUP(P273,βοηθητικό!$J$2:$N$354,3,FALSE))</f>
        <v>_</v>
      </c>
      <c r="R273" s="44"/>
      <c r="S273" s="5" t="s">
        <v>16</v>
      </c>
      <c r="T273" s="46" t="str">
        <f>IF(VLOOKUP(S273,βοηθητικό!$J$2:$N$354,3,FALSE)="","",VLOOKUP(S273,βοηθητικό!$J$2:$N$354,3,FALSE))</f>
        <v>_</v>
      </c>
      <c r="U273" s="47"/>
      <c r="V273" s="4" t="s">
        <v>16</v>
      </c>
      <c r="W273" s="43" t="str">
        <f>IF(VLOOKUP(V273,βοηθητικό!$J$2:$N$354,3,FALSE)="","",VLOOKUP(V273,βοηθητικό!$J$2:$N$354,3,FALSE))</f>
        <v>_</v>
      </c>
      <c r="X273" s="44"/>
      <c r="Y273" s="5" t="s">
        <v>16</v>
      </c>
      <c r="Z273" s="46" t="str">
        <f>IF(VLOOKUP(Y273,βοηθητικό!$J$2:$N$354,3,FALSE)="","",VLOOKUP(Y273,βοηθητικό!$J$2:$N$354,3,FALSE))</f>
        <v>_</v>
      </c>
      <c r="AA273" s="47"/>
      <c r="AB273" s="4" t="s">
        <v>16</v>
      </c>
      <c r="AC273" s="43" t="str">
        <f>IF(VLOOKUP(AB273,βοηθητικό!$J$2:$N$354,3,FALSE)="","",VLOOKUP(AB273,βοηθητικό!$J$2:$N$354,3,FALSE))</f>
        <v>_</v>
      </c>
      <c r="AD273" s="44"/>
      <c r="AE273" s="5" t="s">
        <v>16</v>
      </c>
      <c r="AF273" s="46" t="str">
        <f>IF(VLOOKUP(AE273,βοηθητικό!$J$2:$N$354,3,FALSE)="","",VLOOKUP(AE273,βοηθητικό!$J$2:$N$354,3,FALSE))</f>
        <v>_</v>
      </c>
      <c r="AG273" s="47"/>
      <c r="AH273" s="4" t="s">
        <v>16</v>
      </c>
      <c r="AI273" s="43" t="str">
        <f>IF(VLOOKUP(AH273,βοηθητικό!$J$2:$N$354,3,FALSE)="","",VLOOKUP(AH273,βοηθητικό!$J$2:$N$354,3,FALSE))</f>
        <v>_</v>
      </c>
      <c r="AJ273" s="44"/>
      <c r="AK273" s="5" t="s">
        <v>16</v>
      </c>
      <c r="AL273" s="46" t="str">
        <f>IF(VLOOKUP(AK273,βοηθητικό!$J$2:$N$354,3,FALSE)="","",VLOOKUP(AK273,βοηθητικό!$J$2:$N$354,3,FALSE))</f>
        <v>_</v>
      </c>
      <c r="AM273" s="47"/>
      <c r="AN273" s="4" t="s">
        <v>16</v>
      </c>
      <c r="AO273" s="43" t="str">
        <f>IF(VLOOKUP(AN273,βοηθητικό!$J$2:$N$354,3,FALSE)="","",VLOOKUP(AN273,βοηθητικό!$J$2:$N$354,3,FALSE))</f>
        <v>_</v>
      </c>
      <c r="AP273" s="44"/>
      <c r="AQ273" s="5" t="s">
        <v>16</v>
      </c>
      <c r="AR273" s="46" t="str">
        <f>IF(VLOOKUP(AQ273,βοηθητικό!$J$2:$N$354,3,FALSE)="","",VLOOKUP(AQ273,βοηθητικό!$J$2:$N$354,3,FALSE))</f>
        <v>_</v>
      </c>
      <c r="AS273" s="47"/>
      <c r="AT273" s="4" t="s">
        <v>16</v>
      </c>
      <c r="AU273" s="43" t="str">
        <f>IF(VLOOKUP(AT273,βοηθητικό!$J$2:$N$354,3,FALSE)="","",VLOOKUP(AT273,βοηθητικό!$J$2:$N$354,3,FALSE))</f>
        <v>_</v>
      </c>
      <c r="AV273" s="44"/>
      <c r="AW273" s="5" t="s">
        <v>16</v>
      </c>
      <c r="AX273" s="46" t="str">
        <f>IF(VLOOKUP(AW273,βοηθητικό!$J$2:$N$354,3,FALSE)="","",VLOOKUP(AW273,βοηθητικό!$J$2:$N$354,3,FALSE))</f>
        <v>_</v>
      </c>
      <c r="AY273" s="47"/>
      <c r="AZ273" s="4" t="s">
        <v>16</v>
      </c>
      <c r="BA273" s="43" t="str">
        <f>IF(VLOOKUP(AZ273,βοηθητικό!$J$2:$N$354,3,FALSE)="","",VLOOKUP(AZ273,βοηθητικό!$J$2:$N$354,3,FALSE))</f>
        <v>_</v>
      </c>
      <c r="BB273" s="44"/>
      <c r="BC273" s="45" t="s">
        <v>16</v>
      </c>
      <c r="BD273" s="46" t="str">
        <f>IF(VLOOKUP(BC273,βοηθητικό!$J$2:$N$354,3,FALSE)="","",VLOOKUP(BC273,βοηθητικό!$J$2:$N$354,3,FALSE))</f>
        <v>_</v>
      </c>
      <c r="BE273" s="47"/>
      <c r="BF273" s="42" t="s">
        <v>16</v>
      </c>
      <c r="BG273" s="43" t="str">
        <f>IF(VLOOKUP(BF273,βοηθητικό!$J$2:$N$354,3,FALSE)="","",VLOOKUP(BF273,βοηθητικό!$J$2:$N$354,3,FALSE))</f>
        <v>_</v>
      </c>
      <c r="BH273" s="44"/>
      <c r="BI273" s="45" t="s">
        <v>16</v>
      </c>
      <c r="BJ273" s="46" t="str">
        <f>IF(VLOOKUP(BI273,βοηθητικό!$J$2:$N$354,3,FALSE)="","",VLOOKUP(BI273,βοηθητικό!$J$2:$N$354,3,FALSE))</f>
        <v>_</v>
      </c>
      <c r="BK273" s="47"/>
      <c r="BL273" s="42" t="s">
        <v>16</v>
      </c>
      <c r="BM273" s="43" t="str">
        <f>IF(VLOOKUP(BL273,βοηθητικό!$J$2:$N$354,3,FALSE)="","",VLOOKUP(BL273,βοηθητικό!$J$2:$N$354,3,FALSE))</f>
        <v>_</v>
      </c>
      <c r="BN273" s="44"/>
      <c r="BO273" s="45" t="s">
        <v>16</v>
      </c>
      <c r="BP273" s="46" t="str">
        <f>IF(VLOOKUP(BO273,βοηθητικό!$J$2:$N$354,3,FALSE)="","",VLOOKUP(BO273,βοηθητικό!$J$2:$N$354,3,FALSE))</f>
        <v>_</v>
      </c>
      <c r="BQ273" s="47"/>
      <c r="BR273" s="42" t="s">
        <v>16</v>
      </c>
      <c r="BS273" s="43" t="str">
        <f>IF(VLOOKUP(BR273,βοηθητικό!$J$2:$N$354,3,FALSE)="","",VLOOKUP(BR273,βοηθητικό!$J$2:$N$354,3,FALSE))</f>
        <v>_</v>
      </c>
      <c r="BT273" s="44"/>
      <c r="BU273" s="45" t="s">
        <v>16</v>
      </c>
      <c r="BV273" s="46" t="str">
        <f>IF(VLOOKUP(BU273,βοηθητικό!$J$2:$N$354,3,FALSE)="","",VLOOKUP(BU273,βοηθητικό!$J$2:$N$354,3,FALSE))</f>
        <v>_</v>
      </c>
      <c r="BW273" s="47"/>
      <c r="BX273" s="42" t="s">
        <v>16</v>
      </c>
      <c r="BY273" s="43" t="str">
        <f>IF(VLOOKUP(BX273,βοηθητικό!$J$2:$N$354,3,FALSE)="","",VLOOKUP(BX273,βοηθητικό!$J$2:$N$354,3,FALSE))</f>
        <v>_</v>
      </c>
      <c r="BZ273" s="44"/>
      <c r="CA273" s="45" t="s">
        <v>16</v>
      </c>
      <c r="CB273" s="46" t="str">
        <f>IF(VLOOKUP(CA273,βοηθητικό!$J$2:$N$354,3,FALSE)="","",VLOOKUP(CA273,βοηθητικό!$J$2:$N$354,3,FALSE))</f>
        <v>_</v>
      </c>
      <c r="CC273" s="47"/>
      <c r="CD273" s="42" t="s">
        <v>16</v>
      </c>
      <c r="CE273" s="43" t="str">
        <f>IF(VLOOKUP(CD273,βοηθητικό!$J$2:$N$354,3,FALSE)="","",VLOOKUP(CD273,βοηθητικό!$J$2:$N$354,3,FALSE))</f>
        <v>_</v>
      </c>
      <c r="CF273" s="44"/>
      <c r="CG273" s="45" t="s">
        <v>16</v>
      </c>
      <c r="CH273" s="46" t="str">
        <f>IF(VLOOKUP(CG273,βοηθητικό!$J$2:$N$354,3,FALSE)="","",VLOOKUP(CG273,βοηθητικό!$J$2:$N$354,3,FALSE))</f>
        <v>_</v>
      </c>
      <c r="CI273" s="47"/>
      <c r="CJ273" s="42" t="s">
        <v>16</v>
      </c>
      <c r="CK273" s="43" t="str">
        <f>IF(VLOOKUP(CJ273,βοηθητικό!$J$2:$N$354,3,FALSE)="","",VLOOKUP(CJ273,βοηθητικό!$J$2:$N$354,3,FALSE))</f>
        <v>_</v>
      </c>
      <c r="CL273" s="44"/>
      <c r="CM273" s="45" t="s">
        <v>16</v>
      </c>
      <c r="CN273" s="46" t="str">
        <f>IF(VLOOKUP(CM273,βοηθητικό!$J$2:$N$354,3,FALSE)="","",VLOOKUP(CM273,βοηθητικό!$J$2:$N$354,3,FALSE))</f>
        <v>_</v>
      </c>
      <c r="CO273" s="47"/>
      <c r="CP273" s="42" t="s">
        <v>16</v>
      </c>
      <c r="CQ273" s="43" t="str">
        <f>IF(VLOOKUP(CP273,βοηθητικό!$J$2:$N$354,3,FALSE)="","",VLOOKUP(CP273,βοηθητικό!$J$2:$N$354,3,FALSE))</f>
        <v>_</v>
      </c>
      <c r="CR273" s="44"/>
      <c r="CS273" s="45" t="s">
        <v>16</v>
      </c>
      <c r="CT273" s="46" t="str">
        <f>IF(VLOOKUP(CS273,βοηθητικό!$J$2:$N$354,3,FALSE)="","",VLOOKUP(CS273,βοηθητικό!$J$2:$N$354,3,FALSE))</f>
        <v>_</v>
      </c>
      <c r="CU273" s="47"/>
    </row>
    <row r="274" spans="1:99" x14ac:dyDescent="0.25">
      <c r="A274" s="37">
        <f>--SUBTOTAL(3,$B$3:B273)</f>
        <v>198</v>
      </c>
      <c r="B274" s="2"/>
      <c r="C274" s="3"/>
      <c r="D274" s="55" t="s">
        <v>18</v>
      </c>
      <c r="E274" s="38" t="s">
        <v>16</v>
      </c>
      <c r="F274" s="38" t="s">
        <v>16</v>
      </c>
      <c r="G274" s="39" t="str">
        <f t="shared" si="14"/>
        <v>__</v>
      </c>
      <c r="H274" s="40" t="str">
        <f t="shared" si="15"/>
        <v>FALSE</v>
      </c>
      <c r="I274" s="41">
        <f t="shared" si="16"/>
        <v>0</v>
      </c>
      <c r="J274" s="4" t="s">
        <v>16</v>
      </c>
      <c r="K274" s="43" t="str">
        <f>IF(VLOOKUP(J274,βοηθητικό!$J$2:$N$354,3,FALSE)="","",VLOOKUP(J274,βοηθητικό!$J$2:$N$354,3,FALSE))</f>
        <v>_</v>
      </c>
      <c r="L274" s="44"/>
      <c r="M274" s="5" t="s">
        <v>16</v>
      </c>
      <c r="N274" s="46" t="str">
        <f>IF(VLOOKUP(M274,βοηθητικό!$J$2:$N$354,3,FALSE)="","",VLOOKUP(M274,βοηθητικό!$J$2:$N$354,3,FALSE))</f>
        <v>_</v>
      </c>
      <c r="O274" s="47"/>
      <c r="P274" s="4" t="s">
        <v>16</v>
      </c>
      <c r="Q274" s="43" t="str">
        <f>IF(VLOOKUP(P274,βοηθητικό!$J$2:$N$354,3,FALSE)="","",VLOOKUP(P274,βοηθητικό!$J$2:$N$354,3,FALSE))</f>
        <v>_</v>
      </c>
      <c r="R274" s="44"/>
      <c r="S274" s="5" t="s">
        <v>16</v>
      </c>
      <c r="T274" s="46" t="str">
        <f>IF(VLOOKUP(S274,βοηθητικό!$J$2:$N$354,3,FALSE)="","",VLOOKUP(S274,βοηθητικό!$J$2:$N$354,3,FALSE))</f>
        <v>_</v>
      </c>
      <c r="U274" s="47"/>
      <c r="V274" s="4" t="s">
        <v>16</v>
      </c>
      <c r="W274" s="43" t="str">
        <f>IF(VLOOKUP(V274,βοηθητικό!$J$2:$N$354,3,FALSE)="","",VLOOKUP(V274,βοηθητικό!$J$2:$N$354,3,FALSE))</f>
        <v>_</v>
      </c>
      <c r="X274" s="44"/>
      <c r="Y274" s="5" t="s">
        <v>16</v>
      </c>
      <c r="Z274" s="46" t="str">
        <f>IF(VLOOKUP(Y274,βοηθητικό!$J$2:$N$354,3,FALSE)="","",VLOOKUP(Y274,βοηθητικό!$J$2:$N$354,3,FALSE))</f>
        <v>_</v>
      </c>
      <c r="AA274" s="47"/>
      <c r="AB274" s="4" t="s">
        <v>16</v>
      </c>
      <c r="AC274" s="43" t="str">
        <f>IF(VLOOKUP(AB274,βοηθητικό!$J$2:$N$354,3,FALSE)="","",VLOOKUP(AB274,βοηθητικό!$J$2:$N$354,3,FALSE))</f>
        <v>_</v>
      </c>
      <c r="AD274" s="44"/>
      <c r="AE274" s="5" t="s">
        <v>16</v>
      </c>
      <c r="AF274" s="46" t="str">
        <f>IF(VLOOKUP(AE274,βοηθητικό!$J$2:$N$354,3,FALSE)="","",VLOOKUP(AE274,βοηθητικό!$J$2:$N$354,3,FALSE))</f>
        <v>_</v>
      </c>
      <c r="AG274" s="47"/>
      <c r="AH274" s="4" t="s">
        <v>16</v>
      </c>
      <c r="AI274" s="43" t="str">
        <f>IF(VLOOKUP(AH274,βοηθητικό!$J$2:$N$354,3,FALSE)="","",VLOOKUP(AH274,βοηθητικό!$J$2:$N$354,3,FALSE))</f>
        <v>_</v>
      </c>
      <c r="AJ274" s="44"/>
      <c r="AK274" s="5" t="s">
        <v>16</v>
      </c>
      <c r="AL274" s="46" t="str">
        <f>IF(VLOOKUP(AK274,βοηθητικό!$J$2:$N$354,3,FALSE)="","",VLOOKUP(AK274,βοηθητικό!$J$2:$N$354,3,FALSE))</f>
        <v>_</v>
      </c>
      <c r="AM274" s="47"/>
      <c r="AN274" s="4" t="s">
        <v>16</v>
      </c>
      <c r="AO274" s="43" t="str">
        <f>IF(VLOOKUP(AN274,βοηθητικό!$J$2:$N$354,3,FALSE)="","",VLOOKUP(AN274,βοηθητικό!$J$2:$N$354,3,FALSE))</f>
        <v>_</v>
      </c>
      <c r="AP274" s="44"/>
      <c r="AQ274" s="5" t="s">
        <v>16</v>
      </c>
      <c r="AR274" s="46" t="str">
        <f>IF(VLOOKUP(AQ274,βοηθητικό!$J$2:$N$354,3,FALSE)="","",VLOOKUP(AQ274,βοηθητικό!$J$2:$N$354,3,FALSE))</f>
        <v>_</v>
      </c>
      <c r="AS274" s="47"/>
      <c r="AT274" s="4" t="s">
        <v>16</v>
      </c>
      <c r="AU274" s="43" t="str">
        <f>IF(VLOOKUP(AT274,βοηθητικό!$J$2:$N$354,3,FALSE)="","",VLOOKUP(AT274,βοηθητικό!$J$2:$N$354,3,FALSE))</f>
        <v>_</v>
      </c>
      <c r="AV274" s="44"/>
      <c r="AW274" s="5" t="s">
        <v>16</v>
      </c>
      <c r="AX274" s="46" t="str">
        <f>IF(VLOOKUP(AW274,βοηθητικό!$J$2:$N$354,3,FALSE)="","",VLOOKUP(AW274,βοηθητικό!$J$2:$N$354,3,FALSE))</f>
        <v>_</v>
      </c>
      <c r="AY274" s="47"/>
      <c r="AZ274" s="4" t="s">
        <v>16</v>
      </c>
      <c r="BA274" s="43" t="str">
        <f>IF(VLOOKUP(AZ274,βοηθητικό!$J$2:$N$354,3,FALSE)="","",VLOOKUP(AZ274,βοηθητικό!$J$2:$N$354,3,FALSE))</f>
        <v>_</v>
      </c>
      <c r="BB274" s="44"/>
      <c r="BC274" s="45" t="s">
        <v>16</v>
      </c>
      <c r="BD274" s="46" t="str">
        <f>IF(VLOOKUP(BC274,βοηθητικό!$J$2:$N$354,3,FALSE)="","",VLOOKUP(BC274,βοηθητικό!$J$2:$N$354,3,FALSE))</f>
        <v>_</v>
      </c>
      <c r="BE274" s="47"/>
      <c r="BF274" s="42" t="s">
        <v>16</v>
      </c>
      <c r="BG274" s="43" t="str">
        <f>IF(VLOOKUP(BF274,βοηθητικό!$J$2:$N$354,3,FALSE)="","",VLOOKUP(BF274,βοηθητικό!$J$2:$N$354,3,FALSE))</f>
        <v>_</v>
      </c>
      <c r="BH274" s="44"/>
      <c r="BI274" s="45" t="s">
        <v>16</v>
      </c>
      <c r="BJ274" s="46" t="str">
        <f>IF(VLOOKUP(BI274,βοηθητικό!$J$2:$N$354,3,FALSE)="","",VLOOKUP(BI274,βοηθητικό!$J$2:$N$354,3,FALSE))</f>
        <v>_</v>
      </c>
      <c r="BK274" s="47"/>
      <c r="BL274" s="42" t="s">
        <v>16</v>
      </c>
      <c r="BM274" s="43" t="str">
        <f>IF(VLOOKUP(BL274,βοηθητικό!$J$2:$N$354,3,FALSE)="","",VLOOKUP(BL274,βοηθητικό!$J$2:$N$354,3,FALSE))</f>
        <v>_</v>
      </c>
      <c r="BN274" s="44"/>
      <c r="BO274" s="45" t="s">
        <v>16</v>
      </c>
      <c r="BP274" s="46" t="str">
        <f>IF(VLOOKUP(BO274,βοηθητικό!$J$2:$N$354,3,FALSE)="","",VLOOKUP(BO274,βοηθητικό!$J$2:$N$354,3,FALSE))</f>
        <v>_</v>
      </c>
      <c r="BQ274" s="47"/>
      <c r="BR274" s="42" t="s">
        <v>16</v>
      </c>
      <c r="BS274" s="43" t="str">
        <f>IF(VLOOKUP(BR274,βοηθητικό!$J$2:$N$354,3,FALSE)="","",VLOOKUP(BR274,βοηθητικό!$J$2:$N$354,3,FALSE))</f>
        <v>_</v>
      </c>
      <c r="BT274" s="44"/>
      <c r="BU274" s="45" t="s">
        <v>16</v>
      </c>
      <c r="BV274" s="46" t="str">
        <f>IF(VLOOKUP(BU274,βοηθητικό!$J$2:$N$354,3,FALSE)="","",VLOOKUP(BU274,βοηθητικό!$J$2:$N$354,3,FALSE))</f>
        <v>_</v>
      </c>
      <c r="BW274" s="47"/>
      <c r="BX274" s="42" t="s">
        <v>16</v>
      </c>
      <c r="BY274" s="43" t="str">
        <f>IF(VLOOKUP(BX274,βοηθητικό!$J$2:$N$354,3,FALSE)="","",VLOOKUP(BX274,βοηθητικό!$J$2:$N$354,3,FALSE))</f>
        <v>_</v>
      </c>
      <c r="BZ274" s="44"/>
      <c r="CA274" s="45" t="s">
        <v>16</v>
      </c>
      <c r="CB274" s="46" t="str">
        <f>IF(VLOOKUP(CA274,βοηθητικό!$J$2:$N$354,3,FALSE)="","",VLOOKUP(CA274,βοηθητικό!$J$2:$N$354,3,FALSE))</f>
        <v>_</v>
      </c>
      <c r="CC274" s="47"/>
      <c r="CD274" s="42" t="s">
        <v>16</v>
      </c>
      <c r="CE274" s="43" t="str">
        <f>IF(VLOOKUP(CD274,βοηθητικό!$J$2:$N$354,3,FALSE)="","",VLOOKUP(CD274,βοηθητικό!$J$2:$N$354,3,FALSE))</f>
        <v>_</v>
      </c>
      <c r="CF274" s="44"/>
      <c r="CG274" s="45" t="s">
        <v>16</v>
      </c>
      <c r="CH274" s="46" t="str">
        <f>IF(VLOOKUP(CG274,βοηθητικό!$J$2:$N$354,3,FALSE)="","",VLOOKUP(CG274,βοηθητικό!$J$2:$N$354,3,FALSE))</f>
        <v>_</v>
      </c>
      <c r="CI274" s="47"/>
      <c r="CJ274" s="42" t="s">
        <v>16</v>
      </c>
      <c r="CK274" s="43" t="str">
        <f>IF(VLOOKUP(CJ274,βοηθητικό!$J$2:$N$354,3,FALSE)="","",VLOOKUP(CJ274,βοηθητικό!$J$2:$N$354,3,FALSE))</f>
        <v>_</v>
      </c>
      <c r="CL274" s="44"/>
      <c r="CM274" s="45" t="s">
        <v>16</v>
      </c>
      <c r="CN274" s="46" t="str">
        <f>IF(VLOOKUP(CM274,βοηθητικό!$J$2:$N$354,3,FALSE)="","",VLOOKUP(CM274,βοηθητικό!$J$2:$N$354,3,FALSE))</f>
        <v>_</v>
      </c>
      <c r="CO274" s="47"/>
      <c r="CP274" s="42" t="s">
        <v>16</v>
      </c>
      <c r="CQ274" s="43" t="str">
        <f>IF(VLOOKUP(CP274,βοηθητικό!$J$2:$N$354,3,FALSE)="","",VLOOKUP(CP274,βοηθητικό!$J$2:$N$354,3,FALSE))</f>
        <v>_</v>
      </c>
      <c r="CR274" s="44"/>
      <c r="CS274" s="45" t="s">
        <v>16</v>
      </c>
      <c r="CT274" s="46" t="str">
        <f>IF(VLOOKUP(CS274,βοηθητικό!$J$2:$N$354,3,FALSE)="","",VLOOKUP(CS274,βοηθητικό!$J$2:$N$354,3,FALSE))</f>
        <v>_</v>
      </c>
      <c r="CU274" s="47"/>
    </row>
    <row r="275" spans="1:99" x14ac:dyDescent="0.25">
      <c r="A275" s="37">
        <f>--SUBTOTAL(3,$B$3:B274)</f>
        <v>198</v>
      </c>
      <c r="B275" s="2"/>
      <c r="C275" s="3"/>
      <c r="D275" s="55" t="s">
        <v>18</v>
      </c>
      <c r="E275" s="38" t="s">
        <v>16</v>
      </c>
      <c r="F275" s="38" t="s">
        <v>16</v>
      </c>
      <c r="G275" s="39" t="str">
        <f t="shared" si="14"/>
        <v>__</v>
      </c>
      <c r="H275" s="40" t="str">
        <f t="shared" si="15"/>
        <v>FALSE</v>
      </c>
      <c r="I275" s="41">
        <f t="shared" si="16"/>
        <v>0</v>
      </c>
      <c r="J275" s="4" t="s">
        <v>16</v>
      </c>
      <c r="K275" s="43" t="str">
        <f>IF(VLOOKUP(J275,βοηθητικό!$J$2:$N$354,3,FALSE)="","",VLOOKUP(J275,βοηθητικό!$J$2:$N$354,3,FALSE))</f>
        <v>_</v>
      </c>
      <c r="L275" s="44"/>
      <c r="M275" s="5" t="s">
        <v>16</v>
      </c>
      <c r="N275" s="46" t="str">
        <f>IF(VLOOKUP(M275,βοηθητικό!$J$2:$N$354,3,FALSE)="","",VLOOKUP(M275,βοηθητικό!$J$2:$N$354,3,FALSE))</f>
        <v>_</v>
      </c>
      <c r="O275" s="47"/>
      <c r="P275" s="4" t="s">
        <v>16</v>
      </c>
      <c r="Q275" s="43" t="str">
        <f>IF(VLOOKUP(P275,βοηθητικό!$J$2:$N$354,3,FALSE)="","",VLOOKUP(P275,βοηθητικό!$J$2:$N$354,3,FALSE))</f>
        <v>_</v>
      </c>
      <c r="R275" s="44"/>
      <c r="S275" s="5" t="s">
        <v>16</v>
      </c>
      <c r="T275" s="46" t="str">
        <f>IF(VLOOKUP(S275,βοηθητικό!$J$2:$N$354,3,FALSE)="","",VLOOKUP(S275,βοηθητικό!$J$2:$N$354,3,FALSE))</f>
        <v>_</v>
      </c>
      <c r="U275" s="47"/>
      <c r="V275" s="4" t="s">
        <v>16</v>
      </c>
      <c r="W275" s="43" t="str">
        <f>IF(VLOOKUP(V275,βοηθητικό!$J$2:$N$354,3,FALSE)="","",VLOOKUP(V275,βοηθητικό!$J$2:$N$354,3,FALSE))</f>
        <v>_</v>
      </c>
      <c r="X275" s="44"/>
      <c r="Y275" s="5" t="s">
        <v>16</v>
      </c>
      <c r="Z275" s="46" t="str">
        <f>IF(VLOOKUP(Y275,βοηθητικό!$J$2:$N$354,3,FALSE)="","",VLOOKUP(Y275,βοηθητικό!$J$2:$N$354,3,FALSE))</f>
        <v>_</v>
      </c>
      <c r="AA275" s="47"/>
      <c r="AB275" s="4" t="s">
        <v>16</v>
      </c>
      <c r="AC275" s="43" t="str">
        <f>IF(VLOOKUP(AB275,βοηθητικό!$J$2:$N$354,3,FALSE)="","",VLOOKUP(AB275,βοηθητικό!$J$2:$N$354,3,FALSE))</f>
        <v>_</v>
      </c>
      <c r="AD275" s="44"/>
      <c r="AE275" s="5" t="s">
        <v>16</v>
      </c>
      <c r="AF275" s="46" t="str">
        <f>IF(VLOOKUP(AE275,βοηθητικό!$J$2:$N$354,3,FALSE)="","",VLOOKUP(AE275,βοηθητικό!$J$2:$N$354,3,FALSE))</f>
        <v>_</v>
      </c>
      <c r="AG275" s="47"/>
      <c r="AH275" s="4" t="s">
        <v>16</v>
      </c>
      <c r="AI275" s="43" t="str">
        <f>IF(VLOOKUP(AH275,βοηθητικό!$J$2:$N$354,3,FALSE)="","",VLOOKUP(AH275,βοηθητικό!$J$2:$N$354,3,FALSE))</f>
        <v>_</v>
      </c>
      <c r="AJ275" s="44"/>
      <c r="AK275" s="5" t="s">
        <v>16</v>
      </c>
      <c r="AL275" s="46" t="str">
        <f>IF(VLOOKUP(AK275,βοηθητικό!$J$2:$N$354,3,FALSE)="","",VLOOKUP(AK275,βοηθητικό!$J$2:$N$354,3,FALSE))</f>
        <v>_</v>
      </c>
      <c r="AM275" s="47"/>
      <c r="AN275" s="4" t="s">
        <v>16</v>
      </c>
      <c r="AO275" s="43" t="str">
        <f>IF(VLOOKUP(AN275,βοηθητικό!$J$2:$N$354,3,FALSE)="","",VLOOKUP(AN275,βοηθητικό!$J$2:$N$354,3,FALSE))</f>
        <v>_</v>
      </c>
      <c r="AP275" s="44"/>
      <c r="AQ275" s="5" t="s">
        <v>16</v>
      </c>
      <c r="AR275" s="46" t="str">
        <f>IF(VLOOKUP(AQ275,βοηθητικό!$J$2:$N$354,3,FALSE)="","",VLOOKUP(AQ275,βοηθητικό!$J$2:$N$354,3,FALSE))</f>
        <v>_</v>
      </c>
      <c r="AS275" s="47"/>
      <c r="AT275" s="4" t="s">
        <v>16</v>
      </c>
      <c r="AU275" s="43" t="str">
        <f>IF(VLOOKUP(AT275,βοηθητικό!$J$2:$N$354,3,FALSE)="","",VLOOKUP(AT275,βοηθητικό!$J$2:$N$354,3,FALSE))</f>
        <v>_</v>
      </c>
      <c r="AV275" s="44"/>
      <c r="AW275" s="5" t="s">
        <v>16</v>
      </c>
      <c r="AX275" s="46" t="str">
        <f>IF(VLOOKUP(AW275,βοηθητικό!$J$2:$N$354,3,FALSE)="","",VLOOKUP(AW275,βοηθητικό!$J$2:$N$354,3,FALSE))</f>
        <v>_</v>
      </c>
      <c r="AY275" s="47"/>
      <c r="AZ275" s="4" t="s">
        <v>16</v>
      </c>
      <c r="BA275" s="43" t="str">
        <f>IF(VLOOKUP(AZ275,βοηθητικό!$J$2:$N$354,3,FALSE)="","",VLOOKUP(AZ275,βοηθητικό!$J$2:$N$354,3,FALSE))</f>
        <v>_</v>
      </c>
      <c r="BB275" s="44"/>
      <c r="BC275" s="45" t="s">
        <v>16</v>
      </c>
      <c r="BD275" s="46" t="str">
        <f>IF(VLOOKUP(BC275,βοηθητικό!$J$2:$N$354,3,FALSE)="","",VLOOKUP(BC275,βοηθητικό!$J$2:$N$354,3,FALSE))</f>
        <v>_</v>
      </c>
      <c r="BE275" s="47"/>
      <c r="BF275" s="42" t="s">
        <v>16</v>
      </c>
      <c r="BG275" s="43" t="str">
        <f>IF(VLOOKUP(BF275,βοηθητικό!$J$2:$N$354,3,FALSE)="","",VLOOKUP(BF275,βοηθητικό!$J$2:$N$354,3,FALSE))</f>
        <v>_</v>
      </c>
      <c r="BH275" s="44"/>
      <c r="BI275" s="45" t="s">
        <v>16</v>
      </c>
      <c r="BJ275" s="46" t="str">
        <f>IF(VLOOKUP(BI275,βοηθητικό!$J$2:$N$354,3,FALSE)="","",VLOOKUP(BI275,βοηθητικό!$J$2:$N$354,3,FALSE))</f>
        <v>_</v>
      </c>
      <c r="BK275" s="47"/>
      <c r="BL275" s="42" t="s">
        <v>16</v>
      </c>
      <c r="BM275" s="43" t="str">
        <f>IF(VLOOKUP(BL275,βοηθητικό!$J$2:$N$354,3,FALSE)="","",VLOOKUP(BL275,βοηθητικό!$J$2:$N$354,3,FALSE))</f>
        <v>_</v>
      </c>
      <c r="BN275" s="44"/>
      <c r="BO275" s="45" t="s">
        <v>16</v>
      </c>
      <c r="BP275" s="46" t="str">
        <f>IF(VLOOKUP(BO275,βοηθητικό!$J$2:$N$354,3,FALSE)="","",VLOOKUP(BO275,βοηθητικό!$J$2:$N$354,3,FALSE))</f>
        <v>_</v>
      </c>
      <c r="BQ275" s="47"/>
      <c r="BR275" s="42" t="s">
        <v>16</v>
      </c>
      <c r="BS275" s="43" t="str">
        <f>IF(VLOOKUP(BR275,βοηθητικό!$J$2:$N$354,3,FALSE)="","",VLOOKUP(BR275,βοηθητικό!$J$2:$N$354,3,FALSE))</f>
        <v>_</v>
      </c>
      <c r="BT275" s="44"/>
      <c r="BU275" s="45" t="s">
        <v>16</v>
      </c>
      <c r="BV275" s="46" t="str">
        <f>IF(VLOOKUP(BU275,βοηθητικό!$J$2:$N$354,3,FALSE)="","",VLOOKUP(BU275,βοηθητικό!$J$2:$N$354,3,FALSE))</f>
        <v>_</v>
      </c>
      <c r="BW275" s="47"/>
      <c r="BX275" s="42" t="s">
        <v>16</v>
      </c>
      <c r="BY275" s="43" t="str">
        <f>IF(VLOOKUP(BX275,βοηθητικό!$J$2:$N$354,3,FALSE)="","",VLOOKUP(BX275,βοηθητικό!$J$2:$N$354,3,FALSE))</f>
        <v>_</v>
      </c>
      <c r="BZ275" s="44"/>
      <c r="CA275" s="45" t="s">
        <v>16</v>
      </c>
      <c r="CB275" s="46" t="str">
        <f>IF(VLOOKUP(CA275,βοηθητικό!$J$2:$N$354,3,FALSE)="","",VLOOKUP(CA275,βοηθητικό!$J$2:$N$354,3,FALSE))</f>
        <v>_</v>
      </c>
      <c r="CC275" s="47"/>
      <c r="CD275" s="42" t="s">
        <v>16</v>
      </c>
      <c r="CE275" s="43" t="str">
        <f>IF(VLOOKUP(CD275,βοηθητικό!$J$2:$N$354,3,FALSE)="","",VLOOKUP(CD275,βοηθητικό!$J$2:$N$354,3,FALSE))</f>
        <v>_</v>
      </c>
      <c r="CF275" s="44"/>
      <c r="CG275" s="45" t="s">
        <v>16</v>
      </c>
      <c r="CH275" s="46" t="str">
        <f>IF(VLOOKUP(CG275,βοηθητικό!$J$2:$N$354,3,FALSE)="","",VLOOKUP(CG275,βοηθητικό!$J$2:$N$354,3,FALSE))</f>
        <v>_</v>
      </c>
      <c r="CI275" s="47"/>
      <c r="CJ275" s="42" t="s">
        <v>16</v>
      </c>
      <c r="CK275" s="43" t="str">
        <f>IF(VLOOKUP(CJ275,βοηθητικό!$J$2:$N$354,3,FALSE)="","",VLOOKUP(CJ275,βοηθητικό!$J$2:$N$354,3,FALSE))</f>
        <v>_</v>
      </c>
      <c r="CL275" s="44"/>
      <c r="CM275" s="45" t="s">
        <v>16</v>
      </c>
      <c r="CN275" s="46" t="str">
        <f>IF(VLOOKUP(CM275,βοηθητικό!$J$2:$N$354,3,FALSE)="","",VLOOKUP(CM275,βοηθητικό!$J$2:$N$354,3,FALSE))</f>
        <v>_</v>
      </c>
      <c r="CO275" s="47"/>
      <c r="CP275" s="42" t="s">
        <v>16</v>
      </c>
      <c r="CQ275" s="43" t="str">
        <f>IF(VLOOKUP(CP275,βοηθητικό!$J$2:$N$354,3,FALSE)="","",VLOOKUP(CP275,βοηθητικό!$J$2:$N$354,3,FALSE))</f>
        <v>_</v>
      </c>
      <c r="CR275" s="44"/>
      <c r="CS275" s="45" t="s">
        <v>16</v>
      </c>
      <c r="CT275" s="46" t="str">
        <f>IF(VLOOKUP(CS275,βοηθητικό!$J$2:$N$354,3,FALSE)="","",VLOOKUP(CS275,βοηθητικό!$J$2:$N$354,3,FALSE))</f>
        <v>_</v>
      </c>
      <c r="CU275" s="47"/>
    </row>
    <row r="276" spans="1:99" x14ac:dyDescent="0.25">
      <c r="A276" s="37">
        <f>--SUBTOTAL(3,$B$3:B275)</f>
        <v>198</v>
      </c>
      <c r="B276" s="2"/>
      <c r="C276" s="3"/>
      <c r="D276" s="55" t="s">
        <v>18</v>
      </c>
      <c r="E276" s="38" t="s">
        <v>16</v>
      </c>
      <c r="F276" s="38" t="s">
        <v>16</v>
      </c>
      <c r="G276" s="39" t="str">
        <f t="shared" si="14"/>
        <v>__</v>
      </c>
      <c r="H276" s="40" t="str">
        <f t="shared" si="15"/>
        <v>FALSE</v>
      </c>
      <c r="I276" s="41">
        <f t="shared" si="16"/>
        <v>0</v>
      </c>
      <c r="J276" s="4" t="s">
        <v>16</v>
      </c>
      <c r="K276" s="43" t="str">
        <f>IF(VLOOKUP(J276,βοηθητικό!$J$2:$N$354,3,FALSE)="","",VLOOKUP(J276,βοηθητικό!$J$2:$N$354,3,FALSE))</f>
        <v>_</v>
      </c>
      <c r="L276" s="44"/>
      <c r="M276" s="5" t="s">
        <v>16</v>
      </c>
      <c r="N276" s="46" t="str">
        <f>IF(VLOOKUP(M276,βοηθητικό!$J$2:$N$354,3,FALSE)="","",VLOOKUP(M276,βοηθητικό!$J$2:$N$354,3,FALSE))</f>
        <v>_</v>
      </c>
      <c r="O276" s="47"/>
      <c r="P276" s="4" t="s">
        <v>16</v>
      </c>
      <c r="Q276" s="43" t="str">
        <f>IF(VLOOKUP(P276,βοηθητικό!$J$2:$N$354,3,FALSE)="","",VLOOKUP(P276,βοηθητικό!$J$2:$N$354,3,FALSE))</f>
        <v>_</v>
      </c>
      <c r="R276" s="44"/>
      <c r="S276" s="5" t="s">
        <v>16</v>
      </c>
      <c r="T276" s="46" t="str">
        <f>IF(VLOOKUP(S276,βοηθητικό!$J$2:$N$354,3,FALSE)="","",VLOOKUP(S276,βοηθητικό!$J$2:$N$354,3,FALSE))</f>
        <v>_</v>
      </c>
      <c r="U276" s="47"/>
      <c r="V276" s="4" t="s">
        <v>16</v>
      </c>
      <c r="W276" s="43" t="str">
        <f>IF(VLOOKUP(V276,βοηθητικό!$J$2:$N$354,3,FALSE)="","",VLOOKUP(V276,βοηθητικό!$J$2:$N$354,3,FALSE))</f>
        <v>_</v>
      </c>
      <c r="X276" s="44"/>
      <c r="Y276" s="5" t="s">
        <v>16</v>
      </c>
      <c r="Z276" s="46" t="str">
        <f>IF(VLOOKUP(Y276,βοηθητικό!$J$2:$N$354,3,FALSE)="","",VLOOKUP(Y276,βοηθητικό!$J$2:$N$354,3,FALSE))</f>
        <v>_</v>
      </c>
      <c r="AA276" s="47"/>
      <c r="AB276" s="4" t="s">
        <v>16</v>
      </c>
      <c r="AC276" s="43" t="str">
        <f>IF(VLOOKUP(AB276,βοηθητικό!$J$2:$N$354,3,FALSE)="","",VLOOKUP(AB276,βοηθητικό!$J$2:$N$354,3,FALSE))</f>
        <v>_</v>
      </c>
      <c r="AD276" s="44"/>
      <c r="AE276" s="5" t="s">
        <v>16</v>
      </c>
      <c r="AF276" s="46" t="str">
        <f>IF(VLOOKUP(AE276,βοηθητικό!$J$2:$N$354,3,FALSE)="","",VLOOKUP(AE276,βοηθητικό!$J$2:$N$354,3,FALSE))</f>
        <v>_</v>
      </c>
      <c r="AG276" s="47"/>
      <c r="AH276" s="4" t="s">
        <v>16</v>
      </c>
      <c r="AI276" s="43" t="str">
        <f>IF(VLOOKUP(AH276,βοηθητικό!$J$2:$N$354,3,FALSE)="","",VLOOKUP(AH276,βοηθητικό!$J$2:$N$354,3,FALSE))</f>
        <v>_</v>
      </c>
      <c r="AJ276" s="44"/>
      <c r="AK276" s="5" t="s">
        <v>16</v>
      </c>
      <c r="AL276" s="46" t="str">
        <f>IF(VLOOKUP(AK276,βοηθητικό!$J$2:$N$354,3,FALSE)="","",VLOOKUP(AK276,βοηθητικό!$J$2:$N$354,3,FALSE))</f>
        <v>_</v>
      </c>
      <c r="AM276" s="47"/>
      <c r="AN276" s="4" t="s">
        <v>16</v>
      </c>
      <c r="AO276" s="43" t="str">
        <f>IF(VLOOKUP(AN276,βοηθητικό!$J$2:$N$354,3,FALSE)="","",VLOOKUP(AN276,βοηθητικό!$J$2:$N$354,3,FALSE))</f>
        <v>_</v>
      </c>
      <c r="AP276" s="44"/>
      <c r="AQ276" s="5" t="s">
        <v>16</v>
      </c>
      <c r="AR276" s="46" t="str">
        <f>IF(VLOOKUP(AQ276,βοηθητικό!$J$2:$N$354,3,FALSE)="","",VLOOKUP(AQ276,βοηθητικό!$J$2:$N$354,3,FALSE))</f>
        <v>_</v>
      </c>
      <c r="AS276" s="47"/>
      <c r="AT276" s="4" t="s">
        <v>16</v>
      </c>
      <c r="AU276" s="43" t="str">
        <f>IF(VLOOKUP(AT276,βοηθητικό!$J$2:$N$354,3,FALSE)="","",VLOOKUP(AT276,βοηθητικό!$J$2:$N$354,3,FALSE))</f>
        <v>_</v>
      </c>
      <c r="AV276" s="44"/>
      <c r="AW276" s="5" t="s">
        <v>16</v>
      </c>
      <c r="AX276" s="46" t="str">
        <f>IF(VLOOKUP(AW276,βοηθητικό!$J$2:$N$354,3,FALSE)="","",VLOOKUP(AW276,βοηθητικό!$J$2:$N$354,3,FALSE))</f>
        <v>_</v>
      </c>
      <c r="AY276" s="47"/>
      <c r="AZ276" s="4" t="s">
        <v>16</v>
      </c>
      <c r="BA276" s="43" t="str">
        <f>IF(VLOOKUP(AZ276,βοηθητικό!$J$2:$N$354,3,FALSE)="","",VLOOKUP(AZ276,βοηθητικό!$J$2:$N$354,3,FALSE))</f>
        <v>_</v>
      </c>
      <c r="BB276" s="44"/>
      <c r="BC276" s="45" t="s">
        <v>16</v>
      </c>
      <c r="BD276" s="46" t="str">
        <f>IF(VLOOKUP(BC276,βοηθητικό!$J$2:$N$354,3,FALSE)="","",VLOOKUP(BC276,βοηθητικό!$J$2:$N$354,3,FALSE))</f>
        <v>_</v>
      </c>
      <c r="BE276" s="47"/>
      <c r="BF276" s="42" t="s">
        <v>16</v>
      </c>
      <c r="BG276" s="43" t="str">
        <f>IF(VLOOKUP(BF276,βοηθητικό!$J$2:$N$354,3,FALSE)="","",VLOOKUP(BF276,βοηθητικό!$J$2:$N$354,3,FALSE))</f>
        <v>_</v>
      </c>
      <c r="BH276" s="44"/>
      <c r="BI276" s="45" t="s">
        <v>16</v>
      </c>
      <c r="BJ276" s="46" t="str">
        <f>IF(VLOOKUP(BI276,βοηθητικό!$J$2:$N$354,3,FALSE)="","",VLOOKUP(BI276,βοηθητικό!$J$2:$N$354,3,FALSE))</f>
        <v>_</v>
      </c>
      <c r="BK276" s="47"/>
      <c r="BL276" s="42" t="s">
        <v>16</v>
      </c>
      <c r="BM276" s="43" t="str">
        <f>IF(VLOOKUP(BL276,βοηθητικό!$J$2:$N$354,3,FALSE)="","",VLOOKUP(BL276,βοηθητικό!$J$2:$N$354,3,FALSE))</f>
        <v>_</v>
      </c>
      <c r="BN276" s="44"/>
      <c r="BO276" s="45" t="s">
        <v>16</v>
      </c>
      <c r="BP276" s="46" t="str">
        <f>IF(VLOOKUP(BO276,βοηθητικό!$J$2:$N$354,3,FALSE)="","",VLOOKUP(BO276,βοηθητικό!$J$2:$N$354,3,FALSE))</f>
        <v>_</v>
      </c>
      <c r="BQ276" s="47"/>
      <c r="BR276" s="42" t="s">
        <v>16</v>
      </c>
      <c r="BS276" s="43" t="str">
        <f>IF(VLOOKUP(BR276,βοηθητικό!$J$2:$N$354,3,FALSE)="","",VLOOKUP(BR276,βοηθητικό!$J$2:$N$354,3,FALSE))</f>
        <v>_</v>
      </c>
      <c r="BT276" s="44"/>
      <c r="BU276" s="45" t="s">
        <v>16</v>
      </c>
      <c r="BV276" s="46" t="str">
        <f>IF(VLOOKUP(BU276,βοηθητικό!$J$2:$N$354,3,FALSE)="","",VLOOKUP(BU276,βοηθητικό!$J$2:$N$354,3,FALSE))</f>
        <v>_</v>
      </c>
      <c r="BW276" s="47"/>
      <c r="BX276" s="42" t="s">
        <v>16</v>
      </c>
      <c r="BY276" s="43" t="str">
        <f>IF(VLOOKUP(BX276,βοηθητικό!$J$2:$N$354,3,FALSE)="","",VLOOKUP(BX276,βοηθητικό!$J$2:$N$354,3,FALSE))</f>
        <v>_</v>
      </c>
      <c r="BZ276" s="44"/>
      <c r="CA276" s="45" t="s">
        <v>16</v>
      </c>
      <c r="CB276" s="46" t="str">
        <f>IF(VLOOKUP(CA276,βοηθητικό!$J$2:$N$354,3,FALSE)="","",VLOOKUP(CA276,βοηθητικό!$J$2:$N$354,3,FALSE))</f>
        <v>_</v>
      </c>
      <c r="CC276" s="47"/>
      <c r="CD276" s="42" t="s">
        <v>16</v>
      </c>
      <c r="CE276" s="43" t="str">
        <f>IF(VLOOKUP(CD276,βοηθητικό!$J$2:$N$354,3,FALSE)="","",VLOOKUP(CD276,βοηθητικό!$J$2:$N$354,3,FALSE))</f>
        <v>_</v>
      </c>
      <c r="CF276" s="44"/>
      <c r="CG276" s="45" t="s">
        <v>16</v>
      </c>
      <c r="CH276" s="46" t="str">
        <f>IF(VLOOKUP(CG276,βοηθητικό!$J$2:$N$354,3,FALSE)="","",VLOOKUP(CG276,βοηθητικό!$J$2:$N$354,3,FALSE))</f>
        <v>_</v>
      </c>
      <c r="CI276" s="47"/>
      <c r="CJ276" s="42" t="s">
        <v>16</v>
      </c>
      <c r="CK276" s="43" t="str">
        <f>IF(VLOOKUP(CJ276,βοηθητικό!$J$2:$N$354,3,FALSE)="","",VLOOKUP(CJ276,βοηθητικό!$J$2:$N$354,3,FALSE))</f>
        <v>_</v>
      </c>
      <c r="CL276" s="44"/>
      <c r="CM276" s="45" t="s">
        <v>16</v>
      </c>
      <c r="CN276" s="46" t="str">
        <f>IF(VLOOKUP(CM276,βοηθητικό!$J$2:$N$354,3,FALSE)="","",VLOOKUP(CM276,βοηθητικό!$J$2:$N$354,3,FALSE))</f>
        <v>_</v>
      </c>
      <c r="CO276" s="47"/>
      <c r="CP276" s="42" t="s">
        <v>16</v>
      </c>
      <c r="CQ276" s="43" t="str">
        <f>IF(VLOOKUP(CP276,βοηθητικό!$J$2:$N$354,3,FALSE)="","",VLOOKUP(CP276,βοηθητικό!$J$2:$N$354,3,FALSE))</f>
        <v>_</v>
      </c>
      <c r="CR276" s="44"/>
      <c r="CS276" s="45" t="s">
        <v>16</v>
      </c>
      <c r="CT276" s="46" t="str">
        <f>IF(VLOOKUP(CS276,βοηθητικό!$J$2:$N$354,3,FALSE)="","",VLOOKUP(CS276,βοηθητικό!$J$2:$N$354,3,FALSE))</f>
        <v>_</v>
      </c>
      <c r="CU276" s="47"/>
    </row>
    <row r="277" spans="1:99" x14ac:dyDescent="0.25">
      <c r="A277" s="37">
        <f>--SUBTOTAL(3,$B$3:B276)</f>
        <v>198</v>
      </c>
      <c r="B277" s="2"/>
      <c r="C277" s="3"/>
      <c r="D277" s="55" t="s">
        <v>18</v>
      </c>
      <c r="E277" s="38" t="s">
        <v>16</v>
      </c>
      <c r="F277" s="38" t="s">
        <v>16</v>
      </c>
      <c r="G277" s="39" t="str">
        <f t="shared" si="14"/>
        <v>__</v>
      </c>
      <c r="H277" s="40" t="str">
        <f t="shared" si="15"/>
        <v>FALSE</v>
      </c>
      <c r="I277" s="41">
        <f t="shared" si="16"/>
        <v>0</v>
      </c>
      <c r="J277" s="4" t="s">
        <v>16</v>
      </c>
      <c r="K277" s="43" t="str">
        <f>IF(VLOOKUP(J277,βοηθητικό!$J$2:$N$354,3,FALSE)="","",VLOOKUP(J277,βοηθητικό!$J$2:$N$354,3,FALSE))</f>
        <v>_</v>
      </c>
      <c r="L277" s="44"/>
      <c r="M277" s="5" t="s">
        <v>16</v>
      </c>
      <c r="N277" s="46" t="str">
        <f>IF(VLOOKUP(M277,βοηθητικό!$J$2:$N$354,3,FALSE)="","",VLOOKUP(M277,βοηθητικό!$J$2:$N$354,3,FALSE))</f>
        <v>_</v>
      </c>
      <c r="O277" s="47"/>
      <c r="P277" s="4" t="s">
        <v>16</v>
      </c>
      <c r="Q277" s="43" t="str">
        <f>IF(VLOOKUP(P277,βοηθητικό!$J$2:$N$354,3,FALSE)="","",VLOOKUP(P277,βοηθητικό!$J$2:$N$354,3,FALSE))</f>
        <v>_</v>
      </c>
      <c r="R277" s="44"/>
      <c r="S277" s="5" t="s">
        <v>16</v>
      </c>
      <c r="T277" s="46" t="str">
        <f>IF(VLOOKUP(S277,βοηθητικό!$J$2:$N$354,3,FALSE)="","",VLOOKUP(S277,βοηθητικό!$J$2:$N$354,3,FALSE))</f>
        <v>_</v>
      </c>
      <c r="U277" s="47"/>
      <c r="V277" s="4" t="s">
        <v>16</v>
      </c>
      <c r="W277" s="43" t="str">
        <f>IF(VLOOKUP(V277,βοηθητικό!$J$2:$N$354,3,FALSE)="","",VLOOKUP(V277,βοηθητικό!$J$2:$N$354,3,FALSE))</f>
        <v>_</v>
      </c>
      <c r="X277" s="44"/>
      <c r="Y277" s="5" t="s">
        <v>16</v>
      </c>
      <c r="Z277" s="46" t="str">
        <f>IF(VLOOKUP(Y277,βοηθητικό!$J$2:$N$354,3,FALSE)="","",VLOOKUP(Y277,βοηθητικό!$J$2:$N$354,3,FALSE))</f>
        <v>_</v>
      </c>
      <c r="AA277" s="47"/>
      <c r="AB277" s="4" t="s">
        <v>16</v>
      </c>
      <c r="AC277" s="43" t="str">
        <f>IF(VLOOKUP(AB277,βοηθητικό!$J$2:$N$354,3,FALSE)="","",VLOOKUP(AB277,βοηθητικό!$J$2:$N$354,3,FALSE))</f>
        <v>_</v>
      </c>
      <c r="AD277" s="44"/>
      <c r="AE277" s="5" t="s">
        <v>16</v>
      </c>
      <c r="AF277" s="46" t="str">
        <f>IF(VLOOKUP(AE277,βοηθητικό!$J$2:$N$354,3,FALSE)="","",VLOOKUP(AE277,βοηθητικό!$J$2:$N$354,3,FALSE))</f>
        <v>_</v>
      </c>
      <c r="AG277" s="47"/>
      <c r="AH277" s="4" t="s">
        <v>16</v>
      </c>
      <c r="AI277" s="43" t="str">
        <f>IF(VLOOKUP(AH277,βοηθητικό!$J$2:$N$354,3,FALSE)="","",VLOOKUP(AH277,βοηθητικό!$J$2:$N$354,3,FALSE))</f>
        <v>_</v>
      </c>
      <c r="AJ277" s="44"/>
      <c r="AK277" s="5" t="s">
        <v>16</v>
      </c>
      <c r="AL277" s="46" t="str">
        <f>IF(VLOOKUP(AK277,βοηθητικό!$J$2:$N$354,3,FALSE)="","",VLOOKUP(AK277,βοηθητικό!$J$2:$N$354,3,FALSE))</f>
        <v>_</v>
      </c>
      <c r="AM277" s="47"/>
      <c r="AN277" s="4" t="s">
        <v>16</v>
      </c>
      <c r="AO277" s="43" t="str">
        <f>IF(VLOOKUP(AN277,βοηθητικό!$J$2:$N$354,3,FALSE)="","",VLOOKUP(AN277,βοηθητικό!$J$2:$N$354,3,FALSE))</f>
        <v>_</v>
      </c>
      <c r="AP277" s="44"/>
      <c r="AQ277" s="5" t="s">
        <v>16</v>
      </c>
      <c r="AR277" s="46" t="str">
        <f>IF(VLOOKUP(AQ277,βοηθητικό!$J$2:$N$354,3,FALSE)="","",VLOOKUP(AQ277,βοηθητικό!$J$2:$N$354,3,FALSE))</f>
        <v>_</v>
      </c>
      <c r="AS277" s="47"/>
      <c r="AT277" s="4" t="s">
        <v>16</v>
      </c>
      <c r="AU277" s="43" t="str">
        <f>IF(VLOOKUP(AT277,βοηθητικό!$J$2:$N$354,3,FALSE)="","",VLOOKUP(AT277,βοηθητικό!$J$2:$N$354,3,FALSE))</f>
        <v>_</v>
      </c>
      <c r="AV277" s="44"/>
      <c r="AW277" s="5" t="s">
        <v>16</v>
      </c>
      <c r="AX277" s="46" t="str">
        <f>IF(VLOOKUP(AW277,βοηθητικό!$J$2:$N$354,3,FALSE)="","",VLOOKUP(AW277,βοηθητικό!$J$2:$N$354,3,FALSE))</f>
        <v>_</v>
      </c>
      <c r="AY277" s="47"/>
      <c r="AZ277" s="4" t="s">
        <v>16</v>
      </c>
      <c r="BA277" s="43" t="str">
        <f>IF(VLOOKUP(AZ277,βοηθητικό!$J$2:$N$354,3,FALSE)="","",VLOOKUP(AZ277,βοηθητικό!$J$2:$N$354,3,FALSE))</f>
        <v>_</v>
      </c>
      <c r="BB277" s="44"/>
      <c r="BC277" s="45" t="s">
        <v>16</v>
      </c>
      <c r="BD277" s="46" t="str">
        <f>IF(VLOOKUP(BC277,βοηθητικό!$J$2:$N$354,3,FALSE)="","",VLOOKUP(BC277,βοηθητικό!$J$2:$N$354,3,FALSE))</f>
        <v>_</v>
      </c>
      <c r="BE277" s="47"/>
      <c r="BF277" s="42" t="s">
        <v>16</v>
      </c>
      <c r="BG277" s="43" t="str">
        <f>IF(VLOOKUP(BF277,βοηθητικό!$J$2:$N$354,3,FALSE)="","",VLOOKUP(BF277,βοηθητικό!$J$2:$N$354,3,FALSE))</f>
        <v>_</v>
      </c>
      <c r="BH277" s="44"/>
      <c r="BI277" s="45" t="s">
        <v>16</v>
      </c>
      <c r="BJ277" s="46" t="str">
        <f>IF(VLOOKUP(BI277,βοηθητικό!$J$2:$N$354,3,FALSE)="","",VLOOKUP(BI277,βοηθητικό!$J$2:$N$354,3,FALSE))</f>
        <v>_</v>
      </c>
      <c r="BK277" s="47"/>
      <c r="BL277" s="42" t="s">
        <v>16</v>
      </c>
      <c r="BM277" s="43" t="str">
        <f>IF(VLOOKUP(BL277,βοηθητικό!$J$2:$N$354,3,FALSE)="","",VLOOKUP(BL277,βοηθητικό!$J$2:$N$354,3,FALSE))</f>
        <v>_</v>
      </c>
      <c r="BN277" s="44"/>
      <c r="BO277" s="45" t="s">
        <v>16</v>
      </c>
      <c r="BP277" s="46" t="str">
        <f>IF(VLOOKUP(BO277,βοηθητικό!$J$2:$N$354,3,FALSE)="","",VLOOKUP(BO277,βοηθητικό!$J$2:$N$354,3,FALSE))</f>
        <v>_</v>
      </c>
      <c r="BQ277" s="47"/>
      <c r="BR277" s="42" t="s">
        <v>16</v>
      </c>
      <c r="BS277" s="43" t="str">
        <f>IF(VLOOKUP(BR277,βοηθητικό!$J$2:$N$354,3,FALSE)="","",VLOOKUP(BR277,βοηθητικό!$J$2:$N$354,3,FALSE))</f>
        <v>_</v>
      </c>
      <c r="BT277" s="44"/>
      <c r="BU277" s="45" t="s">
        <v>16</v>
      </c>
      <c r="BV277" s="46" t="str">
        <f>IF(VLOOKUP(BU277,βοηθητικό!$J$2:$N$354,3,FALSE)="","",VLOOKUP(BU277,βοηθητικό!$J$2:$N$354,3,FALSE))</f>
        <v>_</v>
      </c>
      <c r="BW277" s="47"/>
      <c r="BX277" s="42" t="s">
        <v>16</v>
      </c>
      <c r="BY277" s="43" t="str">
        <f>IF(VLOOKUP(BX277,βοηθητικό!$J$2:$N$354,3,FALSE)="","",VLOOKUP(BX277,βοηθητικό!$J$2:$N$354,3,FALSE))</f>
        <v>_</v>
      </c>
      <c r="BZ277" s="44"/>
      <c r="CA277" s="45" t="s">
        <v>16</v>
      </c>
      <c r="CB277" s="46" t="str">
        <f>IF(VLOOKUP(CA277,βοηθητικό!$J$2:$N$354,3,FALSE)="","",VLOOKUP(CA277,βοηθητικό!$J$2:$N$354,3,FALSE))</f>
        <v>_</v>
      </c>
      <c r="CC277" s="47"/>
      <c r="CD277" s="42" t="s">
        <v>16</v>
      </c>
      <c r="CE277" s="43" t="str">
        <f>IF(VLOOKUP(CD277,βοηθητικό!$J$2:$N$354,3,FALSE)="","",VLOOKUP(CD277,βοηθητικό!$J$2:$N$354,3,FALSE))</f>
        <v>_</v>
      </c>
      <c r="CF277" s="44"/>
      <c r="CG277" s="45" t="s">
        <v>16</v>
      </c>
      <c r="CH277" s="46" t="str">
        <f>IF(VLOOKUP(CG277,βοηθητικό!$J$2:$N$354,3,FALSE)="","",VLOOKUP(CG277,βοηθητικό!$J$2:$N$354,3,FALSE))</f>
        <v>_</v>
      </c>
      <c r="CI277" s="47"/>
      <c r="CJ277" s="42" t="s">
        <v>16</v>
      </c>
      <c r="CK277" s="43" t="str">
        <f>IF(VLOOKUP(CJ277,βοηθητικό!$J$2:$N$354,3,FALSE)="","",VLOOKUP(CJ277,βοηθητικό!$J$2:$N$354,3,FALSE))</f>
        <v>_</v>
      </c>
      <c r="CL277" s="44"/>
      <c r="CM277" s="45" t="s">
        <v>16</v>
      </c>
      <c r="CN277" s="46" t="str">
        <f>IF(VLOOKUP(CM277,βοηθητικό!$J$2:$N$354,3,FALSE)="","",VLOOKUP(CM277,βοηθητικό!$J$2:$N$354,3,FALSE))</f>
        <v>_</v>
      </c>
      <c r="CO277" s="47"/>
      <c r="CP277" s="42" t="s">
        <v>16</v>
      </c>
      <c r="CQ277" s="43" t="str">
        <f>IF(VLOOKUP(CP277,βοηθητικό!$J$2:$N$354,3,FALSE)="","",VLOOKUP(CP277,βοηθητικό!$J$2:$N$354,3,FALSE))</f>
        <v>_</v>
      </c>
      <c r="CR277" s="44"/>
      <c r="CS277" s="45" t="s">
        <v>16</v>
      </c>
      <c r="CT277" s="46" t="str">
        <f>IF(VLOOKUP(CS277,βοηθητικό!$J$2:$N$354,3,FALSE)="","",VLOOKUP(CS277,βοηθητικό!$J$2:$N$354,3,FALSE))</f>
        <v>_</v>
      </c>
      <c r="CU277" s="47"/>
    </row>
    <row r="278" spans="1:99" x14ac:dyDescent="0.25">
      <c r="A278" s="37">
        <f>--SUBTOTAL(3,$B$3:B277)</f>
        <v>198</v>
      </c>
      <c r="B278" s="2"/>
      <c r="C278" s="3"/>
      <c r="D278" s="55" t="s">
        <v>18</v>
      </c>
      <c r="E278" s="38" t="s">
        <v>16</v>
      </c>
      <c r="F278" s="38" t="s">
        <v>16</v>
      </c>
      <c r="G278" s="39" t="str">
        <f t="shared" si="14"/>
        <v>__</v>
      </c>
      <c r="H278" s="40" t="str">
        <f t="shared" si="15"/>
        <v>FALSE</v>
      </c>
      <c r="I278" s="41">
        <f t="shared" si="16"/>
        <v>0</v>
      </c>
      <c r="J278" s="4" t="s">
        <v>16</v>
      </c>
      <c r="K278" s="43" t="str">
        <f>IF(VLOOKUP(J278,βοηθητικό!$J$2:$N$354,3,FALSE)="","",VLOOKUP(J278,βοηθητικό!$J$2:$N$354,3,FALSE))</f>
        <v>_</v>
      </c>
      <c r="L278" s="44"/>
      <c r="M278" s="5" t="s">
        <v>16</v>
      </c>
      <c r="N278" s="46" t="str">
        <f>IF(VLOOKUP(M278,βοηθητικό!$J$2:$N$354,3,FALSE)="","",VLOOKUP(M278,βοηθητικό!$J$2:$N$354,3,FALSE))</f>
        <v>_</v>
      </c>
      <c r="O278" s="47"/>
      <c r="P278" s="4" t="s">
        <v>16</v>
      </c>
      <c r="Q278" s="43" t="str">
        <f>IF(VLOOKUP(P278,βοηθητικό!$J$2:$N$354,3,FALSE)="","",VLOOKUP(P278,βοηθητικό!$J$2:$N$354,3,FALSE))</f>
        <v>_</v>
      </c>
      <c r="R278" s="44"/>
      <c r="S278" s="5" t="s">
        <v>16</v>
      </c>
      <c r="T278" s="46" t="str">
        <f>IF(VLOOKUP(S278,βοηθητικό!$J$2:$N$354,3,FALSE)="","",VLOOKUP(S278,βοηθητικό!$J$2:$N$354,3,FALSE))</f>
        <v>_</v>
      </c>
      <c r="U278" s="47"/>
      <c r="V278" s="4" t="s">
        <v>16</v>
      </c>
      <c r="W278" s="43" t="str">
        <f>IF(VLOOKUP(V278,βοηθητικό!$J$2:$N$354,3,FALSE)="","",VLOOKUP(V278,βοηθητικό!$J$2:$N$354,3,FALSE))</f>
        <v>_</v>
      </c>
      <c r="X278" s="44"/>
      <c r="Y278" s="5" t="s">
        <v>16</v>
      </c>
      <c r="Z278" s="46" t="str">
        <f>IF(VLOOKUP(Y278,βοηθητικό!$J$2:$N$354,3,FALSE)="","",VLOOKUP(Y278,βοηθητικό!$J$2:$N$354,3,FALSE))</f>
        <v>_</v>
      </c>
      <c r="AA278" s="47"/>
      <c r="AB278" s="4" t="s">
        <v>16</v>
      </c>
      <c r="AC278" s="43" t="str">
        <f>IF(VLOOKUP(AB278,βοηθητικό!$J$2:$N$354,3,FALSE)="","",VLOOKUP(AB278,βοηθητικό!$J$2:$N$354,3,FALSE))</f>
        <v>_</v>
      </c>
      <c r="AD278" s="44"/>
      <c r="AE278" s="5" t="s">
        <v>16</v>
      </c>
      <c r="AF278" s="46" t="str">
        <f>IF(VLOOKUP(AE278,βοηθητικό!$J$2:$N$354,3,FALSE)="","",VLOOKUP(AE278,βοηθητικό!$J$2:$N$354,3,FALSE))</f>
        <v>_</v>
      </c>
      <c r="AG278" s="47"/>
      <c r="AH278" s="4" t="s">
        <v>16</v>
      </c>
      <c r="AI278" s="43" t="str">
        <f>IF(VLOOKUP(AH278,βοηθητικό!$J$2:$N$354,3,FALSE)="","",VLOOKUP(AH278,βοηθητικό!$J$2:$N$354,3,FALSE))</f>
        <v>_</v>
      </c>
      <c r="AJ278" s="44"/>
      <c r="AK278" s="5" t="s">
        <v>16</v>
      </c>
      <c r="AL278" s="46" t="str">
        <f>IF(VLOOKUP(AK278,βοηθητικό!$J$2:$N$354,3,FALSE)="","",VLOOKUP(AK278,βοηθητικό!$J$2:$N$354,3,FALSE))</f>
        <v>_</v>
      </c>
      <c r="AM278" s="47"/>
      <c r="AN278" s="4" t="s">
        <v>16</v>
      </c>
      <c r="AO278" s="43" t="str">
        <f>IF(VLOOKUP(AN278,βοηθητικό!$J$2:$N$354,3,FALSE)="","",VLOOKUP(AN278,βοηθητικό!$J$2:$N$354,3,FALSE))</f>
        <v>_</v>
      </c>
      <c r="AP278" s="44"/>
      <c r="AQ278" s="5" t="s">
        <v>16</v>
      </c>
      <c r="AR278" s="46" t="str">
        <f>IF(VLOOKUP(AQ278,βοηθητικό!$J$2:$N$354,3,FALSE)="","",VLOOKUP(AQ278,βοηθητικό!$J$2:$N$354,3,FALSE))</f>
        <v>_</v>
      </c>
      <c r="AS278" s="47"/>
      <c r="AT278" s="4" t="s">
        <v>16</v>
      </c>
      <c r="AU278" s="43" t="str">
        <f>IF(VLOOKUP(AT278,βοηθητικό!$J$2:$N$354,3,FALSE)="","",VLOOKUP(AT278,βοηθητικό!$J$2:$N$354,3,FALSE))</f>
        <v>_</v>
      </c>
      <c r="AV278" s="44"/>
      <c r="AW278" s="5" t="s">
        <v>16</v>
      </c>
      <c r="AX278" s="46" t="str">
        <f>IF(VLOOKUP(AW278,βοηθητικό!$J$2:$N$354,3,FALSE)="","",VLOOKUP(AW278,βοηθητικό!$J$2:$N$354,3,FALSE))</f>
        <v>_</v>
      </c>
      <c r="AY278" s="47"/>
      <c r="AZ278" s="4" t="s">
        <v>16</v>
      </c>
      <c r="BA278" s="43" t="str">
        <f>IF(VLOOKUP(AZ278,βοηθητικό!$J$2:$N$354,3,FALSE)="","",VLOOKUP(AZ278,βοηθητικό!$J$2:$N$354,3,FALSE))</f>
        <v>_</v>
      </c>
      <c r="BB278" s="44"/>
      <c r="BC278" s="45" t="s">
        <v>16</v>
      </c>
      <c r="BD278" s="46" t="str">
        <f>IF(VLOOKUP(BC278,βοηθητικό!$J$2:$N$354,3,FALSE)="","",VLOOKUP(BC278,βοηθητικό!$J$2:$N$354,3,FALSE))</f>
        <v>_</v>
      </c>
      <c r="BE278" s="47"/>
      <c r="BF278" s="42" t="s">
        <v>16</v>
      </c>
      <c r="BG278" s="43" t="str">
        <f>IF(VLOOKUP(BF278,βοηθητικό!$J$2:$N$354,3,FALSE)="","",VLOOKUP(BF278,βοηθητικό!$J$2:$N$354,3,FALSE))</f>
        <v>_</v>
      </c>
      <c r="BH278" s="44"/>
      <c r="BI278" s="45" t="s">
        <v>16</v>
      </c>
      <c r="BJ278" s="46" t="str">
        <f>IF(VLOOKUP(BI278,βοηθητικό!$J$2:$N$354,3,FALSE)="","",VLOOKUP(BI278,βοηθητικό!$J$2:$N$354,3,FALSE))</f>
        <v>_</v>
      </c>
      <c r="BK278" s="47"/>
      <c r="BL278" s="42" t="s">
        <v>16</v>
      </c>
      <c r="BM278" s="43" t="str">
        <f>IF(VLOOKUP(BL278,βοηθητικό!$J$2:$N$354,3,FALSE)="","",VLOOKUP(BL278,βοηθητικό!$J$2:$N$354,3,FALSE))</f>
        <v>_</v>
      </c>
      <c r="BN278" s="44"/>
      <c r="BO278" s="45" t="s">
        <v>16</v>
      </c>
      <c r="BP278" s="46" t="str">
        <f>IF(VLOOKUP(BO278,βοηθητικό!$J$2:$N$354,3,FALSE)="","",VLOOKUP(BO278,βοηθητικό!$J$2:$N$354,3,FALSE))</f>
        <v>_</v>
      </c>
      <c r="BQ278" s="47"/>
      <c r="BR278" s="42" t="s">
        <v>16</v>
      </c>
      <c r="BS278" s="43" t="str">
        <f>IF(VLOOKUP(BR278,βοηθητικό!$J$2:$N$354,3,FALSE)="","",VLOOKUP(BR278,βοηθητικό!$J$2:$N$354,3,FALSE))</f>
        <v>_</v>
      </c>
      <c r="BT278" s="44"/>
      <c r="BU278" s="45" t="s">
        <v>16</v>
      </c>
      <c r="BV278" s="46" t="str">
        <f>IF(VLOOKUP(BU278,βοηθητικό!$J$2:$N$354,3,FALSE)="","",VLOOKUP(BU278,βοηθητικό!$J$2:$N$354,3,FALSE))</f>
        <v>_</v>
      </c>
      <c r="BW278" s="47"/>
      <c r="BX278" s="42" t="s">
        <v>16</v>
      </c>
      <c r="BY278" s="43" t="str">
        <f>IF(VLOOKUP(BX278,βοηθητικό!$J$2:$N$354,3,FALSE)="","",VLOOKUP(BX278,βοηθητικό!$J$2:$N$354,3,FALSE))</f>
        <v>_</v>
      </c>
      <c r="BZ278" s="44"/>
      <c r="CA278" s="45" t="s">
        <v>16</v>
      </c>
      <c r="CB278" s="46" t="str">
        <f>IF(VLOOKUP(CA278,βοηθητικό!$J$2:$N$354,3,FALSE)="","",VLOOKUP(CA278,βοηθητικό!$J$2:$N$354,3,FALSE))</f>
        <v>_</v>
      </c>
      <c r="CC278" s="47"/>
      <c r="CD278" s="42" t="s">
        <v>16</v>
      </c>
      <c r="CE278" s="43" t="str">
        <f>IF(VLOOKUP(CD278,βοηθητικό!$J$2:$N$354,3,FALSE)="","",VLOOKUP(CD278,βοηθητικό!$J$2:$N$354,3,FALSE))</f>
        <v>_</v>
      </c>
      <c r="CF278" s="44"/>
      <c r="CG278" s="45" t="s">
        <v>16</v>
      </c>
      <c r="CH278" s="46" t="str">
        <f>IF(VLOOKUP(CG278,βοηθητικό!$J$2:$N$354,3,FALSE)="","",VLOOKUP(CG278,βοηθητικό!$J$2:$N$354,3,FALSE))</f>
        <v>_</v>
      </c>
      <c r="CI278" s="47"/>
      <c r="CJ278" s="42" t="s">
        <v>16</v>
      </c>
      <c r="CK278" s="43" t="str">
        <f>IF(VLOOKUP(CJ278,βοηθητικό!$J$2:$N$354,3,FALSE)="","",VLOOKUP(CJ278,βοηθητικό!$J$2:$N$354,3,FALSE))</f>
        <v>_</v>
      </c>
      <c r="CL278" s="44"/>
      <c r="CM278" s="45" t="s">
        <v>16</v>
      </c>
      <c r="CN278" s="46" t="str">
        <f>IF(VLOOKUP(CM278,βοηθητικό!$J$2:$N$354,3,FALSE)="","",VLOOKUP(CM278,βοηθητικό!$J$2:$N$354,3,FALSE))</f>
        <v>_</v>
      </c>
      <c r="CO278" s="47"/>
      <c r="CP278" s="42" t="s">
        <v>16</v>
      </c>
      <c r="CQ278" s="43" t="str">
        <f>IF(VLOOKUP(CP278,βοηθητικό!$J$2:$N$354,3,FALSE)="","",VLOOKUP(CP278,βοηθητικό!$J$2:$N$354,3,FALSE))</f>
        <v>_</v>
      </c>
      <c r="CR278" s="44"/>
      <c r="CS278" s="45" t="s">
        <v>16</v>
      </c>
      <c r="CT278" s="46" t="str">
        <f>IF(VLOOKUP(CS278,βοηθητικό!$J$2:$N$354,3,FALSE)="","",VLOOKUP(CS278,βοηθητικό!$J$2:$N$354,3,FALSE))</f>
        <v>_</v>
      </c>
      <c r="CU278" s="47"/>
    </row>
    <row r="279" spans="1:99" x14ac:dyDescent="0.25">
      <c r="A279" s="37">
        <f>--SUBTOTAL(3,$B$3:B278)</f>
        <v>198</v>
      </c>
      <c r="B279" s="2"/>
      <c r="C279" s="3"/>
      <c r="D279" s="55" t="s">
        <v>18</v>
      </c>
      <c r="E279" s="38" t="s">
        <v>16</v>
      </c>
      <c r="F279" s="38" t="s">
        <v>16</v>
      </c>
      <c r="G279" s="39" t="str">
        <f t="shared" si="14"/>
        <v>__</v>
      </c>
      <c r="H279" s="40" t="str">
        <f t="shared" si="15"/>
        <v>FALSE</v>
      </c>
      <c r="I279" s="41">
        <f t="shared" si="16"/>
        <v>0</v>
      </c>
      <c r="J279" s="4" t="s">
        <v>16</v>
      </c>
      <c r="K279" s="43" t="str">
        <f>IF(VLOOKUP(J279,βοηθητικό!$J$2:$N$354,3,FALSE)="","",VLOOKUP(J279,βοηθητικό!$J$2:$N$354,3,FALSE))</f>
        <v>_</v>
      </c>
      <c r="L279" s="44"/>
      <c r="M279" s="5" t="s">
        <v>16</v>
      </c>
      <c r="N279" s="46" t="str">
        <f>IF(VLOOKUP(M279,βοηθητικό!$J$2:$N$354,3,FALSE)="","",VLOOKUP(M279,βοηθητικό!$J$2:$N$354,3,FALSE))</f>
        <v>_</v>
      </c>
      <c r="O279" s="47"/>
      <c r="P279" s="4" t="s">
        <v>16</v>
      </c>
      <c r="Q279" s="43" t="str">
        <f>IF(VLOOKUP(P279,βοηθητικό!$J$2:$N$354,3,FALSE)="","",VLOOKUP(P279,βοηθητικό!$J$2:$N$354,3,FALSE))</f>
        <v>_</v>
      </c>
      <c r="R279" s="44"/>
      <c r="S279" s="5" t="s">
        <v>16</v>
      </c>
      <c r="T279" s="46" t="str">
        <f>IF(VLOOKUP(S279,βοηθητικό!$J$2:$N$354,3,FALSE)="","",VLOOKUP(S279,βοηθητικό!$J$2:$N$354,3,FALSE))</f>
        <v>_</v>
      </c>
      <c r="U279" s="47"/>
      <c r="V279" s="4" t="s">
        <v>16</v>
      </c>
      <c r="W279" s="43" t="str">
        <f>IF(VLOOKUP(V279,βοηθητικό!$J$2:$N$354,3,FALSE)="","",VLOOKUP(V279,βοηθητικό!$J$2:$N$354,3,FALSE))</f>
        <v>_</v>
      </c>
      <c r="X279" s="44"/>
      <c r="Y279" s="5" t="s">
        <v>16</v>
      </c>
      <c r="Z279" s="46" t="str">
        <f>IF(VLOOKUP(Y279,βοηθητικό!$J$2:$N$354,3,FALSE)="","",VLOOKUP(Y279,βοηθητικό!$J$2:$N$354,3,FALSE))</f>
        <v>_</v>
      </c>
      <c r="AA279" s="47"/>
      <c r="AB279" s="4" t="s">
        <v>16</v>
      </c>
      <c r="AC279" s="43" t="str">
        <f>IF(VLOOKUP(AB279,βοηθητικό!$J$2:$N$354,3,FALSE)="","",VLOOKUP(AB279,βοηθητικό!$J$2:$N$354,3,FALSE))</f>
        <v>_</v>
      </c>
      <c r="AD279" s="44"/>
      <c r="AE279" s="5" t="s">
        <v>16</v>
      </c>
      <c r="AF279" s="46" t="str">
        <f>IF(VLOOKUP(AE279,βοηθητικό!$J$2:$N$354,3,FALSE)="","",VLOOKUP(AE279,βοηθητικό!$J$2:$N$354,3,FALSE))</f>
        <v>_</v>
      </c>
      <c r="AG279" s="47"/>
      <c r="AH279" s="4" t="s">
        <v>16</v>
      </c>
      <c r="AI279" s="43" t="str">
        <f>IF(VLOOKUP(AH279,βοηθητικό!$J$2:$N$354,3,FALSE)="","",VLOOKUP(AH279,βοηθητικό!$J$2:$N$354,3,FALSE))</f>
        <v>_</v>
      </c>
      <c r="AJ279" s="44"/>
      <c r="AK279" s="5" t="s">
        <v>16</v>
      </c>
      <c r="AL279" s="46" t="str">
        <f>IF(VLOOKUP(AK279,βοηθητικό!$J$2:$N$354,3,FALSE)="","",VLOOKUP(AK279,βοηθητικό!$J$2:$N$354,3,FALSE))</f>
        <v>_</v>
      </c>
      <c r="AM279" s="47"/>
      <c r="AN279" s="4" t="s">
        <v>16</v>
      </c>
      <c r="AO279" s="43" t="str">
        <f>IF(VLOOKUP(AN279,βοηθητικό!$J$2:$N$354,3,FALSE)="","",VLOOKUP(AN279,βοηθητικό!$J$2:$N$354,3,FALSE))</f>
        <v>_</v>
      </c>
      <c r="AP279" s="44"/>
      <c r="AQ279" s="5" t="s">
        <v>16</v>
      </c>
      <c r="AR279" s="46" t="str">
        <f>IF(VLOOKUP(AQ279,βοηθητικό!$J$2:$N$354,3,FALSE)="","",VLOOKUP(AQ279,βοηθητικό!$J$2:$N$354,3,FALSE))</f>
        <v>_</v>
      </c>
      <c r="AS279" s="47"/>
      <c r="AT279" s="4" t="s">
        <v>16</v>
      </c>
      <c r="AU279" s="43" t="str">
        <f>IF(VLOOKUP(AT279,βοηθητικό!$J$2:$N$354,3,FALSE)="","",VLOOKUP(AT279,βοηθητικό!$J$2:$N$354,3,FALSE))</f>
        <v>_</v>
      </c>
      <c r="AV279" s="44"/>
      <c r="AW279" s="5" t="s">
        <v>16</v>
      </c>
      <c r="AX279" s="46" t="str">
        <f>IF(VLOOKUP(AW279,βοηθητικό!$J$2:$N$354,3,FALSE)="","",VLOOKUP(AW279,βοηθητικό!$J$2:$N$354,3,FALSE))</f>
        <v>_</v>
      </c>
      <c r="AY279" s="47"/>
      <c r="AZ279" s="4" t="s">
        <v>16</v>
      </c>
      <c r="BA279" s="43" t="str">
        <f>IF(VLOOKUP(AZ279,βοηθητικό!$J$2:$N$354,3,FALSE)="","",VLOOKUP(AZ279,βοηθητικό!$J$2:$N$354,3,FALSE))</f>
        <v>_</v>
      </c>
      <c r="BB279" s="44"/>
      <c r="BC279" s="45" t="s">
        <v>16</v>
      </c>
      <c r="BD279" s="46" t="str">
        <f>IF(VLOOKUP(BC279,βοηθητικό!$J$2:$N$354,3,FALSE)="","",VLOOKUP(BC279,βοηθητικό!$J$2:$N$354,3,FALSE))</f>
        <v>_</v>
      </c>
      <c r="BE279" s="47"/>
      <c r="BF279" s="42" t="s">
        <v>16</v>
      </c>
      <c r="BG279" s="43" t="str">
        <f>IF(VLOOKUP(BF279,βοηθητικό!$J$2:$N$354,3,FALSE)="","",VLOOKUP(BF279,βοηθητικό!$J$2:$N$354,3,FALSE))</f>
        <v>_</v>
      </c>
      <c r="BH279" s="44"/>
      <c r="BI279" s="45" t="s">
        <v>16</v>
      </c>
      <c r="BJ279" s="46" t="str">
        <f>IF(VLOOKUP(BI279,βοηθητικό!$J$2:$N$354,3,FALSE)="","",VLOOKUP(BI279,βοηθητικό!$J$2:$N$354,3,FALSE))</f>
        <v>_</v>
      </c>
      <c r="BK279" s="47"/>
      <c r="BL279" s="42" t="s">
        <v>16</v>
      </c>
      <c r="BM279" s="43" t="str">
        <f>IF(VLOOKUP(BL279,βοηθητικό!$J$2:$N$354,3,FALSE)="","",VLOOKUP(BL279,βοηθητικό!$J$2:$N$354,3,FALSE))</f>
        <v>_</v>
      </c>
      <c r="BN279" s="44"/>
      <c r="BO279" s="45" t="s">
        <v>16</v>
      </c>
      <c r="BP279" s="46" t="str">
        <f>IF(VLOOKUP(BO279,βοηθητικό!$J$2:$N$354,3,FALSE)="","",VLOOKUP(BO279,βοηθητικό!$J$2:$N$354,3,FALSE))</f>
        <v>_</v>
      </c>
      <c r="BQ279" s="47"/>
      <c r="BR279" s="42" t="s">
        <v>16</v>
      </c>
      <c r="BS279" s="43" t="str">
        <f>IF(VLOOKUP(BR279,βοηθητικό!$J$2:$N$354,3,FALSE)="","",VLOOKUP(BR279,βοηθητικό!$J$2:$N$354,3,FALSE))</f>
        <v>_</v>
      </c>
      <c r="BT279" s="44"/>
      <c r="BU279" s="45" t="s">
        <v>16</v>
      </c>
      <c r="BV279" s="46" t="str">
        <f>IF(VLOOKUP(BU279,βοηθητικό!$J$2:$N$354,3,FALSE)="","",VLOOKUP(BU279,βοηθητικό!$J$2:$N$354,3,FALSE))</f>
        <v>_</v>
      </c>
      <c r="BW279" s="47"/>
      <c r="BX279" s="42" t="s">
        <v>16</v>
      </c>
      <c r="BY279" s="43" t="str">
        <f>IF(VLOOKUP(BX279,βοηθητικό!$J$2:$N$354,3,FALSE)="","",VLOOKUP(BX279,βοηθητικό!$J$2:$N$354,3,FALSE))</f>
        <v>_</v>
      </c>
      <c r="BZ279" s="44"/>
      <c r="CA279" s="45" t="s">
        <v>16</v>
      </c>
      <c r="CB279" s="46" t="str">
        <f>IF(VLOOKUP(CA279,βοηθητικό!$J$2:$N$354,3,FALSE)="","",VLOOKUP(CA279,βοηθητικό!$J$2:$N$354,3,FALSE))</f>
        <v>_</v>
      </c>
      <c r="CC279" s="47"/>
      <c r="CD279" s="42" t="s">
        <v>16</v>
      </c>
      <c r="CE279" s="43" t="str">
        <f>IF(VLOOKUP(CD279,βοηθητικό!$J$2:$N$354,3,FALSE)="","",VLOOKUP(CD279,βοηθητικό!$J$2:$N$354,3,FALSE))</f>
        <v>_</v>
      </c>
      <c r="CF279" s="44"/>
      <c r="CG279" s="45" t="s">
        <v>16</v>
      </c>
      <c r="CH279" s="46" t="str">
        <f>IF(VLOOKUP(CG279,βοηθητικό!$J$2:$N$354,3,FALSE)="","",VLOOKUP(CG279,βοηθητικό!$J$2:$N$354,3,FALSE))</f>
        <v>_</v>
      </c>
      <c r="CI279" s="47"/>
      <c r="CJ279" s="42" t="s">
        <v>16</v>
      </c>
      <c r="CK279" s="43" t="str">
        <f>IF(VLOOKUP(CJ279,βοηθητικό!$J$2:$N$354,3,FALSE)="","",VLOOKUP(CJ279,βοηθητικό!$J$2:$N$354,3,FALSE))</f>
        <v>_</v>
      </c>
      <c r="CL279" s="44"/>
      <c r="CM279" s="45" t="s">
        <v>16</v>
      </c>
      <c r="CN279" s="46" t="str">
        <f>IF(VLOOKUP(CM279,βοηθητικό!$J$2:$N$354,3,FALSE)="","",VLOOKUP(CM279,βοηθητικό!$J$2:$N$354,3,FALSE))</f>
        <v>_</v>
      </c>
      <c r="CO279" s="47"/>
      <c r="CP279" s="42" t="s">
        <v>16</v>
      </c>
      <c r="CQ279" s="43" t="str">
        <f>IF(VLOOKUP(CP279,βοηθητικό!$J$2:$N$354,3,FALSE)="","",VLOOKUP(CP279,βοηθητικό!$J$2:$N$354,3,FALSE))</f>
        <v>_</v>
      </c>
      <c r="CR279" s="44"/>
      <c r="CS279" s="45" t="s">
        <v>16</v>
      </c>
      <c r="CT279" s="46" t="str">
        <f>IF(VLOOKUP(CS279,βοηθητικό!$J$2:$N$354,3,FALSE)="","",VLOOKUP(CS279,βοηθητικό!$J$2:$N$354,3,FALSE))</f>
        <v>_</v>
      </c>
      <c r="CU279" s="47"/>
    </row>
    <row r="280" spans="1:99" x14ac:dyDescent="0.25">
      <c r="A280" s="37">
        <f>--SUBTOTAL(3,$B$3:B279)</f>
        <v>198</v>
      </c>
      <c r="B280" s="2"/>
      <c r="C280" s="3"/>
      <c r="D280" s="55" t="s">
        <v>18</v>
      </c>
      <c r="E280" s="38" t="s">
        <v>16</v>
      </c>
      <c r="F280" s="38" t="s">
        <v>16</v>
      </c>
      <c r="G280" s="39" t="str">
        <f t="shared" si="14"/>
        <v>__</v>
      </c>
      <c r="H280" s="40" t="str">
        <f t="shared" si="15"/>
        <v>FALSE</v>
      </c>
      <c r="I280" s="41">
        <f t="shared" si="16"/>
        <v>0</v>
      </c>
      <c r="J280" s="4" t="s">
        <v>16</v>
      </c>
      <c r="K280" s="43" t="str">
        <f>IF(VLOOKUP(J280,βοηθητικό!$J$2:$N$354,3,FALSE)="","",VLOOKUP(J280,βοηθητικό!$J$2:$N$354,3,FALSE))</f>
        <v>_</v>
      </c>
      <c r="L280" s="44"/>
      <c r="M280" s="5" t="s">
        <v>16</v>
      </c>
      <c r="N280" s="46" t="str">
        <f>IF(VLOOKUP(M280,βοηθητικό!$J$2:$N$354,3,FALSE)="","",VLOOKUP(M280,βοηθητικό!$J$2:$N$354,3,FALSE))</f>
        <v>_</v>
      </c>
      <c r="O280" s="47"/>
      <c r="P280" s="4" t="s">
        <v>16</v>
      </c>
      <c r="Q280" s="43" t="str">
        <f>IF(VLOOKUP(P280,βοηθητικό!$J$2:$N$354,3,FALSE)="","",VLOOKUP(P280,βοηθητικό!$J$2:$N$354,3,FALSE))</f>
        <v>_</v>
      </c>
      <c r="R280" s="44"/>
      <c r="S280" s="5" t="s">
        <v>16</v>
      </c>
      <c r="T280" s="46" t="str">
        <f>IF(VLOOKUP(S280,βοηθητικό!$J$2:$N$354,3,FALSE)="","",VLOOKUP(S280,βοηθητικό!$J$2:$N$354,3,FALSE))</f>
        <v>_</v>
      </c>
      <c r="U280" s="47"/>
      <c r="V280" s="4" t="s">
        <v>16</v>
      </c>
      <c r="W280" s="43" t="str">
        <f>IF(VLOOKUP(V280,βοηθητικό!$J$2:$N$354,3,FALSE)="","",VLOOKUP(V280,βοηθητικό!$J$2:$N$354,3,FALSE))</f>
        <v>_</v>
      </c>
      <c r="X280" s="44"/>
      <c r="Y280" s="5" t="s">
        <v>16</v>
      </c>
      <c r="Z280" s="46" t="str">
        <f>IF(VLOOKUP(Y280,βοηθητικό!$J$2:$N$354,3,FALSE)="","",VLOOKUP(Y280,βοηθητικό!$J$2:$N$354,3,FALSE))</f>
        <v>_</v>
      </c>
      <c r="AA280" s="47"/>
      <c r="AB280" s="4" t="s">
        <v>16</v>
      </c>
      <c r="AC280" s="43" t="str">
        <f>IF(VLOOKUP(AB280,βοηθητικό!$J$2:$N$354,3,FALSE)="","",VLOOKUP(AB280,βοηθητικό!$J$2:$N$354,3,FALSE))</f>
        <v>_</v>
      </c>
      <c r="AD280" s="44"/>
      <c r="AE280" s="5" t="s">
        <v>16</v>
      </c>
      <c r="AF280" s="46" t="str">
        <f>IF(VLOOKUP(AE280,βοηθητικό!$J$2:$N$354,3,FALSE)="","",VLOOKUP(AE280,βοηθητικό!$J$2:$N$354,3,FALSE))</f>
        <v>_</v>
      </c>
      <c r="AG280" s="47"/>
      <c r="AH280" s="4" t="s">
        <v>16</v>
      </c>
      <c r="AI280" s="43" t="str">
        <f>IF(VLOOKUP(AH280,βοηθητικό!$J$2:$N$354,3,FALSE)="","",VLOOKUP(AH280,βοηθητικό!$J$2:$N$354,3,FALSE))</f>
        <v>_</v>
      </c>
      <c r="AJ280" s="44"/>
      <c r="AK280" s="5" t="s">
        <v>16</v>
      </c>
      <c r="AL280" s="46" t="str">
        <f>IF(VLOOKUP(AK280,βοηθητικό!$J$2:$N$354,3,FALSE)="","",VLOOKUP(AK280,βοηθητικό!$J$2:$N$354,3,FALSE))</f>
        <v>_</v>
      </c>
      <c r="AM280" s="47"/>
      <c r="AN280" s="4" t="s">
        <v>16</v>
      </c>
      <c r="AO280" s="43" t="str">
        <f>IF(VLOOKUP(AN280,βοηθητικό!$J$2:$N$354,3,FALSE)="","",VLOOKUP(AN280,βοηθητικό!$J$2:$N$354,3,FALSE))</f>
        <v>_</v>
      </c>
      <c r="AP280" s="44"/>
      <c r="AQ280" s="5" t="s">
        <v>16</v>
      </c>
      <c r="AR280" s="46" t="str">
        <f>IF(VLOOKUP(AQ280,βοηθητικό!$J$2:$N$354,3,FALSE)="","",VLOOKUP(AQ280,βοηθητικό!$J$2:$N$354,3,FALSE))</f>
        <v>_</v>
      </c>
      <c r="AS280" s="47"/>
      <c r="AT280" s="4" t="s">
        <v>16</v>
      </c>
      <c r="AU280" s="43" t="str">
        <f>IF(VLOOKUP(AT280,βοηθητικό!$J$2:$N$354,3,FALSE)="","",VLOOKUP(AT280,βοηθητικό!$J$2:$N$354,3,FALSE))</f>
        <v>_</v>
      </c>
      <c r="AV280" s="44"/>
      <c r="AW280" s="5" t="s">
        <v>16</v>
      </c>
      <c r="AX280" s="46" t="str">
        <f>IF(VLOOKUP(AW280,βοηθητικό!$J$2:$N$354,3,FALSE)="","",VLOOKUP(AW280,βοηθητικό!$J$2:$N$354,3,FALSE))</f>
        <v>_</v>
      </c>
      <c r="AY280" s="47"/>
      <c r="AZ280" s="4" t="s">
        <v>16</v>
      </c>
      <c r="BA280" s="43" t="str">
        <f>IF(VLOOKUP(AZ280,βοηθητικό!$J$2:$N$354,3,FALSE)="","",VLOOKUP(AZ280,βοηθητικό!$J$2:$N$354,3,FALSE))</f>
        <v>_</v>
      </c>
      <c r="BB280" s="44"/>
      <c r="BC280" s="45" t="s">
        <v>16</v>
      </c>
      <c r="BD280" s="46" t="str">
        <f>IF(VLOOKUP(BC280,βοηθητικό!$J$2:$N$354,3,FALSE)="","",VLOOKUP(BC280,βοηθητικό!$J$2:$N$354,3,FALSE))</f>
        <v>_</v>
      </c>
      <c r="BE280" s="47"/>
      <c r="BF280" s="42" t="s">
        <v>16</v>
      </c>
      <c r="BG280" s="43" t="str">
        <f>IF(VLOOKUP(BF280,βοηθητικό!$J$2:$N$354,3,FALSE)="","",VLOOKUP(BF280,βοηθητικό!$J$2:$N$354,3,FALSE))</f>
        <v>_</v>
      </c>
      <c r="BH280" s="44"/>
      <c r="BI280" s="45" t="s">
        <v>16</v>
      </c>
      <c r="BJ280" s="46" t="str">
        <f>IF(VLOOKUP(BI280,βοηθητικό!$J$2:$N$354,3,FALSE)="","",VLOOKUP(BI280,βοηθητικό!$J$2:$N$354,3,FALSE))</f>
        <v>_</v>
      </c>
      <c r="BK280" s="47"/>
      <c r="BL280" s="42" t="s">
        <v>16</v>
      </c>
      <c r="BM280" s="43" t="str">
        <f>IF(VLOOKUP(BL280,βοηθητικό!$J$2:$N$354,3,FALSE)="","",VLOOKUP(BL280,βοηθητικό!$J$2:$N$354,3,FALSE))</f>
        <v>_</v>
      </c>
      <c r="BN280" s="44"/>
      <c r="BO280" s="45" t="s">
        <v>16</v>
      </c>
      <c r="BP280" s="46" t="str">
        <f>IF(VLOOKUP(BO280,βοηθητικό!$J$2:$N$354,3,FALSE)="","",VLOOKUP(BO280,βοηθητικό!$J$2:$N$354,3,FALSE))</f>
        <v>_</v>
      </c>
      <c r="BQ280" s="47"/>
      <c r="BR280" s="42" t="s">
        <v>16</v>
      </c>
      <c r="BS280" s="43" t="str">
        <f>IF(VLOOKUP(BR280,βοηθητικό!$J$2:$N$354,3,FALSE)="","",VLOOKUP(BR280,βοηθητικό!$J$2:$N$354,3,FALSE))</f>
        <v>_</v>
      </c>
      <c r="BT280" s="44"/>
      <c r="BU280" s="45" t="s">
        <v>16</v>
      </c>
      <c r="BV280" s="46" t="str">
        <f>IF(VLOOKUP(BU280,βοηθητικό!$J$2:$N$354,3,FALSE)="","",VLOOKUP(BU280,βοηθητικό!$J$2:$N$354,3,FALSE))</f>
        <v>_</v>
      </c>
      <c r="BW280" s="47"/>
      <c r="BX280" s="42" t="s">
        <v>16</v>
      </c>
      <c r="BY280" s="43" t="str">
        <f>IF(VLOOKUP(BX280,βοηθητικό!$J$2:$N$354,3,FALSE)="","",VLOOKUP(BX280,βοηθητικό!$J$2:$N$354,3,FALSE))</f>
        <v>_</v>
      </c>
      <c r="BZ280" s="44"/>
      <c r="CA280" s="45" t="s">
        <v>16</v>
      </c>
      <c r="CB280" s="46" t="str">
        <f>IF(VLOOKUP(CA280,βοηθητικό!$J$2:$N$354,3,FALSE)="","",VLOOKUP(CA280,βοηθητικό!$J$2:$N$354,3,FALSE))</f>
        <v>_</v>
      </c>
      <c r="CC280" s="47"/>
      <c r="CD280" s="42" t="s">
        <v>16</v>
      </c>
      <c r="CE280" s="43" t="str">
        <f>IF(VLOOKUP(CD280,βοηθητικό!$J$2:$N$354,3,FALSE)="","",VLOOKUP(CD280,βοηθητικό!$J$2:$N$354,3,FALSE))</f>
        <v>_</v>
      </c>
      <c r="CF280" s="44"/>
      <c r="CG280" s="45" t="s">
        <v>16</v>
      </c>
      <c r="CH280" s="46" t="str">
        <f>IF(VLOOKUP(CG280,βοηθητικό!$J$2:$N$354,3,FALSE)="","",VLOOKUP(CG280,βοηθητικό!$J$2:$N$354,3,FALSE))</f>
        <v>_</v>
      </c>
      <c r="CI280" s="47"/>
      <c r="CJ280" s="42" t="s">
        <v>16</v>
      </c>
      <c r="CK280" s="43" t="str">
        <f>IF(VLOOKUP(CJ280,βοηθητικό!$J$2:$N$354,3,FALSE)="","",VLOOKUP(CJ280,βοηθητικό!$J$2:$N$354,3,FALSE))</f>
        <v>_</v>
      </c>
      <c r="CL280" s="44"/>
      <c r="CM280" s="45" t="s">
        <v>16</v>
      </c>
      <c r="CN280" s="46" t="str">
        <f>IF(VLOOKUP(CM280,βοηθητικό!$J$2:$N$354,3,FALSE)="","",VLOOKUP(CM280,βοηθητικό!$J$2:$N$354,3,FALSE))</f>
        <v>_</v>
      </c>
      <c r="CO280" s="47"/>
      <c r="CP280" s="42" t="s">
        <v>16</v>
      </c>
      <c r="CQ280" s="43" t="str">
        <f>IF(VLOOKUP(CP280,βοηθητικό!$J$2:$N$354,3,FALSE)="","",VLOOKUP(CP280,βοηθητικό!$J$2:$N$354,3,FALSE))</f>
        <v>_</v>
      </c>
      <c r="CR280" s="44"/>
      <c r="CS280" s="45" t="s">
        <v>16</v>
      </c>
      <c r="CT280" s="46" t="str">
        <f>IF(VLOOKUP(CS280,βοηθητικό!$J$2:$N$354,3,FALSE)="","",VLOOKUP(CS280,βοηθητικό!$J$2:$N$354,3,FALSE))</f>
        <v>_</v>
      </c>
      <c r="CU280" s="47"/>
    </row>
    <row r="281" spans="1:99" x14ac:dyDescent="0.25">
      <c r="A281" s="37">
        <f>--SUBTOTAL(3,$B$3:B280)</f>
        <v>198</v>
      </c>
      <c r="B281" s="2"/>
      <c r="C281" s="3"/>
      <c r="D281" s="55" t="s">
        <v>18</v>
      </c>
      <c r="E281" s="38" t="s">
        <v>16</v>
      </c>
      <c r="F281" s="38" t="s">
        <v>16</v>
      </c>
      <c r="G281" s="39" t="str">
        <f t="shared" si="14"/>
        <v>__</v>
      </c>
      <c r="H281" s="40" t="str">
        <f t="shared" si="15"/>
        <v>FALSE</v>
      </c>
      <c r="I281" s="41">
        <f t="shared" si="16"/>
        <v>0</v>
      </c>
      <c r="J281" s="4" t="s">
        <v>16</v>
      </c>
      <c r="K281" s="43" t="str">
        <f>IF(VLOOKUP(J281,βοηθητικό!$J$2:$N$354,3,FALSE)="","",VLOOKUP(J281,βοηθητικό!$J$2:$N$354,3,FALSE))</f>
        <v>_</v>
      </c>
      <c r="L281" s="44"/>
      <c r="M281" s="5" t="s">
        <v>16</v>
      </c>
      <c r="N281" s="46" t="str">
        <f>IF(VLOOKUP(M281,βοηθητικό!$J$2:$N$354,3,FALSE)="","",VLOOKUP(M281,βοηθητικό!$J$2:$N$354,3,FALSE))</f>
        <v>_</v>
      </c>
      <c r="O281" s="47"/>
      <c r="P281" s="4" t="s">
        <v>16</v>
      </c>
      <c r="Q281" s="43" t="str">
        <f>IF(VLOOKUP(P281,βοηθητικό!$J$2:$N$354,3,FALSE)="","",VLOOKUP(P281,βοηθητικό!$J$2:$N$354,3,FALSE))</f>
        <v>_</v>
      </c>
      <c r="R281" s="44"/>
      <c r="S281" s="5" t="s">
        <v>16</v>
      </c>
      <c r="T281" s="46" t="str">
        <f>IF(VLOOKUP(S281,βοηθητικό!$J$2:$N$354,3,FALSE)="","",VLOOKUP(S281,βοηθητικό!$J$2:$N$354,3,FALSE))</f>
        <v>_</v>
      </c>
      <c r="U281" s="47"/>
      <c r="V281" s="4" t="s">
        <v>16</v>
      </c>
      <c r="W281" s="43" t="str">
        <f>IF(VLOOKUP(V281,βοηθητικό!$J$2:$N$354,3,FALSE)="","",VLOOKUP(V281,βοηθητικό!$J$2:$N$354,3,FALSE))</f>
        <v>_</v>
      </c>
      <c r="X281" s="44"/>
      <c r="Y281" s="5" t="s">
        <v>16</v>
      </c>
      <c r="Z281" s="46" t="str">
        <f>IF(VLOOKUP(Y281,βοηθητικό!$J$2:$N$354,3,FALSE)="","",VLOOKUP(Y281,βοηθητικό!$J$2:$N$354,3,FALSE))</f>
        <v>_</v>
      </c>
      <c r="AA281" s="47"/>
      <c r="AB281" s="4" t="s">
        <v>16</v>
      </c>
      <c r="AC281" s="43" t="str">
        <f>IF(VLOOKUP(AB281,βοηθητικό!$J$2:$N$354,3,FALSE)="","",VLOOKUP(AB281,βοηθητικό!$J$2:$N$354,3,FALSE))</f>
        <v>_</v>
      </c>
      <c r="AD281" s="44"/>
      <c r="AE281" s="5" t="s">
        <v>16</v>
      </c>
      <c r="AF281" s="46" t="str">
        <f>IF(VLOOKUP(AE281,βοηθητικό!$J$2:$N$354,3,FALSE)="","",VLOOKUP(AE281,βοηθητικό!$J$2:$N$354,3,FALSE))</f>
        <v>_</v>
      </c>
      <c r="AG281" s="47"/>
      <c r="AH281" s="4" t="s">
        <v>16</v>
      </c>
      <c r="AI281" s="43" t="str">
        <f>IF(VLOOKUP(AH281,βοηθητικό!$J$2:$N$354,3,FALSE)="","",VLOOKUP(AH281,βοηθητικό!$J$2:$N$354,3,FALSE))</f>
        <v>_</v>
      </c>
      <c r="AJ281" s="44"/>
      <c r="AK281" s="5" t="s">
        <v>16</v>
      </c>
      <c r="AL281" s="46" t="str">
        <f>IF(VLOOKUP(AK281,βοηθητικό!$J$2:$N$354,3,FALSE)="","",VLOOKUP(AK281,βοηθητικό!$J$2:$N$354,3,FALSE))</f>
        <v>_</v>
      </c>
      <c r="AM281" s="47"/>
      <c r="AN281" s="4" t="s">
        <v>16</v>
      </c>
      <c r="AO281" s="43" t="str">
        <f>IF(VLOOKUP(AN281,βοηθητικό!$J$2:$N$354,3,FALSE)="","",VLOOKUP(AN281,βοηθητικό!$J$2:$N$354,3,FALSE))</f>
        <v>_</v>
      </c>
      <c r="AP281" s="44"/>
      <c r="AQ281" s="5" t="s">
        <v>16</v>
      </c>
      <c r="AR281" s="46" t="str">
        <f>IF(VLOOKUP(AQ281,βοηθητικό!$J$2:$N$354,3,FALSE)="","",VLOOKUP(AQ281,βοηθητικό!$J$2:$N$354,3,FALSE))</f>
        <v>_</v>
      </c>
      <c r="AS281" s="47"/>
      <c r="AT281" s="4" t="s">
        <v>16</v>
      </c>
      <c r="AU281" s="43" t="str">
        <f>IF(VLOOKUP(AT281,βοηθητικό!$J$2:$N$354,3,FALSE)="","",VLOOKUP(AT281,βοηθητικό!$J$2:$N$354,3,FALSE))</f>
        <v>_</v>
      </c>
      <c r="AV281" s="44"/>
      <c r="AW281" s="5" t="s">
        <v>16</v>
      </c>
      <c r="AX281" s="46" t="str">
        <f>IF(VLOOKUP(AW281,βοηθητικό!$J$2:$N$354,3,FALSE)="","",VLOOKUP(AW281,βοηθητικό!$J$2:$N$354,3,FALSE))</f>
        <v>_</v>
      </c>
      <c r="AY281" s="47"/>
      <c r="AZ281" s="4" t="s">
        <v>16</v>
      </c>
      <c r="BA281" s="43" t="str">
        <f>IF(VLOOKUP(AZ281,βοηθητικό!$J$2:$N$354,3,FALSE)="","",VLOOKUP(AZ281,βοηθητικό!$J$2:$N$354,3,FALSE))</f>
        <v>_</v>
      </c>
      <c r="BB281" s="44"/>
      <c r="BC281" s="45" t="s">
        <v>16</v>
      </c>
      <c r="BD281" s="46" t="str">
        <f>IF(VLOOKUP(BC281,βοηθητικό!$J$2:$N$354,3,FALSE)="","",VLOOKUP(BC281,βοηθητικό!$J$2:$N$354,3,FALSE))</f>
        <v>_</v>
      </c>
      <c r="BE281" s="47"/>
      <c r="BF281" s="42" t="s">
        <v>16</v>
      </c>
      <c r="BG281" s="43" t="str">
        <f>IF(VLOOKUP(BF281,βοηθητικό!$J$2:$N$354,3,FALSE)="","",VLOOKUP(BF281,βοηθητικό!$J$2:$N$354,3,FALSE))</f>
        <v>_</v>
      </c>
      <c r="BH281" s="44"/>
      <c r="BI281" s="45" t="s">
        <v>16</v>
      </c>
      <c r="BJ281" s="46" t="str">
        <f>IF(VLOOKUP(BI281,βοηθητικό!$J$2:$N$354,3,FALSE)="","",VLOOKUP(BI281,βοηθητικό!$J$2:$N$354,3,FALSE))</f>
        <v>_</v>
      </c>
      <c r="BK281" s="47"/>
      <c r="BL281" s="42" t="s">
        <v>16</v>
      </c>
      <c r="BM281" s="43" t="str">
        <f>IF(VLOOKUP(BL281,βοηθητικό!$J$2:$N$354,3,FALSE)="","",VLOOKUP(BL281,βοηθητικό!$J$2:$N$354,3,FALSE))</f>
        <v>_</v>
      </c>
      <c r="BN281" s="44"/>
      <c r="BO281" s="45" t="s">
        <v>16</v>
      </c>
      <c r="BP281" s="46" t="str">
        <f>IF(VLOOKUP(BO281,βοηθητικό!$J$2:$N$354,3,FALSE)="","",VLOOKUP(BO281,βοηθητικό!$J$2:$N$354,3,FALSE))</f>
        <v>_</v>
      </c>
      <c r="BQ281" s="47"/>
      <c r="BR281" s="42" t="s">
        <v>16</v>
      </c>
      <c r="BS281" s="43" t="str">
        <f>IF(VLOOKUP(BR281,βοηθητικό!$J$2:$N$354,3,FALSE)="","",VLOOKUP(BR281,βοηθητικό!$J$2:$N$354,3,FALSE))</f>
        <v>_</v>
      </c>
      <c r="BT281" s="44"/>
      <c r="BU281" s="45" t="s">
        <v>16</v>
      </c>
      <c r="BV281" s="46" t="str">
        <f>IF(VLOOKUP(BU281,βοηθητικό!$J$2:$N$354,3,FALSE)="","",VLOOKUP(BU281,βοηθητικό!$J$2:$N$354,3,FALSE))</f>
        <v>_</v>
      </c>
      <c r="BW281" s="47"/>
      <c r="BX281" s="42" t="s">
        <v>16</v>
      </c>
      <c r="BY281" s="43" t="str">
        <f>IF(VLOOKUP(BX281,βοηθητικό!$J$2:$N$354,3,FALSE)="","",VLOOKUP(BX281,βοηθητικό!$J$2:$N$354,3,FALSE))</f>
        <v>_</v>
      </c>
      <c r="BZ281" s="44"/>
      <c r="CA281" s="45" t="s">
        <v>16</v>
      </c>
      <c r="CB281" s="46" t="str">
        <f>IF(VLOOKUP(CA281,βοηθητικό!$J$2:$N$354,3,FALSE)="","",VLOOKUP(CA281,βοηθητικό!$J$2:$N$354,3,FALSE))</f>
        <v>_</v>
      </c>
      <c r="CC281" s="47"/>
      <c r="CD281" s="42" t="s">
        <v>16</v>
      </c>
      <c r="CE281" s="43" t="str">
        <f>IF(VLOOKUP(CD281,βοηθητικό!$J$2:$N$354,3,FALSE)="","",VLOOKUP(CD281,βοηθητικό!$J$2:$N$354,3,FALSE))</f>
        <v>_</v>
      </c>
      <c r="CF281" s="44"/>
      <c r="CG281" s="45" t="s">
        <v>16</v>
      </c>
      <c r="CH281" s="46" t="str">
        <f>IF(VLOOKUP(CG281,βοηθητικό!$J$2:$N$354,3,FALSE)="","",VLOOKUP(CG281,βοηθητικό!$J$2:$N$354,3,FALSE))</f>
        <v>_</v>
      </c>
      <c r="CI281" s="47"/>
      <c r="CJ281" s="42" t="s">
        <v>16</v>
      </c>
      <c r="CK281" s="43" t="str">
        <f>IF(VLOOKUP(CJ281,βοηθητικό!$J$2:$N$354,3,FALSE)="","",VLOOKUP(CJ281,βοηθητικό!$J$2:$N$354,3,FALSE))</f>
        <v>_</v>
      </c>
      <c r="CL281" s="44"/>
      <c r="CM281" s="45" t="s">
        <v>16</v>
      </c>
      <c r="CN281" s="46" t="str">
        <f>IF(VLOOKUP(CM281,βοηθητικό!$J$2:$N$354,3,FALSE)="","",VLOOKUP(CM281,βοηθητικό!$J$2:$N$354,3,FALSE))</f>
        <v>_</v>
      </c>
      <c r="CO281" s="47"/>
      <c r="CP281" s="42" t="s">
        <v>16</v>
      </c>
      <c r="CQ281" s="43" t="str">
        <f>IF(VLOOKUP(CP281,βοηθητικό!$J$2:$N$354,3,FALSE)="","",VLOOKUP(CP281,βοηθητικό!$J$2:$N$354,3,FALSE))</f>
        <v>_</v>
      </c>
      <c r="CR281" s="44"/>
      <c r="CS281" s="45" t="s">
        <v>16</v>
      </c>
      <c r="CT281" s="46" t="str">
        <f>IF(VLOOKUP(CS281,βοηθητικό!$J$2:$N$354,3,FALSE)="","",VLOOKUP(CS281,βοηθητικό!$J$2:$N$354,3,FALSE))</f>
        <v>_</v>
      </c>
      <c r="CU281" s="47"/>
    </row>
    <row r="282" spans="1:99" x14ac:dyDescent="0.25">
      <c r="A282" s="37">
        <f>--SUBTOTAL(3,$B$3:B281)</f>
        <v>198</v>
      </c>
      <c r="B282" s="2"/>
      <c r="C282" s="3"/>
      <c r="D282" s="55" t="s">
        <v>18</v>
      </c>
      <c r="E282" s="38" t="s">
        <v>16</v>
      </c>
      <c r="F282" s="38" t="s">
        <v>16</v>
      </c>
      <c r="G282" s="39" t="str">
        <f t="shared" si="14"/>
        <v>__</v>
      </c>
      <c r="H282" s="40" t="str">
        <f t="shared" si="15"/>
        <v>FALSE</v>
      </c>
      <c r="I282" s="41">
        <f t="shared" si="16"/>
        <v>0</v>
      </c>
      <c r="J282" s="4" t="s">
        <v>16</v>
      </c>
      <c r="K282" s="43" t="str">
        <f>IF(VLOOKUP(J282,βοηθητικό!$J$2:$N$354,3,FALSE)="","",VLOOKUP(J282,βοηθητικό!$J$2:$N$354,3,FALSE))</f>
        <v>_</v>
      </c>
      <c r="L282" s="44"/>
      <c r="M282" s="5" t="s">
        <v>16</v>
      </c>
      <c r="N282" s="46" t="str">
        <f>IF(VLOOKUP(M282,βοηθητικό!$J$2:$N$354,3,FALSE)="","",VLOOKUP(M282,βοηθητικό!$J$2:$N$354,3,FALSE))</f>
        <v>_</v>
      </c>
      <c r="O282" s="47"/>
      <c r="P282" s="4" t="s">
        <v>16</v>
      </c>
      <c r="Q282" s="43" t="str">
        <f>IF(VLOOKUP(P282,βοηθητικό!$J$2:$N$354,3,FALSE)="","",VLOOKUP(P282,βοηθητικό!$J$2:$N$354,3,FALSE))</f>
        <v>_</v>
      </c>
      <c r="R282" s="44"/>
      <c r="S282" s="5" t="s">
        <v>16</v>
      </c>
      <c r="T282" s="46" t="str">
        <f>IF(VLOOKUP(S282,βοηθητικό!$J$2:$N$354,3,FALSE)="","",VLOOKUP(S282,βοηθητικό!$J$2:$N$354,3,FALSE))</f>
        <v>_</v>
      </c>
      <c r="U282" s="47"/>
      <c r="V282" s="4" t="s">
        <v>16</v>
      </c>
      <c r="W282" s="43" t="str">
        <f>IF(VLOOKUP(V282,βοηθητικό!$J$2:$N$354,3,FALSE)="","",VLOOKUP(V282,βοηθητικό!$J$2:$N$354,3,FALSE))</f>
        <v>_</v>
      </c>
      <c r="X282" s="44"/>
      <c r="Y282" s="5" t="s">
        <v>16</v>
      </c>
      <c r="Z282" s="46" t="str">
        <f>IF(VLOOKUP(Y282,βοηθητικό!$J$2:$N$354,3,FALSE)="","",VLOOKUP(Y282,βοηθητικό!$J$2:$N$354,3,FALSE))</f>
        <v>_</v>
      </c>
      <c r="AA282" s="47"/>
      <c r="AB282" s="4" t="s">
        <v>16</v>
      </c>
      <c r="AC282" s="43" t="str">
        <f>IF(VLOOKUP(AB282,βοηθητικό!$J$2:$N$354,3,FALSE)="","",VLOOKUP(AB282,βοηθητικό!$J$2:$N$354,3,FALSE))</f>
        <v>_</v>
      </c>
      <c r="AD282" s="44"/>
      <c r="AE282" s="5" t="s">
        <v>16</v>
      </c>
      <c r="AF282" s="46" t="str">
        <f>IF(VLOOKUP(AE282,βοηθητικό!$J$2:$N$354,3,FALSE)="","",VLOOKUP(AE282,βοηθητικό!$J$2:$N$354,3,FALSE))</f>
        <v>_</v>
      </c>
      <c r="AG282" s="47"/>
      <c r="AH282" s="4" t="s">
        <v>16</v>
      </c>
      <c r="AI282" s="43" t="str">
        <f>IF(VLOOKUP(AH282,βοηθητικό!$J$2:$N$354,3,FALSE)="","",VLOOKUP(AH282,βοηθητικό!$J$2:$N$354,3,FALSE))</f>
        <v>_</v>
      </c>
      <c r="AJ282" s="44"/>
      <c r="AK282" s="5" t="s">
        <v>16</v>
      </c>
      <c r="AL282" s="46" t="str">
        <f>IF(VLOOKUP(AK282,βοηθητικό!$J$2:$N$354,3,FALSE)="","",VLOOKUP(AK282,βοηθητικό!$J$2:$N$354,3,FALSE))</f>
        <v>_</v>
      </c>
      <c r="AM282" s="47"/>
      <c r="AN282" s="4" t="s">
        <v>16</v>
      </c>
      <c r="AO282" s="43" t="str">
        <f>IF(VLOOKUP(AN282,βοηθητικό!$J$2:$N$354,3,FALSE)="","",VLOOKUP(AN282,βοηθητικό!$J$2:$N$354,3,FALSE))</f>
        <v>_</v>
      </c>
      <c r="AP282" s="44"/>
      <c r="AQ282" s="5" t="s">
        <v>16</v>
      </c>
      <c r="AR282" s="46" t="str">
        <f>IF(VLOOKUP(AQ282,βοηθητικό!$J$2:$N$354,3,FALSE)="","",VLOOKUP(AQ282,βοηθητικό!$J$2:$N$354,3,FALSE))</f>
        <v>_</v>
      </c>
      <c r="AS282" s="47"/>
      <c r="AT282" s="4" t="s">
        <v>16</v>
      </c>
      <c r="AU282" s="43" t="str">
        <f>IF(VLOOKUP(AT282,βοηθητικό!$J$2:$N$354,3,FALSE)="","",VLOOKUP(AT282,βοηθητικό!$J$2:$N$354,3,FALSE))</f>
        <v>_</v>
      </c>
      <c r="AV282" s="44"/>
      <c r="AW282" s="5" t="s">
        <v>16</v>
      </c>
      <c r="AX282" s="46" t="str">
        <f>IF(VLOOKUP(AW282,βοηθητικό!$J$2:$N$354,3,FALSE)="","",VLOOKUP(AW282,βοηθητικό!$J$2:$N$354,3,FALSE))</f>
        <v>_</v>
      </c>
      <c r="AY282" s="47"/>
      <c r="AZ282" s="4" t="s">
        <v>16</v>
      </c>
      <c r="BA282" s="43" t="str">
        <f>IF(VLOOKUP(AZ282,βοηθητικό!$J$2:$N$354,3,FALSE)="","",VLOOKUP(AZ282,βοηθητικό!$J$2:$N$354,3,FALSE))</f>
        <v>_</v>
      </c>
      <c r="BB282" s="44"/>
      <c r="BC282" s="45" t="s">
        <v>16</v>
      </c>
      <c r="BD282" s="46" t="str">
        <f>IF(VLOOKUP(BC282,βοηθητικό!$J$2:$N$354,3,FALSE)="","",VLOOKUP(BC282,βοηθητικό!$J$2:$N$354,3,FALSE))</f>
        <v>_</v>
      </c>
      <c r="BE282" s="47"/>
      <c r="BF282" s="42" t="s">
        <v>16</v>
      </c>
      <c r="BG282" s="43" t="str">
        <f>IF(VLOOKUP(BF282,βοηθητικό!$J$2:$N$354,3,FALSE)="","",VLOOKUP(BF282,βοηθητικό!$J$2:$N$354,3,FALSE))</f>
        <v>_</v>
      </c>
      <c r="BH282" s="44"/>
      <c r="BI282" s="45" t="s">
        <v>16</v>
      </c>
      <c r="BJ282" s="46" t="str">
        <f>IF(VLOOKUP(BI282,βοηθητικό!$J$2:$N$354,3,FALSE)="","",VLOOKUP(BI282,βοηθητικό!$J$2:$N$354,3,FALSE))</f>
        <v>_</v>
      </c>
      <c r="BK282" s="47"/>
      <c r="BL282" s="42" t="s">
        <v>16</v>
      </c>
      <c r="BM282" s="43" t="str">
        <f>IF(VLOOKUP(BL282,βοηθητικό!$J$2:$N$354,3,FALSE)="","",VLOOKUP(BL282,βοηθητικό!$J$2:$N$354,3,FALSE))</f>
        <v>_</v>
      </c>
      <c r="BN282" s="44"/>
      <c r="BO282" s="45" t="s">
        <v>16</v>
      </c>
      <c r="BP282" s="46" t="str">
        <f>IF(VLOOKUP(BO282,βοηθητικό!$J$2:$N$354,3,FALSE)="","",VLOOKUP(BO282,βοηθητικό!$J$2:$N$354,3,FALSE))</f>
        <v>_</v>
      </c>
      <c r="BQ282" s="47"/>
      <c r="BR282" s="42" t="s">
        <v>16</v>
      </c>
      <c r="BS282" s="43" t="str">
        <f>IF(VLOOKUP(BR282,βοηθητικό!$J$2:$N$354,3,FALSE)="","",VLOOKUP(BR282,βοηθητικό!$J$2:$N$354,3,FALSE))</f>
        <v>_</v>
      </c>
      <c r="BT282" s="44"/>
      <c r="BU282" s="45" t="s">
        <v>16</v>
      </c>
      <c r="BV282" s="46" t="str">
        <f>IF(VLOOKUP(BU282,βοηθητικό!$J$2:$N$354,3,FALSE)="","",VLOOKUP(BU282,βοηθητικό!$J$2:$N$354,3,FALSE))</f>
        <v>_</v>
      </c>
      <c r="BW282" s="47"/>
      <c r="BX282" s="42" t="s">
        <v>16</v>
      </c>
      <c r="BY282" s="43" t="str">
        <f>IF(VLOOKUP(BX282,βοηθητικό!$J$2:$N$354,3,FALSE)="","",VLOOKUP(BX282,βοηθητικό!$J$2:$N$354,3,FALSE))</f>
        <v>_</v>
      </c>
      <c r="BZ282" s="44"/>
      <c r="CA282" s="45" t="s">
        <v>16</v>
      </c>
      <c r="CB282" s="46" t="str">
        <f>IF(VLOOKUP(CA282,βοηθητικό!$J$2:$N$354,3,FALSE)="","",VLOOKUP(CA282,βοηθητικό!$J$2:$N$354,3,FALSE))</f>
        <v>_</v>
      </c>
      <c r="CC282" s="47"/>
      <c r="CD282" s="42" t="s">
        <v>16</v>
      </c>
      <c r="CE282" s="43" t="str">
        <f>IF(VLOOKUP(CD282,βοηθητικό!$J$2:$N$354,3,FALSE)="","",VLOOKUP(CD282,βοηθητικό!$J$2:$N$354,3,FALSE))</f>
        <v>_</v>
      </c>
      <c r="CF282" s="44"/>
      <c r="CG282" s="45" t="s">
        <v>16</v>
      </c>
      <c r="CH282" s="46" t="str">
        <f>IF(VLOOKUP(CG282,βοηθητικό!$J$2:$N$354,3,FALSE)="","",VLOOKUP(CG282,βοηθητικό!$J$2:$N$354,3,FALSE))</f>
        <v>_</v>
      </c>
      <c r="CI282" s="47"/>
      <c r="CJ282" s="42" t="s">
        <v>16</v>
      </c>
      <c r="CK282" s="43" t="str">
        <f>IF(VLOOKUP(CJ282,βοηθητικό!$J$2:$N$354,3,FALSE)="","",VLOOKUP(CJ282,βοηθητικό!$J$2:$N$354,3,FALSE))</f>
        <v>_</v>
      </c>
      <c r="CL282" s="44"/>
      <c r="CM282" s="45" t="s">
        <v>16</v>
      </c>
      <c r="CN282" s="46" t="str">
        <f>IF(VLOOKUP(CM282,βοηθητικό!$J$2:$N$354,3,FALSE)="","",VLOOKUP(CM282,βοηθητικό!$J$2:$N$354,3,FALSE))</f>
        <v>_</v>
      </c>
      <c r="CO282" s="47"/>
      <c r="CP282" s="42" t="s">
        <v>16</v>
      </c>
      <c r="CQ282" s="43" t="str">
        <f>IF(VLOOKUP(CP282,βοηθητικό!$J$2:$N$354,3,FALSE)="","",VLOOKUP(CP282,βοηθητικό!$J$2:$N$354,3,FALSE))</f>
        <v>_</v>
      </c>
      <c r="CR282" s="44"/>
      <c r="CS282" s="45" t="s">
        <v>16</v>
      </c>
      <c r="CT282" s="46" t="str">
        <f>IF(VLOOKUP(CS282,βοηθητικό!$J$2:$N$354,3,FALSE)="","",VLOOKUP(CS282,βοηθητικό!$J$2:$N$354,3,FALSE))</f>
        <v>_</v>
      </c>
      <c r="CU282" s="47"/>
    </row>
    <row r="283" spans="1:99" x14ac:dyDescent="0.25">
      <c r="A283" s="37">
        <f>--SUBTOTAL(3,$B$3:B282)</f>
        <v>198</v>
      </c>
      <c r="B283" s="2"/>
      <c r="C283" s="3"/>
      <c r="D283" s="55" t="s">
        <v>18</v>
      </c>
      <c r="E283" s="38" t="s">
        <v>16</v>
      </c>
      <c r="F283" s="38" t="s">
        <v>16</v>
      </c>
      <c r="G283" s="39" t="str">
        <f t="shared" si="14"/>
        <v>__</v>
      </c>
      <c r="H283" s="40" t="str">
        <f t="shared" si="15"/>
        <v>FALSE</v>
      </c>
      <c r="I283" s="41">
        <f t="shared" si="16"/>
        <v>0</v>
      </c>
      <c r="J283" s="4" t="s">
        <v>16</v>
      </c>
      <c r="K283" s="43" t="str">
        <f>IF(VLOOKUP(J283,βοηθητικό!$J$2:$N$354,3,FALSE)="","",VLOOKUP(J283,βοηθητικό!$J$2:$N$354,3,FALSE))</f>
        <v>_</v>
      </c>
      <c r="L283" s="44"/>
      <c r="M283" s="5" t="s">
        <v>16</v>
      </c>
      <c r="N283" s="46" t="str">
        <f>IF(VLOOKUP(M283,βοηθητικό!$J$2:$N$354,3,FALSE)="","",VLOOKUP(M283,βοηθητικό!$J$2:$N$354,3,FALSE))</f>
        <v>_</v>
      </c>
      <c r="O283" s="47"/>
      <c r="P283" s="4" t="s">
        <v>16</v>
      </c>
      <c r="Q283" s="43" t="str">
        <f>IF(VLOOKUP(P283,βοηθητικό!$J$2:$N$354,3,FALSE)="","",VLOOKUP(P283,βοηθητικό!$J$2:$N$354,3,FALSE))</f>
        <v>_</v>
      </c>
      <c r="R283" s="44"/>
      <c r="S283" s="5" t="s">
        <v>16</v>
      </c>
      <c r="T283" s="46" t="str">
        <f>IF(VLOOKUP(S283,βοηθητικό!$J$2:$N$354,3,FALSE)="","",VLOOKUP(S283,βοηθητικό!$J$2:$N$354,3,FALSE))</f>
        <v>_</v>
      </c>
      <c r="U283" s="47"/>
      <c r="V283" s="4" t="s">
        <v>16</v>
      </c>
      <c r="W283" s="43" t="str">
        <f>IF(VLOOKUP(V283,βοηθητικό!$J$2:$N$354,3,FALSE)="","",VLOOKUP(V283,βοηθητικό!$J$2:$N$354,3,FALSE))</f>
        <v>_</v>
      </c>
      <c r="X283" s="44"/>
      <c r="Y283" s="5" t="s">
        <v>16</v>
      </c>
      <c r="Z283" s="46" t="str">
        <f>IF(VLOOKUP(Y283,βοηθητικό!$J$2:$N$354,3,FALSE)="","",VLOOKUP(Y283,βοηθητικό!$J$2:$N$354,3,FALSE))</f>
        <v>_</v>
      </c>
      <c r="AA283" s="47"/>
      <c r="AB283" s="4" t="s">
        <v>16</v>
      </c>
      <c r="AC283" s="43" t="str">
        <f>IF(VLOOKUP(AB283,βοηθητικό!$J$2:$N$354,3,FALSE)="","",VLOOKUP(AB283,βοηθητικό!$J$2:$N$354,3,FALSE))</f>
        <v>_</v>
      </c>
      <c r="AD283" s="44"/>
      <c r="AE283" s="5" t="s">
        <v>16</v>
      </c>
      <c r="AF283" s="46" t="str">
        <f>IF(VLOOKUP(AE283,βοηθητικό!$J$2:$N$354,3,FALSE)="","",VLOOKUP(AE283,βοηθητικό!$J$2:$N$354,3,FALSE))</f>
        <v>_</v>
      </c>
      <c r="AG283" s="47"/>
      <c r="AH283" s="4" t="s">
        <v>16</v>
      </c>
      <c r="AI283" s="43" t="str">
        <f>IF(VLOOKUP(AH283,βοηθητικό!$J$2:$N$354,3,FALSE)="","",VLOOKUP(AH283,βοηθητικό!$J$2:$N$354,3,FALSE))</f>
        <v>_</v>
      </c>
      <c r="AJ283" s="44"/>
      <c r="AK283" s="5" t="s">
        <v>16</v>
      </c>
      <c r="AL283" s="46" t="str">
        <f>IF(VLOOKUP(AK283,βοηθητικό!$J$2:$N$354,3,FALSE)="","",VLOOKUP(AK283,βοηθητικό!$J$2:$N$354,3,FALSE))</f>
        <v>_</v>
      </c>
      <c r="AM283" s="47"/>
      <c r="AN283" s="4" t="s">
        <v>16</v>
      </c>
      <c r="AO283" s="43" t="str">
        <f>IF(VLOOKUP(AN283,βοηθητικό!$J$2:$N$354,3,FALSE)="","",VLOOKUP(AN283,βοηθητικό!$J$2:$N$354,3,FALSE))</f>
        <v>_</v>
      </c>
      <c r="AP283" s="44"/>
      <c r="AQ283" s="5" t="s">
        <v>16</v>
      </c>
      <c r="AR283" s="46" t="str">
        <f>IF(VLOOKUP(AQ283,βοηθητικό!$J$2:$N$354,3,FALSE)="","",VLOOKUP(AQ283,βοηθητικό!$J$2:$N$354,3,FALSE))</f>
        <v>_</v>
      </c>
      <c r="AS283" s="47"/>
      <c r="AT283" s="4" t="s">
        <v>16</v>
      </c>
      <c r="AU283" s="43" t="str">
        <f>IF(VLOOKUP(AT283,βοηθητικό!$J$2:$N$354,3,FALSE)="","",VLOOKUP(AT283,βοηθητικό!$J$2:$N$354,3,FALSE))</f>
        <v>_</v>
      </c>
      <c r="AV283" s="44"/>
      <c r="AW283" s="5" t="s">
        <v>16</v>
      </c>
      <c r="AX283" s="46" t="str">
        <f>IF(VLOOKUP(AW283,βοηθητικό!$J$2:$N$354,3,FALSE)="","",VLOOKUP(AW283,βοηθητικό!$J$2:$N$354,3,FALSE))</f>
        <v>_</v>
      </c>
      <c r="AY283" s="47"/>
      <c r="AZ283" s="4" t="s">
        <v>16</v>
      </c>
      <c r="BA283" s="43" t="str">
        <f>IF(VLOOKUP(AZ283,βοηθητικό!$J$2:$N$354,3,FALSE)="","",VLOOKUP(AZ283,βοηθητικό!$J$2:$N$354,3,FALSE))</f>
        <v>_</v>
      </c>
      <c r="BB283" s="44"/>
      <c r="BC283" s="45" t="s">
        <v>16</v>
      </c>
      <c r="BD283" s="46" t="str">
        <f>IF(VLOOKUP(BC283,βοηθητικό!$J$2:$N$354,3,FALSE)="","",VLOOKUP(BC283,βοηθητικό!$J$2:$N$354,3,FALSE))</f>
        <v>_</v>
      </c>
      <c r="BE283" s="47"/>
      <c r="BF283" s="42" t="s">
        <v>16</v>
      </c>
      <c r="BG283" s="43" t="str">
        <f>IF(VLOOKUP(BF283,βοηθητικό!$J$2:$N$354,3,FALSE)="","",VLOOKUP(BF283,βοηθητικό!$J$2:$N$354,3,FALSE))</f>
        <v>_</v>
      </c>
      <c r="BH283" s="44"/>
      <c r="BI283" s="45" t="s">
        <v>16</v>
      </c>
      <c r="BJ283" s="46" t="str">
        <f>IF(VLOOKUP(BI283,βοηθητικό!$J$2:$N$354,3,FALSE)="","",VLOOKUP(BI283,βοηθητικό!$J$2:$N$354,3,FALSE))</f>
        <v>_</v>
      </c>
      <c r="BK283" s="47"/>
      <c r="BL283" s="42" t="s">
        <v>16</v>
      </c>
      <c r="BM283" s="43" t="str">
        <f>IF(VLOOKUP(BL283,βοηθητικό!$J$2:$N$354,3,FALSE)="","",VLOOKUP(BL283,βοηθητικό!$J$2:$N$354,3,FALSE))</f>
        <v>_</v>
      </c>
      <c r="BN283" s="44"/>
      <c r="BO283" s="45" t="s">
        <v>16</v>
      </c>
      <c r="BP283" s="46" t="str">
        <f>IF(VLOOKUP(BO283,βοηθητικό!$J$2:$N$354,3,FALSE)="","",VLOOKUP(BO283,βοηθητικό!$J$2:$N$354,3,FALSE))</f>
        <v>_</v>
      </c>
      <c r="BQ283" s="47"/>
      <c r="BR283" s="42" t="s">
        <v>16</v>
      </c>
      <c r="BS283" s="43" t="str">
        <f>IF(VLOOKUP(BR283,βοηθητικό!$J$2:$N$354,3,FALSE)="","",VLOOKUP(BR283,βοηθητικό!$J$2:$N$354,3,FALSE))</f>
        <v>_</v>
      </c>
      <c r="BT283" s="44"/>
      <c r="BU283" s="45" t="s">
        <v>16</v>
      </c>
      <c r="BV283" s="46" t="str">
        <f>IF(VLOOKUP(BU283,βοηθητικό!$J$2:$N$354,3,FALSE)="","",VLOOKUP(BU283,βοηθητικό!$J$2:$N$354,3,FALSE))</f>
        <v>_</v>
      </c>
      <c r="BW283" s="47"/>
      <c r="BX283" s="42" t="s">
        <v>16</v>
      </c>
      <c r="BY283" s="43" t="str">
        <f>IF(VLOOKUP(BX283,βοηθητικό!$J$2:$N$354,3,FALSE)="","",VLOOKUP(BX283,βοηθητικό!$J$2:$N$354,3,FALSE))</f>
        <v>_</v>
      </c>
      <c r="BZ283" s="44"/>
      <c r="CA283" s="45" t="s">
        <v>16</v>
      </c>
      <c r="CB283" s="46" t="str">
        <f>IF(VLOOKUP(CA283,βοηθητικό!$J$2:$N$354,3,FALSE)="","",VLOOKUP(CA283,βοηθητικό!$J$2:$N$354,3,FALSE))</f>
        <v>_</v>
      </c>
      <c r="CC283" s="47"/>
      <c r="CD283" s="42" t="s">
        <v>16</v>
      </c>
      <c r="CE283" s="43" t="str">
        <f>IF(VLOOKUP(CD283,βοηθητικό!$J$2:$N$354,3,FALSE)="","",VLOOKUP(CD283,βοηθητικό!$J$2:$N$354,3,FALSE))</f>
        <v>_</v>
      </c>
      <c r="CF283" s="44"/>
      <c r="CG283" s="45" t="s">
        <v>16</v>
      </c>
      <c r="CH283" s="46" t="str">
        <f>IF(VLOOKUP(CG283,βοηθητικό!$J$2:$N$354,3,FALSE)="","",VLOOKUP(CG283,βοηθητικό!$J$2:$N$354,3,FALSE))</f>
        <v>_</v>
      </c>
      <c r="CI283" s="47"/>
      <c r="CJ283" s="42" t="s">
        <v>16</v>
      </c>
      <c r="CK283" s="43" t="str">
        <f>IF(VLOOKUP(CJ283,βοηθητικό!$J$2:$N$354,3,FALSE)="","",VLOOKUP(CJ283,βοηθητικό!$J$2:$N$354,3,FALSE))</f>
        <v>_</v>
      </c>
      <c r="CL283" s="44"/>
      <c r="CM283" s="45" t="s">
        <v>16</v>
      </c>
      <c r="CN283" s="46" t="str">
        <f>IF(VLOOKUP(CM283,βοηθητικό!$J$2:$N$354,3,FALSE)="","",VLOOKUP(CM283,βοηθητικό!$J$2:$N$354,3,FALSE))</f>
        <v>_</v>
      </c>
      <c r="CO283" s="47"/>
      <c r="CP283" s="42" t="s">
        <v>16</v>
      </c>
      <c r="CQ283" s="43" t="str">
        <f>IF(VLOOKUP(CP283,βοηθητικό!$J$2:$N$354,3,FALSE)="","",VLOOKUP(CP283,βοηθητικό!$J$2:$N$354,3,FALSE))</f>
        <v>_</v>
      </c>
      <c r="CR283" s="44"/>
      <c r="CS283" s="45" t="s">
        <v>16</v>
      </c>
      <c r="CT283" s="46" t="str">
        <f>IF(VLOOKUP(CS283,βοηθητικό!$J$2:$N$354,3,FALSE)="","",VLOOKUP(CS283,βοηθητικό!$J$2:$N$354,3,FALSE))</f>
        <v>_</v>
      </c>
      <c r="CU283" s="47"/>
    </row>
    <row r="284" spans="1:99" x14ac:dyDescent="0.25">
      <c r="A284" s="37">
        <f>--SUBTOTAL(3,$B$3:B283)</f>
        <v>198</v>
      </c>
      <c r="B284" s="2"/>
      <c r="C284" s="3"/>
      <c r="D284" s="55" t="s">
        <v>18</v>
      </c>
      <c r="E284" s="38" t="s">
        <v>16</v>
      </c>
      <c r="F284" s="38" t="s">
        <v>16</v>
      </c>
      <c r="G284" s="39" t="str">
        <f t="shared" si="14"/>
        <v>__</v>
      </c>
      <c r="H284" s="40" t="str">
        <f t="shared" si="15"/>
        <v>FALSE</v>
      </c>
      <c r="I284" s="41">
        <f t="shared" si="16"/>
        <v>0</v>
      </c>
      <c r="J284" s="4" t="s">
        <v>16</v>
      </c>
      <c r="K284" s="43" t="str">
        <f>IF(VLOOKUP(J284,βοηθητικό!$J$2:$N$354,3,FALSE)="","",VLOOKUP(J284,βοηθητικό!$J$2:$N$354,3,FALSE))</f>
        <v>_</v>
      </c>
      <c r="L284" s="44"/>
      <c r="M284" s="5" t="s">
        <v>16</v>
      </c>
      <c r="N284" s="46" t="str">
        <f>IF(VLOOKUP(M284,βοηθητικό!$J$2:$N$354,3,FALSE)="","",VLOOKUP(M284,βοηθητικό!$J$2:$N$354,3,FALSE))</f>
        <v>_</v>
      </c>
      <c r="O284" s="47"/>
      <c r="P284" s="4" t="s">
        <v>16</v>
      </c>
      <c r="Q284" s="43" t="str">
        <f>IF(VLOOKUP(P284,βοηθητικό!$J$2:$N$354,3,FALSE)="","",VLOOKUP(P284,βοηθητικό!$J$2:$N$354,3,FALSE))</f>
        <v>_</v>
      </c>
      <c r="R284" s="44"/>
      <c r="S284" s="5" t="s">
        <v>16</v>
      </c>
      <c r="T284" s="46" t="str">
        <f>IF(VLOOKUP(S284,βοηθητικό!$J$2:$N$354,3,FALSE)="","",VLOOKUP(S284,βοηθητικό!$J$2:$N$354,3,FALSE))</f>
        <v>_</v>
      </c>
      <c r="U284" s="47"/>
      <c r="V284" s="4" t="s">
        <v>16</v>
      </c>
      <c r="W284" s="43" t="str">
        <f>IF(VLOOKUP(V284,βοηθητικό!$J$2:$N$354,3,FALSE)="","",VLOOKUP(V284,βοηθητικό!$J$2:$N$354,3,FALSE))</f>
        <v>_</v>
      </c>
      <c r="X284" s="44"/>
      <c r="Y284" s="5" t="s">
        <v>16</v>
      </c>
      <c r="Z284" s="46" t="str">
        <f>IF(VLOOKUP(Y284,βοηθητικό!$J$2:$N$354,3,FALSE)="","",VLOOKUP(Y284,βοηθητικό!$J$2:$N$354,3,FALSE))</f>
        <v>_</v>
      </c>
      <c r="AA284" s="47"/>
      <c r="AB284" s="4" t="s">
        <v>16</v>
      </c>
      <c r="AC284" s="43" t="str">
        <f>IF(VLOOKUP(AB284,βοηθητικό!$J$2:$N$354,3,FALSE)="","",VLOOKUP(AB284,βοηθητικό!$J$2:$N$354,3,FALSE))</f>
        <v>_</v>
      </c>
      <c r="AD284" s="44"/>
      <c r="AE284" s="5" t="s">
        <v>16</v>
      </c>
      <c r="AF284" s="46" t="str">
        <f>IF(VLOOKUP(AE284,βοηθητικό!$J$2:$N$354,3,FALSE)="","",VLOOKUP(AE284,βοηθητικό!$J$2:$N$354,3,FALSE))</f>
        <v>_</v>
      </c>
      <c r="AG284" s="47"/>
      <c r="AH284" s="4" t="s">
        <v>16</v>
      </c>
      <c r="AI284" s="43" t="str">
        <f>IF(VLOOKUP(AH284,βοηθητικό!$J$2:$N$354,3,FALSE)="","",VLOOKUP(AH284,βοηθητικό!$J$2:$N$354,3,FALSE))</f>
        <v>_</v>
      </c>
      <c r="AJ284" s="44"/>
      <c r="AK284" s="5" t="s">
        <v>16</v>
      </c>
      <c r="AL284" s="46" t="str">
        <f>IF(VLOOKUP(AK284,βοηθητικό!$J$2:$N$354,3,FALSE)="","",VLOOKUP(AK284,βοηθητικό!$J$2:$N$354,3,FALSE))</f>
        <v>_</v>
      </c>
      <c r="AM284" s="47"/>
      <c r="AN284" s="4" t="s">
        <v>16</v>
      </c>
      <c r="AO284" s="43" t="str">
        <f>IF(VLOOKUP(AN284,βοηθητικό!$J$2:$N$354,3,FALSE)="","",VLOOKUP(AN284,βοηθητικό!$J$2:$N$354,3,FALSE))</f>
        <v>_</v>
      </c>
      <c r="AP284" s="44"/>
      <c r="AQ284" s="5" t="s">
        <v>16</v>
      </c>
      <c r="AR284" s="46" t="str">
        <f>IF(VLOOKUP(AQ284,βοηθητικό!$J$2:$N$354,3,FALSE)="","",VLOOKUP(AQ284,βοηθητικό!$J$2:$N$354,3,FALSE))</f>
        <v>_</v>
      </c>
      <c r="AS284" s="47"/>
      <c r="AT284" s="4" t="s">
        <v>16</v>
      </c>
      <c r="AU284" s="43" t="str">
        <f>IF(VLOOKUP(AT284,βοηθητικό!$J$2:$N$354,3,FALSE)="","",VLOOKUP(AT284,βοηθητικό!$J$2:$N$354,3,FALSE))</f>
        <v>_</v>
      </c>
      <c r="AV284" s="44"/>
      <c r="AW284" s="5" t="s">
        <v>16</v>
      </c>
      <c r="AX284" s="46" t="str">
        <f>IF(VLOOKUP(AW284,βοηθητικό!$J$2:$N$354,3,FALSE)="","",VLOOKUP(AW284,βοηθητικό!$J$2:$N$354,3,FALSE))</f>
        <v>_</v>
      </c>
      <c r="AY284" s="47"/>
      <c r="AZ284" s="4" t="s">
        <v>16</v>
      </c>
      <c r="BA284" s="43" t="str">
        <f>IF(VLOOKUP(AZ284,βοηθητικό!$J$2:$N$354,3,FALSE)="","",VLOOKUP(AZ284,βοηθητικό!$J$2:$N$354,3,FALSE))</f>
        <v>_</v>
      </c>
      <c r="BB284" s="44"/>
      <c r="BC284" s="45" t="s">
        <v>16</v>
      </c>
      <c r="BD284" s="46" t="str">
        <f>IF(VLOOKUP(BC284,βοηθητικό!$J$2:$N$354,3,FALSE)="","",VLOOKUP(BC284,βοηθητικό!$J$2:$N$354,3,FALSE))</f>
        <v>_</v>
      </c>
      <c r="BE284" s="47"/>
      <c r="BF284" s="42" t="s">
        <v>16</v>
      </c>
      <c r="BG284" s="43" t="str">
        <f>IF(VLOOKUP(BF284,βοηθητικό!$J$2:$N$354,3,FALSE)="","",VLOOKUP(BF284,βοηθητικό!$J$2:$N$354,3,FALSE))</f>
        <v>_</v>
      </c>
      <c r="BH284" s="44"/>
      <c r="BI284" s="45" t="s">
        <v>16</v>
      </c>
      <c r="BJ284" s="46" t="str">
        <f>IF(VLOOKUP(BI284,βοηθητικό!$J$2:$N$354,3,FALSE)="","",VLOOKUP(BI284,βοηθητικό!$J$2:$N$354,3,FALSE))</f>
        <v>_</v>
      </c>
      <c r="BK284" s="47"/>
      <c r="BL284" s="42" t="s">
        <v>16</v>
      </c>
      <c r="BM284" s="43" t="str">
        <f>IF(VLOOKUP(BL284,βοηθητικό!$J$2:$N$354,3,FALSE)="","",VLOOKUP(BL284,βοηθητικό!$J$2:$N$354,3,FALSE))</f>
        <v>_</v>
      </c>
      <c r="BN284" s="44"/>
      <c r="BO284" s="45" t="s">
        <v>16</v>
      </c>
      <c r="BP284" s="46" t="str">
        <f>IF(VLOOKUP(BO284,βοηθητικό!$J$2:$N$354,3,FALSE)="","",VLOOKUP(BO284,βοηθητικό!$J$2:$N$354,3,FALSE))</f>
        <v>_</v>
      </c>
      <c r="BQ284" s="47"/>
      <c r="BR284" s="42" t="s">
        <v>16</v>
      </c>
      <c r="BS284" s="43" t="str">
        <f>IF(VLOOKUP(BR284,βοηθητικό!$J$2:$N$354,3,FALSE)="","",VLOOKUP(BR284,βοηθητικό!$J$2:$N$354,3,FALSE))</f>
        <v>_</v>
      </c>
      <c r="BT284" s="44"/>
      <c r="BU284" s="45" t="s">
        <v>16</v>
      </c>
      <c r="BV284" s="46" t="str">
        <f>IF(VLOOKUP(BU284,βοηθητικό!$J$2:$N$354,3,FALSE)="","",VLOOKUP(BU284,βοηθητικό!$J$2:$N$354,3,FALSE))</f>
        <v>_</v>
      </c>
      <c r="BW284" s="47"/>
      <c r="BX284" s="42" t="s">
        <v>16</v>
      </c>
      <c r="BY284" s="43" t="str">
        <f>IF(VLOOKUP(BX284,βοηθητικό!$J$2:$N$354,3,FALSE)="","",VLOOKUP(BX284,βοηθητικό!$J$2:$N$354,3,FALSE))</f>
        <v>_</v>
      </c>
      <c r="BZ284" s="44"/>
      <c r="CA284" s="45" t="s">
        <v>16</v>
      </c>
      <c r="CB284" s="46" t="str">
        <f>IF(VLOOKUP(CA284,βοηθητικό!$J$2:$N$354,3,FALSE)="","",VLOOKUP(CA284,βοηθητικό!$J$2:$N$354,3,FALSE))</f>
        <v>_</v>
      </c>
      <c r="CC284" s="47"/>
      <c r="CD284" s="42" t="s">
        <v>16</v>
      </c>
      <c r="CE284" s="43" t="str">
        <f>IF(VLOOKUP(CD284,βοηθητικό!$J$2:$N$354,3,FALSE)="","",VLOOKUP(CD284,βοηθητικό!$J$2:$N$354,3,FALSE))</f>
        <v>_</v>
      </c>
      <c r="CF284" s="44"/>
      <c r="CG284" s="45" t="s">
        <v>16</v>
      </c>
      <c r="CH284" s="46" t="str">
        <f>IF(VLOOKUP(CG284,βοηθητικό!$J$2:$N$354,3,FALSE)="","",VLOOKUP(CG284,βοηθητικό!$J$2:$N$354,3,FALSE))</f>
        <v>_</v>
      </c>
      <c r="CI284" s="47"/>
      <c r="CJ284" s="42" t="s">
        <v>16</v>
      </c>
      <c r="CK284" s="43" t="str">
        <f>IF(VLOOKUP(CJ284,βοηθητικό!$J$2:$N$354,3,FALSE)="","",VLOOKUP(CJ284,βοηθητικό!$J$2:$N$354,3,FALSE))</f>
        <v>_</v>
      </c>
      <c r="CL284" s="44"/>
      <c r="CM284" s="45" t="s">
        <v>16</v>
      </c>
      <c r="CN284" s="46" t="str">
        <f>IF(VLOOKUP(CM284,βοηθητικό!$J$2:$N$354,3,FALSE)="","",VLOOKUP(CM284,βοηθητικό!$J$2:$N$354,3,FALSE))</f>
        <v>_</v>
      </c>
      <c r="CO284" s="47"/>
      <c r="CP284" s="42" t="s">
        <v>16</v>
      </c>
      <c r="CQ284" s="43" t="str">
        <f>IF(VLOOKUP(CP284,βοηθητικό!$J$2:$N$354,3,FALSE)="","",VLOOKUP(CP284,βοηθητικό!$J$2:$N$354,3,FALSE))</f>
        <v>_</v>
      </c>
      <c r="CR284" s="44"/>
      <c r="CS284" s="45" t="s">
        <v>16</v>
      </c>
      <c r="CT284" s="46" t="str">
        <f>IF(VLOOKUP(CS284,βοηθητικό!$J$2:$N$354,3,FALSE)="","",VLOOKUP(CS284,βοηθητικό!$J$2:$N$354,3,FALSE))</f>
        <v>_</v>
      </c>
      <c r="CU284" s="47"/>
    </row>
    <row r="285" spans="1:99" x14ac:dyDescent="0.25">
      <c r="A285" s="37">
        <f>--SUBTOTAL(3,$B$3:B284)</f>
        <v>198</v>
      </c>
      <c r="B285" s="2"/>
      <c r="C285" s="3"/>
      <c r="D285" s="55" t="s">
        <v>18</v>
      </c>
      <c r="E285" s="38" t="s">
        <v>16</v>
      </c>
      <c r="F285" s="38" t="s">
        <v>16</v>
      </c>
      <c r="G285" s="39" t="str">
        <f t="shared" si="14"/>
        <v>__</v>
      </c>
      <c r="H285" s="40" t="str">
        <f t="shared" si="15"/>
        <v>FALSE</v>
      </c>
      <c r="I285" s="41">
        <f t="shared" si="16"/>
        <v>0</v>
      </c>
      <c r="J285" s="4" t="s">
        <v>16</v>
      </c>
      <c r="K285" s="43" t="str">
        <f>IF(VLOOKUP(J285,βοηθητικό!$J$2:$N$354,3,FALSE)="","",VLOOKUP(J285,βοηθητικό!$J$2:$N$354,3,FALSE))</f>
        <v>_</v>
      </c>
      <c r="L285" s="44"/>
      <c r="M285" s="5" t="s">
        <v>16</v>
      </c>
      <c r="N285" s="46" t="str">
        <f>IF(VLOOKUP(M285,βοηθητικό!$J$2:$N$354,3,FALSE)="","",VLOOKUP(M285,βοηθητικό!$J$2:$N$354,3,FALSE))</f>
        <v>_</v>
      </c>
      <c r="O285" s="47"/>
      <c r="P285" s="4" t="s">
        <v>16</v>
      </c>
      <c r="Q285" s="43" t="str">
        <f>IF(VLOOKUP(P285,βοηθητικό!$J$2:$N$354,3,FALSE)="","",VLOOKUP(P285,βοηθητικό!$J$2:$N$354,3,FALSE))</f>
        <v>_</v>
      </c>
      <c r="R285" s="44"/>
      <c r="S285" s="5" t="s">
        <v>16</v>
      </c>
      <c r="T285" s="46" t="str">
        <f>IF(VLOOKUP(S285,βοηθητικό!$J$2:$N$354,3,FALSE)="","",VLOOKUP(S285,βοηθητικό!$J$2:$N$354,3,FALSE))</f>
        <v>_</v>
      </c>
      <c r="U285" s="47"/>
      <c r="V285" s="4" t="s">
        <v>16</v>
      </c>
      <c r="W285" s="43" t="str">
        <f>IF(VLOOKUP(V285,βοηθητικό!$J$2:$N$354,3,FALSE)="","",VLOOKUP(V285,βοηθητικό!$J$2:$N$354,3,FALSE))</f>
        <v>_</v>
      </c>
      <c r="X285" s="44"/>
      <c r="Y285" s="5" t="s">
        <v>16</v>
      </c>
      <c r="Z285" s="46" t="str">
        <f>IF(VLOOKUP(Y285,βοηθητικό!$J$2:$N$354,3,FALSE)="","",VLOOKUP(Y285,βοηθητικό!$J$2:$N$354,3,FALSE))</f>
        <v>_</v>
      </c>
      <c r="AA285" s="47"/>
      <c r="AB285" s="4" t="s">
        <v>16</v>
      </c>
      <c r="AC285" s="43" t="str">
        <f>IF(VLOOKUP(AB285,βοηθητικό!$J$2:$N$354,3,FALSE)="","",VLOOKUP(AB285,βοηθητικό!$J$2:$N$354,3,FALSE))</f>
        <v>_</v>
      </c>
      <c r="AD285" s="44"/>
      <c r="AE285" s="5" t="s">
        <v>16</v>
      </c>
      <c r="AF285" s="46" t="str">
        <f>IF(VLOOKUP(AE285,βοηθητικό!$J$2:$N$354,3,FALSE)="","",VLOOKUP(AE285,βοηθητικό!$J$2:$N$354,3,FALSE))</f>
        <v>_</v>
      </c>
      <c r="AG285" s="47"/>
      <c r="AH285" s="4" t="s">
        <v>16</v>
      </c>
      <c r="AI285" s="43" t="str">
        <f>IF(VLOOKUP(AH285,βοηθητικό!$J$2:$N$354,3,FALSE)="","",VLOOKUP(AH285,βοηθητικό!$J$2:$N$354,3,FALSE))</f>
        <v>_</v>
      </c>
      <c r="AJ285" s="44"/>
      <c r="AK285" s="5" t="s">
        <v>16</v>
      </c>
      <c r="AL285" s="46" t="str">
        <f>IF(VLOOKUP(AK285,βοηθητικό!$J$2:$N$354,3,FALSE)="","",VLOOKUP(AK285,βοηθητικό!$J$2:$N$354,3,FALSE))</f>
        <v>_</v>
      </c>
      <c r="AM285" s="47"/>
      <c r="AN285" s="4" t="s">
        <v>16</v>
      </c>
      <c r="AO285" s="43" t="str">
        <f>IF(VLOOKUP(AN285,βοηθητικό!$J$2:$N$354,3,FALSE)="","",VLOOKUP(AN285,βοηθητικό!$J$2:$N$354,3,FALSE))</f>
        <v>_</v>
      </c>
      <c r="AP285" s="44"/>
      <c r="AQ285" s="5" t="s">
        <v>16</v>
      </c>
      <c r="AR285" s="46" t="str">
        <f>IF(VLOOKUP(AQ285,βοηθητικό!$J$2:$N$354,3,FALSE)="","",VLOOKUP(AQ285,βοηθητικό!$J$2:$N$354,3,FALSE))</f>
        <v>_</v>
      </c>
      <c r="AS285" s="47"/>
      <c r="AT285" s="4" t="s">
        <v>16</v>
      </c>
      <c r="AU285" s="43" t="str">
        <f>IF(VLOOKUP(AT285,βοηθητικό!$J$2:$N$354,3,FALSE)="","",VLOOKUP(AT285,βοηθητικό!$J$2:$N$354,3,FALSE))</f>
        <v>_</v>
      </c>
      <c r="AV285" s="44"/>
      <c r="AW285" s="5" t="s">
        <v>16</v>
      </c>
      <c r="AX285" s="46" t="str">
        <f>IF(VLOOKUP(AW285,βοηθητικό!$J$2:$N$354,3,FALSE)="","",VLOOKUP(AW285,βοηθητικό!$J$2:$N$354,3,FALSE))</f>
        <v>_</v>
      </c>
      <c r="AY285" s="47"/>
      <c r="AZ285" s="4" t="s">
        <v>16</v>
      </c>
      <c r="BA285" s="43" t="str">
        <f>IF(VLOOKUP(AZ285,βοηθητικό!$J$2:$N$354,3,FALSE)="","",VLOOKUP(AZ285,βοηθητικό!$J$2:$N$354,3,FALSE))</f>
        <v>_</v>
      </c>
      <c r="BB285" s="44"/>
      <c r="BC285" s="45" t="s">
        <v>16</v>
      </c>
      <c r="BD285" s="46" t="str">
        <f>IF(VLOOKUP(BC285,βοηθητικό!$J$2:$N$354,3,FALSE)="","",VLOOKUP(BC285,βοηθητικό!$J$2:$N$354,3,FALSE))</f>
        <v>_</v>
      </c>
      <c r="BE285" s="47"/>
      <c r="BF285" s="42" t="s">
        <v>16</v>
      </c>
      <c r="BG285" s="43" t="str">
        <f>IF(VLOOKUP(BF285,βοηθητικό!$J$2:$N$354,3,FALSE)="","",VLOOKUP(BF285,βοηθητικό!$J$2:$N$354,3,FALSE))</f>
        <v>_</v>
      </c>
      <c r="BH285" s="44"/>
      <c r="BI285" s="45" t="s">
        <v>16</v>
      </c>
      <c r="BJ285" s="46" t="str">
        <f>IF(VLOOKUP(BI285,βοηθητικό!$J$2:$N$354,3,FALSE)="","",VLOOKUP(BI285,βοηθητικό!$J$2:$N$354,3,FALSE))</f>
        <v>_</v>
      </c>
      <c r="BK285" s="47"/>
      <c r="BL285" s="42" t="s">
        <v>16</v>
      </c>
      <c r="BM285" s="43" t="str">
        <f>IF(VLOOKUP(BL285,βοηθητικό!$J$2:$N$354,3,FALSE)="","",VLOOKUP(BL285,βοηθητικό!$J$2:$N$354,3,FALSE))</f>
        <v>_</v>
      </c>
      <c r="BN285" s="44"/>
      <c r="BO285" s="45" t="s">
        <v>16</v>
      </c>
      <c r="BP285" s="46" t="str">
        <f>IF(VLOOKUP(BO285,βοηθητικό!$J$2:$N$354,3,FALSE)="","",VLOOKUP(BO285,βοηθητικό!$J$2:$N$354,3,FALSE))</f>
        <v>_</v>
      </c>
      <c r="BQ285" s="47"/>
      <c r="BR285" s="42" t="s">
        <v>16</v>
      </c>
      <c r="BS285" s="43" t="str">
        <f>IF(VLOOKUP(BR285,βοηθητικό!$J$2:$N$354,3,FALSE)="","",VLOOKUP(BR285,βοηθητικό!$J$2:$N$354,3,FALSE))</f>
        <v>_</v>
      </c>
      <c r="BT285" s="44"/>
      <c r="BU285" s="45" t="s">
        <v>16</v>
      </c>
      <c r="BV285" s="46" t="str">
        <f>IF(VLOOKUP(BU285,βοηθητικό!$J$2:$N$354,3,FALSE)="","",VLOOKUP(BU285,βοηθητικό!$J$2:$N$354,3,FALSE))</f>
        <v>_</v>
      </c>
      <c r="BW285" s="47"/>
      <c r="BX285" s="42" t="s">
        <v>16</v>
      </c>
      <c r="BY285" s="43" t="str">
        <f>IF(VLOOKUP(BX285,βοηθητικό!$J$2:$N$354,3,FALSE)="","",VLOOKUP(BX285,βοηθητικό!$J$2:$N$354,3,FALSE))</f>
        <v>_</v>
      </c>
      <c r="BZ285" s="44"/>
      <c r="CA285" s="45" t="s">
        <v>16</v>
      </c>
      <c r="CB285" s="46" t="str">
        <f>IF(VLOOKUP(CA285,βοηθητικό!$J$2:$N$354,3,FALSE)="","",VLOOKUP(CA285,βοηθητικό!$J$2:$N$354,3,FALSE))</f>
        <v>_</v>
      </c>
      <c r="CC285" s="47"/>
      <c r="CD285" s="42" t="s">
        <v>16</v>
      </c>
      <c r="CE285" s="43" t="str">
        <f>IF(VLOOKUP(CD285,βοηθητικό!$J$2:$N$354,3,FALSE)="","",VLOOKUP(CD285,βοηθητικό!$J$2:$N$354,3,FALSE))</f>
        <v>_</v>
      </c>
      <c r="CF285" s="44"/>
      <c r="CG285" s="45" t="s">
        <v>16</v>
      </c>
      <c r="CH285" s="46" t="str">
        <f>IF(VLOOKUP(CG285,βοηθητικό!$J$2:$N$354,3,FALSE)="","",VLOOKUP(CG285,βοηθητικό!$J$2:$N$354,3,FALSE))</f>
        <v>_</v>
      </c>
      <c r="CI285" s="47"/>
      <c r="CJ285" s="42" t="s">
        <v>16</v>
      </c>
      <c r="CK285" s="43" t="str">
        <f>IF(VLOOKUP(CJ285,βοηθητικό!$J$2:$N$354,3,FALSE)="","",VLOOKUP(CJ285,βοηθητικό!$J$2:$N$354,3,FALSE))</f>
        <v>_</v>
      </c>
      <c r="CL285" s="44"/>
      <c r="CM285" s="45" t="s">
        <v>16</v>
      </c>
      <c r="CN285" s="46" t="str">
        <f>IF(VLOOKUP(CM285,βοηθητικό!$J$2:$N$354,3,FALSE)="","",VLOOKUP(CM285,βοηθητικό!$J$2:$N$354,3,FALSE))</f>
        <v>_</v>
      </c>
      <c r="CO285" s="47"/>
      <c r="CP285" s="42" t="s">
        <v>16</v>
      </c>
      <c r="CQ285" s="43" t="str">
        <f>IF(VLOOKUP(CP285,βοηθητικό!$J$2:$N$354,3,FALSE)="","",VLOOKUP(CP285,βοηθητικό!$J$2:$N$354,3,FALSE))</f>
        <v>_</v>
      </c>
      <c r="CR285" s="44"/>
      <c r="CS285" s="45" t="s">
        <v>16</v>
      </c>
      <c r="CT285" s="46" t="str">
        <f>IF(VLOOKUP(CS285,βοηθητικό!$J$2:$N$354,3,FALSE)="","",VLOOKUP(CS285,βοηθητικό!$J$2:$N$354,3,FALSE))</f>
        <v>_</v>
      </c>
      <c r="CU285" s="47"/>
    </row>
    <row r="286" spans="1:99" x14ac:dyDescent="0.25">
      <c r="A286" s="37">
        <f>--SUBTOTAL(3,$B$3:B285)</f>
        <v>198</v>
      </c>
      <c r="B286" s="2"/>
      <c r="C286" s="3"/>
      <c r="D286" s="55" t="s">
        <v>18</v>
      </c>
      <c r="E286" s="38" t="s">
        <v>16</v>
      </c>
      <c r="F286" s="38" t="s">
        <v>16</v>
      </c>
      <c r="G286" s="39" t="str">
        <f t="shared" si="14"/>
        <v>__</v>
      </c>
      <c r="H286" s="40" t="str">
        <f t="shared" si="15"/>
        <v>FALSE</v>
      </c>
      <c r="I286" s="41">
        <f t="shared" si="16"/>
        <v>0</v>
      </c>
      <c r="J286" s="4" t="s">
        <v>16</v>
      </c>
      <c r="K286" s="43" t="str">
        <f>IF(VLOOKUP(J286,βοηθητικό!$J$2:$N$354,3,FALSE)="","",VLOOKUP(J286,βοηθητικό!$J$2:$N$354,3,FALSE))</f>
        <v>_</v>
      </c>
      <c r="L286" s="44"/>
      <c r="M286" s="5" t="s">
        <v>16</v>
      </c>
      <c r="N286" s="46" t="str">
        <f>IF(VLOOKUP(M286,βοηθητικό!$J$2:$N$354,3,FALSE)="","",VLOOKUP(M286,βοηθητικό!$J$2:$N$354,3,FALSE))</f>
        <v>_</v>
      </c>
      <c r="O286" s="47"/>
      <c r="P286" s="4" t="s">
        <v>16</v>
      </c>
      <c r="Q286" s="43" t="str">
        <f>IF(VLOOKUP(P286,βοηθητικό!$J$2:$N$354,3,FALSE)="","",VLOOKUP(P286,βοηθητικό!$J$2:$N$354,3,FALSE))</f>
        <v>_</v>
      </c>
      <c r="R286" s="44"/>
      <c r="S286" s="5" t="s">
        <v>16</v>
      </c>
      <c r="T286" s="46" t="str">
        <f>IF(VLOOKUP(S286,βοηθητικό!$J$2:$N$354,3,FALSE)="","",VLOOKUP(S286,βοηθητικό!$J$2:$N$354,3,FALSE))</f>
        <v>_</v>
      </c>
      <c r="U286" s="47"/>
      <c r="V286" s="4" t="s">
        <v>16</v>
      </c>
      <c r="W286" s="43" t="str">
        <f>IF(VLOOKUP(V286,βοηθητικό!$J$2:$N$354,3,FALSE)="","",VLOOKUP(V286,βοηθητικό!$J$2:$N$354,3,FALSE))</f>
        <v>_</v>
      </c>
      <c r="X286" s="44"/>
      <c r="Y286" s="5" t="s">
        <v>16</v>
      </c>
      <c r="Z286" s="46" t="str">
        <f>IF(VLOOKUP(Y286,βοηθητικό!$J$2:$N$354,3,FALSE)="","",VLOOKUP(Y286,βοηθητικό!$J$2:$N$354,3,FALSE))</f>
        <v>_</v>
      </c>
      <c r="AA286" s="47"/>
      <c r="AB286" s="4" t="s">
        <v>16</v>
      </c>
      <c r="AC286" s="43" t="str">
        <f>IF(VLOOKUP(AB286,βοηθητικό!$J$2:$N$354,3,FALSE)="","",VLOOKUP(AB286,βοηθητικό!$J$2:$N$354,3,FALSE))</f>
        <v>_</v>
      </c>
      <c r="AD286" s="44"/>
      <c r="AE286" s="5" t="s">
        <v>16</v>
      </c>
      <c r="AF286" s="46" t="str">
        <f>IF(VLOOKUP(AE286,βοηθητικό!$J$2:$N$354,3,FALSE)="","",VLOOKUP(AE286,βοηθητικό!$J$2:$N$354,3,FALSE))</f>
        <v>_</v>
      </c>
      <c r="AG286" s="47"/>
      <c r="AH286" s="4" t="s">
        <v>16</v>
      </c>
      <c r="AI286" s="43" t="str">
        <f>IF(VLOOKUP(AH286,βοηθητικό!$J$2:$N$354,3,FALSE)="","",VLOOKUP(AH286,βοηθητικό!$J$2:$N$354,3,FALSE))</f>
        <v>_</v>
      </c>
      <c r="AJ286" s="44"/>
      <c r="AK286" s="5" t="s">
        <v>16</v>
      </c>
      <c r="AL286" s="46" t="str">
        <f>IF(VLOOKUP(AK286,βοηθητικό!$J$2:$N$354,3,FALSE)="","",VLOOKUP(AK286,βοηθητικό!$J$2:$N$354,3,FALSE))</f>
        <v>_</v>
      </c>
      <c r="AM286" s="47"/>
      <c r="AN286" s="4" t="s">
        <v>16</v>
      </c>
      <c r="AO286" s="43" t="str">
        <f>IF(VLOOKUP(AN286,βοηθητικό!$J$2:$N$354,3,FALSE)="","",VLOOKUP(AN286,βοηθητικό!$J$2:$N$354,3,FALSE))</f>
        <v>_</v>
      </c>
      <c r="AP286" s="44"/>
      <c r="AQ286" s="5" t="s">
        <v>16</v>
      </c>
      <c r="AR286" s="46" t="str">
        <f>IF(VLOOKUP(AQ286,βοηθητικό!$J$2:$N$354,3,FALSE)="","",VLOOKUP(AQ286,βοηθητικό!$J$2:$N$354,3,FALSE))</f>
        <v>_</v>
      </c>
      <c r="AS286" s="47"/>
      <c r="AT286" s="4" t="s">
        <v>16</v>
      </c>
      <c r="AU286" s="43" t="str">
        <f>IF(VLOOKUP(AT286,βοηθητικό!$J$2:$N$354,3,FALSE)="","",VLOOKUP(AT286,βοηθητικό!$J$2:$N$354,3,FALSE))</f>
        <v>_</v>
      </c>
      <c r="AV286" s="44"/>
      <c r="AW286" s="5" t="s">
        <v>16</v>
      </c>
      <c r="AX286" s="46" t="str">
        <f>IF(VLOOKUP(AW286,βοηθητικό!$J$2:$N$354,3,FALSE)="","",VLOOKUP(AW286,βοηθητικό!$J$2:$N$354,3,FALSE))</f>
        <v>_</v>
      </c>
      <c r="AY286" s="47"/>
      <c r="AZ286" s="4" t="s">
        <v>16</v>
      </c>
      <c r="BA286" s="43" t="str">
        <f>IF(VLOOKUP(AZ286,βοηθητικό!$J$2:$N$354,3,FALSE)="","",VLOOKUP(AZ286,βοηθητικό!$J$2:$N$354,3,FALSE))</f>
        <v>_</v>
      </c>
      <c r="BB286" s="44"/>
      <c r="BC286" s="45" t="s">
        <v>16</v>
      </c>
      <c r="BD286" s="46" t="str">
        <f>IF(VLOOKUP(BC286,βοηθητικό!$J$2:$N$354,3,FALSE)="","",VLOOKUP(BC286,βοηθητικό!$J$2:$N$354,3,FALSE))</f>
        <v>_</v>
      </c>
      <c r="BE286" s="47"/>
      <c r="BF286" s="42" t="s">
        <v>16</v>
      </c>
      <c r="BG286" s="43" t="str">
        <f>IF(VLOOKUP(BF286,βοηθητικό!$J$2:$N$354,3,FALSE)="","",VLOOKUP(BF286,βοηθητικό!$J$2:$N$354,3,FALSE))</f>
        <v>_</v>
      </c>
      <c r="BH286" s="44"/>
      <c r="BI286" s="45" t="s">
        <v>16</v>
      </c>
      <c r="BJ286" s="46" t="str">
        <f>IF(VLOOKUP(BI286,βοηθητικό!$J$2:$N$354,3,FALSE)="","",VLOOKUP(BI286,βοηθητικό!$J$2:$N$354,3,FALSE))</f>
        <v>_</v>
      </c>
      <c r="BK286" s="47"/>
      <c r="BL286" s="42" t="s">
        <v>16</v>
      </c>
      <c r="BM286" s="43" t="str">
        <f>IF(VLOOKUP(BL286,βοηθητικό!$J$2:$N$354,3,FALSE)="","",VLOOKUP(BL286,βοηθητικό!$J$2:$N$354,3,FALSE))</f>
        <v>_</v>
      </c>
      <c r="BN286" s="44"/>
      <c r="BO286" s="45" t="s">
        <v>16</v>
      </c>
      <c r="BP286" s="46" t="str">
        <f>IF(VLOOKUP(BO286,βοηθητικό!$J$2:$N$354,3,FALSE)="","",VLOOKUP(BO286,βοηθητικό!$J$2:$N$354,3,FALSE))</f>
        <v>_</v>
      </c>
      <c r="BQ286" s="47"/>
      <c r="BR286" s="42" t="s">
        <v>16</v>
      </c>
      <c r="BS286" s="43" t="str">
        <f>IF(VLOOKUP(BR286,βοηθητικό!$J$2:$N$354,3,FALSE)="","",VLOOKUP(BR286,βοηθητικό!$J$2:$N$354,3,FALSE))</f>
        <v>_</v>
      </c>
      <c r="BT286" s="44"/>
      <c r="BU286" s="45" t="s">
        <v>16</v>
      </c>
      <c r="BV286" s="46" t="str">
        <f>IF(VLOOKUP(BU286,βοηθητικό!$J$2:$N$354,3,FALSE)="","",VLOOKUP(BU286,βοηθητικό!$J$2:$N$354,3,FALSE))</f>
        <v>_</v>
      </c>
      <c r="BW286" s="47"/>
      <c r="BX286" s="42" t="s">
        <v>16</v>
      </c>
      <c r="BY286" s="43" t="str">
        <f>IF(VLOOKUP(BX286,βοηθητικό!$J$2:$N$354,3,FALSE)="","",VLOOKUP(BX286,βοηθητικό!$J$2:$N$354,3,FALSE))</f>
        <v>_</v>
      </c>
      <c r="BZ286" s="44"/>
      <c r="CA286" s="45" t="s">
        <v>16</v>
      </c>
      <c r="CB286" s="46" t="str">
        <f>IF(VLOOKUP(CA286,βοηθητικό!$J$2:$N$354,3,FALSE)="","",VLOOKUP(CA286,βοηθητικό!$J$2:$N$354,3,FALSE))</f>
        <v>_</v>
      </c>
      <c r="CC286" s="47"/>
      <c r="CD286" s="42" t="s">
        <v>16</v>
      </c>
      <c r="CE286" s="43" t="str">
        <f>IF(VLOOKUP(CD286,βοηθητικό!$J$2:$N$354,3,FALSE)="","",VLOOKUP(CD286,βοηθητικό!$J$2:$N$354,3,FALSE))</f>
        <v>_</v>
      </c>
      <c r="CF286" s="44"/>
      <c r="CG286" s="45" t="s">
        <v>16</v>
      </c>
      <c r="CH286" s="46" t="str">
        <f>IF(VLOOKUP(CG286,βοηθητικό!$J$2:$N$354,3,FALSE)="","",VLOOKUP(CG286,βοηθητικό!$J$2:$N$354,3,FALSE))</f>
        <v>_</v>
      </c>
      <c r="CI286" s="47"/>
      <c r="CJ286" s="42" t="s">
        <v>16</v>
      </c>
      <c r="CK286" s="43" t="str">
        <f>IF(VLOOKUP(CJ286,βοηθητικό!$J$2:$N$354,3,FALSE)="","",VLOOKUP(CJ286,βοηθητικό!$J$2:$N$354,3,FALSE))</f>
        <v>_</v>
      </c>
      <c r="CL286" s="44"/>
      <c r="CM286" s="45" t="s">
        <v>16</v>
      </c>
      <c r="CN286" s="46" t="str">
        <f>IF(VLOOKUP(CM286,βοηθητικό!$J$2:$N$354,3,FALSE)="","",VLOOKUP(CM286,βοηθητικό!$J$2:$N$354,3,FALSE))</f>
        <v>_</v>
      </c>
      <c r="CO286" s="47"/>
      <c r="CP286" s="42" t="s">
        <v>16</v>
      </c>
      <c r="CQ286" s="43" t="str">
        <f>IF(VLOOKUP(CP286,βοηθητικό!$J$2:$N$354,3,FALSE)="","",VLOOKUP(CP286,βοηθητικό!$J$2:$N$354,3,FALSE))</f>
        <v>_</v>
      </c>
      <c r="CR286" s="44"/>
      <c r="CS286" s="45" t="s">
        <v>16</v>
      </c>
      <c r="CT286" s="46" t="str">
        <f>IF(VLOOKUP(CS286,βοηθητικό!$J$2:$N$354,3,FALSE)="","",VLOOKUP(CS286,βοηθητικό!$J$2:$N$354,3,FALSE))</f>
        <v>_</v>
      </c>
      <c r="CU286" s="47"/>
    </row>
    <row r="287" spans="1:99" x14ac:dyDescent="0.25">
      <c r="A287" s="37">
        <f>--SUBTOTAL(3,$B$3:B286)</f>
        <v>198</v>
      </c>
      <c r="B287" s="2"/>
      <c r="C287" s="3"/>
      <c r="D287" s="55" t="s">
        <v>18</v>
      </c>
      <c r="E287" s="38" t="s">
        <v>16</v>
      </c>
      <c r="F287" s="38" t="s">
        <v>16</v>
      </c>
      <c r="G287" s="39" t="str">
        <f t="shared" si="14"/>
        <v>__</v>
      </c>
      <c r="H287" s="40" t="str">
        <f t="shared" si="15"/>
        <v>FALSE</v>
      </c>
      <c r="I287" s="41">
        <f t="shared" si="16"/>
        <v>0</v>
      </c>
      <c r="J287" s="4" t="s">
        <v>16</v>
      </c>
      <c r="K287" s="43" t="str">
        <f>IF(VLOOKUP(J287,βοηθητικό!$J$2:$N$354,3,FALSE)="","",VLOOKUP(J287,βοηθητικό!$J$2:$N$354,3,FALSE))</f>
        <v>_</v>
      </c>
      <c r="L287" s="44"/>
      <c r="M287" s="5" t="s">
        <v>16</v>
      </c>
      <c r="N287" s="46" t="str">
        <f>IF(VLOOKUP(M287,βοηθητικό!$J$2:$N$354,3,FALSE)="","",VLOOKUP(M287,βοηθητικό!$J$2:$N$354,3,FALSE))</f>
        <v>_</v>
      </c>
      <c r="O287" s="47"/>
      <c r="P287" s="4" t="s">
        <v>16</v>
      </c>
      <c r="Q287" s="43" t="str">
        <f>IF(VLOOKUP(P287,βοηθητικό!$J$2:$N$354,3,FALSE)="","",VLOOKUP(P287,βοηθητικό!$J$2:$N$354,3,FALSE))</f>
        <v>_</v>
      </c>
      <c r="R287" s="44"/>
      <c r="S287" s="5" t="s">
        <v>16</v>
      </c>
      <c r="T287" s="46" t="str">
        <f>IF(VLOOKUP(S287,βοηθητικό!$J$2:$N$354,3,FALSE)="","",VLOOKUP(S287,βοηθητικό!$J$2:$N$354,3,FALSE))</f>
        <v>_</v>
      </c>
      <c r="U287" s="47"/>
      <c r="V287" s="4" t="s">
        <v>16</v>
      </c>
      <c r="W287" s="43" t="str">
        <f>IF(VLOOKUP(V287,βοηθητικό!$J$2:$N$354,3,FALSE)="","",VLOOKUP(V287,βοηθητικό!$J$2:$N$354,3,FALSE))</f>
        <v>_</v>
      </c>
      <c r="X287" s="44"/>
      <c r="Y287" s="5" t="s">
        <v>16</v>
      </c>
      <c r="Z287" s="46" t="str">
        <f>IF(VLOOKUP(Y287,βοηθητικό!$J$2:$N$354,3,FALSE)="","",VLOOKUP(Y287,βοηθητικό!$J$2:$N$354,3,FALSE))</f>
        <v>_</v>
      </c>
      <c r="AA287" s="47"/>
      <c r="AB287" s="4" t="s">
        <v>16</v>
      </c>
      <c r="AC287" s="43" t="str">
        <f>IF(VLOOKUP(AB287,βοηθητικό!$J$2:$N$354,3,FALSE)="","",VLOOKUP(AB287,βοηθητικό!$J$2:$N$354,3,FALSE))</f>
        <v>_</v>
      </c>
      <c r="AD287" s="44"/>
      <c r="AE287" s="5" t="s">
        <v>16</v>
      </c>
      <c r="AF287" s="46" t="str">
        <f>IF(VLOOKUP(AE287,βοηθητικό!$J$2:$N$354,3,FALSE)="","",VLOOKUP(AE287,βοηθητικό!$J$2:$N$354,3,FALSE))</f>
        <v>_</v>
      </c>
      <c r="AG287" s="47"/>
      <c r="AH287" s="4" t="s">
        <v>16</v>
      </c>
      <c r="AI287" s="43" t="str">
        <f>IF(VLOOKUP(AH287,βοηθητικό!$J$2:$N$354,3,FALSE)="","",VLOOKUP(AH287,βοηθητικό!$J$2:$N$354,3,FALSE))</f>
        <v>_</v>
      </c>
      <c r="AJ287" s="44"/>
      <c r="AK287" s="5" t="s">
        <v>16</v>
      </c>
      <c r="AL287" s="46" t="str">
        <f>IF(VLOOKUP(AK287,βοηθητικό!$J$2:$N$354,3,FALSE)="","",VLOOKUP(AK287,βοηθητικό!$J$2:$N$354,3,FALSE))</f>
        <v>_</v>
      </c>
      <c r="AM287" s="47"/>
      <c r="AN287" s="4" t="s">
        <v>16</v>
      </c>
      <c r="AO287" s="43" t="str">
        <f>IF(VLOOKUP(AN287,βοηθητικό!$J$2:$N$354,3,FALSE)="","",VLOOKUP(AN287,βοηθητικό!$J$2:$N$354,3,FALSE))</f>
        <v>_</v>
      </c>
      <c r="AP287" s="44"/>
      <c r="AQ287" s="5" t="s">
        <v>16</v>
      </c>
      <c r="AR287" s="46" t="str">
        <f>IF(VLOOKUP(AQ287,βοηθητικό!$J$2:$N$354,3,FALSE)="","",VLOOKUP(AQ287,βοηθητικό!$J$2:$N$354,3,FALSE))</f>
        <v>_</v>
      </c>
      <c r="AS287" s="47"/>
      <c r="AT287" s="4" t="s">
        <v>16</v>
      </c>
      <c r="AU287" s="43" t="str">
        <f>IF(VLOOKUP(AT287,βοηθητικό!$J$2:$N$354,3,FALSE)="","",VLOOKUP(AT287,βοηθητικό!$J$2:$N$354,3,FALSE))</f>
        <v>_</v>
      </c>
      <c r="AV287" s="44"/>
      <c r="AW287" s="5" t="s">
        <v>16</v>
      </c>
      <c r="AX287" s="46" t="str">
        <f>IF(VLOOKUP(AW287,βοηθητικό!$J$2:$N$354,3,FALSE)="","",VLOOKUP(AW287,βοηθητικό!$J$2:$N$354,3,FALSE))</f>
        <v>_</v>
      </c>
      <c r="AY287" s="47"/>
      <c r="AZ287" s="4" t="s">
        <v>16</v>
      </c>
      <c r="BA287" s="43" t="str">
        <f>IF(VLOOKUP(AZ287,βοηθητικό!$J$2:$N$354,3,FALSE)="","",VLOOKUP(AZ287,βοηθητικό!$J$2:$N$354,3,FALSE))</f>
        <v>_</v>
      </c>
      <c r="BB287" s="44"/>
      <c r="BC287" s="45" t="s">
        <v>16</v>
      </c>
      <c r="BD287" s="46" t="str">
        <f>IF(VLOOKUP(BC287,βοηθητικό!$J$2:$N$354,3,FALSE)="","",VLOOKUP(BC287,βοηθητικό!$J$2:$N$354,3,FALSE))</f>
        <v>_</v>
      </c>
      <c r="BE287" s="47"/>
      <c r="BF287" s="42" t="s">
        <v>16</v>
      </c>
      <c r="BG287" s="43" t="str">
        <f>IF(VLOOKUP(BF287,βοηθητικό!$J$2:$N$354,3,FALSE)="","",VLOOKUP(BF287,βοηθητικό!$J$2:$N$354,3,FALSE))</f>
        <v>_</v>
      </c>
      <c r="BH287" s="44"/>
      <c r="BI287" s="45" t="s">
        <v>16</v>
      </c>
      <c r="BJ287" s="46" t="str">
        <f>IF(VLOOKUP(BI287,βοηθητικό!$J$2:$N$354,3,FALSE)="","",VLOOKUP(BI287,βοηθητικό!$J$2:$N$354,3,FALSE))</f>
        <v>_</v>
      </c>
      <c r="BK287" s="47"/>
      <c r="BL287" s="42" t="s">
        <v>16</v>
      </c>
      <c r="BM287" s="43" t="str">
        <f>IF(VLOOKUP(BL287,βοηθητικό!$J$2:$N$354,3,FALSE)="","",VLOOKUP(BL287,βοηθητικό!$J$2:$N$354,3,FALSE))</f>
        <v>_</v>
      </c>
      <c r="BN287" s="44"/>
      <c r="BO287" s="45" t="s">
        <v>16</v>
      </c>
      <c r="BP287" s="46" t="str">
        <f>IF(VLOOKUP(BO287,βοηθητικό!$J$2:$N$354,3,FALSE)="","",VLOOKUP(BO287,βοηθητικό!$J$2:$N$354,3,FALSE))</f>
        <v>_</v>
      </c>
      <c r="BQ287" s="47"/>
      <c r="BR287" s="42" t="s">
        <v>16</v>
      </c>
      <c r="BS287" s="43" t="str">
        <f>IF(VLOOKUP(BR287,βοηθητικό!$J$2:$N$354,3,FALSE)="","",VLOOKUP(BR287,βοηθητικό!$J$2:$N$354,3,FALSE))</f>
        <v>_</v>
      </c>
      <c r="BT287" s="44"/>
      <c r="BU287" s="45" t="s">
        <v>16</v>
      </c>
      <c r="BV287" s="46" t="str">
        <f>IF(VLOOKUP(BU287,βοηθητικό!$J$2:$N$354,3,FALSE)="","",VLOOKUP(BU287,βοηθητικό!$J$2:$N$354,3,FALSE))</f>
        <v>_</v>
      </c>
      <c r="BW287" s="47"/>
      <c r="BX287" s="42" t="s">
        <v>16</v>
      </c>
      <c r="BY287" s="43" t="str">
        <f>IF(VLOOKUP(BX287,βοηθητικό!$J$2:$N$354,3,FALSE)="","",VLOOKUP(BX287,βοηθητικό!$J$2:$N$354,3,FALSE))</f>
        <v>_</v>
      </c>
      <c r="BZ287" s="44"/>
      <c r="CA287" s="45" t="s">
        <v>16</v>
      </c>
      <c r="CB287" s="46" t="str">
        <f>IF(VLOOKUP(CA287,βοηθητικό!$J$2:$N$354,3,FALSE)="","",VLOOKUP(CA287,βοηθητικό!$J$2:$N$354,3,FALSE))</f>
        <v>_</v>
      </c>
      <c r="CC287" s="47"/>
      <c r="CD287" s="42" t="s">
        <v>16</v>
      </c>
      <c r="CE287" s="43" t="str">
        <f>IF(VLOOKUP(CD287,βοηθητικό!$J$2:$N$354,3,FALSE)="","",VLOOKUP(CD287,βοηθητικό!$J$2:$N$354,3,FALSE))</f>
        <v>_</v>
      </c>
      <c r="CF287" s="44"/>
      <c r="CG287" s="45" t="s">
        <v>16</v>
      </c>
      <c r="CH287" s="46" t="str">
        <f>IF(VLOOKUP(CG287,βοηθητικό!$J$2:$N$354,3,FALSE)="","",VLOOKUP(CG287,βοηθητικό!$J$2:$N$354,3,FALSE))</f>
        <v>_</v>
      </c>
      <c r="CI287" s="47"/>
      <c r="CJ287" s="42" t="s">
        <v>16</v>
      </c>
      <c r="CK287" s="43" t="str">
        <f>IF(VLOOKUP(CJ287,βοηθητικό!$J$2:$N$354,3,FALSE)="","",VLOOKUP(CJ287,βοηθητικό!$J$2:$N$354,3,FALSE))</f>
        <v>_</v>
      </c>
      <c r="CL287" s="44"/>
      <c r="CM287" s="45" t="s">
        <v>16</v>
      </c>
      <c r="CN287" s="46" t="str">
        <f>IF(VLOOKUP(CM287,βοηθητικό!$J$2:$N$354,3,FALSE)="","",VLOOKUP(CM287,βοηθητικό!$J$2:$N$354,3,FALSE))</f>
        <v>_</v>
      </c>
      <c r="CO287" s="47"/>
      <c r="CP287" s="42" t="s">
        <v>16</v>
      </c>
      <c r="CQ287" s="43" t="str">
        <f>IF(VLOOKUP(CP287,βοηθητικό!$J$2:$N$354,3,FALSE)="","",VLOOKUP(CP287,βοηθητικό!$J$2:$N$354,3,FALSE))</f>
        <v>_</v>
      </c>
      <c r="CR287" s="44"/>
      <c r="CS287" s="45" t="s">
        <v>16</v>
      </c>
      <c r="CT287" s="46" t="str">
        <f>IF(VLOOKUP(CS287,βοηθητικό!$J$2:$N$354,3,FALSE)="","",VLOOKUP(CS287,βοηθητικό!$J$2:$N$354,3,FALSE))</f>
        <v>_</v>
      </c>
      <c r="CU287" s="47"/>
    </row>
    <row r="288" spans="1:99" x14ac:dyDescent="0.25">
      <c r="A288" s="37">
        <f>--SUBTOTAL(3,$B$3:B287)</f>
        <v>198</v>
      </c>
      <c r="B288" s="2"/>
      <c r="C288" s="3"/>
      <c r="D288" s="55" t="s">
        <v>18</v>
      </c>
      <c r="E288" s="38" t="s">
        <v>16</v>
      </c>
      <c r="F288" s="38" t="s">
        <v>16</v>
      </c>
      <c r="G288" s="39" t="str">
        <f t="shared" si="14"/>
        <v>__</v>
      </c>
      <c r="H288" s="40" t="str">
        <f t="shared" si="15"/>
        <v>FALSE</v>
      </c>
      <c r="I288" s="41">
        <f t="shared" si="16"/>
        <v>0</v>
      </c>
      <c r="J288" s="4" t="s">
        <v>16</v>
      </c>
      <c r="K288" s="43" t="str">
        <f>IF(VLOOKUP(J288,βοηθητικό!$J$2:$N$354,3,FALSE)="","",VLOOKUP(J288,βοηθητικό!$J$2:$N$354,3,FALSE))</f>
        <v>_</v>
      </c>
      <c r="L288" s="44"/>
      <c r="M288" s="5" t="s">
        <v>16</v>
      </c>
      <c r="N288" s="46" t="str">
        <f>IF(VLOOKUP(M288,βοηθητικό!$J$2:$N$354,3,FALSE)="","",VLOOKUP(M288,βοηθητικό!$J$2:$N$354,3,FALSE))</f>
        <v>_</v>
      </c>
      <c r="O288" s="47"/>
      <c r="P288" s="4" t="s">
        <v>16</v>
      </c>
      <c r="Q288" s="43" t="str">
        <f>IF(VLOOKUP(P288,βοηθητικό!$J$2:$N$354,3,FALSE)="","",VLOOKUP(P288,βοηθητικό!$J$2:$N$354,3,FALSE))</f>
        <v>_</v>
      </c>
      <c r="R288" s="44"/>
      <c r="S288" s="5" t="s">
        <v>16</v>
      </c>
      <c r="T288" s="46" t="str">
        <f>IF(VLOOKUP(S288,βοηθητικό!$J$2:$N$354,3,FALSE)="","",VLOOKUP(S288,βοηθητικό!$J$2:$N$354,3,FALSE))</f>
        <v>_</v>
      </c>
      <c r="U288" s="47"/>
      <c r="V288" s="4" t="s">
        <v>16</v>
      </c>
      <c r="W288" s="43" t="str">
        <f>IF(VLOOKUP(V288,βοηθητικό!$J$2:$N$354,3,FALSE)="","",VLOOKUP(V288,βοηθητικό!$J$2:$N$354,3,FALSE))</f>
        <v>_</v>
      </c>
      <c r="X288" s="44"/>
      <c r="Y288" s="5" t="s">
        <v>16</v>
      </c>
      <c r="Z288" s="46" t="str">
        <f>IF(VLOOKUP(Y288,βοηθητικό!$J$2:$N$354,3,FALSE)="","",VLOOKUP(Y288,βοηθητικό!$J$2:$N$354,3,FALSE))</f>
        <v>_</v>
      </c>
      <c r="AA288" s="47"/>
      <c r="AB288" s="4" t="s">
        <v>16</v>
      </c>
      <c r="AC288" s="43" t="str">
        <f>IF(VLOOKUP(AB288,βοηθητικό!$J$2:$N$354,3,FALSE)="","",VLOOKUP(AB288,βοηθητικό!$J$2:$N$354,3,FALSE))</f>
        <v>_</v>
      </c>
      <c r="AD288" s="44"/>
      <c r="AE288" s="5" t="s">
        <v>16</v>
      </c>
      <c r="AF288" s="46" t="str">
        <f>IF(VLOOKUP(AE288,βοηθητικό!$J$2:$N$354,3,FALSE)="","",VLOOKUP(AE288,βοηθητικό!$J$2:$N$354,3,FALSE))</f>
        <v>_</v>
      </c>
      <c r="AG288" s="47"/>
      <c r="AH288" s="4" t="s">
        <v>16</v>
      </c>
      <c r="AI288" s="43" t="str">
        <f>IF(VLOOKUP(AH288,βοηθητικό!$J$2:$N$354,3,FALSE)="","",VLOOKUP(AH288,βοηθητικό!$J$2:$N$354,3,FALSE))</f>
        <v>_</v>
      </c>
      <c r="AJ288" s="44"/>
      <c r="AK288" s="5" t="s">
        <v>16</v>
      </c>
      <c r="AL288" s="46" t="str">
        <f>IF(VLOOKUP(AK288,βοηθητικό!$J$2:$N$354,3,FALSE)="","",VLOOKUP(AK288,βοηθητικό!$J$2:$N$354,3,FALSE))</f>
        <v>_</v>
      </c>
      <c r="AM288" s="47"/>
      <c r="AN288" s="4" t="s">
        <v>16</v>
      </c>
      <c r="AO288" s="43" t="str">
        <f>IF(VLOOKUP(AN288,βοηθητικό!$J$2:$N$354,3,FALSE)="","",VLOOKUP(AN288,βοηθητικό!$J$2:$N$354,3,FALSE))</f>
        <v>_</v>
      </c>
      <c r="AP288" s="44"/>
      <c r="AQ288" s="5" t="s">
        <v>16</v>
      </c>
      <c r="AR288" s="46" t="str">
        <f>IF(VLOOKUP(AQ288,βοηθητικό!$J$2:$N$354,3,FALSE)="","",VLOOKUP(AQ288,βοηθητικό!$J$2:$N$354,3,FALSE))</f>
        <v>_</v>
      </c>
      <c r="AS288" s="47"/>
      <c r="AT288" s="4" t="s">
        <v>16</v>
      </c>
      <c r="AU288" s="43" t="str">
        <f>IF(VLOOKUP(AT288,βοηθητικό!$J$2:$N$354,3,FALSE)="","",VLOOKUP(AT288,βοηθητικό!$J$2:$N$354,3,FALSE))</f>
        <v>_</v>
      </c>
      <c r="AV288" s="44"/>
      <c r="AW288" s="5" t="s">
        <v>16</v>
      </c>
      <c r="AX288" s="46" t="str">
        <f>IF(VLOOKUP(AW288,βοηθητικό!$J$2:$N$354,3,FALSE)="","",VLOOKUP(AW288,βοηθητικό!$J$2:$N$354,3,FALSE))</f>
        <v>_</v>
      </c>
      <c r="AY288" s="47"/>
      <c r="AZ288" s="4" t="s">
        <v>16</v>
      </c>
      <c r="BA288" s="43" t="str">
        <f>IF(VLOOKUP(AZ288,βοηθητικό!$J$2:$N$354,3,FALSE)="","",VLOOKUP(AZ288,βοηθητικό!$J$2:$N$354,3,FALSE))</f>
        <v>_</v>
      </c>
      <c r="BB288" s="44"/>
      <c r="BC288" s="45" t="s">
        <v>16</v>
      </c>
      <c r="BD288" s="46" t="str">
        <f>IF(VLOOKUP(BC288,βοηθητικό!$J$2:$N$354,3,FALSE)="","",VLOOKUP(BC288,βοηθητικό!$J$2:$N$354,3,FALSE))</f>
        <v>_</v>
      </c>
      <c r="BE288" s="47"/>
      <c r="BF288" s="42" t="s">
        <v>16</v>
      </c>
      <c r="BG288" s="43" t="str">
        <f>IF(VLOOKUP(BF288,βοηθητικό!$J$2:$N$354,3,FALSE)="","",VLOOKUP(BF288,βοηθητικό!$J$2:$N$354,3,FALSE))</f>
        <v>_</v>
      </c>
      <c r="BH288" s="44"/>
      <c r="BI288" s="45" t="s">
        <v>16</v>
      </c>
      <c r="BJ288" s="46" t="str">
        <f>IF(VLOOKUP(BI288,βοηθητικό!$J$2:$N$354,3,FALSE)="","",VLOOKUP(BI288,βοηθητικό!$J$2:$N$354,3,FALSE))</f>
        <v>_</v>
      </c>
      <c r="BK288" s="47"/>
      <c r="BL288" s="42" t="s">
        <v>16</v>
      </c>
      <c r="BM288" s="43" t="str">
        <f>IF(VLOOKUP(BL288,βοηθητικό!$J$2:$N$354,3,FALSE)="","",VLOOKUP(BL288,βοηθητικό!$J$2:$N$354,3,FALSE))</f>
        <v>_</v>
      </c>
      <c r="BN288" s="44"/>
      <c r="BO288" s="45" t="s">
        <v>16</v>
      </c>
      <c r="BP288" s="46" t="str">
        <f>IF(VLOOKUP(BO288,βοηθητικό!$J$2:$N$354,3,FALSE)="","",VLOOKUP(BO288,βοηθητικό!$J$2:$N$354,3,FALSE))</f>
        <v>_</v>
      </c>
      <c r="BQ288" s="47"/>
      <c r="BR288" s="42" t="s">
        <v>16</v>
      </c>
      <c r="BS288" s="43" t="str">
        <f>IF(VLOOKUP(BR288,βοηθητικό!$J$2:$N$354,3,FALSE)="","",VLOOKUP(BR288,βοηθητικό!$J$2:$N$354,3,FALSE))</f>
        <v>_</v>
      </c>
      <c r="BT288" s="44"/>
      <c r="BU288" s="45" t="s">
        <v>16</v>
      </c>
      <c r="BV288" s="46" t="str">
        <f>IF(VLOOKUP(BU288,βοηθητικό!$J$2:$N$354,3,FALSE)="","",VLOOKUP(BU288,βοηθητικό!$J$2:$N$354,3,FALSE))</f>
        <v>_</v>
      </c>
      <c r="BW288" s="47"/>
      <c r="BX288" s="42" t="s">
        <v>16</v>
      </c>
      <c r="BY288" s="43" t="str">
        <f>IF(VLOOKUP(BX288,βοηθητικό!$J$2:$N$354,3,FALSE)="","",VLOOKUP(BX288,βοηθητικό!$J$2:$N$354,3,FALSE))</f>
        <v>_</v>
      </c>
      <c r="BZ288" s="44"/>
      <c r="CA288" s="45" t="s">
        <v>16</v>
      </c>
      <c r="CB288" s="46" t="str">
        <f>IF(VLOOKUP(CA288,βοηθητικό!$J$2:$N$354,3,FALSE)="","",VLOOKUP(CA288,βοηθητικό!$J$2:$N$354,3,FALSE))</f>
        <v>_</v>
      </c>
      <c r="CC288" s="47"/>
      <c r="CD288" s="42" t="s">
        <v>16</v>
      </c>
      <c r="CE288" s="43" t="str">
        <f>IF(VLOOKUP(CD288,βοηθητικό!$J$2:$N$354,3,FALSE)="","",VLOOKUP(CD288,βοηθητικό!$J$2:$N$354,3,FALSE))</f>
        <v>_</v>
      </c>
      <c r="CF288" s="44"/>
      <c r="CG288" s="45" t="s">
        <v>16</v>
      </c>
      <c r="CH288" s="46" t="str">
        <f>IF(VLOOKUP(CG288,βοηθητικό!$J$2:$N$354,3,FALSE)="","",VLOOKUP(CG288,βοηθητικό!$J$2:$N$354,3,FALSE))</f>
        <v>_</v>
      </c>
      <c r="CI288" s="47"/>
      <c r="CJ288" s="42" t="s">
        <v>16</v>
      </c>
      <c r="CK288" s="43" t="str">
        <f>IF(VLOOKUP(CJ288,βοηθητικό!$J$2:$N$354,3,FALSE)="","",VLOOKUP(CJ288,βοηθητικό!$J$2:$N$354,3,FALSE))</f>
        <v>_</v>
      </c>
      <c r="CL288" s="44"/>
      <c r="CM288" s="45" t="s">
        <v>16</v>
      </c>
      <c r="CN288" s="46" t="str">
        <f>IF(VLOOKUP(CM288,βοηθητικό!$J$2:$N$354,3,FALSE)="","",VLOOKUP(CM288,βοηθητικό!$J$2:$N$354,3,FALSE))</f>
        <v>_</v>
      </c>
      <c r="CO288" s="47"/>
      <c r="CP288" s="42" t="s">
        <v>16</v>
      </c>
      <c r="CQ288" s="43" t="str">
        <f>IF(VLOOKUP(CP288,βοηθητικό!$J$2:$N$354,3,FALSE)="","",VLOOKUP(CP288,βοηθητικό!$J$2:$N$354,3,FALSE))</f>
        <v>_</v>
      </c>
      <c r="CR288" s="44"/>
      <c r="CS288" s="45" t="s">
        <v>16</v>
      </c>
      <c r="CT288" s="46" t="str">
        <f>IF(VLOOKUP(CS288,βοηθητικό!$J$2:$N$354,3,FALSE)="","",VLOOKUP(CS288,βοηθητικό!$J$2:$N$354,3,FALSE))</f>
        <v>_</v>
      </c>
      <c r="CU288" s="47"/>
    </row>
    <row r="289" spans="1:99" x14ac:dyDescent="0.25">
      <c r="A289" s="37">
        <f>--SUBTOTAL(3,$B$3:B288)</f>
        <v>198</v>
      </c>
      <c r="B289" s="2"/>
      <c r="C289" s="3"/>
      <c r="D289" s="55" t="s">
        <v>18</v>
      </c>
      <c r="E289" s="38" t="s">
        <v>16</v>
      </c>
      <c r="F289" s="38" t="s">
        <v>16</v>
      </c>
      <c r="G289" s="39" t="str">
        <f t="shared" si="14"/>
        <v>__</v>
      </c>
      <c r="H289" s="40" t="str">
        <f t="shared" si="15"/>
        <v>FALSE</v>
      </c>
      <c r="I289" s="41">
        <f t="shared" si="16"/>
        <v>0</v>
      </c>
      <c r="J289" s="4" t="s">
        <v>16</v>
      </c>
      <c r="K289" s="43" t="str">
        <f>IF(VLOOKUP(J289,βοηθητικό!$J$2:$N$354,3,FALSE)="","",VLOOKUP(J289,βοηθητικό!$J$2:$N$354,3,FALSE))</f>
        <v>_</v>
      </c>
      <c r="L289" s="44"/>
      <c r="M289" s="5" t="s">
        <v>16</v>
      </c>
      <c r="N289" s="46" t="str">
        <f>IF(VLOOKUP(M289,βοηθητικό!$J$2:$N$354,3,FALSE)="","",VLOOKUP(M289,βοηθητικό!$J$2:$N$354,3,FALSE))</f>
        <v>_</v>
      </c>
      <c r="O289" s="47"/>
      <c r="P289" s="4" t="s">
        <v>16</v>
      </c>
      <c r="Q289" s="43" t="str">
        <f>IF(VLOOKUP(P289,βοηθητικό!$J$2:$N$354,3,FALSE)="","",VLOOKUP(P289,βοηθητικό!$J$2:$N$354,3,FALSE))</f>
        <v>_</v>
      </c>
      <c r="R289" s="44"/>
      <c r="S289" s="5" t="s">
        <v>16</v>
      </c>
      <c r="T289" s="46" t="str">
        <f>IF(VLOOKUP(S289,βοηθητικό!$J$2:$N$354,3,FALSE)="","",VLOOKUP(S289,βοηθητικό!$J$2:$N$354,3,FALSE))</f>
        <v>_</v>
      </c>
      <c r="U289" s="47"/>
      <c r="V289" s="4" t="s">
        <v>16</v>
      </c>
      <c r="W289" s="43" t="str">
        <f>IF(VLOOKUP(V289,βοηθητικό!$J$2:$N$354,3,FALSE)="","",VLOOKUP(V289,βοηθητικό!$J$2:$N$354,3,FALSE))</f>
        <v>_</v>
      </c>
      <c r="X289" s="44"/>
      <c r="Y289" s="5" t="s">
        <v>16</v>
      </c>
      <c r="Z289" s="46" t="str">
        <f>IF(VLOOKUP(Y289,βοηθητικό!$J$2:$N$354,3,FALSE)="","",VLOOKUP(Y289,βοηθητικό!$J$2:$N$354,3,FALSE))</f>
        <v>_</v>
      </c>
      <c r="AA289" s="47"/>
      <c r="AB289" s="4" t="s">
        <v>16</v>
      </c>
      <c r="AC289" s="43" t="str">
        <f>IF(VLOOKUP(AB289,βοηθητικό!$J$2:$N$354,3,FALSE)="","",VLOOKUP(AB289,βοηθητικό!$J$2:$N$354,3,FALSE))</f>
        <v>_</v>
      </c>
      <c r="AD289" s="44"/>
      <c r="AE289" s="5" t="s">
        <v>16</v>
      </c>
      <c r="AF289" s="46" t="str">
        <f>IF(VLOOKUP(AE289,βοηθητικό!$J$2:$N$354,3,FALSE)="","",VLOOKUP(AE289,βοηθητικό!$J$2:$N$354,3,FALSE))</f>
        <v>_</v>
      </c>
      <c r="AG289" s="47"/>
      <c r="AH289" s="4" t="s">
        <v>16</v>
      </c>
      <c r="AI289" s="43" t="str">
        <f>IF(VLOOKUP(AH289,βοηθητικό!$J$2:$N$354,3,FALSE)="","",VLOOKUP(AH289,βοηθητικό!$J$2:$N$354,3,FALSE))</f>
        <v>_</v>
      </c>
      <c r="AJ289" s="44"/>
      <c r="AK289" s="5" t="s">
        <v>16</v>
      </c>
      <c r="AL289" s="46" t="str">
        <f>IF(VLOOKUP(AK289,βοηθητικό!$J$2:$N$354,3,FALSE)="","",VLOOKUP(AK289,βοηθητικό!$J$2:$N$354,3,FALSE))</f>
        <v>_</v>
      </c>
      <c r="AM289" s="47"/>
      <c r="AN289" s="4" t="s">
        <v>16</v>
      </c>
      <c r="AO289" s="43" t="str">
        <f>IF(VLOOKUP(AN289,βοηθητικό!$J$2:$N$354,3,FALSE)="","",VLOOKUP(AN289,βοηθητικό!$J$2:$N$354,3,FALSE))</f>
        <v>_</v>
      </c>
      <c r="AP289" s="44"/>
      <c r="AQ289" s="5" t="s">
        <v>16</v>
      </c>
      <c r="AR289" s="46" t="str">
        <f>IF(VLOOKUP(AQ289,βοηθητικό!$J$2:$N$354,3,FALSE)="","",VLOOKUP(AQ289,βοηθητικό!$J$2:$N$354,3,FALSE))</f>
        <v>_</v>
      </c>
      <c r="AS289" s="47"/>
      <c r="AT289" s="4" t="s">
        <v>16</v>
      </c>
      <c r="AU289" s="43" t="str">
        <f>IF(VLOOKUP(AT289,βοηθητικό!$J$2:$N$354,3,FALSE)="","",VLOOKUP(AT289,βοηθητικό!$J$2:$N$354,3,FALSE))</f>
        <v>_</v>
      </c>
      <c r="AV289" s="44"/>
      <c r="AW289" s="5" t="s">
        <v>16</v>
      </c>
      <c r="AX289" s="46" t="str">
        <f>IF(VLOOKUP(AW289,βοηθητικό!$J$2:$N$354,3,FALSE)="","",VLOOKUP(AW289,βοηθητικό!$J$2:$N$354,3,FALSE))</f>
        <v>_</v>
      </c>
      <c r="AY289" s="47"/>
      <c r="AZ289" s="4" t="s">
        <v>16</v>
      </c>
      <c r="BA289" s="43" t="str">
        <f>IF(VLOOKUP(AZ289,βοηθητικό!$J$2:$N$354,3,FALSE)="","",VLOOKUP(AZ289,βοηθητικό!$J$2:$N$354,3,FALSE))</f>
        <v>_</v>
      </c>
      <c r="BB289" s="44"/>
      <c r="BC289" s="45" t="s">
        <v>16</v>
      </c>
      <c r="BD289" s="46" t="str">
        <f>IF(VLOOKUP(BC289,βοηθητικό!$J$2:$N$354,3,FALSE)="","",VLOOKUP(BC289,βοηθητικό!$J$2:$N$354,3,FALSE))</f>
        <v>_</v>
      </c>
      <c r="BE289" s="47"/>
      <c r="BF289" s="42" t="s">
        <v>16</v>
      </c>
      <c r="BG289" s="43" t="str">
        <f>IF(VLOOKUP(BF289,βοηθητικό!$J$2:$N$354,3,FALSE)="","",VLOOKUP(BF289,βοηθητικό!$J$2:$N$354,3,FALSE))</f>
        <v>_</v>
      </c>
      <c r="BH289" s="44"/>
      <c r="BI289" s="45" t="s">
        <v>16</v>
      </c>
      <c r="BJ289" s="46" t="str">
        <f>IF(VLOOKUP(BI289,βοηθητικό!$J$2:$N$354,3,FALSE)="","",VLOOKUP(BI289,βοηθητικό!$J$2:$N$354,3,FALSE))</f>
        <v>_</v>
      </c>
      <c r="BK289" s="47"/>
      <c r="BL289" s="42" t="s">
        <v>16</v>
      </c>
      <c r="BM289" s="43" t="str">
        <f>IF(VLOOKUP(BL289,βοηθητικό!$J$2:$N$354,3,FALSE)="","",VLOOKUP(BL289,βοηθητικό!$J$2:$N$354,3,FALSE))</f>
        <v>_</v>
      </c>
      <c r="BN289" s="44"/>
      <c r="BO289" s="45" t="s">
        <v>16</v>
      </c>
      <c r="BP289" s="46" t="str">
        <f>IF(VLOOKUP(BO289,βοηθητικό!$J$2:$N$354,3,FALSE)="","",VLOOKUP(BO289,βοηθητικό!$J$2:$N$354,3,FALSE))</f>
        <v>_</v>
      </c>
      <c r="BQ289" s="47"/>
      <c r="BR289" s="42" t="s">
        <v>16</v>
      </c>
      <c r="BS289" s="43" t="str">
        <f>IF(VLOOKUP(BR289,βοηθητικό!$J$2:$N$354,3,FALSE)="","",VLOOKUP(BR289,βοηθητικό!$J$2:$N$354,3,FALSE))</f>
        <v>_</v>
      </c>
      <c r="BT289" s="44"/>
      <c r="BU289" s="45" t="s">
        <v>16</v>
      </c>
      <c r="BV289" s="46" t="str">
        <f>IF(VLOOKUP(BU289,βοηθητικό!$J$2:$N$354,3,FALSE)="","",VLOOKUP(BU289,βοηθητικό!$J$2:$N$354,3,FALSE))</f>
        <v>_</v>
      </c>
      <c r="BW289" s="47"/>
      <c r="BX289" s="42" t="s">
        <v>16</v>
      </c>
      <c r="BY289" s="43" t="str">
        <f>IF(VLOOKUP(BX289,βοηθητικό!$J$2:$N$354,3,FALSE)="","",VLOOKUP(BX289,βοηθητικό!$J$2:$N$354,3,FALSE))</f>
        <v>_</v>
      </c>
      <c r="BZ289" s="44"/>
      <c r="CA289" s="45" t="s">
        <v>16</v>
      </c>
      <c r="CB289" s="46" t="str">
        <f>IF(VLOOKUP(CA289,βοηθητικό!$J$2:$N$354,3,FALSE)="","",VLOOKUP(CA289,βοηθητικό!$J$2:$N$354,3,FALSE))</f>
        <v>_</v>
      </c>
      <c r="CC289" s="47"/>
      <c r="CD289" s="42" t="s">
        <v>16</v>
      </c>
      <c r="CE289" s="43" t="str">
        <f>IF(VLOOKUP(CD289,βοηθητικό!$J$2:$N$354,3,FALSE)="","",VLOOKUP(CD289,βοηθητικό!$J$2:$N$354,3,FALSE))</f>
        <v>_</v>
      </c>
      <c r="CF289" s="44"/>
      <c r="CG289" s="45" t="s">
        <v>16</v>
      </c>
      <c r="CH289" s="46" t="str">
        <f>IF(VLOOKUP(CG289,βοηθητικό!$J$2:$N$354,3,FALSE)="","",VLOOKUP(CG289,βοηθητικό!$J$2:$N$354,3,FALSE))</f>
        <v>_</v>
      </c>
      <c r="CI289" s="47"/>
      <c r="CJ289" s="42" t="s">
        <v>16</v>
      </c>
      <c r="CK289" s="43" t="str">
        <f>IF(VLOOKUP(CJ289,βοηθητικό!$J$2:$N$354,3,FALSE)="","",VLOOKUP(CJ289,βοηθητικό!$J$2:$N$354,3,FALSE))</f>
        <v>_</v>
      </c>
      <c r="CL289" s="44"/>
      <c r="CM289" s="45" t="s">
        <v>16</v>
      </c>
      <c r="CN289" s="46" t="str">
        <f>IF(VLOOKUP(CM289,βοηθητικό!$J$2:$N$354,3,FALSE)="","",VLOOKUP(CM289,βοηθητικό!$J$2:$N$354,3,FALSE))</f>
        <v>_</v>
      </c>
      <c r="CO289" s="47"/>
      <c r="CP289" s="42" t="s">
        <v>16</v>
      </c>
      <c r="CQ289" s="43" t="str">
        <f>IF(VLOOKUP(CP289,βοηθητικό!$J$2:$N$354,3,FALSE)="","",VLOOKUP(CP289,βοηθητικό!$J$2:$N$354,3,FALSE))</f>
        <v>_</v>
      </c>
      <c r="CR289" s="44"/>
      <c r="CS289" s="45" t="s">
        <v>16</v>
      </c>
      <c r="CT289" s="46" t="str">
        <f>IF(VLOOKUP(CS289,βοηθητικό!$J$2:$N$354,3,FALSE)="","",VLOOKUP(CS289,βοηθητικό!$J$2:$N$354,3,FALSE))</f>
        <v>_</v>
      </c>
      <c r="CU289" s="47"/>
    </row>
    <row r="290" spans="1:99" x14ac:dyDescent="0.25">
      <c r="A290" s="37">
        <f>--SUBTOTAL(3,$B$3:B289)</f>
        <v>198</v>
      </c>
      <c r="B290" s="2"/>
      <c r="C290" s="3"/>
      <c r="D290" s="55" t="s">
        <v>18</v>
      </c>
      <c r="E290" s="38" t="s">
        <v>16</v>
      </c>
      <c r="F290" s="38" t="s">
        <v>16</v>
      </c>
      <c r="G290" s="39" t="str">
        <f t="shared" si="14"/>
        <v>__</v>
      </c>
      <c r="H290" s="40" t="str">
        <f t="shared" si="15"/>
        <v>FALSE</v>
      </c>
      <c r="I290" s="41">
        <f t="shared" si="16"/>
        <v>0</v>
      </c>
      <c r="J290" s="4" t="s">
        <v>16</v>
      </c>
      <c r="K290" s="43" t="str">
        <f>IF(VLOOKUP(J290,βοηθητικό!$J$2:$N$354,3,FALSE)="","",VLOOKUP(J290,βοηθητικό!$J$2:$N$354,3,FALSE))</f>
        <v>_</v>
      </c>
      <c r="L290" s="44"/>
      <c r="M290" s="5" t="s">
        <v>16</v>
      </c>
      <c r="N290" s="46" t="str">
        <f>IF(VLOOKUP(M290,βοηθητικό!$J$2:$N$354,3,FALSE)="","",VLOOKUP(M290,βοηθητικό!$J$2:$N$354,3,FALSE))</f>
        <v>_</v>
      </c>
      <c r="O290" s="47"/>
      <c r="P290" s="4" t="s">
        <v>16</v>
      </c>
      <c r="Q290" s="43" t="str">
        <f>IF(VLOOKUP(P290,βοηθητικό!$J$2:$N$354,3,FALSE)="","",VLOOKUP(P290,βοηθητικό!$J$2:$N$354,3,FALSE))</f>
        <v>_</v>
      </c>
      <c r="R290" s="44"/>
      <c r="S290" s="5" t="s">
        <v>16</v>
      </c>
      <c r="T290" s="46" t="str">
        <f>IF(VLOOKUP(S290,βοηθητικό!$J$2:$N$354,3,FALSE)="","",VLOOKUP(S290,βοηθητικό!$J$2:$N$354,3,FALSE))</f>
        <v>_</v>
      </c>
      <c r="U290" s="47"/>
      <c r="V290" s="4" t="s">
        <v>16</v>
      </c>
      <c r="W290" s="43" t="str">
        <f>IF(VLOOKUP(V290,βοηθητικό!$J$2:$N$354,3,FALSE)="","",VLOOKUP(V290,βοηθητικό!$J$2:$N$354,3,FALSE))</f>
        <v>_</v>
      </c>
      <c r="X290" s="44"/>
      <c r="Y290" s="5" t="s">
        <v>16</v>
      </c>
      <c r="Z290" s="46" t="str">
        <f>IF(VLOOKUP(Y290,βοηθητικό!$J$2:$N$354,3,FALSE)="","",VLOOKUP(Y290,βοηθητικό!$J$2:$N$354,3,FALSE))</f>
        <v>_</v>
      </c>
      <c r="AA290" s="47"/>
      <c r="AB290" s="4" t="s">
        <v>16</v>
      </c>
      <c r="AC290" s="43" t="str">
        <f>IF(VLOOKUP(AB290,βοηθητικό!$J$2:$N$354,3,FALSE)="","",VLOOKUP(AB290,βοηθητικό!$J$2:$N$354,3,FALSE))</f>
        <v>_</v>
      </c>
      <c r="AD290" s="44"/>
      <c r="AE290" s="5" t="s">
        <v>16</v>
      </c>
      <c r="AF290" s="46" t="str">
        <f>IF(VLOOKUP(AE290,βοηθητικό!$J$2:$N$354,3,FALSE)="","",VLOOKUP(AE290,βοηθητικό!$J$2:$N$354,3,FALSE))</f>
        <v>_</v>
      </c>
      <c r="AG290" s="47"/>
      <c r="AH290" s="4" t="s">
        <v>16</v>
      </c>
      <c r="AI290" s="43" t="str">
        <f>IF(VLOOKUP(AH290,βοηθητικό!$J$2:$N$354,3,FALSE)="","",VLOOKUP(AH290,βοηθητικό!$J$2:$N$354,3,FALSE))</f>
        <v>_</v>
      </c>
      <c r="AJ290" s="44"/>
      <c r="AK290" s="5" t="s">
        <v>16</v>
      </c>
      <c r="AL290" s="46" t="str">
        <f>IF(VLOOKUP(AK290,βοηθητικό!$J$2:$N$354,3,FALSE)="","",VLOOKUP(AK290,βοηθητικό!$J$2:$N$354,3,FALSE))</f>
        <v>_</v>
      </c>
      <c r="AM290" s="47"/>
      <c r="AN290" s="4" t="s">
        <v>16</v>
      </c>
      <c r="AO290" s="43" t="str">
        <f>IF(VLOOKUP(AN290,βοηθητικό!$J$2:$N$354,3,FALSE)="","",VLOOKUP(AN290,βοηθητικό!$J$2:$N$354,3,FALSE))</f>
        <v>_</v>
      </c>
      <c r="AP290" s="44"/>
      <c r="AQ290" s="5" t="s">
        <v>16</v>
      </c>
      <c r="AR290" s="46" t="str">
        <f>IF(VLOOKUP(AQ290,βοηθητικό!$J$2:$N$354,3,FALSE)="","",VLOOKUP(AQ290,βοηθητικό!$J$2:$N$354,3,FALSE))</f>
        <v>_</v>
      </c>
      <c r="AS290" s="47"/>
      <c r="AT290" s="4" t="s">
        <v>16</v>
      </c>
      <c r="AU290" s="43" t="str">
        <f>IF(VLOOKUP(AT290,βοηθητικό!$J$2:$N$354,3,FALSE)="","",VLOOKUP(AT290,βοηθητικό!$J$2:$N$354,3,FALSE))</f>
        <v>_</v>
      </c>
      <c r="AV290" s="44"/>
      <c r="AW290" s="5" t="s">
        <v>16</v>
      </c>
      <c r="AX290" s="46" t="str">
        <f>IF(VLOOKUP(AW290,βοηθητικό!$J$2:$N$354,3,FALSE)="","",VLOOKUP(AW290,βοηθητικό!$J$2:$N$354,3,FALSE))</f>
        <v>_</v>
      </c>
      <c r="AY290" s="47"/>
      <c r="AZ290" s="4" t="s">
        <v>16</v>
      </c>
      <c r="BA290" s="43" t="str">
        <f>IF(VLOOKUP(AZ290,βοηθητικό!$J$2:$N$354,3,FALSE)="","",VLOOKUP(AZ290,βοηθητικό!$J$2:$N$354,3,FALSE))</f>
        <v>_</v>
      </c>
      <c r="BB290" s="44"/>
      <c r="BC290" s="45" t="s">
        <v>16</v>
      </c>
      <c r="BD290" s="46" t="str">
        <f>IF(VLOOKUP(BC290,βοηθητικό!$J$2:$N$354,3,FALSE)="","",VLOOKUP(BC290,βοηθητικό!$J$2:$N$354,3,FALSE))</f>
        <v>_</v>
      </c>
      <c r="BE290" s="47"/>
      <c r="BF290" s="42" t="s">
        <v>16</v>
      </c>
      <c r="BG290" s="43" t="str">
        <f>IF(VLOOKUP(BF290,βοηθητικό!$J$2:$N$354,3,FALSE)="","",VLOOKUP(BF290,βοηθητικό!$J$2:$N$354,3,FALSE))</f>
        <v>_</v>
      </c>
      <c r="BH290" s="44"/>
      <c r="BI290" s="45" t="s">
        <v>16</v>
      </c>
      <c r="BJ290" s="46" t="str">
        <f>IF(VLOOKUP(BI290,βοηθητικό!$J$2:$N$354,3,FALSE)="","",VLOOKUP(BI290,βοηθητικό!$J$2:$N$354,3,FALSE))</f>
        <v>_</v>
      </c>
      <c r="BK290" s="47"/>
      <c r="BL290" s="42" t="s">
        <v>16</v>
      </c>
      <c r="BM290" s="43" t="str">
        <f>IF(VLOOKUP(BL290,βοηθητικό!$J$2:$N$354,3,FALSE)="","",VLOOKUP(BL290,βοηθητικό!$J$2:$N$354,3,FALSE))</f>
        <v>_</v>
      </c>
      <c r="BN290" s="44"/>
      <c r="BO290" s="45" t="s">
        <v>16</v>
      </c>
      <c r="BP290" s="46" t="str">
        <f>IF(VLOOKUP(BO290,βοηθητικό!$J$2:$N$354,3,FALSE)="","",VLOOKUP(BO290,βοηθητικό!$J$2:$N$354,3,FALSE))</f>
        <v>_</v>
      </c>
      <c r="BQ290" s="47"/>
      <c r="BR290" s="42" t="s">
        <v>16</v>
      </c>
      <c r="BS290" s="43" t="str">
        <f>IF(VLOOKUP(BR290,βοηθητικό!$J$2:$N$354,3,FALSE)="","",VLOOKUP(BR290,βοηθητικό!$J$2:$N$354,3,FALSE))</f>
        <v>_</v>
      </c>
      <c r="BT290" s="44"/>
      <c r="BU290" s="45" t="s">
        <v>16</v>
      </c>
      <c r="BV290" s="46" t="str">
        <f>IF(VLOOKUP(BU290,βοηθητικό!$J$2:$N$354,3,FALSE)="","",VLOOKUP(BU290,βοηθητικό!$J$2:$N$354,3,FALSE))</f>
        <v>_</v>
      </c>
      <c r="BW290" s="47"/>
      <c r="BX290" s="42" t="s">
        <v>16</v>
      </c>
      <c r="BY290" s="43" t="str">
        <f>IF(VLOOKUP(BX290,βοηθητικό!$J$2:$N$354,3,FALSE)="","",VLOOKUP(BX290,βοηθητικό!$J$2:$N$354,3,FALSE))</f>
        <v>_</v>
      </c>
      <c r="BZ290" s="44"/>
      <c r="CA290" s="45" t="s">
        <v>16</v>
      </c>
      <c r="CB290" s="46" t="str">
        <f>IF(VLOOKUP(CA290,βοηθητικό!$J$2:$N$354,3,FALSE)="","",VLOOKUP(CA290,βοηθητικό!$J$2:$N$354,3,FALSE))</f>
        <v>_</v>
      </c>
      <c r="CC290" s="47"/>
      <c r="CD290" s="42" t="s">
        <v>16</v>
      </c>
      <c r="CE290" s="43" t="str">
        <f>IF(VLOOKUP(CD290,βοηθητικό!$J$2:$N$354,3,FALSE)="","",VLOOKUP(CD290,βοηθητικό!$J$2:$N$354,3,FALSE))</f>
        <v>_</v>
      </c>
      <c r="CF290" s="44"/>
      <c r="CG290" s="45" t="s">
        <v>16</v>
      </c>
      <c r="CH290" s="46" t="str">
        <f>IF(VLOOKUP(CG290,βοηθητικό!$J$2:$N$354,3,FALSE)="","",VLOOKUP(CG290,βοηθητικό!$J$2:$N$354,3,FALSE))</f>
        <v>_</v>
      </c>
      <c r="CI290" s="47"/>
      <c r="CJ290" s="42" t="s">
        <v>16</v>
      </c>
      <c r="CK290" s="43" t="str">
        <f>IF(VLOOKUP(CJ290,βοηθητικό!$J$2:$N$354,3,FALSE)="","",VLOOKUP(CJ290,βοηθητικό!$J$2:$N$354,3,FALSE))</f>
        <v>_</v>
      </c>
      <c r="CL290" s="44"/>
      <c r="CM290" s="45" t="s">
        <v>16</v>
      </c>
      <c r="CN290" s="46" t="str">
        <f>IF(VLOOKUP(CM290,βοηθητικό!$J$2:$N$354,3,FALSE)="","",VLOOKUP(CM290,βοηθητικό!$J$2:$N$354,3,FALSE))</f>
        <v>_</v>
      </c>
      <c r="CO290" s="47"/>
      <c r="CP290" s="42" t="s">
        <v>16</v>
      </c>
      <c r="CQ290" s="43" t="str">
        <f>IF(VLOOKUP(CP290,βοηθητικό!$J$2:$N$354,3,FALSE)="","",VLOOKUP(CP290,βοηθητικό!$J$2:$N$354,3,FALSE))</f>
        <v>_</v>
      </c>
      <c r="CR290" s="44"/>
      <c r="CS290" s="45" t="s">
        <v>16</v>
      </c>
      <c r="CT290" s="46" t="str">
        <f>IF(VLOOKUP(CS290,βοηθητικό!$J$2:$N$354,3,FALSE)="","",VLOOKUP(CS290,βοηθητικό!$J$2:$N$354,3,FALSE))</f>
        <v>_</v>
      </c>
      <c r="CU290" s="47"/>
    </row>
    <row r="291" spans="1:99" x14ac:dyDescent="0.25">
      <c r="A291" s="37">
        <f>--SUBTOTAL(3,$B$3:B290)</f>
        <v>198</v>
      </c>
      <c r="B291" s="2"/>
      <c r="C291" s="3"/>
      <c r="D291" s="55" t="s">
        <v>18</v>
      </c>
      <c r="E291" s="38" t="s">
        <v>16</v>
      </c>
      <c r="F291" s="38" t="s">
        <v>16</v>
      </c>
      <c r="G291" s="39" t="str">
        <f t="shared" si="14"/>
        <v>__</v>
      </c>
      <c r="H291" s="40" t="str">
        <f t="shared" si="15"/>
        <v>FALSE</v>
      </c>
      <c r="I291" s="41">
        <f t="shared" si="16"/>
        <v>0</v>
      </c>
      <c r="J291" s="4" t="s">
        <v>16</v>
      </c>
      <c r="K291" s="43" t="str">
        <f>IF(VLOOKUP(J291,βοηθητικό!$J$2:$N$354,3,FALSE)="","",VLOOKUP(J291,βοηθητικό!$J$2:$N$354,3,FALSE))</f>
        <v>_</v>
      </c>
      <c r="L291" s="44"/>
      <c r="M291" s="5" t="s">
        <v>16</v>
      </c>
      <c r="N291" s="46" t="str">
        <f>IF(VLOOKUP(M291,βοηθητικό!$J$2:$N$354,3,FALSE)="","",VLOOKUP(M291,βοηθητικό!$J$2:$N$354,3,FALSE))</f>
        <v>_</v>
      </c>
      <c r="O291" s="47"/>
      <c r="P291" s="4" t="s">
        <v>16</v>
      </c>
      <c r="Q291" s="43" t="str">
        <f>IF(VLOOKUP(P291,βοηθητικό!$J$2:$N$354,3,FALSE)="","",VLOOKUP(P291,βοηθητικό!$J$2:$N$354,3,FALSE))</f>
        <v>_</v>
      </c>
      <c r="R291" s="44"/>
      <c r="S291" s="5" t="s">
        <v>16</v>
      </c>
      <c r="T291" s="46" t="str">
        <f>IF(VLOOKUP(S291,βοηθητικό!$J$2:$N$354,3,FALSE)="","",VLOOKUP(S291,βοηθητικό!$J$2:$N$354,3,FALSE))</f>
        <v>_</v>
      </c>
      <c r="U291" s="47"/>
      <c r="V291" s="4" t="s">
        <v>16</v>
      </c>
      <c r="W291" s="43" t="str">
        <f>IF(VLOOKUP(V291,βοηθητικό!$J$2:$N$354,3,FALSE)="","",VLOOKUP(V291,βοηθητικό!$J$2:$N$354,3,FALSE))</f>
        <v>_</v>
      </c>
      <c r="X291" s="44"/>
      <c r="Y291" s="5" t="s">
        <v>16</v>
      </c>
      <c r="Z291" s="46" t="str">
        <f>IF(VLOOKUP(Y291,βοηθητικό!$J$2:$N$354,3,FALSE)="","",VLOOKUP(Y291,βοηθητικό!$J$2:$N$354,3,FALSE))</f>
        <v>_</v>
      </c>
      <c r="AA291" s="47"/>
      <c r="AB291" s="4" t="s">
        <v>16</v>
      </c>
      <c r="AC291" s="43" t="str">
        <f>IF(VLOOKUP(AB291,βοηθητικό!$J$2:$N$354,3,FALSE)="","",VLOOKUP(AB291,βοηθητικό!$J$2:$N$354,3,FALSE))</f>
        <v>_</v>
      </c>
      <c r="AD291" s="44"/>
      <c r="AE291" s="5" t="s">
        <v>16</v>
      </c>
      <c r="AF291" s="46" t="str">
        <f>IF(VLOOKUP(AE291,βοηθητικό!$J$2:$N$354,3,FALSE)="","",VLOOKUP(AE291,βοηθητικό!$J$2:$N$354,3,FALSE))</f>
        <v>_</v>
      </c>
      <c r="AG291" s="47"/>
      <c r="AH291" s="4" t="s">
        <v>16</v>
      </c>
      <c r="AI291" s="43" t="str">
        <f>IF(VLOOKUP(AH291,βοηθητικό!$J$2:$N$354,3,FALSE)="","",VLOOKUP(AH291,βοηθητικό!$J$2:$N$354,3,FALSE))</f>
        <v>_</v>
      </c>
      <c r="AJ291" s="44"/>
      <c r="AK291" s="5" t="s">
        <v>16</v>
      </c>
      <c r="AL291" s="46" t="str">
        <f>IF(VLOOKUP(AK291,βοηθητικό!$J$2:$N$354,3,FALSE)="","",VLOOKUP(AK291,βοηθητικό!$J$2:$N$354,3,FALSE))</f>
        <v>_</v>
      </c>
      <c r="AM291" s="47"/>
      <c r="AN291" s="4" t="s">
        <v>16</v>
      </c>
      <c r="AO291" s="43" t="str">
        <f>IF(VLOOKUP(AN291,βοηθητικό!$J$2:$N$354,3,FALSE)="","",VLOOKUP(AN291,βοηθητικό!$J$2:$N$354,3,FALSE))</f>
        <v>_</v>
      </c>
      <c r="AP291" s="44"/>
      <c r="AQ291" s="5" t="s">
        <v>16</v>
      </c>
      <c r="AR291" s="46" t="str">
        <f>IF(VLOOKUP(AQ291,βοηθητικό!$J$2:$N$354,3,FALSE)="","",VLOOKUP(AQ291,βοηθητικό!$J$2:$N$354,3,FALSE))</f>
        <v>_</v>
      </c>
      <c r="AS291" s="47"/>
      <c r="AT291" s="4" t="s">
        <v>16</v>
      </c>
      <c r="AU291" s="43" t="str">
        <f>IF(VLOOKUP(AT291,βοηθητικό!$J$2:$N$354,3,FALSE)="","",VLOOKUP(AT291,βοηθητικό!$J$2:$N$354,3,FALSE))</f>
        <v>_</v>
      </c>
      <c r="AV291" s="44"/>
      <c r="AW291" s="5" t="s">
        <v>16</v>
      </c>
      <c r="AX291" s="46" t="str">
        <f>IF(VLOOKUP(AW291,βοηθητικό!$J$2:$N$354,3,FALSE)="","",VLOOKUP(AW291,βοηθητικό!$J$2:$N$354,3,FALSE))</f>
        <v>_</v>
      </c>
      <c r="AY291" s="47"/>
      <c r="AZ291" s="4" t="s">
        <v>16</v>
      </c>
      <c r="BA291" s="43" t="str">
        <f>IF(VLOOKUP(AZ291,βοηθητικό!$J$2:$N$354,3,FALSE)="","",VLOOKUP(AZ291,βοηθητικό!$J$2:$N$354,3,FALSE))</f>
        <v>_</v>
      </c>
      <c r="BB291" s="44"/>
      <c r="BC291" s="45" t="s">
        <v>16</v>
      </c>
      <c r="BD291" s="46" t="str">
        <f>IF(VLOOKUP(BC291,βοηθητικό!$J$2:$N$354,3,FALSE)="","",VLOOKUP(BC291,βοηθητικό!$J$2:$N$354,3,FALSE))</f>
        <v>_</v>
      </c>
      <c r="BE291" s="47"/>
      <c r="BF291" s="42" t="s">
        <v>16</v>
      </c>
      <c r="BG291" s="43" t="str">
        <f>IF(VLOOKUP(BF291,βοηθητικό!$J$2:$N$354,3,FALSE)="","",VLOOKUP(BF291,βοηθητικό!$J$2:$N$354,3,FALSE))</f>
        <v>_</v>
      </c>
      <c r="BH291" s="44"/>
      <c r="BI291" s="45" t="s">
        <v>16</v>
      </c>
      <c r="BJ291" s="46" t="str">
        <f>IF(VLOOKUP(BI291,βοηθητικό!$J$2:$N$354,3,FALSE)="","",VLOOKUP(BI291,βοηθητικό!$J$2:$N$354,3,FALSE))</f>
        <v>_</v>
      </c>
      <c r="BK291" s="47"/>
      <c r="BL291" s="42" t="s">
        <v>16</v>
      </c>
      <c r="BM291" s="43" t="str">
        <f>IF(VLOOKUP(BL291,βοηθητικό!$J$2:$N$354,3,FALSE)="","",VLOOKUP(BL291,βοηθητικό!$J$2:$N$354,3,FALSE))</f>
        <v>_</v>
      </c>
      <c r="BN291" s="44"/>
      <c r="BO291" s="45" t="s">
        <v>16</v>
      </c>
      <c r="BP291" s="46" t="str">
        <f>IF(VLOOKUP(BO291,βοηθητικό!$J$2:$N$354,3,FALSE)="","",VLOOKUP(BO291,βοηθητικό!$J$2:$N$354,3,FALSE))</f>
        <v>_</v>
      </c>
      <c r="BQ291" s="47"/>
      <c r="BR291" s="42" t="s">
        <v>16</v>
      </c>
      <c r="BS291" s="43" t="str">
        <f>IF(VLOOKUP(BR291,βοηθητικό!$J$2:$N$354,3,FALSE)="","",VLOOKUP(BR291,βοηθητικό!$J$2:$N$354,3,FALSE))</f>
        <v>_</v>
      </c>
      <c r="BT291" s="44"/>
      <c r="BU291" s="45" t="s">
        <v>16</v>
      </c>
      <c r="BV291" s="46" t="str">
        <f>IF(VLOOKUP(BU291,βοηθητικό!$J$2:$N$354,3,FALSE)="","",VLOOKUP(BU291,βοηθητικό!$J$2:$N$354,3,FALSE))</f>
        <v>_</v>
      </c>
      <c r="BW291" s="47"/>
      <c r="BX291" s="42" t="s">
        <v>16</v>
      </c>
      <c r="BY291" s="43" t="str">
        <f>IF(VLOOKUP(BX291,βοηθητικό!$J$2:$N$354,3,FALSE)="","",VLOOKUP(BX291,βοηθητικό!$J$2:$N$354,3,FALSE))</f>
        <v>_</v>
      </c>
      <c r="BZ291" s="44"/>
      <c r="CA291" s="45" t="s">
        <v>16</v>
      </c>
      <c r="CB291" s="46" t="str">
        <f>IF(VLOOKUP(CA291,βοηθητικό!$J$2:$N$354,3,FALSE)="","",VLOOKUP(CA291,βοηθητικό!$J$2:$N$354,3,FALSE))</f>
        <v>_</v>
      </c>
      <c r="CC291" s="47"/>
      <c r="CD291" s="42" t="s">
        <v>16</v>
      </c>
      <c r="CE291" s="43" t="str">
        <f>IF(VLOOKUP(CD291,βοηθητικό!$J$2:$N$354,3,FALSE)="","",VLOOKUP(CD291,βοηθητικό!$J$2:$N$354,3,FALSE))</f>
        <v>_</v>
      </c>
      <c r="CF291" s="44"/>
      <c r="CG291" s="45" t="s">
        <v>16</v>
      </c>
      <c r="CH291" s="46" t="str">
        <f>IF(VLOOKUP(CG291,βοηθητικό!$J$2:$N$354,3,FALSE)="","",VLOOKUP(CG291,βοηθητικό!$J$2:$N$354,3,FALSE))</f>
        <v>_</v>
      </c>
      <c r="CI291" s="47"/>
      <c r="CJ291" s="42" t="s">
        <v>16</v>
      </c>
      <c r="CK291" s="43" t="str">
        <f>IF(VLOOKUP(CJ291,βοηθητικό!$J$2:$N$354,3,FALSE)="","",VLOOKUP(CJ291,βοηθητικό!$J$2:$N$354,3,FALSE))</f>
        <v>_</v>
      </c>
      <c r="CL291" s="44"/>
      <c r="CM291" s="45" t="s">
        <v>16</v>
      </c>
      <c r="CN291" s="46" t="str">
        <f>IF(VLOOKUP(CM291,βοηθητικό!$J$2:$N$354,3,FALSE)="","",VLOOKUP(CM291,βοηθητικό!$J$2:$N$354,3,FALSE))</f>
        <v>_</v>
      </c>
      <c r="CO291" s="47"/>
      <c r="CP291" s="42" t="s">
        <v>16</v>
      </c>
      <c r="CQ291" s="43" t="str">
        <f>IF(VLOOKUP(CP291,βοηθητικό!$J$2:$N$354,3,FALSE)="","",VLOOKUP(CP291,βοηθητικό!$J$2:$N$354,3,FALSE))</f>
        <v>_</v>
      </c>
      <c r="CR291" s="44"/>
      <c r="CS291" s="45" t="s">
        <v>16</v>
      </c>
      <c r="CT291" s="46" t="str">
        <f>IF(VLOOKUP(CS291,βοηθητικό!$J$2:$N$354,3,FALSE)="","",VLOOKUP(CS291,βοηθητικό!$J$2:$N$354,3,FALSE))</f>
        <v>_</v>
      </c>
      <c r="CU291" s="47"/>
    </row>
    <row r="292" spans="1:99" x14ac:dyDescent="0.25">
      <c r="A292" s="37">
        <f>--SUBTOTAL(3,$B$3:B291)</f>
        <v>198</v>
      </c>
      <c r="B292" s="2"/>
      <c r="C292" s="3"/>
      <c r="D292" s="55" t="s">
        <v>18</v>
      </c>
      <c r="E292" s="38" t="s">
        <v>16</v>
      </c>
      <c r="F292" s="38" t="s">
        <v>16</v>
      </c>
      <c r="G292" s="39" t="str">
        <f t="shared" si="14"/>
        <v>__</v>
      </c>
      <c r="H292" s="40" t="str">
        <f t="shared" si="15"/>
        <v>FALSE</v>
      </c>
      <c r="I292" s="41">
        <f t="shared" si="16"/>
        <v>0</v>
      </c>
      <c r="J292" s="4" t="s">
        <v>16</v>
      </c>
      <c r="K292" s="43" t="str">
        <f>IF(VLOOKUP(J292,βοηθητικό!$J$2:$N$354,3,FALSE)="","",VLOOKUP(J292,βοηθητικό!$J$2:$N$354,3,FALSE))</f>
        <v>_</v>
      </c>
      <c r="L292" s="44"/>
      <c r="M292" s="5" t="s">
        <v>16</v>
      </c>
      <c r="N292" s="46" t="str">
        <f>IF(VLOOKUP(M292,βοηθητικό!$J$2:$N$354,3,FALSE)="","",VLOOKUP(M292,βοηθητικό!$J$2:$N$354,3,FALSE))</f>
        <v>_</v>
      </c>
      <c r="O292" s="47"/>
      <c r="P292" s="4" t="s">
        <v>16</v>
      </c>
      <c r="Q292" s="43" t="str">
        <f>IF(VLOOKUP(P292,βοηθητικό!$J$2:$N$354,3,FALSE)="","",VLOOKUP(P292,βοηθητικό!$J$2:$N$354,3,FALSE))</f>
        <v>_</v>
      </c>
      <c r="R292" s="44"/>
      <c r="S292" s="5" t="s">
        <v>16</v>
      </c>
      <c r="T292" s="46" t="str">
        <f>IF(VLOOKUP(S292,βοηθητικό!$J$2:$N$354,3,FALSE)="","",VLOOKUP(S292,βοηθητικό!$J$2:$N$354,3,FALSE))</f>
        <v>_</v>
      </c>
      <c r="U292" s="47"/>
      <c r="V292" s="4" t="s">
        <v>16</v>
      </c>
      <c r="W292" s="43" t="str">
        <f>IF(VLOOKUP(V292,βοηθητικό!$J$2:$N$354,3,FALSE)="","",VLOOKUP(V292,βοηθητικό!$J$2:$N$354,3,FALSE))</f>
        <v>_</v>
      </c>
      <c r="X292" s="44"/>
      <c r="Y292" s="5" t="s">
        <v>16</v>
      </c>
      <c r="Z292" s="46" t="str">
        <f>IF(VLOOKUP(Y292,βοηθητικό!$J$2:$N$354,3,FALSE)="","",VLOOKUP(Y292,βοηθητικό!$J$2:$N$354,3,FALSE))</f>
        <v>_</v>
      </c>
      <c r="AA292" s="47"/>
      <c r="AB292" s="4" t="s">
        <v>16</v>
      </c>
      <c r="AC292" s="43" t="str">
        <f>IF(VLOOKUP(AB292,βοηθητικό!$J$2:$N$354,3,FALSE)="","",VLOOKUP(AB292,βοηθητικό!$J$2:$N$354,3,FALSE))</f>
        <v>_</v>
      </c>
      <c r="AD292" s="44"/>
      <c r="AE292" s="5" t="s">
        <v>16</v>
      </c>
      <c r="AF292" s="46" t="str">
        <f>IF(VLOOKUP(AE292,βοηθητικό!$J$2:$N$354,3,FALSE)="","",VLOOKUP(AE292,βοηθητικό!$J$2:$N$354,3,FALSE))</f>
        <v>_</v>
      </c>
      <c r="AG292" s="47"/>
      <c r="AH292" s="4" t="s">
        <v>16</v>
      </c>
      <c r="AI292" s="43" t="str">
        <f>IF(VLOOKUP(AH292,βοηθητικό!$J$2:$N$354,3,FALSE)="","",VLOOKUP(AH292,βοηθητικό!$J$2:$N$354,3,FALSE))</f>
        <v>_</v>
      </c>
      <c r="AJ292" s="44"/>
      <c r="AK292" s="5" t="s">
        <v>16</v>
      </c>
      <c r="AL292" s="46" t="str">
        <f>IF(VLOOKUP(AK292,βοηθητικό!$J$2:$N$354,3,FALSE)="","",VLOOKUP(AK292,βοηθητικό!$J$2:$N$354,3,FALSE))</f>
        <v>_</v>
      </c>
      <c r="AM292" s="47"/>
      <c r="AN292" s="4" t="s">
        <v>16</v>
      </c>
      <c r="AO292" s="43" t="str">
        <f>IF(VLOOKUP(AN292,βοηθητικό!$J$2:$N$354,3,FALSE)="","",VLOOKUP(AN292,βοηθητικό!$J$2:$N$354,3,FALSE))</f>
        <v>_</v>
      </c>
      <c r="AP292" s="44"/>
      <c r="AQ292" s="5" t="s">
        <v>16</v>
      </c>
      <c r="AR292" s="46" t="str">
        <f>IF(VLOOKUP(AQ292,βοηθητικό!$J$2:$N$354,3,FALSE)="","",VLOOKUP(AQ292,βοηθητικό!$J$2:$N$354,3,FALSE))</f>
        <v>_</v>
      </c>
      <c r="AS292" s="47"/>
      <c r="AT292" s="4" t="s">
        <v>16</v>
      </c>
      <c r="AU292" s="43" t="str">
        <f>IF(VLOOKUP(AT292,βοηθητικό!$J$2:$N$354,3,FALSE)="","",VLOOKUP(AT292,βοηθητικό!$J$2:$N$354,3,FALSE))</f>
        <v>_</v>
      </c>
      <c r="AV292" s="44"/>
      <c r="AW292" s="5" t="s">
        <v>16</v>
      </c>
      <c r="AX292" s="46" t="str">
        <f>IF(VLOOKUP(AW292,βοηθητικό!$J$2:$N$354,3,FALSE)="","",VLOOKUP(AW292,βοηθητικό!$J$2:$N$354,3,FALSE))</f>
        <v>_</v>
      </c>
      <c r="AY292" s="47"/>
      <c r="AZ292" s="4" t="s">
        <v>16</v>
      </c>
      <c r="BA292" s="43" t="str">
        <f>IF(VLOOKUP(AZ292,βοηθητικό!$J$2:$N$354,3,FALSE)="","",VLOOKUP(AZ292,βοηθητικό!$J$2:$N$354,3,FALSE))</f>
        <v>_</v>
      </c>
      <c r="BB292" s="44"/>
      <c r="BC292" s="45" t="s">
        <v>16</v>
      </c>
      <c r="BD292" s="46" t="str">
        <f>IF(VLOOKUP(BC292,βοηθητικό!$J$2:$N$354,3,FALSE)="","",VLOOKUP(BC292,βοηθητικό!$J$2:$N$354,3,FALSE))</f>
        <v>_</v>
      </c>
      <c r="BE292" s="47"/>
      <c r="BF292" s="42" t="s">
        <v>16</v>
      </c>
      <c r="BG292" s="43" t="str">
        <f>IF(VLOOKUP(BF292,βοηθητικό!$J$2:$N$354,3,FALSE)="","",VLOOKUP(BF292,βοηθητικό!$J$2:$N$354,3,FALSE))</f>
        <v>_</v>
      </c>
      <c r="BH292" s="44"/>
      <c r="BI292" s="45" t="s">
        <v>16</v>
      </c>
      <c r="BJ292" s="46" t="str">
        <f>IF(VLOOKUP(BI292,βοηθητικό!$J$2:$N$354,3,FALSE)="","",VLOOKUP(BI292,βοηθητικό!$J$2:$N$354,3,FALSE))</f>
        <v>_</v>
      </c>
      <c r="BK292" s="47"/>
      <c r="BL292" s="42" t="s">
        <v>16</v>
      </c>
      <c r="BM292" s="43" t="str">
        <f>IF(VLOOKUP(BL292,βοηθητικό!$J$2:$N$354,3,FALSE)="","",VLOOKUP(BL292,βοηθητικό!$J$2:$N$354,3,FALSE))</f>
        <v>_</v>
      </c>
      <c r="BN292" s="44"/>
      <c r="BO292" s="45" t="s">
        <v>16</v>
      </c>
      <c r="BP292" s="46" t="str">
        <f>IF(VLOOKUP(BO292,βοηθητικό!$J$2:$N$354,3,FALSE)="","",VLOOKUP(BO292,βοηθητικό!$J$2:$N$354,3,FALSE))</f>
        <v>_</v>
      </c>
      <c r="BQ292" s="47"/>
      <c r="BR292" s="42" t="s">
        <v>16</v>
      </c>
      <c r="BS292" s="43" t="str">
        <f>IF(VLOOKUP(BR292,βοηθητικό!$J$2:$N$354,3,FALSE)="","",VLOOKUP(BR292,βοηθητικό!$J$2:$N$354,3,FALSE))</f>
        <v>_</v>
      </c>
      <c r="BT292" s="44"/>
      <c r="BU292" s="45" t="s">
        <v>16</v>
      </c>
      <c r="BV292" s="46" t="str">
        <f>IF(VLOOKUP(BU292,βοηθητικό!$J$2:$N$354,3,FALSE)="","",VLOOKUP(BU292,βοηθητικό!$J$2:$N$354,3,FALSE))</f>
        <v>_</v>
      </c>
      <c r="BW292" s="47"/>
      <c r="BX292" s="42" t="s">
        <v>16</v>
      </c>
      <c r="BY292" s="43" t="str">
        <f>IF(VLOOKUP(BX292,βοηθητικό!$J$2:$N$354,3,FALSE)="","",VLOOKUP(BX292,βοηθητικό!$J$2:$N$354,3,FALSE))</f>
        <v>_</v>
      </c>
      <c r="BZ292" s="44"/>
      <c r="CA292" s="45" t="s">
        <v>16</v>
      </c>
      <c r="CB292" s="46" t="str">
        <f>IF(VLOOKUP(CA292,βοηθητικό!$J$2:$N$354,3,FALSE)="","",VLOOKUP(CA292,βοηθητικό!$J$2:$N$354,3,FALSE))</f>
        <v>_</v>
      </c>
      <c r="CC292" s="47"/>
      <c r="CD292" s="42" t="s">
        <v>16</v>
      </c>
      <c r="CE292" s="43" t="str">
        <f>IF(VLOOKUP(CD292,βοηθητικό!$J$2:$N$354,3,FALSE)="","",VLOOKUP(CD292,βοηθητικό!$J$2:$N$354,3,FALSE))</f>
        <v>_</v>
      </c>
      <c r="CF292" s="44"/>
      <c r="CG292" s="45" t="s">
        <v>16</v>
      </c>
      <c r="CH292" s="46" t="str">
        <f>IF(VLOOKUP(CG292,βοηθητικό!$J$2:$N$354,3,FALSE)="","",VLOOKUP(CG292,βοηθητικό!$J$2:$N$354,3,FALSE))</f>
        <v>_</v>
      </c>
      <c r="CI292" s="47"/>
      <c r="CJ292" s="42" t="s">
        <v>16</v>
      </c>
      <c r="CK292" s="43" t="str">
        <f>IF(VLOOKUP(CJ292,βοηθητικό!$J$2:$N$354,3,FALSE)="","",VLOOKUP(CJ292,βοηθητικό!$J$2:$N$354,3,FALSE))</f>
        <v>_</v>
      </c>
      <c r="CL292" s="44"/>
      <c r="CM292" s="45" t="s">
        <v>16</v>
      </c>
      <c r="CN292" s="46" t="str">
        <f>IF(VLOOKUP(CM292,βοηθητικό!$J$2:$N$354,3,FALSE)="","",VLOOKUP(CM292,βοηθητικό!$J$2:$N$354,3,FALSE))</f>
        <v>_</v>
      </c>
      <c r="CO292" s="47"/>
      <c r="CP292" s="42" t="s">
        <v>16</v>
      </c>
      <c r="CQ292" s="43" t="str">
        <f>IF(VLOOKUP(CP292,βοηθητικό!$J$2:$N$354,3,FALSE)="","",VLOOKUP(CP292,βοηθητικό!$J$2:$N$354,3,FALSE))</f>
        <v>_</v>
      </c>
      <c r="CR292" s="44"/>
      <c r="CS292" s="45" t="s">
        <v>16</v>
      </c>
      <c r="CT292" s="46" t="str">
        <f>IF(VLOOKUP(CS292,βοηθητικό!$J$2:$N$354,3,FALSE)="","",VLOOKUP(CS292,βοηθητικό!$J$2:$N$354,3,FALSE))</f>
        <v>_</v>
      </c>
      <c r="CU292" s="47"/>
    </row>
    <row r="293" spans="1:99" x14ac:dyDescent="0.25">
      <c r="A293" s="37">
        <f>--SUBTOTAL(3,$B$3:B292)</f>
        <v>198</v>
      </c>
      <c r="B293" s="2"/>
      <c r="C293" s="3"/>
      <c r="D293" s="55" t="s">
        <v>18</v>
      </c>
      <c r="E293" s="38" t="s">
        <v>16</v>
      </c>
      <c r="F293" s="38" t="s">
        <v>16</v>
      </c>
      <c r="G293" s="39" t="str">
        <f t="shared" si="14"/>
        <v>__</v>
      </c>
      <c r="H293" s="40" t="str">
        <f t="shared" si="15"/>
        <v>FALSE</v>
      </c>
      <c r="I293" s="41">
        <f t="shared" si="16"/>
        <v>0</v>
      </c>
      <c r="J293" s="4" t="s">
        <v>16</v>
      </c>
      <c r="K293" s="43" t="str">
        <f>IF(VLOOKUP(J293,βοηθητικό!$J$2:$N$354,3,FALSE)="","",VLOOKUP(J293,βοηθητικό!$J$2:$N$354,3,FALSE))</f>
        <v>_</v>
      </c>
      <c r="L293" s="44"/>
      <c r="M293" s="5" t="s">
        <v>16</v>
      </c>
      <c r="N293" s="46" t="str">
        <f>IF(VLOOKUP(M293,βοηθητικό!$J$2:$N$354,3,FALSE)="","",VLOOKUP(M293,βοηθητικό!$J$2:$N$354,3,FALSE))</f>
        <v>_</v>
      </c>
      <c r="O293" s="47"/>
      <c r="P293" s="4" t="s">
        <v>16</v>
      </c>
      <c r="Q293" s="43" t="str">
        <f>IF(VLOOKUP(P293,βοηθητικό!$J$2:$N$354,3,FALSE)="","",VLOOKUP(P293,βοηθητικό!$J$2:$N$354,3,FALSE))</f>
        <v>_</v>
      </c>
      <c r="R293" s="44"/>
      <c r="S293" s="5" t="s">
        <v>16</v>
      </c>
      <c r="T293" s="46" t="str">
        <f>IF(VLOOKUP(S293,βοηθητικό!$J$2:$N$354,3,FALSE)="","",VLOOKUP(S293,βοηθητικό!$J$2:$N$354,3,FALSE))</f>
        <v>_</v>
      </c>
      <c r="U293" s="47"/>
      <c r="V293" s="4" t="s">
        <v>16</v>
      </c>
      <c r="W293" s="43" t="str">
        <f>IF(VLOOKUP(V293,βοηθητικό!$J$2:$N$354,3,FALSE)="","",VLOOKUP(V293,βοηθητικό!$J$2:$N$354,3,FALSE))</f>
        <v>_</v>
      </c>
      <c r="X293" s="44"/>
      <c r="Y293" s="5" t="s">
        <v>16</v>
      </c>
      <c r="Z293" s="46" t="str">
        <f>IF(VLOOKUP(Y293,βοηθητικό!$J$2:$N$354,3,FALSE)="","",VLOOKUP(Y293,βοηθητικό!$J$2:$N$354,3,FALSE))</f>
        <v>_</v>
      </c>
      <c r="AA293" s="47"/>
      <c r="AB293" s="4" t="s">
        <v>16</v>
      </c>
      <c r="AC293" s="43" t="str">
        <f>IF(VLOOKUP(AB293,βοηθητικό!$J$2:$N$354,3,FALSE)="","",VLOOKUP(AB293,βοηθητικό!$J$2:$N$354,3,FALSE))</f>
        <v>_</v>
      </c>
      <c r="AD293" s="44"/>
      <c r="AE293" s="5" t="s">
        <v>16</v>
      </c>
      <c r="AF293" s="46" t="str">
        <f>IF(VLOOKUP(AE293,βοηθητικό!$J$2:$N$354,3,FALSE)="","",VLOOKUP(AE293,βοηθητικό!$J$2:$N$354,3,FALSE))</f>
        <v>_</v>
      </c>
      <c r="AG293" s="47"/>
      <c r="AH293" s="4" t="s">
        <v>16</v>
      </c>
      <c r="AI293" s="43" t="str">
        <f>IF(VLOOKUP(AH293,βοηθητικό!$J$2:$N$354,3,FALSE)="","",VLOOKUP(AH293,βοηθητικό!$J$2:$N$354,3,FALSE))</f>
        <v>_</v>
      </c>
      <c r="AJ293" s="44"/>
      <c r="AK293" s="5" t="s">
        <v>16</v>
      </c>
      <c r="AL293" s="46" t="str">
        <f>IF(VLOOKUP(AK293,βοηθητικό!$J$2:$N$354,3,FALSE)="","",VLOOKUP(AK293,βοηθητικό!$J$2:$N$354,3,FALSE))</f>
        <v>_</v>
      </c>
      <c r="AM293" s="47"/>
      <c r="AN293" s="4" t="s">
        <v>16</v>
      </c>
      <c r="AO293" s="43" t="str">
        <f>IF(VLOOKUP(AN293,βοηθητικό!$J$2:$N$354,3,FALSE)="","",VLOOKUP(AN293,βοηθητικό!$J$2:$N$354,3,FALSE))</f>
        <v>_</v>
      </c>
      <c r="AP293" s="44"/>
      <c r="AQ293" s="5" t="s">
        <v>16</v>
      </c>
      <c r="AR293" s="46" t="str">
        <f>IF(VLOOKUP(AQ293,βοηθητικό!$J$2:$N$354,3,FALSE)="","",VLOOKUP(AQ293,βοηθητικό!$J$2:$N$354,3,FALSE))</f>
        <v>_</v>
      </c>
      <c r="AS293" s="47"/>
      <c r="AT293" s="4" t="s">
        <v>16</v>
      </c>
      <c r="AU293" s="43" t="str">
        <f>IF(VLOOKUP(AT293,βοηθητικό!$J$2:$N$354,3,FALSE)="","",VLOOKUP(AT293,βοηθητικό!$J$2:$N$354,3,FALSE))</f>
        <v>_</v>
      </c>
      <c r="AV293" s="44"/>
      <c r="AW293" s="5" t="s">
        <v>16</v>
      </c>
      <c r="AX293" s="46" t="str">
        <f>IF(VLOOKUP(AW293,βοηθητικό!$J$2:$N$354,3,FALSE)="","",VLOOKUP(AW293,βοηθητικό!$J$2:$N$354,3,FALSE))</f>
        <v>_</v>
      </c>
      <c r="AY293" s="47"/>
      <c r="AZ293" s="4" t="s">
        <v>16</v>
      </c>
      <c r="BA293" s="43" t="str">
        <f>IF(VLOOKUP(AZ293,βοηθητικό!$J$2:$N$354,3,FALSE)="","",VLOOKUP(AZ293,βοηθητικό!$J$2:$N$354,3,FALSE))</f>
        <v>_</v>
      </c>
      <c r="BB293" s="44"/>
      <c r="BC293" s="45" t="s">
        <v>16</v>
      </c>
      <c r="BD293" s="46" t="str">
        <f>IF(VLOOKUP(BC293,βοηθητικό!$J$2:$N$354,3,FALSE)="","",VLOOKUP(BC293,βοηθητικό!$J$2:$N$354,3,FALSE))</f>
        <v>_</v>
      </c>
      <c r="BE293" s="47"/>
      <c r="BF293" s="42" t="s">
        <v>16</v>
      </c>
      <c r="BG293" s="43" t="str">
        <f>IF(VLOOKUP(BF293,βοηθητικό!$J$2:$N$354,3,FALSE)="","",VLOOKUP(BF293,βοηθητικό!$J$2:$N$354,3,FALSE))</f>
        <v>_</v>
      </c>
      <c r="BH293" s="44"/>
      <c r="BI293" s="45" t="s">
        <v>16</v>
      </c>
      <c r="BJ293" s="46" t="str">
        <f>IF(VLOOKUP(BI293,βοηθητικό!$J$2:$N$354,3,FALSE)="","",VLOOKUP(BI293,βοηθητικό!$J$2:$N$354,3,FALSE))</f>
        <v>_</v>
      </c>
      <c r="BK293" s="47"/>
      <c r="BL293" s="42" t="s">
        <v>16</v>
      </c>
      <c r="BM293" s="43" t="str">
        <f>IF(VLOOKUP(BL293,βοηθητικό!$J$2:$N$354,3,FALSE)="","",VLOOKUP(BL293,βοηθητικό!$J$2:$N$354,3,FALSE))</f>
        <v>_</v>
      </c>
      <c r="BN293" s="44"/>
      <c r="BO293" s="45" t="s">
        <v>16</v>
      </c>
      <c r="BP293" s="46" t="str">
        <f>IF(VLOOKUP(BO293,βοηθητικό!$J$2:$N$354,3,FALSE)="","",VLOOKUP(BO293,βοηθητικό!$J$2:$N$354,3,FALSE))</f>
        <v>_</v>
      </c>
      <c r="BQ293" s="47"/>
      <c r="BR293" s="42" t="s">
        <v>16</v>
      </c>
      <c r="BS293" s="43" t="str">
        <f>IF(VLOOKUP(BR293,βοηθητικό!$J$2:$N$354,3,FALSE)="","",VLOOKUP(BR293,βοηθητικό!$J$2:$N$354,3,FALSE))</f>
        <v>_</v>
      </c>
      <c r="BT293" s="44"/>
      <c r="BU293" s="45" t="s">
        <v>16</v>
      </c>
      <c r="BV293" s="46" t="str">
        <f>IF(VLOOKUP(BU293,βοηθητικό!$J$2:$N$354,3,FALSE)="","",VLOOKUP(BU293,βοηθητικό!$J$2:$N$354,3,FALSE))</f>
        <v>_</v>
      </c>
      <c r="BW293" s="47"/>
      <c r="BX293" s="42" t="s">
        <v>16</v>
      </c>
      <c r="BY293" s="43" t="str">
        <f>IF(VLOOKUP(BX293,βοηθητικό!$J$2:$N$354,3,FALSE)="","",VLOOKUP(BX293,βοηθητικό!$J$2:$N$354,3,FALSE))</f>
        <v>_</v>
      </c>
      <c r="BZ293" s="44"/>
      <c r="CA293" s="45" t="s">
        <v>16</v>
      </c>
      <c r="CB293" s="46" t="str">
        <f>IF(VLOOKUP(CA293,βοηθητικό!$J$2:$N$354,3,FALSE)="","",VLOOKUP(CA293,βοηθητικό!$J$2:$N$354,3,FALSE))</f>
        <v>_</v>
      </c>
      <c r="CC293" s="47"/>
      <c r="CD293" s="42" t="s">
        <v>16</v>
      </c>
      <c r="CE293" s="43" t="str">
        <f>IF(VLOOKUP(CD293,βοηθητικό!$J$2:$N$354,3,FALSE)="","",VLOOKUP(CD293,βοηθητικό!$J$2:$N$354,3,FALSE))</f>
        <v>_</v>
      </c>
      <c r="CF293" s="44"/>
      <c r="CG293" s="45" t="s">
        <v>16</v>
      </c>
      <c r="CH293" s="46" t="str">
        <f>IF(VLOOKUP(CG293,βοηθητικό!$J$2:$N$354,3,FALSE)="","",VLOOKUP(CG293,βοηθητικό!$J$2:$N$354,3,FALSE))</f>
        <v>_</v>
      </c>
      <c r="CI293" s="47"/>
      <c r="CJ293" s="42" t="s">
        <v>16</v>
      </c>
      <c r="CK293" s="43" t="str">
        <f>IF(VLOOKUP(CJ293,βοηθητικό!$J$2:$N$354,3,FALSE)="","",VLOOKUP(CJ293,βοηθητικό!$J$2:$N$354,3,FALSE))</f>
        <v>_</v>
      </c>
      <c r="CL293" s="44"/>
      <c r="CM293" s="45" t="s">
        <v>16</v>
      </c>
      <c r="CN293" s="46" t="str">
        <f>IF(VLOOKUP(CM293,βοηθητικό!$J$2:$N$354,3,FALSE)="","",VLOOKUP(CM293,βοηθητικό!$J$2:$N$354,3,FALSE))</f>
        <v>_</v>
      </c>
      <c r="CO293" s="47"/>
      <c r="CP293" s="42" t="s">
        <v>16</v>
      </c>
      <c r="CQ293" s="43" t="str">
        <f>IF(VLOOKUP(CP293,βοηθητικό!$J$2:$N$354,3,FALSE)="","",VLOOKUP(CP293,βοηθητικό!$J$2:$N$354,3,FALSE))</f>
        <v>_</v>
      </c>
      <c r="CR293" s="44"/>
      <c r="CS293" s="45" t="s">
        <v>16</v>
      </c>
      <c r="CT293" s="46" t="str">
        <f>IF(VLOOKUP(CS293,βοηθητικό!$J$2:$N$354,3,FALSE)="","",VLOOKUP(CS293,βοηθητικό!$J$2:$N$354,3,FALSE))</f>
        <v>_</v>
      </c>
      <c r="CU293" s="47"/>
    </row>
    <row r="294" spans="1:99" x14ac:dyDescent="0.25">
      <c r="A294" s="37">
        <f>--SUBTOTAL(3,$B$3:B293)</f>
        <v>198</v>
      </c>
      <c r="B294" s="2"/>
      <c r="C294" s="3"/>
      <c r="D294" s="55" t="s">
        <v>18</v>
      </c>
      <c r="E294" s="38" t="s">
        <v>16</v>
      </c>
      <c r="F294" s="38" t="s">
        <v>16</v>
      </c>
      <c r="G294" s="39" t="str">
        <f t="shared" si="14"/>
        <v>__</v>
      </c>
      <c r="H294" s="40" t="str">
        <f t="shared" si="15"/>
        <v>FALSE</v>
      </c>
      <c r="I294" s="41">
        <f t="shared" si="16"/>
        <v>0</v>
      </c>
      <c r="J294" s="4" t="s">
        <v>16</v>
      </c>
      <c r="K294" s="43" t="str">
        <f>IF(VLOOKUP(J294,βοηθητικό!$J$2:$N$354,3,FALSE)="","",VLOOKUP(J294,βοηθητικό!$J$2:$N$354,3,FALSE))</f>
        <v>_</v>
      </c>
      <c r="L294" s="44"/>
      <c r="M294" s="5" t="s">
        <v>16</v>
      </c>
      <c r="N294" s="46" t="str">
        <f>IF(VLOOKUP(M294,βοηθητικό!$J$2:$N$354,3,FALSE)="","",VLOOKUP(M294,βοηθητικό!$J$2:$N$354,3,FALSE))</f>
        <v>_</v>
      </c>
      <c r="O294" s="47"/>
      <c r="P294" s="4" t="s">
        <v>16</v>
      </c>
      <c r="Q294" s="43" t="str">
        <f>IF(VLOOKUP(P294,βοηθητικό!$J$2:$N$354,3,FALSE)="","",VLOOKUP(P294,βοηθητικό!$J$2:$N$354,3,FALSE))</f>
        <v>_</v>
      </c>
      <c r="R294" s="44"/>
      <c r="S294" s="5" t="s">
        <v>16</v>
      </c>
      <c r="T294" s="46" t="str">
        <f>IF(VLOOKUP(S294,βοηθητικό!$J$2:$N$354,3,FALSE)="","",VLOOKUP(S294,βοηθητικό!$J$2:$N$354,3,FALSE))</f>
        <v>_</v>
      </c>
      <c r="U294" s="47"/>
      <c r="V294" s="4" t="s">
        <v>16</v>
      </c>
      <c r="W294" s="43" t="str">
        <f>IF(VLOOKUP(V294,βοηθητικό!$J$2:$N$354,3,FALSE)="","",VLOOKUP(V294,βοηθητικό!$J$2:$N$354,3,FALSE))</f>
        <v>_</v>
      </c>
      <c r="X294" s="44"/>
      <c r="Y294" s="5" t="s">
        <v>16</v>
      </c>
      <c r="Z294" s="46" t="str">
        <f>IF(VLOOKUP(Y294,βοηθητικό!$J$2:$N$354,3,FALSE)="","",VLOOKUP(Y294,βοηθητικό!$J$2:$N$354,3,FALSE))</f>
        <v>_</v>
      </c>
      <c r="AA294" s="47"/>
      <c r="AB294" s="4" t="s">
        <v>16</v>
      </c>
      <c r="AC294" s="43" t="str">
        <f>IF(VLOOKUP(AB294,βοηθητικό!$J$2:$N$354,3,FALSE)="","",VLOOKUP(AB294,βοηθητικό!$J$2:$N$354,3,FALSE))</f>
        <v>_</v>
      </c>
      <c r="AD294" s="44"/>
      <c r="AE294" s="5" t="s">
        <v>16</v>
      </c>
      <c r="AF294" s="46" t="str">
        <f>IF(VLOOKUP(AE294,βοηθητικό!$J$2:$N$354,3,FALSE)="","",VLOOKUP(AE294,βοηθητικό!$J$2:$N$354,3,FALSE))</f>
        <v>_</v>
      </c>
      <c r="AG294" s="47"/>
      <c r="AH294" s="4" t="s">
        <v>16</v>
      </c>
      <c r="AI294" s="43" t="str">
        <f>IF(VLOOKUP(AH294,βοηθητικό!$J$2:$N$354,3,FALSE)="","",VLOOKUP(AH294,βοηθητικό!$J$2:$N$354,3,FALSE))</f>
        <v>_</v>
      </c>
      <c r="AJ294" s="44"/>
      <c r="AK294" s="5" t="s">
        <v>16</v>
      </c>
      <c r="AL294" s="46" t="str">
        <f>IF(VLOOKUP(AK294,βοηθητικό!$J$2:$N$354,3,FALSE)="","",VLOOKUP(AK294,βοηθητικό!$J$2:$N$354,3,FALSE))</f>
        <v>_</v>
      </c>
      <c r="AM294" s="47"/>
      <c r="AN294" s="4" t="s">
        <v>16</v>
      </c>
      <c r="AO294" s="43" t="str">
        <f>IF(VLOOKUP(AN294,βοηθητικό!$J$2:$N$354,3,FALSE)="","",VLOOKUP(AN294,βοηθητικό!$J$2:$N$354,3,FALSE))</f>
        <v>_</v>
      </c>
      <c r="AP294" s="44"/>
      <c r="AQ294" s="5" t="s">
        <v>16</v>
      </c>
      <c r="AR294" s="46" t="str">
        <f>IF(VLOOKUP(AQ294,βοηθητικό!$J$2:$N$354,3,FALSE)="","",VLOOKUP(AQ294,βοηθητικό!$J$2:$N$354,3,FALSE))</f>
        <v>_</v>
      </c>
      <c r="AS294" s="47"/>
      <c r="AT294" s="4" t="s">
        <v>16</v>
      </c>
      <c r="AU294" s="43" t="str">
        <f>IF(VLOOKUP(AT294,βοηθητικό!$J$2:$N$354,3,FALSE)="","",VLOOKUP(AT294,βοηθητικό!$J$2:$N$354,3,FALSE))</f>
        <v>_</v>
      </c>
      <c r="AV294" s="44"/>
      <c r="AW294" s="5" t="s">
        <v>16</v>
      </c>
      <c r="AX294" s="46" t="str">
        <f>IF(VLOOKUP(AW294,βοηθητικό!$J$2:$N$354,3,FALSE)="","",VLOOKUP(AW294,βοηθητικό!$J$2:$N$354,3,FALSE))</f>
        <v>_</v>
      </c>
      <c r="AY294" s="47"/>
      <c r="AZ294" s="4" t="s">
        <v>16</v>
      </c>
      <c r="BA294" s="43" t="str">
        <f>IF(VLOOKUP(AZ294,βοηθητικό!$J$2:$N$354,3,FALSE)="","",VLOOKUP(AZ294,βοηθητικό!$J$2:$N$354,3,FALSE))</f>
        <v>_</v>
      </c>
      <c r="BB294" s="44"/>
      <c r="BC294" s="45" t="s">
        <v>16</v>
      </c>
      <c r="BD294" s="46" t="str">
        <f>IF(VLOOKUP(BC294,βοηθητικό!$J$2:$N$354,3,FALSE)="","",VLOOKUP(BC294,βοηθητικό!$J$2:$N$354,3,FALSE))</f>
        <v>_</v>
      </c>
      <c r="BE294" s="47"/>
      <c r="BF294" s="42" t="s">
        <v>16</v>
      </c>
      <c r="BG294" s="43" t="str">
        <f>IF(VLOOKUP(BF294,βοηθητικό!$J$2:$N$354,3,FALSE)="","",VLOOKUP(BF294,βοηθητικό!$J$2:$N$354,3,FALSE))</f>
        <v>_</v>
      </c>
      <c r="BH294" s="44"/>
      <c r="BI294" s="45" t="s">
        <v>16</v>
      </c>
      <c r="BJ294" s="46" t="str">
        <f>IF(VLOOKUP(BI294,βοηθητικό!$J$2:$N$354,3,FALSE)="","",VLOOKUP(BI294,βοηθητικό!$J$2:$N$354,3,FALSE))</f>
        <v>_</v>
      </c>
      <c r="BK294" s="47"/>
      <c r="BL294" s="42" t="s">
        <v>16</v>
      </c>
      <c r="BM294" s="43" t="str">
        <f>IF(VLOOKUP(BL294,βοηθητικό!$J$2:$N$354,3,FALSE)="","",VLOOKUP(BL294,βοηθητικό!$J$2:$N$354,3,FALSE))</f>
        <v>_</v>
      </c>
      <c r="BN294" s="44"/>
      <c r="BO294" s="45" t="s">
        <v>16</v>
      </c>
      <c r="BP294" s="46" t="str">
        <f>IF(VLOOKUP(BO294,βοηθητικό!$J$2:$N$354,3,FALSE)="","",VLOOKUP(BO294,βοηθητικό!$J$2:$N$354,3,FALSE))</f>
        <v>_</v>
      </c>
      <c r="BQ294" s="47"/>
      <c r="BR294" s="42" t="s">
        <v>16</v>
      </c>
      <c r="BS294" s="43" t="str">
        <f>IF(VLOOKUP(BR294,βοηθητικό!$J$2:$N$354,3,FALSE)="","",VLOOKUP(BR294,βοηθητικό!$J$2:$N$354,3,FALSE))</f>
        <v>_</v>
      </c>
      <c r="BT294" s="44"/>
      <c r="BU294" s="45" t="s">
        <v>16</v>
      </c>
      <c r="BV294" s="46" t="str">
        <f>IF(VLOOKUP(BU294,βοηθητικό!$J$2:$N$354,3,FALSE)="","",VLOOKUP(BU294,βοηθητικό!$J$2:$N$354,3,FALSE))</f>
        <v>_</v>
      </c>
      <c r="BW294" s="47"/>
      <c r="BX294" s="42" t="s">
        <v>16</v>
      </c>
      <c r="BY294" s="43" t="str">
        <f>IF(VLOOKUP(BX294,βοηθητικό!$J$2:$N$354,3,FALSE)="","",VLOOKUP(BX294,βοηθητικό!$J$2:$N$354,3,FALSE))</f>
        <v>_</v>
      </c>
      <c r="BZ294" s="44"/>
      <c r="CA294" s="45" t="s">
        <v>16</v>
      </c>
      <c r="CB294" s="46" t="str">
        <f>IF(VLOOKUP(CA294,βοηθητικό!$J$2:$N$354,3,FALSE)="","",VLOOKUP(CA294,βοηθητικό!$J$2:$N$354,3,FALSE))</f>
        <v>_</v>
      </c>
      <c r="CC294" s="47"/>
      <c r="CD294" s="42" t="s">
        <v>16</v>
      </c>
      <c r="CE294" s="43" t="str">
        <f>IF(VLOOKUP(CD294,βοηθητικό!$J$2:$N$354,3,FALSE)="","",VLOOKUP(CD294,βοηθητικό!$J$2:$N$354,3,FALSE))</f>
        <v>_</v>
      </c>
      <c r="CF294" s="44"/>
      <c r="CG294" s="45" t="s">
        <v>16</v>
      </c>
      <c r="CH294" s="46" t="str">
        <f>IF(VLOOKUP(CG294,βοηθητικό!$J$2:$N$354,3,FALSE)="","",VLOOKUP(CG294,βοηθητικό!$J$2:$N$354,3,FALSE))</f>
        <v>_</v>
      </c>
      <c r="CI294" s="47"/>
      <c r="CJ294" s="42" t="s">
        <v>16</v>
      </c>
      <c r="CK294" s="43" t="str">
        <f>IF(VLOOKUP(CJ294,βοηθητικό!$J$2:$N$354,3,FALSE)="","",VLOOKUP(CJ294,βοηθητικό!$J$2:$N$354,3,FALSE))</f>
        <v>_</v>
      </c>
      <c r="CL294" s="44"/>
      <c r="CM294" s="45" t="s">
        <v>16</v>
      </c>
      <c r="CN294" s="46" t="str">
        <f>IF(VLOOKUP(CM294,βοηθητικό!$J$2:$N$354,3,FALSE)="","",VLOOKUP(CM294,βοηθητικό!$J$2:$N$354,3,FALSE))</f>
        <v>_</v>
      </c>
      <c r="CO294" s="47"/>
      <c r="CP294" s="42" t="s">
        <v>16</v>
      </c>
      <c r="CQ294" s="43" t="str">
        <f>IF(VLOOKUP(CP294,βοηθητικό!$J$2:$N$354,3,FALSE)="","",VLOOKUP(CP294,βοηθητικό!$J$2:$N$354,3,FALSE))</f>
        <v>_</v>
      </c>
      <c r="CR294" s="44"/>
      <c r="CS294" s="45" t="s">
        <v>16</v>
      </c>
      <c r="CT294" s="46" t="str">
        <f>IF(VLOOKUP(CS294,βοηθητικό!$J$2:$N$354,3,FALSE)="","",VLOOKUP(CS294,βοηθητικό!$J$2:$N$354,3,FALSE))</f>
        <v>_</v>
      </c>
      <c r="CU294" s="47"/>
    </row>
    <row r="295" spans="1:99" x14ac:dyDescent="0.25">
      <c r="A295" s="37">
        <f>--SUBTOTAL(3,$B$3:B294)</f>
        <v>198</v>
      </c>
      <c r="B295" s="2"/>
      <c r="C295" s="3"/>
      <c r="D295" s="55" t="s">
        <v>18</v>
      </c>
      <c r="E295" s="38" t="s">
        <v>16</v>
      </c>
      <c r="F295" s="38" t="s">
        <v>16</v>
      </c>
      <c r="G295" s="39" t="str">
        <f t="shared" si="14"/>
        <v>__</v>
      </c>
      <c r="H295" s="40" t="str">
        <f t="shared" si="15"/>
        <v>FALSE</v>
      </c>
      <c r="I295" s="41">
        <f t="shared" si="16"/>
        <v>0</v>
      </c>
      <c r="J295" s="4" t="s">
        <v>16</v>
      </c>
      <c r="K295" s="43" t="str">
        <f>IF(VLOOKUP(J295,βοηθητικό!$J$2:$N$354,3,FALSE)="","",VLOOKUP(J295,βοηθητικό!$J$2:$N$354,3,FALSE))</f>
        <v>_</v>
      </c>
      <c r="L295" s="44"/>
      <c r="M295" s="5" t="s">
        <v>16</v>
      </c>
      <c r="N295" s="46" t="str">
        <f>IF(VLOOKUP(M295,βοηθητικό!$J$2:$N$354,3,FALSE)="","",VLOOKUP(M295,βοηθητικό!$J$2:$N$354,3,FALSE))</f>
        <v>_</v>
      </c>
      <c r="O295" s="47"/>
      <c r="P295" s="4" t="s">
        <v>16</v>
      </c>
      <c r="Q295" s="43" t="str">
        <f>IF(VLOOKUP(P295,βοηθητικό!$J$2:$N$354,3,FALSE)="","",VLOOKUP(P295,βοηθητικό!$J$2:$N$354,3,FALSE))</f>
        <v>_</v>
      </c>
      <c r="R295" s="44"/>
      <c r="S295" s="5" t="s">
        <v>16</v>
      </c>
      <c r="T295" s="46" t="str">
        <f>IF(VLOOKUP(S295,βοηθητικό!$J$2:$N$354,3,FALSE)="","",VLOOKUP(S295,βοηθητικό!$J$2:$N$354,3,FALSE))</f>
        <v>_</v>
      </c>
      <c r="U295" s="47"/>
      <c r="V295" s="4" t="s">
        <v>16</v>
      </c>
      <c r="W295" s="43" t="str">
        <f>IF(VLOOKUP(V295,βοηθητικό!$J$2:$N$354,3,FALSE)="","",VLOOKUP(V295,βοηθητικό!$J$2:$N$354,3,FALSE))</f>
        <v>_</v>
      </c>
      <c r="X295" s="44"/>
      <c r="Y295" s="5" t="s">
        <v>16</v>
      </c>
      <c r="Z295" s="46" t="str">
        <f>IF(VLOOKUP(Y295,βοηθητικό!$J$2:$N$354,3,FALSE)="","",VLOOKUP(Y295,βοηθητικό!$J$2:$N$354,3,FALSE))</f>
        <v>_</v>
      </c>
      <c r="AA295" s="47"/>
      <c r="AB295" s="4" t="s">
        <v>16</v>
      </c>
      <c r="AC295" s="43" t="str">
        <f>IF(VLOOKUP(AB295,βοηθητικό!$J$2:$N$354,3,FALSE)="","",VLOOKUP(AB295,βοηθητικό!$J$2:$N$354,3,FALSE))</f>
        <v>_</v>
      </c>
      <c r="AD295" s="44"/>
      <c r="AE295" s="5" t="s">
        <v>16</v>
      </c>
      <c r="AF295" s="46" t="str">
        <f>IF(VLOOKUP(AE295,βοηθητικό!$J$2:$N$354,3,FALSE)="","",VLOOKUP(AE295,βοηθητικό!$J$2:$N$354,3,FALSE))</f>
        <v>_</v>
      </c>
      <c r="AG295" s="47"/>
      <c r="AH295" s="4" t="s">
        <v>16</v>
      </c>
      <c r="AI295" s="43" t="str">
        <f>IF(VLOOKUP(AH295,βοηθητικό!$J$2:$N$354,3,FALSE)="","",VLOOKUP(AH295,βοηθητικό!$J$2:$N$354,3,FALSE))</f>
        <v>_</v>
      </c>
      <c r="AJ295" s="44"/>
      <c r="AK295" s="5" t="s">
        <v>16</v>
      </c>
      <c r="AL295" s="46" t="str">
        <f>IF(VLOOKUP(AK295,βοηθητικό!$J$2:$N$354,3,FALSE)="","",VLOOKUP(AK295,βοηθητικό!$J$2:$N$354,3,FALSE))</f>
        <v>_</v>
      </c>
      <c r="AM295" s="47"/>
      <c r="AN295" s="4" t="s">
        <v>16</v>
      </c>
      <c r="AO295" s="43" t="str">
        <f>IF(VLOOKUP(AN295,βοηθητικό!$J$2:$N$354,3,FALSE)="","",VLOOKUP(AN295,βοηθητικό!$J$2:$N$354,3,FALSE))</f>
        <v>_</v>
      </c>
      <c r="AP295" s="44"/>
      <c r="AQ295" s="5" t="s">
        <v>16</v>
      </c>
      <c r="AR295" s="46" t="str">
        <f>IF(VLOOKUP(AQ295,βοηθητικό!$J$2:$N$354,3,FALSE)="","",VLOOKUP(AQ295,βοηθητικό!$J$2:$N$354,3,FALSE))</f>
        <v>_</v>
      </c>
      <c r="AS295" s="47"/>
      <c r="AT295" s="4" t="s">
        <v>16</v>
      </c>
      <c r="AU295" s="43" t="str">
        <f>IF(VLOOKUP(AT295,βοηθητικό!$J$2:$N$354,3,FALSE)="","",VLOOKUP(AT295,βοηθητικό!$J$2:$N$354,3,FALSE))</f>
        <v>_</v>
      </c>
      <c r="AV295" s="44"/>
      <c r="AW295" s="5" t="s">
        <v>16</v>
      </c>
      <c r="AX295" s="46" t="str">
        <f>IF(VLOOKUP(AW295,βοηθητικό!$J$2:$N$354,3,FALSE)="","",VLOOKUP(AW295,βοηθητικό!$J$2:$N$354,3,FALSE))</f>
        <v>_</v>
      </c>
      <c r="AY295" s="47"/>
      <c r="AZ295" s="4" t="s">
        <v>16</v>
      </c>
      <c r="BA295" s="43" t="str">
        <f>IF(VLOOKUP(AZ295,βοηθητικό!$J$2:$N$354,3,FALSE)="","",VLOOKUP(AZ295,βοηθητικό!$J$2:$N$354,3,FALSE))</f>
        <v>_</v>
      </c>
      <c r="BB295" s="44"/>
      <c r="BC295" s="45" t="s">
        <v>16</v>
      </c>
      <c r="BD295" s="46" t="str">
        <f>IF(VLOOKUP(BC295,βοηθητικό!$J$2:$N$354,3,FALSE)="","",VLOOKUP(BC295,βοηθητικό!$J$2:$N$354,3,FALSE))</f>
        <v>_</v>
      </c>
      <c r="BE295" s="47"/>
      <c r="BF295" s="42" t="s">
        <v>16</v>
      </c>
      <c r="BG295" s="43" t="str">
        <f>IF(VLOOKUP(BF295,βοηθητικό!$J$2:$N$354,3,FALSE)="","",VLOOKUP(BF295,βοηθητικό!$J$2:$N$354,3,FALSE))</f>
        <v>_</v>
      </c>
      <c r="BH295" s="44"/>
      <c r="BI295" s="45" t="s">
        <v>16</v>
      </c>
      <c r="BJ295" s="46" t="str">
        <f>IF(VLOOKUP(BI295,βοηθητικό!$J$2:$N$354,3,FALSE)="","",VLOOKUP(BI295,βοηθητικό!$J$2:$N$354,3,FALSE))</f>
        <v>_</v>
      </c>
      <c r="BK295" s="47"/>
      <c r="BL295" s="42" t="s">
        <v>16</v>
      </c>
      <c r="BM295" s="43" t="str">
        <f>IF(VLOOKUP(BL295,βοηθητικό!$J$2:$N$354,3,FALSE)="","",VLOOKUP(BL295,βοηθητικό!$J$2:$N$354,3,FALSE))</f>
        <v>_</v>
      </c>
      <c r="BN295" s="44"/>
      <c r="BO295" s="45" t="s">
        <v>16</v>
      </c>
      <c r="BP295" s="46" t="str">
        <f>IF(VLOOKUP(BO295,βοηθητικό!$J$2:$N$354,3,FALSE)="","",VLOOKUP(BO295,βοηθητικό!$J$2:$N$354,3,FALSE))</f>
        <v>_</v>
      </c>
      <c r="BQ295" s="47"/>
      <c r="BR295" s="42" t="s">
        <v>16</v>
      </c>
      <c r="BS295" s="43" t="str">
        <f>IF(VLOOKUP(BR295,βοηθητικό!$J$2:$N$354,3,FALSE)="","",VLOOKUP(BR295,βοηθητικό!$J$2:$N$354,3,FALSE))</f>
        <v>_</v>
      </c>
      <c r="BT295" s="44"/>
      <c r="BU295" s="45" t="s">
        <v>16</v>
      </c>
      <c r="BV295" s="46" t="str">
        <f>IF(VLOOKUP(BU295,βοηθητικό!$J$2:$N$354,3,FALSE)="","",VLOOKUP(BU295,βοηθητικό!$J$2:$N$354,3,FALSE))</f>
        <v>_</v>
      </c>
      <c r="BW295" s="47"/>
      <c r="BX295" s="42" t="s">
        <v>16</v>
      </c>
      <c r="BY295" s="43" t="str">
        <f>IF(VLOOKUP(BX295,βοηθητικό!$J$2:$N$354,3,FALSE)="","",VLOOKUP(BX295,βοηθητικό!$J$2:$N$354,3,FALSE))</f>
        <v>_</v>
      </c>
      <c r="BZ295" s="44"/>
      <c r="CA295" s="45" t="s">
        <v>16</v>
      </c>
      <c r="CB295" s="46" t="str">
        <f>IF(VLOOKUP(CA295,βοηθητικό!$J$2:$N$354,3,FALSE)="","",VLOOKUP(CA295,βοηθητικό!$J$2:$N$354,3,FALSE))</f>
        <v>_</v>
      </c>
      <c r="CC295" s="47"/>
      <c r="CD295" s="42" t="s">
        <v>16</v>
      </c>
      <c r="CE295" s="43" t="str">
        <f>IF(VLOOKUP(CD295,βοηθητικό!$J$2:$N$354,3,FALSE)="","",VLOOKUP(CD295,βοηθητικό!$J$2:$N$354,3,FALSE))</f>
        <v>_</v>
      </c>
      <c r="CF295" s="44"/>
      <c r="CG295" s="45" t="s">
        <v>16</v>
      </c>
      <c r="CH295" s="46" t="str">
        <f>IF(VLOOKUP(CG295,βοηθητικό!$J$2:$N$354,3,FALSE)="","",VLOOKUP(CG295,βοηθητικό!$J$2:$N$354,3,FALSE))</f>
        <v>_</v>
      </c>
      <c r="CI295" s="47"/>
      <c r="CJ295" s="42" t="s">
        <v>16</v>
      </c>
      <c r="CK295" s="43" t="str">
        <f>IF(VLOOKUP(CJ295,βοηθητικό!$J$2:$N$354,3,FALSE)="","",VLOOKUP(CJ295,βοηθητικό!$J$2:$N$354,3,FALSE))</f>
        <v>_</v>
      </c>
      <c r="CL295" s="44"/>
      <c r="CM295" s="45" t="s">
        <v>16</v>
      </c>
      <c r="CN295" s="46" t="str">
        <f>IF(VLOOKUP(CM295,βοηθητικό!$J$2:$N$354,3,FALSE)="","",VLOOKUP(CM295,βοηθητικό!$J$2:$N$354,3,FALSE))</f>
        <v>_</v>
      </c>
      <c r="CO295" s="47"/>
      <c r="CP295" s="42" t="s">
        <v>16</v>
      </c>
      <c r="CQ295" s="43" t="str">
        <f>IF(VLOOKUP(CP295,βοηθητικό!$J$2:$N$354,3,FALSE)="","",VLOOKUP(CP295,βοηθητικό!$J$2:$N$354,3,FALSE))</f>
        <v>_</v>
      </c>
      <c r="CR295" s="44"/>
      <c r="CS295" s="45" t="s">
        <v>16</v>
      </c>
      <c r="CT295" s="46" t="str">
        <f>IF(VLOOKUP(CS295,βοηθητικό!$J$2:$N$354,3,FALSE)="","",VLOOKUP(CS295,βοηθητικό!$J$2:$N$354,3,FALSE))</f>
        <v>_</v>
      </c>
      <c r="CU295" s="47"/>
    </row>
    <row r="296" spans="1:99" x14ac:dyDescent="0.25">
      <c r="A296" s="37">
        <f>--SUBTOTAL(3,$B$3:B295)</f>
        <v>198</v>
      </c>
      <c r="B296" s="2"/>
      <c r="C296" s="3"/>
      <c r="D296" s="55" t="s">
        <v>18</v>
      </c>
      <c r="E296" s="38" t="s">
        <v>16</v>
      </c>
      <c r="F296" s="38" t="s">
        <v>16</v>
      </c>
      <c r="G296" s="39" t="str">
        <f t="shared" si="14"/>
        <v>__</v>
      </c>
      <c r="H296" s="40" t="str">
        <f t="shared" si="15"/>
        <v>FALSE</v>
      </c>
      <c r="I296" s="41">
        <f t="shared" si="16"/>
        <v>0</v>
      </c>
      <c r="J296" s="4" t="s">
        <v>16</v>
      </c>
      <c r="K296" s="43" t="str">
        <f>IF(VLOOKUP(J296,βοηθητικό!$J$2:$N$354,3,FALSE)="","",VLOOKUP(J296,βοηθητικό!$J$2:$N$354,3,FALSE))</f>
        <v>_</v>
      </c>
      <c r="L296" s="44"/>
      <c r="M296" s="5" t="s">
        <v>16</v>
      </c>
      <c r="N296" s="46" t="str">
        <f>IF(VLOOKUP(M296,βοηθητικό!$J$2:$N$354,3,FALSE)="","",VLOOKUP(M296,βοηθητικό!$J$2:$N$354,3,FALSE))</f>
        <v>_</v>
      </c>
      <c r="O296" s="47"/>
      <c r="P296" s="4" t="s">
        <v>16</v>
      </c>
      <c r="Q296" s="43" t="str">
        <f>IF(VLOOKUP(P296,βοηθητικό!$J$2:$N$354,3,FALSE)="","",VLOOKUP(P296,βοηθητικό!$J$2:$N$354,3,FALSE))</f>
        <v>_</v>
      </c>
      <c r="R296" s="44"/>
      <c r="S296" s="5" t="s">
        <v>16</v>
      </c>
      <c r="T296" s="46" t="str">
        <f>IF(VLOOKUP(S296,βοηθητικό!$J$2:$N$354,3,FALSE)="","",VLOOKUP(S296,βοηθητικό!$J$2:$N$354,3,FALSE))</f>
        <v>_</v>
      </c>
      <c r="U296" s="47"/>
      <c r="V296" s="4" t="s">
        <v>16</v>
      </c>
      <c r="W296" s="43" t="str">
        <f>IF(VLOOKUP(V296,βοηθητικό!$J$2:$N$354,3,FALSE)="","",VLOOKUP(V296,βοηθητικό!$J$2:$N$354,3,FALSE))</f>
        <v>_</v>
      </c>
      <c r="X296" s="44"/>
      <c r="Y296" s="5" t="s">
        <v>16</v>
      </c>
      <c r="Z296" s="46" t="str">
        <f>IF(VLOOKUP(Y296,βοηθητικό!$J$2:$N$354,3,FALSE)="","",VLOOKUP(Y296,βοηθητικό!$J$2:$N$354,3,FALSE))</f>
        <v>_</v>
      </c>
      <c r="AA296" s="47"/>
      <c r="AB296" s="4" t="s">
        <v>16</v>
      </c>
      <c r="AC296" s="43" t="str">
        <f>IF(VLOOKUP(AB296,βοηθητικό!$J$2:$N$354,3,FALSE)="","",VLOOKUP(AB296,βοηθητικό!$J$2:$N$354,3,FALSE))</f>
        <v>_</v>
      </c>
      <c r="AD296" s="44"/>
      <c r="AE296" s="5" t="s">
        <v>16</v>
      </c>
      <c r="AF296" s="46" t="str">
        <f>IF(VLOOKUP(AE296,βοηθητικό!$J$2:$N$354,3,FALSE)="","",VLOOKUP(AE296,βοηθητικό!$J$2:$N$354,3,FALSE))</f>
        <v>_</v>
      </c>
      <c r="AG296" s="47"/>
      <c r="AH296" s="4" t="s">
        <v>16</v>
      </c>
      <c r="AI296" s="43" t="str">
        <f>IF(VLOOKUP(AH296,βοηθητικό!$J$2:$N$354,3,FALSE)="","",VLOOKUP(AH296,βοηθητικό!$J$2:$N$354,3,FALSE))</f>
        <v>_</v>
      </c>
      <c r="AJ296" s="44"/>
      <c r="AK296" s="5" t="s">
        <v>16</v>
      </c>
      <c r="AL296" s="46" t="str">
        <f>IF(VLOOKUP(AK296,βοηθητικό!$J$2:$N$354,3,FALSE)="","",VLOOKUP(AK296,βοηθητικό!$J$2:$N$354,3,FALSE))</f>
        <v>_</v>
      </c>
      <c r="AM296" s="47"/>
      <c r="AN296" s="4" t="s">
        <v>16</v>
      </c>
      <c r="AO296" s="43" t="str">
        <f>IF(VLOOKUP(AN296,βοηθητικό!$J$2:$N$354,3,FALSE)="","",VLOOKUP(AN296,βοηθητικό!$J$2:$N$354,3,FALSE))</f>
        <v>_</v>
      </c>
      <c r="AP296" s="44"/>
      <c r="AQ296" s="5" t="s">
        <v>16</v>
      </c>
      <c r="AR296" s="46" t="str">
        <f>IF(VLOOKUP(AQ296,βοηθητικό!$J$2:$N$354,3,FALSE)="","",VLOOKUP(AQ296,βοηθητικό!$J$2:$N$354,3,FALSE))</f>
        <v>_</v>
      </c>
      <c r="AS296" s="47"/>
      <c r="AT296" s="4" t="s">
        <v>16</v>
      </c>
      <c r="AU296" s="43" t="str">
        <f>IF(VLOOKUP(AT296,βοηθητικό!$J$2:$N$354,3,FALSE)="","",VLOOKUP(AT296,βοηθητικό!$J$2:$N$354,3,FALSE))</f>
        <v>_</v>
      </c>
      <c r="AV296" s="44"/>
      <c r="AW296" s="5" t="s">
        <v>16</v>
      </c>
      <c r="AX296" s="46" t="str">
        <f>IF(VLOOKUP(AW296,βοηθητικό!$J$2:$N$354,3,FALSE)="","",VLOOKUP(AW296,βοηθητικό!$J$2:$N$354,3,FALSE))</f>
        <v>_</v>
      </c>
      <c r="AY296" s="47"/>
      <c r="AZ296" s="4" t="s">
        <v>16</v>
      </c>
      <c r="BA296" s="43" t="str">
        <f>IF(VLOOKUP(AZ296,βοηθητικό!$J$2:$N$354,3,FALSE)="","",VLOOKUP(AZ296,βοηθητικό!$J$2:$N$354,3,FALSE))</f>
        <v>_</v>
      </c>
      <c r="BB296" s="44"/>
      <c r="BC296" s="45" t="s">
        <v>16</v>
      </c>
      <c r="BD296" s="46" t="str">
        <f>IF(VLOOKUP(BC296,βοηθητικό!$J$2:$N$354,3,FALSE)="","",VLOOKUP(BC296,βοηθητικό!$J$2:$N$354,3,FALSE))</f>
        <v>_</v>
      </c>
      <c r="BE296" s="47"/>
      <c r="BF296" s="42" t="s">
        <v>16</v>
      </c>
      <c r="BG296" s="43" t="str">
        <f>IF(VLOOKUP(BF296,βοηθητικό!$J$2:$N$354,3,FALSE)="","",VLOOKUP(BF296,βοηθητικό!$J$2:$N$354,3,FALSE))</f>
        <v>_</v>
      </c>
      <c r="BH296" s="44"/>
      <c r="BI296" s="45" t="s">
        <v>16</v>
      </c>
      <c r="BJ296" s="46" t="str">
        <f>IF(VLOOKUP(BI296,βοηθητικό!$J$2:$N$354,3,FALSE)="","",VLOOKUP(BI296,βοηθητικό!$J$2:$N$354,3,FALSE))</f>
        <v>_</v>
      </c>
      <c r="BK296" s="47"/>
      <c r="BL296" s="42" t="s">
        <v>16</v>
      </c>
      <c r="BM296" s="43" t="str">
        <f>IF(VLOOKUP(BL296,βοηθητικό!$J$2:$N$354,3,FALSE)="","",VLOOKUP(BL296,βοηθητικό!$J$2:$N$354,3,FALSE))</f>
        <v>_</v>
      </c>
      <c r="BN296" s="44"/>
      <c r="BO296" s="45" t="s">
        <v>16</v>
      </c>
      <c r="BP296" s="46" t="str">
        <f>IF(VLOOKUP(BO296,βοηθητικό!$J$2:$N$354,3,FALSE)="","",VLOOKUP(BO296,βοηθητικό!$J$2:$N$354,3,FALSE))</f>
        <v>_</v>
      </c>
      <c r="BQ296" s="47"/>
      <c r="BR296" s="42" t="s">
        <v>16</v>
      </c>
      <c r="BS296" s="43" t="str">
        <f>IF(VLOOKUP(BR296,βοηθητικό!$J$2:$N$354,3,FALSE)="","",VLOOKUP(BR296,βοηθητικό!$J$2:$N$354,3,FALSE))</f>
        <v>_</v>
      </c>
      <c r="BT296" s="44"/>
      <c r="BU296" s="45" t="s">
        <v>16</v>
      </c>
      <c r="BV296" s="46" t="str">
        <f>IF(VLOOKUP(BU296,βοηθητικό!$J$2:$N$354,3,FALSE)="","",VLOOKUP(BU296,βοηθητικό!$J$2:$N$354,3,FALSE))</f>
        <v>_</v>
      </c>
      <c r="BW296" s="47"/>
      <c r="BX296" s="42" t="s">
        <v>16</v>
      </c>
      <c r="BY296" s="43" t="str">
        <f>IF(VLOOKUP(BX296,βοηθητικό!$J$2:$N$354,3,FALSE)="","",VLOOKUP(BX296,βοηθητικό!$J$2:$N$354,3,FALSE))</f>
        <v>_</v>
      </c>
      <c r="BZ296" s="44"/>
      <c r="CA296" s="45" t="s">
        <v>16</v>
      </c>
      <c r="CB296" s="46" t="str">
        <f>IF(VLOOKUP(CA296,βοηθητικό!$J$2:$N$354,3,FALSE)="","",VLOOKUP(CA296,βοηθητικό!$J$2:$N$354,3,FALSE))</f>
        <v>_</v>
      </c>
      <c r="CC296" s="47"/>
      <c r="CD296" s="42" t="s">
        <v>16</v>
      </c>
      <c r="CE296" s="43" t="str">
        <f>IF(VLOOKUP(CD296,βοηθητικό!$J$2:$N$354,3,FALSE)="","",VLOOKUP(CD296,βοηθητικό!$J$2:$N$354,3,FALSE))</f>
        <v>_</v>
      </c>
      <c r="CF296" s="44"/>
      <c r="CG296" s="45" t="s">
        <v>16</v>
      </c>
      <c r="CH296" s="46" t="str">
        <f>IF(VLOOKUP(CG296,βοηθητικό!$J$2:$N$354,3,FALSE)="","",VLOOKUP(CG296,βοηθητικό!$J$2:$N$354,3,FALSE))</f>
        <v>_</v>
      </c>
      <c r="CI296" s="47"/>
      <c r="CJ296" s="42" t="s">
        <v>16</v>
      </c>
      <c r="CK296" s="43" t="str">
        <f>IF(VLOOKUP(CJ296,βοηθητικό!$J$2:$N$354,3,FALSE)="","",VLOOKUP(CJ296,βοηθητικό!$J$2:$N$354,3,FALSE))</f>
        <v>_</v>
      </c>
      <c r="CL296" s="44"/>
      <c r="CM296" s="45" t="s">
        <v>16</v>
      </c>
      <c r="CN296" s="46" t="str">
        <f>IF(VLOOKUP(CM296,βοηθητικό!$J$2:$N$354,3,FALSE)="","",VLOOKUP(CM296,βοηθητικό!$J$2:$N$354,3,FALSE))</f>
        <v>_</v>
      </c>
      <c r="CO296" s="47"/>
      <c r="CP296" s="42" t="s">
        <v>16</v>
      </c>
      <c r="CQ296" s="43" t="str">
        <f>IF(VLOOKUP(CP296,βοηθητικό!$J$2:$N$354,3,FALSE)="","",VLOOKUP(CP296,βοηθητικό!$J$2:$N$354,3,FALSE))</f>
        <v>_</v>
      </c>
      <c r="CR296" s="44"/>
      <c r="CS296" s="45" t="s">
        <v>16</v>
      </c>
      <c r="CT296" s="46" t="str">
        <f>IF(VLOOKUP(CS296,βοηθητικό!$J$2:$N$354,3,FALSE)="","",VLOOKUP(CS296,βοηθητικό!$J$2:$N$354,3,FALSE))</f>
        <v>_</v>
      </c>
      <c r="CU296" s="47"/>
    </row>
    <row r="297" spans="1:99" x14ac:dyDescent="0.25">
      <c r="A297" s="37">
        <f>--SUBTOTAL(3,$B$3:B296)</f>
        <v>198</v>
      </c>
      <c r="B297" s="2"/>
      <c r="C297" s="3"/>
      <c r="D297" s="55" t="s">
        <v>18</v>
      </c>
      <c r="E297" s="38" t="s">
        <v>16</v>
      </c>
      <c r="F297" s="38" t="s">
        <v>16</v>
      </c>
      <c r="G297" s="39" t="str">
        <f t="shared" si="14"/>
        <v>__</v>
      </c>
      <c r="H297" s="40" t="str">
        <f t="shared" si="15"/>
        <v>FALSE</v>
      </c>
      <c r="I297" s="41">
        <f t="shared" si="16"/>
        <v>0</v>
      </c>
      <c r="J297" s="4" t="s">
        <v>16</v>
      </c>
      <c r="K297" s="43" t="str">
        <f>IF(VLOOKUP(J297,βοηθητικό!$J$2:$N$354,3,FALSE)="","",VLOOKUP(J297,βοηθητικό!$J$2:$N$354,3,FALSE))</f>
        <v>_</v>
      </c>
      <c r="L297" s="44"/>
      <c r="M297" s="5" t="s">
        <v>16</v>
      </c>
      <c r="N297" s="46" t="str">
        <f>IF(VLOOKUP(M297,βοηθητικό!$J$2:$N$354,3,FALSE)="","",VLOOKUP(M297,βοηθητικό!$J$2:$N$354,3,FALSE))</f>
        <v>_</v>
      </c>
      <c r="O297" s="47"/>
      <c r="P297" s="4" t="s">
        <v>16</v>
      </c>
      <c r="Q297" s="43" t="str">
        <f>IF(VLOOKUP(P297,βοηθητικό!$J$2:$N$354,3,FALSE)="","",VLOOKUP(P297,βοηθητικό!$J$2:$N$354,3,FALSE))</f>
        <v>_</v>
      </c>
      <c r="R297" s="44"/>
      <c r="S297" s="5" t="s">
        <v>16</v>
      </c>
      <c r="T297" s="46" t="str">
        <f>IF(VLOOKUP(S297,βοηθητικό!$J$2:$N$354,3,FALSE)="","",VLOOKUP(S297,βοηθητικό!$J$2:$N$354,3,FALSE))</f>
        <v>_</v>
      </c>
      <c r="U297" s="47"/>
      <c r="V297" s="4" t="s">
        <v>16</v>
      </c>
      <c r="W297" s="43" t="str">
        <f>IF(VLOOKUP(V297,βοηθητικό!$J$2:$N$354,3,FALSE)="","",VLOOKUP(V297,βοηθητικό!$J$2:$N$354,3,FALSE))</f>
        <v>_</v>
      </c>
      <c r="X297" s="44"/>
      <c r="Y297" s="5" t="s">
        <v>16</v>
      </c>
      <c r="Z297" s="46" t="str">
        <f>IF(VLOOKUP(Y297,βοηθητικό!$J$2:$N$354,3,FALSE)="","",VLOOKUP(Y297,βοηθητικό!$J$2:$N$354,3,FALSE))</f>
        <v>_</v>
      </c>
      <c r="AA297" s="47"/>
      <c r="AB297" s="4" t="s">
        <v>16</v>
      </c>
      <c r="AC297" s="43" t="str">
        <f>IF(VLOOKUP(AB297,βοηθητικό!$J$2:$N$354,3,FALSE)="","",VLOOKUP(AB297,βοηθητικό!$J$2:$N$354,3,FALSE))</f>
        <v>_</v>
      </c>
      <c r="AD297" s="44"/>
      <c r="AE297" s="5" t="s">
        <v>16</v>
      </c>
      <c r="AF297" s="46" t="str">
        <f>IF(VLOOKUP(AE297,βοηθητικό!$J$2:$N$354,3,FALSE)="","",VLOOKUP(AE297,βοηθητικό!$J$2:$N$354,3,FALSE))</f>
        <v>_</v>
      </c>
      <c r="AG297" s="47"/>
      <c r="AH297" s="4" t="s">
        <v>16</v>
      </c>
      <c r="AI297" s="43" t="str">
        <f>IF(VLOOKUP(AH297,βοηθητικό!$J$2:$N$354,3,FALSE)="","",VLOOKUP(AH297,βοηθητικό!$J$2:$N$354,3,FALSE))</f>
        <v>_</v>
      </c>
      <c r="AJ297" s="44"/>
      <c r="AK297" s="5" t="s">
        <v>16</v>
      </c>
      <c r="AL297" s="46" t="str">
        <f>IF(VLOOKUP(AK297,βοηθητικό!$J$2:$N$354,3,FALSE)="","",VLOOKUP(AK297,βοηθητικό!$J$2:$N$354,3,FALSE))</f>
        <v>_</v>
      </c>
      <c r="AM297" s="47"/>
      <c r="AN297" s="4" t="s">
        <v>16</v>
      </c>
      <c r="AO297" s="43" t="str">
        <f>IF(VLOOKUP(AN297,βοηθητικό!$J$2:$N$354,3,FALSE)="","",VLOOKUP(AN297,βοηθητικό!$J$2:$N$354,3,FALSE))</f>
        <v>_</v>
      </c>
      <c r="AP297" s="44"/>
      <c r="AQ297" s="5" t="s">
        <v>16</v>
      </c>
      <c r="AR297" s="46" t="str">
        <f>IF(VLOOKUP(AQ297,βοηθητικό!$J$2:$N$354,3,FALSE)="","",VLOOKUP(AQ297,βοηθητικό!$J$2:$N$354,3,FALSE))</f>
        <v>_</v>
      </c>
      <c r="AS297" s="47"/>
      <c r="AT297" s="4" t="s">
        <v>16</v>
      </c>
      <c r="AU297" s="43" t="str">
        <f>IF(VLOOKUP(AT297,βοηθητικό!$J$2:$N$354,3,FALSE)="","",VLOOKUP(AT297,βοηθητικό!$J$2:$N$354,3,FALSE))</f>
        <v>_</v>
      </c>
      <c r="AV297" s="44"/>
      <c r="AW297" s="5" t="s">
        <v>16</v>
      </c>
      <c r="AX297" s="46" t="str">
        <f>IF(VLOOKUP(AW297,βοηθητικό!$J$2:$N$354,3,FALSE)="","",VLOOKUP(AW297,βοηθητικό!$J$2:$N$354,3,FALSE))</f>
        <v>_</v>
      </c>
      <c r="AY297" s="47"/>
      <c r="AZ297" s="4" t="s">
        <v>16</v>
      </c>
      <c r="BA297" s="43" t="str">
        <f>IF(VLOOKUP(AZ297,βοηθητικό!$J$2:$N$354,3,FALSE)="","",VLOOKUP(AZ297,βοηθητικό!$J$2:$N$354,3,FALSE))</f>
        <v>_</v>
      </c>
      <c r="BB297" s="44"/>
      <c r="BC297" s="45" t="s">
        <v>16</v>
      </c>
      <c r="BD297" s="46" t="str">
        <f>IF(VLOOKUP(BC297,βοηθητικό!$J$2:$N$354,3,FALSE)="","",VLOOKUP(BC297,βοηθητικό!$J$2:$N$354,3,FALSE))</f>
        <v>_</v>
      </c>
      <c r="BE297" s="47"/>
      <c r="BF297" s="42" t="s">
        <v>16</v>
      </c>
      <c r="BG297" s="43" t="str">
        <f>IF(VLOOKUP(BF297,βοηθητικό!$J$2:$N$354,3,FALSE)="","",VLOOKUP(BF297,βοηθητικό!$J$2:$N$354,3,FALSE))</f>
        <v>_</v>
      </c>
      <c r="BH297" s="44"/>
      <c r="BI297" s="45" t="s">
        <v>16</v>
      </c>
      <c r="BJ297" s="46" t="str">
        <f>IF(VLOOKUP(BI297,βοηθητικό!$J$2:$N$354,3,FALSE)="","",VLOOKUP(BI297,βοηθητικό!$J$2:$N$354,3,FALSE))</f>
        <v>_</v>
      </c>
      <c r="BK297" s="47"/>
      <c r="BL297" s="42" t="s">
        <v>16</v>
      </c>
      <c r="BM297" s="43" t="str">
        <f>IF(VLOOKUP(BL297,βοηθητικό!$J$2:$N$354,3,FALSE)="","",VLOOKUP(BL297,βοηθητικό!$J$2:$N$354,3,FALSE))</f>
        <v>_</v>
      </c>
      <c r="BN297" s="44"/>
      <c r="BO297" s="45" t="s">
        <v>16</v>
      </c>
      <c r="BP297" s="46" t="str">
        <f>IF(VLOOKUP(BO297,βοηθητικό!$J$2:$N$354,3,FALSE)="","",VLOOKUP(BO297,βοηθητικό!$J$2:$N$354,3,FALSE))</f>
        <v>_</v>
      </c>
      <c r="BQ297" s="47"/>
      <c r="BR297" s="42" t="s">
        <v>16</v>
      </c>
      <c r="BS297" s="43" t="str">
        <f>IF(VLOOKUP(BR297,βοηθητικό!$J$2:$N$354,3,FALSE)="","",VLOOKUP(BR297,βοηθητικό!$J$2:$N$354,3,FALSE))</f>
        <v>_</v>
      </c>
      <c r="BT297" s="44"/>
      <c r="BU297" s="45" t="s">
        <v>16</v>
      </c>
      <c r="BV297" s="46" t="str">
        <f>IF(VLOOKUP(BU297,βοηθητικό!$J$2:$N$354,3,FALSE)="","",VLOOKUP(BU297,βοηθητικό!$J$2:$N$354,3,FALSE))</f>
        <v>_</v>
      </c>
      <c r="BW297" s="47"/>
      <c r="BX297" s="42" t="s">
        <v>16</v>
      </c>
      <c r="BY297" s="43" t="str">
        <f>IF(VLOOKUP(BX297,βοηθητικό!$J$2:$N$354,3,FALSE)="","",VLOOKUP(BX297,βοηθητικό!$J$2:$N$354,3,FALSE))</f>
        <v>_</v>
      </c>
      <c r="BZ297" s="44"/>
      <c r="CA297" s="45" t="s">
        <v>16</v>
      </c>
      <c r="CB297" s="46" t="str">
        <f>IF(VLOOKUP(CA297,βοηθητικό!$J$2:$N$354,3,FALSE)="","",VLOOKUP(CA297,βοηθητικό!$J$2:$N$354,3,FALSE))</f>
        <v>_</v>
      </c>
      <c r="CC297" s="47"/>
      <c r="CD297" s="42" t="s">
        <v>16</v>
      </c>
      <c r="CE297" s="43" t="str">
        <f>IF(VLOOKUP(CD297,βοηθητικό!$J$2:$N$354,3,FALSE)="","",VLOOKUP(CD297,βοηθητικό!$J$2:$N$354,3,FALSE))</f>
        <v>_</v>
      </c>
      <c r="CF297" s="44"/>
      <c r="CG297" s="45" t="s">
        <v>16</v>
      </c>
      <c r="CH297" s="46" t="str">
        <f>IF(VLOOKUP(CG297,βοηθητικό!$J$2:$N$354,3,FALSE)="","",VLOOKUP(CG297,βοηθητικό!$J$2:$N$354,3,FALSE))</f>
        <v>_</v>
      </c>
      <c r="CI297" s="47"/>
      <c r="CJ297" s="42" t="s">
        <v>16</v>
      </c>
      <c r="CK297" s="43" t="str">
        <f>IF(VLOOKUP(CJ297,βοηθητικό!$J$2:$N$354,3,FALSE)="","",VLOOKUP(CJ297,βοηθητικό!$J$2:$N$354,3,FALSE))</f>
        <v>_</v>
      </c>
      <c r="CL297" s="44"/>
      <c r="CM297" s="45" t="s">
        <v>16</v>
      </c>
      <c r="CN297" s="46" t="str">
        <f>IF(VLOOKUP(CM297,βοηθητικό!$J$2:$N$354,3,FALSE)="","",VLOOKUP(CM297,βοηθητικό!$J$2:$N$354,3,FALSE))</f>
        <v>_</v>
      </c>
      <c r="CO297" s="47"/>
      <c r="CP297" s="42" t="s">
        <v>16</v>
      </c>
      <c r="CQ297" s="43" t="str">
        <f>IF(VLOOKUP(CP297,βοηθητικό!$J$2:$N$354,3,FALSE)="","",VLOOKUP(CP297,βοηθητικό!$J$2:$N$354,3,FALSE))</f>
        <v>_</v>
      </c>
      <c r="CR297" s="44"/>
      <c r="CS297" s="45" t="s">
        <v>16</v>
      </c>
      <c r="CT297" s="46" t="str">
        <f>IF(VLOOKUP(CS297,βοηθητικό!$J$2:$N$354,3,FALSE)="","",VLOOKUP(CS297,βοηθητικό!$J$2:$N$354,3,FALSE))</f>
        <v>_</v>
      </c>
      <c r="CU297" s="47"/>
    </row>
    <row r="298" spans="1:99" x14ac:dyDescent="0.25">
      <c r="A298" s="37">
        <f>--SUBTOTAL(3,$B$3:B297)</f>
        <v>198</v>
      </c>
      <c r="B298" s="2"/>
      <c r="C298" s="3"/>
      <c r="D298" s="55" t="s">
        <v>18</v>
      </c>
      <c r="E298" s="38" t="s">
        <v>16</v>
      </c>
      <c r="F298" s="38" t="s">
        <v>16</v>
      </c>
      <c r="G298" s="39" t="str">
        <f t="shared" si="14"/>
        <v>__</v>
      </c>
      <c r="H298" s="40" t="str">
        <f t="shared" si="15"/>
        <v>FALSE</v>
      </c>
      <c r="I298" s="41">
        <f t="shared" si="16"/>
        <v>0</v>
      </c>
      <c r="J298" s="4" t="s">
        <v>16</v>
      </c>
      <c r="K298" s="43" t="str">
        <f>IF(VLOOKUP(J298,βοηθητικό!$J$2:$N$354,3,FALSE)="","",VLOOKUP(J298,βοηθητικό!$J$2:$N$354,3,FALSE))</f>
        <v>_</v>
      </c>
      <c r="L298" s="44"/>
      <c r="M298" s="5" t="s">
        <v>16</v>
      </c>
      <c r="N298" s="46" t="str">
        <f>IF(VLOOKUP(M298,βοηθητικό!$J$2:$N$354,3,FALSE)="","",VLOOKUP(M298,βοηθητικό!$J$2:$N$354,3,FALSE))</f>
        <v>_</v>
      </c>
      <c r="O298" s="47"/>
      <c r="P298" s="4" t="s">
        <v>16</v>
      </c>
      <c r="Q298" s="43" t="str">
        <f>IF(VLOOKUP(P298,βοηθητικό!$J$2:$N$354,3,FALSE)="","",VLOOKUP(P298,βοηθητικό!$J$2:$N$354,3,FALSE))</f>
        <v>_</v>
      </c>
      <c r="R298" s="44"/>
      <c r="S298" s="5" t="s">
        <v>16</v>
      </c>
      <c r="T298" s="46" t="str">
        <f>IF(VLOOKUP(S298,βοηθητικό!$J$2:$N$354,3,FALSE)="","",VLOOKUP(S298,βοηθητικό!$J$2:$N$354,3,FALSE))</f>
        <v>_</v>
      </c>
      <c r="U298" s="47"/>
      <c r="V298" s="4" t="s">
        <v>16</v>
      </c>
      <c r="W298" s="43" t="str">
        <f>IF(VLOOKUP(V298,βοηθητικό!$J$2:$N$354,3,FALSE)="","",VLOOKUP(V298,βοηθητικό!$J$2:$N$354,3,FALSE))</f>
        <v>_</v>
      </c>
      <c r="X298" s="44"/>
      <c r="Y298" s="5" t="s">
        <v>16</v>
      </c>
      <c r="Z298" s="46" t="str">
        <f>IF(VLOOKUP(Y298,βοηθητικό!$J$2:$N$354,3,FALSE)="","",VLOOKUP(Y298,βοηθητικό!$J$2:$N$354,3,FALSE))</f>
        <v>_</v>
      </c>
      <c r="AA298" s="47"/>
      <c r="AB298" s="4" t="s">
        <v>16</v>
      </c>
      <c r="AC298" s="43" t="str">
        <f>IF(VLOOKUP(AB298,βοηθητικό!$J$2:$N$354,3,FALSE)="","",VLOOKUP(AB298,βοηθητικό!$J$2:$N$354,3,FALSE))</f>
        <v>_</v>
      </c>
      <c r="AD298" s="44"/>
      <c r="AE298" s="5" t="s">
        <v>16</v>
      </c>
      <c r="AF298" s="46" t="str">
        <f>IF(VLOOKUP(AE298,βοηθητικό!$J$2:$N$354,3,FALSE)="","",VLOOKUP(AE298,βοηθητικό!$J$2:$N$354,3,FALSE))</f>
        <v>_</v>
      </c>
      <c r="AG298" s="47"/>
      <c r="AH298" s="4" t="s">
        <v>16</v>
      </c>
      <c r="AI298" s="43" t="str">
        <f>IF(VLOOKUP(AH298,βοηθητικό!$J$2:$N$354,3,FALSE)="","",VLOOKUP(AH298,βοηθητικό!$J$2:$N$354,3,FALSE))</f>
        <v>_</v>
      </c>
      <c r="AJ298" s="44"/>
      <c r="AK298" s="5" t="s">
        <v>16</v>
      </c>
      <c r="AL298" s="46" t="str">
        <f>IF(VLOOKUP(AK298,βοηθητικό!$J$2:$N$354,3,FALSE)="","",VLOOKUP(AK298,βοηθητικό!$J$2:$N$354,3,FALSE))</f>
        <v>_</v>
      </c>
      <c r="AM298" s="47"/>
      <c r="AN298" s="4" t="s">
        <v>16</v>
      </c>
      <c r="AO298" s="43" t="str">
        <f>IF(VLOOKUP(AN298,βοηθητικό!$J$2:$N$354,3,FALSE)="","",VLOOKUP(AN298,βοηθητικό!$J$2:$N$354,3,FALSE))</f>
        <v>_</v>
      </c>
      <c r="AP298" s="44"/>
      <c r="AQ298" s="5" t="s">
        <v>16</v>
      </c>
      <c r="AR298" s="46" t="str">
        <f>IF(VLOOKUP(AQ298,βοηθητικό!$J$2:$N$354,3,FALSE)="","",VLOOKUP(AQ298,βοηθητικό!$J$2:$N$354,3,FALSE))</f>
        <v>_</v>
      </c>
      <c r="AS298" s="47"/>
      <c r="AT298" s="4" t="s">
        <v>16</v>
      </c>
      <c r="AU298" s="43" t="str">
        <f>IF(VLOOKUP(AT298,βοηθητικό!$J$2:$N$354,3,FALSE)="","",VLOOKUP(AT298,βοηθητικό!$J$2:$N$354,3,FALSE))</f>
        <v>_</v>
      </c>
      <c r="AV298" s="44"/>
      <c r="AW298" s="5" t="s">
        <v>16</v>
      </c>
      <c r="AX298" s="46" t="str">
        <f>IF(VLOOKUP(AW298,βοηθητικό!$J$2:$N$354,3,FALSE)="","",VLOOKUP(AW298,βοηθητικό!$J$2:$N$354,3,FALSE))</f>
        <v>_</v>
      </c>
      <c r="AY298" s="47"/>
      <c r="AZ298" s="4" t="s">
        <v>16</v>
      </c>
      <c r="BA298" s="43" t="str">
        <f>IF(VLOOKUP(AZ298,βοηθητικό!$J$2:$N$354,3,FALSE)="","",VLOOKUP(AZ298,βοηθητικό!$J$2:$N$354,3,FALSE))</f>
        <v>_</v>
      </c>
      <c r="BB298" s="44"/>
      <c r="BC298" s="45" t="s">
        <v>16</v>
      </c>
      <c r="BD298" s="46" t="str">
        <f>IF(VLOOKUP(BC298,βοηθητικό!$J$2:$N$354,3,FALSE)="","",VLOOKUP(BC298,βοηθητικό!$J$2:$N$354,3,FALSE))</f>
        <v>_</v>
      </c>
      <c r="BE298" s="47"/>
      <c r="BF298" s="42" t="s">
        <v>16</v>
      </c>
      <c r="BG298" s="43" t="str">
        <f>IF(VLOOKUP(BF298,βοηθητικό!$J$2:$N$354,3,FALSE)="","",VLOOKUP(BF298,βοηθητικό!$J$2:$N$354,3,FALSE))</f>
        <v>_</v>
      </c>
      <c r="BH298" s="44"/>
      <c r="BI298" s="45" t="s">
        <v>16</v>
      </c>
      <c r="BJ298" s="46" t="str">
        <f>IF(VLOOKUP(BI298,βοηθητικό!$J$2:$N$354,3,FALSE)="","",VLOOKUP(BI298,βοηθητικό!$J$2:$N$354,3,FALSE))</f>
        <v>_</v>
      </c>
      <c r="BK298" s="47"/>
      <c r="BL298" s="42" t="s">
        <v>16</v>
      </c>
      <c r="BM298" s="43" t="str">
        <f>IF(VLOOKUP(BL298,βοηθητικό!$J$2:$N$354,3,FALSE)="","",VLOOKUP(BL298,βοηθητικό!$J$2:$N$354,3,FALSE))</f>
        <v>_</v>
      </c>
      <c r="BN298" s="44"/>
      <c r="BO298" s="45" t="s">
        <v>16</v>
      </c>
      <c r="BP298" s="46" t="str">
        <f>IF(VLOOKUP(BO298,βοηθητικό!$J$2:$N$354,3,FALSE)="","",VLOOKUP(BO298,βοηθητικό!$J$2:$N$354,3,FALSE))</f>
        <v>_</v>
      </c>
      <c r="BQ298" s="47"/>
      <c r="BR298" s="42" t="s">
        <v>16</v>
      </c>
      <c r="BS298" s="43" t="str">
        <f>IF(VLOOKUP(BR298,βοηθητικό!$J$2:$N$354,3,FALSE)="","",VLOOKUP(BR298,βοηθητικό!$J$2:$N$354,3,FALSE))</f>
        <v>_</v>
      </c>
      <c r="BT298" s="44"/>
      <c r="BU298" s="45" t="s">
        <v>16</v>
      </c>
      <c r="BV298" s="46" t="str">
        <f>IF(VLOOKUP(BU298,βοηθητικό!$J$2:$N$354,3,FALSE)="","",VLOOKUP(BU298,βοηθητικό!$J$2:$N$354,3,FALSE))</f>
        <v>_</v>
      </c>
      <c r="BW298" s="47"/>
      <c r="BX298" s="42" t="s">
        <v>16</v>
      </c>
      <c r="BY298" s="43" t="str">
        <f>IF(VLOOKUP(BX298,βοηθητικό!$J$2:$N$354,3,FALSE)="","",VLOOKUP(BX298,βοηθητικό!$J$2:$N$354,3,FALSE))</f>
        <v>_</v>
      </c>
      <c r="BZ298" s="44"/>
      <c r="CA298" s="45" t="s">
        <v>16</v>
      </c>
      <c r="CB298" s="46" t="str">
        <f>IF(VLOOKUP(CA298,βοηθητικό!$J$2:$N$354,3,FALSE)="","",VLOOKUP(CA298,βοηθητικό!$J$2:$N$354,3,FALSE))</f>
        <v>_</v>
      </c>
      <c r="CC298" s="47"/>
      <c r="CD298" s="42" t="s">
        <v>16</v>
      </c>
      <c r="CE298" s="43" t="str">
        <f>IF(VLOOKUP(CD298,βοηθητικό!$J$2:$N$354,3,FALSE)="","",VLOOKUP(CD298,βοηθητικό!$J$2:$N$354,3,FALSE))</f>
        <v>_</v>
      </c>
      <c r="CF298" s="44"/>
      <c r="CG298" s="45" t="s">
        <v>16</v>
      </c>
      <c r="CH298" s="46" t="str">
        <f>IF(VLOOKUP(CG298,βοηθητικό!$J$2:$N$354,3,FALSE)="","",VLOOKUP(CG298,βοηθητικό!$J$2:$N$354,3,FALSE))</f>
        <v>_</v>
      </c>
      <c r="CI298" s="47"/>
      <c r="CJ298" s="42" t="s">
        <v>16</v>
      </c>
      <c r="CK298" s="43" t="str">
        <f>IF(VLOOKUP(CJ298,βοηθητικό!$J$2:$N$354,3,FALSE)="","",VLOOKUP(CJ298,βοηθητικό!$J$2:$N$354,3,FALSE))</f>
        <v>_</v>
      </c>
      <c r="CL298" s="44"/>
      <c r="CM298" s="45" t="s">
        <v>16</v>
      </c>
      <c r="CN298" s="46" t="str">
        <f>IF(VLOOKUP(CM298,βοηθητικό!$J$2:$N$354,3,FALSE)="","",VLOOKUP(CM298,βοηθητικό!$J$2:$N$354,3,FALSE))</f>
        <v>_</v>
      </c>
      <c r="CO298" s="47"/>
      <c r="CP298" s="42" t="s">
        <v>16</v>
      </c>
      <c r="CQ298" s="43" t="str">
        <f>IF(VLOOKUP(CP298,βοηθητικό!$J$2:$N$354,3,FALSE)="","",VLOOKUP(CP298,βοηθητικό!$J$2:$N$354,3,FALSE))</f>
        <v>_</v>
      </c>
      <c r="CR298" s="44"/>
      <c r="CS298" s="45" t="s">
        <v>16</v>
      </c>
      <c r="CT298" s="46" t="str">
        <f>IF(VLOOKUP(CS298,βοηθητικό!$J$2:$N$354,3,FALSE)="","",VLOOKUP(CS298,βοηθητικό!$J$2:$N$354,3,FALSE))</f>
        <v>_</v>
      </c>
      <c r="CU298" s="47"/>
    </row>
    <row r="299" spans="1:99" x14ac:dyDescent="0.25">
      <c r="A299" s="37">
        <f>--SUBTOTAL(3,$B$3:B298)</f>
        <v>198</v>
      </c>
      <c r="B299" s="2"/>
      <c r="C299" s="3"/>
      <c r="D299" s="55" t="s">
        <v>18</v>
      </c>
      <c r="E299" s="38" t="s">
        <v>16</v>
      </c>
      <c r="F299" s="38" t="s">
        <v>16</v>
      </c>
      <c r="G299" s="39" t="str">
        <f t="shared" si="14"/>
        <v>__</v>
      </c>
      <c r="H299" s="40" t="str">
        <f t="shared" si="15"/>
        <v>FALSE</v>
      </c>
      <c r="I299" s="41">
        <f t="shared" si="16"/>
        <v>0</v>
      </c>
      <c r="J299" s="4" t="s">
        <v>16</v>
      </c>
      <c r="K299" s="43" t="str">
        <f>IF(VLOOKUP(J299,βοηθητικό!$J$2:$N$354,3,FALSE)="","",VLOOKUP(J299,βοηθητικό!$J$2:$N$354,3,FALSE))</f>
        <v>_</v>
      </c>
      <c r="L299" s="44"/>
      <c r="M299" s="5" t="s">
        <v>16</v>
      </c>
      <c r="N299" s="46" t="str">
        <f>IF(VLOOKUP(M299,βοηθητικό!$J$2:$N$354,3,FALSE)="","",VLOOKUP(M299,βοηθητικό!$J$2:$N$354,3,FALSE))</f>
        <v>_</v>
      </c>
      <c r="O299" s="47"/>
      <c r="P299" s="4" t="s">
        <v>16</v>
      </c>
      <c r="Q299" s="43" t="str">
        <f>IF(VLOOKUP(P299,βοηθητικό!$J$2:$N$354,3,FALSE)="","",VLOOKUP(P299,βοηθητικό!$J$2:$N$354,3,FALSE))</f>
        <v>_</v>
      </c>
      <c r="R299" s="44"/>
      <c r="S299" s="5" t="s">
        <v>16</v>
      </c>
      <c r="T299" s="46" t="str">
        <f>IF(VLOOKUP(S299,βοηθητικό!$J$2:$N$354,3,FALSE)="","",VLOOKUP(S299,βοηθητικό!$J$2:$N$354,3,FALSE))</f>
        <v>_</v>
      </c>
      <c r="U299" s="47"/>
      <c r="V299" s="4" t="s">
        <v>16</v>
      </c>
      <c r="W299" s="43" t="str">
        <f>IF(VLOOKUP(V299,βοηθητικό!$J$2:$N$354,3,FALSE)="","",VLOOKUP(V299,βοηθητικό!$J$2:$N$354,3,FALSE))</f>
        <v>_</v>
      </c>
      <c r="X299" s="44"/>
      <c r="Y299" s="5" t="s">
        <v>16</v>
      </c>
      <c r="Z299" s="46" t="str">
        <f>IF(VLOOKUP(Y299,βοηθητικό!$J$2:$N$354,3,FALSE)="","",VLOOKUP(Y299,βοηθητικό!$J$2:$N$354,3,FALSE))</f>
        <v>_</v>
      </c>
      <c r="AA299" s="47"/>
      <c r="AB299" s="4" t="s">
        <v>16</v>
      </c>
      <c r="AC299" s="43" t="str">
        <f>IF(VLOOKUP(AB299,βοηθητικό!$J$2:$N$354,3,FALSE)="","",VLOOKUP(AB299,βοηθητικό!$J$2:$N$354,3,FALSE))</f>
        <v>_</v>
      </c>
      <c r="AD299" s="44"/>
      <c r="AE299" s="5" t="s">
        <v>16</v>
      </c>
      <c r="AF299" s="46" t="str">
        <f>IF(VLOOKUP(AE299,βοηθητικό!$J$2:$N$354,3,FALSE)="","",VLOOKUP(AE299,βοηθητικό!$J$2:$N$354,3,FALSE))</f>
        <v>_</v>
      </c>
      <c r="AG299" s="47"/>
      <c r="AH299" s="4" t="s">
        <v>16</v>
      </c>
      <c r="AI299" s="43" t="str">
        <f>IF(VLOOKUP(AH299,βοηθητικό!$J$2:$N$354,3,FALSE)="","",VLOOKUP(AH299,βοηθητικό!$J$2:$N$354,3,FALSE))</f>
        <v>_</v>
      </c>
      <c r="AJ299" s="44"/>
      <c r="AK299" s="5" t="s">
        <v>16</v>
      </c>
      <c r="AL299" s="46" t="str">
        <f>IF(VLOOKUP(AK299,βοηθητικό!$J$2:$N$354,3,FALSE)="","",VLOOKUP(AK299,βοηθητικό!$J$2:$N$354,3,FALSE))</f>
        <v>_</v>
      </c>
      <c r="AM299" s="47"/>
      <c r="AN299" s="4" t="s">
        <v>16</v>
      </c>
      <c r="AO299" s="43" t="str">
        <f>IF(VLOOKUP(AN299,βοηθητικό!$J$2:$N$354,3,FALSE)="","",VLOOKUP(AN299,βοηθητικό!$J$2:$N$354,3,FALSE))</f>
        <v>_</v>
      </c>
      <c r="AP299" s="44"/>
      <c r="AQ299" s="5" t="s">
        <v>16</v>
      </c>
      <c r="AR299" s="46" t="str">
        <f>IF(VLOOKUP(AQ299,βοηθητικό!$J$2:$N$354,3,FALSE)="","",VLOOKUP(AQ299,βοηθητικό!$J$2:$N$354,3,FALSE))</f>
        <v>_</v>
      </c>
      <c r="AS299" s="47"/>
      <c r="AT299" s="4" t="s">
        <v>16</v>
      </c>
      <c r="AU299" s="43" t="str">
        <f>IF(VLOOKUP(AT299,βοηθητικό!$J$2:$N$354,3,FALSE)="","",VLOOKUP(AT299,βοηθητικό!$J$2:$N$354,3,FALSE))</f>
        <v>_</v>
      </c>
      <c r="AV299" s="44"/>
      <c r="AW299" s="5" t="s">
        <v>16</v>
      </c>
      <c r="AX299" s="46" t="str">
        <f>IF(VLOOKUP(AW299,βοηθητικό!$J$2:$N$354,3,FALSE)="","",VLOOKUP(AW299,βοηθητικό!$J$2:$N$354,3,FALSE))</f>
        <v>_</v>
      </c>
      <c r="AY299" s="47"/>
      <c r="AZ299" s="4" t="s">
        <v>16</v>
      </c>
      <c r="BA299" s="43" t="str">
        <f>IF(VLOOKUP(AZ299,βοηθητικό!$J$2:$N$354,3,FALSE)="","",VLOOKUP(AZ299,βοηθητικό!$J$2:$N$354,3,FALSE))</f>
        <v>_</v>
      </c>
      <c r="BB299" s="44"/>
      <c r="BC299" s="45" t="s">
        <v>16</v>
      </c>
      <c r="BD299" s="46" t="str">
        <f>IF(VLOOKUP(BC299,βοηθητικό!$J$2:$N$354,3,FALSE)="","",VLOOKUP(BC299,βοηθητικό!$J$2:$N$354,3,FALSE))</f>
        <v>_</v>
      </c>
      <c r="BE299" s="47"/>
      <c r="BF299" s="42" t="s">
        <v>16</v>
      </c>
      <c r="BG299" s="43" t="str">
        <f>IF(VLOOKUP(BF299,βοηθητικό!$J$2:$N$354,3,FALSE)="","",VLOOKUP(BF299,βοηθητικό!$J$2:$N$354,3,FALSE))</f>
        <v>_</v>
      </c>
      <c r="BH299" s="44"/>
      <c r="BI299" s="45" t="s">
        <v>16</v>
      </c>
      <c r="BJ299" s="46" t="str">
        <f>IF(VLOOKUP(BI299,βοηθητικό!$J$2:$N$354,3,FALSE)="","",VLOOKUP(BI299,βοηθητικό!$J$2:$N$354,3,FALSE))</f>
        <v>_</v>
      </c>
      <c r="BK299" s="47"/>
      <c r="BL299" s="42" t="s">
        <v>16</v>
      </c>
      <c r="BM299" s="43" t="str">
        <f>IF(VLOOKUP(BL299,βοηθητικό!$J$2:$N$354,3,FALSE)="","",VLOOKUP(BL299,βοηθητικό!$J$2:$N$354,3,FALSE))</f>
        <v>_</v>
      </c>
      <c r="BN299" s="44"/>
      <c r="BO299" s="45" t="s">
        <v>16</v>
      </c>
      <c r="BP299" s="46" t="str">
        <f>IF(VLOOKUP(BO299,βοηθητικό!$J$2:$N$354,3,FALSE)="","",VLOOKUP(BO299,βοηθητικό!$J$2:$N$354,3,FALSE))</f>
        <v>_</v>
      </c>
      <c r="BQ299" s="47"/>
      <c r="BR299" s="42" t="s">
        <v>16</v>
      </c>
      <c r="BS299" s="43" t="str">
        <f>IF(VLOOKUP(BR299,βοηθητικό!$J$2:$N$354,3,FALSE)="","",VLOOKUP(BR299,βοηθητικό!$J$2:$N$354,3,FALSE))</f>
        <v>_</v>
      </c>
      <c r="BT299" s="44"/>
      <c r="BU299" s="45" t="s">
        <v>16</v>
      </c>
      <c r="BV299" s="46" t="str">
        <f>IF(VLOOKUP(BU299,βοηθητικό!$J$2:$N$354,3,FALSE)="","",VLOOKUP(BU299,βοηθητικό!$J$2:$N$354,3,FALSE))</f>
        <v>_</v>
      </c>
      <c r="BW299" s="47"/>
      <c r="BX299" s="42" t="s">
        <v>16</v>
      </c>
      <c r="BY299" s="43" t="str">
        <f>IF(VLOOKUP(BX299,βοηθητικό!$J$2:$N$354,3,FALSE)="","",VLOOKUP(BX299,βοηθητικό!$J$2:$N$354,3,FALSE))</f>
        <v>_</v>
      </c>
      <c r="BZ299" s="44"/>
      <c r="CA299" s="45" t="s">
        <v>16</v>
      </c>
      <c r="CB299" s="46" t="str">
        <f>IF(VLOOKUP(CA299,βοηθητικό!$J$2:$N$354,3,FALSE)="","",VLOOKUP(CA299,βοηθητικό!$J$2:$N$354,3,FALSE))</f>
        <v>_</v>
      </c>
      <c r="CC299" s="47"/>
      <c r="CD299" s="42" t="s">
        <v>16</v>
      </c>
      <c r="CE299" s="43" t="str">
        <f>IF(VLOOKUP(CD299,βοηθητικό!$J$2:$N$354,3,FALSE)="","",VLOOKUP(CD299,βοηθητικό!$J$2:$N$354,3,FALSE))</f>
        <v>_</v>
      </c>
      <c r="CF299" s="44"/>
      <c r="CG299" s="45" t="s">
        <v>16</v>
      </c>
      <c r="CH299" s="46" t="str">
        <f>IF(VLOOKUP(CG299,βοηθητικό!$J$2:$N$354,3,FALSE)="","",VLOOKUP(CG299,βοηθητικό!$J$2:$N$354,3,FALSE))</f>
        <v>_</v>
      </c>
      <c r="CI299" s="47"/>
      <c r="CJ299" s="42" t="s">
        <v>16</v>
      </c>
      <c r="CK299" s="43" t="str">
        <f>IF(VLOOKUP(CJ299,βοηθητικό!$J$2:$N$354,3,FALSE)="","",VLOOKUP(CJ299,βοηθητικό!$J$2:$N$354,3,FALSE))</f>
        <v>_</v>
      </c>
      <c r="CL299" s="44"/>
      <c r="CM299" s="45" t="s">
        <v>16</v>
      </c>
      <c r="CN299" s="46" t="str">
        <f>IF(VLOOKUP(CM299,βοηθητικό!$J$2:$N$354,3,FALSE)="","",VLOOKUP(CM299,βοηθητικό!$J$2:$N$354,3,FALSE))</f>
        <v>_</v>
      </c>
      <c r="CO299" s="47"/>
      <c r="CP299" s="42" t="s">
        <v>16</v>
      </c>
      <c r="CQ299" s="43" t="str">
        <f>IF(VLOOKUP(CP299,βοηθητικό!$J$2:$N$354,3,FALSE)="","",VLOOKUP(CP299,βοηθητικό!$J$2:$N$354,3,FALSE))</f>
        <v>_</v>
      </c>
      <c r="CR299" s="44"/>
      <c r="CS299" s="45" t="s">
        <v>16</v>
      </c>
      <c r="CT299" s="46" t="str">
        <f>IF(VLOOKUP(CS299,βοηθητικό!$J$2:$N$354,3,FALSE)="","",VLOOKUP(CS299,βοηθητικό!$J$2:$N$354,3,FALSE))</f>
        <v>_</v>
      </c>
      <c r="CU299" s="47"/>
    </row>
    <row r="300" spans="1:99" x14ac:dyDescent="0.25">
      <c r="A300" s="37">
        <f>--SUBTOTAL(3,$B$3:B299)</f>
        <v>198</v>
      </c>
      <c r="B300" s="2"/>
      <c r="C300" s="3"/>
      <c r="D300" s="55" t="s">
        <v>18</v>
      </c>
      <c r="E300" s="38" t="s">
        <v>16</v>
      </c>
      <c r="F300" s="38" t="s">
        <v>16</v>
      </c>
      <c r="G300" s="39" t="str">
        <f t="shared" si="14"/>
        <v>__</v>
      </c>
      <c r="H300" s="40" t="str">
        <f t="shared" si="15"/>
        <v>FALSE</v>
      </c>
      <c r="I300" s="41">
        <f t="shared" si="16"/>
        <v>0</v>
      </c>
      <c r="J300" s="4" t="s">
        <v>16</v>
      </c>
      <c r="K300" s="43" t="str">
        <f>IF(VLOOKUP(J300,βοηθητικό!$J$2:$N$354,3,FALSE)="","",VLOOKUP(J300,βοηθητικό!$J$2:$N$354,3,FALSE))</f>
        <v>_</v>
      </c>
      <c r="L300" s="44"/>
      <c r="M300" s="5" t="s">
        <v>16</v>
      </c>
      <c r="N300" s="46" t="str">
        <f>IF(VLOOKUP(M300,βοηθητικό!$J$2:$N$354,3,FALSE)="","",VLOOKUP(M300,βοηθητικό!$J$2:$N$354,3,FALSE))</f>
        <v>_</v>
      </c>
      <c r="O300" s="47"/>
      <c r="P300" s="4" t="s">
        <v>16</v>
      </c>
      <c r="Q300" s="43" t="str">
        <f>IF(VLOOKUP(P300,βοηθητικό!$J$2:$N$354,3,FALSE)="","",VLOOKUP(P300,βοηθητικό!$J$2:$N$354,3,FALSE))</f>
        <v>_</v>
      </c>
      <c r="R300" s="44"/>
      <c r="S300" s="5" t="s">
        <v>16</v>
      </c>
      <c r="T300" s="46" t="str">
        <f>IF(VLOOKUP(S300,βοηθητικό!$J$2:$N$354,3,FALSE)="","",VLOOKUP(S300,βοηθητικό!$J$2:$N$354,3,FALSE))</f>
        <v>_</v>
      </c>
      <c r="U300" s="47"/>
      <c r="V300" s="4" t="s">
        <v>16</v>
      </c>
      <c r="W300" s="43" t="str">
        <f>IF(VLOOKUP(V300,βοηθητικό!$J$2:$N$354,3,FALSE)="","",VLOOKUP(V300,βοηθητικό!$J$2:$N$354,3,FALSE))</f>
        <v>_</v>
      </c>
      <c r="X300" s="44"/>
      <c r="Y300" s="5" t="s">
        <v>16</v>
      </c>
      <c r="Z300" s="46" t="str">
        <f>IF(VLOOKUP(Y300,βοηθητικό!$J$2:$N$354,3,FALSE)="","",VLOOKUP(Y300,βοηθητικό!$J$2:$N$354,3,FALSE))</f>
        <v>_</v>
      </c>
      <c r="AA300" s="47"/>
      <c r="AB300" s="4" t="s">
        <v>16</v>
      </c>
      <c r="AC300" s="43" t="str">
        <f>IF(VLOOKUP(AB300,βοηθητικό!$J$2:$N$354,3,FALSE)="","",VLOOKUP(AB300,βοηθητικό!$J$2:$N$354,3,FALSE))</f>
        <v>_</v>
      </c>
      <c r="AD300" s="44"/>
      <c r="AE300" s="5" t="s">
        <v>16</v>
      </c>
      <c r="AF300" s="46" t="str">
        <f>IF(VLOOKUP(AE300,βοηθητικό!$J$2:$N$354,3,FALSE)="","",VLOOKUP(AE300,βοηθητικό!$J$2:$N$354,3,FALSE))</f>
        <v>_</v>
      </c>
      <c r="AG300" s="47"/>
      <c r="AH300" s="4" t="s">
        <v>16</v>
      </c>
      <c r="AI300" s="43" t="str">
        <f>IF(VLOOKUP(AH300,βοηθητικό!$J$2:$N$354,3,FALSE)="","",VLOOKUP(AH300,βοηθητικό!$J$2:$N$354,3,FALSE))</f>
        <v>_</v>
      </c>
      <c r="AJ300" s="44"/>
      <c r="AK300" s="5" t="s">
        <v>16</v>
      </c>
      <c r="AL300" s="46" t="str">
        <f>IF(VLOOKUP(AK300,βοηθητικό!$J$2:$N$354,3,FALSE)="","",VLOOKUP(AK300,βοηθητικό!$J$2:$N$354,3,FALSE))</f>
        <v>_</v>
      </c>
      <c r="AM300" s="47"/>
      <c r="AN300" s="4" t="s">
        <v>16</v>
      </c>
      <c r="AO300" s="43" t="str">
        <f>IF(VLOOKUP(AN300,βοηθητικό!$J$2:$N$354,3,FALSE)="","",VLOOKUP(AN300,βοηθητικό!$J$2:$N$354,3,FALSE))</f>
        <v>_</v>
      </c>
      <c r="AP300" s="44"/>
      <c r="AQ300" s="5" t="s">
        <v>16</v>
      </c>
      <c r="AR300" s="46" t="str">
        <f>IF(VLOOKUP(AQ300,βοηθητικό!$J$2:$N$354,3,FALSE)="","",VLOOKUP(AQ300,βοηθητικό!$J$2:$N$354,3,FALSE))</f>
        <v>_</v>
      </c>
      <c r="AS300" s="47"/>
      <c r="AT300" s="4" t="s">
        <v>16</v>
      </c>
      <c r="AU300" s="43" t="str">
        <f>IF(VLOOKUP(AT300,βοηθητικό!$J$2:$N$354,3,FALSE)="","",VLOOKUP(AT300,βοηθητικό!$J$2:$N$354,3,FALSE))</f>
        <v>_</v>
      </c>
      <c r="AV300" s="44"/>
      <c r="AW300" s="5" t="s">
        <v>16</v>
      </c>
      <c r="AX300" s="46" t="str">
        <f>IF(VLOOKUP(AW300,βοηθητικό!$J$2:$N$354,3,FALSE)="","",VLOOKUP(AW300,βοηθητικό!$J$2:$N$354,3,FALSE))</f>
        <v>_</v>
      </c>
      <c r="AY300" s="47"/>
      <c r="AZ300" s="4" t="s">
        <v>16</v>
      </c>
      <c r="BA300" s="43" t="str">
        <f>IF(VLOOKUP(AZ300,βοηθητικό!$J$2:$N$354,3,FALSE)="","",VLOOKUP(AZ300,βοηθητικό!$J$2:$N$354,3,FALSE))</f>
        <v>_</v>
      </c>
      <c r="BB300" s="44"/>
      <c r="BC300" s="45" t="s">
        <v>16</v>
      </c>
      <c r="BD300" s="46" t="str">
        <f>IF(VLOOKUP(BC300,βοηθητικό!$J$2:$N$354,3,FALSE)="","",VLOOKUP(BC300,βοηθητικό!$J$2:$N$354,3,FALSE))</f>
        <v>_</v>
      </c>
      <c r="BE300" s="47"/>
      <c r="BF300" s="42" t="s">
        <v>16</v>
      </c>
      <c r="BG300" s="43" t="str">
        <f>IF(VLOOKUP(BF300,βοηθητικό!$J$2:$N$354,3,FALSE)="","",VLOOKUP(BF300,βοηθητικό!$J$2:$N$354,3,FALSE))</f>
        <v>_</v>
      </c>
      <c r="BH300" s="44"/>
      <c r="BI300" s="45" t="s">
        <v>16</v>
      </c>
      <c r="BJ300" s="46" t="str">
        <f>IF(VLOOKUP(BI300,βοηθητικό!$J$2:$N$354,3,FALSE)="","",VLOOKUP(BI300,βοηθητικό!$J$2:$N$354,3,FALSE))</f>
        <v>_</v>
      </c>
      <c r="BK300" s="47"/>
      <c r="BL300" s="42" t="s">
        <v>16</v>
      </c>
      <c r="BM300" s="43" t="str">
        <f>IF(VLOOKUP(BL300,βοηθητικό!$J$2:$N$354,3,FALSE)="","",VLOOKUP(BL300,βοηθητικό!$J$2:$N$354,3,FALSE))</f>
        <v>_</v>
      </c>
      <c r="BN300" s="44"/>
      <c r="BO300" s="45" t="s">
        <v>16</v>
      </c>
      <c r="BP300" s="46" t="str">
        <f>IF(VLOOKUP(BO300,βοηθητικό!$J$2:$N$354,3,FALSE)="","",VLOOKUP(BO300,βοηθητικό!$J$2:$N$354,3,FALSE))</f>
        <v>_</v>
      </c>
      <c r="BQ300" s="47"/>
      <c r="BR300" s="42" t="s">
        <v>16</v>
      </c>
      <c r="BS300" s="43" t="str">
        <f>IF(VLOOKUP(BR300,βοηθητικό!$J$2:$N$354,3,FALSE)="","",VLOOKUP(BR300,βοηθητικό!$J$2:$N$354,3,FALSE))</f>
        <v>_</v>
      </c>
      <c r="BT300" s="44"/>
      <c r="BU300" s="45" t="s">
        <v>16</v>
      </c>
      <c r="BV300" s="46" t="str">
        <f>IF(VLOOKUP(BU300,βοηθητικό!$J$2:$N$354,3,FALSE)="","",VLOOKUP(BU300,βοηθητικό!$J$2:$N$354,3,FALSE))</f>
        <v>_</v>
      </c>
      <c r="BW300" s="47"/>
      <c r="BX300" s="42" t="s">
        <v>16</v>
      </c>
      <c r="BY300" s="43" t="str">
        <f>IF(VLOOKUP(BX300,βοηθητικό!$J$2:$N$354,3,FALSE)="","",VLOOKUP(BX300,βοηθητικό!$J$2:$N$354,3,FALSE))</f>
        <v>_</v>
      </c>
      <c r="BZ300" s="44"/>
      <c r="CA300" s="45" t="s">
        <v>16</v>
      </c>
      <c r="CB300" s="46" t="str">
        <f>IF(VLOOKUP(CA300,βοηθητικό!$J$2:$N$354,3,FALSE)="","",VLOOKUP(CA300,βοηθητικό!$J$2:$N$354,3,FALSE))</f>
        <v>_</v>
      </c>
      <c r="CC300" s="47"/>
      <c r="CD300" s="42" t="s">
        <v>16</v>
      </c>
      <c r="CE300" s="43" t="str">
        <f>IF(VLOOKUP(CD300,βοηθητικό!$J$2:$N$354,3,FALSE)="","",VLOOKUP(CD300,βοηθητικό!$J$2:$N$354,3,FALSE))</f>
        <v>_</v>
      </c>
      <c r="CF300" s="44"/>
      <c r="CG300" s="45" t="s">
        <v>16</v>
      </c>
      <c r="CH300" s="46" t="str">
        <f>IF(VLOOKUP(CG300,βοηθητικό!$J$2:$N$354,3,FALSE)="","",VLOOKUP(CG300,βοηθητικό!$J$2:$N$354,3,FALSE))</f>
        <v>_</v>
      </c>
      <c r="CI300" s="47"/>
      <c r="CJ300" s="42" t="s">
        <v>16</v>
      </c>
      <c r="CK300" s="43" t="str">
        <f>IF(VLOOKUP(CJ300,βοηθητικό!$J$2:$N$354,3,FALSE)="","",VLOOKUP(CJ300,βοηθητικό!$J$2:$N$354,3,FALSE))</f>
        <v>_</v>
      </c>
      <c r="CL300" s="44"/>
      <c r="CM300" s="45" t="s">
        <v>16</v>
      </c>
      <c r="CN300" s="46" t="str">
        <f>IF(VLOOKUP(CM300,βοηθητικό!$J$2:$N$354,3,FALSE)="","",VLOOKUP(CM300,βοηθητικό!$J$2:$N$354,3,FALSE))</f>
        <v>_</v>
      </c>
      <c r="CO300" s="47"/>
      <c r="CP300" s="42" t="s">
        <v>16</v>
      </c>
      <c r="CQ300" s="43" t="str">
        <f>IF(VLOOKUP(CP300,βοηθητικό!$J$2:$N$354,3,FALSE)="","",VLOOKUP(CP300,βοηθητικό!$J$2:$N$354,3,FALSE))</f>
        <v>_</v>
      </c>
      <c r="CR300" s="44"/>
      <c r="CS300" s="45" t="s">
        <v>16</v>
      </c>
      <c r="CT300" s="46" t="str">
        <f>IF(VLOOKUP(CS300,βοηθητικό!$J$2:$N$354,3,FALSE)="","",VLOOKUP(CS300,βοηθητικό!$J$2:$N$354,3,FALSE))</f>
        <v>_</v>
      </c>
      <c r="CU300" s="47"/>
    </row>
    <row r="301" spans="1:99" x14ac:dyDescent="0.25">
      <c r="A301" s="37">
        <f>--SUBTOTAL(3,$B$3:B300)</f>
        <v>198</v>
      </c>
      <c r="B301" s="2"/>
      <c r="C301" s="3"/>
      <c r="D301" s="55" t="s">
        <v>18</v>
      </c>
      <c r="E301" s="38" t="s">
        <v>16</v>
      </c>
      <c r="F301" s="38" t="s">
        <v>16</v>
      </c>
      <c r="G301" s="39" t="str">
        <f t="shared" si="14"/>
        <v>__</v>
      </c>
      <c r="H301" s="40" t="str">
        <f t="shared" si="15"/>
        <v>FALSE</v>
      </c>
      <c r="I301" s="41">
        <f t="shared" si="16"/>
        <v>0</v>
      </c>
      <c r="J301" s="4" t="s">
        <v>16</v>
      </c>
      <c r="K301" s="43" t="str">
        <f>IF(VLOOKUP(J301,βοηθητικό!$J$2:$N$354,3,FALSE)="","",VLOOKUP(J301,βοηθητικό!$J$2:$N$354,3,FALSE))</f>
        <v>_</v>
      </c>
      <c r="L301" s="44"/>
      <c r="M301" s="5" t="s">
        <v>16</v>
      </c>
      <c r="N301" s="46" t="str">
        <f>IF(VLOOKUP(M301,βοηθητικό!$J$2:$N$354,3,FALSE)="","",VLOOKUP(M301,βοηθητικό!$J$2:$N$354,3,FALSE))</f>
        <v>_</v>
      </c>
      <c r="O301" s="47"/>
      <c r="P301" s="4" t="s">
        <v>16</v>
      </c>
      <c r="Q301" s="43" t="str">
        <f>IF(VLOOKUP(P301,βοηθητικό!$J$2:$N$354,3,FALSE)="","",VLOOKUP(P301,βοηθητικό!$J$2:$N$354,3,FALSE))</f>
        <v>_</v>
      </c>
      <c r="R301" s="44"/>
      <c r="S301" s="5" t="s">
        <v>16</v>
      </c>
      <c r="T301" s="46" t="str">
        <f>IF(VLOOKUP(S301,βοηθητικό!$J$2:$N$354,3,FALSE)="","",VLOOKUP(S301,βοηθητικό!$J$2:$N$354,3,FALSE))</f>
        <v>_</v>
      </c>
      <c r="U301" s="47"/>
      <c r="V301" s="4" t="s">
        <v>16</v>
      </c>
      <c r="W301" s="43" t="str">
        <f>IF(VLOOKUP(V301,βοηθητικό!$J$2:$N$354,3,FALSE)="","",VLOOKUP(V301,βοηθητικό!$J$2:$N$354,3,FALSE))</f>
        <v>_</v>
      </c>
      <c r="X301" s="44"/>
      <c r="Y301" s="5" t="s">
        <v>16</v>
      </c>
      <c r="Z301" s="46" t="str">
        <f>IF(VLOOKUP(Y301,βοηθητικό!$J$2:$N$354,3,FALSE)="","",VLOOKUP(Y301,βοηθητικό!$J$2:$N$354,3,FALSE))</f>
        <v>_</v>
      </c>
      <c r="AA301" s="47"/>
      <c r="AB301" s="4" t="s">
        <v>16</v>
      </c>
      <c r="AC301" s="43" t="str">
        <f>IF(VLOOKUP(AB301,βοηθητικό!$J$2:$N$354,3,FALSE)="","",VLOOKUP(AB301,βοηθητικό!$J$2:$N$354,3,FALSE))</f>
        <v>_</v>
      </c>
      <c r="AD301" s="44"/>
      <c r="AE301" s="5" t="s">
        <v>16</v>
      </c>
      <c r="AF301" s="46" t="str">
        <f>IF(VLOOKUP(AE301,βοηθητικό!$J$2:$N$354,3,FALSE)="","",VLOOKUP(AE301,βοηθητικό!$J$2:$N$354,3,FALSE))</f>
        <v>_</v>
      </c>
      <c r="AG301" s="47"/>
      <c r="AH301" s="4" t="s">
        <v>16</v>
      </c>
      <c r="AI301" s="43" t="str">
        <f>IF(VLOOKUP(AH301,βοηθητικό!$J$2:$N$354,3,FALSE)="","",VLOOKUP(AH301,βοηθητικό!$J$2:$N$354,3,FALSE))</f>
        <v>_</v>
      </c>
      <c r="AJ301" s="44"/>
      <c r="AK301" s="5" t="s">
        <v>16</v>
      </c>
      <c r="AL301" s="46" t="str">
        <f>IF(VLOOKUP(AK301,βοηθητικό!$J$2:$N$354,3,FALSE)="","",VLOOKUP(AK301,βοηθητικό!$J$2:$N$354,3,FALSE))</f>
        <v>_</v>
      </c>
      <c r="AM301" s="47"/>
      <c r="AN301" s="4" t="s">
        <v>16</v>
      </c>
      <c r="AO301" s="43" t="str">
        <f>IF(VLOOKUP(AN301,βοηθητικό!$J$2:$N$354,3,FALSE)="","",VLOOKUP(AN301,βοηθητικό!$J$2:$N$354,3,FALSE))</f>
        <v>_</v>
      </c>
      <c r="AP301" s="44"/>
      <c r="AQ301" s="5" t="s">
        <v>16</v>
      </c>
      <c r="AR301" s="46" t="str">
        <f>IF(VLOOKUP(AQ301,βοηθητικό!$J$2:$N$354,3,FALSE)="","",VLOOKUP(AQ301,βοηθητικό!$J$2:$N$354,3,FALSE))</f>
        <v>_</v>
      </c>
      <c r="AS301" s="47"/>
      <c r="AT301" s="4" t="s">
        <v>16</v>
      </c>
      <c r="AU301" s="43" t="str">
        <f>IF(VLOOKUP(AT301,βοηθητικό!$J$2:$N$354,3,FALSE)="","",VLOOKUP(AT301,βοηθητικό!$J$2:$N$354,3,FALSE))</f>
        <v>_</v>
      </c>
      <c r="AV301" s="44"/>
      <c r="AW301" s="5" t="s">
        <v>16</v>
      </c>
      <c r="AX301" s="46" t="str">
        <f>IF(VLOOKUP(AW301,βοηθητικό!$J$2:$N$354,3,FALSE)="","",VLOOKUP(AW301,βοηθητικό!$J$2:$N$354,3,FALSE))</f>
        <v>_</v>
      </c>
      <c r="AY301" s="47"/>
      <c r="AZ301" s="4" t="s">
        <v>16</v>
      </c>
      <c r="BA301" s="43" t="str">
        <f>IF(VLOOKUP(AZ301,βοηθητικό!$J$2:$N$354,3,FALSE)="","",VLOOKUP(AZ301,βοηθητικό!$J$2:$N$354,3,FALSE))</f>
        <v>_</v>
      </c>
      <c r="BB301" s="44"/>
      <c r="BC301" s="45" t="s">
        <v>16</v>
      </c>
      <c r="BD301" s="46" t="str">
        <f>IF(VLOOKUP(BC301,βοηθητικό!$J$2:$N$354,3,FALSE)="","",VLOOKUP(BC301,βοηθητικό!$J$2:$N$354,3,FALSE))</f>
        <v>_</v>
      </c>
      <c r="BE301" s="47"/>
      <c r="BF301" s="42" t="s">
        <v>16</v>
      </c>
      <c r="BG301" s="43" t="str">
        <f>IF(VLOOKUP(BF301,βοηθητικό!$J$2:$N$354,3,FALSE)="","",VLOOKUP(BF301,βοηθητικό!$J$2:$N$354,3,FALSE))</f>
        <v>_</v>
      </c>
      <c r="BH301" s="44"/>
      <c r="BI301" s="45" t="s">
        <v>16</v>
      </c>
      <c r="BJ301" s="46" t="str">
        <f>IF(VLOOKUP(BI301,βοηθητικό!$J$2:$N$354,3,FALSE)="","",VLOOKUP(BI301,βοηθητικό!$J$2:$N$354,3,FALSE))</f>
        <v>_</v>
      </c>
      <c r="BK301" s="47"/>
      <c r="BL301" s="42" t="s">
        <v>16</v>
      </c>
      <c r="BM301" s="43" t="str">
        <f>IF(VLOOKUP(BL301,βοηθητικό!$J$2:$N$354,3,FALSE)="","",VLOOKUP(BL301,βοηθητικό!$J$2:$N$354,3,FALSE))</f>
        <v>_</v>
      </c>
      <c r="BN301" s="44"/>
      <c r="BO301" s="45" t="s">
        <v>16</v>
      </c>
      <c r="BP301" s="46" t="str">
        <f>IF(VLOOKUP(BO301,βοηθητικό!$J$2:$N$354,3,FALSE)="","",VLOOKUP(BO301,βοηθητικό!$J$2:$N$354,3,FALSE))</f>
        <v>_</v>
      </c>
      <c r="BQ301" s="47"/>
      <c r="BR301" s="42" t="s">
        <v>16</v>
      </c>
      <c r="BS301" s="43" t="str">
        <f>IF(VLOOKUP(BR301,βοηθητικό!$J$2:$N$354,3,FALSE)="","",VLOOKUP(BR301,βοηθητικό!$J$2:$N$354,3,FALSE))</f>
        <v>_</v>
      </c>
      <c r="BT301" s="44"/>
      <c r="BU301" s="45" t="s">
        <v>16</v>
      </c>
      <c r="BV301" s="46" t="str">
        <f>IF(VLOOKUP(BU301,βοηθητικό!$J$2:$N$354,3,FALSE)="","",VLOOKUP(BU301,βοηθητικό!$J$2:$N$354,3,FALSE))</f>
        <v>_</v>
      </c>
      <c r="BW301" s="47"/>
      <c r="BX301" s="42" t="s">
        <v>16</v>
      </c>
      <c r="BY301" s="43" t="str">
        <f>IF(VLOOKUP(BX301,βοηθητικό!$J$2:$N$354,3,FALSE)="","",VLOOKUP(BX301,βοηθητικό!$J$2:$N$354,3,FALSE))</f>
        <v>_</v>
      </c>
      <c r="BZ301" s="44"/>
      <c r="CA301" s="45" t="s">
        <v>16</v>
      </c>
      <c r="CB301" s="46" t="str">
        <f>IF(VLOOKUP(CA301,βοηθητικό!$J$2:$N$354,3,FALSE)="","",VLOOKUP(CA301,βοηθητικό!$J$2:$N$354,3,FALSE))</f>
        <v>_</v>
      </c>
      <c r="CC301" s="47"/>
      <c r="CD301" s="42" t="s">
        <v>16</v>
      </c>
      <c r="CE301" s="43" t="str">
        <f>IF(VLOOKUP(CD301,βοηθητικό!$J$2:$N$354,3,FALSE)="","",VLOOKUP(CD301,βοηθητικό!$J$2:$N$354,3,FALSE))</f>
        <v>_</v>
      </c>
      <c r="CF301" s="44"/>
      <c r="CG301" s="45" t="s">
        <v>16</v>
      </c>
      <c r="CH301" s="46" t="str">
        <f>IF(VLOOKUP(CG301,βοηθητικό!$J$2:$N$354,3,FALSE)="","",VLOOKUP(CG301,βοηθητικό!$J$2:$N$354,3,FALSE))</f>
        <v>_</v>
      </c>
      <c r="CI301" s="47"/>
      <c r="CJ301" s="42" t="s">
        <v>16</v>
      </c>
      <c r="CK301" s="43" t="str">
        <f>IF(VLOOKUP(CJ301,βοηθητικό!$J$2:$N$354,3,FALSE)="","",VLOOKUP(CJ301,βοηθητικό!$J$2:$N$354,3,FALSE))</f>
        <v>_</v>
      </c>
      <c r="CL301" s="44"/>
      <c r="CM301" s="45" t="s">
        <v>16</v>
      </c>
      <c r="CN301" s="46" t="str">
        <f>IF(VLOOKUP(CM301,βοηθητικό!$J$2:$N$354,3,FALSE)="","",VLOOKUP(CM301,βοηθητικό!$J$2:$N$354,3,FALSE))</f>
        <v>_</v>
      </c>
      <c r="CO301" s="47"/>
      <c r="CP301" s="42" t="s">
        <v>16</v>
      </c>
      <c r="CQ301" s="43" t="str">
        <f>IF(VLOOKUP(CP301,βοηθητικό!$J$2:$N$354,3,FALSE)="","",VLOOKUP(CP301,βοηθητικό!$J$2:$N$354,3,FALSE))</f>
        <v>_</v>
      </c>
      <c r="CR301" s="44"/>
      <c r="CS301" s="45" t="s">
        <v>16</v>
      </c>
      <c r="CT301" s="46" t="str">
        <f>IF(VLOOKUP(CS301,βοηθητικό!$J$2:$N$354,3,FALSE)="","",VLOOKUP(CS301,βοηθητικό!$J$2:$N$354,3,FALSE))</f>
        <v>_</v>
      </c>
      <c r="CU301" s="47"/>
    </row>
    <row r="302" spans="1:99" x14ac:dyDescent="0.25">
      <c r="A302" s="37">
        <f>--SUBTOTAL(3,$B$3:B301)</f>
        <v>198</v>
      </c>
      <c r="B302" s="2"/>
      <c r="C302" s="3"/>
      <c r="D302" s="55" t="s">
        <v>18</v>
      </c>
      <c r="E302" s="38" t="s">
        <v>16</v>
      </c>
      <c r="F302" s="38" t="s">
        <v>16</v>
      </c>
      <c r="G302" s="39" t="str">
        <f t="shared" si="14"/>
        <v>__</v>
      </c>
      <c r="H302" s="40" t="str">
        <f t="shared" si="15"/>
        <v>FALSE</v>
      </c>
      <c r="I302" s="41">
        <f t="shared" si="16"/>
        <v>0</v>
      </c>
      <c r="J302" s="4" t="s">
        <v>16</v>
      </c>
      <c r="K302" s="43" t="str">
        <f>IF(VLOOKUP(J302,βοηθητικό!$J$2:$N$354,3,FALSE)="","",VLOOKUP(J302,βοηθητικό!$J$2:$N$354,3,FALSE))</f>
        <v>_</v>
      </c>
      <c r="L302" s="44"/>
      <c r="M302" s="5" t="s">
        <v>16</v>
      </c>
      <c r="N302" s="46" t="str">
        <f>IF(VLOOKUP(M302,βοηθητικό!$J$2:$N$354,3,FALSE)="","",VLOOKUP(M302,βοηθητικό!$J$2:$N$354,3,FALSE))</f>
        <v>_</v>
      </c>
      <c r="O302" s="47"/>
      <c r="P302" s="4" t="s">
        <v>16</v>
      </c>
      <c r="Q302" s="43" t="str">
        <f>IF(VLOOKUP(P302,βοηθητικό!$J$2:$N$354,3,FALSE)="","",VLOOKUP(P302,βοηθητικό!$J$2:$N$354,3,FALSE))</f>
        <v>_</v>
      </c>
      <c r="R302" s="44"/>
      <c r="S302" s="5" t="s">
        <v>16</v>
      </c>
      <c r="T302" s="46" t="str">
        <f>IF(VLOOKUP(S302,βοηθητικό!$J$2:$N$354,3,FALSE)="","",VLOOKUP(S302,βοηθητικό!$J$2:$N$354,3,FALSE))</f>
        <v>_</v>
      </c>
      <c r="U302" s="47"/>
      <c r="V302" s="4" t="s">
        <v>16</v>
      </c>
      <c r="W302" s="43" t="str">
        <f>IF(VLOOKUP(V302,βοηθητικό!$J$2:$N$354,3,FALSE)="","",VLOOKUP(V302,βοηθητικό!$J$2:$N$354,3,FALSE))</f>
        <v>_</v>
      </c>
      <c r="X302" s="44"/>
      <c r="Y302" s="5" t="s">
        <v>16</v>
      </c>
      <c r="Z302" s="46" t="str">
        <f>IF(VLOOKUP(Y302,βοηθητικό!$J$2:$N$354,3,FALSE)="","",VLOOKUP(Y302,βοηθητικό!$J$2:$N$354,3,FALSE))</f>
        <v>_</v>
      </c>
      <c r="AA302" s="47"/>
      <c r="AB302" s="4" t="s">
        <v>16</v>
      </c>
      <c r="AC302" s="43" t="str">
        <f>IF(VLOOKUP(AB302,βοηθητικό!$J$2:$N$354,3,FALSE)="","",VLOOKUP(AB302,βοηθητικό!$J$2:$N$354,3,FALSE))</f>
        <v>_</v>
      </c>
      <c r="AD302" s="44"/>
      <c r="AE302" s="5" t="s">
        <v>16</v>
      </c>
      <c r="AF302" s="46" t="str">
        <f>IF(VLOOKUP(AE302,βοηθητικό!$J$2:$N$354,3,FALSE)="","",VLOOKUP(AE302,βοηθητικό!$J$2:$N$354,3,FALSE))</f>
        <v>_</v>
      </c>
      <c r="AG302" s="47"/>
      <c r="AH302" s="4" t="s">
        <v>16</v>
      </c>
      <c r="AI302" s="43" t="str">
        <f>IF(VLOOKUP(AH302,βοηθητικό!$J$2:$N$354,3,FALSE)="","",VLOOKUP(AH302,βοηθητικό!$J$2:$N$354,3,FALSE))</f>
        <v>_</v>
      </c>
      <c r="AJ302" s="44"/>
      <c r="AK302" s="5" t="s">
        <v>16</v>
      </c>
      <c r="AL302" s="46" t="str">
        <f>IF(VLOOKUP(AK302,βοηθητικό!$J$2:$N$354,3,FALSE)="","",VLOOKUP(AK302,βοηθητικό!$J$2:$N$354,3,FALSE))</f>
        <v>_</v>
      </c>
      <c r="AM302" s="47"/>
      <c r="AN302" s="4" t="s">
        <v>16</v>
      </c>
      <c r="AO302" s="43" t="str">
        <f>IF(VLOOKUP(AN302,βοηθητικό!$J$2:$N$354,3,FALSE)="","",VLOOKUP(AN302,βοηθητικό!$J$2:$N$354,3,FALSE))</f>
        <v>_</v>
      </c>
      <c r="AP302" s="44"/>
      <c r="AQ302" s="5" t="s">
        <v>16</v>
      </c>
      <c r="AR302" s="46" t="str">
        <f>IF(VLOOKUP(AQ302,βοηθητικό!$J$2:$N$354,3,FALSE)="","",VLOOKUP(AQ302,βοηθητικό!$J$2:$N$354,3,FALSE))</f>
        <v>_</v>
      </c>
      <c r="AS302" s="47"/>
      <c r="AT302" s="4" t="s">
        <v>16</v>
      </c>
      <c r="AU302" s="43" t="str">
        <f>IF(VLOOKUP(AT302,βοηθητικό!$J$2:$N$354,3,FALSE)="","",VLOOKUP(AT302,βοηθητικό!$J$2:$N$354,3,FALSE))</f>
        <v>_</v>
      </c>
      <c r="AV302" s="44"/>
      <c r="AW302" s="5" t="s">
        <v>16</v>
      </c>
      <c r="AX302" s="46" t="str">
        <f>IF(VLOOKUP(AW302,βοηθητικό!$J$2:$N$354,3,FALSE)="","",VLOOKUP(AW302,βοηθητικό!$J$2:$N$354,3,FALSE))</f>
        <v>_</v>
      </c>
      <c r="AY302" s="47"/>
      <c r="AZ302" s="4" t="s">
        <v>16</v>
      </c>
      <c r="BA302" s="43" t="str">
        <f>IF(VLOOKUP(AZ302,βοηθητικό!$J$2:$N$354,3,FALSE)="","",VLOOKUP(AZ302,βοηθητικό!$J$2:$N$354,3,FALSE))</f>
        <v>_</v>
      </c>
      <c r="BB302" s="44"/>
      <c r="BC302" s="45" t="s">
        <v>16</v>
      </c>
      <c r="BD302" s="46" t="str">
        <f>IF(VLOOKUP(BC302,βοηθητικό!$J$2:$N$354,3,FALSE)="","",VLOOKUP(BC302,βοηθητικό!$J$2:$N$354,3,FALSE))</f>
        <v>_</v>
      </c>
      <c r="BE302" s="47"/>
      <c r="BF302" s="42" t="s">
        <v>16</v>
      </c>
      <c r="BG302" s="43" t="str">
        <f>IF(VLOOKUP(BF302,βοηθητικό!$J$2:$N$354,3,FALSE)="","",VLOOKUP(BF302,βοηθητικό!$J$2:$N$354,3,FALSE))</f>
        <v>_</v>
      </c>
      <c r="BH302" s="44"/>
      <c r="BI302" s="45" t="s">
        <v>16</v>
      </c>
      <c r="BJ302" s="46" t="str">
        <f>IF(VLOOKUP(BI302,βοηθητικό!$J$2:$N$354,3,FALSE)="","",VLOOKUP(BI302,βοηθητικό!$J$2:$N$354,3,FALSE))</f>
        <v>_</v>
      </c>
      <c r="BK302" s="47"/>
      <c r="BL302" s="42" t="s">
        <v>16</v>
      </c>
      <c r="BM302" s="43" t="str">
        <f>IF(VLOOKUP(BL302,βοηθητικό!$J$2:$N$354,3,FALSE)="","",VLOOKUP(BL302,βοηθητικό!$J$2:$N$354,3,FALSE))</f>
        <v>_</v>
      </c>
      <c r="BN302" s="44"/>
      <c r="BO302" s="45" t="s">
        <v>16</v>
      </c>
      <c r="BP302" s="46" t="str">
        <f>IF(VLOOKUP(BO302,βοηθητικό!$J$2:$N$354,3,FALSE)="","",VLOOKUP(BO302,βοηθητικό!$J$2:$N$354,3,FALSE))</f>
        <v>_</v>
      </c>
      <c r="BQ302" s="47"/>
      <c r="BR302" s="42" t="s">
        <v>16</v>
      </c>
      <c r="BS302" s="43" t="str">
        <f>IF(VLOOKUP(BR302,βοηθητικό!$J$2:$N$354,3,FALSE)="","",VLOOKUP(BR302,βοηθητικό!$J$2:$N$354,3,FALSE))</f>
        <v>_</v>
      </c>
      <c r="BT302" s="44"/>
      <c r="BU302" s="45" t="s">
        <v>16</v>
      </c>
      <c r="BV302" s="46" t="str">
        <f>IF(VLOOKUP(BU302,βοηθητικό!$J$2:$N$354,3,FALSE)="","",VLOOKUP(BU302,βοηθητικό!$J$2:$N$354,3,FALSE))</f>
        <v>_</v>
      </c>
      <c r="BW302" s="47"/>
      <c r="BX302" s="42" t="s">
        <v>16</v>
      </c>
      <c r="BY302" s="43" t="str">
        <f>IF(VLOOKUP(BX302,βοηθητικό!$J$2:$N$354,3,FALSE)="","",VLOOKUP(BX302,βοηθητικό!$J$2:$N$354,3,FALSE))</f>
        <v>_</v>
      </c>
      <c r="BZ302" s="44"/>
      <c r="CA302" s="45" t="s">
        <v>16</v>
      </c>
      <c r="CB302" s="46" t="str">
        <f>IF(VLOOKUP(CA302,βοηθητικό!$J$2:$N$354,3,FALSE)="","",VLOOKUP(CA302,βοηθητικό!$J$2:$N$354,3,FALSE))</f>
        <v>_</v>
      </c>
      <c r="CC302" s="47"/>
      <c r="CD302" s="42" t="s">
        <v>16</v>
      </c>
      <c r="CE302" s="43" t="str">
        <f>IF(VLOOKUP(CD302,βοηθητικό!$J$2:$N$354,3,FALSE)="","",VLOOKUP(CD302,βοηθητικό!$J$2:$N$354,3,FALSE))</f>
        <v>_</v>
      </c>
      <c r="CF302" s="44"/>
      <c r="CG302" s="45" t="s">
        <v>16</v>
      </c>
      <c r="CH302" s="46" t="str">
        <f>IF(VLOOKUP(CG302,βοηθητικό!$J$2:$N$354,3,FALSE)="","",VLOOKUP(CG302,βοηθητικό!$J$2:$N$354,3,FALSE))</f>
        <v>_</v>
      </c>
      <c r="CI302" s="47"/>
      <c r="CJ302" s="42" t="s">
        <v>16</v>
      </c>
      <c r="CK302" s="43" t="str">
        <f>IF(VLOOKUP(CJ302,βοηθητικό!$J$2:$N$354,3,FALSE)="","",VLOOKUP(CJ302,βοηθητικό!$J$2:$N$354,3,FALSE))</f>
        <v>_</v>
      </c>
      <c r="CL302" s="44"/>
      <c r="CM302" s="45" t="s">
        <v>16</v>
      </c>
      <c r="CN302" s="46" t="str">
        <f>IF(VLOOKUP(CM302,βοηθητικό!$J$2:$N$354,3,FALSE)="","",VLOOKUP(CM302,βοηθητικό!$J$2:$N$354,3,FALSE))</f>
        <v>_</v>
      </c>
      <c r="CO302" s="47"/>
      <c r="CP302" s="42" t="s">
        <v>16</v>
      </c>
      <c r="CQ302" s="43" t="str">
        <f>IF(VLOOKUP(CP302,βοηθητικό!$J$2:$N$354,3,FALSE)="","",VLOOKUP(CP302,βοηθητικό!$J$2:$N$354,3,FALSE))</f>
        <v>_</v>
      </c>
      <c r="CR302" s="44"/>
      <c r="CS302" s="45" t="s">
        <v>16</v>
      </c>
      <c r="CT302" s="46" t="str">
        <f>IF(VLOOKUP(CS302,βοηθητικό!$J$2:$N$354,3,FALSE)="","",VLOOKUP(CS302,βοηθητικό!$J$2:$N$354,3,FALSE))</f>
        <v>_</v>
      </c>
      <c r="CU302" s="47"/>
    </row>
    <row r="303" spans="1:99" x14ac:dyDescent="0.25">
      <c r="A303" s="37">
        <f>--SUBTOTAL(3,$B$3:B302)</f>
        <v>198</v>
      </c>
      <c r="B303" s="2"/>
      <c r="C303" s="3"/>
      <c r="D303" s="55" t="s">
        <v>18</v>
      </c>
      <c r="E303" s="38" t="s">
        <v>16</v>
      </c>
      <c r="F303" s="38" t="s">
        <v>16</v>
      </c>
      <c r="G303" s="39" t="str">
        <f t="shared" si="14"/>
        <v>__</v>
      </c>
      <c r="H303" s="40" t="str">
        <f t="shared" si="15"/>
        <v>FALSE</v>
      </c>
      <c r="I303" s="41">
        <f t="shared" si="16"/>
        <v>0</v>
      </c>
      <c r="J303" s="4" t="s">
        <v>16</v>
      </c>
      <c r="K303" s="43" t="str">
        <f>IF(VLOOKUP(J303,βοηθητικό!$J$2:$N$354,3,FALSE)="","",VLOOKUP(J303,βοηθητικό!$J$2:$N$354,3,FALSE))</f>
        <v>_</v>
      </c>
      <c r="L303" s="44"/>
      <c r="M303" s="5" t="s">
        <v>16</v>
      </c>
      <c r="N303" s="46" t="str">
        <f>IF(VLOOKUP(M303,βοηθητικό!$J$2:$N$354,3,FALSE)="","",VLOOKUP(M303,βοηθητικό!$J$2:$N$354,3,FALSE))</f>
        <v>_</v>
      </c>
      <c r="O303" s="47"/>
      <c r="P303" s="4" t="s">
        <v>16</v>
      </c>
      <c r="Q303" s="43" t="str">
        <f>IF(VLOOKUP(P303,βοηθητικό!$J$2:$N$354,3,FALSE)="","",VLOOKUP(P303,βοηθητικό!$J$2:$N$354,3,FALSE))</f>
        <v>_</v>
      </c>
      <c r="R303" s="44"/>
      <c r="S303" s="5" t="s">
        <v>16</v>
      </c>
      <c r="T303" s="46" t="str">
        <f>IF(VLOOKUP(S303,βοηθητικό!$J$2:$N$354,3,FALSE)="","",VLOOKUP(S303,βοηθητικό!$J$2:$N$354,3,FALSE))</f>
        <v>_</v>
      </c>
      <c r="U303" s="47"/>
      <c r="V303" s="4" t="s">
        <v>16</v>
      </c>
      <c r="W303" s="43" t="str">
        <f>IF(VLOOKUP(V303,βοηθητικό!$J$2:$N$354,3,FALSE)="","",VLOOKUP(V303,βοηθητικό!$J$2:$N$354,3,FALSE))</f>
        <v>_</v>
      </c>
      <c r="X303" s="44"/>
      <c r="Y303" s="5" t="s">
        <v>16</v>
      </c>
      <c r="Z303" s="46" t="str">
        <f>IF(VLOOKUP(Y303,βοηθητικό!$J$2:$N$354,3,FALSE)="","",VLOOKUP(Y303,βοηθητικό!$J$2:$N$354,3,FALSE))</f>
        <v>_</v>
      </c>
      <c r="AA303" s="47"/>
      <c r="AB303" s="4" t="s">
        <v>16</v>
      </c>
      <c r="AC303" s="43" t="str">
        <f>IF(VLOOKUP(AB303,βοηθητικό!$J$2:$N$354,3,FALSE)="","",VLOOKUP(AB303,βοηθητικό!$J$2:$N$354,3,FALSE))</f>
        <v>_</v>
      </c>
      <c r="AD303" s="44"/>
      <c r="AE303" s="5" t="s">
        <v>16</v>
      </c>
      <c r="AF303" s="46" t="str">
        <f>IF(VLOOKUP(AE303,βοηθητικό!$J$2:$N$354,3,FALSE)="","",VLOOKUP(AE303,βοηθητικό!$J$2:$N$354,3,FALSE))</f>
        <v>_</v>
      </c>
      <c r="AG303" s="47"/>
      <c r="AH303" s="4" t="s">
        <v>16</v>
      </c>
      <c r="AI303" s="43" t="str">
        <f>IF(VLOOKUP(AH303,βοηθητικό!$J$2:$N$354,3,FALSE)="","",VLOOKUP(AH303,βοηθητικό!$J$2:$N$354,3,FALSE))</f>
        <v>_</v>
      </c>
      <c r="AJ303" s="44"/>
      <c r="AK303" s="5" t="s">
        <v>16</v>
      </c>
      <c r="AL303" s="46" t="str">
        <f>IF(VLOOKUP(AK303,βοηθητικό!$J$2:$N$354,3,FALSE)="","",VLOOKUP(AK303,βοηθητικό!$J$2:$N$354,3,FALSE))</f>
        <v>_</v>
      </c>
      <c r="AM303" s="47"/>
      <c r="AN303" s="4" t="s">
        <v>16</v>
      </c>
      <c r="AO303" s="43" t="str">
        <f>IF(VLOOKUP(AN303,βοηθητικό!$J$2:$N$354,3,FALSE)="","",VLOOKUP(AN303,βοηθητικό!$J$2:$N$354,3,FALSE))</f>
        <v>_</v>
      </c>
      <c r="AP303" s="44"/>
      <c r="AQ303" s="5" t="s">
        <v>16</v>
      </c>
      <c r="AR303" s="46" t="str">
        <f>IF(VLOOKUP(AQ303,βοηθητικό!$J$2:$N$354,3,FALSE)="","",VLOOKUP(AQ303,βοηθητικό!$J$2:$N$354,3,FALSE))</f>
        <v>_</v>
      </c>
      <c r="AS303" s="47"/>
      <c r="AT303" s="4" t="s">
        <v>16</v>
      </c>
      <c r="AU303" s="43" t="str">
        <f>IF(VLOOKUP(AT303,βοηθητικό!$J$2:$N$354,3,FALSE)="","",VLOOKUP(AT303,βοηθητικό!$J$2:$N$354,3,FALSE))</f>
        <v>_</v>
      </c>
      <c r="AV303" s="44"/>
      <c r="AW303" s="5" t="s">
        <v>16</v>
      </c>
      <c r="AX303" s="46" t="str">
        <f>IF(VLOOKUP(AW303,βοηθητικό!$J$2:$N$354,3,FALSE)="","",VLOOKUP(AW303,βοηθητικό!$J$2:$N$354,3,FALSE))</f>
        <v>_</v>
      </c>
      <c r="AY303" s="47"/>
      <c r="AZ303" s="4" t="s">
        <v>16</v>
      </c>
      <c r="BA303" s="43" t="str">
        <f>IF(VLOOKUP(AZ303,βοηθητικό!$J$2:$N$354,3,FALSE)="","",VLOOKUP(AZ303,βοηθητικό!$J$2:$N$354,3,FALSE))</f>
        <v>_</v>
      </c>
      <c r="BB303" s="44"/>
      <c r="BC303" s="45" t="s">
        <v>16</v>
      </c>
      <c r="BD303" s="46" t="str">
        <f>IF(VLOOKUP(BC303,βοηθητικό!$J$2:$N$354,3,FALSE)="","",VLOOKUP(BC303,βοηθητικό!$J$2:$N$354,3,FALSE))</f>
        <v>_</v>
      </c>
      <c r="BE303" s="47"/>
      <c r="BF303" s="42" t="s">
        <v>16</v>
      </c>
      <c r="BG303" s="43" t="str">
        <f>IF(VLOOKUP(BF303,βοηθητικό!$J$2:$N$354,3,FALSE)="","",VLOOKUP(BF303,βοηθητικό!$J$2:$N$354,3,FALSE))</f>
        <v>_</v>
      </c>
      <c r="BH303" s="44"/>
      <c r="BI303" s="45" t="s">
        <v>16</v>
      </c>
      <c r="BJ303" s="46" t="str">
        <f>IF(VLOOKUP(BI303,βοηθητικό!$J$2:$N$354,3,FALSE)="","",VLOOKUP(BI303,βοηθητικό!$J$2:$N$354,3,FALSE))</f>
        <v>_</v>
      </c>
      <c r="BK303" s="47"/>
      <c r="BL303" s="42" t="s">
        <v>16</v>
      </c>
      <c r="BM303" s="43" t="str">
        <f>IF(VLOOKUP(BL303,βοηθητικό!$J$2:$N$354,3,FALSE)="","",VLOOKUP(BL303,βοηθητικό!$J$2:$N$354,3,FALSE))</f>
        <v>_</v>
      </c>
      <c r="BN303" s="44"/>
      <c r="BO303" s="45" t="s">
        <v>16</v>
      </c>
      <c r="BP303" s="46" t="str">
        <f>IF(VLOOKUP(BO303,βοηθητικό!$J$2:$N$354,3,FALSE)="","",VLOOKUP(BO303,βοηθητικό!$J$2:$N$354,3,FALSE))</f>
        <v>_</v>
      </c>
      <c r="BQ303" s="47"/>
      <c r="BR303" s="42" t="s">
        <v>16</v>
      </c>
      <c r="BS303" s="43" t="str">
        <f>IF(VLOOKUP(BR303,βοηθητικό!$J$2:$N$354,3,FALSE)="","",VLOOKUP(BR303,βοηθητικό!$J$2:$N$354,3,FALSE))</f>
        <v>_</v>
      </c>
      <c r="BT303" s="44"/>
      <c r="BU303" s="45" t="s">
        <v>16</v>
      </c>
      <c r="BV303" s="46" t="str">
        <f>IF(VLOOKUP(BU303,βοηθητικό!$J$2:$N$354,3,FALSE)="","",VLOOKUP(BU303,βοηθητικό!$J$2:$N$354,3,FALSE))</f>
        <v>_</v>
      </c>
      <c r="BW303" s="47"/>
      <c r="BX303" s="42" t="s">
        <v>16</v>
      </c>
      <c r="BY303" s="43" t="str">
        <f>IF(VLOOKUP(BX303,βοηθητικό!$J$2:$N$354,3,FALSE)="","",VLOOKUP(BX303,βοηθητικό!$J$2:$N$354,3,FALSE))</f>
        <v>_</v>
      </c>
      <c r="BZ303" s="44"/>
      <c r="CA303" s="45" t="s">
        <v>16</v>
      </c>
      <c r="CB303" s="46" t="str">
        <f>IF(VLOOKUP(CA303,βοηθητικό!$J$2:$N$354,3,FALSE)="","",VLOOKUP(CA303,βοηθητικό!$J$2:$N$354,3,FALSE))</f>
        <v>_</v>
      </c>
      <c r="CC303" s="47"/>
      <c r="CD303" s="42" t="s">
        <v>16</v>
      </c>
      <c r="CE303" s="43" t="str">
        <f>IF(VLOOKUP(CD303,βοηθητικό!$J$2:$N$354,3,FALSE)="","",VLOOKUP(CD303,βοηθητικό!$J$2:$N$354,3,FALSE))</f>
        <v>_</v>
      </c>
      <c r="CF303" s="44"/>
      <c r="CG303" s="45" t="s">
        <v>16</v>
      </c>
      <c r="CH303" s="46" t="str">
        <f>IF(VLOOKUP(CG303,βοηθητικό!$J$2:$N$354,3,FALSE)="","",VLOOKUP(CG303,βοηθητικό!$J$2:$N$354,3,FALSE))</f>
        <v>_</v>
      </c>
      <c r="CI303" s="47"/>
      <c r="CJ303" s="42" t="s">
        <v>16</v>
      </c>
      <c r="CK303" s="43" t="str">
        <f>IF(VLOOKUP(CJ303,βοηθητικό!$J$2:$N$354,3,FALSE)="","",VLOOKUP(CJ303,βοηθητικό!$J$2:$N$354,3,FALSE))</f>
        <v>_</v>
      </c>
      <c r="CL303" s="44"/>
      <c r="CM303" s="45" t="s">
        <v>16</v>
      </c>
      <c r="CN303" s="46" t="str">
        <f>IF(VLOOKUP(CM303,βοηθητικό!$J$2:$N$354,3,FALSE)="","",VLOOKUP(CM303,βοηθητικό!$J$2:$N$354,3,FALSE))</f>
        <v>_</v>
      </c>
      <c r="CO303" s="47"/>
      <c r="CP303" s="42" t="s">
        <v>16</v>
      </c>
      <c r="CQ303" s="43" t="str">
        <f>IF(VLOOKUP(CP303,βοηθητικό!$J$2:$N$354,3,FALSE)="","",VLOOKUP(CP303,βοηθητικό!$J$2:$N$354,3,FALSE))</f>
        <v>_</v>
      </c>
      <c r="CR303" s="44"/>
      <c r="CS303" s="45" t="s">
        <v>16</v>
      </c>
      <c r="CT303" s="46" t="str">
        <f>IF(VLOOKUP(CS303,βοηθητικό!$J$2:$N$354,3,FALSE)="","",VLOOKUP(CS303,βοηθητικό!$J$2:$N$354,3,FALSE))</f>
        <v>_</v>
      </c>
      <c r="CU303" s="47"/>
    </row>
    <row r="304" spans="1:99" x14ac:dyDescent="0.25">
      <c r="A304" s="37">
        <f>--SUBTOTAL(3,$B$3:B303)</f>
        <v>198</v>
      </c>
      <c r="B304" s="2"/>
      <c r="C304" s="3"/>
      <c r="D304" s="55" t="s">
        <v>18</v>
      </c>
      <c r="E304" s="38" t="s">
        <v>16</v>
      </c>
      <c r="F304" s="38" t="s">
        <v>16</v>
      </c>
      <c r="G304" s="39" t="str">
        <f t="shared" si="14"/>
        <v>__</v>
      </c>
      <c r="H304" s="40" t="str">
        <f t="shared" si="15"/>
        <v>FALSE</v>
      </c>
      <c r="I304" s="41">
        <f t="shared" si="16"/>
        <v>0</v>
      </c>
      <c r="J304" s="4" t="s">
        <v>16</v>
      </c>
      <c r="K304" s="43" t="str">
        <f>IF(VLOOKUP(J304,βοηθητικό!$J$2:$N$354,3,FALSE)="","",VLOOKUP(J304,βοηθητικό!$J$2:$N$354,3,FALSE))</f>
        <v>_</v>
      </c>
      <c r="L304" s="44"/>
      <c r="M304" s="5" t="s">
        <v>16</v>
      </c>
      <c r="N304" s="46" t="str">
        <f>IF(VLOOKUP(M304,βοηθητικό!$J$2:$N$354,3,FALSE)="","",VLOOKUP(M304,βοηθητικό!$J$2:$N$354,3,FALSE))</f>
        <v>_</v>
      </c>
      <c r="O304" s="47"/>
      <c r="P304" s="4" t="s">
        <v>16</v>
      </c>
      <c r="Q304" s="43" t="str">
        <f>IF(VLOOKUP(P304,βοηθητικό!$J$2:$N$354,3,FALSE)="","",VLOOKUP(P304,βοηθητικό!$J$2:$N$354,3,FALSE))</f>
        <v>_</v>
      </c>
      <c r="R304" s="44"/>
      <c r="S304" s="5" t="s">
        <v>16</v>
      </c>
      <c r="T304" s="46" t="str">
        <f>IF(VLOOKUP(S304,βοηθητικό!$J$2:$N$354,3,FALSE)="","",VLOOKUP(S304,βοηθητικό!$J$2:$N$354,3,FALSE))</f>
        <v>_</v>
      </c>
      <c r="U304" s="47"/>
      <c r="V304" s="4" t="s">
        <v>16</v>
      </c>
      <c r="W304" s="43" t="str">
        <f>IF(VLOOKUP(V304,βοηθητικό!$J$2:$N$354,3,FALSE)="","",VLOOKUP(V304,βοηθητικό!$J$2:$N$354,3,FALSE))</f>
        <v>_</v>
      </c>
      <c r="X304" s="44"/>
      <c r="Y304" s="5" t="s">
        <v>16</v>
      </c>
      <c r="Z304" s="46" t="str">
        <f>IF(VLOOKUP(Y304,βοηθητικό!$J$2:$N$354,3,FALSE)="","",VLOOKUP(Y304,βοηθητικό!$J$2:$N$354,3,FALSE))</f>
        <v>_</v>
      </c>
      <c r="AA304" s="47"/>
      <c r="AB304" s="4" t="s">
        <v>16</v>
      </c>
      <c r="AC304" s="43" t="str">
        <f>IF(VLOOKUP(AB304,βοηθητικό!$J$2:$N$354,3,FALSE)="","",VLOOKUP(AB304,βοηθητικό!$J$2:$N$354,3,FALSE))</f>
        <v>_</v>
      </c>
      <c r="AD304" s="44"/>
      <c r="AE304" s="5" t="s">
        <v>16</v>
      </c>
      <c r="AF304" s="46" t="str">
        <f>IF(VLOOKUP(AE304,βοηθητικό!$J$2:$N$354,3,FALSE)="","",VLOOKUP(AE304,βοηθητικό!$J$2:$N$354,3,FALSE))</f>
        <v>_</v>
      </c>
      <c r="AG304" s="47"/>
      <c r="AH304" s="4" t="s">
        <v>16</v>
      </c>
      <c r="AI304" s="43" t="str">
        <f>IF(VLOOKUP(AH304,βοηθητικό!$J$2:$N$354,3,FALSE)="","",VLOOKUP(AH304,βοηθητικό!$J$2:$N$354,3,FALSE))</f>
        <v>_</v>
      </c>
      <c r="AJ304" s="44"/>
      <c r="AK304" s="5" t="s">
        <v>16</v>
      </c>
      <c r="AL304" s="46" t="str">
        <f>IF(VLOOKUP(AK304,βοηθητικό!$J$2:$N$354,3,FALSE)="","",VLOOKUP(AK304,βοηθητικό!$J$2:$N$354,3,FALSE))</f>
        <v>_</v>
      </c>
      <c r="AM304" s="47"/>
      <c r="AN304" s="4" t="s">
        <v>16</v>
      </c>
      <c r="AO304" s="43" t="str">
        <f>IF(VLOOKUP(AN304,βοηθητικό!$J$2:$N$354,3,FALSE)="","",VLOOKUP(AN304,βοηθητικό!$J$2:$N$354,3,FALSE))</f>
        <v>_</v>
      </c>
      <c r="AP304" s="44"/>
      <c r="AQ304" s="5" t="s">
        <v>16</v>
      </c>
      <c r="AR304" s="46" t="str">
        <f>IF(VLOOKUP(AQ304,βοηθητικό!$J$2:$N$354,3,FALSE)="","",VLOOKUP(AQ304,βοηθητικό!$J$2:$N$354,3,FALSE))</f>
        <v>_</v>
      </c>
      <c r="AS304" s="47"/>
      <c r="AT304" s="4" t="s">
        <v>16</v>
      </c>
      <c r="AU304" s="43" t="str">
        <f>IF(VLOOKUP(AT304,βοηθητικό!$J$2:$N$354,3,FALSE)="","",VLOOKUP(AT304,βοηθητικό!$J$2:$N$354,3,FALSE))</f>
        <v>_</v>
      </c>
      <c r="AV304" s="44"/>
      <c r="AW304" s="5" t="s">
        <v>16</v>
      </c>
      <c r="AX304" s="46" t="str">
        <f>IF(VLOOKUP(AW304,βοηθητικό!$J$2:$N$354,3,FALSE)="","",VLOOKUP(AW304,βοηθητικό!$J$2:$N$354,3,FALSE))</f>
        <v>_</v>
      </c>
      <c r="AY304" s="47"/>
      <c r="AZ304" s="4" t="s">
        <v>16</v>
      </c>
      <c r="BA304" s="43" t="str">
        <f>IF(VLOOKUP(AZ304,βοηθητικό!$J$2:$N$354,3,FALSE)="","",VLOOKUP(AZ304,βοηθητικό!$J$2:$N$354,3,FALSE))</f>
        <v>_</v>
      </c>
      <c r="BB304" s="44"/>
      <c r="BC304" s="45" t="s">
        <v>16</v>
      </c>
      <c r="BD304" s="46" t="str">
        <f>IF(VLOOKUP(BC304,βοηθητικό!$J$2:$N$354,3,FALSE)="","",VLOOKUP(BC304,βοηθητικό!$J$2:$N$354,3,FALSE))</f>
        <v>_</v>
      </c>
      <c r="BE304" s="47"/>
      <c r="BF304" s="42" t="s">
        <v>16</v>
      </c>
      <c r="BG304" s="43" t="str">
        <f>IF(VLOOKUP(BF304,βοηθητικό!$J$2:$N$354,3,FALSE)="","",VLOOKUP(BF304,βοηθητικό!$J$2:$N$354,3,FALSE))</f>
        <v>_</v>
      </c>
      <c r="BH304" s="44"/>
      <c r="BI304" s="45" t="s">
        <v>16</v>
      </c>
      <c r="BJ304" s="46" t="str">
        <f>IF(VLOOKUP(BI304,βοηθητικό!$J$2:$N$354,3,FALSE)="","",VLOOKUP(BI304,βοηθητικό!$J$2:$N$354,3,FALSE))</f>
        <v>_</v>
      </c>
      <c r="BK304" s="47"/>
      <c r="BL304" s="42" t="s">
        <v>16</v>
      </c>
      <c r="BM304" s="43" t="str">
        <f>IF(VLOOKUP(BL304,βοηθητικό!$J$2:$N$354,3,FALSE)="","",VLOOKUP(BL304,βοηθητικό!$J$2:$N$354,3,FALSE))</f>
        <v>_</v>
      </c>
      <c r="BN304" s="44"/>
      <c r="BO304" s="45" t="s">
        <v>16</v>
      </c>
      <c r="BP304" s="46" t="str">
        <f>IF(VLOOKUP(BO304,βοηθητικό!$J$2:$N$354,3,FALSE)="","",VLOOKUP(BO304,βοηθητικό!$J$2:$N$354,3,FALSE))</f>
        <v>_</v>
      </c>
      <c r="BQ304" s="47"/>
      <c r="BR304" s="42" t="s">
        <v>16</v>
      </c>
      <c r="BS304" s="43" t="str">
        <f>IF(VLOOKUP(BR304,βοηθητικό!$J$2:$N$354,3,FALSE)="","",VLOOKUP(BR304,βοηθητικό!$J$2:$N$354,3,FALSE))</f>
        <v>_</v>
      </c>
      <c r="BT304" s="44"/>
      <c r="BU304" s="45" t="s">
        <v>16</v>
      </c>
      <c r="BV304" s="46" t="str">
        <f>IF(VLOOKUP(BU304,βοηθητικό!$J$2:$N$354,3,FALSE)="","",VLOOKUP(BU304,βοηθητικό!$J$2:$N$354,3,FALSE))</f>
        <v>_</v>
      </c>
      <c r="BW304" s="47"/>
      <c r="BX304" s="42" t="s">
        <v>16</v>
      </c>
      <c r="BY304" s="43" t="str">
        <f>IF(VLOOKUP(BX304,βοηθητικό!$J$2:$N$354,3,FALSE)="","",VLOOKUP(BX304,βοηθητικό!$J$2:$N$354,3,FALSE))</f>
        <v>_</v>
      </c>
      <c r="BZ304" s="44"/>
      <c r="CA304" s="45" t="s">
        <v>16</v>
      </c>
      <c r="CB304" s="46" t="str">
        <f>IF(VLOOKUP(CA304,βοηθητικό!$J$2:$N$354,3,FALSE)="","",VLOOKUP(CA304,βοηθητικό!$J$2:$N$354,3,FALSE))</f>
        <v>_</v>
      </c>
      <c r="CC304" s="47"/>
      <c r="CD304" s="42" t="s">
        <v>16</v>
      </c>
      <c r="CE304" s="43" t="str">
        <f>IF(VLOOKUP(CD304,βοηθητικό!$J$2:$N$354,3,FALSE)="","",VLOOKUP(CD304,βοηθητικό!$J$2:$N$354,3,FALSE))</f>
        <v>_</v>
      </c>
      <c r="CF304" s="44"/>
      <c r="CG304" s="45" t="s">
        <v>16</v>
      </c>
      <c r="CH304" s="46" t="str">
        <f>IF(VLOOKUP(CG304,βοηθητικό!$J$2:$N$354,3,FALSE)="","",VLOOKUP(CG304,βοηθητικό!$J$2:$N$354,3,FALSE))</f>
        <v>_</v>
      </c>
      <c r="CI304" s="47"/>
      <c r="CJ304" s="42" t="s">
        <v>16</v>
      </c>
      <c r="CK304" s="43" t="str">
        <f>IF(VLOOKUP(CJ304,βοηθητικό!$J$2:$N$354,3,FALSE)="","",VLOOKUP(CJ304,βοηθητικό!$J$2:$N$354,3,FALSE))</f>
        <v>_</v>
      </c>
      <c r="CL304" s="44"/>
      <c r="CM304" s="45" t="s">
        <v>16</v>
      </c>
      <c r="CN304" s="46" t="str">
        <f>IF(VLOOKUP(CM304,βοηθητικό!$J$2:$N$354,3,FALSE)="","",VLOOKUP(CM304,βοηθητικό!$J$2:$N$354,3,FALSE))</f>
        <v>_</v>
      </c>
      <c r="CO304" s="47"/>
      <c r="CP304" s="42" t="s">
        <v>16</v>
      </c>
      <c r="CQ304" s="43" t="str">
        <f>IF(VLOOKUP(CP304,βοηθητικό!$J$2:$N$354,3,FALSE)="","",VLOOKUP(CP304,βοηθητικό!$J$2:$N$354,3,FALSE))</f>
        <v>_</v>
      </c>
      <c r="CR304" s="44"/>
      <c r="CS304" s="45" t="s">
        <v>16</v>
      </c>
      <c r="CT304" s="46" t="str">
        <f>IF(VLOOKUP(CS304,βοηθητικό!$J$2:$N$354,3,FALSE)="","",VLOOKUP(CS304,βοηθητικό!$J$2:$N$354,3,FALSE))</f>
        <v>_</v>
      </c>
      <c r="CU304" s="47"/>
    </row>
    <row r="305" spans="1:99" x14ac:dyDescent="0.25">
      <c r="A305" s="37">
        <f>--SUBTOTAL(3,$B$3:B304)</f>
        <v>198</v>
      </c>
      <c r="B305" s="2"/>
      <c r="C305" s="3"/>
      <c r="D305" s="55" t="s">
        <v>18</v>
      </c>
      <c r="E305" s="38" t="s">
        <v>16</v>
      </c>
      <c r="F305" s="38" t="s">
        <v>16</v>
      </c>
      <c r="G305" s="39" t="str">
        <f t="shared" si="14"/>
        <v>__</v>
      </c>
      <c r="H305" s="40" t="str">
        <f t="shared" si="15"/>
        <v>FALSE</v>
      </c>
      <c r="I305" s="41">
        <f t="shared" si="16"/>
        <v>0</v>
      </c>
      <c r="J305" s="4" t="s">
        <v>16</v>
      </c>
      <c r="K305" s="43" t="str">
        <f>IF(VLOOKUP(J305,βοηθητικό!$J$2:$N$354,3,FALSE)="","",VLOOKUP(J305,βοηθητικό!$J$2:$N$354,3,FALSE))</f>
        <v>_</v>
      </c>
      <c r="L305" s="44"/>
      <c r="M305" s="5" t="s">
        <v>16</v>
      </c>
      <c r="N305" s="46" t="str">
        <f>IF(VLOOKUP(M305,βοηθητικό!$J$2:$N$354,3,FALSE)="","",VLOOKUP(M305,βοηθητικό!$J$2:$N$354,3,FALSE))</f>
        <v>_</v>
      </c>
      <c r="O305" s="47"/>
      <c r="P305" s="4" t="s">
        <v>16</v>
      </c>
      <c r="Q305" s="43" t="str">
        <f>IF(VLOOKUP(P305,βοηθητικό!$J$2:$N$354,3,FALSE)="","",VLOOKUP(P305,βοηθητικό!$J$2:$N$354,3,FALSE))</f>
        <v>_</v>
      </c>
      <c r="R305" s="44"/>
      <c r="S305" s="5" t="s">
        <v>16</v>
      </c>
      <c r="T305" s="46" t="str">
        <f>IF(VLOOKUP(S305,βοηθητικό!$J$2:$N$354,3,FALSE)="","",VLOOKUP(S305,βοηθητικό!$J$2:$N$354,3,FALSE))</f>
        <v>_</v>
      </c>
      <c r="U305" s="47"/>
      <c r="V305" s="4" t="s">
        <v>16</v>
      </c>
      <c r="W305" s="43" t="str">
        <f>IF(VLOOKUP(V305,βοηθητικό!$J$2:$N$354,3,FALSE)="","",VLOOKUP(V305,βοηθητικό!$J$2:$N$354,3,FALSE))</f>
        <v>_</v>
      </c>
      <c r="X305" s="44"/>
      <c r="Y305" s="5" t="s">
        <v>16</v>
      </c>
      <c r="Z305" s="46" t="str">
        <f>IF(VLOOKUP(Y305,βοηθητικό!$J$2:$N$354,3,FALSE)="","",VLOOKUP(Y305,βοηθητικό!$J$2:$N$354,3,FALSE))</f>
        <v>_</v>
      </c>
      <c r="AA305" s="47"/>
      <c r="AB305" s="4" t="s">
        <v>16</v>
      </c>
      <c r="AC305" s="43" t="str">
        <f>IF(VLOOKUP(AB305,βοηθητικό!$J$2:$N$354,3,FALSE)="","",VLOOKUP(AB305,βοηθητικό!$J$2:$N$354,3,FALSE))</f>
        <v>_</v>
      </c>
      <c r="AD305" s="44"/>
      <c r="AE305" s="5" t="s">
        <v>16</v>
      </c>
      <c r="AF305" s="46" t="str">
        <f>IF(VLOOKUP(AE305,βοηθητικό!$J$2:$N$354,3,FALSE)="","",VLOOKUP(AE305,βοηθητικό!$J$2:$N$354,3,FALSE))</f>
        <v>_</v>
      </c>
      <c r="AG305" s="47"/>
      <c r="AH305" s="4" t="s">
        <v>16</v>
      </c>
      <c r="AI305" s="43" t="str">
        <f>IF(VLOOKUP(AH305,βοηθητικό!$J$2:$N$354,3,FALSE)="","",VLOOKUP(AH305,βοηθητικό!$J$2:$N$354,3,FALSE))</f>
        <v>_</v>
      </c>
      <c r="AJ305" s="44"/>
      <c r="AK305" s="5" t="s">
        <v>16</v>
      </c>
      <c r="AL305" s="46" t="str">
        <f>IF(VLOOKUP(AK305,βοηθητικό!$J$2:$N$354,3,FALSE)="","",VLOOKUP(AK305,βοηθητικό!$J$2:$N$354,3,FALSE))</f>
        <v>_</v>
      </c>
      <c r="AM305" s="47"/>
      <c r="AN305" s="4" t="s">
        <v>16</v>
      </c>
      <c r="AO305" s="43" t="str">
        <f>IF(VLOOKUP(AN305,βοηθητικό!$J$2:$N$354,3,FALSE)="","",VLOOKUP(AN305,βοηθητικό!$J$2:$N$354,3,FALSE))</f>
        <v>_</v>
      </c>
      <c r="AP305" s="44"/>
      <c r="AQ305" s="5" t="s">
        <v>16</v>
      </c>
      <c r="AR305" s="46" t="str">
        <f>IF(VLOOKUP(AQ305,βοηθητικό!$J$2:$N$354,3,FALSE)="","",VLOOKUP(AQ305,βοηθητικό!$J$2:$N$354,3,FALSE))</f>
        <v>_</v>
      </c>
      <c r="AS305" s="47"/>
      <c r="AT305" s="4" t="s">
        <v>16</v>
      </c>
      <c r="AU305" s="43" t="str">
        <f>IF(VLOOKUP(AT305,βοηθητικό!$J$2:$N$354,3,FALSE)="","",VLOOKUP(AT305,βοηθητικό!$J$2:$N$354,3,FALSE))</f>
        <v>_</v>
      </c>
      <c r="AV305" s="44"/>
      <c r="AW305" s="5" t="s">
        <v>16</v>
      </c>
      <c r="AX305" s="46" t="str">
        <f>IF(VLOOKUP(AW305,βοηθητικό!$J$2:$N$354,3,FALSE)="","",VLOOKUP(AW305,βοηθητικό!$J$2:$N$354,3,FALSE))</f>
        <v>_</v>
      </c>
      <c r="AY305" s="47"/>
      <c r="AZ305" s="4" t="s">
        <v>16</v>
      </c>
      <c r="BA305" s="43" t="str">
        <f>IF(VLOOKUP(AZ305,βοηθητικό!$J$2:$N$354,3,FALSE)="","",VLOOKUP(AZ305,βοηθητικό!$J$2:$N$354,3,FALSE))</f>
        <v>_</v>
      </c>
      <c r="BB305" s="44"/>
      <c r="BC305" s="45" t="s">
        <v>16</v>
      </c>
      <c r="BD305" s="46" t="str">
        <f>IF(VLOOKUP(BC305,βοηθητικό!$J$2:$N$354,3,FALSE)="","",VLOOKUP(BC305,βοηθητικό!$J$2:$N$354,3,FALSE))</f>
        <v>_</v>
      </c>
      <c r="BE305" s="47"/>
      <c r="BF305" s="42" t="s">
        <v>16</v>
      </c>
      <c r="BG305" s="43" t="str">
        <f>IF(VLOOKUP(BF305,βοηθητικό!$J$2:$N$354,3,FALSE)="","",VLOOKUP(BF305,βοηθητικό!$J$2:$N$354,3,FALSE))</f>
        <v>_</v>
      </c>
      <c r="BH305" s="44"/>
      <c r="BI305" s="45" t="s">
        <v>16</v>
      </c>
      <c r="BJ305" s="46" t="str">
        <f>IF(VLOOKUP(BI305,βοηθητικό!$J$2:$N$354,3,FALSE)="","",VLOOKUP(BI305,βοηθητικό!$J$2:$N$354,3,FALSE))</f>
        <v>_</v>
      </c>
      <c r="BK305" s="47"/>
      <c r="BL305" s="42" t="s">
        <v>16</v>
      </c>
      <c r="BM305" s="43" t="str">
        <f>IF(VLOOKUP(BL305,βοηθητικό!$J$2:$N$354,3,FALSE)="","",VLOOKUP(BL305,βοηθητικό!$J$2:$N$354,3,FALSE))</f>
        <v>_</v>
      </c>
      <c r="BN305" s="44"/>
      <c r="BO305" s="45" t="s">
        <v>16</v>
      </c>
      <c r="BP305" s="46" t="str">
        <f>IF(VLOOKUP(BO305,βοηθητικό!$J$2:$N$354,3,FALSE)="","",VLOOKUP(BO305,βοηθητικό!$J$2:$N$354,3,FALSE))</f>
        <v>_</v>
      </c>
      <c r="BQ305" s="47"/>
      <c r="BR305" s="42" t="s">
        <v>16</v>
      </c>
      <c r="BS305" s="43" t="str">
        <f>IF(VLOOKUP(BR305,βοηθητικό!$J$2:$N$354,3,FALSE)="","",VLOOKUP(BR305,βοηθητικό!$J$2:$N$354,3,FALSE))</f>
        <v>_</v>
      </c>
      <c r="BT305" s="44"/>
      <c r="BU305" s="45" t="s">
        <v>16</v>
      </c>
      <c r="BV305" s="46" t="str">
        <f>IF(VLOOKUP(BU305,βοηθητικό!$J$2:$N$354,3,FALSE)="","",VLOOKUP(BU305,βοηθητικό!$J$2:$N$354,3,FALSE))</f>
        <v>_</v>
      </c>
      <c r="BW305" s="47"/>
      <c r="BX305" s="42" t="s">
        <v>16</v>
      </c>
      <c r="BY305" s="43" t="str">
        <f>IF(VLOOKUP(BX305,βοηθητικό!$J$2:$N$354,3,FALSE)="","",VLOOKUP(BX305,βοηθητικό!$J$2:$N$354,3,FALSE))</f>
        <v>_</v>
      </c>
      <c r="BZ305" s="44"/>
      <c r="CA305" s="45" t="s">
        <v>16</v>
      </c>
      <c r="CB305" s="46" t="str">
        <f>IF(VLOOKUP(CA305,βοηθητικό!$J$2:$N$354,3,FALSE)="","",VLOOKUP(CA305,βοηθητικό!$J$2:$N$354,3,FALSE))</f>
        <v>_</v>
      </c>
      <c r="CC305" s="47"/>
      <c r="CD305" s="42" t="s">
        <v>16</v>
      </c>
      <c r="CE305" s="43" t="str">
        <f>IF(VLOOKUP(CD305,βοηθητικό!$J$2:$N$354,3,FALSE)="","",VLOOKUP(CD305,βοηθητικό!$J$2:$N$354,3,FALSE))</f>
        <v>_</v>
      </c>
      <c r="CF305" s="44"/>
      <c r="CG305" s="45" t="s">
        <v>16</v>
      </c>
      <c r="CH305" s="46" t="str">
        <f>IF(VLOOKUP(CG305,βοηθητικό!$J$2:$N$354,3,FALSE)="","",VLOOKUP(CG305,βοηθητικό!$J$2:$N$354,3,FALSE))</f>
        <v>_</v>
      </c>
      <c r="CI305" s="47"/>
      <c r="CJ305" s="42" t="s">
        <v>16</v>
      </c>
      <c r="CK305" s="43" t="str">
        <f>IF(VLOOKUP(CJ305,βοηθητικό!$J$2:$N$354,3,FALSE)="","",VLOOKUP(CJ305,βοηθητικό!$J$2:$N$354,3,FALSE))</f>
        <v>_</v>
      </c>
      <c r="CL305" s="44"/>
      <c r="CM305" s="45" t="s">
        <v>16</v>
      </c>
      <c r="CN305" s="46" t="str">
        <f>IF(VLOOKUP(CM305,βοηθητικό!$J$2:$N$354,3,FALSE)="","",VLOOKUP(CM305,βοηθητικό!$J$2:$N$354,3,FALSE))</f>
        <v>_</v>
      </c>
      <c r="CO305" s="47"/>
      <c r="CP305" s="42" t="s">
        <v>16</v>
      </c>
      <c r="CQ305" s="43" t="str">
        <f>IF(VLOOKUP(CP305,βοηθητικό!$J$2:$N$354,3,FALSE)="","",VLOOKUP(CP305,βοηθητικό!$J$2:$N$354,3,FALSE))</f>
        <v>_</v>
      </c>
      <c r="CR305" s="44"/>
      <c r="CS305" s="45" t="s">
        <v>16</v>
      </c>
      <c r="CT305" s="46" t="str">
        <f>IF(VLOOKUP(CS305,βοηθητικό!$J$2:$N$354,3,FALSE)="","",VLOOKUP(CS305,βοηθητικό!$J$2:$N$354,3,FALSE))</f>
        <v>_</v>
      </c>
      <c r="CU305" s="47"/>
    </row>
    <row r="306" spans="1:99" x14ac:dyDescent="0.25">
      <c r="A306" s="37">
        <f>--SUBTOTAL(3,$B$3:B305)</f>
        <v>198</v>
      </c>
      <c r="B306" s="2"/>
      <c r="C306" s="3"/>
      <c r="D306" s="55" t="s">
        <v>18</v>
      </c>
      <c r="E306" s="38" t="s">
        <v>16</v>
      </c>
      <c r="F306" s="38" t="s">
        <v>16</v>
      </c>
      <c r="G306" s="39" t="str">
        <f t="shared" si="14"/>
        <v>__</v>
      </c>
      <c r="H306" s="40" t="str">
        <f t="shared" si="15"/>
        <v>FALSE</v>
      </c>
      <c r="I306" s="41">
        <f t="shared" si="16"/>
        <v>0</v>
      </c>
      <c r="J306" s="4" t="s">
        <v>16</v>
      </c>
      <c r="K306" s="43" t="str">
        <f>IF(VLOOKUP(J306,βοηθητικό!$J$2:$N$354,3,FALSE)="","",VLOOKUP(J306,βοηθητικό!$J$2:$N$354,3,FALSE))</f>
        <v>_</v>
      </c>
      <c r="L306" s="44"/>
      <c r="M306" s="5" t="s">
        <v>16</v>
      </c>
      <c r="N306" s="46" t="str">
        <f>IF(VLOOKUP(M306,βοηθητικό!$J$2:$N$354,3,FALSE)="","",VLOOKUP(M306,βοηθητικό!$J$2:$N$354,3,FALSE))</f>
        <v>_</v>
      </c>
      <c r="O306" s="47"/>
      <c r="P306" s="4" t="s">
        <v>16</v>
      </c>
      <c r="Q306" s="43" t="str">
        <f>IF(VLOOKUP(P306,βοηθητικό!$J$2:$N$354,3,FALSE)="","",VLOOKUP(P306,βοηθητικό!$J$2:$N$354,3,FALSE))</f>
        <v>_</v>
      </c>
      <c r="R306" s="44"/>
      <c r="S306" s="5" t="s">
        <v>16</v>
      </c>
      <c r="T306" s="46" t="str">
        <f>IF(VLOOKUP(S306,βοηθητικό!$J$2:$N$354,3,FALSE)="","",VLOOKUP(S306,βοηθητικό!$J$2:$N$354,3,FALSE))</f>
        <v>_</v>
      </c>
      <c r="U306" s="47"/>
      <c r="V306" s="4" t="s">
        <v>16</v>
      </c>
      <c r="W306" s="43" t="str">
        <f>IF(VLOOKUP(V306,βοηθητικό!$J$2:$N$354,3,FALSE)="","",VLOOKUP(V306,βοηθητικό!$J$2:$N$354,3,FALSE))</f>
        <v>_</v>
      </c>
      <c r="X306" s="44"/>
      <c r="Y306" s="5" t="s">
        <v>16</v>
      </c>
      <c r="Z306" s="46" t="str">
        <f>IF(VLOOKUP(Y306,βοηθητικό!$J$2:$N$354,3,FALSE)="","",VLOOKUP(Y306,βοηθητικό!$J$2:$N$354,3,FALSE))</f>
        <v>_</v>
      </c>
      <c r="AA306" s="47"/>
      <c r="AB306" s="4" t="s">
        <v>16</v>
      </c>
      <c r="AC306" s="43" t="str">
        <f>IF(VLOOKUP(AB306,βοηθητικό!$J$2:$N$354,3,FALSE)="","",VLOOKUP(AB306,βοηθητικό!$J$2:$N$354,3,FALSE))</f>
        <v>_</v>
      </c>
      <c r="AD306" s="44"/>
      <c r="AE306" s="5" t="s">
        <v>16</v>
      </c>
      <c r="AF306" s="46" t="str">
        <f>IF(VLOOKUP(AE306,βοηθητικό!$J$2:$N$354,3,FALSE)="","",VLOOKUP(AE306,βοηθητικό!$J$2:$N$354,3,FALSE))</f>
        <v>_</v>
      </c>
      <c r="AG306" s="47"/>
      <c r="AH306" s="4" t="s">
        <v>16</v>
      </c>
      <c r="AI306" s="43" t="str">
        <f>IF(VLOOKUP(AH306,βοηθητικό!$J$2:$N$354,3,FALSE)="","",VLOOKUP(AH306,βοηθητικό!$J$2:$N$354,3,FALSE))</f>
        <v>_</v>
      </c>
      <c r="AJ306" s="44"/>
      <c r="AK306" s="5" t="s">
        <v>16</v>
      </c>
      <c r="AL306" s="46" t="str">
        <f>IF(VLOOKUP(AK306,βοηθητικό!$J$2:$N$354,3,FALSE)="","",VLOOKUP(AK306,βοηθητικό!$J$2:$N$354,3,FALSE))</f>
        <v>_</v>
      </c>
      <c r="AM306" s="47"/>
      <c r="AN306" s="4" t="s">
        <v>16</v>
      </c>
      <c r="AO306" s="43" t="str">
        <f>IF(VLOOKUP(AN306,βοηθητικό!$J$2:$N$354,3,FALSE)="","",VLOOKUP(AN306,βοηθητικό!$J$2:$N$354,3,FALSE))</f>
        <v>_</v>
      </c>
      <c r="AP306" s="44"/>
      <c r="AQ306" s="5" t="s">
        <v>16</v>
      </c>
      <c r="AR306" s="46" t="str">
        <f>IF(VLOOKUP(AQ306,βοηθητικό!$J$2:$N$354,3,FALSE)="","",VLOOKUP(AQ306,βοηθητικό!$J$2:$N$354,3,FALSE))</f>
        <v>_</v>
      </c>
      <c r="AS306" s="47"/>
      <c r="AT306" s="4" t="s">
        <v>16</v>
      </c>
      <c r="AU306" s="43" t="str">
        <f>IF(VLOOKUP(AT306,βοηθητικό!$J$2:$N$354,3,FALSE)="","",VLOOKUP(AT306,βοηθητικό!$J$2:$N$354,3,FALSE))</f>
        <v>_</v>
      </c>
      <c r="AV306" s="44"/>
      <c r="AW306" s="5" t="s">
        <v>16</v>
      </c>
      <c r="AX306" s="46" t="str">
        <f>IF(VLOOKUP(AW306,βοηθητικό!$J$2:$N$354,3,FALSE)="","",VLOOKUP(AW306,βοηθητικό!$J$2:$N$354,3,FALSE))</f>
        <v>_</v>
      </c>
      <c r="AY306" s="47"/>
      <c r="AZ306" s="4" t="s">
        <v>16</v>
      </c>
      <c r="BA306" s="43" t="str">
        <f>IF(VLOOKUP(AZ306,βοηθητικό!$J$2:$N$354,3,FALSE)="","",VLOOKUP(AZ306,βοηθητικό!$J$2:$N$354,3,FALSE))</f>
        <v>_</v>
      </c>
      <c r="BB306" s="44"/>
      <c r="BC306" s="45" t="s">
        <v>16</v>
      </c>
      <c r="BD306" s="46" t="str">
        <f>IF(VLOOKUP(BC306,βοηθητικό!$J$2:$N$354,3,FALSE)="","",VLOOKUP(BC306,βοηθητικό!$J$2:$N$354,3,FALSE))</f>
        <v>_</v>
      </c>
      <c r="BE306" s="47"/>
      <c r="BF306" s="42" t="s">
        <v>16</v>
      </c>
      <c r="BG306" s="43" t="str">
        <f>IF(VLOOKUP(BF306,βοηθητικό!$J$2:$N$354,3,FALSE)="","",VLOOKUP(BF306,βοηθητικό!$J$2:$N$354,3,FALSE))</f>
        <v>_</v>
      </c>
      <c r="BH306" s="44"/>
      <c r="BI306" s="45" t="s">
        <v>16</v>
      </c>
      <c r="BJ306" s="46" t="str">
        <f>IF(VLOOKUP(BI306,βοηθητικό!$J$2:$N$354,3,FALSE)="","",VLOOKUP(BI306,βοηθητικό!$J$2:$N$354,3,FALSE))</f>
        <v>_</v>
      </c>
      <c r="BK306" s="47"/>
      <c r="BL306" s="42" t="s">
        <v>16</v>
      </c>
      <c r="BM306" s="43" t="str">
        <f>IF(VLOOKUP(BL306,βοηθητικό!$J$2:$N$354,3,FALSE)="","",VLOOKUP(BL306,βοηθητικό!$J$2:$N$354,3,FALSE))</f>
        <v>_</v>
      </c>
      <c r="BN306" s="44"/>
      <c r="BO306" s="45" t="s">
        <v>16</v>
      </c>
      <c r="BP306" s="46" t="str">
        <f>IF(VLOOKUP(BO306,βοηθητικό!$J$2:$N$354,3,FALSE)="","",VLOOKUP(BO306,βοηθητικό!$J$2:$N$354,3,FALSE))</f>
        <v>_</v>
      </c>
      <c r="BQ306" s="47"/>
      <c r="BR306" s="42" t="s">
        <v>16</v>
      </c>
      <c r="BS306" s="43" t="str">
        <f>IF(VLOOKUP(BR306,βοηθητικό!$J$2:$N$354,3,FALSE)="","",VLOOKUP(BR306,βοηθητικό!$J$2:$N$354,3,FALSE))</f>
        <v>_</v>
      </c>
      <c r="BT306" s="44"/>
      <c r="BU306" s="45" t="s">
        <v>16</v>
      </c>
      <c r="BV306" s="46" t="str">
        <f>IF(VLOOKUP(BU306,βοηθητικό!$J$2:$N$354,3,FALSE)="","",VLOOKUP(BU306,βοηθητικό!$J$2:$N$354,3,FALSE))</f>
        <v>_</v>
      </c>
      <c r="BW306" s="47"/>
      <c r="BX306" s="42" t="s">
        <v>16</v>
      </c>
      <c r="BY306" s="43" t="str">
        <f>IF(VLOOKUP(BX306,βοηθητικό!$J$2:$N$354,3,FALSE)="","",VLOOKUP(BX306,βοηθητικό!$J$2:$N$354,3,FALSE))</f>
        <v>_</v>
      </c>
      <c r="BZ306" s="44"/>
      <c r="CA306" s="45" t="s">
        <v>16</v>
      </c>
      <c r="CB306" s="46" t="str">
        <f>IF(VLOOKUP(CA306,βοηθητικό!$J$2:$N$354,3,FALSE)="","",VLOOKUP(CA306,βοηθητικό!$J$2:$N$354,3,FALSE))</f>
        <v>_</v>
      </c>
      <c r="CC306" s="47"/>
      <c r="CD306" s="42" t="s">
        <v>16</v>
      </c>
      <c r="CE306" s="43" t="str">
        <f>IF(VLOOKUP(CD306,βοηθητικό!$J$2:$N$354,3,FALSE)="","",VLOOKUP(CD306,βοηθητικό!$J$2:$N$354,3,FALSE))</f>
        <v>_</v>
      </c>
      <c r="CF306" s="44"/>
      <c r="CG306" s="45" t="s">
        <v>16</v>
      </c>
      <c r="CH306" s="46" t="str">
        <f>IF(VLOOKUP(CG306,βοηθητικό!$J$2:$N$354,3,FALSE)="","",VLOOKUP(CG306,βοηθητικό!$J$2:$N$354,3,FALSE))</f>
        <v>_</v>
      </c>
      <c r="CI306" s="47"/>
      <c r="CJ306" s="42" t="s">
        <v>16</v>
      </c>
      <c r="CK306" s="43" t="str">
        <f>IF(VLOOKUP(CJ306,βοηθητικό!$J$2:$N$354,3,FALSE)="","",VLOOKUP(CJ306,βοηθητικό!$J$2:$N$354,3,FALSE))</f>
        <v>_</v>
      </c>
      <c r="CL306" s="44"/>
      <c r="CM306" s="45" t="s">
        <v>16</v>
      </c>
      <c r="CN306" s="46" t="str">
        <f>IF(VLOOKUP(CM306,βοηθητικό!$J$2:$N$354,3,FALSE)="","",VLOOKUP(CM306,βοηθητικό!$J$2:$N$354,3,FALSE))</f>
        <v>_</v>
      </c>
      <c r="CO306" s="47"/>
      <c r="CP306" s="42" t="s">
        <v>16</v>
      </c>
      <c r="CQ306" s="43" t="str">
        <f>IF(VLOOKUP(CP306,βοηθητικό!$J$2:$N$354,3,FALSE)="","",VLOOKUP(CP306,βοηθητικό!$J$2:$N$354,3,FALSE))</f>
        <v>_</v>
      </c>
      <c r="CR306" s="44"/>
      <c r="CS306" s="45" t="s">
        <v>16</v>
      </c>
      <c r="CT306" s="46" t="str">
        <f>IF(VLOOKUP(CS306,βοηθητικό!$J$2:$N$354,3,FALSE)="","",VLOOKUP(CS306,βοηθητικό!$J$2:$N$354,3,FALSE))</f>
        <v>_</v>
      </c>
      <c r="CU306" s="47"/>
    </row>
    <row r="307" spans="1:99" x14ac:dyDescent="0.25">
      <c r="A307" s="37">
        <f>--SUBTOTAL(3,$B$3:B306)</f>
        <v>198</v>
      </c>
      <c r="B307" s="2"/>
      <c r="C307" s="3"/>
      <c r="D307" s="55" t="s">
        <v>18</v>
      </c>
      <c r="E307" s="38" t="s">
        <v>16</v>
      </c>
      <c r="F307" s="38" t="s">
        <v>16</v>
      </c>
      <c r="G307" s="39" t="str">
        <f t="shared" si="14"/>
        <v>__</v>
      </c>
      <c r="H307" s="40" t="str">
        <f t="shared" si="15"/>
        <v>FALSE</v>
      </c>
      <c r="I307" s="41">
        <f t="shared" si="16"/>
        <v>0</v>
      </c>
      <c r="J307" s="4" t="s">
        <v>16</v>
      </c>
      <c r="K307" s="43" t="str">
        <f>IF(VLOOKUP(J307,βοηθητικό!$J$2:$N$354,3,FALSE)="","",VLOOKUP(J307,βοηθητικό!$J$2:$N$354,3,FALSE))</f>
        <v>_</v>
      </c>
      <c r="L307" s="44"/>
      <c r="M307" s="5" t="s">
        <v>16</v>
      </c>
      <c r="N307" s="46" t="str">
        <f>IF(VLOOKUP(M307,βοηθητικό!$J$2:$N$354,3,FALSE)="","",VLOOKUP(M307,βοηθητικό!$J$2:$N$354,3,FALSE))</f>
        <v>_</v>
      </c>
      <c r="O307" s="47"/>
      <c r="P307" s="4" t="s">
        <v>16</v>
      </c>
      <c r="Q307" s="43" t="str">
        <f>IF(VLOOKUP(P307,βοηθητικό!$J$2:$N$354,3,FALSE)="","",VLOOKUP(P307,βοηθητικό!$J$2:$N$354,3,FALSE))</f>
        <v>_</v>
      </c>
      <c r="R307" s="44"/>
      <c r="S307" s="5" t="s">
        <v>16</v>
      </c>
      <c r="T307" s="46" t="str">
        <f>IF(VLOOKUP(S307,βοηθητικό!$J$2:$N$354,3,FALSE)="","",VLOOKUP(S307,βοηθητικό!$J$2:$N$354,3,FALSE))</f>
        <v>_</v>
      </c>
      <c r="U307" s="47"/>
      <c r="V307" s="4" t="s">
        <v>16</v>
      </c>
      <c r="W307" s="43" t="str">
        <f>IF(VLOOKUP(V307,βοηθητικό!$J$2:$N$354,3,FALSE)="","",VLOOKUP(V307,βοηθητικό!$J$2:$N$354,3,FALSE))</f>
        <v>_</v>
      </c>
      <c r="X307" s="44"/>
      <c r="Y307" s="5" t="s">
        <v>16</v>
      </c>
      <c r="Z307" s="46" t="str">
        <f>IF(VLOOKUP(Y307,βοηθητικό!$J$2:$N$354,3,FALSE)="","",VLOOKUP(Y307,βοηθητικό!$J$2:$N$354,3,FALSE))</f>
        <v>_</v>
      </c>
      <c r="AA307" s="47"/>
      <c r="AB307" s="4" t="s">
        <v>16</v>
      </c>
      <c r="AC307" s="43" t="str">
        <f>IF(VLOOKUP(AB307,βοηθητικό!$J$2:$N$354,3,FALSE)="","",VLOOKUP(AB307,βοηθητικό!$J$2:$N$354,3,FALSE))</f>
        <v>_</v>
      </c>
      <c r="AD307" s="44"/>
      <c r="AE307" s="5" t="s">
        <v>16</v>
      </c>
      <c r="AF307" s="46" t="str">
        <f>IF(VLOOKUP(AE307,βοηθητικό!$J$2:$N$354,3,FALSE)="","",VLOOKUP(AE307,βοηθητικό!$J$2:$N$354,3,FALSE))</f>
        <v>_</v>
      </c>
      <c r="AG307" s="47"/>
      <c r="AH307" s="4" t="s">
        <v>16</v>
      </c>
      <c r="AI307" s="43" t="str">
        <f>IF(VLOOKUP(AH307,βοηθητικό!$J$2:$N$354,3,FALSE)="","",VLOOKUP(AH307,βοηθητικό!$J$2:$N$354,3,FALSE))</f>
        <v>_</v>
      </c>
      <c r="AJ307" s="44"/>
      <c r="AK307" s="5" t="s">
        <v>16</v>
      </c>
      <c r="AL307" s="46" t="str">
        <f>IF(VLOOKUP(AK307,βοηθητικό!$J$2:$N$354,3,FALSE)="","",VLOOKUP(AK307,βοηθητικό!$J$2:$N$354,3,FALSE))</f>
        <v>_</v>
      </c>
      <c r="AM307" s="47"/>
      <c r="AN307" s="4" t="s">
        <v>16</v>
      </c>
      <c r="AO307" s="43" t="str">
        <f>IF(VLOOKUP(AN307,βοηθητικό!$J$2:$N$354,3,FALSE)="","",VLOOKUP(AN307,βοηθητικό!$J$2:$N$354,3,FALSE))</f>
        <v>_</v>
      </c>
      <c r="AP307" s="44"/>
      <c r="AQ307" s="5" t="s">
        <v>16</v>
      </c>
      <c r="AR307" s="46" t="str">
        <f>IF(VLOOKUP(AQ307,βοηθητικό!$J$2:$N$354,3,FALSE)="","",VLOOKUP(AQ307,βοηθητικό!$J$2:$N$354,3,FALSE))</f>
        <v>_</v>
      </c>
      <c r="AS307" s="47"/>
      <c r="AT307" s="4" t="s">
        <v>16</v>
      </c>
      <c r="AU307" s="43" t="str">
        <f>IF(VLOOKUP(AT307,βοηθητικό!$J$2:$N$354,3,FALSE)="","",VLOOKUP(AT307,βοηθητικό!$J$2:$N$354,3,FALSE))</f>
        <v>_</v>
      </c>
      <c r="AV307" s="44"/>
      <c r="AW307" s="5" t="s">
        <v>16</v>
      </c>
      <c r="AX307" s="46" t="str">
        <f>IF(VLOOKUP(AW307,βοηθητικό!$J$2:$N$354,3,FALSE)="","",VLOOKUP(AW307,βοηθητικό!$J$2:$N$354,3,FALSE))</f>
        <v>_</v>
      </c>
      <c r="AY307" s="47"/>
      <c r="AZ307" s="4" t="s">
        <v>16</v>
      </c>
      <c r="BA307" s="43" t="str">
        <f>IF(VLOOKUP(AZ307,βοηθητικό!$J$2:$N$354,3,FALSE)="","",VLOOKUP(AZ307,βοηθητικό!$J$2:$N$354,3,FALSE))</f>
        <v>_</v>
      </c>
      <c r="BB307" s="44"/>
      <c r="BC307" s="45" t="s">
        <v>16</v>
      </c>
      <c r="BD307" s="46" t="str">
        <f>IF(VLOOKUP(BC307,βοηθητικό!$J$2:$N$354,3,FALSE)="","",VLOOKUP(BC307,βοηθητικό!$J$2:$N$354,3,FALSE))</f>
        <v>_</v>
      </c>
      <c r="BE307" s="47"/>
      <c r="BF307" s="42" t="s">
        <v>16</v>
      </c>
      <c r="BG307" s="43" t="str">
        <f>IF(VLOOKUP(BF307,βοηθητικό!$J$2:$N$354,3,FALSE)="","",VLOOKUP(BF307,βοηθητικό!$J$2:$N$354,3,FALSE))</f>
        <v>_</v>
      </c>
      <c r="BH307" s="44"/>
      <c r="BI307" s="45" t="s">
        <v>16</v>
      </c>
      <c r="BJ307" s="46" t="str">
        <f>IF(VLOOKUP(BI307,βοηθητικό!$J$2:$N$354,3,FALSE)="","",VLOOKUP(BI307,βοηθητικό!$J$2:$N$354,3,FALSE))</f>
        <v>_</v>
      </c>
      <c r="BK307" s="47"/>
      <c r="BL307" s="42" t="s">
        <v>16</v>
      </c>
      <c r="BM307" s="43" t="str">
        <f>IF(VLOOKUP(BL307,βοηθητικό!$J$2:$N$354,3,FALSE)="","",VLOOKUP(BL307,βοηθητικό!$J$2:$N$354,3,FALSE))</f>
        <v>_</v>
      </c>
      <c r="BN307" s="44"/>
      <c r="BO307" s="45" t="s">
        <v>16</v>
      </c>
      <c r="BP307" s="46" t="str">
        <f>IF(VLOOKUP(BO307,βοηθητικό!$J$2:$N$354,3,FALSE)="","",VLOOKUP(BO307,βοηθητικό!$J$2:$N$354,3,FALSE))</f>
        <v>_</v>
      </c>
      <c r="BQ307" s="47"/>
      <c r="BR307" s="42" t="s">
        <v>16</v>
      </c>
      <c r="BS307" s="43" t="str">
        <f>IF(VLOOKUP(BR307,βοηθητικό!$J$2:$N$354,3,FALSE)="","",VLOOKUP(BR307,βοηθητικό!$J$2:$N$354,3,FALSE))</f>
        <v>_</v>
      </c>
      <c r="BT307" s="44"/>
      <c r="BU307" s="45" t="s">
        <v>16</v>
      </c>
      <c r="BV307" s="46" t="str">
        <f>IF(VLOOKUP(BU307,βοηθητικό!$J$2:$N$354,3,FALSE)="","",VLOOKUP(BU307,βοηθητικό!$J$2:$N$354,3,FALSE))</f>
        <v>_</v>
      </c>
      <c r="BW307" s="47"/>
      <c r="BX307" s="42" t="s">
        <v>16</v>
      </c>
      <c r="BY307" s="43" t="str">
        <f>IF(VLOOKUP(BX307,βοηθητικό!$J$2:$N$354,3,FALSE)="","",VLOOKUP(BX307,βοηθητικό!$J$2:$N$354,3,FALSE))</f>
        <v>_</v>
      </c>
      <c r="BZ307" s="44"/>
      <c r="CA307" s="45" t="s">
        <v>16</v>
      </c>
      <c r="CB307" s="46" t="str">
        <f>IF(VLOOKUP(CA307,βοηθητικό!$J$2:$N$354,3,FALSE)="","",VLOOKUP(CA307,βοηθητικό!$J$2:$N$354,3,FALSE))</f>
        <v>_</v>
      </c>
      <c r="CC307" s="47"/>
      <c r="CD307" s="42" t="s">
        <v>16</v>
      </c>
      <c r="CE307" s="43" t="str">
        <f>IF(VLOOKUP(CD307,βοηθητικό!$J$2:$N$354,3,FALSE)="","",VLOOKUP(CD307,βοηθητικό!$J$2:$N$354,3,FALSE))</f>
        <v>_</v>
      </c>
      <c r="CF307" s="44"/>
      <c r="CG307" s="45" t="s">
        <v>16</v>
      </c>
      <c r="CH307" s="46" t="str">
        <f>IF(VLOOKUP(CG307,βοηθητικό!$J$2:$N$354,3,FALSE)="","",VLOOKUP(CG307,βοηθητικό!$J$2:$N$354,3,FALSE))</f>
        <v>_</v>
      </c>
      <c r="CI307" s="47"/>
      <c r="CJ307" s="42" t="s">
        <v>16</v>
      </c>
      <c r="CK307" s="43" t="str">
        <f>IF(VLOOKUP(CJ307,βοηθητικό!$J$2:$N$354,3,FALSE)="","",VLOOKUP(CJ307,βοηθητικό!$J$2:$N$354,3,FALSE))</f>
        <v>_</v>
      </c>
      <c r="CL307" s="44"/>
      <c r="CM307" s="45" t="s">
        <v>16</v>
      </c>
      <c r="CN307" s="46" t="str">
        <f>IF(VLOOKUP(CM307,βοηθητικό!$J$2:$N$354,3,FALSE)="","",VLOOKUP(CM307,βοηθητικό!$J$2:$N$354,3,FALSE))</f>
        <v>_</v>
      </c>
      <c r="CO307" s="47"/>
      <c r="CP307" s="42" t="s">
        <v>16</v>
      </c>
      <c r="CQ307" s="43" t="str">
        <f>IF(VLOOKUP(CP307,βοηθητικό!$J$2:$N$354,3,FALSE)="","",VLOOKUP(CP307,βοηθητικό!$J$2:$N$354,3,FALSE))</f>
        <v>_</v>
      </c>
      <c r="CR307" s="44"/>
      <c r="CS307" s="45" t="s">
        <v>16</v>
      </c>
      <c r="CT307" s="46" t="str">
        <f>IF(VLOOKUP(CS307,βοηθητικό!$J$2:$N$354,3,FALSE)="","",VLOOKUP(CS307,βοηθητικό!$J$2:$N$354,3,FALSE))</f>
        <v>_</v>
      </c>
      <c r="CU307" s="47"/>
    </row>
    <row r="308" spans="1:99" x14ac:dyDescent="0.25">
      <c r="A308" s="37">
        <f>--SUBTOTAL(3,$B$3:B307)</f>
        <v>198</v>
      </c>
      <c r="B308" s="2"/>
      <c r="C308" s="3"/>
      <c r="D308" s="55" t="s">
        <v>18</v>
      </c>
      <c r="E308" s="38" t="s">
        <v>16</v>
      </c>
      <c r="F308" s="38" t="s">
        <v>16</v>
      </c>
      <c r="G308" s="39" t="str">
        <f t="shared" si="14"/>
        <v>__</v>
      </c>
      <c r="H308" s="40" t="str">
        <f t="shared" si="15"/>
        <v>FALSE</v>
      </c>
      <c r="I308" s="41">
        <f t="shared" si="16"/>
        <v>0</v>
      </c>
      <c r="J308" s="4" t="s">
        <v>16</v>
      </c>
      <c r="K308" s="43" t="str">
        <f>IF(VLOOKUP(J308,βοηθητικό!$J$2:$N$354,3,FALSE)="","",VLOOKUP(J308,βοηθητικό!$J$2:$N$354,3,FALSE))</f>
        <v>_</v>
      </c>
      <c r="L308" s="44"/>
      <c r="M308" s="5" t="s">
        <v>16</v>
      </c>
      <c r="N308" s="46" t="str">
        <f>IF(VLOOKUP(M308,βοηθητικό!$J$2:$N$354,3,FALSE)="","",VLOOKUP(M308,βοηθητικό!$J$2:$N$354,3,FALSE))</f>
        <v>_</v>
      </c>
      <c r="O308" s="47"/>
      <c r="P308" s="4" t="s">
        <v>16</v>
      </c>
      <c r="Q308" s="43" t="str">
        <f>IF(VLOOKUP(P308,βοηθητικό!$J$2:$N$354,3,FALSE)="","",VLOOKUP(P308,βοηθητικό!$J$2:$N$354,3,FALSE))</f>
        <v>_</v>
      </c>
      <c r="R308" s="44"/>
      <c r="S308" s="5" t="s">
        <v>16</v>
      </c>
      <c r="T308" s="46" t="str">
        <f>IF(VLOOKUP(S308,βοηθητικό!$J$2:$N$354,3,FALSE)="","",VLOOKUP(S308,βοηθητικό!$J$2:$N$354,3,FALSE))</f>
        <v>_</v>
      </c>
      <c r="U308" s="47"/>
      <c r="V308" s="4" t="s">
        <v>16</v>
      </c>
      <c r="W308" s="43" t="str">
        <f>IF(VLOOKUP(V308,βοηθητικό!$J$2:$N$354,3,FALSE)="","",VLOOKUP(V308,βοηθητικό!$J$2:$N$354,3,FALSE))</f>
        <v>_</v>
      </c>
      <c r="X308" s="44"/>
      <c r="Y308" s="5" t="s">
        <v>16</v>
      </c>
      <c r="Z308" s="46" t="str">
        <f>IF(VLOOKUP(Y308,βοηθητικό!$J$2:$N$354,3,FALSE)="","",VLOOKUP(Y308,βοηθητικό!$J$2:$N$354,3,FALSE))</f>
        <v>_</v>
      </c>
      <c r="AA308" s="47"/>
      <c r="AB308" s="4" t="s">
        <v>16</v>
      </c>
      <c r="AC308" s="43" t="str">
        <f>IF(VLOOKUP(AB308,βοηθητικό!$J$2:$N$354,3,FALSE)="","",VLOOKUP(AB308,βοηθητικό!$J$2:$N$354,3,FALSE))</f>
        <v>_</v>
      </c>
      <c r="AD308" s="44"/>
      <c r="AE308" s="5" t="s">
        <v>16</v>
      </c>
      <c r="AF308" s="46" t="str">
        <f>IF(VLOOKUP(AE308,βοηθητικό!$J$2:$N$354,3,FALSE)="","",VLOOKUP(AE308,βοηθητικό!$J$2:$N$354,3,FALSE))</f>
        <v>_</v>
      </c>
      <c r="AG308" s="47"/>
      <c r="AH308" s="4" t="s">
        <v>16</v>
      </c>
      <c r="AI308" s="43" t="str">
        <f>IF(VLOOKUP(AH308,βοηθητικό!$J$2:$N$354,3,FALSE)="","",VLOOKUP(AH308,βοηθητικό!$J$2:$N$354,3,FALSE))</f>
        <v>_</v>
      </c>
      <c r="AJ308" s="44"/>
      <c r="AK308" s="5" t="s">
        <v>16</v>
      </c>
      <c r="AL308" s="46" t="str">
        <f>IF(VLOOKUP(AK308,βοηθητικό!$J$2:$N$354,3,FALSE)="","",VLOOKUP(AK308,βοηθητικό!$J$2:$N$354,3,FALSE))</f>
        <v>_</v>
      </c>
      <c r="AM308" s="47"/>
      <c r="AN308" s="4" t="s">
        <v>16</v>
      </c>
      <c r="AO308" s="43" t="str">
        <f>IF(VLOOKUP(AN308,βοηθητικό!$J$2:$N$354,3,FALSE)="","",VLOOKUP(AN308,βοηθητικό!$J$2:$N$354,3,FALSE))</f>
        <v>_</v>
      </c>
      <c r="AP308" s="44"/>
      <c r="AQ308" s="5" t="s">
        <v>16</v>
      </c>
      <c r="AR308" s="46" t="str">
        <f>IF(VLOOKUP(AQ308,βοηθητικό!$J$2:$N$354,3,FALSE)="","",VLOOKUP(AQ308,βοηθητικό!$J$2:$N$354,3,FALSE))</f>
        <v>_</v>
      </c>
      <c r="AS308" s="47"/>
      <c r="AT308" s="4" t="s">
        <v>16</v>
      </c>
      <c r="AU308" s="43" t="str">
        <f>IF(VLOOKUP(AT308,βοηθητικό!$J$2:$N$354,3,FALSE)="","",VLOOKUP(AT308,βοηθητικό!$J$2:$N$354,3,FALSE))</f>
        <v>_</v>
      </c>
      <c r="AV308" s="44"/>
      <c r="AW308" s="5" t="s">
        <v>16</v>
      </c>
      <c r="AX308" s="46" t="str">
        <f>IF(VLOOKUP(AW308,βοηθητικό!$J$2:$N$354,3,FALSE)="","",VLOOKUP(AW308,βοηθητικό!$J$2:$N$354,3,FALSE))</f>
        <v>_</v>
      </c>
      <c r="AY308" s="47"/>
      <c r="AZ308" s="4" t="s">
        <v>16</v>
      </c>
      <c r="BA308" s="43" t="str">
        <f>IF(VLOOKUP(AZ308,βοηθητικό!$J$2:$N$354,3,FALSE)="","",VLOOKUP(AZ308,βοηθητικό!$J$2:$N$354,3,FALSE))</f>
        <v>_</v>
      </c>
      <c r="BB308" s="44"/>
      <c r="BC308" s="45" t="s">
        <v>16</v>
      </c>
      <c r="BD308" s="46" t="str">
        <f>IF(VLOOKUP(BC308,βοηθητικό!$J$2:$N$354,3,FALSE)="","",VLOOKUP(BC308,βοηθητικό!$J$2:$N$354,3,FALSE))</f>
        <v>_</v>
      </c>
      <c r="BE308" s="47"/>
      <c r="BF308" s="42" t="s">
        <v>16</v>
      </c>
      <c r="BG308" s="43" t="str">
        <f>IF(VLOOKUP(BF308,βοηθητικό!$J$2:$N$354,3,FALSE)="","",VLOOKUP(BF308,βοηθητικό!$J$2:$N$354,3,FALSE))</f>
        <v>_</v>
      </c>
      <c r="BH308" s="44"/>
      <c r="BI308" s="45" t="s">
        <v>16</v>
      </c>
      <c r="BJ308" s="46" t="str">
        <f>IF(VLOOKUP(BI308,βοηθητικό!$J$2:$N$354,3,FALSE)="","",VLOOKUP(BI308,βοηθητικό!$J$2:$N$354,3,FALSE))</f>
        <v>_</v>
      </c>
      <c r="BK308" s="47"/>
      <c r="BL308" s="42" t="s">
        <v>16</v>
      </c>
      <c r="BM308" s="43" t="str">
        <f>IF(VLOOKUP(BL308,βοηθητικό!$J$2:$N$354,3,FALSE)="","",VLOOKUP(BL308,βοηθητικό!$J$2:$N$354,3,FALSE))</f>
        <v>_</v>
      </c>
      <c r="BN308" s="44"/>
      <c r="BO308" s="45" t="s">
        <v>16</v>
      </c>
      <c r="BP308" s="46" t="str">
        <f>IF(VLOOKUP(BO308,βοηθητικό!$J$2:$N$354,3,FALSE)="","",VLOOKUP(BO308,βοηθητικό!$J$2:$N$354,3,FALSE))</f>
        <v>_</v>
      </c>
      <c r="BQ308" s="47"/>
      <c r="BR308" s="42" t="s">
        <v>16</v>
      </c>
      <c r="BS308" s="43" t="str">
        <f>IF(VLOOKUP(BR308,βοηθητικό!$J$2:$N$354,3,FALSE)="","",VLOOKUP(BR308,βοηθητικό!$J$2:$N$354,3,FALSE))</f>
        <v>_</v>
      </c>
      <c r="BT308" s="44"/>
      <c r="BU308" s="45" t="s">
        <v>16</v>
      </c>
      <c r="BV308" s="46" t="str">
        <f>IF(VLOOKUP(BU308,βοηθητικό!$J$2:$N$354,3,FALSE)="","",VLOOKUP(BU308,βοηθητικό!$J$2:$N$354,3,FALSE))</f>
        <v>_</v>
      </c>
      <c r="BW308" s="47"/>
      <c r="BX308" s="42" t="s">
        <v>16</v>
      </c>
      <c r="BY308" s="43" t="str">
        <f>IF(VLOOKUP(BX308,βοηθητικό!$J$2:$N$354,3,FALSE)="","",VLOOKUP(BX308,βοηθητικό!$J$2:$N$354,3,FALSE))</f>
        <v>_</v>
      </c>
      <c r="BZ308" s="44"/>
      <c r="CA308" s="45" t="s">
        <v>16</v>
      </c>
      <c r="CB308" s="46" t="str">
        <f>IF(VLOOKUP(CA308,βοηθητικό!$J$2:$N$354,3,FALSE)="","",VLOOKUP(CA308,βοηθητικό!$J$2:$N$354,3,FALSE))</f>
        <v>_</v>
      </c>
      <c r="CC308" s="47"/>
      <c r="CD308" s="42" t="s">
        <v>16</v>
      </c>
      <c r="CE308" s="43" t="str">
        <f>IF(VLOOKUP(CD308,βοηθητικό!$J$2:$N$354,3,FALSE)="","",VLOOKUP(CD308,βοηθητικό!$J$2:$N$354,3,FALSE))</f>
        <v>_</v>
      </c>
      <c r="CF308" s="44"/>
      <c r="CG308" s="45" t="s">
        <v>16</v>
      </c>
      <c r="CH308" s="46" t="str">
        <f>IF(VLOOKUP(CG308,βοηθητικό!$J$2:$N$354,3,FALSE)="","",VLOOKUP(CG308,βοηθητικό!$J$2:$N$354,3,FALSE))</f>
        <v>_</v>
      </c>
      <c r="CI308" s="47"/>
      <c r="CJ308" s="42" t="s">
        <v>16</v>
      </c>
      <c r="CK308" s="43" t="str">
        <f>IF(VLOOKUP(CJ308,βοηθητικό!$J$2:$N$354,3,FALSE)="","",VLOOKUP(CJ308,βοηθητικό!$J$2:$N$354,3,FALSE))</f>
        <v>_</v>
      </c>
      <c r="CL308" s="44"/>
      <c r="CM308" s="45" t="s">
        <v>16</v>
      </c>
      <c r="CN308" s="46" t="str">
        <f>IF(VLOOKUP(CM308,βοηθητικό!$J$2:$N$354,3,FALSE)="","",VLOOKUP(CM308,βοηθητικό!$J$2:$N$354,3,FALSE))</f>
        <v>_</v>
      </c>
      <c r="CO308" s="47"/>
      <c r="CP308" s="42" t="s">
        <v>16</v>
      </c>
      <c r="CQ308" s="43" t="str">
        <f>IF(VLOOKUP(CP308,βοηθητικό!$J$2:$N$354,3,FALSE)="","",VLOOKUP(CP308,βοηθητικό!$J$2:$N$354,3,FALSE))</f>
        <v>_</v>
      </c>
      <c r="CR308" s="44"/>
      <c r="CS308" s="45" t="s">
        <v>16</v>
      </c>
      <c r="CT308" s="46" t="str">
        <f>IF(VLOOKUP(CS308,βοηθητικό!$J$2:$N$354,3,FALSE)="","",VLOOKUP(CS308,βοηθητικό!$J$2:$N$354,3,FALSE))</f>
        <v>_</v>
      </c>
      <c r="CU308" s="47"/>
    </row>
    <row r="309" spans="1:99" x14ac:dyDescent="0.25">
      <c r="A309" s="37">
        <f>--SUBTOTAL(3,$B$3:B308)</f>
        <v>198</v>
      </c>
      <c r="B309" s="2"/>
      <c r="C309" s="3"/>
      <c r="D309" s="55" t="s">
        <v>18</v>
      </c>
      <c r="E309" s="38" t="s">
        <v>16</v>
      </c>
      <c r="F309" s="38" t="s">
        <v>16</v>
      </c>
      <c r="G309" s="39" t="str">
        <f t="shared" si="14"/>
        <v>__</v>
      </c>
      <c r="H309" s="40" t="str">
        <f t="shared" si="15"/>
        <v>FALSE</v>
      </c>
      <c r="I309" s="41">
        <f t="shared" si="16"/>
        <v>0</v>
      </c>
      <c r="J309" s="4" t="s">
        <v>16</v>
      </c>
      <c r="K309" s="43" t="str">
        <f>IF(VLOOKUP(J309,βοηθητικό!$J$2:$N$354,3,FALSE)="","",VLOOKUP(J309,βοηθητικό!$J$2:$N$354,3,FALSE))</f>
        <v>_</v>
      </c>
      <c r="L309" s="44"/>
      <c r="M309" s="5" t="s">
        <v>16</v>
      </c>
      <c r="N309" s="46" t="str">
        <f>IF(VLOOKUP(M309,βοηθητικό!$J$2:$N$354,3,FALSE)="","",VLOOKUP(M309,βοηθητικό!$J$2:$N$354,3,FALSE))</f>
        <v>_</v>
      </c>
      <c r="O309" s="47"/>
      <c r="P309" s="4" t="s">
        <v>16</v>
      </c>
      <c r="Q309" s="43" t="str">
        <f>IF(VLOOKUP(P309,βοηθητικό!$J$2:$N$354,3,FALSE)="","",VLOOKUP(P309,βοηθητικό!$J$2:$N$354,3,FALSE))</f>
        <v>_</v>
      </c>
      <c r="R309" s="44"/>
      <c r="S309" s="5" t="s">
        <v>16</v>
      </c>
      <c r="T309" s="46" t="str">
        <f>IF(VLOOKUP(S309,βοηθητικό!$J$2:$N$354,3,FALSE)="","",VLOOKUP(S309,βοηθητικό!$J$2:$N$354,3,FALSE))</f>
        <v>_</v>
      </c>
      <c r="U309" s="47"/>
      <c r="V309" s="4" t="s">
        <v>16</v>
      </c>
      <c r="W309" s="43" t="str">
        <f>IF(VLOOKUP(V309,βοηθητικό!$J$2:$N$354,3,FALSE)="","",VLOOKUP(V309,βοηθητικό!$J$2:$N$354,3,FALSE))</f>
        <v>_</v>
      </c>
      <c r="X309" s="44"/>
      <c r="Y309" s="5" t="s">
        <v>16</v>
      </c>
      <c r="Z309" s="46" t="str">
        <f>IF(VLOOKUP(Y309,βοηθητικό!$J$2:$N$354,3,FALSE)="","",VLOOKUP(Y309,βοηθητικό!$J$2:$N$354,3,FALSE))</f>
        <v>_</v>
      </c>
      <c r="AA309" s="47"/>
      <c r="AB309" s="4" t="s">
        <v>16</v>
      </c>
      <c r="AC309" s="43" t="str">
        <f>IF(VLOOKUP(AB309,βοηθητικό!$J$2:$N$354,3,FALSE)="","",VLOOKUP(AB309,βοηθητικό!$J$2:$N$354,3,FALSE))</f>
        <v>_</v>
      </c>
      <c r="AD309" s="44"/>
      <c r="AE309" s="5" t="s">
        <v>16</v>
      </c>
      <c r="AF309" s="46" t="str">
        <f>IF(VLOOKUP(AE309,βοηθητικό!$J$2:$N$354,3,FALSE)="","",VLOOKUP(AE309,βοηθητικό!$J$2:$N$354,3,FALSE))</f>
        <v>_</v>
      </c>
      <c r="AG309" s="47"/>
      <c r="AH309" s="4" t="s">
        <v>16</v>
      </c>
      <c r="AI309" s="43" t="str">
        <f>IF(VLOOKUP(AH309,βοηθητικό!$J$2:$N$354,3,FALSE)="","",VLOOKUP(AH309,βοηθητικό!$J$2:$N$354,3,FALSE))</f>
        <v>_</v>
      </c>
      <c r="AJ309" s="44"/>
      <c r="AK309" s="5" t="s">
        <v>16</v>
      </c>
      <c r="AL309" s="46" t="str">
        <f>IF(VLOOKUP(AK309,βοηθητικό!$J$2:$N$354,3,FALSE)="","",VLOOKUP(AK309,βοηθητικό!$J$2:$N$354,3,FALSE))</f>
        <v>_</v>
      </c>
      <c r="AM309" s="47"/>
      <c r="AN309" s="4" t="s">
        <v>16</v>
      </c>
      <c r="AO309" s="43" t="str">
        <f>IF(VLOOKUP(AN309,βοηθητικό!$J$2:$N$354,3,FALSE)="","",VLOOKUP(AN309,βοηθητικό!$J$2:$N$354,3,FALSE))</f>
        <v>_</v>
      </c>
      <c r="AP309" s="44"/>
      <c r="AQ309" s="5" t="s">
        <v>16</v>
      </c>
      <c r="AR309" s="46" t="str">
        <f>IF(VLOOKUP(AQ309,βοηθητικό!$J$2:$N$354,3,FALSE)="","",VLOOKUP(AQ309,βοηθητικό!$J$2:$N$354,3,FALSE))</f>
        <v>_</v>
      </c>
      <c r="AS309" s="47"/>
      <c r="AT309" s="4" t="s">
        <v>16</v>
      </c>
      <c r="AU309" s="43" t="str">
        <f>IF(VLOOKUP(AT309,βοηθητικό!$J$2:$N$354,3,FALSE)="","",VLOOKUP(AT309,βοηθητικό!$J$2:$N$354,3,FALSE))</f>
        <v>_</v>
      </c>
      <c r="AV309" s="44"/>
      <c r="AW309" s="5" t="s">
        <v>16</v>
      </c>
      <c r="AX309" s="46" t="str">
        <f>IF(VLOOKUP(AW309,βοηθητικό!$J$2:$N$354,3,FALSE)="","",VLOOKUP(AW309,βοηθητικό!$J$2:$N$354,3,FALSE))</f>
        <v>_</v>
      </c>
      <c r="AY309" s="47"/>
      <c r="AZ309" s="4" t="s">
        <v>16</v>
      </c>
      <c r="BA309" s="43" t="str">
        <f>IF(VLOOKUP(AZ309,βοηθητικό!$J$2:$N$354,3,FALSE)="","",VLOOKUP(AZ309,βοηθητικό!$J$2:$N$354,3,FALSE))</f>
        <v>_</v>
      </c>
      <c r="BB309" s="44"/>
      <c r="BC309" s="45" t="s">
        <v>16</v>
      </c>
      <c r="BD309" s="46" t="str">
        <f>IF(VLOOKUP(BC309,βοηθητικό!$J$2:$N$354,3,FALSE)="","",VLOOKUP(BC309,βοηθητικό!$J$2:$N$354,3,FALSE))</f>
        <v>_</v>
      </c>
      <c r="BE309" s="47"/>
      <c r="BF309" s="42" t="s">
        <v>16</v>
      </c>
      <c r="BG309" s="43" t="str">
        <f>IF(VLOOKUP(BF309,βοηθητικό!$J$2:$N$354,3,FALSE)="","",VLOOKUP(BF309,βοηθητικό!$J$2:$N$354,3,FALSE))</f>
        <v>_</v>
      </c>
      <c r="BH309" s="44"/>
      <c r="BI309" s="45" t="s">
        <v>16</v>
      </c>
      <c r="BJ309" s="46" t="str">
        <f>IF(VLOOKUP(BI309,βοηθητικό!$J$2:$N$354,3,FALSE)="","",VLOOKUP(BI309,βοηθητικό!$J$2:$N$354,3,FALSE))</f>
        <v>_</v>
      </c>
      <c r="BK309" s="47"/>
      <c r="BL309" s="42" t="s">
        <v>16</v>
      </c>
      <c r="BM309" s="43" t="str">
        <f>IF(VLOOKUP(BL309,βοηθητικό!$J$2:$N$354,3,FALSE)="","",VLOOKUP(BL309,βοηθητικό!$J$2:$N$354,3,FALSE))</f>
        <v>_</v>
      </c>
      <c r="BN309" s="44"/>
      <c r="BO309" s="45" t="s">
        <v>16</v>
      </c>
      <c r="BP309" s="46" t="str">
        <f>IF(VLOOKUP(BO309,βοηθητικό!$J$2:$N$354,3,FALSE)="","",VLOOKUP(BO309,βοηθητικό!$J$2:$N$354,3,FALSE))</f>
        <v>_</v>
      </c>
      <c r="BQ309" s="47"/>
      <c r="BR309" s="42" t="s">
        <v>16</v>
      </c>
      <c r="BS309" s="43" t="str">
        <f>IF(VLOOKUP(BR309,βοηθητικό!$J$2:$N$354,3,FALSE)="","",VLOOKUP(BR309,βοηθητικό!$J$2:$N$354,3,FALSE))</f>
        <v>_</v>
      </c>
      <c r="BT309" s="44"/>
      <c r="BU309" s="45" t="s">
        <v>16</v>
      </c>
      <c r="BV309" s="46" t="str">
        <f>IF(VLOOKUP(BU309,βοηθητικό!$J$2:$N$354,3,FALSE)="","",VLOOKUP(BU309,βοηθητικό!$J$2:$N$354,3,FALSE))</f>
        <v>_</v>
      </c>
      <c r="BW309" s="47"/>
      <c r="BX309" s="42" t="s">
        <v>16</v>
      </c>
      <c r="BY309" s="43" t="str">
        <f>IF(VLOOKUP(BX309,βοηθητικό!$J$2:$N$354,3,FALSE)="","",VLOOKUP(BX309,βοηθητικό!$J$2:$N$354,3,FALSE))</f>
        <v>_</v>
      </c>
      <c r="BZ309" s="44"/>
      <c r="CA309" s="45" t="s">
        <v>16</v>
      </c>
      <c r="CB309" s="46" t="str">
        <f>IF(VLOOKUP(CA309,βοηθητικό!$J$2:$N$354,3,FALSE)="","",VLOOKUP(CA309,βοηθητικό!$J$2:$N$354,3,FALSE))</f>
        <v>_</v>
      </c>
      <c r="CC309" s="47"/>
      <c r="CD309" s="42" t="s">
        <v>16</v>
      </c>
      <c r="CE309" s="43" t="str">
        <f>IF(VLOOKUP(CD309,βοηθητικό!$J$2:$N$354,3,FALSE)="","",VLOOKUP(CD309,βοηθητικό!$J$2:$N$354,3,FALSE))</f>
        <v>_</v>
      </c>
      <c r="CF309" s="44"/>
      <c r="CG309" s="45" t="s">
        <v>16</v>
      </c>
      <c r="CH309" s="46" t="str">
        <f>IF(VLOOKUP(CG309,βοηθητικό!$J$2:$N$354,3,FALSE)="","",VLOOKUP(CG309,βοηθητικό!$J$2:$N$354,3,FALSE))</f>
        <v>_</v>
      </c>
      <c r="CI309" s="47"/>
      <c r="CJ309" s="42" t="s">
        <v>16</v>
      </c>
      <c r="CK309" s="43" t="str">
        <f>IF(VLOOKUP(CJ309,βοηθητικό!$J$2:$N$354,3,FALSE)="","",VLOOKUP(CJ309,βοηθητικό!$J$2:$N$354,3,FALSE))</f>
        <v>_</v>
      </c>
      <c r="CL309" s="44"/>
      <c r="CM309" s="45" t="s">
        <v>16</v>
      </c>
      <c r="CN309" s="46" t="str">
        <f>IF(VLOOKUP(CM309,βοηθητικό!$J$2:$N$354,3,FALSE)="","",VLOOKUP(CM309,βοηθητικό!$J$2:$N$354,3,FALSE))</f>
        <v>_</v>
      </c>
      <c r="CO309" s="47"/>
      <c r="CP309" s="42" t="s">
        <v>16</v>
      </c>
      <c r="CQ309" s="43" t="str">
        <f>IF(VLOOKUP(CP309,βοηθητικό!$J$2:$N$354,3,FALSE)="","",VLOOKUP(CP309,βοηθητικό!$J$2:$N$354,3,FALSE))</f>
        <v>_</v>
      </c>
      <c r="CR309" s="44"/>
      <c r="CS309" s="45" t="s">
        <v>16</v>
      </c>
      <c r="CT309" s="46" t="str">
        <f>IF(VLOOKUP(CS309,βοηθητικό!$J$2:$N$354,3,FALSE)="","",VLOOKUP(CS309,βοηθητικό!$J$2:$N$354,3,FALSE))</f>
        <v>_</v>
      </c>
      <c r="CU309" s="47"/>
    </row>
    <row r="310" spans="1:99" x14ac:dyDescent="0.25">
      <c r="A310" s="37">
        <f>--SUBTOTAL(3,$B$3:B309)</f>
        <v>198</v>
      </c>
      <c r="B310" s="2"/>
      <c r="C310" s="3"/>
      <c r="D310" s="55" t="s">
        <v>18</v>
      </c>
      <c r="E310" s="38" t="s">
        <v>16</v>
      </c>
      <c r="F310" s="38" t="s">
        <v>16</v>
      </c>
      <c r="G310" s="39" t="str">
        <f t="shared" si="14"/>
        <v>__</v>
      </c>
      <c r="H310" s="40" t="str">
        <f t="shared" si="15"/>
        <v>FALSE</v>
      </c>
      <c r="I310" s="41">
        <f t="shared" si="16"/>
        <v>0</v>
      </c>
      <c r="J310" s="4" t="s">
        <v>16</v>
      </c>
      <c r="K310" s="43" t="str">
        <f>IF(VLOOKUP(J310,βοηθητικό!$J$2:$N$354,3,FALSE)="","",VLOOKUP(J310,βοηθητικό!$J$2:$N$354,3,FALSE))</f>
        <v>_</v>
      </c>
      <c r="L310" s="44"/>
      <c r="M310" s="5" t="s">
        <v>16</v>
      </c>
      <c r="N310" s="46" t="str">
        <f>IF(VLOOKUP(M310,βοηθητικό!$J$2:$N$354,3,FALSE)="","",VLOOKUP(M310,βοηθητικό!$J$2:$N$354,3,FALSE))</f>
        <v>_</v>
      </c>
      <c r="O310" s="47"/>
      <c r="P310" s="4" t="s">
        <v>16</v>
      </c>
      <c r="Q310" s="43" t="str">
        <f>IF(VLOOKUP(P310,βοηθητικό!$J$2:$N$354,3,FALSE)="","",VLOOKUP(P310,βοηθητικό!$J$2:$N$354,3,FALSE))</f>
        <v>_</v>
      </c>
      <c r="R310" s="44"/>
      <c r="S310" s="5" t="s">
        <v>16</v>
      </c>
      <c r="T310" s="46" t="str">
        <f>IF(VLOOKUP(S310,βοηθητικό!$J$2:$N$354,3,FALSE)="","",VLOOKUP(S310,βοηθητικό!$J$2:$N$354,3,FALSE))</f>
        <v>_</v>
      </c>
      <c r="U310" s="47"/>
      <c r="V310" s="4" t="s">
        <v>16</v>
      </c>
      <c r="W310" s="43" t="str">
        <f>IF(VLOOKUP(V310,βοηθητικό!$J$2:$N$354,3,FALSE)="","",VLOOKUP(V310,βοηθητικό!$J$2:$N$354,3,FALSE))</f>
        <v>_</v>
      </c>
      <c r="X310" s="44"/>
      <c r="Y310" s="5" t="s">
        <v>16</v>
      </c>
      <c r="Z310" s="46" t="str">
        <f>IF(VLOOKUP(Y310,βοηθητικό!$J$2:$N$354,3,FALSE)="","",VLOOKUP(Y310,βοηθητικό!$J$2:$N$354,3,FALSE))</f>
        <v>_</v>
      </c>
      <c r="AA310" s="47"/>
      <c r="AB310" s="4" t="s">
        <v>16</v>
      </c>
      <c r="AC310" s="43" t="str">
        <f>IF(VLOOKUP(AB310,βοηθητικό!$J$2:$N$354,3,FALSE)="","",VLOOKUP(AB310,βοηθητικό!$J$2:$N$354,3,FALSE))</f>
        <v>_</v>
      </c>
      <c r="AD310" s="44"/>
      <c r="AE310" s="5" t="s">
        <v>16</v>
      </c>
      <c r="AF310" s="46" t="str">
        <f>IF(VLOOKUP(AE310,βοηθητικό!$J$2:$N$354,3,FALSE)="","",VLOOKUP(AE310,βοηθητικό!$J$2:$N$354,3,FALSE))</f>
        <v>_</v>
      </c>
      <c r="AG310" s="47"/>
      <c r="AH310" s="4" t="s">
        <v>16</v>
      </c>
      <c r="AI310" s="43" t="str">
        <f>IF(VLOOKUP(AH310,βοηθητικό!$J$2:$N$354,3,FALSE)="","",VLOOKUP(AH310,βοηθητικό!$J$2:$N$354,3,FALSE))</f>
        <v>_</v>
      </c>
      <c r="AJ310" s="44"/>
      <c r="AK310" s="5" t="s">
        <v>16</v>
      </c>
      <c r="AL310" s="46" t="str">
        <f>IF(VLOOKUP(AK310,βοηθητικό!$J$2:$N$354,3,FALSE)="","",VLOOKUP(AK310,βοηθητικό!$J$2:$N$354,3,FALSE))</f>
        <v>_</v>
      </c>
      <c r="AM310" s="47"/>
      <c r="AN310" s="4" t="s">
        <v>16</v>
      </c>
      <c r="AO310" s="43" t="str">
        <f>IF(VLOOKUP(AN310,βοηθητικό!$J$2:$N$354,3,FALSE)="","",VLOOKUP(AN310,βοηθητικό!$J$2:$N$354,3,FALSE))</f>
        <v>_</v>
      </c>
      <c r="AP310" s="44"/>
      <c r="AQ310" s="5" t="s">
        <v>16</v>
      </c>
      <c r="AR310" s="46" t="str">
        <f>IF(VLOOKUP(AQ310,βοηθητικό!$J$2:$N$354,3,FALSE)="","",VLOOKUP(AQ310,βοηθητικό!$J$2:$N$354,3,FALSE))</f>
        <v>_</v>
      </c>
      <c r="AS310" s="47"/>
      <c r="AT310" s="4" t="s">
        <v>16</v>
      </c>
      <c r="AU310" s="43" t="str">
        <f>IF(VLOOKUP(AT310,βοηθητικό!$J$2:$N$354,3,FALSE)="","",VLOOKUP(AT310,βοηθητικό!$J$2:$N$354,3,FALSE))</f>
        <v>_</v>
      </c>
      <c r="AV310" s="44"/>
      <c r="AW310" s="5" t="s">
        <v>16</v>
      </c>
      <c r="AX310" s="46" t="str">
        <f>IF(VLOOKUP(AW310,βοηθητικό!$J$2:$N$354,3,FALSE)="","",VLOOKUP(AW310,βοηθητικό!$J$2:$N$354,3,FALSE))</f>
        <v>_</v>
      </c>
      <c r="AY310" s="47"/>
      <c r="AZ310" s="4" t="s">
        <v>16</v>
      </c>
      <c r="BA310" s="43" t="str">
        <f>IF(VLOOKUP(AZ310,βοηθητικό!$J$2:$N$354,3,FALSE)="","",VLOOKUP(AZ310,βοηθητικό!$J$2:$N$354,3,FALSE))</f>
        <v>_</v>
      </c>
      <c r="BB310" s="44"/>
      <c r="BC310" s="45" t="s">
        <v>16</v>
      </c>
      <c r="BD310" s="46" t="str">
        <f>IF(VLOOKUP(BC310,βοηθητικό!$J$2:$N$354,3,FALSE)="","",VLOOKUP(BC310,βοηθητικό!$J$2:$N$354,3,FALSE))</f>
        <v>_</v>
      </c>
      <c r="BE310" s="47"/>
      <c r="BF310" s="42" t="s">
        <v>16</v>
      </c>
      <c r="BG310" s="43" t="str">
        <f>IF(VLOOKUP(BF310,βοηθητικό!$J$2:$N$354,3,FALSE)="","",VLOOKUP(BF310,βοηθητικό!$J$2:$N$354,3,FALSE))</f>
        <v>_</v>
      </c>
      <c r="BH310" s="44"/>
      <c r="BI310" s="45" t="s">
        <v>16</v>
      </c>
      <c r="BJ310" s="46" t="str">
        <f>IF(VLOOKUP(BI310,βοηθητικό!$J$2:$N$354,3,FALSE)="","",VLOOKUP(BI310,βοηθητικό!$J$2:$N$354,3,FALSE))</f>
        <v>_</v>
      </c>
      <c r="BK310" s="47"/>
      <c r="BL310" s="42" t="s">
        <v>16</v>
      </c>
      <c r="BM310" s="43" t="str">
        <f>IF(VLOOKUP(BL310,βοηθητικό!$J$2:$N$354,3,FALSE)="","",VLOOKUP(BL310,βοηθητικό!$J$2:$N$354,3,FALSE))</f>
        <v>_</v>
      </c>
      <c r="BN310" s="44"/>
      <c r="BO310" s="45" t="s">
        <v>16</v>
      </c>
      <c r="BP310" s="46" t="str">
        <f>IF(VLOOKUP(BO310,βοηθητικό!$J$2:$N$354,3,FALSE)="","",VLOOKUP(BO310,βοηθητικό!$J$2:$N$354,3,FALSE))</f>
        <v>_</v>
      </c>
      <c r="BQ310" s="47"/>
      <c r="BR310" s="42" t="s">
        <v>16</v>
      </c>
      <c r="BS310" s="43" t="str">
        <f>IF(VLOOKUP(BR310,βοηθητικό!$J$2:$N$354,3,FALSE)="","",VLOOKUP(BR310,βοηθητικό!$J$2:$N$354,3,FALSE))</f>
        <v>_</v>
      </c>
      <c r="BT310" s="44"/>
      <c r="BU310" s="45" t="s">
        <v>16</v>
      </c>
      <c r="BV310" s="46" t="str">
        <f>IF(VLOOKUP(BU310,βοηθητικό!$J$2:$N$354,3,FALSE)="","",VLOOKUP(BU310,βοηθητικό!$J$2:$N$354,3,FALSE))</f>
        <v>_</v>
      </c>
      <c r="BW310" s="47"/>
      <c r="BX310" s="42" t="s">
        <v>16</v>
      </c>
      <c r="BY310" s="43" t="str">
        <f>IF(VLOOKUP(BX310,βοηθητικό!$J$2:$N$354,3,FALSE)="","",VLOOKUP(BX310,βοηθητικό!$J$2:$N$354,3,FALSE))</f>
        <v>_</v>
      </c>
      <c r="BZ310" s="44"/>
      <c r="CA310" s="45" t="s">
        <v>16</v>
      </c>
      <c r="CB310" s="46" t="str">
        <f>IF(VLOOKUP(CA310,βοηθητικό!$J$2:$N$354,3,FALSE)="","",VLOOKUP(CA310,βοηθητικό!$J$2:$N$354,3,FALSE))</f>
        <v>_</v>
      </c>
      <c r="CC310" s="47"/>
      <c r="CD310" s="42" t="s">
        <v>16</v>
      </c>
      <c r="CE310" s="43" t="str">
        <f>IF(VLOOKUP(CD310,βοηθητικό!$J$2:$N$354,3,FALSE)="","",VLOOKUP(CD310,βοηθητικό!$J$2:$N$354,3,FALSE))</f>
        <v>_</v>
      </c>
      <c r="CF310" s="44"/>
      <c r="CG310" s="45" t="s">
        <v>16</v>
      </c>
      <c r="CH310" s="46" t="str">
        <f>IF(VLOOKUP(CG310,βοηθητικό!$J$2:$N$354,3,FALSE)="","",VLOOKUP(CG310,βοηθητικό!$J$2:$N$354,3,FALSE))</f>
        <v>_</v>
      </c>
      <c r="CI310" s="47"/>
      <c r="CJ310" s="42" t="s">
        <v>16</v>
      </c>
      <c r="CK310" s="43" t="str">
        <f>IF(VLOOKUP(CJ310,βοηθητικό!$J$2:$N$354,3,FALSE)="","",VLOOKUP(CJ310,βοηθητικό!$J$2:$N$354,3,FALSE))</f>
        <v>_</v>
      </c>
      <c r="CL310" s="44"/>
      <c r="CM310" s="45" t="s">
        <v>16</v>
      </c>
      <c r="CN310" s="46" t="str">
        <f>IF(VLOOKUP(CM310,βοηθητικό!$J$2:$N$354,3,FALSE)="","",VLOOKUP(CM310,βοηθητικό!$J$2:$N$354,3,FALSE))</f>
        <v>_</v>
      </c>
      <c r="CO310" s="47"/>
      <c r="CP310" s="42" t="s">
        <v>16</v>
      </c>
      <c r="CQ310" s="43" t="str">
        <f>IF(VLOOKUP(CP310,βοηθητικό!$J$2:$N$354,3,FALSE)="","",VLOOKUP(CP310,βοηθητικό!$J$2:$N$354,3,FALSE))</f>
        <v>_</v>
      </c>
      <c r="CR310" s="44"/>
      <c r="CS310" s="45" t="s">
        <v>16</v>
      </c>
      <c r="CT310" s="46" t="str">
        <f>IF(VLOOKUP(CS310,βοηθητικό!$J$2:$N$354,3,FALSE)="","",VLOOKUP(CS310,βοηθητικό!$J$2:$N$354,3,FALSE))</f>
        <v>_</v>
      </c>
      <c r="CU310" s="47"/>
    </row>
    <row r="311" spans="1:99" x14ac:dyDescent="0.25">
      <c r="A311" s="37">
        <f>--SUBTOTAL(3,$B$3:B310)</f>
        <v>198</v>
      </c>
      <c r="B311" s="2"/>
      <c r="C311" s="3"/>
      <c r="D311" s="55" t="s">
        <v>18</v>
      </c>
      <c r="E311" s="38" t="s">
        <v>16</v>
      </c>
      <c r="F311" s="38" t="s">
        <v>16</v>
      </c>
      <c r="G311" s="39" t="str">
        <f t="shared" si="14"/>
        <v>__</v>
      </c>
      <c r="H311" s="40" t="str">
        <f t="shared" si="15"/>
        <v>FALSE</v>
      </c>
      <c r="I311" s="41">
        <f t="shared" si="16"/>
        <v>0</v>
      </c>
      <c r="J311" s="4" t="s">
        <v>16</v>
      </c>
      <c r="K311" s="43" t="str">
        <f>IF(VLOOKUP(J311,βοηθητικό!$J$2:$N$354,3,FALSE)="","",VLOOKUP(J311,βοηθητικό!$J$2:$N$354,3,FALSE))</f>
        <v>_</v>
      </c>
      <c r="L311" s="44"/>
      <c r="M311" s="5" t="s">
        <v>16</v>
      </c>
      <c r="N311" s="46" t="str">
        <f>IF(VLOOKUP(M311,βοηθητικό!$J$2:$N$354,3,FALSE)="","",VLOOKUP(M311,βοηθητικό!$J$2:$N$354,3,FALSE))</f>
        <v>_</v>
      </c>
      <c r="O311" s="47"/>
      <c r="P311" s="4" t="s">
        <v>16</v>
      </c>
      <c r="Q311" s="43" t="str">
        <f>IF(VLOOKUP(P311,βοηθητικό!$J$2:$N$354,3,FALSE)="","",VLOOKUP(P311,βοηθητικό!$J$2:$N$354,3,FALSE))</f>
        <v>_</v>
      </c>
      <c r="R311" s="44"/>
      <c r="S311" s="5" t="s">
        <v>16</v>
      </c>
      <c r="T311" s="46" t="str">
        <f>IF(VLOOKUP(S311,βοηθητικό!$J$2:$N$354,3,FALSE)="","",VLOOKUP(S311,βοηθητικό!$J$2:$N$354,3,FALSE))</f>
        <v>_</v>
      </c>
      <c r="U311" s="47"/>
      <c r="V311" s="4" t="s">
        <v>16</v>
      </c>
      <c r="W311" s="43" t="str">
        <f>IF(VLOOKUP(V311,βοηθητικό!$J$2:$N$354,3,FALSE)="","",VLOOKUP(V311,βοηθητικό!$J$2:$N$354,3,FALSE))</f>
        <v>_</v>
      </c>
      <c r="X311" s="44"/>
      <c r="Y311" s="5" t="s">
        <v>16</v>
      </c>
      <c r="Z311" s="46" t="str">
        <f>IF(VLOOKUP(Y311,βοηθητικό!$J$2:$N$354,3,FALSE)="","",VLOOKUP(Y311,βοηθητικό!$J$2:$N$354,3,FALSE))</f>
        <v>_</v>
      </c>
      <c r="AA311" s="47"/>
      <c r="AB311" s="4" t="s">
        <v>16</v>
      </c>
      <c r="AC311" s="43" t="str">
        <f>IF(VLOOKUP(AB311,βοηθητικό!$J$2:$N$354,3,FALSE)="","",VLOOKUP(AB311,βοηθητικό!$J$2:$N$354,3,FALSE))</f>
        <v>_</v>
      </c>
      <c r="AD311" s="44"/>
      <c r="AE311" s="5" t="s">
        <v>16</v>
      </c>
      <c r="AF311" s="46" t="str">
        <f>IF(VLOOKUP(AE311,βοηθητικό!$J$2:$N$354,3,FALSE)="","",VLOOKUP(AE311,βοηθητικό!$J$2:$N$354,3,FALSE))</f>
        <v>_</v>
      </c>
      <c r="AG311" s="47"/>
      <c r="AH311" s="4" t="s">
        <v>16</v>
      </c>
      <c r="AI311" s="43" t="str">
        <f>IF(VLOOKUP(AH311,βοηθητικό!$J$2:$N$354,3,FALSE)="","",VLOOKUP(AH311,βοηθητικό!$J$2:$N$354,3,FALSE))</f>
        <v>_</v>
      </c>
      <c r="AJ311" s="44"/>
      <c r="AK311" s="5" t="s">
        <v>16</v>
      </c>
      <c r="AL311" s="46" t="str">
        <f>IF(VLOOKUP(AK311,βοηθητικό!$J$2:$N$354,3,FALSE)="","",VLOOKUP(AK311,βοηθητικό!$J$2:$N$354,3,FALSE))</f>
        <v>_</v>
      </c>
      <c r="AM311" s="47"/>
      <c r="AN311" s="4" t="s">
        <v>16</v>
      </c>
      <c r="AO311" s="43" t="str">
        <f>IF(VLOOKUP(AN311,βοηθητικό!$J$2:$N$354,3,FALSE)="","",VLOOKUP(AN311,βοηθητικό!$J$2:$N$354,3,FALSE))</f>
        <v>_</v>
      </c>
      <c r="AP311" s="44"/>
      <c r="AQ311" s="5" t="s">
        <v>16</v>
      </c>
      <c r="AR311" s="46" t="str">
        <f>IF(VLOOKUP(AQ311,βοηθητικό!$J$2:$N$354,3,FALSE)="","",VLOOKUP(AQ311,βοηθητικό!$J$2:$N$354,3,FALSE))</f>
        <v>_</v>
      </c>
      <c r="AS311" s="47"/>
      <c r="AT311" s="4" t="s">
        <v>16</v>
      </c>
      <c r="AU311" s="43" t="str">
        <f>IF(VLOOKUP(AT311,βοηθητικό!$J$2:$N$354,3,FALSE)="","",VLOOKUP(AT311,βοηθητικό!$J$2:$N$354,3,FALSE))</f>
        <v>_</v>
      </c>
      <c r="AV311" s="44"/>
      <c r="AW311" s="5" t="s">
        <v>16</v>
      </c>
      <c r="AX311" s="46" t="str">
        <f>IF(VLOOKUP(AW311,βοηθητικό!$J$2:$N$354,3,FALSE)="","",VLOOKUP(AW311,βοηθητικό!$J$2:$N$354,3,FALSE))</f>
        <v>_</v>
      </c>
      <c r="AY311" s="47"/>
      <c r="AZ311" s="4" t="s">
        <v>16</v>
      </c>
      <c r="BA311" s="43" t="str">
        <f>IF(VLOOKUP(AZ311,βοηθητικό!$J$2:$N$354,3,FALSE)="","",VLOOKUP(AZ311,βοηθητικό!$J$2:$N$354,3,FALSE))</f>
        <v>_</v>
      </c>
      <c r="BB311" s="44"/>
      <c r="BC311" s="45" t="s">
        <v>16</v>
      </c>
      <c r="BD311" s="46" t="str">
        <f>IF(VLOOKUP(BC311,βοηθητικό!$J$2:$N$354,3,FALSE)="","",VLOOKUP(BC311,βοηθητικό!$J$2:$N$354,3,FALSE))</f>
        <v>_</v>
      </c>
      <c r="BE311" s="47"/>
      <c r="BF311" s="42" t="s">
        <v>16</v>
      </c>
      <c r="BG311" s="43" t="str">
        <f>IF(VLOOKUP(BF311,βοηθητικό!$J$2:$N$354,3,FALSE)="","",VLOOKUP(BF311,βοηθητικό!$J$2:$N$354,3,FALSE))</f>
        <v>_</v>
      </c>
      <c r="BH311" s="44"/>
      <c r="BI311" s="45" t="s">
        <v>16</v>
      </c>
      <c r="BJ311" s="46" t="str">
        <f>IF(VLOOKUP(BI311,βοηθητικό!$J$2:$N$354,3,FALSE)="","",VLOOKUP(BI311,βοηθητικό!$J$2:$N$354,3,FALSE))</f>
        <v>_</v>
      </c>
      <c r="BK311" s="47"/>
      <c r="BL311" s="42" t="s">
        <v>16</v>
      </c>
      <c r="BM311" s="43" t="str">
        <f>IF(VLOOKUP(BL311,βοηθητικό!$J$2:$N$354,3,FALSE)="","",VLOOKUP(BL311,βοηθητικό!$J$2:$N$354,3,FALSE))</f>
        <v>_</v>
      </c>
      <c r="BN311" s="44"/>
      <c r="BO311" s="45" t="s">
        <v>16</v>
      </c>
      <c r="BP311" s="46" t="str">
        <f>IF(VLOOKUP(BO311,βοηθητικό!$J$2:$N$354,3,FALSE)="","",VLOOKUP(BO311,βοηθητικό!$J$2:$N$354,3,FALSE))</f>
        <v>_</v>
      </c>
      <c r="BQ311" s="47"/>
      <c r="BR311" s="42" t="s">
        <v>16</v>
      </c>
      <c r="BS311" s="43" t="str">
        <f>IF(VLOOKUP(BR311,βοηθητικό!$J$2:$N$354,3,FALSE)="","",VLOOKUP(BR311,βοηθητικό!$J$2:$N$354,3,FALSE))</f>
        <v>_</v>
      </c>
      <c r="BT311" s="44"/>
      <c r="BU311" s="45" t="s">
        <v>16</v>
      </c>
      <c r="BV311" s="46" t="str">
        <f>IF(VLOOKUP(BU311,βοηθητικό!$J$2:$N$354,3,FALSE)="","",VLOOKUP(BU311,βοηθητικό!$J$2:$N$354,3,FALSE))</f>
        <v>_</v>
      </c>
      <c r="BW311" s="47"/>
      <c r="BX311" s="42" t="s">
        <v>16</v>
      </c>
      <c r="BY311" s="43" t="str">
        <f>IF(VLOOKUP(BX311,βοηθητικό!$J$2:$N$354,3,FALSE)="","",VLOOKUP(BX311,βοηθητικό!$J$2:$N$354,3,FALSE))</f>
        <v>_</v>
      </c>
      <c r="BZ311" s="44"/>
      <c r="CA311" s="45" t="s">
        <v>16</v>
      </c>
      <c r="CB311" s="46" t="str">
        <f>IF(VLOOKUP(CA311,βοηθητικό!$J$2:$N$354,3,FALSE)="","",VLOOKUP(CA311,βοηθητικό!$J$2:$N$354,3,FALSE))</f>
        <v>_</v>
      </c>
      <c r="CC311" s="47"/>
      <c r="CD311" s="42" t="s">
        <v>16</v>
      </c>
      <c r="CE311" s="43" t="str">
        <f>IF(VLOOKUP(CD311,βοηθητικό!$J$2:$N$354,3,FALSE)="","",VLOOKUP(CD311,βοηθητικό!$J$2:$N$354,3,FALSE))</f>
        <v>_</v>
      </c>
      <c r="CF311" s="44"/>
      <c r="CG311" s="45" t="s">
        <v>16</v>
      </c>
      <c r="CH311" s="46" t="str">
        <f>IF(VLOOKUP(CG311,βοηθητικό!$J$2:$N$354,3,FALSE)="","",VLOOKUP(CG311,βοηθητικό!$J$2:$N$354,3,FALSE))</f>
        <v>_</v>
      </c>
      <c r="CI311" s="47"/>
      <c r="CJ311" s="42" t="s">
        <v>16</v>
      </c>
      <c r="CK311" s="43" t="str">
        <f>IF(VLOOKUP(CJ311,βοηθητικό!$J$2:$N$354,3,FALSE)="","",VLOOKUP(CJ311,βοηθητικό!$J$2:$N$354,3,FALSE))</f>
        <v>_</v>
      </c>
      <c r="CL311" s="44"/>
      <c r="CM311" s="45" t="s">
        <v>16</v>
      </c>
      <c r="CN311" s="46" t="str">
        <f>IF(VLOOKUP(CM311,βοηθητικό!$J$2:$N$354,3,FALSE)="","",VLOOKUP(CM311,βοηθητικό!$J$2:$N$354,3,FALSE))</f>
        <v>_</v>
      </c>
      <c r="CO311" s="47"/>
      <c r="CP311" s="42" t="s">
        <v>16</v>
      </c>
      <c r="CQ311" s="43" t="str">
        <f>IF(VLOOKUP(CP311,βοηθητικό!$J$2:$N$354,3,FALSE)="","",VLOOKUP(CP311,βοηθητικό!$J$2:$N$354,3,FALSE))</f>
        <v>_</v>
      </c>
      <c r="CR311" s="44"/>
      <c r="CS311" s="45" t="s">
        <v>16</v>
      </c>
      <c r="CT311" s="46" t="str">
        <f>IF(VLOOKUP(CS311,βοηθητικό!$J$2:$N$354,3,FALSE)="","",VLOOKUP(CS311,βοηθητικό!$J$2:$N$354,3,FALSE))</f>
        <v>_</v>
      </c>
      <c r="CU311" s="47"/>
    </row>
    <row r="312" spans="1:99" x14ac:dyDescent="0.25">
      <c r="A312" s="37">
        <f>--SUBTOTAL(3,$B$3:B311)</f>
        <v>198</v>
      </c>
      <c r="B312" s="2"/>
      <c r="C312" s="3"/>
      <c r="D312" s="55" t="s">
        <v>18</v>
      </c>
      <c r="E312" s="38" t="s">
        <v>16</v>
      </c>
      <c r="F312" s="38" t="s">
        <v>16</v>
      </c>
      <c r="G312" s="39" t="str">
        <f t="shared" si="14"/>
        <v>__</v>
      </c>
      <c r="H312" s="40" t="str">
        <f t="shared" si="15"/>
        <v>FALSE</v>
      </c>
      <c r="I312" s="41">
        <f t="shared" si="16"/>
        <v>0</v>
      </c>
      <c r="J312" s="4" t="s">
        <v>16</v>
      </c>
      <c r="K312" s="43" t="str">
        <f>IF(VLOOKUP(J312,βοηθητικό!$J$2:$N$354,3,FALSE)="","",VLOOKUP(J312,βοηθητικό!$J$2:$N$354,3,FALSE))</f>
        <v>_</v>
      </c>
      <c r="L312" s="44"/>
      <c r="M312" s="5" t="s">
        <v>16</v>
      </c>
      <c r="N312" s="46" t="str">
        <f>IF(VLOOKUP(M312,βοηθητικό!$J$2:$N$354,3,FALSE)="","",VLOOKUP(M312,βοηθητικό!$J$2:$N$354,3,FALSE))</f>
        <v>_</v>
      </c>
      <c r="O312" s="47"/>
      <c r="P312" s="4" t="s">
        <v>16</v>
      </c>
      <c r="Q312" s="43" t="str">
        <f>IF(VLOOKUP(P312,βοηθητικό!$J$2:$N$354,3,FALSE)="","",VLOOKUP(P312,βοηθητικό!$J$2:$N$354,3,FALSE))</f>
        <v>_</v>
      </c>
      <c r="R312" s="44"/>
      <c r="S312" s="5" t="s">
        <v>16</v>
      </c>
      <c r="T312" s="46" t="str">
        <f>IF(VLOOKUP(S312,βοηθητικό!$J$2:$N$354,3,FALSE)="","",VLOOKUP(S312,βοηθητικό!$J$2:$N$354,3,FALSE))</f>
        <v>_</v>
      </c>
      <c r="U312" s="47"/>
      <c r="V312" s="4" t="s">
        <v>16</v>
      </c>
      <c r="W312" s="43" t="str">
        <f>IF(VLOOKUP(V312,βοηθητικό!$J$2:$N$354,3,FALSE)="","",VLOOKUP(V312,βοηθητικό!$J$2:$N$354,3,FALSE))</f>
        <v>_</v>
      </c>
      <c r="X312" s="44"/>
      <c r="Y312" s="5" t="s">
        <v>16</v>
      </c>
      <c r="Z312" s="46" t="str">
        <f>IF(VLOOKUP(Y312,βοηθητικό!$J$2:$N$354,3,FALSE)="","",VLOOKUP(Y312,βοηθητικό!$J$2:$N$354,3,FALSE))</f>
        <v>_</v>
      </c>
      <c r="AA312" s="47"/>
      <c r="AB312" s="4" t="s">
        <v>16</v>
      </c>
      <c r="AC312" s="43" t="str">
        <f>IF(VLOOKUP(AB312,βοηθητικό!$J$2:$N$354,3,FALSE)="","",VLOOKUP(AB312,βοηθητικό!$J$2:$N$354,3,FALSE))</f>
        <v>_</v>
      </c>
      <c r="AD312" s="44"/>
      <c r="AE312" s="5" t="s">
        <v>16</v>
      </c>
      <c r="AF312" s="46" t="str">
        <f>IF(VLOOKUP(AE312,βοηθητικό!$J$2:$N$354,3,FALSE)="","",VLOOKUP(AE312,βοηθητικό!$J$2:$N$354,3,FALSE))</f>
        <v>_</v>
      </c>
      <c r="AG312" s="47"/>
      <c r="AH312" s="4" t="s">
        <v>16</v>
      </c>
      <c r="AI312" s="43" t="str">
        <f>IF(VLOOKUP(AH312,βοηθητικό!$J$2:$N$354,3,FALSE)="","",VLOOKUP(AH312,βοηθητικό!$J$2:$N$354,3,FALSE))</f>
        <v>_</v>
      </c>
      <c r="AJ312" s="44"/>
      <c r="AK312" s="5" t="s">
        <v>16</v>
      </c>
      <c r="AL312" s="46" t="str">
        <f>IF(VLOOKUP(AK312,βοηθητικό!$J$2:$N$354,3,FALSE)="","",VLOOKUP(AK312,βοηθητικό!$J$2:$N$354,3,FALSE))</f>
        <v>_</v>
      </c>
      <c r="AM312" s="47"/>
      <c r="AN312" s="4" t="s">
        <v>16</v>
      </c>
      <c r="AO312" s="43" t="str">
        <f>IF(VLOOKUP(AN312,βοηθητικό!$J$2:$N$354,3,FALSE)="","",VLOOKUP(AN312,βοηθητικό!$J$2:$N$354,3,FALSE))</f>
        <v>_</v>
      </c>
      <c r="AP312" s="44"/>
      <c r="AQ312" s="5" t="s">
        <v>16</v>
      </c>
      <c r="AR312" s="46" t="str">
        <f>IF(VLOOKUP(AQ312,βοηθητικό!$J$2:$N$354,3,FALSE)="","",VLOOKUP(AQ312,βοηθητικό!$J$2:$N$354,3,FALSE))</f>
        <v>_</v>
      </c>
      <c r="AS312" s="47"/>
      <c r="AT312" s="4" t="s">
        <v>16</v>
      </c>
      <c r="AU312" s="43" t="str">
        <f>IF(VLOOKUP(AT312,βοηθητικό!$J$2:$N$354,3,FALSE)="","",VLOOKUP(AT312,βοηθητικό!$J$2:$N$354,3,FALSE))</f>
        <v>_</v>
      </c>
      <c r="AV312" s="44"/>
      <c r="AW312" s="5" t="s">
        <v>16</v>
      </c>
      <c r="AX312" s="46" t="str">
        <f>IF(VLOOKUP(AW312,βοηθητικό!$J$2:$N$354,3,FALSE)="","",VLOOKUP(AW312,βοηθητικό!$J$2:$N$354,3,FALSE))</f>
        <v>_</v>
      </c>
      <c r="AY312" s="47"/>
      <c r="AZ312" s="4" t="s">
        <v>16</v>
      </c>
      <c r="BA312" s="43" t="str">
        <f>IF(VLOOKUP(AZ312,βοηθητικό!$J$2:$N$354,3,FALSE)="","",VLOOKUP(AZ312,βοηθητικό!$J$2:$N$354,3,FALSE))</f>
        <v>_</v>
      </c>
      <c r="BB312" s="44"/>
      <c r="BC312" s="45" t="s">
        <v>16</v>
      </c>
      <c r="BD312" s="46" t="str">
        <f>IF(VLOOKUP(BC312,βοηθητικό!$J$2:$N$354,3,FALSE)="","",VLOOKUP(BC312,βοηθητικό!$J$2:$N$354,3,FALSE))</f>
        <v>_</v>
      </c>
      <c r="BE312" s="47"/>
      <c r="BF312" s="42" t="s">
        <v>16</v>
      </c>
      <c r="BG312" s="43" t="str">
        <f>IF(VLOOKUP(BF312,βοηθητικό!$J$2:$N$354,3,FALSE)="","",VLOOKUP(BF312,βοηθητικό!$J$2:$N$354,3,FALSE))</f>
        <v>_</v>
      </c>
      <c r="BH312" s="44"/>
      <c r="BI312" s="45" t="s">
        <v>16</v>
      </c>
      <c r="BJ312" s="46" t="str">
        <f>IF(VLOOKUP(BI312,βοηθητικό!$J$2:$N$354,3,FALSE)="","",VLOOKUP(BI312,βοηθητικό!$J$2:$N$354,3,FALSE))</f>
        <v>_</v>
      </c>
      <c r="BK312" s="47"/>
      <c r="BL312" s="42" t="s">
        <v>16</v>
      </c>
      <c r="BM312" s="43" t="str">
        <f>IF(VLOOKUP(BL312,βοηθητικό!$J$2:$N$354,3,FALSE)="","",VLOOKUP(BL312,βοηθητικό!$J$2:$N$354,3,FALSE))</f>
        <v>_</v>
      </c>
      <c r="BN312" s="44"/>
      <c r="BO312" s="45" t="s">
        <v>16</v>
      </c>
      <c r="BP312" s="46" t="str">
        <f>IF(VLOOKUP(BO312,βοηθητικό!$J$2:$N$354,3,FALSE)="","",VLOOKUP(BO312,βοηθητικό!$J$2:$N$354,3,FALSE))</f>
        <v>_</v>
      </c>
      <c r="BQ312" s="47"/>
      <c r="BR312" s="42" t="s">
        <v>16</v>
      </c>
      <c r="BS312" s="43" t="str">
        <f>IF(VLOOKUP(BR312,βοηθητικό!$J$2:$N$354,3,FALSE)="","",VLOOKUP(BR312,βοηθητικό!$J$2:$N$354,3,FALSE))</f>
        <v>_</v>
      </c>
      <c r="BT312" s="44"/>
      <c r="BU312" s="45" t="s">
        <v>16</v>
      </c>
      <c r="BV312" s="46" t="str">
        <f>IF(VLOOKUP(BU312,βοηθητικό!$J$2:$N$354,3,FALSE)="","",VLOOKUP(BU312,βοηθητικό!$J$2:$N$354,3,FALSE))</f>
        <v>_</v>
      </c>
      <c r="BW312" s="47"/>
      <c r="BX312" s="42" t="s">
        <v>16</v>
      </c>
      <c r="BY312" s="43" t="str">
        <f>IF(VLOOKUP(BX312,βοηθητικό!$J$2:$N$354,3,FALSE)="","",VLOOKUP(BX312,βοηθητικό!$J$2:$N$354,3,FALSE))</f>
        <v>_</v>
      </c>
      <c r="BZ312" s="44"/>
      <c r="CA312" s="45" t="s">
        <v>16</v>
      </c>
      <c r="CB312" s="46" t="str">
        <f>IF(VLOOKUP(CA312,βοηθητικό!$J$2:$N$354,3,FALSE)="","",VLOOKUP(CA312,βοηθητικό!$J$2:$N$354,3,FALSE))</f>
        <v>_</v>
      </c>
      <c r="CC312" s="47"/>
      <c r="CD312" s="42" t="s">
        <v>16</v>
      </c>
      <c r="CE312" s="43" t="str">
        <f>IF(VLOOKUP(CD312,βοηθητικό!$J$2:$N$354,3,FALSE)="","",VLOOKUP(CD312,βοηθητικό!$J$2:$N$354,3,FALSE))</f>
        <v>_</v>
      </c>
      <c r="CF312" s="44"/>
      <c r="CG312" s="45" t="s">
        <v>16</v>
      </c>
      <c r="CH312" s="46" t="str">
        <f>IF(VLOOKUP(CG312,βοηθητικό!$J$2:$N$354,3,FALSE)="","",VLOOKUP(CG312,βοηθητικό!$J$2:$N$354,3,FALSE))</f>
        <v>_</v>
      </c>
      <c r="CI312" s="47"/>
      <c r="CJ312" s="42" t="s">
        <v>16</v>
      </c>
      <c r="CK312" s="43" t="str">
        <f>IF(VLOOKUP(CJ312,βοηθητικό!$J$2:$N$354,3,FALSE)="","",VLOOKUP(CJ312,βοηθητικό!$J$2:$N$354,3,FALSE))</f>
        <v>_</v>
      </c>
      <c r="CL312" s="44"/>
      <c r="CM312" s="45" t="s">
        <v>16</v>
      </c>
      <c r="CN312" s="46" t="str">
        <f>IF(VLOOKUP(CM312,βοηθητικό!$J$2:$N$354,3,FALSE)="","",VLOOKUP(CM312,βοηθητικό!$J$2:$N$354,3,FALSE))</f>
        <v>_</v>
      </c>
      <c r="CO312" s="47"/>
      <c r="CP312" s="42" t="s">
        <v>16</v>
      </c>
      <c r="CQ312" s="43" t="str">
        <f>IF(VLOOKUP(CP312,βοηθητικό!$J$2:$N$354,3,FALSE)="","",VLOOKUP(CP312,βοηθητικό!$J$2:$N$354,3,FALSE))</f>
        <v>_</v>
      </c>
      <c r="CR312" s="44"/>
      <c r="CS312" s="45" t="s">
        <v>16</v>
      </c>
      <c r="CT312" s="46" t="str">
        <f>IF(VLOOKUP(CS312,βοηθητικό!$J$2:$N$354,3,FALSE)="","",VLOOKUP(CS312,βοηθητικό!$J$2:$N$354,3,FALSE))</f>
        <v>_</v>
      </c>
      <c r="CU312" s="47"/>
    </row>
    <row r="313" spans="1:99" x14ac:dyDescent="0.25">
      <c r="A313" s="37">
        <f>--SUBTOTAL(3,$B$3:B312)</f>
        <v>198</v>
      </c>
      <c r="B313" s="2"/>
      <c r="C313" s="3"/>
      <c r="D313" s="55" t="s">
        <v>18</v>
      </c>
      <c r="E313" s="38" t="s">
        <v>16</v>
      </c>
      <c r="F313" s="38" t="s">
        <v>16</v>
      </c>
      <c r="G313" s="39" t="str">
        <f t="shared" si="14"/>
        <v>__</v>
      </c>
      <c r="H313" s="40" t="str">
        <f t="shared" si="15"/>
        <v>FALSE</v>
      </c>
      <c r="I313" s="41">
        <f t="shared" si="16"/>
        <v>0</v>
      </c>
      <c r="J313" s="4" t="s">
        <v>16</v>
      </c>
      <c r="K313" s="43" t="str">
        <f>IF(VLOOKUP(J313,βοηθητικό!$J$2:$N$354,3,FALSE)="","",VLOOKUP(J313,βοηθητικό!$J$2:$N$354,3,FALSE))</f>
        <v>_</v>
      </c>
      <c r="L313" s="44"/>
      <c r="M313" s="5" t="s">
        <v>16</v>
      </c>
      <c r="N313" s="46" t="str">
        <f>IF(VLOOKUP(M313,βοηθητικό!$J$2:$N$354,3,FALSE)="","",VLOOKUP(M313,βοηθητικό!$J$2:$N$354,3,FALSE))</f>
        <v>_</v>
      </c>
      <c r="O313" s="47"/>
      <c r="P313" s="4" t="s">
        <v>16</v>
      </c>
      <c r="Q313" s="43" t="str">
        <f>IF(VLOOKUP(P313,βοηθητικό!$J$2:$N$354,3,FALSE)="","",VLOOKUP(P313,βοηθητικό!$J$2:$N$354,3,FALSE))</f>
        <v>_</v>
      </c>
      <c r="R313" s="44"/>
      <c r="S313" s="5" t="s">
        <v>16</v>
      </c>
      <c r="T313" s="46" t="str">
        <f>IF(VLOOKUP(S313,βοηθητικό!$J$2:$N$354,3,FALSE)="","",VLOOKUP(S313,βοηθητικό!$J$2:$N$354,3,FALSE))</f>
        <v>_</v>
      </c>
      <c r="U313" s="47"/>
      <c r="V313" s="4" t="s">
        <v>16</v>
      </c>
      <c r="W313" s="43" t="str">
        <f>IF(VLOOKUP(V313,βοηθητικό!$J$2:$N$354,3,FALSE)="","",VLOOKUP(V313,βοηθητικό!$J$2:$N$354,3,FALSE))</f>
        <v>_</v>
      </c>
      <c r="X313" s="44"/>
      <c r="Y313" s="5" t="s">
        <v>16</v>
      </c>
      <c r="Z313" s="46" t="str">
        <f>IF(VLOOKUP(Y313,βοηθητικό!$J$2:$N$354,3,FALSE)="","",VLOOKUP(Y313,βοηθητικό!$J$2:$N$354,3,FALSE))</f>
        <v>_</v>
      </c>
      <c r="AA313" s="47"/>
      <c r="AB313" s="4" t="s">
        <v>16</v>
      </c>
      <c r="AC313" s="43" t="str">
        <f>IF(VLOOKUP(AB313,βοηθητικό!$J$2:$N$354,3,FALSE)="","",VLOOKUP(AB313,βοηθητικό!$J$2:$N$354,3,FALSE))</f>
        <v>_</v>
      </c>
      <c r="AD313" s="44"/>
      <c r="AE313" s="5" t="s">
        <v>16</v>
      </c>
      <c r="AF313" s="46" t="str">
        <f>IF(VLOOKUP(AE313,βοηθητικό!$J$2:$N$354,3,FALSE)="","",VLOOKUP(AE313,βοηθητικό!$J$2:$N$354,3,FALSE))</f>
        <v>_</v>
      </c>
      <c r="AG313" s="47"/>
      <c r="AH313" s="4" t="s">
        <v>16</v>
      </c>
      <c r="AI313" s="43" t="str">
        <f>IF(VLOOKUP(AH313,βοηθητικό!$J$2:$N$354,3,FALSE)="","",VLOOKUP(AH313,βοηθητικό!$J$2:$N$354,3,FALSE))</f>
        <v>_</v>
      </c>
      <c r="AJ313" s="44"/>
      <c r="AK313" s="5" t="s">
        <v>16</v>
      </c>
      <c r="AL313" s="46" t="str">
        <f>IF(VLOOKUP(AK313,βοηθητικό!$J$2:$N$354,3,FALSE)="","",VLOOKUP(AK313,βοηθητικό!$J$2:$N$354,3,FALSE))</f>
        <v>_</v>
      </c>
      <c r="AM313" s="47"/>
      <c r="AN313" s="4" t="s">
        <v>16</v>
      </c>
      <c r="AO313" s="43" t="str">
        <f>IF(VLOOKUP(AN313,βοηθητικό!$J$2:$N$354,3,FALSE)="","",VLOOKUP(AN313,βοηθητικό!$J$2:$N$354,3,FALSE))</f>
        <v>_</v>
      </c>
      <c r="AP313" s="44"/>
      <c r="AQ313" s="5" t="s">
        <v>16</v>
      </c>
      <c r="AR313" s="46" t="str">
        <f>IF(VLOOKUP(AQ313,βοηθητικό!$J$2:$N$354,3,FALSE)="","",VLOOKUP(AQ313,βοηθητικό!$J$2:$N$354,3,FALSE))</f>
        <v>_</v>
      </c>
      <c r="AS313" s="47"/>
      <c r="AT313" s="4" t="s">
        <v>16</v>
      </c>
      <c r="AU313" s="43" t="str">
        <f>IF(VLOOKUP(AT313,βοηθητικό!$J$2:$N$354,3,FALSE)="","",VLOOKUP(AT313,βοηθητικό!$J$2:$N$354,3,FALSE))</f>
        <v>_</v>
      </c>
      <c r="AV313" s="44"/>
      <c r="AW313" s="5" t="s">
        <v>16</v>
      </c>
      <c r="AX313" s="46" t="str">
        <f>IF(VLOOKUP(AW313,βοηθητικό!$J$2:$N$354,3,FALSE)="","",VLOOKUP(AW313,βοηθητικό!$J$2:$N$354,3,FALSE))</f>
        <v>_</v>
      </c>
      <c r="AY313" s="47"/>
      <c r="AZ313" s="4" t="s">
        <v>16</v>
      </c>
      <c r="BA313" s="43" t="str">
        <f>IF(VLOOKUP(AZ313,βοηθητικό!$J$2:$N$354,3,FALSE)="","",VLOOKUP(AZ313,βοηθητικό!$J$2:$N$354,3,FALSE))</f>
        <v>_</v>
      </c>
      <c r="BB313" s="44"/>
      <c r="BC313" s="45" t="s">
        <v>16</v>
      </c>
      <c r="BD313" s="46" t="str">
        <f>IF(VLOOKUP(BC313,βοηθητικό!$J$2:$N$354,3,FALSE)="","",VLOOKUP(BC313,βοηθητικό!$J$2:$N$354,3,FALSE))</f>
        <v>_</v>
      </c>
      <c r="BE313" s="47"/>
      <c r="BF313" s="42" t="s">
        <v>16</v>
      </c>
      <c r="BG313" s="43" t="str">
        <f>IF(VLOOKUP(BF313,βοηθητικό!$J$2:$N$354,3,FALSE)="","",VLOOKUP(BF313,βοηθητικό!$J$2:$N$354,3,FALSE))</f>
        <v>_</v>
      </c>
      <c r="BH313" s="44"/>
      <c r="BI313" s="45" t="s">
        <v>16</v>
      </c>
      <c r="BJ313" s="46" t="str">
        <f>IF(VLOOKUP(BI313,βοηθητικό!$J$2:$N$354,3,FALSE)="","",VLOOKUP(BI313,βοηθητικό!$J$2:$N$354,3,FALSE))</f>
        <v>_</v>
      </c>
      <c r="BK313" s="47"/>
      <c r="BL313" s="42" t="s">
        <v>16</v>
      </c>
      <c r="BM313" s="43" t="str">
        <f>IF(VLOOKUP(BL313,βοηθητικό!$J$2:$N$354,3,FALSE)="","",VLOOKUP(BL313,βοηθητικό!$J$2:$N$354,3,FALSE))</f>
        <v>_</v>
      </c>
      <c r="BN313" s="44"/>
      <c r="BO313" s="45" t="s">
        <v>16</v>
      </c>
      <c r="BP313" s="46" t="str">
        <f>IF(VLOOKUP(BO313,βοηθητικό!$J$2:$N$354,3,FALSE)="","",VLOOKUP(BO313,βοηθητικό!$J$2:$N$354,3,FALSE))</f>
        <v>_</v>
      </c>
      <c r="BQ313" s="47"/>
      <c r="BR313" s="42" t="s">
        <v>16</v>
      </c>
      <c r="BS313" s="43" t="str">
        <f>IF(VLOOKUP(BR313,βοηθητικό!$J$2:$N$354,3,FALSE)="","",VLOOKUP(BR313,βοηθητικό!$J$2:$N$354,3,FALSE))</f>
        <v>_</v>
      </c>
      <c r="BT313" s="44"/>
      <c r="BU313" s="45" t="s">
        <v>16</v>
      </c>
      <c r="BV313" s="46" t="str">
        <f>IF(VLOOKUP(BU313,βοηθητικό!$J$2:$N$354,3,FALSE)="","",VLOOKUP(BU313,βοηθητικό!$J$2:$N$354,3,FALSE))</f>
        <v>_</v>
      </c>
      <c r="BW313" s="47"/>
      <c r="BX313" s="42" t="s">
        <v>16</v>
      </c>
      <c r="BY313" s="43" t="str">
        <f>IF(VLOOKUP(BX313,βοηθητικό!$J$2:$N$354,3,FALSE)="","",VLOOKUP(BX313,βοηθητικό!$J$2:$N$354,3,FALSE))</f>
        <v>_</v>
      </c>
      <c r="BZ313" s="44"/>
      <c r="CA313" s="45" t="s">
        <v>16</v>
      </c>
      <c r="CB313" s="46" t="str">
        <f>IF(VLOOKUP(CA313,βοηθητικό!$J$2:$N$354,3,FALSE)="","",VLOOKUP(CA313,βοηθητικό!$J$2:$N$354,3,FALSE))</f>
        <v>_</v>
      </c>
      <c r="CC313" s="47"/>
      <c r="CD313" s="42" t="s">
        <v>16</v>
      </c>
      <c r="CE313" s="43" t="str">
        <f>IF(VLOOKUP(CD313,βοηθητικό!$J$2:$N$354,3,FALSE)="","",VLOOKUP(CD313,βοηθητικό!$J$2:$N$354,3,FALSE))</f>
        <v>_</v>
      </c>
      <c r="CF313" s="44"/>
      <c r="CG313" s="45" t="s">
        <v>16</v>
      </c>
      <c r="CH313" s="46" t="str">
        <f>IF(VLOOKUP(CG313,βοηθητικό!$J$2:$N$354,3,FALSE)="","",VLOOKUP(CG313,βοηθητικό!$J$2:$N$354,3,FALSE))</f>
        <v>_</v>
      </c>
      <c r="CI313" s="47"/>
      <c r="CJ313" s="42" t="s">
        <v>16</v>
      </c>
      <c r="CK313" s="43" t="str">
        <f>IF(VLOOKUP(CJ313,βοηθητικό!$J$2:$N$354,3,FALSE)="","",VLOOKUP(CJ313,βοηθητικό!$J$2:$N$354,3,FALSE))</f>
        <v>_</v>
      </c>
      <c r="CL313" s="44"/>
      <c r="CM313" s="45" t="s">
        <v>16</v>
      </c>
      <c r="CN313" s="46" t="str">
        <f>IF(VLOOKUP(CM313,βοηθητικό!$J$2:$N$354,3,FALSE)="","",VLOOKUP(CM313,βοηθητικό!$J$2:$N$354,3,FALSE))</f>
        <v>_</v>
      </c>
      <c r="CO313" s="47"/>
      <c r="CP313" s="42" t="s">
        <v>16</v>
      </c>
      <c r="CQ313" s="43" t="str">
        <f>IF(VLOOKUP(CP313,βοηθητικό!$J$2:$N$354,3,FALSE)="","",VLOOKUP(CP313,βοηθητικό!$J$2:$N$354,3,FALSE))</f>
        <v>_</v>
      </c>
      <c r="CR313" s="44"/>
      <c r="CS313" s="45" t="s">
        <v>16</v>
      </c>
      <c r="CT313" s="46" t="str">
        <f>IF(VLOOKUP(CS313,βοηθητικό!$J$2:$N$354,3,FALSE)="","",VLOOKUP(CS313,βοηθητικό!$J$2:$N$354,3,FALSE))</f>
        <v>_</v>
      </c>
      <c r="CU313" s="47"/>
    </row>
    <row r="314" spans="1:99" x14ac:dyDescent="0.25">
      <c r="A314" s="37">
        <f>--SUBTOTAL(3,$B$3:B313)</f>
        <v>198</v>
      </c>
      <c r="B314" s="2"/>
      <c r="C314" s="3"/>
      <c r="D314" s="55" t="s">
        <v>18</v>
      </c>
      <c r="E314" s="38" t="s">
        <v>16</v>
      </c>
      <c r="F314" s="38" t="s">
        <v>16</v>
      </c>
      <c r="G314" s="39" t="str">
        <f t="shared" si="14"/>
        <v>__</v>
      </c>
      <c r="H314" s="40" t="str">
        <f t="shared" si="15"/>
        <v>FALSE</v>
      </c>
      <c r="I314" s="41">
        <f t="shared" si="16"/>
        <v>0</v>
      </c>
      <c r="J314" s="4" t="s">
        <v>16</v>
      </c>
      <c r="K314" s="43" t="str">
        <f>IF(VLOOKUP(J314,βοηθητικό!$J$2:$N$354,3,FALSE)="","",VLOOKUP(J314,βοηθητικό!$J$2:$N$354,3,FALSE))</f>
        <v>_</v>
      </c>
      <c r="L314" s="44"/>
      <c r="M314" s="5" t="s">
        <v>16</v>
      </c>
      <c r="N314" s="46" t="str">
        <f>IF(VLOOKUP(M314,βοηθητικό!$J$2:$N$354,3,FALSE)="","",VLOOKUP(M314,βοηθητικό!$J$2:$N$354,3,FALSE))</f>
        <v>_</v>
      </c>
      <c r="O314" s="47"/>
      <c r="P314" s="4" t="s">
        <v>16</v>
      </c>
      <c r="Q314" s="43" t="str">
        <f>IF(VLOOKUP(P314,βοηθητικό!$J$2:$N$354,3,FALSE)="","",VLOOKUP(P314,βοηθητικό!$J$2:$N$354,3,FALSE))</f>
        <v>_</v>
      </c>
      <c r="R314" s="44"/>
      <c r="S314" s="5" t="s">
        <v>16</v>
      </c>
      <c r="T314" s="46" t="str">
        <f>IF(VLOOKUP(S314,βοηθητικό!$J$2:$N$354,3,FALSE)="","",VLOOKUP(S314,βοηθητικό!$J$2:$N$354,3,FALSE))</f>
        <v>_</v>
      </c>
      <c r="U314" s="47"/>
      <c r="V314" s="4" t="s">
        <v>16</v>
      </c>
      <c r="W314" s="43" t="str">
        <f>IF(VLOOKUP(V314,βοηθητικό!$J$2:$N$354,3,FALSE)="","",VLOOKUP(V314,βοηθητικό!$J$2:$N$354,3,FALSE))</f>
        <v>_</v>
      </c>
      <c r="X314" s="44"/>
      <c r="Y314" s="5" t="s">
        <v>16</v>
      </c>
      <c r="Z314" s="46" t="str">
        <f>IF(VLOOKUP(Y314,βοηθητικό!$J$2:$N$354,3,FALSE)="","",VLOOKUP(Y314,βοηθητικό!$J$2:$N$354,3,FALSE))</f>
        <v>_</v>
      </c>
      <c r="AA314" s="47"/>
      <c r="AB314" s="4" t="s">
        <v>16</v>
      </c>
      <c r="AC314" s="43" t="str">
        <f>IF(VLOOKUP(AB314,βοηθητικό!$J$2:$N$354,3,FALSE)="","",VLOOKUP(AB314,βοηθητικό!$J$2:$N$354,3,FALSE))</f>
        <v>_</v>
      </c>
      <c r="AD314" s="44"/>
      <c r="AE314" s="5" t="s">
        <v>16</v>
      </c>
      <c r="AF314" s="46" t="str">
        <f>IF(VLOOKUP(AE314,βοηθητικό!$J$2:$N$354,3,FALSE)="","",VLOOKUP(AE314,βοηθητικό!$J$2:$N$354,3,FALSE))</f>
        <v>_</v>
      </c>
      <c r="AG314" s="47"/>
      <c r="AH314" s="4" t="s">
        <v>16</v>
      </c>
      <c r="AI314" s="43" t="str">
        <f>IF(VLOOKUP(AH314,βοηθητικό!$J$2:$N$354,3,FALSE)="","",VLOOKUP(AH314,βοηθητικό!$J$2:$N$354,3,FALSE))</f>
        <v>_</v>
      </c>
      <c r="AJ314" s="44"/>
      <c r="AK314" s="5" t="s">
        <v>16</v>
      </c>
      <c r="AL314" s="46" t="str">
        <f>IF(VLOOKUP(AK314,βοηθητικό!$J$2:$N$354,3,FALSE)="","",VLOOKUP(AK314,βοηθητικό!$J$2:$N$354,3,FALSE))</f>
        <v>_</v>
      </c>
      <c r="AM314" s="47"/>
      <c r="AN314" s="4" t="s">
        <v>16</v>
      </c>
      <c r="AO314" s="43" t="str">
        <f>IF(VLOOKUP(AN314,βοηθητικό!$J$2:$N$354,3,FALSE)="","",VLOOKUP(AN314,βοηθητικό!$J$2:$N$354,3,FALSE))</f>
        <v>_</v>
      </c>
      <c r="AP314" s="44"/>
      <c r="AQ314" s="5" t="s">
        <v>16</v>
      </c>
      <c r="AR314" s="46" t="str">
        <f>IF(VLOOKUP(AQ314,βοηθητικό!$J$2:$N$354,3,FALSE)="","",VLOOKUP(AQ314,βοηθητικό!$J$2:$N$354,3,FALSE))</f>
        <v>_</v>
      </c>
      <c r="AS314" s="47"/>
      <c r="AT314" s="4" t="s">
        <v>16</v>
      </c>
      <c r="AU314" s="43" t="str">
        <f>IF(VLOOKUP(AT314,βοηθητικό!$J$2:$N$354,3,FALSE)="","",VLOOKUP(AT314,βοηθητικό!$J$2:$N$354,3,FALSE))</f>
        <v>_</v>
      </c>
      <c r="AV314" s="44"/>
      <c r="AW314" s="5" t="s">
        <v>16</v>
      </c>
      <c r="AX314" s="46" t="str">
        <f>IF(VLOOKUP(AW314,βοηθητικό!$J$2:$N$354,3,FALSE)="","",VLOOKUP(AW314,βοηθητικό!$J$2:$N$354,3,FALSE))</f>
        <v>_</v>
      </c>
      <c r="AY314" s="47"/>
      <c r="AZ314" s="4" t="s">
        <v>16</v>
      </c>
      <c r="BA314" s="43" t="str">
        <f>IF(VLOOKUP(AZ314,βοηθητικό!$J$2:$N$354,3,FALSE)="","",VLOOKUP(AZ314,βοηθητικό!$J$2:$N$354,3,FALSE))</f>
        <v>_</v>
      </c>
      <c r="BB314" s="44"/>
      <c r="BC314" s="45" t="s">
        <v>16</v>
      </c>
      <c r="BD314" s="46" t="str">
        <f>IF(VLOOKUP(BC314,βοηθητικό!$J$2:$N$354,3,FALSE)="","",VLOOKUP(BC314,βοηθητικό!$J$2:$N$354,3,FALSE))</f>
        <v>_</v>
      </c>
      <c r="BE314" s="47"/>
      <c r="BF314" s="42" t="s">
        <v>16</v>
      </c>
      <c r="BG314" s="43" t="str">
        <f>IF(VLOOKUP(BF314,βοηθητικό!$J$2:$N$354,3,FALSE)="","",VLOOKUP(BF314,βοηθητικό!$J$2:$N$354,3,FALSE))</f>
        <v>_</v>
      </c>
      <c r="BH314" s="44"/>
      <c r="BI314" s="45" t="s">
        <v>16</v>
      </c>
      <c r="BJ314" s="46" t="str">
        <f>IF(VLOOKUP(BI314,βοηθητικό!$J$2:$N$354,3,FALSE)="","",VLOOKUP(BI314,βοηθητικό!$J$2:$N$354,3,FALSE))</f>
        <v>_</v>
      </c>
      <c r="BK314" s="47"/>
      <c r="BL314" s="42" t="s">
        <v>16</v>
      </c>
      <c r="BM314" s="43" t="str">
        <f>IF(VLOOKUP(BL314,βοηθητικό!$J$2:$N$354,3,FALSE)="","",VLOOKUP(BL314,βοηθητικό!$J$2:$N$354,3,FALSE))</f>
        <v>_</v>
      </c>
      <c r="BN314" s="44"/>
      <c r="BO314" s="45" t="s">
        <v>16</v>
      </c>
      <c r="BP314" s="46" t="str">
        <f>IF(VLOOKUP(BO314,βοηθητικό!$J$2:$N$354,3,FALSE)="","",VLOOKUP(BO314,βοηθητικό!$J$2:$N$354,3,FALSE))</f>
        <v>_</v>
      </c>
      <c r="BQ314" s="47"/>
      <c r="BR314" s="42" t="s">
        <v>16</v>
      </c>
      <c r="BS314" s="43" t="str">
        <f>IF(VLOOKUP(BR314,βοηθητικό!$J$2:$N$354,3,FALSE)="","",VLOOKUP(BR314,βοηθητικό!$J$2:$N$354,3,FALSE))</f>
        <v>_</v>
      </c>
      <c r="BT314" s="44"/>
      <c r="BU314" s="45" t="s">
        <v>16</v>
      </c>
      <c r="BV314" s="46" t="str">
        <f>IF(VLOOKUP(BU314,βοηθητικό!$J$2:$N$354,3,FALSE)="","",VLOOKUP(BU314,βοηθητικό!$J$2:$N$354,3,FALSE))</f>
        <v>_</v>
      </c>
      <c r="BW314" s="47"/>
      <c r="BX314" s="42" t="s">
        <v>16</v>
      </c>
      <c r="BY314" s="43" t="str">
        <f>IF(VLOOKUP(BX314,βοηθητικό!$J$2:$N$354,3,FALSE)="","",VLOOKUP(BX314,βοηθητικό!$J$2:$N$354,3,FALSE))</f>
        <v>_</v>
      </c>
      <c r="BZ314" s="44"/>
      <c r="CA314" s="45" t="s">
        <v>16</v>
      </c>
      <c r="CB314" s="46" t="str">
        <f>IF(VLOOKUP(CA314,βοηθητικό!$J$2:$N$354,3,FALSE)="","",VLOOKUP(CA314,βοηθητικό!$J$2:$N$354,3,FALSE))</f>
        <v>_</v>
      </c>
      <c r="CC314" s="47"/>
      <c r="CD314" s="42" t="s">
        <v>16</v>
      </c>
      <c r="CE314" s="43" t="str">
        <f>IF(VLOOKUP(CD314,βοηθητικό!$J$2:$N$354,3,FALSE)="","",VLOOKUP(CD314,βοηθητικό!$J$2:$N$354,3,FALSE))</f>
        <v>_</v>
      </c>
      <c r="CF314" s="44"/>
      <c r="CG314" s="45" t="s">
        <v>16</v>
      </c>
      <c r="CH314" s="46" t="str">
        <f>IF(VLOOKUP(CG314,βοηθητικό!$J$2:$N$354,3,FALSE)="","",VLOOKUP(CG314,βοηθητικό!$J$2:$N$354,3,FALSE))</f>
        <v>_</v>
      </c>
      <c r="CI314" s="47"/>
      <c r="CJ314" s="42" t="s">
        <v>16</v>
      </c>
      <c r="CK314" s="43" t="str">
        <f>IF(VLOOKUP(CJ314,βοηθητικό!$J$2:$N$354,3,FALSE)="","",VLOOKUP(CJ314,βοηθητικό!$J$2:$N$354,3,FALSE))</f>
        <v>_</v>
      </c>
      <c r="CL314" s="44"/>
      <c r="CM314" s="45" t="s">
        <v>16</v>
      </c>
      <c r="CN314" s="46" t="str">
        <f>IF(VLOOKUP(CM314,βοηθητικό!$J$2:$N$354,3,FALSE)="","",VLOOKUP(CM314,βοηθητικό!$J$2:$N$354,3,FALSE))</f>
        <v>_</v>
      </c>
      <c r="CO314" s="47"/>
      <c r="CP314" s="42" t="s">
        <v>16</v>
      </c>
      <c r="CQ314" s="43" t="str">
        <f>IF(VLOOKUP(CP314,βοηθητικό!$J$2:$N$354,3,FALSE)="","",VLOOKUP(CP314,βοηθητικό!$J$2:$N$354,3,FALSE))</f>
        <v>_</v>
      </c>
      <c r="CR314" s="44"/>
      <c r="CS314" s="45" t="s">
        <v>16</v>
      </c>
      <c r="CT314" s="46" t="str">
        <f>IF(VLOOKUP(CS314,βοηθητικό!$J$2:$N$354,3,FALSE)="","",VLOOKUP(CS314,βοηθητικό!$J$2:$N$354,3,FALSE))</f>
        <v>_</v>
      </c>
      <c r="CU314" s="47"/>
    </row>
    <row r="315" spans="1:99" x14ac:dyDescent="0.25">
      <c r="A315" s="37">
        <f>--SUBTOTAL(3,$B$3:B314)</f>
        <v>198</v>
      </c>
      <c r="B315" s="2"/>
      <c r="C315" s="3"/>
      <c r="D315" s="55" t="s">
        <v>18</v>
      </c>
      <c r="E315" s="38" t="s">
        <v>16</v>
      </c>
      <c r="F315" s="38" t="s">
        <v>16</v>
      </c>
      <c r="G315" s="39" t="str">
        <f t="shared" si="14"/>
        <v>__</v>
      </c>
      <c r="H315" s="40" t="str">
        <f t="shared" si="15"/>
        <v>FALSE</v>
      </c>
      <c r="I315" s="41">
        <f t="shared" si="16"/>
        <v>0</v>
      </c>
      <c r="J315" s="4" t="s">
        <v>16</v>
      </c>
      <c r="K315" s="43" t="str">
        <f>IF(VLOOKUP(J315,βοηθητικό!$J$2:$N$354,3,FALSE)="","",VLOOKUP(J315,βοηθητικό!$J$2:$N$354,3,FALSE))</f>
        <v>_</v>
      </c>
      <c r="L315" s="44"/>
      <c r="M315" s="5" t="s">
        <v>16</v>
      </c>
      <c r="N315" s="46" t="str">
        <f>IF(VLOOKUP(M315,βοηθητικό!$J$2:$N$354,3,FALSE)="","",VLOOKUP(M315,βοηθητικό!$J$2:$N$354,3,FALSE))</f>
        <v>_</v>
      </c>
      <c r="O315" s="47"/>
      <c r="P315" s="4" t="s">
        <v>16</v>
      </c>
      <c r="Q315" s="43" t="str">
        <f>IF(VLOOKUP(P315,βοηθητικό!$J$2:$N$354,3,FALSE)="","",VLOOKUP(P315,βοηθητικό!$J$2:$N$354,3,FALSE))</f>
        <v>_</v>
      </c>
      <c r="R315" s="44"/>
      <c r="S315" s="5" t="s">
        <v>16</v>
      </c>
      <c r="T315" s="46" t="str">
        <f>IF(VLOOKUP(S315,βοηθητικό!$J$2:$N$354,3,FALSE)="","",VLOOKUP(S315,βοηθητικό!$J$2:$N$354,3,FALSE))</f>
        <v>_</v>
      </c>
      <c r="U315" s="47"/>
      <c r="V315" s="4" t="s">
        <v>16</v>
      </c>
      <c r="W315" s="43" t="str">
        <f>IF(VLOOKUP(V315,βοηθητικό!$J$2:$N$354,3,FALSE)="","",VLOOKUP(V315,βοηθητικό!$J$2:$N$354,3,FALSE))</f>
        <v>_</v>
      </c>
      <c r="X315" s="44"/>
      <c r="Y315" s="5" t="s">
        <v>16</v>
      </c>
      <c r="Z315" s="46" t="str">
        <f>IF(VLOOKUP(Y315,βοηθητικό!$J$2:$N$354,3,FALSE)="","",VLOOKUP(Y315,βοηθητικό!$J$2:$N$354,3,FALSE))</f>
        <v>_</v>
      </c>
      <c r="AA315" s="47"/>
      <c r="AB315" s="4" t="s">
        <v>16</v>
      </c>
      <c r="AC315" s="43" t="str">
        <f>IF(VLOOKUP(AB315,βοηθητικό!$J$2:$N$354,3,FALSE)="","",VLOOKUP(AB315,βοηθητικό!$J$2:$N$354,3,FALSE))</f>
        <v>_</v>
      </c>
      <c r="AD315" s="44"/>
      <c r="AE315" s="5" t="s">
        <v>16</v>
      </c>
      <c r="AF315" s="46" t="str">
        <f>IF(VLOOKUP(AE315,βοηθητικό!$J$2:$N$354,3,FALSE)="","",VLOOKUP(AE315,βοηθητικό!$J$2:$N$354,3,FALSE))</f>
        <v>_</v>
      </c>
      <c r="AG315" s="47"/>
      <c r="AH315" s="4" t="s">
        <v>16</v>
      </c>
      <c r="AI315" s="43" t="str">
        <f>IF(VLOOKUP(AH315,βοηθητικό!$J$2:$N$354,3,FALSE)="","",VLOOKUP(AH315,βοηθητικό!$J$2:$N$354,3,FALSE))</f>
        <v>_</v>
      </c>
      <c r="AJ315" s="44"/>
      <c r="AK315" s="5" t="s">
        <v>16</v>
      </c>
      <c r="AL315" s="46" t="str">
        <f>IF(VLOOKUP(AK315,βοηθητικό!$J$2:$N$354,3,FALSE)="","",VLOOKUP(AK315,βοηθητικό!$J$2:$N$354,3,FALSE))</f>
        <v>_</v>
      </c>
      <c r="AM315" s="47"/>
      <c r="AN315" s="4" t="s">
        <v>16</v>
      </c>
      <c r="AO315" s="43" t="str">
        <f>IF(VLOOKUP(AN315,βοηθητικό!$J$2:$N$354,3,FALSE)="","",VLOOKUP(AN315,βοηθητικό!$J$2:$N$354,3,FALSE))</f>
        <v>_</v>
      </c>
      <c r="AP315" s="44"/>
      <c r="AQ315" s="5" t="s">
        <v>16</v>
      </c>
      <c r="AR315" s="46" t="str">
        <f>IF(VLOOKUP(AQ315,βοηθητικό!$J$2:$N$354,3,FALSE)="","",VLOOKUP(AQ315,βοηθητικό!$J$2:$N$354,3,FALSE))</f>
        <v>_</v>
      </c>
      <c r="AS315" s="47"/>
      <c r="AT315" s="4" t="s">
        <v>16</v>
      </c>
      <c r="AU315" s="43" t="str">
        <f>IF(VLOOKUP(AT315,βοηθητικό!$J$2:$N$354,3,FALSE)="","",VLOOKUP(AT315,βοηθητικό!$J$2:$N$354,3,FALSE))</f>
        <v>_</v>
      </c>
      <c r="AV315" s="44"/>
      <c r="AW315" s="5" t="s">
        <v>16</v>
      </c>
      <c r="AX315" s="46" t="str">
        <f>IF(VLOOKUP(AW315,βοηθητικό!$J$2:$N$354,3,FALSE)="","",VLOOKUP(AW315,βοηθητικό!$J$2:$N$354,3,FALSE))</f>
        <v>_</v>
      </c>
      <c r="AY315" s="47"/>
      <c r="AZ315" s="4" t="s">
        <v>16</v>
      </c>
      <c r="BA315" s="43" t="str">
        <f>IF(VLOOKUP(AZ315,βοηθητικό!$J$2:$N$354,3,FALSE)="","",VLOOKUP(AZ315,βοηθητικό!$J$2:$N$354,3,FALSE))</f>
        <v>_</v>
      </c>
      <c r="BB315" s="44"/>
      <c r="BC315" s="45" t="s">
        <v>16</v>
      </c>
      <c r="BD315" s="46" t="str">
        <f>IF(VLOOKUP(BC315,βοηθητικό!$J$2:$N$354,3,FALSE)="","",VLOOKUP(BC315,βοηθητικό!$J$2:$N$354,3,FALSE))</f>
        <v>_</v>
      </c>
      <c r="BE315" s="47"/>
      <c r="BF315" s="42" t="s">
        <v>16</v>
      </c>
      <c r="BG315" s="43" t="str">
        <f>IF(VLOOKUP(BF315,βοηθητικό!$J$2:$N$354,3,FALSE)="","",VLOOKUP(BF315,βοηθητικό!$J$2:$N$354,3,FALSE))</f>
        <v>_</v>
      </c>
      <c r="BH315" s="44"/>
      <c r="BI315" s="45" t="s">
        <v>16</v>
      </c>
      <c r="BJ315" s="46" t="str">
        <f>IF(VLOOKUP(BI315,βοηθητικό!$J$2:$N$354,3,FALSE)="","",VLOOKUP(BI315,βοηθητικό!$J$2:$N$354,3,FALSE))</f>
        <v>_</v>
      </c>
      <c r="BK315" s="47"/>
      <c r="BL315" s="42" t="s">
        <v>16</v>
      </c>
      <c r="BM315" s="43" t="str">
        <f>IF(VLOOKUP(BL315,βοηθητικό!$J$2:$N$354,3,FALSE)="","",VLOOKUP(BL315,βοηθητικό!$J$2:$N$354,3,FALSE))</f>
        <v>_</v>
      </c>
      <c r="BN315" s="44"/>
      <c r="BO315" s="45" t="s">
        <v>16</v>
      </c>
      <c r="BP315" s="46" t="str">
        <f>IF(VLOOKUP(BO315,βοηθητικό!$J$2:$N$354,3,FALSE)="","",VLOOKUP(BO315,βοηθητικό!$J$2:$N$354,3,FALSE))</f>
        <v>_</v>
      </c>
      <c r="BQ315" s="47"/>
      <c r="BR315" s="42" t="s">
        <v>16</v>
      </c>
      <c r="BS315" s="43" t="str">
        <f>IF(VLOOKUP(BR315,βοηθητικό!$J$2:$N$354,3,FALSE)="","",VLOOKUP(BR315,βοηθητικό!$J$2:$N$354,3,FALSE))</f>
        <v>_</v>
      </c>
      <c r="BT315" s="44"/>
      <c r="BU315" s="45" t="s">
        <v>16</v>
      </c>
      <c r="BV315" s="46" t="str">
        <f>IF(VLOOKUP(BU315,βοηθητικό!$J$2:$N$354,3,FALSE)="","",VLOOKUP(BU315,βοηθητικό!$J$2:$N$354,3,FALSE))</f>
        <v>_</v>
      </c>
      <c r="BW315" s="47"/>
      <c r="BX315" s="42" t="s">
        <v>16</v>
      </c>
      <c r="BY315" s="43" t="str">
        <f>IF(VLOOKUP(BX315,βοηθητικό!$J$2:$N$354,3,FALSE)="","",VLOOKUP(BX315,βοηθητικό!$J$2:$N$354,3,FALSE))</f>
        <v>_</v>
      </c>
      <c r="BZ315" s="44"/>
      <c r="CA315" s="45" t="s">
        <v>16</v>
      </c>
      <c r="CB315" s="46" t="str">
        <f>IF(VLOOKUP(CA315,βοηθητικό!$J$2:$N$354,3,FALSE)="","",VLOOKUP(CA315,βοηθητικό!$J$2:$N$354,3,FALSE))</f>
        <v>_</v>
      </c>
      <c r="CC315" s="47"/>
      <c r="CD315" s="42" t="s">
        <v>16</v>
      </c>
      <c r="CE315" s="43" t="str">
        <f>IF(VLOOKUP(CD315,βοηθητικό!$J$2:$N$354,3,FALSE)="","",VLOOKUP(CD315,βοηθητικό!$J$2:$N$354,3,FALSE))</f>
        <v>_</v>
      </c>
      <c r="CF315" s="44"/>
      <c r="CG315" s="45" t="s">
        <v>16</v>
      </c>
      <c r="CH315" s="46" t="str">
        <f>IF(VLOOKUP(CG315,βοηθητικό!$J$2:$N$354,3,FALSE)="","",VLOOKUP(CG315,βοηθητικό!$J$2:$N$354,3,FALSE))</f>
        <v>_</v>
      </c>
      <c r="CI315" s="47"/>
      <c r="CJ315" s="42" t="s">
        <v>16</v>
      </c>
      <c r="CK315" s="43" t="str">
        <f>IF(VLOOKUP(CJ315,βοηθητικό!$J$2:$N$354,3,FALSE)="","",VLOOKUP(CJ315,βοηθητικό!$J$2:$N$354,3,FALSE))</f>
        <v>_</v>
      </c>
      <c r="CL315" s="44"/>
      <c r="CM315" s="45" t="s">
        <v>16</v>
      </c>
      <c r="CN315" s="46" t="str">
        <f>IF(VLOOKUP(CM315,βοηθητικό!$J$2:$N$354,3,FALSE)="","",VLOOKUP(CM315,βοηθητικό!$J$2:$N$354,3,FALSE))</f>
        <v>_</v>
      </c>
      <c r="CO315" s="47"/>
      <c r="CP315" s="42" t="s">
        <v>16</v>
      </c>
      <c r="CQ315" s="43" t="str">
        <f>IF(VLOOKUP(CP315,βοηθητικό!$J$2:$N$354,3,FALSE)="","",VLOOKUP(CP315,βοηθητικό!$J$2:$N$354,3,FALSE))</f>
        <v>_</v>
      </c>
      <c r="CR315" s="44"/>
      <c r="CS315" s="45" t="s">
        <v>16</v>
      </c>
      <c r="CT315" s="46" t="str">
        <f>IF(VLOOKUP(CS315,βοηθητικό!$J$2:$N$354,3,FALSE)="","",VLOOKUP(CS315,βοηθητικό!$J$2:$N$354,3,FALSE))</f>
        <v>_</v>
      </c>
      <c r="CU315" s="47"/>
    </row>
    <row r="316" spans="1:99" x14ac:dyDescent="0.25">
      <c r="A316" s="37">
        <f>--SUBTOTAL(3,$B$3:B315)</f>
        <v>198</v>
      </c>
      <c r="B316" s="2"/>
      <c r="C316" s="3"/>
      <c r="D316" s="55" t="s">
        <v>18</v>
      </c>
      <c r="E316" s="38" t="s">
        <v>16</v>
      </c>
      <c r="F316" s="38" t="s">
        <v>16</v>
      </c>
      <c r="G316" s="39" t="str">
        <f t="shared" si="14"/>
        <v>__</v>
      </c>
      <c r="H316" s="40" t="str">
        <f t="shared" si="15"/>
        <v>FALSE</v>
      </c>
      <c r="I316" s="41">
        <f t="shared" si="16"/>
        <v>0</v>
      </c>
      <c r="J316" s="4" t="s">
        <v>16</v>
      </c>
      <c r="K316" s="43" t="str">
        <f>IF(VLOOKUP(J316,βοηθητικό!$J$2:$N$354,3,FALSE)="","",VLOOKUP(J316,βοηθητικό!$J$2:$N$354,3,FALSE))</f>
        <v>_</v>
      </c>
      <c r="L316" s="44"/>
      <c r="M316" s="5" t="s">
        <v>16</v>
      </c>
      <c r="N316" s="46" t="str">
        <f>IF(VLOOKUP(M316,βοηθητικό!$J$2:$N$354,3,FALSE)="","",VLOOKUP(M316,βοηθητικό!$J$2:$N$354,3,FALSE))</f>
        <v>_</v>
      </c>
      <c r="O316" s="47"/>
      <c r="P316" s="4" t="s">
        <v>16</v>
      </c>
      <c r="Q316" s="43" t="str">
        <f>IF(VLOOKUP(P316,βοηθητικό!$J$2:$N$354,3,FALSE)="","",VLOOKUP(P316,βοηθητικό!$J$2:$N$354,3,FALSE))</f>
        <v>_</v>
      </c>
      <c r="R316" s="44"/>
      <c r="S316" s="5" t="s">
        <v>16</v>
      </c>
      <c r="T316" s="46" t="str">
        <f>IF(VLOOKUP(S316,βοηθητικό!$J$2:$N$354,3,FALSE)="","",VLOOKUP(S316,βοηθητικό!$J$2:$N$354,3,FALSE))</f>
        <v>_</v>
      </c>
      <c r="U316" s="47"/>
      <c r="V316" s="4" t="s">
        <v>16</v>
      </c>
      <c r="W316" s="43" t="str">
        <f>IF(VLOOKUP(V316,βοηθητικό!$J$2:$N$354,3,FALSE)="","",VLOOKUP(V316,βοηθητικό!$J$2:$N$354,3,FALSE))</f>
        <v>_</v>
      </c>
      <c r="X316" s="44"/>
      <c r="Y316" s="5" t="s">
        <v>16</v>
      </c>
      <c r="Z316" s="46" t="str">
        <f>IF(VLOOKUP(Y316,βοηθητικό!$J$2:$N$354,3,FALSE)="","",VLOOKUP(Y316,βοηθητικό!$J$2:$N$354,3,FALSE))</f>
        <v>_</v>
      </c>
      <c r="AA316" s="47"/>
      <c r="AB316" s="4" t="s">
        <v>16</v>
      </c>
      <c r="AC316" s="43" t="str">
        <f>IF(VLOOKUP(AB316,βοηθητικό!$J$2:$N$354,3,FALSE)="","",VLOOKUP(AB316,βοηθητικό!$J$2:$N$354,3,FALSE))</f>
        <v>_</v>
      </c>
      <c r="AD316" s="44"/>
      <c r="AE316" s="5" t="s">
        <v>16</v>
      </c>
      <c r="AF316" s="46" t="str">
        <f>IF(VLOOKUP(AE316,βοηθητικό!$J$2:$N$354,3,FALSE)="","",VLOOKUP(AE316,βοηθητικό!$J$2:$N$354,3,FALSE))</f>
        <v>_</v>
      </c>
      <c r="AG316" s="47"/>
      <c r="AH316" s="4" t="s">
        <v>16</v>
      </c>
      <c r="AI316" s="43" t="str">
        <f>IF(VLOOKUP(AH316,βοηθητικό!$J$2:$N$354,3,FALSE)="","",VLOOKUP(AH316,βοηθητικό!$J$2:$N$354,3,FALSE))</f>
        <v>_</v>
      </c>
      <c r="AJ316" s="44"/>
      <c r="AK316" s="5" t="s">
        <v>16</v>
      </c>
      <c r="AL316" s="46" t="str">
        <f>IF(VLOOKUP(AK316,βοηθητικό!$J$2:$N$354,3,FALSE)="","",VLOOKUP(AK316,βοηθητικό!$J$2:$N$354,3,FALSE))</f>
        <v>_</v>
      </c>
      <c r="AM316" s="47"/>
      <c r="AN316" s="4" t="s">
        <v>16</v>
      </c>
      <c r="AO316" s="43" t="str">
        <f>IF(VLOOKUP(AN316,βοηθητικό!$J$2:$N$354,3,FALSE)="","",VLOOKUP(AN316,βοηθητικό!$J$2:$N$354,3,FALSE))</f>
        <v>_</v>
      </c>
      <c r="AP316" s="44"/>
      <c r="AQ316" s="5" t="s">
        <v>16</v>
      </c>
      <c r="AR316" s="46" t="str">
        <f>IF(VLOOKUP(AQ316,βοηθητικό!$J$2:$N$354,3,FALSE)="","",VLOOKUP(AQ316,βοηθητικό!$J$2:$N$354,3,FALSE))</f>
        <v>_</v>
      </c>
      <c r="AS316" s="47"/>
      <c r="AT316" s="4" t="s">
        <v>16</v>
      </c>
      <c r="AU316" s="43" t="str">
        <f>IF(VLOOKUP(AT316,βοηθητικό!$J$2:$N$354,3,FALSE)="","",VLOOKUP(AT316,βοηθητικό!$J$2:$N$354,3,FALSE))</f>
        <v>_</v>
      </c>
      <c r="AV316" s="44"/>
      <c r="AW316" s="5" t="s">
        <v>16</v>
      </c>
      <c r="AX316" s="46" t="str">
        <f>IF(VLOOKUP(AW316,βοηθητικό!$J$2:$N$354,3,FALSE)="","",VLOOKUP(AW316,βοηθητικό!$J$2:$N$354,3,FALSE))</f>
        <v>_</v>
      </c>
      <c r="AY316" s="47"/>
      <c r="AZ316" s="4" t="s">
        <v>16</v>
      </c>
      <c r="BA316" s="43" t="str">
        <f>IF(VLOOKUP(AZ316,βοηθητικό!$J$2:$N$354,3,FALSE)="","",VLOOKUP(AZ316,βοηθητικό!$J$2:$N$354,3,FALSE))</f>
        <v>_</v>
      </c>
      <c r="BB316" s="44"/>
      <c r="BC316" s="45" t="s">
        <v>16</v>
      </c>
      <c r="BD316" s="46" t="str">
        <f>IF(VLOOKUP(BC316,βοηθητικό!$J$2:$N$354,3,FALSE)="","",VLOOKUP(BC316,βοηθητικό!$J$2:$N$354,3,FALSE))</f>
        <v>_</v>
      </c>
      <c r="BE316" s="47"/>
      <c r="BF316" s="42" t="s">
        <v>16</v>
      </c>
      <c r="BG316" s="43" t="str">
        <f>IF(VLOOKUP(BF316,βοηθητικό!$J$2:$N$354,3,FALSE)="","",VLOOKUP(BF316,βοηθητικό!$J$2:$N$354,3,FALSE))</f>
        <v>_</v>
      </c>
      <c r="BH316" s="44"/>
      <c r="BI316" s="45" t="s">
        <v>16</v>
      </c>
      <c r="BJ316" s="46" t="str">
        <f>IF(VLOOKUP(BI316,βοηθητικό!$J$2:$N$354,3,FALSE)="","",VLOOKUP(BI316,βοηθητικό!$J$2:$N$354,3,FALSE))</f>
        <v>_</v>
      </c>
      <c r="BK316" s="47"/>
      <c r="BL316" s="42" t="s">
        <v>16</v>
      </c>
      <c r="BM316" s="43" t="str">
        <f>IF(VLOOKUP(BL316,βοηθητικό!$J$2:$N$354,3,FALSE)="","",VLOOKUP(BL316,βοηθητικό!$J$2:$N$354,3,FALSE))</f>
        <v>_</v>
      </c>
      <c r="BN316" s="44"/>
      <c r="BO316" s="45" t="s">
        <v>16</v>
      </c>
      <c r="BP316" s="46" t="str">
        <f>IF(VLOOKUP(BO316,βοηθητικό!$J$2:$N$354,3,FALSE)="","",VLOOKUP(BO316,βοηθητικό!$J$2:$N$354,3,FALSE))</f>
        <v>_</v>
      </c>
      <c r="BQ316" s="47"/>
      <c r="BR316" s="42" t="s">
        <v>16</v>
      </c>
      <c r="BS316" s="43" t="str">
        <f>IF(VLOOKUP(BR316,βοηθητικό!$J$2:$N$354,3,FALSE)="","",VLOOKUP(BR316,βοηθητικό!$J$2:$N$354,3,FALSE))</f>
        <v>_</v>
      </c>
      <c r="BT316" s="44"/>
      <c r="BU316" s="45" t="s">
        <v>16</v>
      </c>
      <c r="BV316" s="46" t="str">
        <f>IF(VLOOKUP(BU316,βοηθητικό!$J$2:$N$354,3,FALSE)="","",VLOOKUP(BU316,βοηθητικό!$J$2:$N$354,3,FALSE))</f>
        <v>_</v>
      </c>
      <c r="BW316" s="47"/>
      <c r="BX316" s="42" t="s">
        <v>16</v>
      </c>
      <c r="BY316" s="43" t="str">
        <f>IF(VLOOKUP(BX316,βοηθητικό!$J$2:$N$354,3,FALSE)="","",VLOOKUP(BX316,βοηθητικό!$J$2:$N$354,3,FALSE))</f>
        <v>_</v>
      </c>
      <c r="BZ316" s="44"/>
      <c r="CA316" s="45" t="s">
        <v>16</v>
      </c>
      <c r="CB316" s="46" t="str">
        <f>IF(VLOOKUP(CA316,βοηθητικό!$J$2:$N$354,3,FALSE)="","",VLOOKUP(CA316,βοηθητικό!$J$2:$N$354,3,FALSE))</f>
        <v>_</v>
      </c>
      <c r="CC316" s="47"/>
      <c r="CD316" s="42" t="s">
        <v>16</v>
      </c>
      <c r="CE316" s="43" t="str">
        <f>IF(VLOOKUP(CD316,βοηθητικό!$J$2:$N$354,3,FALSE)="","",VLOOKUP(CD316,βοηθητικό!$J$2:$N$354,3,FALSE))</f>
        <v>_</v>
      </c>
      <c r="CF316" s="44"/>
      <c r="CG316" s="45" t="s">
        <v>16</v>
      </c>
      <c r="CH316" s="46" t="str">
        <f>IF(VLOOKUP(CG316,βοηθητικό!$J$2:$N$354,3,FALSE)="","",VLOOKUP(CG316,βοηθητικό!$J$2:$N$354,3,FALSE))</f>
        <v>_</v>
      </c>
      <c r="CI316" s="47"/>
      <c r="CJ316" s="42" t="s">
        <v>16</v>
      </c>
      <c r="CK316" s="43" t="str">
        <f>IF(VLOOKUP(CJ316,βοηθητικό!$J$2:$N$354,3,FALSE)="","",VLOOKUP(CJ316,βοηθητικό!$J$2:$N$354,3,FALSE))</f>
        <v>_</v>
      </c>
      <c r="CL316" s="44"/>
      <c r="CM316" s="45" t="s">
        <v>16</v>
      </c>
      <c r="CN316" s="46" t="str">
        <f>IF(VLOOKUP(CM316,βοηθητικό!$J$2:$N$354,3,FALSE)="","",VLOOKUP(CM316,βοηθητικό!$J$2:$N$354,3,FALSE))</f>
        <v>_</v>
      </c>
      <c r="CO316" s="47"/>
      <c r="CP316" s="42" t="s">
        <v>16</v>
      </c>
      <c r="CQ316" s="43" t="str">
        <f>IF(VLOOKUP(CP316,βοηθητικό!$J$2:$N$354,3,FALSE)="","",VLOOKUP(CP316,βοηθητικό!$J$2:$N$354,3,FALSE))</f>
        <v>_</v>
      </c>
      <c r="CR316" s="44"/>
      <c r="CS316" s="45" t="s">
        <v>16</v>
      </c>
      <c r="CT316" s="46" t="str">
        <f>IF(VLOOKUP(CS316,βοηθητικό!$J$2:$N$354,3,FALSE)="","",VLOOKUP(CS316,βοηθητικό!$J$2:$N$354,3,FALSE))</f>
        <v>_</v>
      </c>
      <c r="CU316" s="47"/>
    </row>
    <row r="317" spans="1:99" x14ac:dyDescent="0.25">
      <c r="A317" s="37">
        <f>--SUBTOTAL(3,$B$3:B316)</f>
        <v>198</v>
      </c>
      <c r="B317" s="2"/>
      <c r="C317" s="3"/>
      <c r="D317" s="55" t="s">
        <v>18</v>
      </c>
      <c r="E317" s="38" t="s">
        <v>16</v>
      </c>
      <c r="F317" s="38" t="s">
        <v>16</v>
      </c>
      <c r="G317" s="39" t="str">
        <f t="shared" si="14"/>
        <v>__</v>
      </c>
      <c r="H317" s="40" t="str">
        <f t="shared" si="15"/>
        <v>FALSE</v>
      </c>
      <c r="I317" s="41">
        <f t="shared" si="16"/>
        <v>0</v>
      </c>
      <c r="J317" s="4" t="s">
        <v>16</v>
      </c>
      <c r="K317" s="43" t="str">
        <f>IF(VLOOKUP(J317,βοηθητικό!$J$2:$N$354,3,FALSE)="","",VLOOKUP(J317,βοηθητικό!$J$2:$N$354,3,FALSE))</f>
        <v>_</v>
      </c>
      <c r="L317" s="44"/>
      <c r="M317" s="5" t="s">
        <v>16</v>
      </c>
      <c r="N317" s="46" t="str">
        <f>IF(VLOOKUP(M317,βοηθητικό!$J$2:$N$354,3,FALSE)="","",VLOOKUP(M317,βοηθητικό!$J$2:$N$354,3,FALSE))</f>
        <v>_</v>
      </c>
      <c r="O317" s="47"/>
      <c r="P317" s="4" t="s">
        <v>16</v>
      </c>
      <c r="Q317" s="43" t="str">
        <f>IF(VLOOKUP(P317,βοηθητικό!$J$2:$N$354,3,FALSE)="","",VLOOKUP(P317,βοηθητικό!$J$2:$N$354,3,FALSE))</f>
        <v>_</v>
      </c>
      <c r="R317" s="44"/>
      <c r="S317" s="5" t="s">
        <v>16</v>
      </c>
      <c r="T317" s="46" t="str">
        <f>IF(VLOOKUP(S317,βοηθητικό!$J$2:$N$354,3,FALSE)="","",VLOOKUP(S317,βοηθητικό!$J$2:$N$354,3,FALSE))</f>
        <v>_</v>
      </c>
      <c r="U317" s="47"/>
      <c r="V317" s="4" t="s">
        <v>16</v>
      </c>
      <c r="W317" s="43" t="str">
        <f>IF(VLOOKUP(V317,βοηθητικό!$J$2:$N$354,3,FALSE)="","",VLOOKUP(V317,βοηθητικό!$J$2:$N$354,3,FALSE))</f>
        <v>_</v>
      </c>
      <c r="X317" s="44"/>
      <c r="Y317" s="5" t="s">
        <v>16</v>
      </c>
      <c r="Z317" s="46" t="str">
        <f>IF(VLOOKUP(Y317,βοηθητικό!$J$2:$N$354,3,FALSE)="","",VLOOKUP(Y317,βοηθητικό!$J$2:$N$354,3,FALSE))</f>
        <v>_</v>
      </c>
      <c r="AA317" s="47"/>
      <c r="AB317" s="4" t="s">
        <v>16</v>
      </c>
      <c r="AC317" s="43" t="str">
        <f>IF(VLOOKUP(AB317,βοηθητικό!$J$2:$N$354,3,FALSE)="","",VLOOKUP(AB317,βοηθητικό!$J$2:$N$354,3,FALSE))</f>
        <v>_</v>
      </c>
      <c r="AD317" s="44"/>
      <c r="AE317" s="5" t="s">
        <v>16</v>
      </c>
      <c r="AF317" s="46" t="str">
        <f>IF(VLOOKUP(AE317,βοηθητικό!$J$2:$N$354,3,FALSE)="","",VLOOKUP(AE317,βοηθητικό!$J$2:$N$354,3,FALSE))</f>
        <v>_</v>
      </c>
      <c r="AG317" s="47"/>
      <c r="AH317" s="4" t="s">
        <v>16</v>
      </c>
      <c r="AI317" s="43" t="str">
        <f>IF(VLOOKUP(AH317,βοηθητικό!$J$2:$N$354,3,FALSE)="","",VLOOKUP(AH317,βοηθητικό!$J$2:$N$354,3,FALSE))</f>
        <v>_</v>
      </c>
      <c r="AJ317" s="44"/>
      <c r="AK317" s="5" t="s">
        <v>16</v>
      </c>
      <c r="AL317" s="46" t="str">
        <f>IF(VLOOKUP(AK317,βοηθητικό!$J$2:$N$354,3,FALSE)="","",VLOOKUP(AK317,βοηθητικό!$J$2:$N$354,3,FALSE))</f>
        <v>_</v>
      </c>
      <c r="AM317" s="47"/>
      <c r="AN317" s="4" t="s">
        <v>16</v>
      </c>
      <c r="AO317" s="43" t="str">
        <f>IF(VLOOKUP(AN317,βοηθητικό!$J$2:$N$354,3,FALSE)="","",VLOOKUP(AN317,βοηθητικό!$J$2:$N$354,3,FALSE))</f>
        <v>_</v>
      </c>
      <c r="AP317" s="44"/>
      <c r="AQ317" s="5" t="s">
        <v>16</v>
      </c>
      <c r="AR317" s="46" t="str">
        <f>IF(VLOOKUP(AQ317,βοηθητικό!$J$2:$N$354,3,FALSE)="","",VLOOKUP(AQ317,βοηθητικό!$J$2:$N$354,3,FALSE))</f>
        <v>_</v>
      </c>
      <c r="AS317" s="47"/>
      <c r="AT317" s="4" t="s">
        <v>16</v>
      </c>
      <c r="AU317" s="43" t="str">
        <f>IF(VLOOKUP(AT317,βοηθητικό!$J$2:$N$354,3,FALSE)="","",VLOOKUP(AT317,βοηθητικό!$J$2:$N$354,3,FALSE))</f>
        <v>_</v>
      </c>
      <c r="AV317" s="44"/>
      <c r="AW317" s="5" t="s">
        <v>16</v>
      </c>
      <c r="AX317" s="46" t="str">
        <f>IF(VLOOKUP(AW317,βοηθητικό!$J$2:$N$354,3,FALSE)="","",VLOOKUP(AW317,βοηθητικό!$J$2:$N$354,3,FALSE))</f>
        <v>_</v>
      </c>
      <c r="AY317" s="47"/>
      <c r="AZ317" s="4" t="s">
        <v>16</v>
      </c>
      <c r="BA317" s="43" t="str">
        <f>IF(VLOOKUP(AZ317,βοηθητικό!$J$2:$N$354,3,FALSE)="","",VLOOKUP(AZ317,βοηθητικό!$J$2:$N$354,3,FALSE))</f>
        <v>_</v>
      </c>
      <c r="BB317" s="44"/>
      <c r="BC317" s="45" t="s">
        <v>16</v>
      </c>
      <c r="BD317" s="46" t="str">
        <f>IF(VLOOKUP(BC317,βοηθητικό!$J$2:$N$354,3,FALSE)="","",VLOOKUP(BC317,βοηθητικό!$J$2:$N$354,3,FALSE))</f>
        <v>_</v>
      </c>
      <c r="BE317" s="47"/>
      <c r="BF317" s="42" t="s">
        <v>16</v>
      </c>
      <c r="BG317" s="43" t="str">
        <f>IF(VLOOKUP(BF317,βοηθητικό!$J$2:$N$354,3,FALSE)="","",VLOOKUP(BF317,βοηθητικό!$J$2:$N$354,3,FALSE))</f>
        <v>_</v>
      </c>
      <c r="BH317" s="44"/>
      <c r="BI317" s="45" t="s">
        <v>16</v>
      </c>
      <c r="BJ317" s="46" t="str">
        <f>IF(VLOOKUP(BI317,βοηθητικό!$J$2:$N$354,3,FALSE)="","",VLOOKUP(BI317,βοηθητικό!$J$2:$N$354,3,FALSE))</f>
        <v>_</v>
      </c>
      <c r="BK317" s="47"/>
      <c r="BL317" s="42" t="s">
        <v>16</v>
      </c>
      <c r="BM317" s="43" t="str">
        <f>IF(VLOOKUP(BL317,βοηθητικό!$J$2:$N$354,3,FALSE)="","",VLOOKUP(BL317,βοηθητικό!$J$2:$N$354,3,FALSE))</f>
        <v>_</v>
      </c>
      <c r="BN317" s="44"/>
      <c r="BO317" s="45" t="s">
        <v>16</v>
      </c>
      <c r="BP317" s="46" t="str">
        <f>IF(VLOOKUP(BO317,βοηθητικό!$J$2:$N$354,3,FALSE)="","",VLOOKUP(BO317,βοηθητικό!$J$2:$N$354,3,FALSE))</f>
        <v>_</v>
      </c>
      <c r="BQ317" s="47"/>
      <c r="BR317" s="42" t="s">
        <v>16</v>
      </c>
      <c r="BS317" s="43" t="str">
        <f>IF(VLOOKUP(BR317,βοηθητικό!$J$2:$N$354,3,FALSE)="","",VLOOKUP(BR317,βοηθητικό!$J$2:$N$354,3,FALSE))</f>
        <v>_</v>
      </c>
      <c r="BT317" s="44"/>
      <c r="BU317" s="45" t="s">
        <v>16</v>
      </c>
      <c r="BV317" s="46" t="str">
        <f>IF(VLOOKUP(BU317,βοηθητικό!$J$2:$N$354,3,FALSE)="","",VLOOKUP(BU317,βοηθητικό!$J$2:$N$354,3,FALSE))</f>
        <v>_</v>
      </c>
      <c r="BW317" s="47"/>
      <c r="BX317" s="42" t="s">
        <v>16</v>
      </c>
      <c r="BY317" s="43" t="str">
        <f>IF(VLOOKUP(BX317,βοηθητικό!$J$2:$N$354,3,FALSE)="","",VLOOKUP(BX317,βοηθητικό!$J$2:$N$354,3,FALSE))</f>
        <v>_</v>
      </c>
      <c r="BZ317" s="44"/>
      <c r="CA317" s="45" t="s">
        <v>16</v>
      </c>
      <c r="CB317" s="46" t="str">
        <f>IF(VLOOKUP(CA317,βοηθητικό!$J$2:$N$354,3,FALSE)="","",VLOOKUP(CA317,βοηθητικό!$J$2:$N$354,3,FALSE))</f>
        <v>_</v>
      </c>
      <c r="CC317" s="47"/>
      <c r="CD317" s="42" t="s">
        <v>16</v>
      </c>
      <c r="CE317" s="43" t="str">
        <f>IF(VLOOKUP(CD317,βοηθητικό!$J$2:$N$354,3,FALSE)="","",VLOOKUP(CD317,βοηθητικό!$J$2:$N$354,3,FALSE))</f>
        <v>_</v>
      </c>
      <c r="CF317" s="44"/>
      <c r="CG317" s="45" t="s">
        <v>16</v>
      </c>
      <c r="CH317" s="46" t="str">
        <f>IF(VLOOKUP(CG317,βοηθητικό!$J$2:$N$354,3,FALSE)="","",VLOOKUP(CG317,βοηθητικό!$J$2:$N$354,3,FALSE))</f>
        <v>_</v>
      </c>
      <c r="CI317" s="47"/>
      <c r="CJ317" s="42" t="s">
        <v>16</v>
      </c>
      <c r="CK317" s="43" t="str">
        <f>IF(VLOOKUP(CJ317,βοηθητικό!$J$2:$N$354,3,FALSE)="","",VLOOKUP(CJ317,βοηθητικό!$J$2:$N$354,3,FALSE))</f>
        <v>_</v>
      </c>
      <c r="CL317" s="44"/>
      <c r="CM317" s="45" t="s">
        <v>16</v>
      </c>
      <c r="CN317" s="46" t="str">
        <f>IF(VLOOKUP(CM317,βοηθητικό!$J$2:$N$354,3,FALSE)="","",VLOOKUP(CM317,βοηθητικό!$J$2:$N$354,3,FALSE))</f>
        <v>_</v>
      </c>
      <c r="CO317" s="47"/>
      <c r="CP317" s="42" t="s">
        <v>16</v>
      </c>
      <c r="CQ317" s="43" t="str">
        <f>IF(VLOOKUP(CP317,βοηθητικό!$J$2:$N$354,3,FALSE)="","",VLOOKUP(CP317,βοηθητικό!$J$2:$N$354,3,FALSE))</f>
        <v>_</v>
      </c>
      <c r="CR317" s="44"/>
      <c r="CS317" s="45" t="s">
        <v>16</v>
      </c>
      <c r="CT317" s="46" t="str">
        <f>IF(VLOOKUP(CS317,βοηθητικό!$J$2:$N$354,3,FALSE)="","",VLOOKUP(CS317,βοηθητικό!$J$2:$N$354,3,FALSE))</f>
        <v>_</v>
      </c>
      <c r="CU317" s="47"/>
    </row>
    <row r="318" spans="1:99" x14ac:dyDescent="0.25">
      <c r="A318" s="37">
        <f>--SUBTOTAL(3,$B$3:B317)</f>
        <v>198</v>
      </c>
      <c r="B318" s="2"/>
      <c r="C318" s="3"/>
      <c r="D318" s="55" t="s">
        <v>18</v>
      </c>
      <c r="E318" s="38" t="s">
        <v>16</v>
      </c>
      <c r="F318" s="38" t="s">
        <v>16</v>
      </c>
      <c r="G318" s="39" t="str">
        <f t="shared" si="14"/>
        <v>__</v>
      </c>
      <c r="H318" s="40" t="str">
        <f t="shared" si="15"/>
        <v>FALSE</v>
      </c>
      <c r="I318" s="41">
        <f t="shared" si="16"/>
        <v>0</v>
      </c>
      <c r="J318" s="4" t="s">
        <v>16</v>
      </c>
      <c r="K318" s="43" t="str">
        <f>IF(VLOOKUP(J318,βοηθητικό!$J$2:$N$354,3,FALSE)="","",VLOOKUP(J318,βοηθητικό!$J$2:$N$354,3,FALSE))</f>
        <v>_</v>
      </c>
      <c r="L318" s="44"/>
      <c r="M318" s="5" t="s">
        <v>16</v>
      </c>
      <c r="N318" s="46" t="str">
        <f>IF(VLOOKUP(M318,βοηθητικό!$J$2:$N$354,3,FALSE)="","",VLOOKUP(M318,βοηθητικό!$J$2:$N$354,3,FALSE))</f>
        <v>_</v>
      </c>
      <c r="O318" s="47"/>
      <c r="P318" s="4" t="s">
        <v>16</v>
      </c>
      <c r="Q318" s="43" t="str">
        <f>IF(VLOOKUP(P318,βοηθητικό!$J$2:$N$354,3,FALSE)="","",VLOOKUP(P318,βοηθητικό!$J$2:$N$354,3,FALSE))</f>
        <v>_</v>
      </c>
      <c r="R318" s="44"/>
      <c r="S318" s="5" t="s">
        <v>16</v>
      </c>
      <c r="T318" s="46" t="str">
        <f>IF(VLOOKUP(S318,βοηθητικό!$J$2:$N$354,3,FALSE)="","",VLOOKUP(S318,βοηθητικό!$J$2:$N$354,3,FALSE))</f>
        <v>_</v>
      </c>
      <c r="U318" s="47"/>
      <c r="V318" s="4" t="s">
        <v>16</v>
      </c>
      <c r="W318" s="43" t="str">
        <f>IF(VLOOKUP(V318,βοηθητικό!$J$2:$N$354,3,FALSE)="","",VLOOKUP(V318,βοηθητικό!$J$2:$N$354,3,FALSE))</f>
        <v>_</v>
      </c>
      <c r="X318" s="44"/>
      <c r="Y318" s="5" t="s">
        <v>16</v>
      </c>
      <c r="Z318" s="46" t="str">
        <f>IF(VLOOKUP(Y318,βοηθητικό!$J$2:$N$354,3,FALSE)="","",VLOOKUP(Y318,βοηθητικό!$J$2:$N$354,3,FALSE))</f>
        <v>_</v>
      </c>
      <c r="AA318" s="47"/>
      <c r="AB318" s="4" t="s">
        <v>16</v>
      </c>
      <c r="AC318" s="43" t="str">
        <f>IF(VLOOKUP(AB318,βοηθητικό!$J$2:$N$354,3,FALSE)="","",VLOOKUP(AB318,βοηθητικό!$J$2:$N$354,3,FALSE))</f>
        <v>_</v>
      </c>
      <c r="AD318" s="44"/>
      <c r="AE318" s="5" t="s">
        <v>16</v>
      </c>
      <c r="AF318" s="46" t="str">
        <f>IF(VLOOKUP(AE318,βοηθητικό!$J$2:$N$354,3,FALSE)="","",VLOOKUP(AE318,βοηθητικό!$J$2:$N$354,3,FALSE))</f>
        <v>_</v>
      </c>
      <c r="AG318" s="47"/>
      <c r="AH318" s="4" t="s">
        <v>16</v>
      </c>
      <c r="AI318" s="43" t="str">
        <f>IF(VLOOKUP(AH318,βοηθητικό!$J$2:$N$354,3,FALSE)="","",VLOOKUP(AH318,βοηθητικό!$J$2:$N$354,3,FALSE))</f>
        <v>_</v>
      </c>
      <c r="AJ318" s="44"/>
      <c r="AK318" s="5" t="s">
        <v>16</v>
      </c>
      <c r="AL318" s="46" t="str">
        <f>IF(VLOOKUP(AK318,βοηθητικό!$J$2:$N$354,3,FALSE)="","",VLOOKUP(AK318,βοηθητικό!$J$2:$N$354,3,FALSE))</f>
        <v>_</v>
      </c>
      <c r="AM318" s="47"/>
      <c r="AN318" s="4" t="s">
        <v>16</v>
      </c>
      <c r="AO318" s="43" t="str">
        <f>IF(VLOOKUP(AN318,βοηθητικό!$J$2:$N$354,3,FALSE)="","",VLOOKUP(AN318,βοηθητικό!$J$2:$N$354,3,FALSE))</f>
        <v>_</v>
      </c>
      <c r="AP318" s="44"/>
      <c r="AQ318" s="5" t="s">
        <v>16</v>
      </c>
      <c r="AR318" s="46" t="str">
        <f>IF(VLOOKUP(AQ318,βοηθητικό!$J$2:$N$354,3,FALSE)="","",VLOOKUP(AQ318,βοηθητικό!$J$2:$N$354,3,FALSE))</f>
        <v>_</v>
      </c>
      <c r="AS318" s="47"/>
      <c r="AT318" s="4" t="s">
        <v>16</v>
      </c>
      <c r="AU318" s="43" t="str">
        <f>IF(VLOOKUP(AT318,βοηθητικό!$J$2:$N$354,3,FALSE)="","",VLOOKUP(AT318,βοηθητικό!$J$2:$N$354,3,FALSE))</f>
        <v>_</v>
      </c>
      <c r="AV318" s="44"/>
      <c r="AW318" s="5" t="s">
        <v>16</v>
      </c>
      <c r="AX318" s="46" t="str">
        <f>IF(VLOOKUP(AW318,βοηθητικό!$J$2:$N$354,3,FALSE)="","",VLOOKUP(AW318,βοηθητικό!$J$2:$N$354,3,FALSE))</f>
        <v>_</v>
      </c>
      <c r="AY318" s="47"/>
      <c r="AZ318" s="4" t="s">
        <v>16</v>
      </c>
      <c r="BA318" s="43" t="str">
        <f>IF(VLOOKUP(AZ318,βοηθητικό!$J$2:$N$354,3,FALSE)="","",VLOOKUP(AZ318,βοηθητικό!$J$2:$N$354,3,FALSE))</f>
        <v>_</v>
      </c>
      <c r="BB318" s="44"/>
      <c r="BC318" s="45" t="s">
        <v>16</v>
      </c>
      <c r="BD318" s="46" t="str">
        <f>IF(VLOOKUP(BC318,βοηθητικό!$J$2:$N$354,3,FALSE)="","",VLOOKUP(BC318,βοηθητικό!$J$2:$N$354,3,FALSE))</f>
        <v>_</v>
      </c>
      <c r="BE318" s="47"/>
      <c r="BF318" s="42" t="s">
        <v>16</v>
      </c>
      <c r="BG318" s="43" t="str">
        <f>IF(VLOOKUP(BF318,βοηθητικό!$J$2:$N$354,3,FALSE)="","",VLOOKUP(BF318,βοηθητικό!$J$2:$N$354,3,FALSE))</f>
        <v>_</v>
      </c>
      <c r="BH318" s="44"/>
      <c r="BI318" s="45" t="s">
        <v>16</v>
      </c>
      <c r="BJ318" s="46" t="str">
        <f>IF(VLOOKUP(BI318,βοηθητικό!$J$2:$N$354,3,FALSE)="","",VLOOKUP(BI318,βοηθητικό!$J$2:$N$354,3,FALSE))</f>
        <v>_</v>
      </c>
      <c r="BK318" s="47"/>
      <c r="BL318" s="42" t="s">
        <v>16</v>
      </c>
      <c r="BM318" s="43" t="str">
        <f>IF(VLOOKUP(BL318,βοηθητικό!$J$2:$N$354,3,FALSE)="","",VLOOKUP(BL318,βοηθητικό!$J$2:$N$354,3,FALSE))</f>
        <v>_</v>
      </c>
      <c r="BN318" s="44"/>
      <c r="BO318" s="45" t="s">
        <v>16</v>
      </c>
      <c r="BP318" s="46" t="str">
        <f>IF(VLOOKUP(BO318,βοηθητικό!$J$2:$N$354,3,FALSE)="","",VLOOKUP(BO318,βοηθητικό!$J$2:$N$354,3,FALSE))</f>
        <v>_</v>
      </c>
      <c r="BQ318" s="47"/>
      <c r="BR318" s="42" t="s">
        <v>16</v>
      </c>
      <c r="BS318" s="43" t="str">
        <f>IF(VLOOKUP(BR318,βοηθητικό!$J$2:$N$354,3,FALSE)="","",VLOOKUP(BR318,βοηθητικό!$J$2:$N$354,3,FALSE))</f>
        <v>_</v>
      </c>
      <c r="BT318" s="44"/>
      <c r="BU318" s="45" t="s">
        <v>16</v>
      </c>
      <c r="BV318" s="46" t="str">
        <f>IF(VLOOKUP(BU318,βοηθητικό!$J$2:$N$354,3,FALSE)="","",VLOOKUP(BU318,βοηθητικό!$J$2:$N$354,3,FALSE))</f>
        <v>_</v>
      </c>
      <c r="BW318" s="47"/>
      <c r="BX318" s="42" t="s">
        <v>16</v>
      </c>
      <c r="BY318" s="43" t="str">
        <f>IF(VLOOKUP(BX318,βοηθητικό!$J$2:$N$354,3,FALSE)="","",VLOOKUP(BX318,βοηθητικό!$J$2:$N$354,3,FALSE))</f>
        <v>_</v>
      </c>
      <c r="BZ318" s="44"/>
      <c r="CA318" s="45" t="s">
        <v>16</v>
      </c>
      <c r="CB318" s="46" t="str">
        <f>IF(VLOOKUP(CA318,βοηθητικό!$J$2:$N$354,3,FALSE)="","",VLOOKUP(CA318,βοηθητικό!$J$2:$N$354,3,FALSE))</f>
        <v>_</v>
      </c>
      <c r="CC318" s="47"/>
      <c r="CD318" s="42" t="s">
        <v>16</v>
      </c>
      <c r="CE318" s="43" t="str">
        <f>IF(VLOOKUP(CD318,βοηθητικό!$J$2:$N$354,3,FALSE)="","",VLOOKUP(CD318,βοηθητικό!$J$2:$N$354,3,FALSE))</f>
        <v>_</v>
      </c>
      <c r="CF318" s="44"/>
      <c r="CG318" s="45" t="s">
        <v>16</v>
      </c>
      <c r="CH318" s="46" t="str">
        <f>IF(VLOOKUP(CG318,βοηθητικό!$J$2:$N$354,3,FALSE)="","",VLOOKUP(CG318,βοηθητικό!$J$2:$N$354,3,FALSE))</f>
        <v>_</v>
      </c>
      <c r="CI318" s="47"/>
      <c r="CJ318" s="42" t="s">
        <v>16</v>
      </c>
      <c r="CK318" s="43" t="str">
        <f>IF(VLOOKUP(CJ318,βοηθητικό!$J$2:$N$354,3,FALSE)="","",VLOOKUP(CJ318,βοηθητικό!$J$2:$N$354,3,FALSE))</f>
        <v>_</v>
      </c>
      <c r="CL318" s="44"/>
      <c r="CM318" s="45" t="s">
        <v>16</v>
      </c>
      <c r="CN318" s="46" t="str">
        <f>IF(VLOOKUP(CM318,βοηθητικό!$J$2:$N$354,3,FALSE)="","",VLOOKUP(CM318,βοηθητικό!$J$2:$N$354,3,FALSE))</f>
        <v>_</v>
      </c>
      <c r="CO318" s="47"/>
      <c r="CP318" s="42" t="s">
        <v>16</v>
      </c>
      <c r="CQ318" s="43" t="str">
        <f>IF(VLOOKUP(CP318,βοηθητικό!$J$2:$N$354,3,FALSE)="","",VLOOKUP(CP318,βοηθητικό!$J$2:$N$354,3,FALSE))</f>
        <v>_</v>
      </c>
      <c r="CR318" s="44"/>
      <c r="CS318" s="45" t="s">
        <v>16</v>
      </c>
      <c r="CT318" s="46" t="str">
        <f>IF(VLOOKUP(CS318,βοηθητικό!$J$2:$N$354,3,FALSE)="","",VLOOKUP(CS318,βοηθητικό!$J$2:$N$354,3,FALSE))</f>
        <v>_</v>
      </c>
      <c r="CU318" s="47"/>
    </row>
    <row r="319" spans="1:99" x14ac:dyDescent="0.25">
      <c r="A319" s="37">
        <f>--SUBTOTAL(3,$B$3:B318)</f>
        <v>198</v>
      </c>
      <c r="B319" s="2"/>
      <c r="C319" s="3"/>
      <c r="D319" s="55" t="s">
        <v>18</v>
      </c>
      <c r="E319" s="38" t="s">
        <v>16</v>
      </c>
      <c r="F319" s="38" t="s">
        <v>16</v>
      </c>
      <c r="G319" s="39" t="str">
        <f t="shared" si="14"/>
        <v>__</v>
      </c>
      <c r="H319" s="40" t="str">
        <f t="shared" si="15"/>
        <v>FALSE</v>
      </c>
      <c r="I319" s="41">
        <f t="shared" si="16"/>
        <v>0</v>
      </c>
      <c r="J319" s="4" t="s">
        <v>16</v>
      </c>
      <c r="K319" s="43" t="str">
        <f>IF(VLOOKUP(J319,βοηθητικό!$J$2:$N$354,3,FALSE)="","",VLOOKUP(J319,βοηθητικό!$J$2:$N$354,3,FALSE))</f>
        <v>_</v>
      </c>
      <c r="L319" s="44"/>
      <c r="M319" s="5" t="s">
        <v>16</v>
      </c>
      <c r="N319" s="46" t="str">
        <f>IF(VLOOKUP(M319,βοηθητικό!$J$2:$N$354,3,FALSE)="","",VLOOKUP(M319,βοηθητικό!$J$2:$N$354,3,FALSE))</f>
        <v>_</v>
      </c>
      <c r="O319" s="47"/>
      <c r="P319" s="4" t="s">
        <v>16</v>
      </c>
      <c r="Q319" s="43" t="str">
        <f>IF(VLOOKUP(P319,βοηθητικό!$J$2:$N$354,3,FALSE)="","",VLOOKUP(P319,βοηθητικό!$J$2:$N$354,3,FALSE))</f>
        <v>_</v>
      </c>
      <c r="R319" s="44"/>
      <c r="S319" s="5" t="s">
        <v>16</v>
      </c>
      <c r="T319" s="46" t="str">
        <f>IF(VLOOKUP(S319,βοηθητικό!$J$2:$N$354,3,FALSE)="","",VLOOKUP(S319,βοηθητικό!$J$2:$N$354,3,FALSE))</f>
        <v>_</v>
      </c>
      <c r="U319" s="47"/>
      <c r="V319" s="4" t="s">
        <v>16</v>
      </c>
      <c r="W319" s="43" t="str">
        <f>IF(VLOOKUP(V319,βοηθητικό!$J$2:$N$354,3,FALSE)="","",VLOOKUP(V319,βοηθητικό!$J$2:$N$354,3,FALSE))</f>
        <v>_</v>
      </c>
      <c r="X319" s="44"/>
      <c r="Y319" s="5" t="s">
        <v>16</v>
      </c>
      <c r="Z319" s="46" t="str">
        <f>IF(VLOOKUP(Y319,βοηθητικό!$J$2:$N$354,3,FALSE)="","",VLOOKUP(Y319,βοηθητικό!$J$2:$N$354,3,FALSE))</f>
        <v>_</v>
      </c>
      <c r="AA319" s="47"/>
      <c r="AB319" s="4" t="s">
        <v>16</v>
      </c>
      <c r="AC319" s="43" t="str">
        <f>IF(VLOOKUP(AB319,βοηθητικό!$J$2:$N$354,3,FALSE)="","",VLOOKUP(AB319,βοηθητικό!$J$2:$N$354,3,FALSE))</f>
        <v>_</v>
      </c>
      <c r="AD319" s="44"/>
      <c r="AE319" s="5" t="s">
        <v>16</v>
      </c>
      <c r="AF319" s="46" t="str">
        <f>IF(VLOOKUP(AE319,βοηθητικό!$J$2:$N$354,3,FALSE)="","",VLOOKUP(AE319,βοηθητικό!$J$2:$N$354,3,FALSE))</f>
        <v>_</v>
      </c>
      <c r="AG319" s="47"/>
      <c r="AH319" s="4" t="s">
        <v>16</v>
      </c>
      <c r="AI319" s="43" t="str">
        <f>IF(VLOOKUP(AH319,βοηθητικό!$J$2:$N$354,3,FALSE)="","",VLOOKUP(AH319,βοηθητικό!$J$2:$N$354,3,FALSE))</f>
        <v>_</v>
      </c>
      <c r="AJ319" s="44"/>
      <c r="AK319" s="5" t="s">
        <v>16</v>
      </c>
      <c r="AL319" s="46" t="str">
        <f>IF(VLOOKUP(AK319,βοηθητικό!$J$2:$N$354,3,FALSE)="","",VLOOKUP(AK319,βοηθητικό!$J$2:$N$354,3,FALSE))</f>
        <v>_</v>
      </c>
      <c r="AM319" s="47"/>
      <c r="AN319" s="4" t="s">
        <v>16</v>
      </c>
      <c r="AO319" s="43" t="str">
        <f>IF(VLOOKUP(AN319,βοηθητικό!$J$2:$N$354,3,FALSE)="","",VLOOKUP(AN319,βοηθητικό!$J$2:$N$354,3,FALSE))</f>
        <v>_</v>
      </c>
      <c r="AP319" s="44"/>
      <c r="AQ319" s="5" t="s">
        <v>16</v>
      </c>
      <c r="AR319" s="46" t="str">
        <f>IF(VLOOKUP(AQ319,βοηθητικό!$J$2:$N$354,3,FALSE)="","",VLOOKUP(AQ319,βοηθητικό!$J$2:$N$354,3,FALSE))</f>
        <v>_</v>
      </c>
      <c r="AS319" s="47"/>
      <c r="AT319" s="4" t="s">
        <v>16</v>
      </c>
      <c r="AU319" s="43" t="str">
        <f>IF(VLOOKUP(AT319,βοηθητικό!$J$2:$N$354,3,FALSE)="","",VLOOKUP(AT319,βοηθητικό!$J$2:$N$354,3,FALSE))</f>
        <v>_</v>
      </c>
      <c r="AV319" s="44"/>
      <c r="AW319" s="5" t="s">
        <v>16</v>
      </c>
      <c r="AX319" s="46" t="str">
        <f>IF(VLOOKUP(AW319,βοηθητικό!$J$2:$N$354,3,FALSE)="","",VLOOKUP(AW319,βοηθητικό!$J$2:$N$354,3,FALSE))</f>
        <v>_</v>
      </c>
      <c r="AY319" s="47"/>
      <c r="AZ319" s="4" t="s">
        <v>16</v>
      </c>
      <c r="BA319" s="43" t="str">
        <f>IF(VLOOKUP(AZ319,βοηθητικό!$J$2:$N$354,3,FALSE)="","",VLOOKUP(AZ319,βοηθητικό!$J$2:$N$354,3,FALSE))</f>
        <v>_</v>
      </c>
      <c r="BB319" s="44"/>
      <c r="BC319" s="45" t="s">
        <v>16</v>
      </c>
      <c r="BD319" s="46" t="str">
        <f>IF(VLOOKUP(BC319,βοηθητικό!$J$2:$N$354,3,FALSE)="","",VLOOKUP(BC319,βοηθητικό!$J$2:$N$354,3,FALSE))</f>
        <v>_</v>
      </c>
      <c r="BE319" s="47"/>
      <c r="BF319" s="42" t="s">
        <v>16</v>
      </c>
      <c r="BG319" s="43" t="str">
        <f>IF(VLOOKUP(BF319,βοηθητικό!$J$2:$N$354,3,FALSE)="","",VLOOKUP(BF319,βοηθητικό!$J$2:$N$354,3,FALSE))</f>
        <v>_</v>
      </c>
      <c r="BH319" s="44"/>
      <c r="BI319" s="45" t="s">
        <v>16</v>
      </c>
      <c r="BJ319" s="46" t="str">
        <f>IF(VLOOKUP(BI319,βοηθητικό!$J$2:$N$354,3,FALSE)="","",VLOOKUP(BI319,βοηθητικό!$J$2:$N$354,3,FALSE))</f>
        <v>_</v>
      </c>
      <c r="BK319" s="47"/>
      <c r="BL319" s="42" t="s">
        <v>16</v>
      </c>
      <c r="BM319" s="43" t="str">
        <f>IF(VLOOKUP(BL319,βοηθητικό!$J$2:$N$354,3,FALSE)="","",VLOOKUP(BL319,βοηθητικό!$J$2:$N$354,3,FALSE))</f>
        <v>_</v>
      </c>
      <c r="BN319" s="44"/>
      <c r="BO319" s="45" t="s">
        <v>16</v>
      </c>
      <c r="BP319" s="46" t="str">
        <f>IF(VLOOKUP(BO319,βοηθητικό!$J$2:$N$354,3,FALSE)="","",VLOOKUP(BO319,βοηθητικό!$J$2:$N$354,3,FALSE))</f>
        <v>_</v>
      </c>
      <c r="BQ319" s="47"/>
      <c r="BR319" s="42" t="s">
        <v>16</v>
      </c>
      <c r="BS319" s="43" t="str">
        <f>IF(VLOOKUP(BR319,βοηθητικό!$J$2:$N$354,3,FALSE)="","",VLOOKUP(BR319,βοηθητικό!$J$2:$N$354,3,FALSE))</f>
        <v>_</v>
      </c>
      <c r="BT319" s="44"/>
      <c r="BU319" s="45" t="s">
        <v>16</v>
      </c>
      <c r="BV319" s="46" t="str">
        <f>IF(VLOOKUP(BU319,βοηθητικό!$J$2:$N$354,3,FALSE)="","",VLOOKUP(BU319,βοηθητικό!$J$2:$N$354,3,FALSE))</f>
        <v>_</v>
      </c>
      <c r="BW319" s="47"/>
      <c r="BX319" s="42" t="s">
        <v>16</v>
      </c>
      <c r="BY319" s="43" t="str">
        <f>IF(VLOOKUP(BX319,βοηθητικό!$J$2:$N$354,3,FALSE)="","",VLOOKUP(BX319,βοηθητικό!$J$2:$N$354,3,FALSE))</f>
        <v>_</v>
      </c>
      <c r="BZ319" s="44"/>
      <c r="CA319" s="45" t="s">
        <v>16</v>
      </c>
      <c r="CB319" s="46" t="str">
        <f>IF(VLOOKUP(CA319,βοηθητικό!$J$2:$N$354,3,FALSE)="","",VLOOKUP(CA319,βοηθητικό!$J$2:$N$354,3,FALSE))</f>
        <v>_</v>
      </c>
      <c r="CC319" s="47"/>
      <c r="CD319" s="42" t="s">
        <v>16</v>
      </c>
      <c r="CE319" s="43" t="str">
        <f>IF(VLOOKUP(CD319,βοηθητικό!$J$2:$N$354,3,FALSE)="","",VLOOKUP(CD319,βοηθητικό!$J$2:$N$354,3,FALSE))</f>
        <v>_</v>
      </c>
      <c r="CF319" s="44"/>
      <c r="CG319" s="45" t="s">
        <v>16</v>
      </c>
      <c r="CH319" s="46" t="str">
        <f>IF(VLOOKUP(CG319,βοηθητικό!$J$2:$N$354,3,FALSE)="","",VLOOKUP(CG319,βοηθητικό!$J$2:$N$354,3,FALSE))</f>
        <v>_</v>
      </c>
      <c r="CI319" s="47"/>
      <c r="CJ319" s="42" t="s">
        <v>16</v>
      </c>
      <c r="CK319" s="43" t="str">
        <f>IF(VLOOKUP(CJ319,βοηθητικό!$J$2:$N$354,3,FALSE)="","",VLOOKUP(CJ319,βοηθητικό!$J$2:$N$354,3,FALSE))</f>
        <v>_</v>
      </c>
      <c r="CL319" s="44"/>
      <c r="CM319" s="45" t="s">
        <v>16</v>
      </c>
      <c r="CN319" s="46" t="str">
        <f>IF(VLOOKUP(CM319,βοηθητικό!$J$2:$N$354,3,FALSE)="","",VLOOKUP(CM319,βοηθητικό!$J$2:$N$354,3,FALSE))</f>
        <v>_</v>
      </c>
      <c r="CO319" s="47"/>
      <c r="CP319" s="42" t="s">
        <v>16</v>
      </c>
      <c r="CQ319" s="43" t="str">
        <f>IF(VLOOKUP(CP319,βοηθητικό!$J$2:$N$354,3,FALSE)="","",VLOOKUP(CP319,βοηθητικό!$J$2:$N$354,3,FALSE))</f>
        <v>_</v>
      </c>
      <c r="CR319" s="44"/>
      <c r="CS319" s="45" t="s">
        <v>16</v>
      </c>
      <c r="CT319" s="46" t="str">
        <f>IF(VLOOKUP(CS319,βοηθητικό!$J$2:$N$354,3,FALSE)="","",VLOOKUP(CS319,βοηθητικό!$J$2:$N$354,3,FALSE))</f>
        <v>_</v>
      </c>
      <c r="CU319" s="47"/>
    </row>
    <row r="320" spans="1:99" x14ac:dyDescent="0.25">
      <c r="A320" s="37">
        <f>--SUBTOTAL(3,$B$3:B319)</f>
        <v>198</v>
      </c>
      <c r="B320" s="2"/>
      <c r="C320" s="3"/>
      <c r="D320" s="55" t="s">
        <v>18</v>
      </c>
      <c r="E320" s="38" t="s">
        <v>16</v>
      </c>
      <c r="F320" s="38" t="s">
        <v>16</v>
      </c>
      <c r="G320" s="39" t="str">
        <f t="shared" si="14"/>
        <v>__</v>
      </c>
      <c r="H320" s="40" t="str">
        <f t="shared" si="15"/>
        <v>FALSE</v>
      </c>
      <c r="I320" s="41">
        <f t="shared" si="16"/>
        <v>0</v>
      </c>
      <c r="J320" s="4" t="s">
        <v>16</v>
      </c>
      <c r="K320" s="43" t="str">
        <f>IF(VLOOKUP(J320,βοηθητικό!$J$2:$N$354,3,FALSE)="","",VLOOKUP(J320,βοηθητικό!$J$2:$N$354,3,FALSE))</f>
        <v>_</v>
      </c>
      <c r="L320" s="44"/>
      <c r="M320" s="5" t="s">
        <v>16</v>
      </c>
      <c r="N320" s="46" t="str">
        <f>IF(VLOOKUP(M320,βοηθητικό!$J$2:$N$354,3,FALSE)="","",VLOOKUP(M320,βοηθητικό!$J$2:$N$354,3,FALSE))</f>
        <v>_</v>
      </c>
      <c r="O320" s="47"/>
      <c r="P320" s="4" t="s">
        <v>16</v>
      </c>
      <c r="Q320" s="43" t="str">
        <f>IF(VLOOKUP(P320,βοηθητικό!$J$2:$N$354,3,FALSE)="","",VLOOKUP(P320,βοηθητικό!$J$2:$N$354,3,FALSE))</f>
        <v>_</v>
      </c>
      <c r="R320" s="44"/>
      <c r="S320" s="5" t="s">
        <v>16</v>
      </c>
      <c r="T320" s="46" t="str">
        <f>IF(VLOOKUP(S320,βοηθητικό!$J$2:$N$354,3,FALSE)="","",VLOOKUP(S320,βοηθητικό!$J$2:$N$354,3,FALSE))</f>
        <v>_</v>
      </c>
      <c r="U320" s="47"/>
      <c r="V320" s="4" t="s">
        <v>16</v>
      </c>
      <c r="W320" s="43" t="str">
        <f>IF(VLOOKUP(V320,βοηθητικό!$J$2:$N$354,3,FALSE)="","",VLOOKUP(V320,βοηθητικό!$J$2:$N$354,3,FALSE))</f>
        <v>_</v>
      </c>
      <c r="X320" s="44"/>
      <c r="Y320" s="5" t="s">
        <v>16</v>
      </c>
      <c r="Z320" s="46" t="str">
        <f>IF(VLOOKUP(Y320,βοηθητικό!$J$2:$N$354,3,FALSE)="","",VLOOKUP(Y320,βοηθητικό!$J$2:$N$354,3,FALSE))</f>
        <v>_</v>
      </c>
      <c r="AA320" s="47"/>
      <c r="AB320" s="4" t="s">
        <v>16</v>
      </c>
      <c r="AC320" s="43" t="str">
        <f>IF(VLOOKUP(AB320,βοηθητικό!$J$2:$N$354,3,FALSE)="","",VLOOKUP(AB320,βοηθητικό!$J$2:$N$354,3,FALSE))</f>
        <v>_</v>
      </c>
      <c r="AD320" s="44"/>
      <c r="AE320" s="5" t="s">
        <v>16</v>
      </c>
      <c r="AF320" s="46" t="str">
        <f>IF(VLOOKUP(AE320,βοηθητικό!$J$2:$N$354,3,FALSE)="","",VLOOKUP(AE320,βοηθητικό!$J$2:$N$354,3,FALSE))</f>
        <v>_</v>
      </c>
      <c r="AG320" s="47"/>
      <c r="AH320" s="4" t="s">
        <v>16</v>
      </c>
      <c r="AI320" s="43" t="str">
        <f>IF(VLOOKUP(AH320,βοηθητικό!$J$2:$N$354,3,FALSE)="","",VLOOKUP(AH320,βοηθητικό!$J$2:$N$354,3,FALSE))</f>
        <v>_</v>
      </c>
      <c r="AJ320" s="44"/>
      <c r="AK320" s="5" t="s">
        <v>16</v>
      </c>
      <c r="AL320" s="46" t="str">
        <f>IF(VLOOKUP(AK320,βοηθητικό!$J$2:$N$354,3,FALSE)="","",VLOOKUP(AK320,βοηθητικό!$J$2:$N$354,3,FALSE))</f>
        <v>_</v>
      </c>
      <c r="AM320" s="47"/>
      <c r="AN320" s="4" t="s">
        <v>16</v>
      </c>
      <c r="AO320" s="43" t="str">
        <f>IF(VLOOKUP(AN320,βοηθητικό!$J$2:$N$354,3,FALSE)="","",VLOOKUP(AN320,βοηθητικό!$J$2:$N$354,3,FALSE))</f>
        <v>_</v>
      </c>
      <c r="AP320" s="44"/>
      <c r="AQ320" s="5" t="s">
        <v>16</v>
      </c>
      <c r="AR320" s="46" t="str">
        <f>IF(VLOOKUP(AQ320,βοηθητικό!$J$2:$N$354,3,FALSE)="","",VLOOKUP(AQ320,βοηθητικό!$J$2:$N$354,3,FALSE))</f>
        <v>_</v>
      </c>
      <c r="AS320" s="47"/>
      <c r="AT320" s="4" t="s">
        <v>16</v>
      </c>
      <c r="AU320" s="43" t="str">
        <f>IF(VLOOKUP(AT320,βοηθητικό!$J$2:$N$354,3,FALSE)="","",VLOOKUP(AT320,βοηθητικό!$J$2:$N$354,3,FALSE))</f>
        <v>_</v>
      </c>
      <c r="AV320" s="44"/>
      <c r="AW320" s="5" t="s">
        <v>16</v>
      </c>
      <c r="AX320" s="46" t="str">
        <f>IF(VLOOKUP(AW320,βοηθητικό!$J$2:$N$354,3,FALSE)="","",VLOOKUP(AW320,βοηθητικό!$J$2:$N$354,3,FALSE))</f>
        <v>_</v>
      </c>
      <c r="AY320" s="47"/>
      <c r="AZ320" s="4" t="s">
        <v>16</v>
      </c>
      <c r="BA320" s="43" t="str">
        <f>IF(VLOOKUP(AZ320,βοηθητικό!$J$2:$N$354,3,FALSE)="","",VLOOKUP(AZ320,βοηθητικό!$J$2:$N$354,3,FALSE))</f>
        <v>_</v>
      </c>
      <c r="BB320" s="44"/>
      <c r="BC320" s="45" t="s">
        <v>16</v>
      </c>
      <c r="BD320" s="46" t="str">
        <f>IF(VLOOKUP(BC320,βοηθητικό!$J$2:$N$354,3,FALSE)="","",VLOOKUP(BC320,βοηθητικό!$J$2:$N$354,3,FALSE))</f>
        <v>_</v>
      </c>
      <c r="BE320" s="47"/>
      <c r="BF320" s="42" t="s">
        <v>16</v>
      </c>
      <c r="BG320" s="43" t="str">
        <f>IF(VLOOKUP(BF320,βοηθητικό!$J$2:$N$354,3,FALSE)="","",VLOOKUP(BF320,βοηθητικό!$J$2:$N$354,3,FALSE))</f>
        <v>_</v>
      </c>
      <c r="BH320" s="44"/>
      <c r="BI320" s="45" t="s">
        <v>16</v>
      </c>
      <c r="BJ320" s="46" t="str">
        <f>IF(VLOOKUP(BI320,βοηθητικό!$J$2:$N$354,3,FALSE)="","",VLOOKUP(BI320,βοηθητικό!$J$2:$N$354,3,FALSE))</f>
        <v>_</v>
      </c>
      <c r="BK320" s="47"/>
      <c r="BL320" s="42" t="s">
        <v>16</v>
      </c>
      <c r="BM320" s="43" t="str">
        <f>IF(VLOOKUP(BL320,βοηθητικό!$J$2:$N$354,3,FALSE)="","",VLOOKUP(BL320,βοηθητικό!$J$2:$N$354,3,FALSE))</f>
        <v>_</v>
      </c>
      <c r="BN320" s="44"/>
      <c r="BO320" s="45" t="s">
        <v>16</v>
      </c>
      <c r="BP320" s="46" t="str">
        <f>IF(VLOOKUP(BO320,βοηθητικό!$J$2:$N$354,3,FALSE)="","",VLOOKUP(BO320,βοηθητικό!$J$2:$N$354,3,FALSE))</f>
        <v>_</v>
      </c>
      <c r="BQ320" s="47"/>
      <c r="BR320" s="42" t="s">
        <v>16</v>
      </c>
      <c r="BS320" s="43" t="str">
        <f>IF(VLOOKUP(BR320,βοηθητικό!$J$2:$N$354,3,FALSE)="","",VLOOKUP(BR320,βοηθητικό!$J$2:$N$354,3,FALSE))</f>
        <v>_</v>
      </c>
      <c r="BT320" s="44"/>
      <c r="BU320" s="45" t="s">
        <v>16</v>
      </c>
      <c r="BV320" s="46" t="str">
        <f>IF(VLOOKUP(BU320,βοηθητικό!$J$2:$N$354,3,FALSE)="","",VLOOKUP(BU320,βοηθητικό!$J$2:$N$354,3,FALSE))</f>
        <v>_</v>
      </c>
      <c r="BW320" s="47"/>
      <c r="BX320" s="42" t="s">
        <v>16</v>
      </c>
      <c r="BY320" s="43" t="str">
        <f>IF(VLOOKUP(BX320,βοηθητικό!$J$2:$N$354,3,FALSE)="","",VLOOKUP(BX320,βοηθητικό!$J$2:$N$354,3,FALSE))</f>
        <v>_</v>
      </c>
      <c r="BZ320" s="44"/>
      <c r="CA320" s="45" t="s">
        <v>16</v>
      </c>
      <c r="CB320" s="46" t="str">
        <f>IF(VLOOKUP(CA320,βοηθητικό!$J$2:$N$354,3,FALSE)="","",VLOOKUP(CA320,βοηθητικό!$J$2:$N$354,3,FALSE))</f>
        <v>_</v>
      </c>
      <c r="CC320" s="47"/>
      <c r="CD320" s="42" t="s">
        <v>16</v>
      </c>
      <c r="CE320" s="43" t="str">
        <f>IF(VLOOKUP(CD320,βοηθητικό!$J$2:$N$354,3,FALSE)="","",VLOOKUP(CD320,βοηθητικό!$J$2:$N$354,3,FALSE))</f>
        <v>_</v>
      </c>
      <c r="CF320" s="44"/>
      <c r="CG320" s="45" t="s">
        <v>16</v>
      </c>
      <c r="CH320" s="46" t="str">
        <f>IF(VLOOKUP(CG320,βοηθητικό!$J$2:$N$354,3,FALSE)="","",VLOOKUP(CG320,βοηθητικό!$J$2:$N$354,3,FALSE))</f>
        <v>_</v>
      </c>
      <c r="CI320" s="47"/>
      <c r="CJ320" s="42" t="s">
        <v>16</v>
      </c>
      <c r="CK320" s="43" t="str">
        <f>IF(VLOOKUP(CJ320,βοηθητικό!$J$2:$N$354,3,FALSE)="","",VLOOKUP(CJ320,βοηθητικό!$J$2:$N$354,3,FALSE))</f>
        <v>_</v>
      </c>
      <c r="CL320" s="44"/>
      <c r="CM320" s="45" t="s">
        <v>16</v>
      </c>
      <c r="CN320" s="46" t="str">
        <f>IF(VLOOKUP(CM320,βοηθητικό!$J$2:$N$354,3,FALSE)="","",VLOOKUP(CM320,βοηθητικό!$J$2:$N$354,3,FALSE))</f>
        <v>_</v>
      </c>
      <c r="CO320" s="47"/>
      <c r="CP320" s="42" t="s">
        <v>16</v>
      </c>
      <c r="CQ320" s="43" t="str">
        <f>IF(VLOOKUP(CP320,βοηθητικό!$J$2:$N$354,3,FALSE)="","",VLOOKUP(CP320,βοηθητικό!$J$2:$N$354,3,FALSE))</f>
        <v>_</v>
      </c>
      <c r="CR320" s="44"/>
      <c r="CS320" s="45" t="s">
        <v>16</v>
      </c>
      <c r="CT320" s="46" t="str">
        <f>IF(VLOOKUP(CS320,βοηθητικό!$J$2:$N$354,3,FALSE)="","",VLOOKUP(CS320,βοηθητικό!$J$2:$N$354,3,FALSE))</f>
        <v>_</v>
      </c>
      <c r="CU320" s="47"/>
    </row>
    <row r="321" spans="1:99" x14ac:dyDescent="0.25">
      <c r="A321" s="37">
        <f>--SUBTOTAL(3,$B$3:B320)</f>
        <v>198</v>
      </c>
      <c r="B321" s="2"/>
      <c r="C321" s="3"/>
      <c r="D321" s="55" t="s">
        <v>18</v>
      </c>
      <c r="E321" s="38" t="s">
        <v>16</v>
      </c>
      <c r="F321" s="38" t="s">
        <v>16</v>
      </c>
      <c r="G321" s="39" t="str">
        <f t="shared" si="14"/>
        <v>__</v>
      </c>
      <c r="H321" s="40" t="str">
        <f t="shared" si="15"/>
        <v>FALSE</v>
      </c>
      <c r="I321" s="41">
        <f t="shared" si="16"/>
        <v>0</v>
      </c>
      <c r="J321" s="4" t="s">
        <v>16</v>
      </c>
      <c r="K321" s="43" t="str">
        <f>IF(VLOOKUP(J321,βοηθητικό!$J$2:$N$354,3,FALSE)="","",VLOOKUP(J321,βοηθητικό!$J$2:$N$354,3,FALSE))</f>
        <v>_</v>
      </c>
      <c r="L321" s="44"/>
      <c r="M321" s="5" t="s">
        <v>16</v>
      </c>
      <c r="N321" s="46" t="str">
        <f>IF(VLOOKUP(M321,βοηθητικό!$J$2:$N$354,3,FALSE)="","",VLOOKUP(M321,βοηθητικό!$J$2:$N$354,3,FALSE))</f>
        <v>_</v>
      </c>
      <c r="O321" s="47"/>
      <c r="P321" s="4" t="s">
        <v>16</v>
      </c>
      <c r="Q321" s="43" t="str">
        <f>IF(VLOOKUP(P321,βοηθητικό!$J$2:$N$354,3,FALSE)="","",VLOOKUP(P321,βοηθητικό!$J$2:$N$354,3,FALSE))</f>
        <v>_</v>
      </c>
      <c r="R321" s="44"/>
      <c r="S321" s="5" t="s">
        <v>16</v>
      </c>
      <c r="T321" s="46" t="str">
        <f>IF(VLOOKUP(S321,βοηθητικό!$J$2:$N$354,3,FALSE)="","",VLOOKUP(S321,βοηθητικό!$J$2:$N$354,3,FALSE))</f>
        <v>_</v>
      </c>
      <c r="U321" s="47"/>
      <c r="V321" s="4" t="s">
        <v>16</v>
      </c>
      <c r="W321" s="43" t="str">
        <f>IF(VLOOKUP(V321,βοηθητικό!$J$2:$N$354,3,FALSE)="","",VLOOKUP(V321,βοηθητικό!$J$2:$N$354,3,FALSE))</f>
        <v>_</v>
      </c>
      <c r="X321" s="44"/>
      <c r="Y321" s="5" t="s">
        <v>16</v>
      </c>
      <c r="Z321" s="46" t="str">
        <f>IF(VLOOKUP(Y321,βοηθητικό!$J$2:$N$354,3,FALSE)="","",VLOOKUP(Y321,βοηθητικό!$J$2:$N$354,3,FALSE))</f>
        <v>_</v>
      </c>
      <c r="AA321" s="47"/>
      <c r="AB321" s="4" t="s">
        <v>16</v>
      </c>
      <c r="AC321" s="43" t="str">
        <f>IF(VLOOKUP(AB321,βοηθητικό!$J$2:$N$354,3,FALSE)="","",VLOOKUP(AB321,βοηθητικό!$J$2:$N$354,3,FALSE))</f>
        <v>_</v>
      </c>
      <c r="AD321" s="44"/>
      <c r="AE321" s="5" t="s">
        <v>16</v>
      </c>
      <c r="AF321" s="46" t="str">
        <f>IF(VLOOKUP(AE321,βοηθητικό!$J$2:$N$354,3,FALSE)="","",VLOOKUP(AE321,βοηθητικό!$J$2:$N$354,3,FALSE))</f>
        <v>_</v>
      </c>
      <c r="AG321" s="47"/>
      <c r="AH321" s="4" t="s">
        <v>16</v>
      </c>
      <c r="AI321" s="43" t="str">
        <f>IF(VLOOKUP(AH321,βοηθητικό!$J$2:$N$354,3,FALSE)="","",VLOOKUP(AH321,βοηθητικό!$J$2:$N$354,3,FALSE))</f>
        <v>_</v>
      </c>
      <c r="AJ321" s="44"/>
      <c r="AK321" s="5" t="s">
        <v>16</v>
      </c>
      <c r="AL321" s="46" t="str">
        <f>IF(VLOOKUP(AK321,βοηθητικό!$J$2:$N$354,3,FALSE)="","",VLOOKUP(AK321,βοηθητικό!$J$2:$N$354,3,FALSE))</f>
        <v>_</v>
      </c>
      <c r="AM321" s="47"/>
      <c r="AN321" s="4" t="s">
        <v>16</v>
      </c>
      <c r="AO321" s="43" t="str">
        <f>IF(VLOOKUP(AN321,βοηθητικό!$J$2:$N$354,3,FALSE)="","",VLOOKUP(AN321,βοηθητικό!$J$2:$N$354,3,FALSE))</f>
        <v>_</v>
      </c>
      <c r="AP321" s="44"/>
      <c r="AQ321" s="5" t="s">
        <v>16</v>
      </c>
      <c r="AR321" s="46" t="str">
        <f>IF(VLOOKUP(AQ321,βοηθητικό!$J$2:$N$354,3,FALSE)="","",VLOOKUP(AQ321,βοηθητικό!$J$2:$N$354,3,FALSE))</f>
        <v>_</v>
      </c>
      <c r="AS321" s="47"/>
      <c r="AT321" s="4" t="s">
        <v>16</v>
      </c>
      <c r="AU321" s="43" t="str">
        <f>IF(VLOOKUP(AT321,βοηθητικό!$J$2:$N$354,3,FALSE)="","",VLOOKUP(AT321,βοηθητικό!$J$2:$N$354,3,FALSE))</f>
        <v>_</v>
      </c>
      <c r="AV321" s="44"/>
      <c r="AW321" s="5" t="s">
        <v>16</v>
      </c>
      <c r="AX321" s="46" t="str">
        <f>IF(VLOOKUP(AW321,βοηθητικό!$J$2:$N$354,3,FALSE)="","",VLOOKUP(AW321,βοηθητικό!$J$2:$N$354,3,FALSE))</f>
        <v>_</v>
      </c>
      <c r="AY321" s="47"/>
      <c r="AZ321" s="4" t="s">
        <v>16</v>
      </c>
      <c r="BA321" s="43" t="str">
        <f>IF(VLOOKUP(AZ321,βοηθητικό!$J$2:$N$354,3,FALSE)="","",VLOOKUP(AZ321,βοηθητικό!$J$2:$N$354,3,FALSE))</f>
        <v>_</v>
      </c>
      <c r="BB321" s="44"/>
      <c r="BC321" s="45" t="s">
        <v>16</v>
      </c>
      <c r="BD321" s="46" t="str">
        <f>IF(VLOOKUP(BC321,βοηθητικό!$J$2:$N$354,3,FALSE)="","",VLOOKUP(BC321,βοηθητικό!$J$2:$N$354,3,FALSE))</f>
        <v>_</v>
      </c>
      <c r="BE321" s="47"/>
      <c r="BF321" s="42" t="s">
        <v>16</v>
      </c>
      <c r="BG321" s="43" t="str">
        <f>IF(VLOOKUP(BF321,βοηθητικό!$J$2:$N$354,3,FALSE)="","",VLOOKUP(BF321,βοηθητικό!$J$2:$N$354,3,FALSE))</f>
        <v>_</v>
      </c>
      <c r="BH321" s="44"/>
      <c r="BI321" s="45" t="s">
        <v>16</v>
      </c>
      <c r="BJ321" s="46" t="str">
        <f>IF(VLOOKUP(BI321,βοηθητικό!$J$2:$N$354,3,FALSE)="","",VLOOKUP(BI321,βοηθητικό!$J$2:$N$354,3,FALSE))</f>
        <v>_</v>
      </c>
      <c r="BK321" s="47"/>
      <c r="BL321" s="42" t="s">
        <v>16</v>
      </c>
      <c r="BM321" s="43" t="str">
        <f>IF(VLOOKUP(BL321,βοηθητικό!$J$2:$N$354,3,FALSE)="","",VLOOKUP(BL321,βοηθητικό!$J$2:$N$354,3,FALSE))</f>
        <v>_</v>
      </c>
      <c r="BN321" s="44"/>
      <c r="BO321" s="45" t="s">
        <v>16</v>
      </c>
      <c r="BP321" s="46" t="str">
        <f>IF(VLOOKUP(BO321,βοηθητικό!$J$2:$N$354,3,FALSE)="","",VLOOKUP(BO321,βοηθητικό!$J$2:$N$354,3,FALSE))</f>
        <v>_</v>
      </c>
      <c r="BQ321" s="47"/>
      <c r="BR321" s="42" t="s">
        <v>16</v>
      </c>
      <c r="BS321" s="43" t="str">
        <f>IF(VLOOKUP(BR321,βοηθητικό!$J$2:$N$354,3,FALSE)="","",VLOOKUP(BR321,βοηθητικό!$J$2:$N$354,3,FALSE))</f>
        <v>_</v>
      </c>
      <c r="BT321" s="44"/>
      <c r="BU321" s="45" t="s">
        <v>16</v>
      </c>
      <c r="BV321" s="46" t="str">
        <f>IF(VLOOKUP(BU321,βοηθητικό!$J$2:$N$354,3,FALSE)="","",VLOOKUP(BU321,βοηθητικό!$J$2:$N$354,3,FALSE))</f>
        <v>_</v>
      </c>
      <c r="BW321" s="47"/>
      <c r="BX321" s="42" t="s">
        <v>16</v>
      </c>
      <c r="BY321" s="43" t="str">
        <f>IF(VLOOKUP(BX321,βοηθητικό!$J$2:$N$354,3,FALSE)="","",VLOOKUP(BX321,βοηθητικό!$J$2:$N$354,3,FALSE))</f>
        <v>_</v>
      </c>
      <c r="BZ321" s="44"/>
      <c r="CA321" s="45" t="s">
        <v>16</v>
      </c>
      <c r="CB321" s="46" t="str">
        <f>IF(VLOOKUP(CA321,βοηθητικό!$J$2:$N$354,3,FALSE)="","",VLOOKUP(CA321,βοηθητικό!$J$2:$N$354,3,FALSE))</f>
        <v>_</v>
      </c>
      <c r="CC321" s="47"/>
      <c r="CD321" s="42" t="s">
        <v>16</v>
      </c>
      <c r="CE321" s="43" t="str">
        <f>IF(VLOOKUP(CD321,βοηθητικό!$J$2:$N$354,3,FALSE)="","",VLOOKUP(CD321,βοηθητικό!$J$2:$N$354,3,FALSE))</f>
        <v>_</v>
      </c>
      <c r="CF321" s="44"/>
      <c r="CG321" s="45" t="s">
        <v>16</v>
      </c>
      <c r="CH321" s="46" t="str">
        <f>IF(VLOOKUP(CG321,βοηθητικό!$J$2:$N$354,3,FALSE)="","",VLOOKUP(CG321,βοηθητικό!$J$2:$N$354,3,FALSE))</f>
        <v>_</v>
      </c>
      <c r="CI321" s="47"/>
      <c r="CJ321" s="42" t="s">
        <v>16</v>
      </c>
      <c r="CK321" s="43" t="str">
        <f>IF(VLOOKUP(CJ321,βοηθητικό!$J$2:$N$354,3,FALSE)="","",VLOOKUP(CJ321,βοηθητικό!$J$2:$N$354,3,FALSE))</f>
        <v>_</v>
      </c>
      <c r="CL321" s="44"/>
      <c r="CM321" s="45" t="s">
        <v>16</v>
      </c>
      <c r="CN321" s="46" t="str">
        <f>IF(VLOOKUP(CM321,βοηθητικό!$J$2:$N$354,3,FALSE)="","",VLOOKUP(CM321,βοηθητικό!$J$2:$N$354,3,FALSE))</f>
        <v>_</v>
      </c>
      <c r="CO321" s="47"/>
      <c r="CP321" s="42" t="s">
        <v>16</v>
      </c>
      <c r="CQ321" s="43" t="str">
        <f>IF(VLOOKUP(CP321,βοηθητικό!$J$2:$N$354,3,FALSE)="","",VLOOKUP(CP321,βοηθητικό!$J$2:$N$354,3,FALSE))</f>
        <v>_</v>
      </c>
      <c r="CR321" s="44"/>
      <c r="CS321" s="45" t="s">
        <v>16</v>
      </c>
      <c r="CT321" s="46" t="str">
        <f>IF(VLOOKUP(CS321,βοηθητικό!$J$2:$N$354,3,FALSE)="","",VLOOKUP(CS321,βοηθητικό!$J$2:$N$354,3,FALSE))</f>
        <v>_</v>
      </c>
      <c r="CU321" s="47"/>
    </row>
    <row r="322" spans="1:99" x14ac:dyDescent="0.25">
      <c r="A322" s="37">
        <f>--SUBTOTAL(3,$B$3:B321)</f>
        <v>198</v>
      </c>
      <c r="B322" s="2"/>
      <c r="C322" s="3"/>
      <c r="D322" s="55" t="s">
        <v>18</v>
      </c>
      <c r="E322" s="38" t="s">
        <v>16</v>
      </c>
      <c r="F322" s="38" t="s">
        <v>16</v>
      </c>
      <c r="G322" s="39" t="str">
        <f t="shared" si="14"/>
        <v>__</v>
      </c>
      <c r="H322" s="40" t="str">
        <f t="shared" si="15"/>
        <v>FALSE</v>
      </c>
      <c r="I322" s="41">
        <f t="shared" si="16"/>
        <v>0</v>
      </c>
      <c r="J322" s="4" t="s">
        <v>16</v>
      </c>
      <c r="K322" s="43" t="str">
        <f>IF(VLOOKUP(J322,βοηθητικό!$J$2:$N$354,3,FALSE)="","",VLOOKUP(J322,βοηθητικό!$J$2:$N$354,3,FALSE))</f>
        <v>_</v>
      </c>
      <c r="L322" s="44"/>
      <c r="M322" s="5" t="s">
        <v>16</v>
      </c>
      <c r="N322" s="46" t="str">
        <f>IF(VLOOKUP(M322,βοηθητικό!$J$2:$N$354,3,FALSE)="","",VLOOKUP(M322,βοηθητικό!$J$2:$N$354,3,FALSE))</f>
        <v>_</v>
      </c>
      <c r="O322" s="47"/>
      <c r="P322" s="4" t="s">
        <v>16</v>
      </c>
      <c r="Q322" s="43" t="str">
        <f>IF(VLOOKUP(P322,βοηθητικό!$J$2:$N$354,3,FALSE)="","",VLOOKUP(P322,βοηθητικό!$J$2:$N$354,3,FALSE))</f>
        <v>_</v>
      </c>
      <c r="R322" s="44"/>
      <c r="S322" s="5" t="s">
        <v>16</v>
      </c>
      <c r="T322" s="46" t="str">
        <f>IF(VLOOKUP(S322,βοηθητικό!$J$2:$N$354,3,FALSE)="","",VLOOKUP(S322,βοηθητικό!$J$2:$N$354,3,FALSE))</f>
        <v>_</v>
      </c>
      <c r="U322" s="47"/>
      <c r="V322" s="4" t="s">
        <v>16</v>
      </c>
      <c r="W322" s="43" t="str">
        <f>IF(VLOOKUP(V322,βοηθητικό!$J$2:$N$354,3,FALSE)="","",VLOOKUP(V322,βοηθητικό!$J$2:$N$354,3,FALSE))</f>
        <v>_</v>
      </c>
      <c r="X322" s="44"/>
      <c r="Y322" s="5" t="s">
        <v>16</v>
      </c>
      <c r="Z322" s="46" t="str">
        <f>IF(VLOOKUP(Y322,βοηθητικό!$J$2:$N$354,3,FALSE)="","",VLOOKUP(Y322,βοηθητικό!$J$2:$N$354,3,FALSE))</f>
        <v>_</v>
      </c>
      <c r="AA322" s="47"/>
      <c r="AB322" s="4" t="s">
        <v>16</v>
      </c>
      <c r="AC322" s="43" t="str">
        <f>IF(VLOOKUP(AB322,βοηθητικό!$J$2:$N$354,3,FALSE)="","",VLOOKUP(AB322,βοηθητικό!$J$2:$N$354,3,FALSE))</f>
        <v>_</v>
      </c>
      <c r="AD322" s="44"/>
      <c r="AE322" s="5" t="s">
        <v>16</v>
      </c>
      <c r="AF322" s="46" t="str">
        <f>IF(VLOOKUP(AE322,βοηθητικό!$J$2:$N$354,3,FALSE)="","",VLOOKUP(AE322,βοηθητικό!$J$2:$N$354,3,FALSE))</f>
        <v>_</v>
      </c>
      <c r="AG322" s="47"/>
      <c r="AH322" s="4" t="s">
        <v>16</v>
      </c>
      <c r="AI322" s="43" t="str">
        <f>IF(VLOOKUP(AH322,βοηθητικό!$J$2:$N$354,3,FALSE)="","",VLOOKUP(AH322,βοηθητικό!$J$2:$N$354,3,FALSE))</f>
        <v>_</v>
      </c>
      <c r="AJ322" s="44"/>
      <c r="AK322" s="5" t="s">
        <v>16</v>
      </c>
      <c r="AL322" s="46" t="str">
        <f>IF(VLOOKUP(AK322,βοηθητικό!$J$2:$N$354,3,FALSE)="","",VLOOKUP(AK322,βοηθητικό!$J$2:$N$354,3,FALSE))</f>
        <v>_</v>
      </c>
      <c r="AM322" s="47"/>
      <c r="AN322" s="4" t="s">
        <v>16</v>
      </c>
      <c r="AO322" s="43" t="str">
        <f>IF(VLOOKUP(AN322,βοηθητικό!$J$2:$N$354,3,FALSE)="","",VLOOKUP(AN322,βοηθητικό!$J$2:$N$354,3,FALSE))</f>
        <v>_</v>
      </c>
      <c r="AP322" s="44"/>
      <c r="AQ322" s="5" t="s">
        <v>16</v>
      </c>
      <c r="AR322" s="46" t="str">
        <f>IF(VLOOKUP(AQ322,βοηθητικό!$J$2:$N$354,3,FALSE)="","",VLOOKUP(AQ322,βοηθητικό!$J$2:$N$354,3,FALSE))</f>
        <v>_</v>
      </c>
      <c r="AS322" s="47"/>
      <c r="AT322" s="4" t="s">
        <v>16</v>
      </c>
      <c r="AU322" s="43" t="str">
        <f>IF(VLOOKUP(AT322,βοηθητικό!$J$2:$N$354,3,FALSE)="","",VLOOKUP(AT322,βοηθητικό!$J$2:$N$354,3,FALSE))</f>
        <v>_</v>
      </c>
      <c r="AV322" s="44"/>
      <c r="AW322" s="5" t="s">
        <v>16</v>
      </c>
      <c r="AX322" s="46" t="str">
        <f>IF(VLOOKUP(AW322,βοηθητικό!$J$2:$N$354,3,FALSE)="","",VLOOKUP(AW322,βοηθητικό!$J$2:$N$354,3,FALSE))</f>
        <v>_</v>
      </c>
      <c r="AY322" s="47"/>
      <c r="AZ322" s="4" t="s">
        <v>16</v>
      </c>
      <c r="BA322" s="43" t="str">
        <f>IF(VLOOKUP(AZ322,βοηθητικό!$J$2:$N$354,3,FALSE)="","",VLOOKUP(AZ322,βοηθητικό!$J$2:$N$354,3,FALSE))</f>
        <v>_</v>
      </c>
      <c r="BB322" s="44"/>
      <c r="BC322" s="45" t="s">
        <v>16</v>
      </c>
      <c r="BD322" s="46" t="str">
        <f>IF(VLOOKUP(BC322,βοηθητικό!$J$2:$N$354,3,FALSE)="","",VLOOKUP(BC322,βοηθητικό!$J$2:$N$354,3,FALSE))</f>
        <v>_</v>
      </c>
      <c r="BE322" s="47"/>
      <c r="BF322" s="42" t="s">
        <v>16</v>
      </c>
      <c r="BG322" s="43" t="str">
        <f>IF(VLOOKUP(BF322,βοηθητικό!$J$2:$N$354,3,FALSE)="","",VLOOKUP(BF322,βοηθητικό!$J$2:$N$354,3,FALSE))</f>
        <v>_</v>
      </c>
      <c r="BH322" s="44"/>
      <c r="BI322" s="45" t="s">
        <v>16</v>
      </c>
      <c r="BJ322" s="46" t="str">
        <f>IF(VLOOKUP(BI322,βοηθητικό!$J$2:$N$354,3,FALSE)="","",VLOOKUP(BI322,βοηθητικό!$J$2:$N$354,3,FALSE))</f>
        <v>_</v>
      </c>
      <c r="BK322" s="47"/>
      <c r="BL322" s="42" t="s">
        <v>16</v>
      </c>
      <c r="BM322" s="43" t="str">
        <f>IF(VLOOKUP(BL322,βοηθητικό!$J$2:$N$354,3,FALSE)="","",VLOOKUP(BL322,βοηθητικό!$J$2:$N$354,3,FALSE))</f>
        <v>_</v>
      </c>
      <c r="BN322" s="44"/>
      <c r="BO322" s="45" t="s">
        <v>16</v>
      </c>
      <c r="BP322" s="46" t="str">
        <f>IF(VLOOKUP(BO322,βοηθητικό!$J$2:$N$354,3,FALSE)="","",VLOOKUP(BO322,βοηθητικό!$J$2:$N$354,3,FALSE))</f>
        <v>_</v>
      </c>
      <c r="BQ322" s="47"/>
      <c r="BR322" s="42" t="s">
        <v>16</v>
      </c>
      <c r="BS322" s="43" t="str">
        <f>IF(VLOOKUP(BR322,βοηθητικό!$J$2:$N$354,3,FALSE)="","",VLOOKUP(BR322,βοηθητικό!$J$2:$N$354,3,FALSE))</f>
        <v>_</v>
      </c>
      <c r="BT322" s="44"/>
      <c r="BU322" s="45" t="s">
        <v>16</v>
      </c>
      <c r="BV322" s="46" t="str">
        <f>IF(VLOOKUP(BU322,βοηθητικό!$J$2:$N$354,3,FALSE)="","",VLOOKUP(BU322,βοηθητικό!$J$2:$N$354,3,FALSE))</f>
        <v>_</v>
      </c>
      <c r="BW322" s="47"/>
      <c r="BX322" s="42" t="s">
        <v>16</v>
      </c>
      <c r="BY322" s="43" t="str">
        <f>IF(VLOOKUP(BX322,βοηθητικό!$J$2:$N$354,3,FALSE)="","",VLOOKUP(BX322,βοηθητικό!$J$2:$N$354,3,FALSE))</f>
        <v>_</v>
      </c>
      <c r="BZ322" s="44"/>
      <c r="CA322" s="45" t="s">
        <v>16</v>
      </c>
      <c r="CB322" s="46" t="str">
        <f>IF(VLOOKUP(CA322,βοηθητικό!$J$2:$N$354,3,FALSE)="","",VLOOKUP(CA322,βοηθητικό!$J$2:$N$354,3,FALSE))</f>
        <v>_</v>
      </c>
      <c r="CC322" s="47"/>
      <c r="CD322" s="42" t="s">
        <v>16</v>
      </c>
      <c r="CE322" s="43" t="str">
        <f>IF(VLOOKUP(CD322,βοηθητικό!$J$2:$N$354,3,FALSE)="","",VLOOKUP(CD322,βοηθητικό!$J$2:$N$354,3,FALSE))</f>
        <v>_</v>
      </c>
      <c r="CF322" s="44"/>
      <c r="CG322" s="45" t="s">
        <v>16</v>
      </c>
      <c r="CH322" s="46" t="str">
        <f>IF(VLOOKUP(CG322,βοηθητικό!$J$2:$N$354,3,FALSE)="","",VLOOKUP(CG322,βοηθητικό!$J$2:$N$354,3,FALSE))</f>
        <v>_</v>
      </c>
      <c r="CI322" s="47"/>
      <c r="CJ322" s="42" t="s">
        <v>16</v>
      </c>
      <c r="CK322" s="43" t="str">
        <f>IF(VLOOKUP(CJ322,βοηθητικό!$J$2:$N$354,3,FALSE)="","",VLOOKUP(CJ322,βοηθητικό!$J$2:$N$354,3,FALSE))</f>
        <v>_</v>
      </c>
      <c r="CL322" s="44"/>
      <c r="CM322" s="45" t="s">
        <v>16</v>
      </c>
      <c r="CN322" s="46" t="str">
        <f>IF(VLOOKUP(CM322,βοηθητικό!$J$2:$N$354,3,FALSE)="","",VLOOKUP(CM322,βοηθητικό!$J$2:$N$354,3,FALSE))</f>
        <v>_</v>
      </c>
      <c r="CO322" s="47"/>
      <c r="CP322" s="42" t="s">
        <v>16</v>
      </c>
      <c r="CQ322" s="43" t="str">
        <f>IF(VLOOKUP(CP322,βοηθητικό!$J$2:$N$354,3,FALSE)="","",VLOOKUP(CP322,βοηθητικό!$J$2:$N$354,3,FALSE))</f>
        <v>_</v>
      </c>
      <c r="CR322" s="44"/>
      <c r="CS322" s="45" t="s">
        <v>16</v>
      </c>
      <c r="CT322" s="46" t="str">
        <f>IF(VLOOKUP(CS322,βοηθητικό!$J$2:$N$354,3,FALSE)="","",VLOOKUP(CS322,βοηθητικό!$J$2:$N$354,3,FALSE))</f>
        <v>_</v>
      </c>
      <c r="CU322" s="47"/>
    </row>
    <row r="323" spans="1:99" x14ac:dyDescent="0.25">
      <c r="A323" s="37">
        <f>--SUBTOTAL(3,$B$3:B322)</f>
        <v>198</v>
      </c>
      <c r="B323" s="2"/>
      <c r="C323" s="3"/>
      <c r="D323" s="55" t="s">
        <v>18</v>
      </c>
      <c r="E323" s="38" t="s">
        <v>16</v>
      </c>
      <c r="F323" s="38" t="s">
        <v>16</v>
      </c>
      <c r="G323" s="39" t="str">
        <f t="shared" si="14"/>
        <v>__</v>
      </c>
      <c r="H323" s="40" t="str">
        <f t="shared" si="15"/>
        <v>FALSE</v>
      </c>
      <c r="I323" s="41">
        <f t="shared" si="16"/>
        <v>0</v>
      </c>
      <c r="J323" s="4" t="s">
        <v>16</v>
      </c>
      <c r="K323" s="43" t="str">
        <f>IF(VLOOKUP(J323,βοηθητικό!$J$2:$N$354,3,FALSE)="","",VLOOKUP(J323,βοηθητικό!$J$2:$N$354,3,FALSE))</f>
        <v>_</v>
      </c>
      <c r="L323" s="44"/>
      <c r="M323" s="5" t="s">
        <v>16</v>
      </c>
      <c r="N323" s="46" t="str">
        <f>IF(VLOOKUP(M323,βοηθητικό!$J$2:$N$354,3,FALSE)="","",VLOOKUP(M323,βοηθητικό!$J$2:$N$354,3,FALSE))</f>
        <v>_</v>
      </c>
      <c r="O323" s="47"/>
      <c r="P323" s="4" t="s">
        <v>16</v>
      </c>
      <c r="Q323" s="43" t="str">
        <f>IF(VLOOKUP(P323,βοηθητικό!$J$2:$N$354,3,FALSE)="","",VLOOKUP(P323,βοηθητικό!$J$2:$N$354,3,FALSE))</f>
        <v>_</v>
      </c>
      <c r="R323" s="44"/>
      <c r="S323" s="5" t="s">
        <v>16</v>
      </c>
      <c r="T323" s="46" t="str">
        <f>IF(VLOOKUP(S323,βοηθητικό!$J$2:$N$354,3,FALSE)="","",VLOOKUP(S323,βοηθητικό!$J$2:$N$354,3,FALSE))</f>
        <v>_</v>
      </c>
      <c r="U323" s="47"/>
      <c r="V323" s="4" t="s">
        <v>16</v>
      </c>
      <c r="W323" s="43" t="str">
        <f>IF(VLOOKUP(V323,βοηθητικό!$J$2:$N$354,3,FALSE)="","",VLOOKUP(V323,βοηθητικό!$J$2:$N$354,3,FALSE))</f>
        <v>_</v>
      </c>
      <c r="X323" s="44"/>
      <c r="Y323" s="5" t="s">
        <v>16</v>
      </c>
      <c r="Z323" s="46" t="str">
        <f>IF(VLOOKUP(Y323,βοηθητικό!$J$2:$N$354,3,FALSE)="","",VLOOKUP(Y323,βοηθητικό!$J$2:$N$354,3,FALSE))</f>
        <v>_</v>
      </c>
      <c r="AA323" s="47"/>
      <c r="AB323" s="4" t="s">
        <v>16</v>
      </c>
      <c r="AC323" s="43" t="str">
        <f>IF(VLOOKUP(AB323,βοηθητικό!$J$2:$N$354,3,FALSE)="","",VLOOKUP(AB323,βοηθητικό!$J$2:$N$354,3,FALSE))</f>
        <v>_</v>
      </c>
      <c r="AD323" s="44"/>
      <c r="AE323" s="5" t="s">
        <v>16</v>
      </c>
      <c r="AF323" s="46" t="str">
        <f>IF(VLOOKUP(AE323,βοηθητικό!$J$2:$N$354,3,FALSE)="","",VLOOKUP(AE323,βοηθητικό!$J$2:$N$354,3,FALSE))</f>
        <v>_</v>
      </c>
      <c r="AG323" s="47"/>
      <c r="AH323" s="4" t="s">
        <v>16</v>
      </c>
      <c r="AI323" s="43" t="str">
        <f>IF(VLOOKUP(AH323,βοηθητικό!$J$2:$N$354,3,FALSE)="","",VLOOKUP(AH323,βοηθητικό!$J$2:$N$354,3,FALSE))</f>
        <v>_</v>
      </c>
      <c r="AJ323" s="44"/>
      <c r="AK323" s="5" t="s">
        <v>16</v>
      </c>
      <c r="AL323" s="46" t="str">
        <f>IF(VLOOKUP(AK323,βοηθητικό!$J$2:$N$354,3,FALSE)="","",VLOOKUP(AK323,βοηθητικό!$J$2:$N$354,3,FALSE))</f>
        <v>_</v>
      </c>
      <c r="AM323" s="47"/>
      <c r="AN323" s="4" t="s">
        <v>16</v>
      </c>
      <c r="AO323" s="43" t="str">
        <f>IF(VLOOKUP(AN323,βοηθητικό!$J$2:$N$354,3,FALSE)="","",VLOOKUP(AN323,βοηθητικό!$J$2:$N$354,3,FALSE))</f>
        <v>_</v>
      </c>
      <c r="AP323" s="44"/>
      <c r="AQ323" s="5" t="s">
        <v>16</v>
      </c>
      <c r="AR323" s="46" t="str">
        <f>IF(VLOOKUP(AQ323,βοηθητικό!$J$2:$N$354,3,FALSE)="","",VLOOKUP(AQ323,βοηθητικό!$J$2:$N$354,3,FALSE))</f>
        <v>_</v>
      </c>
      <c r="AS323" s="47"/>
      <c r="AT323" s="4" t="s">
        <v>16</v>
      </c>
      <c r="AU323" s="43" t="str">
        <f>IF(VLOOKUP(AT323,βοηθητικό!$J$2:$N$354,3,FALSE)="","",VLOOKUP(AT323,βοηθητικό!$J$2:$N$354,3,FALSE))</f>
        <v>_</v>
      </c>
      <c r="AV323" s="44"/>
      <c r="AW323" s="5" t="s">
        <v>16</v>
      </c>
      <c r="AX323" s="46" t="str">
        <f>IF(VLOOKUP(AW323,βοηθητικό!$J$2:$N$354,3,FALSE)="","",VLOOKUP(AW323,βοηθητικό!$J$2:$N$354,3,FALSE))</f>
        <v>_</v>
      </c>
      <c r="AY323" s="47"/>
      <c r="AZ323" s="4" t="s">
        <v>16</v>
      </c>
      <c r="BA323" s="43" t="str">
        <f>IF(VLOOKUP(AZ323,βοηθητικό!$J$2:$N$354,3,FALSE)="","",VLOOKUP(AZ323,βοηθητικό!$J$2:$N$354,3,FALSE))</f>
        <v>_</v>
      </c>
      <c r="BB323" s="44"/>
      <c r="BC323" s="45" t="s">
        <v>16</v>
      </c>
      <c r="BD323" s="46" t="str">
        <f>IF(VLOOKUP(BC323,βοηθητικό!$J$2:$N$354,3,FALSE)="","",VLOOKUP(BC323,βοηθητικό!$J$2:$N$354,3,FALSE))</f>
        <v>_</v>
      </c>
      <c r="BE323" s="47"/>
      <c r="BF323" s="42" t="s">
        <v>16</v>
      </c>
      <c r="BG323" s="43" t="str">
        <f>IF(VLOOKUP(BF323,βοηθητικό!$J$2:$N$354,3,FALSE)="","",VLOOKUP(BF323,βοηθητικό!$J$2:$N$354,3,FALSE))</f>
        <v>_</v>
      </c>
      <c r="BH323" s="44"/>
      <c r="BI323" s="45" t="s">
        <v>16</v>
      </c>
      <c r="BJ323" s="46" t="str">
        <f>IF(VLOOKUP(BI323,βοηθητικό!$J$2:$N$354,3,FALSE)="","",VLOOKUP(BI323,βοηθητικό!$J$2:$N$354,3,FALSE))</f>
        <v>_</v>
      </c>
      <c r="BK323" s="47"/>
      <c r="BL323" s="42" t="s">
        <v>16</v>
      </c>
      <c r="BM323" s="43" t="str">
        <f>IF(VLOOKUP(BL323,βοηθητικό!$J$2:$N$354,3,FALSE)="","",VLOOKUP(BL323,βοηθητικό!$J$2:$N$354,3,FALSE))</f>
        <v>_</v>
      </c>
      <c r="BN323" s="44"/>
      <c r="BO323" s="45" t="s">
        <v>16</v>
      </c>
      <c r="BP323" s="46" t="str">
        <f>IF(VLOOKUP(BO323,βοηθητικό!$J$2:$N$354,3,FALSE)="","",VLOOKUP(BO323,βοηθητικό!$J$2:$N$354,3,FALSE))</f>
        <v>_</v>
      </c>
      <c r="BQ323" s="47"/>
      <c r="BR323" s="42" t="s">
        <v>16</v>
      </c>
      <c r="BS323" s="43" t="str">
        <f>IF(VLOOKUP(BR323,βοηθητικό!$J$2:$N$354,3,FALSE)="","",VLOOKUP(BR323,βοηθητικό!$J$2:$N$354,3,FALSE))</f>
        <v>_</v>
      </c>
      <c r="BT323" s="44"/>
      <c r="BU323" s="45" t="s">
        <v>16</v>
      </c>
      <c r="BV323" s="46" t="str">
        <f>IF(VLOOKUP(BU323,βοηθητικό!$J$2:$N$354,3,FALSE)="","",VLOOKUP(BU323,βοηθητικό!$J$2:$N$354,3,FALSE))</f>
        <v>_</v>
      </c>
      <c r="BW323" s="47"/>
      <c r="BX323" s="42" t="s">
        <v>16</v>
      </c>
      <c r="BY323" s="43" t="str">
        <f>IF(VLOOKUP(BX323,βοηθητικό!$J$2:$N$354,3,FALSE)="","",VLOOKUP(BX323,βοηθητικό!$J$2:$N$354,3,FALSE))</f>
        <v>_</v>
      </c>
      <c r="BZ323" s="44"/>
      <c r="CA323" s="45" t="s">
        <v>16</v>
      </c>
      <c r="CB323" s="46" t="str">
        <f>IF(VLOOKUP(CA323,βοηθητικό!$J$2:$N$354,3,FALSE)="","",VLOOKUP(CA323,βοηθητικό!$J$2:$N$354,3,FALSE))</f>
        <v>_</v>
      </c>
      <c r="CC323" s="47"/>
      <c r="CD323" s="42" t="s">
        <v>16</v>
      </c>
      <c r="CE323" s="43" t="str">
        <f>IF(VLOOKUP(CD323,βοηθητικό!$J$2:$N$354,3,FALSE)="","",VLOOKUP(CD323,βοηθητικό!$J$2:$N$354,3,FALSE))</f>
        <v>_</v>
      </c>
      <c r="CF323" s="44"/>
      <c r="CG323" s="45" t="s">
        <v>16</v>
      </c>
      <c r="CH323" s="46" t="str">
        <f>IF(VLOOKUP(CG323,βοηθητικό!$J$2:$N$354,3,FALSE)="","",VLOOKUP(CG323,βοηθητικό!$J$2:$N$354,3,FALSE))</f>
        <v>_</v>
      </c>
      <c r="CI323" s="47"/>
      <c r="CJ323" s="42" t="s">
        <v>16</v>
      </c>
      <c r="CK323" s="43" t="str">
        <f>IF(VLOOKUP(CJ323,βοηθητικό!$J$2:$N$354,3,FALSE)="","",VLOOKUP(CJ323,βοηθητικό!$J$2:$N$354,3,FALSE))</f>
        <v>_</v>
      </c>
      <c r="CL323" s="44"/>
      <c r="CM323" s="45" t="s">
        <v>16</v>
      </c>
      <c r="CN323" s="46" t="str">
        <f>IF(VLOOKUP(CM323,βοηθητικό!$J$2:$N$354,3,FALSE)="","",VLOOKUP(CM323,βοηθητικό!$J$2:$N$354,3,FALSE))</f>
        <v>_</v>
      </c>
      <c r="CO323" s="47"/>
      <c r="CP323" s="42" t="s">
        <v>16</v>
      </c>
      <c r="CQ323" s="43" t="str">
        <f>IF(VLOOKUP(CP323,βοηθητικό!$J$2:$N$354,3,FALSE)="","",VLOOKUP(CP323,βοηθητικό!$J$2:$N$354,3,FALSE))</f>
        <v>_</v>
      </c>
      <c r="CR323" s="44"/>
      <c r="CS323" s="45" t="s">
        <v>16</v>
      </c>
      <c r="CT323" s="46" t="str">
        <f>IF(VLOOKUP(CS323,βοηθητικό!$J$2:$N$354,3,FALSE)="","",VLOOKUP(CS323,βοηθητικό!$J$2:$N$354,3,FALSE))</f>
        <v>_</v>
      </c>
      <c r="CU323" s="47"/>
    </row>
    <row r="324" spans="1:99" x14ac:dyDescent="0.25">
      <c r="A324" s="37">
        <f>--SUBTOTAL(3,$B$3:B323)</f>
        <v>198</v>
      </c>
      <c r="B324" s="2"/>
      <c r="C324" s="3"/>
      <c r="D324" s="55" t="s">
        <v>18</v>
      </c>
      <c r="E324" s="38" t="s">
        <v>16</v>
      </c>
      <c r="F324" s="38" t="s">
        <v>16</v>
      </c>
      <c r="G324" s="39" t="str">
        <f t="shared" ref="G324:G387" si="17">IF(OR(C324="_",E324="_"),"__",CONCATENATE(C324,E324))</f>
        <v>__</v>
      </c>
      <c r="H324" s="40" t="str">
        <f t="shared" ref="H324:H387" si="18">IF(G324="__","FALSE",COUNTIF(G:G,G324)&gt;1)</f>
        <v>FALSE</v>
      </c>
      <c r="I324" s="41">
        <f t="shared" ref="I324:I387" si="19">SUMPRODUCT((J324:CU324&lt;&gt;"_")*(MOD(COLUMN(J324:CU324)-COLUMN(J324),3)=0))</f>
        <v>0</v>
      </c>
      <c r="J324" s="4" t="s">
        <v>16</v>
      </c>
      <c r="K324" s="43" t="str">
        <f>IF(VLOOKUP(J324,βοηθητικό!$J$2:$N$354,3,FALSE)="","",VLOOKUP(J324,βοηθητικό!$J$2:$N$354,3,FALSE))</f>
        <v>_</v>
      </c>
      <c r="L324" s="44"/>
      <c r="M324" s="5" t="s">
        <v>16</v>
      </c>
      <c r="N324" s="46" t="str">
        <f>IF(VLOOKUP(M324,βοηθητικό!$J$2:$N$354,3,FALSE)="","",VLOOKUP(M324,βοηθητικό!$J$2:$N$354,3,FALSE))</f>
        <v>_</v>
      </c>
      <c r="O324" s="47"/>
      <c r="P324" s="4" t="s">
        <v>16</v>
      </c>
      <c r="Q324" s="43" t="str">
        <f>IF(VLOOKUP(P324,βοηθητικό!$J$2:$N$354,3,FALSE)="","",VLOOKUP(P324,βοηθητικό!$J$2:$N$354,3,FALSE))</f>
        <v>_</v>
      </c>
      <c r="R324" s="44"/>
      <c r="S324" s="5" t="s">
        <v>16</v>
      </c>
      <c r="T324" s="46" t="str">
        <f>IF(VLOOKUP(S324,βοηθητικό!$J$2:$N$354,3,FALSE)="","",VLOOKUP(S324,βοηθητικό!$J$2:$N$354,3,FALSE))</f>
        <v>_</v>
      </c>
      <c r="U324" s="47"/>
      <c r="V324" s="4" t="s">
        <v>16</v>
      </c>
      <c r="W324" s="43" t="str">
        <f>IF(VLOOKUP(V324,βοηθητικό!$J$2:$N$354,3,FALSE)="","",VLOOKUP(V324,βοηθητικό!$J$2:$N$354,3,FALSE))</f>
        <v>_</v>
      </c>
      <c r="X324" s="44"/>
      <c r="Y324" s="5" t="s">
        <v>16</v>
      </c>
      <c r="Z324" s="46" t="str">
        <f>IF(VLOOKUP(Y324,βοηθητικό!$J$2:$N$354,3,FALSE)="","",VLOOKUP(Y324,βοηθητικό!$J$2:$N$354,3,FALSE))</f>
        <v>_</v>
      </c>
      <c r="AA324" s="47"/>
      <c r="AB324" s="4" t="s">
        <v>16</v>
      </c>
      <c r="AC324" s="43" t="str">
        <f>IF(VLOOKUP(AB324,βοηθητικό!$J$2:$N$354,3,FALSE)="","",VLOOKUP(AB324,βοηθητικό!$J$2:$N$354,3,FALSE))</f>
        <v>_</v>
      </c>
      <c r="AD324" s="44"/>
      <c r="AE324" s="5" t="s">
        <v>16</v>
      </c>
      <c r="AF324" s="46" t="str">
        <f>IF(VLOOKUP(AE324,βοηθητικό!$J$2:$N$354,3,FALSE)="","",VLOOKUP(AE324,βοηθητικό!$J$2:$N$354,3,FALSE))</f>
        <v>_</v>
      </c>
      <c r="AG324" s="47"/>
      <c r="AH324" s="4" t="s">
        <v>16</v>
      </c>
      <c r="AI324" s="43" t="str">
        <f>IF(VLOOKUP(AH324,βοηθητικό!$J$2:$N$354,3,FALSE)="","",VLOOKUP(AH324,βοηθητικό!$J$2:$N$354,3,FALSE))</f>
        <v>_</v>
      </c>
      <c r="AJ324" s="44"/>
      <c r="AK324" s="5" t="s">
        <v>16</v>
      </c>
      <c r="AL324" s="46" t="str">
        <f>IF(VLOOKUP(AK324,βοηθητικό!$J$2:$N$354,3,FALSE)="","",VLOOKUP(AK324,βοηθητικό!$J$2:$N$354,3,FALSE))</f>
        <v>_</v>
      </c>
      <c r="AM324" s="47"/>
      <c r="AN324" s="4" t="s">
        <v>16</v>
      </c>
      <c r="AO324" s="43" t="str">
        <f>IF(VLOOKUP(AN324,βοηθητικό!$J$2:$N$354,3,FALSE)="","",VLOOKUP(AN324,βοηθητικό!$J$2:$N$354,3,FALSE))</f>
        <v>_</v>
      </c>
      <c r="AP324" s="44"/>
      <c r="AQ324" s="5" t="s">
        <v>16</v>
      </c>
      <c r="AR324" s="46" t="str">
        <f>IF(VLOOKUP(AQ324,βοηθητικό!$J$2:$N$354,3,FALSE)="","",VLOOKUP(AQ324,βοηθητικό!$J$2:$N$354,3,FALSE))</f>
        <v>_</v>
      </c>
      <c r="AS324" s="47"/>
      <c r="AT324" s="4" t="s">
        <v>16</v>
      </c>
      <c r="AU324" s="43" t="str">
        <f>IF(VLOOKUP(AT324,βοηθητικό!$J$2:$N$354,3,FALSE)="","",VLOOKUP(AT324,βοηθητικό!$J$2:$N$354,3,FALSE))</f>
        <v>_</v>
      </c>
      <c r="AV324" s="44"/>
      <c r="AW324" s="5" t="s">
        <v>16</v>
      </c>
      <c r="AX324" s="46" t="str">
        <f>IF(VLOOKUP(AW324,βοηθητικό!$J$2:$N$354,3,FALSE)="","",VLOOKUP(AW324,βοηθητικό!$J$2:$N$354,3,FALSE))</f>
        <v>_</v>
      </c>
      <c r="AY324" s="47"/>
      <c r="AZ324" s="4" t="s">
        <v>16</v>
      </c>
      <c r="BA324" s="43" t="str">
        <f>IF(VLOOKUP(AZ324,βοηθητικό!$J$2:$N$354,3,FALSE)="","",VLOOKUP(AZ324,βοηθητικό!$J$2:$N$354,3,FALSE))</f>
        <v>_</v>
      </c>
      <c r="BB324" s="44"/>
      <c r="BC324" s="45" t="s">
        <v>16</v>
      </c>
      <c r="BD324" s="46" t="str">
        <f>IF(VLOOKUP(BC324,βοηθητικό!$J$2:$N$354,3,FALSE)="","",VLOOKUP(BC324,βοηθητικό!$J$2:$N$354,3,FALSE))</f>
        <v>_</v>
      </c>
      <c r="BE324" s="47"/>
      <c r="BF324" s="42" t="s">
        <v>16</v>
      </c>
      <c r="BG324" s="43" t="str">
        <f>IF(VLOOKUP(BF324,βοηθητικό!$J$2:$N$354,3,FALSE)="","",VLOOKUP(BF324,βοηθητικό!$J$2:$N$354,3,FALSE))</f>
        <v>_</v>
      </c>
      <c r="BH324" s="44"/>
      <c r="BI324" s="45" t="s">
        <v>16</v>
      </c>
      <c r="BJ324" s="46" t="str">
        <f>IF(VLOOKUP(BI324,βοηθητικό!$J$2:$N$354,3,FALSE)="","",VLOOKUP(BI324,βοηθητικό!$J$2:$N$354,3,FALSE))</f>
        <v>_</v>
      </c>
      <c r="BK324" s="47"/>
      <c r="BL324" s="42" t="s">
        <v>16</v>
      </c>
      <c r="BM324" s="43" t="str">
        <f>IF(VLOOKUP(BL324,βοηθητικό!$J$2:$N$354,3,FALSE)="","",VLOOKUP(BL324,βοηθητικό!$J$2:$N$354,3,FALSE))</f>
        <v>_</v>
      </c>
      <c r="BN324" s="44"/>
      <c r="BO324" s="45" t="s">
        <v>16</v>
      </c>
      <c r="BP324" s="46" t="str">
        <f>IF(VLOOKUP(BO324,βοηθητικό!$J$2:$N$354,3,FALSE)="","",VLOOKUP(BO324,βοηθητικό!$J$2:$N$354,3,FALSE))</f>
        <v>_</v>
      </c>
      <c r="BQ324" s="47"/>
      <c r="BR324" s="42" t="s">
        <v>16</v>
      </c>
      <c r="BS324" s="43" t="str">
        <f>IF(VLOOKUP(BR324,βοηθητικό!$J$2:$N$354,3,FALSE)="","",VLOOKUP(BR324,βοηθητικό!$J$2:$N$354,3,FALSE))</f>
        <v>_</v>
      </c>
      <c r="BT324" s="44"/>
      <c r="BU324" s="45" t="s">
        <v>16</v>
      </c>
      <c r="BV324" s="46" t="str">
        <f>IF(VLOOKUP(BU324,βοηθητικό!$J$2:$N$354,3,FALSE)="","",VLOOKUP(BU324,βοηθητικό!$J$2:$N$354,3,FALSE))</f>
        <v>_</v>
      </c>
      <c r="BW324" s="47"/>
      <c r="BX324" s="42" t="s">
        <v>16</v>
      </c>
      <c r="BY324" s="43" t="str">
        <f>IF(VLOOKUP(BX324,βοηθητικό!$J$2:$N$354,3,FALSE)="","",VLOOKUP(BX324,βοηθητικό!$J$2:$N$354,3,FALSE))</f>
        <v>_</v>
      </c>
      <c r="BZ324" s="44"/>
      <c r="CA324" s="45" t="s">
        <v>16</v>
      </c>
      <c r="CB324" s="46" t="str">
        <f>IF(VLOOKUP(CA324,βοηθητικό!$J$2:$N$354,3,FALSE)="","",VLOOKUP(CA324,βοηθητικό!$J$2:$N$354,3,FALSE))</f>
        <v>_</v>
      </c>
      <c r="CC324" s="47"/>
      <c r="CD324" s="42" t="s">
        <v>16</v>
      </c>
      <c r="CE324" s="43" t="str">
        <f>IF(VLOOKUP(CD324,βοηθητικό!$J$2:$N$354,3,FALSE)="","",VLOOKUP(CD324,βοηθητικό!$J$2:$N$354,3,FALSE))</f>
        <v>_</v>
      </c>
      <c r="CF324" s="44"/>
      <c r="CG324" s="45" t="s">
        <v>16</v>
      </c>
      <c r="CH324" s="46" t="str">
        <f>IF(VLOOKUP(CG324,βοηθητικό!$J$2:$N$354,3,FALSE)="","",VLOOKUP(CG324,βοηθητικό!$J$2:$N$354,3,FALSE))</f>
        <v>_</v>
      </c>
      <c r="CI324" s="47"/>
      <c r="CJ324" s="42" t="s">
        <v>16</v>
      </c>
      <c r="CK324" s="43" t="str">
        <f>IF(VLOOKUP(CJ324,βοηθητικό!$J$2:$N$354,3,FALSE)="","",VLOOKUP(CJ324,βοηθητικό!$J$2:$N$354,3,FALSE))</f>
        <v>_</v>
      </c>
      <c r="CL324" s="44"/>
      <c r="CM324" s="45" t="s">
        <v>16</v>
      </c>
      <c r="CN324" s="46" t="str">
        <f>IF(VLOOKUP(CM324,βοηθητικό!$J$2:$N$354,3,FALSE)="","",VLOOKUP(CM324,βοηθητικό!$J$2:$N$354,3,FALSE))</f>
        <v>_</v>
      </c>
      <c r="CO324" s="47"/>
      <c r="CP324" s="42" t="s">
        <v>16</v>
      </c>
      <c r="CQ324" s="43" t="str">
        <f>IF(VLOOKUP(CP324,βοηθητικό!$J$2:$N$354,3,FALSE)="","",VLOOKUP(CP324,βοηθητικό!$J$2:$N$354,3,FALSE))</f>
        <v>_</v>
      </c>
      <c r="CR324" s="44"/>
      <c r="CS324" s="45" t="s">
        <v>16</v>
      </c>
      <c r="CT324" s="46" t="str">
        <f>IF(VLOOKUP(CS324,βοηθητικό!$J$2:$N$354,3,FALSE)="","",VLOOKUP(CS324,βοηθητικό!$J$2:$N$354,3,FALSE))</f>
        <v>_</v>
      </c>
      <c r="CU324" s="47"/>
    </row>
    <row r="325" spans="1:99" x14ac:dyDescent="0.25">
      <c r="A325" s="37">
        <f>--SUBTOTAL(3,$B$3:B324)</f>
        <v>198</v>
      </c>
      <c r="B325" s="2"/>
      <c r="C325" s="3"/>
      <c r="D325" s="55" t="s">
        <v>18</v>
      </c>
      <c r="E325" s="38" t="s">
        <v>16</v>
      </c>
      <c r="F325" s="38" t="s">
        <v>16</v>
      </c>
      <c r="G325" s="39" t="str">
        <f t="shared" si="17"/>
        <v>__</v>
      </c>
      <c r="H325" s="40" t="str">
        <f t="shared" si="18"/>
        <v>FALSE</v>
      </c>
      <c r="I325" s="41">
        <f t="shared" si="19"/>
        <v>0</v>
      </c>
      <c r="J325" s="4" t="s">
        <v>16</v>
      </c>
      <c r="K325" s="43" t="str">
        <f>IF(VLOOKUP(J325,βοηθητικό!$J$2:$N$354,3,FALSE)="","",VLOOKUP(J325,βοηθητικό!$J$2:$N$354,3,FALSE))</f>
        <v>_</v>
      </c>
      <c r="L325" s="44"/>
      <c r="M325" s="5" t="s">
        <v>16</v>
      </c>
      <c r="N325" s="46" t="str">
        <f>IF(VLOOKUP(M325,βοηθητικό!$J$2:$N$354,3,FALSE)="","",VLOOKUP(M325,βοηθητικό!$J$2:$N$354,3,FALSE))</f>
        <v>_</v>
      </c>
      <c r="O325" s="47"/>
      <c r="P325" s="4" t="s">
        <v>16</v>
      </c>
      <c r="Q325" s="43" t="str">
        <f>IF(VLOOKUP(P325,βοηθητικό!$J$2:$N$354,3,FALSE)="","",VLOOKUP(P325,βοηθητικό!$J$2:$N$354,3,FALSE))</f>
        <v>_</v>
      </c>
      <c r="R325" s="44"/>
      <c r="S325" s="5" t="s">
        <v>16</v>
      </c>
      <c r="T325" s="46" t="str">
        <f>IF(VLOOKUP(S325,βοηθητικό!$J$2:$N$354,3,FALSE)="","",VLOOKUP(S325,βοηθητικό!$J$2:$N$354,3,FALSE))</f>
        <v>_</v>
      </c>
      <c r="U325" s="47"/>
      <c r="V325" s="4" t="s">
        <v>16</v>
      </c>
      <c r="W325" s="43" t="str">
        <f>IF(VLOOKUP(V325,βοηθητικό!$J$2:$N$354,3,FALSE)="","",VLOOKUP(V325,βοηθητικό!$J$2:$N$354,3,FALSE))</f>
        <v>_</v>
      </c>
      <c r="X325" s="44"/>
      <c r="Y325" s="5" t="s">
        <v>16</v>
      </c>
      <c r="Z325" s="46" t="str">
        <f>IF(VLOOKUP(Y325,βοηθητικό!$J$2:$N$354,3,FALSE)="","",VLOOKUP(Y325,βοηθητικό!$J$2:$N$354,3,FALSE))</f>
        <v>_</v>
      </c>
      <c r="AA325" s="47"/>
      <c r="AB325" s="4" t="s">
        <v>16</v>
      </c>
      <c r="AC325" s="43" t="str">
        <f>IF(VLOOKUP(AB325,βοηθητικό!$J$2:$N$354,3,FALSE)="","",VLOOKUP(AB325,βοηθητικό!$J$2:$N$354,3,FALSE))</f>
        <v>_</v>
      </c>
      <c r="AD325" s="44"/>
      <c r="AE325" s="5" t="s">
        <v>16</v>
      </c>
      <c r="AF325" s="46" t="str">
        <f>IF(VLOOKUP(AE325,βοηθητικό!$J$2:$N$354,3,FALSE)="","",VLOOKUP(AE325,βοηθητικό!$J$2:$N$354,3,FALSE))</f>
        <v>_</v>
      </c>
      <c r="AG325" s="47"/>
      <c r="AH325" s="4" t="s">
        <v>16</v>
      </c>
      <c r="AI325" s="43" t="str">
        <f>IF(VLOOKUP(AH325,βοηθητικό!$J$2:$N$354,3,FALSE)="","",VLOOKUP(AH325,βοηθητικό!$J$2:$N$354,3,FALSE))</f>
        <v>_</v>
      </c>
      <c r="AJ325" s="44"/>
      <c r="AK325" s="5" t="s">
        <v>16</v>
      </c>
      <c r="AL325" s="46" t="str">
        <f>IF(VLOOKUP(AK325,βοηθητικό!$J$2:$N$354,3,FALSE)="","",VLOOKUP(AK325,βοηθητικό!$J$2:$N$354,3,FALSE))</f>
        <v>_</v>
      </c>
      <c r="AM325" s="47"/>
      <c r="AN325" s="4" t="s">
        <v>16</v>
      </c>
      <c r="AO325" s="43" t="str">
        <f>IF(VLOOKUP(AN325,βοηθητικό!$J$2:$N$354,3,FALSE)="","",VLOOKUP(AN325,βοηθητικό!$J$2:$N$354,3,FALSE))</f>
        <v>_</v>
      </c>
      <c r="AP325" s="44"/>
      <c r="AQ325" s="5" t="s">
        <v>16</v>
      </c>
      <c r="AR325" s="46" t="str">
        <f>IF(VLOOKUP(AQ325,βοηθητικό!$J$2:$N$354,3,FALSE)="","",VLOOKUP(AQ325,βοηθητικό!$J$2:$N$354,3,FALSE))</f>
        <v>_</v>
      </c>
      <c r="AS325" s="47"/>
      <c r="AT325" s="4" t="s">
        <v>16</v>
      </c>
      <c r="AU325" s="43" t="str">
        <f>IF(VLOOKUP(AT325,βοηθητικό!$J$2:$N$354,3,FALSE)="","",VLOOKUP(AT325,βοηθητικό!$J$2:$N$354,3,FALSE))</f>
        <v>_</v>
      </c>
      <c r="AV325" s="44"/>
      <c r="AW325" s="5" t="s">
        <v>16</v>
      </c>
      <c r="AX325" s="46" t="str">
        <f>IF(VLOOKUP(AW325,βοηθητικό!$J$2:$N$354,3,FALSE)="","",VLOOKUP(AW325,βοηθητικό!$J$2:$N$354,3,FALSE))</f>
        <v>_</v>
      </c>
      <c r="AY325" s="47"/>
      <c r="AZ325" s="4" t="s">
        <v>16</v>
      </c>
      <c r="BA325" s="43" t="str">
        <f>IF(VLOOKUP(AZ325,βοηθητικό!$J$2:$N$354,3,FALSE)="","",VLOOKUP(AZ325,βοηθητικό!$J$2:$N$354,3,FALSE))</f>
        <v>_</v>
      </c>
      <c r="BB325" s="44"/>
      <c r="BC325" s="45" t="s">
        <v>16</v>
      </c>
      <c r="BD325" s="46" t="str">
        <f>IF(VLOOKUP(BC325,βοηθητικό!$J$2:$N$354,3,FALSE)="","",VLOOKUP(BC325,βοηθητικό!$J$2:$N$354,3,FALSE))</f>
        <v>_</v>
      </c>
      <c r="BE325" s="47"/>
      <c r="BF325" s="42" t="s">
        <v>16</v>
      </c>
      <c r="BG325" s="43" t="str">
        <f>IF(VLOOKUP(BF325,βοηθητικό!$J$2:$N$354,3,FALSE)="","",VLOOKUP(BF325,βοηθητικό!$J$2:$N$354,3,FALSE))</f>
        <v>_</v>
      </c>
      <c r="BH325" s="44"/>
      <c r="BI325" s="45" t="s">
        <v>16</v>
      </c>
      <c r="BJ325" s="46" t="str">
        <f>IF(VLOOKUP(BI325,βοηθητικό!$J$2:$N$354,3,FALSE)="","",VLOOKUP(BI325,βοηθητικό!$J$2:$N$354,3,FALSE))</f>
        <v>_</v>
      </c>
      <c r="BK325" s="47"/>
      <c r="BL325" s="42" t="s">
        <v>16</v>
      </c>
      <c r="BM325" s="43" t="str">
        <f>IF(VLOOKUP(BL325,βοηθητικό!$J$2:$N$354,3,FALSE)="","",VLOOKUP(BL325,βοηθητικό!$J$2:$N$354,3,FALSE))</f>
        <v>_</v>
      </c>
      <c r="BN325" s="44"/>
      <c r="BO325" s="45" t="s">
        <v>16</v>
      </c>
      <c r="BP325" s="46" t="str">
        <f>IF(VLOOKUP(BO325,βοηθητικό!$J$2:$N$354,3,FALSE)="","",VLOOKUP(BO325,βοηθητικό!$J$2:$N$354,3,FALSE))</f>
        <v>_</v>
      </c>
      <c r="BQ325" s="47"/>
      <c r="BR325" s="42" t="s">
        <v>16</v>
      </c>
      <c r="BS325" s="43" t="str">
        <f>IF(VLOOKUP(BR325,βοηθητικό!$J$2:$N$354,3,FALSE)="","",VLOOKUP(BR325,βοηθητικό!$J$2:$N$354,3,FALSE))</f>
        <v>_</v>
      </c>
      <c r="BT325" s="44"/>
      <c r="BU325" s="45" t="s">
        <v>16</v>
      </c>
      <c r="BV325" s="46" t="str">
        <f>IF(VLOOKUP(BU325,βοηθητικό!$J$2:$N$354,3,FALSE)="","",VLOOKUP(BU325,βοηθητικό!$J$2:$N$354,3,FALSE))</f>
        <v>_</v>
      </c>
      <c r="BW325" s="47"/>
      <c r="BX325" s="42" t="s">
        <v>16</v>
      </c>
      <c r="BY325" s="43" t="str">
        <f>IF(VLOOKUP(BX325,βοηθητικό!$J$2:$N$354,3,FALSE)="","",VLOOKUP(BX325,βοηθητικό!$J$2:$N$354,3,FALSE))</f>
        <v>_</v>
      </c>
      <c r="BZ325" s="44"/>
      <c r="CA325" s="45" t="s">
        <v>16</v>
      </c>
      <c r="CB325" s="46" t="str">
        <f>IF(VLOOKUP(CA325,βοηθητικό!$J$2:$N$354,3,FALSE)="","",VLOOKUP(CA325,βοηθητικό!$J$2:$N$354,3,FALSE))</f>
        <v>_</v>
      </c>
      <c r="CC325" s="47"/>
      <c r="CD325" s="42" t="s">
        <v>16</v>
      </c>
      <c r="CE325" s="43" t="str">
        <f>IF(VLOOKUP(CD325,βοηθητικό!$J$2:$N$354,3,FALSE)="","",VLOOKUP(CD325,βοηθητικό!$J$2:$N$354,3,FALSE))</f>
        <v>_</v>
      </c>
      <c r="CF325" s="44"/>
      <c r="CG325" s="45" t="s">
        <v>16</v>
      </c>
      <c r="CH325" s="46" t="str">
        <f>IF(VLOOKUP(CG325,βοηθητικό!$J$2:$N$354,3,FALSE)="","",VLOOKUP(CG325,βοηθητικό!$J$2:$N$354,3,FALSE))</f>
        <v>_</v>
      </c>
      <c r="CI325" s="47"/>
      <c r="CJ325" s="42" t="s">
        <v>16</v>
      </c>
      <c r="CK325" s="43" t="str">
        <f>IF(VLOOKUP(CJ325,βοηθητικό!$J$2:$N$354,3,FALSE)="","",VLOOKUP(CJ325,βοηθητικό!$J$2:$N$354,3,FALSE))</f>
        <v>_</v>
      </c>
      <c r="CL325" s="44"/>
      <c r="CM325" s="45" t="s">
        <v>16</v>
      </c>
      <c r="CN325" s="46" t="str">
        <f>IF(VLOOKUP(CM325,βοηθητικό!$J$2:$N$354,3,FALSE)="","",VLOOKUP(CM325,βοηθητικό!$J$2:$N$354,3,FALSE))</f>
        <v>_</v>
      </c>
      <c r="CO325" s="47"/>
      <c r="CP325" s="42" t="s">
        <v>16</v>
      </c>
      <c r="CQ325" s="43" t="str">
        <f>IF(VLOOKUP(CP325,βοηθητικό!$J$2:$N$354,3,FALSE)="","",VLOOKUP(CP325,βοηθητικό!$J$2:$N$354,3,FALSE))</f>
        <v>_</v>
      </c>
      <c r="CR325" s="44"/>
      <c r="CS325" s="45" t="s">
        <v>16</v>
      </c>
      <c r="CT325" s="46" t="str">
        <f>IF(VLOOKUP(CS325,βοηθητικό!$J$2:$N$354,3,FALSE)="","",VLOOKUP(CS325,βοηθητικό!$J$2:$N$354,3,FALSE))</f>
        <v>_</v>
      </c>
      <c r="CU325" s="47"/>
    </row>
    <row r="326" spans="1:99" x14ac:dyDescent="0.25">
      <c r="A326" s="37">
        <f>--SUBTOTAL(3,$B$3:B325)</f>
        <v>198</v>
      </c>
      <c r="B326" s="2"/>
      <c r="C326" s="3"/>
      <c r="D326" s="55" t="s">
        <v>18</v>
      </c>
      <c r="E326" s="38" t="s">
        <v>16</v>
      </c>
      <c r="F326" s="38" t="s">
        <v>16</v>
      </c>
      <c r="G326" s="39" t="str">
        <f t="shared" si="17"/>
        <v>__</v>
      </c>
      <c r="H326" s="40" t="str">
        <f t="shared" si="18"/>
        <v>FALSE</v>
      </c>
      <c r="I326" s="41">
        <f t="shared" si="19"/>
        <v>0</v>
      </c>
      <c r="J326" s="4" t="s">
        <v>16</v>
      </c>
      <c r="K326" s="43" t="str">
        <f>IF(VLOOKUP(J326,βοηθητικό!$J$2:$N$354,3,FALSE)="","",VLOOKUP(J326,βοηθητικό!$J$2:$N$354,3,FALSE))</f>
        <v>_</v>
      </c>
      <c r="L326" s="44"/>
      <c r="M326" s="5" t="s">
        <v>16</v>
      </c>
      <c r="N326" s="46" t="str">
        <f>IF(VLOOKUP(M326,βοηθητικό!$J$2:$N$354,3,FALSE)="","",VLOOKUP(M326,βοηθητικό!$J$2:$N$354,3,FALSE))</f>
        <v>_</v>
      </c>
      <c r="O326" s="47"/>
      <c r="P326" s="4" t="s">
        <v>16</v>
      </c>
      <c r="Q326" s="43" t="str">
        <f>IF(VLOOKUP(P326,βοηθητικό!$J$2:$N$354,3,FALSE)="","",VLOOKUP(P326,βοηθητικό!$J$2:$N$354,3,FALSE))</f>
        <v>_</v>
      </c>
      <c r="R326" s="44"/>
      <c r="S326" s="5" t="s">
        <v>16</v>
      </c>
      <c r="T326" s="46" t="str">
        <f>IF(VLOOKUP(S326,βοηθητικό!$J$2:$N$354,3,FALSE)="","",VLOOKUP(S326,βοηθητικό!$J$2:$N$354,3,FALSE))</f>
        <v>_</v>
      </c>
      <c r="U326" s="47"/>
      <c r="V326" s="4" t="s">
        <v>16</v>
      </c>
      <c r="W326" s="43" t="str">
        <f>IF(VLOOKUP(V326,βοηθητικό!$J$2:$N$354,3,FALSE)="","",VLOOKUP(V326,βοηθητικό!$J$2:$N$354,3,FALSE))</f>
        <v>_</v>
      </c>
      <c r="X326" s="44"/>
      <c r="Y326" s="5" t="s">
        <v>16</v>
      </c>
      <c r="Z326" s="46" t="str">
        <f>IF(VLOOKUP(Y326,βοηθητικό!$J$2:$N$354,3,FALSE)="","",VLOOKUP(Y326,βοηθητικό!$J$2:$N$354,3,FALSE))</f>
        <v>_</v>
      </c>
      <c r="AA326" s="47"/>
      <c r="AB326" s="4" t="s">
        <v>16</v>
      </c>
      <c r="AC326" s="43" t="str">
        <f>IF(VLOOKUP(AB326,βοηθητικό!$J$2:$N$354,3,FALSE)="","",VLOOKUP(AB326,βοηθητικό!$J$2:$N$354,3,FALSE))</f>
        <v>_</v>
      </c>
      <c r="AD326" s="44"/>
      <c r="AE326" s="5" t="s">
        <v>16</v>
      </c>
      <c r="AF326" s="46" t="str">
        <f>IF(VLOOKUP(AE326,βοηθητικό!$J$2:$N$354,3,FALSE)="","",VLOOKUP(AE326,βοηθητικό!$J$2:$N$354,3,FALSE))</f>
        <v>_</v>
      </c>
      <c r="AG326" s="47"/>
      <c r="AH326" s="4" t="s">
        <v>16</v>
      </c>
      <c r="AI326" s="43" t="str">
        <f>IF(VLOOKUP(AH326,βοηθητικό!$J$2:$N$354,3,FALSE)="","",VLOOKUP(AH326,βοηθητικό!$J$2:$N$354,3,FALSE))</f>
        <v>_</v>
      </c>
      <c r="AJ326" s="44"/>
      <c r="AK326" s="5" t="s">
        <v>16</v>
      </c>
      <c r="AL326" s="46" t="str">
        <f>IF(VLOOKUP(AK326,βοηθητικό!$J$2:$N$354,3,FALSE)="","",VLOOKUP(AK326,βοηθητικό!$J$2:$N$354,3,FALSE))</f>
        <v>_</v>
      </c>
      <c r="AM326" s="47"/>
      <c r="AN326" s="4" t="s">
        <v>16</v>
      </c>
      <c r="AO326" s="43" t="str">
        <f>IF(VLOOKUP(AN326,βοηθητικό!$J$2:$N$354,3,FALSE)="","",VLOOKUP(AN326,βοηθητικό!$J$2:$N$354,3,FALSE))</f>
        <v>_</v>
      </c>
      <c r="AP326" s="44"/>
      <c r="AQ326" s="5" t="s">
        <v>16</v>
      </c>
      <c r="AR326" s="46" t="str">
        <f>IF(VLOOKUP(AQ326,βοηθητικό!$J$2:$N$354,3,FALSE)="","",VLOOKUP(AQ326,βοηθητικό!$J$2:$N$354,3,FALSE))</f>
        <v>_</v>
      </c>
      <c r="AS326" s="47"/>
      <c r="AT326" s="4" t="s">
        <v>16</v>
      </c>
      <c r="AU326" s="43" t="str">
        <f>IF(VLOOKUP(AT326,βοηθητικό!$J$2:$N$354,3,FALSE)="","",VLOOKUP(AT326,βοηθητικό!$J$2:$N$354,3,FALSE))</f>
        <v>_</v>
      </c>
      <c r="AV326" s="44"/>
      <c r="AW326" s="5" t="s">
        <v>16</v>
      </c>
      <c r="AX326" s="46" t="str">
        <f>IF(VLOOKUP(AW326,βοηθητικό!$J$2:$N$354,3,FALSE)="","",VLOOKUP(AW326,βοηθητικό!$J$2:$N$354,3,FALSE))</f>
        <v>_</v>
      </c>
      <c r="AY326" s="47"/>
      <c r="AZ326" s="4" t="s">
        <v>16</v>
      </c>
      <c r="BA326" s="43" t="str">
        <f>IF(VLOOKUP(AZ326,βοηθητικό!$J$2:$N$354,3,FALSE)="","",VLOOKUP(AZ326,βοηθητικό!$J$2:$N$354,3,FALSE))</f>
        <v>_</v>
      </c>
      <c r="BB326" s="44"/>
      <c r="BC326" s="45" t="s">
        <v>16</v>
      </c>
      <c r="BD326" s="46" t="str">
        <f>IF(VLOOKUP(BC326,βοηθητικό!$J$2:$N$354,3,FALSE)="","",VLOOKUP(BC326,βοηθητικό!$J$2:$N$354,3,FALSE))</f>
        <v>_</v>
      </c>
      <c r="BE326" s="47"/>
      <c r="BF326" s="42" t="s">
        <v>16</v>
      </c>
      <c r="BG326" s="43" t="str">
        <f>IF(VLOOKUP(BF326,βοηθητικό!$J$2:$N$354,3,FALSE)="","",VLOOKUP(BF326,βοηθητικό!$J$2:$N$354,3,FALSE))</f>
        <v>_</v>
      </c>
      <c r="BH326" s="44"/>
      <c r="BI326" s="45" t="s">
        <v>16</v>
      </c>
      <c r="BJ326" s="46" t="str">
        <f>IF(VLOOKUP(BI326,βοηθητικό!$J$2:$N$354,3,FALSE)="","",VLOOKUP(BI326,βοηθητικό!$J$2:$N$354,3,FALSE))</f>
        <v>_</v>
      </c>
      <c r="BK326" s="47"/>
      <c r="BL326" s="42" t="s">
        <v>16</v>
      </c>
      <c r="BM326" s="43" t="str">
        <f>IF(VLOOKUP(BL326,βοηθητικό!$J$2:$N$354,3,FALSE)="","",VLOOKUP(BL326,βοηθητικό!$J$2:$N$354,3,FALSE))</f>
        <v>_</v>
      </c>
      <c r="BN326" s="44"/>
      <c r="BO326" s="45" t="s">
        <v>16</v>
      </c>
      <c r="BP326" s="46" t="str">
        <f>IF(VLOOKUP(BO326,βοηθητικό!$J$2:$N$354,3,FALSE)="","",VLOOKUP(BO326,βοηθητικό!$J$2:$N$354,3,FALSE))</f>
        <v>_</v>
      </c>
      <c r="BQ326" s="47"/>
      <c r="BR326" s="42" t="s">
        <v>16</v>
      </c>
      <c r="BS326" s="43" t="str">
        <f>IF(VLOOKUP(BR326,βοηθητικό!$J$2:$N$354,3,FALSE)="","",VLOOKUP(BR326,βοηθητικό!$J$2:$N$354,3,FALSE))</f>
        <v>_</v>
      </c>
      <c r="BT326" s="44"/>
      <c r="BU326" s="45" t="s">
        <v>16</v>
      </c>
      <c r="BV326" s="46" t="str">
        <f>IF(VLOOKUP(BU326,βοηθητικό!$J$2:$N$354,3,FALSE)="","",VLOOKUP(BU326,βοηθητικό!$J$2:$N$354,3,FALSE))</f>
        <v>_</v>
      </c>
      <c r="BW326" s="47"/>
      <c r="BX326" s="42" t="s">
        <v>16</v>
      </c>
      <c r="BY326" s="43" t="str">
        <f>IF(VLOOKUP(BX326,βοηθητικό!$J$2:$N$354,3,FALSE)="","",VLOOKUP(BX326,βοηθητικό!$J$2:$N$354,3,FALSE))</f>
        <v>_</v>
      </c>
      <c r="BZ326" s="44"/>
      <c r="CA326" s="45" t="s">
        <v>16</v>
      </c>
      <c r="CB326" s="46" t="str">
        <f>IF(VLOOKUP(CA326,βοηθητικό!$J$2:$N$354,3,FALSE)="","",VLOOKUP(CA326,βοηθητικό!$J$2:$N$354,3,FALSE))</f>
        <v>_</v>
      </c>
      <c r="CC326" s="47"/>
      <c r="CD326" s="42" t="s">
        <v>16</v>
      </c>
      <c r="CE326" s="43" t="str">
        <f>IF(VLOOKUP(CD326,βοηθητικό!$J$2:$N$354,3,FALSE)="","",VLOOKUP(CD326,βοηθητικό!$J$2:$N$354,3,FALSE))</f>
        <v>_</v>
      </c>
      <c r="CF326" s="44"/>
      <c r="CG326" s="45" t="s">
        <v>16</v>
      </c>
      <c r="CH326" s="46" t="str">
        <f>IF(VLOOKUP(CG326,βοηθητικό!$J$2:$N$354,3,FALSE)="","",VLOOKUP(CG326,βοηθητικό!$J$2:$N$354,3,FALSE))</f>
        <v>_</v>
      </c>
      <c r="CI326" s="47"/>
      <c r="CJ326" s="42" t="s">
        <v>16</v>
      </c>
      <c r="CK326" s="43" t="str">
        <f>IF(VLOOKUP(CJ326,βοηθητικό!$J$2:$N$354,3,FALSE)="","",VLOOKUP(CJ326,βοηθητικό!$J$2:$N$354,3,FALSE))</f>
        <v>_</v>
      </c>
      <c r="CL326" s="44"/>
      <c r="CM326" s="45" t="s">
        <v>16</v>
      </c>
      <c r="CN326" s="46" t="str">
        <f>IF(VLOOKUP(CM326,βοηθητικό!$J$2:$N$354,3,FALSE)="","",VLOOKUP(CM326,βοηθητικό!$J$2:$N$354,3,FALSE))</f>
        <v>_</v>
      </c>
      <c r="CO326" s="47"/>
      <c r="CP326" s="42" t="s">
        <v>16</v>
      </c>
      <c r="CQ326" s="43" t="str">
        <f>IF(VLOOKUP(CP326,βοηθητικό!$J$2:$N$354,3,FALSE)="","",VLOOKUP(CP326,βοηθητικό!$J$2:$N$354,3,FALSE))</f>
        <v>_</v>
      </c>
      <c r="CR326" s="44"/>
      <c r="CS326" s="45" t="s">
        <v>16</v>
      </c>
      <c r="CT326" s="46" t="str">
        <f>IF(VLOOKUP(CS326,βοηθητικό!$J$2:$N$354,3,FALSE)="","",VLOOKUP(CS326,βοηθητικό!$J$2:$N$354,3,FALSE))</f>
        <v>_</v>
      </c>
      <c r="CU326" s="47"/>
    </row>
    <row r="327" spans="1:99" x14ac:dyDescent="0.25">
      <c r="A327" s="37">
        <f>--SUBTOTAL(3,$B$3:B326)</f>
        <v>198</v>
      </c>
      <c r="B327" s="2"/>
      <c r="C327" s="3"/>
      <c r="D327" s="55" t="s">
        <v>18</v>
      </c>
      <c r="E327" s="38" t="s">
        <v>16</v>
      </c>
      <c r="F327" s="38" t="s">
        <v>16</v>
      </c>
      <c r="G327" s="39" t="str">
        <f t="shared" si="17"/>
        <v>__</v>
      </c>
      <c r="H327" s="40" t="str">
        <f t="shared" si="18"/>
        <v>FALSE</v>
      </c>
      <c r="I327" s="41">
        <f t="shared" si="19"/>
        <v>0</v>
      </c>
      <c r="J327" s="4" t="s">
        <v>16</v>
      </c>
      <c r="K327" s="43" t="str">
        <f>IF(VLOOKUP(J327,βοηθητικό!$J$2:$N$354,3,FALSE)="","",VLOOKUP(J327,βοηθητικό!$J$2:$N$354,3,FALSE))</f>
        <v>_</v>
      </c>
      <c r="L327" s="44"/>
      <c r="M327" s="5" t="s">
        <v>16</v>
      </c>
      <c r="N327" s="46" t="str">
        <f>IF(VLOOKUP(M327,βοηθητικό!$J$2:$N$354,3,FALSE)="","",VLOOKUP(M327,βοηθητικό!$J$2:$N$354,3,FALSE))</f>
        <v>_</v>
      </c>
      <c r="O327" s="47"/>
      <c r="P327" s="4" t="s">
        <v>16</v>
      </c>
      <c r="Q327" s="43" t="str">
        <f>IF(VLOOKUP(P327,βοηθητικό!$J$2:$N$354,3,FALSE)="","",VLOOKUP(P327,βοηθητικό!$J$2:$N$354,3,FALSE))</f>
        <v>_</v>
      </c>
      <c r="R327" s="44"/>
      <c r="S327" s="5" t="s">
        <v>16</v>
      </c>
      <c r="T327" s="46" t="str">
        <f>IF(VLOOKUP(S327,βοηθητικό!$J$2:$N$354,3,FALSE)="","",VLOOKUP(S327,βοηθητικό!$J$2:$N$354,3,FALSE))</f>
        <v>_</v>
      </c>
      <c r="U327" s="47"/>
      <c r="V327" s="4" t="s">
        <v>16</v>
      </c>
      <c r="W327" s="43" t="str">
        <f>IF(VLOOKUP(V327,βοηθητικό!$J$2:$N$354,3,FALSE)="","",VLOOKUP(V327,βοηθητικό!$J$2:$N$354,3,FALSE))</f>
        <v>_</v>
      </c>
      <c r="X327" s="44"/>
      <c r="Y327" s="5" t="s">
        <v>16</v>
      </c>
      <c r="Z327" s="46" t="str">
        <f>IF(VLOOKUP(Y327,βοηθητικό!$J$2:$N$354,3,FALSE)="","",VLOOKUP(Y327,βοηθητικό!$J$2:$N$354,3,FALSE))</f>
        <v>_</v>
      </c>
      <c r="AA327" s="47"/>
      <c r="AB327" s="4" t="s">
        <v>16</v>
      </c>
      <c r="AC327" s="43" t="str">
        <f>IF(VLOOKUP(AB327,βοηθητικό!$J$2:$N$354,3,FALSE)="","",VLOOKUP(AB327,βοηθητικό!$J$2:$N$354,3,FALSE))</f>
        <v>_</v>
      </c>
      <c r="AD327" s="44"/>
      <c r="AE327" s="5" t="s">
        <v>16</v>
      </c>
      <c r="AF327" s="46" t="str">
        <f>IF(VLOOKUP(AE327,βοηθητικό!$J$2:$N$354,3,FALSE)="","",VLOOKUP(AE327,βοηθητικό!$J$2:$N$354,3,FALSE))</f>
        <v>_</v>
      </c>
      <c r="AG327" s="47"/>
      <c r="AH327" s="4" t="s">
        <v>16</v>
      </c>
      <c r="AI327" s="43" t="str">
        <f>IF(VLOOKUP(AH327,βοηθητικό!$J$2:$N$354,3,FALSE)="","",VLOOKUP(AH327,βοηθητικό!$J$2:$N$354,3,FALSE))</f>
        <v>_</v>
      </c>
      <c r="AJ327" s="44"/>
      <c r="AK327" s="5" t="s">
        <v>16</v>
      </c>
      <c r="AL327" s="46" t="str">
        <f>IF(VLOOKUP(AK327,βοηθητικό!$J$2:$N$354,3,FALSE)="","",VLOOKUP(AK327,βοηθητικό!$J$2:$N$354,3,FALSE))</f>
        <v>_</v>
      </c>
      <c r="AM327" s="47"/>
      <c r="AN327" s="4" t="s">
        <v>16</v>
      </c>
      <c r="AO327" s="43" t="str">
        <f>IF(VLOOKUP(AN327,βοηθητικό!$J$2:$N$354,3,FALSE)="","",VLOOKUP(AN327,βοηθητικό!$J$2:$N$354,3,FALSE))</f>
        <v>_</v>
      </c>
      <c r="AP327" s="44"/>
      <c r="AQ327" s="5" t="s">
        <v>16</v>
      </c>
      <c r="AR327" s="46" t="str">
        <f>IF(VLOOKUP(AQ327,βοηθητικό!$J$2:$N$354,3,FALSE)="","",VLOOKUP(AQ327,βοηθητικό!$J$2:$N$354,3,FALSE))</f>
        <v>_</v>
      </c>
      <c r="AS327" s="47"/>
      <c r="AT327" s="4" t="s">
        <v>16</v>
      </c>
      <c r="AU327" s="43" t="str">
        <f>IF(VLOOKUP(AT327,βοηθητικό!$J$2:$N$354,3,FALSE)="","",VLOOKUP(AT327,βοηθητικό!$J$2:$N$354,3,FALSE))</f>
        <v>_</v>
      </c>
      <c r="AV327" s="44"/>
      <c r="AW327" s="5" t="s">
        <v>16</v>
      </c>
      <c r="AX327" s="46" t="str">
        <f>IF(VLOOKUP(AW327,βοηθητικό!$J$2:$N$354,3,FALSE)="","",VLOOKUP(AW327,βοηθητικό!$J$2:$N$354,3,FALSE))</f>
        <v>_</v>
      </c>
      <c r="AY327" s="47"/>
      <c r="AZ327" s="4" t="s">
        <v>16</v>
      </c>
      <c r="BA327" s="43" t="str">
        <f>IF(VLOOKUP(AZ327,βοηθητικό!$J$2:$N$354,3,FALSE)="","",VLOOKUP(AZ327,βοηθητικό!$J$2:$N$354,3,FALSE))</f>
        <v>_</v>
      </c>
      <c r="BB327" s="44"/>
      <c r="BC327" s="45" t="s">
        <v>16</v>
      </c>
      <c r="BD327" s="46" t="str">
        <f>IF(VLOOKUP(BC327,βοηθητικό!$J$2:$N$354,3,FALSE)="","",VLOOKUP(BC327,βοηθητικό!$J$2:$N$354,3,FALSE))</f>
        <v>_</v>
      </c>
      <c r="BE327" s="47"/>
      <c r="BF327" s="42" t="s">
        <v>16</v>
      </c>
      <c r="BG327" s="43" t="str">
        <f>IF(VLOOKUP(BF327,βοηθητικό!$J$2:$N$354,3,FALSE)="","",VLOOKUP(BF327,βοηθητικό!$J$2:$N$354,3,FALSE))</f>
        <v>_</v>
      </c>
      <c r="BH327" s="44"/>
      <c r="BI327" s="45" t="s">
        <v>16</v>
      </c>
      <c r="BJ327" s="46" t="str">
        <f>IF(VLOOKUP(BI327,βοηθητικό!$J$2:$N$354,3,FALSE)="","",VLOOKUP(BI327,βοηθητικό!$J$2:$N$354,3,FALSE))</f>
        <v>_</v>
      </c>
      <c r="BK327" s="47"/>
      <c r="BL327" s="42" t="s">
        <v>16</v>
      </c>
      <c r="BM327" s="43" t="str">
        <f>IF(VLOOKUP(BL327,βοηθητικό!$J$2:$N$354,3,FALSE)="","",VLOOKUP(BL327,βοηθητικό!$J$2:$N$354,3,FALSE))</f>
        <v>_</v>
      </c>
      <c r="BN327" s="44"/>
      <c r="BO327" s="45" t="s">
        <v>16</v>
      </c>
      <c r="BP327" s="46" t="str">
        <f>IF(VLOOKUP(BO327,βοηθητικό!$J$2:$N$354,3,FALSE)="","",VLOOKUP(BO327,βοηθητικό!$J$2:$N$354,3,FALSE))</f>
        <v>_</v>
      </c>
      <c r="BQ327" s="47"/>
      <c r="BR327" s="42" t="s">
        <v>16</v>
      </c>
      <c r="BS327" s="43" t="str">
        <f>IF(VLOOKUP(BR327,βοηθητικό!$J$2:$N$354,3,FALSE)="","",VLOOKUP(BR327,βοηθητικό!$J$2:$N$354,3,FALSE))</f>
        <v>_</v>
      </c>
      <c r="BT327" s="44"/>
      <c r="BU327" s="45" t="s">
        <v>16</v>
      </c>
      <c r="BV327" s="46" t="str">
        <f>IF(VLOOKUP(BU327,βοηθητικό!$J$2:$N$354,3,FALSE)="","",VLOOKUP(BU327,βοηθητικό!$J$2:$N$354,3,FALSE))</f>
        <v>_</v>
      </c>
      <c r="BW327" s="47"/>
      <c r="BX327" s="42" t="s">
        <v>16</v>
      </c>
      <c r="BY327" s="43" t="str">
        <f>IF(VLOOKUP(BX327,βοηθητικό!$J$2:$N$354,3,FALSE)="","",VLOOKUP(BX327,βοηθητικό!$J$2:$N$354,3,FALSE))</f>
        <v>_</v>
      </c>
      <c r="BZ327" s="44"/>
      <c r="CA327" s="45" t="s">
        <v>16</v>
      </c>
      <c r="CB327" s="46" t="str">
        <f>IF(VLOOKUP(CA327,βοηθητικό!$J$2:$N$354,3,FALSE)="","",VLOOKUP(CA327,βοηθητικό!$J$2:$N$354,3,FALSE))</f>
        <v>_</v>
      </c>
      <c r="CC327" s="47"/>
      <c r="CD327" s="42" t="s">
        <v>16</v>
      </c>
      <c r="CE327" s="43" t="str">
        <f>IF(VLOOKUP(CD327,βοηθητικό!$J$2:$N$354,3,FALSE)="","",VLOOKUP(CD327,βοηθητικό!$J$2:$N$354,3,FALSE))</f>
        <v>_</v>
      </c>
      <c r="CF327" s="44"/>
      <c r="CG327" s="45" t="s">
        <v>16</v>
      </c>
      <c r="CH327" s="46" t="str">
        <f>IF(VLOOKUP(CG327,βοηθητικό!$J$2:$N$354,3,FALSE)="","",VLOOKUP(CG327,βοηθητικό!$J$2:$N$354,3,FALSE))</f>
        <v>_</v>
      </c>
      <c r="CI327" s="47"/>
      <c r="CJ327" s="42" t="s">
        <v>16</v>
      </c>
      <c r="CK327" s="43" t="str">
        <f>IF(VLOOKUP(CJ327,βοηθητικό!$J$2:$N$354,3,FALSE)="","",VLOOKUP(CJ327,βοηθητικό!$J$2:$N$354,3,FALSE))</f>
        <v>_</v>
      </c>
      <c r="CL327" s="44"/>
      <c r="CM327" s="45" t="s">
        <v>16</v>
      </c>
      <c r="CN327" s="46" t="str">
        <f>IF(VLOOKUP(CM327,βοηθητικό!$J$2:$N$354,3,FALSE)="","",VLOOKUP(CM327,βοηθητικό!$J$2:$N$354,3,FALSE))</f>
        <v>_</v>
      </c>
      <c r="CO327" s="47"/>
      <c r="CP327" s="42" t="s">
        <v>16</v>
      </c>
      <c r="CQ327" s="43" t="str">
        <f>IF(VLOOKUP(CP327,βοηθητικό!$J$2:$N$354,3,FALSE)="","",VLOOKUP(CP327,βοηθητικό!$J$2:$N$354,3,FALSE))</f>
        <v>_</v>
      </c>
      <c r="CR327" s="44"/>
      <c r="CS327" s="45" t="s">
        <v>16</v>
      </c>
      <c r="CT327" s="46" t="str">
        <f>IF(VLOOKUP(CS327,βοηθητικό!$J$2:$N$354,3,FALSE)="","",VLOOKUP(CS327,βοηθητικό!$J$2:$N$354,3,FALSE))</f>
        <v>_</v>
      </c>
      <c r="CU327" s="47"/>
    </row>
    <row r="328" spans="1:99" x14ac:dyDescent="0.25">
      <c r="A328" s="37">
        <f>--SUBTOTAL(3,$B$3:B327)</f>
        <v>198</v>
      </c>
      <c r="B328" s="2"/>
      <c r="C328" s="3"/>
      <c r="D328" s="55" t="s">
        <v>18</v>
      </c>
      <c r="E328" s="38" t="s">
        <v>16</v>
      </c>
      <c r="F328" s="38" t="s">
        <v>16</v>
      </c>
      <c r="G328" s="39" t="str">
        <f t="shared" si="17"/>
        <v>__</v>
      </c>
      <c r="H328" s="40" t="str">
        <f t="shared" si="18"/>
        <v>FALSE</v>
      </c>
      <c r="I328" s="41">
        <f t="shared" si="19"/>
        <v>0</v>
      </c>
      <c r="J328" s="4" t="s">
        <v>16</v>
      </c>
      <c r="K328" s="43" t="str">
        <f>IF(VLOOKUP(J328,βοηθητικό!$J$2:$N$354,3,FALSE)="","",VLOOKUP(J328,βοηθητικό!$J$2:$N$354,3,FALSE))</f>
        <v>_</v>
      </c>
      <c r="L328" s="44"/>
      <c r="M328" s="5" t="s">
        <v>16</v>
      </c>
      <c r="N328" s="46" t="str">
        <f>IF(VLOOKUP(M328,βοηθητικό!$J$2:$N$354,3,FALSE)="","",VLOOKUP(M328,βοηθητικό!$J$2:$N$354,3,FALSE))</f>
        <v>_</v>
      </c>
      <c r="O328" s="47"/>
      <c r="P328" s="4" t="s">
        <v>16</v>
      </c>
      <c r="Q328" s="43" t="str">
        <f>IF(VLOOKUP(P328,βοηθητικό!$J$2:$N$354,3,FALSE)="","",VLOOKUP(P328,βοηθητικό!$J$2:$N$354,3,FALSE))</f>
        <v>_</v>
      </c>
      <c r="R328" s="44"/>
      <c r="S328" s="5" t="s">
        <v>16</v>
      </c>
      <c r="T328" s="46" t="str">
        <f>IF(VLOOKUP(S328,βοηθητικό!$J$2:$N$354,3,FALSE)="","",VLOOKUP(S328,βοηθητικό!$J$2:$N$354,3,FALSE))</f>
        <v>_</v>
      </c>
      <c r="U328" s="47"/>
      <c r="V328" s="4" t="s">
        <v>16</v>
      </c>
      <c r="W328" s="43" t="str">
        <f>IF(VLOOKUP(V328,βοηθητικό!$J$2:$N$354,3,FALSE)="","",VLOOKUP(V328,βοηθητικό!$J$2:$N$354,3,FALSE))</f>
        <v>_</v>
      </c>
      <c r="X328" s="44"/>
      <c r="Y328" s="5" t="s">
        <v>16</v>
      </c>
      <c r="Z328" s="46" t="str">
        <f>IF(VLOOKUP(Y328,βοηθητικό!$J$2:$N$354,3,FALSE)="","",VLOOKUP(Y328,βοηθητικό!$J$2:$N$354,3,FALSE))</f>
        <v>_</v>
      </c>
      <c r="AA328" s="47"/>
      <c r="AB328" s="4" t="s">
        <v>16</v>
      </c>
      <c r="AC328" s="43" t="str">
        <f>IF(VLOOKUP(AB328,βοηθητικό!$J$2:$N$354,3,FALSE)="","",VLOOKUP(AB328,βοηθητικό!$J$2:$N$354,3,FALSE))</f>
        <v>_</v>
      </c>
      <c r="AD328" s="44"/>
      <c r="AE328" s="5" t="s">
        <v>16</v>
      </c>
      <c r="AF328" s="46" t="str">
        <f>IF(VLOOKUP(AE328,βοηθητικό!$J$2:$N$354,3,FALSE)="","",VLOOKUP(AE328,βοηθητικό!$J$2:$N$354,3,FALSE))</f>
        <v>_</v>
      </c>
      <c r="AG328" s="47"/>
      <c r="AH328" s="4" t="s">
        <v>16</v>
      </c>
      <c r="AI328" s="43" t="str">
        <f>IF(VLOOKUP(AH328,βοηθητικό!$J$2:$N$354,3,FALSE)="","",VLOOKUP(AH328,βοηθητικό!$J$2:$N$354,3,FALSE))</f>
        <v>_</v>
      </c>
      <c r="AJ328" s="44"/>
      <c r="AK328" s="5" t="s">
        <v>16</v>
      </c>
      <c r="AL328" s="46" t="str">
        <f>IF(VLOOKUP(AK328,βοηθητικό!$J$2:$N$354,3,FALSE)="","",VLOOKUP(AK328,βοηθητικό!$J$2:$N$354,3,FALSE))</f>
        <v>_</v>
      </c>
      <c r="AM328" s="47"/>
      <c r="AN328" s="4" t="s">
        <v>16</v>
      </c>
      <c r="AO328" s="43" t="str">
        <f>IF(VLOOKUP(AN328,βοηθητικό!$J$2:$N$354,3,FALSE)="","",VLOOKUP(AN328,βοηθητικό!$J$2:$N$354,3,FALSE))</f>
        <v>_</v>
      </c>
      <c r="AP328" s="44"/>
      <c r="AQ328" s="5" t="s">
        <v>16</v>
      </c>
      <c r="AR328" s="46" t="str">
        <f>IF(VLOOKUP(AQ328,βοηθητικό!$J$2:$N$354,3,FALSE)="","",VLOOKUP(AQ328,βοηθητικό!$J$2:$N$354,3,FALSE))</f>
        <v>_</v>
      </c>
      <c r="AS328" s="47"/>
      <c r="AT328" s="4" t="s">
        <v>16</v>
      </c>
      <c r="AU328" s="43" t="str">
        <f>IF(VLOOKUP(AT328,βοηθητικό!$J$2:$N$354,3,FALSE)="","",VLOOKUP(AT328,βοηθητικό!$J$2:$N$354,3,FALSE))</f>
        <v>_</v>
      </c>
      <c r="AV328" s="44"/>
      <c r="AW328" s="5" t="s">
        <v>16</v>
      </c>
      <c r="AX328" s="46" t="str">
        <f>IF(VLOOKUP(AW328,βοηθητικό!$J$2:$N$354,3,FALSE)="","",VLOOKUP(AW328,βοηθητικό!$J$2:$N$354,3,FALSE))</f>
        <v>_</v>
      </c>
      <c r="AY328" s="47"/>
      <c r="AZ328" s="4" t="s">
        <v>16</v>
      </c>
      <c r="BA328" s="43" t="str">
        <f>IF(VLOOKUP(AZ328,βοηθητικό!$J$2:$N$354,3,FALSE)="","",VLOOKUP(AZ328,βοηθητικό!$J$2:$N$354,3,FALSE))</f>
        <v>_</v>
      </c>
      <c r="BB328" s="44"/>
      <c r="BC328" s="45" t="s">
        <v>16</v>
      </c>
      <c r="BD328" s="46" t="str">
        <f>IF(VLOOKUP(BC328,βοηθητικό!$J$2:$N$354,3,FALSE)="","",VLOOKUP(BC328,βοηθητικό!$J$2:$N$354,3,FALSE))</f>
        <v>_</v>
      </c>
      <c r="BE328" s="47"/>
      <c r="BF328" s="42" t="s">
        <v>16</v>
      </c>
      <c r="BG328" s="43" t="str">
        <f>IF(VLOOKUP(BF328,βοηθητικό!$J$2:$N$354,3,FALSE)="","",VLOOKUP(BF328,βοηθητικό!$J$2:$N$354,3,FALSE))</f>
        <v>_</v>
      </c>
      <c r="BH328" s="44"/>
      <c r="BI328" s="45" t="s">
        <v>16</v>
      </c>
      <c r="BJ328" s="46" t="str">
        <f>IF(VLOOKUP(BI328,βοηθητικό!$J$2:$N$354,3,FALSE)="","",VLOOKUP(BI328,βοηθητικό!$J$2:$N$354,3,FALSE))</f>
        <v>_</v>
      </c>
      <c r="BK328" s="47"/>
      <c r="BL328" s="42" t="s">
        <v>16</v>
      </c>
      <c r="BM328" s="43" t="str">
        <f>IF(VLOOKUP(BL328,βοηθητικό!$J$2:$N$354,3,FALSE)="","",VLOOKUP(BL328,βοηθητικό!$J$2:$N$354,3,FALSE))</f>
        <v>_</v>
      </c>
      <c r="BN328" s="44"/>
      <c r="BO328" s="45" t="s">
        <v>16</v>
      </c>
      <c r="BP328" s="46" t="str">
        <f>IF(VLOOKUP(BO328,βοηθητικό!$J$2:$N$354,3,FALSE)="","",VLOOKUP(BO328,βοηθητικό!$J$2:$N$354,3,FALSE))</f>
        <v>_</v>
      </c>
      <c r="BQ328" s="47"/>
      <c r="BR328" s="42" t="s">
        <v>16</v>
      </c>
      <c r="BS328" s="43" t="str">
        <f>IF(VLOOKUP(BR328,βοηθητικό!$J$2:$N$354,3,FALSE)="","",VLOOKUP(BR328,βοηθητικό!$J$2:$N$354,3,FALSE))</f>
        <v>_</v>
      </c>
      <c r="BT328" s="44"/>
      <c r="BU328" s="45" t="s">
        <v>16</v>
      </c>
      <c r="BV328" s="46" t="str">
        <f>IF(VLOOKUP(BU328,βοηθητικό!$J$2:$N$354,3,FALSE)="","",VLOOKUP(BU328,βοηθητικό!$J$2:$N$354,3,FALSE))</f>
        <v>_</v>
      </c>
      <c r="BW328" s="47"/>
      <c r="BX328" s="42" t="s">
        <v>16</v>
      </c>
      <c r="BY328" s="43" t="str">
        <f>IF(VLOOKUP(BX328,βοηθητικό!$J$2:$N$354,3,FALSE)="","",VLOOKUP(BX328,βοηθητικό!$J$2:$N$354,3,FALSE))</f>
        <v>_</v>
      </c>
      <c r="BZ328" s="44"/>
      <c r="CA328" s="45" t="s">
        <v>16</v>
      </c>
      <c r="CB328" s="46" t="str">
        <f>IF(VLOOKUP(CA328,βοηθητικό!$J$2:$N$354,3,FALSE)="","",VLOOKUP(CA328,βοηθητικό!$J$2:$N$354,3,FALSE))</f>
        <v>_</v>
      </c>
      <c r="CC328" s="47"/>
      <c r="CD328" s="42" t="s">
        <v>16</v>
      </c>
      <c r="CE328" s="43" t="str">
        <f>IF(VLOOKUP(CD328,βοηθητικό!$J$2:$N$354,3,FALSE)="","",VLOOKUP(CD328,βοηθητικό!$J$2:$N$354,3,FALSE))</f>
        <v>_</v>
      </c>
      <c r="CF328" s="44"/>
      <c r="CG328" s="45" t="s">
        <v>16</v>
      </c>
      <c r="CH328" s="46" t="str">
        <f>IF(VLOOKUP(CG328,βοηθητικό!$J$2:$N$354,3,FALSE)="","",VLOOKUP(CG328,βοηθητικό!$J$2:$N$354,3,FALSE))</f>
        <v>_</v>
      </c>
      <c r="CI328" s="47"/>
      <c r="CJ328" s="42" t="s">
        <v>16</v>
      </c>
      <c r="CK328" s="43" t="str">
        <f>IF(VLOOKUP(CJ328,βοηθητικό!$J$2:$N$354,3,FALSE)="","",VLOOKUP(CJ328,βοηθητικό!$J$2:$N$354,3,FALSE))</f>
        <v>_</v>
      </c>
      <c r="CL328" s="44"/>
      <c r="CM328" s="45" t="s">
        <v>16</v>
      </c>
      <c r="CN328" s="46" t="str">
        <f>IF(VLOOKUP(CM328,βοηθητικό!$J$2:$N$354,3,FALSE)="","",VLOOKUP(CM328,βοηθητικό!$J$2:$N$354,3,FALSE))</f>
        <v>_</v>
      </c>
      <c r="CO328" s="47"/>
      <c r="CP328" s="42" t="s">
        <v>16</v>
      </c>
      <c r="CQ328" s="43" t="str">
        <f>IF(VLOOKUP(CP328,βοηθητικό!$J$2:$N$354,3,FALSE)="","",VLOOKUP(CP328,βοηθητικό!$J$2:$N$354,3,FALSE))</f>
        <v>_</v>
      </c>
      <c r="CR328" s="44"/>
      <c r="CS328" s="45" t="s">
        <v>16</v>
      </c>
      <c r="CT328" s="46" t="str">
        <f>IF(VLOOKUP(CS328,βοηθητικό!$J$2:$N$354,3,FALSE)="","",VLOOKUP(CS328,βοηθητικό!$J$2:$N$354,3,FALSE))</f>
        <v>_</v>
      </c>
      <c r="CU328" s="47"/>
    </row>
    <row r="329" spans="1:99" x14ac:dyDescent="0.25">
      <c r="A329" s="37">
        <f>--SUBTOTAL(3,$B$3:B328)</f>
        <v>198</v>
      </c>
      <c r="B329" s="2"/>
      <c r="C329" s="3"/>
      <c r="D329" s="55" t="s">
        <v>18</v>
      </c>
      <c r="E329" s="38" t="s">
        <v>16</v>
      </c>
      <c r="F329" s="38" t="s">
        <v>16</v>
      </c>
      <c r="G329" s="39" t="str">
        <f t="shared" si="17"/>
        <v>__</v>
      </c>
      <c r="H329" s="40" t="str">
        <f t="shared" si="18"/>
        <v>FALSE</v>
      </c>
      <c r="I329" s="41">
        <f t="shared" si="19"/>
        <v>0</v>
      </c>
      <c r="J329" s="4" t="s">
        <v>16</v>
      </c>
      <c r="K329" s="43" t="str">
        <f>IF(VLOOKUP(J329,βοηθητικό!$J$2:$N$354,3,FALSE)="","",VLOOKUP(J329,βοηθητικό!$J$2:$N$354,3,FALSE))</f>
        <v>_</v>
      </c>
      <c r="L329" s="44"/>
      <c r="M329" s="5" t="s">
        <v>16</v>
      </c>
      <c r="N329" s="46" t="str">
        <f>IF(VLOOKUP(M329,βοηθητικό!$J$2:$N$354,3,FALSE)="","",VLOOKUP(M329,βοηθητικό!$J$2:$N$354,3,FALSE))</f>
        <v>_</v>
      </c>
      <c r="O329" s="47"/>
      <c r="P329" s="4" t="s">
        <v>16</v>
      </c>
      <c r="Q329" s="43" t="str">
        <f>IF(VLOOKUP(P329,βοηθητικό!$J$2:$N$354,3,FALSE)="","",VLOOKUP(P329,βοηθητικό!$J$2:$N$354,3,FALSE))</f>
        <v>_</v>
      </c>
      <c r="R329" s="44"/>
      <c r="S329" s="5" t="s">
        <v>16</v>
      </c>
      <c r="T329" s="46" t="str">
        <f>IF(VLOOKUP(S329,βοηθητικό!$J$2:$N$354,3,FALSE)="","",VLOOKUP(S329,βοηθητικό!$J$2:$N$354,3,FALSE))</f>
        <v>_</v>
      </c>
      <c r="U329" s="47"/>
      <c r="V329" s="4" t="s">
        <v>16</v>
      </c>
      <c r="W329" s="43" t="str">
        <f>IF(VLOOKUP(V329,βοηθητικό!$J$2:$N$354,3,FALSE)="","",VLOOKUP(V329,βοηθητικό!$J$2:$N$354,3,FALSE))</f>
        <v>_</v>
      </c>
      <c r="X329" s="44"/>
      <c r="Y329" s="5" t="s">
        <v>16</v>
      </c>
      <c r="Z329" s="46" t="str">
        <f>IF(VLOOKUP(Y329,βοηθητικό!$J$2:$N$354,3,FALSE)="","",VLOOKUP(Y329,βοηθητικό!$J$2:$N$354,3,FALSE))</f>
        <v>_</v>
      </c>
      <c r="AA329" s="47"/>
      <c r="AB329" s="4" t="s">
        <v>16</v>
      </c>
      <c r="AC329" s="43" t="str">
        <f>IF(VLOOKUP(AB329,βοηθητικό!$J$2:$N$354,3,FALSE)="","",VLOOKUP(AB329,βοηθητικό!$J$2:$N$354,3,FALSE))</f>
        <v>_</v>
      </c>
      <c r="AD329" s="44"/>
      <c r="AE329" s="5" t="s">
        <v>16</v>
      </c>
      <c r="AF329" s="46" t="str">
        <f>IF(VLOOKUP(AE329,βοηθητικό!$J$2:$N$354,3,FALSE)="","",VLOOKUP(AE329,βοηθητικό!$J$2:$N$354,3,FALSE))</f>
        <v>_</v>
      </c>
      <c r="AG329" s="47"/>
      <c r="AH329" s="4" t="s">
        <v>16</v>
      </c>
      <c r="AI329" s="43" t="str">
        <f>IF(VLOOKUP(AH329,βοηθητικό!$J$2:$N$354,3,FALSE)="","",VLOOKUP(AH329,βοηθητικό!$J$2:$N$354,3,FALSE))</f>
        <v>_</v>
      </c>
      <c r="AJ329" s="44"/>
      <c r="AK329" s="5" t="s">
        <v>16</v>
      </c>
      <c r="AL329" s="46" t="str">
        <f>IF(VLOOKUP(AK329,βοηθητικό!$J$2:$N$354,3,FALSE)="","",VLOOKUP(AK329,βοηθητικό!$J$2:$N$354,3,FALSE))</f>
        <v>_</v>
      </c>
      <c r="AM329" s="47"/>
      <c r="AN329" s="4" t="s">
        <v>16</v>
      </c>
      <c r="AO329" s="43" t="str">
        <f>IF(VLOOKUP(AN329,βοηθητικό!$J$2:$N$354,3,FALSE)="","",VLOOKUP(AN329,βοηθητικό!$J$2:$N$354,3,FALSE))</f>
        <v>_</v>
      </c>
      <c r="AP329" s="44"/>
      <c r="AQ329" s="5" t="s">
        <v>16</v>
      </c>
      <c r="AR329" s="46" t="str">
        <f>IF(VLOOKUP(AQ329,βοηθητικό!$J$2:$N$354,3,FALSE)="","",VLOOKUP(AQ329,βοηθητικό!$J$2:$N$354,3,FALSE))</f>
        <v>_</v>
      </c>
      <c r="AS329" s="47"/>
      <c r="AT329" s="4" t="s">
        <v>16</v>
      </c>
      <c r="AU329" s="43" t="str">
        <f>IF(VLOOKUP(AT329,βοηθητικό!$J$2:$N$354,3,FALSE)="","",VLOOKUP(AT329,βοηθητικό!$J$2:$N$354,3,FALSE))</f>
        <v>_</v>
      </c>
      <c r="AV329" s="44"/>
      <c r="AW329" s="5" t="s">
        <v>16</v>
      </c>
      <c r="AX329" s="46" t="str">
        <f>IF(VLOOKUP(AW329,βοηθητικό!$J$2:$N$354,3,FALSE)="","",VLOOKUP(AW329,βοηθητικό!$J$2:$N$354,3,FALSE))</f>
        <v>_</v>
      </c>
      <c r="AY329" s="47"/>
      <c r="AZ329" s="4" t="s">
        <v>16</v>
      </c>
      <c r="BA329" s="43" t="str">
        <f>IF(VLOOKUP(AZ329,βοηθητικό!$J$2:$N$354,3,FALSE)="","",VLOOKUP(AZ329,βοηθητικό!$J$2:$N$354,3,FALSE))</f>
        <v>_</v>
      </c>
      <c r="BB329" s="44"/>
      <c r="BC329" s="45" t="s">
        <v>16</v>
      </c>
      <c r="BD329" s="46" t="str">
        <f>IF(VLOOKUP(BC329,βοηθητικό!$J$2:$N$354,3,FALSE)="","",VLOOKUP(BC329,βοηθητικό!$J$2:$N$354,3,FALSE))</f>
        <v>_</v>
      </c>
      <c r="BE329" s="47"/>
      <c r="BF329" s="42" t="s">
        <v>16</v>
      </c>
      <c r="BG329" s="43" t="str">
        <f>IF(VLOOKUP(BF329,βοηθητικό!$J$2:$N$354,3,FALSE)="","",VLOOKUP(BF329,βοηθητικό!$J$2:$N$354,3,FALSE))</f>
        <v>_</v>
      </c>
      <c r="BH329" s="44"/>
      <c r="BI329" s="45" t="s">
        <v>16</v>
      </c>
      <c r="BJ329" s="46" t="str">
        <f>IF(VLOOKUP(BI329,βοηθητικό!$J$2:$N$354,3,FALSE)="","",VLOOKUP(BI329,βοηθητικό!$J$2:$N$354,3,FALSE))</f>
        <v>_</v>
      </c>
      <c r="BK329" s="47"/>
      <c r="BL329" s="42" t="s">
        <v>16</v>
      </c>
      <c r="BM329" s="43" t="str">
        <f>IF(VLOOKUP(BL329,βοηθητικό!$J$2:$N$354,3,FALSE)="","",VLOOKUP(BL329,βοηθητικό!$J$2:$N$354,3,FALSE))</f>
        <v>_</v>
      </c>
      <c r="BN329" s="44"/>
      <c r="BO329" s="45" t="s">
        <v>16</v>
      </c>
      <c r="BP329" s="46" t="str">
        <f>IF(VLOOKUP(BO329,βοηθητικό!$J$2:$N$354,3,FALSE)="","",VLOOKUP(BO329,βοηθητικό!$J$2:$N$354,3,FALSE))</f>
        <v>_</v>
      </c>
      <c r="BQ329" s="47"/>
      <c r="BR329" s="42" t="s">
        <v>16</v>
      </c>
      <c r="BS329" s="43" t="str">
        <f>IF(VLOOKUP(BR329,βοηθητικό!$J$2:$N$354,3,FALSE)="","",VLOOKUP(BR329,βοηθητικό!$J$2:$N$354,3,FALSE))</f>
        <v>_</v>
      </c>
      <c r="BT329" s="44"/>
      <c r="BU329" s="45" t="s">
        <v>16</v>
      </c>
      <c r="BV329" s="46" t="str">
        <f>IF(VLOOKUP(BU329,βοηθητικό!$J$2:$N$354,3,FALSE)="","",VLOOKUP(BU329,βοηθητικό!$J$2:$N$354,3,FALSE))</f>
        <v>_</v>
      </c>
      <c r="BW329" s="47"/>
      <c r="BX329" s="42" t="s">
        <v>16</v>
      </c>
      <c r="BY329" s="43" t="str">
        <f>IF(VLOOKUP(BX329,βοηθητικό!$J$2:$N$354,3,FALSE)="","",VLOOKUP(BX329,βοηθητικό!$J$2:$N$354,3,FALSE))</f>
        <v>_</v>
      </c>
      <c r="BZ329" s="44"/>
      <c r="CA329" s="45" t="s">
        <v>16</v>
      </c>
      <c r="CB329" s="46" t="str">
        <f>IF(VLOOKUP(CA329,βοηθητικό!$J$2:$N$354,3,FALSE)="","",VLOOKUP(CA329,βοηθητικό!$J$2:$N$354,3,FALSE))</f>
        <v>_</v>
      </c>
      <c r="CC329" s="47"/>
      <c r="CD329" s="42" t="s">
        <v>16</v>
      </c>
      <c r="CE329" s="43" t="str">
        <f>IF(VLOOKUP(CD329,βοηθητικό!$J$2:$N$354,3,FALSE)="","",VLOOKUP(CD329,βοηθητικό!$J$2:$N$354,3,FALSE))</f>
        <v>_</v>
      </c>
      <c r="CF329" s="44"/>
      <c r="CG329" s="45" t="s">
        <v>16</v>
      </c>
      <c r="CH329" s="46" t="str">
        <f>IF(VLOOKUP(CG329,βοηθητικό!$J$2:$N$354,3,FALSE)="","",VLOOKUP(CG329,βοηθητικό!$J$2:$N$354,3,FALSE))</f>
        <v>_</v>
      </c>
      <c r="CI329" s="47"/>
      <c r="CJ329" s="42" t="s">
        <v>16</v>
      </c>
      <c r="CK329" s="43" t="str">
        <f>IF(VLOOKUP(CJ329,βοηθητικό!$J$2:$N$354,3,FALSE)="","",VLOOKUP(CJ329,βοηθητικό!$J$2:$N$354,3,FALSE))</f>
        <v>_</v>
      </c>
      <c r="CL329" s="44"/>
      <c r="CM329" s="45" t="s">
        <v>16</v>
      </c>
      <c r="CN329" s="46" t="str">
        <f>IF(VLOOKUP(CM329,βοηθητικό!$J$2:$N$354,3,FALSE)="","",VLOOKUP(CM329,βοηθητικό!$J$2:$N$354,3,FALSE))</f>
        <v>_</v>
      </c>
      <c r="CO329" s="47"/>
      <c r="CP329" s="42" t="s">
        <v>16</v>
      </c>
      <c r="CQ329" s="43" t="str">
        <f>IF(VLOOKUP(CP329,βοηθητικό!$J$2:$N$354,3,FALSE)="","",VLOOKUP(CP329,βοηθητικό!$J$2:$N$354,3,FALSE))</f>
        <v>_</v>
      </c>
      <c r="CR329" s="44"/>
      <c r="CS329" s="45" t="s">
        <v>16</v>
      </c>
      <c r="CT329" s="46" t="str">
        <f>IF(VLOOKUP(CS329,βοηθητικό!$J$2:$N$354,3,FALSE)="","",VLOOKUP(CS329,βοηθητικό!$J$2:$N$354,3,FALSE))</f>
        <v>_</v>
      </c>
      <c r="CU329" s="47"/>
    </row>
    <row r="330" spans="1:99" x14ac:dyDescent="0.25">
      <c r="A330" s="37">
        <f>--SUBTOTAL(3,$B$3:B329)</f>
        <v>198</v>
      </c>
      <c r="B330" s="2"/>
      <c r="C330" s="3"/>
      <c r="D330" s="55" t="s">
        <v>18</v>
      </c>
      <c r="E330" s="38" t="s">
        <v>16</v>
      </c>
      <c r="F330" s="38" t="s">
        <v>16</v>
      </c>
      <c r="G330" s="39" t="str">
        <f t="shared" si="17"/>
        <v>__</v>
      </c>
      <c r="H330" s="40" t="str">
        <f t="shared" si="18"/>
        <v>FALSE</v>
      </c>
      <c r="I330" s="41">
        <f t="shared" si="19"/>
        <v>0</v>
      </c>
      <c r="J330" s="4" t="s">
        <v>16</v>
      </c>
      <c r="K330" s="43" t="str">
        <f>IF(VLOOKUP(J330,βοηθητικό!$J$2:$N$354,3,FALSE)="","",VLOOKUP(J330,βοηθητικό!$J$2:$N$354,3,FALSE))</f>
        <v>_</v>
      </c>
      <c r="L330" s="44"/>
      <c r="M330" s="5" t="s">
        <v>16</v>
      </c>
      <c r="N330" s="46" t="str">
        <f>IF(VLOOKUP(M330,βοηθητικό!$J$2:$N$354,3,FALSE)="","",VLOOKUP(M330,βοηθητικό!$J$2:$N$354,3,FALSE))</f>
        <v>_</v>
      </c>
      <c r="O330" s="47"/>
      <c r="P330" s="4" t="s">
        <v>16</v>
      </c>
      <c r="Q330" s="43" t="str">
        <f>IF(VLOOKUP(P330,βοηθητικό!$J$2:$N$354,3,FALSE)="","",VLOOKUP(P330,βοηθητικό!$J$2:$N$354,3,FALSE))</f>
        <v>_</v>
      </c>
      <c r="R330" s="44"/>
      <c r="S330" s="5" t="s">
        <v>16</v>
      </c>
      <c r="T330" s="46" t="str">
        <f>IF(VLOOKUP(S330,βοηθητικό!$J$2:$N$354,3,FALSE)="","",VLOOKUP(S330,βοηθητικό!$J$2:$N$354,3,FALSE))</f>
        <v>_</v>
      </c>
      <c r="U330" s="47"/>
      <c r="V330" s="4" t="s">
        <v>16</v>
      </c>
      <c r="W330" s="43" t="str">
        <f>IF(VLOOKUP(V330,βοηθητικό!$J$2:$N$354,3,FALSE)="","",VLOOKUP(V330,βοηθητικό!$J$2:$N$354,3,FALSE))</f>
        <v>_</v>
      </c>
      <c r="X330" s="44"/>
      <c r="Y330" s="5" t="s">
        <v>16</v>
      </c>
      <c r="Z330" s="46" t="str">
        <f>IF(VLOOKUP(Y330,βοηθητικό!$J$2:$N$354,3,FALSE)="","",VLOOKUP(Y330,βοηθητικό!$J$2:$N$354,3,FALSE))</f>
        <v>_</v>
      </c>
      <c r="AA330" s="47"/>
      <c r="AB330" s="4" t="s">
        <v>16</v>
      </c>
      <c r="AC330" s="43" t="str">
        <f>IF(VLOOKUP(AB330,βοηθητικό!$J$2:$N$354,3,FALSE)="","",VLOOKUP(AB330,βοηθητικό!$J$2:$N$354,3,FALSE))</f>
        <v>_</v>
      </c>
      <c r="AD330" s="44"/>
      <c r="AE330" s="5" t="s">
        <v>16</v>
      </c>
      <c r="AF330" s="46" t="str">
        <f>IF(VLOOKUP(AE330,βοηθητικό!$J$2:$N$354,3,FALSE)="","",VLOOKUP(AE330,βοηθητικό!$J$2:$N$354,3,FALSE))</f>
        <v>_</v>
      </c>
      <c r="AG330" s="47"/>
      <c r="AH330" s="4" t="s">
        <v>16</v>
      </c>
      <c r="AI330" s="43" t="str">
        <f>IF(VLOOKUP(AH330,βοηθητικό!$J$2:$N$354,3,FALSE)="","",VLOOKUP(AH330,βοηθητικό!$J$2:$N$354,3,FALSE))</f>
        <v>_</v>
      </c>
      <c r="AJ330" s="44"/>
      <c r="AK330" s="5" t="s">
        <v>16</v>
      </c>
      <c r="AL330" s="46" t="str">
        <f>IF(VLOOKUP(AK330,βοηθητικό!$J$2:$N$354,3,FALSE)="","",VLOOKUP(AK330,βοηθητικό!$J$2:$N$354,3,FALSE))</f>
        <v>_</v>
      </c>
      <c r="AM330" s="47"/>
      <c r="AN330" s="4" t="s">
        <v>16</v>
      </c>
      <c r="AO330" s="43" t="str">
        <f>IF(VLOOKUP(AN330,βοηθητικό!$J$2:$N$354,3,FALSE)="","",VLOOKUP(AN330,βοηθητικό!$J$2:$N$354,3,FALSE))</f>
        <v>_</v>
      </c>
      <c r="AP330" s="44"/>
      <c r="AQ330" s="5" t="s">
        <v>16</v>
      </c>
      <c r="AR330" s="46" t="str">
        <f>IF(VLOOKUP(AQ330,βοηθητικό!$J$2:$N$354,3,FALSE)="","",VLOOKUP(AQ330,βοηθητικό!$J$2:$N$354,3,FALSE))</f>
        <v>_</v>
      </c>
      <c r="AS330" s="47"/>
      <c r="AT330" s="4" t="s">
        <v>16</v>
      </c>
      <c r="AU330" s="43" t="str">
        <f>IF(VLOOKUP(AT330,βοηθητικό!$J$2:$N$354,3,FALSE)="","",VLOOKUP(AT330,βοηθητικό!$J$2:$N$354,3,FALSE))</f>
        <v>_</v>
      </c>
      <c r="AV330" s="44"/>
      <c r="AW330" s="5" t="s">
        <v>16</v>
      </c>
      <c r="AX330" s="46" t="str">
        <f>IF(VLOOKUP(AW330,βοηθητικό!$J$2:$N$354,3,FALSE)="","",VLOOKUP(AW330,βοηθητικό!$J$2:$N$354,3,FALSE))</f>
        <v>_</v>
      </c>
      <c r="AY330" s="47"/>
      <c r="AZ330" s="4" t="s">
        <v>16</v>
      </c>
      <c r="BA330" s="43" t="str">
        <f>IF(VLOOKUP(AZ330,βοηθητικό!$J$2:$N$354,3,FALSE)="","",VLOOKUP(AZ330,βοηθητικό!$J$2:$N$354,3,FALSE))</f>
        <v>_</v>
      </c>
      <c r="BB330" s="44"/>
      <c r="BC330" s="45" t="s">
        <v>16</v>
      </c>
      <c r="BD330" s="46" t="str">
        <f>IF(VLOOKUP(BC330,βοηθητικό!$J$2:$N$354,3,FALSE)="","",VLOOKUP(BC330,βοηθητικό!$J$2:$N$354,3,FALSE))</f>
        <v>_</v>
      </c>
      <c r="BE330" s="47"/>
      <c r="BF330" s="42" t="s">
        <v>16</v>
      </c>
      <c r="BG330" s="43" t="str">
        <f>IF(VLOOKUP(BF330,βοηθητικό!$J$2:$N$354,3,FALSE)="","",VLOOKUP(BF330,βοηθητικό!$J$2:$N$354,3,FALSE))</f>
        <v>_</v>
      </c>
      <c r="BH330" s="44"/>
      <c r="BI330" s="45" t="s">
        <v>16</v>
      </c>
      <c r="BJ330" s="46" t="str">
        <f>IF(VLOOKUP(BI330,βοηθητικό!$J$2:$N$354,3,FALSE)="","",VLOOKUP(BI330,βοηθητικό!$J$2:$N$354,3,FALSE))</f>
        <v>_</v>
      </c>
      <c r="BK330" s="47"/>
      <c r="BL330" s="42" t="s">
        <v>16</v>
      </c>
      <c r="BM330" s="43" t="str">
        <f>IF(VLOOKUP(BL330,βοηθητικό!$J$2:$N$354,3,FALSE)="","",VLOOKUP(BL330,βοηθητικό!$J$2:$N$354,3,FALSE))</f>
        <v>_</v>
      </c>
      <c r="BN330" s="44"/>
      <c r="BO330" s="45" t="s">
        <v>16</v>
      </c>
      <c r="BP330" s="46" t="str">
        <f>IF(VLOOKUP(BO330,βοηθητικό!$J$2:$N$354,3,FALSE)="","",VLOOKUP(BO330,βοηθητικό!$J$2:$N$354,3,FALSE))</f>
        <v>_</v>
      </c>
      <c r="BQ330" s="47"/>
      <c r="BR330" s="42" t="s">
        <v>16</v>
      </c>
      <c r="BS330" s="43" t="str">
        <f>IF(VLOOKUP(BR330,βοηθητικό!$J$2:$N$354,3,FALSE)="","",VLOOKUP(BR330,βοηθητικό!$J$2:$N$354,3,FALSE))</f>
        <v>_</v>
      </c>
      <c r="BT330" s="44"/>
      <c r="BU330" s="45" t="s">
        <v>16</v>
      </c>
      <c r="BV330" s="46" t="str">
        <f>IF(VLOOKUP(BU330,βοηθητικό!$J$2:$N$354,3,FALSE)="","",VLOOKUP(BU330,βοηθητικό!$J$2:$N$354,3,FALSE))</f>
        <v>_</v>
      </c>
      <c r="BW330" s="47"/>
      <c r="BX330" s="42" t="s">
        <v>16</v>
      </c>
      <c r="BY330" s="43" t="str">
        <f>IF(VLOOKUP(BX330,βοηθητικό!$J$2:$N$354,3,FALSE)="","",VLOOKUP(BX330,βοηθητικό!$J$2:$N$354,3,FALSE))</f>
        <v>_</v>
      </c>
      <c r="BZ330" s="44"/>
      <c r="CA330" s="45" t="s">
        <v>16</v>
      </c>
      <c r="CB330" s="46" t="str">
        <f>IF(VLOOKUP(CA330,βοηθητικό!$J$2:$N$354,3,FALSE)="","",VLOOKUP(CA330,βοηθητικό!$J$2:$N$354,3,FALSE))</f>
        <v>_</v>
      </c>
      <c r="CC330" s="47"/>
      <c r="CD330" s="42" t="s">
        <v>16</v>
      </c>
      <c r="CE330" s="43" t="str">
        <f>IF(VLOOKUP(CD330,βοηθητικό!$J$2:$N$354,3,FALSE)="","",VLOOKUP(CD330,βοηθητικό!$J$2:$N$354,3,FALSE))</f>
        <v>_</v>
      </c>
      <c r="CF330" s="44"/>
      <c r="CG330" s="45" t="s">
        <v>16</v>
      </c>
      <c r="CH330" s="46" t="str">
        <f>IF(VLOOKUP(CG330,βοηθητικό!$J$2:$N$354,3,FALSE)="","",VLOOKUP(CG330,βοηθητικό!$J$2:$N$354,3,FALSE))</f>
        <v>_</v>
      </c>
      <c r="CI330" s="47"/>
      <c r="CJ330" s="42" t="s">
        <v>16</v>
      </c>
      <c r="CK330" s="43" t="str">
        <f>IF(VLOOKUP(CJ330,βοηθητικό!$J$2:$N$354,3,FALSE)="","",VLOOKUP(CJ330,βοηθητικό!$J$2:$N$354,3,FALSE))</f>
        <v>_</v>
      </c>
      <c r="CL330" s="44"/>
      <c r="CM330" s="45" t="s">
        <v>16</v>
      </c>
      <c r="CN330" s="46" t="str">
        <f>IF(VLOOKUP(CM330,βοηθητικό!$J$2:$N$354,3,FALSE)="","",VLOOKUP(CM330,βοηθητικό!$J$2:$N$354,3,FALSE))</f>
        <v>_</v>
      </c>
      <c r="CO330" s="47"/>
      <c r="CP330" s="42" t="s">
        <v>16</v>
      </c>
      <c r="CQ330" s="43" t="str">
        <f>IF(VLOOKUP(CP330,βοηθητικό!$J$2:$N$354,3,FALSE)="","",VLOOKUP(CP330,βοηθητικό!$J$2:$N$354,3,FALSE))</f>
        <v>_</v>
      </c>
      <c r="CR330" s="44"/>
      <c r="CS330" s="45" t="s">
        <v>16</v>
      </c>
      <c r="CT330" s="46" t="str">
        <f>IF(VLOOKUP(CS330,βοηθητικό!$J$2:$N$354,3,FALSE)="","",VLOOKUP(CS330,βοηθητικό!$J$2:$N$354,3,FALSE))</f>
        <v>_</v>
      </c>
      <c r="CU330" s="47"/>
    </row>
    <row r="331" spans="1:99" x14ac:dyDescent="0.25">
      <c r="A331" s="37">
        <f>--SUBTOTAL(3,$B$3:B330)</f>
        <v>198</v>
      </c>
      <c r="B331" s="2"/>
      <c r="C331" s="3"/>
      <c r="D331" s="55" t="s">
        <v>18</v>
      </c>
      <c r="E331" s="38" t="s">
        <v>16</v>
      </c>
      <c r="F331" s="38" t="s">
        <v>16</v>
      </c>
      <c r="G331" s="39" t="str">
        <f t="shared" si="17"/>
        <v>__</v>
      </c>
      <c r="H331" s="40" t="str">
        <f t="shared" si="18"/>
        <v>FALSE</v>
      </c>
      <c r="I331" s="41">
        <f t="shared" si="19"/>
        <v>0</v>
      </c>
      <c r="J331" s="4" t="s">
        <v>16</v>
      </c>
      <c r="K331" s="43" t="str">
        <f>IF(VLOOKUP(J331,βοηθητικό!$J$2:$N$354,3,FALSE)="","",VLOOKUP(J331,βοηθητικό!$J$2:$N$354,3,FALSE))</f>
        <v>_</v>
      </c>
      <c r="L331" s="44"/>
      <c r="M331" s="5" t="s">
        <v>16</v>
      </c>
      <c r="N331" s="46" t="str">
        <f>IF(VLOOKUP(M331,βοηθητικό!$J$2:$N$354,3,FALSE)="","",VLOOKUP(M331,βοηθητικό!$J$2:$N$354,3,FALSE))</f>
        <v>_</v>
      </c>
      <c r="O331" s="47"/>
      <c r="P331" s="4" t="s">
        <v>16</v>
      </c>
      <c r="Q331" s="43" t="str">
        <f>IF(VLOOKUP(P331,βοηθητικό!$J$2:$N$354,3,FALSE)="","",VLOOKUP(P331,βοηθητικό!$J$2:$N$354,3,FALSE))</f>
        <v>_</v>
      </c>
      <c r="R331" s="44"/>
      <c r="S331" s="5" t="s">
        <v>16</v>
      </c>
      <c r="T331" s="46" t="str">
        <f>IF(VLOOKUP(S331,βοηθητικό!$J$2:$N$354,3,FALSE)="","",VLOOKUP(S331,βοηθητικό!$J$2:$N$354,3,FALSE))</f>
        <v>_</v>
      </c>
      <c r="U331" s="47"/>
      <c r="V331" s="4" t="s">
        <v>16</v>
      </c>
      <c r="W331" s="43" t="str">
        <f>IF(VLOOKUP(V331,βοηθητικό!$J$2:$N$354,3,FALSE)="","",VLOOKUP(V331,βοηθητικό!$J$2:$N$354,3,FALSE))</f>
        <v>_</v>
      </c>
      <c r="X331" s="44"/>
      <c r="Y331" s="5" t="s">
        <v>16</v>
      </c>
      <c r="Z331" s="46" t="str">
        <f>IF(VLOOKUP(Y331,βοηθητικό!$J$2:$N$354,3,FALSE)="","",VLOOKUP(Y331,βοηθητικό!$J$2:$N$354,3,FALSE))</f>
        <v>_</v>
      </c>
      <c r="AA331" s="47"/>
      <c r="AB331" s="4" t="s">
        <v>16</v>
      </c>
      <c r="AC331" s="43" t="str">
        <f>IF(VLOOKUP(AB331,βοηθητικό!$J$2:$N$354,3,FALSE)="","",VLOOKUP(AB331,βοηθητικό!$J$2:$N$354,3,FALSE))</f>
        <v>_</v>
      </c>
      <c r="AD331" s="44"/>
      <c r="AE331" s="5" t="s">
        <v>16</v>
      </c>
      <c r="AF331" s="46" t="str">
        <f>IF(VLOOKUP(AE331,βοηθητικό!$J$2:$N$354,3,FALSE)="","",VLOOKUP(AE331,βοηθητικό!$J$2:$N$354,3,FALSE))</f>
        <v>_</v>
      </c>
      <c r="AG331" s="47"/>
      <c r="AH331" s="4" t="s">
        <v>16</v>
      </c>
      <c r="AI331" s="43" t="str">
        <f>IF(VLOOKUP(AH331,βοηθητικό!$J$2:$N$354,3,FALSE)="","",VLOOKUP(AH331,βοηθητικό!$J$2:$N$354,3,FALSE))</f>
        <v>_</v>
      </c>
      <c r="AJ331" s="44"/>
      <c r="AK331" s="5" t="s">
        <v>16</v>
      </c>
      <c r="AL331" s="46" t="str">
        <f>IF(VLOOKUP(AK331,βοηθητικό!$J$2:$N$354,3,FALSE)="","",VLOOKUP(AK331,βοηθητικό!$J$2:$N$354,3,FALSE))</f>
        <v>_</v>
      </c>
      <c r="AM331" s="47"/>
      <c r="AN331" s="4" t="s">
        <v>16</v>
      </c>
      <c r="AO331" s="43" t="str">
        <f>IF(VLOOKUP(AN331,βοηθητικό!$J$2:$N$354,3,FALSE)="","",VLOOKUP(AN331,βοηθητικό!$J$2:$N$354,3,FALSE))</f>
        <v>_</v>
      </c>
      <c r="AP331" s="44"/>
      <c r="AQ331" s="5" t="s">
        <v>16</v>
      </c>
      <c r="AR331" s="46" t="str">
        <f>IF(VLOOKUP(AQ331,βοηθητικό!$J$2:$N$354,3,FALSE)="","",VLOOKUP(AQ331,βοηθητικό!$J$2:$N$354,3,FALSE))</f>
        <v>_</v>
      </c>
      <c r="AS331" s="47"/>
      <c r="AT331" s="4" t="s">
        <v>16</v>
      </c>
      <c r="AU331" s="43" t="str">
        <f>IF(VLOOKUP(AT331,βοηθητικό!$J$2:$N$354,3,FALSE)="","",VLOOKUP(AT331,βοηθητικό!$J$2:$N$354,3,FALSE))</f>
        <v>_</v>
      </c>
      <c r="AV331" s="44"/>
      <c r="AW331" s="5" t="s">
        <v>16</v>
      </c>
      <c r="AX331" s="46" t="str">
        <f>IF(VLOOKUP(AW331,βοηθητικό!$J$2:$N$354,3,FALSE)="","",VLOOKUP(AW331,βοηθητικό!$J$2:$N$354,3,FALSE))</f>
        <v>_</v>
      </c>
      <c r="AY331" s="47"/>
      <c r="AZ331" s="4" t="s">
        <v>16</v>
      </c>
      <c r="BA331" s="43" t="str">
        <f>IF(VLOOKUP(AZ331,βοηθητικό!$J$2:$N$354,3,FALSE)="","",VLOOKUP(AZ331,βοηθητικό!$J$2:$N$354,3,FALSE))</f>
        <v>_</v>
      </c>
      <c r="BB331" s="44"/>
      <c r="BC331" s="45" t="s">
        <v>16</v>
      </c>
      <c r="BD331" s="46" t="str">
        <f>IF(VLOOKUP(BC331,βοηθητικό!$J$2:$N$354,3,FALSE)="","",VLOOKUP(BC331,βοηθητικό!$J$2:$N$354,3,FALSE))</f>
        <v>_</v>
      </c>
      <c r="BE331" s="47"/>
      <c r="BF331" s="42" t="s">
        <v>16</v>
      </c>
      <c r="BG331" s="43" t="str">
        <f>IF(VLOOKUP(BF331,βοηθητικό!$J$2:$N$354,3,FALSE)="","",VLOOKUP(BF331,βοηθητικό!$J$2:$N$354,3,FALSE))</f>
        <v>_</v>
      </c>
      <c r="BH331" s="44"/>
      <c r="BI331" s="45" t="s">
        <v>16</v>
      </c>
      <c r="BJ331" s="46" t="str">
        <f>IF(VLOOKUP(BI331,βοηθητικό!$J$2:$N$354,3,FALSE)="","",VLOOKUP(BI331,βοηθητικό!$J$2:$N$354,3,FALSE))</f>
        <v>_</v>
      </c>
      <c r="BK331" s="47"/>
      <c r="BL331" s="42" t="s">
        <v>16</v>
      </c>
      <c r="BM331" s="43" t="str">
        <f>IF(VLOOKUP(BL331,βοηθητικό!$J$2:$N$354,3,FALSE)="","",VLOOKUP(BL331,βοηθητικό!$J$2:$N$354,3,FALSE))</f>
        <v>_</v>
      </c>
      <c r="BN331" s="44"/>
      <c r="BO331" s="45" t="s">
        <v>16</v>
      </c>
      <c r="BP331" s="46" t="str">
        <f>IF(VLOOKUP(BO331,βοηθητικό!$J$2:$N$354,3,FALSE)="","",VLOOKUP(BO331,βοηθητικό!$J$2:$N$354,3,FALSE))</f>
        <v>_</v>
      </c>
      <c r="BQ331" s="47"/>
      <c r="BR331" s="42" t="s">
        <v>16</v>
      </c>
      <c r="BS331" s="43" t="str">
        <f>IF(VLOOKUP(BR331,βοηθητικό!$J$2:$N$354,3,FALSE)="","",VLOOKUP(BR331,βοηθητικό!$J$2:$N$354,3,FALSE))</f>
        <v>_</v>
      </c>
      <c r="BT331" s="44"/>
      <c r="BU331" s="45" t="s">
        <v>16</v>
      </c>
      <c r="BV331" s="46" t="str">
        <f>IF(VLOOKUP(BU331,βοηθητικό!$J$2:$N$354,3,FALSE)="","",VLOOKUP(BU331,βοηθητικό!$J$2:$N$354,3,FALSE))</f>
        <v>_</v>
      </c>
      <c r="BW331" s="47"/>
      <c r="BX331" s="42" t="s">
        <v>16</v>
      </c>
      <c r="BY331" s="43" t="str">
        <f>IF(VLOOKUP(BX331,βοηθητικό!$J$2:$N$354,3,FALSE)="","",VLOOKUP(BX331,βοηθητικό!$J$2:$N$354,3,FALSE))</f>
        <v>_</v>
      </c>
      <c r="BZ331" s="44"/>
      <c r="CA331" s="45" t="s">
        <v>16</v>
      </c>
      <c r="CB331" s="46" t="str">
        <f>IF(VLOOKUP(CA331,βοηθητικό!$J$2:$N$354,3,FALSE)="","",VLOOKUP(CA331,βοηθητικό!$J$2:$N$354,3,FALSE))</f>
        <v>_</v>
      </c>
      <c r="CC331" s="47"/>
      <c r="CD331" s="42" t="s">
        <v>16</v>
      </c>
      <c r="CE331" s="43" t="str">
        <f>IF(VLOOKUP(CD331,βοηθητικό!$J$2:$N$354,3,FALSE)="","",VLOOKUP(CD331,βοηθητικό!$J$2:$N$354,3,FALSE))</f>
        <v>_</v>
      </c>
      <c r="CF331" s="44"/>
      <c r="CG331" s="45" t="s">
        <v>16</v>
      </c>
      <c r="CH331" s="46" t="str">
        <f>IF(VLOOKUP(CG331,βοηθητικό!$J$2:$N$354,3,FALSE)="","",VLOOKUP(CG331,βοηθητικό!$J$2:$N$354,3,FALSE))</f>
        <v>_</v>
      </c>
      <c r="CI331" s="47"/>
      <c r="CJ331" s="42" t="s">
        <v>16</v>
      </c>
      <c r="CK331" s="43" t="str">
        <f>IF(VLOOKUP(CJ331,βοηθητικό!$J$2:$N$354,3,FALSE)="","",VLOOKUP(CJ331,βοηθητικό!$J$2:$N$354,3,FALSE))</f>
        <v>_</v>
      </c>
      <c r="CL331" s="44"/>
      <c r="CM331" s="45" t="s">
        <v>16</v>
      </c>
      <c r="CN331" s="46" t="str">
        <f>IF(VLOOKUP(CM331,βοηθητικό!$J$2:$N$354,3,FALSE)="","",VLOOKUP(CM331,βοηθητικό!$J$2:$N$354,3,FALSE))</f>
        <v>_</v>
      </c>
      <c r="CO331" s="47"/>
      <c r="CP331" s="42" t="s">
        <v>16</v>
      </c>
      <c r="CQ331" s="43" t="str">
        <f>IF(VLOOKUP(CP331,βοηθητικό!$J$2:$N$354,3,FALSE)="","",VLOOKUP(CP331,βοηθητικό!$J$2:$N$354,3,FALSE))</f>
        <v>_</v>
      </c>
      <c r="CR331" s="44"/>
      <c r="CS331" s="45" t="s">
        <v>16</v>
      </c>
      <c r="CT331" s="46" t="str">
        <f>IF(VLOOKUP(CS331,βοηθητικό!$J$2:$N$354,3,FALSE)="","",VLOOKUP(CS331,βοηθητικό!$J$2:$N$354,3,FALSE))</f>
        <v>_</v>
      </c>
      <c r="CU331" s="47"/>
    </row>
    <row r="332" spans="1:99" x14ac:dyDescent="0.25">
      <c r="A332" s="37">
        <f>--SUBTOTAL(3,$B$3:B331)</f>
        <v>198</v>
      </c>
      <c r="B332" s="2"/>
      <c r="C332" s="3"/>
      <c r="D332" s="55" t="s">
        <v>18</v>
      </c>
      <c r="E332" s="38" t="s">
        <v>16</v>
      </c>
      <c r="F332" s="38" t="s">
        <v>16</v>
      </c>
      <c r="G332" s="39" t="str">
        <f t="shared" si="17"/>
        <v>__</v>
      </c>
      <c r="H332" s="40" t="str">
        <f t="shared" si="18"/>
        <v>FALSE</v>
      </c>
      <c r="I332" s="41">
        <f t="shared" si="19"/>
        <v>0</v>
      </c>
      <c r="J332" s="4" t="s">
        <v>16</v>
      </c>
      <c r="K332" s="43" t="str">
        <f>IF(VLOOKUP(J332,βοηθητικό!$J$2:$N$354,3,FALSE)="","",VLOOKUP(J332,βοηθητικό!$J$2:$N$354,3,FALSE))</f>
        <v>_</v>
      </c>
      <c r="L332" s="44"/>
      <c r="M332" s="5" t="s">
        <v>16</v>
      </c>
      <c r="N332" s="46" t="str">
        <f>IF(VLOOKUP(M332,βοηθητικό!$J$2:$N$354,3,FALSE)="","",VLOOKUP(M332,βοηθητικό!$J$2:$N$354,3,FALSE))</f>
        <v>_</v>
      </c>
      <c r="O332" s="47"/>
      <c r="P332" s="4" t="s">
        <v>16</v>
      </c>
      <c r="Q332" s="43" t="str">
        <f>IF(VLOOKUP(P332,βοηθητικό!$J$2:$N$354,3,FALSE)="","",VLOOKUP(P332,βοηθητικό!$J$2:$N$354,3,FALSE))</f>
        <v>_</v>
      </c>
      <c r="R332" s="44"/>
      <c r="S332" s="5" t="s">
        <v>16</v>
      </c>
      <c r="T332" s="46" t="str">
        <f>IF(VLOOKUP(S332,βοηθητικό!$J$2:$N$354,3,FALSE)="","",VLOOKUP(S332,βοηθητικό!$J$2:$N$354,3,FALSE))</f>
        <v>_</v>
      </c>
      <c r="U332" s="47"/>
      <c r="V332" s="4" t="s">
        <v>16</v>
      </c>
      <c r="W332" s="43" t="str">
        <f>IF(VLOOKUP(V332,βοηθητικό!$J$2:$N$354,3,FALSE)="","",VLOOKUP(V332,βοηθητικό!$J$2:$N$354,3,FALSE))</f>
        <v>_</v>
      </c>
      <c r="X332" s="44"/>
      <c r="Y332" s="5" t="s">
        <v>16</v>
      </c>
      <c r="Z332" s="46" t="str">
        <f>IF(VLOOKUP(Y332,βοηθητικό!$J$2:$N$354,3,FALSE)="","",VLOOKUP(Y332,βοηθητικό!$J$2:$N$354,3,FALSE))</f>
        <v>_</v>
      </c>
      <c r="AA332" s="47"/>
      <c r="AB332" s="4" t="s">
        <v>16</v>
      </c>
      <c r="AC332" s="43" t="str">
        <f>IF(VLOOKUP(AB332,βοηθητικό!$J$2:$N$354,3,FALSE)="","",VLOOKUP(AB332,βοηθητικό!$J$2:$N$354,3,FALSE))</f>
        <v>_</v>
      </c>
      <c r="AD332" s="44"/>
      <c r="AE332" s="5" t="s">
        <v>16</v>
      </c>
      <c r="AF332" s="46" t="str">
        <f>IF(VLOOKUP(AE332,βοηθητικό!$J$2:$N$354,3,FALSE)="","",VLOOKUP(AE332,βοηθητικό!$J$2:$N$354,3,FALSE))</f>
        <v>_</v>
      </c>
      <c r="AG332" s="47"/>
      <c r="AH332" s="4" t="s">
        <v>16</v>
      </c>
      <c r="AI332" s="43" t="str">
        <f>IF(VLOOKUP(AH332,βοηθητικό!$J$2:$N$354,3,FALSE)="","",VLOOKUP(AH332,βοηθητικό!$J$2:$N$354,3,FALSE))</f>
        <v>_</v>
      </c>
      <c r="AJ332" s="44"/>
      <c r="AK332" s="5" t="s">
        <v>16</v>
      </c>
      <c r="AL332" s="46" t="str">
        <f>IF(VLOOKUP(AK332,βοηθητικό!$J$2:$N$354,3,FALSE)="","",VLOOKUP(AK332,βοηθητικό!$J$2:$N$354,3,FALSE))</f>
        <v>_</v>
      </c>
      <c r="AM332" s="47"/>
      <c r="AN332" s="4" t="s">
        <v>16</v>
      </c>
      <c r="AO332" s="43" t="str">
        <f>IF(VLOOKUP(AN332,βοηθητικό!$J$2:$N$354,3,FALSE)="","",VLOOKUP(AN332,βοηθητικό!$J$2:$N$354,3,FALSE))</f>
        <v>_</v>
      </c>
      <c r="AP332" s="44"/>
      <c r="AQ332" s="5" t="s">
        <v>16</v>
      </c>
      <c r="AR332" s="46" t="str">
        <f>IF(VLOOKUP(AQ332,βοηθητικό!$J$2:$N$354,3,FALSE)="","",VLOOKUP(AQ332,βοηθητικό!$J$2:$N$354,3,FALSE))</f>
        <v>_</v>
      </c>
      <c r="AS332" s="47"/>
      <c r="AT332" s="4" t="s">
        <v>16</v>
      </c>
      <c r="AU332" s="43" t="str">
        <f>IF(VLOOKUP(AT332,βοηθητικό!$J$2:$N$354,3,FALSE)="","",VLOOKUP(AT332,βοηθητικό!$J$2:$N$354,3,FALSE))</f>
        <v>_</v>
      </c>
      <c r="AV332" s="44"/>
      <c r="AW332" s="5" t="s">
        <v>16</v>
      </c>
      <c r="AX332" s="46" t="str">
        <f>IF(VLOOKUP(AW332,βοηθητικό!$J$2:$N$354,3,FALSE)="","",VLOOKUP(AW332,βοηθητικό!$J$2:$N$354,3,FALSE))</f>
        <v>_</v>
      </c>
      <c r="AY332" s="47"/>
      <c r="AZ332" s="4" t="s">
        <v>16</v>
      </c>
      <c r="BA332" s="43" t="str">
        <f>IF(VLOOKUP(AZ332,βοηθητικό!$J$2:$N$354,3,FALSE)="","",VLOOKUP(AZ332,βοηθητικό!$J$2:$N$354,3,FALSE))</f>
        <v>_</v>
      </c>
      <c r="BB332" s="44"/>
      <c r="BC332" s="45" t="s">
        <v>16</v>
      </c>
      <c r="BD332" s="46" t="str">
        <f>IF(VLOOKUP(BC332,βοηθητικό!$J$2:$N$354,3,FALSE)="","",VLOOKUP(BC332,βοηθητικό!$J$2:$N$354,3,FALSE))</f>
        <v>_</v>
      </c>
      <c r="BE332" s="47"/>
      <c r="BF332" s="42" t="s">
        <v>16</v>
      </c>
      <c r="BG332" s="43" t="str">
        <f>IF(VLOOKUP(BF332,βοηθητικό!$J$2:$N$354,3,FALSE)="","",VLOOKUP(BF332,βοηθητικό!$J$2:$N$354,3,FALSE))</f>
        <v>_</v>
      </c>
      <c r="BH332" s="44"/>
      <c r="BI332" s="45" t="s">
        <v>16</v>
      </c>
      <c r="BJ332" s="46" t="str">
        <f>IF(VLOOKUP(BI332,βοηθητικό!$J$2:$N$354,3,FALSE)="","",VLOOKUP(BI332,βοηθητικό!$J$2:$N$354,3,FALSE))</f>
        <v>_</v>
      </c>
      <c r="BK332" s="47"/>
      <c r="BL332" s="42" t="s">
        <v>16</v>
      </c>
      <c r="BM332" s="43" t="str">
        <f>IF(VLOOKUP(BL332,βοηθητικό!$J$2:$N$354,3,FALSE)="","",VLOOKUP(BL332,βοηθητικό!$J$2:$N$354,3,FALSE))</f>
        <v>_</v>
      </c>
      <c r="BN332" s="44"/>
      <c r="BO332" s="45" t="s">
        <v>16</v>
      </c>
      <c r="BP332" s="46" t="str">
        <f>IF(VLOOKUP(BO332,βοηθητικό!$J$2:$N$354,3,FALSE)="","",VLOOKUP(BO332,βοηθητικό!$J$2:$N$354,3,FALSE))</f>
        <v>_</v>
      </c>
      <c r="BQ332" s="47"/>
      <c r="BR332" s="42" t="s">
        <v>16</v>
      </c>
      <c r="BS332" s="43" t="str">
        <f>IF(VLOOKUP(BR332,βοηθητικό!$J$2:$N$354,3,FALSE)="","",VLOOKUP(BR332,βοηθητικό!$J$2:$N$354,3,FALSE))</f>
        <v>_</v>
      </c>
      <c r="BT332" s="44"/>
      <c r="BU332" s="45" t="s">
        <v>16</v>
      </c>
      <c r="BV332" s="46" t="str">
        <f>IF(VLOOKUP(BU332,βοηθητικό!$J$2:$N$354,3,FALSE)="","",VLOOKUP(BU332,βοηθητικό!$J$2:$N$354,3,FALSE))</f>
        <v>_</v>
      </c>
      <c r="BW332" s="47"/>
      <c r="BX332" s="42" t="s">
        <v>16</v>
      </c>
      <c r="BY332" s="43" t="str">
        <f>IF(VLOOKUP(BX332,βοηθητικό!$J$2:$N$354,3,FALSE)="","",VLOOKUP(BX332,βοηθητικό!$J$2:$N$354,3,FALSE))</f>
        <v>_</v>
      </c>
      <c r="BZ332" s="44"/>
      <c r="CA332" s="45" t="s">
        <v>16</v>
      </c>
      <c r="CB332" s="46" t="str">
        <f>IF(VLOOKUP(CA332,βοηθητικό!$J$2:$N$354,3,FALSE)="","",VLOOKUP(CA332,βοηθητικό!$J$2:$N$354,3,FALSE))</f>
        <v>_</v>
      </c>
      <c r="CC332" s="47"/>
      <c r="CD332" s="42" t="s">
        <v>16</v>
      </c>
      <c r="CE332" s="43" t="str">
        <f>IF(VLOOKUP(CD332,βοηθητικό!$J$2:$N$354,3,FALSE)="","",VLOOKUP(CD332,βοηθητικό!$J$2:$N$354,3,FALSE))</f>
        <v>_</v>
      </c>
      <c r="CF332" s="44"/>
      <c r="CG332" s="45" t="s">
        <v>16</v>
      </c>
      <c r="CH332" s="46" t="str">
        <f>IF(VLOOKUP(CG332,βοηθητικό!$J$2:$N$354,3,FALSE)="","",VLOOKUP(CG332,βοηθητικό!$J$2:$N$354,3,FALSE))</f>
        <v>_</v>
      </c>
      <c r="CI332" s="47"/>
      <c r="CJ332" s="42" t="s">
        <v>16</v>
      </c>
      <c r="CK332" s="43" t="str">
        <f>IF(VLOOKUP(CJ332,βοηθητικό!$J$2:$N$354,3,FALSE)="","",VLOOKUP(CJ332,βοηθητικό!$J$2:$N$354,3,FALSE))</f>
        <v>_</v>
      </c>
      <c r="CL332" s="44"/>
      <c r="CM332" s="45" t="s">
        <v>16</v>
      </c>
      <c r="CN332" s="46" t="str">
        <f>IF(VLOOKUP(CM332,βοηθητικό!$J$2:$N$354,3,FALSE)="","",VLOOKUP(CM332,βοηθητικό!$J$2:$N$354,3,FALSE))</f>
        <v>_</v>
      </c>
      <c r="CO332" s="47"/>
      <c r="CP332" s="42" t="s">
        <v>16</v>
      </c>
      <c r="CQ332" s="43" t="str">
        <f>IF(VLOOKUP(CP332,βοηθητικό!$J$2:$N$354,3,FALSE)="","",VLOOKUP(CP332,βοηθητικό!$J$2:$N$354,3,FALSE))</f>
        <v>_</v>
      </c>
      <c r="CR332" s="44"/>
      <c r="CS332" s="45" t="s">
        <v>16</v>
      </c>
      <c r="CT332" s="46" t="str">
        <f>IF(VLOOKUP(CS332,βοηθητικό!$J$2:$N$354,3,FALSE)="","",VLOOKUP(CS332,βοηθητικό!$J$2:$N$354,3,FALSE))</f>
        <v>_</v>
      </c>
      <c r="CU332" s="47"/>
    </row>
    <row r="333" spans="1:99" x14ac:dyDescent="0.25">
      <c r="A333" s="37">
        <f>--SUBTOTAL(3,$B$3:B332)</f>
        <v>198</v>
      </c>
      <c r="B333" s="2"/>
      <c r="C333" s="3"/>
      <c r="D333" s="55" t="s">
        <v>18</v>
      </c>
      <c r="E333" s="38" t="s">
        <v>16</v>
      </c>
      <c r="F333" s="38" t="s">
        <v>16</v>
      </c>
      <c r="G333" s="39" t="str">
        <f t="shared" si="17"/>
        <v>__</v>
      </c>
      <c r="H333" s="40" t="str">
        <f t="shared" si="18"/>
        <v>FALSE</v>
      </c>
      <c r="I333" s="41">
        <f t="shared" si="19"/>
        <v>0</v>
      </c>
      <c r="J333" s="4" t="s">
        <v>16</v>
      </c>
      <c r="K333" s="43" t="str">
        <f>IF(VLOOKUP(J333,βοηθητικό!$J$2:$N$354,3,FALSE)="","",VLOOKUP(J333,βοηθητικό!$J$2:$N$354,3,FALSE))</f>
        <v>_</v>
      </c>
      <c r="L333" s="44"/>
      <c r="M333" s="5" t="s">
        <v>16</v>
      </c>
      <c r="N333" s="46" t="str">
        <f>IF(VLOOKUP(M333,βοηθητικό!$J$2:$N$354,3,FALSE)="","",VLOOKUP(M333,βοηθητικό!$J$2:$N$354,3,FALSE))</f>
        <v>_</v>
      </c>
      <c r="O333" s="47"/>
      <c r="P333" s="4" t="s">
        <v>16</v>
      </c>
      <c r="Q333" s="43" t="str">
        <f>IF(VLOOKUP(P333,βοηθητικό!$J$2:$N$354,3,FALSE)="","",VLOOKUP(P333,βοηθητικό!$J$2:$N$354,3,FALSE))</f>
        <v>_</v>
      </c>
      <c r="R333" s="44"/>
      <c r="S333" s="5" t="s">
        <v>16</v>
      </c>
      <c r="T333" s="46" t="str">
        <f>IF(VLOOKUP(S333,βοηθητικό!$J$2:$N$354,3,FALSE)="","",VLOOKUP(S333,βοηθητικό!$J$2:$N$354,3,FALSE))</f>
        <v>_</v>
      </c>
      <c r="U333" s="47"/>
      <c r="V333" s="4" t="s">
        <v>16</v>
      </c>
      <c r="W333" s="43" t="str">
        <f>IF(VLOOKUP(V333,βοηθητικό!$J$2:$N$354,3,FALSE)="","",VLOOKUP(V333,βοηθητικό!$J$2:$N$354,3,FALSE))</f>
        <v>_</v>
      </c>
      <c r="X333" s="44"/>
      <c r="Y333" s="5" t="s">
        <v>16</v>
      </c>
      <c r="Z333" s="46" t="str">
        <f>IF(VLOOKUP(Y333,βοηθητικό!$J$2:$N$354,3,FALSE)="","",VLOOKUP(Y333,βοηθητικό!$J$2:$N$354,3,FALSE))</f>
        <v>_</v>
      </c>
      <c r="AA333" s="47"/>
      <c r="AB333" s="4" t="s">
        <v>16</v>
      </c>
      <c r="AC333" s="43" t="str">
        <f>IF(VLOOKUP(AB333,βοηθητικό!$J$2:$N$354,3,FALSE)="","",VLOOKUP(AB333,βοηθητικό!$J$2:$N$354,3,FALSE))</f>
        <v>_</v>
      </c>
      <c r="AD333" s="44"/>
      <c r="AE333" s="5" t="s">
        <v>16</v>
      </c>
      <c r="AF333" s="46" t="str">
        <f>IF(VLOOKUP(AE333,βοηθητικό!$J$2:$N$354,3,FALSE)="","",VLOOKUP(AE333,βοηθητικό!$J$2:$N$354,3,FALSE))</f>
        <v>_</v>
      </c>
      <c r="AG333" s="47"/>
      <c r="AH333" s="4" t="s">
        <v>16</v>
      </c>
      <c r="AI333" s="43" t="str">
        <f>IF(VLOOKUP(AH333,βοηθητικό!$J$2:$N$354,3,FALSE)="","",VLOOKUP(AH333,βοηθητικό!$J$2:$N$354,3,FALSE))</f>
        <v>_</v>
      </c>
      <c r="AJ333" s="44"/>
      <c r="AK333" s="5" t="s">
        <v>16</v>
      </c>
      <c r="AL333" s="46" t="str">
        <f>IF(VLOOKUP(AK333,βοηθητικό!$J$2:$N$354,3,FALSE)="","",VLOOKUP(AK333,βοηθητικό!$J$2:$N$354,3,FALSE))</f>
        <v>_</v>
      </c>
      <c r="AM333" s="47"/>
      <c r="AN333" s="4" t="s">
        <v>16</v>
      </c>
      <c r="AO333" s="43" t="str">
        <f>IF(VLOOKUP(AN333,βοηθητικό!$J$2:$N$354,3,FALSE)="","",VLOOKUP(AN333,βοηθητικό!$J$2:$N$354,3,FALSE))</f>
        <v>_</v>
      </c>
      <c r="AP333" s="44"/>
      <c r="AQ333" s="5" t="s">
        <v>16</v>
      </c>
      <c r="AR333" s="46" t="str">
        <f>IF(VLOOKUP(AQ333,βοηθητικό!$J$2:$N$354,3,FALSE)="","",VLOOKUP(AQ333,βοηθητικό!$J$2:$N$354,3,FALSE))</f>
        <v>_</v>
      </c>
      <c r="AS333" s="47"/>
      <c r="AT333" s="4" t="s">
        <v>16</v>
      </c>
      <c r="AU333" s="43" t="str">
        <f>IF(VLOOKUP(AT333,βοηθητικό!$J$2:$N$354,3,FALSE)="","",VLOOKUP(AT333,βοηθητικό!$J$2:$N$354,3,FALSE))</f>
        <v>_</v>
      </c>
      <c r="AV333" s="44"/>
      <c r="AW333" s="5" t="s">
        <v>16</v>
      </c>
      <c r="AX333" s="46" t="str">
        <f>IF(VLOOKUP(AW333,βοηθητικό!$J$2:$N$354,3,FALSE)="","",VLOOKUP(AW333,βοηθητικό!$J$2:$N$354,3,FALSE))</f>
        <v>_</v>
      </c>
      <c r="AY333" s="47"/>
      <c r="AZ333" s="4" t="s">
        <v>16</v>
      </c>
      <c r="BA333" s="43" t="str">
        <f>IF(VLOOKUP(AZ333,βοηθητικό!$J$2:$N$354,3,FALSE)="","",VLOOKUP(AZ333,βοηθητικό!$J$2:$N$354,3,FALSE))</f>
        <v>_</v>
      </c>
      <c r="BB333" s="44"/>
      <c r="BC333" s="45" t="s">
        <v>16</v>
      </c>
      <c r="BD333" s="46" t="str">
        <f>IF(VLOOKUP(BC333,βοηθητικό!$J$2:$N$354,3,FALSE)="","",VLOOKUP(BC333,βοηθητικό!$J$2:$N$354,3,FALSE))</f>
        <v>_</v>
      </c>
      <c r="BE333" s="47"/>
      <c r="BF333" s="42" t="s">
        <v>16</v>
      </c>
      <c r="BG333" s="43" t="str">
        <f>IF(VLOOKUP(BF333,βοηθητικό!$J$2:$N$354,3,FALSE)="","",VLOOKUP(BF333,βοηθητικό!$J$2:$N$354,3,FALSE))</f>
        <v>_</v>
      </c>
      <c r="BH333" s="44"/>
      <c r="BI333" s="45" t="s">
        <v>16</v>
      </c>
      <c r="BJ333" s="46" t="str">
        <f>IF(VLOOKUP(BI333,βοηθητικό!$J$2:$N$354,3,FALSE)="","",VLOOKUP(BI333,βοηθητικό!$J$2:$N$354,3,FALSE))</f>
        <v>_</v>
      </c>
      <c r="BK333" s="47"/>
      <c r="BL333" s="42" t="s">
        <v>16</v>
      </c>
      <c r="BM333" s="43" t="str">
        <f>IF(VLOOKUP(BL333,βοηθητικό!$J$2:$N$354,3,FALSE)="","",VLOOKUP(BL333,βοηθητικό!$J$2:$N$354,3,FALSE))</f>
        <v>_</v>
      </c>
      <c r="BN333" s="44"/>
      <c r="BO333" s="45" t="s">
        <v>16</v>
      </c>
      <c r="BP333" s="46" t="str">
        <f>IF(VLOOKUP(BO333,βοηθητικό!$J$2:$N$354,3,FALSE)="","",VLOOKUP(BO333,βοηθητικό!$J$2:$N$354,3,FALSE))</f>
        <v>_</v>
      </c>
      <c r="BQ333" s="47"/>
      <c r="BR333" s="42" t="s">
        <v>16</v>
      </c>
      <c r="BS333" s="43" t="str">
        <f>IF(VLOOKUP(BR333,βοηθητικό!$J$2:$N$354,3,FALSE)="","",VLOOKUP(BR333,βοηθητικό!$J$2:$N$354,3,FALSE))</f>
        <v>_</v>
      </c>
      <c r="BT333" s="44"/>
      <c r="BU333" s="45" t="s">
        <v>16</v>
      </c>
      <c r="BV333" s="46" t="str">
        <f>IF(VLOOKUP(BU333,βοηθητικό!$J$2:$N$354,3,FALSE)="","",VLOOKUP(BU333,βοηθητικό!$J$2:$N$354,3,FALSE))</f>
        <v>_</v>
      </c>
      <c r="BW333" s="47"/>
      <c r="BX333" s="42" t="s">
        <v>16</v>
      </c>
      <c r="BY333" s="43" t="str">
        <f>IF(VLOOKUP(BX333,βοηθητικό!$J$2:$N$354,3,FALSE)="","",VLOOKUP(BX333,βοηθητικό!$J$2:$N$354,3,FALSE))</f>
        <v>_</v>
      </c>
      <c r="BZ333" s="44"/>
      <c r="CA333" s="45" t="s">
        <v>16</v>
      </c>
      <c r="CB333" s="46" t="str">
        <f>IF(VLOOKUP(CA333,βοηθητικό!$J$2:$N$354,3,FALSE)="","",VLOOKUP(CA333,βοηθητικό!$J$2:$N$354,3,FALSE))</f>
        <v>_</v>
      </c>
      <c r="CC333" s="47"/>
      <c r="CD333" s="42" t="s">
        <v>16</v>
      </c>
      <c r="CE333" s="43" t="str">
        <f>IF(VLOOKUP(CD333,βοηθητικό!$J$2:$N$354,3,FALSE)="","",VLOOKUP(CD333,βοηθητικό!$J$2:$N$354,3,FALSE))</f>
        <v>_</v>
      </c>
      <c r="CF333" s="44"/>
      <c r="CG333" s="45" t="s">
        <v>16</v>
      </c>
      <c r="CH333" s="46" t="str">
        <f>IF(VLOOKUP(CG333,βοηθητικό!$J$2:$N$354,3,FALSE)="","",VLOOKUP(CG333,βοηθητικό!$J$2:$N$354,3,FALSE))</f>
        <v>_</v>
      </c>
      <c r="CI333" s="47"/>
      <c r="CJ333" s="42" t="s">
        <v>16</v>
      </c>
      <c r="CK333" s="43" t="str">
        <f>IF(VLOOKUP(CJ333,βοηθητικό!$J$2:$N$354,3,FALSE)="","",VLOOKUP(CJ333,βοηθητικό!$J$2:$N$354,3,FALSE))</f>
        <v>_</v>
      </c>
      <c r="CL333" s="44"/>
      <c r="CM333" s="45" t="s">
        <v>16</v>
      </c>
      <c r="CN333" s="46" t="str">
        <f>IF(VLOOKUP(CM333,βοηθητικό!$J$2:$N$354,3,FALSE)="","",VLOOKUP(CM333,βοηθητικό!$J$2:$N$354,3,FALSE))</f>
        <v>_</v>
      </c>
      <c r="CO333" s="47"/>
      <c r="CP333" s="42" t="s">
        <v>16</v>
      </c>
      <c r="CQ333" s="43" t="str">
        <f>IF(VLOOKUP(CP333,βοηθητικό!$J$2:$N$354,3,FALSE)="","",VLOOKUP(CP333,βοηθητικό!$J$2:$N$354,3,FALSE))</f>
        <v>_</v>
      </c>
      <c r="CR333" s="44"/>
      <c r="CS333" s="45" t="s">
        <v>16</v>
      </c>
      <c r="CT333" s="46" t="str">
        <f>IF(VLOOKUP(CS333,βοηθητικό!$J$2:$N$354,3,FALSE)="","",VLOOKUP(CS333,βοηθητικό!$J$2:$N$354,3,FALSE))</f>
        <v>_</v>
      </c>
      <c r="CU333" s="47"/>
    </row>
    <row r="334" spans="1:99" x14ac:dyDescent="0.25">
      <c r="A334" s="37">
        <f>--SUBTOTAL(3,$B$3:B333)</f>
        <v>198</v>
      </c>
      <c r="B334" s="2"/>
      <c r="C334" s="3"/>
      <c r="D334" s="55" t="s">
        <v>18</v>
      </c>
      <c r="E334" s="38" t="s">
        <v>16</v>
      </c>
      <c r="F334" s="38" t="s">
        <v>16</v>
      </c>
      <c r="G334" s="39" t="str">
        <f t="shared" si="17"/>
        <v>__</v>
      </c>
      <c r="H334" s="40" t="str">
        <f t="shared" si="18"/>
        <v>FALSE</v>
      </c>
      <c r="I334" s="41">
        <f t="shared" si="19"/>
        <v>0</v>
      </c>
      <c r="J334" s="4" t="s">
        <v>16</v>
      </c>
      <c r="K334" s="43" t="str">
        <f>IF(VLOOKUP(J334,βοηθητικό!$J$2:$N$354,3,FALSE)="","",VLOOKUP(J334,βοηθητικό!$J$2:$N$354,3,FALSE))</f>
        <v>_</v>
      </c>
      <c r="L334" s="44"/>
      <c r="M334" s="5" t="s">
        <v>16</v>
      </c>
      <c r="N334" s="46" t="str">
        <f>IF(VLOOKUP(M334,βοηθητικό!$J$2:$N$354,3,FALSE)="","",VLOOKUP(M334,βοηθητικό!$J$2:$N$354,3,FALSE))</f>
        <v>_</v>
      </c>
      <c r="O334" s="47"/>
      <c r="P334" s="4" t="s">
        <v>16</v>
      </c>
      <c r="Q334" s="43" t="str">
        <f>IF(VLOOKUP(P334,βοηθητικό!$J$2:$N$354,3,FALSE)="","",VLOOKUP(P334,βοηθητικό!$J$2:$N$354,3,FALSE))</f>
        <v>_</v>
      </c>
      <c r="R334" s="44"/>
      <c r="S334" s="5" t="s">
        <v>16</v>
      </c>
      <c r="T334" s="46" t="str">
        <f>IF(VLOOKUP(S334,βοηθητικό!$J$2:$N$354,3,FALSE)="","",VLOOKUP(S334,βοηθητικό!$J$2:$N$354,3,FALSE))</f>
        <v>_</v>
      </c>
      <c r="U334" s="47"/>
      <c r="V334" s="4" t="s">
        <v>16</v>
      </c>
      <c r="W334" s="43" t="str">
        <f>IF(VLOOKUP(V334,βοηθητικό!$J$2:$N$354,3,FALSE)="","",VLOOKUP(V334,βοηθητικό!$J$2:$N$354,3,FALSE))</f>
        <v>_</v>
      </c>
      <c r="X334" s="44"/>
      <c r="Y334" s="5" t="s">
        <v>16</v>
      </c>
      <c r="Z334" s="46" t="str">
        <f>IF(VLOOKUP(Y334,βοηθητικό!$J$2:$N$354,3,FALSE)="","",VLOOKUP(Y334,βοηθητικό!$J$2:$N$354,3,FALSE))</f>
        <v>_</v>
      </c>
      <c r="AA334" s="47"/>
      <c r="AB334" s="4" t="s">
        <v>16</v>
      </c>
      <c r="AC334" s="43" t="str">
        <f>IF(VLOOKUP(AB334,βοηθητικό!$J$2:$N$354,3,FALSE)="","",VLOOKUP(AB334,βοηθητικό!$J$2:$N$354,3,FALSE))</f>
        <v>_</v>
      </c>
      <c r="AD334" s="44"/>
      <c r="AE334" s="5" t="s">
        <v>16</v>
      </c>
      <c r="AF334" s="46" t="str">
        <f>IF(VLOOKUP(AE334,βοηθητικό!$J$2:$N$354,3,FALSE)="","",VLOOKUP(AE334,βοηθητικό!$J$2:$N$354,3,FALSE))</f>
        <v>_</v>
      </c>
      <c r="AG334" s="47"/>
      <c r="AH334" s="4" t="s">
        <v>16</v>
      </c>
      <c r="AI334" s="43" t="str">
        <f>IF(VLOOKUP(AH334,βοηθητικό!$J$2:$N$354,3,FALSE)="","",VLOOKUP(AH334,βοηθητικό!$J$2:$N$354,3,FALSE))</f>
        <v>_</v>
      </c>
      <c r="AJ334" s="44"/>
      <c r="AK334" s="5" t="s">
        <v>16</v>
      </c>
      <c r="AL334" s="46" t="str">
        <f>IF(VLOOKUP(AK334,βοηθητικό!$J$2:$N$354,3,FALSE)="","",VLOOKUP(AK334,βοηθητικό!$J$2:$N$354,3,FALSE))</f>
        <v>_</v>
      </c>
      <c r="AM334" s="47"/>
      <c r="AN334" s="4" t="s">
        <v>16</v>
      </c>
      <c r="AO334" s="43" t="str">
        <f>IF(VLOOKUP(AN334,βοηθητικό!$J$2:$N$354,3,FALSE)="","",VLOOKUP(AN334,βοηθητικό!$J$2:$N$354,3,FALSE))</f>
        <v>_</v>
      </c>
      <c r="AP334" s="44"/>
      <c r="AQ334" s="5" t="s">
        <v>16</v>
      </c>
      <c r="AR334" s="46" t="str">
        <f>IF(VLOOKUP(AQ334,βοηθητικό!$J$2:$N$354,3,FALSE)="","",VLOOKUP(AQ334,βοηθητικό!$J$2:$N$354,3,FALSE))</f>
        <v>_</v>
      </c>
      <c r="AS334" s="47"/>
      <c r="AT334" s="4" t="s">
        <v>16</v>
      </c>
      <c r="AU334" s="43" t="str">
        <f>IF(VLOOKUP(AT334,βοηθητικό!$J$2:$N$354,3,FALSE)="","",VLOOKUP(AT334,βοηθητικό!$J$2:$N$354,3,FALSE))</f>
        <v>_</v>
      </c>
      <c r="AV334" s="44"/>
      <c r="AW334" s="5" t="s">
        <v>16</v>
      </c>
      <c r="AX334" s="46" t="str">
        <f>IF(VLOOKUP(AW334,βοηθητικό!$J$2:$N$354,3,FALSE)="","",VLOOKUP(AW334,βοηθητικό!$J$2:$N$354,3,FALSE))</f>
        <v>_</v>
      </c>
      <c r="AY334" s="47"/>
      <c r="AZ334" s="4" t="s">
        <v>16</v>
      </c>
      <c r="BA334" s="43" t="str">
        <f>IF(VLOOKUP(AZ334,βοηθητικό!$J$2:$N$354,3,FALSE)="","",VLOOKUP(AZ334,βοηθητικό!$J$2:$N$354,3,FALSE))</f>
        <v>_</v>
      </c>
      <c r="BB334" s="44"/>
      <c r="BC334" s="45" t="s">
        <v>16</v>
      </c>
      <c r="BD334" s="46" t="str">
        <f>IF(VLOOKUP(BC334,βοηθητικό!$J$2:$N$354,3,FALSE)="","",VLOOKUP(BC334,βοηθητικό!$J$2:$N$354,3,FALSE))</f>
        <v>_</v>
      </c>
      <c r="BE334" s="47"/>
      <c r="BF334" s="42" t="s">
        <v>16</v>
      </c>
      <c r="BG334" s="43" t="str">
        <f>IF(VLOOKUP(BF334,βοηθητικό!$J$2:$N$354,3,FALSE)="","",VLOOKUP(BF334,βοηθητικό!$J$2:$N$354,3,FALSE))</f>
        <v>_</v>
      </c>
      <c r="BH334" s="44"/>
      <c r="BI334" s="45" t="s">
        <v>16</v>
      </c>
      <c r="BJ334" s="46" t="str">
        <f>IF(VLOOKUP(BI334,βοηθητικό!$J$2:$N$354,3,FALSE)="","",VLOOKUP(BI334,βοηθητικό!$J$2:$N$354,3,FALSE))</f>
        <v>_</v>
      </c>
      <c r="BK334" s="47"/>
      <c r="BL334" s="42" t="s">
        <v>16</v>
      </c>
      <c r="BM334" s="43" t="str">
        <f>IF(VLOOKUP(BL334,βοηθητικό!$J$2:$N$354,3,FALSE)="","",VLOOKUP(BL334,βοηθητικό!$J$2:$N$354,3,FALSE))</f>
        <v>_</v>
      </c>
      <c r="BN334" s="44"/>
      <c r="BO334" s="45" t="s">
        <v>16</v>
      </c>
      <c r="BP334" s="46" t="str">
        <f>IF(VLOOKUP(BO334,βοηθητικό!$J$2:$N$354,3,FALSE)="","",VLOOKUP(BO334,βοηθητικό!$J$2:$N$354,3,FALSE))</f>
        <v>_</v>
      </c>
      <c r="BQ334" s="47"/>
      <c r="BR334" s="42" t="s">
        <v>16</v>
      </c>
      <c r="BS334" s="43" t="str">
        <f>IF(VLOOKUP(BR334,βοηθητικό!$J$2:$N$354,3,FALSE)="","",VLOOKUP(BR334,βοηθητικό!$J$2:$N$354,3,FALSE))</f>
        <v>_</v>
      </c>
      <c r="BT334" s="44"/>
      <c r="BU334" s="45" t="s">
        <v>16</v>
      </c>
      <c r="BV334" s="46" t="str">
        <f>IF(VLOOKUP(BU334,βοηθητικό!$J$2:$N$354,3,FALSE)="","",VLOOKUP(BU334,βοηθητικό!$J$2:$N$354,3,FALSE))</f>
        <v>_</v>
      </c>
      <c r="BW334" s="47"/>
      <c r="BX334" s="42" t="s">
        <v>16</v>
      </c>
      <c r="BY334" s="43" t="str">
        <f>IF(VLOOKUP(BX334,βοηθητικό!$J$2:$N$354,3,FALSE)="","",VLOOKUP(BX334,βοηθητικό!$J$2:$N$354,3,FALSE))</f>
        <v>_</v>
      </c>
      <c r="BZ334" s="44"/>
      <c r="CA334" s="45" t="s">
        <v>16</v>
      </c>
      <c r="CB334" s="46" t="str">
        <f>IF(VLOOKUP(CA334,βοηθητικό!$J$2:$N$354,3,FALSE)="","",VLOOKUP(CA334,βοηθητικό!$J$2:$N$354,3,FALSE))</f>
        <v>_</v>
      </c>
      <c r="CC334" s="47"/>
      <c r="CD334" s="42" t="s">
        <v>16</v>
      </c>
      <c r="CE334" s="43" t="str">
        <f>IF(VLOOKUP(CD334,βοηθητικό!$J$2:$N$354,3,FALSE)="","",VLOOKUP(CD334,βοηθητικό!$J$2:$N$354,3,FALSE))</f>
        <v>_</v>
      </c>
      <c r="CF334" s="44"/>
      <c r="CG334" s="45" t="s">
        <v>16</v>
      </c>
      <c r="CH334" s="46" t="str">
        <f>IF(VLOOKUP(CG334,βοηθητικό!$J$2:$N$354,3,FALSE)="","",VLOOKUP(CG334,βοηθητικό!$J$2:$N$354,3,FALSE))</f>
        <v>_</v>
      </c>
      <c r="CI334" s="47"/>
      <c r="CJ334" s="42" t="s">
        <v>16</v>
      </c>
      <c r="CK334" s="43" t="str">
        <f>IF(VLOOKUP(CJ334,βοηθητικό!$J$2:$N$354,3,FALSE)="","",VLOOKUP(CJ334,βοηθητικό!$J$2:$N$354,3,FALSE))</f>
        <v>_</v>
      </c>
      <c r="CL334" s="44"/>
      <c r="CM334" s="45" t="s">
        <v>16</v>
      </c>
      <c r="CN334" s="46" t="str">
        <f>IF(VLOOKUP(CM334,βοηθητικό!$J$2:$N$354,3,FALSE)="","",VLOOKUP(CM334,βοηθητικό!$J$2:$N$354,3,FALSE))</f>
        <v>_</v>
      </c>
      <c r="CO334" s="47"/>
      <c r="CP334" s="42" t="s">
        <v>16</v>
      </c>
      <c r="CQ334" s="43" t="str">
        <f>IF(VLOOKUP(CP334,βοηθητικό!$J$2:$N$354,3,FALSE)="","",VLOOKUP(CP334,βοηθητικό!$J$2:$N$354,3,FALSE))</f>
        <v>_</v>
      </c>
      <c r="CR334" s="44"/>
      <c r="CS334" s="45" t="s">
        <v>16</v>
      </c>
      <c r="CT334" s="46" t="str">
        <f>IF(VLOOKUP(CS334,βοηθητικό!$J$2:$N$354,3,FALSE)="","",VLOOKUP(CS334,βοηθητικό!$J$2:$N$354,3,FALSE))</f>
        <v>_</v>
      </c>
      <c r="CU334" s="47"/>
    </row>
    <row r="335" spans="1:99" x14ac:dyDescent="0.25">
      <c r="A335" s="37">
        <f>--SUBTOTAL(3,$B$3:B334)</f>
        <v>198</v>
      </c>
      <c r="B335" s="2"/>
      <c r="C335" s="3"/>
      <c r="D335" s="55" t="s">
        <v>18</v>
      </c>
      <c r="E335" s="38" t="s">
        <v>16</v>
      </c>
      <c r="F335" s="38" t="s">
        <v>16</v>
      </c>
      <c r="G335" s="39" t="str">
        <f t="shared" si="17"/>
        <v>__</v>
      </c>
      <c r="H335" s="40" t="str">
        <f t="shared" si="18"/>
        <v>FALSE</v>
      </c>
      <c r="I335" s="41">
        <f t="shared" si="19"/>
        <v>0</v>
      </c>
      <c r="J335" s="4" t="s">
        <v>16</v>
      </c>
      <c r="K335" s="43" t="str">
        <f>IF(VLOOKUP(J335,βοηθητικό!$J$2:$N$354,3,FALSE)="","",VLOOKUP(J335,βοηθητικό!$J$2:$N$354,3,FALSE))</f>
        <v>_</v>
      </c>
      <c r="L335" s="44"/>
      <c r="M335" s="5" t="s">
        <v>16</v>
      </c>
      <c r="N335" s="46" t="str">
        <f>IF(VLOOKUP(M335,βοηθητικό!$J$2:$N$354,3,FALSE)="","",VLOOKUP(M335,βοηθητικό!$J$2:$N$354,3,FALSE))</f>
        <v>_</v>
      </c>
      <c r="O335" s="47"/>
      <c r="P335" s="4" t="s">
        <v>16</v>
      </c>
      <c r="Q335" s="43" t="str">
        <f>IF(VLOOKUP(P335,βοηθητικό!$J$2:$N$354,3,FALSE)="","",VLOOKUP(P335,βοηθητικό!$J$2:$N$354,3,FALSE))</f>
        <v>_</v>
      </c>
      <c r="R335" s="44"/>
      <c r="S335" s="5" t="s">
        <v>16</v>
      </c>
      <c r="T335" s="46" t="str">
        <f>IF(VLOOKUP(S335,βοηθητικό!$J$2:$N$354,3,FALSE)="","",VLOOKUP(S335,βοηθητικό!$J$2:$N$354,3,FALSE))</f>
        <v>_</v>
      </c>
      <c r="U335" s="47"/>
      <c r="V335" s="4" t="s">
        <v>16</v>
      </c>
      <c r="W335" s="43" t="str">
        <f>IF(VLOOKUP(V335,βοηθητικό!$J$2:$N$354,3,FALSE)="","",VLOOKUP(V335,βοηθητικό!$J$2:$N$354,3,FALSE))</f>
        <v>_</v>
      </c>
      <c r="X335" s="44"/>
      <c r="Y335" s="5" t="s">
        <v>16</v>
      </c>
      <c r="Z335" s="46" t="str">
        <f>IF(VLOOKUP(Y335,βοηθητικό!$J$2:$N$354,3,FALSE)="","",VLOOKUP(Y335,βοηθητικό!$J$2:$N$354,3,FALSE))</f>
        <v>_</v>
      </c>
      <c r="AA335" s="47"/>
      <c r="AB335" s="4" t="s">
        <v>16</v>
      </c>
      <c r="AC335" s="43" t="str">
        <f>IF(VLOOKUP(AB335,βοηθητικό!$J$2:$N$354,3,FALSE)="","",VLOOKUP(AB335,βοηθητικό!$J$2:$N$354,3,FALSE))</f>
        <v>_</v>
      </c>
      <c r="AD335" s="44"/>
      <c r="AE335" s="5" t="s">
        <v>16</v>
      </c>
      <c r="AF335" s="46" t="str">
        <f>IF(VLOOKUP(AE335,βοηθητικό!$J$2:$N$354,3,FALSE)="","",VLOOKUP(AE335,βοηθητικό!$J$2:$N$354,3,FALSE))</f>
        <v>_</v>
      </c>
      <c r="AG335" s="47"/>
      <c r="AH335" s="4" t="s">
        <v>16</v>
      </c>
      <c r="AI335" s="43" t="str">
        <f>IF(VLOOKUP(AH335,βοηθητικό!$J$2:$N$354,3,FALSE)="","",VLOOKUP(AH335,βοηθητικό!$J$2:$N$354,3,FALSE))</f>
        <v>_</v>
      </c>
      <c r="AJ335" s="44"/>
      <c r="AK335" s="5" t="s">
        <v>16</v>
      </c>
      <c r="AL335" s="46" t="str">
        <f>IF(VLOOKUP(AK335,βοηθητικό!$J$2:$N$354,3,FALSE)="","",VLOOKUP(AK335,βοηθητικό!$J$2:$N$354,3,FALSE))</f>
        <v>_</v>
      </c>
      <c r="AM335" s="47"/>
      <c r="AN335" s="4" t="s">
        <v>16</v>
      </c>
      <c r="AO335" s="43" t="str">
        <f>IF(VLOOKUP(AN335,βοηθητικό!$J$2:$N$354,3,FALSE)="","",VLOOKUP(AN335,βοηθητικό!$J$2:$N$354,3,FALSE))</f>
        <v>_</v>
      </c>
      <c r="AP335" s="44"/>
      <c r="AQ335" s="5" t="s">
        <v>16</v>
      </c>
      <c r="AR335" s="46" t="str">
        <f>IF(VLOOKUP(AQ335,βοηθητικό!$J$2:$N$354,3,FALSE)="","",VLOOKUP(AQ335,βοηθητικό!$J$2:$N$354,3,FALSE))</f>
        <v>_</v>
      </c>
      <c r="AS335" s="47"/>
      <c r="AT335" s="4" t="s">
        <v>16</v>
      </c>
      <c r="AU335" s="43" t="str">
        <f>IF(VLOOKUP(AT335,βοηθητικό!$J$2:$N$354,3,FALSE)="","",VLOOKUP(AT335,βοηθητικό!$J$2:$N$354,3,FALSE))</f>
        <v>_</v>
      </c>
      <c r="AV335" s="44"/>
      <c r="AW335" s="5" t="s">
        <v>16</v>
      </c>
      <c r="AX335" s="46" t="str">
        <f>IF(VLOOKUP(AW335,βοηθητικό!$J$2:$N$354,3,FALSE)="","",VLOOKUP(AW335,βοηθητικό!$J$2:$N$354,3,FALSE))</f>
        <v>_</v>
      </c>
      <c r="AY335" s="47"/>
      <c r="AZ335" s="4" t="s">
        <v>16</v>
      </c>
      <c r="BA335" s="43" t="str">
        <f>IF(VLOOKUP(AZ335,βοηθητικό!$J$2:$N$354,3,FALSE)="","",VLOOKUP(AZ335,βοηθητικό!$J$2:$N$354,3,FALSE))</f>
        <v>_</v>
      </c>
      <c r="BB335" s="44"/>
      <c r="BC335" s="45" t="s">
        <v>16</v>
      </c>
      <c r="BD335" s="46" t="str">
        <f>IF(VLOOKUP(BC335,βοηθητικό!$J$2:$N$354,3,FALSE)="","",VLOOKUP(BC335,βοηθητικό!$J$2:$N$354,3,FALSE))</f>
        <v>_</v>
      </c>
      <c r="BE335" s="47"/>
      <c r="BF335" s="42" t="s">
        <v>16</v>
      </c>
      <c r="BG335" s="43" t="str">
        <f>IF(VLOOKUP(BF335,βοηθητικό!$J$2:$N$354,3,FALSE)="","",VLOOKUP(BF335,βοηθητικό!$J$2:$N$354,3,FALSE))</f>
        <v>_</v>
      </c>
      <c r="BH335" s="44"/>
      <c r="BI335" s="45" t="s">
        <v>16</v>
      </c>
      <c r="BJ335" s="46" t="str">
        <f>IF(VLOOKUP(BI335,βοηθητικό!$J$2:$N$354,3,FALSE)="","",VLOOKUP(BI335,βοηθητικό!$J$2:$N$354,3,FALSE))</f>
        <v>_</v>
      </c>
      <c r="BK335" s="47"/>
      <c r="BL335" s="42" t="s">
        <v>16</v>
      </c>
      <c r="BM335" s="43" t="str">
        <f>IF(VLOOKUP(BL335,βοηθητικό!$J$2:$N$354,3,FALSE)="","",VLOOKUP(BL335,βοηθητικό!$J$2:$N$354,3,FALSE))</f>
        <v>_</v>
      </c>
      <c r="BN335" s="44"/>
      <c r="BO335" s="45" t="s">
        <v>16</v>
      </c>
      <c r="BP335" s="46" t="str">
        <f>IF(VLOOKUP(BO335,βοηθητικό!$J$2:$N$354,3,FALSE)="","",VLOOKUP(BO335,βοηθητικό!$J$2:$N$354,3,FALSE))</f>
        <v>_</v>
      </c>
      <c r="BQ335" s="47"/>
      <c r="BR335" s="42" t="s">
        <v>16</v>
      </c>
      <c r="BS335" s="43" t="str">
        <f>IF(VLOOKUP(BR335,βοηθητικό!$J$2:$N$354,3,FALSE)="","",VLOOKUP(BR335,βοηθητικό!$J$2:$N$354,3,FALSE))</f>
        <v>_</v>
      </c>
      <c r="BT335" s="44"/>
      <c r="BU335" s="45" t="s">
        <v>16</v>
      </c>
      <c r="BV335" s="46" t="str">
        <f>IF(VLOOKUP(BU335,βοηθητικό!$J$2:$N$354,3,FALSE)="","",VLOOKUP(BU335,βοηθητικό!$J$2:$N$354,3,FALSE))</f>
        <v>_</v>
      </c>
      <c r="BW335" s="47"/>
      <c r="BX335" s="42" t="s">
        <v>16</v>
      </c>
      <c r="BY335" s="43" t="str">
        <f>IF(VLOOKUP(BX335,βοηθητικό!$J$2:$N$354,3,FALSE)="","",VLOOKUP(BX335,βοηθητικό!$J$2:$N$354,3,FALSE))</f>
        <v>_</v>
      </c>
      <c r="BZ335" s="44"/>
      <c r="CA335" s="45" t="s">
        <v>16</v>
      </c>
      <c r="CB335" s="46" t="str">
        <f>IF(VLOOKUP(CA335,βοηθητικό!$J$2:$N$354,3,FALSE)="","",VLOOKUP(CA335,βοηθητικό!$J$2:$N$354,3,FALSE))</f>
        <v>_</v>
      </c>
      <c r="CC335" s="47"/>
      <c r="CD335" s="42" t="s">
        <v>16</v>
      </c>
      <c r="CE335" s="43" t="str">
        <f>IF(VLOOKUP(CD335,βοηθητικό!$J$2:$N$354,3,FALSE)="","",VLOOKUP(CD335,βοηθητικό!$J$2:$N$354,3,FALSE))</f>
        <v>_</v>
      </c>
      <c r="CF335" s="44"/>
      <c r="CG335" s="45" t="s">
        <v>16</v>
      </c>
      <c r="CH335" s="46" t="str">
        <f>IF(VLOOKUP(CG335,βοηθητικό!$J$2:$N$354,3,FALSE)="","",VLOOKUP(CG335,βοηθητικό!$J$2:$N$354,3,FALSE))</f>
        <v>_</v>
      </c>
      <c r="CI335" s="47"/>
      <c r="CJ335" s="42" t="s">
        <v>16</v>
      </c>
      <c r="CK335" s="43" t="str">
        <f>IF(VLOOKUP(CJ335,βοηθητικό!$J$2:$N$354,3,FALSE)="","",VLOOKUP(CJ335,βοηθητικό!$J$2:$N$354,3,FALSE))</f>
        <v>_</v>
      </c>
      <c r="CL335" s="44"/>
      <c r="CM335" s="45" t="s">
        <v>16</v>
      </c>
      <c r="CN335" s="46" t="str">
        <f>IF(VLOOKUP(CM335,βοηθητικό!$J$2:$N$354,3,FALSE)="","",VLOOKUP(CM335,βοηθητικό!$J$2:$N$354,3,FALSE))</f>
        <v>_</v>
      </c>
      <c r="CO335" s="47"/>
      <c r="CP335" s="42" t="s">
        <v>16</v>
      </c>
      <c r="CQ335" s="43" t="str">
        <f>IF(VLOOKUP(CP335,βοηθητικό!$J$2:$N$354,3,FALSE)="","",VLOOKUP(CP335,βοηθητικό!$J$2:$N$354,3,FALSE))</f>
        <v>_</v>
      </c>
      <c r="CR335" s="44"/>
      <c r="CS335" s="45" t="s">
        <v>16</v>
      </c>
      <c r="CT335" s="46" t="str">
        <f>IF(VLOOKUP(CS335,βοηθητικό!$J$2:$N$354,3,FALSE)="","",VLOOKUP(CS335,βοηθητικό!$J$2:$N$354,3,FALSE))</f>
        <v>_</v>
      </c>
      <c r="CU335" s="47"/>
    </row>
    <row r="336" spans="1:99" x14ac:dyDescent="0.25">
      <c r="A336" s="37">
        <f>--SUBTOTAL(3,$B$3:B335)</f>
        <v>198</v>
      </c>
      <c r="B336" s="2"/>
      <c r="C336" s="3"/>
      <c r="D336" s="55" t="s">
        <v>18</v>
      </c>
      <c r="E336" s="38" t="s">
        <v>16</v>
      </c>
      <c r="F336" s="38" t="s">
        <v>16</v>
      </c>
      <c r="G336" s="39" t="str">
        <f t="shared" si="17"/>
        <v>__</v>
      </c>
      <c r="H336" s="40" t="str">
        <f t="shared" si="18"/>
        <v>FALSE</v>
      </c>
      <c r="I336" s="41">
        <f t="shared" si="19"/>
        <v>0</v>
      </c>
      <c r="J336" s="4" t="s">
        <v>16</v>
      </c>
      <c r="K336" s="43" t="str">
        <f>IF(VLOOKUP(J336,βοηθητικό!$J$2:$N$354,3,FALSE)="","",VLOOKUP(J336,βοηθητικό!$J$2:$N$354,3,FALSE))</f>
        <v>_</v>
      </c>
      <c r="L336" s="44"/>
      <c r="M336" s="5" t="s">
        <v>16</v>
      </c>
      <c r="N336" s="46" t="str">
        <f>IF(VLOOKUP(M336,βοηθητικό!$J$2:$N$354,3,FALSE)="","",VLOOKUP(M336,βοηθητικό!$J$2:$N$354,3,FALSE))</f>
        <v>_</v>
      </c>
      <c r="O336" s="47"/>
      <c r="P336" s="4" t="s">
        <v>16</v>
      </c>
      <c r="Q336" s="43" t="str">
        <f>IF(VLOOKUP(P336,βοηθητικό!$J$2:$N$354,3,FALSE)="","",VLOOKUP(P336,βοηθητικό!$J$2:$N$354,3,FALSE))</f>
        <v>_</v>
      </c>
      <c r="R336" s="44"/>
      <c r="S336" s="5" t="s">
        <v>16</v>
      </c>
      <c r="T336" s="46" t="str">
        <f>IF(VLOOKUP(S336,βοηθητικό!$J$2:$N$354,3,FALSE)="","",VLOOKUP(S336,βοηθητικό!$J$2:$N$354,3,FALSE))</f>
        <v>_</v>
      </c>
      <c r="U336" s="47"/>
      <c r="V336" s="4" t="s">
        <v>16</v>
      </c>
      <c r="W336" s="43" t="str">
        <f>IF(VLOOKUP(V336,βοηθητικό!$J$2:$N$354,3,FALSE)="","",VLOOKUP(V336,βοηθητικό!$J$2:$N$354,3,FALSE))</f>
        <v>_</v>
      </c>
      <c r="X336" s="44"/>
      <c r="Y336" s="5" t="s">
        <v>16</v>
      </c>
      <c r="Z336" s="46" t="str">
        <f>IF(VLOOKUP(Y336,βοηθητικό!$J$2:$N$354,3,FALSE)="","",VLOOKUP(Y336,βοηθητικό!$J$2:$N$354,3,FALSE))</f>
        <v>_</v>
      </c>
      <c r="AA336" s="47"/>
      <c r="AB336" s="4" t="s">
        <v>16</v>
      </c>
      <c r="AC336" s="43" t="str">
        <f>IF(VLOOKUP(AB336,βοηθητικό!$J$2:$N$354,3,FALSE)="","",VLOOKUP(AB336,βοηθητικό!$J$2:$N$354,3,FALSE))</f>
        <v>_</v>
      </c>
      <c r="AD336" s="44"/>
      <c r="AE336" s="5" t="s">
        <v>16</v>
      </c>
      <c r="AF336" s="46" t="str">
        <f>IF(VLOOKUP(AE336,βοηθητικό!$J$2:$N$354,3,FALSE)="","",VLOOKUP(AE336,βοηθητικό!$J$2:$N$354,3,FALSE))</f>
        <v>_</v>
      </c>
      <c r="AG336" s="47"/>
      <c r="AH336" s="4" t="s">
        <v>16</v>
      </c>
      <c r="AI336" s="43" t="str">
        <f>IF(VLOOKUP(AH336,βοηθητικό!$J$2:$N$354,3,FALSE)="","",VLOOKUP(AH336,βοηθητικό!$J$2:$N$354,3,FALSE))</f>
        <v>_</v>
      </c>
      <c r="AJ336" s="44"/>
      <c r="AK336" s="5" t="s">
        <v>16</v>
      </c>
      <c r="AL336" s="46" t="str">
        <f>IF(VLOOKUP(AK336,βοηθητικό!$J$2:$N$354,3,FALSE)="","",VLOOKUP(AK336,βοηθητικό!$J$2:$N$354,3,FALSE))</f>
        <v>_</v>
      </c>
      <c r="AM336" s="47"/>
      <c r="AN336" s="4" t="s">
        <v>16</v>
      </c>
      <c r="AO336" s="43" t="str">
        <f>IF(VLOOKUP(AN336,βοηθητικό!$J$2:$N$354,3,FALSE)="","",VLOOKUP(AN336,βοηθητικό!$J$2:$N$354,3,FALSE))</f>
        <v>_</v>
      </c>
      <c r="AP336" s="44"/>
      <c r="AQ336" s="5" t="s">
        <v>16</v>
      </c>
      <c r="AR336" s="46" t="str">
        <f>IF(VLOOKUP(AQ336,βοηθητικό!$J$2:$N$354,3,FALSE)="","",VLOOKUP(AQ336,βοηθητικό!$J$2:$N$354,3,FALSE))</f>
        <v>_</v>
      </c>
      <c r="AS336" s="47"/>
      <c r="AT336" s="4" t="s">
        <v>16</v>
      </c>
      <c r="AU336" s="43" t="str">
        <f>IF(VLOOKUP(AT336,βοηθητικό!$J$2:$N$354,3,FALSE)="","",VLOOKUP(AT336,βοηθητικό!$J$2:$N$354,3,FALSE))</f>
        <v>_</v>
      </c>
      <c r="AV336" s="44"/>
      <c r="AW336" s="5" t="s">
        <v>16</v>
      </c>
      <c r="AX336" s="46" t="str">
        <f>IF(VLOOKUP(AW336,βοηθητικό!$J$2:$N$354,3,FALSE)="","",VLOOKUP(AW336,βοηθητικό!$J$2:$N$354,3,FALSE))</f>
        <v>_</v>
      </c>
      <c r="AY336" s="47"/>
      <c r="AZ336" s="4" t="s">
        <v>16</v>
      </c>
      <c r="BA336" s="43" t="str">
        <f>IF(VLOOKUP(AZ336,βοηθητικό!$J$2:$N$354,3,FALSE)="","",VLOOKUP(AZ336,βοηθητικό!$J$2:$N$354,3,FALSE))</f>
        <v>_</v>
      </c>
      <c r="BB336" s="44"/>
      <c r="BC336" s="45" t="s">
        <v>16</v>
      </c>
      <c r="BD336" s="46" t="str">
        <f>IF(VLOOKUP(BC336,βοηθητικό!$J$2:$N$354,3,FALSE)="","",VLOOKUP(BC336,βοηθητικό!$J$2:$N$354,3,FALSE))</f>
        <v>_</v>
      </c>
      <c r="BE336" s="47"/>
      <c r="BF336" s="42" t="s">
        <v>16</v>
      </c>
      <c r="BG336" s="43" t="str">
        <f>IF(VLOOKUP(BF336,βοηθητικό!$J$2:$N$354,3,FALSE)="","",VLOOKUP(BF336,βοηθητικό!$J$2:$N$354,3,FALSE))</f>
        <v>_</v>
      </c>
      <c r="BH336" s="44"/>
      <c r="BI336" s="45" t="s">
        <v>16</v>
      </c>
      <c r="BJ336" s="46" t="str">
        <f>IF(VLOOKUP(BI336,βοηθητικό!$J$2:$N$354,3,FALSE)="","",VLOOKUP(BI336,βοηθητικό!$J$2:$N$354,3,FALSE))</f>
        <v>_</v>
      </c>
      <c r="BK336" s="47"/>
      <c r="BL336" s="42" t="s">
        <v>16</v>
      </c>
      <c r="BM336" s="43" t="str">
        <f>IF(VLOOKUP(BL336,βοηθητικό!$J$2:$N$354,3,FALSE)="","",VLOOKUP(BL336,βοηθητικό!$J$2:$N$354,3,FALSE))</f>
        <v>_</v>
      </c>
      <c r="BN336" s="44"/>
      <c r="BO336" s="45" t="s">
        <v>16</v>
      </c>
      <c r="BP336" s="46" t="str">
        <f>IF(VLOOKUP(BO336,βοηθητικό!$J$2:$N$354,3,FALSE)="","",VLOOKUP(BO336,βοηθητικό!$J$2:$N$354,3,FALSE))</f>
        <v>_</v>
      </c>
      <c r="BQ336" s="47"/>
      <c r="BR336" s="42" t="s">
        <v>16</v>
      </c>
      <c r="BS336" s="43" t="str">
        <f>IF(VLOOKUP(BR336,βοηθητικό!$J$2:$N$354,3,FALSE)="","",VLOOKUP(BR336,βοηθητικό!$J$2:$N$354,3,FALSE))</f>
        <v>_</v>
      </c>
      <c r="BT336" s="44"/>
      <c r="BU336" s="45" t="s">
        <v>16</v>
      </c>
      <c r="BV336" s="46" t="str">
        <f>IF(VLOOKUP(BU336,βοηθητικό!$J$2:$N$354,3,FALSE)="","",VLOOKUP(BU336,βοηθητικό!$J$2:$N$354,3,FALSE))</f>
        <v>_</v>
      </c>
      <c r="BW336" s="47"/>
      <c r="BX336" s="42" t="s">
        <v>16</v>
      </c>
      <c r="BY336" s="43" t="str">
        <f>IF(VLOOKUP(BX336,βοηθητικό!$J$2:$N$354,3,FALSE)="","",VLOOKUP(BX336,βοηθητικό!$J$2:$N$354,3,FALSE))</f>
        <v>_</v>
      </c>
      <c r="BZ336" s="44"/>
      <c r="CA336" s="45" t="s">
        <v>16</v>
      </c>
      <c r="CB336" s="46" t="str">
        <f>IF(VLOOKUP(CA336,βοηθητικό!$J$2:$N$354,3,FALSE)="","",VLOOKUP(CA336,βοηθητικό!$J$2:$N$354,3,FALSE))</f>
        <v>_</v>
      </c>
      <c r="CC336" s="47"/>
      <c r="CD336" s="42" t="s">
        <v>16</v>
      </c>
      <c r="CE336" s="43" t="str">
        <f>IF(VLOOKUP(CD336,βοηθητικό!$J$2:$N$354,3,FALSE)="","",VLOOKUP(CD336,βοηθητικό!$J$2:$N$354,3,FALSE))</f>
        <v>_</v>
      </c>
      <c r="CF336" s="44"/>
      <c r="CG336" s="45" t="s">
        <v>16</v>
      </c>
      <c r="CH336" s="46" t="str">
        <f>IF(VLOOKUP(CG336,βοηθητικό!$J$2:$N$354,3,FALSE)="","",VLOOKUP(CG336,βοηθητικό!$J$2:$N$354,3,FALSE))</f>
        <v>_</v>
      </c>
      <c r="CI336" s="47"/>
      <c r="CJ336" s="42" t="s">
        <v>16</v>
      </c>
      <c r="CK336" s="43" t="str">
        <f>IF(VLOOKUP(CJ336,βοηθητικό!$J$2:$N$354,3,FALSE)="","",VLOOKUP(CJ336,βοηθητικό!$J$2:$N$354,3,FALSE))</f>
        <v>_</v>
      </c>
      <c r="CL336" s="44"/>
      <c r="CM336" s="45" t="s">
        <v>16</v>
      </c>
      <c r="CN336" s="46" t="str">
        <f>IF(VLOOKUP(CM336,βοηθητικό!$J$2:$N$354,3,FALSE)="","",VLOOKUP(CM336,βοηθητικό!$J$2:$N$354,3,FALSE))</f>
        <v>_</v>
      </c>
      <c r="CO336" s="47"/>
      <c r="CP336" s="42" t="s">
        <v>16</v>
      </c>
      <c r="CQ336" s="43" t="str">
        <f>IF(VLOOKUP(CP336,βοηθητικό!$J$2:$N$354,3,FALSE)="","",VLOOKUP(CP336,βοηθητικό!$J$2:$N$354,3,FALSE))</f>
        <v>_</v>
      </c>
      <c r="CR336" s="44"/>
      <c r="CS336" s="45" t="s">
        <v>16</v>
      </c>
      <c r="CT336" s="46" t="str">
        <f>IF(VLOOKUP(CS336,βοηθητικό!$J$2:$N$354,3,FALSE)="","",VLOOKUP(CS336,βοηθητικό!$J$2:$N$354,3,FALSE))</f>
        <v>_</v>
      </c>
      <c r="CU336" s="47"/>
    </row>
    <row r="337" spans="1:99" x14ac:dyDescent="0.25">
      <c r="A337" s="37">
        <f>--SUBTOTAL(3,$B$3:B336)</f>
        <v>198</v>
      </c>
      <c r="B337" s="2"/>
      <c r="C337" s="3"/>
      <c r="D337" s="55" t="s">
        <v>18</v>
      </c>
      <c r="E337" s="38" t="s">
        <v>16</v>
      </c>
      <c r="F337" s="38" t="s">
        <v>16</v>
      </c>
      <c r="G337" s="39" t="str">
        <f t="shared" si="17"/>
        <v>__</v>
      </c>
      <c r="H337" s="40" t="str">
        <f t="shared" si="18"/>
        <v>FALSE</v>
      </c>
      <c r="I337" s="41">
        <f t="shared" si="19"/>
        <v>0</v>
      </c>
      <c r="J337" s="4" t="s">
        <v>16</v>
      </c>
      <c r="K337" s="43" t="str">
        <f>IF(VLOOKUP(J337,βοηθητικό!$J$2:$N$354,3,FALSE)="","",VLOOKUP(J337,βοηθητικό!$J$2:$N$354,3,FALSE))</f>
        <v>_</v>
      </c>
      <c r="L337" s="44"/>
      <c r="M337" s="5" t="s">
        <v>16</v>
      </c>
      <c r="N337" s="46" t="str">
        <f>IF(VLOOKUP(M337,βοηθητικό!$J$2:$N$354,3,FALSE)="","",VLOOKUP(M337,βοηθητικό!$J$2:$N$354,3,FALSE))</f>
        <v>_</v>
      </c>
      <c r="O337" s="47"/>
      <c r="P337" s="4" t="s">
        <v>16</v>
      </c>
      <c r="Q337" s="43" t="str">
        <f>IF(VLOOKUP(P337,βοηθητικό!$J$2:$N$354,3,FALSE)="","",VLOOKUP(P337,βοηθητικό!$J$2:$N$354,3,FALSE))</f>
        <v>_</v>
      </c>
      <c r="R337" s="44"/>
      <c r="S337" s="5" t="s">
        <v>16</v>
      </c>
      <c r="T337" s="46" t="str">
        <f>IF(VLOOKUP(S337,βοηθητικό!$J$2:$N$354,3,FALSE)="","",VLOOKUP(S337,βοηθητικό!$J$2:$N$354,3,FALSE))</f>
        <v>_</v>
      </c>
      <c r="U337" s="47"/>
      <c r="V337" s="4" t="s">
        <v>16</v>
      </c>
      <c r="W337" s="43" t="str">
        <f>IF(VLOOKUP(V337,βοηθητικό!$J$2:$N$354,3,FALSE)="","",VLOOKUP(V337,βοηθητικό!$J$2:$N$354,3,FALSE))</f>
        <v>_</v>
      </c>
      <c r="X337" s="44"/>
      <c r="Y337" s="5" t="s">
        <v>16</v>
      </c>
      <c r="Z337" s="46" t="str">
        <f>IF(VLOOKUP(Y337,βοηθητικό!$J$2:$N$354,3,FALSE)="","",VLOOKUP(Y337,βοηθητικό!$J$2:$N$354,3,FALSE))</f>
        <v>_</v>
      </c>
      <c r="AA337" s="47"/>
      <c r="AB337" s="4" t="s">
        <v>16</v>
      </c>
      <c r="AC337" s="43" t="str">
        <f>IF(VLOOKUP(AB337,βοηθητικό!$J$2:$N$354,3,FALSE)="","",VLOOKUP(AB337,βοηθητικό!$J$2:$N$354,3,FALSE))</f>
        <v>_</v>
      </c>
      <c r="AD337" s="44"/>
      <c r="AE337" s="5" t="s">
        <v>16</v>
      </c>
      <c r="AF337" s="46" t="str">
        <f>IF(VLOOKUP(AE337,βοηθητικό!$J$2:$N$354,3,FALSE)="","",VLOOKUP(AE337,βοηθητικό!$J$2:$N$354,3,FALSE))</f>
        <v>_</v>
      </c>
      <c r="AG337" s="47"/>
      <c r="AH337" s="4" t="s">
        <v>16</v>
      </c>
      <c r="AI337" s="43" t="str">
        <f>IF(VLOOKUP(AH337,βοηθητικό!$J$2:$N$354,3,FALSE)="","",VLOOKUP(AH337,βοηθητικό!$J$2:$N$354,3,FALSE))</f>
        <v>_</v>
      </c>
      <c r="AJ337" s="44"/>
      <c r="AK337" s="5" t="s">
        <v>16</v>
      </c>
      <c r="AL337" s="46" t="str">
        <f>IF(VLOOKUP(AK337,βοηθητικό!$J$2:$N$354,3,FALSE)="","",VLOOKUP(AK337,βοηθητικό!$J$2:$N$354,3,FALSE))</f>
        <v>_</v>
      </c>
      <c r="AM337" s="47"/>
      <c r="AN337" s="4" t="s">
        <v>16</v>
      </c>
      <c r="AO337" s="43" t="str">
        <f>IF(VLOOKUP(AN337,βοηθητικό!$J$2:$N$354,3,FALSE)="","",VLOOKUP(AN337,βοηθητικό!$J$2:$N$354,3,FALSE))</f>
        <v>_</v>
      </c>
      <c r="AP337" s="44"/>
      <c r="AQ337" s="5" t="s">
        <v>16</v>
      </c>
      <c r="AR337" s="46" t="str">
        <f>IF(VLOOKUP(AQ337,βοηθητικό!$J$2:$N$354,3,FALSE)="","",VLOOKUP(AQ337,βοηθητικό!$J$2:$N$354,3,FALSE))</f>
        <v>_</v>
      </c>
      <c r="AS337" s="47"/>
      <c r="AT337" s="4" t="s">
        <v>16</v>
      </c>
      <c r="AU337" s="43" t="str">
        <f>IF(VLOOKUP(AT337,βοηθητικό!$J$2:$N$354,3,FALSE)="","",VLOOKUP(AT337,βοηθητικό!$J$2:$N$354,3,FALSE))</f>
        <v>_</v>
      </c>
      <c r="AV337" s="44"/>
      <c r="AW337" s="5" t="s">
        <v>16</v>
      </c>
      <c r="AX337" s="46" t="str">
        <f>IF(VLOOKUP(AW337,βοηθητικό!$J$2:$N$354,3,FALSE)="","",VLOOKUP(AW337,βοηθητικό!$J$2:$N$354,3,FALSE))</f>
        <v>_</v>
      </c>
      <c r="AY337" s="47"/>
      <c r="AZ337" s="4" t="s">
        <v>16</v>
      </c>
      <c r="BA337" s="43" t="str">
        <f>IF(VLOOKUP(AZ337,βοηθητικό!$J$2:$N$354,3,FALSE)="","",VLOOKUP(AZ337,βοηθητικό!$J$2:$N$354,3,FALSE))</f>
        <v>_</v>
      </c>
      <c r="BB337" s="44"/>
      <c r="BC337" s="45" t="s">
        <v>16</v>
      </c>
      <c r="BD337" s="46" t="str">
        <f>IF(VLOOKUP(BC337,βοηθητικό!$J$2:$N$354,3,FALSE)="","",VLOOKUP(BC337,βοηθητικό!$J$2:$N$354,3,FALSE))</f>
        <v>_</v>
      </c>
      <c r="BE337" s="47"/>
      <c r="BF337" s="42" t="s">
        <v>16</v>
      </c>
      <c r="BG337" s="43" t="str">
        <f>IF(VLOOKUP(BF337,βοηθητικό!$J$2:$N$354,3,FALSE)="","",VLOOKUP(BF337,βοηθητικό!$J$2:$N$354,3,FALSE))</f>
        <v>_</v>
      </c>
      <c r="BH337" s="44"/>
      <c r="BI337" s="45" t="s">
        <v>16</v>
      </c>
      <c r="BJ337" s="46" t="str">
        <f>IF(VLOOKUP(BI337,βοηθητικό!$J$2:$N$354,3,FALSE)="","",VLOOKUP(BI337,βοηθητικό!$J$2:$N$354,3,FALSE))</f>
        <v>_</v>
      </c>
      <c r="BK337" s="47"/>
      <c r="BL337" s="42" t="s">
        <v>16</v>
      </c>
      <c r="BM337" s="43" t="str">
        <f>IF(VLOOKUP(BL337,βοηθητικό!$J$2:$N$354,3,FALSE)="","",VLOOKUP(BL337,βοηθητικό!$J$2:$N$354,3,FALSE))</f>
        <v>_</v>
      </c>
      <c r="BN337" s="44"/>
      <c r="BO337" s="45" t="s">
        <v>16</v>
      </c>
      <c r="BP337" s="46" t="str">
        <f>IF(VLOOKUP(BO337,βοηθητικό!$J$2:$N$354,3,FALSE)="","",VLOOKUP(BO337,βοηθητικό!$J$2:$N$354,3,FALSE))</f>
        <v>_</v>
      </c>
      <c r="BQ337" s="47"/>
      <c r="BR337" s="42" t="s">
        <v>16</v>
      </c>
      <c r="BS337" s="43" t="str">
        <f>IF(VLOOKUP(BR337,βοηθητικό!$J$2:$N$354,3,FALSE)="","",VLOOKUP(BR337,βοηθητικό!$J$2:$N$354,3,FALSE))</f>
        <v>_</v>
      </c>
      <c r="BT337" s="44"/>
      <c r="BU337" s="45" t="s">
        <v>16</v>
      </c>
      <c r="BV337" s="46" t="str">
        <f>IF(VLOOKUP(BU337,βοηθητικό!$J$2:$N$354,3,FALSE)="","",VLOOKUP(BU337,βοηθητικό!$J$2:$N$354,3,FALSE))</f>
        <v>_</v>
      </c>
      <c r="BW337" s="47"/>
      <c r="BX337" s="42" t="s">
        <v>16</v>
      </c>
      <c r="BY337" s="43" t="str">
        <f>IF(VLOOKUP(BX337,βοηθητικό!$J$2:$N$354,3,FALSE)="","",VLOOKUP(BX337,βοηθητικό!$J$2:$N$354,3,FALSE))</f>
        <v>_</v>
      </c>
      <c r="BZ337" s="44"/>
      <c r="CA337" s="45" t="s">
        <v>16</v>
      </c>
      <c r="CB337" s="46" t="str">
        <f>IF(VLOOKUP(CA337,βοηθητικό!$J$2:$N$354,3,FALSE)="","",VLOOKUP(CA337,βοηθητικό!$J$2:$N$354,3,FALSE))</f>
        <v>_</v>
      </c>
      <c r="CC337" s="47"/>
      <c r="CD337" s="42" t="s">
        <v>16</v>
      </c>
      <c r="CE337" s="43" t="str">
        <f>IF(VLOOKUP(CD337,βοηθητικό!$J$2:$N$354,3,FALSE)="","",VLOOKUP(CD337,βοηθητικό!$J$2:$N$354,3,FALSE))</f>
        <v>_</v>
      </c>
      <c r="CF337" s="44"/>
      <c r="CG337" s="45" t="s">
        <v>16</v>
      </c>
      <c r="CH337" s="46" t="str">
        <f>IF(VLOOKUP(CG337,βοηθητικό!$J$2:$N$354,3,FALSE)="","",VLOOKUP(CG337,βοηθητικό!$J$2:$N$354,3,FALSE))</f>
        <v>_</v>
      </c>
      <c r="CI337" s="47"/>
      <c r="CJ337" s="42" t="s">
        <v>16</v>
      </c>
      <c r="CK337" s="43" t="str">
        <f>IF(VLOOKUP(CJ337,βοηθητικό!$J$2:$N$354,3,FALSE)="","",VLOOKUP(CJ337,βοηθητικό!$J$2:$N$354,3,FALSE))</f>
        <v>_</v>
      </c>
      <c r="CL337" s="44"/>
      <c r="CM337" s="45" t="s">
        <v>16</v>
      </c>
      <c r="CN337" s="46" t="str">
        <f>IF(VLOOKUP(CM337,βοηθητικό!$J$2:$N$354,3,FALSE)="","",VLOOKUP(CM337,βοηθητικό!$J$2:$N$354,3,FALSE))</f>
        <v>_</v>
      </c>
      <c r="CO337" s="47"/>
      <c r="CP337" s="42" t="s">
        <v>16</v>
      </c>
      <c r="CQ337" s="43" t="str">
        <f>IF(VLOOKUP(CP337,βοηθητικό!$J$2:$N$354,3,FALSE)="","",VLOOKUP(CP337,βοηθητικό!$J$2:$N$354,3,FALSE))</f>
        <v>_</v>
      </c>
      <c r="CR337" s="44"/>
      <c r="CS337" s="45" t="s">
        <v>16</v>
      </c>
      <c r="CT337" s="46" t="str">
        <f>IF(VLOOKUP(CS337,βοηθητικό!$J$2:$N$354,3,FALSE)="","",VLOOKUP(CS337,βοηθητικό!$J$2:$N$354,3,FALSE))</f>
        <v>_</v>
      </c>
      <c r="CU337" s="47"/>
    </row>
    <row r="338" spans="1:99" x14ac:dyDescent="0.25">
      <c r="A338" s="37">
        <f>--SUBTOTAL(3,$B$3:B337)</f>
        <v>198</v>
      </c>
      <c r="B338" s="2"/>
      <c r="C338" s="3"/>
      <c r="D338" s="55" t="s">
        <v>18</v>
      </c>
      <c r="E338" s="38" t="s">
        <v>16</v>
      </c>
      <c r="F338" s="38" t="s">
        <v>16</v>
      </c>
      <c r="G338" s="39" t="str">
        <f t="shared" si="17"/>
        <v>__</v>
      </c>
      <c r="H338" s="40" t="str">
        <f t="shared" si="18"/>
        <v>FALSE</v>
      </c>
      <c r="I338" s="41">
        <f t="shared" si="19"/>
        <v>0</v>
      </c>
      <c r="J338" s="4" t="s">
        <v>16</v>
      </c>
      <c r="K338" s="43" t="str">
        <f>IF(VLOOKUP(J338,βοηθητικό!$J$2:$N$354,3,FALSE)="","",VLOOKUP(J338,βοηθητικό!$J$2:$N$354,3,FALSE))</f>
        <v>_</v>
      </c>
      <c r="L338" s="44"/>
      <c r="M338" s="5" t="s">
        <v>16</v>
      </c>
      <c r="N338" s="46" t="str">
        <f>IF(VLOOKUP(M338,βοηθητικό!$J$2:$N$354,3,FALSE)="","",VLOOKUP(M338,βοηθητικό!$J$2:$N$354,3,FALSE))</f>
        <v>_</v>
      </c>
      <c r="O338" s="47"/>
      <c r="P338" s="4" t="s">
        <v>16</v>
      </c>
      <c r="Q338" s="43" t="str">
        <f>IF(VLOOKUP(P338,βοηθητικό!$J$2:$N$354,3,FALSE)="","",VLOOKUP(P338,βοηθητικό!$J$2:$N$354,3,FALSE))</f>
        <v>_</v>
      </c>
      <c r="R338" s="44"/>
      <c r="S338" s="5" t="s">
        <v>16</v>
      </c>
      <c r="T338" s="46" t="str">
        <f>IF(VLOOKUP(S338,βοηθητικό!$J$2:$N$354,3,FALSE)="","",VLOOKUP(S338,βοηθητικό!$J$2:$N$354,3,FALSE))</f>
        <v>_</v>
      </c>
      <c r="U338" s="47"/>
      <c r="V338" s="4" t="s">
        <v>16</v>
      </c>
      <c r="W338" s="43" t="str">
        <f>IF(VLOOKUP(V338,βοηθητικό!$J$2:$N$354,3,FALSE)="","",VLOOKUP(V338,βοηθητικό!$J$2:$N$354,3,FALSE))</f>
        <v>_</v>
      </c>
      <c r="X338" s="44"/>
      <c r="Y338" s="5" t="s">
        <v>16</v>
      </c>
      <c r="Z338" s="46" t="str">
        <f>IF(VLOOKUP(Y338,βοηθητικό!$J$2:$N$354,3,FALSE)="","",VLOOKUP(Y338,βοηθητικό!$J$2:$N$354,3,FALSE))</f>
        <v>_</v>
      </c>
      <c r="AA338" s="47"/>
      <c r="AB338" s="4" t="s">
        <v>16</v>
      </c>
      <c r="AC338" s="43" t="str">
        <f>IF(VLOOKUP(AB338,βοηθητικό!$J$2:$N$354,3,FALSE)="","",VLOOKUP(AB338,βοηθητικό!$J$2:$N$354,3,FALSE))</f>
        <v>_</v>
      </c>
      <c r="AD338" s="44"/>
      <c r="AE338" s="5" t="s">
        <v>16</v>
      </c>
      <c r="AF338" s="46" t="str">
        <f>IF(VLOOKUP(AE338,βοηθητικό!$J$2:$N$354,3,FALSE)="","",VLOOKUP(AE338,βοηθητικό!$J$2:$N$354,3,FALSE))</f>
        <v>_</v>
      </c>
      <c r="AG338" s="47"/>
      <c r="AH338" s="4" t="s">
        <v>16</v>
      </c>
      <c r="AI338" s="43" t="str">
        <f>IF(VLOOKUP(AH338,βοηθητικό!$J$2:$N$354,3,FALSE)="","",VLOOKUP(AH338,βοηθητικό!$J$2:$N$354,3,FALSE))</f>
        <v>_</v>
      </c>
      <c r="AJ338" s="44"/>
      <c r="AK338" s="5" t="s">
        <v>16</v>
      </c>
      <c r="AL338" s="46" t="str">
        <f>IF(VLOOKUP(AK338,βοηθητικό!$J$2:$N$354,3,FALSE)="","",VLOOKUP(AK338,βοηθητικό!$J$2:$N$354,3,FALSE))</f>
        <v>_</v>
      </c>
      <c r="AM338" s="47"/>
      <c r="AN338" s="4" t="s">
        <v>16</v>
      </c>
      <c r="AO338" s="43" t="str">
        <f>IF(VLOOKUP(AN338,βοηθητικό!$J$2:$N$354,3,FALSE)="","",VLOOKUP(AN338,βοηθητικό!$J$2:$N$354,3,FALSE))</f>
        <v>_</v>
      </c>
      <c r="AP338" s="44"/>
      <c r="AQ338" s="5" t="s">
        <v>16</v>
      </c>
      <c r="AR338" s="46" t="str">
        <f>IF(VLOOKUP(AQ338,βοηθητικό!$J$2:$N$354,3,FALSE)="","",VLOOKUP(AQ338,βοηθητικό!$J$2:$N$354,3,FALSE))</f>
        <v>_</v>
      </c>
      <c r="AS338" s="47"/>
      <c r="AT338" s="4" t="s">
        <v>16</v>
      </c>
      <c r="AU338" s="43" t="str">
        <f>IF(VLOOKUP(AT338,βοηθητικό!$J$2:$N$354,3,FALSE)="","",VLOOKUP(AT338,βοηθητικό!$J$2:$N$354,3,FALSE))</f>
        <v>_</v>
      </c>
      <c r="AV338" s="44"/>
      <c r="AW338" s="5" t="s">
        <v>16</v>
      </c>
      <c r="AX338" s="46" t="str">
        <f>IF(VLOOKUP(AW338,βοηθητικό!$J$2:$N$354,3,FALSE)="","",VLOOKUP(AW338,βοηθητικό!$J$2:$N$354,3,FALSE))</f>
        <v>_</v>
      </c>
      <c r="AY338" s="47"/>
      <c r="AZ338" s="4" t="s">
        <v>16</v>
      </c>
      <c r="BA338" s="43" t="str">
        <f>IF(VLOOKUP(AZ338,βοηθητικό!$J$2:$N$354,3,FALSE)="","",VLOOKUP(AZ338,βοηθητικό!$J$2:$N$354,3,FALSE))</f>
        <v>_</v>
      </c>
      <c r="BB338" s="44"/>
      <c r="BC338" s="45" t="s">
        <v>16</v>
      </c>
      <c r="BD338" s="46" t="str">
        <f>IF(VLOOKUP(BC338,βοηθητικό!$J$2:$N$354,3,FALSE)="","",VLOOKUP(BC338,βοηθητικό!$J$2:$N$354,3,FALSE))</f>
        <v>_</v>
      </c>
      <c r="BE338" s="47"/>
      <c r="BF338" s="42" t="s">
        <v>16</v>
      </c>
      <c r="BG338" s="43" t="str">
        <f>IF(VLOOKUP(BF338,βοηθητικό!$J$2:$N$354,3,FALSE)="","",VLOOKUP(BF338,βοηθητικό!$J$2:$N$354,3,FALSE))</f>
        <v>_</v>
      </c>
      <c r="BH338" s="44"/>
      <c r="BI338" s="45" t="s">
        <v>16</v>
      </c>
      <c r="BJ338" s="46" t="str">
        <f>IF(VLOOKUP(BI338,βοηθητικό!$J$2:$N$354,3,FALSE)="","",VLOOKUP(BI338,βοηθητικό!$J$2:$N$354,3,FALSE))</f>
        <v>_</v>
      </c>
      <c r="BK338" s="47"/>
      <c r="BL338" s="42" t="s">
        <v>16</v>
      </c>
      <c r="BM338" s="43" t="str">
        <f>IF(VLOOKUP(BL338,βοηθητικό!$J$2:$N$354,3,FALSE)="","",VLOOKUP(BL338,βοηθητικό!$J$2:$N$354,3,FALSE))</f>
        <v>_</v>
      </c>
      <c r="BN338" s="44"/>
      <c r="BO338" s="45" t="s">
        <v>16</v>
      </c>
      <c r="BP338" s="46" t="str">
        <f>IF(VLOOKUP(BO338,βοηθητικό!$J$2:$N$354,3,FALSE)="","",VLOOKUP(BO338,βοηθητικό!$J$2:$N$354,3,FALSE))</f>
        <v>_</v>
      </c>
      <c r="BQ338" s="47"/>
      <c r="BR338" s="42" t="s">
        <v>16</v>
      </c>
      <c r="BS338" s="43" t="str">
        <f>IF(VLOOKUP(BR338,βοηθητικό!$J$2:$N$354,3,FALSE)="","",VLOOKUP(BR338,βοηθητικό!$J$2:$N$354,3,FALSE))</f>
        <v>_</v>
      </c>
      <c r="BT338" s="44"/>
      <c r="BU338" s="45" t="s">
        <v>16</v>
      </c>
      <c r="BV338" s="46" t="str">
        <f>IF(VLOOKUP(BU338,βοηθητικό!$J$2:$N$354,3,FALSE)="","",VLOOKUP(BU338,βοηθητικό!$J$2:$N$354,3,FALSE))</f>
        <v>_</v>
      </c>
      <c r="BW338" s="47"/>
      <c r="BX338" s="42" t="s">
        <v>16</v>
      </c>
      <c r="BY338" s="43" t="str">
        <f>IF(VLOOKUP(BX338,βοηθητικό!$J$2:$N$354,3,FALSE)="","",VLOOKUP(BX338,βοηθητικό!$J$2:$N$354,3,FALSE))</f>
        <v>_</v>
      </c>
      <c r="BZ338" s="44"/>
      <c r="CA338" s="45" t="s">
        <v>16</v>
      </c>
      <c r="CB338" s="46" t="str">
        <f>IF(VLOOKUP(CA338,βοηθητικό!$J$2:$N$354,3,FALSE)="","",VLOOKUP(CA338,βοηθητικό!$J$2:$N$354,3,FALSE))</f>
        <v>_</v>
      </c>
      <c r="CC338" s="47"/>
      <c r="CD338" s="42" t="s">
        <v>16</v>
      </c>
      <c r="CE338" s="43" t="str">
        <f>IF(VLOOKUP(CD338,βοηθητικό!$J$2:$N$354,3,FALSE)="","",VLOOKUP(CD338,βοηθητικό!$J$2:$N$354,3,FALSE))</f>
        <v>_</v>
      </c>
      <c r="CF338" s="44"/>
      <c r="CG338" s="45" t="s">
        <v>16</v>
      </c>
      <c r="CH338" s="46" t="str">
        <f>IF(VLOOKUP(CG338,βοηθητικό!$J$2:$N$354,3,FALSE)="","",VLOOKUP(CG338,βοηθητικό!$J$2:$N$354,3,FALSE))</f>
        <v>_</v>
      </c>
      <c r="CI338" s="47"/>
      <c r="CJ338" s="42" t="s">
        <v>16</v>
      </c>
      <c r="CK338" s="43" t="str">
        <f>IF(VLOOKUP(CJ338,βοηθητικό!$J$2:$N$354,3,FALSE)="","",VLOOKUP(CJ338,βοηθητικό!$J$2:$N$354,3,FALSE))</f>
        <v>_</v>
      </c>
      <c r="CL338" s="44"/>
      <c r="CM338" s="45" t="s">
        <v>16</v>
      </c>
      <c r="CN338" s="46" t="str">
        <f>IF(VLOOKUP(CM338,βοηθητικό!$J$2:$N$354,3,FALSE)="","",VLOOKUP(CM338,βοηθητικό!$J$2:$N$354,3,FALSE))</f>
        <v>_</v>
      </c>
      <c r="CO338" s="47"/>
      <c r="CP338" s="42" t="s">
        <v>16</v>
      </c>
      <c r="CQ338" s="43" t="str">
        <f>IF(VLOOKUP(CP338,βοηθητικό!$J$2:$N$354,3,FALSE)="","",VLOOKUP(CP338,βοηθητικό!$J$2:$N$354,3,FALSE))</f>
        <v>_</v>
      </c>
      <c r="CR338" s="44"/>
      <c r="CS338" s="45" t="s">
        <v>16</v>
      </c>
      <c r="CT338" s="46" t="str">
        <f>IF(VLOOKUP(CS338,βοηθητικό!$J$2:$N$354,3,FALSE)="","",VLOOKUP(CS338,βοηθητικό!$J$2:$N$354,3,FALSE))</f>
        <v>_</v>
      </c>
      <c r="CU338" s="47"/>
    </row>
    <row r="339" spans="1:99" x14ac:dyDescent="0.25">
      <c r="A339" s="37">
        <f>--SUBTOTAL(3,$B$3:B338)</f>
        <v>198</v>
      </c>
      <c r="B339" s="2"/>
      <c r="C339" s="3"/>
      <c r="D339" s="55" t="s">
        <v>18</v>
      </c>
      <c r="E339" s="38" t="s">
        <v>16</v>
      </c>
      <c r="F339" s="38" t="s">
        <v>16</v>
      </c>
      <c r="G339" s="39" t="str">
        <f t="shared" si="17"/>
        <v>__</v>
      </c>
      <c r="H339" s="40" t="str">
        <f t="shared" si="18"/>
        <v>FALSE</v>
      </c>
      <c r="I339" s="41">
        <f t="shared" si="19"/>
        <v>0</v>
      </c>
      <c r="J339" s="4" t="s">
        <v>16</v>
      </c>
      <c r="K339" s="43" t="str">
        <f>IF(VLOOKUP(J339,βοηθητικό!$J$2:$N$354,3,FALSE)="","",VLOOKUP(J339,βοηθητικό!$J$2:$N$354,3,FALSE))</f>
        <v>_</v>
      </c>
      <c r="L339" s="44"/>
      <c r="M339" s="5" t="s">
        <v>16</v>
      </c>
      <c r="N339" s="46" t="str">
        <f>IF(VLOOKUP(M339,βοηθητικό!$J$2:$N$354,3,FALSE)="","",VLOOKUP(M339,βοηθητικό!$J$2:$N$354,3,FALSE))</f>
        <v>_</v>
      </c>
      <c r="O339" s="47"/>
      <c r="P339" s="4" t="s">
        <v>16</v>
      </c>
      <c r="Q339" s="43" t="str">
        <f>IF(VLOOKUP(P339,βοηθητικό!$J$2:$N$354,3,FALSE)="","",VLOOKUP(P339,βοηθητικό!$J$2:$N$354,3,FALSE))</f>
        <v>_</v>
      </c>
      <c r="R339" s="44"/>
      <c r="S339" s="5" t="s">
        <v>16</v>
      </c>
      <c r="T339" s="46" t="str">
        <f>IF(VLOOKUP(S339,βοηθητικό!$J$2:$N$354,3,FALSE)="","",VLOOKUP(S339,βοηθητικό!$J$2:$N$354,3,FALSE))</f>
        <v>_</v>
      </c>
      <c r="U339" s="47"/>
      <c r="V339" s="4" t="s">
        <v>16</v>
      </c>
      <c r="W339" s="43" t="str">
        <f>IF(VLOOKUP(V339,βοηθητικό!$J$2:$N$354,3,FALSE)="","",VLOOKUP(V339,βοηθητικό!$J$2:$N$354,3,FALSE))</f>
        <v>_</v>
      </c>
      <c r="X339" s="44"/>
      <c r="Y339" s="5" t="s">
        <v>16</v>
      </c>
      <c r="Z339" s="46" t="str">
        <f>IF(VLOOKUP(Y339,βοηθητικό!$J$2:$N$354,3,FALSE)="","",VLOOKUP(Y339,βοηθητικό!$J$2:$N$354,3,FALSE))</f>
        <v>_</v>
      </c>
      <c r="AA339" s="47"/>
      <c r="AB339" s="4" t="s">
        <v>16</v>
      </c>
      <c r="AC339" s="43" t="str">
        <f>IF(VLOOKUP(AB339,βοηθητικό!$J$2:$N$354,3,FALSE)="","",VLOOKUP(AB339,βοηθητικό!$J$2:$N$354,3,FALSE))</f>
        <v>_</v>
      </c>
      <c r="AD339" s="44"/>
      <c r="AE339" s="5" t="s">
        <v>16</v>
      </c>
      <c r="AF339" s="46" t="str">
        <f>IF(VLOOKUP(AE339,βοηθητικό!$J$2:$N$354,3,FALSE)="","",VLOOKUP(AE339,βοηθητικό!$J$2:$N$354,3,FALSE))</f>
        <v>_</v>
      </c>
      <c r="AG339" s="47"/>
      <c r="AH339" s="4" t="s">
        <v>16</v>
      </c>
      <c r="AI339" s="43" t="str">
        <f>IF(VLOOKUP(AH339,βοηθητικό!$J$2:$N$354,3,FALSE)="","",VLOOKUP(AH339,βοηθητικό!$J$2:$N$354,3,FALSE))</f>
        <v>_</v>
      </c>
      <c r="AJ339" s="44"/>
      <c r="AK339" s="5" t="s">
        <v>16</v>
      </c>
      <c r="AL339" s="46" t="str">
        <f>IF(VLOOKUP(AK339,βοηθητικό!$J$2:$N$354,3,FALSE)="","",VLOOKUP(AK339,βοηθητικό!$J$2:$N$354,3,FALSE))</f>
        <v>_</v>
      </c>
      <c r="AM339" s="47"/>
      <c r="AN339" s="4" t="s">
        <v>16</v>
      </c>
      <c r="AO339" s="43" t="str">
        <f>IF(VLOOKUP(AN339,βοηθητικό!$J$2:$N$354,3,FALSE)="","",VLOOKUP(AN339,βοηθητικό!$J$2:$N$354,3,FALSE))</f>
        <v>_</v>
      </c>
      <c r="AP339" s="44"/>
      <c r="AQ339" s="5" t="s">
        <v>16</v>
      </c>
      <c r="AR339" s="46" t="str">
        <f>IF(VLOOKUP(AQ339,βοηθητικό!$J$2:$N$354,3,FALSE)="","",VLOOKUP(AQ339,βοηθητικό!$J$2:$N$354,3,FALSE))</f>
        <v>_</v>
      </c>
      <c r="AS339" s="47"/>
      <c r="AT339" s="4" t="s">
        <v>16</v>
      </c>
      <c r="AU339" s="43" t="str">
        <f>IF(VLOOKUP(AT339,βοηθητικό!$J$2:$N$354,3,FALSE)="","",VLOOKUP(AT339,βοηθητικό!$J$2:$N$354,3,FALSE))</f>
        <v>_</v>
      </c>
      <c r="AV339" s="44"/>
      <c r="AW339" s="5" t="s">
        <v>16</v>
      </c>
      <c r="AX339" s="46" t="str">
        <f>IF(VLOOKUP(AW339,βοηθητικό!$J$2:$N$354,3,FALSE)="","",VLOOKUP(AW339,βοηθητικό!$J$2:$N$354,3,FALSE))</f>
        <v>_</v>
      </c>
      <c r="AY339" s="47"/>
      <c r="AZ339" s="4" t="s">
        <v>16</v>
      </c>
      <c r="BA339" s="43" t="str">
        <f>IF(VLOOKUP(AZ339,βοηθητικό!$J$2:$N$354,3,FALSE)="","",VLOOKUP(AZ339,βοηθητικό!$J$2:$N$354,3,FALSE))</f>
        <v>_</v>
      </c>
      <c r="BB339" s="44"/>
      <c r="BC339" s="45" t="s">
        <v>16</v>
      </c>
      <c r="BD339" s="46" t="str">
        <f>IF(VLOOKUP(BC339,βοηθητικό!$J$2:$N$354,3,FALSE)="","",VLOOKUP(BC339,βοηθητικό!$J$2:$N$354,3,FALSE))</f>
        <v>_</v>
      </c>
      <c r="BE339" s="47"/>
      <c r="BF339" s="42" t="s">
        <v>16</v>
      </c>
      <c r="BG339" s="43" t="str">
        <f>IF(VLOOKUP(BF339,βοηθητικό!$J$2:$N$354,3,FALSE)="","",VLOOKUP(BF339,βοηθητικό!$J$2:$N$354,3,FALSE))</f>
        <v>_</v>
      </c>
      <c r="BH339" s="44"/>
      <c r="BI339" s="45" t="s">
        <v>16</v>
      </c>
      <c r="BJ339" s="46" t="str">
        <f>IF(VLOOKUP(BI339,βοηθητικό!$J$2:$N$354,3,FALSE)="","",VLOOKUP(BI339,βοηθητικό!$J$2:$N$354,3,FALSE))</f>
        <v>_</v>
      </c>
      <c r="BK339" s="47"/>
      <c r="BL339" s="42" t="s">
        <v>16</v>
      </c>
      <c r="BM339" s="43" t="str">
        <f>IF(VLOOKUP(BL339,βοηθητικό!$J$2:$N$354,3,FALSE)="","",VLOOKUP(BL339,βοηθητικό!$J$2:$N$354,3,FALSE))</f>
        <v>_</v>
      </c>
      <c r="BN339" s="44"/>
      <c r="BO339" s="45" t="s">
        <v>16</v>
      </c>
      <c r="BP339" s="46" t="str">
        <f>IF(VLOOKUP(BO339,βοηθητικό!$J$2:$N$354,3,FALSE)="","",VLOOKUP(BO339,βοηθητικό!$J$2:$N$354,3,FALSE))</f>
        <v>_</v>
      </c>
      <c r="BQ339" s="47"/>
      <c r="BR339" s="42" t="s">
        <v>16</v>
      </c>
      <c r="BS339" s="43" t="str">
        <f>IF(VLOOKUP(BR339,βοηθητικό!$J$2:$N$354,3,FALSE)="","",VLOOKUP(BR339,βοηθητικό!$J$2:$N$354,3,FALSE))</f>
        <v>_</v>
      </c>
      <c r="BT339" s="44"/>
      <c r="BU339" s="45" t="s">
        <v>16</v>
      </c>
      <c r="BV339" s="46" t="str">
        <f>IF(VLOOKUP(BU339,βοηθητικό!$J$2:$N$354,3,FALSE)="","",VLOOKUP(BU339,βοηθητικό!$J$2:$N$354,3,FALSE))</f>
        <v>_</v>
      </c>
      <c r="BW339" s="47"/>
      <c r="BX339" s="42" t="s">
        <v>16</v>
      </c>
      <c r="BY339" s="43" t="str">
        <f>IF(VLOOKUP(BX339,βοηθητικό!$J$2:$N$354,3,FALSE)="","",VLOOKUP(BX339,βοηθητικό!$J$2:$N$354,3,FALSE))</f>
        <v>_</v>
      </c>
      <c r="BZ339" s="44"/>
      <c r="CA339" s="45" t="s">
        <v>16</v>
      </c>
      <c r="CB339" s="46" t="str">
        <f>IF(VLOOKUP(CA339,βοηθητικό!$J$2:$N$354,3,FALSE)="","",VLOOKUP(CA339,βοηθητικό!$J$2:$N$354,3,FALSE))</f>
        <v>_</v>
      </c>
      <c r="CC339" s="47"/>
      <c r="CD339" s="42" t="s">
        <v>16</v>
      </c>
      <c r="CE339" s="43" t="str">
        <f>IF(VLOOKUP(CD339,βοηθητικό!$J$2:$N$354,3,FALSE)="","",VLOOKUP(CD339,βοηθητικό!$J$2:$N$354,3,FALSE))</f>
        <v>_</v>
      </c>
      <c r="CF339" s="44"/>
      <c r="CG339" s="45" t="s">
        <v>16</v>
      </c>
      <c r="CH339" s="46" t="str">
        <f>IF(VLOOKUP(CG339,βοηθητικό!$J$2:$N$354,3,FALSE)="","",VLOOKUP(CG339,βοηθητικό!$J$2:$N$354,3,FALSE))</f>
        <v>_</v>
      </c>
      <c r="CI339" s="47"/>
      <c r="CJ339" s="42" t="s">
        <v>16</v>
      </c>
      <c r="CK339" s="43" t="str">
        <f>IF(VLOOKUP(CJ339,βοηθητικό!$J$2:$N$354,3,FALSE)="","",VLOOKUP(CJ339,βοηθητικό!$J$2:$N$354,3,FALSE))</f>
        <v>_</v>
      </c>
      <c r="CL339" s="44"/>
      <c r="CM339" s="45" t="s">
        <v>16</v>
      </c>
      <c r="CN339" s="46" t="str">
        <f>IF(VLOOKUP(CM339,βοηθητικό!$J$2:$N$354,3,FALSE)="","",VLOOKUP(CM339,βοηθητικό!$J$2:$N$354,3,FALSE))</f>
        <v>_</v>
      </c>
      <c r="CO339" s="47"/>
      <c r="CP339" s="42" t="s">
        <v>16</v>
      </c>
      <c r="CQ339" s="43" t="str">
        <f>IF(VLOOKUP(CP339,βοηθητικό!$J$2:$N$354,3,FALSE)="","",VLOOKUP(CP339,βοηθητικό!$J$2:$N$354,3,FALSE))</f>
        <v>_</v>
      </c>
      <c r="CR339" s="44"/>
      <c r="CS339" s="45" t="s">
        <v>16</v>
      </c>
      <c r="CT339" s="46" t="str">
        <f>IF(VLOOKUP(CS339,βοηθητικό!$J$2:$N$354,3,FALSE)="","",VLOOKUP(CS339,βοηθητικό!$J$2:$N$354,3,FALSE))</f>
        <v>_</v>
      </c>
      <c r="CU339" s="47"/>
    </row>
    <row r="340" spans="1:99" x14ac:dyDescent="0.25">
      <c r="A340" s="37">
        <f>--SUBTOTAL(3,$B$3:B339)</f>
        <v>198</v>
      </c>
      <c r="B340" s="2"/>
      <c r="C340" s="3"/>
      <c r="D340" s="55" t="s">
        <v>18</v>
      </c>
      <c r="E340" s="38" t="s">
        <v>16</v>
      </c>
      <c r="F340" s="38" t="s">
        <v>16</v>
      </c>
      <c r="G340" s="39" t="str">
        <f t="shared" si="17"/>
        <v>__</v>
      </c>
      <c r="H340" s="40" t="str">
        <f t="shared" si="18"/>
        <v>FALSE</v>
      </c>
      <c r="I340" s="41">
        <f t="shared" si="19"/>
        <v>0</v>
      </c>
      <c r="J340" s="4" t="s">
        <v>16</v>
      </c>
      <c r="K340" s="43" t="str">
        <f>IF(VLOOKUP(J340,βοηθητικό!$J$2:$N$354,3,FALSE)="","",VLOOKUP(J340,βοηθητικό!$J$2:$N$354,3,FALSE))</f>
        <v>_</v>
      </c>
      <c r="L340" s="44"/>
      <c r="M340" s="5" t="s">
        <v>16</v>
      </c>
      <c r="N340" s="46" t="str">
        <f>IF(VLOOKUP(M340,βοηθητικό!$J$2:$N$354,3,FALSE)="","",VLOOKUP(M340,βοηθητικό!$J$2:$N$354,3,FALSE))</f>
        <v>_</v>
      </c>
      <c r="O340" s="47"/>
      <c r="P340" s="4" t="s">
        <v>16</v>
      </c>
      <c r="Q340" s="43" t="str">
        <f>IF(VLOOKUP(P340,βοηθητικό!$J$2:$N$354,3,FALSE)="","",VLOOKUP(P340,βοηθητικό!$J$2:$N$354,3,FALSE))</f>
        <v>_</v>
      </c>
      <c r="R340" s="44"/>
      <c r="S340" s="5" t="s">
        <v>16</v>
      </c>
      <c r="T340" s="46" t="str">
        <f>IF(VLOOKUP(S340,βοηθητικό!$J$2:$N$354,3,FALSE)="","",VLOOKUP(S340,βοηθητικό!$J$2:$N$354,3,FALSE))</f>
        <v>_</v>
      </c>
      <c r="U340" s="47"/>
      <c r="V340" s="4" t="s">
        <v>16</v>
      </c>
      <c r="W340" s="43" t="str">
        <f>IF(VLOOKUP(V340,βοηθητικό!$J$2:$N$354,3,FALSE)="","",VLOOKUP(V340,βοηθητικό!$J$2:$N$354,3,FALSE))</f>
        <v>_</v>
      </c>
      <c r="X340" s="44"/>
      <c r="Y340" s="5" t="s">
        <v>16</v>
      </c>
      <c r="Z340" s="46" t="str">
        <f>IF(VLOOKUP(Y340,βοηθητικό!$J$2:$N$354,3,FALSE)="","",VLOOKUP(Y340,βοηθητικό!$J$2:$N$354,3,FALSE))</f>
        <v>_</v>
      </c>
      <c r="AA340" s="47"/>
      <c r="AB340" s="4" t="s">
        <v>16</v>
      </c>
      <c r="AC340" s="43" t="str">
        <f>IF(VLOOKUP(AB340,βοηθητικό!$J$2:$N$354,3,FALSE)="","",VLOOKUP(AB340,βοηθητικό!$J$2:$N$354,3,FALSE))</f>
        <v>_</v>
      </c>
      <c r="AD340" s="44"/>
      <c r="AE340" s="5" t="s">
        <v>16</v>
      </c>
      <c r="AF340" s="46" t="str">
        <f>IF(VLOOKUP(AE340,βοηθητικό!$J$2:$N$354,3,FALSE)="","",VLOOKUP(AE340,βοηθητικό!$J$2:$N$354,3,FALSE))</f>
        <v>_</v>
      </c>
      <c r="AG340" s="47"/>
      <c r="AH340" s="4" t="s">
        <v>16</v>
      </c>
      <c r="AI340" s="43" t="str">
        <f>IF(VLOOKUP(AH340,βοηθητικό!$J$2:$N$354,3,FALSE)="","",VLOOKUP(AH340,βοηθητικό!$J$2:$N$354,3,FALSE))</f>
        <v>_</v>
      </c>
      <c r="AJ340" s="44"/>
      <c r="AK340" s="5" t="s">
        <v>16</v>
      </c>
      <c r="AL340" s="46" t="str">
        <f>IF(VLOOKUP(AK340,βοηθητικό!$J$2:$N$354,3,FALSE)="","",VLOOKUP(AK340,βοηθητικό!$J$2:$N$354,3,FALSE))</f>
        <v>_</v>
      </c>
      <c r="AM340" s="47"/>
      <c r="AN340" s="4" t="s">
        <v>16</v>
      </c>
      <c r="AO340" s="43" t="str">
        <f>IF(VLOOKUP(AN340,βοηθητικό!$J$2:$N$354,3,FALSE)="","",VLOOKUP(AN340,βοηθητικό!$J$2:$N$354,3,FALSE))</f>
        <v>_</v>
      </c>
      <c r="AP340" s="44"/>
      <c r="AQ340" s="5" t="s">
        <v>16</v>
      </c>
      <c r="AR340" s="46" t="str">
        <f>IF(VLOOKUP(AQ340,βοηθητικό!$J$2:$N$354,3,FALSE)="","",VLOOKUP(AQ340,βοηθητικό!$J$2:$N$354,3,FALSE))</f>
        <v>_</v>
      </c>
      <c r="AS340" s="47"/>
      <c r="AT340" s="4" t="s">
        <v>16</v>
      </c>
      <c r="AU340" s="43" t="str">
        <f>IF(VLOOKUP(AT340,βοηθητικό!$J$2:$N$354,3,FALSE)="","",VLOOKUP(AT340,βοηθητικό!$J$2:$N$354,3,FALSE))</f>
        <v>_</v>
      </c>
      <c r="AV340" s="44"/>
      <c r="AW340" s="5" t="s">
        <v>16</v>
      </c>
      <c r="AX340" s="46" t="str">
        <f>IF(VLOOKUP(AW340,βοηθητικό!$J$2:$N$354,3,FALSE)="","",VLOOKUP(AW340,βοηθητικό!$J$2:$N$354,3,FALSE))</f>
        <v>_</v>
      </c>
      <c r="AY340" s="47"/>
      <c r="AZ340" s="4" t="s">
        <v>16</v>
      </c>
      <c r="BA340" s="43" t="str">
        <f>IF(VLOOKUP(AZ340,βοηθητικό!$J$2:$N$354,3,FALSE)="","",VLOOKUP(AZ340,βοηθητικό!$J$2:$N$354,3,FALSE))</f>
        <v>_</v>
      </c>
      <c r="BB340" s="44"/>
      <c r="BC340" s="45" t="s">
        <v>16</v>
      </c>
      <c r="BD340" s="46" t="str">
        <f>IF(VLOOKUP(BC340,βοηθητικό!$J$2:$N$354,3,FALSE)="","",VLOOKUP(BC340,βοηθητικό!$J$2:$N$354,3,FALSE))</f>
        <v>_</v>
      </c>
      <c r="BE340" s="47"/>
      <c r="BF340" s="42" t="s">
        <v>16</v>
      </c>
      <c r="BG340" s="43" t="str">
        <f>IF(VLOOKUP(BF340,βοηθητικό!$J$2:$N$354,3,FALSE)="","",VLOOKUP(BF340,βοηθητικό!$J$2:$N$354,3,FALSE))</f>
        <v>_</v>
      </c>
      <c r="BH340" s="44"/>
      <c r="BI340" s="45" t="s">
        <v>16</v>
      </c>
      <c r="BJ340" s="46" t="str">
        <f>IF(VLOOKUP(BI340,βοηθητικό!$J$2:$N$354,3,FALSE)="","",VLOOKUP(BI340,βοηθητικό!$J$2:$N$354,3,FALSE))</f>
        <v>_</v>
      </c>
      <c r="BK340" s="47"/>
      <c r="BL340" s="42" t="s">
        <v>16</v>
      </c>
      <c r="BM340" s="43" t="str">
        <f>IF(VLOOKUP(BL340,βοηθητικό!$J$2:$N$354,3,FALSE)="","",VLOOKUP(BL340,βοηθητικό!$J$2:$N$354,3,FALSE))</f>
        <v>_</v>
      </c>
      <c r="BN340" s="44"/>
      <c r="BO340" s="45" t="s">
        <v>16</v>
      </c>
      <c r="BP340" s="46" t="str">
        <f>IF(VLOOKUP(BO340,βοηθητικό!$J$2:$N$354,3,FALSE)="","",VLOOKUP(BO340,βοηθητικό!$J$2:$N$354,3,FALSE))</f>
        <v>_</v>
      </c>
      <c r="BQ340" s="47"/>
      <c r="BR340" s="42" t="s">
        <v>16</v>
      </c>
      <c r="BS340" s="43" t="str">
        <f>IF(VLOOKUP(BR340,βοηθητικό!$J$2:$N$354,3,FALSE)="","",VLOOKUP(BR340,βοηθητικό!$J$2:$N$354,3,FALSE))</f>
        <v>_</v>
      </c>
      <c r="BT340" s="44"/>
      <c r="BU340" s="45" t="s">
        <v>16</v>
      </c>
      <c r="BV340" s="46" t="str">
        <f>IF(VLOOKUP(BU340,βοηθητικό!$J$2:$N$354,3,FALSE)="","",VLOOKUP(BU340,βοηθητικό!$J$2:$N$354,3,FALSE))</f>
        <v>_</v>
      </c>
      <c r="BW340" s="47"/>
      <c r="BX340" s="42" t="s">
        <v>16</v>
      </c>
      <c r="BY340" s="43" t="str">
        <f>IF(VLOOKUP(BX340,βοηθητικό!$J$2:$N$354,3,FALSE)="","",VLOOKUP(BX340,βοηθητικό!$J$2:$N$354,3,FALSE))</f>
        <v>_</v>
      </c>
      <c r="BZ340" s="44"/>
      <c r="CA340" s="45" t="s">
        <v>16</v>
      </c>
      <c r="CB340" s="46" t="str">
        <f>IF(VLOOKUP(CA340,βοηθητικό!$J$2:$N$354,3,FALSE)="","",VLOOKUP(CA340,βοηθητικό!$J$2:$N$354,3,FALSE))</f>
        <v>_</v>
      </c>
      <c r="CC340" s="47"/>
      <c r="CD340" s="42" t="s">
        <v>16</v>
      </c>
      <c r="CE340" s="43" t="str">
        <f>IF(VLOOKUP(CD340,βοηθητικό!$J$2:$N$354,3,FALSE)="","",VLOOKUP(CD340,βοηθητικό!$J$2:$N$354,3,FALSE))</f>
        <v>_</v>
      </c>
      <c r="CF340" s="44"/>
      <c r="CG340" s="45" t="s">
        <v>16</v>
      </c>
      <c r="CH340" s="46" t="str">
        <f>IF(VLOOKUP(CG340,βοηθητικό!$J$2:$N$354,3,FALSE)="","",VLOOKUP(CG340,βοηθητικό!$J$2:$N$354,3,FALSE))</f>
        <v>_</v>
      </c>
      <c r="CI340" s="47"/>
      <c r="CJ340" s="42" t="s">
        <v>16</v>
      </c>
      <c r="CK340" s="43" t="str">
        <f>IF(VLOOKUP(CJ340,βοηθητικό!$J$2:$N$354,3,FALSE)="","",VLOOKUP(CJ340,βοηθητικό!$J$2:$N$354,3,FALSE))</f>
        <v>_</v>
      </c>
      <c r="CL340" s="44"/>
      <c r="CM340" s="45" t="s">
        <v>16</v>
      </c>
      <c r="CN340" s="46" t="str">
        <f>IF(VLOOKUP(CM340,βοηθητικό!$J$2:$N$354,3,FALSE)="","",VLOOKUP(CM340,βοηθητικό!$J$2:$N$354,3,FALSE))</f>
        <v>_</v>
      </c>
      <c r="CO340" s="47"/>
      <c r="CP340" s="42" t="s">
        <v>16</v>
      </c>
      <c r="CQ340" s="43" t="str">
        <f>IF(VLOOKUP(CP340,βοηθητικό!$J$2:$N$354,3,FALSE)="","",VLOOKUP(CP340,βοηθητικό!$J$2:$N$354,3,FALSE))</f>
        <v>_</v>
      </c>
      <c r="CR340" s="44"/>
      <c r="CS340" s="45" t="s">
        <v>16</v>
      </c>
      <c r="CT340" s="46" t="str">
        <f>IF(VLOOKUP(CS340,βοηθητικό!$J$2:$N$354,3,FALSE)="","",VLOOKUP(CS340,βοηθητικό!$J$2:$N$354,3,FALSE))</f>
        <v>_</v>
      </c>
      <c r="CU340" s="47"/>
    </row>
    <row r="341" spans="1:99" x14ac:dyDescent="0.25">
      <c r="A341" s="37">
        <f>--SUBTOTAL(3,$B$3:B340)</f>
        <v>198</v>
      </c>
      <c r="B341" s="2"/>
      <c r="C341" s="3"/>
      <c r="D341" s="55" t="s">
        <v>18</v>
      </c>
      <c r="E341" s="38" t="s">
        <v>16</v>
      </c>
      <c r="F341" s="38" t="s">
        <v>16</v>
      </c>
      <c r="G341" s="39" t="str">
        <f t="shared" si="17"/>
        <v>__</v>
      </c>
      <c r="H341" s="40" t="str">
        <f t="shared" si="18"/>
        <v>FALSE</v>
      </c>
      <c r="I341" s="41">
        <f t="shared" si="19"/>
        <v>0</v>
      </c>
      <c r="J341" s="4" t="s">
        <v>16</v>
      </c>
      <c r="K341" s="43" t="str">
        <f>IF(VLOOKUP(J341,βοηθητικό!$J$2:$N$354,3,FALSE)="","",VLOOKUP(J341,βοηθητικό!$J$2:$N$354,3,FALSE))</f>
        <v>_</v>
      </c>
      <c r="L341" s="44"/>
      <c r="M341" s="5" t="s">
        <v>16</v>
      </c>
      <c r="N341" s="46" t="str">
        <f>IF(VLOOKUP(M341,βοηθητικό!$J$2:$N$354,3,FALSE)="","",VLOOKUP(M341,βοηθητικό!$J$2:$N$354,3,FALSE))</f>
        <v>_</v>
      </c>
      <c r="O341" s="47"/>
      <c r="P341" s="4" t="s">
        <v>16</v>
      </c>
      <c r="Q341" s="43" t="str">
        <f>IF(VLOOKUP(P341,βοηθητικό!$J$2:$N$354,3,FALSE)="","",VLOOKUP(P341,βοηθητικό!$J$2:$N$354,3,FALSE))</f>
        <v>_</v>
      </c>
      <c r="R341" s="44"/>
      <c r="S341" s="5" t="s">
        <v>16</v>
      </c>
      <c r="T341" s="46" t="str">
        <f>IF(VLOOKUP(S341,βοηθητικό!$J$2:$N$354,3,FALSE)="","",VLOOKUP(S341,βοηθητικό!$J$2:$N$354,3,FALSE))</f>
        <v>_</v>
      </c>
      <c r="U341" s="47"/>
      <c r="V341" s="4" t="s">
        <v>16</v>
      </c>
      <c r="W341" s="43" t="str">
        <f>IF(VLOOKUP(V341,βοηθητικό!$J$2:$N$354,3,FALSE)="","",VLOOKUP(V341,βοηθητικό!$J$2:$N$354,3,FALSE))</f>
        <v>_</v>
      </c>
      <c r="X341" s="44"/>
      <c r="Y341" s="5" t="s">
        <v>16</v>
      </c>
      <c r="Z341" s="46" t="str">
        <f>IF(VLOOKUP(Y341,βοηθητικό!$J$2:$N$354,3,FALSE)="","",VLOOKUP(Y341,βοηθητικό!$J$2:$N$354,3,FALSE))</f>
        <v>_</v>
      </c>
      <c r="AA341" s="47"/>
      <c r="AB341" s="4" t="s">
        <v>16</v>
      </c>
      <c r="AC341" s="43" t="str">
        <f>IF(VLOOKUP(AB341,βοηθητικό!$J$2:$N$354,3,FALSE)="","",VLOOKUP(AB341,βοηθητικό!$J$2:$N$354,3,FALSE))</f>
        <v>_</v>
      </c>
      <c r="AD341" s="44"/>
      <c r="AE341" s="5" t="s">
        <v>16</v>
      </c>
      <c r="AF341" s="46" t="str">
        <f>IF(VLOOKUP(AE341,βοηθητικό!$J$2:$N$354,3,FALSE)="","",VLOOKUP(AE341,βοηθητικό!$J$2:$N$354,3,FALSE))</f>
        <v>_</v>
      </c>
      <c r="AG341" s="47"/>
      <c r="AH341" s="4" t="s">
        <v>16</v>
      </c>
      <c r="AI341" s="43" t="str">
        <f>IF(VLOOKUP(AH341,βοηθητικό!$J$2:$N$354,3,FALSE)="","",VLOOKUP(AH341,βοηθητικό!$J$2:$N$354,3,FALSE))</f>
        <v>_</v>
      </c>
      <c r="AJ341" s="44"/>
      <c r="AK341" s="5" t="s">
        <v>16</v>
      </c>
      <c r="AL341" s="46" t="str">
        <f>IF(VLOOKUP(AK341,βοηθητικό!$J$2:$N$354,3,FALSE)="","",VLOOKUP(AK341,βοηθητικό!$J$2:$N$354,3,FALSE))</f>
        <v>_</v>
      </c>
      <c r="AM341" s="47"/>
      <c r="AN341" s="4" t="s">
        <v>16</v>
      </c>
      <c r="AO341" s="43" t="str">
        <f>IF(VLOOKUP(AN341,βοηθητικό!$J$2:$N$354,3,FALSE)="","",VLOOKUP(AN341,βοηθητικό!$J$2:$N$354,3,FALSE))</f>
        <v>_</v>
      </c>
      <c r="AP341" s="44"/>
      <c r="AQ341" s="5" t="s">
        <v>16</v>
      </c>
      <c r="AR341" s="46" t="str">
        <f>IF(VLOOKUP(AQ341,βοηθητικό!$J$2:$N$354,3,FALSE)="","",VLOOKUP(AQ341,βοηθητικό!$J$2:$N$354,3,FALSE))</f>
        <v>_</v>
      </c>
      <c r="AS341" s="47"/>
      <c r="AT341" s="4" t="s">
        <v>16</v>
      </c>
      <c r="AU341" s="43" t="str">
        <f>IF(VLOOKUP(AT341,βοηθητικό!$J$2:$N$354,3,FALSE)="","",VLOOKUP(AT341,βοηθητικό!$J$2:$N$354,3,FALSE))</f>
        <v>_</v>
      </c>
      <c r="AV341" s="44"/>
      <c r="AW341" s="5" t="s">
        <v>16</v>
      </c>
      <c r="AX341" s="46" t="str">
        <f>IF(VLOOKUP(AW341,βοηθητικό!$J$2:$N$354,3,FALSE)="","",VLOOKUP(AW341,βοηθητικό!$J$2:$N$354,3,FALSE))</f>
        <v>_</v>
      </c>
      <c r="AY341" s="47"/>
      <c r="AZ341" s="4" t="s">
        <v>16</v>
      </c>
      <c r="BA341" s="43" t="str">
        <f>IF(VLOOKUP(AZ341,βοηθητικό!$J$2:$N$354,3,FALSE)="","",VLOOKUP(AZ341,βοηθητικό!$J$2:$N$354,3,FALSE))</f>
        <v>_</v>
      </c>
      <c r="BB341" s="44"/>
      <c r="BC341" s="45" t="s">
        <v>16</v>
      </c>
      <c r="BD341" s="46" t="str">
        <f>IF(VLOOKUP(BC341,βοηθητικό!$J$2:$N$354,3,FALSE)="","",VLOOKUP(BC341,βοηθητικό!$J$2:$N$354,3,FALSE))</f>
        <v>_</v>
      </c>
      <c r="BE341" s="47"/>
      <c r="BF341" s="42" t="s">
        <v>16</v>
      </c>
      <c r="BG341" s="43" t="str">
        <f>IF(VLOOKUP(BF341,βοηθητικό!$J$2:$N$354,3,FALSE)="","",VLOOKUP(BF341,βοηθητικό!$J$2:$N$354,3,FALSE))</f>
        <v>_</v>
      </c>
      <c r="BH341" s="44"/>
      <c r="BI341" s="45" t="s">
        <v>16</v>
      </c>
      <c r="BJ341" s="46" t="str">
        <f>IF(VLOOKUP(BI341,βοηθητικό!$J$2:$N$354,3,FALSE)="","",VLOOKUP(BI341,βοηθητικό!$J$2:$N$354,3,FALSE))</f>
        <v>_</v>
      </c>
      <c r="BK341" s="47"/>
      <c r="BL341" s="42" t="s">
        <v>16</v>
      </c>
      <c r="BM341" s="43" t="str">
        <f>IF(VLOOKUP(BL341,βοηθητικό!$J$2:$N$354,3,FALSE)="","",VLOOKUP(BL341,βοηθητικό!$J$2:$N$354,3,FALSE))</f>
        <v>_</v>
      </c>
      <c r="BN341" s="44"/>
      <c r="BO341" s="45" t="s">
        <v>16</v>
      </c>
      <c r="BP341" s="46" t="str">
        <f>IF(VLOOKUP(BO341,βοηθητικό!$J$2:$N$354,3,FALSE)="","",VLOOKUP(BO341,βοηθητικό!$J$2:$N$354,3,FALSE))</f>
        <v>_</v>
      </c>
      <c r="BQ341" s="47"/>
      <c r="BR341" s="42" t="s">
        <v>16</v>
      </c>
      <c r="BS341" s="43" t="str">
        <f>IF(VLOOKUP(BR341,βοηθητικό!$J$2:$N$354,3,FALSE)="","",VLOOKUP(BR341,βοηθητικό!$J$2:$N$354,3,FALSE))</f>
        <v>_</v>
      </c>
      <c r="BT341" s="44"/>
      <c r="BU341" s="45" t="s">
        <v>16</v>
      </c>
      <c r="BV341" s="46" t="str">
        <f>IF(VLOOKUP(BU341,βοηθητικό!$J$2:$N$354,3,FALSE)="","",VLOOKUP(BU341,βοηθητικό!$J$2:$N$354,3,FALSE))</f>
        <v>_</v>
      </c>
      <c r="BW341" s="47"/>
      <c r="BX341" s="42" t="s">
        <v>16</v>
      </c>
      <c r="BY341" s="43" t="str">
        <f>IF(VLOOKUP(BX341,βοηθητικό!$J$2:$N$354,3,FALSE)="","",VLOOKUP(BX341,βοηθητικό!$J$2:$N$354,3,FALSE))</f>
        <v>_</v>
      </c>
      <c r="BZ341" s="44"/>
      <c r="CA341" s="45" t="s">
        <v>16</v>
      </c>
      <c r="CB341" s="46" t="str">
        <f>IF(VLOOKUP(CA341,βοηθητικό!$J$2:$N$354,3,FALSE)="","",VLOOKUP(CA341,βοηθητικό!$J$2:$N$354,3,FALSE))</f>
        <v>_</v>
      </c>
      <c r="CC341" s="47"/>
      <c r="CD341" s="42" t="s">
        <v>16</v>
      </c>
      <c r="CE341" s="43" t="str">
        <f>IF(VLOOKUP(CD341,βοηθητικό!$J$2:$N$354,3,FALSE)="","",VLOOKUP(CD341,βοηθητικό!$J$2:$N$354,3,FALSE))</f>
        <v>_</v>
      </c>
      <c r="CF341" s="44"/>
      <c r="CG341" s="45" t="s">
        <v>16</v>
      </c>
      <c r="CH341" s="46" t="str">
        <f>IF(VLOOKUP(CG341,βοηθητικό!$J$2:$N$354,3,FALSE)="","",VLOOKUP(CG341,βοηθητικό!$J$2:$N$354,3,FALSE))</f>
        <v>_</v>
      </c>
      <c r="CI341" s="47"/>
      <c r="CJ341" s="42" t="s">
        <v>16</v>
      </c>
      <c r="CK341" s="43" t="str">
        <f>IF(VLOOKUP(CJ341,βοηθητικό!$J$2:$N$354,3,FALSE)="","",VLOOKUP(CJ341,βοηθητικό!$J$2:$N$354,3,FALSE))</f>
        <v>_</v>
      </c>
      <c r="CL341" s="44"/>
      <c r="CM341" s="45" t="s">
        <v>16</v>
      </c>
      <c r="CN341" s="46" t="str">
        <f>IF(VLOOKUP(CM341,βοηθητικό!$J$2:$N$354,3,FALSE)="","",VLOOKUP(CM341,βοηθητικό!$J$2:$N$354,3,FALSE))</f>
        <v>_</v>
      </c>
      <c r="CO341" s="47"/>
      <c r="CP341" s="42" t="s">
        <v>16</v>
      </c>
      <c r="CQ341" s="43" t="str">
        <f>IF(VLOOKUP(CP341,βοηθητικό!$J$2:$N$354,3,FALSE)="","",VLOOKUP(CP341,βοηθητικό!$J$2:$N$354,3,FALSE))</f>
        <v>_</v>
      </c>
      <c r="CR341" s="44"/>
      <c r="CS341" s="45" t="s">
        <v>16</v>
      </c>
      <c r="CT341" s="46" t="str">
        <f>IF(VLOOKUP(CS341,βοηθητικό!$J$2:$N$354,3,FALSE)="","",VLOOKUP(CS341,βοηθητικό!$J$2:$N$354,3,FALSE))</f>
        <v>_</v>
      </c>
      <c r="CU341" s="47"/>
    </row>
    <row r="342" spans="1:99" x14ac:dyDescent="0.25">
      <c r="A342" s="37">
        <f>--SUBTOTAL(3,$B$3:B341)</f>
        <v>198</v>
      </c>
      <c r="B342" s="2"/>
      <c r="C342" s="3"/>
      <c r="D342" s="55" t="s">
        <v>18</v>
      </c>
      <c r="E342" s="38" t="s">
        <v>16</v>
      </c>
      <c r="F342" s="38" t="s">
        <v>16</v>
      </c>
      <c r="G342" s="39" t="str">
        <f t="shared" si="17"/>
        <v>__</v>
      </c>
      <c r="H342" s="40" t="str">
        <f t="shared" si="18"/>
        <v>FALSE</v>
      </c>
      <c r="I342" s="41">
        <f t="shared" si="19"/>
        <v>0</v>
      </c>
      <c r="J342" s="4" t="s">
        <v>16</v>
      </c>
      <c r="K342" s="43" t="str">
        <f>IF(VLOOKUP(J342,βοηθητικό!$J$2:$N$354,3,FALSE)="","",VLOOKUP(J342,βοηθητικό!$J$2:$N$354,3,FALSE))</f>
        <v>_</v>
      </c>
      <c r="L342" s="44"/>
      <c r="M342" s="5" t="s">
        <v>16</v>
      </c>
      <c r="N342" s="46" t="str">
        <f>IF(VLOOKUP(M342,βοηθητικό!$J$2:$N$354,3,FALSE)="","",VLOOKUP(M342,βοηθητικό!$J$2:$N$354,3,FALSE))</f>
        <v>_</v>
      </c>
      <c r="O342" s="47"/>
      <c r="P342" s="4" t="s">
        <v>16</v>
      </c>
      <c r="Q342" s="43" t="str">
        <f>IF(VLOOKUP(P342,βοηθητικό!$J$2:$N$354,3,FALSE)="","",VLOOKUP(P342,βοηθητικό!$J$2:$N$354,3,FALSE))</f>
        <v>_</v>
      </c>
      <c r="R342" s="44"/>
      <c r="S342" s="5" t="s">
        <v>16</v>
      </c>
      <c r="T342" s="46" t="str">
        <f>IF(VLOOKUP(S342,βοηθητικό!$J$2:$N$354,3,FALSE)="","",VLOOKUP(S342,βοηθητικό!$J$2:$N$354,3,FALSE))</f>
        <v>_</v>
      </c>
      <c r="U342" s="47"/>
      <c r="V342" s="4" t="s">
        <v>16</v>
      </c>
      <c r="W342" s="43" t="str">
        <f>IF(VLOOKUP(V342,βοηθητικό!$J$2:$N$354,3,FALSE)="","",VLOOKUP(V342,βοηθητικό!$J$2:$N$354,3,FALSE))</f>
        <v>_</v>
      </c>
      <c r="X342" s="44"/>
      <c r="Y342" s="5" t="s">
        <v>16</v>
      </c>
      <c r="Z342" s="46" t="str">
        <f>IF(VLOOKUP(Y342,βοηθητικό!$J$2:$N$354,3,FALSE)="","",VLOOKUP(Y342,βοηθητικό!$J$2:$N$354,3,FALSE))</f>
        <v>_</v>
      </c>
      <c r="AA342" s="47"/>
      <c r="AB342" s="4" t="s">
        <v>16</v>
      </c>
      <c r="AC342" s="43" t="str">
        <f>IF(VLOOKUP(AB342,βοηθητικό!$J$2:$N$354,3,FALSE)="","",VLOOKUP(AB342,βοηθητικό!$J$2:$N$354,3,FALSE))</f>
        <v>_</v>
      </c>
      <c r="AD342" s="44"/>
      <c r="AE342" s="5" t="s">
        <v>16</v>
      </c>
      <c r="AF342" s="46" t="str">
        <f>IF(VLOOKUP(AE342,βοηθητικό!$J$2:$N$354,3,FALSE)="","",VLOOKUP(AE342,βοηθητικό!$J$2:$N$354,3,FALSE))</f>
        <v>_</v>
      </c>
      <c r="AG342" s="47"/>
      <c r="AH342" s="4" t="s">
        <v>16</v>
      </c>
      <c r="AI342" s="43" t="str">
        <f>IF(VLOOKUP(AH342,βοηθητικό!$J$2:$N$354,3,FALSE)="","",VLOOKUP(AH342,βοηθητικό!$J$2:$N$354,3,FALSE))</f>
        <v>_</v>
      </c>
      <c r="AJ342" s="44"/>
      <c r="AK342" s="5" t="s">
        <v>16</v>
      </c>
      <c r="AL342" s="46" t="str">
        <f>IF(VLOOKUP(AK342,βοηθητικό!$J$2:$N$354,3,FALSE)="","",VLOOKUP(AK342,βοηθητικό!$J$2:$N$354,3,FALSE))</f>
        <v>_</v>
      </c>
      <c r="AM342" s="47"/>
      <c r="AN342" s="4" t="s">
        <v>16</v>
      </c>
      <c r="AO342" s="43" t="str">
        <f>IF(VLOOKUP(AN342,βοηθητικό!$J$2:$N$354,3,FALSE)="","",VLOOKUP(AN342,βοηθητικό!$J$2:$N$354,3,FALSE))</f>
        <v>_</v>
      </c>
      <c r="AP342" s="44"/>
      <c r="AQ342" s="5" t="s">
        <v>16</v>
      </c>
      <c r="AR342" s="46" t="str">
        <f>IF(VLOOKUP(AQ342,βοηθητικό!$J$2:$N$354,3,FALSE)="","",VLOOKUP(AQ342,βοηθητικό!$J$2:$N$354,3,FALSE))</f>
        <v>_</v>
      </c>
      <c r="AS342" s="47"/>
      <c r="AT342" s="4" t="s">
        <v>16</v>
      </c>
      <c r="AU342" s="43" t="str">
        <f>IF(VLOOKUP(AT342,βοηθητικό!$J$2:$N$354,3,FALSE)="","",VLOOKUP(AT342,βοηθητικό!$J$2:$N$354,3,FALSE))</f>
        <v>_</v>
      </c>
      <c r="AV342" s="44"/>
      <c r="AW342" s="5" t="s">
        <v>16</v>
      </c>
      <c r="AX342" s="46" t="str">
        <f>IF(VLOOKUP(AW342,βοηθητικό!$J$2:$N$354,3,FALSE)="","",VLOOKUP(AW342,βοηθητικό!$J$2:$N$354,3,FALSE))</f>
        <v>_</v>
      </c>
      <c r="AY342" s="47"/>
      <c r="AZ342" s="4" t="s">
        <v>16</v>
      </c>
      <c r="BA342" s="43" t="str">
        <f>IF(VLOOKUP(AZ342,βοηθητικό!$J$2:$N$354,3,FALSE)="","",VLOOKUP(AZ342,βοηθητικό!$J$2:$N$354,3,FALSE))</f>
        <v>_</v>
      </c>
      <c r="BB342" s="44"/>
      <c r="BC342" s="45" t="s">
        <v>16</v>
      </c>
      <c r="BD342" s="46" t="str">
        <f>IF(VLOOKUP(BC342,βοηθητικό!$J$2:$N$354,3,FALSE)="","",VLOOKUP(BC342,βοηθητικό!$J$2:$N$354,3,FALSE))</f>
        <v>_</v>
      </c>
      <c r="BE342" s="47"/>
      <c r="BF342" s="42" t="s">
        <v>16</v>
      </c>
      <c r="BG342" s="43" t="str">
        <f>IF(VLOOKUP(BF342,βοηθητικό!$J$2:$N$354,3,FALSE)="","",VLOOKUP(BF342,βοηθητικό!$J$2:$N$354,3,FALSE))</f>
        <v>_</v>
      </c>
      <c r="BH342" s="44"/>
      <c r="BI342" s="45" t="s">
        <v>16</v>
      </c>
      <c r="BJ342" s="46" t="str">
        <f>IF(VLOOKUP(BI342,βοηθητικό!$J$2:$N$354,3,FALSE)="","",VLOOKUP(BI342,βοηθητικό!$J$2:$N$354,3,FALSE))</f>
        <v>_</v>
      </c>
      <c r="BK342" s="47"/>
      <c r="BL342" s="42" t="s">
        <v>16</v>
      </c>
      <c r="BM342" s="43" t="str">
        <f>IF(VLOOKUP(BL342,βοηθητικό!$J$2:$N$354,3,FALSE)="","",VLOOKUP(BL342,βοηθητικό!$J$2:$N$354,3,FALSE))</f>
        <v>_</v>
      </c>
      <c r="BN342" s="44"/>
      <c r="BO342" s="45" t="s">
        <v>16</v>
      </c>
      <c r="BP342" s="46" t="str">
        <f>IF(VLOOKUP(BO342,βοηθητικό!$J$2:$N$354,3,FALSE)="","",VLOOKUP(BO342,βοηθητικό!$J$2:$N$354,3,FALSE))</f>
        <v>_</v>
      </c>
      <c r="BQ342" s="47"/>
      <c r="BR342" s="42" t="s">
        <v>16</v>
      </c>
      <c r="BS342" s="43" t="str">
        <f>IF(VLOOKUP(BR342,βοηθητικό!$J$2:$N$354,3,FALSE)="","",VLOOKUP(BR342,βοηθητικό!$J$2:$N$354,3,FALSE))</f>
        <v>_</v>
      </c>
      <c r="BT342" s="44"/>
      <c r="BU342" s="45" t="s">
        <v>16</v>
      </c>
      <c r="BV342" s="46" t="str">
        <f>IF(VLOOKUP(BU342,βοηθητικό!$J$2:$N$354,3,FALSE)="","",VLOOKUP(BU342,βοηθητικό!$J$2:$N$354,3,FALSE))</f>
        <v>_</v>
      </c>
      <c r="BW342" s="47"/>
      <c r="BX342" s="42" t="s">
        <v>16</v>
      </c>
      <c r="BY342" s="43" t="str">
        <f>IF(VLOOKUP(BX342,βοηθητικό!$J$2:$N$354,3,FALSE)="","",VLOOKUP(BX342,βοηθητικό!$J$2:$N$354,3,FALSE))</f>
        <v>_</v>
      </c>
      <c r="BZ342" s="44"/>
      <c r="CA342" s="45" t="s">
        <v>16</v>
      </c>
      <c r="CB342" s="46" t="str">
        <f>IF(VLOOKUP(CA342,βοηθητικό!$J$2:$N$354,3,FALSE)="","",VLOOKUP(CA342,βοηθητικό!$J$2:$N$354,3,FALSE))</f>
        <v>_</v>
      </c>
      <c r="CC342" s="47"/>
      <c r="CD342" s="42" t="s">
        <v>16</v>
      </c>
      <c r="CE342" s="43" t="str">
        <f>IF(VLOOKUP(CD342,βοηθητικό!$J$2:$N$354,3,FALSE)="","",VLOOKUP(CD342,βοηθητικό!$J$2:$N$354,3,FALSE))</f>
        <v>_</v>
      </c>
      <c r="CF342" s="44"/>
      <c r="CG342" s="45" t="s">
        <v>16</v>
      </c>
      <c r="CH342" s="46" t="str">
        <f>IF(VLOOKUP(CG342,βοηθητικό!$J$2:$N$354,3,FALSE)="","",VLOOKUP(CG342,βοηθητικό!$J$2:$N$354,3,FALSE))</f>
        <v>_</v>
      </c>
      <c r="CI342" s="47"/>
      <c r="CJ342" s="42" t="s">
        <v>16</v>
      </c>
      <c r="CK342" s="43" t="str">
        <f>IF(VLOOKUP(CJ342,βοηθητικό!$J$2:$N$354,3,FALSE)="","",VLOOKUP(CJ342,βοηθητικό!$J$2:$N$354,3,FALSE))</f>
        <v>_</v>
      </c>
      <c r="CL342" s="44"/>
      <c r="CM342" s="45" t="s">
        <v>16</v>
      </c>
      <c r="CN342" s="46" t="str">
        <f>IF(VLOOKUP(CM342,βοηθητικό!$J$2:$N$354,3,FALSE)="","",VLOOKUP(CM342,βοηθητικό!$J$2:$N$354,3,FALSE))</f>
        <v>_</v>
      </c>
      <c r="CO342" s="47"/>
      <c r="CP342" s="42" t="s">
        <v>16</v>
      </c>
      <c r="CQ342" s="43" t="str">
        <f>IF(VLOOKUP(CP342,βοηθητικό!$J$2:$N$354,3,FALSE)="","",VLOOKUP(CP342,βοηθητικό!$J$2:$N$354,3,FALSE))</f>
        <v>_</v>
      </c>
      <c r="CR342" s="44"/>
      <c r="CS342" s="45" t="s">
        <v>16</v>
      </c>
      <c r="CT342" s="46" t="str">
        <f>IF(VLOOKUP(CS342,βοηθητικό!$J$2:$N$354,3,FALSE)="","",VLOOKUP(CS342,βοηθητικό!$J$2:$N$354,3,FALSE))</f>
        <v>_</v>
      </c>
      <c r="CU342" s="47"/>
    </row>
    <row r="343" spans="1:99" x14ac:dyDescent="0.25">
      <c r="A343" s="37">
        <f>--SUBTOTAL(3,$B$3:B342)</f>
        <v>198</v>
      </c>
      <c r="B343" s="2"/>
      <c r="C343" s="3"/>
      <c r="D343" s="55" t="s">
        <v>18</v>
      </c>
      <c r="E343" s="38" t="s">
        <v>16</v>
      </c>
      <c r="F343" s="38" t="s">
        <v>16</v>
      </c>
      <c r="G343" s="39" t="str">
        <f t="shared" si="17"/>
        <v>__</v>
      </c>
      <c r="H343" s="40" t="str">
        <f t="shared" si="18"/>
        <v>FALSE</v>
      </c>
      <c r="I343" s="41">
        <f t="shared" si="19"/>
        <v>0</v>
      </c>
      <c r="J343" s="4" t="s">
        <v>16</v>
      </c>
      <c r="K343" s="43" t="str">
        <f>IF(VLOOKUP(J343,βοηθητικό!$J$2:$N$354,3,FALSE)="","",VLOOKUP(J343,βοηθητικό!$J$2:$N$354,3,FALSE))</f>
        <v>_</v>
      </c>
      <c r="L343" s="44"/>
      <c r="M343" s="5" t="s">
        <v>16</v>
      </c>
      <c r="N343" s="46" t="str">
        <f>IF(VLOOKUP(M343,βοηθητικό!$J$2:$N$354,3,FALSE)="","",VLOOKUP(M343,βοηθητικό!$J$2:$N$354,3,FALSE))</f>
        <v>_</v>
      </c>
      <c r="O343" s="47"/>
      <c r="P343" s="4" t="s">
        <v>16</v>
      </c>
      <c r="Q343" s="43" t="str">
        <f>IF(VLOOKUP(P343,βοηθητικό!$J$2:$N$354,3,FALSE)="","",VLOOKUP(P343,βοηθητικό!$J$2:$N$354,3,FALSE))</f>
        <v>_</v>
      </c>
      <c r="R343" s="44"/>
      <c r="S343" s="5" t="s">
        <v>16</v>
      </c>
      <c r="T343" s="46" t="str">
        <f>IF(VLOOKUP(S343,βοηθητικό!$J$2:$N$354,3,FALSE)="","",VLOOKUP(S343,βοηθητικό!$J$2:$N$354,3,FALSE))</f>
        <v>_</v>
      </c>
      <c r="U343" s="47"/>
      <c r="V343" s="4" t="s">
        <v>16</v>
      </c>
      <c r="W343" s="43" t="str">
        <f>IF(VLOOKUP(V343,βοηθητικό!$J$2:$N$354,3,FALSE)="","",VLOOKUP(V343,βοηθητικό!$J$2:$N$354,3,FALSE))</f>
        <v>_</v>
      </c>
      <c r="X343" s="44"/>
      <c r="Y343" s="5" t="s">
        <v>16</v>
      </c>
      <c r="Z343" s="46" t="str">
        <f>IF(VLOOKUP(Y343,βοηθητικό!$J$2:$N$354,3,FALSE)="","",VLOOKUP(Y343,βοηθητικό!$J$2:$N$354,3,FALSE))</f>
        <v>_</v>
      </c>
      <c r="AA343" s="47"/>
      <c r="AB343" s="4" t="s">
        <v>16</v>
      </c>
      <c r="AC343" s="43" t="str">
        <f>IF(VLOOKUP(AB343,βοηθητικό!$J$2:$N$354,3,FALSE)="","",VLOOKUP(AB343,βοηθητικό!$J$2:$N$354,3,FALSE))</f>
        <v>_</v>
      </c>
      <c r="AD343" s="44"/>
      <c r="AE343" s="5" t="s">
        <v>16</v>
      </c>
      <c r="AF343" s="46" t="str">
        <f>IF(VLOOKUP(AE343,βοηθητικό!$J$2:$N$354,3,FALSE)="","",VLOOKUP(AE343,βοηθητικό!$J$2:$N$354,3,FALSE))</f>
        <v>_</v>
      </c>
      <c r="AG343" s="47"/>
      <c r="AH343" s="4" t="s">
        <v>16</v>
      </c>
      <c r="AI343" s="43" t="str">
        <f>IF(VLOOKUP(AH343,βοηθητικό!$J$2:$N$354,3,FALSE)="","",VLOOKUP(AH343,βοηθητικό!$J$2:$N$354,3,FALSE))</f>
        <v>_</v>
      </c>
      <c r="AJ343" s="44"/>
      <c r="AK343" s="5" t="s">
        <v>16</v>
      </c>
      <c r="AL343" s="46" t="str">
        <f>IF(VLOOKUP(AK343,βοηθητικό!$J$2:$N$354,3,FALSE)="","",VLOOKUP(AK343,βοηθητικό!$J$2:$N$354,3,FALSE))</f>
        <v>_</v>
      </c>
      <c r="AM343" s="47"/>
      <c r="AN343" s="4" t="s">
        <v>16</v>
      </c>
      <c r="AO343" s="43" t="str">
        <f>IF(VLOOKUP(AN343,βοηθητικό!$J$2:$N$354,3,FALSE)="","",VLOOKUP(AN343,βοηθητικό!$J$2:$N$354,3,FALSE))</f>
        <v>_</v>
      </c>
      <c r="AP343" s="44"/>
      <c r="AQ343" s="5" t="s">
        <v>16</v>
      </c>
      <c r="AR343" s="46" t="str">
        <f>IF(VLOOKUP(AQ343,βοηθητικό!$J$2:$N$354,3,FALSE)="","",VLOOKUP(AQ343,βοηθητικό!$J$2:$N$354,3,FALSE))</f>
        <v>_</v>
      </c>
      <c r="AS343" s="47"/>
      <c r="AT343" s="4" t="s">
        <v>16</v>
      </c>
      <c r="AU343" s="43" t="str">
        <f>IF(VLOOKUP(AT343,βοηθητικό!$J$2:$N$354,3,FALSE)="","",VLOOKUP(AT343,βοηθητικό!$J$2:$N$354,3,FALSE))</f>
        <v>_</v>
      </c>
      <c r="AV343" s="44"/>
      <c r="AW343" s="5" t="s">
        <v>16</v>
      </c>
      <c r="AX343" s="46" t="str">
        <f>IF(VLOOKUP(AW343,βοηθητικό!$J$2:$N$354,3,FALSE)="","",VLOOKUP(AW343,βοηθητικό!$J$2:$N$354,3,FALSE))</f>
        <v>_</v>
      </c>
      <c r="AY343" s="47"/>
      <c r="AZ343" s="4" t="s">
        <v>16</v>
      </c>
      <c r="BA343" s="43" t="str">
        <f>IF(VLOOKUP(AZ343,βοηθητικό!$J$2:$N$354,3,FALSE)="","",VLOOKUP(AZ343,βοηθητικό!$J$2:$N$354,3,FALSE))</f>
        <v>_</v>
      </c>
      <c r="BB343" s="44"/>
      <c r="BC343" s="45" t="s">
        <v>16</v>
      </c>
      <c r="BD343" s="46" t="str">
        <f>IF(VLOOKUP(BC343,βοηθητικό!$J$2:$N$354,3,FALSE)="","",VLOOKUP(BC343,βοηθητικό!$J$2:$N$354,3,FALSE))</f>
        <v>_</v>
      </c>
      <c r="BE343" s="47"/>
      <c r="BF343" s="42" t="s">
        <v>16</v>
      </c>
      <c r="BG343" s="43" t="str">
        <f>IF(VLOOKUP(BF343,βοηθητικό!$J$2:$N$354,3,FALSE)="","",VLOOKUP(BF343,βοηθητικό!$J$2:$N$354,3,FALSE))</f>
        <v>_</v>
      </c>
      <c r="BH343" s="44"/>
      <c r="BI343" s="45" t="s">
        <v>16</v>
      </c>
      <c r="BJ343" s="46" t="str">
        <f>IF(VLOOKUP(BI343,βοηθητικό!$J$2:$N$354,3,FALSE)="","",VLOOKUP(BI343,βοηθητικό!$J$2:$N$354,3,FALSE))</f>
        <v>_</v>
      </c>
      <c r="BK343" s="47"/>
      <c r="BL343" s="42" t="s">
        <v>16</v>
      </c>
      <c r="BM343" s="43" t="str">
        <f>IF(VLOOKUP(BL343,βοηθητικό!$J$2:$N$354,3,FALSE)="","",VLOOKUP(BL343,βοηθητικό!$J$2:$N$354,3,FALSE))</f>
        <v>_</v>
      </c>
      <c r="BN343" s="44"/>
      <c r="BO343" s="45" t="s">
        <v>16</v>
      </c>
      <c r="BP343" s="46" t="str">
        <f>IF(VLOOKUP(BO343,βοηθητικό!$J$2:$N$354,3,FALSE)="","",VLOOKUP(BO343,βοηθητικό!$J$2:$N$354,3,FALSE))</f>
        <v>_</v>
      </c>
      <c r="BQ343" s="47"/>
      <c r="BR343" s="42" t="s">
        <v>16</v>
      </c>
      <c r="BS343" s="43" t="str">
        <f>IF(VLOOKUP(BR343,βοηθητικό!$J$2:$N$354,3,FALSE)="","",VLOOKUP(BR343,βοηθητικό!$J$2:$N$354,3,FALSE))</f>
        <v>_</v>
      </c>
      <c r="BT343" s="44"/>
      <c r="BU343" s="45" t="s">
        <v>16</v>
      </c>
      <c r="BV343" s="46" t="str">
        <f>IF(VLOOKUP(BU343,βοηθητικό!$J$2:$N$354,3,FALSE)="","",VLOOKUP(BU343,βοηθητικό!$J$2:$N$354,3,FALSE))</f>
        <v>_</v>
      </c>
      <c r="BW343" s="47"/>
      <c r="BX343" s="42" t="s">
        <v>16</v>
      </c>
      <c r="BY343" s="43" t="str">
        <f>IF(VLOOKUP(BX343,βοηθητικό!$J$2:$N$354,3,FALSE)="","",VLOOKUP(BX343,βοηθητικό!$J$2:$N$354,3,FALSE))</f>
        <v>_</v>
      </c>
      <c r="BZ343" s="44"/>
      <c r="CA343" s="45" t="s">
        <v>16</v>
      </c>
      <c r="CB343" s="46" t="str">
        <f>IF(VLOOKUP(CA343,βοηθητικό!$J$2:$N$354,3,FALSE)="","",VLOOKUP(CA343,βοηθητικό!$J$2:$N$354,3,FALSE))</f>
        <v>_</v>
      </c>
      <c r="CC343" s="47"/>
      <c r="CD343" s="42" t="s">
        <v>16</v>
      </c>
      <c r="CE343" s="43" t="str">
        <f>IF(VLOOKUP(CD343,βοηθητικό!$J$2:$N$354,3,FALSE)="","",VLOOKUP(CD343,βοηθητικό!$J$2:$N$354,3,FALSE))</f>
        <v>_</v>
      </c>
      <c r="CF343" s="44"/>
      <c r="CG343" s="45" t="s">
        <v>16</v>
      </c>
      <c r="CH343" s="46" t="str">
        <f>IF(VLOOKUP(CG343,βοηθητικό!$J$2:$N$354,3,FALSE)="","",VLOOKUP(CG343,βοηθητικό!$J$2:$N$354,3,FALSE))</f>
        <v>_</v>
      </c>
      <c r="CI343" s="47"/>
      <c r="CJ343" s="42" t="s">
        <v>16</v>
      </c>
      <c r="CK343" s="43" t="str">
        <f>IF(VLOOKUP(CJ343,βοηθητικό!$J$2:$N$354,3,FALSE)="","",VLOOKUP(CJ343,βοηθητικό!$J$2:$N$354,3,FALSE))</f>
        <v>_</v>
      </c>
      <c r="CL343" s="44"/>
      <c r="CM343" s="45" t="s">
        <v>16</v>
      </c>
      <c r="CN343" s="46" t="str">
        <f>IF(VLOOKUP(CM343,βοηθητικό!$J$2:$N$354,3,FALSE)="","",VLOOKUP(CM343,βοηθητικό!$J$2:$N$354,3,FALSE))</f>
        <v>_</v>
      </c>
      <c r="CO343" s="47"/>
      <c r="CP343" s="42" t="s">
        <v>16</v>
      </c>
      <c r="CQ343" s="43" t="str">
        <f>IF(VLOOKUP(CP343,βοηθητικό!$J$2:$N$354,3,FALSE)="","",VLOOKUP(CP343,βοηθητικό!$J$2:$N$354,3,FALSE))</f>
        <v>_</v>
      </c>
      <c r="CR343" s="44"/>
      <c r="CS343" s="45" t="s">
        <v>16</v>
      </c>
      <c r="CT343" s="46" t="str">
        <f>IF(VLOOKUP(CS343,βοηθητικό!$J$2:$N$354,3,FALSE)="","",VLOOKUP(CS343,βοηθητικό!$J$2:$N$354,3,FALSE))</f>
        <v>_</v>
      </c>
      <c r="CU343" s="47"/>
    </row>
    <row r="344" spans="1:99" x14ac:dyDescent="0.25">
      <c r="A344" s="37">
        <f>--SUBTOTAL(3,$B$3:B343)</f>
        <v>198</v>
      </c>
      <c r="B344" s="2"/>
      <c r="C344" s="3"/>
      <c r="D344" s="55" t="s">
        <v>18</v>
      </c>
      <c r="E344" s="38" t="s">
        <v>16</v>
      </c>
      <c r="F344" s="38" t="s">
        <v>16</v>
      </c>
      <c r="G344" s="39" t="str">
        <f t="shared" si="17"/>
        <v>__</v>
      </c>
      <c r="H344" s="40" t="str">
        <f t="shared" si="18"/>
        <v>FALSE</v>
      </c>
      <c r="I344" s="41">
        <f t="shared" si="19"/>
        <v>0</v>
      </c>
      <c r="J344" s="4" t="s">
        <v>16</v>
      </c>
      <c r="K344" s="43" t="str">
        <f>IF(VLOOKUP(J344,βοηθητικό!$J$2:$N$354,3,FALSE)="","",VLOOKUP(J344,βοηθητικό!$J$2:$N$354,3,FALSE))</f>
        <v>_</v>
      </c>
      <c r="L344" s="44"/>
      <c r="M344" s="5" t="s">
        <v>16</v>
      </c>
      <c r="N344" s="46" t="str">
        <f>IF(VLOOKUP(M344,βοηθητικό!$J$2:$N$354,3,FALSE)="","",VLOOKUP(M344,βοηθητικό!$J$2:$N$354,3,FALSE))</f>
        <v>_</v>
      </c>
      <c r="O344" s="47"/>
      <c r="P344" s="4" t="s">
        <v>16</v>
      </c>
      <c r="Q344" s="43" t="str">
        <f>IF(VLOOKUP(P344,βοηθητικό!$J$2:$N$354,3,FALSE)="","",VLOOKUP(P344,βοηθητικό!$J$2:$N$354,3,FALSE))</f>
        <v>_</v>
      </c>
      <c r="R344" s="44"/>
      <c r="S344" s="5" t="s">
        <v>16</v>
      </c>
      <c r="T344" s="46" t="str">
        <f>IF(VLOOKUP(S344,βοηθητικό!$J$2:$N$354,3,FALSE)="","",VLOOKUP(S344,βοηθητικό!$J$2:$N$354,3,FALSE))</f>
        <v>_</v>
      </c>
      <c r="U344" s="47"/>
      <c r="V344" s="4" t="s">
        <v>16</v>
      </c>
      <c r="W344" s="43" t="str">
        <f>IF(VLOOKUP(V344,βοηθητικό!$J$2:$N$354,3,FALSE)="","",VLOOKUP(V344,βοηθητικό!$J$2:$N$354,3,FALSE))</f>
        <v>_</v>
      </c>
      <c r="X344" s="44"/>
      <c r="Y344" s="5" t="s">
        <v>16</v>
      </c>
      <c r="Z344" s="46" t="str">
        <f>IF(VLOOKUP(Y344,βοηθητικό!$J$2:$N$354,3,FALSE)="","",VLOOKUP(Y344,βοηθητικό!$J$2:$N$354,3,FALSE))</f>
        <v>_</v>
      </c>
      <c r="AA344" s="47"/>
      <c r="AB344" s="4" t="s">
        <v>16</v>
      </c>
      <c r="AC344" s="43" t="str">
        <f>IF(VLOOKUP(AB344,βοηθητικό!$J$2:$N$354,3,FALSE)="","",VLOOKUP(AB344,βοηθητικό!$J$2:$N$354,3,FALSE))</f>
        <v>_</v>
      </c>
      <c r="AD344" s="44"/>
      <c r="AE344" s="5" t="s">
        <v>16</v>
      </c>
      <c r="AF344" s="46" t="str">
        <f>IF(VLOOKUP(AE344,βοηθητικό!$J$2:$N$354,3,FALSE)="","",VLOOKUP(AE344,βοηθητικό!$J$2:$N$354,3,FALSE))</f>
        <v>_</v>
      </c>
      <c r="AG344" s="47"/>
      <c r="AH344" s="4" t="s">
        <v>16</v>
      </c>
      <c r="AI344" s="43" t="str">
        <f>IF(VLOOKUP(AH344,βοηθητικό!$J$2:$N$354,3,FALSE)="","",VLOOKUP(AH344,βοηθητικό!$J$2:$N$354,3,FALSE))</f>
        <v>_</v>
      </c>
      <c r="AJ344" s="44"/>
      <c r="AK344" s="5" t="s">
        <v>16</v>
      </c>
      <c r="AL344" s="46" t="str">
        <f>IF(VLOOKUP(AK344,βοηθητικό!$J$2:$N$354,3,FALSE)="","",VLOOKUP(AK344,βοηθητικό!$J$2:$N$354,3,FALSE))</f>
        <v>_</v>
      </c>
      <c r="AM344" s="47"/>
      <c r="AN344" s="4" t="s">
        <v>16</v>
      </c>
      <c r="AO344" s="43" t="str">
        <f>IF(VLOOKUP(AN344,βοηθητικό!$J$2:$N$354,3,FALSE)="","",VLOOKUP(AN344,βοηθητικό!$J$2:$N$354,3,FALSE))</f>
        <v>_</v>
      </c>
      <c r="AP344" s="44"/>
      <c r="AQ344" s="5" t="s">
        <v>16</v>
      </c>
      <c r="AR344" s="46" t="str">
        <f>IF(VLOOKUP(AQ344,βοηθητικό!$J$2:$N$354,3,FALSE)="","",VLOOKUP(AQ344,βοηθητικό!$J$2:$N$354,3,FALSE))</f>
        <v>_</v>
      </c>
      <c r="AS344" s="47"/>
      <c r="AT344" s="4" t="s">
        <v>16</v>
      </c>
      <c r="AU344" s="43" t="str">
        <f>IF(VLOOKUP(AT344,βοηθητικό!$J$2:$N$354,3,FALSE)="","",VLOOKUP(AT344,βοηθητικό!$J$2:$N$354,3,FALSE))</f>
        <v>_</v>
      </c>
      <c r="AV344" s="44"/>
      <c r="AW344" s="5" t="s">
        <v>16</v>
      </c>
      <c r="AX344" s="46" t="str">
        <f>IF(VLOOKUP(AW344,βοηθητικό!$J$2:$N$354,3,FALSE)="","",VLOOKUP(AW344,βοηθητικό!$J$2:$N$354,3,FALSE))</f>
        <v>_</v>
      </c>
      <c r="AY344" s="47"/>
      <c r="AZ344" s="4" t="s">
        <v>16</v>
      </c>
      <c r="BA344" s="43" t="str">
        <f>IF(VLOOKUP(AZ344,βοηθητικό!$J$2:$N$354,3,FALSE)="","",VLOOKUP(AZ344,βοηθητικό!$J$2:$N$354,3,FALSE))</f>
        <v>_</v>
      </c>
      <c r="BB344" s="44"/>
      <c r="BC344" s="45" t="s">
        <v>16</v>
      </c>
      <c r="BD344" s="46" t="str">
        <f>IF(VLOOKUP(BC344,βοηθητικό!$J$2:$N$354,3,FALSE)="","",VLOOKUP(BC344,βοηθητικό!$J$2:$N$354,3,FALSE))</f>
        <v>_</v>
      </c>
      <c r="BE344" s="47"/>
      <c r="BF344" s="42" t="s">
        <v>16</v>
      </c>
      <c r="BG344" s="43" t="str">
        <f>IF(VLOOKUP(BF344,βοηθητικό!$J$2:$N$354,3,FALSE)="","",VLOOKUP(BF344,βοηθητικό!$J$2:$N$354,3,FALSE))</f>
        <v>_</v>
      </c>
      <c r="BH344" s="44"/>
      <c r="BI344" s="45" t="s">
        <v>16</v>
      </c>
      <c r="BJ344" s="46" t="str">
        <f>IF(VLOOKUP(BI344,βοηθητικό!$J$2:$N$354,3,FALSE)="","",VLOOKUP(BI344,βοηθητικό!$J$2:$N$354,3,FALSE))</f>
        <v>_</v>
      </c>
      <c r="BK344" s="47"/>
      <c r="BL344" s="42" t="s">
        <v>16</v>
      </c>
      <c r="BM344" s="43" t="str">
        <f>IF(VLOOKUP(BL344,βοηθητικό!$J$2:$N$354,3,FALSE)="","",VLOOKUP(BL344,βοηθητικό!$J$2:$N$354,3,FALSE))</f>
        <v>_</v>
      </c>
      <c r="BN344" s="44"/>
      <c r="BO344" s="45" t="s">
        <v>16</v>
      </c>
      <c r="BP344" s="46" t="str">
        <f>IF(VLOOKUP(BO344,βοηθητικό!$J$2:$N$354,3,FALSE)="","",VLOOKUP(BO344,βοηθητικό!$J$2:$N$354,3,FALSE))</f>
        <v>_</v>
      </c>
      <c r="BQ344" s="47"/>
      <c r="BR344" s="42" t="s">
        <v>16</v>
      </c>
      <c r="BS344" s="43" t="str">
        <f>IF(VLOOKUP(BR344,βοηθητικό!$J$2:$N$354,3,FALSE)="","",VLOOKUP(BR344,βοηθητικό!$J$2:$N$354,3,FALSE))</f>
        <v>_</v>
      </c>
      <c r="BT344" s="44"/>
      <c r="BU344" s="45" t="s">
        <v>16</v>
      </c>
      <c r="BV344" s="46" t="str">
        <f>IF(VLOOKUP(BU344,βοηθητικό!$J$2:$N$354,3,FALSE)="","",VLOOKUP(BU344,βοηθητικό!$J$2:$N$354,3,FALSE))</f>
        <v>_</v>
      </c>
      <c r="BW344" s="47"/>
      <c r="BX344" s="42" t="s">
        <v>16</v>
      </c>
      <c r="BY344" s="43" t="str">
        <f>IF(VLOOKUP(BX344,βοηθητικό!$J$2:$N$354,3,FALSE)="","",VLOOKUP(BX344,βοηθητικό!$J$2:$N$354,3,FALSE))</f>
        <v>_</v>
      </c>
      <c r="BZ344" s="44"/>
      <c r="CA344" s="45" t="s">
        <v>16</v>
      </c>
      <c r="CB344" s="46" t="str">
        <f>IF(VLOOKUP(CA344,βοηθητικό!$J$2:$N$354,3,FALSE)="","",VLOOKUP(CA344,βοηθητικό!$J$2:$N$354,3,FALSE))</f>
        <v>_</v>
      </c>
      <c r="CC344" s="47"/>
      <c r="CD344" s="42" t="s">
        <v>16</v>
      </c>
      <c r="CE344" s="43" t="str">
        <f>IF(VLOOKUP(CD344,βοηθητικό!$J$2:$N$354,3,FALSE)="","",VLOOKUP(CD344,βοηθητικό!$J$2:$N$354,3,FALSE))</f>
        <v>_</v>
      </c>
      <c r="CF344" s="44"/>
      <c r="CG344" s="45" t="s">
        <v>16</v>
      </c>
      <c r="CH344" s="46" t="str">
        <f>IF(VLOOKUP(CG344,βοηθητικό!$J$2:$N$354,3,FALSE)="","",VLOOKUP(CG344,βοηθητικό!$J$2:$N$354,3,FALSE))</f>
        <v>_</v>
      </c>
      <c r="CI344" s="47"/>
      <c r="CJ344" s="42" t="s">
        <v>16</v>
      </c>
      <c r="CK344" s="43" t="str">
        <f>IF(VLOOKUP(CJ344,βοηθητικό!$J$2:$N$354,3,FALSE)="","",VLOOKUP(CJ344,βοηθητικό!$J$2:$N$354,3,FALSE))</f>
        <v>_</v>
      </c>
      <c r="CL344" s="44"/>
      <c r="CM344" s="45" t="s">
        <v>16</v>
      </c>
      <c r="CN344" s="46" t="str">
        <f>IF(VLOOKUP(CM344,βοηθητικό!$J$2:$N$354,3,FALSE)="","",VLOOKUP(CM344,βοηθητικό!$J$2:$N$354,3,FALSE))</f>
        <v>_</v>
      </c>
      <c r="CO344" s="47"/>
      <c r="CP344" s="42" t="s">
        <v>16</v>
      </c>
      <c r="CQ344" s="43" t="str">
        <f>IF(VLOOKUP(CP344,βοηθητικό!$J$2:$N$354,3,FALSE)="","",VLOOKUP(CP344,βοηθητικό!$J$2:$N$354,3,FALSE))</f>
        <v>_</v>
      </c>
      <c r="CR344" s="44"/>
      <c r="CS344" s="45" t="s">
        <v>16</v>
      </c>
      <c r="CT344" s="46" t="str">
        <f>IF(VLOOKUP(CS344,βοηθητικό!$J$2:$N$354,3,FALSE)="","",VLOOKUP(CS344,βοηθητικό!$J$2:$N$354,3,FALSE))</f>
        <v>_</v>
      </c>
      <c r="CU344" s="47"/>
    </row>
    <row r="345" spans="1:99" x14ac:dyDescent="0.25">
      <c r="A345" s="37">
        <f>--SUBTOTAL(3,$B$3:B344)</f>
        <v>198</v>
      </c>
      <c r="B345" s="2"/>
      <c r="C345" s="3"/>
      <c r="D345" s="55" t="s">
        <v>18</v>
      </c>
      <c r="E345" s="38" t="s">
        <v>16</v>
      </c>
      <c r="F345" s="38" t="s">
        <v>16</v>
      </c>
      <c r="G345" s="39" t="str">
        <f t="shared" si="17"/>
        <v>__</v>
      </c>
      <c r="H345" s="40" t="str">
        <f t="shared" si="18"/>
        <v>FALSE</v>
      </c>
      <c r="I345" s="41">
        <f t="shared" si="19"/>
        <v>0</v>
      </c>
      <c r="J345" s="4" t="s">
        <v>16</v>
      </c>
      <c r="K345" s="43" t="str">
        <f>IF(VLOOKUP(J345,βοηθητικό!$J$2:$N$354,3,FALSE)="","",VLOOKUP(J345,βοηθητικό!$J$2:$N$354,3,FALSE))</f>
        <v>_</v>
      </c>
      <c r="L345" s="44"/>
      <c r="M345" s="5" t="s">
        <v>16</v>
      </c>
      <c r="N345" s="46" t="str">
        <f>IF(VLOOKUP(M345,βοηθητικό!$J$2:$N$354,3,FALSE)="","",VLOOKUP(M345,βοηθητικό!$J$2:$N$354,3,FALSE))</f>
        <v>_</v>
      </c>
      <c r="O345" s="47"/>
      <c r="P345" s="4" t="s">
        <v>16</v>
      </c>
      <c r="Q345" s="43" t="str">
        <f>IF(VLOOKUP(P345,βοηθητικό!$J$2:$N$354,3,FALSE)="","",VLOOKUP(P345,βοηθητικό!$J$2:$N$354,3,FALSE))</f>
        <v>_</v>
      </c>
      <c r="R345" s="44"/>
      <c r="S345" s="5" t="s">
        <v>16</v>
      </c>
      <c r="T345" s="46" t="str">
        <f>IF(VLOOKUP(S345,βοηθητικό!$J$2:$N$354,3,FALSE)="","",VLOOKUP(S345,βοηθητικό!$J$2:$N$354,3,FALSE))</f>
        <v>_</v>
      </c>
      <c r="U345" s="47"/>
      <c r="V345" s="4" t="s">
        <v>16</v>
      </c>
      <c r="W345" s="43" t="str">
        <f>IF(VLOOKUP(V345,βοηθητικό!$J$2:$N$354,3,FALSE)="","",VLOOKUP(V345,βοηθητικό!$J$2:$N$354,3,FALSE))</f>
        <v>_</v>
      </c>
      <c r="X345" s="44"/>
      <c r="Y345" s="5" t="s">
        <v>16</v>
      </c>
      <c r="Z345" s="46" t="str">
        <f>IF(VLOOKUP(Y345,βοηθητικό!$J$2:$N$354,3,FALSE)="","",VLOOKUP(Y345,βοηθητικό!$J$2:$N$354,3,FALSE))</f>
        <v>_</v>
      </c>
      <c r="AA345" s="47"/>
      <c r="AB345" s="4" t="s">
        <v>16</v>
      </c>
      <c r="AC345" s="43" t="str">
        <f>IF(VLOOKUP(AB345,βοηθητικό!$J$2:$N$354,3,FALSE)="","",VLOOKUP(AB345,βοηθητικό!$J$2:$N$354,3,FALSE))</f>
        <v>_</v>
      </c>
      <c r="AD345" s="44"/>
      <c r="AE345" s="5" t="s">
        <v>16</v>
      </c>
      <c r="AF345" s="46" t="str">
        <f>IF(VLOOKUP(AE345,βοηθητικό!$J$2:$N$354,3,FALSE)="","",VLOOKUP(AE345,βοηθητικό!$J$2:$N$354,3,FALSE))</f>
        <v>_</v>
      </c>
      <c r="AG345" s="47"/>
      <c r="AH345" s="4" t="s">
        <v>16</v>
      </c>
      <c r="AI345" s="43" t="str">
        <f>IF(VLOOKUP(AH345,βοηθητικό!$J$2:$N$354,3,FALSE)="","",VLOOKUP(AH345,βοηθητικό!$J$2:$N$354,3,FALSE))</f>
        <v>_</v>
      </c>
      <c r="AJ345" s="44"/>
      <c r="AK345" s="5" t="s">
        <v>16</v>
      </c>
      <c r="AL345" s="46" t="str">
        <f>IF(VLOOKUP(AK345,βοηθητικό!$J$2:$N$354,3,FALSE)="","",VLOOKUP(AK345,βοηθητικό!$J$2:$N$354,3,FALSE))</f>
        <v>_</v>
      </c>
      <c r="AM345" s="47"/>
      <c r="AN345" s="4" t="s">
        <v>16</v>
      </c>
      <c r="AO345" s="43" t="str">
        <f>IF(VLOOKUP(AN345,βοηθητικό!$J$2:$N$354,3,FALSE)="","",VLOOKUP(AN345,βοηθητικό!$J$2:$N$354,3,FALSE))</f>
        <v>_</v>
      </c>
      <c r="AP345" s="44"/>
      <c r="AQ345" s="5" t="s">
        <v>16</v>
      </c>
      <c r="AR345" s="46" t="str">
        <f>IF(VLOOKUP(AQ345,βοηθητικό!$J$2:$N$354,3,FALSE)="","",VLOOKUP(AQ345,βοηθητικό!$J$2:$N$354,3,FALSE))</f>
        <v>_</v>
      </c>
      <c r="AS345" s="47"/>
      <c r="AT345" s="4" t="s">
        <v>16</v>
      </c>
      <c r="AU345" s="43" t="str">
        <f>IF(VLOOKUP(AT345,βοηθητικό!$J$2:$N$354,3,FALSE)="","",VLOOKUP(AT345,βοηθητικό!$J$2:$N$354,3,FALSE))</f>
        <v>_</v>
      </c>
      <c r="AV345" s="44"/>
      <c r="AW345" s="5" t="s">
        <v>16</v>
      </c>
      <c r="AX345" s="46" t="str">
        <f>IF(VLOOKUP(AW345,βοηθητικό!$J$2:$N$354,3,FALSE)="","",VLOOKUP(AW345,βοηθητικό!$J$2:$N$354,3,FALSE))</f>
        <v>_</v>
      </c>
      <c r="AY345" s="47"/>
      <c r="AZ345" s="4" t="s">
        <v>16</v>
      </c>
      <c r="BA345" s="43" t="str">
        <f>IF(VLOOKUP(AZ345,βοηθητικό!$J$2:$N$354,3,FALSE)="","",VLOOKUP(AZ345,βοηθητικό!$J$2:$N$354,3,FALSE))</f>
        <v>_</v>
      </c>
      <c r="BB345" s="44"/>
      <c r="BC345" s="45" t="s">
        <v>16</v>
      </c>
      <c r="BD345" s="46" t="str">
        <f>IF(VLOOKUP(BC345,βοηθητικό!$J$2:$N$354,3,FALSE)="","",VLOOKUP(BC345,βοηθητικό!$J$2:$N$354,3,FALSE))</f>
        <v>_</v>
      </c>
      <c r="BE345" s="47"/>
      <c r="BF345" s="42" t="s">
        <v>16</v>
      </c>
      <c r="BG345" s="43" t="str">
        <f>IF(VLOOKUP(BF345,βοηθητικό!$J$2:$N$354,3,FALSE)="","",VLOOKUP(BF345,βοηθητικό!$J$2:$N$354,3,FALSE))</f>
        <v>_</v>
      </c>
      <c r="BH345" s="44"/>
      <c r="BI345" s="45" t="s">
        <v>16</v>
      </c>
      <c r="BJ345" s="46" t="str">
        <f>IF(VLOOKUP(BI345,βοηθητικό!$J$2:$N$354,3,FALSE)="","",VLOOKUP(BI345,βοηθητικό!$J$2:$N$354,3,FALSE))</f>
        <v>_</v>
      </c>
      <c r="BK345" s="47"/>
      <c r="BL345" s="42" t="s">
        <v>16</v>
      </c>
      <c r="BM345" s="43" t="str">
        <f>IF(VLOOKUP(BL345,βοηθητικό!$J$2:$N$354,3,FALSE)="","",VLOOKUP(BL345,βοηθητικό!$J$2:$N$354,3,FALSE))</f>
        <v>_</v>
      </c>
      <c r="BN345" s="44"/>
      <c r="BO345" s="45" t="s">
        <v>16</v>
      </c>
      <c r="BP345" s="46" t="str">
        <f>IF(VLOOKUP(BO345,βοηθητικό!$J$2:$N$354,3,FALSE)="","",VLOOKUP(BO345,βοηθητικό!$J$2:$N$354,3,FALSE))</f>
        <v>_</v>
      </c>
      <c r="BQ345" s="47"/>
      <c r="BR345" s="42" t="s">
        <v>16</v>
      </c>
      <c r="BS345" s="43" t="str">
        <f>IF(VLOOKUP(BR345,βοηθητικό!$J$2:$N$354,3,FALSE)="","",VLOOKUP(BR345,βοηθητικό!$J$2:$N$354,3,FALSE))</f>
        <v>_</v>
      </c>
      <c r="BT345" s="44"/>
      <c r="BU345" s="45" t="s">
        <v>16</v>
      </c>
      <c r="BV345" s="46" t="str">
        <f>IF(VLOOKUP(BU345,βοηθητικό!$J$2:$N$354,3,FALSE)="","",VLOOKUP(BU345,βοηθητικό!$J$2:$N$354,3,FALSE))</f>
        <v>_</v>
      </c>
      <c r="BW345" s="47"/>
      <c r="BX345" s="42" t="s">
        <v>16</v>
      </c>
      <c r="BY345" s="43" t="str">
        <f>IF(VLOOKUP(BX345,βοηθητικό!$J$2:$N$354,3,FALSE)="","",VLOOKUP(BX345,βοηθητικό!$J$2:$N$354,3,FALSE))</f>
        <v>_</v>
      </c>
      <c r="BZ345" s="44"/>
      <c r="CA345" s="45" t="s">
        <v>16</v>
      </c>
      <c r="CB345" s="46" t="str">
        <f>IF(VLOOKUP(CA345,βοηθητικό!$J$2:$N$354,3,FALSE)="","",VLOOKUP(CA345,βοηθητικό!$J$2:$N$354,3,FALSE))</f>
        <v>_</v>
      </c>
      <c r="CC345" s="47"/>
      <c r="CD345" s="42" t="s">
        <v>16</v>
      </c>
      <c r="CE345" s="43" t="str">
        <f>IF(VLOOKUP(CD345,βοηθητικό!$J$2:$N$354,3,FALSE)="","",VLOOKUP(CD345,βοηθητικό!$J$2:$N$354,3,FALSE))</f>
        <v>_</v>
      </c>
      <c r="CF345" s="44"/>
      <c r="CG345" s="45" t="s">
        <v>16</v>
      </c>
      <c r="CH345" s="46" t="str">
        <f>IF(VLOOKUP(CG345,βοηθητικό!$J$2:$N$354,3,FALSE)="","",VLOOKUP(CG345,βοηθητικό!$J$2:$N$354,3,FALSE))</f>
        <v>_</v>
      </c>
      <c r="CI345" s="47"/>
      <c r="CJ345" s="42" t="s">
        <v>16</v>
      </c>
      <c r="CK345" s="43" t="str">
        <f>IF(VLOOKUP(CJ345,βοηθητικό!$J$2:$N$354,3,FALSE)="","",VLOOKUP(CJ345,βοηθητικό!$J$2:$N$354,3,FALSE))</f>
        <v>_</v>
      </c>
      <c r="CL345" s="44"/>
      <c r="CM345" s="45" t="s">
        <v>16</v>
      </c>
      <c r="CN345" s="46" t="str">
        <f>IF(VLOOKUP(CM345,βοηθητικό!$J$2:$N$354,3,FALSE)="","",VLOOKUP(CM345,βοηθητικό!$J$2:$N$354,3,FALSE))</f>
        <v>_</v>
      </c>
      <c r="CO345" s="47"/>
      <c r="CP345" s="42" t="s">
        <v>16</v>
      </c>
      <c r="CQ345" s="43" t="str">
        <f>IF(VLOOKUP(CP345,βοηθητικό!$J$2:$N$354,3,FALSE)="","",VLOOKUP(CP345,βοηθητικό!$J$2:$N$354,3,FALSE))</f>
        <v>_</v>
      </c>
      <c r="CR345" s="44"/>
      <c r="CS345" s="45" t="s">
        <v>16</v>
      </c>
      <c r="CT345" s="46" t="str">
        <f>IF(VLOOKUP(CS345,βοηθητικό!$J$2:$N$354,3,FALSE)="","",VLOOKUP(CS345,βοηθητικό!$J$2:$N$354,3,FALSE))</f>
        <v>_</v>
      </c>
      <c r="CU345" s="47"/>
    </row>
    <row r="346" spans="1:99" x14ac:dyDescent="0.25">
      <c r="A346" s="37">
        <f>--SUBTOTAL(3,$B$3:B345)</f>
        <v>198</v>
      </c>
      <c r="B346" s="2"/>
      <c r="C346" s="3"/>
      <c r="D346" s="55" t="s">
        <v>18</v>
      </c>
      <c r="E346" s="38" t="s">
        <v>16</v>
      </c>
      <c r="F346" s="38" t="s">
        <v>16</v>
      </c>
      <c r="G346" s="39" t="str">
        <f t="shared" si="17"/>
        <v>__</v>
      </c>
      <c r="H346" s="40" t="str">
        <f t="shared" si="18"/>
        <v>FALSE</v>
      </c>
      <c r="I346" s="41">
        <f t="shared" si="19"/>
        <v>0</v>
      </c>
      <c r="J346" s="4" t="s">
        <v>16</v>
      </c>
      <c r="K346" s="43" t="str">
        <f>IF(VLOOKUP(J346,βοηθητικό!$J$2:$N$354,3,FALSE)="","",VLOOKUP(J346,βοηθητικό!$J$2:$N$354,3,FALSE))</f>
        <v>_</v>
      </c>
      <c r="L346" s="44"/>
      <c r="M346" s="5" t="s">
        <v>16</v>
      </c>
      <c r="N346" s="46" t="str">
        <f>IF(VLOOKUP(M346,βοηθητικό!$J$2:$N$354,3,FALSE)="","",VLOOKUP(M346,βοηθητικό!$J$2:$N$354,3,FALSE))</f>
        <v>_</v>
      </c>
      <c r="O346" s="47"/>
      <c r="P346" s="4" t="s">
        <v>16</v>
      </c>
      <c r="Q346" s="43" t="str">
        <f>IF(VLOOKUP(P346,βοηθητικό!$J$2:$N$354,3,FALSE)="","",VLOOKUP(P346,βοηθητικό!$J$2:$N$354,3,FALSE))</f>
        <v>_</v>
      </c>
      <c r="R346" s="44"/>
      <c r="S346" s="5" t="s">
        <v>16</v>
      </c>
      <c r="T346" s="46" t="str">
        <f>IF(VLOOKUP(S346,βοηθητικό!$J$2:$N$354,3,FALSE)="","",VLOOKUP(S346,βοηθητικό!$J$2:$N$354,3,FALSE))</f>
        <v>_</v>
      </c>
      <c r="U346" s="47"/>
      <c r="V346" s="4" t="s">
        <v>16</v>
      </c>
      <c r="W346" s="43" t="str">
        <f>IF(VLOOKUP(V346,βοηθητικό!$J$2:$N$354,3,FALSE)="","",VLOOKUP(V346,βοηθητικό!$J$2:$N$354,3,FALSE))</f>
        <v>_</v>
      </c>
      <c r="X346" s="44"/>
      <c r="Y346" s="5" t="s">
        <v>16</v>
      </c>
      <c r="Z346" s="46" t="str">
        <f>IF(VLOOKUP(Y346,βοηθητικό!$J$2:$N$354,3,FALSE)="","",VLOOKUP(Y346,βοηθητικό!$J$2:$N$354,3,FALSE))</f>
        <v>_</v>
      </c>
      <c r="AA346" s="47"/>
      <c r="AB346" s="4" t="s">
        <v>16</v>
      </c>
      <c r="AC346" s="43" t="str">
        <f>IF(VLOOKUP(AB346,βοηθητικό!$J$2:$N$354,3,FALSE)="","",VLOOKUP(AB346,βοηθητικό!$J$2:$N$354,3,FALSE))</f>
        <v>_</v>
      </c>
      <c r="AD346" s="44"/>
      <c r="AE346" s="5" t="s">
        <v>16</v>
      </c>
      <c r="AF346" s="46" t="str">
        <f>IF(VLOOKUP(AE346,βοηθητικό!$J$2:$N$354,3,FALSE)="","",VLOOKUP(AE346,βοηθητικό!$J$2:$N$354,3,FALSE))</f>
        <v>_</v>
      </c>
      <c r="AG346" s="47"/>
      <c r="AH346" s="4" t="s">
        <v>16</v>
      </c>
      <c r="AI346" s="43" t="str">
        <f>IF(VLOOKUP(AH346,βοηθητικό!$J$2:$N$354,3,FALSE)="","",VLOOKUP(AH346,βοηθητικό!$J$2:$N$354,3,FALSE))</f>
        <v>_</v>
      </c>
      <c r="AJ346" s="44"/>
      <c r="AK346" s="5" t="s">
        <v>16</v>
      </c>
      <c r="AL346" s="46" t="str">
        <f>IF(VLOOKUP(AK346,βοηθητικό!$J$2:$N$354,3,FALSE)="","",VLOOKUP(AK346,βοηθητικό!$J$2:$N$354,3,FALSE))</f>
        <v>_</v>
      </c>
      <c r="AM346" s="47"/>
      <c r="AN346" s="4" t="s">
        <v>16</v>
      </c>
      <c r="AO346" s="43" t="str">
        <f>IF(VLOOKUP(AN346,βοηθητικό!$J$2:$N$354,3,FALSE)="","",VLOOKUP(AN346,βοηθητικό!$J$2:$N$354,3,FALSE))</f>
        <v>_</v>
      </c>
      <c r="AP346" s="44"/>
      <c r="AQ346" s="5" t="s">
        <v>16</v>
      </c>
      <c r="AR346" s="46" t="str">
        <f>IF(VLOOKUP(AQ346,βοηθητικό!$J$2:$N$354,3,FALSE)="","",VLOOKUP(AQ346,βοηθητικό!$J$2:$N$354,3,FALSE))</f>
        <v>_</v>
      </c>
      <c r="AS346" s="47"/>
      <c r="AT346" s="4" t="s">
        <v>16</v>
      </c>
      <c r="AU346" s="43" t="str">
        <f>IF(VLOOKUP(AT346,βοηθητικό!$J$2:$N$354,3,FALSE)="","",VLOOKUP(AT346,βοηθητικό!$J$2:$N$354,3,FALSE))</f>
        <v>_</v>
      </c>
      <c r="AV346" s="44"/>
      <c r="AW346" s="5" t="s">
        <v>16</v>
      </c>
      <c r="AX346" s="46" t="str">
        <f>IF(VLOOKUP(AW346,βοηθητικό!$J$2:$N$354,3,FALSE)="","",VLOOKUP(AW346,βοηθητικό!$J$2:$N$354,3,FALSE))</f>
        <v>_</v>
      </c>
      <c r="AY346" s="47"/>
      <c r="AZ346" s="4" t="s">
        <v>16</v>
      </c>
      <c r="BA346" s="43" t="str">
        <f>IF(VLOOKUP(AZ346,βοηθητικό!$J$2:$N$354,3,FALSE)="","",VLOOKUP(AZ346,βοηθητικό!$J$2:$N$354,3,FALSE))</f>
        <v>_</v>
      </c>
      <c r="BB346" s="44"/>
      <c r="BC346" s="45" t="s">
        <v>16</v>
      </c>
      <c r="BD346" s="46" t="str">
        <f>IF(VLOOKUP(BC346,βοηθητικό!$J$2:$N$354,3,FALSE)="","",VLOOKUP(BC346,βοηθητικό!$J$2:$N$354,3,FALSE))</f>
        <v>_</v>
      </c>
      <c r="BE346" s="47"/>
      <c r="BF346" s="42" t="s">
        <v>16</v>
      </c>
      <c r="BG346" s="43" t="str">
        <f>IF(VLOOKUP(BF346,βοηθητικό!$J$2:$N$354,3,FALSE)="","",VLOOKUP(BF346,βοηθητικό!$J$2:$N$354,3,FALSE))</f>
        <v>_</v>
      </c>
      <c r="BH346" s="44"/>
      <c r="BI346" s="45" t="s">
        <v>16</v>
      </c>
      <c r="BJ346" s="46" t="str">
        <f>IF(VLOOKUP(BI346,βοηθητικό!$J$2:$N$354,3,FALSE)="","",VLOOKUP(BI346,βοηθητικό!$J$2:$N$354,3,FALSE))</f>
        <v>_</v>
      </c>
      <c r="BK346" s="47"/>
      <c r="BL346" s="42" t="s">
        <v>16</v>
      </c>
      <c r="BM346" s="43" t="str">
        <f>IF(VLOOKUP(BL346,βοηθητικό!$J$2:$N$354,3,FALSE)="","",VLOOKUP(BL346,βοηθητικό!$J$2:$N$354,3,FALSE))</f>
        <v>_</v>
      </c>
      <c r="BN346" s="44"/>
      <c r="BO346" s="45" t="s">
        <v>16</v>
      </c>
      <c r="BP346" s="46" t="str">
        <f>IF(VLOOKUP(BO346,βοηθητικό!$J$2:$N$354,3,FALSE)="","",VLOOKUP(BO346,βοηθητικό!$J$2:$N$354,3,FALSE))</f>
        <v>_</v>
      </c>
      <c r="BQ346" s="47"/>
      <c r="BR346" s="42" t="s">
        <v>16</v>
      </c>
      <c r="BS346" s="43" t="str">
        <f>IF(VLOOKUP(BR346,βοηθητικό!$J$2:$N$354,3,FALSE)="","",VLOOKUP(BR346,βοηθητικό!$J$2:$N$354,3,FALSE))</f>
        <v>_</v>
      </c>
      <c r="BT346" s="44"/>
      <c r="BU346" s="45" t="s">
        <v>16</v>
      </c>
      <c r="BV346" s="46" t="str">
        <f>IF(VLOOKUP(BU346,βοηθητικό!$J$2:$N$354,3,FALSE)="","",VLOOKUP(BU346,βοηθητικό!$J$2:$N$354,3,FALSE))</f>
        <v>_</v>
      </c>
      <c r="BW346" s="47"/>
      <c r="BX346" s="42" t="s">
        <v>16</v>
      </c>
      <c r="BY346" s="43" t="str">
        <f>IF(VLOOKUP(BX346,βοηθητικό!$J$2:$N$354,3,FALSE)="","",VLOOKUP(BX346,βοηθητικό!$J$2:$N$354,3,FALSE))</f>
        <v>_</v>
      </c>
      <c r="BZ346" s="44"/>
      <c r="CA346" s="45" t="s">
        <v>16</v>
      </c>
      <c r="CB346" s="46" t="str">
        <f>IF(VLOOKUP(CA346,βοηθητικό!$J$2:$N$354,3,FALSE)="","",VLOOKUP(CA346,βοηθητικό!$J$2:$N$354,3,FALSE))</f>
        <v>_</v>
      </c>
      <c r="CC346" s="47"/>
      <c r="CD346" s="42" t="s">
        <v>16</v>
      </c>
      <c r="CE346" s="43" t="str">
        <f>IF(VLOOKUP(CD346,βοηθητικό!$J$2:$N$354,3,FALSE)="","",VLOOKUP(CD346,βοηθητικό!$J$2:$N$354,3,FALSE))</f>
        <v>_</v>
      </c>
      <c r="CF346" s="44"/>
      <c r="CG346" s="45" t="s">
        <v>16</v>
      </c>
      <c r="CH346" s="46" t="str">
        <f>IF(VLOOKUP(CG346,βοηθητικό!$J$2:$N$354,3,FALSE)="","",VLOOKUP(CG346,βοηθητικό!$J$2:$N$354,3,FALSE))</f>
        <v>_</v>
      </c>
      <c r="CI346" s="47"/>
      <c r="CJ346" s="42" t="s">
        <v>16</v>
      </c>
      <c r="CK346" s="43" t="str">
        <f>IF(VLOOKUP(CJ346,βοηθητικό!$J$2:$N$354,3,FALSE)="","",VLOOKUP(CJ346,βοηθητικό!$J$2:$N$354,3,FALSE))</f>
        <v>_</v>
      </c>
      <c r="CL346" s="44"/>
      <c r="CM346" s="45" t="s">
        <v>16</v>
      </c>
      <c r="CN346" s="46" t="str">
        <f>IF(VLOOKUP(CM346,βοηθητικό!$J$2:$N$354,3,FALSE)="","",VLOOKUP(CM346,βοηθητικό!$J$2:$N$354,3,FALSE))</f>
        <v>_</v>
      </c>
      <c r="CO346" s="47"/>
      <c r="CP346" s="42" t="s">
        <v>16</v>
      </c>
      <c r="CQ346" s="43" t="str">
        <f>IF(VLOOKUP(CP346,βοηθητικό!$J$2:$N$354,3,FALSE)="","",VLOOKUP(CP346,βοηθητικό!$J$2:$N$354,3,FALSE))</f>
        <v>_</v>
      </c>
      <c r="CR346" s="44"/>
      <c r="CS346" s="45" t="s">
        <v>16</v>
      </c>
      <c r="CT346" s="46" t="str">
        <f>IF(VLOOKUP(CS346,βοηθητικό!$J$2:$N$354,3,FALSE)="","",VLOOKUP(CS346,βοηθητικό!$J$2:$N$354,3,FALSE))</f>
        <v>_</v>
      </c>
      <c r="CU346" s="47"/>
    </row>
    <row r="347" spans="1:99" x14ac:dyDescent="0.25">
      <c r="A347" s="37">
        <f>--SUBTOTAL(3,$B$3:B346)</f>
        <v>198</v>
      </c>
      <c r="B347" s="2"/>
      <c r="C347" s="3"/>
      <c r="D347" s="55" t="s">
        <v>18</v>
      </c>
      <c r="E347" s="38" t="s">
        <v>16</v>
      </c>
      <c r="F347" s="38" t="s">
        <v>16</v>
      </c>
      <c r="G347" s="39" t="str">
        <f t="shared" si="17"/>
        <v>__</v>
      </c>
      <c r="H347" s="40" t="str">
        <f t="shared" si="18"/>
        <v>FALSE</v>
      </c>
      <c r="I347" s="41">
        <f t="shared" si="19"/>
        <v>0</v>
      </c>
      <c r="J347" s="4" t="s">
        <v>16</v>
      </c>
      <c r="K347" s="43" t="str">
        <f>IF(VLOOKUP(J347,βοηθητικό!$J$2:$N$354,3,FALSE)="","",VLOOKUP(J347,βοηθητικό!$J$2:$N$354,3,FALSE))</f>
        <v>_</v>
      </c>
      <c r="L347" s="44"/>
      <c r="M347" s="5" t="s">
        <v>16</v>
      </c>
      <c r="N347" s="46" t="str">
        <f>IF(VLOOKUP(M347,βοηθητικό!$J$2:$N$354,3,FALSE)="","",VLOOKUP(M347,βοηθητικό!$J$2:$N$354,3,FALSE))</f>
        <v>_</v>
      </c>
      <c r="O347" s="47"/>
      <c r="P347" s="4" t="s">
        <v>16</v>
      </c>
      <c r="Q347" s="43" t="str">
        <f>IF(VLOOKUP(P347,βοηθητικό!$J$2:$N$354,3,FALSE)="","",VLOOKUP(P347,βοηθητικό!$J$2:$N$354,3,FALSE))</f>
        <v>_</v>
      </c>
      <c r="R347" s="44"/>
      <c r="S347" s="5" t="s">
        <v>16</v>
      </c>
      <c r="T347" s="46" t="str">
        <f>IF(VLOOKUP(S347,βοηθητικό!$J$2:$N$354,3,FALSE)="","",VLOOKUP(S347,βοηθητικό!$J$2:$N$354,3,FALSE))</f>
        <v>_</v>
      </c>
      <c r="U347" s="47"/>
      <c r="V347" s="4" t="s">
        <v>16</v>
      </c>
      <c r="W347" s="43" t="str">
        <f>IF(VLOOKUP(V347,βοηθητικό!$J$2:$N$354,3,FALSE)="","",VLOOKUP(V347,βοηθητικό!$J$2:$N$354,3,FALSE))</f>
        <v>_</v>
      </c>
      <c r="X347" s="44"/>
      <c r="Y347" s="5" t="s">
        <v>16</v>
      </c>
      <c r="Z347" s="46" t="str">
        <f>IF(VLOOKUP(Y347,βοηθητικό!$J$2:$N$354,3,FALSE)="","",VLOOKUP(Y347,βοηθητικό!$J$2:$N$354,3,FALSE))</f>
        <v>_</v>
      </c>
      <c r="AA347" s="47"/>
      <c r="AB347" s="4" t="s">
        <v>16</v>
      </c>
      <c r="AC347" s="43" t="str">
        <f>IF(VLOOKUP(AB347,βοηθητικό!$J$2:$N$354,3,FALSE)="","",VLOOKUP(AB347,βοηθητικό!$J$2:$N$354,3,FALSE))</f>
        <v>_</v>
      </c>
      <c r="AD347" s="44"/>
      <c r="AE347" s="5" t="s">
        <v>16</v>
      </c>
      <c r="AF347" s="46" t="str">
        <f>IF(VLOOKUP(AE347,βοηθητικό!$J$2:$N$354,3,FALSE)="","",VLOOKUP(AE347,βοηθητικό!$J$2:$N$354,3,FALSE))</f>
        <v>_</v>
      </c>
      <c r="AG347" s="47"/>
      <c r="AH347" s="4" t="s">
        <v>16</v>
      </c>
      <c r="AI347" s="43" t="str">
        <f>IF(VLOOKUP(AH347,βοηθητικό!$J$2:$N$354,3,FALSE)="","",VLOOKUP(AH347,βοηθητικό!$J$2:$N$354,3,FALSE))</f>
        <v>_</v>
      </c>
      <c r="AJ347" s="44"/>
      <c r="AK347" s="5" t="s">
        <v>16</v>
      </c>
      <c r="AL347" s="46" t="str">
        <f>IF(VLOOKUP(AK347,βοηθητικό!$J$2:$N$354,3,FALSE)="","",VLOOKUP(AK347,βοηθητικό!$J$2:$N$354,3,FALSE))</f>
        <v>_</v>
      </c>
      <c r="AM347" s="47"/>
      <c r="AN347" s="4" t="s">
        <v>16</v>
      </c>
      <c r="AO347" s="43" t="str">
        <f>IF(VLOOKUP(AN347,βοηθητικό!$J$2:$N$354,3,FALSE)="","",VLOOKUP(AN347,βοηθητικό!$J$2:$N$354,3,FALSE))</f>
        <v>_</v>
      </c>
      <c r="AP347" s="44"/>
      <c r="AQ347" s="5" t="s">
        <v>16</v>
      </c>
      <c r="AR347" s="46" t="str">
        <f>IF(VLOOKUP(AQ347,βοηθητικό!$J$2:$N$354,3,FALSE)="","",VLOOKUP(AQ347,βοηθητικό!$J$2:$N$354,3,FALSE))</f>
        <v>_</v>
      </c>
      <c r="AS347" s="47"/>
      <c r="AT347" s="4" t="s">
        <v>16</v>
      </c>
      <c r="AU347" s="43" t="str">
        <f>IF(VLOOKUP(AT347,βοηθητικό!$J$2:$N$354,3,FALSE)="","",VLOOKUP(AT347,βοηθητικό!$J$2:$N$354,3,FALSE))</f>
        <v>_</v>
      </c>
      <c r="AV347" s="44"/>
      <c r="AW347" s="5" t="s">
        <v>16</v>
      </c>
      <c r="AX347" s="46" t="str">
        <f>IF(VLOOKUP(AW347,βοηθητικό!$J$2:$N$354,3,FALSE)="","",VLOOKUP(AW347,βοηθητικό!$J$2:$N$354,3,FALSE))</f>
        <v>_</v>
      </c>
      <c r="AY347" s="47"/>
      <c r="AZ347" s="4" t="s">
        <v>16</v>
      </c>
      <c r="BA347" s="43" t="str">
        <f>IF(VLOOKUP(AZ347,βοηθητικό!$J$2:$N$354,3,FALSE)="","",VLOOKUP(AZ347,βοηθητικό!$J$2:$N$354,3,FALSE))</f>
        <v>_</v>
      </c>
      <c r="BB347" s="44"/>
      <c r="BC347" s="45" t="s">
        <v>16</v>
      </c>
      <c r="BD347" s="46" t="str">
        <f>IF(VLOOKUP(BC347,βοηθητικό!$J$2:$N$354,3,FALSE)="","",VLOOKUP(BC347,βοηθητικό!$J$2:$N$354,3,FALSE))</f>
        <v>_</v>
      </c>
      <c r="BE347" s="47"/>
      <c r="BF347" s="42" t="s">
        <v>16</v>
      </c>
      <c r="BG347" s="43" t="str">
        <f>IF(VLOOKUP(BF347,βοηθητικό!$J$2:$N$354,3,FALSE)="","",VLOOKUP(BF347,βοηθητικό!$J$2:$N$354,3,FALSE))</f>
        <v>_</v>
      </c>
      <c r="BH347" s="44"/>
      <c r="BI347" s="45" t="s">
        <v>16</v>
      </c>
      <c r="BJ347" s="46" t="str">
        <f>IF(VLOOKUP(BI347,βοηθητικό!$J$2:$N$354,3,FALSE)="","",VLOOKUP(BI347,βοηθητικό!$J$2:$N$354,3,FALSE))</f>
        <v>_</v>
      </c>
      <c r="BK347" s="47"/>
      <c r="BL347" s="42" t="s">
        <v>16</v>
      </c>
      <c r="BM347" s="43" t="str">
        <f>IF(VLOOKUP(BL347,βοηθητικό!$J$2:$N$354,3,FALSE)="","",VLOOKUP(BL347,βοηθητικό!$J$2:$N$354,3,FALSE))</f>
        <v>_</v>
      </c>
      <c r="BN347" s="44"/>
      <c r="BO347" s="45" t="s">
        <v>16</v>
      </c>
      <c r="BP347" s="46" t="str">
        <f>IF(VLOOKUP(BO347,βοηθητικό!$J$2:$N$354,3,FALSE)="","",VLOOKUP(BO347,βοηθητικό!$J$2:$N$354,3,FALSE))</f>
        <v>_</v>
      </c>
      <c r="BQ347" s="47"/>
      <c r="BR347" s="42" t="s">
        <v>16</v>
      </c>
      <c r="BS347" s="43" t="str">
        <f>IF(VLOOKUP(BR347,βοηθητικό!$J$2:$N$354,3,FALSE)="","",VLOOKUP(BR347,βοηθητικό!$J$2:$N$354,3,FALSE))</f>
        <v>_</v>
      </c>
      <c r="BT347" s="44"/>
      <c r="BU347" s="45" t="s">
        <v>16</v>
      </c>
      <c r="BV347" s="46" t="str">
        <f>IF(VLOOKUP(BU347,βοηθητικό!$J$2:$N$354,3,FALSE)="","",VLOOKUP(BU347,βοηθητικό!$J$2:$N$354,3,FALSE))</f>
        <v>_</v>
      </c>
      <c r="BW347" s="47"/>
      <c r="BX347" s="42" t="s">
        <v>16</v>
      </c>
      <c r="BY347" s="43" t="str">
        <f>IF(VLOOKUP(BX347,βοηθητικό!$J$2:$N$354,3,FALSE)="","",VLOOKUP(BX347,βοηθητικό!$J$2:$N$354,3,FALSE))</f>
        <v>_</v>
      </c>
      <c r="BZ347" s="44"/>
      <c r="CA347" s="45" t="s">
        <v>16</v>
      </c>
      <c r="CB347" s="46" t="str">
        <f>IF(VLOOKUP(CA347,βοηθητικό!$J$2:$N$354,3,FALSE)="","",VLOOKUP(CA347,βοηθητικό!$J$2:$N$354,3,FALSE))</f>
        <v>_</v>
      </c>
      <c r="CC347" s="47"/>
      <c r="CD347" s="42" t="s">
        <v>16</v>
      </c>
      <c r="CE347" s="43" t="str">
        <f>IF(VLOOKUP(CD347,βοηθητικό!$J$2:$N$354,3,FALSE)="","",VLOOKUP(CD347,βοηθητικό!$J$2:$N$354,3,FALSE))</f>
        <v>_</v>
      </c>
      <c r="CF347" s="44"/>
      <c r="CG347" s="45" t="s">
        <v>16</v>
      </c>
      <c r="CH347" s="46" t="str">
        <f>IF(VLOOKUP(CG347,βοηθητικό!$J$2:$N$354,3,FALSE)="","",VLOOKUP(CG347,βοηθητικό!$J$2:$N$354,3,FALSE))</f>
        <v>_</v>
      </c>
      <c r="CI347" s="47"/>
      <c r="CJ347" s="42" t="s">
        <v>16</v>
      </c>
      <c r="CK347" s="43" t="str">
        <f>IF(VLOOKUP(CJ347,βοηθητικό!$J$2:$N$354,3,FALSE)="","",VLOOKUP(CJ347,βοηθητικό!$J$2:$N$354,3,FALSE))</f>
        <v>_</v>
      </c>
      <c r="CL347" s="44"/>
      <c r="CM347" s="45" t="s">
        <v>16</v>
      </c>
      <c r="CN347" s="46" t="str">
        <f>IF(VLOOKUP(CM347,βοηθητικό!$J$2:$N$354,3,FALSE)="","",VLOOKUP(CM347,βοηθητικό!$J$2:$N$354,3,FALSE))</f>
        <v>_</v>
      </c>
      <c r="CO347" s="47"/>
      <c r="CP347" s="42" t="s">
        <v>16</v>
      </c>
      <c r="CQ347" s="43" t="str">
        <f>IF(VLOOKUP(CP347,βοηθητικό!$J$2:$N$354,3,FALSE)="","",VLOOKUP(CP347,βοηθητικό!$J$2:$N$354,3,FALSE))</f>
        <v>_</v>
      </c>
      <c r="CR347" s="44"/>
      <c r="CS347" s="45" t="s">
        <v>16</v>
      </c>
      <c r="CT347" s="46" t="str">
        <f>IF(VLOOKUP(CS347,βοηθητικό!$J$2:$N$354,3,FALSE)="","",VLOOKUP(CS347,βοηθητικό!$J$2:$N$354,3,FALSE))</f>
        <v>_</v>
      </c>
      <c r="CU347" s="47"/>
    </row>
    <row r="348" spans="1:99" x14ac:dyDescent="0.25">
      <c r="A348" s="37">
        <f>--SUBTOTAL(3,$B$3:B347)</f>
        <v>198</v>
      </c>
      <c r="B348" s="2"/>
      <c r="C348" s="3"/>
      <c r="D348" s="55" t="s">
        <v>18</v>
      </c>
      <c r="E348" s="38" t="s">
        <v>16</v>
      </c>
      <c r="F348" s="38" t="s">
        <v>16</v>
      </c>
      <c r="G348" s="39" t="str">
        <f t="shared" si="17"/>
        <v>__</v>
      </c>
      <c r="H348" s="40" t="str">
        <f t="shared" si="18"/>
        <v>FALSE</v>
      </c>
      <c r="I348" s="41">
        <f t="shared" si="19"/>
        <v>0</v>
      </c>
      <c r="J348" s="4" t="s">
        <v>16</v>
      </c>
      <c r="K348" s="43" t="str">
        <f>IF(VLOOKUP(J348,βοηθητικό!$J$2:$N$354,3,FALSE)="","",VLOOKUP(J348,βοηθητικό!$J$2:$N$354,3,FALSE))</f>
        <v>_</v>
      </c>
      <c r="L348" s="44"/>
      <c r="M348" s="5" t="s">
        <v>16</v>
      </c>
      <c r="N348" s="46" t="str">
        <f>IF(VLOOKUP(M348,βοηθητικό!$J$2:$N$354,3,FALSE)="","",VLOOKUP(M348,βοηθητικό!$J$2:$N$354,3,FALSE))</f>
        <v>_</v>
      </c>
      <c r="O348" s="47"/>
      <c r="P348" s="4" t="s">
        <v>16</v>
      </c>
      <c r="Q348" s="43" t="str">
        <f>IF(VLOOKUP(P348,βοηθητικό!$J$2:$N$354,3,FALSE)="","",VLOOKUP(P348,βοηθητικό!$J$2:$N$354,3,FALSE))</f>
        <v>_</v>
      </c>
      <c r="R348" s="44"/>
      <c r="S348" s="5" t="s">
        <v>16</v>
      </c>
      <c r="T348" s="46" t="str">
        <f>IF(VLOOKUP(S348,βοηθητικό!$J$2:$N$354,3,FALSE)="","",VLOOKUP(S348,βοηθητικό!$J$2:$N$354,3,FALSE))</f>
        <v>_</v>
      </c>
      <c r="U348" s="47"/>
      <c r="V348" s="4" t="s">
        <v>16</v>
      </c>
      <c r="W348" s="43" t="str">
        <f>IF(VLOOKUP(V348,βοηθητικό!$J$2:$N$354,3,FALSE)="","",VLOOKUP(V348,βοηθητικό!$J$2:$N$354,3,FALSE))</f>
        <v>_</v>
      </c>
      <c r="X348" s="44"/>
      <c r="Y348" s="5" t="s">
        <v>16</v>
      </c>
      <c r="Z348" s="46" t="str">
        <f>IF(VLOOKUP(Y348,βοηθητικό!$J$2:$N$354,3,FALSE)="","",VLOOKUP(Y348,βοηθητικό!$J$2:$N$354,3,FALSE))</f>
        <v>_</v>
      </c>
      <c r="AA348" s="47"/>
      <c r="AB348" s="4" t="s">
        <v>16</v>
      </c>
      <c r="AC348" s="43" t="str">
        <f>IF(VLOOKUP(AB348,βοηθητικό!$J$2:$N$354,3,FALSE)="","",VLOOKUP(AB348,βοηθητικό!$J$2:$N$354,3,FALSE))</f>
        <v>_</v>
      </c>
      <c r="AD348" s="44"/>
      <c r="AE348" s="5" t="s">
        <v>16</v>
      </c>
      <c r="AF348" s="46" t="str">
        <f>IF(VLOOKUP(AE348,βοηθητικό!$J$2:$N$354,3,FALSE)="","",VLOOKUP(AE348,βοηθητικό!$J$2:$N$354,3,FALSE))</f>
        <v>_</v>
      </c>
      <c r="AG348" s="47"/>
      <c r="AH348" s="4" t="s">
        <v>16</v>
      </c>
      <c r="AI348" s="43" t="str">
        <f>IF(VLOOKUP(AH348,βοηθητικό!$J$2:$N$354,3,FALSE)="","",VLOOKUP(AH348,βοηθητικό!$J$2:$N$354,3,FALSE))</f>
        <v>_</v>
      </c>
      <c r="AJ348" s="44"/>
      <c r="AK348" s="5" t="s">
        <v>16</v>
      </c>
      <c r="AL348" s="46" t="str">
        <f>IF(VLOOKUP(AK348,βοηθητικό!$J$2:$N$354,3,FALSE)="","",VLOOKUP(AK348,βοηθητικό!$J$2:$N$354,3,FALSE))</f>
        <v>_</v>
      </c>
      <c r="AM348" s="47"/>
      <c r="AN348" s="4" t="s">
        <v>16</v>
      </c>
      <c r="AO348" s="43" t="str">
        <f>IF(VLOOKUP(AN348,βοηθητικό!$J$2:$N$354,3,FALSE)="","",VLOOKUP(AN348,βοηθητικό!$J$2:$N$354,3,FALSE))</f>
        <v>_</v>
      </c>
      <c r="AP348" s="44"/>
      <c r="AQ348" s="5" t="s">
        <v>16</v>
      </c>
      <c r="AR348" s="46" t="str">
        <f>IF(VLOOKUP(AQ348,βοηθητικό!$J$2:$N$354,3,FALSE)="","",VLOOKUP(AQ348,βοηθητικό!$J$2:$N$354,3,FALSE))</f>
        <v>_</v>
      </c>
      <c r="AS348" s="47"/>
      <c r="AT348" s="4" t="s">
        <v>16</v>
      </c>
      <c r="AU348" s="43" t="str">
        <f>IF(VLOOKUP(AT348,βοηθητικό!$J$2:$N$354,3,FALSE)="","",VLOOKUP(AT348,βοηθητικό!$J$2:$N$354,3,FALSE))</f>
        <v>_</v>
      </c>
      <c r="AV348" s="44"/>
      <c r="AW348" s="5" t="s">
        <v>16</v>
      </c>
      <c r="AX348" s="46" t="str">
        <f>IF(VLOOKUP(AW348,βοηθητικό!$J$2:$N$354,3,FALSE)="","",VLOOKUP(AW348,βοηθητικό!$J$2:$N$354,3,FALSE))</f>
        <v>_</v>
      </c>
      <c r="AY348" s="47"/>
      <c r="AZ348" s="4" t="s">
        <v>16</v>
      </c>
      <c r="BA348" s="43" t="str">
        <f>IF(VLOOKUP(AZ348,βοηθητικό!$J$2:$N$354,3,FALSE)="","",VLOOKUP(AZ348,βοηθητικό!$J$2:$N$354,3,FALSE))</f>
        <v>_</v>
      </c>
      <c r="BB348" s="44"/>
      <c r="BC348" s="45" t="s">
        <v>16</v>
      </c>
      <c r="BD348" s="46" t="str">
        <f>IF(VLOOKUP(BC348,βοηθητικό!$J$2:$N$354,3,FALSE)="","",VLOOKUP(BC348,βοηθητικό!$J$2:$N$354,3,FALSE))</f>
        <v>_</v>
      </c>
      <c r="BE348" s="47"/>
      <c r="BF348" s="42" t="s">
        <v>16</v>
      </c>
      <c r="BG348" s="43" t="str">
        <f>IF(VLOOKUP(BF348,βοηθητικό!$J$2:$N$354,3,FALSE)="","",VLOOKUP(BF348,βοηθητικό!$J$2:$N$354,3,FALSE))</f>
        <v>_</v>
      </c>
      <c r="BH348" s="44"/>
      <c r="BI348" s="45" t="s">
        <v>16</v>
      </c>
      <c r="BJ348" s="46" t="str">
        <f>IF(VLOOKUP(BI348,βοηθητικό!$J$2:$N$354,3,FALSE)="","",VLOOKUP(BI348,βοηθητικό!$J$2:$N$354,3,FALSE))</f>
        <v>_</v>
      </c>
      <c r="BK348" s="47"/>
      <c r="BL348" s="42" t="s">
        <v>16</v>
      </c>
      <c r="BM348" s="43" t="str">
        <f>IF(VLOOKUP(BL348,βοηθητικό!$J$2:$N$354,3,FALSE)="","",VLOOKUP(BL348,βοηθητικό!$J$2:$N$354,3,FALSE))</f>
        <v>_</v>
      </c>
      <c r="BN348" s="44"/>
      <c r="BO348" s="45" t="s">
        <v>16</v>
      </c>
      <c r="BP348" s="46" t="str">
        <f>IF(VLOOKUP(BO348,βοηθητικό!$J$2:$N$354,3,FALSE)="","",VLOOKUP(BO348,βοηθητικό!$J$2:$N$354,3,FALSE))</f>
        <v>_</v>
      </c>
      <c r="BQ348" s="47"/>
      <c r="BR348" s="42" t="s">
        <v>16</v>
      </c>
      <c r="BS348" s="43" t="str">
        <f>IF(VLOOKUP(BR348,βοηθητικό!$J$2:$N$354,3,FALSE)="","",VLOOKUP(BR348,βοηθητικό!$J$2:$N$354,3,FALSE))</f>
        <v>_</v>
      </c>
      <c r="BT348" s="44"/>
      <c r="BU348" s="45" t="s">
        <v>16</v>
      </c>
      <c r="BV348" s="46" t="str">
        <f>IF(VLOOKUP(BU348,βοηθητικό!$J$2:$N$354,3,FALSE)="","",VLOOKUP(BU348,βοηθητικό!$J$2:$N$354,3,FALSE))</f>
        <v>_</v>
      </c>
      <c r="BW348" s="47"/>
      <c r="BX348" s="42" t="s">
        <v>16</v>
      </c>
      <c r="BY348" s="43" t="str">
        <f>IF(VLOOKUP(BX348,βοηθητικό!$J$2:$N$354,3,FALSE)="","",VLOOKUP(BX348,βοηθητικό!$J$2:$N$354,3,FALSE))</f>
        <v>_</v>
      </c>
      <c r="BZ348" s="44"/>
      <c r="CA348" s="45" t="s">
        <v>16</v>
      </c>
      <c r="CB348" s="46" t="str">
        <f>IF(VLOOKUP(CA348,βοηθητικό!$J$2:$N$354,3,FALSE)="","",VLOOKUP(CA348,βοηθητικό!$J$2:$N$354,3,FALSE))</f>
        <v>_</v>
      </c>
      <c r="CC348" s="47"/>
      <c r="CD348" s="42" t="s">
        <v>16</v>
      </c>
      <c r="CE348" s="43" t="str">
        <f>IF(VLOOKUP(CD348,βοηθητικό!$J$2:$N$354,3,FALSE)="","",VLOOKUP(CD348,βοηθητικό!$J$2:$N$354,3,FALSE))</f>
        <v>_</v>
      </c>
      <c r="CF348" s="44"/>
      <c r="CG348" s="45" t="s">
        <v>16</v>
      </c>
      <c r="CH348" s="46" t="str">
        <f>IF(VLOOKUP(CG348,βοηθητικό!$J$2:$N$354,3,FALSE)="","",VLOOKUP(CG348,βοηθητικό!$J$2:$N$354,3,FALSE))</f>
        <v>_</v>
      </c>
      <c r="CI348" s="47"/>
      <c r="CJ348" s="42" t="s">
        <v>16</v>
      </c>
      <c r="CK348" s="43" t="str">
        <f>IF(VLOOKUP(CJ348,βοηθητικό!$J$2:$N$354,3,FALSE)="","",VLOOKUP(CJ348,βοηθητικό!$J$2:$N$354,3,FALSE))</f>
        <v>_</v>
      </c>
      <c r="CL348" s="44"/>
      <c r="CM348" s="45" t="s">
        <v>16</v>
      </c>
      <c r="CN348" s="46" t="str">
        <f>IF(VLOOKUP(CM348,βοηθητικό!$J$2:$N$354,3,FALSE)="","",VLOOKUP(CM348,βοηθητικό!$J$2:$N$354,3,FALSE))</f>
        <v>_</v>
      </c>
      <c r="CO348" s="47"/>
      <c r="CP348" s="42" t="s">
        <v>16</v>
      </c>
      <c r="CQ348" s="43" t="str">
        <f>IF(VLOOKUP(CP348,βοηθητικό!$J$2:$N$354,3,FALSE)="","",VLOOKUP(CP348,βοηθητικό!$J$2:$N$354,3,FALSE))</f>
        <v>_</v>
      </c>
      <c r="CR348" s="44"/>
      <c r="CS348" s="45" t="s">
        <v>16</v>
      </c>
      <c r="CT348" s="46" t="str">
        <f>IF(VLOOKUP(CS348,βοηθητικό!$J$2:$N$354,3,FALSE)="","",VLOOKUP(CS348,βοηθητικό!$J$2:$N$354,3,FALSE))</f>
        <v>_</v>
      </c>
      <c r="CU348" s="47"/>
    </row>
    <row r="349" spans="1:99" x14ac:dyDescent="0.25">
      <c r="A349" s="37">
        <f>--SUBTOTAL(3,$B$3:B348)</f>
        <v>198</v>
      </c>
      <c r="B349" s="2"/>
      <c r="C349" s="3"/>
      <c r="D349" s="55" t="s">
        <v>18</v>
      </c>
      <c r="E349" s="38" t="s">
        <v>16</v>
      </c>
      <c r="F349" s="38" t="s">
        <v>16</v>
      </c>
      <c r="G349" s="39" t="str">
        <f t="shared" si="17"/>
        <v>__</v>
      </c>
      <c r="H349" s="40" t="str">
        <f t="shared" si="18"/>
        <v>FALSE</v>
      </c>
      <c r="I349" s="41">
        <f t="shared" si="19"/>
        <v>0</v>
      </c>
      <c r="J349" s="4" t="s">
        <v>16</v>
      </c>
      <c r="K349" s="43" t="str">
        <f>IF(VLOOKUP(J349,βοηθητικό!$J$2:$N$354,3,FALSE)="","",VLOOKUP(J349,βοηθητικό!$J$2:$N$354,3,FALSE))</f>
        <v>_</v>
      </c>
      <c r="L349" s="44"/>
      <c r="M349" s="5" t="s">
        <v>16</v>
      </c>
      <c r="N349" s="46" t="str">
        <f>IF(VLOOKUP(M349,βοηθητικό!$J$2:$N$354,3,FALSE)="","",VLOOKUP(M349,βοηθητικό!$J$2:$N$354,3,FALSE))</f>
        <v>_</v>
      </c>
      <c r="O349" s="47"/>
      <c r="P349" s="4" t="s">
        <v>16</v>
      </c>
      <c r="Q349" s="43" t="str">
        <f>IF(VLOOKUP(P349,βοηθητικό!$J$2:$N$354,3,FALSE)="","",VLOOKUP(P349,βοηθητικό!$J$2:$N$354,3,FALSE))</f>
        <v>_</v>
      </c>
      <c r="R349" s="44"/>
      <c r="S349" s="5" t="s">
        <v>16</v>
      </c>
      <c r="T349" s="46" t="str">
        <f>IF(VLOOKUP(S349,βοηθητικό!$J$2:$N$354,3,FALSE)="","",VLOOKUP(S349,βοηθητικό!$J$2:$N$354,3,FALSE))</f>
        <v>_</v>
      </c>
      <c r="U349" s="47"/>
      <c r="V349" s="4" t="s">
        <v>16</v>
      </c>
      <c r="W349" s="43" t="str">
        <f>IF(VLOOKUP(V349,βοηθητικό!$J$2:$N$354,3,FALSE)="","",VLOOKUP(V349,βοηθητικό!$J$2:$N$354,3,FALSE))</f>
        <v>_</v>
      </c>
      <c r="X349" s="44"/>
      <c r="Y349" s="5" t="s">
        <v>16</v>
      </c>
      <c r="Z349" s="46" t="str">
        <f>IF(VLOOKUP(Y349,βοηθητικό!$J$2:$N$354,3,FALSE)="","",VLOOKUP(Y349,βοηθητικό!$J$2:$N$354,3,FALSE))</f>
        <v>_</v>
      </c>
      <c r="AA349" s="47"/>
      <c r="AB349" s="4" t="s">
        <v>16</v>
      </c>
      <c r="AC349" s="43" t="str">
        <f>IF(VLOOKUP(AB349,βοηθητικό!$J$2:$N$354,3,FALSE)="","",VLOOKUP(AB349,βοηθητικό!$J$2:$N$354,3,FALSE))</f>
        <v>_</v>
      </c>
      <c r="AD349" s="44"/>
      <c r="AE349" s="5" t="s">
        <v>16</v>
      </c>
      <c r="AF349" s="46" t="str">
        <f>IF(VLOOKUP(AE349,βοηθητικό!$J$2:$N$354,3,FALSE)="","",VLOOKUP(AE349,βοηθητικό!$J$2:$N$354,3,FALSE))</f>
        <v>_</v>
      </c>
      <c r="AG349" s="47"/>
      <c r="AH349" s="4" t="s">
        <v>16</v>
      </c>
      <c r="AI349" s="43" t="str">
        <f>IF(VLOOKUP(AH349,βοηθητικό!$J$2:$N$354,3,FALSE)="","",VLOOKUP(AH349,βοηθητικό!$J$2:$N$354,3,FALSE))</f>
        <v>_</v>
      </c>
      <c r="AJ349" s="44"/>
      <c r="AK349" s="5" t="s">
        <v>16</v>
      </c>
      <c r="AL349" s="46" t="str">
        <f>IF(VLOOKUP(AK349,βοηθητικό!$J$2:$N$354,3,FALSE)="","",VLOOKUP(AK349,βοηθητικό!$J$2:$N$354,3,FALSE))</f>
        <v>_</v>
      </c>
      <c r="AM349" s="47"/>
      <c r="AN349" s="4" t="s">
        <v>16</v>
      </c>
      <c r="AO349" s="43" t="str">
        <f>IF(VLOOKUP(AN349,βοηθητικό!$J$2:$N$354,3,FALSE)="","",VLOOKUP(AN349,βοηθητικό!$J$2:$N$354,3,FALSE))</f>
        <v>_</v>
      </c>
      <c r="AP349" s="44"/>
      <c r="AQ349" s="5" t="s">
        <v>16</v>
      </c>
      <c r="AR349" s="46" t="str">
        <f>IF(VLOOKUP(AQ349,βοηθητικό!$J$2:$N$354,3,FALSE)="","",VLOOKUP(AQ349,βοηθητικό!$J$2:$N$354,3,FALSE))</f>
        <v>_</v>
      </c>
      <c r="AS349" s="47"/>
      <c r="AT349" s="4" t="s">
        <v>16</v>
      </c>
      <c r="AU349" s="43" t="str">
        <f>IF(VLOOKUP(AT349,βοηθητικό!$J$2:$N$354,3,FALSE)="","",VLOOKUP(AT349,βοηθητικό!$J$2:$N$354,3,FALSE))</f>
        <v>_</v>
      </c>
      <c r="AV349" s="44"/>
      <c r="AW349" s="5" t="s">
        <v>16</v>
      </c>
      <c r="AX349" s="46" t="str">
        <f>IF(VLOOKUP(AW349,βοηθητικό!$J$2:$N$354,3,FALSE)="","",VLOOKUP(AW349,βοηθητικό!$J$2:$N$354,3,FALSE))</f>
        <v>_</v>
      </c>
      <c r="AY349" s="47"/>
      <c r="AZ349" s="4" t="s">
        <v>16</v>
      </c>
      <c r="BA349" s="43" t="str">
        <f>IF(VLOOKUP(AZ349,βοηθητικό!$J$2:$N$354,3,FALSE)="","",VLOOKUP(AZ349,βοηθητικό!$J$2:$N$354,3,FALSE))</f>
        <v>_</v>
      </c>
      <c r="BB349" s="44"/>
      <c r="BC349" s="45" t="s">
        <v>16</v>
      </c>
      <c r="BD349" s="46" t="str">
        <f>IF(VLOOKUP(BC349,βοηθητικό!$J$2:$N$354,3,FALSE)="","",VLOOKUP(BC349,βοηθητικό!$J$2:$N$354,3,FALSE))</f>
        <v>_</v>
      </c>
      <c r="BE349" s="47"/>
      <c r="BF349" s="42" t="s">
        <v>16</v>
      </c>
      <c r="BG349" s="43" t="str">
        <f>IF(VLOOKUP(BF349,βοηθητικό!$J$2:$N$354,3,FALSE)="","",VLOOKUP(BF349,βοηθητικό!$J$2:$N$354,3,FALSE))</f>
        <v>_</v>
      </c>
      <c r="BH349" s="44"/>
      <c r="BI349" s="45" t="s">
        <v>16</v>
      </c>
      <c r="BJ349" s="46" t="str">
        <f>IF(VLOOKUP(BI349,βοηθητικό!$J$2:$N$354,3,FALSE)="","",VLOOKUP(BI349,βοηθητικό!$J$2:$N$354,3,FALSE))</f>
        <v>_</v>
      </c>
      <c r="BK349" s="47"/>
      <c r="BL349" s="42" t="s">
        <v>16</v>
      </c>
      <c r="BM349" s="43" t="str">
        <f>IF(VLOOKUP(BL349,βοηθητικό!$J$2:$N$354,3,FALSE)="","",VLOOKUP(BL349,βοηθητικό!$J$2:$N$354,3,FALSE))</f>
        <v>_</v>
      </c>
      <c r="BN349" s="44"/>
      <c r="BO349" s="45" t="s">
        <v>16</v>
      </c>
      <c r="BP349" s="46" t="str">
        <f>IF(VLOOKUP(BO349,βοηθητικό!$J$2:$N$354,3,FALSE)="","",VLOOKUP(BO349,βοηθητικό!$J$2:$N$354,3,FALSE))</f>
        <v>_</v>
      </c>
      <c r="BQ349" s="47"/>
      <c r="BR349" s="42" t="s">
        <v>16</v>
      </c>
      <c r="BS349" s="43" t="str">
        <f>IF(VLOOKUP(BR349,βοηθητικό!$J$2:$N$354,3,FALSE)="","",VLOOKUP(BR349,βοηθητικό!$J$2:$N$354,3,FALSE))</f>
        <v>_</v>
      </c>
      <c r="BT349" s="44"/>
      <c r="BU349" s="45" t="s">
        <v>16</v>
      </c>
      <c r="BV349" s="46" t="str">
        <f>IF(VLOOKUP(BU349,βοηθητικό!$J$2:$N$354,3,FALSE)="","",VLOOKUP(BU349,βοηθητικό!$J$2:$N$354,3,FALSE))</f>
        <v>_</v>
      </c>
      <c r="BW349" s="47"/>
      <c r="BX349" s="42" t="s">
        <v>16</v>
      </c>
      <c r="BY349" s="43" t="str">
        <f>IF(VLOOKUP(BX349,βοηθητικό!$J$2:$N$354,3,FALSE)="","",VLOOKUP(BX349,βοηθητικό!$J$2:$N$354,3,FALSE))</f>
        <v>_</v>
      </c>
      <c r="BZ349" s="44"/>
      <c r="CA349" s="45" t="s">
        <v>16</v>
      </c>
      <c r="CB349" s="46" t="str">
        <f>IF(VLOOKUP(CA349,βοηθητικό!$J$2:$N$354,3,FALSE)="","",VLOOKUP(CA349,βοηθητικό!$J$2:$N$354,3,FALSE))</f>
        <v>_</v>
      </c>
      <c r="CC349" s="47"/>
      <c r="CD349" s="42" t="s">
        <v>16</v>
      </c>
      <c r="CE349" s="43" t="str">
        <f>IF(VLOOKUP(CD349,βοηθητικό!$J$2:$N$354,3,FALSE)="","",VLOOKUP(CD349,βοηθητικό!$J$2:$N$354,3,FALSE))</f>
        <v>_</v>
      </c>
      <c r="CF349" s="44"/>
      <c r="CG349" s="45" t="s">
        <v>16</v>
      </c>
      <c r="CH349" s="46" t="str">
        <f>IF(VLOOKUP(CG349,βοηθητικό!$J$2:$N$354,3,FALSE)="","",VLOOKUP(CG349,βοηθητικό!$J$2:$N$354,3,FALSE))</f>
        <v>_</v>
      </c>
      <c r="CI349" s="47"/>
      <c r="CJ349" s="42" t="s">
        <v>16</v>
      </c>
      <c r="CK349" s="43" t="str">
        <f>IF(VLOOKUP(CJ349,βοηθητικό!$J$2:$N$354,3,FALSE)="","",VLOOKUP(CJ349,βοηθητικό!$J$2:$N$354,3,FALSE))</f>
        <v>_</v>
      </c>
      <c r="CL349" s="44"/>
      <c r="CM349" s="45" t="s">
        <v>16</v>
      </c>
      <c r="CN349" s="46" t="str">
        <f>IF(VLOOKUP(CM349,βοηθητικό!$J$2:$N$354,3,FALSE)="","",VLOOKUP(CM349,βοηθητικό!$J$2:$N$354,3,FALSE))</f>
        <v>_</v>
      </c>
      <c r="CO349" s="47"/>
      <c r="CP349" s="42" t="s">
        <v>16</v>
      </c>
      <c r="CQ349" s="43" t="str">
        <f>IF(VLOOKUP(CP349,βοηθητικό!$J$2:$N$354,3,FALSE)="","",VLOOKUP(CP349,βοηθητικό!$J$2:$N$354,3,FALSE))</f>
        <v>_</v>
      </c>
      <c r="CR349" s="44"/>
      <c r="CS349" s="45" t="s">
        <v>16</v>
      </c>
      <c r="CT349" s="46" t="str">
        <f>IF(VLOOKUP(CS349,βοηθητικό!$J$2:$N$354,3,FALSE)="","",VLOOKUP(CS349,βοηθητικό!$J$2:$N$354,3,FALSE))</f>
        <v>_</v>
      </c>
      <c r="CU349" s="47"/>
    </row>
    <row r="350" spans="1:99" x14ac:dyDescent="0.25">
      <c r="A350" s="37">
        <f>--SUBTOTAL(3,$B$3:B349)</f>
        <v>198</v>
      </c>
      <c r="B350" s="2"/>
      <c r="C350" s="3"/>
      <c r="D350" s="55" t="s">
        <v>18</v>
      </c>
      <c r="E350" s="38" t="s">
        <v>16</v>
      </c>
      <c r="F350" s="38" t="s">
        <v>16</v>
      </c>
      <c r="G350" s="39" t="str">
        <f t="shared" si="17"/>
        <v>__</v>
      </c>
      <c r="H350" s="40" t="str">
        <f t="shared" si="18"/>
        <v>FALSE</v>
      </c>
      <c r="I350" s="41">
        <f t="shared" si="19"/>
        <v>0</v>
      </c>
      <c r="J350" s="4" t="s">
        <v>16</v>
      </c>
      <c r="K350" s="43" t="str">
        <f>IF(VLOOKUP(J350,βοηθητικό!$J$2:$N$354,3,FALSE)="","",VLOOKUP(J350,βοηθητικό!$J$2:$N$354,3,FALSE))</f>
        <v>_</v>
      </c>
      <c r="L350" s="44"/>
      <c r="M350" s="5" t="s">
        <v>16</v>
      </c>
      <c r="N350" s="46" t="str">
        <f>IF(VLOOKUP(M350,βοηθητικό!$J$2:$N$354,3,FALSE)="","",VLOOKUP(M350,βοηθητικό!$J$2:$N$354,3,FALSE))</f>
        <v>_</v>
      </c>
      <c r="O350" s="47"/>
      <c r="P350" s="4" t="s">
        <v>16</v>
      </c>
      <c r="Q350" s="43" t="str">
        <f>IF(VLOOKUP(P350,βοηθητικό!$J$2:$N$354,3,FALSE)="","",VLOOKUP(P350,βοηθητικό!$J$2:$N$354,3,FALSE))</f>
        <v>_</v>
      </c>
      <c r="R350" s="44"/>
      <c r="S350" s="5" t="s">
        <v>16</v>
      </c>
      <c r="T350" s="46" t="str">
        <f>IF(VLOOKUP(S350,βοηθητικό!$J$2:$N$354,3,FALSE)="","",VLOOKUP(S350,βοηθητικό!$J$2:$N$354,3,FALSE))</f>
        <v>_</v>
      </c>
      <c r="U350" s="47"/>
      <c r="V350" s="4" t="s">
        <v>16</v>
      </c>
      <c r="W350" s="43" t="str">
        <f>IF(VLOOKUP(V350,βοηθητικό!$J$2:$N$354,3,FALSE)="","",VLOOKUP(V350,βοηθητικό!$J$2:$N$354,3,FALSE))</f>
        <v>_</v>
      </c>
      <c r="X350" s="44"/>
      <c r="Y350" s="5" t="s">
        <v>16</v>
      </c>
      <c r="Z350" s="46" t="str">
        <f>IF(VLOOKUP(Y350,βοηθητικό!$J$2:$N$354,3,FALSE)="","",VLOOKUP(Y350,βοηθητικό!$J$2:$N$354,3,FALSE))</f>
        <v>_</v>
      </c>
      <c r="AA350" s="47"/>
      <c r="AB350" s="4" t="s">
        <v>16</v>
      </c>
      <c r="AC350" s="43" t="str">
        <f>IF(VLOOKUP(AB350,βοηθητικό!$J$2:$N$354,3,FALSE)="","",VLOOKUP(AB350,βοηθητικό!$J$2:$N$354,3,FALSE))</f>
        <v>_</v>
      </c>
      <c r="AD350" s="44"/>
      <c r="AE350" s="5" t="s">
        <v>16</v>
      </c>
      <c r="AF350" s="46" t="str">
        <f>IF(VLOOKUP(AE350,βοηθητικό!$J$2:$N$354,3,FALSE)="","",VLOOKUP(AE350,βοηθητικό!$J$2:$N$354,3,FALSE))</f>
        <v>_</v>
      </c>
      <c r="AG350" s="47"/>
      <c r="AH350" s="4" t="s">
        <v>16</v>
      </c>
      <c r="AI350" s="43" t="str">
        <f>IF(VLOOKUP(AH350,βοηθητικό!$J$2:$N$354,3,FALSE)="","",VLOOKUP(AH350,βοηθητικό!$J$2:$N$354,3,FALSE))</f>
        <v>_</v>
      </c>
      <c r="AJ350" s="44"/>
      <c r="AK350" s="5" t="s">
        <v>16</v>
      </c>
      <c r="AL350" s="46" t="str">
        <f>IF(VLOOKUP(AK350,βοηθητικό!$J$2:$N$354,3,FALSE)="","",VLOOKUP(AK350,βοηθητικό!$J$2:$N$354,3,FALSE))</f>
        <v>_</v>
      </c>
      <c r="AM350" s="47"/>
      <c r="AN350" s="4" t="s">
        <v>16</v>
      </c>
      <c r="AO350" s="43" t="str">
        <f>IF(VLOOKUP(AN350,βοηθητικό!$J$2:$N$354,3,FALSE)="","",VLOOKUP(AN350,βοηθητικό!$J$2:$N$354,3,FALSE))</f>
        <v>_</v>
      </c>
      <c r="AP350" s="44"/>
      <c r="AQ350" s="5" t="s">
        <v>16</v>
      </c>
      <c r="AR350" s="46" t="str">
        <f>IF(VLOOKUP(AQ350,βοηθητικό!$J$2:$N$354,3,FALSE)="","",VLOOKUP(AQ350,βοηθητικό!$J$2:$N$354,3,FALSE))</f>
        <v>_</v>
      </c>
      <c r="AS350" s="47"/>
      <c r="AT350" s="4" t="s">
        <v>16</v>
      </c>
      <c r="AU350" s="43" t="str">
        <f>IF(VLOOKUP(AT350,βοηθητικό!$J$2:$N$354,3,FALSE)="","",VLOOKUP(AT350,βοηθητικό!$J$2:$N$354,3,FALSE))</f>
        <v>_</v>
      </c>
      <c r="AV350" s="44"/>
      <c r="AW350" s="5" t="s">
        <v>16</v>
      </c>
      <c r="AX350" s="46" t="str">
        <f>IF(VLOOKUP(AW350,βοηθητικό!$J$2:$N$354,3,FALSE)="","",VLOOKUP(AW350,βοηθητικό!$J$2:$N$354,3,FALSE))</f>
        <v>_</v>
      </c>
      <c r="AY350" s="47"/>
      <c r="AZ350" s="4" t="s">
        <v>16</v>
      </c>
      <c r="BA350" s="43" t="str">
        <f>IF(VLOOKUP(AZ350,βοηθητικό!$J$2:$N$354,3,FALSE)="","",VLOOKUP(AZ350,βοηθητικό!$J$2:$N$354,3,FALSE))</f>
        <v>_</v>
      </c>
      <c r="BB350" s="44"/>
      <c r="BC350" s="45" t="s">
        <v>16</v>
      </c>
      <c r="BD350" s="46" t="str">
        <f>IF(VLOOKUP(BC350,βοηθητικό!$J$2:$N$354,3,FALSE)="","",VLOOKUP(BC350,βοηθητικό!$J$2:$N$354,3,FALSE))</f>
        <v>_</v>
      </c>
      <c r="BE350" s="47"/>
      <c r="BF350" s="42" t="s">
        <v>16</v>
      </c>
      <c r="BG350" s="43" t="str">
        <f>IF(VLOOKUP(BF350,βοηθητικό!$J$2:$N$354,3,FALSE)="","",VLOOKUP(BF350,βοηθητικό!$J$2:$N$354,3,FALSE))</f>
        <v>_</v>
      </c>
      <c r="BH350" s="44"/>
      <c r="BI350" s="45" t="s">
        <v>16</v>
      </c>
      <c r="BJ350" s="46" t="str">
        <f>IF(VLOOKUP(BI350,βοηθητικό!$J$2:$N$354,3,FALSE)="","",VLOOKUP(BI350,βοηθητικό!$J$2:$N$354,3,FALSE))</f>
        <v>_</v>
      </c>
      <c r="BK350" s="47"/>
      <c r="BL350" s="42" t="s">
        <v>16</v>
      </c>
      <c r="BM350" s="43" t="str">
        <f>IF(VLOOKUP(BL350,βοηθητικό!$J$2:$N$354,3,FALSE)="","",VLOOKUP(BL350,βοηθητικό!$J$2:$N$354,3,FALSE))</f>
        <v>_</v>
      </c>
      <c r="BN350" s="44"/>
      <c r="BO350" s="45" t="s">
        <v>16</v>
      </c>
      <c r="BP350" s="46" t="str">
        <f>IF(VLOOKUP(BO350,βοηθητικό!$J$2:$N$354,3,FALSE)="","",VLOOKUP(BO350,βοηθητικό!$J$2:$N$354,3,FALSE))</f>
        <v>_</v>
      </c>
      <c r="BQ350" s="47"/>
      <c r="BR350" s="42" t="s">
        <v>16</v>
      </c>
      <c r="BS350" s="43" t="str">
        <f>IF(VLOOKUP(BR350,βοηθητικό!$J$2:$N$354,3,FALSE)="","",VLOOKUP(BR350,βοηθητικό!$J$2:$N$354,3,FALSE))</f>
        <v>_</v>
      </c>
      <c r="BT350" s="44"/>
      <c r="BU350" s="45" t="s">
        <v>16</v>
      </c>
      <c r="BV350" s="46" t="str">
        <f>IF(VLOOKUP(BU350,βοηθητικό!$J$2:$N$354,3,FALSE)="","",VLOOKUP(BU350,βοηθητικό!$J$2:$N$354,3,FALSE))</f>
        <v>_</v>
      </c>
      <c r="BW350" s="47"/>
      <c r="BX350" s="42" t="s">
        <v>16</v>
      </c>
      <c r="BY350" s="43" t="str">
        <f>IF(VLOOKUP(BX350,βοηθητικό!$J$2:$N$354,3,FALSE)="","",VLOOKUP(BX350,βοηθητικό!$J$2:$N$354,3,FALSE))</f>
        <v>_</v>
      </c>
      <c r="BZ350" s="44"/>
      <c r="CA350" s="45" t="s">
        <v>16</v>
      </c>
      <c r="CB350" s="46" t="str">
        <f>IF(VLOOKUP(CA350,βοηθητικό!$J$2:$N$354,3,FALSE)="","",VLOOKUP(CA350,βοηθητικό!$J$2:$N$354,3,FALSE))</f>
        <v>_</v>
      </c>
      <c r="CC350" s="47"/>
      <c r="CD350" s="42" t="s">
        <v>16</v>
      </c>
      <c r="CE350" s="43" t="str">
        <f>IF(VLOOKUP(CD350,βοηθητικό!$J$2:$N$354,3,FALSE)="","",VLOOKUP(CD350,βοηθητικό!$J$2:$N$354,3,FALSE))</f>
        <v>_</v>
      </c>
      <c r="CF350" s="44"/>
      <c r="CG350" s="45" t="s">
        <v>16</v>
      </c>
      <c r="CH350" s="46" t="str">
        <f>IF(VLOOKUP(CG350,βοηθητικό!$J$2:$N$354,3,FALSE)="","",VLOOKUP(CG350,βοηθητικό!$J$2:$N$354,3,FALSE))</f>
        <v>_</v>
      </c>
      <c r="CI350" s="47"/>
      <c r="CJ350" s="42" t="s">
        <v>16</v>
      </c>
      <c r="CK350" s="43" t="str">
        <f>IF(VLOOKUP(CJ350,βοηθητικό!$J$2:$N$354,3,FALSE)="","",VLOOKUP(CJ350,βοηθητικό!$J$2:$N$354,3,FALSE))</f>
        <v>_</v>
      </c>
      <c r="CL350" s="44"/>
      <c r="CM350" s="45" t="s">
        <v>16</v>
      </c>
      <c r="CN350" s="46" t="str">
        <f>IF(VLOOKUP(CM350,βοηθητικό!$J$2:$N$354,3,FALSE)="","",VLOOKUP(CM350,βοηθητικό!$J$2:$N$354,3,FALSE))</f>
        <v>_</v>
      </c>
      <c r="CO350" s="47"/>
      <c r="CP350" s="42" t="s">
        <v>16</v>
      </c>
      <c r="CQ350" s="43" t="str">
        <f>IF(VLOOKUP(CP350,βοηθητικό!$J$2:$N$354,3,FALSE)="","",VLOOKUP(CP350,βοηθητικό!$J$2:$N$354,3,FALSE))</f>
        <v>_</v>
      </c>
      <c r="CR350" s="44"/>
      <c r="CS350" s="45" t="s">
        <v>16</v>
      </c>
      <c r="CT350" s="46" t="str">
        <f>IF(VLOOKUP(CS350,βοηθητικό!$J$2:$N$354,3,FALSE)="","",VLOOKUP(CS350,βοηθητικό!$J$2:$N$354,3,FALSE))</f>
        <v>_</v>
      </c>
      <c r="CU350" s="47"/>
    </row>
    <row r="351" spans="1:99" x14ac:dyDescent="0.25">
      <c r="A351" s="37">
        <f>--SUBTOTAL(3,$B$3:B350)</f>
        <v>198</v>
      </c>
      <c r="B351" s="2"/>
      <c r="C351" s="3"/>
      <c r="D351" s="55" t="s">
        <v>18</v>
      </c>
      <c r="E351" s="38" t="s">
        <v>16</v>
      </c>
      <c r="F351" s="38" t="s">
        <v>16</v>
      </c>
      <c r="G351" s="39" t="str">
        <f t="shared" si="17"/>
        <v>__</v>
      </c>
      <c r="H351" s="40" t="str">
        <f t="shared" si="18"/>
        <v>FALSE</v>
      </c>
      <c r="I351" s="41">
        <f t="shared" si="19"/>
        <v>0</v>
      </c>
      <c r="J351" s="4" t="s">
        <v>16</v>
      </c>
      <c r="K351" s="43" t="str">
        <f>IF(VLOOKUP(J351,βοηθητικό!$J$2:$N$354,3,FALSE)="","",VLOOKUP(J351,βοηθητικό!$J$2:$N$354,3,FALSE))</f>
        <v>_</v>
      </c>
      <c r="L351" s="44"/>
      <c r="M351" s="5" t="s">
        <v>16</v>
      </c>
      <c r="N351" s="46" t="str">
        <f>IF(VLOOKUP(M351,βοηθητικό!$J$2:$N$354,3,FALSE)="","",VLOOKUP(M351,βοηθητικό!$J$2:$N$354,3,FALSE))</f>
        <v>_</v>
      </c>
      <c r="O351" s="47"/>
      <c r="P351" s="4" t="s">
        <v>16</v>
      </c>
      <c r="Q351" s="43" t="str">
        <f>IF(VLOOKUP(P351,βοηθητικό!$J$2:$N$354,3,FALSE)="","",VLOOKUP(P351,βοηθητικό!$J$2:$N$354,3,FALSE))</f>
        <v>_</v>
      </c>
      <c r="R351" s="44"/>
      <c r="S351" s="5" t="s">
        <v>16</v>
      </c>
      <c r="T351" s="46" t="str">
        <f>IF(VLOOKUP(S351,βοηθητικό!$J$2:$N$354,3,FALSE)="","",VLOOKUP(S351,βοηθητικό!$J$2:$N$354,3,FALSE))</f>
        <v>_</v>
      </c>
      <c r="U351" s="47"/>
      <c r="V351" s="4" t="s">
        <v>16</v>
      </c>
      <c r="W351" s="43" t="str">
        <f>IF(VLOOKUP(V351,βοηθητικό!$J$2:$N$354,3,FALSE)="","",VLOOKUP(V351,βοηθητικό!$J$2:$N$354,3,FALSE))</f>
        <v>_</v>
      </c>
      <c r="X351" s="44"/>
      <c r="Y351" s="5" t="s">
        <v>16</v>
      </c>
      <c r="Z351" s="46" t="str">
        <f>IF(VLOOKUP(Y351,βοηθητικό!$J$2:$N$354,3,FALSE)="","",VLOOKUP(Y351,βοηθητικό!$J$2:$N$354,3,FALSE))</f>
        <v>_</v>
      </c>
      <c r="AA351" s="47"/>
      <c r="AB351" s="4" t="s">
        <v>16</v>
      </c>
      <c r="AC351" s="43" t="str">
        <f>IF(VLOOKUP(AB351,βοηθητικό!$J$2:$N$354,3,FALSE)="","",VLOOKUP(AB351,βοηθητικό!$J$2:$N$354,3,FALSE))</f>
        <v>_</v>
      </c>
      <c r="AD351" s="44"/>
      <c r="AE351" s="5" t="s">
        <v>16</v>
      </c>
      <c r="AF351" s="46" t="str">
        <f>IF(VLOOKUP(AE351,βοηθητικό!$J$2:$N$354,3,FALSE)="","",VLOOKUP(AE351,βοηθητικό!$J$2:$N$354,3,FALSE))</f>
        <v>_</v>
      </c>
      <c r="AG351" s="47"/>
      <c r="AH351" s="4" t="s">
        <v>16</v>
      </c>
      <c r="AI351" s="43" t="str">
        <f>IF(VLOOKUP(AH351,βοηθητικό!$J$2:$N$354,3,FALSE)="","",VLOOKUP(AH351,βοηθητικό!$J$2:$N$354,3,FALSE))</f>
        <v>_</v>
      </c>
      <c r="AJ351" s="44"/>
      <c r="AK351" s="5" t="s">
        <v>16</v>
      </c>
      <c r="AL351" s="46" t="str">
        <f>IF(VLOOKUP(AK351,βοηθητικό!$J$2:$N$354,3,FALSE)="","",VLOOKUP(AK351,βοηθητικό!$J$2:$N$354,3,FALSE))</f>
        <v>_</v>
      </c>
      <c r="AM351" s="47"/>
      <c r="AN351" s="4" t="s">
        <v>16</v>
      </c>
      <c r="AO351" s="43" t="str">
        <f>IF(VLOOKUP(AN351,βοηθητικό!$J$2:$N$354,3,FALSE)="","",VLOOKUP(AN351,βοηθητικό!$J$2:$N$354,3,FALSE))</f>
        <v>_</v>
      </c>
      <c r="AP351" s="44"/>
      <c r="AQ351" s="5" t="s">
        <v>16</v>
      </c>
      <c r="AR351" s="46" t="str">
        <f>IF(VLOOKUP(AQ351,βοηθητικό!$J$2:$N$354,3,FALSE)="","",VLOOKUP(AQ351,βοηθητικό!$J$2:$N$354,3,FALSE))</f>
        <v>_</v>
      </c>
      <c r="AS351" s="47"/>
      <c r="AT351" s="4" t="s">
        <v>16</v>
      </c>
      <c r="AU351" s="43" t="str">
        <f>IF(VLOOKUP(AT351,βοηθητικό!$J$2:$N$354,3,FALSE)="","",VLOOKUP(AT351,βοηθητικό!$J$2:$N$354,3,FALSE))</f>
        <v>_</v>
      </c>
      <c r="AV351" s="44"/>
      <c r="AW351" s="5" t="s">
        <v>16</v>
      </c>
      <c r="AX351" s="46" t="str">
        <f>IF(VLOOKUP(AW351,βοηθητικό!$J$2:$N$354,3,FALSE)="","",VLOOKUP(AW351,βοηθητικό!$J$2:$N$354,3,FALSE))</f>
        <v>_</v>
      </c>
      <c r="AY351" s="47"/>
      <c r="AZ351" s="4" t="s">
        <v>16</v>
      </c>
      <c r="BA351" s="43" t="str">
        <f>IF(VLOOKUP(AZ351,βοηθητικό!$J$2:$N$354,3,FALSE)="","",VLOOKUP(AZ351,βοηθητικό!$J$2:$N$354,3,FALSE))</f>
        <v>_</v>
      </c>
      <c r="BB351" s="44"/>
      <c r="BC351" s="45" t="s">
        <v>16</v>
      </c>
      <c r="BD351" s="46" t="str">
        <f>IF(VLOOKUP(BC351,βοηθητικό!$J$2:$N$354,3,FALSE)="","",VLOOKUP(BC351,βοηθητικό!$J$2:$N$354,3,FALSE))</f>
        <v>_</v>
      </c>
      <c r="BE351" s="47"/>
      <c r="BF351" s="42" t="s">
        <v>16</v>
      </c>
      <c r="BG351" s="43" t="str">
        <f>IF(VLOOKUP(BF351,βοηθητικό!$J$2:$N$354,3,FALSE)="","",VLOOKUP(BF351,βοηθητικό!$J$2:$N$354,3,FALSE))</f>
        <v>_</v>
      </c>
      <c r="BH351" s="44"/>
      <c r="BI351" s="45" t="s">
        <v>16</v>
      </c>
      <c r="BJ351" s="46" t="str">
        <f>IF(VLOOKUP(BI351,βοηθητικό!$J$2:$N$354,3,FALSE)="","",VLOOKUP(BI351,βοηθητικό!$J$2:$N$354,3,FALSE))</f>
        <v>_</v>
      </c>
      <c r="BK351" s="47"/>
      <c r="BL351" s="42" t="s">
        <v>16</v>
      </c>
      <c r="BM351" s="43" t="str">
        <f>IF(VLOOKUP(BL351,βοηθητικό!$J$2:$N$354,3,FALSE)="","",VLOOKUP(BL351,βοηθητικό!$J$2:$N$354,3,FALSE))</f>
        <v>_</v>
      </c>
      <c r="BN351" s="44"/>
      <c r="BO351" s="45" t="s">
        <v>16</v>
      </c>
      <c r="BP351" s="46" t="str">
        <f>IF(VLOOKUP(BO351,βοηθητικό!$J$2:$N$354,3,FALSE)="","",VLOOKUP(BO351,βοηθητικό!$J$2:$N$354,3,FALSE))</f>
        <v>_</v>
      </c>
      <c r="BQ351" s="47"/>
      <c r="BR351" s="42" t="s">
        <v>16</v>
      </c>
      <c r="BS351" s="43" t="str">
        <f>IF(VLOOKUP(BR351,βοηθητικό!$J$2:$N$354,3,FALSE)="","",VLOOKUP(BR351,βοηθητικό!$J$2:$N$354,3,FALSE))</f>
        <v>_</v>
      </c>
      <c r="BT351" s="44"/>
      <c r="BU351" s="45" t="s">
        <v>16</v>
      </c>
      <c r="BV351" s="46" t="str">
        <f>IF(VLOOKUP(BU351,βοηθητικό!$J$2:$N$354,3,FALSE)="","",VLOOKUP(BU351,βοηθητικό!$J$2:$N$354,3,FALSE))</f>
        <v>_</v>
      </c>
      <c r="BW351" s="47"/>
      <c r="BX351" s="42" t="s">
        <v>16</v>
      </c>
      <c r="BY351" s="43" t="str">
        <f>IF(VLOOKUP(BX351,βοηθητικό!$J$2:$N$354,3,FALSE)="","",VLOOKUP(BX351,βοηθητικό!$J$2:$N$354,3,FALSE))</f>
        <v>_</v>
      </c>
      <c r="BZ351" s="44"/>
      <c r="CA351" s="45" t="s">
        <v>16</v>
      </c>
      <c r="CB351" s="46" t="str">
        <f>IF(VLOOKUP(CA351,βοηθητικό!$J$2:$N$354,3,FALSE)="","",VLOOKUP(CA351,βοηθητικό!$J$2:$N$354,3,FALSE))</f>
        <v>_</v>
      </c>
      <c r="CC351" s="47"/>
      <c r="CD351" s="42" t="s">
        <v>16</v>
      </c>
      <c r="CE351" s="43" t="str">
        <f>IF(VLOOKUP(CD351,βοηθητικό!$J$2:$N$354,3,FALSE)="","",VLOOKUP(CD351,βοηθητικό!$J$2:$N$354,3,FALSE))</f>
        <v>_</v>
      </c>
      <c r="CF351" s="44"/>
      <c r="CG351" s="45" t="s">
        <v>16</v>
      </c>
      <c r="CH351" s="46" t="str">
        <f>IF(VLOOKUP(CG351,βοηθητικό!$J$2:$N$354,3,FALSE)="","",VLOOKUP(CG351,βοηθητικό!$J$2:$N$354,3,FALSE))</f>
        <v>_</v>
      </c>
      <c r="CI351" s="47"/>
      <c r="CJ351" s="42" t="s">
        <v>16</v>
      </c>
      <c r="CK351" s="43" t="str">
        <f>IF(VLOOKUP(CJ351,βοηθητικό!$J$2:$N$354,3,FALSE)="","",VLOOKUP(CJ351,βοηθητικό!$J$2:$N$354,3,FALSE))</f>
        <v>_</v>
      </c>
      <c r="CL351" s="44"/>
      <c r="CM351" s="45" t="s">
        <v>16</v>
      </c>
      <c r="CN351" s="46" t="str">
        <f>IF(VLOOKUP(CM351,βοηθητικό!$J$2:$N$354,3,FALSE)="","",VLOOKUP(CM351,βοηθητικό!$J$2:$N$354,3,FALSE))</f>
        <v>_</v>
      </c>
      <c r="CO351" s="47"/>
      <c r="CP351" s="42" t="s">
        <v>16</v>
      </c>
      <c r="CQ351" s="43" t="str">
        <f>IF(VLOOKUP(CP351,βοηθητικό!$J$2:$N$354,3,FALSE)="","",VLOOKUP(CP351,βοηθητικό!$J$2:$N$354,3,FALSE))</f>
        <v>_</v>
      </c>
      <c r="CR351" s="44"/>
      <c r="CS351" s="45" t="s">
        <v>16</v>
      </c>
      <c r="CT351" s="46" t="str">
        <f>IF(VLOOKUP(CS351,βοηθητικό!$J$2:$N$354,3,FALSE)="","",VLOOKUP(CS351,βοηθητικό!$J$2:$N$354,3,FALSE))</f>
        <v>_</v>
      </c>
      <c r="CU351" s="47"/>
    </row>
    <row r="352" spans="1:99" x14ac:dyDescent="0.25">
      <c r="A352" s="37">
        <f>--SUBTOTAL(3,$B$3:B351)</f>
        <v>198</v>
      </c>
      <c r="B352" s="2"/>
      <c r="C352" s="3"/>
      <c r="D352" s="55" t="s">
        <v>18</v>
      </c>
      <c r="E352" s="38" t="s">
        <v>16</v>
      </c>
      <c r="F352" s="38" t="s">
        <v>16</v>
      </c>
      <c r="G352" s="39" t="str">
        <f t="shared" si="17"/>
        <v>__</v>
      </c>
      <c r="H352" s="40" t="str">
        <f t="shared" si="18"/>
        <v>FALSE</v>
      </c>
      <c r="I352" s="41">
        <f t="shared" si="19"/>
        <v>0</v>
      </c>
      <c r="J352" s="4" t="s">
        <v>16</v>
      </c>
      <c r="K352" s="43" t="str">
        <f>IF(VLOOKUP(J352,βοηθητικό!$J$2:$N$354,3,FALSE)="","",VLOOKUP(J352,βοηθητικό!$J$2:$N$354,3,FALSE))</f>
        <v>_</v>
      </c>
      <c r="L352" s="44"/>
      <c r="M352" s="5" t="s">
        <v>16</v>
      </c>
      <c r="N352" s="46" t="str">
        <f>IF(VLOOKUP(M352,βοηθητικό!$J$2:$N$354,3,FALSE)="","",VLOOKUP(M352,βοηθητικό!$J$2:$N$354,3,FALSE))</f>
        <v>_</v>
      </c>
      <c r="O352" s="47"/>
      <c r="P352" s="4" t="s">
        <v>16</v>
      </c>
      <c r="Q352" s="43" t="str">
        <f>IF(VLOOKUP(P352,βοηθητικό!$J$2:$N$354,3,FALSE)="","",VLOOKUP(P352,βοηθητικό!$J$2:$N$354,3,FALSE))</f>
        <v>_</v>
      </c>
      <c r="R352" s="44"/>
      <c r="S352" s="5" t="s">
        <v>16</v>
      </c>
      <c r="T352" s="46" t="str">
        <f>IF(VLOOKUP(S352,βοηθητικό!$J$2:$N$354,3,FALSE)="","",VLOOKUP(S352,βοηθητικό!$J$2:$N$354,3,FALSE))</f>
        <v>_</v>
      </c>
      <c r="U352" s="47"/>
      <c r="V352" s="4" t="s">
        <v>16</v>
      </c>
      <c r="W352" s="43" t="str">
        <f>IF(VLOOKUP(V352,βοηθητικό!$J$2:$N$354,3,FALSE)="","",VLOOKUP(V352,βοηθητικό!$J$2:$N$354,3,FALSE))</f>
        <v>_</v>
      </c>
      <c r="X352" s="44"/>
      <c r="Y352" s="5" t="s">
        <v>16</v>
      </c>
      <c r="Z352" s="46" t="str">
        <f>IF(VLOOKUP(Y352,βοηθητικό!$J$2:$N$354,3,FALSE)="","",VLOOKUP(Y352,βοηθητικό!$J$2:$N$354,3,FALSE))</f>
        <v>_</v>
      </c>
      <c r="AA352" s="47"/>
      <c r="AB352" s="4" t="s">
        <v>16</v>
      </c>
      <c r="AC352" s="43" t="str">
        <f>IF(VLOOKUP(AB352,βοηθητικό!$J$2:$N$354,3,FALSE)="","",VLOOKUP(AB352,βοηθητικό!$J$2:$N$354,3,FALSE))</f>
        <v>_</v>
      </c>
      <c r="AD352" s="44"/>
      <c r="AE352" s="5" t="s">
        <v>16</v>
      </c>
      <c r="AF352" s="46" t="str">
        <f>IF(VLOOKUP(AE352,βοηθητικό!$J$2:$N$354,3,FALSE)="","",VLOOKUP(AE352,βοηθητικό!$J$2:$N$354,3,FALSE))</f>
        <v>_</v>
      </c>
      <c r="AG352" s="47"/>
      <c r="AH352" s="4" t="s">
        <v>16</v>
      </c>
      <c r="AI352" s="43" t="str">
        <f>IF(VLOOKUP(AH352,βοηθητικό!$J$2:$N$354,3,FALSE)="","",VLOOKUP(AH352,βοηθητικό!$J$2:$N$354,3,FALSE))</f>
        <v>_</v>
      </c>
      <c r="AJ352" s="44"/>
      <c r="AK352" s="5" t="s">
        <v>16</v>
      </c>
      <c r="AL352" s="46" t="str">
        <f>IF(VLOOKUP(AK352,βοηθητικό!$J$2:$N$354,3,FALSE)="","",VLOOKUP(AK352,βοηθητικό!$J$2:$N$354,3,FALSE))</f>
        <v>_</v>
      </c>
      <c r="AM352" s="47"/>
      <c r="AN352" s="4" t="s">
        <v>16</v>
      </c>
      <c r="AO352" s="43" t="str">
        <f>IF(VLOOKUP(AN352,βοηθητικό!$J$2:$N$354,3,FALSE)="","",VLOOKUP(AN352,βοηθητικό!$J$2:$N$354,3,FALSE))</f>
        <v>_</v>
      </c>
      <c r="AP352" s="44"/>
      <c r="AQ352" s="5" t="s">
        <v>16</v>
      </c>
      <c r="AR352" s="46" t="str">
        <f>IF(VLOOKUP(AQ352,βοηθητικό!$J$2:$N$354,3,FALSE)="","",VLOOKUP(AQ352,βοηθητικό!$J$2:$N$354,3,FALSE))</f>
        <v>_</v>
      </c>
      <c r="AS352" s="47"/>
      <c r="AT352" s="4" t="s">
        <v>16</v>
      </c>
      <c r="AU352" s="43" t="str">
        <f>IF(VLOOKUP(AT352,βοηθητικό!$J$2:$N$354,3,FALSE)="","",VLOOKUP(AT352,βοηθητικό!$J$2:$N$354,3,FALSE))</f>
        <v>_</v>
      </c>
      <c r="AV352" s="44"/>
      <c r="AW352" s="5" t="s">
        <v>16</v>
      </c>
      <c r="AX352" s="46" t="str">
        <f>IF(VLOOKUP(AW352,βοηθητικό!$J$2:$N$354,3,FALSE)="","",VLOOKUP(AW352,βοηθητικό!$J$2:$N$354,3,FALSE))</f>
        <v>_</v>
      </c>
      <c r="AY352" s="47"/>
      <c r="AZ352" s="4" t="s">
        <v>16</v>
      </c>
      <c r="BA352" s="43" t="str">
        <f>IF(VLOOKUP(AZ352,βοηθητικό!$J$2:$N$354,3,FALSE)="","",VLOOKUP(AZ352,βοηθητικό!$J$2:$N$354,3,FALSE))</f>
        <v>_</v>
      </c>
      <c r="BB352" s="44"/>
      <c r="BC352" s="45" t="s">
        <v>16</v>
      </c>
      <c r="BD352" s="46" t="str">
        <f>IF(VLOOKUP(BC352,βοηθητικό!$J$2:$N$354,3,FALSE)="","",VLOOKUP(BC352,βοηθητικό!$J$2:$N$354,3,FALSE))</f>
        <v>_</v>
      </c>
      <c r="BE352" s="47"/>
      <c r="BF352" s="42" t="s">
        <v>16</v>
      </c>
      <c r="BG352" s="43" t="str">
        <f>IF(VLOOKUP(BF352,βοηθητικό!$J$2:$N$354,3,FALSE)="","",VLOOKUP(BF352,βοηθητικό!$J$2:$N$354,3,FALSE))</f>
        <v>_</v>
      </c>
      <c r="BH352" s="44"/>
      <c r="BI352" s="45" t="s">
        <v>16</v>
      </c>
      <c r="BJ352" s="46" t="str">
        <f>IF(VLOOKUP(BI352,βοηθητικό!$J$2:$N$354,3,FALSE)="","",VLOOKUP(BI352,βοηθητικό!$J$2:$N$354,3,FALSE))</f>
        <v>_</v>
      </c>
      <c r="BK352" s="47"/>
      <c r="BL352" s="42" t="s">
        <v>16</v>
      </c>
      <c r="BM352" s="43" t="str">
        <f>IF(VLOOKUP(BL352,βοηθητικό!$J$2:$N$354,3,FALSE)="","",VLOOKUP(BL352,βοηθητικό!$J$2:$N$354,3,FALSE))</f>
        <v>_</v>
      </c>
      <c r="BN352" s="44"/>
      <c r="BO352" s="45" t="s">
        <v>16</v>
      </c>
      <c r="BP352" s="46" t="str">
        <f>IF(VLOOKUP(BO352,βοηθητικό!$J$2:$N$354,3,FALSE)="","",VLOOKUP(BO352,βοηθητικό!$J$2:$N$354,3,FALSE))</f>
        <v>_</v>
      </c>
      <c r="BQ352" s="47"/>
      <c r="BR352" s="42" t="s">
        <v>16</v>
      </c>
      <c r="BS352" s="43" t="str">
        <f>IF(VLOOKUP(BR352,βοηθητικό!$J$2:$N$354,3,FALSE)="","",VLOOKUP(BR352,βοηθητικό!$J$2:$N$354,3,FALSE))</f>
        <v>_</v>
      </c>
      <c r="BT352" s="44"/>
      <c r="BU352" s="45" t="s">
        <v>16</v>
      </c>
      <c r="BV352" s="46" t="str">
        <f>IF(VLOOKUP(BU352,βοηθητικό!$J$2:$N$354,3,FALSE)="","",VLOOKUP(BU352,βοηθητικό!$J$2:$N$354,3,FALSE))</f>
        <v>_</v>
      </c>
      <c r="BW352" s="47"/>
      <c r="BX352" s="42" t="s">
        <v>16</v>
      </c>
      <c r="BY352" s="43" t="str">
        <f>IF(VLOOKUP(BX352,βοηθητικό!$J$2:$N$354,3,FALSE)="","",VLOOKUP(BX352,βοηθητικό!$J$2:$N$354,3,FALSE))</f>
        <v>_</v>
      </c>
      <c r="BZ352" s="44"/>
      <c r="CA352" s="45" t="s">
        <v>16</v>
      </c>
      <c r="CB352" s="46" t="str">
        <f>IF(VLOOKUP(CA352,βοηθητικό!$J$2:$N$354,3,FALSE)="","",VLOOKUP(CA352,βοηθητικό!$J$2:$N$354,3,FALSE))</f>
        <v>_</v>
      </c>
      <c r="CC352" s="47"/>
      <c r="CD352" s="42" t="s">
        <v>16</v>
      </c>
      <c r="CE352" s="43" t="str">
        <f>IF(VLOOKUP(CD352,βοηθητικό!$J$2:$N$354,3,FALSE)="","",VLOOKUP(CD352,βοηθητικό!$J$2:$N$354,3,FALSE))</f>
        <v>_</v>
      </c>
      <c r="CF352" s="44"/>
      <c r="CG352" s="45" t="s">
        <v>16</v>
      </c>
      <c r="CH352" s="46" t="str">
        <f>IF(VLOOKUP(CG352,βοηθητικό!$J$2:$N$354,3,FALSE)="","",VLOOKUP(CG352,βοηθητικό!$J$2:$N$354,3,FALSE))</f>
        <v>_</v>
      </c>
      <c r="CI352" s="47"/>
      <c r="CJ352" s="42" t="s">
        <v>16</v>
      </c>
      <c r="CK352" s="43" t="str">
        <f>IF(VLOOKUP(CJ352,βοηθητικό!$J$2:$N$354,3,FALSE)="","",VLOOKUP(CJ352,βοηθητικό!$J$2:$N$354,3,FALSE))</f>
        <v>_</v>
      </c>
      <c r="CL352" s="44"/>
      <c r="CM352" s="45" t="s">
        <v>16</v>
      </c>
      <c r="CN352" s="46" t="str">
        <f>IF(VLOOKUP(CM352,βοηθητικό!$J$2:$N$354,3,FALSE)="","",VLOOKUP(CM352,βοηθητικό!$J$2:$N$354,3,FALSE))</f>
        <v>_</v>
      </c>
      <c r="CO352" s="47"/>
      <c r="CP352" s="42" t="s">
        <v>16</v>
      </c>
      <c r="CQ352" s="43" t="str">
        <f>IF(VLOOKUP(CP352,βοηθητικό!$J$2:$N$354,3,FALSE)="","",VLOOKUP(CP352,βοηθητικό!$J$2:$N$354,3,FALSE))</f>
        <v>_</v>
      </c>
      <c r="CR352" s="44"/>
      <c r="CS352" s="45" t="s">
        <v>16</v>
      </c>
      <c r="CT352" s="46" t="str">
        <f>IF(VLOOKUP(CS352,βοηθητικό!$J$2:$N$354,3,FALSE)="","",VLOOKUP(CS352,βοηθητικό!$J$2:$N$354,3,FALSE))</f>
        <v>_</v>
      </c>
      <c r="CU352" s="47"/>
    </row>
    <row r="353" spans="1:99" x14ac:dyDescent="0.25">
      <c r="A353" s="37">
        <f>--SUBTOTAL(3,$B$3:B352)</f>
        <v>198</v>
      </c>
      <c r="B353" s="2"/>
      <c r="C353" s="3"/>
      <c r="D353" s="55" t="s">
        <v>18</v>
      </c>
      <c r="E353" s="38" t="s">
        <v>16</v>
      </c>
      <c r="F353" s="38" t="s">
        <v>16</v>
      </c>
      <c r="G353" s="39" t="str">
        <f t="shared" si="17"/>
        <v>__</v>
      </c>
      <c r="H353" s="40" t="str">
        <f t="shared" si="18"/>
        <v>FALSE</v>
      </c>
      <c r="I353" s="41">
        <f t="shared" si="19"/>
        <v>0</v>
      </c>
      <c r="J353" s="4" t="s">
        <v>16</v>
      </c>
      <c r="K353" s="43" t="str">
        <f>IF(VLOOKUP(J353,βοηθητικό!$J$2:$N$354,3,FALSE)="","",VLOOKUP(J353,βοηθητικό!$J$2:$N$354,3,FALSE))</f>
        <v>_</v>
      </c>
      <c r="L353" s="44"/>
      <c r="M353" s="5" t="s">
        <v>16</v>
      </c>
      <c r="N353" s="46" t="str">
        <f>IF(VLOOKUP(M353,βοηθητικό!$J$2:$N$354,3,FALSE)="","",VLOOKUP(M353,βοηθητικό!$J$2:$N$354,3,FALSE))</f>
        <v>_</v>
      </c>
      <c r="O353" s="47"/>
      <c r="P353" s="4" t="s">
        <v>16</v>
      </c>
      <c r="Q353" s="43" t="str">
        <f>IF(VLOOKUP(P353,βοηθητικό!$J$2:$N$354,3,FALSE)="","",VLOOKUP(P353,βοηθητικό!$J$2:$N$354,3,FALSE))</f>
        <v>_</v>
      </c>
      <c r="R353" s="44"/>
      <c r="S353" s="5" t="s">
        <v>16</v>
      </c>
      <c r="T353" s="46" t="str">
        <f>IF(VLOOKUP(S353,βοηθητικό!$J$2:$N$354,3,FALSE)="","",VLOOKUP(S353,βοηθητικό!$J$2:$N$354,3,FALSE))</f>
        <v>_</v>
      </c>
      <c r="U353" s="47"/>
      <c r="V353" s="4" t="s">
        <v>16</v>
      </c>
      <c r="W353" s="43" t="str">
        <f>IF(VLOOKUP(V353,βοηθητικό!$J$2:$N$354,3,FALSE)="","",VLOOKUP(V353,βοηθητικό!$J$2:$N$354,3,FALSE))</f>
        <v>_</v>
      </c>
      <c r="X353" s="44"/>
      <c r="Y353" s="5" t="s">
        <v>16</v>
      </c>
      <c r="Z353" s="46" t="str">
        <f>IF(VLOOKUP(Y353,βοηθητικό!$J$2:$N$354,3,FALSE)="","",VLOOKUP(Y353,βοηθητικό!$J$2:$N$354,3,FALSE))</f>
        <v>_</v>
      </c>
      <c r="AA353" s="47"/>
      <c r="AB353" s="4" t="s">
        <v>16</v>
      </c>
      <c r="AC353" s="43" t="str">
        <f>IF(VLOOKUP(AB353,βοηθητικό!$J$2:$N$354,3,FALSE)="","",VLOOKUP(AB353,βοηθητικό!$J$2:$N$354,3,FALSE))</f>
        <v>_</v>
      </c>
      <c r="AD353" s="44"/>
      <c r="AE353" s="5" t="s">
        <v>16</v>
      </c>
      <c r="AF353" s="46" t="str">
        <f>IF(VLOOKUP(AE353,βοηθητικό!$J$2:$N$354,3,FALSE)="","",VLOOKUP(AE353,βοηθητικό!$J$2:$N$354,3,FALSE))</f>
        <v>_</v>
      </c>
      <c r="AG353" s="47"/>
      <c r="AH353" s="4" t="s">
        <v>16</v>
      </c>
      <c r="AI353" s="43" t="str">
        <f>IF(VLOOKUP(AH353,βοηθητικό!$J$2:$N$354,3,FALSE)="","",VLOOKUP(AH353,βοηθητικό!$J$2:$N$354,3,FALSE))</f>
        <v>_</v>
      </c>
      <c r="AJ353" s="44"/>
      <c r="AK353" s="5" t="s">
        <v>16</v>
      </c>
      <c r="AL353" s="46" t="str">
        <f>IF(VLOOKUP(AK353,βοηθητικό!$J$2:$N$354,3,FALSE)="","",VLOOKUP(AK353,βοηθητικό!$J$2:$N$354,3,FALSE))</f>
        <v>_</v>
      </c>
      <c r="AM353" s="47"/>
      <c r="AN353" s="4" t="s">
        <v>16</v>
      </c>
      <c r="AO353" s="43" t="str">
        <f>IF(VLOOKUP(AN353,βοηθητικό!$J$2:$N$354,3,FALSE)="","",VLOOKUP(AN353,βοηθητικό!$J$2:$N$354,3,FALSE))</f>
        <v>_</v>
      </c>
      <c r="AP353" s="44"/>
      <c r="AQ353" s="5" t="s">
        <v>16</v>
      </c>
      <c r="AR353" s="46" t="str">
        <f>IF(VLOOKUP(AQ353,βοηθητικό!$J$2:$N$354,3,FALSE)="","",VLOOKUP(AQ353,βοηθητικό!$J$2:$N$354,3,FALSE))</f>
        <v>_</v>
      </c>
      <c r="AS353" s="47"/>
      <c r="AT353" s="4" t="s">
        <v>16</v>
      </c>
      <c r="AU353" s="43" t="str">
        <f>IF(VLOOKUP(AT353,βοηθητικό!$J$2:$N$354,3,FALSE)="","",VLOOKUP(AT353,βοηθητικό!$J$2:$N$354,3,FALSE))</f>
        <v>_</v>
      </c>
      <c r="AV353" s="44"/>
      <c r="AW353" s="5" t="s">
        <v>16</v>
      </c>
      <c r="AX353" s="46" t="str">
        <f>IF(VLOOKUP(AW353,βοηθητικό!$J$2:$N$354,3,FALSE)="","",VLOOKUP(AW353,βοηθητικό!$J$2:$N$354,3,FALSE))</f>
        <v>_</v>
      </c>
      <c r="AY353" s="47"/>
      <c r="AZ353" s="4" t="s">
        <v>16</v>
      </c>
      <c r="BA353" s="43" t="str">
        <f>IF(VLOOKUP(AZ353,βοηθητικό!$J$2:$N$354,3,FALSE)="","",VLOOKUP(AZ353,βοηθητικό!$J$2:$N$354,3,FALSE))</f>
        <v>_</v>
      </c>
      <c r="BB353" s="44"/>
      <c r="BC353" s="45" t="s">
        <v>16</v>
      </c>
      <c r="BD353" s="46" t="str">
        <f>IF(VLOOKUP(BC353,βοηθητικό!$J$2:$N$354,3,FALSE)="","",VLOOKUP(BC353,βοηθητικό!$J$2:$N$354,3,FALSE))</f>
        <v>_</v>
      </c>
      <c r="BE353" s="47"/>
      <c r="BF353" s="42" t="s">
        <v>16</v>
      </c>
      <c r="BG353" s="43" t="str">
        <f>IF(VLOOKUP(BF353,βοηθητικό!$J$2:$N$354,3,FALSE)="","",VLOOKUP(BF353,βοηθητικό!$J$2:$N$354,3,FALSE))</f>
        <v>_</v>
      </c>
      <c r="BH353" s="44"/>
      <c r="BI353" s="45" t="s">
        <v>16</v>
      </c>
      <c r="BJ353" s="46" t="str">
        <f>IF(VLOOKUP(BI353,βοηθητικό!$J$2:$N$354,3,FALSE)="","",VLOOKUP(BI353,βοηθητικό!$J$2:$N$354,3,FALSE))</f>
        <v>_</v>
      </c>
      <c r="BK353" s="47"/>
      <c r="BL353" s="42" t="s">
        <v>16</v>
      </c>
      <c r="BM353" s="43" t="str">
        <f>IF(VLOOKUP(BL353,βοηθητικό!$J$2:$N$354,3,FALSE)="","",VLOOKUP(BL353,βοηθητικό!$J$2:$N$354,3,FALSE))</f>
        <v>_</v>
      </c>
      <c r="BN353" s="44"/>
      <c r="BO353" s="45" t="s">
        <v>16</v>
      </c>
      <c r="BP353" s="46" t="str">
        <f>IF(VLOOKUP(BO353,βοηθητικό!$J$2:$N$354,3,FALSE)="","",VLOOKUP(BO353,βοηθητικό!$J$2:$N$354,3,FALSE))</f>
        <v>_</v>
      </c>
      <c r="BQ353" s="47"/>
      <c r="BR353" s="42" t="s">
        <v>16</v>
      </c>
      <c r="BS353" s="43" t="str">
        <f>IF(VLOOKUP(BR353,βοηθητικό!$J$2:$N$354,3,FALSE)="","",VLOOKUP(BR353,βοηθητικό!$J$2:$N$354,3,FALSE))</f>
        <v>_</v>
      </c>
      <c r="BT353" s="44"/>
      <c r="BU353" s="45" t="s">
        <v>16</v>
      </c>
      <c r="BV353" s="46" t="str">
        <f>IF(VLOOKUP(BU353,βοηθητικό!$J$2:$N$354,3,FALSE)="","",VLOOKUP(BU353,βοηθητικό!$J$2:$N$354,3,FALSE))</f>
        <v>_</v>
      </c>
      <c r="BW353" s="47"/>
      <c r="BX353" s="42" t="s">
        <v>16</v>
      </c>
      <c r="BY353" s="43" t="str">
        <f>IF(VLOOKUP(BX353,βοηθητικό!$J$2:$N$354,3,FALSE)="","",VLOOKUP(BX353,βοηθητικό!$J$2:$N$354,3,FALSE))</f>
        <v>_</v>
      </c>
      <c r="BZ353" s="44"/>
      <c r="CA353" s="45" t="s">
        <v>16</v>
      </c>
      <c r="CB353" s="46" t="str">
        <f>IF(VLOOKUP(CA353,βοηθητικό!$J$2:$N$354,3,FALSE)="","",VLOOKUP(CA353,βοηθητικό!$J$2:$N$354,3,FALSE))</f>
        <v>_</v>
      </c>
      <c r="CC353" s="47"/>
      <c r="CD353" s="42" t="s">
        <v>16</v>
      </c>
      <c r="CE353" s="43" t="str">
        <f>IF(VLOOKUP(CD353,βοηθητικό!$J$2:$N$354,3,FALSE)="","",VLOOKUP(CD353,βοηθητικό!$J$2:$N$354,3,FALSE))</f>
        <v>_</v>
      </c>
      <c r="CF353" s="44"/>
      <c r="CG353" s="45" t="s">
        <v>16</v>
      </c>
      <c r="CH353" s="46" t="str">
        <f>IF(VLOOKUP(CG353,βοηθητικό!$J$2:$N$354,3,FALSE)="","",VLOOKUP(CG353,βοηθητικό!$J$2:$N$354,3,FALSE))</f>
        <v>_</v>
      </c>
      <c r="CI353" s="47"/>
      <c r="CJ353" s="42" t="s">
        <v>16</v>
      </c>
      <c r="CK353" s="43" t="str">
        <f>IF(VLOOKUP(CJ353,βοηθητικό!$J$2:$N$354,3,FALSE)="","",VLOOKUP(CJ353,βοηθητικό!$J$2:$N$354,3,FALSE))</f>
        <v>_</v>
      </c>
      <c r="CL353" s="44"/>
      <c r="CM353" s="45" t="s">
        <v>16</v>
      </c>
      <c r="CN353" s="46" t="str">
        <f>IF(VLOOKUP(CM353,βοηθητικό!$J$2:$N$354,3,FALSE)="","",VLOOKUP(CM353,βοηθητικό!$J$2:$N$354,3,FALSE))</f>
        <v>_</v>
      </c>
      <c r="CO353" s="47"/>
      <c r="CP353" s="42" t="s">
        <v>16</v>
      </c>
      <c r="CQ353" s="43" t="str">
        <f>IF(VLOOKUP(CP353,βοηθητικό!$J$2:$N$354,3,FALSE)="","",VLOOKUP(CP353,βοηθητικό!$J$2:$N$354,3,FALSE))</f>
        <v>_</v>
      </c>
      <c r="CR353" s="44"/>
      <c r="CS353" s="45" t="s">
        <v>16</v>
      </c>
      <c r="CT353" s="46" t="str">
        <f>IF(VLOOKUP(CS353,βοηθητικό!$J$2:$N$354,3,FALSE)="","",VLOOKUP(CS353,βοηθητικό!$J$2:$N$354,3,FALSE))</f>
        <v>_</v>
      </c>
      <c r="CU353" s="47"/>
    </row>
    <row r="354" spans="1:99" x14ac:dyDescent="0.25">
      <c r="A354" s="37">
        <f>--SUBTOTAL(3,$B$3:B353)</f>
        <v>198</v>
      </c>
      <c r="B354" s="2"/>
      <c r="C354" s="3"/>
      <c r="D354" s="55" t="s">
        <v>18</v>
      </c>
      <c r="E354" s="38" t="s">
        <v>16</v>
      </c>
      <c r="F354" s="38" t="s">
        <v>16</v>
      </c>
      <c r="G354" s="39" t="str">
        <f t="shared" si="17"/>
        <v>__</v>
      </c>
      <c r="H354" s="40" t="str">
        <f t="shared" si="18"/>
        <v>FALSE</v>
      </c>
      <c r="I354" s="41">
        <f t="shared" si="19"/>
        <v>0</v>
      </c>
      <c r="J354" s="4" t="s">
        <v>16</v>
      </c>
      <c r="K354" s="43" t="str">
        <f>IF(VLOOKUP(J354,βοηθητικό!$J$2:$N$354,3,FALSE)="","",VLOOKUP(J354,βοηθητικό!$J$2:$N$354,3,FALSE))</f>
        <v>_</v>
      </c>
      <c r="L354" s="44"/>
      <c r="M354" s="5" t="s">
        <v>16</v>
      </c>
      <c r="N354" s="46" t="str">
        <f>IF(VLOOKUP(M354,βοηθητικό!$J$2:$N$354,3,FALSE)="","",VLOOKUP(M354,βοηθητικό!$J$2:$N$354,3,FALSE))</f>
        <v>_</v>
      </c>
      <c r="O354" s="47"/>
      <c r="P354" s="4" t="s">
        <v>16</v>
      </c>
      <c r="Q354" s="43" t="str">
        <f>IF(VLOOKUP(P354,βοηθητικό!$J$2:$N$354,3,FALSE)="","",VLOOKUP(P354,βοηθητικό!$J$2:$N$354,3,FALSE))</f>
        <v>_</v>
      </c>
      <c r="R354" s="44"/>
      <c r="S354" s="5" t="s">
        <v>16</v>
      </c>
      <c r="T354" s="46" t="str">
        <f>IF(VLOOKUP(S354,βοηθητικό!$J$2:$N$354,3,FALSE)="","",VLOOKUP(S354,βοηθητικό!$J$2:$N$354,3,FALSE))</f>
        <v>_</v>
      </c>
      <c r="U354" s="47"/>
      <c r="V354" s="4" t="s">
        <v>16</v>
      </c>
      <c r="W354" s="43" t="str">
        <f>IF(VLOOKUP(V354,βοηθητικό!$J$2:$N$354,3,FALSE)="","",VLOOKUP(V354,βοηθητικό!$J$2:$N$354,3,FALSE))</f>
        <v>_</v>
      </c>
      <c r="X354" s="44"/>
      <c r="Y354" s="5" t="s">
        <v>16</v>
      </c>
      <c r="Z354" s="46" t="str">
        <f>IF(VLOOKUP(Y354,βοηθητικό!$J$2:$N$354,3,FALSE)="","",VLOOKUP(Y354,βοηθητικό!$J$2:$N$354,3,FALSE))</f>
        <v>_</v>
      </c>
      <c r="AA354" s="47"/>
      <c r="AB354" s="4" t="s">
        <v>16</v>
      </c>
      <c r="AC354" s="43" t="str">
        <f>IF(VLOOKUP(AB354,βοηθητικό!$J$2:$N$354,3,FALSE)="","",VLOOKUP(AB354,βοηθητικό!$J$2:$N$354,3,FALSE))</f>
        <v>_</v>
      </c>
      <c r="AD354" s="44"/>
      <c r="AE354" s="5" t="s">
        <v>16</v>
      </c>
      <c r="AF354" s="46" t="str">
        <f>IF(VLOOKUP(AE354,βοηθητικό!$J$2:$N$354,3,FALSE)="","",VLOOKUP(AE354,βοηθητικό!$J$2:$N$354,3,FALSE))</f>
        <v>_</v>
      </c>
      <c r="AG354" s="47"/>
      <c r="AH354" s="4" t="s">
        <v>16</v>
      </c>
      <c r="AI354" s="43" t="str">
        <f>IF(VLOOKUP(AH354,βοηθητικό!$J$2:$N$354,3,FALSE)="","",VLOOKUP(AH354,βοηθητικό!$J$2:$N$354,3,FALSE))</f>
        <v>_</v>
      </c>
      <c r="AJ354" s="44"/>
      <c r="AK354" s="5" t="s">
        <v>16</v>
      </c>
      <c r="AL354" s="46" t="str">
        <f>IF(VLOOKUP(AK354,βοηθητικό!$J$2:$N$354,3,FALSE)="","",VLOOKUP(AK354,βοηθητικό!$J$2:$N$354,3,FALSE))</f>
        <v>_</v>
      </c>
      <c r="AM354" s="47"/>
      <c r="AN354" s="4" t="s">
        <v>16</v>
      </c>
      <c r="AO354" s="43" t="str">
        <f>IF(VLOOKUP(AN354,βοηθητικό!$J$2:$N$354,3,FALSE)="","",VLOOKUP(AN354,βοηθητικό!$J$2:$N$354,3,FALSE))</f>
        <v>_</v>
      </c>
      <c r="AP354" s="44"/>
      <c r="AQ354" s="5" t="s">
        <v>16</v>
      </c>
      <c r="AR354" s="46" t="str">
        <f>IF(VLOOKUP(AQ354,βοηθητικό!$J$2:$N$354,3,FALSE)="","",VLOOKUP(AQ354,βοηθητικό!$J$2:$N$354,3,FALSE))</f>
        <v>_</v>
      </c>
      <c r="AS354" s="47"/>
      <c r="AT354" s="4" t="s">
        <v>16</v>
      </c>
      <c r="AU354" s="43" t="str">
        <f>IF(VLOOKUP(AT354,βοηθητικό!$J$2:$N$354,3,FALSE)="","",VLOOKUP(AT354,βοηθητικό!$J$2:$N$354,3,FALSE))</f>
        <v>_</v>
      </c>
      <c r="AV354" s="44"/>
      <c r="AW354" s="5" t="s">
        <v>16</v>
      </c>
      <c r="AX354" s="46" t="str">
        <f>IF(VLOOKUP(AW354,βοηθητικό!$J$2:$N$354,3,FALSE)="","",VLOOKUP(AW354,βοηθητικό!$J$2:$N$354,3,FALSE))</f>
        <v>_</v>
      </c>
      <c r="AY354" s="47"/>
      <c r="AZ354" s="4" t="s">
        <v>16</v>
      </c>
      <c r="BA354" s="43" t="str">
        <f>IF(VLOOKUP(AZ354,βοηθητικό!$J$2:$N$354,3,FALSE)="","",VLOOKUP(AZ354,βοηθητικό!$J$2:$N$354,3,FALSE))</f>
        <v>_</v>
      </c>
      <c r="BB354" s="44"/>
      <c r="BC354" s="45" t="s">
        <v>16</v>
      </c>
      <c r="BD354" s="46" t="str">
        <f>IF(VLOOKUP(BC354,βοηθητικό!$J$2:$N$354,3,FALSE)="","",VLOOKUP(BC354,βοηθητικό!$J$2:$N$354,3,FALSE))</f>
        <v>_</v>
      </c>
      <c r="BE354" s="47"/>
      <c r="BF354" s="42" t="s">
        <v>16</v>
      </c>
      <c r="BG354" s="43" t="str">
        <f>IF(VLOOKUP(BF354,βοηθητικό!$J$2:$N$354,3,FALSE)="","",VLOOKUP(BF354,βοηθητικό!$J$2:$N$354,3,FALSE))</f>
        <v>_</v>
      </c>
      <c r="BH354" s="44"/>
      <c r="BI354" s="45" t="s">
        <v>16</v>
      </c>
      <c r="BJ354" s="46" t="str">
        <f>IF(VLOOKUP(BI354,βοηθητικό!$J$2:$N$354,3,FALSE)="","",VLOOKUP(BI354,βοηθητικό!$J$2:$N$354,3,FALSE))</f>
        <v>_</v>
      </c>
      <c r="BK354" s="47"/>
      <c r="BL354" s="42" t="s">
        <v>16</v>
      </c>
      <c r="BM354" s="43" t="str">
        <f>IF(VLOOKUP(BL354,βοηθητικό!$J$2:$N$354,3,FALSE)="","",VLOOKUP(BL354,βοηθητικό!$J$2:$N$354,3,FALSE))</f>
        <v>_</v>
      </c>
      <c r="BN354" s="44"/>
      <c r="BO354" s="45" t="s">
        <v>16</v>
      </c>
      <c r="BP354" s="46" t="str">
        <f>IF(VLOOKUP(BO354,βοηθητικό!$J$2:$N$354,3,FALSE)="","",VLOOKUP(BO354,βοηθητικό!$J$2:$N$354,3,FALSE))</f>
        <v>_</v>
      </c>
      <c r="BQ354" s="47"/>
      <c r="BR354" s="42" t="s">
        <v>16</v>
      </c>
      <c r="BS354" s="43" t="str">
        <f>IF(VLOOKUP(BR354,βοηθητικό!$J$2:$N$354,3,FALSE)="","",VLOOKUP(BR354,βοηθητικό!$J$2:$N$354,3,FALSE))</f>
        <v>_</v>
      </c>
      <c r="BT354" s="44"/>
      <c r="BU354" s="45" t="s">
        <v>16</v>
      </c>
      <c r="BV354" s="46" t="str">
        <f>IF(VLOOKUP(BU354,βοηθητικό!$J$2:$N$354,3,FALSE)="","",VLOOKUP(BU354,βοηθητικό!$J$2:$N$354,3,FALSE))</f>
        <v>_</v>
      </c>
      <c r="BW354" s="47"/>
      <c r="BX354" s="42" t="s">
        <v>16</v>
      </c>
      <c r="BY354" s="43" t="str">
        <f>IF(VLOOKUP(BX354,βοηθητικό!$J$2:$N$354,3,FALSE)="","",VLOOKUP(BX354,βοηθητικό!$J$2:$N$354,3,FALSE))</f>
        <v>_</v>
      </c>
      <c r="BZ354" s="44"/>
      <c r="CA354" s="45" t="s">
        <v>16</v>
      </c>
      <c r="CB354" s="46" t="str">
        <f>IF(VLOOKUP(CA354,βοηθητικό!$J$2:$N$354,3,FALSE)="","",VLOOKUP(CA354,βοηθητικό!$J$2:$N$354,3,FALSE))</f>
        <v>_</v>
      </c>
      <c r="CC354" s="47"/>
      <c r="CD354" s="42" t="s">
        <v>16</v>
      </c>
      <c r="CE354" s="43" t="str">
        <f>IF(VLOOKUP(CD354,βοηθητικό!$J$2:$N$354,3,FALSE)="","",VLOOKUP(CD354,βοηθητικό!$J$2:$N$354,3,FALSE))</f>
        <v>_</v>
      </c>
      <c r="CF354" s="44"/>
      <c r="CG354" s="45" t="s">
        <v>16</v>
      </c>
      <c r="CH354" s="46" t="str">
        <f>IF(VLOOKUP(CG354,βοηθητικό!$J$2:$N$354,3,FALSE)="","",VLOOKUP(CG354,βοηθητικό!$J$2:$N$354,3,FALSE))</f>
        <v>_</v>
      </c>
      <c r="CI354" s="47"/>
      <c r="CJ354" s="42" t="s">
        <v>16</v>
      </c>
      <c r="CK354" s="43" t="str">
        <f>IF(VLOOKUP(CJ354,βοηθητικό!$J$2:$N$354,3,FALSE)="","",VLOOKUP(CJ354,βοηθητικό!$J$2:$N$354,3,FALSE))</f>
        <v>_</v>
      </c>
      <c r="CL354" s="44"/>
      <c r="CM354" s="45" t="s">
        <v>16</v>
      </c>
      <c r="CN354" s="46" t="str">
        <f>IF(VLOOKUP(CM354,βοηθητικό!$J$2:$N$354,3,FALSE)="","",VLOOKUP(CM354,βοηθητικό!$J$2:$N$354,3,FALSE))</f>
        <v>_</v>
      </c>
      <c r="CO354" s="47"/>
      <c r="CP354" s="42" t="s">
        <v>16</v>
      </c>
      <c r="CQ354" s="43" t="str">
        <f>IF(VLOOKUP(CP354,βοηθητικό!$J$2:$N$354,3,FALSE)="","",VLOOKUP(CP354,βοηθητικό!$J$2:$N$354,3,FALSE))</f>
        <v>_</v>
      </c>
      <c r="CR354" s="44"/>
      <c r="CS354" s="45" t="s">
        <v>16</v>
      </c>
      <c r="CT354" s="46" t="str">
        <f>IF(VLOOKUP(CS354,βοηθητικό!$J$2:$N$354,3,FALSE)="","",VLOOKUP(CS354,βοηθητικό!$J$2:$N$354,3,FALSE))</f>
        <v>_</v>
      </c>
      <c r="CU354" s="47"/>
    </row>
    <row r="355" spans="1:99" x14ac:dyDescent="0.25">
      <c r="A355" s="37">
        <f>--SUBTOTAL(3,$B$3:B354)</f>
        <v>198</v>
      </c>
      <c r="B355" s="2"/>
      <c r="C355" s="3"/>
      <c r="D355" s="55" t="s">
        <v>18</v>
      </c>
      <c r="E355" s="38" t="s">
        <v>16</v>
      </c>
      <c r="F355" s="38" t="s">
        <v>16</v>
      </c>
      <c r="G355" s="39" t="str">
        <f t="shared" si="17"/>
        <v>__</v>
      </c>
      <c r="H355" s="40" t="str">
        <f t="shared" si="18"/>
        <v>FALSE</v>
      </c>
      <c r="I355" s="41">
        <f t="shared" si="19"/>
        <v>0</v>
      </c>
      <c r="J355" s="4" t="s">
        <v>16</v>
      </c>
      <c r="K355" s="43" t="str">
        <f>IF(VLOOKUP(J355,βοηθητικό!$J$2:$N$354,3,FALSE)="","",VLOOKUP(J355,βοηθητικό!$J$2:$N$354,3,FALSE))</f>
        <v>_</v>
      </c>
      <c r="L355" s="44"/>
      <c r="M355" s="5" t="s">
        <v>16</v>
      </c>
      <c r="N355" s="46" t="str">
        <f>IF(VLOOKUP(M355,βοηθητικό!$J$2:$N$354,3,FALSE)="","",VLOOKUP(M355,βοηθητικό!$J$2:$N$354,3,FALSE))</f>
        <v>_</v>
      </c>
      <c r="O355" s="47"/>
      <c r="P355" s="4" t="s">
        <v>16</v>
      </c>
      <c r="Q355" s="43" t="str">
        <f>IF(VLOOKUP(P355,βοηθητικό!$J$2:$N$354,3,FALSE)="","",VLOOKUP(P355,βοηθητικό!$J$2:$N$354,3,FALSE))</f>
        <v>_</v>
      </c>
      <c r="R355" s="44"/>
      <c r="S355" s="5" t="s">
        <v>16</v>
      </c>
      <c r="T355" s="46" t="str">
        <f>IF(VLOOKUP(S355,βοηθητικό!$J$2:$N$354,3,FALSE)="","",VLOOKUP(S355,βοηθητικό!$J$2:$N$354,3,FALSE))</f>
        <v>_</v>
      </c>
      <c r="U355" s="47"/>
      <c r="V355" s="4" t="s">
        <v>16</v>
      </c>
      <c r="W355" s="43" t="str">
        <f>IF(VLOOKUP(V355,βοηθητικό!$J$2:$N$354,3,FALSE)="","",VLOOKUP(V355,βοηθητικό!$J$2:$N$354,3,FALSE))</f>
        <v>_</v>
      </c>
      <c r="X355" s="44"/>
      <c r="Y355" s="5" t="s">
        <v>16</v>
      </c>
      <c r="Z355" s="46" t="str">
        <f>IF(VLOOKUP(Y355,βοηθητικό!$J$2:$N$354,3,FALSE)="","",VLOOKUP(Y355,βοηθητικό!$J$2:$N$354,3,FALSE))</f>
        <v>_</v>
      </c>
      <c r="AA355" s="47"/>
      <c r="AB355" s="4" t="s">
        <v>16</v>
      </c>
      <c r="AC355" s="43" t="str">
        <f>IF(VLOOKUP(AB355,βοηθητικό!$J$2:$N$354,3,FALSE)="","",VLOOKUP(AB355,βοηθητικό!$J$2:$N$354,3,FALSE))</f>
        <v>_</v>
      </c>
      <c r="AD355" s="44"/>
      <c r="AE355" s="5" t="s">
        <v>16</v>
      </c>
      <c r="AF355" s="46" t="str">
        <f>IF(VLOOKUP(AE355,βοηθητικό!$J$2:$N$354,3,FALSE)="","",VLOOKUP(AE355,βοηθητικό!$J$2:$N$354,3,FALSE))</f>
        <v>_</v>
      </c>
      <c r="AG355" s="47"/>
      <c r="AH355" s="4" t="s">
        <v>16</v>
      </c>
      <c r="AI355" s="43" t="str">
        <f>IF(VLOOKUP(AH355,βοηθητικό!$J$2:$N$354,3,FALSE)="","",VLOOKUP(AH355,βοηθητικό!$J$2:$N$354,3,FALSE))</f>
        <v>_</v>
      </c>
      <c r="AJ355" s="44"/>
      <c r="AK355" s="5" t="s">
        <v>16</v>
      </c>
      <c r="AL355" s="46" t="str">
        <f>IF(VLOOKUP(AK355,βοηθητικό!$J$2:$N$354,3,FALSE)="","",VLOOKUP(AK355,βοηθητικό!$J$2:$N$354,3,FALSE))</f>
        <v>_</v>
      </c>
      <c r="AM355" s="47"/>
      <c r="AN355" s="4" t="s">
        <v>16</v>
      </c>
      <c r="AO355" s="43" t="str">
        <f>IF(VLOOKUP(AN355,βοηθητικό!$J$2:$N$354,3,FALSE)="","",VLOOKUP(AN355,βοηθητικό!$J$2:$N$354,3,FALSE))</f>
        <v>_</v>
      </c>
      <c r="AP355" s="44"/>
      <c r="AQ355" s="5" t="s">
        <v>16</v>
      </c>
      <c r="AR355" s="46" t="str">
        <f>IF(VLOOKUP(AQ355,βοηθητικό!$J$2:$N$354,3,FALSE)="","",VLOOKUP(AQ355,βοηθητικό!$J$2:$N$354,3,FALSE))</f>
        <v>_</v>
      </c>
      <c r="AS355" s="47"/>
      <c r="AT355" s="4" t="s">
        <v>16</v>
      </c>
      <c r="AU355" s="43" t="str">
        <f>IF(VLOOKUP(AT355,βοηθητικό!$J$2:$N$354,3,FALSE)="","",VLOOKUP(AT355,βοηθητικό!$J$2:$N$354,3,FALSE))</f>
        <v>_</v>
      </c>
      <c r="AV355" s="44"/>
      <c r="AW355" s="5" t="s">
        <v>16</v>
      </c>
      <c r="AX355" s="46" t="str">
        <f>IF(VLOOKUP(AW355,βοηθητικό!$J$2:$N$354,3,FALSE)="","",VLOOKUP(AW355,βοηθητικό!$J$2:$N$354,3,FALSE))</f>
        <v>_</v>
      </c>
      <c r="AY355" s="47"/>
      <c r="AZ355" s="4" t="s">
        <v>16</v>
      </c>
      <c r="BA355" s="43" t="str">
        <f>IF(VLOOKUP(AZ355,βοηθητικό!$J$2:$N$354,3,FALSE)="","",VLOOKUP(AZ355,βοηθητικό!$J$2:$N$354,3,FALSE))</f>
        <v>_</v>
      </c>
      <c r="BB355" s="44"/>
      <c r="BC355" s="45" t="s">
        <v>16</v>
      </c>
      <c r="BD355" s="46" t="str">
        <f>IF(VLOOKUP(BC355,βοηθητικό!$J$2:$N$354,3,FALSE)="","",VLOOKUP(BC355,βοηθητικό!$J$2:$N$354,3,FALSE))</f>
        <v>_</v>
      </c>
      <c r="BE355" s="47"/>
      <c r="BF355" s="42" t="s">
        <v>16</v>
      </c>
      <c r="BG355" s="43" t="str">
        <f>IF(VLOOKUP(BF355,βοηθητικό!$J$2:$N$354,3,FALSE)="","",VLOOKUP(BF355,βοηθητικό!$J$2:$N$354,3,FALSE))</f>
        <v>_</v>
      </c>
      <c r="BH355" s="44"/>
      <c r="BI355" s="45" t="s">
        <v>16</v>
      </c>
      <c r="BJ355" s="46" t="str">
        <f>IF(VLOOKUP(BI355,βοηθητικό!$J$2:$N$354,3,FALSE)="","",VLOOKUP(BI355,βοηθητικό!$J$2:$N$354,3,FALSE))</f>
        <v>_</v>
      </c>
      <c r="BK355" s="47"/>
      <c r="BL355" s="42" t="s">
        <v>16</v>
      </c>
      <c r="BM355" s="43" t="str">
        <f>IF(VLOOKUP(BL355,βοηθητικό!$J$2:$N$354,3,FALSE)="","",VLOOKUP(BL355,βοηθητικό!$J$2:$N$354,3,FALSE))</f>
        <v>_</v>
      </c>
      <c r="BN355" s="44"/>
      <c r="BO355" s="45" t="s">
        <v>16</v>
      </c>
      <c r="BP355" s="46" t="str">
        <f>IF(VLOOKUP(BO355,βοηθητικό!$J$2:$N$354,3,FALSE)="","",VLOOKUP(BO355,βοηθητικό!$J$2:$N$354,3,FALSE))</f>
        <v>_</v>
      </c>
      <c r="BQ355" s="47"/>
      <c r="BR355" s="42" t="s">
        <v>16</v>
      </c>
      <c r="BS355" s="43" t="str">
        <f>IF(VLOOKUP(BR355,βοηθητικό!$J$2:$N$354,3,FALSE)="","",VLOOKUP(BR355,βοηθητικό!$J$2:$N$354,3,FALSE))</f>
        <v>_</v>
      </c>
      <c r="BT355" s="44"/>
      <c r="BU355" s="45" t="s">
        <v>16</v>
      </c>
      <c r="BV355" s="46" t="str">
        <f>IF(VLOOKUP(BU355,βοηθητικό!$J$2:$N$354,3,FALSE)="","",VLOOKUP(BU355,βοηθητικό!$J$2:$N$354,3,FALSE))</f>
        <v>_</v>
      </c>
      <c r="BW355" s="47"/>
      <c r="BX355" s="42" t="s">
        <v>16</v>
      </c>
      <c r="BY355" s="43" t="str">
        <f>IF(VLOOKUP(BX355,βοηθητικό!$J$2:$N$354,3,FALSE)="","",VLOOKUP(BX355,βοηθητικό!$J$2:$N$354,3,FALSE))</f>
        <v>_</v>
      </c>
      <c r="BZ355" s="44"/>
      <c r="CA355" s="45" t="s">
        <v>16</v>
      </c>
      <c r="CB355" s="46" t="str">
        <f>IF(VLOOKUP(CA355,βοηθητικό!$J$2:$N$354,3,FALSE)="","",VLOOKUP(CA355,βοηθητικό!$J$2:$N$354,3,FALSE))</f>
        <v>_</v>
      </c>
      <c r="CC355" s="47"/>
      <c r="CD355" s="42" t="s">
        <v>16</v>
      </c>
      <c r="CE355" s="43" t="str">
        <f>IF(VLOOKUP(CD355,βοηθητικό!$J$2:$N$354,3,FALSE)="","",VLOOKUP(CD355,βοηθητικό!$J$2:$N$354,3,FALSE))</f>
        <v>_</v>
      </c>
      <c r="CF355" s="44"/>
      <c r="CG355" s="45" t="s">
        <v>16</v>
      </c>
      <c r="CH355" s="46" t="str">
        <f>IF(VLOOKUP(CG355,βοηθητικό!$J$2:$N$354,3,FALSE)="","",VLOOKUP(CG355,βοηθητικό!$J$2:$N$354,3,FALSE))</f>
        <v>_</v>
      </c>
      <c r="CI355" s="47"/>
      <c r="CJ355" s="42" t="s">
        <v>16</v>
      </c>
      <c r="CK355" s="43" t="str">
        <f>IF(VLOOKUP(CJ355,βοηθητικό!$J$2:$N$354,3,FALSE)="","",VLOOKUP(CJ355,βοηθητικό!$J$2:$N$354,3,FALSE))</f>
        <v>_</v>
      </c>
      <c r="CL355" s="44"/>
      <c r="CM355" s="45" t="s">
        <v>16</v>
      </c>
      <c r="CN355" s="46" t="str">
        <f>IF(VLOOKUP(CM355,βοηθητικό!$J$2:$N$354,3,FALSE)="","",VLOOKUP(CM355,βοηθητικό!$J$2:$N$354,3,FALSE))</f>
        <v>_</v>
      </c>
      <c r="CO355" s="47"/>
      <c r="CP355" s="42" t="s">
        <v>16</v>
      </c>
      <c r="CQ355" s="43" t="str">
        <f>IF(VLOOKUP(CP355,βοηθητικό!$J$2:$N$354,3,FALSE)="","",VLOOKUP(CP355,βοηθητικό!$J$2:$N$354,3,FALSE))</f>
        <v>_</v>
      </c>
      <c r="CR355" s="44"/>
      <c r="CS355" s="45" t="s">
        <v>16</v>
      </c>
      <c r="CT355" s="46" t="str">
        <f>IF(VLOOKUP(CS355,βοηθητικό!$J$2:$N$354,3,FALSE)="","",VLOOKUP(CS355,βοηθητικό!$J$2:$N$354,3,FALSE))</f>
        <v>_</v>
      </c>
      <c r="CU355" s="47"/>
    </row>
    <row r="356" spans="1:99" x14ac:dyDescent="0.25">
      <c r="A356" s="37">
        <f>--SUBTOTAL(3,$B$3:B355)</f>
        <v>198</v>
      </c>
      <c r="B356" s="2"/>
      <c r="C356" s="3"/>
      <c r="D356" s="55" t="s">
        <v>18</v>
      </c>
      <c r="E356" s="38" t="s">
        <v>16</v>
      </c>
      <c r="F356" s="38" t="s">
        <v>16</v>
      </c>
      <c r="G356" s="39" t="str">
        <f t="shared" si="17"/>
        <v>__</v>
      </c>
      <c r="H356" s="40" t="str">
        <f t="shared" si="18"/>
        <v>FALSE</v>
      </c>
      <c r="I356" s="41">
        <f t="shared" si="19"/>
        <v>0</v>
      </c>
      <c r="J356" s="4" t="s">
        <v>16</v>
      </c>
      <c r="K356" s="43" t="str">
        <f>IF(VLOOKUP(J356,βοηθητικό!$J$2:$N$354,3,FALSE)="","",VLOOKUP(J356,βοηθητικό!$J$2:$N$354,3,FALSE))</f>
        <v>_</v>
      </c>
      <c r="L356" s="44"/>
      <c r="M356" s="5" t="s">
        <v>16</v>
      </c>
      <c r="N356" s="46" t="str">
        <f>IF(VLOOKUP(M356,βοηθητικό!$J$2:$N$354,3,FALSE)="","",VLOOKUP(M356,βοηθητικό!$J$2:$N$354,3,FALSE))</f>
        <v>_</v>
      </c>
      <c r="O356" s="47"/>
      <c r="P356" s="4" t="s">
        <v>16</v>
      </c>
      <c r="Q356" s="43" t="str">
        <f>IF(VLOOKUP(P356,βοηθητικό!$J$2:$N$354,3,FALSE)="","",VLOOKUP(P356,βοηθητικό!$J$2:$N$354,3,FALSE))</f>
        <v>_</v>
      </c>
      <c r="R356" s="44"/>
      <c r="S356" s="5" t="s">
        <v>16</v>
      </c>
      <c r="T356" s="46" t="str">
        <f>IF(VLOOKUP(S356,βοηθητικό!$J$2:$N$354,3,FALSE)="","",VLOOKUP(S356,βοηθητικό!$J$2:$N$354,3,FALSE))</f>
        <v>_</v>
      </c>
      <c r="U356" s="47"/>
      <c r="V356" s="4" t="s">
        <v>16</v>
      </c>
      <c r="W356" s="43" t="str">
        <f>IF(VLOOKUP(V356,βοηθητικό!$J$2:$N$354,3,FALSE)="","",VLOOKUP(V356,βοηθητικό!$J$2:$N$354,3,FALSE))</f>
        <v>_</v>
      </c>
      <c r="X356" s="44"/>
      <c r="Y356" s="5" t="s">
        <v>16</v>
      </c>
      <c r="Z356" s="46" t="str">
        <f>IF(VLOOKUP(Y356,βοηθητικό!$J$2:$N$354,3,FALSE)="","",VLOOKUP(Y356,βοηθητικό!$J$2:$N$354,3,FALSE))</f>
        <v>_</v>
      </c>
      <c r="AA356" s="47"/>
      <c r="AB356" s="4" t="s">
        <v>16</v>
      </c>
      <c r="AC356" s="43" t="str">
        <f>IF(VLOOKUP(AB356,βοηθητικό!$J$2:$N$354,3,FALSE)="","",VLOOKUP(AB356,βοηθητικό!$J$2:$N$354,3,FALSE))</f>
        <v>_</v>
      </c>
      <c r="AD356" s="44"/>
      <c r="AE356" s="5" t="s">
        <v>16</v>
      </c>
      <c r="AF356" s="46" t="str">
        <f>IF(VLOOKUP(AE356,βοηθητικό!$J$2:$N$354,3,FALSE)="","",VLOOKUP(AE356,βοηθητικό!$J$2:$N$354,3,FALSE))</f>
        <v>_</v>
      </c>
      <c r="AG356" s="47"/>
      <c r="AH356" s="4" t="s">
        <v>16</v>
      </c>
      <c r="AI356" s="43" t="str">
        <f>IF(VLOOKUP(AH356,βοηθητικό!$J$2:$N$354,3,FALSE)="","",VLOOKUP(AH356,βοηθητικό!$J$2:$N$354,3,FALSE))</f>
        <v>_</v>
      </c>
      <c r="AJ356" s="44"/>
      <c r="AK356" s="5" t="s">
        <v>16</v>
      </c>
      <c r="AL356" s="46" t="str">
        <f>IF(VLOOKUP(AK356,βοηθητικό!$J$2:$N$354,3,FALSE)="","",VLOOKUP(AK356,βοηθητικό!$J$2:$N$354,3,FALSE))</f>
        <v>_</v>
      </c>
      <c r="AM356" s="47"/>
      <c r="AN356" s="4" t="s">
        <v>16</v>
      </c>
      <c r="AO356" s="43" t="str">
        <f>IF(VLOOKUP(AN356,βοηθητικό!$J$2:$N$354,3,FALSE)="","",VLOOKUP(AN356,βοηθητικό!$J$2:$N$354,3,FALSE))</f>
        <v>_</v>
      </c>
      <c r="AP356" s="44"/>
      <c r="AQ356" s="5" t="s">
        <v>16</v>
      </c>
      <c r="AR356" s="46" t="str">
        <f>IF(VLOOKUP(AQ356,βοηθητικό!$J$2:$N$354,3,FALSE)="","",VLOOKUP(AQ356,βοηθητικό!$J$2:$N$354,3,FALSE))</f>
        <v>_</v>
      </c>
      <c r="AS356" s="47"/>
      <c r="AT356" s="4" t="s">
        <v>16</v>
      </c>
      <c r="AU356" s="43" t="str">
        <f>IF(VLOOKUP(AT356,βοηθητικό!$J$2:$N$354,3,FALSE)="","",VLOOKUP(AT356,βοηθητικό!$J$2:$N$354,3,FALSE))</f>
        <v>_</v>
      </c>
      <c r="AV356" s="44"/>
      <c r="AW356" s="5" t="s">
        <v>16</v>
      </c>
      <c r="AX356" s="46" t="str">
        <f>IF(VLOOKUP(AW356,βοηθητικό!$J$2:$N$354,3,FALSE)="","",VLOOKUP(AW356,βοηθητικό!$J$2:$N$354,3,FALSE))</f>
        <v>_</v>
      </c>
      <c r="AY356" s="47"/>
      <c r="AZ356" s="4" t="s">
        <v>16</v>
      </c>
      <c r="BA356" s="43" t="str">
        <f>IF(VLOOKUP(AZ356,βοηθητικό!$J$2:$N$354,3,FALSE)="","",VLOOKUP(AZ356,βοηθητικό!$J$2:$N$354,3,FALSE))</f>
        <v>_</v>
      </c>
      <c r="BB356" s="44"/>
      <c r="BC356" s="45" t="s">
        <v>16</v>
      </c>
      <c r="BD356" s="46" t="str">
        <f>IF(VLOOKUP(BC356,βοηθητικό!$J$2:$N$354,3,FALSE)="","",VLOOKUP(BC356,βοηθητικό!$J$2:$N$354,3,FALSE))</f>
        <v>_</v>
      </c>
      <c r="BE356" s="47"/>
      <c r="BF356" s="42" t="s">
        <v>16</v>
      </c>
      <c r="BG356" s="43" t="str">
        <f>IF(VLOOKUP(BF356,βοηθητικό!$J$2:$N$354,3,FALSE)="","",VLOOKUP(BF356,βοηθητικό!$J$2:$N$354,3,FALSE))</f>
        <v>_</v>
      </c>
      <c r="BH356" s="44"/>
      <c r="BI356" s="45" t="s">
        <v>16</v>
      </c>
      <c r="BJ356" s="46" t="str">
        <f>IF(VLOOKUP(BI356,βοηθητικό!$J$2:$N$354,3,FALSE)="","",VLOOKUP(BI356,βοηθητικό!$J$2:$N$354,3,FALSE))</f>
        <v>_</v>
      </c>
      <c r="BK356" s="47"/>
      <c r="BL356" s="42" t="s">
        <v>16</v>
      </c>
      <c r="BM356" s="43" t="str">
        <f>IF(VLOOKUP(BL356,βοηθητικό!$J$2:$N$354,3,FALSE)="","",VLOOKUP(BL356,βοηθητικό!$J$2:$N$354,3,FALSE))</f>
        <v>_</v>
      </c>
      <c r="BN356" s="44"/>
      <c r="BO356" s="45" t="s">
        <v>16</v>
      </c>
      <c r="BP356" s="46" t="str">
        <f>IF(VLOOKUP(BO356,βοηθητικό!$J$2:$N$354,3,FALSE)="","",VLOOKUP(BO356,βοηθητικό!$J$2:$N$354,3,FALSE))</f>
        <v>_</v>
      </c>
      <c r="BQ356" s="47"/>
      <c r="BR356" s="42" t="s">
        <v>16</v>
      </c>
      <c r="BS356" s="43" t="str">
        <f>IF(VLOOKUP(BR356,βοηθητικό!$J$2:$N$354,3,FALSE)="","",VLOOKUP(BR356,βοηθητικό!$J$2:$N$354,3,FALSE))</f>
        <v>_</v>
      </c>
      <c r="BT356" s="44"/>
      <c r="BU356" s="45" t="s">
        <v>16</v>
      </c>
      <c r="BV356" s="46" t="str">
        <f>IF(VLOOKUP(BU356,βοηθητικό!$J$2:$N$354,3,FALSE)="","",VLOOKUP(BU356,βοηθητικό!$J$2:$N$354,3,FALSE))</f>
        <v>_</v>
      </c>
      <c r="BW356" s="47"/>
      <c r="BX356" s="42" t="s">
        <v>16</v>
      </c>
      <c r="BY356" s="43" t="str">
        <f>IF(VLOOKUP(BX356,βοηθητικό!$J$2:$N$354,3,FALSE)="","",VLOOKUP(BX356,βοηθητικό!$J$2:$N$354,3,FALSE))</f>
        <v>_</v>
      </c>
      <c r="BZ356" s="44"/>
      <c r="CA356" s="45" t="s">
        <v>16</v>
      </c>
      <c r="CB356" s="46" t="str">
        <f>IF(VLOOKUP(CA356,βοηθητικό!$J$2:$N$354,3,FALSE)="","",VLOOKUP(CA356,βοηθητικό!$J$2:$N$354,3,FALSE))</f>
        <v>_</v>
      </c>
      <c r="CC356" s="47"/>
      <c r="CD356" s="42" t="s">
        <v>16</v>
      </c>
      <c r="CE356" s="43" t="str">
        <f>IF(VLOOKUP(CD356,βοηθητικό!$J$2:$N$354,3,FALSE)="","",VLOOKUP(CD356,βοηθητικό!$J$2:$N$354,3,FALSE))</f>
        <v>_</v>
      </c>
      <c r="CF356" s="44"/>
      <c r="CG356" s="45" t="s">
        <v>16</v>
      </c>
      <c r="CH356" s="46" t="str">
        <f>IF(VLOOKUP(CG356,βοηθητικό!$J$2:$N$354,3,FALSE)="","",VLOOKUP(CG356,βοηθητικό!$J$2:$N$354,3,FALSE))</f>
        <v>_</v>
      </c>
      <c r="CI356" s="47"/>
      <c r="CJ356" s="42" t="s">
        <v>16</v>
      </c>
      <c r="CK356" s="43" t="str">
        <f>IF(VLOOKUP(CJ356,βοηθητικό!$J$2:$N$354,3,FALSE)="","",VLOOKUP(CJ356,βοηθητικό!$J$2:$N$354,3,FALSE))</f>
        <v>_</v>
      </c>
      <c r="CL356" s="44"/>
      <c r="CM356" s="45" t="s">
        <v>16</v>
      </c>
      <c r="CN356" s="46" t="str">
        <f>IF(VLOOKUP(CM356,βοηθητικό!$J$2:$N$354,3,FALSE)="","",VLOOKUP(CM356,βοηθητικό!$J$2:$N$354,3,FALSE))</f>
        <v>_</v>
      </c>
      <c r="CO356" s="47"/>
      <c r="CP356" s="42" t="s">
        <v>16</v>
      </c>
      <c r="CQ356" s="43" t="str">
        <f>IF(VLOOKUP(CP356,βοηθητικό!$J$2:$N$354,3,FALSE)="","",VLOOKUP(CP356,βοηθητικό!$J$2:$N$354,3,FALSE))</f>
        <v>_</v>
      </c>
      <c r="CR356" s="44"/>
      <c r="CS356" s="45" t="s">
        <v>16</v>
      </c>
      <c r="CT356" s="46" t="str">
        <f>IF(VLOOKUP(CS356,βοηθητικό!$J$2:$N$354,3,FALSE)="","",VLOOKUP(CS356,βοηθητικό!$J$2:$N$354,3,FALSE))</f>
        <v>_</v>
      </c>
      <c r="CU356" s="47"/>
    </row>
    <row r="357" spans="1:99" x14ac:dyDescent="0.25">
      <c r="A357" s="37">
        <f>--SUBTOTAL(3,$B$3:B356)</f>
        <v>198</v>
      </c>
      <c r="B357" s="2"/>
      <c r="C357" s="3"/>
      <c r="D357" s="55" t="s">
        <v>18</v>
      </c>
      <c r="E357" s="38" t="s">
        <v>16</v>
      </c>
      <c r="F357" s="38" t="s">
        <v>16</v>
      </c>
      <c r="G357" s="39" t="str">
        <f t="shared" si="17"/>
        <v>__</v>
      </c>
      <c r="H357" s="40" t="str">
        <f t="shared" si="18"/>
        <v>FALSE</v>
      </c>
      <c r="I357" s="41">
        <f t="shared" si="19"/>
        <v>0</v>
      </c>
      <c r="J357" s="4" t="s">
        <v>16</v>
      </c>
      <c r="K357" s="43" t="str">
        <f>IF(VLOOKUP(J357,βοηθητικό!$J$2:$N$354,3,FALSE)="","",VLOOKUP(J357,βοηθητικό!$J$2:$N$354,3,FALSE))</f>
        <v>_</v>
      </c>
      <c r="L357" s="44"/>
      <c r="M357" s="5" t="s">
        <v>16</v>
      </c>
      <c r="N357" s="46" t="str">
        <f>IF(VLOOKUP(M357,βοηθητικό!$J$2:$N$354,3,FALSE)="","",VLOOKUP(M357,βοηθητικό!$J$2:$N$354,3,FALSE))</f>
        <v>_</v>
      </c>
      <c r="O357" s="47"/>
      <c r="P357" s="4" t="s">
        <v>16</v>
      </c>
      <c r="Q357" s="43" t="str">
        <f>IF(VLOOKUP(P357,βοηθητικό!$J$2:$N$354,3,FALSE)="","",VLOOKUP(P357,βοηθητικό!$J$2:$N$354,3,FALSE))</f>
        <v>_</v>
      </c>
      <c r="R357" s="44"/>
      <c r="S357" s="5" t="s">
        <v>16</v>
      </c>
      <c r="T357" s="46" t="str">
        <f>IF(VLOOKUP(S357,βοηθητικό!$J$2:$N$354,3,FALSE)="","",VLOOKUP(S357,βοηθητικό!$J$2:$N$354,3,FALSE))</f>
        <v>_</v>
      </c>
      <c r="U357" s="47"/>
      <c r="V357" s="4" t="s">
        <v>16</v>
      </c>
      <c r="W357" s="43" t="str">
        <f>IF(VLOOKUP(V357,βοηθητικό!$J$2:$N$354,3,FALSE)="","",VLOOKUP(V357,βοηθητικό!$J$2:$N$354,3,FALSE))</f>
        <v>_</v>
      </c>
      <c r="X357" s="44"/>
      <c r="Y357" s="5" t="s">
        <v>16</v>
      </c>
      <c r="Z357" s="46" t="str">
        <f>IF(VLOOKUP(Y357,βοηθητικό!$J$2:$N$354,3,FALSE)="","",VLOOKUP(Y357,βοηθητικό!$J$2:$N$354,3,FALSE))</f>
        <v>_</v>
      </c>
      <c r="AA357" s="47"/>
      <c r="AB357" s="4" t="s">
        <v>16</v>
      </c>
      <c r="AC357" s="43" t="str">
        <f>IF(VLOOKUP(AB357,βοηθητικό!$J$2:$N$354,3,FALSE)="","",VLOOKUP(AB357,βοηθητικό!$J$2:$N$354,3,FALSE))</f>
        <v>_</v>
      </c>
      <c r="AD357" s="44"/>
      <c r="AE357" s="5" t="s">
        <v>16</v>
      </c>
      <c r="AF357" s="46" t="str">
        <f>IF(VLOOKUP(AE357,βοηθητικό!$J$2:$N$354,3,FALSE)="","",VLOOKUP(AE357,βοηθητικό!$J$2:$N$354,3,FALSE))</f>
        <v>_</v>
      </c>
      <c r="AG357" s="47"/>
      <c r="AH357" s="4" t="s">
        <v>16</v>
      </c>
      <c r="AI357" s="43" t="str">
        <f>IF(VLOOKUP(AH357,βοηθητικό!$J$2:$N$354,3,FALSE)="","",VLOOKUP(AH357,βοηθητικό!$J$2:$N$354,3,FALSE))</f>
        <v>_</v>
      </c>
      <c r="AJ357" s="44"/>
      <c r="AK357" s="5" t="s">
        <v>16</v>
      </c>
      <c r="AL357" s="46" t="str">
        <f>IF(VLOOKUP(AK357,βοηθητικό!$J$2:$N$354,3,FALSE)="","",VLOOKUP(AK357,βοηθητικό!$J$2:$N$354,3,FALSE))</f>
        <v>_</v>
      </c>
      <c r="AM357" s="47"/>
      <c r="AN357" s="4" t="s">
        <v>16</v>
      </c>
      <c r="AO357" s="43" t="str">
        <f>IF(VLOOKUP(AN357,βοηθητικό!$J$2:$N$354,3,FALSE)="","",VLOOKUP(AN357,βοηθητικό!$J$2:$N$354,3,FALSE))</f>
        <v>_</v>
      </c>
      <c r="AP357" s="44"/>
      <c r="AQ357" s="5" t="s">
        <v>16</v>
      </c>
      <c r="AR357" s="46" t="str">
        <f>IF(VLOOKUP(AQ357,βοηθητικό!$J$2:$N$354,3,FALSE)="","",VLOOKUP(AQ357,βοηθητικό!$J$2:$N$354,3,FALSE))</f>
        <v>_</v>
      </c>
      <c r="AS357" s="47"/>
      <c r="AT357" s="4" t="s">
        <v>16</v>
      </c>
      <c r="AU357" s="43" t="str">
        <f>IF(VLOOKUP(AT357,βοηθητικό!$J$2:$N$354,3,FALSE)="","",VLOOKUP(AT357,βοηθητικό!$J$2:$N$354,3,FALSE))</f>
        <v>_</v>
      </c>
      <c r="AV357" s="44"/>
      <c r="AW357" s="5" t="s">
        <v>16</v>
      </c>
      <c r="AX357" s="46" t="str">
        <f>IF(VLOOKUP(AW357,βοηθητικό!$J$2:$N$354,3,FALSE)="","",VLOOKUP(AW357,βοηθητικό!$J$2:$N$354,3,FALSE))</f>
        <v>_</v>
      </c>
      <c r="AY357" s="47"/>
      <c r="AZ357" s="4" t="s">
        <v>16</v>
      </c>
      <c r="BA357" s="43" t="str">
        <f>IF(VLOOKUP(AZ357,βοηθητικό!$J$2:$N$354,3,FALSE)="","",VLOOKUP(AZ357,βοηθητικό!$J$2:$N$354,3,FALSE))</f>
        <v>_</v>
      </c>
      <c r="BB357" s="44"/>
      <c r="BC357" s="45" t="s">
        <v>16</v>
      </c>
      <c r="BD357" s="46" t="str">
        <f>IF(VLOOKUP(BC357,βοηθητικό!$J$2:$N$354,3,FALSE)="","",VLOOKUP(BC357,βοηθητικό!$J$2:$N$354,3,FALSE))</f>
        <v>_</v>
      </c>
      <c r="BE357" s="47"/>
      <c r="BF357" s="42" t="s">
        <v>16</v>
      </c>
      <c r="BG357" s="43" t="str">
        <f>IF(VLOOKUP(BF357,βοηθητικό!$J$2:$N$354,3,FALSE)="","",VLOOKUP(BF357,βοηθητικό!$J$2:$N$354,3,FALSE))</f>
        <v>_</v>
      </c>
      <c r="BH357" s="44"/>
      <c r="BI357" s="45" t="s">
        <v>16</v>
      </c>
      <c r="BJ357" s="46" t="str">
        <f>IF(VLOOKUP(BI357,βοηθητικό!$J$2:$N$354,3,FALSE)="","",VLOOKUP(BI357,βοηθητικό!$J$2:$N$354,3,FALSE))</f>
        <v>_</v>
      </c>
      <c r="BK357" s="47"/>
      <c r="BL357" s="42" t="s">
        <v>16</v>
      </c>
      <c r="BM357" s="43" t="str">
        <f>IF(VLOOKUP(BL357,βοηθητικό!$J$2:$N$354,3,FALSE)="","",VLOOKUP(BL357,βοηθητικό!$J$2:$N$354,3,FALSE))</f>
        <v>_</v>
      </c>
      <c r="BN357" s="44"/>
      <c r="BO357" s="45" t="s">
        <v>16</v>
      </c>
      <c r="BP357" s="46" t="str">
        <f>IF(VLOOKUP(BO357,βοηθητικό!$J$2:$N$354,3,FALSE)="","",VLOOKUP(BO357,βοηθητικό!$J$2:$N$354,3,FALSE))</f>
        <v>_</v>
      </c>
      <c r="BQ357" s="47"/>
      <c r="BR357" s="42" t="s">
        <v>16</v>
      </c>
      <c r="BS357" s="43" t="str">
        <f>IF(VLOOKUP(BR357,βοηθητικό!$J$2:$N$354,3,FALSE)="","",VLOOKUP(BR357,βοηθητικό!$J$2:$N$354,3,FALSE))</f>
        <v>_</v>
      </c>
      <c r="BT357" s="44"/>
      <c r="BU357" s="45" t="s">
        <v>16</v>
      </c>
      <c r="BV357" s="46" t="str">
        <f>IF(VLOOKUP(BU357,βοηθητικό!$J$2:$N$354,3,FALSE)="","",VLOOKUP(BU357,βοηθητικό!$J$2:$N$354,3,FALSE))</f>
        <v>_</v>
      </c>
      <c r="BW357" s="47"/>
      <c r="BX357" s="42" t="s">
        <v>16</v>
      </c>
      <c r="BY357" s="43" t="str">
        <f>IF(VLOOKUP(BX357,βοηθητικό!$J$2:$N$354,3,FALSE)="","",VLOOKUP(BX357,βοηθητικό!$J$2:$N$354,3,FALSE))</f>
        <v>_</v>
      </c>
      <c r="BZ357" s="44"/>
      <c r="CA357" s="45" t="s">
        <v>16</v>
      </c>
      <c r="CB357" s="46" t="str">
        <f>IF(VLOOKUP(CA357,βοηθητικό!$J$2:$N$354,3,FALSE)="","",VLOOKUP(CA357,βοηθητικό!$J$2:$N$354,3,FALSE))</f>
        <v>_</v>
      </c>
      <c r="CC357" s="47"/>
      <c r="CD357" s="42" t="s">
        <v>16</v>
      </c>
      <c r="CE357" s="43" t="str">
        <f>IF(VLOOKUP(CD357,βοηθητικό!$J$2:$N$354,3,FALSE)="","",VLOOKUP(CD357,βοηθητικό!$J$2:$N$354,3,FALSE))</f>
        <v>_</v>
      </c>
      <c r="CF357" s="44"/>
      <c r="CG357" s="45" t="s">
        <v>16</v>
      </c>
      <c r="CH357" s="46" t="str">
        <f>IF(VLOOKUP(CG357,βοηθητικό!$J$2:$N$354,3,FALSE)="","",VLOOKUP(CG357,βοηθητικό!$J$2:$N$354,3,FALSE))</f>
        <v>_</v>
      </c>
      <c r="CI357" s="47"/>
      <c r="CJ357" s="42" t="s">
        <v>16</v>
      </c>
      <c r="CK357" s="43" t="str">
        <f>IF(VLOOKUP(CJ357,βοηθητικό!$J$2:$N$354,3,FALSE)="","",VLOOKUP(CJ357,βοηθητικό!$J$2:$N$354,3,FALSE))</f>
        <v>_</v>
      </c>
      <c r="CL357" s="44"/>
      <c r="CM357" s="45" t="s">
        <v>16</v>
      </c>
      <c r="CN357" s="46" t="str">
        <f>IF(VLOOKUP(CM357,βοηθητικό!$J$2:$N$354,3,FALSE)="","",VLOOKUP(CM357,βοηθητικό!$J$2:$N$354,3,FALSE))</f>
        <v>_</v>
      </c>
      <c r="CO357" s="47"/>
      <c r="CP357" s="42" t="s">
        <v>16</v>
      </c>
      <c r="CQ357" s="43" t="str">
        <f>IF(VLOOKUP(CP357,βοηθητικό!$J$2:$N$354,3,FALSE)="","",VLOOKUP(CP357,βοηθητικό!$J$2:$N$354,3,FALSE))</f>
        <v>_</v>
      </c>
      <c r="CR357" s="44"/>
      <c r="CS357" s="45" t="s">
        <v>16</v>
      </c>
      <c r="CT357" s="46" t="str">
        <f>IF(VLOOKUP(CS357,βοηθητικό!$J$2:$N$354,3,FALSE)="","",VLOOKUP(CS357,βοηθητικό!$J$2:$N$354,3,FALSE))</f>
        <v>_</v>
      </c>
      <c r="CU357" s="47"/>
    </row>
    <row r="358" spans="1:99" x14ac:dyDescent="0.25">
      <c r="A358" s="37">
        <f>--SUBTOTAL(3,$B$3:B357)</f>
        <v>198</v>
      </c>
      <c r="B358" s="2"/>
      <c r="C358" s="3"/>
      <c r="D358" s="55" t="s">
        <v>18</v>
      </c>
      <c r="E358" s="38" t="s">
        <v>16</v>
      </c>
      <c r="F358" s="38" t="s">
        <v>16</v>
      </c>
      <c r="G358" s="39" t="str">
        <f t="shared" si="17"/>
        <v>__</v>
      </c>
      <c r="H358" s="40" t="str">
        <f t="shared" si="18"/>
        <v>FALSE</v>
      </c>
      <c r="I358" s="41">
        <f t="shared" si="19"/>
        <v>0</v>
      </c>
      <c r="J358" s="4" t="s">
        <v>16</v>
      </c>
      <c r="K358" s="43" t="str">
        <f>IF(VLOOKUP(J358,βοηθητικό!$J$2:$N$354,3,FALSE)="","",VLOOKUP(J358,βοηθητικό!$J$2:$N$354,3,FALSE))</f>
        <v>_</v>
      </c>
      <c r="L358" s="44"/>
      <c r="M358" s="5" t="s">
        <v>16</v>
      </c>
      <c r="N358" s="46" t="str">
        <f>IF(VLOOKUP(M358,βοηθητικό!$J$2:$N$354,3,FALSE)="","",VLOOKUP(M358,βοηθητικό!$J$2:$N$354,3,FALSE))</f>
        <v>_</v>
      </c>
      <c r="O358" s="47"/>
      <c r="P358" s="4" t="s">
        <v>16</v>
      </c>
      <c r="Q358" s="43" t="str">
        <f>IF(VLOOKUP(P358,βοηθητικό!$J$2:$N$354,3,FALSE)="","",VLOOKUP(P358,βοηθητικό!$J$2:$N$354,3,FALSE))</f>
        <v>_</v>
      </c>
      <c r="R358" s="44"/>
      <c r="S358" s="5" t="s">
        <v>16</v>
      </c>
      <c r="T358" s="46" t="str">
        <f>IF(VLOOKUP(S358,βοηθητικό!$J$2:$N$354,3,FALSE)="","",VLOOKUP(S358,βοηθητικό!$J$2:$N$354,3,FALSE))</f>
        <v>_</v>
      </c>
      <c r="U358" s="47"/>
      <c r="V358" s="4" t="s">
        <v>16</v>
      </c>
      <c r="W358" s="43" t="str">
        <f>IF(VLOOKUP(V358,βοηθητικό!$J$2:$N$354,3,FALSE)="","",VLOOKUP(V358,βοηθητικό!$J$2:$N$354,3,FALSE))</f>
        <v>_</v>
      </c>
      <c r="X358" s="44"/>
      <c r="Y358" s="5" t="s">
        <v>16</v>
      </c>
      <c r="Z358" s="46" t="str">
        <f>IF(VLOOKUP(Y358,βοηθητικό!$J$2:$N$354,3,FALSE)="","",VLOOKUP(Y358,βοηθητικό!$J$2:$N$354,3,FALSE))</f>
        <v>_</v>
      </c>
      <c r="AA358" s="47"/>
      <c r="AB358" s="4" t="s">
        <v>16</v>
      </c>
      <c r="AC358" s="43" t="str">
        <f>IF(VLOOKUP(AB358,βοηθητικό!$J$2:$N$354,3,FALSE)="","",VLOOKUP(AB358,βοηθητικό!$J$2:$N$354,3,FALSE))</f>
        <v>_</v>
      </c>
      <c r="AD358" s="44"/>
      <c r="AE358" s="5" t="s">
        <v>16</v>
      </c>
      <c r="AF358" s="46" t="str">
        <f>IF(VLOOKUP(AE358,βοηθητικό!$J$2:$N$354,3,FALSE)="","",VLOOKUP(AE358,βοηθητικό!$J$2:$N$354,3,FALSE))</f>
        <v>_</v>
      </c>
      <c r="AG358" s="47"/>
      <c r="AH358" s="4" t="s">
        <v>16</v>
      </c>
      <c r="AI358" s="43" t="str">
        <f>IF(VLOOKUP(AH358,βοηθητικό!$J$2:$N$354,3,FALSE)="","",VLOOKUP(AH358,βοηθητικό!$J$2:$N$354,3,FALSE))</f>
        <v>_</v>
      </c>
      <c r="AJ358" s="44"/>
      <c r="AK358" s="5" t="s">
        <v>16</v>
      </c>
      <c r="AL358" s="46" t="str">
        <f>IF(VLOOKUP(AK358,βοηθητικό!$J$2:$N$354,3,FALSE)="","",VLOOKUP(AK358,βοηθητικό!$J$2:$N$354,3,FALSE))</f>
        <v>_</v>
      </c>
      <c r="AM358" s="47"/>
      <c r="AN358" s="4" t="s">
        <v>16</v>
      </c>
      <c r="AO358" s="43" t="str">
        <f>IF(VLOOKUP(AN358,βοηθητικό!$J$2:$N$354,3,FALSE)="","",VLOOKUP(AN358,βοηθητικό!$J$2:$N$354,3,FALSE))</f>
        <v>_</v>
      </c>
      <c r="AP358" s="44"/>
      <c r="AQ358" s="5" t="s">
        <v>16</v>
      </c>
      <c r="AR358" s="46" t="str">
        <f>IF(VLOOKUP(AQ358,βοηθητικό!$J$2:$N$354,3,FALSE)="","",VLOOKUP(AQ358,βοηθητικό!$J$2:$N$354,3,FALSE))</f>
        <v>_</v>
      </c>
      <c r="AS358" s="47"/>
      <c r="AT358" s="4" t="s">
        <v>16</v>
      </c>
      <c r="AU358" s="43" t="str">
        <f>IF(VLOOKUP(AT358,βοηθητικό!$J$2:$N$354,3,FALSE)="","",VLOOKUP(AT358,βοηθητικό!$J$2:$N$354,3,FALSE))</f>
        <v>_</v>
      </c>
      <c r="AV358" s="44"/>
      <c r="AW358" s="5" t="s">
        <v>16</v>
      </c>
      <c r="AX358" s="46" t="str">
        <f>IF(VLOOKUP(AW358,βοηθητικό!$J$2:$N$354,3,FALSE)="","",VLOOKUP(AW358,βοηθητικό!$J$2:$N$354,3,FALSE))</f>
        <v>_</v>
      </c>
      <c r="AY358" s="47"/>
      <c r="AZ358" s="4" t="s">
        <v>16</v>
      </c>
      <c r="BA358" s="43" t="str">
        <f>IF(VLOOKUP(AZ358,βοηθητικό!$J$2:$N$354,3,FALSE)="","",VLOOKUP(AZ358,βοηθητικό!$J$2:$N$354,3,FALSE))</f>
        <v>_</v>
      </c>
      <c r="BB358" s="44"/>
      <c r="BC358" s="45" t="s">
        <v>16</v>
      </c>
      <c r="BD358" s="46" t="str">
        <f>IF(VLOOKUP(BC358,βοηθητικό!$J$2:$N$354,3,FALSE)="","",VLOOKUP(BC358,βοηθητικό!$J$2:$N$354,3,FALSE))</f>
        <v>_</v>
      </c>
      <c r="BE358" s="47"/>
      <c r="BF358" s="42" t="s">
        <v>16</v>
      </c>
      <c r="BG358" s="43" t="str">
        <f>IF(VLOOKUP(BF358,βοηθητικό!$J$2:$N$354,3,FALSE)="","",VLOOKUP(BF358,βοηθητικό!$J$2:$N$354,3,FALSE))</f>
        <v>_</v>
      </c>
      <c r="BH358" s="44"/>
      <c r="BI358" s="45" t="s">
        <v>16</v>
      </c>
      <c r="BJ358" s="46" t="str">
        <f>IF(VLOOKUP(BI358,βοηθητικό!$J$2:$N$354,3,FALSE)="","",VLOOKUP(BI358,βοηθητικό!$J$2:$N$354,3,FALSE))</f>
        <v>_</v>
      </c>
      <c r="BK358" s="47"/>
      <c r="BL358" s="42" t="s">
        <v>16</v>
      </c>
      <c r="BM358" s="43" t="str">
        <f>IF(VLOOKUP(BL358,βοηθητικό!$J$2:$N$354,3,FALSE)="","",VLOOKUP(BL358,βοηθητικό!$J$2:$N$354,3,FALSE))</f>
        <v>_</v>
      </c>
      <c r="BN358" s="44"/>
      <c r="BO358" s="45" t="s">
        <v>16</v>
      </c>
      <c r="BP358" s="46" t="str">
        <f>IF(VLOOKUP(BO358,βοηθητικό!$J$2:$N$354,3,FALSE)="","",VLOOKUP(BO358,βοηθητικό!$J$2:$N$354,3,FALSE))</f>
        <v>_</v>
      </c>
      <c r="BQ358" s="47"/>
      <c r="BR358" s="42" t="s">
        <v>16</v>
      </c>
      <c r="BS358" s="43" t="str">
        <f>IF(VLOOKUP(BR358,βοηθητικό!$J$2:$N$354,3,FALSE)="","",VLOOKUP(BR358,βοηθητικό!$J$2:$N$354,3,FALSE))</f>
        <v>_</v>
      </c>
      <c r="BT358" s="44"/>
      <c r="BU358" s="45" t="s">
        <v>16</v>
      </c>
      <c r="BV358" s="46" t="str">
        <f>IF(VLOOKUP(BU358,βοηθητικό!$J$2:$N$354,3,FALSE)="","",VLOOKUP(BU358,βοηθητικό!$J$2:$N$354,3,FALSE))</f>
        <v>_</v>
      </c>
      <c r="BW358" s="47"/>
      <c r="BX358" s="42" t="s">
        <v>16</v>
      </c>
      <c r="BY358" s="43" t="str">
        <f>IF(VLOOKUP(BX358,βοηθητικό!$J$2:$N$354,3,FALSE)="","",VLOOKUP(BX358,βοηθητικό!$J$2:$N$354,3,FALSE))</f>
        <v>_</v>
      </c>
      <c r="BZ358" s="44"/>
      <c r="CA358" s="45" t="s">
        <v>16</v>
      </c>
      <c r="CB358" s="46" t="str">
        <f>IF(VLOOKUP(CA358,βοηθητικό!$J$2:$N$354,3,FALSE)="","",VLOOKUP(CA358,βοηθητικό!$J$2:$N$354,3,FALSE))</f>
        <v>_</v>
      </c>
      <c r="CC358" s="47"/>
      <c r="CD358" s="42" t="s">
        <v>16</v>
      </c>
      <c r="CE358" s="43" t="str">
        <f>IF(VLOOKUP(CD358,βοηθητικό!$J$2:$N$354,3,FALSE)="","",VLOOKUP(CD358,βοηθητικό!$J$2:$N$354,3,FALSE))</f>
        <v>_</v>
      </c>
      <c r="CF358" s="44"/>
      <c r="CG358" s="45" t="s">
        <v>16</v>
      </c>
      <c r="CH358" s="46" t="str">
        <f>IF(VLOOKUP(CG358,βοηθητικό!$J$2:$N$354,3,FALSE)="","",VLOOKUP(CG358,βοηθητικό!$J$2:$N$354,3,FALSE))</f>
        <v>_</v>
      </c>
      <c r="CI358" s="47"/>
      <c r="CJ358" s="42" t="s">
        <v>16</v>
      </c>
      <c r="CK358" s="43" t="str">
        <f>IF(VLOOKUP(CJ358,βοηθητικό!$J$2:$N$354,3,FALSE)="","",VLOOKUP(CJ358,βοηθητικό!$J$2:$N$354,3,FALSE))</f>
        <v>_</v>
      </c>
      <c r="CL358" s="44"/>
      <c r="CM358" s="45" t="s">
        <v>16</v>
      </c>
      <c r="CN358" s="46" t="str">
        <f>IF(VLOOKUP(CM358,βοηθητικό!$J$2:$N$354,3,FALSE)="","",VLOOKUP(CM358,βοηθητικό!$J$2:$N$354,3,FALSE))</f>
        <v>_</v>
      </c>
      <c r="CO358" s="47"/>
      <c r="CP358" s="42" t="s">
        <v>16</v>
      </c>
      <c r="CQ358" s="43" t="str">
        <f>IF(VLOOKUP(CP358,βοηθητικό!$J$2:$N$354,3,FALSE)="","",VLOOKUP(CP358,βοηθητικό!$J$2:$N$354,3,FALSE))</f>
        <v>_</v>
      </c>
      <c r="CR358" s="44"/>
      <c r="CS358" s="45" t="s">
        <v>16</v>
      </c>
      <c r="CT358" s="46" t="str">
        <f>IF(VLOOKUP(CS358,βοηθητικό!$J$2:$N$354,3,FALSE)="","",VLOOKUP(CS358,βοηθητικό!$J$2:$N$354,3,FALSE))</f>
        <v>_</v>
      </c>
      <c r="CU358" s="47"/>
    </row>
    <row r="359" spans="1:99" x14ac:dyDescent="0.25">
      <c r="A359" s="37">
        <f>--SUBTOTAL(3,$B$3:B358)</f>
        <v>198</v>
      </c>
      <c r="B359" s="2"/>
      <c r="C359" s="3"/>
      <c r="D359" s="55" t="s">
        <v>18</v>
      </c>
      <c r="E359" s="38" t="s">
        <v>16</v>
      </c>
      <c r="F359" s="38" t="s">
        <v>16</v>
      </c>
      <c r="G359" s="39" t="str">
        <f t="shared" si="17"/>
        <v>__</v>
      </c>
      <c r="H359" s="40" t="str">
        <f t="shared" si="18"/>
        <v>FALSE</v>
      </c>
      <c r="I359" s="41">
        <f t="shared" si="19"/>
        <v>0</v>
      </c>
      <c r="J359" s="4" t="s">
        <v>16</v>
      </c>
      <c r="K359" s="43" t="str">
        <f>IF(VLOOKUP(J359,βοηθητικό!$J$2:$N$354,3,FALSE)="","",VLOOKUP(J359,βοηθητικό!$J$2:$N$354,3,FALSE))</f>
        <v>_</v>
      </c>
      <c r="L359" s="44"/>
      <c r="M359" s="5" t="s">
        <v>16</v>
      </c>
      <c r="N359" s="46" t="str">
        <f>IF(VLOOKUP(M359,βοηθητικό!$J$2:$N$354,3,FALSE)="","",VLOOKUP(M359,βοηθητικό!$J$2:$N$354,3,FALSE))</f>
        <v>_</v>
      </c>
      <c r="O359" s="47"/>
      <c r="P359" s="4" t="s">
        <v>16</v>
      </c>
      <c r="Q359" s="43" t="str">
        <f>IF(VLOOKUP(P359,βοηθητικό!$J$2:$N$354,3,FALSE)="","",VLOOKUP(P359,βοηθητικό!$J$2:$N$354,3,FALSE))</f>
        <v>_</v>
      </c>
      <c r="R359" s="44"/>
      <c r="S359" s="5" t="s">
        <v>16</v>
      </c>
      <c r="T359" s="46" t="str">
        <f>IF(VLOOKUP(S359,βοηθητικό!$J$2:$N$354,3,FALSE)="","",VLOOKUP(S359,βοηθητικό!$J$2:$N$354,3,FALSE))</f>
        <v>_</v>
      </c>
      <c r="U359" s="47"/>
      <c r="V359" s="4" t="s">
        <v>16</v>
      </c>
      <c r="W359" s="43" t="str">
        <f>IF(VLOOKUP(V359,βοηθητικό!$J$2:$N$354,3,FALSE)="","",VLOOKUP(V359,βοηθητικό!$J$2:$N$354,3,FALSE))</f>
        <v>_</v>
      </c>
      <c r="X359" s="44"/>
      <c r="Y359" s="5" t="s">
        <v>16</v>
      </c>
      <c r="Z359" s="46" t="str">
        <f>IF(VLOOKUP(Y359,βοηθητικό!$J$2:$N$354,3,FALSE)="","",VLOOKUP(Y359,βοηθητικό!$J$2:$N$354,3,FALSE))</f>
        <v>_</v>
      </c>
      <c r="AA359" s="47"/>
      <c r="AB359" s="4" t="s">
        <v>16</v>
      </c>
      <c r="AC359" s="43" t="str">
        <f>IF(VLOOKUP(AB359,βοηθητικό!$J$2:$N$354,3,FALSE)="","",VLOOKUP(AB359,βοηθητικό!$J$2:$N$354,3,FALSE))</f>
        <v>_</v>
      </c>
      <c r="AD359" s="44"/>
      <c r="AE359" s="5" t="s">
        <v>16</v>
      </c>
      <c r="AF359" s="46" t="str">
        <f>IF(VLOOKUP(AE359,βοηθητικό!$J$2:$N$354,3,FALSE)="","",VLOOKUP(AE359,βοηθητικό!$J$2:$N$354,3,FALSE))</f>
        <v>_</v>
      </c>
      <c r="AG359" s="47"/>
      <c r="AH359" s="4" t="s">
        <v>16</v>
      </c>
      <c r="AI359" s="43" t="str">
        <f>IF(VLOOKUP(AH359,βοηθητικό!$J$2:$N$354,3,FALSE)="","",VLOOKUP(AH359,βοηθητικό!$J$2:$N$354,3,FALSE))</f>
        <v>_</v>
      </c>
      <c r="AJ359" s="44"/>
      <c r="AK359" s="5" t="s">
        <v>16</v>
      </c>
      <c r="AL359" s="46" t="str">
        <f>IF(VLOOKUP(AK359,βοηθητικό!$J$2:$N$354,3,FALSE)="","",VLOOKUP(AK359,βοηθητικό!$J$2:$N$354,3,FALSE))</f>
        <v>_</v>
      </c>
      <c r="AM359" s="47"/>
      <c r="AN359" s="4" t="s">
        <v>16</v>
      </c>
      <c r="AO359" s="43" t="str">
        <f>IF(VLOOKUP(AN359,βοηθητικό!$J$2:$N$354,3,FALSE)="","",VLOOKUP(AN359,βοηθητικό!$J$2:$N$354,3,FALSE))</f>
        <v>_</v>
      </c>
      <c r="AP359" s="44"/>
      <c r="AQ359" s="5" t="s">
        <v>16</v>
      </c>
      <c r="AR359" s="46" t="str">
        <f>IF(VLOOKUP(AQ359,βοηθητικό!$J$2:$N$354,3,FALSE)="","",VLOOKUP(AQ359,βοηθητικό!$J$2:$N$354,3,FALSE))</f>
        <v>_</v>
      </c>
      <c r="AS359" s="47"/>
      <c r="AT359" s="4" t="s">
        <v>16</v>
      </c>
      <c r="AU359" s="43" t="str">
        <f>IF(VLOOKUP(AT359,βοηθητικό!$J$2:$N$354,3,FALSE)="","",VLOOKUP(AT359,βοηθητικό!$J$2:$N$354,3,FALSE))</f>
        <v>_</v>
      </c>
      <c r="AV359" s="44"/>
      <c r="AW359" s="5" t="s">
        <v>16</v>
      </c>
      <c r="AX359" s="46" t="str">
        <f>IF(VLOOKUP(AW359,βοηθητικό!$J$2:$N$354,3,FALSE)="","",VLOOKUP(AW359,βοηθητικό!$J$2:$N$354,3,FALSE))</f>
        <v>_</v>
      </c>
      <c r="AY359" s="47"/>
      <c r="AZ359" s="4" t="s">
        <v>16</v>
      </c>
      <c r="BA359" s="43" t="str">
        <f>IF(VLOOKUP(AZ359,βοηθητικό!$J$2:$N$354,3,FALSE)="","",VLOOKUP(AZ359,βοηθητικό!$J$2:$N$354,3,FALSE))</f>
        <v>_</v>
      </c>
      <c r="BB359" s="44"/>
      <c r="BC359" s="45" t="s">
        <v>16</v>
      </c>
      <c r="BD359" s="46" t="str">
        <f>IF(VLOOKUP(BC359,βοηθητικό!$J$2:$N$354,3,FALSE)="","",VLOOKUP(BC359,βοηθητικό!$J$2:$N$354,3,FALSE))</f>
        <v>_</v>
      </c>
      <c r="BE359" s="47"/>
      <c r="BF359" s="42" t="s">
        <v>16</v>
      </c>
      <c r="BG359" s="43" t="str">
        <f>IF(VLOOKUP(BF359,βοηθητικό!$J$2:$N$354,3,FALSE)="","",VLOOKUP(BF359,βοηθητικό!$J$2:$N$354,3,FALSE))</f>
        <v>_</v>
      </c>
      <c r="BH359" s="44"/>
      <c r="BI359" s="45" t="s">
        <v>16</v>
      </c>
      <c r="BJ359" s="46" t="str">
        <f>IF(VLOOKUP(BI359,βοηθητικό!$J$2:$N$354,3,FALSE)="","",VLOOKUP(BI359,βοηθητικό!$J$2:$N$354,3,FALSE))</f>
        <v>_</v>
      </c>
      <c r="BK359" s="47"/>
      <c r="BL359" s="42" t="s">
        <v>16</v>
      </c>
      <c r="BM359" s="43" t="str">
        <f>IF(VLOOKUP(BL359,βοηθητικό!$J$2:$N$354,3,FALSE)="","",VLOOKUP(BL359,βοηθητικό!$J$2:$N$354,3,FALSE))</f>
        <v>_</v>
      </c>
      <c r="BN359" s="44"/>
      <c r="BO359" s="45" t="s">
        <v>16</v>
      </c>
      <c r="BP359" s="46" t="str">
        <f>IF(VLOOKUP(BO359,βοηθητικό!$J$2:$N$354,3,FALSE)="","",VLOOKUP(BO359,βοηθητικό!$J$2:$N$354,3,FALSE))</f>
        <v>_</v>
      </c>
      <c r="BQ359" s="47"/>
      <c r="BR359" s="42" t="s">
        <v>16</v>
      </c>
      <c r="BS359" s="43" t="str">
        <f>IF(VLOOKUP(BR359,βοηθητικό!$J$2:$N$354,3,FALSE)="","",VLOOKUP(BR359,βοηθητικό!$J$2:$N$354,3,FALSE))</f>
        <v>_</v>
      </c>
      <c r="BT359" s="44"/>
      <c r="BU359" s="45" t="s">
        <v>16</v>
      </c>
      <c r="BV359" s="46" t="str">
        <f>IF(VLOOKUP(BU359,βοηθητικό!$J$2:$N$354,3,FALSE)="","",VLOOKUP(BU359,βοηθητικό!$J$2:$N$354,3,FALSE))</f>
        <v>_</v>
      </c>
      <c r="BW359" s="47"/>
      <c r="BX359" s="42" t="s">
        <v>16</v>
      </c>
      <c r="BY359" s="43" t="str">
        <f>IF(VLOOKUP(BX359,βοηθητικό!$J$2:$N$354,3,FALSE)="","",VLOOKUP(BX359,βοηθητικό!$J$2:$N$354,3,FALSE))</f>
        <v>_</v>
      </c>
      <c r="BZ359" s="44"/>
      <c r="CA359" s="45" t="s">
        <v>16</v>
      </c>
      <c r="CB359" s="46" t="str">
        <f>IF(VLOOKUP(CA359,βοηθητικό!$J$2:$N$354,3,FALSE)="","",VLOOKUP(CA359,βοηθητικό!$J$2:$N$354,3,FALSE))</f>
        <v>_</v>
      </c>
      <c r="CC359" s="47"/>
      <c r="CD359" s="42" t="s">
        <v>16</v>
      </c>
      <c r="CE359" s="43" t="str">
        <f>IF(VLOOKUP(CD359,βοηθητικό!$J$2:$N$354,3,FALSE)="","",VLOOKUP(CD359,βοηθητικό!$J$2:$N$354,3,FALSE))</f>
        <v>_</v>
      </c>
      <c r="CF359" s="44"/>
      <c r="CG359" s="45" t="s">
        <v>16</v>
      </c>
      <c r="CH359" s="46" t="str">
        <f>IF(VLOOKUP(CG359,βοηθητικό!$J$2:$N$354,3,FALSE)="","",VLOOKUP(CG359,βοηθητικό!$J$2:$N$354,3,FALSE))</f>
        <v>_</v>
      </c>
      <c r="CI359" s="47"/>
      <c r="CJ359" s="42" t="s">
        <v>16</v>
      </c>
      <c r="CK359" s="43" t="str">
        <f>IF(VLOOKUP(CJ359,βοηθητικό!$J$2:$N$354,3,FALSE)="","",VLOOKUP(CJ359,βοηθητικό!$J$2:$N$354,3,FALSE))</f>
        <v>_</v>
      </c>
      <c r="CL359" s="44"/>
      <c r="CM359" s="45" t="s">
        <v>16</v>
      </c>
      <c r="CN359" s="46" t="str">
        <f>IF(VLOOKUP(CM359,βοηθητικό!$J$2:$N$354,3,FALSE)="","",VLOOKUP(CM359,βοηθητικό!$J$2:$N$354,3,FALSE))</f>
        <v>_</v>
      </c>
      <c r="CO359" s="47"/>
      <c r="CP359" s="42" t="s">
        <v>16</v>
      </c>
      <c r="CQ359" s="43" t="str">
        <f>IF(VLOOKUP(CP359,βοηθητικό!$J$2:$N$354,3,FALSE)="","",VLOOKUP(CP359,βοηθητικό!$J$2:$N$354,3,FALSE))</f>
        <v>_</v>
      </c>
      <c r="CR359" s="44"/>
      <c r="CS359" s="45" t="s">
        <v>16</v>
      </c>
      <c r="CT359" s="46" t="str">
        <f>IF(VLOOKUP(CS359,βοηθητικό!$J$2:$N$354,3,FALSE)="","",VLOOKUP(CS359,βοηθητικό!$J$2:$N$354,3,FALSE))</f>
        <v>_</v>
      </c>
      <c r="CU359" s="47"/>
    </row>
    <row r="360" spans="1:99" x14ac:dyDescent="0.25">
      <c r="A360" s="37">
        <f>--SUBTOTAL(3,$B$3:B359)</f>
        <v>198</v>
      </c>
      <c r="B360" s="2"/>
      <c r="C360" s="3"/>
      <c r="D360" s="55" t="s">
        <v>18</v>
      </c>
      <c r="E360" s="38" t="s">
        <v>16</v>
      </c>
      <c r="F360" s="38" t="s">
        <v>16</v>
      </c>
      <c r="G360" s="39" t="str">
        <f t="shared" si="17"/>
        <v>__</v>
      </c>
      <c r="H360" s="40" t="str">
        <f t="shared" si="18"/>
        <v>FALSE</v>
      </c>
      <c r="I360" s="41">
        <f t="shared" si="19"/>
        <v>0</v>
      </c>
      <c r="J360" s="4" t="s">
        <v>16</v>
      </c>
      <c r="K360" s="43" t="str">
        <f>IF(VLOOKUP(J360,βοηθητικό!$J$2:$N$354,3,FALSE)="","",VLOOKUP(J360,βοηθητικό!$J$2:$N$354,3,FALSE))</f>
        <v>_</v>
      </c>
      <c r="L360" s="44"/>
      <c r="M360" s="5" t="s">
        <v>16</v>
      </c>
      <c r="N360" s="46" t="str">
        <f>IF(VLOOKUP(M360,βοηθητικό!$J$2:$N$354,3,FALSE)="","",VLOOKUP(M360,βοηθητικό!$J$2:$N$354,3,FALSE))</f>
        <v>_</v>
      </c>
      <c r="O360" s="47"/>
      <c r="P360" s="4" t="s">
        <v>16</v>
      </c>
      <c r="Q360" s="43" t="str">
        <f>IF(VLOOKUP(P360,βοηθητικό!$J$2:$N$354,3,FALSE)="","",VLOOKUP(P360,βοηθητικό!$J$2:$N$354,3,FALSE))</f>
        <v>_</v>
      </c>
      <c r="R360" s="44"/>
      <c r="S360" s="5" t="s">
        <v>16</v>
      </c>
      <c r="T360" s="46" t="str">
        <f>IF(VLOOKUP(S360,βοηθητικό!$J$2:$N$354,3,FALSE)="","",VLOOKUP(S360,βοηθητικό!$J$2:$N$354,3,FALSE))</f>
        <v>_</v>
      </c>
      <c r="U360" s="47"/>
      <c r="V360" s="4" t="s">
        <v>16</v>
      </c>
      <c r="W360" s="43" t="str">
        <f>IF(VLOOKUP(V360,βοηθητικό!$J$2:$N$354,3,FALSE)="","",VLOOKUP(V360,βοηθητικό!$J$2:$N$354,3,FALSE))</f>
        <v>_</v>
      </c>
      <c r="X360" s="44"/>
      <c r="Y360" s="5" t="s">
        <v>16</v>
      </c>
      <c r="Z360" s="46" t="str">
        <f>IF(VLOOKUP(Y360,βοηθητικό!$J$2:$N$354,3,FALSE)="","",VLOOKUP(Y360,βοηθητικό!$J$2:$N$354,3,FALSE))</f>
        <v>_</v>
      </c>
      <c r="AA360" s="47"/>
      <c r="AB360" s="4" t="s">
        <v>16</v>
      </c>
      <c r="AC360" s="43" t="str">
        <f>IF(VLOOKUP(AB360,βοηθητικό!$J$2:$N$354,3,FALSE)="","",VLOOKUP(AB360,βοηθητικό!$J$2:$N$354,3,FALSE))</f>
        <v>_</v>
      </c>
      <c r="AD360" s="44"/>
      <c r="AE360" s="5" t="s">
        <v>16</v>
      </c>
      <c r="AF360" s="46" t="str">
        <f>IF(VLOOKUP(AE360,βοηθητικό!$J$2:$N$354,3,FALSE)="","",VLOOKUP(AE360,βοηθητικό!$J$2:$N$354,3,FALSE))</f>
        <v>_</v>
      </c>
      <c r="AG360" s="47"/>
      <c r="AH360" s="4" t="s">
        <v>16</v>
      </c>
      <c r="AI360" s="43" t="str">
        <f>IF(VLOOKUP(AH360,βοηθητικό!$J$2:$N$354,3,FALSE)="","",VLOOKUP(AH360,βοηθητικό!$J$2:$N$354,3,FALSE))</f>
        <v>_</v>
      </c>
      <c r="AJ360" s="44"/>
      <c r="AK360" s="5" t="s">
        <v>16</v>
      </c>
      <c r="AL360" s="46" t="str">
        <f>IF(VLOOKUP(AK360,βοηθητικό!$J$2:$N$354,3,FALSE)="","",VLOOKUP(AK360,βοηθητικό!$J$2:$N$354,3,FALSE))</f>
        <v>_</v>
      </c>
      <c r="AM360" s="47"/>
      <c r="AN360" s="4" t="s">
        <v>16</v>
      </c>
      <c r="AO360" s="43" t="str">
        <f>IF(VLOOKUP(AN360,βοηθητικό!$J$2:$N$354,3,FALSE)="","",VLOOKUP(AN360,βοηθητικό!$J$2:$N$354,3,FALSE))</f>
        <v>_</v>
      </c>
      <c r="AP360" s="44"/>
      <c r="AQ360" s="5" t="s">
        <v>16</v>
      </c>
      <c r="AR360" s="46" t="str">
        <f>IF(VLOOKUP(AQ360,βοηθητικό!$J$2:$N$354,3,FALSE)="","",VLOOKUP(AQ360,βοηθητικό!$J$2:$N$354,3,FALSE))</f>
        <v>_</v>
      </c>
      <c r="AS360" s="47"/>
      <c r="AT360" s="4" t="s">
        <v>16</v>
      </c>
      <c r="AU360" s="43" t="str">
        <f>IF(VLOOKUP(AT360,βοηθητικό!$J$2:$N$354,3,FALSE)="","",VLOOKUP(AT360,βοηθητικό!$J$2:$N$354,3,FALSE))</f>
        <v>_</v>
      </c>
      <c r="AV360" s="44"/>
      <c r="AW360" s="5" t="s">
        <v>16</v>
      </c>
      <c r="AX360" s="46" t="str">
        <f>IF(VLOOKUP(AW360,βοηθητικό!$J$2:$N$354,3,FALSE)="","",VLOOKUP(AW360,βοηθητικό!$J$2:$N$354,3,FALSE))</f>
        <v>_</v>
      </c>
      <c r="AY360" s="47"/>
      <c r="AZ360" s="4" t="s">
        <v>16</v>
      </c>
      <c r="BA360" s="43" t="str">
        <f>IF(VLOOKUP(AZ360,βοηθητικό!$J$2:$N$354,3,FALSE)="","",VLOOKUP(AZ360,βοηθητικό!$J$2:$N$354,3,FALSE))</f>
        <v>_</v>
      </c>
      <c r="BB360" s="44"/>
      <c r="BC360" s="45" t="s">
        <v>16</v>
      </c>
      <c r="BD360" s="46" t="str">
        <f>IF(VLOOKUP(BC360,βοηθητικό!$J$2:$N$354,3,FALSE)="","",VLOOKUP(BC360,βοηθητικό!$J$2:$N$354,3,FALSE))</f>
        <v>_</v>
      </c>
      <c r="BE360" s="47"/>
      <c r="BF360" s="42" t="s">
        <v>16</v>
      </c>
      <c r="BG360" s="43" t="str">
        <f>IF(VLOOKUP(BF360,βοηθητικό!$J$2:$N$354,3,FALSE)="","",VLOOKUP(BF360,βοηθητικό!$J$2:$N$354,3,FALSE))</f>
        <v>_</v>
      </c>
      <c r="BH360" s="44"/>
      <c r="BI360" s="45" t="s">
        <v>16</v>
      </c>
      <c r="BJ360" s="46" t="str">
        <f>IF(VLOOKUP(BI360,βοηθητικό!$J$2:$N$354,3,FALSE)="","",VLOOKUP(BI360,βοηθητικό!$J$2:$N$354,3,FALSE))</f>
        <v>_</v>
      </c>
      <c r="BK360" s="47"/>
      <c r="BL360" s="42" t="s">
        <v>16</v>
      </c>
      <c r="BM360" s="43" t="str">
        <f>IF(VLOOKUP(BL360,βοηθητικό!$J$2:$N$354,3,FALSE)="","",VLOOKUP(BL360,βοηθητικό!$J$2:$N$354,3,FALSE))</f>
        <v>_</v>
      </c>
      <c r="BN360" s="44"/>
      <c r="BO360" s="45" t="s">
        <v>16</v>
      </c>
      <c r="BP360" s="46" t="str">
        <f>IF(VLOOKUP(BO360,βοηθητικό!$J$2:$N$354,3,FALSE)="","",VLOOKUP(BO360,βοηθητικό!$J$2:$N$354,3,FALSE))</f>
        <v>_</v>
      </c>
      <c r="BQ360" s="47"/>
      <c r="BR360" s="42" t="s">
        <v>16</v>
      </c>
      <c r="BS360" s="43" t="str">
        <f>IF(VLOOKUP(BR360,βοηθητικό!$J$2:$N$354,3,FALSE)="","",VLOOKUP(BR360,βοηθητικό!$J$2:$N$354,3,FALSE))</f>
        <v>_</v>
      </c>
      <c r="BT360" s="44"/>
      <c r="BU360" s="45" t="s">
        <v>16</v>
      </c>
      <c r="BV360" s="46" t="str">
        <f>IF(VLOOKUP(BU360,βοηθητικό!$J$2:$N$354,3,FALSE)="","",VLOOKUP(BU360,βοηθητικό!$J$2:$N$354,3,FALSE))</f>
        <v>_</v>
      </c>
      <c r="BW360" s="47"/>
      <c r="BX360" s="42" t="s">
        <v>16</v>
      </c>
      <c r="BY360" s="43" t="str">
        <f>IF(VLOOKUP(BX360,βοηθητικό!$J$2:$N$354,3,FALSE)="","",VLOOKUP(BX360,βοηθητικό!$J$2:$N$354,3,FALSE))</f>
        <v>_</v>
      </c>
      <c r="BZ360" s="44"/>
      <c r="CA360" s="45" t="s">
        <v>16</v>
      </c>
      <c r="CB360" s="46" t="str">
        <f>IF(VLOOKUP(CA360,βοηθητικό!$J$2:$N$354,3,FALSE)="","",VLOOKUP(CA360,βοηθητικό!$J$2:$N$354,3,FALSE))</f>
        <v>_</v>
      </c>
      <c r="CC360" s="47"/>
      <c r="CD360" s="42" t="s">
        <v>16</v>
      </c>
      <c r="CE360" s="43" t="str">
        <f>IF(VLOOKUP(CD360,βοηθητικό!$J$2:$N$354,3,FALSE)="","",VLOOKUP(CD360,βοηθητικό!$J$2:$N$354,3,FALSE))</f>
        <v>_</v>
      </c>
      <c r="CF360" s="44"/>
      <c r="CG360" s="45" t="s">
        <v>16</v>
      </c>
      <c r="CH360" s="46" t="str">
        <f>IF(VLOOKUP(CG360,βοηθητικό!$J$2:$N$354,3,FALSE)="","",VLOOKUP(CG360,βοηθητικό!$J$2:$N$354,3,FALSE))</f>
        <v>_</v>
      </c>
      <c r="CI360" s="47"/>
      <c r="CJ360" s="42" t="s">
        <v>16</v>
      </c>
      <c r="CK360" s="43" t="str">
        <f>IF(VLOOKUP(CJ360,βοηθητικό!$J$2:$N$354,3,FALSE)="","",VLOOKUP(CJ360,βοηθητικό!$J$2:$N$354,3,FALSE))</f>
        <v>_</v>
      </c>
      <c r="CL360" s="44"/>
      <c r="CM360" s="45" t="s">
        <v>16</v>
      </c>
      <c r="CN360" s="46" t="str">
        <f>IF(VLOOKUP(CM360,βοηθητικό!$J$2:$N$354,3,FALSE)="","",VLOOKUP(CM360,βοηθητικό!$J$2:$N$354,3,FALSE))</f>
        <v>_</v>
      </c>
      <c r="CO360" s="47"/>
      <c r="CP360" s="42" t="s">
        <v>16</v>
      </c>
      <c r="CQ360" s="43" t="str">
        <f>IF(VLOOKUP(CP360,βοηθητικό!$J$2:$N$354,3,FALSE)="","",VLOOKUP(CP360,βοηθητικό!$J$2:$N$354,3,FALSE))</f>
        <v>_</v>
      </c>
      <c r="CR360" s="44"/>
      <c r="CS360" s="45" t="s">
        <v>16</v>
      </c>
      <c r="CT360" s="46" t="str">
        <f>IF(VLOOKUP(CS360,βοηθητικό!$J$2:$N$354,3,FALSE)="","",VLOOKUP(CS360,βοηθητικό!$J$2:$N$354,3,FALSE))</f>
        <v>_</v>
      </c>
      <c r="CU360" s="47"/>
    </row>
    <row r="361" spans="1:99" x14ac:dyDescent="0.25">
      <c r="A361" s="37">
        <f>--SUBTOTAL(3,$B$3:B360)</f>
        <v>198</v>
      </c>
      <c r="B361" s="2"/>
      <c r="C361" s="3"/>
      <c r="D361" s="55" t="s">
        <v>18</v>
      </c>
      <c r="E361" s="38" t="s">
        <v>16</v>
      </c>
      <c r="F361" s="38" t="s">
        <v>16</v>
      </c>
      <c r="G361" s="39" t="str">
        <f t="shared" si="17"/>
        <v>__</v>
      </c>
      <c r="H361" s="40" t="str">
        <f t="shared" si="18"/>
        <v>FALSE</v>
      </c>
      <c r="I361" s="41">
        <f t="shared" si="19"/>
        <v>0</v>
      </c>
      <c r="J361" s="4" t="s">
        <v>16</v>
      </c>
      <c r="K361" s="43" t="str">
        <f>IF(VLOOKUP(J361,βοηθητικό!$J$2:$N$354,3,FALSE)="","",VLOOKUP(J361,βοηθητικό!$J$2:$N$354,3,FALSE))</f>
        <v>_</v>
      </c>
      <c r="L361" s="44"/>
      <c r="M361" s="5" t="s">
        <v>16</v>
      </c>
      <c r="N361" s="46" t="str">
        <f>IF(VLOOKUP(M361,βοηθητικό!$J$2:$N$354,3,FALSE)="","",VLOOKUP(M361,βοηθητικό!$J$2:$N$354,3,FALSE))</f>
        <v>_</v>
      </c>
      <c r="O361" s="47"/>
      <c r="P361" s="4" t="s">
        <v>16</v>
      </c>
      <c r="Q361" s="43" t="str">
        <f>IF(VLOOKUP(P361,βοηθητικό!$J$2:$N$354,3,FALSE)="","",VLOOKUP(P361,βοηθητικό!$J$2:$N$354,3,FALSE))</f>
        <v>_</v>
      </c>
      <c r="R361" s="44"/>
      <c r="S361" s="5" t="s">
        <v>16</v>
      </c>
      <c r="T361" s="46" t="str">
        <f>IF(VLOOKUP(S361,βοηθητικό!$J$2:$N$354,3,FALSE)="","",VLOOKUP(S361,βοηθητικό!$J$2:$N$354,3,FALSE))</f>
        <v>_</v>
      </c>
      <c r="U361" s="47"/>
      <c r="V361" s="4" t="s">
        <v>16</v>
      </c>
      <c r="W361" s="43" t="str">
        <f>IF(VLOOKUP(V361,βοηθητικό!$J$2:$N$354,3,FALSE)="","",VLOOKUP(V361,βοηθητικό!$J$2:$N$354,3,FALSE))</f>
        <v>_</v>
      </c>
      <c r="X361" s="44"/>
      <c r="Y361" s="5" t="s">
        <v>16</v>
      </c>
      <c r="Z361" s="46" t="str">
        <f>IF(VLOOKUP(Y361,βοηθητικό!$J$2:$N$354,3,FALSE)="","",VLOOKUP(Y361,βοηθητικό!$J$2:$N$354,3,FALSE))</f>
        <v>_</v>
      </c>
      <c r="AA361" s="47"/>
      <c r="AB361" s="4" t="s">
        <v>16</v>
      </c>
      <c r="AC361" s="43" t="str">
        <f>IF(VLOOKUP(AB361,βοηθητικό!$J$2:$N$354,3,FALSE)="","",VLOOKUP(AB361,βοηθητικό!$J$2:$N$354,3,FALSE))</f>
        <v>_</v>
      </c>
      <c r="AD361" s="44"/>
      <c r="AE361" s="5" t="s">
        <v>16</v>
      </c>
      <c r="AF361" s="46" t="str">
        <f>IF(VLOOKUP(AE361,βοηθητικό!$J$2:$N$354,3,FALSE)="","",VLOOKUP(AE361,βοηθητικό!$J$2:$N$354,3,FALSE))</f>
        <v>_</v>
      </c>
      <c r="AG361" s="47"/>
      <c r="AH361" s="4" t="s">
        <v>16</v>
      </c>
      <c r="AI361" s="43" t="str">
        <f>IF(VLOOKUP(AH361,βοηθητικό!$J$2:$N$354,3,FALSE)="","",VLOOKUP(AH361,βοηθητικό!$J$2:$N$354,3,FALSE))</f>
        <v>_</v>
      </c>
      <c r="AJ361" s="44"/>
      <c r="AK361" s="5" t="s">
        <v>16</v>
      </c>
      <c r="AL361" s="46" t="str">
        <f>IF(VLOOKUP(AK361,βοηθητικό!$J$2:$N$354,3,FALSE)="","",VLOOKUP(AK361,βοηθητικό!$J$2:$N$354,3,FALSE))</f>
        <v>_</v>
      </c>
      <c r="AM361" s="47"/>
      <c r="AN361" s="4" t="s">
        <v>16</v>
      </c>
      <c r="AO361" s="43" t="str">
        <f>IF(VLOOKUP(AN361,βοηθητικό!$J$2:$N$354,3,FALSE)="","",VLOOKUP(AN361,βοηθητικό!$J$2:$N$354,3,FALSE))</f>
        <v>_</v>
      </c>
      <c r="AP361" s="44"/>
      <c r="AQ361" s="5" t="s">
        <v>16</v>
      </c>
      <c r="AR361" s="46" t="str">
        <f>IF(VLOOKUP(AQ361,βοηθητικό!$J$2:$N$354,3,FALSE)="","",VLOOKUP(AQ361,βοηθητικό!$J$2:$N$354,3,FALSE))</f>
        <v>_</v>
      </c>
      <c r="AS361" s="47"/>
      <c r="AT361" s="4" t="s">
        <v>16</v>
      </c>
      <c r="AU361" s="43" t="str">
        <f>IF(VLOOKUP(AT361,βοηθητικό!$J$2:$N$354,3,FALSE)="","",VLOOKUP(AT361,βοηθητικό!$J$2:$N$354,3,FALSE))</f>
        <v>_</v>
      </c>
      <c r="AV361" s="44"/>
      <c r="AW361" s="5" t="s">
        <v>16</v>
      </c>
      <c r="AX361" s="46" t="str">
        <f>IF(VLOOKUP(AW361,βοηθητικό!$J$2:$N$354,3,FALSE)="","",VLOOKUP(AW361,βοηθητικό!$J$2:$N$354,3,FALSE))</f>
        <v>_</v>
      </c>
      <c r="AY361" s="47"/>
      <c r="AZ361" s="4" t="s">
        <v>16</v>
      </c>
      <c r="BA361" s="43" t="str">
        <f>IF(VLOOKUP(AZ361,βοηθητικό!$J$2:$N$354,3,FALSE)="","",VLOOKUP(AZ361,βοηθητικό!$J$2:$N$354,3,FALSE))</f>
        <v>_</v>
      </c>
      <c r="BB361" s="44"/>
      <c r="BC361" s="45" t="s">
        <v>16</v>
      </c>
      <c r="BD361" s="46" t="str">
        <f>IF(VLOOKUP(BC361,βοηθητικό!$J$2:$N$354,3,FALSE)="","",VLOOKUP(BC361,βοηθητικό!$J$2:$N$354,3,FALSE))</f>
        <v>_</v>
      </c>
      <c r="BE361" s="47"/>
      <c r="BF361" s="42" t="s">
        <v>16</v>
      </c>
      <c r="BG361" s="43" t="str">
        <f>IF(VLOOKUP(BF361,βοηθητικό!$J$2:$N$354,3,FALSE)="","",VLOOKUP(BF361,βοηθητικό!$J$2:$N$354,3,FALSE))</f>
        <v>_</v>
      </c>
      <c r="BH361" s="44"/>
      <c r="BI361" s="45" t="s">
        <v>16</v>
      </c>
      <c r="BJ361" s="46" t="str">
        <f>IF(VLOOKUP(BI361,βοηθητικό!$J$2:$N$354,3,FALSE)="","",VLOOKUP(BI361,βοηθητικό!$J$2:$N$354,3,FALSE))</f>
        <v>_</v>
      </c>
      <c r="BK361" s="47"/>
      <c r="BL361" s="42" t="s">
        <v>16</v>
      </c>
      <c r="BM361" s="43" t="str">
        <f>IF(VLOOKUP(BL361,βοηθητικό!$J$2:$N$354,3,FALSE)="","",VLOOKUP(BL361,βοηθητικό!$J$2:$N$354,3,FALSE))</f>
        <v>_</v>
      </c>
      <c r="BN361" s="44"/>
      <c r="BO361" s="45" t="s">
        <v>16</v>
      </c>
      <c r="BP361" s="46" t="str">
        <f>IF(VLOOKUP(BO361,βοηθητικό!$J$2:$N$354,3,FALSE)="","",VLOOKUP(BO361,βοηθητικό!$J$2:$N$354,3,FALSE))</f>
        <v>_</v>
      </c>
      <c r="BQ361" s="47"/>
      <c r="BR361" s="42" t="s">
        <v>16</v>
      </c>
      <c r="BS361" s="43" t="str">
        <f>IF(VLOOKUP(BR361,βοηθητικό!$J$2:$N$354,3,FALSE)="","",VLOOKUP(BR361,βοηθητικό!$J$2:$N$354,3,FALSE))</f>
        <v>_</v>
      </c>
      <c r="BT361" s="44"/>
      <c r="BU361" s="45" t="s">
        <v>16</v>
      </c>
      <c r="BV361" s="46" t="str">
        <f>IF(VLOOKUP(BU361,βοηθητικό!$J$2:$N$354,3,FALSE)="","",VLOOKUP(BU361,βοηθητικό!$J$2:$N$354,3,FALSE))</f>
        <v>_</v>
      </c>
      <c r="BW361" s="47"/>
      <c r="BX361" s="42" t="s">
        <v>16</v>
      </c>
      <c r="BY361" s="43" t="str">
        <f>IF(VLOOKUP(BX361,βοηθητικό!$J$2:$N$354,3,FALSE)="","",VLOOKUP(BX361,βοηθητικό!$J$2:$N$354,3,FALSE))</f>
        <v>_</v>
      </c>
      <c r="BZ361" s="44"/>
      <c r="CA361" s="45" t="s">
        <v>16</v>
      </c>
      <c r="CB361" s="46" t="str">
        <f>IF(VLOOKUP(CA361,βοηθητικό!$J$2:$N$354,3,FALSE)="","",VLOOKUP(CA361,βοηθητικό!$J$2:$N$354,3,FALSE))</f>
        <v>_</v>
      </c>
      <c r="CC361" s="47"/>
      <c r="CD361" s="42" t="s">
        <v>16</v>
      </c>
      <c r="CE361" s="43" t="str">
        <f>IF(VLOOKUP(CD361,βοηθητικό!$J$2:$N$354,3,FALSE)="","",VLOOKUP(CD361,βοηθητικό!$J$2:$N$354,3,FALSE))</f>
        <v>_</v>
      </c>
      <c r="CF361" s="44"/>
      <c r="CG361" s="45" t="s">
        <v>16</v>
      </c>
      <c r="CH361" s="46" t="str">
        <f>IF(VLOOKUP(CG361,βοηθητικό!$J$2:$N$354,3,FALSE)="","",VLOOKUP(CG361,βοηθητικό!$J$2:$N$354,3,FALSE))</f>
        <v>_</v>
      </c>
      <c r="CI361" s="47"/>
      <c r="CJ361" s="42" t="s">
        <v>16</v>
      </c>
      <c r="CK361" s="43" t="str">
        <f>IF(VLOOKUP(CJ361,βοηθητικό!$J$2:$N$354,3,FALSE)="","",VLOOKUP(CJ361,βοηθητικό!$J$2:$N$354,3,FALSE))</f>
        <v>_</v>
      </c>
      <c r="CL361" s="44"/>
      <c r="CM361" s="45" t="s">
        <v>16</v>
      </c>
      <c r="CN361" s="46" t="str">
        <f>IF(VLOOKUP(CM361,βοηθητικό!$J$2:$N$354,3,FALSE)="","",VLOOKUP(CM361,βοηθητικό!$J$2:$N$354,3,FALSE))</f>
        <v>_</v>
      </c>
      <c r="CO361" s="47"/>
      <c r="CP361" s="42" t="s">
        <v>16</v>
      </c>
      <c r="CQ361" s="43" t="str">
        <f>IF(VLOOKUP(CP361,βοηθητικό!$J$2:$N$354,3,FALSE)="","",VLOOKUP(CP361,βοηθητικό!$J$2:$N$354,3,FALSE))</f>
        <v>_</v>
      </c>
      <c r="CR361" s="44"/>
      <c r="CS361" s="45" t="s">
        <v>16</v>
      </c>
      <c r="CT361" s="46" t="str">
        <f>IF(VLOOKUP(CS361,βοηθητικό!$J$2:$N$354,3,FALSE)="","",VLOOKUP(CS361,βοηθητικό!$J$2:$N$354,3,FALSE))</f>
        <v>_</v>
      </c>
      <c r="CU361" s="47"/>
    </row>
    <row r="362" spans="1:99" x14ac:dyDescent="0.25">
      <c r="A362" s="37">
        <f>--SUBTOTAL(3,$B$3:B361)</f>
        <v>198</v>
      </c>
      <c r="B362" s="2"/>
      <c r="C362" s="3"/>
      <c r="D362" s="55" t="s">
        <v>18</v>
      </c>
      <c r="E362" s="38" t="s">
        <v>16</v>
      </c>
      <c r="F362" s="38" t="s">
        <v>16</v>
      </c>
      <c r="G362" s="39" t="str">
        <f t="shared" si="17"/>
        <v>__</v>
      </c>
      <c r="H362" s="40" t="str">
        <f t="shared" si="18"/>
        <v>FALSE</v>
      </c>
      <c r="I362" s="41">
        <f t="shared" si="19"/>
        <v>0</v>
      </c>
      <c r="J362" s="4" t="s">
        <v>16</v>
      </c>
      <c r="K362" s="43" t="str">
        <f>IF(VLOOKUP(J362,βοηθητικό!$J$2:$N$354,3,FALSE)="","",VLOOKUP(J362,βοηθητικό!$J$2:$N$354,3,FALSE))</f>
        <v>_</v>
      </c>
      <c r="L362" s="44"/>
      <c r="M362" s="5" t="s">
        <v>16</v>
      </c>
      <c r="N362" s="46" t="str">
        <f>IF(VLOOKUP(M362,βοηθητικό!$J$2:$N$354,3,FALSE)="","",VLOOKUP(M362,βοηθητικό!$J$2:$N$354,3,FALSE))</f>
        <v>_</v>
      </c>
      <c r="O362" s="47"/>
      <c r="P362" s="4" t="s">
        <v>16</v>
      </c>
      <c r="Q362" s="43" t="str">
        <f>IF(VLOOKUP(P362,βοηθητικό!$J$2:$N$354,3,FALSE)="","",VLOOKUP(P362,βοηθητικό!$J$2:$N$354,3,FALSE))</f>
        <v>_</v>
      </c>
      <c r="R362" s="44"/>
      <c r="S362" s="5" t="s">
        <v>16</v>
      </c>
      <c r="T362" s="46" t="str">
        <f>IF(VLOOKUP(S362,βοηθητικό!$J$2:$N$354,3,FALSE)="","",VLOOKUP(S362,βοηθητικό!$J$2:$N$354,3,FALSE))</f>
        <v>_</v>
      </c>
      <c r="U362" s="47"/>
      <c r="V362" s="4" t="s">
        <v>16</v>
      </c>
      <c r="W362" s="43" t="str">
        <f>IF(VLOOKUP(V362,βοηθητικό!$J$2:$N$354,3,FALSE)="","",VLOOKUP(V362,βοηθητικό!$J$2:$N$354,3,FALSE))</f>
        <v>_</v>
      </c>
      <c r="X362" s="44"/>
      <c r="Y362" s="5" t="s">
        <v>16</v>
      </c>
      <c r="Z362" s="46" t="str">
        <f>IF(VLOOKUP(Y362,βοηθητικό!$J$2:$N$354,3,FALSE)="","",VLOOKUP(Y362,βοηθητικό!$J$2:$N$354,3,FALSE))</f>
        <v>_</v>
      </c>
      <c r="AA362" s="47"/>
      <c r="AB362" s="4" t="s">
        <v>16</v>
      </c>
      <c r="AC362" s="43" t="str">
        <f>IF(VLOOKUP(AB362,βοηθητικό!$J$2:$N$354,3,FALSE)="","",VLOOKUP(AB362,βοηθητικό!$J$2:$N$354,3,FALSE))</f>
        <v>_</v>
      </c>
      <c r="AD362" s="44"/>
      <c r="AE362" s="5" t="s">
        <v>16</v>
      </c>
      <c r="AF362" s="46" t="str">
        <f>IF(VLOOKUP(AE362,βοηθητικό!$J$2:$N$354,3,FALSE)="","",VLOOKUP(AE362,βοηθητικό!$J$2:$N$354,3,FALSE))</f>
        <v>_</v>
      </c>
      <c r="AG362" s="47"/>
      <c r="AH362" s="4" t="s">
        <v>16</v>
      </c>
      <c r="AI362" s="43" t="str">
        <f>IF(VLOOKUP(AH362,βοηθητικό!$J$2:$N$354,3,FALSE)="","",VLOOKUP(AH362,βοηθητικό!$J$2:$N$354,3,FALSE))</f>
        <v>_</v>
      </c>
      <c r="AJ362" s="44"/>
      <c r="AK362" s="5" t="s">
        <v>16</v>
      </c>
      <c r="AL362" s="46" t="str">
        <f>IF(VLOOKUP(AK362,βοηθητικό!$J$2:$N$354,3,FALSE)="","",VLOOKUP(AK362,βοηθητικό!$J$2:$N$354,3,FALSE))</f>
        <v>_</v>
      </c>
      <c r="AM362" s="47"/>
      <c r="AN362" s="4" t="s">
        <v>16</v>
      </c>
      <c r="AO362" s="43" t="str">
        <f>IF(VLOOKUP(AN362,βοηθητικό!$J$2:$N$354,3,FALSE)="","",VLOOKUP(AN362,βοηθητικό!$J$2:$N$354,3,FALSE))</f>
        <v>_</v>
      </c>
      <c r="AP362" s="44"/>
      <c r="AQ362" s="5" t="s">
        <v>16</v>
      </c>
      <c r="AR362" s="46" t="str">
        <f>IF(VLOOKUP(AQ362,βοηθητικό!$J$2:$N$354,3,FALSE)="","",VLOOKUP(AQ362,βοηθητικό!$J$2:$N$354,3,FALSE))</f>
        <v>_</v>
      </c>
      <c r="AS362" s="47"/>
      <c r="AT362" s="4" t="s">
        <v>16</v>
      </c>
      <c r="AU362" s="43" t="str">
        <f>IF(VLOOKUP(AT362,βοηθητικό!$J$2:$N$354,3,FALSE)="","",VLOOKUP(AT362,βοηθητικό!$J$2:$N$354,3,FALSE))</f>
        <v>_</v>
      </c>
      <c r="AV362" s="44"/>
      <c r="AW362" s="5" t="s">
        <v>16</v>
      </c>
      <c r="AX362" s="46" t="str">
        <f>IF(VLOOKUP(AW362,βοηθητικό!$J$2:$N$354,3,FALSE)="","",VLOOKUP(AW362,βοηθητικό!$J$2:$N$354,3,FALSE))</f>
        <v>_</v>
      </c>
      <c r="AY362" s="47"/>
      <c r="AZ362" s="4" t="s">
        <v>16</v>
      </c>
      <c r="BA362" s="43" t="str">
        <f>IF(VLOOKUP(AZ362,βοηθητικό!$J$2:$N$354,3,FALSE)="","",VLOOKUP(AZ362,βοηθητικό!$J$2:$N$354,3,FALSE))</f>
        <v>_</v>
      </c>
      <c r="BB362" s="44"/>
      <c r="BC362" s="45" t="s">
        <v>16</v>
      </c>
      <c r="BD362" s="46" t="str">
        <f>IF(VLOOKUP(BC362,βοηθητικό!$J$2:$N$354,3,FALSE)="","",VLOOKUP(BC362,βοηθητικό!$J$2:$N$354,3,FALSE))</f>
        <v>_</v>
      </c>
      <c r="BE362" s="47"/>
      <c r="BF362" s="42" t="s">
        <v>16</v>
      </c>
      <c r="BG362" s="43" t="str">
        <f>IF(VLOOKUP(BF362,βοηθητικό!$J$2:$N$354,3,FALSE)="","",VLOOKUP(BF362,βοηθητικό!$J$2:$N$354,3,FALSE))</f>
        <v>_</v>
      </c>
      <c r="BH362" s="44"/>
      <c r="BI362" s="45" t="s">
        <v>16</v>
      </c>
      <c r="BJ362" s="46" t="str">
        <f>IF(VLOOKUP(BI362,βοηθητικό!$J$2:$N$354,3,FALSE)="","",VLOOKUP(BI362,βοηθητικό!$J$2:$N$354,3,FALSE))</f>
        <v>_</v>
      </c>
      <c r="BK362" s="47"/>
      <c r="BL362" s="42" t="s">
        <v>16</v>
      </c>
      <c r="BM362" s="43" t="str">
        <f>IF(VLOOKUP(BL362,βοηθητικό!$J$2:$N$354,3,FALSE)="","",VLOOKUP(BL362,βοηθητικό!$J$2:$N$354,3,FALSE))</f>
        <v>_</v>
      </c>
      <c r="BN362" s="44"/>
      <c r="BO362" s="45" t="s">
        <v>16</v>
      </c>
      <c r="BP362" s="46" t="str">
        <f>IF(VLOOKUP(BO362,βοηθητικό!$J$2:$N$354,3,FALSE)="","",VLOOKUP(BO362,βοηθητικό!$J$2:$N$354,3,FALSE))</f>
        <v>_</v>
      </c>
      <c r="BQ362" s="47"/>
      <c r="BR362" s="42" t="s">
        <v>16</v>
      </c>
      <c r="BS362" s="43" t="str">
        <f>IF(VLOOKUP(BR362,βοηθητικό!$J$2:$N$354,3,FALSE)="","",VLOOKUP(BR362,βοηθητικό!$J$2:$N$354,3,FALSE))</f>
        <v>_</v>
      </c>
      <c r="BT362" s="44"/>
      <c r="BU362" s="45" t="s">
        <v>16</v>
      </c>
      <c r="BV362" s="46" t="str">
        <f>IF(VLOOKUP(BU362,βοηθητικό!$J$2:$N$354,3,FALSE)="","",VLOOKUP(BU362,βοηθητικό!$J$2:$N$354,3,FALSE))</f>
        <v>_</v>
      </c>
      <c r="BW362" s="47"/>
      <c r="BX362" s="42" t="s">
        <v>16</v>
      </c>
      <c r="BY362" s="43" t="str">
        <f>IF(VLOOKUP(BX362,βοηθητικό!$J$2:$N$354,3,FALSE)="","",VLOOKUP(BX362,βοηθητικό!$J$2:$N$354,3,FALSE))</f>
        <v>_</v>
      </c>
      <c r="BZ362" s="44"/>
      <c r="CA362" s="45" t="s">
        <v>16</v>
      </c>
      <c r="CB362" s="46" t="str">
        <f>IF(VLOOKUP(CA362,βοηθητικό!$J$2:$N$354,3,FALSE)="","",VLOOKUP(CA362,βοηθητικό!$J$2:$N$354,3,FALSE))</f>
        <v>_</v>
      </c>
      <c r="CC362" s="47"/>
      <c r="CD362" s="42" t="s">
        <v>16</v>
      </c>
      <c r="CE362" s="43" t="str">
        <f>IF(VLOOKUP(CD362,βοηθητικό!$J$2:$N$354,3,FALSE)="","",VLOOKUP(CD362,βοηθητικό!$J$2:$N$354,3,FALSE))</f>
        <v>_</v>
      </c>
      <c r="CF362" s="44"/>
      <c r="CG362" s="45" t="s">
        <v>16</v>
      </c>
      <c r="CH362" s="46" t="str">
        <f>IF(VLOOKUP(CG362,βοηθητικό!$J$2:$N$354,3,FALSE)="","",VLOOKUP(CG362,βοηθητικό!$J$2:$N$354,3,FALSE))</f>
        <v>_</v>
      </c>
      <c r="CI362" s="47"/>
      <c r="CJ362" s="42" t="s">
        <v>16</v>
      </c>
      <c r="CK362" s="43" t="str">
        <f>IF(VLOOKUP(CJ362,βοηθητικό!$J$2:$N$354,3,FALSE)="","",VLOOKUP(CJ362,βοηθητικό!$J$2:$N$354,3,FALSE))</f>
        <v>_</v>
      </c>
      <c r="CL362" s="44"/>
      <c r="CM362" s="45" t="s">
        <v>16</v>
      </c>
      <c r="CN362" s="46" t="str">
        <f>IF(VLOOKUP(CM362,βοηθητικό!$J$2:$N$354,3,FALSE)="","",VLOOKUP(CM362,βοηθητικό!$J$2:$N$354,3,FALSE))</f>
        <v>_</v>
      </c>
      <c r="CO362" s="47"/>
      <c r="CP362" s="42" t="s">
        <v>16</v>
      </c>
      <c r="CQ362" s="43" t="str">
        <f>IF(VLOOKUP(CP362,βοηθητικό!$J$2:$N$354,3,FALSE)="","",VLOOKUP(CP362,βοηθητικό!$J$2:$N$354,3,FALSE))</f>
        <v>_</v>
      </c>
      <c r="CR362" s="44"/>
      <c r="CS362" s="45" t="s">
        <v>16</v>
      </c>
      <c r="CT362" s="46" t="str">
        <f>IF(VLOOKUP(CS362,βοηθητικό!$J$2:$N$354,3,FALSE)="","",VLOOKUP(CS362,βοηθητικό!$J$2:$N$354,3,FALSE))</f>
        <v>_</v>
      </c>
      <c r="CU362" s="47"/>
    </row>
    <row r="363" spans="1:99" x14ac:dyDescent="0.25">
      <c r="A363" s="37">
        <f>--SUBTOTAL(3,$B$3:B362)</f>
        <v>198</v>
      </c>
      <c r="B363" s="2"/>
      <c r="C363" s="3"/>
      <c r="D363" s="55" t="s">
        <v>18</v>
      </c>
      <c r="E363" s="38" t="s">
        <v>16</v>
      </c>
      <c r="F363" s="38" t="s">
        <v>16</v>
      </c>
      <c r="G363" s="39" t="str">
        <f t="shared" si="17"/>
        <v>__</v>
      </c>
      <c r="H363" s="40" t="str">
        <f t="shared" si="18"/>
        <v>FALSE</v>
      </c>
      <c r="I363" s="41">
        <f t="shared" si="19"/>
        <v>0</v>
      </c>
      <c r="J363" s="4" t="s">
        <v>16</v>
      </c>
      <c r="K363" s="43" t="str">
        <f>IF(VLOOKUP(J363,βοηθητικό!$J$2:$N$354,3,FALSE)="","",VLOOKUP(J363,βοηθητικό!$J$2:$N$354,3,FALSE))</f>
        <v>_</v>
      </c>
      <c r="L363" s="44"/>
      <c r="M363" s="5" t="s">
        <v>16</v>
      </c>
      <c r="N363" s="46" t="str">
        <f>IF(VLOOKUP(M363,βοηθητικό!$J$2:$N$354,3,FALSE)="","",VLOOKUP(M363,βοηθητικό!$J$2:$N$354,3,FALSE))</f>
        <v>_</v>
      </c>
      <c r="O363" s="47"/>
      <c r="P363" s="4" t="s">
        <v>16</v>
      </c>
      <c r="Q363" s="43" t="str">
        <f>IF(VLOOKUP(P363,βοηθητικό!$J$2:$N$354,3,FALSE)="","",VLOOKUP(P363,βοηθητικό!$J$2:$N$354,3,FALSE))</f>
        <v>_</v>
      </c>
      <c r="R363" s="44"/>
      <c r="S363" s="5" t="s">
        <v>16</v>
      </c>
      <c r="T363" s="46" t="str">
        <f>IF(VLOOKUP(S363,βοηθητικό!$J$2:$N$354,3,FALSE)="","",VLOOKUP(S363,βοηθητικό!$J$2:$N$354,3,FALSE))</f>
        <v>_</v>
      </c>
      <c r="U363" s="47"/>
      <c r="V363" s="4" t="s">
        <v>16</v>
      </c>
      <c r="W363" s="43" t="str">
        <f>IF(VLOOKUP(V363,βοηθητικό!$J$2:$N$354,3,FALSE)="","",VLOOKUP(V363,βοηθητικό!$J$2:$N$354,3,FALSE))</f>
        <v>_</v>
      </c>
      <c r="X363" s="44"/>
      <c r="Y363" s="5" t="s">
        <v>16</v>
      </c>
      <c r="Z363" s="46" t="str">
        <f>IF(VLOOKUP(Y363,βοηθητικό!$J$2:$N$354,3,FALSE)="","",VLOOKUP(Y363,βοηθητικό!$J$2:$N$354,3,FALSE))</f>
        <v>_</v>
      </c>
      <c r="AA363" s="47"/>
      <c r="AB363" s="4" t="s">
        <v>16</v>
      </c>
      <c r="AC363" s="43" t="str">
        <f>IF(VLOOKUP(AB363,βοηθητικό!$J$2:$N$354,3,FALSE)="","",VLOOKUP(AB363,βοηθητικό!$J$2:$N$354,3,FALSE))</f>
        <v>_</v>
      </c>
      <c r="AD363" s="44"/>
      <c r="AE363" s="5" t="s">
        <v>16</v>
      </c>
      <c r="AF363" s="46" t="str">
        <f>IF(VLOOKUP(AE363,βοηθητικό!$J$2:$N$354,3,FALSE)="","",VLOOKUP(AE363,βοηθητικό!$J$2:$N$354,3,FALSE))</f>
        <v>_</v>
      </c>
      <c r="AG363" s="47"/>
      <c r="AH363" s="4" t="s">
        <v>16</v>
      </c>
      <c r="AI363" s="43" t="str">
        <f>IF(VLOOKUP(AH363,βοηθητικό!$J$2:$N$354,3,FALSE)="","",VLOOKUP(AH363,βοηθητικό!$J$2:$N$354,3,FALSE))</f>
        <v>_</v>
      </c>
      <c r="AJ363" s="44"/>
      <c r="AK363" s="5" t="s">
        <v>16</v>
      </c>
      <c r="AL363" s="46" t="str">
        <f>IF(VLOOKUP(AK363,βοηθητικό!$J$2:$N$354,3,FALSE)="","",VLOOKUP(AK363,βοηθητικό!$J$2:$N$354,3,FALSE))</f>
        <v>_</v>
      </c>
      <c r="AM363" s="47"/>
      <c r="AN363" s="4" t="s">
        <v>16</v>
      </c>
      <c r="AO363" s="43" t="str">
        <f>IF(VLOOKUP(AN363,βοηθητικό!$J$2:$N$354,3,FALSE)="","",VLOOKUP(AN363,βοηθητικό!$J$2:$N$354,3,FALSE))</f>
        <v>_</v>
      </c>
      <c r="AP363" s="44"/>
      <c r="AQ363" s="5" t="s">
        <v>16</v>
      </c>
      <c r="AR363" s="46" t="str">
        <f>IF(VLOOKUP(AQ363,βοηθητικό!$J$2:$N$354,3,FALSE)="","",VLOOKUP(AQ363,βοηθητικό!$J$2:$N$354,3,FALSE))</f>
        <v>_</v>
      </c>
      <c r="AS363" s="47"/>
      <c r="AT363" s="4" t="s">
        <v>16</v>
      </c>
      <c r="AU363" s="43" t="str">
        <f>IF(VLOOKUP(AT363,βοηθητικό!$J$2:$N$354,3,FALSE)="","",VLOOKUP(AT363,βοηθητικό!$J$2:$N$354,3,FALSE))</f>
        <v>_</v>
      </c>
      <c r="AV363" s="44"/>
      <c r="AW363" s="5" t="s">
        <v>16</v>
      </c>
      <c r="AX363" s="46" t="str">
        <f>IF(VLOOKUP(AW363,βοηθητικό!$J$2:$N$354,3,FALSE)="","",VLOOKUP(AW363,βοηθητικό!$J$2:$N$354,3,FALSE))</f>
        <v>_</v>
      </c>
      <c r="AY363" s="47"/>
      <c r="AZ363" s="4" t="s">
        <v>16</v>
      </c>
      <c r="BA363" s="43" t="str">
        <f>IF(VLOOKUP(AZ363,βοηθητικό!$J$2:$N$354,3,FALSE)="","",VLOOKUP(AZ363,βοηθητικό!$J$2:$N$354,3,FALSE))</f>
        <v>_</v>
      </c>
      <c r="BB363" s="44"/>
      <c r="BC363" s="45" t="s">
        <v>16</v>
      </c>
      <c r="BD363" s="46" t="str">
        <f>IF(VLOOKUP(BC363,βοηθητικό!$J$2:$N$354,3,FALSE)="","",VLOOKUP(BC363,βοηθητικό!$J$2:$N$354,3,FALSE))</f>
        <v>_</v>
      </c>
      <c r="BE363" s="47"/>
      <c r="BF363" s="42" t="s">
        <v>16</v>
      </c>
      <c r="BG363" s="43" t="str">
        <f>IF(VLOOKUP(BF363,βοηθητικό!$J$2:$N$354,3,FALSE)="","",VLOOKUP(BF363,βοηθητικό!$J$2:$N$354,3,FALSE))</f>
        <v>_</v>
      </c>
      <c r="BH363" s="44"/>
      <c r="BI363" s="45" t="s">
        <v>16</v>
      </c>
      <c r="BJ363" s="46" t="str">
        <f>IF(VLOOKUP(BI363,βοηθητικό!$J$2:$N$354,3,FALSE)="","",VLOOKUP(BI363,βοηθητικό!$J$2:$N$354,3,FALSE))</f>
        <v>_</v>
      </c>
      <c r="BK363" s="47"/>
      <c r="BL363" s="42" t="s">
        <v>16</v>
      </c>
      <c r="BM363" s="43" t="str">
        <f>IF(VLOOKUP(BL363,βοηθητικό!$J$2:$N$354,3,FALSE)="","",VLOOKUP(BL363,βοηθητικό!$J$2:$N$354,3,FALSE))</f>
        <v>_</v>
      </c>
      <c r="BN363" s="44"/>
      <c r="BO363" s="45" t="s">
        <v>16</v>
      </c>
      <c r="BP363" s="46" t="str">
        <f>IF(VLOOKUP(BO363,βοηθητικό!$J$2:$N$354,3,FALSE)="","",VLOOKUP(BO363,βοηθητικό!$J$2:$N$354,3,FALSE))</f>
        <v>_</v>
      </c>
      <c r="BQ363" s="47"/>
      <c r="BR363" s="42" t="s">
        <v>16</v>
      </c>
      <c r="BS363" s="43" t="str">
        <f>IF(VLOOKUP(BR363,βοηθητικό!$J$2:$N$354,3,FALSE)="","",VLOOKUP(BR363,βοηθητικό!$J$2:$N$354,3,FALSE))</f>
        <v>_</v>
      </c>
      <c r="BT363" s="44"/>
      <c r="BU363" s="45" t="s">
        <v>16</v>
      </c>
      <c r="BV363" s="46" t="str">
        <f>IF(VLOOKUP(BU363,βοηθητικό!$J$2:$N$354,3,FALSE)="","",VLOOKUP(BU363,βοηθητικό!$J$2:$N$354,3,FALSE))</f>
        <v>_</v>
      </c>
      <c r="BW363" s="47"/>
      <c r="BX363" s="42" t="s">
        <v>16</v>
      </c>
      <c r="BY363" s="43" t="str">
        <f>IF(VLOOKUP(BX363,βοηθητικό!$J$2:$N$354,3,FALSE)="","",VLOOKUP(BX363,βοηθητικό!$J$2:$N$354,3,FALSE))</f>
        <v>_</v>
      </c>
      <c r="BZ363" s="44"/>
      <c r="CA363" s="45" t="s">
        <v>16</v>
      </c>
      <c r="CB363" s="46" t="str">
        <f>IF(VLOOKUP(CA363,βοηθητικό!$J$2:$N$354,3,FALSE)="","",VLOOKUP(CA363,βοηθητικό!$J$2:$N$354,3,FALSE))</f>
        <v>_</v>
      </c>
      <c r="CC363" s="47"/>
      <c r="CD363" s="42" t="s">
        <v>16</v>
      </c>
      <c r="CE363" s="43" t="str">
        <f>IF(VLOOKUP(CD363,βοηθητικό!$J$2:$N$354,3,FALSE)="","",VLOOKUP(CD363,βοηθητικό!$J$2:$N$354,3,FALSE))</f>
        <v>_</v>
      </c>
      <c r="CF363" s="44"/>
      <c r="CG363" s="45" t="s">
        <v>16</v>
      </c>
      <c r="CH363" s="46" t="str">
        <f>IF(VLOOKUP(CG363,βοηθητικό!$J$2:$N$354,3,FALSE)="","",VLOOKUP(CG363,βοηθητικό!$J$2:$N$354,3,FALSE))</f>
        <v>_</v>
      </c>
      <c r="CI363" s="47"/>
      <c r="CJ363" s="42" t="s">
        <v>16</v>
      </c>
      <c r="CK363" s="43" t="str">
        <f>IF(VLOOKUP(CJ363,βοηθητικό!$J$2:$N$354,3,FALSE)="","",VLOOKUP(CJ363,βοηθητικό!$J$2:$N$354,3,FALSE))</f>
        <v>_</v>
      </c>
      <c r="CL363" s="44"/>
      <c r="CM363" s="45" t="s">
        <v>16</v>
      </c>
      <c r="CN363" s="46" t="str">
        <f>IF(VLOOKUP(CM363,βοηθητικό!$J$2:$N$354,3,FALSE)="","",VLOOKUP(CM363,βοηθητικό!$J$2:$N$354,3,FALSE))</f>
        <v>_</v>
      </c>
      <c r="CO363" s="47"/>
      <c r="CP363" s="42" t="s">
        <v>16</v>
      </c>
      <c r="CQ363" s="43" t="str">
        <f>IF(VLOOKUP(CP363,βοηθητικό!$J$2:$N$354,3,FALSE)="","",VLOOKUP(CP363,βοηθητικό!$J$2:$N$354,3,FALSE))</f>
        <v>_</v>
      </c>
      <c r="CR363" s="44"/>
      <c r="CS363" s="45" t="s">
        <v>16</v>
      </c>
      <c r="CT363" s="46" t="str">
        <f>IF(VLOOKUP(CS363,βοηθητικό!$J$2:$N$354,3,FALSE)="","",VLOOKUP(CS363,βοηθητικό!$J$2:$N$354,3,FALSE))</f>
        <v>_</v>
      </c>
      <c r="CU363" s="47"/>
    </row>
    <row r="364" spans="1:99" x14ac:dyDescent="0.25">
      <c r="A364" s="37">
        <f>--SUBTOTAL(3,$B$3:B363)</f>
        <v>198</v>
      </c>
      <c r="B364" s="2"/>
      <c r="C364" s="3"/>
      <c r="D364" s="55" t="s">
        <v>18</v>
      </c>
      <c r="E364" s="38" t="s">
        <v>16</v>
      </c>
      <c r="F364" s="38" t="s">
        <v>16</v>
      </c>
      <c r="G364" s="39" t="str">
        <f t="shared" si="17"/>
        <v>__</v>
      </c>
      <c r="H364" s="40" t="str">
        <f t="shared" si="18"/>
        <v>FALSE</v>
      </c>
      <c r="I364" s="41">
        <f t="shared" si="19"/>
        <v>0</v>
      </c>
      <c r="J364" s="4" t="s">
        <v>16</v>
      </c>
      <c r="K364" s="43" t="str">
        <f>IF(VLOOKUP(J364,βοηθητικό!$J$2:$N$354,3,FALSE)="","",VLOOKUP(J364,βοηθητικό!$J$2:$N$354,3,FALSE))</f>
        <v>_</v>
      </c>
      <c r="L364" s="44"/>
      <c r="M364" s="5" t="s">
        <v>16</v>
      </c>
      <c r="N364" s="46" t="str">
        <f>IF(VLOOKUP(M364,βοηθητικό!$J$2:$N$354,3,FALSE)="","",VLOOKUP(M364,βοηθητικό!$J$2:$N$354,3,FALSE))</f>
        <v>_</v>
      </c>
      <c r="O364" s="47"/>
      <c r="P364" s="4" t="s">
        <v>16</v>
      </c>
      <c r="Q364" s="43" t="str">
        <f>IF(VLOOKUP(P364,βοηθητικό!$J$2:$N$354,3,FALSE)="","",VLOOKUP(P364,βοηθητικό!$J$2:$N$354,3,FALSE))</f>
        <v>_</v>
      </c>
      <c r="R364" s="44"/>
      <c r="S364" s="5" t="s">
        <v>16</v>
      </c>
      <c r="T364" s="46" t="str">
        <f>IF(VLOOKUP(S364,βοηθητικό!$J$2:$N$354,3,FALSE)="","",VLOOKUP(S364,βοηθητικό!$J$2:$N$354,3,FALSE))</f>
        <v>_</v>
      </c>
      <c r="U364" s="47"/>
      <c r="V364" s="4" t="s">
        <v>16</v>
      </c>
      <c r="W364" s="43" t="str">
        <f>IF(VLOOKUP(V364,βοηθητικό!$J$2:$N$354,3,FALSE)="","",VLOOKUP(V364,βοηθητικό!$J$2:$N$354,3,FALSE))</f>
        <v>_</v>
      </c>
      <c r="X364" s="44"/>
      <c r="Y364" s="5" t="s">
        <v>16</v>
      </c>
      <c r="Z364" s="46" t="str">
        <f>IF(VLOOKUP(Y364,βοηθητικό!$J$2:$N$354,3,FALSE)="","",VLOOKUP(Y364,βοηθητικό!$J$2:$N$354,3,FALSE))</f>
        <v>_</v>
      </c>
      <c r="AA364" s="47"/>
      <c r="AB364" s="4" t="s">
        <v>16</v>
      </c>
      <c r="AC364" s="43" t="str">
        <f>IF(VLOOKUP(AB364,βοηθητικό!$J$2:$N$354,3,FALSE)="","",VLOOKUP(AB364,βοηθητικό!$J$2:$N$354,3,FALSE))</f>
        <v>_</v>
      </c>
      <c r="AD364" s="44"/>
      <c r="AE364" s="5" t="s">
        <v>16</v>
      </c>
      <c r="AF364" s="46" t="str">
        <f>IF(VLOOKUP(AE364,βοηθητικό!$J$2:$N$354,3,FALSE)="","",VLOOKUP(AE364,βοηθητικό!$J$2:$N$354,3,FALSE))</f>
        <v>_</v>
      </c>
      <c r="AG364" s="47"/>
      <c r="AH364" s="4" t="s">
        <v>16</v>
      </c>
      <c r="AI364" s="43" t="str">
        <f>IF(VLOOKUP(AH364,βοηθητικό!$J$2:$N$354,3,FALSE)="","",VLOOKUP(AH364,βοηθητικό!$J$2:$N$354,3,FALSE))</f>
        <v>_</v>
      </c>
      <c r="AJ364" s="44"/>
      <c r="AK364" s="5" t="s">
        <v>16</v>
      </c>
      <c r="AL364" s="46" t="str">
        <f>IF(VLOOKUP(AK364,βοηθητικό!$J$2:$N$354,3,FALSE)="","",VLOOKUP(AK364,βοηθητικό!$J$2:$N$354,3,FALSE))</f>
        <v>_</v>
      </c>
      <c r="AM364" s="47"/>
      <c r="AN364" s="4" t="s">
        <v>16</v>
      </c>
      <c r="AO364" s="43" t="str">
        <f>IF(VLOOKUP(AN364,βοηθητικό!$J$2:$N$354,3,FALSE)="","",VLOOKUP(AN364,βοηθητικό!$J$2:$N$354,3,FALSE))</f>
        <v>_</v>
      </c>
      <c r="AP364" s="44"/>
      <c r="AQ364" s="5" t="s">
        <v>16</v>
      </c>
      <c r="AR364" s="46" t="str">
        <f>IF(VLOOKUP(AQ364,βοηθητικό!$J$2:$N$354,3,FALSE)="","",VLOOKUP(AQ364,βοηθητικό!$J$2:$N$354,3,FALSE))</f>
        <v>_</v>
      </c>
      <c r="AS364" s="47"/>
      <c r="AT364" s="4" t="s">
        <v>16</v>
      </c>
      <c r="AU364" s="43" t="str">
        <f>IF(VLOOKUP(AT364,βοηθητικό!$J$2:$N$354,3,FALSE)="","",VLOOKUP(AT364,βοηθητικό!$J$2:$N$354,3,FALSE))</f>
        <v>_</v>
      </c>
      <c r="AV364" s="44"/>
      <c r="AW364" s="5" t="s">
        <v>16</v>
      </c>
      <c r="AX364" s="46" t="str">
        <f>IF(VLOOKUP(AW364,βοηθητικό!$J$2:$N$354,3,FALSE)="","",VLOOKUP(AW364,βοηθητικό!$J$2:$N$354,3,FALSE))</f>
        <v>_</v>
      </c>
      <c r="AY364" s="47"/>
      <c r="AZ364" s="4" t="s">
        <v>16</v>
      </c>
      <c r="BA364" s="43" t="str">
        <f>IF(VLOOKUP(AZ364,βοηθητικό!$J$2:$N$354,3,FALSE)="","",VLOOKUP(AZ364,βοηθητικό!$J$2:$N$354,3,FALSE))</f>
        <v>_</v>
      </c>
      <c r="BB364" s="44"/>
      <c r="BC364" s="45" t="s">
        <v>16</v>
      </c>
      <c r="BD364" s="46" t="str">
        <f>IF(VLOOKUP(BC364,βοηθητικό!$J$2:$N$354,3,FALSE)="","",VLOOKUP(BC364,βοηθητικό!$J$2:$N$354,3,FALSE))</f>
        <v>_</v>
      </c>
      <c r="BE364" s="47"/>
      <c r="BF364" s="42" t="s">
        <v>16</v>
      </c>
      <c r="BG364" s="43" t="str">
        <f>IF(VLOOKUP(BF364,βοηθητικό!$J$2:$N$354,3,FALSE)="","",VLOOKUP(BF364,βοηθητικό!$J$2:$N$354,3,FALSE))</f>
        <v>_</v>
      </c>
      <c r="BH364" s="44"/>
      <c r="BI364" s="45" t="s">
        <v>16</v>
      </c>
      <c r="BJ364" s="46" t="str">
        <f>IF(VLOOKUP(BI364,βοηθητικό!$J$2:$N$354,3,FALSE)="","",VLOOKUP(BI364,βοηθητικό!$J$2:$N$354,3,FALSE))</f>
        <v>_</v>
      </c>
      <c r="BK364" s="47"/>
      <c r="BL364" s="42" t="s">
        <v>16</v>
      </c>
      <c r="BM364" s="43" t="str">
        <f>IF(VLOOKUP(BL364,βοηθητικό!$J$2:$N$354,3,FALSE)="","",VLOOKUP(BL364,βοηθητικό!$J$2:$N$354,3,FALSE))</f>
        <v>_</v>
      </c>
      <c r="BN364" s="44"/>
      <c r="BO364" s="45" t="s">
        <v>16</v>
      </c>
      <c r="BP364" s="46" t="str">
        <f>IF(VLOOKUP(BO364,βοηθητικό!$J$2:$N$354,3,FALSE)="","",VLOOKUP(BO364,βοηθητικό!$J$2:$N$354,3,FALSE))</f>
        <v>_</v>
      </c>
      <c r="BQ364" s="47"/>
      <c r="BR364" s="42" t="s">
        <v>16</v>
      </c>
      <c r="BS364" s="43" t="str">
        <f>IF(VLOOKUP(BR364,βοηθητικό!$J$2:$N$354,3,FALSE)="","",VLOOKUP(BR364,βοηθητικό!$J$2:$N$354,3,FALSE))</f>
        <v>_</v>
      </c>
      <c r="BT364" s="44"/>
      <c r="BU364" s="45" t="s">
        <v>16</v>
      </c>
      <c r="BV364" s="46" t="str">
        <f>IF(VLOOKUP(BU364,βοηθητικό!$J$2:$N$354,3,FALSE)="","",VLOOKUP(BU364,βοηθητικό!$J$2:$N$354,3,FALSE))</f>
        <v>_</v>
      </c>
      <c r="BW364" s="47"/>
      <c r="BX364" s="42" t="s">
        <v>16</v>
      </c>
      <c r="BY364" s="43" t="str">
        <f>IF(VLOOKUP(BX364,βοηθητικό!$J$2:$N$354,3,FALSE)="","",VLOOKUP(BX364,βοηθητικό!$J$2:$N$354,3,FALSE))</f>
        <v>_</v>
      </c>
      <c r="BZ364" s="44"/>
      <c r="CA364" s="45" t="s">
        <v>16</v>
      </c>
      <c r="CB364" s="46" t="str">
        <f>IF(VLOOKUP(CA364,βοηθητικό!$J$2:$N$354,3,FALSE)="","",VLOOKUP(CA364,βοηθητικό!$J$2:$N$354,3,FALSE))</f>
        <v>_</v>
      </c>
      <c r="CC364" s="47"/>
      <c r="CD364" s="42" t="s">
        <v>16</v>
      </c>
      <c r="CE364" s="43" t="str">
        <f>IF(VLOOKUP(CD364,βοηθητικό!$J$2:$N$354,3,FALSE)="","",VLOOKUP(CD364,βοηθητικό!$J$2:$N$354,3,FALSE))</f>
        <v>_</v>
      </c>
      <c r="CF364" s="44"/>
      <c r="CG364" s="45" t="s">
        <v>16</v>
      </c>
      <c r="CH364" s="46" t="str">
        <f>IF(VLOOKUP(CG364,βοηθητικό!$J$2:$N$354,3,FALSE)="","",VLOOKUP(CG364,βοηθητικό!$J$2:$N$354,3,FALSE))</f>
        <v>_</v>
      </c>
      <c r="CI364" s="47"/>
      <c r="CJ364" s="42" t="s">
        <v>16</v>
      </c>
      <c r="CK364" s="43" t="str">
        <f>IF(VLOOKUP(CJ364,βοηθητικό!$J$2:$N$354,3,FALSE)="","",VLOOKUP(CJ364,βοηθητικό!$J$2:$N$354,3,FALSE))</f>
        <v>_</v>
      </c>
      <c r="CL364" s="44"/>
      <c r="CM364" s="45" t="s">
        <v>16</v>
      </c>
      <c r="CN364" s="46" t="str">
        <f>IF(VLOOKUP(CM364,βοηθητικό!$J$2:$N$354,3,FALSE)="","",VLOOKUP(CM364,βοηθητικό!$J$2:$N$354,3,FALSE))</f>
        <v>_</v>
      </c>
      <c r="CO364" s="47"/>
      <c r="CP364" s="42" t="s">
        <v>16</v>
      </c>
      <c r="CQ364" s="43" t="str">
        <f>IF(VLOOKUP(CP364,βοηθητικό!$J$2:$N$354,3,FALSE)="","",VLOOKUP(CP364,βοηθητικό!$J$2:$N$354,3,FALSE))</f>
        <v>_</v>
      </c>
      <c r="CR364" s="44"/>
      <c r="CS364" s="45" t="s">
        <v>16</v>
      </c>
      <c r="CT364" s="46" t="str">
        <f>IF(VLOOKUP(CS364,βοηθητικό!$J$2:$N$354,3,FALSE)="","",VLOOKUP(CS364,βοηθητικό!$J$2:$N$354,3,FALSE))</f>
        <v>_</v>
      </c>
      <c r="CU364" s="47"/>
    </row>
    <row r="365" spans="1:99" x14ac:dyDescent="0.25">
      <c r="A365" s="37">
        <f>--SUBTOTAL(3,$B$3:B364)</f>
        <v>198</v>
      </c>
      <c r="B365" s="2"/>
      <c r="C365" s="3"/>
      <c r="D365" s="55" t="s">
        <v>18</v>
      </c>
      <c r="E365" s="38" t="s">
        <v>16</v>
      </c>
      <c r="F365" s="38" t="s">
        <v>16</v>
      </c>
      <c r="G365" s="39" t="str">
        <f t="shared" si="17"/>
        <v>__</v>
      </c>
      <c r="H365" s="40" t="str">
        <f t="shared" si="18"/>
        <v>FALSE</v>
      </c>
      <c r="I365" s="41">
        <f t="shared" si="19"/>
        <v>0</v>
      </c>
      <c r="J365" s="4" t="s">
        <v>16</v>
      </c>
      <c r="K365" s="43" t="str">
        <f>IF(VLOOKUP(J365,βοηθητικό!$J$2:$N$354,3,FALSE)="","",VLOOKUP(J365,βοηθητικό!$J$2:$N$354,3,FALSE))</f>
        <v>_</v>
      </c>
      <c r="L365" s="44"/>
      <c r="M365" s="5" t="s">
        <v>16</v>
      </c>
      <c r="N365" s="46" t="str">
        <f>IF(VLOOKUP(M365,βοηθητικό!$J$2:$N$354,3,FALSE)="","",VLOOKUP(M365,βοηθητικό!$J$2:$N$354,3,FALSE))</f>
        <v>_</v>
      </c>
      <c r="O365" s="47"/>
      <c r="P365" s="4" t="s">
        <v>16</v>
      </c>
      <c r="Q365" s="43" t="str">
        <f>IF(VLOOKUP(P365,βοηθητικό!$J$2:$N$354,3,FALSE)="","",VLOOKUP(P365,βοηθητικό!$J$2:$N$354,3,FALSE))</f>
        <v>_</v>
      </c>
      <c r="R365" s="44"/>
      <c r="S365" s="5" t="s">
        <v>16</v>
      </c>
      <c r="T365" s="46" t="str">
        <f>IF(VLOOKUP(S365,βοηθητικό!$J$2:$N$354,3,FALSE)="","",VLOOKUP(S365,βοηθητικό!$J$2:$N$354,3,FALSE))</f>
        <v>_</v>
      </c>
      <c r="U365" s="47"/>
      <c r="V365" s="4" t="s">
        <v>16</v>
      </c>
      <c r="W365" s="43" t="str">
        <f>IF(VLOOKUP(V365,βοηθητικό!$J$2:$N$354,3,FALSE)="","",VLOOKUP(V365,βοηθητικό!$J$2:$N$354,3,FALSE))</f>
        <v>_</v>
      </c>
      <c r="X365" s="44"/>
      <c r="Y365" s="5" t="s">
        <v>16</v>
      </c>
      <c r="Z365" s="46" t="str">
        <f>IF(VLOOKUP(Y365,βοηθητικό!$J$2:$N$354,3,FALSE)="","",VLOOKUP(Y365,βοηθητικό!$J$2:$N$354,3,FALSE))</f>
        <v>_</v>
      </c>
      <c r="AA365" s="47"/>
      <c r="AB365" s="4" t="s">
        <v>16</v>
      </c>
      <c r="AC365" s="43" t="str">
        <f>IF(VLOOKUP(AB365,βοηθητικό!$J$2:$N$354,3,FALSE)="","",VLOOKUP(AB365,βοηθητικό!$J$2:$N$354,3,FALSE))</f>
        <v>_</v>
      </c>
      <c r="AD365" s="44"/>
      <c r="AE365" s="5" t="s">
        <v>16</v>
      </c>
      <c r="AF365" s="46" t="str">
        <f>IF(VLOOKUP(AE365,βοηθητικό!$J$2:$N$354,3,FALSE)="","",VLOOKUP(AE365,βοηθητικό!$J$2:$N$354,3,FALSE))</f>
        <v>_</v>
      </c>
      <c r="AG365" s="47"/>
      <c r="AH365" s="4" t="s">
        <v>16</v>
      </c>
      <c r="AI365" s="43" t="str">
        <f>IF(VLOOKUP(AH365,βοηθητικό!$J$2:$N$354,3,FALSE)="","",VLOOKUP(AH365,βοηθητικό!$J$2:$N$354,3,FALSE))</f>
        <v>_</v>
      </c>
      <c r="AJ365" s="44"/>
      <c r="AK365" s="5" t="s">
        <v>16</v>
      </c>
      <c r="AL365" s="46" t="str">
        <f>IF(VLOOKUP(AK365,βοηθητικό!$J$2:$N$354,3,FALSE)="","",VLOOKUP(AK365,βοηθητικό!$J$2:$N$354,3,FALSE))</f>
        <v>_</v>
      </c>
      <c r="AM365" s="47"/>
      <c r="AN365" s="4" t="s">
        <v>16</v>
      </c>
      <c r="AO365" s="43" t="str">
        <f>IF(VLOOKUP(AN365,βοηθητικό!$J$2:$N$354,3,FALSE)="","",VLOOKUP(AN365,βοηθητικό!$J$2:$N$354,3,FALSE))</f>
        <v>_</v>
      </c>
      <c r="AP365" s="44"/>
      <c r="AQ365" s="5" t="s">
        <v>16</v>
      </c>
      <c r="AR365" s="46" t="str">
        <f>IF(VLOOKUP(AQ365,βοηθητικό!$J$2:$N$354,3,FALSE)="","",VLOOKUP(AQ365,βοηθητικό!$J$2:$N$354,3,FALSE))</f>
        <v>_</v>
      </c>
      <c r="AS365" s="47"/>
      <c r="AT365" s="4" t="s">
        <v>16</v>
      </c>
      <c r="AU365" s="43" t="str">
        <f>IF(VLOOKUP(AT365,βοηθητικό!$J$2:$N$354,3,FALSE)="","",VLOOKUP(AT365,βοηθητικό!$J$2:$N$354,3,FALSE))</f>
        <v>_</v>
      </c>
      <c r="AV365" s="44"/>
      <c r="AW365" s="5" t="s">
        <v>16</v>
      </c>
      <c r="AX365" s="46" t="str">
        <f>IF(VLOOKUP(AW365,βοηθητικό!$J$2:$N$354,3,FALSE)="","",VLOOKUP(AW365,βοηθητικό!$J$2:$N$354,3,FALSE))</f>
        <v>_</v>
      </c>
      <c r="AY365" s="47"/>
      <c r="AZ365" s="4" t="s">
        <v>16</v>
      </c>
      <c r="BA365" s="43" t="str">
        <f>IF(VLOOKUP(AZ365,βοηθητικό!$J$2:$N$354,3,FALSE)="","",VLOOKUP(AZ365,βοηθητικό!$J$2:$N$354,3,FALSE))</f>
        <v>_</v>
      </c>
      <c r="BB365" s="44"/>
      <c r="BC365" s="45" t="s">
        <v>16</v>
      </c>
      <c r="BD365" s="46" t="str">
        <f>IF(VLOOKUP(BC365,βοηθητικό!$J$2:$N$354,3,FALSE)="","",VLOOKUP(BC365,βοηθητικό!$J$2:$N$354,3,FALSE))</f>
        <v>_</v>
      </c>
      <c r="BE365" s="47"/>
      <c r="BF365" s="42" t="s">
        <v>16</v>
      </c>
      <c r="BG365" s="43" t="str">
        <f>IF(VLOOKUP(BF365,βοηθητικό!$J$2:$N$354,3,FALSE)="","",VLOOKUP(BF365,βοηθητικό!$J$2:$N$354,3,FALSE))</f>
        <v>_</v>
      </c>
      <c r="BH365" s="44"/>
      <c r="BI365" s="45" t="s">
        <v>16</v>
      </c>
      <c r="BJ365" s="46" t="str">
        <f>IF(VLOOKUP(BI365,βοηθητικό!$J$2:$N$354,3,FALSE)="","",VLOOKUP(BI365,βοηθητικό!$J$2:$N$354,3,FALSE))</f>
        <v>_</v>
      </c>
      <c r="BK365" s="47"/>
      <c r="BL365" s="42" t="s">
        <v>16</v>
      </c>
      <c r="BM365" s="43" t="str">
        <f>IF(VLOOKUP(BL365,βοηθητικό!$J$2:$N$354,3,FALSE)="","",VLOOKUP(BL365,βοηθητικό!$J$2:$N$354,3,FALSE))</f>
        <v>_</v>
      </c>
      <c r="BN365" s="44"/>
      <c r="BO365" s="45" t="s">
        <v>16</v>
      </c>
      <c r="BP365" s="46" t="str">
        <f>IF(VLOOKUP(BO365,βοηθητικό!$J$2:$N$354,3,FALSE)="","",VLOOKUP(BO365,βοηθητικό!$J$2:$N$354,3,FALSE))</f>
        <v>_</v>
      </c>
      <c r="BQ365" s="47"/>
      <c r="BR365" s="42" t="s">
        <v>16</v>
      </c>
      <c r="BS365" s="43" t="str">
        <f>IF(VLOOKUP(BR365,βοηθητικό!$J$2:$N$354,3,FALSE)="","",VLOOKUP(BR365,βοηθητικό!$J$2:$N$354,3,FALSE))</f>
        <v>_</v>
      </c>
      <c r="BT365" s="44"/>
      <c r="BU365" s="45" t="s">
        <v>16</v>
      </c>
      <c r="BV365" s="46" t="str">
        <f>IF(VLOOKUP(BU365,βοηθητικό!$J$2:$N$354,3,FALSE)="","",VLOOKUP(BU365,βοηθητικό!$J$2:$N$354,3,FALSE))</f>
        <v>_</v>
      </c>
      <c r="BW365" s="47"/>
      <c r="BX365" s="42" t="s">
        <v>16</v>
      </c>
      <c r="BY365" s="43" t="str">
        <f>IF(VLOOKUP(BX365,βοηθητικό!$J$2:$N$354,3,FALSE)="","",VLOOKUP(BX365,βοηθητικό!$J$2:$N$354,3,FALSE))</f>
        <v>_</v>
      </c>
      <c r="BZ365" s="44"/>
      <c r="CA365" s="45" t="s">
        <v>16</v>
      </c>
      <c r="CB365" s="46" t="str">
        <f>IF(VLOOKUP(CA365,βοηθητικό!$J$2:$N$354,3,FALSE)="","",VLOOKUP(CA365,βοηθητικό!$J$2:$N$354,3,FALSE))</f>
        <v>_</v>
      </c>
      <c r="CC365" s="47"/>
      <c r="CD365" s="42" t="s">
        <v>16</v>
      </c>
      <c r="CE365" s="43" t="str">
        <f>IF(VLOOKUP(CD365,βοηθητικό!$J$2:$N$354,3,FALSE)="","",VLOOKUP(CD365,βοηθητικό!$J$2:$N$354,3,FALSE))</f>
        <v>_</v>
      </c>
      <c r="CF365" s="44"/>
      <c r="CG365" s="45" t="s">
        <v>16</v>
      </c>
      <c r="CH365" s="46" t="str">
        <f>IF(VLOOKUP(CG365,βοηθητικό!$J$2:$N$354,3,FALSE)="","",VLOOKUP(CG365,βοηθητικό!$J$2:$N$354,3,FALSE))</f>
        <v>_</v>
      </c>
      <c r="CI365" s="47"/>
      <c r="CJ365" s="42" t="s">
        <v>16</v>
      </c>
      <c r="CK365" s="43" t="str">
        <f>IF(VLOOKUP(CJ365,βοηθητικό!$J$2:$N$354,3,FALSE)="","",VLOOKUP(CJ365,βοηθητικό!$J$2:$N$354,3,FALSE))</f>
        <v>_</v>
      </c>
      <c r="CL365" s="44"/>
      <c r="CM365" s="45" t="s">
        <v>16</v>
      </c>
      <c r="CN365" s="46" t="str">
        <f>IF(VLOOKUP(CM365,βοηθητικό!$J$2:$N$354,3,FALSE)="","",VLOOKUP(CM365,βοηθητικό!$J$2:$N$354,3,FALSE))</f>
        <v>_</v>
      </c>
      <c r="CO365" s="47"/>
      <c r="CP365" s="42" t="s">
        <v>16</v>
      </c>
      <c r="CQ365" s="43" t="str">
        <f>IF(VLOOKUP(CP365,βοηθητικό!$J$2:$N$354,3,FALSE)="","",VLOOKUP(CP365,βοηθητικό!$J$2:$N$354,3,FALSE))</f>
        <v>_</v>
      </c>
      <c r="CR365" s="44"/>
      <c r="CS365" s="45" t="s">
        <v>16</v>
      </c>
      <c r="CT365" s="46" t="str">
        <f>IF(VLOOKUP(CS365,βοηθητικό!$J$2:$N$354,3,FALSE)="","",VLOOKUP(CS365,βοηθητικό!$J$2:$N$354,3,FALSE))</f>
        <v>_</v>
      </c>
      <c r="CU365" s="47"/>
    </row>
    <row r="366" spans="1:99" x14ac:dyDescent="0.25">
      <c r="A366" s="37">
        <f>--SUBTOTAL(3,$B$3:B365)</f>
        <v>198</v>
      </c>
      <c r="B366" s="2"/>
      <c r="C366" s="3"/>
      <c r="D366" s="55" t="s">
        <v>18</v>
      </c>
      <c r="E366" s="38" t="s">
        <v>16</v>
      </c>
      <c r="F366" s="38" t="s">
        <v>16</v>
      </c>
      <c r="G366" s="39" t="str">
        <f t="shared" si="17"/>
        <v>__</v>
      </c>
      <c r="H366" s="40" t="str">
        <f t="shared" si="18"/>
        <v>FALSE</v>
      </c>
      <c r="I366" s="41">
        <f t="shared" si="19"/>
        <v>0</v>
      </c>
      <c r="J366" s="4" t="s">
        <v>16</v>
      </c>
      <c r="K366" s="43" t="str">
        <f>IF(VLOOKUP(J366,βοηθητικό!$J$2:$N$354,3,FALSE)="","",VLOOKUP(J366,βοηθητικό!$J$2:$N$354,3,FALSE))</f>
        <v>_</v>
      </c>
      <c r="L366" s="44"/>
      <c r="M366" s="5" t="s">
        <v>16</v>
      </c>
      <c r="N366" s="46" t="str">
        <f>IF(VLOOKUP(M366,βοηθητικό!$J$2:$N$354,3,FALSE)="","",VLOOKUP(M366,βοηθητικό!$J$2:$N$354,3,FALSE))</f>
        <v>_</v>
      </c>
      <c r="O366" s="47"/>
      <c r="P366" s="4" t="s">
        <v>16</v>
      </c>
      <c r="Q366" s="43" t="str">
        <f>IF(VLOOKUP(P366,βοηθητικό!$J$2:$N$354,3,FALSE)="","",VLOOKUP(P366,βοηθητικό!$J$2:$N$354,3,FALSE))</f>
        <v>_</v>
      </c>
      <c r="R366" s="44"/>
      <c r="S366" s="5" t="s">
        <v>16</v>
      </c>
      <c r="T366" s="46" t="str">
        <f>IF(VLOOKUP(S366,βοηθητικό!$J$2:$N$354,3,FALSE)="","",VLOOKUP(S366,βοηθητικό!$J$2:$N$354,3,FALSE))</f>
        <v>_</v>
      </c>
      <c r="U366" s="47"/>
      <c r="V366" s="4" t="s">
        <v>16</v>
      </c>
      <c r="W366" s="43" t="str">
        <f>IF(VLOOKUP(V366,βοηθητικό!$J$2:$N$354,3,FALSE)="","",VLOOKUP(V366,βοηθητικό!$J$2:$N$354,3,FALSE))</f>
        <v>_</v>
      </c>
      <c r="X366" s="44"/>
      <c r="Y366" s="5" t="s">
        <v>16</v>
      </c>
      <c r="Z366" s="46" t="str">
        <f>IF(VLOOKUP(Y366,βοηθητικό!$J$2:$N$354,3,FALSE)="","",VLOOKUP(Y366,βοηθητικό!$J$2:$N$354,3,FALSE))</f>
        <v>_</v>
      </c>
      <c r="AA366" s="47"/>
      <c r="AB366" s="4" t="s">
        <v>16</v>
      </c>
      <c r="AC366" s="43" t="str">
        <f>IF(VLOOKUP(AB366,βοηθητικό!$J$2:$N$354,3,FALSE)="","",VLOOKUP(AB366,βοηθητικό!$J$2:$N$354,3,FALSE))</f>
        <v>_</v>
      </c>
      <c r="AD366" s="44"/>
      <c r="AE366" s="5" t="s">
        <v>16</v>
      </c>
      <c r="AF366" s="46" t="str">
        <f>IF(VLOOKUP(AE366,βοηθητικό!$J$2:$N$354,3,FALSE)="","",VLOOKUP(AE366,βοηθητικό!$J$2:$N$354,3,FALSE))</f>
        <v>_</v>
      </c>
      <c r="AG366" s="47"/>
      <c r="AH366" s="4" t="s">
        <v>16</v>
      </c>
      <c r="AI366" s="43" t="str">
        <f>IF(VLOOKUP(AH366,βοηθητικό!$J$2:$N$354,3,FALSE)="","",VLOOKUP(AH366,βοηθητικό!$J$2:$N$354,3,FALSE))</f>
        <v>_</v>
      </c>
      <c r="AJ366" s="44"/>
      <c r="AK366" s="5" t="s">
        <v>16</v>
      </c>
      <c r="AL366" s="46" t="str">
        <f>IF(VLOOKUP(AK366,βοηθητικό!$J$2:$N$354,3,FALSE)="","",VLOOKUP(AK366,βοηθητικό!$J$2:$N$354,3,FALSE))</f>
        <v>_</v>
      </c>
      <c r="AM366" s="47"/>
      <c r="AN366" s="4" t="s">
        <v>16</v>
      </c>
      <c r="AO366" s="43" t="str">
        <f>IF(VLOOKUP(AN366,βοηθητικό!$J$2:$N$354,3,FALSE)="","",VLOOKUP(AN366,βοηθητικό!$J$2:$N$354,3,FALSE))</f>
        <v>_</v>
      </c>
      <c r="AP366" s="44"/>
      <c r="AQ366" s="5" t="s">
        <v>16</v>
      </c>
      <c r="AR366" s="46" t="str">
        <f>IF(VLOOKUP(AQ366,βοηθητικό!$J$2:$N$354,3,FALSE)="","",VLOOKUP(AQ366,βοηθητικό!$J$2:$N$354,3,FALSE))</f>
        <v>_</v>
      </c>
      <c r="AS366" s="47"/>
      <c r="AT366" s="4" t="s">
        <v>16</v>
      </c>
      <c r="AU366" s="43" t="str">
        <f>IF(VLOOKUP(AT366,βοηθητικό!$J$2:$N$354,3,FALSE)="","",VLOOKUP(AT366,βοηθητικό!$J$2:$N$354,3,FALSE))</f>
        <v>_</v>
      </c>
      <c r="AV366" s="44"/>
      <c r="AW366" s="5" t="s">
        <v>16</v>
      </c>
      <c r="AX366" s="46" t="str">
        <f>IF(VLOOKUP(AW366,βοηθητικό!$J$2:$N$354,3,FALSE)="","",VLOOKUP(AW366,βοηθητικό!$J$2:$N$354,3,FALSE))</f>
        <v>_</v>
      </c>
      <c r="AY366" s="47"/>
      <c r="AZ366" s="4" t="s">
        <v>16</v>
      </c>
      <c r="BA366" s="43" t="str">
        <f>IF(VLOOKUP(AZ366,βοηθητικό!$J$2:$N$354,3,FALSE)="","",VLOOKUP(AZ366,βοηθητικό!$J$2:$N$354,3,FALSE))</f>
        <v>_</v>
      </c>
      <c r="BB366" s="44"/>
      <c r="BC366" s="45" t="s">
        <v>16</v>
      </c>
      <c r="BD366" s="46" t="str">
        <f>IF(VLOOKUP(BC366,βοηθητικό!$J$2:$N$354,3,FALSE)="","",VLOOKUP(BC366,βοηθητικό!$J$2:$N$354,3,FALSE))</f>
        <v>_</v>
      </c>
      <c r="BE366" s="47"/>
      <c r="BF366" s="42" t="s">
        <v>16</v>
      </c>
      <c r="BG366" s="43" t="str">
        <f>IF(VLOOKUP(BF366,βοηθητικό!$J$2:$N$354,3,FALSE)="","",VLOOKUP(BF366,βοηθητικό!$J$2:$N$354,3,FALSE))</f>
        <v>_</v>
      </c>
      <c r="BH366" s="44"/>
      <c r="BI366" s="45" t="s">
        <v>16</v>
      </c>
      <c r="BJ366" s="46" t="str">
        <f>IF(VLOOKUP(BI366,βοηθητικό!$J$2:$N$354,3,FALSE)="","",VLOOKUP(BI366,βοηθητικό!$J$2:$N$354,3,FALSE))</f>
        <v>_</v>
      </c>
      <c r="BK366" s="47"/>
      <c r="BL366" s="42" t="s">
        <v>16</v>
      </c>
      <c r="BM366" s="43" t="str">
        <f>IF(VLOOKUP(BL366,βοηθητικό!$J$2:$N$354,3,FALSE)="","",VLOOKUP(BL366,βοηθητικό!$J$2:$N$354,3,FALSE))</f>
        <v>_</v>
      </c>
      <c r="BN366" s="44"/>
      <c r="BO366" s="45" t="s">
        <v>16</v>
      </c>
      <c r="BP366" s="46" t="str">
        <f>IF(VLOOKUP(BO366,βοηθητικό!$J$2:$N$354,3,FALSE)="","",VLOOKUP(BO366,βοηθητικό!$J$2:$N$354,3,FALSE))</f>
        <v>_</v>
      </c>
      <c r="BQ366" s="47"/>
      <c r="BR366" s="42" t="s">
        <v>16</v>
      </c>
      <c r="BS366" s="43" t="str">
        <f>IF(VLOOKUP(BR366,βοηθητικό!$J$2:$N$354,3,FALSE)="","",VLOOKUP(BR366,βοηθητικό!$J$2:$N$354,3,FALSE))</f>
        <v>_</v>
      </c>
      <c r="BT366" s="44"/>
      <c r="BU366" s="45" t="s">
        <v>16</v>
      </c>
      <c r="BV366" s="46" t="str">
        <f>IF(VLOOKUP(BU366,βοηθητικό!$J$2:$N$354,3,FALSE)="","",VLOOKUP(BU366,βοηθητικό!$J$2:$N$354,3,FALSE))</f>
        <v>_</v>
      </c>
      <c r="BW366" s="47"/>
      <c r="BX366" s="42" t="s">
        <v>16</v>
      </c>
      <c r="BY366" s="43" t="str">
        <f>IF(VLOOKUP(BX366,βοηθητικό!$J$2:$N$354,3,FALSE)="","",VLOOKUP(BX366,βοηθητικό!$J$2:$N$354,3,FALSE))</f>
        <v>_</v>
      </c>
      <c r="BZ366" s="44"/>
      <c r="CA366" s="45" t="s">
        <v>16</v>
      </c>
      <c r="CB366" s="46" t="str">
        <f>IF(VLOOKUP(CA366,βοηθητικό!$J$2:$N$354,3,FALSE)="","",VLOOKUP(CA366,βοηθητικό!$J$2:$N$354,3,FALSE))</f>
        <v>_</v>
      </c>
      <c r="CC366" s="47"/>
      <c r="CD366" s="42" t="s">
        <v>16</v>
      </c>
      <c r="CE366" s="43" t="str">
        <f>IF(VLOOKUP(CD366,βοηθητικό!$J$2:$N$354,3,FALSE)="","",VLOOKUP(CD366,βοηθητικό!$J$2:$N$354,3,FALSE))</f>
        <v>_</v>
      </c>
      <c r="CF366" s="44"/>
      <c r="CG366" s="45" t="s">
        <v>16</v>
      </c>
      <c r="CH366" s="46" t="str">
        <f>IF(VLOOKUP(CG366,βοηθητικό!$J$2:$N$354,3,FALSE)="","",VLOOKUP(CG366,βοηθητικό!$J$2:$N$354,3,FALSE))</f>
        <v>_</v>
      </c>
      <c r="CI366" s="47"/>
      <c r="CJ366" s="42" t="s">
        <v>16</v>
      </c>
      <c r="CK366" s="43" t="str">
        <f>IF(VLOOKUP(CJ366,βοηθητικό!$J$2:$N$354,3,FALSE)="","",VLOOKUP(CJ366,βοηθητικό!$J$2:$N$354,3,FALSE))</f>
        <v>_</v>
      </c>
      <c r="CL366" s="44"/>
      <c r="CM366" s="45" t="s">
        <v>16</v>
      </c>
      <c r="CN366" s="46" t="str">
        <f>IF(VLOOKUP(CM366,βοηθητικό!$J$2:$N$354,3,FALSE)="","",VLOOKUP(CM366,βοηθητικό!$J$2:$N$354,3,FALSE))</f>
        <v>_</v>
      </c>
      <c r="CO366" s="47"/>
      <c r="CP366" s="42" t="s">
        <v>16</v>
      </c>
      <c r="CQ366" s="43" t="str">
        <f>IF(VLOOKUP(CP366,βοηθητικό!$J$2:$N$354,3,FALSE)="","",VLOOKUP(CP366,βοηθητικό!$J$2:$N$354,3,FALSE))</f>
        <v>_</v>
      </c>
      <c r="CR366" s="44"/>
      <c r="CS366" s="45" t="s">
        <v>16</v>
      </c>
      <c r="CT366" s="46" t="str">
        <f>IF(VLOOKUP(CS366,βοηθητικό!$J$2:$N$354,3,FALSE)="","",VLOOKUP(CS366,βοηθητικό!$J$2:$N$354,3,FALSE))</f>
        <v>_</v>
      </c>
      <c r="CU366" s="47"/>
    </row>
    <row r="367" spans="1:99" x14ac:dyDescent="0.25">
      <c r="A367" s="37">
        <f>--SUBTOTAL(3,$B$3:B366)</f>
        <v>198</v>
      </c>
      <c r="B367" s="2"/>
      <c r="C367" s="3"/>
      <c r="D367" s="55" t="s">
        <v>18</v>
      </c>
      <c r="E367" s="38" t="s">
        <v>16</v>
      </c>
      <c r="F367" s="38" t="s">
        <v>16</v>
      </c>
      <c r="G367" s="39" t="str">
        <f t="shared" si="17"/>
        <v>__</v>
      </c>
      <c r="H367" s="40" t="str">
        <f t="shared" si="18"/>
        <v>FALSE</v>
      </c>
      <c r="I367" s="41">
        <f t="shared" si="19"/>
        <v>0</v>
      </c>
      <c r="J367" s="4" t="s">
        <v>16</v>
      </c>
      <c r="K367" s="43" t="str">
        <f>IF(VLOOKUP(J367,βοηθητικό!$J$2:$N$354,3,FALSE)="","",VLOOKUP(J367,βοηθητικό!$J$2:$N$354,3,FALSE))</f>
        <v>_</v>
      </c>
      <c r="L367" s="44"/>
      <c r="M367" s="5" t="s">
        <v>16</v>
      </c>
      <c r="N367" s="46" t="str">
        <f>IF(VLOOKUP(M367,βοηθητικό!$J$2:$N$354,3,FALSE)="","",VLOOKUP(M367,βοηθητικό!$J$2:$N$354,3,FALSE))</f>
        <v>_</v>
      </c>
      <c r="O367" s="47"/>
      <c r="P367" s="4" t="s">
        <v>16</v>
      </c>
      <c r="Q367" s="43" t="str">
        <f>IF(VLOOKUP(P367,βοηθητικό!$J$2:$N$354,3,FALSE)="","",VLOOKUP(P367,βοηθητικό!$J$2:$N$354,3,FALSE))</f>
        <v>_</v>
      </c>
      <c r="R367" s="44"/>
      <c r="S367" s="5" t="s">
        <v>16</v>
      </c>
      <c r="T367" s="46" t="str">
        <f>IF(VLOOKUP(S367,βοηθητικό!$J$2:$N$354,3,FALSE)="","",VLOOKUP(S367,βοηθητικό!$J$2:$N$354,3,FALSE))</f>
        <v>_</v>
      </c>
      <c r="U367" s="47"/>
      <c r="V367" s="4" t="s">
        <v>16</v>
      </c>
      <c r="W367" s="43" t="str">
        <f>IF(VLOOKUP(V367,βοηθητικό!$J$2:$N$354,3,FALSE)="","",VLOOKUP(V367,βοηθητικό!$J$2:$N$354,3,FALSE))</f>
        <v>_</v>
      </c>
      <c r="X367" s="44"/>
      <c r="Y367" s="5" t="s">
        <v>16</v>
      </c>
      <c r="Z367" s="46" t="str">
        <f>IF(VLOOKUP(Y367,βοηθητικό!$J$2:$N$354,3,FALSE)="","",VLOOKUP(Y367,βοηθητικό!$J$2:$N$354,3,FALSE))</f>
        <v>_</v>
      </c>
      <c r="AA367" s="47"/>
      <c r="AB367" s="4" t="s">
        <v>16</v>
      </c>
      <c r="AC367" s="43" t="str">
        <f>IF(VLOOKUP(AB367,βοηθητικό!$J$2:$N$354,3,FALSE)="","",VLOOKUP(AB367,βοηθητικό!$J$2:$N$354,3,FALSE))</f>
        <v>_</v>
      </c>
      <c r="AD367" s="44"/>
      <c r="AE367" s="5" t="s">
        <v>16</v>
      </c>
      <c r="AF367" s="46" t="str">
        <f>IF(VLOOKUP(AE367,βοηθητικό!$J$2:$N$354,3,FALSE)="","",VLOOKUP(AE367,βοηθητικό!$J$2:$N$354,3,FALSE))</f>
        <v>_</v>
      </c>
      <c r="AG367" s="47"/>
      <c r="AH367" s="4" t="s">
        <v>16</v>
      </c>
      <c r="AI367" s="43" t="str">
        <f>IF(VLOOKUP(AH367,βοηθητικό!$J$2:$N$354,3,FALSE)="","",VLOOKUP(AH367,βοηθητικό!$J$2:$N$354,3,FALSE))</f>
        <v>_</v>
      </c>
      <c r="AJ367" s="44"/>
      <c r="AK367" s="5" t="s">
        <v>16</v>
      </c>
      <c r="AL367" s="46" t="str">
        <f>IF(VLOOKUP(AK367,βοηθητικό!$J$2:$N$354,3,FALSE)="","",VLOOKUP(AK367,βοηθητικό!$J$2:$N$354,3,FALSE))</f>
        <v>_</v>
      </c>
      <c r="AM367" s="47"/>
      <c r="AN367" s="4" t="s">
        <v>16</v>
      </c>
      <c r="AO367" s="43" t="str">
        <f>IF(VLOOKUP(AN367,βοηθητικό!$J$2:$N$354,3,FALSE)="","",VLOOKUP(AN367,βοηθητικό!$J$2:$N$354,3,FALSE))</f>
        <v>_</v>
      </c>
      <c r="AP367" s="44"/>
      <c r="AQ367" s="5" t="s">
        <v>16</v>
      </c>
      <c r="AR367" s="46" t="str">
        <f>IF(VLOOKUP(AQ367,βοηθητικό!$J$2:$N$354,3,FALSE)="","",VLOOKUP(AQ367,βοηθητικό!$J$2:$N$354,3,FALSE))</f>
        <v>_</v>
      </c>
      <c r="AS367" s="47"/>
      <c r="AT367" s="4" t="s">
        <v>16</v>
      </c>
      <c r="AU367" s="43" t="str">
        <f>IF(VLOOKUP(AT367,βοηθητικό!$J$2:$N$354,3,FALSE)="","",VLOOKUP(AT367,βοηθητικό!$J$2:$N$354,3,FALSE))</f>
        <v>_</v>
      </c>
      <c r="AV367" s="44"/>
      <c r="AW367" s="5" t="s">
        <v>16</v>
      </c>
      <c r="AX367" s="46" t="str">
        <f>IF(VLOOKUP(AW367,βοηθητικό!$J$2:$N$354,3,FALSE)="","",VLOOKUP(AW367,βοηθητικό!$J$2:$N$354,3,FALSE))</f>
        <v>_</v>
      </c>
      <c r="AY367" s="47"/>
      <c r="AZ367" s="4" t="s">
        <v>16</v>
      </c>
      <c r="BA367" s="43" t="str">
        <f>IF(VLOOKUP(AZ367,βοηθητικό!$J$2:$N$354,3,FALSE)="","",VLOOKUP(AZ367,βοηθητικό!$J$2:$N$354,3,FALSE))</f>
        <v>_</v>
      </c>
      <c r="BB367" s="44"/>
      <c r="BC367" s="45" t="s">
        <v>16</v>
      </c>
      <c r="BD367" s="46" t="str">
        <f>IF(VLOOKUP(BC367,βοηθητικό!$J$2:$N$354,3,FALSE)="","",VLOOKUP(BC367,βοηθητικό!$J$2:$N$354,3,FALSE))</f>
        <v>_</v>
      </c>
      <c r="BE367" s="47"/>
      <c r="BF367" s="42" t="s">
        <v>16</v>
      </c>
      <c r="BG367" s="43" t="str">
        <f>IF(VLOOKUP(BF367,βοηθητικό!$J$2:$N$354,3,FALSE)="","",VLOOKUP(BF367,βοηθητικό!$J$2:$N$354,3,FALSE))</f>
        <v>_</v>
      </c>
      <c r="BH367" s="44"/>
      <c r="BI367" s="45" t="s">
        <v>16</v>
      </c>
      <c r="BJ367" s="46" t="str">
        <f>IF(VLOOKUP(BI367,βοηθητικό!$J$2:$N$354,3,FALSE)="","",VLOOKUP(BI367,βοηθητικό!$J$2:$N$354,3,FALSE))</f>
        <v>_</v>
      </c>
      <c r="BK367" s="47"/>
      <c r="BL367" s="42" t="s">
        <v>16</v>
      </c>
      <c r="BM367" s="43" t="str">
        <f>IF(VLOOKUP(BL367,βοηθητικό!$J$2:$N$354,3,FALSE)="","",VLOOKUP(BL367,βοηθητικό!$J$2:$N$354,3,FALSE))</f>
        <v>_</v>
      </c>
      <c r="BN367" s="44"/>
      <c r="BO367" s="45" t="s">
        <v>16</v>
      </c>
      <c r="BP367" s="46" t="str">
        <f>IF(VLOOKUP(BO367,βοηθητικό!$J$2:$N$354,3,FALSE)="","",VLOOKUP(BO367,βοηθητικό!$J$2:$N$354,3,FALSE))</f>
        <v>_</v>
      </c>
      <c r="BQ367" s="47"/>
      <c r="BR367" s="42" t="s">
        <v>16</v>
      </c>
      <c r="BS367" s="43" t="str">
        <f>IF(VLOOKUP(BR367,βοηθητικό!$J$2:$N$354,3,FALSE)="","",VLOOKUP(BR367,βοηθητικό!$J$2:$N$354,3,FALSE))</f>
        <v>_</v>
      </c>
      <c r="BT367" s="44"/>
      <c r="BU367" s="45" t="s">
        <v>16</v>
      </c>
      <c r="BV367" s="46" t="str">
        <f>IF(VLOOKUP(BU367,βοηθητικό!$J$2:$N$354,3,FALSE)="","",VLOOKUP(BU367,βοηθητικό!$J$2:$N$354,3,FALSE))</f>
        <v>_</v>
      </c>
      <c r="BW367" s="47"/>
      <c r="BX367" s="42" t="s">
        <v>16</v>
      </c>
      <c r="BY367" s="43" t="str">
        <f>IF(VLOOKUP(BX367,βοηθητικό!$J$2:$N$354,3,FALSE)="","",VLOOKUP(BX367,βοηθητικό!$J$2:$N$354,3,FALSE))</f>
        <v>_</v>
      </c>
      <c r="BZ367" s="44"/>
      <c r="CA367" s="45" t="s">
        <v>16</v>
      </c>
      <c r="CB367" s="46" t="str">
        <f>IF(VLOOKUP(CA367,βοηθητικό!$J$2:$N$354,3,FALSE)="","",VLOOKUP(CA367,βοηθητικό!$J$2:$N$354,3,FALSE))</f>
        <v>_</v>
      </c>
      <c r="CC367" s="47"/>
      <c r="CD367" s="42" t="s">
        <v>16</v>
      </c>
      <c r="CE367" s="43" t="str">
        <f>IF(VLOOKUP(CD367,βοηθητικό!$J$2:$N$354,3,FALSE)="","",VLOOKUP(CD367,βοηθητικό!$J$2:$N$354,3,FALSE))</f>
        <v>_</v>
      </c>
      <c r="CF367" s="44"/>
      <c r="CG367" s="45" t="s">
        <v>16</v>
      </c>
      <c r="CH367" s="46" t="str">
        <f>IF(VLOOKUP(CG367,βοηθητικό!$J$2:$N$354,3,FALSE)="","",VLOOKUP(CG367,βοηθητικό!$J$2:$N$354,3,FALSE))</f>
        <v>_</v>
      </c>
      <c r="CI367" s="47"/>
      <c r="CJ367" s="42" t="s">
        <v>16</v>
      </c>
      <c r="CK367" s="43" t="str">
        <f>IF(VLOOKUP(CJ367,βοηθητικό!$J$2:$N$354,3,FALSE)="","",VLOOKUP(CJ367,βοηθητικό!$J$2:$N$354,3,FALSE))</f>
        <v>_</v>
      </c>
      <c r="CL367" s="44"/>
      <c r="CM367" s="45" t="s">
        <v>16</v>
      </c>
      <c r="CN367" s="46" t="str">
        <f>IF(VLOOKUP(CM367,βοηθητικό!$J$2:$N$354,3,FALSE)="","",VLOOKUP(CM367,βοηθητικό!$J$2:$N$354,3,FALSE))</f>
        <v>_</v>
      </c>
      <c r="CO367" s="47"/>
      <c r="CP367" s="42" t="s">
        <v>16</v>
      </c>
      <c r="CQ367" s="43" t="str">
        <f>IF(VLOOKUP(CP367,βοηθητικό!$J$2:$N$354,3,FALSE)="","",VLOOKUP(CP367,βοηθητικό!$J$2:$N$354,3,FALSE))</f>
        <v>_</v>
      </c>
      <c r="CR367" s="44"/>
      <c r="CS367" s="45" t="s">
        <v>16</v>
      </c>
      <c r="CT367" s="46" t="str">
        <f>IF(VLOOKUP(CS367,βοηθητικό!$J$2:$N$354,3,FALSE)="","",VLOOKUP(CS367,βοηθητικό!$J$2:$N$354,3,FALSE))</f>
        <v>_</v>
      </c>
      <c r="CU367" s="47"/>
    </row>
    <row r="368" spans="1:99" x14ac:dyDescent="0.25">
      <c r="A368" s="37">
        <f>--SUBTOTAL(3,$B$3:B367)</f>
        <v>198</v>
      </c>
      <c r="B368" s="2"/>
      <c r="C368" s="3"/>
      <c r="D368" s="55" t="s">
        <v>18</v>
      </c>
      <c r="E368" s="38" t="s">
        <v>16</v>
      </c>
      <c r="F368" s="38" t="s">
        <v>16</v>
      </c>
      <c r="G368" s="39" t="str">
        <f t="shared" si="17"/>
        <v>__</v>
      </c>
      <c r="H368" s="40" t="str">
        <f t="shared" si="18"/>
        <v>FALSE</v>
      </c>
      <c r="I368" s="41">
        <f t="shared" si="19"/>
        <v>0</v>
      </c>
      <c r="J368" s="4" t="s">
        <v>16</v>
      </c>
      <c r="K368" s="43" t="str">
        <f>IF(VLOOKUP(J368,βοηθητικό!$J$2:$N$354,3,FALSE)="","",VLOOKUP(J368,βοηθητικό!$J$2:$N$354,3,FALSE))</f>
        <v>_</v>
      </c>
      <c r="L368" s="44"/>
      <c r="M368" s="5" t="s">
        <v>16</v>
      </c>
      <c r="N368" s="46" t="str">
        <f>IF(VLOOKUP(M368,βοηθητικό!$J$2:$N$354,3,FALSE)="","",VLOOKUP(M368,βοηθητικό!$J$2:$N$354,3,FALSE))</f>
        <v>_</v>
      </c>
      <c r="O368" s="47"/>
      <c r="P368" s="4" t="s">
        <v>16</v>
      </c>
      <c r="Q368" s="43" t="str">
        <f>IF(VLOOKUP(P368,βοηθητικό!$J$2:$N$354,3,FALSE)="","",VLOOKUP(P368,βοηθητικό!$J$2:$N$354,3,FALSE))</f>
        <v>_</v>
      </c>
      <c r="R368" s="44"/>
      <c r="S368" s="5" t="s">
        <v>16</v>
      </c>
      <c r="T368" s="46" t="str">
        <f>IF(VLOOKUP(S368,βοηθητικό!$J$2:$N$354,3,FALSE)="","",VLOOKUP(S368,βοηθητικό!$J$2:$N$354,3,FALSE))</f>
        <v>_</v>
      </c>
      <c r="U368" s="47"/>
      <c r="V368" s="4" t="s">
        <v>16</v>
      </c>
      <c r="W368" s="43" t="str">
        <f>IF(VLOOKUP(V368,βοηθητικό!$J$2:$N$354,3,FALSE)="","",VLOOKUP(V368,βοηθητικό!$J$2:$N$354,3,FALSE))</f>
        <v>_</v>
      </c>
      <c r="X368" s="44"/>
      <c r="Y368" s="5" t="s">
        <v>16</v>
      </c>
      <c r="Z368" s="46" t="str">
        <f>IF(VLOOKUP(Y368,βοηθητικό!$J$2:$N$354,3,FALSE)="","",VLOOKUP(Y368,βοηθητικό!$J$2:$N$354,3,FALSE))</f>
        <v>_</v>
      </c>
      <c r="AA368" s="47"/>
      <c r="AB368" s="4" t="s">
        <v>16</v>
      </c>
      <c r="AC368" s="43" t="str">
        <f>IF(VLOOKUP(AB368,βοηθητικό!$J$2:$N$354,3,FALSE)="","",VLOOKUP(AB368,βοηθητικό!$J$2:$N$354,3,FALSE))</f>
        <v>_</v>
      </c>
      <c r="AD368" s="44"/>
      <c r="AE368" s="5" t="s">
        <v>16</v>
      </c>
      <c r="AF368" s="46" t="str">
        <f>IF(VLOOKUP(AE368,βοηθητικό!$J$2:$N$354,3,FALSE)="","",VLOOKUP(AE368,βοηθητικό!$J$2:$N$354,3,FALSE))</f>
        <v>_</v>
      </c>
      <c r="AG368" s="47"/>
      <c r="AH368" s="4" t="s">
        <v>16</v>
      </c>
      <c r="AI368" s="43" t="str">
        <f>IF(VLOOKUP(AH368,βοηθητικό!$J$2:$N$354,3,FALSE)="","",VLOOKUP(AH368,βοηθητικό!$J$2:$N$354,3,FALSE))</f>
        <v>_</v>
      </c>
      <c r="AJ368" s="44"/>
      <c r="AK368" s="5" t="s">
        <v>16</v>
      </c>
      <c r="AL368" s="46" t="str">
        <f>IF(VLOOKUP(AK368,βοηθητικό!$J$2:$N$354,3,FALSE)="","",VLOOKUP(AK368,βοηθητικό!$J$2:$N$354,3,FALSE))</f>
        <v>_</v>
      </c>
      <c r="AM368" s="47"/>
      <c r="AN368" s="4" t="s">
        <v>16</v>
      </c>
      <c r="AO368" s="43" t="str">
        <f>IF(VLOOKUP(AN368,βοηθητικό!$J$2:$N$354,3,FALSE)="","",VLOOKUP(AN368,βοηθητικό!$J$2:$N$354,3,FALSE))</f>
        <v>_</v>
      </c>
      <c r="AP368" s="44"/>
      <c r="AQ368" s="5" t="s">
        <v>16</v>
      </c>
      <c r="AR368" s="46" t="str">
        <f>IF(VLOOKUP(AQ368,βοηθητικό!$J$2:$N$354,3,FALSE)="","",VLOOKUP(AQ368,βοηθητικό!$J$2:$N$354,3,FALSE))</f>
        <v>_</v>
      </c>
      <c r="AS368" s="47"/>
      <c r="AT368" s="4" t="s">
        <v>16</v>
      </c>
      <c r="AU368" s="43" t="str">
        <f>IF(VLOOKUP(AT368,βοηθητικό!$J$2:$N$354,3,FALSE)="","",VLOOKUP(AT368,βοηθητικό!$J$2:$N$354,3,FALSE))</f>
        <v>_</v>
      </c>
      <c r="AV368" s="44"/>
      <c r="AW368" s="5" t="s">
        <v>16</v>
      </c>
      <c r="AX368" s="46" t="str">
        <f>IF(VLOOKUP(AW368,βοηθητικό!$J$2:$N$354,3,FALSE)="","",VLOOKUP(AW368,βοηθητικό!$J$2:$N$354,3,FALSE))</f>
        <v>_</v>
      </c>
      <c r="AY368" s="47"/>
      <c r="AZ368" s="4" t="s">
        <v>16</v>
      </c>
      <c r="BA368" s="43" t="str">
        <f>IF(VLOOKUP(AZ368,βοηθητικό!$J$2:$N$354,3,FALSE)="","",VLOOKUP(AZ368,βοηθητικό!$J$2:$N$354,3,FALSE))</f>
        <v>_</v>
      </c>
      <c r="BB368" s="44"/>
      <c r="BC368" s="45" t="s">
        <v>16</v>
      </c>
      <c r="BD368" s="46" t="str">
        <f>IF(VLOOKUP(BC368,βοηθητικό!$J$2:$N$354,3,FALSE)="","",VLOOKUP(BC368,βοηθητικό!$J$2:$N$354,3,FALSE))</f>
        <v>_</v>
      </c>
      <c r="BE368" s="47"/>
      <c r="BF368" s="42" t="s">
        <v>16</v>
      </c>
      <c r="BG368" s="43" t="str">
        <f>IF(VLOOKUP(BF368,βοηθητικό!$J$2:$N$354,3,FALSE)="","",VLOOKUP(BF368,βοηθητικό!$J$2:$N$354,3,FALSE))</f>
        <v>_</v>
      </c>
      <c r="BH368" s="44"/>
      <c r="BI368" s="45" t="s">
        <v>16</v>
      </c>
      <c r="BJ368" s="46" t="str">
        <f>IF(VLOOKUP(BI368,βοηθητικό!$J$2:$N$354,3,FALSE)="","",VLOOKUP(BI368,βοηθητικό!$J$2:$N$354,3,FALSE))</f>
        <v>_</v>
      </c>
      <c r="BK368" s="47"/>
      <c r="BL368" s="42" t="s">
        <v>16</v>
      </c>
      <c r="BM368" s="43" t="str">
        <f>IF(VLOOKUP(BL368,βοηθητικό!$J$2:$N$354,3,FALSE)="","",VLOOKUP(BL368,βοηθητικό!$J$2:$N$354,3,FALSE))</f>
        <v>_</v>
      </c>
      <c r="BN368" s="44"/>
      <c r="BO368" s="45" t="s">
        <v>16</v>
      </c>
      <c r="BP368" s="46" t="str">
        <f>IF(VLOOKUP(BO368,βοηθητικό!$J$2:$N$354,3,FALSE)="","",VLOOKUP(BO368,βοηθητικό!$J$2:$N$354,3,FALSE))</f>
        <v>_</v>
      </c>
      <c r="BQ368" s="47"/>
      <c r="BR368" s="42" t="s">
        <v>16</v>
      </c>
      <c r="BS368" s="43" t="str">
        <f>IF(VLOOKUP(BR368,βοηθητικό!$J$2:$N$354,3,FALSE)="","",VLOOKUP(BR368,βοηθητικό!$J$2:$N$354,3,FALSE))</f>
        <v>_</v>
      </c>
      <c r="BT368" s="44"/>
      <c r="BU368" s="45" t="s">
        <v>16</v>
      </c>
      <c r="BV368" s="46" t="str">
        <f>IF(VLOOKUP(BU368,βοηθητικό!$J$2:$N$354,3,FALSE)="","",VLOOKUP(BU368,βοηθητικό!$J$2:$N$354,3,FALSE))</f>
        <v>_</v>
      </c>
      <c r="BW368" s="47"/>
      <c r="BX368" s="42" t="s">
        <v>16</v>
      </c>
      <c r="BY368" s="43" t="str">
        <f>IF(VLOOKUP(BX368,βοηθητικό!$J$2:$N$354,3,FALSE)="","",VLOOKUP(BX368,βοηθητικό!$J$2:$N$354,3,FALSE))</f>
        <v>_</v>
      </c>
      <c r="BZ368" s="44"/>
      <c r="CA368" s="45" t="s">
        <v>16</v>
      </c>
      <c r="CB368" s="46" t="str">
        <f>IF(VLOOKUP(CA368,βοηθητικό!$J$2:$N$354,3,FALSE)="","",VLOOKUP(CA368,βοηθητικό!$J$2:$N$354,3,FALSE))</f>
        <v>_</v>
      </c>
      <c r="CC368" s="47"/>
      <c r="CD368" s="42" t="s">
        <v>16</v>
      </c>
      <c r="CE368" s="43" t="str">
        <f>IF(VLOOKUP(CD368,βοηθητικό!$J$2:$N$354,3,FALSE)="","",VLOOKUP(CD368,βοηθητικό!$J$2:$N$354,3,FALSE))</f>
        <v>_</v>
      </c>
      <c r="CF368" s="44"/>
      <c r="CG368" s="45" t="s">
        <v>16</v>
      </c>
      <c r="CH368" s="46" t="str">
        <f>IF(VLOOKUP(CG368,βοηθητικό!$J$2:$N$354,3,FALSE)="","",VLOOKUP(CG368,βοηθητικό!$J$2:$N$354,3,FALSE))</f>
        <v>_</v>
      </c>
      <c r="CI368" s="47"/>
      <c r="CJ368" s="42" t="s">
        <v>16</v>
      </c>
      <c r="CK368" s="43" t="str">
        <f>IF(VLOOKUP(CJ368,βοηθητικό!$J$2:$N$354,3,FALSE)="","",VLOOKUP(CJ368,βοηθητικό!$J$2:$N$354,3,FALSE))</f>
        <v>_</v>
      </c>
      <c r="CL368" s="44"/>
      <c r="CM368" s="45" t="s">
        <v>16</v>
      </c>
      <c r="CN368" s="46" t="str">
        <f>IF(VLOOKUP(CM368,βοηθητικό!$J$2:$N$354,3,FALSE)="","",VLOOKUP(CM368,βοηθητικό!$J$2:$N$354,3,FALSE))</f>
        <v>_</v>
      </c>
      <c r="CO368" s="47"/>
      <c r="CP368" s="42" t="s">
        <v>16</v>
      </c>
      <c r="CQ368" s="43" t="str">
        <f>IF(VLOOKUP(CP368,βοηθητικό!$J$2:$N$354,3,FALSE)="","",VLOOKUP(CP368,βοηθητικό!$J$2:$N$354,3,FALSE))</f>
        <v>_</v>
      </c>
      <c r="CR368" s="44"/>
      <c r="CS368" s="45" t="s">
        <v>16</v>
      </c>
      <c r="CT368" s="46" t="str">
        <f>IF(VLOOKUP(CS368,βοηθητικό!$J$2:$N$354,3,FALSE)="","",VLOOKUP(CS368,βοηθητικό!$J$2:$N$354,3,FALSE))</f>
        <v>_</v>
      </c>
      <c r="CU368" s="47"/>
    </row>
    <row r="369" spans="1:99" x14ac:dyDescent="0.25">
      <c r="A369" s="37">
        <f>--SUBTOTAL(3,$B$3:B368)</f>
        <v>198</v>
      </c>
      <c r="B369" s="2"/>
      <c r="C369" s="3"/>
      <c r="D369" s="55" t="s">
        <v>18</v>
      </c>
      <c r="E369" s="38" t="s">
        <v>16</v>
      </c>
      <c r="F369" s="38" t="s">
        <v>16</v>
      </c>
      <c r="G369" s="39" t="str">
        <f t="shared" si="17"/>
        <v>__</v>
      </c>
      <c r="H369" s="40" t="str">
        <f t="shared" si="18"/>
        <v>FALSE</v>
      </c>
      <c r="I369" s="41">
        <f t="shared" si="19"/>
        <v>0</v>
      </c>
      <c r="J369" s="4" t="s">
        <v>16</v>
      </c>
      <c r="K369" s="43" t="str">
        <f>IF(VLOOKUP(J369,βοηθητικό!$J$2:$N$354,3,FALSE)="","",VLOOKUP(J369,βοηθητικό!$J$2:$N$354,3,FALSE))</f>
        <v>_</v>
      </c>
      <c r="L369" s="44"/>
      <c r="M369" s="5" t="s">
        <v>16</v>
      </c>
      <c r="N369" s="46" t="str">
        <f>IF(VLOOKUP(M369,βοηθητικό!$J$2:$N$354,3,FALSE)="","",VLOOKUP(M369,βοηθητικό!$J$2:$N$354,3,FALSE))</f>
        <v>_</v>
      </c>
      <c r="O369" s="47"/>
      <c r="P369" s="4" t="s">
        <v>16</v>
      </c>
      <c r="Q369" s="43" t="str">
        <f>IF(VLOOKUP(P369,βοηθητικό!$J$2:$N$354,3,FALSE)="","",VLOOKUP(P369,βοηθητικό!$J$2:$N$354,3,FALSE))</f>
        <v>_</v>
      </c>
      <c r="R369" s="44"/>
      <c r="S369" s="5" t="s">
        <v>16</v>
      </c>
      <c r="T369" s="46" t="str">
        <f>IF(VLOOKUP(S369,βοηθητικό!$J$2:$N$354,3,FALSE)="","",VLOOKUP(S369,βοηθητικό!$J$2:$N$354,3,FALSE))</f>
        <v>_</v>
      </c>
      <c r="U369" s="47"/>
      <c r="V369" s="4" t="s">
        <v>16</v>
      </c>
      <c r="W369" s="43" t="str">
        <f>IF(VLOOKUP(V369,βοηθητικό!$J$2:$N$354,3,FALSE)="","",VLOOKUP(V369,βοηθητικό!$J$2:$N$354,3,FALSE))</f>
        <v>_</v>
      </c>
      <c r="X369" s="44"/>
      <c r="Y369" s="5" t="s">
        <v>16</v>
      </c>
      <c r="Z369" s="46" t="str">
        <f>IF(VLOOKUP(Y369,βοηθητικό!$J$2:$N$354,3,FALSE)="","",VLOOKUP(Y369,βοηθητικό!$J$2:$N$354,3,FALSE))</f>
        <v>_</v>
      </c>
      <c r="AA369" s="47"/>
      <c r="AB369" s="4" t="s">
        <v>16</v>
      </c>
      <c r="AC369" s="43" t="str">
        <f>IF(VLOOKUP(AB369,βοηθητικό!$J$2:$N$354,3,FALSE)="","",VLOOKUP(AB369,βοηθητικό!$J$2:$N$354,3,FALSE))</f>
        <v>_</v>
      </c>
      <c r="AD369" s="44"/>
      <c r="AE369" s="5" t="s">
        <v>16</v>
      </c>
      <c r="AF369" s="46" t="str">
        <f>IF(VLOOKUP(AE369,βοηθητικό!$J$2:$N$354,3,FALSE)="","",VLOOKUP(AE369,βοηθητικό!$J$2:$N$354,3,FALSE))</f>
        <v>_</v>
      </c>
      <c r="AG369" s="47"/>
      <c r="AH369" s="4" t="s">
        <v>16</v>
      </c>
      <c r="AI369" s="43" t="str">
        <f>IF(VLOOKUP(AH369,βοηθητικό!$J$2:$N$354,3,FALSE)="","",VLOOKUP(AH369,βοηθητικό!$J$2:$N$354,3,FALSE))</f>
        <v>_</v>
      </c>
      <c r="AJ369" s="44"/>
      <c r="AK369" s="5" t="s">
        <v>16</v>
      </c>
      <c r="AL369" s="46" t="str">
        <f>IF(VLOOKUP(AK369,βοηθητικό!$J$2:$N$354,3,FALSE)="","",VLOOKUP(AK369,βοηθητικό!$J$2:$N$354,3,FALSE))</f>
        <v>_</v>
      </c>
      <c r="AM369" s="47"/>
      <c r="AN369" s="4" t="s">
        <v>16</v>
      </c>
      <c r="AO369" s="43" t="str">
        <f>IF(VLOOKUP(AN369,βοηθητικό!$J$2:$N$354,3,FALSE)="","",VLOOKUP(AN369,βοηθητικό!$J$2:$N$354,3,FALSE))</f>
        <v>_</v>
      </c>
      <c r="AP369" s="44"/>
      <c r="AQ369" s="5" t="s">
        <v>16</v>
      </c>
      <c r="AR369" s="46" t="str">
        <f>IF(VLOOKUP(AQ369,βοηθητικό!$J$2:$N$354,3,FALSE)="","",VLOOKUP(AQ369,βοηθητικό!$J$2:$N$354,3,FALSE))</f>
        <v>_</v>
      </c>
      <c r="AS369" s="47"/>
      <c r="AT369" s="4" t="s">
        <v>16</v>
      </c>
      <c r="AU369" s="43" t="str">
        <f>IF(VLOOKUP(AT369,βοηθητικό!$J$2:$N$354,3,FALSE)="","",VLOOKUP(AT369,βοηθητικό!$J$2:$N$354,3,FALSE))</f>
        <v>_</v>
      </c>
      <c r="AV369" s="44"/>
      <c r="AW369" s="5" t="s">
        <v>16</v>
      </c>
      <c r="AX369" s="46" t="str">
        <f>IF(VLOOKUP(AW369,βοηθητικό!$J$2:$N$354,3,FALSE)="","",VLOOKUP(AW369,βοηθητικό!$J$2:$N$354,3,FALSE))</f>
        <v>_</v>
      </c>
      <c r="AY369" s="47"/>
      <c r="AZ369" s="4" t="s">
        <v>16</v>
      </c>
      <c r="BA369" s="43" t="str">
        <f>IF(VLOOKUP(AZ369,βοηθητικό!$J$2:$N$354,3,FALSE)="","",VLOOKUP(AZ369,βοηθητικό!$J$2:$N$354,3,FALSE))</f>
        <v>_</v>
      </c>
      <c r="BB369" s="44"/>
      <c r="BC369" s="45" t="s">
        <v>16</v>
      </c>
      <c r="BD369" s="46" t="str">
        <f>IF(VLOOKUP(BC369,βοηθητικό!$J$2:$N$354,3,FALSE)="","",VLOOKUP(BC369,βοηθητικό!$J$2:$N$354,3,FALSE))</f>
        <v>_</v>
      </c>
      <c r="BE369" s="47"/>
      <c r="BF369" s="42" t="s">
        <v>16</v>
      </c>
      <c r="BG369" s="43" t="str">
        <f>IF(VLOOKUP(BF369,βοηθητικό!$J$2:$N$354,3,FALSE)="","",VLOOKUP(BF369,βοηθητικό!$J$2:$N$354,3,FALSE))</f>
        <v>_</v>
      </c>
      <c r="BH369" s="44"/>
      <c r="BI369" s="45" t="s">
        <v>16</v>
      </c>
      <c r="BJ369" s="46" t="str">
        <f>IF(VLOOKUP(BI369,βοηθητικό!$J$2:$N$354,3,FALSE)="","",VLOOKUP(BI369,βοηθητικό!$J$2:$N$354,3,FALSE))</f>
        <v>_</v>
      </c>
      <c r="BK369" s="47"/>
      <c r="BL369" s="42" t="s">
        <v>16</v>
      </c>
      <c r="BM369" s="43" t="str">
        <f>IF(VLOOKUP(BL369,βοηθητικό!$J$2:$N$354,3,FALSE)="","",VLOOKUP(BL369,βοηθητικό!$J$2:$N$354,3,FALSE))</f>
        <v>_</v>
      </c>
      <c r="BN369" s="44"/>
      <c r="BO369" s="45" t="s">
        <v>16</v>
      </c>
      <c r="BP369" s="46" t="str">
        <f>IF(VLOOKUP(BO369,βοηθητικό!$J$2:$N$354,3,FALSE)="","",VLOOKUP(BO369,βοηθητικό!$J$2:$N$354,3,FALSE))</f>
        <v>_</v>
      </c>
      <c r="BQ369" s="47"/>
      <c r="BR369" s="42" t="s">
        <v>16</v>
      </c>
      <c r="BS369" s="43" t="str">
        <f>IF(VLOOKUP(BR369,βοηθητικό!$J$2:$N$354,3,FALSE)="","",VLOOKUP(BR369,βοηθητικό!$J$2:$N$354,3,FALSE))</f>
        <v>_</v>
      </c>
      <c r="BT369" s="44"/>
      <c r="BU369" s="45" t="s">
        <v>16</v>
      </c>
      <c r="BV369" s="46" t="str">
        <f>IF(VLOOKUP(BU369,βοηθητικό!$J$2:$N$354,3,FALSE)="","",VLOOKUP(BU369,βοηθητικό!$J$2:$N$354,3,FALSE))</f>
        <v>_</v>
      </c>
      <c r="BW369" s="47"/>
      <c r="BX369" s="42" t="s">
        <v>16</v>
      </c>
      <c r="BY369" s="43" t="str">
        <f>IF(VLOOKUP(BX369,βοηθητικό!$J$2:$N$354,3,FALSE)="","",VLOOKUP(BX369,βοηθητικό!$J$2:$N$354,3,FALSE))</f>
        <v>_</v>
      </c>
      <c r="BZ369" s="44"/>
      <c r="CA369" s="45" t="s">
        <v>16</v>
      </c>
      <c r="CB369" s="46" t="str">
        <f>IF(VLOOKUP(CA369,βοηθητικό!$J$2:$N$354,3,FALSE)="","",VLOOKUP(CA369,βοηθητικό!$J$2:$N$354,3,FALSE))</f>
        <v>_</v>
      </c>
      <c r="CC369" s="47"/>
      <c r="CD369" s="42" t="s">
        <v>16</v>
      </c>
      <c r="CE369" s="43" t="str">
        <f>IF(VLOOKUP(CD369,βοηθητικό!$J$2:$N$354,3,FALSE)="","",VLOOKUP(CD369,βοηθητικό!$J$2:$N$354,3,FALSE))</f>
        <v>_</v>
      </c>
      <c r="CF369" s="44"/>
      <c r="CG369" s="45" t="s">
        <v>16</v>
      </c>
      <c r="CH369" s="46" t="str">
        <f>IF(VLOOKUP(CG369,βοηθητικό!$J$2:$N$354,3,FALSE)="","",VLOOKUP(CG369,βοηθητικό!$J$2:$N$354,3,FALSE))</f>
        <v>_</v>
      </c>
      <c r="CI369" s="47"/>
      <c r="CJ369" s="42" t="s">
        <v>16</v>
      </c>
      <c r="CK369" s="43" t="str">
        <f>IF(VLOOKUP(CJ369,βοηθητικό!$J$2:$N$354,3,FALSE)="","",VLOOKUP(CJ369,βοηθητικό!$J$2:$N$354,3,FALSE))</f>
        <v>_</v>
      </c>
      <c r="CL369" s="44"/>
      <c r="CM369" s="45" t="s">
        <v>16</v>
      </c>
      <c r="CN369" s="46" t="str">
        <f>IF(VLOOKUP(CM369,βοηθητικό!$J$2:$N$354,3,FALSE)="","",VLOOKUP(CM369,βοηθητικό!$J$2:$N$354,3,FALSE))</f>
        <v>_</v>
      </c>
      <c r="CO369" s="47"/>
      <c r="CP369" s="42" t="s">
        <v>16</v>
      </c>
      <c r="CQ369" s="43" t="str">
        <f>IF(VLOOKUP(CP369,βοηθητικό!$J$2:$N$354,3,FALSE)="","",VLOOKUP(CP369,βοηθητικό!$J$2:$N$354,3,FALSE))</f>
        <v>_</v>
      </c>
      <c r="CR369" s="44"/>
      <c r="CS369" s="45" t="s">
        <v>16</v>
      </c>
      <c r="CT369" s="46" t="str">
        <f>IF(VLOOKUP(CS369,βοηθητικό!$J$2:$N$354,3,FALSE)="","",VLOOKUP(CS369,βοηθητικό!$J$2:$N$354,3,FALSE))</f>
        <v>_</v>
      </c>
      <c r="CU369" s="47"/>
    </row>
    <row r="370" spans="1:99" x14ac:dyDescent="0.25">
      <c r="A370" s="37">
        <f>--SUBTOTAL(3,$B$3:B369)</f>
        <v>198</v>
      </c>
      <c r="B370" s="2"/>
      <c r="C370" s="3"/>
      <c r="D370" s="55" t="s">
        <v>18</v>
      </c>
      <c r="E370" s="38" t="s">
        <v>16</v>
      </c>
      <c r="F370" s="38" t="s">
        <v>16</v>
      </c>
      <c r="G370" s="39" t="str">
        <f t="shared" si="17"/>
        <v>__</v>
      </c>
      <c r="H370" s="40" t="str">
        <f t="shared" si="18"/>
        <v>FALSE</v>
      </c>
      <c r="I370" s="41">
        <f t="shared" si="19"/>
        <v>0</v>
      </c>
      <c r="J370" s="4" t="s">
        <v>16</v>
      </c>
      <c r="K370" s="43" t="str">
        <f>IF(VLOOKUP(J370,βοηθητικό!$J$2:$N$354,3,FALSE)="","",VLOOKUP(J370,βοηθητικό!$J$2:$N$354,3,FALSE))</f>
        <v>_</v>
      </c>
      <c r="L370" s="44"/>
      <c r="M370" s="5" t="s">
        <v>16</v>
      </c>
      <c r="N370" s="46" t="str">
        <f>IF(VLOOKUP(M370,βοηθητικό!$J$2:$N$354,3,FALSE)="","",VLOOKUP(M370,βοηθητικό!$J$2:$N$354,3,FALSE))</f>
        <v>_</v>
      </c>
      <c r="O370" s="47"/>
      <c r="P370" s="4" t="s">
        <v>16</v>
      </c>
      <c r="Q370" s="43" t="str">
        <f>IF(VLOOKUP(P370,βοηθητικό!$J$2:$N$354,3,FALSE)="","",VLOOKUP(P370,βοηθητικό!$J$2:$N$354,3,FALSE))</f>
        <v>_</v>
      </c>
      <c r="R370" s="44"/>
      <c r="S370" s="5" t="s">
        <v>16</v>
      </c>
      <c r="T370" s="46" t="str">
        <f>IF(VLOOKUP(S370,βοηθητικό!$J$2:$N$354,3,FALSE)="","",VLOOKUP(S370,βοηθητικό!$J$2:$N$354,3,FALSE))</f>
        <v>_</v>
      </c>
      <c r="U370" s="47"/>
      <c r="V370" s="4" t="s">
        <v>16</v>
      </c>
      <c r="W370" s="43" t="str">
        <f>IF(VLOOKUP(V370,βοηθητικό!$J$2:$N$354,3,FALSE)="","",VLOOKUP(V370,βοηθητικό!$J$2:$N$354,3,FALSE))</f>
        <v>_</v>
      </c>
      <c r="X370" s="44"/>
      <c r="Y370" s="5" t="s">
        <v>16</v>
      </c>
      <c r="Z370" s="46" t="str">
        <f>IF(VLOOKUP(Y370,βοηθητικό!$J$2:$N$354,3,FALSE)="","",VLOOKUP(Y370,βοηθητικό!$J$2:$N$354,3,FALSE))</f>
        <v>_</v>
      </c>
      <c r="AA370" s="47"/>
      <c r="AB370" s="4" t="s">
        <v>16</v>
      </c>
      <c r="AC370" s="43" t="str">
        <f>IF(VLOOKUP(AB370,βοηθητικό!$J$2:$N$354,3,FALSE)="","",VLOOKUP(AB370,βοηθητικό!$J$2:$N$354,3,FALSE))</f>
        <v>_</v>
      </c>
      <c r="AD370" s="44"/>
      <c r="AE370" s="5" t="s">
        <v>16</v>
      </c>
      <c r="AF370" s="46" t="str">
        <f>IF(VLOOKUP(AE370,βοηθητικό!$J$2:$N$354,3,FALSE)="","",VLOOKUP(AE370,βοηθητικό!$J$2:$N$354,3,FALSE))</f>
        <v>_</v>
      </c>
      <c r="AG370" s="47"/>
      <c r="AH370" s="4" t="s">
        <v>16</v>
      </c>
      <c r="AI370" s="43" t="str">
        <f>IF(VLOOKUP(AH370,βοηθητικό!$J$2:$N$354,3,FALSE)="","",VLOOKUP(AH370,βοηθητικό!$J$2:$N$354,3,FALSE))</f>
        <v>_</v>
      </c>
      <c r="AJ370" s="44"/>
      <c r="AK370" s="5" t="s">
        <v>16</v>
      </c>
      <c r="AL370" s="46" t="str">
        <f>IF(VLOOKUP(AK370,βοηθητικό!$J$2:$N$354,3,FALSE)="","",VLOOKUP(AK370,βοηθητικό!$J$2:$N$354,3,FALSE))</f>
        <v>_</v>
      </c>
      <c r="AM370" s="47"/>
      <c r="AN370" s="4" t="s">
        <v>16</v>
      </c>
      <c r="AO370" s="43" t="str">
        <f>IF(VLOOKUP(AN370,βοηθητικό!$J$2:$N$354,3,FALSE)="","",VLOOKUP(AN370,βοηθητικό!$J$2:$N$354,3,FALSE))</f>
        <v>_</v>
      </c>
      <c r="AP370" s="44"/>
      <c r="AQ370" s="5" t="s">
        <v>16</v>
      </c>
      <c r="AR370" s="46" t="str">
        <f>IF(VLOOKUP(AQ370,βοηθητικό!$J$2:$N$354,3,FALSE)="","",VLOOKUP(AQ370,βοηθητικό!$J$2:$N$354,3,FALSE))</f>
        <v>_</v>
      </c>
      <c r="AS370" s="47"/>
      <c r="AT370" s="4" t="s">
        <v>16</v>
      </c>
      <c r="AU370" s="43" t="str">
        <f>IF(VLOOKUP(AT370,βοηθητικό!$J$2:$N$354,3,FALSE)="","",VLOOKUP(AT370,βοηθητικό!$J$2:$N$354,3,FALSE))</f>
        <v>_</v>
      </c>
      <c r="AV370" s="44"/>
      <c r="AW370" s="5" t="s">
        <v>16</v>
      </c>
      <c r="AX370" s="46" t="str">
        <f>IF(VLOOKUP(AW370,βοηθητικό!$J$2:$N$354,3,FALSE)="","",VLOOKUP(AW370,βοηθητικό!$J$2:$N$354,3,FALSE))</f>
        <v>_</v>
      </c>
      <c r="AY370" s="47"/>
      <c r="AZ370" s="4" t="s">
        <v>16</v>
      </c>
      <c r="BA370" s="43" t="str">
        <f>IF(VLOOKUP(AZ370,βοηθητικό!$J$2:$N$354,3,FALSE)="","",VLOOKUP(AZ370,βοηθητικό!$J$2:$N$354,3,FALSE))</f>
        <v>_</v>
      </c>
      <c r="BB370" s="44"/>
      <c r="BC370" s="45" t="s">
        <v>16</v>
      </c>
      <c r="BD370" s="46" t="str">
        <f>IF(VLOOKUP(BC370,βοηθητικό!$J$2:$N$354,3,FALSE)="","",VLOOKUP(BC370,βοηθητικό!$J$2:$N$354,3,FALSE))</f>
        <v>_</v>
      </c>
      <c r="BE370" s="47"/>
      <c r="BF370" s="42" t="s">
        <v>16</v>
      </c>
      <c r="BG370" s="43" t="str">
        <f>IF(VLOOKUP(BF370,βοηθητικό!$J$2:$N$354,3,FALSE)="","",VLOOKUP(BF370,βοηθητικό!$J$2:$N$354,3,FALSE))</f>
        <v>_</v>
      </c>
      <c r="BH370" s="44"/>
      <c r="BI370" s="45" t="s">
        <v>16</v>
      </c>
      <c r="BJ370" s="46" t="str">
        <f>IF(VLOOKUP(BI370,βοηθητικό!$J$2:$N$354,3,FALSE)="","",VLOOKUP(BI370,βοηθητικό!$J$2:$N$354,3,FALSE))</f>
        <v>_</v>
      </c>
      <c r="BK370" s="47"/>
      <c r="BL370" s="42" t="s">
        <v>16</v>
      </c>
      <c r="BM370" s="43" t="str">
        <f>IF(VLOOKUP(BL370,βοηθητικό!$J$2:$N$354,3,FALSE)="","",VLOOKUP(BL370,βοηθητικό!$J$2:$N$354,3,FALSE))</f>
        <v>_</v>
      </c>
      <c r="BN370" s="44"/>
      <c r="BO370" s="45" t="s">
        <v>16</v>
      </c>
      <c r="BP370" s="46" t="str">
        <f>IF(VLOOKUP(BO370,βοηθητικό!$J$2:$N$354,3,FALSE)="","",VLOOKUP(BO370,βοηθητικό!$J$2:$N$354,3,FALSE))</f>
        <v>_</v>
      </c>
      <c r="BQ370" s="47"/>
      <c r="BR370" s="42" t="s">
        <v>16</v>
      </c>
      <c r="BS370" s="43" t="str">
        <f>IF(VLOOKUP(BR370,βοηθητικό!$J$2:$N$354,3,FALSE)="","",VLOOKUP(BR370,βοηθητικό!$J$2:$N$354,3,FALSE))</f>
        <v>_</v>
      </c>
      <c r="BT370" s="44"/>
      <c r="BU370" s="45" t="s">
        <v>16</v>
      </c>
      <c r="BV370" s="46" t="str">
        <f>IF(VLOOKUP(BU370,βοηθητικό!$J$2:$N$354,3,FALSE)="","",VLOOKUP(BU370,βοηθητικό!$J$2:$N$354,3,FALSE))</f>
        <v>_</v>
      </c>
      <c r="BW370" s="47"/>
      <c r="BX370" s="42" t="s">
        <v>16</v>
      </c>
      <c r="BY370" s="43" t="str">
        <f>IF(VLOOKUP(BX370,βοηθητικό!$J$2:$N$354,3,FALSE)="","",VLOOKUP(BX370,βοηθητικό!$J$2:$N$354,3,FALSE))</f>
        <v>_</v>
      </c>
      <c r="BZ370" s="44"/>
      <c r="CA370" s="45" t="s">
        <v>16</v>
      </c>
      <c r="CB370" s="46" t="str">
        <f>IF(VLOOKUP(CA370,βοηθητικό!$J$2:$N$354,3,FALSE)="","",VLOOKUP(CA370,βοηθητικό!$J$2:$N$354,3,FALSE))</f>
        <v>_</v>
      </c>
      <c r="CC370" s="47"/>
      <c r="CD370" s="42" t="s">
        <v>16</v>
      </c>
      <c r="CE370" s="43" t="str">
        <f>IF(VLOOKUP(CD370,βοηθητικό!$J$2:$N$354,3,FALSE)="","",VLOOKUP(CD370,βοηθητικό!$J$2:$N$354,3,FALSE))</f>
        <v>_</v>
      </c>
      <c r="CF370" s="44"/>
      <c r="CG370" s="45" t="s">
        <v>16</v>
      </c>
      <c r="CH370" s="46" t="str">
        <f>IF(VLOOKUP(CG370,βοηθητικό!$J$2:$N$354,3,FALSE)="","",VLOOKUP(CG370,βοηθητικό!$J$2:$N$354,3,FALSE))</f>
        <v>_</v>
      </c>
      <c r="CI370" s="47"/>
      <c r="CJ370" s="42" t="s">
        <v>16</v>
      </c>
      <c r="CK370" s="43" t="str">
        <f>IF(VLOOKUP(CJ370,βοηθητικό!$J$2:$N$354,3,FALSE)="","",VLOOKUP(CJ370,βοηθητικό!$J$2:$N$354,3,FALSE))</f>
        <v>_</v>
      </c>
      <c r="CL370" s="44"/>
      <c r="CM370" s="45" t="s">
        <v>16</v>
      </c>
      <c r="CN370" s="46" t="str">
        <f>IF(VLOOKUP(CM370,βοηθητικό!$J$2:$N$354,3,FALSE)="","",VLOOKUP(CM370,βοηθητικό!$J$2:$N$354,3,FALSE))</f>
        <v>_</v>
      </c>
      <c r="CO370" s="47"/>
      <c r="CP370" s="42" t="s">
        <v>16</v>
      </c>
      <c r="CQ370" s="43" t="str">
        <f>IF(VLOOKUP(CP370,βοηθητικό!$J$2:$N$354,3,FALSE)="","",VLOOKUP(CP370,βοηθητικό!$J$2:$N$354,3,FALSE))</f>
        <v>_</v>
      </c>
      <c r="CR370" s="44"/>
      <c r="CS370" s="45" t="s">
        <v>16</v>
      </c>
      <c r="CT370" s="46" t="str">
        <f>IF(VLOOKUP(CS370,βοηθητικό!$J$2:$N$354,3,FALSE)="","",VLOOKUP(CS370,βοηθητικό!$J$2:$N$354,3,FALSE))</f>
        <v>_</v>
      </c>
      <c r="CU370" s="47"/>
    </row>
    <row r="371" spans="1:99" x14ac:dyDescent="0.25">
      <c r="A371" s="37">
        <f>--SUBTOTAL(3,$B$3:B370)</f>
        <v>198</v>
      </c>
      <c r="B371" s="2"/>
      <c r="C371" s="3"/>
      <c r="D371" s="55" t="s">
        <v>18</v>
      </c>
      <c r="E371" s="38" t="s">
        <v>16</v>
      </c>
      <c r="F371" s="38" t="s">
        <v>16</v>
      </c>
      <c r="G371" s="39" t="str">
        <f t="shared" si="17"/>
        <v>__</v>
      </c>
      <c r="H371" s="40" t="str">
        <f t="shared" si="18"/>
        <v>FALSE</v>
      </c>
      <c r="I371" s="41">
        <f t="shared" si="19"/>
        <v>0</v>
      </c>
      <c r="J371" s="4" t="s">
        <v>16</v>
      </c>
      <c r="K371" s="43" t="str">
        <f>IF(VLOOKUP(J371,βοηθητικό!$J$2:$N$354,3,FALSE)="","",VLOOKUP(J371,βοηθητικό!$J$2:$N$354,3,FALSE))</f>
        <v>_</v>
      </c>
      <c r="L371" s="44"/>
      <c r="M371" s="5" t="s">
        <v>16</v>
      </c>
      <c r="N371" s="46" t="str">
        <f>IF(VLOOKUP(M371,βοηθητικό!$J$2:$N$354,3,FALSE)="","",VLOOKUP(M371,βοηθητικό!$J$2:$N$354,3,FALSE))</f>
        <v>_</v>
      </c>
      <c r="O371" s="47"/>
      <c r="P371" s="4" t="s">
        <v>16</v>
      </c>
      <c r="Q371" s="43" t="str">
        <f>IF(VLOOKUP(P371,βοηθητικό!$J$2:$N$354,3,FALSE)="","",VLOOKUP(P371,βοηθητικό!$J$2:$N$354,3,FALSE))</f>
        <v>_</v>
      </c>
      <c r="R371" s="44"/>
      <c r="S371" s="5" t="s">
        <v>16</v>
      </c>
      <c r="T371" s="46" t="str">
        <f>IF(VLOOKUP(S371,βοηθητικό!$J$2:$N$354,3,FALSE)="","",VLOOKUP(S371,βοηθητικό!$J$2:$N$354,3,FALSE))</f>
        <v>_</v>
      </c>
      <c r="U371" s="47"/>
      <c r="V371" s="4" t="s">
        <v>16</v>
      </c>
      <c r="W371" s="43" t="str">
        <f>IF(VLOOKUP(V371,βοηθητικό!$J$2:$N$354,3,FALSE)="","",VLOOKUP(V371,βοηθητικό!$J$2:$N$354,3,FALSE))</f>
        <v>_</v>
      </c>
      <c r="X371" s="44"/>
      <c r="Y371" s="5" t="s">
        <v>16</v>
      </c>
      <c r="Z371" s="46" t="str">
        <f>IF(VLOOKUP(Y371,βοηθητικό!$J$2:$N$354,3,FALSE)="","",VLOOKUP(Y371,βοηθητικό!$J$2:$N$354,3,FALSE))</f>
        <v>_</v>
      </c>
      <c r="AA371" s="47"/>
      <c r="AB371" s="4" t="s">
        <v>16</v>
      </c>
      <c r="AC371" s="43" t="str">
        <f>IF(VLOOKUP(AB371,βοηθητικό!$J$2:$N$354,3,FALSE)="","",VLOOKUP(AB371,βοηθητικό!$J$2:$N$354,3,FALSE))</f>
        <v>_</v>
      </c>
      <c r="AD371" s="44"/>
      <c r="AE371" s="5" t="s">
        <v>16</v>
      </c>
      <c r="AF371" s="46" t="str">
        <f>IF(VLOOKUP(AE371,βοηθητικό!$J$2:$N$354,3,FALSE)="","",VLOOKUP(AE371,βοηθητικό!$J$2:$N$354,3,FALSE))</f>
        <v>_</v>
      </c>
      <c r="AG371" s="47"/>
      <c r="AH371" s="4" t="s">
        <v>16</v>
      </c>
      <c r="AI371" s="43" t="str">
        <f>IF(VLOOKUP(AH371,βοηθητικό!$J$2:$N$354,3,FALSE)="","",VLOOKUP(AH371,βοηθητικό!$J$2:$N$354,3,FALSE))</f>
        <v>_</v>
      </c>
      <c r="AJ371" s="44"/>
      <c r="AK371" s="5" t="s">
        <v>16</v>
      </c>
      <c r="AL371" s="46" t="str">
        <f>IF(VLOOKUP(AK371,βοηθητικό!$J$2:$N$354,3,FALSE)="","",VLOOKUP(AK371,βοηθητικό!$J$2:$N$354,3,FALSE))</f>
        <v>_</v>
      </c>
      <c r="AM371" s="47"/>
      <c r="AN371" s="4" t="s">
        <v>16</v>
      </c>
      <c r="AO371" s="43" t="str">
        <f>IF(VLOOKUP(AN371,βοηθητικό!$J$2:$N$354,3,FALSE)="","",VLOOKUP(AN371,βοηθητικό!$J$2:$N$354,3,FALSE))</f>
        <v>_</v>
      </c>
      <c r="AP371" s="44"/>
      <c r="AQ371" s="5" t="s">
        <v>16</v>
      </c>
      <c r="AR371" s="46" t="str">
        <f>IF(VLOOKUP(AQ371,βοηθητικό!$J$2:$N$354,3,FALSE)="","",VLOOKUP(AQ371,βοηθητικό!$J$2:$N$354,3,FALSE))</f>
        <v>_</v>
      </c>
      <c r="AS371" s="47"/>
      <c r="AT371" s="4" t="s">
        <v>16</v>
      </c>
      <c r="AU371" s="43" t="str">
        <f>IF(VLOOKUP(AT371,βοηθητικό!$J$2:$N$354,3,FALSE)="","",VLOOKUP(AT371,βοηθητικό!$J$2:$N$354,3,FALSE))</f>
        <v>_</v>
      </c>
      <c r="AV371" s="44"/>
      <c r="AW371" s="5" t="s">
        <v>16</v>
      </c>
      <c r="AX371" s="46" t="str">
        <f>IF(VLOOKUP(AW371,βοηθητικό!$J$2:$N$354,3,FALSE)="","",VLOOKUP(AW371,βοηθητικό!$J$2:$N$354,3,FALSE))</f>
        <v>_</v>
      </c>
      <c r="AY371" s="47"/>
      <c r="AZ371" s="4" t="s">
        <v>16</v>
      </c>
      <c r="BA371" s="43" t="str">
        <f>IF(VLOOKUP(AZ371,βοηθητικό!$J$2:$N$354,3,FALSE)="","",VLOOKUP(AZ371,βοηθητικό!$J$2:$N$354,3,FALSE))</f>
        <v>_</v>
      </c>
      <c r="BB371" s="44"/>
      <c r="BC371" s="45" t="s">
        <v>16</v>
      </c>
      <c r="BD371" s="46" t="str">
        <f>IF(VLOOKUP(BC371,βοηθητικό!$J$2:$N$354,3,FALSE)="","",VLOOKUP(BC371,βοηθητικό!$J$2:$N$354,3,FALSE))</f>
        <v>_</v>
      </c>
      <c r="BE371" s="47"/>
      <c r="BF371" s="42" t="s">
        <v>16</v>
      </c>
      <c r="BG371" s="43" t="str">
        <f>IF(VLOOKUP(BF371,βοηθητικό!$J$2:$N$354,3,FALSE)="","",VLOOKUP(BF371,βοηθητικό!$J$2:$N$354,3,FALSE))</f>
        <v>_</v>
      </c>
      <c r="BH371" s="44"/>
      <c r="BI371" s="45" t="s">
        <v>16</v>
      </c>
      <c r="BJ371" s="46" t="str">
        <f>IF(VLOOKUP(BI371,βοηθητικό!$J$2:$N$354,3,FALSE)="","",VLOOKUP(BI371,βοηθητικό!$J$2:$N$354,3,FALSE))</f>
        <v>_</v>
      </c>
      <c r="BK371" s="47"/>
      <c r="BL371" s="42" t="s">
        <v>16</v>
      </c>
      <c r="BM371" s="43" t="str">
        <f>IF(VLOOKUP(BL371,βοηθητικό!$J$2:$N$354,3,FALSE)="","",VLOOKUP(BL371,βοηθητικό!$J$2:$N$354,3,FALSE))</f>
        <v>_</v>
      </c>
      <c r="BN371" s="44"/>
      <c r="BO371" s="45" t="s">
        <v>16</v>
      </c>
      <c r="BP371" s="46" t="str">
        <f>IF(VLOOKUP(BO371,βοηθητικό!$J$2:$N$354,3,FALSE)="","",VLOOKUP(BO371,βοηθητικό!$J$2:$N$354,3,FALSE))</f>
        <v>_</v>
      </c>
      <c r="BQ371" s="47"/>
      <c r="BR371" s="42" t="s">
        <v>16</v>
      </c>
      <c r="BS371" s="43" t="str">
        <f>IF(VLOOKUP(BR371,βοηθητικό!$J$2:$N$354,3,FALSE)="","",VLOOKUP(BR371,βοηθητικό!$J$2:$N$354,3,FALSE))</f>
        <v>_</v>
      </c>
      <c r="BT371" s="44"/>
      <c r="BU371" s="45" t="s">
        <v>16</v>
      </c>
      <c r="BV371" s="46" t="str">
        <f>IF(VLOOKUP(BU371,βοηθητικό!$J$2:$N$354,3,FALSE)="","",VLOOKUP(BU371,βοηθητικό!$J$2:$N$354,3,FALSE))</f>
        <v>_</v>
      </c>
      <c r="BW371" s="47"/>
      <c r="BX371" s="42" t="s">
        <v>16</v>
      </c>
      <c r="BY371" s="43" t="str">
        <f>IF(VLOOKUP(BX371,βοηθητικό!$J$2:$N$354,3,FALSE)="","",VLOOKUP(BX371,βοηθητικό!$J$2:$N$354,3,FALSE))</f>
        <v>_</v>
      </c>
      <c r="BZ371" s="44"/>
      <c r="CA371" s="45" t="s">
        <v>16</v>
      </c>
      <c r="CB371" s="46" t="str">
        <f>IF(VLOOKUP(CA371,βοηθητικό!$J$2:$N$354,3,FALSE)="","",VLOOKUP(CA371,βοηθητικό!$J$2:$N$354,3,FALSE))</f>
        <v>_</v>
      </c>
      <c r="CC371" s="47"/>
      <c r="CD371" s="42" t="s">
        <v>16</v>
      </c>
      <c r="CE371" s="43" t="str">
        <f>IF(VLOOKUP(CD371,βοηθητικό!$J$2:$N$354,3,FALSE)="","",VLOOKUP(CD371,βοηθητικό!$J$2:$N$354,3,FALSE))</f>
        <v>_</v>
      </c>
      <c r="CF371" s="44"/>
      <c r="CG371" s="45" t="s">
        <v>16</v>
      </c>
      <c r="CH371" s="46" t="str">
        <f>IF(VLOOKUP(CG371,βοηθητικό!$J$2:$N$354,3,FALSE)="","",VLOOKUP(CG371,βοηθητικό!$J$2:$N$354,3,FALSE))</f>
        <v>_</v>
      </c>
      <c r="CI371" s="47"/>
      <c r="CJ371" s="42" t="s">
        <v>16</v>
      </c>
      <c r="CK371" s="43" t="str">
        <f>IF(VLOOKUP(CJ371,βοηθητικό!$J$2:$N$354,3,FALSE)="","",VLOOKUP(CJ371,βοηθητικό!$J$2:$N$354,3,FALSE))</f>
        <v>_</v>
      </c>
      <c r="CL371" s="44"/>
      <c r="CM371" s="45" t="s">
        <v>16</v>
      </c>
      <c r="CN371" s="46" t="str">
        <f>IF(VLOOKUP(CM371,βοηθητικό!$J$2:$N$354,3,FALSE)="","",VLOOKUP(CM371,βοηθητικό!$J$2:$N$354,3,FALSE))</f>
        <v>_</v>
      </c>
      <c r="CO371" s="47"/>
      <c r="CP371" s="42" t="s">
        <v>16</v>
      </c>
      <c r="CQ371" s="43" t="str">
        <f>IF(VLOOKUP(CP371,βοηθητικό!$J$2:$N$354,3,FALSE)="","",VLOOKUP(CP371,βοηθητικό!$J$2:$N$354,3,FALSE))</f>
        <v>_</v>
      </c>
      <c r="CR371" s="44"/>
      <c r="CS371" s="45" t="s">
        <v>16</v>
      </c>
      <c r="CT371" s="46" t="str">
        <f>IF(VLOOKUP(CS371,βοηθητικό!$J$2:$N$354,3,FALSE)="","",VLOOKUP(CS371,βοηθητικό!$J$2:$N$354,3,FALSE))</f>
        <v>_</v>
      </c>
      <c r="CU371" s="47"/>
    </row>
    <row r="372" spans="1:99" x14ac:dyDescent="0.25">
      <c r="A372" s="37">
        <f>--SUBTOTAL(3,$B$3:B371)</f>
        <v>198</v>
      </c>
      <c r="B372" s="2"/>
      <c r="C372" s="3"/>
      <c r="D372" s="55" t="s">
        <v>18</v>
      </c>
      <c r="E372" s="38" t="s">
        <v>16</v>
      </c>
      <c r="F372" s="38" t="s">
        <v>16</v>
      </c>
      <c r="G372" s="39" t="str">
        <f t="shared" si="17"/>
        <v>__</v>
      </c>
      <c r="H372" s="40" t="str">
        <f t="shared" si="18"/>
        <v>FALSE</v>
      </c>
      <c r="I372" s="41">
        <f t="shared" si="19"/>
        <v>0</v>
      </c>
      <c r="J372" s="4" t="s">
        <v>16</v>
      </c>
      <c r="K372" s="43" t="str">
        <f>IF(VLOOKUP(J372,βοηθητικό!$J$2:$N$354,3,FALSE)="","",VLOOKUP(J372,βοηθητικό!$J$2:$N$354,3,FALSE))</f>
        <v>_</v>
      </c>
      <c r="L372" s="44"/>
      <c r="M372" s="5" t="s">
        <v>16</v>
      </c>
      <c r="N372" s="46" t="str">
        <f>IF(VLOOKUP(M372,βοηθητικό!$J$2:$N$354,3,FALSE)="","",VLOOKUP(M372,βοηθητικό!$J$2:$N$354,3,FALSE))</f>
        <v>_</v>
      </c>
      <c r="O372" s="47"/>
      <c r="P372" s="4" t="s">
        <v>16</v>
      </c>
      <c r="Q372" s="43" t="str">
        <f>IF(VLOOKUP(P372,βοηθητικό!$J$2:$N$354,3,FALSE)="","",VLOOKUP(P372,βοηθητικό!$J$2:$N$354,3,FALSE))</f>
        <v>_</v>
      </c>
      <c r="R372" s="44"/>
      <c r="S372" s="5" t="s">
        <v>16</v>
      </c>
      <c r="T372" s="46" t="str">
        <f>IF(VLOOKUP(S372,βοηθητικό!$J$2:$N$354,3,FALSE)="","",VLOOKUP(S372,βοηθητικό!$J$2:$N$354,3,FALSE))</f>
        <v>_</v>
      </c>
      <c r="U372" s="47"/>
      <c r="V372" s="4" t="s">
        <v>16</v>
      </c>
      <c r="W372" s="43" t="str">
        <f>IF(VLOOKUP(V372,βοηθητικό!$J$2:$N$354,3,FALSE)="","",VLOOKUP(V372,βοηθητικό!$J$2:$N$354,3,FALSE))</f>
        <v>_</v>
      </c>
      <c r="X372" s="44"/>
      <c r="Y372" s="5" t="s">
        <v>16</v>
      </c>
      <c r="Z372" s="46" t="str">
        <f>IF(VLOOKUP(Y372,βοηθητικό!$J$2:$N$354,3,FALSE)="","",VLOOKUP(Y372,βοηθητικό!$J$2:$N$354,3,FALSE))</f>
        <v>_</v>
      </c>
      <c r="AA372" s="47"/>
      <c r="AB372" s="4" t="s">
        <v>16</v>
      </c>
      <c r="AC372" s="43" t="str">
        <f>IF(VLOOKUP(AB372,βοηθητικό!$J$2:$N$354,3,FALSE)="","",VLOOKUP(AB372,βοηθητικό!$J$2:$N$354,3,FALSE))</f>
        <v>_</v>
      </c>
      <c r="AD372" s="44"/>
      <c r="AE372" s="5" t="s">
        <v>16</v>
      </c>
      <c r="AF372" s="46" t="str">
        <f>IF(VLOOKUP(AE372,βοηθητικό!$J$2:$N$354,3,FALSE)="","",VLOOKUP(AE372,βοηθητικό!$J$2:$N$354,3,FALSE))</f>
        <v>_</v>
      </c>
      <c r="AG372" s="47"/>
      <c r="AH372" s="4" t="s">
        <v>16</v>
      </c>
      <c r="AI372" s="43" t="str">
        <f>IF(VLOOKUP(AH372,βοηθητικό!$J$2:$N$354,3,FALSE)="","",VLOOKUP(AH372,βοηθητικό!$J$2:$N$354,3,FALSE))</f>
        <v>_</v>
      </c>
      <c r="AJ372" s="44"/>
      <c r="AK372" s="5" t="s">
        <v>16</v>
      </c>
      <c r="AL372" s="46" t="str">
        <f>IF(VLOOKUP(AK372,βοηθητικό!$J$2:$N$354,3,FALSE)="","",VLOOKUP(AK372,βοηθητικό!$J$2:$N$354,3,FALSE))</f>
        <v>_</v>
      </c>
      <c r="AM372" s="47"/>
      <c r="AN372" s="4" t="s">
        <v>16</v>
      </c>
      <c r="AO372" s="43" t="str">
        <f>IF(VLOOKUP(AN372,βοηθητικό!$J$2:$N$354,3,FALSE)="","",VLOOKUP(AN372,βοηθητικό!$J$2:$N$354,3,FALSE))</f>
        <v>_</v>
      </c>
      <c r="AP372" s="44"/>
      <c r="AQ372" s="5" t="s">
        <v>16</v>
      </c>
      <c r="AR372" s="46" t="str">
        <f>IF(VLOOKUP(AQ372,βοηθητικό!$J$2:$N$354,3,FALSE)="","",VLOOKUP(AQ372,βοηθητικό!$J$2:$N$354,3,FALSE))</f>
        <v>_</v>
      </c>
      <c r="AS372" s="47"/>
      <c r="AT372" s="4" t="s">
        <v>16</v>
      </c>
      <c r="AU372" s="43" t="str">
        <f>IF(VLOOKUP(AT372,βοηθητικό!$J$2:$N$354,3,FALSE)="","",VLOOKUP(AT372,βοηθητικό!$J$2:$N$354,3,FALSE))</f>
        <v>_</v>
      </c>
      <c r="AV372" s="44"/>
      <c r="AW372" s="5" t="s">
        <v>16</v>
      </c>
      <c r="AX372" s="46" t="str">
        <f>IF(VLOOKUP(AW372,βοηθητικό!$J$2:$N$354,3,FALSE)="","",VLOOKUP(AW372,βοηθητικό!$J$2:$N$354,3,FALSE))</f>
        <v>_</v>
      </c>
      <c r="AY372" s="47"/>
      <c r="AZ372" s="4" t="s">
        <v>16</v>
      </c>
      <c r="BA372" s="43" t="str">
        <f>IF(VLOOKUP(AZ372,βοηθητικό!$J$2:$N$354,3,FALSE)="","",VLOOKUP(AZ372,βοηθητικό!$J$2:$N$354,3,FALSE))</f>
        <v>_</v>
      </c>
      <c r="BB372" s="44"/>
      <c r="BC372" s="45" t="s">
        <v>16</v>
      </c>
      <c r="BD372" s="46" t="str">
        <f>IF(VLOOKUP(BC372,βοηθητικό!$J$2:$N$354,3,FALSE)="","",VLOOKUP(BC372,βοηθητικό!$J$2:$N$354,3,FALSE))</f>
        <v>_</v>
      </c>
      <c r="BE372" s="47"/>
      <c r="BF372" s="42" t="s">
        <v>16</v>
      </c>
      <c r="BG372" s="43" t="str">
        <f>IF(VLOOKUP(BF372,βοηθητικό!$J$2:$N$354,3,FALSE)="","",VLOOKUP(BF372,βοηθητικό!$J$2:$N$354,3,FALSE))</f>
        <v>_</v>
      </c>
      <c r="BH372" s="44"/>
      <c r="BI372" s="45" t="s">
        <v>16</v>
      </c>
      <c r="BJ372" s="46" t="str">
        <f>IF(VLOOKUP(BI372,βοηθητικό!$J$2:$N$354,3,FALSE)="","",VLOOKUP(BI372,βοηθητικό!$J$2:$N$354,3,FALSE))</f>
        <v>_</v>
      </c>
      <c r="BK372" s="47"/>
      <c r="BL372" s="42" t="s">
        <v>16</v>
      </c>
      <c r="BM372" s="43" t="str">
        <f>IF(VLOOKUP(BL372,βοηθητικό!$J$2:$N$354,3,FALSE)="","",VLOOKUP(BL372,βοηθητικό!$J$2:$N$354,3,FALSE))</f>
        <v>_</v>
      </c>
      <c r="BN372" s="44"/>
      <c r="BO372" s="45" t="s">
        <v>16</v>
      </c>
      <c r="BP372" s="46" t="str">
        <f>IF(VLOOKUP(BO372,βοηθητικό!$J$2:$N$354,3,FALSE)="","",VLOOKUP(BO372,βοηθητικό!$J$2:$N$354,3,FALSE))</f>
        <v>_</v>
      </c>
      <c r="BQ372" s="47"/>
      <c r="BR372" s="42" t="s">
        <v>16</v>
      </c>
      <c r="BS372" s="43" t="str">
        <f>IF(VLOOKUP(BR372,βοηθητικό!$J$2:$N$354,3,FALSE)="","",VLOOKUP(BR372,βοηθητικό!$J$2:$N$354,3,FALSE))</f>
        <v>_</v>
      </c>
      <c r="BT372" s="44"/>
      <c r="BU372" s="45" t="s">
        <v>16</v>
      </c>
      <c r="BV372" s="46" t="str">
        <f>IF(VLOOKUP(BU372,βοηθητικό!$J$2:$N$354,3,FALSE)="","",VLOOKUP(BU372,βοηθητικό!$J$2:$N$354,3,FALSE))</f>
        <v>_</v>
      </c>
      <c r="BW372" s="47"/>
      <c r="BX372" s="42" t="s">
        <v>16</v>
      </c>
      <c r="BY372" s="43" t="str">
        <f>IF(VLOOKUP(BX372,βοηθητικό!$J$2:$N$354,3,FALSE)="","",VLOOKUP(BX372,βοηθητικό!$J$2:$N$354,3,FALSE))</f>
        <v>_</v>
      </c>
      <c r="BZ372" s="44"/>
      <c r="CA372" s="45" t="s">
        <v>16</v>
      </c>
      <c r="CB372" s="46" t="str">
        <f>IF(VLOOKUP(CA372,βοηθητικό!$J$2:$N$354,3,FALSE)="","",VLOOKUP(CA372,βοηθητικό!$J$2:$N$354,3,FALSE))</f>
        <v>_</v>
      </c>
      <c r="CC372" s="47"/>
      <c r="CD372" s="42" t="s">
        <v>16</v>
      </c>
      <c r="CE372" s="43" t="str">
        <f>IF(VLOOKUP(CD372,βοηθητικό!$J$2:$N$354,3,FALSE)="","",VLOOKUP(CD372,βοηθητικό!$J$2:$N$354,3,FALSE))</f>
        <v>_</v>
      </c>
      <c r="CF372" s="44"/>
      <c r="CG372" s="45" t="s">
        <v>16</v>
      </c>
      <c r="CH372" s="46" t="str">
        <f>IF(VLOOKUP(CG372,βοηθητικό!$J$2:$N$354,3,FALSE)="","",VLOOKUP(CG372,βοηθητικό!$J$2:$N$354,3,FALSE))</f>
        <v>_</v>
      </c>
      <c r="CI372" s="47"/>
      <c r="CJ372" s="42" t="s">
        <v>16</v>
      </c>
      <c r="CK372" s="43" t="str">
        <f>IF(VLOOKUP(CJ372,βοηθητικό!$J$2:$N$354,3,FALSE)="","",VLOOKUP(CJ372,βοηθητικό!$J$2:$N$354,3,FALSE))</f>
        <v>_</v>
      </c>
      <c r="CL372" s="44"/>
      <c r="CM372" s="45" t="s">
        <v>16</v>
      </c>
      <c r="CN372" s="46" t="str">
        <f>IF(VLOOKUP(CM372,βοηθητικό!$J$2:$N$354,3,FALSE)="","",VLOOKUP(CM372,βοηθητικό!$J$2:$N$354,3,FALSE))</f>
        <v>_</v>
      </c>
      <c r="CO372" s="47"/>
      <c r="CP372" s="42" t="s">
        <v>16</v>
      </c>
      <c r="CQ372" s="43" t="str">
        <f>IF(VLOOKUP(CP372,βοηθητικό!$J$2:$N$354,3,FALSE)="","",VLOOKUP(CP372,βοηθητικό!$J$2:$N$354,3,FALSE))</f>
        <v>_</v>
      </c>
      <c r="CR372" s="44"/>
      <c r="CS372" s="45" t="s">
        <v>16</v>
      </c>
      <c r="CT372" s="46" t="str">
        <f>IF(VLOOKUP(CS372,βοηθητικό!$J$2:$N$354,3,FALSE)="","",VLOOKUP(CS372,βοηθητικό!$J$2:$N$354,3,FALSE))</f>
        <v>_</v>
      </c>
      <c r="CU372" s="47"/>
    </row>
    <row r="373" spans="1:99" x14ac:dyDescent="0.25">
      <c r="A373" s="37">
        <f>--SUBTOTAL(3,$B$3:B372)</f>
        <v>198</v>
      </c>
      <c r="B373" s="2"/>
      <c r="C373" s="3"/>
      <c r="D373" s="55" t="s">
        <v>18</v>
      </c>
      <c r="E373" s="38" t="s">
        <v>16</v>
      </c>
      <c r="F373" s="38" t="s">
        <v>16</v>
      </c>
      <c r="G373" s="39" t="str">
        <f t="shared" si="17"/>
        <v>__</v>
      </c>
      <c r="H373" s="40" t="str">
        <f t="shared" si="18"/>
        <v>FALSE</v>
      </c>
      <c r="I373" s="41">
        <f t="shared" si="19"/>
        <v>0</v>
      </c>
      <c r="J373" s="4" t="s">
        <v>16</v>
      </c>
      <c r="K373" s="43" t="str">
        <f>IF(VLOOKUP(J373,βοηθητικό!$J$2:$N$354,3,FALSE)="","",VLOOKUP(J373,βοηθητικό!$J$2:$N$354,3,FALSE))</f>
        <v>_</v>
      </c>
      <c r="L373" s="44"/>
      <c r="M373" s="5" t="s">
        <v>16</v>
      </c>
      <c r="N373" s="46" t="str">
        <f>IF(VLOOKUP(M373,βοηθητικό!$J$2:$N$354,3,FALSE)="","",VLOOKUP(M373,βοηθητικό!$J$2:$N$354,3,FALSE))</f>
        <v>_</v>
      </c>
      <c r="O373" s="47"/>
      <c r="P373" s="4" t="s">
        <v>16</v>
      </c>
      <c r="Q373" s="43" t="str">
        <f>IF(VLOOKUP(P373,βοηθητικό!$J$2:$N$354,3,FALSE)="","",VLOOKUP(P373,βοηθητικό!$J$2:$N$354,3,FALSE))</f>
        <v>_</v>
      </c>
      <c r="R373" s="44"/>
      <c r="S373" s="5" t="s">
        <v>16</v>
      </c>
      <c r="T373" s="46" t="str">
        <f>IF(VLOOKUP(S373,βοηθητικό!$J$2:$N$354,3,FALSE)="","",VLOOKUP(S373,βοηθητικό!$J$2:$N$354,3,FALSE))</f>
        <v>_</v>
      </c>
      <c r="U373" s="47"/>
      <c r="V373" s="4" t="s">
        <v>16</v>
      </c>
      <c r="W373" s="43" t="str">
        <f>IF(VLOOKUP(V373,βοηθητικό!$J$2:$N$354,3,FALSE)="","",VLOOKUP(V373,βοηθητικό!$J$2:$N$354,3,FALSE))</f>
        <v>_</v>
      </c>
      <c r="X373" s="44"/>
      <c r="Y373" s="5" t="s">
        <v>16</v>
      </c>
      <c r="Z373" s="46" t="str">
        <f>IF(VLOOKUP(Y373,βοηθητικό!$J$2:$N$354,3,FALSE)="","",VLOOKUP(Y373,βοηθητικό!$J$2:$N$354,3,FALSE))</f>
        <v>_</v>
      </c>
      <c r="AA373" s="47"/>
      <c r="AB373" s="4" t="s">
        <v>16</v>
      </c>
      <c r="AC373" s="43" t="str">
        <f>IF(VLOOKUP(AB373,βοηθητικό!$J$2:$N$354,3,FALSE)="","",VLOOKUP(AB373,βοηθητικό!$J$2:$N$354,3,FALSE))</f>
        <v>_</v>
      </c>
      <c r="AD373" s="44"/>
      <c r="AE373" s="5" t="s">
        <v>16</v>
      </c>
      <c r="AF373" s="46" t="str">
        <f>IF(VLOOKUP(AE373,βοηθητικό!$J$2:$N$354,3,FALSE)="","",VLOOKUP(AE373,βοηθητικό!$J$2:$N$354,3,FALSE))</f>
        <v>_</v>
      </c>
      <c r="AG373" s="47"/>
      <c r="AH373" s="4" t="s">
        <v>16</v>
      </c>
      <c r="AI373" s="43" t="str">
        <f>IF(VLOOKUP(AH373,βοηθητικό!$J$2:$N$354,3,FALSE)="","",VLOOKUP(AH373,βοηθητικό!$J$2:$N$354,3,FALSE))</f>
        <v>_</v>
      </c>
      <c r="AJ373" s="44"/>
      <c r="AK373" s="5" t="s">
        <v>16</v>
      </c>
      <c r="AL373" s="46" t="str">
        <f>IF(VLOOKUP(AK373,βοηθητικό!$J$2:$N$354,3,FALSE)="","",VLOOKUP(AK373,βοηθητικό!$J$2:$N$354,3,FALSE))</f>
        <v>_</v>
      </c>
      <c r="AM373" s="47"/>
      <c r="AN373" s="4" t="s">
        <v>16</v>
      </c>
      <c r="AO373" s="43" t="str">
        <f>IF(VLOOKUP(AN373,βοηθητικό!$J$2:$N$354,3,FALSE)="","",VLOOKUP(AN373,βοηθητικό!$J$2:$N$354,3,FALSE))</f>
        <v>_</v>
      </c>
      <c r="AP373" s="44"/>
      <c r="AQ373" s="5" t="s">
        <v>16</v>
      </c>
      <c r="AR373" s="46" t="str">
        <f>IF(VLOOKUP(AQ373,βοηθητικό!$J$2:$N$354,3,FALSE)="","",VLOOKUP(AQ373,βοηθητικό!$J$2:$N$354,3,FALSE))</f>
        <v>_</v>
      </c>
      <c r="AS373" s="47"/>
      <c r="AT373" s="4" t="s">
        <v>16</v>
      </c>
      <c r="AU373" s="43" t="str">
        <f>IF(VLOOKUP(AT373,βοηθητικό!$J$2:$N$354,3,FALSE)="","",VLOOKUP(AT373,βοηθητικό!$J$2:$N$354,3,FALSE))</f>
        <v>_</v>
      </c>
      <c r="AV373" s="44"/>
      <c r="AW373" s="5" t="s">
        <v>16</v>
      </c>
      <c r="AX373" s="46" t="str">
        <f>IF(VLOOKUP(AW373,βοηθητικό!$J$2:$N$354,3,FALSE)="","",VLOOKUP(AW373,βοηθητικό!$J$2:$N$354,3,FALSE))</f>
        <v>_</v>
      </c>
      <c r="AY373" s="47"/>
      <c r="AZ373" s="4" t="s">
        <v>16</v>
      </c>
      <c r="BA373" s="43" t="str">
        <f>IF(VLOOKUP(AZ373,βοηθητικό!$J$2:$N$354,3,FALSE)="","",VLOOKUP(AZ373,βοηθητικό!$J$2:$N$354,3,FALSE))</f>
        <v>_</v>
      </c>
      <c r="BB373" s="44"/>
      <c r="BC373" s="45" t="s">
        <v>16</v>
      </c>
      <c r="BD373" s="46" t="str">
        <f>IF(VLOOKUP(BC373,βοηθητικό!$J$2:$N$354,3,FALSE)="","",VLOOKUP(BC373,βοηθητικό!$J$2:$N$354,3,FALSE))</f>
        <v>_</v>
      </c>
      <c r="BE373" s="47"/>
      <c r="BF373" s="42" t="s">
        <v>16</v>
      </c>
      <c r="BG373" s="43" t="str">
        <f>IF(VLOOKUP(BF373,βοηθητικό!$J$2:$N$354,3,FALSE)="","",VLOOKUP(BF373,βοηθητικό!$J$2:$N$354,3,FALSE))</f>
        <v>_</v>
      </c>
      <c r="BH373" s="44"/>
      <c r="BI373" s="45" t="s">
        <v>16</v>
      </c>
      <c r="BJ373" s="46" t="str">
        <f>IF(VLOOKUP(BI373,βοηθητικό!$J$2:$N$354,3,FALSE)="","",VLOOKUP(BI373,βοηθητικό!$J$2:$N$354,3,FALSE))</f>
        <v>_</v>
      </c>
      <c r="BK373" s="47"/>
      <c r="BL373" s="42" t="s">
        <v>16</v>
      </c>
      <c r="BM373" s="43" t="str">
        <f>IF(VLOOKUP(BL373,βοηθητικό!$J$2:$N$354,3,FALSE)="","",VLOOKUP(BL373,βοηθητικό!$J$2:$N$354,3,FALSE))</f>
        <v>_</v>
      </c>
      <c r="BN373" s="44"/>
      <c r="BO373" s="45" t="s">
        <v>16</v>
      </c>
      <c r="BP373" s="46" t="str">
        <f>IF(VLOOKUP(BO373,βοηθητικό!$J$2:$N$354,3,FALSE)="","",VLOOKUP(BO373,βοηθητικό!$J$2:$N$354,3,FALSE))</f>
        <v>_</v>
      </c>
      <c r="BQ373" s="47"/>
      <c r="BR373" s="42" t="s">
        <v>16</v>
      </c>
      <c r="BS373" s="43" t="str">
        <f>IF(VLOOKUP(BR373,βοηθητικό!$J$2:$N$354,3,FALSE)="","",VLOOKUP(BR373,βοηθητικό!$J$2:$N$354,3,FALSE))</f>
        <v>_</v>
      </c>
      <c r="BT373" s="44"/>
      <c r="BU373" s="45" t="s">
        <v>16</v>
      </c>
      <c r="BV373" s="46" t="str">
        <f>IF(VLOOKUP(BU373,βοηθητικό!$J$2:$N$354,3,FALSE)="","",VLOOKUP(BU373,βοηθητικό!$J$2:$N$354,3,FALSE))</f>
        <v>_</v>
      </c>
      <c r="BW373" s="47"/>
      <c r="BX373" s="42" t="s">
        <v>16</v>
      </c>
      <c r="BY373" s="43" t="str">
        <f>IF(VLOOKUP(BX373,βοηθητικό!$J$2:$N$354,3,FALSE)="","",VLOOKUP(BX373,βοηθητικό!$J$2:$N$354,3,FALSE))</f>
        <v>_</v>
      </c>
      <c r="BZ373" s="44"/>
      <c r="CA373" s="45" t="s">
        <v>16</v>
      </c>
      <c r="CB373" s="46" t="str">
        <f>IF(VLOOKUP(CA373,βοηθητικό!$J$2:$N$354,3,FALSE)="","",VLOOKUP(CA373,βοηθητικό!$J$2:$N$354,3,FALSE))</f>
        <v>_</v>
      </c>
      <c r="CC373" s="47"/>
      <c r="CD373" s="42" t="s">
        <v>16</v>
      </c>
      <c r="CE373" s="43" t="str">
        <f>IF(VLOOKUP(CD373,βοηθητικό!$J$2:$N$354,3,FALSE)="","",VLOOKUP(CD373,βοηθητικό!$J$2:$N$354,3,FALSE))</f>
        <v>_</v>
      </c>
      <c r="CF373" s="44"/>
      <c r="CG373" s="45" t="s">
        <v>16</v>
      </c>
      <c r="CH373" s="46" t="str">
        <f>IF(VLOOKUP(CG373,βοηθητικό!$J$2:$N$354,3,FALSE)="","",VLOOKUP(CG373,βοηθητικό!$J$2:$N$354,3,FALSE))</f>
        <v>_</v>
      </c>
      <c r="CI373" s="47"/>
      <c r="CJ373" s="42" t="s">
        <v>16</v>
      </c>
      <c r="CK373" s="43" t="str">
        <f>IF(VLOOKUP(CJ373,βοηθητικό!$J$2:$N$354,3,FALSE)="","",VLOOKUP(CJ373,βοηθητικό!$J$2:$N$354,3,FALSE))</f>
        <v>_</v>
      </c>
      <c r="CL373" s="44"/>
      <c r="CM373" s="45" t="s">
        <v>16</v>
      </c>
      <c r="CN373" s="46" t="str">
        <f>IF(VLOOKUP(CM373,βοηθητικό!$J$2:$N$354,3,FALSE)="","",VLOOKUP(CM373,βοηθητικό!$J$2:$N$354,3,FALSE))</f>
        <v>_</v>
      </c>
      <c r="CO373" s="47"/>
      <c r="CP373" s="42" t="s">
        <v>16</v>
      </c>
      <c r="CQ373" s="43" t="str">
        <f>IF(VLOOKUP(CP373,βοηθητικό!$J$2:$N$354,3,FALSE)="","",VLOOKUP(CP373,βοηθητικό!$J$2:$N$354,3,FALSE))</f>
        <v>_</v>
      </c>
      <c r="CR373" s="44"/>
      <c r="CS373" s="45" t="s">
        <v>16</v>
      </c>
      <c r="CT373" s="46" t="str">
        <f>IF(VLOOKUP(CS373,βοηθητικό!$J$2:$N$354,3,FALSE)="","",VLOOKUP(CS373,βοηθητικό!$J$2:$N$354,3,FALSE))</f>
        <v>_</v>
      </c>
      <c r="CU373" s="47"/>
    </row>
    <row r="374" spans="1:99" x14ac:dyDescent="0.25">
      <c r="A374" s="37">
        <f>--SUBTOTAL(3,$B$3:B373)</f>
        <v>198</v>
      </c>
      <c r="B374" s="2"/>
      <c r="C374" s="3"/>
      <c r="D374" s="55" t="s">
        <v>18</v>
      </c>
      <c r="E374" s="38" t="s">
        <v>16</v>
      </c>
      <c r="F374" s="38" t="s">
        <v>16</v>
      </c>
      <c r="G374" s="39" t="str">
        <f t="shared" si="17"/>
        <v>__</v>
      </c>
      <c r="H374" s="40" t="str">
        <f t="shared" si="18"/>
        <v>FALSE</v>
      </c>
      <c r="I374" s="41">
        <f t="shared" si="19"/>
        <v>0</v>
      </c>
      <c r="J374" s="4" t="s">
        <v>16</v>
      </c>
      <c r="K374" s="43" t="str">
        <f>IF(VLOOKUP(J374,βοηθητικό!$J$2:$N$354,3,FALSE)="","",VLOOKUP(J374,βοηθητικό!$J$2:$N$354,3,FALSE))</f>
        <v>_</v>
      </c>
      <c r="L374" s="44"/>
      <c r="M374" s="5" t="s">
        <v>16</v>
      </c>
      <c r="N374" s="46" t="str">
        <f>IF(VLOOKUP(M374,βοηθητικό!$J$2:$N$354,3,FALSE)="","",VLOOKUP(M374,βοηθητικό!$J$2:$N$354,3,FALSE))</f>
        <v>_</v>
      </c>
      <c r="O374" s="47"/>
      <c r="P374" s="4" t="s">
        <v>16</v>
      </c>
      <c r="Q374" s="43" t="str">
        <f>IF(VLOOKUP(P374,βοηθητικό!$J$2:$N$354,3,FALSE)="","",VLOOKUP(P374,βοηθητικό!$J$2:$N$354,3,FALSE))</f>
        <v>_</v>
      </c>
      <c r="R374" s="44"/>
      <c r="S374" s="5" t="s">
        <v>16</v>
      </c>
      <c r="T374" s="46" t="str">
        <f>IF(VLOOKUP(S374,βοηθητικό!$J$2:$N$354,3,FALSE)="","",VLOOKUP(S374,βοηθητικό!$J$2:$N$354,3,FALSE))</f>
        <v>_</v>
      </c>
      <c r="U374" s="47"/>
      <c r="V374" s="4" t="s">
        <v>16</v>
      </c>
      <c r="W374" s="43" t="str">
        <f>IF(VLOOKUP(V374,βοηθητικό!$J$2:$N$354,3,FALSE)="","",VLOOKUP(V374,βοηθητικό!$J$2:$N$354,3,FALSE))</f>
        <v>_</v>
      </c>
      <c r="X374" s="44"/>
      <c r="Y374" s="5" t="s">
        <v>16</v>
      </c>
      <c r="Z374" s="46" t="str">
        <f>IF(VLOOKUP(Y374,βοηθητικό!$J$2:$N$354,3,FALSE)="","",VLOOKUP(Y374,βοηθητικό!$J$2:$N$354,3,FALSE))</f>
        <v>_</v>
      </c>
      <c r="AA374" s="47"/>
      <c r="AB374" s="4" t="s">
        <v>16</v>
      </c>
      <c r="AC374" s="43" t="str">
        <f>IF(VLOOKUP(AB374,βοηθητικό!$J$2:$N$354,3,FALSE)="","",VLOOKUP(AB374,βοηθητικό!$J$2:$N$354,3,FALSE))</f>
        <v>_</v>
      </c>
      <c r="AD374" s="44"/>
      <c r="AE374" s="5" t="s">
        <v>16</v>
      </c>
      <c r="AF374" s="46" t="str">
        <f>IF(VLOOKUP(AE374,βοηθητικό!$J$2:$N$354,3,FALSE)="","",VLOOKUP(AE374,βοηθητικό!$J$2:$N$354,3,FALSE))</f>
        <v>_</v>
      </c>
      <c r="AG374" s="47"/>
      <c r="AH374" s="4" t="s">
        <v>16</v>
      </c>
      <c r="AI374" s="43" t="str">
        <f>IF(VLOOKUP(AH374,βοηθητικό!$J$2:$N$354,3,FALSE)="","",VLOOKUP(AH374,βοηθητικό!$J$2:$N$354,3,FALSE))</f>
        <v>_</v>
      </c>
      <c r="AJ374" s="44"/>
      <c r="AK374" s="5" t="s">
        <v>16</v>
      </c>
      <c r="AL374" s="46" t="str">
        <f>IF(VLOOKUP(AK374,βοηθητικό!$J$2:$N$354,3,FALSE)="","",VLOOKUP(AK374,βοηθητικό!$J$2:$N$354,3,FALSE))</f>
        <v>_</v>
      </c>
      <c r="AM374" s="47"/>
      <c r="AN374" s="4" t="s">
        <v>16</v>
      </c>
      <c r="AO374" s="43" t="str">
        <f>IF(VLOOKUP(AN374,βοηθητικό!$J$2:$N$354,3,FALSE)="","",VLOOKUP(AN374,βοηθητικό!$J$2:$N$354,3,FALSE))</f>
        <v>_</v>
      </c>
      <c r="AP374" s="44"/>
      <c r="AQ374" s="5" t="s">
        <v>16</v>
      </c>
      <c r="AR374" s="46" t="str">
        <f>IF(VLOOKUP(AQ374,βοηθητικό!$J$2:$N$354,3,FALSE)="","",VLOOKUP(AQ374,βοηθητικό!$J$2:$N$354,3,FALSE))</f>
        <v>_</v>
      </c>
      <c r="AS374" s="47"/>
      <c r="AT374" s="4" t="s">
        <v>16</v>
      </c>
      <c r="AU374" s="43" t="str">
        <f>IF(VLOOKUP(AT374,βοηθητικό!$J$2:$N$354,3,FALSE)="","",VLOOKUP(AT374,βοηθητικό!$J$2:$N$354,3,FALSE))</f>
        <v>_</v>
      </c>
      <c r="AV374" s="44"/>
      <c r="AW374" s="5" t="s">
        <v>16</v>
      </c>
      <c r="AX374" s="46" t="str">
        <f>IF(VLOOKUP(AW374,βοηθητικό!$J$2:$N$354,3,FALSE)="","",VLOOKUP(AW374,βοηθητικό!$J$2:$N$354,3,FALSE))</f>
        <v>_</v>
      </c>
      <c r="AY374" s="47"/>
      <c r="AZ374" s="4" t="s">
        <v>16</v>
      </c>
      <c r="BA374" s="43" t="str">
        <f>IF(VLOOKUP(AZ374,βοηθητικό!$J$2:$N$354,3,FALSE)="","",VLOOKUP(AZ374,βοηθητικό!$J$2:$N$354,3,FALSE))</f>
        <v>_</v>
      </c>
      <c r="BB374" s="44"/>
      <c r="BC374" s="45" t="s">
        <v>16</v>
      </c>
      <c r="BD374" s="46" t="str">
        <f>IF(VLOOKUP(BC374,βοηθητικό!$J$2:$N$354,3,FALSE)="","",VLOOKUP(BC374,βοηθητικό!$J$2:$N$354,3,FALSE))</f>
        <v>_</v>
      </c>
      <c r="BE374" s="47"/>
      <c r="BF374" s="42" t="s">
        <v>16</v>
      </c>
      <c r="BG374" s="43" t="str">
        <f>IF(VLOOKUP(BF374,βοηθητικό!$J$2:$N$354,3,FALSE)="","",VLOOKUP(BF374,βοηθητικό!$J$2:$N$354,3,FALSE))</f>
        <v>_</v>
      </c>
      <c r="BH374" s="44"/>
      <c r="BI374" s="45" t="s">
        <v>16</v>
      </c>
      <c r="BJ374" s="46" t="str">
        <f>IF(VLOOKUP(BI374,βοηθητικό!$J$2:$N$354,3,FALSE)="","",VLOOKUP(BI374,βοηθητικό!$J$2:$N$354,3,FALSE))</f>
        <v>_</v>
      </c>
      <c r="BK374" s="47"/>
      <c r="BL374" s="42" t="s">
        <v>16</v>
      </c>
      <c r="BM374" s="43" t="str">
        <f>IF(VLOOKUP(BL374,βοηθητικό!$J$2:$N$354,3,FALSE)="","",VLOOKUP(BL374,βοηθητικό!$J$2:$N$354,3,FALSE))</f>
        <v>_</v>
      </c>
      <c r="BN374" s="44"/>
      <c r="BO374" s="45" t="s">
        <v>16</v>
      </c>
      <c r="BP374" s="46" t="str">
        <f>IF(VLOOKUP(BO374,βοηθητικό!$J$2:$N$354,3,FALSE)="","",VLOOKUP(BO374,βοηθητικό!$J$2:$N$354,3,FALSE))</f>
        <v>_</v>
      </c>
      <c r="BQ374" s="47"/>
      <c r="BR374" s="42" t="s">
        <v>16</v>
      </c>
      <c r="BS374" s="43" t="str">
        <f>IF(VLOOKUP(BR374,βοηθητικό!$J$2:$N$354,3,FALSE)="","",VLOOKUP(BR374,βοηθητικό!$J$2:$N$354,3,FALSE))</f>
        <v>_</v>
      </c>
      <c r="BT374" s="44"/>
      <c r="BU374" s="45" t="s">
        <v>16</v>
      </c>
      <c r="BV374" s="46" t="str">
        <f>IF(VLOOKUP(BU374,βοηθητικό!$J$2:$N$354,3,FALSE)="","",VLOOKUP(BU374,βοηθητικό!$J$2:$N$354,3,FALSE))</f>
        <v>_</v>
      </c>
      <c r="BW374" s="47"/>
      <c r="BX374" s="42" t="s">
        <v>16</v>
      </c>
      <c r="BY374" s="43" t="str">
        <f>IF(VLOOKUP(BX374,βοηθητικό!$J$2:$N$354,3,FALSE)="","",VLOOKUP(BX374,βοηθητικό!$J$2:$N$354,3,FALSE))</f>
        <v>_</v>
      </c>
      <c r="BZ374" s="44"/>
      <c r="CA374" s="45" t="s">
        <v>16</v>
      </c>
      <c r="CB374" s="46" t="str">
        <f>IF(VLOOKUP(CA374,βοηθητικό!$J$2:$N$354,3,FALSE)="","",VLOOKUP(CA374,βοηθητικό!$J$2:$N$354,3,FALSE))</f>
        <v>_</v>
      </c>
      <c r="CC374" s="47"/>
      <c r="CD374" s="42" t="s">
        <v>16</v>
      </c>
      <c r="CE374" s="43" t="str">
        <f>IF(VLOOKUP(CD374,βοηθητικό!$J$2:$N$354,3,FALSE)="","",VLOOKUP(CD374,βοηθητικό!$J$2:$N$354,3,FALSE))</f>
        <v>_</v>
      </c>
      <c r="CF374" s="44"/>
      <c r="CG374" s="45" t="s">
        <v>16</v>
      </c>
      <c r="CH374" s="46" t="str">
        <f>IF(VLOOKUP(CG374,βοηθητικό!$J$2:$N$354,3,FALSE)="","",VLOOKUP(CG374,βοηθητικό!$J$2:$N$354,3,FALSE))</f>
        <v>_</v>
      </c>
      <c r="CI374" s="47"/>
      <c r="CJ374" s="42" t="s">
        <v>16</v>
      </c>
      <c r="CK374" s="43" t="str">
        <f>IF(VLOOKUP(CJ374,βοηθητικό!$J$2:$N$354,3,FALSE)="","",VLOOKUP(CJ374,βοηθητικό!$J$2:$N$354,3,FALSE))</f>
        <v>_</v>
      </c>
      <c r="CL374" s="44"/>
      <c r="CM374" s="45" t="s">
        <v>16</v>
      </c>
      <c r="CN374" s="46" t="str">
        <f>IF(VLOOKUP(CM374,βοηθητικό!$J$2:$N$354,3,FALSE)="","",VLOOKUP(CM374,βοηθητικό!$J$2:$N$354,3,FALSE))</f>
        <v>_</v>
      </c>
      <c r="CO374" s="47"/>
      <c r="CP374" s="42" t="s">
        <v>16</v>
      </c>
      <c r="CQ374" s="43" t="str">
        <f>IF(VLOOKUP(CP374,βοηθητικό!$J$2:$N$354,3,FALSE)="","",VLOOKUP(CP374,βοηθητικό!$J$2:$N$354,3,FALSE))</f>
        <v>_</v>
      </c>
      <c r="CR374" s="44"/>
      <c r="CS374" s="45" t="s">
        <v>16</v>
      </c>
      <c r="CT374" s="46" t="str">
        <f>IF(VLOOKUP(CS374,βοηθητικό!$J$2:$N$354,3,FALSE)="","",VLOOKUP(CS374,βοηθητικό!$J$2:$N$354,3,FALSE))</f>
        <v>_</v>
      </c>
      <c r="CU374" s="47"/>
    </row>
    <row r="375" spans="1:99" x14ac:dyDescent="0.25">
      <c r="A375" s="37">
        <f>--SUBTOTAL(3,$B$3:B374)</f>
        <v>198</v>
      </c>
      <c r="B375" s="2"/>
      <c r="C375" s="3"/>
      <c r="D375" s="55" t="s">
        <v>18</v>
      </c>
      <c r="E375" s="38" t="s">
        <v>16</v>
      </c>
      <c r="F375" s="38" t="s">
        <v>16</v>
      </c>
      <c r="G375" s="39" t="str">
        <f t="shared" si="17"/>
        <v>__</v>
      </c>
      <c r="H375" s="40" t="str">
        <f t="shared" si="18"/>
        <v>FALSE</v>
      </c>
      <c r="I375" s="41">
        <f t="shared" si="19"/>
        <v>0</v>
      </c>
      <c r="J375" s="4" t="s">
        <v>16</v>
      </c>
      <c r="K375" s="43" t="str">
        <f>IF(VLOOKUP(J375,βοηθητικό!$J$2:$N$354,3,FALSE)="","",VLOOKUP(J375,βοηθητικό!$J$2:$N$354,3,FALSE))</f>
        <v>_</v>
      </c>
      <c r="L375" s="44"/>
      <c r="M375" s="5" t="s">
        <v>16</v>
      </c>
      <c r="N375" s="46" t="str">
        <f>IF(VLOOKUP(M375,βοηθητικό!$J$2:$N$354,3,FALSE)="","",VLOOKUP(M375,βοηθητικό!$J$2:$N$354,3,FALSE))</f>
        <v>_</v>
      </c>
      <c r="O375" s="47"/>
      <c r="P375" s="4" t="s">
        <v>16</v>
      </c>
      <c r="Q375" s="43" t="str">
        <f>IF(VLOOKUP(P375,βοηθητικό!$J$2:$N$354,3,FALSE)="","",VLOOKUP(P375,βοηθητικό!$J$2:$N$354,3,FALSE))</f>
        <v>_</v>
      </c>
      <c r="R375" s="44"/>
      <c r="S375" s="5" t="s">
        <v>16</v>
      </c>
      <c r="T375" s="46" t="str">
        <f>IF(VLOOKUP(S375,βοηθητικό!$J$2:$N$354,3,FALSE)="","",VLOOKUP(S375,βοηθητικό!$J$2:$N$354,3,FALSE))</f>
        <v>_</v>
      </c>
      <c r="U375" s="47"/>
      <c r="V375" s="4" t="s">
        <v>16</v>
      </c>
      <c r="W375" s="43" t="str">
        <f>IF(VLOOKUP(V375,βοηθητικό!$J$2:$N$354,3,FALSE)="","",VLOOKUP(V375,βοηθητικό!$J$2:$N$354,3,FALSE))</f>
        <v>_</v>
      </c>
      <c r="X375" s="44"/>
      <c r="Y375" s="5" t="s">
        <v>16</v>
      </c>
      <c r="Z375" s="46" t="str">
        <f>IF(VLOOKUP(Y375,βοηθητικό!$J$2:$N$354,3,FALSE)="","",VLOOKUP(Y375,βοηθητικό!$J$2:$N$354,3,FALSE))</f>
        <v>_</v>
      </c>
      <c r="AA375" s="47"/>
      <c r="AB375" s="4" t="s">
        <v>16</v>
      </c>
      <c r="AC375" s="43" t="str">
        <f>IF(VLOOKUP(AB375,βοηθητικό!$J$2:$N$354,3,FALSE)="","",VLOOKUP(AB375,βοηθητικό!$J$2:$N$354,3,FALSE))</f>
        <v>_</v>
      </c>
      <c r="AD375" s="44"/>
      <c r="AE375" s="5" t="s">
        <v>16</v>
      </c>
      <c r="AF375" s="46" t="str">
        <f>IF(VLOOKUP(AE375,βοηθητικό!$J$2:$N$354,3,FALSE)="","",VLOOKUP(AE375,βοηθητικό!$J$2:$N$354,3,FALSE))</f>
        <v>_</v>
      </c>
      <c r="AG375" s="47"/>
      <c r="AH375" s="4" t="s">
        <v>16</v>
      </c>
      <c r="AI375" s="43" t="str">
        <f>IF(VLOOKUP(AH375,βοηθητικό!$J$2:$N$354,3,FALSE)="","",VLOOKUP(AH375,βοηθητικό!$J$2:$N$354,3,FALSE))</f>
        <v>_</v>
      </c>
      <c r="AJ375" s="44"/>
      <c r="AK375" s="5" t="s">
        <v>16</v>
      </c>
      <c r="AL375" s="46" t="str">
        <f>IF(VLOOKUP(AK375,βοηθητικό!$J$2:$N$354,3,FALSE)="","",VLOOKUP(AK375,βοηθητικό!$J$2:$N$354,3,FALSE))</f>
        <v>_</v>
      </c>
      <c r="AM375" s="47"/>
      <c r="AN375" s="4" t="s">
        <v>16</v>
      </c>
      <c r="AO375" s="43" t="str">
        <f>IF(VLOOKUP(AN375,βοηθητικό!$J$2:$N$354,3,FALSE)="","",VLOOKUP(AN375,βοηθητικό!$J$2:$N$354,3,FALSE))</f>
        <v>_</v>
      </c>
      <c r="AP375" s="44"/>
      <c r="AQ375" s="5" t="s">
        <v>16</v>
      </c>
      <c r="AR375" s="46" t="str">
        <f>IF(VLOOKUP(AQ375,βοηθητικό!$J$2:$N$354,3,FALSE)="","",VLOOKUP(AQ375,βοηθητικό!$J$2:$N$354,3,FALSE))</f>
        <v>_</v>
      </c>
      <c r="AS375" s="47"/>
      <c r="AT375" s="4" t="s">
        <v>16</v>
      </c>
      <c r="AU375" s="43" t="str">
        <f>IF(VLOOKUP(AT375,βοηθητικό!$J$2:$N$354,3,FALSE)="","",VLOOKUP(AT375,βοηθητικό!$J$2:$N$354,3,FALSE))</f>
        <v>_</v>
      </c>
      <c r="AV375" s="44"/>
      <c r="AW375" s="5" t="s">
        <v>16</v>
      </c>
      <c r="AX375" s="46" t="str">
        <f>IF(VLOOKUP(AW375,βοηθητικό!$J$2:$N$354,3,FALSE)="","",VLOOKUP(AW375,βοηθητικό!$J$2:$N$354,3,FALSE))</f>
        <v>_</v>
      </c>
      <c r="AY375" s="47"/>
      <c r="AZ375" s="4" t="s">
        <v>16</v>
      </c>
      <c r="BA375" s="43" t="str">
        <f>IF(VLOOKUP(AZ375,βοηθητικό!$J$2:$N$354,3,FALSE)="","",VLOOKUP(AZ375,βοηθητικό!$J$2:$N$354,3,FALSE))</f>
        <v>_</v>
      </c>
      <c r="BB375" s="44"/>
      <c r="BC375" s="45" t="s">
        <v>16</v>
      </c>
      <c r="BD375" s="46" t="str">
        <f>IF(VLOOKUP(BC375,βοηθητικό!$J$2:$N$354,3,FALSE)="","",VLOOKUP(BC375,βοηθητικό!$J$2:$N$354,3,FALSE))</f>
        <v>_</v>
      </c>
      <c r="BE375" s="47"/>
      <c r="BF375" s="42" t="s">
        <v>16</v>
      </c>
      <c r="BG375" s="43" t="str">
        <f>IF(VLOOKUP(BF375,βοηθητικό!$J$2:$N$354,3,FALSE)="","",VLOOKUP(BF375,βοηθητικό!$J$2:$N$354,3,FALSE))</f>
        <v>_</v>
      </c>
      <c r="BH375" s="44"/>
      <c r="BI375" s="45" t="s">
        <v>16</v>
      </c>
      <c r="BJ375" s="46" t="str">
        <f>IF(VLOOKUP(BI375,βοηθητικό!$J$2:$N$354,3,FALSE)="","",VLOOKUP(BI375,βοηθητικό!$J$2:$N$354,3,FALSE))</f>
        <v>_</v>
      </c>
      <c r="BK375" s="47"/>
      <c r="BL375" s="42" t="s">
        <v>16</v>
      </c>
      <c r="BM375" s="43" t="str">
        <f>IF(VLOOKUP(BL375,βοηθητικό!$J$2:$N$354,3,FALSE)="","",VLOOKUP(BL375,βοηθητικό!$J$2:$N$354,3,FALSE))</f>
        <v>_</v>
      </c>
      <c r="BN375" s="44"/>
      <c r="BO375" s="45" t="s">
        <v>16</v>
      </c>
      <c r="BP375" s="46" t="str">
        <f>IF(VLOOKUP(BO375,βοηθητικό!$J$2:$N$354,3,FALSE)="","",VLOOKUP(BO375,βοηθητικό!$J$2:$N$354,3,FALSE))</f>
        <v>_</v>
      </c>
      <c r="BQ375" s="47"/>
      <c r="BR375" s="42" t="s">
        <v>16</v>
      </c>
      <c r="BS375" s="43" t="str">
        <f>IF(VLOOKUP(BR375,βοηθητικό!$J$2:$N$354,3,FALSE)="","",VLOOKUP(BR375,βοηθητικό!$J$2:$N$354,3,FALSE))</f>
        <v>_</v>
      </c>
      <c r="BT375" s="44"/>
      <c r="BU375" s="45" t="s">
        <v>16</v>
      </c>
      <c r="BV375" s="46" t="str">
        <f>IF(VLOOKUP(BU375,βοηθητικό!$J$2:$N$354,3,FALSE)="","",VLOOKUP(BU375,βοηθητικό!$J$2:$N$354,3,FALSE))</f>
        <v>_</v>
      </c>
      <c r="BW375" s="47"/>
      <c r="BX375" s="42" t="s">
        <v>16</v>
      </c>
      <c r="BY375" s="43" t="str">
        <f>IF(VLOOKUP(BX375,βοηθητικό!$J$2:$N$354,3,FALSE)="","",VLOOKUP(BX375,βοηθητικό!$J$2:$N$354,3,FALSE))</f>
        <v>_</v>
      </c>
      <c r="BZ375" s="44"/>
      <c r="CA375" s="45" t="s">
        <v>16</v>
      </c>
      <c r="CB375" s="46" t="str">
        <f>IF(VLOOKUP(CA375,βοηθητικό!$J$2:$N$354,3,FALSE)="","",VLOOKUP(CA375,βοηθητικό!$J$2:$N$354,3,FALSE))</f>
        <v>_</v>
      </c>
      <c r="CC375" s="47"/>
      <c r="CD375" s="42" t="s">
        <v>16</v>
      </c>
      <c r="CE375" s="43" t="str">
        <f>IF(VLOOKUP(CD375,βοηθητικό!$J$2:$N$354,3,FALSE)="","",VLOOKUP(CD375,βοηθητικό!$J$2:$N$354,3,FALSE))</f>
        <v>_</v>
      </c>
      <c r="CF375" s="44"/>
      <c r="CG375" s="45" t="s">
        <v>16</v>
      </c>
      <c r="CH375" s="46" t="str">
        <f>IF(VLOOKUP(CG375,βοηθητικό!$J$2:$N$354,3,FALSE)="","",VLOOKUP(CG375,βοηθητικό!$J$2:$N$354,3,FALSE))</f>
        <v>_</v>
      </c>
      <c r="CI375" s="47"/>
      <c r="CJ375" s="42" t="s">
        <v>16</v>
      </c>
      <c r="CK375" s="43" t="str">
        <f>IF(VLOOKUP(CJ375,βοηθητικό!$J$2:$N$354,3,FALSE)="","",VLOOKUP(CJ375,βοηθητικό!$J$2:$N$354,3,FALSE))</f>
        <v>_</v>
      </c>
      <c r="CL375" s="44"/>
      <c r="CM375" s="45" t="s">
        <v>16</v>
      </c>
      <c r="CN375" s="46" t="str">
        <f>IF(VLOOKUP(CM375,βοηθητικό!$J$2:$N$354,3,FALSE)="","",VLOOKUP(CM375,βοηθητικό!$J$2:$N$354,3,FALSE))</f>
        <v>_</v>
      </c>
      <c r="CO375" s="47"/>
      <c r="CP375" s="42" t="s">
        <v>16</v>
      </c>
      <c r="CQ375" s="43" t="str">
        <f>IF(VLOOKUP(CP375,βοηθητικό!$J$2:$N$354,3,FALSE)="","",VLOOKUP(CP375,βοηθητικό!$J$2:$N$354,3,FALSE))</f>
        <v>_</v>
      </c>
      <c r="CR375" s="44"/>
      <c r="CS375" s="45" t="s">
        <v>16</v>
      </c>
      <c r="CT375" s="46" t="str">
        <f>IF(VLOOKUP(CS375,βοηθητικό!$J$2:$N$354,3,FALSE)="","",VLOOKUP(CS375,βοηθητικό!$J$2:$N$354,3,FALSE))</f>
        <v>_</v>
      </c>
      <c r="CU375" s="47"/>
    </row>
    <row r="376" spans="1:99" x14ac:dyDescent="0.25">
      <c r="A376" s="37">
        <f>--SUBTOTAL(3,$B$3:B375)</f>
        <v>198</v>
      </c>
      <c r="B376" s="2"/>
      <c r="C376" s="3"/>
      <c r="D376" s="55" t="s">
        <v>18</v>
      </c>
      <c r="E376" s="38" t="s">
        <v>16</v>
      </c>
      <c r="F376" s="38" t="s">
        <v>16</v>
      </c>
      <c r="G376" s="39" t="str">
        <f t="shared" si="17"/>
        <v>__</v>
      </c>
      <c r="H376" s="40" t="str">
        <f t="shared" si="18"/>
        <v>FALSE</v>
      </c>
      <c r="I376" s="41">
        <f t="shared" si="19"/>
        <v>0</v>
      </c>
      <c r="J376" s="4" t="s">
        <v>16</v>
      </c>
      <c r="K376" s="43" t="str">
        <f>IF(VLOOKUP(J376,βοηθητικό!$J$2:$N$354,3,FALSE)="","",VLOOKUP(J376,βοηθητικό!$J$2:$N$354,3,FALSE))</f>
        <v>_</v>
      </c>
      <c r="L376" s="44"/>
      <c r="M376" s="5" t="s">
        <v>16</v>
      </c>
      <c r="N376" s="46" t="str">
        <f>IF(VLOOKUP(M376,βοηθητικό!$J$2:$N$354,3,FALSE)="","",VLOOKUP(M376,βοηθητικό!$J$2:$N$354,3,FALSE))</f>
        <v>_</v>
      </c>
      <c r="O376" s="47"/>
      <c r="P376" s="4" t="s">
        <v>16</v>
      </c>
      <c r="Q376" s="43" t="str">
        <f>IF(VLOOKUP(P376,βοηθητικό!$J$2:$N$354,3,FALSE)="","",VLOOKUP(P376,βοηθητικό!$J$2:$N$354,3,FALSE))</f>
        <v>_</v>
      </c>
      <c r="R376" s="44"/>
      <c r="S376" s="5" t="s">
        <v>16</v>
      </c>
      <c r="T376" s="46" t="str">
        <f>IF(VLOOKUP(S376,βοηθητικό!$J$2:$N$354,3,FALSE)="","",VLOOKUP(S376,βοηθητικό!$J$2:$N$354,3,FALSE))</f>
        <v>_</v>
      </c>
      <c r="U376" s="47"/>
      <c r="V376" s="4" t="s">
        <v>16</v>
      </c>
      <c r="W376" s="43" t="str">
        <f>IF(VLOOKUP(V376,βοηθητικό!$J$2:$N$354,3,FALSE)="","",VLOOKUP(V376,βοηθητικό!$J$2:$N$354,3,FALSE))</f>
        <v>_</v>
      </c>
      <c r="X376" s="44"/>
      <c r="Y376" s="5" t="s">
        <v>16</v>
      </c>
      <c r="Z376" s="46" t="str">
        <f>IF(VLOOKUP(Y376,βοηθητικό!$J$2:$N$354,3,FALSE)="","",VLOOKUP(Y376,βοηθητικό!$J$2:$N$354,3,FALSE))</f>
        <v>_</v>
      </c>
      <c r="AA376" s="47"/>
      <c r="AB376" s="4" t="s">
        <v>16</v>
      </c>
      <c r="AC376" s="43" t="str">
        <f>IF(VLOOKUP(AB376,βοηθητικό!$J$2:$N$354,3,FALSE)="","",VLOOKUP(AB376,βοηθητικό!$J$2:$N$354,3,FALSE))</f>
        <v>_</v>
      </c>
      <c r="AD376" s="44"/>
      <c r="AE376" s="5" t="s">
        <v>16</v>
      </c>
      <c r="AF376" s="46" t="str">
        <f>IF(VLOOKUP(AE376,βοηθητικό!$J$2:$N$354,3,FALSE)="","",VLOOKUP(AE376,βοηθητικό!$J$2:$N$354,3,FALSE))</f>
        <v>_</v>
      </c>
      <c r="AG376" s="47"/>
      <c r="AH376" s="4" t="s">
        <v>16</v>
      </c>
      <c r="AI376" s="43" t="str">
        <f>IF(VLOOKUP(AH376,βοηθητικό!$J$2:$N$354,3,FALSE)="","",VLOOKUP(AH376,βοηθητικό!$J$2:$N$354,3,FALSE))</f>
        <v>_</v>
      </c>
      <c r="AJ376" s="44"/>
      <c r="AK376" s="5" t="s">
        <v>16</v>
      </c>
      <c r="AL376" s="46" t="str">
        <f>IF(VLOOKUP(AK376,βοηθητικό!$J$2:$N$354,3,FALSE)="","",VLOOKUP(AK376,βοηθητικό!$J$2:$N$354,3,FALSE))</f>
        <v>_</v>
      </c>
      <c r="AM376" s="47"/>
      <c r="AN376" s="4" t="s">
        <v>16</v>
      </c>
      <c r="AO376" s="43" t="str">
        <f>IF(VLOOKUP(AN376,βοηθητικό!$J$2:$N$354,3,FALSE)="","",VLOOKUP(AN376,βοηθητικό!$J$2:$N$354,3,FALSE))</f>
        <v>_</v>
      </c>
      <c r="AP376" s="44"/>
      <c r="AQ376" s="5" t="s">
        <v>16</v>
      </c>
      <c r="AR376" s="46" t="str">
        <f>IF(VLOOKUP(AQ376,βοηθητικό!$J$2:$N$354,3,FALSE)="","",VLOOKUP(AQ376,βοηθητικό!$J$2:$N$354,3,FALSE))</f>
        <v>_</v>
      </c>
      <c r="AS376" s="47"/>
      <c r="AT376" s="4" t="s">
        <v>16</v>
      </c>
      <c r="AU376" s="43" t="str">
        <f>IF(VLOOKUP(AT376,βοηθητικό!$J$2:$N$354,3,FALSE)="","",VLOOKUP(AT376,βοηθητικό!$J$2:$N$354,3,FALSE))</f>
        <v>_</v>
      </c>
      <c r="AV376" s="44"/>
      <c r="AW376" s="5" t="s">
        <v>16</v>
      </c>
      <c r="AX376" s="46" t="str">
        <f>IF(VLOOKUP(AW376,βοηθητικό!$J$2:$N$354,3,FALSE)="","",VLOOKUP(AW376,βοηθητικό!$J$2:$N$354,3,FALSE))</f>
        <v>_</v>
      </c>
      <c r="AY376" s="47"/>
      <c r="AZ376" s="4" t="s">
        <v>16</v>
      </c>
      <c r="BA376" s="43" t="str">
        <f>IF(VLOOKUP(AZ376,βοηθητικό!$J$2:$N$354,3,FALSE)="","",VLOOKUP(AZ376,βοηθητικό!$J$2:$N$354,3,FALSE))</f>
        <v>_</v>
      </c>
      <c r="BB376" s="44"/>
      <c r="BC376" s="45" t="s">
        <v>16</v>
      </c>
      <c r="BD376" s="46" t="str">
        <f>IF(VLOOKUP(BC376,βοηθητικό!$J$2:$N$354,3,FALSE)="","",VLOOKUP(BC376,βοηθητικό!$J$2:$N$354,3,FALSE))</f>
        <v>_</v>
      </c>
      <c r="BE376" s="47"/>
      <c r="BF376" s="42" t="s">
        <v>16</v>
      </c>
      <c r="BG376" s="43" t="str">
        <f>IF(VLOOKUP(BF376,βοηθητικό!$J$2:$N$354,3,FALSE)="","",VLOOKUP(BF376,βοηθητικό!$J$2:$N$354,3,FALSE))</f>
        <v>_</v>
      </c>
      <c r="BH376" s="44"/>
      <c r="BI376" s="45" t="s">
        <v>16</v>
      </c>
      <c r="BJ376" s="46" t="str">
        <f>IF(VLOOKUP(BI376,βοηθητικό!$J$2:$N$354,3,FALSE)="","",VLOOKUP(BI376,βοηθητικό!$J$2:$N$354,3,FALSE))</f>
        <v>_</v>
      </c>
      <c r="BK376" s="47"/>
      <c r="BL376" s="42" t="s">
        <v>16</v>
      </c>
      <c r="BM376" s="43" t="str">
        <f>IF(VLOOKUP(BL376,βοηθητικό!$J$2:$N$354,3,FALSE)="","",VLOOKUP(BL376,βοηθητικό!$J$2:$N$354,3,FALSE))</f>
        <v>_</v>
      </c>
      <c r="BN376" s="44"/>
      <c r="BO376" s="45" t="s">
        <v>16</v>
      </c>
      <c r="BP376" s="46" t="str">
        <f>IF(VLOOKUP(BO376,βοηθητικό!$J$2:$N$354,3,FALSE)="","",VLOOKUP(BO376,βοηθητικό!$J$2:$N$354,3,FALSE))</f>
        <v>_</v>
      </c>
      <c r="BQ376" s="47"/>
      <c r="BR376" s="42" t="s">
        <v>16</v>
      </c>
      <c r="BS376" s="43" t="str">
        <f>IF(VLOOKUP(BR376,βοηθητικό!$J$2:$N$354,3,FALSE)="","",VLOOKUP(BR376,βοηθητικό!$J$2:$N$354,3,FALSE))</f>
        <v>_</v>
      </c>
      <c r="BT376" s="44"/>
      <c r="BU376" s="45" t="s">
        <v>16</v>
      </c>
      <c r="BV376" s="46" t="str">
        <f>IF(VLOOKUP(BU376,βοηθητικό!$J$2:$N$354,3,FALSE)="","",VLOOKUP(BU376,βοηθητικό!$J$2:$N$354,3,FALSE))</f>
        <v>_</v>
      </c>
      <c r="BW376" s="47"/>
      <c r="BX376" s="42" t="s">
        <v>16</v>
      </c>
      <c r="BY376" s="43" t="str">
        <f>IF(VLOOKUP(BX376,βοηθητικό!$J$2:$N$354,3,FALSE)="","",VLOOKUP(BX376,βοηθητικό!$J$2:$N$354,3,FALSE))</f>
        <v>_</v>
      </c>
      <c r="BZ376" s="44"/>
      <c r="CA376" s="45" t="s">
        <v>16</v>
      </c>
      <c r="CB376" s="46" t="str">
        <f>IF(VLOOKUP(CA376,βοηθητικό!$J$2:$N$354,3,FALSE)="","",VLOOKUP(CA376,βοηθητικό!$J$2:$N$354,3,FALSE))</f>
        <v>_</v>
      </c>
      <c r="CC376" s="47"/>
      <c r="CD376" s="42" t="s">
        <v>16</v>
      </c>
      <c r="CE376" s="43" t="str">
        <f>IF(VLOOKUP(CD376,βοηθητικό!$J$2:$N$354,3,FALSE)="","",VLOOKUP(CD376,βοηθητικό!$J$2:$N$354,3,FALSE))</f>
        <v>_</v>
      </c>
      <c r="CF376" s="44"/>
      <c r="CG376" s="45" t="s">
        <v>16</v>
      </c>
      <c r="CH376" s="46" t="str">
        <f>IF(VLOOKUP(CG376,βοηθητικό!$J$2:$N$354,3,FALSE)="","",VLOOKUP(CG376,βοηθητικό!$J$2:$N$354,3,FALSE))</f>
        <v>_</v>
      </c>
      <c r="CI376" s="47"/>
      <c r="CJ376" s="42" t="s">
        <v>16</v>
      </c>
      <c r="CK376" s="43" t="str">
        <f>IF(VLOOKUP(CJ376,βοηθητικό!$J$2:$N$354,3,FALSE)="","",VLOOKUP(CJ376,βοηθητικό!$J$2:$N$354,3,FALSE))</f>
        <v>_</v>
      </c>
      <c r="CL376" s="44"/>
      <c r="CM376" s="45" t="s">
        <v>16</v>
      </c>
      <c r="CN376" s="46" t="str">
        <f>IF(VLOOKUP(CM376,βοηθητικό!$J$2:$N$354,3,FALSE)="","",VLOOKUP(CM376,βοηθητικό!$J$2:$N$354,3,FALSE))</f>
        <v>_</v>
      </c>
      <c r="CO376" s="47"/>
      <c r="CP376" s="42" t="s">
        <v>16</v>
      </c>
      <c r="CQ376" s="43" t="str">
        <f>IF(VLOOKUP(CP376,βοηθητικό!$J$2:$N$354,3,FALSE)="","",VLOOKUP(CP376,βοηθητικό!$J$2:$N$354,3,FALSE))</f>
        <v>_</v>
      </c>
      <c r="CR376" s="44"/>
      <c r="CS376" s="45" t="s">
        <v>16</v>
      </c>
      <c r="CT376" s="46" t="str">
        <f>IF(VLOOKUP(CS376,βοηθητικό!$J$2:$N$354,3,FALSE)="","",VLOOKUP(CS376,βοηθητικό!$J$2:$N$354,3,FALSE))</f>
        <v>_</v>
      </c>
      <c r="CU376" s="47"/>
    </row>
    <row r="377" spans="1:99" x14ac:dyDescent="0.25">
      <c r="A377" s="37">
        <f>--SUBTOTAL(3,$B$3:B376)</f>
        <v>198</v>
      </c>
      <c r="B377" s="2"/>
      <c r="C377" s="3"/>
      <c r="D377" s="55" t="s">
        <v>18</v>
      </c>
      <c r="E377" s="38" t="s">
        <v>16</v>
      </c>
      <c r="F377" s="38" t="s">
        <v>16</v>
      </c>
      <c r="G377" s="39" t="str">
        <f t="shared" si="17"/>
        <v>__</v>
      </c>
      <c r="H377" s="40" t="str">
        <f t="shared" si="18"/>
        <v>FALSE</v>
      </c>
      <c r="I377" s="41">
        <f t="shared" si="19"/>
        <v>0</v>
      </c>
      <c r="J377" s="4" t="s">
        <v>16</v>
      </c>
      <c r="K377" s="43" t="str">
        <f>IF(VLOOKUP(J377,βοηθητικό!$J$2:$N$354,3,FALSE)="","",VLOOKUP(J377,βοηθητικό!$J$2:$N$354,3,FALSE))</f>
        <v>_</v>
      </c>
      <c r="L377" s="44"/>
      <c r="M377" s="5" t="s">
        <v>16</v>
      </c>
      <c r="N377" s="46" t="str">
        <f>IF(VLOOKUP(M377,βοηθητικό!$J$2:$N$354,3,FALSE)="","",VLOOKUP(M377,βοηθητικό!$J$2:$N$354,3,FALSE))</f>
        <v>_</v>
      </c>
      <c r="O377" s="47"/>
      <c r="P377" s="4" t="s">
        <v>16</v>
      </c>
      <c r="Q377" s="43" t="str">
        <f>IF(VLOOKUP(P377,βοηθητικό!$J$2:$N$354,3,FALSE)="","",VLOOKUP(P377,βοηθητικό!$J$2:$N$354,3,FALSE))</f>
        <v>_</v>
      </c>
      <c r="R377" s="44"/>
      <c r="S377" s="5" t="s">
        <v>16</v>
      </c>
      <c r="T377" s="46" t="str">
        <f>IF(VLOOKUP(S377,βοηθητικό!$J$2:$N$354,3,FALSE)="","",VLOOKUP(S377,βοηθητικό!$J$2:$N$354,3,FALSE))</f>
        <v>_</v>
      </c>
      <c r="U377" s="47"/>
      <c r="V377" s="4" t="s">
        <v>16</v>
      </c>
      <c r="W377" s="43" t="str">
        <f>IF(VLOOKUP(V377,βοηθητικό!$J$2:$N$354,3,FALSE)="","",VLOOKUP(V377,βοηθητικό!$J$2:$N$354,3,FALSE))</f>
        <v>_</v>
      </c>
      <c r="X377" s="44"/>
      <c r="Y377" s="5" t="s">
        <v>16</v>
      </c>
      <c r="Z377" s="46" t="str">
        <f>IF(VLOOKUP(Y377,βοηθητικό!$J$2:$N$354,3,FALSE)="","",VLOOKUP(Y377,βοηθητικό!$J$2:$N$354,3,FALSE))</f>
        <v>_</v>
      </c>
      <c r="AA377" s="47"/>
      <c r="AB377" s="4" t="s">
        <v>16</v>
      </c>
      <c r="AC377" s="43" t="str">
        <f>IF(VLOOKUP(AB377,βοηθητικό!$J$2:$N$354,3,FALSE)="","",VLOOKUP(AB377,βοηθητικό!$J$2:$N$354,3,FALSE))</f>
        <v>_</v>
      </c>
      <c r="AD377" s="44"/>
      <c r="AE377" s="5" t="s">
        <v>16</v>
      </c>
      <c r="AF377" s="46" t="str">
        <f>IF(VLOOKUP(AE377,βοηθητικό!$J$2:$N$354,3,FALSE)="","",VLOOKUP(AE377,βοηθητικό!$J$2:$N$354,3,FALSE))</f>
        <v>_</v>
      </c>
      <c r="AG377" s="47"/>
      <c r="AH377" s="4" t="s">
        <v>16</v>
      </c>
      <c r="AI377" s="43" t="str">
        <f>IF(VLOOKUP(AH377,βοηθητικό!$J$2:$N$354,3,FALSE)="","",VLOOKUP(AH377,βοηθητικό!$J$2:$N$354,3,FALSE))</f>
        <v>_</v>
      </c>
      <c r="AJ377" s="44"/>
      <c r="AK377" s="5" t="s">
        <v>16</v>
      </c>
      <c r="AL377" s="46" t="str">
        <f>IF(VLOOKUP(AK377,βοηθητικό!$J$2:$N$354,3,FALSE)="","",VLOOKUP(AK377,βοηθητικό!$J$2:$N$354,3,FALSE))</f>
        <v>_</v>
      </c>
      <c r="AM377" s="47"/>
      <c r="AN377" s="4" t="s">
        <v>16</v>
      </c>
      <c r="AO377" s="43" t="str">
        <f>IF(VLOOKUP(AN377,βοηθητικό!$J$2:$N$354,3,FALSE)="","",VLOOKUP(AN377,βοηθητικό!$J$2:$N$354,3,FALSE))</f>
        <v>_</v>
      </c>
      <c r="AP377" s="44"/>
      <c r="AQ377" s="5" t="s">
        <v>16</v>
      </c>
      <c r="AR377" s="46" t="str">
        <f>IF(VLOOKUP(AQ377,βοηθητικό!$J$2:$N$354,3,FALSE)="","",VLOOKUP(AQ377,βοηθητικό!$J$2:$N$354,3,FALSE))</f>
        <v>_</v>
      </c>
      <c r="AS377" s="47"/>
      <c r="AT377" s="4" t="s">
        <v>16</v>
      </c>
      <c r="AU377" s="43" t="str">
        <f>IF(VLOOKUP(AT377,βοηθητικό!$J$2:$N$354,3,FALSE)="","",VLOOKUP(AT377,βοηθητικό!$J$2:$N$354,3,FALSE))</f>
        <v>_</v>
      </c>
      <c r="AV377" s="44"/>
      <c r="AW377" s="5" t="s">
        <v>16</v>
      </c>
      <c r="AX377" s="46" t="str">
        <f>IF(VLOOKUP(AW377,βοηθητικό!$J$2:$N$354,3,FALSE)="","",VLOOKUP(AW377,βοηθητικό!$J$2:$N$354,3,FALSE))</f>
        <v>_</v>
      </c>
      <c r="AY377" s="47"/>
      <c r="AZ377" s="4" t="s">
        <v>16</v>
      </c>
      <c r="BA377" s="43" t="str">
        <f>IF(VLOOKUP(AZ377,βοηθητικό!$J$2:$N$354,3,FALSE)="","",VLOOKUP(AZ377,βοηθητικό!$J$2:$N$354,3,FALSE))</f>
        <v>_</v>
      </c>
      <c r="BB377" s="44"/>
      <c r="BC377" s="45" t="s">
        <v>16</v>
      </c>
      <c r="BD377" s="46" t="str">
        <f>IF(VLOOKUP(BC377,βοηθητικό!$J$2:$N$354,3,FALSE)="","",VLOOKUP(BC377,βοηθητικό!$J$2:$N$354,3,FALSE))</f>
        <v>_</v>
      </c>
      <c r="BE377" s="47"/>
      <c r="BF377" s="42" t="s">
        <v>16</v>
      </c>
      <c r="BG377" s="43" t="str">
        <f>IF(VLOOKUP(BF377,βοηθητικό!$J$2:$N$354,3,FALSE)="","",VLOOKUP(BF377,βοηθητικό!$J$2:$N$354,3,FALSE))</f>
        <v>_</v>
      </c>
      <c r="BH377" s="44"/>
      <c r="BI377" s="45" t="s">
        <v>16</v>
      </c>
      <c r="BJ377" s="46" t="str">
        <f>IF(VLOOKUP(BI377,βοηθητικό!$J$2:$N$354,3,FALSE)="","",VLOOKUP(BI377,βοηθητικό!$J$2:$N$354,3,FALSE))</f>
        <v>_</v>
      </c>
      <c r="BK377" s="47"/>
      <c r="BL377" s="42" t="s">
        <v>16</v>
      </c>
      <c r="BM377" s="43" t="str">
        <f>IF(VLOOKUP(BL377,βοηθητικό!$J$2:$N$354,3,FALSE)="","",VLOOKUP(BL377,βοηθητικό!$J$2:$N$354,3,FALSE))</f>
        <v>_</v>
      </c>
      <c r="BN377" s="44"/>
      <c r="BO377" s="45" t="s">
        <v>16</v>
      </c>
      <c r="BP377" s="46" t="str">
        <f>IF(VLOOKUP(BO377,βοηθητικό!$J$2:$N$354,3,FALSE)="","",VLOOKUP(BO377,βοηθητικό!$J$2:$N$354,3,FALSE))</f>
        <v>_</v>
      </c>
      <c r="BQ377" s="47"/>
      <c r="BR377" s="42" t="s">
        <v>16</v>
      </c>
      <c r="BS377" s="43" t="str">
        <f>IF(VLOOKUP(BR377,βοηθητικό!$J$2:$N$354,3,FALSE)="","",VLOOKUP(BR377,βοηθητικό!$J$2:$N$354,3,FALSE))</f>
        <v>_</v>
      </c>
      <c r="BT377" s="44"/>
      <c r="BU377" s="45" t="s">
        <v>16</v>
      </c>
      <c r="BV377" s="46" t="str">
        <f>IF(VLOOKUP(BU377,βοηθητικό!$J$2:$N$354,3,FALSE)="","",VLOOKUP(BU377,βοηθητικό!$J$2:$N$354,3,FALSE))</f>
        <v>_</v>
      </c>
      <c r="BW377" s="47"/>
      <c r="BX377" s="42" t="s">
        <v>16</v>
      </c>
      <c r="BY377" s="43" t="str">
        <f>IF(VLOOKUP(BX377,βοηθητικό!$J$2:$N$354,3,FALSE)="","",VLOOKUP(BX377,βοηθητικό!$J$2:$N$354,3,FALSE))</f>
        <v>_</v>
      </c>
      <c r="BZ377" s="44"/>
      <c r="CA377" s="45" t="s">
        <v>16</v>
      </c>
      <c r="CB377" s="46" t="str">
        <f>IF(VLOOKUP(CA377,βοηθητικό!$J$2:$N$354,3,FALSE)="","",VLOOKUP(CA377,βοηθητικό!$J$2:$N$354,3,FALSE))</f>
        <v>_</v>
      </c>
      <c r="CC377" s="47"/>
      <c r="CD377" s="42" t="s">
        <v>16</v>
      </c>
      <c r="CE377" s="43" t="str">
        <f>IF(VLOOKUP(CD377,βοηθητικό!$J$2:$N$354,3,FALSE)="","",VLOOKUP(CD377,βοηθητικό!$J$2:$N$354,3,FALSE))</f>
        <v>_</v>
      </c>
      <c r="CF377" s="44"/>
      <c r="CG377" s="45" t="s">
        <v>16</v>
      </c>
      <c r="CH377" s="46" t="str">
        <f>IF(VLOOKUP(CG377,βοηθητικό!$J$2:$N$354,3,FALSE)="","",VLOOKUP(CG377,βοηθητικό!$J$2:$N$354,3,FALSE))</f>
        <v>_</v>
      </c>
      <c r="CI377" s="47"/>
      <c r="CJ377" s="42" t="s">
        <v>16</v>
      </c>
      <c r="CK377" s="43" t="str">
        <f>IF(VLOOKUP(CJ377,βοηθητικό!$J$2:$N$354,3,FALSE)="","",VLOOKUP(CJ377,βοηθητικό!$J$2:$N$354,3,FALSE))</f>
        <v>_</v>
      </c>
      <c r="CL377" s="44"/>
      <c r="CM377" s="45" t="s">
        <v>16</v>
      </c>
      <c r="CN377" s="46" t="str">
        <f>IF(VLOOKUP(CM377,βοηθητικό!$J$2:$N$354,3,FALSE)="","",VLOOKUP(CM377,βοηθητικό!$J$2:$N$354,3,FALSE))</f>
        <v>_</v>
      </c>
      <c r="CO377" s="47"/>
      <c r="CP377" s="42" t="s">
        <v>16</v>
      </c>
      <c r="CQ377" s="43" t="str">
        <f>IF(VLOOKUP(CP377,βοηθητικό!$J$2:$N$354,3,FALSE)="","",VLOOKUP(CP377,βοηθητικό!$J$2:$N$354,3,FALSE))</f>
        <v>_</v>
      </c>
      <c r="CR377" s="44"/>
      <c r="CS377" s="45" t="s">
        <v>16</v>
      </c>
      <c r="CT377" s="46" t="str">
        <f>IF(VLOOKUP(CS377,βοηθητικό!$J$2:$N$354,3,FALSE)="","",VLOOKUP(CS377,βοηθητικό!$J$2:$N$354,3,FALSE))</f>
        <v>_</v>
      </c>
      <c r="CU377" s="47"/>
    </row>
    <row r="378" spans="1:99" x14ac:dyDescent="0.25">
      <c r="A378" s="37">
        <f>--SUBTOTAL(3,$B$3:B377)</f>
        <v>198</v>
      </c>
      <c r="B378" s="2"/>
      <c r="C378" s="3"/>
      <c r="D378" s="55" t="s">
        <v>18</v>
      </c>
      <c r="E378" s="38" t="s">
        <v>16</v>
      </c>
      <c r="F378" s="38" t="s">
        <v>16</v>
      </c>
      <c r="G378" s="39" t="str">
        <f t="shared" si="17"/>
        <v>__</v>
      </c>
      <c r="H378" s="40" t="str">
        <f t="shared" si="18"/>
        <v>FALSE</v>
      </c>
      <c r="I378" s="41">
        <f t="shared" si="19"/>
        <v>0</v>
      </c>
      <c r="J378" s="4" t="s">
        <v>16</v>
      </c>
      <c r="K378" s="43" t="str">
        <f>IF(VLOOKUP(J378,βοηθητικό!$J$2:$N$354,3,FALSE)="","",VLOOKUP(J378,βοηθητικό!$J$2:$N$354,3,FALSE))</f>
        <v>_</v>
      </c>
      <c r="L378" s="44"/>
      <c r="M378" s="5" t="s">
        <v>16</v>
      </c>
      <c r="N378" s="46" t="str">
        <f>IF(VLOOKUP(M378,βοηθητικό!$J$2:$N$354,3,FALSE)="","",VLOOKUP(M378,βοηθητικό!$J$2:$N$354,3,FALSE))</f>
        <v>_</v>
      </c>
      <c r="O378" s="47"/>
      <c r="P378" s="4" t="s">
        <v>16</v>
      </c>
      <c r="Q378" s="43" t="str">
        <f>IF(VLOOKUP(P378,βοηθητικό!$J$2:$N$354,3,FALSE)="","",VLOOKUP(P378,βοηθητικό!$J$2:$N$354,3,FALSE))</f>
        <v>_</v>
      </c>
      <c r="R378" s="44"/>
      <c r="S378" s="5" t="s">
        <v>16</v>
      </c>
      <c r="T378" s="46" t="str">
        <f>IF(VLOOKUP(S378,βοηθητικό!$J$2:$N$354,3,FALSE)="","",VLOOKUP(S378,βοηθητικό!$J$2:$N$354,3,FALSE))</f>
        <v>_</v>
      </c>
      <c r="U378" s="47"/>
      <c r="V378" s="4" t="s">
        <v>16</v>
      </c>
      <c r="W378" s="43" t="str">
        <f>IF(VLOOKUP(V378,βοηθητικό!$J$2:$N$354,3,FALSE)="","",VLOOKUP(V378,βοηθητικό!$J$2:$N$354,3,FALSE))</f>
        <v>_</v>
      </c>
      <c r="X378" s="44"/>
      <c r="Y378" s="5" t="s">
        <v>16</v>
      </c>
      <c r="Z378" s="46" t="str">
        <f>IF(VLOOKUP(Y378,βοηθητικό!$J$2:$N$354,3,FALSE)="","",VLOOKUP(Y378,βοηθητικό!$J$2:$N$354,3,FALSE))</f>
        <v>_</v>
      </c>
      <c r="AA378" s="47"/>
      <c r="AB378" s="4" t="s">
        <v>16</v>
      </c>
      <c r="AC378" s="43" t="str">
        <f>IF(VLOOKUP(AB378,βοηθητικό!$J$2:$N$354,3,FALSE)="","",VLOOKUP(AB378,βοηθητικό!$J$2:$N$354,3,FALSE))</f>
        <v>_</v>
      </c>
      <c r="AD378" s="44"/>
      <c r="AE378" s="5" t="s">
        <v>16</v>
      </c>
      <c r="AF378" s="46" t="str">
        <f>IF(VLOOKUP(AE378,βοηθητικό!$J$2:$N$354,3,FALSE)="","",VLOOKUP(AE378,βοηθητικό!$J$2:$N$354,3,FALSE))</f>
        <v>_</v>
      </c>
      <c r="AG378" s="47"/>
      <c r="AH378" s="4" t="s">
        <v>16</v>
      </c>
      <c r="AI378" s="43" t="str">
        <f>IF(VLOOKUP(AH378,βοηθητικό!$J$2:$N$354,3,FALSE)="","",VLOOKUP(AH378,βοηθητικό!$J$2:$N$354,3,FALSE))</f>
        <v>_</v>
      </c>
      <c r="AJ378" s="44"/>
      <c r="AK378" s="5" t="s">
        <v>16</v>
      </c>
      <c r="AL378" s="46" t="str">
        <f>IF(VLOOKUP(AK378,βοηθητικό!$J$2:$N$354,3,FALSE)="","",VLOOKUP(AK378,βοηθητικό!$J$2:$N$354,3,FALSE))</f>
        <v>_</v>
      </c>
      <c r="AM378" s="47"/>
      <c r="AN378" s="4" t="s">
        <v>16</v>
      </c>
      <c r="AO378" s="43" t="str">
        <f>IF(VLOOKUP(AN378,βοηθητικό!$J$2:$N$354,3,FALSE)="","",VLOOKUP(AN378,βοηθητικό!$J$2:$N$354,3,FALSE))</f>
        <v>_</v>
      </c>
      <c r="AP378" s="44"/>
      <c r="AQ378" s="5" t="s">
        <v>16</v>
      </c>
      <c r="AR378" s="46" t="str">
        <f>IF(VLOOKUP(AQ378,βοηθητικό!$J$2:$N$354,3,FALSE)="","",VLOOKUP(AQ378,βοηθητικό!$J$2:$N$354,3,FALSE))</f>
        <v>_</v>
      </c>
      <c r="AS378" s="47"/>
      <c r="AT378" s="4" t="s">
        <v>16</v>
      </c>
      <c r="AU378" s="43" t="str">
        <f>IF(VLOOKUP(AT378,βοηθητικό!$J$2:$N$354,3,FALSE)="","",VLOOKUP(AT378,βοηθητικό!$J$2:$N$354,3,FALSE))</f>
        <v>_</v>
      </c>
      <c r="AV378" s="44"/>
      <c r="AW378" s="5" t="s">
        <v>16</v>
      </c>
      <c r="AX378" s="46" t="str">
        <f>IF(VLOOKUP(AW378,βοηθητικό!$J$2:$N$354,3,FALSE)="","",VLOOKUP(AW378,βοηθητικό!$J$2:$N$354,3,FALSE))</f>
        <v>_</v>
      </c>
      <c r="AY378" s="47"/>
      <c r="AZ378" s="4" t="s">
        <v>16</v>
      </c>
      <c r="BA378" s="43" t="str">
        <f>IF(VLOOKUP(AZ378,βοηθητικό!$J$2:$N$354,3,FALSE)="","",VLOOKUP(AZ378,βοηθητικό!$J$2:$N$354,3,FALSE))</f>
        <v>_</v>
      </c>
      <c r="BB378" s="44"/>
      <c r="BC378" s="45" t="s">
        <v>16</v>
      </c>
      <c r="BD378" s="46" t="str">
        <f>IF(VLOOKUP(BC378,βοηθητικό!$J$2:$N$354,3,FALSE)="","",VLOOKUP(BC378,βοηθητικό!$J$2:$N$354,3,FALSE))</f>
        <v>_</v>
      </c>
      <c r="BE378" s="47"/>
      <c r="BF378" s="42" t="s">
        <v>16</v>
      </c>
      <c r="BG378" s="43" t="str">
        <f>IF(VLOOKUP(BF378,βοηθητικό!$J$2:$N$354,3,FALSE)="","",VLOOKUP(BF378,βοηθητικό!$J$2:$N$354,3,FALSE))</f>
        <v>_</v>
      </c>
      <c r="BH378" s="44"/>
      <c r="BI378" s="45" t="s">
        <v>16</v>
      </c>
      <c r="BJ378" s="46" t="str">
        <f>IF(VLOOKUP(BI378,βοηθητικό!$J$2:$N$354,3,FALSE)="","",VLOOKUP(BI378,βοηθητικό!$J$2:$N$354,3,FALSE))</f>
        <v>_</v>
      </c>
      <c r="BK378" s="47"/>
      <c r="BL378" s="42" t="s">
        <v>16</v>
      </c>
      <c r="BM378" s="43" t="str">
        <f>IF(VLOOKUP(BL378,βοηθητικό!$J$2:$N$354,3,FALSE)="","",VLOOKUP(BL378,βοηθητικό!$J$2:$N$354,3,FALSE))</f>
        <v>_</v>
      </c>
      <c r="BN378" s="44"/>
      <c r="BO378" s="45" t="s">
        <v>16</v>
      </c>
      <c r="BP378" s="46" t="str">
        <f>IF(VLOOKUP(BO378,βοηθητικό!$J$2:$N$354,3,FALSE)="","",VLOOKUP(BO378,βοηθητικό!$J$2:$N$354,3,FALSE))</f>
        <v>_</v>
      </c>
      <c r="BQ378" s="47"/>
      <c r="BR378" s="42" t="s">
        <v>16</v>
      </c>
      <c r="BS378" s="43" t="str">
        <f>IF(VLOOKUP(BR378,βοηθητικό!$J$2:$N$354,3,FALSE)="","",VLOOKUP(BR378,βοηθητικό!$J$2:$N$354,3,FALSE))</f>
        <v>_</v>
      </c>
      <c r="BT378" s="44"/>
      <c r="BU378" s="45" t="s">
        <v>16</v>
      </c>
      <c r="BV378" s="46" t="str">
        <f>IF(VLOOKUP(BU378,βοηθητικό!$J$2:$N$354,3,FALSE)="","",VLOOKUP(BU378,βοηθητικό!$J$2:$N$354,3,FALSE))</f>
        <v>_</v>
      </c>
      <c r="BW378" s="47"/>
      <c r="BX378" s="42" t="s">
        <v>16</v>
      </c>
      <c r="BY378" s="43" t="str">
        <f>IF(VLOOKUP(BX378,βοηθητικό!$J$2:$N$354,3,FALSE)="","",VLOOKUP(BX378,βοηθητικό!$J$2:$N$354,3,FALSE))</f>
        <v>_</v>
      </c>
      <c r="BZ378" s="44"/>
      <c r="CA378" s="45" t="s">
        <v>16</v>
      </c>
      <c r="CB378" s="46" t="str">
        <f>IF(VLOOKUP(CA378,βοηθητικό!$J$2:$N$354,3,FALSE)="","",VLOOKUP(CA378,βοηθητικό!$J$2:$N$354,3,FALSE))</f>
        <v>_</v>
      </c>
      <c r="CC378" s="47"/>
      <c r="CD378" s="42" t="s">
        <v>16</v>
      </c>
      <c r="CE378" s="43" t="str">
        <f>IF(VLOOKUP(CD378,βοηθητικό!$J$2:$N$354,3,FALSE)="","",VLOOKUP(CD378,βοηθητικό!$J$2:$N$354,3,FALSE))</f>
        <v>_</v>
      </c>
      <c r="CF378" s="44"/>
      <c r="CG378" s="45" t="s">
        <v>16</v>
      </c>
      <c r="CH378" s="46" t="str">
        <f>IF(VLOOKUP(CG378,βοηθητικό!$J$2:$N$354,3,FALSE)="","",VLOOKUP(CG378,βοηθητικό!$J$2:$N$354,3,FALSE))</f>
        <v>_</v>
      </c>
      <c r="CI378" s="47"/>
      <c r="CJ378" s="42" t="s">
        <v>16</v>
      </c>
      <c r="CK378" s="43" t="str">
        <f>IF(VLOOKUP(CJ378,βοηθητικό!$J$2:$N$354,3,FALSE)="","",VLOOKUP(CJ378,βοηθητικό!$J$2:$N$354,3,FALSE))</f>
        <v>_</v>
      </c>
      <c r="CL378" s="44"/>
      <c r="CM378" s="45" t="s">
        <v>16</v>
      </c>
      <c r="CN378" s="46" t="str">
        <f>IF(VLOOKUP(CM378,βοηθητικό!$J$2:$N$354,3,FALSE)="","",VLOOKUP(CM378,βοηθητικό!$J$2:$N$354,3,FALSE))</f>
        <v>_</v>
      </c>
      <c r="CO378" s="47"/>
      <c r="CP378" s="42" t="s">
        <v>16</v>
      </c>
      <c r="CQ378" s="43" t="str">
        <f>IF(VLOOKUP(CP378,βοηθητικό!$J$2:$N$354,3,FALSE)="","",VLOOKUP(CP378,βοηθητικό!$J$2:$N$354,3,FALSE))</f>
        <v>_</v>
      </c>
      <c r="CR378" s="44"/>
      <c r="CS378" s="45" t="s">
        <v>16</v>
      </c>
      <c r="CT378" s="46" t="str">
        <f>IF(VLOOKUP(CS378,βοηθητικό!$J$2:$N$354,3,FALSE)="","",VLOOKUP(CS378,βοηθητικό!$J$2:$N$354,3,FALSE))</f>
        <v>_</v>
      </c>
      <c r="CU378" s="47"/>
    </row>
    <row r="379" spans="1:99" x14ac:dyDescent="0.25">
      <c r="A379" s="37">
        <f>--SUBTOTAL(3,$B$3:B378)</f>
        <v>198</v>
      </c>
      <c r="B379" s="2"/>
      <c r="C379" s="3"/>
      <c r="D379" s="55" t="s">
        <v>18</v>
      </c>
      <c r="E379" s="38" t="s">
        <v>16</v>
      </c>
      <c r="F379" s="38" t="s">
        <v>16</v>
      </c>
      <c r="G379" s="39" t="str">
        <f t="shared" si="17"/>
        <v>__</v>
      </c>
      <c r="H379" s="40" t="str">
        <f t="shared" si="18"/>
        <v>FALSE</v>
      </c>
      <c r="I379" s="41">
        <f t="shared" si="19"/>
        <v>0</v>
      </c>
      <c r="J379" s="4" t="s">
        <v>16</v>
      </c>
      <c r="K379" s="43" t="str">
        <f>IF(VLOOKUP(J379,βοηθητικό!$J$2:$N$354,3,FALSE)="","",VLOOKUP(J379,βοηθητικό!$J$2:$N$354,3,FALSE))</f>
        <v>_</v>
      </c>
      <c r="L379" s="44"/>
      <c r="M379" s="5" t="s">
        <v>16</v>
      </c>
      <c r="N379" s="46" t="str">
        <f>IF(VLOOKUP(M379,βοηθητικό!$J$2:$N$354,3,FALSE)="","",VLOOKUP(M379,βοηθητικό!$J$2:$N$354,3,FALSE))</f>
        <v>_</v>
      </c>
      <c r="O379" s="47"/>
      <c r="P379" s="4" t="s">
        <v>16</v>
      </c>
      <c r="Q379" s="43" t="str">
        <f>IF(VLOOKUP(P379,βοηθητικό!$J$2:$N$354,3,FALSE)="","",VLOOKUP(P379,βοηθητικό!$J$2:$N$354,3,FALSE))</f>
        <v>_</v>
      </c>
      <c r="R379" s="44"/>
      <c r="S379" s="5" t="s">
        <v>16</v>
      </c>
      <c r="T379" s="46" t="str">
        <f>IF(VLOOKUP(S379,βοηθητικό!$J$2:$N$354,3,FALSE)="","",VLOOKUP(S379,βοηθητικό!$J$2:$N$354,3,FALSE))</f>
        <v>_</v>
      </c>
      <c r="U379" s="47"/>
      <c r="V379" s="4" t="s">
        <v>16</v>
      </c>
      <c r="W379" s="43" t="str">
        <f>IF(VLOOKUP(V379,βοηθητικό!$J$2:$N$354,3,FALSE)="","",VLOOKUP(V379,βοηθητικό!$J$2:$N$354,3,FALSE))</f>
        <v>_</v>
      </c>
      <c r="X379" s="44"/>
      <c r="Y379" s="5" t="s">
        <v>16</v>
      </c>
      <c r="Z379" s="46" t="str">
        <f>IF(VLOOKUP(Y379,βοηθητικό!$J$2:$N$354,3,FALSE)="","",VLOOKUP(Y379,βοηθητικό!$J$2:$N$354,3,FALSE))</f>
        <v>_</v>
      </c>
      <c r="AA379" s="47"/>
      <c r="AB379" s="4" t="s">
        <v>16</v>
      </c>
      <c r="AC379" s="43" t="str">
        <f>IF(VLOOKUP(AB379,βοηθητικό!$J$2:$N$354,3,FALSE)="","",VLOOKUP(AB379,βοηθητικό!$J$2:$N$354,3,FALSE))</f>
        <v>_</v>
      </c>
      <c r="AD379" s="44"/>
      <c r="AE379" s="5" t="s">
        <v>16</v>
      </c>
      <c r="AF379" s="46" t="str">
        <f>IF(VLOOKUP(AE379,βοηθητικό!$J$2:$N$354,3,FALSE)="","",VLOOKUP(AE379,βοηθητικό!$J$2:$N$354,3,FALSE))</f>
        <v>_</v>
      </c>
      <c r="AG379" s="47"/>
      <c r="AH379" s="4" t="s">
        <v>16</v>
      </c>
      <c r="AI379" s="43" t="str">
        <f>IF(VLOOKUP(AH379,βοηθητικό!$J$2:$N$354,3,FALSE)="","",VLOOKUP(AH379,βοηθητικό!$J$2:$N$354,3,FALSE))</f>
        <v>_</v>
      </c>
      <c r="AJ379" s="44"/>
      <c r="AK379" s="5" t="s">
        <v>16</v>
      </c>
      <c r="AL379" s="46" t="str">
        <f>IF(VLOOKUP(AK379,βοηθητικό!$J$2:$N$354,3,FALSE)="","",VLOOKUP(AK379,βοηθητικό!$J$2:$N$354,3,FALSE))</f>
        <v>_</v>
      </c>
      <c r="AM379" s="47"/>
      <c r="AN379" s="4" t="s">
        <v>16</v>
      </c>
      <c r="AO379" s="43" t="str">
        <f>IF(VLOOKUP(AN379,βοηθητικό!$J$2:$N$354,3,FALSE)="","",VLOOKUP(AN379,βοηθητικό!$J$2:$N$354,3,FALSE))</f>
        <v>_</v>
      </c>
      <c r="AP379" s="44"/>
      <c r="AQ379" s="5" t="s">
        <v>16</v>
      </c>
      <c r="AR379" s="46" t="str">
        <f>IF(VLOOKUP(AQ379,βοηθητικό!$J$2:$N$354,3,FALSE)="","",VLOOKUP(AQ379,βοηθητικό!$J$2:$N$354,3,FALSE))</f>
        <v>_</v>
      </c>
      <c r="AS379" s="47"/>
      <c r="AT379" s="4" t="s">
        <v>16</v>
      </c>
      <c r="AU379" s="43" t="str">
        <f>IF(VLOOKUP(AT379,βοηθητικό!$J$2:$N$354,3,FALSE)="","",VLOOKUP(AT379,βοηθητικό!$J$2:$N$354,3,FALSE))</f>
        <v>_</v>
      </c>
      <c r="AV379" s="44"/>
      <c r="AW379" s="5" t="s">
        <v>16</v>
      </c>
      <c r="AX379" s="46" t="str">
        <f>IF(VLOOKUP(AW379,βοηθητικό!$J$2:$N$354,3,FALSE)="","",VLOOKUP(AW379,βοηθητικό!$J$2:$N$354,3,FALSE))</f>
        <v>_</v>
      </c>
      <c r="AY379" s="47"/>
      <c r="AZ379" s="4" t="s">
        <v>16</v>
      </c>
      <c r="BA379" s="43" t="str">
        <f>IF(VLOOKUP(AZ379,βοηθητικό!$J$2:$N$354,3,FALSE)="","",VLOOKUP(AZ379,βοηθητικό!$J$2:$N$354,3,FALSE))</f>
        <v>_</v>
      </c>
      <c r="BB379" s="44"/>
      <c r="BC379" s="45" t="s">
        <v>16</v>
      </c>
      <c r="BD379" s="46" t="str">
        <f>IF(VLOOKUP(BC379,βοηθητικό!$J$2:$N$354,3,FALSE)="","",VLOOKUP(BC379,βοηθητικό!$J$2:$N$354,3,FALSE))</f>
        <v>_</v>
      </c>
      <c r="BE379" s="47"/>
      <c r="BF379" s="42" t="s">
        <v>16</v>
      </c>
      <c r="BG379" s="43" t="str">
        <f>IF(VLOOKUP(BF379,βοηθητικό!$J$2:$N$354,3,FALSE)="","",VLOOKUP(BF379,βοηθητικό!$J$2:$N$354,3,FALSE))</f>
        <v>_</v>
      </c>
      <c r="BH379" s="44"/>
      <c r="BI379" s="45" t="s">
        <v>16</v>
      </c>
      <c r="BJ379" s="46" t="str">
        <f>IF(VLOOKUP(BI379,βοηθητικό!$J$2:$N$354,3,FALSE)="","",VLOOKUP(BI379,βοηθητικό!$J$2:$N$354,3,FALSE))</f>
        <v>_</v>
      </c>
      <c r="BK379" s="47"/>
      <c r="BL379" s="42" t="s">
        <v>16</v>
      </c>
      <c r="BM379" s="43" t="str">
        <f>IF(VLOOKUP(BL379,βοηθητικό!$J$2:$N$354,3,FALSE)="","",VLOOKUP(BL379,βοηθητικό!$J$2:$N$354,3,FALSE))</f>
        <v>_</v>
      </c>
      <c r="BN379" s="44"/>
      <c r="BO379" s="45" t="s">
        <v>16</v>
      </c>
      <c r="BP379" s="46" t="str">
        <f>IF(VLOOKUP(BO379,βοηθητικό!$J$2:$N$354,3,FALSE)="","",VLOOKUP(BO379,βοηθητικό!$J$2:$N$354,3,FALSE))</f>
        <v>_</v>
      </c>
      <c r="BQ379" s="47"/>
      <c r="BR379" s="42" t="s">
        <v>16</v>
      </c>
      <c r="BS379" s="43" t="str">
        <f>IF(VLOOKUP(BR379,βοηθητικό!$J$2:$N$354,3,FALSE)="","",VLOOKUP(BR379,βοηθητικό!$J$2:$N$354,3,FALSE))</f>
        <v>_</v>
      </c>
      <c r="BT379" s="44"/>
      <c r="BU379" s="45" t="s">
        <v>16</v>
      </c>
      <c r="BV379" s="46" t="str">
        <f>IF(VLOOKUP(BU379,βοηθητικό!$J$2:$N$354,3,FALSE)="","",VLOOKUP(BU379,βοηθητικό!$J$2:$N$354,3,FALSE))</f>
        <v>_</v>
      </c>
      <c r="BW379" s="47"/>
      <c r="BX379" s="42" t="s">
        <v>16</v>
      </c>
      <c r="BY379" s="43" t="str">
        <f>IF(VLOOKUP(BX379,βοηθητικό!$J$2:$N$354,3,FALSE)="","",VLOOKUP(BX379,βοηθητικό!$J$2:$N$354,3,FALSE))</f>
        <v>_</v>
      </c>
      <c r="BZ379" s="44"/>
      <c r="CA379" s="45" t="s">
        <v>16</v>
      </c>
      <c r="CB379" s="46" t="str">
        <f>IF(VLOOKUP(CA379,βοηθητικό!$J$2:$N$354,3,FALSE)="","",VLOOKUP(CA379,βοηθητικό!$J$2:$N$354,3,FALSE))</f>
        <v>_</v>
      </c>
      <c r="CC379" s="47"/>
      <c r="CD379" s="42" t="s">
        <v>16</v>
      </c>
      <c r="CE379" s="43" t="str">
        <f>IF(VLOOKUP(CD379,βοηθητικό!$J$2:$N$354,3,FALSE)="","",VLOOKUP(CD379,βοηθητικό!$J$2:$N$354,3,FALSE))</f>
        <v>_</v>
      </c>
      <c r="CF379" s="44"/>
      <c r="CG379" s="45" t="s">
        <v>16</v>
      </c>
      <c r="CH379" s="46" t="str">
        <f>IF(VLOOKUP(CG379,βοηθητικό!$J$2:$N$354,3,FALSE)="","",VLOOKUP(CG379,βοηθητικό!$J$2:$N$354,3,FALSE))</f>
        <v>_</v>
      </c>
      <c r="CI379" s="47"/>
      <c r="CJ379" s="42" t="s">
        <v>16</v>
      </c>
      <c r="CK379" s="43" t="str">
        <f>IF(VLOOKUP(CJ379,βοηθητικό!$J$2:$N$354,3,FALSE)="","",VLOOKUP(CJ379,βοηθητικό!$J$2:$N$354,3,FALSE))</f>
        <v>_</v>
      </c>
      <c r="CL379" s="44"/>
      <c r="CM379" s="45" t="s">
        <v>16</v>
      </c>
      <c r="CN379" s="46" t="str">
        <f>IF(VLOOKUP(CM379,βοηθητικό!$J$2:$N$354,3,FALSE)="","",VLOOKUP(CM379,βοηθητικό!$J$2:$N$354,3,FALSE))</f>
        <v>_</v>
      </c>
      <c r="CO379" s="47"/>
      <c r="CP379" s="42" t="s">
        <v>16</v>
      </c>
      <c r="CQ379" s="43" t="str">
        <f>IF(VLOOKUP(CP379,βοηθητικό!$J$2:$N$354,3,FALSE)="","",VLOOKUP(CP379,βοηθητικό!$J$2:$N$354,3,FALSE))</f>
        <v>_</v>
      </c>
      <c r="CR379" s="44"/>
      <c r="CS379" s="45" t="s">
        <v>16</v>
      </c>
      <c r="CT379" s="46" t="str">
        <f>IF(VLOOKUP(CS379,βοηθητικό!$J$2:$N$354,3,FALSE)="","",VLOOKUP(CS379,βοηθητικό!$J$2:$N$354,3,FALSE))</f>
        <v>_</v>
      </c>
      <c r="CU379" s="47"/>
    </row>
    <row r="380" spans="1:99" x14ac:dyDescent="0.25">
      <c r="A380" s="37">
        <f>--SUBTOTAL(3,$B$3:B379)</f>
        <v>198</v>
      </c>
      <c r="B380" s="2"/>
      <c r="C380" s="3"/>
      <c r="D380" s="55" t="s">
        <v>18</v>
      </c>
      <c r="E380" s="38" t="s">
        <v>16</v>
      </c>
      <c r="F380" s="38" t="s">
        <v>16</v>
      </c>
      <c r="G380" s="39" t="str">
        <f t="shared" si="17"/>
        <v>__</v>
      </c>
      <c r="H380" s="40" t="str">
        <f t="shared" si="18"/>
        <v>FALSE</v>
      </c>
      <c r="I380" s="41">
        <f t="shared" si="19"/>
        <v>0</v>
      </c>
      <c r="J380" s="4" t="s">
        <v>16</v>
      </c>
      <c r="K380" s="43" t="str">
        <f>IF(VLOOKUP(J380,βοηθητικό!$J$2:$N$354,3,FALSE)="","",VLOOKUP(J380,βοηθητικό!$J$2:$N$354,3,FALSE))</f>
        <v>_</v>
      </c>
      <c r="L380" s="44"/>
      <c r="M380" s="5" t="s">
        <v>16</v>
      </c>
      <c r="N380" s="46" t="str">
        <f>IF(VLOOKUP(M380,βοηθητικό!$J$2:$N$354,3,FALSE)="","",VLOOKUP(M380,βοηθητικό!$J$2:$N$354,3,FALSE))</f>
        <v>_</v>
      </c>
      <c r="O380" s="47"/>
      <c r="P380" s="4" t="s">
        <v>16</v>
      </c>
      <c r="Q380" s="43" t="str">
        <f>IF(VLOOKUP(P380,βοηθητικό!$J$2:$N$354,3,FALSE)="","",VLOOKUP(P380,βοηθητικό!$J$2:$N$354,3,FALSE))</f>
        <v>_</v>
      </c>
      <c r="R380" s="44"/>
      <c r="S380" s="5" t="s">
        <v>16</v>
      </c>
      <c r="T380" s="46" t="str">
        <f>IF(VLOOKUP(S380,βοηθητικό!$J$2:$N$354,3,FALSE)="","",VLOOKUP(S380,βοηθητικό!$J$2:$N$354,3,FALSE))</f>
        <v>_</v>
      </c>
      <c r="U380" s="47"/>
      <c r="V380" s="4" t="s">
        <v>16</v>
      </c>
      <c r="W380" s="43" t="str">
        <f>IF(VLOOKUP(V380,βοηθητικό!$J$2:$N$354,3,FALSE)="","",VLOOKUP(V380,βοηθητικό!$J$2:$N$354,3,FALSE))</f>
        <v>_</v>
      </c>
      <c r="X380" s="44"/>
      <c r="Y380" s="5" t="s">
        <v>16</v>
      </c>
      <c r="Z380" s="46" t="str">
        <f>IF(VLOOKUP(Y380,βοηθητικό!$J$2:$N$354,3,FALSE)="","",VLOOKUP(Y380,βοηθητικό!$J$2:$N$354,3,FALSE))</f>
        <v>_</v>
      </c>
      <c r="AA380" s="47"/>
      <c r="AB380" s="4" t="s">
        <v>16</v>
      </c>
      <c r="AC380" s="43" t="str">
        <f>IF(VLOOKUP(AB380,βοηθητικό!$J$2:$N$354,3,FALSE)="","",VLOOKUP(AB380,βοηθητικό!$J$2:$N$354,3,FALSE))</f>
        <v>_</v>
      </c>
      <c r="AD380" s="44"/>
      <c r="AE380" s="5" t="s">
        <v>16</v>
      </c>
      <c r="AF380" s="46" t="str">
        <f>IF(VLOOKUP(AE380,βοηθητικό!$J$2:$N$354,3,FALSE)="","",VLOOKUP(AE380,βοηθητικό!$J$2:$N$354,3,FALSE))</f>
        <v>_</v>
      </c>
      <c r="AG380" s="47"/>
      <c r="AH380" s="4" t="s">
        <v>16</v>
      </c>
      <c r="AI380" s="43" t="str">
        <f>IF(VLOOKUP(AH380,βοηθητικό!$J$2:$N$354,3,FALSE)="","",VLOOKUP(AH380,βοηθητικό!$J$2:$N$354,3,FALSE))</f>
        <v>_</v>
      </c>
      <c r="AJ380" s="44"/>
      <c r="AK380" s="5" t="s">
        <v>16</v>
      </c>
      <c r="AL380" s="46" t="str">
        <f>IF(VLOOKUP(AK380,βοηθητικό!$J$2:$N$354,3,FALSE)="","",VLOOKUP(AK380,βοηθητικό!$J$2:$N$354,3,FALSE))</f>
        <v>_</v>
      </c>
      <c r="AM380" s="47"/>
      <c r="AN380" s="4" t="s">
        <v>16</v>
      </c>
      <c r="AO380" s="43" t="str">
        <f>IF(VLOOKUP(AN380,βοηθητικό!$J$2:$N$354,3,FALSE)="","",VLOOKUP(AN380,βοηθητικό!$J$2:$N$354,3,FALSE))</f>
        <v>_</v>
      </c>
      <c r="AP380" s="44"/>
      <c r="AQ380" s="5" t="s">
        <v>16</v>
      </c>
      <c r="AR380" s="46" t="str">
        <f>IF(VLOOKUP(AQ380,βοηθητικό!$J$2:$N$354,3,FALSE)="","",VLOOKUP(AQ380,βοηθητικό!$J$2:$N$354,3,FALSE))</f>
        <v>_</v>
      </c>
      <c r="AS380" s="47"/>
      <c r="AT380" s="4" t="s">
        <v>16</v>
      </c>
      <c r="AU380" s="43" t="str">
        <f>IF(VLOOKUP(AT380,βοηθητικό!$J$2:$N$354,3,FALSE)="","",VLOOKUP(AT380,βοηθητικό!$J$2:$N$354,3,FALSE))</f>
        <v>_</v>
      </c>
      <c r="AV380" s="44"/>
      <c r="AW380" s="5" t="s">
        <v>16</v>
      </c>
      <c r="AX380" s="46" t="str">
        <f>IF(VLOOKUP(AW380,βοηθητικό!$J$2:$N$354,3,FALSE)="","",VLOOKUP(AW380,βοηθητικό!$J$2:$N$354,3,FALSE))</f>
        <v>_</v>
      </c>
      <c r="AY380" s="47"/>
      <c r="AZ380" s="4" t="s">
        <v>16</v>
      </c>
      <c r="BA380" s="43" t="str">
        <f>IF(VLOOKUP(AZ380,βοηθητικό!$J$2:$N$354,3,FALSE)="","",VLOOKUP(AZ380,βοηθητικό!$J$2:$N$354,3,FALSE))</f>
        <v>_</v>
      </c>
      <c r="BB380" s="44"/>
      <c r="BC380" s="45" t="s">
        <v>16</v>
      </c>
      <c r="BD380" s="46" t="str">
        <f>IF(VLOOKUP(BC380,βοηθητικό!$J$2:$N$354,3,FALSE)="","",VLOOKUP(BC380,βοηθητικό!$J$2:$N$354,3,FALSE))</f>
        <v>_</v>
      </c>
      <c r="BE380" s="47"/>
      <c r="BF380" s="42" t="s">
        <v>16</v>
      </c>
      <c r="BG380" s="43" t="str">
        <f>IF(VLOOKUP(BF380,βοηθητικό!$J$2:$N$354,3,FALSE)="","",VLOOKUP(BF380,βοηθητικό!$J$2:$N$354,3,FALSE))</f>
        <v>_</v>
      </c>
      <c r="BH380" s="44"/>
      <c r="BI380" s="45" t="s">
        <v>16</v>
      </c>
      <c r="BJ380" s="46" t="str">
        <f>IF(VLOOKUP(BI380,βοηθητικό!$J$2:$N$354,3,FALSE)="","",VLOOKUP(BI380,βοηθητικό!$J$2:$N$354,3,FALSE))</f>
        <v>_</v>
      </c>
      <c r="BK380" s="47"/>
      <c r="BL380" s="42" t="s">
        <v>16</v>
      </c>
      <c r="BM380" s="43" t="str">
        <f>IF(VLOOKUP(BL380,βοηθητικό!$J$2:$N$354,3,FALSE)="","",VLOOKUP(BL380,βοηθητικό!$J$2:$N$354,3,FALSE))</f>
        <v>_</v>
      </c>
      <c r="BN380" s="44"/>
      <c r="BO380" s="45" t="s">
        <v>16</v>
      </c>
      <c r="BP380" s="46" t="str">
        <f>IF(VLOOKUP(BO380,βοηθητικό!$J$2:$N$354,3,FALSE)="","",VLOOKUP(BO380,βοηθητικό!$J$2:$N$354,3,FALSE))</f>
        <v>_</v>
      </c>
      <c r="BQ380" s="47"/>
      <c r="BR380" s="42" t="s">
        <v>16</v>
      </c>
      <c r="BS380" s="43" t="str">
        <f>IF(VLOOKUP(BR380,βοηθητικό!$J$2:$N$354,3,FALSE)="","",VLOOKUP(BR380,βοηθητικό!$J$2:$N$354,3,FALSE))</f>
        <v>_</v>
      </c>
      <c r="BT380" s="44"/>
      <c r="BU380" s="45" t="s">
        <v>16</v>
      </c>
      <c r="BV380" s="46" t="str">
        <f>IF(VLOOKUP(BU380,βοηθητικό!$J$2:$N$354,3,FALSE)="","",VLOOKUP(BU380,βοηθητικό!$J$2:$N$354,3,FALSE))</f>
        <v>_</v>
      </c>
      <c r="BW380" s="47"/>
      <c r="BX380" s="42" t="s">
        <v>16</v>
      </c>
      <c r="BY380" s="43" t="str">
        <f>IF(VLOOKUP(BX380,βοηθητικό!$J$2:$N$354,3,FALSE)="","",VLOOKUP(BX380,βοηθητικό!$J$2:$N$354,3,FALSE))</f>
        <v>_</v>
      </c>
      <c r="BZ380" s="44"/>
      <c r="CA380" s="45" t="s">
        <v>16</v>
      </c>
      <c r="CB380" s="46" t="str">
        <f>IF(VLOOKUP(CA380,βοηθητικό!$J$2:$N$354,3,FALSE)="","",VLOOKUP(CA380,βοηθητικό!$J$2:$N$354,3,FALSE))</f>
        <v>_</v>
      </c>
      <c r="CC380" s="47"/>
      <c r="CD380" s="42" t="s">
        <v>16</v>
      </c>
      <c r="CE380" s="43" t="str">
        <f>IF(VLOOKUP(CD380,βοηθητικό!$J$2:$N$354,3,FALSE)="","",VLOOKUP(CD380,βοηθητικό!$J$2:$N$354,3,FALSE))</f>
        <v>_</v>
      </c>
      <c r="CF380" s="44"/>
      <c r="CG380" s="45" t="s">
        <v>16</v>
      </c>
      <c r="CH380" s="46" t="str">
        <f>IF(VLOOKUP(CG380,βοηθητικό!$J$2:$N$354,3,FALSE)="","",VLOOKUP(CG380,βοηθητικό!$J$2:$N$354,3,FALSE))</f>
        <v>_</v>
      </c>
      <c r="CI380" s="47"/>
      <c r="CJ380" s="42" t="s">
        <v>16</v>
      </c>
      <c r="CK380" s="43" t="str">
        <f>IF(VLOOKUP(CJ380,βοηθητικό!$J$2:$N$354,3,FALSE)="","",VLOOKUP(CJ380,βοηθητικό!$J$2:$N$354,3,FALSE))</f>
        <v>_</v>
      </c>
      <c r="CL380" s="44"/>
      <c r="CM380" s="45" t="s">
        <v>16</v>
      </c>
      <c r="CN380" s="46" t="str">
        <f>IF(VLOOKUP(CM380,βοηθητικό!$J$2:$N$354,3,FALSE)="","",VLOOKUP(CM380,βοηθητικό!$J$2:$N$354,3,FALSE))</f>
        <v>_</v>
      </c>
      <c r="CO380" s="47"/>
      <c r="CP380" s="42" t="s">
        <v>16</v>
      </c>
      <c r="CQ380" s="43" t="str">
        <f>IF(VLOOKUP(CP380,βοηθητικό!$J$2:$N$354,3,FALSE)="","",VLOOKUP(CP380,βοηθητικό!$J$2:$N$354,3,FALSE))</f>
        <v>_</v>
      </c>
      <c r="CR380" s="44"/>
      <c r="CS380" s="45" t="s">
        <v>16</v>
      </c>
      <c r="CT380" s="46" t="str">
        <f>IF(VLOOKUP(CS380,βοηθητικό!$J$2:$N$354,3,FALSE)="","",VLOOKUP(CS380,βοηθητικό!$J$2:$N$354,3,FALSE))</f>
        <v>_</v>
      </c>
      <c r="CU380" s="47"/>
    </row>
    <row r="381" spans="1:99" x14ac:dyDescent="0.25">
      <c r="A381" s="37">
        <f>--SUBTOTAL(3,$B$3:B380)</f>
        <v>198</v>
      </c>
      <c r="B381" s="2"/>
      <c r="C381" s="3"/>
      <c r="D381" s="55" t="s">
        <v>18</v>
      </c>
      <c r="E381" s="38" t="s">
        <v>16</v>
      </c>
      <c r="F381" s="38" t="s">
        <v>16</v>
      </c>
      <c r="G381" s="39" t="str">
        <f t="shared" si="17"/>
        <v>__</v>
      </c>
      <c r="H381" s="40" t="str">
        <f t="shared" si="18"/>
        <v>FALSE</v>
      </c>
      <c r="I381" s="41">
        <f t="shared" si="19"/>
        <v>0</v>
      </c>
      <c r="J381" s="4" t="s">
        <v>16</v>
      </c>
      <c r="K381" s="43" t="str">
        <f>IF(VLOOKUP(J381,βοηθητικό!$J$2:$N$354,3,FALSE)="","",VLOOKUP(J381,βοηθητικό!$J$2:$N$354,3,FALSE))</f>
        <v>_</v>
      </c>
      <c r="L381" s="44"/>
      <c r="M381" s="5" t="s">
        <v>16</v>
      </c>
      <c r="N381" s="46" t="str">
        <f>IF(VLOOKUP(M381,βοηθητικό!$J$2:$N$354,3,FALSE)="","",VLOOKUP(M381,βοηθητικό!$J$2:$N$354,3,FALSE))</f>
        <v>_</v>
      </c>
      <c r="O381" s="47"/>
      <c r="P381" s="4" t="s">
        <v>16</v>
      </c>
      <c r="Q381" s="43" t="str">
        <f>IF(VLOOKUP(P381,βοηθητικό!$J$2:$N$354,3,FALSE)="","",VLOOKUP(P381,βοηθητικό!$J$2:$N$354,3,FALSE))</f>
        <v>_</v>
      </c>
      <c r="R381" s="44"/>
      <c r="S381" s="5" t="s">
        <v>16</v>
      </c>
      <c r="T381" s="46" t="str">
        <f>IF(VLOOKUP(S381,βοηθητικό!$J$2:$N$354,3,FALSE)="","",VLOOKUP(S381,βοηθητικό!$J$2:$N$354,3,FALSE))</f>
        <v>_</v>
      </c>
      <c r="U381" s="47"/>
      <c r="V381" s="4" t="s">
        <v>16</v>
      </c>
      <c r="W381" s="43" t="str">
        <f>IF(VLOOKUP(V381,βοηθητικό!$J$2:$N$354,3,FALSE)="","",VLOOKUP(V381,βοηθητικό!$J$2:$N$354,3,FALSE))</f>
        <v>_</v>
      </c>
      <c r="X381" s="44"/>
      <c r="Y381" s="5" t="s">
        <v>16</v>
      </c>
      <c r="Z381" s="46" t="str">
        <f>IF(VLOOKUP(Y381,βοηθητικό!$J$2:$N$354,3,FALSE)="","",VLOOKUP(Y381,βοηθητικό!$J$2:$N$354,3,FALSE))</f>
        <v>_</v>
      </c>
      <c r="AA381" s="47"/>
      <c r="AB381" s="4" t="s">
        <v>16</v>
      </c>
      <c r="AC381" s="43" t="str">
        <f>IF(VLOOKUP(AB381,βοηθητικό!$J$2:$N$354,3,FALSE)="","",VLOOKUP(AB381,βοηθητικό!$J$2:$N$354,3,FALSE))</f>
        <v>_</v>
      </c>
      <c r="AD381" s="44"/>
      <c r="AE381" s="5" t="s">
        <v>16</v>
      </c>
      <c r="AF381" s="46" t="str">
        <f>IF(VLOOKUP(AE381,βοηθητικό!$J$2:$N$354,3,FALSE)="","",VLOOKUP(AE381,βοηθητικό!$J$2:$N$354,3,FALSE))</f>
        <v>_</v>
      </c>
      <c r="AG381" s="47"/>
      <c r="AH381" s="4" t="s">
        <v>16</v>
      </c>
      <c r="AI381" s="43" t="str">
        <f>IF(VLOOKUP(AH381,βοηθητικό!$J$2:$N$354,3,FALSE)="","",VLOOKUP(AH381,βοηθητικό!$J$2:$N$354,3,FALSE))</f>
        <v>_</v>
      </c>
      <c r="AJ381" s="44"/>
      <c r="AK381" s="5" t="s">
        <v>16</v>
      </c>
      <c r="AL381" s="46" t="str">
        <f>IF(VLOOKUP(AK381,βοηθητικό!$J$2:$N$354,3,FALSE)="","",VLOOKUP(AK381,βοηθητικό!$J$2:$N$354,3,FALSE))</f>
        <v>_</v>
      </c>
      <c r="AM381" s="47"/>
      <c r="AN381" s="4" t="s">
        <v>16</v>
      </c>
      <c r="AO381" s="43" t="str">
        <f>IF(VLOOKUP(AN381,βοηθητικό!$J$2:$N$354,3,FALSE)="","",VLOOKUP(AN381,βοηθητικό!$J$2:$N$354,3,FALSE))</f>
        <v>_</v>
      </c>
      <c r="AP381" s="44"/>
      <c r="AQ381" s="5" t="s">
        <v>16</v>
      </c>
      <c r="AR381" s="46" t="str">
        <f>IF(VLOOKUP(AQ381,βοηθητικό!$J$2:$N$354,3,FALSE)="","",VLOOKUP(AQ381,βοηθητικό!$J$2:$N$354,3,FALSE))</f>
        <v>_</v>
      </c>
      <c r="AS381" s="47"/>
      <c r="AT381" s="4" t="s">
        <v>16</v>
      </c>
      <c r="AU381" s="43" t="str">
        <f>IF(VLOOKUP(AT381,βοηθητικό!$J$2:$N$354,3,FALSE)="","",VLOOKUP(AT381,βοηθητικό!$J$2:$N$354,3,FALSE))</f>
        <v>_</v>
      </c>
      <c r="AV381" s="44"/>
      <c r="AW381" s="5" t="s">
        <v>16</v>
      </c>
      <c r="AX381" s="46" t="str">
        <f>IF(VLOOKUP(AW381,βοηθητικό!$J$2:$N$354,3,FALSE)="","",VLOOKUP(AW381,βοηθητικό!$J$2:$N$354,3,FALSE))</f>
        <v>_</v>
      </c>
      <c r="AY381" s="47"/>
      <c r="AZ381" s="4" t="s">
        <v>16</v>
      </c>
      <c r="BA381" s="43" t="str">
        <f>IF(VLOOKUP(AZ381,βοηθητικό!$J$2:$N$354,3,FALSE)="","",VLOOKUP(AZ381,βοηθητικό!$J$2:$N$354,3,FALSE))</f>
        <v>_</v>
      </c>
      <c r="BB381" s="44"/>
      <c r="BC381" s="45" t="s">
        <v>16</v>
      </c>
      <c r="BD381" s="46" t="str">
        <f>IF(VLOOKUP(BC381,βοηθητικό!$J$2:$N$354,3,FALSE)="","",VLOOKUP(BC381,βοηθητικό!$J$2:$N$354,3,FALSE))</f>
        <v>_</v>
      </c>
      <c r="BE381" s="47"/>
      <c r="BF381" s="42" t="s">
        <v>16</v>
      </c>
      <c r="BG381" s="43" t="str">
        <f>IF(VLOOKUP(BF381,βοηθητικό!$J$2:$N$354,3,FALSE)="","",VLOOKUP(BF381,βοηθητικό!$J$2:$N$354,3,FALSE))</f>
        <v>_</v>
      </c>
      <c r="BH381" s="44"/>
      <c r="BI381" s="45" t="s">
        <v>16</v>
      </c>
      <c r="BJ381" s="46" t="str">
        <f>IF(VLOOKUP(BI381,βοηθητικό!$J$2:$N$354,3,FALSE)="","",VLOOKUP(BI381,βοηθητικό!$J$2:$N$354,3,FALSE))</f>
        <v>_</v>
      </c>
      <c r="BK381" s="47"/>
      <c r="BL381" s="42" t="s">
        <v>16</v>
      </c>
      <c r="BM381" s="43" t="str">
        <f>IF(VLOOKUP(BL381,βοηθητικό!$J$2:$N$354,3,FALSE)="","",VLOOKUP(BL381,βοηθητικό!$J$2:$N$354,3,FALSE))</f>
        <v>_</v>
      </c>
      <c r="BN381" s="44"/>
      <c r="BO381" s="45" t="s">
        <v>16</v>
      </c>
      <c r="BP381" s="46" t="str">
        <f>IF(VLOOKUP(BO381,βοηθητικό!$J$2:$N$354,3,FALSE)="","",VLOOKUP(BO381,βοηθητικό!$J$2:$N$354,3,FALSE))</f>
        <v>_</v>
      </c>
      <c r="BQ381" s="47"/>
      <c r="BR381" s="42" t="s">
        <v>16</v>
      </c>
      <c r="BS381" s="43" t="str">
        <f>IF(VLOOKUP(BR381,βοηθητικό!$J$2:$N$354,3,FALSE)="","",VLOOKUP(BR381,βοηθητικό!$J$2:$N$354,3,FALSE))</f>
        <v>_</v>
      </c>
      <c r="BT381" s="44"/>
      <c r="BU381" s="45" t="s">
        <v>16</v>
      </c>
      <c r="BV381" s="46" t="str">
        <f>IF(VLOOKUP(BU381,βοηθητικό!$J$2:$N$354,3,FALSE)="","",VLOOKUP(BU381,βοηθητικό!$J$2:$N$354,3,FALSE))</f>
        <v>_</v>
      </c>
      <c r="BW381" s="47"/>
      <c r="BX381" s="42" t="s">
        <v>16</v>
      </c>
      <c r="BY381" s="43" t="str">
        <f>IF(VLOOKUP(BX381,βοηθητικό!$J$2:$N$354,3,FALSE)="","",VLOOKUP(BX381,βοηθητικό!$J$2:$N$354,3,FALSE))</f>
        <v>_</v>
      </c>
      <c r="BZ381" s="44"/>
      <c r="CA381" s="45" t="s">
        <v>16</v>
      </c>
      <c r="CB381" s="46" t="str">
        <f>IF(VLOOKUP(CA381,βοηθητικό!$J$2:$N$354,3,FALSE)="","",VLOOKUP(CA381,βοηθητικό!$J$2:$N$354,3,FALSE))</f>
        <v>_</v>
      </c>
      <c r="CC381" s="47"/>
      <c r="CD381" s="42" t="s">
        <v>16</v>
      </c>
      <c r="CE381" s="43" t="str">
        <f>IF(VLOOKUP(CD381,βοηθητικό!$J$2:$N$354,3,FALSE)="","",VLOOKUP(CD381,βοηθητικό!$J$2:$N$354,3,FALSE))</f>
        <v>_</v>
      </c>
      <c r="CF381" s="44"/>
      <c r="CG381" s="45" t="s">
        <v>16</v>
      </c>
      <c r="CH381" s="46" t="str">
        <f>IF(VLOOKUP(CG381,βοηθητικό!$J$2:$N$354,3,FALSE)="","",VLOOKUP(CG381,βοηθητικό!$J$2:$N$354,3,FALSE))</f>
        <v>_</v>
      </c>
      <c r="CI381" s="47"/>
      <c r="CJ381" s="42" t="s">
        <v>16</v>
      </c>
      <c r="CK381" s="43" t="str">
        <f>IF(VLOOKUP(CJ381,βοηθητικό!$J$2:$N$354,3,FALSE)="","",VLOOKUP(CJ381,βοηθητικό!$J$2:$N$354,3,FALSE))</f>
        <v>_</v>
      </c>
      <c r="CL381" s="44"/>
      <c r="CM381" s="45" t="s">
        <v>16</v>
      </c>
      <c r="CN381" s="46" t="str">
        <f>IF(VLOOKUP(CM381,βοηθητικό!$J$2:$N$354,3,FALSE)="","",VLOOKUP(CM381,βοηθητικό!$J$2:$N$354,3,FALSE))</f>
        <v>_</v>
      </c>
      <c r="CO381" s="47"/>
      <c r="CP381" s="42" t="s">
        <v>16</v>
      </c>
      <c r="CQ381" s="43" t="str">
        <f>IF(VLOOKUP(CP381,βοηθητικό!$J$2:$N$354,3,FALSE)="","",VLOOKUP(CP381,βοηθητικό!$J$2:$N$354,3,FALSE))</f>
        <v>_</v>
      </c>
      <c r="CR381" s="44"/>
      <c r="CS381" s="45" t="s">
        <v>16</v>
      </c>
      <c r="CT381" s="46" t="str">
        <f>IF(VLOOKUP(CS381,βοηθητικό!$J$2:$N$354,3,FALSE)="","",VLOOKUP(CS381,βοηθητικό!$J$2:$N$354,3,FALSE))</f>
        <v>_</v>
      </c>
      <c r="CU381" s="47"/>
    </row>
    <row r="382" spans="1:99" x14ac:dyDescent="0.25">
      <c r="A382" s="37">
        <f>--SUBTOTAL(3,$B$3:B381)</f>
        <v>198</v>
      </c>
      <c r="B382" s="2"/>
      <c r="C382" s="3"/>
      <c r="D382" s="55" t="s">
        <v>18</v>
      </c>
      <c r="E382" s="38" t="s">
        <v>16</v>
      </c>
      <c r="F382" s="38" t="s">
        <v>16</v>
      </c>
      <c r="G382" s="39" t="str">
        <f t="shared" si="17"/>
        <v>__</v>
      </c>
      <c r="H382" s="40" t="str">
        <f t="shared" si="18"/>
        <v>FALSE</v>
      </c>
      <c r="I382" s="41">
        <f t="shared" si="19"/>
        <v>0</v>
      </c>
      <c r="J382" s="4" t="s">
        <v>16</v>
      </c>
      <c r="K382" s="43" t="str">
        <f>IF(VLOOKUP(J382,βοηθητικό!$J$2:$N$354,3,FALSE)="","",VLOOKUP(J382,βοηθητικό!$J$2:$N$354,3,FALSE))</f>
        <v>_</v>
      </c>
      <c r="L382" s="44"/>
      <c r="M382" s="5" t="s">
        <v>16</v>
      </c>
      <c r="N382" s="46" t="str">
        <f>IF(VLOOKUP(M382,βοηθητικό!$J$2:$N$354,3,FALSE)="","",VLOOKUP(M382,βοηθητικό!$J$2:$N$354,3,FALSE))</f>
        <v>_</v>
      </c>
      <c r="O382" s="47"/>
      <c r="P382" s="4" t="s">
        <v>16</v>
      </c>
      <c r="Q382" s="43" t="str">
        <f>IF(VLOOKUP(P382,βοηθητικό!$J$2:$N$354,3,FALSE)="","",VLOOKUP(P382,βοηθητικό!$J$2:$N$354,3,FALSE))</f>
        <v>_</v>
      </c>
      <c r="R382" s="44"/>
      <c r="S382" s="5" t="s">
        <v>16</v>
      </c>
      <c r="T382" s="46" t="str">
        <f>IF(VLOOKUP(S382,βοηθητικό!$J$2:$N$354,3,FALSE)="","",VLOOKUP(S382,βοηθητικό!$J$2:$N$354,3,FALSE))</f>
        <v>_</v>
      </c>
      <c r="U382" s="47"/>
      <c r="V382" s="4" t="s">
        <v>16</v>
      </c>
      <c r="W382" s="43" t="str">
        <f>IF(VLOOKUP(V382,βοηθητικό!$J$2:$N$354,3,FALSE)="","",VLOOKUP(V382,βοηθητικό!$J$2:$N$354,3,FALSE))</f>
        <v>_</v>
      </c>
      <c r="X382" s="44"/>
      <c r="Y382" s="5" t="s">
        <v>16</v>
      </c>
      <c r="Z382" s="46" t="str">
        <f>IF(VLOOKUP(Y382,βοηθητικό!$J$2:$N$354,3,FALSE)="","",VLOOKUP(Y382,βοηθητικό!$J$2:$N$354,3,FALSE))</f>
        <v>_</v>
      </c>
      <c r="AA382" s="47"/>
      <c r="AB382" s="4" t="s">
        <v>16</v>
      </c>
      <c r="AC382" s="43" t="str">
        <f>IF(VLOOKUP(AB382,βοηθητικό!$J$2:$N$354,3,FALSE)="","",VLOOKUP(AB382,βοηθητικό!$J$2:$N$354,3,FALSE))</f>
        <v>_</v>
      </c>
      <c r="AD382" s="44"/>
      <c r="AE382" s="5" t="s">
        <v>16</v>
      </c>
      <c r="AF382" s="46" t="str">
        <f>IF(VLOOKUP(AE382,βοηθητικό!$J$2:$N$354,3,FALSE)="","",VLOOKUP(AE382,βοηθητικό!$J$2:$N$354,3,FALSE))</f>
        <v>_</v>
      </c>
      <c r="AG382" s="47"/>
      <c r="AH382" s="4" t="s">
        <v>16</v>
      </c>
      <c r="AI382" s="43" t="str">
        <f>IF(VLOOKUP(AH382,βοηθητικό!$J$2:$N$354,3,FALSE)="","",VLOOKUP(AH382,βοηθητικό!$J$2:$N$354,3,FALSE))</f>
        <v>_</v>
      </c>
      <c r="AJ382" s="44"/>
      <c r="AK382" s="5" t="s">
        <v>16</v>
      </c>
      <c r="AL382" s="46" t="str">
        <f>IF(VLOOKUP(AK382,βοηθητικό!$J$2:$N$354,3,FALSE)="","",VLOOKUP(AK382,βοηθητικό!$J$2:$N$354,3,FALSE))</f>
        <v>_</v>
      </c>
      <c r="AM382" s="47"/>
      <c r="AN382" s="4" t="s">
        <v>16</v>
      </c>
      <c r="AO382" s="43" t="str">
        <f>IF(VLOOKUP(AN382,βοηθητικό!$J$2:$N$354,3,FALSE)="","",VLOOKUP(AN382,βοηθητικό!$J$2:$N$354,3,FALSE))</f>
        <v>_</v>
      </c>
      <c r="AP382" s="44"/>
      <c r="AQ382" s="5" t="s">
        <v>16</v>
      </c>
      <c r="AR382" s="46" t="str">
        <f>IF(VLOOKUP(AQ382,βοηθητικό!$J$2:$N$354,3,FALSE)="","",VLOOKUP(AQ382,βοηθητικό!$J$2:$N$354,3,FALSE))</f>
        <v>_</v>
      </c>
      <c r="AS382" s="47"/>
      <c r="AT382" s="4" t="s">
        <v>16</v>
      </c>
      <c r="AU382" s="43" t="str">
        <f>IF(VLOOKUP(AT382,βοηθητικό!$J$2:$N$354,3,FALSE)="","",VLOOKUP(AT382,βοηθητικό!$J$2:$N$354,3,FALSE))</f>
        <v>_</v>
      </c>
      <c r="AV382" s="44"/>
      <c r="AW382" s="5" t="s">
        <v>16</v>
      </c>
      <c r="AX382" s="46" t="str">
        <f>IF(VLOOKUP(AW382,βοηθητικό!$J$2:$N$354,3,FALSE)="","",VLOOKUP(AW382,βοηθητικό!$J$2:$N$354,3,FALSE))</f>
        <v>_</v>
      </c>
      <c r="AY382" s="47"/>
      <c r="AZ382" s="4" t="s">
        <v>16</v>
      </c>
      <c r="BA382" s="43" t="str">
        <f>IF(VLOOKUP(AZ382,βοηθητικό!$J$2:$N$354,3,FALSE)="","",VLOOKUP(AZ382,βοηθητικό!$J$2:$N$354,3,FALSE))</f>
        <v>_</v>
      </c>
      <c r="BB382" s="44"/>
      <c r="BC382" s="45" t="s">
        <v>16</v>
      </c>
      <c r="BD382" s="46" t="str">
        <f>IF(VLOOKUP(BC382,βοηθητικό!$J$2:$N$354,3,FALSE)="","",VLOOKUP(BC382,βοηθητικό!$J$2:$N$354,3,FALSE))</f>
        <v>_</v>
      </c>
      <c r="BE382" s="47"/>
      <c r="BF382" s="42" t="s">
        <v>16</v>
      </c>
      <c r="BG382" s="43" t="str">
        <f>IF(VLOOKUP(BF382,βοηθητικό!$J$2:$N$354,3,FALSE)="","",VLOOKUP(BF382,βοηθητικό!$J$2:$N$354,3,FALSE))</f>
        <v>_</v>
      </c>
      <c r="BH382" s="44"/>
      <c r="BI382" s="45" t="s">
        <v>16</v>
      </c>
      <c r="BJ382" s="46" t="str">
        <f>IF(VLOOKUP(BI382,βοηθητικό!$J$2:$N$354,3,FALSE)="","",VLOOKUP(BI382,βοηθητικό!$J$2:$N$354,3,FALSE))</f>
        <v>_</v>
      </c>
      <c r="BK382" s="47"/>
      <c r="BL382" s="42" t="s">
        <v>16</v>
      </c>
      <c r="BM382" s="43" t="str">
        <f>IF(VLOOKUP(BL382,βοηθητικό!$J$2:$N$354,3,FALSE)="","",VLOOKUP(BL382,βοηθητικό!$J$2:$N$354,3,FALSE))</f>
        <v>_</v>
      </c>
      <c r="BN382" s="44"/>
      <c r="BO382" s="45" t="s">
        <v>16</v>
      </c>
      <c r="BP382" s="46" t="str">
        <f>IF(VLOOKUP(BO382,βοηθητικό!$J$2:$N$354,3,FALSE)="","",VLOOKUP(BO382,βοηθητικό!$J$2:$N$354,3,FALSE))</f>
        <v>_</v>
      </c>
      <c r="BQ382" s="47"/>
      <c r="BR382" s="42" t="s">
        <v>16</v>
      </c>
      <c r="BS382" s="43" t="str">
        <f>IF(VLOOKUP(BR382,βοηθητικό!$J$2:$N$354,3,FALSE)="","",VLOOKUP(BR382,βοηθητικό!$J$2:$N$354,3,FALSE))</f>
        <v>_</v>
      </c>
      <c r="BT382" s="44"/>
      <c r="BU382" s="45" t="s">
        <v>16</v>
      </c>
      <c r="BV382" s="46" t="str">
        <f>IF(VLOOKUP(BU382,βοηθητικό!$J$2:$N$354,3,FALSE)="","",VLOOKUP(BU382,βοηθητικό!$J$2:$N$354,3,FALSE))</f>
        <v>_</v>
      </c>
      <c r="BW382" s="47"/>
      <c r="BX382" s="42" t="s">
        <v>16</v>
      </c>
      <c r="BY382" s="43" t="str">
        <f>IF(VLOOKUP(BX382,βοηθητικό!$J$2:$N$354,3,FALSE)="","",VLOOKUP(BX382,βοηθητικό!$J$2:$N$354,3,FALSE))</f>
        <v>_</v>
      </c>
      <c r="BZ382" s="44"/>
      <c r="CA382" s="45" t="s">
        <v>16</v>
      </c>
      <c r="CB382" s="46" t="str">
        <f>IF(VLOOKUP(CA382,βοηθητικό!$J$2:$N$354,3,FALSE)="","",VLOOKUP(CA382,βοηθητικό!$J$2:$N$354,3,FALSE))</f>
        <v>_</v>
      </c>
      <c r="CC382" s="47"/>
      <c r="CD382" s="42" t="s">
        <v>16</v>
      </c>
      <c r="CE382" s="43" t="str">
        <f>IF(VLOOKUP(CD382,βοηθητικό!$J$2:$N$354,3,FALSE)="","",VLOOKUP(CD382,βοηθητικό!$J$2:$N$354,3,FALSE))</f>
        <v>_</v>
      </c>
      <c r="CF382" s="44"/>
      <c r="CG382" s="45" t="s">
        <v>16</v>
      </c>
      <c r="CH382" s="46" t="str">
        <f>IF(VLOOKUP(CG382,βοηθητικό!$J$2:$N$354,3,FALSE)="","",VLOOKUP(CG382,βοηθητικό!$J$2:$N$354,3,FALSE))</f>
        <v>_</v>
      </c>
      <c r="CI382" s="47"/>
      <c r="CJ382" s="42" t="s">
        <v>16</v>
      </c>
      <c r="CK382" s="43" t="str">
        <f>IF(VLOOKUP(CJ382,βοηθητικό!$J$2:$N$354,3,FALSE)="","",VLOOKUP(CJ382,βοηθητικό!$J$2:$N$354,3,FALSE))</f>
        <v>_</v>
      </c>
      <c r="CL382" s="44"/>
      <c r="CM382" s="45" t="s">
        <v>16</v>
      </c>
      <c r="CN382" s="46" t="str">
        <f>IF(VLOOKUP(CM382,βοηθητικό!$J$2:$N$354,3,FALSE)="","",VLOOKUP(CM382,βοηθητικό!$J$2:$N$354,3,FALSE))</f>
        <v>_</v>
      </c>
      <c r="CO382" s="47"/>
      <c r="CP382" s="42" t="s">
        <v>16</v>
      </c>
      <c r="CQ382" s="43" t="str">
        <f>IF(VLOOKUP(CP382,βοηθητικό!$J$2:$N$354,3,FALSE)="","",VLOOKUP(CP382,βοηθητικό!$J$2:$N$354,3,FALSE))</f>
        <v>_</v>
      </c>
      <c r="CR382" s="44"/>
      <c r="CS382" s="45" t="s">
        <v>16</v>
      </c>
      <c r="CT382" s="46" t="str">
        <f>IF(VLOOKUP(CS382,βοηθητικό!$J$2:$N$354,3,FALSE)="","",VLOOKUP(CS382,βοηθητικό!$J$2:$N$354,3,FALSE))</f>
        <v>_</v>
      </c>
      <c r="CU382" s="47"/>
    </row>
    <row r="383" spans="1:99" x14ac:dyDescent="0.25">
      <c r="A383" s="37">
        <f>--SUBTOTAL(3,$B$3:B382)</f>
        <v>198</v>
      </c>
      <c r="B383" s="2"/>
      <c r="C383" s="3"/>
      <c r="D383" s="55" t="s">
        <v>18</v>
      </c>
      <c r="E383" s="38" t="s">
        <v>16</v>
      </c>
      <c r="F383" s="38" t="s">
        <v>16</v>
      </c>
      <c r="G383" s="39" t="str">
        <f t="shared" si="17"/>
        <v>__</v>
      </c>
      <c r="H383" s="40" t="str">
        <f t="shared" si="18"/>
        <v>FALSE</v>
      </c>
      <c r="I383" s="41">
        <f t="shared" si="19"/>
        <v>0</v>
      </c>
      <c r="J383" s="4" t="s">
        <v>16</v>
      </c>
      <c r="K383" s="43" t="str">
        <f>IF(VLOOKUP(J383,βοηθητικό!$J$2:$N$354,3,FALSE)="","",VLOOKUP(J383,βοηθητικό!$J$2:$N$354,3,FALSE))</f>
        <v>_</v>
      </c>
      <c r="L383" s="44"/>
      <c r="M383" s="5" t="s">
        <v>16</v>
      </c>
      <c r="N383" s="46" t="str">
        <f>IF(VLOOKUP(M383,βοηθητικό!$J$2:$N$354,3,FALSE)="","",VLOOKUP(M383,βοηθητικό!$J$2:$N$354,3,FALSE))</f>
        <v>_</v>
      </c>
      <c r="O383" s="47"/>
      <c r="P383" s="4" t="s">
        <v>16</v>
      </c>
      <c r="Q383" s="43" t="str">
        <f>IF(VLOOKUP(P383,βοηθητικό!$J$2:$N$354,3,FALSE)="","",VLOOKUP(P383,βοηθητικό!$J$2:$N$354,3,FALSE))</f>
        <v>_</v>
      </c>
      <c r="R383" s="44"/>
      <c r="S383" s="5" t="s">
        <v>16</v>
      </c>
      <c r="T383" s="46" t="str">
        <f>IF(VLOOKUP(S383,βοηθητικό!$J$2:$N$354,3,FALSE)="","",VLOOKUP(S383,βοηθητικό!$J$2:$N$354,3,FALSE))</f>
        <v>_</v>
      </c>
      <c r="U383" s="47"/>
      <c r="V383" s="4" t="s">
        <v>16</v>
      </c>
      <c r="W383" s="43" t="str">
        <f>IF(VLOOKUP(V383,βοηθητικό!$J$2:$N$354,3,FALSE)="","",VLOOKUP(V383,βοηθητικό!$J$2:$N$354,3,FALSE))</f>
        <v>_</v>
      </c>
      <c r="X383" s="44"/>
      <c r="Y383" s="5" t="s">
        <v>16</v>
      </c>
      <c r="Z383" s="46" t="str">
        <f>IF(VLOOKUP(Y383,βοηθητικό!$J$2:$N$354,3,FALSE)="","",VLOOKUP(Y383,βοηθητικό!$J$2:$N$354,3,FALSE))</f>
        <v>_</v>
      </c>
      <c r="AA383" s="47"/>
      <c r="AB383" s="4" t="s">
        <v>16</v>
      </c>
      <c r="AC383" s="43" t="str">
        <f>IF(VLOOKUP(AB383,βοηθητικό!$J$2:$N$354,3,FALSE)="","",VLOOKUP(AB383,βοηθητικό!$J$2:$N$354,3,FALSE))</f>
        <v>_</v>
      </c>
      <c r="AD383" s="44"/>
      <c r="AE383" s="5" t="s">
        <v>16</v>
      </c>
      <c r="AF383" s="46" t="str">
        <f>IF(VLOOKUP(AE383,βοηθητικό!$J$2:$N$354,3,FALSE)="","",VLOOKUP(AE383,βοηθητικό!$J$2:$N$354,3,FALSE))</f>
        <v>_</v>
      </c>
      <c r="AG383" s="47"/>
      <c r="AH383" s="4" t="s">
        <v>16</v>
      </c>
      <c r="AI383" s="43" t="str">
        <f>IF(VLOOKUP(AH383,βοηθητικό!$J$2:$N$354,3,FALSE)="","",VLOOKUP(AH383,βοηθητικό!$J$2:$N$354,3,FALSE))</f>
        <v>_</v>
      </c>
      <c r="AJ383" s="44"/>
      <c r="AK383" s="5" t="s">
        <v>16</v>
      </c>
      <c r="AL383" s="46" t="str">
        <f>IF(VLOOKUP(AK383,βοηθητικό!$J$2:$N$354,3,FALSE)="","",VLOOKUP(AK383,βοηθητικό!$J$2:$N$354,3,FALSE))</f>
        <v>_</v>
      </c>
      <c r="AM383" s="47"/>
      <c r="AN383" s="4" t="s">
        <v>16</v>
      </c>
      <c r="AO383" s="43" t="str">
        <f>IF(VLOOKUP(AN383,βοηθητικό!$J$2:$N$354,3,FALSE)="","",VLOOKUP(AN383,βοηθητικό!$J$2:$N$354,3,FALSE))</f>
        <v>_</v>
      </c>
      <c r="AP383" s="44"/>
      <c r="AQ383" s="5" t="s">
        <v>16</v>
      </c>
      <c r="AR383" s="46" t="str">
        <f>IF(VLOOKUP(AQ383,βοηθητικό!$J$2:$N$354,3,FALSE)="","",VLOOKUP(AQ383,βοηθητικό!$J$2:$N$354,3,FALSE))</f>
        <v>_</v>
      </c>
      <c r="AS383" s="47"/>
      <c r="AT383" s="4" t="s">
        <v>16</v>
      </c>
      <c r="AU383" s="43" t="str">
        <f>IF(VLOOKUP(AT383,βοηθητικό!$J$2:$N$354,3,FALSE)="","",VLOOKUP(AT383,βοηθητικό!$J$2:$N$354,3,FALSE))</f>
        <v>_</v>
      </c>
      <c r="AV383" s="44"/>
      <c r="AW383" s="5" t="s">
        <v>16</v>
      </c>
      <c r="AX383" s="46" t="str">
        <f>IF(VLOOKUP(AW383,βοηθητικό!$J$2:$N$354,3,FALSE)="","",VLOOKUP(AW383,βοηθητικό!$J$2:$N$354,3,FALSE))</f>
        <v>_</v>
      </c>
      <c r="AY383" s="47"/>
      <c r="AZ383" s="4" t="s">
        <v>16</v>
      </c>
      <c r="BA383" s="43" t="str">
        <f>IF(VLOOKUP(AZ383,βοηθητικό!$J$2:$N$354,3,FALSE)="","",VLOOKUP(AZ383,βοηθητικό!$J$2:$N$354,3,FALSE))</f>
        <v>_</v>
      </c>
      <c r="BB383" s="44"/>
      <c r="BC383" s="45" t="s">
        <v>16</v>
      </c>
      <c r="BD383" s="46" t="str">
        <f>IF(VLOOKUP(BC383,βοηθητικό!$J$2:$N$354,3,FALSE)="","",VLOOKUP(BC383,βοηθητικό!$J$2:$N$354,3,FALSE))</f>
        <v>_</v>
      </c>
      <c r="BE383" s="47"/>
      <c r="BF383" s="42" t="s">
        <v>16</v>
      </c>
      <c r="BG383" s="43" t="str">
        <f>IF(VLOOKUP(BF383,βοηθητικό!$J$2:$N$354,3,FALSE)="","",VLOOKUP(BF383,βοηθητικό!$J$2:$N$354,3,FALSE))</f>
        <v>_</v>
      </c>
      <c r="BH383" s="44"/>
      <c r="BI383" s="45" t="s">
        <v>16</v>
      </c>
      <c r="BJ383" s="46" t="str">
        <f>IF(VLOOKUP(BI383,βοηθητικό!$J$2:$N$354,3,FALSE)="","",VLOOKUP(BI383,βοηθητικό!$J$2:$N$354,3,FALSE))</f>
        <v>_</v>
      </c>
      <c r="BK383" s="47"/>
      <c r="BL383" s="42" t="s">
        <v>16</v>
      </c>
      <c r="BM383" s="43" t="str">
        <f>IF(VLOOKUP(BL383,βοηθητικό!$J$2:$N$354,3,FALSE)="","",VLOOKUP(BL383,βοηθητικό!$J$2:$N$354,3,FALSE))</f>
        <v>_</v>
      </c>
      <c r="BN383" s="44"/>
      <c r="BO383" s="45" t="s">
        <v>16</v>
      </c>
      <c r="BP383" s="46" t="str">
        <f>IF(VLOOKUP(BO383,βοηθητικό!$J$2:$N$354,3,FALSE)="","",VLOOKUP(BO383,βοηθητικό!$J$2:$N$354,3,FALSE))</f>
        <v>_</v>
      </c>
      <c r="BQ383" s="47"/>
      <c r="BR383" s="42" t="s">
        <v>16</v>
      </c>
      <c r="BS383" s="43" t="str">
        <f>IF(VLOOKUP(BR383,βοηθητικό!$J$2:$N$354,3,FALSE)="","",VLOOKUP(BR383,βοηθητικό!$J$2:$N$354,3,FALSE))</f>
        <v>_</v>
      </c>
      <c r="BT383" s="44"/>
      <c r="BU383" s="45" t="s">
        <v>16</v>
      </c>
      <c r="BV383" s="46" t="str">
        <f>IF(VLOOKUP(BU383,βοηθητικό!$J$2:$N$354,3,FALSE)="","",VLOOKUP(BU383,βοηθητικό!$J$2:$N$354,3,FALSE))</f>
        <v>_</v>
      </c>
      <c r="BW383" s="47"/>
      <c r="BX383" s="42" t="s">
        <v>16</v>
      </c>
      <c r="BY383" s="43" t="str">
        <f>IF(VLOOKUP(BX383,βοηθητικό!$J$2:$N$354,3,FALSE)="","",VLOOKUP(BX383,βοηθητικό!$J$2:$N$354,3,FALSE))</f>
        <v>_</v>
      </c>
      <c r="BZ383" s="44"/>
      <c r="CA383" s="45" t="s">
        <v>16</v>
      </c>
      <c r="CB383" s="46" t="str">
        <f>IF(VLOOKUP(CA383,βοηθητικό!$J$2:$N$354,3,FALSE)="","",VLOOKUP(CA383,βοηθητικό!$J$2:$N$354,3,FALSE))</f>
        <v>_</v>
      </c>
      <c r="CC383" s="47"/>
      <c r="CD383" s="42" t="s">
        <v>16</v>
      </c>
      <c r="CE383" s="43" t="str">
        <f>IF(VLOOKUP(CD383,βοηθητικό!$J$2:$N$354,3,FALSE)="","",VLOOKUP(CD383,βοηθητικό!$J$2:$N$354,3,FALSE))</f>
        <v>_</v>
      </c>
      <c r="CF383" s="44"/>
      <c r="CG383" s="45" t="s">
        <v>16</v>
      </c>
      <c r="CH383" s="46" t="str">
        <f>IF(VLOOKUP(CG383,βοηθητικό!$J$2:$N$354,3,FALSE)="","",VLOOKUP(CG383,βοηθητικό!$J$2:$N$354,3,FALSE))</f>
        <v>_</v>
      </c>
      <c r="CI383" s="47"/>
      <c r="CJ383" s="42" t="s">
        <v>16</v>
      </c>
      <c r="CK383" s="43" t="str">
        <f>IF(VLOOKUP(CJ383,βοηθητικό!$J$2:$N$354,3,FALSE)="","",VLOOKUP(CJ383,βοηθητικό!$J$2:$N$354,3,FALSE))</f>
        <v>_</v>
      </c>
      <c r="CL383" s="44"/>
      <c r="CM383" s="45" t="s">
        <v>16</v>
      </c>
      <c r="CN383" s="46" t="str">
        <f>IF(VLOOKUP(CM383,βοηθητικό!$J$2:$N$354,3,FALSE)="","",VLOOKUP(CM383,βοηθητικό!$J$2:$N$354,3,FALSE))</f>
        <v>_</v>
      </c>
      <c r="CO383" s="47"/>
      <c r="CP383" s="42" t="s">
        <v>16</v>
      </c>
      <c r="CQ383" s="43" t="str">
        <f>IF(VLOOKUP(CP383,βοηθητικό!$J$2:$N$354,3,FALSE)="","",VLOOKUP(CP383,βοηθητικό!$J$2:$N$354,3,FALSE))</f>
        <v>_</v>
      </c>
      <c r="CR383" s="44"/>
      <c r="CS383" s="45" t="s">
        <v>16</v>
      </c>
      <c r="CT383" s="46" t="str">
        <f>IF(VLOOKUP(CS383,βοηθητικό!$J$2:$N$354,3,FALSE)="","",VLOOKUP(CS383,βοηθητικό!$J$2:$N$354,3,FALSE))</f>
        <v>_</v>
      </c>
      <c r="CU383" s="47"/>
    </row>
    <row r="384" spans="1:99" x14ac:dyDescent="0.25">
      <c r="A384" s="37">
        <f>--SUBTOTAL(3,$B$3:B383)</f>
        <v>198</v>
      </c>
      <c r="B384" s="2"/>
      <c r="C384" s="3"/>
      <c r="D384" s="55" t="s">
        <v>18</v>
      </c>
      <c r="E384" s="38" t="s">
        <v>16</v>
      </c>
      <c r="F384" s="38" t="s">
        <v>16</v>
      </c>
      <c r="G384" s="39" t="str">
        <f t="shared" si="17"/>
        <v>__</v>
      </c>
      <c r="H384" s="40" t="str">
        <f t="shared" si="18"/>
        <v>FALSE</v>
      </c>
      <c r="I384" s="41">
        <f t="shared" si="19"/>
        <v>0</v>
      </c>
      <c r="J384" s="4" t="s">
        <v>16</v>
      </c>
      <c r="K384" s="43" t="str">
        <f>IF(VLOOKUP(J384,βοηθητικό!$J$2:$N$354,3,FALSE)="","",VLOOKUP(J384,βοηθητικό!$J$2:$N$354,3,FALSE))</f>
        <v>_</v>
      </c>
      <c r="L384" s="44"/>
      <c r="M384" s="5" t="s">
        <v>16</v>
      </c>
      <c r="N384" s="46" t="str">
        <f>IF(VLOOKUP(M384,βοηθητικό!$J$2:$N$354,3,FALSE)="","",VLOOKUP(M384,βοηθητικό!$J$2:$N$354,3,FALSE))</f>
        <v>_</v>
      </c>
      <c r="O384" s="47"/>
      <c r="P384" s="4" t="s">
        <v>16</v>
      </c>
      <c r="Q384" s="43" t="str">
        <f>IF(VLOOKUP(P384,βοηθητικό!$J$2:$N$354,3,FALSE)="","",VLOOKUP(P384,βοηθητικό!$J$2:$N$354,3,FALSE))</f>
        <v>_</v>
      </c>
      <c r="R384" s="44"/>
      <c r="S384" s="5" t="s">
        <v>16</v>
      </c>
      <c r="T384" s="46" t="str">
        <f>IF(VLOOKUP(S384,βοηθητικό!$J$2:$N$354,3,FALSE)="","",VLOOKUP(S384,βοηθητικό!$J$2:$N$354,3,FALSE))</f>
        <v>_</v>
      </c>
      <c r="U384" s="47"/>
      <c r="V384" s="4" t="s">
        <v>16</v>
      </c>
      <c r="W384" s="43" t="str">
        <f>IF(VLOOKUP(V384,βοηθητικό!$J$2:$N$354,3,FALSE)="","",VLOOKUP(V384,βοηθητικό!$J$2:$N$354,3,FALSE))</f>
        <v>_</v>
      </c>
      <c r="X384" s="44"/>
      <c r="Y384" s="5" t="s">
        <v>16</v>
      </c>
      <c r="Z384" s="46" t="str">
        <f>IF(VLOOKUP(Y384,βοηθητικό!$J$2:$N$354,3,FALSE)="","",VLOOKUP(Y384,βοηθητικό!$J$2:$N$354,3,FALSE))</f>
        <v>_</v>
      </c>
      <c r="AA384" s="47"/>
      <c r="AB384" s="4" t="s">
        <v>16</v>
      </c>
      <c r="AC384" s="43" t="str">
        <f>IF(VLOOKUP(AB384,βοηθητικό!$J$2:$N$354,3,FALSE)="","",VLOOKUP(AB384,βοηθητικό!$J$2:$N$354,3,FALSE))</f>
        <v>_</v>
      </c>
      <c r="AD384" s="44"/>
      <c r="AE384" s="5" t="s">
        <v>16</v>
      </c>
      <c r="AF384" s="46" t="str">
        <f>IF(VLOOKUP(AE384,βοηθητικό!$J$2:$N$354,3,FALSE)="","",VLOOKUP(AE384,βοηθητικό!$J$2:$N$354,3,FALSE))</f>
        <v>_</v>
      </c>
      <c r="AG384" s="47"/>
      <c r="AH384" s="4" t="s">
        <v>16</v>
      </c>
      <c r="AI384" s="43" t="str">
        <f>IF(VLOOKUP(AH384,βοηθητικό!$J$2:$N$354,3,FALSE)="","",VLOOKUP(AH384,βοηθητικό!$J$2:$N$354,3,FALSE))</f>
        <v>_</v>
      </c>
      <c r="AJ384" s="44"/>
      <c r="AK384" s="5" t="s">
        <v>16</v>
      </c>
      <c r="AL384" s="46" t="str">
        <f>IF(VLOOKUP(AK384,βοηθητικό!$J$2:$N$354,3,FALSE)="","",VLOOKUP(AK384,βοηθητικό!$J$2:$N$354,3,FALSE))</f>
        <v>_</v>
      </c>
      <c r="AM384" s="47"/>
      <c r="AN384" s="4" t="s">
        <v>16</v>
      </c>
      <c r="AO384" s="43" t="str">
        <f>IF(VLOOKUP(AN384,βοηθητικό!$J$2:$N$354,3,FALSE)="","",VLOOKUP(AN384,βοηθητικό!$J$2:$N$354,3,FALSE))</f>
        <v>_</v>
      </c>
      <c r="AP384" s="44"/>
      <c r="AQ384" s="5" t="s">
        <v>16</v>
      </c>
      <c r="AR384" s="46" t="str">
        <f>IF(VLOOKUP(AQ384,βοηθητικό!$J$2:$N$354,3,FALSE)="","",VLOOKUP(AQ384,βοηθητικό!$J$2:$N$354,3,FALSE))</f>
        <v>_</v>
      </c>
      <c r="AS384" s="47"/>
      <c r="AT384" s="4" t="s">
        <v>16</v>
      </c>
      <c r="AU384" s="43" t="str">
        <f>IF(VLOOKUP(AT384,βοηθητικό!$J$2:$N$354,3,FALSE)="","",VLOOKUP(AT384,βοηθητικό!$J$2:$N$354,3,FALSE))</f>
        <v>_</v>
      </c>
      <c r="AV384" s="44"/>
      <c r="AW384" s="5" t="s">
        <v>16</v>
      </c>
      <c r="AX384" s="46" t="str">
        <f>IF(VLOOKUP(AW384,βοηθητικό!$J$2:$N$354,3,FALSE)="","",VLOOKUP(AW384,βοηθητικό!$J$2:$N$354,3,FALSE))</f>
        <v>_</v>
      </c>
      <c r="AY384" s="47"/>
      <c r="AZ384" s="4" t="s">
        <v>16</v>
      </c>
      <c r="BA384" s="43" t="str">
        <f>IF(VLOOKUP(AZ384,βοηθητικό!$J$2:$N$354,3,FALSE)="","",VLOOKUP(AZ384,βοηθητικό!$J$2:$N$354,3,FALSE))</f>
        <v>_</v>
      </c>
      <c r="BB384" s="44"/>
      <c r="BC384" s="45" t="s">
        <v>16</v>
      </c>
      <c r="BD384" s="46" t="str">
        <f>IF(VLOOKUP(BC384,βοηθητικό!$J$2:$N$354,3,FALSE)="","",VLOOKUP(BC384,βοηθητικό!$J$2:$N$354,3,FALSE))</f>
        <v>_</v>
      </c>
      <c r="BE384" s="47"/>
      <c r="BF384" s="42" t="s">
        <v>16</v>
      </c>
      <c r="BG384" s="43" t="str">
        <f>IF(VLOOKUP(BF384,βοηθητικό!$J$2:$N$354,3,FALSE)="","",VLOOKUP(BF384,βοηθητικό!$J$2:$N$354,3,FALSE))</f>
        <v>_</v>
      </c>
      <c r="BH384" s="44"/>
      <c r="BI384" s="45" t="s">
        <v>16</v>
      </c>
      <c r="BJ384" s="46" t="str">
        <f>IF(VLOOKUP(BI384,βοηθητικό!$J$2:$N$354,3,FALSE)="","",VLOOKUP(BI384,βοηθητικό!$J$2:$N$354,3,FALSE))</f>
        <v>_</v>
      </c>
      <c r="BK384" s="47"/>
      <c r="BL384" s="42" t="s">
        <v>16</v>
      </c>
      <c r="BM384" s="43" t="str">
        <f>IF(VLOOKUP(BL384,βοηθητικό!$J$2:$N$354,3,FALSE)="","",VLOOKUP(BL384,βοηθητικό!$J$2:$N$354,3,FALSE))</f>
        <v>_</v>
      </c>
      <c r="BN384" s="44"/>
      <c r="BO384" s="45" t="s">
        <v>16</v>
      </c>
      <c r="BP384" s="46" t="str">
        <f>IF(VLOOKUP(BO384,βοηθητικό!$J$2:$N$354,3,FALSE)="","",VLOOKUP(BO384,βοηθητικό!$J$2:$N$354,3,FALSE))</f>
        <v>_</v>
      </c>
      <c r="BQ384" s="47"/>
      <c r="BR384" s="42" t="s">
        <v>16</v>
      </c>
      <c r="BS384" s="43" t="str">
        <f>IF(VLOOKUP(BR384,βοηθητικό!$J$2:$N$354,3,FALSE)="","",VLOOKUP(BR384,βοηθητικό!$J$2:$N$354,3,FALSE))</f>
        <v>_</v>
      </c>
      <c r="BT384" s="44"/>
      <c r="BU384" s="45" t="s">
        <v>16</v>
      </c>
      <c r="BV384" s="46" t="str">
        <f>IF(VLOOKUP(BU384,βοηθητικό!$J$2:$N$354,3,FALSE)="","",VLOOKUP(BU384,βοηθητικό!$J$2:$N$354,3,FALSE))</f>
        <v>_</v>
      </c>
      <c r="BW384" s="47"/>
      <c r="BX384" s="42" t="s">
        <v>16</v>
      </c>
      <c r="BY384" s="43" t="str">
        <f>IF(VLOOKUP(BX384,βοηθητικό!$J$2:$N$354,3,FALSE)="","",VLOOKUP(BX384,βοηθητικό!$J$2:$N$354,3,FALSE))</f>
        <v>_</v>
      </c>
      <c r="BZ384" s="44"/>
      <c r="CA384" s="45" t="s">
        <v>16</v>
      </c>
      <c r="CB384" s="46" t="str">
        <f>IF(VLOOKUP(CA384,βοηθητικό!$J$2:$N$354,3,FALSE)="","",VLOOKUP(CA384,βοηθητικό!$J$2:$N$354,3,FALSE))</f>
        <v>_</v>
      </c>
      <c r="CC384" s="47"/>
      <c r="CD384" s="42" t="s">
        <v>16</v>
      </c>
      <c r="CE384" s="43" t="str">
        <f>IF(VLOOKUP(CD384,βοηθητικό!$J$2:$N$354,3,FALSE)="","",VLOOKUP(CD384,βοηθητικό!$J$2:$N$354,3,FALSE))</f>
        <v>_</v>
      </c>
      <c r="CF384" s="44"/>
      <c r="CG384" s="45" t="s">
        <v>16</v>
      </c>
      <c r="CH384" s="46" t="str">
        <f>IF(VLOOKUP(CG384,βοηθητικό!$J$2:$N$354,3,FALSE)="","",VLOOKUP(CG384,βοηθητικό!$J$2:$N$354,3,FALSE))</f>
        <v>_</v>
      </c>
      <c r="CI384" s="47"/>
      <c r="CJ384" s="42" t="s">
        <v>16</v>
      </c>
      <c r="CK384" s="43" t="str">
        <f>IF(VLOOKUP(CJ384,βοηθητικό!$J$2:$N$354,3,FALSE)="","",VLOOKUP(CJ384,βοηθητικό!$J$2:$N$354,3,FALSE))</f>
        <v>_</v>
      </c>
      <c r="CL384" s="44"/>
      <c r="CM384" s="45" t="s">
        <v>16</v>
      </c>
      <c r="CN384" s="46" t="str">
        <f>IF(VLOOKUP(CM384,βοηθητικό!$J$2:$N$354,3,FALSE)="","",VLOOKUP(CM384,βοηθητικό!$J$2:$N$354,3,FALSE))</f>
        <v>_</v>
      </c>
      <c r="CO384" s="47"/>
      <c r="CP384" s="42" t="s">
        <v>16</v>
      </c>
      <c r="CQ384" s="43" t="str">
        <f>IF(VLOOKUP(CP384,βοηθητικό!$J$2:$N$354,3,FALSE)="","",VLOOKUP(CP384,βοηθητικό!$J$2:$N$354,3,FALSE))</f>
        <v>_</v>
      </c>
      <c r="CR384" s="44"/>
      <c r="CS384" s="45" t="s">
        <v>16</v>
      </c>
      <c r="CT384" s="46" t="str">
        <f>IF(VLOOKUP(CS384,βοηθητικό!$J$2:$N$354,3,FALSE)="","",VLOOKUP(CS384,βοηθητικό!$J$2:$N$354,3,FALSE))</f>
        <v>_</v>
      </c>
      <c r="CU384" s="47"/>
    </row>
    <row r="385" spans="1:99" x14ac:dyDescent="0.25">
      <c r="A385" s="37">
        <f>--SUBTOTAL(3,$B$3:B384)</f>
        <v>198</v>
      </c>
      <c r="B385" s="2"/>
      <c r="C385" s="3"/>
      <c r="D385" s="55" t="s">
        <v>18</v>
      </c>
      <c r="E385" s="38" t="s">
        <v>16</v>
      </c>
      <c r="F385" s="38" t="s">
        <v>16</v>
      </c>
      <c r="G385" s="39" t="str">
        <f t="shared" si="17"/>
        <v>__</v>
      </c>
      <c r="H385" s="40" t="str">
        <f t="shared" si="18"/>
        <v>FALSE</v>
      </c>
      <c r="I385" s="41">
        <f t="shared" si="19"/>
        <v>0</v>
      </c>
      <c r="J385" s="4" t="s">
        <v>16</v>
      </c>
      <c r="K385" s="43" t="str">
        <f>IF(VLOOKUP(J385,βοηθητικό!$J$2:$N$354,3,FALSE)="","",VLOOKUP(J385,βοηθητικό!$J$2:$N$354,3,FALSE))</f>
        <v>_</v>
      </c>
      <c r="L385" s="44"/>
      <c r="M385" s="5" t="s">
        <v>16</v>
      </c>
      <c r="N385" s="46" t="str">
        <f>IF(VLOOKUP(M385,βοηθητικό!$J$2:$N$354,3,FALSE)="","",VLOOKUP(M385,βοηθητικό!$J$2:$N$354,3,FALSE))</f>
        <v>_</v>
      </c>
      <c r="O385" s="47"/>
      <c r="P385" s="4" t="s">
        <v>16</v>
      </c>
      <c r="Q385" s="43" t="str">
        <f>IF(VLOOKUP(P385,βοηθητικό!$J$2:$N$354,3,FALSE)="","",VLOOKUP(P385,βοηθητικό!$J$2:$N$354,3,FALSE))</f>
        <v>_</v>
      </c>
      <c r="R385" s="44"/>
      <c r="S385" s="5" t="s">
        <v>16</v>
      </c>
      <c r="T385" s="46" t="str">
        <f>IF(VLOOKUP(S385,βοηθητικό!$J$2:$N$354,3,FALSE)="","",VLOOKUP(S385,βοηθητικό!$J$2:$N$354,3,FALSE))</f>
        <v>_</v>
      </c>
      <c r="U385" s="47"/>
      <c r="V385" s="4" t="s">
        <v>16</v>
      </c>
      <c r="W385" s="43" t="str">
        <f>IF(VLOOKUP(V385,βοηθητικό!$J$2:$N$354,3,FALSE)="","",VLOOKUP(V385,βοηθητικό!$J$2:$N$354,3,FALSE))</f>
        <v>_</v>
      </c>
      <c r="X385" s="44"/>
      <c r="Y385" s="5" t="s">
        <v>16</v>
      </c>
      <c r="Z385" s="46" t="str">
        <f>IF(VLOOKUP(Y385,βοηθητικό!$J$2:$N$354,3,FALSE)="","",VLOOKUP(Y385,βοηθητικό!$J$2:$N$354,3,FALSE))</f>
        <v>_</v>
      </c>
      <c r="AA385" s="47"/>
      <c r="AB385" s="4" t="s">
        <v>16</v>
      </c>
      <c r="AC385" s="43" t="str">
        <f>IF(VLOOKUP(AB385,βοηθητικό!$J$2:$N$354,3,FALSE)="","",VLOOKUP(AB385,βοηθητικό!$J$2:$N$354,3,FALSE))</f>
        <v>_</v>
      </c>
      <c r="AD385" s="44"/>
      <c r="AE385" s="5" t="s">
        <v>16</v>
      </c>
      <c r="AF385" s="46" t="str">
        <f>IF(VLOOKUP(AE385,βοηθητικό!$J$2:$N$354,3,FALSE)="","",VLOOKUP(AE385,βοηθητικό!$J$2:$N$354,3,FALSE))</f>
        <v>_</v>
      </c>
      <c r="AG385" s="47"/>
      <c r="AH385" s="4" t="s">
        <v>16</v>
      </c>
      <c r="AI385" s="43" t="str">
        <f>IF(VLOOKUP(AH385,βοηθητικό!$J$2:$N$354,3,FALSE)="","",VLOOKUP(AH385,βοηθητικό!$J$2:$N$354,3,FALSE))</f>
        <v>_</v>
      </c>
      <c r="AJ385" s="44"/>
      <c r="AK385" s="5" t="s">
        <v>16</v>
      </c>
      <c r="AL385" s="46" t="str">
        <f>IF(VLOOKUP(AK385,βοηθητικό!$J$2:$N$354,3,FALSE)="","",VLOOKUP(AK385,βοηθητικό!$J$2:$N$354,3,FALSE))</f>
        <v>_</v>
      </c>
      <c r="AM385" s="47"/>
      <c r="AN385" s="4" t="s">
        <v>16</v>
      </c>
      <c r="AO385" s="43" t="str">
        <f>IF(VLOOKUP(AN385,βοηθητικό!$J$2:$N$354,3,FALSE)="","",VLOOKUP(AN385,βοηθητικό!$J$2:$N$354,3,FALSE))</f>
        <v>_</v>
      </c>
      <c r="AP385" s="44"/>
      <c r="AQ385" s="5" t="s">
        <v>16</v>
      </c>
      <c r="AR385" s="46" t="str">
        <f>IF(VLOOKUP(AQ385,βοηθητικό!$J$2:$N$354,3,FALSE)="","",VLOOKUP(AQ385,βοηθητικό!$J$2:$N$354,3,FALSE))</f>
        <v>_</v>
      </c>
      <c r="AS385" s="47"/>
      <c r="AT385" s="4" t="s">
        <v>16</v>
      </c>
      <c r="AU385" s="43" t="str">
        <f>IF(VLOOKUP(AT385,βοηθητικό!$J$2:$N$354,3,FALSE)="","",VLOOKUP(AT385,βοηθητικό!$J$2:$N$354,3,FALSE))</f>
        <v>_</v>
      </c>
      <c r="AV385" s="44"/>
      <c r="AW385" s="5" t="s">
        <v>16</v>
      </c>
      <c r="AX385" s="46" t="str">
        <f>IF(VLOOKUP(AW385,βοηθητικό!$J$2:$N$354,3,FALSE)="","",VLOOKUP(AW385,βοηθητικό!$J$2:$N$354,3,FALSE))</f>
        <v>_</v>
      </c>
      <c r="AY385" s="47"/>
      <c r="AZ385" s="4" t="s">
        <v>16</v>
      </c>
      <c r="BA385" s="43" t="str">
        <f>IF(VLOOKUP(AZ385,βοηθητικό!$J$2:$N$354,3,FALSE)="","",VLOOKUP(AZ385,βοηθητικό!$J$2:$N$354,3,FALSE))</f>
        <v>_</v>
      </c>
      <c r="BB385" s="44"/>
      <c r="BC385" s="45" t="s">
        <v>16</v>
      </c>
      <c r="BD385" s="46" t="str">
        <f>IF(VLOOKUP(BC385,βοηθητικό!$J$2:$N$354,3,FALSE)="","",VLOOKUP(BC385,βοηθητικό!$J$2:$N$354,3,FALSE))</f>
        <v>_</v>
      </c>
      <c r="BE385" s="47"/>
      <c r="BF385" s="42" t="s">
        <v>16</v>
      </c>
      <c r="BG385" s="43" t="str">
        <f>IF(VLOOKUP(BF385,βοηθητικό!$J$2:$N$354,3,FALSE)="","",VLOOKUP(BF385,βοηθητικό!$J$2:$N$354,3,FALSE))</f>
        <v>_</v>
      </c>
      <c r="BH385" s="44"/>
      <c r="BI385" s="45" t="s">
        <v>16</v>
      </c>
      <c r="BJ385" s="46" t="str">
        <f>IF(VLOOKUP(BI385,βοηθητικό!$J$2:$N$354,3,FALSE)="","",VLOOKUP(BI385,βοηθητικό!$J$2:$N$354,3,FALSE))</f>
        <v>_</v>
      </c>
      <c r="BK385" s="47"/>
      <c r="BL385" s="42" t="s">
        <v>16</v>
      </c>
      <c r="BM385" s="43" t="str">
        <f>IF(VLOOKUP(BL385,βοηθητικό!$J$2:$N$354,3,FALSE)="","",VLOOKUP(BL385,βοηθητικό!$J$2:$N$354,3,FALSE))</f>
        <v>_</v>
      </c>
      <c r="BN385" s="44"/>
      <c r="BO385" s="45" t="s">
        <v>16</v>
      </c>
      <c r="BP385" s="46" t="str">
        <f>IF(VLOOKUP(BO385,βοηθητικό!$J$2:$N$354,3,FALSE)="","",VLOOKUP(BO385,βοηθητικό!$J$2:$N$354,3,FALSE))</f>
        <v>_</v>
      </c>
      <c r="BQ385" s="47"/>
      <c r="BR385" s="42" t="s">
        <v>16</v>
      </c>
      <c r="BS385" s="43" t="str">
        <f>IF(VLOOKUP(BR385,βοηθητικό!$J$2:$N$354,3,FALSE)="","",VLOOKUP(BR385,βοηθητικό!$J$2:$N$354,3,FALSE))</f>
        <v>_</v>
      </c>
      <c r="BT385" s="44"/>
      <c r="BU385" s="45" t="s">
        <v>16</v>
      </c>
      <c r="BV385" s="46" t="str">
        <f>IF(VLOOKUP(BU385,βοηθητικό!$J$2:$N$354,3,FALSE)="","",VLOOKUP(BU385,βοηθητικό!$J$2:$N$354,3,FALSE))</f>
        <v>_</v>
      </c>
      <c r="BW385" s="47"/>
      <c r="BX385" s="42" t="s">
        <v>16</v>
      </c>
      <c r="BY385" s="43" t="str">
        <f>IF(VLOOKUP(BX385,βοηθητικό!$J$2:$N$354,3,FALSE)="","",VLOOKUP(BX385,βοηθητικό!$J$2:$N$354,3,FALSE))</f>
        <v>_</v>
      </c>
      <c r="BZ385" s="44"/>
      <c r="CA385" s="45" t="s">
        <v>16</v>
      </c>
      <c r="CB385" s="46" t="str">
        <f>IF(VLOOKUP(CA385,βοηθητικό!$J$2:$N$354,3,FALSE)="","",VLOOKUP(CA385,βοηθητικό!$J$2:$N$354,3,FALSE))</f>
        <v>_</v>
      </c>
      <c r="CC385" s="47"/>
      <c r="CD385" s="42" t="s">
        <v>16</v>
      </c>
      <c r="CE385" s="43" t="str">
        <f>IF(VLOOKUP(CD385,βοηθητικό!$J$2:$N$354,3,FALSE)="","",VLOOKUP(CD385,βοηθητικό!$J$2:$N$354,3,FALSE))</f>
        <v>_</v>
      </c>
      <c r="CF385" s="44"/>
      <c r="CG385" s="45" t="s">
        <v>16</v>
      </c>
      <c r="CH385" s="46" t="str">
        <f>IF(VLOOKUP(CG385,βοηθητικό!$J$2:$N$354,3,FALSE)="","",VLOOKUP(CG385,βοηθητικό!$J$2:$N$354,3,FALSE))</f>
        <v>_</v>
      </c>
      <c r="CI385" s="47"/>
      <c r="CJ385" s="42" t="s">
        <v>16</v>
      </c>
      <c r="CK385" s="43" t="str">
        <f>IF(VLOOKUP(CJ385,βοηθητικό!$J$2:$N$354,3,FALSE)="","",VLOOKUP(CJ385,βοηθητικό!$J$2:$N$354,3,FALSE))</f>
        <v>_</v>
      </c>
      <c r="CL385" s="44"/>
      <c r="CM385" s="45" t="s">
        <v>16</v>
      </c>
      <c r="CN385" s="46" t="str">
        <f>IF(VLOOKUP(CM385,βοηθητικό!$J$2:$N$354,3,FALSE)="","",VLOOKUP(CM385,βοηθητικό!$J$2:$N$354,3,FALSE))</f>
        <v>_</v>
      </c>
      <c r="CO385" s="47"/>
      <c r="CP385" s="42" t="s">
        <v>16</v>
      </c>
      <c r="CQ385" s="43" t="str">
        <f>IF(VLOOKUP(CP385,βοηθητικό!$J$2:$N$354,3,FALSE)="","",VLOOKUP(CP385,βοηθητικό!$J$2:$N$354,3,FALSE))</f>
        <v>_</v>
      </c>
      <c r="CR385" s="44"/>
      <c r="CS385" s="45" t="s">
        <v>16</v>
      </c>
      <c r="CT385" s="46" t="str">
        <f>IF(VLOOKUP(CS385,βοηθητικό!$J$2:$N$354,3,FALSE)="","",VLOOKUP(CS385,βοηθητικό!$J$2:$N$354,3,FALSE))</f>
        <v>_</v>
      </c>
      <c r="CU385" s="47"/>
    </row>
    <row r="386" spans="1:99" x14ac:dyDescent="0.25">
      <c r="A386" s="37">
        <f>--SUBTOTAL(3,$B$3:B385)</f>
        <v>198</v>
      </c>
      <c r="B386" s="2"/>
      <c r="C386" s="3"/>
      <c r="D386" s="55" t="s">
        <v>18</v>
      </c>
      <c r="E386" s="38" t="s">
        <v>16</v>
      </c>
      <c r="F386" s="38" t="s">
        <v>16</v>
      </c>
      <c r="G386" s="39" t="str">
        <f t="shared" si="17"/>
        <v>__</v>
      </c>
      <c r="H386" s="40" t="str">
        <f t="shared" si="18"/>
        <v>FALSE</v>
      </c>
      <c r="I386" s="41">
        <f t="shared" si="19"/>
        <v>0</v>
      </c>
      <c r="J386" s="4" t="s">
        <v>16</v>
      </c>
      <c r="K386" s="43" t="str">
        <f>IF(VLOOKUP(J386,βοηθητικό!$J$2:$N$354,3,FALSE)="","",VLOOKUP(J386,βοηθητικό!$J$2:$N$354,3,FALSE))</f>
        <v>_</v>
      </c>
      <c r="L386" s="44"/>
      <c r="M386" s="5" t="s">
        <v>16</v>
      </c>
      <c r="N386" s="46" t="str">
        <f>IF(VLOOKUP(M386,βοηθητικό!$J$2:$N$354,3,FALSE)="","",VLOOKUP(M386,βοηθητικό!$J$2:$N$354,3,FALSE))</f>
        <v>_</v>
      </c>
      <c r="O386" s="47"/>
      <c r="P386" s="4" t="s">
        <v>16</v>
      </c>
      <c r="Q386" s="43" t="str">
        <f>IF(VLOOKUP(P386,βοηθητικό!$J$2:$N$354,3,FALSE)="","",VLOOKUP(P386,βοηθητικό!$J$2:$N$354,3,FALSE))</f>
        <v>_</v>
      </c>
      <c r="R386" s="44"/>
      <c r="S386" s="5" t="s">
        <v>16</v>
      </c>
      <c r="T386" s="46" t="str">
        <f>IF(VLOOKUP(S386,βοηθητικό!$J$2:$N$354,3,FALSE)="","",VLOOKUP(S386,βοηθητικό!$J$2:$N$354,3,FALSE))</f>
        <v>_</v>
      </c>
      <c r="U386" s="47"/>
      <c r="V386" s="4" t="s">
        <v>16</v>
      </c>
      <c r="W386" s="43" t="str">
        <f>IF(VLOOKUP(V386,βοηθητικό!$J$2:$N$354,3,FALSE)="","",VLOOKUP(V386,βοηθητικό!$J$2:$N$354,3,FALSE))</f>
        <v>_</v>
      </c>
      <c r="X386" s="44"/>
      <c r="Y386" s="5" t="s">
        <v>16</v>
      </c>
      <c r="Z386" s="46" t="str">
        <f>IF(VLOOKUP(Y386,βοηθητικό!$J$2:$N$354,3,FALSE)="","",VLOOKUP(Y386,βοηθητικό!$J$2:$N$354,3,FALSE))</f>
        <v>_</v>
      </c>
      <c r="AA386" s="47"/>
      <c r="AB386" s="4" t="s">
        <v>16</v>
      </c>
      <c r="AC386" s="43" t="str">
        <f>IF(VLOOKUP(AB386,βοηθητικό!$J$2:$N$354,3,FALSE)="","",VLOOKUP(AB386,βοηθητικό!$J$2:$N$354,3,FALSE))</f>
        <v>_</v>
      </c>
      <c r="AD386" s="44"/>
      <c r="AE386" s="5" t="s">
        <v>16</v>
      </c>
      <c r="AF386" s="46" t="str">
        <f>IF(VLOOKUP(AE386,βοηθητικό!$J$2:$N$354,3,FALSE)="","",VLOOKUP(AE386,βοηθητικό!$J$2:$N$354,3,FALSE))</f>
        <v>_</v>
      </c>
      <c r="AG386" s="47"/>
      <c r="AH386" s="4" t="s">
        <v>16</v>
      </c>
      <c r="AI386" s="43" t="str">
        <f>IF(VLOOKUP(AH386,βοηθητικό!$J$2:$N$354,3,FALSE)="","",VLOOKUP(AH386,βοηθητικό!$J$2:$N$354,3,FALSE))</f>
        <v>_</v>
      </c>
      <c r="AJ386" s="44"/>
      <c r="AK386" s="5" t="s">
        <v>16</v>
      </c>
      <c r="AL386" s="46" t="str">
        <f>IF(VLOOKUP(AK386,βοηθητικό!$J$2:$N$354,3,FALSE)="","",VLOOKUP(AK386,βοηθητικό!$J$2:$N$354,3,FALSE))</f>
        <v>_</v>
      </c>
      <c r="AM386" s="47"/>
      <c r="AN386" s="4" t="s">
        <v>16</v>
      </c>
      <c r="AO386" s="43" t="str">
        <f>IF(VLOOKUP(AN386,βοηθητικό!$J$2:$N$354,3,FALSE)="","",VLOOKUP(AN386,βοηθητικό!$J$2:$N$354,3,FALSE))</f>
        <v>_</v>
      </c>
      <c r="AP386" s="44"/>
      <c r="AQ386" s="5" t="s">
        <v>16</v>
      </c>
      <c r="AR386" s="46" t="str">
        <f>IF(VLOOKUP(AQ386,βοηθητικό!$J$2:$N$354,3,FALSE)="","",VLOOKUP(AQ386,βοηθητικό!$J$2:$N$354,3,FALSE))</f>
        <v>_</v>
      </c>
      <c r="AS386" s="47"/>
      <c r="AT386" s="4" t="s">
        <v>16</v>
      </c>
      <c r="AU386" s="43" t="str">
        <f>IF(VLOOKUP(AT386,βοηθητικό!$J$2:$N$354,3,FALSE)="","",VLOOKUP(AT386,βοηθητικό!$J$2:$N$354,3,FALSE))</f>
        <v>_</v>
      </c>
      <c r="AV386" s="44"/>
      <c r="AW386" s="5" t="s">
        <v>16</v>
      </c>
      <c r="AX386" s="46" t="str">
        <f>IF(VLOOKUP(AW386,βοηθητικό!$J$2:$N$354,3,FALSE)="","",VLOOKUP(AW386,βοηθητικό!$J$2:$N$354,3,FALSE))</f>
        <v>_</v>
      </c>
      <c r="AY386" s="47"/>
      <c r="AZ386" s="4" t="s">
        <v>16</v>
      </c>
      <c r="BA386" s="43" t="str">
        <f>IF(VLOOKUP(AZ386,βοηθητικό!$J$2:$N$354,3,FALSE)="","",VLOOKUP(AZ386,βοηθητικό!$J$2:$N$354,3,FALSE))</f>
        <v>_</v>
      </c>
      <c r="BB386" s="44"/>
      <c r="BC386" s="45" t="s">
        <v>16</v>
      </c>
      <c r="BD386" s="46" t="str">
        <f>IF(VLOOKUP(BC386,βοηθητικό!$J$2:$N$354,3,FALSE)="","",VLOOKUP(BC386,βοηθητικό!$J$2:$N$354,3,FALSE))</f>
        <v>_</v>
      </c>
      <c r="BE386" s="47"/>
      <c r="BF386" s="42" t="s">
        <v>16</v>
      </c>
      <c r="BG386" s="43" t="str">
        <f>IF(VLOOKUP(BF386,βοηθητικό!$J$2:$N$354,3,FALSE)="","",VLOOKUP(BF386,βοηθητικό!$J$2:$N$354,3,FALSE))</f>
        <v>_</v>
      </c>
      <c r="BH386" s="44"/>
      <c r="BI386" s="45" t="s">
        <v>16</v>
      </c>
      <c r="BJ386" s="46" t="str">
        <f>IF(VLOOKUP(BI386,βοηθητικό!$J$2:$N$354,3,FALSE)="","",VLOOKUP(BI386,βοηθητικό!$J$2:$N$354,3,FALSE))</f>
        <v>_</v>
      </c>
      <c r="BK386" s="47"/>
      <c r="BL386" s="42" t="s">
        <v>16</v>
      </c>
      <c r="BM386" s="43" t="str">
        <f>IF(VLOOKUP(BL386,βοηθητικό!$J$2:$N$354,3,FALSE)="","",VLOOKUP(BL386,βοηθητικό!$J$2:$N$354,3,FALSE))</f>
        <v>_</v>
      </c>
      <c r="BN386" s="44"/>
      <c r="BO386" s="45" t="s">
        <v>16</v>
      </c>
      <c r="BP386" s="46" t="str">
        <f>IF(VLOOKUP(BO386,βοηθητικό!$J$2:$N$354,3,FALSE)="","",VLOOKUP(BO386,βοηθητικό!$J$2:$N$354,3,FALSE))</f>
        <v>_</v>
      </c>
      <c r="BQ386" s="47"/>
      <c r="BR386" s="42" t="s">
        <v>16</v>
      </c>
      <c r="BS386" s="43" t="str">
        <f>IF(VLOOKUP(BR386,βοηθητικό!$J$2:$N$354,3,FALSE)="","",VLOOKUP(BR386,βοηθητικό!$J$2:$N$354,3,FALSE))</f>
        <v>_</v>
      </c>
      <c r="BT386" s="44"/>
      <c r="BU386" s="45" t="s">
        <v>16</v>
      </c>
      <c r="BV386" s="46" t="str">
        <f>IF(VLOOKUP(BU386,βοηθητικό!$J$2:$N$354,3,FALSE)="","",VLOOKUP(BU386,βοηθητικό!$J$2:$N$354,3,FALSE))</f>
        <v>_</v>
      </c>
      <c r="BW386" s="47"/>
      <c r="BX386" s="42" t="s">
        <v>16</v>
      </c>
      <c r="BY386" s="43" t="str">
        <f>IF(VLOOKUP(BX386,βοηθητικό!$J$2:$N$354,3,FALSE)="","",VLOOKUP(BX386,βοηθητικό!$J$2:$N$354,3,FALSE))</f>
        <v>_</v>
      </c>
      <c r="BZ386" s="44"/>
      <c r="CA386" s="45" t="s">
        <v>16</v>
      </c>
      <c r="CB386" s="46" t="str">
        <f>IF(VLOOKUP(CA386,βοηθητικό!$J$2:$N$354,3,FALSE)="","",VLOOKUP(CA386,βοηθητικό!$J$2:$N$354,3,FALSE))</f>
        <v>_</v>
      </c>
      <c r="CC386" s="47"/>
      <c r="CD386" s="42" t="s">
        <v>16</v>
      </c>
      <c r="CE386" s="43" t="str">
        <f>IF(VLOOKUP(CD386,βοηθητικό!$J$2:$N$354,3,FALSE)="","",VLOOKUP(CD386,βοηθητικό!$J$2:$N$354,3,FALSE))</f>
        <v>_</v>
      </c>
      <c r="CF386" s="44"/>
      <c r="CG386" s="45" t="s">
        <v>16</v>
      </c>
      <c r="CH386" s="46" t="str">
        <f>IF(VLOOKUP(CG386,βοηθητικό!$J$2:$N$354,3,FALSE)="","",VLOOKUP(CG386,βοηθητικό!$J$2:$N$354,3,FALSE))</f>
        <v>_</v>
      </c>
      <c r="CI386" s="47"/>
      <c r="CJ386" s="42" t="s">
        <v>16</v>
      </c>
      <c r="CK386" s="43" t="str">
        <f>IF(VLOOKUP(CJ386,βοηθητικό!$J$2:$N$354,3,FALSE)="","",VLOOKUP(CJ386,βοηθητικό!$J$2:$N$354,3,FALSE))</f>
        <v>_</v>
      </c>
      <c r="CL386" s="44"/>
      <c r="CM386" s="45" t="s">
        <v>16</v>
      </c>
      <c r="CN386" s="46" t="str">
        <f>IF(VLOOKUP(CM386,βοηθητικό!$J$2:$N$354,3,FALSE)="","",VLOOKUP(CM386,βοηθητικό!$J$2:$N$354,3,FALSE))</f>
        <v>_</v>
      </c>
      <c r="CO386" s="47"/>
      <c r="CP386" s="42" t="s">
        <v>16</v>
      </c>
      <c r="CQ386" s="43" t="str">
        <f>IF(VLOOKUP(CP386,βοηθητικό!$J$2:$N$354,3,FALSE)="","",VLOOKUP(CP386,βοηθητικό!$J$2:$N$354,3,FALSE))</f>
        <v>_</v>
      </c>
      <c r="CR386" s="44"/>
      <c r="CS386" s="45" t="s">
        <v>16</v>
      </c>
      <c r="CT386" s="46" t="str">
        <f>IF(VLOOKUP(CS386,βοηθητικό!$J$2:$N$354,3,FALSE)="","",VLOOKUP(CS386,βοηθητικό!$J$2:$N$354,3,FALSE))</f>
        <v>_</v>
      </c>
      <c r="CU386" s="47"/>
    </row>
    <row r="387" spans="1:99" x14ac:dyDescent="0.25">
      <c r="A387" s="37">
        <f>--SUBTOTAL(3,$B$3:B386)</f>
        <v>198</v>
      </c>
      <c r="B387" s="2"/>
      <c r="C387" s="3"/>
      <c r="D387" s="55" t="s">
        <v>18</v>
      </c>
      <c r="E387" s="38" t="s">
        <v>16</v>
      </c>
      <c r="F387" s="38" t="s">
        <v>16</v>
      </c>
      <c r="G387" s="39" t="str">
        <f t="shared" si="17"/>
        <v>__</v>
      </c>
      <c r="H387" s="40" t="str">
        <f t="shared" si="18"/>
        <v>FALSE</v>
      </c>
      <c r="I387" s="41">
        <f t="shared" si="19"/>
        <v>0</v>
      </c>
      <c r="J387" s="4" t="s">
        <v>16</v>
      </c>
      <c r="K387" s="43" t="str">
        <f>IF(VLOOKUP(J387,βοηθητικό!$J$2:$N$354,3,FALSE)="","",VLOOKUP(J387,βοηθητικό!$J$2:$N$354,3,FALSE))</f>
        <v>_</v>
      </c>
      <c r="L387" s="44"/>
      <c r="M387" s="5" t="s">
        <v>16</v>
      </c>
      <c r="N387" s="46" t="str">
        <f>IF(VLOOKUP(M387,βοηθητικό!$J$2:$N$354,3,FALSE)="","",VLOOKUP(M387,βοηθητικό!$J$2:$N$354,3,FALSE))</f>
        <v>_</v>
      </c>
      <c r="O387" s="47"/>
      <c r="P387" s="4" t="s">
        <v>16</v>
      </c>
      <c r="Q387" s="43" t="str">
        <f>IF(VLOOKUP(P387,βοηθητικό!$J$2:$N$354,3,FALSE)="","",VLOOKUP(P387,βοηθητικό!$J$2:$N$354,3,FALSE))</f>
        <v>_</v>
      </c>
      <c r="R387" s="44"/>
      <c r="S387" s="5" t="s">
        <v>16</v>
      </c>
      <c r="T387" s="46" t="str">
        <f>IF(VLOOKUP(S387,βοηθητικό!$J$2:$N$354,3,FALSE)="","",VLOOKUP(S387,βοηθητικό!$J$2:$N$354,3,FALSE))</f>
        <v>_</v>
      </c>
      <c r="U387" s="47"/>
      <c r="V387" s="4" t="s">
        <v>16</v>
      </c>
      <c r="W387" s="43" t="str">
        <f>IF(VLOOKUP(V387,βοηθητικό!$J$2:$N$354,3,FALSE)="","",VLOOKUP(V387,βοηθητικό!$J$2:$N$354,3,FALSE))</f>
        <v>_</v>
      </c>
      <c r="X387" s="44"/>
      <c r="Y387" s="5" t="s">
        <v>16</v>
      </c>
      <c r="Z387" s="46" t="str">
        <f>IF(VLOOKUP(Y387,βοηθητικό!$J$2:$N$354,3,FALSE)="","",VLOOKUP(Y387,βοηθητικό!$J$2:$N$354,3,FALSE))</f>
        <v>_</v>
      </c>
      <c r="AA387" s="47"/>
      <c r="AB387" s="4" t="s">
        <v>16</v>
      </c>
      <c r="AC387" s="43" t="str">
        <f>IF(VLOOKUP(AB387,βοηθητικό!$J$2:$N$354,3,FALSE)="","",VLOOKUP(AB387,βοηθητικό!$J$2:$N$354,3,FALSE))</f>
        <v>_</v>
      </c>
      <c r="AD387" s="44"/>
      <c r="AE387" s="5" t="s">
        <v>16</v>
      </c>
      <c r="AF387" s="46" t="str">
        <f>IF(VLOOKUP(AE387,βοηθητικό!$J$2:$N$354,3,FALSE)="","",VLOOKUP(AE387,βοηθητικό!$J$2:$N$354,3,FALSE))</f>
        <v>_</v>
      </c>
      <c r="AG387" s="47"/>
      <c r="AH387" s="4" t="s">
        <v>16</v>
      </c>
      <c r="AI387" s="43" t="str">
        <f>IF(VLOOKUP(AH387,βοηθητικό!$J$2:$N$354,3,FALSE)="","",VLOOKUP(AH387,βοηθητικό!$J$2:$N$354,3,FALSE))</f>
        <v>_</v>
      </c>
      <c r="AJ387" s="44"/>
      <c r="AK387" s="5" t="s">
        <v>16</v>
      </c>
      <c r="AL387" s="46" t="str">
        <f>IF(VLOOKUP(AK387,βοηθητικό!$J$2:$N$354,3,FALSE)="","",VLOOKUP(AK387,βοηθητικό!$J$2:$N$354,3,FALSE))</f>
        <v>_</v>
      </c>
      <c r="AM387" s="47"/>
      <c r="AN387" s="4" t="s">
        <v>16</v>
      </c>
      <c r="AO387" s="43" t="str">
        <f>IF(VLOOKUP(AN387,βοηθητικό!$J$2:$N$354,3,FALSE)="","",VLOOKUP(AN387,βοηθητικό!$J$2:$N$354,3,FALSE))</f>
        <v>_</v>
      </c>
      <c r="AP387" s="44"/>
      <c r="AQ387" s="5" t="s">
        <v>16</v>
      </c>
      <c r="AR387" s="46" t="str">
        <f>IF(VLOOKUP(AQ387,βοηθητικό!$J$2:$N$354,3,FALSE)="","",VLOOKUP(AQ387,βοηθητικό!$J$2:$N$354,3,FALSE))</f>
        <v>_</v>
      </c>
      <c r="AS387" s="47"/>
      <c r="AT387" s="4" t="s">
        <v>16</v>
      </c>
      <c r="AU387" s="43" t="str">
        <f>IF(VLOOKUP(AT387,βοηθητικό!$J$2:$N$354,3,FALSE)="","",VLOOKUP(AT387,βοηθητικό!$J$2:$N$354,3,FALSE))</f>
        <v>_</v>
      </c>
      <c r="AV387" s="44"/>
      <c r="AW387" s="5" t="s">
        <v>16</v>
      </c>
      <c r="AX387" s="46" t="str">
        <f>IF(VLOOKUP(AW387,βοηθητικό!$J$2:$N$354,3,FALSE)="","",VLOOKUP(AW387,βοηθητικό!$J$2:$N$354,3,FALSE))</f>
        <v>_</v>
      </c>
      <c r="AY387" s="47"/>
      <c r="AZ387" s="4" t="s">
        <v>16</v>
      </c>
      <c r="BA387" s="43" t="str">
        <f>IF(VLOOKUP(AZ387,βοηθητικό!$J$2:$N$354,3,FALSE)="","",VLOOKUP(AZ387,βοηθητικό!$J$2:$N$354,3,FALSE))</f>
        <v>_</v>
      </c>
      <c r="BB387" s="44"/>
      <c r="BC387" s="45" t="s">
        <v>16</v>
      </c>
      <c r="BD387" s="46" t="str">
        <f>IF(VLOOKUP(BC387,βοηθητικό!$J$2:$N$354,3,FALSE)="","",VLOOKUP(BC387,βοηθητικό!$J$2:$N$354,3,FALSE))</f>
        <v>_</v>
      </c>
      <c r="BE387" s="47"/>
      <c r="BF387" s="42" t="s">
        <v>16</v>
      </c>
      <c r="BG387" s="43" t="str">
        <f>IF(VLOOKUP(BF387,βοηθητικό!$J$2:$N$354,3,FALSE)="","",VLOOKUP(BF387,βοηθητικό!$J$2:$N$354,3,FALSE))</f>
        <v>_</v>
      </c>
      <c r="BH387" s="44"/>
      <c r="BI387" s="45" t="s">
        <v>16</v>
      </c>
      <c r="BJ387" s="46" t="str">
        <f>IF(VLOOKUP(BI387,βοηθητικό!$J$2:$N$354,3,FALSE)="","",VLOOKUP(BI387,βοηθητικό!$J$2:$N$354,3,FALSE))</f>
        <v>_</v>
      </c>
      <c r="BK387" s="47"/>
      <c r="BL387" s="42" t="s">
        <v>16</v>
      </c>
      <c r="BM387" s="43" t="str">
        <f>IF(VLOOKUP(BL387,βοηθητικό!$J$2:$N$354,3,FALSE)="","",VLOOKUP(BL387,βοηθητικό!$J$2:$N$354,3,FALSE))</f>
        <v>_</v>
      </c>
      <c r="BN387" s="44"/>
      <c r="BO387" s="45" t="s">
        <v>16</v>
      </c>
      <c r="BP387" s="46" t="str">
        <f>IF(VLOOKUP(BO387,βοηθητικό!$J$2:$N$354,3,FALSE)="","",VLOOKUP(BO387,βοηθητικό!$J$2:$N$354,3,FALSE))</f>
        <v>_</v>
      </c>
      <c r="BQ387" s="47"/>
      <c r="BR387" s="42" t="s">
        <v>16</v>
      </c>
      <c r="BS387" s="43" t="str">
        <f>IF(VLOOKUP(BR387,βοηθητικό!$J$2:$N$354,3,FALSE)="","",VLOOKUP(BR387,βοηθητικό!$J$2:$N$354,3,FALSE))</f>
        <v>_</v>
      </c>
      <c r="BT387" s="44"/>
      <c r="BU387" s="45" t="s">
        <v>16</v>
      </c>
      <c r="BV387" s="46" t="str">
        <f>IF(VLOOKUP(BU387,βοηθητικό!$J$2:$N$354,3,FALSE)="","",VLOOKUP(BU387,βοηθητικό!$J$2:$N$354,3,FALSE))</f>
        <v>_</v>
      </c>
      <c r="BW387" s="47"/>
      <c r="BX387" s="42" t="s">
        <v>16</v>
      </c>
      <c r="BY387" s="43" t="str">
        <f>IF(VLOOKUP(BX387,βοηθητικό!$J$2:$N$354,3,FALSE)="","",VLOOKUP(BX387,βοηθητικό!$J$2:$N$354,3,FALSE))</f>
        <v>_</v>
      </c>
      <c r="BZ387" s="44"/>
      <c r="CA387" s="45" t="s">
        <v>16</v>
      </c>
      <c r="CB387" s="46" t="str">
        <f>IF(VLOOKUP(CA387,βοηθητικό!$J$2:$N$354,3,FALSE)="","",VLOOKUP(CA387,βοηθητικό!$J$2:$N$354,3,FALSE))</f>
        <v>_</v>
      </c>
      <c r="CC387" s="47"/>
      <c r="CD387" s="42" t="s">
        <v>16</v>
      </c>
      <c r="CE387" s="43" t="str">
        <f>IF(VLOOKUP(CD387,βοηθητικό!$J$2:$N$354,3,FALSE)="","",VLOOKUP(CD387,βοηθητικό!$J$2:$N$354,3,FALSE))</f>
        <v>_</v>
      </c>
      <c r="CF387" s="44"/>
      <c r="CG387" s="45" t="s">
        <v>16</v>
      </c>
      <c r="CH387" s="46" t="str">
        <f>IF(VLOOKUP(CG387,βοηθητικό!$J$2:$N$354,3,FALSE)="","",VLOOKUP(CG387,βοηθητικό!$J$2:$N$354,3,FALSE))</f>
        <v>_</v>
      </c>
      <c r="CI387" s="47"/>
      <c r="CJ387" s="42" t="s">
        <v>16</v>
      </c>
      <c r="CK387" s="43" t="str">
        <f>IF(VLOOKUP(CJ387,βοηθητικό!$J$2:$N$354,3,FALSE)="","",VLOOKUP(CJ387,βοηθητικό!$J$2:$N$354,3,FALSE))</f>
        <v>_</v>
      </c>
      <c r="CL387" s="44"/>
      <c r="CM387" s="45" t="s">
        <v>16</v>
      </c>
      <c r="CN387" s="46" t="str">
        <f>IF(VLOOKUP(CM387,βοηθητικό!$J$2:$N$354,3,FALSE)="","",VLOOKUP(CM387,βοηθητικό!$J$2:$N$354,3,FALSE))</f>
        <v>_</v>
      </c>
      <c r="CO387" s="47"/>
      <c r="CP387" s="42" t="s">
        <v>16</v>
      </c>
      <c r="CQ387" s="43" t="str">
        <f>IF(VLOOKUP(CP387,βοηθητικό!$J$2:$N$354,3,FALSE)="","",VLOOKUP(CP387,βοηθητικό!$J$2:$N$354,3,FALSE))</f>
        <v>_</v>
      </c>
      <c r="CR387" s="44"/>
      <c r="CS387" s="45" t="s">
        <v>16</v>
      </c>
      <c r="CT387" s="46" t="str">
        <f>IF(VLOOKUP(CS387,βοηθητικό!$J$2:$N$354,3,FALSE)="","",VLOOKUP(CS387,βοηθητικό!$J$2:$N$354,3,FALSE))</f>
        <v>_</v>
      </c>
      <c r="CU387" s="47"/>
    </row>
    <row r="388" spans="1:99" x14ac:dyDescent="0.25">
      <c r="A388" s="37">
        <f>--SUBTOTAL(3,$B$3:B387)</f>
        <v>198</v>
      </c>
      <c r="B388" s="2"/>
      <c r="C388" s="3"/>
      <c r="D388" s="55" t="s">
        <v>18</v>
      </c>
      <c r="E388" s="38" t="s">
        <v>16</v>
      </c>
      <c r="F388" s="38" t="s">
        <v>16</v>
      </c>
      <c r="G388" s="39" t="str">
        <f t="shared" ref="G388:G451" si="20">IF(OR(C388="_",E388="_"),"__",CONCATENATE(C388,E388))</f>
        <v>__</v>
      </c>
      <c r="H388" s="40" t="str">
        <f t="shared" ref="H388:H451" si="21">IF(G388="__","FALSE",COUNTIF(G:G,G388)&gt;1)</f>
        <v>FALSE</v>
      </c>
      <c r="I388" s="41">
        <f t="shared" ref="I388:I451" si="22">SUMPRODUCT((J388:CU388&lt;&gt;"_")*(MOD(COLUMN(J388:CU388)-COLUMN(J388),3)=0))</f>
        <v>0</v>
      </c>
      <c r="J388" s="4" t="s">
        <v>16</v>
      </c>
      <c r="K388" s="43" t="str">
        <f>IF(VLOOKUP(J388,βοηθητικό!$J$2:$N$354,3,FALSE)="","",VLOOKUP(J388,βοηθητικό!$J$2:$N$354,3,FALSE))</f>
        <v>_</v>
      </c>
      <c r="L388" s="44"/>
      <c r="M388" s="5" t="s">
        <v>16</v>
      </c>
      <c r="N388" s="46" t="str">
        <f>IF(VLOOKUP(M388,βοηθητικό!$J$2:$N$354,3,FALSE)="","",VLOOKUP(M388,βοηθητικό!$J$2:$N$354,3,FALSE))</f>
        <v>_</v>
      </c>
      <c r="O388" s="47"/>
      <c r="P388" s="4" t="s">
        <v>16</v>
      </c>
      <c r="Q388" s="43" t="str">
        <f>IF(VLOOKUP(P388,βοηθητικό!$J$2:$N$354,3,FALSE)="","",VLOOKUP(P388,βοηθητικό!$J$2:$N$354,3,FALSE))</f>
        <v>_</v>
      </c>
      <c r="R388" s="44"/>
      <c r="S388" s="5" t="s">
        <v>16</v>
      </c>
      <c r="T388" s="46" t="str">
        <f>IF(VLOOKUP(S388,βοηθητικό!$J$2:$N$354,3,FALSE)="","",VLOOKUP(S388,βοηθητικό!$J$2:$N$354,3,FALSE))</f>
        <v>_</v>
      </c>
      <c r="U388" s="47"/>
      <c r="V388" s="4" t="s">
        <v>16</v>
      </c>
      <c r="W388" s="43" t="str">
        <f>IF(VLOOKUP(V388,βοηθητικό!$J$2:$N$354,3,FALSE)="","",VLOOKUP(V388,βοηθητικό!$J$2:$N$354,3,FALSE))</f>
        <v>_</v>
      </c>
      <c r="X388" s="44"/>
      <c r="Y388" s="5" t="s">
        <v>16</v>
      </c>
      <c r="Z388" s="46" t="str">
        <f>IF(VLOOKUP(Y388,βοηθητικό!$J$2:$N$354,3,FALSE)="","",VLOOKUP(Y388,βοηθητικό!$J$2:$N$354,3,FALSE))</f>
        <v>_</v>
      </c>
      <c r="AA388" s="47"/>
      <c r="AB388" s="4" t="s">
        <v>16</v>
      </c>
      <c r="AC388" s="43" t="str">
        <f>IF(VLOOKUP(AB388,βοηθητικό!$J$2:$N$354,3,FALSE)="","",VLOOKUP(AB388,βοηθητικό!$J$2:$N$354,3,FALSE))</f>
        <v>_</v>
      </c>
      <c r="AD388" s="44"/>
      <c r="AE388" s="5" t="s">
        <v>16</v>
      </c>
      <c r="AF388" s="46" t="str">
        <f>IF(VLOOKUP(AE388,βοηθητικό!$J$2:$N$354,3,FALSE)="","",VLOOKUP(AE388,βοηθητικό!$J$2:$N$354,3,FALSE))</f>
        <v>_</v>
      </c>
      <c r="AG388" s="47"/>
      <c r="AH388" s="4" t="s">
        <v>16</v>
      </c>
      <c r="AI388" s="43" t="str">
        <f>IF(VLOOKUP(AH388,βοηθητικό!$J$2:$N$354,3,FALSE)="","",VLOOKUP(AH388,βοηθητικό!$J$2:$N$354,3,FALSE))</f>
        <v>_</v>
      </c>
      <c r="AJ388" s="44"/>
      <c r="AK388" s="5" t="s">
        <v>16</v>
      </c>
      <c r="AL388" s="46" t="str">
        <f>IF(VLOOKUP(AK388,βοηθητικό!$J$2:$N$354,3,FALSE)="","",VLOOKUP(AK388,βοηθητικό!$J$2:$N$354,3,FALSE))</f>
        <v>_</v>
      </c>
      <c r="AM388" s="47"/>
      <c r="AN388" s="4" t="s">
        <v>16</v>
      </c>
      <c r="AO388" s="43" t="str">
        <f>IF(VLOOKUP(AN388,βοηθητικό!$J$2:$N$354,3,FALSE)="","",VLOOKUP(AN388,βοηθητικό!$J$2:$N$354,3,FALSE))</f>
        <v>_</v>
      </c>
      <c r="AP388" s="44"/>
      <c r="AQ388" s="5" t="s">
        <v>16</v>
      </c>
      <c r="AR388" s="46" t="str">
        <f>IF(VLOOKUP(AQ388,βοηθητικό!$J$2:$N$354,3,FALSE)="","",VLOOKUP(AQ388,βοηθητικό!$J$2:$N$354,3,FALSE))</f>
        <v>_</v>
      </c>
      <c r="AS388" s="47"/>
      <c r="AT388" s="4" t="s">
        <v>16</v>
      </c>
      <c r="AU388" s="43" t="str">
        <f>IF(VLOOKUP(AT388,βοηθητικό!$J$2:$N$354,3,FALSE)="","",VLOOKUP(AT388,βοηθητικό!$J$2:$N$354,3,FALSE))</f>
        <v>_</v>
      </c>
      <c r="AV388" s="44"/>
      <c r="AW388" s="5" t="s">
        <v>16</v>
      </c>
      <c r="AX388" s="46" t="str">
        <f>IF(VLOOKUP(AW388,βοηθητικό!$J$2:$N$354,3,FALSE)="","",VLOOKUP(AW388,βοηθητικό!$J$2:$N$354,3,FALSE))</f>
        <v>_</v>
      </c>
      <c r="AY388" s="47"/>
      <c r="AZ388" s="4" t="s">
        <v>16</v>
      </c>
      <c r="BA388" s="43" t="str">
        <f>IF(VLOOKUP(AZ388,βοηθητικό!$J$2:$N$354,3,FALSE)="","",VLOOKUP(AZ388,βοηθητικό!$J$2:$N$354,3,FALSE))</f>
        <v>_</v>
      </c>
      <c r="BB388" s="44"/>
      <c r="BC388" s="45" t="s">
        <v>16</v>
      </c>
      <c r="BD388" s="46" t="str">
        <f>IF(VLOOKUP(BC388,βοηθητικό!$J$2:$N$354,3,FALSE)="","",VLOOKUP(BC388,βοηθητικό!$J$2:$N$354,3,FALSE))</f>
        <v>_</v>
      </c>
      <c r="BE388" s="47"/>
      <c r="BF388" s="42" t="s">
        <v>16</v>
      </c>
      <c r="BG388" s="43" t="str">
        <f>IF(VLOOKUP(BF388,βοηθητικό!$J$2:$N$354,3,FALSE)="","",VLOOKUP(BF388,βοηθητικό!$J$2:$N$354,3,FALSE))</f>
        <v>_</v>
      </c>
      <c r="BH388" s="44"/>
      <c r="BI388" s="45" t="s">
        <v>16</v>
      </c>
      <c r="BJ388" s="46" t="str">
        <f>IF(VLOOKUP(BI388,βοηθητικό!$J$2:$N$354,3,FALSE)="","",VLOOKUP(BI388,βοηθητικό!$J$2:$N$354,3,FALSE))</f>
        <v>_</v>
      </c>
      <c r="BK388" s="47"/>
      <c r="BL388" s="42" t="s">
        <v>16</v>
      </c>
      <c r="BM388" s="43" t="str">
        <f>IF(VLOOKUP(BL388,βοηθητικό!$J$2:$N$354,3,FALSE)="","",VLOOKUP(BL388,βοηθητικό!$J$2:$N$354,3,FALSE))</f>
        <v>_</v>
      </c>
      <c r="BN388" s="44"/>
      <c r="BO388" s="45" t="s">
        <v>16</v>
      </c>
      <c r="BP388" s="46" t="str">
        <f>IF(VLOOKUP(BO388,βοηθητικό!$J$2:$N$354,3,FALSE)="","",VLOOKUP(BO388,βοηθητικό!$J$2:$N$354,3,FALSE))</f>
        <v>_</v>
      </c>
      <c r="BQ388" s="47"/>
      <c r="BR388" s="42" t="s">
        <v>16</v>
      </c>
      <c r="BS388" s="43" t="str">
        <f>IF(VLOOKUP(BR388,βοηθητικό!$J$2:$N$354,3,FALSE)="","",VLOOKUP(BR388,βοηθητικό!$J$2:$N$354,3,FALSE))</f>
        <v>_</v>
      </c>
      <c r="BT388" s="44"/>
      <c r="BU388" s="45" t="s">
        <v>16</v>
      </c>
      <c r="BV388" s="46" t="str">
        <f>IF(VLOOKUP(BU388,βοηθητικό!$J$2:$N$354,3,FALSE)="","",VLOOKUP(BU388,βοηθητικό!$J$2:$N$354,3,FALSE))</f>
        <v>_</v>
      </c>
      <c r="BW388" s="47"/>
      <c r="BX388" s="42" t="s">
        <v>16</v>
      </c>
      <c r="BY388" s="43" t="str">
        <f>IF(VLOOKUP(BX388,βοηθητικό!$J$2:$N$354,3,FALSE)="","",VLOOKUP(BX388,βοηθητικό!$J$2:$N$354,3,FALSE))</f>
        <v>_</v>
      </c>
      <c r="BZ388" s="44"/>
      <c r="CA388" s="45" t="s">
        <v>16</v>
      </c>
      <c r="CB388" s="46" t="str">
        <f>IF(VLOOKUP(CA388,βοηθητικό!$J$2:$N$354,3,FALSE)="","",VLOOKUP(CA388,βοηθητικό!$J$2:$N$354,3,FALSE))</f>
        <v>_</v>
      </c>
      <c r="CC388" s="47"/>
      <c r="CD388" s="42" t="s">
        <v>16</v>
      </c>
      <c r="CE388" s="43" t="str">
        <f>IF(VLOOKUP(CD388,βοηθητικό!$J$2:$N$354,3,FALSE)="","",VLOOKUP(CD388,βοηθητικό!$J$2:$N$354,3,FALSE))</f>
        <v>_</v>
      </c>
      <c r="CF388" s="44"/>
      <c r="CG388" s="45" t="s">
        <v>16</v>
      </c>
      <c r="CH388" s="46" t="str">
        <f>IF(VLOOKUP(CG388,βοηθητικό!$J$2:$N$354,3,FALSE)="","",VLOOKUP(CG388,βοηθητικό!$J$2:$N$354,3,FALSE))</f>
        <v>_</v>
      </c>
      <c r="CI388" s="47"/>
      <c r="CJ388" s="42" t="s">
        <v>16</v>
      </c>
      <c r="CK388" s="43" t="str">
        <f>IF(VLOOKUP(CJ388,βοηθητικό!$J$2:$N$354,3,FALSE)="","",VLOOKUP(CJ388,βοηθητικό!$J$2:$N$354,3,FALSE))</f>
        <v>_</v>
      </c>
      <c r="CL388" s="44"/>
      <c r="CM388" s="45" t="s">
        <v>16</v>
      </c>
      <c r="CN388" s="46" t="str">
        <f>IF(VLOOKUP(CM388,βοηθητικό!$J$2:$N$354,3,FALSE)="","",VLOOKUP(CM388,βοηθητικό!$J$2:$N$354,3,FALSE))</f>
        <v>_</v>
      </c>
      <c r="CO388" s="47"/>
      <c r="CP388" s="42" t="s">
        <v>16</v>
      </c>
      <c r="CQ388" s="43" t="str">
        <f>IF(VLOOKUP(CP388,βοηθητικό!$J$2:$N$354,3,FALSE)="","",VLOOKUP(CP388,βοηθητικό!$J$2:$N$354,3,FALSE))</f>
        <v>_</v>
      </c>
      <c r="CR388" s="44"/>
      <c r="CS388" s="45" t="s">
        <v>16</v>
      </c>
      <c r="CT388" s="46" t="str">
        <f>IF(VLOOKUP(CS388,βοηθητικό!$J$2:$N$354,3,FALSE)="","",VLOOKUP(CS388,βοηθητικό!$J$2:$N$354,3,FALSE))</f>
        <v>_</v>
      </c>
      <c r="CU388" s="47"/>
    </row>
    <row r="389" spans="1:99" x14ac:dyDescent="0.25">
      <c r="A389" s="37">
        <f>--SUBTOTAL(3,$B$3:B388)</f>
        <v>198</v>
      </c>
      <c r="B389" s="2"/>
      <c r="C389" s="3"/>
      <c r="D389" s="55" t="s">
        <v>18</v>
      </c>
      <c r="E389" s="38" t="s">
        <v>16</v>
      </c>
      <c r="F389" s="38" t="s">
        <v>16</v>
      </c>
      <c r="G389" s="39" t="str">
        <f t="shared" si="20"/>
        <v>__</v>
      </c>
      <c r="H389" s="40" t="str">
        <f t="shared" si="21"/>
        <v>FALSE</v>
      </c>
      <c r="I389" s="41">
        <f t="shared" si="22"/>
        <v>0</v>
      </c>
      <c r="J389" s="4" t="s">
        <v>16</v>
      </c>
      <c r="K389" s="43" t="str">
        <f>IF(VLOOKUP(J389,βοηθητικό!$J$2:$N$354,3,FALSE)="","",VLOOKUP(J389,βοηθητικό!$J$2:$N$354,3,FALSE))</f>
        <v>_</v>
      </c>
      <c r="L389" s="44"/>
      <c r="M389" s="5" t="s">
        <v>16</v>
      </c>
      <c r="N389" s="46" t="str">
        <f>IF(VLOOKUP(M389,βοηθητικό!$J$2:$N$354,3,FALSE)="","",VLOOKUP(M389,βοηθητικό!$J$2:$N$354,3,FALSE))</f>
        <v>_</v>
      </c>
      <c r="O389" s="47"/>
      <c r="P389" s="4" t="s">
        <v>16</v>
      </c>
      <c r="Q389" s="43" t="str">
        <f>IF(VLOOKUP(P389,βοηθητικό!$J$2:$N$354,3,FALSE)="","",VLOOKUP(P389,βοηθητικό!$J$2:$N$354,3,FALSE))</f>
        <v>_</v>
      </c>
      <c r="R389" s="44"/>
      <c r="S389" s="5" t="s">
        <v>16</v>
      </c>
      <c r="T389" s="46" t="str">
        <f>IF(VLOOKUP(S389,βοηθητικό!$J$2:$N$354,3,FALSE)="","",VLOOKUP(S389,βοηθητικό!$J$2:$N$354,3,FALSE))</f>
        <v>_</v>
      </c>
      <c r="U389" s="47"/>
      <c r="V389" s="4" t="s">
        <v>16</v>
      </c>
      <c r="W389" s="43" t="str">
        <f>IF(VLOOKUP(V389,βοηθητικό!$J$2:$N$354,3,FALSE)="","",VLOOKUP(V389,βοηθητικό!$J$2:$N$354,3,FALSE))</f>
        <v>_</v>
      </c>
      <c r="X389" s="44"/>
      <c r="Y389" s="5" t="s">
        <v>16</v>
      </c>
      <c r="Z389" s="46" t="str">
        <f>IF(VLOOKUP(Y389,βοηθητικό!$J$2:$N$354,3,FALSE)="","",VLOOKUP(Y389,βοηθητικό!$J$2:$N$354,3,FALSE))</f>
        <v>_</v>
      </c>
      <c r="AA389" s="47"/>
      <c r="AB389" s="4" t="s">
        <v>16</v>
      </c>
      <c r="AC389" s="43" t="str">
        <f>IF(VLOOKUP(AB389,βοηθητικό!$J$2:$N$354,3,FALSE)="","",VLOOKUP(AB389,βοηθητικό!$J$2:$N$354,3,FALSE))</f>
        <v>_</v>
      </c>
      <c r="AD389" s="44"/>
      <c r="AE389" s="5" t="s">
        <v>16</v>
      </c>
      <c r="AF389" s="46" t="str">
        <f>IF(VLOOKUP(AE389,βοηθητικό!$J$2:$N$354,3,FALSE)="","",VLOOKUP(AE389,βοηθητικό!$J$2:$N$354,3,FALSE))</f>
        <v>_</v>
      </c>
      <c r="AG389" s="47"/>
      <c r="AH389" s="4" t="s">
        <v>16</v>
      </c>
      <c r="AI389" s="43" t="str">
        <f>IF(VLOOKUP(AH389,βοηθητικό!$J$2:$N$354,3,FALSE)="","",VLOOKUP(AH389,βοηθητικό!$J$2:$N$354,3,FALSE))</f>
        <v>_</v>
      </c>
      <c r="AJ389" s="44"/>
      <c r="AK389" s="5" t="s">
        <v>16</v>
      </c>
      <c r="AL389" s="46" t="str">
        <f>IF(VLOOKUP(AK389,βοηθητικό!$J$2:$N$354,3,FALSE)="","",VLOOKUP(AK389,βοηθητικό!$J$2:$N$354,3,FALSE))</f>
        <v>_</v>
      </c>
      <c r="AM389" s="47"/>
      <c r="AN389" s="4" t="s">
        <v>16</v>
      </c>
      <c r="AO389" s="43" t="str">
        <f>IF(VLOOKUP(AN389,βοηθητικό!$J$2:$N$354,3,FALSE)="","",VLOOKUP(AN389,βοηθητικό!$J$2:$N$354,3,FALSE))</f>
        <v>_</v>
      </c>
      <c r="AP389" s="44"/>
      <c r="AQ389" s="5" t="s">
        <v>16</v>
      </c>
      <c r="AR389" s="46" t="str">
        <f>IF(VLOOKUP(AQ389,βοηθητικό!$J$2:$N$354,3,FALSE)="","",VLOOKUP(AQ389,βοηθητικό!$J$2:$N$354,3,FALSE))</f>
        <v>_</v>
      </c>
      <c r="AS389" s="47"/>
      <c r="AT389" s="4" t="s">
        <v>16</v>
      </c>
      <c r="AU389" s="43" t="str">
        <f>IF(VLOOKUP(AT389,βοηθητικό!$J$2:$N$354,3,FALSE)="","",VLOOKUP(AT389,βοηθητικό!$J$2:$N$354,3,FALSE))</f>
        <v>_</v>
      </c>
      <c r="AV389" s="44"/>
      <c r="AW389" s="5" t="s">
        <v>16</v>
      </c>
      <c r="AX389" s="46" t="str">
        <f>IF(VLOOKUP(AW389,βοηθητικό!$J$2:$N$354,3,FALSE)="","",VLOOKUP(AW389,βοηθητικό!$J$2:$N$354,3,FALSE))</f>
        <v>_</v>
      </c>
      <c r="AY389" s="47"/>
      <c r="AZ389" s="4" t="s">
        <v>16</v>
      </c>
      <c r="BA389" s="43" t="str">
        <f>IF(VLOOKUP(AZ389,βοηθητικό!$J$2:$N$354,3,FALSE)="","",VLOOKUP(AZ389,βοηθητικό!$J$2:$N$354,3,FALSE))</f>
        <v>_</v>
      </c>
      <c r="BB389" s="44"/>
      <c r="BC389" s="45" t="s">
        <v>16</v>
      </c>
      <c r="BD389" s="46" t="str">
        <f>IF(VLOOKUP(BC389,βοηθητικό!$J$2:$N$354,3,FALSE)="","",VLOOKUP(BC389,βοηθητικό!$J$2:$N$354,3,FALSE))</f>
        <v>_</v>
      </c>
      <c r="BE389" s="47"/>
      <c r="BF389" s="42" t="s">
        <v>16</v>
      </c>
      <c r="BG389" s="43" t="str">
        <f>IF(VLOOKUP(BF389,βοηθητικό!$J$2:$N$354,3,FALSE)="","",VLOOKUP(BF389,βοηθητικό!$J$2:$N$354,3,FALSE))</f>
        <v>_</v>
      </c>
      <c r="BH389" s="44"/>
      <c r="BI389" s="45" t="s">
        <v>16</v>
      </c>
      <c r="BJ389" s="46" t="str">
        <f>IF(VLOOKUP(BI389,βοηθητικό!$J$2:$N$354,3,FALSE)="","",VLOOKUP(BI389,βοηθητικό!$J$2:$N$354,3,FALSE))</f>
        <v>_</v>
      </c>
      <c r="BK389" s="47"/>
      <c r="BL389" s="42" t="s">
        <v>16</v>
      </c>
      <c r="BM389" s="43" t="str">
        <f>IF(VLOOKUP(BL389,βοηθητικό!$J$2:$N$354,3,FALSE)="","",VLOOKUP(BL389,βοηθητικό!$J$2:$N$354,3,FALSE))</f>
        <v>_</v>
      </c>
      <c r="BN389" s="44"/>
      <c r="BO389" s="45" t="s">
        <v>16</v>
      </c>
      <c r="BP389" s="46" t="str">
        <f>IF(VLOOKUP(BO389,βοηθητικό!$J$2:$N$354,3,FALSE)="","",VLOOKUP(BO389,βοηθητικό!$J$2:$N$354,3,FALSE))</f>
        <v>_</v>
      </c>
      <c r="BQ389" s="47"/>
      <c r="BR389" s="42" t="s">
        <v>16</v>
      </c>
      <c r="BS389" s="43" t="str">
        <f>IF(VLOOKUP(BR389,βοηθητικό!$J$2:$N$354,3,FALSE)="","",VLOOKUP(BR389,βοηθητικό!$J$2:$N$354,3,FALSE))</f>
        <v>_</v>
      </c>
      <c r="BT389" s="44"/>
      <c r="BU389" s="45" t="s">
        <v>16</v>
      </c>
      <c r="BV389" s="46" t="str">
        <f>IF(VLOOKUP(BU389,βοηθητικό!$J$2:$N$354,3,FALSE)="","",VLOOKUP(BU389,βοηθητικό!$J$2:$N$354,3,FALSE))</f>
        <v>_</v>
      </c>
      <c r="BW389" s="47"/>
      <c r="BX389" s="42" t="s">
        <v>16</v>
      </c>
      <c r="BY389" s="43" t="str">
        <f>IF(VLOOKUP(BX389,βοηθητικό!$J$2:$N$354,3,FALSE)="","",VLOOKUP(BX389,βοηθητικό!$J$2:$N$354,3,FALSE))</f>
        <v>_</v>
      </c>
      <c r="BZ389" s="44"/>
      <c r="CA389" s="45" t="s">
        <v>16</v>
      </c>
      <c r="CB389" s="46" t="str">
        <f>IF(VLOOKUP(CA389,βοηθητικό!$J$2:$N$354,3,FALSE)="","",VLOOKUP(CA389,βοηθητικό!$J$2:$N$354,3,FALSE))</f>
        <v>_</v>
      </c>
      <c r="CC389" s="47"/>
      <c r="CD389" s="42" t="s">
        <v>16</v>
      </c>
      <c r="CE389" s="43" t="str">
        <f>IF(VLOOKUP(CD389,βοηθητικό!$J$2:$N$354,3,FALSE)="","",VLOOKUP(CD389,βοηθητικό!$J$2:$N$354,3,FALSE))</f>
        <v>_</v>
      </c>
      <c r="CF389" s="44"/>
      <c r="CG389" s="45" t="s">
        <v>16</v>
      </c>
      <c r="CH389" s="46" t="str">
        <f>IF(VLOOKUP(CG389,βοηθητικό!$J$2:$N$354,3,FALSE)="","",VLOOKUP(CG389,βοηθητικό!$J$2:$N$354,3,FALSE))</f>
        <v>_</v>
      </c>
      <c r="CI389" s="47"/>
      <c r="CJ389" s="42" t="s">
        <v>16</v>
      </c>
      <c r="CK389" s="43" t="str">
        <f>IF(VLOOKUP(CJ389,βοηθητικό!$J$2:$N$354,3,FALSE)="","",VLOOKUP(CJ389,βοηθητικό!$J$2:$N$354,3,FALSE))</f>
        <v>_</v>
      </c>
      <c r="CL389" s="44"/>
      <c r="CM389" s="45" t="s">
        <v>16</v>
      </c>
      <c r="CN389" s="46" t="str">
        <f>IF(VLOOKUP(CM389,βοηθητικό!$J$2:$N$354,3,FALSE)="","",VLOOKUP(CM389,βοηθητικό!$J$2:$N$354,3,FALSE))</f>
        <v>_</v>
      </c>
      <c r="CO389" s="47"/>
      <c r="CP389" s="42" t="s">
        <v>16</v>
      </c>
      <c r="CQ389" s="43" t="str">
        <f>IF(VLOOKUP(CP389,βοηθητικό!$J$2:$N$354,3,FALSE)="","",VLOOKUP(CP389,βοηθητικό!$J$2:$N$354,3,FALSE))</f>
        <v>_</v>
      </c>
      <c r="CR389" s="44"/>
      <c r="CS389" s="45" t="s">
        <v>16</v>
      </c>
      <c r="CT389" s="46" t="str">
        <f>IF(VLOOKUP(CS389,βοηθητικό!$J$2:$N$354,3,FALSE)="","",VLOOKUP(CS389,βοηθητικό!$J$2:$N$354,3,FALSE))</f>
        <v>_</v>
      </c>
      <c r="CU389" s="47"/>
    </row>
    <row r="390" spans="1:99" x14ac:dyDescent="0.25">
      <c r="A390" s="37">
        <f>--SUBTOTAL(3,$B$3:B389)</f>
        <v>198</v>
      </c>
      <c r="B390" s="2"/>
      <c r="C390" s="3"/>
      <c r="D390" s="55" t="s">
        <v>18</v>
      </c>
      <c r="E390" s="38" t="s">
        <v>16</v>
      </c>
      <c r="F390" s="38" t="s">
        <v>16</v>
      </c>
      <c r="G390" s="39" t="str">
        <f t="shared" si="20"/>
        <v>__</v>
      </c>
      <c r="H390" s="40" t="str">
        <f t="shared" si="21"/>
        <v>FALSE</v>
      </c>
      <c r="I390" s="41">
        <f t="shared" si="22"/>
        <v>0</v>
      </c>
      <c r="J390" s="4" t="s">
        <v>16</v>
      </c>
      <c r="K390" s="43" t="str">
        <f>IF(VLOOKUP(J390,βοηθητικό!$J$2:$N$354,3,FALSE)="","",VLOOKUP(J390,βοηθητικό!$J$2:$N$354,3,FALSE))</f>
        <v>_</v>
      </c>
      <c r="L390" s="44"/>
      <c r="M390" s="5" t="s">
        <v>16</v>
      </c>
      <c r="N390" s="46" t="str">
        <f>IF(VLOOKUP(M390,βοηθητικό!$J$2:$N$354,3,FALSE)="","",VLOOKUP(M390,βοηθητικό!$J$2:$N$354,3,FALSE))</f>
        <v>_</v>
      </c>
      <c r="O390" s="47"/>
      <c r="P390" s="4" t="s">
        <v>16</v>
      </c>
      <c r="Q390" s="43" t="str">
        <f>IF(VLOOKUP(P390,βοηθητικό!$J$2:$N$354,3,FALSE)="","",VLOOKUP(P390,βοηθητικό!$J$2:$N$354,3,FALSE))</f>
        <v>_</v>
      </c>
      <c r="R390" s="44"/>
      <c r="S390" s="5" t="s">
        <v>16</v>
      </c>
      <c r="T390" s="46" t="str">
        <f>IF(VLOOKUP(S390,βοηθητικό!$J$2:$N$354,3,FALSE)="","",VLOOKUP(S390,βοηθητικό!$J$2:$N$354,3,FALSE))</f>
        <v>_</v>
      </c>
      <c r="U390" s="47"/>
      <c r="V390" s="4" t="s">
        <v>16</v>
      </c>
      <c r="W390" s="43" t="str">
        <f>IF(VLOOKUP(V390,βοηθητικό!$J$2:$N$354,3,FALSE)="","",VLOOKUP(V390,βοηθητικό!$J$2:$N$354,3,FALSE))</f>
        <v>_</v>
      </c>
      <c r="X390" s="44"/>
      <c r="Y390" s="5" t="s">
        <v>16</v>
      </c>
      <c r="Z390" s="46" t="str">
        <f>IF(VLOOKUP(Y390,βοηθητικό!$J$2:$N$354,3,FALSE)="","",VLOOKUP(Y390,βοηθητικό!$J$2:$N$354,3,FALSE))</f>
        <v>_</v>
      </c>
      <c r="AA390" s="47"/>
      <c r="AB390" s="4" t="s">
        <v>16</v>
      </c>
      <c r="AC390" s="43" t="str">
        <f>IF(VLOOKUP(AB390,βοηθητικό!$J$2:$N$354,3,FALSE)="","",VLOOKUP(AB390,βοηθητικό!$J$2:$N$354,3,FALSE))</f>
        <v>_</v>
      </c>
      <c r="AD390" s="44"/>
      <c r="AE390" s="5" t="s">
        <v>16</v>
      </c>
      <c r="AF390" s="46" t="str">
        <f>IF(VLOOKUP(AE390,βοηθητικό!$J$2:$N$354,3,FALSE)="","",VLOOKUP(AE390,βοηθητικό!$J$2:$N$354,3,FALSE))</f>
        <v>_</v>
      </c>
      <c r="AG390" s="47"/>
      <c r="AH390" s="4" t="s">
        <v>16</v>
      </c>
      <c r="AI390" s="43" t="str">
        <f>IF(VLOOKUP(AH390,βοηθητικό!$J$2:$N$354,3,FALSE)="","",VLOOKUP(AH390,βοηθητικό!$J$2:$N$354,3,FALSE))</f>
        <v>_</v>
      </c>
      <c r="AJ390" s="44"/>
      <c r="AK390" s="5" t="s">
        <v>16</v>
      </c>
      <c r="AL390" s="46" t="str">
        <f>IF(VLOOKUP(AK390,βοηθητικό!$J$2:$N$354,3,FALSE)="","",VLOOKUP(AK390,βοηθητικό!$J$2:$N$354,3,FALSE))</f>
        <v>_</v>
      </c>
      <c r="AM390" s="47"/>
      <c r="AN390" s="4" t="s">
        <v>16</v>
      </c>
      <c r="AO390" s="43" t="str">
        <f>IF(VLOOKUP(AN390,βοηθητικό!$J$2:$N$354,3,FALSE)="","",VLOOKUP(AN390,βοηθητικό!$J$2:$N$354,3,FALSE))</f>
        <v>_</v>
      </c>
      <c r="AP390" s="44"/>
      <c r="AQ390" s="5" t="s">
        <v>16</v>
      </c>
      <c r="AR390" s="46" t="str">
        <f>IF(VLOOKUP(AQ390,βοηθητικό!$J$2:$N$354,3,FALSE)="","",VLOOKUP(AQ390,βοηθητικό!$J$2:$N$354,3,FALSE))</f>
        <v>_</v>
      </c>
      <c r="AS390" s="47"/>
      <c r="AT390" s="4" t="s">
        <v>16</v>
      </c>
      <c r="AU390" s="43" t="str">
        <f>IF(VLOOKUP(AT390,βοηθητικό!$J$2:$N$354,3,FALSE)="","",VLOOKUP(AT390,βοηθητικό!$J$2:$N$354,3,FALSE))</f>
        <v>_</v>
      </c>
      <c r="AV390" s="44"/>
      <c r="AW390" s="5" t="s">
        <v>16</v>
      </c>
      <c r="AX390" s="46" t="str">
        <f>IF(VLOOKUP(AW390,βοηθητικό!$J$2:$N$354,3,FALSE)="","",VLOOKUP(AW390,βοηθητικό!$J$2:$N$354,3,FALSE))</f>
        <v>_</v>
      </c>
      <c r="AY390" s="47"/>
      <c r="AZ390" s="4" t="s">
        <v>16</v>
      </c>
      <c r="BA390" s="43" t="str">
        <f>IF(VLOOKUP(AZ390,βοηθητικό!$J$2:$N$354,3,FALSE)="","",VLOOKUP(AZ390,βοηθητικό!$J$2:$N$354,3,FALSE))</f>
        <v>_</v>
      </c>
      <c r="BB390" s="44"/>
      <c r="BC390" s="45" t="s">
        <v>16</v>
      </c>
      <c r="BD390" s="46" t="str">
        <f>IF(VLOOKUP(BC390,βοηθητικό!$J$2:$N$354,3,FALSE)="","",VLOOKUP(BC390,βοηθητικό!$J$2:$N$354,3,FALSE))</f>
        <v>_</v>
      </c>
      <c r="BE390" s="47"/>
      <c r="BF390" s="42" t="s">
        <v>16</v>
      </c>
      <c r="BG390" s="43" t="str">
        <f>IF(VLOOKUP(BF390,βοηθητικό!$J$2:$N$354,3,FALSE)="","",VLOOKUP(BF390,βοηθητικό!$J$2:$N$354,3,FALSE))</f>
        <v>_</v>
      </c>
      <c r="BH390" s="44"/>
      <c r="BI390" s="45" t="s">
        <v>16</v>
      </c>
      <c r="BJ390" s="46" t="str">
        <f>IF(VLOOKUP(BI390,βοηθητικό!$J$2:$N$354,3,FALSE)="","",VLOOKUP(BI390,βοηθητικό!$J$2:$N$354,3,FALSE))</f>
        <v>_</v>
      </c>
      <c r="BK390" s="47"/>
      <c r="BL390" s="42" t="s">
        <v>16</v>
      </c>
      <c r="BM390" s="43" t="str">
        <f>IF(VLOOKUP(BL390,βοηθητικό!$J$2:$N$354,3,FALSE)="","",VLOOKUP(BL390,βοηθητικό!$J$2:$N$354,3,FALSE))</f>
        <v>_</v>
      </c>
      <c r="BN390" s="44"/>
      <c r="BO390" s="45" t="s">
        <v>16</v>
      </c>
      <c r="BP390" s="46" t="str">
        <f>IF(VLOOKUP(BO390,βοηθητικό!$J$2:$N$354,3,FALSE)="","",VLOOKUP(BO390,βοηθητικό!$J$2:$N$354,3,FALSE))</f>
        <v>_</v>
      </c>
      <c r="BQ390" s="47"/>
      <c r="BR390" s="42" t="s">
        <v>16</v>
      </c>
      <c r="BS390" s="43" t="str">
        <f>IF(VLOOKUP(BR390,βοηθητικό!$J$2:$N$354,3,FALSE)="","",VLOOKUP(BR390,βοηθητικό!$J$2:$N$354,3,FALSE))</f>
        <v>_</v>
      </c>
      <c r="BT390" s="44"/>
      <c r="BU390" s="45" t="s">
        <v>16</v>
      </c>
      <c r="BV390" s="46" t="str">
        <f>IF(VLOOKUP(BU390,βοηθητικό!$J$2:$N$354,3,FALSE)="","",VLOOKUP(BU390,βοηθητικό!$J$2:$N$354,3,FALSE))</f>
        <v>_</v>
      </c>
      <c r="BW390" s="47"/>
      <c r="BX390" s="42" t="s">
        <v>16</v>
      </c>
      <c r="BY390" s="43" t="str">
        <f>IF(VLOOKUP(BX390,βοηθητικό!$J$2:$N$354,3,FALSE)="","",VLOOKUP(BX390,βοηθητικό!$J$2:$N$354,3,FALSE))</f>
        <v>_</v>
      </c>
      <c r="BZ390" s="44"/>
      <c r="CA390" s="45" t="s">
        <v>16</v>
      </c>
      <c r="CB390" s="46" t="str">
        <f>IF(VLOOKUP(CA390,βοηθητικό!$J$2:$N$354,3,FALSE)="","",VLOOKUP(CA390,βοηθητικό!$J$2:$N$354,3,FALSE))</f>
        <v>_</v>
      </c>
      <c r="CC390" s="47"/>
      <c r="CD390" s="42" t="s">
        <v>16</v>
      </c>
      <c r="CE390" s="43" t="str">
        <f>IF(VLOOKUP(CD390,βοηθητικό!$J$2:$N$354,3,FALSE)="","",VLOOKUP(CD390,βοηθητικό!$J$2:$N$354,3,FALSE))</f>
        <v>_</v>
      </c>
      <c r="CF390" s="44"/>
      <c r="CG390" s="45" t="s">
        <v>16</v>
      </c>
      <c r="CH390" s="46" t="str">
        <f>IF(VLOOKUP(CG390,βοηθητικό!$J$2:$N$354,3,FALSE)="","",VLOOKUP(CG390,βοηθητικό!$J$2:$N$354,3,FALSE))</f>
        <v>_</v>
      </c>
      <c r="CI390" s="47"/>
      <c r="CJ390" s="42" t="s">
        <v>16</v>
      </c>
      <c r="CK390" s="43" t="str">
        <f>IF(VLOOKUP(CJ390,βοηθητικό!$J$2:$N$354,3,FALSE)="","",VLOOKUP(CJ390,βοηθητικό!$J$2:$N$354,3,FALSE))</f>
        <v>_</v>
      </c>
      <c r="CL390" s="44"/>
      <c r="CM390" s="45" t="s">
        <v>16</v>
      </c>
      <c r="CN390" s="46" t="str">
        <f>IF(VLOOKUP(CM390,βοηθητικό!$J$2:$N$354,3,FALSE)="","",VLOOKUP(CM390,βοηθητικό!$J$2:$N$354,3,FALSE))</f>
        <v>_</v>
      </c>
      <c r="CO390" s="47"/>
      <c r="CP390" s="42" t="s">
        <v>16</v>
      </c>
      <c r="CQ390" s="43" t="str">
        <f>IF(VLOOKUP(CP390,βοηθητικό!$J$2:$N$354,3,FALSE)="","",VLOOKUP(CP390,βοηθητικό!$J$2:$N$354,3,FALSE))</f>
        <v>_</v>
      </c>
      <c r="CR390" s="44"/>
      <c r="CS390" s="45" t="s">
        <v>16</v>
      </c>
      <c r="CT390" s="46" t="str">
        <f>IF(VLOOKUP(CS390,βοηθητικό!$J$2:$N$354,3,FALSE)="","",VLOOKUP(CS390,βοηθητικό!$J$2:$N$354,3,FALSE))</f>
        <v>_</v>
      </c>
      <c r="CU390" s="47"/>
    </row>
    <row r="391" spans="1:99" x14ac:dyDescent="0.25">
      <c r="A391" s="37">
        <f>--SUBTOTAL(3,$B$3:B390)</f>
        <v>198</v>
      </c>
      <c r="B391" s="2"/>
      <c r="C391" s="3"/>
      <c r="D391" s="55" t="s">
        <v>18</v>
      </c>
      <c r="E391" s="38" t="s">
        <v>16</v>
      </c>
      <c r="F391" s="38" t="s">
        <v>16</v>
      </c>
      <c r="G391" s="39" t="str">
        <f t="shared" si="20"/>
        <v>__</v>
      </c>
      <c r="H391" s="40" t="str">
        <f t="shared" si="21"/>
        <v>FALSE</v>
      </c>
      <c r="I391" s="41">
        <f t="shared" si="22"/>
        <v>0</v>
      </c>
      <c r="J391" s="4" t="s">
        <v>16</v>
      </c>
      <c r="K391" s="43" t="str">
        <f>IF(VLOOKUP(J391,βοηθητικό!$J$2:$N$354,3,FALSE)="","",VLOOKUP(J391,βοηθητικό!$J$2:$N$354,3,FALSE))</f>
        <v>_</v>
      </c>
      <c r="L391" s="44"/>
      <c r="M391" s="5" t="s">
        <v>16</v>
      </c>
      <c r="N391" s="46" t="str">
        <f>IF(VLOOKUP(M391,βοηθητικό!$J$2:$N$354,3,FALSE)="","",VLOOKUP(M391,βοηθητικό!$J$2:$N$354,3,FALSE))</f>
        <v>_</v>
      </c>
      <c r="O391" s="47"/>
      <c r="P391" s="4" t="s">
        <v>16</v>
      </c>
      <c r="Q391" s="43" t="str">
        <f>IF(VLOOKUP(P391,βοηθητικό!$J$2:$N$354,3,FALSE)="","",VLOOKUP(P391,βοηθητικό!$J$2:$N$354,3,FALSE))</f>
        <v>_</v>
      </c>
      <c r="R391" s="44"/>
      <c r="S391" s="5" t="s">
        <v>16</v>
      </c>
      <c r="T391" s="46" t="str">
        <f>IF(VLOOKUP(S391,βοηθητικό!$J$2:$N$354,3,FALSE)="","",VLOOKUP(S391,βοηθητικό!$J$2:$N$354,3,FALSE))</f>
        <v>_</v>
      </c>
      <c r="U391" s="47"/>
      <c r="V391" s="4" t="s">
        <v>16</v>
      </c>
      <c r="W391" s="43" t="str">
        <f>IF(VLOOKUP(V391,βοηθητικό!$J$2:$N$354,3,FALSE)="","",VLOOKUP(V391,βοηθητικό!$J$2:$N$354,3,FALSE))</f>
        <v>_</v>
      </c>
      <c r="X391" s="44"/>
      <c r="Y391" s="5" t="s">
        <v>16</v>
      </c>
      <c r="Z391" s="46" t="str">
        <f>IF(VLOOKUP(Y391,βοηθητικό!$J$2:$N$354,3,FALSE)="","",VLOOKUP(Y391,βοηθητικό!$J$2:$N$354,3,FALSE))</f>
        <v>_</v>
      </c>
      <c r="AA391" s="47"/>
      <c r="AB391" s="4" t="s">
        <v>16</v>
      </c>
      <c r="AC391" s="43" t="str">
        <f>IF(VLOOKUP(AB391,βοηθητικό!$J$2:$N$354,3,FALSE)="","",VLOOKUP(AB391,βοηθητικό!$J$2:$N$354,3,FALSE))</f>
        <v>_</v>
      </c>
      <c r="AD391" s="44"/>
      <c r="AE391" s="5" t="s">
        <v>16</v>
      </c>
      <c r="AF391" s="46" t="str">
        <f>IF(VLOOKUP(AE391,βοηθητικό!$J$2:$N$354,3,FALSE)="","",VLOOKUP(AE391,βοηθητικό!$J$2:$N$354,3,FALSE))</f>
        <v>_</v>
      </c>
      <c r="AG391" s="47"/>
      <c r="AH391" s="4" t="s">
        <v>16</v>
      </c>
      <c r="AI391" s="43" t="str">
        <f>IF(VLOOKUP(AH391,βοηθητικό!$J$2:$N$354,3,FALSE)="","",VLOOKUP(AH391,βοηθητικό!$J$2:$N$354,3,FALSE))</f>
        <v>_</v>
      </c>
      <c r="AJ391" s="44"/>
      <c r="AK391" s="5" t="s">
        <v>16</v>
      </c>
      <c r="AL391" s="46" t="str">
        <f>IF(VLOOKUP(AK391,βοηθητικό!$J$2:$N$354,3,FALSE)="","",VLOOKUP(AK391,βοηθητικό!$J$2:$N$354,3,FALSE))</f>
        <v>_</v>
      </c>
      <c r="AM391" s="47"/>
      <c r="AN391" s="4" t="s">
        <v>16</v>
      </c>
      <c r="AO391" s="43" t="str">
        <f>IF(VLOOKUP(AN391,βοηθητικό!$J$2:$N$354,3,FALSE)="","",VLOOKUP(AN391,βοηθητικό!$J$2:$N$354,3,FALSE))</f>
        <v>_</v>
      </c>
      <c r="AP391" s="44"/>
      <c r="AQ391" s="5" t="s">
        <v>16</v>
      </c>
      <c r="AR391" s="46" t="str">
        <f>IF(VLOOKUP(AQ391,βοηθητικό!$J$2:$N$354,3,FALSE)="","",VLOOKUP(AQ391,βοηθητικό!$J$2:$N$354,3,FALSE))</f>
        <v>_</v>
      </c>
      <c r="AS391" s="47"/>
      <c r="AT391" s="4" t="s">
        <v>16</v>
      </c>
      <c r="AU391" s="43" t="str">
        <f>IF(VLOOKUP(AT391,βοηθητικό!$J$2:$N$354,3,FALSE)="","",VLOOKUP(AT391,βοηθητικό!$J$2:$N$354,3,FALSE))</f>
        <v>_</v>
      </c>
      <c r="AV391" s="44"/>
      <c r="AW391" s="5" t="s">
        <v>16</v>
      </c>
      <c r="AX391" s="46" t="str">
        <f>IF(VLOOKUP(AW391,βοηθητικό!$J$2:$N$354,3,FALSE)="","",VLOOKUP(AW391,βοηθητικό!$J$2:$N$354,3,FALSE))</f>
        <v>_</v>
      </c>
      <c r="AY391" s="47"/>
      <c r="AZ391" s="4" t="s">
        <v>16</v>
      </c>
      <c r="BA391" s="43" t="str">
        <f>IF(VLOOKUP(AZ391,βοηθητικό!$J$2:$N$354,3,FALSE)="","",VLOOKUP(AZ391,βοηθητικό!$J$2:$N$354,3,FALSE))</f>
        <v>_</v>
      </c>
      <c r="BB391" s="44"/>
      <c r="BC391" s="45" t="s">
        <v>16</v>
      </c>
      <c r="BD391" s="46" t="str">
        <f>IF(VLOOKUP(BC391,βοηθητικό!$J$2:$N$354,3,FALSE)="","",VLOOKUP(BC391,βοηθητικό!$J$2:$N$354,3,FALSE))</f>
        <v>_</v>
      </c>
      <c r="BE391" s="47"/>
      <c r="BF391" s="42" t="s">
        <v>16</v>
      </c>
      <c r="BG391" s="43" t="str">
        <f>IF(VLOOKUP(BF391,βοηθητικό!$J$2:$N$354,3,FALSE)="","",VLOOKUP(BF391,βοηθητικό!$J$2:$N$354,3,FALSE))</f>
        <v>_</v>
      </c>
      <c r="BH391" s="44"/>
      <c r="BI391" s="45" t="s">
        <v>16</v>
      </c>
      <c r="BJ391" s="46" t="str">
        <f>IF(VLOOKUP(BI391,βοηθητικό!$J$2:$N$354,3,FALSE)="","",VLOOKUP(BI391,βοηθητικό!$J$2:$N$354,3,FALSE))</f>
        <v>_</v>
      </c>
      <c r="BK391" s="47"/>
      <c r="BL391" s="42" t="s">
        <v>16</v>
      </c>
      <c r="BM391" s="43" t="str">
        <f>IF(VLOOKUP(BL391,βοηθητικό!$J$2:$N$354,3,FALSE)="","",VLOOKUP(BL391,βοηθητικό!$J$2:$N$354,3,FALSE))</f>
        <v>_</v>
      </c>
      <c r="BN391" s="44"/>
      <c r="BO391" s="45" t="s">
        <v>16</v>
      </c>
      <c r="BP391" s="46" t="str">
        <f>IF(VLOOKUP(BO391,βοηθητικό!$J$2:$N$354,3,FALSE)="","",VLOOKUP(BO391,βοηθητικό!$J$2:$N$354,3,FALSE))</f>
        <v>_</v>
      </c>
      <c r="BQ391" s="47"/>
      <c r="BR391" s="42" t="s">
        <v>16</v>
      </c>
      <c r="BS391" s="43" t="str">
        <f>IF(VLOOKUP(BR391,βοηθητικό!$J$2:$N$354,3,FALSE)="","",VLOOKUP(BR391,βοηθητικό!$J$2:$N$354,3,FALSE))</f>
        <v>_</v>
      </c>
      <c r="BT391" s="44"/>
      <c r="BU391" s="45" t="s">
        <v>16</v>
      </c>
      <c r="BV391" s="46" t="str">
        <f>IF(VLOOKUP(BU391,βοηθητικό!$J$2:$N$354,3,FALSE)="","",VLOOKUP(BU391,βοηθητικό!$J$2:$N$354,3,FALSE))</f>
        <v>_</v>
      </c>
      <c r="BW391" s="47"/>
      <c r="BX391" s="42" t="s">
        <v>16</v>
      </c>
      <c r="BY391" s="43" t="str">
        <f>IF(VLOOKUP(BX391,βοηθητικό!$J$2:$N$354,3,FALSE)="","",VLOOKUP(BX391,βοηθητικό!$J$2:$N$354,3,FALSE))</f>
        <v>_</v>
      </c>
      <c r="BZ391" s="44"/>
      <c r="CA391" s="45" t="s">
        <v>16</v>
      </c>
      <c r="CB391" s="46" t="str">
        <f>IF(VLOOKUP(CA391,βοηθητικό!$J$2:$N$354,3,FALSE)="","",VLOOKUP(CA391,βοηθητικό!$J$2:$N$354,3,FALSE))</f>
        <v>_</v>
      </c>
      <c r="CC391" s="47"/>
      <c r="CD391" s="42" t="s">
        <v>16</v>
      </c>
      <c r="CE391" s="43" t="str">
        <f>IF(VLOOKUP(CD391,βοηθητικό!$J$2:$N$354,3,FALSE)="","",VLOOKUP(CD391,βοηθητικό!$J$2:$N$354,3,FALSE))</f>
        <v>_</v>
      </c>
      <c r="CF391" s="44"/>
      <c r="CG391" s="45" t="s">
        <v>16</v>
      </c>
      <c r="CH391" s="46" t="str">
        <f>IF(VLOOKUP(CG391,βοηθητικό!$J$2:$N$354,3,FALSE)="","",VLOOKUP(CG391,βοηθητικό!$J$2:$N$354,3,FALSE))</f>
        <v>_</v>
      </c>
      <c r="CI391" s="47"/>
      <c r="CJ391" s="42" t="s">
        <v>16</v>
      </c>
      <c r="CK391" s="43" t="str">
        <f>IF(VLOOKUP(CJ391,βοηθητικό!$J$2:$N$354,3,FALSE)="","",VLOOKUP(CJ391,βοηθητικό!$J$2:$N$354,3,FALSE))</f>
        <v>_</v>
      </c>
      <c r="CL391" s="44"/>
      <c r="CM391" s="45" t="s">
        <v>16</v>
      </c>
      <c r="CN391" s="46" t="str">
        <f>IF(VLOOKUP(CM391,βοηθητικό!$J$2:$N$354,3,FALSE)="","",VLOOKUP(CM391,βοηθητικό!$J$2:$N$354,3,FALSE))</f>
        <v>_</v>
      </c>
      <c r="CO391" s="47"/>
      <c r="CP391" s="42" t="s">
        <v>16</v>
      </c>
      <c r="CQ391" s="43" t="str">
        <f>IF(VLOOKUP(CP391,βοηθητικό!$J$2:$N$354,3,FALSE)="","",VLOOKUP(CP391,βοηθητικό!$J$2:$N$354,3,FALSE))</f>
        <v>_</v>
      </c>
      <c r="CR391" s="44"/>
      <c r="CS391" s="45" t="s">
        <v>16</v>
      </c>
      <c r="CT391" s="46" t="str">
        <f>IF(VLOOKUP(CS391,βοηθητικό!$J$2:$N$354,3,FALSE)="","",VLOOKUP(CS391,βοηθητικό!$J$2:$N$354,3,FALSE))</f>
        <v>_</v>
      </c>
      <c r="CU391" s="47"/>
    </row>
    <row r="392" spans="1:99" x14ac:dyDescent="0.25">
      <c r="A392" s="37">
        <f>--SUBTOTAL(3,$B$3:B391)</f>
        <v>198</v>
      </c>
      <c r="B392" s="2"/>
      <c r="C392" s="3"/>
      <c r="D392" s="55" t="s">
        <v>18</v>
      </c>
      <c r="E392" s="38" t="s">
        <v>16</v>
      </c>
      <c r="F392" s="38" t="s">
        <v>16</v>
      </c>
      <c r="G392" s="39" t="str">
        <f t="shared" si="20"/>
        <v>__</v>
      </c>
      <c r="H392" s="40" t="str">
        <f t="shared" si="21"/>
        <v>FALSE</v>
      </c>
      <c r="I392" s="41">
        <f t="shared" si="22"/>
        <v>0</v>
      </c>
      <c r="J392" s="4" t="s">
        <v>16</v>
      </c>
      <c r="K392" s="43" t="str">
        <f>IF(VLOOKUP(J392,βοηθητικό!$J$2:$N$354,3,FALSE)="","",VLOOKUP(J392,βοηθητικό!$J$2:$N$354,3,FALSE))</f>
        <v>_</v>
      </c>
      <c r="L392" s="44"/>
      <c r="M392" s="5" t="s">
        <v>16</v>
      </c>
      <c r="N392" s="46" t="str">
        <f>IF(VLOOKUP(M392,βοηθητικό!$J$2:$N$354,3,FALSE)="","",VLOOKUP(M392,βοηθητικό!$J$2:$N$354,3,FALSE))</f>
        <v>_</v>
      </c>
      <c r="O392" s="47"/>
      <c r="P392" s="4" t="s">
        <v>16</v>
      </c>
      <c r="Q392" s="43" t="str">
        <f>IF(VLOOKUP(P392,βοηθητικό!$J$2:$N$354,3,FALSE)="","",VLOOKUP(P392,βοηθητικό!$J$2:$N$354,3,FALSE))</f>
        <v>_</v>
      </c>
      <c r="R392" s="44"/>
      <c r="S392" s="5" t="s">
        <v>16</v>
      </c>
      <c r="T392" s="46" t="str">
        <f>IF(VLOOKUP(S392,βοηθητικό!$J$2:$N$354,3,FALSE)="","",VLOOKUP(S392,βοηθητικό!$J$2:$N$354,3,FALSE))</f>
        <v>_</v>
      </c>
      <c r="U392" s="47"/>
      <c r="V392" s="4" t="s">
        <v>16</v>
      </c>
      <c r="W392" s="43" t="str">
        <f>IF(VLOOKUP(V392,βοηθητικό!$J$2:$N$354,3,FALSE)="","",VLOOKUP(V392,βοηθητικό!$J$2:$N$354,3,FALSE))</f>
        <v>_</v>
      </c>
      <c r="X392" s="44"/>
      <c r="Y392" s="5" t="s">
        <v>16</v>
      </c>
      <c r="Z392" s="46" t="str">
        <f>IF(VLOOKUP(Y392,βοηθητικό!$J$2:$N$354,3,FALSE)="","",VLOOKUP(Y392,βοηθητικό!$J$2:$N$354,3,FALSE))</f>
        <v>_</v>
      </c>
      <c r="AA392" s="47"/>
      <c r="AB392" s="4" t="s">
        <v>16</v>
      </c>
      <c r="AC392" s="43" t="str">
        <f>IF(VLOOKUP(AB392,βοηθητικό!$J$2:$N$354,3,FALSE)="","",VLOOKUP(AB392,βοηθητικό!$J$2:$N$354,3,FALSE))</f>
        <v>_</v>
      </c>
      <c r="AD392" s="44"/>
      <c r="AE392" s="5" t="s">
        <v>16</v>
      </c>
      <c r="AF392" s="46" t="str">
        <f>IF(VLOOKUP(AE392,βοηθητικό!$J$2:$N$354,3,FALSE)="","",VLOOKUP(AE392,βοηθητικό!$J$2:$N$354,3,FALSE))</f>
        <v>_</v>
      </c>
      <c r="AG392" s="47"/>
      <c r="AH392" s="4" t="s">
        <v>16</v>
      </c>
      <c r="AI392" s="43" t="str">
        <f>IF(VLOOKUP(AH392,βοηθητικό!$J$2:$N$354,3,FALSE)="","",VLOOKUP(AH392,βοηθητικό!$J$2:$N$354,3,FALSE))</f>
        <v>_</v>
      </c>
      <c r="AJ392" s="44"/>
      <c r="AK392" s="5" t="s">
        <v>16</v>
      </c>
      <c r="AL392" s="46" t="str">
        <f>IF(VLOOKUP(AK392,βοηθητικό!$J$2:$N$354,3,FALSE)="","",VLOOKUP(AK392,βοηθητικό!$J$2:$N$354,3,FALSE))</f>
        <v>_</v>
      </c>
      <c r="AM392" s="47"/>
      <c r="AN392" s="4" t="s">
        <v>16</v>
      </c>
      <c r="AO392" s="43" t="str">
        <f>IF(VLOOKUP(AN392,βοηθητικό!$J$2:$N$354,3,FALSE)="","",VLOOKUP(AN392,βοηθητικό!$J$2:$N$354,3,FALSE))</f>
        <v>_</v>
      </c>
      <c r="AP392" s="44"/>
      <c r="AQ392" s="5" t="s">
        <v>16</v>
      </c>
      <c r="AR392" s="46" t="str">
        <f>IF(VLOOKUP(AQ392,βοηθητικό!$J$2:$N$354,3,FALSE)="","",VLOOKUP(AQ392,βοηθητικό!$J$2:$N$354,3,FALSE))</f>
        <v>_</v>
      </c>
      <c r="AS392" s="47"/>
      <c r="AT392" s="4" t="s">
        <v>16</v>
      </c>
      <c r="AU392" s="43" t="str">
        <f>IF(VLOOKUP(AT392,βοηθητικό!$J$2:$N$354,3,FALSE)="","",VLOOKUP(AT392,βοηθητικό!$J$2:$N$354,3,FALSE))</f>
        <v>_</v>
      </c>
      <c r="AV392" s="44"/>
      <c r="AW392" s="5" t="s">
        <v>16</v>
      </c>
      <c r="AX392" s="46" t="str">
        <f>IF(VLOOKUP(AW392,βοηθητικό!$J$2:$N$354,3,FALSE)="","",VLOOKUP(AW392,βοηθητικό!$J$2:$N$354,3,FALSE))</f>
        <v>_</v>
      </c>
      <c r="AY392" s="47"/>
      <c r="AZ392" s="4" t="s">
        <v>16</v>
      </c>
      <c r="BA392" s="43" t="str">
        <f>IF(VLOOKUP(AZ392,βοηθητικό!$J$2:$N$354,3,FALSE)="","",VLOOKUP(AZ392,βοηθητικό!$J$2:$N$354,3,FALSE))</f>
        <v>_</v>
      </c>
      <c r="BB392" s="44"/>
      <c r="BC392" s="45" t="s">
        <v>16</v>
      </c>
      <c r="BD392" s="46" t="str">
        <f>IF(VLOOKUP(BC392,βοηθητικό!$J$2:$N$354,3,FALSE)="","",VLOOKUP(BC392,βοηθητικό!$J$2:$N$354,3,FALSE))</f>
        <v>_</v>
      </c>
      <c r="BE392" s="47"/>
      <c r="BF392" s="42" t="s">
        <v>16</v>
      </c>
      <c r="BG392" s="43" t="str">
        <f>IF(VLOOKUP(BF392,βοηθητικό!$J$2:$N$354,3,FALSE)="","",VLOOKUP(BF392,βοηθητικό!$J$2:$N$354,3,FALSE))</f>
        <v>_</v>
      </c>
      <c r="BH392" s="44"/>
      <c r="BI392" s="45" t="s">
        <v>16</v>
      </c>
      <c r="BJ392" s="46" t="str">
        <f>IF(VLOOKUP(BI392,βοηθητικό!$J$2:$N$354,3,FALSE)="","",VLOOKUP(BI392,βοηθητικό!$J$2:$N$354,3,FALSE))</f>
        <v>_</v>
      </c>
      <c r="BK392" s="47"/>
      <c r="BL392" s="42" t="s">
        <v>16</v>
      </c>
      <c r="BM392" s="43" t="str">
        <f>IF(VLOOKUP(BL392,βοηθητικό!$J$2:$N$354,3,FALSE)="","",VLOOKUP(BL392,βοηθητικό!$J$2:$N$354,3,FALSE))</f>
        <v>_</v>
      </c>
      <c r="BN392" s="44"/>
      <c r="BO392" s="45" t="s">
        <v>16</v>
      </c>
      <c r="BP392" s="46" t="str">
        <f>IF(VLOOKUP(BO392,βοηθητικό!$J$2:$N$354,3,FALSE)="","",VLOOKUP(BO392,βοηθητικό!$J$2:$N$354,3,FALSE))</f>
        <v>_</v>
      </c>
      <c r="BQ392" s="47"/>
      <c r="BR392" s="42" t="s">
        <v>16</v>
      </c>
      <c r="BS392" s="43" t="str">
        <f>IF(VLOOKUP(BR392,βοηθητικό!$J$2:$N$354,3,FALSE)="","",VLOOKUP(BR392,βοηθητικό!$J$2:$N$354,3,FALSE))</f>
        <v>_</v>
      </c>
      <c r="BT392" s="44"/>
      <c r="BU392" s="45" t="s">
        <v>16</v>
      </c>
      <c r="BV392" s="46" t="str">
        <f>IF(VLOOKUP(BU392,βοηθητικό!$J$2:$N$354,3,FALSE)="","",VLOOKUP(BU392,βοηθητικό!$J$2:$N$354,3,FALSE))</f>
        <v>_</v>
      </c>
      <c r="BW392" s="47"/>
      <c r="BX392" s="42" t="s">
        <v>16</v>
      </c>
      <c r="BY392" s="43" t="str">
        <f>IF(VLOOKUP(BX392,βοηθητικό!$J$2:$N$354,3,FALSE)="","",VLOOKUP(BX392,βοηθητικό!$J$2:$N$354,3,FALSE))</f>
        <v>_</v>
      </c>
      <c r="BZ392" s="44"/>
      <c r="CA392" s="45" t="s">
        <v>16</v>
      </c>
      <c r="CB392" s="46" t="str">
        <f>IF(VLOOKUP(CA392,βοηθητικό!$J$2:$N$354,3,FALSE)="","",VLOOKUP(CA392,βοηθητικό!$J$2:$N$354,3,FALSE))</f>
        <v>_</v>
      </c>
      <c r="CC392" s="47"/>
      <c r="CD392" s="42" t="s">
        <v>16</v>
      </c>
      <c r="CE392" s="43" t="str">
        <f>IF(VLOOKUP(CD392,βοηθητικό!$J$2:$N$354,3,FALSE)="","",VLOOKUP(CD392,βοηθητικό!$J$2:$N$354,3,FALSE))</f>
        <v>_</v>
      </c>
      <c r="CF392" s="44"/>
      <c r="CG392" s="45" t="s">
        <v>16</v>
      </c>
      <c r="CH392" s="46" t="str">
        <f>IF(VLOOKUP(CG392,βοηθητικό!$J$2:$N$354,3,FALSE)="","",VLOOKUP(CG392,βοηθητικό!$J$2:$N$354,3,FALSE))</f>
        <v>_</v>
      </c>
      <c r="CI392" s="47"/>
      <c r="CJ392" s="42" t="s">
        <v>16</v>
      </c>
      <c r="CK392" s="43" t="str">
        <f>IF(VLOOKUP(CJ392,βοηθητικό!$J$2:$N$354,3,FALSE)="","",VLOOKUP(CJ392,βοηθητικό!$J$2:$N$354,3,FALSE))</f>
        <v>_</v>
      </c>
      <c r="CL392" s="44"/>
      <c r="CM392" s="45" t="s">
        <v>16</v>
      </c>
      <c r="CN392" s="46" t="str">
        <f>IF(VLOOKUP(CM392,βοηθητικό!$J$2:$N$354,3,FALSE)="","",VLOOKUP(CM392,βοηθητικό!$J$2:$N$354,3,FALSE))</f>
        <v>_</v>
      </c>
      <c r="CO392" s="47"/>
      <c r="CP392" s="42" t="s">
        <v>16</v>
      </c>
      <c r="CQ392" s="43" t="str">
        <f>IF(VLOOKUP(CP392,βοηθητικό!$J$2:$N$354,3,FALSE)="","",VLOOKUP(CP392,βοηθητικό!$J$2:$N$354,3,FALSE))</f>
        <v>_</v>
      </c>
      <c r="CR392" s="44"/>
      <c r="CS392" s="45" t="s">
        <v>16</v>
      </c>
      <c r="CT392" s="46" t="str">
        <f>IF(VLOOKUP(CS392,βοηθητικό!$J$2:$N$354,3,FALSE)="","",VLOOKUP(CS392,βοηθητικό!$J$2:$N$354,3,FALSE))</f>
        <v>_</v>
      </c>
      <c r="CU392" s="47"/>
    </row>
    <row r="393" spans="1:99" x14ac:dyDescent="0.25">
      <c r="A393" s="37">
        <f>--SUBTOTAL(3,$B$3:B392)</f>
        <v>198</v>
      </c>
      <c r="B393" s="2"/>
      <c r="C393" s="3"/>
      <c r="D393" s="55" t="s">
        <v>18</v>
      </c>
      <c r="E393" s="38" t="s">
        <v>16</v>
      </c>
      <c r="F393" s="38" t="s">
        <v>16</v>
      </c>
      <c r="G393" s="39" t="str">
        <f t="shared" si="20"/>
        <v>__</v>
      </c>
      <c r="H393" s="40" t="str">
        <f t="shared" si="21"/>
        <v>FALSE</v>
      </c>
      <c r="I393" s="41">
        <f t="shared" si="22"/>
        <v>0</v>
      </c>
      <c r="J393" s="4" t="s">
        <v>16</v>
      </c>
      <c r="K393" s="43" t="str">
        <f>IF(VLOOKUP(J393,βοηθητικό!$J$2:$N$354,3,FALSE)="","",VLOOKUP(J393,βοηθητικό!$J$2:$N$354,3,FALSE))</f>
        <v>_</v>
      </c>
      <c r="L393" s="44"/>
      <c r="M393" s="5" t="s">
        <v>16</v>
      </c>
      <c r="N393" s="46" t="str">
        <f>IF(VLOOKUP(M393,βοηθητικό!$J$2:$N$354,3,FALSE)="","",VLOOKUP(M393,βοηθητικό!$J$2:$N$354,3,FALSE))</f>
        <v>_</v>
      </c>
      <c r="O393" s="47"/>
      <c r="P393" s="4" t="s">
        <v>16</v>
      </c>
      <c r="Q393" s="43" t="str">
        <f>IF(VLOOKUP(P393,βοηθητικό!$J$2:$N$354,3,FALSE)="","",VLOOKUP(P393,βοηθητικό!$J$2:$N$354,3,FALSE))</f>
        <v>_</v>
      </c>
      <c r="R393" s="44"/>
      <c r="S393" s="5" t="s">
        <v>16</v>
      </c>
      <c r="T393" s="46" t="str">
        <f>IF(VLOOKUP(S393,βοηθητικό!$J$2:$N$354,3,FALSE)="","",VLOOKUP(S393,βοηθητικό!$J$2:$N$354,3,FALSE))</f>
        <v>_</v>
      </c>
      <c r="U393" s="47"/>
      <c r="V393" s="4" t="s">
        <v>16</v>
      </c>
      <c r="W393" s="43" t="str">
        <f>IF(VLOOKUP(V393,βοηθητικό!$J$2:$N$354,3,FALSE)="","",VLOOKUP(V393,βοηθητικό!$J$2:$N$354,3,FALSE))</f>
        <v>_</v>
      </c>
      <c r="X393" s="44"/>
      <c r="Y393" s="5" t="s">
        <v>16</v>
      </c>
      <c r="Z393" s="46" t="str">
        <f>IF(VLOOKUP(Y393,βοηθητικό!$J$2:$N$354,3,FALSE)="","",VLOOKUP(Y393,βοηθητικό!$J$2:$N$354,3,FALSE))</f>
        <v>_</v>
      </c>
      <c r="AA393" s="47"/>
      <c r="AB393" s="4" t="s">
        <v>16</v>
      </c>
      <c r="AC393" s="43" t="str">
        <f>IF(VLOOKUP(AB393,βοηθητικό!$J$2:$N$354,3,FALSE)="","",VLOOKUP(AB393,βοηθητικό!$J$2:$N$354,3,FALSE))</f>
        <v>_</v>
      </c>
      <c r="AD393" s="44"/>
      <c r="AE393" s="5" t="s">
        <v>16</v>
      </c>
      <c r="AF393" s="46" t="str">
        <f>IF(VLOOKUP(AE393,βοηθητικό!$J$2:$N$354,3,FALSE)="","",VLOOKUP(AE393,βοηθητικό!$J$2:$N$354,3,FALSE))</f>
        <v>_</v>
      </c>
      <c r="AG393" s="47"/>
      <c r="AH393" s="4" t="s">
        <v>16</v>
      </c>
      <c r="AI393" s="43" t="str">
        <f>IF(VLOOKUP(AH393,βοηθητικό!$J$2:$N$354,3,FALSE)="","",VLOOKUP(AH393,βοηθητικό!$J$2:$N$354,3,FALSE))</f>
        <v>_</v>
      </c>
      <c r="AJ393" s="44"/>
      <c r="AK393" s="5" t="s">
        <v>16</v>
      </c>
      <c r="AL393" s="46" t="str">
        <f>IF(VLOOKUP(AK393,βοηθητικό!$J$2:$N$354,3,FALSE)="","",VLOOKUP(AK393,βοηθητικό!$J$2:$N$354,3,FALSE))</f>
        <v>_</v>
      </c>
      <c r="AM393" s="47"/>
      <c r="AN393" s="4" t="s">
        <v>16</v>
      </c>
      <c r="AO393" s="43" t="str">
        <f>IF(VLOOKUP(AN393,βοηθητικό!$J$2:$N$354,3,FALSE)="","",VLOOKUP(AN393,βοηθητικό!$J$2:$N$354,3,FALSE))</f>
        <v>_</v>
      </c>
      <c r="AP393" s="44"/>
      <c r="AQ393" s="5" t="s">
        <v>16</v>
      </c>
      <c r="AR393" s="46" t="str">
        <f>IF(VLOOKUP(AQ393,βοηθητικό!$J$2:$N$354,3,FALSE)="","",VLOOKUP(AQ393,βοηθητικό!$J$2:$N$354,3,FALSE))</f>
        <v>_</v>
      </c>
      <c r="AS393" s="47"/>
      <c r="AT393" s="4" t="s">
        <v>16</v>
      </c>
      <c r="AU393" s="43" t="str">
        <f>IF(VLOOKUP(AT393,βοηθητικό!$J$2:$N$354,3,FALSE)="","",VLOOKUP(AT393,βοηθητικό!$J$2:$N$354,3,FALSE))</f>
        <v>_</v>
      </c>
      <c r="AV393" s="44"/>
      <c r="AW393" s="5" t="s">
        <v>16</v>
      </c>
      <c r="AX393" s="46" t="str">
        <f>IF(VLOOKUP(AW393,βοηθητικό!$J$2:$N$354,3,FALSE)="","",VLOOKUP(AW393,βοηθητικό!$J$2:$N$354,3,FALSE))</f>
        <v>_</v>
      </c>
      <c r="AY393" s="47"/>
      <c r="AZ393" s="4" t="s">
        <v>16</v>
      </c>
      <c r="BA393" s="43" t="str">
        <f>IF(VLOOKUP(AZ393,βοηθητικό!$J$2:$N$354,3,FALSE)="","",VLOOKUP(AZ393,βοηθητικό!$J$2:$N$354,3,FALSE))</f>
        <v>_</v>
      </c>
      <c r="BB393" s="44"/>
      <c r="BC393" s="45" t="s">
        <v>16</v>
      </c>
      <c r="BD393" s="46" t="str">
        <f>IF(VLOOKUP(BC393,βοηθητικό!$J$2:$N$354,3,FALSE)="","",VLOOKUP(BC393,βοηθητικό!$J$2:$N$354,3,FALSE))</f>
        <v>_</v>
      </c>
      <c r="BE393" s="47"/>
      <c r="BF393" s="42" t="s">
        <v>16</v>
      </c>
      <c r="BG393" s="43" t="str">
        <f>IF(VLOOKUP(BF393,βοηθητικό!$J$2:$N$354,3,FALSE)="","",VLOOKUP(BF393,βοηθητικό!$J$2:$N$354,3,FALSE))</f>
        <v>_</v>
      </c>
      <c r="BH393" s="44"/>
      <c r="BI393" s="45" t="s">
        <v>16</v>
      </c>
      <c r="BJ393" s="46" t="str">
        <f>IF(VLOOKUP(BI393,βοηθητικό!$J$2:$N$354,3,FALSE)="","",VLOOKUP(BI393,βοηθητικό!$J$2:$N$354,3,FALSE))</f>
        <v>_</v>
      </c>
      <c r="BK393" s="47"/>
      <c r="BL393" s="42" t="s">
        <v>16</v>
      </c>
      <c r="BM393" s="43" t="str">
        <f>IF(VLOOKUP(BL393,βοηθητικό!$J$2:$N$354,3,FALSE)="","",VLOOKUP(BL393,βοηθητικό!$J$2:$N$354,3,FALSE))</f>
        <v>_</v>
      </c>
      <c r="BN393" s="44"/>
      <c r="BO393" s="45" t="s">
        <v>16</v>
      </c>
      <c r="BP393" s="46" t="str">
        <f>IF(VLOOKUP(BO393,βοηθητικό!$J$2:$N$354,3,FALSE)="","",VLOOKUP(BO393,βοηθητικό!$J$2:$N$354,3,FALSE))</f>
        <v>_</v>
      </c>
      <c r="BQ393" s="47"/>
      <c r="BR393" s="42" t="s">
        <v>16</v>
      </c>
      <c r="BS393" s="43" t="str">
        <f>IF(VLOOKUP(BR393,βοηθητικό!$J$2:$N$354,3,FALSE)="","",VLOOKUP(BR393,βοηθητικό!$J$2:$N$354,3,FALSE))</f>
        <v>_</v>
      </c>
      <c r="BT393" s="44"/>
      <c r="BU393" s="45" t="s">
        <v>16</v>
      </c>
      <c r="BV393" s="46" t="str">
        <f>IF(VLOOKUP(BU393,βοηθητικό!$J$2:$N$354,3,FALSE)="","",VLOOKUP(BU393,βοηθητικό!$J$2:$N$354,3,FALSE))</f>
        <v>_</v>
      </c>
      <c r="BW393" s="47"/>
      <c r="BX393" s="42" t="s">
        <v>16</v>
      </c>
      <c r="BY393" s="43" t="str">
        <f>IF(VLOOKUP(BX393,βοηθητικό!$J$2:$N$354,3,FALSE)="","",VLOOKUP(BX393,βοηθητικό!$J$2:$N$354,3,FALSE))</f>
        <v>_</v>
      </c>
      <c r="BZ393" s="44"/>
      <c r="CA393" s="45" t="s">
        <v>16</v>
      </c>
      <c r="CB393" s="46" t="str">
        <f>IF(VLOOKUP(CA393,βοηθητικό!$J$2:$N$354,3,FALSE)="","",VLOOKUP(CA393,βοηθητικό!$J$2:$N$354,3,FALSE))</f>
        <v>_</v>
      </c>
      <c r="CC393" s="47"/>
      <c r="CD393" s="42" t="s">
        <v>16</v>
      </c>
      <c r="CE393" s="43" t="str">
        <f>IF(VLOOKUP(CD393,βοηθητικό!$J$2:$N$354,3,FALSE)="","",VLOOKUP(CD393,βοηθητικό!$J$2:$N$354,3,FALSE))</f>
        <v>_</v>
      </c>
      <c r="CF393" s="44"/>
      <c r="CG393" s="45" t="s">
        <v>16</v>
      </c>
      <c r="CH393" s="46" t="str">
        <f>IF(VLOOKUP(CG393,βοηθητικό!$J$2:$N$354,3,FALSE)="","",VLOOKUP(CG393,βοηθητικό!$J$2:$N$354,3,FALSE))</f>
        <v>_</v>
      </c>
      <c r="CI393" s="47"/>
      <c r="CJ393" s="42" t="s">
        <v>16</v>
      </c>
      <c r="CK393" s="43" t="str">
        <f>IF(VLOOKUP(CJ393,βοηθητικό!$J$2:$N$354,3,FALSE)="","",VLOOKUP(CJ393,βοηθητικό!$J$2:$N$354,3,FALSE))</f>
        <v>_</v>
      </c>
      <c r="CL393" s="44"/>
      <c r="CM393" s="45" t="s">
        <v>16</v>
      </c>
      <c r="CN393" s="46" t="str">
        <f>IF(VLOOKUP(CM393,βοηθητικό!$J$2:$N$354,3,FALSE)="","",VLOOKUP(CM393,βοηθητικό!$J$2:$N$354,3,FALSE))</f>
        <v>_</v>
      </c>
      <c r="CO393" s="47"/>
      <c r="CP393" s="42" t="s">
        <v>16</v>
      </c>
      <c r="CQ393" s="43" t="str">
        <f>IF(VLOOKUP(CP393,βοηθητικό!$J$2:$N$354,3,FALSE)="","",VLOOKUP(CP393,βοηθητικό!$J$2:$N$354,3,FALSE))</f>
        <v>_</v>
      </c>
      <c r="CR393" s="44"/>
      <c r="CS393" s="45" t="s">
        <v>16</v>
      </c>
      <c r="CT393" s="46" t="str">
        <f>IF(VLOOKUP(CS393,βοηθητικό!$J$2:$N$354,3,FALSE)="","",VLOOKUP(CS393,βοηθητικό!$J$2:$N$354,3,FALSE))</f>
        <v>_</v>
      </c>
      <c r="CU393" s="47"/>
    </row>
    <row r="394" spans="1:99" x14ac:dyDescent="0.25">
      <c r="A394" s="37">
        <f>--SUBTOTAL(3,$B$3:B393)</f>
        <v>198</v>
      </c>
      <c r="B394" s="2"/>
      <c r="C394" s="3"/>
      <c r="D394" s="55" t="s">
        <v>18</v>
      </c>
      <c r="E394" s="38" t="s">
        <v>16</v>
      </c>
      <c r="F394" s="38" t="s">
        <v>16</v>
      </c>
      <c r="G394" s="39" t="str">
        <f t="shared" si="20"/>
        <v>__</v>
      </c>
      <c r="H394" s="40" t="str">
        <f t="shared" si="21"/>
        <v>FALSE</v>
      </c>
      <c r="I394" s="41">
        <f t="shared" si="22"/>
        <v>0</v>
      </c>
      <c r="J394" s="4" t="s">
        <v>16</v>
      </c>
      <c r="K394" s="43" t="str">
        <f>IF(VLOOKUP(J394,βοηθητικό!$J$2:$N$354,3,FALSE)="","",VLOOKUP(J394,βοηθητικό!$J$2:$N$354,3,FALSE))</f>
        <v>_</v>
      </c>
      <c r="L394" s="44"/>
      <c r="M394" s="5" t="s">
        <v>16</v>
      </c>
      <c r="N394" s="46" t="str">
        <f>IF(VLOOKUP(M394,βοηθητικό!$J$2:$N$354,3,FALSE)="","",VLOOKUP(M394,βοηθητικό!$J$2:$N$354,3,FALSE))</f>
        <v>_</v>
      </c>
      <c r="O394" s="47"/>
      <c r="P394" s="4" t="s">
        <v>16</v>
      </c>
      <c r="Q394" s="43" t="str">
        <f>IF(VLOOKUP(P394,βοηθητικό!$J$2:$N$354,3,FALSE)="","",VLOOKUP(P394,βοηθητικό!$J$2:$N$354,3,FALSE))</f>
        <v>_</v>
      </c>
      <c r="R394" s="44"/>
      <c r="S394" s="5" t="s">
        <v>16</v>
      </c>
      <c r="T394" s="46" t="str">
        <f>IF(VLOOKUP(S394,βοηθητικό!$J$2:$N$354,3,FALSE)="","",VLOOKUP(S394,βοηθητικό!$J$2:$N$354,3,FALSE))</f>
        <v>_</v>
      </c>
      <c r="U394" s="47"/>
      <c r="V394" s="4" t="s">
        <v>16</v>
      </c>
      <c r="W394" s="43" t="str">
        <f>IF(VLOOKUP(V394,βοηθητικό!$J$2:$N$354,3,FALSE)="","",VLOOKUP(V394,βοηθητικό!$J$2:$N$354,3,FALSE))</f>
        <v>_</v>
      </c>
      <c r="X394" s="44"/>
      <c r="Y394" s="5" t="s">
        <v>16</v>
      </c>
      <c r="Z394" s="46" t="str">
        <f>IF(VLOOKUP(Y394,βοηθητικό!$J$2:$N$354,3,FALSE)="","",VLOOKUP(Y394,βοηθητικό!$J$2:$N$354,3,FALSE))</f>
        <v>_</v>
      </c>
      <c r="AA394" s="47"/>
      <c r="AB394" s="4" t="s">
        <v>16</v>
      </c>
      <c r="AC394" s="43" t="str">
        <f>IF(VLOOKUP(AB394,βοηθητικό!$J$2:$N$354,3,FALSE)="","",VLOOKUP(AB394,βοηθητικό!$J$2:$N$354,3,FALSE))</f>
        <v>_</v>
      </c>
      <c r="AD394" s="44"/>
      <c r="AE394" s="5" t="s">
        <v>16</v>
      </c>
      <c r="AF394" s="46" t="str">
        <f>IF(VLOOKUP(AE394,βοηθητικό!$J$2:$N$354,3,FALSE)="","",VLOOKUP(AE394,βοηθητικό!$J$2:$N$354,3,FALSE))</f>
        <v>_</v>
      </c>
      <c r="AG394" s="47"/>
      <c r="AH394" s="4" t="s">
        <v>16</v>
      </c>
      <c r="AI394" s="43" t="str">
        <f>IF(VLOOKUP(AH394,βοηθητικό!$J$2:$N$354,3,FALSE)="","",VLOOKUP(AH394,βοηθητικό!$J$2:$N$354,3,FALSE))</f>
        <v>_</v>
      </c>
      <c r="AJ394" s="44"/>
      <c r="AK394" s="5" t="s">
        <v>16</v>
      </c>
      <c r="AL394" s="46" t="str">
        <f>IF(VLOOKUP(AK394,βοηθητικό!$J$2:$N$354,3,FALSE)="","",VLOOKUP(AK394,βοηθητικό!$J$2:$N$354,3,FALSE))</f>
        <v>_</v>
      </c>
      <c r="AM394" s="47"/>
      <c r="AN394" s="4" t="s">
        <v>16</v>
      </c>
      <c r="AO394" s="43" t="str">
        <f>IF(VLOOKUP(AN394,βοηθητικό!$J$2:$N$354,3,FALSE)="","",VLOOKUP(AN394,βοηθητικό!$J$2:$N$354,3,FALSE))</f>
        <v>_</v>
      </c>
      <c r="AP394" s="44"/>
      <c r="AQ394" s="5" t="s">
        <v>16</v>
      </c>
      <c r="AR394" s="46" t="str">
        <f>IF(VLOOKUP(AQ394,βοηθητικό!$J$2:$N$354,3,FALSE)="","",VLOOKUP(AQ394,βοηθητικό!$J$2:$N$354,3,FALSE))</f>
        <v>_</v>
      </c>
      <c r="AS394" s="47"/>
      <c r="AT394" s="4" t="s">
        <v>16</v>
      </c>
      <c r="AU394" s="43" t="str">
        <f>IF(VLOOKUP(AT394,βοηθητικό!$J$2:$N$354,3,FALSE)="","",VLOOKUP(AT394,βοηθητικό!$J$2:$N$354,3,FALSE))</f>
        <v>_</v>
      </c>
      <c r="AV394" s="44"/>
      <c r="AW394" s="5" t="s">
        <v>16</v>
      </c>
      <c r="AX394" s="46" t="str">
        <f>IF(VLOOKUP(AW394,βοηθητικό!$J$2:$N$354,3,FALSE)="","",VLOOKUP(AW394,βοηθητικό!$J$2:$N$354,3,FALSE))</f>
        <v>_</v>
      </c>
      <c r="AY394" s="47"/>
      <c r="AZ394" s="4" t="s">
        <v>16</v>
      </c>
      <c r="BA394" s="43" t="str">
        <f>IF(VLOOKUP(AZ394,βοηθητικό!$J$2:$N$354,3,FALSE)="","",VLOOKUP(AZ394,βοηθητικό!$J$2:$N$354,3,FALSE))</f>
        <v>_</v>
      </c>
      <c r="BB394" s="44"/>
      <c r="BC394" s="45" t="s">
        <v>16</v>
      </c>
      <c r="BD394" s="46" t="str">
        <f>IF(VLOOKUP(BC394,βοηθητικό!$J$2:$N$354,3,FALSE)="","",VLOOKUP(BC394,βοηθητικό!$J$2:$N$354,3,FALSE))</f>
        <v>_</v>
      </c>
      <c r="BE394" s="47"/>
      <c r="BF394" s="42" t="s">
        <v>16</v>
      </c>
      <c r="BG394" s="43" t="str">
        <f>IF(VLOOKUP(BF394,βοηθητικό!$J$2:$N$354,3,FALSE)="","",VLOOKUP(BF394,βοηθητικό!$J$2:$N$354,3,FALSE))</f>
        <v>_</v>
      </c>
      <c r="BH394" s="44"/>
      <c r="BI394" s="45" t="s">
        <v>16</v>
      </c>
      <c r="BJ394" s="46" t="str">
        <f>IF(VLOOKUP(BI394,βοηθητικό!$J$2:$N$354,3,FALSE)="","",VLOOKUP(BI394,βοηθητικό!$J$2:$N$354,3,FALSE))</f>
        <v>_</v>
      </c>
      <c r="BK394" s="47"/>
      <c r="BL394" s="42" t="s">
        <v>16</v>
      </c>
      <c r="BM394" s="43" t="str">
        <f>IF(VLOOKUP(BL394,βοηθητικό!$J$2:$N$354,3,FALSE)="","",VLOOKUP(BL394,βοηθητικό!$J$2:$N$354,3,FALSE))</f>
        <v>_</v>
      </c>
      <c r="BN394" s="44"/>
      <c r="BO394" s="45" t="s">
        <v>16</v>
      </c>
      <c r="BP394" s="46" t="str">
        <f>IF(VLOOKUP(BO394,βοηθητικό!$J$2:$N$354,3,FALSE)="","",VLOOKUP(BO394,βοηθητικό!$J$2:$N$354,3,FALSE))</f>
        <v>_</v>
      </c>
      <c r="BQ394" s="47"/>
      <c r="BR394" s="42" t="s">
        <v>16</v>
      </c>
      <c r="BS394" s="43" t="str">
        <f>IF(VLOOKUP(BR394,βοηθητικό!$J$2:$N$354,3,FALSE)="","",VLOOKUP(BR394,βοηθητικό!$J$2:$N$354,3,FALSE))</f>
        <v>_</v>
      </c>
      <c r="BT394" s="44"/>
      <c r="BU394" s="45" t="s">
        <v>16</v>
      </c>
      <c r="BV394" s="46" t="str">
        <f>IF(VLOOKUP(BU394,βοηθητικό!$J$2:$N$354,3,FALSE)="","",VLOOKUP(BU394,βοηθητικό!$J$2:$N$354,3,FALSE))</f>
        <v>_</v>
      </c>
      <c r="BW394" s="47"/>
      <c r="BX394" s="42" t="s">
        <v>16</v>
      </c>
      <c r="BY394" s="43" t="str">
        <f>IF(VLOOKUP(BX394,βοηθητικό!$J$2:$N$354,3,FALSE)="","",VLOOKUP(BX394,βοηθητικό!$J$2:$N$354,3,FALSE))</f>
        <v>_</v>
      </c>
      <c r="BZ394" s="44"/>
      <c r="CA394" s="45" t="s">
        <v>16</v>
      </c>
      <c r="CB394" s="46" t="str">
        <f>IF(VLOOKUP(CA394,βοηθητικό!$J$2:$N$354,3,FALSE)="","",VLOOKUP(CA394,βοηθητικό!$J$2:$N$354,3,FALSE))</f>
        <v>_</v>
      </c>
      <c r="CC394" s="47"/>
      <c r="CD394" s="42" t="s">
        <v>16</v>
      </c>
      <c r="CE394" s="43" t="str">
        <f>IF(VLOOKUP(CD394,βοηθητικό!$J$2:$N$354,3,FALSE)="","",VLOOKUP(CD394,βοηθητικό!$J$2:$N$354,3,FALSE))</f>
        <v>_</v>
      </c>
      <c r="CF394" s="44"/>
      <c r="CG394" s="45" t="s">
        <v>16</v>
      </c>
      <c r="CH394" s="46" t="str">
        <f>IF(VLOOKUP(CG394,βοηθητικό!$J$2:$N$354,3,FALSE)="","",VLOOKUP(CG394,βοηθητικό!$J$2:$N$354,3,FALSE))</f>
        <v>_</v>
      </c>
      <c r="CI394" s="47"/>
      <c r="CJ394" s="42" t="s">
        <v>16</v>
      </c>
      <c r="CK394" s="43" t="str">
        <f>IF(VLOOKUP(CJ394,βοηθητικό!$J$2:$N$354,3,FALSE)="","",VLOOKUP(CJ394,βοηθητικό!$J$2:$N$354,3,FALSE))</f>
        <v>_</v>
      </c>
      <c r="CL394" s="44"/>
      <c r="CM394" s="45" t="s">
        <v>16</v>
      </c>
      <c r="CN394" s="46" t="str">
        <f>IF(VLOOKUP(CM394,βοηθητικό!$J$2:$N$354,3,FALSE)="","",VLOOKUP(CM394,βοηθητικό!$J$2:$N$354,3,FALSE))</f>
        <v>_</v>
      </c>
      <c r="CO394" s="47"/>
      <c r="CP394" s="42" t="s">
        <v>16</v>
      </c>
      <c r="CQ394" s="43" t="str">
        <f>IF(VLOOKUP(CP394,βοηθητικό!$J$2:$N$354,3,FALSE)="","",VLOOKUP(CP394,βοηθητικό!$J$2:$N$354,3,FALSE))</f>
        <v>_</v>
      </c>
      <c r="CR394" s="44"/>
      <c r="CS394" s="45" t="s">
        <v>16</v>
      </c>
      <c r="CT394" s="46" t="str">
        <f>IF(VLOOKUP(CS394,βοηθητικό!$J$2:$N$354,3,FALSE)="","",VLOOKUP(CS394,βοηθητικό!$J$2:$N$354,3,FALSE))</f>
        <v>_</v>
      </c>
      <c r="CU394" s="47"/>
    </row>
    <row r="395" spans="1:99" x14ac:dyDescent="0.25">
      <c r="A395" s="37">
        <f>--SUBTOTAL(3,$B$3:B394)</f>
        <v>198</v>
      </c>
      <c r="B395" s="2"/>
      <c r="C395" s="3"/>
      <c r="D395" s="55" t="s">
        <v>18</v>
      </c>
      <c r="E395" s="38" t="s">
        <v>16</v>
      </c>
      <c r="F395" s="38" t="s">
        <v>16</v>
      </c>
      <c r="G395" s="39" t="str">
        <f t="shared" si="20"/>
        <v>__</v>
      </c>
      <c r="H395" s="40" t="str">
        <f t="shared" si="21"/>
        <v>FALSE</v>
      </c>
      <c r="I395" s="41">
        <f t="shared" si="22"/>
        <v>0</v>
      </c>
      <c r="J395" s="4" t="s">
        <v>16</v>
      </c>
      <c r="K395" s="43" t="str">
        <f>IF(VLOOKUP(J395,βοηθητικό!$J$2:$N$354,3,FALSE)="","",VLOOKUP(J395,βοηθητικό!$J$2:$N$354,3,FALSE))</f>
        <v>_</v>
      </c>
      <c r="L395" s="44"/>
      <c r="M395" s="5" t="s">
        <v>16</v>
      </c>
      <c r="N395" s="46" t="str">
        <f>IF(VLOOKUP(M395,βοηθητικό!$J$2:$N$354,3,FALSE)="","",VLOOKUP(M395,βοηθητικό!$J$2:$N$354,3,FALSE))</f>
        <v>_</v>
      </c>
      <c r="O395" s="47"/>
      <c r="P395" s="4" t="s">
        <v>16</v>
      </c>
      <c r="Q395" s="43" t="str">
        <f>IF(VLOOKUP(P395,βοηθητικό!$J$2:$N$354,3,FALSE)="","",VLOOKUP(P395,βοηθητικό!$J$2:$N$354,3,FALSE))</f>
        <v>_</v>
      </c>
      <c r="R395" s="44"/>
      <c r="S395" s="5" t="s">
        <v>16</v>
      </c>
      <c r="T395" s="46" t="str">
        <f>IF(VLOOKUP(S395,βοηθητικό!$J$2:$N$354,3,FALSE)="","",VLOOKUP(S395,βοηθητικό!$J$2:$N$354,3,FALSE))</f>
        <v>_</v>
      </c>
      <c r="U395" s="47"/>
      <c r="V395" s="4" t="s">
        <v>16</v>
      </c>
      <c r="W395" s="43" t="str">
        <f>IF(VLOOKUP(V395,βοηθητικό!$J$2:$N$354,3,FALSE)="","",VLOOKUP(V395,βοηθητικό!$J$2:$N$354,3,FALSE))</f>
        <v>_</v>
      </c>
      <c r="X395" s="44"/>
      <c r="Y395" s="5" t="s">
        <v>16</v>
      </c>
      <c r="Z395" s="46" t="str">
        <f>IF(VLOOKUP(Y395,βοηθητικό!$J$2:$N$354,3,FALSE)="","",VLOOKUP(Y395,βοηθητικό!$J$2:$N$354,3,FALSE))</f>
        <v>_</v>
      </c>
      <c r="AA395" s="47"/>
      <c r="AB395" s="4" t="s">
        <v>16</v>
      </c>
      <c r="AC395" s="43" t="str">
        <f>IF(VLOOKUP(AB395,βοηθητικό!$J$2:$N$354,3,FALSE)="","",VLOOKUP(AB395,βοηθητικό!$J$2:$N$354,3,FALSE))</f>
        <v>_</v>
      </c>
      <c r="AD395" s="44"/>
      <c r="AE395" s="5" t="s">
        <v>16</v>
      </c>
      <c r="AF395" s="46" t="str">
        <f>IF(VLOOKUP(AE395,βοηθητικό!$J$2:$N$354,3,FALSE)="","",VLOOKUP(AE395,βοηθητικό!$J$2:$N$354,3,FALSE))</f>
        <v>_</v>
      </c>
      <c r="AG395" s="47"/>
      <c r="AH395" s="4" t="s">
        <v>16</v>
      </c>
      <c r="AI395" s="43" t="str">
        <f>IF(VLOOKUP(AH395,βοηθητικό!$J$2:$N$354,3,FALSE)="","",VLOOKUP(AH395,βοηθητικό!$J$2:$N$354,3,FALSE))</f>
        <v>_</v>
      </c>
      <c r="AJ395" s="44"/>
      <c r="AK395" s="5" t="s">
        <v>16</v>
      </c>
      <c r="AL395" s="46" t="str">
        <f>IF(VLOOKUP(AK395,βοηθητικό!$J$2:$N$354,3,FALSE)="","",VLOOKUP(AK395,βοηθητικό!$J$2:$N$354,3,FALSE))</f>
        <v>_</v>
      </c>
      <c r="AM395" s="47"/>
      <c r="AN395" s="4" t="s">
        <v>16</v>
      </c>
      <c r="AO395" s="43" t="str">
        <f>IF(VLOOKUP(AN395,βοηθητικό!$J$2:$N$354,3,FALSE)="","",VLOOKUP(AN395,βοηθητικό!$J$2:$N$354,3,FALSE))</f>
        <v>_</v>
      </c>
      <c r="AP395" s="44"/>
      <c r="AQ395" s="5" t="s">
        <v>16</v>
      </c>
      <c r="AR395" s="46" t="str">
        <f>IF(VLOOKUP(AQ395,βοηθητικό!$J$2:$N$354,3,FALSE)="","",VLOOKUP(AQ395,βοηθητικό!$J$2:$N$354,3,FALSE))</f>
        <v>_</v>
      </c>
      <c r="AS395" s="47"/>
      <c r="AT395" s="4" t="s">
        <v>16</v>
      </c>
      <c r="AU395" s="43" t="str">
        <f>IF(VLOOKUP(AT395,βοηθητικό!$J$2:$N$354,3,FALSE)="","",VLOOKUP(AT395,βοηθητικό!$J$2:$N$354,3,FALSE))</f>
        <v>_</v>
      </c>
      <c r="AV395" s="44"/>
      <c r="AW395" s="5" t="s">
        <v>16</v>
      </c>
      <c r="AX395" s="46" t="str">
        <f>IF(VLOOKUP(AW395,βοηθητικό!$J$2:$N$354,3,FALSE)="","",VLOOKUP(AW395,βοηθητικό!$J$2:$N$354,3,FALSE))</f>
        <v>_</v>
      </c>
      <c r="AY395" s="47"/>
      <c r="AZ395" s="4" t="s">
        <v>16</v>
      </c>
      <c r="BA395" s="43" t="str">
        <f>IF(VLOOKUP(AZ395,βοηθητικό!$J$2:$N$354,3,FALSE)="","",VLOOKUP(AZ395,βοηθητικό!$J$2:$N$354,3,FALSE))</f>
        <v>_</v>
      </c>
      <c r="BB395" s="44"/>
      <c r="BC395" s="45" t="s">
        <v>16</v>
      </c>
      <c r="BD395" s="46" t="str">
        <f>IF(VLOOKUP(BC395,βοηθητικό!$J$2:$N$354,3,FALSE)="","",VLOOKUP(BC395,βοηθητικό!$J$2:$N$354,3,FALSE))</f>
        <v>_</v>
      </c>
      <c r="BE395" s="47"/>
      <c r="BF395" s="42" t="s">
        <v>16</v>
      </c>
      <c r="BG395" s="43" t="str">
        <f>IF(VLOOKUP(BF395,βοηθητικό!$J$2:$N$354,3,FALSE)="","",VLOOKUP(BF395,βοηθητικό!$J$2:$N$354,3,FALSE))</f>
        <v>_</v>
      </c>
      <c r="BH395" s="44"/>
      <c r="BI395" s="45" t="s">
        <v>16</v>
      </c>
      <c r="BJ395" s="46" t="str">
        <f>IF(VLOOKUP(BI395,βοηθητικό!$J$2:$N$354,3,FALSE)="","",VLOOKUP(BI395,βοηθητικό!$J$2:$N$354,3,FALSE))</f>
        <v>_</v>
      </c>
      <c r="BK395" s="47"/>
      <c r="BL395" s="42" t="s">
        <v>16</v>
      </c>
      <c r="BM395" s="43" t="str">
        <f>IF(VLOOKUP(BL395,βοηθητικό!$J$2:$N$354,3,FALSE)="","",VLOOKUP(BL395,βοηθητικό!$J$2:$N$354,3,FALSE))</f>
        <v>_</v>
      </c>
      <c r="BN395" s="44"/>
      <c r="BO395" s="45" t="s">
        <v>16</v>
      </c>
      <c r="BP395" s="46" t="str">
        <f>IF(VLOOKUP(BO395,βοηθητικό!$J$2:$N$354,3,FALSE)="","",VLOOKUP(BO395,βοηθητικό!$J$2:$N$354,3,FALSE))</f>
        <v>_</v>
      </c>
      <c r="BQ395" s="47"/>
      <c r="BR395" s="42" t="s">
        <v>16</v>
      </c>
      <c r="BS395" s="43" t="str">
        <f>IF(VLOOKUP(BR395,βοηθητικό!$J$2:$N$354,3,FALSE)="","",VLOOKUP(BR395,βοηθητικό!$J$2:$N$354,3,FALSE))</f>
        <v>_</v>
      </c>
      <c r="BT395" s="44"/>
      <c r="BU395" s="45" t="s">
        <v>16</v>
      </c>
      <c r="BV395" s="46" t="str">
        <f>IF(VLOOKUP(BU395,βοηθητικό!$J$2:$N$354,3,FALSE)="","",VLOOKUP(BU395,βοηθητικό!$J$2:$N$354,3,FALSE))</f>
        <v>_</v>
      </c>
      <c r="BW395" s="47"/>
      <c r="BX395" s="42" t="s">
        <v>16</v>
      </c>
      <c r="BY395" s="43" t="str">
        <f>IF(VLOOKUP(BX395,βοηθητικό!$J$2:$N$354,3,FALSE)="","",VLOOKUP(BX395,βοηθητικό!$J$2:$N$354,3,FALSE))</f>
        <v>_</v>
      </c>
      <c r="BZ395" s="44"/>
      <c r="CA395" s="45" t="s">
        <v>16</v>
      </c>
      <c r="CB395" s="46" t="str">
        <f>IF(VLOOKUP(CA395,βοηθητικό!$J$2:$N$354,3,FALSE)="","",VLOOKUP(CA395,βοηθητικό!$J$2:$N$354,3,FALSE))</f>
        <v>_</v>
      </c>
      <c r="CC395" s="47"/>
      <c r="CD395" s="42" t="s">
        <v>16</v>
      </c>
      <c r="CE395" s="43" t="str">
        <f>IF(VLOOKUP(CD395,βοηθητικό!$J$2:$N$354,3,FALSE)="","",VLOOKUP(CD395,βοηθητικό!$J$2:$N$354,3,FALSE))</f>
        <v>_</v>
      </c>
      <c r="CF395" s="44"/>
      <c r="CG395" s="45" t="s">
        <v>16</v>
      </c>
      <c r="CH395" s="46" t="str">
        <f>IF(VLOOKUP(CG395,βοηθητικό!$J$2:$N$354,3,FALSE)="","",VLOOKUP(CG395,βοηθητικό!$J$2:$N$354,3,FALSE))</f>
        <v>_</v>
      </c>
      <c r="CI395" s="47"/>
      <c r="CJ395" s="42" t="s">
        <v>16</v>
      </c>
      <c r="CK395" s="43" t="str">
        <f>IF(VLOOKUP(CJ395,βοηθητικό!$J$2:$N$354,3,FALSE)="","",VLOOKUP(CJ395,βοηθητικό!$J$2:$N$354,3,FALSE))</f>
        <v>_</v>
      </c>
      <c r="CL395" s="44"/>
      <c r="CM395" s="45" t="s">
        <v>16</v>
      </c>
      <c r="CN395" s="46" t="str">
        <f>IF(VLOOKUP(CM395,βοηθητικό!$J$2:$N$354,3,FALSE)="","",VLOOKUP(CM395,βοηθητικό!$J$2:$N$354,3,FALSE))</f>
        <v>_</v>
      </c>
      <c r="CO395" s="47"/>
      <c r="CP395" s="42" t="s">
        <v>16</v>
      </c>
      <c r="CQ395" s="43" t="str">
        <f>IF(VLOOKUP(CP395,βοηθητικό!$J$2:$N$354,3,FALSE)="","",VLOOKUP(CP395,βοηθητικό!$J$2:$N$354,3,FALSE))</f>
        <v>_</v>
      </c>
      <c r="CR395" s="44"/>
      <c r="CS395" s="45" t="s">
        <v>16</v>
      </c>
      <c r="CT395" s="46" t="str">
        <f>IF(VLOOKUP(CS395,βοηθητικό!$J$2:$N$354,3,FALSE)="","",VLOOKUP(CS395,βοηθητικό!$J$2:$N$354,3,FALSE))</f>
        <v>_</v>
      </c>
      <c r="CU395" s="47"/>
    </row>
    <row r="396" spans="1:99" x14ac:dyDescent="0.25">
      <c r="A396" s="37">
        <f>--SUBTOTAL(3,$B$3:B395)</f>
        <v>198</v>
      </c>
      <c r="B396" s="2"/>
      <c r="C396" s="3"/>
      <c r="D396" s="55" t="s">
        <v>18</v>
      </c>
      <c r="E396" s="38" t="s">
        <v>16</v>
      </c>
      <c r="F396" s="38" t="s">
        <v>16</v>
      </c>
      <c r="G396" s="39" t="str">
        <f t="shared" si="20"/>
        <v>__</v>
      </c>
      <c r="H396" s="40" t="str">
        <f t="shared" si="21"/>
        <v>FALSE</v>
      </c>
      <c r="I396" s="41">
        <f t="shared" si="22"/>
        <v>0</v>
      </c>
      <c r="J396" s="4" t="s">
        <v>16</v>
      </c>
      <c r="K396" s="43" t="str">
        <f>IF(VLOOKUP(J396,βοηθητικό!$J$2:$N$354,3,FALSE)="","",VLOOKUP(J396,βοηθητικό!$J$2:$N$354,3,FALSE))</f>
        <v>_</v>
      </c>
      <c r="L396" s="44"/>
      <c r="M396" s="5" t="s">
        <v>16</v>
      </c>
      <c r="N396" s="46" t="str">
        <f>IF(VLOOKUP(M396,βοηθητικό!$J$2:$N$354,3,FALSE)="","",VLOOKUP(M396,βοηθητικό!$J$2:$N$354,3,FALSE))</f>
        <v>_</v>
      </c>
      <c r="O396" s="47"/>
      <c r="P396" s="4" t="s">
        <v>16</v>
      </c>
      <c r="Q396" s="43" t="str">
        <f>IF(VLOOKUP(P396,βοηθητικό!$J$2:$N$354,3,FALSE)="","",VLOOKUP(P396,βοηθητικό!$J$2:$N$354,3,FALSE))</f>
        <v>_</v>
      </c>
      <c r="R396" s="44"/>
      <c r="S396" s="5" t="s">
        <v>16</v>
      </c>
      <c r="T396" s="46" t="str">
        <f>IF(VLOOKUP(S396,βοηθητικό!$J$2:$N$354,3,FALSE)="","",VLOOKUP(S396,βοηθητικό!$J$2:$N$354,3,FALSE))</f>
        <v>_</v>
      </c>
      <c r="U396" s="47"/>
      <c r="V396" s="4" t="s">
        <v>16</v>
      </c>
      <c r="W396" s="43" t="str">
        <f>IF(VLOOKUP(V396,βοηθητικό!$J$2:$N$354,3,FALSE)="","",VLOOKUP(V396,βοηθητικό!$J$2:$N$354,3,FALSE))</f>
        <v>_</v>
      </c>
      <c r="X396" s="44"/>
      <c r="Y396" s="5" t="s">
        <v>16</v>
      </c>
      <c r="Z396" s="46" t="str">
        <f>IF(VLOOKUP(Y396,βοηθητικό!$J$2:$N$354,3,FALSE)="","",VLOOKUP(Y396,βοηθητικό!$J$2:$N$354,3,FALSE))</f>
        <v>_</v>
      </c>
      <c r="AA396" s="47"/>
      <c r="AB396" s="4" t="s">
        <v>16</v>
      </c>
      <c r="AC396" s="43" t="str">
        <f>IF(VLOOKUP(AB396,βοηθητικό!$J$2:$N$354,3,FALSE)="","",VLOOKUP(AB396,βοηθητικό!$J$2:$N$354,3,FALSE))</f>
        <v>_</v>
      </c>
      <c r="AD396" s="44"/>
      <c r="AE396" s="5" t="s">
        <v>16</v>
      </c>
      <c r="AF396" s="46" t="str">
        <f>IF(VLOOKUP(AE396,βοηθητικό!$J$2:$N$354,3,FALSE)="","",VLOOKUP(AE396,βοηθητικό!$J$2:$N$354,3,FALSE))</f>
        <v>_</v>
      </c>
      <c r="AG396" s="47"/>
      <c r="AH396" s="4" t="s">
        <v>16</v>
      </c>
      <c r="AI396" s="43" t="str">
        <f>IF(VLOOKUP(AH396,βοηθητικό!$J$2:$N$354,3,FALSE)="","",VLOOKUP(AH396,βοηθητικό!$J$2:$N$354,3,FALSE))</f>
        <v>_</v>
      </c>
      <c r="AJ396" s="44"/>
      <c r="AK396" s="5" t="s">
        <v>16</v>
      </c>
      <c r="AL396" s="46" t="str">
        <f>IF(VLOOKUP(AK396,βοηθητικό!$J$2:$N$354,3,FALSE)="","",VLOOKUP(AK396,βοηθητικό!$J$2:$N$354,3,FALSE))</f>
        <v>_</v>
      </c>
      <c r="AM396" s="47"/>
      <c r="AN396" s="4" t="s">
        <v>16</v>
      </c>
      <c r="AO396" s="43" t="str">
        <f>IF(VLOOKUP(AN396,βοηθητικό!$J$2:$N$354,3,FALSE)="","",VLOOKUP(AN396,βοηθητικό!$J$2:$N$354,3,FALSE))</f>
        <v>_</v>
      </c>
      <c r="AP396" s="44"/>
      <c r="AQ396" s="5" t="s">
        <v>16</v>
      </c>
      <c r="AR396" s="46" t="str">
        <f>IF(VLOOKUP(AQ396,βοηθητικό!$J$2:$N$354,3,FALSE)="","",VLOOKUP(AQ396,βοηθητικό!$J$2:$N$354,3,FALSE))</f>
        <v>_</v>
      </c>
      <c r="AS396" s="47"/>
      <c r="AT396" s="4" t="s">
        <v>16</v>
      </c>
      <c r="AU396" s="43" t="str">
        <f>IF(VLOOKUP(AT396,βοηθητικό!$J$2:$N$354,3,FALSE)="","",VLOOKUP(AT396,βοηθητικό!$J$2:$N$354,3,FALSE))</f>
        <v>_</v>
      </c>
      <c r="AV396" s="44"/>
      <c r="AW396" s="5" t="s">
        <v>16</v>
      </c>
      <c r="AX396" s="46" t="str">
        <f>IF(VLOOKUP(AW396,βοηθητικό!$J$2:$N$354,3,FALSE)="","",VLOOKUP(AW396,βοηθητικό!$J$2:$N$354,3,FALSE))</f>
        <v>_</v>
      </c>
      <c r="AY396" s="47"/>
      <c r="AZ396" s="4" t="s">
        <v>16</v>
      </c>
      <c r="BA396" s="43" t="str">
        <f>IF(VLOOKUP(AZ396,βοηθητικό!$J$2:$N$354,3,FALSE)="","",VLOOKUP(AZ396,βοηθητικό!$J$2:$N$354,3,FALSE))</f>
        <v>_</v>
      </c>
      <c r="BB396" s="44"/>
      <c r="BC396" s="45" t="s">
        <v>16</v>
      </c>
      <c r="BD396" s="46" t="str">
        <f>IF(VLOOKUP(BC396,βοηθητικό!$J$2:$N$354,3,FALSE)="","",VLOOKUP(BC396,βοηθητικό!$J$2:$N$354,3,FALSE))</f>
        <v>_</v>
      </c>
      <c r="BE396" s="47"/>
      <c r="BF396" s="42" t="s">
        <v>16</v>
      </c>
      <c r="BG396" s="43" t="str">
        <f>IF(VLOOKUP(BF396,βοηθητικό!$J$2:$N$354,3,FALSE)="","",VLOOKUP(BF396,βοηθητικό!$J$2:$N$354,3,FALSE))</f>
        <v>_</v>
      </c>
      <c r="BH396" s="44"/>
      <c r="BI396" s="45" t="s">
        <v>16</v>
      </c>
      <c r="BJ396" s="46" t="str">
        <f>IF(VLOOKUP(BI396,βοηθητικό!$J$2:$N$354,3,FALSE)="","",VLOOKUP(BI396,βοηθητικό!$J$2:$N$354,3,FALSE))</f>
        <v>_</v>
      </c>
      <c r="BK396" s="47"/>
      <c r="BL396" s="42" t="s">
        <v>16</v>
      </c>
      <c r="BM396" s="43" t="str">
        <f>IF(VLOOKUP(BL396,βοηθητικό!$J$2:$N$354,3,FALSE)="","",VLOOKUP(BL396,βοηθητικό!$J$2:$N$354,3,FALSE))</f>
        <v>_</v>
      </c>
      <c r="BN396" s="44"/>
      <c r="BO396" s="45" t="s">
        <v>16</v>
      </c>
      <c r="BP396" s="46" t="str">
        <f>IF(VLOOKUP(BO396,βοηθητικό!$J$2:$N$354,3,FALSE)="","",VLOOKUP(BO396,βοηθητικό!$J$2:$N$354,3,FALSE))</f>
        <v>_</v>
      </c>
      <c r="BQ396" s="47"/>
      <c r="BR396" s="42" t="s">
        <v>16</v>
      </c>
      <c r="BS396" s="43" t="str">
        <f>IF(VLOOKUP(BR396,βοηθητικό!$J$2:$N$354,3,FALSE)="","",VLOOKUP(BR396,βοηθητικό!$J$2:$N$354,3,FALSE))</f>
        <v>_</v>
      </c>
      <c r="BT396" s="44"/>
      <c r="BU396" s="45" t="s">
        <v>16</v>
      </c>
      <c r="BV396" s="46" t="str">
        <f>IF(VLOOKUP(BU396,βοηθητικό!$J$2:$N$354,3,FALSE)="","",VLOOKUP(BU396,βοηθητικό!$J$2:$N$354,3,FALSE))</f>
        <v>_</v>
      </c>
      <c r="BW396" s="47"/>
      <c r="BX396" s="42" t="s">
        <v>16</v>
      </c>
      <c r="BY396" s="43" t="str">
        <f>IF(VLOOKUP(BX396,βοηθητικό!$J$2:$N$354,3,FALSE)="","",VLOOKUP(BX396,βοηθητικό!$J$2:$N$354,3,FALSE))</f>
        <v>_</v>
      </c>
      <c r="BZ396" s="44"/>
      <c r="CA396" s="45" t="s">
        <v>16</v>
      </c>
      <c r="CB396" s="46" t="str">
        <f>IF(VLOOKUP(CA396,βοηθητικό!$J$2:$N$354,3,FALSE)="","",VLOOKUP(CA396,βοηθητικό!$J$2:$N$354,3,FALSE))</f>
        <v>_</v>
      </c>
      <c r="CC396" s="47"/>
      <c r="CD396" s="42" t="s">
        <v>16</v>
      </c>
      <c r="CE396" s="43" t="str">
        <f>IF(VLOOKUP(CD396,βοηθητικό!$J$2:$N$354,3,FALSE)="","",VLOOKUP(CD396,βοηθητικό!$J$2:$N$354,3,FALSE))</f>
        <v>_</v>
      </c>
      <c r="CF396" s="44"/>
      <c r="CG396" s="45" t="s">
        <v>16</v>
      </c>
      <c r="CH396" s="46" t="str">
        <f>IF(VLOOKUP(CG396,βοηθητικό!$J$2:$N$354,3,FALSE)="","",VLOOKUP(CG396,βοηθητικό!$J$2:$N$354,3,FALSE))</f>
        <v>_</v>
      </c>
      <c r="CI396" s="47"/>
      <c r="CJ396" s="42" t="s">
        <v>16</v>
      </c>
      <c r="CK396" s="43" t="str">
        <f>IF(VLOOKUP(CJ396,βοηθητικό!$J$2:$N$354,3,FALSE)="","",VLOOKUP(CJ396,βοηθητικό!$J$2:$N$354,3,FALSE))</f>
        <v>_</v>
      </c>
      <c r="CL396" s="44"/>
      <c r="CM396" s="45" t="s">
        <v>16</v>
      </c>
      <c r="CN396" s="46" t="str">
        <f>IF(VLOOKUP(CM396,βοηθητικό!$J$2:$N$354,3,FALSE)="","",VLOOKUP(CM396,βοηθητικό!$J$2:$N$354,3,FALSE))</f>
        <v>_</v>
      </c>
      <c r="CO396" s="47"/>
      <c r="CP396" s="42" t="s">
        <v>16</v>
      </c>
      <c r="CQ396" s="43" t="str">
        <f>IF(VLOOKUP(CP396,βοηθητικό!$J$2:$N$354,3,FALSE)="","",VLOOKUP(CP396,βοηθητικό!$J$2:$N$354,3,FALSE))</f>
        <v>_</v>
      </c>
      <c r="CR396" s="44"/>
      <c r="CS396" s="45" t="s">
        <v>16</v>
      </c>
      <c r="CT396" s="46" t="str">
        <f>IF(VLOOKUP(CS396,βοηθητικό!$J$2:$N$354,3,FALSE)="","",VLOOKUP(CS396,βοηθητικό!$J$2:$N$354,3,FALSE))</f>
        <v>_</v>
      </c>
      <c r="CU396" s="47"/>
    </row>
    <row r="397" spans="1:99" x14ac:dyDescent="0.25">
      <c r="A397" s="37">
        <f>--SUBTOTAL(3,$B$3:B396)</f>
        <v>198</v>
      </c>
      <c r="B397" s="2"/>
      <c r="C397" s="3"/>
      <c r="D397" s="55" t="s">
        <v>18</v>
      </c>
      <c r="E397" s="38" t="s">
        <v>16</v>
      </c>
      <c r="F397" s="38" t="s">
        <v>16</v>
      </c>
      <c r="G397" s="39" t="str">
        <f t="shared" si="20"/>
        <v>__</v>
      </c>
      <c r="H397" s="40" t="str">
        <f t="shared" si="21"/>
        <v>FALSE</v>
      </c>
      <c r="I397" s="41">
        <f t="shared" si="22"/>
        <v>0</v>
      </c>
      <c r="J397" s="4" t="s">
        <v>16</v>
      </c>
      <c r="K397" s="43" t="str">
        <f>IF(VLOOKUP(J397,βοηθητικό!$J$2:$N$354,3,FALSE)="","",VLOOKUP(J397,βοηθητικό!$J$2:$N$354,3,FALSE))</f>
        <v>_</v>
      </c>
      <c r="L397" s="44"/>
      <c r="M397" s="5" t="s">
        <v>16</v>
      </c>
      <c r="N397" s="46" t="str">
        <f>IF(VLOOKUP(M397,βοηθητικό!$J$2:$N$354,3,FALSE)="","",VLOOKUP(M397,βοηθητικό!$J$2:$N$354,3,FALSE))</f>
        <v>_</v>
      </c>
      <c r="O397" s="47"/>
      <c r="P397" s="4" t="s">
        <v>16</v>
      </c>
      <c r="Q397" s="43" t="str">
        <f>IF(VLOOKUP(P397,βοηθητικό!$J$2:$N$354,3,FALSE)="","",VLOOKUP(P397,βοηθητικό!$J$2:$N$354,3,FALSE))</f>
        <v>_</v>
      </c>
      <c r="R397" s="44"/>
      <c r="S397" s="5" t="s">
        <v>16</v>
      </c>
      <c r="T397" s="46" t="str">
        <f>IF(VLOOKUP(S397,βοηθητικό!$J$2:$N$354,3,FALSE)="","",VLOOKUP(S397,βοηθητικό!$J$2:$N$354,3,FALSE))</f>
        <v>_</v>
      </c>
      <c r="U397" s="47"/>
      <c r="V397" s="4" t="s">
        <v>16</v>
      </c>
      <c r="W397" s="43" t="str">
        <f>IF(VLOOKUP(V397,βοηθητικό!$J$2:$N$354,3,FALSE)="","",VLOOKUP(V397,βοηθητικό!$J$2:$N$354,3,FALSE))</f>
        <v>_</v>
      </c>
      <c r="X397" s="44"/>
      <c r="Y397" s="5" t="s">
        <v>16</v>
      </c>
      <c r="Z397" s="46" t="str">
        <f>IF(VLOOKUP(Y397,βοηθητικό!$J$2:$N$354,3,FALSE)="","",VLOOKUP(Y397,βοηθητικό!$J$2:$N$354,3,FALSE))</f>
        <v>_</v>
      </c>
      <c r="AA397" s="47"/>
      <c r="AB397" s="4" t="s">
        <v>16</v>
      </c>
      <c r="AC397" s="43" t="str">
        <f>IF(VLOOKUP(AB397,βοηθητικό!$J$2:$N$354,3,FALSE)="","",VLOOKUP(AB397,βοηθητικό!$J$2:$N$354,3,FALSE))</f>
        <v>_</v>
      </c>
      <c r="AD397" s="44"/>
      <c r="AE397" s="5" t="s">
        <v>16</v>
      </c>
      <c r="AF397" s="46" t="str">
        <f>IF(VLOOKUP(AE397,βοηθητικό!$J$2:$N$354,3,FALSE)="","",VLOOKUP(AE397,βοηθητικό!$J$2:$N$354,3,FALSE))</f>
        <v>_</v>
      </c>
      <c r="AG397" s="47"/>
      <c r="AH397" s="4" t="s">
        <v>16</v>
      </c>
      <c r="AI397" s="43" t="str">
        <f>IF(VLOOKUP(AH397,βοηθητικό!$J$2:$N$354,3,FALSE)="","",VLOOKUP(AH397,βοηθητικό!$J$2:$N$354,3,FALSE))</f>
        <v>_</v>
      </c>
      <c r="AJ397" s="44"/>
      <c r="AK397" s="5" t="s">
        <v>16</v>
      </c>
      <c r="AL397" s="46" t="str">
        <f>IF(VLOOKUP(AK397,βοηθητικό!$J$2:$N$354,3,FALSE)="","",VLOOKUP(AK397,βοηθητικό!$J$2:$N$354,3,FALSE))</f>
        <v>_</v>
      </c>
      <c r="AM397" s="47"/>
      <c r="AN397" s="4" t="s">
        <v>16</v>
      </c>
      <c r="AO397" s="43" t="str">
        <f>IF(VLOOKUP(AN397,βοηθητικό!$J$2:$N$354,3,FALSE)="","",VLOOKUP(AN397,βοηθητικό!$J$2:$N$354,3,FALSE))</f>
        <v>_</v>
      </c>
      <c r="AP397" s="44"/>
      <c r="AQ397" s="5" t="s">
        <v>16</v>
      </c>
      <c r="AR397" s="46" t="str">
        <f>IF(VLOOKUP(AQ397,βοηθητικό!$J$2:$N$354,3,FALSE)="","",VLOOKUP(AQ397,βοηθητικό!$J$2:$N$354,3,FALSE))</f>
        <v>_</v>
      </c>
      <c r="AS397" s="47"/>
      <c r="AT397" s="4" t="s">
        <v>16</v>
      </c>
      <c r="AU397" s="43" t="str">
        <f>IF(VLOOKUP(AT397,βοηθητικό!$J$2:$N$354,3,FALSE)="","",VLOOKUP(AT397,βοηθητικό!$J$2:$N$354,3,FALSE))</f>
        <v>_</v>
      </c>
      <c r="AV397" s="44"/>
      <c r="AW397" s="5" t="s">
        <v>16</v>
      </c>
      <c r="AX397" s="46" t="str">
        <f>IF(VLOOKUP(AW397,βοηθητικό!$J$2:$N$354,3,FALSE)="","",VLOOKUP(AW397,βοηθητικό!$J$2:$N$354,3,FALSE))</f>
        <v>_</v>
      </c>
      <c r="AY397" s="47"/>
      <c r="AZ397" s="4" t="s">
        <v>16</v>
      </c>
      <c r="BA397" s="43" t="str">
        <f>IF(VLOOKUP(AZ397,βοηθητικό!$J$2:$N$354,3,FALSE)="","",VLOOKUP(AZ397,βοηθητικό!$J$2:$N$354,3,FALSE))</f>
        <v>_</v>
      </c>
      <c r="BB397" s="44"/>
      <c r="BC397" s="45" t="s">
        <v>16</v>
      </c>
      <c r="BD397" s="46" t="str">
        <f>IF(VLOOKUP(BC397,βοηθητικό!$J$2:$N$354,3,FALSE)="","",VLOOKUP(BC397,βοηθητικό!$J$2:$N$354,3,FALSE))</f>
        <v>_</v>
      </c>
      <c r="BE397" s="47"/>
      <c r="BF397" s="42" t="s">
        <v>16</v>
      </c>
      <c r="BG397" s="43" t="str">
        <f>IF(VLOOKUP(BF397,βοηθητικό!$J$2:$N$354,3,FALSE)="","",VLOOKUP(BF397,βοηθητικό!$J$2:$N$354,3,FALSE))</f>
        <v>_</v>
      </c>
      <c r="BH397" s="44"/>
      <c r="BI397" s="45" t="s">
        <v>16</v>
      </c>
      <c r="BJ397" s="46" t="str">
        <f>IF(VLOOKUP(BI397,βοηθητικό!$J$2:$N$354,3,FALSE)="","",VLOOKUP(BI397,βοηθητικό!$J$2:$N$354,3,FALSE))</f>
        <v>_</v>
      </c>
      <c r="BK397" s="47"/>
      <c r="BL397" s="42" t="s">
        <v>16</v>
      </c>
      <c r="BM397" s="43" t="str">
        <f>IF(VLOOKUP(BL397,βοηθητικό!$J$2:$N$354,3,FALSE)="","",VLOOKUP(BL397,βοηθητικό!$J$2:$N$354,3,FALSE))</f>
        <v>_</v>
      </c>
      <c r="BN397" s="44"/>
      <c r="BO397" s="45" t="s">
        <v>16</v>
      </c>
      <c r="BP397" s="46" t="str">
        <f>IF(VLOOKUP(BO397,βοηθητικό!$J$2:$N$354,3,FALSE)="","",VLOOKUP(BO397,βοηθητικό!$J$2:$N$354,3,FALSE))</f>
        <v>_</v>
      </c>
      <c r="BQ397" s="47"/>
      <c r="BR397" s="42" t="s">
        <v>16</v>
      </c>
      <c r="BS397" s="43" t="str">
        <f>IF(VLOOKUP(BR397,βοηθητικό!$J$2:$N$354,3,FALSE)="","",VLOOKUP(BR397,βοηθητικό!$J$2:$N$354,3,FALSE))</f>
        <v>_</v>
      </c>
      <c r="BT397" s="44"/>
      <c r="BU397" s="45" t="s">
        <v>16</v>
      </c>
      <c r="BV397" s="46" t="str">
        <f>IF(VLOOKUP(BU397,βοηθητικό!$J$2:$N$354,3,FALSE)="","",VLOOKUP(BU397,βοηθητικό!$J$2:$N$354,3,FALSE))</f>
        <v>_</v>
      </c>
      <c r="BW397" s="47"/>
      <c r="BX397" s="42" t="s">
        <v>16</v>
      </c>
      <c r="BY397" s="43" t="str">
        <f>IF(VLOOKUP(BX397,βοηθητικό!$J$2:$N$354,3,FALSE)="","",VLOOKUP(BX397,βοηθητικό!$J$2:$N$354,3,FALSE))</f>
        <v>_</v>
      </c>
      <c r="BZ397" s="44"/>
      <c r="CA397" s="45" t="s">
        <v>16</v>
      </c>
      <c r="CB397" s="46" t="str">
        <f>IF(VLOOKUP(CA397,βοηθητικό!$J$2:$N$354,3,FALSE)="","",VLOOKUP(CA397,βοηθητικό!$J$2:$N$354,3,FALSE))</f>
        <v>_</v>
      </c>
      <c r="CC397" s="47"/>
      <c r="CD397" s="42" t="s">
        <v>16</v>
      </c>
      <c r="CE397" s="43" t="str">
        <f>IF(VLOOKUP(CD397,βοηθητικό!$J$2:$N$354,3,FALSE)="","",VLOOKUP(CD397,βοηθητικό!$J$2:$N$354,3,FALSE))</f>
        <v>_</v>
      </c>
      <c r="CF397" s="44"/>
      <c r="CG397" s="45" t="s">
        <v>16</v>
      </c>
      <c r="CH397" s="46" t="str">
        <f>IF(VLOOKUP(CG397,βοηθητικό!$J$2:$N$354,3,FALSE)="","",VLOOKUP(CG397,βοηθητικό!$J$2:$N$354,3,FALSE))</f>
        <v>_</v>
      </c>
      <c r="CI397" s="47"/>
      <c r="CJ397" s="42" t="s">
        <v>16</v>
      </c>
      <c r="CK397" s="43" t="str">
        <f>IF(VLOOKUP(CJ397,βοηθητικό!$J$2:$N$354,3,FALSE)="","",VLOOKUP(CJ397,βοηθητικό!$J$2:$N$354,3,FALSE))</f>
        <v>_</v>
      </c>
      <c r="CL397" s="44"/>
      <c r="CM397" s="45" t="s">
        <v>16</v>
      </c>
      <c r="CN397" s="46" t="str">
        <f>IF(VLOOKUP(CM397,βοηθητικό!$J$2:$N$354,3,FALSE)="","",VLOOKUP(CM397,βοηθητικό!$J$2:$N$354,3,FALSE))</f>
        <v>_</v>
      </c>
      <c r="CO397" s="47"/>
      <c r="CP397" s="42" t="s">
        <v>16</v>
      </c>
      <c r="CQ397" s="43" t="str">
        <f>IF(VLOOKUP(CP397,βοηθητικό!$J$2:$N$354,3,FALSE)="","",VLOOKUP(CP397,βοηθητικό!$J$2:$N$354,3,FALSE))</f>
        <v>_</v>
      </c>
      <c r="CR397" s="44"/>
      <c r="CS397" s="45" t="s">
        <v>16</v>
      </c>
      <c r="CT397" s="46" t="str">
        <f>IF(VLOOKUP(CS397,βοηθητικό!$J$2:$N$354,3,FALSE)="","",VLOOKUP(CS397,βοηθητικό!$J$2:$N$354,3,FALSE))</f>
        <v>_</v>
      </c>
      <c r="CU397" s="47"/>
    </row>
    <row r="398" spans="1:99" x14ac:dyDescent="0.25">
      <c r="A398" s="37">
        <f>--SUBTOTAL(3,$B$3:B397)</f>
        <v>198</v>
      </c>
      <c r="B398" s="2"/>
      <c r="C398" s="3"/>
      <c r="D398" s="55" t="s">
        <v>18</v>
      </c>
      <c r="E398" s="38" t="s">
        <v>16</v>
      </c>
      <c r="F398" s="38" t="s">
        <v>16</v>
      </c>
      <c r="G398" s="39" t="str">
        <f t="shared" si="20"/>
        <v>__</v>
      </c>
      <c r="H398" s="40" t="str">
        <f t="shared" si="21"/>
        <v>FALSE</v>
      </c>
      <c r="I398" s="41">
        <f t="shared" si="22"/>
        <v>0</v>
      </c>
      <c r="J398" s="4" t="s">
        <v>16</v>
      </c>
      <c r="K398" s="43" t="str">
        <f>IF(VLOOKUP(J398,βοηθητικό!$J$2:$N$354,3,FALSE)="","",VLOOKUP(J398,βοηθητικό!$J$2:$N$354,3,FALSE))</f>
        <v>_</v>
      </c>
      <c r="L398" s="44"/>
      <c r="M398" s="5" t="s">
        <v>16</v>
      </c>
      <c r="N398" s="46" t="str">
        <f>IF(VLOOKUP(M398,βοηθητικό!$J$2:$N$354,3,FALSE)="","",VLOOKUP(M398,βοηθητικό!$J$2:$N$354,3,FALSE))</f>
        <v>_</v>
      </c>
      <c r="O398" s="47"/>
      <c r="P398" s="4" t="s">
        <v>16</v>
      </c>
      <c r="Q398" s="43" t="str">
        <f>IF(VLOOKUP(P398,βοηθητικό!$J$2:$N$354,3,FALSE)="","",VLOOKUP(P398,βοηθητικό!$J$2:$N$354,3,FALSE))</f>
        <v>_</v>
      </c>
      <c r="R398" s="44"/>
      <c r="S398" s="5" t="s">
        <v>16</v>
      </c>
      <c r="T398" s="46" t="str">
        <f>IF(VLOOKUP(S398,βοηθητικό!$J$2:$N$354,3,FALSE)="","",VLOOKUP(S398,βοηθητικό!$J$2:$N$354,3,FALSE))</f>
        <v>_</v>
      </c>
      <c r="U398" s="47"/>
      <c r="V398" s="4" t="s">
        <v>16</v>
      </c>
      <c r="W398" s="43" t="str">
        <f>IF(VLOOKUP(V398,βοηθητικό!$J$2:$N$354,3,FALSE)="","",VLOOKUP(V398,βοηθητικό!$J$2:$N$354,3,FALSE))</f>
        <v>_</v>
      </c>
      <c r="X398" s="44"/>
      <c r="Y398" s="5" t="s">
        <v>16</v>
      </c>
      <c r="Z398" s="46" t="str">
        <f>IF(VLOOKUP(Y398,βοηθητικό!$J$2:$N$354,3,FALSE)="","",VLOOKUP(Y398,βοηθητικό!$J$2:$N$354,3,FALSE))</f>
        <v>_</v>
      </c>
      <c r="AA398" s="47"/>
      <c r="AB398" s="4" t="s">
        <v>16</v>
      </c>
      <c r="AC398" s="43" t="str">
        <f>IF(VLOOKUP(AB398,βοηθητικό!$J$2:$N$354,3,FALSE)="","",VLOOKUP(AB398,βοηθητικό!$J$2:$N$354,3,FALSE))</f>
        <v>_</v>
      </c>
      <c r="AD398" s="44"/>
      <c r="AE398" s="5" t="s">
        <v>16</v>
      </c>
      <c r="AF398" s="46" t="str">
        <f>IF(VLOOKUP(AE398,βοηθητικό!$J$2:$N$354,3,FALSE)="","",VLOOKUP(AE398,βοηθητικό!$J$2:$N$354,3,FALSE))</f>
        <v>_</v>
      </c>
      <c r="AG398" s="47"/>
      <c r="AH398" s="4" t="s">
        <v>16</v>
      </c>
      <c r="AI398" s="43" t="str">
        <f>IF(VLOOKUP(AH398,βοηθητικό!$J$2:$N$354,3,FALSE)="","",VLOOKUP(AH398,βοηθητικό!$J$2:$N$354,3,FALSE))</f>
        <v>_</v>
      </c>
      <c r="AJ398" s="44"/>
      <c r="AK398" s="5" t="s">
        <v>16</v>
      </c>
      <c r="AL398" s="46" t="str">
        <f>IF(VLOOKUP(AK398,βοηθητικό!$J$2:$N$354,3,FALSE)="","",VLOOKUP(AK398,βοηθητικό!$J$2:$N$354,3,FALSE))</f>
        <v>_</v>
      </c>
      <c r="AM398" s="47"/>
      <c r="AN398" s="4" t="s">
        <v>16</v>
      </c>
      <c r="AO398" s="43" t="str">
        <f>IF(VLOOKUP(AN398,βοηθητικό!$J$2:$N$354,3,FALSE)="","",VLOOKUP(AN398,βοηθητικό!$J$2:$N$354,3,FALSE))</f>
        <v>_</v>
      </c>
      <c r="AP398" s="44"/>
      <c r="AQ398" s="5" t="s">
        <v>16</v>
      </c>
      <c r="AR398" s="46" t="str">
        <f>IF(VLOOKUP(AQ398,βοηθητικό!$J$2:$N$354,3,FALSE)="","",VLOOKUP(AQ398,βοηθητικό!$J$2:$N$354,3,FALSE))</f>
        <v>_</v>
      </c>
      <c r="AS398" s="47"/>
      <c r="AT398" s="4" t="s">
        <v>16</v>
      </c>
      <c r="AU398" s="43" t="str">
        <f>IF(VLOOKUP(AT398,βοηθητικό!$J$2:$N$354,3,FALSE)="","",VLOOKUP(AT398,βοηθητικό!$J$2:$N$354,3,FALSE))</f>
        <v>_</v>
      </c>
      <c r="AV398" s="44"/>
      <c r="AW398" s="5" t="s">
        <v>16</v>
      </c>
      <c r="AX398" s="46" t="str">
        <f>IF(VLOOKUP(AW398,βοηθητικό!$J$2:$N$354,3,FALSE)="","",VLOOKUP(AW398,βοηθητικό!$J$2:$N$354,3,FALSE))</f>
        <v>_</v>
      </c>
      <c r="AY398" s="47"/>
      <c r="AZ398" s="4" t="s">
        <v>16</v>
      </c>
      <c r="BA398" s="43" t="str">
        <f>IF(VLOOKUP(AZ398,βοηθητικό!$J$2:$N$354,3,FALSE)="","",VLOOKUP(AZ398,βοηθητικό!$J$2:$N$354,3,FALSE))</f>
        <v>_</v>
      </c>
      <c r="BB398" s="44"/>
      <c r="BC398" s="45" t="s">
        <v>16</v>
      </c>
      <c r="BD398" s="46" t="str">
        <f>IF(VLOOKUP(BC398,βοηθητικό!$J$2:$N$354,3,FALSE)="","",VLOOKUP(BC398,βοηθητικό!$J$2:$N$354,3,FALSE))</f>
        <v>_</v>
      </c>
      <c r="BE398" s="47"/>
      <c r="BF398" s="42" t="s">
        <v>16</v>
      </c>
      <c r="BG398" s="43" t="str">
        <f>IF(VLOOKUP(BF398,βοηθητικό!$J$2:$N$354,3,FALSE)="","",VLOOKUP(BF398,βοηθητικό!$J$2:$N$354,3,FALSE))</f>
        <v>_</v>
      </c>
      <c r="BH398" s="44"/>
      <c r="BI398" s="45" t="s">
        <v>16</v>
      </c>
      <c r="BJ398" s="46" t="str">
        <f>IF(VLOOKUP(BI398,βοηθητικό!$J$2:$N$354,3,FALSE)="","",VLOOKUP(BI398,βοηθητικό!$J$2:$N$354,3,FALSE))</f>
        <v>_</v>
      </c>
      <c r="BK398" s="47"/>
      <c r="BL398" s="42" t="s">
        <v>16</v>
      </c>
      <c r="BM398" s="43" t="str">
        <f>IF(VLOOKUP(BL398,βοηθητικό!$J$2:$N$354,3,FALSE)="","",VLOOKUP(BL398,βοηθητικό!$J$2:$N$354,3,FALSE))</f>
        <v>_</v>
      </c>
      <c r="BN398" s="44"/>
      <c r="BO398" s="45" t="s">
        <v>16</v>
      </c>
      <c r="BP398" s="46" t="str">
        <f>IF(VLOOKUP(BO398,βοηθητικό!$J$2:$N$354,3,FALSE)="","",VLOOKUP(BO398,βοηθητικό!$J$2:$N$354,3,FALSE))</f>
        <v>_</v>
      </c>
      <c r="BQ398" s="47"/>
      <c r="BR398" s="42" t="s">
        <v>16</v>
      </c>
      <c r="BS398" s="43" t="str">
        <f>IF(VLOOKUP(BR398,βοηθητικό!$J$2:$N$354,3,FALSE)="","",VLOOKUP(BR398,βοηθητικό!$J$2:$N$354,3,FALSE))</f>
        <v>_</v>
      </c>
      <c r="BT398" s="44"/>
      <c r="BU398" s="45" t="s">
        <v>16</v>
      </c>
      <c r="BV398" s="46" t="str">
        <f>IF(VLOOKUP(BU398,βοηθητικό!$J$2:$N$354,3,FALSE)="","",VLOOKUP(BU398,βοηθητικό!$J$2:$N$354,3,FALSE))</f>
        <v>_</v>
      </c>
      <c r="BW398" s="47"/>
      <c r="BX398" s="42" t="s">
        <v>16</v>
      </c>
      <c r="BY398" s="43" t="str">
        <f>IF(VLOOKUP(BX398,βοηθητικό!$J$2:$N$354,3,FALSE)="","",VLOOKUP(BX398,βοηθητικό!$J$2:$N$354,3,FALSE))</f>
        <v>_</v>
      </c>
      <c r="BZ398" s="44"/>
      <c r="CA398" s="45" t="s">
        <v>16</v>
      </c>
      <c r="CB398" s="46" t="str">
        <f>IF(VLOOKUP(CA398,βοηθητικό!$J$2:$N$354,3,FALSE)="","",VLOOKUP(CA398,βοηθητικό!$J$2:$N$354,3,FALSE))</f>
        <v>_</v>
      </c>
      <c r="CC398" s="47"/>
      <c r="CD398" s="42" t="s">
        <v>16</v>
      </c>
      <c r="CE398" s="43" t="str">
        <f>IF(VLOOKUP(CD398,βοηθητικό!$J$2:$N$354,3,FALSE)="","",VLOOKUP(CD398,βοηθητικό!$J$2:$N$354,3,FALSE))</f>
        <v>_</v>
      </c>
      <c r="CF398" s="44"/>
      <c r="CG398" s="45" t="s">
        <v>16</v>
      </c>
      <c r="CH398" s="46" t="str">
        <f>IF(VLOOKUP(CG398,βοηθητικό!$J$2:$N$354,3,FALSE)="","",VLOOKUP(CG398,βοηθητικό!$J$2:$N$354,3,FALSE))</f>
        <v>_</v>
      </c>
      <c r="CI398" s="47"/>
      <c r="CJ398" s="42" t="s">
        <v>16</v>
      </c>
      <c r="CK398" s="43" t="str">
        <f>IF(VLOOKUP(CJ398,βοηθητικό!$J$2:$N$354,3,FALSE)="","",VLOOKUP(CJ398,βοηθητικό!$J$2:$N$354,3,FALSE))</f>
        <v>_</v>
      </c>
      <c r="CL398" s="44"/>
      <c r="CM398" s="45" t="s">
        <v>16</v>
      </c>
      <c r="CN398" s="46" t="str">
        <f>IF(VLOOKUP(CM398,βοηθητικό!$J$2:$N$354,3,FALSE)="","",VLOOKUP(CM398,βοηθητικό!$J$2:$N$354,3,FALSE))</f>
        <v>_</v>
      </c>
      <c r="CO398" s="47"/>
      <c r="CP398" s="42" t="s">
        <v>16</v>
      </c>
      <c r="CQ398" s="43" t="str">
        <f>IF(VLOOKUP(CP398,βοηθητικό!$J$2:$N$354,3,FALSE)="","",VLOOKUP(CP398,βοηθητικό!$J$2:$N$354,3,FALSE))</f>
        <v>_</v>
      </c>
      <c r="CR398" s="44"/>
      <c r="CS398" s="45" t="s">
        <v>16</v>
      </c>
      <c r="CT398" s="46" t="str">
        <f>IF(VLOOKUP(CS398,βοηθητικό!$J$2:$N$354,3,FALSE)="","",VLOOKUP(CS398,βοηθητικό!$J$2:$N$354,3,FALSE))</f>
        <v>_</v>
      </c>
      <c r="CU398" s="47"/>
    </row>
    <row r="399" spans="1:99" x14ac:dyDescent="0.25">
      <c r="A399" s="37">
        <f>--SUBTOTAL(3,$B$3:B398)</f>
        <v>198</v>
      </c>
      <c r="B399" s="2"/>
      <c r="C399" s="3"/>
      <c r="D399" s="55" t="s">
        <v>18</v>
      </c>
      <c r="E399" s="38" t="s">
        <v>16</v>
      </c>
      <c r="F399" s="38" t="s">
        <v>16</v>
      </c>
      <c r="G399" s="39" t="str">
        <f t="shared" si="20"/>
        <v>__</v>
      </c>
      <c r="H399" s="40" t="str">
        <f t="shared" si="21"/>
        <v>FALSE</v>
      </c>
      <c r="I399" s="41">
        <f t="shared" si="22"/>
        <v>0</v>
      </c>
      <c r="J399" s="4" t="s">
        <v>16</v>
      </c>
      <c r="K399" s="43" t="str">
        <f>IF(VLOOKUP(J399,βοηθητικό!$J$2:$N$354,3,FALSE)="","",VLOOKUP(J399,βοηθητικό!$J$2:$N$354,3,FALSE))</f>
        <v>_</v>
      </c>
      <c r="L399" s="44"/>
      <c r="M399" s="5" t="s">
        <v>16</v>
      </c>
      <c r="N399" s="46" t="str">
        <f>IF(VLOOKUP(M399,βοηθητικό!$J$2:$N$354,3,FALSE)="","",VLOOKUP(M399,βοηθητικό!$J$2:$N$354,3,FALSE))</f>
        <v>_</v>
      </c>
      <c r="O399" s="47"/>
      <c r="P399" s="4" t="s">
        <v>16</v>
      </c>
      <c r="Q399" s="43" t="str">
        <f>IF(VLOOKUP(P399,βοηθητικό!$J$2:$N$354,3,FALSE)="","",VLOOKUP(P399,βοηθητικό!$J$2:$N$354,3,FALSE))</f>
        <v>_</v>
      </c>
      <c r="R399" s="44"/>
      <c r="S399" s="5" t="s">
        <v>16</v>
      </c>
      <c r="T399" s="46" t="str">
        <f>IF(VLOOKUP(S399,βοηθητικό!$J$2:$N$354,3,FALSE)="","",VLOOKUP(S399,βοηθητικό!$J$2:$N$354,3,FALSE))</f>
        <v>_</v>
      </c>
      <c r="U399" s="47"/>
      <c r="V399" s="4" t="s">
        <v>16</v>
      </c>
      <c r="W399" s="43" t="str">
        <f>IF(VLOOKUP(V399,βοηθητικό!$J$2:$N$354,3,FALSE)="","",VLOOKUP(V399,βοηθητικό!$J$2:$N$354,3,FALSE))</f>
        <v>_</v>
      </c>
      <c r="X399" s="44"/>
      <c r="Y399" s="5" t="s">
        <v>16</v>
      </c>
      <c r="Z399" s="46" t="str">
        <f>IF(VLOOKUP(Y399,βοηθητικό!$J$2:$N$354,3,FALSE)="","",VLOOKUP(Y399,βοηθητικό!$J$2:$N$354,3,FALSE))</f>
        <v>_</v>
      </c>
      <c r="AA399" s="47"/>
      <c r="AB399" s="4" t="s">
        <v>16</v>
      </c>
      <c r="AC399" s="43" t="str">
        <f>IF(VLOOKUP(AB399,βοηθητικό!$J$2:$N$354,3,FALSE)="","",VLOOKUP(AB399,βοηθητικό!$J$2:$N$354,3,FALSE))</f>
        <v>_</v>
      </c>
      <c r="AD399" s="44"/>
      <c r="AE399" s="5" t="s">
        <v>16</v>
      </c>
      <c r="AF399" s="46" t="str">
        <f>IF(VLOOKUP(AE399,βοηθητικό!$J$2:$N$354,3,FALSE)="","",VLOOKUP(AE399,βοηθητικό!$J$2:$N$354,3,FALSE))</f>
        <v>_</v>
      </c>
      <c r="AG399" s="47"/>
      <c r="AH399" s="4" t="s">
        <v>16</v>
      </c>
      <c r="AI399" s="43" t="str">
        <f>IF(VLOOKUP(AH399,βοηθητικό!$J$2:$N$354,3,FALSE)="","",VLOOKUP(AH399,βοηθητικό!$J$2:$N$354,3,FALSE))</f>
        <v>_</v>
      </c>
      <c r="AJ399" s="44"/>
      <c r="AK399" s="5" t="s">
        <v>16</v>
      </c>
      <c r="AL399" s="46" t="str">
        <f>IF(VLOOKUP(AK399,βοηθητικό!$J$2:$N$354,3,FALSE)="","",VLOOKUP(AK399,βοηθητικό!$J$2:$N$354,3,FALSE))</f>
        <v>_</v>
      </c>
      <c r="AM399" s="47"/>
      <c r="AN399" s="4" t="s">
        <v>16</v>
      </c>
      <c r="AO399" s="43" t="str">
        <f>IF(VLOOKUP(AN399,βοηθητικό!$J$2:$N$354,3,FALSE)="","",VLOOKUP(AN399,βοηθητικό!$J$2:$N$354,3,FALSE))</f>
        <v>_</v>
      </c>
      <c r="AP399" s="44"/>
      <c r="AQ399" s="5" t="s">
        <v>16</v>
      </c>
      <c r="AR399" s="46" t="str">
        <f>IF(VLOOKUP(AQ399,βοηθητικό!$J$2:$N$354,3,FALSE)="","",VLOOKUP(AQ399,βοηθητικό!$J$2:$N$354,3,FALSE))</f>
        <v>_</v>
      </c>
      <c r="AS399" s="47"/>
      <c r="AT399" s="4" t="s">
        <v>16</v>
      </c>
      <c r="AU399" s="43" t="str">
        <f>IF(VLOOKUP(AT399,βοηθητικό!$J$2:$N$354,3,FALSE)="","",VLOOKUP(AT399,βοηθητικό!$J$2:$N$354,3,FALSE))</f>
        <v>_</v>
      </c>
      <c r="AV399" s="44"/>
      <c r="AW399" s="5" t="s">
        <v>16</v>
      </c>
      <c r="AX399" s="46" t="str">
        <f>IF(VLOOKUP(AW399,βοηθητικό!$J$2:$N$354,3,FALSE)="","",VLOOKUP(AW399,βοηθητικό!$J$2:$N$354,3,FALSE))</f>
        <v>_</v>
      </c>
      <c r="AY399" s="47"/>
      <c r="AZ399" s="4" t="s">
        <v>16</v>
      </c>
      <c r="BA399" s="43" t="str">
        <f>IF(VLOOKUP(AZ399,βοηθητικό!$J$2:$N$354,3,FALSE)="","",VLOOKUP(AZ399,βοηθητικό!$J$2:$N$354,3,FALSE))</f>
        <v>_</v>
      </c>
      <c r="BB399" s="44"/>
      <c r="BC399" s="45" t="s">
        <v>16</v>
      </c>
      <c r="BD399" s="46" t="str">
        <f>IF(VLOOKUP(BC399,βοηθητικό!$J$2:$N$354,3,FALSE)="","",VLOOKUP(BC399,βοηθητικό!$J$2:$N$354,3,FALSE))</f>
        <v>_</v>
      </c>
      <c r="BE399" s="47"/>
      <c r="BF399" s="42" t="s">
        <v>16</v>
      </c>
      <c r="BG399" s="43" t="str">
        <f>IF(VLOOKUP(BF399,βοηθητικό!$J$2:$N$354,3,FALSE)="","",VLOOKUP(BF399,βοηθητικό!$J$2:$N$354,3,FALSE))</f>
        <v>_</v>
      </c>
      <c r="BH399" s="44"/>
      <c r="BI399" s="45" t="s">
        <v>16</v>
      </c>
      <c r="BJ399" s="46" t="str">
        <f>IF(VLOOKUP(BI399,βοηθητικό!$J$2:$N$354,3,FALSE)="","",VLOOKUP(BI399,βοηθητικό!$J$2:$N$354,3,FALSE))</f>
        <v>_</v>
      </c>
      <c r="BK399" s="47"/>
      <c r="BL399" s="42" t="s">
        <v>16</v>
      </c>
      <c r="BM399" s="43" t="str">
        <f>IF(VLOOKUP(BL399,βοηθητικό!$J$2:$N$354,3,FALSE)="","",VLOOKUP(BL399,βοηθητικό!$J$2:$N$354,3,FALSE))</f>
        <v>_</v>
      </c>
      <c r="BN399" s="44"/>
      <c r="BO399" s="45" t="s">
        <v>16</v>
      </c>
      <c r="BP399" s="46" t="str">
        <f>IF(VLOOKUP(BO399,βοηθητικό!$J$2:$N$354,3,FALSE)="","",VLOOKUP(BO399,βοηθητικό!$J$2:$N$354,3,FALSE))</f>
        <v>_</v>
      </c>
      <c r="BQ399" s="47"/>
      <c r="BR399" s="42" t="s">
        <v>16</v>
      </c>
      <c r="BS399" s="43" t="str">
        <f>IF(VLOOKUP(BR399,βοηθητικό!$J$2:$N$354,3,FALSE)="","",VLOOKUP(BR399,βοηθητικό!$J$2:$N$354,3,FALSE))</f>
        <v>_</v>
      </c>
      <c r="BT399" s="44"/>
      <c r="BU399" s="45" t="s">
        <v>16</v>
      </c>
      <c r="BV399" s="46" t="str">
        <f>IF(VLOOKUP(BU399,βοηθητικό!$J$2:$N$354,3,FALSE)="","",VLOOKUP(BU399,βοηθητικό!$J$2:$N$354,3,FALSE))</f>
        <v>_</v>
      </c>
      <c r="BW399" s="47"/>
      <c r="BX399" s="42" t="s">
        <v>16</v>
      </c>
      <c r="BY399" s="43" t="str">
        <f>IF(VLOOKUP(BX399,βοηθητικό!$J$2:$N$354,3,FALSE)="","",VLOOKUP(BX399,βοηθητικό!$J$2:$N$354,3,FALSE))</f>
        <v>_</v>
      </c>
      <c r="BZ399" s="44"/>
      <c r="CA399" s="45" t="s">
        <v>16</v>
      </c>
      <c r="CB399" s="46" t="str">
        <f>IF(VLOOKUP(CA399,βοηθητικό!$J$2:$N$354,3,FALSE)="","",VLOOKUP(CA399,βοηθητικό!$J$2:$N$354,3,FALSE))</f>
        <v>_</v>
      </c>
      <c r="CC399" s="47"/>
      <c r="CD399" s="42" t="s">
        <v>16</v>
      </c>
      <c r="CE399" s="43" t="str">
        <f>IF(VLOOKUP(CD399,βοηθητικό!$J$2:$N$354,3,FALSE)="","",VLOOKUP(CD399,βοηθητικό!$J$2:$N$354,3,FALSE))</f>
        <v>_</v>
      </c>
      <c r="CF399" s="44"/>
      <c r="CG399" s="45" t="s">
        <v>16</v>
      </c>
      <c r="CH399" s="46" t="str">
        <f>IF(VLOOKUP(CG399,βοηθητικό!$J$2:$N$354,3,FALSE)="","",VLOOKUP(CG399,βοηθητικό!$J$2:$N$354,3,FALSE))</f>
        <v>_</v>
      </c>
      <c r="CI399" s="47"/>
      <c r="CJ399" s="42" t="s">
        <v>16</v>
      </c>
      <c r="CK399" s="43" t="str">
        <f>IF(VLOOKUP(CJ399,βοηθητικό!$J$2:$N$354,3,FALSE)="","",VLOOKUP(CJ399,βοηθητικό!$J$2:$N$354,3,FALSE))</f>
        <v>_</v>
      </c>
      <c r="CL399" s="44"/>
      <c r="CM399" s="45" t="s">
        <v>16</v>
      </c>
      <c r="CN399" s="46" t="str">
        <f>IF(VLOOKUP(CM399,βοηθητικό!$J$2:$N$354,3,FALSE)="","",VLOOKUP(CM399,βοηθητικό!$J$2:$N$354,3,FALSE))</f>
        <v>_</v>
      </c>
      <c r="CO399" s="47"/>
      <c r="CP399" s="42" t="s">
        <v>16</v>
      </c>
      <c r="CQ399" s="43" t="str">
        <f>IF(VLOOKUP(CP399,βοηθητικό!$J$2:$N$354,3,FALSE)="","",VLOOKUP(CP399,βοηθητικό!$J$2:$N$354,3,FALSE))</f>
        <v>_</v>
      </c>
      <c r="CR399" s="44"/>
      <c r="CS399" s="45" t="s">
        <v>16</v>
      </c>
      <c r="CT399" s="46" t="str">
        <f>IF(VLOOKUP(CS399,βοηθητικό!$J$2:$N$354,3,FALSE)="","",VLOOKUP(CS399,βοηθητικό!$J$2:$N$354,3,FALSE))</f>
        <v>_</v>
      </c>
      <c r="CU399" s="47"/>
    </row>
    <row r="400" spans="1:99" x14ac:dyDescent="0.25">
      <c r="A400" s="37">
        <f>--SUBTOTAL(3,$B$3:B399)</f>
        <v>198</v>
      </c>
      <c r="B400" s="2"/>
      <c r="C400" s="3"/>
      <c r="D400" s="55" t="s">
        <v>18</v>
      </c>
      <c r="E400" s="38" t="s">
        <v>16</v>
      </c>
      <c r="F400" s="38" t="s">
        <v>16</v>
      </c>
      <c r="G400" s="39" t="str">
        <f t="shared" si="20"/>
        <v>__</v>
      </c>
      <c r="H400" s="40" t="str">
        <f t="shared" si="21"/>
        <v>FALSE</v>
      </c>
      <c r="I400" s="41">
        <f t="shared" si="22"/>
        <v>0</v>
      </c>
      <c r="J400" s="4" t="s">
        <v>16</v>
      </c>
      <c r="K400" s="43" t="str">
        <f>IF(VLOOKUP(J400,βοηθητικό!$J$2:$N$354,3,FALSE)="","",VLOOKUP(J400,βοηθητικό!$J$2:$N$354,3,FALSE))</f>
        <v>_</v>
      </c>
      <c r="L400" s="44"/>
      <c r="M400" s="5" t="s">
        <v>16</v>
      </c>
      <c r="N400" s="46" t="str">
        <f>IF(VLOOKUP(M400,βοηθητικό!$J$2:$N$354,3,FALSE)="","",VLOOKUP(M400,βοηθητικό!$J$2:$N$354,3,FALSE))</f>
        <v>_</v>
      </c>
      <c r="O400" s="47"/>
      <c r="P400" s="4" t="s">
        <v>16</v>
      </c>
      <c r="Q400" s="43" t="str">
        <f>IF(VLOOKUP(P400,βοηθητικό!$J$2:$N$354,3,FALSE)="","",VLOOKUP(P400,βοηθητικό!$J$2:$N$354,3,FALSE))</f>
        <v>_</v>
      </c>
      <c r="R400" s="44"/>
      <c r="S400" s="5" t="s">
        <v>16</v>
      </c>
      <c r="T400" s="46" t="str">
        <f>IF(VLOOKUP(S400,βοηθητικό!$J$2:$N$354,3,FALSE)="","",VLOOKUP(S400,βοηθητικό!$J$2:$N$354,3,FALSE))</f>
        <v>_</v>
      </c>
      <c r="U400" s="47"/>
      <c r="V400" s="4" t="s">
        <v>16</v>
      </c>
      <c r="W400" s="43" t="str">
        <f>IF(VLOOKUP(V400,βοηθητικό!$J$2:$N$354,3,FALSE)="","",VLOOKUP(V400,βοηθητικό!$J$2:$N$354,3,FALSE))</f>
        <v>_</v>
      </c>
      <c r="X400" s="44"/>
      <c r="Y400" s="5" t="s">
        <v>16</v>
      </c>
      <c r="Z400" s="46" t="str">
        <f>IF(VLOOKUP(Y400,βοηθητικό!$J$2:$N$354,3,FALSE)="","",VLOOKUP(Y400,βοηθητικό!$J$2:$N$354,3,FALSE))</f>
        <v>_</v>
      </c>
      <c r="AA400" s="47"/>
      <c r="AB400" s="4" t="s">
        <v>16</v>
      </c>
      <c r="AC400" s="43" t="str">
        <f>IF(VLOOKUP(AB400,βοηθητικό!$J$2:$N$354,3,FALSE)="","",VLOOKUP(AB400,βοηθητικό!$J$2:$N$354,3,FALSE))</f>
        <v>_</v>
      </c>
      <c r="AD400" s="44"/>
      <c r="AE400" s="5" t="s">
        <v>16</v>
      </c>
      <c r="AF400" s="46" t="str">
        <f>IF(VLOOKUP(AE400,βοηθητικό!$J$2:$N$354,3,FALSE)="","",VLOOKUP(AE400,βοηθητικό!$J$2:$N$354,3,FALSE))</f>
        <v>_</v>
      </c>
      <c r="AG400" s="47"/>
      <c r="AH400" s="4" t="s">
        <v>16</v>
      </c>
      <c r="AI400" s="43" t="str">
        <f>IF(VLOOKUP(AH400,βοηθητικό!$J$2:$N$354,3,FALSE)="","",VLOOKUP(AH400,βοηθητικό!$J$2:$N$354,3,FALSE))</f>
        <v>_</v>
      </c>
      <c r="AJ400" s="44"/>
      <c r="AK400" s="5" t="s">
        <v>16</v>
      </c>
      <c r="AL400" s="46" t="str">
        <f>IF(VLOOKUP(AK400,βοηθητικό!$J$2:$N$354,3,FALSE)="","",VLOOKUP(AK400,βοηθητικό!$J$2:$N$354,3,FALSE))</f>
        <v>_</v>
      </c>
      <c r="AM400" s="47"/>
      <c r="AN400" s="4" t="s">
        <v>16</v>
      </c>
      <c r="AO400" s="43" t="str">
        <f>IF(VLOOKUP(AN400,βοηθητικό!$J$2:$N$354,3,FALSE)="","",VLOOKUP(AN400,βοηθητικό!$J$2:$N$354,3,FALSE))</f>
        <v>_</v>
      </c>
      <c r="AP400" s="44"/>
      <c r="AQ400" s="5" t="s">
        <v>16</v>
      </c>
      <c r="AR400" s="46" t="str">
        <f>IF(VLOOKUP(AQ400,βοηθητικό!$J$2:$N$354,3,FALSE)="","",VLOOKUP(AQ400,βοηθητικό!$J$2:$N$354,3,FALSE))</f>
        <v>_</v>
      </c>
      <c r="AS400" s="47"/>
      <c r="AT400" s="4" t="s">
        <v>16</v>
      </c>
      <c r="AU400" s="43" t="str">
        <f>IF(VLOOKUP(AT400,βοηθητικό!$J$2:$N$354,3,FALSE)="","",VLOOKUP(AT400,βοηθητικό!$J$2:$N$354,3,FALSE))</f>
        <v>_</v>
      </c>
      <c r="AV400" s="44"/>
      <c r="AW400" s="5" t="s">
        <v>16</v>
      </c>
      <c r="AX400" s="46" t="str">
        <f>IF(VLOOKUP(AW400,βοηθητικό!$J$2:$N$354,3,FALSE)="","",VLOOKUP(AW400,βοηθητικό!$J$2:$N$354,3,FALSE))</f>
        <v>_</v>
      </c>
      <c r="AY400" s="47"/>
      <c r="AZ400" s="4" t="s">
        <v>16</v>
      </c>
      <c r="BA400" s="43" t="str">
        <f>IF(VLOOKUP(AZ400,βοηθητικό!$J$2:$N$354,3,FALSE)="","",VLOOKUP(AZ400,βοηθητικό!$J$2:$N$354,3,FALSE))</f>
        <v>_</v>
      </c>
      <c r="BB400" s="44"/>
      <c r="BC400" s="45" t="s">
        <v>16</v>
      </c>
      <c r="BD400" s="46" t="str">
        <f>IF(VLOOKUP(BC400,βοηθητικό!$J$2:$N$354,3,FALSE)="","",VLOOKUP(BC400,βοηθητικό!$J$2:$N$354,3,FALSE))</f>
        <v>_</v>
      </c>
      <c r="BE400" s="47"/>
      <c r="BF400" s="42" t="s">
        <v>16</v>
      </c>
      <c r="BG400" s="43" t="str">
        <f>IF(VLOOKUP(BF400,βοηθητικό!$J$2:$N$354,3,FALSE)="","",VLOOKUP(BF400,βοηθητικό!$J$2:$N$354,3,FALSE))</f>
        <v>_</v>
      </c>
      <c r="BH400" s="44"/>
      <c r="BI400" s="45" t="s">
        <v>16</v>
      </c>
      <c r="BJ400" s="46" t="str">
        <f>IF(VLOOKUP(BI400,βοηθητικό!$J$2:$N$354,3,FALSE)="","",VLOOKUP(BI400,βοηθητικό!$J$2:$N$354,3,FALSE))</f>
        <v>_</v>
      </c>
      <c r="BK400" s="47"/>
      <c r="BL400" s="42" t="s">
        <v>16</v>
      </c>
      <c r="BM400" s="43" t="str">
        <f>IF(VLOOKUP(BL400,βοηθητικό!$J$2:$N$354,3,FALSE)="","",VLOOKUP(BL400,βοηθητικό!$J$2:$N$354,3,FALSE))</f>
        <v>_</v>
      </c>
      <c r="BN400" s="44"/>
      <c r="BO400" s="45" t="s">
        <v>16</v>
      </c>
      <c r="BP400" s="46" t="str">
        <f>IF(VLOOKUP(BO400,βοηθητικό!$J$2:$N$354,3,FALSE)="","",VLOOKUP(BO400,βοηθητικό!$J$2:$N$354,3,FALSE))</f>
        <v>_</v>
      </c>
      <c r="BQ400" s="47"/>
      <c r="BR400" s="42" t="s">
        <v>16</v>
      </c>
      <c r="BS400" s="43" t="str">
        <f>IF(VLOOKUP(BR400,βοηθητικό!$J$2:$N$354,3,FALSE)="","",VLOOKUP(BR400,βοηθητικό!$J$2:$N$354,3,FALSE))</f>
        <v>_</v>
      </c>
      <c r="BT400" s="44"/>
      <c r="BU400" s="45" t="s">
        <v>16</v>
      </c>
      <c r="BV400" s="46" t="str">
        <f>IF(VLOOKUP(BU400,βοηθητικό!$J$2:$N$354,3,FALSE)="","",VLOOKUP(BU400,βοηθητικό!$J$2:$N$354,3,FALSE))</f>
        <v>_</v>
      </c>
      <c r="BW400" s="47"/>
      <c r="BX400" s="42" t="s">
        <v>16</v>
      </c>
      <c r="BY400" s="43" t="str">
        <f>IF(VLOOKUP(BX400,βοηθητικό!$J$2:$N$354,3,FALSE)="","",VLOOKUP(BX400,βοηθητικό!$J$2:$N$354,3,FALSE))</f>
        <v>_</v>
      </c>
      <c r="BZ400" s="44"/>
      <c r="CA400" s="45" t="s">
        <v>16</v>
      </c>
      <c r="CB400" s="46" t="str">
        <f>IF(VLOOKUP(CA400,βοηθητικό!$J$2:$N$354,3,FALSE)="","",VLOOKUP(CA400,βοηθητικό!$J$2:$N$354,3,FALSE))</f>
        <v>_</v>
      </c>
      <c r="CC400" s="47"/>
      <c r="CD400" s="42" t="s">
        <v>16</v>
      </c>
      <c r="CE400" s="43" t="str">
        <f>IF(VLOOKUP(CD400,βοηθητικό!$J$2:$N$354,3,FALSE)="","",VLOOKUP(CD400,βοηθητικό!$J$2:$N$354,3,FALSE))</f>
        <v>_</v>
      </c>
      <c r="CF400" s="44"/>
      <c r="CG400" s="45" t="s">
        <v>16</v>
      </c>
      <c r="CH400" s="46" t="str">
        <f>IF(VLOOKUP(CG400,βοηθητικό!$J$2:$N$354,3,FALSE)="","",VLOOKUP(CG400,βοηθητικό!$J$2:$N$354,3,FALSE))</f>
        <v>_</v>
      </c>
      <c r="CI400" s="47"/>
      <c r="CJ400" s="42" t="s">
        <v>16</v>
      </c>
      <c r="CK400" s="43" t="str">
        <f>IF(VLOOKUP(CJ400,βοηθητικό!$J$2:$N$354,3,FALSE)="","",VLOOKUP(CJ400,βοηθητικό!$J$2:$N$354,3,FALSE))</f>
        <v>_</v>
      </c>
      <c r="CL400" s="44"/>
      <c r="CM400" s="45" t="s">
        <v>16</v>
      </c>
      <c r="CN400" s="46" t="str">
        <f>IF(VLOOKUP(CM400,βοηθητικό!$J$2:$N$354,3,FALSE)="","",VLOOKUP(CM400,βοηθητικό!$J$2:$N$354,3,FALSE))</f>
        <v>_</v>
      </c>
      <c r="CO400" s="47"/>
      <c r="CP400" s="42" t="s">
        <v>16</v>
      </c>
      <c r="CQ400" s="43" t="str">
        <f>IF(VLOOKUP(CP400,βοηθητικό!$J$2:$N$354,3,FALSE)="","",VLOOKUP(CP400,βοηθητικό!$J$2:$N$354,3,FALSE))</f>
        <v>_</v>
      </c>
      <c r="CR400" s="44"/>
      <c r="CS400" s="45" t="s">
        <v>16</v>
      </c>
      <c r="CT400" s="46" t="str">
        <f>IF(VLOOKUP(CS400,βοηθητικό!$J$2:$N$354,3,FALSE)="","",VLOOKUP(CS400,βοηθητικό!$J$2:$N$354,3,FALSE))</f>
        <v>_</v>
      </c>
      <c r="CU400" s="47"/>
    </row>
    <row r="401" spans="1:99" x14ac:dyDescent="0.25">
      <c r="A401" s="37">
        <f>--SUBTOTAL(3,$B$3:B400)</f>
        <v>198</v>
      </c>
      <c r="B401" s="2"/>
      <c r="C401" s="3"/>
      <c r="D401" s="55" t="s">
        <v>18</v>
      </c>
      <c r="E401" s="38" t="s">
        <v>16</v>
      </c>
      <c r="F401" s="38" t="s">
        <v>16</v>
      </c>
      <c r="G401" s="39" t="str">
        <f t="shared" si="20"/>
        <v>__</v>
      </c>
      <c r="H401" s="40" t="str">
        <f t="shared" si="21"/>
        <v>FALSE</v>
      </c>
      <c r="I401" s="41">
        <f t="shared" si="22"/>
        <v>0</v>
      </c>
      <c r="J401" s="4" t="s">
        <v>16</v>
      </c>
      <c r="K401" s="43" t="str">
        <f>IF(VLOOKUP(J401,βοηθητικό!$J$2:$N$354,3,FALSE)="","",VLOOKUP(J401,βοηθητικό!$J$2:$N$354,3,FALSE))</f>
        <v>_</v>
      </c>
      <c r="L401" s="44"/>
      <c r="M401" s="5" t="s">
        <v>16</v>
      </c>
      <c r="N401" s="46" t="str">
        <f>IF(VLOOKUP(M401,βοηθητικό!$J$2:$N$354,3,FALSE)="","",VLOOKUP(M401,βοηθητικό!$J$2:$N$354,3,FALSE))</f>
        <v>_</v>
      </c>
      <c r="O401" s="47"/>
      <c r="P401" s="4" t="s">
        <v>16</v>
      </c>
      <c r="Q401" s="43" t="str">
        <f>IF(VLOOKUP(P401,βοηθητικό!$J$2:$N$354,3,FALSE)="","",VLOOKUP(P401,βοηθητικό!$J$2:$N$354,3,FALSE))</f>
        <v>_</v>
      </c>
      <c r="R401" s="44"/>
      <c r="S401" s="5" t="s">
        <v>16</v>
      </c>
      <c r="T401" s="46" t="str">
        <f>IF(VLOOKUP(S401,βοηθητικό!$J$2:$N$354,3,FALSE)="","",VLOOKUP(S401,βοηθητικό!$J$2:$N$354,3,FALSE))</f>
        <v>_</v>
      </c>
      <c r="U401" s="47"/>
      <c r="V401" s="4" t="s">
        <v>16</v>
      </c>
      <c r="W401" s="43" t="str">
        <f>IF(VLOOKUP(V401,βοηθητικό!$J$2:$N$354,3,FALSE)="","",VLOOKUP(V401,βοηθητικό!$J$2:$N$354,3,FALSE))</f>
        <v>_</v>
      </c>
      <c r="X401" s="44"/>
      <c r="Y401" s="5" t="s">
        <v>16</v>
      </c>
      <c r="Z401" s="46" t="str">
        <f>IF(VLOOKUP(Y401,βοηθητικό!$J$2:$N$354,3,FALSE)="","",VLOOKUP(Y401,βοηθητικό!$J$2:$N$354,3,FALSE))</f>
        <v>_</v>
      </c>
      <c r="AA401" s="47"/>
      <c r="AB401" s="4" t="s">
        <v>16</v>
      </c>
      <c r="AC401" s="43" t="str">
        <f>IF(VLOOKUP(AB401,βοηθητικό!$J$2:$N$354,3,FALSE)="","",VLOOKUP(AB401,βοηθητικό!$J$2:$N$354,3,FALSE))</f>
        <v>_</v>
      </c>
      <c r="AD401" s="44"/>
      <c r="AE401" s="5" t="s">
        <v>16</v>
      </c>
      <c r="AF401" s="46" t="str">
        <f>IF(VLOOKUP(AE401,βοηθητικό!$J$2:$N$354,3,FALSE)="","",VLOOKUP(AE401,βοηθητικό!$J$2:$N$354,3,FALSE))</f>
        <v>_</v>
      </c>
      <c r="AG401" s="47"/>
      <c r="AH401" s="4" t="s">
        <v>16</v>
      </c>
      <c r="AI401" s="43" t="str">
        <f>IF(VLOOKUP(AH401,βοηθητικό!$J$2:$N$354,3,FALSE)="","",VLOOKUP(AH401,βοηθητικό!$J$2:$N$354,3,FALSE))</f>
        <v>_</v>
      </c>
      <c r="AJ401" s="44"/>
      <c r="AK401" s="5" t="s">
        <v>16</v>
      </c>
      <c r="AL401" s="46" t="str">
        <f>IF(VLOOKUP(AK401,βοηθητικό!$J$2:$N$354,3,FALSE)="","",VLOOKUP(AK401,βοηθητικό!$J$2:$N$354,3,FALSE))</f>
        <v>_</v>
      </c>
      <c r="AM401" s="47"/>
      <c r="AN401" s="4" t="s">
        <v>16</v>
      </c>
      <c r="AO401" s="43" t="str">
        <f>IF(VLOOKUP(AN401,βοηθητικό!$J$2:$N$354,3,FALSE)="","",VLOOKUP(AN401,βοηθητικό!$J$2:$N$354,3,FALSE))</f>
        <v>_</v>
      </c>
      <c r="AP401" s="44"/>
      <c r="AQ401" s="5" t="s">
        <v>16</v>
      </c>
      <c r="AR401" s="46" t="str">
        <f>IF(VLOOKUP(AQ401,βοηθητικό!$J$2:$N$354,3,FALSE)="","",VLOOKUP(AQ401,βοηθητικό!$J$2:$N$354,3,FALSE))</f>
        <v>_</v>
      </c>
      <c r="AS401" s="47"/>
      <c r="AT401" s="4" t="s">
        <v>16</v>
      </c>
      <c r="AU401" s="43" t="str">
        <f>IF(VLOOKUP(AT401,βοηθητικό!$J$2:$N$354,3,FALSE)="","",VLOOKUP(AT401,βοηθητικό!$J$2:$N$354,3,FALSE))</f>
        <v>_</v>
      </c>
      <c r="AV401" s="44"/>
      <c r="AW401" s="5" t="s">
        <v>16</v>
      </c>
      <c r="AX401" s="46" t="str">
        <f>IF(VLOOKUP(AW401,βοηθητικό!$J$2:$N$354,3,FALSE)="","",VLOOKUP(AW401,βοηθητικό!$J$2:$N$354,3,FALSE))</f>
        <v>_</v>
      </c>
      <c r="AY401" s="47"/>
      <c r="AZ401" s="4" t="s">
        <v>16</v>
      </c>
      <c r="BA401" s="43" t="str">
        <f>IF(VLOOKUP(AZ401,βοηθητικό!$J$2:$N$354,3,FALSE)="","",VLOOKUP(AZ401,βοηθητικό!$J$2:$N$354,3,FALSE))</f>
        <v>_</v>
      </c>
      <c r="BB401" s="44"/>
      <c r="BC401" s="45" t="s">
        <v>16</v>
      </c>
      <c r="BD401" s="46" t="str">
        <f>IF(VLOOKUP(BC401,βοηθητικό!$J$2:$N$354,3,FALSE)="","",VLOOKUP(BC401,βοηθητικό!$J$2:$N$354,3,FALSE))</f>
        <v>_</v>
      </c>
      <c r="BE401" s="47"/>
      <c r="BF401" s="42" t="s">
        <v>16</v>
      </c>
      <c r="BG401" s="43" t="str">
        <f>IF(VLOOKUP(BF401,βοηθητικό!$J$2:$N$354,3,FALSE)="","",VLOOKUP(BF401,βοηθητικό!$J$2:$N$354,3,FALSE))</f>
        <v>_</v>
      </c>
      <c r="BH401" s="44"/>
      <c r="BI401" s="45" t="s">
        <v>16</v>
      </c>
      <c r="BJ401" s="46" t="str">
        <f>IF(VLOOKUP(BI401,βοηθητικό!$J$2:$N$354,3,FALSE)="","",VLOOKUP(BI401,βοηθητικό!$J$2:$N$354,3,FALSE))</f>
        <v>_</v>
      </c>
      <c r="BK401" s="47"/>
      <c r="BL401" s="42" t="s">
        <v>16</v>
      </c>
      <c r="BM401" s="43" t="str">
        <f>IF(VLOOKUP(BL401,βοηθητικό!$J$2:$N$354,3,FALSE)="","",VLOOKUP(BL401,βοηθητικό!$J$2:$N$354,3,FALSE))</f>
        <v>_</v>
      </c>
      <c r="BN401" s="44"/>
      <c r="BO401" s="45" t="s">
        <v>16</v>
      </c>
      <c r="BP401" s="46" t="str">
        <f>IF(VLOOKUP(BO401,βοηθητικό!$J$2:$N$354,3,FALSE)="","",VLOOKUP(BO401,βοηθητικό!$J$2:$N$354,3,FALSE))</f>
        <v>_</v>
      </c>
      <c r="BQ401" s="47"/>
      <c r="BR401" s="42" t="s">
        <v>16</v>
      </c>
      <c r="BS401" s="43" t="str">
        <f>IF(VLOOKUP(BR401,βοηθητικό!$J$2:$N$354,3,FALSE)="","",VLOOKUP(BR401,βοηθητικό!$J$2:$N$354,3,FALSE))</f>
        <v>_</v>
      </c>
      <c r="BT401" s="44"/>
      <c r="BU401" s="45" t="s">
        <v>16</v>
      </c>
      <c r="BV401" s="46" t="str">
        <f>IF(VLOOKUP(BU401,βοηθητικό!$J$2:$N$354,3,FALSE)="","",VLOOKUP(BU401,βοηθητικό!$J$2:$N$354,3,FALSE))</f>
        <v>_</v>
      </c>
      <c r="BW401" s="47"/>
      <c r="BX401" s="42" t="s">
        <v>16</v>
      </c>
      <c r="BY401" s="43" t="str">
        <f>IF(VLOOKUP(BX401,βοηθητικό!$J$2:$N$354,3,FALSE)="","",VLOOKUP(BX401,βοηθητικό!$J$2:$N$354,3,FALSE))</f>
        <v>_</v>
      </c>
      <c r="BZ401" s="44"/>
      <c r="CA401" s="45" t="s">
        <v>16</v>
      </c>
      <c r="CB401" s="46" t="str">
        <f>IF(VLOOKUP(CA401,βοηθητικό!$J$2:$N$354,3,FALSE)="","",VLOOKUP(CA401,βοηθητικό!$J$2:$N$354,3,FALSE))</f>
        <v>_</v>
      </c>
      <c r="CC401" s="47"/>
      <c r="CD401" s="42" t="s">
        <v>16</v>
      </c>
      <c r="CE401" s="43" t="str">
        <f>IF(VLOOKUP(CD401,βοηθητικό!$J$2:$N$354,3,FALSE)="","",VLOOKUP(CD401,βοηθητικό!$J$2:$N$354,3,FALSE))</f>
        <v>_</v>
      </c>
      <c r="CF401" s="44"/>
      <c r="CG401" s="45" t="s">
        <v>16</v>
      </c>
      <c r="CH401" s="46" t="str">
        <f>IF(VLOOKUP(CG401,βοηθητικό!$J$2:$N$354,3,FALSE)="","",VLOOKUP(CG401,βοηθητικό!$J$2:$N$354,3,FALSE))</f>
        <v>_</v>
      </c>
      <c r="CI401" s="47"/>
      <c r="CJ401" s="42" t="s">
        <v>16</v>
      </c>
      <c r="CK401" s="43" t="str">
        <f>IF(VLOOKUP(CJ401,βοηθητικό!$J$2:$N$354,3,FALSE)="","",VLOOKUP(CJ401,βοηθητικό!$J$2:$N$354,3,FALSE))</f>
        <v>_</v>
      </c>
      <c r="CL401" s="44"/>
      <c r="CM401" s="45" t="s">
        <v>16</v>
      </c>
      <c r="CN401" s="46" t="str">
        <f>IF(VLOOKUP(CM401,βοηθητικό!$J$2:$N$354,3,FALSE)="","",VLOOKUP(CM401,βοηθητικό!$J$2:$N$354,3,FALSE))</f>
        <v>_</v>
      </c>
      <c r="CO401" s="47"/>
      <c r="CP401" s="42" t="s">
        <v>16</v>
      </c>
      <c r="CQ401" s="43" t="str">
        <f>IF(VLOOKUP(CP401,βοηθητικό!$J$2:$N$354,3,FALSE)="","",VLOOKUP(CP401,βοηθητικό!$J$2:$N$354,3,FALSE))</f>
        <v>_</v>
      </c>
      <c r="CR401" s="44"/>
      <c r="CS401" s="45" t="s">
        <v>16</v>
      </c>
      <c r="CT401" s="46" t="str">
        <f>IF(VLOOKUP(CS401,βοηθητικό!$J$2:$N$354,3,FALSE)="","",VLOOKUP(CS401,βοηθητικό!$J$2:$N$354,3,FALSE))</f>
        <v>_</v>
      </c>
      <c r="CU401" s="47"/>
    </row>
    <row r="402" spans="1:99" x14ac:dyDescent="0.25">
      <c r="A402" s="37">
        <f>--SUBTOTAL(3,$B$3:B401)</f>
        <v>198</v>
      </c>
      <c r="B402" s="2"/>
      <c r="C402" s="3"/>
      <c r="D402" s="55" t="s">
        <v>18</v>
      </c>
      <c r="E402" s="38" t="s">
        <v>16</v>
      </c>
      <c r="F402" s="38" t="s">
        <v>16</v>
      </c>
      <c r="G402" s="39" t="str">
        <f t="shared" si="20"/>
        <v>__</v>
      </c>
      <c r="H402" s="40" t="str">
        <f t="shared" si="21"/>
        <v>FALSE</v>
      </c>
      <c r="I402" s="41">
        <f t="shared" si="22"/>
        <v>0</v>
      </c>
      <c r="J402" s="4" t="s">
        <v>16</v>
      </c>
      <c r="K402" s="43" t="str">
        <f>IF(VLOOKUP(J402,βοηθητικό!$J$2:$N$354,3,FALSE)="","",VLOOKUP(J402,βοηθητικό!$J$2:$N$354,3,FALSE))</f>
        <v>_</v>
      </c>
      <c r="L402" s="44"/>
      <c r="M402" s="5" t="s">
        <v>16</v>
      </c>
      <c r="N402" s="46" t="str">
        <f>IF(VLOOKUP(M402,βοηθητικό!$J$2:$N$354,3,FALSE)="","",VLOOKUP(M402,βοηθητικό!$J$2:$N$354,3,FALSE))</f>
        <v>_</v>
      </c>
      <c r="O402" s="47"/>
      <c r="P402" s="4" t="s">
        <v>16</v>
      </c>
      <c r="Q402" s="43" t="str">
        <f>IF(VLOOKUP(P402,βοηθητικό!$J$2:$N$354,3,FALSE)="","",VLOOKUP(P402,βοηθητικό!$J$2:$N$354,3,FALSE))</f>
        <v>_</v>
      </c>
      <c r="R402" s="44"/>
      <c r="S402" s="5" t="s">
        <v>16</v>
      </c>
      <c r="T402" s="46" t="str">
        <f>IF(VLOOKUP(S402,βοηθητικό!$J$2:$N$354,3,FALSE)="","",VLOOKUP(S402,βοηθητικό!$J$2:$N$354,3,FALSE))</f>
        <v>_</v>
      </c>
      <c r="U402" s="47"/>
      <c r="V402" s="4" t="s">
        <v>16</v>
      </c>
      <c r="W402" s="43" t="str">
        <f>IF(VLOOKUP(V402,βοηθητικό!$J$2:$N$354,3,FALSE)="","",VLOOKUP(V402,βοηθητικό!$J$2:$N$354,3,FALSE))</f>
        <v>_</v>
      </c>
      <c r="X402" s="44"/>
      <c r="Y402" s="5" t="s">
        <v>16</v>
      </c>
      <c r="Z402" s="46" t="str">
        <f>IF(VLOOKUP(Y402,βοηθητικό!$J$2:$N$354,3,FALSE)="","",VLOOKUP(Y402,βοηθητικό!$J$2:$N$354,3,FALSE))</f>
        <v>_</v>
      </c>
      <c r="AA402" s="47"/>
      <c r="AB402" s="4" t="s">
        <v>16</v>
      </c>
      <c r="AC402" s="43" t="str">
        <f>IF(VLOOKUP(AB402,βοηθητικό!$J$2:$N$354,3,FALSE)="","",VLOOKUP(AB402,βοηθητικό!$J$2:$N$354,3,FALSE))</f>
        <v>_</v>
      </c>
      <c r="AD402" s="44"/>
      <c r="AE402" s="5" t="s">
        <v>16</v>
      </c>
      <c r="AF402" s="46" t="str">
        <f>IF(VLOOKUP(AE402,βοηθητικό!$J$2:$N$354,3,FALSE)="","",VLOOKUP(AE402,βοηθητικό!$J$2:$N$354,3,FALSE))</f>
        <v>_</v>
      </c>
      <c r="AG402" s="47"/>
      <c r="AH402" s="4" t="s">
        <v>16</v>
      </c>
      <c r="AI402" s="43" t="str">
        <f>IF(VLOOKUP(AH402,βοηθητικό!$J$2:$N$354,3,FALSE)="","",VLOOKUP(AH402,βοηθητικό!$J$2:$N$354,3,FALSE))</f>
        <v>_</v>
      </c>
      <c r="AJ402" s="44"/>
      <c r="AK402" s="5" t="s">
        <v>16</v>
      </c>
      <c r="AL402" s="46" t="str">
        <f>IF(VLOOKUP(AK402,βοηθητικό!$J$2:$N$354,3,FALSE)="","",VLOOKUP(AK402,βοηθητικό!$J$2:$N$354,3,FALSE))</f>
        <v>_</v>
      </c>
      <c r="AM402" s="47"/>
      <c r="AN402" s="4" t="s">
        <v>16</v>
      </c>
      <c r="AO402" s="43" t="str">
        <f>IF(VLOOKUP(AN402,βοηθητικό!$J$2:$N$354,3,FALSE)="","",VLOOKUP(AN402,βοηθητικό!$J$2:$N$354,3,FALSE))</f>
        <v>_</v>
      </c>
      <c r="AP402" s="44"/>
      <c r="AQ402" s="5" t="s">
        <v>16</v>
      </c>
      <c r="AR402" s="46" t="str">
        <f>IF(VLOOKUP(AQ402,βοηθητικό!$J$2:$N$354,3,FALSE)="","",VLOOKUP(AQ402,βοηθητικό!$J$2:$N$354,3,FALSE))</f>
        <v>_</v>
      </c>
      <c r="AS402" s="47"/>
      <c r="AT402" s="4" t="s">
        <v>16</v>
      </c>
      <c r="AU402" s="43" t="str">
        <f>IF(VLOOKUP(AT402,βοηθητικό!$J$2:$N$354,3,FALSE)="","",VLOOKUP(AT402,βοηθητικό!$J$2:$N$354,3,FALSE))</f>
        <v>_</v>
      </c>
      <c r="AV402" s="44"/>
      <c r="AW402" s="5" t="s">
        <v>16</v>
      </c>
      <c r="AX402" s="46" t="str">
        <f>IF(VLOOKUP(AW402,βοηθητικό!$J$2:$N$354,3,FALSE)="","",VLOOKUP(AW402,βοηθητικό!$J$2:$N$354,3,FALSE))</f>
        <v>_</v>
      </c>
      <c r="AY402" s="47"/>
      <c r="AZ402" s="4" t="s">
        <v>16</v>
      </c>
      <c r="BA402" s="43" t="str">
        <f>IF(VLOOKUP(AZ402,βοηθητικό!$J$2:$N$354,3,FALSE)="","",VLOOKUP(AZ402,βοηθητικό!$J$2:$N$354,3,FALSE))</f>
        <v>_</v>
      </c>
      <c r="BB402" s="44"/>
      <c r="BC402" s="45" t="s">
        <v>16</v>
      </c>
      <c r="BD402" s="46" t="str">
        <f>IF(VLOOKUP(BC402,βοηθητικό!$J$2:$N$354,3,FALSE)="","",VLOOKUP(BC402,βοηθητικό!$J$2:$N$354,3,FALSE))</f>
        <v>_</v>
      </c>
      <c r="BE402" s="47"/>
      <c r="BF402" s="42" t="s">
        <v>16</v>
      </c>
      <c r="BG402" s="43" t="str">
        <f>IF(VLOOKUP(BF402,βοηθητικό!$J$2:$N$354,3,FALSE)="","",VLOOKUP(BF402,βοηθητικό!$J$2:$N$354,3,FALSE))</f>
        <v>_</v>
      </c>
      <c r="BH402" s="44"/>
      <c r="BI402" s="45" t="s">
        <v>16</v>
      </c>
      <c r="BJ402" s="46" t="str">
        <f>IF(VLOOKUP(BI402,βοηθητικό!$J$2:$N$354,3,FALSE)="","",VLOOKUP(BI402,βοηθητικό!$J$2:$N$354,3,FALSE))</f>
        <v>_</v>
      </c>
      <c r="BK402" s="47"/>
      <c r="BL402" s="42" t="s">
        <v>16</v>
      </c>
      <c r="BM402" s="43" t="str">
        <f>IF(VLOOKUP(BL402,βοηθητικό!$J$2:$N$354,3,FALSE)="","",VLOOKUP(BL402,βοηθητικό!$J$2:$N$354,3,FALSE))</f>
        <v>_</v>
      </c>
      <c r="BN402" s="44"/>
      <c r="BO402" s="45" t="s">
        <v>16</v>
      </c>
      <c r="BP402" s="46" t="str">
        <f>IF(VLOOKUP(BO402,βοηθητικό!$J$2:$N$354,3,FALSE)="","",VLOOKUP(BO402,βοηθητικό!$J$2:$N$354,3,FALSE))</f>
        <v>_</v>
      </c>
      <c r="BQ402" s="47"/>
      <c r="BR402" s="42" t="s">
        <v>16</v>
      </c>
      <c r="BS402" s="43" t="str">
        <f>IF(VLOOKUP(BR402,βοηθητικό!$J$2:$N$354,3,FALSE)="","",VLOOKUP(BR402,βοηθητικό!$J$2:$N$354,3,FALSE))</f>
        <v>_</v>
      </c>
      <c r="BT402" s="44"/>
      <c r="BU402" s="45" t="s">
        <v>16</v>
      </c>
      <c r="BV402" s="46" t="str">
        <f>IF(VLOOKUP(BU402,βοηθητικό!$J$2:$N$354,3,FALSE)="","",VLOOKUP(BU402,βοηθητικό!$J$2:$N$354,3,FALSE))</f>
        <v>_</v>
      </c>
      <c r="BW402" s="47"/>
      <c r="BX402" s="42" t="s">
        <v>16</v>
      </c>
      <c r="BY402" s="43" t="str">
        <f>IF(VLOOKUP(BX402,βοηθητικό!$J$2:$N$354,3,FALSE)="","",VLOOKUP(BX402,βοηθητικό!$J$2:$N$354,3,FALSE))</f>
        <v>_</v>
      </c>
      <c r="BZ402" s="44"/>
      <c r="CA402" s="45" t="s">
        <v>16</v>
      </c>
      <c r="CB402" s="46" t="str">
        <f>IF(VLOOKUP(CA402,βοηθητικό!$J$2:$N$354,3,FALSE)="","",VLOOKUP(CA402,βοηθητικό!$J$2:$N$354,3,FALSE))</f>
        <v>_</v>
      </c>
      <c r="CC402" s="47"/>
      <c r="CD402" s="42" t="s">
        <v>16</v>
      </c>
      <c r="CE402" s="43" t="str">
        <f>IF(VLOOKUP(CD402,βοηθητικό!$J$2:$N$354,3,FALSE)="","",VLOOKUP(CD402,βοηθητικό!$J$2:$N$354,3,FALSE))</f>
        <v>_</v>
      </c>
      <c r="CF402" s="44"/>
      <c r="CG402" s="45" t="s">
        <v>16</v>
      </c>
      <c r="CH402" s="46" t="str">
        <f>IF(VLOOKUP(CG402,βοηθητικό!$J$2:$N$354,3,FALSE)="","",VLOOKUP(CG402,βοηθητικό!$J$2:$N$354,3,FALSE))</f>
        <v>_</v>
      </c>
      <c r="CI402" s="47"/>
      <c r="CJ402" s="42" t="s">
        <v>16</v>
      </c>
      <c r="CK402" s="43" t="str">
        <f>IF(VLOOKUP(CJ402,βοηθητικό!$J$2:$N$354,3,FALSE)="","",VLOOKUP(CJ402,βοηθητικό!$J$2:$N$354,3,FALSE))</f>
        <v>_</v>
      </c>
      <c r="CL402" s="44"/>
      <c r="CM402" s="45" t="s">
        <v>16</v>
      </c>
      <c r="CN402" s="46" t="str">
        <f>IF(VLOOKUP(CM402,βοηθητικό!$J$2:$N$354,3,FALSE)="","",VLOOKUP(CM402,βοηθητικό!$J$2:$N$354,3,FALSE))</f>
        <v>_</v>
      </c>
      <c r="CO402" s="47"/>
      <c r="CP402" s="42" t="s">
        <v>16</v>
      </c>
      <c r="CQ402" s="43" t="str">
        <f>IF(VLOOKUP(CP402,βοηθητικό!$J$2:$N$354,3,FALSE)="","",VLOOKUP(CP402,βοηθητικό!$J$2:$N$354,3,FALSE))</f>
        <v>_</v>
      </c>
      <c r="CR402" s="44"/>
      <c r="CS402" s="45" t="s">
        <v>16</v>
      </c>
      <c r="CT402" s="46" t="str">
        <f>IF(VLOOKUP(CS402,βοηθητικό!$J$2:$N$354,3,FALSE)="","",VLOOKUP(CS402,βοηθητικό!$J$2:$N$354,3,FALSE))</f>
        <v>_</v>
      </c>
      <c r="CU402" s="47"/>
    </row>
    <row r="403" spans="1:99" x14ac:dyDescent="0.25">
      <c r="A403" s="37">
        <f>--SUBTOTAL(3,$B$3:B402)</f>
        <v>198</v>
      </c>
      <c r="B403" s="2"/>
      <c r="C403" s="3"/>
      <c r="D403" s="55" t="s">
        <v>18</v>
      </c>
      <c r="E403" s="38" t="s">
        <v>16</v>
      </c>
      <c r="F403" s="38" t="s">
        <v>16</v>
      </c>
      <c r="G403" s="39" t="str">
        <f t="shared" si="20"/>
        <v>__</v>
      </c>
      <c r="H403" s="40" t="str">
        <f t="shared" si="21"/>
        <v>FALSE</v>
      </c>
      <c r="I403" s="41">
        <f t="shared" si="22"/>
        <v>0</v>
      </c>
      <c r="J403" s="4" t="s">
        <v>16</v>
      </c>
      <c r="K403" s="43" t="str">
        <f>IF(VLOOKUP(J403,βοηθητικό!$J$2:$N$354,3,FALSE)="","",VLOOKUP(J403,βοηθητικό!$J$2:$N$354,3,FALSE))</f>
        <v>_</v>
      </c>
      <c r="L403" s="44"/>
      <c r="M403" s="5" t="s">
        <v>16</v>
      </c>
      <c r="N403" s="46" t="str">
        <f>IF(VLOOKUP(M403,βοηθητικό!$J$2:$N$354,3,FALSE)="","",VLOOKUP(M403,βοηθητικό!$J$2:$N$354,3,FALSE))</f>
        <v>_</v>
      </c>
      <c r="O403" s="47"/>
      <c r="P403" s="4" t="s">
        <v>16</v>
      </c>
      <c r="Q403" s="43" t="str">
        <f>IF(VLOOKUP(P403,βοηθητικό!$J$2:$N$354,3,FALSE)="","",VLOOKUP(P403,βοηθητικό!$J$2:$N$354,3,FALSE))</f>
        <v>_</v>
      </c>
      <c r="R403" s="44"/>
      <c r="S403" s="5" t="s">
        <v>16</v>
      </c>
      <c r="T403" s="46" t="str">
        <f>IF(VLOOKUP(S403,βοηθητικό!$J$2:$N$354,3,FALSE)="","",VLOOKUP(S403,βοηθητικό!$J$2:$N$354,3,FALSE))</f>
        <v>_</v>
      </c>
      <c r="U403" s="47"/>
      <c r="V403" s="4" t="s">
        <v>16</v>
      </c>
      <c r="W403" s="43" t="str">
        <f>IF(VLOOKUP(V403,βοηθητικό!$J$2:$N$354,3,FALSE)="","",VLOOKUP(V403,βοηθητικό!$J$2:$N$354,3,FALSE))</f>
        <v>_</v>
      </c>
      <c r="X403" s="44"/>
      <c r="Y403" s="5" t="s">
        <v>16</v>
      </c>
      <c r="Z403" s="46" t="str">
        <f>IF(VLOOKUP(Y403,βοηθητικό!$J$2:$N$354,3,FALSE)="","",VLOOKUP(Y403,βοηθητικό!$J$2:$N$354,3,FALSE))</f>
        <v>_</v>
      </c>
      <c r="AA403" s="47"/>
      <c r="AB403" s="4" t="s">
        <v>16</v>
      </c>
      <c r="AC403" s="43" t="str">
        <f>IF(VLOOKUP(AB403,βοηθητικό!$J$2:$N$354,3,FALSE)="","",VLOOKUP(AB403,βοηθητικό!$J$2:$N$354,3,FALSE))</f>
        <v>_</v>
      </c>
      <c r="AD403" s="44"/>
      <c r="AE403" s="5" t="s">
        <v>16</v>
      </c>
      <c r="AF403" s="46" t="str">
        <f>IF(VLOOKUP(AE403,βοηθητικό!$J$2:$N$354,3,FALSE)="","",VLOOKUP(AE403,βοηθητικό!$J$2:$N$354,3,FALSE))</f>
        <v>_</v>
      </c>
      <c r="AG403" s="47"/>
      <c r="AH403" s="4" t="s">
        <v>16</v>
      </c>
      <c r="AI403" s="43" t="str">
        <f>IF(VLOOKUP(AH403,βοηθητικό!$J$2:$N$354,3,FALSE)="","",VLOOKUP(AH403,βοηθητικό!$J$2:$N$354,3,FALSE))</f>
        <v>_</v>
      </c>
      <c r="AJ403" s="44"/>
      <c r="AK403" s="5" t="s">
        <v>16</v>
      </c>
      <c r="AL403" s="46" t="str">
        <f>IF(VLOOKUP(AK403,βοηθητικό!$J$2:$N$354,3,FALSE)="","",VLOOKUP(AK403,βοηθητικό!$J$2:$N$354,3,FALSE))</f>
        <v>_</v>
      </c>
      <c r="AM403" s="47"/>
      <c r="AN403" s="4" t="s">
        <v>16</v>
      </c>
      <c r="AO403" s="43" t="str">
        <f>IF(VLOOKUP(AN403,βοηθητικό!$J$2:$N$354,3,FALSE)="","",VLOOKUP(AN403,βοηθητικό!$J$2:$N$354,3,FALSE))</f>
        <v>_</v>
      </c>
      <c r="AP403" s="44"/>
      <c r="AQ403" s="5" t="s">
        <v>16</v>
      </c>
      <c r="AR403" s="46" t="str">
        <f>IF(VLOOKUP(AQ403,βοηθητικό!$J$2:$N$354,3,FALSE)="","",VLOOKUP(AQ403,βοηθητικό!$J$2:$N$354,3,FALSE))</f>
        <v>_</v>
      </c>
      <c r="AS403" s="47"/>
      <c r="AT403" s="4" t="s">
        <v>16</v>
      </c>
      <c r="AU403" s="43" t="str">
        <f>IF(VLOOKUP(AT403,βοηθητικό!$J$2:$N$354,3,FALSE)="","",VLOOKUP(AT403,βοηθητικό!$J$2:$N$354,3,FALSE))</f>
        <v>_</v>
      </c>
      <c r="AV403" s="44"/>
      <c r="AW403" s="5" t="s">
        <v>16</v>
      </c>
      <c r="AX403" s="46" t="str">
        <f>IF(VLOOKUP(AW403,βοηθητικό!$J$2:$N$354,3,FALSE)="","",VLOOKUP(AW403,βοηθητικό!$J$2:$N$354,3,FALSE))</f>
        <v>_</v>
      </c>
      <c r="AY403" s="47"/>
      <c r="AZ403" s="4" t="s">
        <v>16</v>
      </c>
      <c r="BA403" s="43" t="str">
        <f>IF(VLOOKUP(AZ403,βοηθητικό!$J$2:$N$354,3,FALSE)="","",VLOOKUP(AZ403,βοηθητικό!$J$2:$N$354,3,FALSE))</f>
        <v>_</v>
      </c>
      <c r="BB403" s="44"/>
      <c r="BC403" s="45" t="s">
        <v>16</v>
      </c>
      <c r="BD403" s="46" t="str">
        <f>IF(VLOOKUP(BC403,βοηθητικό!$J$2:$N$354,3,FALSE)="","",VLOOKUP(BC403,βοηθητικό!$J$2:$N$354,3,FALSE))</f>
        <v>_</v>
      </c>
      <c r="BE403" s="47"/>
      <c r="BF403" s="42" t="s">
        <v>16</v>
      </c>
      <c r="BG403" s="43" t="str">
        <f>IF(VLOOKUP(BF403,βοηθητικό!$J$2:$N$354,3,FALSE)="","",VLOOKUP(BF403,βοηθητικό!$J$2:$N$354,3,FALSE))</f>
        <v>_</v>
      </c>
      <c r="BH403" s="44"/>
      <c r="BI403" s="45" t="s">
        <v>16</v>
      </c>
      <c r="BJ403" s="46" t="str">
        <f>IF(VLOOKUP(BI403,βοηθητικό!$J$2:$N$354,3,FALSE)="","",VLOOKUP(BI403,βοηθητικό!$J$2:$N$354,3,FALSE))</f>
        <v>_</v>
      </c>
      <c r="BK403" s="47"/>
      <c r="BL403" s="42" t="s">
        <v>16</v>
      </c>
      <c r="BM403" s="43" t="str">
        <f>IF(VLOOKUP(BL403,βοηθητικό!$J$2:$N$354,3,FALSE)="","",VLOOKUP(BL403,βοηθητικό!$J$2:$N$354,3,FALSE))</f>
        <v>_</v>
      </c>
      <c r="BN403" s="44"/>
      <c r="BO403" s="45" t="s">
        <v>16</v>
      </c>
      <c r="BP403" s="46" t="str">
        <f>IF(VLOOKUP(BO403,βοηθητικό!$J$2:$N$354,3,FALSE)="","",VLOOKUP(BO403,βοηθητικό!$J$2:$N$354,3,FALSE))</f>
        <v>_</v>
      </c>
      <c r="BQ403" s="47"/>
      <c r="BR403" s="42" t="s">
        <v>16</v>
      </c>
      <c r="BS403" s="43" t="str">
        <f>IF(VLOOKUP(BR403,βοηθητικό!$J$2:$N$354,3,FALSE)="","",VLOOKUP(BR403,βοηθητικό!$J$2:$N$354,3,FALSE))</f>
        <v>_</v>
      </c>
      <c r="BT403" s="44"/>
      <c r="BU403" s="45" t="s">
        <v>16</v>
      </c>
      <c r="BV403" s="46" t="str">
        <f>IF(VLOOKUP(BU403,βοηθητικό!$J$2:$N$354,3,FALSE)="","",VLOOKUP(BU403,βοηθητικό!$J$2:$N$354,3,FALSE))</f>
        <v>_</v>
      </c>
      <c r="BW403" s="47"/>
      <c r="BX403" s="42" t="s">
        <v>16</v>
      </c>
      <c r="BY403" s="43" t="str">
        <f>IF(VLOOKUP(BX403,βοηθητικό!$J$2:$N$354,3,FALSE)="","",VLOOKUP(BX403,βοηθητικό!$J$2:$N$354,3,FALSE))</f>
        <v>_</v>
      </c>
      <c r="BZ403" s="44"/>
      <c r="CA403" s="45" t="s">
        <v>16</v>
      </c>
      <c r="CB403" s="46" t="str">
        <f>IF(VLOOKUP(CA403,βοηθητικό!$J$2:$N$354,3,FALSE)="","",VLOOKUP(CA403,βοηθητικό!$J$2:$N$354,3,FALSE))</f>
        <v>_</v>
      </c>
      <c r="CC403" s="47"/>
      <c r="CD403" s="42" t="s">
        <v>16</v>
      </c>
      <c r="CE403" s="43" t="str">
        <f>IF(VLOOKUP(CD403,βοηθητικό!$J$2:$N$354,3,FALSE)="","",VLOOKUP(CD403,βοηθητικό!$J$2:$N$354,3,FALSE))</f>
        <v>_</v>
      </c>
      <c r="CF403" s="44"/>
      <c r="CG403" s="45" t="s">
        <v>16</v>
      </c>
      <c r="CH403" s="46" t="str">
        <f>IF(VLOOKUP(CG403,βοηθητικό!$J$2:$N$354,3,FALSE)="","",VLOOKUP(CG403,βοηθητικό!$J$2:$N$354,3,FALSE))</f>
        <v>_</v>
      </c>
      <c r="CI403" s="47"/>
      <c r="CJ403" s="42" t="s">
        <v>16</v>
      </c>
      <c r="CK403" s="43" t="str">
        <f>IF(VLOOKUP(CJ403,βοηθητικό!$J$2:$N$354,3,FALSE)="","",VLOOKUP(CJ403,βοηθητικό!$J$2:$N$354,3,FALSE))</f>
        <v>_</v>
      </c>
      <c r="CL403" s="44"/>
      <c r="CM403" s="45" t="s">
        <v>16</v>
      </c>
      <c r="CN403" s="46" t="str">
        <f>IF(VLOOKUP(CM403,βοηθητικό!$J$2:$N$354,3,FALSE)="","",VLOOKUP(CM403,βοηθητικό!$J$2:$N$354,3,FALSE))</f>
        <v>_</v>
      </c>
      <c r="CO403" s="47"/>
      <c r="CP403" s="42" t="s">
        <v>16</v>
      </c>
      <c r="CQ403" s="43" t="str">
        <f>IF(VLOOKUP(CP403,βοηθητικό!$J$2:$N$354,3,FALSE)="","",VLOOKUP(CP403,βοηθητικό!$J$2:$N$354,3,FALSE))</f>
        <v>_</v>
      </c>
      <c r="CR403" s="44"/>
      <c r="CS403" s="45" t="s">
        <v>16</v>
      </c>
      <c r="CT403" s="46" t="str">
        <f>IF(VLOOKUP(CS403,βοηθητικό!$J$2:$N$354,3,FALSE)="","",VLOOKUP(CS403,βοηθητικό!$J$2:$N$354,3,FALSE))</f>
        <v>_</v>
      </c>
      <c r="CU403" s="47"/>
    </row>
    <row r="404" spans="1:99" x14ac:dyDescent="0.25">
      <c r="A404" s="37">
        <f>--SUBTOTAL(3,$B$3:B403)</f>
        <v>198</v>
      </c>
      <c r="B404" s="2"/>
      <c r="C404" s="3"/>
      <c r="D404" s="55" t="s">
        <v>18</v>
      </c>
      <c r="E404" s="38" t="s">
        <v>16</v>
      </c>
      <c r="F404" s="38" t="s">
        <v>16</v>
      </c>
      <c r="G404" s="39" t="str">
        <f t="shared" si="20"/>
        <v>__</v>
      </c>
      <c r="H404" s="40" t="str">
        <f t="shared" si="21"/>
        <v>FALSE</v>
      </c>
      <c r="I404" s="41">
        <f t="shared" si="22"/>
        <v>0</v>
      </c>
      <c r="J404" s="4" t="s">
        <v>16</v>
      </c>
      <c r="K404" s="43" t="str">
        <f>IF(VLOOKUP(J404,βοηθητικό!$J$2:$N$354,3,FALSE)="","",VLOOKUP(J404,βοηθητικό!$J$2:$N$354,3,FALSE))</f>
        <v>_</v>
      </c>
      <c r="L404" s="44"/>
      <c r="M404" s="5" t="s">
        <v>16</v>
      </c>
      <c r="N404" s="46" t="str">
        <f>IF(VLOOKUP(M404,βοηθητικό!$J$2:$N$354,3,FALSE)="","",VLOOKUP(M404,βοηθητικό!$J$2:$N$354,3,FALSE))</f>
        <v>_</v>
      </c>
      <c r="O404" s="47"/>
      <c r="P404" s="4" t="s">
        <v>16</v>
      </c>
      <c r="Q404" s="43" t="str">
        <f>IF(VLOOKUP(P404,βοηθητικό!$J$2:$N$354,3,FALSE)="","",VLOOKUP(P404,βοηθητικό!$J$2:$N$354,3,FALSE))</f>
        <v>_</v>
      </c>
      <c r="R404" s="44"/>
      <c r="S404" s="5" t="s">
        <v>16</v>
      </c>
      <c r="T404" s="46" t="str">
        <f>IF(VLOOKUP(S404,βοηθητικό!$J$2:$N$354,3,FALSE)="","",VLOOKUP(S404,βοηθητικό!$J$2:$N$354,3,FALSE))</f>
        <v>_</v>
      </c>
      <c r="U404" s="47"/>
      <c r="V404" s="4" t="s">
        <v>16</v>
      </c>
      <c r="W404" s="43" t="str">
        <f>IF(VLOOKUP(V404,βοηθητικό!$J$2:$N$354,3,FALSE)="","",VLOOKUP(V404,βοηθητικό!$J$2:$N$354,3,FALSE))</f>
        <v>_</v>
      </c>
      <c r="X404" s="44"/>
      <c r="Y404" s="5" t="s">
        <v>16</v>
      </c>
      <c r="Z404" s="46" t="str">
        <f>IF(VLOOKUP(Y404,βοηθητικό!$J$2:$N$354,3,FALSE)="","",VLOOKUP(Y404,βοηθητικό!$J$2:$N$354,3,FALSE))</f>
        <v>_</v>
      </c>
      <c r="AA404" s="47"/>
      <c r="AB404" s="4" t="s">
        <v>16</v>
      </c>
      <c r="AC404" s="43" t="str">
        <f>IF(VLOOKUP(AB404,βοηθητικό!$J$2:$N$354,3,FALSE)="","",VLOOKUP(AB404,βοηθητικό!$J$2:$N$354,3,FALSE))</f>
        <v>_</v>
      </c>
      <c r="AD404" s="44"/>
      <c r="AE404" s="5" t="s">
        <v>16</v>
      </c>
      <c r="AF404" s="46" t="str">
        <f>IF(VLOOKUP(AE404,βοηθητικό!$J$2:$N$354,3,FALSE)="","",VLOOKUP(AE404,βοηθητικό!$J$2:$N$354,3,FALSE))</f>
        <v>_</v>
      </c>
      <c r="AG404" s="47"/>
      <c r="AH404" s="4" t="s">
        <v>16</v>
      </c>
      <c r="AI404" s="43" t="str">
        <f>IF(VLOOKUP(AH404,βοηθητικό!$J$2:$N$354,3,FALSE)="","",VLOOKUP(AH404,βοηθητικό!$J$2:$N$354,3,FALSE))</f>
        <v>_</v>
      </c>
      <c r="AJ404" s="44"/>
      <c r="AK404" s="5" t="s">
        <v>16</v>
      </c>
      <c r="AL404" s="46" t="str">
        <f>IF(VLOOKUP(AK404,βοηθητικό!$J$2:$N$354,3,FALSE)="","",VLOOKUP(AK404,βοηθητικό!$J$2:$N$354,3,FALSE))</f>
        <v>_</v>
      </c>
      <c r="AM404" s="47"/>
      <c r="AN404" s="4" t="s">
        <v>16</v>
      </c>
      <c r="AO404" s="43" t="str">
        <f>IF(VLOOKUP(AN404,βοηθητικό!$J$2:$N$354,3,FALSE)="","",VLOOKUP(AN404,βοηθητικό!$J$2:$N$354,3,FALSE))</f>
        <v>_</v>
      </c>
      <c r="AP404" s="44"/>
      <c r="AQ404" s="5" t="s">
        <v>16</v>
      </c>
      <c r="AR404" s="46" t="str">
        <f>IF(VLOOKUP(AQ404,βοηθητικό!$J$2:$N$354,3,FALSE)="","",VLOOKUP(AQ404,βοηθητικό!$J$2:$N$354,3,FALSE))</f>
        <v>_</v>
      </c>
      <c r="AS404" s="47"/>
      <c r="AT404" s="4" t="s">
        <v>16</v>
      </c>
      <c r="AU404" s="43" t="str">
        <f>IF(VLOOKUP(AT404,βοηθητικό!$J$2:$N$354,3,FALSE)="","",VLOOKUP(AT404,βοηθητικό!$J$2:$N$354,3,FALSE))</f>
        <v>_</v>
      </c>
      <c r="AV404" s="44"/>
      <c r="AW404" s="5" t="s">
        <v>16</v>
      </c>
      <c r="AX404" s="46" t="str">
        <f>IF(VLOOKUP(AW404,βοηθητικό!$J$2:$N$354,3,FALSE)="","",VLOOKUP(AW404,βοηθητικό!$J$2:$N$354,3,FALSE))</f>
        <v>_</v>
      </c>
      <c r="AY404" s="47"/>
      <c r="AZ404" s="4" t="s">
        <v>16</v>
      </c>
      <c r="BA404" s="43" t="str">
        <f>IF(VLOOKUP(AZ404,βοηθητικό!$J$2:$N$354,3,FALSE)="","",VLOOKUP(AZ404,βοηθητικό!$J$2:$N$354,3,FALSE))</f>
        <v>_</v>
      </c>
      <c r="BB404" s="44"/>
      <c r="BC404" s="45" t="s">
        <v>16</v>
      </c>
      <c r="BD404" s="46" t="str">
        <f>IF(VLOOKUP(BC404,βοηθητικό!$J$2:$N$354,3,FALSE)="","",VLOOKUP(BC404,βοηθητικό!$J$2:$N$354,3,FALSE))</f>
        <v>_</v>
      </c>
      <c r="BE404" s="47"/>
      <c r="BF404" s="42" t="s">
        <v>16</v>
      </c>
      <c r="BG404" s="43" t="str">
        <f>IF(VLOOKUP(BF404,βοηθητικό!$J$2:$N$354,3,FALSE)="","",VLOOKUP(BF404,βοηθητικό!$J$2:$N$354,3,FALSE))</f>
        <v>_</v>
      </c>
      <c r="BH404" s="44"/>
      <c r="BI404" s="45" t="s">
        <v>16</v>
      </c>
      <c r="BJ404" s="46" t="str">
        <f>IF(VLOOKUP(BI404,βοηθητικό!$J$2:$N$354,3,FALSE)="","",VLOOKUP(BI404,βοηθητικό!$J$2:$N$354,3,FALSE))</f>
        <v>_</v>
      </c>
      <c r="BK404" s="47"/>
      <c r="BL404" s="42" t="s">
        <v>16</v>
      </c>
      <c r="BM404" s="43" t="str">
        <f>IF(VLOOKUP(BL404,βοηθητικό!$J$2:$N$354,3,FALSE)="","",VLOOKUP(BL404,βοηθητικό!$J$2:$N$354,3,FALSE))</f>
        <v>_</v>
      </c>
      <c r="BN404" s="44"/>
      <c r="BO404" s="45" t="s">
        <v>16</v>
      </c>
      <c r="BP404" s="46" t="str">
        <f>IF(VLOOKUP(BO404,βοηθητικό!$J$2:$N$354,3,FALSE)="","",VLOOKUP(BO404,βοηθητικό!$J$2:$N$354,3,FALSE))</f>
        <v>_</v>
      </c>
      <c r="BQ404" s="47"/>
      <c r="BR404" s="42" t="s">
        <v>16</v>
      </c>
      <c r="BS404" s="43" t="str">
        <f>IF(VLOOKUP(BR404,βοηθητικό!$J$2:$N$354,3,FALSE)="","",VLOOKUP(BR404,βοηθητικό!$J$2:$N$354,3,FALSE))</f>
        <v>_</v>
      </c>
      <c r="BT404" s="44"/>
      <c r="BU404" s="45" t="s">
        <v>16</v>
      </c>
      <c r="BV404" s="46" t="str">
        <f>IF(VLOOKUP(BU404,βοηθητικό!$J$2:$N$354,3,FALSE)="","",VLOOKUP(BU404,βοηθητικό!$J$2:$N$354,3,FALSE))</f>
        <v>_</v>
      </c>
      <c r="BW404" s="47"/>
      <c r="BX404" s="42" t="s">
        <v>16</v>
      </c>
      <c r="BY404" s="43" t="str">
        <f>IF(VLOOKUP(BX404,βοηθητικό!$J$2:$N$354,3,FALSE)="","",VLOOKUP(BX404,βοηθητικό!$J$2:$N$354,3,FALSE))</f>
        <v>_</v>
      </c>
      <c r="BZ404" s="44"/>
      <c r="CA404" s="45" t="s">
        <v>16</v>
      </c>
      <c r="CB404" s="46" t="str">
        <f>IF(VLOOKUP(CA404,βοηθητικό!$J$2:$N$354,3,FALSE)="","",VLOOKUP(CA404,βοηθητικό!$J$2:$N$354,3,FALSE))</f>
        <v>_</v>
      </c>
      <c r="CC404" s="47"/>
      <c r="CD404" s="42" t="s">
        <v>16</v>
      </c>
      <c r="CE404" s="43" t="str">
        <f>IF(VLOOKUP(CD404,βοηθητικό!$J$2:$N$354,3,FALSE)="","",VLOOKUP(CD404,βοηθητικό!$J$2:$N$354,3,FALSE))</f>
        <v>_</v>
      </c>
      <c r="CF404" s="44"/>
      <c r="CG404" s="45" t="s">
        <v>16</v>
      </c>
      <c r="CH404" s="46" t="str">
        <f>IF(VLOOKUP(CG404,βοηθητικό!$J$2:$N$354,3,FALSE)="","",VLOOKUP(CG404,βοηθητικό!$J$2:$N$354,3,FALSE))</f>
        <v>_</v>
      </c>
      <c r="CI404" s="47"/>
      <c r="CJ404" s="42" t="s">
        <v>16</v>
      </c>
      <c r="CK404" s="43" t="str">
        <f>IF(VLOOKUP(CJ404,βοηθητικό!$J$2:$N$354,3,FALSE)="","",VLOOKUP(CJ404,βοηθητικό!$J$2:$N$354,3,FALSE))</f>
        <v>_</v>
      </c>
      <c r="CL404" s="44"/>
      <c r="CM404" s="45" t="s">
        <v>16</v>
      </c>
      <c r="CN404" s="46" t="str">
        <f>IF(VLOOKUP(CM404,βοηθητικό!$J$2:$N$354,3,FALSE)="","",VLOOKUP(CM404,βοηθητικό!$J$2:$N$354,3,FALSE))</f>
        <v>_</v>
      </c>
      <c r="CO404" s="47"/>
      <c r="CP404" s="42" t="s">
        <v>16</v>
      </c>
      <c r="CQ404" s="43" t="str">
        <f>IF(VLOOKUP(CP404,βοηθητικό!$J$2:$N$354,3,FALSE)="","",VLOOKUP(CP404,βοηθητικό!$J$2:$N$354,3,FALSE))</f>
        <v>_</v>
      </c>
      <c r="CR404" s="44"/>
      <c r="CS404" s="45" t="s">
        <v>16</v>
      </c>
      <c r="CT404" s="46" t="str">
        <f>IF(VLOOKUP(CS404,βοηθητικό!$J$2:$N$354,3,FALSE)="","",VLOOKUP(CS404,βοηθητικό!$J$2:$N$354,3,FALSE))</f>
        <v>_</v>
      </c>
      <c r="CU404" s="47"/>
    </row>
    <row r="405" spans="1:99" x14ac:dyDescent="0.25">
      <c r="A405" s="37">
        <f>--SUBTOTAL(3,$B$3:B404)</f>
        <v>198</v>
      </c>
      <c r="B405" s="2"/>
      <c r="C405" s="3"/>
      <c r="D405" s="55" t="s">
        <v>18</v>
      </c>
      <c r="E405" s="38" t="s">
        <v>16</v>
      </c>
      <c r="F405" s="38" t="s">
        <v>16</v>
      </c>
      <c r="G405" s="39" t="str">
        <f t="shared" si="20"/>
        <v>__</v>
      </c>
      <c r="H405" s="40" t="str">
        <f t="shared" si="21"/>
        <v>FALSE</v>
      </c>
      <c r="I405" s="41">
        <f t="shared" si="22"/>
        <v>0</v>
      </c>
      <c r="J405" s="4" t="s">
        <v>16</v>
      </c>
      <c r="K405" s="43" t="str">
        <f>IF(VLOOKUP(J405,βοηθητικό!$J$2:$N$354,3,FALSE)="","",VLOOKUP(J405,βοηθητικό!$J$2:$N$354,3,FALSE))</f>
        <v>_</v>
      </c>
      <c r="L405" s="44"/>
      <c r="M405" s="5" t="s">
        <v>16</v>
      </c>
      <c r="N405" s="46" t="str">
        <f>IF(VLOOKUP(M405,βοηθητικό!$J$2:$N$354,3,FALSE)="","",VLOOKUP(M405,βοηθητικό!$J$2:$N$354,3,FALSE))</f>
        <v>_</v>
      </c>
      <c r="O405" s="47"/>
      <c r="P405" s="4" t="s">
        <v>16</v>
      </c>
      <c r="Q405" s="43" t="str">
        <f>IF(VLOOKUP(P405,βοηθητικό!$J$2:$N$354,3,FALSE)="","",VLOOKUP(P405,βοηθητικό!$J$2:$N$354,3,FALSE))</f>
        <v>_</v>
      </c>
      <c r="R405" s="44"/>
      <c r="S405" s="5" t="s">
        <v>16</v>
      </c>
      <c r="T405" s="46" t="str">
        <f>IF(VLOOKUP(S405,βοηθητικό!$J$2:$N$354,3,FALSE)="","",VLOOKUP(S405,βοηθητικό!$J$2:$N$354,3,FALSE))</f>
        <v>_</v>
      </c>
      <c r="U405" s="47"/>
      <c r="V405" s="4" t="s">
        <v>16</v>
      </c>
      <c r="W405" s="43" t="str">
        <f>IF(VLOOKUP(V405,βοηθητικό!$J$2:$N$354,3,FALSE)="","",VLOOKUP(V405,βοηθητικό!$J$2:$N$354,3,FALSE))</f>
        <v>_</v>
      </c>
      <c r="X405" s="44"/>
      <c r="Y405" s="5" t="s">
        <v>16</v>
      </c>
      <c r="Z405" s="46" t="str">
        <f>IF(VLOOKUP(Y405,βοηθητικό!$J$2:$N$354,3,FALSE)="","",VLOOKUP(Y405,βοηθητικό!$J$2:$N$354,3,FALSE))</f>
        <v>_</v>
      </c>
      <c r="AA405" s="47"/>
      <c r="AB405" s="4" t="s">
        <v>16</v>
      </c>
      <c r="AC405" s="43" t="str">
        <f>IF(VLOOKUP(AB405,βοηθητικό!$J$2:$N$354,3,FALSE)="","",VLOOKUP(AB405,βοηθητικό!$J$2:$N$354,3,FALSE))</f>
        <v>_</v>
      </c>
      <c r="AD405" s="44"/>
      <c r="AE405" s="5" t="s">
        <v>16</v>
      </c>
      <c r="AF405" s="46" t="str">
        <f>IF(VLOOKUP(AE405,βοηθητικό!$J$2:$N$354,3,FALSE)="","",VLOOKUP(AE405,βοηθητικό!$J$2:$N$354,3,FALSE))</f>
        <v>_</v>
      </c>
      <c r="AG405" s="47"/>
      <c r="AH405" s="4" t="s">
        <v>16</v>
      </c>
      <c r="AI405" s="43" t="str">
        <f>IF(VLOOKUP(AH405,βοηθητικό!$J$2:$N$354,3,FALSE)="","",VLOOKUP(AH405,βοηθητικό!$J$2:$N$354,3,FALSE))</f>
        <v>_</v>
      </c>
      <c r="AJ405" s="44"/>
      <c r="AK405" s="5" t="s">
        <v>16</v>
      </c>
      <c r="AL405" s="46" t="str">
        <f>IF(VLOOKUP(AK405,βοηθητικό!$J$2:$N$354,3,FALSE)="","",VLOOKUP(AK405,βοηθητικό!$J$2:$N$354,3,FALSE))</f>
        <v>_</v>
      </c>
      <c r="AM405" s="47"/>
      <c r="AN405" s="4" t="s">
        <v>16</v>
      </c>
      <c r="AO405" s="43" t="str">
        <f>IF(VLOOKUP(AN405,βοηθητικό!$J$2:$N$354,3,FALSE)="","",VLOOKUP(AN405,βοηθητικό!$J$2:$N$354,3,FALSE))</f>
        <v>_</v>
      </c>
      <c r="AP405" s="44"/>
      <c r="AQ405" s="5" t="s">
        <v>16</v>
      </c>
      <c r="AR405" s="46" t="str">
        <f>IF(VLOOKUP(AQ405,βοηθητικό!$J$2:$N$354,3,FALSE)="","",VLOOKUP(AQ405,βοηθητικό!$J$2:$N$354,3,FALSE))</f>
        <v>_</v>
      </c>
      <c r="AS405" s="47"/>
      <c r="AT405" s="4" t="s">
        <v>16</v>
      </c>
      <c r="AU405" s="43" t="str">
        <f>IF(VLOOKUP(AT405,βοηθητικό!$J$2:$N$354,3,FALSE)="","",VLOOKUP(AT405,βοηθητικό!$J$2:$N$354,3,FALSE))</f>
        <v>_</v>
      </c>
      <c r="AV405" s="44"/>
      <c r="AW405" s="5" t="s">
        <v>16</v>
      </c>
      <c r="AX405" s="46" t="str">
        <f>IF(VLOOKUP(AW405,βοηθητικό!$J$2:$N$354,3,FALSE)="","",VLOOKUP(AW405,βοηθητικό!$J$2:$N$354,3,FALSE))</f>
        <v>_</v>
      </c>
      <c r="AY405" s="47"/>
      <c r="AZ405" s="4" t="s">
        <v>16</v>
      </c>
      <c r="BA405" s="43" t="str">
        <f>IF(VLOOKUP(AZ405,βοηθητικό!$J$2:$N$354,3,FALSE)="","",VLOOKUP(AZ405,βοηθητικό!$J$2:$N$354,3,FALSE))</f>
        <v>_</v>
      </c>
      <c r="BB405" s="44"/>
      <c r="BC405" s="45" t="s">
        <v>16</v>
      </c>
      <c r="BD405" s="46" t="str">
        <f>IF(VLOOKUP(BC405,βοηθητικό!$J$2:$N$354,3,FALSE)="","",VLOOKUP(BC405,βοηθητικό!$J$2:$N$354,3,FALSE))</f>
        <v>_</v>
      </c>
      <c r="BE405" s="47"/>
      <c r="BF405" s="42" t="s">
        <v>16</v>
      </c>
      <c r="BG405" s="43" t="str">
        <f>IF(VLOOKUP(BF405,βοηθητικό!$J$2:$N$354,3,FALSE)="","",VLOOKUP(BF405,βοηθητικό!$J$2:$N$354,3,FALSE))</f>
        <v>_</v>
      </c>
      <c r="BH405" s="44"/>
      <c r="BI405" s="45" t="s">
        <v>16</v>
      </c>
      <c r="BJ405" s="46" t="str">
        <f>IF(VLOOKUP(BI405,βοηθητικό!$J$2:$N$354,3,FALSE)="","",VLOOKUP(BI405,βοηθητικό!$J$2:$N$354,3,FALSE))</f>
        <v>_</v>
      </c>
      <c r="BK405" s="47"/>
      <c r="BL405" s="42" t="s">
        <v>16</v>
      </c>
      <c r="BM405" s="43" t="str">
        <f>IF(VLOOKUP(BL405,βοηθητικό!$J$2:$N$354,3,FALSE)="","",VLOOKUP(BL405,βοηθητικό!$J$2:$N$354,3,FALSE))</f>
        <v>_</v>
      </c>
      <c r="BN405" s="44"/>
      <c r="BO405" s="45" t="s">
        <v>16</v>
      </c>
      <c r="BP405" s="46" t="str">
        <f>IF(VLOOKUP(BO405,βοηθητικό!$J$2:$N$354,3,FALSE)="","",VLOOKUP(BO405,βοηθητικό!$J$2:$N$354,3,FALSE))</f>
        <v>_</v>
      </c>
      <c r="BQ405" s="47"/>
      <c r="BR405" s="42" t="s">
        <v>16</v>
      </c>
      <c r="BS405" s="43" t="str">
        <f>IF(VLOOKUP(BR405,βοηθητικό!$J$2:$N$354,3,FALSE)="","",VLOOKUP(BR405,βοηθητικό!$J$2:$N$354,3,FALSE))</f>
        <v>_</v>
      </c>
      <c r="BT405" s="44"/>
      <c r="BU405" s="45" t="s">
        <v>16</v>
      </c>
      <c r="BV405" s="46" t="str">
        <f>IF(VLOOKUP(BU405,βοηθητικό!$J$2:$N$354,3,FALSE)="","",VLOOKUP(BU405,βοηθητικό!$J$2:$N$354,3,FALSE))</f>
        <v>_</v>
      </c>
      <c r="BW405" s="47"/>
      <c r="BX405" s="42" t="s">
        <v>16</v>
      </c>
      <c r="BY405" s="43" t="str">
        <f>IF(VLOOKUP(BX405,βοηθητικό!$J$2:$N$354,3,FALSE)="","",VLOOKUP(BX405,βοηθητικό!$J$2:$N$354,3,FALSE))</f>
        <v>_</v>
      </c>
      <c r="BZ405" s="44"/>
      <c r="CA405" s="45" t="s">
        <v>16</v>
      </c>
      <c r="CB405" s="46" t="str">
        <f>IF(VLOOKUP(CA405,βοηθητικό!$J$2:$N$354,3,FALSE)="","",VLOOKUP(CA405,βοηθητικό!$J$2:$N$354,3,FALSE))</f>
        <v>_</v>
      </c>
      <c r="CC405" s="47"/>
      <c r="CD405" s="42" t="s">
        <v>16</v>
      </c>
      <c r="CE405" s="43" t="str">
        <f>IF(VLOOKUP(CD405,βοηθητικό!$J$2:$N$354,3,FALSE)="","",VLOOKUP(CD405,βοηθητικό!$J$2:$N$354,3,FALSE))</f>
        <v>_</v>
      </c>
      <c r="CF405" s="44"/>
      <c r="CG405" s="45" t="s">
        <v>16</v>
      </c>
      <c r="CH405" s="46" t="str">
        <f>IF(VLOOKUP(CG405,βοηθητικό!$J$2:$N$354,3,FALSE)="","",VLOOKUP(CG405,βοηθητικό!$J$2:$N$354,3,FALSE))</f>
        <v>_</v>
      </c>
      <c r="CI405" s="47"/>
      <c r="CJ405" s="42" t="s">
        <v>16</v>
      </c>
      <c r="CK405" s="43" t="str">
        <f>IF(VLOOKUP(CJ405,βοηθητικό!$J$2:$N$354,3,FALSE)="","",VLOOKUP(CJ405,βοηθητικό!$J$2:$N$354,3,FALSE))</f>
        <v>_</v>
      </c>
      <c r="CL405" s="44"/>
      <c r="CM405" s="45" t="s">
        <v>16</v>
      </c>
      <c r="CN405" s="46" t="str">
        <f>IF(VLOOKUP(CM405,βοηθητικό!$J$2:$N$354,3,FALSE)="","",VLOOKUP(CM405,βοηθητικό!$J$2:$N$354,3,FALSE))</f>
        <v>_</v>
      </c>
      <c r="CO405" s="47"/>
      <c r="CP405" s="42" t="s">
        <v>16</v>
      </c>
      <c r="CQ405" s="43" t="str">
        <f>IF(VLOOKUP(CP405,βοηθητικό!$J$2:$N$354,3,FALSE)="","",VLOOKUP(CP405,βοηθητικό!$J$2:$N$354,3,FALSE))</f>
        <v>_</v>
      </c>
      <c r="CR405" s="44"/>
      <c r="CS405" s="45" t="s">
        <v>16</v>
      </c>
      <c r="CT405" s="46" t="str">
        <f>IF(VLOOKUP(CS405,βοηθητικό!$J$2:$N$354,3,FALSE)="","",VLOOKUP(CS405,βοηθητικό!$J$2:$N$354,3,FALSE))</f>
        <v>_</v>
      </c>
      <c r="CU405" s="47"/>
    </row>
    <row r="406" spans="1:99" x14ac:dyDescent="0.25">
      <c r="A406" s="37">
        <f>--SUBTOTAL(3,$B$3:B405)</f>
        <v>198</v>
      </c>
      <c r="B406" s="2"/>
      <c r="C406" s="3"/>
      <c r="D406" s="55" t="s">
        <v>18</v>
      </c>
      <c r="E406" s="38" t="s">
        <v>16</v>
      </c>
      <c r="F406" s="38" t="s">
        <v>16</v>
      </c>
      <c r="G406" s="39" t="str">
        <f t="shared" si="20"/>
        <v>__</v>
      </c>
      <c r="H406" s="40" t="str">
        <f t="shared" si="21"/>
        <v>FALSE</v>
      </c>
      <c r="I406" s="41">
        <f t="shared" si="22"/>
        <v>0</v>
      </c>
      <c r="J406" s="4" t="s">
        <v>16</v>
      </c>
      <c r="K406" s="43" t="str">
        <f>IF(VLOOKUP(J406,βοηθητικό!$J$2:$N$354,3,FALSE)="","",VLOOKUP(J406,βοηθητικό!$J$2:$N$354,3,FALSE))</f>
        <v>_</v>
      </c>
      <c r="L406" s="44"/>
      <c r="M406" s="5" t="s">
        <v>16</v>
      </c>
      <c r="N406" s="46" t="str">
        <f>IF(VLOOKUP(M406,βοηθητικό!$J$2:$N$354,3,FALSE)="","",VLOOKUP(M406,βοηθητικό!$J$2:$N$354,3,FALSE))</f>
        <v>_</v>
      </c>
      <c r="O406" s="47"/>
      <c r="P406" s="4" t="s">
        <v>16</v>
      </c>
      <c r="Q406" s="43" t="str">
        <f>IF(VLOOKUP(P406,βοηθητικό!$J$2:$N$354,3,FALSE)="","",VLOOKUP(P406,βοηθητικό!$J$2:$N$354,3,FALSE))</f>
        <v>_</v>
      </c>
      <c r="R406" s="44"/>
      <c r="S406" s="5" t="s">
        <v>16</v>
      </c>
      <c r="T406" s="46" t="str">
        <f>IF(VLOOKUP(S406,βοηθητικό!$J$2:$N$354,3,FALSE)="","",VLOOKUP(S406,βοηθητικό!$J$2:$N$354,3,FALSE))</f>
        <v>_</v>
      </c>
      <c r="U406" s="47"/>
      <c r="V406" s="4" t="s">
        <v>16</v>
      </c>
      <c r="W406" s="43" t="str">
        <f>IF(VLOOKUP(V406,βοηθητικό!$J$2:$N$354,3,FALSE)="","",VLOOKUP(V406,βοηθητικό!$J$2:$N$354,3,FALSE))</f>
        <v>_</v>
      </c>
      <c r="X406" s="44"/>
      <c r="Y406" s="5" t="s">
        <v>16</v>
      </c>
      <c r="Z406" s="46" t="str">
        <f>IF(VLOOKUP(Y406,βοηθητικό!$J$2:$N$354,3,FALSE)="","",VLOOKUP(Y406,βοηθητικό!$J$2:$N$354,3,FALSE))</f>
        <v>_</v>
      </c>
      <c r="AA406" s="47"/>
      <c r="AB406" s="4" t="s">
        <v>16</v>
      </c>
      <c r="AC406" s="43" t="str">
        <f>IF(VLOOKUP(AB406,βοηθητικό!$J$2:$N$354,3,FALSE)="","",VLOOKUP(AB406,βοηθητικό!$J$2:$N$354,3,FALSE))</f>
        <v>_</v>
      </c>
      <c r="AD406" s="44"/>
      <c r="AE406" s="5" t="s">
        <v>16</v>
      </c>
      <c r="AF406" s="46" t="str">
        <f>IF(VLOOKUP(AE406,βοηθητικό!$J$2:$N$354,3,FALSE)="","",VLOOKUP(AE406,βοηθητικό!$J$2:$N$354,3,FALSE))</f>
        <v>_</v>
      </c>
      <c r="AG406" s="47"/>
      <c r="AH406" s="4" t="s">
        <v>16</v>
      </c>
      <c r="AI406" s="43" t="str">
        <f>IF(VLOOKUP(AH406,βοηθητικό!$J$2:$N$354,3,FALSE)="","",VLOOKUP(AH406,βοηθητικό!$J$2:$N$354,3,FALSE))</f>
        <v>_</v>
      </c>
      <c r="AJ406" s="44"/>
      <c r="AK406" s="5" t="s">
        <v>16</v>
      </c>
      <c r="AL406" s="46" t="str">
        <f>IF(VLOOKUP(AK406,βοηθητικό!$J$2:$N$354,3,FALSE)="","",VLOOKUP(AK406,βοηθητικό!$J$2:$N$354,3,FALSE))</f>
        <v>_</v>
      </c>
      <c r="AM406" s="47"/>
      <c r="AN406" s="4" t="s">
        <v>16</v>
      </c>
      <c r="AO406" s="43" t="str">
        <f>IF(VLOOKUP(AN406,βοηθητικό!$J$2:$N$354,3,FALSE)="","",VLOOKUP(AN406,βοηθητικό!$J$2:$N$354,3,FALSE))</f>
        <v>_</v>
      </c>
      <c r="AP406" s="44"/>
      <c r="AQ406" s="5" t="s">
        <v>16</v>
      </c>
      <c r="AR406" s="46" t="str">
        <f>IF(VLOOKUP(AQ406,βοηθητικό!$J$2:$N$354,3,FALSE)="","",VLOOKUP(AQ406,βοηθητικό!$J$2:$N$354,3,FALSE))</f>
        <v>_</v>
      </c>
      <c r="AS406" s="47"/>
      <c r="AT406" s="4" t="s">
        <v>16</v>
      </c>
      <c r="AU406" s="43" t="str">
        <f>IF(VLOOKUP(AT406,βοηθητικό!$J$2:$N$354,3,FALSE)="","",VLOOKUP(AT406,βοηθητικό!$J$2:$N$354,3,FALSE))</f>
        <v>_</v>
      </c>
      <c r="AV406" s="44"/>
      <c r="AW406" s="5" t="s">
        <v>16</v>
      </c>
      <c r="AX406" s="46" t="str">
        <f>IF(VLOOKUP(AW406,βοηθητικό!$J$2:$N$354,3,FALSE)="","",VLOOKUP(AW406,βοηθητικό!$J$2:$N$354,3,FALSE))</f>
        <v>_</v>
      </c>
      <c r="AY406" s="47"/>
      <c r="AZ406" s="4" t="s">
        <v>16</v>
      </c>
      <c r="BA406" s="43" t="str">
        <f>IF(VLOOKUP(AZ406,βοηθητικό!$J$2:$N$354,3,FALSE)="","",VLOOKUP(AZ406,βοηθητικό!$J$2:$N$354,3,FALSE))</f>
        <v>_</v>
      </c>
      <c r="BB406" s="44"/>
      <c r="BC406" s="45" t="s">
        <v>16</v>
      </c>
      <c r="BD406" s="46" t="str">
        <f>IF(VLOOKUP(BC406,βοηθητικό!$J$2:$N$354,3,FALSE)="","",VLOOKUP(BC406,βοηθητικό!$J$2:$N$354,3,FALSE))</f>
        <v>_</v>
      </c>
      <c r="BE406" s="47"/>
      <c r="BF406" s="42" t="s">
        <v>16</v>
      </c>
      <c r="BG406" s="43" t="str">
        <f>IF(VLOOKUP(BF406,βοηθητικό!$J$2:$N$354,3,FALSE)="","",VLOOKUP(BF406,βοηθητικό!$J$2:$N$354,3,FALSE))</f>
        <v>_</v>
      </c>
      <c r="BH406" s="44"/>
      <c r="BI406" s="45" t="s">
        <v>16</v>
      </c>
      <c r="BJ406" s="46" t="str">
        <f>IF(VLOOKUP(BI406,βοηθητικό!$J$2:$N$354,3,FALSE)="","",VLOOKUP(BI406,βοηθητικό!$J$2:$N$354,3,FALSE))</f>
        <v>_</v>
      </c>
      <c r="BK406" s="47"/>
      <c r="BL406" s="42" t="s">
        <v>16</v>
      </c>
      <c r="BM406" s="43" t="str">
        <f>IF(VLOOKUP(BL406,βοηθητικό!$J$2:$N$354,3,FALSE)="","",VLOOKUP(BL406,βοηθητικό!$J$2:$N$354,3,FALSE))</f>
        <v>_</v>
      </c>
      <c r="BN406" s="44"/>
      <c r="BO406" s="45" t="s">
        <v>16</v>
      </c>
      <c r="BP406" s="46" t="str">
        <f>IF(VLOOKUP(BO406,βοηθητικό!$J$2:$N$354,3,FALSE)="","",VLOOKUP(BO406,βοηθητικό!$J$2:$N$354,3,FALSE))</f>
        <v>_</v>
      </c>
      <c r="BQ406" s="47"/>
      <c r="BR406" s="42" t="s">
        <v>16</v>
      </c>
      <c r="BS406" s="43" t="str">
        <f>IF(VLOOKUP(BR406,βοηθητικό!$J$2:$N$354,3,FALSE)="","",VLOOKUP(BR406,βοηθητικό!$J$2:$N$354,3,FALSE))</f>
        <v>_</v>
      </c>
      <c r="BT406" s="44"/>
      <c r="BU406" s="45" t="s">
        <v>16</v>
      </c>
      <c r="BV406" s="46" t="str">
        <f>IF(VLOOKUP(BU406,βοηθητικό!$J$2:$N$354,3,FALSE)="","",VLOOKUP(BU406,βοηθητικό!$J$2:$N$354,3,FALSE))</f>
        <v>_</v>
      </c>
      <c r="BW406" s="47"/>
      <c r="BX406" s="42" t="s">
        <v>16</v>
      </c>
      <c r="BY406" s="43" t="str">
        <f>IF(VLOOKUP(BX406,βοηθητικό!$J$2:$N$354,3,FALSE)="","",VLOOKUP(BX406,βοηθητικό!$J$2:$N$354,3,FALSE))</f>
        <v>_</v>
      </c>
      <c r="BZ406" s="44"/>
      <c r="CA406" s="45" t="s">
        <v>16</v>
      </c>
      <c r="CB406" s="46" t="str">
        <f>IF(VLOOKUP(CA406,βοηθητικό!$J$2:$N$354,3,FALSE)="","",VLOOKUP(CA406,βοηθητικό!$J$2:$N$354,3,FALSE))</f>
        <v>_</v>
      </c>
      <c r="CC406" s="47"/>
      <c r="CD406" s="42" t="s">
        <v>16</v>
      </c>
      <c r="CE406" s="43" t="str">
        <f>IF(VLOOKUP(CD406,βοηθητικό!$J$2:$N$354,3,FALSE)="","",VLOOKUP(CD406,βοηθητικό!$J$2:$N$354,3,FALSE))</f>
        <v>_</v>
      </c>
      <c r="CF406" s="44"/>
      <c r="CG406" s="45" t="s">
        <v>16</v>
      </c>
      <c r="CH406" s="46" t="str">
        <f>IF(VLOOKUP(CG406,βοηθητικό!$J$2:$N$354,3,FALSE)="","",VLOOKUP(CG406,βοηθητικό!$J$2:$N$354,3,FALSE))</f>
        <v>_</v>
      </c>
      <c r="CI406" s="47"/>
      <c r="CJ406" s="42" t="s">
        <v>16</v>
      </c>
      <c r="CK406" s="43" t="str">
        <f>IF(VLOOKUP(CJ406,βοηθητικό!$J$2:$N$354,3,FALSE)="","",VLOOKUP(CJ406,βοηθητικό!$J$2:$N$354,3,FALSE))</f>
        <v>_</v>
      </c>
      <c r="CL406" s="44"/>
      <c r="CM406" s="45" t="s">
        <v>16</v>
      </c>
      <c r="CN406" s="46" t="str">
        <f>IF(VLOOKUP(CM406,βοηθητικό!$J$2:$N$354,3,FALSE)="","",VLOOKUP(CM406,βοηθητικό!$J$2:$N$354,3,FALSE))</f>
        <v>_</v>
      </c>
      <c r="CO406" s="47"/>
      <c r="CP406" s="42" t="s">
        <v>16</v>
      </c>
      <c r="CQ406" s="43" t="str">
        <f>IF(VLOOKUP(CP406,βοηθητικό!$J$2:$N$354,3,FALSE)="","",VLOOKUP(CP406,βοηθητικό!$J$2:$N$354,3,FALSE))</f>
        <v>_</v>
      </c>
      <c r="CR406" s="44"/>
      <c r="CS406" s="45" t="s">
        <v>16</v>
      </c>
      <c r="CT406" s="46" t="str">
        <f>IF(VLOOKUP(CS406,βοηθητικό!$J$2:$N$354,3,FALSE)="","",VLOOKUP(CS406,βοηθητικό!$J$2:$N$354,3,FALSE))</f>
        <v>_</v>
      </c>
      <c r="CU406" s="47"/>
    </row>
    <row r="407" spans="1:99" x14ac:dyDescent="0.25">
      <c r="A407" s="37">
        <f>--SUBTOTAL(3,$B$3:B406)</f>
        <v>198</v>
      </c>
      <c r="B407" s="2"/>
      <c r="C407" s="3"/>
      <c r="D407" s="55" t="s">
        <v>18</v>
      </c>
      <c r="E407" s="38" t="s">
        <v>16</v>
      </c>
      <c r="F407" s="38" t="s">
        <v>16</v>
      </c>
      <c r="G407" s="39" t="str">
        <f t="shared" si="20"/>
        <v>__</v>
      </c>
      <c r="H407" s="40" t="str">
        <f t="shared" si="21"/>
        <v>FALSE</v>
      </c>
      <c r="I407" s="41">
        <f t="shared" si="22"/>
        <v>0</v>
      </c>
      <c r="J407" s="4" t="s">
        <v>16</v>
      </c>
      <c r="K407" s="43" t="str">
        <f>IF(VLOOKUP(J407,βοηθητικό!$J$2:$N$354,3,FALSE)="","",VLOOKUP(J407,βοηθητικό!$J$2:$N$354,3,FALSE))</f>
        <v>_</v>
      </c>
      <c r="L407" s="44"/>
      <c r="M407" s="5" t="s">
        <v>16</v>
      </c>
      <c r="N407" s="46" t="str">
        <f>IF(VLOOKUP(M407,βοηθητικό!$J$2:$N$354,3,FALSE)="","",VLOOKUP(M407,βοηθητικό!$J$2:$N$354,3,FALSE))</f>
        <v>_</v>
      </c>
      <c r="O407" s="47"/>
      <c r="P407" s="4" t="s">
        <v>16</v>
      </c>
      <c r="Q407" s="43" t="str">
        <f>IF(VLOOKUP(P407,βοηθητικό!$J$2:$N$354,3,FALSE)="","",VLOOKUP(P407,βοηθητικό!$J$2:$N$354,3,FALSE))</f>
        <v>_</v>
      </c>
      <c r="R407" s="44"/>
      <c r="S407" s="5" t="s">
        <v>16</v>
      </c>
      <c r="T407" s="46" t="str">
        <f>IF(VLOOKUP(S407,βοηθητικό!$J$2:$N$354,3,FALSE)="","",VLOOKUP(S407,βοηθητικό!$J$2:$N$354,3,FALSE))</f>
        <v>_</v>
      </c>
      <c r="U407" s="47"/>
      <c r="V407" s="4" t="s">
        <v>16</v>
      </c>
      <c r="W407" s="43" t="str">
        <f>IF(VLOOKUP(V407,βοηθητικό!$J$2:$N$354,3,FALSE)="","",VLOOKUP(V407,βοηθητικό!$J$2:$N$354,3,FALSE))</f>
        <v>_</v>
      </c>
      <c r="X407" s="44"/>
      <c r="Y407" s="5" t="s">
        <v>16</v>
      </c>
      <c r="Z407" s="46" t="str">
        <f>IF(VLOOKUP(Y407,βοηθητικό!$J$2:$N$354,3,FALSE)="","",VLOOKUP(Y407,βοηθητικό!$J$2:$N$354,3,FALSE))</f>
        <v>_</v>
      </c>
      <c r="AA407" s="47"/>
      <c r="AB407" s="4" t="s">
        <v>16</v>
      </c>
      <c r="AC407" s="43" t="str">
        <f>IF(VLOOKUP(AB407,βοηθητικό!$J$2:$N$354,3,FALSE)="","",VLOOKUP(AB407,βοηθητικό!$J$2:$N$354,3,FALSE))</f>
        <v>_</v>
      </c>
      <c r="AD407" s="44"/>
      <c r="AE407" s="5" t="s">
        <v>16</v>
      </c>
      <c r="AF407" s="46" t="str">
        <f>IF(VLOOKUP(AE407,βοηθητικό!$J$2:$N$354,3,FALSE)="","",VLOOKUP(AE407,βοηθητικό!$J$2:$N$354,3,FALSE))</f>
        <v>_</v>
      </c>
      <c r="AG407" s="47"/>
      <c r="AH407" s="4" t="s">
        <v>16</v>
      </c>
      <c r="AI407" s="43" t="str">
        <f>IF(VLOOKUP(AH407,βοηθητικό!$J$2:$N$354,3,FALSE)="","",VLOOKUP(AH407,βοηθητικό!$J$2:$N$354,3,FALSE))</f>
        <v>_</v>
      </c>
      <c r="AJ407" s="44"/>
      <c r="AK407" s="5" t="s">
        <v>16</v>
      </c>
      <c r="AL407" s="46" t="str">
        <f>IF(VLOOKUP(AK407,βοηθητικό!$J$2:$N$354,3,FALSE)="","",VLOOKUP(AK407,βοηθητικό!$J$2:$N$354,3,FALSE))</f>
        <v>_</v>
      </c>
      <c r="AM407" s="47"/>
      <c r="AN407" s="4" t="s">
        <v>16</v>
      </c>
      <c r="AO407" s="43" t="str">
        <f>IF(VLOOKUP(AN407,βοηθητικό!$J$2:$N$354,3,FALSE)="","",VLOOKUP(AN407,βοηθητικό!$J$2:$N$354,3,FALSE))</f>
        <v>_</v>
      </c>
      <c r="AP407" s="44"/>
      <c r="AQ407" s="5" t="s">
        <v>16</v>
      </c>
      <c r="AR407" s="46" t="str">
        <f>IF(VLOOKUP(AQ407,βοηθητικό!$J$2:$N$354,3,FALSE)="","",VLOOKUP(AQ407,βοηθητικό!$J$2:$N$354,3,FALSE))</f>
        <v>_</v>
      </c>
      <c r="AS407" s="47"/>
      <c r="AT407" s="4" t="s">
        <v>16</v>
      </c>
      <c r="AU407" s="43" t="str">
        <f>IF(VLOOKUP(AT407,βοηθητικό!$J$2:$N$354,3,FALSE)="","",VLOOKUP(AT407,βοηθητικό!$J$2:$N$354,3,FALSE))</f>
        <v>_</v>
      </c>
      <c r="AV407" s="44"/>
      <c r="AW407" s="5" t="s">
        <v>16</v>
      </c>
      <c r="AX407" s="46" t="str">
        <f>IF(VLOOKUP(AW407,βοηθητικό!$J$2:$N$354,3,FALSE)="","",VLOOKUP(AW407,βοηθητικό!$J$2:$N$354,3,FALSE))</f>
        <v>_</v>
      </c>
      <c r="AY407" s="47"/>
      <c r="AZ407" s="4" t="s">
        <v>16</v>
      </c>
      <c r="BA407" s="43" t="str">
        <f>IF(VLOOKUP(AZ407,βοηθητικό!$J$2:$N$354,3,FALSE)="","",VLOOKUP(AZ407,βοηθητικό!$J$2:$N$354,3,FALSE))</f>
        <v>_</v>
      </c>
      <c r="BB407" s="44"/>
      <c r="BC407" s="45" t="s">
        <v>16</v>
      </c>
      <c r="BD407" s="46" t="str">
        <f>IF(VLOOKUP(BC407,βοηθητικό!$J$2:$N$354,3,FALSE)="","",VLOOKUP(BC407,βοηθητικό!$J$2:$N$354,3,FALSE))</f>
        <v>_</v>
      </c>
      <c r="BE407" s="47"/>
      <c r="BF407" s="42" t="s">
        <v>16</v>
      </c>
      <c r="BG407" s="43" t="str">
        <f>IF(VLOOKUP(BF407,βοηθητικό!$J$2:$N$354,3,FALSE)="","",VLOOKUP(BF407,βοηθητικό!$J$2:$N$354,3,FALSE))</f>
        <v>_</v>
      </c>
      <c r="BH407" s="44"/>
      <c r="BI407" s="45" t="s">
        <v>16</v>
      </c>
      <c r="BJ407" s="46" t="str">
        <f>IF(VLOOKUP(BI407,βοηθητικό!$J$2:$N$354,3,FALSE)="","",VLOOKUP(BI407,βοηθητικό!$J$2:$N$354,3,FALSE))</f>
        <v>_</v>
      </c>
      <c r="BK407" s="47"/>
      <c r="BL407" s="42" t="s">
        <v>16</v>
      </c>
      <c r="BM407" s="43" t="str">
        <f>IF(VLOOKUP(BL407,βοηθητικό!$J$2:$N$354,3,FALSE)="","",VLOOKUP(BL407,βοηθητικό!$J$2:$N$354,3,FALSE))</f>
        <v>_</v>
      </c>
      <c r="BN407" s="44"/>
      <c r="BO407" s="45" t="s">
        <v>16</v>
      </c>
      <c r="BP407" s="46" t="str">
        <f>IF(VLOOKUP(BO407,βοηθητικό!$J$2:$N$354,3,FALSE)="","",VLOOKUP(BO407,βοηθητικό!$J$2:$N$354,3,FALSE))</f>
        <v>_</v>
      </c>
      <c r="BQ407" s="47"/>
      <c r="BR407" s="42" t="s">
        <v>16</v>
      </c>
      <c r="BS407" s="43" t="str">
        <f>IF(VLOOKUP(BR407,βοηθητικό!$J$2:$N$354,3,FALSE)="","",VLOOKUP(BR407,βοηθητικό!$J$2:$N$354,3,FALSE))</f>
        <v>_</v>
      </c>
      <c r="BT407" s="44"/>
      <c r="BU407" s="45" t="s">
        <v>16</v>
      </c>
      <c r="BV407" s="46" t="str">
        <f>IF(VLOOKUP(BU407,βοηθητικό!$J$2:$N$354,3,FALSE)="","",VLOOKUP(BU407,βοηθητικό!$J$2:$N$354,3,FALSE))</f>
        <v>_</v>
      </c>
      <c r="BW407" s="47"/>
      <c r="BX407" s="42" t="s">
        <v>16</v>
      </c>
      <c r="BY407" s="43" t="str">
        <f>IF(VLOOKUP(BX407,βοηθητικό!$J$2:$N$354,3,FALSE)="","",VLOOKUP(BX407,βοηθητικό!$J$2:$N$354,3,FALSE))</f>
        <v>_</v>
      </c>
      <c r="BZ407" s="44"/>
      <c r="CA407" s="45" t="s">
        <v>16</v>
      </c>
      <c r="CB407" s="46" t="str">
        <f>IF(VLOOKUP(CA407,βοηθητικό!$J$2:$N$354,3,FALSE)="","",VLOOKUP(CA407,βοηθητικό!$J$2:$N$354,3,FALSE))</f>
        <v>_</v>
      </c>
      <c r="CC407" s="47"/>
      <c r="CD407" s="42" t="s">
        <v>16</v>
      </c>
      <c r="CE407" s="43" t="str">
        <f>IF(VLOOKUP(CD407,βοηθητικό!$J$2:$N$354,3,FALSE)="","",VLOOKUP(CD407,βοηθητικό!$J$2:$N$354,3,FALSE))</f>
        <v>_</v>
      </c>
      <c r="CF407" s="44"/>
      <c r="CG407" s="45" t="s">
        <v>16</v>
      </c>
      <c r="CH407" s="46" t="str">
        <f>IF(VLOOKUP(CG407,βοηθητικό!$J$2:$N$354,3,FALSE)="","",VLOOKUP(CG407,βοηθητικό!$J$2:$N$354,3,FALSE))</f>
        <v>_</v>
      </c>
      <c r="CI407" s="47"/>
      <c r="CJ407" s="42" t="s">
        <v>16</v>
      </c>
      <c r="CK407" s="43" t="str">
        <f>IF(VLOOKUP(CJ407,βοηθητικό!$J$2:$N$354,3,FALSE)="","",VLOOKUP(CJ407,βοηθητικό!$J$2:$N$354,3,FALSE))</f>
        <v>_</v>
      </c>
      <c r="CL407" s="44"/>
      <c r="CM407" s="45" t="s">
        <v>16</v>
      </c>
      <c r="CN407" s="46" t="str">
        <f>IF(VLOOKUP(CM407,βοηθητικό!$J$2:$N$354,3,FALSE)="","",VLOOKUP(CM407,βοηθητικό!$J$2:$N$354,3,FALSE))</f>
        <v>_</v>
      </c>
      <c r="CO407" s="47"/>
      <c r="CP407" s="42" t="s">
        <v>16</v>
      </c>
      <c r="CQ407" s="43" t="str">
        <f>IF(VLOOKUP(CP407,βοηθητικό!$J$2:$N$354,3,FALSE)="","",VLOOKUP(CP407,βοηθητικό!$J$2:$N$354,3,FALSE))</f>
        <v>_</v>
      </c>
      <c r="CR407" s="44"/>
      <c r="CS407" s="45" t="s">
        <v>16</v>
      </c>
      <c r="CT407" s="46" t="str">
        <f>IF(VLOOKUP(CS407,βοηθητικό!$J$2:$N$354,3,FALSE)="","",VLOOKUP(CS407,βοηθητικό!$J$2:$N$354,3,FALSE))</f>
        <v>_</v>
      </c>
      <c r="CU407" s="47"/>
    </row>
    <row r="408" spans="1:99" x14ac:dyDescent="0.25">
      <c r="A408" s="37">
        <f>--SUBTOTAL(3,$B$3:B407)</f>
        <v>198</v>
      </c>
      <c r="B408" s="2"/>
      <c r="C408" s="3"/>
      <c r="D408" s="55" t="s">
        <v>18</v>
      </c>
      <c r="E408" s="38" t="s">
        <v>16</v>
      </c>
      <c r="F408" s="38" t="s">
        <v>16</v>
      </c>
      <c r="G408" s="39" t="str">
        <f t="shared" si="20"/>
        <v>__</v>
      </c>
      <c r="H408" s="40" t="str">
        <f t="shared" si="21"/>
        <v>FALSE</v>
      </c>
      <c r="I408" s="41">
        <f t="shared" si="22"/>
        <v>0</v>
      </c>
      <c r="J408" s="4" t="s">
        <v>16</v>
      </c>
      <c r="K408" s="43" t="str">
        <f>IF(VLOOKUP(J408,βοηθητικό!$J$2:$N$354,3,FALSE)="","",VLOOKUP(J408,βοηθητικό!$J$2:$N$354,3,FALSE))</f>
        <v>_</v>
      </c>
      <c r="L408" s="44"/>
      <c r="M408" s="5" t="s">
        <v>16</v>
      </c>
      <c r="N408" s="46" t="str">
        <f>IF(VLOOKUP(M408,βοηθητικό!$J$2:$N$354,3,FALSE)="","",VLOOKUP(M408,βοηθητικό!$J$2:$N$354,3,FALSE))</f>
        <v>_</v>
      </c>
      <c r="O408" s="47"/>
      <c r="P408" s="4" t="s">
        <v>16</v>
      </c>
      <c r="Q408" s="43" t="str">
        <f>IF(VLOOKUP(P408,βοηθητικό!$J$2:$N$354,3,FALSE)="","",VLOOKUP(P408,βοηθητικό!$J$2:$N$354,3,FALSE))</f>
        <v>_</v>
      </c>
      <c r="R408" s="44"/>
      <c r="S408" s="5" t="s">
        <v>16</v>
      </c>
      <c r="T408" s="46" t="str">
        <f>IF(VLOOKUP(S408,βοηθητικό!$J$2:$N$354,3,FALSE)="","",VLOOKUP(S408,βοηθητικό!$J$2:$N$354,3,FALSE))</f>
        <v>_</v>
      </c>
      <c r="U408" s="47"/>
      <c r="V408" s="4" t="s">
        <v>16</v>
      </c>
      <c r="W408" s="43" t="str">
        <f>IF(VLOOKUP(V408,βοηθητικό!$J$2:$N$354,3,FALSE)="","",VLOOKUP(V408,βοηθητικό!$J$2:$N$354,3,FALSE))</f>
        <v>_</v>
      </c>
      <c r="X408" s="44"/>
      <c r="Y408" s="5" t="s">
        <v>16</v>
      </c>
      <c r="Z408" s="46" t="str">
        <f>IF(VLOOKUP(Y408,βοηθητικό!$J$2:$N$354,3,FALSE)="","",VLOOKUP(Y408,βοηθητικό!$J$2:$N$354,3,FALSE))</f>
        <v>_</v>
      </c>
      <c r="AA408" s="47"/>
      <c r="AB408" s="4" t="s">
        <v>16</v>
      </c>
      <c r="AC408" s="43" t="str">
        <f>IF(VLOOKUP(AB408,βοηθητικό!$J$2:$N$354,3,FALSE)="","",VLOOKUP(AB408,βοηθητικό!$J$2:$N$354,3,FALSE))</f>
        <v>_</v>
      </c>
      <c r="AD408" s="44"/>
      <c r="AE408" s="5" t="s">
        <v>16</v>
      </c>
      <c r="AF408" s="46" t="str">
        <f>IF(VLOOKUP(AE408,βοηθητικό!$J$2:$N$354,3,FALSE)="","",VLOOKUP(AE408,βοηθητικό!$J$2:$N$354,3,FALSE))</f>
        <v>_</v>
      </c>
      <c r="AG408" s="47"/>
      <c r="AH408" s="4" t="s">
        <v>16</v>
      </c>
      <c r="AI408" s="43" t="str">
        <f>IF(VLOOKUP(AH408,βοηθητικό!$J$2:$N$354,3,FALSE)="","",VLOOKUP(AH408,βοηθητικό!$J$2:$N$354,3,FALSE))</f>
        <v>_</v>
      </c>
      <c r="AJ408" s="44"/>
      <c r="AK408" s="5" t="s">
        <v>16</v>
      </c>
      <c r="AL408" s="46" t="str">
        <f>IF(VLOOKUP(AK408,βοηθητικό!$J$2:$N$354,3,FALSE)="","",VLOOKUP(AK408,βοηθητικό!$J$2:$N$354,3,FALSE))</f>
        <v>_</v>
      </c>
      <c r="AM408" s="47"/>
      <c r="AN408" s="4" t="s">
        <v>16</v>
      </c>
      <c r="AO408" s="43" t="str">
        <f>IF(VLOOKUP(AN408,βοηθητικό!$J$2:$N$354,3,FALSE)="","",VLOOKUP(AN408,βοηθητικό!$J$2:$N$354,3,FALSE))</f>
        <v>_</v>
      </c>
      <c r="AP408" s="44"/>
      <c r="AQ408" s="5" t="s">
        <v>16</v>
      </c>
      <c r="AR408" s="46" t="str">
        <f>IF(VLOOKUP(AQ408,βοηθητικό!$J$2:$N$354,3,FALSE)="","",VLOOKUP(AQ408,βοηθητικό!$J$2:$N$354,3,FALSE))</f>
        <v>_</v>
      </c>
      <c r="AS408" s="47"/>
      <c r="AT408" s="4" t="s">
        <v>16</v>
      </c>
      <c r="AU408" s="43" t="str">
        <f>IF(VLOOKUP(AT408,βοηθητικό!$J$2:$N$354,3,FALSE)="","",VLOOKUP(AT408,βοηθητικό!$J$2:$N$354,3,FALSE))</f>
        <v>_</v>
      </c>
      <c r="AV408" s="44"/>
      <c r="AW408" s="5" t="s">
        <v>16</v>
      </c>
      <c r="AX408" s="46" t="str">
        <f>IF(VLOOKUP(AW408,βοηθητικό!$J$2:$N$354,3,FALSE)="","",VLOOKUP(AW408,βοηθητικό!$J$2:$N$354,3,FALSE))</f>
        <v>_</v>
      </c>
      <c r="AY408" s="47"/>
      <c r="AZ408" s="4" t="s">
        <v>16</v>
      </c>
      <c r="BA408" s="43" t="str">
        <f>IF(VLOOKUP(AZ408,βοηθητικό!$J$2:$N$354,3,FALSE)="","",VLOOKUP(AZ408,βοηθητικό!$J$2:$N$354,3,FALSE))</f>
        <v>_</v>
      </c>
      <c r="BB408" s="44"/>
      <c r="BC408" s="45" t="s">
        <v>16</v>
      </c>
      <c r="BD408" s="46" t="str">
        <f>IF(VLOOKUP(BC408,βοηθητικό!$J$2:$N$354,3,FALSE)="","",VLOOKUP(BC408,βοηθητικό!$J$2:$N$354,3,FALSE))</f>
        <v>_</v>
      </c>
      <c r="BE408" s="47"/>
      <c r="BF408" s="42" t="s">
        <v>16</v>
      </c>
      <c r="BG408" s="43" t="str">
        <f>IF(VLOOKUP(BF408,βοηθητικό!$J$2:$N$354,3,FALSE)="","",VLOOKUP(BF408,βοηθητικό!$J$2:$N$354,3,FALSE))</f>
        <v>_</v>
      </c>
      <c r="BH408" s="44"/>
      <c r="BI408" s="45" t="s">
        <v>16</v>
      </c>
      <c r="BJ408" s="46" t="str">
        <f>IF(VLOOKUP(BI408,βοηθητικό!$J$2:$N$354,3,FALSE)="","",VLOOKUP(BI408,βοηθητικό!$J$2:$N$354,3,FALSE))</f>
        <v>_</v>
      </c>
      <c r="BK408" s="47"/>
      <c r="BL408" s="42" t="s">
        <v>16</v>
      </c>
      <c r="BM408" s="43" t="str">
        <f>IF(VLOOKUP(BL408,βοηθητικό!$J$2:$N$354,3,FALSE)="","",VLOOKUP(BL408,βοηθητικό!$J$2:$N$354,3,FALSE))</f>
        <v>_</v>
      </c>
      <c r="BN408" s="44"/>
      <c r="BO408" s="45" t="s">
        <v>16</v>
      </c>
      <c r="BP408" s="46" t="str">
        <f>IF(VLOOKUP(BO408,βοηθητικό!$J$2:$N$354,3,FALSE)="","",VLOOKUP(BO408,βοηθητικό!$J$2:$N$354,3,FALSE))</f>
        <v>_</v>
      </c>
      <c r="BQ408" s="47"/>
      <c r="BR408" s="42" t="s">
        <v>16</v>
      </c>
      <c r="BS408" s="43" t="str">
        <f>IF(VLOOKUP(BR408,βοηθητικό!$J$2:$N$354,3,FALSE)="","",VLOOKUP(BR408,βοηθητικό!$J$2:$N$354,3,FALSE))</f>
        <v>_</v>
      </c>
      <c r="BT408" s="44"/>
      <c r="BU408" s="45" t="s">
        <v>16</v>
      </c>
      <c r="BV408" s="46" t="str">
        <f>IF(VLOOKUP(BU408,βοηθητικό!$J$2:$N$354,3,FALSE)="","",VLOOKUP(BU408,βοηθητικό!$J$2:$N$354,3,FALSE))</f>
        <v>_</v>
      </c>
      <c r="BW408" s="47"/>
      <c r="BX408" s="42" t="s">
        <v>16</v>
      </c>
      <c r="BY408" s="43" t="str">
        <f>IF(VLOOKUP(BX408,βοηθητικό!$J$2:$N$354,3,FALSE)="","",VLOOKUP(BX408,βοηθητικό!$J$2:$N$354,3,FALSE))</f>
        <v>_</v>
      </c>
      <c r="BZ408" s="44"/>
      <c r="CA408" s="45" t="s">
        <v>16</v>
      </c>
      <c r="CB408" s="46" t="str">
        <f>IF(VLOOKUP(CA408,βοηθητικό!$J$2:$N$354,3,FALSE)="","",VLOOKUP(CA408,βοηθητικό!$J$2:$N$354,3,FALSE))</f>
        <v>_</v>
      </c>
      <c r="CC408" s="47"/>
      <c r="CD408" s="42" t="s">
        <v>16</v>
      </c>
      <c r="CE408" s="43" t="str">
        <f>IF(VLOOKUP(CD408,βοηθητικό!$J$2:$N$354,3,FALSE)="","",VLOOKUP(CD408,βοηθητικό!$J$2:$N$354,3,FALSE))</f>
        <v>_</v>
      </c>
      <c r="CF408" s="44"/>
      <c r="CG408" s="45" t="s">
        <v>16</v>
      </c>
      <c r="CH408" s="46" t="str">
        <f>IF(VLOOKUP(CG408,βοηθητικό!$J$2:$N$354,3,FALSE)="","",VLOOKUP(CG408,βοηθητικό!$J$2:$N$354,3,FALSE))</f>
        <v>_</v>
      </c>
      <c r="CI408" s="47"/>
      <c r="CJ408" s="42" t="s">
        <v>16</v>
      </c>
      <c r="CK408" s="43" t="str">
        <f>IF(VLOOKUP(CJ408,βοηθητικό!$J$2:$N$354,3,FALSE)="","",VLOOKUP(CJ408,βοηθητικό!$J$2:$N$354,3,FALSE))</f>
        <v>_</v>
      </c>
      <c r="CL408" s="44"/>
      <c r="CM408" s="45" t="s">
        <v>16</v>
      </c>
      <c r="CN408" s="46" t="str">
        <f>IF(VLOOKUP(CM408,βοηθητικό!$J$2:$N$354,3,FALSE)="","",VLOOKUP(CM408,βοηθητικό!$J$2:$N$354,3,FALSE))</f>
        <v>_</v>
      </c>
      <c r="CO408" s="47"/>
      <c r="CP408" s="42" t="s">
        <v>16</v>
      </c>
      <c r="CQ408" s="43" t="str">
        <f>IF(VLOOKUP(CP408,βοηθητικό!$J$2:$N$354,3,FALSE)="","",VLOOKUP(CP408,βοηθητικό!$J$2:$N$354,3,FALSE))</f>
        <v>_</v>
      </c>
      <c r="CR408" s="44"/>
      <c r="CS408" s="45" t="s">
        <v>16</v>
      </c>
      <c r="CT408" s="46" t="str">
        <f>IF(VLOOKUP(CS408,βοηθητικό!$J$2:$N$354,3,FALSE)="","",VLOOKUP(CS408,βοηθητικό!$J$2:$N$354,3,FALSE))</f>
        <v>_</v>
      </c>
      <c r="CU408" s="47"/>
    </row>
    <row r="409" spans="1:99" x14ac:dyDescent="0.25">
      <c r="A409" s="37">
        <f>--SUBTOTAL(3,$B$3:B408)</f>
        <v>198</v>
      </c>
      <c r="B409" s="2"/>
      <c r="C409" s="3"/>
      <c r="D409" s="55" t="s">
        <v>18</v>
      </c>
      <c r="E409" s="38" t="s">
        <v>16</v>
      </c>
      <c r="F409" s="38" t="s">
        <v>16</v>
      </c>
      <c r="G409" s="39" t="str">
        <f t="shared" si="20"/>
        <v>__</v>
      </c>
      <c r="H409" s="40" t="str">
        <f t="shared" si="21"/>
        <v>FALSE</v>
      </c>
      <c r="I409" s="41">
        <f t="shared" si="22"/>
        <v>0</v>
      </c>
      <c r="J409" s="4" t="s">
        <v>16</v>
      </c>
      <c r="K409" s="43" t="str">
        <f>IF(VLOOKUP(J409,βοηθητικό!$J$2:$N$354,3,FALSE)="","",VLOOKUP(J409,βοηθητικό!$J$2:$N$354,3,FALSE))</f>
        <v>_</v>
      </c>
      <c r="L409" s="44"/>
      <c r="M409" s="5" t="s">
        <v>16</v>
      </c>
      <c r="N409" s="46" t="str">
        <f>IF(VLOOKUP(M409,βοηθητικό!$J$2:$N$354,3,FALSE)="","",VLOOKUP(M409,βοηθητικό!$J$2:$N$354,3,FALSE))</f>
        <v>_</v>
      </c>
      <c r="O409" s="47"/>
      <c r="P409" s="4" t="s">
        <v>16</v>
      </c>
      <c r="Q409" s="43" t="str">
        <f>IF(VLOOKUP(P409,βοηθητικό!$J$2:$N$354,3,FALSE)="","",VLOOKUP(P409,βοηθητικό!$J$2:$N$354,3,FALSE))</f>
        <v>_</v>
      </c>
      <c r="R409" s="44"/>
      <c r="S409" s="5" t="s">
        <v>16</v>
      </c>
      <c r="T409" s="46" t="str">
        <f>IF(VLOOKUP(S409,βοηθητικό!$J$2:$N$354,3,FALSE)="","",VLOOKUP(S409,βοηθητικό!$J$2:$N$354,3,FALSE))</f>
        <v>_</v>
      </c>
      <c r="U409" s="47"/>
      <c r="V409" s="4" t="s">
        <v>16</v>
      </c>
      <c r="W409" s="43" t="str">
        <f>IF(VLOOKUP(V409,βοηθητικό!$J$2:$N$354,3,FALSE)="","",VLOOKUP(V409,βοηθητικό!$J$2:$N$354,3,FALSE))</f>
        <v>_</v>
      </c>
      <c r="X409" s="44"/>
      <c r="Y409" s="5" t="s">
        <v>16</v>
      </c>
      <c r="Z409" s="46" t="str">
        <f>IF(VLOOKUP(Y409,βοηθητικό!$J$2:$N$354,3,FALSE)="","",VLOOKUP(Y409,βοηθητικό!$J$2:$N$354,3,FALSE))</f>
        <v>_</v>
      </c>
      <c r="AA409" s="47"/>
      <c r="AB409" s="4" t="s">
        <v>16</v>
      </c>
      <c r="AC409" s="43" t="str">
        <f>IF(VLOOKUP(AB409,βοηθητικό!$J$2:$N$354,3,FALSE)="","",VLOOKUP(AB409,βοηθητικό!$J$2:$N$354,3,FALSE))</f>
        <v>_</v>
      </c>
      <c r="AD409" s="44"/>
      <c r="AE409" s="5" t="s">
        <v>16</v>
      </c>
      <c r="AF409" s="46" t="str">
        <f>IF(VLOOKUP(AE409,βοηθητικό!$J$2:$N$354,3,FALSE)="","",VLOOKUP(AE409,βοηθητικό!$J$2:$N$354,3,FALSE))</f>
        <v>_</v>
      </c>
      <c r="AG409" s="47"/>
      <c r="AH409" s="4" t="s">
        <v>16</v>
      </c>
      <c r="AI409" s="43" t="str">
        <f>IF(VLOOKUP(AH409,βοηθητικό!$J$2:$N$354,3,FALSE)="","",VLOOKUP(AH409,βοηθητικό!$J$2:$N$354,3,FALSE))</f>
        <v>_</v>
      </c>
      <c r="AJ409" s="44"/>
      <c r="AK409" s="5" t="s">
        <v>16</v>
      </c>
      <c r="AL409" s="46" t="str">
        <f>IF(VLOOKUP(AK409,βοηθητικό!$J$2:$N$354,3,FALSE)="","",VLOOKUP(AK409,βοηθητικό!$J$2:$N$354,3,FALSE))</f>
        <v>_</v>
      </c>
      <c r="AM409" s="47"/>
      <c r="AN409" s="4" t="s">
        <v>16</v>
      </c>
      <c r="AO409" s="43" t="str">
        <f>IF(VLOOKUP(AN409,βοηθητικό!$J$2:$N$354,3,FALSE)="","",VLOOKUP(AN409,βοηθητικό!$J$2:$N$354,3,FALSE))</f>
        <v>_</v>
      </c>
      <c r="AP409" s="44"/>
      <c r="AQ409" s="5" t="s">
        <v>16</v>
      </c>
      <c r="AR409" s="46" t="str">
        <f>IF(VLOOKUP(AQ409,βοηθητικό!$J$2:$N$354,3,FALSE)="","",VLOOKUP(AQ409,βοηθητικό!$J$2:$N$354,3,FALSE))</f>
        <v>_</v>
      </c>
      <c r="AS409" s="47"/>
      <c r="AT409" s="4" t="s">
        <v>16</v>
      </c>
      <c r="AU409" s="43" t="str">
        <f>IF(VLOOKUP(AT409,βοηθητικό!$J$2:$N$354,3,FALSE)="","",VLOOKUP(AT409,βοηθητικό!$J$2:$N$354,3,FALSE))</f>
        <v>_</v>
      </c>
      <c r="AV409" s="44"/>
      <c r="AW409" s="5" t="s">
        <v>16</v>
      </c>
      <c r="AX409" s="46" t="str">
        <f>IF(VLOOKUP(AW409,βοηθητικό!$J$2:$N$354,3,FALSE)="","",VLOOKUP(AW409,βοηθητικό!$J$2:$N$354,3,FALSE))</f>
        <v>_</v>
      </c>
      <c r="AY409" s="47"/>
      <c r="AZ409" s="4" t="s">
        <v>16</v>
      </c>
      <c r="BA409" s="43" t="str">
        <f>IF(VLOOKUP(AZ409,βοηθητικό!$J$2:$N$354,3,FALSE)="","",VLOOKUP(AZ409,βοηθητικό!$J$2:$N$354,3,FALSE))</f>
        <v>_</v>
      </c>
      <c r="BB409" s="44"/>
      <c r="BC409" s="45" t="s">
        <v>16</v>
      </c>
      <c r="BD409" s="46" t="str">
        <f>IF(VLOOKUP(BC409,βοηθητικό!$J$2:$N$354,3,FALSE)="","",VLOOKUP(BC409,βοηθητικό!$J$2:$N$354,3,FALSE))</f>
        <v>_</v>
      </c>
      <c r="BE409" s="47"/>
      <c r="BF409" s="42" t="s">
        <v>16</v>
      </c>
      <c r="BG409" s="43" t="str">
        <f>IF(VLOOKUP(BF409,βοηθητικό!$J$2:$N$354,3,FALSE)="","",VLOOKUP(BF409,βοηθητικό!$J$2:$N$354,3,FALSE))</f>
        <v>_</v>
      </c>
      <c r="BH409" s="44"/>
      <c r="BI409" s="45" t="s">
        <v>16</v>
      </c>
      <c r="BJ409" s="46" t="str">
        <f>IF(VLOOKUP(BI409,βοηθητικό!$J$2:$N$354,3,FALSE)="","",VLOOKUP(BI409,βοηθητικό!$J$2:$N$354,3,FALSE))</f>
        <v>_</v>
      </c>
      <c r="BK409" s="47"/>
      <c r="BL409" s="42" t="s">
        <v>16</v>
      </c>
      <c r="BM409" s="43" t="str">
        <f>IF(VLOOKUP(BL409,βοηθητικό!$J$2:$N$354,3,FALSE)="","",VLOOKUP(BL409,βοηθητικό!$J$2:$N$354,3,FALSE))</f>
        <v>_</v>
      </c>
      <c r="BN409" s="44"/>
      <c r="BO409" s="45" t="s">
        <v>16</v>
      </c>
      <c r="BP409" s="46" t="str">
        <f>IF(VLOOKUP(BO409,βοηθητικό!$J$2:$N$354,3,FALSE)="","",VLOOKUP(BO409,βοηθητικό!$J$2:$N$354,3,FALSE))</f>
        <v>_</v>
      </c>
      <c r="BQ409" s="47"/>
      <c r="BR409" s="42" t="s">
        <v>16</v>
      </c>
      <c r="BS409" s="43" t="str">
        <f>IF(VLOOKUP(BR409,βοηθητικό!$J$2:$N$354,3,FALSE)="","",VLOOKUP(BR409,βοηθητικό!$J$2:$N$354,3,FALSE))</f>
        <v>_</v>
      </c>
      <c r="BT409" s="44"/>
      <c r="BU409" s="45" t="s">
        <v>16</v>
      </c>
      <c r="BV409" s="46" t="str">
        <f>IF(VLOOKUP(BU409,βοηθητικό!$J$2:$N$354,3,FALSE)="","",VLOOKUP(BU409,βοηθητικό!$J$2:$N$354,3,FALSE))</f>
        <v>_</v>
      </c>
      <c r="BW409" s="47"/>
      <c r="BX409" s="42" t="s">
        <v>16</v>
      </c>
      <c r="BY409" s="43" t="str">
        <f>IF(VLOOKUP(BX409,βοηθητικό!$J$2:$N$354,3,FALSE)="","",VLOOKUP(BX409,βοηθητικό!$J$2:$N$354,3,FALSE))</f>
        <v>_</v>
      </c>
      <c r="BZ409" s="44"/>
      <c r="CA409" s="45" t="s">
        <v>16</v>
      </c>
      <c r="CB409" s="46" t="str">
        <f>IF(VLOOKUP(CA409,βοηθητικό!$J$2:$N$354,3,FALSE)="","",VLOOKUP(CA409,βοηθητικό!$J$2:$N$354,3,FALSE))</f>
        <v>_</v>
      </c>
      <c r="CC409" s="47"/>
      <c r="CD409" s="42" t="s">
        <v>16</v>
      </c>
      <c r="CE409" s="43" t="str">
        <f>IF(VLOOKUP(CD409,βοηθητικό!$J$2:$N$354,3,FALSE)="","",VLOOKUP(CD409,βοηθητικό!$J$2:$N$354,3,FALSE))</f>
        <v>_</v>
      </c>
      <c r="CF409" s="44"/>
      <c r="CG409" s="45" t="s">
        <v>16</v>
      </c>
      <c r="CH409" s="46" t="str">
        <f>IF(VLOOKUP(CG409,βοηθητικό!$J$2:$N$354,3,FALSE)="","",VLOOKUP(CG409,βοηθητικό!$J$2:$N$354,3,FALSE))</f>
        <v>_</v>
      </c>
      <c r="CI409" s="47"/>
      <c r="CJ409" s="42" t="s">
        <v>16</v>
      </c>
      <c r="CK409" s="43" t="str">
        <f>IF(VLOOKUP(CJ409,βοηθητικό!$J$2:$N$354,3,FALSE)="","",VLOOKUP(CJ409,βοηθητικό!$J$2:$N$354,3,FALSE))</f>
        <v>_</v>
      </c>
      <c r="CL409" s="44"/>
      <c r="CM409" s="45" t="s">
        <v>16</v>
      </c>
      <c r="CN409" s="46" t="str">
        <f>IF(VLOOKUP(CM409,βοηθητικό!$J$2:$N$354,3,FALSE)="","",VLOOKUP(CM409,βοηθητικό!$J$2:$N$354,3,FALSE))</f>
        <v>_</v>
      </c>
      <c r="CO409" s="47"/>
      <c r="CP409" s="42" t="s">
        <v>16</v>
      </c>
      <c r="CQ409" s="43" t="str">
        <f>IF(VLOOKUP(CP409,βοηθητικό!$J$2:$N$354,3,FALSE)="","",VLOOKUP(CP409,βοηθητικό!$J$2:$N$354,3,FALSE))</f>
        <v>_</v>
      </c>
      <c r="CR409" s="44"/>
      <c r="CS409" s="45" t="s">
        <v>16</v>
      </c>
      <c r="CT409" s="46" t="str">
        <f>IF(VLOOKUP(CS409,βοηθητικό!$J$2:$N$354,3,FALSE)="","",VLOOKUP(CS409,βοηθητικό!$J$2:$N$354,3,FALSE))</f>
        <v>_</v>
      </c>
      <c r="CU409" s="47"/>
    </row>
    <row r="410" spans="1:99" x14ac:dyDescent="0.25">
      <c r="A410" s="37">
        <f>--SUBTOTAL(3,$B$3:B409)</f>
        <v>198</v>
      </c>
      <c r="B410" s="2"/>
      <c r="C410" s="3"/>
      <c r="D410" s="55" t="s">
        <v>18</v>
      </c>
      <c r="E410" s="38" t="s">
        <v>16</v>
      </c>
      <c r="F410" s="38" t="s">
        <v>16</v>
      </c>
      <c r="G410" s="39" t="str">
        <f t="shared" si="20"/>
        <v>__</v>
      </c>
      <c r="H410" s="40" t="str">
        <f t="shared" si="21"/>
        <v>FALSE</v>
      </c>
      <c r="I410" s="41">
        <f t="shared" si="22"/>
        <v>0</v>
      </c>
      <c r="J410" s="4" t="s">
        <v>16</v>
      </c>
      <c r="K410" s="43" t="str">
        <f>IF(VLOOKUP(J410,βοηθητικό!$J$2:$N$354,3,FALSE)="","",VLOOKUP(J410,βοηθητικό!$J$2:$N$354,3,FALSE))</f>
        <v>_</v>
      </c>
      <c r="L410" s="44"/>
      <c r="M410" s="5" t="s">
        <v>16</v>
      </c>
      <c r="N410" s="46" t="str">
        <f>IF(VLOOKUP(M410,βοηθητικό!$J$2:$N$354,3,FALSE)="","",VLOOKUP(M410,βοηθητικό!$J$2:$N$354,3,FALSE))</f>
        <v>_</v>
      </c>
      <c r="O410" s="47"/>
      <c r="P410" s="4" t="s">
        <v>16</v>
      </c>
      <c r="Q410" s="43" t="str">
        <f>IF(VLOOKUP(P410,βοηθητικό!$J$2:$N$354,3,FALSE)="","",VLOOKUP(P410,βοηθητικό!$J$2:$N$354,3,FALSE))</f>
        <v>_</v>
      </c>
      <c r="R410" s="44"/>
      <c r="S410" s="5" t="s">
        <v>16</v>
      </c>
      <c r="T410" s="46" t="str">
        <f>IF(VLOOKUP(S410,βοηθητικό!$J$2:$N$354,3,FALSE)="","",VLOOKUP(S410,βοηθητικό!$J$2:$N$354,3,FALSE))</f>
        <v>_</v>
      </c>
      <c r="U410" s="47"/>
      <c r="V410" s="4" t="s">
        <v>16</v>
      </c>
      <c r="W410" s="43" t="str">
        <f>IF(VLOOKUP(V410,βοηθητικό!$J$2:$N$354,3,FALSE)="","",VLOOKUP(V410,βοηθητικό!$J$2:$N$354,3,FALSE))</f>
        <v>_</v>
      </c>
      <c r="X410" s="44"/>
      <c r="Y410" s="5" t="s">
        <v>16</v>
      </c>
      <c r="Z410" s="46" t="str">
        <f>IF(VLOOKUP(Y410,βοηθητικό!$J$2:$N$354,3,FALSE)="","",VLOOKUP(Y410,βοηθητικό!$J$2:$N$354,3,FALSE))</f>
        <v>_</v>
      </c>
      <c r="AA410" s="47"/>
      <c r="AB410" s="4" t="s">
        <v>16</v>
      </c>
      <c r="AC410" s="43" t="str">
        <f>IF(VLOOKUP(AB410,βοηθητικό!$J$2:$N$354,3,FALSE)="","",VLOOKUP(AB410,βοηθητικό!$J$2:$N$354,3,FALSE))</f>
        <v>_</v>
      </c>
      <c r="AD410" s="44"/>
      <c r="AE410" s="5" t="s">
        <v>16</v>
      </c>
      <c r="AF410" s="46" t="str">
        <f>IF(VLOOKUP(AE410,βοηθητικό!$J$2:$N$354,3,FALSE)="","",VLOOKUP(AE410,βοηθητικό!$J$2:$N$354,3,FALSE))</f>
        <v>_</v>
      </c>
      <c r="AG410" s="47"/>
      <c r="AH410" s="4" t="s">
        <v>16</v>
      </c>
      <c r="AI410" s="43" t="str">
        <f>IF(VLOOKUP(AH410,βοηθητικό!$J$2:$N$354,3,FALSE)="","",VLOOKUP(AH410,βοηθητικό!$J$2:$N$354,3,FALSE))</f>
        <v>_</v>
      </c>
      <c r="AJ410" s="44"/>
      <c r="AK410" s="5" t="s">
        <v>16</v>
      </c>
      <c r="AL410" s="46" t="str">
        <f>IF(VLOOKUP(AK410,βοηθητικό!$J$2:$N$354,3,FALSE)="","",VLOOKUP(AK410,βοηθητικό!$J$2:$N$354,3,FALSE))</f>
        <v>_</v>
      </c>
      <c r="AM410" s="47"/>
      <c r="AN410" s="4" t="s">
        <v>16</v>
      </c>
      <c r="AO410" s="43" t="str">
        <f>IF(VLOOKUP(AN410,βοηθητικό!$J$2:$N$354,3,FALSE)="","",VLOOKUP(AN410,βοηθητικό!$J$2:$N$354,3,FALSE))</f>
        <v>_</v>
      </c>
      <c r="AP410" s="44"/>
      <c r="AQ410" s="5" t="s">
        <v>16</v>
      </c>
      <c r="AR410" s="46" t="str">
        <f>IF(VLOOKUP(AQ410,βοηθητικό!$J$2:$N$354,3,FALSE)="","",VLOOKUP(AQ410,βοηθητικό!$J$2:$N$354,3,FALSE))</f>
        <v>_</v>
      </c>
      <c r="AS410" s="47"/>
      <c r="AT410" s="4" t="s">
        <v>16</v>
      </c>
      <c r="AU410" s="43" t="str">
        <f>IF(VLOOKUP(AT410,βοηθητικό!$J$2:$N$354,3,FALSE)="","",VLOOKUP(AT410,βοηθητικό!$J$2:$N$354,3,FALSE))</f>
        <v>_</v>
      </c>
      <c r="AV410" s="44"/>
      <c r="AW410" s="5" t="s">
        <v>16</v>
      </c>
      <c r="AX410" s="46" t="str">
        <f>IF(VLOOKUP(AW410,βοηθητικό!$J$2:$N$354,3,FALSE)="","",VLOOKUP(AW410,βοηθητικό!$J$2:$N$354,3,FALSE))</f>
        <v>_</v>
      </c>
      <c r="AY410" s="47"/>
      <c r="AZ410" s="4" t="s">
        <v>16</v>
      </c>
      <c r="BA410" s="43" t="str">
        <f>IF(VLOOKUP(AZ410,βοηθητικό!$J$2:$N$354,3,FALSE)="","",VLOOKUP(AZ410,βοηθητικό!$J$2:$N$354,3,FALSE))</f>
        <v>_</v>
      </c>
      <c r="BB410" s="44"/>
      <c r="BC410" s="45" t="s">
        <v>16</v>
      </c>
      <c r="BD410" s="46" t="str">
        <f>IF(VLOOKUP(BC410,βοηθητικό!$J$2:$N$354,3,FALSE)="","",VLOOKUP(BC410,βοηθητικό!$J$2:$N$354,3,FALSE))</f>
        <v>_</v>
      </c>
      <c r="BE410" s="47"/>
      <c r="BF410" s="42" t="s">
        <v>16</v>
      </c>
      <c r="BG410" s="43" t="str">
        <f>IF(VLOOKUP(BF410,βοηθητικό!$J$2:$N$354,3,FALSE)="","",VLOOKUP(BF410,βοηθητικό!$J$2:$N$354,3,FALSE))</f>
        <v>_</v>
      </c>
      <c r="BH410" s="44"/>
      <c r="BI410" s="45" t="s">
        <v>16</v>
      </c>
      <c r="BJ410" s="46" t="str">
        <f>IF(VLOOKUP(BI410,βοηθητικό!$J$2:$N$354,3,FALSE)="","",VLOOKUP(BI410,βοηθητικό!$J$2:$N$354,3,FALSE))</f>
        <v>_</v>
      </c>
      <c r="BK410" s="47"/>
      <c r="BL410" s="42" t="s">
        <v>16</v>
      </c>
      <c r="BM410" s="43" t="str">
        <f>IF(VLOOKUP(BL410,βοηθητικό!$J$2:$N$354,3,FALSE)="","",VLOOKUP(BL410,βοηθητικό!$J$2:$N$354,3,FALSE))</f>
        <v>_</v>
      </c>
      <c r="BN410" s="44"/>
      <c r="BO410" s="45" t="s">
        <v>16</v>
      </c>
      <c r="BP410" s="46" t="str">
        <f>IF(VLOOKUP(BO410,βοηθητικό!$J$2:$N$354,3,FALSE)="","",VLOOKUP(BO410,βοηθητικό!$J$2:$N$354,3,FALSE))</f>
        <v>_</v>
      </c>
      <c r="BQ410" s="47"/>
      <c r="BR410" s="42" t="s">
        <v>16</v>
      </c>
      <c r="BS410" s="43" t="str">
        <f>IF(VLOOKUP(BR410,βοηθητικό!$J$2:$N$354,3,FALSE)="","",VLOOKUP(BR410,βοηθητικό!$J$2:$N$354,3,FALSE))</f>
        <v>_</v>
      </c>
      <c r="BT410" s="44"/>
      <c r="BU410" s="45" t="s">
        <v>16</v>
      </c>
      <c r="BV410" s="46" t="str">
        <f>IF(VLOOKUP(BU410,βοηθητικό!$J$2:$N$354,3,FALSE)="","",VLOOKUP(BU410,βοηθητικό!$J$2:$N$354,3,FALSE))</f>
        <v>_</v>
      </c>
      <c r="BW410" s="47"/>
      <c r="BX410" s="42" t="s">
        <v>16</v>
      </c>
      <c r="BY410" s="43" t="str">
        <f>IF(VLOOKUP(BX410,βοηθητικό!$J$2:$N$354,3,FALSE)="","",VLOOKUP(BX410,βοηθητικό!$J$2:$N$354,3,FALSE))</f>
        <v>_</v>
      </c>
      <c r="BZ410" s="44"/>
      <c r="CA410" s="45" t="s">
        <v>16</v>
      </c>
      <c r="CB410" s="46" t="str">
        <f>IF(VLOOKUP(CA410,βοηθητικό!$J$2:$N$354,3,FALSE)="","",VLOOKUP(CA410,βοηθητικό!$J$2:$N$354,3,FALSE))</f>
        <v>_</v>
      </c>
      <c r="CC410" s="47"/>
      <c r="CD410" s="42" t="s">
        <v>16</v>
      </c>
      <c r="CE410" s="43" t="str">
        <f>IF(VLOOKUP(CD410,βοηθητικό!$J$2:$N$354,3,FALSE)="","",VLOOKUP(CD410,βοηθητικό!$J$2:$N$354,3,FALSE))</f>
        <v>_</v>
      </c>
      <c r="CF410" s="44"/>
      <c r="CG410" s="45" t="s">
        <v>16</v>
      </c>
      <c r="CH410" s="46" t="str">
        <f>IF(VLOOKUP(CG410,βοηθητικό!$J$2:$N$354,3,FALSE)="","",VLOOKUP(CG410,βοηθητικό!$J$2:$N$354,3,FALSE))</f>
        <v>_</v>
      </c>
      <c r="CI410" s="47"/>
      <c r="CJ410" s="42" t="s">
        <v>16</v>
      </c>
      <c r="CK410" s="43" t="str">
        <f>IF(VLOOKUP(CJ410,βοηθητικό!$J$2:$N$354,3,FALSE)="","",VLOOKUP(CJ410,βοηθητικό!$J$2:$N$354,3,FALSE))</f>
        <v>_</v>
      </c>
      <c r="CL410" s="44"/>
      <c r="CM410" s="45" t="s">
        <v>16</v>
      </c>
      <c r="CN410" s="46" t="str">
        <f>IF(VLOOKUP(CM410,βοηθητικό!$J$2:$N$354,3,FALSE)="","",VLOOKUP(CM410,βοηθητικό!$J$2:$N$354,3,FALSE))</f>
        <v>_</v>
      </c>
      <c r="CO410" s="47"/>
      <c r="CP410" s="42" t="s">
        <v>16</v>
      </c>
      <c r="CQ410" s="43" t="str">
        <f>IF(VLOOKUP(CP410,βοηθητικό!$J$2:$N$354,3,FALSE)="","",VLOOKUP(CP410,βοηθητικό!$J$2:$N$354,3,FALSE))</f>
        <v>_</v>
      </c>
      <c r="CR410" s="44"/>
      <c r="CS410" s="45" t="s">
        <v>16</v>
      </c>
      <c r="CT410" s="46" t="str">
        <f>IF(VLOOKUP(CS410,βοηθητικό!$J$2:$N$354,3,FALSE)="","",VLOOKUP(CS410,βοηθητικό!$J$2:$N$354,3,FALSE))</f>
        <v>_</v>
      </c>
      <c r="CU410" s="47"/>
    </row>
    <row r="411" spans="1:99" x14ac:dyDescent="0.25">
      <c r="A411" s="37">
        <f>--SUBTOTAL(3,$B$3:B410)</f>
        <v>198</v>
      </c>
      <c r="B411" s="2"/>
      <c r="C411" s="3"/>
      <c r="D411" s="55" t="s">
        <v>18</v>
      </c>
      <c r="E411" s="38" t="s">
        <v>16</v>
      </c>
      <c r="F411" s="38" t="s">
        <v>16</v>
      </c>
      <c r="G411" s="39" t="str">
        <f t="shared" si="20"/>
        <v>__</v>
      </c>
      <c r="H411" s="40" t="str">
        <f t="shared" si="21"/>
        <v>FALSE</v>
      </c>
      <c r="I411" s="41">
        <f t="shared" si="22"/>
        <v>0</v>
      </c>
      <c r="J411" s="4" t="s">
        <v>16</v>
      </c>
      <c r="K411" s="43" t="str">
        <f>IF(VLOOKUP(J411,βοηθητικό!$J$2:$N$354,3,FALSE)="","",VLOOKUP(J411,βοηθητικό!$J$2:$N$354,3,FALSE))</f>
        <v>_</v>
      </c>
      <c r="L411" s="44"/>
      <c r="M411" s="5" t="s">
        <v>16</v>
      </c>
      <c r="N411" s="46" t="str">
        <f>IF(VLOOKUP(M411,βοηθητικό!$J$2:$N$354,3,FALSE)="","",VLOOKUP(M411,βοηθητικό!$J$2:$N$354,3,FALSE))</f>
        <v>_</v>
      </c>
      <c r="O411" s="47"/>
      <c r="P411" s="4" t="s">
        <v>16</v>
      </c>
      <c r="Q411" s="43" t="str">
        <f>IF(VLOOKUP(P411,βοηθητικό!$J$2:$N$354,3,FALSE)="","",VLOOKUP(P411,βοηθητικό!$J$2:$N$354,3,FALSE))</f>
        <v>_</v>
      </c>
      <c r="R411" s="44"/>
      <c r="S411" s="5" t="s">
        <v>16</v>
      </c>
      <c r="T411" s="46" t="str">
        <f>IF(VLOOKUP(S411,βοηθητικό!$J$2:$N$354,3,FALSE)="","",VLOOKUP(S411,βοηθητικό!$J$2:$N$354,3,FALSE))</f>
        <v>_</v>
      </c>
      <c r="U411" s="47"/>
      <c r="V411" s="4" t="s">
        <v>16</v>
      </c>
      <c r="W411" s="43" t="str">
        <f>IF(VLOOKUP(V411,βοηθητικό!$J$2:$N$354,3,FALSE)="","",VLOOKUP(V411,βοηθητικό!$J$2:$N$354,3,FALSE))</f>
        <v>_</v>
      </c>
      <c r="X411" s="44"/>
      <c r="Y411" s="5" t="s">
        <v>16</v>
      </c>
      <c r="Z411" s="46" t="str">
        <f>IF(VLOOKUP(Y411,βοηθητικό!$J$2:$N$354,3,FALSE)="","",VLOOKUP(Y411,βοηθητικό!$J$2:$N$354,3,FALSE))</f>
        <v>_</v>
      </c>
      <c r="AA411" s="47"/>
      <c r="AB411" s="4" t="s">
        <v>16</v>
      </c>
      <c r="AC411" s="43" t="str">
        <f>IF(VLOOKUP(AB411,βοηθητικό!$J$2:$N$354,3,FALSE)="","",VLOOKUP(AB411,βοηθητικό!$J$2:$N$354,3,FALSE))</f>
        <v>_</v>
      </c>
      <c r="AD411" s="44"/>
      <c r="AE411" s="5" t="s">
        <v>16</v>
      </c>
      <c r="AF411" s="46" t="str">
        <f>IF(VLOOKUP(AE411,βοηθητικό!$J$2:$N$354,3,FALSE)="","",VLOOKUP(AE411,βοηθητικό!$J$2:$N$354,3,FALSE))</f>
        <v>_</v>
      </c>
      <c r="AG411" s="47"/>
      <c r="AH411" s="4" t="s">
        <v>16</v>
      </c>
      <c r="AI411" s="43" t="str">
        <f>IF(VLOOKUP(AH411,βοηθητικό!$J$2:$N$354,3,FALSE)="","",VLOOKUP(AH411,βοηθητικό!$J$2:$N$354,3,FALSE))</f>
        <v>_</v>
      </c>
      <c r="AJ411" s="44"/>
      <c r="AK411" s="5" t="s">
        <v>16</v>
      </c>
      <c r="AL411" s="46" t="str">
        <f>IF(VLOOKUP(AK411,βοηθητικό!$J$2:$N$354,3,FALSE)="","",VLOOKUP(AK411,βοηθητικό!$J$2:$N$354,3,FALSE))</f>
        <v>_</v>
      </c>
      <c r="AM411" s="47"/>
      <c r="AN411" s="4" t="s">
        <v>16</v>
      </c>
      <c r="AO411" s="43" t="str">
        <f>IF(VLOOKUP(AN411,βοηθητικό!$J$2:$N$354,3,FALSE)="","",VLOOKUP(AN411,βοηθητικό!$J$2:$N$354,3,FALSE))</f>
        <v>_</v>
      </c>
      <c r="AP411" s="44"/>
      <c r="AQ411" s="5" t="s">
        <v>16</v>
      </c>
      <c r="AR411" s="46" t="str">
        <f>IF(VLOOKUP(AQ411,βοηθητικό!$J$2:$N$354,3,FALSE)="","",VLOOKUP(AQ411,βοηθητικό!$J$2:$N$354,3,FALSE))</f>
        <v>_</v>
      </c>
      <c r="AS411" s="47"/>
      <c r="AT411" s="4" t="s">
        <v>16</v>
      </c>
      <c r="AU411" s="43" t="str">
        <f>IF(VLOOKUP(AT411,βοηθητικό!$J$2:$N$354,3,FALSE)="","",VLOOKUP(AT411,βοηθητικό!$J$2:$N$354,3,FALSE))</f>
        <v>_</v>
      </c>
      <c r="AV411" s="44"/>
      <c r="AW411" s="5" t="s">
        <v>16</v>
      </c>
      <c r="AX411" s="46" t="str">
        <f>IF(VLOOKUP(AW411,βοηθητικό!$J$2:$N$354,3,FALSE)="","",VLOOKUP(AW411,βοηθητικό!$J$2:$N$354,3,FALSE))</f>
        <v>_</v>
      </c>
      <c r="AY411" s="47"/>
      <c r="AZ411" s="4" t="s">
        <v>16</v>
      </c>
      <c r="BA411" s="43" t="str">
        <f>IF(VLOOKUP(AZ411,βοηθητικό!$J$2:$N$354,3,FALSE)="","",VLOOKUP(AZ411,βοηθητικό!$J$2:$N$354,3,FALSE))</f>
        <v>_</v>
      </c>
      <c r="BB411" s="44"/>
      <c r="BC411" s="45" t="s">
        <v>16</v>
      </c>
      <c r="BD411" s="46" t="str">
        <f>IF(VLOOKUP(BC411,βοηθητικό!$J$2:$N$354,3,FALSE)="","",VLOOKUP(BC411,βοηθητικό!$J$2:$N$354,3,FALSE))</f>
        <v>_</v>
      </c>
      <c r="BE411" s="47"/>
      <c r="BF411" s="42" t="s">
        <v>16</v>
      </c>
      <c r="BG411" s="43" t="str">
        <f>IF(VLOOKUP(BF411,βοηθητικό!$J$2:$N$354,3,FALSE)="","",VLOOKUP(BF411,βοηθητικό!$J$2:$N$354,3,FALSE))</f>
        <v>_</v>
      </c>
      <c r="BH411" s="44"/>
      <c r="BI411" s="45" t="s">
        <v>16</v>
      </c>
      <c r="BJ411" s="46" t="str">
        <f>IF(VLOOKUP(BI411,βοηθητικό!$J$2:$N$354,3,FALSE)="","",VLOOKUP(BI411,βοηθητικό!$J$2:$N$354,3,FALSE))</f>
        <v>_</v>
      </c>
      <c r="BK411" s="47"/>
      <c r="BL411" s="42" t="s">
        <v>16</v>
      </c>
      <c r="BM411" s="43" t="str">
        <f>IF(VLOOKUP(BL411,βοηθητικό!$J$2:$N$354,3,FALSE)="","",VLOOKUP(BL411,βοηθητικό!$J$2:$N$354,3,FALSE))</f>
        <v>_</v>
      </c>
      <c r="BN411" s="44"/>
      <c r="BO411" s="45" t="s">
        <v>16</v>
      </c>
      <c r="BP411" s="46" t="str">
        <f>IF(VLOOKUP(BO411,βοηθητικό!$J$2:$N$354,3,FALSE)="","",VLOOKUP(BO411,βοηθητικό!$J$2:$N$354,3,FALSE))</f>
        <v>_</v>
      </c>
      <c r="BQ411" s="47"/>
      <c r="BR411" s="42" t="s">
        <v>16</v>
      </c>
      <c r="BS411" s="43" t="str">
        <f>IF(VLOOKUP(BR411,βοηθητικό!$J$2:$N$354,3,FALSE)="","",VLOOKUP(BR411,βοηθητικό!$J$2:$N$354,3,FALSE))</f>
        <v>_</v>
      </c>
      <c r="BT411" s="44"/>
      <c r="BU411" s="45" t="s">
        <v>16</v>
      </c>
      <c r="BV411" s="46" t="str">
        <f>IF(VLOOKUP(BU411,βοηθητικό!$J$2:$N$354,3,FALSE)="","",VLOOKUP(BU411,βοηθητικό!$J$2:$N$354,3,FALSE))</f>
        <v>_</v>
      </c>
      <c r="BW411" s="47"/>
      <c r="BX411" s="42" t="s">
        <v>16</v>
      </c>
      <c r="BY411" s="43" t="str">
        <f>IF(VLOOKUP(BX411,βοηθητικό!$J$2:$N$354,3,FALSE)="","",VLOOKUP(BX411,βοηθητικό!$J$2:$N$354,3,FALSE))</f>
        <v>_</v>
      </c>
      <c r="BZ411" s="44"/>
      <c r="CA411" s="45" t="s">
        <v>16</v>
      </c>
      <c r="CB411" s="46" t="str">
        <f>IF(VLOOKUP(CA411,βοηθητικό!$J$2:$N$354,3,FALSE)="","",VLOOKUP(CA411,βοηθητικό!$J$2:$N$354,3,FALSE))</f>
        <v>_</v>
      </c>
      <c r="CC411" s="47"/>
      <c r="CD411" s="42" t="s">
        <v>16</v>
      </c>
      <c r="CE411" s="43" t="str">
        <f>IF(VLOOKUP(CD411,βοηθητικό!$J$2:$N$354,3,FALSE)="","",VLOOKUP(CD411,βοηθητικό!$J$2:$N$354,3,FALSE))</f>
        <v>_</v>
      </c>
      <c r="CF411" s="44"/>
      <c r="CG411" s="45" t="s">
        <v>16</v>
      </c>
      <c r="CH411" s="46" t="str">
        <f>IF(VLOOKUP(CG411,βοηθητικό!$J$2:$N$354,3,FALSE)="","",VLOOKUP(CG411,βοηθητικό!$J$2:$N$354,3,FALSE))</f>
        <v>_</v>
      </c>
      <c r="CI411" s="47"/>
      <c r="CJ411" s="42" t="s">
        <v>16</v>
      </c>
      <c r="CK411" s="43" t="str">
        <f>IF(VLOOKUP(CJ411,βοηθητικό!$J$2:$N$354,3,FALSE)="","",VLOOKUP(CJ411,βοηθητικό!$J$2:$N$354,3,FALSE))</f>
        <v>_</v>
      </c>
      <c r="CL411" s="44"/>
      <c r="CM411" s="45" t="s">
        <v>16</v>
      </c>
      <c r="CN411" s="46" t="str">
        <f>IF(VLOOKUP(CM411,βοηθητικό!$J$2:$N$354,3,FALSE)="","",VLOOKUP(CM411,βοηθητικό!$J$2:$N$354,3,FALSE))</f>
        <v>_</v>
      </c>
      <c r="CO411" s="47"/>
      <c r="CP411" s="42" t="s">
        <v>16</v>
      </c>
      <c r="CQ411" s="43" t="str">
        <f>IF(VLOOKUP(CP411,βοηθητικό!$J$2:$N$354,3,FALSE)="","",VLOOKUP(CP411,βοηθητικό!$J$2:$N$354,3,FALSE))</f>
        <v>_</v>
      </c>
      <c r="CR411" s="44"/>
      <c r="CS411" s="45" t="s">
        <v>16</v>
      </c>
      <c r="CT411" s="46" t="str">
        <f>IF(VLOOKUP(CS411,βοηθητικό!$J$2:$N$354,3,FALSE)="","",VLOOKUP(CS411,βοηθητικό!$J$2:$N$354,3,FALSE))</f>
        <v>_</v>
      </c>
      <c r="CU411" s="47"/>
    </row>
    <row r="412" spans="1:99" x14ac:dyDescent="0.25">
      <c r="A412" s="37">
        <f>--SUBTOTAL(3,$B$3:B411)</f>
        <v>198</v>
      </c>
      <c r="B412" s="2"/>
      <c r="C412" s="3"/>
      <c r="D412" s="55" t="s">
        <v>18</v>
      </c>
      <c r="E412" s="38" t="s">
        <v>16</v>
      </c>
      <c r="F412" s="38" t="s">
        <v>16</v>
      </c>
      <c r="G412" s="39" t="str">
        <f t="shared" si="20"/>
        <v>__</v>
      </c>
      <c r="H412" s="40" t="str">
        <f t="shared" si="21"/>
        <v>FALSE</v>
      </c>
      <c r="I412" s="41">
        <f t="shared" si="22"/>
        <v>0</v>
      </c>
      <c r="J412" s="4" t="s">
        <v>16</v>
      </c>
      <c r="K412" s="43" t="str">
        <f>IF(VLOOKUP(J412,βοηθητικό!$J$2:$N$354,3,FALSE)="","",VLOOKUP(J412,βοηθητικό!$J$2:$N$354,3,FALSE))</f>
        <v>_</v>
      </c>
      <c r="L412" s="44"/>
      <c r="M412" s="5" t="s">
        <v>16</v>
      </c>
      <c r="N412" s="46" t="str">
        <f>IF(VLOOKUP(M412,βοηθητικό!$J$2:$N$354,3,FALSE)="","",VLOOKUP(M412,βοηθητικό!$J$2:$N$354,3,FALSE))</f>
        <v>_</v>
      </c>
      <c r="O412" s="47"/>
      <c r="P412" s="4" t="s">
        <v>16</v>
      </c>
      <c r="Q412" s="43" t="str">
        <f>IF(VLOOKUP(P412,βοηθητικό!$J$2:$N$354,3,FALSE)="","",VLOOKUP(P412,βοηθητικό!$J$2:$N$354,3,FALSE))</f>
        <v>_</v>
      </c>
      <c r="R412" s="44"/>
      <c r="S412" s="5" t="s">
        <v>16</v>
      </c>
      <c r="T412" s="46" t="str">
        <f>IF(VLOOKUP(S412,βοηθητικό!$J$2:$N$354,3,FALSE)="","",VLOOKUP(S412,βοηθητικό!$J$2:$N$354,3,FALSE))</f>
        <v>_</v>
      </c>
      <c r="U412" s="47"/>
      <c r="V412" s="4" t="s">
        <v>16</v>
      </c>
      <c r="W412" s="43" t="str">
        <f>IF(VLOOKUP(V412,βοηθητικό!$J$2:$N$354,3,FALSE)="","",VLOOKUP(V412,βοηθητικό!$J$2:$N$354,3,FALSE))</f>
        <v>_</v>
      </c>
      <c r="X412" s="44"/>
      <c r="Y412" s="5" t="s">
        <v>16</v>
      </c>
      <c r="Z412" s="46" t="str">
        <f>IF(VLOOKUP(Y412,βοηθητικό!$J$2:$N$354,3,FALSE)="","",VLOOKUP(Y412,βοηθητικό!$J$2:$N$354,3,FALSE))</f>
        <v>_</v>
      </c>
      <c r="AA412" s="47"/>
      <c r="AB412" s="4" t="s">
        <v>16</v>
      </c>
      <c r="AC412" s="43" t="str">
        <f>IF(VLOOKUP(AB412,βοηθητικό!$J$2:$N$354,3,FALSE)="","",VLOOKUP(AB412,βοηθητικό!$J$2:$N$354,3,FALSE))</f>
        <v>_</v>
      </c>
      <c r="AD412" s="44"/>
      <c r="AE412" s="5" t="s">
        <v>16</v>
      </c>
      <c r="AF412" s="46" t="str">
        <f>IF(VLOOKUP(AE412,βοηθητικό!$J$2:$N$354,3,FALSE)="","",VLOOKUP(AE412,βοηθητικό!$J$2:$N$354,3,FALSE))</f>
        <v>_</v>
      </c>
      <c r="AG412" s="47"/>
      <c r="AH412" s="4" t="s">
        <v>16</v>
      </c>
      <c r="AI412" s="43" t="str">
        <f>IF(VLOOKUP(AH412,βοηθητικό!$J$2:$N$354,3,FALSE)="","",VLOOKUP(AH412,βοηθητικό!$J$2:$N$354,3,FALSE))</f>
        <v>_</v>
      </c>
      <c r="AJ412" s="44"/>
      <c r="AK412" s="5" t="s">
        <v>16</v>
      </c>
      <c r="AL412" s="46" t="str">
        <f>IF(VLOOKUP(AK412,βοηθητικό!$J$2:$N$354,3,FALSE)="","",VLOOKUP(AK412,βοηθητικό!$J$2:$N$354,3,FALSE))</f>
        <v>_</v>
      </c>
      <c r="AM412" s="47"/>
      <c r="AN412" s="4" t="s">
        <v>16</v>
      </c>
      <c r="AO412" s="43" t="str">
        <f>IF(VLOOKUP(AN412,βοηθητικό!$J$2:$N$354,3,FALSE)="","",VLOOKUP(AN412,βοηθητικό!$J$2:$N$354,3,FALSE))</f>
        <v>_</v>
      </c>
      <c r="AP412" s="44"/>
      <c r="AQ412" s="5" t="s">
        <v>16</v>
      </c>
      <c r="AR412" s="46" t="str">
        <f>IF(VLOOKUP(AQ412,βοηθητικό!$J$2:$N$354,3,FALSE)="","",VLOOKUP(AQ412,βοηθητικό!$J$2:$N$354,3,FALSE))</f>
        <v>_</v>
      </c>
      <c r="AS412" s="47"/>
      <c r="AT412" s="4" t="s">
        <v>16</v>
      </c>
      <c r="AU412" s="43" t="str">
        <f>IF(VLOOKUP(AT412,βοηθητικό!$J$2:$N$354,3,FALSE)="","",VLOOKUP(AT412,βοηθητικό!$J$2:$N$354,3,FALSE))</f>
        <v>_</v>
      </c>
      <c r="AV412" s="44"/>
      <c r="AW412" s="5" t="s">
        <v>16</v>
      </c>
      <c r="AX412" s="46" t="str">
        <f>IF(VLOOKUP(AW412,βοηθητικό!$J$2:$N$354,3,FALSE)="","",VLOOKUP(AW412,βοηθητικό!$J$2:$N$354,3,FALSE))</f>
        <v>_</v>
      </c>
      <c r="AY412" s="47"/>
      <c r="AZ412" s="4" t="s">
        <v>16</v>
      </c>
      <c r="BA412" s="43" t="str">
        <f>IF(VLOOKUP(AZ412,βοηθητικό!$J$2:$N$354,3,FALSE)="","",VLOOKUP(AZ412,βοηθητικό!$J$2:$N$354,3,FALSE))</f>
        <v>_</v>
      </c>
      <c r="BB412" s="44"/>
      <c r="BC412" s="45" t="s">
        <v>16</v>
      </c>
      <c r="BD412" s="46" t="str">
        <f>IF(VLOOKUP(BC412,βοηθητικό!$J$2:$N$354,3,FALSE)="","",VLOOKUP(BC412,βοηθητικό!$J$2:$N$354,3,FALSE))</f>
        <v>_</v>
      </c>
      <c r="BE412" s="47"/>
      <c r="BF412" s="42" t="s">
        <v>16</v>
      </c>
      <c r="BG412" s="43" t="str">
        <f>IF(VLOOKUP(BF412,βοηθητικό!$J$2:$N$354,3,FALSE)="","",VLOOKUP(BF412,βοηθητικό!$J$2:$N$354,3,FALSE))</f>
        <v>_</v>
      </c>
      <c r="BH412" s="44"/>
      <c r="BI412" s="45" t="s">
        <v>16</v>
      </c>
      <c r="BJ412" s="46" t="str">
        <f>IF(VLOOKUP(BI412,βοηθητικό!$J$2:$N$354,3,FALSE)="","",VLOOKUP(BI412,βοηθητικό!$J$2:$N$354,3,FALSE))</f>
        <v>_</v>
      </c>
      <c r="BK412" s="47"/>
      <c r="BL412" s="42" t="s">
        <v>16</v>
      </c>
      <c r="BM412" s="43" t="str">
        <f>IF(VLOOKUP(BL412,βοηθητικό!$J$2:$N$354,3,FALSE)="","",VLOOKUP(BL412,βοηθητικό!$J$2:$N$354,3,FALSE))</f>
        <v>_</v>
      </c>
      <c r="BN412" s="44"/>
      <c r="BO412" s="45" t="s">
        <v>16</v>
      </c>
      <c r="BP412" s="46" t="str">
        <f>IF(VLOOKUP(BO412,βοηθητικό!$J$2:$N$354,3,FALSE)="","",VLOOKUP(BO412,βοηθητικό!$J$2:$N$354,3,FALSE))</f>
        <v>_</v>
      </c>
      <c r="BQ412" s="47"/>
      <c r="BR412" s="42" t="s">
        <v>16</v>
      </c>
      <c r="BS412" s="43" t="str">
        <f>IF(VLOOKUP(BR412,βοηθητικό!$J$2:$N$354,3,FALSE)="","",VLOOKUP(BR412,βοηθητικό!$J$2:$N$354,3,FALSE))</f>
        <v>_</v>
      </c>
      <c r="BT412" s="44"/>
      <c r="BU412" s="45" t="s">
        <v>16</v>
      </c>
      <c r="BV412" s="46" t="str">
        <f>IF(VLOOKUP(BU412,βοηθητικό!$J$2:$N$354,3,FALSE)="","",VLOOKUP(BU412,βοηθητικό!$J$2:$N$354,3,FALSE))</f>
        <v>_</v>
      </c>
      <c r="BW412" s="47"/>
      <c r="BX412" s="42" t="s">
        <v>16</v>
      </c>
      <c r="BY412" s="43" t="str">
        <f>IF(VLOOKUP(BX412,βοηθητικό!$J$2:$N$354,3,FALSE)="","",VLOOKUP(BX412,βοηθητικό!$J$2:$N$354,3,FALSE))</f>
        <v>_</v>
      </c>
      <c r="BZ412" s="44"/>
      <c r="CA412" s="45" t="s">
        <v>16</v>
      </c>
      <c r="CB412" s="46" t="str">
        <f>IF(VLOOKUP(CA412,βοηθητικό!$J$2:$N$354,3,FALSE)="","",VLOOKUP(CA412,βοηθητικό!$J$2:$N$354,3,FALSE))</f>
        <v>_</v>
      </c>
      <c r="CC412" s="47"/>
      <c r="CD412" s="42" t="s">
        <v>16</v>
      </c>
      <c r="CE412" s="43" t="str">
        <f>IF(VLOOKUP(CD412,βοηθητικό!$J$2:$N$354,3,FALSE)="","",VLOOKUP(CD412,βοηθητικό!$J$2:$N$354,3,FALSE))</f>
        <v>_</v>
      </c>
      <c r="CF412" s="44"/>
      <c r="CG412" s="45" t="s">
        <v>16</v>
      </c>
      <c r="CH412" s="46" t="str">
        <f>IF(VLOOKUP(CG412,βοηθητικό!$J$2:$N$354,3,FALSE)="","",VLOOKUP(CG412,βοηθητικό!$J$2:$N$354,3,FALSE))</f>
        <v>_</v>
      </c>
      <c r="CI412" s="47"/>
      <c r="CJ412" s="42" t="s">
        <v>16</v>
      </c>
      <c r="CK412" s="43" t="str">
        <f>IF(VLOOKUP(CJ412,βοηθητικό!$J$2:$N$354,3,FALSE)="","",VLOOKUP(CJ412,βοηθητικό!$J$2:$N$354,3,FALSE))</f>
        <v>_</v>
      </c>
      <c r="CL412" s="44"/>
      <c r="CM412" s="45" t="s">
        <v>16</v>
      </c>
      <c r="CN412" s="46" t="str">
        <f>IF(VLOOKUP(CM412,βοηθητικό!$J$2:$N$354,3,FALSE)="","",VLOOKUP(CM412,βοηθητικό!$J$2:$N$354,3,FALSE))</f>
        <v>_</v>
      </c>
      <c r="CO412" s="47"/>
      <c r="CP412" s="42" t="s">
        <v>16</v>
      </c>
      <c r="CQ412" s="43" t="str">
        <f>IF(VLOOKUP(CP412,βοηθητικό!$J$2:$N$354,3,FALSE)="","",VLOOKUP(CP412,βοηθητικό!$J$2:$N$354,3,FALSE))</f>
        <v>_</v>
      </c>
      <c r="CR412" s="44"/>
      <c r="CS412" s="45" t="s">
        <v>16</v>
      </c>
      <c r="CT412" s="46" t="str">
        <f>IF(VLOOKUP(CS412,βοηθητικό!$J$2:$N$354,3,FALSE)="","",VLOOKUP(CS412,βοηθητικό!$J$2:$N$354,3,FALSE))</f>
        <v>_</v>
      </c>
      <c r="CU412" s="47"/>
    </row>
    <row r="413" spans="1:99" x14ac:dyDescent="0.25">
      <c r="A413" s="37">
        <f>--SUBTOTAL(3,$B$3:B412)</f>
        <v>198</v>
      </c>
      <c r="B413" s="2"/>
      <c r="C413" s="3"/>
      <c r="D413" s="55" t="s">
        <v>18</v>
      </c>
      <c r="E413" s="38" t="s">
        <v>16</v>
      </c>
      <c r="F413" s="38" t="s">
        <v>16</v>
      </c>
      <c r="G413" s="39" t="str">
        <f t="shared" si="20"/>
        <v>__</v>
      </c>
      <c r="H413" s="40" t="str">
        <f t="shared" si="21"/>
        <v>FALSE</v>
      </c>
      <c r="I413" s="41">
        <f t="shared" si="22"/>
        <v>0</v>
      </c>
      <c r="J413" s="4" t="s">
        <v>16</v>
      </c>
      <c r="K413" s="43" t="str">
        <f>IF(VLOOKUP(J413,βοηθητικό!$J$2:$N$354,3,FALSE)="","",VLOOKUP(J413,βοηθητικό!$J$2:$N$354,3,FALSE))</f>
        <v>_</v>
      </c>
      <c r="L413" s="44"/>
      <c r="M413" s="5" t="s">
        <v>16</v>
      </c>
      <c r="N413" s="46" t="str">
        <f>IF(VLOOKUP(M413,βοηθητικό!$J$2:$N$354,3,FALSE)="","",VLOOKUP(M413,βοηθητικό!$J$2:$N$354,3,FALSE))</f>
        <v>_</v>
      </c>
      <c r="O413" s="47"/>
      <c r="P413" s="4" t="s">
        <v>16</v>
      </c>
      <c r="Q413" s="43" t="str">
        <f>IF(VLOOKUP(P413,βοηθητικό!$J$2:$N$354,3,FALSE)="","",VLOOKUP(P413,βοηθητικό!$J$2:$N$354,3,FALSE))</f>
        <v>_</v>
      </c>
      <c r="R413" s="44"/>
      <c r="S413" s="5" t="s">
        <v>16</v>
      </c>
      <c r="T413" s="46" t="str">
        <f>IF(VLOOKUP(S413,βοηθητικό!$J$2:$N$354,3,FALSE)="","",VLOOKUP(S413,βοηθητικό!$J$2:$N$354,3,FALSE))</f>
        <v>_</v>
      </c>
      <c r="U413" s="47"/>
      <c r="V413" s="4" t="s">
        <v>16</v>
      </c>
      <c r="W413" s="43" t="str">
        <f>IF(VLOOKUP(V413,βοηθητικό!$J$2:$N$354,3,FALSE)="","",VLOOKUP(V413,βοηθητικό!$J$2:$N$354,3,FALSE))</f>
        <v>_</v>
      </c>
      <c r="X413" s="44"/>
      <c r="Y413" s="5" t="s">
        <v>16</v>
      </c>
      <c r="Z413" s="46" t="str">
        <f>IF(VLOOKUP(Y413,βοηθητικό!$J$2:$N$354,3,FALSE)="","",VLOOKUP(Y413,βοηθητικό!$J$2:$N$354,3,FALSE))</f>
        <v>_</v>
      </c>
      <c r="AA413" s="47"/>
      <c r="AB413" s="4" t="s">
        <v>16</v>
      </c>
      <c r="AC413" s="43" t="str">
        <f>IF(VLOOKUP(AB413,βοηθητικό!$J$2:$N$354,3,FALSE)="","",VLOOKUP(AB413,βοηθητικό!$J$2:$N$354,3,FALSE))</f>
        <v>_</v>
      </c>
      <c r="AD413" s="44"/>
      <c r="AE413" s="5" t="s">
        <v>16</v>
      </c>
      <c r="AF413" s="46" t="str">
        <f>IF(VLOOKUP(AE413,βοηθητικό!$J$2:$N$354,3,FALSE)="","",VLOOKUP(AE413,βοηθητικό!$J$2:$N$354,3,FALSE))</f>
        <v>_</v>
      </c>
      <c r="AG413" s="47"/>
      <c r="AH413" s="4" t="s">
        <v>16</v>
      </c>
      <c r="AI413" s="43" t="str">
        <f>IF(VLOOKUP(AH413,βοηθητικό!$J$2:$N$354,3,FALSE)="","",VLOOKUP(AH413,βοηθητικό!$J$2:$N$354,3,FALSE))</f>
        <v>_</v>
      </c>
      <c r="AJ413" s="44"/>
      <c r="AK413" s="5" t="s">
        <v>16</v>
      </c>
      <c r="AL413" s="46" t="str">
        <f>IF(VLOOKUP(AK413,βοηθητικό!$J$2:$N$354,3,FALSE)="","",VLOOKUP(AK413,βοηθητικό!$J$2:$N$354,3,FALSE))</f>
        <v>_</v>
      </c>
      <c r="AM413" s="47"/>
      <c r="AN413" s="4" t="s">
        <v>16</v>
      </c>
      <c r="AO413" s="43" t="str">
        <f>IF(VLOOKUP(AN413,βοηθητικό!$J$2:$N$354,3,FALSE)="","",VLOOKUP(AN413,βοηθητικό!$J$2:$N$354,3,FALSE))</f>
        <v>_</v>
      </c>
      <c r="AP413" s="44"/>
      <c r="AQ413" s="5" t="s">
        <v>16</v>
      </c>
      <c r="AR413" s="46" t="str">
        <f>IF(VLOOKUP(AQ413,βοηθητικό!$J$2:$N$354,3,FALSE)="","",VLOOKUP(AQ413,βοηθητικό!$J$2:$N$354,3,FALSE))</f>
        <v>_</v>
      </c>
      <c r="AS413" s="47"/>
      <c r="AT413" s="4" t="s">
        <v>16</v>
      </c>
      <c r="AU413" s="43" t="str">
        <f>IF(VLOOKUP(AT413,βοηθητικό!$J$2:$N$354,3,FALSE)="","",VLOOKUP(AT413,βοηθητικό!$J$2:$N$354,3,FALSE))</f>
        <v>_</v>
      </c>
      <c r="AV413" s="44"/>
      <c r="AW413" s="5" t="s">
        <v>16</v>
      </c>
      <c r="AX413" s="46" t="str">
        <f>IF(VLOOKUP(AW413,βοηθητικό!$J$2:$N$354,3,FALSE)="","",VLOOKUP(AW413,βοηθητικό!$J$2:$N$354,3,FALSE))</f>
        <v>_</v>
      </c>
      <c r="AY413" s="47"/>
      <c r="AZ413" s="4" t="s">
        <v>16</v>
      </c>
      <c r="BA413" s="43" t="str">
        <f>IF(VLOOKUP(AZ413,βοηθητικό!$J$2:$N$354,3,FALSE)="","",VLOOKUP(AZ413,βοηθητικό!$J$2:$N$354,3,FALSE))</f>
        <v>_</v>
      </c>
      <c r="BB413" s="44"/>
      <c r="BC413" s="45" t="s">
        <v>16</v>
      </c>
      <c r="BD413" s="46" t="str">
        <f>IF(VLOOKUP(BC413,βοηθητικό!$J$2:$N$354,3,FALSE)="","",VLOOKUP(BC413,βοηθητικό!$J$2:$N$354,3,FALSE))</f>
        <v>_</v>
      </c>
      <c r="BE413" s="47"/>
      <c r="BF413" s="42" t="s">
        <v>16</v>
      </c>
      <c r="BG413" s="43" t="str">
        <f>IF(VLOOKUP(BF413,βοηθητικό!$J$2:$N$354,3,FALSE)="","",VLOOKUP(BF413,βοηθητικό!$J$2:$N$354,3,FALSE))</f>
        <v>_</v>
      </c>
      <c r="BH413" s="44"/>
      <c r="BI413" s="45" t="s">
        <v>16</v>
      </c>
      <c r="BJ413" s="46" t="str">
        <f>IF(VLOOKUP(BI413,βοηθητικό!$J$2:$N$354,3,FALSE)="","",VLOOKUP(BI413,βοηθητικό!$J$2:$N$354,3,FALSE))</f>
        <v>_</v>
      </c>
      <c r="BK413" s="47"/>
      <c r="BL413" s="42" t="s">
        <v>16</v>
      </c>
      <c r="BM413" s="43" t="str">
        <f>IF(VLOOKUP(BL413,βοηθητικό!$J$2:$N$354,3,FALSE)="","",VLOOKUP(BL413,βοηθητικό!$J$2:$N$354,3,FALSE))</f>
        <v>_</v>
      </c>
      <c r="BN413" s="44"/>
      <c r="BO413" s="45" t="s">
        <v>16</v>
      </c>
      <c r="BP413" s="46" t="str">
        <f>IF(VLOOKUP(BO413,βοηθητικό!$J$2:$N$354,3,FALSE)="","",VLOOKUP(BO413,βοηθητικό!$J$2:$N$354,3,FALSE))</f>
        <v>_</v>
      </c>
      <c r="BQ413" s="47"/>
      <c r="BR413" s="42" t="s">
        <v>16</v>
      </c>
      <c r="BS413" s="43" t="str">
        <f>IF(VLOOKUP(BR413,βοηθητικό!$J$2:$N$354,3,FALSE)="","",VLOOKUP(BR413,βοηθητικό!$J$2:$N$354,3,FALSE))</f>
        <v>_</v>
      </c>
      <c r="BT413" s="44"/>
      <c r="BU413" s="45" t="s">
        <v>16</v>
      </c>
      <c r="BV413" s="46" t="str">
        <f>IF(VLOOKUP(BU413,βοηθητικό!$J$2:$N$354,3,FALSE)="","",VLOOKUP(BU413,βοηθητικό!$J$2:$N$354,3,FALSE))</f>
        <v>_</v>
      </c>
      <c r="BW413" s="47"/>
      <c r="BX413" s="42" t="s">
        <v>16</v>
      </c>
      <c r="BY413" s="43" t="str">
        <f>IF(VLOOKUP(BX413,βοηθητικό!$J$2:$N$354,3,FALSE)="","",VLOOKUP(BX413,βοηθητικό!$J$2:$N$354,3,FALSE))</f>
        <v>_</v>
      </c>
      <c r="BZ413" s="44"/>
      <c r="CA413" s="45" t="s">
        <v>16</v>
      </c>
      <c r="CB413" s="46" t="str">
        <f>IF(VLOOKUP(CA413,βοηθητικό!$J$2:$N$354,3,FALSE)="","",VLOOKUP(CA413,βοηθητικό!$J$2:$N$354,3,FALSE))</f>
        <v>_</v>
      </c>
      <c r="CC413" s="47"/>
      <c r="CD413" s="42" t="s">
        <v>16</v>
      </c>
      <c r="CE413" s="43" t="str">
        <f>IF(VLOOKUP(CD413,βοηθητικό!$J$2:$N$354,3,FALSE)="","",VLOOKUP(CD413,βοηθητικό!$J$2:$N$354,3,FALSE))</f>
        <v>_</v>
      </c>
      <c r="CF413" s="44"/>
      <c r="CG413" s="45" t="s">
        <v>16</v>
      </c>
      <c r="CH413" s="46" t="str">
        <f>IF(VLOOKUP(CG413,βοηθητικό!$J$2:$N$354,3,FALSE)="","",VLOOKUP(CG413,βοηθητικό!$J$2:$N$354,3,FALSE))</f>
        <v>_</v>
      </c>
      <c r="CI413" s="47"/>
      <c r="CJ413" s="42" t="s">
        <v>16</v>
      </c>
      <c r="CK413" s="43" t="str">
        <f>IF(VLOOKUP(CJ413,βοηθητικό!$J$2:$N$354,3,FALSE)="","",VLOOKUP(CJ413,βοηθητικό!$J$2:$N$354,3,FALSE))</f>
        <v>_</v>
      </c>
      <c r="CL413" s="44"/>
      <c r="CM413" s="45" t="s">
        <v>16</v>
      </c>
      <c r="CN413" s="46" t="str">
        <f>IF(VLOOKUP(CM413,βοηθητικό!$J$2:$N$354,3,FALSE)="","",VLOOKUP(CM413,βοηθητικό!$J$2:$N$354,3,FALSE))</f>
        <v>_</v>
      </c>
      <c r="CO413" s="47"/>
      <c r="CP413" s="42" t="s">
        <v>16</v>
      </c>
      <c r="CQ413" s="43" t="str">
        <f>IF(VLOOKUP(CP413,βοηθητικό!$J$2:$N$354,3,FALSE)="","",VLOOKUP(CP413,βοηθητικό!$J$2:$N$354,3,FALSE))</f>
        <v>_</v>
      </c>
      <c r="CR413" s="44"/>
      <c r="CS413" s="45" t="s">
        <v>16</v>
      </c>
      <c r="CT413" s="46" t="str">
        <f>IF(VLOOKUP(CS413,βοηθητικό!$J$2:$N$354,3,FALSE)="","",VLOOKUP(CS413,βοηθητικό!$J$2:$N$354,3,FALSE))</f>
        <v>_</v>
      </c>
      <c r="CU413" s="47"/>
    </row>
    <row r="414" spans="1:99" x14ac:dyDescent="0.25">
      <c r="A414" s="37">
        <f>--SUBTOTAL(3,$B$3:B413)</f>
        <v>198</v>
      </c>
      <c r="B414" s="2"/>
      <c r="C414" s="3"/>
      <c r="D414" s="55" t="s">
        <v>18</v>
      </c>
      <c r="E414" s="38" t="s">
        <v>16</v>
      </c>
      <c r="F414" s="38" t="s">
        <v>16</v>
      </c>
      <c r="G414" s="39" t="str">
        <f t="shared" si="20"/>
        <v>__</v>
      </c>
      <c r="H414" s="40" t="str">
        <f t="shared" si="21"/>
        <v>FALSE</v>
      </c>
      <c r="I414" s="41">
        <f t="shared" si="22"/>
        <v>0</v>
      </c>
      <c r="J414" s="4" t="s">
        <v>16</v>
      </c>
      <c r="K414" s="43" t="str">
        <f>IF(VLOOKUP(J414,βοηθητικό!$J$2:$N$354,3,FALSE)="","",VLOOKUP(J414,βοηθητικό!$J$2:$N$354,3,FALSE))</f>
        <v>_</v>
      </c>
      <c r="L414" s="44"/>
      <c r="M414" s="5" t="s">
        <v>16</v>
      </c>
      <c r="N414" s="46" t="str">
        <f>IF(VLOOKUP(M414,βοηθητικό!$J$2:$N$354,3,FALSE)="","",VLOOKUP(M414,βοηθητικό!$J$2:$N$354,3,FALSE))</f>
        <v>_</v>
      </c>
      <c r="O414" s="47"/>
      <c r="P414" s="4" t="s">
        <v>16</v>
      </c>
      <c r="Q414" s="43" t="str">
        <f>IF(VLOOKUP(P414,βοηθητικό!$J$2:$N$354,3,FALSE)="","",VLOOKUP(P414,βοηθητικό!$J$2:$N$354,3,FALSE))</f>
        <v>_</v>
      </c>
      <c r="R414" s="44"/>
      <c r="S414" s="5" t="s">
        <v>16</v>
      </c>
      <c r="T414" s="46" t="str">
        <f>IF(VLOOKUP(S414,βοηθητικό!$J$2:$N$354,3,FALSE)="","",VLOOKUP(S414,βοηθητικό!$J$2:$N$354,3,FALSE))</f>
        <v>_</v>
      </c>
      <c r="U414" s="47"/>
      <c r="V414" s="4" t="s">
        <v>16</v>
      </c>
      <c r="W414" s="43" t="str">
        <f>IF(VLOOKUP(V414,βοηθητικό!$J$2:$N$354,3,FALSE)="","",VLOOKUP(V414,βοηθητικό!$J$2:$N$354,3,FALSE))</f>
        <v>_</v>
      </c>
      <c r="X414" s="44"/>
      <c r="Y414" s="5" t="s">
        <v>16</v>
      </c>
      <c r="Z414" s="46" t="str">
        <f>IF(VLOOKUP(Y414,βοηθητικό!$J$2:$N$354,3,FALSE)="","",VLOOKUP(Y414,βοηθητικό!$J$2:$N$354,3,FALSE))</f>
        <v>_</v>
      </c>
      <c r="AA414" s="47"/>
      <c r="AB414" s="4" t="s">
        <v>16</v>
      </c>
      <c r="AC414" s="43" t="str">
        <f>IF(VLOOKUP(AB414,βοηθητικό!$J$2:$N$354,3,FALSE)="","",VLOOKUP(AB414,βοηθητικό!$J$2:$N$354,3,FALSE))</f>
        <v>_</v>
      </c>
      <c r="AD414" s="44"/>
      <c r="AE414" s="5" t="s">
        <v>16</v>
      </c>
      <c r="AF414" s="46" t="str">
        <f>IF(VLOOKUP(AE414,βοηθητικό!$J$2:$N$354,3,FALSE)="","",VLOOKUP(AE414,βοηθητικό!$J$2:$N$354,3,FALSE))</f>
        <v>_</v>
      </c>
      <c r="AG414" s="47"/>
      <c r="AH414" s="4" t="s">
        <v>16</v>
      </c>
      <c r="AI414" s="43" t="str">
        <f>IF(VLOOKUP(AH414,βοηθητικό!$J$2:$N$354,3,FALSE)="","",VLOOKUP(AH414,βοηθητικό!$J$2:$N$354,3,FALSE))</f>
        <v>_</v>
      </c>
      <c r="AJ414" s="44"/>
      <c r="AK414" s="5" t="s">
        <v>16</v>
      </c>
      <c r="AL414" s="46" t="str">
        <f>IF(VLOOKUP(AK414,βοηθητικό!$J$2:$N$354,3,FALSE)="","",VLOOKUP(AK414,βοηθητικό!$J$2:$N$354,3,FALSE))</f>
        <v>_</v>
      </c>
      <c r="AM414" s="47"/>
      <c r="AN414" s="4" t="s">
        <v>16</v>
      </c>
      <c r="AO414" s="43" t="str">
        <f>IF(VLOOKUP(AN414,βοηθητικό!$J$2:$N$354,3,FALSE)="","",VLOOKUP(AN414,βοηθητικό!$J$2:$N$354,3,FALSE))</f>
        <v>_</v>
      </c>
      <c r="AP414" s="44"/>
      <c r="AQ414" s="5" t="s">
        <v>16</v>
      </c>
      <c r="AR414" s="46" t="str">
        <f>IF(VLOOKUP(AQ414,βοηθητικό!$J$2:$N$354,3,FALSE)="","",VLOOKUP(AQ414,βοηθητικό!$J$2:$N$354,3,FALSE))</f>
        <v>_</v>
      </c>
      <c r="AS414" s="47"/>
      <c r="AT414" s="4" t="s">
        <v>16</v>
      </c>
      <c r="AU414" s="43" t="str">
        <f>IF(VLOOKUP(AT414,βοηθητικό!$J$2:$N$354,3,FALSE)="","",VLOOKUP(AT414,βοηθητικό!$J$2:$N$354,3,FALSE))</f>
        <v>_</v>
      </c>
      <c r="AV414" s="44"/>
      <c r="AW414" s="5" t="s">
        <v>16</v>
      </c>
      <c r="AX414" s="46" t="str">
        <f>IF(VLOOKUP(AW414,βοηθητικό!$J$2:$N$354,3,FALSE)="","",VLOOKUP(AW414,βοηθητικό!$J$2:$N$354,3,FALSE))</f>
        <v>_</v>
      </c>
      <c r="AY414" s="47"/>
      <c r="AZ414" s="4" t="s">
        <v>16</v>
      </c>
      <c r="BA414" s="43" t="str">
        <f>IF(VLOOKUP(AZ414,βοηθητικό!$J$2:$N$354,3,FALSE)="","",VLOOKUP(AZ414,βοηθητικό!$J$2:$N$354,3,FALSE))</f>
        <v>_</v>
      </c>
      <c r="BB414" s="44"/>
      <c r="BC414" s="45" t="s">
        <v>16</v>
      </c>
      <c r="BD414" s="46" t="str">
        <f>IF(VLOOKUP(BC414,βοηθητικό!$J$2:$N$354,3,FALSE)="","",VLOOKUP(BC414,βοηθητικό!$J$2:$N$354,3,FALSE))</f>
        <v>_</v>
      </c>
      <c r="BE414" s="47"/>
      <c r="BF414" s="42" t="s">
        <v>16</v>
      </c>
      <c r="BG414" s="43" t="str">
        <f>IF(VLOOKUP(BF414,βοηθητικό!$J$2:$N$354,3,FALSE)="","",VLOOKUP(BF414,βοηθητικό!$J$2:$N$354,3,FALSE))</f>
        <v>_</v>
      </c>
      <c r="BH414" s="44"/>
      <c r="BI414" s="45" t="s">
        <v>16</v>
      </c>
      <c r="BJ414" s="46" t="str">
        <f>IF(VLOOKUP(BI414,βοηθητικό!$J$2:$N$354,3,FALSE)="","",VLOOKUP(BI414,βοηθητικό!$J$2:$N$354,3,FALSE))</f>
        <v>_</v>
      </c>
      <c r="BK414" s="47"/>
      <c r="BL414" s="42" t="s">
        <v>16</v>
      </c>
      <c r="BM414" s="43" t="str">
        <f>IF(VLOOKUP(BL414,βοηθητικό!$J$2:$N$354,3,FALSE)="","",VLOOKUP(BL414,βοηθητικό!$J$2:$N$354,3,FALSE))</f>
        <v>_</v>
      </c>
      <c r="BN414" s="44"/>
      <c r="BO414" s="45" t="s">
        <v>16</v>
      </c>
      <c r="BP414" s="46" t="str">
        <f>IF(VLOOKUP(BO414,βοηθητικό!$J$2:$N$354,3,FALSE)="","",VLOOKUP(BO414,βοηθητικό!$J$2:$N$354,3,FALSE))</f>
        <v>_</v>
      </c>
      <c r="BQ414" s="47"/>
      <c r="BR414" s="42" t="s">
        <v>16</v>
      </c>
      <c r="BS414" s="43" t="str">
        <f>IF(VLOOKUP(BR414,βοηθητικό!$J$2:$N$354,3,FALSE)="","",VLOOKUP(BR414,βοηθητικό!$J$2:$N$354,3,FALSE))</f>
        <v>_</v>
      </c>
      <c r="BT414" s="44"/>
      <c r="BU414" s="45" t="s">
        <v>16</v>
      </c>
      <c r="BV414" s="46" t="str">
        <f>IF(VLOOKUP(BU414,βοηθητικό!$J$2:$N$354,3,FALSE)="","",VLOOKUP(BU414,βοηθητικό!$J$2:$N$354,3,FALSE))</f>
        <v>_</v>
      </c>
      <c r="BW414" s="47"/>
      <c r="BX414" s="42" t="s">
        <v>16</v>
      </c>
      <c r="BY414" s="43" t="str">
        <f>IF(VLOOKUP(BX414,βοηθητικό!$J$2:$N$354,3,FALSE)="","",VLOOKUP(BX414,βοηθητικό!$J$2:$N$354,3,FALSE))</f>
        <v>_</v>
      </c>
      <c r="BZ414" s="44"/>
      <c r="CA414" s="45" t="s">
        <v>16</v>
      </c>
      <c r="CB414" s="46" t="str">
        <f>IF(VLOOKUP(CA414,βοηθητικό!$J$2:$N$354,3,FALSE)="","",VLOOKUP(CA414,βοηθητικό!$J$2:$N$354,3,FALSE))</f>
        <v>_</v>
      </c>
      <c r="CC414" s="47"/>
      <c r="CD414" s="42" t="s">
        <v>16</v>
      </c>
      <c r="CE414" s="43" t="str">
        <f>IF(VLOOKUP(CD414,βοηθητικό!$J$2:$N$354,3,FALSE)="","",VLOOKUP(CD414,βοηθητικό!$J$2:$N$354,3,FALSE))</f>
        <v>_</v>
      </c>
      <c r="CF414" s="44"/>
      <c r="CG414" s="45" t="s">
        <v>16</v>
      </c>
      <c r="CH414" s="46" t="str">
        <f>IF(VLOOKUP(CG414,βοηθητικό!$J$2:$N$354,3,FALSE)="","",VLOOKUP(CG414,βοηθητικό!$J$2:$N$354,3,FALSE))</f>
        <v>_</v>
      </c>
      <c r="CI414" s="47"/>
      <c r="CJ414" s="42" t="s">
        <v>16</v>
      </c>
      <c r="CK414" s="43" t="str">
        <f>IF(VLOOKUP(CJ414,βοηθητικό!$J$2:$N$354,3,FALSE)="","",VLOOKUP(CJ414,βοηθητικό!$J$2:$N$354,3,FALSE))</f>
        <v>_</v>
      </c>
      <c r="CL414" s="44"/>
      <c r="CM414" s="45" t="s">
        <v>16</v>
      </c>
      <c r="CN414" s="46" t="str">
        <f>IF(VLOOKUP(CM414,βοηθητικό!$J$2:$N$354,3,FALSE)="","",VLOOKUP(CM414,βοηθητικό!$J$2:$N$354,3,FALSE))</f>
        <v>_</v>
      </c>
      <c r="CO414" s="47"/>
      <c r="CP414" s="42" t="s">
        <v>16</v>
      </c>
      <c r="CQ414" s="43" t="str">
        <f>IF(VLOOKUP(CP414,βοηθητικό!$J$2:$N$354,3,FALSE)="","",VLOOKUP(CP414,βοηθητικό!$J$2:$N$354,3,FALSE))</f>
        <v>_</v>
      </c>
      <c r="CR414" s="44"/>
      <c r="CS414" s="45" t="s">
        <v>16</v>
      </c>
      <c r="CT414" s="46" t="str">
        <f>IF(VLOOKUP(CS414,βοηθητικό!$J$2:$N$354,3,FALSE)="","",VLOOKUP(CS414,βοηθητικό!$J$2:$N$354,3,FALSE))</f>
        <v>_</v>
      </c>
      <c r="CU414" s="47"/>
    </row>
    <row r="415" spans="1:99" x14ac:dyDescent="0.25">
      <c r="A415" s="37">
        <f>--SUBTOTAL(3,$B$3:B414)</f>
        <v>198</v>
      </c>
      <c r="B415" s="2"/>
      <c r="C415" s="3"/>
      <c r="D415" s="55" t="s">
        <v>18</v>
      </c>
      <c r="E415" s="38" t="s">
        <v>16</v>
      </c>
      <c r="F415" s="38" t="s">
        <v>16</v>
      </c>
      <c r="G415" s="39" t="str">
        <f t="shared" si="20"/>
        <v>__</v>
      </c>
      <c r="H415" s="40" t="str">
        <f t="shared" si="21"/>
        <v>FALSE</v>
      </c>
      <c r="I415" s="41">
        <f t="shared" si="22"/>
        <v>0</v>
      </c>
      <c r="J415" s="4" t="s">
        <v>16</v>
      </c>
      <c r="K415" s="43" t="str">
        <f>IF(VLOOKUP(J415,βοηθητικό!$J$2:$N$354,3,FALSE)="","",VLOOKUP(J415,βοηθητικό!$J$2:$N$354,3,FALSE))</f>
        <v>_</v>
      </c>
      <c r="L415" s="44"/>
      <c r="M415" s="5" t="s">
        <v>16</v>
      </c>
      <c r="N415" s="46" t="str">
        <f>IF(VLOOKUP(M415,βοηθητικό!$J$2:$N$354,3,FALSE)="","",VLOOKUP(M415,βοηθητικό!$J$2:$N$354,3,FALSE))</f>
        <v>_</v>
      </c>
      <c r="O415" s="47"/>
      <c r="P415" s="4" t="s">
        <v>16</v>
      </c>
      <c r="Q415" s="43" t="str">
        <f>IF(VLOOKUP(P415,βοηθητικό!$J$2:$N$354,3,FALSE)="","",VLOOKUP(P415,βοηθητικό!$J$2:$N$354,3,FALSE))</f>
        <v>_</v>
      </c>
      <c r="R415" s="44"/>
      <c r="S415" s="5" t="s">
        <v>16</v>
      </c>
      <c r="T415" s="46" t="str">
        <f>IF(VLOOKUP(S415,βοηθητικό!$J$2:$N$354,3,FALSE)="","",VLOOKUP(S415,βοηθητικό!$J$2:$N$354,3,FALSE))</f>
        <v>_</v>
      </c>
      <c r="U415" s="47"/>
      <c r="V415" s="4" t="s">
        <v>16</v>
      </c>
      <c r="W415" s="43" t="str">
        <f>IF(VLOOKUP(V415,βοηθητικό!$J$2:$N$354,3,FALSE)="","",VLOOKUP(V415,βοηθητικό!$J$2:$N$354,3,FALSE))</f>
        <v>_</v>
      </c>
      <c r="X415" s="44"/>
      <c r="Y415" s="5" t="s">
        <v>16</v>
      </c>
      <c r="Z415" s="46" t="str">
        <f>IF(VLOOKUP(Y415,βοηθητικό!$J$2:$N$354,3,FALSE)="","",VLOOKUP(Y415,βοηθητικό!$J$2:$N$354,3,FALSE))</f>
        <v>_</v>
      </c>
      <c r="AA415" s="47"/>
      <c r="AB415" s="4" t="s">
        <v>16</v>
      </c>
      <c r="AC415" s="43" t="str">
        <f>IF(VLOOKUP(AB415,βοηθητικό!$J$2:$N$354,3,FALSE)="","",VLOOKUP(AB415,βοηθητικό!$J$2:$N$354,3,FALSE))</f>
        <v>_</v>
      </c>
      <c r="AD415" s="44"/>
      <c r="AE415" s="5" t="s">
        <v>16</v>
      </c>
      <c r="AF415" s="46" t="str">
        <f>IF(VLOOKUP(AE415,βοηθητικό!$J$2:$N$354,3,FALSE)="","",VLOOKUP(AE415,βοηθητικό!$J$2:$N$354,3,FALSE))</f>
        <v>_</v>
      </c>
      <c r="AG415" s="47"/>
      <c r="AH415" s="4" t="s">
        <v>16</v>
      </c>
      <c r="AI415" s="43" t="str">
        <f>IF(VLOOKUP(AH415,βοηθητικό!$J$2:$N$354,3,FALSE)="","",VLOOKUP(AH415,βοηθητικό!$J$2:$N$354,3,FALSE))</f>
        <v>_</v>
      </c>
      <c r="AJ415" s="44"/>
      <c r="AK415" s="5" t="s">
        <v>16</v>
      </c>
      <c r="AL415" s="46" t="str">
        <f>IF(VLOOKUP(AK415,βοηθητικό!$J$2:$N$354,3,FALSE)="","",VLOOKUP(AK415,βοηθητικό!$J$2:$N$354,3,FALSE))</f>
        <v>_</v>
      </c>
      <c r="AM415" s="47"/>
      <c r="AN415" s="4" t="s">
        <v>16</v>
      </c>
      <c r="AO415" s="43" t="str">
        <f>IF(VLOOKUP(AN415,βοηθητικό!$J$2:$N$354,3,FALSE)="","",VLOOKUP(AN415,βοηθητικό!$J$2:$N$354,3,FALSE))</f>
        <v>_</v>
      </c>
      <c r="AP415" s="44"/>
      <c r="AQ415" s="5" t="s">
        <v>16</v>
      </c>
      <c r="AR415" s="46" t="str">
        <f>IF(VLOOKUP(AQ415,βοηθητικό!$J$2:$N$354,3,FALSE)="","",VLOOKUP(AQ415,βοηθητικό!$J$2:$N$354,3,FALSE))</f>
        <v>_</v>
      </c>
      <c r="AS415" s="47"/>
      <c r="AT415" s="4" t="s">
        <v>16</v>
      </c>
      <c r="AU415" s="43" t="str">
        <f>IF(VLOOKUP(AT415,βοηθητικό!$J$2:$N$354,3,FALSE)="","",VLOOKUP(AT415,βοηθητικό!$J$2:$N$354,3,FALSE))</f>
        <v>_</v>
      </c>
      <c r="AV415" s="44"/>
      <c r="AW415" s="5" t="s">
        <v>16</v>
      </c>
      <c r="AX415" s="46" t="str">
        <f>IF(VLOOKUP(AW415,βοηθητικό!$J$2:$N$354,3,FALSE)="","",VLOOKUP(AW415,βοηθητικό!$J$2:$N$354,3,FALSE))</f>
        <v>_</v>
      </c>
      <c r="AY415" s="47"/>
      <c r="AZ415" s="4" t="s">
        <v>16</v>
      </c>
      <c r="BA415" s="43" t="str">
        <f>IF(VLOOKUP(AZ415,βοηθητικό!$J$2:$N$354,3,FALSE)="","",VLOOKUP(AZ415,βοηθητικό!$J$2:$N$354,3,FALSE))</f>
        <v>_</v>
      </c>
      <c r="BB415" s="44"/>
      <c r="BC415" s="45" t="s">
        <v>16</v>
      </c>
      <c r="BD415" s="46" t="str">
        <f>IF(VLOOKUP(BC415,βοηθητικό!$J$2:$N$354,3,FALSE)="","",VLOOKUP(BC415,βοηθητικό!$J$2:$N$354,3,FALSE))</f>
        <v>_</v>
      </c>
      <c r="BE415" s="47"/>
      <c r="BF415" s="42" t="s">
        <v>16</v>
      </c>
      <c r="BG415" s="43" t="str">
        <f>IF(VLOOKUP(BF415,βοηθητικό!$J$2:$N$354,3,FALSE)="","",VLOOKUP(BF415,βοηθητικό!$J$2:$N$354,3,FALSE))</f>
        <v>_</v>
      </c>
      <c r="BH415" s="44"/>
      <c r="BI415" s="45" t="s">
        <v>16</v>
      </c>
      <c r="BJ415" s="46" t="str">
        <f>IF(VLOOKUP(BI415,βοηθητικό!$J$2:$N$354,3,FALSE)="","",VLOOKUP(BI415,βοηθητικό!$J$2:$N$354,3,FALSE))</f>
        <v>_</v>
      </c>
      <c r="BK415" s="47"/>
      <c r="BL415" s="42" t="s">
        <v>16</v>
      </c>
      <c r="BM415" s="43" t="str">
        <f>IF(VLOOKUP(BL415,βοηθητικό!$J$2:$N$354,3,FALSE)="","",VLOOKUP(BL415,βοηθητικό!$J$2:$N$354,3,FALSE))</f>
        <v>_</v>
      </c>
      <c r="BN415" s="44"/>
      <c r="BO415" s="45" t="s">
        <v>16</v>
      </c>
      <c r="BP415" s="46" t="str">
        <f>IF(VLOOKUP(BO415,βοηθητικό!$J$2:$N$354,3,FALSE)="","",VLOOKUP(BO415,βοηθητικό!$J$2:$N$354,3,FALSE))</f>
        <v>_</v>
      </c>
      <c r="BQ415" s="47"/>
      <c r="BR415" s="42" t="s">
        <v>16</v>
      </c>
      <c r="BS415" s="43" t="str">
        <f>IF(VLOOKUP(BR415,βοηθητικό!$J$2:$N$354,3,FALSE)="","",VLOOKUP(BR415,βοηθητικό!$J$2:$N$354,3,FALSE))</f>
        <v>_</v>
      </c>
      <c r="BT415" s="44"/>
      <c r="BU415" s="45" t="s">
        <v>16</v>
      </c>
      <c r="BV415" s="46" t="str">
        <f>IF(VLOOKUP(BU415,βοηθητικό!$J$2:$N$354,3,FALSE)="","",VLOOKUP(BU415,βοηθητικό!$J$2:$N$354,3,FALSE))</f>
        <v>_</v>
      </c>
      <c r="BW415" s="47"/>
      <c r="BX415" s="42" t="s">
        <v>16</v>
      </c>
      <c r="BY415" s="43" t="str">
        <f>IF(VLOOKUP(BX415,βοηθητικό!$J$2:$N$354,3,FALSE)="","",VLOOKUP(BX415,βοηθητικό!$J$2:$N$354,3,FALSE))</f>
        <v>_</v>
      </c>
      <c r="BZ415" s="44"/>
      <c r="CA415" s="45" t="s">
        <v>16</v>
      </c>
      <c r="CB415" s="46" t="str">
        <f>IF(VLOOKUP(CA415,βοηθητικό!$J$2:$N$354,3,FALSE)="","",VLOOKUP(CA415,βοηθητικό!$J$2:$N$354,3,FALSE))</f>
        <v>_</v>
      </c>
      <c r="CC415" s="47"/>
      <c r="CD415" s="42" t="s">
        <v>16</v>
      </c>
      <c r="CE415" s="43" t="str">
        <f>IF(VLOOKUP(CD415,βοηθητικό!$J$2:$N$354,3,FALSE)="","",VLOOKUP(CD415,βοηθητικό!$J$2:$N$354,3,FALSE))</f>
        <v>_</v>
      </c>
      <c r="CF415" s="44"/>
      <c r="CG415" s="45" t="s">
        <v>16</v>
      </c>
      <c r="CH415" s="46" t="str">
        <f>IF(VLOOKUP(CG415,βοηθητικό!$J$2:$N$354,3,FALSE)="","",VLOOKUP(CG415,βοηθητικό!$J$2:$N$354,3,FALSE))</f>
        <v>_</v>
      </c>
      <c r="CI415" s="47"/>
      <c r="CJ415" s="42" t="s">
        <v>16</v>
      </c>
      <c r="CK415" s="43" t="str">
        <f>IF(VLOOKUP(CJ415,βοηθητικό!$J$2:$N$354,3,FALSE)="","",VLOOKUP(CJ415,βοηθητικό!$J$2:$N$354,3,FALSE))</f>
        <v>_</v>
      </c>
      <c r="CL415" s="44"/>
      <c r="CM415" s="45" t="s">
        <v>16</v>
      </c>
      <c r="CN415" s="46" t="str">
        <f>IF(VLOOKUP(CM415,βοηθητικό!$J$2:$N$354,3,FALSE)="","",VLOOKUP(CM415,βοηθητικό!$J$2:$N$354,3,FALSE))</f>
        <v>_</v>
      </c>
      <c r="CO415" s="47"/>
      <c r="CP415" s="42" t="s">
        <v>16</v>
      </c>
      <c r="CQ415" s="43" t="str">
        <f>IF(VLOOKUP(CP415,βοηθητικό!$J$2:$N$354,3,FALSE)="","",VLOOKUP(CP415,βοηθητικό!$J$2:$N$354,3,FALSE))</f>
        <v>_</v>
      </c>
      <c r="CR415" s="44"/>
      <c r="CS415" s="45" t="s">
        <v>16</v>
      </c>
      <c r="CT415" s="46" t="str">
        <f>IF(VLOOKUP(CS415,βοηθητικό!$J$2:$N$354,3,FALSE)="","",VLOOKUP(CS415,βοηθητικό!$J$2:$N$354,3,FALSE))</f>
        <v>_</v>
      </c>
      <c r="CU415" s="47"/>
    </row>
    <row r="416" spans="1:99" x14ac:dyDescent="0.25">
      <c r="A416" s="37">
        <f>--SUBTOTAL(3,$B$3:B415)</f>
        <v>198</v>
      </c>
      <c r="B416" s="2"/>
      <c r="C416" s="3"/>
      <c r="D416" s="55" t="s">
        <v>18</v>
      </c>
      <c r="E416" s="38" t="s">
        <v>16</v>
      </c>
      <c r="F416" s="38" t="s">
        <v>16</v>
      </c>
      <c r="G416" s="39" t="str">
        <f t="shared" si="20"/>
        <v>__</v>
      </c>
      <c r="H416" s="40" t="str">
        <f t="shared" si="21"/>
        <v>FALSE</v>
      </c>
      <c r="I416" s="41">
        <f t="shared" si="22"/>
        <v>0</v>
      </c>
      <c r="J416" s="4" t="s">
        <v>16</v>
      </c>
      <c r="K416" s="43" t="str">
        <f>IF(VLOOKUP(J416,βοηθητικό!$J$2:$N$354,3,FALSE)="","",VLOOKUP(J416,βοηθητικό!$J$2:$N$354,3,FALSE))</f>
        <v>_</v>
      </c>
      <c r="L416" s="44"/>
      <c r="M416" s="5" t="s">
        <v>16</v>
      </c>
      <c r="N416" s="46" t="str">
        <f>IF(VLOOKUP(M416,βοηθητικό!$J$2:$N$354,3,FALSE)="","",VLOOKUP(M416,βοηθητικό!$J$2:$N$354,3,FALSE))</f>
        <v>_</v>
      </c>
      <c r="O416" s="47"/>
      <c r="P416" s="4" t="s">
        <v>16</v>
      </c>
      <c r="Q416" s="43" t="str">
        <f>IF(VLOOKUP(P416,βοηθητικό!$J$2:$N$354,3,FALSE)="","",VLOOKUP(P416,βοηθητικό!$J$2:$N$354,3,FALSE))</f>
        <v>_</v>
      </c>
      <c r="R416" s="44"/>
      <c r="S416" s="5" t="s">
        <v>16</v>
      </c>
      <c r="T416" s="46" t="str">
        <f>IF(VLOOKUP(S416,βοηθητικό!$J$2:$N$354,3,FALSE)="","",VLOOKUP(S416,βοηθητικό!$J$2:$N$354,3,FALSE))</f>
        <v>_</v>
      </c>
      <c r="U416" s="47"/>
      <c r="V416" s="4" t="s">
        <v>16</v>
      </c>
      <c r="W416" s="43" t="str">
        <f>IF(VLOOKUP(V416,βοηθητικό!$J$2:$N$354,3,FALSE)="","",VLOOKUP(V416,βοηθητικό!$J$2:$N$354,3,FALSE))</f>
        <v>_</v>
      </c>
      <c r="X416" s="44"/>
      <c r="Y416" s="5" t="s">
        <v>16</v>
      </c>
      <c r="Z416" s="46" t="str">
        <f>IF(VLOOKUP(Y416,βοηθητικό!$J$2:$N$354,3,FALSE)="","",VLOOKUP(Y416,βοηθητικό!$J$2:$N$354,3,FALSE))</f>
        <v>_</v>
      </c>
      <c r="AA416" s="47"/>
      <c r="AB416" s="4" t="s">
        <v>16</v>
      </c>
      <c r="AC416" s="43" t="str">
        <f>IF(VLOOKUP(AB416,βοηθητικό!$J$2:$N$354,3,FALSE)="","",VLOOKUP(AB416,βοηθητικό!$J$2:$N$354,3,FALSE))</f>
        <v>_</v>
      </c>
      <c r="AD416" s="44"/>
      <c r="AE416" s="5" t="s">
        <v>16</v>
      </c>
      <c r="AF416" s="46" t="str">
        <f>IF(VLOOKUP(AE416,βοηθητικό!$J$2:$N$354,3,FALSE)="","",VLOOKUP(AE416,βοηθητικό!$J$2:$N$354,3,FALSE))</f>
        <v>_</v>
      </c>
      <c r="AG416" s="47"/>
      <c r="AH416" s="4" t="s">
        <v>16</v>
      </c>
      <c r="AI416" s="43" t="str">
        <f>IF(VLOOKUP(AH416,βοηθητικό!$J$2:$N$354,3,FALSE)="","",VLOOKUP(AH416,βοηθητικό!$J$2:$N$354,3,FALSE))</f>
        <v>_</v>
      </c>
      <c r="AJ416" s="44"/>
      <c r="AK416" s="5" t="s">
        <v>16</v>
      </c>
      <c r="AL416" s="46" t="str">
        <f>IF(VLOOKUP(AK416,βοηθητικό!$J$2:$N$354,3,FALSE)="","",VLOOKUP(AK416,βοηθητικό!$J$2:$N$354,3,FALSE))</f>
        <v>_</v>
      </c>
      <c r="AM416" s="47"/>
      <c r="AN416" s="4" t="s">
        <v>16</v>
      </c>
      <c r="AO416" s="43" t="str">
        <f>IF(VLOOKUP(AN416,βοηθητικό!$J$2:$N$354,3,FALSE)="","",VLOOKUP(AN416,βοηθητικό!$J$2:$N$354,3,FALSE))</f>
        <v>_</v>
      </c>
      <c r="AP416" s="44"/>
      <c r="AQ416" s="5" t="s">
        <v>16</v>
      </c>
      <c r="AR416" s="46" t="str">
        <f>IF(VLOOKUP(AQ416,βοηθητικό!$J$2:$N$354,3,FALSE)="","",VLOOKUP(AQ416,βοηθητικό!$J$2:$N$354,3,FALSE))</f>
        <v>_</v>
      </c>
      <c r="AS416" s="47"/>
      <c r="AT416" s="4" t="s">
        <v>16</v>
      </c>
      <c r="AU416" s="43" t="str">
        <f>IF(VLOOKUP(AT416,βοηθητικό!$J$2:$N$354,3,FALSE)="","",VLOOKUP(AT416,βοηθητικό!$J$2:$N$354,3,FALSE))</f>
        <v>_</v>
      </c>
      <c r="AV416" s="44"/>
      <c r="AW416" s="5" t="s">
        <v>16</v>
      </c>
      <c r="AX416" s="46" t="str">
        <f>IF(VLOOKUP(AW416,βοηθητικό!$J$2:$N$354,3,FALSE)="","",VLOOKUP(AW416,βοηθητικό!$J$2:$N$354,3,FALSE))</f>
        <v>_</v>
      </c>
      <c r="AY416" s="47"/>
      <c r="AZ416" s="4" t="s">
        <v>16</v>
      </c>
      <c r="BA416" s="43" t="str">
        <f>IF(VLOOKUP(AZ416,βοηθητικό!$J$2:$N$354,3,FALSE)="","",VLOOKUP(AZ416,βοηθητικό!$J$2:$N$354,3,FALSE))</f>
        <v>_</v>
      </c>
      <c r="BB416" s="44"/>
      <c r="BC416" s="45" t="s">
        <v>16</v>
      </c>
      <c r="BD416" s="46" t="str">
        <f>IF(VLOOKUP(BC416,βοηθητικό!$J$2:$N$354,3,FALSE)="","",VLOOKUP(BC416,βοηθητικό!$J$2:$N$354,3,FALSE))</f>
        <v>_</v>
      </c>
      <c r="BE416" s="47"/>
      <c r="BF416" s="42" t="s">
        <v>16</v>
      </c>
      <c r="BG416" s="43" t="str">
        <f>IF(VLOOKUP(BF416,βοηθητικό!$J$2:$N$354,3,FALSE)="","",VLOOKUP(BF416,βοηθητικό!$J$2:$N$354,3,FALSE))</f>
        <v>_</v>
      </c>
      <c r="BH416" s="44"/>
      <c r="BI416" s="45" t="s">
        <v>16</v>
      </c>
      <c r="BJ416" s="46" t="str">
        <f>IF(VLOOKUP(BI416,βοηθητικό!$J$2:$N$354,3,FALSE)="","",VLOOKUP(BI416,βοηθητικό!$J$2:$N$354,3,FALSE))</f>
        <v>_</v>
      </c>
      <c r="BK416" s="47"/>
      <c r="BL416" s="42" t="s">
        <v>16</v>
      </c>
      <c r="BM416" s="43" t="str">
        <f>IF(VLOOKUP(BL416,βοηθητικό!$J$2:$N$354,3,FALSE)="","",VLOOKUP(BL416,βοηθητικό!$J$2:$N$354,3,FALSE))</f>
        <v>_</v>
      </c>
      <c r="BN416" s="44"/>
      <c r="BO416" s="45" t="s">
        <v>16</v>
      </c>
      <c r="BP416" s="46" t="str">
        <f>IF(VLOOKUP(BO416,βοηθητικό!$J$2:$N$354,3,FALSE)="","",VLOOKUP(BO416,βοηθητικό!$J$2:$N$354,3,FALSE))</f>
        <v>_</v>
      </c>
      <c r="BQ416" s="47"/>
      <c r="BR416" s="42" t="s">
        <v>16</v>
      </c>
      <c r="BS416" s="43" t="str">
        <f>IF(VLOOKUP(BR416,βοηθητικό!$J$2:$N$354,3,FALSE)="","",VLOOKUP(BR416,βοηθητικό!$J$2:$N$354,3,FALSE))</f>
        <v>_</v>
      </c>
      <c r="BT416" s="44"/>
      <c r="BU416" s="45" t="s">
        <v>16</v>
      </c>
      <c r="BV416" s="46" t="str">
        <f>IF(VLOOKUP(BU416,βοηθητικό!$J$2:$N$354,3,FALSE)="","",VLOOKUP(BU416,βοηθητικό!$J$2:$N$354,3,FALSE))</f>
        <v>_</v>
      </c>
      <c r="BW416" s="47"/>
      <c r="BX416" s="42" t="s">
        <v>16</v>
      </c>
      <c r="BY416" s="43" t="str">
        <f>IF(VLOOKUP(BX416,βοηθητικό!$J$2:$N$354,3,FALSE)="","",VLOOKUP(BX416,βοηθητικό!$J$2:$N$354,3,FALSE))</f>
        <v>_</v>
      </c>
      <c r="BZ416" s="44"/>
      <c r="CA416" s="45" t="s">
        <v>16</v>
      </c>
      <c r="CB416" s="46" t="str">
        <f>IF(VLOOKUP(CA416,βοηθητικό!$J$2:$N$354,3,FALSE)="","",VLOOKUP(CA416,βοηθητικό!$J$2:$N$354,3,FALSE))</f>
        <v>_</v>
      </c>
      <c r="CC416" s="47"/>
      <c r="CD416" s="42" t="s">
        <v>16</v>
      </c>
      <c r="CE416" s="43" t="str">
        <f>IF(VLOOKUP(CD416,βοηθητικό!$J$2:$N$354,3,FALSE)="","",VLOOKUP(CD416,βοηθητικό!$J$2:$N$354,3,FALSE))</f>
        <v>_</v>
      </c>
      <c r="CF416" s="44"/>
      <c r="CG416" s="45" t="s">
        <v>16</v>
      </c>
      <c r="CH416" s="46" t="str">
        <f>IF(VLOOKUP(CG416,βοηθητικό!$J$2:$N$354,3,FALSE)="","",VLOOKUP(CG416,βοηθητικό!$J$2:$N$354,3,FALSE))</f>
        <v>_</v>
      </c>
      <c r="CI416" s="47"/>
      <c r="CJ416" s="42" t="s">
        <v>16</v>
      </c>
      <c r="CK416" s="43" t="str">
        <f>IF(VLOOKUP(CJ416,βοηθητικό!$J$2:$N$354,3,FALSE)="","",VLOOKUP(CJ416,βοηθητικό!$J$2:$N$354,3,FALSE))</f>
        <v>_</v>
      </c>
      <c r="CL416" s="44"/>
      <c r="CM416" s="45" t="s">
        <v>16</v>
      </c>
      <c r="CN416" s="46" t="str">
        <f>IF(VLOOKUP(CM416,βοηθητικό!$J$2:$N$354,3,FALSE)="","",VLOOKUP(CM416,βοηθητικό!$J$2:$N$354,3,FALSE))</f>
        <v>_</v>
      </c>
      <c r="CO416" s="47"/>
      <c r="CP416" s="42" t="s">
        <v>16</v>
      </c>
      <c r="CQ416" s="43" t="str">
        <f>IF(VLOOKUP(CP416,βοηθητικό!$J$2:$N$354,3,FALSE)="","",VLOOKUP(CP416,βοηθητικό!$J$2:$N$354,3,FALSE))</f>
        <v>_</v>
      </c>
      <c r="CR416" s="44"/>
      <c r="CS416" s="45" t="s">
        <v>16</v>
      </c>
      <c r="CT416" s="46" t="str">
        <f>IF(VLOOKUP(CS416,βοηθητικό!$J$2:$N$354,3,FALSE)="","",VLOOKUP(CS416,βοηθητικό!$J$2:$N$354,3,FALSE))</f>
        <v>_</v>
      </c>
      <c r="CU416" s="47"/>
    </row>
    <row r="417" spans="1:99" x14ac:dyDescent="0.25">
      <c r="A417" s="37">
        <f>--SUBTOTAL(3,$B$3:B416)</f>
        <v>198</v>
      </c>
      <c r="B417" s="2"/>
      <c r="C417" s="3"/>
      <c r="D417" s="55" t="s">
        <v>18</v>
      </c>
      <c r="E417" s="38" t="s">
        <v>16</v>
      </c>
      <c r="F417" s="38" t="s">
        <v>16</v>
      </c>
      <c r="G417" s="39" t="str">
        <f t="shared" si="20"/>
        <v>__</v>
      </c>
      <c r="H417" s="40" t="str">
        <f t="shared" si="21"/>
        <v>FALSE</v>
      </c>
      <c r="I417" s="41">
        <f t="shared" si="22"/>
        <v>0</v>
      </c>
      <c r="J417" s="4" t="s">
        <v>16</v>
      </c>
      <c r="K417" s="43" t="str">
        <f>IF(VLOOKUP(J417,βοηθητικό!$J$2:$N$354,3,FALSE)="","",VLOOKUP(J417,βοηθητικό!$J$2:$N$354,3,FALSE))</f>
        <v>_</v>
      </c>
      <c r="L417" s="44"/>
      <c r="M417" s="5" t="s">
        <v>16</v>
      </c>
      <c r="N417" s="46" t="str">
        <f>IF(VLOOKUP(M417,βοηθητικό!$J$2:$N$354,3,FALSE)="","",VLOOKUP(M417,βοηθητικό!$J$2:$N$354,3,FALSE))</f>
        <v>_</v>
      </c>
      <c r="O417" s="47"/>
      <c r="P417" s="4" t="s">
        <v>16</v>
      </c>
      <c r="Q417" s="43" t="str">
        <f>IF(VLOOKUP(P417,βοηθητικό!$J$2:$N$354,3,FALSE)="","",VLOOKUP(P417,βοηθητικό!$J$2:$N$354,3,FALSE))</f>
        <v>_</v>
      </c>
      <c r="R417" s="44"/>
      <c r="S417" s="5" t="s">
        <v>16</v>
      </c>
      <c r="T417" s="46" t="str">
        <f>IF(VLOOKUP(S417,βοηθητικό!$J$2:$N$354,3,FALSE)="","",VLOOKUP(S417,βοηθητικό!$J$2:$N$354,3,FALSE))</f>
        <v>_</v>
      </c>
      <c r="U417" s="47"/>
      <c r="V417" s="4" t="s">
        <v>16</v>
      </c>
      <c r="W417" s="43" t="str">
        <f>IF(VLOOKUP(V417,βοηθητικό!$J$2:$N$354,3,FALSE)="","",VLOOKUP(V417,βοηθητικό!$J$2:$N$354,3,FALSE))</f>
        <v>_</v>
      </c>
      <c r="X417" s="44"/>
      <c r="Y417" s="5" t="s">
        <v>16</v>
      </c>
      <c r="Z417" s="46" t="str">
        <f>IF(VLOOKUP(Y417,βοηθητικό!$J$2:$N$354,3,FALSE)="","",VLOOKUP(Y417,βοηθητικό!$J$2:$N$354,3,FALSE))</f>
        <v>_</v>
      </c>
      <c r="AA417" s="47"/>
      <c r="AB417" s="4" t="s">
        <v>16</v>
      </c>
      <c r="AC417" s="43" t="str">
        <f>IF(VLOOKUP(AB417,βοηθητικό!$J$2:$N$354,3,FALSE)="","",VLOOKUP(AB417,βοηθητικό!$J$2:$N$354,3,FALSE))</f>
        <v>_</v>
      </c>
      <c r="AD417" s="44"/>
      <c r="AE417" s="5" t="s">
        <v>16</v>
      </c>
      <c r="AF417" s="46" t="str">
        <f>IF(VLOOKUP(AE417,βοηθητικό!$J$2:$N$354,3,FALSE)="","",VLOOKUP(AE417,βοηθητικό!$J$2:$N$354,3,FALSE))</f>
        <v>_</v>
      </c>
      <c r="AG417" s="47"/>
      <c r="AH417" s="4" t="s">
        <v>16</v>
      </c>
      <c r="AI417" s="43" t="str">
        <f>IF(VLOOKUP(AH417,βοηθητικό!$J$2:$N$354,3,FALSE)="","",VLOOKUP(AH417,βοηθητικό!$J$2:$N$354,3,FALSE))</f>
        <v>_</v>
      </c>
      <c r="AJ417" s="44"/>
      <c r="AK417" s="5" t="s">
        <v>16</v>
      </c>
      <c r="AL417" s="46" t="str">
        <f>IF(VLOOKUP(AK417,βοηθητικό!$J$2:$N$354,3,FALSE)="","",VLOOKUP(AK417,βοηθητικό!$J$2:$N$354,3,FALSE))</f>
        <v>_</v>
      </c>
      <c r="AM417" s="47"/>
      <c r="AN417" s="4" t="s">
        <v>16</v>
      </c>
      <c r="AO417" s="43" t="str">
        <f>IF(VLOOKUP(AN417,βοηθητικό!$J$2:$N$354,3,FALSE)="","",VLOOKUP(AN417,βοηθητικό!$J$2:$N$354,3,FALSE))</f>
        <v>_</v>
      </c>
      <c r="AP417" s="44"/>
      <c r="AQ417" s="5" t="s">
        <v>16</v>
      </c>
      <c r="AR417" s="46" t="str">
        <f>IF(VLOOKUP(AQ417,βοηθητικό!$J$2:$N$354,3,FALSE)="","",VLOOKUP(AQ417,βοηθητικό!$J$2:$N$354,3,FALSE))</f>
        <v>_</v>
      </c>
      <c r="AS417" s="47"/>
      <c r="AT417" s="4" t="s">
        <v>16</v>
      </c>
      <c r="AU417" s="43" t="str">
        <f>IF(VLOOKUP(AT417,βοηθητικό!$J$2:$N$354,3,FALSE)="","",VLOOKUP(AT417,βοηθητικό!$J$2:$N$354,3,FALSE))</f>
        <v>_</v>
      </c>
      <c r="AV417" s="44"/>
      <c r="AW417" s="5" t="s">
        <v>16</v>
      </c>
      <c r="AX417" s="46" t="str">
        <f>IF(VLOOKUP(AW417,βοηθητικό!$J$2:$N$354,3,FALSE)="","",VLOOKUP(AW417,βοηθητικό!$J$2:$N$354,3,FALSE))</f>
        <v>_</v>
      </c>
      <c r="AY417" s="47"/>
      <c r="AZ417" s="4" t="s">
        <v>16</v>
      </c>
      <c r="BA417" s="43" t="str">
        <f>IF(VLOOKUP(AZ417,βοηθητικό!$J$2:$N$354,3,FALSE)="","",VLOOKUP(AZ417,βοηθητικό!$J$2:$N$354,3,FALSE))</f>
        <v>_</v>
      </c>
      <c r="BB417" s="44"/>
      <c r="BC417" s="45" t="s">
        <v>16</v>
      </c>
      <c r="BD417" s="46" t="str">
        <f>IF(VLOOKUP(BC417,βοηθητικό!$J$2:$N$354,3,FALSE)="","",VLOOKUP(BC417,βοηθητικό!$J$2:$N$354,3,FALSE))</f>
        <v>_</v>
      </c>
      <c r="BE417" s="47"/>
      <c r="BF417" s="42" t="s">
        <v>16</v>
      </c>
      <c r="BG417" s="43" t="str">
        <f>IF(VLOOKUP(BF417,βοηθητικό!$J$2:$N$354,3,FALSE)="","",VLOOKUP(BF417,βοηθητικό!$J$2:$N$354,3,FALSE))</f>
        <v>_</v>
      </c>
      <c r="BH417" s="44"/>
      <c r="BI417" s="45" t="s">
        <v>16</v>
      </c>
      <c r="BJ417" s="46" t="str">
        <f>IF(VLOOKUP(BI417,βοηθητικό!$J$2:$N$354,3,FALSE)="","",VLOOKUP(BI417,βοηθητικό!$J$2:$N$354,3,FALSE))</f>
        <v>_</v>
      </c>
      <c r="BK417" s="47"/>
      <c r="BL417" s="42" t="s">
        <v>16</v>
      </c>
      <c r="BM417" s="43" t="str">
        <f>IF(VLOOKUP(BL417,βοηθητικό!$J$2:$N$354,3,FALSE)="","",VLOOKUP(BL417,βοηθητικό!$J$2:$N$354,3,FALSE))</f>
        <v>_</v>
      </c>
      <c r="BN417" s="44"/>
      <c r="BO417" s="45" t="s">
        <v>16</v>
      </c>
      <c r="BP417" s="46" t="str">
        <f>IF(VLOOKUP(BO417,βοηθητικό!$J$2:$N$354,3,FALSE)="","",VLOOKUP(BO417,βοηθητικό!$J$2:$N$354,3,FALSE))</f>
        <v>_</v>
      </c>
      <c r="BQ417" s="47"/>
      <c r="BR417" s="42" t="s">
        <v>16</v>
      </c>
      <c r="BS417" s="43" t="str">
        <f>IF(VLOOKUP(BR417,βοηθητικό!$J$2:$N$354,3,FALSE)="","",VLOOKUP(BR417,βοηθητικό!$J$2:$N$354,3,FALSE))</f>
        <v>_</v>
      </c>
      <c r="BT417" s="44"/>
      <c r="BU417" s="45" t="s">
        <v>16</v>
      </c>
      <c r="BV417" s="46" t="str">
        <f>IF(VLOOKUP(BU417,βοηθητικό!$J$2:$N$354,3,FALSE)="","",VLOOKUP(BU417,βοηθητικό!$J$2:$N$354,3,FALSE))</f>
        <v>_</v>
      </c>
      <c r="BW417" s="47"/>
      <c r="BX417" s="42" t="s">
        <v>16</v>
      </c>
      <c r="BY417" s="43" t="str">
        <f>IF(VLOOKUP(BX417,βοηθητικό!$J$2:$N$354,3,FALSE)="","",VLOOKUP(BX417,βοηθητικό!$J$2:$N$354,3,FALSE))</f>
        <v>_</v>
      </c>
      <c r="BZ417" s="44"/>
      <c r="CA417" s="45" t="s">
        <v>16</v>
      </c>
      <c r="CB417" s="46" t="str">
        <f>IF(VLOOKUP(CA417,βοηθητικό!$J$2:$N$354,3,FALSE)="","",VLOOKUP(CA417,βοηθητικό!$J$2:$N$354,3,FALSE))</f>
        <v>_</v>
      </c>
      <c r="CC417" s="47"/>
      <c r="CD417" s="42" t="s">
        <v>16</v>
      </c>
      <c r="CE417" s="43" t="str">
        <f>IF(VLOOKUP(CD417,βοηθητικό!$J$2:$N$354,3,FALSE)="","",VLOOKUP(CD417,βοηθητικό!$J$2:$N$354,3,FALSE))</f>
        <v>_</v>
      </c>
      <c r="CF417" s="44"/>
      <c r="CG417" s="45" t="s">
        <v>16</v>
      </c>
      <c r="CH417" s="46" t="str">
        <f>IF(VLOOKUP(CG417,βοηθητικό!$J$2:$N$354,3,FALSE)="","",VLOOKUP(CG417,βοηθητικό!$J$2:$N$354,3,FALSE))</f>
        <v>_</v>
      </c>
      <c r="CI417" s="47"/>
      <c r="CJ417" s="42" t="s">
        <v>16</v>
      </c>
      <c r="CK417" s="43" t="str">
        <f>IF(VLOOKUP(CJ417,βοηθητικό!$J$2:$N$354,3,FALSE)="","",VLOOKUP(CJ417,βοηθητικό!$J$2:$N$354,3,FALSE))</f>
        <v>_</v>
      </c>
      <c r="CL417" s="44"/>
      <c r="CM417" s="45" t="s">
        <v>16</v>
      </c>
      <c r="CN417" s="46" t="str">
        <f>IF(VLOOKUP(CM417,βοηθητικό!$J$2:$N$354,3,FALSE)="","",VLOOKUP(CM417,βοηθητικό!$J$2:$N$354,3,FALSE))</f>
        <v>_</v>
      </c>
      <c r="CO417" s="47"/>
      <c r="CP417" s="42" t="s">
        <v>16</v>
      </c>
      <c r="CQ417" s="43" t="str">
        <f>IF(VLOOKUP(CP417,βοηθητικό!$J$2:$N$354,3,FALSE)="","",VLOOKUP(CP417,βοηθητικό!$J$2:$N$354,3,FALSE))</f>
        <v>_</v>
      </c>
      <c r="CR417" s="44"/>
      <c r="CS417" s="45" t="s">
        <v>16</v>
      </c>
      <c r="CT417" s="46" t="str">
        <f>IF(VLOOKUP(CS417,βοηθητικό!$J$2:$N$354,3,FALSE)="","",VLOOKUP(CS417,βοηθητικό!$J$2:$N$354,3,FALSE))</f>
        <v>_</v>
      </c>
      <c r="CU417" s="47"/>
    </row>
    <row r="418" spans="1:99" x14ac:dyDescent="0.25">
      <c r="A418" s="37">
        <f>--SUBTOTAL(3,$B$3:B417)</f>
        <v>198</v>
      </c>
      <c r="B418" s="2"/>
      <c r="C418" s="3"/>
      <c r="D418" s="55" t="s">
        <v>18</v>
      </c>
      <c r="E418" s="38" t="s">
        <v>16</v>
      </c>
      <c r="F418" s="38" t="s">
        <v>16</v>
      </c>
      <c r="G418" s="39" t="str">
        <f t="shared" si="20"/>
        <v>__</v>
      </c>
      <c r="H418" s="40" t="str">
        <f t="shared" si="21"/>
        <v>FALSE</v>
      </c>
      <c r="I418" s="41">
        <f t="shared" si="22"/>
        <v>0</v>
      </c>
      <c r="J418" s="4" t="s">
        <v>16</v>
      </c>
      <c r="K418" s="43" t="str">
        <f>IF(VLOOKUP(J418,βοηθητικό!$J$2:$N$354,3,FALSE)="","",VLOOKUP(J418,βοηθητικό!$J$2:$N$354,3,FALSE))</f>
        <v>_</v>
      </c>
      <c r="L418" s="44"/>
      <c r="M418" s="5" t="s">
        <v>16</v>
      </c>
      <c r="N418" s="46" t="str">
        <f>IF(VLOOKUP(M418,βοηθητικό!$J$2:$N$354,3,FALSE)="","",VLOOKUP(M418,βοηθητικό!$J$2:$N$354,3,FALSE))</f>
        <v>_</v>
      </c>
      <c r="O418" s="47"/>
      <c r="P418" s="4" t="s">
        <v>16</v>
      </c>
      <c r="Q418" s="43" t="str">
        <f>IF(VLOOKUP(P418,βοηθητικό!$J$2:$N$354,3,FALSE)="","",VLOOKUP(P418,βοηθητικό!$J$2:$N$354,3,FALSE))</f>
        <v>_</v>
      </c>
      <c r="R418" s="44"/>
      <c r="S418" s="5" t="s">
        <v>16</v>
      </c>
      <c r="T418" s="46" t="str">
        <f>IF(VLOOKUP(S418,βοηθητικό!$J$2:$N$354,3,FALSE)="","",VLOOKUP(S418,βοηθητικό!$J$2:$N$354,3,FALSE))</f>
        <v>_</v>
      </c>
      <c r="U418" s="47"/>
      <c r="V418" s="4" t="s">
        <v>16</v>
      </c>
      <c r="W418" s="43" t="str">
        <f>IF(VLOOKUP(V418,βοηθητικό!$J$2:$N$354,3,FALSE)="","",VLOOKUP(V418,βοηθητικό!$J$2:$N$354,3,FALSE))</f>
        <v>_</v>
      </c>
      <c r="X418" s="44"/>
      <c r="Y418" s="5" t="s">
        <v>16</v>
      </c>
      <c r="Z418" s="46" t="str">
        <f>IF(VLOOKUP(Y418,βοηθητικό!$J$2:$N$354,3,FALSE)="","",VLOOKUP(Y418,βοηθητικό!$J$2:$N$354,3,FALSE))</f>
        <v>_</v>
      </c>
      <c r="AA418" s="47"/>
      <c r="AB418" s="4" t="s">
        <v>16</v>
      </c>
      <c r="AC418" s="43" t="str">
        <f>IF(VLOOKUP(AB418,βοηθητικό!$J$2:$N$354,3,FALSE)="","",VLOOKUP(AB418,βοηθητικό!$J$2:$N$354,3,FALSE))</f>
        <v>_</v>
      </c>
      <c r="AD418" s="44"/>
      <c r="AE418" s="5" t="s">
        <v>16</v>
      </c>
      <c r="AF418" s="46" t="str">
        <f>IF(VLOOKUP(AE418,βοηθητικό!$J$2:$N$354,3,FALSE)="","",VLOOKUP(AE418,βοηθητικό!$J$2:$N$354,3,FALSE))</f>
        <v>_</v>
      </c>
      <c r="AG418" s="47"/>
      <c r="AH418" s="4" t="s">
        <v>16</v>
      </c>
      <c r="AI418" s="43" t="str">
        <f>IF(VLOOKUP(AH418,βοηθητικό!$J$2:$N$354,3,FALSE)="","",VLOOKUP(AH418,βοηθητικό!$J$2:$N$354,3,FALSE))</f>
        <v>_</v>
      </c>
      <c r="AJ418" s="44"/>
      <c r="AK418" s="5" t="s">
        <v>16</v>
      </c>
      <c r="AL418" s="46" t="str">
        <f>IF(VLOOKUP(AK418,βοηθητικό!$J$2:$N$354,3,FALSE)="","",VLOOKUP(AK418,βοηθητικό!$J$2:$N$354,3,FALSE))</f>
        <v>_</v>
      </c>
      <c r="AM418" s="47"/>
      <c r="AN418" s="4" t="s">
        <v>16</v>
      </c>
      <c r="AO418" s="43" t="str">
        <f>IF(VLOOKUP(AN418,βοηθητικό!$J$2:$N$354,3,FALSE)="","",VLOOKUP(AN418,βοηθητικό!$J$2:$N$354,3,FALSE))</f>
        <v>_</v>
      </c>
      <c r="AP418" s="44"/>
      <c r="AQ418" s="5" t="s">
        <v>16</v>
      </c>
      <c r="AR418" s="46" t="str">
        <f>IF(VLOOKUP(AQ418,βοηθητικό!$J$2:$N$354,3,FALSE)="","",VLOOKUP(AQ418,βοηθητικό!$J$2:$N$354,3,FALSE))</f>
        <v>_</v>
      </c>
      <c r="AS418" s="47"/>
      <c r="AT418" s="4" t="s">
        <v>16</v>
      </c>
      <c r="AU418" s="43" t="str">
        <f>IF(VLOOKUP(AT418,βοηθητικό!$J$2:$N$354,3,FALSE)="","",VLOOKUP(AT418,βοηθητικό!$J$2:$N$354,3,FALSE))</f>
        <v>_</v>
      </c>
      <c r="AV418" s="44"/>
      <c r="AW418" s="5" t="s">
        <v>16</v>
      </c>
      <c r="AX418" s="46" t="str">
        <f>IF(VLOOKUP(AW418,βοηθητικό!$J$2:$N$354,3,FALSE)="","",VLOOKUP(AW418,βοηθητικό!$J$2:$N$354,3,FALSE))</f>
        <v>_</v>
      </c>
      <c r="AY418" s="47"/>
      <c r="AZ418" s="4" t="s">
        <v>16</v>
      </c>
      <c r="BA418" s="43" t="str">
        <f>IF(VLOOKUP(AZ418,βοηθητικό!$J$2:$N$354,3,FALSE)="","",VLOOKUP(AZ418,βοηθητικό!$J$2:$N$354,3,FALSE))</f>
        <v>_</v>
      </c>
      <c r="BB418" s="44"/>
      <c r="BC418" s="45" t="s">
        <v>16</v>
      </c>
      <c r="BD418" s="46" t="str">
        <f>IF(VLOOKUP(BC418,βοηθητικό!$J$2:$N$354,3,FALSE)="","",VLOOKUP(BC418,βοηθητικό!$J$2:$N$354,3,FALSE))</f>
        <v>_</v>
      </c>
      <c r="BE418" s="47"/>
      <c r="BF418" s="42" t="s">
        <v>16</v>
      </c>
      <c r="BG418" s="43" t="str">
        <f>IF(VLOOKUP(BF418,βοηθητικό!$J$2:$N$354,3,FALSE)="","",VLOOKUP(BF418,βοηθητικό!$J$2:$N$354,3,FALSE))</f>
        <v>_</v>
      </c>
      <c r="BH418" s="44"/>
      <c r="BI418" s="45" t="s">
        <v>16</v>
      </c>
      <c r="BJ418" s="46" t="str">
        <f>IF(VLOOKUP(BI418,βοηθητικό!$J$2:$N$354,3,FALSE)="","",VLOOKUP(BI418,βοηθητικό!$J$2:$N$354,3,FALSE))</f>
        <v>_</v>
      </c>
      <c r="BK418" s="47"/>
      <c r="BL418" s="42" t="s">
        <v>16</v>
      </c>
      <c r="BM418" s="43" t="str">
        <f>IF(VLOOKUP(BL418,βοηθητικό!$J$2:$N$354,3,FALSE)="","",VLOOKUP(BL418,βοηθητικό!$J$2:$N$354,3,FALSE))</f>
        <v>_</v>
      </c>
      <c r="BN418" s="44"/>
      <c r="BO418" s="45" t="s">
        <v>16</v>
      </c>
      <c r="BP418" s="46" t="str">
        <f>IF(VLOOKUP(BO418,βοηθητικό!$J$2:$N$354,3,FALSE)="","",VLOOKUP(BO418,βοηθητικό!$J$2:$N$354,3,FALSE))</f>
        <v>_</v>
      </c>
      <c r="BQ418" s="47"/>
      <c r="BR418" s="42" t="s">
        <v>16</v>
      </c>
      <c r="BS418" s="43" t="str">
        <f>IF(VLOOKUP(BR418,βοηθητικό!$J$2:$N$354,3,FALSE)="","",VLOOKUP(BR418,βοηθητικό!$J$2:$N$354,3,FALSE))</f>
        <v>_</v>
      </c>
      <c r="BT418" s="44"/>
      <c r="BU418" s="45" t="s">
        <v>16</v>
      </c>
      <c r="BV418" s="46" t="str">
        <f>IF(VLOOKUP(BU418,βοηθητικό!$J$2:$N$354,3,FALSE)="","",VLOOKUP(BU418,βοηθητικό!$J$2:$N$354,3,FALSE))</f>
        <v>_</v>
      </c>
      <c r="BW418" s="47"/>
      <c r="BX418" s="42" t="s">
        <v>16</v>
      </c>
      <c r="BY418" s="43" t="str">
        <f>IF(VLOOKUP(BX418,βοηθητικό!$J$2:$N$354,3,FALSE)="","",VLOOKUP(BX418,βοηθητικό!$J$2:$N$354,3,FALSE))</f>
        <v>_</v>
      </c>
      <c r="BZ418" s="44"/>
      <c r="CA418" s="45" t="s">
        <v>16</v>
      </c>
      <c r="CB418" s="46" t="str">
        <f>IF(VLOOKUP(CA418,βοηθητικό!$J$2:$N$354,3,FALSE)="","",VLOOKUP(CA418,βοηθητικό!$J$2:$N$354,3,FALSE))</f>
        <v>_</v>
      </c>
      <c r="CC418" s="47"/>
      <c r="CD418" s="42" t="s">
        <v>16</v>
      </c>
      <c r="CE418" s="43" t="str">
        <f>IF(VLOOKUP(CD418,βοηθητικό!$J$2:$N$354,3,FALSE)="","",VLOOKUP(CD418,βοηθητικό!$J$2:$N$354,3,FALSE))</f>
        <v>_</v>
      </c>
      <c r="CF418" s="44"/>
      <c r="CG418" s="45" t="s">
        <v>16</v>
      </c>
      <c r="CH418" s="46" t="str">
        <f>IF(VLOOKUP(CG418,βοηθητικό!$J$2:$N$354,3,FALSE)="","",VLOOKUP(CG418,βοηθητικό!$J$2:$N$354,3,FALSE))</f>
        <v>_</v>
      </c>
      <c r="CI418" s="47"/>
      <c r="CJ418" s="42" t="s">
        <v>16</v>
      </c>
      <c r="CK418" s="43" t="str">
        <f>IF(VLOOKUP(CJ418,βοηθητικό!$J$2:$N$354,3,FALSE)="","",VLOOKUP(CJ418,βοηθητικό!$J$2:$N$354,3,FALSE))</f>
        <v>_</v>
      </c>
      <c r="CL418" s="44"/>
      <c r="CM418" s="45" t="s">
        <v>16</v>
      </c>
      <c r="CN418" s="46" t="str">
        <f>IF(VLOOKUP(CM418,βοηθητικό!$J$2:$N$354,3,FALSE)="","",VLOOKUP(CM418,βοηθητικό!$J$2:$N$354,3,FALSE))</f>
        <v>_</v>
      </c>
      <c r="CO418" s="47"/>
      <c r="CP418" s="42" t="s">
        <v>16</v>
      </c>
      <c r="CQ418" s="43" t="str">
        <f>IF(VLOOKUP(CP418,βοηθητικό!$J$2:$N$354,3,FALSE)="","",VLOOKUP(CP418,βοηθητικό!$J$2:$N$354,3,FALSE))</f>
        <v>_</v>
      </c>
      <c r="CR418" s="44"/>
      <c r="CS418" s="45" t="s">
        <v>16</v>
      </c>
      <c r="CT418" s="46" t="str">
        <f>IF(VLOOKUP(CS418,βοηθητικό!$J$2:$N$354,3,FALSE)="","",VLOOKUP(CS418,βοηθητικό!$J$2:$N$354,3,FALSE))</f>
        <v>_</v>
      </c>
      <c r="CU418" s="47"/>
    </row>
    <row r="419" spans="1:99" x14ac:dyDescent="0.25">
      <c r="A419" s="37">
        <f>--SUBTOTAL(3,$B$3:B418)</f>
        <v>198</v>
      </c>
      <c r="B419" s="2"/>
      <c r="C419" s="3"/>
      <c r="D419" s="55" t="s">
        <v>18</v>
      </c>
      <c r="E419" s="38" t="s">
        <v>16</v>
      </c>
      <c r="F419" s="38" t="s">
        <v>16</v>
      </c>
      <c r="G419" s="39" t="str">
        <f t="shared" si="20"/>
        <v>__</v>
      </c>
      <c r="H419" s="40" t="str">
        <f t="shared" si="21"/>
        <v>FALSE</v>
      </c>
      <c r="I419" s="41">
        <f t="shared" si="22"/>
        <v>0</v>
      </c>
      <c r="J419" s="4" t="s">
        <v>16</v>
      </c>
      <c r="K419" s="43" t="str">
        <f>IF(VLOOKUP(J419,βοηθητικό!$J$2:$N$354,3,FALSE)="","",VLOOKUP(J419,βοηθητικό!$J$2:$N$354,3,FALSE))</f>
        <v>_</v>
      </c>
      <c r="L419" s="44"/>
      <c r="M419" s="5" t="s">
        <v>16</v>
      </c>
      <c r="N419" s="46" t="str">
        <f>IF(VLOOKUP(M419,βοηθητικό!$J$2:$N$354,3,FALSE)="","",VLOOKUP(M419,βοηθητικό!$J$2:$N$354,3,FALSE))</f>
        <v>_</v>
      </c>
      <c r="O419" s="47"/>
      <c r="P419" s="4" t="s">
        <v>16</v>
      </c>
      <c r="Q419" s="43" t="str">
        <f>IF(VLOOKUP(P419,βοηθητικό!$J$2:$N$354,3,FALSE)="","",VLOOKUP(P419,βοηθητικό!$J$2:$N$354,3,FALSE))</f>
        <v>_</v>
      </c>
      <c r="R419" s="44"/>
      <c r="S419" s="5" t="s">
        <v>16</v>
      </c>
      <c r="T419" s="46" t="str">
        <f>IF(VLOOKUP(S419,βοηθητικό!$J$2:$N$354,3,FALSE)="","",VLOOKUP(S419,βοηθητικό!$J$2:$N$354,3,FALSE))</f>
        <v>_</v>
      </c>
      <c r="U419" s="47"/>
      <c r="V419" s="4" t="s">
        <v>16</v>
      </c>
      <c r="W419" s="43" t="str">
        <f>IF(VLOOKUP(V419,βοηθητικό!$J$2:$N$354,3,FALSE)="","",VLOOKUP(V419,βοηθητικό!$J$2:$N$354,3,FALSE))</f>
        <v>_</v>
      </c>
      <c r="X419" s="44"/>
      <c r="Y419" s="5" t="s">
        <v>16</v>
      </c>
      <c r="Z419" s="46" t="str">
        <f>IF(VLOOKUP(Y419,βοηθητικό!$J$2:$N$354,3,FALSE)="","",VLOOKUP(Y419,βοηθητικό!$J$2:$N$354,3,FALSE))</f>
        <v>_</v>
      </c>
      <c r="AA419" s="47"/>
      <c r="AB419" s="4" t="s">
        <v>16</v>
      </c>
      <c r="AC419" s="43" t="str">
        <f>IF(VLOOKUP(AB419,βοηθητικό!$J$2:$N$354,3,FALSE)="","",VLOOKUP(AB419,βοηθητικό!$J$2:$N$354,3,FALSE))</f>
        <v>_</v>
      </c>
      <c r="AD419" s="44"/>
      <c r="AE419" s="5" t="s">
        <v>16</v>
      </c>
      <c r="AF419" s="46" t="str">
        <f>IF(VLOOKUP(AE419,βοηθητικό!$J$2:$N$354,3,FALSE)="","",VLOOKUP(AE419,βοηθητικό!$J$2:$N$354,3,FALSE))</f>
        <v>_</v>
      </c>
      <c r="AG419" s="47"/>
      <c r="AH419" s="4" t="s">
        <v>16</v>
      </c>
      <c r="AI419" s="43" t="str">
        <f>IF(VLOOKUP(AH419,βοηθητικό!$J$2:$N$354,3,FALSE)="","",VLOOKUP(AH419,βοηθητικό!$J$2:$N$354,3,FALSE))</f>
        <v>_</v>
      </c>
      <c r="AJ419" s="44"/>
      <c r="AK419" s="5" t="s">
        <v>16</v>
      </c>
      <c r="AL419" s="46" t="str">
        <f>IF(VLOOKUP(AK419,βοηθητικό!$J$2:$N$354,3,FALSE)="","",VLOOKUP(AK419,βοηθητικό!$J$2:$N$354,3,FALSE))</f>
        <v>_</v>
      </c>
      <c r="AM419" s="47"/>
      <c r="AN419" s="4" t="s">
        <v>16</v>
      </c>
      <c r="AO419" s="43" t="str">
        <f>IF(VLOOKUP(AN419,βοηθητικό!$J$2:$N$354,3,FALSE)="","",VLOOKUP(AN419,βοηθητικό!$J$2:$N$354,3,FALSE))</f>
        <v>_</v>
      </c>
      <c r="AP419" s="44"/>
      <c r="AQ419" s="5" t="s">
        <v>16</v>
      </c>
      <c r="AR419" s="46" t="str">
        <f>IF(VLOOKUP(AQ419,βοηθητικό!$J$2:$N$354,3,FALSE)="","",VLOOKUP(AQ419,βοηθητικό!$J$2:$N$354,3,FALSE))</f>
        <v>_</v>
      </c>
      <c r="AS419" s="47"/>
      <c r="AT419" s="4" t="s">
        <v>16</v>
      </c>
      <c r="AU419" s="43" t="str">
        <f>IF(VLOOKUP(AT419,βοηθητικό!$J$2:$N$354,3,FALSE)="","",VLOOKUP(AT419,βοηθητικό!$J$2:$N$354,3,FALSE))</f>
        <v>_</v>
      </c>
      <c r="AV419" s="44"/>
      <c r="AW419" s="5" t="s">
        <v>16</v>
      </c>
      <c r="AX419" s="46" t="str">
        <f>IF(VLOOKUP(AW419,βοηθητικό!$J$2:$N$354,3,FALSE)="","",VLOOKUP(AW419,βοηθητικό!$J$2:$N$354,3,FALSE))</f>
        <v>_</v>
      </c>
      <c r="AY419" s="47"/>
      <c r="AZ419" s="4" t="s">
        <v>16</v>
      </c>
      <c r="BA419" s="43" t="str">
        <f>IF(VLOOKUP(AZ419,βοηθητικό!$J$2:$N$354,3,FALSE)="","",VLOOKUP(AZ419,βοηθητικό!$J$2:$N$354,3,FALSE))</f>
        <v>_</v>
      </c>
      <c r="BB419" s="44"/>
      <c r="BC419" s="45" t="s">
        <v>16</v>
      </c>
      <c r="BD419" s="46" t="str">
        <f>IF(VLOOKUP(BC419,βοηθητικό!$J$2:$N$354,3,FALSE)="","",VLOOKUP(BC419,βοηθητικό!$J$2:$N$354,3,FALSE))</f>
        <v>_</v>
      </c>
      <c r="BE419" s="47"/>
      <c r="BF419" s="42" t="s">
        <v>16</v>
      </c>
      <c r="BG419" s="43" t="str">
        <f>IF(VLOOKUP(BF419,βοηθητικό!$J$2:$N$354,3,FALSE)="","",VLOOKUP(BF419,βοηθητικό!$J$2:$N$354,3,FALSE))</f>
        <v>_</v>
      </c>
      <c r="BH419" s="44"/>
      <c r="BI419" s="45" t="s">
        <v>16</v>
      </c>
      <c r="BJ419" s="46" t="str">
        <f>IF(VLOOKUP(BI419,βοηθητικό!$J$2:$N$354,3,FALSE)="","",VLOOKUP(BI419,βοηθητικό!$J$2:$N$354,3,FALSE))</f>
        <v>_</v>
      </c>
      <c r="BK419" s="47"/>
      <c r="BL419" s="42" t="s">
        <v>16</v>
      </c>
      <c r="BM419" s="43" t="str">
        <f>IF(VLOOKUP(BL419,βοηθητικό!$J$2:$N$354,3,FALSE)="","",VLOOKUP(BL419,βοηθητικό!$J$2:$N$354,3,FALSE))</f>
        <v>_</v>
      </c>
      <c r="BN419" s="44"/>
      <c r="BO419" s="45" t="s">
        <v>16</v>
      </c>
      <c r="BP419" s="46" t="str">
        <f>IF(VLOOKUP(BO419,βοηθητικό!$J$2:$N$354,3,FALSE)="","",VLOOKUP(BO419,βοηθητικό!$J$2:$N$354,3,FALSE))</f>
        <v>_</v>
      </c>
      <c r="BQ419" s="47"/>
      <c r="BR419" s="42" t="s">
        <v>16</v>
      </c>
      <c r="BS419" s="43" t="str">
        <f>IF(VLOOKUP(BR419,βοηθητικό!$J$2:$N$354,3,FALSE)="","",VLOOKUP(BR419,βοηθητικό!$J$2:$N$354,3,FALSE))</f>
        <v>_</v>
      </c>
      <c r="BT419" s="44"/>
      <c r="BU419" s="45" t="s">
        <v>16</v>
      </c>
      <c r="BV419" s="46" t="str">
        <f>IF(VLOOKUP(BU419,βοηθητικό!$J$2:$N$354,3,FALSE)="","",VLOOKUP(BU419,βοηθητικό!$J$2:$N$354,3,FALSE))</f>
        <v>_</v>
      </c>
      <c r="BW419" s="47"/>
      <c r="BX419" s="42" t="s">
        <v>16</v>
      </c>
      <c r="BY419" s="43" t="str">
        <f>IF(VLOOKUP(BX419,βοηθητικό!$J$2:$N$354,3,FALSE)="","",VLOOKUP(BX419,βοηθητικό!$J$2:$N$354,3,FALSE))</f>
        <v>_</v>
      </c>
      <c r="BZ419" s="44"/>
      <c r="CA419" s="45" t="s">
        <v>16</v>
      </c>
      <c r="CB419" s="46" t="str">
        <f>IF(VLOOKUP(CA419,βοηθητικό!$J$2:$N$354,3,FALSE)="","",VLOOKUP(CA419,βοηθητικό!$J$2:$N$354,3,FALSE))</f>
        <v>_</v>
      </c>
      <c r="CC419" s="47"/>
      <c r="CD419" s="42" t="s">
        <v>16</v>
      </c>
      <c r="CE419" s="43" t="str">
        <f>IF(VLOOKUP(CD419,βοηθητικό!$J$2:$N$354,3,FALSE)="","",VLOOKUP(CD419,βοηθητικό!$J$2:$N$354,3,FALSE))</f>
        <v>_</v>
      </c>
      <c r="CF419" s="44"/>
      <c r="CG419" s="45" t="s">
        <v>16</v>
      </c>
      <c r="CH419" s="46" t="str">
        <f>IF(VLOOKUP(CG419,βοηθητικό!$J$2:$N$354,3,FALSE)="","",VLOOKUP(CG419,βοηθητικό!$J$2:$N$354,3,FALSE))</f>
        <v>_</v>
      </c>
      <c r="CI419" s="47"/>
      <c r="CJ419" s="42" t="s">
        <v>16</v>
      </c>
      <c r="CK419" s="43" t="str">
        <f>IF(VLOOKUP(CJ419,βοηθητικό!$J$2:$N$354,3,FALSE)="","",VLOOKUP(CJ419,βοηθητικό!$J$2:$N$354,3,FALSE))</f>
        <v>_</v>
      </c>
      <c r="CL419" s="44"/>
      <c r="CM419" s="45" t="s">
        <v>16</v>
      </c>
      <c r="CN419" s="46" t="str">
        <f>IF(VLOOKUP(CM419,βοηθητικό!$J$2:$N$354,3,FALSE)="","",VLOOKUP(CM419,βοηθητικό!$J$2:$N$354,3,FALSE))</f>
        <v>_</v>
      </c>
      <c r="CO419" s="47"/>
      <c r="CP419" s="42" t="s">
        <v>16</v>
      </c>
      <c r="CQ419" s="43" t="str">
        <f>IF(VLOOKUP(CP419,βοηθητικό!$J$2:$N$354,3,FALSE)="","",VLOOKUP(CP419,βοηθητικό!$J$2:$N$354,3,FALSE))</f>
        <v>_</v>
      </c>
      <c r="CR419" s="44"/>
      <c r="CS419" s="45" t="s">
        <v>16</v>
      </c>
      <c r="CT419" s="46" t="str">
        <f>IF(VLOOKUP(CS419,βοηθητικό!$J$2:$N$354,3,FALSE)="","",VLOOKUP(CS419,βοηθητικό!$J$2:$N$354,3,FALSE))</f>
        <v>_</v>
      </c>
      <c r="CU419" s="47"/>
    </row>
    <row r="420" spans="1:99" x14ac:dyDescent="0.25">
      <c r="A420" s="37">
        <f>--SUBTOTAL(3,$B$3:B419)</f>
        <v>198</v>
      </c>
      <c r="B420" s="2"/>
      <c r="C420" s="3"/>
      <c r="D420" s="55" t="s">
        <v>18</v>
      </c>
      <c r="E420" s="38" t="s">
        <v>16</v>
      </c>
      <c r="F420" s="38" t="s">
        <v>16</v>
      </c>
      <c r="G420" s="39" t="str">
        <f t="shared" si="20"/>
        <v>__</v>
      </c>
      <c r="H420" s="40" t="str">
        <f t="shared" si="21"/>
        <v>FALSE</v>
      </c>
      <c r="I420" s="41">
        <f t="shared" si="22"/>
        <v>0</v>
      </c>
      <c r="J420" s="4" t="s">
        <v>16</v>
      </c>
      <c r="K420" s="43" t="str">
        <f>IF(VLOOKUP(J420,βοηθητικό!$J$2:$N$354,3,FALSE)="","",VLOOKUP(J420,βοηθητικό!$J$2:$N$354,3,FALSE))</f>
        <v>_</v>
      </c>
      <c r="L420" s="44"/>
      <c r="M420" s="5" t="s">
        <v>16</v>
      </c>
      <c r="N420" s="46" t="str">
        <f>IF(VLOOKUP(M420,βοηθητικό!$J$2:$N$354,3,FALSE)="","",VLOOKUP(M420,βοηθητικό!$J$2:$N$354,3,FALSE))</f>
        <v>_</v>
      </c>
      <c r="O420" s="47"/>
      <c r="P420" s="4" t="s">
        <v>16</v>
      </c>
      <c r="Q420" s="43" t="str">
        <f>IF(VLOOKUP(P420,βοηθητικό!$J$2:$N$354,3,FALSE)="","",VLOOKUP(P420,βοηθητικό!$J$2:$N$354,3,FALSE))</f>
        <v>_</v>
      </c>
      <c r="R420" s="44"/>
      <c r="S420" s="5" t="s">
        <v>16</v>
      </c>
      <c r="T420" s="46" t="str">
        <f>IF(VLOOKUP(S420,βοηθητικό!$J$2:$N$354,3,FALSE)="","",VLOOKUP(S420,βοηθητικό!$J$2:$N$354,3,FALSE))</f>
        <v>_</v>
      </c>
      <c r="U420" s="47"/>
      <c r="V420" s="4" t="s">
        <v>16</v>
      </c>
      <c r="W420" s="43" t="str">
        <f>IF(VLOOKUP(V420,βοηθητικό!$J$2:$N$354,3,FALSE)="","",VLOOKUP(V420,βοηθητικό!$J$2:$N$354,3,FALSE))</f>
        <v>_</v>
      </c>
      <c r="X420" s="44"/>
      <c r="Y420" s="5" t="s">
        <v>16</v>
      </c>
      <c r="Z420" s="46" t="str">
        <f>IF(VLOOKUP(Y420,βοηθητικό!$J$2:$N$354,3,FALSE)="","",VLOOKUP(Y420,βοηθητικό!$J$2:$N$354,3,FALSE))</f>
        <v>_</v>
      </c>
      <c r="AA420" s="47"/>
      <c r="AB420" s="4" t="s">
        <v>16</v>
      </c>
      <c r="AC420" s="43" t="str">
        <f>IF(VLOOKUP(AB420,βοηθητικό!$J$2:$N$354,3,FALSE)="","",VLOOKUP(AB420,βοηθητικό!$J$2:$N$354,3,FALSE))</f>
        <v>_</v>
      </c>
      <c r="AD420" s="44"/>
      <c r="AE420" s="5" t="s">
        <v>16</v>
      </c>
      <c r="AF420" s="46" t="str">
        <f>IF(VLOOKUP(AE420,βοηθητικό!$J$2:$N$354,3,FALSE)="","",VLOOKUP(AE420,βοηθητικό!$J$2:$N$354,3,FALSE))</f>
        <v>_</v>
      </c>
      <c r="AG420" s="47"/>
      <c r="AH420" s="4" t="s">
        <v>16</v>
      </c>
      <c r="AI420" s="43" t="str">
        <f>IF(VLOOKUP(AH420,βοηθητικό!$J$2:$N$354,3,FALSE)="","",VLOOKUP(AH420,βοηθητικό!$J$2:$N$354,3,FALSE))</f>
        <v>_</v>
      </c>
      <c r="AJ420" s="44"/>
      <c r="AK420" s="5" t="s">
        <v>16</v>
      </c>
      <c r="AL420" s="46" t="str">
        <f>IF(VLOOKUP(AK420,βοηθητικό!$J$2:$N$354,3,FALSE)="","",VLOOKUP(AK420,βοηθητικό!$J$2:$N$354,3,FALSE))</f>
        <v>_</v>
      </c>
      <c r="AM420" s="47"/>
      <c r="AN420" s="4" t="s">
        <v>16</v>
      </c>
      <c r="AO420" s="43" t="str">
        <f>IF(VLOOKUP(AN420,βοηθητικό!$J$2:$N$354,3,FALSE)="","",VLOOKUP(AN420,βοηθητικό!$J$2:$N$354,3,FALSE))</f>
        <v>_</v>
      </c>
      <c r="AP420" s="44"/>
      <c r="AQ420" s="5" t="s">
        <v>16</v>
      </c>
      <c r="AR420" s="46" t="str">
        <f>IF(VLOOKUP(AQ420,βοηθητικό!$J$2:$N$354,3,FALSE)="","",VLOOKUP(AQ420,βοηθητικό!$J$2:$N$354,3,FALSE))</f>
        <v>_</v>
      </c>
      <c r="AS420" s="47"/>
      <c r="AT420" s="4" t="s">
        <v>16</v>
      </c>
      <c r="AU420" s="43" t="str">
        <f>IF(VLOOKUP(AT420,βοηθητικό!$J$2:$N$354,3,FALSE)="","",VLOOKUP(AT420,βοηθητικό!$J$2:$N$354,3,FALSE))</f>
        <v>_</v>
      </c>
      <c r="AV420" s="44"/>
      <c r="AW420" s="5" t="s">
        <v>16</v>
      </c>
      <c r="AX420" s="46" t="str">
        <f>IF(VLOOKUP(AW420,βοηθητικό!$J$2:$N$354,3,FALSE)="","",VLOOKUP(AW420,βοηθητικό!$J$2:$N$354,3,FALSE))</f>
        <v>_</v>
      </c>
      <c r="AY420" s="47"/>
      <c r="AZ420" s="4" t="s">
        <v>16</v>
      </c>
      <c r="BA420" s="43" t="str">
        <f>IF(VLOOKUP(AZ420,βοηθητικό!$J$2:$N$354,3,FALSE)="","",VLOOKUP(AZ420,βοηθητικό!$J$2:$N$354,3,FALSE))</f>
        <v>_</v>
      </c>
      <c r="BB420" s="44"/>
      <c r="BC420" s="45" t="s">
        <v>16</v>
      </c>
      <c r="BD420" s="46" t="str">
        <f>IF(VLOOKUP(BC420,βοηθητικό!$J$2:$N$354,3,FALSE)="","",VLOOKUP(BC420,βοηθητικό!$J$2:$N$354,3,FALSE))</f>
        <v>_</v>
      </c>
      <c r="BE420" s="47"/>
      <c r="BF420" s="42" t="s">
        <v>16</v>
      </c>
      <c r="BG420" s="43" t="str">
        <f>IF(VLOOKUP(BF420,βοηθητικό!$J$2:$N$354,3,FALSE)="","",VLOOKUP(BF420,βοηθητικό!$J$2:$N$354,3,FALSE))</f>
        <v>_</v>
      </c>
      <c r="BH420" s="44"/>
      <c r="BI420" s="45" t="s">
        <v>16</v>
      </c>
      <c r="BJ420" s="46" t="str">
        <f>IF(VLOOKUP(BI420,βοηθητικό!$J$2:$N$354,3,FALSE)="","",VLOOKUP(BI420,βοηθητικό!$J$2:$N$354,3,FALSE))</f>
        <v>_</v>
      </c>
      <c r="BK420" s="47"/>
      <c r="BL420" s="42" t="s">
        <v>16</v>
      </c>
      <c r="BM420" s="43" t="str">
        <f>IF(VLOOKUP(BL420,βοηθητικό!$J$2:$N$354,3,FALSE)="","",VLOOKUP(BL420,βοηθητικό!$J$2:$N$354,3,FALSE))</f>
        <v>_</v>
      </c>
      <c r="BN420" s="44"/>
      <c r="BO420" s="45" t="s">
        <v>16</v>
      </c>
      <c r="BP420" s="46" t="str">
        <f>IF(VLOOKUP(BO420,βοηθητικό!$J$2:$N$354,3,FALSE)="","",VLOOKUP(BO420,βοηθητικό!$J$2:$N$354,3,FALSE))</f>
        <v>_</v>
      </c>
      <c r="BQ420" s="47"/>
      <c r="BR420" s="42" t="s">
        <v>16</v>
      </c>
      <c r="BS420" s="43" t="str">
        <f>IF(VLOOKUP(BR420,βοηθητικό!$J$2:$N$354,3,FALSE)="","",VLOOKUP(BR420,βοηθητικό!$J$2:$N$354,3,FALSE))</f>
        <v>_</v>
      </c>
      <c r="BT420" s="44"/>
      <c r="BU420" s="45" t="s">
        <v>16</v>
      </c>
      <c r="BV420" s="46" t="str">
        <f>IF(VLOOKUP(BU420,βοηθητικό!$J$2:$N$354,3,FALSE)="","",VLOOKUP(BU420,βοηθητικό!$J$2:$N$354,3,FALSE))</f>
        <v>_</v>
      </c>
      <c r="BW420" s="47"/>
      <c r="BX420" s="42" t="s">
        <v>16</v>
      </c>
      <c r="BY420" s="43" t="str">
        <f>IF(VLOOKUP(BX420,βοηθητικό!$J$2:$N$354,3,FALSE)="","",VLOOKUP(BX420,βοηθητικό!$J$2:$N$354,3,FALSE))</f>
        <v>_</v>
      </c>
      <c r="BZ420" s="44"/>
      <c r="CA420" s="45" t="s">
        <v>16</v>
      </c>
      <c r="CB420" s="46" t="str">
        <f>IF(VLOOKUP(CA420,βοηθητικό!$J$2:$N$354,3,FALSE)="","",VLOOKUP(CA420,βοηθητικό!$J$2:$N$354,3,FALSE))</f>
        <v>_</v>
      </c>
      <c r="CC420" s="47"/>
      <c r="CD420" s="42" t="s">
        <v>16</v>
      </c>
      <c r="CE420" s="43" t="str">
        <f>IF(VLOOKUP(CD420,βοηθητικό!$J$2:$N$354,3,FALSE)="","",VLOOKUP(CD420,βοηθητικό!$J$2:$N$354,3,FALSE))</f>
        <v>_</v>
      </c>
      <c r="CF420" s="44"/>
      <c r="CG420" s="45" t="s">
        <v>16</v>
      </c>
      <c r="CH420" s="46" t="str">
        <f>IF(VLOOKUP(CG420,βοηθητικό!$J$2:$N$354,3,FALSE)="","",VLOOKUP(CG420,βοηθητικό!$J$2:$N$354,3,FALSE))</f>
        <v>_</v>
      </c>
      <c r="CI420" s="47"/>
      <c r="CJ420" s="42" t="s">
        <v>16</v>
      </c>
      <c r="CK420" s="43" t="str">
        <f>IF(VLOOKUP(CJ420,βοηθητικό!$J$2:$N$354,3,FALSE)="","",VLOOKUP(CJ420,βοηθητικό!$J$2:$N$354,3,FALSE))</f>
        <v>_</v>
      </c>
      <c r="CL420" s="44"/>
      <c r="CM420" s="45" t="s">
        <v>16</v>
      </c>
      <c r="CN420" s="46" t="str">
        <f>IF(VLOOKUP(CM420,βοηθητικό!$J$2:$N$354,3,FALSE)="","",VLOOKUP(CM420,βοηθητικό!$J$2:$N$354,3,FALSE))</f>
        <v>_</v>
      </c>
      <c r="CO420" s="47"/>
      <c r="CP420" s="42" t="s">
        <v>16</v>
      </c>
      <c r="CQ420" s="43" t="str">
        <f>IF(VLOOKUP(CP420,βοηθητικό!$J$2:$N$354,3,FALSE)="","",VLOOKUP(CP420,βοηθητικό!$J$2:$N$354,3,FALSE))</f>
        <v>_</v>
      </c>
      <c r="CR420" s="44"/>
      <c r="CS420" s="45" t="s">
        <v>16</v>
      </c>
      <c r="CT420" s="46" t="str">
        <f>IF(VLOOKUP(CS420,βοηθητικό!$J$2:$N$354,3,FALSE)="","",VLOOKUP(CS420,βοηθητικό!$J$2:$N$354,3,FALSE))</f>
        <v>_</v>
      </c>
      <c r="CU420" s="47"/>
    </row>
    <row r="421" spans="1:99" x14ac:dyDescent="0.25">
      <c r="A421" s="37">
        <f>--SUBTOTAL(3,$B$3:B420)</f>
        <v>198</v>
      </c>
      <c r="B421" s="2"/>
      <c r="C421" s="3"/>
      <c r="D421" s="55" t="s">
        <v>18</v>
      </c>
      <c r="E421" s="38" t="s">
        <v>16</v>
      </c>
      <c r="F421" s="38" t="s">
        <v>16</v>
      </c>
      <c r="G421" s="39" t="str">
        <f t="shared" si="20"/>
        <v>__</v>
      </c>
      <c r="H421" s="40" t="str">
        <f t="shared" si="21"/>
        <v>FALSE</v>
      </c>
      <c r="I421" s="41">
        <f t="shared" si="22"/>
        <v>0</v>
      </c>
      <c r="J421" s="4" t="s">
        <v>16</v>
      </c>
      <c r="K421" s="43" t="str">
        <f>IF(VLOOKUP(J421,βοηθητικό!$J$2:$N$354,3,FALSE)="","",VLOOKUP(J421,βοηθητικό!$J$2:$N$354,3,FALSE))</f>
        <v>_</v>
      </c>
      <c r="L421" s="44"/>
      <c r="M421" s="5" t="s">
        <v>16</v>
      </c>
      <c r="N421" s="46" t="str">
        <f>IF(VLOOKUP(M421,βοηθητικό!$J$2:$N$354,3,FALSE)="","",VLOOKUP(M421,βοηθητικό!$J$2:$N$354,3,FALSE))</f>
        <v>_</v>
      </c>
      <c r="O421" s="47"/>
      <c r="P421" s="4" t="s">
        <v>16</v>
      </c>
      <c r="Q421" s="43" t="str">
        <f>IF(VLOOKUP(P421,βοηθητικό!$J$2:$N$354,3,FALSE)="","",VLOOKUP(P421,βοηθητικό!$J$2:$N$354,3,FALSE))</f>
        <v>_</v>
      </c>
      <c r="R421" s="44"/>
      <c r="S421" s="5" t="s">
        <v>16</v>
      </c>
      <c r="T421" s="46" t="str">
        <f>IF(VLOOKUP(S421,βοηθητικό!$J$2:$N$354,3,FALSE)="","",VLOOKUP(S421,βοηθητικό!$J$2:$N$354,3,FALSE))</f>
        <v>_</v>
      </c>
      <c r="U421" s="47"/>
      <c r="V421" s="4" t="s">
        <v>16</v>
      </c>
      <c r="W421" s="43" t="str">
        <f>IF(VLOOKUP(V421,βοηθητικό!$J$2:$N$354,3,FALSE)="","",VLOOKUP(V421,βοηθητικό!$J$2:$N$354,3,FALSE))</f>
        <v>_</v>
      </c>
      <c r="X421" s="44"/>
      <c r="Y421" s="5" t="s">
        <v>16</v>
      </c>
      <c r="Z421" s="46" t="str">
        <f>IF(VLOOKUP(Y421,βοηθητικό!$J$2:$N$354,3,FALSE)="","",VLOOKUP(Y421,βοηθητικό!$J$2:$N$354,3,FALSE))</f>
        <v>_</v>
      </c>
      <c r="AA421" s="47"/>
      <c r="AB421" s="4" t="s">
        <v>16</v>
      </c>
      <c r="AC421" s="43" t="str">
        <f>IF(VLOOKUP(AB421,βοηθητικό!$J$2:$N$354,3,FALSE)="","",VLOOKUP(AB421,βοηθητικό!$J$2:$N$354,3,FALSE))</f>
        <v>_</v>
      </c>
      <c r="AD421" s="44"/>
      <c r="AE421" s="5" t="s">
        <v>16</v>
      </c>
      <c r="AF421" s="46" t="str">
        <f>IF(VLOOKUP(AE421,βοηθητικό!$J$2:$N$354,3,FALSE)="","",VLOOKUP(AE421,βοηθητικό!$J$2:$N$354,3,FALSE))</f>
        <v>_</v>
      </c>
      <c r="AG421" s="47"/>
      <c r="AH421" s="4" t="s">
        <v>16</v>
      </c>
      <c r="AI421" s="43" t="str">
        <f>IF(VLOOKUP(AH421,βοηθητικό!$J$2:$N$354,3,FALSE)="","",VLOOKUP(AH421,βοηθητικό!$J$2:$N$354,3,FALSE))</f>
        <v>_</v>
      </c>
      <c r="AJ421" s="44"/>
      <c r="AK421" s="5" t="s">
        <v>16</v>
      </c>
      <c r="AL421" s="46" t="str">
        <f>IF(VLOOKUP(AK421,βοηθητικό!$J$2:$N$354,3,FALSE)="","",VLOOKUP(AK421,βοηθητικό!$J$2:$N$354,3,FALSE))</f>
        <v>_</v>
      </c>
      <c r="AM421" s="47"/>
      <c r="AN421" s="4" t="s">
        <v>16</v>
      </c>
      <c r="AO421" s="43" t="str">
        <f>IF(VLOOKUP(AN421,βοηθητικό!$J$2:$N$354,3,FALSE)="","",VLOOKUP(AN421,βοηθητικό!$J$2:$N$354,3,FALSE))</f>
        <v>_</v>
      </c>
      <c r="AP421" s="44"/>
      <c r="AQ421" s="5" t="s">
        <v>16</v>
      </c>
      <c r="AR421" s="46" t="str">
        <f>IF(VLOOKUP(AQ421,βοηθητικό!$J$2:$N$354,3,FALSE)="","",VLOOKUP(AQ421,βοηθητικό!$J$2:$N$354,3,FALSE))</f>
        <v>_</v>
      </c>
      <c r="AS421" s="47"/>
      <c r="AT421" s="4" t="s">
        <v>16</v>
      </c>
      <c r="AU421" s="43" t="str">
        <f>IF(VLOOKUP(AT421,βοηθητικό!$J$2:$N$354,3,FALSE)="","",VLOOKUP(AT421,βοηθητικό!$J$2:$N$354,3,FALSE))</f>
        <v>_</v>
      </c>
      <c r="AV421" s="44"/>
      <c r="AW421" s="5" t="s">
        <v>16</v>
      </c>
      <c r="AX421" s="46" t="str">
        <f>IF(VLOOKUP(AW421,βοηθητικό!$J$2:$N$354,3,FALSE)="","",VLOOKUP(AW421,βοηθητικό!$J$2:$N$354,3,FALSE))</f>
        <v>_</v>
      </c>
      <c r="AY421" s="47"/>
      <c r="AZ421" s="4" t="s">
        <v>16</v>
      </c>
      <c r="BA421" s="43" t="str">
        <f>IF(VLOOKUP(AZ421,βοηθητικό!$J$2:$N$354,3,FALSE)="","",VLOOKUP(AZ421,βοηθητικό!$J$2:$N$354,3,FALSE))</f>
        <v>_</v>
      </c>
      <c r="BB421" s="44"/>
      <c r="BC421" s="45" t="s">
        <v>16</v>
      </c>
      <c r="BD421" s="46" t="str">
        <f>IF(VLOOKUP(BC421,βοηθητικό!$J$2:$N$354,3,FALSE)="","",VLOOKUP(BC421,βοηθητικό!$J$2:$N$354,3,FALSE))</f>
        <v>_</v>
      </c>
      <c r="BE421" s="47"/>
      <c r="BF421" s="42" t="s">
        <v>16</v>
      </c>
      <c r="BG421" s="43" t="str">
        <f>IF(VLOOKUP(BF421,βοηθητικό!$J$2:$N$354,3,FALSE)="","",VLOOKUP(BF421,βοηθητικό!$J$2:$N$354,3,FALSE))</f>
        <v>_</v>
      </c>
      <c r="BH421" s="44"/>
      <c r="BI421" s="45" t="s">
        <v>16</v>
      </c>
      <c r="BJ421" s="46" t="str">
        <f>IF(VLOOKUP(BI421,βοηθητικό!$J$2:$N$354,3,FALSE)="","",VLOOKUP(BI421,βοηθητικό!$J$2:$N$354,3,FALSE))</f>
        <v>_</v>
      </c>
      <c r="BK421" s="47"/>
      <c r="BL421" s="42" t="s">
        <v>16</v>
      </c>
      <c r="BM421" s="43" t="str">
        <f>IF(VLOOKUP(BL421,βοηθητικό!$J$2:$N$354,3,FALSE)="","",VLOOKUP(BL421,βοηθητικό!$J$2:$N$354,3,FALSE))</f>
        <v>_</v>
      </c>
      <c r="BN421" s="44"/>
      <c r="BO421" s="45" t="s">
        <v>16</v>
      </c>
      <c r="BP421" s="46" t="str">
        <f>IF(VLOOKUP(BO421,βοηθητικό!$J$2:$N$354,3,FALSE)="","",VLOOKUP(BO421,βοηθητικό!$J$2:$N$354,3,FALSE))</f>
        <v>_</v>
      </c>
      <c r="BQ421" s="47"/>
      <c r="BR421" s="42" t="s">
        <v>16</v>
      </c>
      <c r="BS421" s="43" t="str">
        <f>IF(VLOOKUP(BR421,βοηθητικό!$J$2:$N$354,3,FALSE)="","",VLOOKUP(BR421,βοηθητικό!$J$2:$N$354,3,FALSE))</f>
        <v>_</v>
      </c>
      <c r="BT421" s="44"/>
      <c r="BU421" s="45" t="s">
        <v>16</v>
      </c>
      <c r="BV421" s="46" t="str">
        <f>IF(VLOOKUP(BU421,βοηθητικό!$J$2:$N$354,3,FALSE)="","",VLOOKUP(BU421,βοηθητικό!$J$2:$N$354,3,FALSE))</f>
        <v>_</v>
      </c>
      <c r="BW421" s="47"/>
      <c r="BX421" s="42" t="s">
        <v>16</v>
      </c>
      <c r="BY421" s="43" t="str">
        <f>IF(VLOOKUP(BX421,βοηθητικό!$J$2:$N$354,3,FALSE)="","",VLOOKUP(BX421,βοηθητικό!$J$2:$N$354,3,FALSE))</f>
        <v>_</v>
      </c>
      <c r="BZ421" s="44"/>
      <c r="CA421" s="45" t="s">
        <v>16</v>
      </c>
      <c r="CB421" s="46" t="str">
        <f>IF(VLOOKUP(CA421,βοηθητικό!$J$2:$N$354,3,FALSE)="","",VLOOKUP(CA421,βοηθητικό!$J$2:$N$354,3,FALSE))</f>
        <v>_</v>
      </c>
      <c r="CC421" s="47"/>
      <c r="CD421" s="42" t="s">
        <v>16</v>
      </c>
      <c r="CE421" s="43" t="str">
        <f>IF(VLOOKUP(CD421,βοηθητικό!$J$2:$N$354,3,FALSE)="","",VLOOKUP(CD421,βοηθητικό!$J$2:$N$354,3,FALSE))</f>
        <v>_</v>
      </c>
      <c r="CF421" s="44"/>
      <c r="CG421" s="45" t="s">
        <v>16</v>
      </c>
      <c r="CH421" s="46" t="str">
        <f>IF(VLOOKUP(CG421,βοηθητικό!$J$2:$N$354,3,FALSE)="","",VLOOKUP(CG421,βοηθητικό!$J$2:$N$354,3,FALSE))</f>
        <v>_</v>
      </c>
      <c r="CI421" s="47"/>
      <c r="CJ421" s="42" t="s">
        <v>16</v>
      </c>
      <c r="CK421" s="43" t="str">
        <f>IF(VLOOKUP(CJ421,βοηθητικό!$J$2:$N$354,3,FALSE)="","",VLOOKUP(CJ421,βοηθητικό!$J$2:$N$354,3,FALSE))</f>
        <v>_</v>
      </c>
      <c r="CL421" s="44"/>
      <c r="CM421" s="45" t="s">
        <v>16</v>
      </c>
      <c r="CN421" s="46" t="str">
        <f>IF(VLOOKUP(CM421,βοηθητικό!$J$2:$N$354,3,FALSE)="","",VLOOKUP(CM421,βοηθητικό!$J$2:$N$354,3,FALSE))</f>
        <v>_</v>
      </c>
      <c r="CO421" s="47"/>
      <c r="CP421" s="42" t="s">
        <v>16</v>
      </c>
      <c r="CQ421" s="43" t="str">
        <f>IF(VLOOKUP(CP421,βοηθητικό!$J$2:$N$354,3,FALSE)="","",VLOOKUP(CP421,βοηθητικό!$J$2:$N$354,3,FALSE))</f>
        <v>_</v>
      </c>
      <c r="CR421" s="44"/>
      <c r="CS421" s="45" t="s">
        <v>16</v>
      </c>
      <c r="CT421" s="46" t="str">
        <f>IF(VLOOKUP(CS421,βοηθητικό!$J$2:$N$354,3,FALSE)="","",VLOOKUP(CS421,βοηθητικό!$J$2:$N$354,3,FALSE))</f>
        <v>_</v>
      </c>
      <c r="CU421" s="47"/>
    </row>
    <row r="422" spans="1:99" x14ac:dyDescent="0.25">
      <c r="A422" s="37">
        <f>--SUBTOTAL(3,$B$3:B421)</f>
        <v>198</v>
      </c>
      <c r="B422" s="2"/>
      <c r="C422" s="3"/>
      <c r="D422" s="55" t="s">
        <v>18</v>
      </c>
      <c r="E422" s="38" t="s">
        <v>16</v>
      </c>
      <c r="F422" s="38" t="s">
        <v>16</v>
      </c>
      <c r="G422" s="39" t="str">
        <f t="shared" si="20"/>
        <v>__</v>
      </c>
      <c r="H422" s="40" t="str">
        <f t="shared" si="21"/>
        <v>FALSE</v>
      </c>
      <c r="I422" s="41">
        <f t="shared" si="22"/>
        <v>0</v>
      </c>
      <c r="J422" s="4" t="s">
        <v>16</v>
      </c>
      <c r="K422" s="43" t="str">
        <f>IF(VLOOKUP(J422,βοηθητικό!$J$2:$N$354,3,FALSE)="","",VLOOKUP(J422,βοηθητικό!$J$2:$N$354,3,FALSE))</f>
        <v>_</v>
      </c>
      <c r="L422" s="44"/>
      <c r="M422" s="5" t="s">
        <v>16</v>
      </c>
      <c r="N422" s="46" t="str">
        <f>IF(VLOOKUP(M422,βοηθητικό!$J$2:$N$354,3,FALSE)="","",VLOOKUP(M422,βοηθητικό!$J$2:$N$354,3,FALSE))</f>
        <v>_</v>
      </c>
      <c r="O422" s="47"/>
      <c r="P422" s="4" t="s">
        <v>16</v>
      </c>
      <c r="Q422" s="43" t="str">
        <f>IF(VLOOKUP(P422,βοηθητικό!$J$2:$N$354,3,FALSE)="","",VLOOKUP(P422,βοηθητικό!$J$2:$N$354,3,FALSE))</f>
        <v>_</v>
      </c>
      <c r="R422" s="44"/>
      <c r="S422" s="5" t="s">
        <v>16</v>
      </c>
      <c r="T422" s="46" t="str">
        <f>IF(VLOOKUP(S422,βοηθητικό!$J$2:$N$354,3,FALSE)="","",VLOOKUP(S422,βοηθητικό!$J$2:$N$354,3,FALSE))</f>
        <v>_</v>
      </c>
      <c r="U422" s="47"/>
      <c r="V422" s="4" t="s">
        <v>16</v>
      </c>
      <c r="W422" s="43" t="str">
        <f>IF(VLOOKUP(V422,βοηθητικό!$J$2:$N$354,3,FALSE)="","",VLOOKUP(V422,βοηθητικό!$J$2:$N$354,3,FALSE))</f>
        <v>_</v>
      </c>
      <c r="X422" s="44"/>
      <c r="Y422" s="5" t="s">
        <v>16</v>
      </c>
      <c r="Z422" s="46" t="str">
        <f>IF(VLOOKUP(Y422,βοηθητικό!$J$2:$N$354,3,FALSE)="","",VLOOKUP(Y422,βοηθητικό!$J$2:$N$354,3,FALSE))</f>
        <v>_</v>
      </c>
      <c r="AA422" s="47"/>
      <c r="AB422" s="4" t="s">
        <v>16</v>
      </c>
      <c r="AC422" s="43" t="str">
        <f>IF(VLOOKUP(AB422,βοηθητικό!$J$2:$N$354,3,FALSE)="","",VLOOKUP(AB422,βοηθητικό!$J$2:$N$354,3,FALSE))</f>
        <v>_</v>
      </c>
      <c r="AD422" s="44"/>
      <c r="AE422" s="5" t="s">
        <v>16</v>
      </c>
      <c r="AF422" s="46" t="str">
        <f>IF(VLOOKUP(AE422,βοηθητικό!$J$2:$N$354,3,FALSE)="","",VLOOKUP(AE422,βοηθητικό!$J$2:$N$354,3,FALSE))</f>
        <v>_</v>
      </c>
      <c r="AG422" s="47"/>
      <c r="AH422" s="4" t="s">
        <v>16</v>
      </c>
      <c r="AI422" s="43" t="str">
        <f>IF(VLOOKUP(AH422,βοηθητικό!$J$2:$N$354,3,FALSE)="","",VLOOKUP(AH422,βοηθητικό!$J$2:$N$354,3,FALSE))</f>
        <v>_</v>
      </c>
      <c r="AJ422" s="44"/>
      <c r="AK422" s="5" t="s">
        <v>16</v>
      </c>
      <c r="AL422" s="46" t="str">
        <f>IF(VLOOKUP(AK422,βοηθητικό!$J$2:$N$354,3,FALSE)="","",VLOOKUP(AK422,βοηθητικό!$J$2:$N$354,3,FALSE))</f>
        <v>_</v>
      </c>
      <c r="AM422" s="47"/>
      <c r="AN422" s="4" t="s">
        <v>16</v>
      </c>
      <c r="AO422" s="43" t="str">
        <f>IF(VLOOKUP(AN422,βοηθητικό!$J$2:$N$354,3,FALSE)="","",VLOOKUP(AN422,βοηθητικό!$J$2:$N$354,3,FALSE))</f>
        <v>_</v>
      </c>
      <c r="AP422" s="44"/>
      <c r="AQ422" s="5" t="s">
        <v>16</v>
      </c>
      <c r="AR422" s="46" t="str">
        <f>IF(VLOOKUP(AQ422,βοηθητικό!$J$2:$N$354,3,FALSE)="","",VLOOKUP(AQ422,βοηθητικό!$J$2:$N$354,3,FALSE))</f>
        <v>_</v>
      </c>
      <c r="AS422" s="47"/>
      <c r="AT422" s="4" t="s">
        <v>16</v>
      </c>
      <c r="AU422" s="43" t="str">
        <f>IF(VLOOKUP(AT422,βοηθητικό!$J$2:$N$354,3,FALSE)="","",VLOOKUP(AT422,βοηθητικό!$J$2:$N$354,3,FALSE))</f>
        <v>_</v>
      </c>
      <c r="AV422" s="44"/>
      <c r="AW422" s="5" t="s">
        <v>16</v>
      </c>
      <c r="AX422" s="46" t="str">
        <f>IF(VLOOKUP(AW422,βοηθητικό!$J$2:$N$354,3,FALSE)="","",VLOOKUP(AW422,βοηθητικό!$J$2:$N$354,3,FALSE))</f>
        <v>_</v>
      </c>
      <c r="AY422" s="47"/>
      <c r="AZ422" s="4" t="s">
        <v>16</v>
      </c>
      <c r="BA422" s="43" t="str">
        <f>IF(VLOOKUP(AZ422,βοηθητικό!$J$2:$N$354,3,FALSE)="","",VLOOKUP(AZ422,βοηθητικό!$J$2:$N$354,3,FALSE))</f>
        <v>_</v>
      </c>
      <c r="BB422" s="44"/>
      <c r="BC422" s="45" t="s">
        <v>16</v>
      </c>
      <c r="BD422" s="46" t="str">
        <f>IF(VLOOKUP(BC422,βοηθητικό!$J$2:$N$354,3,FALSE)="","",VLOOKUP(BC422,βοηθητικό!$J$2:$N$354,3,FALSE))</f>
        <v>_</v>
      </c>
      <c r="BE422" s="47"/>
      <c r="BF422" s="42" t="s">
        <v>16</v>
      </c>
      <c r="BG422" s="43" t="str">
        <f>IF(VLOOKUP(BF422,βοηθητικό!$J$2:$N$354,3,FALSE)="","",VLOOKUP(BF422,βοηθητικό!$J$2:$N$354,3,FALSE))</f>
        <v>_</v>
      </c>
      <c r="BH422" s="44"/>
      <c r="BI422" s="45" t="s">
        <v>16</v>
      </c>
      <c r="BJ422" s="46" t="str">
        <f>IF(VLOOKUP(BI422,βοηθητικό!$J$2:$N$354,3,FALSE)="","",VLOOKUP(BI422,βοηθητικό!$J$2:$N$354,3,FALSE))</f>
        <v>_</v>
      </c>
      <c r="BK422" s="47"/>
      <c r="BL422" s="42" t="s">
        <v>16</v>
      </c>
      <c r="BM422" s="43" t="str">
        <f>IF(VLOOKUP(BL422,βοηθητικό!$J$2:$N$354,3,FALSE)="","",VLOOKUP(BL422,βοηθητικό!$J$2:$N$354,3,FALSE))</f>
        <v>_</v>
      </c>
      <c r="BN422" s="44"/>
      <c r="BO422" s="45" t="s">
        <v>16</v>
      </c>
      <c r="BP422" s="46" t="str">
        <f>IF(VLOOKUP(BO422,βοηθητικό!$J$2:$N$354,3,FALSE)="","",VLOOKUP(BO422,βοηθητικό!$J$2:$N$354,3,FALSE))</f>
        <v>_</v>
      </c>
      <c r="BQ422" s="47"/>
      <c r="BR422" s="42" t="s">
        <v>16</v>
      </c>
      <c r="BS422" s="43" t="str">
        <f>IF(VLOOKUP(BR422,βοηθητικό!$J$2:$N$354,3,FALSE)="","",VLOOKUP(BR422,βοηθητικό!$J$2:$N$354,3,FALSE))</f>
        <v>_</v>
      </c>
      <c r="BT422" s="44"/>
      <c r="BU422" s="45" t="s">
        <v>16</v>
      </c>
      <c r="BV422" s="46" t="str">
        <f>IF(VLOOKUP(BU422,βοηθητικό!$J$2:$N$354,3,FALSE)="","",VLOOKUP(BU422,βοηθητικό!$J$2:$N$354,3,FALSE))</f>
        <v>_</v>
      </c>
      <c r="BW422" s="47"/>
      <c r="BX422" s="42" t="s">
        <v>16</v>
      </c>
      <c r="BY422" s="43" t="str">
        <f>IF(VLOOKUP(BX422,βοηθητικό!$J$2:$N$354,3,FALSE)="","",VLOOKUP(BX422,βοηθητικό!$J$2:$N$354,3,FALSE))</f>
        <v>_</v>
      </c>
      <c r="BZ422" s="44"/>
      <c r="CA422" s="45" t="s">
        <v>16</v>
      </c>
      <c r="CB422" s="46" t="str">
        <f>IF(VLOOKUP(CA422,βοηθητικό!$J$2:$N$354,3,FALSE)="","",VLOOKUP(CA422,βοηθητικό!$J$2:$N$354,3,FALSE))</f>
        <v>_</v>
      </c>
      <c r="CC422" s="47"/>
      <c r="CD422" s="42" t="s">
        <v>16</v>
      </c>
      <c r="CE422" s="43" t="str">
        <f>IF(VLOOKUP(CD422,βοηθητικό!$J$2:$N$354,3,FALSE)="","",VLOOKUP(CD422,βοηθητικό!$J$2:$N$354,3,FALSE))</f>
        <v>_</v>
      </c>
      <c r="CF422" s="44"/>
      <c r="CG422" s="45" t="s">
        <v>16</v>
      </c>
      <c r="CH422" s="46" t="str">
        <f>IF(VLOOKUP(CG422,βοηθητικό!$J$2:$N$354,3,FALSE)="","",VLOOKUP(CG422,βοηθητικό!$J$2:$N$354,3,FALSE))</f>
        <v>_</v>
      </c>
      <c r="CI422" s="47"/>
      <c r="CJ422" s="42" t="s">
        <v>16</v>
      </c>
      <c r="CK422" s="43" t="str">
        <f>IF(VLOOKUP(CJ422,βοηθητικό!$J$2:$N$354,3,FALSE)="","",VLOOKUP(CJ422,βοηθητικό!$J$2:$N$354,3,FALSE))</f>
        <v>_</v>
      </c>
      <c r="CL422" s="44"/>
      <c r="CM422" s="45" t="s">
        <v>16</v>
      </c>
      <c r="CN422" s="46" t="str">
        <f>IF(VLOOKUP(CM422,βοηθητικό!$J$2:$N$354,3,FALSE)="","",VLOOKUP(CM422,βοηθητικό!$J$2:$N$354,3,FALSE))</f>
        <v>_</v>
      </c>
      <c r="CO422" s="47"/>
      <c r="CP422" s="42" t="s">
        <v>16</v>
      </c>
      <c r="CQ422" s="43" t="str">
        <f>IF(VLOOKUP(CP422,βοηθητικό!$J$2:$N$354,3,FALSE)="","",VLOOKUP(CP422,βοηθητικό!$J$2:$N$354,3,FALSE))</f>
        <v>_</v>
      </c>
      <c r="CR422" s="44"/>
      <c r="CS422" s="45" t="s">
        <v>16</v>
      </c>
      <c r="CT422" s="46" t="str">
        <f>IF(VLOOKUP(CS422,βοηθητικό!$J$2:$N$354,3,FALSE)="","",VLOOKUP(CS422,βοηθητικό!$J$2:$N$354,3,FALSE))</f>
        <v>_</v>
      </c>
      <c r="CU422" s="47"/>
    </row>
    <row r="423" spans="1:99" x14ac:dyDescent="0.25">
      <c r="A423" s="37">
        <f>--SUBTOTAL(3,$B$3:B422)</f>
        <v>198</v>
      </c>
      <c r="B423" s="2"/>
      <c r="C423" s="3"/>
      <c r="D423" s="55" t="s">
        <v>18</v>
      </c>
      <c r="E423" s="38" t="s">
        <v>16</v>
      </c>
      <c r="F423" s="38" t="s">
        <v>16</v>
      </c>
      <c r="G423" s="39" t="str">
        <f t="shared" si="20"/>
        <v>__</v>
      </c>
      <c r="H423" s="40" t="str">
        <f t="shared" si="21"/>
        <v>FALSE</v>
      </c>
      <c r="I423" s="41">
        <f t="shared" si="22"/>
        <v>0</v>
      </c>
      <c r="J423" s="4" t="s">
        <v>16</v>
      </c>
      <c r="K423" s="43" t="str">
        <f>IF(VLOOKUP(J423,βοηθητικό!$J$2:$N$354,3,FALSE)="","",VLOOKUP(J423,βοηθητικό!$J$2:$N$354,3,FALSE))</f>
        <v>_</v>
      </c>
      <c r="L423" s="44"/>
      <c r="M423" s="5" t="s">
        <v>16</v>
      </c>
      <c r="N423" s="46" t="str">
        <f>IF(VLOOKUP(M423,βοηθητικό!$J$2:$N$354,3,FALSE)="","",VLOOKUP(M423,βοηθητικό!$J$2:$N$354,3,FALSE))</f>
        <v>_</v>
      </c>
      <c r="O423" s="47"/>
      <c r="P423" s="4" t="s">
        <v>16</v>
      </c>
      <c r="Q423" s="43" t="str">
        <f>IF(VLOOKUP(P423,βοηθητικό!$J$2:$N$354,3,FALSE)="","",VLOOKUP(P423,βοηθητικό!$J$2:$N$354,3,FALSE))</f>
        <v>_</v>
      </c>
      <c r="R423" s="44"/>
      <c r="S423" s="5" t="s">
        <v>16</v>
      </c>
      <c r="T423" s="46" t="str">
        <f>IF(VLOOKUP(S423,βοηθητικό!$J$2:$N$354,3,FALSE)="","",VLOOKUP(S423,βοηθητικό!$J$2:$N$354,3,FALSE))</f>
        <v>_</v>
      </c>
      <c r="U423" s="47"/>
      <c r="V423" s="4" t="s">
        <v>16</v>
      </c>
      <c r="W423" s="43" t="str">
        <f>IF(VLOOKUP(V423,βοηθητικό!$J$2:$N$354,3,FALSE)="","",VLOOKUP(V423,βοηθητικό!$J$2:$N$354,3,FALSE))</f>
        <v>_</v>
      </c>
      <c r="X423" s="44"/>
      <c r="Y423" s="5" t="s">
        <v>16</v>
      </c>
      <c r="Z423" s="46" t="str">
        <f>IF(VLOOKUP(Y423,βοηθητικό!$J$2:$N$354,3,FALSE)="","",VLOOKUP(Y423,βοηθητικό!$J$2:$N$354,3,FALSE))</f>
        <v>_</v>
      </c>
      <c r="AA423" s="47"/>
      <c r="AB423" s="4" t="s">
        <v>16</v>
      </c>
      <c r="AC423" s="43" t="str">
        <f>IF(VLOOKUP(AB423,βοηθητικό!$J$2:$N$354,3,FALSE)="","",VLOOKUP(AB423,βοηθητικό!$J$2:$N$354,3,FALSE))</f>
        <v>_</v>
      </c>
      <c r="AD423" s="44"/>
      <c r="AE423" s="5" t="s">
        <v>16</v>
      </c>
      <c r="AF423" s="46" t="str">
        <f>IF(VLOOKUP(AE423,βοηθητικό!$J$2:$N$354,3,FALSE)="","",VLOOKUP(AE423,βοηθητικό!$J$2:$N$354,3,FALSE))</f>
        <v>_</v>
      </c>
      <c r="AG423" s="47"/>
      <c r="AH423" s="4" t="s">
        <v>16</v>
      </c>
      <c r="AI423" s="43" t="str">
        <f>IF(VLOOKUP(AH423,βοηθητικό!$J$2:$N$354,3,FALSE)="","",VLOOKUP(AH423,βοηθητικό!$J$2:$N$354,3,FALSE))</f>
        <v>_</v>
      </c>
      <c r="AJ423" s="44"/>
      <c r="AK423" s="5" t="s">
        <v>16</v>
      </c>
      <c r="AL423" s="46" t="str">
        <f>IF(VLOOKUP(AK423,βοηθητικό!$J$2:$N$354,3,FALSE)="","",VLOOKUP(AK423,βοηθητικό!$J$2:$N$354,3,FALSE))</f>
        <v>_</v>
      </c>
      <c r="AM423" s="47"/>
      <c r="AN423" s="4" t="s">
        <v>16</v>
      </c>
      <c r="AO423" s="43" t="str">
        <f>IF(VLOOKUP(AN423,βοηθητικό!$J$2:$N$354,3,FALSE)="","",VLOOKUP(AN423,βοηθητικό!$J$2:$N$354,3,FALSE))</f>
        <v>_</v>
      </c>
      <c r="AP423" s="44"/>
      <c r="AQ423" s="5" t="s">
        <v>16</v>
      </c>
      <c r="AR423" s="46" t="str">
        <f>IF(VLOOKUP(AQ423,βοηθητικό!$J$2:$N$354,3,FALSE)="","",VLOOKUP(AQ423,βοηθητικό!$J$2:$N$354,3,FALSE))</f>
        <v>_</v>
      </c>
      <c r="AS423" s="47"/>
      <c r="AT423" s="4" t="s">
        <v>16</v>
      </c>
      <c r="AU423" s="43" t="str">
        <f>IF(VLOOKUP(AT423,βοηθητικό!$J$2:$N$354,3,FALSE)="","",VLOOKUP(AT423,βοηθητικό!$J$2:$N$354,3,FALSE))</f>
        <v>_</v>
      </c>
      <c r="AV423" s="44"/>
      <c r="AW423" s="5" t="s">
        <v>16</v>
      </c>
      <c r="AX423" s="46" t="str">
        <f>IF(VLOOKUP(AW423,βοηθητικό!$J$2:$N$354,3,FALSE)="","",VLOOKUP(AW423,βοηθητικό!$J$2:$N$354,3,FALSE))</f>
        <v>_</v>
      </c>
      <c r="AY423" s="47"/>
      <c r="AZ423" s="4" t="s">
        <v>16</v>
      </c>
      <c r="BA423" s="43" t="str">
        <f>IF(VLOOKUP(AZ423,βοηθητικό!$J$2:$N$354,3,FALSE)="","",VLOOKUP(AZ423,βοηθητικό!$J$2:$N$354,3,FALSE))</f>
        <v>_</v>
      </c>
      <c r="BB423" s="44"/>
      <c r="BC423" s="45" t="s">
        <v>16</v>
      </c>
      <c r="BD423" s="46" t="str">
        <f>IF(VLOOKUP(BC423,βοηθητικό!$J$2:$N$354,3,FALSE)="","",VLOOKUP(BC423,βοηθητικό!$J$2:$N$354,3,FALSE))</f>
        <v>_</v>
      </c>
      <c r="BE423" s="47"/>
      <c r="BF423" s="42" t="s">
        <v>16</v>
      </c>
      <c r="BG423" s="43" t="str">
        <f>IF(VLOOKUP(BF423,βοηθητικό!$J$2:$N$354,3,FALSE)="","",VLOOKUP(BF423,βοηθητικό!$J$2:$N$354,3,FALSE))</f>
        <v>_</v>
      </c>
      <c r="BH423" s="44"/>
      <c r="BI423" s="45" t="s">
        <v>16</v>
      </c>
      <c r="BJ423" s="46" t="str">
        <f>IF(VLOOKUP(BI423,βοηθητικό!$J$2:$N$354,3,FALSE)="","",VLOOKUP(BI423,βοηθητικό!$J$2:$N$354,3,FALSE))</f>
        <v>_</v>
      </c>
      <c r="BK423" s="47"/>
      <c r="BL423" s="42" t="s">
        <v>16</v>
      </c>
      <c r="BM423" s="43" t="str">
        <f>IF(VLOOKUP(BL423,βοηθητικό!$J$2:$N$354,3,FALSE)="","",VLOOKUP(BL423,βοηθητικό!$J$2:$N$354,3,FALSE))</f>
        <v>_</v>
      </c>
      <c r="BN423" s="44"/>
      <c r="BO423" s="45" t="s">
        <v>16</v>
      </c>
      <c r="BP423" s="46" t="str">
        <f>IF(VLOOKUP(BO423,βοηθητικό!$J$2:$N$354,3,FALSE)="","",VLOOKUP(BO423,βοηθητικό!$J$2:$N$354,3,FALSE))</f>
        <v>_</v>
      </c>
      <c r="BQ423" s="47"/>
      <c r="BR423" s="42" t="s">
        <v>16</v>
      </c>
      <c r="BS423" s="43" t="str">
        <f>IF(VLOOKUP(BR423,βοηθητικό!$J$2:$N$354,3,FALSE)="","",VLOOKUP(BR423,βοηθητικό!$J$2:$N$354,3,FALSE))</f>
        <v>_</v>
      </c>
      <c r="BT423" s="44"/>
      <c r="BU423" s="45" t="s">
        <v>16</v>
      </c>
      <c r="BV423" s="46" t="str">
        <f>IF(VLOOKUP(BU423,βοηθητικό!$J$2:$N$354,3,FALSE)="","",VLOOKUP(BU423,βοηθητικό!$J$2:$N$354,3,FALSE))</f>
        <v>_</v>
      </c>
      <c r="BW423" s="47"/>
      <c r="BX423" s="42" t="s">
        <v>16</v>
      </c>
      <c r="BY423" s="43" t="str">
        <f>IF(VLOOKUP(BX423,βοηθητικό!$J$2:$N$354,3,FALSE)="","",VLOOKUP(BX423,βοηθητικό!$J$2:$N$354,3,FALSE))</f>
        <v>_</v>
      </c>
      <c r="BZ423" s="44"/>
      <c r="CA423" s="45" t="s">
        <v>16</v>
      </c>
      <c r="CB423" s="46" t="str">
        <f>IF(VLOOKUP(CA423,βοηθητικό!$J$2:$N$354,3,FALSE)="","",VLOOKUP(CA423,βοηθητικό!$J$2:$N$354,3,FALSE))</f>
        <v>_</v>
      </c>
      <c r="CC423" s="47"/>
      <c r="CD423" s="42" t="s">
        <v>16</v>
      </c>
      <c r="CE423" s="43" t="str">
        <f>IF(VLOOKUP(CD423,βοηθητικό!$J$2:$N$354,3,FALSE)="","",VLOOKUP(CD423,βοηθητικό!$J$2:$N$354,3,FALSE))</f>
        <v>_</v>
      </c>
      <c r="CF423" s="44"/>
      <c r="CG423" s="45" t="s">
        <v>16</v>
      </c>
      <c r="CH423" s="46" t="str">
        <f>IF(VLOOKUP(CG423,βοηθητικό!$J$2:$N$354,3,FALSE)="","",VLOOKUP(CG423,βοηθητικό!$J$2:$N$354,3,FALSE))</f>
        <v>_</v>
      </c>
      <c r="CI423" s="47"/>
      <c r="CJ423" s="42" t="s">
        <v>16</v>
      </c>
      <c r="CK423" s="43" t="str">
        <f>IF(VLOOKUP(CJ423,βοηθητικό!$J$2:$N$354,3,FALSE)="","",VLOOKUP(CJ423,βοηθητικό!$J$2:$N$354,3,FALSE))</f>
        <v>_</v>
      </c>
      <c r="CL423" s="44"/>
      <c r="CM423" s="45" t="s">
        <v>16</v>
      </c>
      <c r="CN423" s="46" t="str">
        <f>IF(VLOOKUP(CM423,βοηθητικό!$J$2:$N$354,3,FALSE)="","",VLOOKUP(CM423,βοηθητικό!$J$2:$N$354,3,FALSE))</f>
        <v>_</v>
      </c>
      <c r="CO423" s="47"/>
      <c r="CP423" s="42" t="s">
        <v>16</v>
      </c>
      <c r="CQ423" s="43" t="str">
        <f>IF(VLOOKUP(CP423,βοηθητικό!$J$2:$N$354,3,FALSE)="","",VLOOKUP(CP423,βοηθητικό!$J$2:$N$354,3,FALSE))</f>
        <v>_</v>
      </c>
      <c r="CR423" s="44"/>
      <c r="CS423" s="45" t="s">
        <v>16</v>
      </c>
      <c r="CT423" s="46" t="str">
        <f>IF(VLOOKUP(CS423,βοηθητικό!$J$2:$N$354,3,FALSE)="","",VLOOKUP(CS423,βοηθητικό!$J$2:$N$354,3,FALSE))</f>
        <v>_</v>
      </c>
      <c r="CU423" s="47"/>
    </row>
    <row r="424" spans="1:99" x14ac:dyDescent="0.25">
      <c r="A424" s="37">
        <f>--SUBTOTAL(3,$B$3:B423)</f>
        <v>198</v>
      </c>
      <c r="B424" s="2"/>
      <c r="C424" s="3"/>
      <c r="D424" s="55" t="s">
        <v>18</v>
      </c>
      <c r="E424" s="38" t="s">
        <v>16</v>
      </c>
      <c r="F424" s="38" t="s">
        <v>16</v>
      </c>
      <c r="G424" s="39" t="str">
        <f t="shared" si="20"/>
        <v>__</v>
      </c>
      <c r="H424" s="40" t="str">
        <f t="shared" si="21"/>
        <v>FALSE</v>
      </c>
      <c r="I424" s="41">
        <f t="shared" si="22"/>
        <v>0</v>
      </c>
      <c r="J424" s="4" t="s">
        <v>16</v>
      </c>
      <c r="K424" s="43" t="str">
        <f>IF(VLOOKUP(J424,βοηθητικό!$J$2:$N$354,3,FALSE)="","",VLOOKUP(J424,βοηθητικό!$J$2:$N$354,3,FALSE))</f>
        <v>_</v>
      </c>
      <c r="L424" s="44"/>
      <c r="M424" s="5" t="s">
        <v>16</v>
      </c>
      <c r="N424" s="46" t="str">
        <f>IF(VLOOKUP(M424,βοηθητικό!$J$2:$N$354,3,FALSE)="","",VLOOKUP(M424,βοηθητικό!$J$2:$N$354,3,FALSE))</f>
        <v>_</v>
      </c>
      <c r="O424" s="47"/>
      <c r="P424" s="4" t="s">
        <v>16</v>
      </c>
      <c r="Q424" s="43" t="str">
        <f>IF(VLOOKUP(P424,βοηθητικό!$J$2:$N$354,3,FALSE)="","",VLOOKUP(P424,βοηθητικό!$J$2:$N$354,3,FALSE))</f>
        <v>_</v>
      </c>
      <c r="R424" s="44"/>
      <c r="S424" s="5" t="s">
        <v>16</v>
      </c>
      <c r="T424" s="46" t="str">
        <f>IF(VLOOKUP(S424,βοηθητικό!$J$2:$N$354,3,FALSE)="","",VLOOKUP(S424,βοηθητικό!$J$2:$N$354,3,FALSE))</f>
        <v>_</v>
      </c>
      <c r="U424" s="47"/>
      <c r="V424" s="4" t="s">
        <v>16</v>
      </c>
      <c r="W424" s="43" t="str">
        <f>IF(VLOOKUP(V424,βοηθητικό!$J$2:$N$354,3,FALSE)="","",VLOOKUP(V424,βοηθητικό!$J$2:$N$354,3,FALSE))</f>
        <v>_</v>
      </c>
      <c r="X424" s="44"/>
      <c r="Y424" s="5" t="s">
        <v>16</v>
      </c>
      <c r="Z424" s="46" t="str">
        <f>IF(VLOOKUP(Y424,βοηθητικό!$J$2:$N$354,3,FALSE)="","",VLOOKUP(Y424,βοηθητικό!$J$2:$N$354,3,FALSE))</f>
        <v>_</v>
      </c>
      <c r="AA424" s="47"/>
      <c r="AB424" s="4" t="s">
        <v>16</v>
      </c>
      <c r="AC424" s="43" t="str">
        <f>IF(VLOOKUP(AB424,βοηθητικό!$J$2:$N$354,3,FALSE)="","",VLOOKUP(AB424,βοηθητικό!$J$2:$N$354,3,FALSE))</f>
        <v>_</v>
      </c>
      <c r="AD424" s="44"/>
      <c r="AE424" s="5" t="s">
        <v>16</v>
      </c>
      <c r="AF424" s="46" t="str">
        <f>IF(VLOOKUP(AE424,βοηθητικό!$J$2:$N$354,3,FALSE)="","",VLOOKUP(AE424,βοηθητικό!$J$2:$N$354,3,FALSE))</f>
        <v>_</v>
      </c>
      <c r="AG424" s="47"/>
      <c r="AH424" s="4" t="s">
        <v>16</v>
      </c>
      <c r="AI424" s="43" t="str">
        <f>IF(VLOOKUP(AH424,βοηθητικό!$J$2:$N$354,3,FALSE)="","",VLOOKUP(AH424,βοηθητικό!$J$2:$N$354,3,FALSE))</f>
        <v>_</v>
      </c>
      <c r="AJ424" s="44"/>
      <c r="AK424" s="5" t="s">
        <v>16</v>
      </c>
      <c r="AL424" s="46" t="str">
        <f>IF(VLOOKUP(AK424,βοηθητικό!$J$2:$N$354,3,FALSE)="","",VLOOKUP(AK424,βοηθητικό!$J$2:$N$354,3,FALSE))</f>
        <v>_</v>
      </c>
      <c r="AM424" s="47"/>
      <c r="AN424" s="4" t="s">
        <v>16</v>
      </c>
      <c r="AO424" s="43" t="str">
        <f>IF(VLOOKUP(AN424,βοηθητικό!$J$2:$N$354,3,FALSE)="","",VLOOKUP(AN424,βοηθητικό!$J$2:$N$354,3,FALSE))</f>
        <v>_</v>
      </c>
      <c r="AP424" s="44"/>
      <c r="AQ424" s="5" t="s">
        <v>16</v>
      </c>
      <c r="AR424" s="46" t="str">
        <f>IF(VLOOKUP(AQ424,βοηθητικό!$J$2:$N$354,3,FALSE)="","",VLOOKUP(AQ424,βοηθητικό!$J$2:$N$354,3,FALSE))</f>
        <v>_</v>
      </c>
      <c r="AS424" s="47"/>
      <c r="AT424" s="4" t="s">
        <v>16</v>
      </c>
      <c r="AU424" s="43" t="str">
        <f>IF(VLOOKUP(AT424,βοηθητικό!$J$2:$N$354,3,FALSE)="","",VLOOKUP(AT424,βοηθητικό!$J$2:$N$354,3,FALSE))</f>
        <v>_</v>
      </c>
      <c r="AV424" s="44"/>
      <c r="AW424" s="5" t="s">
        <v>16</v>
      </c>
      <c r="AX424" s="46" t="str">
        <f>IF(VLOOKUP(AW424,βοηθητικό!$J$2:$N$354,3,FALSE)="","",VLOOKUP(AW424,βοηθητικό!$J$2:$N$354,3,FALSE))</f>
        <v>_</v>
      </c>
      <c r="AY424" s="47"/>
      <c r="AZ424" s="4" t="s">
        <v>16</v>
      </c>
      <c r="BA424" s="43" t="str">
        <f>IF(VLOOKUP(AZ424,βοηθητικό!$J$2:$N$354,3,FALSE)="","",VLOOKUP(AZ424,βοηθητικό!$J$2:$N$354,3,FALSE))</f>
        <v>_</v>
      </c>
      <c r="BB424" s="44"/>
      <c r="BC424" s="45" t="s">
        <v>16</v>
      </c>
      <c r="BD424" s="46" t="str">
        <f>IF(VLOOKUP(BC424,βοηθητικό!$J$2:$N$354,3,FALSE)="","",VLOOKUP(BC424,βοηθητικό!$J$2:$N$354,3,FALSE))</f>
        <v>_</v>
      </c>
      <c r="BE424" s="47"/>
      <c r="BF424" s="42" t="s">
        <v>16</v>
      </c>
      <c r="BG424" s="43" t="str">
        <f>IF(VLOOKUP(BF424,βοηθητικό!$J$2:$N$354,3,FALSE)="","",VLOOKUP(BF424,βοηθητικό!$J$2:$N$354,3,FALSE))</f>
        <v>_</v>
      </c>
      <c r="BH424" s="44"/>
      <c r="BI424" s="45" t="s">
        <v>16</v>
      </c>
      <c r="BJ424" s="46" t="str">
        <f>IF(VLOOKUP(BI424,βοηθητικό!$J$2:$N$354,3,FALSE)="","",VLOOKUP(BI424,βοηθητικό!$J$2:$N$354,3,FALSE))</f>
        <v>_</v>
      </c>
      <c r="BK424" s="47"/>
      <c r="BL424" s="42" t="s">
        <v>16</v>
      </c>
      <c r="BM424" s="43" t="str">
        <f>IF(VLOOKUP(BL424,βοηθητικό!$J$2:$N$354,3,FALSE)="","",VLOOKUP(BL424,βοηθητικό!$J$2:$N$354,3,FALSE))</f>
        <v>_</v>
      </c>
      <c r="BN424" s="44"/>
      <c r="BO424" s="45" t="s">
        <v>16</v>
      </c>
      <c r="BP424" s="46" t="str">
        <f>IF(VLOOKUP(BO424,βοηθητικό!$J$2:$N$354,3,FALSE)="","",VLOOKUP(BO424,βοηθητικό!$J$2:$N$354,3,FALSE))</f>
        <v>_</v>
      </c>
      <c r="BQ424" s="47"/>
      <c r="BR424" s="42" t="s">
        <v>16</v>
      </c>
      <c r="BS424" s="43" t="str">
        <f>IF(VLOOKUP(BR424,βοηθητικό!$J$2:$N$354,3,FALSE)="","",VLOOKUP(BR424,βοηθητικό!$J$2:$N$354,3,FALSE))</f>
        <v>_</v>
      </c>
      <c r="BT424" s="44"/>
      <c r="BU424" s="45" t="s">
        <v>16</v>
      </c>
      <c r="BV424" s="46" t="str">
        <f>IF(VLOOKUP(BU424,βοηθητικό!$J$2:$N$354,3,FALSE)="","",VLOOKUP(BU424,βοηθητικό!$J$2:$N$354,3,FALSE))</f>
        <v>_</v>
      </c>
      <c r="BW424" s="47"/>
      <c r="BX424" s="42" t="s">
        <v>16</v>
      </c>
      <c r="BY424" s="43" t="str">
        <f>IF(VLOOKUP(BX424,βοηθητικό!$J$2:$N$354,3,FALSE)="","",VLOOKUP(BX424,βοηθητικό!$J$2:$N$354,3,FALSE))</f>
        <v>_</v>
      </c>
      <c r="BZ424" s="44"/>
      <c r="CA424" s="45" t="s">
        <v>16</v>
      </c>
      <c r="CB424" s="46" t="str">
        <f>IF(VLOOKUP(CA424,βοηθητικό!$J$2:$N$354,3,FALSE)="","",VLOOKUP(CA424,βοηθητικό!$J$2:$N$354,3,FALSE))</f>
        <v>_</v>
      </c>
      <c r="CC424" s="47"/>
      <c r="CD424" s="42" t="s">
        <v>16</v>
      </c>
      <c r="CE424" s="43" t="str">
        <f>IF(VLOOKUP(CD424,βοηθητικό!$J$2:$N$354,3,FALSE)="","",VLOOKUP(CD424,βοηθητικό!$J$2:$N$354,3,FALSE))</f>
        <v>_</v>
      </c>
      <c r="CF424" s="44"/>
      <c r="CG424" s="45" t="s">
        <v>16</v>
      </c>
      <c r="CH424" s="46" t="str">
        <f>IF(VLOOKUP(CG424,βοηθητικό!$J$2:$N$354,3,FALSE)="","",VLOOKUP(CG424,βοηθητικό!$J$2:$N$354,3,FALSE))</f>
        <v>_</v>
      </c>
      <c r="CI424" s="47"/>
      <c r="CJ424" s="42" t="s">
        <v>16</v>
      </c>
      <c r="CK424" s="43" t="str">
        <f>IF(VLOOKUP(CJ424,βοηθητικό!$J$2:$N$354,3,FALSE)="","",VLOOKUP(CJ424,βοηθητικό!$J$2:$N$354,3,FALSE))</f>
        <v>_</v>
      </c>
      <c r="CL424" s="44"/>
      <c r="CM424" s="45" t="s">
        <v>16</v>
      </c>
      <c r="CN424" s="46" t="str">
        <f>IF(VLOOKUP(CM424,βοηθητικό!$J$2:$N$354,3,FALSE)="","",VLOOKUP(CM424,βοηθητικό!$J$2:$N$354,3,FALSE))</f>
        <v>_</v>
      </c>
      <c r="CO424" s="47"/>
      <c r="CP424" s="42" t="s">
        <v>16</v>
      </c>
      <c r="CQ424" s="43" t="str">
        <f>IF(VLOOKUP(CP424,βοηθητικό!$J$2:$N$354,3,FALSE)="","",VLOOKUP(CP424,βοηθητικό!$J$2:$N$354,3,FALSE))</f>
        <v>_</v>
      </c>
      <c r="CR424" s="44"/>
      <c r="CS424" s="45" t="s">
        <v>16</v>
      </c>
      <c r="CT424" s="46" t="str">
        <f>IF(VLOOKUP(CS424,βοηθητικό!$J$2:$N$354,3,FALSE)="","",VLOOKUP(CS424,βοηθητικό!$J$2:$N$354,3,FALSE))</f>
        <v>_</v>
      </c>
      <c r="CU424" s="47"/>
    </row>
    <row r="425" spans="1:99" x14ac:dyDescent="0.25">
      <c r="A425" s="37">
        <f>--SUBTOTAL(3,$B$3:B424)</f>
        <v>198</v>
      </c>
      <c r="B425" s="2"/>
      <c r="C425" s="3"/>
      <c r="D425" s="55" t="s">
        <v>18</v>
      </c>
      <c r="E425" s="38" t="s">
        <v>16</v>
      </c>
      <c r="F425" s="38" t="s">
        <v>16</v>
      </c>
      <c r="G425" s="39" t="str">
        <f t="shared" si="20"/>
        <v>__</v>
      </c>
      <c r="H425" s="40" t="str">
        <f t="shared" si="21"/>
        <v>FALSE</v>
      </c>
      <c r="I425" s="41">
        <f t="shared" si="22"/>
        <v>0</v>
      </c>
      <c r="J425" s="4" t="s">
        <v>16</v>
      </c>
      <c r="K425" s="43" t="str">
        <f>IF(VLOOKUP(J425,βοηθητικό!$J$2:$N$354,3,FALSE)="","",VLOOKUP(J425,βοηθητικό!$J$2:$N$354,3,FALSE))</f>
        <v>_</v>
      </c>
      <c r="L425" s="44"/>
      <c r="M425" s="5" t="s">
        <v>16</v>
      </c>
      <c r="N425" s="46" t="str">
        <f>IF(VLOOKUP(M425,βοηθητικό!$J$2:$N$354,3,FALSE)="","",VLOOKUP(M425,βοηθητικό!$J$2:$N$354,3,FALSE))</f>
        <v>_</v>
      </c>
      <c r="O425" s="47"/>
      <c r="P425" s="4" t="s">
        <v>16</v>
      </c>
      <c r="Q425" s="43" t="str">
        <f>IF(VLOOKUP(P425,βοηθητικό!$J$2:$N$354,3,FALSE)="","",VLOOKUP(P425,βοηθητικό!$J$2:$N$354,3,FALSE))</f>
        <v>_</v>
      </c>
      <c r="R425" s="44"/>
      <c r="S425" s="5" t="s">
        <v>16</v>
      </c>
      <c r="T425" s="46" t="str">
        <f>IF(VLOOKUP(S425,βοηθητικό!$J$2:$N$354,3,FALSE)="","",VLOOKUP(S425,βοηθητικό!$J$2:$N$354,3,FALSE))</f>
        <v>_</v>
      </c>
      <c r="U425" s="47"/>
      <c r="V425" s="4" t="s">
        <v>16</v>
      </c>
      <c r="W425" s="43" t="str">
        <f>IF(VLOOKUP(V425,βοηθητικό!$J$2:$N$354,3,FALSE)="","",VLOOKUP(V425,βοηθητικό!$J$2:$N$354,3,FALSE))</f>
        <v>_</v>
      </c>
      <c r="X425" s="44"/>
      <c r="Y425" s="5" t="s">
        <v>16</v>
      </c>
      <c r="Z425" s="46" t="str">
        <f>IF(VLOOKUP(Y425,βοηθητικό!$J$2:$N$354,3,FALSE)="","",VLOOKUP(Y425,βοηθητικό!$J$2:$N$354,3,FALSE))</f>
        <v>_</v>
      </c>
      <c r="AA425" s="47"/>
      <c r="AB425" s="4" t="s">
        <v>16</v>
      </c>
      <c r="AC425" s="43" t="str">
        <f>IF(VLOOKUP(AB425,βοηθητικό!$J$2:$N$354,3,FALSE)="","",VLOOKUP(AB425,βοηθητικό!$J$2:$N$354,3,FALSE))</f>
        <v>_</v>
      </c>
      <c r="AD425" s="44"/>
      <c r="AE425" s="5" t="s">
        <v>16</v>
      </c>
      <c r="AF425" s="46" t="str">
        <f>IF(VLOOKUP(AE425,βοηθητικό!$J$2:$N$354,3,FALSE)="","",VLOOKUP(AE425,βοηθητικό!$J$2:$N$354,3,FALSE))</f>
        <v>_</v>
      </c>
      <c r="AG425" s="47"/>
      <c r="AH425" s="4" t="s">
        <v>16</v>
      </c>
      <c r="AI425" s="43" t="str">
        <f>IF(VLOOKUP(AH425,βοηθητικό!$J$2:$N$354,3,FALSE)="","",VLOOKUP(AH425,βοηθητικό!$J$2:$N$354,3,FALSE))</f>
        <v>_</v>
      </c>
      <c r="AJ425" s="44"/>
      <c r="AK425" s="5" t="s">
        <v>16</v>
      </c>
      <c r="AL425" s="46" t="str">
        <f>IF(VLOOKUP(AK425,βοηθητικό!$J$2:$N$354,3,FALSE)="","",VLOOKUP(AK425,βοηθητικό!$J$2:$N$354,3,FALSE))</f>
        <v>_</v>
      </c>
      <c r="AM425" s="47"/>
      <c r="AN425" s="4" t="s">
        <v>16</v>
      </c>
      <c r="AO425" s="43" t="str">
        <f>IF(VLOOKUP(AN425,βοηθητικό!$J$2:$N$354,3,FALSE)="","",VLOOKUP(AN425,βοηθητικό!$J$2:$N$354,3,FALSE))</f>
        <v>_</v>
      </c>
      <c r="AP425" s="44"/>
      <c r="AQ425" s="5" t="s">
        <v>16</v>
      </c>
      <c r="AR425" s="46" t="str">
        <f>IF(VLOOKUP(AQ425,βοηθητικό!$J$2:$N$354,3,FALSE)="","",VLOOKUP(AQ425,βοηθητικό!$J$2:$N$354,3,FALSE))</f>
        <v>_</v>
      </c>
      <c r="AS425" s="47"/>
      <c r="AT425" s="4" t="s">
        <v>16</v>
      </c>
      <c r="AU425" s="43" t="str">
        <f>IF(VLOOKUP(AT425,βοηθητικό!$J$2:$N$354,3,FALSE)="","",VLOOKUP(AT425,βοηθητικό!$J$2:$N$354,3,FALSE))</f>
        <v>_</v>
      </c>
      <c r="AV425" s="44"/>
      <c r="AW425" s="5" t="s">
        <v>16</v>
      </c>
      <c r="AX425" s="46" t="str">
        <f>IF(VLOOKUP(AW425,βοηθητικό!$J$2:$N$354,3,FALSE)="","",VLOOKUP(AW425,βοηθητικό!$J$2:$N$354,3,FALSE))</f>
        <v>_</v>
      </c>
      <c r="AY425" s="47"/>
      <c r="AZ425" s="4" t="s">
        <v>16</v>
      </c>
      <c r="BA425" s="43" t="str">
        <f>IF(VLOOKUP(AZ425,βοηθητικό!$J$2:$N$354,3,FALSE)="","",VLOOKUP(AZ425,βοηθητικό!$J$2:$N$354,3,FALSE))</f>
        <v>_</v>
      </c>
      <c r="BB425" s="44"/>
      <c r="BC425" s="45" t="s">
        <v>16</v>
      </c>
      <c r="BD425" s="46" t="str">
        <f>IF(VLOOKUP(BC425,βοηθητικό!$J$2:$N$354,3,FALSE)="","",VLOOKUP(BC425,βοηθητικό!$J$2:$N$354,3,FALSE))</f>
        <v>_</v>
      </c>
      <c r="BE425" s="47"/>
      <c r="BF425" s="42" t="s">
        <v>16</v>
      </c>
      <c r="BG425" s="43" t="str">
        <f>IF(VLOOKUP(BF425,βοηθητικό!$J$2:$N$354,3,FALSE)="","",VLOOKUP(BF425,βοηθητικό!$J$2:$N$354,3,FALSE))</f>
        <v>_</v>
      </c>
      <c r="BH425" s="44"/>
      <c r="BI425" s="45" t="s">
        <v>16</v>
      </c>
      <c r="BJ425" s="46" t="str">
        <f>IF(VLOOKUP(BI425,βοηθητικό!$J$2:$N$354,3,FALSE)="","",VLOOKUP(BI425,βοηθητικό!$J$2:$N$354,3,FALSE))</f>
        <v>_</v>
      </c>
      <c r="BK425" s="47"/>
      <c r="BL425" s="42" t="s">
        <v>16</v>
      </c>
      <c r="BM425" s="43" t="str">
        <f>IF(VLOOKUP(BL425,βοηθητικό!$J$2:$N$354,3,FALSE)="","",VLOOKUP(BL425,βοηθητικό!$J$2:$N$354,3,FALSE))</f>
        <v>_</v>
      </c>
      <c r="BN425" s="44"/>
      <c r="BO425" s="45" t="s">
        <v>16</v>
      </c>
      <c r="BP425" s="46" t="str">
        <f>IF(VLOOKUP(BO425,βοηθητικό!$J$2:$N$354,3,FALSE)="","",VLOOKUP(BO425,βοηθητικό!$J$2:$N$354,3,FALSE))</f>
        <v>_</v>
      </c>
      <c r="BQ425" s="47"/>
      <c r="BR425" s="42" t="s">
        <v>16</v>
      </c>
      <c r="BS425" s="43" t="str">
        <f>IF(VLOOKUP(BR425,βοηθητικό!$J$2:$N$354,3,FALSE)="","",VLOOKUP(BR425,βοηθητικό!$J$2:$N$354,3,FALSE))</f>
        <v>_</v>
      </c>
      <c r="BT425" s="44"/>
      <c r="BU425" s="45" t="s">
        <v>16</v>
      </c>
      <c r="BV425" s="46" t="str">
        <f>IF(VLOOKUP(BU425,βοηθητικό!$J$2:$N$354,3,FALSE)="","",VLOOKUP(BU425,βοηθητικό!$J$2:$N$354,3,FALSE))</f>
        <v>_</v>
      </c>
      <c r="BW425" s="47"/>
      <c r="BX425" s="42" t="s">
        <v>16</v>
      </c>
      <c r="BY425" s="43" t="str">
        <f>IF(VLOOKUP(BX425,βοηθητικό!$J$2:$N$354,3,FALSE)="","",VLOOKUP(BX425,βοηθητικό!$J$2:$N$354,3,FALSE))</f>
        <v>_</v>
      </c>
      <c r="BZ425" s="44"/>
      <c r="CA425" s="45" t="s">
        <v>16</v>
      </c>
      <c r="CB425" s="46" t="str">
        <f>IF(VLOOKUP(CA425,βοηθητικό!$J$2:$N$354,3,FALSE)="","",VLOOKUP(CA425,βοηθητικό!$J$2:$N$354,3,FALSE))</f>
        <v>_</v>
      </c>
      <c r="CC425" s="47"/>
      <c r="CD425" s="42" t="s">
        <v>16</v>
      </c>
      <c r="CE425" s="43" t="str">
        <f>IF(VLOOKUP(CD425,βοηθητικό!$J$2:$N$354,3,FALSE)="","",VLOOKUP(CD425,βοηθητικό!$J$2:$N$354,3,FALSE))</f>
        <v>_</v>
      </c>
      <c r="CF425" s="44"/>
      <c r="CG425" s="45" t="s">
        <v>16</v>
      </c>
      <c r="CH425" s="46" t="str">
        <f>IF(VLOOKUP(CG425,βοηθητικό!$J$2:$N$354,3,FALSE)="","",VLOOKUP(CG425,βοηθητικό!$J$2:$N$354,3,FALSE))</f>
        <v>_</v>
      </c>
      <c r="CI425" s="47"/>
      <c r="CJ425" s="42" t="s">
        <v>16</v>
      </c>
      <c r="CK425" s="43" t="str">
        <f>IF(VLOOKUP(CJ425,βοηθητικό!$J$2:$N$354,3,FALSE)="","",VLOOKUP(CJ425,βοηθητικό!$J$2:$N$354,3,FALSE))</f>
        <v>_</v>
      </c>
      <c r="CL425" s="44"/>
      <c r="CM425" s="45" t="s">
        <v>16</v>
      </c>
      <c r="CN425" s="46" t="str">
        <f>IF(VLOOKUP(CM425,βοηθητικό!$J$2:$N$354,3,FALSE)="","",VLOOKUP(CM425,βοηθητικό!$J$2:$N$354,3,FALSE))</f>
        <v>_</v>
      </c>
      <c r="CO425" s="47"/>
      <c r="CP425" s="42" t="s">
        <v>16</v>
      </c>
      <c r="CQ425" s="43" t="str">
        <f>IF(VLOOKUP(CP425,βοηθητικό!$J$2:$N$354,3,FALSE)="","",VLOOKUP(CP425,βοηθητικό!$J$2:$N$354,3,FALSE))</f>
        <v>_</v>
      </c>
      <c r="CR425" s="44"/>
      <c r="CS425" s="45" t="s">
        <v>16</v>
      </c>
      <c r="CT425" s="46" t="str">
        <f>IF(VLOOKUP(CS425,βοηθητικό!$J$2:$N$354,3,FALSE)="","",VLOOKUP(CS425,βοηθητικό!$J$2:$N$354,3,FALSE))</f>
        <v>_</v>
      </c>
      <c r="CU425" s="47"/>
    </row>
    <row r="426" spans="1:99" x14ac:dyDescent="0.25">
      <c r="A426" s="37">
        <f>--SUBTOTAL(3,$B$3:B425)</f>
        <v>198</v>
      </c>
      <c r="B426" s="2"/>
      <c r="C426" s="3"/>
      <c r="D426" s="55" t="s">
        <v>18</v>
      </c>
      <c r="E426" s="38" t="s">
        <v>16</v>
      </c>
      <c r="F426" s="38" t="s">
        <v>16</v>
      </c>
      <c r="G426" s="39" t="str">
        <f t="shared" si="20"/>
        <v>__</v>
      </c>
      <c r="H426" s="40" t="str">
        <f t="shared" si="21"/>
        <v>FALSE</v>
      </c>
      <c r="I426" s="41">
        <f t="shared" si="22"/>
        <v>0</v>
      </c>
      <c r="J426" s="4" t="s">
        <v>16</v>
      </c>
      <c r="K426" s="43" t="str">
        <f>IF(VLOOKUP(J426,βοηθητικό!$J$2:$N$354,3,FALSE)="","",VLOOKUP(J426,βοηθητικό!$J$2:$N$354,3,FALSE))</f>
        <v>_</v>
      </c>
      <c r="L426" s="44"/>
      <c r="M426" s="5" t="s">
        <v>16</v>
      </c>
      <c r="N426" s="46" t="str">
        <f>IF(VLOOKUP(M426,βοηθητικό!$J$2:$N$354,3,FALSE)="","",VLOOKUP(M426,βοηθητικό!$J$2:$N$354,3,FALSE))</f>
        <v>_</v>
      </c>
      <c r="O426" s="47"/>
      <c r="P426" s="4" t="s">
        <v>16</v>
      </c>
      <c r="Q426" s="43" t="str">
        <f>IF(VLOOKUP(P426,βοηθητικό!$J$2:$N$354,3,FALSE)="","",VLOOKUP(P426,βοηθητικό!$J$2:$N$354,3,FALSE))</f>
        <v>_</v>
      </c>
      <c r="R426" s="44"/>
      <c r="S426" s="5" t="s">
        <v>16</v>
      </c>
      <c r="T426" s="46" t="str">
        <f>IF(VLOOKUP(S426,βοηθητικό!$J$2:$N$354,3,FALSE)="","",VLOOKUP(S426,βοηθητικό!$J$2:$N$354,3,FALSE))</f>
        <v>_</v>
      </c>
      <c r="U426" s="47"/>
      <c r="V426" s="4" t="s">
        <v>16</v>
      </c>
      <c r="W426" s="43" t="str">
        <f>IF(VLOOKUP(V426,βοηθητικό!$J$2:$N$354,3,FALSE)="","",VLOOKUP(V426,βοηθητικό!$J$2:$N$354,3,FALSE))</f>
        <v>_</v>
      </c>
      <c r="X426" s="44"/>
      <c r="Y426" s="5" t="s">
        <v>16</v>
      </c>
      <c r="Z426" s="46" t="str">
        <f>IF(VLOOKUP(Y426,βοηθητικό!$J$2:$N$354,3,FALSE)="","",VLOOKUP(Y426,βοηθητικό!$J$2:$N$354,3,FALSE))</f>
        <v>_</v>
      </c>
      <c r="AA426" s="47"/>
      <c r="AB426" s="4" t="s">
        <v>16</v>
      </c>
      <c r="AC426" s="43" t="str">
        <f>IF(VLOOKUP(AB426,βοηθητικό!$J$2:$N$354,3,FALSE)="","",VLOOKUP(AB426,βοηθητικό!$J$2:$N$354,3,FALSE))</f>
        <v>_</v>
      </c>
      <c r="AD426" s="44"/>
      <c r="AE426" s="5" t="s">
        <v>16</v>
      </c>
      <c r="AF426" s="46" t="str">
        <f>IF(VLOOKUP(AE426,βοηθητικό!$J$2:$N$354,3,FALSE)="","",VLOOKUP(AE426,βοηθητικό!$J$2:$N$354,3,FALSE))</f>
        <v>_</v>
      </c>
      <c r="AG426" s="47"/>
      <c r="AH426" s="4" t="s">
        <v>16</v>
      </c>
      <c r="AI426" s="43" t="str">
        <f>IF(VLOOKUP(AH426,βοηθητικό!$J$2:$N$354,3,FALSE)="","",VLOOKUP(AH426,βοηθητικό!$J$2:$N$354,3,FALSE))</f>
        <v>_</v>
      </c>
      <c r="AJ426" s="44"/>
      <c r="AK426" s="5" t="s">
        <v>16</v>
      </c>
      <c r="AL426" s="46" t="str">
        <f>IF(VLOOKUP(AK426,βοηθητικό!$J$2:$N$354,3,FALSE)="","",VLOOKUP(AK426,βοηθητικό!$J$2:$N$354,3,FALSE))</f>
        <v>_</v>
      </c>
      <c r="AM426" s="47"/>
      <c r="AN426" s="4" t="s">
        <v>16</v>
      </c>
      <c r="AO426" s="43" t="str">
        <f>IF(VLOOKUP(AN426,βοηθητικό!$J$2:$N$354,3,FALSE)="","",VLOOKUP(AN426,βοηθητικό!$J$2:$N$354,3,FALSE))</f>
        <v>_</v>
      </c>
      <c r="AP426" s="44"/>
      <c r="AQ426" s="5" t="s">
        <v>16</v>
      </c>
      <c r="AR426" s="46" t="str">
        <f>IF(VLOOKUP(AQ426,βοηθητικό!$J$2:$N$354,3,FALSE)="","",VLOOKUP(AQ426,βοηθητικό!$J$2:$N$354,3,FALSE))</f>
        <v>_</v>
      </c>
      <c r="AS426" s="47"/>
      <c r="AT426" s="4" t="s">
        <v>16</v>
      </c>
      <c r="AU426" s="43" t="str">
        <f>IF(VLOOKUP(AT426,βοηθητικό!$J$2:$N$354,3,FALSE)="","",VLOOKUP(AT426,βοηθητικό!$J$2:$N$354,3,FALSE))</f>
        <v>_</v>
      </c>
      <c r="AV426" s="44"/>
      <c r="AW426" s="5" t="s">
        <v>16</v>
      </c>
      <c r="AX426" s="46" t="str">
        <f>IF(VLOOKUP(AW426,βοηθητικό!$J$2:$N$354,3,FALSE)="","",VLOOKUP(AW426,βοηθητικό!$J$2:$N$354,3,FALSE))</f>
        <v>_</v>
      </c>
      <c r="AY426" s="47"/>
      <c r="AZ426" s="4" t="s">
        <v>16</v>
      </c>
      <c r="BA426" s="43" t="str">
        <f>IF(VLOOKUP(AZ426,βοηθητικό!$J$2:$N$354,3,FALSE)="","",VLOOKUP(AZ426,βοηθητικό!$J$2:$N$354,3,FALSE))</f>
        <v>_</v>
      </c>
      <c r="BB426" s="44"/>
      <c r="BC426" s="45" t="s">
        <v>16</v>
      </c>
      <c r="BD426" s="46" t="str">
        <f>IF(VLOOKUP(BC426,βοηθητικό!$J$2:$N$354,3,FALSE)="","",VLOOKUP(BC426,βοηθητικό!$J$2:$N$354,3,FALSE))</f>
        <v>_</v>
      </c>
      <c r="BE426" s="47"/>
      <c r="BF426" s="42" t="s">
        <v>16</v>
      </c>
      <c r="BG426" s="43" t="str">
        <f>IF(VLOOKUP(BF426,βοηθητικό!$J$2:$N$354,3,FALSE)="","",VLOOKUP(BF426,βοηθητικό!$J$2:$N$354,3,FALSE))</f>
        <v>_</v>
      </c>
      <c r="BH426" s="44"/>
      <c r="BI426" s="45" t="s">
        <v>16</v>
      </c>
      <c r="BJ426" s="46" t="str">
        <f>IF(VLOOKUP(BI426,βοηθητικό!$J$2:$N$354,3,FALSE)="","",VLOOKUP(BI426,βοηθητικό!$J$2:$N$354,3,FALSE))</f>
        <v>_</v>
      </c>
      <c r="BK426" s="47"/>
      <c r="BL426" s="42" t="s">
        <v>16</v>
      </c>
      <c r="BM426" s="43" t="str">
        <f>IF(VLOOKUP(BL426,βοηθητικό!$J$2:$N$354,3,FALSE)="","",VLOOKUP(BL426,βοηθητικό!$J$2:$N$354,3,FALSE))</f>
        <v>_</v>
      </c>
      <c r="BN426" s="44"/>
      <c r="BO426" s="45" t="s">
        <v>16</v>
      </c>
      <c r="BP426" s="46" t="str">
        <f>IF(VLOOKUP(BO426,βοηθητικό!$J$2:$N$354,3,FALSE)="","",VLOOKUP(BO426,βοηθητικό!$J$2:$N$354,3,FALSE))</f>
        <v>_</v>
      </c>
      <c r="BQ426" s="47"/>
      <c r="BR426" s="42" t="s">
        <v>16</v>
      </c>
      <c r="BS426" s="43" t="str">
        <f>IF(VLOOKUP(BR426,βοηθητικό!$J$2:$N$354,3,FALSE)="","",VLOOKUP(BR426,βοηθητικό!$J$2:$N$354,3,FALSE))</f>
        <v>_</v>
      </c>
      <c r="BT426" s="44"/>
      <c r="BU426" s="45" t="s">
        <v>16</v>
      </c>
      <c r="BV426" s="46" t="str">
        <f>IF(VLOOKUP(BU426,βοηθητικό!$J$2:$N$354,3,FALSE)="","",VLOOKUP(BU426,βοηθητικό!$J$2:$N$354,3,FALSE))</f>
        <v>_</v>
      </c>
      <c r="BW426" s="47"/>
      <c r="BX426" s="42" t="s">
        <v>16</v>
      </c>
      <c r="BY426" s="43" t="str">
        <f>IF(VLOOKUP(BX426,βοηθητικό!$J$2:$N$354,3,FALSE)="","",VLOOKUP(BX426,βοηθητικό!$J$2:$N$354,3,FALSE))</f>
        <v>_</v>
      </c>
      <c r="BZ426" s="44"/>
      <c r="CA426" s="45" t="s">
        <v>16</v>
      </c>
      <c r="CB426" s="46" t="str">
        <f>IF(VLOOKUP(CA426,βοηθητικό!$J$2:$N$354,3,FALSE)="","",VLOOKUP(CA426,βοηθητικό!$J$2:$N$354,3,FALSE))</f>
        <v>_</v>
      </c>
      <c r="CC426" s="47"/>
      <c r="CD426" s="42" t="s">
        <v>16</v>
      </c>
      <c r="CE426" s="43" t="str">
        <f>IF(VLOOKUP(CD426,βοηθητικό!$J$2:$N$354,3,FALSE)="","",VLOOKUP(CD426,βοηθητικό!$J$2:$N$354,3,FALSE))</f>
        <v>_</v>
      </c>
      <c r="CF426" s="44"/>
      <c r="CG426" s="45" t="s">
        <v>16</v>
      </c>
      <c r="CH426" s="46" t="str">
        <f>IF(VLOOKUP(CG426,βοηθητικό!$J$2:$N$354,3,FALSE)="","",VLOOKUP(CG426,βοηθητικό!$J$2:$N$354,3,FALSE))</f>
        <v>_</v>
      </c>
      <c r="CI426" s="47"/>
      <c r="CJ426" s="42" t="s">
        <v>16</v>
      </c>
      <c r="CK426" s="43" t="str">
        <f>IF(VLOOKUP(CJ426,βοηθητικό!$J$2:$N$354,3,FALSE)="","",VLOOKUP(CJ426,βοηθητικό!$J$2:$N$354,3,FALSE))</f>
        <v>_</v>
      </c>
      <c r="CL426" s="44"/>
      <c r="CM426" s="45" t="s">
        <v>16</v>
      </c>
      <c r="CN426" s="46" t="str">
        <f>IF(VLOOKUP(CM426,βοηθητικό!$J$2:$N$354,3,FALSE)="","",VLOOKUP(CM426,βοηθητικό!$J$2:$N$354,3,FALSE))</f>
        <v>_</v>
      </c>
      <c r="CO426" s="47"/>
      <c r="CP426" s="42" t="s">
        <v>16</v>
      </c>
      <c r="CQ426" s="43" t="str">
        <f>IF(VLOOKUP(CP426,βοηθητικό!$J$2:$N$354,3,FALSE)="","",VLOOKUP(CP426,βοηθητικό!$J$2:$N$354,3,FALSE))</f>
        <v>_</v>
      </c>
      <c r="CR426" s="44"/>
      <c r="CS426" s="45" t="s">
        <v>16</v>
      </c>
      <c r="CT426" s="46" t="str">
        <f>IF(VLOOKUP(CS426,βοηθητικό!$J$2:$N$354,3,FALSE)="","",VLOOKUP(CS426,βοηθητικό!$J$2:$N$354,3,FALSE))</f>
        <v>_</v>
      </c>
      <c r="CU426" s="47"/>
    </row>
    <row r="427" spans="1:99" x14ac:dyDescent="0.25">
      <c r="A427" s="37">
        <f>--SUBTOTAL(3,$B$3:B426)</f>
        <v>198</v>
      </c>
      <c r="B427" s="2"/>
      <c r="C427" s="3"/>
      <c r="D427" s="55" t="s">
        <v>18</v>
      </c>
      <c r="E427" s="38" t="s">
        <v>16</v>
      </c>
      <c r="F427" s="38" t="s">
        <v>16</v>
      </c>
      <c r="G427" s="39" t="str">
        <f t="shared" si="20"/>
        <v>__</v>
      </c>
      <c r="H427" s="40" t="str">
        <f t="shared" si="21"/>
        <v>FALSE</v>
      </c>
      <c r="I427" s="41">
        <f t="shared" si="22"/>
        <v>0</v>
      </c>
      <c r="J427" s="4" t="s">
        <v>16</v>
      </c>
      <c r="K427" s="43" t="str">
        <f>IF(VLOOKUP(J427,βοηθητικό!$J$2:$N$354,3,FALSE)="","",VLOOKUP(J427,βοηθητικό!$J$2:$N$354,3,FALSE))</f>
        <v>_</v>
      </c>
      <c r="L427" s="44"/>
      <c r="M427" s="5" t="s">
        <v>16</v>
      </c>
      <c r="N427" s="46" t="str">
        <f>IF(VLOOKUP(M427,βοηθητικό!$J$2:$N$354,3,FALSE)="","",VLOOKUP(M427,βοηθητικό!$J$2:$N$354,3,FALSE))</f>
        <v>_</v>
      </c>
      <c r="O427" s="47"/>
      <c r="P427" s="4" t="s">
        <v>16</v>
      </c>
      <c r="Q427" s="43" t="str">
        <f>IF(VLOOKUP(P427,βοηθητικό!$J$2:$N$354,3,FALSE)="","",VLOOKUP(P427,βοηθητικό!$J$2:$N$354,3,FALSE))</f>
        <v>_</v>
      </c>
      <c r="R427" s="44"/>
      <c r="S427" s="5" t="s">
        <v>16</v>
      </c>
      <c r="T427" s="46" t="str">
        <f>IF(VLOOKUP(S427,βοηθητικό!$J$2:$N$354,3,FALSE)="","",VLOOKUP(S427,βοηθητικό!$J$2:$N$354,3,FALSE))</f>
        <v>_</v>
      </c>
      <c r="U427" s="47"/>
      <c r="V427" s="4" t="s">
        <v>16</v>
      </c>
      <c r="W427" s="43" t="str">
        <f>IF(VLOOKUP(V427,βοηθητικό!$J$2:$N$354,3,FALSE)="","",VLOOKUP(V427,βοηθητικό!$J$2:$N$354,3,FALSE))</f>
        <v>_</v>
      </c>
      <c r="X427" s="44"/>
      <c r="Y427" s="5" t="s">
        <v>16</v>
      </c>
      <c r="Z427" s="46" t="str">
        <f>IF(VLOOKUP(Y427,βοηθητικό!$J$2:$N$354,3,FALSE)="","",VLOOKUP(Y427,βοηθητικό!$J$2:$N$354,3,FALSE))</f>
        <v>_</v>
      </c>
      <c r="AA427" s="47"/>
      <c r="AB427" s="4" t="s">
        <v>16</v>
      </c>
      <c r="AC427" s="43" t="str">
        <f>IF(VLOOKUP(AB427,βοηθητικό!$J$2:$N$354,3,FALSE)="","",VLOOKUP(AB427,βοηθητικό!$J$2:$N$354,3,FALSE))</f>
        <v>_</v>
      </c>
      <c r="AD427" s="44"/>
      <c r="AE427" s="5" t="s">
        <v>16</v>
      </c>
      <c r="AF427" s="46" t="str">
        <f>IF(VLOOKUP(AE427,βοηθητικό!$J$2:$N$354,3,FALSE)="","",VLOOKUP(AE427,βοηθητικό!$J$2:$N$354,3,FALSE))</f>
        <v>_</v>
      </c>
      <c r="AG427" s="47"/>
      <c r="AH427" s="4" t="s">
        <v>16</v>
      </c>
      <c r="AI427" s="43" t="str">
        <f>IF(VLOOKUP(AH427,βοηθητικό!$J$2:$N$354,3,FALSE)="","",VLOOKUP(AH427,βοηθητικό!$J$2:$N$354,3,FALSE))</f>
        <v>_</v>
      </c>
      <c r="AJ427" s="44"/>
      <c r="AK427" s="5" t="s">
        <v>16</v>
      </c>
      <c r="AL427" s="46" t="str">
        <f>IF(VLOOKUP(AK427,βοηθητικό!$J$2:$N$354,3,FALSE)="","",VLOOKUP(AK427,βοηθητικό!$J$2:$N$354,3,FALSE))</f>
        <v>_</v>
      </c>
      <c r="AM427" s="47"/>
      <c r="AN427" s="4" t="s">
        <v>16</v>
      </c>
      <c r="AO427" s="43" t="str">
        <f>IF(VLOOKUP(AN427,βοηθητικό!$J$2:$N$354,3,FALSE)="","",VLOOKUP(AN427,βοηθητικό!$J$2:$N$354,3,FALSE))</f>
        <v>_</v>
      </c>
      <c r="AP427" s="44"/>
      <c r="AQ427" s="5" t="s">
        <v>16</v>
      </c>
      <c r="AR427" s="46" t="str">
        <f>IF(VLOOKUP(AQ427,βοηθητικό!$J$2:$N$354,3,FALSE)="","",VLOOKUP(AQ427,βοηθητικό!$J$2:$N$354,3,FALSE))</f>
        <v>_</v>
      </c>
      <c r="AS427" s="47"/>
      <c r="AT427" s="4" t="s">
        <v>16</v>
      </c>
      <c r="AU427" s="43" t="str">
        <f>IF(VLOOKUP(AT427,βοηθητικό!$J$2:$N$354,3,FALSE)="","",VLOOKUP(AT427,βοηθητικό!$J$2:$N$354,3,FALSE))</f>
        <v>_</v>
      </c>
      <c r="AV427" s="44"/>
      <c r="AW427" s="5" t="s">
        <v>16</v>
      </c>
      <c r="AX427" s="46" t="str">
        <f>IF(VLOOKUP(AW427,βοηθητικό!$J$2:$N$354,3,FALSE)="","",VLOOKUP(AW427,βοηθητικό!$J$2:$N$354,3,FALSE))</f>
        <v>_</v>
      </c>
      <c r="AY427" s="47"/>
      <c r="AZ427" s="4" t="s">
        <v>16</v>
      </c>
      <c r="BA427" s="43" t="str">
        <f>IF(VLOOKUP(AZ427,βοηθητικό!$J$2:$N$354,3,FALSE)="","",VLOOKUP(AZ427,βοηθητικό!$J$2:$N$354,3,FALSE))</f>
        <v>_</v>
      </c>
      <c r="BB427" s="44"/>
      <c r="BC427" s="45" t="s">
        <v>16</v>
      </c>
      <c r="BD427" s="46" t="str">
        <f>IF(VLOOKUP(BC427,βοηθητικό!$J$2:$N$354,3,FALSE)="","",VLOOKUP(BC427,βοηθητικό!$J$2:$N$354,3,FALSE))</f>
        <v>_</v>
      </c>
      <c r="BE427" s="47"/>
      <c r="BF427" s="42" t="s">
        <v>16</v>
      </c>
      <c r="BG427" s="43" t="str">
        <f>IF(VLOOKUP(BF427,βοηθητικό!$J$2:$N$354,3,FALSE)="","",VLOOKUP(BF427,βοηθητικό!$J$2:$N$354,3,FALSE))</f>
        <v>_</v>
      </c>
      <c r="BH427" s="44"/>
      <c r="BI427" s="45" t="s">
        <v>16</v>
      </c>
      <c r="BJ427" s="46" t="str">
        <f>IF(VLOOKUP(BI427,βοηθητικό!$J$2:$N$354,3,FALSE)="","",VLOOKUP(BI427,βοηθητικό!$J$2:$N$354,3,FALSE))</f>
        <v>_</v>
      </c>
      <c r="BK427" s="47"/>
      <c r="BL427" s="42" t="s">
        <v>16</v>
      </c>
      <c r="BM427" s="43" t="str">
        <f>IF(VLOOKUP(BL427,βοηθητικό!$J$2:$N$354,3,FALSE)="","",VLOOKUP(BL427,βοηθητικό!$J$2:$N$354,3,FALSE))</f>
        <v>_</v>
      </c>
      <c r="BN427" s="44"/>
      <c r="BO427" s="45" t="s">
        <v>16</v>
      </c>
      <c r="BP427" s="46" t="str">
        <f>IF(VLOOKUP(BO427,βοηθητικό!$J$2:$N$354,3,FALSE)="","",VLOOKUP(BO427,βοηθητικό!$J$2:$N$354,3,FALSE))</f>
        <v>_</v>
      </c>
      <c r="BQ427" s="47"/>
      <c r="BR427" s="42" t="s">
        <v>16</v>
      </c>
      <c r="BS427" s="43" t="str">
        <f>IF(VLOOKUP(BR427,βοηθητικό!$J$2:$N$354,3,FALSE)="","",VLOOKUP(BR427,βοηθητικό!$J$2:$N$354,3,FALSE))</f>
        <v>_</v>
      </c>
      <c r="BT427" s="44"/>
      <c r="BU427" s="45" t="s">
        <v>16</v>
      </c>
      <c r="BV427" s="46" t="str">
        <f>IF(VLOOKUP(BU427,βοηθητικό!$J$2:$N$354,3,FALSE)="","",VLOOKUP(BU427,βοηθητικό!$J$2:$N$354,3,FALSE))</f>
        <v>_</v>
      </c>
      <c r="BW427" s="47"/>
      <c r="BX427" s="42" t="s">
        <v>16</v>
      </c>
      <c r="BY427" s="43" t="str">
        <f>IF(VLOOKUP(BX427,βοηθητικό!$J$2:$N$354,3,FALSE)="","",VLOOKUP(BX427,βοηθητικό!$J$2:$N$354,3,FALSE))</f>
        <v>_</v>
      </c>
      <c r="BZ427" s="44"/>
      <c r="CA427" s="45" t="s">
        <v>16</v>
      </c>
      <c r="CB427" s="46" t="str">
        <f>IF(VLOOKUP(CA427,βοηθητικό!$J$2:$N$354,3,FALSE)="","",VLOOKUP(CA427,βοηθητικό!$J$2:$N$354,3,FALSE))</f>
        <v>_</v>
      </c>
      <c r="CC427" s="47"/>
      <c r="CD427" s="42" t="s">
        <v>16</v>
      </c>
      <c r="CE427" s="43" t="str">
        <f>IF(VLOOKUP(CD427,βοηθητικό!$J$2:$N$354,3,FALSE)="","",VLOOKUP(CD427,βοηθητικό!$J$2:$N$354,3,FALSE))</f>
        <v>_</v>
      </c>
      <c r="CF427" s="44"/>
      <c r="CG427" s="45" t="s">
        <v>16</v>
      </c>
      <c r="CH427" s="46" t="str">
        <f>IF(VLOOKUP(CG427,βοηθητικό!$J$2:$N$354,3,FALSE)="","",VLOOKUP(CG427,βοηθητικό!$J$2:$N$354,3,FALSE))</f>
        <v>_</v>
      </c>
      <c r="CI427" s="47"/>
      <c r="CJ427" s="42" t="s">
        <v>16</v>
      </c>
      <c r="CK427" s="43" t="str">
        <f>IF(VLOOKUP(CJ427,βοηθητικό!$J$2:$N$354,3,FALSE)="","",VLOOKUP(CJ427,βοηθητικό!$J$2:$N$354,3,FALSE))</f>
        <v>_</v>
      </c>
      <c r="CL427" s="44"/>
      <c r="CM427" s="45" t="s">
        <v>16</v>
      </c>
      <c r="CN427" s="46" t="str">
        <f>IF(VLOOKUP(CM427,βοηθητικό!$J$2:$N$354,3,FALSE)="","",VLOOKUP(CM427,βοηθητικό!$J$2:$N$354,3,FALSE))</f>
        <v>_</v>
      </c>
      <c r="CO427" s="47"/>
      <c r="CP427" s="42" t="s">
        <v>16</v>
      </c>
      <c r="CQ427" s="43" t="str">
        <f>IF(VLOOKUP(CP427,βοηθητικό!$J$2:$N$354,3,FALSE)="","",VLOOKUP(CP427,βοηθητικό!$J$2:$N$354,3,FALSE))</f>
        <v>_</v>
      </c>
      <c r="CR427" s="44"/>
      <c r="CS427" s="45" t="s">
        <v>16</v>
      </c>
      <c r="CT427" s="46" t="str">
        <f>IF(VLOOKUP(CS427,βοηθητικό!$J$2:$N$354,3,FALSE)="","",VLOOKUP(CS427,βοηθητικό!$J$2:$N$354,3,FALSE))</f>
        <v>_</v>
      </c>
      <c r="CU427" s="47"/>
    </row>
    <row r="428" spans="1:99" x14ac:dyDescent="0.25">
      <c r="A428" s="37">
        <f>--SUBTOTAL(3,$B$3:B427)</f>
        <v>198</v>
      </c>
      <c r="B428" s="2"/>
      <c r="C428" s="3"/>
      <c r="D428" s="55" t="s">
        <v>18</v>
      </c>
      <c r="E428" s="38" t="s">
        <v>16</v>
      </c>
      <c r="F428" s="38" t="s">
        <v>16</v>
      </c>
      <c r="G428" s="39" t="str">
        <f t="shared" si="20"/>
        <v>__</v>
      </c>
      <c r="H428" s="40" t="str">
        <f t="shared" si="21"/>
        <v>FALSE</v>
      </c>
      <c r="I428" s="41">
        <f t="shared" si="22"/>
        <v>0</v>
      </c>
      <c r="J428" s="4" t="s">
        <v>16</v>
      </c>
      <c r="K428" s="43" t="str">
        <f>IF(VLOOKUP(J428,βοηθητικό!$J$2:$N$354,3,FALSE)="","",VLOOKUP(J428,βοηθητικό!$J$2:$N$354,3,FALSE))</f>
        <v>_</v>
      </c>
      <c r="L428" s="44"/>
      <c r="M428" s="5" t="s">
        <v>16</v>
      </c>
      <c r="N428" s="46" t="str">
        <f>IF(VLOOKUP(M428,βοηθητικό!$J$2:$N$354,3,FALSE)="","",VLOOKUP(M428,βοηθητικό!$J$2:$N$354,3,FALSE))</f>
        <v>_</v>
      </c>
      <c r="O428" s="47"/>
      <c r="P428" s="4" t="s">
        <v>16</v>
      </c>
      <c r="Q428" s="43" t="str">
        <f>IF(VLOOKUP(P428,βοηθητικό!$J$2:$N$354,3,FALSE)="","",VLOOKUP(P428,βοηθητικό!$J$2:$N$354,3,FALSE))</f>
        <v>_</v>
      </c>
      <c r="R428" s="44"/>
      <c r="S428" s="5" t="s">
        <v>16</v>
      </c>
      <c r="T428" s="46" t="str">
        <f>IF(VLOOKUP(S428,βοηθητικό!$J$2:$N$354,3,FALSE)="","",VLOOKUP(S428,βοηθητικό!$J$2:$N$354,3,FALSE))</f>
        <v>_</v>
      </c>
      <c r="U428" s="47"/>
      <c r="V428" s="4" t="s">
        <v>16</v>
      </c>
      <c r="W428" s="43" t="str">
        <f>IF(VLOOKUP(V428,βοηθητικό!$J$2:$N$354,3,FALSE)="","",VLOOKUP(V428,βοηθητικό!$J$2:$N$354,3,FALSE))</f>
        <v>_</v>
      </c>
      <c r="X428" s="44"/>
      <c r="Y428" s="5" t="s">
        <v>16</v>
      </c>
      <c r="Z428" s="46" t="str">
        <f>IF(VLOOKUP(Y428,βοηθητικό!$J$2:$N$354,3,FALSE)="","",VLOOKUP(Y428,βοηθητικό!$J$2:$N$354,3,FALSE))</f>
        <v>_</v>
      </c>
      <c r="AA428" s="47"/>
      <c r="AB428" s="4" t="s">
        <v>16</v>
      </c>
      <c r="AC428" s="43" t="str">
        <f>IF(VLOOKUP(AB428,βοηθητικό!$J$2:$N$354,3,FALSE)="","",VLOOKUP(AB428,βοηθητικό!$J$2:$N$354,3,FALSE))</f>
        <v>_</v>
      </c>
      <c r="AD428" s="44"/>
      <c r="AE428" s="5" t="s">
        <v>16</v>
      </c>
      <c r="AF428" s="46" t="str">
        <f>IF(VLOOKUP(AE428,βοηθητικό!$J$2:$N$354,3,FALSE)="","",VLOOKUP(AE428,βοηθητικό!$J$2:$N$354,3,FALSE))</f>
        <v>_</v>
      </c>
      <c r="AG428" s="47"/>
      <c r="AH428" s="4" t="s">
        <v>16</v>
      </c>
      <c r="AI428" s="43" t="str">
        <f>IF(VLOOKUP(AH428,βοηθητικό!$J$2:$N$354,3,FALSE)="","",VLOOKUP(AH428,βοηθητικό!$J$2:$N$354,3,FALSE))</f>
        <v>_</v>
      </c>
      <c r="AJ428" s="44"/>
      <c r="AK428" s="5" t="s">
        <v>16</v>
      </c>
      <c r="AL428" s="46" t="str">
        <f>IF(VLOOKUP(AK428,βοηθητικό!$J$2:$N$354,3,FALSE)="","",VLOOKUP(AK428,βοηθητικό!$J$2:$N$354,3,FALSE))</f>
        <v>_</v>
      </c>
      <c r="AM428" s="47"/>
      <c r="AN428" s="4" t="s">
        <v>16</v>
      </c>
      <c r="AO428" s="43" t="str">
        <f>IF(VLOOKUP(AN428,βοηθητικό!$J$2:$N$354,3,FALSE)="","",VLOOKUP(AN428,βοηθητικό!$J$2:$N$354,3,FALSE))</f>
        <v>_</v>
      </c>
      <c r="AP428" s="44"/>
      <c r="AQ428" s="5" t="s">
        <v>16</v>
      </c>
      <c r="AR428" s="46" t="str">
        <f>IF(VLOOKUP(AQ428,βοηθητικό!$J$2:$N$354,3,FALSE)="","",VLOOKUP(AQ428,βοηθητικό!$J$2:$N$354,3,FALSE))</f>
        <v>_</v>
      </c>
      <c r="AS428" s="47"/>
      <c r="AT428" s="4" t="s">
        <v>16</v>
      </c>
      <c r="AU428" s="43" t="str">
        <f>IF(VLOOKUP(AT428,βοηθητικό!$J$2:$N$354,3,FALSE)="","",VLOOKUP(AT428,βοηθητικό!$J$2:$N$354,3,FALSE))</f>
        <v>_</v>
      </c>
      <c r="AV428" s="44"/>
      <c r="AW428" s="5" t="s">
        <v>16</v>
      </c>
      <c r="AX428" s="46" t="str">
        <f>IF(VLOOKUP(AW428,βοηθητικό!$J$2:$N$354,3,FALSE)="","",VLOOKUP(AW428,βοηθητικό!$J$2:$N$354,3,FALSE))</f>
        <v>_</v>
      </c>
      <c r="AY428" s="47"/>
      <c r="AZ428" s="4" t="s">
        <v>16</v>
      </c>
      <c r="BA428" s="43" t="str">
        <f>IF(VLOOKUP(AZ428,βοηθητικό!$J$2:$N$354,3,FALSE)="","",VLOOKUP(AZ428,βοηθητικό!$J$2:$N$354,3,FALSE))</f>
        <v>_</v>
      </c>
      <c r="BB428" s="44"/>
      <c r="BC428" s="45" t="s">
        <v>16</v>
      </c>
      <c r="BD428" s="46" t="str">
        <f>IF(VLOOKUP(BC428,βοηθητικό!$J$2:$N$354,3,FALSE)="","",VLOOKUP(BC428,βοηθητικό!$J$2:$N$354,3,FALSE))</f>
        <v>_</v>
      </c>
      <c r="BE428" s="47"/>
      <c r="BF428" s="42" t="s">
        <v>16</v>
      </c>
      <c r="BG428" s="43" t="str">
        <f>IF(VLOOKUP(BF428,βοηθητικό!$J$2:$N$354,3,FALSE)="","",VLOOKUP(BF428,βοηθητικό!$J$2:$N$354,3,FALSE))</f>
        <v>_</v>
      </c>
      <c r="BH428" s="44"/>
      <c r="BI428" s="45" t="s">
        <v>16</v>
      </c>
      <c r="BJ428" s="46" t="str">
        <f>IF(VLOOKUP(BI428,βοηθητικό!$J$2:$N$354,3,FALSE)="","",VLOOKUP(BI428,βοηθητικό!$J$2:$N$354,3,FALSE))</f>
        <v>_</v>
      </c>
      <c r="BK428" s="47"/>
      <c r="BL428" s="42" t="s">
        <v>16</v>
      </c>
      <c r="BM428" s="43" t="str">
        <f>IF(VLOOKUP(BL428,βοηθητικό!$J$2:$N$354,3,FALSE)="","",VLOOKUP(BL428,βοηθητικό!$J$2:$N$354,3,FALSE))</f>
        <v>_</v>
      </c>
      <c r="BN428" s="44"/>
      <c r="BO428" s="45" t="s">
        <v>16</v>
      </c>
      <c r="BP428" s="46" t="str">
        <f>IF(VLOOKUP(BO428,βοηθητικό!$J$2:$N$354,3,FALSE)="","",VLOOKUP(BO428,βοηθητικό!$J$2:$N$354,3,FALSE))</f>
        <v>_</v>
      </c>
      <c r="BQ428" s="47"/>
      <c r="BR428" s="42" t="s">
        <v>16</v>
      </c>
      <c r="BS428" s="43" t="str">
        <f>IF(VLOOKUP(BR428,βοηθητικό!$J$2:$N$354,3,FALSE)="","",VLOOKUP(BR428,βοηθητικό!$J$2:$N$354,3,FALSE))</f>
        <v>_</v>
      </c>
      <c r="BT428" s="44"/>
      <c r="BU428" s="45" t="s">
        <v>16</v>
      </c>
      <c r="BV428" s="46" t="str">
        <f>IF(VLOOKUP(BU428,βοηθητικό!$J$2:$N$354,3,FALSE)="","",VLOOKUP(BU428,βοηθητικό!$J$2:$N$354,3,FALSE))</f>
        <v>_</v>
      </c>
      <c r="BW428" s="47"/>
      <c r="BX428" s="42" t="s">
        <v>16</v>
      </c>
      <c r="BY428" s="43" t="str">
        <f>IF(VLOOKUP(BX428,βοηθητικό!$J$2:$N$354,3,FALSE)="","",VLOOKUP(BX428,βοηθητικό!$J$2:$N$354,3,FALSE))</f>
        <v>_</v>
      </c>
      <c r="BZ428" s="44"/>
      <c r="CA428" s="45" t="s">
        <v>16</v>
      </c>
      <c r="CB428" s="46" t="str">
        <f>IF(VLOOKUP(CA428,βοηθητικό!$J$2:$N$354,3,FALSE)="","",VLOOKUP(CA428,βοηθητικό!$J$2:$N$354,3,FALSE))</f>
        <v>_</v>
      </c>
      <c r="CC428" s="47"/>
      <c r="CD428" s="42" t="s">
        <v>16</v>
      </c>
      <c r="CE428" s="43" t="str">
        <f>IF(VLOOKUP(CD428,βοηθητικό!$J$2:$N$354,3,FALSE)="","",VLOOKUP(CD428,βοηθητικό!$J$2:$N$354,3,FALSE))</f>
        <v>_</v>
      </c>
      <c r="CF428" s="44"/>
      <c r="CG428" s="45" t="s">
        <v>16</v>
      </c>
      <c r="CH428" s="46" t="str">
        <f>IF(VLOOKUP(CG428,βοηθητικό!$J$2:$N$354,3,FALSE)="","",VLOOKUP(CG428,βοηθητικό!$J$2:$N$354,3,FALSE))</f>
        <v>_</v>
      </c>
      <c r="CI428" s="47"/>
      <c r="CJ428" s="42" t="s">
        <v>16</v>
      </c>
      <c r="CK428" s="43" t="str">
        <f>IF(VLOOKUP(CJ428,βοηθητικό!$J$2:$N$354,3,FALSE)="","",VLOOKUP(CJ428,βοηθητικό!$J$2:$N$354,3,FALSE))</f>
        <v>_</v>
      </c>
      <c r="CL428" s="44"/>
      <c r="CM428" s="45" t="s">
        <v>16</v>
      </c>
      <c r="CN428" s="46" t="str">
        <f>IF(VLOOKUP(CM428,βοηθητικό!$J$2:$N$354,3,FALSE)="","",VLOOKUP(CM428,βοηθητικό!$J$2:$N$354,3,FALSE))</f>
        <v>_</v>
      </c>
      <c r="CO428" s="47"/>
      <c r="CP428" s="42" t="s">
        <v>16</v>
      </c>
      <c r="CQ428" s="43" t="str">
        <f>IF(VLOOKUP(CP428,βοηθητικό!$J$2:$N$354,3,FALSE)="","",VLOOKUP(CP428,βοηθητικό!$J$2:$N$354,3,FALSE))</f>
        <v>_</v>
      </c>
      <c r="CR428" s="44"/>
      <c r="CS428" s="45" t="s">
        <v>16</v>
      </c>
      <c r="CT428" s="46" t="str">
        <f>IF(VLOOKUP(CS428,βοηθητικό!$J$2:$N$354,3,FALSE)="","",VLOOKUP(CS428,βοηθητικό!$J$2:$N$354,3,FALSE))</f>
        <v>_</v>
      </c>
      <c r="CU428" s="47"/>
    </row>
    <row r="429" spans="1:99" x14ac:dyDescent="0.25">
      <c r="A429" s="37">
        <f>--SUBTOTAL(3,$B$3:B428)</f>
        <v>198</v>
      </c>
      <c r="B429" s="2"/>
      <c r="C429" s="3"/>
      <c r="D429" s="55" t="s">
        <v>18</v>
      </c>
      <c r="E429" s="38" t="s">
        <v>16</v>
      </c>
      <c r="F429" s="38" t="s">
        <v>16</v>
      </c>
      <c r="G429" s="39" t="str">
        <f t="shared" si="20"/>
        <v>__</v>
      </c>
      <c r="H429" s="40" t="str">
        <f t="shared" si="21"/>
        <v>FALSE</v>
      </c>
      <c r="I429" s="41">
        <f t="shared" si="22"/>
        <v>0</v>
      </c>
      <c r="J429" s="4" t="s">
        <v>16</v>
      </c>
      <c r="K429" s="43" t="str">
        <f>IF(VLOOKUP(J429,βοηθητικό!$J$2:$N$354,3,FALSE)="","",VLOOKUP(J429,βοηθητικό!$J$2:$N$354,3,FALSE))</f>
        <v>_</v>
      </c>
      <c r="L429" s="44"/>
      <c r="M429" s="5" t="s">
        <v>16</v>
      </c>
      <c r="N429" s="46" t="str">
        <f>IF(VLOOKUP(M429,βοηθητικό!$J$2:$N$354,3,FALSE)="","",VLOOKUP(M429,βοηθητικό!$J$2:$N$354,3,FALSE))</f>
        <v>_</v>
      </c>
      <c r="O429" s="47"/>
      <c r="P429" s="4" t="s">
        <v>16</v>
      </c>
      <c r="Q429" s="43" t="str">
        <f>IF(VLOOKUP(P429,βοηθητικό!$J$2:$N$354,3,FALSE)="","",VLOOKUP(P429,βοηθητικό!$J$2:$N$354,3,FALSE))</f>
        <v>_</v>
      </c>
      <c r="R429" s="44"/>
      <c r="S429" s="5" t="s">
        <v>16</v>
      </c>
      <c r="T429" s="46" t="str">
        <f>IF(VLOOKUP(S429,βοηθητικό!$J$2:$N$354,3,FALSE)="","",VLOOKUP(S429,βοηθητικό!$J$2:$N$354,3,FALSE))</f>
        <v>_</v>
      </c>
      <c r="U429" s="47"/>
      <c r="V429" s="4" t="s">
        <v>16</v>
      </c>
      <c r="W429" s="43" t="str">
        <f>IF(VLOOKUP(V429,βοηθητικό!$J$2:$N$354,3,FALSE)="","",VLOOKUP(V429,βοηθητικό!$J$2:$N$354,3,FALSE))</f>
        <v>_</v>
      </c>
      <c r="X429" s="44"/>
      <c r="Y429" s="5" t="s">
        <v>16</v>
      </c>
      <c r="Z429" s="46" t="str">
        <f>IF(VLOOKUP(Y429,βοηθητικό!$J$2:$N$354,3,FALSE)="","",VLOOKUP(Y429,βοηθητικό!$J$2:$N$354,3,FALSE))</f>
        <v>_</v>
      </c>
      <c r="AA429" s="47"/>
      <c r="AB429" s="4" t="s">
        <v>16</v>
      </c>
      <c r="AC429" s="43" t="str">
        <f>IF(VLOOKUP(AB429,βοηθητικό!$J$2:$N$354,3,FALSE)="","",VLOOKUP(AB429,βοηθητικό!$J$2:$N$354,3,FALSE))</f>
        <v>_</v>
      </c>
      <c r="AD429" s="44"/>
      <c r="AE429" s="5" t="s">
        <v>16</v>
      </c>
      <c r="AF429" s="46" t="str">
        <f>IF(VLOOKUP(AE429,βοηθητικό!$J$2:$N$354,3,FALSE)="","",VLOOKUP(AE429,βοηθητικό!$J$2:$N$354,3,FALSE))</f>
        <v>_</v>
      </c>
      <c r="AG429" s="47"/>
      <c r="AH429" s="4" t="s">
        <v>16</v>
      </c>
      <c r="AI429" s="43" t="str">
        <f>IF(VLOOKUP(AH429,βοηθητικό!$J$2:$N$354,3,FALSE)="","",VLOOKUP(AH429,βοηθητικό!$J$2:$N$354,3,FALSE))</f>
        <v>_</v>
      </c>
      <c r="AJ429" s="44"/>
      <c r="AK429" s="5" t="s">
        <v>16</v>
      </c>
      <c r="AL429" s="46" t="str">
        <f>IF(VLOOKUP(AK429,βοηθητικό!$J$2:$N$354,3,FALSE)="","",VLOOKUP(AK429,βοηθητικό!$J$2:$N$354,3,FALSE))</f>
        <v>_</v>
      </c>
      <c r="AM429" s="47"/>
      <c r="AN429" s="4" t="s">
        <v>16</v>
      </c>
      <c r="AO429" s="43" t="str">
        <f>IF(VLOOKUP(AN429,βοηθητικό!$J$2:$N$354,3,FALSE)="","",VLOOKUP(AN429,βοηθητικό!$J$2:$N$354,3,FALSE))</f>
        <v>_</v>
      </c>
      <c r="AP429" s="44"/>
      <c r="AQ429" s="5" t="s">
        <v>16</v>
      </c>
      <c r="AR429" s="46" t="str">
        <f>IF(VLOOKUP(AQ429,βοηθητικό!$J$2:$N$354,3,FALSE)="","",VLOOKUP(AQ429,βοηθητικό!$J$2:$N$354,3,FALSE))</f>
        <v>_</v>
      </c>
      <c r="AS429" s="47"/>
      <c r="AT429" s="4" t="s">
        <v>16</v>
      </c>
      <c r="AU429" s="43" t="str">
        <f>IF(VLOOKUP(AT429,βοηθητικό!$J$2:$N$354,3,FALSE)="","",VLOOKUP(AT429,βοηθητικό!$J$2:$N$354,3,FALSE))</f>
        <v>_</v>
      </c>
      <c r="AV429" s="44"/>
      <c r="AW429" s="5" t="s">
        <v>16</v>
      </c>
      <c r="AX429" s="46" t="str">
        <f>IF(VLOOKUP(AW429,βοηθητικό!$J$2:$N$354,3,FALSE)="","",VLOOKUP(AW429,βοηθητικό!$J$2:$N$354,3,FALSE))</f>
        <v>_</v>
      </c>
      <c r="AY429" s="47"/>
      <c r="AZ429" s="4" t="s">
        <v>16</v>
      </c>
      <c r="BA429" s="43" t="str">
        <f>IF(VLOOKUP(AZ429,βοηθητικό!$J$2:$N$354,3,FALSE)="","",VLOOKUP(AZ429,βοηθητικό!$J$2:$N$354,3,FALSE))</f>
        <v>_</v>
      </c>
      <c r="BB429" s="44"/>
      <c r="BC429" s="45" t="s">
        <v>16</v>
      </c>
      <c r="BD429" s="46" t="str">
        <f>IF(VLOOKUP(BC429,βοηθητικό!$J$2:$N$354,3,FALSE)="","",VLOOKUP(BC429,βοηθητικό!$J$2:$N$354,3,FALSE))</f>
        <v>_</v>
      </c>
      <c r="BE429" s="47"/>
      <c r="BF429" s="42" t="s">
        <v>16</v>
      </c>
      <c r="BG429" s="43" t="str">
        <f>IF(VLOOKUP(BF429,βοηθητικό!$J$2:$N$354,3,FALSE)="","",VLOOKUP(BF429,βοηθητικό!$J$2:$N$354,3,FALSE))</f>
        <v>_</v>
      </c>
      <c r="BH429" s="44"/>
      <c r="BI429" s="45" t="s">
        <v>16</v>
      </c>
      <c r="BJ429" s="46" t="str">
        <f>IF(VLOOKUP(BI429,βοηθητικό!$J$2:$N$354,3,FALSE)="","",VLOOKUP(BI429,βοηθητικό!$J$2:$N$354,3,FALSE))</f>
        <v>_</v>
      </c>
      <c r="BK429" s="47"/>
      <c r="BL429" s="42" t="s">
        <v>16</v>
      </c>
      <c r="BM429" s="43" t="str">
        <f>IF(VLOOKUP(BL429,βοηθητικό!$J$2:$N$354,3,FALSE)="","",VLOOKUP(BL429,βοηθητικό!$J$2:$N$354,3,FALSE))</f>
        <v>_</v>
      </c>
      <c r="BN429" s="44"/>
      <c r="BO429" s="45" t="s">
        <v>16</v>
      </c>
      <c r="BP429" s="46" t="str">
        <f>IF(VLOOKUP(BO429,βοηθητικό!$J$2:$N$354,3,FALSE)="","",VLOOKUP(BO429,βοηθητικό!$J$2:$N$354,3,FALSE))</f>
        <v>_</v>
      </c>
      <c r="BQ429" s="47"/>
      <c r="BR429" s="42" t="s">
        <v>16</v>
      </c>
      <c r="BS429" s="43" t="str">
        <f>IF(VLOOKUP(BR429,βοηθητικό!$J$2:$N$354,3,FALSE)="","",VLOOKUP(BR429,βοηθητικό!$J$2:$N$354,3,FALSE))</f>
        <v>_</v>
      </c>
      <c r="BT429" s="44"/>
      <c r="BU429" s="45" t="s">
        <v>16</v>
      </c>
      <c r="BV429" s="46" t="str">
        <f>IF(VLOOKUP(BU429,βοηθητικό!$J$2:$N$354,3,FALSE)="","",VLOOKUP(BU429,βοηθητικό!$J$2:$N$354,3,FALSE))</f>
        <v>_</v>
      </c>
      <c r="BW429" s="47"/>
      <c r="BX429" s="42" t="s">
        <v>16</v>
      </c>
      <c r="BY429" s="43" t="str">
        <f>IF(VLOOKUP(BX429,βοηθητικό!$J$2:$N$354,3,FALSE)="","",VLOOKUP(BX429,βοηθητικό!$J$2:$N$354,3,FALSE))</f>
        <v>_</v>
      </c>
      <c r="BZ429" s="44"/>
      <c r="CA429" s="45" t="s">
        <v>16</v>
      </c>
      <c r="CB429" s="46" t="str">
        <f>IF(VLOOKUP(CA429,βοηθητικό!$J$2:$N$354,3,FALSE)="","",VLOOKUP(CA429,βοηθητικό!$J$2:$N$354,3,FALSE))</f>
        <v>_</v>
      </c>
      <c r="CC429" s="47"/>
      <c r="CD429" s="42" t="s">
        <v>16</v>
      </c>
      <c r="CE429" s="43" t="str">
        <f>IF(VLOOKUP(CD429,βοηθητικό!$J$2:$N$354,3,FALSE)="","",VLOOKUP(CD429,βοηθητικό!$J$2:$N$354,3,FALSE))</f>
        <v>_</v>
      </c>
      <c r="CF429" s="44"/>
      <c r="CG429" s="45" t="s">
        <v>16</v>
      </c>
      <c r="CH429" s="46" t="str">
        <f>IF(VLOOKUP(CG429,βοηθητικό!$J$2:$N$354,3,FALSE)="","",VLOOKUP(CG429,βοηθητικό!$J$2:$N$354,3,FALSE))</f>
        <v>_</v>
      </c>
      <c r="CI429" s="47"/>
      <c r="CJ429" s="42" t="s">
        <v>16</v>
      </c>
      <c r="CK429" s="43" t="str">
        <f>IF(VLOOKUP(CJ429,βοηθητικό!$J$2:$N$354,3,FALSE)="","",VLOOKUP(CJ429,βοηθητικό!$J$2:$N$354,3,FALSE))</f>
        <v>_</v>
      </c>
      <c r="CL429" s="44"/>
      <c r="CM429" s="45" t="s">
        <v>16</v>
      </c>
      <c r="CN429" s="46" t="str">
        <f>IF(VLOOKUP(CM429,βοηθητικό!$J$2:$N$354,3,FALSE)="","",VLOOKUP(CM429,βοηθητικό!$J$2:$N$354,3,FALSE))</f>
        <v>_</v>
      </c>
      <c r="CO429" s="47"/>
      <c r="CP429" s="42" t="s">
        <v>16</v>
      </c>
      <c r="CQ429" s="43" t="str">
        <f>IF(VLOOKUP(CP429,βοηθητικό!$J$2:$N$354,3,FALSE)="","",VLOOKUP(CP429,βοηθητικό!$J$2:$N$354,3,FALSE))</f>
        <v>_</v>
      </c>
      <c r="CR429" s="44"/>
      <c r="CS429" s="45" t="s">
        <v>16</v>
      </c>
      <c r="CT429" s="46" t="str">
        <f>IF(VLOOKUP(CS429,βοηθητικό!$J$2:$N$354,3,FALSE)="","",VLOOKUP(CS429,βοηθητικό!$J$2:$N$354,3,FALSE))</f>
        <v>_</v>
      </c>
      <c r="CU429" s="47"/>
    </row>
    <row r="430" spans="1:99" x14ac:dyDescent="0.25">
      <c r="A430" s="37">
        <f>--SUBTOTAL(3,$B$3:B429)</f>
        <v>198</v>
      </c>
      <c r="B430" s="2"/>
      <c r="C430" s="3"/>
      <c r="D430" s="55" t="s">
        <v>18</v>
      </c>
      <c r="E430" s="38" t="s">
        <v>16</v>
      </c>
      <c r="F430" s="38" t="s">
        <v>16</v>
      </c>
      <c r="G430" s="39" t="str">
        <f t="shared" si="20"/>
        <v>__</v>
      </c>
      <c r="H430" s="40" t="str">
        <f t="shared" si="21"/>
        <v>FALSE</v>
      </c>
      <c r="I430" s="41">
        <f t="shared" si="22"/>
        <v>0</v>
      </c>
      <c r="J430" s="4" t="s">
        <v>16</v>
      </c>
      <c r="K430" s="43" t="str">
        <f>IF(VLOOKUP(J430,βοηθητικό!$J$2:$N$354,3,FALSE)="","",VLOOKUP(J430,βοηθητικό!$J$2:$N$354,3,FALSE))</f>
        <v>_</v>
      </c>
      <c r="L430" s="44"/>
      <c r="M430" s="5" t="s">
        <v>16</v>
      </c>
      <c r="N430" s="46" t="str">
        <f>IF(VLOOKUP(M430,βοηθητικό!$J$2:$N$354,3,FALSE)="","",VLOOKUP(M430,βοηθητικό!$J$2:$N$354,3,FALSE))</f>
        <v>_</v>
      </c>
      <c r="O430" s="47"/>
      <c r="P430" s="4" t="s">
        <v>16</v>
      </c>
      <c r="Q430" s="43" t="str">
        <f>IF(VLOOKUP(P430,βοηθητικό!$J$2:$N$354,3,FALSE)="","",VLOOKUP(P430,βοηθητικό!$J$2:$N$354,3,FALSE))</f>
        <v>_</v>
      </c>
      <c r="R430" s="44"/>
      <c r="S430" s="5" t="s">
        <v>16</v>
      </c>
      <c r="T430" s="46" t="str">
        <f>IF(VLOOKUP(S430,βοηθητικό!$J$2:$N$354,3,FALSE)="","",VLOOKUP(S430,βοηθητικό!$J$2:$N$354,3,FALSE))</f>
        <v>_</v>
      </c>
      <c r="U430" s="47"/>
      <c r="V430" s="4" t="s">
        <v>16</v>
      </c>
      <c r="W430" s="43" t="str">
        <f>IF(VLOOKUP(V430,βοηθητικό!$J$2:$N$354,3,FALSE)="","",VLOOKUP(V430,βοηθητικό!$J$2:$N$354,3,FALSE))</f>
        <v>_</v>
      </c>
      <c r="X430" s="44"/>
      <c r="Y430" s="5" t="s">
        <v>16</v>
      </c>
      <c r="Z430" s="46" t="str">
        <f>IF(VLOOKUP(Y430,βοηθητικό!$J$2:$N$354,3,FALSE)="","",VLOOKUP(Y430,βοηθητικό!$J$2:$N$354,3,FALSE))</f>
        <v>_</v>
      </c>
      <c r="AA430" s="47"/>
      <c r="AB430" s="4" t="s">
        <v>16</v>
      </c>
      <c r="AC430" s="43" t="str">
        <f>IF(VLOOKUP(AB430,βοηθητικό!$J$2:$N$354,3,FALSE)="","",VLOOKUP(AB430,βοηθητικό!$J$2:$N$354,3,FALSE))</f>
        <v>_</v>
      </c>
      <c r="AD430" s="44"/>
      <c r="AE430" s="5" t="s">
        <v>16</v>
      </c>
      <c r="AF430" s="46" t="str">
        <f>IF(VLOOKUP(AE430,βοηθητικό!$J$2:$N$354,3,FALSE)="","",VLOOKUP(AE430,βοηθητικό!$J$2:$N$354,3,FALSE))</f>
        <v>_</v>
      </c>
      <c r="AG430" s="47"/>
      <c r="AH430" s="4" t="s">
        <v>16</v>
      </c>
      <c r="AI430" s="43" t="str">
        <f>IF(VLOOKUP(AH430,βοηθητικό!$J$2:$N$354,3,FALSE)="","",VLOOKUP(AH430,βοηθητικό!$J$2:$N$354,3,FALSE))</f>
        <v>_</v>
      </c>
      <c r="AJ430" s="44"/>
      <c r="AK430" s="5" t="s">
        <v>16</v>
      </c>
      <c r="AL430" s="46" t="str">
        <f>IF(VLOOKUP(AK430,βοηθητικό!$J$2:$N$354,3,FALSE)="","",VLOOKUP(AK430,βοηθητικό!$J$2:$N$354,3,FALSE))</f>
        <v>_</v>
      </c>
      <c r="AM430" s="47"/>
      <c r="AN430" s="4" t="s">
        <v>16</v>
      </c>
      <c r="AO430" s="43" t="str">
        <f>IF(VLOOKUP(AN430,βοηθητικό!$J$2:$N$354,3,FALSE)="","",VLOOKUP(AN430,βοηθητικό!$J$2:$N$354,3,FALSE))</f>
        <v>_</v>
      </c>
      <c r="AP430" s="44"/>
      <c r="AQ430" s="5" t="s">
        <v>16</v>
      </c>
      <c r="AR430" s="46" t="str">
        <f>IF(VLOOKUP(AQ430,βοηθητικό!$J$2:$N$354,3,FALSE)="","",VLOOKUP(AQ430,βοηθητικό!$J$2:$N$354,3,FALSE))</f>
        <v>_</v>
      </c>
      <c r="AS430" s="47"/>
      <c r="AT430" s="4" t="s">
        <v>16</v>
      </c>
      <c r="AU430" s="43" t="str">
        <f>IF(VLOOKUP(AT430,βοηθητικό!$J$2:$N$354,3,FALSE)="","",VLOOKUP(AT430,βοηθητικό!$J$2:$N$354,3,FALSE))</f>
        <v>_</v>
      </c>
      <c r="AV430" s="44"/>
      <c r="AW430" s="5" t="s">
        <v>16</v>
      </c>
      <c r="AX430" s="46" t="str">
        <f>IF(VLOOKUP(AW430,βοηθητικό!$J$2:$N$354,3,FALSE)="","",VLOOKUP(AW430,βοηθητικό!$J$2:$N$354,3,FALSE))</f>
        <v>_</v>
      </c>
      <c r="AY430" s="47"/>
      <c r="AZ430" s="4" t="s">
        <v>16</v>
      </c>
      <c r="BA430" s="43" t="str">
        <f>IF(VLOOKUP(AZ430,βοηθητικό!$J$2:$N$354,3,FALSE)="","",VLOOKUP(AZ430,βοηθητικό!$J$2:$N$354,3,FALSE))</f>
        <v>_</v>
      </c>
      <c r="BB430" s="44"/>
      <c r="BC430" s="45" t="s">
        <v>16</v>
      </c>
      <c r="BD430" s="46" t="str">
        <f>IF(VLOOKUP(BC430,βοηθητικό!$J$2:$N$354,3,FALSE)="","",VLOOKUP(BC430,βοηθητικό!$J$2:$N$354,3,FALSE))</f>
        <v>_</v>
      </c>
      <c r="BE430" s="47"/>
      <c r="BF430" s="42" t="s">
        <v>16</v>
      </c>
      <c r="BG430" s="43" t="str">
        <f>IF(VLOOKUP(BF430,βοηθητικό!$J$2:$N$354,3,FALSE)="","",VLOOKUP(BF430,βοηθητικό!$J$2:$N$354,3,FALSE))</f>
        <v>_</v>
      </c>
      <c r="BH430" s="44"/>
      <c r="BI430" s="45" t="s">
        <v>16</v>
      </c>
      <c r="BJ430" s="46" t="str">
        <f>IF(VLOOKUP(BI430,βοηθητικό!$J$2:$N$354,3,FALSE)="","",VLOOKUP(BI430,βοηθητικό!$J$2:$N$354,3,FALSE))</f>
        <v>_</v>
      </c>
      <c r="BK430" s="47"/>
      <c r="BL430" s="42" t="s">
        <v>16</v>
      </c>
      <c r="BM430" s="43" t="str">
        <f>IF(VLOOKUP(BL430,βοηθητικό!$J$2:$N$354,3,FALSE)="","",VLOOKUP(BL430,βοηθητικό!$J$2:$N$354,3,FALSE))</f>
        <v>_</v>
      </c>
      <c r="BN430" s="44"/>
      <c r="BO430" s="45" t="s">
        <v>16</v>
      </c>
      <c r="BP430" s="46" t="str">
        <f>IF(VLOOKUP(BO430,βοηθητικό!$J$2:$N$354,3,FALSE)="","",VLOOKUP(BO430,βοηθητικό!$J$2:$N$354,3,FALSE))</f>
        <v>_</v>
      </c>
      <c r="BQ430" s="47"/>
      <c r="BR430" s="42" t="s">
        <v>16</v>
      </c>
      <c r="BS430" s="43" t="str">
        <f>IF(VLOOKUP(BR430,βοηθητικό!$J$2:$N$354,3,FALSE)="","",VLOOKUP(BR430,βοηθητικό!$J$2:$N$354,3,FALSE))</f>
        <v>_</v>
      </c>
      <c r="BT430" s="44"/>
      <c r="BU430" s="45" t="s">
        <v>16</v>
      </c>
      <c r="BV430" s="46" t="str">
        <f>IF(VLOOKUP(BU430,βοηθητικό!$J$2:$N$354,3,FALSE)="","",VLOOKUP(BU430,βοηθητικό!$J$2:$N$354,3,FALSE))</f>
        <v>_</v>
      </c>
      <c r="BW430" s="47"/>
      <c r="BX430" s="42" t="s">
        <v>16</v>
      </c>
      <c r="BY430" s="43" t="str">
        <f>IF(VLOOKUP(BX430,βοηθητικό!$J$2:$N$354,3,FALSE)="","",VLOOKUP(BX430,βοηθητικό!$J$2:$N$354,3,FALSE))</f>
        <v>_</v>
      </c>
      <c r="BZ430" s="44"/>
      <c r="CA430" s="45" t="s">
        <v>16</v>
      </c>
      <c r="CB430" s="46" t="str">
        <f>IF(VLOOKUP(CA430,βοηθητικό!$J$2:$N$354,3,FALSE)="","",VLOOKUP(CA430,βοηθητικό!$J$2:$N$354,3,FALSE))</f>
        <v>_</v>
      </c>
      <c r="CC430" s="47"/>
      <c r="CD430" s="42" t="s">
        <v>16</v>
      </c>
      <c r="CE430" s="43" t="str">
        <f>IF(VLOOKUP(CD430,βοηθητικό!$J$2:$N$354,3,FALSE)="","",VLOOKUP(CD430,βοηθητικό!$J$2:$N$354,3,FALSE))</f>
        <v>_</v>
      </c>
      <c r="CF430" s="44"/>
      <c r="CG430" s="45" t="s">
        <v>16</v>
      </c>
      <c r="CH430" s="46" t="str">
        <f>IF(VLOOKUP(CG430,βοηθητικό!$J$2:$N$354,3,FALSE)="","",VLOOKUP(CG430,βοηθητικό!$J$2:$N$354,3,FALSE))</f>
        <v>_</v>
      </c>
      <c r="CI430" s="47"/>
      <c r="CJ430" s="42" t="s">
        <v>16</v>
      </c>
      <c r="CK430" s="43" t="str">
        <f>IF(VLOOKUP(CJ430,βοηθητικό!$J$2:$N$354,3,FALSE)="","",VLOOKUP(CJ430,βοηθητικό!$J$2:$N$354,3,FALSE))</f>
        <v>_</v>
      </c>
      <c r="CL430" s="44"/>
      <c r="CM430" s="45" t="s">
        <v>16</v>
      </c>
      <c r="CN430" s="46" t="str">
        <f>IF(VLOOKUP(CM430,βοηθητικό!$J$2:$N$354,3,FALSE)="","",VLOOKUP(CM430,βοηθητικό!$J$2:$N$354,3,FALSE))</f>
        <v>_</v>
      </c>
      <c r="CO430" s="47"/>
      <c r="CP430" s="42" t="s">
        <v>16</v>
      </c>
      <c r="CQ430" s="43" t="str">
        <f>IF(VLOOKUP(CP430,βοηθητικό!$J$2:$N$354,3,FALSE)="","",VLOOKUP(CP430,βοηθητικό!$J$2:$N$354,3,FALSE))</f>
        <v>_</v>
      </c>
      <c r="CR430" s="44"/>
      <c r="CS430" s="45" t="s">
        <v>16</v>
      </c>
      <c r="CT430" s="46" t="str">
        <f>IF(VLOOKUP(CS430,βοηθητικό!$J$2:$N$354,3,FALSE)="","",VLOOKUP(CS430,βοηθητικό!$J$2:$N$354,3,FALSE))</f>
        <v>_</v>
      </c>
      <c r="CU430" s="47"/>
    </row>
    <row r="431" spans="1:99" x14ac:dyDescent="0.25">
      <c r="A431" s="37">
        <f>--SUBTOTAL(3,$B$3:B430)</f>
        <v>198</v>
      </c>
      <c r="B431" s="2"/>
      <c r="C431" s="3"/>
      <c r="D431" s="55" t="s">
        <v>18</v>
      </c>
      <c r="E431" s="38" t="s">
        <v>16</v>
      </c>
      <c r="F431" s="38" t="s">
        <v>16</v>
      </c>
      <c r="G431" s="39" t="str">
        <f t="shared" si="20"/>
        <v>__</v>
      </c>
      <c r="H431" s="40" t="str">
        <f t="shared" si="21"/>
        <v>FALSE</v>
      </c>
      <c r="I431" s="41">
        <f t="shared" si="22"/>
        <v>0</v>
      </c>
      <c r="J431" s="4" t="s">
        <v>16</v>
      </c>
      <c r="K431" s="43" t="str">
        <f>IF(VLOOKUP(J431,βοηθητικό!$J$2:$N$354,3,FALSE)="","",VLOOKUP(J431,βοηθητικό!$J$2:$N$354,3,FALSE))</f>
        <v>_</v>
      </c>
      <c r="L431" s="44"/>
      <c r="M431" s="5" t="s">
        <v>16</v>
      </c>
      <c r="N431" s="46" t="str">
        <f>IF(VLOOKUP(M431,βοηθητικό!$J$2:$N$354,3,FALSE)="","",VLOOKUP(M431,βοηθητικό!$J$2:$N$354,3,FALSE))</f>
        <v>_</v>
      </c>
      <c r="O431" s="47"/>
      <c r="P431" s="4" t="s">
        <v>16</v>
      </c>
      <c r="Q431" s="43" t="str">
        <f>IF(VLOOKUP(P431,βοηθητικό!$J$2:$N$354,3,FALSE)="","",VLOOKUP(P431,βοηθητικό!$J$2:$N$354,3,FALSE))</f>
        <v>_</v>
      </c>
      <c r="R431" s="44"/>
      <c r="S431" s="5" t="s">
        <v>16</v>
      </c>
      <c r="T431" s="46" t="str">
        <f>IF(VLOOKUP(S431,βοηθητικό!$J$2:$N$354,3,FALSE)="","",VLOOKUP(S431,βοηθητικό!$J$2:$N$354,3,FALSE))</f>
        <v>_</v>
      </c>
      <c r="U431" s="47"/>
      <c r="V431" s="4" t="s">
        <v>16</v>
      </c>
      <c r="W431" s="43" t="str">
        <f>IF(VLOOKUP(V431,βοηθητικό!$J$2:$N$354,3,FALSE)="","",VLOOKUP(V431,βοηθητικό!$J$2:$N$354,3,FALSE))</f>
        <v>_</v>
      </c>
      <c r="X431" s="44"/>
      <c r="Y431" s="5" t="s">
        <v>16</v>
      </c>
      <c r="Z431" s="46" t="str">
        <f>IF(VLOOKUP(Y431,βοηθητικό!$J$2:$N$354,3,FALSE)="","",VLOOKUP(Y431,βοηθητικό!$J$2:$N$354,3,FALSE))</f>
        <v>_</v>
      </c>
      <c r="AA431" s="47"/>
      <c r="AB431" s="4" t="s">
        <v>16</v>
      </c>
      <c r="AC431" s="43" t="str">
        <f>IF(VLOOKUP(AB431,βοηθητικό!$J$2:$N$354,3,FALSE)="","",VLOOKUP(AB431,βοηθητικό!$J$2:$N$354,3,FALSE))</f>
        <v>_</v>
      </c>
      <c r="AD431" s="44"/>
      <c r="AE431" s="5" t="s">
        <v>16</v>
      </c>
      <c r="AF431" s="46" t="str">
        <f>IF(VLOOKUP(AE431,βοηθητικό!$J$2:$N$354,3,FALSE)="","",VLOOKUP(AE431,βοηθητικό!$J$2:$N$354,3,FALSE))</f>
        <v>_</v>
      </c>
      <c r="AG431" s="47"/>
      <c r="AH431" s="4" t="s">
        <v>16</v>
      </c>
      <c r="AI431" s="43" t="str">
        <f>IF(VLOOKUP(AH431,βοηθητικό!$J$2:$N$354,3,FALSE)="","",VLOOKUP(AH431,βοηθητικό!$J$2:$N$354,3,FALSE))</f>
        <v>_</v>
      </c>
      <c r="AJ431" s="44"/>
      <c r="AK431" s="5" t="s">
        <v>16</v>
      </c>
      <c r="AL431" s="46" t="str">
        <f>IF(VLOOKUP(AK431,βοηθητικό!$J$2:$N$354,3,FALSE)="","",VLOOKUP(AK431,βοηθητικό!$J$2:$N$354,3,FALSE))</f>
        <v>_</v>
      </c>
      <c r="AM431" s="47"/>
      <c r="AN431" s="4" t="s">
        <v>16</v>
      </c>
      <c r="AO431" s="43" t="str">
        <f>IF(VLOOKUP(AN431,βοηθητικό!$J$2:$N$354,3,FALSE)="","",VLOOKUP(AN431,βοηθητικό!$J$2:$N$354,3,FALSE))</f>
        <v>_</v>
      </c>
      <c r="AP431" s="44"/>
      <c r="AQ431" s="5" t="s">
        <v>16</v>
      </c>
      <c r="AR431" s="46" t="str">
        <f>IF(VLOOKUP(AQ431,βοηθητικό!$J$2:$N$354,3,FALSE)="","",VLOOKUP(AQ431,βοηθητικό!$J$2:$N$354,3,FALSE))</f>
        <v>_</v>
      </c>
      <c r="AS431" s="47"/>
      <c r="AT431" s="4" t="s">
        <v>16</v>
      </c>
      <c r="AU431" s="43" t="str">
        <f>IF(VLOOKUP(AT431,βοηθητικό!$J$2:$N$354,3,FALSE)="","",VLOOKUP(AT431,βοηθητικό!$J$2:$N$354,3,FALSE))</f>
        <v>_</v>
      </c>
      <c r="AV431" s="44"/>
      <c r="AW431" s="5" t="s">
        <v>16</v>
      </c>
      <c r="AX431" s="46" t="str">
        <f>IF(VLOOKUP(AW431,βοηθητικό!$J$2:$N$354,3,FALSE)="","",VLOOKUP(AW431,βοηθητικό!$J$2:$N$354,3,FALSE))</f>
        <v>_</v>
      </c>
      <c r="AY431" s="47"/>
      <c r="AZ431" s="4" t="s">
        <v>16</v>
      </c>
      <c r="BA431" s="43" t="str">
        <f>IF(VLOOKUP(AZ431,βοηθητικό!$J$2:$N$354,3,FALSE)="","",VLOOKUP(AZ431,βοηθητικό!$J$2:$N$354,3,FALSE))</f>
        <v>_</v>
      </c>
      <c r="BB431" s="44"/>
      <c r="BC431" s="45" t="s">
        <v>16</v>
      </c>
      <c r="BD431" s="46" t="str">
        <f>IF(VLOOKUP(BC431,βοηθητικό!$J$2:$N$354,3,FALSE)="","",VLOOKUP(BC431,βοηθητικό!$J$2:$N$354,3,FALSE))</f>
        <v>_</v>
      </c>
      <c r="BE431" s="47"/>
      <c r="BF431" s="42" t="s">
        <v>16</v>
      </c>
      <c r="BG431" s="43" t="str">
        <f>IF(VLOOKUP(BF431,βοηθητικό!$J$2:$N$354,3,FALSE)="","",VLOOKUP(BF431,βοηθητικό!$J$2:$N$354,3,FALSE))</f>
        <v>_</v>
      </c>
      <c r="BH431" s="44"/>
      <c r="BI431" s="45" t="s">
        <v>16</v>
      </c>
      <c r="BJ431" s="46" t="str">
        <f>IF(VLOOKUP(BI431,βοηθητικό!$J$2:$N$354,3,FALSE)="","",VLOOKUP(BI431,βοηθητικό!$J$2:$N$354,3,FALSE))</f>
        <v>_</v>
      </c>
      <c r="BK431" s="47"/>
      <c r="BL431" s="42" t="s">
        <v>16</v>
      </c>
      <c r="BM431" s="43" t="str">
        <f>IF(VLOOKUP(BL431,βοηθητικό!$J$2:$N$354,3,FALSE)="","",VLOOKUP(BL431,βοηθητικό!$J$2:$N$354,3,FALSE))</f>
        <v>_</v>
      </c>
      <c r="BN431" s="44"/>
      <c r="BO431" s="45" t="s">
        <v>16</v>
      </c>
      <c r="BP431" s="46" t="str">
        <f>IF(VLOOKUP(BO431,βοηθητικό!$J$2:$N$354,3,FALSE)="","",VLOOKUP(BO431,βοηθητικό!$J$2:$N$354,3,FALSE))</f>
        <v>_</v>
      </c>
      <c r="BQ431" s="47"/>
      <c r="BR431" s="42" t="s">
        <v>16</v>
      </c>
      <c r="BS431" s="43" t="str">
        <f>IF(VLOOKUP(BR431,βοηθητικό!$J$2:$N$354,3,FALSE)="","",VLOOKUP(BR431,βοηθητικό!$J$2:$N$354,3,FALSE))</f>
        <v>_</v>
      </c>
      <c r="BT431" s="44"/>
      <c r="BU431" s="45" t="s">
        <v>16</v>
      </c>
      <c r="BV431" s="46" t="str">
        <f>IF(VLOOKUP(BU431,βοηθητικό!$J$2:$N$354,3,FALSE)="","",VLOOKUP(BU431,βοηθητικό!$J$2:$N$354,3,FALSE))</f>
        <v>_</v>
      </c>
      <c r="BW431" s="47"/>
      <c r="BX431" s="42" t="s">
        <v>16</v>
      </c>
      <c r="BY431" s="43" t="str">
        <f>IF(VLOOKUP(BX431,βοηθητικό!$J$2:$N$354,3,FALSE)="","",VLOOKUP(BX431,βοηθητικό!$J$2:$N$354,3,FALSE))</f>
        <v>_</v>
      </c>
      <c r="BZ431" s="44"/>
      <c r="CA431" s="45" t="s">
        <v>16</v>
      </c>
      <c r="CB431" s="46" t="str">
        <f>IF(VLOOKUP(CA431,βοηθητικό!$J$2:$N$354,3,FALSE)="","",VLOOKUP(CA431,βοηθητικό!$J$2:$N$354,3,FALSE))</f>
        <v>_</v>
      </c>
      <c r="CC431" s="47"/>
      <c r="CD431" s="42" t="s">
        <v>16</v>
      </c>
      <c r="CE431" s="43" t="str">
        <f>IF(VLOOKUP(CD431,βοηθητικό!$J$2:$N$354,3,FALSE)="","",VLOOKUP(CD431,βοηθητικό!$J$2:$N$354,3,FALSE))</f>
        <v>_</v>
      </c>
      <c r="CF431" s="44"/>
      <c r="CG431" s="45" t="s">
        <v>16</v>
      </c>
      <c r="CH431" s="46" t="str">
        <f>IF(VLOOKUP(CG431,βοηθητικό!$J$2:$N$354,3,FALSE)="","",VLOOKUP(CG431,βοηθητικό!$J$2:$N$354,3,FALSE))</f>
        <v>_</v>
      </c>
      <c r="CI431" s="47"/>
      <c r="CJ431" s="42" t="s">
        <v>16</v>
      </c>
      <c r="CK431" s="43" t="str">
        <f>IF(VLOOKUP(CJ431,βοηθητικό!$J$2:$N$354,3,FALSE)="","",VLOOKUP(CJ431,βοηθητικό!$J$2:$N$354,3,FALSE))</f>
        <v>_</v>
      </c>
      <c r="CL431" s="44"/>
      <c r="CM431" s="45" t="s">
        <v>16</v>
      </c>
      <c r="CN431" s="46" t="str">
        <f>IF(VLOOKUP(CM431,βοηθητικό!$J$2:$N$354,3,FALSE)="","",VLOOKUP(CM431,βοηθητικό!$J$2:$N$354,3,FALSE))</f>
        <v>_</v>
      </c>
      <c r="CO431" s="47"/>
      <c r="CP431" s="42" t="s">
        <v>16</v>
      </c>
      <c r="CQ431" s="43" t="str">
        <f>IF(VLOOKUP(CP431,βοηθητικό!$J$2:$N$354,3,FALSE)="","",VLOOKUP(CP431,βοηθητικό!$J$2:$N$354,3,FALSE))</f>
        <v>_</v>
      </c>
      <c r="CR431" s="44"/>
      <c r="CS431" s="45" t="s">
        <v>16</v>
      </c>
      <c r="CT431" s="46" t="str">
        <f>IF(VLOOKUP(CS431,βοηθητικό!$J$2:$N$354,3,FALSE)="","",VLOOKUP(CS431,βοηθητικό!$J$2:$N$354,3,FALSE))</f>
        <v>_</v>
      </c>
      <c r="CU431" s="47"/>
    </row>
    <row r="432" spans="1:99" x14ac:dyDescent="0.25">
      <c r="A432" s="37">
        <f>--SUBTOTAL(3,$B$3:B431)</f>
        <v>198</v>
      </c>
      <c r="B432" s="2"/>
      <c r="C432" s="3"/>
      <c r="D432" s="55" t="s">
        <v>18</v>
      </c>
      <c r="E432" s="38" t="s">
        <v>16</v>
      </c>
      <c r="F432" s="38" t="s">
        <v>16</v>
      </c>
      <c r="G432" s="39" t="str">
        <f t="shared" si="20"/>
        <v>__</v>
      </c>
      <c r="H432" s="40" t="str">
        <f t="shared" si="21"/>
        <v>FALSE</v>
      </c>
      <c r="I432" s="41">
        <f t="shared" si="22"/>
        <v>0</v>
      </c>
      <c r="J432" s="4" t="s">
        <v>16</v>
      </c>
      <c r="K432" s="43" t="str">
        <f>IF(VLOOKUP(J432,βοηθητικό!$J$2:$N$354,3,FALSE)="","",VLOOKUP(J432,βοηθητικό!$J$2:$N$354,3,FALSE))</f>
        <v>_</v>
      </c>
      <c r="L432" s="44"/>
      <c r="M432" s="5" t="s">
        <v>16</v>
      </c>
      <c r="N432" s="46" t="str">
        <f>IF(VLOOKUP(M432,βοηθητικό!$J$2:$N$354,3,FALSE)="","",VLOOKUP(M432,βοηθητικό!$J$2:$N$354,3,FALSE))</f>
        <v>_</v>
      </c>
      <c r="O432" s="47"/>
      <c r="P432" s="4" t="s">
        <v>16</v>
      </c>
      <c r="Q432" s="43" t="str">
        <f>IF(VLOOKUP(P432,βοηθητικό!$J$2:$N$354,3,FALSE)="","",VLOOKUP(P432,βοηθητικό!$J$2:$N$354,3,FALSE))</f>
        <v>_</v>
      </c>
      <c r="R432" s="44"/>
      <c r="S432" s="5" t="s">
        <v>16</v>
      </c>
      <c r="T432" s="46" t="str">
        <f>IF(VLOOKUP(S432,βοηθητικό!$J$2:$N$354,3,FALSE)="","",VLOOKUP(S432,βοηθητικό!$J$2:$N$354,3,FALSE))</f>
        <v>_</v>
      </c>
      <c r="U432" s="47"/>
      <c r="V432" s="4" t="s">
        <v>16</v>
      </c>
      <c r="W432" s="43" t="str">
        <f>IF(VLOOKUP(V432,βοηθητικό!$J$2:$N$354,3,FALSE)="","",VLOOKUP(V432,βοηθητικό!$J$2:$N$354,3,FALSE))</f>
        <v>_</v>
      </c>
      <c r="X432" s="44"/>
      <c r="Y432" s="5" t="s">
        <v>16</v>
      </c>
      <c r="Z432" s="46" t="str">
        <f>IF(VLOOKUP(Y432,βοηθητικό!$J$2:$N$354,3,FALSE)="","",VLOOKUP(Y432,βοηθητικό!$J$2:$N$354,3,FALSE))</f>
        <v>_</v>
      </c>
      <c r="AA432" s="47"/>
      <c r="AB432" s="4" t="s">
        <v>16</v>
      </c>
      <c r="AC432" s="43" t="str">
        <f>IF(VLOOKUP(AB432,βοηθητικό!$J$2:$N$354,3,FALSE)="","",VLOOKUP(AB432,βοηθητικό!$J$2:$N$354,3,FALSE))</f>
        <v>_</v>
      </c>
      <c r="AD432" s="44"/>
      <c r="AE432" s="5" t="s">
        <v>16</v>
      </c>
      <c r="AF432" s="46" t="str">
        <f>IF(VLOOKUP(AE432,βοηθητικό!$J$2:$N$354,3,FALSE)="","",VLOOKUP(AE432,βοηθητικό!$J$2:$N$354,3,FALSE))</f>
        <v>_</v>
      </c>
      <c r="AG432" s="47"/>
      <c r="AH432" s="4" t="s">
        <v>16</v>
      </c>
      <c r="AI432" s="43" t="str">
        <f>IF(VLOOKUP(AH432,βοηθητικό!$J$2:$N$354,3,FALSE)="","",VLOOKUP(AH432,βοηθητικό!$J$2:$N$354,3,FALSE))</f>
        <v>_</v>
      </c>
      <c r="AJ432" s="44"/>
      <c r="AK432" s="5" t="s">
        <v>16</v>
      </c>
      <c r="AL432" s="46" t="str">
        <f>IF(VLOOKUP(AK432,βοηθητικό!$J$2:$N$354,3,FALSE)="","",VLOOKUP(AK432,βοηθητικό!$J$2:$N$354,3,FALSE))</f>
        <v>_</v>
      </c>
      <c r="AM432" s="47"/>
      <c r="AN432" s="4" t="s">
        <v>16</v>
      </c>
      <c r="AO432" s="43" t="str">
        <f>IF(VLOOKUP(AN432,βοηθητικό!$J$2:$N$354,3,FALSE)="","",VLOOKUP(AN432,βοηθητικό!$J$2:$N$354,3,FALSE))</f>
        <v>_</v>
      </c>
      <c r="AP432" s="44"/>
      <c r="AQ432" s="5" t="s">
        <v>16</v>
      </c>
      <c r="AR432" s="46" t="str">
        <f>IF(VLOOKUP(AQ432,βοηθητικό!$J$2:$N$354,3,FALSE)="","",VLOOKUP(AQ432,βοηθητικό!$J$2:$N$354,3,FALSE))</f>
        <v>_</v>
      </c>
      <c r="AS432" s="47"/>
      <c r="AT432" s="4" t="s">
        <v>16</v>
      </c>
      <c r="AU432" s="43" t="str">
        <f>IF(VLOOKUP(AT432,βοηθητικό!$J$2:$N$354,3,FALSE)="","",VLOOKUP(AT432,βοηθητικό!$J$2:$N$354,3,FALSE))</f>
        <v>_</v>
      </c>
      <c r="AV432" s="44"/>
      <c r="AW432" s="5" t="s">
        <v>16</v>
      </c>
      <c r="AX432" s="46" t="str">
        <f>IF(VLOOKUP(AW432,βοηθητικό!$J$2:$N$354,3,FALSE)="","",VLOOKUP(AW432,βοηθητικό!$J$2:$N$354,3,FALSE))</f>
        <v>_</v>
      </c>
      <c r="AY432" s="47"/>
      <c r="AZ432" s="4" t="s">
        <v>16</v>
      </c>
      <c r="BA432" s="43" t="str">
        <f>IF(VLOOKUP(AZ432,βοηθητικό!$J$2:$N$354,3,FALSE)="","",VLOOKUP(AZ432,βοηθητικό!$J$2:$N$354,3,FALSE))</f>
        <v>_</v>
      </c>
      <c r="BB432" s="44"/>
      <c r="BC432" s="45" t="s">
        <v>16</v>
      </c>
      <c r="BD432" s="46" t="str">
        <f>IF(VLOOKUP(BC432,βοηθητικό!$J$2:$N$354,3,FALSE)="","",VLOOKUP(BC432,βοηθητικό!$J$2:$N$354,3,FALSE))</f>
        <v>_</v>
      </c>
      <c r="BE432" s="47"/>
      <c r="BF432" s="42" t="s">
        <v>16</v>
      </c>
      <c r="BG432" s="43" t="str">
        <f>IF(VLOOKUP(BF432,βοηθητικό!$J$2:$N$354,3,FALSE)="","",VLOOKUP(BF432,βοηθητικό!$J$2:$N$354,3,FALSE))</f>
        <v>_</v>
      </c>
      <c r="BH432" s="44"/>
      <c r="BI432" s="45" t="s">
        <v>16</v>
      </c>
      <c r="BJ432" s="46" t="str">
        <f>IF(VLOOKUP(BI432,βοηθητικό!$J$2:$N$354,3,FALSE)="","",VLOOKUP(BI432,βοηθητικό!$J$2:$N$354,3,FALSE))</f>
        <v>_</v>
      </c>
      <c r="BK432" s="47"/>
      <c r="BL432" s="42" t="s">
        <v>16</v>
      </c>
      <c r="BM432" s="43" t="str">
        <f>IF(VLOOKUP(BL432,βοηθητικό!$J$2:$N$354,3,FALSE)="","",VLOOKUP(BL432,βοηθητικό!$J$2:$N$354,3,FALSE))</f>
        <v>_</v>
      </c>
      <c r="BN432" s="44"/>
      <c r="BO432" s="45" t="s">
        <v>16</v>
      </c>
      <c r="BP432" s="46" t="str">
        <f>IF(VLOOKUP(BO432,βοηθητικό!$J$2:$N$354,3,FALSE)="","",VLOOKUP(BO432,βοηθητικό!$J$2:$N$354,3,FALSE))</f>
        <v>_</v>
      </c>
      <c r="BQ432" s="47"/>
      <c r="BR432" s="42" t="s">
        <v>16</v>
      </c>
      <c r="BS432" s="43" t="str">
        <f>IF(VLOOKUP(BR432,βοηθητικό!$J$2:$N$354,3,FALSE)="","",VLOOKUP(BR432,βοηθητικό!$J$2:$N$354,3,FALSE))</f>
        <v>_</v>
      </c>
      <c r="BT432" s="44"/>
      <c r="BU432" s="45" t="s">
        <v>16</v>
      </c>
      <c r="BV432" s="46" t="str">
        <f>IF(VLOOKUP(BU432,βοηθητικό!$J$2:$N$354,3,FALSE)="","",VLOOKUP(BU432,βοηθητικό!$J$2:$N$354,3,FALSE))</f>
        <v>_</v>
      </c>
      <c r="BW432" s="47"/>
      <c r="BX432" s="42" t="s">
        <v>16</v>
      </c>
      <c r="BY432" s="43" t="str">
        <f>IF(VLOOKUP(BX432,βοηθητικό!$J$2:$N$354,3,FALSE)="","",VLOOKUP(BX432,βοηθητικό!$J$2:$N$354,3,FALSE))</f>
        <v>_</v>
      </c>
      <c r="BZ432" s="44"/>
      <c r="CA432" s="45" t="s">
        <v>16</v>
      </c>
      <c r="CB432" s="46" t="str">
        <f>IF(VLOOKUP(CA432,βοηθητικό!$J$2:$N$354,3,FALSE)="","",VLOOKUP(CA432,βοηθητικό!$J$2:$N$354,3,FALSE))</f>
        <v>_</v>
      </c>
      <c r="CC432" s="47"/>
      <c r="CD432" s="42" t="s">
        <v>16</v>
      </c>
      <c r="CE432" s="43" t="str">
        <f>IF(VLOOKUP(CD432,βοηθητικό!$J$2:$N$354,3,FALSE)="","",VLOOKUP(CD432,βοηθητικό!$J$2:$N$354,3,FALSE))</f>
        <v>_</v>
      </c>
      <c r="CF432" s="44"/>
      <c r="CG432" s="45" t="s">
        <v>16</v>
      </c>
      <c r="CH432" s="46" t="str">
        <f>IF(VLOOKUP(CG432,βοηθητικό!$J$2:$N$354,3,FALSE)="","",VLOOKUP(CG432,βοηθητικό!$J$2:$N$354,3,FALSE))</f>
        <v>_</v>
      </c>
      <c r="CI432" s="47"/>
      <c r="CJ432" s="42" t="s">
        <v>16</v>
      </c>
      <c r="CK432" s="43" t="str">
        <f>IF(VLOOKUP(CJ432,βοηθητικό!$J$2:$N$354,3,FALSE)="","",VLOOKUP(CJ432,βοηθητικό!$J$2:$N$354,3,FALSE))</f>
        <v>_</v>
      </c>
      <c r="CL432" s="44"/>
      <c r="CM432" s="45" t="s">
        <v>16</v>
      </c>
      <c r="CN432" s="46" t="str">
        <f>IF(VLOOKUP(CM432,βοηθητικό!$J$2:$N$354,3,FALSE)="","",VLOOKUP(CM432,βοηθητικό!$J$2:$N$354,3,FALSE))</f>
        <v>_</v>
      </c>
      <c r="CO432" s="47"/>
      <c r="CP432" s="42" t="s">
        <v>16</v>
      </c>
      <c r="CQ432" s="43" t="str">
        <f>IF(VLOOKUP(CP432,βοηθητικό!$J$2:$N$354,3,FALSE)="","",VLOOKUP(CP432,βοηθητικό!$J$2:$N$354,3,FALSE))</f>
        <v>_</v>
      </c>
      <c r="CR432" s="44"/>
      <c r="CS432" s="45" t="s">
        <v>16</v>
      </c>
      <c r="CT432" s="46" t="str">
        <f>IF(VLOOKUP(CS432,βοηθητικό!$J$2:$N$354,3,FALSE)="","",VLOOKUP(CS432,βοηθητικό!$J$2:$N$354,3,FALSE))</f>
        <v>_</v>
      </c>
      <c r="CU432" s="47"/>
    </row>
    <row r="433" spans="1:99" x14ac:dyDescent="0.25">
      <c r="A433" s="37">
        <f>--SUBTOTAL(3,$B$3:B432)</f>
        <v>198</v>
      </c>
      <c r="B433" s="2"/>
      <c r="C433" s="3"/>
      <c r="D433" s="55" t="s">
        <v>18</v>
      </c>
      <c r="E433" s="38" t="s">
        <v>16</v>
      </c>
      <c r="F433" s="38" t="s">
        <v>16</v>
      </c>
      <c r="G433" s="39" t="str">
        <f t="shared" si="20"/>
        <v>__</v>
      </c>
      <c r="H433" s="40" t="str">
        <f t="shared" si="21"/>
        <v>FALSE</v>
      </c>
      <c r="I433" s="41">
        <f t="shared" si="22"/>
        <v>0</v>
      </c>
      <c r="J433" s="4" t="s">
        <v>16</v>
      </c>
      <c r="K433" s="43" t="str">
        <f>IF(VLOOKUP(J433,βοηθητικό!$J$2:$N$354,3,FALSE)="","",VLOOKUP(J433,βοηθητικό!$J$2:$N$354,3,FALSE))</f>
        <v>_</v>
      </c>
      <c r="L433" s="44"/>
      <c r="M433" s="5" t="s">
        <v>16</v>
      </c>
      <c r="N433" s="46" t="str">
        <f>IF(VLOOKUP(M433,βοηθητικό!$J$2:$N$354,3,FALSE)="","",VLOOKUP(M433,βοηθητικό!$J$2:$N$354,3,FALSE))</f>
        <v>_</v>
      </c>
      <c r="O433" s="47"/>
      <c r="P433" s="4" t="s">
        <v>16</v>
      </c>
      <c r="Q433" s="43" t="str">
        <f>IF(VLOOKUP(P433,βοηθητικό!$J$2:$N$354,3,FALSE)="","",VLOOKUP(P433,βοηθητικό!$J$2:$N$354,3,FALSE))</f>
        <v>_</v>
      </c>
      <c r="R433" s="44"/>
      <c r="S433" s="5" t="s">
        <v>16</v>
      </c>
      <c r="T433" s="46" t="str">
        <f>IF(VLOOKUP(S433,βοηθητικό!$J$2:$N$354,3,FALSE)="","",VLOOKUP(S433,βοηθητικό!$J$2:$N$354,3,FALSE))</f>
        <v>_</v>
      </c>
      <c r="U433" s="47"/>
      <c r="V433" s="4" t="s">
        <v>16</v>
      </c>
      <c r="W433" s="43" t="str">
        <f>IF(VLOOKUP(V433,βοηθητικό!$J$2:$N$354,3,FALSE)="","",VLOOKUP(V433,βοηθητικό!$J$2:$N$354,3,FALSE))</f>
        <v>_</v>
      </c>
      <c r="X433" s="44"/>
      <c r="Y433" s="5" t="s">
        <v>16</v>
      </c>
      <c r="Z433" s="46" t="str">
        <f>IF(VLOOKUP(Y433,βοηθητικό!$J$2:$N$354,3,FALSE)="","",VLOOKUP(Y433,βοηθητικό!$J$2:$N$354,3,FALSE))</f>
        <v>_</v>
      </c>
      <c r="AA433" s="47"/>
      <c r="AB433" s="4" t="s">
        <v>16</v>
      </c>
      <c r="AC433" s="43" t="str">
        <f>IF(VLOOKUP(AB433,βοηθητικό!$J$2:$N$354,3,FALSE)="","",VLOOKUP(AB433,βοηθητικό!$J$2:$N$354,3,FALSE))</f>
        <v>_</v>
      </c>
      <c r="AD433" s="44"/>
      <c r="AE433" s="5" t="s">
        <v>16</v>
      </c>
      <c r="AF433" s="46" t="str">
        <f>IF(VLOOKUP(AE433,βοηθητικό!$J$2:$N$354,3,FALSE)="","",VLOOKUP(AE433,βοηθητικό!$J$2:$N$354,3,FALSE))</f>
        <v>_</v>
      </c>
      <c r="AG433" s="47"/>
      <c r="AH433" s="4" t="s">
        <v>16</v>
      </c>
      <c r="AI433" s="43" t="str">
        <f>IF(VLOOKUP(AH433,βοηθητικό!$J$2:$N$354,3,FALSE)="","",VLOOKUP(AH433,βοηθητικό!$J$2:$N$354,3,FALSE))</f>
        <v>_</v>
      </c>
      <c r="AJ433" s="44"/>
      <c r="AK433" s="5" t="s">
        <v>16</v>
      </c>
      <c r="AL433" s="46" t="str">
        <f>IF(VLOOKUP(AK433,βοηθητικό!$J$2:$N$354,3,FALSE)="","",VLOOKUP(AK433,βοηθητικό!$J$2:$N$354,3,FALSE))</f>
        <v>_</v>
      </c>
      <c r="AM433" s="47"/>
      <c r="AN433" s="4" t="s">
        <v>16</v>
      </c>
      <c r="AO433" s="43" t="str">
        <f>IF(VLOOKUP(AN433,βοηθητικό!$J$2:$N$354,3,FALSE)="","",VLOOKUP(AN433,βοηθητικό!$J$2:$N$354,3,FALSE))</f>
        <v>_</v>
      </c>
      <c r="AP433" s="44"/>
      <c r="AQ433" s="5" t="s">
        <v>16</v>
      </c>
      <c r="AR433" s="46" t="str">
        <f>IF(VLOOKUP(AQ433,βοηθητικό!$J$2:$N$354,3,FALSE)="","",VLOOKUP(AQ433,βοηθητικό!$J$2:$N$354,3,FALSE))</f>
        <v>_</v>
      </c>
      <c r="AS433" s="47"/>
      <c r="AT433" s="4" t="s">
        <v>16</v>
      </c>
      <c r="AU433" s="43" t="str">
        <f>IF(VLOOKUP(AT433,βοηθητικό!$J$2:$N$354,3,FALSE)="","",VLOOKUP(AT433,βοηθητικό!$J$2:$N$354,3,FALSE))</f>
        <v>_</v>
      </c>
      <c r="AV433" s="44"/>
      <c r="AW433" s="5" t="s">
        <v>16</v>
      </c>
      <c r="AX433" s="46" t="str">
        <f>IF(VLOOKUP(AW433,βοηθητικό!$J$2:$N$354,3,FALSE)="","",VLOOKUP(AW433,βοηθητικό!$J$2:$N$354,3,FALSE))</f>
        <v>_</v>
      </c>
      <c r="AY433" s="47"/>
      <c r="AZ433" s="4" t="s">
        <v>16</v>
      </c>
      <c r="BA433" s="43" t="str">
        <f>IF(VLOOKUP(AZ433,βοηθητικό!$J$2:$N$354,3,FALSE)="","",VLOOKUP(AZ433,βοηθητικό!$J$2:$N$354,3,FALSE))</f>
        <v>_</v>
      </c>
      <c r="BB433" s="44"/>
      <c r="BC433" s="45" t="s">
        <v>16</v>
      </c>
      <c r="BD433" s="46" t="str">
        <f>IF(VLOOKUP(BC433,βοηθητικό!$J$2:$N$354,3,FALSE)="","",VLOOKUP(BC433,βοηθητικό!$J$2:$N$354,3,FALSE))</f>
        <v>_</v>
      </c>
      <c r="BE433" s="47"/>
      <c r="BF433" s="42" t="s">
        <v>16</v>
      </c>
      <c r="BG433" s="43" t="str">
        <f>IF(VLOOKUP(BF433,βοηθητικό!$J$2:$N$354,3,FALSE)="","",VLOOKUP(BF433,βοηθητικό!$J$2:$N$354,3,FALSE))</f>
        <v>_</v>
      </c>
      <c r="BH433" s="44"/>
      <c r="BI433" s="45" t="s">
        <v>16</v>
      </c>
      <c r="BJ433" s="46" t="str">
        <f>IF(VLOOKUP(BI433,βοηθητικό!$J$2:$N$354,3,FALSE)="","",VLOOKUP(BI433,βοηθητικό!$J$2:$N$354,3,FALSE))</f>
        <v>_</v>
      </c>
      <c r="BK433" s="47"/>
      <c r="BL433" s="42" t="s">
        <v>16</v>
      </c>
      <c r="BM433" s="43" t="str">
        <f>IF(VLOOKUP(BL433,βοηθητικό!$J$2:$N$354,3,FALSE)="","",VLOOKUP(BL433,βοηθητικό!$J$2:$N$354,3,FALSE))</f>
        <v>_</v>
      </c>
      <c r="BN433" s="44"/>
      <c r="BO433" s="45" t="s">
        <v>16</v>
      </c>
      <c r="BP433" s="46" t="str">
        <f>IF(VLOOKUP(BO433,βοηθητικό!$J$2:$N$354,3,FALSE)="","",VLOOKUP(BO433,βοηθητικό!$J$2:$N$354,3,FALSE))</f>
        <v>_</v>
      </c>
      <c r="BQ433" s="47"/>
      <c r="BR433" s="42" t="s">
        <v>16</v>
      </c>
      <c r="BS433" s="43" t="str">
        <f>IF(VLOOKUP(BR433,βοηθητικό!$J$2:$N$354,3,FALSE)="","",VLOOKUP(BR433,βοηθητικό!$J$2:$N$354,3,FALSE))</f>
        <v>_</v>
      </c>
      <c r="BT433" s="44"/>
      <c r="BU433" s="45" t="s">
        <v>16</v>
      </c>
      <c r="BV433" s="46" t="str">
        <f>IF(VLOOKUP(BU433,βοηθητικό!$J$2:$N$354,3,FALSE)="","",VLOOKUP(BU433,βοηθητικό!$J$2:$N$354,3,FALSE))</f>
        <v>_</v>
      </c>
      <c r="BW433" s="47"/>
      <c r="BX433" s="42" t="s">
        <v>16</v>
      </c>
      <c r="BY433" s="43" t="str">
        <f>IF(VLOOKUP(BX433,βοηθητικό!$J$2:$N$354,3,FALSE)="","",VLOOKUP(BX433,βοηθητικό!$J$2:$N$354,3,FALSE))</f>
        <v>_</v>
      </c>
      <c r="BZ433" s="44"/>
      <c r="CA433" s="45" t="s">
        <v>16</v>
      </c>
      <c r="CB433" s="46" t="str">
        <f>IF(VLOOKUP(CA433,βοηθητικό!$J$2:$N$354,3,FALSE)="","",VLOOKUP(CA433,βοηθητικό!$J$2:$N$354,3,FALSE))</f>
        <v>_</v>
      </c>
      <c r="CC433" s="47"/>
      <c r="CD433" s="42" t="s">
        <v>16</v>
      </c>
      <c r="CE433" s="43" t="str">
        <f>IF(VLOOKUP(CD433,βοηθητικό!$J$2:$N$354,3,FALSE)="","",VLOOKUP(CD433,βοηθητικό!$J$2:$N$354,3,FALSE))</f>
        <v>_</v>
      </c>
      <c r="CF433" s="44"/>
      <c r="CG433" s="45" t="s">
        <v>16</v>
      </c>
      <c r="CH433" s="46" t="str">
        <f>IF(VLOOKUP(CG433,βοηθητικό!$J$2:$N$354,3,FALSE)="","",VLOOKUP(CG433,βοηθητικό!$J$2:$N$354,3,FALSE))</f>
        <v>_</v>
      </c>
      <c r="CI433" s="47"/>
      <c r="CJ433" s="42" t="s">
        <v>16</v>
      </c>
      <c r="CK433" s="43" t="str">
        <f>IF(VLOOKUP(CJ433,βοηθητικό!$J$2:$N$354,3,FALSE)="","",VLOOKUP(CJ433,βοηθητικό!$J$2:$N$354,3,FALSE))</f>
        <v>_</v>
      </c>
      <c r="CL433" s="44"/>
      <c r="CM433" s="45" t="s">
        <v>16</v>
      </c>
      <c r="CN433" s="46" t="str">
        <f>IF(VLOOKUP(CM433,βοηθητικό!$J$2:$N$354,3,FALSE)="","",VLOOKUP(CM433,βοηθητικό!$J$2:$N$354,3,FALSE))</f>
        <v>_</v>
      </c>
      <c r="CO433" s="47"/>
      <c r="CP433" s="42" t="s">
        <v>16</v>
      </c>
      <c r="CQ433" s="43" t="str">
        <f>IF(VLOOKUP(CP433,βοηθητικό!$J$2:$N$354,3,FALSE)="","",VLOOKUP(CP433,βοηθητικό!$J$2:$N$354,3,FALSE))</f>
        <v>_</v>
      </c>
      <c r="CR433" s="44"/>
      <c r="CS433" s="45" t="s">
        <v>16</v>
      </c>
      <c r="CT433" s="46" t="str">
        <f>IF(VLOOKUP(CS433,βοηθητικό!$J$2:$N$354,3,FALSE)="","",VLOOKUP(CS433,βοηθητικό!$J$2:$N$354,3,FALSE))</f>
        <v>_</v>
      </c>
      <c r="CU433" s="47"/>
    </row>
    <row r="434" spans="1:99" x14ac:dyDescent="0.25">
      <c r="A434" s="37">
        <f>--SUBTOTAL(3,$B$3:B433)</f>
        <v>198</v>
      </c>
      <c r="B434" s="2"/>
      <c r="C434" s="3"/>
      <c r="D434" s="55" t="s">
        <v>18</v>
      </c>
      <c r="E434" s="38" t="s">
        <v>16</v>
      </c>
      <c r="F434" s="38" t="s">
        <v>16</v>
      </c>
      <c r="G434" s="39" t="str">
        <f t="shared" si="20"/>
        <v>__</v>
      </c>
      <c r="H434" s="40" t="str">
        <f t="shared" si="21"/>
        <v>FALSE</v>
      </c>
      <c r="I434" s="41">
        <f t="shared" si="22"/>
        <v>0</v>
      </c>
      <c r="J434" s="4" t="s">
        <v>16</v>
      </c>
      <c r="K434" s="43" t="str">
        <f>IF(VLOOKUP(J434,βοηθητικό!$J$2:$N$354,3,FALSE)="","",VLOOKUP(J434,βοηθητικό!$J$2:$N$354,3,FALSE))</f>
        <v>_</v>
      </c>
      <c r="L434" s="44"/>
      <c r="M434" s="5" t="s">
        <v>16</v>
      </c>
      <c r="N434" s="46" t="str">
        <f>IF(VLOOKUP(M434,βοηθητικό!$J$2:$N$354,3,FALSE)="","",VLOOKUP(M434,βοηθητικό!$J$2:$N$354,3,FALSE))</f>
        <v>_</v>
      </c>
      <c r="O434" s="47"/>
      <c r="P434" s="4" t="s">
        <v>16</v>
      </c>
      <c r="Q434" s="43" t="str">
        <f>IF(VLOOKUP(P434,βοηθητικό!$J$2:$N$354,3,FALSE)="","",VLOOKUP(P434,βοηθητικό!$J$2:$N$354,3,FALSE))</f>
        <v>_</v>
      </c>
      <c r="R434" s="44"/>
      <c r="S434" s="5" t="s">
        <v>16</v>
      </c>
      <c r="T434" s="46" t="str">
        <f>IF(VLOOKUP(S434,βοηθητικό!$J$2:$N$354,3,FALSE)="","",VLOOKUP(S434,βοηθητικό!$J$2:$N$354,3,FALSE))</f>
        <v>_</v>
      </c>
      <c r="U434" s="47"/>
      <c r="V434" s="4" t="s">
        <v>16</v>
      </c>
      <c r="W434" s="43" t="str">
        <f>IF(VLOOKUP(V434,βοηθητικό!$J$2:$N$354,3,FALSE)="","",VLOOKUP(V434,βοηθητικό!$J$2:$N$354,3,FALSE))</f>
        <v>_</v>
      </c>
      <c r="X434" s="44"/>
      <c r="Y434" s="5" t="s">
        <v>16</v>
      </c>
      <c r="Z434" s="46" t="str">
        <f>IF(VLOOKUP(Y434,βοηθητικό!$J$2:$N$354,3,FALSE)="","",VLOOKUP(Y434,βοηθητικό!$J$2:$N$354,3,FALSE))</f>
        <v>_</v>
      </c>
      <c r="AA434" s="47"/>
      <c r="AB434" s="4" t="s">
        <v>16</v>
      </c>
      <c r="AC434" s="43" t="str">
        <f>IF(VLOOKUP(AB434,βοηθητικό!$J$2:$N$354,3,FALSE)="","",VLOOKUP(AB434,βοηθητικό!$J$2:$N$354,3,FALSE))</f>
        <v>_</v>
      </c>
      <c r="AD434" s="44"/>
      <c r="AE434" s="5" t="s">
        <v>16</v>
      </c>
      <c r="AF434" s="46" t="str">
        <f>IF(VLOOKUP(AE434,βοηθητικό!$J$2:$N$354,3,FALSE)="","",VLOOKUP(AE434,βοηθητικό!$J$2:$N$354,3,FALSE))</f>
        <v>_</v>
      </c>
      <c r="AG434" s="47"/>
      <c r="AH434" s="4" t="s">
        <v>16</v>
      </c>
      <c r="AI434" s="43" t="str">
        <f>IF(VLOOKUP(AH434,βοηθητικό!$J$2:$N$354,3,FALSE)="","",VLOOKUP(AH434,βοηθητικό!$J$2:$N$354,3,FALSE))</f>
        <v>_</v>
      </c>
      <c r="AJ434" s="44"/>
      <c r="AK434" s="5" t="s">
        <v>16</v>
      </c>
      <c r="AL434" s="46" t="str">
        <f>IF(VLOOKUP(AK434,βοηθητικό!$J$2:$N$354,3,FALSE)="","",VLOOKUP(AK434,βοηθητικό!$J$2:$N$354,3,FALSE))</f>
        <v>_</v>
      </c>
      <c r="AM434" s="47"/>
      <c r="AN434" s="4" t="s">
        <v>16</v>
      </c>
      <c r="AO434" s="43" t="str">
        <f>IF(VLOOKUP(AN434,βοηθητικό!$J$2:$N$354,3,FALSE)="","",VLOOKUP(AN434,βοηθητικό!$J$2:$N$354,3,FALSE))</f>
        <v>_</v>
      </c>
      <c r="AP434" s="44"/>
      <c r="AQ434" s="5" t="s">
        <v>16</v>
      </c>
      <c r="AR434" s="46" t="str">
        <f>IF(VLOOKUP(AQ434,βοηθητικό!$J$2:$N$354,3,FALSE)="","",VLOOKUP(AQ434,βοηθητικό!$J$2:$N$354,3,FALSE))</f>
        <v>_</v>
      </c>
      <c r="AS434" s="47"/>
      <c r="AT434" s="4" t="s">
        <v>16</v>
      </c>
      <c r="AU434" s="43" t="str">
        <f>IF(VLOOKUP(AT434,βοηθητικό!$J$2:$N$354,3,FALSE)="","",VLOOKUP(AT434,βοηθητικό!$J$2:$N$354,3,FALSE))</f>
        <v>_</v>
      </c>
      <c r="AV434" s="44"/>
      <c r="AW434" s="5" t="s">
        <v>16</v>
      </c>
      <c r="AX434" s="46" t="str">
        <f>IF(VLOOKUP(AW434,βοηθητικό!$J$2:$N$354,3,FALSE)="","",VLOOKUP(AW434,βοηθητικό!$J$2:$N$354,3,FALSE))</f>
        <v>_</v>
      </c>
      <c r="AY434" s="47"/>
      <c r="AZ434" s="4" t="s">
        <v>16</v>
      </c>
      <c r="BA434" s="43" t="str">
        <f>IF(VLOOKUP(AZ434,βοηθητικό!$J$2:$N$354,3,FALSE)="","",VLOOKUP(AZ434,βοηθητικό!$J$2:$N$354,3,FALSE))</f>
        <v>_</v>
      </c>
      <c r="BB434" s="44"/>
      <c r="BC434" s="45" t="s">
        <v>16</v>
      </c>
      <c r="BD434" s="46" t="str">
        <f>IF(VLOOKUP(BC434,βοηθητικό!$J$2:$N$354,3,FALSE)="","",VLOOKUP(BC434,βοηθητικό!$J$2:$N$354,3,FALSE))</f>
        <v>_</v>
      </c>
      <c r="BE434" s="47"/>
      <c r="BF434" s="42" t="s">
        <v>16</v>
      </c>
      <c r="BG434" s="43" t="str">
        <f>IF(VLOOKUP(BF434,βοηθητικό!$J$2:$N$354,3,FALSE)="","",VLOOKUP(BF434,βοηθητικό!$J$2:$N$354,3,FALSE))</f>
        <v>_</v>
      </c>
      <c r="BH434" s="44"/>
      <c r="BI434" s="45" t="s">
        <v>16</v>
      </c>
      <c r="BJ434" s="46" t="str">
        <f>IF(VLOOKUP(BI434,βοηθητικό!$J$2:$N$354,3,FALSE)="","",VLOOKUP(BI434,βοηθητικό!$J$2:$N$354,3,FALSE))</f>
        <v>_</v>
      </c>
      <c r="BK434" s="47"/>
      <c r="BL434" s="42" t="s">
        <v>16</v>
      </c>
      <c r="BM434" s="43" t="str">
        <f>IF(VLOOKUP(BL434,βοηθητικό!$J$2:$N$354,3,FALSE)="","",VLOOKUP(BL434,βοηθητικό!$J$2:$N$354,3,FALSE))</f>
        <v>_</v>
      </c>
      <c r="BN434" s="44"/>
      <c r="BO434" s="45" t="s">
        <v>16</v>
      </c>
      <c r="BP434" s="46" t="str">
        <f>IF(VLOOKUP(BO434,βοηθητικό!$J$2:$N$354,3,FALSE)="","",VLOOKUP(BO434,βοηθητικό!$J$2:$N$354,3,FALSE))</f>
        <v>_</v>
      </c>
      <c r="BQ434" s="47"/>
      <c r="BR434" s="42" t="s">
        <v>16</v>
      </c>
      <c r="BS434" s="43" t="str">
        <f>IF(VLOOKUP(BR434,βοηθητικό!$J$2:$N$354,3,FALSE)="","",VLOOKUP(BR434,βοηθητικό!$J$2:$N$354,3,FALSE))</f>
        <v>_</v>
      </c>
      <c r="BT434" s="44"/>
      <c r="BU434" s="45" t="s">
        <v>16</v>
      </c>
      <c r="BV434" s="46" t="str">
        <f>IF(VLOOKUP(BU434,βοηθητικό!$J$2:$N$354,3,FALSE)="","",VLOOKUP(BU434,βοηθητικό!$J$2:$N$354,3,FALSE))</f>
        <v>_</v>
      </c>
      <c r="BW434" s="47"/>
      <c r="BX434" s="42" t="s">
        <v>16</v>
      </c>
      <c r="BY434" s="43" t="str">
        <f>IF(VLOOKUP(BX434,βοηθητικό!$J$2:$N$354,3,FALSE)="","",VLOOKUP(BX434,βοηθητικό!$J$2:$N$354,3,FALSE))</f>
        <v>_</v>
      </c>
      <c r="BZ434" s="44"/>
      <c r="CA434" s="45" t="s">
        <v>16</v>
      </c>
      <c r="CB434" s="46" t="str">
        <f>IF(VLOOKUP(CA434,βοηθητικό!$J$2:$N$354,3,FALSE)="","",VLOOKUP(CA434,βοηθητικό!$J$2:$N$354,3,FALSE))</f>
        <v>_</v>
      </c>
      <c r="CC434" s="47"/>
      <c r="CD434" s="42" t="s">
        <v>16</v>
      </c>
      <c r="CE434" s="43" t="str">
        <f>IF(VLOOKUP(CD434,βοηθητικό!$J$2:$N$354,3,FALSE)="","",VLOOKUP(CD434,βοηθητικό!$J$2:$N$354,3,FALSE))</f>
        <v>_</v>
      </c>
      <c r="CF434" s="44"/>
      <c r="CG434" s="45" t="s">
        <v>16</v>
      </c>
      <c r="CH434" s="46" t="str">
        <f>IF(VLOOKUP(CG434,βοηθητικό!$J$2:$N$354,3,FALSE)="","",VLOOKUP(CG434,βοηθητικό!$J$2:$N$354,3,FALSE))</f>
        <v>_</v>
      </c>
      <c r="CI434" s="47"/>
      <c r="CJ434" s="42" t="s">
        <v>16</v>
      </c>
      <c r="CK434" s="43" t="str">
        <f>IF(VLOOKUP(CJ434,βοηθητικό!$J$2:$N$354,3,FALSE)="","",VLOOKUP(CJ434,βοηθητικό!$J$2:$N$354,3,FALSE))</f>
        <v>_</v>
      </c>
      <c r="CL434" s="44"/>
      <c r="CM434" s="45" t="s">
        <v>16</v>
      </c>
      <c r="CN434" s="46" t="str">
        <f>IF(VLOOKUP(CM434,βοηθητικό!$J$2:$N$354,3,FALSE)="","",VLOOKUP(CM434,βοηθητικό!$J$2:$N$354,3,FALSE))</f>
        <v>_</v>
      </c>
      <c r="CO434" s="47"/>
      <c r="CP434" s="42" t="s">
        <v>16</v>
      </c>
      <c r="CQ434" s="43" t="str">
        <f>IF(VLOOKUP(CP434,βοηθητικό!$J$2:$N$354,3,FALSE)="","",VLOOKUP(CP434,βοηθητικό!$J$2:$N$354,3,FALSE))</f>
        <v>_</v>
      </c>
      <c r="CR434" s="44"/>
      <c r="CS434" s="45" t="s">
        <v>16</v>
      </c>
      <c r="CT434" s="46" t="str">
        <f>IF(VLOOKUP(CS434,βοηθητικό!$J$2:$N$354,3,FALSE)="","",VLOOKUP(CS434,βοηθητικό!$J$2:$N$354,3,FALSE))</f>
        <v>_</v>
      </c>
      <c r="CU434" s="47"/>
    </row>
    <row r="435" spans="1:99" x14ac:dyDescent="0.25">
      <c r="A435" s="37">
        <f>--SUBTOTAL(3,$B$3:B434)</f>
        <v>198</v>
      </c>
      <c r="B435" s="2"/>
      <c r="C435" s="3"/>
      <c r="D435" s="55" t="s">
        <v>18</v>
      </c>
      <c r="E435" s="38" t="s">
        <v>16</v>
      </c>
      <c r="F435" s="38" t="s">
        <v>16</v>
      </c>
      <c r="G435" s="39" t="str">
        <f t="shared" si="20"/>
        <v>__</v>
      </c>
      <c r="H435" s="40" t="str">
        <f t="shared" si="21"/>
        <v>FALSE</v>
      </c>
      <c r="I435" s="41">
        <f t="shared" si="22"/>
        <v>0</v>
      </c>
      <c r="J435" s="4" t="s">
        <v>16</v>
      </c>
      <c r="K435" s="43" t="str">
        <f>IF(VLOOKUP(J435,βοηθητικό!$J$2:$N$354,3,FALSE)="","",VLOOKUP(J435,βοηθητικό!$J$2:$N$354,3,FALSE))</f>
        <v>_</v>
      </c>
      <c r="L435" s="44"/>
      <c r="M435" s="5" t="s">
        <v>16</v>
      </c>
      <c r="N435" s="46" t="str">
        <f>IF(VLOOKUP(M435,βοηθητικό!$J$2:$N$354,3,FALSE)="","",VLOOKUP(M435,βοηθητικό!$J$2:$N$354,3,FALSE))</f>
        <v>_</v>
      </c>
      <c r="O435" s="47"/>
      <c r="P435" s="4" t="s">
        <v>16</v>
      </c>
      <c r="Q435" s="43" t="str">
        <f>IF(VLOOKUP(P435,βοηθητικό!$J$2:$N$354,3,FALSE)="","",VLOOKUP(P435,βοηθητικό!$J$2:$N$354,3,FALSE))</f>
        <v>_</v>
      </c>
      <c r="R435" s="44"/>
      <c r="S435" s="5" t="s">
        <v>16</v>
      </c>
      <c r="T435" s="46" t="str">
        <f>IF(VLOOKUP(S435,βοηθητικό!$J$2:$N$354,3,FALSE)="","",VLOOKUP(S435,βοηθητικό!$J$2:$N$354,3,FALSE))</f>
        <v>_</v>
      </c>
      <c r="U435" s="47"/>
      <c r="V435" s="4" t="s">
        <v>16</v>
      </c>
      <c r="W435" s="43" t="str">
        <f>IF(VLOOKUP(V435,βοηθητικό!$J$2:$N$354,3,FALSE)="","",VLOOKUP(V435,βοηθητικό!$J$2:$N$354,3,FALSE))</f>
        <v>_</v>
      </c>
      <c r="X435" s="44"/>
      <c r="Y435" s="5" t="s">
        <v>16</v>
      </c>
      <c r="Z435" s="46" t="str">
        <f>IF(VLOOKUP(Y435,βοηθητικό!$J$2:$N$354,3,FALSE)="","",VLOOKUP(Y435,βοηθητικό!$J$2:$N$354,3,FALSE))</f>
        <v>_</v>
      </c>
      <c r="AA435" s="47"/>
      <c r="AB435" s="4" t="s">
        <v>16</v>
      </c>
      <c r="AC435" s="43" t="str">
        <f>IF(VLOOKUP(AB435,βοηθητικό!$J$2:$N$354,3,FALSE)="","",VLOOKUP(AB435,βοηθητικό!$J$2:$N$354,3,FALSE))</f>
        <v>_</v>
      </c>
      <c r="AD435" s="44"/>
      <c r="AE435" s="5" t="s">
        <v>16</v>
      </c>
      <c r="AF435" s="46" t="str">
        <f>IF(VLOOKUP(AE435,βοηθητικό!$J$2:$N$354,3,FALSE)="","",VLOOKUP(AE435,βοηθητικό!$J$2:$N$354,3,FALSE))</f>
        <v>_</v>
      </c>
      <c r="AG435" s="47"/>
      <c r="AH435" s="4" t="s">
        <v>16</v>
      </c>
      <c r="AI435" s="43" t="str">
        <f>IF(VLOOKUP(AH435,βοηθητικό!$J$2:$N$354,3,FALSE)="","",VLOOKUP(AH435,βοηθητικό!$J$2:$N$354,3,FALSE))</f>
        <v>_</v>
      </c>
      <c r="AJ435" s="44"/>
      <c r="AK435" s="5" t="s">
        <v>16</v>
      </c>
      <c r="AL435" s="46" t="str">
        <f>IF(VLOOKUP(AK435,βοηθητικό!$J$2:$N$354,3,FALSE)="","",VLOOKUP(AK435,βοηθητικό!$J$2:$N$354,3,FALSE))</f>
        <v>_</v>
      </c>
      <c r="AM435" s="47"/>
      <c r="AN435" s="4" t="s">
        <v>16</v>
      </c>
      <c r="AO435" s="43" t="str">
        <f>IF(VLOOKUP(AN435,βοηθητικό!$J$2:$N$354,3,FALSE)="","",VLOOKUP(AN435,βοηθητικό!$J$2:$N$354,3,FALSE))</f>
        <v>_</v>
      </c>
      <c r="AP435" s="44"/>
      <c r="AQ435" s="5" t="s">
        <v>16</v>
      </c>
      <c r="AR435" s="46" t="str">
        <f>IF(VLOOKUP(AQ435,βοηθητικό!$J$2:$N$354,3,FALSE)="","",VLOOKUP(AQ435,βοηθητικό!$J$2:$N$354,3,FALSE))</f>
        <v>_</v>
      </c>
      <c r="AS435" s="47"/>
      <c r="AT435" s="4" t="s">
        <v>16</v>
      </c>
      <c r="AU435" s="43" t="str">
        <f>IF(VLOOKUP(AT435,βοηθητικό!$J$2:$N$354,3,FALSE)="","",VLOOKUP(AT435,βοηθητικό!$J$2:$N$354,3,FALSE))</f>
        <v>_</v>
      </c>
      <c r="AV435" s="44"/>
      <c r="AW435" s="5" t="s">
        <v>16</v>
      </c>
      <c r="AX435" s="46" t="str">
        <f>IF(VLOOKUP(AW435,βοηθητικό!$J$2:$N$354,3,FALSE)="","",VLOOKUP(AW435,βοηθητικό!$J$2:$N$354,3,FALSE))</f>
        <v>_</v>
      </c>
      <c r="AY435" s="47"/>
      <c r="AZ435" s="4" t="s">
        <v>16</v>
      </c>
      <c r="BA435" s="43" t="str">
        <f>IF(VLOOKUP(AZ435,βοηθητικό!$J$2:$N$354,3,FALSE)="","",VLOOKUP(AZ435,βοηθητικό!$J$2:$N$354,3,FALSE))</f>
        <v>_</v>
      </c>
      <c r="BB435" s="44"/>
      <c r="BC435" s="45" t="s">
        <v>16</v>
      </c>
      <c r="BD435" s="46" t="str">
        <f>IF(VLOOKUP(BC435,βοηθητικό!$J$2:$N$354,3,FALSE)="","",VLOOKUP(BC435,βοηθητικό!$J$2:$N$354,3,FALSE))</f>
        <v>_</v>
      </c>
      <c r="BE435" s="47"/>
      <c r="BF435" s="42" t="s">
        <v>16</v>
      </c>
      <c r="BG435" s="43" t="str">
        <f>IF(VLOOKUP(BF435,βοηθητικό!$J$2:$N$354,3,FALSE)="","",VLOOKUP(BF435,βοηθητικό!$J$2:$N$354,3,FALSE))</f>
        <v>_</v>
      </c>
      <c r="BH435" s="44"/>
      <c r="BI435" s="45" t="s">
        <v>16</v>
      </c>
      <c r="BJ435" s="46" t="str">
        <f>IF(VLOOKUP(BI435,βοηθητικό!$J$2:$N$354,3,FALSE)="","",VLOOKUP(BI435,βοηθητικό!$J$2:$N$354,3,FALSE))</f>
        <v>_</v>
      </c>
      <c r="BK435" s="47"/>
      <c r="BL435" s="42" t="s">
        <v>16</v>
      </c>
      <c r="BM435" s="43" t="str">
        <f>IF(VLOOKUP(BL435,βοηθητικό!$J$2:$N$354,3,FALSE)="","",VLOOKUP(BL435,βοηθητικό!$J$2:$N$354,3,FALSE))</f>
        <v>_</v>
      </c>
      <c r="BN435" s="44"/>
      <c r="BO435" s="45" t="s">
        <v>16</v>
      </c>
      <c r="BP435" s="46" t="str">
        <f>IF(VLOOKUP(BO435,βοηθητικό!$J$2:$N$354,3,FALSE)="","",VLOOKUP(BO435,βοηθητικό!$J$2:$N$354,3,FALSE))</f>
        <v>_</v>
      </c>
      <c r="BQ435" s="47"/>
      <c r="BR435" s="42" t="s">
        <v>16</v>
      </c>
      <c r="BS435" s="43" t="str">
        <f>IF(VLOOKUP(BR435,βοηθητικό!$J$2:$N$354,3,FALSE)="","",VLOOKUP(BR435,βοηθητικό!$J$2:$N$354,3,FALSE))</f>
        <v>_</v>
      </c>
      <c r="BT435" s="44"/>
      <c r="BU435" s="45" t="s">
        <v>16</v>
      </c>
      <c r="BV435" s="46" t="str">
        <f>IF(VLOOKUP(BU435,βοηθητικό!$J$2:$N$354,3,FALSE)="","",VLOOKUP(BU435,βοηθητικό!$J$2:$N$354,3,FALSE))</f>
        <v>_</v>
      </c>
      <c r="BW435" s="47"/>
      <c r="BX435" s="42" t="s">
        <v>16</v>
      </c>
      <c r="BY435" s="43" t="str">
        <f>IF(VLOOKUP(BX435,βοηθητικό!$J$2:$N$354,3,FALSE)="","",VLOOKUP(BX435,βοηθητικό!$J$2:$N$354,3,FALSE))</f>
        <v>_</v>
      </c>
      <c r="BZ435" s="44"/>
      <c r="CA435" s="45" t="s">
        <v>16</v>
      </c>
      <c r="CB435" s="46" t="str">
        <f>IF(VLOOKUP(CA435,βοηθητικό!$J$2:$N$354,3,FALSE)="","",VLOOKUP(CA435,βοηθητικό!$J$2:$N$354,3,FALSE))</f>
        <v>_</v>
      </c>
      <c r="CC435" s="47"/>
      <c r="CD435" s="42" t="s">
        <v>16</v>
      </c>
      <c r="CE435" s="43" t="str">
        <f>IF(VLOOKUP(CD435,βοηθητικό!$J$2:$N$354,3,FALSE)="","",VLOOKUP(CD435,βοηθητικό!$J$2:$N$354,3,FALSE))</f>
        <v>_</v>
      </c>
      <c r="CF435" s="44"/>
      <c r="CG435" s="45" t="s">
        <v>16</v>
      </c>
      <c r="CH435" s="46" t="str">
        <f>IF(VLOOKUP(CG435,βοηθητικό!$J$2:$N$354,3,FALSE)="","",VLOOKUP(CG435,βοηθητικό!$J$2:$N$354,3,FALSE))</f>
        <v>_</v>
      </c>
      <c r="CI435" s="47"/>
      <c r="CJ435" s="42" t="s">
        <v>16</v>
      </c>
      <c r="CK435" s="43" t="str">
        <f>IF(VLOOKUP(CJ435,βοηθητικό!$J$2:$N$354,3,FALSE)="","",VLOOKUP(CJ435,βοηθητικό!$J$2:$N$354,3,FALSE))</f>
        <v>_</v>
      </c>
      <c r="CL435" s="44"/>
      <c r="CM435" s="45" t="s">
        <v>16</v>
      </c>
      <c r="CN435" s="46" t="str">
        <f>IF(VLOOKUP(CM435,βοηθητικό!$J$2:$N$354,3,FALSE)="","",VLOOKUP(CM435,βοηθητικό!$J$2:$N$354,3,FALSE))</f>
        <v>_</v>
      </c>
      <c r="CO435" s="47"/>
      <c r="CP435" s="42" t="s">
        <v>16</v>
      </c>
      <c r="CQ435" s="43" t="str">
        <f>IF(VLOOKUP(CP435,βοηθητικό!$J$2:$N$354,3,FALSE)="","",VLOOKUP(CP435,βοηθητικό!$J$2:$N$354,3,FALSE))</f>
        <v>_</v>
      </c>
      <c r="CR435" s="44"/>
      <c r="CS435" s="45" t="s">
        <v>16</v>
      </c>
      <c r="CT435" s="46" t="str">
        <f>IF(VLOOKUP(CS435,βοηθητικό!$J$2:$N$354,3,FALSE)="","",VLOOKUP(CS435,βοηθητικό!$J$2:$N$354,3,FALSE))</f>
        <v>_</v>
      </c>
      <c r="CU435" s="47"/>
    </row>
    <row r="436" spans="1:99" x14ac:dyDescent="0.25">
      <c r="A436" s="37">
        <f>--SUBTOTAL(3,$B$3:B435)</f>
        <v>198</v>
      </c>
      <c r="B436" s="2"/>
      <c r="C436" s="3"/>
      <c r="D436" s="55" t="s">
        <v>18</v>
      </c>
      <c r="E436" s="38" t="s">
        <v>16</v>
      </c>
      <c r="F436" s="38" t="s">
        <v>16</v>
      </c>
      <c r="G436" s="39" t="str">
        <f t="shared" si="20"/>
        <v>__</v>
      </c>
      <c r="H436" s="40" t="str">
        <f t="shared" si="21"/>
        <v>FALSE</v>
      </c>
      <c r="I436" s="41">
        <f t="shared" si="22"/>
        <v>0</v>
      </c>
      <c r="J436" s="4" t="s">
        <v>16</v>
      </c>
      <c r="K436" s="43" t="str">
        <f>IF(VLOOKUP(J436,βοηθητικό!$J$2:$N$354,3,FALSE)="","",VLOOKUP(J436,βοηθητικό!$J$2:$N$354,3,FALSE))</f>
        <v>_</v>
      </c>
      <c r="L436" s="44"/>
      <c r="M436" s="5" t="s">
        <v>16</v>
      </c>
      <c r="N436" s="46" t="str">
        <f>IF(VLOOKUP(M436,βοηθητικό!$J$2:$N$354,3,FALSE)="","",VLOOKUP(M436,βοηθητικό!$J$2:$N$354,3,FALSE))</f>
        <v>_</v>
      </c>
      <c r="O436" s="47"/>
      <c r="P436" s="4" t="s">
        <v>16</v>
      </c>
      <c r="Q436" s="43" t="str">
        <f>IF(VLOOKUP(P436,βοηθητικό!$J$2:$N$354,3,FALSE)="","",VLOOKUP(P436,βοηθητικό!$J$2:$N$354,3,FALSE))</f>
        <v>_</v>
      </c>
      <c r="R436" s="44"/>
      <c r="S436" s="5" t="s">
        <v>16</v>
      </c>
      <c r="T436" s="46" t="str">
        <f>IF(VLOOKUP(S436,βοηθητικό!$J$2:$N$354,3,FALSE)="","",VLOOKUP(S436,βοηθητικό!$J$2:$N$354,3,FALSE))</f>
        <v>_</v>
      </c>
      <c r="U436" s="47"/>
      <c r="V436" s="4" t="s">
        <v>16</v>
      </c>
      <c r="W436" s="43" t="str">
        <f>IF(VLOOKUP(V436,βοηθητικό!$J$2:$N$354,3,FALSE)="","",VLOOKUP(V436,βοηθητικό!$J$2:$N$354,3,FALSE))</f>
        <v>_</v>
      </c>
      <c r="X436" s="44"/>
      <c r="Y436" s="5" t="s">
        <v>16</v>
      </c>
      <c r="Z436" s="46" t="str">
        <f>IF(VLOOKUP(Y436,βοηθητικό!$J$2:$N$354,3,FALSE)="","",VLOOKUP(Y436,βοηθητικό!$J$2:$N$354,3,FALSE))</f>
        <v>_</v>
      </c>
      <c r="AA436" s="47"/>
      <c r="AB436" s="4" t="s">
        <v>16</v>
      </c>
      <c r="AC436" s="43" t="str">
        <f>IF(VLOOKUP(AB436,βοηθητικό!$J$2:$N$354,3,FALSE)="","",VLOOKUP(AB436,βοηθητικό!$J$2:$N$354,3,FALSE))</f>
        <v>_</v>
      </c>
      <c r="AD436" s="44"/>
      <c r="AE436" s="5" t="s">
        <v>16</v>
      </c>
      <c r="AF436" s="46" t="str">
        <f>IF(VLOOKUP(AE436,βοηθητικό!$J$2:$N$354,3,FALSE)="","",VLOOKUP(AE436,βοηθητικό!$J$2:$N$354,3,FALSE))</f>
        <v>_</v>
      </c>
      <c r="AG436" s="47"/>
      <c r="AH436" s="4" t="s">
        <v>16</v>
      </c>
      <c r="AI436" s="43" t="str">
        <f>IF(VLOOKUP(AH436,βοηθητικό!$J$2:$N$354,3,FALSE)="","",VLOOKUP(AH436,βοηθητικό!$J$2:$N$354,3,FALSE))</f>
        <v>_</v>
      </c>
      <c r="AJ436" s="44"/>
      <c r="AK436" s="5" t="s">
        <v>16</v>
      </c>
      <c r="AL436" s="46" t="str">
        <f>IF(VLOOKUP(AK436,βοηθητικό!$J$2:$N$354,3,FALSE)="","",VLOOKUP(AK436,βοηθητικό!$J$2:$N$354,3,FALSE))</f>
        <v>_</v>
      </c>
      <c r="AM436" s="47"/>
      <c r="AN436" s="4" t="s">
        <v>16</v>
      </c>
      <c r="AO436" s="43" t="str">
        <f>IF(VLOOKUP(AN436,βοηθητικό!$J$2:$N$354,3,FALSE)="","",VLOOKUP(AN436,βοηθητικό!$J$2:$N$354,3,FALSE))</f>
        <v>_</v>
      </c>
      <c r="AP436" s="44"/>
      <c r="AQ436" s="5" t="s">
        <v>16</v>
      </c>
      <c r="AR436" s="46" t="str">
        <f>IF(VLOOKUP(AQ436,βοηθητικό!$J$2:$N$354,3,FALSE)="","",VLOOKUP(AQ436,βοηθητικό!$J$2:$N$354,3,FALSE))</f>
        <v>_</v>
      </c>
      <c r="AS436" s="47"/>
      <c r="AT436" s="4" t="s">
        <v>16</v>
      </c>
      <c r="AU436" s="43" t="str">
        <f>IF(VLOOKUP(AT436,βοηθητικό!$J$2:$N$354,3,FALSE)="","",VLOOKUP(AT436,βοηθητικό!$J$2:$N$354,3,FALSE))</f>
        <v>_</v>
      </c>
      <c r="AV436" s="44"/>
      <c r="AW436" s="5" t="s">
        <v>16</v>
      </c>
      <c r="AX436" s="46" t="str">
        <f>IF(VLOOKUP(AW436,βοηθητικό!$J$2:$N$354,3,FALSE)="","",VLOOKUP(AW436,βοηθητικό!$J$2:$N$354,3,FALSE))</f>
        <v>_</v>
      </c>
      <c r="AY436" s="47"/>
      <c r="AZ436" s="4" t="s">
        <v>16</v>
      </c>
      <c r="BA436" s="43" t="str">
        <f>IF(VLOOKUP(AZ436,βοηθητικό!$J$2:$N$354,3,FALSE)="","",VLOOKUP(AZ436,βοηθητικό!$J$2:$N$354,3,FALSE))</f>
        <v>_</v>
      </c>
      <c r="BB436" s="44"/>
      <c r="BC436" s="45" t="s">
        <v>16</v>
      </c>
      <c r="BD436" s="46" t="str">
        <f>IF(VLOOKUP(BC436,βοηθητικό!$J$2:$N$354,3,FALSE)="","",VLOOKUP(BC436,βοηθητικό!$J$2:$N$354,3,FALSE))</f>
        <v>_</v>
      </c>
      <c r="BE436" s="47"/>
      <c r="BF436" s="42" t="s">
        <v>16</v>
      </c>
      <c r="BG436" s="43" t="str">
        <f>IF(VLOOKUP(BF436,βοηθητικό!$J$2:$N$354,3,FALSE)="","",VLOOKUP(BF436,βοηθητικό!$J$2:$N$354,3,FALSE))</f>
        <v>_</v>
      </c>
      <c r="BH436" s="44"/>
      <c r="BI436" s="45" t="s">
        <v>16</v>
      </c>
      <c r="BJ436" s="46" t="str">
        <f>IF(VLOOKUP(BI436,βοηθητικό!$J$2:$N$354,3,FALSE)="","",VLOOKUP(BI436,βοηθητικό!$J$2:$N$354,3,FALSE))</f>
        <v>_</v>
      </c>
      <c r="BK436" s="47"/>
      <c r="BL436" s="42" t="s">
        <v>16</v>
      </c>
      <c r="BM436" s="43" t="str">
        <f>IF(VLOOKUP(BL436,βοηθητικό!$J$2:$N$354,3,FALSE)="","",VLOOKUP(BL436,βοηθητικό!$J$2:$N$354,3,FALSE))</f>
        <v>_</v>
      </c>
      <c r="BN436" s="44"/>
      <c r="BO436" s="45" t="s">
        <v>16</v>
      </c>
      <c r="BP436" s="46" t="str">
        <f>IF(VLOOKUP(BO436,βοηθητικό!$J$2:$N$354,3,FALSE)="","",VLOOKUP(BO436,βοηθητικό!$J$2:$N$354,3,FALSE))</f>
        <v>_</v>
      </c>
      <c r="BQ436" s="47"/>
      <c r="BR436" s="42" t="s">
        <v>16</v>
      </c>
      <c r="BS436" s="43" t="str">
        <f>IF(VLOOKUP(BR436,βοηθητικό!$J$2:$N$354,3,FALSE)="","",VLOOKUP(BR436,βοηθητικό!$J$2:$N$354,3,FALSE))</f>
        <v>_</v>
      </c>
      <c r="BT436" s="44"/>
      <c r="BU436" s="45" t="s">
        <v>16</v>
      </c>
      <c r="BV436" s="46" t="str">
        <f>IF(VLOOKUP(BU436,βοηθητικό!$J$2:$N$354,3,FALSE)="","",VLOOKUP(BU436,βοηθητικό!$J$2:$N$354,3,FALSE))</f>
        <v>_</v>
      </c>
      <c r="BW436" s="47"/>
      <c r="BX436" s="42" t="s">
        <v>16</v>
      </c>
      <c r="BY436" s="43" t="str">
        <f>IF(VLOOKUP(BX436,βοηθητικό!$J$2:$N$354,3,FALSE)="","",VLOOKUP(BX436,βοηθητικό!$J$2:$N$354,3,FALSE))</f>
        <v>_</v>
      </c>
      <c r="BZ436" s="44"/>
      <c r="CA436" s="45" t="s">
        <v>16</v>
      </c>
      <c r="CB436" s="46" t="str">
        <f>IF(VLOOKUP(CA436,βοηθητικό!$J$2:$N$354,3,FALSE)="","",VLOOKUP(CA436,βοηθητικό!$J$2:$N$354,3,FALSE))</f>
        <v>_</v>
      </c>
      <c r="CC436" s="47"/>
      <c r="CD436" s="42" t="s">
        <v>16</v>
      </c>
      <c r="CE436" s="43" t="str">
        <f>IF(VLOOKUP(CD436,βοηθητικό!$J$2:$N$354,3,FALSE)="","",VLOOKUP(CD436,βοηθητικό!$J$2:$N$354,3,FALSE))</f>
        <v>_</v>
      </c>
      <c r="CF436" s="44"/>
      <c r="CG436" s="45" t="s">
        <v>16</v>
      </c>
      <c r="CH436" s="46" t="str">
        <f>IF(VLOOKUP(CG436,βοηθητικό!$J$2:$N$354,3,FALSE)="","",VLOOKUP(CG436,βοηθητικό!$J$2:$N$354,3,FALSE))</f>
        <v>_</v>
      </c>
      <c r="CI436" s="47"/>
      <c r="CJ436" s="42" t="s">
        <v>16</v>
      </c>
      <c r="CK436" s="43" t="str">
        <f>IF(VLOOKUP(CJ436,βοηθητικό!$J$2:$N$354,3,FALSE)="","",VLOOKUP(CJ436,βοηθητικό!$J$2:$N$354,3,FALSE))</f>
        <v>_</v>
      </c>
      <c r="CL436" s="44"/>
      <c r="CM436" s="45" t="s">
        <v>16</v>
      </c>
      <c r="CN436" s="46" t="str">
        <f>IF(VLOOKUP(CM436,βοηθητικό!$J$2:$N$354,3,FALSE)="","",VLOOKUP(CM436,βοηθητικό!$J$2:$N$354,3,FALSE))</f>
        <v>_</v>
      </c>
      <c r="CO436" s="47"/>
      <c r="CP436" s="42" t="s">
        <v>16</v>
      </c>
      <c r="CQ436" s="43" t="str">
        <f>IF(VLOOKUP(CP436,βοηθητικό!$J$2:$N$354,3,FALSE)="","",VLOOKUP(CP436,βοηθητικό!$J$2:$N$354,3,FALSE))</f>
        <v>_</v>
      </c>
      <c r="CR436" s="44"/>
      <c r="CS436" s="45" t="s">
        <v>16</v>
      </c>
      <c r="CT436" s="46" t="str">
        <f>IF(VLOOKUP(CS436,βοηθητικό!$J$2:$N$354,3,FALSE)="","",VLOOKUP(CS436,βοηθητικό!$J$2:$N$354,3,FALSE))</f>
        <v>_</v>
      </c>
      <c r="CU436" s="47"/>
    </row>
    <row r="437" spans="1:99" x14ac:dyDescent="0.25">
      <c r="A437" s="37">
        <f>--SUBTOTAL(3,$B$3:B436)</f>
        <v>198</v>
      </c>
      <c r="B437" s="2"/>
      <c r="C437" s="3"/>
      <c r="D437" s="55" t="s">
        <v>18</v>
      </c>
      <c r="E437" s="38" t="s">
        <v>16</v>
      </c>
      <c r="F437" s="38" t="s">
        <v>16</v>
      </c>
      <c r="G437" s="39" t="str">
        <f t="shared" si="20"/>
        <v>__</v>
      </c>
      <c r="H437" s="40" t="str">
        <f t="shared" si="21"/>
        <v>FALSE</v>
      </c>
      <c r="I437" s="41">
        <f t="shared" si="22"/>
        <v>0</v>
      </c>
      <c r="J437" s="4" t="s">
        <v>16</v>
      </c>
      <c r="K437" s="43" t="str">
        <f>IF(VLOOKUP(J437,βοηθητικό!$J$2:$N$354,3,FALSE)="","",VLOOKUP(J437,βοηθητικό!$J$2:$N$354,3,FALSE))</f>
        <v>_</v>
      </c>
      <c r="L437" s="44"/>
      <c r="M437" s="5" t="s">
        <v>16</v>
      </c>
      <c r="N437" s="46" t="str">
        <f>IF(VLOOKUP(M437,βοηθητικό!$J$2:$N$354,3,FALSE)="","",VLOOKUP(M437,βοηθητικό!$J$2:$N$354,3,FALSE))</f>
        <v>_</v>
      </c>
      <c r="O437" s="47"/>
      <c r="P437" s="4" t="s">
        <v>16</v>
      </c>
      <c r="Q437" s="43" t="str">
        <f>IF(VLOOKUP(P437,βοηθητικό!$J$2:$N$354,3,FALSE)="","",VLOOKUP(P437,βοηθητικό!$J$2:$N$354,3,FALSE))</f>
        <v>_</v>
      </c>
      <c r="R437" s="44"/>
      <c r="S437" s="5" t="s">
        <v>16</v>
      </c>
      <c r="T437" s="46" t="str">
        <f>IF(VLOOKUP(S437,βοηθητικό!$J$2:$N$354,3,FALSE)="","",VLOOKUP(S437,βοηθητικό!$J$2:$N$354,3,FALSE))</f>
        <v>_</v>
      </c>
      <c r="U437" s="47"/>
      <c r="V437" s="4" t="s">
        <v>16</v>
      </c>
      <c r="W437" s="43" t="str">
        <f>IF(VLOOKUP(V437,βοηθητικό!$J$2:$N$354,3,FALSE)="","",VLOOKUP(V437,βοηθητικό!$J$2:$N$354,3,FALSE))</f>
        <v>_</v>
      </c>
      <c r="X437" s="44"/>
      <c r="Y437" s="5" t="s">
        <v>16</v>
      </c>
      <c r="Z437" s="46" t="str">
        <f>IF(VLOOKUP(Y437,βοηθητικό!$J$2:$N$354,3,FALSE)="","",VLOOKUP(Y437,βοηθητικό!$J$2:$N$354,3,FALSE))</f>
        <v>_</v>
      </c>
      <c r="AA437" s="47"/>
      <c r="AB437" s="4" t="s">
        <v>16</v>
      </c>
      <c r="AC437" s="43" t="str">
        <f>IF(VLOOKUP(AB437,βοηθητικό!$J$2:$N$354,3,FALSE)="","",VLOOKUP(AB437,βοηθητικό!$J$2:$N$354,3,FALSE))</f>
        <v>_</v>
      </c>
      <c r="AD437" s="44"/>
      <c r="AE437" s="5" t="s">
        <v>16</v>
      </c>
      <c r="AF437" s="46" t="str">
        <f>IF(VLOOKUP(AE437,βοηθητικό!$J$2:$N$354,3,FALSE)="","",VLOOKUP(AE437,βοηθητικό!$J$2:$N$354,3,FALSE))</f>
        <v>_</v>
      </c>
      <c r="AG437" s="47"/>
      <c r="AH437" s="4" t="s">
        <v>16</v>
      </c>
      <c r="AI437" s="43" t="str">
        <f>IF(VLOOKUP(AH437,βοηθητικό!$J$2:$N$354,3,FALSE)="","",VLOOKUP(AH437,βοηθητικό!$J$2:$N$354,3,FALSE))</f>
        <v>_</v>
      </c>
      <c r="AJ437" s="44"/>
      <c r="AK437" s="5" t="s">
        <v>16</v>
      </c>
      <c r="AL437" s="46" t="str">
        <f>IF(VLOOKUP(AK437,βοηθητικό!$J$2:$N$354,3,FALSE)="","",VLOOKUP(AK437,βοηθητικό!$J$2:$N$354,3,FALSE))</f>
        <v>_</v>
      </c>
      <c r="AM437" s="47"/>
      <c r="AN437" s="4" t="s">
        <v>16</v>
      </c>
      <c r="AO437" s="43" t="str">
        <f>IF(VLOOKUP(AN437,βοηθητικό!$J$2:$N$354,3,FALSE)="","",VLOOKUP(AN437,βοηθητικό!$J$2:$N$354,3,FALSE))</f>
        <v>_</v>
      </c>
      <c r="AP437" s="44"/>
      <c r="AQ437" s="5" t="s">
        <v>16</v>
      </c>
      <c r="AR437" s="46" t="str">
        <f>IF(VLOOKUP(AQ437,βοηθητικό!$J$2:$N$354,3,FALSE)="","",VLOOKUP(AQ437,βοηθητικό!$J$2:$N$354,3,FALSE))</f>
        <v>_</v>
      </c>
      <c r="AS437" s="47"/>
      <c r="AT437" s="4" t="s">
        <v>16</v>
      </c>
      <c r="AU437" s="43" t="str">
        <f>IF(VLOOKUP(AT437,βοηθητικό!$J$2:$N$354,3,FALSE)="","",VLOOKUP(AT437,βοηθητικό!$J$2:$N$354,3,FALSE))</f>
        <v>_</v>
      </c>
      <c r="AV437" s="44"/>
      <c r="AW437" s="5" t="s">
        <v>16</v>
      </c>
      <c r="AX437" s="46" t="str">
        <f>IF(VLOOKUP(AW437,βοηθητικό!$J$2:$N$354,3,FALSE)="","",VLOOKUP(AW437,βοηθητικό!$J$2:$N$354,3,FALSE))</f>
        <v>_</v>
      </c>
      <c r="AY437" s="47"/>
      <c r="AZ437" s="4" t="s">
        <v>16</v>
      </c>
      <c r="BA437" s="43" t="str">
        <f>IF(VLOOKUP(AZ437,βοηθητικό!$J$2:$N$354,3,FALSE)="","",VLOOKUP(AZ437,βοηθητικό!$J$2:$N$354,3,FALSE))</f>
        <v>_</v>
      </c>
      <c r="BB437" s="44"/>
      <c r="BC437" s="45" t="s">
        <v>16</v>
      </c>
      <c r="BD437" s="46" t="str">
        <f>IF(VLOOKUP(BC437,βοηθητικό!$J$2:$N$354,3,FALSE)="","",VLOOKUP(BC437,βοηθητικό!$J$2:$N$354,3,FALSE))</f>
        <v>_</v>
      </c>
      <c r="BE437" s="47"/>
      <c r="BF437" s="42" t="s">
        <v>16</v>
      </c>
      <c r="BG437" s="43" t="str">
        <f>IF(VLOOKUP(BF437,βοηθητικό!$J$2:$N$354,3,FALSE)="","",VLOOKUP(BF437,βοηθητικό!$J$2:$N$354,3,FALSE))</f>
        <v>_</v>
      </c>
      <c r="BH437" s="44"/>
      <c r="BI437" s="45" t="s">
        <v>16</v>
      </c>
      <c r="BJ437" s="46" t="str">
        <f>IF(VLOOKUP(BI437,βοηθητικό!$J$2:$N$354,3,FALSE)="","",VLOOKUP(BI437,βοηθητικό!$J$2:$N$354,3,FALSE))</f>
        <v>_</v>
      </c>
      <c r="BK437" s="47"/>
      <c r="BL437" s="42" t="s">
        <v>16</v>
      </c>
      <c r="BM437" s="43" t="str">
        <f>IF(VLOOKUP(BL437,βοηθητικό!$J$2:$N$354,3,FALSE)="","",VLOOKUP(BL437,βοηθητικό!$J$2:$N$354,3,FALSE))</f>
        <v>_</v>
      </c>
      <c r="BN437" s="44"/>
      <c r="BO437" s="45" t="s">
        <v>16</v>
      </c>
      <c r="BP437" s="46" t="str">
        <f>IF(VLOOKUP(BO437,βοηθητικό!$J$2:$N$354,3,FALSE)="","",VLOOKUP(BO437,βοηθητικό!$J$2:$N$354,3,FALSE))</f>
        <v>_</v>
      </c>
      <c r="BQ437" s="47"/>
      <c r="BR437" s="42" t="s">
        <v>16</v>
      </c>
      <c r="BS437" s="43" t="str">
        <f>IF(VLOOKUP(BR437,βοηθητικό!$J$2:$N$354,3,FALSE)="","",VLOOKUP(BR437,βοηθητικό!$J$2:$N$354,3,FALSE))</f>
        <v>_</v>
      </c>
      <c r="BT437" s="44"/>
      <c r="BU437" s="45" t="s">
        <v>16</v>
      </c>
      <c r="BV437" s="46" t="str">
        <f>IF(VLOOKUP(BU437,βοηθητικό!$J$2:$N$354,3,FALSE)="","",VLOOKUP(BU437,βοηθητικό!$J$2:$N$354,3,FALSE))</f>
        <v>_</v>
      </c>
      <c r="BW437" s="47"/>
      <c r="BX437" s="42" t="s">
        <v>16</v>
      </c>
      <c r="BY437" s="43" t="str">
        <f>IF(VLOOKUP(BX437,βοηθητικό!$J$2:$N$354,3,FALSE)="","",VLOOKUP(BX437,βοηθητικό!$J$2:$N$354,3,FALSE))</f>
        <v>_</v>
      </c>
      <c r="BZ437" s="44"/>
      <c r="CA437" s="45" t="s">
        <v>16</v>
      </c>
      <c r="CB437" s="46" t="str">
        <f>IF(VLOOKUP(CA437,βοηθητικό!$J$2:$N$354,3,FALSE)="","",VLOOKUP(CA437,βοηθητικό!$J$2:$N$354,3,FALSE))</f>
        <v>_</v>
      </c>
      <c r="CC437" s="47"/>
      <c r="CD437" s="42" t="s">
        <v>16</v>
      </c>
      <c r="CE437" s="43" t="str">
        <f>IF(VLOOKUP(CD437,βοηθητικό!$J$2:$N$354,3,FALSE)="","",VLOOKUP(CD437,βοηθητικό!$J$2:$N$354,3,FALSE))</f>
        <v>_</v>
      </c>
      <c r="CF437" s="44"/>
      <c r="CG437" s="45" t="s">
        <v>16</v>
      </c>
      <c r="CH437" s="46" t="str">
        <f>IF(VLOOKUP(CG437,βοηθητικό!$J$2:$N$354,3,FALSE)="","",VLOOKUP(CG437,βοηθητικό!$J$2:$N$354,3,FALSE))</f>
        <v>_</v>
      </c>
      <c r="CI437" s="47"/>
      <c r="CJ437" s="42" t="s">
        <v>16</v>
      </c>
      <c r="CK437" s="43" t="str">
        <f>IF(VLOOKUP(CJ437,βοηθητικό!$J$2:$N$354,3,FALSE)="","",VLOOKUP(CJ437,βοηθητικό!$J$2:$N$354,3,FALSE))</f>
        <v>_</v>
      </c>
      <c r="CL437" s="44"/>
      <c r="CM437" s="45" t="s">
        <v>16</v>
      </c>
      <c r="CN437" s="46" t="str">
        <f>IF(VLOOKUP(CM437,βοηθητικό!$J$2:$N$354,3,FALSE)="","",VLOOKUP(CM437,βοηθητικό!$J$2:$N$354,3,FALSE))</f>
        <v>_</v>
      </c>
      <c r="CO437" s="47"/>
      <c r="CP437" s="42" t="s">
        <v>16</v>
      </c>
      <c r="CQ437" s="43" t="str">
        <f>IF(VLOOKUP(CP437,βοηθητικό!$J$2:$N$354,3,FALSE)="","",VLOOKUP(CP437,βοηθητικό!$J$2:$N$354,3,FALSE))</f>
        <v>_</v>
      </c>
      <c r="CR437" s="44"/>
      <c r="CS437" s="45" t="s">
        <v>16</v>
      </c>
      <c r="CT437" s="46" t="str">
        <f>IF(VLOOKUP(CS437,βοηθητικό!$J$2:$N$354,3,FALSE)="","",VLOOKUP(CS437,βοηθητικό!$J$2:$N$354,3,FALSE))</f>
        <v>_</v>
      </c>
      <c r="CU437" s="47"/>
    </row>
    <row r="438" spans="1:99" x14ac:dyDescent="0.25">
      <c r="A438" s="37">
        <f>--SUBTOTAL(3,$B$3:B437)</f>
        <v>198</v>
      </c>
      <c r="B438" s="2"/>
      <c r="C438" s="3"/>
      <c r="D438" s="55" t="s">
        <v>18</v>
      </c>
      <c r="E438" s="38" t="s">
        <v>16</v>
      </c>
      <c r="F438" s="38" t="s">
        <v>16</v>
      </c>
      <c r="G438" s="39" t="str">
        <f t="shared" si="20"/>
        <v>__</v>
      </c>
      <c r="H438" s="40" t="str">
        <f t="shared" si="21"/>
        <v>FALSE</v>
      </c>
      <c r="I438" s="41">
        <f t="shared" si="22"/>
        <v>0</v>
      </c>
      <c r="J438" s="4" t="s">
        <v>16</v>
      </c>
      <c r="K438" s="43" t="str">
        <f>IF(VLOOKUP(J438,βοηθητικό!$J$2:$N$354,3,FALSE)="","",VLOOKUP(J438,βοηθητικό!$J$2:$N$354,3,FALSE))</f>
        <v>_</v>
      </c>
      <c r="L438" s="44"/>
      <c r="M438" s="5" t="s">
        <v>16</v>
      </c>
      <c r="N438" s="46" t="str">
        <f>IF(VLOOKUP(M438,βοηθητικό!$J$2:$N$354,3,FALSE)="","",VLOOKUP(M438,βοηθητικό!$J$2:$N$354,3,FALSE))</f>
        <v>_</v>
      </c>
      <c r="O438" s="47"/>
      <c r="P438" s="4" t="s">
        <v>16</v>
      </c>
      <c r="Q438" s="43" t="str">
        <f>IF(VLOOKUP(P438,βοηθητικό!$J$2:$N$354,3,FALSE)="","",VLOOKUP(P438,βοηθητικό!$J$2:$N$354,3,FALSE))</f>
        <v>_</v>
      </c>
      <c r="R438" s="44"/>
      <c r="S438" s="5" t="s">
        <v>16</v>
      </c>
      <c r="T438" s="46" t="str">
        <f>IF(VLOOKUP(S438,βοηθητικό!$J$2:$N$354,3,FALSE)="","",VLOOKUP(S438,βοηθητικό!$J$2:$N$354,3,FALSE))</f>
        <v>_</v>
      </c>
      <c r="U438" s="47"/>
      <c r="V438" s="4" t="s">
        <v>16</v>
      </c>
      <c r="W438" s="43" t="str">
        <f>IF(VLOOKUP(V438,βοηθητικό!$J$2:$N$354,3,FALSE)="","",VLOOKUP(V438,βοηθητικό!$J$2:$N$354,3,FALSE))</f>
        <v>_</v>
      </c>
      <c r="X438" s="44"/>
      <c r="Y438" s="5" t="s">
        <v>16</v>
      </c>
      <c r="Z438" s="46" t="str">
        <f>IF(VLOOKUP(Y438,βοηθητικό!$J$2:$N$354,3,FALSE)="","",VLOOKUP(Y438,βοηθητικό!$J$2:$N$354,3,FALSE))</f>
        <v>_</v>
      </c>
      <c r="AA438" s="47"/>
      <c r="AB438" s="4" t="s">
        <v>16</v>
      </c>
      <c r="AC438" s="43" t="str">
        <f>IF(VLOOKUP(AB438,βοηθητικό!$J$2:$N$354,3,FALSE)="","",VLOOKUP(AB438,βοηθητικό!$J$2:$N$354,3,FALSE))</f>
        <v>_</v>
      </c>
      <c r="AD438" s="44"/>
      <c r="AE438" s="5" t="s">
        <v>16</v>
      </c>
      <c r="AF438" s="46" t="str">
        <f>IF(VLOOKUP(AE438,βοηθητικό!$J$2:$N$354,3,FALSE)="","",VLOOKUP(AE438,βοηθητικό!$J$2:$N$354,3,FALSE))</f>
        <v>_</v>
      </c>
      <c r="AG438" s="47"/>
      <c r="AH438" s="4" t="s">
        <v>16</v>
      </c>
      <c r="AI438" s="43" t="str">
        <f>IF(VLOOKUP(AH438,βοηθητικό!$J$2:$N$354,3,FALSE)="","",VLOOKUP(AH438,βοηθητικό!$J$2:$N$354,3,FALSE))</f>
        <v>_</v>
      </c>
      <c r="AJ438" s="44"/>
      <c r="AK438" s="5" t="s">
        <v>16</v>
      </c>
      <c r="AL438" s="46" t="str">
        <f>IF(VLOOKUP(AK438,βοηθητικό!$J$2:$N$354,3,FALSE)="","",VLOOKUP(AK438,βοηθητικό!$J$2:$N$354,3,FALSE))</f>
        <v>_</v>
      </c>
      <c r="AM438" s="47"/>
      <c r="AN438" s="4" t="s">
        <v>16</v>
      </c>
      <c r="AO438" s="43" t="str">
        <f>IF(VLOOKUP(AN438,βοηθητικό!$J$2:$N$354,3,FALSE)="","",VLOOKUP(AN438,βοηθητικό!$J$2:$N$354,3,FALSE))</f>
        <v>_</v>
      </c>
      <c r="AP438" s="44"/>
      <c r="AQ438" s="5" t="s">
        <v>16</v>
      </c>
      <c r="AR438" s="46" t="str">
        <f>IF(VLOOKUP(AQ438,βοηθητικό!$J$2:$N$354,3,FALSE)="","",VLOOKUP(AQ438,βοηθητικό!$J$2:$N$354,3,FALSE))</f>
        <v>_</v>
      </c>
      <c r="AS438" s="47"/>
      <c r="AT438" s="4" t="s">
        <v>16</v>
      </c>
      <c r="AU438" s="43" t="str">
        <f>IF(VLOOKUP(AT438,βοηθητικό!$J$2:$N$354,3,FALSE)="","",VLOOKUP(AT438,βοηθητικό!$J$2:$N$354,3,FALSE))</f>
        <v>_</v>
      </c>
      <c r="AV438" s="44"/>
      <c r="AW438" s="5" t="s">
        <v>16</v>
      </c>
      <c r="AX438" s="46" t="str">
        <f>IF(VLOOKUP(AW438,βοηθητικό!$J$2:$N$354,3,FALSE)="","",VLOOKUP(AW438,βοηθητικό!$J$2:$N$354,3,FALSE))</f>
        <v>_</v>
      </c>
      <c r="AY438" s="47"/>
      <c r="AZ438" s="4" t="s">
        <v>16</v>
      </c>
      <c r="BA438" s="43" t="str">
        <f>IF(VLOOKUP(AZ438,βοηθητικό!$J$2:$N$354,3,FALSE)="","",VLOOKUP(AZ438,βοηθητικό!$J$2:$N$354,3,FALSE))</f>
        <v>_</v>
      </c>
      <c r="BB438" s="44"/>
      <c r="BC438" s="45" t="s">
        <v>16</v>
      </c>
      <c r="BD438" s="46" t="str">
        <f>IF(VLOOKUP(BC438,βοηθητικό!$J$2:$N$354,3,FALSE)="","",VLOOKUP(BC438,βοηθητικό!$J$2:$N$354,3,FALSE))</f>
        <v>_</v>
      </c>
      <c r="BE438" s="47"/>
      <c r="BF438" s="42" t="s">
        <v>16</v>
      </c>
      <c r="BG438" s="43" t="str">
        <f>IF(VLOOKUP(BF438,βοηθητικό!$J$2:$N$354,3,FALSE)="","",VLOOKUP(BF438,βοηθητικό!$J$2:$N$354,3,FALSE))</f>
        <v>_</v>
      </c>
      <c r="BH438" s="44"/>
      <c r="BI438" s="45" t="s">
        <v>16</v>
      </c>
      <c r="BJ438" s="46" t="str">
        <f>IF(VLOOKUP(BI438,βοηθητικό!$J$2:$N$354,3,FALSE)="","",VLOOKUP(BI438,βοηθητικό!$J$2:$N$354,3,FALSE))</f>
        <v>_</v>
      </c>
      <c r="BK438" s="47"/>
      <c r="BL438" s="42" t="s">
        <v>16</v>
      </c>
      <c r="BM438" s="43" t="str">
        <f>IF(VLOOKUP(BL438,βοηθητικό!$J$2:$N$354,3,FALSE)="","",VLOOKUP(BL438,βοηθητικό!$J$2:$N$354,3,FALSE))</f>
        <v>_</v>
      </c>
      <c r="BN438" s="44"/>
      <c r="BO438" s="45" t="s">
        <v>16</v>
      </c>
      <c r="BP438" s="46" t="str">
        <f>IF(VLOOKUP(BO438,βοηθητικό!$J$2:$N$354,3,FALSE)="","",VLOOKUP(BO438,βοηθητικό!$J$2:$N$354,3,FALSE))</f>
        <v>_</v>
      </c>
      <c r="BQ438" s="47"/>
      <c r="BR438" s="42" t="s">
        <v>16</v>
      </c>
      <c r="BS438" s="43" t="str">
        <f>IF(VLOOKUP(BR438,βοηθητικό!$J$2:$N$354,3,FALSE)="","",VLOOKUP(BR438,βοηθητικό!$J$2:$N$354,3,FALSE))</f>
        <v>_</v>
      </c>
      <c r="BT438" s="44"/>
      <c r="BU438" s="45" t="s">
        <v>16</v>
      </c>
      <c r="BV438" s="46" t="str">
        <f>IF(VLOOKUP(BU438,βοηθητικό!$J$2:$N$354,3,FALSE)="","",VLOOKUP(BU438,βοηθητικό!$J$2:$N$354,3,FALSE))</f>
        <v>_</v>
      </c>
      <c r="BW438" s="47"/>
      <c r="BX438" s="42" t="s">
        <v>16</v>
      </c>
      <c r="BY438" s="43" t="str">
        <f>IF(VLOOKUP(BX438,βοηθητικό!$J$2:$N$354,3,FALSE)="","",VLOOKUP(BX438,βοηθητικό!$J$2:$N$354,3,FALSE))</f>
        <v>_</v>
      </c>
      <c r="BZ438" s="44"/>
      <c r="CA438" s="45" t="s">
        <v>16</v>
      </c>
      <c r="CB438" s="46" t="str">
        <f>IF(VLOOKUP(CA438,βοηθητικό!$J$2:$N$354,3,FALSE)="","",VLOOKUP(CA438,βοηθητικό!$J$2:$N$354,3,FALSE))</f>
        <v>_</v>
      </c>
      <c r="CC438" s="47"/>
      <c r="CD438" s="42" t="s">
        <v>16</v>
      </c>
      <c r="CE438" s="43" t="str">
        <f>IF(VLOOKUP(CD438,βοηθητικό!$J$2:$N$354,3,FALSE)="","",VLOOKUP(CD438,βοηθητικό!$J$2:$N$354,3,FALSE))</f>
        <v>_</v>
      </c>
      <c r="CF438" s="44"/>
      <c r="CG438" s="45" t="s">
        <v>16</v>
      </c>
      <c r="CH438" s="46" t="str">
        <f>IF(VLOOKUP(CG438,βοηθητικό!$J$2:$N$354,3,FALSE)="","",VLOOKUP(CG438,βοηθητικό!$J$2:$N$354,3,FALSE))</f>
        <v>_</v>
      </c>
      <c r="CI438" s="47"/>
      <c r="CJ438" s="42" t="s">
        <v>16</v>
      </c>
      <c r="CK438" s="43" t="str">
        <f>IF(VLOOKUP(CJ438,βοηθητικό!$J$2:$N$354,3,FALSE)="","",VLOOKUP(CJ438,βοηθητικό!$J$2:$N$354,3,FALSE))</f>
        <v>_</v>
      </c>
      <c r="CL438" s="44"/>
      <c r="CM438" s="45" t="s">
        <v>16</v>
      </c>
      <c r="CN438" s="46" t="str">
        <f>IF(VLOOKUP(CM438,βοηθητικό!$J$2:$N$354,3,FALSE)="","",VLOOKUP(CM438,βοηθητικό!$J$2:$N$354,3,FALSE))</f>
        <v>_</v>
      </c>
      <c r="CO438" s="47"/>
      <c r="CP438" s="42" t="s">
        <v>16</v>
      </c>
      <c r="CQ438" s="43" t="str">
        <f>IF(VLOOKUP(CP438,βοηθητικό!$J$2:$N$354,3,FALSE)="","",VLOOKUP(CP438,βοηθητικό!$J$2:$N$354,3,FALSE))</f>
        <v>_</v>
      </c>
      <c r="CR438" s="44"/>
      <c r="CS438" s="45" t="s">
        <v>16</v>
      </c>
      <c r="CT438" s="46" t="str">
        <f>IF(VLOOKUP(CS438,βοηθητικό!$J$2:$N$354,3,FALSE)="","",VLOOKUP(CS438,βοηθητικό!$J$2:$N$354,3,FALSE))</f>
        <v>_</v>
      </c>
      <c r="CU438" s="47"/>
    </row>
    <row r="439" spans="1:99" x14ac:dyDescent="0.25">
      <c r="A439" s="37">
        <f>--SUBTOTAL(3,$B$3:B438)</f>
        <v>198</v>
      </c>
      <c r="B439" s="2"/>
      <c r="C439" s="3"/>
      <c r="D439" s="55" t="s">
        <v>18</v>
      </c>
      <c r="E439" s="38" t="s">
        <v>16</v>
      </c>
      <c r="F439" s="38" t="s">
        <v>16</v>
      </c>
      <c r="G439" s="39" t="str">
        <f t="shared" si="20"/>
        <v>__</v>
      </c>
      <c r="H439" s="40" t="str">
        <f t="shared" si="21"/>
        <v>FALSE</v>
      </c>
      <c r="I439" s="41">
        <f t="shared" si="22"/>
        <v>0</v>
      </c>
      <c r="J439" s="4" t="s">
        <v>16</v>
      </c>
      <c r="K439" s="43" t="str">
        <f>IF(VLOOKUP(J439,βοηθητικό!$J$2:$N$354,3,FALSE)="","",VLOOKUP(J439,βοηθητικό!$J$2:$N$354,3,FALSE))</f>
        <v>_</v>
      </c>
      <c r="L439" s="44"/>
      <c r="M439" s="5" t="s">
        <v>16</v>
      </c>
      <c r="N439" s="46" t="str">
        <f>IF(VLOOKUP(M439,βοηθητικό!$J$2:$N$354,3,FALSE)="","",VLOOKUP(M439,βοηθητικό!$J$2:$N$354,3,FALSE))</f>
        <v>_</v>
      </c>
      <c r="O439" s="47"/>
      <c r="P439" s="4" t="s">
        <v>16</v>
      </c>
      <c r="Q439" s="43" t="str">
        <f>IF(VLOOKUP(P439,βοηθητικό!$J$2:$N$354,3,FALSE)="","",VLOOKUP(P439,βοηθητικό!$J$2:$N$354,3,FALSE))</f>
        <v>_</v>
      </c>
      <c r="R439" s="44"/>
      <c r="S439" s="5" t="s">
        <v>16</v>
      </c>
      <c r="T439" s="46" t="str">
        <f>IF(VLOOKUP(S439,βοηθητικό!$J$2:$N$354,3,FALSE)="","",VLOOKUP(S439,βοηθητικό!$J$2:$N$354,3,FALSE))</f>
        <v>_</v>
      </c>
      <c r="U439" s="47"/>
      <c r="V439" s="4" t="s">
        <v>16</v>
      </c>
      <c r="W439" s="43" t="str">
        <f>IF(VLOOKUP(V439,βοηθητικό!$J$2:$N$354,3,FALSE)="","",VLOOKUP(V439,βοηθητικό!$J$2:$N$354,3,FALSE))</f>
        <v>_</v>
      </c>
      <c r="X439" s="44"/>
      <c r="Y439" s="5" t="s">
        <v>16</v>
      </c>
      <c r="Z439" s="46" t="str">
        <f>IF(VLOOKUP(Y439,βοηθητικό!$J$2:$N$354,3,FALSE)="","",VLOOKUP(Y439,βοηθητικό!$J$2:$N$354,3,FALSE))</f>
        <v>_</v>
      </c>
      <c r="AA439" s="47"/>
      <c r="AB439" s="4" t="s">
        <v>16</v>
      </c>
      <c r="AC439" s="43" t="str">
        <f>IF(VLOOKUP(AB439,βοηθητικό!$J$2:$N$354,3,FALSE)="","",VLOOKUP(AB439,βοηθητικό!$J$2:$N$354,3,FALSE))</f>
        <v>_</v>
      </c>
      <c r="AD439" s="44"/>
      <c r="AE439" s="5" t="s">
        <v>16</v>
      </c>
      <c r="AF439" s="46" t="str">
        <f>IF(VLOOKUP(AE439,βοηθητικό!$J$2:$N$354,3,FALSE)="","",VLOOKUP(AE439,βοηθητικό!$J$2:$N$354,3,FALSE))</f>
        <v>_</v>
      </c>
      <c r="AG439" s="47"/>
      <c r="AH439" s="4" t="s">
        <v>16</v>
      </c>
      <c r="AI439" s="43" t="str">
        <f>IF(VLOOKUP(AH439,βοηθητικό!$J$2:$N$354,3,FALSE)="","",VLOOKUP(AH439,βοηθητικό!$J$2:$N$354,3,FALSE))</f>
        <v>_</v>
      </c>
      <c r="AJ439" s="44"/>
      <c r="AK439" s="5" t="s">
        <v>16</v>
      </c>
      <c r="AL439" s="46" t="str">
        <f>IF(VLOOKUP(AK439,βοηθητικό!$J$2:$N$354,3,FALSE)="","",VLOOKUP(AK439,βοηθητικό!$J$2:$N$354,3,FALSE))</f>
        <v>_</v>
      </c>
      <c r="AM439" s="47"/>
      <c r="AN439" s="4" t="s">
        <v>16</v>
      </c>
      <c r="AO439" s="43" t="str">
        <f>IF(VLOOKUP(AN439,βοηθητικό!$J$2:$N$354,3,FALSE)="","",VLOOKUP(AN439,βοηθητικό!$J$2:$N$354,3,FALSE))</f>
        <v>_</v>
      </c>
      <c r="AP439" s="44"/>
      <c r="AQ439" s="5" t="s">
        <v>16</v>
      </c>
      <c r="AR439" s="46" t="str">
        <f>IF(VLOOKUP(AQ439,βοηθητικό!$J$2:$N$354,3,FALSE)="","",VLOOKUP(AQ439,βοηθητικό!$J$2:$N$354,3,FALSE))</f>
        <v>_</v>
      </c>
      <c r="AS439" s="47"/>
      <c r="AT439" s="4" t="s">
        <v>16</v>
      </c>
      <c r="AU439" s="43" t="str">
        <f>IF(VLOOKUP(AT439,βοηθητικό!$J$2:$N$354,3,FALSE)="","",VLOOKUP(AT439,βοηθητικό!$J$2:$N$354,3,FALSE))</f>
        <v>_</v>
      </c>
      <c r="AV439" s="44"/>
      <c r="AW439" s="5" t="s">
        <v>16</v>
      </c>
      <c r="AX439" s="46" t="str">
        <f>IF(VLOOKUP(AW439,βοηθητικό!$J$2:$N$354,3,FALSE)="","",VLOOKUP(AW439,βοηθητικό!$J$2:$N$354,3,FALSE))</f>
        <v>_</v>
      </c>
      <c r="AY439" s="47"/>
      <c r="AZ439" s="4" t="s">
        <v>16</v>
      </c>
      <c r="BA439" s="43" t="str">
        <f>IF(VLOOKUP(AZ439,βοηθητικό!$J$2:$N$354,3,FALSE)="","",VLOOKUP(AZ439,βοηθητικό!$J$2:$N$354,3,FALSE))</f>
        <v>_</v>
      </c>
      <c r="BB439" s="44"/>
      <c r="BC439" s="45" t="s">
        <v>16</v>
      </c>
      <c r="BD439" s="46" t="str">
        <f>IF(VLOOKUP(BC439,βοηθητικό!$J$2:$N$354,3,FALSE)="","",VLOOKUP(BC439,βοηθητικό!$J$2:$N$354,3,FALSE))</f>
        <v>_</v>
      </c>
      <c r="BE439" s="47"/>
      <c r="BF439" s="42" t="s">
        <v>16</v>
      </c>
      <c r="BG439" s="43" t="str">
        <f>IF(VLOOKUP(BF439,βοηθητικό!$J$2:$N$354,3,FALSE)="","",VLOOKUP(BF439,βοηθητικό!$J$2:$N$354,3,FALSE))</f>
        <v>_</v>
      </c>
      <c r="BH439" s="44"/>
      <c r="BI439" s="45" t="s">
        <v>16</v>
      </c>
      <c r="BJ439" s="46" t="str">
        <f>IF(VLOOKUP(BI439,βοηθητικό!$J$2:$N$354,3,FALSE)="","",VLOOKUP(BI439,βοηθητικό!$J$2:$N$354,3,FALSE))</f>
        <v>_</v>
      </c>
      <c r="BK439" s="47"/>
      <c r="BL439" s="42" t="s">
        <v>16</v>
      </c>
      <c r="BM439" s="43" t="str">
        <f>IF(VLOOKUP(BL439,βοηθητικό!$J$2:$N$354,3,FALSE)="","",VLOOKUP(BL439,βοηθητικό!$J$2:$N$354,3,FALSE))</f>
        <v>_</v>
      </c>
      <c r="BN439" s="44"/>
      <c r="BO439" s="45" t="s">
        <v>16</v>
      </c>
      <c r="BP439" s="46" t="str">
        <f>IF(VLOOKUP(BO439,βοηθητικό!$J$2:$N$354,3,FALSE)="","",VLOOKUP(BO439,βοηθητικό!$J$2:$N$354,3,FALSE))</f>
        <v>_</v>
      </c>
      <c r="BQ439" s="47"/>
      <c r="BR439" s="42" t="s">
        <v>16</v>
      </c>
      <c r="BS439" s="43" t="str">
        <f>IF(VLOOKUP(BR439,βοηθητικό!$J$2:$N$354,3,FALSE)="","",VLOOKUP(BR439,βοηθητικό!$J$2:$N$354,3,FALSE))</f>
        <v>_</v>
      </c>
      <c r="BT439" s="44"/>
      <c r="BU439" s="45" t="s">
        <v>16</v>
      </c>
      <c r="BV439" s="46" t="str">
        <f>IF(VLOOKUP(BU439,βοηθητικό!$J$2:$N$354,3,FALSE)="","",VLOOKUP(BU439,βοηθητικό!$J$2:$N$354,3,FALSE))</f>
        <v>_</v>
      </c>
      <c r="BW439" s="47"/>
      <c r="BX439" s="42" t="s">
        <v>16</v>
      </c>
      <c r="BY439" s="43" t="str">
        <f>IF(VLOOKUP(BX439,βοηθητικό!$J$2:$N$354,3,FALSE)="","",VLOOKUP(BX439,βοηθητικό!$J$2:$N$354,3,FALSE))</f>
        <v>_</v>
      </c>
      <c r="BZ439" s="44"/>
      <c r="CA439" s="45" t="s">
        <v>16</v>
      </c>
      <c r="CB439" s="46" t="str">
        <f>IF(VLOOKUP(CA439,βοηθητικό!$J$2:$N$354,3,FALSE)="","",VLOOKUP(CA439,βοηθητικό!$J$2:$N$354,3,FALSE))</f>
        <v>_</v>
      </c>
      <c r="CC439" s="47"/>
      <c r="CD439" s="42" t="s">
        <v>16</v>
      </c>
      <c r="CE439" s="43" t="str">
        <f>IF(VLOOKUP(CD439,βοηθητικό!$J$2:$N$354,3,FALSE)="","",VLOOKUP(CD439,βοηθητικό!$J$2:$N$354,3,FALSE))</f>
        <v>_</v>
      </c>
      <c r="CF439" s="44"/>
      <c r="CG439" s="45" t="s">
        <v>16</v>
      </c>
      <c r="CH439" s="46" t="str">
        <f>IF(VLOOKUP(CG439,βοηθητικό!$J$2:$N$354,3,FALSE)="","",VLOOKUP(CG439,βοηθητικό!$J$2:$N$354,3,FALSE))</f>
        <v>_</v>
      </c>
      <c r="CI439" s="47"/>
      <c r="CJ439" s="42" t="s">
        <v>16</v>
      </c>
      <c r="CK439" s="43" t="str">
        <f>IF(VLOOKUP(CJ439,βοηθητικό!$J$2:$N$354,3,FALSE)="","",VLOOKUP(CJ439,βοηθητικό!$J$2:$N$354,3,FALSE))</f>
        <v>_</v>
      </c>
      <c r="CL439" s="44"/>
      <c r="CM439" s="45" t="s">
        <v>16</v>
      </c>
      <c r="CN439" s="46" t="str">
        <f>IF(VLOOKUP(CM439,βοηθητικό!$J$2:$N$354,3,FALSE)="","",VLOOKUP(CM439,βοηθητικό!$J$2:$N$354,3,FALSE))</f>
        <v>_</v>
      </c>
      <c r="CO439" s="47"/>
      <c r="CP439" s="42" t="s">
        <v>16</v>
      </c>
      <c r="CQ439" s="43" t="str">
        <f>IF(VLOOKUP(CP439,βοηθητικό!$J$2:$N$354,3,FALSE)="","",VLOOKUP(CP439,βοηθητικό!$J$2:$N$354,3,FALSE))</f>
        <v>_</v>
      </c>
      <c r="CR439" s="44"/>
      <c r="CS439" s="45" t="s">
        <v>16</v>
      </c>
      <c r="CT439" s="46" t="str">
        <f>IF(VLOOKUP(CS439,βοηθητικό!$J$2:$N$354,3,FALSE)="","",VLOOKUP(CS439,βοηθητικό!$J$2:$N$354,3,FALSE))</f>
        <v>_</v>
      </c>
      <c r="CU439" s="47"/>
    </row>
    <row r="440" spans="1:99" x14ac:dyDescent="0.25">
      <c r="A440" s="37">
        <f>--SUBTOTAL(3,$B$3:B439)</f>
        <v>198</v>
      </c>
      <c r="B440" s="2"/>
      <c r="C440" s="3"/>
      <c r="D440" s="55" t="s">
        <v>18</v>
      </c>
      <c r="E440" s="38" t="s">
        <v>16</v>
      </c>
      <c r="F440" s="38" t="s">
        <v>16</v>
      </c>
      <c r="G440" s="39" t="str">
        <f t="shared" si="20"/>
        <v>__</v>
      </c>
      <c r="H440" s="40" t="str">
        <f t="shared" si="21"/>
        <v>FALSE</v>
      </c>
      <c r="I440" s="41">
        <f t="shared" si="22"/>
        <v>0</v>
      </c>
      <c r="J440" s="4" t="s">
        <v>16</v>
      </c>
      <c r="K440" s="43" t="str">
        <f>IF(VLOOKUP(J440,βοηθητικό!$J$2:$N$354,3,FALSE)="","",VLOOKUP(J440,βοηθητικό!$J$2:$N$354,3,FALSE))</f>
        <v>_</v>
      </c>
      <c r="L440" s="44"/>
      <c r="M440" s="5" t="s">
        <v>16</v>
      </c>
      <c r="N440" s="46" t="str">
        <f>IF(VLOOKUP(M440,βοηθητικό!$J$2:$N$354,3,FALSE)="","",VLOOKUP(M440,βοηθητικό!$J$2:$N$354,3,FALSE))</f>
        <v>_</v>
      </c>
      <c r="O440" s="47"/>
      <c r="P440" s="4" t="s">
        <v>16</v>
      </c>
      <c r="Q440" s="43" t="str">
        <f>IF(VLOOKUP(P440,βοηθητικό!$J$2:$N$354,3,FALSE)="","",VLOOKUP(P440,βοηθητικό!$J$2:$N$354,3,FALSE))</f>
        <v>_</v>
      </c>
      <c r="R440" s="44"/>
      <c r="S440" s="5" t="s">
        <v>16</v>
      </c>
      <c r="T440" s="46" t="str">
        <f>IF(VLOOKUP(S440,βοηθητικό!$J$2:$N$354,3,FALSE)="","",VLOOKUP(S440,βοηθητικό!$J$2:$N$354,3,FALSE))</f>
        <v>_</v>
      </c>
      <c r="U440" s="47"/>
      <c r="V440" s="4" t="s">
        <v>16</v>
      </c>
      <c r="W440" s="43" t="str">
        <f>IF(VLOOKUP(V440,βοηθητικό!$J$2:$N$354,3,FALSE)="","",VLOOKUP(V440,βοηθητικό!$J$2:$N$354,3,FALSE))</f>
        <v>_</v>
      </c>
      <c r="X440" s="44"/>
      <c r="Y440" s="5" t="s">
        <v>16</v>
      </c>
      <c r="Z440" s="46" t="str">
        <f>IF(VLOOKUP(Y440,βοηθητικό!$J$2:$N$354,3,FALSE)="","",VLOOKUP(Y440,βοηθητικό!$J$2:$N$354,3,FALSE))</f>
        <v>_</v>
      </c>
      <c r="AA440" s="47"/>
      <c r="AB440" s="4" t="s">
        <v>16</v>
      </c>
      <c r="AC440" s="43" t="str">
        <f>IF(VLOOKUP(AB440,βοηθητικό!$J$2:$N$354,3,FALSE)="","",VLOOKUP(AB440,βοηθητικό!$J$2:$N$354,3,FALSE))</f>
        <v>_</v>
      </c>
      <c r="AD440" s="44"/>
      <c r="AE440" s="5" t="s">
        <v>16</v>
      </c>
      <c r="AF440" s="46" t="str">
        <f>IF(VLOOKUP(AE440,βοηθητικό!$J$2:$N$354,3,FALSE)="","",VLOOKUP(AE440,βοηθητικό!$J$2:$N$354,3,FALSE))</f>
        <v>_</v>
      </c>
      <c r="AG440" s="47"/>
      <c r="AH440" s="4" t="s">
        <v>16</v>
      </c>
      <c r="AI440" s="43" t="str">
        <f>IF(VLOOKUP(AH440,βοηθητικό!$J$2:$N$354,3,FALSE)="","",VLOOKUP(AH440,βοηθητικό!$J$2:$N$354,3,FALSE))</f>
        <v>_</v>
      </c>
      <c r="AJ440" s="44"/>
      <c r="AK440" s="5" t="s">
        <v>16</v>
      </c>
      <c r="AL440" s="46" t="str">
        <f>IF(VLOOKUP(AK440,βοηθητικό!$J$2:$N$354,3,FALSE)="","",VLOOKUP(AK440,βοηθητικό!$J$2:$N$354,3,FALSE))</f>
        <v>_</v>
      </c>
      <c r="AM440" s="47"/>
      <c r="AN440" s="4" t="s">
        <v>16</v>
      </c>
      <c r="AO440" s="43" t="str">
        <f>IF(VLOOKUP(AN440,βοηθητικό!$J$2:$N$354,3,FALSE)="","",VLOOKUP(AN440,βοηθητικό!$J$2:$N$354,3,FALSE))</f>
        <v>_</v>
      </c>
      <c r="AP440" s="44"/>
      <c r="AQ440" s="5" t="s">
        <v>16</v>
      </c>
      <c r="AR440" s="46" t="str">
        <f>IF(VLOOKUP(AQ440,βοηθητικό!$J$2:$N$354,3,FALSE)="","",VLOOKUP(AQ440,βοηθητικό!$J$2:$N$354,3,FALSE))</f>
        <v>_</v>
      </c>
      <c r="AS440" s="47"/>
      <c r="AT440" s="4" t="s">
        <v>16</v>
      </c>
      <c r="AU440" s="43" t="str">
        <f>IF(VLOOKUP(AT440,βοηθητικό!$J$2:$N$354,3,FALSE)="","",VLOOKUP(AT440,βοηθητικό!$J$2:$N$354,3,FALSE))</f>
        <v>_</v>
      </c>
      <c r="AV440" s="44"/>
      <c r="AW440" s="5" t="s">
        <v>16</v>
      </c>
      <c r="AX440" s="46" t="str">
        <f>IF(VLOOKUP(AW440,βοηθητικό!$J$2:$N$354,3,FALSE)="","",VLOOKUP(AW440,βοηθητικό!$J$2:$N$354,3,FALSE))</f>
        <v>_</v>
      </c>
      <c r="AY440" s="47"/>
      <c r="AZ440" s="4" t="s">
        <v>16</v>
      </c>
      <c r="BA440" s="43" t="str">
        <f>IF(VLOOKUP(AZ440,βοηθητικό!$J$2:$N$354,3,FALSE)="","",VLOOKUP(AZ440,βοηθητικό!$J$2:$N$354,3,FALSE))</f>
        <v>_</v>
      </c>
      <c r="BB440" s="44"/>
      <c r="BC440" s="45" t="s">
        <v>16</v>
      </c>
      <c r="BD440" s="46" t="str">
        <f>IF(VLOOKUP(BC440,βοηθητικό!$J$2:$N$354,3,FALSE)="","",VLOOKUP(BC440,βοηθητικό!$J$2:$N$354,3,FALSE))</f>
        <v>_</v>
      </c>
      <c r="BE440" s="47"/>
      <c r="BF440" s="42" t="s">
        <v>16</v>
      </c>
      <c r="BG440" s="43" t="str">
        <f>IF(VLOOKUP(BF440,βοηθητικό!$J$2:$N$354,3,FALSE)="","",VLOOKUP(BF440,βοηθητικό!$J$2:$N$354,3,FALSE))</f>
        <v>_</v>
      </c>
      <c r="BH440" s="44"/>
      <c r="BI440" s="45" t="s">
        <v>16</v>
      </c>
      <c r="BJ440" s="46" t="str">
        <f>IF(VLOOKUP(BI440,βοηθητικό!$J$2:$N$354,3,FALSE)="","",VLOOKUP(BI440,βοηθητικό!$J$2:$N$354,3,FALSE))</f>
        <v>_</v>
      </c>
      <c r="BK440" s="47"/>
      <c r="BL440" s="42" t="s">
        <v>16</v>
      </c>
      <c r="BM440" s="43" t="str">
        <f>IF(VLOOKUP(BL440,βοηθητικό!$J$2:$N$354,3,FALSE)="","",VLOOKUP(BL440,βοηθητικό!$J$2:$N$354,3,FALSE))</f>
        <v>_</v>
      </c>
      <c r="BN440" s="44"/>
      <c r="BO440" s="45" t="s">
        <v>16</v>
      </c>
      <c r="BP440" s="46" t="str">
        <f>IF(VLOOKUP(BO440,βοηθητικό!$J$2:$N$354,3,FALSE)="","",VLOOKUP(BO440,βοηθητικό!$J$2:$N$354,3,FALSE))</f>
        <v>_</v>
      </c>
      <c r="BQ440" s="47"/>
      <c r="BR440" s="42" t="s">
        <v>16</v>
      </c>
      <c r="BS440" s="43" t="str">
        <f>IF(VLOOKUP(BR440,βοηθητικό!$J$2:$N$354,3,FALSE)="","",VLOOKUP(BR440,βοηθητικό!$J$2:$N$354,3,FALSE))</f>
        <v>_</v>
      </c>
      <c r="BT440" s="44"/>
      <c r="BU440" s="45" t="s">
        <v>16</v>
      </c>
      <c r="BV440" s="46" t="str">
        <f>IF(VLOOKUP(BU440,βοηθητικό!$J$2:$N$354,3,FALSE)="","",VLOOKUP(BU440,βοηθητικό!$J$2:$N$354,3,FALSE))</f>
        <v>_</v>
      </c>
      <c r="BW440" s="47"/>
      <c r="BX440" s="42" t="s">
        <v>16</v>
      </c>
      <c r="BY440" s="43" t="str">
        <f>IF(VLOOKUP(BX440,βοηθητικό!$J$2:$N$354,3,FALSE)="","",VLOOKUP(BX440,βοηθητικό!$J$2:$N$354,3,FALSE))</f>
        <v>_</v>
      </c>
      <c r="BZ440" s="44"/>
      <c r="CA440" s="45" t="s">
        <v>16</v>
      </c>
      <c r="CB440" s="46" t="str">
        <f>IF(VLOOKUP(CA440,βοηθητικό!$J$2:$N$354,3,FALSE)="","",VLOOKUP(CA440,βοηθητικό!$J$2:$N$354,3,FALSE))</f>
        <v>_</v>
      </c>
      <c r="CC440" s="47"/>
      <c r="CD440" s="42" t="s">
        <v>16</v>
      </c>
      <c r="CE440" s="43" t="str">
        <f>IF(VLOOKUP(CD440,βοηθητικό!$J$2:$N$354,3,FALSE)="","",VLOOKUP(CD440,βοηθητικό!$J$2:$N$354,3,FALSE))</f>
        <v>_</v>
      </c>
      <c r="CF440" s="44"/>
      <c r="CG440" s="45" t="s">
        <v>16</v>
      </c>
      <c r="CH440" s="46" t="str">
        <f>IF(VLOOKUP(CG440,βοηθητικό!$J$2:$N$354,3,FALSE)="","",VLOOKUP(CG440,βοηθητικό!$J$2:$N$354,3,FALSE))</f>
        <v>_</v>
      </c>
      <c r="CI440" s="47"/>
      <c r="CJ440" s="42" t="s">
        <v>16</v>
      </c>
      <c r="CK440" s="43" t="str">
        <f>IF(VLOOKUP(CJ440,βοηθητικό!$J$2:$N$354,3,FALSE)="","",VLOOKUP(CJ440,βοηθητικό!$J$2:$N$354,3,FALSE))</f>
        <v>_</v>
      </c>
      <c r="CL440" s="44"/>
      <c r="CM440" s="45" t="s">
        <v>16</v>
      </c>
      <c r="CN440" s="46" t="str">
        <f>IF(VLOOKUP(CM440,βοηθητικό!$J$2:$N$354,3,FALSE)="","",VLOOKUP(CM440,βοηθητικό!$J$2:$N$354,3,FALSE))</f>
        <v>_</v>
      </c>
      <c r="CO440" s="47"/>
      <c r="CP440" s="42" t="s">
        <v>16</v>
      </c>
      <c r="CQ440" s="43" t="str">
        <f>IF(VLOOKUP(CP440,βοηθητικό!$J$2:$N$354,3,FALSE)="","",VLOOKUP(CP440,βοηθητικό!$J$2:$N$354,3,FALSE))</f>
        <v>_</v>
      </c>
      <c r="CR440" s="44"/>
      <c r="CS440" s="45" t="s">
        <v>16</v>
      </c>
      <c r="CT440" s="46" t="str">
        <f>IF(VLOOKUP(CS440,βοηθητικό!$J$2:$N$354,3,FALSE)="","",VLOOKUP(CS440,βοηθητικό!$J$2:$N$354,3,FALSE))</f>
        <v>_</v>
      </c>
      <c r="CU440" s="47"/>
    </row>
    <row r="441" spans="1:99" x14ac:dyDescent="0.25">
      <c r="A441" s="37">
        <f>--SUBTOTAL(3,$B$3:B440)</f>
        <v>198</v>
      </c>
      <c r="B441" s="2"/>
      <c r="C441" s="3"/>
      <c r="D441" s="55" t="s">
        <v>18</v>
      </c>
      <c r="E441" s="38" t="s">
        <v>16</v>
      </c>
      <c r="F441" s="38" t="s">
        <v>16</v>
      </c>
      <c r="G441" s="39" t="str">
        <f t="shared" si="20"/>
        <v>__</v>
      </c>
      <c r="H441" s="40" t="str">
        <f t="shared" si="21"/>
        <v>FALSE</v>
      </c>
      <c r="I441" s="41">
        <f t="shared" si="22"/>
        <v>0</v>
      </c>
      <c r="J441" s="4" t="s">
        <v>16</v>
      </c>
      <c r="K441" s="43" t="str">
        <f>IF(VLOOKUP(J441,βοηθητικό!$J$2:$N$354,3,FALSE)="","",VLOOKUP(J441,βοηθητικό!$J$2:$N$354,3,FALSE))</f>
        <v>_</v>
      </c>
      <c r="L441" s="44"/>
      <c r="M441" s="5" t="s">
        <v>16</v>
      </c>
      <c r="N441" s="46" t="str">
        <f>IF(VLOOKUP(M441,βοηθητικό!$J$2:$N$354,3,FALSE)="","",VLOOKUP(M441,βοηθητικό!$J$2:$N$354,3,FALSE))</f>
        <v>_</v>
      </c>
      <c r="O441" s="47"/>
      <c r="P441" s="4" t="s">
        <v>16</v>
      </c>
      <c r="Q441" s="43" t="str">
        <f>IF(VLOOKUP(P441,βοηθητικό!$J$2:$N$354,3,FALSE)="","",VLOOKUP(P441,βοηθητικό!$J$2:$N$354,3,FALSE))</f>
        <v>_</v>
      </c>
      <c r="R441" s="44"/>
      <c r="S441" s="5" t="s">
        <v>16</v>
      </c>
      <c r="T441" s="46" t="str">
        <f>IF(VLOOKUP(S441,βοηθητικό!$J$2:$N$354,3,FALSE)="","",VLOOKUP(S441,βοηθητικό!$J$2:$N$354,3,FALSE))</f>
        <v>_</v>
      </c>
      <c r="U441" s="47"/>
      <c r="V441" s="4" t="s">
        <v>16</v>
      </c>
      <c r="W441" s="43" t="str">
        <f>IF(VLOOKUP(V441,βοηθητικό!$J$2:$N$354,3,FALSE)="","",VLOOKUP(V441,βοηθητικό!$J$2:$N$354,3,FALSE))</f>
        <v>_</v>
      </c>
      <c r="X441" s="44"/>
      <c r="Y441" s="5" t="s">
        <v>16</v>
      </c>
      <c r="Z441" s="46" t="str">
        <f>IF(VLOOKUP(Y441,βοηθητικό!$J$2:$N$354,3,FALSE)="","",VLOOKUP(Y441,βοηθητικό!$J$2:$N$354,3,FALSE))</f>
        <v>_</v>
      </c>
      <c r="AA441" s="47"/>
      <c r="AB441" s="4" t="s">
        <v>16</v>
      </c>
      <c r="AC441" s="43" t="str">
        <f>IF(VLOOKUP(AB441,βοηθητικό!$J$2:$N$354,3,FALSE)="","",VLOOKUP(AB441,βοηθητικό!$J$2:$N$354,3,FALSE))</f>
        <v>_</v>
      </c>
      <c r="AD441" s="44"/>
      <c r="AE441" s="5" t="s">
        <v>16</v>
      </c>
      <c r="AF441" s="46" t="str">
        <f>IF(VLOOKUP(AE441,βοηθητικό!$J$2:$N$354,3,FALSE)="","",VLOOKUP(AE441,βοηθητικό!$J$2:$N$354,3,FALSE))</f>
        <v>_</v>
      </c>
      <c r="AG441" s="47"/>
      <c r="AH441" s="4" t="s">
        <v>16</v>
      </c>
      <c r="AI441" s="43" t="str">
        <f>IF(VLOOKUP(AH441,βοηθητικό!$J$2:$N$354,3,FALSE)="","",VLOOKUP(AH441,βοηθητικό!$J$2:$N$354,3,FALSE))</f>
        <v>_</v>
      </c>
      <c r="AJ441" s="44"/>
      <c r="AK441" s="5" t="s">
        <v>16</v>
      </c>
      <c r="AL441" s="46" t="str">
        <f>IF(VLOOKUP(AK441,βοηθητικό!$J$2:$N$354,3,FALSE)="","",VLOOKUP(AK441,βοηθητικό!$J$2:$N$354,3,FALSE))</f>
        <v>_</v>
      </c>
      <c r="AM441" s="47"/>
      <c r="AN441" s="4" t="s">
        <v>16</v>
      </c>
      <c r="AO441" s="43" t="str">
        <f>IF(VLOOKUP(AN441,βοηθητικό!$J$2:$N$354,3,FALSE)="","",VLOOKUP(AN441,βοηθητικό!$J$2:$N$354,3,FALSE))</f>
        <v>_</v>
      </c>
      <c r="AP441" s="44"/>
      <c r="AQ441" s="5" t="s">
        <v>16</v>
      </c>
      <c r="AR441" s="46" t="str">
        <f>IF(VLOOKUP(AQ441,βοηθητικό!$J$2:$N$354,3,FALSE)="","",VLOOKUP(AQ441,βοηθητικό!$J$2:$N$354,3,FALSE))</f>
        <v>_</v>
      </c>
      <c r="AS441" s="47"/>
      <c r="AT441" s="4" t="s">
        <v>16</v>
      </c>
      <c r="AU441" s="43" t="str">
        <f>IF(VLOOKUP(AT441,βοηθητικό!$J$2:$N$354,3,FALSE)="","",VLOOKUP(AT441,βοηθητικό!$J$2:$N$354,3,FALSE))</f>
        <v>_</v>
      </c>
      <c r="AV441" s="44"/>
      <c r="AW441" s="5" t="s">
        <v>16</v>
      </c>
      <c r="AX441" s="46" t="str">
        <f>IF(VLOOKUP(AW441,βοηθητικό!$J$2:$N$354,3,FALSE)="","",VLOOKUP(AW441,βοηθητικό!$J$2:$N$354,3,FALSE))</f>
        <v>_</v>
      </c>
      <c r="AY441" s="47"/>
      <c r="AZ441" s="4" t="s">
        <v>16</v>
      </c>
      <c r="BA441" s="43" t="str">
        <f>IF(VLOOKUP(AZ441,βοηθητικό!$J$2:$N$354,3,FALSE)="","",VLOOKUP(AZ441,βοηθητικό!$J$2:$N$354,3,FALSE))</f>
        <v>_</v>
      </c>
      <c r="BB441" s="44"/>
      <c r="BC441" s="45" t="s">
        <v>16</v>
      </c>
      <c r="BD441" s="46" t="str">
        <f>IF(VLOOKUP(BC441,βοηθητικό!$J$2:$N$354,3,FALSE)="","",VLOOKUP(BC441,βοηθητικό!$J$2:$N$354,3,FALSE))</f>
        <v>_</v>
      </c>
      <c r="BE441" s="47"/>
      <c r="BF441" s="42" t="s">
        <v>16</v>
      </c>
      <c r="BG441" s="43" t="str">
        <f>IF(VLOOKUP(BF441,βοηθητικό!$J$2:$N$354,3,FALSE)="","",VLOOKUP(BF441,βοηθητικό!$J$2:$N$354,3,FALSE))</f>
        <v>_</v>
      </c>
      <c r="BH441" s="44"/>
      <c r="BI441" s="45" t="s">
        <v>16</v>
      </c>
      <c r="BJ441" s="46" t="str">
        <f>IF(VLOOKUP(BI441,βοηθητικό!$J$2:$N$354,3,FALSE)="","",VLOOKUP(BI441,βοηθητικό!$J$2:$N$354,3,FALSE))</f>
        <v>_</v>
      </c>
      <c r="BK441" s="47"/>
      <c r="BL441" s="42" t="s">
        <v>16</v>
      </c>
      <c r="BM441" s="43" t="str">
        <f>IF(VLOOKUP(BL441,βοηθητικό!$J$2:$N$354,3,FALSE)="","",VLOOKUP(BL441,βοηθητικό!$J$2:$N$354,3,FALSE))</f>
        <v>_</v>
      </c>
      <c r="BN441" s="44"/>
      <c r="BO441" s="45" t="s">
        <v>16</v>
      </c>
      <c r="BP441" s="46" t="str">
        <f>IF(VLOOKUP(BO441,βοηθητικό!$J$2:$N$354,3,FALSE)="","",VLOOKUP(BO441,βοηθητικό!$J$2:$N$354,3,FALSE))</f>
        <v>_</v>
      </c>
      <c r="BQ441" s="47"/>
      <c r="BR441" s="42" t="s">
        <v>16</v>
      </c>
      <c r="BS441" s="43" t="str">
        <f>IF(VLOOKUP(BR441,βοηθητικό!$J$2:$N$354,3,FALSE)="","",VLOOKUP(BR441,βοηθητικό!$J$2:$N$354,3,FALSE))</f>
        <v>_</v>
      </c>
      <c r="BT441" s="44"/>
      <c r="BU441" s="45" t="s">
        <v>16</v>
      </c>
      <c r="BV441" s="46" t="str">
        <f>IF(VLOOKUP(BU441,βοηθητικό!$J$2:$N$354,3,FALSE)="","",VLOOKUP(BU441,βοηθητικό!$J$2:$N$354,3,FALSE))</f>
        <v>_</v>
      </c>
      <c r="BW441" s="47"/>
      <c r="BX441" s="42" t="s">
        <v>16</v>
      </c>
      <c r="BY441" s="43" t="str">
        <f>IF(VLOOKUP(BX441,βοηθητικό!$J$2:$N$354,3,FALSE)="","",VLOOKUP(BX441,βοηθητικό!$J$2:$N$354,3,FALSE))</f>
        <v>_</v>
      </c>
      <c r="BZ441" s="44"/>
      <c r="CA441" s="45" t="s">
        <v>16</v>
      </c>
      <c r="CB441" s="46" t="str">
        <f>IF(VLOOKUP(CA441,βοηθητικό!$J$2:$N$354,3,FALSE)="","",VLOOKUP(CA441,βοηθητικό!$J$2:$N$354,3,FALSE))</f>
        <v>_</v>
      </c>
      <c r="CC441" s="47"/>
      <c r="CD441" s="42" t="s">
        <v>16</v>
      </c>
      <c r="CE441" s="43" t="str">
        <f>IF(VLOOKUP(CD441,βοηθητικό!$J$2:$N$354,3,FALSE)="","",VLOOKUP(CD441,βοηθητικό!$J$2:$N$354,3,FALSE))</f>
        <v>_</v>
      </c>
      <c r="CF441" s="44"/>
      <c r="CG441" s="45" t="s">
        <v>16</v>
      </c>
      <c r="CH441" s="46" t="str">
        <f>IF(VLOOKUP(CG441,βοηθητικό!$J$2:$N$354,3,FALSE)="","",VLOOKUP(CG441,βοηθητικό!$J$2:$N$354,3,FALSE))</f>
        <v>_</v>
      </c>
      <c r="CI441" s="47"/>
      <c r="CJ441" s="42" t="s">
        <v>16</v>
      </c>
      <c r="CK441" s="43" t="str">
        <f>IF(VLOOKUP(CJ441,βοηθητικό!$J$2:$N$354,3,FALSE)="","",VLOOKUP(CJ441,βοηθητικό!$J$2:$N$354,3,FALSE))</f>
        <v>_</v>
      </c>
      <c r="CL441" s="44"/>
      <c r="CM441" s="45" t="s">
        <v>16</v>
      </c>
      <c r="CN441" s="46" t="str">
        <f>IF(VLOOKUP(CM441,βοηθητικό!$J$2:$N$354,3,FALSE)="","",VLOOKUP(CM441,βοηθητικό!$J$2:$N$354,3,FALSE))</f>
        <v>_</v>
      </c>
      <c r="CO441" s="47"/>
      <c r="CP441" s="42" t="s">
        <v>16</v>
      </c>
      <c r="CQ441" s="43" t="str">
        <f>IF(VLOOKUP(CP441,βοηθητικό!$J$2:$N$354,3,FALSE)="","",VLOOKUP(CP441,βοηθητικό!$J$2:$N$354,3,FALSE))</f>
        <v>_</v>
      </c>
      <c r="CR441" s="44"/>
      <c r="CS441" s="45" t="s">
        <v>16</v>
      </c>
      <c r="CT441" s="46" t="str">
        <f>IF(VLOOKUP(CS441,βοηθητικό!$J$2:$N$354,3,FALSE)="","",VLOOKUP(CS441,βοηθητικό!$J$2:$N$354,3,FALSE))</f>
        <v>_</v>
      </c>
      <c r="CU441" s="47"/>
    </row>
    <row r="442" spans="1:99" x14ac:dyDescent="0.25">
      <c r="A442" s="37">
        <f>--SUBTOTAL(3,$B$3:B441)</f>
        <v>198</v>
      </c>
      <c r="B442" s="2"/>
      <c r="C442" s="3"/>
      <c r="D442" s="55" t="s">
        <v>18</v>
      </c>
      <c r="E442" s="38" t="s">
        <v>16</v>
      </c>
      <c r="F442" s="38" t="s">
        <v>16</v>
      </c>
      <c r="G442" s="39" t="str">
        <f t="shared" si="20"/>
        <v>__</v>
      </c>
      <c r="H442" s="40" t="str">
        <f t="shared" si="21"/>
        <v>FALSE</v>
      </c>
      <c r="I442" s="41">
        <f t="shared" si="22"/>
        <v>0</v>
      </c>
      <c r="J442" s="4" t="s">
        <v>16</v>
      </c>
      <c r="K442" s="43" t="str">
        <f>IF(VLOOKUP(J442,βοηθητικό!$J$2:$N$354,3,FALSE)="","",VLOOKUP(J442,βοηθητικό!$J$2:$N$354,3,FALSE))</f>
        <v>_</v>
      </c>
      <c r="L442" s="44"/>
      <c r="M442" s="5" t="s">
        <v>16</v>
      </c>
      <c r="N442" s="46" t="str">
        <f>IF(VLOOKUP(M442,βοηθητικό!$J$2:$N$354,3,FALSE)="","",VLOOKUP(M442,βοηθητικό!$J$2:$N$354,3,FALSE))</f>
        <v>_</v>
      </c>
      <c r="O442" s="47"/>
      <c r="P442" s="4" t="s">
        <v>16</v>
      </c>
      <c r="Q442" s="43" t="str">
        <f>IF(VLOOKUP(P442,βοηθητικό!$J$2:$N$354,3,FALSE)="","",VLOOKUP(P442,βοηθητικό!$J$2:$N$354,3,FALSE))</f>
        <v>_</v>
      </c>
      <c r="R442" s="44"/>
      <c r="S442" s="5" t="s">
        <v>16</v>
      </c>
      <c r="T442" s="46" t="str">
        <f>IF(VLOOKUP(S442,βοηθητικό!$J$2:$N$354,3,FALSE)="","",VLOOKUP(S442,βοηθητικό!$J$2:$N$354,3,FALSE))</f>
        <v>_</v>
      </c>
      <c r="U442" s="47"/>
      <c r="V442" s="4" t="s">
        <v>16</v>
      </c>
      <c r="W442" s="43" t="str">
        <f>IF(VLOOKUP(V442,βοηθητικό!$J$2:$N$354,3,FALSE)="","",VLOOKUP(V442,βοηθητικό!$J$2:$N$354,3,FALSE))</f>
        <v>_</v>
      </c>
      <c r="X442" s="44"/>
      <c r="Y442" s="5" t="s">
        <v>16</v>
      </c>
      <c r="Z442" s="46" t="str">
        <f>IF(VLOOKUP(Y442,βοηθητικό!$J$2:$N$354,3,FALSE)="","",VLOOKUP(Y442,βοηθητικό!$J$2:$N$354,3,FALSE))</f>
        <v>_</v>
      </c>
      <c r="AA442" s="47"/>
      <c r="AB442" s="4" t="s">
        <v>16</v>
      </c>
      <c r="AC442" s="43" t="str">
        <f>IF(VLOOKUP(AB442,βοηθητικό!$J$2:$N$354,3,FALSE)="","",VLOOKUP(AB442,βοηθητικό!$J$2:$N$354,3,FALSE))</f>
        <v>_</v>
      </c>
      <c r="AD442" s="44"/>
      <c r="AE442" s="5" t="s">
        <v>16</v>
      </c>
      <c r="AF442" s="46" t="str">
        <f>IF(VLOOKUP(AE442,βοηθητικό!$J$2:$N$354,3,FALSE)="","",VLOOKUP(AE442,βοηθητικό!$J$2:$N$354,3,FALSE))</f>
        <v>_</v>
      </c>
      <c r="AG442" s="47"/>
      <c r="AH442" s="4" t="s">
        <v>16</v>
      </c>
      <c r="AI442" s="43" t="str">
        <f>IF(VLOOKUP(AH442,βοηθητικό!$J$2:$N$354,3,FALSE)="","",VLOOKUP(AH442,βοηθητικό!$J$2:$N$354,3,FALSE))</f>
        <v>_</v>
      </c>
      <c r="AJ442" s="44"/>
      <c r="AK442" s="5" t="s">
        <v>16</v>
      </c>
      <c r="AL442" s="46" t="str">
        <f>IF(VLOOKUP(AK442,βοηθητικό!$J$2:$N$354,3,FALSE)="","",VLOOKUP(AK442,βοηθητικό!$J$2:$N$354,3,FALSE))</f>
        <v>_</v>
      </c>
      <c r="AM442" s="47"/>
      <c r="AN442" s="4" t="s">
        <v>16</v>
      </c>
      <c r="AO442" s="43" t="str">
        <f>IF(VLOOKUP(AN442,βοηθητικό!$J$2:$N$354,3,FALSE)="","",VLOOKUP(AN442,βοηθητικό!$J$2:$N$354,3,FALSE))</f>
        <v>_</v>
      </c>
      <c r="AP442" s="44"/>
      <c r="AQ442" s="5" t="s">
        <v>16</v>
      </c>
      <c r="AR442" s="46" t="str">
        <f>IF(VLOOKUP(AQ442,βοηθητικό!$J$2:$N$354,3,FALSE)="","",VLOOKUP(AQ442,βοηθητικό!$J$2:$N$354,3,FALSE))</f>
        <v>_</v>
      </c>
      <c r="AS442" s="47"/>
      <c r="AT442" s="4" t="s">
        <v>16</v>
      </c>
      <c r="AU442" s="43" t="str">
        <f>IF(VLOOKUP(AT442,βοηθητικό!$J$2:$N$354,3,FALSE)="","",VLOOKUP(AT442,βοηθητικό!$J$2:$N$354,3,FALSE))</f>
        <v>_</v>
      </c>
      <c r="AV442" s="44"/>
      <c r="AW442" s="5" t="s">
        <v>16</v>
      </c>
      <c r="AX442" s="46" t="str">
        <f>IF(VLOOKUP(AW442,βοηθητικό!$J$2:$N$354,3,FALSE)="","",VLOOKUP(AW442,βοηθητικό!$J$2:$N$354,3,FALSE))</f>
        <v>_</v>
      </c>
      <c r="AY442" s="47"/>
      <c r="AZ442" s="4" t="s">
        <v>16</v>
      </c>
      <c r="BA442" s="43" t="str">
        <f>IF(VLOOKUP(AZ442,βοηθητικό!$J$2:$N$354,3,FALSE)="","",VLOOKUP(AZ442,βοηθητικό!$J$2:$N$354,3,FALSE))</f>
        <v>_</v>
      </c>
      <c r="BB442" s="44"/>
      <c r="BC442" s="45" t="s">
        <v>16</v>
      </c>
      <c r="BD442" s="46" t="str">
        <f>IF(VLOOKUP(BC442,βοηθητικό!$J$2:$N$354,3,FALSE)="","",VLOOKUP(BC442,βοηθητικό!$J$2:$N$354,3,FALSE))</f>
        <v>_</v>
      </c>
      <c r="BE442" s="47"/>
      <c r="BF442" s="42" t="s">
        <v>16</v>
      </c>
      <c r="BG442" s="43" t="str">
        <f>IF(VLOOKUP(BF442,βοηθητικό!$J$2:$N$354,3,FALSE)="","",VLOOKUP(BF442,βοηθητικό!$J$2:$N$354,3,FALSE))</f>
        <v>_</v>
      </c>
      <c r="BH442" s="44"/>
      <c r="BI442" s="45" t="s">
        <v>16</v>
      </c>
      <c r="BJ442" s="46" t="str">
        <f>IF(VLOOKUP(BI442,βοηθητικό!$J$2:$N$354,3,FALSE)="","",VLOOKUP(BI442,βοηθητικό!$J$2:$N$354,3,FALSE))</f>
        <v>_</v>
      </c>
      <c r="BK442" s="47"/>
      <c r="BL442" s="42" t="s">
        <v>16</v>
      </c>
      <c r="BM442" s="43" t="str">
        <f>IF(VLOOKUP(BL442,βοηθητικό!$J$2:$N$354,3,FALSE)="","",VLOOKUP(BL442,βοηθητικό!$J$2:$N$354,3,FALSE))</f>
        <v>_</v>
      </c>
      <c r="BN442" s="44"/>
      <c r="BO442" s="45" t="s">
        <v>16</v>
      </c>
      <c r="BP442" s="46" t="str">
        <f>IF(VLOOKUP(BO442,βοηθητικό!$J$2:$N$354,3,FALSE)="","",VLOOKUP(BO442,βοηθητικό!$J$2:$N$354,3,FALSE))</f>
        <v>_</v>
      </c>
      <c r="BQ442" s="47"/>
      <c r="BR442" s="42" t="s">
        <v>16</v>
      </c>
      <c r="BS442" s="43" t="str">
        <f>IF(VLOOKUP(BR442,βοηθητικό!$J$2:$N$354,3,FALSE)="","",VLOOKUP(BR442,βοηθητικό!$J$2:$N$354,3,FALSE))</f>
        <v>_</v>
      </c>
      <c r="BT442" s="44"/>
      <c r="BU442" s="45" t="s">
        <v>16</v>
      </c>
      <c r="BV442" s="46" t="str">
        <f>IF(VLOOKUP(BU442,βοηθητικό!$J$2:$N$354,3,FALSE)="","",VLOOKUP(BU442,βοηθητικό!$J$2:$N$354,3,FALSE))</f>
        <v>_</v>
      </c>
      <c r="BW442" s="47"/>
      <c r="BX442" s="42" t="s">
        <v>16</v>
      </c>
      <c r="BY442" s="43" t="str">
        <f>IF(VLOOKUP(BX442,βοηθητικό!$J$2:$N$354,3,FALSE)="","",VLOOKUP(BX442,βοηθητικό!$J$2:$N$354,3,FALSE))</f>
        <v>_</v>
      </c>
      <c r="BZ442" s="44"/>
      <c r="CA442" s="45" t="s">
        <v>16</v>
      </c>
      <c r="CB442" s="46" t="str">
        <f>IF(VLOOKUP(CA442,βοηθητικό!$J$2:$N$354,3,FALSE)="","",VLOOKUP(CA442,βοηθητικό!$J$2:$N$354,3,FALSE))</f>
        <v>_</v>
      </c>
      <c r="CC442" s="47"/>
      <c r="CD442" s="42" t="s">
        <v>16</v>
      </c>
      <c r="CE442" s="43" t="str">
        <f>IF(VLOOKUP(CD442,βοηθητικό!$J$2:$N$354,3,FALSE)="","",VLOOKUP(CD442,βοηθητικό!$J$2:$N$354,3,FALSE))</f>
        <v>_</v>
      </c>
      <c r="CF442" s="44"/>
      <c r="CG442" s="45" t="s">
        <v>16</v>
      </c>
      <c r="CH442" s="46" t="str">
        <f>IF(VLOOKUP(CG442,βοηθητικό!$J$2:$N$354,3,FALSE)="","",VLOOKUP(CG442,βοηθητικό!$J$2:$N$354,3,FALSE))</f>
        <v>_</v>
      </c>
      <c r="CI442" s="47"/>
      <c r="CJ442" s="42" t="s">
        <v>16</v>
      </c>
      <c r="CK442" s="43" t="str">
        <f>IF(VLOOKUP(CJ442,βοηθητικό!$J$2:$N$354,3,FALSE)="","",VLOOKUP(CJ442,βοηθητικό!$J$2:$N$354,3,FALSE))</f>
        <v>_</v>
      </c>
      <c r="CL442" s="44"/>
      <c r="CM442" s="45" t="s">
        <v>16</v>
      </c>
      <c r="CN442" s="46" t="str">
        <f>IF(VLOOKUP(CM442,βοηθητικό!$J$2:$N$354,3,FALSE)="","",VLOOKUP(CM442,βοηθητικό!$J$2:$N$354,3,FALSE))</f>
        <v>_</v>
      </c>
      <c r="CO442" s="47"/>
      <c r="CP442" s="42" t="s">
        <v>16</v>
      </c>
      <c r="CQ442" s="43" t="str">
        <f>IF(VLOOKUP(CP442,βοηθητικό!$J$2:$N$354,3,FALSE)="","",VLOOKUP(CP442,βοηθητικό!$J$2:$N$354,3,FALSE))</f>
        <v>_</v>
      </c>
      <c r="CR442" s="44"/>
      <c r="CS442" s="45" t="s">
        <v>16</v>
      </c>
      <c r="CT442" s="46" t="str">
        <f>IF(VLOOKUP(CS442,βοηθητικό!$J$2:$N$354,3,FALSE)="","",VLOOKUP(CS442,βοηθητικό!$J$2:$N$354,3,FALSE))</f>
        <v>_</v>
      </c>
      <c r="CU442" s="47"/>
    </row>
    <row r="443" spans="1:99" x14ac:dyDescent="0.25">
      <c r="A443" s="37">
        <f>--SUBTOTAL(3,$B$3:B442)</f>
        <v>198</v>
      </c>
      <c r="B443" s="2"/>
      <c r="C443" s="3"/>
      <c r="D443" s="55" t="s">
        <v>18</v>
      </c>
      <c r="E443" s="38" t="s">
        <v>16</v>
      </c>
      <c r="F443" s="38" t="s">
        <v>16</v>
      </c>
      <c r="G443" s="39" t="str">
        <f t="shared" si="20"/>
        <v>__</v>
      </c>
      <c r="H443" s="40" t="str">
        <f t="shared" si="21"/>
        <v>FALSE</v>
      </c>
      <c r="I443" s="41">
        <f t="shared" si="22"/>
        <v>0</v>
      </c>
      <c r="J443" s="4" t="s">
        <v>16</v>
      </c>
      <c r="K443" s="43" t="str">
        <f>IF(VLOOKUP(J443,βοηθητικό!$J$2:$N$354,3,FALSE)="","",VLOOKUP(J443,βοηθητικό!$J$2:$N$354,3,FALSE))</f>
        <v>_</v>
      </c>
      <c r="L443" s="44"/>
      <c r="M443" s="5" t="s">
        <v>16</v>
      </c>
      <c r="N443" s="46" t="str">
        <f>IF(VLOOKUP(M443,βοηθητικό!$J$2:$N$354,3,FALSE)="","",VLOOKUP(M443,βοηθητικό!$J$2:$N$354,3,FALSE))</f>
        <v>_</v>
      </c>
      <c r="O443" s="47"/>
      <c r="P443" s="4" t="s">
        <v>16</v>
      </c>
      <c r="Q443" s="43" t="str">
        <f>IF(VLOOKUP(P443,βοηθητικό!$J$2:$N$354,3,FALSE)="","",VLOOKUP(P443,βοηθητικό!$J$2:$N$354,3,FALSE))</f>
        <v>_</v>
      </c>
      <c r="R443" s="44"/>
      <c r="S443" s="5" t="s">
        <v>16</v>
      </c>
      <c r="T443" s="46" t="str">
        <f>IF(VLOOKUP(S443,βοηθητικό!$J$2:$N$354,3,FALSE)="","",VLOOKUP(S443,βοηθητικό!$J$2:$N$354,3,FALSE))</f>
        <v>_</v>
      </c>
      <c r="U443" s="47"/>
      <c r="V443" s="4" t="s">
        <v>16</v>
      </c>
      <c r="W443" s="43" t="str">
        <f>IF(VLOOKUP(V443,βοηθητικό!$J$2:$N$354,3,FALSE)="","",VLOOKUP(V443,βοηθητικό!$J$2:$N$354,3,FALSE))</f>
        <v>_</v>
      </c>
      <c r="X443" s="44"/>
      <c r="Y443" s="5" t="s">
        <v>16</v>
      </c>
      <c r="Z443" s="46" t="str">
        <f>IF(VLOOKUP(Y443,βοηθητικό!$J$2:$N$354,3,FALSE)="","",VLOOKUP(Y443,βοηθητικό!$J$2:$N$354,3,FALSE))</f>
        <v>_</v>
      </c>
      <c r="AA443" s="47"/>
      <c r="AB443" s="4" t="s">
        <v>16</v>
      </c>
      <c r="AC443" s="43" t="str">
        <f>IF(VLOOKUP(AB443,βοηθητικό!$J$2:$N$354,3,FALSE)="","",VLOOKUP(AB443,βοηθητικό!$J$2:$N$354,3,FALSE))</f>
        <v>_</v>
      </c>
      <c r="AD443" s="44"/>
      <c r="AE443" s="5" t="s">
        <v>16</v>
      </c>
      <c r="AF443" s="46" t="str">
        <f>IF(VLOOKUP(AE443,βοηθητικό!$J$2:$N$354,3,FALSE)="","",VLOOKUP(AE443,βοηθητικό!$J$2:$N$354,3,FALSE))</f>
        <v>_</v>
      </c>
      <c r="AG443" s="47"/>
      <c r="AH443" s="4" t="s">
        <v>16</v>
      </c>
      <c r="AI443" s="43" t="str">
        <f>IF(VLOOKUP(AH443,βοηθητικό!$J$2:$N$354,3,FALSE)="","",VLOOKUP(AH443,βοηθητικό!$J$2:$N$354,3,FALSE))</f>
        <v>_</v>
      </c>
      <c r="AJ443" s="44"/>
      <c r="AK443" s="5" t="s">
        <v>16</v>
      </c>
      <c r="AL443" s="46" t="str">
        <f>IF(VLOOKUP(AK443,βοηθητικό!$J$2:$N$354,3,FALSE)="","",VLOOKUP(AK443,βοηθητικό!$J$2:$N$354,3,FALSE))</f>
        <v>_</v>
      </c>
      <c r="AM443" s="47"/>
      <c r="AN443" s="4" t="s">
        <v>16</v>
      </c>
      <c r="AO443" s="43" t="str">
        <f>IF(VLOOKUP(AN443,βοηθητικό!$J$2:$N$354,3,FALSE)="","",VLOOKUP(AN443,βοηθητικό!$J$2:$N$354,3,FALSE))</f>
        <v>_</v>
      </c>
      <c r="AP443" s="44"/>
      <c r="AQ443" s="5" t="s">
        <v>16</v>
      </c>
      <c r="AR443" s="46" t="str">
        <f>IF(VLOOKUP(AQ443,βοηθητικό!$J$2:$N$354,3,FALSE)="","",VLOOKUP(AQ443,βοηθητικό!$J$2:$N$354,3,FALSE))</f>
        <v>_</v>
      </c>
      <c r="AS443" s="47"/>
      <c r="AT443" s="4" t="s">
        <v>16</v>
      </c>
      <c r="AU443" s="43" t="str">
        <f>IF(VLOOKUP(AT443,βοηθητικό!$J$2:$N$354,3,FALSE)="","",VLOOKUP(AT443,βοηθητικό!$J$2:$N$354,3,FALSE))</f>
        <v>_</v>
      </c>
      <c r="AV443" s="44"/>
      <c r="AW443" s="5" t="s">
        <v>16</v>
      </c>
      <c r="AX443" s="46" t="str">
        <f>IF(VLOOKUP(AW443,βοηθητικό!$J$2:$N$354,3,FALSE)="","",VLOOKUP(AW443,βοηθητικό!$J$2:$N$354,3,FALSE))</f>
        <v>_</v>
      </c>
      <c r="AY443" s="47"/>
      <c r="AZ443" s="4" t="s">
        <v>16</v>
      </c>
      <c r="BA443" s="43" t="str">
        <f>IF(VLOOKUP(AZ443,βοηθητικό!$J$2:$N$354,3,FALSE)="","",VLOOKUP(AZ443,βοηθητικό!$J$2:$N$354,3,FALSE))</f>
        <v>_</v>
      </c>
      <c r="BB443" s="44"/>
      <c r="BC443" s="45" t="s">
        <v>16</v>
      </c>
      <c r="BD443" s="46" t="str">
        <f>IF(VLOOKUP(BC443,βοηθητικό!$J$2:$N$354,3,FALSE)="","",VLOOKUP(BC443,βοηθητικό!$J$2:$N$354,3,FALSE))</f>
        <v>_</v>
      </c>
      <c r="BE443" s="47"/>
      <c r="BF443" s="42" t="s">
        <v>16</v>
      </c>
      <c r="BG443" s="43" t="str">
        <f>IF(VLOOKUP(BF443,βοηθητικό!$J$2:$N$354,3,FALSE)="","",VLOOKUP(BF443,βοηθητικό!$J$2:$N$354,3,FALSE))</f>
        <v>_</v>
      </c>
      <c r="BH443" s="44"/>
      <c r="BI443" s="45" t="s">
        <v>16</v>
      </c>
      <c r="BJ443" s="46" t="str">
        <f>IF(VLOOKUP(BI443,βοηθητικό!$J$2:$N$354,3,FALSE)="","",VLOOKUP(BI443,βοηθητικό!$J$2:$N$354,3,FALSE))</f>
        <v>_</v>
      </c>
      <c r="BK443" s="47"/>
      <c r="BL443" s="42" t="s">
        <v>16</v>
      </c>
      <c r="BM443" s="43" t="str">
        <f>IF(VLOOKUP(BL443,βοηθητικό!$J$2:$N$354,3,FALSE)="","",VLOOKUP(BL443,βοηθητικό!$J$2:$N$354,3,FALSE))</f>
        <v>_</v>
      </c>
      <c r="BN443" s="44"/>
      <c r="BO443" s="45" t="s">
        <v>16</v>
      </c>
      <c r="BP443" s="46" t="str">
        <f>IF(VLOOKUP(BO443,βοηθητικό!$J$2:$N$354,3,FALSE)="","",VLOOKUP(BO443,βοηθητικό!$J$2:$N$354,3,FALSE))</f>
        <v>_</v>
      </c>
      <c r="BQ443" s="47"/>
      <c r="BR443" s="42" t="s">
        <v>16</v>
      </c>
      <c r="BS443" s="43" t="str">
        <f>IF(VLOOKUP(BR443,βοηθητικό!$J$2:$N$354,3,FALSE)="","",VLOOKUP(BR443,βοηθητικό!$J$2:$N$354,3,FALSE))</f>
        <v>_</v>
      </c>
      <c r="BT443" s="44"/>
      <c r="BU443" s="45" t="s">
        <v>16</v>
      </c>
      <c r="BV443" s="46" t="str">
        <f>IF(VLOOKUP(BU443,βοηθητικό!$J$2:$N$354,3,FALSE)="","",VLOOKUP(BU443,βοηθητικό!$J$2:$N$354,3,FALSE))</f>
        <v>_</v>
      </c>
      <c r="BW443" s="47"/>
      <c r="BX443" s="42" t="s">
        <v>16</v>
      </c>
      <c r="BY443" s="43" t="str">
        <f>IF(VLOOKUP(BX443,βοηθητικό!$J$2:$N$354,3,FALSE)="","",VLOOKUP(BX443,βοηθητικό!$J$2:$N$354,3,FALSE))</f>
        <v>_</v>
      </c>
      <c r="BZ443" s="44"/>
      <c r="CA443" s="45" t="s">
        <v>16</v>
      </c>
      <c r="CB443" s="46" t="str">
        <f>IF(VLOOKUP(CA443,βοηθητικό!$J$2:$N$354,3,FALSE)="","",VLOOKUP(CA443,βοηθητικό!$J$2:$N$354,3,FALSE))</f>
        <v>_</v>
      </c>
      <c r="CC443" s="47"/>
      <c r="CD443" s="42" t="s">
        <v>16</v>
      </c>
      <c r="CE443" s="43" t="str">
        <f>IF(VLOOKUP(CD443,βοηθητικό!$J$2:$N$354,3,FALSE)="","",VLOOKUP(CD443,βοηθητικό!$J$2:$N$354,3,FALSE))</f>
        <v>_</v>
      </c>
      <c r="CF443" s="44"/>
      <c r="CG443" s="45" t="s">
        <v>16</v>
      </c>
      <c r="CH443" s="46" t="str">
        <f>IF(VLOOKUP(CG443,βοηθητικό!$J$2:$N$354,3,FALSE)="","",VLOOKUP(CG443,βοηθητικό!$J$2:$N$354,3,FALSE))</f>
        <v>_</v>
      </c>
      <c r="CI443" s="47"/>
      <c r="CJ443" s="42" t="s">
        <v>16</v>
      </c>
      <c r="CK443" s="43" t="str">
        <f>IF(VLOOKUP(CJ443,βοηθητικό!$J$2:$N$354,3,FALSE)="","",VLOOKUP(CJ443,βοηθητικό!$J$2:$N$354,3,FALSE))</f>
        <v>_</v>
      </c>
      <c r="CL443" s="44"/>
      <c r="CM443" s="45" t="s">
        <v>16</v>
      </c>
      <c r="CN443" s="46" t="str">
        <f>IF(VLOOKUP(CM443,βοηθητικό!$J$2:$N$354,3,FALSE)="","",VLOOKUP(CM443,βοηθητικό!$J$2:$N$354,3,FALSE))</f>
        <v>_</v>
      </c>
      <c r="CO443" s="47"/>
      <c r="CP443" s="42" t="s">
        <v>16</v>
      </c>
      <c r="CQ443" s="43" t="str">
        <f>IF(VLOOKUP(CP443,βοηθητικό!$J$2:$N$354,3,FALSE)="","",VLOOKUP(CP443,βοηθητικό!$J$2:$N$354,3,FALSE))</f>
        <v>_</v>
      </c>
      <c r="CR443" s="44"/>
      <c r="CS443" s="45" t="s">
        <v>16</v>
      </c>
      <c r="CT443" s="46" t="str">
        <f>IF(VLOOKUP(CS443,βοηθητικό!$J$2:$N$354,3,FALSE)="","",VLOOKUP(CS443,βοηθητικό!$J$2:$N$354,3,FALSE))</f>
        <v>_</v>
      </c>
      <c r="CU443" s="47"/>
    </row>
    <row r="444" spans="1:99" x14ac:dyDescent="0.25">
      <c r="A444" s="37">
        <f>--SUBTOTAL(3,$B$3:B443)</f>
        <v>198</v>
      </c>
      <c r="B444" s="2"/>
      <c r="C444" s="3"/>
      <c r="D444" s="55" t="s">
        <v>18</v>
      </c>
      <c r="E444" s="38" t="s">
        <v>16</v>
      </c>
      <c r="F444" s="38" t="s">
        <v>16</v>
      </c>
      <c r="G444" s="39" t="str">
        <f t="shared" si="20"/>
        <v>__</v>
      </c>
      <c r="H444" s="40" t="str">
        <f t="shared" si="21"/>
        <v>FALSE</v>
      </c>
      <c r="I444" s="41">
        <f t="shared" si="22"/>
        <v>0</v>
      </c>
      <c r="J444" s="4" t="s">
        <v>16</v>
      </c>
      <c r="K444" s="43" t="str">
        <f>IF(VLOOKUP(J444,βοηθητικό!$J$2:$N$354,3,FALSE)="","",VLOOKUP(J444,βοηθητικό!$J$2:$N$354,3,FALSE))</f>
        <v>_</v>
      </c>
      <c r="L444" s="44"/>
      <c r="M444" s="5" t="s">
        <v>16</v>
      </c>
      <c r="N444" s="46" t="str">
        <f>IF(VLOOKUP(M444,βοηθητικό!$J$2:$N$354,3,FALSE)="","",VLOOKUP(M444,βοηθητικό!$J$2:$N$354,3,FALSE))</f>
        <v>_</v>
      </c>
      <c r="O444" s="47"/>
      <c r="P444" s="4" t="s">
        <v>16</v>
      </c>
      <c r="Q444" s="43" t="str">
        <f>IF(VLOOKUP(P444,βοηθητικό!$J$2:$N$354,3,FALSE)="","",VLOOKUP(P444,βοηθητικό!$J$2:$N$354,3,FALSE))</f>
        <v>_</v>
      </c>
      <c r="R444" s="44"/>
      <c r="S444" s="5" t="s">
        <v>16</v>
      </c>
      <c r="T444" s="46" t="str">
        <f>IF(VLOOKUP(S444,βοηθητικό!$J$2:$N$354,3,FALSE)="","",VLOOKUP(S444,βοηθητικό!$J$2:$N$354,3,FALSE))</f>
        <v>_</v>
      </c>
      <c r="U444" s="47"/>
      <c r="V444" s="4" t="s">
        <v>16</v>
      </c>
      <c r="W444" s="43" t="str">
        <f>IF(VLOOKUP(V444,βοηθητικό!$J$2:$N$354,3,FALSE)="","",VLOOKUP(V444,βοηθητικό!$J$2:$N$354,3,FALSE))</f>
        <v>_</v>
      </c>
      <c r="X444" s="44"/>
      <c r="Y444" s="5" t="s">
        <v>16</v>
      </c>
      <c r="Z444" s="46" t="str">
        <f>IF(VLOOKUP(Y444,βοηθητικό!$J$2:$N$354,3,FALSE)="","",VLOOKUP(Y444,βοηθητικό!$J$2:$N$354,3,FALSE))</f>
        <v>_</v>
      </c>
      <c r="AA444" s="47"/>
      <c r="AB444" s="4" t="s">
        <v>16</v>
      </c>
      <c r="AC444" s="43" t="str">
        <f>IF(VLOOKUP(AB444,βοηθητικό!$J$2:$N$354,3,FALSE)="","",VLOOKUP(AB444,βοηθητικό!$J$2:$N$354,3,FALSE))</f>
        <v>_</v>
      </c>
      <c r="AD444" s="44"/>
      <c r="AE444" s="5" t="s">
        <v>16</v>
      </c>
      <c r="AF444" s="46" t="str">
        <f>IF(VLOOKUP(AE444,βοηθητικό!$J$2:$N$354,3,FALSE)="","",VLOOKUP(AE444,βοηθητικό!$J$2:$N$354,3,FALSE))</f>
        <v>_</v>
      </c>
      <c r="AG444" s="47"/>
      <c r="AH444" s="4" t="s">
        <v>16</v>
      </c>
      <c r="AI444" s="43" t="str">
        <f>IF(VLOOKUP(AH444,βοηθητικό!$J$2:$N$354,3,FALSE)="","",VLOOKUP(AH444,βοηθητικό!$J$2:$N$354,3,FALSE))</f>
        <v>_</v>
      </c>
      <c r="AJ444" s="44"/>
      <c r="AK444" s="5" t="s">
        <v>16</v>
      </c>
      <c r="AL444" s="46" t="str">
        <f>IF(VLOOKUP(AK444,βοηθητικό!$J$2:$N$354,3,FALSE)="","",VLOOKUP(AK444,βοηθητικό!$J$2:$N$354,3,FALSE))</f>
        <v>_</v>
      </c>
      <c r="AM444" s="47"/>
      <c r="AN444" s="4" t="s">
        <v>16</v>
      </c>
      <c r="AO444" s="43" t="str">
        <f>IF(VLOOKUP(AN444,βοηθητικό!$J$2:$N$354,3,FALSE)="","",VLOOKUP(AN444,βοηθητικό!$J$2:$N$354,3,FALSE))</f>
        <v>_</v>
      </c>
      <c r="AP444" s="44"/>
      <c r="AQ444" s="5" t="s">
        <v>16</v>
      </c>
      <c r="AR444" s="46" t="str">
        <f>IF(VLOOKUP(AQ444,βοηθητικό!$J$2:$N$354,3,FALSE)="","",VLOOKUP(AQ444,βοηθητικό!$J$2:$N$354,3,FALSE))</f>
        <v>_</v>
      </c>
      <c r="AS444" s="47"/>
      <c r="AT444" s="4" t="s">
        <v>16</v>
      </c>
      <c r="AU444" s="43" t="str">
        <f>IF(VLOOKUP(AT444,βοηθητικό!$J$2:$N$354,3,FALSE)="","",VLOOKUP(AT444,βοηθητικό!$J$2:$N$354,3,FALSE))</f>
        <v>_</v>
      </c>
      <c r="AV444" s="44"/>
      <c r="AW444" s="5" t="s">
        <v>16</v>
      </c>
      <c r="AX444" s="46" t="str">
        <f>IF(VLOOKUP(AW444,βοηθητικό!$J$2:$N$354,3,FALSE)="","",VLOOKUP(AW444,βοηθητικό!$J$2:$N$354,3,FALSE))</f>
        <v>_</v>
      </c>
      <c r="AY444" s="47"/>
      <c r="AZ444" s="4" t="s">
        <v>16</v>
      </c>
      <c r="BA444" s="43" t="str">
        <f>IF(VLOOKUP(AZ444,βοηθητικό!$J$2:$N$354,3,FALSE)="","",VLOOKUP(AZ444,βοηθητικό!$J$2:$N$354,3,FALSE))</f>
        <v>_</v>
      </c>
      <c r="BB444" s="44"/>
      <c r="BC444" s="45" t="s">
        <v>16</v>
      </c>
      <c r="BD444" s="46" t="str">
        <f>IF(VLOOKUP(BC444,βοηθητικό!$J$2:$N$354,3,FALSE)="","",VLOOKUP(BC444,βοηθητικό!$J$2:$N$354,3,FALSE))</f>
        <v>_</v>
      </c>
      <c r="BE444" s="47"/>
      <c r="BF444" s="42" t="s">
        <v>16</v>
      </c>
      <c r="BG444" s="43" t="str">
        <f>IF(VLOOKUP(BF444,βοηθητικό!$J$2:$N$354,3,FALSE)="","",VLOOKUP(BF444,βοηθητικό!$J$2:$N$354,3,FALSE))</f>
        <v>_</v>
      </c>
      <c r="BH444" s="44"/>
      <c r="BI444" s="45" t="s">
        <v>16</v>
      </c>
      <c r="BJ444" s="46" t="str">
        <f>IF(VLOOKUP(BI444,βοηθητικό!$J$2:$N$354,3,FALSE)="","",VLOOKUP(BI444,βοηθητικό!$J$2:$N$354,3,FALSE))</f>
        <v>_</v>
      </c>
      <c r="BK444" s="47"/>
      <c r="BL444" s="42" t="s">
        <v>16</v>
      </c>
      <c r="BM444" s="43" t="str">
        <f>IF(VLOOKUP(BL444,βοηθητικό!$J$2:$N$354,3,FALSE)="","",VLOOKUP(BL444,βοηθητικό!$J$2:$N$354,3,FALSE))</f>
        <v>_</v>
      </c>
      <c r="BN444" s="44"/>
      <c r="BO444" s="45" t="s">
        <v>16</v>
      </c>
      <c r="BP444" s="46" t="str">
        <f>IF(VLOOKUP(BO444,βοηθητικό!$J$2:$N$354,3,FALSE)="","",VLOOKUP(BO444,βοηθητικό!$J$2:$N$354,3,FALSE))</f>
        <v>_</v>
      </c>
      <c r="BQ444" s="47"/>
      <c r="BR444" s="42" t="s">
        <v>16</v>
      </c>
      <c r="BS444" s="43" t="str">
        <f>IF(VLOOKUP(BR444,βοηθητικό!$J$2:$N$354,3,FALSE)="","",VLOOKUP(BR444,βοηθητικό!$J$2:$N$354,3,FALSE))</f>
        <v>_</v>
      </c>
      <c r="BT444" s="44"/>
      <c r="BU444" s="45" t="s">
        <v>16</v>
      </c>
      <c r="BV444" s="46" t="str">
        <f>IF(VLOOKUP(BU444,βοηθητικό!$J$2:$N$354,3,FALSE)="","",VLOOKUP(BU444,βοηθητικό!$J$2:$N$354,3,FALSE))</f>
        <v>_</v>
      </c>
      <c r="BW444" s="47"/>
      <c r="BX444" s="42" t="s">
        <v>16</v>
      </c>
      <c r="BY444" s="43" t="str">
        <f>IF(VLOOKUP(BX444,βοηθητικό!$J$2:$N$354,3,FALSE)="","",VLOOKUP(BX444,βοηθητικό!$J$2:$N$354,3,FALSE))</f>
        <v>_</v>
      </c>
      <c r="BZ444" s="44"/>
      <c r="CA444" s="45" t="s">
        <v>16</v>
      </c>
      <c r="CB444" s="46" t="str">
        <f>IF(VLOOKUP(CA444,βοηθητικό!$J$2:$N$354,3,FALSE)="","",VLOOKUP(CA444,βοηθητικό!$J$2:$N$354,3,FALSE))</f>
        <v>_</v>
      </c>
      <c r="CC444" s="47"/>
      <c r="CD444" s="42" t="s">
        <v>16</v>
      </c>
      <c r="CE444" s="43" t="str">
        <f>IF(VLOOKUP(CD444,βοηθητικό!$J$2:$N$354,3,FALSE)="","",VLOOKUP(CD444,βοηθητικό!$J$2:$N$354,3,FALSE))</f>
        <v>_</v>
      </c>
      <c r="CF444" s="44"/>
      <c r="CG444" s="45" t="s">
        <v>16</v>
      </c>
      <c r="CH444" s="46" t="str">
        <f>IF(VLOOKUP(CG444,βοηθητικό!$J$2:$N$354,3,FALSE)="","",VLOOKUP(CG444,βοηθητικό!$J$2:$N$354,3,FALSE))</f>
        <v>_</v>
      </c>
      <c r="CI444" s="47"/>
      <c r="CJ444" s="42" t="s">
        <v>16</v>
      </c>
      <c r="CK444" s="43" t="str">
        <f>IF(VLOOKUP(CJ444,βοηθητικό!$J$2:$N$354,3,FALSE)="","",VLOOKUP(CJ444,βοηθητικό!$J$2:$N$354,3,FALSE))</f>
        <v>_</v>
      </c>
      <c r="CL444" s="44"/>
      <c r="CM444" s="45" t="s">
        <v>16</v>
      </c>
      <c r="CN444" s="46" t="str">
        <f>IF(VLOOKUP(CM444,βοηθητικό!$J$2:$N$354,3,FALSE)="","",VLOOKUP(CM444,βοηθητικό!$J$2:$N$354,3,FALSE))</f>
        <v>_</v>
      </c>
      <c r="CO444" s="47"/>
      <c r="CP444" s="42" t="s">
        <v>16</v>
      </c>
      <c r="CQ444" s="43" t="str">
        <f>IF(VLOOKUP(CP444,βοηθητικό!$J$2:$N$354,3,FALSE)="","",VLOOKUP(CP444,βοηθητικό!$J$2:$N$354,3,FALSE))</f>
        <v>_</v>
      </c>
      <c r="CR444" s="44"/>
      <c r="CS444" s="45" t="s">
        <v>16</v>
      </c>
      <c r="CT444" s="46" t="str">
        <f>IF(VLOOKUP(CS444,βοηθητικό!$J$2:$N$354,3,FALSE)="","",VLOOKUP(CS444,βοηθητικό!$J$2:$N$354,3,FALSE))</f>
        <v>_</v>
      </c>
      <c r="CU444" s="47"/>
    </row>
    <row r="445" spans="1:99" x14ac:dyDescent="0.25">
      <c r="A445" s="37">
        <f>--SUBTOTAL(3,$B$3:B444)</f>
        <v>198</v>
      </c>
      <c r="B445" s="2"/>
      <c r="C445" s="3"/>
      <c r="D445" s="55" t="s">
        <v>18</v>
      </c>
      <c r="E445" s="38" t="s">
        <v>16</v>
      </c>
      <c r="F445" s="38" t="s">
        <v>16</v>
      </c>
      <c r="G445" s="39" t="str">
        <f t="shared" si="20"/>
        <v>__</v>
      </c>
      <c r="H445" s="40" t="str">
        <f t="shared" si="21"/>
        <v>FALSE</v>
      </c>
      <c r="I445" s="41">
        <f t="shared" si="22"/>
        <v>0</v>
      </c>
      <c r="J445" s="4" t="s">
        <v>16</v>
      </c>
      <c r="K445" s="43" t="str">
        <f>IF(VLOOKUP(J445,βοηθητικό!$J$2:$N$354,3,FALSE)="","",VLOOKUP(J445,βοηθητικό!$J$2:$N$354,3,FALSE))</f>
        <v>_</v>
      </c>
      <c r="L445" s="44"/>
      <c r="M445" s="5" t="s">
        <v>16</v>
      </c>
      <c r="N445" s="46" t="str">
        <f>IF(VLOOKUP(M445,βοηθητικό!$J$2:$N$354,3,FALSE)="","",VLOOKUP(M445,βοηθητικό!$J$2:$N$354,3,FALSE))</f>
        <v>_</v>
      </c>
      <c r="O445" s="47"/>
      <c r="P445" s="4" t="s">
        <v>16</v>
      </c>
      <c r="Q445" s="43" t="str">
        <f>IF(VLOOKUP(P445,βοηθητικό!$J$2:$N$354,3,FALSE)="","",VLOOKUP(P445,βοηθητικό!$J$2:$N$354,3,FALSE))</f>
        <v>_</v>
      </c>
      <c r="R445" s="44"/>
      <c r="S445" s="5" t="s">
        <v>16</v>
      </c>
      <c r="T445" s="46" t="str">
        <f>IF(VLOOKUP(S445,βοηθητικό!$J$2:$N$354,3,FALSE)="","",VLOOKUP(S445,βοηθητικό!$J$2:$N$354,3,FALSE))</f>
        <v>_</v>
      </c>
      <c r="U445" s="47"/>
      <c r="V445" s="4" t="s">
        <v>16</v>
      </c>
      <c r="W445" s="43" t="str">
        <f>IF(VLOOKUP(V445,βοηθητικό!$J$2:$N$354,3,FALSE)="","",VLOOKUP(V445,βοηθητικό!$J$2:$N$354,3,FALSE))</f>
        <v>_</v>
      </c>
      <c r="X445" s="44"/>
      <c r="Y445" s="5" t="s">
        <v>16</v>
      </c>
      <c r="Z445" s="46" t="str">
        <f>IF(VLOOKUP(Y445,βοηθητικό!$J$2:$N$354,3,FALSE)="","",VLOOKUP(Y445,βοηθητικό!$J$2:$N$354,3,FALSE))</f>
        <v>_</v>
      </c>
      <c r="AA445" s="47"/>
      <c r="AB445" s="4" t="s">
        <v>16</v>
      </c>
      <c r="AC445" s="43" t="str">
        <f>IF(VLOOKUP(AB445,βοηθητικό!$J$2:$N$354,3,FALSE)="","",VLOOKUP(AB445,βοηθητικό!$J$2:$N$354,3,FALSE))</f>
        <v>_</v>
      </c>
      <c r="AD445" s="44"/>
      <c r="AE445" s="5" t="s">
        <v>16</v>
      </c>
      <c r="AF445" s="46" t="str">
        <f>IF(VLOOKUP(AE445,βοηθητικό!$J$2:$N$354,3,FALSE)="","",VLOOKUP(AE445,βοηθητικό!$J$2:$N$354,3,FALSE))</f>
        <v>_</v>
      </c>
      <c r="AG445" s="47"/>
      <c r="AH445" s="4" t="s">
        <v>16</v>
      </c>
      <c r="AI445" s="43" t="str">
        <f>IF(VLOOKUP(AH445,βοηθητικό!$J$2:$N$354,3,FALSE)="","",VLOOKUP(AH445,βοηθητικό!$J$2:$N$354,3,FALSE))</f>
        <v>_</v>
      </c>
      <c r="AJ445" s="44"/>
      <c r="AK445" s="5" t="s">
        <v>16</v>
      </c>
      <c r="AL445" s="46" t="str">
        <f>IF(VLOOKUP(AK445,βοηθητικό!$J$2:$N$354,3,FALSE)="","",VLOOKUP(AK445,βοηθητικό!$J$2:$N$354,3,FALSE))</f>
        <v>_</v>
      </c>
      <c r="AM445" s="47"/>
      <c r="AN445" s="4" t="s">
        <v>16</v>
      </c>
      <c r="AO445" s="43" t="str">
        <f>IF(VLOOKUP(AN445,βοηθητικό!$J$2:$N$354,3,FALSE)="","",VLOOKUP(AN445,βοηθητικό!$J$2:$N$354,3,FALSE))</f>
        <v>_</v>
      </c>
      <c r="AP445" s="44"/>
      <c r="AQ445" s="5" t="s">
        <v>16</v>
      </c>
      <c r="AR445" s="46" t="str">
        <f>IF(VLOOKUP(AQ445,βοηθητικό!$J$2:$N$354,3,FALSE)="","",VLOOKUP(AQ445,βοηθητικό!$J$2:$N$354,3,FALSE))</f>
        <v>_</v>
      </c>
      <c r="AS445" s="47"/>
      <c r="AT445" s="4" t="s">
        <v>16</v>
      </c>
      <c r="AU445" s="43" t="str">
        <f>IF(VLOOKUP(AT445,βοηθητικό!$J$2:$N$354,3,FALSE)="","",VLOOKUP(AT445,βοηθητικό!$J$2:$N$354,3,FALSE))</f>
        <v>_</v>
      </c>
      <c r="AV445" s="44"/>
      <c r="AW445" s="5" t="s">
        <v>16</v>
      </c>
      <c r="AX445" s="46" t="str">
        <f>IF(VLOOKUP(AW445,βοηθητικό!$J$2:$N$354,3,FALSE)="","",VLOOKUP(AW445,βοηθητικό!$J$2:$N$354,3,FALSE))</f>
        <v>_</v>
      </c>
      <c r="AY445" s="47"/>
      <c r="AZ445" s="4" t="s">
        <v>16</v>
      </c>
      <c r="BA445" s="43" t="str">
        <f>IF(VLOOKUP(AZ445,βοηθητικό!$J$2:$N$354,3,FALSE)="","",VLOOKUP(AZ445,βοηθητικό!$J$2:$N$354,3,FALSE))</f>
        <v>_</v>
      </c>
      <c r="BB445" s="44"/>
      <c r="BC445" s="45" t="s">
        <v>16</v>
      </c>
      <c r="BD445" s="46" t="str">
        <f>IF(VLOOKUP(BC445,βοηθητικό!$J$2:$N$354,3,FALSE)="","",VLOOKUP(BC445,βοηθητικό!$J$2:$N$354,3,FALSE))</f>
        <v>_</v>
      </c>
      <c r="BE445" s="47"/>
      <c r="BF445" s="42" t="s">
        <v>16</v>
      </c>
      <c r="BG445" s="43" t="str">
        <f>IF(VLOOKUP(BF445,βοηθητικό!$J$2:$N$354,3,FALSE)="","",VLOOKUP(BF445,βοηθητικό!$J$2:$N$354,3,FALSE))</f>
        <v>_</v>
      </c>
      <c r="BH445" s="44"/>
      <c r="BI445" s="45" t="s">
        <v>16</v>
      </c>
      <c r="BJ445" s="46" t="str">
        <f>IF(VLOOKUP(BI445,βοηθητικό!$J$2:$N$354,3,FALSE)="","",VLOOKUP(BI445,βοηθητικό!$J$2:$N$354,3,FALSE))</f>
        <v>_</v>
      </c>
      <c r="BK445" s="47"/>
      <c r="BL445" s="42" t="s">
        <v>16</v>
      </c>
      <c r="BM445" s="43" t="str">
        <f>IF(VLOOKUP(BL445,βοηθητικό!$J$2:$N$354,3,FALSE)="","",VLOOKUP(BL445,βοηθητικό!$J$2:$N$354,3,FALSE))</f>
        <v>_</v>
      </c>
      <c r="BN445" s="44"/>
      <c r="BO445" s="45" t="s">
        <v>16</v>
      </c>
      <c r="BP445" s="46" t="str">
        <f>IF(VLOOKUP(BO445,βοηθητικό!$J$2:$N$354,3,FALSE)="","",VLOOKUP(BO445,βοηθητικό!$J$2:$N$354,3,FALSE))</f>
        <v>_</v>
      </c>
      <c r="BQ445" s="47"/>
      <c r="BR445" s="42" t="s">
        <v>16</v>
      </c>
      <c r="BS445" s="43" t="str">
        <f>IF(VLOOKUP(BR445,βοηθητικό!$J$2:$N$354,3,FALSE)="","",VLOOKUP(BR445,βοηθητικό!$J$2:$N$354,3,FALSE))</f>
        <v>_</v>
      </c>
      <c r="BT445" s="44"/>
      <c r="BU445" s="45" t="s">
        <v>16</v>
      </c>
      <c r="BV445" s="46" t="str">
        <f>IF(VLOOKUP(BU445,βοηθητικό!$J$2:$N$354,3,FALSE)="","",VLOOKUP(BU445,βοηθητικό!$J$2:$N$354,3,FALSE))</f>
        <v>_</v>
      </c>
      <c r="BW445" s="47"/>
      <c r="BX445" s="42" t="s">
        <v>16</v>
      </c>
      <c r="BY445" s="43" t="str">
        <f>IF(VLOOKUP(BX445,βοηθητικό!$J$2:$N$354,3,FALSE)="","",VLOOKUP(BX445,βοηθητικό!$J$2:$N$354,3,FALSE))</f>
        <v>_</v>
      </c>
      <c r="BZ445" s="44"/>
      <c r="CA445" s="45" t="s">
        <v>16</v>
      </c>
      <c r="CB445" s="46" t="str">
        <f>IF(VLOOKUP(CA445,βοηθητικό!$J$2:$N$354,3,FALSE)="","",VLOOKUP(CA445,βοηθητικό!$J$2:$N$354,3,FALSE))</f>
        <v>_</v>
      </c>
      <c r="CC445" s="47"/>
      <c r="CD445" s="42" t="s">
        <v>16</v>
      </c>
      <c r="CE445" s="43" t="str">
        <f>IF(VLOOKUP(CD445,βοηθητικό!$J$2:$N$354,3,FALSE)="","",VLOOKUP(CD445,βοηθητικό!$J$2:$N$354,3,FALSE))</f>
        <v>_</v>
      </c>
      <c r="CF445" s="44"/>
      <c r="CG445" s="45" t="s">
        <v>16</v>
      </c>
      <c r="CH445" s="46" t="str">
        <f>IF(VLOOKUP(CG445,βοηθητικό!$J$2:$N$354,3,FALSE)="","",VLOOKUP(CG445,βοηθητικό!$J$2:$N$354,3,FALSE))</f>
        <v>_</v>
      </c>
      <c r="CI445" s="47"/>
      <c r="CJ445" s="42" t="s">
        <v>16</v>
      </c>
      <c r="CK445" s="43" t="str">
        <f>IF(VLOOKUP(CJ445,βοηθητικό!$J$2:$N$354,3,FALSE)="","",VLOOKUP(CJ445,βοηθητικό!$J$2:$N$354,3,FALSE))</f>
        <v>_</v>
      </c>
      <c r="CL445" s="44"/>
      <c r="CM445" s="45" t="s">
        <v>16</v>
      </c>
      <c r="CN445" s="46" t="str">
        <f>IF(VLOOKUP(CM445,βοηθητικό!$J$2:$N$354,3,FALSE)="","",VLOOKUP(CM445,βοηθητικό!$J$2:$N$354,3,FALSE))</f>
        <v>_</v>
      </c>
      <c r="CO445" s="47"/>
      <c r="CP445" s="42" t="s">
        <v>16</v>
      </c>
      <c r="CQ445" s="43" t="str">
        <f>IF(VLOOKUP(CP445,βοηθητικό!$J$2:$N$354,3,FALSE)="","",VLOOKUP(CP445,βοηθητικό!$J$2:$N$354,3,FALSE))</f>
        <v>_</v>
      </c>
      <c r="CR445" s="44"/>
      <c r="CS445" s="45" t="s">
        <v>16</v>
      </c>
      <c r="CT445" s="46" t="str">
        <f>IF(VLOOKUP(CS445,βοηθητικό!$J$2:$N$354,3,FALSE)="","",VLOOKUP(CS445,βοηθητικό!$J$2:$N$354,3,FALSE))</f>
        <v>_</v>
      </c>
      <c r="CU445" s="47"/>
    </row>
    <row r="446" spans="1:99" x14ac:dyDescent="0.25">
      <c r="A446" s="37">
        <f>--SUBTOTAL(3,$B$3:B445)</f>
        <v>198</v>
      </c>
      <c r="B446" s="2"/>
      <c r="C446" s="3"/>
      <c r="D446" s="55" t="s">
        <v>18</v>
      </c>
      <c r="E446" s="38" t="s">
        <v>16</v>
      </c>
      <c r="F446" s="38" t="s">
        <v>16</v>
      </c>
      <c r="G446" s="39" t="str">
        <f t="shared" si="20"/>
        <v>__</v>
      </c>
      <c r="H446" s="40" t="str">
        <f t="shared" si="21"/>
        <v>FALSE</v>
      </c>
      <c r="I446" s="41">
        <f t="shared" si="22"/>
        <v>0</v>
      </c>
      <c r="J446" s="4" t="s">
        <v>16</v>
      </c>
      <c r="K446" s="43" t="str">
        <f>IF(VLOOKUP(J446,βοηθητικό!$J$2:$N$354,3,FALSE)="","",VLOOKUP(J446,βοηθητικό!$J$2:$N$354,3,FALSE))</f>
        <v>_</v>
      </c>
      <c r="L446" s="44"/>
      <c r="M446" s="5" t="s">
        <v>16</v>
      </c>
      <c r="N446" s="46" t="str">
        <f>IF(VLOOKUP(M446,βοηθητικό!$J$2:$N$354,3,FALSE)="","",VLOOKUP(M446,βοηθητικό!$J$2:$N$354,3,FALSE))</f>
        <v>_</v>
      </c>
      <c r="O446" s="47"/>
      <c r="P446" s="4" t="s">
        <v>16</v>
      </c>
      <c r="Q446" s="43" t="str">
        <f>IF(VLOOKUP(P446,βοηθητικό!$J$2:$N$354,3,FALSE)="","",VLOOKUP(P446,βοηθητικό!$J$2:$N$354,3,FALSE))</f>
        <v>_</v>
      </c>
      <c r="R446" s="44"/>
      <c r="S446" s="5" t="s">
        <v>16</v>
      </c>
      <c r="T446" s="46" t="str">
        <f>IF(VLOOKUP(S446,βοηθητικό!$J$2:$N$354,3,FALSE)="","",VLOOKUP(S446,βοηθητικό!$J$2:$N$354,3,FALSE))</f>
        <v>_</v>
      </c>
      <c r="U446" s="47"/>
      <c r="V446" s="4" t="s">
        <v>16</v>
      </c>
      <c r="W446" s="43" t="str">
        <f>IF(VLOOKUP(V446,βοηθητικό!$J$2:$N$354,3,FALSE)="","",VLOOKUP(V446,βοηθητικό!$J$2:$N$354,3,FALSE))</f>
        <v>_</v>
      </c>
      <c r="X446" s="44"/>
      <c r="Y446" s="5" t="s">
        <v>16</v>
      </c>
      <c r="Z446" s="46" t="str">
        <f>IF(VLOOKUP(Y446,βοηθητικό!$J$2:$N$354,3,FALSE)="","",VLOOKUP(Y446,βοηθητικό!$J$2:$N$354,3,FALSE))</f>
        <v>_</v>
      </c>
      <c r="AA446" s="47"/>
      <c r="AB446" s="4" t="s">
        <v>16</v>
      </c>
      <c r="AC446" s="43" t="str">
        <f>IF(VLOOKUP(AB446,βοηθητικό!$J$2:$N$354,3,FALSE)="","",VLOOKUP(AB446,βοηθητικό!$J$2:$N$354,3,FALSE))</f>
        <v>_</v>
      </c>
      <c r="AD446" s="44"/>
      <c r="AE446" s="5" t="s">
        <v>16</v>
      </c>
      <c r="AF446" s="46" t="str">
        <f>IF(VLOOKUP(AE446,βοηθητικό!$J$2:$N$354,3,FALSE)="","",VLOOKUP(AE446,βοηθητικό!$J$2:$N$354,3,FALSE))</f>
        <v>_</v>
      </c>
      <c r="AG446" s="47"/>
      <c r="AH446" s="4" t="s">
        <v>16</v>
      </c>
      <c r="AI446" s="43" t="str">
        <f>IF(VLOOKUP(AH446,βοηθητικό!$J$2:$N$354,3,FALSE)="","",VLOOKUP(AH446,βοηθητικό!$J$2:$N$354,3,FALSE))</f>
        <v>_</v>
      </c>
      <c r="AJ446" s="44"/>
      <c r="AK446" s="5" t="s">
        <v>16</v>
      </c>
      <c r="AL446" s="46" t="str">
        <f>IF(VLOOKUP(AK446,βοηθητικό!$J$2:$N$354,3,FALSE)="","",VLOOKUP(AK446,βοηθητικό!$J$2:$N$354,3,FALSE))</f>
        <v>_</v>
      </c>
      <c r="AM446" s="47"/>
      <c r="AN446" s="4" t="s">
        <v>16</v>
      </c>
      <c r="AO446" s="43" t="str">
        <f>IF(VLOOKUP(AN446,βοηθητικό!$J$2:$N$354,3,FALSE)="","",VLOOKUP(AN446,βοηθητικό!$J$2:$N$354,3,FALSE))</f>
        <v>_</v>
      </c>
      <c r="AP446" s="44"/>
      <c r="AQ446" s="5" t="s">
        <v>16</v>
      </c>
      <c r="AR446" s="46" t="str">
        <f>IF(VLOOKUP(AQ446,βοηθητικό!$J$2:$N$354,3,FALSE)="","",VLOOKUP(AQ446,βοηθητικό!$J$2:$N$354,3,FALSE))</f>
        <v>_</v>
      </c>
      <c r="AS446" s="47"/>
      <c r="AT446" s="4" t="s">
        <v>16</v>
      </c>
      <c r="AU446" s="43" t="str">
        <f>IF(VLOOKUP(AT446,βοηθητικό!$J$2:$N$354,3,FALSE)="","",VLOOKUP(AT446,βοηθητικό!$J$2:$N$354,3,FALSE))</f>
        <v>_</v>
      </c>
      <c r="AV446" s="44"/>
      <c r="AW446" s="5" t="s">
        <v>16</v>
      </c>
      <c r="AX446" s="46" t="str">
        <f>IF(VLOOKUP(AW446,βοηθητικό!$J$2:$N$354,3,FALSE)="","",VLOOKUP(AW446,βοηθητικό!$J$2:$N$354,3,FALSE))</f>
        <v>_</v>
      </c>
      <c r="AY446" s="47"/>
      <c r="AZ446" s="4" t="s">
        <v>16</v>
      </c>
      <c r="BA446" s="43" t="str">
        <f>IF(VLOOKUP(AZ446,βοηθητικό!$J$2:$N$354,3,FALSE)="","",VLOOKUP(AZ446,βοηθητικό!$J$2:$N$354,3,FALSE))</f>
        <v>_</v>
      </c>
      <c r="BB446" s="44"/>
      <c r="BC446" s="45" t="s">
        <v>16</v>
      </c>
      <c r="BD446" s="46" t="str">
        <f>IF(VLOOKUP(BC446,βοηθητικό!$J$2:$N$354,3,FALSE)="","",VLOOKUP(BC446,βοηθητικό!$J$2:$N$354,3,FALSE))</f>
        <v>_</v>
      </c>
      <c r="BE446" s="47"/>
      <c r="BF446" s="42" t="s">
        <v>16</v>
      </c>
      <c r="BG446" s="43" t="str">
        <f>IF(VLOOKUP(BF446,βοηθητικό!$J$2:$N$354,3,FALSE)="","",VLOOKUP(BF446,βοηθητικό!$J$2:$N$354,3,FALSE))</f>
        <v>_</v>
      </c>
      <c r="BH446" s="44"/>
      <c r="BI446" s="45" t="s">
        <v>16</v>
      </c>
      <c r="BJ446" s="46" t="str">
        <f>IF(VLOOKUP(BI446,βοηθητικό!$J$2:$N$354,3,FALSE)="","",VLOOKUP(BI446,βοηθητικό!$J$2:$N$354,3,FALSE))</f>
        <v>_</v>
      </c>
      <c r="BK446" s="47"/>
      <c r="BL446" s="42" t="s">
        <v>16</v>
      </c>
      <c r="BM446" s="43" t="str">
        <f>IF(VLOOKUP(BL446,βοηθητικό!$J$2:$N$354,3,FALSE)="","",VLOOKUP(BL446,βοηθητικό!$J$2:$N$354,3,FALSE))</f>
        <v>_</v>
      </c>
      <c r="BN446" s="44"/>
      <c r="BO446" s="45" t="s">
        <v>16</v>
      </c>
      <c r="BP446" s="46" t="str">
        <f>IF(VLOOKUP(BO446,βοηθητικό!$J$2:$N$354,3,FALSE)="","",VLOOKUP(BO446,βοηθητικό!$J$2:$N$354,3,FALSE))</f>
        <v>_</v>
      </c>
      <c r="BQ446" s="47"/>
      <c r="BR446" s="42" t="s">
        <v>16</v>
      </c>
      <c r="BS446" s="43" t="str">
        <f>IF(VLOOKUP(BR446,βοηθητικό!$J$2:$N$354,3,FALSE)="","",VLOOKUP(BR446,βοηθητικό!$J$2:$N$354,3,FALSE))</f>
        <v>_</v>
      </c>
      <c r="BT446" s="44"/>
      <c r="BU446" s="45" t="s">
        <v>16</v>
      </c>
      <c r="BV446" s="46" t="str">
        <f>IF(VLOOKUP(BU446,βοηθητικό!$J$2:$N$354,3,FALSE)="","",VLOOKUP(BU446,βοηθητικό!$J$2:$N$354,3,FALSE))</f>
        <v>_</v>
      </c>
      <c r="BW446" s="47"/>
      <c r="BX446" s="42" t="s">
        <v>16</v>
      </c>
      <c r="BY446" s="43" t="str">
        <f>IF(VLOOKUP(BX446,βοηθητικό!$J$2:$N$354,3,FALSE)="","",VLOOKUP(BX446,βοηθητικό!$J$2:$N$354,3,FALSE))</f>
        <v>_</v>
      </c>
      <c r="BZ446" s="44"/>
      <c r="CA446" s="45" t="s">
        <v>16</v>
      </c>
      <c r="CB446" s="46" t="str">
        <f>IF(VLOOKUP(CA446,βοηθητικό!$J$2:$N$354,3,FALSE)="","",VLOOKUP(CA446,βοηθητικό!$J$2:$N$354,3,FALSE))</f>
        <v>_</v>
      </c>
      <c r="CC446" s="47"/>
      <c r="CD446" s="42" t="s">
        <v>16</v>
      </c>
      <c r="CE446" s="43" t="str">
        <f>IF(VLOOKUP(CD446,βοηθητικό!$J$2:$N$354,3,FALSE)="","",VLOOKUP(CD446,βοηθητικό!$J$2:$N$354,3,FALSE))</f>
        <v>_</v>
      </c>
      <c r="CF446" s="44"/>
      <c r="CG446" s="45" t="s">
        <v>16</v>
      </c>
      <c r="CH446" s="46" t="str">
        <f>IF(VLOOKUP(CG446,βοηθητικό!$J$2:$N$354,3,FALSE)="","",VLOOKUP(CG446,βοηθητικό!$J$2:$N$354,3,FALSE))</f>
        <v>_</v>
      </c>
      <c r="CI446" s="47"/>
      <c r="CJ446" s="42" t="s">
        <v>16</v>
      </c>
      <c r="CK446" s="43" t="str">
        <f>IF(VLOOKUP(CJ446,βοηθητικό!$J$2:$N$354,3,FALSE)="","",VLOOKUP(CJ446,βοηθητικό!$J$2:$N$354,3,FALSE))</f>
        <v>_</v>
      </c>
      <c r="CL446" s="44"/>
      <c r="CM446" s="45" t="s">
        <v>16</v>
      </c>
      <c r="CN446" s="46" t="str">
        <f>IF(VLOOKUP(CM446,βοηθητικό!$J$2:$N$354,3,FALSE)="","",VLOOKUP(CM446,βοηθητικό!$J$2:$N$354,3,FALSE))</f>
        <v>_</v>
      </c>
      <c r="CO446" s="47"/>
      <c r="CP446" s="42" t="s">
        <v>16</v>
      </c>
      <c r="CQ446" s="43" t="str">
        <f>IF(VLOOKUP(CP446,βοηθητικό!$J$2:$N$354,3,FALSE)="","",VLOOKUP(CP446,βοηθητικό!$J$2:$N$354,3,FALSE))</f>
        <v>_</v>
      </c>
      <c r="CR446" s="44"/>
      <c r="CS446" s="45" t="s">
        <v>16</v>
      </c>
      <c r="CT446" s="46" t="str">
        <f>IF(VLOOKUP(CS446,βοηθητικό!$J$2:$N$354,3,FALSE)="","",VLOOKUP(CS446,βοηθητικό!$J$2:$N$354,3,FALSE))</f>
        <v>_</v>
      </c>
      <c r="CU446" s="47"/>
    </row>
    <row r="447" spans="1:99" x14ac:dyDescent="0.25">
      <c r="A447" s="37">
        <f>--SUBTOTAL(3,$B$3:B446)</f>
        <v>198</v>
      </c>
      <c r="B447" s="2"/>
      <c r="C447" s="3"/>
      <c r="D447" s="55" t="s">
        <v>18</v>
      </c>
      <c r="E447" s="38" t="s">
        <v>16</v>
      </c>
      <c r="F447" s="38" t="s">
        <v>16</v>
      </c>
      <c r="G447" s="39" t="str">
        <f t="shared" si="20"/>
        <v>__</v>
      </c>
      <c r="H447" s="40" t="str">
        <f t="shared" si="21"/>
        <v>FALSE</v>
      </c>
      <c r="I447" s="41">
        <f t="shared" si="22"/>
        <v>0</v>
      </c>
      <c r="J447" s="4" t="s">
        <v>16</v>
      </c>
      <c r="K447" s="43" t="str">
        <f>IF(VLOOKUP(J447,βοηθητικό!$J$2:$N$354,3,FALSE)="","",VLOOKUP(J447,βοηθητικό!$J$2:$N$354,3,FALSE))</f>
        <v>_</v>
      </c>
      <c r="L447" s="44"/>
      <c r="M447" s="5" t="s">
        <v>16</v>
      </c>
      <c r="N447" s="46" t="str">
        <f>IF(VLOOKUP(M447,βοηθητικό!$J$2:$N$354,3,FALSE)="","",VLOOKUP(M447,βοηθητικό!$J$2:$N$354,3,FALSE))</f>
        <v>_</v>
      </c>
      <c r="O447" s="47"/>
      <c r="P447" s="4" t="s">
        <v>16</v>
      </c>
      <c r="Q447" s="43" t="str">
        <f>IF(VLOOKUP(P447,βοηθητικό!$J$2:$N$354,3,FALSE)="","",VLOOKUP(P447,βοηθητικό!$J$2:$N$354,3,FALSE))</f>
        <v>_</v>
      </c>
      <c r="R447" s="44"/>
      <c r="S447" s="5" t="s">
        <v>16</v>
      </c>
      <c r="T447" s="46" t="str">
        <f>IF(VLOOKUP(S447,βοηθητικό!$J$2:$N$354,3,FALSE)="","",VLOOKUP(S447,βοηθητικό!$J$2:$N$354,3,FALSE))</f>
        <v>_</v>
      </c>
      <c r="U447" s="47"/>
      <c r="V447" s="4" t="s">
        <v>16</v>
      </c>
      <c r="W447" s="43" t="str">
        <f>IF(VLOOKUP(V447,βοηθητικό!$J$2:$N$354,3,FALSE)="","",VLOOKUP(V447,βοηθητικό!$J$2:$N$354,3,FALSE))</f>
        <v>_</v>
      </c>
      <c r="X447" s="44"/>
      <c r="Y447" s="5" t="s">
        <v>16</v>
      </c>
      <c r="Z447" s="46" t="str">
        <f>IF(VLOOKUP(Y447,βοηθητικό!$J$2:$N$354,3,FALSE)="","",VLOOKUP(Y447,βοηθητικό!$J$2:$N$354,3,FALSE))</f>
        <v>_</v>
      </c>
      <c r="AA447" s="47"/>
      <c r="AB447" s="4" t="s">
        <v>16</v>
      </c>
      <c r="AC447" s="43" t="str">
        <f>IF(VLOOKUP(AB447,βοηθητικό!$J$2:$N$354,3,FALSE)="","",VLOOKUP(AB447,βοηθητικό!$J$2:$N$354,3,FALSE))</f>
        <v>_</v>
      </c>
      <c r="AD447" s="44"/>
      <c r="AE447" s="5" t="s">
        <v>16</v>
      </c>
      <c r="AF447" s="46" t="str">
        <f>IF(VLOOKUP(AE447,βοηθητικό!$J$2:$N$354,3,FALSE)="","",VLOOKUP(AE447,βοηθητικό!$J$2:$N$354,3,FALSE))</f>
        <v>_</v>
      </c>
      <c r="AG447" s="47"/>
      <c r="AH447" s="4" t="s">
        <v>16</v>
      </c>
      <c r="AI447" s="43" t="str">
        <f>IF(VLOOKUP(AH447,βοηθητικό!$J$2:$N$354,3,FALSE)="","",VLOOKUP(AH447,βοηθητικό!$J$2:$N$354,3,FALSE))</f>
        <v>_</v>
      </c>
      <c r="AJ447" s="44"/>
      <c r="AK447" s="5" t="s">
        <v>16</v>
      </c>
      <c r="AL447" s="46" t="str">
        <f>IF(VLOOKUP(AK447,βοηθητικό!$J$2:$N$354,3,FALSE)="","",VLOOKUP(AK447,βοηθητικό!$J$2:$N$354,3,FALSE))</f>
        <v>_</v>
      </c>
      <c r="AM447" s="47"/>
      <c r="AN447" s="4" t="s">
        <v>16</v>
      </c>
      <c r="AO447" s="43" t="str">
        <f>IF(VLOOKUP(AN447,βοηθητικό!$J$2:$N$354,3,FALSE)="","",VLOOKUP(AN447,βοηθητικό!$J$2:$N$354,3,FALSE))</f>
        <v>_</v>
      </c>
      <c r="AP447" s="44"/>
      <c r="AQ447" s="5" t="s">
        <v>16</v>
      </c>
      <c r="AR447" s="46" t="str">
        <f>IF(VLOOKUP(AQ447,βοηθητικό!$J$2:$N$354,3,FALSE)="","",VLOOKUP(AQ447,βοηθητικό!$J$2:$N$354,3,FALSE))</f>
        <v>_</v>
      </c>
      <c r="AS447" s="47"/>
      <c r="AT447" s="4" t="s">
        <v>16</v>
      </c>
      <c r="AU447" s="43" t="str">
        <f>IF(VLOOKUP(AT447,βοηθητικό!$J$2:$N$354,3,FALSE)="","",VLOOKUP(AT447,βοηθητικό!$J$2:$N$354,3,FALSE))</f>
        <v>_</v>
      </c>
      <c r="AV447" s="44"/>
      <c r="AW447" s="5" t="s">
        <v>16</v>
      </c>
      <c r="AX447" s="46" t="str">
        <f>IF(VLOOKUP(AW447,βοηθητικό!$J$2:$N$354,3,FALSE)="","",VLOOKUP(AW447,βοηθητικό!$J$2:$N$354,3,FALSE))</f>
        <v>_</v>
      </c>
      <c r="AY447" s="47"/>
      <c r="AZ447" s="4" t="s">
        <v>16</v>
      </c>
      <c r="BA447" s="43" t="str">
        <f>IF(VLOOKUP(AZ447,βοηθητικό!$J$2:$N$354,3,FALSE)="","",VLOOKUP(AZ447,βοηθητικό!$J$2:$N$354,3,FALSE))</f>
        <v>_</v>
      </c>
      <c r="BB447" s="44"/>
      <c r="BC447" s="45" t="s">
        <v>16</v>
      </c>
      <c r="BD447" s="46" t="str">
        <f>IF(VLOOKUP(BC447,βοηθητικό!$J$2:$N$354,3,FALSE)="","",VLOOKUP(BC447,βοηθητικό!$J$2:$N$354,3,FALSE))</f>
        <v>_</v>
      </c>
      <c r="BE447" s="47"/>
      <c r="BF447" s="42" t="s">
        <v>16</v>
      </c>
      <c r="BG447" s="43" t="str">
        <f>IF(VLOOKUP(BF447,βοηθητικό!$J$2:$N$354,3,FALSE)="","",VLOOKUP(BF447,βοηθητικό!$J$2:$N$354,3,FALSE))</f>
        <v>_</v>
      </c>
      <c r="BH447" s="44"/>
      <c r="BI447" s="45" t="s">
        <v>16</v>
      </c>
      <c r="BJ447" s="46" t="str">
        <f>IF(VLOOKUP(BI447,βοηθητικό!$J$2:$N$354,3,FALSE)="","",VLOOKUP(BI447,βοηθητικό!$J$2:$N$354,3,FALSE))</f>
        <v>_</v>
      </c>
      <c r="BK447" s="47"/>
      <c r="BL447" s="42" t="s">
        <v>16</v>
      </c>
      <c r="BM447" s="43" t="str">
        <f>IF(VLOOKUP(BL447,βοηθητικό!$J$2:$N$354,3,FALSE)="","",VLOOKUP(BL447,βοηθητικό!$J$2:$N$354,3,FALSE))</f>
        <v>_</v>
      </c>
      <c r="BN447" s="44"/>
      <c r="BO447" s="45" t="s">
        <v>16</v>
      </c>
      <c r="BP447" s="46" t="str">
        <f>IF(VLOOKUP(BO447,βοηθητικό!$J$2:$N$354,3,FALSE)="","",VLOOKUP(BO447,βοηθητικό!$J$2:$N$354,3,FALSE))</f>
        <v>_</v>
      </c>
      <c r="BQ447" s="47"/>
      <c r="BR447" s="42" t="s">
        <v>16</v>
      </c>
      <c r="BS447" s="43" t="str">
        <f>IF(VLOOKUP(BR447,βοηθητικό!$J$2:$N$354,3,FALSE)="","",VLOOKUP(BR447,βοηθητικό!$J$2:$N$354,3,FALSE))</f>
        <v>_</v>
      </c>
      <c r="BT447" s="44"/>
      <c r="BU447" s="45" t="s">
        <v>16</v>
      </c>
      <c r="BV447" s="46" t="str">
        <f>IF(VLOOKUP(BU447,βοηθητικό!$J$2:$N$354,3,FALSE)="","",VLOOKUP(BU447,βοηθητικό!$J$2:$N$354,3,FALSE))</f>
        <v>_</v>
      </c>
      <c r="BW447" s="47"/>
      <c r="BX447" s="42" t="s">
        <v>16</v>
      </c>
      <c r="BY447" s="43" t="str">
        <f>IF(VLOOKUP(BX447,βοηθητικό!$J$2:$N$354,3,FALSE)="","",VLOOKUP(BX447,βοηθητικό!$J$2:$N$354,3,FALSE))</f>
        <v>_</v>
      </c>
      <c r="BZ447" s="44"/>
      <c r="CA447" s="45" t="s">
        <v>16</v>
      </c>
      <c r="CB447" s="46" t="str">
        <f>IF(VLOOKUP(CA447,βοηθητικό!$J$2:$N$354,3,FALSE)="","",VLOOKUP(CA447,βοηθητικό!$J$2:$N$354,3,FALSE))</f>
        <v>_</v>
      </c>
      <c r="CC447" s="47"/>
      <c r="CD447" s="42" t="s">
        <v>16</v>
      </c>
      <c r="CE447" s="43" t="str">
        <f>IF(VLOOKUP(CD447,βοηθητικό!$J$2:$N$354,3,FALSE)="","",VLOOKUP(CD447,βοηθητικό!$J$2:$N$354,3,FALSE))</f>
        <v>_</v>
      </c>
      <c r="CF447" s="44"/>
      <c r="CG447" s="45" t="s">
        <v>16</v>
      </c>
      <c r="CH447" s="46" t="str">
        <f>IF(VLOOKUP(CG447,βοηθητικό!$J$2:$N$354,3,FALSE)="","",VLOOKUP(CG447,βοηθητικό!$J$2:$N$354,3,FALSE))</f>
        <v>_</v>
      </c>
      <c r="CI447" s="47"/>
      <c r="CJ447" s="42" t="s">
        <v>16</v>
      </c>
      <c r="CK447" s="43" t="str">
        <f>IF(VLOOKUP(CJ447,βοηθητικό!$J$2:$N$354,3,FALSE)="","",VLOOKUP(CJ447,βοηθητικό!$J$2:$N$354,3,FALSE))</f>
        <v>_</v>
      </c>
      <c r="CL447" s="44"/>
      <c r="CM447" s="45" t="s">
        <v>16</v>
      </c>
      <c r="CN447" s="46" t="str">
        <f>IF(VLOOKUP(CM447,βοηθητικό!$J$2:$N$354,3,FALSE)="","",VLOOKUP(CM447,βοηθητικό!$J$2:$N$354,3,FALSE))</f>
        <v>_</v>
      </c>
      <c r="CO447" s="47"/>
      <c r="CP447" s="42" t="s">
        <v>16</v>
      </c>
      <c r="CQ447" s="43" t="str">
        <f>IF(VLOOKUP(CP447,βοηθητικό!$J$2:$N$354,3,FALSE)="","",VLOOKUP(CP447,βοηθητικό!$J$2:$N$354,3,FALSE))</f>
        <v>_</v>
      </c>
      <c r="CR447" s="44"/>
      <c r="CS447" s="45" t="s">
        <v>16</v>
      </c>
      <c r="CT447" s="46" t="str">
        <f>IF(VLOOKUP(CS447,βοηθητικό!$J$2:$N$354,3,FALSE)="","",VLOOKUP(CS447,βοηθητικό!$J$2:$N$354,3,FALSE))</f>
        <v>_</v>
      </c>
      <c r="CU447" s="47"/>
    </row>
    <row r="448" spans="1:99" x14ac:dyDescent="0.25">
      <c r="A448" s="37">
        <f>--SUBTOTAL(3,$B$3:B447)</f>
        <v>198</v>
      </c>
      <c r="B448" s="2"/>
      <c r="C448" s="3"/>
      <c r="D448" s="55" t="s">
        <v>18</v>
      </c>
      <c r="E448" s="38" t="s">
        <v>16</v>
      </c>
      <c r="F448" s="38" t="s">
        <v>16</v>
      </c>
      <c r="G448" s="39" t="str">
        <f t="shared" si="20"/>
        <v>__</v>
      </c>
      <c r="H448" s="40" t="str">
        <f t="shared" si="21"/>
        <v>FALSE</v>
      </c>
      <c r="I448" s="41">
        <f t="shared" si="22"/>
        <v>0</v>
      </c>
      <c r="J448" s="4" t="s">
        <v>16</v>
      </c>
      <c r="K448" s="43" t="str">
        <f>IF(VLOOKUP(J448,βοηθητικό!$J$2:$N$354,3,FALSE)="","",VLOOKUP(J448,βοηθητικό!$J$2:$N$354,3,FALSE))</f>
        <v>_</v>
      </c>
      <c r="L448" s="44"/>
      <c r="M448" s="5" t="s">
        <v>16</v>
      </c>
      <c r="N448" s="46" t="str">
        <f>IF(VLOOKUP(M448,βοηθητικό!$J$2:$N$354,3,FALSE)="","",VLOOKUP(M448,βοηθητικό!$J$2:$N$354,3,FALSE))</f>
        <v>_</v>
      </c>
      <c r="O448" s="47"/>
      <c r="P448" s="4" t="s">
        <v>16</v>
      </c>
      <c r="Q448" s="43" t="str">
        <f>IF(VLOOKUP(P448,βοηθητικό!$J$2:$N$354,3,FALSE)="","",VLOOKUP(P448,βοηθητικό!$J$2:$N$354,3,FALSE))</f>
        <v>_</v>
      </c>
      <c r="R448" s="44"/>
      <c r="S448" s="5" t="s">
        <v>16</v>
      </c>
      <c r="T448" s="46" t="str">
        <f>IF(VLOOKUP(S448,βοηθητικό!$J$2:$N$354,3,FALSE)="","",VLOOKUP(S448,βοηθητικό!$J$2:$N$354,3,FALSE))</f>
        <v>_</v>
      </c>
      <c r="U448" s="47"/>
      <c r="V448" s="4" t="s">
        <v>16</v>
      </c>
      <c r="W448" s="43" t="str">
        <f>IF(VLOOKUP(V448,βοηθητικό!$J$2:$N$354,3,FALSE)="","",VLOOKUP(V448,βοηθητικό!$J$2:$N$354,3,FALSE))</f>
        <v>_</v>
      </c>
      <c r="X448" s="44"/>
      <c r="Y448" s="5" t="s">
        <v>16</v>
      </c>
      <c r="Z448" s="46" t="str">
        <f>IF(VLOOKUP(Y448,βοηθητικό!$J$2:$N$354,3,FALSE)="","",VLOOKUP(Y448,βοηθητικό!$J$2:$N$354,3,FALSE))</f>
        <v>_</v>
      </c>
      <c r="AA448" s="47"/>
      <c r="AB448" s="4" t="s">
        <v>16</v>
      </c>
      <c r="AC448" s="43" t="str">
        <f>IF(VLOOKUP(AB448,βοηθητικό!$J$2:$N$354,3,FALSE)="","",VLOOKUP(AB448,βοηθητικό!$J$2:$N$354,3,FALSE))</f>
        <v>_</v>
      </c>
      <c r="AD448" s="44"/>
      <c r="AE448" s="5" t="s">
        <v>16</v>
      </c>
      <c r="AF448" s="46" t="str">
        <f>IF(VLOOKUP(AE448,βοηθητικό!$J$2:$N$354,3,FALSE)="","",VLOOKUP(AE448,βοηθητικό!$J$2:$N$354,3,FALSE))</f>
        <v>_</v>
      </c>
      <c r="AG448" s="47"/>
      <c r="AH448" s="4" t="s">
        <v>16</v>
      </c>
      <c r="AI448" s="43" t="str">
        <f>IF(VLOOKUP(AH448,βοηθητικό!$J$2:$N$354,3,FALSE)="","",VLOOKUP(AH448,βοηθητικό!$J$2:$N$354,3,FALSE))</f>
        <v>_</v>
      </c>
      <c r="AJ448" s="44"/>
      <c r="AK448" s="5" t="s">
        <v>16</v>
      </c>
      <c r="AL448" s="46" t="str">
        <f>IF(VLOOKUP(AK448,βοηθητικό!$J$2:$N$354,3,FALSE)="","",VLOOKUP(AK448,βοηθητικό!$J$2:$N$354,3,FALSE))</f>
        <v>_</v>
      </c>
      <c r="AM448" s="47"/>
      <c r="AN448" s="4" t="s">
        <v>16</v>
      </c>
      <c r="AO448" s="43" t="str">
        <f>IF(VLOOKUP(AN448,βοηθητικό!$J$2:$N$354,3,FALSE)="","",VLOOKUP(AN448,βοηθητικό!$J$2:$N$354,3,FALSE))</f>
        <v>_</v>
      </c>
      <c r="AP448" s="44"/>
      <c r="AQ448" s="5" t="s">
        <v>16</v>
      </c>
      <c r="AR448" s="46" t="str">
        <f>IF(VLOOKUP(AQ448,βοηθητικό!$J$2:$N$354,3,FALSE)="","",VLOOKUP(AQ448,βοηθητικό!$J$2:$N$354,3,FALSE))</f>
        <v>_</v>
      </c>
      <c r="AS448" s="47"/>
      <c r="AT448" s="4" t="s">
        <v>16</v>
      </c>
      <c r="AU448" s="43" t="str">
        <f>IF(VLOOKUP(AT448,βοηθητικό!$J$2:$N$354,3,FALSE)="","",VLOOKUP(AT448,βοηθητικό!$J$2:$N$354,3,FALSE))</f>
        <v>_</v>
      </c>
      <c r="AV448" s="44"/>
      <c r="AW448" s="5" t="s">
        <v>16</v>
      </c>
      <c r="AX448" s="46" t="str">
        <f>IF(VLOOKUP(AW448,βοηθητικό!$J$2:$N$354,3,FALSE)="","",VLOOKUP(AW448,βοηθητικό!$J$2:$N$354,3,FALSE))</f>
        <v>_</v>
      </c>
      <c r="AY448" s="47"/>
      <c r="AZ448" s="4" t="s">
        <v>16</v>
      </c>
      <c r="BA448" s="43" t="str">
        <f>IF(VLOOKUP(AZ448,βοηθητικό!$J$2:$N$354,3,FALSE)="","",VLOOKUP(AZ448,βοηθητικό!$J$2:$N$354,3,FALSE))</f>
        <v>_</v>
      </c>
      <c r="BB448" s="44"/>
      <c r="BC448" s="45" t="s">
        <v>16</v>
      </c>
      <c r="BD448" s="46" t="str">
        <f>IF(VLOOKUP(BC448,βοηθητικό!$J$2:$N$354,3,FALSE)="","",VLOOKUP(BC448,βοηθητικό!$J$2:$N$354,3,FALSE))</f>
        <v>_</v>
      </c>
      <c r="BE448" s="47"/>
      <c r="BF448" s="42" t="s">
        <v>16</v>
      </c>
      <c r="BG448" s="43" t="str">
        <f>IF(VLOOKUP(BF448,βοηθητικό!$J$2:$N$354,3,FALSE)="","",VLOOKUP(BF448,βοηθητικό!$J$2:$N$354,3,FALSE))</f>
        <v>_</v>
      </c>
      <c r="BH448" s="44"/>
      <c r="BI448" s="45" t="s">
        <v>16</v>
      </c>
      <c r="BJ448" s="46" t="str">
        <f>IF(VLOOKUP(BI448,βοηθητικό!$J$2:$N$354,3,FALSE)="","",VLOOKUP(BI448,βοηθητικό!$J$2:$N$354,3,FALSE))</f>
        <v>_</v>
      </c>
      <c r="BK448" s="47"/>
      <c r="BL448" s="42" t="s">
        <v>16</v>
      </c>
      <c r="BM448" s="43" t="str">
        <f>IF(VLOOKUP(BL448,βοηθητικό!$J$2:$N$354,3,FALSE)="","",VLOOKUP(BL448,βοηθητικό!$J$2:$N$354,3,FALSE))</f>
        <v>_</v>
      </c>
      <c r="BN448" s="44"/>
      <c r="BO448" s="45" t="s">
        <v>16</v>
      </c>
      <c r="BP448" s="46" t="str">
        <f>IF(VLOOKUP(BO448,βοηθητικό!$J$2:$N$354,3,FALSE)="","",VLOOKUP(BO448,βοηθητικό!$J$2:$N$354,3,FALSE))</f>
        <v>_</v>
      </c>
      <c r="BQ448" s="47"/>
      <c r="BR448" s="42" t="s">
        <v>16</v>
      </c>
      <c r="BS448" s="43" t="str">
        <f>IF(VLOOKUP(BR448,βοηθητικό!$J$2:$N$354,3,FALSE)="","",VLOOKUP(BR448,βοηθητικό!$J$2:$N$354,3,FALSE))</f>
        <v>_</v>
      </c>
      <c r="BT448" s="44"/>
      <c r="BU448" s="45" t="s">
        <v>16</v>
      </c>
      <c r="BV448" s="46" t="str">
        <f>IF(VLOOKUP(BU448,βοηθητικό!$J$2:$N$354,3,FALSE)="","",VLOOKUP(BU448,βοηθητικό!$J$2:$N$354,3,FALSE))</f>
        <v>_</v>
      </c>
      <c r="BW448" s="47"/>
      <c r="BX448" s="42" t="s">
        <v>16</v>
      </c>
      <c r="BY448" s="43" t="str">
        <f>IF(VLOOKUP(BX448,βοηθητικό!$J$2:$N$354,3,FALSE)="","",VLOOKUP(BX448,βοηθητικό!$J$2:$N$354,3,FALSE))</f>
        <v>_</v>
      </c>
      <c r="BZ448" s="44"/>
      <c r="CA448" s="45" t="s">
        <v>16</v>
      </c>
      <c r="CB448" s="46" t="str">
        <f>IF(VLOOKUP(CA448,βοηθητικό!$J$2:$N$354,3,FALSE)="","",VLOOKUP(CA448,βοηθητικό!$J$2:$N$354,3,FALSE))</f>
        <v>_</v>
      </c>
      <c r="CC448" s="47"/>
      <c r="CD448" s="42" t="s">
        <v>16</v>
      </c>
      <c r="CE448" s="43" t="str">
        <f>IF(VLOOKUP(CD448,βοηθητικό!$J$2:$N$354,3,FALSE)="","",VLOOKUP(CD448,βοηθητικό!$J$2:$N$354,3,FALSE))</f>
        <v>_</v>
      </c>
      <c r="CF448" s="44"/>
      <c r="CG448" s="45" t="s">
        <v>16</v>
      </c>
      <c r="CH448" s="46" t="str">
        <f>IF(VLOOKUP(CG448,βοηθητικό!$J$2:$N$354,3,FALSE)="","",VLOOKUP(CG448,βοηθητικό!$J$2:$N$354,3,FALSE))</f>
        <v>_</v>
      </c>
      <c r="CI448" s="47"/>
      <c r="CJ448" s="42" t="s">
        <v>16</v>
      </c>
      <c r="CK448" s="43" t="str">
        <f>IF(VLOOKUP(CJ448,βοηθητικό!$J$2:$N$354,3,FALSE)="","",VLOOKUP(CJ448,βοηθητικό!$J$2:$N$354,3,FALSE))</f>
        <v>_</v>
      </c>
      <c r="CL448" s="44"/>
      <c r="CM448" s="45" t="s">
        <v>16</v>
      </c>
      <c r="CN448" s="46" t="str">
        <f>IF(VLOOKUP(CM448,βοηθητικό!$J$2:$N$354,3,FALSE)="","",VLOOKUP(CM448,βοηθητικό!$J$2:$N$354,3,FALSE))</f>
        <v>_</v>
      </c>
      <c r="CO448" s="47"/>
      <c r="CP448" s="42" t="s">
        <v>16</v>
      </c>
      <c r="CQ448" s="43" t="str">
        <f>IF(VLOOKUP(CP448,βοηθητικό!$J$2:$N$354,3,FALSE)="","",VLOOKUP(CP448,βοηθητικό!$J$2:$N$354,3,FALSE))</f>
        <v>_</v>
      </c>
      <c r="CR448" s="44"/>
      <c r="CS448" s="45" t="s">
        <v>16</v>
      </c>
      <c r="CT448" s="46" t="str">
        <f>IF(VLOOKUP(CS448,βοηθητικό!$J$2:$N$354,3,FALSE)="","",VLOOKUP(CS448,βοηθητικό!$J$2:$N$354,3,FALSE))</f>
        <v>_</v>
      </c>
      <c r="CU448" s="47"/>
    </row>
    <row r="449" spans="1:99" x14ac:dyDescent="0.25">
      <c r="A449" s="37">
        <f>--SUBTOTAL(3,$B$3:B448)</f>
        <v>198</v>
      </c>
      <c r="B449" s="2"/>
      <c r="C449" s="3"/>
      <c r="D449" s="55" t="s">
        <v>18</v>
      </c>
      <c r="E449" s="38" t="s">
        <v>16</v>
      </c>
      <c r="F449" s="38" t="s">
        <v>16</v>
      </c>
      <c r="G449" s="39" t="str">
        <f t="shared" si="20"/>
        <v>__</v>
      </c>
      <c r="H449" s="40" t="str">
        <f t="shared" si="21"/>
        <v>FALSE</v>
      </c>
      <c r="I449" s="41">
        <f t="shared" si="22"/>
        <v>0</v>
      </c>
      <c r="J449" s="4" t="s">
        <v>16</v>
      </c>
      <c r="K449" s="43" t="str">
        <f>IF(VLOOKUP(J449,βοηθητικό!$J$2:$N$354,3,FALSE)="","",VLOOKUP(J449,βοηθητικό!$J$2:$N$354,3,FALSE))</f>
        <v>_</v>
      </c>
      <c r="L449" s="44"/>
      <c r="M449" s="5" t="s">
        <v>16</v>
      </c>
      <c r="N449" s="46" t="str">
        <f>IF(VLOOKUP(M449,βοηθητικό!$J$2:$N$354,3,FALSE)="","",VLOOKUP(M449,βοηθητικό!$J$2:$N$354,3,FALSE))</f>
        <v>_</v>
      </c>
      <c r="O449" s="47"/>
      <c r="P449" s="4" t="s">
        <v>16</v>
      </c>
      <c r="Q449" s="43" t="str">
        <f>IF(VLOOKUP(P449,βοηθητικό!$J$2:$N$354,3,FALSE)="","",VLOOKUP(P449,βοηθητικό!$J$2:$N$354,3,FALSE))</f>
        <v>_</v>
      </c>
      <c r="R449" s="44"/>
      <c r="S449" s="5" t="s">
        <v>16</v>
      </c>
      <c r="T449" s="46" t="str">
        <f>IF(VLOOKUP(S449,βοηθητικό!$J$2:$N$354,3,FALSE)="","",VLOOKUP(S449,βοηθητικό!$J$2:$N$354,3,FALSE))</f>
        <v>_</v>
      </c>
      <c r="U449" s="47"/>
      <c r="V449" s="4" t="s">
        <v>16</v>
      </c>
      <c r="W449" s="43" t="str">
        <f>IF(VLOOKUP(V449,βοηθητικό!$J$2:$N$354,3,FALSE)="","",VLOOKUP(V449,βοηθητικό!$J$2:$N$354,3,FALSE))</f>
        <v>_</v>
      </c>
      <c r="X449" s="44"/>
      <c r="Y449" s="5" t="s">
        <v>16</v>
      </c>
      <c r="Z449" s="46" t="str">
        <f>IF(VLOOKUP(Y449,βοηθητικό!$J$2:$N$354,3,FALSE)="","",VLOOKUP(Y449,βοηθητικό!$J$2:$N$354,3,FALSE))</f>
        <v>_</v>
      </c>
      <c r="AA449" s="47"/>
      <c r="AB449" s="4" t="s">
        <v>16</v>
      </c>
      <c r="AC449" s="43" t="str">
        <f>IF(VLOOKUP(AB449,βοηθητικό!$J$2:$N$354,3,FALSE)="","",VLOOKUP(AB449,βοηθητικό!$J$2:$N$354,3,FALSE))</f>
        <v>_</v>
      </c>
      <c r="AD449" s="44"/>
      <c r="AE449" s="5" t="s">
        <v>16</v>
      </c>
      <c r="AF449" s="46" t="str">
        <f>IF(VLOOKUP(AE449,βοηθητικό!$J$2:$N$354,3,FALSE)="","",VLOOKUP(AE449,βοηθητικό!$J$2:$N$354,3,FALSE))</f>
        <v>_</v>
      </c>
      <c r="AG449" s="47"/>
      <c r="AH449" s="4" t="s">
        <v>16</v>
      </c>
      <c r="AI449" s="43" t="str">
        <f>IF(VLOOKUP(AH449,βοηθητικό!$J$2:$N$354,3,FALSE)="","",VLOOKUP(AH449,βοηθητικό!$J$2:$N$354,3,FALSE))</f>
        <v>_</v>
      </c>
      <c r="AJ449" s="44"/>
      <c r="AK449" s="5" t="s">
        <v>16</v>
      </c>
      <c r="AL449" s="46" t="str">
        <f>IF(VLOOKUP(AK449,βοηθητικό!$J$2:$N$354,3,FALSE)="","",VLOOKUP(AK449,βοηθητικό!$J$2:$N$354,3,FALSE))</f>
        <v>_</v>
      </c>
      <c r="AM449" s="47"/>
      <c r="AN449" s="4" t="s">
        <v>16</v>
      </c>
      <c r="AO449" s="43" t="str">
        <f>IF(VLOOKUP(AN449,βοηθητικό!$J$2:$N$354,3,FALSE)="","",VLOOKUP(AN449,βοηθητικό!$J$2:$N$354,3,FALSE))</f>
        <v>_</v>
      </c>
      <c r="AP449" s="44"/>
      <c r="AQ449" s="5" t="s">
        <v>16</v>
      </c>
      <c r="AR449" s="46" t="str">
        <f>IF(VLOOKUP(AQ449,βοηθητικό!$J$2:$N$354,3,FALSE)="","",VLOOKUP(AQ449,βοηθητικό!$J$2:$N$354,3,FALSE))</f>
        <v>_</v>
      </c>
      <c r="AS449" s="47"/>
      <c r="AT449" s="4" t="s">
        <v>16</v>
      </c>
      <c r="AU449" s="43" t="str">
        <f>IF(VLOOKUP(AT449,βοηθητικό!$J$2:$N$354,3,FALSE)="","",VLOOKUP(AT449,βοηθητικό!$J$2:$N$354,3,FALSE))</f>
        <v>_</v>
      </c>
      <c r="AV449" s="44"/>
      <c r="AW449" s="5" t="s">
        <v>16</v>
      </c>
      <c r="AX449" s="46" t="str">
        <f>IF(VLOOKUP(AW449,βοηθητικό!$J$2:$N$354,3,FALSE)="","",VLOOKUP(AW449,βοηθητικό!$J$2:$N$354,3,FALSE))</f>
        <v>_</v>
      </c>
      <c r="AY449" s="47"/>
      <c r="AZ449" s="4" t="s">
        <v>16</v>
      </c>
      <c r="BA449" s="43" t="str">
        <f>IF(VLOOKUP(AZ449,βοηθητικό!$J$2:$N$354,3,FALSE)="","",VLOOKUP(AZ449,βοηθητικό!$J$2:$N$354,3,FALSE))</f>
        <v>_</v>
      </c>
      <c r="BB449" s="44"/>
      <c r="BC449" s="45" t="s">
        <v>16</v>
      </c>
      <c r="BD449" s="46" t="str">
        <f>IF(VLOOKUP(BC449,βοηθητικό!$J$2:$N$354,3,FALSE)="","",VLOOKUP(BC449,βοηθητικό!$J$2:$N$354,3,FALSE))</f>
        <v>_</v>
      </c>
      <c r="BE449" s="47"/>
      <c r="BF449" s="42" t="s">
        <v>16</v>
      </c>
      <c r="BG449" s="43" t="str">
        <f>IF(VLOOKUP(BF449,βοηθητικό!$J$2:$N$354,3,FALSE)="","",VLOOKUP(BF449,βοηθητικό!$J$2:$N$354,3,FALSE))</f>
        <v>_</v>
      </c>
      <c r="BH449" s="44"/>
      <c r="BI449" s="45" t="s">
        <v>16</v>
      </c>
      <c r="BJ449" s="46" t="str">
        <f>IF(VLOOKUP(BI449,βοηθητικό!$J$2:$N$354,3,FALSE)="","",VLOOKUP(BI449,βοηθητικό!$J$2:$N$354,3,FALSE))</f>
        <v>_</v>
      </c>
      <c r="BK449" s="47"/>
      <c r="BL449" s="42" t="s">
        <v>16</v>
      </c>
      <c r="BM449" s="43" t="str">
        <f>IF(VLOOKUP(BL449,βοηθητικό!$J$2:$N$354,3,FALSE)="","",VLOOKUP(BL449,βοηθητικό!$J$2:$N$354,3,FALSE))</f>
        <v>_</v>
      </c>
      <c r="BN449" s="44"/>
      <c r="BO449" s="45" t="s">
        <v>16</v>
      </c>
      <c r="BP449" s="46" t="str">
        <f>IF(VLOOKUP(BO449,βοηθητικό!$J$2:$N$354,3,FALSE)="","",VLOOKUP(BO449,βοηθητικό!$J$2:$N$354,3,FALSE))</f>
        <v>_</v>
      </c>
      <c r="BQ449" s="47"/>
      <c r="BR449" s="42" t="s">
        <v>16</v>
      </c>
      <c r="BS449" s="43" t="str">
        <f>IF(VLOOKUP(BR449,βοηθητικό!$J$2:$N$354,3,FALSE)="","",VLOOKUP(BR449,βοηθητικό!$J$2:$N$354,3,FALSE))</f>
        <v>_</v>
      </c>
      <c r="BT449" s="44"/>
      <c r="BU449" s="45" t="s">
        <v>16</v>
      </c>
      <c r="BV449" s="46" t="str">
        <f>IF(VLOOKUP(BU449,βοηθητικό!$J$2:$N$354,3,FALSE)="","",VLOOKUP(BU449,βοηθητικό!$J$2:$N$354,3,FALSE))</f>
        <v>_</v>
      </c>
      <c r="BW449" s="47"/>
      <c r="BX449" s="42" t="s">
        <v>16</v>
      </c>
      <c r="BY449" s="43" t="str">
        <f>IF(VLOOKUP(BX449,βοηθητικό!$J$2:$N$354,3,FALSE)="","",VLOOKUP(BX449,βοηθητικό!$J$2:$N$354,3,FALSE))</f>
        <v>_</v>
      </c>
      <c r="BZ449" s="44"/>
      <c r="CA449" s="45" t="s">
        <v>16</v>
      </c>
      <c r="CB449" s="46" t="str">
        <f>IF(VLOOKUP(CA449,βοηθητικό!$J$2:$N$354,3,FALSE)="","",VLOOKUP(CA449,βοηθητικό!$J$2:$N$354,3,FALSE))</f>
        <v>_</v>
      </c>
      <c r="CC449" s="47"/>
      <c r="CD449" s="42" t="s">
        <v>16</v>
      </c>
      <c r="CE449" s="43" t="str">
        <f>IF(VLOOKUP(CD449,βοηθητικό!$J$2:$N$354,3,FALSE)="","",VLOOKUP(CD449,βοηθητικό!$J$2:$N$354,3,FALSE))</f>
        <v>_</v>
      </c>
      <c r="CF449" s="44"/>
      <c r="CG449" s="45" t="s">
        <v>16</v>
      </c>
      <c r="CH449" s="46" t="str">
        <f>IF(VLOOKUP(CG449,βοηθητικό!$J$2:$N$354,3,FALSE)="","",VLOOKUP(CG449,βοηθητικό!$J$2:$N$354,3,FALSE))</f>
        <v>_</v>
      </c>
      <c r="CI449" s="47"/>
      <c r="CJ449" s="42" t="s">
        <v>16</v>
      </c>
      <c r="CK449" s="43" t="str">
        <f>IF(VLOOKUP(CJ449,βοηθητικό!$J$2:$N$354,3,FALSE)="","",VLOOKUP(CJ449,βοηθητικό!$J$2:$N$354,3,FALSE))</f>
        <v>_</v>
      </c>
      <c r="CL449" s="44"/>
      <c r="CM449" s="45" t="s">
        <v>16</v>
      </c>
      <c r="CN449" s="46" t="str">
        <f>IF(VLOOKUP(CM449,βοηθητικό!$J$2:$N$354,3,FALSE)="","",VLOOKUP(CM449,βοηθητικό!$J$2:$N$354,3,FALSE))</f>
        <v>_</v>
      </c>
      <c r="CO449" s="47"/>
      <c r="CP449" s="42" t="s">
        <v>16</v>
      </c>
      <c r="CQ449" s="43" t="str">
        <f>IF(VLOOKUP(CP449,βοηθητικό!$J$2:$N$354,3,FALSE)="","",VLOOKUP(CP449,βοηθητικό!$J$2:$N$354,3,FALSE))</f>
        <v>_</v>
      </c>
      <c r="CR449" s="44"/>
      <c r="CS449" s="45" t="s">
        <v>16</v>
      </c>
      <c r="CT449" s="46" t="str">
        <f>IF(VLOOKUP(CS449,βοηθητικό!$J$2:$N$354,3,FALSE)="","",VLOOKUP(CS449,βοηθητικό!$J$2:$N$354,3,FALSE))</f>
        <v>_</v>
      </c>
      <c r="CU449" s="47"/>
    </row>
    <row r="450" spans="1:99" x14ac:dyDescent="0.25">
      <c r="A450" s="37">
        <f>--SUBTOTAL(3,$B$3:B449)</f>
        <v>198</v>
      </c>
      <c r="B450" s="2"/>
      <c r="C450" s="3"/>
      <c r="D450" s="55" t="s">
        <v>18</v>
      </c>
      <c r="E450" s="38" t="s">
        <v>16</v>
      </c>
      <c r="F450" s="38" t="s">
        <v>16</v>
      </c>
      <c r="G450" s="39" t="str">
        <f t="shared" si="20"/>
        <v>__</v>
      </c>
      <c r="H450" s="40" t="str">
        <f t="shared" si="21"/>
        <v>FALSE</v>
      </c>
      <c r="I450" s="41">
        <f t="shared" si="22"/>
        <v>0</v>
      </c>
      <c r="J450" s="4" t="s">
        <v>16</v>
      </c>
      <c r="K450" s="43" t="str">
        <f>IF(VLOOKUP(J450,βοηθητικό!$J$2:$N$354,3,FALSE)="","",VLOOKUP(J450,βοηθητικό!$J$2:$N$354,3,FALSE))</f>
        <v>_</v>
      </c>
      <c r="L450" s="44"/>
      <c r="M450" s="5" t="s">
        <v>16</v>
      </c>
      <c r="N450" s="46" t="str">
        <f>IF(VLOOKUP(M450,βοηθητικό!$J$2:$N$354,3,FALSE)="","",VLOOKUP(M450,βοηθητικό!$J$2:$N$354,3,FALSE))</f>
        <v>_</v>
      </c>
      <c r="O450" s="47"/>
      <c r="P450" s="4" t="s">
        <v>16</v>
      </c>
      <c r="Q450" s="43" t="str">
        <f>IF(VLOOKUP(P450,βοηθητικό!$J$2:$N$354,3,FALSE)="","",VLOOKUP(P450,βοηθητικό!$J$2:$N$354,3,FALSE))</f>
        <v>_</v>
      </c>
      <c r="R450" s="44"/>
      <c r="S450" s="5" t="s">
        <v>16</v>
      </c>
      <c r="T450" s="46" t="str">
        <f>IF(VLOOKUP(S450,βοηθητικό!$J$2:$N$354,3,FALSE)="","",VLOOKUP(S450,βοηθητικό!$J$2:$N$354,3,FALSE))</f>
        <v>_</v>
      </c>
      <c r="U450" s="47"/>
      <c r="V450" s="4" t="s">
        <v>16</v>
      </c>
      <c r="W450" s="43" t="str">
        <f>IF(VLOOKUP(V450,βοηθητικό!$J$2:$N$354,3,FALSE)="","",VLOOKUP(V450,βοηθητικό!$J$2:$N$354,3,FALSE))</f>
        <v>_</v>
      </c>
      <c r="X450" s="44"/>
      <c r="Y450" s="5" t="s">
        <v>16</v>
      </c>
      <c r="Z450" s="46" t="str">
        <f>IF(VLOOKUP(Y450,βοηθητικό!$J$2:$N$354,3,FALSE)="","",VLOOKUP(Y450,βοηθητικό!$J$2:$N$354,3,FALSE))</f>
        <v>_</v>
      </c>
      <c r="AA450" s="47"/>
      <c r="AB450" s="4" t="s">
        <v>16</v>
      </c>
      <c r="AC450" s="43" t="str">
        <f>IF(VLOOKUP(AB450,βοηθητικό!$J$2:$N$354,3,FALSE)="","",VLOOKUP(AB450,βοηθητικό!$J$2:$N$354,3,FALSE))</f>
        <v>_</v>
      </c>
      <c r="AD450" s="44"/>
      <c r="AE450" s="5" t="s">
        <v>16</v>
      </c>
      <c r="AF450" s="46" t="str">
        <f>IF(VLOOKUP(AE450,βοηθητικό!$J$2:$N$354,3,FALSE)="","",VLOOKUP(AE450,βοηθητικό!$J$2:$N$354,3,FALSE))</f>
        <v>_</v>
      </c>
      <c r="AG450" s="47"/>
      <c r="AH450" s="4" t="s">
        <v>16</v>
      </c>
      <c r="AI450" s="43" t="str">
        <f>IF(VLOOKUP(AH450,βοηθητικό!$J$2:$N$354,3,FALSE)="","",VLOOKUP(AH450,βοηθητικό!$J$2:$N$354,3,FALSE))</f>
        <v>_</v>
      </c>
      <c r="AJ450" s="44"/>
      <c r="AK450" s="5" t="s">
        <v>16</v>
      </c>
      <c r="AL450" s="46" t="str">
        <f>IF(VLOOKUP(AK450,βοηθητικό!$J$2:$N$354,3,FALSE)="","",VLOOKUP(AK450,βοηθητικό!$J$2:$N$354,3,FALSE))</f>
        <v>_</v>
      </c>
      <c r="AM450" s="47"/>
      <c r="AN450" s="4" t="s">
        <v>16</v>
      </c>
      <c r="AO450" s="43" t="str">
        <f>IF(VLOOKUP(AN450,βοηθητικό!$J$2:$N$354,3,FALSE)="","",VLOOKUP(AN450,βοηθητικό!$J$2:$N$354,3,FALSE))</f>
        <v>_</v>
      </c>
      <c r="AP450" s="44"/>
      <c r="AQ450" s="5" t="s">
        <v>16</v>
      </c>
      <c r="AR450" s="46" t="str">
        <f>IF(VLOOKUP(AQ450,βοηθητικό!$J$2:$N$354,3,FALSE)="","",VLOOKUP(AQ450,βοηθητικό!$J$2:$N$354,3,FALSE))</f>
        <v>_</v>
      </c>
      <c r="AS450" s="47"/>
      <c r="AT450" s="4" t="s">
        <v>16</v>
      </c>
      <c r="AU450" s="43" t="str">
        <f>IF(VLOOKUP(AT450,βοηθητικό!$J$2:$N$354,3,FALSE)="","",VLOOKUP(AT450,βοηθητικό!$J$2:$N$354,3,FALSE))</f>
        <v>_</v>
      </c>
      <c r="AV450" s="44"/>
      <c r="AW450" s="5" t="s">
        <v>16</v>
      </c>
      <c r="AX450" s="46" t="str">
        <f>IF(VLOOKUP(AW450,βοηθητικό!$J$2:$N$354,3,FALSE)="","",VLOOKUP(AW450,βοηθητικό!$J$2:$N$354,3,FALSE))</f>
        <v>_</v>
      </c>
      <c r="AY450" s="47"/>
      <c r="AZ450" s="4" t="s">
        <v>16</v>
      </c>
      <c r="BA450" s="43" t="str">
        <f>IF(VLOOKUP(AZ450,βοηθητικό!$J$2:$N$354,3,FALSE)="","",VLOOKUP(AZ450,βοηθητικό!$J$2:$N$354,3,FALSE))</f>
        <v>_</v>
      </c>
      <c r="BB450" s="44"/>
      <c r="BC450" s="45" t="s">
        <v>16</v>
      </c>
      <c r="BD450" s="46" t="str">
        <f>IF(VLOOKUP(BC450,βοηθητικό!$J$2:$N$354,3,FALSE)="","",VLOOKUP(BC450,βοηθητικό!$J$2:$N$354,3,FALSE))</f>
        <v>_</v>
      </c>
      <c r="BE450" s="47"/>
      <c r="BF450" s="42" t="s">
        <v>16</v>
      </c>
      <c r="BG450" s="43" t="str">
        <f>IF(VLOOKUP(BF450,βοηθητικό!$J$2:$N$354,3,FALSE)="","",VLOOKUP(BF450,βοηθητικό!$J$2:$N$354,3,FALSE))</f>
        <v>_</v>
      </c>
      <c r="BH450" s="44"/>
      <c r="BI450" s="45" t="s">
        <v>16</v>
      </c>
      <c r="BJ450" s="46" t="str">
        <f>IF(VLOOKUP(BI450,βοηθητικό!$J$2:$N$354,3,FALSE)="","",VLOOKUP(BI450,βοηθητικό!$J$2:$N$354,3,FALSE))</f>
        <v>_</v>
      </c>
      <c r="BK450" s="47"/>
      <c r="BL450" s="42" t="s">
        <v>16</v>
      </c>
      <c r="BM450" s="43" t="str">
        <f>IF(VLOOKUP(BL450,βοηθητικό!$J$2:$N$354,3,FALSE)="","",VLOOKUP(BL450,βοηθητικό!$J$2:$N$354,3,FALSE))</f>
        <v>_</v>
      </c>
      <c r="BN450" s="44"/>
      <c r="BO450" s="45" t="s">
        <v>16</v>
      </c>
      <c r="BP450" s="46" t="str">
        <f>IF(VLOOKUP(BO450,βοηθητικό!$J$2:$N$354,3,FALSE)="","",VLOOKUP(BO450,βοηθητικό!$J$2:$N$354,3,FALSE))</f>
        <v>_</v>
      </c>
      <c r="BQ450" s="47"/>
      <c r="BR450" s="42" t="s">
        <v>16</v>
      </c>
      <c r="BS450" s="43" t="str">
        <f>IF(VLOOKUP(BR450,βοηθητικό!$J$2:$N$354,3,FALSE)="","",VLOOKUP(BR450,βοηθητικό!$J$2:$N$354,3,FALSE))</f>
        <v>_</v>
      </c>
      <c r="BT450" s="44"/>
      <c r="BU450" s="45" t="s">
        <v>16</v>
      </c>
      <c r="BV450" s="46" t="str">
        <f>IF(VLOOKUP(BU450,βοηθητικό!$J$2:$N$354,3,FALSE)="","",VLOOKUP(BU450,βοηθητικό!$J$2:$N$354,3,FALSE))</f>
        <v>_</v>
      </c>
      <c r="BW450" s="47"/>
      <c r="BX450" s="42" t="s">
        <v>16</v>
      </c>
      <c r="BY450" s="43" t="str">
        <f>IF(VLOOKUP(BX450,βοηθητικό!$J$2:$N$354,3,FALSE)="","",VLOOKUP(BX450,βοηθητικό!$J$2:$N$354,3,FALSE))</f>
        <v>_</v>
      </c>
      <c r="BZ450" s="44"/>
      <c r="CA450" s="45" t="s">
        <v>16</v>
      </c>
      <c r="CB450" s="46" t="str">
        <f>IF(VLOOKUP(CA450,βοηθητικό!$J$2:$N$354,3,FALSE)="","",VLOOKUP(CA450,βοηθητικό!$J$2:$N$354,3,FALSE))</f>
        <v>_</v>
      </c>
      <c r="CC450" s="47"/>
      <c r="CD450" s="42" t="s">
        <v>16</v>
      </c>
      <c r="CE450" s="43" t="str">
        <f>IF(VLOOKUP(CD450,βοηθητικό!$J$2:$N$354,3,FALSE)="","",VLOOKUP(CD450,βοηθητικό!$J$2:$N$354,3,FALSE))</f>
        <v>_</v>
      </c>
      <c r="CF450" s="44"/>
      <c r="CG450" s="45" t="s">
        <v>16</v>
      </c>
      <c r="CH450" s="46" t="str">
        <f>IF(VLOOKUP(CG450,βοηθητικό!$J$2:$N$354,3,FALSE)="","",VLOOKUP(CG450,βοηθητικό!$J$2:$N$354,3,FALSE))</f>
        <v>_</v>
      </c>
      <c r="CI450" s="47"/>
      <c r="CJ450" s="42" t="s">
        <v>16</v>
      </c>
      <c r="CK450" s="43" t="str">
        <f>IF(VLOOKUP(CJ450,βοηθητικό!$J$2:$N$354,3,FALSE)="","",VLOOKUP(CJ450,βοηθητικό!$J$2:$N$354,3,FALSE))</f>
        <v>_</v>
      </c>
      <c r="CL450" s="44"/>
      <c r="CM450" s="45" t="s">
        <v>16</v>
      </c>
      <c r="CN450" s="46" t="str">
        <f>IF(VLOOKUP(CM450,βοηθητικό!$J$2:$N$354,3,FALSE)="","",VLOOKUP(CM450,βοηθητικό!$J$2:$N$354,3,FALSE))</f>
        <v>_</v>
      </c>
      <c r="CO450" s="47"/>
      <c r="CP450" s="42" t="s">
        <v>16</v>
      </c>
      <c r="CQ450" s="43" t="str">
        <f>IF(VLOOKUP(CP450,βοηθητικό!$J$2:$N$354,3,FALSE)="","",VLOOKUP(CP450,βοηθητικό!$J$2:$N$354,3,FALSE))</f>
        <v>_</v>
      </c>
      <c r="CR450" s="44"/>
      <c r="CS450" s="45" t="s">
        <v>16</v>
      </c>
      <c r="CT450" s="46" t="str">
        <f>IF(VLOOKUP(CS450,βοηθητικό!$J$2:$N$354,3,FALSE)="","",VLOOKUP(CS450,βοηθητικό!$J$2:$N$354,3,FALSE))</f>
        <v>_</v>
      </c>
      <c r="CU450" s="47"/>
    </row>
    <row r="451" spans="1:99" x14ac:dyDescent="0.25">
      <c r="A451" s="37">
        <f>--SUBTOTAL(3,$B$3:B450)</f>
        <v>198</v>
      </c>
      <c r="B451" s="2"/>
      <c r="C451" s="3"/>
      <c r="D451" s="55" t="s">
        <v>18</v>
      </c>
      <c r="E451" s="38" t="s">
        <v>16</v>
      </c>
      <c r="F451" s="38" t="s">
        <v>16</v>
      </c>
      <c r="G451" s="39" t="str">
        <f t="shared" si="20"/>
        <v>__</v>
      </c>
      <c r="H451" s="40" t="str">
        <f t="shared" si="21"/>
        <v>FALSE</v>
      </c>
      <c r="I451" s="41">
        <f t="shared" si="22"/>
        <v>0</v>
      </c>
      <c r="J451" s="4" t="s">
        <v>16</v>
      </c>
      <c r="K451" s="43" t="str">
        <f>IF(VLOOKUP(J451,βοηθητικό!$J$2:$N$354,3,FALSE)="","",VLOOKUP(J451,βοηθητικό!$J$2:$N$354,3,FALSE))</f>
        <v>_</v>
      </c>
      <c r="L451" s="44"/>
      <c r="M451" s="5" t="s">
        <v>16</v>
      </c>
      <c r="N451" s="46" t="str">
        <f>IF(VLOOKUP(M451,βοηθητικό!$J$2:$N$354,3,FALSE)="","",VLOOKUP(M451,βοηθητικό!$J$2:$N$354,3,FALSE))</f>
        <v>_</v>
      </c>
      <c r="O451" s="47"/>
      <c r="P451" s="4" t="s">
        <v>16</v>
      </c>
      <c r="Q451" s="43" t="str">
        <f>IF(VLOOKUP(P451,βοηθητικό!$J$2:$N$354,3,FALSE)="","",VLOOKUP(P451,βοηθητικό!$J$2:$N$354,3,FALSE))</f>
        <v>_</v>
      </c>
      <c r="R451" s="44"/>
      <c r="S451" s="5" t="s">
        <v>16</v>
      </c>
      <c r="T451" s="46" t="str">
        <f>IF(VLOOKUP(S451,βοηθητικό!$J$2:$N$354,3,FALSE)="","",VLOOKUP(S451,βοηθητικό!$J$2:$N$354,3,FALSE))</f>
        <v>_</v>
      </c>
      <c r="U451" s="47"/>
      <c r="V451" s="4" t="s">
        <v>16</v>
      </c>
      <c r="W451" s="43" t="str">
        <f>IF(VLOOKUP(V451,βοηθητικό!$J$2:$N$354,3,FALSE)="","",VLOOKUP(V451,βοηθητικό!$J$2:$N$354,3,FALSE))</f>
        <v>_</v>
      </c>
      <c r="X451" s="44"/>
      <c r="Y451" s="5" t="s">
        <v>16</v>
      </c>
      <c r="Z451" s="46" t="str">
        <f>IF(VLOOKUP(Y451,βοηθητικό!$J$2:$N$354,3,FALSE)="","",VLOOKUP(Y451,βοηθητικό!$J$2:$N$354,3,FALSE))</f>
        <v>_</v>
      </c>
      <c r="AA451" s="47"/>
      <c r="AB451" s="4" t="s">
        <v>16</v>
      </c>
      <c r="AC451" s="43" t="str">
        <f>IF(VLOOKUP(AB451,βοηθητικό!$J$2:$N$354,3,FALSE)="","",VLOOKUP(AB451,βοηθητικό!$J$2:$N$354,3,FALSE))</f>
        <v>_</v>
      </c>
      <c r="AD451" s="44"/>
      <c r="AE451" s="5" t="s">
        <v>16</v>
      </c>
      <c r="AF451" s="46" t="str">
        <f>IF(VLOOKUP(AE451,βοηθητικό!$J$2:$N$354,3,FALSE)="","",VLOOKUP(AE451,βοηθητικό!$J$2:$N$354,3,FALSE))</f>
        <v>_</v>
      </c>
      <c r="AG451" s="47"/>
      <c r="AH451" s="4" t="s">
        <v>16</v>
      </c>
      <c r="AI451" s="43" t="str">
        <f>IF(VLOOKUP(AH451,βοηθητικό!$J$2:$N$354,3,FALSE)="","",VLOOKUP(AH451,βοηθητικό!$J$2:$N$354,3,FALSE))</f>
        <v>_</v>
      </c>
      <c r="AJ451" s="44"/>
      <c r="AK451" s="5" t="s">
        <v>16</v>
      </c>
      <c r="AL451" s="46" t="str">
        <f>IF(VLOOKUP(AK451,βοηθητικό!$J$2:$N$354,3,FALSE)="","",VLOOKUP(AK451,βοηθητικό!$J$2:$N$354,3,FALSE))</f>
        <v>_</v>
      </c>
      <c r="AM451" s="47"/>
      <c r="AN451" s="4" t="s">
        <v>16</v>
      </c>
      <c r="AO451" s="43" t="str">
        <f>IF(VLOOKUP(AN451,βοηθητικό!$J$2:$N$354,3,FALSE)="","",VLOOKUP(AN451,βοηθητικό!$J$2:$N$354,3,FALSE))</f>
        <v>_</v>
      </c>
      <c r="AP451" s="44"/>
      <c r="AQ451" s="5" t="s">
        <v>16</v>
      </c>
      <c r="AR451" s="46" t="str">
        <f>IF(VLOOKUP(AQ451,βοηθητικό!$J$2:$N$354,3,FALSE)="","",VLOOKUP(AQ451,βοηθητικό!$J$2:$N$354,3,FALSE))</f>
        <v>_</v>
      </c>
      <c r="AS451" s="47"/>
      <c r="AT451" s="4" t="s">
        <v>16</v>
      </c>
      <c r="AU451" s="43" t="str">
        <f>IF(VLOOKUP(AT451,βοηθητικό!$J$2:$N$354,3,FALSE)="","",VLOOKUP(AT451,βοηθητικό!$J$2:$N$354,3,FALSE))</f>
        <v>_</v>
      </c>
      <c r="AV451" s="44"/>
      <c r="AW451" s="5" t="s">
        <v>16</v>
      </c>
      <c r="AX451" s="46" t="str">
        <f>IF(VLOOKUP(AW451,βοηθητικό!$J$2:$N$354,3,FALSE)="","",VLOOKUP(AW451,βοηθητικό!$J$2:$N$354,3,FALSE))</f>
        <v>_</v>
      </c>
      <c r="AY451" s="47"/>
      <c r="AZ451" s="4" t="s">
        <v>16</v>
      </c>
      <c r="BA451" s="43" t="str">
        <f>IF(VLOOKUP(AZ451,βοηθητικό!$J$2:$N$354,3,FALSE)="","",VLOOKUP(AZ451,βοηθητικό!$J$2:$N$354,3,FALSE))</f>
        <v>_</v>
      </c>
      <c r="BB451" s="44"/>
      <c r="BC451" s="45" t="s">
        <v>16</v>
      </c>
      <c r="BD451" s="46" t="str">
        <f>IF(VLOOKUP(BC451,βοηθητικό!$J$2:$N$354,3,FALSE)="","",VLOOKUP(BC451,βοηθητικό!$J$2:$N$354,3,FALSE))</f>
        <v>_</v>
      </c>
      <c r="BE451" s="47"/>
      <c r="BF451" s="42" t="s">
        <v>16</v>
      </c>
      <c r="BG451" s="43" t="str">
        <f>IF(VLOOKUP(BF451,βοηθητικό!$J$2:$N$354,3,FALSE)="","",VLOOKUP(BF451,βοηθητικό!$J$2:$N$354,3,FALSE))</f>
        <v>_</v>
      </c>
      <c r="BH451" s="44"/>
      <c r="BI451" s="45" t="s">
        <v>16</v>
      </c>
      <c r="BJ451" s="46" t="str">
        <f>IF(VLOOKUP(BI451,βοηθητικό!$J$2:$N$354,3,FALSE)="","",VLOOKUP(BI451,βοηθητικό!$J$2:$N$354,3,FALSE))</f>
        <v>_</v>
      </c>
      <c r="BK451" s="47"/>
      <c r="BL451" s="42" t="s">
        <v>16</v>
      </c>
      <c r="BM451" s="43" t="str">
        <f>IF(VLOOKUP(BL451,βοηθητικό!$J$2:$N$354,3,FALSE)="","",VLOOKUP(BL451,βοηθητικό!$J$2:$N$354,3,FALSE))</f>
        <v>_</v>
      </c>
      <c r="BN451" s="44"/>
      <c r="BO451" s="45" t="s">
        <v>16</v>
      </c>
      <c r="BP451" s="46" t="str">
        <f>IF(VLOOKUP(BO451,βοηθητικό!$J$2:$N$354,3,FALSE)="","",VLOOKUP(BO451,βοηθητικό!$J$2:$N$354,3,FALSE))</f>
        <v>_</v>
      </c>
      <c r="BQ451" s="47"/>
      <c r="BR451" s="42" t="s">
        <v>16</v>
      </c>
      <c r="BS451" s="43" t="str">
        <f>IF(VLOOKUP(BR451,βοηθητικό!$J$2:$N$354,3,FALSE)="","",VLOOKUP(BR451,βοηθητικό!$J$2:$N$354,3,FALSE))</f>
        <v>_</v>
      </c>
      <c r="BT451" s="44"/>
      <c r="BU451" s="45" t="s">
        <v>16</v>
      </c>
      <c r="BV451" s="46" t="str">
        <f>IF(VLOOKUP(BU451,βοηθητικό!$J$2:$N$354,3,FALSE)="","",VLOOKUP(BU451,βοηθητικό!$J$2:$N$354,3,FALSE))</f>
        <v>_</v>
      </c>
      <c r="BW451" s="47"/>
      <c r="BX451" s="42" t="s">
        <v>16</v>
      </c>
      <c r="BY451" s="43" t="str">
        <f>IF(VLOOKUP(BX451,βοηθητικό!$J$2:$N$354,3,FALSE)="","",VLOOKUP(BX451,βοηθητικό!$J$2:$N$354,3,FALSE))</f>
        <v>_</v>
      </c>
      <c r="BZ451" s="44"/>
      <c r="CA451" s="45" t="s">
        <v>16</v>
      </c>
      <c r="CB451" s="46" t="str">
        <f>IF(VLOOKUP(CA451,βοηθητικό!$J$2:$N$354,3,FALSE)="","",VLOOKUP(CA451,βοηθητικό!$J$2:$N$354,3,FALSE))</f>
        <v>_</v>
      </c>
      <c r="CC451" s="47"/>
      <c r="CD451" s="42" t="s">
        <v>16</v>
      </c>
      <c r="CE451" s="43" t="str">
        <f>IF(VLOOKUP(CD451,βοηθητικό!$J$2:$N$354,3,FALSE)="","",VLOOKUP(CD451,βοηθητικό!$J$2:$N$354,3,FALSE))</f>
        <v>_</v>
      </c>
      <c r="CF451" s="44"/>
      <c r="CG451" s="45" t="s">
        <v>16</v>
      </c>
      <c r="CH451" s="46" t="str">
        <f>IF(VLOOKUP(CG451,βοηθητικό!$J$2:$N$354,3,FALSE)="","",VLOOKUP(CG451,βοηθητικό!$J$2:$N$354,3,FALSE))</f>
        <v>_</v>
      </c>
      <c r="CI451" s="47"/>
      <c r="CJ451" s="42" t="s">
        <v>16</v>
      </c>
      <c r="CK451" s="43" t="str">
        <f>IF(VLOOKUP(CJ451,βοηθητικό!$J$2:$N$354,3,FALSE)="","",VLOOKUP(CJ451,βοηθητικό!$J$2:$N$354,3,FALSE))</f>
        <v>_</v>
      </c>
      <c r="CL451" s="44"/>
      <c r="CM451" s="45" t="s">
        <v>16</v>
      </c>
      <c r="CN451" s="46" t="str">
        <f>IF(VLOOKUP(CM451,βοηθητικό!$J$2:$N$354,3,FALSE)="","",VLOOKUP(CM451,βοηθητικό!$J$2:$N$354,3,FALSE))</f>
        <v>_</v>
      </c>
      <c r="CO451" s="47"/>
      <c r="CP451" s="42" t="s">
        <v>16</v>
      </c>
      <c r="CQ451" s="43" t="str">
        <f>IF(VLOOKUP(CP451,βοηθητικό!$J$2:$N$354,3,FALSE)="","",VLOOKUP(CP451,βοηθητικό!$J$2:$N$354,3,FALSE))</f>
        <v>_</v>
      </c>
      <c r="CR451" s="44"/>
      <c r="CS451" s="45" t="s">
        <v>16</v>
      </c>
      <c r="CT451" s="46" t="str">
        <f>IF(VLOOKUP(CS451,βοηθητικό!$J$2:$N$354,3,FALSE)="","",VLOOKUP(CS451,βοηθητικό!$J$2:$N$354,3,FALSE))</f>
        <v>_</v>
      </c>
      <c r="CU451" s="47"/>
    </row>
    <row r="452" spans="1:99" x14ac:dyDescent="0.25">
      <c r="A452" s="37">
        <f>--SUBTOTAL(3,$B$3:B451)</f>
        <v>198</v>
      </c>
      <c r="B452" s="2"/>
      <c r="C452" s="3"/>
      <c r="D452" s="55" t="s">
        <v>18</v>
      </c>
      <c r="E452" s="38" t="s">
        <v>16</v>
      </c>
      <c r="F452" s="38" t="s">
        <v>16</v>
      </c>
      <c r="G452" s="39" t="str">
        <f t="shared" ref="G452:G515" si="23">IF(OR(C452="_",E452="_"),"__",CONCATENATE(C452,E452))</f>
        <v>__</v>
      </c>
      <c r="H452" s="40" t="str">
        <f t="shared" ref="H452:H515" si="24">IF(G452="__","FALSE",COUNTIF(G:G,G452)&gt;1)</f>
        <v>FALSE</v>
      </c>
      <c r="I452" s="41">
        <f t="shared" ref="I452:I515" si="25">SUMPRODUCT((J452:CU452&lt;&gt;"_")*(MOD(COLUMN(J452:CU452)-COLUMN(J452),3)=0))</f>
        <v>0</v>
      </c>
      <c r="J452" s="4" t="s">
        <v>16</v>
      </c>
      <c r="K452" s="43" t="str">
        <f>IF(VLOOKUP(J452,βοηθητικό!$J$2:$N$354,3,FALSE)="","",VLOOKUP(J452,βοηθητικό!$J$2:$N$354,3,FALSE))</f>
        <v>_</v>
      </c>
      <c r="L452" s="44"/>
      <c r="M452" s="5" t="s">
        <v>16</v>
      </c>
      <c r="N452" s="46" t="str">
        <f>IF(VLOOKUP(M452,βοηθητικό!$J$2:$N$354,3,FALSE)="","",VLOOKUP(M452,βοηθητικό!$J$2:$N$354,3,FALSE))</f>
        <v>_</v>
      </c>
      <c r="O452" s="47"/>
      <c r="P452" s="4" t="s">
        <v>16</v>
      </c>
      <c r="Q452" s="43" t="str">
        <f>IF(VLOOKUP(P452,βοηθητικό!$J$2:$N$354,3,FALSE)="","",VLOOKUP(P452,βοηθητικό!$J$2:$N$354,3,FALSE))</f>
        <v>_</v>
      </c>
      <c r="R452" s="44"/>
      <c r="S452" s="5" t="s">
        <v>16</v>
      </c>
      <c r="T452" s="46" t="str">
        <f>IF(VLOOKUP(S452,βοηθητικό!$J$2:$N$354,3,FALSE)="","",VLOOKUP(S452,βοηθητικό!$J$2:$N$354,3,FALSE))</f>
        <v>_</v>
      </c>
      <c r="U452" s="47"/>
      <c r="V452" s="4" t="s">
        <v>16</v>
      </c>
      <c r="W452" s="43" t="str">
        <f>IF(VLOOKUP(V452,βοηθητικό!$J$2:$N$354,3,FALSE)="","",VLOOKUP(V452,βοηθητικό!$J$2:$N$354,3,FALSE))</f>
        <v>_</v>
      </c>
      <c r="X452" s="44"/>
      <c r="Y452" s="5" t="s">
        <v>16</v>
      </c>
      <c r="Z452" s="46" t="str">
        <f>IF(VLOOKUP(Y452,βοηθητικό!$J$2:$N$354,3,FALSE)="","",VLOOKUP(Y452,βοηθητικό!$J$2:$N$354,3,FALSE))</f>
        <v>_</v>
      </c>
      <c r="AA452" s="47"/>
      <c r="AB452" s="4" t="s">
        <v>16</v>
      </c>
      <c r="AC452" s="43" t="str">
        <f>IF(VLOOKUP(AB452,βοηθητικό!$J$2:$N$354,3,FALSE)="","",VLOOKUP(AB452,βοηθητικό!$J$2:$N$354,3,FALSE))</f>
        <v>_</v>
      </c>
      <c r="AD452" s="44"/>
      <c r="AE452" s="5" t="s">
        <v>16</v>
      </c>
      <c r="AF452" s="46" t="str">
        <f>IF(VLOOKUP(AE452,βοηθητικό!$J$2:$N$354,3,FALSE)="","",VLOOKUP(AE452,βοηθητικό!$J$2:$N$354,3,FALSE))</f>
        <v>_</v>
      </c>
      <c r="AG452" s="47"/>
      <c r="AH452" s="4" t="s">
        <v>16</v>
      </c>
      <c r="AI452" s="43" t="str">
        <f>IF(VLOOKUP(AH452,βοηθητικό!$J$2:$N$354,3,FALSE)="","",VLOOKUP(AH452,βοηθητικό!$J$2:$N$354,3,FALSE))</f>
        <v>_</v>
      </c>
      <c r="AJ452" s="44"/>
      <c r="AK452" s="5" t="s">
        <v>16</v>
      </c>
      <c r="AL452" s="46" t="str">
        <f>IF(VLOOKUP(AK452,βοηθητικό!$J$2:$N$354,3,FALSE)="","",VLOOKUP(AK452,βοηθητικό!$J$2:$N$354,3,FALSE))</f>
        <v>_</v>
      </c>
      <c r="AM452" s="47"/>
      <c r="AN452" s="4" t="s">
        <v>16</v>
      </c>
      <c r="AO452" s="43" t="str">
        <f>IF(VLOOKUP(AN452,βοηθητικό!$J$2:$N$354,3,FALSE)="","",VLOOKUP(AN452,βοηθητικό!$J$2:$N$354,3,FALSE))</f>
        <v>_</v>
      </c>
      <c r="AP452" s="44"/>
      <c r="AQ452" s="5" t="s">
        <v>16</v>
      </c>
      <c r="AR452" s="46" t="str">
        <f>IF(VLOOKUP(AQ452,βοηθητικό!$J$2:$N$354,3,FALSE)="","",VLOOKUP(AQ452,βοηθητικό!$J$2:$N$354,3,FALSE))</f>
        <v>_</v>
      </c>
      <c r="AS452" s="47"/>
      <c r="AT452" s="4" t="s">
        <v>16</v>
      </c>
      <c r="AU452" s="43" t="str">
        <f>IF(VLOOKUP(AT452,βοηθητικό!$J$2:$N$354,3,FALSE)="","",VLOOKUP(AT452,βοηθητικό!$J$2:$N$354,3,FALSE))</f>
        <v>_</v>
      </c>
      <c r="AV452" s="44"/>
      <c r="AW452" s="5" t="s">
        <v>16</v>
      </c>
      <c r="AX452" s="46" t="str">
        <f>IF(VLOOKUP(AW452,βοηθητικό!$J$2:$N$354,3,FALSE)="","",VLOOKUP(AW452,βοηθητικό!$J$2:$N$354,3,FALSE))</f>
        <v>_</v>
      </c>
      <c r="AY452" s="47"/>
      <c r="AZ452" s="4" t="s">
        <v>16</v>
      </c>
      <c r="BA452" s="43" t="str">
        <f>IF(VLOOKUP(AZ452,βοηθητικό!$J$2:$N$354,3,FALSE)="","",VLOOKUP(AZ452,βοηθητικό!$J$2:$N$354,3,FALSE))</f>
        <v>_</v>
      </c>
      <c r="BB452" s="44"/>
      <c r="BC452" s="45" t="s">
        <v>16</v>
      </c>
      <c r="BD452" s="46" t="str">
        <f>IF(VLOOKUP(BC452,βοηθητικό!$J$2:$N$354,3,FALSE)="","",VLOOKUP(BC452,βοηθητικό!$J$2:$N$354,3,FALSE))</f>
        <v>_</v>
      </c>
      <c r="BE452" s="47"/>
      <c r="BF452" s="42" t="s">
        <v>16</v>
      </c>
      <c r="BG452" s="43" t="str">
        <f>IF(VLOOKUP(BF452,βοηθητικό!$J$2:$N$354,3,FALSE)="","",VLOOKUP(BF452,βοηθητικό!$J$2:$N$354,3,FALSE))</f>
        <v>_</v>
      </c>
      <c r="BH452" s="44"/>
      <c r="BI452" s="45" t="s">
        <v>16</v>
      </c>
      <c r="BJ452" s="46" t="str">
        <f>IF(VLOOKUP(BI452,βοηθητικό!$J$2:$N$354,3,FALSE)="","",VLOOKUP(BI452,βοηθητικό!$J$2:$N$354,3,FALSE))</f>
        <v>_</v>
      </c>
      <c r="BK452" s="47"/>
      <c r="BL452" s="42" t="s">
        <v>16</v>
      </c>
      <c r="BM452" s="43" t="str">
        <f>IF(VLOOKUP(BL452,βοηθητικό!$J$2:$N$354,3,FALSE)="","",VLOOKUP(BL452,βοηθητικό!$J$2:$N$354,3,FALSE))</f>
        <v>_</v>
      </c>
      <c r="BN452" s="44"/>
      <c r="BO452" s="45" t="s">
        <v>16</v>
      </c>
      <c r="BP452" s="46" t="str">
        <f>IF(VLOOKUP(BO452,βοηθητικό!$J$2:$N$354,3,FALSE)="","",VLOOKUP(BO452,βοηθητικό!$J$2:$N$354,3,FALSE))</f>
        <v>_</v>
      </c>
      <c r="BQ452" s="47"/>
      <c r="BR452" s="42" t="s">
        <v>16</v>
      </c>
      <c r="BS452" s="43" t="str">
        <f>IF(VLOOKUP(BR452,βοηθητικό!$J$2:$N$354,3,FALSE)="","",VLOOKUP(BR452,βοηθητικό!$J$2:$N$354,3,FALSE))</f>
        <v>_</v>
      </c>
      <c r="BT452" s="44"/>
      <c r="BU452" s="45" t="s">
        <v>16</v>
      </c>
      <c r="BV452" s="46" t="str">
        <f>IF(VLOOKUP(BU452,βοηθητικό!$J$2:$N$354,3,FALSE)="","",VLOOKUP(BU452,βοηθητικό!$J$2:$N$354,3,FALSE))</f>
        <v>_</v>
      </c>
      <c r="BW452" s="47"/>
      <c r="BX452" s="42" t="s">
        <v>16</v>
      </c>
      <c r="BY452" s="43" t="str">
        <f>IF(VLOOKUP(BX452,βοηθητικό!$J$2:$N$354,3,FALSE)="","",VLOOKUP(BX452,βοηθητικό!$J$2:$N$354,3,FALSE))</f>
        <v>_</v>
      </c>
      <c r="BZ452" s="44"/>
      <c r="CA452" s="45" t="s">
        <v>16</v>
      </c>
      <c r="CB452" s="46" t="str">
        <f>IF(VLOOKUP(CA452,βοηθητικό!$J$2:$N$354,3,FALSE)="","",VLOOKUP(CA452,βοηθητικό!$J$2:$N$354,3,FALSE))</f>
        <v>_</v>
      </c>
      <c r="CC452" s="47"/>
      <c r="CD452" s="42" t="s">
        <v>16</v>
      </c>
      <c r="CE452" s="43" t="str">
        <f>IF(VLOOKUP(CD452,βοηθητικό!$J$2:$N$354,3,FALSE)="","",VLOOKUP(CD452,βοηθητικό!$J$2:$N$354,3,FALSE))</f>
        <v>_</v>
      </c>
      <c r="CF452" s="44"/>
      <c r="CG452" s="45" t="s">
        <v>16</v>
      </c>
      <c r="CH452" s="46" t="str">
        <f>IF(VLOOKUP(CG452,βοηθητικό!$J$2:$N$354,3,FALSE)="","",VLOOKUP(CG452,βοηθητικό!$J$2:$N$354,3,FALSE))</f>
        <v>_</v>
      </c>
      <c r="CI452" s="47"/>
      <c r="CJ452" s="42" t="s">
        <v>16</v>
      </c>
      <c r="CK452" s="43" t="str">
        <f>IF(VLOOKUP(CJ452,βοηθητικό!$J$2:$N$354,3,FALSE)="","",VLOOKUP(CJ452,βοηθητικό!$J$2:$N$354,3,FALSE))</f>
        <v>_</v>
      </c>
      <c r="CL452" s="44"/>
      <c r="CM452" s="45" t="s">
        <v>16</v>
      </c>
      <c r="CN452" s="46" t="str">
        <f>IF(VLOOKUP(CM452,βοηθητικό!$J$2:$N$354,3,FALSE)="","",VLOOKUP(CM452,βοηθητικό!$J$2:$N$354,3,FALSE))</f>
        <v>_</v>
      </c>
      <c r="CO452" s="47"/>
      <c r="CP452" s="42" t="s">
        <v>16</v>
      </c>
      <c r="CQ452" s="43" t="str">
        <f>IF(VLOOKUP(CP452,βοηθητικό!$J$2:$N$354,3,FALSE)="","",VLOOKUP(CP452,βοηθητικό!$J$2:$N$354,3,FALSE))</f>
        <v>_</v>
      </c>
      <c r="CR452" s="44"/>
      <c r="CS452" s="45" t="s">
        <v>16</v>
      </c>
      <c r="CT452" s="46" t="str">
        <f>IF(VLOOKUP(CS452,βοηθητικό!$J$2:$N$354,3,FALSE)="","",VLOOKUP(CS452,βοηθητικό!$J$2:$N$354,3,FALSE))</f>
        <v>_</v>
      </c>
      <c r="CU452" s="47"/>
    </row>
    <row r="453" spans="1:99" x14ac:dyDescent="0.25">
      <c r="A453" s="37">
        <f>--SUBTOTAL(3,$B$3:B452)</f>
        <v>198</v>
      </c>
      <c r="B453" s="2"/>
      <c r="C453" s="3"/>
      <c r="D453" s="55" t="s">
        <v>18</v>
      </c>
      <c r="E453" s="38" t="s">
        <v>16</v>
      </c>
      <c r="F453" s="38" t="s">
        <v>16</v>
      </c>
      <c r="G453" s="39" t="str">
        <f t="shared" si="23"/>
        <v>__</v>
      </c>
      <c r="H453" s="40" t="str">
        <f t="shared" si="24"/>
        <v>FALSE</v>
      </c>
      <c r="I453" s="41">
        <f t="shared" si="25"/>
        <v>0</v>
      </c>
      <c r="J453" s="4" t="s">
        <v>16</v>
      </c>
      <c r="K453" s="43" t="str">
        <f>IF(VLOOKUP(J453,βοηθητικό!$J$2:$N$354,3,FALSE)="","",VLOOKUP(J453,βοηθητικό!$J$2:$N$354,3,FALSE))</f>
        <v>_</v>
      </c>
      <c r="L453" s="44"/>
      <c r="M453" s="5" t="s">
        <v>16</v>
      </c>
      <c r="N453" s="46" t="str">
        <f>IF(VLOOKUP(M453,βοηθητικό!$J$2:$N$354,3,FALSE)="","",VLOOKUP(M453,βοηθητικό!$J$2:$N$354,3,FALSE))</f>
        <v>_</v>
      </c>
      <c r="O453" s="47"/>
      <c r="P453" s="4" t="s">
        <v>16</v>
      </c>
      <c r="Q453" s="43" t="str">
        <f>IF(VLOOKUP(P453,βοηθητικό!$J$2:$N$354,3,FALSE)="","",VLOOKUP(P453,βοηθητικό!$J$2:$N$354,3,FALSE))</f>
        <v>_</v>
      </c>
      <c r="R453" s="44"/>
      <c r="S453" s="5" t="s">
        <v>16</v>
      </c>
      <c r="T453" s="46" t="str">
        <f>IF(VLOOKUP(S453,βοηθητικό!$J$2:$N$354,3,FALSE)="","",VLOOKUP(S453,βοηθητικό!$J$2:$N$354,3,FALSE))</f>
        <v>_</v>
      </c>
      <c r="U453" s="47"/>
      <c r="V453" s="4" t="s">
        <v>16</v>
      </c>
      <c r="W453" s="43" t="str">
        <f>IF(VLOOKUP(V453,βοηθητικό!$J$2:$N$354,3,FALSE)="","",VLOOKUP(V453,βοηθητικό!$J$2:$N$354,3,FALSE))</f>
        <v>_</v>
      </c>
      <c r="X453" s="44"/>
      <c r="Y453" s="5" t="s">
        <v>16</v>
      </c>
      <c r="Z453" s="46" t="str">
        <f>IF(VLOOKUP(Y453,βοηθητικό!$J$2:$N$354,3,FALSE)="","",VLOOKUP(Y453,βοηθητικό!$J$2:$N$354,3,FALSE))</f>
        <v>_</v>
      </c>
      <c r="AA453" s="47"/>
      <c r="AB453" s="4" t="s">
        <v>16</v>
      </c>
      <c r="AC453" s="43" t="str">
        <f>IF(VLOOKUP(AB453,βοηθητικό!$J$2:$N$354,3,FALSE)="","",VLOOKUP(AB453,βοηθητικό!$J$2:$N$354,3,FALSE))</f>
        <v>_</v>
      </c>
      <c r="AD453" s="44"/>
      <c r="AE453" s="5" t="s">
        <v>16</v>
      </c>
      <c r="AF453" s="46" t="str">
        <f>IF(VLOOKUP(AE453,βοηθητικό!$J$2:$N$354,3,FALSE)="","",VLOOKUP(AE453,βοηθητικό!$J$2:$N$354,3,FALSE))</f>
        <v>_</v>
      </c>
      <c r="AG453" s="47"/>
      <c r="AH453" s="4" t="s">
        <v>16</v>
      </c>
      <c r="AI453" s="43" t="str">
        <f>IF(VLOOKUP(AH453,βοηθητικό!$J$2:$N$354,3,FALSE)="","",VLOOKUP(AH453,βοηθητικό!$J$2:$N$354,3,FALSE))</f>
        <v>_</v>
      </c>
      <c r="AJ453" s="44"/>
      <c r="AK453" s="5" t="s">
        <v>16</v>
      </c>
      <c r="AL453" s="46" t="str">
        <f>IF(VLOOKUP(AK453,βοηθητικό!$J$2:$N$354,3,FALSE)="","",VLOOKUP(AK453,βοηθητικό!$J$2:$N$354,3,FALSE))</f>
        <v>_</v>
      </c>
      <c r="AM453" s="47"/>
      <c r="AN453" s="4" t="s">
        <v>16</v>
      </c>
      <c r="AO453" s="43" t="str">
        <f>IF(VLOOKUP(AN453,βοηθητικό!$J$2:$N$354,3,FALSE)="","",VLOOKUP(AN453,βοηθητικό!$J$2:$N$354,3,FALSE))</f>
        <v>_</v>
      </c>
      <c r="AP453" s="44"/>
      <c r="AQ453" s="5" t="s">
        <v>16</v>
      </c>
      <c r="AR453" s="46" t="str">
        <f>IF(VLOOKUP(AQ453,βοηθητικό!$J$2:$N$354,3,FALSE)="","",VLOOKUP(AQ453,βοηθητικό!$J$2:$N$354,3,FALSE))</f>
        <v>_</v>
      </c>
      <c r="AS453" s="47"/>
      <c r="AT453" s="4" t="s">
        <v>16</v>
      </c>
      <c r="AU453" s="43" t="str">
        <f>IF(VLOOKUP(AT453,βοηθητικό!$J$2:$N$354,3,FALSE)="","",VLOOKUP(AT453,βοηθητικό!$J$2:$N$354,3,FALSE))</f>
        <v>_</v>
      </c>
      <c r="AV453" s="44"/>
      <c r="AW453" s="5" t="s">
        <v>16</v>
      </c>
      <c r="AX453" s="46" t="str">
        <f>IF(VLOOKUP(AW453,βοηθητικό!$J$2:$N$354,3,FALSE)="","",VLOOKUP(AW453,βοηθητικό!$J$2:$N$354,3,FALSE))</f>
        <v>_</v>
      </c>
      <c r="AY453" s="47"/>
      <c r="AZ453" s="4" t="s">
        <v>16</v>
      </c>
      <c r="BA453" s="43" t="str">
        <f>IF(VLOOKUP(AZ453,βοηθητικό!$J$2:$N$354,3,FALSE)="","",VLOOKUP(AZ453,βοηθητικό!$J$2:$N$354,3,FALSE))</f>
        <v>_</v>
      </c>
      <c r="BB453" s="44"/>
      <c r="BC453" s="45" t="s">
        <v>16</v>
      </c>
      <c r="BD453" s="46" t="str">
        <f>IF(VLOOKUP(BC453,βοηθητικό!$J$2:$N$354,3,FALSE)="","",VLOOKUP(BC453,βοηθητικό!$J$2:$N$354,3,FALSE))</f>
        <v>_</v>
      </c>
      <c r="BE453" s="47"/>
      <c r="BF453" s="42" t="s">
        <v>16</v>
      </c>
      <c r="BG453" s="43" t="str">
        <f>IF(VLOOKUP(BF453,βοηθητικό!$J$2:$N$354,3,FALSE)="","",VLOOKUP(BF453,βοηθητικό!$J$2:$N$354,3,FALSE))</f>
        <v>_</v>
      </c>
      <c r="BH453" s="44"/>
      <c r="BI453" s="45" t="s">
        <v>16</v>
      </c>
      <c r="BJ453" s="46" t="str">
        <f>IF(VLOOKUP(BI453,βοηθητικό!$J$2:$N$354,3,FALSE)="","",VLOOKUP(BI453,βοηθητικό!$J$2:$N$354,3,FALSE))</f>
        <v>_</v>
      </c>
      <c r="BK453" s="47"/>
      <c r="BL453" s="42" t="s">
        <v>16</v>
      </c>
      <c r="BM453" s="43" t="str">
        <f>IF(VLOOKUP(BL453,βοηθητικό!$J$2:$N$354,3,FALSE)="","",VLOOKUP(BL453,βοηθητικό!$J$2:$N$354,3,FALSE))</f>
        <v>_</v>
      </c>
      <c r="BN453" s="44"/>
      <c r="BO453" s="45" t="s">
        <v>16</v>
      </c>
      <c r="BP453" s="46" t="str">
        <f>IF(VLOOKUP(BO453,βοηθητικό!$J$2:$N$354,3,FALSE)="","",VLOOKUP(BO453,βοηθητικό!$J$2:$N$354,3,FALSE))</f>
        <v>_</v>
      </c>
      <c r="BQ453" s="47"/>
      <c r="BR453" s="42" t="s">
        <v>16</v>
      </c>
      <c r="BS453" s="43" t="str">
        <f>IF(VLOOKUP(BR453,βοηθητικό!$J$2:$N$354,3,FALSE)="","",VLOOKUP(BR453,βοηθητικό!$J$2:$N$354,3,FALSE))</f>
        <v>_</v>
      </c>
      <c r="BT453" s="44"/>
      <c r="BU453" s="45" t="s">
        <v>16</v>
      </c>
      <c r="BV453" s="46" t="str">
        <f>IF(VLOOKUP(BU453,βοηθητικό!$J$2:$N$354,3,FALSE)="","",VLOOKUP(BU453,βοηθητικό!$J$2:$N$354,3,FALSE))</f>
        <v>_</v>
      </c>
      <c r="BW453" s="47"/>
      <c r="BX453" s="42" t="s">
        <v>16</v>
      </c>
      <c r="BY453" s="43" t="str">
        <f>IF(VLOOKUP(BX453,βοηθητικό!$J$2:$N$354,3,FALSE)="","",VLOOKUP(BX453,βοηθητικό!$J$2:$N$354,3,FALSE))</f>
        <v>_</v>
      </c>
      <c r="BZ453" s="44"/>
      <c r="CA453" s="45" t="s">
        <v>16</v>
      </c>
      <c r="CB453" s="46" t="str">
        <f>IF(VLOOKUP(CA453,βοηθητικό!$J$2:$N$354,3,FALSE)="","",VLOOKUP(CA453,βοηθητικό!$J$2:$N$354,3,FALSE))</f>
        <v>_</v>
      </c>
      <c r="CC453" s="47"/>
      <c r="CD453" s="42" t="s">
        <v>16</v>
      </c>
      <c r="CE453" s="43" t="str">
        <f>IF(VLOOKUP(CD453,βοηθητικό!$J$2:$N$354,3,FALSE)="","",VLOOKUP(CD453,βοηθητικό!$J$2:$N$354,3,FALSE))</f>
        <v>_</v>
      </c>
      <c r="CF453" s="44"/>
      <c r="CG453" s="45" t="s">
        <v>16</v>
      </c>
      <c r="CH453" s="46" t="str">
        <f>IF(VLOOKUP(CG453,βοηθητικό!$J$2:$N$354,3,FALSE)="","",VLOOKUP(CG453,βοηθητικό!$J$2:$N$354,3,FALSE))</f>
        <v>_</v>
      </c>
      <c r="CI453" s="47"/>
      <c r="CJ453" s="42" t="s">
        <v>16</v>
      </c>
      <c r="CK453" s="43" t="str">
        <f>IF(VLOOKUP(CJ453,βοηθητικό!$J$2:$N$354,3,FALSE)="","",VLOOKUP(CJ453,βοηθητικό!$J$2:$N$354,3,FALSE))</f>
        <v>_</v>
      </c>
      <c r="CL453" s="44"/>
      <c r="CM453" s="45" t="s">
        <v>16</v>
      </c>
      <c r="CN453" s="46" t="str">
        <f>IF(VLOOKUP(CM453,βοηθητικό!$J$2:$N$354,3,FALSE)="","",VLOOKUP(CM453,βοηθητικό!$J$2:$N$354,3,FALSE))</f>
        <v>_</v>
      </c>
      <c r="CO453" s="47"/>
      <c r="CP453" s="42" t="s">
        <v>16</v>
      </c>
      <c r="CQ453" s="43" t="str">
        <f>IF(VLOOKUP(CP453,βοηθητικό!$J$2:$N$354,3,FALSE)="","",VLOOKUP(CP453,βοηθητικό!$J$2:$N$354,3,FALSE))</f>
        <v>_</v>
      </c>
      <c r="CR453" s="44"/>
      <c r="CS453" s="45" t="s">
        <v>16</v>
      </c>
      <c r="CT453" s="46" t="str">
        <f>IF(VLOOKUP(CS453,βοηθητικό!$J$2:$N$354,3,FALSE)="","",VLOOKUP(CS453,βοηθητικό!$J$2:$N$354,3,FALSE))</f>
        <v>_</v>
      </c>
      <c r="CU453" s="47"/>
    </row>
    <row r="454" spans="1:99" x14ac:dyDescent="0.25">
      <c r="A454" s="37">
        <f>--SUBTOTAL(3,$B$3:B453)</f>
        <v>198</v>
      </c>
      <c r="B454" s="2"/>
      <c r="C454" s="3"/>
      <c r="D454" s="55" t="s">
        <v>18</v>
      </c>
      <c r="E454" s="38" t="s">
        <v>16</v>
      </c>
      <c r="F454" s="38" t="s">
        <v>16</v>
      </c>
      <c r="G454" s="39" t="str">
        <f t="shared" si="23"/>
        <v>__</v>
      </c>
      <c r="H454" s="40" t="str">
        <f t="shared" si="24"/>
        <v>FALSE</v>
      </c>
      <c r="I454" s="41">
        <f t="shared" si="25"/>
        <v>0</v>
      </c>
      <c r="J454" s="4" t="s">
        <v>16</v>
      </c>
      <c r="K454" s="43" t="str">
        <f>IF(VLOOKUP(J454,βοηθητικό!$J$2:$N$354,3,FALSE)="","",VLOOKUP(J454,βοηθητικό!$J$2:$N$354,3,FALSE))</f>
        <v>_</v>
      </c>
      <c r="L454" s="44"/>
      <c r="M454" s="5" t="s">
        <v>16</v>
      </c>
      <c r="N454" s="46" t="str">
        <f>IF(VLOOKUP(M454,βοηθητικό!$J$2:$N$354,3,FALSE)="","",VLOOKUP(M454,βοηθητικό!$J$2:$N$354,3,FALSE))</f>
        <v>_</v>
      </c>
      <c r="O454" s="47"/>
      <c r="P454" s="4" t="s">
        <v>16</v>
      </c>
      <c r="Q454" s="43" t="str">
        <f>IF(VLOOKUP(P454,βοηθητικό!$J$2:$N$354,3,FALSE)="","",VLOOKUP(P454,βοηθητικό!$J$2:$N$354,3,FALSE))</f>
        <v>_</v>
      </c>
      <c r="R454" s="44"/>
      <c r="S454" s="5" t="s">
        <v>16</v>
      </c>
      <c r="T454" s="46" t="str">
        <f>IF(VLOOKUP(S454,βοηθητικό!$J$2:$N$354,3,FALSE)="","",VLOOKUP(S454,βοηθητικό!$J$2:$N$354,3,FALSE))</f>
        <v>_</v>
      </c>
      <c r="U454" s="47"/>
      <c r="V454" s="4" t="s">
        <v>16</v>
      </c>
      <c r="W454" s="43" t="str">
        <f>IF(VLOOKUP(V454,βοηθητικό!$J$2:$N$354,3,FALSE)="","",VLOOKUP(V454,βοηθητικό!$J$2:$N$354,3,FALSE))</f>
        <v>_</v>
      </c>
      <c r="X454" s="44"/>
      <c r="Y454" s="5" t="s">
        <v>16</v>
      </c>
      <c r="Z454" s="46" t="str">
        <f>IF(VLOOKUP(Y454,βοηθητικό!$J$2:$N$354,3,FALSE)="","",VLOOKUP(Y454,βοηθητικό!$J$2:$N$354,3,FALSE))</f>
        <v>_</v>
      </c>
      <c r="AA454" s="47"/>
      <c r="AB454" s="4" t="s">
        <v>16</v>
      </c>
      <c r="AC454" s="43" t="str">
        <f>IF(VLOOKUP(AB454,βοηθητικό!$J$2:$N$354,3,FALSE)="","",VLOOKUP(AB454,βοηθητικό!$J$2:$N$354,3,FALSE))</f>
        <v>_</v>
      </c>
      <c r="AD454" s="44"/>
      <c r="AE454" s="5" t="s">
        <v>16</v>
      </c>
      <c r="AF454" s="46" t="str">
        <f>IF(VLOOKUP(AE454,βοηθητικό!$J$2:$N$354,3,FALSE)="","",VLOOKUP(AE454,βοηθητικό!$J$2:$N$354,3,FALSE))</f>
        <v>_</v>
      </c>
      <c r="AG454" s="47"/>
      <c r="AH454" s="4" t="s">
        <v>16</v>
      </c>
      <c r="AI454" s="43" t="str">
        <f>IF(VLOOKUP(AH454,βοηθητικό!$J$2:$N$354,3,FALSE)="","",VLOOKUP(AH454,βοηθητικό!$J$2:$N$354,3,FALSE))</f>
        <v>_</v>
      </c>
      <c r="AJ454" s="44"/>
      <c r="AK454" s="5" t="s">
        <v>16</v>
      </c>
      <c r="AL454" s="46" t="str">
        <f>IF(VLOOKUP(AK454,βοηθητικό!$J$2:$N$354,3,FALSE)="","",VLOOKUP(AK454,βοηθητικό!$J$2:$N$354,3,FALSE))</f>
        <v>_</v>
      </c>
      <c r="AM454" s="47"/>
      <c r="AN454" s="4" t="s">
        <v>16</v>
      </c>
      <c r="AO454" s="43" t="str">
        <f>IF(VLOOKUP(AN454,βοηθητικό!$J$2:$N$354,3,FALSE)="","",VLOOKUP(AN454,βοηθητικό!$J$2:$N$354,3,FALSE))</f>
        <v>_</v>
      </c>
      <c r="AP454" s="44"/>
      <c r="AQ454" s="5" t="s">
        <v>16</v>
      </c>
      <c r="AR454" s="46" t="str">
        <f>IF(VLOOKUP(AQ454,βοηθητικό!$J$2:$N$354,3,FALSE)="","",VLOOKUP(AQ454,βοηθητικό!$J$2:$N$354,3,FALSE))</f>
        <v>_</v>
      </c>
      <c r="AS454" s="47"/>
      <c r="AT454" s="4" t="s">
        <v>16</v>
      </c>
      <c r="AU454" s="43" t="str">
        <f>IF(VLOOKUP(AT454,βοηθητικό!$J$2:$N$354,3,FALSE)="","",VLOOKUP(AT454,βοηθητικό!$J$2:$N$354,3,FALSE))</f>
        <v>_</v>
      </c>
      <c r="AV454" s="44"/>
      <c r="AW454" s="5" t="s">
        <v>16</v>
      </c>
      <c r="AX454" s="46" t="str">
        <f>IF(VLOOKUP(AW454,βοηθητικό!$J$2:$N$354,3,FALSE)="","",VLOOKUP(AW454,βοηθητικό!$J$2:$N$354,3,FALSE))</f>
        <v>_</v>
      </c>
      <c r="AY454" s="47"/>
      <c r="AZ454" s="4" t="s">
        <v>16</v>
      </c>
      <c r="BA454" s="43" t="str">
        <f>IF(VLOOKUP(AZ454,βοηθητικό!$J$2:$N$354,3,FALSE)="","",VLOOKUP(AZ454,βοηθητικό!$J$2:$N$354,3,FALSE))</f>
        <v>_</v>
      </c>
      <c r="BB454" s="44"/>
      <c r="BC454" s="45" t="s">
        <v>16</v>
      </c>
      <c r="BD454" s="46" t="str">
        <f>IF(VLOOKUP(BC454,βοηθητικό!$J$2:$N$354,3,FALSE)="","",VLOOKUP(BC454,βοηθητικό!$J$2:$N$354,3,FALSE))</f>
        <v>_</v>
      </c>
      <c r="BE454" s="47"/>
      <c r="BF454" s="42" t="s">
        <v>16</v>
      </c>
      <c r="BG454" s="43" t="str">
        <f>IF(VLOOKUP(BF454,βοηθητικό!$J$2:$N$354,3,FALSE)="","",VLOOKUP(BF454,βοηθητικό!$J$2:$N$354,3,FALSE))</f>
        <v>_</v>
      </c>
      <c r="BH454" s="44"/>
      <c r="BI454" s="45" t="s">
        <v>16</v>
      </c>
      <c r="BJ454" s="46" t="str">
        <f>IF(VLOOKUP(BI454,βοηθητικό!$J$2:$N$354,3,FALSE)="","",VLOOKUP(BI454,βοηθητικό!$J$2:$N$354,3,FALSE))</f>
        <v>_</v>
      </c>
      <c r="BK454" s="47"/>
      <c r="BL454" s="42" t="s">
        <v>16</v>
      </c>
      <c r="BM454" s="43" t="str">
        <f>IF(VLOOKUP(BL454,βοηθητικό!$J$2:$N$354,3,FALSE)="","",VLOOKUP(BL454,βοηθητικό!$J$2:$N$354,3,FALSE))</f>
        <v>_</v>
      </c>
      <c r="BN454" s="44"/>
      <c r="BO454" s="45" t="s">
        <v>16</v>
      </c>
      <c r="BP454" s="46" t="str">
        <f>IF(VLOOKUP(BO454,βοηθητικό!$J$2:$N$354,3,FALSE)="","",VLOOKUP(BO454,βοηθητικό!$J$2:$N$354,3,FALSE))</f>
        <v>_</v>
      </c>
      <c r="BQ454" s="47"/>
      <c r="BR454" s="42" t="s">
        <v>16</v>
      </c>
      <c r="BS454" s="43" t="str">
        <f>IF(VLOOKUP(BR454,βοηθητικό!$J$2:$N$354,3,FALSE)="","",VLOOKUP(BR454,βοηθητικό!$J$2:$N$354,3,FALSE))</f>
        <v>_</v>
      </c>
      <c r="BT454" s="44"/>
      <c r="BU454" s="45" t="s">
        <v>16</v>
      </c>
      <c r="BV454" s="46" t="str">
        <f>IF(VLOOKUP(BU454,βοηθητικό!$J$2:$N$354,3,FALSE)="","",VLOOKUP(BU454,βοηθητικό!$J$2:$N$354,3,FALSE))</f>
        <v>_</v>
      </c>
      <c r="BW454" s="47"/>
      <c r="BX454" s="42" t="s">
        <v>16</v>
      </c>
      <c r="BY454" s="43" t="str">
        <f>IF(VLOOKUP(BX454,βοηθητικό!$J$2:$N$354,3,FALSE)="","",VLOOKUP(BX454,βοηθητικό!$J$2:$N$354,3,FALSE))</f>
        <v>_</v>
      </c>
      <c r="BZ454" s="44"/>
      <c r="CA454" s="45" t="s">
        <v>16</v>
      </c>
      <c r="CB454" s="46" t="str">
        <f>IF(VLOOKUP(CA454,βοηθητικό!$J$2:$N$354,3,FALSE)="","",VLOOKUP(CA454,βοηθητικό!$J$2:$N$354,3,FALSE))</f>
        <v>_</v>
      </c>
      <c r="CC454" s="47"/>
      <c r="CD454" s="42" t="s">
        <v>16</v>
      </c>
      <c r="CE454" s="43" t="str">
        <f>IF(VLOOKUP(CD454,βοηθητικό!$J$2:$N$354,3,FALSE)="","",VLOOKUP(CD454,βοηθητικό!$J$2:$N$354,3,FALSE))</f>
        <v>_</v>
      </c>
      <c r="CF454" s="44"/>
      <c r="CG454" s="45" t="s">
        <v>16</v>
      </c>
      <c r="CH454" s="46" t="str">
        <f>IF(VLOOKUP(CG454,βοηθητικό!$J$2:$N$354,3,FALSE)="","",VLOOKUP(CG454,βοηθητικό!$J$2:$N$354,3,FALSE))</f>
        <v>_</v>
      </c>
      <c r="CI454" s="47"/>
      <c r="CJ454" s="42" t="s">
        <v>16</v>
      </c>
      <c r="CK454" s="43" t="str">
        <f>IF(VLOOKUP(CJ454,βοηθητικό!$J$2:$N$354,3,FALSE)="","",VLOOKUP(CJ454,βοηθητικό!$J$2:$N$354,3,FALSE))</f>
        <v>_</v>
      </c>
      <c r="CL454" s="44"/>
      <c r="CM454" s="45" t="s">
        <v>16</v>
      </c>
      <c r="CN454" s="46" t="str">
        <f>IF(VLOOKUP(CM454,βοηθητικό!$J$2:$N$354,3,FALSE)="","",VLOOKUP(CM454,βοηθητικό!$J$2:$N$354,3,FALSE))</f>
        <v>_</v>
      </c>
      <c r="CO454" s="47"/>
      <c r="CP454" s="42" t="s">
        <v>16</v>
      </c>
      <c r="CQ454" s="43" t="str">
        <f>IF(VLOOKUP(CP454,βοηθητικό!$J$2:$N$354,3,FALSE)="","",VLOOKUP(CP454,βοηθητικό!$J$2:$N$354,3,FALSE))</f>
        <v>_</v>
      </c>
      <c r="CR454" s="44"/>
      <c r="CS454" s="45" t="s">
        <v>16</v>
      </c>
      <c r="CT454" s="46" t="str">
        <f>IF(VLOOKUP(CS454,βοηθητικό!$J$2:$N$354,3,FALSE)="","",VLOOKUP(CS454,βοηθητικό!$J$2:$N$354,3,FALSE))</f>
        <v>_</v>
      </c>
      <c r="CU454" s="47"/>
    </row>
    <row r="455" spans="1:99" x14ac:dyDescent="0.25">
      <c r="A455" s="37">
        <f>--SUBTOTAL(3,$B$3:B454)</f>
        <v>198</v>
      </c>
      <c r="B455" s="2"/>
      <c r="C455" s="3"/>
      <c r="D455" s="55" t="s">
        <v>18</v>
      </c>
      <c r="E455" s="38" t="s">
        <v>16</v>
      </c>
      <c r="F455" s="38" t="s">
        <v>16</v>
      </c>
      <c r="G455" s="39" t="str">
        <f t="shared" si="23"/>
        <v>__</v>
      </c>
      <c r="H455" s="40" t="str">
        <f t="shared" si="24"/>
        <v>FALSE</v>
      </c>
      <c r="I455" s="41">
        <f t="shared" si="25"/>
        <v>0</v>
      </c>
      <c r="J455" s="4" t="s">
        <v>16</v>
      </c>
      <c r="K455" s="43" t="str">
        <f>IF(VLOOKUP(J455,βοηθητικό!$J$2:$N$354,3,FALSE)="","",VLOOKUP(J455,βοηθητικό!$J$2:$N$354,3,FALSE))</f>
        <v>_</v>
      </c>
      <c r="L455" s="44"/>
      <c r="M455" s="5" t="s">
        <v>16</v>
      </c>
      <c r="N455" s="46" t="str">
        <f>IF(VLOOKUP(M455,βοηθητικό!$J$2:$N$354,3,FALSE)="","",VLOOKUP(M455,βοηθητικό!$J$2:$N$354,3,FALSE))</f>
        <v>_</v>
      </c>
      <c r="O455" s="47"/>
      <c r="P455" s="4" t="s">
        <v>16</v>
      </c>
      <c r="Q455" s="43" t="str">
        <f>IF(VLOOKUP(P455,βοηθητικό!$J$2:$N$354,3,FALSE)="","",VLOOKUP(P455,βοηθητικό!$J$2:$N$354,3,FALSE))</f>
        <v>_</v>
      </c>
      <c r="R455" s="44"/>
      <c r="S455" s="5" t="s">
        <v>16</v>
      </c>
      <c r="T455" s="46" t="str">
        <f>IF(VLOOKUP(S455,βοηθητικό!$J$2:$N$354,3,FALSE)="","",VLOOKUP(S455,βοηθητικό!$J$2:$N$354,3,FALSE))</f>
        <v>_</v>
      </c>
      <c r="U455" s="47"/>
      <c r="V455" s="4" t="s">
        <v>16</v>
      </c>
      <c r="W455" s="43" t="str">
        <f>IF(VLOOKUP(V455,βοηθητικό!$J$2:$N$354,3,FALSE)="","",VLOOKUP(V455,βοηθητικό!$J$2:$N$354,3,FALSE))</f>
        <v>_</v>
      </c>
      <c r="X455" s="44"/>
      <c r="Y455" s="5" t="s">
        <v>16</v>
      </c>
      <c r="Z455" s="46" t="str">
        <f>IF(VLOOKUP(Y455,βοηθητικό!$J$2:$N$354,3,FALSE)="","",VLOOKUP(Y455,βοηθητικό!$J$2:$N$354,3,FALSE))</f>
        <v>_</v>
      </c>
      <c r="AA455" s="47"/>
      <c r="AB455" s="4" t="s">
        <v>16</v>
      </c>
      <c r="AC455" s="43" t="str">
        <f>IF(VLOOKUP(AB455,βοηθητικό!$J$2:$N$354,3,FALSE)="","",VLOOKUP(AB455,βοηθητικό!$J$2:$N$354,3,FALSE))</f>
        <v>_</v>
      </c>
      <c r="AD455" s="44"/>
      <c r="AE455" s="5" t="s">
        <v>16</v>
      </c>
      <c r="AF455" s="46" t="str">
        <f>IF(VLOOKUP(AE455,βοηθητικό!$J$2:$N$354,3,FALSE)="","",VLOOKUP(AE455,βοηθητικό!$J$2:$N$354,3,FALSE))</f>
        <v>_</v>
      </c>
      <c r="AG455" s="47"/>
      <c r="AH455" s="4" t="s">
        <v>16</v>
      </c>
      <c r="AI455" s="43" t="str">
        <f>IF(VLOOKUP(AH455,βοηθητικό!$J$2:$N$354,3,FALSE)="","",VLOOKUP(AH455,βοηθητικό!$J$2:$N$354,3,FALSE))</f>
        <v>_</v>
      </c>
      <c r="AJ455" s="44"/>
      <c r="AK455" s="5" t="s">
        <v>16</v>
      </c>
      <c r="AL455" s="46" t="str">
        <f>IF(VLOOKUP(AK455,βοηθητικό!$J$2:$N$354,3,FALSE)="","",VLOOKUP(AK455,βοηθητικό!$J$2:$N$354,3,FALSE))</f>
        <v>_</v>
      </c>
      <c r="AM455" s="47"/>
      <c r="AN455" s="4" t="s">
        <v>16</v>
      </c>
      <c r="AO455" s="43" t="str">
        <f>IF(VLOOKUP(AN455,βοηθητικό!$J$2:$N$354,3,FALSE)="","",VLOOKUP(AN455,βοηθητικό!$J$2:$N$354,3,FALSE))</f>
        <v>_</v>
      </c>
      <c r="AP455" s="44"/>
      <c r="AQ455" s="5" t="s">
        <v>16</v>
      </c>
      <c r="AR455" s="46" t="str">
        <f>IF(VLOOKUP(AQ455,βοηθητικό!$J$2:$N$354,3,FALSE)="","",VLOOKUP(AQ455,βοηθητικό!$J$2:$N$354,3,FALSE))</f>
        <v>_</v>
      </c>
      <c r="AS455" s="47"/>
      <c r="AT455" s="4" t="s">
        <v>16</v>
      </c>
      <c r="AU455" s="43" t="str">
        <f>IF(VLOOKUP(AT455,βοηθητικό!$J$2:$N$354,3,FALSE)="","",VLOOKUP(AT455,βοηθητικό!$J$2:$N$354,3,FALSE))</f>
        <v>_</v>
      </c>
      <c r="AV455" s="44"/>
      <c r="AW455" s="5" t="s">
        <v>16</v>
      </c>
      <c r="AX455" s="46" t="str">
        <f>IF(VLOOKUP(AW455,βοηθητικό!$J$2:$N$354,3,FALSE)="","",VLOOKUP(AW455,βοηθητικό!$J$2:$N$354,3,FALSE))</f>
        <v>_</v>
      </c>
      <c r="AY455" s="47"/>
      <c r="AZ455" s="4" t="s">
        <v>16</v>
      </c>
      <c r="BA455" s="43" t="str">
        <f>IF(VLOOKUP(AZ455,βοηθητικό!$J$2:$N$354,3,FALSE)="","",VLOOKUP(AZ455,βοηθητικό!$J$2:$N$354,3,FALSE))</f>
        <v>_</v>
      </c>
      <c r="BB455" s="44"/>
      <c r="BC455" s="45" t="s">
        <v>16</v>
      </c>
      <c r="BD455" s="46" t="str">
        <f>IF(VLOOKUP(BC455,βοηθητικό!$J$2:$N$354,3,FALSE)="","",VLOOKUP(BC455,βοηθητικό!$J$2:$N$354,3,FALSE))</f>
        <v>_</v>
      </c>
      <c r="BE455" s="47"/>
      <c r="BF455" s="42" t="s">
        <v>16</v>
      </c>
      <c r="BG455" s="43" t="str">
        <f>IF(VLOOKUP(BF455,βοηθητικό!$J$2:$N$354,3,FALSE)="","",VLOOKUP(BF455,βοηθητικό!$J$2:$N$354,3,FALSE))</f>
        <v>_</v>
      </c>
      <c r="BH455" s="44"/>
      <c r="BI455" s="45" t="s">
        <v>16</v>
      </c>
      <c r="BJ455" s="46" t="str">
        <f>IF(VLOOKUP(BI455,βοηθητικό!$J$2:$N$354,3,FALSE)="","",VLOOKUP(BI455,βοηθητικό!$J$2:$N$354,3,FALSE))</f>
        <v>_</v>
      </c>
      <c r="BK455" s="47"/>
      <c r="BL455" s="42" t="s">
        <v>16</v>
      </c>
      <c r="BM455" s="43" t="str">
        <f>IF(VLOOKUP(BL455,βοηθητικό!$J$2:$N$354,3,FALSE)="","",VLOOKUP(BL455,βοηθητικό!$J$2:$N$354,3,FALSE))</f>
        <v>_</v>
      </c>
      <c r="BN455" s="44"/>
      <c r="BO455" s="45" t="s">
        <v>16</v>
      </c>
      <c r="BP455" s="46" t="str">
        <f>IF(VLOOKUP(BO455,βοηθητικό!$J$2:$N$354,3,FALSE)="","",VLOOKUP(BO455,βοηθητικό!$J$2:$N$354,3,FALSE))</f>
        <v>_</v>
      </c>
      <c r="BQ455" s="47"/>
      <c r="BR455" s="42" t="s">
        <v>16</v>
      </c>
      <c r="BS455" s="43" t="str">
        <f>IF(VLOOKUP(BR455,βοηθητικό!$J$2:$N$354,3,FALSE)="","",VLOOKUP(BR455,βοηθητικό!$J$2:$N$354,3,FALSE))</f>
        <v>_</v>
      </c>
      <c r="BT455" s="44"/>
      <c r="BU455" s="45" t="s">
        <v>16</v>
      </c>
      <c r="BV455" s="46" t="str">
        <f>IF(VLOOKUP(BU455,βοηθητικό!$J$2:$N$354,3,FALSE)="","",VLOOKUP(BU455,βοηθητικό!$J$2:$N$354,3,FALSE))</f>
        <v>_</v>
      </c>
      <c r="BW455" s="47"/>
      <c r="BX455" s="42" t="s">
        <v>16</v>
      </c>
      <c r="BY455" s="43" t="str">
        <f>IF(VLOOKUP(BX455,βοηθητικό!$J$2:$N$354,3,FALSE)="","",VLOOKUP(BX455,βοηθητικό!$J$2:$N$354,3,FALSE))</f>
        <v>_</v>
      </c>
      <c r="BZ455" s="44"/>
      <c r="CA455" s="45" t="s">
        <v>16</v>
      </c>
      <c r="CB455" s="46" t="str">
        <f>IF(VLOOKUP(CA455,βοηθητικό!$J$2:$N$354,3,FALSE)="","",VLOOKUP(CA455,βοηθητικό!$J$2:$N$354,3,FALSE))</f>
        <v>_</v>
      </c>
      <c r="CC455" s="47"/>
      <c r="CD455" s="42" t="s">
        <v>16</v>
      </c>
      <c r="CE455" s="43" t="str">
        <f>IF(VLOOKUP(CD455,βοηθητικό!$J$2:$N$354,3,FALSE)="","",VLOOKUP(CD455,βοηθητικό!$J$2:$N$354,3,FALSE))</f>
        <v>_</v>
      </c>
      <c r="CF455" s="44"/>
      <c r="CG455" s="45" t="s">
        <v>16</v>
      </c>
      <c r="CH455" s="46" t="str">
        <f>IF(VLOOKUP(CG455,βοηθητικό!$J$2:$N$354,3,FALSE)="","",VLOOKUP(CG455,βοηθητικό!$J$2:$N$354,3,FALSE))</f>
        <v>_</v>
      </c>
      <c r="CI455" s="47"/>
      <c r="CJ455" s="42" t="s">
        <v>16</v>
      </c>
      <c r="CK455" s="43" t="str">
        <f>IF(VLOOKUP(CJ455,βοηθητικό!$J$2:$N$354,3,FALSE)="","",VLOOKUP(CJ455,βοηθητικό!$J$2:$N$354,3,FALSE))</f>
        <v>_</v>
      </c>
      <c r="CL455" s="44"/>
      <c r="CM455" s="45" t="s">
        <v>16</v>
      </c>
      <c r="CN455" s="46" t="str">
        <f>IF(VLOOKUP(CM455,βοηθητικό!$J$2:$N$354,3,FALSE)="","",VLOOKUP(CM455,βοηθητικό!$J$2:$N$354,3,FALSE))</f>
        <v>_</v>
      </c>
      <c r="CO455" s="47"/>
      <c r="CP455" s="42" t="s">
        <v>16</v>
      </c>
      <c r="CQ455" s="43" t="str">
        <f>IF(VLOOKUP(CP455,βοηθητικό!$J$2:$N$354,3,FALSE)="","",VLOOKUP(CP455,βοηθητικό!$J$2:$N$354,3,FALSE))</f>
        <v>_</v>
      </c>
      <c r="CR455" s="44"/>
      <c r="CS455" s="45" t="s">
        <v>16</v>
      </c>
      <c r="CT455" s="46" t="str">
        <f>IF(VLOOKUP(CS455,βοηθητικό!$J$2:$N$354,3,FALSE)="","",VLOOKUP(CS455,βοηθητικό!$J$2:$N$354,3,FALSE))</f>
        <v>_</v>
      </c>
      <c r="CU455" s="47"/>
    </row>
    <row r="456" spans="1:99" x14ac:dyDescent="0.25">
      <c r="A456" s="37">
        <f>--SUBTOTAL(3,$B$3:B455)</f>
        <v>198</v>
      </c>
      <c r="B456" s="2"/>
      <c r="C456" s="3"/>
      <c r="D456" s="55" t="s">
        <v>18</v>
      </c>
      <c r="E456" s="38" t="s">
        <v>16</v>
      </c>
      <c r="F456" s="38" t="s">
        <v>16</v>
      </c>
      <c r="G456" s="39" t="str">
        <f t="shared" si="23"/>
        <v>__</v>
      </c>
      <c r="H456" s="40" t="str">
        <f t="shared" si="24"/>
        <v>FALSE</v>
      </c>
      <c r="I456" s="41">
        <f t="shared" si="25"/>
        <v>0</v>
      </c>
      <c r="J456" s="4" t="s">
        <v>16</v>
      </c>
      <c r="K456" s="43" t="str">
        <f>IF(VLOOKUP(J456,βοηθητικό!$J$2:$N$354,3,FALSE)="","",VLOOKUP(J456,βοηθητικό!$J$2:$N$354,3,FALSE))</f>
        <v>_</v>
      </c>
      <c r="L456" s="44"/>
      <c r="M456" s="5" t="s">
        <v>16</v>
      </c>
      <c r="N456" s="46" t="str">
        <f>IF(VLOOKUP(M456,βοηθητικό!$J$2:$N$354,3,FALSE)="","",VLOOKUP(M456,βοηθητικό!$J$2:$N$354,3,FALSE))</f>
        <v>_</v>
      </c>
      <c r="O456" s="47"/>
      <c r="P456" s="4" t="s">
        <v>16</v>
      </c>
      <c r="Q456" s="43" t="str">
        <f>IF(VLOOKUP(P456,βοηθητικό!$J$2:$N$354,3,FALSE)="","",VLOOKUP(P456,βοηθητικό!$J$2:$N$354,3,FALSE))</f>
        <v>_</v>
      </c>
      <c r="R456" s="44"/>
      <c r="S456" s="5" t="s">
        <v>16</v>
      </c>
      <c r="T456" s="46" t="str">
        <f>IF(VLOOKUP(S456,βοηθητικό!$J$2:$N$354,3,FALSE)="","",VLOOKUP(S456,βοηθητικό!$J$2:$N$354,3,FALSE))</f>
        <v>_</v>
      </c>
      <c r="U456" s="47"/>
      <c r="V456" s="4" t="s">
        <v>16</v>
      </c>
      <c r="W456" s="43" t="str">
        <f>IF(VLOOKUP(V456,βοηθητικό!$J$2:$N$354,3,FALSE)="","",VLOOKUP(V456,βοηθητικό!$J$2:$N$354,3,FALSE))</f>
        <v>_</v>
      </c>
      <c r="X456" s="44"/>
      <c r="Y456" s="5" t="s">
        <v>16</v>
      </c>
      <c r="Z456" s="46" t="str">
        <f>IF(VLOOKUP(Y456,βοηθητικό!$J$2:$N$354,3,FALSE)="","",VLOOKUP(Y456,βοηθητικό!$J$2:$N$354,3,FALSE))</f>
        <v>_</v>
      </c>
      <c r="AA456" s="47"/>
      <c r="AB456" s="4" t="s">
        <v>16</v>
      </c>
      <c r="AC456" s="43" t="str">
        <f>IF(VLOOKUP(AB456,βοηθητικό!$J$2:$N$354,3,FALSE)="","",VLOOKUP(AB456,βοηθητικό!$J$2:$N$354,3,FALSE))</f>
        <v>_</v>
      </c>
      <c r="AD456" s="44"/>
      <c r="AE456" s="5" t="s">
        <v>16</v>
      </c>
      <c r="AF456" s="46" t="str">
        <f>IF(VLOOKUP(AE456,βοηθητικό!$J$2:$N$354,3,FALSE)="","",VLOOKUP(AE456,βοηθητικό!$J$2:$N$354,3,FALSE))</f>
        <v>_</v>
      </c>
      <c r="AG456" s="47"/>
      <c r="AH456" s="4" t="s">
        <v>16</v>
      </c>
      <c r="AI456" s="43" t="str">
        <f>IF(VLOOKUP(AH456,βοηθητικό!$J$2:$N$354,3,FALSE)="","",VLOOKUP(AH456,βοηθητικό!$J$2:$N$354,3,FALSE))</f>
        <v>_</v>
      </c>
      <c r="AJ456" s="44"/>
      <c r="AK456" s="5" t="s">
        <v>16</v>
      </c>
      <c r="AL456" s="46" t="str">
        <f>IF(VLOOKUP(AK456,βοηθητικό!$J$2:$N$354,3,FALSE)="","",VLOOKUP(AK456,βοηθητικό!$J$2:$N$354,3,FALSE))</f>
        <v>_</v>
      </c>
      <c r="AM456" s="47"/>
      <c r="AN456" s="4" t="s">
        <v>16</v>
      </c>
      <c r="AO456" s="43" t="str">
        <f>IF(VLOOKUP(AN456,βοηθητικό!$J$2:$N$354,3,FALSE)="","",VLOOKUP(AN456,βοηθητικό!$J$2:$N$354,3,FALSE))</f>
        <v>_</v>
      </c>
      <c r="AP456" s="44"/>
      <c r="AQ456" s="5" t="s">
        <v>16</v>
      </c>
      <c r="AR456" s="46" t="str">
        <f>IF(VLOOKUP(AQ456,βοηθητικό!$J$2:$N$354,3,FALSE)="","",VLOOKUP(AQ456,βοηθητικό!$J$2:$N$354,3,FALSE))</f>
        <v>_</v>
      </c>
      <c r="AS456" s="47"/>
      <c r="AT456" s="4" t="s">
        <v>16</v>
      </c>
      <c r="AU456" s="43" t="str">
        <f>IF(VLOOKUP(AT456,βοηθητικό!$J$2:$N$354,3,FALSE)="","",VLOOKUP(AT456,βοηθητικό!$J$2:$N$354,3,FALSE))</f>
        <v>_</v>
      </c>
      <c r="AV456" s="44"/>
      <c r="AW456" s="5" t="s">
        <v>16</v>
      </c>
      <c r="AX456" s="46" t="str">
        <f>IF(VLOOKUP(AW456,βοηθητικό!$J$2:$N$354,3,FALSE)="","",VLOOKUP(AW456,βοηθητικό!$J$2:$N$354,3,FALSE))</f>
        <v>_</v>
      </c>
      <c r="AY456" s="47"/>
      <c r="AZ456" s="4" t="s">
        <v>16</v>
      </c>
      <c r="BA456" s="43" t="str">
        <f>IF(VLOOKUP(AZ456,βοηθητικό!$J$2:$N$354,3,FALSE)="","",VLOOKUP(AZ456,βοηθητικό!$J$2:$N$354,3,FALSE))</f>
        <v>_</v>
      </c>
      <c r="BB456" s="44"/>
      <c r="BC456" s="45" t="s">
        <v>16</v>
      </c>
      <c r="BD456" s="46" t="str">
        <f>IF(VLOOKUP(BC456,βοηθητικό!$J$2:$N$354,3,FALSE)="","",VLOOKUP(BC456,βοηθητικό!$J$2:$N$354,3,FALSE))</f>
        <v>_</v>
      </c>
      <c r="BE456" s="47"/>
      <c r="BF456" s="42" t="s">
        <v>16</v>
      </c>
      <c r="BG456" s="43" t="str">
        <f>IF(VLOOKUP(BF456,βοηθητικό!$J$2:$N$354,3,FALSE)="","",VLOOKUP(BF456,βοηθητικό!$J$2:$N$354,3,FALSE))</f>
        <v>_</v>
      </c>
      <c r="BH456" s="44"/>
      <c r="BI456" s="45" t="s">
        <v>16</v>
      </c>
      <c r="BJ456" s="46" t="str">
        <f>IF(VLOOKUP(BI456,βοηθητικό!$J$2:$N$354,3,FALSE)="","",VLOOKUP(BI456,βοηθητικό!$J$2:$N$354,3,FALSE))</f>
        <v>_</v>
      </c>
      <c r="BK456" s="47"/>
      <c r="BL456" s="42" t="s">
        <v>16</v>
      </c>
      <c r="BM456" s="43" t="str">
        <f>IF(VLOOKUP(BL456,βοηθητικό!$J$2:$N$354,3,FALSE)="","",VLOOKUP(BL456,βοηθητικό!$J$2:$N$354,3,FALSE))</f>
        <v>_</v>
      </c>
      <c r="BN456" s="44"/>
      <c r="BO456" s="45" t="s">
        <v>16</v>
      </c>
      <c r="BP456" s="46" t="str">
        <f>IF(VLOOKUP(BO456,βοηθητικό!$J$2:$N$354,3,FALSE)="","",VLOOKUP(BO456,βοηθητικό!$J$2:$N$354,3,FALSE))</f>
        <v>_</v>
      </c>
      <c r="BQ456" s="47"/>
      <c r="BR456" s="42" t="s">
        <v>16</v>
      </c>
      <c r="BS456" s="43" t="str">
        <f>IF(VLOOKUP(BR456,βοηθητικό!$J$2:$N$354,3,FALSE)="","",VLOOKUP(BR456,βοηθητικό!$J$2:$N$354,3,FALSE))</f>
        <v>_</v>
      </c>
      <c r="BT456" s="44"/>
      <c r="BU456" s="45" t="s">
        <v>16</v>
      </c>
      <c r="BV456" s="46" t="str">
        <f>IF(VLOOKUP(BU456,βοηθητικό!$J$2:$N$354,3,FALSE)="","",VLOOKUP(BU456,βοηθητικό!$J$2:$N$354,3,FALSE))</f>
        <v>_</v>
      </c>
      <c r="BW456" s="47"/>
      <c r="BX456" s="42" t="s">
        <v>16</v>
      </c>
      <c r="BY456" s="43" t="str">
        <f>IF(VLOOKUP(BX456,βοηθητικό!$J$2:$N$354,3,FALSE)="","",VLOOKUP(BX456,βοηθητικό!$J$2:$N$354,3,FALSE))</f>
        <v>_</v>
      </c>
      <c r="BZ456" s="44"/>
      <c r="CA456" s="45" t="s">
        <v>16</v>
      </c>
      <c r="CB456" s="46" t="str">
        <f>IF(VLOOKUP(CA456,βοηθητικό!$J$2:$N$354,3,FALSE)="","",VLOOKUP(CA456,βοηθητικό!$J$2:$N$354,3,FALSE))</f>
        <v>_</v>
      </c>
      <c r="CC456" s="47"/>
      <c r="CD456" s="42" t="s">
        <v>16</v>
      </c>
      <c r="CE456" s="43" t="str">
        <f>IF(VLOOKUP(CD456,βοηθητικό!$J$2:$N$354,3,FALSE)="","",VLOOKUP(CD456,βοηθητικό!$J$2:$N$354,3,FALSE))</f>
        <v>_</v>
      </c>
      <c r="CF456" s="44"/>
      <c r="CG456" s="45" t="s">
        <v>16</v>
      </c>
      <c r="CH456" s="46" t="str">
        <f>IF(VLOOKUP(CG456,βοηθητικό!$J$2:$N$354,3,FALSE)="","",VLOOKUP(CG456,βοηθητικό!$J$2:$N$354,3,FALSE))</f>
        <v>_</v>
      </c>
      <c r="CI456" s="47"/>
      <c r="CJ456" s="42" t="s">
        <v>16</v>
      </c>
      <c r="CK456" s="43" t="str">
        <f>IF(VLOOKUP(CJ456,βοηθητικό!$J$2:$N$354,3,FALSE)="","",VLOOKUP(CJ456,βοηθητικό!$J$2:$N$354,3,FALSE))</f>
        <v>_</v>
      </c>
      <c r="CL456" s="44"/>
      <c r="CM456" s="45" t="s">
        <v>16</v>
      </c>
      <c r="CN456" s="46" t="str">
        <f>IF(VLOOKUP(CM456,βοηθητικό!$J$2:$N$354,3,FALSE)="","",VLOOKUP(CM456,βοηθητικό!$J$2:$N$354,3,FALSE))</f>
        <v>_</v>
      </c>
      <c r="CO456" s="47"/>
      <c r="CP456" s="42" t="s">
        <v>16</v>
      </c>
      <c r="CQ456" s="43" t="str">
        <f>IF(VLOOKUP(CP456,βοηθητικό!$J$2:$N$354,3,FALSE)="","",VLOOKUP(CP456,βοηθητικό!$J$2:$N$354,3,FALSE))</f>
        <v>_</v>
      </c>
      <c r="CR456" s="44"/>
      <c r="CS456" s="45" t="s">
        <v>16</v>
      </c>
      <c r="CT456" s="46" t="str">
        <f>IF(VLOOKUP(CS456,βοηθητικό!$J$2:$N$354,3,FALSE)="","",VLOOKUP(CS456,βοηθητικό!$J$2:$N$354,3,FALSE))</f>
        <v>_</v>
      </c>
      <c r="CU456" s="47"/>
    </row>
    <row r="457" spans="1:99" x14ac:dyDescent="0.25">
      <c r="A457" s="37">
        <f>--SUBTOTAL(3,$B$3:B456)</f>
        <v>198</v>
      </c>
      <c r="B457" s="2"/>
      <c r="C457" s="3"/>
      <c r="D457" s="55" t="s">
        <v>18</v>
      </c>
      <c r="E457" s="38" t="s">
        <v>16</v>
      </c>
      <c r="F457" s="38" t="s">
        <v>16</v>
      </c>
      <c r="G457" s="39" t="str">
        <f t="shared" si="23"/>
        <v>__</v>
      </c>
      <c r="H457" s="40" t="str">
        <f t="shared" si="24"/>
        <v>FALSE</v>
      </c>
      <c r="I457" s="41">
        <f t="shared" si="25"/>
        <v>0</v>
      </c>
      <c r="J457" s="4" t="s">
        <v>16</v>
      </c>
      <c r="K457" s="43" t="str">
        <f>IF(VLOOKUP(J457,βοηθητικό!$J$2:$N$354,3,FALSE)="","",VLOOKUP(J457,βοηθητικό!$J$2:$N$354,3,FALSE))</f>
        <v>_</v>
      </c>
      <c r="L457" s="44"/>
      <c r="M457" s="5" t="s">
        <v>16</v>
      </c>
      <c r="N457" s="46" t="str">
        <f>IF(VLOOKUP(M457,βοηθητικό!$J$2:$N$354,3,FALSE)="","",VLOOKUP(M457,βοηθητικό!$J$2:$N$354,3,FALSE))</f>
        <v>_</v>
      </c>
      <c r="O457" s="47"/>
      <c r="P457" s="4" t="s">
        <v>16</v>
      </c>
      <c r="Q457" s="43" t="str">
        <f>IF(VLOOKUP(P457,βοηθητικό!$J$2:$N$354,3,FALSE)="","",VLOOKUP(P457,βοηθητικό!$J$2:$N$354,3,FALSE))</f>
        <v>_</v>
      </c>
      <c r="R457" s="44"/>
      <c r="S457" s="5" t="s">
        <v>16</v>
      </c>
      <c r="T457" s="46" t="str">
        <f>IF(VLOOKUP(S457,βοηθητικό!$J$2:$N$354,3,FALSE)="","",VLOOKUP(S457,βοηθητικό!$J$2:$N$354,3,FALSE))</f>
        <v>_</v>
      </c>
      <c r="U457" s="47"/>
      <c r="V457" s="4" t="s">
        <v>16</v>
      </c>
      <c r="W457" s="43" t="str">
        <f>IF(VLOOKUP(V457,βοηθητικό!$J$2:$N$354,3,FALSE)="","",VLOOKUP(V457,βοηθητικό!$J$2:$N$354,3,FALSE))</f>
        <v>_</v>
      </c>
      <c r="X457" s="44"/>
      <c r="Y457" s="5" t="s">
        <v>16</v>
      </c>
      <c r="Z457" s="46" t="str">
        <f>IF(VLOOKUP(Y457,βοηθητικό!$J$2:$N$354,3,FALSE)="","",VLOOKUP(Y457,βοηθητικό!$J$2:$N$354,3,FALSE))</f>
        <v>_</v>
      </c>
      <c r="AA457" s="47"/>
      <c r="AB457" s="4" t="s">
        <v>16</v>
      </c>
      <c r="AC457" s="43" t="str">
        <f>IF(VLOOKUP(AB457,βοηθητικό!$J$2:$N$354,3,FALSE)="","",VLOOKUP(AB457,βοηθητικό!$J$2:$N$354,3,FALSE))</f>
        <v>_</v>
      </c>
      <c r="AD457" s="44"/>
      <c r="AE457" s="5" t="s">
        <v>16</v>
      </c>
      <c r="AF457" s="46" t="str">
        <f>IF(VLOOKUP(AE457,βοηθητικό!$J$2:$N$354,3,FALSE)="","",VLOOKUP(AE457,βοηθητικό!$J$2:$N$354,3,FALSE))</f>
        <v>_</v>
      </c>
      <c r="AG457" s="47"/>
      <c r="AH457" s="4" t="s">
        <v>16</v>
      </c>
      <c r="AI457" s="43" t="str">
        <f>IF(VLOOKUP(AH457,βοηθητικό!$J$2:$N$354,3,FALSE)="","",VLOOKUP(AH457,βοηθητικό!$J$2:$N$354,3,FALSE))</f>
        <v>_</v>
      </c>
      <c r="AJ457" s="44"/>
      <c r="AK457" s="5" t="s">
        <v>16</v>
      </c>
      <c r="AL457" s="46" t="str">
        <f>IF(VLOOKUP(AK457,βοηθητικό!$J$2:$N$354,3,FALSE)="","",VLOOKUP(AK457,βοηθητικό!$J$2:$N$354,3,FALSE))</f>
        <v>_</v>
      </c>
      <c r="AM457" s="47"/>
      <c r="AN457" s="4" t="s">
        <v>16</v>
      </c>
      <c r="AO457" s="43" t="str">
        <f>IF(VLOOKUP(AN457,βοηθητικό!$J$2:$N$354,3,FALSE)="","",VLOOKUP(AN457,βοηθητικό!$J$2:$N$354,3,FALSE))</f>
        <v>_</v>
      </c>
      <c r="AP457" s="44"/>
      <c r="AQ457" s="5" t="s">
        <v>16</v>
      </c>
      <c r="AR457" s="46" t="str">
        <f>IF(VLOOKUP(AQ457,βοηθητικό!$J$2:$N$354,3,FALSE)="","",VLOOKUP(AQ457,βοηθητικό!$J$2:$N$354,3,FALSE))</f>
        <v>_</v>
      </c>
      <c r="AS457" s="47"/>
      <c r="AT457" s="4" t="s">
        <v>16</v>
      </c>
      <c r="AU457" s="43" t="str">
        <f>IF(VLOOKUP(AT457,βοηθητικό!$J$2:$N$354,3,FALSE)="","",VLOOKUP(AT457,βοηθητικό!$J$2:$N$354,3,FALSE))</f>
        <v>_</v>
      </c>
      <c r="AV457" s="44"/>
      <c r="AW457" s="5" t="s">
        <v>16</v>
      </c>
      <c r="AX457" s="46" t="str">
        <f>IF(VLOOKUP(AW457,βοηθητικό!$J$2:$N$354,3,FALSE)="","",VLOOKUP(AW457,βοηθητικό!$J$2:$N$354,3,FALSE))</f>
        <v>_</v>
      </c>
      <c r="AY457" s="47"/>
      <c r="AZ457" s="4" t="s">
        <v>16</v>
      </c>
      <c r="BA457" s="43" t="str">
        <f>IF(VLOOKUP(AZ457,βοηθητικό!$J$2:$N$354,3,FALSE)="","",VLOOKUP(AZ457,βοηθητικό!$J$2:$N$354,3,FALSE))</f>
        <v>_</v>
      </c>
      <c r="BB457" s="44"/>
      <c r="BC457" s="45" t="s">
        <v>16</v>
      </c>
      <c r="BD457" s="46" t="str">
        <f>IF(VLOOKUP(BC457,βοηθητικό!$J$2:$N$354,3,FALSE)="","",VLOOKUP(BC457,βοηθητικό!$J$2:$N$354,3,FALSE))</f>
        <v>_</v>
      </c>
      <c r="BE457" s="47"/>
      <c r="BF457" s="42" t="s">
        <v>16</v>
      </c>
      <c r="BG457" s="43" t="str">
        <f>IF(VLOOKUP(BF457,βοηθητικό!$J$2:$N$354,3,FALSE)="","",VLOOKUP(BF457,βοηθητικό!$J$2:$N$354,3,FALSE))</f>
        <v>_</v>
      </c>
      <c r="BH457" s="44"/>
      <c r="BI457" s="45" t="s">
        <v>16</v>
      </c>
      <c r="BJ457" s="46" t="str">
        <f>IF(VLOOKUP(BI457,βοηθητικό!$J$2:$N$354,3,FALSE)="","",VLOOKUP(BI457,βοηθητικό!$J$2:$N$354,3,FALSE))</f>
        <v>_</v>
      </c>
      <c r="BK457" s="47"/>
      <c r="BL457" s="42" t="s">
        <v>16</v>
      </c>
      <c r="BM457" s="43" t="str">
        <f>IF(VLOOKUP(BL457,βοηθητικό!$J$2:$N$354,3,FALSE)="","",VLOOKUP(BL457,βοηθητικό!$J$2:$N$354,3,FALSE))</f>
        <v>_</v>
      </c>
      <c r="BN457" s="44"/>
      <c r="BO457" s="45" t="s">
        <v>16</v>
      </c>
      <c r="BP457" s="46" t="str">
        <f>IF(VLOOKUP(BO457,βοηθητικό!$J$2:$N$354,3,FALSE)="","",VLOOKUP(BO457,βοηθητικό!$J$2:$N$354,3,FALSE))</f>
        <v>_</v>
      </c>
      <c r="BQ457" s="47"/>
      <c r="BR457" s="42" t="s">
        <v>16</v>
      </c>
      <c r="BS457" s="43" t="str">
        <f>IF(VLOOKUP(BR457,βοηθητικό!$J$2:$N$354,3,FALSE)="","",VLOOKUP(BR457,βοηθητικό!$J$2:$N$354,3,FALSE))</f>
        <v>_</v>
      </c>
      <c r="BT457" s="44"/>
      <c r="BU457" s="45" t="s">
        <v>16</v>
      </c>
      <c r="BV457" s="46" t="str">
        <f>IF(VLOOKUP(BU457,βοηθητικό!$J$2:$N$354,3,FALSE)="","",VLOOKUP(BU457,βοηθητικό!$J$2:$N$354,3,FALSE))</f>
        <v>_</v>
      </c>
      <c r="BW457" s="47"/>
      <c r="BX457" s="42" t="s">
        <v>16</v>
      </c>
      <c r="BY457" s="43" t="str">
        <f>IF(VLOOKUP(BX457,βοηθητικό!$J$2:$N$354,3,FALSE)="","",VLOOKUP(BX457,βοηθητικό!$J$2:$N$354,3,FALSE))</f>
        <v>_</v>
      </c>
      <c r="BZ457" s="44"/>
      <c r="CA457" s="45" t="s">
        <v>16</v>
      </c>
      <c r="CB457" s="46" t="str">
        <f>IF(VLOOKUP(CA457,βοηθητικό!$J$2:$N$354,3,FALSE)="","",VLOOKUP(CA457,βοηθητικό!$J$2:$N$354,3,FALSE))</f>
        <v>_</v>
      </c>
      <c r="CC457" s="47"/>
      <c r="CD457" s="42" t="s">
        <v>16</v>
      </c>
      <c r="CE457" s="43" t="str">
        <f>IF(VLOOKUP(CD457,βοηθητικό!$J$2:$N$354,3,FALSE)="","",VLOOKUP(CD457,βοηθητικό!$J$2:$N$354,3,FALSE))</f>
        <v>_</v>
      </c>
      <c r="CF457" s="44"/>
      <c r="CG457" s="45" t="s">
        <v>16</v>
      </c>
      <c r="CH457" s="46" t="str">
        <f>IF(VLOOKUP(CG457,βοηθητικό!$J$2:$N$354,3,FALSE)="","",VLOOKUP(CG457,βοηθητικό!$J$2:$N$354,3,FALSE))</f>
        <v>_</v>
      </c>
      <c r="CI457" s="47"/>
      <c r="CJ457" s="42" t="s">
        <v>16</v>
      </c>
      <c r="CK457" s="43" t="str">
        <f>IF(VLOOKUP(CJ457,βοηθητικό!$J$2:$N$354,3,FALSE)="","",VLOOKUP(CJ457,βοηθητικό!$J$2:$N$354,3,FALSE))</f>
        <v>_</v>
      </c>
      <c r="CL457" s="44"/>
      <c r="CM457" s="45" t="s">
        <v>16</v>
      </c>
      <c r="CN457" s="46" t="str">
        <f>IF(VLOOKUP(CM457,βοηθητικό!$J$2:$N$354,3,FALSE)="","",VLOOKUP(CM457,βοηθητικό!$J$2:$N$354,3,FALSE))</f>
        <v>_</v>
      </c>
      <c r="CO457" s="47"/>
      <c r="CP457" s="42" t="s">
        <v>16</v>
      </c>
      <c r="CQ457" s="43" t="str">
        <f>IF(VLOOKUP(CP457,βοηθητικό!$J$2:$N$354,3,FALSE)="","",VLOOKUP(CP457,βοηθητικό!$J$2:$N$354,3,FALSE))</f>
        <v>_</v>
      </c>
      <c r="CR457" s="44"/>
      <c r="CS457" s="45" t="s">
        <v>16</v>
      </c>
      <c r="CT457" s="46" t="str">
        <f>IF(VLOOKUP(CS457,βοηθητικό!$J$2:$N$354,3,FALSE)="","",VLOOKUP(CS457,βοηθητικό!$J$2:$N$354,3,FALSE))</f>
        <v>_</v>
      </c>
      <c r="CU457" s="47"/>
    </row>
    <row r="458" spans="1:99" x14ac:dyDescent="0.25">
      <c r="A458" s="37">
        <f>--SUBTOTAL(3,$B$3:B457)</f>
        <v>198</v>
      </c>
      <c r="B458" s="2"/>
      <c r="C458" s="3"/>
      <c r="D458" s="55" t="s">
        <v>18</v>
      </c>
      <c r="E458" s="38" t="s">
        <v>16</v>
      </c>
      <c r="F458" s="38" t="s">
        <v>16</v>
      </c>
      <c r="G458" s="39" t="str">
        <f t="shared" si="23"/>
        <v>__</v>
      </c>
      <c r="H458" s="40" t="str">
        <f t="shared" si="24"/>
        <v>FALSE</v>
      </c>
      <c r="I458" s="41">
        <f t="shared" si="25"/>
        <v>0</v>
      </c>
      <c r="J458" s="4" t="s">
        <v>16</v>
      </c>
      <c r="K458" s="43" t="str">
        <f>IF(VLOOKUP(J458,βοηθητικό!$J$2:$N$354,3,FALSE)="","",VLOOKUP(J458,βοηθητικό!$J$2:$N$354,3,FALSE))</f>
        <v>_</v>
      </c>
      <c r="L458" s="44"/>
      <c r="M458" s="5" t="s">
        <v>16</v>
      </c>
      <c r="N458" s="46" t="str">
        <f>IF(VLOOKUP(M458,βοηθητικό!$J$2:$N$354,3,FALSE)="","",VLOOKUP(M458,βοηθητικό!$J$2:$N$354,3,FALSE))</f>
        <v>_</v>
      </c>
      <c r="O458" s="47"/>
      <c r="P458" s="4" t="s">
        <v>16</v>
      </c>
      <c r="Q458" s="43" t="str">
        <f>IF(VLOOKUP(P458,βοηθητικό!$J$2:$N$354,3,FALSE)="","",VLOOKUP(P458,βοηθητικό!$J$2:$N$354,3,FALSE))</f>
        <v>_</v>
      </c>
      <c r="R458" s="44"/>
      <c r="S458" s="5" t="s">
        <v>16</v>
      </c>
      <c r="T458" s="46" t="str">
        <f>IF(VLOOKUP(S458,βοηθητικό!$J$2:$N$354,3,FALSE)="","",VLOOKUP(S458,βοηθητικό!$J$2:$N$354,3,FALSE))</f>
        <v>_</v>
      </c>
      <c r="U458" s="47"/>
      <c r="V458" s="4" t="s">
        <v>16</v>
      </c>
      <c r="W458" s="43" t="str">
        <f>IF(VLOOKUP(V458,βοηθητικό!$J$2:$N$354,3,FALSE)="","",VLOOKUP(V458,βοηθητικό!$J$2:$N$354,3,FALSE))</f>
        <v>_</v>
      </c>
      <c r="X458" s="44"/>
      <c r="Y458" s="5" t="s">
        <v>16</v>
      </c>
      <c r="Z458" s="46" t="str">
        <f>IF(VLOOKUP(Y458,βοηθητικό!$J$2:$N$354,3,FALSE)="","",VLOOKUP(Y458,βοηθητικό!$J$2:$N$354,3,FALSE))</f>
        <v>_</v>
      </c>
      <c r="AA458" s="47"/>
      <c r="AB458" s="4" t="s">
        <v>16</v>
      </c>
      <c r="AC458" s="43" t="str">
        <f>IF(VLOOKUP(AB458,βοηθητικό!$J$2:$N$354,3,FALSE)="","",VLOOKUP(AB458,βοηθητικό!$J$2:$N$354,3,FALSE))</f>
        <v>_</v>
      </c>
      <c r="AD458" s="44"/>
      <c r="AE458" s="5" t="s">
        <v>16</v>
      </c>
      <c r="AF458" s="46" t="str">
        <f>IF(VLOOKUP(AE458,βοηθητικό!$J$2:$N$354,3,FALSE)="","",VLOOKUP(AE458,βοηθητικό!$J$2:$N$354,3,FALSE))</f>
        <v>_</v>
      </c>
      <c r="AG458" s="47"/>
      <c r="AH458" s="4" t="s">
        <v>16</v>
      </c>
      <c r="AI458" s="43" t="str">
        <f>IF(VLOOKUP(AH458,βοηθητικό!$J$2:$N$354,3,FALSE)="","",VLOOKUP(AH458,βοηθητικό!$J$2:$N$354,3,FALSE))</f>
        <v>_</v>
      </c>
      <c r="AJ458" s="44"/>
      <c r="AK458" s="5" t="s">
        <v>16</v>
      </c>
      <c r="AL458" s="46" t="str">
        <f>IF(VLOOKUP(AK458,βοηθητικό!$J$2:$N$354,3,FALSE)="","",VLOOKUP(AK458,βοηθητικό!$J$2:$N$354,3,FALSE))</f>
        <v>_</v>
      </c>
      <c r="AM458" s="47"/>
      <c r="AN458" s="4" t="s">
        <v>16</v>
      </c>
      <c r="AO458" s="43" t="str">
        <f>IF(VLOOKUP(AN458,βοηθητικό!$J$2:$N$354,3,FALSE)="","",VLOOKUP(AN458,βοηθητικό!$J$2:$N$354,3,FALSE))</f>
        <v>_</v>
      </c>
      <c r="AP458" s="44"/>
      <c r="AQ458" s="5" t="s">
        <v>16</v>
      </c>
      <c r="AR458" s="46" t="str">
        <f>IF(VLOOKUP(AQ458,βοηθητικό!$J$2:$N$354,3,FALSE)="","",VLOOKUP(AQ458,βοηθητικό!$J$2:$N$354,3,FALSE))</f>
        <v>_</v>
      </c>
      <c r="AS458" s="47"/>
      <c r="AT458" s="4" t="s">
        <v>16</v>
      </c>
      <c r="AU458" s="43" t="str">
        <f>IF(VLOOKUP(AT458,βοηθητικό!$J$2:$N$354,3,FALSE)="","",VLOOKUP(AT458,βοηθητικό!$J$2:$N$354,3,FALSE))</f>
        <v>_</v>
      </c>
      <c r="AV458" s="44"/>
      <c r="AW458" s="5" t="s">
        <v>16</v>
      </c>
      <c r="AX458" s="46" t="str">
        <f>IF(VLOOKUP(AW458,βοηθητικό!$J$2:$N$354,3,FALSE)="","",VLOOKUP(AW458,βοηθητικό!$J$2:$N$354,3,FALSE))</f>
        <v>_</v>
      </c>
      <c r="AY458" s="47"/>
      <c r="AZ458" s="4" t="s">
        <v>16</v>
      </c>
      <c r="BA458" s="43" t="str">
        <f>IF(VLOOKUP(AZ458,βοηθητικό!$J$2:$N$354,3,FALSE)="","",VLOOKUP(AZ458,βοηθητικό!$J$2:$N$354,3,FALSE))</f>
        <v>_</v>
      </c>
      <c r="BB458" s="44"/>
      <c r="BC458" s="45" t="s">
        <v>16</v>
      </c>
      <c r="BD458" s="46" t="str">
        <f>IF(VLOOKUP(BC458,βοηθητικό!$J$2:$N$354,3,FALSE)="","",VLOOKUP(BC458,βοηθητικό!$J$2:$N$354,3,FALSE))</f>
        <v>_</v>
      </c>
      <c r="BE458" s="47"/>
      <c r="BF458" s="42" t="s">
        <v>16</v>
      </c>
      <c r="BG458" s="43" t="str">
        <f>IF(VLOOKUP(BF458,βοηθητικό!$J$2:$N$354,3,FALSE)="","",VLOOKUP(BF458,βοηθητικό!$J$2:$N$354,3,FALSE))</f>
        <v>_</v>
      </c>
      <c r="BH458" s="44"/>
      <c r="BI458" s="45" t="s">
        <v>16</v>
      </c>
      <c r="BJ458" s="46" t="str">
        <f>IF(VLOOKUP(BI458,βοηθητικό!$J$2:$N$354,3,FALSE)="","",VLOOKUP(BI458,βοηθητικό!$J$2:$N$354,3,FALSE))</f>
        <v>_</v>
      </c>
      <c r="BK458" s="47"/>
      <c r="BL458" s="42" t="s">
        <v>16</v>
      </c>
      <c r="BM458" s="43" t="str">
        <f>IF(VLOOKUP(BL458,βοηθητικό!$J$2:$N$354,3,FALSE)="","",VLOOKUP(BL458,βοηθητικό!$J$2:$N$354,3,FALSE))</f>
        <v>_</v>
      </c>
      <c r="BN458" s="44"/>
      <c r="BO458" s="45" t="s">
        <v>16</v>
      </c>
      <c r="BP458" s="46" t="str">
        <f>IF(VLOOKUP(BO458,βοηθητικό!$J$2:$N$354,3,FALSE)="","",VLOOKUP(BO458,βοηθητικό!$J$2:$N$354,3,FALSE))</f>
        <v>_</v>
      </c>
      <c r="BQ458" s="47"/>
      <c r="BR458" s="42" t="s">
        <v>16</v>
      </c>
      <c r="BS458" s="43" t="str">
        <f>IF(VLOOKUP(BR458,βοηθητικό!$J$2:$N$354,3,FALSE)="","",VLOOKUP(BR458,βοηθητικό!$J$2:$N$354,3,FALSE))</f>
        <v>_</v>
      </c>
      <c r="BT458" s="44"/>
      <c r="BU458" s="45" t="s">
        <v>16</v>
      </c>
      <c r="BV458" s="46" t="str">
        <f>IF(VLOOKUP(BU458,βοηθητικό!$J$2:$N$354,3,FALSE)="","",VLOOKUP(BU458,βοηθητικό!$J$2:$N$354,3,FALSE))</f>
        <v>_</v>
      </c>
      <c r="BW458" s="47"/>
      <c r="BX458" s="42" t="s">
        <v>16</v>
      </c>
      <c r="BY458" s="43" t="str">
        <f>IF(VLOOKUP(BX458,βοηθητικό!$J$2:$N$354,3,FALSE)="","",VLOOKUP(BX458,βοηθητικό!$J$2:$N$354,3,FALSE))</f>
        <v>_</v>
      </c>
      <c r="BZ458" s="44"/>
      <c r="CA458" s="45" t="s">
        <v>16</v>
      </c>
      <c r="CB458" s="46" t="str">
        <f>IF(VLOOKUP(CA458,βοηθητικό!$J$2:$N$354,3,FALSE)="","",VLOOKUP(CA458,βοηθητικό!$J$2:$N$354,3,FALSE))</f>
        <v>_</v>
      </c>
      <c r="CC458" s="47"/>
      <c r="CD458" s="42" t="s">
        <v>16</v>
      </c>
      <c r="CE458" s="43" t="str">
        <f>IF(VLOOKUP(CD458,βοηθητικό!$J$2:$N$354,3,FALSE)="","",VLOOKUP(CD458,βοηθητικό!$J$2:$N$354,3,FALSE))</f>
        <v>_</v>
      </c>
      <c r="CF458" s="44"/>
      <c r="CG458" s="45" t="s">
        <v>16</v>
      </c>
      <c r="CH458" s="46" t="str">
        <f>IF(VLOOKUP(CG458,βοηθητικό!$J$2:$N$354,3,FALSE)="","",VLOOKUP(CG458,βοηθητικό!$J$2:$N$354,3,FALSE))</f>
        <v>_</v>
      </c>
      <c r="CI458" s="47"/>
      <c r="CJ458" s="42" t="s">
        <v>16</v>
      </c>
      <c r="CK458" s="43" t="str">
        <f>IF(VLOOKUP(CJ458,βοηθητικό!$J$2:$N$354,3,FALSE)="","",VLOOKUP(CJ458,βοηθητικό!$J$2:$N$354,3,FALSE))</f>
        <v>_</v>
      </c>
      <c r="CL458" s="44"/>
      <c r="CM458" s="45" t="s">
        <v>16</v>
      </c>
      <c r="CN458" s="46" t="str">
        <f>IF(VLOOKUP(CM458,βοηθητικό!$J$2:$N$354,3,FALSE)="","",VLOOKUP(CM458,βοηθητικό!$J$2:$N$354,3,FALSE))</f>
        <v>_</v>
      </c>
      <c r="CO458" s="47"/>
      <c r="CP458" s="42" t="s">
        <v>16</v>
      </c>
      <c r="CQ458" s="43" t="str">
        <f>IF(VLOOKUP(CP458,βοηθητικό!$J$2:$N$354,3,FALSE)="","",VLOOKUP(CP458,βοηθητικό!$J$2:$N$354,3,FALSE))</f>
        <v>_</v>
      </c>
      <c r="CR458" s="44"/>
      <c r="CS458" s="45" t="s">
        <v>16</v>
      </c>
      <c r="CT458" s="46" t="str">
        <f>IF(VLOOKUP(CS458,βοηθητικό!$J$2:$N$354,3,FALSE)="","",VLOOKUP(CS458,βοηθητικό!$J$2:$N$354,3,FALSE))</f>
        <v>_</v>
      </c>
      <c r="CU458" s="47"/>
    </row>
    <row r="459" spans="1:99" x14ac:dyDescent="0.25">
      <c r="A459" s="37">
        <f>--SUBTOTAL(3,$B$3:B458)</f>
        <v>198</v>
      </c>
      <c r="B459" s="2"/>
      <c r="C459" s="3"/>
      <c r="D459" s="55" t="s">
        <v>18</v>
      </c>
      <c r="E459" s="38" t="s">
        <v>16</v>
      </c>
      <c r="F459" s="38" t="s">
        <v>16</v>
      </c>
      <c r="G459" s="39" t="str">
        <f t="shared" si="23"/>
        <v>__</v>
      </c>
      <c r="H459" s="40" t="str">
        <f t="shared" si="24"/>
        <v>FALSE</v>
      </c>
      <c r="I459" s="41">
        <f t="shared" si="25"/>
        <v>0</v>
      </c>
      <c r="J459" s="4" t="s">
        <v>16</v>
      </c>
      <c r="K459" s="43" t="str">
        <f>IF(VLOOKUP(J459,βοηθητικό!$J$2:$N$354,3,FALSE)="","",VLOOKUP(J459,βοηθητικό!$J$2:$N$354,3,FALSE))</f>
        <v>_</v>
      </c>
      <c r="L459" s="44"/>
      <c r="M459" s="5" t="s">
        <v>16</v>
      </c>
      <c r="N459" s="46" t="str">
        <f>IF(VLOOKUP(M459,βοηθητικό!$J$2:$N$354,3,FALSE)="","",VLOOKUP(M459,βοηθητικό!$J$2:$N$354,3,FALSE))</f>
        <v>_</v>
      </c>
      <c r="O459" s="47"/>
      <c r="P459" s="4" t="s">
        <v>16</v>
      </c>
      <c r="Q459" s="43" t="str">
        <f>IF(VLOOKUP(P459,βοηθητικό!$J$2:$N$354,3,FALSE)="","",VLOOKUP(P459,βοηθητικό!$J$2:$N$354,3,FALSE))</f>
        <v>_</v>
      </c>
      <c r="R459" s="44"/>
      <c r="S459" s="5" t="s">
        <v>16</v>
      </c>
      <c r="T459" s="46" t="str">
        <f>IF(VLOOKUP(S459,βοηθητικό!$J$2:$N$354,3,FALSE)="","",VLOOKUP(S459,βοηθητικό!$J$2:$N$354,3,FALSE))</f>
        <v>_</v>
      </c>
      <c r="U459" s="47"/>
      <c r="V459" s="4" t="s">
        <v>16</v>
      </c>
      <c r="W459" s="43" t="str">
        <f>IF(VLOOKUP(V459,βοηθητικό!$J$2:$N$354,3,FALSE)="","",VLOOKUP(V459,βοηθητικό!$J$2:$N$354,3,FALSE))</f>
        <v>_</v>
      </c>
      <c r="X459" s="44"/>
      <c r="Y459" s="5" t="s">
        <v>16</v>
      </c>
      <c r="Z459" s="46" t="str">
        <f>IF(VLOOKUP(Y459,βοηθητικό!$J$2:$N$354,3,FALSE)="","",VLOOKUP(Y459,βοηθητικό!$J$2:$N$354,3,FALSE))</f>
        <v>_</v>
      </c>
      <c r="AA459" s="47"/>
      <c r="AB459" s="4" t="s">
        <v>16</v>
      </c>
      <c r="AC459" s="43" t="str">
        <f>IF(VLOOKUP(AB459,βοηθητικό!$J$2:$N$354,3,FALSE)="","",VLOOKUP(AB459,βοηθητικό!$J$2:$N$354,3,FALSE))</f>
        <v>_</v>
      </c>
      <c r="AD459" s="44"/>
      <c r="AE459" s="5" t="s">
        <v>16</v>
      </c>
      <c r="AF459" s="46" t="str">
        <f>IF(VLOOKUP(AE459,βοηθητικό!$J$2:$N$354,3,FALSE)="","",VLOOKUP(AE459,βοηθητικό!$J$2:$N$354,3,FALSE))</f>
        <v>_</v>
      </c>
      <c r="AG459" s="47"/>
      <c r="AH459" s="4" t="s">
        <v>16</v>
      </c>
      <c r="AI459" s="43" t="str">
        <f>IF(VLOOKUP(AH459,βοηθητικό!$J$2:$N$354,3,FALSE)="","",VLOOKUP(AH459,βοηθητικό!$J$2:$N$354,3,FALSE))</f>
        <v>_</v>
      </c>
      <c r="AJ459" s="44"/>
      <c r="AK459" s="5" t="s">
        <v>16</v>
      </c>
      <c r="AL459" s="46" t="str">
        <f>IF(VLOOKUP(AK459,βοηθητικό!$J$2:$N$354,3,FALSE)="","",VLOOKUP(AK459,βοηθητικό!$J$2:$N$354,3,FALSE))</f>
        <v>_</v>
      </c>
      <c r="AM459" s="47"/>
      <c r="AN459" s="4" t="s">
        <v>16</v>
      </c>
      <c r="AO459" s="43" t="str">
        <f>IF(VLOOKUP(AN459,βοηθητικό!$J$2:$N$354,3,FALSE)="","",VLOOKUP(AN459,βοηθητικό!$J$2:$N$354,3,FALSE))</f>
        <v>_</v>
      </c>
      <c r="AP459" s="44"/>
      <c r="AQ459" s="5" t="s">
        <v>16</v>
      </c>
      <c r="AR459" s="46" t="str">
        <f>IF(VLOOKUP(AQ459,βοηθητικό!$J$2:$N$354,3,FALSE)="","",VLOOKUP(AQ459,βοηθητικό!$J$2:$N$354,3,FALSE))</f>
        <v>_</v>
      </c>
      <c r="AS459" s="47"/>
      <c r="AT459" s="4" t="s">
        <v>16</v>
      </c>
      <c r="AU459" s="43" t="str">
        <f>IF(VLOOKUP(AT459,βοηθητικό!$J$2:$N$354,3,FALSE)="","",VLOOKUP(AT459,βοηθητικό!$J$2:$N$354,3,FALSE))</f>
        <v>_</v>
      </c>
      <c r="AV459" s="44"/>
      <c r="AW459" s="5" t="s">
        <v>16</v>
      </c>
      <c r="AX459" s="46" t="str">
        <f>IF(VLOOKUP(AW459,βοηθητικό!$J$2:$N$354,3,FALSE)="","",VLOOKUP(AW459,βοηθητικό!$J$2:$N$354,3,FALSE))</f>
        <v>_</v>
      </c>
      <c r="AY459" s="47"/>
      <c r="AZ459" s="4" t="s">
        <v>16</v>
      </c>
      <c r="BA459" s="43" t="str">
        <f>IF(VLOOKUP(AZ459,βοηθητικό!$J$2:$N$354,3,FALSE)="","",VLOOKUP(AZ459,βοηθητικό!$J$2:$N$354,3,FALSE))</f>
        <v>_</v>
      </c>
      <c r="BB459" s="44"/>
      <c r="BC459" s="45" t="s">
        <v>16</v>
      </c>
      <c r="BD459" s="46" t="str">
        <f>IF(VLOOKUP(BC459,βοηθητικό!$J$2:$N$354,3,FALSE)="","",VLOOKUP(BC459,βοηθητικό!$J$2:$N$354,3,FALSE))</f>
        <v>_</v>
      </c>
      <c r="BE459" s="47"/>
      <c r="BF459" s="42" t="s">
        <v>16</v>
      </c>
      <c r="BG459" s="43" t="str">
        <f>IF(VLOOKUP(BF459,βοηθητικό!$J$2:$N$354,3,FALSE)="","",VLOOKUP(BF459,βοηθητικό!$J$2:$N$354,3,FALSE))</f>
        <v>_</v>
      </c>
      <c r="BH459" s="44"/>
      <c r="BI459" s="45" t="s">
        <v>16</v>
      </c>
      <c r="BJ459" s="46" t="str">
        <f>IF(VLOOKUP(BI459,βοηθητικό!$J$2:$N$354,3,FALSE)="","",VLOOKUP(BI459,βοηθητικό!$J$2:$N$354,3,FALSE))</f>
        <v>_</v>
      </c>
      <c r="BK459" s="47"/>
      <c r="BL459" s="42" t="s">
        <v>16</v>
      </c>
      <c r="BM459" s="43" t="str">
        <f>IF(VLOOKUP(BL459,βοηθητικό!$J$2:$N$354,3,FALSE)="","",VLOOKUP(BL459,βοηθητικό!$J$2:$N$354,3,FALSE))</f>
        <v>_</v>
      </c>
      <c r="BN459" s="44"/>
      <c r="BO459" s="45" t="s">
        <v>16</v>
      </c>
      <c r="BP459" s="46" t="str">
        <f>IF(VLOOKUP(BO459,βοηθητικό!$J$2:$N$354,3,FALSE)="","",VLOOKUP(BO459,βοηθητικό!$J$2:$N$354,3,FALSE))</f>
        <v>_</v>
      </c>
      <c r="BQ459" s="47"/>
      <c r="BR459" s="42" t="s">
        <v>16</v>
      </c>
      <c r="BS459" s="43" t="str">
        <f>IF(VLOOKUP(BR459,βοηθητικό!$J$2:$N$354,3,FALSE)="","",VLOOKUP(BR459,βοηθητικό!$J$2:$N$354,3,FALSE))</f>
        <v>_</v>
      </c>
      <c r="BT459" s="44"/>
      <c r="BU459" s="45" t="s">
        <v>16</v>
      </c>
      <c r="BV459" s="46" t="str">
        <f>IF(VLOOKUP(BU459,βοηθητικό!$J$2:$N$354,3,FALSE)="","",VLOOKUP(BU459,βοηθητικό!$J$2:$N$354,3,FALSE))</f>
        <v>_</v>
      </c>
      <c r="BW459" s="47"/>
      <c r="BX459" s="42" t="s">
        <v>16</v>
      </c>
      <c r="BY459" s="43" t="str">
        <f>IF(VLOOKUP(BX459,βοηθητικό!$J$2:$N$354,3,FALSE)="","",VLOOKUP(BX459,βοηθητικό!$J$2:$N$354,3,FALSE))</f>
        <v>_</v>
      </c>
      <c r="BZ459" s="44"/>
      <c r="CA459" s="45" t="s">
        <v>16</v>
      </c>
      <c r="CB459" s="46" t="str">
        <f>IF(VLOOKUP(CA459,βοηθητικό!$J$2:$N$354,3,FALSE)="","",VLOOKUP(CA459,βοηθητικό!$J$2:$N$354,3,FALSE))</f>
        <v>_</v>
      </c>
      <c r="CC459" s="47"/>
      <c r="CD459" s="42" t="s">
        <v>16</v>
      </c>
      <c r="CE459" s="43" t="str">
        <f>IF(VLOOKUP(CD459,βοηθητικό!$J$2:$N$354,3,FALSE)="","",VLOOKUP(CD459,βοηθητικό!$J$2:$N$354,3,FALSE))</f>
        <v>_</v>
      </c>
      <c r="CF459" s="44"/>
      <c r="CG459" s="45" t="s">
        <v>16</v>
      </c>
      <c r="CH459" s="46" t="str">
        <f>IF(VLOOKUP(CG459,βοηθητικό!$J$2:$N$354,3,FALSE)="","",VLOOKUP(CG459,βοηθητικό!$J$2:$N$354,3,FALSE))</f>
        <v>_</v>
      </c>
      <c r="CI459" s="47"/>
      <c r="CJ459" s="42" t="s">
        <v>16</v>
      </c>
      <c r="CK459" s="43" t="str">
        <f>IF(VLOOKUP(CJ459,βοηθητικό!$J$2:$N$354,3,FALSE)="","",VLOOKUP(CJ459,βοηθητικό!$J$2:$N$354,3,FALSE))</f>
        <v>_</v>
      </c>
      <c r="CL459" s="44"/>
      <c r="CM459" s="45" t="s">
        <v>16</v>
      </c>
      <c r="CN459" s="46" t="str">
        <f>IF(VLOOKUP(CM459,βοηθητικό!$J$2:$N$354,3,FALSE)="","",VLOOKUP(CM459,βοηθητικό!$J$2:$N$354,3,FALSE))</f>
        <v>_</v>
      </c>
      <c r="CO459" s="47"/>
      <c r="CP459" s="42" t="s">
        <v>16</v>
      </c>
      <c r="CQ459" s="43" t="str">
        <f>IF(VLOOKUP(CP459,βοηθητικό!$J$2:$N$354,3,FALSE)="","",VLOOKUP(CP459,βοηθητικό!$J$2:$N$354,3,FALSE))</f>
        <v>_</v>
      </c>
      <c r="CR459" s="44"/>
      <c r="CS459" s="45" t="s">
        <v>16</v>
      </c>
      <c r="CT459" s="46" t="str">
        <f>IF(VLOOKUP(CS459,βοηθητικό!$J$2:$N$354,3,FALSE)="","",VLOOKUP(CS459,βοηθητικό!$J$2:$N$354,3,FALSE))</f>
        <v>_</v>
      </c>
      <c r="CU459" s="47"/>
    </row>
    <row r="460" spans="1:99" x14ac:dyDescent="0.25">
      <c r="A460" s="37">
        <f>--SUBTOTAL(3,$B$3:B459)</f>
        <v>198</v>
      </c>
      <c r="B460" s="2"/>
      <c r="C460" s="3"/>
      <c r="D460" s="55" t="s">
        <v>18</v>
      </c>
      <c r="E460" s="38" t="s">
        <v>16</v>
      </c>
      <c r="F460" s="38" t="s">
        <v>16</v>
      </c>
      <c r="G460" s="39" t="str">
        <f t="shared" si="23"/>
        <v>__</v>
      </c>
      <c r="H460" s="40" t="str">
        <f t="shared" si="24"/>
        <v>FALSE</v>
      </c>
      <c r="I460" s="41">
        <f t="shared" si="25"/>
        <v>0</v>
      </c>
      <c r="J460" s="4" t="s">
        <v>16</v>
      </c>
      <c r="K460" s="43" t="str">
        <f>IF(VLOOKUP(J460,βοηθητικό!$J$2:$N$354,3,FALSE)="","",VLOOKUP(J460,βοηθητικό!$J$2:$N$354,3,FALSE))</f>
        <v>_</v>
      </c>
      <c r="L460" s="44"/>
      <c r="M460" s="5" t="s">
        <v>16</v>
      </c>
      <c r="N460" s="46" t="str">
        <f>IF(VLOOKUP(M460,βοηθητικό!$J$2:$N$354,3,FALSE)="","",VLOOKUP(M460,βοηθητικό!$J$2:$N$354,3,FALSE))</f>
        <v>_</v>
      </c>
      <c r="O460" s="47"/>
      <c r="P460" s="4" t="s">
        <v>16</v>
      </c>
      <c r="Q460" s="43" t="str">
        <f>IF(VLOOKUP(P460,βοηθητικό!$J$2:$N$354,3,FALSE)="","",VLOOKUP(P460,βοηθητικό!$J$2:$N$354,3,FALSE))</f>
        <v>_</v>
      </c>
      <c r="R460" s="44"/>
      <c r="S460" s="5" t="s">
        <v>16</v>
      </c>
      <c r="T460" s="46" t="str">
        <f>IF(VLOOKUP(S460,βοηθητικό!$J$2:$N$354,3,FALSE)="","",VLOOKUP(S460,βοηθητικό!$J$2:$N$354,3,FALSE))</f>
        <v>_</v>
      </c>
      <c r="U460" s="47"/>
      <c r="V460" s="4" t="s">
        <v>16</v>
      </c>
      <c r="W460" s="43" t="str">
        <f>IF(VLOOKUP(V460,βοηθητικό!$J$2:$N$354,3,FALSE)="","",VLOOKUP(V460,βοηθητικό!$J$2:$N$354,3,FALSE))</f>
        <v>_</v>
      </c>
      <c r="X460" s="44"/>
      <c r="Y460" s="5" t="s">
        <v>16</v>
      </c>
      <c r="Z460" s="46" t="str">
        <f>IF(VLOOKUP(Y460,βοηθητικό!$J$2:$N$354,3,FALSE)="","",VLOOKUP(Y460,βοηθητικό!$J$2:$N$354,3,FALSE))</f>
        <v>_</v>
      </c>
      <c r="AA460" s="47"/>
      <c r="AB460" s="4" t="s">
        <v>16</v>
      </c>
      <c r="AC460" s="43" t="str">
        <f>IF(VLOOKUP(AB460,βοηθητικό!$J$2:$N$354,3,FALSE)="","",VLOOKUP(AB460,βοηθητικό!$J$2:$N$354,3,FALSE))</f>
        <v>_</v>
      </c>
      <c r="AD460" s="44"/>
      <c r="AE460" s="5" t="s">
        <v>16</v>
      </c>
      <c r="AF460" s="46" t="str">
        <f>IF(VLOOKUP(AE460,βοηθητικό!$J$2:$N$354,3,FALSE)="","",VLOOKUP(AE460,βοηθητικό!$J$2:$N$354,3,FALSE))</f>
        <v>_</v>
      </c>
      <c r="AG460" s="47"/>
      <c r="AH460" s="4" t="s">
        <v>16</v>
      </c>
      <c r="AI460" s="43" t="str">
        <f>IF(VLOOKUP(AH460,βοηθητικό!$J$2:$N$354,3,FALSE)="","",VLOOKUP(AH460,βοηθητικό!$J$2:$N$354,3,FALSE))</f>
        <v>_</v>
      </c>
      <c r="AJ460" s="44"/>
      <c r="AK460" s="5" t="s">
        <v>16</v>
      </c>
      <c r="AL460" s="46" t="str">
        <f>IF(VLOOKUP(AK460,βοηθητικό!$J$2:$N$354,3,FALSE)="","",VLOOKUP(AK460,βοηθητικό!$J$2:$N$354,3,FALSE))</f>
        <v>_</v>
      </c>
      <c r="AM460" s="47"/>
      <c r="AN460" s="4" t="s">
        <v>16</v>
      </c>
      <c r="AO460" s="43" t="str">
        <f>IF(VLOOKUP(AN460,βοηθητικό!$J$2:$N$354,3,FALSE)="","",VLOOKUP(AN460,βοηθητικό!$J$2:$N$354,3,FALSE))</f>
        <v>_</v>
      </c>
      <c r="AP460" s="44"/>
      <c r="AQ460" s="5" t="s">
        <v>16</v>
      </c>
      <c r="AR460" s="46" t="str">
        <f>IF(VLOOKUP(AQ460,βοηθητικό!$J$2:$N$354,3,FALSE)="","",VLOOKUP(AQ460,βοηθητικό!$J$2:$N$354,3,FALSE))</f>
        <v>_</v>
      </c>
      <c r="AS460" s="47"/>
      <c r="AT460" s="4" t="s">
        <v>16</v>
      </c>
      <c r="AU460" s="43" t="str">
        <f>IF(VLOOKUP(AT460,βοηθητικό!$J$2:$N$354,3,FALSE)="","",VLOOKUP(AT460,βοηθητικό!$J$2:$N$354,3,FALSE))</f>
        <v>_</v>
      </c>
      <c r="AV460" s="44"/>
      <c r="AW460" s="5" t="s">
        <v>16</v>
      </c>
      <c r="AX460" s="46" t="str">
        <f>IF(VLOOKUP(AW460,βοηθητικό!$J$2:$N$354,3,FALSE)="","",VLOOKUP(AW460,βοηθητικό!$J$2:$N$354,3,FALSE))</f>
        <v>_</v>
      </c>
      <c r="AY460" s="47"/>
      <c r="AZ460" s="4" t="s">
        <v>16</v>
      </c>
      <c r="BA460" s="43" t="str">
        <f>IF(VLOOKUP(AZ460,βοηθητικό!$J$2:$N$354,3,FALSE)="","",VLOOKUP(AZ460,βοηθητικό!$J$2:$N$354,3,FALSE))</f>
        <v>_</v>
      </c>
      <c r="BB460" s="44"/>
      <c r="BC460" s="45" t="s">
        <v>16</v>
      </c>
      <c r="BD460" s="46" t="str">
        <f>IF(VLOOKUP(BC460,βοηθητικό!$J$2:$N$354,3,FALSE)="","",VLOOKUP(BC460,βοηθητικό!$J$2:$N$354,3,FALSE))</f>
        <v>_</v>
      </c>
      <c r="BE460" s="47"/>
      <c r="BF460" s="42" t="s">
        <v>16</v>
      </c>
      <c r="BG460" s="43" t="str">
        <f>IF(VLOOKUP(BF460,βοηθητικό!$J$2:$N$354,3,FALSE)="","",VLOOKUP(BF460,βοηθητικό!$J$2:$N$354,3,FALSE))</f>
        <v>_</v>
      </c>
      <c r="BH460" s="44"/>
      <c r="BI460" s="45" t="s">
        <v>16</v>
      </c>
      <c r="BJ460" s="46" t="str">
        <f>IF(VLOOKUP(BI460,βοηθητικό!$J$2:$N$354,3,FALSE)="","",VLOOKUP(BI460,βοηθητικό!$J$2:$N$354,3,FALSE))</f>
        <v>_</v>
      </c>
      <c r="BK460" s="47"/>
      <c r="BL460" s="42" t="s">
        <v>16</v>
      </c>
      <c r="BM460" s="43" t="str">
        <f>IF(VLOOKUP(BL460,βοηθητικό!$J$2:$N$354,3,FALSE)="","",VLOOKUP(BL460,βοηθητικό!$J$2:$N$354,3,FALSE))</f>
        <v>_</v>
      </c>
      <c r="BN460" s="44"/>
      <c r="BO460" s="45" t="s">
        <v>16</v>
      </c>
      <c r="BP460" s="46" t="str">
        <f>IF(VLOOKUP(BO460,βοηθητικό!$J$2:$N$354,3,FALSE)="","",VLOOKUP(BO460,βοηθητικό!$J$2:$N$354,3,FALSE))</f>
        <v>_</v>
      </c>
      <c r="BQ460" s="47"/>
      <c r="BR460" s="42" t="s">
        <v>16</v>
      </c>
      <c r="BS460" s="43" t="str">
        <f>IF(VLOOKUP(BR460,βοηθητικό!$J$2:$N$354,3,FALSE)="","",VLOOKUP(BR460,βοηθητικό!$J$2:$N$354,3,FALSE))</f>
        <v>_</v>
      </c>
      <c r="BT460" s="44"/>
      <c r="BU460" s="45" t="s">
        <v>16</v>
      </c>
      <c r="BV460" s="46" t="str">
        <f>IF(VLOOKUP(BU460,βοηθητικό!$J$2:$N$354,3,FALSE)="","",VLOOKUP(BU460,βοηθητικό!$J$2:$N$354,3,FALSE))</f>
        <v>_</v>
      </c>
      <c r="BW460" s="47"/>
      <c r="BX460" s="42" t="s">
        <v>16</v>
      </c>
      <c r="BY460" s="43" t="str">
        <f>IF(VLOOKUP(BX460,βοηθητικό!$J$2:$N$354,3,FALSE)="","",VLOOKUP(BX460,βοηθητικό!$J$2:$N$354,3,FALSE))</f>
        <v>_</v>
      </c>
      <c r="BZ460" s="44"/>
      <c r="CA460" s="45" t="s">
        <v>16</v>
      </c>
      <c r="CB460" s="46" t="str">
        <f>IF(VLOOKUP(CA460,βοηθητικό!$J$2:$N$354,3,FALSE)="","",VLOOKUP(CA460,βοηθητικό!$J$2:$N$354,3,FALSE))</f>
        <v>_</v>
      </c>
      <c r="CC460" s="47"/>
      <c r="CD460" s="42" t="s">
        <v>16</v>
      </c>
      <c r="CE460" s="43" t="str">
        <f>IF(VLOOKUP(CD460,βοηθητικό!$J$2:$N$354,3,FALSE)="","",VLOOKUP(CD460,βοηθητικό!$J$2:$N$354,3,FALSE))</f>
        <v>_</v>
      </c>
      <c r="CF460" s="44"/>
      <c r="CG460" s="45" t="s">
        <v>16</v>
      </c>
      <c r="CH460" s="46" t="str">
        <f>IF(VLOOKUP(CG460,βοηθητικό!$J$2:$N$354,3,FALSE)="","",VLOOKUP(CG460,βοηθητικό!$J$2:$N$354,3,FALSE))</f>
        <v>_</v>
      </c>
      <c r="CI460" s="47"/>
      <c r="CJ460" s="42" t="s">
        <v>16</v>
      </c>
      <c r="CK460" s="43" t="str">
        <f>IF(VLOOKUP(CJ460,βοηθητικό!$J$2:$N$354,3,FALSE)="","",VLOOKUP(CJ460,βοηθητικό!$J$2:$N$354,3,FALSE))</f>
        <v>_</v>
      </c>
      <c r="CL460" s="44"/>
      <c r="CM460" s="45" t="s">
        <v>16</v>
      </c>
      <c r="CN460" s="46" t="str">
        <f>IF(VLOOKUP(CM460,βοηθητικό!$J$2:$N$354,3,FALSE)="","",VLOOKUP(CM460,βοηθητικό!$J$2:$N$354,3,FALSE))</f>
        <v>_</v>
      </c>
      <c r="CO460" s="47"/>
      <c r="CP460" s="42" t="s">
        <v>16</v>
      </c>
      <c r="CQ460" s="43" t="str">
        <f>IF(VLOOKUP(CP460,βοηθητικό!$J$2:$N$354,3,FALSE)="","",VLOOKUP(CP460,βοηθητικό!$J$2:$N$354,3,FALSE))</f>
        <v>_</v>
      </c>
      <c r="CR460" s="44"/>
      <c r="CS460" s="45" t="s">
        <v>16</v>
      </c>
      <c r="CT460" s="46" t="str">
        <f>IF(VLOOKUP(CS460,βοηθητικό!$J$2:$N$354,3,FALSE)="","",VLOOKUP(CS460,βοηθητικό!$J$2:$N$354,3,FALSE))</f>
        <v>_</v>
      </c>
      <c r="CU460" s="47"/>
    </row>
    <row r="461" spans="1:99" x14ac:dyDescent="0.25">
      <c r="A461" s="37">
        <f>--SUBTOTAL(3,$B$3:B460)</f>
        <v>198</v>
      </c>
      <c r="B461" s="2"/>
      <c r="C461" s="3"/>
      <c r="D461" s="55" t="s">
        <v>18</v>
      </c>
      <c r="E461" s="38" t="s">
        <v>16</v>
      </c>
      <c r="F461" s="38" t="s">
        <v>16</v>
      </c>
      <c r="G461" s="39" t="str">
        <f t="shared" si="23"/>
        <v>__</v>
      </c>
      <c r="H461" s="40" t="str">
        <f t="shared" si="24"/>
        <v>FALSE</v>
      </c>
      <c r="I461" s="41">
        <f t="shared" si="25"/>
        <v>0</v>
      </c>
      <c r="J461" s="4" t="s">
        <v>16</v>
      </c>
      <c r="K461" s="43" t="str">
        <f>IF(VLOOKUP(J461,βοηθητικό!$J$2:$N$354,3,FALSE)="","",VLOOKUP(J461,βοηθητικό!$J$2:$N$354,3,FALSE))</f>
        <v>_</v>
      </c>
      <c r="L461" s="44"/>
      <c r="M461" s="5" t="s">
        <v>16</v>
      </c>
      <c r="N461" s="46" t="str">
        <f>IF(VLOOKUP(M461,βοηθητικό!$J$2:$N$354,3,FALSE)="","",VLOOKUP(M461,βοηθητικό!$J$2:$N$354,3,FALSE))</f>
        <v>_</v>
      </c>
      <c r="O461" s="47"/>
      <c r="P461" s="4" t="s">
        <v>16</v>
      </c>
      <c r="Q461" s="43" t="str">
        <f>IF(VLOOKUP(P461,βοηθητικό!$J$2:$N$354,3,FALSE)="","",VLOOKUP(P461,βοηθητικό!$J$2:$N$354,3,FALSE))</f>
        <v>_</v>
      </c>
      <c r="R461" s="44"/>
      <c r="S461" s="5" t="s">
        <v>16</v>
      </c>
      <c r="T461" s="46" t="str">
        <f>IF(VLOOKUP(S461,βοηθητικό!$J$2:$N$354,3,FALSE)="","",VLOOKUP(S461,βοηθητικό!$J$2:$N$354,3,FALSE))</f>
        <v>_</v>
      </c>
      <c r="U461" s="47"/>
      <c r="V461" s="4" t="s">
        <v>16</v>
      </c>
      <c r="W461" s="43" t="str">
        <f>IF(VLOOKUP(V461,βοηθητικό!$J$2:$N$354,3,FALSE)="","",VLOOKUP(V461,βοηθητικό!$J$2:$N$354,3,FALSE))</f>
        <v>_</v>
      </c>
      <c r="X461" s="44"/>
      <c r="Y461" s="5" t="s">
        <v>16</v>
      </c>
      <c r="Z461" s="46" t="str">
        <f>IF(VLOOKUP(Y461,βοηθητικό!$J$2:$N$354,3,FALSE)="","",VLOOKUP(Y461,βοηθητικό!$J$2:$N$354,3,FALSE))</f>
        <v>_</v>
      </c>
      <c r="AA461" s="47"/>
      <c r="AB461" s="4" t="s">
        <v>16</v>
      </c>
      <c r="AC461" s="43" t="str">
        <f>IF(VLOOKUP(AB461,βοηθητικό!$J$2:$N$354,3,FALSE)="","",VLOOKUP(AB461,βοηθητικό!$J$2:$N$354,3,FALSE))</f>
        <v>_</v>
      </c>
      <c r="AD461" s="44"/>
      <c r="AE461" s="5" t="s">
        <v>16</v>
      </c>
      <c r="AF461" s="46" t="str">
        <f>IF(VLOOKUP(AE461,βοηθητικό!$J$2:$N$354,3,FALSE)="","",VLOOKUP(AE461,βοηθητικό!$J$2:$N$354,3,FALSE))</f>
        <v>_</v>
      </c>
      <c r="AG461" s="47"/>
      <c r="AH461" s="4" t="s">
        <v>16</v>
      </c>
      <c r="AI461" s="43" t="str">
        <f>IF(VLOOKUP(AH461,βοηθητικό!$J$2:$N$354,3,FALSE)="","",VLOOKUP(AH461,βοηθητικό!$J$2:$N$354,3,FALSE))</f>
        <v>_</v>
      </c>
      <c r="AJ461" s="44"/>
      <c r="AK461" s="5" t="s">
        <v>16</v>
      </c>
      <c r="AL461" s="46" t="str">
        <f>IF(VLOOKUP(AK461,βοηθητικό!$J$2:$N$354,3,FALSE)="","",VLOOKUP(AK461,βοηθητικό!$J$2:$N$354,3,FALSE))</f>
        <v>_</v>
      </c>
      <c r="AM461" s="47"/>
      <c r="AN461" s="4" t="s">
        <v>16</v>
      </c>
      <c r="AO461" s="43" t="str">
        <f>IF(VLOOKUP(AN461,βοηθητικό!$J$2:$N$354,3,FALSE)="","",VLOOKUP(AN461,βοηθητικό!$J$2:$N$354,3,FALSE))</f>
        <v>_</v>
      </c>
      <c r="AP461" s="44"/>
      <c r="AQ461" s="5" t="s">
        <v>16</v>
      </c>
      <c r="AR461" s="46" t="str">
        <f>IF(VLOOKUP(AQ461,βοηθητικό!$J$2:$N$354,3,FALSE)="","",VLOOKUP(AQ461,βοηθητικό!$J$2:$N$354,3,FALSE))</f>
        <v>_</v>
      </c>
      <c r="AS461" s="47"/>
      <c r="AT461" s="4" t="s">
        <v>16</v>
      </c>
      <c r="AU461" s="43" t="str">
        <f>IF(VLOOKUP(AT461,βοηθητικό!$J$2:$N$354,3,FALSE)="","",VLOOKUP(AT461,βοηθητικό!$J$2:$N$354,3,FALSE))</f>
        <v>_</v>
      </c>
      <c r="AV461" s="44"/>
      <c r="AW461" s="5" t="s">
        <v>16</v>
      </c>
      <c r="AX461" s="46" t="str">
        <f>IF(VLOOKUP(AW461,βοηθητικό!$J$2:$N$354,3,FALSE)="","",VLOOKUP(AW461,βοηθητικό!$J$2:$N$354,3,FALSE))</f>
        <v>_</v>
      </c>
      <c r="AY461" s="47"/>
      <c r="AZ461" s="4" t="s">
        <v>16</v>
      </c>
      <c r="BA461" s="43" t="str">
        <f>IF(VLOOKUP(AZ461,βοηθητικό!$J$2:$N$354,3,FALSE)="","",VLOOKUP(AZ461,βοηθητικό!$J$2:$N$354,3,FALSE))</f>
        <v>_</v>
      </c>
      <c r="BB461" s="44"/>
      <c r="BC461" s="45" t="s">
        <v>16</v>
      </c>
      <c r="BD461" s="46" t="str">
        <f>IF(VLOOKUP(BC461,βοηθητικό!$J$2:$N$354,3,FALSE)="","",VLOOKUP(BC461,βοηθητικό!$J$2:$N$354,3,FALSE))</f>
        <v>_</v>
      </c>
      <c r="BE461" s="47"/>
      <c r="BF461" s="42" t="s">
        <v>16</v>
      </c>
      <c r="BG461" s="43" t="str">
        <f>IF(VLOOKUP(BF461,βοηθητικό!$J$2:$N$354,3,FALSE)="","",VLOOKUP(BF461,βοηθητικό!$J$2:$N$354,3,FALSE))</f>
        <v>_</v>
      </c>
      <c r="BH461" s="44"/>
      <c r="BI461" s="45" t="s">
        <v>16</v>
      </c>
      <c r="BJ461" s="46" t="str">
        <f>IF(VLOOKUP(BI461,βοηθητικό!$J$2:$N$354,3,FALSE)="","",VLOOKUP(BI461,βοηθητικό!$J$2:$N$354,3,FALSE))</f>
        <v>_</v>
      </c>
      <c r="BK461" s="47"/>
      <c r="BL461" s="42" t="s">
        <v>16</v>
      </c>
      <c r="BM461" s="43" t="str">
        <f>IF(VLOOKUP(BL461,βοηθητικό!$J$2:$N$354,3,FALSE)="","",VLOOKUP(BL461,βοηθητικό!$J$2:$N$354,3,FALSE))</f>
        <v>_</v>
      </c>
      <c r="BN461" s="44"/>
      <c r="BO461" s="45" t="s">
        <v>16</v>
      </c>
      <c r="BP461" s="46" t="str">
        <f>IF(VLOOKUP(BO461,βοηθητικό!$J$2:$N$354,3,FALSE)="","",VLOOKUP(BO461,βοηθητικό!$J$2:$N$354,3,FALSE))</f>
        <v>_</v>
      </c>
      <c r="BQ461" s="47"/>
      <c r="BR461" s="42" t="s">
        <v>16</v>
      </c>
      <c r="BS461" s="43" t="str">
        <f>IF(VLOOKUP(BR461,βοηθητικό!$J$2:$N$354,3,FALSE)="","",VLOOKUP(BR461,βοηθητικό!$J$2:$N$354,3,FALSE))</f>
        <v>_</v>
      </c>
      <c r="BT461" s="44"/>
      <c r="BU461" s="45" t="s">
        <v>16</v>
      </c>
      <c r="BV461" s="46" t="str">
        <f>IF(VLOOKUP(BU461,βοηθητικό!$J$2:$N$354,3,FALSE)="","",VLOOKUP(BU461,βοηθητικό!$J$2:$N$354,3,FALSE))</f>
        <v>_</v>
      </c>
      <c r="BW461" s="47"/>
      <c r="BX461" s="42" t="s">
        <v>16</v>
      </c>
      <c r="BY461" s="43" t="str">
        <f>IF(VLOOKUP(BX461,βοηθητικό!$J$2:$N$354,3,FALSE)="","",VLOOKUP(BX461,βοηθητικό!$J$2:$N$354,3,FALSE))</f>
        <v>_</v>
      </c>
      <c r="BZ461" s="44"/>
      <c r="CA461" s="45" t="s">
        <v>16</v>
      </c>
      <c r="CB461" s="46" t="str">
        <f>IF(VLOOKUP(CA461,βοηθητικό!$J$2:$N$354,3,FALSE)="","",VLOOKUP(CA461,βοηθητικό!$J$2:$N$354,3,FALSE))</f>
        <v>_</v>
      </c>
      <c r="CC461" s="47"/>
      <c r="CD461" s="42" t="s">
        <v>16</v>
      </c>
      <c r="CE461" s="43" t="str">
        <f>IF(VLOOKUP(CD461,βοηθητικό!$J$2:$N$354,3,FALSE)="","",VLOOKUP(CD461,βοηθητικό!$J$2:$N$354,3,FALSE))</f>
        <v>_</v>
      </c>
      <c r="CF461" s="44"/>
      <c r="CG461" s="45" t="s">
        <v>16</v>
      </c>
      <c r="CH461" s="46" t="str">
        <f>IF(VLOOKUP(CG461,βοηθητικό!$J$2:$N$354,3,FALSE)="","",VLOOKUP(CG461,βοηθητικό!$J$2:$N$354,3,FALSE))</f>
        <v>_</v>
      </c>
      <c r="CI461" s="47"/>
      <c r="CJ461" s="42" t="s">
        <v>16</v>
      </c>
      <c r="CK461" s="43" t="str">
        <f>IF(VLOOKUP(CJ461,βοηθητικό!$J$2:$N$354,3,FALSE)="","",VLOOKUP(CJ461,βοηθητικό!$J$2:$N$354,3,FALSE))</f>
        <v>_</v>
      </c>
      <c r="CL461" s="44"/>
      <c r="CM461" s="45" t="s">
        <v>16</v>
      </c>
      <c r="CN461" s="46" t="str">
        <f>IF(VLOOKUP(CM461,βοηθητικό!$J$2:$N$354,3,FALSE)="","",VLOOKUP(CM461,βοηθητικό!$J$2:$N$354,3,FALSE))</f>
        <v>_</v>
      </c>
      <c r="CO461" s="47"/>
      <c r="CP461" s="42" t="s">
        <v>16</v>
      </c>
      <c r="CQ461" s="43" t="str">
        <f>IF(VLOOKUP(CP461,βοηθητικό!$J$2:$N$354,3,FALSE)="","",VLOOKUP(CP461,βοηθητικό!$J$2:$N$354,3,FALSE))</f>
        <v>_</v>
      </c>
      <c r="CR461" s="44"/>
      <c r="CS461" s="45" t="s">
        <v>16</v>
      </c>
      <c r="CT461" s="46" t="str">
        <f>IF(VLOOKUP(CS461,βοηθητικό!$J$2:$N$354,3,FALSE)="","",VLOOKUP(CS461,βοηθητικό!$J$2:$N$354,3,FALSE))</f>
        <v>_</v>
      </c>
      <c r="CU461" s="47"/>
    </row>
    <row r="462" spans="1:99" x14ac:dyDescent="0.25">
      <c r="A462" s="37">
        <f>--SUBTOTAL(3,$B$3:B461)</f>
        <v>198</v>
      </c>
      <c r="B462" s="2"/>
      <c r="C462" s="3"/>
      <c r="D462" s="55" t="s">
        <v>18</v>
      </c>
      <c r="E462" s="38" t="s">
        <v>16</v>
      </c>
      <c r="F462" s="38" t="s">
        <v>16</v>
      </c>
      <c r="G462" s="39" t="str">
        <f t="shared" si="23"/>
        <v>__</v>
      </c>
      <c r="H462" s="40" t="str">
        <f t="shared" si="24"/>
        <v>FALSE</v>
      </c>
      <c r="I462" s="41">
        <f t="shared" si="25"/>
        <v>0</v>
      </c>
      <c r="J462" s="4" t="s">
        <v>16</v>
      </c>
      <c r="K462" s="43" t="str">
        <f>IF(VLOOKUP(J462,βοηθητικό!$J$2:$N$354,3,FALSE)="","",VLOOKUP(J462,βοηθητικό!$J$2:$N$354,3,FALSE))</f>
        <v>_</v>
      </c>
      <c r="L462" s="44"/>
      <c r="M462" s="5" t="s">
        <v>16</v>
      </c>
      <c r="N462" s="46" t="str">
        <f>IF(VLOOKUP(M462,βοηθητικό!$J$2:$N$354,3,FALSE)="","",VLOOKUP(M462,βοηθητικό!$J$2:$N$354,3,FALSE))</f>
        <v>_</v>
      </c>
      <c r="O462" s="47"/>
      <c r="P462" s="4" t="s">
        <v>16</v>
      </c>
      <c r="Q462" s="43" t="str">
        <f>IF(VLOOKUP(P462,βοηθητικό!$J$2:$N$354,3,FALSE)="","",VLOOKUP(P462,βοηθητικό!$J$2:$N$354,3,FALSE))</f>
        <v>_</v>
      </c>
      <c r="R462" s="44"/>
      <c r="S462" s="5" t="s">
        <v>16</v>
      </c>
      <c r="T462" s="46" t="str">
        <f>IF(VLOOKUP(S462,βοηθητικό!$J$2:$N$354,3,FALSE)="","",VLOOKUP(S462,βοηθητικό!$J$2:$N$354,3,FALSE))</f>
        <v>_</v>
      </c>
      <c r="U462" s="47"/>
      <c r="V462" s="4" t="s">
        <v>16</v>
      </c>
      <c r="W462" s="43" t="str">
        <f>IF(VLOOKUP(V462,βοηθητικό!$J$2:$N$354,3,FALSE)="","",VLOOKUP(V462,βοηθητικό!$J$2:$N$354,3,FALSE))</f>
        <v>_</v>
      </c>
      <c r="X462" s="44"/>
      <c r="Y462" s="5" t="s">
        <v>16</v>
      </c>
      <c r="Z462" s="46" t="str">
        <f>IF(VLOOKUP(Y462,βοηθητικό!$J$2:$N$354,3,FALSE)="","",VLOOKUP(Y462,βοηθητικό!$J$2:$N$354,3,FALSE))</f>
        <v>_</v>
      </c>
      <c r="AA462" s="47"/>
      <c r="AB462" s="4" t="s">
        <v>16</v>
      </c>
      <c r="AC462" s="43" t="str">
        <f>IF(VLOOKUP(AB462,βοηθητικό!$J$2:$N$354,3,FALSE)="","",VLOOKUP(AB462,βοηθητικό!$J$2:$N$354,3,FALSE))</f>
        <v>_</v>
      </c>
      <c r="AD462" s="44"/>
      <c r="AE462" s="5" t="s">
        <v>16</v>
      </c>
      <c r="AF462" s="46" t="str">
        <f>IF(VLOOKUP(AE462,βοηθητικό!$J$2:$N$354,3,FALSE)="","",VLOOKUP(AE462,βοηθητικό!$J$2:$N$354,3,FALSE))</f>
        <v>_</v>
      </c>
      <c r="AG462" s="47"/>
      <c r="AH462" s="4" t="s">
        <v>16</v>
      </c>
      <c r="AI462" s="43" t="str">
        <f>IF(VLOOKUP(AH462,βοηθητικό!$J$2:$N$354,3,FALSE)="","",VLOOKUP(AH462,βοηθητικό!$J$2:$N$354,3,FALSE))</f>
        <v>_</v>
      </c>
      <c r="AJ462" s="44"/>
      <c r="AK462" s="5" t="s">
        <v>16</v>
      </c>
      <c r="AL462" s="46" t="str">
        <f>IF(VLOOKUP(AK462,βοηθητικό!$J$2:$N$354,3,FALSE)="","",VLOOKUP(AK462,βοηθητικό!$J$2:$N$354,3,FALSE))</f>
        <v>_</v>
      </c>
      <c r="AM462" s="47"/>
      <c r="AN462" s="4" t="s">
        <v>16</v>
      </c>
      <c r="AO462" s="43" t="str">
        <f>IF(VLOOKUP(AN462,βοηθητικό!$J$2:$N$354,3,FALSE)="","",VLOOKUP(AN462,βοηθητικό!$J$2:$N$354,3,FALSE))</f>
        <v>_</v>
      </c>
      <c r="AP462" s="44"/>
      <c r="AQ462" s="5" t="s">
        <v>16</v>
      </c>
      <c r="AR462" s="46" t="str">
        <f>IF(VLOOKUP(AQ462,βοηθητικό!$J$2:$N$354,3,FALSE)="","",VLOOKUP(AQ462,βοηθητικό!$J$2:$N$354,3,FALSE))</f>
        <v>_</v>
      </c>
      <c r="AS462" s="47"/>
      <c r="AT462" s="4" t="s">
        <v>16</v>
      </c>
      <c r="AU462" s="43" t="str">
        <f>IF(VLOOKUP(AT462,βοηθητικό!$J$2:$N$354,3,FALSE)="","",VLOOKUP(AT462,βοηθητικό!$J$2:$N$354,3,FALSE))</f>
        <v>_</v>
      </c>
      <c r="AV462" s="44"/>
      <c r="AW462" s="5" t="s">
        <v>16</v>
      </c>
      <c r="AX462" s="46" t="str">
        <f>IF(VLOOKUP(AW462,βοηθητικό!$J$2:$N$354,3,FALSE)="","",VLOOKUP(AW462,βοηθητικό!$J$2:$N$354,3,FALSE))</f>
        <v>_</v>
      </c>
      <c r="AY462" s="47"/>
      <c r="AZ462" s="4" t="s">
        <v>16</v>
      </c>
      <c r="BA462" s="43" t="str">
        <f>IF(VLOOKUP(AZ462,βοηθητικό!$J$2:$N$354,3,FALSE)="","",VLOOKUP(AZ462,βοηθητικό!$J$2:$N$354,3,FALSE))</f>
        <v>_</v>
      </c>
      <c r="BB462" s="44"/>
      <c r="BC462" s="45" t="s">
        <v>16</v>
      </c>
      <c r="BD462" s="46" t="str">
        <f>IF(VLOOKUP(BC462,βοηθητικό!$J$2:$N$354,3,FALSE)="","",VLOOKUP(BC462,βοηθητικό!$J$2:$N$354,3,FALSE))</f>
        <v>_</v>
      </c>
      <c r="BE462" s="47"/>
      <c r="BF462" s="42" t="s">
        <v>16</v>
      </c>
      <c r="BG462" s="43" t="str">
        <f>IF(VLOOKUP(BF462,βοηθητικό!$J$2:$N$354,3,FALSE)="","",VLOOKUP(BF462,βοηθητικό!$J$2:$N$354,3,FALSE))</f>
        <v>_</v>
      </c>
      <c r="BH462" s="44"/>
      <c r="BI462" s="45" t="s">
        <v>16</v>
      </c>
      <c r="BJ462" s="46" t="str">
        <f>IF(VLOOKUP(BI462,βοηθητικό!$J$2:$N$354,3,FALSE)="","",VLOOKUP(BI462,βοηθητικό!$J$2:$N$354,3,FALSE))</f>
        <v>_</v>
      </c>
      <c r="BK462" s="47"/>
      <c r="BL462" s="42" t="s">
        <v>16</v>
      </c>
      <c r="BM462" s="43" t="str">
        <f>IF(VLOOKUP(BL462,βοηθητικό!$J$2:$N$354,3,FALSE)="","",VLOOKUP(BL462,βοηθητικό!$J$2:$N$354,3,FALSE))</f>
        <v>_</v>
      </c>
      <c r="BN462" s="44"/>
      <c r="BO462" s="45" t="s">
        <v>16</v>
      </c>
      <c r="BP462" s="46" t="str">
        <f>IF(VLOOKUP(BO462,βοηθητικό!$J$2:$N$354,3,FALSE)="","",VLOOKUP(BO462,βοηθητικό!$J$2:$N$354,3,FALSE))</f>
        <v>_</v>
      </c>
      <c r="BQ462" s="47"/>
      <c r="BR462" s="42" t="s">
        <v>16</v>
      </c>
      <c r="BS462" s="43" t="str">
        <f>IF(VLOOKUP(BR462,βοηθητικό!$J$2:$N$354,3,FALSE)="","",VLOOKUP(BR462,βοηθητικό!$J$2:$N$354,3,FALSE))</f>
        <v>_</v>
      </c>
      <c r="BT462" s="44"/>
      <c r="BU462" s="45" t="s">
        <v>16</v>
      </c>
      <c r="BV462" s="46" t="str">
        <f>IF(VLOOKUP(BU462,βοηθητικό!$J$2:$N$354,3,FALSE)="","",VLOOKUP(BU462,βοηθητικό!$J$2:$N$354,3,FALSE))</f>
        <v>_</v>
      </c>
      <c r="BW462" s="47"/>
      <c r="BX462" s="42" t="s">
        <v>16</v>
      </c>
      <c r="BY462" s="43" t="str">
        <f>IF(VLOOKUP(BX462,βοηθητικό!$J$2:$N$354,3,FALSE)="","",VLOOKUP(BX462,βοηθητικό!$J$2:$N$354,3,FALSE))</f>
        <v>_</v>
      </c>
      <c r="BZ462" s="44"/>
      <c r="CA462" s="45" t="s">
        <v>16</v>
      </c>
      <c r="CB462" s="46" t="str">
        <f>IF(VLOOKUP(CA462,βοηθητικό!$J$2:$N$354,3,FALSE)="","",VLOOKUP(CA462,βοηθητικό!$J$2:$N$354,3,FALSE))</f>
        <v>_</v>
      </c>
      <c r="CC462" s="47"/>
      <c r="CD462" s="42" t="s">
        <v>16</v>
      </c>
      <c r="CE462" s="43" t="str">
        <f>IF(VLOOKUP(CD462,βοηθητικό!$J$2:$N$354,3,FALSE)="","",VLOOKUP(CD462,βοηθητικό!$J$2:$N$354,3,FALSE))</f>
        <v>_</v>
      </c>
      <c r="CF462" s="44"/>
      <c r="CG462" s="45" t="s">
        <v>16</v>
      </c>
      <c r="CH462" s="46" t="str">
        <f>IF(VLOOKUP(CG462,βοηθητικό!$J$2:$N$354,3,FALSE)="","",VLOOKUP(CG462,βοηθητικό!$J$2:$N$354,3,FALSE))</f>
        <v>_</v>
      </c>
      <c r="CI462" s="47"/>
      <c r="CJ462" s="42" t="s">
        <v>16</v>
      </c>
      <c r="CK462" s="43" t="str">
        <f>IF(VLOOKUP(CJ462,βοηθητικό!$J$2:$N$354,3,FALSE)="","",VLOOKUP(CJ462,βοηθητικό!$J$2:$N$354,3,FALSE))</f>
        <v>_</v>
      </c>
      <c r="CL462" s="44"/>
      <c r="CM462" s="45" t="s">
        <v>16</v>
      </c>
      <c r="CN462" s="46" t="str">
        <f>IF(VLOOKUP(CM462,βοηθητικό!$J$2:$N$354,3,FALSE)="","",VLOOKUP(CM462,βοηθητικό!$J$2:$N$354,3,FALSE))</f>
        <v>_</v>
      </c>
      <c r="CO462" s="47"/>
      <c r="CP462" s="42" t="s">
        <v>16</v>
      </c>
      <c r="CQ462" s="43" t="str">
        <f>IF(VLOOKUP(CP462,βοηθητικό!$J$2:$N$354,3,FALSE)="","",VLOOKUP(CP462,βοηθητικό!$J$2:$N$354,3,FALSE))</f>
        <v>_</v>
      </c>
      <c r="CR462" s="44"/>
      <c r="CS462" s="45" t="s">
        <v>16</v>
      </c>
      <c r="CT462" s="46" t="str">
        <f>IF(VLOOKUP(CS462,βοηθητικό!$J$2:$N$354,3,FALSE)="","",VLOOKUP(CS462,βοηθητικό!$J$2:$N$354,3,FALSE))</f>
        <v>_</v>
      </c>
      <c r="CU462" s="47"/>
    </row>
    <row r="463" spans="1:99" x14ac:dyDescent="0.25">
      <c r="A463" s="37">
        <f>--SUBTOTAL(3,$B$3:B462)</f>
        <v>198</v>
      </c>
      <c r="B463" s="2"/>
      <c r="C463" s="3"/>
      <c r="D463" s="55" t="s">
        <v>18</v>
      </c>
      <c r="E463" s="38" t="s">
        <v>16</v>
      </c>
      <c r="F463" s="38" t="s">
        <v>16</v>
      </c>
      <c r="G463" s="39" t="str">
        <f t="shared" si="23"/>
        <v>__</v>
      </c>
      <c r="H463" s="40" t="str">
        <f t="shared" si="24"/>
        <v>FALSE</v>
      </c>
      <c r="I463" s="41">
        <f t="shared" si="25"/>
        <v>0</v>
      </c>
      <c r="J463" s="4" t="s">
        <v>16</v>
      </c>
      <c r="K463" s="43" t="str">
        <f>IF(VLOOKUP(J463,βοηθητικό!$J$2:$N$354,3,FALSE)="","",VLOOKUP(J463,βοηθητικό!$J$2:$N$354,3,FALSE))</f>
        <v>_</v>
      </c>
      <c r="L463" s="44"/>
      <c r="M463" s="5" t="s">
        <v>16</v>
      </c>
      <c r="N463" s="46" t="str">
        <f>IF(VLOOKUP(M463,βοηθητικό!$J$2:$N$354,3,FALSE)="","",VLOOKUP(M463,βοηθητικό!$J$2:$N$354,3,FALSE))</f>
        <v>_</v>
      </c>
      <c r="O463" s="47"/>
      <c r="P463" s="4" t="s">
        <v>16</v>
      </c>
      <c r="Q463" s="43" t="str">
        <f>IF(VLOOKUP(P463,βοηθητικό!$J$2:$N$354,3,FALSE)="","",VLOOKUP(P463,βοηθητικό!$J$2:$N$354,3,FALSE))</f>
        <v>_</v>
      </c>
      <c r="R463" s="44"/>
      <c r="S463" s="5" t="s">
        <v>16</v>
      </c>
      <c r="T463" s="46" t="str">
        <f>IF(VLOOKUP(S463,βοηθητικό!$J$2:$N$354,3,FALSE)="","",VLOOKUP(S463,βοηθητικό!$J$2:$N$354,3,FALSE))</f>
        <v>_</v>
      </c>
      <c r="U463" s="47"/>
      <c r="V463" s="4" t="s">
        <v>16</v>
      </c>
      <c r="W463" s="43" t="str">
        <f>IF(VLOOKUP(V463,βοηθητικό!$J$2:$N$354,3,FALSE)="","",VLOOKUP(V463,βοηθητικό!$J$2:$N$354,3,FALSE))</f>
        <v>_</v>
      </c>
      <c r="X463" s="44"/>
      <c r="Y463" s="5" t="s">
        <v>16</v>
      </c>
      <c r="Z463" s="46" t="str">
        <f>IF(VLOOKUP(Y463,βοηθητικό!$J$2:$N$354,3,FALSE)="","",VLOOKUP(Y463,βοηθητικό!$J$2:$N$354,3,FALSE))</f>
        <v>_</v>
      </c>
      <c r="AA463" s="47"/>
      <c r="AB463" s="4" t="s">
        <v>16</v>
      </c>
      <c r="AC463" s="43" t="str">
        <f>IF(VLOOKUP(AB463,βοηθητικό!$J$2:$N$354,3,FALSE)="","",VLOOKUP(AB463,βοηθητικό!$J$2:$N$354,3,FALSE))</f>
        <v>_</v>
      </c>
      <c r="AD463" s="44"/>
      <c r="AE463" s="5" t="s">
        <v>16</v>
      </c>
      <c r="AF463" s="46" t="str">
        <f>IF(VLOOKUP(AE463,βοηθητικό!$J$2:$N$354,3,FALSE)="","",VLOOKUP(AE463,βοηθητικό!$J$2:$N$354,3,FALSE))</f>
        <v>_</v>
      </c>
      <c r="AG463" s="47"/>
      <c r="AH463" s="4" t="s">
        <v>16</v>
      </c>
      <c r="AI463" s="43" t="str">
        <f>IF(VLOOKUP(AH463,βοηθητικό!$J$2:$N$354,3,FALSE)="","",VLOOKUP(AH463,βοηθητικό!$J$2:$N$354,3,FALSE))</f>
        <v>_</v>
      </c>
      <c r="AJ463" s="44"/>
      <c r="AK463" s="5" t="s">
        <v>16</v>
      </c>
      <c r="AL463" s="46" t="str">
        <f>IF(VLOOKUP(AK463,βοηθητικό!$J$2:$N$354,3,FALSE)="","",VLOOKUP(AK463,βοηθητικό!$J$2:$N$354,3,FALSE))</f>
        <v>_</v>
      </c>
      <c r="AM463" s="47"/>
      <c r="AN463" s="4" t="s">
        <v>16</v>
      </c>
      <c r="AO463" s="43" t="str">
        <f>IF(VLOOKUP(AN463,βοηθητικό!$J$2:$N$354,3,FALSE)="","",VLOOKUP(AN463,βοηθητικό!$J$2:$N$354,3,FALSE))</f>
        <v>_</v>
      </c>
      <c r="AP463" s="44"/>
      <c r="AQ463" s="5" t="s">
        <v>16</v>
      </c>
      <c r="AR463" s="46" t="str">
        <f>IF(VLOOKUP(AQ463,βοηθητικό!$J$2:$N$354,3,FALSE)="","",VLOOKUP(AQ463,βοηθητικό!$J$2:$N$354,3,FALSE))</f>
        <v>_</v>
      </c>
      <c r="AS463" s="47"/>
      <c r="AT463" s="4" t="s">
        <v>16</v>
      </c>
      <c r="AU463" s="43" t="str">
        <f>IF(VLOOKUP(AT463,βοηθητικό!$J$2:$N$354,3,FALSE)="","",VLOOKUP(AT463,βοηθητικό!$J$2:$N$354,3,FALSE))</f>
        <v>_</v>
      </c>
      <c r="AV463" s="44"/>
      <c r="AW463" s="5" t="s">
        <v>16</v>
      </c>
      <c r="AX463" s="46" t="str">
        <f>IF(VLOOKUP(AW463,βοηθητικό!$J$2:$N$354,3,FALSE)="","",VLOOKUP(AW463,βοηθητικό!$J$2:$N$354,3,FALSE))</f>
        <v>_</v>
      </c>
      <c r="AY463" s="47"/>
      <c r="AZ463" s="4" t="s">
        <v>16</v>
      </c>
      <c r="BA463" s="43" t="str">
        <f>IF(VLOOKUP(AZ463,βοηθητικό!$J$2:$N$354,3,FALSE)="","",VLOOKUP(AZ463,βοηθητικό!$J$2:$N$354,3,FALSE))</f>
        <v>_</v>
      </c>
      <c r="BB463" s="44"/>
      <c r="BC463" s="45" t="s">
        <v>16</v>
      </c>
      <c r="BD463" s="46" t="str">
        <f>IF(VLOOKUP(BC463,βοηθητικό!$J$2:$N$354,3,FALSE)="","",VLOOKUP(BC463,βοηθητικό!$J$2:$N$354,3,FALSE))</f>
        <v>_</v>
      </c>
      <c r="BE463" s="47"/>
      <c r="BF463" s="42" t="s">
        <v>16</v>
      </c>
      <c r="BG463" s="43" t="str">
        <f>IF(VLOOKUP(BF463,βοηθητικό!$J$2:$N$354,3,FALSE)="","",VLOOKUP(BF463,βοηθητικό!$J$2:$N$354,3,FALSE))</f>
        <v>_</v>
      </c>
      <c r="BH463" s="44"/>
      <c r="BI463" s="45" t="s">
        <v>16</v>
      </c>
      <c r="BJ463" s="46" t="str">
        <f>IF(VLOOKUP(BI463,βοηθητικό!$J$2:$N$354,3,FALSE)="","",VLOOKUP(BI463,βοηθητικό!$J$2:$N$354,3,FALSE))</f>
        <v>_</v>
      </c>
      <c r="BK463" s="47"/>
      <c r="BL463" s="42" t="s">
        <v>16</v>
      </c>
      <c r="BM463" s="43" t="str">
        <f>IF(VLOOKUP(BL463,βοηθητικό!$J$2:$N$354,3,FALSE)="","",VLOOKUP(BL463,βοηθητικό!$J$2:$N$354,3,FALSE))</f>
        <v>_</v>
      </c>
      <c r="BN463" s="44"/>
      <c r="BO463" s="45" t="s">
        <v>16</v>
      </c>
      <c r="BP463" s="46" t="str">
        <f>IF(VLOOKUP(BO463,βοηθητικό!$J$2:$N$354,3,FALSE)="","",VLOOKUP(BO463,βοηθητικό!$J$2:$N$354,3,FALSE))</f>
        <v>_</v>
      </c>
      <c r="BQ463" s="47"/>
      <c r="BR463" s="42" t="s">
        <v>16</v>
      </c>
      <c r="BS463" s="43" t="str">
        <f>IF(VLOOKUP(BR463,βοηθητικό!$J$2:$N$354,3,FALSE)="","",VLOOKUP(BR463,βοηθητικό!$J$2:$N$354,3,FALSE))</f>
        <v>_</v>
      </c>
      <c r="BT463" s="44"/>
      <c r="BU463" s="45" t="s">
        <v>16</v>
      </c>
      <c r="BV463" s="46" t="str">
        <f>IF(VLOOKUP(BU463,βοηθητικό!$J$2:$N$354,3,FALSE)="","",VLOOKUP(BU463,βοηθητικό!$J$2:$N$354,3,FALSE))</f>
        <v>_</v>
      </c>
      <c r="BW463" s="47"/>
      <c r="BX463" s="42" t="s">
        <v>16</v>
      </c>
      <c r="BY463" s="43" t="str">
        <f>IF(VLOOKUP(BX463,βοηθητικό!$J$2:$N$354,3,FALSE)="","",VLOOKUP(BX463,βοηθητικό!$J$2:$N$354,3,FALSE))</f>
        <v>_</v>
      </c>
      <c r="BZ463" s="44"/>
      <c r="CA463" s="45" t="s">
        <v>16</v>
      </c>
      <c r="CB463" s="46" t="str">
        <f>IF(VLOOKUP(CA463,βοηθητικό!$J$2:$N$354,3,FALSE)="","",VLOOKUP(CA463,βοηθητικό!$J$2:$N$354,3,FALSE))</f>
        <v>_</v>
      </c>
      <c r="CC463" s="47"/>
      <c r="CD463" s="42" t="s">
        <v>16</v>
      </c>
      <c r="CE463" s="43" t="str">
        <f>IF(VLOOKUP(CD463,βοηθητικό!$J$2:$N$354,3,FALSE)="","",VLOOKUP(CD463,βοηθητικό!$J$2:$N$354,3,FALSE))</f>
        <v>_</v>
      </c>
      <c r="CF463" s="44"/>
      <c r="CG463" s="45" t="s">
        <v>16</v>
      </c>
      <c r="CH463" s="46" t="str">
        <f>IF(VLOOKUP(CG463,βοηθητικό!$J$2:$N$354,3,FALSE)="","",VLOOKUP(CG463,βοηθητικό!$J$2:$N$354,3,FALSE))</f>
        <v>_</v>
      </c>
      <c r="CI463" s="47"/>
      <c r="CJ463" s="42" t="s">
        <v>16</v>
      </c>
      <c r="CK463" s="43" t="str">
        <f>IF(VLOOKUP(CJ463,βοηθητικό!$J$2:$N$354,3,FALSE)="","",VLOOKUP(CJ463,βοηθητικό!$J$2:$N$354,3,FALSE))</f>
        <v>_</v>
      </c>
      <c r="CL463" s="44"/>
      <c r="CM463" s="45" t="s">
        <v>16</v>
      </c>
      <c r="CN463" s="46" t="str">
        <f>IF(VLOOKUP(CM463,βοηθητικό!$J$2:$N$354,3,FALSE)="","",VLOOKUP(CM463,βοηθητικό!$J$2:$N$354,3,FALSE))</f>
        <v>_</v>
      </c>
      <c r="CO463" s="47"/>
      <c r="CP463" s="42" t="s">
        <v>16</v>
      </c>
      <c r="CQ463" s="43" t="str">
        <f>IF(VLOOKUP(CP463,βοηθητικό!$J$2:$N$354,3,FALSE)="","",VLOOKUP(CP463,βοηθητικό!$J$2:$N$354,3,FALSE))</f>
        <v>_</v>
      </c>
      <c r="CR463" s="44"/>
      <c r="CS463" s="45" t="s">
        <v>16</v>
      </c>
      <c r="CT463" s="46" t="str">
        <f>IF(VLOOKUP(CS463,βοηθητικό!$J$2:$N$354,3,FALSE)="","",VLOOKUP(CS463,βοηθητικό!$J$2:$N$354,3,FALSE))</f>
        <v>_</v>
      </c>
      <c r="CU463" s="47"/>
    </row>
    <row r="464" spans="1:99" x14ac:dyDescent="0.25">
      <c r="A464" s="37">
        <f>--SUBTOTAL(3,$B$3:B463)</f>
        <v>198</v>
      </c>
      <c r="B464" s="2"/>
      <c r="C464" s="3"/>
      <c r="D464" s="55" t="s">
        <v>18</v>
      </c>
      <c r="E464" s="38" t="s">
        <v>16</v>
      </c>
      <c r="F464" s="38" t="s">
        <v>16</v>
      </c>
      <c r="G464" s="39" t="str">
        <f t="shared" si="23"/>
        <v>__</v>
      </c>
      <c r="H464" s="40" t="str">
        <f t="shared" si="24"/>
        <v>FALSE</v>
      </c>
      <c r="I464" s="41">
        <f t="shared" si="25"/>
        <v>0</v>
      </c>
      <c r="J464" s="4" t="s">
        <v>16</v>
      </c>
      <c r="K464" s="43" t="str">
        <f>IF(VLOOKUP(J464,βοηθητικό!$J$2:$N$354,3,FALSE)="","",VLOOKUP(J464,βοηθητικό!$J$2:$N$354,3,FALSE))</f>
        <v>_</v>
      </c>
      <c r="L464" s="44"/>
      <c r="M464" s="5" t="s">
        <v>16</v>
      </c>
      <c r="N464" s="46" t="str">
        <f>IF(VLOOKUP(M464,βοηθητικό!$J$2:$N$354,3,FALSE)="","",VLOOKUP(M464,βοηθητικό!$J$2:$N$354,3,FALSE))</f>
        <v>_</v>
      </c>
      <c r="O464" s="47"/>
      <c r="P464" s="4" t="s">
        <v>16</v>
      </c>
      <c r="Q464" s="43" t="str">
        <f>IF(VLOOKUP(P464,βοηθητικό!$J$2:$N$354,3,FALSE)="","",VLOOKUP(P464,βοηθητικό!$J$2:$N$354,3,FALSE))</f>
        <v>_</v>
      </c>
      <c r="R464" s="44"/>
      <c r="S464" s="5" t="s">
        <v>16</v>
      </c>
      <c r="T464" s="46" t="str">
        <f>IF(VLOOKUP(S464,βοηθητικό!$J$2:$N$354,3,FALSE)="","",VLOOKUP(S464,βοηθητικό!$J$2:$N$354,3,FALSE))</f>
        <v>_</v>
      </c>
      <c r="U464" s="47"/>
      <c r="V464" s="4" t="s">
        <v>16</v>
      </c>
      <c r="W464" s="43" t="str">
        <f>IF(VLOOKUP(V464,βοηθητικό!$J$2:$N$354,3,FALSE)="","",VLOOKUP(V464,βοηθητικό!$J$2:$N$354,3,FALSE))</f>
        <v>_</v>
      </c>
      <c r="X464" s="44"/>
      <c r="Y464" s="5" t="s">
        <v>16</v>
      </c>
      <c r="Z464" s="46" t="str">
        <f>IF(VLOOKUP(Y464,βοηθητικό!$J$2:$N$354,3,FALSE)="","",VLOOKUP(Y464,βοηθητικό!$J$2:$N$354,3,FALSE))</f>
        <v>_</v>
      </c>
      <c r="AA464" s="47"/>
      <c r="AB464" s="4" t="s">
        <v>16</v>
      </c>
      <c r="AC464" s="43" t="str">
        <f>IF(VLOOKUP(AB464,βοηθητικό!$J$2:$N$354,3,FALSE)="","",VLOOKUP(AB464,βοηθητικό!$J$2:$N$354,3,FALSE))</f>
        <v>_</v>
      </c>
      <c r="AD464" s="44"/>
      <c r="AE464" s="5" t="s">
        <v>16</v>
      </c>
      <c r="AF464" s="46" t="str">
        <f>IF(VLOOKUP(AE464,βοηθητικό!$J$2:$N$354,3,FALSE)="","",VLOOKUP(AE464,βοηθητικό!$J$2:$N$354,3,FALSE))</f>
        <v>_</v>
      </c>
      <c r="AG464" s="47"/>
      <c r="AH464" s="4" t="s">
        <v>16</v>
      </c>
      <c r="AI464" s="43" t="str">
        <f>IF(VLOOKUP(AH464,βοηθητικό!$J$2:$N$354,3,FALSE)="","",VLOOKUP(AH464,βοηθητικό!$J$2:$N$354,3,FALSE))</f>
        <v>_</v>
      </c>
      <c r="AJ464" s="44"/>
      <c r="AK464" s="5" t="s">
        <v>16</v>
      </c>
      <c r="AL464" s="46" t="str">
        <f>IF(VLOOKUP(AK464,βοηθητικό!$J$2:$N$354,3,FALSE)="","",VLOOKUP(AK464,βοηθητικό!$J$2:$N$354,3,FALSE))</f>
        <v>_</v>
      </c>
      <c r="AM464" s="47"/>
      <c r="AN464" s="4" t="s">
        <v>16</v>
      </c>
      <c r="AO464" s="43" t="str">
        <f>IF(VLOOKUP(AN464,βοηθητικό!$J$2:$N$354,3,FALSE)="","",VLOOKUP(AN464,βοηθητικό!$J$2:$N$354,3,FALSE))</f>
        <v>_</v>
      </c>
      <c r="AP464" s="44"/>
      <c r="AQ464" s="5" t="s">
        <v>16</v>
      </c>
      <c r="AR464" s="46" t="str">
        <f>IF(VLOOKUP(AQ464,βοηθητικό!$J$2:$N$354,3,FALSE)="","",VLOOKUP(AQ464,βοηθητικό!$J$2:$N$354,3,FALSE))</f>
        <v>_</v>
      </c>
      <c r="AS464" s="47"/>
      <c r="AT464" s="4" t="s">
        <v>16</v>
      </c>
      <c r="AU464" s="43" t="str">
        <f>IF(VLOOKUP(AT464,βοηθητικό!$J$2:$N$354,3,FALSE)="","",VLOOKUP(AT464,βοηθητικό!$J$2:$N$354,3,FALSE))</f>
        <v>_</v>
      </c>
      <c r="AV464" s="44"/>
      <c r="AW464" s="5" t="s">
        <v>16</v>
      </c>
      <c r="AX464" s="46" t="str">
        <f>IF(VLOOKUP(AW464,βοηθητικό!$J$2:$N$354,3,FALSE)="","",VLOOKUP(AW464,βοηθητικό!$J$2:$N$354,3,FALSE))</f>
        <v>_</v>
      </c>
      <c r="AY464" s="47"/>
      <c r="AZ464" s="4" t="s">
        <v>16</v>
      </c>
      <c r="BA464" s="43" t="str">
        <f>IF(VLOOKUP(AZ464,βοηθητικό!$J$2:$N$354,3,FALSE)="","",VLOOKUP(AZ464,βοηθητικό!$J$2:$N$354,3,FALSE))</f>
        <v>_</v>
      </c>
      <c r="BB464" s="44"/>
      <c r="BC464" s="45" t="s">
        <v>16</v>
      </c>
      <c r="BD464" s="46" t="str">
        <f>IF(VLOOKUP(BC464,βοηθητικό!$J$2:$N$354,3,FALSE)="","",VLOOKUP(BC464,βοηθητικό!$J$2:$N$354,3,FALSE))</f>
        <v>_</v>
      </c>
      <c r="BE464" s="47"/>
      <c r="BF464" s="42" t="s">
        <v>16</v>
      </c>
      <c r="BG464" s="43" t="str">
        <f>IF(VLOOKUP(BF464,βοηθητικό!$J$2:$N$354,3,FALSE)="","",VLOOKUP(BF464,βοηθητικό!$J$2:$N$354,3,FALSE))</f>
        <v>_</v>
      </c>
      <c r="BH464" s="44"/>
      <c r="BI464" s="45" t="s">
        <v>16</v>
      </c>
      <c r="BJ464" s="46" t="str">
        <f>IF(VLOOKUP(BI464,βοηθητικό!$J$2:$N$354,3,FALSE)="","",VLOOKUP(BI464,βοηθητικό!$J$2:$N$354,3,FALSE))</f>
        <v>_</v>
      </c>
      <c r="BK464" s="47"/>
      <c r="BL464" s="42" t="s">
        <v>16</v>
      </c>
      <c r="BM464" s="43" t="str">
        <f>IF(VLOOKUP(BL464,βοηθητικό!$J$2:$N$354,3,FALSE)="","",VLOOKUP(BL464,βοηθητικό!$J$2:$N$354,3,FALSE))</f>
        <v>_</v>
      </c>
      <c r="BN464" s="44"/>
      <c r="BO464" s="45" t="s">
        <v>16</v>
      </c>
      <c r="BP464" s="46" t="str">
        <f>IF(VLOOKUP(BO464,βοηθητικό!$J$2:$N$354,3,FALSE)="","",VLOOKUP(BO464,βοηθητικό!$J$2:$N$354,3,FALSE))</f>
        <v>_</v>
      </c>
      <c r="BQ464" s="47"/>
      <c r="BR464" s="42" t="s">
        <v>16</v>
      </c>
      <c r="BS464" s="43" t="str">
        <f>IF(VLOOKUP(BR464,βοηθητικό!$J$2:$N$354,3,FALSE)="","",VLOOKUP(BR464,βοηθητικό!$J$2:$N$354,3,FALSE))</f>
        <v>_</v>
      </c>
      <c r="BT464" s="44"/>
      <c r="BU464" s="45" t="s">
        <v>16</v>
      </c>
      <c r="BV464" s="46" t="str">
        <f>IF(VLOOKUP(BU464,βοηθητικό!$J$2:$N$354,3,FALSE)="","",VLOOKUP(BU464,βοηθητικό!$J$2:$N$354,3,FALSE))</f>
        <v>_</v>
      </c>
      <c r="BW464" s="47"/>
      <c r="BX464" s="42" t="s">
        <v>16</v>
      </c>
      <c r="BY464" s="43" t="str">
        <f>IF(VLOOKUP(BX464,βοηθητικό!$J$2:$N$354,3,FALSE)="","",VLOOKUP(BX464,βοηθητικό!$J$2:$N$354,3,FALSE))</f>
        <v>_</v>
      </c>
      <c r="BZ464" s="44"/>
      <c r="CA464" s="45" t="s">
        <v>16</v>
      </c>
      <c r="CB464" s="46" t="str">
        <f>IF(VLOOKUP(CA464,βοηθητικό!$J$2:$N$354,3,FALSE)="","",VLOOKUP(CA464,βοηθητικό!$J$2:$N$354,3,FALSE))</f>
        <v>_</v>
      </c>
      <c r="CC464" s="47"/>
      <c r="CD464" s="42" t="s">
        <v>16</v>
      </c>
      <c r="CE464" s="43" t="str">
        <f>IF(VLOOKUP(CD464,βοηθητικό!$J$2:$N$354,3,FALSE)="","",VLOOKUP(CD464,βοηθητικό!$J$2:$N$354,3,FALSE))</f>
        <v>_</v>
      </c>
      <c r="CF464" s="44"/>
      <c r="CG464" s="45" t="s">
        <v>16</v>
      </c>
      <c r="CH464" s="46" t="str">
        <f>IF(VLOOKUP(CG464,βοηθητικό!$J$2:$N$354,3,FALSE)="","",VLOOKUP(CG464,βοηθητικό!$J$2:$N$354,3,FALSE))</f>
        <v>_</v>
      </c>
      <c r="CI464" s="47"/>
      <c r="CJ464" s="42" t="s">
        <v>16</v>
      </c>
      <c r="CK464" s="43" t="str">
        <f>IF(VLOOKUP(CJ464,βοηθητικό!$J$2:$N$354,3,FALSE)="","",VLOOKUP(CJ464,βοηθητικό!$J$2:$N$354,3,FALSE))</f>
        <v>_</v>
      </c>
      <c r="CL464" s="44"/>
      <c r="CM464" s="45" t="s">
        <v>16</v>
      </c>
      <c r="CN464" s="46" t="str">
        <f>IF(VLOOKUP(CM464,βοηθητικό!$J$2:$N$354,3,FALSE)="","",VLOOKUP(CM464,βοηθητικό!$J$2:$N$354,3,FALSE))</f>
        <v>_</v>
      </c>
      <c r="CO464" s="47"/>
      <c r="CP464" s="42" t="s">
        <v>16</v>
      </c>
      <c r="CQ464" s="43" t="str">
        <f>IF(VLOOKUP(CP464,βοηθητικό!$J$2:$N$354,3,FALSE)="","",VLOOKUP(CP464,βοηθητικό!$J$2:$N$354,3,FALSE))</f>
        <v>_</v>
      </c>
      <c r="CR464" s="44"/>
      <c r="CS464" s="45" t="s">
        <v>16</v>
      </c>
      <c r="CT464" s="46" t="str">
        <f>IF(VLOOKUP(CS464,βοηθητικό!$J$2:$N$354,3,FALSE)="","",VLOOKUP(CS464,βοηθητικό!$J$2:$N$354,3,FALSE))</f>
        <v>_</v>
      </c>
      <c r="CU464" s="47"/>
    </row>
    <row r="465" spans="1:99" x14ac:dyDescent="0.25">
      <c r="A465" s="37">
        <f>--SUBTOTAL(3,$B$3:B464)</f>
        <v>198</v>
      </c>
      <c r="B465" s="2"/>
      <c r="C465" s="3"/>
      <c r="D465" s="55" t="s">
        <v>18</v>
      </c>
      <c r="E465" s="38" t="s">
        <v>16</v>
      </c>
      <c r="F465" s="38" t="s">
        <v>16</v>
      </c>
      <c r="G465" s="39" t="str">
        <f t="shared" si="23"/>
        <v>__</v>
      </c>
      <c r="H465" s="40" t="str">
        <f t="shared" si="24"/>
        <v>FALSE</v>
      </c>
      <c r="I465" s="41">
        <f t="shared" si="25"/>
        <v>0</v>
      </c>
      <c r="J465" s="4" t="s">
        <v>16</v>
      </c>
      <c r="K465" s="43" t="str">
        <f>IF(VLOOKUP(J465,βοηθητικό!$J$2:$N$354,3,FALSE)="","",VLOOKUP(J465,βοηθητικό!$J$2:$N$354,3,FALSE))</f>
        <v>_</v>
      </c>
      <c r="L465" s="44"/>
      <c r="M465" s="5" t="s">
        <v>16</v>
      </c>
      <c r="N465" s="46" t="str">
        <f>IF(VLOOKUP(M465,βοηθητικό!$J$2:$N$354,3,FALSE)="","",VLOOKUP(M465,βοηθητικό!$J$2:$N$354,3,FALSE))</f>
        <v>_</v>
      </c>
      <c r="O465" s="47"/>
      <c r="P465" s="4" t="s">
        <v>16</v>
      </c>
      <c r="Q465" s="43" t="str">
        <f>IF(VLOOKUP(P465,βοηθητικό!$J$2:$N$354,3,FALSE)="","",VLOOKUP(P465,βοηθητικό!$J$2:$N$354,3,FALSE))</f>
        <v>_</v>
      </c>
      <c r="R465" s="44"/>
      <c r="S465" s="5" t="s">
        <v>16</v>
      </c>
      <c r="T465" s="46" t="str">
        <f>IF(VLOOKUP(S465,βοηθητικό!$J$2:$N$354,3,FALSE)="","",VLOOKUP(S465,βοηθητικό!$J$2:$N$354,3,FALSE))</f>
        <v>_</v>
      </c>
      <c r="U465" s="47"/>
      <c r="V465" s="4" t="s">
        <v>16</v>
      </c>
      <c r="W465" s="43" t="str">
        <f>IF(VLOOKUP(V465,βοηθητικό!$J$2:$N$354,3,FALSE)="","",VLOOKUP(V465,βοηθητικό!$J$2:$N$354,3,FALSE))</f>
        <v>_</v>
      </c>
      <c r="X465" s="44"/>
      <c r="Y465" s="5" t="s">
        <v>16</v>
      </c>
      <c r="Z465" s="46" t="str">
        <f>IF(VLOOKUP(Y465,βοηθητικό!$J$2:$N$354,3,FALSE)="","",VLOOKUP(Y465,βοηθητικό!$J$2:$N$354,3,FALSE))</f>
        <v>_</v>
      </c>
      <c r="AA465" s="47"/>
      <c r="AB465" s="4" t="s">
        <v>16</v>
      </c>
      <c r="AC465" s="43" t="str">
        <f>IF(VLOOKUP(AB465,βοηθητικό!$J$2:$N$354,3,FALSE)="","",VLOOKUP(AB465,βοηθητικό!$J$2:$N$354,3,FALSE))</f>
        <v>_</v>
      </c>
      <c r="AD465" s="44"/>
      <c r="AE465" s="5" t="s">
        <v>16</v>
      </c>
      <c r="AF465" s="46" t="str">
        <f>IF(VLOOKUP(AE465,βοηθητικό!$J$2:$N$354,3,FALSE)="","",VLOOKUP(AE465,βοηθητικό!$J$2:$N$354,3,FALSE))</f>
        <v>_</v>
      </c>
      <c r="AG465" s="47"/>
      <c r="AH465" s="4" t="s">
        <v>16</v>
      </c>
      <c r="AI465" s="43" t="str">
        <f>IF(VLOOKUP(AH465,βοηθητικό!$J$2:$N$354,3,FALSE)="","",VLOOKUP(AH465,βοηθητικό!$J$2:$N$354,3,FALSE))</f>
        <v>_</v>
      </c>
      <c r="AJ465" s="44"/>
      <c r="AK465" s="5" t="s">
        <v>16</v>
      </c>
      <c r="AL465" s="46" t="str">
        <f>IF(VLOOKUP(AK465,βοηθητικό!$J$2:$N$354,3,FALSE)="","",VLOOKUP(AK465,βοηθητικό!$J$2:$N$354,3,FALSE))</f>
        <v>_</v>
      </c>
      <c r="AM465" s="47"/>
      <c r="AN465" s="4" t="s">
        <v>16</v>
      </c>
      <c r="AO465" s="43" t="str">
        <f>IF(VLOOKUP(AN465,βοηθητικό!$J$2:$N$354,3,FALSE)="","",VLOOKUP(AN465,βοηθητικό!$J$2:$N$354,3,FALSE))</f>
        <v>_</v>
      </c>
      <c r="AP465" s="44"/>
      <c r="AQ465" s="5" t="s">
        <v>16</v>
      </c>
      <c r="AR465" s="46" t="str">
        <f>IF(VLOOKUP(AQ465,βοηθητικό!$J$2:$N$354,3,FALSE)="","",VLOOKUP(AQ465,βοηθητικό!$J$2:$N$354,3,FALSE))</f>
        <v>_</v>
      </c>
      <c r="AS465" s="47"/>
      <c r="AT465" s="4" t="s">
        <v>16</v>
      </c>
      <c r="AU465" s="43" t="str">
        <f>IF(VLOOKUP(AT465,βοηθητικό!$J$2:$N$354,3,FALSE)="","",VLOOKUP(AT465,βοηθητικό!$J$2:$N$354,3,FALSE))</f>
        <v>_</v>
      </c>
      <c r="AV465" s="44"/>
      <c r="AW465" s="5" t="s">
        <v>16</v>
      </c>
      <c r="AX465" s="46" t="str">
        <f>IF(VLOOKUP(AW465,βοηθητικό!$J$2:$N$354,3,FALSE)="","",VLOOKUP(AW465,βοηθητικό!$J$2:$N$354,3,FALSE))</f>
        <v>_</v>
      </c>
      <c r="AY465" s="47"/>
      <c r="AZ465" s="4" t="s">
        <v>16</v>
      </c>
      <c r="BA465" s="43" t="str">
        <f>IF(VLOOKUP(AZ465,βοηθητικό!$J$2:$N$354,3,FALSE)="","",VLOOKUP(AZ465,βοηθητικό!$J$2:$N$354,3,FALSE))</f>
        <v>_</v>
      </c>
      <c r="BB465" s="44"/>
      <c r="BC465" s="45" t="s">
        <v>16</v>
      </c>
      <c r="BD465" s="46" t="str">
        <f>IF(VLOOKUP(BC465,βοηθητικό!$J$2:$N$354,3,FALSE)="","",VLOOKUP(BC465,βοηθητικό!$J$2:$N$354,3,FALSE))</f>
        <v>_</v>
      </c>
      <c r="BE465" s="47"/>
      <c r="BF465" s="42" t="s">
        <v>16</v>
      </c>
      <c r="BG465" s="43" t="str">
        <f>IF(VLOOKUP(BF465,βοηθητικό!$J$2:$N$354,3,FALSE)="","",VLOOKUP(BF465,βοηθητικό!$J$2:$N$354,3,FALSE))</f>
        <v>_</v>
      </c>
      <c r="BH465" s="44"/>
      <c r="BI465" s="45" t="s">
        <v>16</v>
      </c>
      <c r="BJ465" s="46" t="str">
        <f>IF(VLOOKUP(BI465,βοηθητικό!$J$2:$N$354,3,FALSE)="","",VLOOKUP(BI465,βοηθητικό!$J$2:$N$354,3,FALSE))</f>
        <v>_</v>
      </c>
      <c r="BK465" s="47"/>
      <c r="BL465" s="42" t="s">
        <v>16</v>
      </c>
      <c r="BM465" s="43" t="str">
        <f>IF(VLOOKUP(BL465,βοηθητικό!$J$2:$N$354,3,FALSE)="","",VLOOKUP(BL465,βοηθητικό!$J$2:$N$354,3,FALSE))</f>
        <v>_</v>
      </c>
      <c r="BN465" s="44"/>
      <c r="BO465" s="45" t="s">
        <v>16</v>
      </c>
      <c r="BP465" s="46" t="str">
        <f>IF(VLOOKUP(BO465,βοηθητικό!$J$2:$N$354,3,FALSE)="","",VLOOKUP(BO465,βοηθητικό!$J$2:$N$354,3,FALSE))</f>
        <v>_</v>
      </c>
      <c r="BQ465" s="47"/>
      <c r="BR465" s="42" t="s">
        <v>16</v>
      </c>
      <c r="BS465" s="43" t="str">
        <f>IF(VLOOKUP(BR465,βοηθητικό!$J$2:$N$354,3,FALSE)="","",VLOOKUP(BR465,βοηθητικό!$J$2:$N$354,3,FALSE))</f>
        <v>_</v>
      </c>
      <c r="BT465" s="44"/>
      <c r="BU465" s="45" t="s">
        <v>16</v>
      </c>
      <c r="BV465" s="46" t="str">
        <f>IF(VLOOKUP(BU465,βοηθητικό!$J$2:$N$354,3,FALSE)="","",VLOOKUP(BU465,βοηθητικό!$J$2:$N$354,3,FALSE))</f>
        <v>_</v>
      </c>
      <c r="BW465" s="47"/>
      <c r="BX465" s="42" t="s">
        <v>16</v>
      </c>
      <c r="BY465" s="43" t="str">
        <f>IF(VLOOKUP(BX465,βοηθητικό!$J$2:$N$354,3,FALSE)="","",VLOOKUP(BX465,βοηθητικό!$J$2:$N$354,3,FALSE))</f>
        <v>_</v>
      </c>
      <c r="BZ465" s="44"/>
      <c r="CA465" s="45" t="s">
        <v>16</v>
      </c>
      <c r="CB465" s="46" t="str">
        <f>IF(VLOOKUP(CA465,βοηθητικό!$J$2:$N$354,3,FALSE)="","",VLOOKUP(CA465,βοηθητικό!$J$2:$N$354,3,FALSE))</f>
        <v>_</v>
      </c>
      <c r="CC465" s="47"/>
      <c r="CD465" s="42" t="s">
        <v>16</v>
      </c>
      <c r="CE465" s="43" t="str">
        <f>IF(VLOOKUP(CD465,βοηθητικό!$J$2:$N$354,3,FALSE)="","",VLOOKUP(CD465,βοηθητικό!$J$2:$N$354,3,FALSE))</f>
        <v>_</v>
      </c>
      <c r="CF465" s="44"/>
      <c r="CG465" s="45" t="s">
        <v>16</v>
      </c>
      <c r="CH465" s="46" t="str">
        <f>IF(VLOOKUP(CG465,βοηθητικό!$J$2:$N$354,3,FALSE)="","",VLOOKUP(CG465,βοηθητικό!$J$2:$N$354,3,FALSE))</f>
        <v>_</v>
      </c>
      <c r="CI465" s="47"/>
      <c r="CJ465" s="42" t="s">
        <v>16</v>
      </c>
      <c r="CK465" s="43" t="str">
        <f>IF(VLOOKUP(CJ465,βοηθητικό!$J$2:$N$354,3,FALSE)="","",VLOOKUP(CJ465,βοηθητικό!$J$2:$N$354,3,FALSE))</f>
        <v>_</v>
      </c>
      <c r="CL465" s="44"/>
      <c r="CM465" s="45" t="s">
        <v>16</v>
      </c>
      <c r="CN465" s="46" t="str">
        <f>IF(VLOOKUP(CM465,βοηθητικό!$J$2:$N$354,3,FALSE)="","",VLOOKUP(CM465,βοηθητικό!$J$2:$N$354,3,FALSE))</f>
        <v>_</v>
      </c>
      <c r="CO465" s="47"/>
      <c r="CP465" s="42" t="s">
        <v>16</v>
      </c>
      <c r="CQ465" s="43" t="str">
        <f>IF(VLOOKUP(CP465,βοηθητικό!$J$2:$N$354,3,FALSE)="","",VLOOKUP(CP465,βοηθητικό!$J$2:$N$354,3,FALSE))</f>
        <v>_</v>
      </c>
      <c r="CR465" s="44"/>
      <c r="CS465" s="45" t="s">
        <v>16</v>
      </c>
      <c r="CT465" s="46" t="str">
        <f>IF(VLOOKUP(CS465,βοηθητικό!$J$2:$N$354,3,FALSE)="","",VLOOKUP(CS465,βοηθητικό!$J$2:$N$354,3,FALSE))</f>
        <v>_</v>
      </c>
      <c r="CU465" s="47"/>
    </row>
    <row r="466" spans="1:99" x14ac:dyDescent="0.25">
      <c r="A466" s="37">
        <f>--SUBTOTAL(3,$B$3:B465)</f>
        <v>198</v>
      </c>
      <c r="B466" s="2"/>
      <c r="C466" s="3"/>
      <c r="D466" s="55" t="s">
        <v>18</v>
      </c>
      <c r="E466" s="38" t="s">
        <v>16</v>
      </c>
      <c r="F466" s="38" t="s">
        <v>16</v>
      </c>
      <c r="G466" s="39" t="str">
        <f t="shared" si="23"/>
        <v>__</v>
      </c>
      <c r="H466" s="40" t="str">
        <f t="shared" si="24"/>
        <v>FALSE</v>
      </c>
      <c r="I466" s="41">
        <f t="shared" si="25"/>
        <v>0</v>
      </c>
      <c r="J466" s="4" t="s">
        <v>16</v>
      </c>
      <c r="K466" s="43" t="str">
        <f>IF(VLOOKUP(J466,βοηθητικό!$J$2:$N$354,3,FALSE)="","",VLOOKUP(J466,βοηθητικό!$J$2:$N$354,3,FALSE))</f>
        <v>_</v>
      </c>
      <c r="L466" s="44"/>
      <c r="M466" s="5" t="s">
        <v>16</v>
      </c>
      <c r="N466" s="46" t="str">
        <f>IF(VLOOKUP(M466,βοηθητικό!$J$2:$N$354,3,FALSE)="","",VLOOKUP(M466,βοηθητικό!$J$2:$N$354,3,FALSE))</f>
        <v>_</v>
      </c>
      <c r="O466" s="47"/>
      <c r="P466" s="4" t="s">
        <v>16</v>
      </c>
      <c r="Q466" s="43" t="str">
        <f>IF(VLOOKUP(P466,βοηθητικό!$J$2:$N$354,3,FALSE)="","",VLOOKUP(P466,βοηθητικό!$J$2:$N$354,3,FALSE))</f>
        <v>_</v>
      </c>
      <c r="R466" s="44"/>
      <c r="S466" s="5" t="s">
        <v>16</v>
      </c>
      <c r="T466" s="46" t="str">
        <f>IF(VLOOKUP(S466,βοηθητικό!$J$2:$N$354,3,FALSE)="","",VLOOKUP(S466,βοηθητικό!$J$2:$N$354,3,FALSE))</f>
        <v>_</v>
      </c>
      <c r="U466" s="47"/>
      <c r="V466" s="4" t="s">
        <v>16</v>
      </c>
      <c r="W466" s="43" t="str">
        <f>IF(VLOOKUP(V466,βοηθητικό!$J$2:$N$354,3,FALSE)="","",VLOOKUP(V466,βοηθητικό!$J$2:$N$354,3,FALSE))</f>
        <v>_</v>
      </c>
      <c r="X466" s="44"/>
      <c r="Y466" s="5" t="s">
        <v>16</v>
      </c>
      <c r="Z466" s="46" t="str">
        <f>IF(VLOOKUP(Y466,βοηθητικό!$J$2:$N$354,3,FALSE)="","",VLOOKUP(Y466,βοηθητικό!$J$2:$N$354,3,FALSE))</f>
        <v>_</v>
      </c>
      <c r="AA466" s="47"/>
      <c r="AB466" s="4" t="s">
        <v>16</v>
      </c>
      <c r="AC466" s="43" t="str">
        <f>IF(VLOOKUP(AB466,βοηθητικό!$J$2:$N$354,3,FALSE)="","",VLOOKUP(AB466,βοηθητικό!$J$2:$N$354,3,FALSE))</f>
        <v>_</v>
      </c>
      <c r="AD466" s="44"/>
      <c r="AE466" s="5" t="s">
        <v>16</v>
      </c>
      <c r="AF466" s="46" t="str">
        <f>IF(VLOOKUP(AE466,βοηθητικό!$J$2:$N$354,3,FALSE)="","",VLOOKUP(AE466,βοηθητικό!$J$2:$N$354,3,FALSE))</f>
        <v>_</v>
      </c>
      <c r="AG466" s="47"/>
      <c r="AH466" s="4" t="s">
        <v>16</v>
      </c>
      <c r="AI466" s="43" t="str">
        <f>IF(VLOOKUP(AH466,βοηθητικό!$J$2:$N$354,3,FALSE)="","",VLOOKUP(AH466,βοηθητικό!$J$2:$N$354,3,FALSE))</f>
        <v>_</v>
      </c>
      <c r="AJ466" s="44"/>
      <c r="AK466" s="5" t="s">
        <v>16</v>
      </c>
      <c r="AL466" s="46" t="str">
        <f>IF(VLOOKUP(AK466,βοηθητικό!$J$2:$N$354,3,FALSE)="","",VLOOKUP(AK466,βοηθητικό!$J$2:$N$354,3,FALSE))</f>
        <v>_</v>
      </c>
      <c r="AM466" s="47"/>
      <c r="AN466" s="4" t="s">
        <v>16</v>
      </c>
      <c r="AO466" s="43" t="str">
        <f>IF(VLOOKUP(AN466,βοηθητικό!$J$2:$N$354,3,FALSE)="","",VLOOKUP(AN466,βοηθητικό!$J$2:$N$354,3,FALSE))</f>
        <v>_</v>
      </c>
      <c r="AP466" s="44"/>
      <c r="AQ466" s="5" t="s">
        <v>16</v>
      </c>
      <c r="AR466" s="46" t="str">
        <f>IF(VLOOKUP(AQ466,βοηθητικό!$J$2:$N$354,3,FALSE)="","",VLOOKUP(AQ466,βοηθητικό!$J$2:$N$354,3,FALSE))</f>
        <v>_</v>
      </c>
      <c r="AS466" s="47"/>
      <c r="AT466" s="4" t="s">
        <v>16</v>
      </c>
      <c r="AU466" s="43" t="str">
        <f>IF(VLOOKUP(AT466,βοηθητικό!$J$2:$N$354,3,FALSE)="","",VLOOKUP(AT466,βοηθητικό!$J$2:$N$354,3,FALSE))</f>
        <v>_</v>
      </c>
      <c r="AV466" s="44"/>
      <c r="AW466" s="5" t="s">
        <v>16</v>
      </c>
      <c r="AX466" s="46" t="str">
        <f>IF(VLOOKUP(AW466,βοηθητικό!$J$2:$N$354,3,FALSE)="","",VLOOKUP(AW466,βοηθητικό!$J$2:$N$354,3,FALSE))</f>
        <v>_</v>
      </c>
      <c r="AY466" s="47"/>
      <c r="AZ466" s="4" t="s">
        <v>16</v>
      </c>
      <c r="BA466" s="43" t="str">
        <f>IF(VLOOKUP(AZ466,βοηθητικό!$J$2:$N$354,3,FALSE)="","",VLOOKUP(AZ466,βοηθητικό!$J$2:$N$354,3,FALSE))</f>
        <v>_</v>
      </c>
      <c r="BB466" s="44"/>
      <c r="BC466" s="45" t="s">
        <v>16</v>
      </c>
      <c r="BD466" s="46" t="str">
        <f>IF(VLOOKUP(BC466,βοηθητικό!$J$2:$N$354,3,FALSE)="","",VLOOKUP(BC466,βοηθητικό!$J$2:$N$354,3,FALSE))</f>
        <v>_</v>
      </c>
      <c r="BE466" s="47"/>
      <c r="BF466" s="42" t="s">
        <v>16</v>
      </c>
      <c r="BG466" s="43" t="str">
        <f>IF(VLOOKUP(BF466,βοηθητικό!$J$2:$N$354,3,FALSE)="","",VLOOKUP(BF466,βοηθητικό!$J$2:$N$354,3,FALSE))</f>
        <v>_</v>
      </c>
      <c r="BH466" s="44"/>
      <c r="BI466" s="45" t="s">
        <v>16</v>
      </c>
      <c r="BJ466" s="46" t="str">
        <f>IF(VLOOKUP(BI466,βοηθητικό!$J$2:$N$354,3,FALSE)="","",VLOOKUP(BI466,βοηθητικό!$J$2:$N$354,3,FALSE))</f>
        <v>_</v>
      </c>
      <c r="BK466" s="47"/>
      <c r="BL466" s="42" t="s">
        <v>16</v>
      </c>
      <c r="BM466" s="43" t="str">
        <f>IF(VLOOKUP(BL466,βοηθητικό!$J$2:$N$354,3,FALSE)="","",VLOOKUP(BL466,βοηθητικό!$J$2:$N$354,3,FALSE))</f>
        <v>_</v>
      </c>
      <c r="BN466" s="44"/>
      <c r="BO466" s="45" t="s">
        <v>16</v>
      </c>
      <c r="BP466" s="46" t="str">
        <f>IF(VLOOKUP(BO466,βοηθητικό!$J$2:$N$354,3,FALSE)="","",VLOOKUP(BO466,βοηθητικό!$J$2:$N$354,3,FALSE))</f>
        <v>_</v>
      </c>
      <c r="BQ466" s="47"/>
      <c r="BR466" s="42" t="s">
        <v>16</v>
      </c>
      <c r="BS466" s="43" t="str">
        <f>IF(VLOOKUP(BR466,βοηθητικό!$J$2:$N$354,3,FALSE)="","",VLOOKUP(BR466,βοηθητικό!$J$2:$N$354,3,FALSE))</f>
        <v>_</v>
      </c>
      <c r="BT466" s="44"/>
      <c r="BU466" s="45" t="s">
        <v>16</v>
      </c>
      <c r="BV466" s="46" t="str">
        <f>IF(VLOOKUP(BU466,βοηθητικό!$J$2:$N$354,3,FALSE)="","",VLOOKUP(BU466,βοηθητικό!$J$2:$N$354,3,FALSE))</f>
        <v>_</v>
      </c>
      <c r="BW466" s="47"/>
      <c r="BX466" s="42" t="s">
        <v>16</v>
      </c>
      <c r="BY466" s="43" t="str">
        <f>IF(VLOOKUP(BX466,βοηθητικό!$J$2:$N$354,3,FALSE)="","",VLOOKUP(BX466,βοηθητικό!$J$2:$N$354,3,FALSE))</f>
        <v>_</v>
      </c>
      <c r="BZ466" s="44"/>
      <c r="CA466" s="45" t="s">
        <v>16</v>
      </c>
      <c r="CB466" s="46" t="str">
        <f>IF(VLOOKUP(CA466,βοηθητικό!$J$2:$N$354,3,FALSE)="","",VLOOKUP(CA466,βοηθητικό!$J$2:$N$354,3,FALSE))</f>
        <v>_</v>
      </c>
      <c r="CC466" s="47"/>
      <c r="CD466" s="42" t="s">
        <v>16</v>
      </c>
      <c r="CE466" s="43" t="str">
        <f>IF(VLOOKUP(CD466,βοηθητικό!$J$2:$N$354,3,FALSE)="","",VLOOKUP(CD466,βοηθητικό!$J$2:$N$354,3,FALSE))</f>
        <v>_</v>
      </c>
      <c r="CF466" s="44"/>
      <c r="CG466" s="45" t="s">
        <v>16</v>
      </c>
      <c r="CH466" s="46" t="str">
        <f>IF(VLOOKUP(CG466,βοηθητικό!$J$2:$N$354,3,FALSE)="","",VLOOKUP(CG466,βοηθητικό!$J$2:$N$354,3,FALSE))</f>
        <v>_</v>
      </c>
      <c r="CI466" s="47"/>
      <c r="CJ466" s="42" t="s">
        <v>16</v>
      </c>
      <c r="CK466" s="43" t="str">
        <f>IF(VLOOKUP(CJ466,βοηθητικό!$J$2:$N$354,3,FALSE)="","",VLOOKUP(CJ466,βοηθητικό!$J$2:$N$354,3,FALSE))</f>
        <v>_</v>
      </c>
      <c r="CL466" s="44"/>
      <c r="CM466" s="45" t="s">
        <v>16</v>
      </c>
      <c r="CN466" s="46" t="str">
        <f>IF(VLOOKUP(CM466,βοηθητικό!$J$2:$N$354,3,FALSE)="","",VLOOKUP(CM466,βοηθητικό!$J$2:$N$354,3,FALSE))</f>
        <v>_</v>
      </c>
      <c r="CO466" s="47"/>
      <c r="CP466" s="42" t="s">
        <v>16</v>
      </c>
      <c r="CQ466" s="43" t="str">
        <f>IF(VLOOKUP(CP466,βοηθητικό!$J$2:$N$354,3,FALSE)="","",VLOOKUP(CP466,βοηθητικό!$J$2:$N$354,3,FALSE))</f>
        <v>_</v>
      </c>
      <c r="CR466" s="44"/>
      <c r="CS466" s="45" t="s">
        <v>16</v>
      </c>
      <c r="CT466" s="46" t="str">
        <f>IF(VLOOKUP(CS466,βοηθητικό!$J$2:$N$354,3,FALSE)="","",VLOOKUP(CS466,βοηθητικό!$J$2:$N$354,3,FALSE))</f>
        <v>_</v>
      </c>
      <c r="CU466" s="47"/>
    </row>
    <row r="467" spans="1:99" x14ac:dyDescent="0.25">
      <c r="A467" s="37">
        <f>--SUBTOTAL(3,$B$3:B466)</f>
        <v>198</v>
      </c>
      <c r="B467" s="2"/>
      <c r="C467" s="3"/>
      <c r="D467" s="55" t="s">
        <v>18</v>
      </c>
      <c r="E467" s="38" t="s">
        <v>16</v>
      </c>
      <c r="F467" s="38" t="s">
        <v>16</v>
      </c>
      <c r="G467" s="39" t="str">
        <f t="shared" si="23"/>
        <v>__</v>
      </c>
      <c r="H467" s="40" t="str">
        <f t="shared" si="24"/>
        <v>FALSE</v>
      </c>
      <c r="I467" s="41">
        <f t="shared" si="25"/>
        <v>0</v>
      </c>
      <c r="J467" s="4" t="s">
        <v>16</v>
      </c>
      <c r="K467" s="43" t="str">
        <f>IF(VLOOKUP(J467,βοηθητικό!$J$2:$N$354,3,FALSE)="","",VLOOKUP(J467,βοηθητικό!$J$2:$N$354,3,FALSE))</f>
        <v>_</v>
      </c>
      <c r="L467" s="44"/>
      <c r="M467" s="5" t="s">
        <v>16</v>
      </c>
      <c r="N467" s="46" t="str">
        <f>IF(VLOOKUP(M467,βοηθητικό!$J$2:$N$354,3,FALSE)="","",VLOOKUP(M467,βοηθητικό!$J$2:$N$354,3,FALSE))</f>
        <v>_</v>
      </c>
      <c r="O467" s="47"/>
      <c r="P467" s="4" t="s">
        <v>16</v>
      </c>
      <c r="Q467" s="43" t="str">
        <f>IF(VLOOKUP(P467,βοηθητικό!$J$2:$N$354,3,FALSE)="","",VLOOKUP(P467,βοηθητικό!$J$2:$N$354,3,FALSE))</f>
        <v>_</v>
      </c>
      <c r="R467" s="44"/>
      <c r="S467" s="5" t="s">
        <v>16</v>
      </c>
      <c r="T467" s="46" t="str">
        <f>IF(VLOOKUP(S467,βοηθητικό!$J$2:$N$354,3,FALSE)="","",VLOOKUP(S467,βοηθητικό!$J$2:$N$354,3,FALSE))</f>
        <v>_</v>
      </c>
      <c r="U467" s="47"/>
      <c r="V467" s="4" t="s">
        <v>16</v>
      </c>
      <c r="W467" s="43" t="str">
        <f>IF(VLOOKUP(V467,βοηθητικό!$J$2:$N$354,3,FALSE)="","",VLOOKUP(V467,βοηθητικό!$J$2:$N$354,3,FALSE))</f>
        <v>_</v>
      </c>
      <c r="X467" s="44"/>
      <c r="Y467" s="5" t="s">
        <v>16</v>
      </c>
      <c r="Z467" s="46" t="str">
        <f>IF(VLOOKUP(Y467,βοηθητικό!$J$2:$N$354,3,FALSE)="","",VLOOKUP(Y467,βοηθητικό!$J$2:$N$354,3,FALSE))</f>
        <v>_</v>
      </c>
      <c r="AA467" s="47"/>
      <c r="AB467" s="4" t="s">
        <v>16</v>
      </c>
      <c r="AC467" s="43" t="str">
        <f>IF(VLOOKUP(AB467,βοηθητικό!$J$2:$N$354,3,FALSE)="","",VLOOKUP(AB467,βοηθητικό!$J$2:$N$354,3,FALSE))</f>
        <v>_</v>
      </c>
      <c r="AD467" s="44"/>
      <c r="AE467" s="5" t="s">
        <v>16</v>
      </c>
      <c r="AF467" s="46" t="str">
        <f>IF(VLOOKUP(AE467,βοηθητικό!$J$2:$N$354,3,FALSE)="","",VLOOKUP(AE467,βοηθητικό!$J$2:$N$354,3,FALSE))</f>
        <v>_</v>
      </c>
      <c r="AG467" s="47"/>
      <c r="AH467" s="4" t="s">
        <v>16</v>
      </c>
      <c r="AI467" s="43" t="str">
        <f>IF(VLOOKUP(AH467,βοηθητικό!$J$2:$N$354,3,FALSE)="","",VLOOKUP(AH467,βοηθητικό!$J$2:$N$354,3,FALSE))</f>
        <v>_</v>
      </c>
      <c r="AJ467" s="44"/>
      <c r="AK467" s="5" t="s">
        <v>16</v>
      </c>
      <c r="AL467" s="46" t="str">
        <f>IF(VLOOKUP(AK467,βοηθητικό!$J$2:$N$354,3,FALSE)="","",VLOOKUP(AK467,βοηθητικό!$J$2:$N$354,3,FALSE))</f>
        <v>_</v>
      </c>
      <c r="AM467" s="47"/>
      <c r="AN467" s="4" t="s">
        <v>16</v>
      </c>
      <c r="AO467" s="43" t="str">
        <f>IF(VLOOKUP(AN467,βοηθητικό!$J$2:$N$354,3,FALSE)="","",VLOOKUP(AN467,βοηθητικό!$J$2:$N$354,3,FALSE))</f>
        <v>_</v>
      </c>
      <c r="AP467" s="44"/>
      <c r="AQ467" s="5" t="s">
        <v>16</v>
      </c>
      <c r="AR467" s="46" t="str">
        <f>IF(VLOOKUP(AQ467,βοηθητικό!$J$2:$N$354,3,FALSE)="","",VLOOKUP(AQ467,βοηθητικό!$J$2:$N$354,3,FALSE))</f>
        <v>_</v>
      </c>
      <c r="AS467" s="47"/>
      <c r="AT467" s="4" t="s">
        <v>16</v>
      </c>
      <c r="AU467" s="43" t="str">
        <f>IF(VLOOKUP(AT467,βοηθητικό!$J$2:$N$354,3,FALSE)="","",VLOOKUP(AT467,βοηθητικό!$J$2:$N$354,3,FALSE))</f>
        <v>_</v>
      </c>
      <c r="AV467" s="44"/>
      <c r="AW467" s="5" t="s">
        <v>16</v>
      </c>
      <c r="AX467" s="46" t="str">
        <f>IF(VLOOKUP(AW467,βοηθητικό!$J$2:$N$354,3,FALSE)="","",VLOOKUP(AW467,βοηθητικό!$J$2:$N$354,3,FALSE))</f>
        <v>_</v>
      </c>
      <c r="AY467" s="47"/>
      <c r="AZ467" s="4" t="s">
        <v>16</v>
      </c>
      <c r="BA467" s="43" t="str">
        <f>IF(VLOOKUP(AZ467,βοηθητικό!$J$2:$N$354,3,FALSE)="","",VLOOKUP(AZ467,βοηθητικό!$J$2:$N$354,3,FALSE))</f>
        <v>_</v>
      </c>
      <c r="BB467" s="44"/>
      <c r="BC467" s="45" t="s">
        <v>16</v>
      </c>
      <c r="BD467" s="46" t="str">
        <f>IF(VLOOKUP(BC467,βοηθητικό!$J$2:$N$354,3,FALSE)="","",VLOOKUP(BC467,βοηθητικό!$J$2:$N$354,3,FALSE))</f>
        <v>_</v>
      </c>
      <c r="BE467" s="47"/>
      <c r="BF467" s="42" t="s">
        <v>16</v>
      </c>
      <c r="BG467" s="43" t="str">
        <f>IF(VLOOKUP(BF467,βοηθητικό!$J$2:$N$354,3,FALSE)="","",VLOOKUP(BF467,βοηθητικό!$J$2:$N$354,3,FALSE))</f>
        <v>_</v>
      </c>
      <c r="BH467" s="44"/>
      <c r="BI467" s="45" t="s">
        <v>16</v>
      </c>
      <c r="BJ467" s="46" t="str">
        <f>IF(VLOOKUP(BI467,βοηθητικό!$J$2:$N$354,3,FALSE)="","",VLOOKUP(BI467,βοηθητικό!$J$2:$N$354,3,FALSE))</f>
        <v>_</v>
      </c>
      <c r="BK467" s="47"/>
      <c r="BL467" s="42" t="s">
        <v>16</v>
      </c>
      <c r="BM467" s="43" t="str">
        <f>IF(VLOOKUP(BL467,βοηθητικό!$J$2:$N$354,3,FALSE)="","",VLOOKUP(BL467,βοηθητικό!$J$2:$N$354,3,FALSE))</f>
        <v>_</v>
      </c>
      <c r="BN467" s="44"/>
      <c r="BO467" s="45" t="s">
        <v>16</v>
      </c>
      <c r="BP467" s="46" t="str">
        <f>IF(VLOOKUP(BO467,βοηθητικό!$J$2:$N$354,3,FALSE)="","",VLOOKUP(BO467,βοηθητικό!$J$2:$N$354,3,FALSE))</f>
        <v>_</v>
      </c>
      <c r="BQ467" s="47"/>
      <c r="BR467" s="42" t="s">
        <v>16</v>
      </c>
      <c r="BS467" s="43" t="str">
        <f>IF(VLOOKUP(BR467,βοηθητικό!$J$2:$N$354,3,FALSE)="","",VLOOKUP(BR467,βοηθητικό!$J$2:$N$354,3,FALSE))</f>
        <v>_</v>
      </c>
      <c r="BT467" s="44"/>
      <c r="BU467" s="45" t="s">
        <v>16</v>
      </c>
      <c r="BV467" s="46" t="str">
        <f>IF(VLOOKUP(BU467,βοηθητικό!$J$2:$N$354,3,FALSE)="","",VLOOKUP(BU467,βοηθητικό!$J$2:$N$354,3,FALSE))</f>
        <v>_</v>
      </c>
      <c r="BW467" s="47"/>
      <c r="BX467" s="42" t="s">
        <v>16</v>
      </c>
      <c r="BY467" s="43" t="str">
        <f>IF(VLOOKUP(BX467,βοηθητικό!$J$2:$N$354,3,FALSE)="","",VLOOKUP(BX467,βοηθητικό!$J$2:$N$354,3,FALSE))</f>
        <v>_</v>
      </c>
      <c r="BZ467" s="44"/>
      <c r="CA467" s="45" t="s">
        <v>16</v>
      </c>
      <c r="CB467" s="46" t="str">
        <f>IF(VLOOKUP(CA467,βοηθητικό!$J$2:$N$354,3,FALSE)="","",VLOOKUP(CA467,βοηθητικό!$J$2:$N$354,3,FALSE))</f>
        <v>_</v>
      </c>
      <c r="CC467" s="47"/>
      <c r="CD467" s="42" t="s">
        <v>16</v>
      </c>
      <c r="CE467" s="43" t="str">
        <f>IF(VLOOKUP(CD467,βοηθητικό!$J$2:$N$354,3,FALSE)="","",VLOOKUP(CD467,βοηθητικό!$J$2:$N$354,3,FALSE))</f>
        <v>_</v>
      </c>
      <c r="CF467" s="44"/>
      <c r="CG467" s="45" t="s">
        <v>16</v>
      </c>
      <c r="CH467" s="46" t="str">
        <f>IF(VLOOKUP(CG467,βοηθητικό!$J$2:$N$354,3,FALSE)="","",VLOOKUP(CG467,βοηθητικό!$J$2:$N$354,3,FALSE))</f>
        <v>_</v>
      </c>
      <c r="CI467" s="47"/>
      <c r="CJ467" s="42" t="s">
        <v>16</v>
      </c>
      <c r="CK467" s="43" t="str">
        <f>IF(VLOOKUP(CJ467,βοηθητικό!$J$2:$N$354,3,FALSE)="","",VLOOKUP(CJ467,βοηθητικό!$J$2:$N$354,3,FALSE))</f>
        <v>_</v>
      </c>
      <c r="CL467" s="44"/>
      <c r="CM467" s="45" t="s">
        <v>16</v>
      </c>
      <c r="CN467" s="46" t="str">
        <f>IF(VLOOKUP(CM467,βοηθητικό!$J$2:$N$354,3,FALSE)="","",VLOOKUP(CM467,βοηθητικό!$J$2:$N$354,3,FALSE))</f>
        <v>_</v>
      </c>
      <c r="CO467" s="47"/>
      <c r="CP467" s="42" t="s">
        <v>16</v>
      </c>
      <c r="CQ467" s="43" t="str">
        <f>IF(VLOOKUP(CP467,βοηθητικό!$J$2:$N$354,3,FALSE)="","",VLOOKUP(CP467,βοηθητικό!$J$2:$N$354,3,FALSE))</f>
        <v>_</v>
      </c>
      <c r="CR467" s="44"/>
      <c r="CS467" s="45" t="s">
        <v>16</v>
      </c>
      <c r="CT467" s="46" t="str">
        <f>IF(VLOOKUP(CS467,βοηθητικό!$J$2:$N$354,3,FALSE)="","",VLOOKUP(CS467,βοηθητικό!$J$2:$N$354,3,FALSE))</f>
        <v>_</v>
      </c>
      <c r="CU467" s="47"/>
    </row>
    <row r="468" spans="1:99" x14ac:dyDescent="0.25">
      <c r="A468" s="37">
        <f>--SUBTOTAL(3,$B$3:B467)</f>
        <v>198</v>
      </c>
      <c r="B468" s="2"/>
      <c r="C468" s="3"/>
      <c r="D468" s="55" t="s">
        <v>18</v>
      </c>
      <c r="E468" s="38" t="s">
        <v>16</v>
      </c>
      <c r="F468" s="38" t="s">
        <v>16</v>
      </c>
      <c r="G468" s="39" t="str">
        <f t="shared" si="23"/>
        <v>__</v>
      </c>
      <c r="H468" s="40" t="str">
        <f t="shared" si="24"/>
        <v>FALSE</v>
      </c>
      <c r="I468" s="41">
        <f t="shared" si="25"/>
        <v>0</v>
      </c>
      <c r="J468" s="4" t="s">
        <v>16</v>
      </c>
      <c r="K468" s="43" t="str">
        <f>IF(VLOOKUP(J468,βοηθητικό!$J$2:$N$354,3,FALSE)="","",VLOOKUP(J468,βοηθητικό!$J$2:$N$354,3,FALSE))</f>
        <v>_</v>
      </c>
      <c r="L468" s="44"/>
      <c r="M468" s="5" t="s">
        <v>16</v>
      </c>
      <c r="N468" s="46" t="str">
        <f>IF(VLOOKUP(M468,βοηθητικό!$J$2:$N$354,3,FALSE)="","",VLOOKUP(M468,βοηθητικό!$J$2:$N$354,3,FALSE))</f>
        <v>_</v>
      </c>
      <c r="O468" s="47"/>
      <c r="P468" s="4" t="s">
        <v>16</v>
      </c>
      <c r="Q468" s="43" t="str">
        <f>IF(VLOOKUP(P468,βοηθητικό!$J$2:$N$354,3,FALSE)="","",VLOOKUP(P468,βοηθητικό!$J$2:$N$354,3,FALSE))</f>
        <v>_</v>
      </c>
      <c r="R468" s="44"/>
      <c r="S468" s="5" t="s">
        <v>16</v>
      </c>
      <c r="T468" s="46" t="str">
        <f>IF(VLOOKUP(S468,βοηθητικό!$J$2:$N$354,3,FALSE)="","",VLOOKUP(S468,βοηθητικό!$J$2:$N$354,3,FALSE))</f>
        <v>_</v>
      </c>
      <c r="U468" s="47"/>
      <c r="V468" s="4" t="s">
        <v>16</v>
      </c>
      <c r="W468" s="43" t="str">
        <f>IF(VLOOKUP(V468,βοηθητικό!$J$2:$N$354,3,FALSE)="","",VLOOKUP(V468,βοηθητικό!$J$2:$N$354,3,FALSE))</f>
        <v>_</v>
      </c>
      <c r="X468" s="44"/>
      <c r="Y468" s="5" t="s">
        <v>16</v>
      </c>
      <c r="Z468" s="46" t="str">
        <f>IF(VLOOKUP(Y468,βοηθητικό!$J$2:$N$354,3,FALSE)="","",VLOOKUP(Y468,βοηθητικό!$J$2:$N$354,3,FALSE))</f>
        <v>_</v>
      </c>
      <c r="AA468" s="47"/>
      <c r="AB468" s="4" t="s">
        <v>16</v>
      </c>
      <c r="AC468" s="43" t="str">
        <f>IF(VLOOKUP(AB468,βοηθητικό!$J$2:$N$354,3,FALSE)="","",VLOOKUP(AB468,βοηθητικό!$J$2:$N$354,3,FALSE))</f>
        <v>_</v>
      </c>
      <c r="AD468" s="44"/>
      <c r="AE468" s="5" t="s">
        <v>16</v>
      </c>
      <c r="AF468" s="46" t="str">
        <f>IF(VLOOKUP(AE468,βοηθητικό!$J$2:$N$354,3,FALSE)="","",VLOOKUP(AE468,βοηθητικό!$J$2:$N$354,3,FALSE))</f>
        <v>_</v>
      </c>
      <c r="AG468" s="47"/>
      <c r="AH468" s="4" t="s">
        <v>16</v>
      </c>
      <c r="AI468" s="43" t="str">
        <f>IF(VLOOKUP(AH468,βοηθητικό!$J$2:$N$354,3,FALSE)="","",VLOOKUP(AH468,βοηθητικό!$J$2:$N$354,3,FALSE))</f>
        <v>_</v>
      </c>
      <c r="AJ468" s="44"/>
      <c r="AK468" s="5" t="s">
        <v>16</v>
      </c>
      <c r="AL468" s="46" t="str">
        <f>IF(VLOOKUP(AK468,βοηθητικό!$J$2:$N$354,3,FALSE)="","",VLOOKUP(AK468,βοηθητικό!$J$2:$N$354,3,FALSE))</f>
        <v>_</v>
      </c>
      <c r="AM468" s="47"/>
      <c r="AN468" s="4" t="s">
        <v>16</v>
      </c>
      <c r="AO468" s="43" t="str">
        <f>IF(VLOOKUP(AN468,βοηθητικό!$J$2:$N$354,3,FALSE)="","",VLOOKUP(AN468,βοηθητικό!$J$2:$N$354,3,FALSE))</f>
        <v>_</v>
      </c>
      <c r="AP468" s="44"/>
      <c r="AQ468" s="5" t="s">
        <v>16</v>
      </c>
      <c r="AR468" s="46" t="str">
        <f>IF(VLOOKUP(AQ468,βοηθητικό!$J$2:$N$354,3,FALSE)="","",VLOOKUP(AQ468,βοηθητικό!$J$2:$N$354,3,FALSE))</f>
        <v>_</v>
      </c>
      <c r="AS468" s="47"/>
      <c r="AT468" s="4" t="s">
        <v>16</v>
      </c>
      <c r="AU468" s="43" t="str">
        <f>IF(VLOOKUP(AT468,βοηθητικό!$J$2:$N$354,3,FALSE)="","",VLOOKUP(AT468,βοηθητικό!$J$2:$N$354,3,FALSE))</f>
        <v>_</v>
      </c>
      <c r="AV468" s="44"/>
      <c r="AW468" s="5" t="s">
        <v>16</v>
      </c>
      <c r="AX468" s="46" t="str">
        <f>IF(VLOOKUP(AW468,βοηθητικό!$J$2:$N$354,3,FALSE)="","",VLOOKUP(AW468,βοηθητικό!$J$2:$N$354,3,FALSE))</f>
        <v>_</v>
      </c>
      <c r="AY468" s="47"/>
      <c r="AZ468" s="4" t="s">
        <v>16</v>
      </c>
      <c r="BA468" s="43" t="str">
        <f>IF(VLOOKUP(AZ468,βοηθητικό!$J$2:$N$354,3,FALSE)="","",VLOOKUP(AZ468,βοηθητικό!$J$2:$N$354,3,FALSE))</f>
        <v>_</v>
      </c>
      <c r="BB468" s="44"/>
      <c r="BC468" s="45" t="s">
        <v>16</v>
      </c>
      <c r="BD468" s="46" t="str">
        <f>IF(VLOOKUP(BC468,βοηθητικό!$J$2:$N$354,3,FALSE)="","",VLOOKUP(BC468,βοηθητικό!$J$2:$N$354,3,FALSE))</f>
        <v>_</v>
      </c>
      <c r="BE468" s="47"/>
      <c r="BF468" s="42" t="s">
        <v>16</v>
      </c>
      <c r="BG468" s="43" t="str">
        <f>IF(VLOOKUP(BF468,βοηθητικό!$J$2:$N$354,3,FALSE)="","",VLOOKUP(BF468,βοηθητικό!$J$2:$N$354,3,FALSE))</f>
        <v>_</v>
      </c>
      <c r="BH468" s="44"/>
      <c r="BI468" s="45" t="s">
        <v>16</v>
      </c>
      <c r="BJ468" s="46" t="str">
        <f>IF(VLOOKUP(BI468,βοηθητικό!$J$2:$N$354,3,FALSE)="","",VLOOKUP(BI468,βοηθητικό!$J$2:$N$354,3,FALSE))</f>
        <v>_</v>
      </c>
      <c r="BK468" s="47"/>
      <c r="BL468" s="42" t="s">
        <v>16</v>
      </c>
      <c r="BM468" s="43" t="str">
        <f>IF(VLOOKUP(BL468,βοηθητικό!$J$2:$N$354,3,FALSE)="","",VLOOKUP(BL468,βοηθητικό!$J$2:$N$354,3,FALSE))</f>
        <v>_</v>
      </c>
      <c r="BN468" s="44"/>
      <c r="BO468" s="45" t="s">
        <v>16</v>
      </c>
      <c r="BP468" s="46" t="str">
        <f>IF(VLOOKUP(BO468,βοηθητικό!$J$2:$N$354,3,FALSE)="","",VLOOKUP(BO468,βοηθητικό!$J$2:$N$354,3,FALSE))</f>
        <v>_</v>
      </c>
      <c r="BQ468" s="47"/>
      <c r="BR468" s="42" t="s">
        <v>16</v>
      </c>
      <c r="BS468" s="43" t="str">
        <f>IF(VLOOKUP(BR468,βοηθητικό!$J$2:$N$354,3,FALSE)="","",VLOOKUP(BR468,βοηθητικό!$J$2:$N$354,3,FALSE))</f>
        <v>_</v>
      </c>
      <c r="BT468" s="44"/>
      <c r="BU468" s="45" t="s">
        <v>16</v>
      </c>
      <c r="BV468" s="46" t="str">
        <f>IF(VLOOKUP(BU468,βοηθητικό!$J$2:$N$354,3,FALSE)="","",VLOOKUP(BU468,βοηθητικό!$J$2:$N$354,3,FALSE))</f>
        <v>_</v>
      </c>
      <c r="BW468" s="47"/>
      <c r="BX468" s="42" t="s">
        <v>16</v>
      </c>
      <c r="BY468" s="43" t="str">
        <f>IF(VLOOKUP(BX468,βοηθητικό!$J$2:$N$354,3,FALSE)="","",VLOOKUP(BX468,βοηθητικό!$J$2:$N$354,3,FALSE))</f>
        <v>_</v>
      </c>
      <c r="BZ468" s="44"/>
      <c r="CA468" s="45" t="s">
        <v>16</v>
      </c>
      <c r="CB468" s="46" t="str">
        <f>IF(VLOOKUP(CA468,βοηθητικό!$J$2:$N$354,3,FALSE)="","",VLOOKUP(CA468,βοηθητικό!$J$2:$N$354,3,FALSE))</f>
        <v>_</v>
      </c>
      <c r="CC468" s="47"/>
      <c r="CD468" s="42" t="s">
        <v>16</v>
      </c>
      <c r="CE468" s="43" t="str">
        <f>IF(VLOOKUP(CD468,βοηθητικό!$J$2:$N$354,3,FALSE)="","",VLOOKUP(CD468,βοηθητικό!$J$2:$N$354,3,FALSE))</f>
        <v>_</v>
      </c>
      <c r="CF468" s="44"/>
      <c r="CG468" s="45" t="s">
        <v>16</v>
      </c>
      <c r="CH468" s="46" t="str">
        <f>IF(VLOOKUP(CG468,βοηθητικό!$J$2:$N$354,3,FALSE)="","",VLOOKUP(CG468,βοηθητικό!$J$2:$N$354,3,FALSE))</f>
        <v>_</v>
      </c>
      <c r="CI468" s="47"/>
      <c r="CJ468" s="42" t="s">
        <v>16</v>
      </c>
      <c r="CK468" s="43" t="str">
        <f>IF(VLOOKUP(CJ468,βοηθητικό!$J$2:$N$354,3,FALSE)="","",VLOOKUP(CJ468,βοηθητικό!$J$2:$N$354,3,FALSE))</f>
        <v>_</v>
      </c>
      <c r="CL468" s="44"/>
      <c r="CM468" s="45" t="s">
        <v>16</v>
      </c>
      <c r="CN468" s="46" t="str">
        <f>IF(VLOOKUP(CM468,βοηθητικό!$J$2:$N$354,3,FALSE)="","",VLOOKUP(CM468,βοηθητικό!$J$2:$N$354,3,FALSE))</f>
        <v>_</v>
      </c>
      <c r="CO468" s="47"/>
      <c r="CP468" s="42" t="s">
        <v>16</v>
      </c>
      <c r="CQ468" s="43" t="str">
        <f>IF(VLOOKUP(CP468,βοηθητικό!$J$2:$N$354,3,FALSE)="","",VLOOKUP(CP468,βοηθητικό!$J$2:$N$354,3,FALSE))</f>
        <v>_</v>
      </c>
      <c r="CR468" s="44"/>
      <c r="CS468" s="45" t="s">
        <v>16</v>
      </c>
      <c r="CT468" s="46" t="str">
        <f>IF(VLOOKUP(CS468,βοηθητικό!$J$2:$N$354,3,FALSE)="","",VLOOKUP(CS468,βοηθητικό!$J$2:$N$354,3,FALSE))</f>
        <v>_</v>
      </c>
      <c r="CU468" s="47"/>
    </row>
    <row r="469" spans="1:99" x14ac:dyDescent="0.25">
      <c r="A469" s="37">
        <f>--SUBTOTAL(3,$B$3:B468)</f>
        <v>198</v>
      </c>
      <c r="B469" s="2"/>
      <c r="C469" s="3"/>
      <c r="D469" s="55" t="s">
        <v>18</v>
      </c>
      <c r="E469" s="38" t="s">
        <v>16</v>
      </c>
      <c r="F469" s="38" t="s">
        <v>16</v>
      </c>
      <c r="G469" s="39" t="str">
        <f t="shared" si="23"/>
        <v>__</v>
      </c>
      <c r="H469" s="40" t="str">
        <f t="shared" si="24"/>
        <v>FALSE</v>
      </c>
      <c r="I469" s="41">
        <f t="shared" si="25"/>
        <v>0</v>
      </c>
      <c r="J469" s="4" t="s">
        <v>16</v>
      </c>
      <c r="K469" s="43" t="str">
        <f>IF(VLOOKUP(J469,βοηθητικό!$J$2:$N$354,3,FALSE)="","",VLOOKUP(J469,βοηθητικό!$J$2:$N$354,3,FALSE))</f>
        <v>_</v>
      </c>
      <c r="L469" s="44"/>
      <c r="M469" s="5" t="s">
        <v>16</v>
      </c>
      <c r="N469" s="46" t="str">
        <f>IF(VLOOKUP(M469,βοηθητικό!$J$2:$N$354,3,FALSE)="","",VLOOKUP(M469,βοηθητικό!$J$2:$N$354,3,FALSE))</f>
        <v>_</v>
      </c>
      <c r="O469" s="47"/>
      <c r="P469" s="4" t="s">
        <v>16</v>
      </c>
      <c r="Q469" s="43" t="str">
        <f>IF(VLOOKUP(P469,βοηθητικό!$J$2:$N$354,3,FALSE)="","",VLOOKUP(P469,βοηθητικό!$J$2:$N$354,3,FALSE))</f>
        <v>_</v>
      </c>
      <c r="R469" s="44"/>
      <c r="S469" s="5" t="s">
        <v>16</v>
      </c>
      <c r="T469" s="46" t="str">
        <f>IF(VLOOKUP(S469,βοηθητικό!$J$2:$N$354,3,FALSE)="","",VLOOKUP(S469,βοηθητικό!$J$2:$N$354,3,FALSE))</f>
        <v>_</v>
      </c>
      <c r="U469" s="47"/>
      <c r="V469" s="4" t="s">
        <v>16</v>
      </c>
      <c r="W469" s="43" t="str">
        <f>IF(VLOOKUP(V469,βοηθητικό!$J$2:$N$354,3,FALSE)="","",VLOOKUP(V469,βοηθητικό!$J$2:$N$354,3,FALSE))</f>
        <v>_</v>
      </c>
      <c r="X469" s="44"/>
      <c r="Y469" s="5" t="s">
        <v>16</v>
      </c>
      <c r="Z469" s="46" t="str">
        <f>IF(VLOOKUP(Y469,βοηθητικό!$J$2:$N$354,3,FALSE)="","",VLOOKUP(Y469,βοηθητικό!$J$2:$N$354,3,FALSE))</f>
        <v>_</v>
      </c>
      <c r="AA469" s="47"/>
      <c r="AB469" s="4" t="s">
        <v>16</v>
      </c>
      <c r="AC469" s="43" t="str">
        <f>IF(VLOOKUP(AB469,βοηθητικό!$J$2:$N$354,3,FALSE)="","",VLOOKUP(AB469,βοηθητικό!$J$2:$N$354,3,FALSE))</f>
        <v>_</v>
      </c>
      <c r="AD469" s="44"/>
      <c r="AE469" s="5" t="s">
        <v>16</v>
      </c>
      <c r="AF469" s="46" t="str">
        <f>IF(VLOOKUP(AE469,βοηθητικό!$J$2:$N$354,3,FALSE)="","",VLOOKUP(AE469,βοηθητικό!$J$2:$N$354,3,FALSE))</f>
        <v>_</v>
      </c>
      <c r="AG469" s="47"/>
      <c r="AH469" s="4" t="s">
        <v>16</v>
      </c>
      <c r="AI469" s="43" t="str">
        <f>IF(VLOOKUP(AH469,βοηθητικό!$J$2:$N$354,3,FALSE)="","",VLOOKUP(AH469,βοηθητικό!$J$2:$N$354,3,FALSE))</f>
        <v>_</v>
      </c>
      <c r="AJ469" s="44"/>
      <c r="AK469" s="5" t="s">
        <v>16</v>
      </c>
      <c r="AL469" s="46" t="str">
        <f>IF(VLOOKUP(AK469,βοηθητικό!$J$2:$N$354,3,FALSE)="","",VLOOKUP(AK469,βοηθητικό!$J$2:$N$354,3,FALSE))</f>
        <v>_</v>
      </c>
      <c r="AM469" s="47"/>
      <c r="AN469" s="4" t="s">
        <v>16</v>
      </c>
      <c r="AO469" s="43" t="str">
        <f>IF(VLOOKUP(AN469,βοηθητικό!$J$2:$N$354,3,FALSE)="","",VLOOKUP(AN469,βοηθητικό!$J$2:$N$354,3,FALSE))</f>
        <v>_</v>
      </c>
      <c r="AP469" s="44"/>
      <c r="AQ469" s="5" t="s">
        <v>16</v>
      </c>
      <c r="AR469" s="46" t="str">
        <f>IF(VLOOKUP(AQ469,βοηθητικό!$J$2:$N$354,3,FALSE)="","",VLOOKUP(AQ469,βοηθητικό!$J$2:$N$354,3,FALSE))</f>
        <v>_</v>
      </c>
      <c r="AS469" s="47"/>
      <c r="AT469" s="4" t="s">
        <v>16</v>
      </c>
      <c r="AU469" s="43" t="str">
        <f>IF(VLOOKUP(AT469,βοηθητικό!$J$2:$N$354,3,FALSE)="","",VLOOKUP(AT469,βοηθητικό!$J$2:$N$354,3,FALSE))</f>
        <v>_</v>
      </c>
      <c r="AV469" s="44"/>
      <c r="AW469" s="5" t="s">
        <v>16</v>
      </c>
      <c r="AX469" s="46" t="str">
        <f>IF(VLOOKUP(AW469,βοηθητικό!$J$2:$N$354,3,FALSE)="","",VLOOKUP(AW469,βοηθητικό!$J$2:$N$354,3,FALSE))</f>
        <v>_</v>
      </c>
      <c r="AY469" s="47"/>
      <c r="AZ469" s="4" t="s">
        <v>16</v>
      </c>
      <c r="BA469" s="43" t="str">
        <f>IF(VLOOKUP(AZ469,βοηθητικό!$J$2:$N$354,3,FALSE)="","",VLOOKUP(AZ469,βοηθητικό!$J$2:$N$354,3,FALSE))</f>
        <v>_</v>
      </c>
      <c r="BB469" s="44"/>
      <c r="BC469" s="45" t="s">
        <v>16</v>
      </c>
      <c r="BD469" s="46" t="str">
        <f>IF(VLOOKUP(BC469,βοηθητικό!$J$2:$N$354,3,FALSE)="","",VLOOKUP(BC469,βοηθητικό!$J$2:$N$354,3,FALSE))</f>
        <v>_</v>
      </c>
      <c r="BE469" s="47"/>
      <c r="BF469" s="42" t="s">
        <v>16</v>
      </c>
      <c r="BG469" s="43" t="str">
        <f>IF(VLOOKUP(BF469,βοηθητικό!$J$2:$N$354,3,FALSE)="","",VLOOKUP(BF469,βοηθητικό!$J$2:$N$354,3,FALSE))</f>
        <v>_</v>
      </c>
      <c r="BH469" s="44"/>
      <c r="BI469" s="45" t="s">
        <v>16</v>
      </c>
      <c r="BJ469" s="46" t="str">
        <f>IF(VLOOKUP(BI469,βοηθητικό!$J$2:$N$354,3,FALSE)="","",VLOOKUP(BI469,βοηθητικό!$J$2:$N$354,3,FALSE))</f>
        <v>_</v>
      </c>
      <c r="BK469" s="47"/>
      <c r="BL469" s="42" t="s">
        <v>16</v>
      </c>
      <c r="BM469" s="43" t="str">
        <f>IF(VLOOKUP(BL469,βοηθητικό!$J$2:$N$354,3,FALSE)="","",VLOOKUP(BL469,βοηθητικό!$J$2:$N$354,3,FALSE))</f>
        <v>_</v>
      </c>
      <c r="BN469" s="44"/>
      <c r="BO469" s="45" t="s">
        <v>16</v>
      </c>
      <c r="BP469" s="46" t="str">
        <f>IF(VLOOKUP(BO469,βοηθητικό!$J$2:$N$354,3,FALSE)="","",VLOOKUP(BO469,βοηθητικό!$J$2:$N$354,3,FALSE))</f>
        <v>_</v>
      </c>
      <c r="BQ469" s="47"/>
      <c r="BR469" s="42" t="s">
        <v>16</v>
      </c>
      <c r="BS469" s="43" t="str">
        <f>IF(VLOOKUP(BR469,βοηθητικό!$J$2:$N$354,3,FALSE)="","",VLOOKUP(BR469,βοηθητικό!$J$2:$N$354,3,FALSE))</f>
        <v>_</v>
      </c>
      <c r="BT469" s="44"/>
      <c r="BU469" s="45" t="s">
        <v>16</v>
      </c>
      <c r="BV469" s="46" t="str">
        <f>IF(VLOOKUP(BU469,βοηθητικό!$J$2:$N$354,3,FALSE)="","",VLOOKUP(BU469,βοηθητικό!$J$2:$N$354,3,FALSE))</f>
        <v>_</v>
      </c>
      <c r="BW469" s="47"/>
      <c r="BX469" s="42" t="s">
        <v>16</v>
      </c>
      <c r="BY469" s="43" t="str">
        <f>IF(VLOOKUP(BX469,βοηθητικό!$J$2:$N$354,3,FALSE)="","",VLOOKUP(BX469,βοηθητικό!$J$2:$N$354,3,FALSE))</f>
        <v>_</v>
      </c>
      <c r="BZ469" s="44"/>
      <c r="CA469" s="45" t="s">
        <v>16</v>
      </c>
      <c r="CB469" s="46" t="str">
        <f>IF(VLOOKUP(CA469,βοηθητικό!$J$2:$N$354,3,FALSE)="","",VLOOKUP(CA469,βοηθητικό!$J$2:$N$354,3,FALSE))</f>
        <v>_</v>
      </c>
      <c r="CC469" s="47"/>
      <c r="CD469" s="42" t="s">
        <v>16</v>
      </c>
      <c r="CE469" s="43" t="str">
        <f>IF(VLOOKUP(CD469,βοηθητικό!$J$2:$N$354,3,FALSE)="","",VLOOKUP(CD469,βοηθητικό!$J$2:$N$354,3,FALSE))</f>
        <v>_</v>
      </c>
      <c r="CF469" s="44"/>
      <c r="CG469" s="45" t="s">
        <v>16</v>
      </c>
      <c r="CH469" s="46" t="str">
        <f>IF(VLOOKUP(CG469,βοηθητικό!$J$2:$N$354,3,FALSE)="","",VLOOKUP(CG469,βοηθητικό!$J$2:$N$354,3,FALSE))</f>
        <v>_</v>
      </c>
      <c r="CI469" s="47"/>
      <c r="CJ469" s="42" t="s">
        <v>16</v>
      </c>
      <c r="CK469" s="43" t="str">
        <f>IF(VLOOKUP(CJ469,βοηθητικό!$J$2:$N$354,3,FALSE)="","",VLOOKUP(CJ469,βοηθητικό!$J$2:$N$354,3,FALSE))</f>
        <v>_</v>
      </c>
      <c r="CL469" s="44"/>
      <c r="CM469" s="45" t="s">
        <v>16</v>
      </c>
      <c r="CN469" s="46" t="str">
        <f>IF(VLOOKUP(CM469,βοηθητικό!$J$2:$N$354,3,FALSE)="","",VLOOKUP(CM469,βοηθητικό!$J$2:$N$354,3,FALSE))</f>
        <v>_</v>
      </c>
      <c r="CO469" s="47"/>
      <c r="CP469" s="42" t="s">
        <v>16</v>
      </c>
      <c r="CQ469" s="43" t="str">
        <f>IF(VLOOKUP(CP469,βοηθητικό!$J$2:$N$354,3,FALSE)="","",VLOOKUP(CP469,βοηθητικό!$J$2:$N$354,3,FALSE))</f>
        <v>_</v>
      </c>
      <c r="CR469" s="44"/>
      <c r="CS469" s="45" t="s">
        <v>16</v>
      </c>
      <c r="CT469" s="46" t="str">
        <f>IF(VLOOKUP(CS469,βοηθητικό!$J$2:$N$354,3,FALSE)="","",VLOOKUP(CS469,βοηθητικό!$J$2:$N$354,3,FALSE))</f>
        <v>_</v>
      </c>
      <c r="CU469" s="47"/>
    </row>
    <row r="470" spans="1:99" x14ac:dyDescent="0.25">
      <c r="A470" s="37">
        <f>--SUBTOTAL(3,$B$3:B469)</f>
        <v>198</v>
      </c>
      <c r="B470" s="2"/>
      <c r="C470" s="3"/>
      <c r="D470" s="55" t="s">
        <v>18</v>
      </c>
      <c r="E470" s="38" t="s">
        <v>16</v>
      </c>
      <c r="F470" s="38" t="s">
        <v>16</v>
      </c>
      <c r="G470" s="39" t="str">
        <f t="shared" si="23"/>
        <v>__</v>
      </c>
      <c r="H470" s="40" t="str">
        <f t="shared" si="24"/>
        <v>FALSE</v>
      </c>
      <c r="I470" s="41">
        <f t="shared" si="25"/>
        <v>0</v>
      </c>
      <c r="J470" s="4" t="s">
        <v>16</v>
      </c>
      <c r="K470" s="43" t="str">
        <f>IF(VLOOKUP(J470,βοηθητικό!$J$2:$N$354,3,FALSE)="","",VLOOKUP(J470,βοηθητικό!$J$2:$N$354,3,FALSE))</f>
        <v>_</v>
      </c>
      <c r="L470" s="44"/>
      <c r="M470" s="5" t="s">
        <v>16</v>
      </c>
      <c r="N470" s="46" t="str">
        <f>IF(VLOOKUP(M470,βοηθητικό!$J$2:$N$354,3,FALSE)="","",VLOOKUP(M470,βοηθητικό!$J$2:$N$354,3,FALSE))</f>
        <v>_</v>
      </c>
      <c r="O470" s="47"/>
      <c r="P470" s="4" t="s">
        <v>16</v>
      </c>
      <c r="Q470" s="43" t="str">
        <f>IF(VLOOKUP(P470,βοηθητικό!$J$2:$N$354,3,FALSE)="","",VLOOKUP(P470,βοηθητικό!$J$2:$N$354,3,FALSE))</f>
        <v>_</v>
      </c>
      <c r="R470" s="44"/>
      <c r="S470" s="5" t="s">
        <v>16</v>
      </c>
      <c r="T470" s="46" t="str">
        <f>IF(VLOOKUP(S470,βοηθητικό!$J$2:$N$354,3,FALSE)="","",VLOOKUP(S470,βοηθητικό!$J$2:$N$354,3,FALSE))</f>
        <v>_</v>
      </c>
      <c r="U470" s="47"/>
      <c r="V470" s="4" t="s">
        <v>16</v>
      </c>
      <c r="W470" s="43" t="str">
        <f>IF(VLOOKUP(V470,βοηθητικό!$J$2:$N$354,3,FALSE)="","",VLOOKUP(V470,βοηθητικό!$J$2:$N$354,3,FALSE))</f>
        <v>_</v>
      </c>
      <c r="X470" s="44"/>
      <c r="Y470" s="5" t="s">
        <v>16</v>
      </c>
      <c r="Z470" s="46" t="str">
        <f>IF(VLOOKUP(Y470,βοηθητικό!$J$2:$N$354,3,FALSE)="","",VLOOKUP(Y470,βοηθητικό!$J$2:$N$354,3,FALSE))</f>
        <v>_</v>
      </c>
      <c r="AA470" s="47"/>
      <c r="AB470" s="4" t="s">
        <v>16</v>
      </c>
      <c r="AC470" s="43" t="str">
        <f>IF(VLOOKUP(AB470,βοηθητικό!$J$2:$N$354,3,FALSE)="","",VLOOKUP(AB470,βοηθητικό!$J$2:$N$354,3,FALSE))</f>
        <v>_</v>
      </c>
      <c r="AD470" s="44"/>
      <c r="AE470" s="5" t="s">
        <v>16</v>
      </c>
      <c r="AF470" s="46" t="str">
        <f>IF(VLOOKUP(AE470,βοηθητικό!$J$2:$N$354,3,FALSE)="","",VLOOKUP(AE470,βοηθητικό!$J$2:$N$354,3,FALSE))</f>
        <v>_</v>
      </c>
      <c r="AG470" s="47"/>
      <c r="AH470" s="4" t="s">
        <v>16</v>
      </c>
      <c r="AI470" s="43" t="str">
        <f>IF(VLOOKUP(AH470,βοηθητικό!$J$2:$N$354,3,FALSE)="","",VLOOKUP(AH470,βοηθητικό!$J$2:$N$354,3,FALSE))</f>
        <v>_</v>
      </c>
      <c r="AJ470" s="44"/>
      <c r="AK470" s="5" t="s">
        <v>16</v>
      </c>
      <c r="AL470" s="46" t="str">
        <f>IF(VLOOKUP(AK470,βοηθητικό!$J$2:$N$354,3,FALSE)="","",VLOOKUP(AK470,βοηθητικό!$J$2:$N$354,3,FALSE))</f>
        <v>_</v>
      </c>
      <c r="AM470" s="47"/>
      <c r="AN470" s="4" t="s">
        <v>16</v>
      </c>
      <c r="AO470" s="43" t="str">
        <f>IF(VLOOKUP(AN470,βοηθητικό!$J$2:$N$354,3,FALSE)="","",VLOOKUP(AN470,βοηθητικό!$J$2:$N$354,3,FALSE))</f>
        <v>_</v>
      </c>
      <c r="AP470" s="44"/>
      <c r="AQ470" s="5" t="s">
        <v>16</v>
      </c>
      <c r="AR470" s="46" t="str">
        <f>IF(VLOOKUP(AQ470,βοηθητικό!$J$2:$N$354,3,FALSE)="","",VLOOKUP(AQ470,βοηθητικό!$J$2:$N$354,3,FALSE))</f>
        <v>_</v>
      </c>
      <c r="AS470" s="47"/>
      <c r="AT470" s="4" t="s">
        <v>16</v>
      </c>
      <c r="AU470" s="43" t="str">
        <f>IF(VLOOKUP(AT470,βοηθητικό!$J$2:$N$354,3,FALSE)="","",VLOOKUP(AT470,βοηθητικό!$J$2:$N$354,3,FALSE))</f>
        <v>_</v>
      </c>
      <c r="AV470" s="44"/>
      <c r="AW470" s="5" t="s">
        <v>16</v>
      </c>
      <c r="AX470" s="46" t="str">
        <f>IF(VLOOKUP(AW470,βοηθητικό!$J$2:$N$354,3,FALSE)="","",VLOOKUP(AW470,βοηθητικό!$J$2:$N$354,3,FALSE))</f>
        <v>_</v>
      </c>
      <c r="AY470" s="47"/>
      <c r="AZ470" s="4" t="s">
        <v>16</v>
      </c>
      <c r="BA470" s="43" t="str">
        <f>IF(VLOOKUP(AZ470,βοηθητικό!$J$2:$N$354,3,FALSE)="","",VLOOKUP(AZ470,βοηθητικό!$J$2:$N$354,3,FALSE))</f>
        <v>_</v>
      </c>
      <c r="BB470" s="44"/>
      <c r="BC470" s="45" t="s">
        <v>16</v>
      </c>
      <c r="BD470" s="46" t="str">
        <f>IF(VLOOKUP(BC470,βοηθητικό!$J$2:$N$354,3,FALSE)="","",VLOOKUP(BC470,βοηθητικό!$J$2:$N$354,3,FALSE))</f>
        <v>_</v>
      </c>
      <c r="BE470" s="47"/>
      <c r="BF470" s="42" t="s">
        <v>16</v>
      </c>
      <c r="BG470" s="43" t="str">
        <f>IF(VLOOKUP(BF470,βοηθητικό!$J$2:$N$354,3,FALSE)="","",VLOOKUP(BF470,βοηθητικό!$J$2:$N$354,3,FALSE))</f>
        <v>_</v>
      </c>
      <c r="BH470" s="44"/>
      <c r="BI470" s="45" t="s">
        <v>16</v>
      </c>
      <c r="BJ470" s="46" t="str">
        <f>IF(VLOOKUP(BI470,βοηθητικό!$J$2:$N$354,3,FALSE)="","",VLOOKUP(BI470,βοηθητικό!$J$2:$N$354,3,FALSE))</f>
        <v>_</v>
      </c>
      <c r="BK470" s="47"/>
      <c r="BL470" s="42" t="s">
        <v>16</v>
      </c>
      <c r="BM470" s="43" t="str">
        <f>IF(VLOOKUP(BL470,βοηθητικό!$J$2:$N$354,3,FALSE)="","",VLOOKUP(BL470,βοηθητικό!$J$2:$N$354,3,FALSE))</f>
        <v>_</v>
      </c>
      <c r="BN470" s="44"/>
      <c r="BO470" s="45" t="s">
        <v>16</v>
      </c>
      <c r="BP470" s="46" t="str">
        <f>IF(VLOOKUP(BO470,βοηθητικό!$J$2:$N$354,3,FALSE)="","",VLOOKUP(BO470,βοηθητικό!$J$2:$N$354,3,FALSE))</f>
        <v>_</v>
      </c>
      <c r="BQ470" s="47"/>
      <c r="BR470" s="42" t="s">
        <v>16</v>
      </c>
      <c r="BS470" s="43" t="str">
        <f>IF(VLOOKUP(BR470,βοηθητικό!$J$2:$N$354,3,FALSE)="","",VLOOKUP(BR470,βοηθητικό!$J$2:$N$354,3,FALSE))</f>
        <v>_</v>
      </c>
      <c r="BT470" s="44"/>
      <c r="BU470" s="45" t="s">
        <v>16</v>
      </c>
      <c r="BV470" s="46" t="str">
        <f>IF(VLOOKUP(BU470,βοηθητικό!$J$2:$N$354,3,FALSE)="","",VLOOKUP(BU470,βοηθητικό!$J$2:$N$354,3,FALSE))</f>
        <v>_</v>
      </c>
      <c r="BW470" s="47"/>
      <c r="BX470" s="42" t="s">
        <v>16</v>
      </c>
      <c r="BY470" s="43" t="str">
        <f>IF(VLOOKUP(BX470,βοηθητικό!$J$2:$N$354,3,FALSE)="","",VLOOKUP(BX470,βοηθητικό!$J$2:$N$354,3,FALSE))</f>
        <v>_</v>
      </c>
      <c r="BZ470" s="44"/>
      <c r="CA470" s="45" t="s">
        <v>16</v>
      </c>
      <c r="CB470" s="46" t="str">
        <f>IF(VLOOKUP(CA470,βοηθητικό!$J$2:$N$354,3,FALSE)="","",VLOOKUP(CA470,βοηθητικό!$J$2:$N$354,3,FALSE))</f>
        <v>_</v>
      </c>
      <c r="CC470" s="47"/>
      <c r="CD470" s="42" t="s">
        <v>16</v>
      </c>
      <c r="CE470" s="43" t="str">
        <f>IF(VLOOKUP(CD470,βοηθητικό!$J$2:$N$354,3,FALSE)="","",VLOOKUP(CD470,βοηθητικό!$J$2:$N$354,3,FALSE))</f>
        <v>_</v>
      </c>
      <c r="CF470" s="44"/>
      <c r="CG470" s="45" t="s">
        <v>16</v>
      </c>
      <c r="CH470" s="46" t="str">
        <f>IF(VLOOKUP(CG470,βοηθητικό!$J$2:$N$354,3,FALSE)="","",VLOOKUP(CG470,βοηθητικό!$J$2:$N$354,3,FALSE))</f>
        <v>_</v>
      </c>
      <c r="CI470" s="47"/>
      <c r="CJ470" s="42" t="s">
        <v>16</v>
      </c>
      <c r="CK470" s="43" t="str">
        <f>IF(VLOOKUP(CJ470,βοηθητικό!$J$2:$N$354,3,FALSE)="","",VLOOKUP(CJ470,βοηθητικό!$J$2:$N$354,3,FALSE))</f>
        <v>_</v>
      </c>
      <c r="CL470" s="44"/>
      <c r="CM470" s="45" t="s">
        <v>16</v>
      </c>
      <c r="CN470" s="46" t="str">
        <f>IF(VLOOKUP(CM470,βοηθητικό!$J$2:$N$354,3,FALSE)="","",VLOOKUP(CM470,βοηθητικό!$J$2:$N$354,3,FALSE))</f>
        <v>_</v>
      </c>
      <c r="CO470" s="47"/>
      <c r="CP470" s="42" t="s">
        <v>16</v>
      </c>
      <c r="CQ470" s="43" t="str">
        <f>IF(VLOOKUP(CP470,βοηθητικό!$J$2:$N$354,3,FALSE)="","",VLOOKUP(CP470,βοηθητικό!$J$2:$N$354,3,FALSE))</f>
        <v>_</v>
      </c>
      <c r="CR470" s="44"/>
      <c r="CS470" s="45" t="s">
        <v>16</v>
      </c>
      <c r="CT470" s="46" t="str">
        <f>IF(VLOOKUP(CS470,βοηθητικό!$J$2:$N$354,3,FALSE)="","",VLOOKUP(CS470,βοηθητικό!$J$2:$N$354,3,FALSE))</f>
        <v>_</v>
      </c>
      <c r="CU470" s="47"/>
    </row>
    <row r="471" spans="1:99" x14ac:dyDescent="0.25">
      <c r="A471" s="37">
        <f>--SUBTOTAL(3,$B$3:B470)</f>
        <v>198</v>
      </c>
      <c r="B471" s="2"/>
      <c r="C471" s="3"/>
      <c r="D471" s="55" t="s">
        <v>18</v>
      </c>
      <c r="E471" s="38" t="s">
        <v>16</v>
      </c>
      <c r="F471" s="38" t="s">
        <v>16</v>
      </c>
      <c r="G471" s="39" t="str">
        <f t="shared" si="23"/>
        <v>__</v>
      </c>
      <c r="H471" s="40" t="str">
        <f t="shared" si="24"/>
        <v>FALSE</v>
      </c>
      <c r="I471" s="41">
        <f t="shared" si="25"/>
        <v>0</v>
      </c>
      <c r="J471" s="4" t="s">
        <v>16</v>
      </c>
      <c r="K471" s="43" t="str">
        <f>IF(VLOOKUP(J471,βοηθητικό!$J$2:$N$354,3,FALSE)="","",VLOOKUP(J471,βοηθητικό!$J$2:$N$354,3,FALSE))</f>
        <v>_</v>
      </c>
      <c r="L471" s="44"/>
      <c r="M471" s="5" t="s">
        <v>16</v>
      </c>
      <c r="N471" s="46" t="str">
        <f>IF(VLOOKUP(M471,βοηθητικό!$J$2:$N$354,3,FALSE)="","",VLOOKUP(M471,βοηθητικό!$J$2:$N$354,3,FALSE))</f>
        <v>_</v>
      </c>
      <c r="O471" s="47"/>
      <c r="P471" s="4" t="s">
        <v>16</v>
      </c>
      <c r="Q471" s="43" t="str">
        <f>IF(VLOOKUP(P471,βοηθητικό!$J$2:$N$354,3,FALSE)="","",VLOOKUP(P471,βοηθητικό!$J$2:$N$354,3,FALSE))</f>
        <v>_</v>
      </c>
      <c r="R471" s="44"/>
      <c r="S471" s="5" t="s">
        <v>16</v>
      </c>
      <c r="T471" s="46" t="str">
        <f>IF(VLOOKUP(S471,βοηθητικό!$J$2:$N$354,3,FALSE)="","",VLOOKUP(S471,βοηθητικό!$J$2:$N$354,3,FALSE))</f>
        <v>_</v>
      </c>
      <c r="U471" s="47"/>
      <c r="V471" s="4" t="s">
        <v>16</v>
      </c>
      <c r="W471" s="43" t="str">
        <f>IF(VLOOKUP(V471,βοηθητικό!$J$2:$N$354,3,FALSE)="","",VLOOKUP(V471,βοηθητικό!$J$2:$N$354,3,FALSE))</f>
        <v>_</v>
      </c>
      <c r="X471" s="44"/>
      <c r="Y471" s="5" t="s">
        <v>16</v>
      </c>
      <c r="Z471" s="46" t="str">
        <f>IF(VLOOKUP(Y471,βοηθητικό!$J$2:$N$354,3,FALSE)="","",VLOOKUP(Y471,βοηθητικό!$J$2:$N$354,3,FALSE))</f>
        <v>_</v>
      </c>
      <c r="AA471" s="47"/>
      <c r="AB471" s="4" t="s">
        <v>16</v>
      </c>
      <c r="AC471" s="43" t="str">
        <f>IF(VLOOKUP(AB471,βοηθητικό!$J$2:$N$354,3,FALSE)="","",VLOOKUP(AB471,βοηθητικό!$J$2:$N$354,3,FALSE))</f>
        <v>_</v>
      </c>
      <c r="AD471" s="44"/>
      <c r="AE471" s="5" t="s">
        <v>16</v>
      </c>
      <c r="AF471" s="46" t="str">
        <f>IF(VLOOKUP(AE471,βοηθητικό!$J$2:$N$354,3,FALSE)="","",VLOOKUP(AE471,βοηθητικό!$J$2:$N$354,3,FALSE))</f>
        <v>_</v>
      </c>
      <c r="AG471" s="47"/>
      <c r="AH471" s="4" t="s">
        <v>16</v>
      </c>
      <c r="AI471" s="43" t="str">
        <f>IF(VLOOKUP(AH471,βοηθητικό!$J$2:$N$354,3,FALSE)="","",VLOOKUP(AH471,βοηθητικό!$J$2:$N$354,3,FALSE))</f>
        <v>_</v>
      </c>
      <c r="AJ471" s="44"/>
      <c r="AK471" s="5" t="s">
        <v>16</v>
      </c>
      <c r="AL471" s="46" t="str">
        <f>IF(VLOOKUP(AK471,βοηθητικό!$J$2:$N$354,3,FALSE)="","",VLOOKUP(AK471,βοηθητικό!$J$2:$N$354,3,FALSE))</f>
        <v>_</v>
      </c>
      <c r="AM471" s="47"/>
      <c r="AN471" s="4" t="s">
        <v>16</v>
      </c>
      <c r="AO471" s="43" t="str">
        <f>IF(VLOOKUP(AN471,βοηθητικό!$J$2:$N$354,3,FALSE)="","",VLOOKUP(AN471,βοηθητικό!$J$2:$N$354,3,FALSE))</f>
        <v>_</v>
      </c>
      <c r="AP471" s="44"/>
      <c r="AQ471" s="5" t="s">
        <v>16</v>
      </c>
      <c r="AR471" s="46" t="str">
        <f>IF(VLOOKUP(AQ471,βοηθητικό!$J$2:$N$354,3,FALSE)="","",VLOOKUP(AQ471,βοηθητικό!$J$2:$N$354,3,FALSE))</f>
        <v>_</v>
      </c>
      <c r="AS471" s="47"/>
      <c r="AT471" s="4" t="s">
        <v>16</v>
      </c>
      <c r="AU471" s="43" t="str">
        <f>IF(VLOOKUP(AT471,βοηθητικό!$J$2:$N$354,3,FALSE)="","",VLOOKUP(AT471,βοηθητικό!$J$2:$N$354,3,FALSE))</f>
        <v>_</v>
      </c>
      <c r="AV471" s="44"/>
      <c r="AW471" s="5" t="s">
        <v>16</v>
      </c>
      <c r="AX471" s="46" t="str">
        <f>IF(VLOOKUP(AW471,βοηθητικό!$J$2:$N$354,3,FALSE)="","",VLOOKUP(AW471,βοηθητικό!$J$2:$N$354,3,FALSE))</f>
        <v>_</v>
      </c>
      <c r="AY471" s="47"/>
      <c r="AZ471" s="4" t="s">
        <v>16</v>
      </c>
      <c r="BA471" s="43" t="str">
        <f>IF(VLOOKUP(AZ471,βοηθητικό!$J$2:$N$354,3,FALSE)="","",VLOOKUP(AZ471,βοηθητικό!$J$2:$N$354,3,FALSE))</f>
        <v>_</v>
      </c>
      <c r="BB471" s="44"/>
      <c r="BC471" s="45" t="s">
        <v>16</v>
      </c>
      <c r="BD471" s="46" t="str">
        <f>IF(VLOOKUP(BC471,βοηθητικό!$J$2:$N$354,3,FALSE)="","",VLOOKUP(BC471,βοηθητικό!$J$2:$N$354,3,FALSE))</f>
        <v>_</v>
      </c>
      <c r="BE471" s="47"/>
      <c r="BF471" s="42" t="s">
        <v>16</v>
      </c>
      <c r="BG471" s="43" t="str">
        <f>IF(VLOOKUP(BF471,βοηθητικό!$J$2:$N$354,3,FALSE)="","",VLOOKUP(BF471,βοηθητικό!$J$2:$N$354,3,FALSE))</f>
        <v>_</v>
      </c>
      <c r="BH471" s="44"/>
      <c r="BI471" s="45" t="s">
        <v>16</v>
      </c>
      <c r="BJ471" s="46" t="str">
        <f>IF(VLOOKUP(BI471,βοηθητικό!$J$2:$N$354,3,FALSE)="","",VLOOKUP(BI471,βοηθητικό!$J$2:$N$354,3,FALSE))</f>
        <v>_</v>
      </c>
      <c r="BK471" s="47"/>
      <c r="BL471" s="42" t="s">
        <v>16</v>
      </c>
      <c r="BM471" s="43" t="str">
        <f>IF(VLOOKUP(BL471,βοηθητικό!$J$2:$N$354,3,FALSE)="","",VLOOKUP(BL471,βοηθητικό!$J$2:$N$354,3,FALSE))</f>
        <v>_</v>
      </c>
      <c r="BN471" s="44"/>
      <c r="BO471" s="45" t="s">
        <v>16</v>
      </c>
      <c r="BP471" s="46" t="str">
        <f>IF(VLOOKUP(BO471,βοηθητικό!$J$2:$N$354,3,FALSE)="","",VLOOKUP(BO471,βοηθητικό!$J$2:$N$354,3,FALSE))</f>
        <v>_</v>
      </c>
      <c r="BQ471" s="47"/>
      <c r="BR471" s="42" t="s">
        <v>16</v>
      </c>
      <c r="BS471" s="43" t="str">
        <f>IF(VLOOKUP(BR471,βοηθητικό!$J$2:$N$354,3,FALSE)="","",VLOOKUP(BR471,βοηθητικό!$J$2:$N$354,3,FALSE))</f>
        <v>_</v>
      </c>
      <c r="BT471" s="44"/>
      <c r="BU471" s="45" t="s">
        <v>16</v>
      </c>
      <c r="BV471" s="46" t="str">
        <f>IF(VLOOKUP(BU471,βοηθητικό!$J$2:$N$354,3,FALSE)="","",VLOOKUP(BU471,βοηθητικό!$J$2:$N$354,3,FALSE))</f>
        <v>_</v>
      </c>
      <c r="BW471" s="47"/>
      <c r="BX471" s="42" t="s">
        <v>16</v>
      </c>
      <c r="BY471" s="43" t="str">
        <f>IF(VLOOKUP(BX471,βοηθητικό!$J$2:$N$354,3,FALSE)="","",VLOOKUP(BX471,βοηθητικό!$J$2:$N$354,3,FALSE))</f>
        <v>_</v>
      </c>
      <c r="BZ471" s="44"/>
      <c r="CA471" s="45" t="s">
        <v>16</v>
      </c>
      <c r="CB471" s="46" t="str">
        <f>IF(VLOOKUP(CA471,βοηθητικό!$J$2:$N$354,3,FALSE)="","",VLOOKUP(CA471,βοηθητικό!$J$2:$N$354,3,FALSE))</f>
        <v>_</v>
      </c>
      <c r="CC471" s="47"/>
      <c r="CD471" s="42" t="s">
        <v>16</v>
      </c>
      <c r="CE471" s="43" t="str">
        <f>IF(VLOOKUP(CD471,βοηθητικό!$J$2:$N$354,3,FALSE)="","",VLOOKUP(CD471,βοηθητικό!$J$2:$N$354,3,FALSE))</f>
        <v>_</v>
      </c>
      <c r="CF471" s="44"/>
      <c r="CG471" s="45" t="s">
        <v>16</v>
      </c>
      <c r="CH471" s="46" t="str">
        <f>IF(VLOOKUP(CG471,βοηθητικό!$J$2:$N$354,3,FALSE)="","",VLOOKUP(CG471,βοηθητικό!$J$2:$N$354,3,FALSE))</f>
        <v>_</v>
      </c>
      <c r="CI471" s="47"/>
      <c r="CJ471" s="42" t="s">
        <v>16</v>
      </c>
      <c r="CK471" s="43" t="str">
        <f>IF(VLOOKUP(CJ471,βοηθητικό!$J$2:$N$354,3,FALSE)="","",VLOOKUP(CJ471,βοηθητικό!$J$2:$N$354,3,FALSE))</f>
        <v>_</v>
      </c>
      <c r="CL471" s="44"/>
      <c r="CM471" s="45" t="s">
        <v>16</v>
      </c>
      <c r="CN471" s="46" t="str">
        <f>IF(VLOOKUP(CM471,βοηθητικό!$J$2:$N$354,3,FALSE)="","",VLOOKUP(CM471,βοηθητικό!$J$2:$N$354,3,FALSE))</f>
        <v>_</v>
      </c>
      <c r="CO471" s="47"/>
      <c r="CP471" s="42" t="s">
        <v>16</v>
      </c>
      <c r="CQ471" s="43" t="str">
        <f>IF(VLOOKUP(CP471,βοηθητικό!$J$2:$N$354,3,FALSE)="","",VLOOKUP(CP471,βοηθητικό!$J$2:$N$354,3,FALSE))</f>
        <v>_</v>
      </c>
      <c r="CR471" s="44"/>
      <c r="CS471" s="45" t="s">
        <v>16</v>
      </c>
      <c r="CT471" s="46" t="str">
        <f>IF(VLOOKUP(CS471,βοηθητικό!$J$2:$N$354,3,FALSE)="","",VLOOKUP(CS471,βοηθητικό!$J$2:$N$354,3,FALSE))</f>
        <v>_</v>
      </c>
      <c r="CU471" s="47"/>
    </row>
    <row r="472" spans="1:99" x14ac:dyDescent="0.25">
      <c r="A472" s="37">
        <f>--SUBTOTAL(3,$B$3:B471)</f>
        <v>198</v>
      </c>
      <c r="B472" s="2"/>
      <c r="C472" s="3"/>
      <c r="D472" s="55" t="s">
        <v>18</v>
      </c>
      <c r="E472" s="38" t="s">
        <v>16</v>
      </c>
      <c r="F472" s="38" t="s">
        <v>16</v>
      </c>
      <c r="G472" s="39" t="str">
        <f t="shared" si="23"/>
        <v>__</v>
      </c>
      <c r="H472" s="40" t="str">
        <f t="shared" si="24"/>
        <v>FALSE</v>
      </c>
      <c r="I472" s="41">
        <f t="shared" si="25"/>
        <v>0</v>
      </c>
      <c r="J472" s="4" t="s">
        <v>16</v>
      </c>
      <c r="K472" s="43" t="str">
        <f>IF(VLOOKUP(J472,βοηθητικό!$J$2:$N$354,3,FALSE)="","",VLOOKUP(J472,βοηθητικό!$J$2:$N$354,3,FALSE))</f>
        <v>_</v>
      </c>
      <c r="L472" s="44"/>
      <c r="M472" s="5" t="s">
        <v>16</v>
      </c>
      <c r="N472" s="46" t="str">
        <f>IF(VLOOKUP(M472,βοηθητικό!$J$2:$N$354,3,FALSE)="","",VLOOKUP(M472,βοηθητικό!$J$2:$N$354,3,FALSE))</f>
        <v>_</v>
      </c>
      <c r="O472" s="47"/>
      <c r="P472" s="4" t="s">
        <v>16</v>
      </c>
      <c r="Q472" s="43" t="str">
        <f>IF(VLOOKUP(P472,βοηθητικό!$J$2:$N$354,3,FALSE)="","",VLOOKUP(P472,βοηθητικό!$J$2:$N$354,3,FALSE))</f>
        <v>_</v>
      </c>
      <c r="R472" s="44"/>
      <c r="S472" s="5" t="s">
        <v>16</v>
      </c>
      <c r="T472" s="46" t="str">
        <f>IF(VLOOKUP(S472,βοηθητικό!$J$2:$N$354,3,FALSE)="","",VLOOKUP(S472,βοηθητικό!$J$2:$N$354,3,FALSE))</f>
        <v>_</v>
      </c>
      <c r="U472" s="47"/>
      <c r="V472" s="4" t="s">
        <v>16</v>
      </c>
      <c r="W472" s="43" t="str">
        <f>IF(VLOOKUP(V472,βοηθητικό!$J$2:$N$354,3,FALSE)="","",VLOOKUP(V472,βοηθητικό!$J$2:$N$354,3,FALSE))</f>
        <v>_</v>
      </c>
      <c r="X472" s="44"/>
      <c r="Y472" s="5" t="s">
        <v>16</v>
      </c>
      <c r="Z472" s="46" t="str">
        <f>IF(VLOOKUP(Y472,βοηθητικό!$J$2:$N$354,3,FALSE)="","",VLOOKUP(Y472,βοηθητικό!$J$2:$N$354,3,FALSE))</f>
        <v>_</v>
      </c>
      <c r="AA472" s="47"/>
      <c r="AB472" s="4" t="s">
        <v>16</v>
      </c>
      <c r="AC472" s="43" t="str">
        <f>IF(VLOOKUP(AB472,βοηθητικό!$J$2:$N$354,3,FALSE)="","",VLOOKUP(AB472,βοηθητικό!$J$2:$N$354,3,FALSE))</f>
        <v>_</v>
      </c>
      <c r="AD472" s="44"/>
      <c r="AE472" s="5" t="s">
        <v>16</v>
      </c>
      <c r="AF472" s="46" t="str">
        <f>IF(VLOOKUP(AE472,βοηθητικό!$J$2:$N$354,3,FALSE)="","",VLOOKUP(AE472,βοηθητικό!$J$2:$N$354,3,FALSE))</f>
        <v>_</v>
      </c>
      <c r="AG472" s="47"/>
      <c r="AH472" s="4" t="s">
        <v>16</v>
      </c>
      <c r="AI472" s="43" t="str">
        <f>IF(VLOOKUP(AH472,βοηθητικό!$J$2:$N$354,3,FALSE)="","",VLOOKUP(AH472,βοηθητικό!$J$2:$N$354,3,FALSE))</f>
        <v>_</v>
      </c>
      <c r="AJ472" s="44"/>
      <c r="AK472" s="5" t="s">
        <v>16</v>
      </c>
      <c r="AL472" s="46" t="str">
        <f>IF(VLOOKUP(AK472,βοηθητικό!$J$2:$N$354,3,FALSE)="","",VLOOKUP(AK472,βοηθητικό!$J$2:$N$354,3,FALSE))</f>
        <v>_</v>
      </c>
      <c r="AM472" s="47"/>
      <c r="AN472" s="4" t="s">
        <v>16</v>
      </c>
      <c r="AO472" s="43" t="str">
        <f>IF(VLOOKUP(AN472,βοηθητικό!$J$2:$N$354,3,FALSE)="","",VLOOKUP(AN472,βοηθητικό!$J$2:$N$354,3,FALSE))</f>
        <v>_</v>
      </c>
      <c r="AP472" s="44"/>
      <c r="AQ472" s="5" t="s">
        <v>16</v>
      </c>
      <c r="AR472" s="46" t="str">
        <f>IF(VLOOKUP(AQ472,βοηθητικό!$J$2:$N$354,3,FALSE)="","",VLOOKUP(AQ472,βοηθητικό!$J$2:$N$354,3,FALSE))</f>
        <v>_</v>
      </c>
      <c r="AS472" s="47"/>
      <c r="AT472" s="4" t="s">
        <v>16</v>
      </c>
      <c r="AU472" s="43" t="str">
        <f>IF(VLOOKUP(AT472,βοηθητικό!$J$2:$N$354,3,FALSE)="","",VLOOKUP(AT472,βοηθητικό!$J$2:$N$354,3,FALSE))</f>
        <v>_</v>
      </c>
      <c r="AV472" s="44"/>
      <c r="AW472" s="5" t="s">
        <v>16</v>
      </c>
      <c r="AX472" s="46" t="str">
        <f>IF(VLOOKUP(AW472,βοηθητικό!$J$2:$N$354,3,FALSE)="","",VLOOKUP(AW472,βοηθητικό!$J$2:$N$354,3,FALSE))</f>
        <v>_</v>
      </c>
      <c r="AY472" s="47"/>
      <c r="AZ472" s="4" t="s">
        <v>16</v>
      </c>
      <c r="BA472" s="43" t="str">
        <f>IF(VLOOKUP(AZ472,βοηθητικό!$J$2:$N$354,3,FALSE)="","",VLOOKUP(AZ472,βοηθητικό!$J$2:$N$354,3,FALSE))</f>
        <v>_</v>
      </c>
      <c r="BB472" s="44"/>
      <c r="BC472" s="45" t="s">
        <v>16</v>
      </c>
      <c r="BD472" s="46" t="str">
        <f>IF(VLOOKUP(BC472,βοηθητικό!$J$2:$N$354,3,FALSE)="","",VLOOKUP(BC472,βοηθητικό!$J$2:$N$354,3,FALSE))</f>
        <v>_</v>
      </c>
      <c r="BE472" s="47"/>
      <c r="BF472" s="42" t="s">
        <v>16</v>
      </c>
      <c r="BG472" s="43" t="str">
        <f>IF(VLOOKUP(BF472,βοηθητικό!$J$2:$N$354,3,FALSE)="","",VLOOKUP(BF472,βοηθητικό!$J$2:$N$354,3,FALSE))</f>
        <v>_</v>
      </c>
      <c r="BH472" s="44"/>
      <c r="BI472" s="45" t="s">
        <v>16</v>
      </c>
      <c r="BJ472" s="46" t="str">
        <f>IF(VLOOKUP(BI472,βοηθητικό!$J$2:$N$354,3,FALSE)="","",VLOOKUP(BI472,βοηθητικό!$J$2:$N$354,3,FALSE))</f>
        <v>_</v>
      </c>
      <c r="BK472" s="47"/>
      <c r="BL472" s="42" t="s">
        <v>16</v>
      </c>
      <c r="BM472" s="43" t="str">
        <f>IF(VLOOKUP(BL472,βοηθητικό!$J$2:$N$354,3,FALSE)="","",VLOOKUP(BL472,βοηθητικό!$J$2:$N$354,3,FALSE))</f>
        <v>_</v>
      </c>
      <c r="BN472" s="44"/>
      <c r="BO472" s="45" t="s">
        <v>16</v>
      </c>
      <c r="BP472" s="46" t="str">
        <f>IF(VLOOKUP(BO472,βοηθητικό!$J$2:$N$354,3,FALSE)="","",VLOOKUP(BO472,βοηθητικό!$J$2:$N$354,3,FALSE))</f>
        <v>_</v>
      </c>
      <c r="BQ472" s="47"/>
      <c r="BR472" s="42" t="s">
        <v>16</v>
      </c>
      <c r="BS472" s="43" t="str">
        <f>IF(VLOOKUP(BR472,βοηθητικό!$J$2:$N$354,3,FALSE)="","",VLOOKUP(BR472,βοηθητικό!$J$2:$N$354,3,FALSE))</f>
        <v>_</v>
      </c>
      <c r="BT472" s="44"/>
      <c r="BU472" s="45" t="s">
        <v>16</v>
      </c>
      <c r="BV472" s="46" t="str">
        <f>IF(VLOOKUP(BU472,βοηθητικό!$J$2:$N$354,3,FALSE)="","",VLOOKUP(BU472,βοηθητικό!$J$2:$N$354,3,FALSE))</f>
        <v>_</v>
      </c>
      <c r="BW472" s="47"/>
      <c r="BX472" s="42" t="s">
        <v>16</v>
      </c>
      <c r="BY472" s="43" t="str">
        <f>IF(VLOOKUP(BX472,βοηθητικό!$J$2:$N$354,3,FALSE)="","",VLOOKUP(BX472,βοηθητικό!$J$2:$N$354,3,FALSE))</f>
        <v>_</v>
      </c>
      <c r="BZ472" s="44"/>
      <c r="CA472" s="45" t="s">
        <v>16</v>
      </c>
      <c r="CB472" s="46" t="str">
        <f>IF(VLOOKUP(CA472,βοηθητικό!$J$2:$N$354,3,FALSE)="","",VLOOKUP(CA472,βοηθητικό!$J$2:$N$354,3,FALSE))</f>
        <v>_</v>
      </c>
      <c r="CC472" s="47"/>
      <c r="CD472" s="42" t="s">
        <v>16</v>
      </c>
      <c r="CE472" s="43" t="str">
        <f>IF(VLOOKUP(CD472,βοηθητικό!$J$2:$N$354,3,FALSE)="","",VLOOKUP(CD472,βοηθητικό!$J$2:$N$354,3,FALSE))</f>
        <v>_</v>
      </c>
      <c r="CF472" s="44"/>
      <c r="CG472" s="45" t="s">
        <v>16</v>
      </c>
      <c r="CH472" s="46" t="str">
        <f>IF(VLOOKUP(CG472,βοηθητικό!$J$2:$N$354,3,FALSE)="","",VLOOKUP(CG472,βοηθητικό!$J$2:$N$354,3,FALSE))</f>
        <v>_</v>
      </c>
      <c r="CI472" s="47"/>
      <c r="CJ472" s="42" t="s">
        <v>16</v>
      </c>
      <c r="CK472" s="43" t="str">
        <f>IF(VLOOKUP(CJ472,βοηθητικό!$J$2:$N$354,3,FALSE)="","",VLOOKUP(CJ472,βοηθητικό!$J$2:$N$354,3,FALSE))</f>
        <v>_</v>
      </c>
      <c r="CL472" s="44"/>
      <c r="CM472" s="45" t="s">
        <v>16</v>
      </c>
      <c r="CN472" s="46" t="str">
        <f>IF(VLOOKUP(CM472,βοηθητικό!$J$2:$N$354,3,FALSE)="","",VLOOKUP(CM472,βοηθητικό!$J$2:$N$354,3,FALSE))</f>
        <v>_</v>
      </c>
      <c r="CO472" s="47"/>
      <c r="CP472" s="42" t="s">
        <v>16</v>
      </c>
      <c r="CQ472" s="43" t="str">
        <f>IF(VLOOKUP(CP472,βοηθητικό!$J$2:$N$354,3,FALSE)="","",VLOOKUP(CP472,βοηθητικό!$J$2:$N$354,3,FALSE))</f>
        <v>_</v>
      </c>
      <c r="CR472" s="44"/>
      <c r="CS472" s="45" t="s">
        <v>16</v>
      </c>
      <c r="CT472" s="46" t="str">
        <f>IF(VLOOKUP(CS472,βοηθητικό!$J$2:$N$354,3,FALSE)="","",VLOOKUP(CS472,βοηθητικό!$J$2:$N$354,3,FALSE))</f>
        <v>_</v>
      </c>
      <c r="CU472" s="47"/>
    </row>
    <row r="473" spans="1:99" x14ac:dyDescent="0.25">
      <c r="A473" s="37">
        <f>--SUBTOTAL(3,$B$3:B472)</f>
        <v>198</v>
      </c>
      <c r="B473" s="2"/>
      <c r="C473" s="3"/>
      <c r="D473" s="55" t="s">
        <v>18</v>
      </c>
      <c r="E473" s="38" t="s">
        <v>16</v>
      </c>
      <c r="F473" s="38" t="s">
        <v>16</v>
      </c>
      <c r="G473" s="39" t="str">
        <f t="shared" si="23"/>
        <v>__</v>
      </c>
      <c r="H473" s="40" t="str">
        <f t="shared" si="24"/>
        <v>FALSE</v>
      </c>
      <c r="I473" s="41">
        <f t="shared" si="25"/>
        <v>0</v>
      </c>
      <c r="J473" s="4" t="s">
        <v>16</v>
      </c>
      <c r="K473" s="43" t="str">
        <f>IF(VLOOKUP(J473,βοηθητικό!$J$2:$N$354,3,FALSE)="","",VLOOKUP(J473,βοηθητικό!$J$2:$N$354,3,FALSE))</f>
        <v>_</v>
      </c>
      <c r="L473" s="44"/>
      <c r="M473" s="5" t="s">
        <v>16</v>
      </c>
      <c r="N473" s="46" t="str">
        <f>IF(VLOOKUP(M473,βοηθητικό!$J$2:$N$354,3,FALSE)="","",VLOOKUP(M473,βοηθητικό!$J$2:$N$354,3,FALSE))</f>
        <v>_</v>
      </c>
      <c r="O473" s="47"/>
      <c r="P473" s="4" t="s">
        <v>16</v>
      </c>
      <c r="Q473" s="43" t="str">
        <f>IF(VLOOKUP(P473,βοηθητικό!$J$2:$N$354,3,FALSE)="","",VLOOKUP(P473,βοηθητικό!$J$2:$N$354,3,FALSE))</f>
        <v>_</v>
      </c>
      <c r="R473" s="44"/>
      <c r="S473" s="5" t="s">
        <v>16</v>
      </c>
      <c r="T473" s="46" t="str">
        <f>IF(VLOOKUP(S473,βοηθητικό!$J$2:$N$354,3,FALSE)="","",VLOOKUP(S473,βοηθητικό!$J$2:$N$354,3,FALSE))</f>
        <v>_</v>
      </c>
      <c r="U473" s="47"/>
      <c r="V473" s="4" t="s">
        <v>16</v>
      </c>
      <c r="W473" s="43" t="str">
        <f>IF(VLOOKUP(V473,βοηθητικό!$J$2:$N$354,3,FALSE)="","",VLOOKUP(V473,βοηθητικό!$J$2:$N$354,3,FALSE))</f>
        <v>_</v>
      </c>
      <c r="X473" s="44"/>
      <c r="Y473" s="5" t="s">
        <v>16</v>
      </c>
      <c r="Z473" s="46" t="str">
        <f>IF(VLOOKUP(Y473,βοηθητικό!$J$2:$N$354,3,FALSE)="","",VLOOKUP(Y473,βοηθητικό!$J$2:$N$354,3,FALSE))</f>
        <v>_</v>
      </c>
      <c r="AA473" s="47"/>
      <c r="AB473" s="4" t="s">
        <v>16</v>
      </c>
      <c r="AC473" s="43" t="str">
        <f>IF(VLOOKUP(AB473,βοηθητικό!$J$2:$N$354,3,FALSE)="","",VLOOKUP(AB473,βοηθητικό!$J$2:$N$354,3,FALSE))</f>
        <v>_</v>
      </c>
      <c r="AD473" s="44"/>
      <c r="AE473" s="5" t="s">
        <v>16</v>
      </c>
      <c r="AF473" s="46" t="str">
        <f>IF(VLOOKUP(AE473,βοηθητικό!$J$2:$N$354,3,FALSE)="","",VLOOKUP(AE473,βοηθητικό!$J$2:$N$354,3,FALSE))</f>
        <v>_</v>
      </c>
      <c r="AG473" s="47"/>
      <c r="AH473" s="4" t="s">
        <v>16</v>
      </c>
      <c r="AI473" s="43" t="str">
        <f>IF(VLOOKUP(AH473,βοηθητικό!$J$2:$N$354,3,FALSE)="","",VLOOKUP(AH473,βοηθητικό!$J$2:$N$354,3,FALSE))</f>
        <v>_</v>
      </c>
      <c r="AJ473" s="44"/>
      <c r="AK473" s="5" t="s">
        <v>16</v>
      </c>
      <c r="AL473" s="46" t="str">
        <f>IF(VLOOKUP(AK473,βοηθητικό!$J$2:$N$354,3,FALSE)="","",VLOOKUP(AK473,βοηθητικό!$J$2:$N$354,3,FALSE))</f>
        <v>_</v>
      </c>
      <c r="AM473" s="47"/>
      <c r="AN473" s="4" t="s">
        <v>16</v>
      </c>
      <c r="AO473" s="43" t="str">
        <f>IF(VLOOKUP(AN473,βοηθητικό!$J$2:$N$354,3,FALSE)="","",VLOOKUP(AN473,βοηθητικό!$J$2:$N$354,3,FALSE))</f>
        <v>_</v>
      </c>
      <c r="AP473" s="44"/>
      <c r="AQ473" s="5" t="s">
        <v>16</v>
      </c>
      <c r="AR473" s="46" t="str">
        <f>IF(VLOOKUP(AQ473,βοηθητικό!$J$2:$N$354,3,FALSE)="","",VLOOKUP(AQ473,βοηθητικό!$J$2:$N$354,3,FALSE))</f>
        <v>_</v>
      </c>
      <c r="AS473" s="47"/>
      <c r="AT473" s="4" t="s">
        <v>16</v>
      </c>
      <c r="AU473" s="43" t="str">
        <f>IF(VLOOKUP(AT473,βοηθητικό!$J$2:$N$354,3,FALSE)="","",VLOOKUP(AT473,βοηθητικό!$J$2:$N$354,3,FALSE))</f>
        <v>_</v>
      </c>
      <c r="AV473" s="44"/>
      <c r="AW473" s="5" t="s">
        <v>16</v>
      </c>
      <c r="AX473" s="46" t="str">
        <f>IF(VLOOKUP(AW473,βοηθητικό!$J$2:$N$354,3,FALSE)="","",VLOOKUP(AW473,βοηθητικό!$J$2:$N$354,3,FALSE))</f>
        <v>_</v>
      </c>
      <c r="AY473" s="47"/>
      <c r="AZ473" s="4" t="s">
        <v>16</v>
      </c>
      <c r="BA473" s="43" t="str">
        <f>IF(VLOOKUP(AZ473,βοηθητικό!$J$2:$N$354,3,FALSE)="","",VLOOKUP(AZ473,βοηθητικό!$J$2:$N$354,3,FALSE))</f>
        <v>_</v>
      </c>
      <c r="BB473" s="44"/>
      <c r="BC473" s="45" t="s">
        <v>16</v>
      </c>
      <c r="BD473" s="46" t="str">
        <f>IF(VLOOKUP(BC473,βοηθητικό!$J$2:$N$354,3,FALSE)="","",VLOOKUP(BC473,βοηθητικό!$J$2:$N$354,3,FALSE))</f>
        <v>_</v>
      </c>
      <c r="BE473" s="47"/>
      <c r="BF473" s="42" t="s">
        <v>16</v>
      </c>
      <c r="BG473" s="43" t="str">
        <f>IF(VLOOKUP(BF473,βοηθητικό!$J$2:$N$354,3,FALSE)="","",VLOOKUP(BF473,βοηθητικό!$J$2:$N$354,3,FALSE))</f>
        <v>_</v>
      </c>
      <c r="BH473" s="44"/>
      <c r="BI473" s="45" t="s">
        <v>16</v>
      </c>
      <c r="BJ473" s="46" t="str">
        <f>IF(VLOOKUP(BI473,βοηθητικό!$J$2:$N$354,3,FALSE)="","",VLOOKUP(BI473,βοηθητικό!$J$2:$N$354,3,FALSE))</f>
        <v>_</v>
      </c>
      <c r="BK473" s="47"/>
      <c r="BL473" s="42" t="s">
        <v>16</v>
      </c>
      <c r="BM473" s="43" t="str">
        <f>IF(VLOOKUP(BL473,βοηθητικό!$J$2:$N$354,3,FALSE)="","",VLOOKUP(BL473,βοηθητικό!$J$2:$N$354,3,FALSE))</f>
        <v>_</v>
      </c>
      <c r="BN473" s="44"/>
      <c r="BO473" s="45" t="s">
        <v>16</v>
      </c>
      <c r="BP473" s="46" t="str">
        <f>IF(VLOOKUP(BO473,βοηθητικό!$J$2:$N$354,3,FALSE)="","",VLOOKUP(BO473,βοηθητικό!$J$2:$N$354,3,FALSE))</f>
        <v>_</v>
      </c>
      <c r="BQ473" s="47"/>
      <c r="BR473" s="42" t="s">
        <v>16</v>
      </c>
      <c r="BS473" s="43" t="str">
        <f>IF(VLOOKUP(BR473,βοηθητικό!$J$2:$N$354,3,FALSE)="","",VLOOKUP(BR473,βοηθητικό!$J$2:$N$354,3,FALSE))</f>
        <v>_</v>
      </c>
      <c r="BT473" s="44"/>
      <c r="BU473" s="45" t="s">
        <v>16</v>
      </c>
      <c r="BV473" s="46" t="str">
        <f>IF(VLOOKUP(BU473,βοηθητικό!$J$2:$N$354,3,FALSE)="","",VLOOKUP(BU473,βοηθητικό!$J$2:$N$354,3,FALSE))</f>
        <v>_</v>
      </c>
      <c r="BW473" s="47"/>
      <c r="BX473" s="42" t="s">
        <v>16</v>
      </c>
      <c r="BY473" s="43" t="str">
        <f>IF(VLOOKUP(BX473,βοηθητικό!$J$2:$N$354,3,FALSE)="","",VLOOKUP(BX473,βοηθητικό!$J$2:$N$354,3,FALSE))</f>
        <v>_</v>
      </c>
      <c r="BZ473" s="44"/>
      <c r="CA473" s="45" t="s">
        <v>16</v>
      </c>
      <c r="CB473" s="46" t="str">
        <f>IF(VLOOKUP(CA473,βοηθητικό!$J$2:$N$354,3,FALSE)="","",VLOOKUP(CA473,βοηθητικό!$J$2:$N$354,3,FALSE))</f>
        <v>_</v>
      </c>
      <c r="CC473" s="47"/>
      <c r="CD473" s="42" t="s">
        <v>16</v>
      </c>
      <c r="CE473" s="43" t="str">
        <f>IF(VLOOKUP(CD473,βοηθητικό!$J$2:$N$354,3,FALSE)="","",VLOOKUP(CD473,βοηθητικό!$J$2:$N$354,3,FALSE))</f>
        <v>_</v>
      </c>
      <c r="CF473" s="44"/>
      <c r="CG473" s="45" t="s">
        <v>16</v>
      </c>
      <c r="CH473" s="46" t="str">
        <f>IF(VLOOKUP(CG473,βοηθητικό!$J$2:$N$354,3,FALSE)="","",VLOOKUP(CG473,βοηθητικό!$J$2:$N$354,3,FALSE))</f>
        <v>_</v>
      </c>
      <c r="CI473" s="47"/>
      <c r="CJ473" s="42" t="s">
        <v>16</v>
      </c>
      <c r="CK473" s="43" t="str">
        <f>IF(VLOOKUP(CJ473,βοηθητικό!$J$2:$N$354,3,FALSE)="","",VLOOKUP(CJ473,βοηθητικό!$J$2:$N$354,3,FALSE))</f>
        <v>_</v>
      </c>
      <c r="CL473" s="44"/>
      <c r="CM473" s="45" t="s">
        <v>16</v>
      </c>
      <c r="CN473" s="46" t="str">
        <f>IF(VLOOKUP(CM473,βοηθητικό!$J$2:$N$354,3,FALSE)="","",VLOOKUP(CM473,βοηθητικό!$J$2:$N$354,3,FALSE))</f>
        <v>_</v>
      </c>
      <c r="CO473" s="47"/>
      <c r="CP473" s="42" t="s">
        <v>16</v>
      </c>
      <c r="CQ473" s="43" t="str">
        <f>IF(VLOOKUP(CP473,βοηθητικό!$J$2:$N$354,3,FALSE)="","",VLOOKUP(CP473,βοηθητικό!$J$2:$N$354,3,FALSE))</f>
        <v>_</v>
      </c>
      <c r="CR473" s="44"/>
      <c r="CS473" s="45" t="s">
        <v>16</v>
      </c>
      <c r="CT473" s="46" t="str">
        <f>IF(VLOOKUP(CS473,βοηθητικό!$J$2:$N$354,3,FALSE)="","",VLOOKUP(CS473,βοηθητικό!$J$2:$N$354,3,FALSE))</f>
        <v>_</v>
      </c>
      <c r="CU473" s="47"/>
    </row>
    <row r="474" spans="1:99" x14ac:dyDescent="0.25">
      <c r="A474" s="37">
        <f>--SUBTOTAL(3,$B$3:B473)</f>
        <v>198</v>
      </c>
      <c r="B474" s="2"/>
      <c r="C474" s="3"/>
      <c r="D474" s="55" t="s">
        <v>18</v>
      </c>
      <c r="E474" s="38" t="s">
        <v>16</v>
      </c>
      <c r="F474" s="38" t="s">
        <v>16</v>
      </c>
      <c r="G474" s="39" t="str">
        <f t="shared" si="23"/>
        <v>__</v>
      </c>
      <c r="H474" s="40" t="str">
        <f t="shared" si="24"/>
        <v>FALSE</v>
      </c>
      <c r="I474" s="41">
        <f t="shared" si="25"/>
        <v>0</v>
      </c>
      <c r="J474" s="4" t="s">
        <v>16</v>
      </c>
      <c r="K474" s="43" t="str">
        <f>IF(VLOOKUP(J474,βοηθητικό!$J$2:$N$354,3,FALSE)="","",VLOOKUP(J474,βοηθητικό!$J$2:$N$354,3,FALSE))</f>
        <v>_</v>
      </c>
      <c r="L474" s="44"/>
      <c r="M474" s="5" t="s">
        <v>16</v>
      </c>
      <c r="N474" s="46" t="str">
        <f>IF(VLOOKUP(M474,βοηθητικό!$J$2:$N$354,3,FALSE)="","",VLOOKUP(M474,βοηθητικό!$J$2:$N$354,3,FALSE))</f>
        <v>_</v>
      </c>
      <c r="O474" s="47"/>
      <c r="P474" s="4" t="s">
        <v>16</v>
      </c>
      <c r="Q474" s="43" t="str">
        <f>IF(VLOOKUP(P474,βοηθητικό!$J$2:$N$354,3,FALSE)="","",VLOOKUP(P474,βοηθητικό!$J$2:$N$354,3,FALSE))</f>
        <v>_</v>
      </c>
      <c r="R474" s="44"/>
      <c r="S474" s="5" t="s">
        <v>16</v>
      </c>
      <c r="T474" s="46" t="str">
        <f>IF(VLOOKUP(S474,βοηθητικό!$J$2:$N$354,3,FALSE)="","",VLOOKUP(S474,βοηθητικό!$J$2:$N$354,3,FALSE))</f>
        <v>_</v>
      </c>
      <c r="U474" s="47"/>
      <c r="V474" s="4" t="s">
        <v>16</v>
      </c>
      <c r="W474" s="43" t="str">
        <f>IF(VLOOKUP(V474,βοηθητικό!$J$2:$N$354,3,FALSE)="","",VLOOKUP(V474,βοηθητικό!$J$2:$N$354,3,FALSE))</f>
        <v>_</v>
      </c>
      <c r="X474" s="44"/>
      <c r="Y474" s="5" t="s">
        <v>16</v>
      </c>
      <c r="Z474" s="46" t="str">
        <f>IF(VLOOKUP(Y474,βοηθητικό!$J$2:$N$354,3,FALSE)="","",VLOOKUP(Y474,βοηθητικό!$J$2:$N$354,3,FALSE))</f>
        <v>_</v>
      </c>
      <c r="AA474" s="47"/>
      <c r="AB474" s="4" t="s">
        <v>16</v>
      </c>
      <c r="AC474" s="43" t="str">
        <f>IF(VLOOKUP(AB474,βοηθητικό!$J$2:$N$354,3,FALSE)="","",VLOOKUP(AB474,βοηθητικό!$J$2:$N$354,3,FALSE))</f>
        <v>_</v>
      </c>
      <c r="AD474" s="44"/>
      <c r="AE474" s="5" t="s">
        <v>16</v>
      </c>
      <c r="AF474" s="46" t="str">
        <f>IF(VLOOKUP(AE474,βοηθητικό!$J$2:$N$354,3,FALSE)="","",VLOOKUP(AE474,βοηθητικό!$J$2:$N$354,3,FALSE))</f>
        <v>_</v>
      </c>
      <c r="AG474" s="47"/>
      <c r="AH474" s="4" t="s">
        <v>16</v>
      </c>
      <c r="AI474" s="43" t="str">
        <f>IF(VLOOKUP(AH474,βοηθητικό!$J$2:$N$354,3,FALSE)="","",VLOOKUP(AH474,βοηθητικό!$J$2:$N$354,3,FALSE))</f>
        <v>_</v>
      </c>
      <c r="AJ474" s="44"/>
      <c r="AK474" s="5" t="s">
        <v>16</v>
      </c>
      <c r="AL474" s="46" t="str">
        <f>IF(VLOOKUP(AK474,βοηθητικό!$J$2:$N$354,3,FALSE)="","",VLOOKUP(AK474,βοηθητικό!$J$2:$N$354,3,FALSE))</f>
        <v>_</v>
      </c>
      <c r="AM474" s="47"/>
      <c r="AN474" s="4" t="s">
        <v>16</v>
      </c>
      <c r="AO474" s="43" t="str">
        <f>IF(VLOOKUP(AN474,βοηθητικό!$J$2:$N$354,3,FALSE)="","",VLOOKUP(AN474,βοηθητικό!$J$2:$N$354,3,FALSE))</f>
        <v>_</v>
      </c>
      <c r="AP474" s="44"/>
      <c r="AQ474" s="5" t="s">
        <v>16</v>
      </c>
      <c r="AR474" s="46" t="str">
        <f>IF(VLOOKUP(AQ474,βοηθητικό!$J$2:$N$354,3,FALSE)="","",VLOOKUP(AQ474,βοηθητικό!$J$2:$N$354,3,FALSE))</f>
        <v>_</v>
      </c>
      <c r="AS474" s="47"/>
      <c r="AT474" s="4" t="s">
        <v>16</v>
      </c>
      <c r="AU474" s="43" t="str">
        <f>IF(VLOOKUP(AT474,βοηθητικό!$J$2:$N$354,3,FALSE)="","",VLOOKUP(AT474,βοηθητικό!$J$2:$N$354,3,FALSE))</f>
        <v>_</v>
      </c>
      <c r="AV474" s="44"/>
      <c r="AW474" s="5" t="s">
        <v>16</v>
      </c>
      <c r="AX474" s="46" t="str">
        <f>IF(VLOOKUP(AW474,βοηθητικό!$J$2:$N$354,3,FALSE)="","",VLOOKUP(AW474,βοηθητικό!$J$2:$N$354,3,FALSE))</f>
        <v>_</v>
      </c>
      <c r="AY474" s="47"/>
      <c r="AZ474" s="4" t="s">
        <v>16</v>
      </c>
      <c r="BA474" s="43" t="str">
        <f>IF(VLOOKUP(AZ474,βοηθητικό!$J$2:$N$354,3,FALSE)="","",VLOOKUP(AZ474,βοηθητικό!$J$2:$N$354,3,FALSE))</f>
        <v>_</v>
      </c>
      <c r="BB474" s="44"/>
      <c r="BC474" s="45" t="s">
        <v>16</v>
      </c>
      <c r="BD474" s="46" t="str">
        <f>IF(VLOOKUP(BC474,βοηθητικό!$J$2:$N$354,3,FALSE)="","",VLOOKUP(BC474,βοηθητικό!$J$2:$N$354,3,FALSE))</f>
        <v>_</v>
      </c>
      <c r="BE474" s="47"/>
      <c r="BF474" s="42" t="s">
        <v>16</v>
      </c>
      <c r="BG474" s="43" t="str">
        <f>IF(VLOOKUP(BF474,βοηθητικό!$J$2:$N$354,3,FALSE)="","",VLOOKUP(BF474,βοηθητικό!$J$2:$N$354,3,FALSE))</f>
        <v>_</v>
      </c>
      <c r="BH474" s="44"/>
      <c r="BI474" s="45" t="s">
        <v>16</v>
      </c>
      <c r="BJ474" s="46" t="str">
        <f>IF(VLOOKUP(BI474,βοηθητικό!$J$2:$N$354,3,FALSE)="","",VLOOKUP(BI474,βοηθητικό!$J$2:$N$354,3,FALSE))</f>
        <v>_</v>
      </c>
      <c r="BK474" s="47"/>
      <c r="BL474" s="42" t="s">
        <v>16</v>
      </c>
      <c r="BM474" s="43" t="str">
        <f>IF(VLOOKUP(BL474,βοηθητικό!$J$2:$N$354,3,FALSE)="","",VLOOKUP(BL474,βοηθητικό!$J$2:$N$354,3,FALSE))</f>
        <v>_</v>
      </c>
      <c r="BN474" s="44"/>
      <c r="BO474" s="45" t="s">
        <v>16</v>
      </c>
      <c r="BP474" s="46" t="str">
        <f>IF(VLOOKUP(BO474,βοηθητικό!$J$2:$N$354,3,FALSE)="","",VLOOKUP(BO474,βοηθητικό!$J$2:$N$354,3,FALSE))</f>
        <v>_</v>
      </c>
      <c r="BQ474" s="47"/>
      <c r="BR474" s="42" t="s">
        <v>16</v>
      </c>
      <c r="BS474" s="43" t="str">
        <f>IF(VLOOKUP(BR474,βοηθητικό!$J$2:$N$354,3,FALSE)="","",VLOOKUP(BR474,βοηθητικό!$J$2:$N$354,3,FALSE))</f>
        <v>_</v>
      </c>
      <c r="BT474" s="44"/>
      <c r="BU474" s="45" t="s">
        <v>16</v>
      </c>
      <c r="BV474" s="46" t="str">
        <f>IF(VLOOKUP(BU474,βοηθητικό!$J$2:$N$354,3,FALSE)="","",VLOOKUP(BU474,βοηθητικό!$J$2:$N$354,3,FALSE))</f>
        <v>_</v>
      </c>
      <c r="BW474" s="47"/>
      <c r="BX474" s="42" t="s">
        <v>16</v>
      </c>
      <c r="BY474" s="43" t="str">
        <f>IF(VLOOKUP(BX474,βοηθητικό!$J$2:$N$354,3,FALSE)="","",VLOOKUP(BX474,βοηθητικό!$J$2:$N$354,3,FALSE))</f>
        <v>_</v>
      </c>
      <c r="BZ474" s="44"/>
      <c r="CA474" s="45" t="s">
        <v>16</v>
      </c>
      <c r="CB474" s="46" t="str">
        <f>IF(VLOOKUP(CA474,βοηθητικό!$J$2:$N$354,3,FALSE)="","",VLOOKUP(CA474,βοηθητικό!$J$2:$N$354,3,FALSE))</f>
        <v>_</v>
      </c>
      <c r="CC474" s="47"/>
      <c r="CD474" s="42" t="s">
        <v>16</v>
      </c>
      <c r="CE474" s="43" t="str">
        <f>IF(VLOOKUP(CD474,βοηθητικό!$J$2:$N$354,3,FALSE)="","",VLOOKUP(CD474,βοηθητικό!$J$2:$N$354,3,FALSE))</f>
        <v>_</v>
      </c>
      <c r="CF474" s="44"/>
      <c r="CG474" s="45" t="s">
        <v>16</v>
      </c>
      <c r="CH474" s="46" t="str">
        <f>IF(VLOOKUP(CG474,βοηθητικό!$J$2:$N$354,3,FALSE)="","",VLOOKUP(CG474,βοηθητικό!$J$2:$N$354,3,FALSE))</f>
        <v>_</v>
      </c>
      <c r="CI474" s="47"/>
      <c r="CJ474" s="42" t="s">
        <v>16</v>
      </c>
      <c r="CK474" s="43" t="str">
        <f>IF(VLOOKUP(CJ474,βοηθητικό!$J$2:$N$354,3,FALSE)="","",VLOOKUP(CJ474,βοηθητικό!$J$2:$N$354,3,FALSE))</f>
        <v>_</v>
      </c>
      <c r="CL474" s="44"/>
      <c r="CM474" s="45" t="s">
        <v>16</v>
      </c>
      <c r="CN474" s="46" t="str">
        <f>IF(VLOOKUP(CM474,βοηθητικό!$J$2:$N$354,3,FALSE)="","",VLOOKUP(CM474,βοηθητικό!$J$2:$N$354,3,FALSE))</f>
        <v>_</v>
      </c>
      <c r="CO474" s="47"/>
      <c r="CP474" s="42" t="s">
        <v>16</v>
      </c>
      <c r="CQ474" s="43" t="str">
        <f>IF(VLOOKUP(CP474,βοηθητικό!$J$2:$N$354,3,FALSE)="","",VLOOKUP(CP474,βοηθητικό!$J$2:$N$354,3,FALSE))</f>
        <v>_</v>
      </c>
      <c r="CR474" s="44"/>
      <c r="CS474" s="45" t="s">
        <v>16</v>
      </c>
      <c r="CT474" s="46" t="str">
        <f>IF(VLOOKUP(CS474,βοηθητικό!$J$2:$N$354,3,FALSE)="","",VLOOKUP(CS474,βοηθητικό!$J$2:$N$354,3,FALSE))</f>
        <v>_</v>
      </c>
      <c r="CU474" s="47"/>
    </row>
    <row r="475" spans="1:99" x14ac:dyDescent="0.25">
      <c r="A475" s="37">
        <f>--SUBTOTAL(3,$B$3:B474)</f>
        <v>198</v>
      </c>
      <c r="B475" s="2"/>
      <c r="C475" s="3"/>
      <c r="D475" s="55" t="s">
        <v>18</v>
      </c>
      <c r="E475" s="38" t="s">
        <v>16</v>
      </c>
      <c r="F475" s="38" t="s">
        <v>16</v>
      </c>
      <c r="G475" s="39" t="str">
        <f t="shared" si="23"/>
        <v>__</v>
      </c>
      <c r="H475" s="40" t="str">
        <f t="shared" si="24"/>
        <v>FALSE</v>
      </c>
      <c r="I475" s="41">
        <f t="shared" si="25"/>
        <v>0</v>
      </c>
      <c r="J475" s="4" t="s">
        <v>16</v>
      </c>
      <c r="K475" s="43" t="str">
        <f>IF(VLOOKUP(J475,βοηθητικό!$J$2:$N$354,3,FALSE)="","",VLOOKUP(J475,βοηθητικό!$J$2:$N$354,3,FALSE))</f>
        <v>_</v>
      </c>
      <c r="L475" s="44"/>
      <c r="M475" s="5" t="s">
        <v>16</v>
      </c>
      <c r="N475" s="46" t="str">
        <f>IF(VLOOKUP(M475,βοηθητικό!$J$2:$N$354,3,FALSE)="","",VLOOKUP(M475,βοηθητικό!$J$2:$N$354,3,FALSE))</f>
        <v>_</v>
      </c>
      <c r="O475" s="47"/>
      <c r="P475" s="4" t="s">
        <v>16</v>
      </c>
      <c r="Q475" s="43" t="str">
        <f>IF(VLOOKUP(P475,βοηθητικό!$J$2:$N$354,3,FALSE)="","",VLOOKUP(P475,βοηθητικό!$J$2:$N$354,3,FALSE))</f>
        <v>_</v>
      </c>
      <c r="R475" s="44"/>
      <c r="S475" s="5" t="s">
        <v>16</v>
      </c>
      <c r="T475" s="46" t="str">
        <f>IF(VLOOKUP(S475,βοηθητικό!$J$2:$N$354,3,FALSE)="","",VLOOKUP(S475,βοηθητικό!$J$2:$N$354,3,FALSE))</f>
        <v>_</v>
      </c>
      <c r="U475" s="47"/>
      <c r="V475" s="4" t="s">
        <v>16</v>
      </c>
      <c r="W475" s="43" t="str">
        <f>IF(VLOOKUP(V475,βοηθητικό!$J$2:$N$354,3,FALSE)="","",VLOOKUP(V475,βοηθητικό!$J$2:$N$354,3,FALSE))</f>
        <v>_</v>
      </c>
      <c r="X475" s="44"/>
      <c r="Y475" s="5" t="s">
        <v>16</v>
      </c>
      <c r="Z475" s="46" t="str">
        <f>IF(VLOOKUP(Y475,βοηθητικό!$J$2:$N$354,3,FALSE)="","",VLOOKUP(Y475,βοηθητικό!$J$2:$N$354,3,FALSE))</f>
        <v>_</v>
      </c>
      <c r="AA475" s="47"/>
      <c r="AB475" s="4" t="s">
        <v>16</v>
      </c>
      <c r="AC475" s="43" t="str">
        <f>IF(VLOOKUP(AB475,βοηθητικό!$J$2:$N$354,3,FALSE)="","",VLOOKUP(AB475,βοηθητικό!$J$2:$N$354,3,FALSE))</f>
        <v>_</v>
      </c>
      <c r="AD475" s="44"/>
      <c r="AE475" s="5" t="s">
        <v>16</v>
      </c>
      <c r="AF475" s="46" t="str">
        <f>IF(VLOOKUP(AE475,βοηθητικό!$J$2:$N$354,3,FALSE)="","",VLOOKUP(AE475,βοηθητικό!$J$2:$N$354,3,FALSE))</f>
        <v>_</v>
      </c>
      <c r="AG475" s="47"/>
      <c r="AH475" s="4" t="s">
        <v>16</v>
      </c>
      <c r="AI475" s="43" t="str">
        <f>IF(VLOOKUP(AH475,βοηθητικό!$J$2:$N$354,3,FALSE)="","",VLOOKUP(AH475,βοηθητικό!$J$2:$N$354,3,FALSE))</f>
        <v>_</v>
      </c>
      <c r="AJ475" s="44"/>
      <c r="AK475" s="5" t="s">
        <v>16</v>
      </c>
      <c r="AL475" s="46" t="str">
        <f>IF(VLOOKUP(AK475,βοηθητικό!$J$2:$N$354,3,FALSE)="","",VLOOKUP(AK475,βοηθητικό!$J$2:$N$354,3,FALSE))</f>
        <v>_</v>
      </c>
      <c r="AM475" s="47"/>
      <c r="AN475" s="4" t="s">
        <v>16</v>
      </c>
      <c r="AO475" s="43" t="str">
        <f>IF(VLOOKUP(AN475,βοηθητικό!$J$2:$N$354,3,FALSE)="","",VLOOKUP(AN475,βοηθητικό!$J$2:$N$354,3,FALSE))</f>
        <v>_</v>
      </c>
      <c r="AP475" s="44"/>
      <c r="AQ475" s="5" t="s">
        <v>16</v>
      </c>
      <c r="AR475" s="46" t="str">
        <f>IF(VLOOKUP(AQ475,βοηθητικό!$J$2:$N$354,3,FALSE)="","",VLOOKUP(AQ475,βοηθητικό!$J$2:$N$354,3,FALSE))</f>
        <v>_</v>
      </c>
      <c r="AS475" s="47"/>
      <c r="AT475" s="4" t="s">
        <v>16</v>
      </c>
      <c r="AU475" s="43" t="str">
        <f>IF(VLOOKUP(AT475,βοηθητικό!$J$2:$N$354,3,FALSE)="","",VLOOKUP(AT475,βοηθητικό!$J$2:$N$354,3,FALSE))</f>
        <v>_</v>
      </c>
      <c r="AV475" s="44"/>
      <c r="AW475" s="5" t="s">
        <v>16</v>
      </c>
      <c r="AX475" s="46" t="str">
        <f>IF(VLOOKUP(AW475,βοηθητικό!$J$2:$N$354,3,FALSE)="","",VLOOKUP(AW475,βοηθητικό!$J$2:$N$354,3,FALSE))</f>
        <v>_</v>
      </c>
      <c r="AY475" s="47"/>
      <c r="AZ475" s="4" t="s">
        <v>16</v>
      </c>
      <c r="BA475" s="43" t="str">
        <f>IF(VLOOKUP(AZ475,βοηθητικό!$J$2:$N$354,3,FALSE)="","",VLOOKUP(AZ475,βοηθητικό!$J$2:$N$354,3,FALSE))</f>
        <v>_</v>
      </c>
      <c r="BB475" s="44"/>
      <c r="BC475" s="45" t="s">
        <v>16</v>
      </c>
      <c r="BD475" s="46" t="str">
        <f>IF(VLOOKUP(BC475,βοηθητικό!$J$2:$N$354,3,FALSE)="","",VLOOKUP(BC475,βοηθητικό!$J$2:$N$354,3,FALSE))</f>
        <v>_</v>
      </c>
      <c r="BE475" s="47"/>
      <c r="BF475" s="42" t="s">
        <v>16</v>
      </c>
      <c r="BG475" s="43" t="str">
        <f>IF(VLOOKUP(BF475,βοηθητικό!$J$2:$N$354,3,FALSE)="","",VLOOKUP(BF475,βοηθητικό!$J$2:$N$354,3,FALSE))</f>
        <v>_</v>
      </c>
      <c r="BH475" s="44"/>
      <c r="BI475" s="45" t="s">
        <v>16</v>
      </c>
      <c r="BJ475" s="46" t="str">
        <f>IF(VLOOKUP(BI475,βοηθητικό!$J$2:$N$354,3,FALSE)="","",VLOOKUP(BI475,βοηθητικό!$J$2:$N$354,3,FALSE))</f>
        <v>_</v>
      </c>
      <c r="BK475" s="47"/>
      <c r="BL475" s="42" t="s">
        <v>16</v>
      </c>
      <c r="BM475" s="43" t="str">
        <f>IF(VLOOKUP(BL475,βοηθητικό!$J$2:$N$354,3,FALSE)="","",VLOOKUP(BL475,βοηθητικό!$J$2:$N$354,3,FALSE))</f>
        <v>_</v>
      </c>
      <c r="BN475" s="44"/>
      <c r="BO475" s="45" t="s">
        <v>16</v>
      </c>
      <c r="BP475" s="46" t="str">
        <f>IF(VLOOKUP(BO475,βοηθητικό!$J$2:$N$354,3,FALSE)="","",VLOOKUP(BO475,βοηθητικό!$J$2:$N$354,3,FALSE))</f>
        <v>_</v>
      </c>
      <c r="BQ475" s="47"/>
      <c r="BR475" s="42" t="s">
        <v>16</v>
      </c>
      <c r="BS475" s="43" t="str">
        <f>IF(VLOOKUP(BR475,βοηθητικό!$J$2:$N$354,3,FALSE)="","",VLOOKUP(BR475,βοηθητικό!$J$2:$N$354,3,FALSE))</f>
        <v>_</v>
      </c>
      <c r="BT475" s="44"/>
      <c r="BU475" s="45" t="s">
        <v>16</v>
      </c>
      <c r="BV475" s="46" t="str">
        <f>IF(VLOOKUP(BU475,βοηθητικό!$J$2:$N$354,3,FALSE)="","",VLOOKUP(BU475,βοηθητικό!$J$2:$N$354,3,FALSE))</f>
        <v>_</v>
      </c>
      <c r="BW475" s="47"/>
      <c r="BX475" s="42" t="s">
        <v>16</v>
      </c>
      <c r="BY475" s="43" t="str">
        <f>IF(VLOOKUP(BX475,βοηθητικό!$J$2:$N$354,3,FALSE)="","",VLOOKUP(BX475,βοηθητικό!$J$2:$N$354,3,FALSE))</f>
        <v>_</v>
      </c>
      <c r="BZ475" s="44"/>
      <c r="CA475" s="45" t="s">
        <v>16</v>
      </c>
      <c r="CB475" s="46" t="str">
        <f>IF(VLOOKUP(CA475,βοηθητικό!$J$2:$N$354,3,FALSE)="","",VLOOKUP(CA475,βοηθητικό!$J$2:$N$354,3,FALSE))</f>
        <v>_</v>
      </c>
      <c r="CC475" s="47"/>
      <c r="CD475" s="42" t="s">
        <v>16</v>
      </c>
      <c r="CE475" s="43" t="str">
        <f>IF(VLOOKUP(CD475,βοηθητικό!$J$2:$N$354,3,FALSE)="","",VLOOKUP(CD475,βοηθητικό!$J$2:$N$354,3,FALSE))</f>
        <v>_</v>
      </c>
      <c r="CF475" s="44"/>
      <c r="CG475" s="45" t="s">
        <v>16</v>
      </c>
      <c r="CH475" s="46" t="str">
        <f>IF(VLOOKUP(CG475,βοηθητικό!$J$2:$N$354,3,FALSE)="","",VLOOKUP(CG475,βοηθητικό!$J$2:$N$354,3,FALSE))</f>
        <v>_</v>
      </c>
      <c r="CI475" s="47"/>
      <c r="CJ475" s="42" t="s">
        <v>16</v>
      </c>
      <c r="CK475" s="43" t="str">
        <f>IF(VLOOKUP(CJ475,βοηθητικό!$J$2:$N$354,3,FALSE)="","",VLOOKUP(CJ475,βοηθητικό!$J$2:$N$354,3,FALSE))</f>
        <v>_</v>
      </c>
      <c r="CL475" s="44"/>
      <c r="CM475" s="45" t="s">
        <v>16</v>
      </c>
      <c r="CN475" s="46" t="str">
        <f>IF(VLOOKUP(CM475,βοηθητικό!$J$2:$N$354,3,FALSE)="","",VLOOKUP(CM475,βοηθητικό!$J$2:$N$354,3,FALSE))</f>
        <v>_</v>
      </c>
      <c r="CO475" s="47"/>
      <c r="CP475" s="42" t="s">
        <v>16</v>
      </c>
      <c r="CQ475" s="43" t="str">
        <f>IF(VLOOKUP(CP475,βοηθητικό!$J$2:$N$354,3,FALSE)="","",VLOOKUP(CP475,βοηθητικό!$J$2:$N$354,3,FALSE))</f>
        <v>_</v>
      </c>
      <c r="CR475" s="44"/>
      <c r="CS475" s="45" t="s">
        <v>16</v>
      </c>
      <c r="CT475" s="46" t="str">
        <f>IF(VLOOKUP(CS475,βοηθητικό!$J$2:$N$354,3,FALSE)="","",VLOOKUP(CS475,βοηθητικό!$J$2:$N$354,3,FALSE))</f>
        <v>_</v>
      </c>
      <c r="CU475" s="47"/>
    </row>
    <row r="476" spans="1:99" x14ac:dyDescent="0.25">
      <c r="A476" s="37">
        <f>--SUBTOTAL(3,$B$3:B475)</f>
        <v>198</v>
      </c>
      <c r="B476" s="2"/>
      <c r="C476" s="3"/>
      <c r="D476" s="55" t="s">
        <v>18</v>
      </c>
      <c r="E476" s="38" t="s">
        <v>16</v>
      </c>
      <c r="F476" s="38" t="s">
        <v>16</v>
      </c>
      <c r="G476" s="39" t="str">
        <f t="shared" si="23"/>
        <v>__</v>
      </c>
      <c r="H476" s="40" t="str">
        <f t="shared" si="24"/>
        <v>FALSE</v>
      </c>
      <c r="I476" s="41">
        <f t="shared" si="25"/>
        <v>0</v>
      </c>
      <c r="J476" s="4" t="s">
        <v>16</v>
      </c>
      <c r="K476" s="43" t="str">
        <f>IF(VLOOKUP(J476,βοηθητικό!$J$2:$N$354,3,FALSE)="","",VLOOKUP(J476,βοηθητικό!$J$2:$N$354,3,FALSE))</f>
        <v>_</v>
      </c>
      <c r="L476" s="44"/>
      <c r="M476" s="5" t="s">
        <v>16</v>
      </c>
      <c r="N476" s="46" t="str">
        <f>IF(VLOOKUP(M476,βοηθητικό!$J$2:$N$354,3,FALSE)="","",VLOOKUP(M476,βοηθητικό!$J$2:$N$354,3,FALSE))</f>
        <v>_</v>
      </c>
      <c r="O476" s="47"/>
      <c r="P476" s="4" t="s">
        <v>16</v>
      </c>
      <c r="Q476" s="43" t="str">
        <f>IF(VLOOKUP(P476,βοηθητικό!$J$2:$N$354,3,FALSE)="","",VLOOKUP(P476,βοηθητικό!$J$2:$N$354,3,FALSE))</f>
        <v>_</v>
      </c>
      <c r="R476" s="44"/>
      <c r="S476" s="5" t="s">
        <v>16</v>
      </c>
      <c r="T476" s="46" t="str">
        <f>IF(VLOOKUP(S476,βοηθητικό!$J$2:$N$354,3,FALSE)="","",VLOOKUP(S476,βοηθητικό!$J$2:$N$354,3,FALSE))</f>
        <v>_</v>
      </c>
      <c r="U476" s="47"/>
      <c r="V476" s="4" t="s">
        <v>16</v>
      </c>
      <c r="W476" s="43" t="str">
        <f>IF(VLOOKUP(V476,βοηθητικό!$J$2:$N$354,3,FALSE)="","",VLOOKUP(V476,βοηθητικό!$J$2:$N$354,3,FALSE))</f>
        <v>_</v>
      </c>
      <c r="X476" s="44"/>
      <c r="Y476" s="5" t="s">
        <v>16</v>
      </c>
      <c r="Z476" s="46" t="str">
        <f>IF(VLOOKUP(Y476,βοηθητικό!$J$2:$N$354,3,FALSE)="","",VLOOKUP(Y476,βοηθητικό!$J$2:$N$354,3,FALSE))</f>
        <v>_</v>
      </c>
      <c r="AA476" s="47"/>
      <c r="AB476" s="4" t="s">
        <v>16</v>
      </c>
      <c r="AC476" s="43" t="str">
        <f>IF(VLOOKUP(AB476,βοηθητικό!$J$2:$N$354,3,FALSE)="","",VLOOKUP(AB476,βοηθητικό!$J$2:$N$354,3,FALSE))</f>
        <v>_</v>
      </c>
      <c r="AD476" s="44"/>
      <c r="AE476" s="5" t="s">
        <v>16</v>
      </c>
      <c r="AF476" s="46" t="str">
        <f>IF(VLOOKUP(AE476,βοηθητικό!$J$2:$N$354,3,FALSE)="","",VLOOKUP(AE476,βοηθητικό!$J$2:$N$354,3,FALSE))</f>
        <v>_</v>
      </c>
      <c r="AG476" s="47"/>
      <c r="AH476" s="4" t="s">
        <v>16</v>
      </c>
      <c r="AI476" s="43" t="str">
        <f>IF(VLOOKUP(AH476,βοηθητικό!$J$2:$N$354,3,FALSE)="","",VLOOKUP(AH476,βοηθητικό!$J$2:$N$354,3,FALSE))</f>
        <v>_</v>
      </c>
      <c r="AJ476" s="44"/>
      <c r="AK476" s="5" t="s">
        <v>16</v>
      </c>
      <c r="AL476" s="46" t="str">
        <f>IF(VLOOKUP(AK476,βοηθητικό!$J$2:$N$354,3,FALSE)="","",VLOOKUP(AK476,βοηθητικό!$J$2:$N$354,3,FALSE))</f>
        <v>_</v>
      </c>
      <c r="AM476" s="47"/>
      <c r="AN476" s="4" t="s">
        <v>16</v>
      </c>
      <c r="AO476" s="43" t="str">
        <f>IF(VLOOKUP(AN476,βοηθητικό!$J$2:$N$354,3,FALSE)="","",VLOOKUP(AN476,βοηθητικό!$J$2:$N$354,3,FALSE))</f>
        <v>_</v>
      </c>
      <c r="AP476" s="44"/>
      <c r="AQ476" s="5" t="s">
        <v>16</v>
      </c>
      <c r="AR476" s="46" t="str">
        <f>IF(VLOOKUP(AQ476,βοηθητικό!$J$2:$N$354,3,FALSE)="","",VLOOKUP(AQ476,βοηθητικό!$J$2:$N$354,3,FALSE))</f>
        <v>_</v>
      </c>
      <c r="AS476" s="47"/>
      <c r="AT476" s="4" t="s">
        <v>16</v>
      </c>
      <c r="AU476" s="43" t="str">
        <f>IF(VLOOKUP(AT476,βοηθητικό!$J$2:$N$354,3,FALSE)="","",VLOOKUP(AT476,βοηθητικό!$J$2:$N$354,3,FALSE))</f>
        <v>_</v>
      </c>
      <c r="AV476" s="44"/>
      <c r="AW476" s="5" t="s">
        <v>16</v>
      </c>
      <c r="AX476" s="46" t="str">
        <f>IF(VLOOKUP(AW476,βοηθητικό!$J$2:$N$354,3,FALSE)="","",VLOOKUP(AW476,βοηθητικό!$J$2:$N$354,3,FALSE))</f>
        <v>_</v>
      </c>
      <c r="AY476" s="47"/>
      <c r="AZ476" s="4" t="s">
        <v>16</v>
      </c>
      <c r="BA476" s="43" t="str">
        <f>IF(VLOOKUP(AZ476,βοηθητικό!$J$2:$N$354,3,FALSE)="","",VLOOKUP(AZ476,βοηθητικό!$J$2:$N$354,3,FALSE))</f>
        <v>_</v>
      </c>
      <c r="BB476" s="44"/>
      <c r="BC476" s="45" t="s">
        <v>16</v>
      </c>
      <c r="BD476" s="46" t="str">
        <f>IF(VLOOKUP(BC476,βοηθητικό!$J$2:$N$354,3,FALSE)="","",VLOOKUP(BC476,βοηθητικό!$J$2:$N$354,3,FALSE))</f>
        <v>_</v>
      </c>
      <c r="BE476" s="47"/>
      <c r="BF476" s="42" t="s">
        <v>16</v>
      </c>
      <c r="BG476" s="43" t="str">
        <f>IF(VLOOKUP(BF476,βοηθητικό!$J$2:$N$354,3,FALSE)="","",VLOOKUP(BF476,βοηθητικό!$J$2:$N$354,3,FALSE))</f>
        <v>_</v>
      </c>
      <c r="BH476" s="44"/>
      <c r="BI476" s="45" t="s">
        <v>16</v>
      </c>
      <c r="BJ476" s="46" t="str">
        <f>IF(VLOOKUP(BI476,βοηθητικό!$J$2:$N$354,3,FALSE)="","",VLOOKUP(BI476,βοηθητικό!$J$2:$N$354,3,FALSE))</f>
        <v>_</v>
      </c>
      <c r="BK476" s="47"/>
      <c r="BL476" s="42" t="s">
        <v>16</v>
      </c>
      <c r="BM476" s="43" t="str">
        <f>IF(VLOOKUP(BL476,βοηθητικό!$J$2:$N$354,3,FALSE)="","",VLOOKUP(BL476,βοηθητικό!$J$2:$N$354,3,FALSE))</f>
        <v>_</v>
      </c>
      <c r="BN476" s="44"/>
      <c r="BO476" s="45" t="s">
        <v>16</v>
      </c>
      <c r="BP476" s="46" t="str">
        <f>IF(VLOOKUP(BO476,βοηθητικό!$J$2:$N$354,3,FALSE)="","",VLOOKUP(BO476,βοηθητικό!$J$2:$N$354,3,FALSE))</f>
        <v>_</v>
      </c>
      <c r="BQ476" s="47"/>
      <c r="BR476" s="42" t="s">
        <v>16</v>
      </c>
      <c r="BS476" s="43" t="str">
        <f>IF(VLOOKUP(BR476,βοηθητικό!$J$2:$N$354,3,FALSE)="","",VLOOKUP(BR476,βοηθητικό!$J$2:$N$354,3,FALSE))</f>
        <v>_</v>
      </c>
      <c r="BT476" s="44"/>
      <c r="BU476" s="45" t="s">
        <v>16</v>
      </c>
      <c r="BV476" s="46" t="str">
        <f>IF(VLOOKUP(BU476,βοηθητικό!$J$2:$N$354,3,FALSE)="","",VLOOKUP(BU476,βοηθητικό!$J$2:$N$354,3,FALSE))</f>
        <v>_</v>
      </c>
      <c r="BW476" s="47"/>
      <c r="BX476" s="42" t="s">
        <v>16</v>
      </c>
      <c r="BY476" s="43" t="str">
        <f>IF(VLOOKUP(BX476,βοηθητικό!$J$2:$N$354,3,FALSE)="","",VLOOKUP(BX476,βοηθητικό!$J$2:$N$354,3,FALSE))</f>
        <v>_</v>
      </c>
      <c r="BZ476" s="44"/>
      <c r="CA476" s="45" t="s">
        <v>16</v>
      </c>
      <c r="CB476" s="46" t="str">
        <f>IF(VLOOKUP(CA476,βοηθητικό!$J$2:$N$354,3,FALSE)="","",VLOOKUP(CA476,βοηθητικό!$J$2:$N$354,3,FALSE))</f>
        <v>_</v>
      </c>
      <c r="CC476" s="47"/>
      <c r="CD476" s="42" t="s">
        <v>16</v>
      </c>
      <c r="CE476" s="43" t="str">
        <f>IF(VLOOKUP(CD476,βοηθητικό!$J$2:$N$354,3,FALSE)="","",VLOOKUP(CD476,βοηθητικό!$J$2:$N$354,3,FALSE))</f>
        <v>_</v>
      </c>
      <c r="CF476" s="44"/>
      <c r="CG476" s="45" t="s">
        <v>16</v>
      </c>
      <c r="CH476" s="46" t="str">
        <f>IF(VLOOKUP(CG476,βοηθητικό!$J$2:$N$354,3,FALSE)="","",VLOOKUP(CG476,βοηθητικό!$J$2:$N$354,3,FALSE))</f>
        <v>_</v>
      </c>
      <c r="CI476" s="47"/>
      <c r="CJ476" s="42" t="s">
        <v>16</v>
      </c>
      <c r="CK476" s="43" t="str">
        <f>IF(VLOOKUP(CJ476,βοηθητικό!$J$2:$N$354,3,FALSE)="","",VLOOKUP(CJ476,βοηθητικό!$J$2:$N$354,3,FALSE))</f>
        <v>_</v>
      </c>
      <c r="CL476" s="44"/>
      <c r="CM476" s="45" t="s">
        <v>16</v>
      </c>
      <c r="CN476" s="46" t="str">
        <f>IF(VLOOKUP(CM476,βοηθητικό!$J$2:$N$354,3,FALSE)="","",VLOOKUP(CM476,βοηθητικό!$J$2:$N$354,3,FALSE))</f>
        <v>_</v>
      </c>
      <c r="CO476" s="47"/>
      <c r="CP476" s="42" t="s">
        <v>16</v>
      </c>
      <c r="CQ476" s="43" t="str">
        <f>IF(VLOOKUP(CP476,βοηθητικό!$J$2:$N$354,3,FALSE)="","",VLOOKUP(CP476,βοηθητικό!$J$2:$N$354,3,FALSE))</f>
        <v>_</v>
      </c>
      <c r="CR476" s="44"/>
      <c r="CS476" s="45" t="s">
        <v>16</v>
      </c>
      <c r="CT476" s="46" t="str">
        <f>IF(VLOOKUP(CS476,βοηθητικό!$J$2:$N$354,3,FALSE)="","",VLOOKUP(CS476,βοηθητικό!$J$2:$N$354,3,FALSE))</f>
        <v>_</v>
      </c>
      <c r="CU476" s="47"/>
    </row>
    <row r="477" spans="1:99" x14ac:dyDescent="0.25">
      <c r="A477" s="37">
        <f>--SUBTOTAL(3,$B$3:B476)</f>
        <v>198</v>
      </c>
      <c r="B477" s="2"/>
      <c r="C477" s="3"/>
      <c r="D477" s="55" t="s">
        <v>18</v>
      </c>
      <c r="E477" s="38" t="s">
        <v>16</v>
      </c>
      <c r="F477" s="38" t="s">
        <v>16</v>
      </c>
      <c r="G477" s="39" t="str">
        <f t="shared" si="23"/>
        <v>__</v>
      </c>
      <c r="H477" s="40" t="str">
        <f t="shared" si="24"/>
        <v>FALSE</v>
      </c>
      <c r="I477" s="41">
        <f t="shared" si="25"/>
        <v>0</v>
      </c>
      <c r="J477" s="4" t="s">
        <v>16</v>
      </c>
      <c r="K477" s="43" t="str">
        <f>IF(VLOOKUP(J477,βοηθητικό!$J$2:$N$354,3,FALSE)="","",VLOOKUP(J477,βοηθητικό!$J$2:$N$354,3,FALSE))</f>
        <v>_</v>
      </c>
      <c r="L477" s="44"/>
      <c r="M477" s="5" t="s">
        <v>16</v>
      </c>
      <c r="N477" s="46" t="str">
        <f>IF(VLOOKUP(M477,βοηθητικό!$J$2:$N$354,3,FALSE)="","",VLOOKUP(M477,βοηθητικό!$J$2:$N$354,3,FALSE))</f>
        <v>_</v>
      </c>
      <c r="O477" s="47"/>
      <c r="P477" s="4" t="s">
        <v>16</v>
      </c>
      <c r="Q477" s="43" t="str">
        <f>IF(VLOOKUP(P477,βοηθητικό!$J$2:$N$354,3,FALSE)="","",VLOOKUP(P477,βοηθητικό!$J$2:$N$354,3,FALSE))</f>
        <v>_</v>
      </c>
      <c r="R477" s="44"/>
      <c r="S477" s="5" t="s">
        <v>16</v>
      </c>
      <c r="T477" s="46" t="str">
        <f>IF(VLOOKUP(S477,βοηθητικό!$J$2:$N$354,3,FALSE)="","",VLOOKUP(S477,βοηθητικό!$J$2:$N$354,3,FALSE))</f>
        <v>_</v>
      </c>
      <c r="U477" s="47"/>
      <c r="V477" s="4" t="s">
        <v>16</v>
      </c>
      <c r="W477" s="43" t="str">
        <f>IF(VLOOKUP(V477,βοηθητικό!$J$2:$N$354,3,FALSE)="","",VLOOKUP(V477,βοηθητικό!$J$2:$N$354,3,FALSE))</f>
        <v>_</v>
      </c>
      <c r="X477" s="44"/>
      <c r="Y477" s="5" t="s">
        <v>16</v>
      </c>
      <c r="Z477" s="46" t="str">
        <f>IF(VLOOKUP(Y477,βοηθητικό!$J$2:$N$354,3,FALSE)="","",VLOOKUP(Y477,βοηθητικό!$J$2:$N$354,3,FALSE))</f>
        <v>_</v>
      </c>
      <c r="AA477" s="47"/>
      <c r="AB477" s="4" t="s">
        <v>16</v>
      </c>
      <c r="AC477" s="43" t="str">
        <f>IF(VLOOKUP(AB477,βοηθητικό!$J$2:$N$354,3,FALSE)="","",VLOOKUP(AB477,βοηθητικό!$J$2:$N$354,3,FALSE))</f>
        <v>_</v>
      </c>
      <c r="AD477" s="44"/>
      <c r="AE477" s="5" t="s">
        <v>16</v>
      </c>
      <c r="AF477" s="46" t="str">
        <f>IF(VLOOKUP(AE477,βοηθητικό!$J$2:$N$354,3,FALSE)="","",VLOOKUP(AE477,βοηθητικό!$J$2:$N$354,3,FALSE))</f>
        <v>_</v>
      </c>
      <c r="AG477" s="47"/>
      <c r="AH477" s="4" t="s">
        <v>16</v>
      </c>
      <c r="AI477" s="43" t="str">
        <f>IF(VLOOKUP(AH477,βοηθητικό!$J$2:$N$354,3,FALSE)="","",VLOOKUP(AH477,βοηθητικό!$J$2:$N$354,3,FALSE))</f>
        <v>_</v>
      </c>
      <c r="AJ477" s="44"/>
      <c r="AK477" s="5" t="s">
        <v>16</v>
      </c>
      <c r="AL477" s="46" t="str">
        <f>IF(VLOOKUP(AK477,βοηθητικό!$J$2:$N$354,3,FALSE)="","",VLOOKUP(AK477,βοηθητικό!$J$2:$N$354,3,FALSE))</f>
        <v>_</v>
      </c>
      <c r="AM477" s="47"/>
      <c r="AN477" s="4" t="s">
        <v>16</v>
      </c>
      <c r="AO477" s="43" t="str">
        <f>IF(VLOOKUP(AN477,βοηθητικό!$J$2:$N$354,3,FALSE)="","",VLOOKUP(AN477,βοηθητικό!$J$2:$N$354,3,FALSE))</f>
        <v>_</v>
      </c>
      <c r="AP477" s="44"/>
      <c r="AQ477" s="5" t="s">
        <v>16</v>
      </c>
      <c r="AR477" s="46" t="str">
        <f>IF(VLOOKUP(AQ477,βοηθητικό!$J$2:$N$354,3,FALSE)="","",VLOOKUP(AQ477,βοηθητικό!$J$2:$N$354,3,FALSE))</f>
        <v>_</v>
      </c>
      <c r="AS477" s="47"/>
      <c r="AT477" s="4" t="s">
        <v>16</v>
      </c>
      <c r="AU477" s="43" t="str">
        <f>IF(VLOOKUP(AT477,βοηθητικό!$J$2:$N$354,3,FALSE)="","",VLOOKUP(AT477,βοηθητικό!$J$2:$N$354,3,FALSE))</f>
        <v>_</v>
      </c>
      <c r="AV477" s="44"/>
      <c r="AW477" s="5" t="s">
        <v>16</v>
      </c>
      <c r="AX477" s="46" t="str">
        <f>IF(VLOOKUP(AW477,βοηθητικό!$J$2:$N$354,3,FALSE)="","",VLOOKUP(AW477,βοηθητικό!$J$2:$N$354,3,FALSE))</f>
        <v>_</v>
      </c>
      <c r="AY477" s="47"/>
      <c r="AZ477" s="4" t="s">
        <v>16</v>
      </c>
      <c r="BA477" s="43" t="str">
        <f>IF(VLOOKUP(AZ477,βοηθητικό!$J$2:$N$354,3,FALSE)="","",VLOOKUP(AZ477,βοηθητικό!$J$2:$N$354,3,FALSE))</f>
        <v>_</v>
      </c>
      <c r="BB477" s="44"/>
      <c r="BC477" s="45" t="s">
        <v>16</v>
      </c>
      <c r="BD477" s="46" t="str">
        <f>IF(VLOOKUP(BC477,βοηθητικό!$J$2:$N$354,3,FALSE)="","",VLOOKUP(BC477,βοηθητικό!$J$2:$N$354,3,FALSE))</f>
        <v>_</v>
      </c>
      <c r="BE477" s="47"/>
      <c r="BF477" s="42" t="s">
        <v>16</v>
      </c>
      <c r="BG477" s="43" t="str">
        <f>IF(VLOOKUP(BF477,βοηθητικό!$J$2:$N$354,3,FALSE)="","",VLOOKUP(BF477,βοηθητικό!$J$2:$N$354,3,FALSE))</f>
        <v>_</v>
      </c>
      <c r="BH477" s="44"/>
      <c r="BI477" s="45" t="s">
        <v>16</v>
      </c>
      <c r="BJ477" s="46" t="str">
        <f>IF(VLOOKUP(BI477,βοηθητικό!$J$2:$N$354,3,FALSE)="","",VLOOKUP(BI477,βοηθητικό!$J$2:$N$354,3,FALSE))</f>
        <v>_</v>
      </c>
      <c r="BK477" s="47"/>
      <c r="BL477" s="42" t="s">
        <v>16</v>
      </c>
      <c r="BM477" s="43" t="str">
        <f>IF(VLOOKUP(BL477,βοηθητικό!$J$2:$N$354,3,FALSE)="","",VLOOKUP(BL477,βοηθητικό!$J$2:$N$354,3,FALSE))</f>
        <v>_</v>
      </c>
      <c r="BN477" s="44"/>
      <c r="BO477" s="45" t="s">
        <v>16</v>
      </c>
      <c r="BP477" s="46" t="str">
        <f>IF(VLOOKUP(BO477,βοηθητικό!$J$2:$N$354,3,FALSE)="","",VLOOKUP(BO477,βοηθητικό!$J$2:$N$354,3,FALSE))</f>
        <v>_</v>
      </c>
      <c r="BQ477" s="47"/>
      <c r="BR477" s="42" t="s">
        <v>16</v>
      </c>
      <c r="BS477" s="43" t="str">
        <f>IF(VLOOKUP(BR477,βοηθητικό!$J$2:$N$354,3,FALSE)="","",VLOOKUP(BR477,βοηθητικό!$J$2:$N$354,3,FALSE))</f>
        <v>_</v>
      </c>
      <c r="BT477" s="44"/>
      <c r="BU477" s="45" t="s">
        <v>16</v>
      </c>
      <c r="BV477" s="46" t="str">
        <f>IF(VLOOKUP(BU477,βοηθητικό!$J$2:$N$354,3,FALSE)="","",VLOOKUP(BU477,βοηθητικό!$J$2:$N$354,3,FALSE))</f>
        <v>_</v>
      </c>
      <c r="BW477" s="47"/>
      <c r="BX477" s="42" t="s">
        <v>16</v>
      </c>
      <c r="BY477" s="43" t="str">
        <f>IF(VLOOKUP(BX477,βοηθητικό!$J$2:$N$354,3,FALSE)="","",VLOOKUP(BX477,βοηθητικό!$J$2:$N$354,3,FALSE))</f>
        <v>_</v>
      </c>
      <c r="BZ477" s="44"/>
      <c r="CA477" s="45" t="s">
        <v>16</v>
      </c>
      <c r="CB477" s="46" t="str">
        <f>IF(VLOOKUP(CA477,βοηθητικό!$J$2:$N$354,3,FALSE)="","",VLOOKUP(CA477,βοηθητικό!$J$2:$N$354,3,FALSE))</f>
        <v>_</v>
      </c>
      <c r="CC477" s="47"/>
      <c r="CD477" s="42" t="s">
        <v>16</v>
      </c>
      <c r="CE477" s="43" t="str">
        <f>IF(VLOOKUP(CD477,βοηθητικό!$J$2:$N$354,3,FALSE)="","",VLOOKUP(CD477,βοηθητικό!$J$2:$N$354,3,FALSE))</f>
        <v>_</v>
      </c>
      <c r="CF477" s="44"/>
      <c r="CG477" s="45" t="s">
        <v>16</v>
      </c>
      <c r="CH477" s="46" t="str">
        <f>IF(VLOOKUP(CG477,βοηθητικό!$J$2:$N$354,3,FALSE)="","",VLOOKUP(CG477,βοηθητικό!$J$2:$N$354,3,FALSE))</f>
        <v>_</v>
      </c>
      <c r="CI477" s="47"/>
      <c r="CJ477" s="42" t="s">
        <v>16</v>
      </c>
      <c r="CK477" s="43" t="str">
        <f>IF(VLOOKUP(CJ477,βοηθητικό!$J$2:$N$354,3,FALSE)="","",VLOOKUP(CJ477,βοηθητικό!$J$2:$N$354,3,FALSE))</f>
        <v>_</v>
      </c>
      <c r="CL477" s="44"/>
      <c r="CM477" s="45" t="s">
        <v>16</v>
      </c>
      <c r="CN477" s="46" t="str">
        <f>IF(VLOOKUP(CM477,βοηθητικό!$J$2:$N$354,3,FALSE)="","",VLOOKUP(CM477,βοηθητικό!$J$2:$N$354,3,FALSE))</f>
        <v>_</v>
      </c>
      <c r="CO477" s="47"/>
      <c r="CP477" s="42" t="s">
        <v>16</v>
      </c>
      <c r="CQ477" s="43" t="str">
        <f>IF(VLOOKUP(CP477,βοηθητικό!$J$2:$N$354,3,FALSE)="","",VLOOKUP(CP477,βοηθητικό!$J$2:$N$354,3,FALSE))</f>
        <v>_</v>
      </c>
      <c r="CR477" s="44"/>
      <c r="CS477" s="45" t="s">
        <v>16</v>
      </c>
      <c r="CT477" s="46" t="str">
        <f>IF(VLOOKUP(CS477,βοηθητικό!$J$2:$N$354,3,FALSE)="","",VLOOKUP(CS477,βοηθητικό!$J$2:$N$354,3,FALSE))</f>
        <v>_</v>
      </c>
      <c r="CU477" s="47"/>
    </row>
    <row r="478" spans="1:99" x14ac:dyDescent="0.25">
      <c r="A478" s="37">
        <f>--SUBTOTAL(3,$B$3:B477)</f>
        <v>198</v>
      </c>
      <c r="B478" s="2"/>
      <c r="C478" s="3"/>
      <c r="D478" s="55" t="s">
        <v>18</v>
      </c>
      <c r="E478" s="38" t="s">
        <v>16</v>
      </c>
      <c r="F478" s="38" t="s">
        <v>16</v>
      </c>
      <c r="G478" s="39" t="str">
        <f t="shared" si="23"/>
        <v>__</v>
      </c>
      <c r="H478" s="40" t="str">
        <f t="shared" si="24"/>
        <v>FALSE</v>
      </c>
      <c r="I478" s="41">
        <f t="shared" si="25"/>
        <v>0</v>
      </c>
      <c r="J478" s="4" t="s">
        <v>16</v>
      </c>
      <c r="K478" s="43" t="str">
        <f>IF(VLOOKUP(J478,βοηθητικό!$J$2:$N$354,3,FALSE)="","",VLOOKUP(J478,βοηθητικό!$J$2:$N$354,3,FALSE))</f>
        <v>_</v>
      </c>
      <c r="L478" s="44"/>
      <c r="M478" s="5" t="s">
        <v>16</v>
      </c>
      <c r="N478" s="46" t="str">
        <f>IF(VLOOKUP(M478,βοηθητικό!$J$2:$N$354,3,FALSE)="","",VLOOKUP(M478,βοηθητικό!$J$2:$N$354,3,FALSE))</f>
        <v>_</v>
      </c>
      <c r="O478" s="47"/>
      <c r="P478" s="4" t="s">
        <v>16</v>
      </c>
      <c r="Q478" s="43" t="str">
        <f>IF(VLOOKUP(P478,βοηθητικό!$J$2:$N$354,3,FALSE)="","",VLOOKUP(P478,βοηθητικό!$J$2:$N$354,3,FALSE))</f>
        <v>_</v>
      </c>
      <c r="R478" s="44"/>
      <c r="S478" s="5" t="s">
        <v>16</v>
      </c>
      <c r="T478" s="46" t="str">
        <f>IF(VLOOKUP(S478,βοηθητικό!$J$2:$N$354,3,FALSE)="","",VLOOKUP(S478,βοηθητικό!$J$2:$N$354,3,FALSE))</f>
        <v>_</v>
      </c>
      <c r="U478" s="47"/>
      <c r="V478" s="4" t="s">
        <v>16</v>
      </c>
      <c r="W478" s="43" t="str">
        <f>IF(VLOOKUP(V478,βοηθητικό!$J$2:$N$354,3,FALSE)="","",VLOOKUP(V478,βοηθητικό!$J$2:$N$354,3,FALSE))</f>
        <v>_</v>
      </c>
      <c r="X478" s="44"/>
      <c r="Y478" s="5" t="s">
        <v>16</v>
      </c>
      <c r="Z478" s="46" t="str">
        <f>IF(VLOOKUP(Y478,βοηθητικό!$J$2:$N$354,3,FALSE)="","",VLOOKUP(Y478,βοηθητικό!$J$2:$N$354,3,FALSE))</f>
        <v>_</v>
      </c>
      <c r="AA478" s="47"/>
      <c r="AB478" s="4" t="s">
        <v>16</v>
      </c>
      <c r="AC478" s="43" t="str">
        <f>IF(VLOOKUP(AB478,βοηθητικό!$J$2:$N$354,3,FALSE)="","",VLOOKUP(AB478,βοηθητικό!$J$2:$N$354,3,FALSE))</f>
        <v>_</v>
      </c>
      <c r="AD478" s="44"/>
      <c r="AE478" s="5" t="s">
        <v>16</v>
      </c>
      <c r="AF478" s="46" t="str">
        <f>IF(VLOOKUP(AE478,βοηθητικό!$J$2:$N$354,3,FALSE)="","",VLOOKUP(AE478,βοηθητικό!$J$2:$N$354,3,FALSE))</f>
        <v>_</v>
      </c>
      <c r="AG478" s="47"/>
      <c r="AH478" s="4" t="s">
        <v>16</v>
      </c>
      <c r="AI478" s="43" t="str">
        <f>IF(VLOOKUP(AH478,βοηθητικό!$J$2:$N$354,3,FALSE)="","",VLOOKUP(AH478,βοηθητικό!$J$2:$N$354,3,FALSE))</f>
        <v>_</v>
      </c>
      <c r="AJ478" s="44"/>
      <c r="AK478" s="5" t="s">
        <v>16</v>
      </c>
      <c r="AL478" s="46" t="str">
        <f>IF(VLOOKUP(AK478,βοηθητικό!$J$2:$N$354,3,FALSE)="","",VLOOKUP(AK478,βοηθητικό!$J$2:$N$354,3,FALSE))</f>
        <v>_</v>
      </c>
      <c r="AM478" s="47"/>
      <c r="AN478" s="4" t="s">
        <v>16</v>
      </c>
      <c r="AO478" s="43" t="str">
        <f>IF(VLOOKUP(AN478,βοηθητικό!$J$2:$N$354,3,FALSE)="","",VLOOKUP(AN478,βοηθητικό!$J$2:$N$354,3,FALSE))</f>
        <v>_</v>
      </c>
      <c r="AP478" s="44"/>
      <c r="AQ478" s="5" t="s">
        <v>16</v>
      </c>
      <c r="AR478" s="46" t="str">
        <f>IF(VLOOKUP(AQ478,βοηθητικό!$J$2:$N$354,3,FALSE)="","",VLOOKUP(AQ478,βοηθητικό!$J$2:$N$354,3,FALSE))</f>
        <v>_</v>
      </c>
      <c r="AS478" s="47"/>
      <c r="AT478" s="4" t="s">
        <v>16</v>
      </c>
      <c r="AU478" s="43" t="str">
        <f>IF(VLOOKUP(AT478,βοηθητικό!$J$2:$N$354,3,FALSE)="","",VLOOKUP(AT478,βοηθητικό!$J$2:$N$354,3,FALSE))</f>
        <v>_</v>
      </c>
      <c r="AV478" s="44"/>
      <c r="AW478" s="5" t="s">
        <v>16</v>
      </c>
      <c r="AX478" s="46" t="str">
        <f>IF(VLOOKUP(AW478,βοηθητικό!$J$2:$N$354,3,FALSE)="","",VLOOKUP(AW478,βοηθητικό!$J$2:$N$354,3,FALSE))</f>
        <v>_</v>
      </c>
      <c r="AY478" s="47"/>
      <c r="AZ478" s="4" t="s">
        <v>16</v>
      </c>
      <c r="BA478" s="43" t="str">
        <f>IF(VLOOKUP(AZ478,βοηθητικό!$J$2:$N$354,3,FALSE)="","",VLOOKUP(AZ478,βοηθητικό!$J$2:$N$354,3,FALSE))</f>
        <v>_</v>
      </c>
      <c r="BB478" s="44"/>
      <c r="BC478" s="45" t="s">
        <v>16</v>
      </c>
      <c r="BD478" s="46" t="str">
        <f>IF(VLOOKUP(BC478,βοηθητικό!$J$2:$N$354,3,FALSE)="","",VLOOKUP(BC478,βοηθητικό!$J$2:$N$354,3,FALSE))</f>
        <v>_</v>
      </c>
      <c r="BE478" s="47"/>
      <c r="BF478" s="42" t="s">
        <v>16</v>
      </c>
      <c r="BG478" s="43" t="str">
        <f>IF(VLOOKUP(BF478,βοηθητικό!$J$2:$N$354,3,FALSE)="","",VLOOKUP(BF478,βοηθητικό!$J$2:$N$354,3,FALSE))</f>
        <v>_</v>
      </c>
      <c r="BH478" s="44"/>
      <c r="BI478" s="45" t="s">
        <v>16</v>
      </c>
      <c r="BJ478" s="46" t="str">
        <f>IF(VLOOKUP(BI478,βοηθητικό!$J$2:$N$354,3,FALSE)="","",VLOOKUP(BI478,βοηθητικό!$J$2:$N$354,3,FALSE))</f>
        <v>_</v>
      </c>
      <c r="BK478" s="47"/>
      <c r="BL478" s="42" t="s">
        <v>16</v>
      </c>
      <c r="BM478" s="43" t="str">
        <f>IF(VLOOKUP(BL478,βοηθητικό!$J$2:$N$354,3,FALSE)="","",VLOOKUP(BL478,βοηθητικό!$J$2:$N$354,3,FALSE))</f>
        <v>_</v>
      </c>
      <c r="BN478" s="44"/>
      <c r="BO478" s="45" t="s">
        <v>16</v>
      </c>
      <c r="BP478" s="46" t="str">
        <f>IF(VLOOKUP(BO478,βοηθητικό!$J$2:$N$354,3,FALSE)="","",VLOOKUP(BO478,βοηθητικό!$J$2:$N$354,3,FALSE))</f>
        <v>_</v>
      </c>
      <c r="BQ478" s="47"/>
      <c r="BR478" s="42" t="s">
        <v>16</v>
      </c>
      <c r="BS478" s="43" t="str">
        <f>IF(VLOOKUP(BR478,βοηθητικό!$J$2:$N$354,3,FALSE)="","",VLOOKUP(BR478,βοηθητικό!$J$2:$N$354,3,FALSE))</f>
        <v>_</v>
      </c>
      <c r="BT478" s="44"/>
      <c r="BU478" s="45" t="s">
        <v>16</v>
      </c>
      <c r="BV478" s="46" t="str">
        <f>IF(VLOOKUP(BU478,βοηθητικό!$J$2:$N$354,3,FALSE)="","",VLOOKUP(BU478,βοηθητικό!$J$2:$N$354,3,FALSE))</f>
        <v>_</v>
      </c>
      <c r="BW478" s="47"/>
      <c r="BX478" s="42" t="s">
        <v>16</v>
      </c>
      <c r="BY478" s="43" t="str">
        <f>IF(VLOOKUP(BX478,βοηθητικό!$J$2:$N$354,3,FALSE)="","",VLOOKUP(BX478,βοηθητικό!$J$2:$N$354,3,FALSE))</f>
        <v>_</v>
      </c>
      <c r="BZ478" s="44"/>
      <c r="CA478" s="45" t="s">
        <v>16</v>
      </c>
      <c r="CB478" s="46" t="str">
        <f>IF(VLOOKUP(CA478,βοηθητικό!$J$2:$N$354,3,FALSE)="","",VLOOKUP(CA478,βοηθητικό!$J$2:$N$354,3,FALSE))</f>
        <v>_</v>
      </c>
      <c r="CC478" s="47"/>
      <c r="CD478" s="42" t="s">
        <v>16</v>
      </c>
      <c r="CE478" s="43" t="str">
        <f>IF(VLOOKUP(CD478,βοηθητικό!$J$2:$N$354,3,FALSE)="","",VLOOKUP(CD478,βοηθητικό!$J$2:$N$354,3,FALSE))</f>
        <v>_</v>
      </c>
      <c r="CF478" s="44"/>
      <c r="CG478" s="45" t="s">
        <v>16</v>
      </c>
      <c r="CH478" s="46" t="str">
        <f>IF(VLOOKUP(CG478,βοηθητικό!$J$2:$N$354,3,FALSE)="","",VLOOKUP(CG478,βοηθητικό!$J$2:$N$354,3,FALSE))</f>
        <v>_</v>
      </c>
      <c r="CI478" s="47"/>
      <c r="CJ478" s="42" t="s">
        <v>16</v>
      </c>
      <c r="CK478" s="43" t="str">
        <f>IF(VLOOKUP(CJ478,βοηθητικό!$J$2:$N$354,3,FALSE)="","",VLOOKUP(CJ478,βοηθητικό!$J$2:$N$354,3,FALSE))</f>
        <v>_</v>
      </c>
      <c r="CL478" s="44"/>
      <c r="CM478" s="45" t="s">
        <v>16</v>
      </c>
      <c r="CN478" s="46" t="str">
        <f>IF(VLOOKUP(CM478,βοηθητικό!$J$2:$N$354,3,FALSE)="","",VLOOKUP(CM478,βοηθητικό!$J$2:$N$354,3,FALSE))</f>
        <v>_</v>
      </c>
      <c r="CO478" s="47"/>
      <c r="CP478" s="42" t="s">
        <v>16</v>
      </c>
      <c r="CQ478" s="43" t="str">
        <f>IF(VLOOKUP(CP478,βοηθητικό!$J$2:$N$354,3,FALSE)="","",VLOOKUP(CP478,βοηθητικό!$J$2:$N$354,3,FALSE))</f>
        <v>_</v>
      </c>
      <c r="CR478" s="44"/>
      <c r="CS478" s="45" t="s">
        <v>16</v>
      </c>
      <c r="CT478" s="46" t="str">
        <f>IF(VLOOKUP(CS478,βοηθητικό!$J$2:$N$354,3,FALSE)="","",VLOOKUP(CS478,βοηθητικό!$J$2:$N$354,3,FALSE))</f>
        <v>_</v>
      </c>
      <c r="CU478" s="47"/>
    </row>
    <row r="479" spans="1:99" x14ac:dyDescent="0.25">
      <c r="A479" s="37">
        <f>--SUBTOTAL(3,$B$3:B478)</f>
        <v>198</v>
      </c>
      <c r="B479" s="2"/>
      <c r="C479" s="3"/>
      <c r="D479" s="55" t="s">
        <v>18</v>
      </c>
      <c r="E479" s="38" t="s">
        <v>16</v>
      </c>
      <c r="F479" s="38" t="s">
        <v>16</v>
      </c>
      <c r="G479" s="39" t="str">
        <f t="shared" si="23"/>
        <v>__</v>
      </c>
      <c r="H479" s="40" t="str">
        <f t="shared" si="24"/>
        <v>FALSE</v>
      </c>
      <c r="I479" s="41">
        <f t="shared" si="25"/>
        <v>0</v>
      </c>
      <c r="J479" s="4" t="s">
        <v>16</v>
      </c>
      <c r="K479" s="43" t="str">
        <f>IF(VLOOKUP(J479,βοηθητικό!$J$2:$N$354,3,FALSE)="","",VLOOKUP(J479,βοηθητικό!$J$2:$N$354,3,FALSE))</f>
        <v>_</v>
      </c>
      <c r="L479" s="44"/>
      <c r="M479" s="5" t="s">
        <v>16</v>
      </c>
      <c r="N479" s="46" t="str">
        <f>IF(VLOOKUP(M479,βοηθητικό!$J$2:$N$354,3,FALSE)="","",VLOOKUP(M479,βοηθητικό!$J$2:$N$354,3,FALSE))</f>
        <v>_</v>
      </c>
      <c r="O479" s="47"/>
      <c r="P479" s="4" t="s">
        <v>16</v>
      </c>
      <c r="Q479" s="43" t="str">
        <f>IF(VLOOKUP(P479,βοηθητικό!$J$2:$N$354,3,FALSE)="","",VLOOKUP(P479,βοηθητικό!$J$2:$N$354,3,FALSE))</f>
        <v>_</v>
      </c>
      <c r="R479" s="44"/>
      <c r="S479" s="5" t="s">
        <v>16</v>
      </c>
      <c r="T479" s="46" t="str">
        <f>IF(VLOOKUP(S479,βοηθητικό!$J$2:$N$354,3,FALSE)="","",VLOOKUP(S479,βοηθητικό!$J$2:$N$354,3,FALSE))</f>
        <v>_</v>
      </c>
      <c r="U479" s="47"/>
      <c r="V479" s="4" t="s">
        <v>16</v>
      </c>
      <c r="W479" s="43" t="str">
        <f>IF(VLOOKUP(V479,βοηθητικό!$J$2:$N$354,3,FALSE)="","",VLOOKUP(V479,βοηθητικό!$J$2:$N$354,3,FALSE))</f>
        <v>_</v>
      </c>
      <c r="X479" s="44"/>
      <c r="Y479" s="5" t="s">
        <v>16</v>
      </c>
      <c r="Z479" s="46" t="str">
        <f>IF(VLOOKUP(Y479,βοηθητικό!$J$2:$N$354,3,FALSE)="","",VLOOKUP(Y479,βοηθητικό!$J$2:$N$354,3,FALSE))</f>
        <v>_</v>
      </c>
      <c r="AA479" s="47"/>
      <c r="AB479" s="4" t="s">
        <v>16</v>
      </c>
      <c r="AC479" s="43" t="str">
        <f>IF(VLOOKUP(AB479,βοηθητικό!$J$2:$N$354,3,FALSE)="","",VLOOKUP(AB479,βοηθητικό!$J$2:$N$354,3,FALSE))</f>
        <v>_</v>
      </c>
      <c r="AD479" s="44"/>
      <c r="AE479" s="5" t="s">
        <v>16</v>
      </c>
      <c r="AF479" s="46" t="str">
        <f>IF(VLOOKUP(AE479,βοηθητικό!$J$2:$N$354,3,FALSE)="","",VLOOKUP(AE479,βοηθητικό!$J$2:$N$354,3,FALSE))</f>
        <v>_</v>
      </c>
      <c r="AG479" s="47"/>
      <c r="AH479" s="4" t="s">
        <v>16</v>
      </c>
      <c r="AI479" s="43" t="str">
        <f>IF(VLOOKUP(AH479,βοηθητικό!$J$2:$N$354,3,FALSE)="","",VLOOKUP(AH479,βοηθητικό!$J$2:$N$354,3,FALSE))</f>
        <v>_</v>
      </c>
      <c r="AJ479" s="44"/>
      <c r="AK479" s="5" t="s">
        <v>16</v>
      </c>
      <c r="AL479" s="46" t="str">
        <f>IF(VLOOKUP(AK479,βοηθητικό!$J$2:$N$354,3,FALSE)="","",VLOOKUP(AK479,βοηθητικό!$J$2:$N$354,3,FALSE))</f>
        <v>_</v>
      </c>
      <c r="AM479" s="47"/>
      <c r="AN479" s="4" t="s">
        <v>16</v>
      </c>
      <c r="AO479" s="43" t="str">
        <f>IF(VLOOKUP(AN479,βοηθητικό!$J$2:$N$354,3,FALSE)="","",VLOOKUP(AN479,βοηθητικό!$J$2:$N$354,3,FALSE))</f>
        <v>_</v>
      </c>
      <c r="AP479" s="44"/>
      <c r="AQ479" s="5" t="s">
        <v>16</v>
      </c>
      <c r="AR479" s="46" t="str">
        <f>IF(VLOOKUP(AQ479,βοηθητικό!$J$2:$N$354,3,FALSE)="","",VLOOKUP(AQ479,βοηθητικό!$J$2:$N$354,3,FALSE))</f>
        <v>_</v>
      </c>
      <c r="AS479" s="47"/>
      <c r="AT479" s="4" t="s">
        <v>16</v>
      </c>
      <c r="AU479" s="43" t="str">
        <f>IF(VLOOKUP(AT479,βοηθητικό!$J$2:$N$354,3,FALSE)="","",VLOOKUP(AT479,βοηθητικό!$J$2:$N$354,3,FALSE))</f>
        <v>_</v>
      </c>
      <c r="AV479" s="44"/>
      <c r="AW479" s="5" t="s">
        <v>16</v>
      </c>
      <c r="AX479" s="46" t="str">
        <f>IF(VLOOKUP(AW479,βοηθητικό!$J$2:$N$354,3,FALSE)="","",VLOOKUP(AW479,βοηθητικό!$J$2:$N$354,3,FALSE))</f>
        <v>_</v>
      </c>
      <c r="AY479" s="47"/>
      <c r="AZ479" s="4" t="s">
        <v>16</v>
      </c>
      <c r="BA479" s="43" t="str">
        <f>IF(VLOOKUP(AZ479,βοηθητικό!$J$2:$N$354,3,FALSE)="","",VLOOKUP(AZ479,βοηθητικό!$J$2:$N$354,3,FALSE))</f>
        <v>_</v>
      </c>
      <c r="BB479" s="44"/>
      <c r="BC479" s="45" t="s">
        <v>16</v>
      </c>
      <c r="BD479" s="46" t="str">
        <f>IF(VLOOKUP(BC479,βοηθητικό!$J$2:$N$354,3,FALSE)="","",VLOOKUP(BC479,βοηθητικό!$J$2:$N$354,3,FALSE))</f>
        <v>_</v>
      </c>
      <c r="BE479" s="47"/>
      <c r="BF479" s="42" t="s">
        <v>16</v>
      </c>
      <c r="BG479" s="43" t="str">
        <f>IF(VLOOKUP(BF479,βοηθητικό!$J$2:$N$354,3,FALSE)="","",VLOOKUP(BF479,βοηθητικό!$J$2:$N$354,3,FALSE))</f>
        <v>_</v>
      </c>
      <c r="BH479" s="44"/>
      <c r="BI479" s="45" t="s">
        <v>16</v>
      </c>
      <c r="BJ479" s="46" t="str">
        <f>IF(VLOOKUP(BI479,βοηθητικό!$J$2:$N$354,3,FALSE)="","",VLOOKUP(BI479,βοηθητικό!$J$2:$N$354,3,FALSE))</f>
        <v>_</v>
      </c>
      <c r="BK479" s="47"/>
      <c r="BL479" s="42" t="s">
        <v>16</v>
      </c>
      <c r="BM479" s="43" t="str">
        <f>IF(VLOOKUP(BL479,βοηθητικό!$J$2:$N$354,3,FALSE)="","",VLOOKUP(BL479,βοηθητικό!$J$2:$N$354,3,FALSE))</f>
        <v>_</v>
      </c>
      <c r="BN479" s="44"/>
      <c r="BO479" s="45" t="s">
        <v>16</v>
      </c>
      <c r="BP479" s="46" t="str">
        <f>IF(VLOOKUP(BO479,βοηθητικό!$J$2:$N$354,3,FALSE)="","",VLOOKUP(BO479,βοηθητικό!$J$2:$N$354,3,FALSE))</f>
        <v>_</v>
      </c>
      <c r="BQ479" s="47"/>
      <c r="BR479" s="42" t="s">
        <v>16</v>
      </c>
      <c r="BS479" s="43" t="str">
        <f>IF(VLOOKUP(BR479,βοηθητικό!$J$2:$N$354,3,FALSE)="","",VLOOKUP(BR479,βοηθητικό!$J$2:$N$354,3,FALSE))</f>
        <v>_</v>
      </c>
      <c r="BT479" s="44"/>
      <c r="BU479" s="45" t="s">
        <v>16</v>
      </c>
      <c r="BV479" s="46" t="str">
        <f>IF(VLOOKUP(BU479,βοηθητικό!$J$2:$N$354,3,FALSE)="","",VLOOKUP(BU479,βοηθητικό!$J$2:$N$354,3,FALSE))</f>
        <v>_</v>
      </c>
      <c r="BW479" s="47"/>
      <c r="BX479" s="42" t="s">
        <v>16</v>
      </c>
      <c r="BY479" s="43" t="str">
        <f>IF(VLOOKUP(BX479,βοηθητικό!$J$2:$N$354,3,FALSE)="","",VLOOKUP(BX479,βοηθητικό!$J$2:$N$354,3,FALSE))</f>
        <v>_</v>
      </c>
      <c r="BZ479" s="44"/>
      <c r="CA479" s="45" t="s">
        <v>16</v>
      </c>
      <c r="CB479" s="46" t="str">
        <f>IF(VLOOKUP(CA479,βοηθητικό!$J$2:$N$354,3,FALSE)="","",VLOOKUP(CA479,βοηθητικό!$J$2:$N$354,3,FALSE))</f>
        <v>_</v>
      </c>
      <c r="CC479" s="47"/>
      <c r="CD479" s="42" t="s">
        <v>16</v>
      </c>
      <c r="CE479" s="43" t="str">
        <f>IF(VLOOKUP(CD479,βοηθητικό!$J$2:$N$354,3,FALSE)="","",VLOOKUP(CD479,βοηθητικό!$J$2:$N$354,3,FALSE))</f>
        <v>_</v>
      </c>
      <c r="CF479" s="44"/>
      <c r="CG479" s="45" t="s">
        <v>16</v>
      </c>
      <c r="CH479" s="46" t="str">
        <f>IF(VLOOKUP(CG479,βοηθητικό!$J$2:$N$354,3,FALSE)="","",VLOOKUP(CG479,βοηθητικό!$J$2:$N$354,3,FALSE))</f>
        <v>_</v>
      </c>
      <c r="CI479" s="47"/>
      <c r="CJ479" s="42" t="s">
        <v>16</v>
      </c>
      <c r="CK479" s="43" t="str">
        <f>IF(VLOOKUP(CJ479,βοηθητικό!$J$2:$N$354,3,FALSE)="","",VLOOKUP(CJ479,βοηθητικό!$J$2:$N$354,3,FALSE))</f>
        <v>_</v>
      </c>
      <c r="CL479" s="44"/>
      <c r="CM479" s="45" t="s">
        <v>16</v>
      </c>
      <c r="CN479" s="46" t="str">
        <f>IF(VLOOKUP(CM479,βοηθητικό!$J$2:$N$354,3,FALSE)="","",VLOOKUP(CM479,βοηθητικό!$J$2:$N$354,3,FALSE))</f>
        <v>_</v>
      </c>
      <c r="CO479" s="47"/>
      <c r="CP479" s="42" t="s">
        <v>16</v>
      </c>
      <c r="CQ479" s="43" t="str">
        <f>IF(VLOOKUP(CP479,βοηθητικό!$J$2:$N$354,3,FALSE)="","",VLOOKUP(CP479,βοηθητικό!$J$2:$N$354,3,FALSE))</f>
        <v>_</v>
      </c>
      <c r="CR479" s="44"/>
      <c r="CS479" s="45" t="s">
        <v>16</v>
      </c>
      <c r="CT479" s="46" t="str">
        <f>IF(VLOOKUP(CS479,βοηθητικό!$J$2:$N$354,3,FALSE)="","",VLOOKUP(CS479,βοηθητικό!$J$2:$N$354,3,FALSE))</f>
        <v>_</v>
      </c>
      <c r="CU479" s="47"/>
    </row>
    <row r="480" spans="1:99" x14ac:dyDescent="0.25">
      <c r="A480" s="37">
        <f>--SUBTOTAL(3,$B$3:B479)</f>
        <v>198</v>
      </c>
      <c r="B480" s="2"/>
      <c r="C480" s="3"/>
      <c r="D480" s="55" t="s">
        <v>18</v>
      </c>
      <c r="E480" s="38" t="s">
        <v>16</v>
      </c>
      <c r="F480" s="38" t="s">
        <v>16</v>
      </c>
      <c r="G480" s="39" t="str">
        <f t="shared" si="23"/>
        <v>__</v>
      </c>
      <c r="H480" s="40" t="str">
        <f t="shared" si="24"/>
        <v>FALSE</v>
      </c>
      <c r="I480" s="41">
        <f t="shared" si="25"/>
        <v>0</v>
      </c>
      <c r="J480" s="4" t="s">
        <v>16</v>
      </c>
      <c r="K480" s="43" t="str">
        <f>IF(VLOOKUP(J480,βοηθητικό!$J$2:$N$354,3,FALSE)="","",VLOOKUP(J480,βοηθητικό!$J$2:$N$354,3,FALSE))</f>
        <v>_</v>
      </c>
      <c r="L480" s="44"/>
      <c r="M480" s="5" t="s">
        <v>16</v>
      </c>
      <c r="N480" s="46" t="str">
        <f>IF(VLOOKUP(M480,βοηθητικό!$J$2:$N$354,3,FALSE)="","",VLOOKUP(M480,βοηθητικό!$J$2:$N$354,3,FALSE))</f>
        <v>_</v>
      </c>
      <c r="O480" s="47"/>
      <c r="P480" s="4" t="s">
        <v>16</v>
      </c>
      <c r="Q480" s="43" t="str">
        <f>IF(VLOOKUP(P480,βοηθητικό!$J$2:$N$354,3,FALSE)="","",VLOOKUP(P480,βοηθητικό!$J$2:$N$354,3,FALSE))</f>
        <v>_</v>
      </c>
      <c r="R480" s="44"/>
      <c r="S480" s="5" t="s">
        <v>16</v>
      </c>
      <c r="T480" s="46" t="str">
        <f>IF(VLOOKUP(S480,βοηθητικό!$J$2:$N$354,3,FALSE)="","",VLOOKUP(S480,βοηθητικό!$J$2:$N$354,3,FALSE))</f>
        <v>_</v>
      </c>
      <c r="U480" s="47"/>
      <c r="V480" s="4" t="s">
        <v>16</v>
      </c>
      <c r="W480" s="43" t="str">
        <f>IF(VLOOKUP(V480,βοηθητικό!$J$2:$N$354,3,FALSE)="","",VLOOKUP(V480,βοηθητικό!$J$2:$N$354,3,FALSE))</f>
        <v>_</v>
      </c>
      <c r="X480" s="44"/>
      <c r="Y480" s="5" t="s">
        <v>16</v>
      </c>
      <c r="Z480" s="46" t="str">
        <f>IF(VLOOKUP(Y480,βοηθητικό!$J$2:$N$354,3,FALSE)="","",VLOOKUP(Y480,βοηθητικό!$J$2:$N$354,3,FALSE))</f>
        <v>_</v>
      </c>
      <c r="AA480" s="47"/>
      <c r="AB480" s="4" t="s">
        <v>16</v>
      </c>
      <c r="AC480" s="43" t="str">
        <f>IF(VLOOKUP(AB480,βοηθητικό!$J$2:$N$354,3,FALSE)="","",VLOOKUP(AB480,βοηθητικό!$J$2:$N$354,3,FALSE))</f>
        <v>_</v>
      </c>
      <c r="AD480" s="44"/>
      <c r="AE480" s="5" t="s">
        <v>16</v>
      </c>
      <c r="AF480" s="46" t="str">
        <f>IF(VLOOKUP(AE480,βοηθητικό!$J$2:$N$354,3,FALSE)="","",VLOOKUP(AE480,βοηθητικό!$J$2:$N$354,3,FALSE))</f>
        <v>_</v>
      </c>
      <c r="AG480" s="47"/>
      <c r="AH480" s="4" t="s">
        <v>16</v>
      </c>
      <c r="AI480" s="43" t="str">
        <f>IF(VLOOKUP(AH480,βοηθητικό!$J$2:$N$354,3,FALSE)="","",VLOOKUP(AH480,βοηθητικό!$J$2:$N$354,3,FALSE))</f>
        <v>_</v>
      </c>
      <c r="AJ480" s="44"/>
      <c r="AK480" s="5" t="s">
        <v>16</v>
      </c>
      <c r="AL480" s="46" t="str">
        <f>IF(VLOOKUP(AK480,βοηθητικό!$J$2:$N$354,3,FALSE)="","",VLOOKUP(AK480,βοηθητικό!$J$2:$N$354,3,FALSE))</f>
        <v>_</v>
      </c>
      <c r="AM480" s="47"/>
      <c r="AN480" s="4" t="s">
        <v>16</v>
      </c>
      <c r="AO480" s="43" t="str">
        <f>IF(VLOOKUP(AN480,βοηθητικό!$J$2:$N$354,3,FALSE)="","",VLOOKUP(AN480,βοηθητικό!$J$2:$N$354,3,FALSE))</f>
        <v>_</v>
      </c>
      <c r="AP480" s="44"/>
      <c r="AQ480" s="5" t="s">
        <v>16</v>
      </c>
      <c r="AR480" s="46" t="str">
        <f>IF(VLOOKUP(AQ480,βοηθητικό!$J$2:$N$354,3,FALSE)="","",VLOOKUP(AQ480,βοηθητικό!$J$2:$N$354,3,FALSE))</f>
        <v>_</v>
      </c>
      <c r="AS480" s="47"/>
      <c r="AT480" s="4" t="s">
        <v>16</v>
      </c>
      <c r="AU480" s="43" t="str">
        <f>IF(VLOOKUP(AT480,βοηθητικό!$J$2:$N$354,3,FALSE)="","",VLOOKUP(AT480,βοηθητικό!$J$2:$N$354,3,FALSE))</f>
        <v>_</v>
      </c>
      <c r="AV480" s="44"/>
      <c r="AW480" s="5" t="s">
        <v>16</v>
      </c>
      <c r="AX480" s="46" t="str">
        <f>IF(VLOOKUP(AW480,βοηθητικό!$J$2:$N$354,3,FALSE)="","",VLOOKUP(AW480,βοηθητικό!$J$2:$N$354,3,FALSE))</f>
        <v>_</v>
      </c>
      <c r="AY480" s="47"/>
      <c r="AZ480" s="4" t="s">
        <v>16</v>
      </c>
      <c r="BA480" s="43" t="str">
        <f>IF(VLOOKUP(AZ480,βοηθητικό!$J$2:$N$354,3,FALSE)="","",VLOOKUP(AZ480,βοηθητικό!$J$2:$N$354,3,FALSE))</f>
        <v>_</v>
      </c>
      <c r="BB480" s="44"/>
      <c r="BC480" s="45" t="s">
        <v>16</v>
      </c>
      <c r="BD480" s="46" t="str">
        <f>IF(VLOOKUP(BC480,βοηθητικό!$J$2:$N$354,3,FALSE)="","",VLOOKUP(BC480,βοηθητικό!$J$2:$N$354,3,FALSE))</f>
        <v>_</v>
      </c>
      <c r="BE480" s="47"/>
      <c r="BF480" s="42" t="s">
        <v>16</v>
      </c>
      <c r="BG480" s="43" t="str">
        <f>IF(VLOOKUP(BF480,βοηθητικό!$J$2:$N$354,3,FALSE)="","",VLOOKUP(BF480,βοηθητικό!$J$2:$N$354,3,FALSE))</f>
        <v>_</v>
      </c>
      <c r="BH480" s="44"/>
      <c r="BI480" s="45" t="s">
        <v>16</v>
      </c>
      <c r="BJ480" s="46" t="str">
        <f>IF(VLOOKUP(BI480,βοηθητικό!$J$2:$N$354,3,FALSE)="","",VLOOKUP(BI480,βοηθητικό!$J$2:$N$354,3,FALSE))</f>
        <v>_</v>
      </c>
      <c r="BK480" s="47"/>
      <c r="BL480" s="42" t="s">
        <v>16</v>
      </c>
      <c r="BM480" s="43" t="str">
        <f>IF(VLOOKUP(BL480,βοηθητικό!$J$2:$N$354,3,FALSE)="","",VLOOKUP(BL480,βοηθητικό!$J$2:$N$354,3,FALSE))</f>
        <v>_</v>
      </c>
      <c r="BN480" s="44"/>
      <c r="BO480" s="45" t="s">
        <v>16</v>
      </c>
      <c r="BP480" s="46" t="str">
        <f>IF(VLOOKUP(BO480,βοηθητικό!$J$2:$N$354,3,FALSE)="","",VLOOKUP(BO480,βοηθητικό!$J$2:$N$354,3,FALSE))</f>
        <v>_</v>
      </c>
      <c r="BQ480" s="47"/>
      <c r="BR480" s="42" t="s">
        <v>16</v>
      </c>
      <c r="BS480" s="43" t="str">
        <f>IF(VLOOKUP(BR480,βοηθητικό!$J$2:$N$354,3,FALSE)="","",VLOOKUP(BR480,βοηθητικό!$J$2:$N$354,3,FALSE))</f>
        <v>_</v>
      </c>
      <c r="BT480" s="44"/>
      <c r="BU480" s="45" t="s">
        <v>16</v>
      </c>
      <c r="BV480" s="46" t="str">
        <f>IF(VLOOKUP(BU480,βοηθητικό!$J$2:$N$354,3,FALSE)="","",VLOOKUP(BU480,βοηθητικό!$J$2:$N$354,3,FALSE))</f>
        <v>_</v>
      </c>
      <c r="BW480" s="47"/>
      <c r="BX480" s="42" t="s">
        <v>16</v>
      </c>
      <c r="BY480" s="43" t="str">
        <f>IF(VLOOKUP(BX480,βοηθητικό!$J$2:$N$354,3,FALSE)="","",VLOOKUP(BX480,βοηθητικό!$J$2:$N$354,3,FALSE))</f>
        <v>_</v>
      </c>
      <c r="BZ480" s="44"/>
      <c r="CA480" s="45" t="s">
        <v>16</v>
      </c>
      <c r="CB480" s="46" t="str">
        <f>IF(VLOOKUP(CA480,βοηθητικό!$J$2:$N$354,3,FALSE)="","",VLOOKUP(CA480,βοηθητικό!$J$2:$N$354,3,FALSE))</f>
        <v>_</v>
      </c>
      <c r="CC480" s="47"/>
      <c r="CD480" s="42" t="s">
        <v>16</v>
      </c>
      <c r="CE480" s="43" t="str">
        <f>IF(VLOOKUP(CD480,βοηθητικό!$J$2:$N$354,3,FALSE)="","",VLOOKUP(CD480,βοηθητικό!$J$2:$N$354,3,FALSE))</f>
        <v>_</v>
      </c>
      <c r="CF480" s="44"/>
      <c r="CG480" s="45" t="s">
        <v>16</v>
      </c>
      <c r="CH480" s="46" t="str">
        <f>IF(VLOOKUP(CG480,βοηθητικό!$J$2:$N$354,3,FALSE)="","",VLOOKUP(CG480,βοηθητικό!$J$2:$N$354,3,FALSE))</f>
        <v>_</v>
      </c>
      <c r="CI480" s="47"/>
      <c r="CJ480" s="42" t="s">
        <v>16</v>
      </c>
      <c r="CK480" s="43" t="str">
        <f>IF(VLOOKUP(CJ480,βοηθητικό!$J$2:$N$354,3,FALSE)="","",VLOOKUP(CJ480,βοηθητικό!$J$2:$N$354,3,FALSE))</f>
        <v>_</v>
      </c>
      <c r="CL480" s="44"/>
      <c r="CM480" s="45" t="s">
        <v>16</v>
      </c>
      <c r="CN480" s="46" t="str">
        <f>IF(VLOOKUP(CM480,βοηθητικό!$J$2:$N$354,3,FALSE)="","",VLOOKUP(CM480,βοηθητικό!$J$2:$N$354,3,FALSE))</f>
        <v>_</v>
      </c>
      <c r="CO480" s="47"/>
      <c r="CP480" s="42" t="s">
        <v>16</v>
      </c>
      <c r="CQ480" s="43" t="str">
        <f>IF(VLOOKUP(CP480,βοηθητικό!$J$2:$N$354,3,FALSE)="","",VLOOKUP(CP480,βοηθητικό!$J$2:$N$354,3,FALSE))</f>
        <v>_</v>
      </c>
      <c r="CR480" s="44"/>
      <c r="CS480" s="45" t="s">
        <v>16</v>
      </c>
      <c r="CT480" s="46" t="str">
        <f>IF(VLOOKUP(CS480,βοηθητικό!$J$2:$N$354,3,FALSE)="","",VLOOKUP(CS480,βοηθητικό!$J$2:$N$354,3,FALSE))</f>
        <v>_</v>
      </c>
      <c r="CU480" s="47"/>
    </row>
    <row r="481" spans="1:99" x14ac:dyDescent="0.25">
      <c r="A481" s="37">
        <f>--SUBTOTAL(3,$B$3:B480)</f>
        <v>198</v>
      </c>
      <c r="B481" s="2"/>
      <c r="C481" s="3"/>
      <c r="D481" s="55" t="s">
        <v>18</v>
      </c>
      <c r="E481" s="38" t="s">
        <v>16</v>
      </c>
      <c r="F481" s="38"/>
      <c r="G481" s="39" t="str">
        <f t="shared" si="23"/>
        <v>__</v>
      </c>
      <c r="H481" s="40" t="str">
        <f t="shared" si="24"/>
        <v>FALSE</v>
      </c>
      <c r="I481" s="41">
        <f t="shared" si="25"/>
        <v>0</v>
      </c>
      <c r="J481" s="4" t="s">
        <v>16</v>
      </c>
      <c r="K481" s="43" t="str">
        <f>IF(VLOOKUP(J481,βοηθητικό!$J$2:$N$354,3,FALSE)="","",VLOOKUP(J481,βοηθητικό!$J$2:$N$354,3,FALSE))</f>
        <v>_</v>
      </c>
      <c r="L481" s="44"/>
      <c r="M481" s="5" t="s">
        <v>16</v>
      </c>
      <c r="N481" s="46" t="str">
        <f>IF(VLOOKUP(M481,βοηθητικό!$J$2:$N$354,3,FALSE)="","",VLOOKUP(M481,βοηθητικό!$J$2:$N$354,3,FALSE))</f>
        <v>_</v>
      </c>
      <c r="O481" s="47"/>
      <c r="P481" s="4" t="s">
        <v>16</v>
      </c>
      <c r="Q481" s="43" t="str">
        <f>IF(VLOOKUP(P481,βοηθητικό!$J$2:$N$354,3,FALSE)="","",VLOOKUP(P481,βοηθητικό!$J$2:$N$354,3,FALSE))</f>
        <v>_</v>
      </c>
      <c r="R481" s="44"/>
      <c r="S481" s="5" t="s">
        <v>16</v>
      </c>
      <c r="T481" s="46" t="str">
        <f>IF(VLOOKUP(S481,βοηθητικό!$J$2:$N$354,3,FALSE)="","",VLOOKUP(S481,βοηθητικό!$J$2:$N$354,3,FALSE))</f>
        <v>_</v>
      </c>
      <c r="U481" s="47"/>
      <c r="V481" s="4" t="s">
        <v>16</v>
      </c>
      <c r="W481" s="43" t="str">
        <f>IF(VLOOKUP(V481,βοηθητικό!$J$2:$N$354,3,FALSE)="","",VLOOKUP(V481,βοηθητικό!$J$2:$N$354,3,FALSE))</f>
        <v>_</v>
      </c>
      <c r="X481" s="44"/>
      <c r="Y481" s="5" t="s">
        <v>16</v>
      </c>
      <c r="Z481" s="46" t="str">
        <f>IF(VLOOKUP(Y481,βοηθητικό!$J$2:$N$354,3,FALSE)="","",VLOOKUP(Y481,βοηθητικό!$J$2:$N$354,3,FALSE))</f>
        <v>_</v>
      </c>
      <c r="AA481" s="47"/>
      <c r="AB481" s="4" t="s">
        <v>16</v>
      </c>
      <c r="AC481" s="43" t="str">
        <f>IF(VLOOKUP(AB481,βοηθητικό!$J$2:$N$354,3,FALSE)="","",VLOOKUP(AB481,βοηθητικό!$J$2:$N$354,3,FALSE))</f>
        <v>_</v>
      </c>
      <c r="AD481" s="44"/>
      <c r="AE481" s="5" t="s">
        <v>16</v>
      </c>
      <c r="AF481" s="46" t="str">
        <f>IF(VLOOKUP(AE481,βοηθητικό!$J$2:$N$354,3,FALSE)="","",VLOOKUP(AE481,βοηθητικό!$J$2:$N$354,3,FALSE))</f>
        <v>_</v>
      </c>
      <c r="AG481" s="47"/>
      <c r="AH481" s="4" t="s">
        <v>16</v>
      </c>
      <c r="AI481" s="43" t="str">
        <f>IF(VLOOKUP(AH481,βοηθητικό!$J$2:$N$354,3,FALSE)="","",VLOOKUP(AH481,βοηθητικό!$J$2:$N$354,3,FALSE))</f>
        <v>_</v>
      </c>
      <c r="AJ481" s="44"/>
      <c r="AK481" s="5" t="s">
        <v>16</v>
      </c>
      <c r="AL481" s="46" t="str">
        <f>IF(VLOOKUP(AK481,βοηθητικό!$J$2:$N$354,3,FALSE)="","",VLOOKUP(AK481,βοηθητικό!$J$2:$N$354,3,FALSE))</f>
        <v>_</v>
      </c>
      <c r="AM481" s="47"/>
      <c r="AN481" s="4" t="s">
        <v>16</v>
      </c>
      <c r="AO481" s="43" t="str">
        <f>IF(VLOOKUP(AN481,βοηθητικό!$J$2:$N$354,3,FALSE)="","",VLOOKUP(AN481,βοηθητικό!$J$2:$N$354,3,FALSE))</f>
        <v>_</v>
      </c>
      <c r="AP481" s="44"/>
      <c r="AQ481" s="5" t="s">
        <v>16</v>
      </c>
      <c r="AR481" s="46" t="str">
        <f>IF(VLOOKUP(AQ481,βοηθητικό!$J$2:$N$354,3,FALSE)="","",VLOOKUP(AQ481,βοηθητικό!$J$2:$N$354,3,FALSE))</f>
        <v>_</v>
      </c>
      <c r="AS481" s="47"/>
      <c r="AT481" s="4" t="s">
        <v>16</v>
      </c>
      <c r="AU481" s="43" t="str">
        <f>IF(VLOOKUP(AT481,βοηθητικό!$J$2:$N$354,3,FALSE)="","",VLOOKUP(AT481,βοηθητικό!$J$2:$N$354,3,FALSE))</f>
        <v>_</v>
      </c>
      <c r="AV481" s="44"/>
      <c r="AW481" s="5" t="s">
        <v>16</v>
      </c>
      <c r="AX481" s="46" t="str">
        <f>IF(VLOOKUP(AW481,βοηθητικό!$J$2:$N$354,3,FALSE)="","",VLOOKUP(AW481,βοηθητικό!$J$2:$N$354,3,FALSE))</f>
        <v>_</v>
      </c>
      <c r="AY481" s="47"/>
      <c r="AZ481" s="4" t="s">
        <v>16</v>
      </c>
      <c r="BA481" s="43" t="str">
        <f>IF(VLOOKUP(AZ481,βοηθητικό!$J$2:$N$354,3,FALSE)="","",VLOOKUP(AZ481,βοηθητικό!$J$2:$N$354,3,FALSE))</f>
        <v>_</v>
      </c>
      <c r="BB481" s="44"/>
      <c r="BC481" s="45" t="s">
        <v>16</v>
      </c>
      <c r="BD481" s="46" t="str">
        <f>IF(VLOOKUP(BC481,βοηθητικό!$J$2:$N$354,3,FALSE)="","",VLOOKUP(BC481,βοηθητικό!$J$2:$N$354,3,FALSE))</f>
        <v>_</v>
      </c>
      <c r="BE481" s="47"/>
      <c r="BF481" s="42" t="s">
        <v>16</v>
      </c>
      <c r="BG481" s="43" t="str">
        <f>IF(VLOOKUP(BF481,βοηθητικό!$J$2:$N$354,3,FALSE)="","",VLOOKUP(BF481,βοηθητικό!$J$2:$N$354,3,FALSE))</f>
        <v>_</v>
      </c>
      <c r="BH481" s="44"/>
      <c r="BI481" s="45" t="s">
        <v>16</v>
      </c>
      <c r="BJ481" s="46" t="str">
        <f>IF(VLOOKUP(BI481,βοηθητικό!$J$2:$N$354,3,FALSE)="","",VLOOKUP(BI481,βοηθητικό!$J$2:$N$354,3,FALSE))</f>
        <v>_</v>
      </c>
      <c r="BK481" s="47"/>
      <c r="BL481" s="42" t="s">
        <v>16</v>
      </c>
      <c r="BM481" s="43" t="str">
        <f>IF(VLOOKUP(BL481,βοηθητικό!$J$2:$N$354,3,FALSE)="","",VLOOKUP(BL481,βοηθητικό!$J$2:$N$354,3,FALSE))</f>
        <v>_</v>
      </c>
      <c r="BN481" s="44"/>
      <c r="BO481" s="45" t="s">
        <v>16</v>
      </c>
      <c r="BP481" s="46" t="str">
        <f>IF(VLOOKUP(BO481,βοηθητικό!$J$2:$N$354,3,FALSE)="","",VLOOKUP(BO481,βοηθητικό!$J$2:$N$354,3,FALSE))</f>
        <v>_</v>
      </c>
      <c r="BQ481" s="47"/>
      <c r="BR481" s="42" t="s">
        <v>16</v>
      </c>
      <c r="BS481" s="43" t="str">
        <f>IF(VLOOKUP(BR481,βοηθητικό!$J$2:$N$354,3,FALSE)="","",VLOOKUP(BR481,βοηθητικό!$J$2:$N$354,3,FALSE))</f>
        <v>_</v>
      </c>
      <c r="BT481" s="44"/>
      <c r="BU481" s="45" t="s">
        <v>16</v>
      </c>
      <c r="BV481" s="46" t="str">
        <f>IF(VLOOKUP(BU481,βοηθητικό!$J$2:$N$354,3,FALSE)="","",VLOOKUP(BU481,βοηθητικό!$J$2:$N$354,3,FALSE))</f>
        <v>_</v>
      </c>
      <c r="BW481" s="47"/>
      <c r="BX481" s="42" t="s">
        <v>16</v>
      </c>
      <c r="BY481" s="43" t="str">
        <f>IF(VLOOKUP(BX481,βοηθητικό!$J$2:$N$354,3,FALSE)="","",VLOOKUP(BX481,βοηθητικό!$J$2:$N$354,3,FALSE))</f>
        <v>_</v>
      </c>
      <c r="BZ481" s="44"/>
      <c r="CA481" s="45" t="s">
        <v>16</v>
      </c>
      <c r="CB481" s="46" t="str">
        <f>IF(VLOOKUP(CA481,βοηθητικό!$J$2:$N$354,3,FALSE)="","",VLOOKUP(CA481,βοηθητικό!$J$2:$N$354,3,FALSE))</f>
        <v>_</v>
      </c>
      <c r="CC481" s="47"/>
      <c r="CD481" s="42" t="s">
        <v>16</v>
      </c>
      <c r="CE481" s="43" t="str">
        <f>IF(VLOOKUP(CD481,βοηθητικό!$J$2:$N$354,3,FALSE)="","",VLOOKUP(CD481,βοηθητικό!$J$2:$N$354,3,FALSE))</f>
        <v>_</v>
      </c>
      <c r="CF481" s="44"/>
      <c r="CG481" s="45" t="s">
        <v>16</v>
      </c>
      <c r="CH481" s="46" t="str">
        <f>IF(VLOOKUP(CG481,βοηθητικό!$J$2:$N$354,3,FALSE)="","",VLOOKUP(CG481,βοηθητικό!$J$2:$N$354,3,FALSE))</f>
        <v>_</v>
      </c>
      <c r="CI481" s="47"/>
      <c r="CJ481" s="42" t="s">
        <v>16</v>
      </c>
      <c r="CK481" s="43" t="str">
        <f>IF(VLOOKUP(CJ481,βοηθητικό!$J$2:$N$354,3,FALSE)="","",VLOOKUP(CJ481,βοηθητικό!$J$2:$N$354,3,FALSE))</f>
        <v>_</v>
      </c>
      <c r="CL481" s="44"/>
      <c r="CM481" s="45" t="s">
        <v>16</v>
      </c>
      <c r="CN481" s="46" t="str">
        <f>IF(VLOOKUP(CM481,βοηθητικό!$J$2:$N$354,3,FALSE)="","",VLOOKUP(CM481,βοηθητικό!$J$2:$N$354,3,FALSE))</f>
        <v>_</v>
      </c>
      <c r="CO481" s="47"/>
      <c r="CP481" s="42" t="s">
        <v>16</v>
      </c>
      <c r="CQ481" s="43" t="str">
        <f>IF(VLOOKUP(CP481,βοηθητικό!$J$2:$N$354,3,FALSE)="","",VLOOKUP(CP481,βοηθητικό!$J$2:$N$354,3,FALSE))</f>
        <v>_</v>
      </c>
      <c r="CR481" s="44"/>
      <c r="CS481" s="45" t="s">
        <v>16</v>
      </c>
      <c r="CT481" s="46" t="str">
        <f>IF(VLOOKUP(CS481,βοηθητικό!$J$2:$N$354,3,FALSE)="","",VLOOKUP(CS481,βοηθητικό!$J$2:$N$354,3,FALSE))</f>
        <v>_</v>
      </c>
      <c r="CU481" s="47"/>
    </row>
    <row r="482" spans="1:99" x14ac:dyDescent="0.25">
      <c r="A482" s="37">
        <f>--SUBTOTAL(3,$B$3:B481)</f>
        <v>198</v>
      </c>
      <c r="B482" s="2"/>
      <c r="C482" s="3"/>
      <c r="D482" s="55" t="s">
        <v>18</v>
      </c>
      <c r="E482" s="38" t="s">
        <v>16</v>
      </c>
      <c r="F482" s="38"/>
      <c r="G482" s="39" t="str">
        <f t="shared" si="23"/>
        <v>__</v>
      </c>
      <c r="H482" s="40" t="str">
        <f t="shared" si="24"/>
        <v>FALSE</v>
      </c>
      <c r="I482" s="41">
        <f t="shared" si="25"/>
        <v>0</v>
      </c>
      <c r="J482" s="4" t="s">
        <v>16</v>
      </c>
      <c r="K482" s="43" t="str">
        <f>IF(VLOOKUP(J482,βοηθητικό!$J$2:$N$354,3,FALSE)="","",VLOOKUP(J482,βοηθητικό!$J$2:$N$354,3,FALSE))</f>
        <v>_</v>
      </c>
      <c r="L482" s="44"/>
      <c r="M482" s="5" t="s">
        <v>16</v>
      </c>
      <c r="N482" s="46" t="str">
        <f>IF(VLOOKUP(M482,βοηθητικό!$J$2:$N$354,3,FALSE)="","",VLOOKUP(M482,βοηθητικό!$J$2:$N$354,3,FALSE))</f>
        <v>_</v>
      </c>
      <c r="O482" s="47"/>
      <c r="P482" s="4" t="s">
        <v>16</v>
      </c>
      <c r="Q482" s="43" t="str">
        <f>IF(VLOOKUP(P482,βοηθητικό!$J$2:$N$354,3,FALSE)="","",VLOOKUP(P482,βοηθητικό!$J$2:$N$354,3,FALSE))</f>
        <v>_</v>
      </c>
      <c r="R482" s="44"/>
      <c r="S482" s="5" t="s">
        <v>16</v>
      </c>
      <c r="T482" s="46" t="str">
        <f>IF(VLOOKUP(S482,βοηθητικό!$J$2:$N$354,3,FALSE)="","",VLOOKUP(S482,βοηθητικό!$J$2:$N$354,3,FALSE))</f>
        <v>_</v>
      </c>
      <c r="U482" s="47"/>
      <c r="V482" s="4" t="s">
        <v>16</v>
      </c>
      <c r="W482" s="43" t="str">
        <f>IF(VLOOKUP(V482,βοηθητικό!$J$2:$N$354,3,FALSE)="","",VLOOKUP(V482,βοηθητικό!$J$2:$N$354,3,FALSE))</f>
        <v>_</v>
      </c>
      <c r="X482" s="44"/>
      <c r="Y482" s="5" t="s">
        <v>16</v>
      </c>
      <c r="Z482" s="46" t="str">
        <f>IF(VLOOKUP(Y482,βοηθητικό!$J$2:$N$354,3,FALSE)="","",VLOOKUP(Y482,βοηθητικό!$J$2:$N$354,3,FALSE))</f>
        <v>_</v>
      </c>
      <c r="AA482" s="47"/>
      <c r="AB482" s="4" t="s">
        <v>16</v>
      </c>
      <c r="AC482" s="43" t="str">
        <f>IF(VLOOKUP(AB482,βοηθητικό!$J$2:$N$354,3,FALSE)="","",VLOOKUP(AB482,βοηθητικό!$J$2:$N$354,3,FALSE))</f>
        <v>_</v>
      </c>
      <c r="AD482" s="44"/>
      <c r="AE482" s="5" t="s">
        <v>16</v>
      </c>
      <c r="AF482" s="46" t="str">
        <f>IF(VLOOKUP(AE482,βοηθητικό!$J$2:$N$354,3,FALSE)="","",VLOOKUP(AE482,βοηθητικό!$J$2:$N$354,3,FALSE))</f>
        <v>_</v>
      </c>
      <c r="AG482" s="47"/>
      <c r="AH482" s="4" t="s">
        <v>16</v>
      </c>
      <c r="AI482" s="43" t="str">
        <f>IF(VLOOKUP(AH482,βοηθητικό!$J$2:$N$354,3,FALSE)="","",VLOOKUP(AH482,βοηθητικό!$J$2:$N$354,3,FALSE))</f>
        <v>_</v>
      </c>
      <c r="AJ482" s="44"/>
      <c r="AK482" s="5" t="s">
        <v>16</v>
      </c>
      <c r="AL482" s="46" t="str">
        <f>IF(VLOOKUP(AK482,βοηθητικό!$J$2:$N$354,3,FALSE)="","",VLOOKUP(AK482,βοηθητικό!$J$2:$N$354,3,FALSE))</f>
        <v>_</v>
      </c>
      <c r="AM482" s="47"/>
      <c r="AN482" s="4" t="s">
        <v>16</v>
      </c>
      <c r="AO482" s="43" t="str">
        <f>IF(VLOOKUP(AN482,βοηθητικό!$J$2:$N$354,3,FALSE)="","",VLOOKUP(AN482,βοηθητικό!$J$2:$N$354,3,FALSE))</f>
        <v>_</v>
      </c>
      <c r="AP482" s="44"/>
      <c r="AQ482" s="5" t="s">
        <v>16</v>
      </c>
      <c r="AR482" s="46" t="str">
        <f>IF(VLOOKUP(AQ482,βοηθητικό!$J$2:$N$354,3,FALSE)="","",VLOOKUP(AQ482,βοηθητικό!$J$2:$N$354,3,FALSE))</f>
        <v>_</v>
      </c>
      <c r="AS482" s="47"/>
      <c r="AT482" s="4" t="s">
        <v>16</v>
      </c>
      <c r="AU482" s="43" t="str">
        <f>IF(VLOOKUP(AT482,βοηθητικό!$J$2:$N$354,3,FALSE)="","",VLOOKUP(AT482,βοηθητικό!$J$2:$N$354,3,FALSE))</f>
        <v>_</v>
      </c>
      <c r="AV482" s="44"/>
      <c r="AW482" s="5" t="s">
        <v>16</v>
      </c>
      <c r="AX482" s="46" t="str">
        <f>IF(VLOOKUP(AW482,βοηθητικό!$J$2:$N$354,3,FALSE)="","",VLOOKUP(AW482,βοηθητικό!$J$2:$N$354,3,FALSE))</f>
        <v>_</v>
      </c>
      <c r="AY482" s="47"/>
      <c r="AZ482" s="4" t="s">
        <v>16</v>
      </c>
      <c r="BA482" s="43" t="str">
        <f>IF(VLOOKUP(AZ482,βοηθητικό!$J$2:$N$354,3,FALSE)="","",VLOOKUP(AZ482,βοηθητικό!$J$2:$N$354,3,FALSE))</f>
        <v>_</v>
      </c>
      <c r="BB482" s="44"/>
      <c r="BC482" s="45" t="s">
        <v>16</v>
      </c>
      <c r="BD482" s="46" t="str">
        <f>IF(VLOOKUP(BC482,βοηθητικό!$J$2:$N$354,3,FALSE)="","",VLOOKUP(BC482,βοηθητικό!$J$2:$N$354,3,FALSE))</f>
        <v>_</v>
      </c>
      <c r="BE482" s="47"/>
      <c r="BF482" s="42" t="s">
        <v>16</v>
      </c>
      <c r="BG482" s="43" t="str">
        <f>IF(VLOOKUP(BF482,βοηθητικό!$J$2:$N$354,3,FALSE)="","",VLOOKUP(BF482,βοηθητικό!$J$2:$N$354,3,FALSE))</f>
        <v>_</v>
      </c>
      <c r="BH482" s="44"/>
      <c r="BI482" s="45" t="s">
        <v>16</v>
      </c>
      <c r="BJ482" s="46" t="str">
        <f>IF(VLOOKUP(BI482,βοηθητικό!$J$2:$N$354,3,FALSE)="","",VLOOKUP(BI482,βοηθητικό!$J$2:$N$354,3,FALSE))</f>
        <v>_</v>
      </c>
      <c r="BK482" s="47"/>
      <c r="BL482" s="42" t="s">
        <v>16</v>
      </c>
      <c r="BM482" s="43" t="str">
        <f>IF(VLOOKUP(BL482,βοηθητικό!$J$2:$N$354,3,FALSE)="","",VLOOKUP(BL482,βοηθητικό!$J$2:$N$354,3,FALSE))</f>
        <v>_</v>
      </c>
      <c r="BN482" s="44"/>
      <c r="BO482" s="45" t="s">
        <v>16</v>
      </c>
      <c r="BP482" s="46" t="str">
        <f>IF(VLOOKUP(BO482,βοηθητικό!$J$2:$N$354,3,FALSE)="","",VLOOKUP(BO482,βοηθητικό!$J$2:$N$354,3,FALSE))</f>
        <v>_</v>
      </c>
      <c r="BQ482" s="47"/>
      <c r="BR482" s="42" t="s">
        <v>16</v>
      </c>
      <c r="BS482" s="43" t="str">
        <f>IF(VLOOKUP(BR482,βοηθητικό!$J$2:$N$354,3,FALSE)="","",VLOOKUP(BR482,βοηθητικό!$J$2:$N$354,3,FALSE))</f>
        <v>_</v>
      </c>
      <c r="BT482" s="44"/>
      <c r="BU482" s="45" t="s">
        <v>16</v>
      </c>
      <c r="BV482" s="46" t="str">
        <f>IF(VLOOKUP(BU482,βοηθητικό!$J$2:$N$354,3,FALSE)="","",VLOOKUP(BU482,βοηθητικό!$J$2:$N$354,3,FALSE))</f>
        <v>_</v>
      </c>
      <c r="BW482" s="47"/>
      <c r="BX482" s="42" t="s">
        <v>16</v>
      </c>
      <c r="BY482" s="43" t="str">
        <f>IF(VLOOKUP(BX482,βοηθητικό!$J$2:$N$354,3,FALSE)="","",VLOOKUP(BX482,βοηθητικό!$J$2:$N$354,3,FALSE))</f>
        <v>_</v>
      </c>
      <c r="BZ482" s="44"/>
      <c r="CA482" s="45" t="s">
        <v>16</v>
      </c>
      <c r="CB482" s="46" t="str">
        <f>IF(VLOOKUP(CA482,βοηθητικό!$J$2:$N$354,3,FALSE)="","",VLOOKUP(CA482,βοηθητικό!$J$2:$N$354,3,FALSE))</f>
        <v>_</v>
      </c>
      <c r="CC482" s="47"/>
      <c r="CD482" s="42" t="s">
        <v>16</v>
      </c>
      <c r="CE482" s="43" t="str">
        <f>IF(VLOOKUP(CD482,βοηθητικό!$J$2:$N$354,3,FALSE)="","",VLOOKUP(CD482,βοηθητικό!$J$2:$N$354,3,FALSE))</f>
        <v>_</v>
      </c>
      <c r="CF482" s="44"/>
      <c r="CG482" s="45" t="s">
        <v>16</v>
      </c>
      <c r="CH482" s="46" t="str">
        <f>IF(VLOOKUP(CG482,βοηθητικό!$J$2:$N$354,3,FALSE)="","",VLOOKUP(CG482,βοηθητικό!$J$2:$N$354,3,FALSE))</f>
        <v>_</v>
      </c>
      <c r="CI482" s="47"/>
      <c r="CJ482" s="42" t="s">
        <v>16</v>
      </c>
      <c r="CK482" s="43" t="str">
        <f>IF(VLOOKUP(CJ482,βοηθητικό!$J$2:$N$354,3,FALSE)="","",VLOOKUP(CJ482,βοηθητικό!$J$2:$N$354,3,FALSE))</f>
        <v>_</v>
      </c>
      <c r="CL482" s="44"/>
      <c r="CM482" s="45" t="s">
        <v>16</v>
      </c>
      <c r="CN482" s="46" t="str">
        <f>IF(VLOOKUP(CM482,βοηθητικό!$J$2:$N$354,3,FALSE)="","",VLOOKUP(CM482,βοηθητικό!$J$2:$N$354,3,FALSE))</f>
        <v>_</v>
      </c>
      <c r="CO482" s="47"/>
      <c r="CP482" s="42" t="s">
        <v>16</v>
      </c>
      <c r="CQ482" s="43" t="str">
        <f>IF(VLOOKUP(CP482,βοηθητικό!$J$2:$N$354,3,FALSE)="","",VLOOKUP(CP482,βοηθητικό!$J$2:$N$354,3,FALSE))</f>
        <v>_</v>
      </c>
      <c r="CR482" s="44"/>
      <c r="CS482" s="45" t="s">
        <v>16</v>
      </c>
      <c r="CT482" s="46" t="str">
        <f>IF(VLOOKUP(CS482,βοηθητικό!$J$2:$N$354,3,FALSE)="","",VLOOKUP(CS482,βοηθητικό!$J$2:$N$354,3,FALSE))</f>
        <v>_</v>
      </c>
      <c r="CU482" s="47"/>
    </row>
    <row r="483" spans="1:99" x14ac:dyDescent="0.25">
      <c r="A483" s="37">
        <f>--SUBTOTAL(3,$B$3:B482)</f>
        <v>198</v>
      </c>
      <c r="B483" s="2"/>
      <c r="C483" s="3"/>
      <c r="D483" s="55" t="s">
        <v>18</v>
      </c>
      <c r="E483" s="38" t="s">
        <v>16</v>
      </c>
      <c r="F483" s="38"/>
      <c r="G483" s="39" t="str">
        <f t="shared" si="23"/>
        <v>__</v>
      </c>
      <c r="H483" s="40" t="str">
        <f t="shared" si="24"/>
        <v>FALSE</v>
      </c>
      <c r="I483" s="41">
        <f t="shared" si="25"/>
        <v>0</v>
      </c>
      <c r="J483" s="4" t="s">
        <v>16</v>
      </c>
      <c r="K483" s="43" t="str">
        <f>IF(VLOOKUP(J483,βοηθητικό!$J$2:$N$354,3,FALSE)="","",VLOOKUP(J483,βοηθητικό!$J$2:$N$354,3,FALSE))</f>
        <v>_</v>
      </c>
      <c r="L483" s="44"/>
      <c r="M483" s="5" t="s">
        <v>16</v>
      </c>
      <c r="N483" s="46" t="str">
        <f>IF(VLOOKUP(M483,βοηθητικό!$J$2:$N$354,3,FALSE)="","",VLOOKUP(M483,βοηθητικό!$J$2:$N$354,3,FALSE))</f>
        <v>_</v>
      </c>
      <c r="O483" s="47"/>
      <c r="P483" s="4" t="s">
        <v>16</v>
      </c>
      <c r="Q483" s="43" t="str">
        <f>IF(VLOOKUP(P483,βοηθητικό!$J$2:$N$354,3,FALSE)="","",VLOOKUP(P483,βοηθητικό!$J$2:$N$354,3,FALSE))</f>
        <v>_</v>
      </c>
      <c r="R483" s="44"/>
      <c r="S483" s="5" t="s">
        <v>16</v>
      </c>
      <c r="T483" s="46" t="str">
        <f>IF(VLOOKUP(S483,βοηθητικό!$J$2:$N$354,3,FALSE)="","",VLOOKUP(S483,βοηθητικό!$J$2:$N$354,3,FALSE))</f>
        <v>_</v>
      </c>
      <c r="U483" s="47"/>
      <c r="V483" s="4" t="s">
        <v>16</v>
      </c>
      <c r="W483" s="43" t="str">
        <f>IF(VLOOKUP(V483,βοηθητικό!$J$2:$N$354,3,FALSE)="","",VLOOKUP(V483,βοηθητικό!$J$2:$N$354,3,FALSE))</f>
        <v>_</v>
      </c>
      <c r="X483" s="44"/>
      <c r="Y483" s="5" t="s">
        <v>16</v>
      </c>
      <c r="Z483" s="46" t="str">
        <f>IF(VLOOKUP(Y483,βοηθητικό!$J$2:$N$354,3,FALSE)="","",VLOOKUP(Y483,βοηθητικό!$J$2:$N$354,3,FALSE))</f>
        <v>_</v>
      </c>
      <c r="AA483" s="47"/>
      <c r="AB483" s="4" t="s">
        <v>16</v>
      </c>
      <c r="AC483" s="43" t="str">
        <f>IF(VLOOKUP(AB483,βοηθητικό!$J$2:$N$354,3,FALSE)="","",VLOOKUP(AB483,βοηθητικό!$J$2:$N$354,3,FALSE))</f>
        <v>_</v>
      </c>
      <c r="AD483" s="44"/>
      <c r="AE483" s="5" t="s">
        <v>16</v>
      </c>
      <c r="AF483" s="46" t="str">
        <f>IF(VLOOKUP(AE483,βοηθητικό!$J$2:$N$354,3,FALSE)="","",VLOOKUP(AE483,βοηθητικό!$J$2:$N$354,3,FALSE))</f>
        <v>_</v>
      </c>
      <c r="AG483" s="47"/>
      <c r="AH483" s="4" t="s">
        <v>16</v>
      </c>
      <c r="AI483" s="43" t="str">
        <f>IF(VLOOKUP(AH483,βοηθητικό!$J$2:$N$354,3,FALSE)="","",VLOOKUP(AH483,βοηθητικό!$J$2:$N$354,3,FALSE))</f>
        <v>_</v>
      </c>
      <c r="AJ483" s="44"/>
      <c r="AK483" s="5" t="s">
        <v>16</v>
      </c>
      <c r="AL483" s="46" t="str">
        <f>IF(VLOOKUP(AK483,βοηθητικό!$J$2:$N$354,3,FALSE)="","",VLOOKUP(AK483,βοηθητικό!$J$2:$N$354,3,FALSE))</f>
        <v>_</v>
      </c>
      <c r="AM483" s="47"/>
      <c r="AN483" s="4" t="s">
        <v>16</v>
      </c>
      <c r="AO483" s="43" t="str">
        <f>IF(VLOOKUP(AN483,βοηθητικό!$J$2:$N$354,3,FALSE)="","",VLOOKUP(AN483,βοηθητικό!$J$2:$N$354,3,FALSE))</f>
        <v>_</v>
      </c>
      <c r="AP483" s="44"/>
      <c r="AQ483" s="5" t="s">
        <v>16</v>
      </c>
      <c r="AR483" s="46" t="str">
        <f>IF(VLOOKUP(AQ483,βοηθητικό!$J$2:$N$354,3,FALSE)="","",VLOOKUP(AQ483,βοηθητικό!$J$2:$N$354,3,FALSE))</f>
        <v>_</v>
      </c>
      <c r="AS483" s="47"/>
      <c r="AT483" s="4" t="s">
        <v>16</v>
      </c>
      <c r="AU483" s="43" t="str">
        <f>IF(VLOOKUP(AT483,βοηθητικό!$J$2:$N$354,3,FALSE)="","",VLOOKUP(AT483,βοηθητικό!$J$2:$N$354,3,FALSE))</f>
        <v>_</v>
      </c>
      <c r="AV483" s="44"/>
      <c r="AW483" s="5" t="s">
        <v>16</v>
      </c>
      <c r="AX483" s="46" t="str">
        <f>IF(VLOOKUP(AW483,βοηθητικό!$J$2:$N$354,3,FALSE)="","",VLOOKUP(AW483,βοηθητικό!$J$2:$N$354,3,FALSE))</f>
        <v>_</v>
      </c>
      <c r="AY483" s="47"/>
      <c r="AZ483" s="4" t="s">
        <v>16</v>
      </c>
      <c r="BA483" s="43" t="str">
        <f>IF(VLOOKUP(AZ483,βοηθητικό!$J$2:$N$354,3,FALSE)="","",VLOOKUP(AZ483,βοηθητικό!$J$2:$N$354,3,FALSE))</f>
        <v>_</v>
      </c>
      <c r="BB483" s="44"/>
      <c r="BC483" s="45" t="s">
        <v>16</v>
      </c>
      <c r="BD483" s="46" t="str">
        <f>IF(VLOOKUP(BC483,βοηθητικό!$J$2:$N$354,3,FALSE)="","",VLOOKUP(BC483,βοηθητικό!$J$2:$N$354,3,FALSE))</f>
        <v>_</v>
      </c>
      <c r="BE483" s="47"/>
      <c r="BF483" s="42" t="s">
        <v>16</v>
      </c>
      <c r="BG483" s="43" t="str">
        <f>IF(VLOOKUP(BF483,βοηθητικό!$J$2:$N$354,3,FALSE)="","",VLOOKUP(BF483,βοηθητικό!$J$2:$N$354,3,FALSE))</f>
        <v>_</v>
      </c>
      <c r="BH483" s="44"/>
      <c r="BI483" s="45" t="s">
        <v>16</v>
      </c>
      <c r="BJ483" s="46" t="str">
        <f>IF(VLOOKUP(BI483,βοηθητικό!$J$2:$N$354,3,FALSE)="","",VLOOKUP(BI483,βοηθητικό!$J$2:$N$354,3,FALSE))</f>
        <v>_</v>
      </c>
      <c r="BK483" s="47"/>
      <c r="BL483" s="42" t="s">
        <v>16</v>
      </c>
      <c r="BM483" s="43" t="str">
        <f>IF(VLOOKUP(BL483,βοηθητικό!$J$2:$N$354,3,FALSE)="","",VLOOKUP(BL483,βοηθητικό!$J$2:$N$354,3,FALSE))</f>
        <v>_</v>
      </c>
      <c r="BN483" s="44"/>
      <c r="BO483" s="45" t="s">
        <v>16</v>
      </c>
      <c r="BP483" s="46" t="str">
        <f>IF(VLOOKUP(BO483,βοηθητικό!$J$2:$N$354,3,FALSE)="","",VLOOKUP(BO483,βοηθητικό!$J$2:$N$354,3,FALSE))</f>
        <v>_</v>
      </c>
      <c r="BQ483" s="47"/>
      <c r="BR483" s="42" t="s">
        <v>16</v>
      </c>
      <c r="BS483" s="43" t="str">
        <f>IF(VLOOKUP(BR483,βοηθητικό!$J$2:$N$354,3,FALSE)="","",VLOOKUP(BR483,βοηθητικό!$J$2:$N$354,3,FALSE))</f>
        <v>_</v>
      </c>
      <c r="BT483" s="44"/>
      <c r="BU483" s="45" t="s">
        <v>16</v>
      </c>
      <c r="BV483" s="46" t="str">
        <f>IF(VLOOKUP(BU483,βοηθητικό!$J$2:$N$354,3,FALSE)="","",VLOOKUP(BU483,βοηθητικό!$J$2:$N$354,3,FALSE))</f>
        <v>_</v>
      </c>
      <c r="BW483" s="47"/>
      <c r="BX483" s="42" t="s">
        <v>16</v>
      </c>
      <c r="BY483" s="43" t="str">
        <f>IF(VLOOKUP(BX483,βοηθητικό!$J$2:$N$354,3,FALSE)="","",VLOOKUP(BX483,βοηθητικό!$J$2:$N$354,3,FALSE))</f>
        <v>_</v>
      </c>
      <c r="BZ483" s="44"/>
      <c r="CA483" s="45" t="s">
        <v>16</v>
      </c>
      <c r="CB483" s="46" t="str">
        <f>IF(VLOOKUP(CA483,βοηθητικό!$J$2:$N$354,3,FALSE)="","",VLOOKUP(CA483,βοηθητικό!$J$2:$N$354,3,FALSE))</f>
        <v>_</v>
      </c>
      <c r="CC483" s="47"/>
      <c r="CD483" s="42" t="s">
        <v>16</v>
      </c>
      <c r="CE483" s="43" t="str">
        <f>IF(VLOOKUP(CD483,βοηθητικό!$J$2:$N$354,3,FALSE)="","",VLOOKUP(CD483,βοηθητικό!$J$2:$N$354,3,FALSE))</f>
        <v>_</v>
      </c>
      <c r="CF483" s="44"/>
      <c r="CG483" s="45" t="s">
        <v>16</v>
      </c>
      <c r="CH483" s="46" t="str">
        <f>IF(VLOOKUP(CG483,βοηθητικό!$J$2:$N$354,3,FALSE)="","",VLOOKUP(CG483,βοηθητικό!$J$2:$N$354,3,FALSE))</f>
        <v>_</v>
      </c>
      <c r="CI483" s="47"/>
      <c r="CJ483" s="42" t="s">
        <v>16</v>
      </c>
      <c r="CK483" s="43" t="str">
        <f>IF(VLOOKUP(CJ483,βοηθητικό!$J$2:$N$354,3,FALSE)="","",VLOOKUP(CJ483,βοηθητικό!$J$2:$N$354,3,FALSE))</f>
        <v>_</v>
      </c>
      <c r="CL483" s="44"/>
      <c r="CM483" s="45" t="s">
        <v>16</v>
      </c>
      <c r="CN483" s="46" t="str">
        <f>IF(VLOOKUP(CM483,βοηθητικό!$J$2:$N$354,3,FALSE)="","",VLOOKUP(CM483,βοηθητικό!$J$2:$N$354,3,FALSE))</f>
        <v>_</v>
      </c>
      <c r="CO483" s="47"/>
      <c r="CP483" s="42" t="s">
        <v>16</v>
      </c>
      <c r="CQ483" s="43" t="str">
        <f>IF(VLOOKUP(CP483,βοηθητικό!$J$2:$N$354,3,FALSE)="","",VLOOKUP(CP483,βοηθητικό!$J$2:$N$354,3,FALSE))</f>
        <v>_</v>
      </c>
      <c r="CR483" s="44"/>
      <c r="CS483" s="45" t="s">
        <v>16</v>
      </c>
      <c r="CT483" s="46" t="str">
        <f>IF(VLOOKUP(CS483,βοηθητικό!$J$2:$N$354,3,FALSE)="","",VLOOKUP(CS483,βοηθητικό!$J$2:$N$354,3,FALSE))</f>
        <v>_</v>
      </c>
      <c r="CU483" s="47"/>
    </row>
    <row r="484" spans="1:99" x14ac:dyDescent="0.25">
      <c r="A484" s="37">
        <f>--SUBTOTAL(3,$B$3:B483)</f>
        <v>198</v>
      </c>
      <c r="B484" s="2"/>
      <c r="C484" s="3"/>
      <c r="D484" s="55" t="s">
        <v>18</v>
      </c>
      <c r="E484" s="38" t="s">
        <v>16</v>
      </c>
      <c r="F484" s="38"/>
      <c r="G484" s="39" t="str">
        <f t="shared" si="23"/>
        <v>__</v>
      </c>
      <c r="H484" s="40" t="str">
        <f t="shared" si="24"/>
        <v>FALSE</v>
      </c>
      <c r="I484" s="41">
        <f t="shared" si="25"/>
        <v>0</v>
      </c>
      <c r="J484" s="4" t="s">
        <v>16</v>
      </c>
      <c r="K484" s="43" t="str">
        <f>IF(VLOOKUP(J484,βοηθητικό!$J$2:$N$354,3,FALSE)="","",VLOOKUP(J484,βοηθητικό!$J$2:$N$354,3,FALSE))</f>
        <v>_</v>
      </c>
      <c r="L484" s="44"/>
      <c r="M484" s="5" t="s">
        <v>16</v>
      </c>
      <c r="N484" s="46" t="str">
        <f>IF(VLOOKUP(M484,βοηθητικό!$J$2:$N$354,3,FALSE)="","",VLOOKUP(M484,βοηθητικό!$J$2:$N$354,3,FALSE))</f>
        <v>_</v>
      </c>
      <c r="O484" s="47"/>
      <c r="P484" s="4" t="s">
        <v>16</v>
      </c>
      <c r="Q484" s="43" t="str">
        <f>IF(VLOOKUP(P484,βοηθητικό!$J$2:$N$354,3,FALSE)="","",VLOOKUP(P484,βοηθητικό!$J$2:$N$354,3,FALSE))</f>
        <v>_</v>
      </c>
      <c r="R484" s="44"/>
      <c r="S484" s="5" t="s">
        <v>16</v>
      </c>
      <c r="T484" s="46" t="str">
        <f>IF(VLOOKUP(S484,βοηθητικό!$J$2:$N$354,3,FALSE)="","",VLOOKUP(S484,βοηθητικό!$J$2:$N$354,3,FALSE))</f>
        <v>_</v>
      </c>
      <c r="U484" s="47"/>
      <c r="V484" s="4" t="s">
        <v>16</v>
      </c>
      <c r="W484" s="43" t="str">
        <f>IF(VLOOKUP(V484,βοηθητικό!$J$2:$N$354,3,FALSE)="","",VLOOKUP(V484,βοηθητικό!$J$2:$N$354,3,FALSE))</f>
        <v>_</v>
      </c>
      <c r="X484" s="44"/>
      <c r="Y484" s="5" t="s">
        <v>16</v>
      </c>
      <c r="Z484" s="46" t="str">
        <f>IF(VLOOKUP(Y484,βοηθητικό!$J$2:$N$354,3,FALSE)="","",VLOOKUP(Y484,βοηθητικό!$J$2:$N$354,3,FALSE))</f>
        <v>_</v>
      </c>
      <c r="AA484" s="47"/>
      <c r="AB484" s="4" t="s">
        <v>16</v>
      </c>
      <c r="AC484" s="43" t="str">
        <f>IF(VLOOKUP(AB484,βοηθητικό!$J$2:$N$354,3,FALSE)="","",VLOOKUP(AB484,βοηθητικό!$J$2:$N$354,3,FALSE))</f>
        <v>_</v>
      </c>
      <c r="AD484" s="44"/>
      <c r="AE484" s="5" t="s">
        <v>16</v>
      </c>
      <c r="AF484" s="46" t="str">
        <f>IF(VLOOKUP(AE484,βοηθητικό!$J$2:$N$354,3,FALSE)="","",VLOOKUP(AE484,βοηθητικό!$J$2:$N$354,3,FALSE))</f>
        <v>_</v>
      </c>
      <c r="AG484" s="47"/>
      <c r="AH484" s="4" t="s">
        <v>16</v>
      </c>
      <c r="AI484" s="43" t="str">
        <f>IF(VLOOKUP(AH484,βοηθητικό!$J$2:$N$354,3,FALSE)="","",VLOOKUP(AH484,βοηθητικό!$J$2:$N$354,3,FALSE))</f>
        <v>_</v>
      </c>
      <c r="AJ484" s="44"/>
      <c r="AK484" s="5" t="s">
        <v>16</v>
      </c>
      <c r="AL484" s="46" t="str">
        <f>IF(VLOOKUP(AK484,βοηθητικό!$J$2:$N$354,3,FALSE)="","",VLOOKUP(AK484,βοηθητικό!$J$2:$N$354,3,FALSE))</f>
        <v>_</v>
      </c>
      <c r="AM484" s="47"/>
      <c r="AN484" s="4" t="s">
        <v>16</v>
      </c>
      <c r="AO484" s="43" t="str">
        <f>IF(VLOOKUP(AN484,βοηθητικό!$J$2:$N$354,3,FALSE)="","",VLOOKUP(AN484,βοηθητικό!$J$2:$N$354,3,FALSE))</f>
        <v>_</v>
      </c>
      <c r="AP484" s="44"/>
      <c r="AQ484" s="5" t="s">
        <v>16</v>
      </c>
      <c r="AR484" s="46" t="str">
        <f>IF(VLOOKUP(AQ484,βοηθητικό!$J$2:$N$354,3,FALSE)="","",VLOOKUP(AQ484,βοηθητικό!$J$2:$N$354,3,FALSE))</f>
        <v>_</v>
      </c>
      <c r="AS484" s="47"/>
      <c r="AT484" s="4" t="s">
        <v>16</v>
      </c>
      <c r="AU484" s="43" t="str">
        <f>IF(VLOOKUP(AT484,βοηθητικό!$J$2:$N$354,3,FALSE)="","",VLOOKUP(AT484,βοηθητικό!$J$2:$N$354,3,FALSE))</f>
        <v>_</v>
      </c>
      <c r="AV484" s="44"/>
      <c r="AW484" s="5" t="s">
        <v>16</v>
      </c>
      <c r="AX484" s="46" t="str">
        <f>IF(VLOOKUP(AW484,βοηθητικό!$J$2:$N$354,3,FALSE)="","",VLOOKUP(AW484,βοηθητικό!$J$2:$N$354,3,FALSE))</f>
        <v>_</v>
      </c>
      <c r="AY484" s="47"/>
      <c r="AZ484" s="4" t="s">
        <v>16</v>
      </c>
      <c r="BA484" s="43" t="str">
        <f>IF(VLOOKUP(AZ484,βοηθητικό!$J$2:$N$354,3,FALSE)="","",VLOOKUP(AZ484,βοηθητικό!$J$2:$N$354,3,FALSE))</f>
        <v>_</v>
      </c>
      <c r="BB484" s="44"/>
      <c r="BC484" s="45" t="s">
        <v>16</v>
      </c>
      <c r="BD484" s="46" t="str">
        <f>IF(VLOOKUP(BC484,βοηθητικό!$J$2:$N$354,3,FALSE)="","",VLOOKUP(BC484,βοηθητικό!$J$2:$N$354,3,FALSE))</f>
        <v>_</v>
      </c>
      <c r="BE484" s="47"/>
      <c r="BF484" s="42" t="s">
        <v>16</v>
      </c>
      <c r="BG484" s="43" t="str">
        <f>IF(VLOOKUP(BF484,βοηθητικό!$J$2:$N$354,3,FALSE)="","",VLOOKUP(BF484,βοηθητικό!$J$2:$N$354,3,FALSE))</f>
        <v>_</v>
      </c>
      <c r="BH484" s="44"/>
      <c r="BI484" s="45" t="s">
        <v>16</v>
      </c>
      <c r="BJ484" s="46" t="str">
        <f>IF(VLOOKUP(BI484,βοηθητικό!$J$2:$N$354,3,FALSE)="","",VLOOKUP(BI484,βοηθητικό!$J$2:$N$354,3,FALSE))</f>
        <v>_</v>
      </c>
      <c r="BK484" s="47"/>
      <c r="BL484" s="42" t="s">
        <v>16</v>
      </c>
      <c r="BM484" s="43" t="str">
        <f>IF(VLOOKUP(BL484,βοηθητικό!$J$2:$N$354,3,FALSE)="","",VLOOKUP(BL484,βοηθητικό!$J$2:$N$354,3,FALSE))</f>
        <v>_</v>
      </c>
      <c r="BN484" s="44"/>
      <c r="BO484" s="45" t="s">
        <v>16</v>
      </c>
      <c r="BP484" s="46" t="str">
        <f>IF(VLOOKUP(BO484,βοηθητικό!$J$2:$N$354,3,FALSE)="","",VLOOKUP(BO484,βοηθητικό!$J$2:$N$354,3,FALSE))</f>
        <v>_</v>
      </c>
      <c r="BQ484" s="47"/>
      <c r="BR484" s="42" t="s">
        <v>16</v>
      </c>
      <c r="BS484" s="43" t="str">
        <f>IF(VLOOKUP(BR484,βοηθητικό!$J$2:$N$354,3,FALSE)="","",VLOOKUP(BR484,βοηθητικό!$J$2:$N$354,3,FALSE))</f>
        <v>_</v>
      </c>
      <c r="BT484" s="44"/>
      <c r="BU484" s="45" t="s">
        <v>16</v>
      </c>
      <c r="BV484" s="46" t="str">
        <f>IF(VLOOKUP(BU484,βοηθητικό!$J$2:$N$354,3,FALSE)="","",VLOOKUP(BU484,βοηθητικό!$J$2:$N$354,3,FALSE))</f>
        <v>_</v>
      </c>
      <c r="BW484" s="47"/>
      <c r="BX484" s="42" t="s">
        <v>16</v>
      </c>
      <c r="BY484" s="43" t="str">
        <f>IF(VLOOKUP(BX484,βοηθητικό!$J$2:$N$354,3,FALSE)="","",VLOOKUP(BX484,βοηθητικό!$J$2:$N$354,3,FALSE))</f>
        <v>_</v>
      </c>
      <c r="BZ484" s="44"/>
      <c r="CA484" s="45" t="s">
        <v>16</v>
      </c>
      <c r="CB484" s="46" t="str">
        <f>IF(VLOOKUP(CA484,βοηθητικό!$J$2:$N$354,3,FALSE)="","",VLOOKUP(CA484,βοηθητικό!$J$2:$N$354,3,FALSE))</f>
        <v>_</v>
      </c>
      <c r="CC484" s="47"/>
      <c r="CD484" s="42" t="s">
        <v>16</v>
      </c>
      <c r="CE484" s="43" t="str">
        <f>IF(VLOOKUP(CD484,βοηθητικό!$J$2:$N$354,3,FALSE)="","",VLOOKUP(CD484,βοηθητικό!$J$2:$N$354,3,FALSE))</f>
        <v>_</v>
      </c>
      <c r="CF484" s="44"/>
      <c r="CG484" s="45" t="s">
        <v>16</v>
      </c>
      <c r="CH484" s="46" t="str">
        <f>IF(VLOOKUP(CG484,βοηθητικό!$J$2:$N$354,3,FALSE)="","",VLOOKUP(CG484,βοηθητικό!$J$2:$N$354,3,FALSE))</f>
        <v>_</v>
      </c>
      <c r="CI484" s="47"/>
      <c r="CJ484" s="42" t="s">
        <v>16</v>
      </c>
      <c r="CK484" s="43" t="str">
        <f>IF(VLOOKUP(CJ484,βοηθητικό!$J$2:$N$354,3,FALSE)="","",VLOOKUP(CJ484,βοηθητικό!$J$2:$N$354,3,FALSE))</f>
        <v>_</v>
      </c>
      <c r="CL484" s="44"/>
      <c r="CM484" s="45" t="s">
        <v>16</v>
      </c>
      <c r="CN484" s="46" t="str">
        <f>IF(VLOOKUP(CM484,βοηθητικό!$J$2:$N$354,3,FALSE)="","",VLOOKUP(CM484,βοηθητικό!$J$2:$N$354,3,FALSE))</f>
        <v>_</v>
      </c>
      <c r="CO484" s="47"/>
      <c r="CP484" s="42" t="s">
        <v>16</v>
      </c>
      <c r="CQ484" s="43" t="str">
        <f>IF(VLOOKUP(CP484,βοηθητικό!$J$2:$N$354,3,FALSE)="","",VLOOKUP(CP484,βοηθητικό!$J$2:$N$354,3,FALSE))</f>
        <v>_</v>
      </c>
      <c r="CR484" s="44"/>
      <c r="CS484" s="45" t="s">
        <v>16</v>
      </c>
      <c r="CT484" s="46" t="str">
        <f>IF(VLOOKUP(CS484,βοηθητικό!$J$2:$N$354,3,FALSE)="","",VLOOKUP(CS484,βοηθητικό!$J$2:$N$354,3,FALSE))</f>
        <v>_</v>
      </c>
      <c r="CU484" s="47"/>
    </row>
    <row r="485" spans="1:99" x14ac:dyDescent="0.25">
      <c r="A485" s="37">
        <f>--SUBTOTAL(3,$B$3:B484)</f>
        <v>198</v>
      </c>
      <c r="B485" s="2"/>
      <c r="C485" s="3"/>
      <c r="D485" s="55" t="s">
        <v>18</v>
      </c>
      <c r="E485" s="38" t="s">
        <v>16</v>
      </c>
      <c r="F485" s="38"/>
      <c r="G485" s="39" t="str">
        <f t="shared" si="23"/>
        <v>__</v>
      </c>
      <c r="H485" s="40" t="str">
        <f t="shared" si="24"/>
        <v>FALSE</v>
      </c>
      <c r="I485" s="41">
        <f t="shared" si="25"/>
        <v>0</v>
      </c>
      <c r="J485" s="4" t="s">
        <v>16</v>
      </c>
      <c r="K485" s="43" t="str">
        <f>IF(VLOOKUP(J485,βοηθητικό!$J$2:$N$354,3,FALSE)="","",VLOOKUP(J485,βοηθητικό!$J$2:$N$354,3,FALSE))</f>
        <v>_</v>
      </c>
      <c r="L485" s="44"/>
      <c r="M485" s="5" t="s">
        <v>16</v>
      </c>
      <c r="N485" s="46" t="str">
        <f>IF(VLOOKUP(M485,βοηθητικό!$J$2:$N$354,3,FALSE)="","",VLOOKUP(M485,βοηθητικό!$J$2:$N$354,3,FALSE))</f>
        <v>_</v>
      </c>
      <c r="O485" s="47"/>
      <c r="P485" s="4" t="s">
        <v>16</v>
      </c>
      <c r="Q485" s="43" t="str">
        <f>IF(VLOOKUP(P485,βοηθητικό!$J$2:$N$354,3,FALSE)="","",VLOOKUP(P485,βοηθητικό!$J$2:$N$354,3,FALSE))</f>
        <v>_</v>
      </c>
      <c r="R485" s="44"/>
      <c r="S485" s="5" t="s">
        <v>16</v>
      </c>
      <c r="T485" s="46" t="str">
        <f>IF(VLOOKUP(S485,βοηθητικό!$J$2:$N$354,3,FALSE)="","",VLOOKUP(S485,βοηθητικό!$J$2:$N$354,3,FALSE))</f>
        <v>_</v>
      </c>
      <c r="U485" s="47"/>
      <c r="V485" s="4" t="s">
        <v>16</v>
      </c>
      <c r="W485" s="43" t="str">
        <f>IF(VLOOKUP(V485,βοηθητικό!$J$2:$N$354,3,FALSE)="","",VLOOKUP(V485,βοηθητικό!$J$2:$N$354,3,FALSE))</f>
        <v>_</v>
      </c>
      <c r="X485" s="44"/>
      <c r="Y485" s="5" t="s">
        <v>16</v>
      </c>
      <c r="Z485" s="46" t="str">
        <f>IF(VLOOKUP(Y485,βοηθητικό!$J$2:$N$354,3,FALSE)="","",VLOOKUP(Y485,βοηθητικό!$J$2:$N$354,3,FALSE))</f>
        <v>_</v>
      </c>
      <c r="AA485" s="47"/>
      <c r="AB485" s="4" t="s">
        <v>16</v>
      </c>
      <c r="AC485" s="43" t="str">
        <f>IF(VLOOKUP(AB485,βοηθητικό!$J$2:$N$354,3,FALSE)="","",VLOOKUP(AB485,βοηθητικό!$J$2:$N$354,3,FALSE))</f>
        <v>_</v>
      </c>
      <c r="AD485" s="44"/>
      <c r="AE485" s="5" t="s">
        <v>16</v>
      </c>
      <c r="AF485" s="46" t="str">
        <f>IF(VLOOKUP(AE485,βοηθητικό!$J$2:$N$354,3,FALSE)="","",VLOOKUP(AE485,βοηθητικό!$J$2:$N$354,3,FALSE))</f>
        <v>_</v>
      </c>
      <c r="AG485" s="47"/>
      <c r="AH485" s="4" t="s">
        <v>16</v>
      </c>
      <c r="AI485" s="43" t="str">
        <f>IF(VLOOKUP(AH485,βοηθητικό!$J$2:$N$354,3,FALSE)="","",VLOOKUP(AH485,βοηθητικό!$J$2:$N$354,3,FALSE))</f>
        <v>_</v>
      </c>
      <c r="AJ485" s="44"/>
      <c r="AK485" s="5" t="s">
        <v>16</v>
      </c>
      <c r="AL485" s="46" t="str">
        <f>IF(VLOOKUP(AK485,βοηθητικό!$J$2:$N$354,3,FALSE)="","",VLOOKUP(AK485,βοηθητικό!$J$2:$N$354,3,FALSE))</f>
        <v>_</v>
      </c>
      <c r="AM485" s="47"/>
      <c r="AN485" s="4" t="s">
        <v>16</v>
      </c>
      <c r="AO485" s="43" t="str">
        <f>IF(VLOOKUP(AN485,βοηθητικό!$J$2:$N$354,3,FALSE)="","",VLOOKUP(AN485,βοηθητικό!$J$2:$N$354,3,FALSE))</f>
        <v>_</v>
      </c>
      <c r="AP485" s="44"/>
      <c r="AQ485" s="5" t="s">
        <v>16</v>
      </c>
      <c r="AR485" s="46" t="str">
        <f>IF(VLOOKUP(AQ485,βοηθητικό!$J$2:$N$354,3,FALSE)="","",VLOOKUP(AQ485,βοηθητικό!$J$2:$N$354,3,FALSE))</f>
        <v>_</v>
      </c>
      <c r="AS485" s="47"/>
      <c r="AT485" s="4" t="s">
        <v>16</v>
      </c>
      <c r="AU485" s="43" t="str">
        <f>IF(VLOOKUP(AT485,βοηθητικό!$J$2:$N$354,3,FALSE)="","",VLOOKUP(AT485,βοηθητικό!$J$2:$N$354,3,FALSE))</f>
        <v>_</v>
      </c>
      <c r="AV485" s="44"/>
      <c r="AW485" s="5" t="s">
        <v>16</v>
      </c>
      <c r="AX485" s="46" t="str">
        <f>IF(VLOOKUP(AW485,βοηθητικό!$J$2:$N$354,3,FALSE)="","",VLOOKUP(AW485,βοηθητικό!$J$2:$N$354,3,FALSE))</f>
        <v>_</v>
      </c>
      <c r="AY485" s="47"/>
      <c r="AZ485" s="4" t="s">
        <v>16</v>
      </c>
      <c r="BA485" s="43" t="str">
        <f>IF(VLOOKUP(AZ485,βοηθητικό!$J$2:$N$354,3,FALSE)="","",VLOOKUP(AZ485,βοηθητικό!$J$2:$N$354,3,FALSE))</f>
        <v>_</v>
      </c>
      <c r="BB485" s="44"/>
      <c r="BC485" s="45" t="s">
        <v>16</v>
      </c>
      <c r="BD485" s="46" t="str">
        <f>IF(VLOOKUP(BC485,βοηθητικό!$J$2:$N$354,3,FALSE)="","",VLOOKUP(BC485,βοηθητικό!$J$2:$N$354,3,FALSE))</f>
        <v>_</v>
      </c>
      <c r="BE485" s="47"/>
      <c r="BF485" s="42" t="s">
        <v>16</v>
      </c>
      <c r="BG485" s="43" t="str">
        <f>IF(VLOOKUP(BF485,βοηθητικό!$J$2:$N$354,3,FALSE)="","",VLOOKUP(BF485,βοηθητικό!$J$2:$N$354,3,FALSE))</f>
        <v>_</v>
      </c>
      <c r="BH485" s="44"/>
      <c r="BI485" s="45" t="s">
        <v>16</v>
      </c>
      <c r="BJ485" s="46" t="str">
        <f>IF(VLOOKUP(BI485,βοηθητικό!$J$2:$N$354,3,FALSE)="","",VLOOKUP(BI485,βοηθητικό!$J$2:$N$354,3,FALSE))</f>
        <v>_</v>
      </c>
      <c r="BK485" s="47"/>
      <c r="BL485" s="42" t="s">
        <v>16</v>
      </c>
      <c r="BM485" s="43" t="str">
        <f>IF(VLOOKUP(BL485,βοηθητικό!$J$2:$N$354,3,FALSE)="","",VLOOKUP(BL485,βοηθητικό!$J$2:$N$354,3,FALSE))</f>
        <v>_</v>
      </c>
      <c r="BN485" s="44"/>
      <c r="BO485" s="45" t="s">
        <v>16</v>
      </c>
      <c r="BP485" s="46" t="str">
        <f>IF(VLOOKUP(BO485,βοηθητικό!$J$2:$N$354,3,FALSE)="","",VLOOKUP(BO485,βοηθητικό!$J$2:$N$354,3,FALSE))</f>
        <v>_</v>
      </c>
      <c r="BQ485" s="47"/>
      <c r="BR485" s="42" t="s">
        <v>16</v>
      </c>
      <c r="BS485" s="43" t="str">
        <f>IF(VLOOKUP(BR485,βοηθητικό!$J$2:$N$354,3,FALSE)="","",VLOOKUP(BR485,βοηθητικό!$J$2:$N$354,3,FALSE))</f>
        <v>_</v>
      </c>
      <c r="BT485" s="44"/>
      <c r="BU485" s="45" t="s">
        <v>16</v>
      </c>
      <c r="BV485" s="46" t="str">
        <f>IF(VLOOKUP(BU485,βοηθητικό!$J$2:$N$354,3,FALSE)="","",VLOOKUP(BU485,βοηθητικό!$J$2:$N$354,3,FALSE))</f>
        <v>_</v>
      </c>
      <c r="BW485" s="47"/>
      <c r="BX485" s="42" t="s">
        <v>16</v>
      </c>
      <c r="BY485" s="43" t="str">
        <f>IF(VLOOKUP(BX485,βοηθητικό!$J$2:$N$354,3,FALSE)="","",VLOOKUP(BX485,βοηθητικό!$J$2:$N$354,3,FALSE))</f>
        <v>_</v>
      </c>
      <c r="BZ485" s="44"/>
      <c r="CA485" s="45" t="s">
        <v>16</v>
      </c>
      <c r="CB485" s="46" t="str">
        <f>IF(VLOOKUP(CA485,βοηθητικό!$J$2:$N$354,3,FALSE)="","",VLOOKUP(CA485,βοηθητικό!$J$2:$N$354,3,FALSE))</f>
        <v>_</v>
      </c>
      <c r="CC485" s="47"/>
      <c r="CD485" s="42" t="s">
        <v>16</v>
      </c>
      <c r="CE485" s="43" t="str">
        <f>IF(VLOOKUP(CD485,βοηθητικό!$J$2:$N$354,3,FALSE)="","",VLOOKUP(CD485,βοηθητικό!$J$2:$N$354,3,FALSE))</f>
        <v>_</v>
      </c>
      <c r="CF485" s="44"/>
      <c r="CG485" s="45" t="s">
        <v>16</v>
      </c>
      <c r="CH485" s="46" t="str">
        <f>IF(VLOOKUP(CG485,βοηθητικό!$J$2:$N$354,3,FALSE)="","",VLOOKUP(CG485,βοηθητικό!$J$2:$N$354,3,FALSE))</f>
        <v>_</v>
      </c>
      <c r="CI485" s="47"/>
      <c r="CJ485" s="42" t="s">
        <v>16</v>
      </c>
      <c r="CK485" s="43" t="str">
        <f>IF(VLOOKUP(CJ485,βοηθητικό!$J$2:$N$354,3,FALSE)="","",VLOOKUP(CJ485,βοηθητικό!$J$2:$N$354,3,FALSE))</f>
        <v>_</v>
      </c>
      <c r="CL485" s="44"/>
      <c r="CM485" s="45" t="s">
        <v>16</v>
      </c>
      <c r="CN485" s="46" t="str">
        <f>IF(VLOOKUP(CM485,βοηθητικό!$J$2:$N$354,3,FALSE)="","",VLOOKUP(CM485,βοηθητικό!$J$2:$N$354,3,FALSE))</f>
        <v>_</v>
      </c>
      <c r="CO485" s="47"/>
      <c r="CP485" s="42" t="s">
        <v>16</v>
      </c>
      <c r="CQ485" s="43" t="str">
        <f>IF(VLOOKUP(CP485,βοηθητικό!$J$2:$N$354,3,FALSE)="","",VLOOKUP(CP485,βοηθητικό!$J$2:$N$354,3,FALSE))</f>
        <v>_</v>
      </c>
      <c r="CR485" s="44"/>
      <c r="CS485" s="45" t="s">
        <v>16</v>
      </c>
      <c r="CT485" s="46" t="str">
        <f>IF(VLOOKUP(CS485,βοηθητικό!$J$2:$N$354,3,FALSE)="","",VLOOKUP(CS485,βοηθητικό!$J$2:$N$354,3,FALSE))</f>
        <v>_</v>
      </c>
      <c r="CU485" s="47"/>
    </row>
    <row r="486" spans="1:99" x14ac:dyDescent="0.25">
      <c r="A486" s="37">
        <f>--SUBTOTAL(3,$B$3:B485)</f>
        <v>198</v>
      </c>
      <c r="B486" s="2"/>
      <c r="C486" s="3"/>
      <c r="D486" s="55" t="s">
        <v>18</v>
      </c>
      <c r="E486" s="38" t="s">
        <v>16</v>
      </c>
      <c r="F486" s="38"/>
      <c r="G486" s="39" t="str">
        <f t="shared" si="23"/>
        <v>__</v>
      </c>
      <c r="H486" s="40" t="str">
        <f t="shared" si="24"/>
        <v>FALSE</v>
      </c>
      <c r="I486" s="41">
        <f t="shared" si="25"/>
        <v>0</v>
      </c>
      <c r="J486" s="4" t="s">
        <v>16</v>
      </c>
      <c r="K486" s="43" t="str">
        <f>IF(VLOOKUP(J486,βοηθητικό!$J$2:$N$354,3,FALSE)="","",VLOOKUP(J486,βοηθητικό!$J$2:$N$354,3,FALSE))</f>
        <v>_</v>
      </c>
      <c r="L486" s="44"/>
      <c r="M486" s="5" t="s">
        <v>16</v>
      </c>
      <c r="N486" s="46" t="str">
        <f>IF(VLOOKUP(M486,βοηθητικό!$J$2:$N$354,3,FALSE)="","",VLOOKUP(M486,βοηθητικό!$J$2:$N$354,3,FALSE))</f>
        <v>_</v>
      </c>
      <c r="O486" s="47"/>
      <c r="P486" s="4" t="s">
        <v>16</v>
      </c>
      <c r="Q486" s="43" t="str">
        <f>IF(VLOOKUP(P486,βοηθητικό!$J$2:$N$354,3,FALSE)="","",VLOOKUP(P486,βοηθητικό!$J$2:$N$354,3,FALSE))</f>
        <v>_</v>
      </c>
      <c r="R486" s="44"/>
      <c r="S486" s="5" t="s">
        <v>16</v>
      </c>
      <c r="T486" s="46" t="str">
        <f>IF(VLOOKUP(S486,βοηθητικό!$J$2:$N$354,3,FALSE)="","",VLOOKUP(S486,βοηθητικό!$J$2:$N$354,3,FALSE))</f>
        <v>_</v>
      </c>
      <c r="U486" s="47"/>
      <c r="V486" s="4" t="s">
        <v>16</v>
      </c>
      <c r="W486" s="43" t="str">
        <f>IF(VLOOKUP(V486,βοηθητικό!$J$2:$N$354,3,FALSE)="","",VLOOKUP(V486,βοηθητικό!$J$2:$N$354,3,FALSE))</f>
        <v>_</v>
      </c>
      <c r="X486" s="44"/>
      <c r="Y486" s="5" t="s">
        <v>16</v>
      </c>
      <c r="Z486" s="46" t="str">
        <f>IF(VLOOKUP(Y486,βοηθητικό!$J$2:$N$354,3,FALSE)="","",VLOOKUP(Y486,βοηθητικό!$J$2:$N$354,3,FALSE))</f>
        <v>_</v>
      </c>
      <c r="AA486" s="47"/>
      <c r="AB486" s="4" t="s">
        <v>16</v>
      </c>
      <c r="AC486" s="43" t="str">
        <f>IF(VLOOKUP(AB486,βοηθητικό!$J$2:$N$354,3,FALSE)="","",VLOOKUP(AB486,βοηθητικό!$J$2:$N$354,3,FALSE))</f>
        <v>_</v>
      </c>
      <c r="AD486" s="44"/>
      <c r="AE486" s="5" t="s">
        <v>16</v>
      </c>
      <c r="AF486" s="46" t="str">
        <f>IF(VLOOKUP(AE486,βοηθητικό!$J$2:$N$354,3,FALSE)="","",VLOOKUP(AE486,βοηθητικό!$J$2:$N$354,3,FALSE))</f>
        <v>_</v>
      </c>
      <c r="AG486" s="47"/>
      <c r="AH486" s="4" t="s">
        <v>16</v>
      </c>
      <c r="AI486" s="43" t="str">
        <f>IF(VLOOKUP(AH486,βοηθητικό!$J$2:$N$354,3,FALSE)="","",VLOOKUP(AH486,βοηθητικό!$J$2:$N$354,3,FALSE))</f>
        <v>_</v>
      </c>
      <c r="AJ486" s="44"/>
      <c r="AK486" s="5" t="s">
        <v>16</v>
      </c>
      <c r="AL486" s="46" t="str">
        <f>IF(VLOOKUP(AK486,βοηθητικό!$J$2:$N$354,3,FALSE)="","",VLOOKUP(AK486,βοηθητικό!$J$2:$N$354,3,FALSE))</f>
        <v>_</v>
      </c>
      <c r="AM486" s="47"/>
      <c r="AN486" s="4" t="s">
        <v>16</v>
      </c>
      <c r="AO486" s="43" t="str">
        <f>IF(VLOOKUP(AN486,βοηθητικό!$J$2:$N$354,3,FALSE)="","",VLOOKUP(AN486,βοηθητικό!$J$2:$N$354,3,FALSE))</f>
        <v>_</v>
      </c>
      <c r="AP486" s="44"/>
      <c r="AQ486" s="5" t="s">
        <v>16</v>
      </c>
      <c r="AR486" s="46" t="str">
        <f>IF(VLOOKUP(AQ486,βοηθητικό!$J$2:$N$354,3,FALSE)="","",VLOOKUP(AQ486,βοηθητικό!$J$2:$N$354,3,FALSE))</f>
        <v>_</v>
      </c>
      <c r="AS486" s="47"/>
      <c r="AT486" s="4" t="s">
        <v>16</v>
      </c>
      <c r="AU486" s="43" t="str">
        <f>IF(VLOOKUP(AT486,βοηθητικό!$J$2:$N$354,3,FALSE)="","",VLOOKUP(AT486,βοηθητικό!$J$2:$N$354,3,FALSE))</f>
        <v>_</v>
      </c>
      <c r="AV486" s="44"/>
      <c r="AW486" s="5" t="s">
        <v>16</v>
      </c>
      <c r="AX486" s="46" t="str">
        <f>IF(VLOOKUP(AW486,βοηθητικό!$J$2:$N$354,3,FALSE)="","",VLOOKUP(AW486,βοηθητικό!$J$2:$N$354,3,FALSE))</f>
        <v>_</v>
      </c>
      <c r="AY486" s="47"/>
      <c r="AZ486" s="4" t="s">
        <v>16</v>
      </c>
      <c r="BA486" s="43" t="str">
        <f>IF(VLOOKUP(AZ486,βοηθητικό!$J$2:$N$354,3,FALSE)="","",VLOOKUP(AZ486,βοηθητικό!$J$2:$N$354,3,FALSE))</f>
        <v>_</v>
      </c>
      <c r="BB486" s="44"/>
      <c r="BC486" s="45" t="s">
        <v>16</v>
      </c>
      <c r="BD486" s="46" t="str">
        <f>IF(VLOOKUP(BC486,βοηθητικό!$J$2:$N$354,3,FALSE)="","",VLOOKUP(BC486,βοηθητικό!$J$2:$N$354,3,FALSE))</f>
        <v>_</v>
      </c>
      <c r="BE486" s="47"/>
      <c r="BF486" s="42" t="s">
        <v>16</v>
      </c>
      <c r="BG486" s="43" t="str">
        <f>IF(VLOOKUP(BF486,βοηθητικό!$J$2:$N$354,3,FALSE)="","",VLOOKUP(BF486,βοηθητικό!$J$2:$N$354,3,FALSE))</f>
        <v>_</v>
      </c>
      <c r="BH486" s="44"/>
      <c r="BI486" s="45" t="s">
        <v>16</v>
      </c>
      <c r="BJ486" s="46" t="str">
        <f>IF(VLOOKUP(BI486,βοηθητικό!$J$2:$N$354,3,FALSE)="","",VLOOKUP(BI486,βοηθητικό!$J$2:$N$354,3,FALSE))</f>
        <v>_</v>
      </c>
      <c r="BK486" s="47"/>
      <c r="BL486" s="42" t="s">
        <v>16</v>
      </c>
      <c r="BM486" s="43" t="str">
        <f>IF(VLOOKUP(BL486,βοηθητικό!$J$2:$N$354,3,FALSE)="","",VLOOKUP(BL486,βοηθητικό!$J$2:$N$354,3,FALSE))</f>
        <v>_</v>
      </c>
      <c r="BN486" s="44"/>
      <c r="BO486" s="45" t="s">
        <v>16</v>
      </c>
      <c r="BP486" s="46" t="str">
        <f>IF(VLOOKUP(BO486,βοηθητικό!$J$2:$N$354,3,FALSE)="","",VLOOKUP(BO486,βοηθητικό!$J$2:$N$354,3,FALSE))</f>
        <v>_</v>
      </c>
      <c r="BQ486" s="47"/>
      <c r="BR486" s="42" t="s">
        <v>16</v>
      </c>
      <c r="BS486" s="43" t="str">
        <f>IF(VLOOKUP(BR486,βοηθητικό!$J$2:$N$354,3,FALSE)="","",VLOOKUP(BR486,βοηθητικό!$J$2:$N$354,3,FALSE))</f>
        <v>_</v>
      </c>
      <c r="BT486" s="44"/>
      <c r="BU486" s="45" t="s">
        <v>16</v>
      </c>
      <c r="BV486" s="46" t="str">
        <f>IF(VLOOKUP(BU486,βοηθητικό!$J$2:$N$354,3,FALSE)="","",VLOOKUP(BU486,βοηθητικό!$J$2:$N$354,3,FALSE))</f>
        <v>_</v>
      </c>
      <c r="BW486" s="47"/>
      <c r="BX486" s="42" t="s">
        <v>16</v>
      </c>
      <c r="BY486" s="43" t="str">
        <f>IF(VLOOKUP(BX486,βοηθητικό!$J$2:$N$354,3,FALSE)="","",VLOOKUP(BX486,βοηθητικό!$J$2:$N$354,3,FALSE))</f>
        <v>_</v>
      </c>
      <c r="BZ486" s="44"/>
      <c r="CA486" s="45" t="s">
        <v>16</v>
      </c>
      <c r="CB486" s="46" t="str">
        <f>IF(VLOOKUP(CA486,βοηθητικό!$J$2:$N$354,3,FALSE)="","",VLOOKUP(CA486,βοηθητικό!$J$2:$N$354,3,FALSE))</f>
        <v>_</v>
      </c>
      <c r="CC486" s="47"/>
      <c r="CD486" s="42" t="s">
        <v>16</v>
      </c>
      <c r="CE486" s="43" t="str">
        <f>IF(VLOOKUP(CD486,βοηθητικό!$J$2:$N$354,3,FALSE)="","",VLOOKUP(CD486,βοηθητικό!$J$2:$N$354,3,FALSE))</f>
        <v>_</v>
      </c>
      <c r="CF486" s="44"/>
      <c r="CG486" s="45" t="s">
        <v>16</v>
      </c>
      <c r="CH486" s="46" t="str">
        <f>IF(VLOOKUP(CG486,βοηθητικό!$J$2:$N$354,3,FALSE)="","",VLOOKUP(CG486,βοηθητικό!$J$2:$N$354,3,FALSE))</f>
        <v>_</v>
      </c>
      <c r="CI486" s="47"/>
      <c r="CJ486" s="42" t="s">
        <v>16</v>
      </c>
      <c r="CK486" s="43" t="str">
        <f>IF(VLOOKUP(CJ486,βοηθητικό!$J$2:$N$354,3,FALSE)="","",VLOOKUP(CJ486,βοηθητικό!$J$2:$N$354,3,FALSE))</f>
        <v>_</v>
      </c>
      <c r="CL486" s="44"/>
      <c r="CM486" s="45" t="s">
        <v>16</v>
      </c>
      <c r="CN486" s="46" t="str">
        <f>IF(VLOOKUP(CM486,βοηθητικό!$J$2:$N$354,3,FALSE)="","",VLOOKUP(CM486,βοηθητικό!$J$2:$N$354,3,FALSE))</f>
        <v>_</v>
      </c>
      <c r="CO486" s="47"/>
      <c r="CP486" s="42" t="s">
        <v>16</v>
      </c>
      <c r="CQ486" s="43" t="str">
        <f>IF(VLOOKUP(CP486,βοηθητικό!$J$2:$N$354,3,FALSE)="","",VLOOKUP(CP486,βοηθητικό!$J$2:$N$354,3,FALSE))</f>
        <v>_</v>
      </c>
      <c r="CR486" s="44"/>
      <c r="CS486" s="45" t="s">
        <v>16</v>
      </c>
      <c r="CT486" s="46" t="str">
        <f>IF(VLOOKUP(CS486,βοηθητικό!$J$2:$N$354,3,FALSE)="","",VLOOKUP(CS486,βοηθητικό!$J$2:$N$354,3,FALSE))</f>
        <v>_</v>
      </c>
      <c r="CU486" s="47"/>
    </row>
    <row r="487" spans="1:99" x14ac:dyDescent="0.25">
      <c r="A487" s="37">
        <f>--SUBTOTAL(3,$B$3:B486)</f>
        <v>198</v>
      </c>
      <c r="B487" s="2"/>
      <c r="C487" s="3"/>
      <c r="D487" s="55" t="s">
        <v>18</v>
      </c>
      <c r="E487" s="38" t="s">
        <v>16</v>
      </c>
      <c r="F487" s="38"/>
      <c r="G487" s="39" t="str">
        <f t="shared" si="23"/>
        <v>__</v>
      </c>
      <c r="H487" s="40" t="str">
        <f t="shared" si="24"/>
        <v>FALSE</v>
      </c>
      <c r="I487" s="41">
        <f t="shared" si="25"/>
        <v>0</v>
      </c>
      <c r="J487" s="4" t="s">
        <v>16</v>
      </c>
      <c r="K487" s="43" t="str">
        <f>IF(VLOOKUP(J487,βοηθητικό!$J$2:$N$354,3,FALSE)="","",VLOOKUP(J487,βοηθητικό!$J$2:$N$354,3,FALSE))</f>
        <v>_</v>
      </c>
      <c r="L487" s="44"/>
      <c r="M487" s="5" t="s">
        <v>16</v>
      </c>
      <c r="N487" s="46" t="str">
        <f>IF(VLOOKUP(M487,βοηθητικό!$J$2:$N$354,3,FALSE)="","",VLOOKUP(M487,βοηθητικό!$J$2:$N$354,3,FALSE))</f>
        <v>_</v>
      </c>
      <c r="O487" s="47"/>
      <c r="P487" s="4" t="s">
        <v>16</v>
      </c>
      <c r="Q487" s="43" t="str">
        <f>IF(VLOOKUP(P487,βοηθητικό!$J$2:$N$354,3,FALSE)="","",VLOOKUP(P487,βοηθητικό!$J$2:$N$354,3,FALSE))</f>
        <v>_</v>
      </c>
      <c r="R487" s="44"/>
      <c r="S487" s="5" t="s">
        <v>16</v>
      </c>
      <c r="T487" s="46" t="str">
        <f>IF(VLOOKUP(S487,βοηθητικό!$J$2:$N$354,3,FALSE)="","",VLOOKUP(S487,βοηθητικό!$J$2:$N$354,3,FALSE))</f>
        <v>_</v>
      </c>
      <c r="U487" s="47"/>
      <c r="V487" s="4" t="s">
        <v>16</v>
      </c>
      <c r="W487" s="43" t="str">
        <f>IF(VLOOKUP(V487,βοηθητικό!$J$2:$N$354,3,FALSE)="","",VLOOKUP(V487,βοηθητικό!$J$2:$N$354,3,FALSE))</f>
        <v>_</v>
      </c>
      <c r="X487" s="44"/>
      <c r="Y487" s="5" t="s">
        <v>16</v>
      </c>
      <c r="Z487" s="46" t="str">
        <f>IF(VLOOKUP(Y487,βοηθητικό!$J$2:$N$354,3,FALSE)="","",VLOOKUP(Y487,βοηθητικό!$J$2:$N$354,3,FALSE))</f>
        <v>_</v>
      </c>
      <c r="AA487" s="47"/>
      <c r="AB487" s="4" t="s">
        <v>16</v>
      </c>
      <c r="AC487" s="43" t="str">
        <f>IF(VLOOKUP(AB487,βοηθητικό!$J$2:$N$354,3,FALSE)="","",VLOOKUP(AB487,βοηθητικό!$J$2:$N$354,3,FALSE))</f>
        <v>_</v>
      </c>
      <c r="AD487" s="44"/>
      <c r="AE487" s="5" t="s">
        <v>16</v>
      </c>
      <c r="AF487" s="46" t="str">
        <f>IF(VLOOKUP(AE487,βοηθητικό!$J$2:$N$354,3,FALSE)="","",VLOOKUP(AE487,βοηθητικό!$J$2:$N$354,3,FALSE))</f>
        <v>_</v>
      </c>
      <c r="AG487" s="47"/>
      <c r="AH487" s="4" t="s">
        <v>16</v>
      </c>
      <c r="AI487" s="43" t="str">
        <f>IF(VLOOKUP(AH487,βοηθητικό!$J$2:$N$354,3,FALSE)="","",VLOOKUP(AH487,βοηθητικό!$J$2:$N$354,3,FALSE))</f>
        <v>_</v>
      </c>
      <c r="AJ487" s="44"/>
      <c r="AK487" s="5" t="s">
        <v>16</v>
      </c>
      <c r="AL487" s="46" t="str">
        <f>IF(VLOOKUP(AK487,βοηθητικό!$J$2:$N$354,3,FALSE)="","",VLOOKUP(AK487,βοηθητικό!$J$2:$N$354,3,FALSE))</f>
        <v>_</v>
      </c>
      <c r="AM487" s="47"/>
      <c r="AN487" s="4" t="s">
        <v>16</v>
      </c>
      <c r="AO487" s="43" t="str">
        <f>IF(VLOOKUP(AN487,βοηθητικό!$J$2:$N$354,3,FALSE)="","",VLOOKUP(AN487,βοηθητικό!$J$2:$N$354,3,FALSE))</f>
        <v>_</v>
      </c>
      <c r="AP487" s="44"/>
      <c r="AQ487" s="5" t="s">
        <v>16</v>
      </c>
      <c r="AR487" s="46" t="str">
        <f>IF(VLOOKUP(AQ487,βοηθητικό!$J$2:$N$354,3,FALSE)="","",VLOOKUP(AQ487,βοηθητικό!$J$2:$N$354,3,FALSE))</f>
        <v>_</v>
      </c>
      <c r="AS487" s="47"/>
      <c r="AT487" s="4" t="s">
        <v>16</v>
      </c>
      <c r="AU487" s="43" t="str">
        <f>IF(VLOOKUP(AT487,βοηθητικό!$J$2:$N$354,3,FALSE)="","",VLOOKUP(AT487,βοηθητικό!$J$2:$N$354,3,FALSE))</f>
        <v>_</v>
      </c>
      <c r="AV487" s="44"/>
      <c r="AW487" s="5" t="s">
        <v>16</v>
      </c>
      <c r="AX487" s="46" t="str">
        <f>IF(VLOOKUP(AW487,βοηθητικό!$J$2:$N$354,3,FALSE)="","",VLOOKUP(AW487,βοηθητικό!$J$2:$N$354,3,FALSE))</f>
        <v>_</v>
      </c>
      <c r="AY487" s="47"/>
      <c r="AZ487" s="4" t="s">
        <v>16</v>
      </c>
      <c r="BA487" s="43" t="str">
        <f>IF(VLOOKUP(AZ487,βοηθητικό!$J$2:$N$354,3,FALSE)="","",VLOOKUP(AZ487,βοηθητικό!$J$2:$N$354,3,FALSE))</f>
        <v>_</v>
      </c>
      <c r="BB487" s="44"/>
      <c r="BC487" s="45" t="s">
        <v>16</v>
      </c>
      <c r="BD487" s="46" t="str">
        <f>IF(VLOOKUP(BC487,βοηθητικό!$J$2:$N$354,3,FALSE)="","",VLOOKUP(BC487,βοηθητικό!$J$2:$N$354,3,FALSE))</f>
        <v>_</v>
      </c>
      <c r="BE487" s="47"/>
      <c r="BF487" s="42" t="s">
        <v>16</v>
      </c>
      <c r="BG487" s="43" t="str">
        <f>IF(VLOOKUP(BF487,βοηθητικό!$J$2:$N$354,3,FALSE)="","",VLOOKUP(BF487,βοηθητικό!$J$2:$N$354,3,FALSE))</f>
        <v>_</v>
      </c>
      <c r="BH487" s="44"/>
      <c r="BI487" s="45" t="s">
        <v>16</v>
      </c>
      <c r="BJ487" s="46" t="str">
        <f>IF(VLOOKUP(BI487,βοηθητικό!$J$2:$N$354,3,FALSE)="","",VLOOKUP(BI487,βοηθητικό!$J$2:$N$354,3,FALSE))</f>
        <v>_</v>
      </c>
      <c r="BK487" s="47"/>
      <c r="BL487" s="42" t="s">
        <v>16</v>
      </c>
      <c r="BM487" s="43" t="str">
        <f>IF(VLOOKUP(BL487,βοηθητικό!$J$2:$N$354,3,FALSE)="","",VLOOKUP(BL487,βοηθητικό!$J$2:$N$354,3,FALSE))</f>
        <v>_</v>
      </c>
      <c r="BN487" s="44"/>
      <c r="BO487" s="45" t="s">
        <v>16</v>
      </c>
      <c r="BP487" s="46" t="str">
        <f>IF(VLOOKUP(BO487,βοηθητικό!$J$2:$N$354,3,FALSE)="","",VLOOKUP(BO487,βοηθητικό!$J$2:$N$354,3,FALSE))</f>
        <v>_</v>
      </c>
      <c r="BQ487" s="47"/>
      <c r="BR487" s="42" t="s">
        <v>16</v>
      </c>
      <c r="BS487" s="43" t="str">
        <f>IF(VLOOKUP(BR487,βοηθητικό!$J$2:$N$354,3,FALSE)="","",VLOOKUP(BR487,βοηθητικό!$J$2:$N$354,3,FALSE))</f>
        <v>_</v>
      </c>
      <c r="BT487" s="44"/>
      <c r="BU487" s="45" t="s">
        <v>16</v>
      </c>
      <c r="BV487" s="46" t="str">
        <f>IF(VLOOKUP(BU487,βοηθητικό!$J$2:$N$354,3,FALSE)="","",VLOOKUP(BU487,βοηθητικό!$J$2:$N$354,3,FALSE))</f>
        <v>_</v>
      </c>
      <c r="BW487" s="47"/>
      <c r="BX487" s="42" t="s">
        <v>16</v>
      </c>
      <c r="BY487" s="43" t="str">
        <f>IF(VLOOKUP(BX487,βοηθητικό!$J$2:$N$354,3,FALSE)="","",VLOOKUP(BX487,βοηθητικό!$J$2:$N$354,3,FALSE))</f>
        <v>_</v>
      </c>
      <c r="BZ487" s="44"/>
      <c r="CA487" s="45" t="s">
        <v>16</v>
      </c>
      <c r="CB487" s="46" t="str">
        <f>IF(VLOOKUP(CA487,βοηθητικό!$J$2:$N$354,3,FALSE)="","",VLOOKUP(CA487,βοηθητικό!$J$2:$N$354,3,FALSE))</f>
        <v>_</v>
      </c>
      <c r="CC487" s="47"/>
      <c r="CD487" s="42" t="s">
        <v>16</v>
      </c>
      <c r="CE487" s="43" t="str">
        <f>IF(VLOOKUP(CD487,βοηθητικό!$J$2:$N$354,3,FALSE)="","",VLOOKUP(CD487,βοηθητικό!$J$2:$N$354,3,FALSE))</f>
        <v>_</v>
      </c>
      <c r="CF487" s="44"/>
      <c r="CG487" s="45" t="s">
        <v>16</v>
      </c>
      <c r="CH487" s="46" t="str">
        <f>IF(VLOOKUP(CG487,βοηθητικό!$J$2:$N$354,3,FALSE)="","",VLOOKUP(CG487,βοηθητικό!$J$2:$N$354,3,FALSE))</f>
        <v>_</v>
      </c>
      <c r="CI487" s="47"/>
      <c r="CJ487" s="42" t="s">
        <v>16</v>
      </c>
      <c r="CK487" s="43" t="str">
        <f>IF(VLOOKUP(CJ487,βοηθητικό!$J$2:$N$354,3,FALSE)="","",VLOOKUP(CJ487,βοηθητικό!$J$2:$N$354,3,FALSE))</f>
        <v>_</v>
      </c>
      <c r="CL487" s="44"/>
      <c r="CM487" s="45" t="s">
        <v>16</v>
      </c>
      <c r="CN487" s="46" t="str">
        <f>IF(VLOOKUP(CM487,βοηθητικό!$J$2:$N$354,3,FALSE)="","",VLOOKUP(CM487,βοηθητικό!$J$2:$N$354,3,FALSE))</f>
        <v>_</v>
      </c>
      <c r="CO487" s="47"/>
      <c r="CP487" s="42" t="s">
        <v>16</v>
      </c>
      <c r="CQ487" s="43" t="str">
        <f>IF(VLOOKUP(CP487,βοηθητικό!$J$2:$N$354,3,FALSE)="","",VLOOKUP(CP487,βοηθητικό!$J$2:$N$354,3,FALSE))</f>
        <v>_</v>
      </c>
      <c r="CR487" s="44"/>
      <c r="CS487" s="45" t="s">
        <v>16</v>
      </c>
      <c r="CT487" s="46" t="str">
        <f>IF(VLOOKUP(CS487,βοηθητικό!$J$2:$N$354,3,FALSE)="","",VLOOKUP(CS487,βοηθητικό!$J$2:$N$354,3,FALSE))</f>
        <v>_</v>
      </c>
      <c r="CU487" s="47"/>
    </row>
    <row r="488" spans="1:99" x14ac:dyDescent="0.25">
      <c r="A488" s="37">
        <f>--SUBTOTAL(3,$B$3:B487)</f>
        <v>198</v>
      </c>
      <c r="B488" s="2"/>
      <c r="C488" s="3"/>
      <c r="D488" s="55" t="s">
        <v>18</v>
      </c>
      <c r="E488" s="38" t="s">
        <v>16</v>
      </c>
      <c r="F488" s="38"/>
      <c r="G488" s="39" t="str">
        <f t="shared" si="23"/>
        <v>__</v>
      </c>
      <c r="H488" s="40" t="str">
        <f t="shared" si="24"/>
        <v>FALSE</v>
      </c>
      <c r="I488" s="41">
        <f t="shared" si="25"/>
        <v>0</v>
      </c>
      <c r="J488" s="4" t="s">
        <v>16</v>
      </c>
      <c r="K488" s="43" t="str">
        <f>IF(VLOOKUP(J488,βοηθητικό!$J$2:$N$354,3,FALSE)="","",VLOOKUP(J488,βοηθητικό!$J$2:$N$354,3,FALSE))</f>
        <v>_</v>
      </c>
      <c r="L488" s="44"/>
      <c r="M488" s="5" t="s">
        <v>16</v>
      </c>
      <c r="N488" s="46" t="str">
        <f>IF(VLOOKUP(M488,βοηθητικό!$J$2:$N$354,3,FALSE)="","",VLOOKUP(M488,βοηθητικό!$J$2:$N$354,3,FALSE))</f>
        <v>_</v>
      </c>
      <c r="O488" s="47"/>
      <c r="P488" s="4" t="s">
        <v>16</v>
      </c>
      <c r="Q488" s="43" t="str">
        <f>IF(VLOOKUP(P488,βοηθητικό!$J$2:$N$354,3,FALSE)="","",VLOOKUP(P488,βοηθητικό!$J$2:$N$354,3,FALSE))</f>
        <v>_</v>
      </c>
      <c r="R488" s="44"/>
      <c r="S488" s="5" t="s">
        <v>16</v>
      </c>
      <c r="T488" s="46" t="str">
        <f>IF(VLOOKUP(S488,βοηθητικό!$J$2:$N$354,3,FALSE)="","",VLOOKUP(S488,βοηθητικό!$J$2:$N$354,3,FALSE))</f>
        <v>_</v>
      </c>
      <c r="U488" s="47"/>
      <c r="V488" s="4" t="s">
        <v>16</v>
      </c>
      <c r="W488" s="43" t="str">
        <f>IF(VLOOKUP(V488,βοηθητικό!$J$2:$N$354,3,FALSE)="","",VLOOKUP(V488,βοηθητικό!$J$2:$N$354,3,FALSE))</f>
        <v>_</v>
      </c>
      <c r="X488" s="44"/>
      <c r="Y488" s="5" t="s">
        <v>16</v>
      </c>
      <c r="Z488" s="46" t="str">
        <f>IF(VLOOKUP(Y488,βοηθητικό!$J$2:$N$354,3,FALSE)="","",VLOOKUP(Y488,βοηθητικό!$J$2:$N$354,3,FALSE))</f>
        <v>_</v>
      </c>
      <c r="AA488" s="47"/>
      <c r="AB488" s="4" t="s">
        <v>16</v>
      </c>
      <c r="AC488" s="43" t="str">
        <f>IF(VLOOKUP(AB488,βοηθητικό!$J$2:$N$354,3,FALSE)="","",VLOOKUP(AB488,βοηθητικό!$J$2:$N$354,3,FALSE))</f>
        <v>_</v>
      </c>
      <c r="AD488" s="44"/>
      <c r="AE488" s="5" t="s">
        <v>16</v>
      </c>
      <c r="AF488" s="46" t="str">
        <f>IF(VLOOKUP(AE488,βοηθητικό!$J$2:$N$354,3,FALSE)="","",VLOOKUP(AE488,βοηθητικό!$J$2:$N$354,3,FALSE))</f>
        <v>_</v>
      </c>
      <c r="AG488" s="47"/>
      <c r="AH488" s="4" t="s">
        <v>16</v>
      </c>
      <c r="AI488" s="43" t="str">
        <f>IF(VLOOKUP(AH488,βοηθητικό!$J$2:$N$354,3,FALSE)="","",VLOOKUP(AH488,βοηθητικό!$J$2:$N$354,3,FALSE))</f>
        <v>_</v>
      </c>
      <c r="AJ488" s="44"/>
      <c r="AK488" s="5" t="s">
        <v>16</v>
      </c>
      <c r="AL488" s="46" t="str">
        <f>IF(VLOOKUP(AK488,βοηθητικό!$J$2:$N$354,3,FALSE)="","",VLOOKUP(AK488,βοηθητικό!$J$2:$N$354,3,FALSE))</f>
        <v>_</v>
      </c>
      <c r="AM488" s="47"/>
      <c r="AN488" s="4" t="s">
        <v>16</v>
      </c>
      <c r="AO488" s="43" t="str">
        <f>IF(VLOOKUP(AN488,βοηθητικό!$J$2:$N$354,3,FALSE)="","",VLOOKUP(AN488,βοηθητικό!$J$2:$N$354,3,FALSE))</f>
        <v>_</v>
      </c>
      <c r="AP488" s="44"/>
      <c r="AQ488" s="5" t="s">
        <v>16</v>
      </c>
      <c r="AR488" s="46" t="str">
        <f>IF(VLOOKUP(AQ488,βοηθητικό!$J$2:$N$354,3,FALSE)="","",VLOOKUP(AQ488,βοηθητικό!$J$2:$N$354,3,FALSE))</f>
        <v>_</v>
      </c>
      <c r="AS488" s="47"/>
      <c r="AT488" s="4" t="s">
        <v>16</v>
      </c>
      <c r="AU488" s="43" t="str">
        <f>IF(VLOOKUP(AT488,βοηθητικό!$J$2:$N$354,3,FALSE)="","",VLOOKUP(AT488,βοηθητικό!$J$2:$N$354,3,FALSE))</f>
        <v>_</v>
      </c>
      <c r="AV488" s="44"/>
      <c r="AW488" s="5" t="s">
        <v>16</v>
      </c>
      <c r="AX488" s="46" t="str">
        <f>IF(VLOOKUP(AW488,βοηθητικό!$J$2:$N$354,3,FALSE)="","",VLOOKUP(AW488,βοηθητικό!$J$2:$N$354,3,FALSE))</f>
        <v>_</v>
      </c>
      <c r="AY488" s="47"/>
      <c r="AZ488" s="4" t="s">
        <v>16</v>
      </c>
      <c r="BA488" s="43" t="str">
        <f>IF(VLOOKUP(AZ488,βοηθητικό!$J$2:$N$354,3,FALSE)="","",VLOOKUP(AZ488,βοηθητικό!$J$2:$N$354,3,FALSE))</f>
        <v>_</v>
      </c>
      <c r="BB488" s="44"/>
      <c r="BC488" s="45" t="s">
        <v>16</v>
      </c>
      <c r="BD488" s="46" t="str">
        <f>IF(VLOOKUP(BC488,βοηθητικό!$J$2:$N$354,3,FALSE)="","",VLOOKUP(BC488,βοηθητικό!$J$2:$N$354,3,FALSE))</f>
        <v>_</v>
      </c>
      <c r="BE488" s="47"/>
      <c r="BF488" s="42" t="s">
        <v>16</v>
      </c>
      <c r="BG488" s="43" t="str">
        <f>IF(VLOOKUP(BF488,βοηθητικό!$J$2:$N$354,3,FALSE)="","",VLOOKUP(BF488,βοηθητικό!$J$2:$N$354,3,FALSE))</f>
        <v>_</v>
      </c>
      <c r="BH488" s="44"/>
      <c r="BI488" s="45" t="s">
        <v>16</v>
      </c>
      <c r="BJ488" s="46" t="str">
        <f>IF(VLOOKUP(BI488,βοηθητικό!$J$2:$N$354,3,FALSE)="","",VLOOKUP(BI488,βοηθητικό!$J$2:$N$354,3,FALSE))</f>
        <v>_</v>
      </c>
      <c r="BK488" s="47"/>
      <c r="BL488" s="42" t="s">
        <v>16</v>
      </c>
      <c r="BM488" s="43" t="str">
        <f>IF(VLOOKUP(BL488,βοηθητικό!$J$2:$N$354,3,FALSE)="","",VLOOKUP(BL488,βοηθητικό!$J$2:$N$354,3,FALSE))</f>
        <v>_</v>
      </c>
      <c r="BN488" s="44"/>
      <c r="BO488" s="45" t="s">
        <v>16</v>
      </c>
      <c r="BP488" s="46" t="str">
        <f>IF(VLOOKUP(BO488,βοηθητικό!$J$2:$N$354,3,FALSE)="","",VLOOKUP(BO488,βοηθητικό!$J$2:$N$354,3,FALSE))</f>
        <v>_</v>
      </c>
      <c r="BQ488" s="47"/>
      <c r="BR488" s="42" t="s">
        <v>16</v>
      </c>
      <c r="BS488" s="43" t="str">
        <f>IF(VLOOKUP(BR488,βοηθητικό!$J$2:$N$354,3,FALSE)="","",VLOOKUP(BR488,βοηθητικό!$J$2:$N$354,3,FALSE))</f>
        <v>_</v>
      </c>
      <c r="BT488" s="44"/>
      <c r="BU488" s="45" t="s">
        <v>16</v>
      </c>
      <c r="BV488" s="46" t="str">
        <f>IF(VLOOKUP(BU488,βοηθητικό!$J$2:$N$354,3,FALSE)="","",VLOOKUP(BU488,βοηθητικό!$J$2:$N$354,3,FALSE))</f>
        <v>_</v>
      </c>
      <c r="BW488" s="47"/>
      <c r="BX488" s="42" t="s">
        <v>16</v>
      </c>
      <c r="BY488" s="43" t="str">
        <f>IF(VLOOKUP(BX488,βοηθητικό!$J$2:$N$354,3,FALSE)="","",VLOOKUP(BX488,βοηθητικό!$J$2:$N$354,3,FALSE))</f>
        <v>_</v>
      </c>
      <c r="BZ488" s="44"/>
      <c r="CA488" s="45" t="s">
        <v>16</v>
      </c>
      <c r="CB488" s="46" t="str">
        <f>IF(VLOOKUP(CA488,βοηθητικό!$J$2:$N$354,3,FALSE)="","",VLOOKUP(CA488,βοηθητικό!$J$2:$N$354,3,FALSE))</f>
        <v>_</v>
      </c>
      <c r="CC488" s="47"/>
      <c r="CD488" s="42" t="s">
        <v>16</v>
      </c>
      <c r="CE488" s="43" t="str">
        <f>IF(VLOOKUP(CD488,βοηθητικό!$J$2:$N$354,3,FALSE)="","",VLOOKUP(CD488,βοηθητικό!$J$2:$N$354,3,FALSE))</f>
        <v>_</v>
      </c>
      <c r="CF488" s="44"/>
      <c r="CG488" s="45" t="s">
        <v>16</v>
      </c>
      <c r="CH488" s="46" t="str">
        <f>IF(VLOOKUP(CG488,βοηθητικό!$J$2:$N$354,3,FALSE)="","",VLOOKUP(CG488,βοηθητικό!$J$2:$N$354,3,FALSE))</f>
        <v>_</v>
      </c>
      <c r="CI488" s="47"/>
      <c r="CJ488" s="42" t="s">
        <v>16</v>
      </c>
      <c r="CK488" s="43" t="str">
        <f>IF(VLOOKUP(CJ488,βοηθητικό!$J$2:$N$354,3,FALSE)="","",VLOOKUP(CJ488,βοηθητικό!$J$2:$N$354,3,FALSE))</f>
        <v>_</v>
      </c>
      <c r="CL488" s="44"/>
      <c r="CM488" s="45" t="s">
        <v>16</v>
      </c>
      <c r="CN488" s="46" t="str">
        <f>IF(VLOOKUP(CM488,βοηθητικό!$J$2:$N$354,3,FALSE)="","",VLOOKUP(CM488,βοηθητικό!$J$2:$N$354,3,FALSE))</f>
        <v>_</v>
      </c>
      <c r="CO488" s="47"/>
      <c r="CP488" s="42" t="s">
        <v>16</v>
      </c>
      <c r="CQ488" s="43" t="str">
        <f>IF(VLOOKUP(CP488,βοηθητικό!$J$2:$N$354,3,FALSE)="","",VLOOKUP(CP488,βοηθητικό!$J$2:$N$354,3,FALSE))</f>
        <v>_</v>
      </c>
      <c r="CR488" s="44"/>
      <c r="CS488" s="45" t="s">
        <v>16</v>
      </c>
      <c r="CT488" s="46" t="str">
        <f>IF(VLOOKUP(CS488,βοηθητικό!$J$2:$N$354,3,FALSE)="","",VLOOKUP(CS488,βοηθητικό!$J$2:$N$354,3,FALSE))</f>
        <v>_</v>
      </c>
      <c r="CU488" s="47"/>
    </row>
    <row r="489" spans="1:99" x14ac:dyDescent="0.25">
      <c r="A489" s="37">
        <f>--SUBTOTAL(3,$B$3:B488)</f>
        <v>198</v>
      </c>
      <c r="B489" s="2"/>
      <c r="C489" s="3"/>
      <c r="D489" s="55" t="s">
        <v>18</v>
      </c>
      <c r="E489" s="38" t="s">
        <v>16</v>
      </c>
      <c r="F489" s="38"/>
      <c r="G489" s="39" t="str">
        <f t="shared" si="23"/>
        <v>__</v>
      </c>
      <c r="H489" s="40" t="str">
        <f t="shared" si="24"/>
        <v>FALSE</v>
      </c>
      <c r="I489" s="41">
        <f t="shared" si="25"/>
        <v>0</v>
      </c>
      <c r="J489" s="4" t="s">
        <v>16</v>
      </c>
      <c r="K489" s="43" t="str">
        <f>IF(VLOOKUP(J489,βοηθητικό!$J$2:$N$354,3,FALSE)="","",VLOOKUP(J489,βοηθητικό!$J$2:$N$354,3,FALSE))</f>
        <v>_</v>
      </c>
      <c r="L489" s="44"/>
      <c r="M489" s="5" t="s">
        <v>16</v>
      </c>
      <c r="N489" s="46" t="str">
        <f>IF(VLOOKUP(M489,βοηθητικό!$J$2:$N$354,3,FALSE)="","",VLOOKUP(M489,βοηθητικό!$J$2:$N$354,3,FALSE))</f>
        <v>_</v>
      </c>
      <c r="O489" s="47"/>
      <c r="P489" s="4" t="s">
        <v>16</v>
      </c>
      <c r="Q489" s="43" t="str">
        <f>IF(VLOOKUP(P489,βοηθητικό!$J$2:$N$354,3,FALSE)="","",VLOOKUP(P489,βοηθητικό!$J$2:$N$354,3,FALSE))</f>
        <v>_</v>
      </c>
      <c r="R489" s="44"/>
      <c r="S489" s="5" t="s">
        <v>16</v>
      </c>
      <c r="T489" s="46" t="str">
        <f>IF(VLOOKUP(S489,βοηθητικό!$J$2:$N$354,3,FALSE)="","",VLOOKUP(S489,βοηθητικό!$J$2:$N$354,3,FALSE))</f>
        <v>_</v>
      </c>
      <c r="U489" s="47"/>
      <c r="V489" s="4" t="s">
        <v>16</v>
      </c>
      <c r="W489" s="43" t="str">
        <f>IF(VLOOKUP(V489,βοηθητικό!$J$2:$N$354,3,FALSE)="","",VLOOKUP(V489,βοηθητικό!$J$2:$N$354,3,FALSE))</f>
        <v>_</v>
      </c>
      <c r="X489" s="44"/>
      <c r="Y489" s="5" t="s">
        <v>16</v>
      </c>
      <c r="Z489" s="46" t="str">
        <f>IF(VLOOKUP(Y489,βοηθητικό!$J$2:$N$354,3,FALSE)="","",VLOOKUP(Y489,βοηθητικό!$J$2:$N$354,3,FALSE))</f>
        <v>_</v>
      </c>
      <c r="AA489" s="47"/>
      <c r="AB489" s="4" t="s">
        <v>16</v>
      </c>
      <c r="AC489" s="43" t="str">
        <f>IF(VLOOKUP(AB489,βοηθητικό!$J$2:$N$354,3,FALSE)="","",VLOOKUP(AB489,βοηθητικό!$J$2:$N$354,3,FALSE))</f>
        <v>_</v>
      </c>
      <c r="AD489" s="44"/>
      <c r="AE489" s="5" t="s">
        <v>16</v>
      </c>
      <c r="AF489" s="46" t="str">
        <f>IF(VLOOKUP(AE489,βοηθητικό!$J$2:$N$354,3,FALSE)="","",VLOOKUP(AE489,βοηθητικό!$J$2:$N$354,3,FALSE))</f>
        <v>_</v>
      </c>
      <c r="AG489" s="47"/>
      <c r="AH489" s="4" t="s">
        <v>16</v>
      </c>
      <c r="AI489" s="43" t="str">
        <f>IF(VLOOKUP(AH489,βοηθητικό!$J$2:$N$354,3,FALSE)="","",VLOOKUP(AH489,βοηθητικό!$J$2:$N$354,3,FALSE))</f>
        <v>_</v>
      </c>
      <c r="AJ489" s="44"/>
      <c r="AK489" s="5" t="s">
        <v>16</v>
      </c>
      <c r="AL489" s="46" t="str">
        <f>IF(VLOOKUP(AK489,βοηθητικό!$J$2:$N$354,3,FALSE)="","",VLOOKUP(AK489,βοηθητικό!$J$2:$N$354,3,FALSE))</f>
        <v>_</v>
      </c>
      <c r="AM489" s="47"/>
      <c r="AN489" s="4" t="s">
        <v>16</v>
      </c>
      <c r="AO489" s="43" t="str">
        <f>IF(VLOOKUP(AN489,βοηθητικό!$J$2:$N$354,3,FALSE)="","",VLOOKUP(AN489,βοηθητικό!$J$2:$N$354,3,FALSE))</f>
        <v>_</v>
      </c>
      <c r="AP489" s="44"/>
      <c r="AQ489" s="5" t="s">
        <v>16</v>
      </c>
      <c r="AR489" s="46" t="str">
        <f>IF(VLOOKUP(AQ489,βοηθητικό!$J$2:$N$354,3,FALSE)="","",VLOOKUP(AQ489,βοηθητικό!$J$2:$N$354,3,FALSE))</f>
        <v>_</v>
      </c>
      <c r="AS489" s="47"/>
      <c r="AT489" s="4" t="s">
        <v>16</v>
      </c>
      <c r="AU489" s="43" t="str">
        <f>IF(VLOOKUP(AT489,βοηθητικό!$J$2:$N$354,3,FALSE)="","",VLOOKUP(AT489,βοηθητικό!$J$2:$N$354,3,FALSE))</f>
        <v>_</v>
      </c>
      <c r="AV489" s="44"/>
      <c r="AW489" s="5" t="s">
        <v>16</v>
      </c>
      <c r="AX489" s="46" t="str">
        <f>IF(VLOOKUP(AW489,βοηθητικό!$J$2:$N$354,3,FALSE)="","",VLOOKUP(AW489,βοηθητικό!$J$2:$N$354,3,FALSE))</f>
        <v>_</v>
      </c>
      <c r="AY489" s="47"/>
      <c r="AZ489" s="4" t="s">
        <v>16</v>
      </c>
      <c r="BA489" s="43" t="str">
        <f>IF(VLOOKUP(AZ489,βοηθητικό!$J$2:$N$354,3,FALSE)="","",VLOOKUP(AZ489,βοηθητικό!$J$2:$N$354,3,FALSE))</f>
        <v>_</v>
      </c>
      <c r="BB489" s="44"/>
      <c r="BC489" s="45" t="s">
        <v>16</v>
      </c>
      <c r="BD489" s="46" t="str">
        <f>IF(VLOOKUP(BC489,βοηθητικό!$J$2:$N$354,3,FALSE)="","",VLOOKUP(BC489,βοηθητικό!$J$2:$N$354,3,FALSE))</f>
        <v>_</v>
      </c>
      <c r="BE489" s="47"/>
      <c r="BF489" s="42" t="s">
        <v>16</v>
      </c>
      <c r="BG489" s="43" t="str">
        <f>IF(VLOOKUP(BF489,βοηθητικό!$J$2:$N$354,3,FALSE)="","",VLOOKUP(BF489,βοηθητικό!$J$2:$N$354,3,FALSE))</f>
        <v>_</v>
      </c>
      <c r="BH489" s="44"/>
      <c r="BI489" s="45" t="s">
        <v>16</v>
      </c>
      <c r="BJ489" s="46" t="str">
        <f>IF(VLOOKUP(BI489,βοηθητικό!$J$2:$N$354,3,FALSE)="","",VLOOKUP(BI489,βοηθητικό!$J$2:$N$354,3,FALSE))</f>
        <v>_</v>
      </c>
      <c r="BK489" s="47"/>
      <c r="BL489" s="42" t="s">
        <v>16</v>
      </c>
      <c r="BM489" s="43" t="str">
        <f>IF(VLOOKUP(BL489,βοηθητικό!$J$2:$N$354,3,FALSE)="","",VLOOKUP(BL489,βοηθητικό!$J$2:$N$354,3,FALSE))</f>
        <v>_</v>
      </c>
      <c r="BN489" s="44"/>
      <c r="BO489" s="45" t="s">
        <v>16</v>
      </c>
      <c r="BP489" s="46" t="str">
        <f>IF(VLOOKUP(BO489,βοηθητικό!$J$2:$N$354,3,FALSE)="","",VLOOKUP(BO489,βοηθητικό!$J$2:$N$354,3,FALSE))</f>
        <v>_</v>
      </c>
      <c r="BQ489" s="47"/>
      <c r="BR489" s="42" t="s">
        <v>16</v>
      </c>
      <c r="BS489" s="43" t="str">
        <f>IF(VLOOKUP(BR489,βοηθητικό!$J$2:$N$354,3,FALSE)="","",VLOOKUP(BR489,βοηθητικό!$J$2:$N$354,3,FALSE))</f>
        <v>_</v>
      </c>
      <c r="BT489" s="44"/>
      <c r="BU489" s="45" t="s">
        <v>16</v>
      </c>
      <c r="BV489" s="46" t="str">
        <f>IF(VLOOKUP(BU489,βοηθητικό!$J$2:$N$354,3,FALSE)="","",VLOOKUP(BU489,βοηθητικό!$J$2:$N$354,3,FALSE))</f>
        <v>_</v>
      </c>
      <c r="BW489" s="47"/>
      <c r="BX489" s="42" t="s">
        <v>16</v>
      </c>
      <c r="BY489" s="43" t="str">
        <f>IF(VLOOKUP(BX489,βοηθητικό!$J$2:$N$354,3,FALSE)="","",VLOOKUP(BX489,βοηθητικό!$J$2:$N$354,3,FALSE))</f>
        <v>_</v>
      </c>
      <c r="BZ489" s="44"/>
      <c r="CA489" s="45" t="s">
        <v>16</v>
      </c>
      <c r="CB489" s="46" t="str">
        <f>IF(VLOOKUP(CA489,βοηθητικό!$J$2:$N$354,3,FALSE)="","",VLOOKUP(CA489,βοηθητικό!$J$2:$N$354,3,FALSE))</f>
        <v>_</v>
      </c>
      <c r="CC489" s="47"/>
      <c r="CD489" s="42" t="s">
        <v>16</v>
      </c>
      <c r="CE489" s="43" t="str">
        <f>IF(VLOOKUP(CD489,βοηθητικό!$J$2:$N$354,3,FALSE)="","",VLOOKUP(CD489,βοηθητικό!$J$2:$N$354,3,FALSE))</f>
        <v>_</v>
      </c>
      <c r="CF489" s="44"/>
      <c r="CG489" s="45" t="s">
        <v>16</v>
      </c>
      <c r="CH489" s="46" t="str">
        <f>IF(VLOOKUP(CG489,βοηθητικό!$J$2:$N$354,3,FALSE)="","",VLOOKUP(CG489,βοηθητικό!$J$2:$N$354,3,FALSE))</f>
        <v>_</v>
      </c>
      <c r="CI489" s="47"/>
      <c r="CJ489" s="42" t="s">
        <v>16</v>
      </c>
      <c r="CK489" s="43" t="str">
        <f>IF(VLOOKUP(CJ489,βοηθητικό!$J$2:$N$354,3,FALSE)="","",VLOOKUP(CJ489,βοηθητικό!$J$2:$N$354,3,FALSE))</f>
        <v>_</v>
      </c>
      <c r="CL489" s="44"/>
      <c r="CM489" s="45" t="s">
        <v>16</v>
      </c>
      <c r="CN489" s="46" t="str">
        <f>IF(VLOOKUP(CM489,βοηθητικό!$J$2:$N$354,3,FALSE)="","",VLOOKUP(CM489,βοηθητικό!$J$2:$N$354,3,FALSE))</f>
        <v>_</v>
      </c>
      <c r="CO489" s="47"/>
      <c r="CP489" s="42" t="s">
        <v>16</v>
      </c>
      <c r="CQ489" s="43" t="str">
        <f>IF(VLOOKUP(CP489,βοηθητικό!$J$2:$N$354,3,FALSE)="","",VLOOKUP(CP489,βοηθητικό!$J$2:$N$354,3,FALSE))</f>
        <v>_</v>
      </c>
      <c r="CR489" s="44"/>
      <c r="CS489" s="45" t="s">
        <v>16</v>
      </c>
      <c r="CT489" s="46" t="str">
        <f>IF(VLOOKUP(CS489,βοηθητικό!$J$2:$N$354,3,FALSE)="","",VLOOKUP(CS489,βοηθητικό!$J$2:$N$354,3,FALSE))</f>
        <v>_</v>
      </c>
      <c r="CU489" s="47"/>
    </row>
    <row r="490" spans="1:99" x14ac:dyDescent="0.25">
      <c r="A490" s="37">
        <f>--SUBTOTAL(3,$B$3:B489)</f>
        <v>198</v>
      </c>
      <c r="B490" s="2"/>
      <c r="C490" s="3"/>
      <c r="D490" s="55" t="s">
        <v>18</v>
      </c>
      <c r="E490" s="38" t="s">
        <v>16</v>
      </c>
      <c r="F490" s="38"/>
      <c r="G490" s="39" t="str">
        <f t="shared" si="23"/>
        <v>__</v>
      </c>
      <c r="H490" s="40" t="str">
        <f t="shared" si="24"/>
        <v>FALSE</v>
      </c>
      <c r="I490" s="41">
        <f t="shared" si="25"/>
        <v>0</v>
      </c>
      <c r="J490" s="4" t="s">
        <v>16</v>
      </c>
      <c r="K490" s="43" t="str">
        <f>IF(VLOOKUP(J490,βοηθητικό!$J$2:$N$354,3,FALSE)="","",VLOOKUP(J490,βοηθητικό!$J$2:$N$354,3,FALSE))</f>
        <v>_</v>
      </c>
      <c r="L490" s="44"/>
      <c r="M490" s="5" t="s">
        <v>16</v>
      </c>
      <c r="N490" s="46" t="str">
        <f>IF(VLOOKUP(M490,βοηθητικό!$J$2:$N$354,3,FALSE)="","",VLOOKUP(M490,βοηθητικό!$J$2:$N$354,3,FALSE))</f>
        <v>_</v>
      </c>
      <c r="O490" s="47"/>
      <c r="P490" s="4" t="s">
        <v>16</v>
      </c>
      <c r="Q490" s="43" t="str">
        <f>IF(VLOOKUP(P490,βοηθητικό!$J$2:$N$354,3,FALSE)="","",VLOOKUP(P490,βοηθητικό!$J$2:$N$354,3,FALSE))</f>
        <v>_</v>
      </c>
      <c r="R490" s="44"/>
      <c r="S490" s="5" t="s">
        <v>16</v>
      </c>
      <c r="T490" s="46" t="str">
        <f>IF(VLOOKUP(S490,βοηθητικό!$J$2:$N$354,3,FALSE)="","",VLOOKUP(S490,βοηθητικό!$J$2:$N$354,3,FALSE))</f>
        <v>_</v>
      </c>
      <c r="U490" s="47"/>
      <c r="V490" s="4" t="s">
        <v>16</v>
      </c>
      <c r="W490" s="43" t="str">
        <f>IF(VLOOKUP(V490,βοηθητικό!$J$2:$N$354,3,FALSE)="","",VLOOKUP(V490,βοηθητικό!$J$2:$N$354,3,FALSE))</f>
        <v>_</v>
      </c>
      <c r="X490" s="44"/>
      <c r="Y490" s="5" t="s">
        <v>16</v>
      </c>
      <c r="Z490" s="46" t="str">
        <f>IF(VLOOKUP(Y490,βοηθητικό!$J$2:$N$354,3,FALSE)="","",VLOOKUP(Y490,βοηθητικό!$J$2:$N$354,3,FALSE))</f>
        <v>_</v>
      </c>
      <c r="AA490" s="47"/>
      <c r="AB490" s="4" t="s">
        <v>16</v>
      </c>
      <c r="AC490" s="43" t="str">
        <f>IF(VLOOKUP(AB490,βοηθητικό!$J$2:$N$354,3,FALSE)="","",VLOOKUP(AB490,βοηθητικό!$J$2:$N$354,3,FALSE))</f>
        <v>_</v>
      </c>
      <c r="AD490" s="44"/>
      <c r="AE490" s="5" t="s">
        <v>16</v>
      </c>
      <c r="AF490" s="46" t="str">
        <f>IF(VLOOKUP(AE490,βοηθητικό!$J$2:$N$354,3,FALSE)="","",VLOOKUP(AE490,βοηθητικό!$J$2:$N$354,3,FALSE))</f>
        <v>_</v>
      </c>
      <c r="AG490" s="47"/>
      <c r="AH490" s="4" t="s">
        <v>16</v>
      </c>
      <c r="AI490" s="43" t="str">
        <f>IF(VLOOKUP(AH490,βοηθητικό!$J$2:$N$354,3,FALSE)="","",VLOOKUP(AH490,βοηθητικό!$J$2:$N$354,3,FALSE))</f>
        <v>_</v>
      </c>
      <c r="AJ490" s="44"/>
      <c r="AK490" s="5" t="s">
        <v>16</v>
      </c>
      <c r="AL490" s="46" t="str">
        <f>IF(VLOOKUP(AK490,βοηθητικό!$J$2:$N$354,3,FALSE)="","",VLOOKUP(AK490,βοηθητικό!$J$2:$N$354,3,FALSE))</f>
        <v>_</v>
      </c>
      <c r="AM490" s="47"/>
      <c r="AN490" s="4" t="s">
        <v>16</v>
      </c>
      <c r="AO490" s="43" t="str">
        <f>IF(VLOOKUP(AN490,βοηθητικό!$J$2:$N$354,3,FALSE)="","",VLOOKUP(AN490,βοηθητικό!$J$2:$N$354,3,FALSE))</f>
        <v>_</v>
      </c>
      <c r="AP490" s="44"/>
      <c r="AQ490" s="5" t="s">
        <v>16</v>
      </c>
      <c r="AR490" s="46" t="str">
        <f>IF(VLOOKUP(AQ490,βοηθητικό!$J$2:$N$354,3,FALSE)="","",VLOOKUP(AQ490,βοηθητικό!$J$2:$N$354,3,FALSE))</f>
        <v>_</v>
      </c>
      <c r="AS490" s="47"/>
      <c r="AT490" s="4" t="s">
        <v>16</v>
      </c>
      <c r="AU490" s="43" t="str">
        <f>IF(VLOOKUP(AT490,βοηθητικό!$J$2:$N$354,3,FALSE)="","",VLOOKUP(AT490,βοηθητικό!$J$2:$N$354,3,FALSE))</f>
        <v>_</v>
      </c>
      <c r="AV490" s="44"/>
      <c r="AW490" s="5" t="s">
        <v>16</v>
      </c>
      <c r="AX490" s="46" t="str">
        <f>IF(VLOOKUP(AW490,βοηθητικό!$J$2:$N$354,3,FALSE)="","",VLOOKUP(AW490,βοηθητικό!$J$2:$N$354,3,FALSE))</f>
        <v>_</v>
      </c>
      <c r="AY490" s="47"/>
      <c r="AZ490" s="4" t="s">
        <v>16</v>
      </c>
      <c r="BA490" s="43" t="str">
        <f>IF(VLOOKUP(AZ490,βοηθητικό!$J$2:$N$354,3,FALSE)="","",VLOOKUP(AZ490,βοηθητικό!$J$2:$N$354,3,FALSE))</f>
        <v>_</v>
      </c>
      <c r="BB490" s="44"/>
      <c r="BC490" s="45" t="s">
        <v>16</v>
      </c>
      <c r="BD490" s="46" t="str">
        <f>IF(VLOOKUP(BC490,βοηθητικό!$J$2:$N$354,3,FALSE)="","",VLOOKUP(BC490,βοηθητικό!$J$2:$N$354,3,FALSE))</f>
        <v>_</v>
      </c>
      <c r="BE490" s="47"/>
      <c r="BF490" s="42" t="s">
        <v>16</v>
      </c>
      <c r="BG490" s="43" t="str">
        <f>IF(VLOOKUP(BF490,βοηθητικό!$J$2:$N$354,3,FALSE)="","",VLOOKUP(BF490,βοηθητικό!$J$2:$N$354,3,FALSE))</f>
        <v>_</v>
      </c>
      <c r="BH490" s="44"/>
      <c r="BI490" s="45" t="s">
        <v>16</v>
      </c>
      <c r="BJ490" s="46" t="str">
        <f>IF(VLOOKUP(BI490,βοηθητικό!$J$2:$N$354,3,FALSE)="","",VLOOKUP(BI490,βοηθητικό!$J$2:$N$354,3,FALSE))</f>
        <v>_</v>
      </c>
      <c r="BK490" s="47"/>
      <c r="BL490" s="42" t="s">
        <v>16</v>
      </c>
      <c r="BM490" s="43" t="str">
        <f>IF(VLOOKUP(BL490,βοηθητικό!$J$2:$N$354,3,FALSE)="","",VLOOKUP(BL490,βοηθητικό!$J$2:$N$354,3,FALSE))</f>
        <v>_</v>
      </c>
      <c r="BN490" s="44"/>
      <c r="BO490" s="45" t="s">
        <v>16</v>
      </c>
      <c r="BP490" s="46" t="str">
        <f>IF(VLOOKUP(BO490,βοηθητικό!$J$2:$N$354,3,FALSE)="","",VLOOKUP(BO490,βοηθητικό!$J$2:$N$354,3,FALSE))</f>
        <v>_</v>
      </c>
      <c r="BQ490" s="47"/>
      <c r="BR490" s="42" t="s">
        <v>16</v>
      </c>
      <c r="BS490" s="43" t="str">
        <f>IF(VLOOKUP(BR490,βοηθητικό!$J$2:$N$354,3,FALSE)="","",VLOOKUP(BR490,βοηθητικό!$J$2:$N$354,3,FALSE))</f>
        <v>_</v>
      </c>
      <c r="BT490" s="44"/>
      <c r="BU490" s="45" t="s">
        <v>16</v>
      </c>
      <c r="BV490" s="46" t="str">
        <f>IF(VLOOKUP(BU490,βοηθητικό!$J$2:$N$354,3,FALSE)="","",VLOOKUP(BU490,βοηθητικό!$J$2:$N$354,3,FALSE))</f>
        <v>_</v>
      </c>
      <c r="BW490" s="47"/>
      <c r="BX490" s="42" t="s">
        <v>16</v>
      </c>
      <c r="BY490" s="43" t="str">
        <f>IF(VLOOKUP(BX490,βοηθητικό!$J$2:$N$354,3,FALSE)="","",VLOOKUP(BX490,βοηθητικό!$J$2:$N$354,3,FALSE))</f>
        <v>_</v>
      </c>
      <c r="BZ490" s="44"/>
      <c r="CA490" s="45" t="s">
        <v>16</v>
      </c>
      <c r="CB490" s="46" t="str">
        <f>IF(VLOOKUP(CA490,βοηθητικό!$J$2:$N$354,3,FALSE)="","",VLOOKUP(CA490,βοηθητικό!$J$2:$N$354,3,FALSE))</f>
        <v>_</v>
      </c>
      <c r="CC490" s="47"/>
      <c r="CD490" s="42" t="s">
        <v>16</v>
      </c>
      <c r="CE490" s="43" t="str">
        <f>IF(VLOOKUP(CD490,βοηθητικό!$J$2:$N$354,3,FALSE)="","",VLOOKUP(CD490,βοηθητικό!$J$2:$N$354,3,FALSE))</f>
        <v>_</v>
      </c>
      <c r="CF490" s="44"/>
      <c r="CG490" s="45" t="s">
        <v>16</v>
      </c>
      <c r="CH490" s="46" t="str">
        <f>IF(VLOOKUP(CG490,βοηθητικό!$J$2:$N$354,3,FALSE)="","",VLOOKUP(CG490,βοηθητικό!$J$2:$N$354,3,FALSE))</f>
        <v>_</v>
      </c>
      <c r="CI490" s="47"/>
      <c r="CJ490" s="42" t="s">
        <v>16</v>
      </c>
      <c r="CK490" s="43" t="str">
        <f>IF(VLOOKUP(CJ490,βοηθητικό!$J$2:$N$354,3,FALSE)="","",VLOOKUP(CJ490,βοηθητικό!$J$2:$N$354,3,FALSE))</f>
        <v>_</v>
      </c>
      <c r="CL490" s="44"/>
      <c r="CM490" s="45" t="s">
        <v>16</v>
      </c>
      <c r="CN490" s="46" t="str">
        <f>IF(VLOOKUP(CM490,βοηθητικό!$J$2:$N$354,3,FALSE)="","",VLOOKUP(CM490,βοηθητικό!$J$2:$N$354,3,FALSE))</f>
        <v>_</v>
      </c>
      <c r="CO490" s="47"/>
      <c r="CP490" s="42" t="s">
        <v>16</v>
      </c>
      <c r="CQ490" s="43" t="str">
        <f>IF(VLOOKUP(CP490,βοηθητικό!$J$2:$N$354,3,FALSE)="","",VLOOKUP(CP490,βοηθητικό!$J$2:$N$354,3,FALSE))</f>
        <v>_</v>
      </c>
      <c r="CR490" s="44"/>
      <c r="CS490" s="45" t="s">
        <v>16</v>
      </c>
      <c r="CT490" s="46" t="str">
        <f>IF(VLOOKUP(CS490,βοηθητικό!$J$2:$N$354,3,FALSE)="","",VLOOKUP(CS490,βοηθητικό!$J$2:$N$354,3,FALSE))</f>
        <v>_</v>
      </c>
      <c r="CU490" s="47"/>
    </row>
    <row r="491" spans="1:99" x14ac:dyDescent="0.25">
      <c r="A491" s="37">
        <f>--SUBTOTAL(3,$B$3:B490)</f>
        <v>198</v>
      </c>
      <c r="B491" s="2"/>
      <c r="C491" s="3"/>
      <c r="D491" s="55" t="s">
        <v>18</v>
      </c>
      <c r="E491" s="38" t="s">
        <v>16</v>
      </c>
      <c r="F491" s="38"/>
      <c r="G491" s="39" t="str">
        <f t="shared" si="23"/>
        <v>__</v>
      </c>
      <c r="H491" s="40" t="str">
        <f t="shared" si="24"/>
        <v>FALSE</v>
      </c>
      <c r="I491" s="41">
        <f t="shared" si="25"/>
        <v>0</v>
      </c>
      <c r="J491" s="4" t="s">
        <v>16</v>
      </c>
      <c r="K491" s="43" t="str">
        <f>IF(VLOOKUP(J491,βοηθητικό!$J$2:$N$354,3,FALSE)="","",VLOOKUP(J491,βοηθητικό!$J$2:$N$354,3,FALSE))</f>
        <v>_</v>
      </c>
      <c r="L491" s="44"/>
      <c r="M491" s="5" t="s">
        <v>16</v>
      </c>
      <c r="N491" s="46" t="str">
        <f>IF(VLOOKUP(M491,βοηθητικό!$J$2:$N$354,3,FALSE)="","",VLOOKUP(M491,βοηθητικό!$J$2:$N$354,3,FALSE))</f>
        <v>_</v>
      </c>
      <c r="O491" s="47"/>
      <c r="P491" s="4" t="s">
        <v>16</v>
      </c>
      <c r="Q491" s="43" t="str">
        <f>IF(VLOOKUP(P491,βοηθητικό!$J$2:$N$354,3,FALSE)="","",VLOOKUP(P491,βοηθητικό!$J$2:$N$354,3,FALSE))</f>
        <v>_</v>
      </c>
      <c r="R491" s="44"/>
      <c r="S491" s="5" t="s">
        <v>16</v>
      </c>
      <c r="T491" s="46" t="str">
        <f>IF(VLOOKUP(S491,βοηθητικό!$J$2:$N$354,3,FALSE)="","",VLOOKUP(S491,βοηθητικό!$J$2:$N$354,3,FALSE))</f>
        <v>_</v>
      </c>
      <c r="U491" s="47"/>
      <c r="V491" s="4" t="s">
        <v>16</v>
      </c>
      <c r="W491" s="43" t="str">
        <f>IF(VLOOKUP(V491,βοηθητικό!$J$2:$N$354,3,FALSE)="","",VLOOKUP(V491,βοηθητικό!$J$2:$N$354,3,FALSE))</f>
        <v>_</v>
      </c>
      <c r="X491" s="44"/>
      <c r="Y491" s="5" t="s">
        <v>16</v>
      </c>
      <c r="Z491" s="46" t="str">
        <f>IF(VLOOKUP(Y491,βοηθητικό!$J$2:$N$354,3,FALSE)="","",VLOOKUP(Y491,βοηθητικό!$J$2:$N$354,3,FALSE))</f>
        <v>_</v>
      </c>
      <c r="AA491" s="47"/>
      <c r="AB491" s="4" t="s">
        <v>16</v>
      </c>
      <c r="AC491" s="43" t="str">
        <f>IF(VLOOKUP(AB491,βοηθητικό!$J$2:$N$354,3,FALSE)="","",VLOOKUP(AB491,βοηθητικό!$J$2:$N$354,3,FALSE))</f>
        <v>_</v>
      </c>
      <c r="AD491" s="44"/>
      <c r="AE491" s="5" t="s">
        <v>16</v>
      </c>
      <c r="AF491" s="46" t="str">
        <f>IF(VLOOKUP(AE491,βοηθητικό!$J$2:$N$354,3,FALSE)="","",VLOOKUP(AE491,βοηθητικό!$J$2:$N$354,3,FALSE))</f>
        <v>_</v>
      </c>
      <c r="AG491" s="47"/>
      <c r="AH491" s="4" t="s">
        <v>16</v>
      </c>
      <c r="AI491" s="43" t="str">
        <f>IF(VLOOKUP(AH491,βοηθητικό!$J$2:$N$354,3,FALSE)="","",VLOOKUP(AH491,βοηθητικό!$J$2:$N$354,3,FALSE))</f>
        <v>_</v>
      </c>
      <c r="AJ491" s="44"/>
      <c r="AK491" s="5" t="s">
        <v>16</v>
      </c>
      <c r="AL491" s="46" t="str">
        <f>IF(VLOOKUP(AK491,βοηθητικό!$J$2:$N$354,3,FALSE)="","",VLOOKUP(AK491,βοηθητικό!$J$2:$N$354,3,FALSE))</f>
        <v>_</v>
      </c>
      <c r="AM491" s="47"/>
      <c r="AN491" s="4" t="s">
        <v>16</v>
      </c>
      <c r="AO491" s="43" t="str">
        <f>IF(VLOOKUP(AN491,βοηθητικό!$J$2:$N$354,3,FALSE)="","",VLOOKUP(AN491,βοηθητικό!$J$2:$N$354,3,FALSE))</f>
        <v>_</v>
      </c>
      <c r="AP491" s="44"/>
      <c r="AQ491" s="5" t="s">
        <v>16</v>
      </c>
      <c r="AR491" s="46" t="str">
        <f>IF(VLOOKUP(AQ491,βοηθητικό!$J$2:$N$354,3,FALSE)="","",VLOOKUP(AQ491,βοηθητικό!$J$2:$N$354,3,FALSE))</f>
        <v>_</v>
      </c>
      <c r="AS491" s="47"/>
      <c r="AT491" s="4" t="s">
        <v>16</v>
      </c>
      <c r="AU491" s="43" t="str">
        <f>IF(VLOOKUP(AT491,βοηθητικό!$J$2:$N$354,3,FALSE)="","",VLOOKUP(AT491,βοηθητικό!$J$2:$N$354,3,FALSE))</f>
        <v>_</v>
      </c>
      <c r="AV491" s="44"/>
      <c r="AW491" s="5" t="s">
        <v>16</v>
      </c>
      <c r="AX491" s="46" t="str">
        <f>IF(VLOOKUP(AW491,βοηθητικό!$J$2:$N$354,3,FALSE)="","",VLOOKUP(AW491,βοηθητικό!$J$2:$N$354,3,FALSE))</f>
        <v>_</v>
      </c>
      <c r="AY491" s="47"/>
      <c r="AZ491" s="4" t="s">
        <v>16</v>
      </c>
      <c r="BA491" s="43" t="str">
        <f>IF(VLOOKUP(AZ491,βοηθητικό!$J$2:$N$354,3,FALSE)="","",VLOOKUP(AZ491,βοηθητικό!$J$2:$N$354,3,FALSE))</f>
        <v>_</v>
      </c>
      <c r="BB491" s="44"/>
      <c r="BC491" s="45" t="s">
        <v>16</v>
      </c>
      <c r="BD491" s="46" t="str">
        <f>IF(VLOOKUP(BC491,βοηθητικό!$J$2:$N$354,3,FALSE)="","",VLOOKUP(BC491,βοηθητικό!$J$2:$N$354,3,FALSE))</f>
        <v>_</v>
      </c>
      <c r="BE491" s="47"/>
      <c r="BF491" s="42" t="s">
        <v>16</v>
      </c>
      <c r="BG491" s="43" t="str">
        <f>IF(VLOOKUP(BF491,βοηθητικό!$J$2:$N$354,3,FALSE)="","",VLOOKUP(BF491,βοηθητικό!$J$2:$N$354,3,FALSE))</f>
        <v>_</v>
      </c>
      <c r="BH491" s="44"/>
      <c r="BI491" s="45" t="s">
        <v>16</v>
      </c>
      <c r="BJ491" s="46" t="str">
        <f>IF(VLOOKUP(BI491,βοηθητικό!$J$2:$N$354,3,FALSE)="","",VLOOKUP(BI491,βοηθητικό!$J$2:$N$354,3,FALSE))</f>
        <v>_</v>
      </c>
      <c r="BK491" s="47"/>
      <c r="BL491" s="42" t="s">
        <v>16</v>
      </c>
      <c r="BM491" s="43" t="str">
        <f>IF(VLOOKUP(BL491,βοηθητικό!$J$2:$N$354,3,FALSE)="","",VLOOKUP(BL491,βοηθητικό!$J$2:$N$354,3,FALSE))</f>
        <v>_</v>
      </c>
      <c r="BN491" s="44"/>
      <c r="BO491" s="45" t="s">
        <v>16</v>
      </c>
      <c r="BP491" s="46" t="str">
        <f>IF(VLOOKUP(BO491,βοηθητικό!$J$2:$N$354,3,FALSE)="","",VLOOKUP(BO491,βοηθητικό!$J$2:$N$354,3,FALSE))</f>
        <v>_</v>
      </c>
      <c r="BQ491" s="47"/>
      <c r="BR491" s="42" t="s">
        <v>16</v>
      </c>
      <c r="BS491" s="43" t="str">
        <f>IF(VLOOKUP(BR491,βοηθητικό!$J$2:$N$354,3,FALSE)="","",VLOOKUP(BR491,βοηθητικό!$J$2:$N$354,3,FALSE))</f>
        <v>_</v>
      </c>
      <c r="BT491" s="44"/>
      <c r="BU491" s="45" t="s">
        <v>16</v>
      </c>
      <c r="BV491" s="46" t="str">
        <f>IF(VLOOKUP(BU491,βοηθητικό!$J$2:$N$354,3,FALSE)="","",VLOOKUP(BU491,βοηθητικό!$J$2:$N$354,3,FALSE))</f>
        <v>_</v>
      </c>
      <c r="BW491" s="47"/>
      <c r="BX491" s="42" t="s">
        <v>16</v>
      </c>
      <c r="BY491" s="43" t="str">
        <f>IF(VLOOKUP(BX491,βοηθητικό!$J$2:$N$354,3,FALSE)="","",VLOOKUP(BX491,βοηθητικό!$J$2:$N$354,3,FALSE))</f>
        <v>_</v>
      </c>
      <c r="BZ491" s="44"/>
      <c r="CA491" s="45" t="s">
        <v>16</v>
      </c>
      <c r="CB491" s="46" t="str">
        <f>IF(VLOOKUP(CA491,βοηθητικό!$J$2:$N$354,3,FALSE)="","",VLOOKUP(CA491,βοηθητικό!$J$2:$N$354,3,FALSE))</f>
        <v>_</v>
      </c>
      <c r="CC491" s="47"/>
      <c r="CD491" s="42" t="s">
        <v>16</v>
      </c>
      <c r="CE491" s="43" t="str">
        <f>IF(VLOOKUP(CD491,βοηθητικό!$J$2:$N$354,3,FALSE)="","",VLOOKUP(CD491,βοηθητικό!$J$2:$N$354,3,FALSE))</f>
        <v>_</v>
      </c>
      <c r="CF491" s="44"/>
      <c r="CG491" s="45" t="s">
        <v>16</v>
      </c>
      <c r="CH491" s="46" t="str">
        <f>IF(VLOOKUP(CG491,βοηθητικό!$J$2:$N$354,3,FALSE)="","",VLOOKUP(CG491,βοηθητικό!$J$2:$N$354,3,FALSE))</f>
        <v>_</v>
      </c>
      <c r="CI491" s="47"/>
      <c r="CJ491" s="42" t="s">
        <v>16</v>
      </c>
      <c r="CK491" s="43" t="str">
        <f>IF(VLOOKUP(CJ491,βοηθητικό!$J$2:$N$354,3,FALSE)="","",VLOOKUP(CJ491,βοηθητικό!$J$2:$N$354,3,FALSE))</f>
        <v>_</v>
      </c>
      <c r="CL491" s="44"/>
      <c r="CM491" s="45" t="s">
        <v>16</v>
      </c>
      <c r="CN491" s="46" t="str">
        <f>IF(VLOOKUP(CM491,βοηθητικό!$J$2:$N$354,3,FALSE)="","",VLOOKUP(CM491,βοηθητικό!$J$2:$N$354,3,FALSE))</f>
        <v>_</v>
      </c>
      <c r="CO491" s="47"/>
      <c r="CP491" s="42" t="s">
        <v>16</v>
      </c>
      <c r="CQ491" s="43" t="str">
        <f>IF(VLOOKUP(CP491,βοηθητικό!$J$2:$N$354,3,FALSE)="","",VLOOKUP(CP491,βοηθητικό!$J$2:$N$354,3,FALSE))</f>
        <v>_</v>
      </c>
      <c r="CR491" s="44"/>
      <c r="CS491" s="45" t="s">
        <v>16</v>
      </c>
      <c r="CT491" s="46" t="str">
        <f>IF(VLOOKUP(CS491,βοηθητικό!$J$2:$N$354,3,FALSE)="","",VLOOKUP(CS491,βοηθητικό!$J$2:$N$354,3,FALSE))</f>
        <v>_</v>
      </c>
      <c r="CU491" s="47"/>
    </row>
    <row r="492" spans="1:99" x14ac:dyDescent="0.25">
      <c r="A492" s="37">
        <f>--SUBTOTAL(3,$B$3:B491)</f>
        <v>198</v>
      </c>
      <c r="B492" s="2"/>
      <c r="C492" s="3"/>
      <c r="D492" s="55" t="s">
        <v>18</v>
      </c>
      <c r="E492" s="38" t="s">
        <v>16</v>
      </c>
      <c r="F492" s="38"/>
      <c r="G492" s="39" t="str">
        <f t="shared" si="23"/>
        <v>__</v>
      </c>
      <c r="H492" s="40" t="str">
        <f t="shared" si="24"/>
        <v>FALSE</v>
      </c>
      <c r="I492" s="41">
        <f t="shared" si="25"/>
        <v>0</v>
      </c>
      <c r="J492" s="4" t="s">
        <v>16</v>
      </c>
      <c r="K492" s="43" t="str">
        <f>IF(VLOOKUP(J492,βοηθητικό!$J$2:$N$354,3,FALSE)="","",VLOOKUP(J492,βοηθητικό!$J$2:$N$354,3,FALSE))</f>
        <v>_</v>
      </c>
      <c r="L492" s="44"/>
      <c r="M492" s="5" t="s">
        <v>16</v>
      </c>
      <c r="N492" s="46" t="str">
        <f>IF(VLOOKUP(M492,βοηθητικό!$J$2:$N$354,3,FALSE)="","",VLOOKUP(M492,βοηθητικό!$J$2:$N$354,3,FALSE))</f>
        <v>_</v>
      </c>
      <c r="O492" s="47"/>
      <c r="P492" s="4" t="s">
        <v>16</v>
      </c>
      <c r="Q492" s="43" t="str">
        <f>IF(VLOOKUP(P492,βοηθητικό!$J$2:$N$354,3,FALSE)="","",VLOOKUP(P492,βοηθητικό!$J$2:$N$354,3,FALSE))</f>
        <v>_</v>
      </c>
      <c r="R492" s="44"/>
      <c r="S492" s="5" t="s">
        <v>16</v>
      </c>
      <c r="T492" s="46" t="str">
        <f>IF(VLOOKUP(S492,βοηθητικό!$J$2:$N$354,3,FALSE)="","",VLOOKUP(S492,βοηθητικό!$J$2:$N$354,3,FALSE))</f>
        <v>_</v>
      </c>
      <c r="U492" s="47"/>
      <c r="V492" s="4" t="s">
        <v>16</v>
      </c>
      <c r="W492" s="43" t="str">
        <f>IF(VLOOKUP(V492,βοηθητικό!$J$2:$N$354,3,FALSE)="","",VLOOKUP(V492,βοηθητικό!$J$2:$N$354,3,FALSE))</f>
        <v>_</v>
      </c>
      <c r="X492" s="44"/>
      <c r="Y492" s="5" t="s">
        <v>16</v>
      </c>
      <c r="Z492" s="46" t="str">
        <f>IF(VLOOKUP(Y492,βοηθητικό!$J$2:$N$354,3,FALSE)="","",VLOOKUP(Y492,βοηθητικό!$J$2:$N$354,3,FALSE))</f>
        <v>_</v>
      </c>
      <c r="AA492" s="47"/>
      <c r="AB492" s="4" t="s">
        <v>16</v>
      </c>
      <c r="AC492" s="43" t="str">
        <f>IF(VLOOKUP(AB492,βοηθητικό!$J$2:$N$354,3,FALSE)="","",VLOOKUP(AB492,βοηθητικό!$J$2:$N$354,3,FALSE))</f>
        <v>_</v>
      </c>
      <c r="AD492" s="44"/>
      <c r="AE492" s="5" t="s">
        <v>16</v>
      </c>
      <c r="AF492" s="46" t="str">
        <f>IF(VLOOKUP(AE492,βοηθητικό!$J$2:$N$354,3,FALSE)="","",VLOOKUP(AE492,βοηθητικό!$J$2:$N$354,3,FALSE))</f>
        <v>_</v>
      </c>
      <c r="AG492" s="47"/>
      <c r="AH492" s="4" t="s">
        <v>16</v>
      </c>
      <c r="AI492" s="43" t="str">
        <f>IF(VLOOKUP(AH492,βοηθητικό!$J$2:$N$354,3,FALSE)="","",VLOOKUP(AH492,βοηθητικό!$J$2:$N$354,3,FALSE))</f>
        <v>_</v>
      </c>
      <c r="AJ492" s="44"/>
      <c r="AK492" s="5" t="s">
        <v>16</v>
      </c>
      <c r="AL492" s="46" t="str">
        <f>IF(VLOOKUP(AK492,βοηθητικό!$J$2:$N$354,3,FALSE)="","",VLOOKUP(AK492,βοηθητικό!$J$2:$N$354,3,FALSE))</f>
        <v>_</v>
      </c>
      <c r="AM492" s="47"/>
      <c r="AN492" s="4" t="s">
        <v>16</v>
      </c>
      <c r="AO492" s="43" t="str">
        <f>IF(VLOOKUP(AN492,βοηθητικό!$J$2:$N$354,3,FALSE)="","",VLOOKUP(AN492,βοηθητικό!$J$2:$N$354,3,FALSE))</f>
        <v>_</v>
      </c>
      <c r="AP492" s="44"/>
      <c r="AQ492" s="5" t="s">
        <v>16</v>
      </c>
      <c r="AR492" s="46" t="str">
        <f>IF(VLOOKUP(AQ492,βοηθητικό!$J$2:$N$354,3,FALSE)="","",VLOOKUP(AQ492,βοηθητικό!$J$2:$N$354,3,FALSE))</f>
        <v>_</v>
      </c>
      <c r="AS492" s="47"/>
      <c r="AT492" s="4" t="s">
        <v>16</v>
      </c>
      <c r="AU492" s="43" t="str">
        <f>IF(VLOOKUP(AT492,βοηθητικό!$J$2:$N$354,3,FALSE)="","",VLOOKUP(AT492,βοηθητικό!$J$2:$N$354,3,FALSE))</f>
        <v>_</v>
      </c>
      <c r="AV492" s="44"/>
      <c r="AW492" s="5" t="s">
        <v>16</v>
      </c>
      <c r="AX492" s="46" t="str">
        <f>IF(VLOOKUP(AW492,βοηθητικό!$J$2:$N$354,3,FALSE)="","",VLOOKUP(AW492,βοηθητικό!$J$2:$N$354,3,FALSE))</f>
        <v>_</v>
      </c>
      <c r="AY492" s="47"/>
      <c r="AZ492" s="4" t="s">
        <v>16</v>
      </c>
      <c r="BA492" s="43" t="str">
        <f>IF(VLOOKUP(AZ492,βοηθητικό!$J$2:$N$354,3,FALSE)="","",VLOOKUP(AZ492,βοηθητικό!$J$2:$N$354,3,FALSE))</f>
        <v>_</v>
      </c>
      <c r="BB492" s="44"/>
      <c r="BC492" s="45" t="s">
        <v>16</v>
      </c>
      <c r="BD492" s="46" t="str">
        <f>IF(VLOOKUP(BC492,βοηθητικό!$J$2:$N$354,3,FALSE)="","",VLOOKUP(BC492,βοηθητικό!$J$2:$N$354,3,FALSE))</f>
        <v>_</v>
      </c>
      <c r="BE492" s="47"/>
      <c r="BF492" s="42" t="s">
        <v>16</v>
      </c>
      <c r="BG492" s="43" t="str">
        <f>IF(VLOOKUP(BF492,βοηθητικό!$J$2:$N$354,3,FALSE)="","",VLOOKUP(BF492,βοηθητικό!$J$2:$N$354,3,FALSE))</f>
        <v>_</v>
      </c>
      <c r="BH492" s="44"/>
      <c r="BI492" s="45" t="s">
        <v>16</v>
      </c>
      <c r="BJ492" s="46" t="str">
        <f>IF(VLOOKUP(BI492,βοηθητικό!$J$2:$N$354,3,FALSE)="","",VLOOKUP(BI492,βοηθητικό!$J$2:$N$354,3,FALSE))</f>
        <v>_</v>
      </c>
      <c r="BK492" s="47"/>
      <c r="BL492" s="42" t="s">
        <v>16</v>
      </c>
      <c r="BM492" s="43" t="str">
        <f>IF(VLOOKUP(BL492,βοηθητικό!$J$2:$N$354,3,FALSE)="","",VLOOKUP(BL492,βοηθητικό!$J$2:$N$354,3,FALSE))</f>
        <v>_</v>
      </c>
      <c r="BN492" s="44"/>
      <c r="BO492" s="45" t="s">
        <v>16</v>
      </c>
      <c r="BP492" s="46" t="str">
        <f>IF(VLOOKUP(BO492,βοηθητικό!$J$2:$N$354,3,FALSE)="","",VLOOKUP(BO492,βοηθητικό!$J$2:$N$354,3,FALSE))</f>
        <v>_</v>
      </c>
      <c r="BQ492" s="47"/>
      <c r="BR492" s="42" t="s">
        <v>16</v>
      </c>
      <c r="BS492" s="43" t="str">
        <f>IF(VLOOKUP(BR492,βοηθητικό!$J$2:$N$354,3,FALSE)="","",VLOOKUP(BR492,βοηθητικό!$J$2:$N$354,3,FALSE))</f>
        <v>_</v>
      </c>
      <c r="BT492" s="44"/>
      <c r="BU492" s="45" t="s">
        <v>16</v>
      </c>
      <c r="BV492" s="46" t="str">
        <f>IF(VLOOKUP(BU492,βοηθητικό!$J$2:$N$354,3,FALSE)="","",VLOOKUP(BU492,βοηθητικό!$J$2:$N$354,3,FALSE))</f>
        <v>_</v>
      </c>
      <c r="BW492" s="47"/>
      <c r="BX492" s="42" t="s">
        <v>16</v>
      </c>
      <c r="BY492" s="43" t="str">
        <f>IF(VLOOKUP(BX492,βοηθητικό!$J$2:$N$354,3,FALSE)="","",VLOOKUP(BX492,βοηθητικό!$J$2:$N$354,3,FALSE))</f>
        <v>_</v>
      </c>
      <c r="BZ492" s="44"/>
      <c r="CA492" s="45" t="s">
        <v>16</v>
      </c>
      <c r="CB492" s="46" t="str">
        <f>IF(VLOOKUP(CA492,βοηθητικό!$J$2:$N$354,3,FALSE)="","",VLOOKUP(CA492,βοηθητικό!$J$2:$N$354,3,FALSE))</f>
        <v>_</v>
      </c>
      <c r="CC492" s="47"/>
      <c r="CD492" s="42" t="s">
        <v>16</v>
      </c>
      <c r="CE492" s="43" t="str">
        <f>IF(VLOOKUP(CD492,βοηθητικό!$J$2:$N$354,3,FALSE)="","",VLOOKUP(CD492,βοηθητικό!$J$2:$N$354,3,FALSE))</f>
        <v>_</v>
      </c>
      <c r="CF492" s="44"/>
      <c r="CG492" s="45" t="s">
        <v>16</v>
      </c>
      <c r="CH492" s="46" t="str">
        <f>IF(VLOOKUP(CG492,βοηθητικό!$J$2:$N$354,3,FALSE)="","",VLOOKUP(CG492,βοηθητικό!$J$2:$N$354,3,FALSE))</f>
        <v>_</v>
      </c>
      <c r="CI492" s="47"/>
      <c r="CJ492" s="42" t="s">
        <v>16</v>
      </c>
      <c r="CK492" s="43" t="str">
        <f>IF(VLOOKUP(CJ492,βοηθητικό!$J$2:$N$354,3,FALSE)="","",VLOOKUP(CJ492,βοηθητικό!$J$2:$N$354,3,FALSE))</f>
        <v>_</v>
      </c>
      <c r="CL492" s="44"/>
      <c r="CM492" s="45" t="s">
        <v>16</v>
      </c>
      <c r="CN492" s="46" t="str">
        <f>IF(VLOOKUP(CM492,βοηθητικό!$J$2:$N$354,3,FALSE)="","",VLOOKUP(CM492,βοηθητικό!$J$2:$N$354,3,FALSE))</f>
        <v>_</v>
      </c>
      <c r="CO492" s="47"/>
      <c r="CP492" s="42" t="s">
        <v>16</v>
      </c>
      <c r="CQ492" s="43" t="str">
        <f>IF(VLOOKUP(CP492,βοηθητικό!$J$2:$N$354,3,FALSE)="","",VLOOKUP(CP492,βοηθητικό!$J$2:$N$354,3,FALSE))</f>
        <v>_</v>
      </c>
      <c r="CR492" s="44"/>
      <c r="CS492" s="45" t="s">
        <v>16</v>
      </c>
      <c r="CT492" s="46" t="str">
        <f>IF(VLOOKUP(CS492,βοηθητικό!$J$2:$N$354,3,FALSE)="","",VLOOKUP(CS492,βοηθητικό!$J$2:$N$354,3,FALSE))</f>
        <v>_</v>
      </c>
      <c r="CU492" s="47"/>
    </row>
    <row r="493" spans="1:99" x14ac:dyDescent="0.25">
      <c r="A493" s="37">
        <f>--SUBTOTAL(3,$B$3:B492)</f>
        <v>198</v>
      </c>
      <c r="B493" s="2"/>
      <c r="C493" s="3"/>
      <c r="D493" s="55" t="s">
        <v>18</v>
      </c>
      <c r="E493" s="38" t="s">
        <v>16</v>
      </c>
      <c r="F493" s="38"/>
      <c r="G493" s="39" t="str">
        <f t="shared" si="23"/>
        <v>__</v>
      </c>
      <c r="H493" s="40" t="str">
        <f t="shared" si="24"/>
        <v>FALSE</v>
      </c>
      <c r="I493" s="41">
        <f t="shared" si="25"/>
        <v>0</v>
      </c>
      <c r="J493" s="4" t="s">
        <v>16</v>
      </c>
      <c r="K493" s="43" t="str">
        <f>IF(VLOOKUP(J493,βοηθητικό!$J$2:$N$354,3,FALSE)="","",VLOOKUP(J493,βοηθητικό!$J$2:$N$354,3,FALSE))</f>
        <v>_</v>
      </c>
      <c r="L493" s="44"/>
      <c r="M493" s="5" t="s">
        <v>16</v>
      </c>
      <c r="N493" s="46" t="str">
        <f>IF(VLOOKUP(M493,βοηθητικό!$J$2:$N$354,3,FALSE)="","",VLOOKUP(M493,βοηθητικό!$J$2:$N$354,3,FALSE))</f>
        <v>_</v>
      </c>
      <c r="O493" s="47"/>
      <c r="P493" s="4" t="s">
        <v>16</v>
      </c>
      <c r="Q493" s="43" t="str">
        <f>IF(VLOOKUP(P493,βοηθητικό!$J$2:$N$354,3,FALSE)="","",VLOOKUP(P493,βοηθητικό!$J$2:$N$354,3,FALSE))</f>
        <v>_</v>
      </c>
      <c r="R493" s="44"/>
      <c r="S493" s="5" t="s">
        <v>16</v>
      </c>
      <c r="T493" s="46" t="str">
        <f>IF(VLOOKUP(S493,βοηθητικό!$J$2:$N$354,3,FALSE)="","",VLOOKUP(S493,βοηθητικό!$J$2:$N$354,3,FALSE))</f>
        <v>_</v>
      </c>
      <c r="U493" s="47"/>
      <c r="V493" s="4" t="s">
        <v>16</v>
      </c>
      <c r="W493" s="43" t="str">
        <f>IF(VLOOKUP(V493,βοηθητικό!$J$2:$N$354,3,FALSE)="","",VLOOKUP(V493,βοηθητικό!$J$2:$N$354,3,FALSE))</f>
        <v>_</v>
      </c>
      <c r="X493" s="44"/>
      <c r="Y493" s="5" t="s">
        <v>16</v>
      </c>
      <c r="Z493" s="46" t="str">
        <f>IF(VLOOKUP(Y493,βοηθητικό!$J$2:$N$354,3,FALSE)="","",VLOOKUP(Y493,βοηθητικό!$J$2:$N$354,3,FALSE))</f>
        <v>_</v>
      </c>
      <c r="AA493" s="47"/>
      <c r="AB493" s="4" t="s">
        <v>16</v>
      </c>
      <c r="AC493" s="43" t="str">
        <f>IF(VLOOKUP(AB493,βοηθητικό!$J$2:$N$354,3,FALSE)="","",VLOOKUP(AB493,βοηθητικό!$J$2:$N$354,3,FALSE))</f>
        <v>_</v>
      </c>
      <c r="AD493" s="44"/>
      <c r="AE493" s="5" t="s">
        <v>16</v>
      </c>
      <c r="AF493" s="46" t="str">
        <f>IF(VLOOKUP(AE493,βοηθητικό!$J$2:$N$354,3,FALSE)="","",VLOOKUP(AE493,βοηθητικό!$J$2:$N$354,3,FALSE))</f>
        <v>_</v>
      </c>
      <c r="AG493" s="47"/>
      <c r="AH493" s="4" t="s">
        <v>16</v>
      </c>
      <c r="AI493" s="43" t="str">
        <f>IF(VLOOKUP(AH493,βοηθητικό!$J$2:$N$354,3,FALSE)="","",VLOOKUP(AH493,βοηθητικό!$J$2:$N$354,3,FALSE))</f>
        <v>_</v>
      </c>
      <c r="AJ493" s="44"/>
      <c r="AK493" s="5" t="s">
        <v>16</v>
      </c>
      <c r="AL493" s="46" t="str">
        <f>IF(VLOOKUP(AK493,βοηθητικό!$J$2:$N$354,3,FALSE)="","",VLOOKUP(AK493,βοηθητικό!$J$2:$N$354,3,FALSE))</f>
        <v>_</v>
      </c>
      <c r="AM493" s="47"/>
      <c r="AN493" s="4" t="s">
        <v>16</v>
      </c>
      <c r="AO493" s="43" t="str">
        <f>IF(VLOOKUP(AN493,βοηθητικό!$J$2:$N$354,3,FALSE)="","",VLOOKUP(AN493,βοηθητικό!$J$2:$N$354,3,FALSE))</f>
        <v>_</v>
      </c>
      <c r="AP493" s="44"/>
      <c r="AQ493" s="5" t="s">
        <v>16</v>
      </c>
      <c r="AR493" s="46" t="str">
        <f>IF(VLOOKUP(AQ493,βοηθητικό!$J$2:$N$354,3,FALSE)="","",VLOOKUP(AQ493,βοηθητικό!$J$2:$N$354,3,FALSE))</f>
        <v>_</v>
      </c>
      <c r="AS493" s="47"/>
      <c r="AT493" s="4" t="s">
        <v>16</v>
      </c>
      <c r="AU493" s="43" t="str">
        <f>IF(VLOOKUP(AT493,βοηθητικό!$J$2:$N$354,3,FALSE)="","",VLOOKUP(AT493,βοηθητικό!$J$2:$N$354,3,FALSE))</f>
        <v>_</v>
      </c>
      <c r="AV493" s="44"/>
      <c r="AW493" s="5" t="s">
        <v>16</v>
      </c>
      <c r="AX493" s="46" t="str">
        <f>IF(VLOOKUP(AW493,βοηθητικό!$J$2:$N$354,3,FALSE)="","",VLOOKUP(AW493,βοηθητικό!$J$2:$N$354,3,FALSE))</f>
        <v>_</v>
      </c>
      <c r="AY493" s="47"/>
      <c r="AZ493" s="4" t="s">
        <v>16</v>
      </c>
      <c r="BA493" s="43" t="str">
        <f>IF(VLOOKUP(AZ493,βοηθητικό!$J$2:$N$354,3,FALSE)="","",VLOOKUP(AZ493,βοηθητικό!$J$2:$N$354,3,FALSE))</f>
        <v>_</v>
      </c>
      <c r="BB493" s="44"/>
      <c r="BC493" s="45" t="s">
        <v>16</v>
      </c>
      <c r="BD493" s="46" t="str">
        <f>IF(VLOOKUP(BC493,βοηθητικό!$J$2:$N$354,3,FALSE)="","",VLOOKUP(BC493,βοηθητικό!$J$2:$N$354,3,FALSE))</f>
        <v>_</v>
      </c>
      <c r="BE493" s="47"/>
      <c r="BF493" s="42" t="s">
        <v>16</v>
      </c>
      <c r="BG493" s="43" t="str">
        <f>IF(VLOOKUP(BF493,βοηθητικό!$J$2:$N$354,3,FALSE)="","",VLOOKUP(BF493,βοηθητικό!$J$2:$N$354,3,FALSE))</f>
        <v>_</v>
      </c>
      <c r="BH493" s="44"/>
      <c r="BI493" s="45" t="s">
        <v>16</v>
      </c>
      <c r="BJ493" s="46" t="str">
        <f>IF(VLOOKUP(BI493,βοηθητικό!$J$2:$N$354,3,FALSE)="","",VLOOKUP(BI493,βοηθητικό!$J$2:$N$354,3,FALSE))</f>
        <v>_</v>
      </c>
      <c r="BK493" s="47"/>
      <c r="BL493" s="42" t="s">
        <v>16</v>
      </c>
      <c r="BM493" s="43" t="str">
        <f>IF(VLOOKUP(BL493,βοηθητικό!$J$2:$N$354,3,FALSE)="","",VLOOKUP(BL493,βοηθητικό!$J$2:$N$354,3,FALSE))</f>
        <v>_</v>
      </c>
      <c r="BN493" s="44"/>
      <c r="BO493" s="45" t="s">
        <v>16</v>
      </c>
      <c r="BP493" s="46" t="str">
        <f>IF(VLOOKUP(BO493,βοηθητικό!$J$2:$N$354,3,FALSE)="","",VLOOKUP(BO493,βοηθητικό!$J$2:$N$354,3,FALSE))</f>
        <v>_</v>
      </c>
      <c r="BQ493" s="47"/>
      <c r="BR493" s="42" t="s">
        <v>16</v>
      </c>
      <c r="BS493" s="43" t="str">
        <f>IF(VLOOKUP(BR493,βοηθητικό!$J$2:$N$354,3,FALSE)="","",VLOOKUP(BR493,βοηθητικό!$J$2:$N$354,3,FALSE))</f>
        <v>_</v>
      </c>
      <c r="BT493" s="44"/>
      <c r="BU493" s="45" t="s">
        <v>16</v>
      </c>
      <c r="BV493" s="46" t="str">
        <f>IF(VLOOKUP(BU493,βοηθητικό!$J$2:$N$354,3,FALSE)="","",VLOOKUP(BU493,βοηθητικό!$J$2:$N$354,3,FALSE))</f>
        <v>_</v>
      </c>
      <c r="BW493" s="47"/>
      <c r="BX493" s="42" t="s">
        <v>16</v>
      </c>
      <c r="BY493" s="43" t="str">
        <f>IF(VLOOKUP(BX493,βοηθητικό!$J$2:$N$354,3,FALSE)="","",VLOOKUP(BX493,βοηθητικό!$J$2:$N$354,3,FALSE))</f>
        <v>_</v>
      </c>
      <c r="BZ493" s="44"/>
      <c r="CA493" s="45" t="s">
        <v>16</v>
      </c>
      <c r="CB493" s="46" t="str">
        <f>IF(VLOOKUP(CA493,βοηθητικό!$J$2:$N$354,3,FALSE)="","",VLOOKUP(CA493,βοηθητικό!$J$2:$N$354,3,FALSE))</f>
        <v>_</v>
      </c>
      <c r="CC493" s="47"/>
      <c r="CD493" s="42" t="s">
        <v>16</v>
      </c>
      <c r="CE493" s="43" t="str">
        <f>IF(VLOOKUP(CD493,βοηθητικό!$J$2:$N$354,3,FALSE)="","",VLOOKUP(CD493,βοηθητικό!$J$2:$N$354,3,FALSE))</f>
        <v>_</v>
      </c>
      <c r="CF493" s="44"/>
      <c r="CG493" s="45" t="s">
        <v>16</v>
      </c>
      <c r="CH493" s="46" t="str">
        <f>IF(VLOOKUP(CG493,βοηθητικό!$J$2:$N$354,3,FALSE)="","",VLOOKUP(CG493,βοηθητικό!$J$2:$N$354,3,FALSE))</f>
        <v>_</v>
      </c>
      <c r="CI493" s="47"/>
      <c r="CJ493" s="42" t="s">
        <v>16</v>
      </c>
      <c r="CK493" s="43" t="str">
        <f>IF(VLOOKUP(CJ493,βοηθητικό!$J$2:$N$354,3,FALSE)="","",VLOOKUP(CJ493,βοηθητικό!$J$2:$N$354,3,FALSE))</f>
        <v>_</v>
      </c>
      <c r="CL493" s="44"/>
      <c r="CM493" s="45" t="s">
        <v>16</v>
      </c>
      <c r="CN493" s="46" t="str">
        <f>IF(VLOOKUP(CM493,βοηθητικό!$J$2:$N$354,3,FALSE)="","",VLOOKUP(CM493,βοηθητικό!$J$2:$N$354,3,FALSE))</f>
        <v>_</v>
      </c>
      <c r="CO493" s="47"/>
      <c r="CP493" s="42" t="s">
        <v>16</v>
      </c>
      <c r="CQ493" s="43" t="str">
        <f>IF(VLOOKUP(CP493,βοηθητικό!$J$2:$N$354,3,FALSE)="","",VLOOKUP(CP493,βοηθητικό!$J$2:$N$354,3,FALSE))</f>
        <v>_</v>
      </c>
      <c r="CR493" s="44"/>
      <c r="CS493" s="45" t="s">
        <v>16</v>
      </c>
      <c r="CT493" s="46" t="str">
        <f>IF(VLOOKUP(CS493,βοηθητικό!$J$2:$N$354,3,FALSE)="","",VLOOKUP(CS493,βοηθητικό!$J$2:$N$354,3,FALSE))</f>
        <v>_</v>
      </c>
      <c r="CU493" s="47"/>
    </row>
    <row r="494" spans="1:99" x14ac:dyDescent="0.25">
      <c r="A494" s="37">
        <f>--SUBTOTAL(3,$B$3:B493)</f>
        <v>198</v>
      </c>
      <c r="B494" s="2"/>
      <c r="C494" s="3"/>
      <c r="D494" s="55" t="s">
        <v>18</v>
      </c>
      <c r="E494" s="38" t="s">
        <v>16</v>
      </c>
      <c r="F494" s="38"/>
      <c r="G494" s="39" t="str">
        <f t="shared" si="23"/>
        <v>__</v>
      </c>
      <c r="H494" s="40" t="str">
        <f t="shared" si="24"/>
        <v>FALSE</v>
      </c>
      <c r="I494" s="41">
        <f t="shared" si="25"/>
        <v>0</v>
      </c>
      <c r="J494" s="4" t="s">
        <v>16</v>
      </c>
      <c r="K494" s="43" t="str">
        <f>IF(VLOOKUP(J494,βοηθητικό!$J$2:$N$354,3,FALSE)="","",VLOOKUP(J494,βοηθητικό!$J$2:$N$354,3,FALSE))</f>
        <v>_</v>
      </c>
      <c r="L494" s="44"/>
      <c r="M494" s="5" t="s">
        <v>16</v>
      </c>
      <c r="N494" s="46" t="str">
        <f>IF(VLOOKUP(M494,βοηθητικό!$J$2:$N$354,3,FALSE)="","",VLOOKUP(M494,βοηθητικό!$J$2:$N$354,3,FALSE))</f>
        <v>_</v>
      </c>
      <c r="O494" s="47"/>
      <c r="P494" s="4" t="s">
        <v>16</v>
      </c>
      <c r="Q494" s="43" t="str">
        <f>IF(VLOOKUP(P494,βοηθητικό!$J$2:$N$354,3,FALSE)="","",VLOOKUP(P494,βοηθητικό!$J$2:$N$354,3,FALSE))</f>
        <v>_</v>
      </c>
      <c r="R494" s="44"/>
      <c r="S494" s="5" t="s">
        <v>16</v>
      </c>
      <c r="T494" s="46" t="str">
        <f>IF(VLOOKUP(S494,βοηθητικό!$J$2:$N$354,3,FALSE)="","",VLOOKUP(S494,βοηθητικό!$J$2:$N$354,3,FALSE))</f>
        <v>_</v>
      </c>
      <c r="U494" s="47"/>
      <c r="V494" s="4" t="s">
        <v>16</v>
      </c>
      <c r="W494" s="43" t="str">
        <f>IF(VLOOKUP(V494,βοηθητικό!$J$2:$N$354,3,FALSE)="","",VLOOKUP(V494,βοηθητικό!$J$2:$N$354,3,FALSE))</f>
        <v>_</v>
      </c>
      <c r="X494" s="44"/>
      <c r="Y494" s="5" t="s">
        <v>16</v>
      </c>
      <c r="Z494" s="46" t="str">
        <f>IF(VLOOKUP(Y494,βοηθητικό!$J$2:$N$354,3,FALSE)="","",VLOOKUP(Y494,βοηθητικό!$J$2:$N$354,3,FALSE))</f>
        <v>_</v>
      </c>
      <c r="AA494" s="47"/>
      <c r="AB494" s="4" t="s">
        <v>16</v>
      </c>
      <c r="AC494" s="43" t="str">
        <f>IF(VLOOKUP(AB494,βοηθητικό!$J$2:$N$354,3,FALSE)="","",VLOOKUP(AB494,βοηθητικό!$J$2:$N$354,3,FALSE))</f>
        <v>_</v>
      </c>
      <c r="AD494" s="44"/>
      <c r="AE494" s="5" t="s">
        <v>16</v>
      </c>
      <c r="AF494" s="46" t="str">
        <f>IF(VLOOKUP(AE494,βοηθητικό!$J$2:$N$354,3,FALSE)="","",VLOOKUP(AE494,βοηθητικό!$J$2:$N$354,3,FALSE))</f>
        <v>_</v>
      </c>
      <c r="AG494" s="47"/>
      <c r="AH494" s="4" t="s">
        <v>16</v>
      </c>
      <c r="AI494" s="43" t="str">
        <f>IF(VLOOKUP(AH494,βοηθητικό!$J$2:$N$354,3,FALSE)="","",VLOOKUP(AH494,βοηθητικό!$J$2:$N$354,3,FALSE))</f>
        <v>_</v>
      </c>
      <c r="AJ494" s="44"/>
      <c r="AK494" s="5" t="s">
        <v>16</v>
      </c>
      <c r="AL494" s="46" t="str">
        <f>IF(VLOOKUP(AK494,βοηθητικό!$J$2:$N$354,3,FALSE)="","",VLOOKUP(AK494,βοηθητικό!$J$2:$N$354,3,FALSE))</f>
        <v>_</v>
      </c>
      <c r="AM494" s="47"/>
      <c r="AN494" s="4" t="s">
        <v>16</v>
      </c>
      <c r="AO494" s="43" t="str">
        <f>IF(VLOOKUP(AN494,βοηθητικό!$J$2:$N$354,3,FALSE)="","",VLOOKUP(AN494,βοηθητικό!$J$2:$N$354,3,FALSE))</f>
        <v>_</v>
      </c>
      <c r="AP494" s="44"/>
      <c r="AQ494" s="5" t="s">
        <v>16</v>
      </c>
      <c r="AR494" s="46" t="str">
        <f>IF(VLOOKUP(AQ494,βοηθητικό!$J$2:$N$354,3,FALSE)="","",VLOOKUP(AQ494,βοηθητικό!$J$2:$N$354,3,FALSE))</f>
        <v>_</v>
      </c>
      <c r="AS494" s="47"/>
      <c r="AT494" s="4" t="s">
        <v>16</v>
      </c>
      <c r="AU494" s="43" t="str">
        <f>IF(VLOOKUP(AT494,βοηθητικό!$J$2:$N$354,3,FALSE)="","",VLOOKUP(AT494,βοηθητικό!$J$2:$N$354,3,FALSE))</f>
        <v>_</v>
      </c>
      <c r="AV494" s="44"/>
      <c r="AW494" s="5" t="s">
        <v>16</v>
      </c>
      <c r="AX494" s="46" t="str">
        <f>IF(VLOOKUP(AW494,βοηθητικό!$J$2:$N$354,3,FALSE)="","",VLOOKUP(AW494,βοηθητικό!$J$2:$N$354,3,FALSE))</f>
        <v>_</v>
      </c>
      <c r="AY494" s="47"/>
      <c r="AZ494" s="4" t="s">
        <v>16</v>
      </c>
      <c r="BA494" s="43" t="str">
        <f>IF(VLOOKUP(AZ494,βοηθητικό!$J$2:$N$354,3,FALSE)="","",VLOOKUP(AZ494,βοηθητικό!$J$2:$N$354,3,FALSE))</f>
        <v>_</v>
      </c>
      <c r="BB494" s="44"/>
      <c r="BC494" s="45" t="s">
        <v>16</v>
      </c>
      <c r="BD494" s="46" t="str">
        <f>IF(VLOOKUP(BC494,βοηθητικό!$J$2:$N$354,3,FALSE)="","",VLOOKUP(BC494,βοηθητικό!$J$2:$N$354,3,FALSE))</f>
        <v>_</v>
      </c>
      <c r="BE494" s="47"/>
      <c r="BF494" s="42" t="s">
        <v>16</v>
      </c>
      <c r="BG494" s="43" t="str">
        <f>IF(VLOOKUP(BF494,βοηθητικό!$J$2:$N$354,3,FALSE)="","",VLOOKUP(BF494,βοηθητικό!$J$2:$N$354,3,FALSE))</f>
        <v>_</v>
      </c>
      <c r="BH494" s="44"/>
      <c r="BI494" s="45" t="s">
        <v>16</v>
      </c>
      <c r="BJ494" s="46" t="str">
        <f>IF(VLOOKUP(BI494,βοηθητικό!$J$2:$N$354,3,FALSE)="","",VLOOKUP(BI494,βοηθητικό!$J$2:$N$354,3,FALSE))</f>
        <v>_</v>
      </c>
      <c r="BK494" s="47"/>
      <c r="BL494" s="42" t="s">
        <v>16</v>
      </c>
      <c r="BM494" s="43" t="str">
        <f>IF(VLOOKUP(BL494,βοηθητικό!$J$2:$N$354,3,FALSE)="","",VLOOKUP(BL494,βοηθητικό!$J$2:$N$354,3,FALSE))</f>
        <v>_</v>
      </c>
      <c r="BN494" s="44"/>
      <c r="BO494" s="45" t="s">
        <v>16</v>
      </c>
      <c r="BP494" s="46" t="str">
        <f>IF(VLOOKUP(BO494,βοηθητικό!$J$2:$N$354,3,FALSE)="","",VLOOKUP(BO494,βοηθητικό!$J$2:$N$354,3,FALSE))</f>
        <v>_</v>
      </c>
      <c r="BQ494" s="47"/>
      <c r="BR494" s="42" t="s">
        <v>16</v>
      </c>
      <c r="BS494" s="43" t="str">
        <f>IF(VLOOKUP(BR494,βοηθητικό!$J$2:$N$354,3,FALSE)="","",VLOOKUP(BR494,βοηθητικό!$J$2:$N$354,3,FALSE))</f>
        <v>_</v>
      </c>
      <c r="BT494" s="44"/>
      <c r="BU494" s="45" t="s">
        <v>16</v>
      </c>
      <c r="BV494" s="46" t="str">
        <f>IF(VLOOKUP(BU494,βοηθητικό!$J$2:$N$354,3,FALSE)="","",VLOOKUP(BU494,βοηθητικό!$J$2:$N$354,3,FALSE))</f>
        <v>_</v>
      </c>
      <c r="BW494" s="47"/>
      <c r="BX494" s="42" t="s">
        <v>16</v>
      </c>
      <c r="BY494" s="43" t="str">
        <f>IF(VLOOKUP(BX494,βοηθητικό!$J$2:$N$354,3,FALSE)="","",VLOOKUP(BX494,βοηθητικό!$J$2:$N$354,3,FALSE))</f>
        <v>_</v>
      </c>
      <c r="BZ494" s="44"/>
      <c r="CA494" s="45" t="s">
        <v>16</v>
      </c>
      <c r="CB494" s="46" t="str">
        <f>IF(VLOOKUP(CA494,βοηθητικό!$J$2:$N$354,3,FALSE)="","",VLOOKUP(CA494,βοηθητικό!$J$2:$N$354,3,FALSE))</f>
        <v>_</v>
      </c>
      <c r="CC494" s="47"/>
      <c r="CD494" s="42" t="s">
        <v>16</v>
      </c>
      <c r="CE494" s="43" t="str">
        <f>IF(VLOOKUP(CD494,βοηθητικό!$J$2:$N$354,3,FALSE)="","",VLOOKUP(CD494,βοηθητικό!$J$2:$N$354,3,FALSE))</f>
        <v>_</v>
      </c>
      <c r="CF494" s="44"/>
      <c r="CG494" s="45" t="s">
        <v>16</v>
      </c>
      <c r="CH494" s="46" t="str">
        <f>IF(VLOOKUP(CG494,βοηθητικό!$J$2:$N$354,3,FALSE)="","",VLOOKUP(CG494,βοηθητικό!$J$2:$N$354,3,FALSE))</f>
        <v>_</v>
      </c>
      <c r="CI494" s="47"/>
      <c r="CJ494" s="42" t="s">
        <v>16</v>
      </c>
      <c r="CK494" s="43" t="str">
        <f>IF(VLOOKUP(CJ494,βοηθητικό!$J$2:$N$354,3,FALSE)="","",VLOOKUP(CJ494,βοηθητικό!$J$2:$N$354,3,FALSE))</f>
        <v>_</v>
      </c>
      <c r="CL494" s="44"/>
      <c r="CM494" s="45" t="s">
        <v>16</v>
      </c>
      <c r="CN494" s="46" t="str">
        <f>IF(VLOOKUP(CM494,βοηθητικό!$J$2:$N$354,3,FALSE)="","",VLOOKUP(CM494,βοηθητικό!$J$2:$N$354,3,FALSE))</f>
        <v>_</v>
      </c>
      <c r="CO494" s="47"/>
      <c r="CP494" s="42" t="s">
        <v>16</v>
      </c>
      <c r="CQ494" s="43" t="str">
        <f>IF(VLOOKUP(CP494,βοηθητικό!$J$2:$N$354,3,FALSE)="","",VLOOKUP(CP494,βοηθητικό!$J$2:$N$354,3,FALSE))</f>
        <v>_</v>
      </c>
      <c r="CR494" s="44"/>
      <c r="CS494" s="45" t="s">
        <v>16</v>
      </c>
      <c r="CT494" s="46" t="str">
        <f>IF(VLOOKUP(CS494,βοηθητικό!$J$2:$N$354,3,FALSE)="","",VLOOKUP(CS494,βοηθητικό!$J$2:$N$354,3,FALSE))</f>
        <v>_</v>
      </c>
      <c r="CU494" s="47"/>
    </row>
    <row r="495" spans="1:99" x14ac:dyDescent="0.25">
      <c r="A495" s="37">
        <f>--SUBTOTAL(3,$B$3:B494)</f>
        <v>198</v>
      </c>
      <c r="B495" s="2"/>
      <c r="C495" s="3"/>
      <c r="D495" s="55" t="s">
        <v>18</v>
      </c>
      <c r="E495" s="38" t="s">
        <v>16</v>
      </c>
      <c r="F495" s="38"/>
      <c r="G495" s="39" t="str">
        <f t="shared" si="23"/>
        <v>__</v>
      </c>
      <c r="H495" s="40" t="str">
        <f t="shared" si="24"/>
        <v>FALSE</v>
      </c>
      <c r="I495" s="41">
        <f t="shared" si="25"/>
        <v>0</v>
      </c>
      <c r="J495" s="4" t="s">
        <v>16</v>
      </c>
      <c r="K495" s="43" t="str">
        <f>IF(VLOOKUP(J495,βοηθητικό!$J$2:$N$354,3,FALSE)="","",VLOOKUP(J495,βοηθητικό!$J$2:$N$354,3,FALSE))</f>
        <v>_</v>
      </c>
      <c r="L495" s="44"/>
      <c r="M495" s="5" t="s">
        <v>16</v>
      </c>
      <c r="N495" s="46" t="str">
        <f>IF(VLOOKUP(M495,βοηθητικό!$J$2:$N$354,3,FALSE)="","",VLOOKUP(M495,βοηθητικό!$J$2:$N$354,3,FALSE))</f>
        <v>_</v>
      </c>
      <c r="O495" s="47"/>
      <c r="P495" s="4" t="s">
        <v>16</v>
      </c>
      <c r="Q495" s="43" t="str">
        <f>IF(VLOOKUP(P495,βοηθητικό!$J$2:$N$354,3,FALSE)="","",VLOOKUP(P495,βοηθητικό!$J$2:$N$354,3,FALSE))</f>
        <v>_</v>
      </c>
      <c r="R495" s="44"/>
      <c r="S495" s="5" t="s">
        <v>16</v>
      </c>
      <c r="T495" s="46" t="str">
        <f>IF(VLOOKUP(S495,βοηθητικό!$J$2:$N$354,3,FALSE)="","",VLOOKUP(S495,βοηθητικό!$J$2:$N$354,3,FALSE))</f>
        <v>_</v>
      </c>
      <c r="U495" s="47"/>
      <c r="V495" s="4" t="s">
        <v>16</v>
      </c>
      <c r="W495" s="43" t="str">
        <f>IF(VLOOKUP(V495,βοηθητικό!$J$2:$N$354,3,FALSE)="","",VLOOKUP(V495,βοηθητικό!$J$2:$N$354,3,FALSE))</f>
        <v>_</v>
      </c>
      <c r="X495" s="44"/>
      <c r="Y495" s="5" t="s">
        <v>16</v>
      </c>
      <c r="Z495" s="46" t="str">
        <f>IF(VLOOKUP(Y495,βοηθητικό!$J$2:$N$354,3,FALSE)="","",VLOOKUP(Y495,βοηθητικό!$J$2:$N$354,3,FALSE))</f>
        <v>_</v>
      </c>
      <c r="AA495" s="47"/>
      <c r="AB495" s="4" t="s">
        <v>16</v>
      </c>
      <c r="AC495" s="43" t="str">
        <f>IF(VLOOKUP(AB495,βοηθητικό!$J$2:$N$354,3,FALSE)="","",VLOOKUP(AB495,βοηθητικό!$J$2:$N$354,3,FALSE))</f>
        <v>_</v>
      </c>
      <c r="AD495" s="44"/>
      <c r="AE495" s="5" t="s">
        <v>16</v>
      </c>
      <c r="AF495" s="46" t="str">
        <f>IF(VLOOKUP(AE495,βοηθητικό!$J$2:$N$354,3,FALSE)="","",VLOOKUP(AE495,βοηθητικό!$J$2:$N$354,3,FALSE))</f>
        <v>_</v>
      </c>
      <c r="AG495" s="47"/>
      <c r="AH495" s="4" t="s">
        <v>16</v>
      </c>
      <c r="AI495" s="43" t="str">
        <f>IF(VLOOKUP(AH495,βοηθητικό!$J$2:$N$354,3,FALSE)="","",VLOOKUP(AH495,βοηθητικό!$J$2:$N$354,3,FALSE))</f>
        <v>_</v>
      </c>
      <c r="AJ495" s="44"/>
      <c r="AK495" s="5" t="s">
        <v>16</v>
      </c>
      <c r="AL495" s="46" t="str">
        <f>IF(VLOOKUP(AK495,βοηθητικό!$J$2:$N$354,3,FALSE)="","",VLOOKUP(AK495,βοηθητικό!$J$2:$N$354,3,FALSE))</f>
        <v>_</v>
      </c>
      <c r="AM495" s="47"/>
      <c r="AN495" s="4" t="s">
        <v>16</v>
      </c>
      <c r="AO495" s="43" t="str">
        <f>IF(VLOOKUP(AN495,βοηθητικό!$J$2:$N$354,3,FALSE)="","",VLOOKUP(AN495,βοηθητικό!$J$2:$N$354,3,FALSE))</f>
        <v>_</v>
      </c>
      <c r="AP495" s="44"/>
      <c r="AQ495" s="5" t="s">
        <v>16</v>
      </c>
      <c r="AR495" s="46" t="str">
        <f>IF(VLOOKUP(AQ495,βοηθητικό!$J$2:$N$354,3,FALSE)="","",VLOOKUP(AQ495,βοηθητικό!$J$2:$N$354,3,FALSE))</f>
        <v>_</v>
      </c>
      <c r="AS495" s="47"/>
      <c r="AT495" s="4" t="s">
        <v>16</v>
      </c>
      <c r="AU495" s="43" t="str">
        <f>IF(VLOOKUP(AT495,βοηθητικό!$J$2:$N$354,3,FALSE)="","",VLOOKUP(AT495,βοηθητικό!$J$2:$N$354,3,FALSE))</f>
        <v>_</v>
      </c>
      <c r="AV495" s="44"/>
      <c r="AW495" s="5" t="s">
        <v>16</v>
      </c>
      <c r="AX495" s="46" t="str">
        <f>IF(VLOOKUP(AW495,βοηθητικό!$J$2:$N$354,3,FALSE)="","",VLOOKUP(AW495,βοηθητικό!$J$2:$N$354,3,FALSE))</f>
        <v>_</v>
      </c>
      <c r="AY495" s="47"/>
      <c r="AZ495" s="4" t="s">
        <v>16</v>
      </c>
      <c r="BA495" s="43" t="str">
        <f>IF(VLOOKUP(AZ495,βοηθητικό!$J$2:$N$354,3,FALSE)="","",VLOOKUP(AZ495,βοηθητικό!$J$2:$N$354,3,FALSE))</f>
        <v>_</v>
      </c>
      <c r="BB495" s="44"/>
      <c r="BC495" s="45" t="s">
        <v>16</v>
      </c>
      <c r="BD495" s="46" t="str">
        <f>IF(VLOOKUP(BC495,βοηθητικό!$J$2:$N$354,3,FALSE)="","",VLOOKUP(BC495,βοηθητικό!$J$2:$N$354,3,FALSE))</f>
        <v>_</v>
      </c>
      <c r="BE495" s="47"/>
      <c r="BF495" s="42" t="s">
        <v>16</v>
      </c>
      <c r="BG495" s="43" t="str">
        <f>IF(VLOOKUP(BF495,βοηθητικό!$J$2:$N$354,3,FALSE)="","",VLOOKUP(BF495,βοηθητικό!$J$2:$N$354,3,FALSE))</f>
        <v>_</v>
      </c>
      <c r="BH495" s="44"/>
      <c r="BI495" s="45" t="s">
        <v>16</v>
      </c>
      <c r="BJ495" s="46" t="str">
        <f>IF(VLOOKUP(BI495,βοηθητικό!$J$2:$N$354,3,FALSE)="","",VLOOKUP(BI495,βοηθητικό!$J$2:$N$354,3,FALSE))</f>
        <v>_</v>
      </c>
      <c r="BK495" s="47"/>
      <c r="BL495" s="42" t="s">
        <v>16</v>
      </c>
      <c r="BM495" s="43" t="str">
        <f>IF(VLOOKUP(BL495,βοηθητικό!$J$2:$N$354,3,FALSE)="","",VLOOKUP(BL495,βοηθητικό!$J$2:$N$354,3,FALSE))</f>
        <v>_</v>
      </c>
      <c r="BN495" s="44"/>
      <c r="BO495" s="45" t="s">
        <v>16</v>
      </c>
      <c r="BP495" s="46" t="str">
        <f>IF(VLOOKUP(BO495,βοηθητικό!$J$2:$N$354,3,FALSE)="","",VLOOKUP(BO495,βοηθητικό!$J$2:$N$354,3,FALSE))</f>
        <v>_</v>
      </c>
      <c r="BQ495" s="47"/>
      <c r="BR495" s="42" t="s">
        <v>16</v>
      </c>
      <c r="BS495" s="43" t="str">
        <f>IF(VLOOKUP(BR495,βοηθητικό!$J$2:$N$354,3,FALSE)="","",VLOOKUP(BR495,βοηθητικό!$J$2:$N$354,3,FALSE))</f>
        <v>_</v>
      </c>
      <c r="BT495" s="44"/>
      <c r="BU495" s="45" t="s">
        <v>16</v>
      </c>
      <c r="BV495" s="46" t="str">
        <f>IF(VLOOKUP(BU495,βοηθητικό!$J$2:$N$354,3,FALSE)="","",VLOOKUP(BU495,βοηθητικό!$J$2:$N$354,3,FALSE))</f>
        <v>_</v>
      </c>
      <c r="BW495" s="47"/>
      <c r="BX495" s="42" t="s">
        <v>16</v>
      </c>
      <c r="BY495" s="43" t="str">
        <f>IF(VLOOKUP(BX495,βοηθητικό!$J$2:$N$354,3,FALSE)="","",VLOOKUP(BX495,βοηθητικό!$J$2:$N$354,3,FALSE))</f>
        <v>_</v>
      </c>
      <c r="BZ495" s="44"/>
      <c r="CA495" s="45" t="s">
        <v>16</v>
      </c>
      <c r="CB495" s="46" t="str">
        <f>IF(VLOOKUP(CA495,βοηθητικό!$J$2:$N$354,3,FALSE)="","",VLOOKUP(CA495,βοηθητικό!$J$2:$N$354,3,FALSE))</f>
        <v>_</v>
      </c>
      <c r="CC495" s="47"/>
      <c r="CD495" s="42" t="s">
        <v>16</v>
      </c>
      <c r="CE495" s="43" t="str">
        <f>IF(VLOOKUP(CD495,βοηθητικό!$J$2:$N$354,3,FALSE)="","",VLOOKUP(CD495,βοηθητικό!$J$2:$N$354,3,FALSE))</f>
        <v>_</v>
      </c>
      <c r="CF495" s="44"/>
      <c r="CG495" s="45" t="s">
        <v>16</v>
      </c>
      <c r="CH495" s="46" t="str">
        <f>IF(VLOOKUP(CG495,βοηθητικό!$J$2:$N$354,3,FALSE)="","",VLOOKUP(CG495,βοηθητικό!$J$2:$N$354,3,FALSE))</f>
        <v>_</v>
      </c>
      <c r="CI495" s="47"/>
      <c r="CJ495" s="42" t="s">
        <v>16</v>
      </c>
      <c r="CK495" s="43" t="str">
        <f>IF(VLOOKUP(CJ495,βοηθητικό!$J$2:$N$354,3,FALSE)="","",VLOOKUP(CJ495,βοηθητικό!$J$2:$N$354,3,FALSE))</f>
        <v>_</v>
      </c>
      <c r="CL495" s="44"/>
      <c r="CM495" s="45" t="s">
        <v>16</v>
      </c>
      <c r="CN495" s="46" t="str">
        <f>IF(VLOOKUP(CM495,βοηθητικό!$J$2:$N$354,3,FALSE)="","",VLOOKUP(CM495,βοηθητικό!$J$2:$N$354,3,FALSE))</f>
        <v>_</v>
      </c>
      <c r="CO495" s="47"/>
      <c r="CP495" s="42" t="s">
        <v>16</v>
      </c>
      <c r="CQ495" s="43" t="str">
        <f>IF(VLOOKUP(CP495,βοηθητικό!$J$2:$N$354,3,FALSE)="","",VLOOKUP(CP495,βοηθητικό!$J$2:$N$354,3,FALSE))</f>
        <v>_</v>
      </c>
      <c r="CR495" s="44"/>
      <c r="CS495" s="45" t="s">
        <v>16</v>
      </c>
      <c r="CT495" s="46" t="str">
        <f>IF(VLOOKUP(CS495,βοηθητικό!$J$2:$N$354,3,FALSE)="","",VLOOKUP(CS495,βοηθητικό!$J$2:$N$354,3,FALSE))</f>
        <v>_</v>
      </c>
      <c r="CU495" s="47"/>
    </row>
    <row r="496" spans="1:99" x14ac:dyDescent="0.25">
      <c r="A496" s="37">
        <f>--SUBTOTAL(3,$B$3:B495)</f>
        <v>198</v>
      </c>
      <c r="B496" s="2"/>
      <c r="C496" s="3"/>
      <c r="D496" s="55" t="s">
        <v>18</v>
      </c>
      <c r="E496" s="38" t="s">
        <v>16</v>
      </c>
      <c r="F496" s="38"/>
      <c r="G496" s="39" t="str">
        <f t="shared" si="23"/>
        <v>__</v>
      </c>
      <c r="H496" s="40" t="str">
        <f t="shared" si="24"/>
        <v>FALSE</v>
      </c>
      <c r="I496" s="41">
        <f t="shared" si="25"/>
        <v>0</v>
      </c>
      <c r="J496" s="4" t="s">
        <v>16</v>
      </c>
      <c r="K496" s="43" t="str">
        <f>IF(VLOOKUP(J496,βοηθητικό!$J$2:$N$354,3,FALSE)="","",VLOOKUP(J496,βοηθητικό!$J$2:$N$354,3,FALSE))</f>
        <v>_</v>
      </c>
      <c r="L496" s="44"/>
      <c r="M496" s="5" t="s">
        <v>16</v>
      </c>
      <c r="N496" s="46" t="str">
        <f>IF(VLOOKUP(M496,βοηθητικό!$J$2:$N$354,3,FALSE)="","",VLOOKUP(M496,βοηθητικό!$J$2:$N$354,3,FALSE))</f>
        <v>_</v>
      </c>
      <c r="O496" s="47"/>
      <c r="P496" s="4" t="s">
        <v>16</v>
      </c>
      <c r="Q496" s="43" t="str">
        <f>IF(VLOOKUP(P496,βοηθητικό!$J$2:$N$354,3,FALSE)="","",VLOOKUP(P496,βοηθητικό!$J$2:$N$354,3,FALSE))</f>
        <v>_</v>
      </c>
      <c r="R496" s="44"/>
      <c r="S496" s="5" t="s">
        <v>16</v>
      </c>
      <c r="T496" s="46" t="str">
        <f>IF(VLOOKUP(S496,βοηθητικό!$J$2:$N$354,3,FALSE)="","",VLOOKUP(S496,βοηθητικό!$J$2:$N$354,3,FALSE))</f>
        <v>_</v>
      </c>
      <c r="U496" s="47"/>
      <c r="V496" s="4" t="s">
        <v>16</v>
      </c>
      <c r="W496" s="43" t="str">
        <f>IF(VLOOKUP(V496,βοηθητικό!$J$2:$N$354,3,FALSE)="","",VLOOKUP(V496,βοηθητικό!$J$2:$N$354,3,FALSE))</f>
        <v>_</v>
      </c>
      <c r="X496" s="44"/>
      <c r="Y496" s="5" t="s">
        <v>16</v>
      </c>
      <c r="Z496" s="46" t="str">
        <f>IF(VLOOKUP(Y496,βοηθητικό!$J$2:$N$354,3,FALSE)="","",VLOOKUP(Y496,βοηθητικό!$J$2:$N$354,3,FALSE))</f>
        <v>_</v>
      </c>
      <c r="AA496" s="47"/>
      <c r="AB496" s="4" t="s">
        <v>16</v>
      </c>
      <c r="AC496" s="43" t="str">
        <f>IF(VLOOKUP(AB496,βοηθητικό!$J$2:$N$354,3,FALSE)="","",VLOOKUP(AB496,βοηθητικό!$J$2:$N$354,3,FALSE))</f>
        <v>_</v>
      </c>
      <c r="AD496" s="44"/>
      <c r="AE496" s="5" t="s">
        <v>16</v>
      </c>
      <c r="AF496" s="46" t="str">
        <f>IF(VLOOKUP(AE496,βοηθητικό!$J$2:$N$354,3,FALSE)="","",VLOOKUP(AE496,βοηθητικό!$J$2:$N$354,3,FALSE))</f>
        <v>_</v>
      </c>
      <c r="AG496" s="47"/>
      <c r="AH496" s="4" t="s">
        <v>16</v>
      </c>
      <c r="AI496" s="43" t="str">
        <f>IF(VLOOKUP(AH496,βοηθητικό!$J$2:$N$354,3,FALSE)="","",VLOOKUP(AH496,βοηθητικό!$J$2:$N$354,3,FALSE))</f>
        <v>_</v>
      </c>
      <c r="AJ496" s="44"/>
      <c r="AK496" s="5" t="s">
        <v>16</v>
      </c>
      <c r="AL496" s="46" t="str">
        <f>IF(VLOOKUP(AK496,βοηθητικό!$J$2:$N$354,3,FALSE)="","",VLOOKUP(AK496,βοηθητικό!$J$2:$N$354,3,FALSE))</f>
        <v>_</v>
      </c>
      <c r="AM496" s="47"/>
      <c r="AN496" s="4" t="s">
        <v>16</v>
      </c>
      <c r="AO496" s="43" t="str">
        <f>IF(VLOOKUP(AN496,βοηθητικό!$J$2:$N$354,3,FALSE)="","",VLOOKUP(AN496,βοηθητικό!$J$2:$N$354,3,FALSE))</f>
        <v>_</v>
      </c>
      <c r="AP496" s="44"/>
      <c r="AQ496" s="5" t="s">
        <v>16</v>
      </c>
      <c r="AR496" s="46" t="str">
        <f>IF(VLOOKUP(AQ496,βοηθητικό!$J$2:$N$354,3,FALSE)="","",VLOOKUP(AQ496,βοηθητικό!$J$2:$N$354,3,FALSE))</f>
        <v>_</v>
      </c>
      <c r="AS496" s="47"/>
      <c r="AT496" s="4" t="s">
        <v>16</v>
      </c>
      <c r="AU496" s="43" t="str">
        <f>IF(VLOOKUP(AT496,βοηθητικό!$J$2:$N$354,3,FALSE)="","",VLOOKUP(AT496,βοηθητικό!$J$2:$N$354,3,FALSE))</f>
        <v>_</v>
      </c>
      <c r="AV496" s="44"/>
      <c r="AW496" s="5" t="s">
        <v>16</v>
      </c>
      <c r="AX496" s="46" t="str">
        <f>IF(VLOOKUP(AW496,βοηθητικό!$J$2:$N$354,3,FALSE)="","",VLOOKUP(AW496,βοηθητικό!$J$2:$N$354,3,FALSE))</f>
        <v>_</v>
      </c>
      <c r="AY496" s="47"/>
      <c r="AZ496" s="4" t="s">
        <v>16</v>
      </c>
      <c r="BA496" s="43" t="str">
        <f>IF(VLOOKUP(AZ496,βοηθητικό!$J$2:$N$354,3,FALSE)="","",VLOOKUP(AZ496,βοηθητικό!$J$2:$N$354,3,FALSE))</f>
        <v>_</v>
      </c>
      <c r="BB496" s="44"/>
      <c r="BC496" s="45" t="s">
        <v>16</v>
      </c>
      <c r="BD496" s="46" t="str">
        <f>IF(VLOOKUP(BC496,βοηθητικό!$J$2:$N$354,3,FALSE)="","",VLOOKUP(BC496,βοηθητικό!$J$2:$N$354,3,FALSE))</f>
        <v>_</v>
      </c>
      <c r="BE496" s="47"/>
      <c r="BF496" s="42" t="s">
        <v>16</v>
      </c>
      <c r="BG496" s="43" t="str">
        <f>IF(VLOOKUP(BF496,βοηθητικό!$J$2:$N$354,3,FALSE)="","",VLOOKUP(BF496,βοηθητικό!$J$2:$N$354,3,FALSE))</f>
        <v>_</v>
      </c>
      <c r="BH496" s="44"/>
      <c r="BI496" s="45" t="s">
        <v>16</v>
      </c>
      <c r="BJ496" s="46" t="str">
        <f>IF(VLOOKUP(BI496,βοηθητικό!$J$2:$N$354,3,FALSE)="","",VLOOKUP(BI496,βοηθητικό!$J$2:$N$354,3,FALSE))</f>
        <v>_</v>
      </c>
      <c r="BK496" s="47"/>
      <c r="BL496" s="42" t="s">
        <v>16</v>
      </c>
      <c r="BM496" s="43" t="str">
        <f>IF(VLOOKUP(BL496,βοηθητικό!$J$2:$N$354,3,FALSE)="","",VLOOKUP(BL496,βοηθητικό!$J$2:$N$354,3,FALSE))</f>
        <v>_</v>
      </c>
      <c r="BN496" s="44"/>
      <c r="BO496" s="45" t="s">
        <v>16</v>
      </c>
      <c r="BP496" s="46" t="str">
        <f>IF(VLOOKUP(BO496,βοηθητικό!$J$2:$N$354,3,FALSE)="","",VLOOKUP(BO496,βοηθητικό!$J$2:$N$354,3,FALSE))</f>
        <v>_</v>
      </c>
      <c r="BQ496" s="47"/>
      <c r="BR496" s="42" t="s">
        <v>16</v>
      </c>
      <c r="BS496" s="43" t="str">
        <f>IF(VLOOKUP(BR496,βοηθητικό!$J$2:$N$354,3,FALSE)="","",VLOOKUP(BR496,βοηθητικό!$J$2:$N$354,3,FALSE))</f>
        <v>_</v>
      </c>
      <c r="BT496" s="44"/>
      <c r="BU496" s="45" t="s">
        <v>16</v>
      </c>
      <c r="BV496" s="46" t="str">
        <f>IF(VLOOKUP(BU496,βοηθητικό!$J$2:$N$354,3,FALSE)="","",VLOOKUP(BU496,βοηθητικό!$J$2:$N$354,3,FALSE))</f>
        <v>_</v>
      </c>
      <c r="BW496" s="47"/>
      <c r="BX496" s="42" t="s">
        <v>16</v>
      </c>
      <c r="BY496" s="43" t="str">
        <f>IF(VLOOKUP(BX496,βοηθητικό!$J$2:$N$354,3,FALSE)="","",VLOOKUP(BX496,βοηθητικό!$J$2:$N$354,3,FALSE))</f>
        <v>_</v>
      </c>
      <c r="BZ496" s="44"/>
      <c r="CA496" s="45" t="s">
        <v>16</v>
      </c>
      <c r="CB496" s="46" t="str">
        <f>IF(VLOOKUP(CA496,βοηθητικό!$J$2:$N$354,3,FALSE)="","",VLOOKUP(CA496,βοηθητικό!$J$2:$N$354,3,FALSE))</f>
        <v>_</v>
      </c>
      <c r="CC496" s="47"/>
      <c r="CD496" s="42" t="s">
        <v>16</v>
      </c>
      <c r="CE496" s="43" t="str">
        <f>IF(VLOOKUP(CD496,βοηθητικό!$J$2:$N$354,3,FALSE)="","",VLOOKUP(CD496,βοηθητικό!$J$2:$N$354,3,FALSE))</f>
        <v>_</v>
      </c>
      <c r="CF496" s="44"/>
      <c r="CG496" s="45" t="s">
        <v>16</v>
      </c>
      <c r="CH496" s="46" t="str">
        <f>IF(VLOOKUP(CG496,βοηθητικό!$J$2:$N$354,3,FALSE)="","",VLOOKUP(CG496,βοηθητικό!$J$2:$N$354,3,FALSE))</f>
        <v>_</v>
      </c>
      <c r="CI496" s="47"/>
      <c r="CJ496" s="42" t="s">
        <v>16</v>
      </c>
      <c r="CK496" s="43" t="str">
        <f>IF(VLOOKUP(CJ496,βοηθητικό!$J$2:$N$354,3,FALSE)="","",VLOOKUP(CJ496,βοηθητικό!$J$2:$N$354,3,FALSE))</f>
        <v>_</v>
      </c>
      <c r="CL496" s="44"/>
      <c r="CM496" s="45" t="s">
        <v>16</v>
      </c>
      <c r="CN496" s="46" t="str">
        <f>IF(VLOOKUP(CM496,βοηθητικό!$J$2:$N$354,3,FALSE)="","",VLOOKUP(CM496,βοηθητικό!$J$2:$N$354,3,FALSE))</f>
        <v>_</v>
      </c>
      <c r="CO496" s="47"/>
      <c r="CP496" s="42" t="s">
        <v>16</v>
      </c>
      <c r="CQ496" s="43" t="str">
        <f>IF(VLOOKUP(CP496,βοηθητικό!$J$2:$N$354,3,FALSE)="","",VLOOKUP(CP496,βοηθητικό!$J$2:$N$354,3,FALSE))</f>
        <v>_</v>
      </c>
      <c r="CR496" s="44"/>
      <c r="CS496" s="45" t="s">
        <v>16</v>
      </c>
      <c r="CT496" s="46" t="str">
        <f>IF(VLOOKUP(CS496,βοηθητικό!$J$2:$N$354,3,FALSE)="","",VLOOKUP(CS496,βοηθητικό!$J$2:$N$354,3,FALSE))</f>
        <v>_</v>
      </c>
      <c r="CU496" s="47"/>
    </row>
    <row r="497" spans="1:99" x14ac:dyDescent="0.25">
      <c r="A497" s="37">
        <f>--SUBTOTAL(3,$B$3:B496)</f>
        <v>198</v>
      </c>
      <c r="B497" s="2"/>
      <c r="C497" s="3"/>
      <c r="D497" s="55" t="s">
        <v>18</v>
      </c>
      <c r="E497" s="38" t="s">
        <v>16</v>
      </c>
      <c r="F497" s="38"/>
      <c r="G497" s="39" t="str">
        <f t="shared" si="23"/>
        <v>__</v>
      </c>
      <c r="H497" s="40" t="str">
        <f t="shared" si="24"/>
        <v>FALSE</v>
      </c>
      <c r="I497" s="41">
        <f t="shared" si="25"/>
        <v>0</v>
      </c>
      <c r="J497" s="4" t="s">
        <v>16</v>
      </c>
      <c r="K497" s="43" t="str">
        <f>IF(VLOOKUP(J497,βοηθητικό!$J$2:$N$354,3,FALSE)="","",VLOOKUP(J497,βοηθητικό!$J$2:$N$354,3,FALSE))</f>
        <v>_</v>
      </c>
      <c r="L497" s="44"/>
      <c r="M497" s="5" t="s">
        <v>16</v>
      </c>
      <c r="N497" s="46" t="str">
        <f>IF(VLOOKUP(M497,βοηθητικό!$J$2:$N$354,3,FALSE)="","",VLOOKUP(M497,βοηθητικό!$J$2:$N$354,3,FALSE))</f>
        <v>_</v>
      </c>
      <c r="O497" s="47"/>
      <c r="P497" s="4" t="s">
        <v>16</v>
      </c>
      <c r="Q497" s="43" t="str">
        <f>IF(VLOOKUP(P497,βοηθητικό!$J$2:$N$354,3,FALSE)="","",VLOOKUP(P497,βοηθητικό!$J$2:$N$354,3,FALSE))</f>
        <v>_</v>
      </c>
      <c r="R497" s="44"/>
      <c r="S497" s="5" t="s">
        <v>16</v>
      </c>
      <c r="T497" s="46" t="str">
        <f>IF(VLOOKUP(S497,βοηθητικό!$J$2:$N$354,3,FALSE)="","",VLOOKUP(S497,βοηθητικό!$J$2:$N$354,3,FALSE))</f>
        <v>_</v>
      </c>
      <c r="U497" s="47"/>
      <c r="V497" s="4" t="s">
        <v>16</v>
      </c>
      <c r="W497" s="43" t="str">
        <f>IF(VLOOKUP(V497,βοηθητικό!$J$2:$N$354,3,FALSE)="","",VLOOKUP(V497,βοηθητικό!$J$2:$N$354,3,FALSE))</f>
        <v>_</v>
      </c>
      <c r="X497" s="44"/>
      <c r="Y497" s="5" t="s">
        <v>16</v>
      </c>
      <c r="Z497" s="46" t="str">
        <f>IF(VLOOKUP(Y497,βοηθητικό!$J$2:$N$354,3,FALSE)="","",VLOOKUP(Y497,βοηθητικό!$J$2:$N$354,3,FALSE))</f>
        <v>_</v>
      </c>
      <c r="AA497" s="47"/>
      <c r="AB497" s="4" t="s">
        <v>16</v>
      </c>
      <c r="AC497" s="43" t="str">
        <f>IF(VLOOKUP(AB497,βοηθητικό!$J$2:$N$354,3,FALSE)="","",VLOOKUP(AB497,βοηθητικό!$J$2:$N$354,3,FALSE))</f>
        <v>_</v>
      </c>
      <c r="AD497" s="44"/>
      <c r="AE497" s="5" t="s">
        <v>16</v>
      </c>
      <c r="AF497" s="46" t="str">
        <f>IF(VLOOKUP(AE497,βοηθητικό!$J$2:$N$354,3,FALSE)="","",VLOOKUP(AE497,βοηθητικό!$J$2:$N$354,3,FALSE))</f>
        <v>_</v>
      </c>
      <c r="AG497" s="47"/>
      <c r="AH497" s="4" t="s">
        <v>16</v>
      </c>
      <c r="AI497" s="43" t="str">
        <f>IF(VLOOKUP(AH497,βοηθητικό!$J$2:$N$354,3,FALSE)="","",VLOOKUP(AH497,βοηθητικό!$J$2:$N$354,3,FALSE))</f>
        <v>_</v>
      </c>
      <c r="AJ497" s="44"/>
      <c r="AK497" s="5" t="s">
        <v>16</v>
      </c>
      <c r="AL497" s="46" t="str">
        <f>IF(VLOOKUP(AK497,βοηθητικό!$J$2:$N$354,3,FALSE)="","",VLOOKUP(AK497,βοηθητικό!$J$2:$N$354,3,FALSE))</f>
        <v>_</v>
      </c>
      <c r="AM497" s="47"/>
      <c r="AN497" s="4" t="s">
        <v>16</v>
      </c>
      <c r="AO497" s="43" t="str">
        <f>IF(VLOOKUP(AN497,βοηθητικό!$J$2:$N$354,3,FALSE)="","",VLOOKUP(AN497,βοηθητικό!$J$2:$N$354,3,FALSE))</f>
        <v>_</v>
      </c>
      <c r="AP497" s="44"/>
      <c r="AQ497" s="5" t="s">
        <v>16</v>
      </c>
      <c r="AR497" s="46" t="str">
        <f>IF(VLOOKUP(AQ497,βοηθητικό!$J$2:$N$354,3,FALSE)="","",VLOOKUP(AQ497,βοηθητικό!$J$2:$N$354,3,FALSE))</f>
        <v>_</v>
      </c>
      <c r="AS497" s="47"/>
      <c r="AT497" s="4" t="s">
        <v>16</v>
      </c>
      <c r="AU497" s="43" t="str">
        <f>IF(VLOOKUP(AT497,βοηθητικό!$J$2:$N$354,3,FALSE)="","",VLOOKUP(AT497,βοηθητικό!$J$2:$N$354,3,FALSE))</f>
        <v>_</v>
      </c>
      <c r="AV497" s="44"/>
      <c r="AW497" s="5" t="s">
        <v>16</v>
      </c>
      <c r="AX497" s="46" t="str">
        <f>IF(VLOOKUP(AW497,βοηθητικό!$J$2:$N$354,3,FALSE)="","",VLOOKUP(AW497,βοηθητικό!$J$2:$N$354,3,FALSE))</f>
        <v>_</v>
      </c>
      <c r="AY497" s="47"/>
      <c r="AZ497" s="4" t="s">
        <v>16</v>
      </c>
      <c r="BA497" s="43" t="str">
        <f>IF(VLOOKUP(AZ497,βοηθητικό!$J$2:$N$354,3,FALSE)="","",VLOOKUP(AZ497,βοηθητικό!$J$2:$N$354,3,FALSE))</f>
        <v>_</v>
      </c>
      <c r="BB497" s="44"/>
      <c r="BC497" s="45" t="s">
        <v>16</v>
      </c>
      <c r="BD497" s="46" t="str">
        <f>IF(VLOOKUP(BC497,βοηθητικό!$J$2:$N$354,3,FALSE)="","",VLOOKUP(BC497,βοηθητικό!$J$2:$N$354,3,FALSE))</f>
        <v>_</v>
      </c>
      <c r="BE497" s="47"/>
      <c r="BF497" s="42" t="s">
        <v>16</v>
      </c>
      <c r="BG497" s="43" t="str">
        <f>IF(VLOOKUP(BF497,βοηθητικό!$J$2:$N$354,3,FALSE)="","",VLOOKUP(BF497,βοηθητικό!$J$2:$N$354,3,FALSE))</f>
        <v>_</v>
      </c>
      <c r="BH497" s="44"/>
      <c r="BI497" s="45" t="s">
        <v>16</v>
      </c>
      <c r="BJ497" s="46" t="str">
        <f>IF(VLOOKUP(BI497,βοηθητικό!$J$2:$N$354,3,FALSE)="","",VLOOKUP(BI497,βοηθητικό!$J$2:$N$354,3,FALSE))</f>
        <v>_</v>
      </c>
      <c r="BK497" s="47"/>
      <c r="BL497" s="42" t="s">
        <v>16</v>
      </c>
      <c r="BM497" s="43" t="str">
        <f>IF(VLOOKUP(BL497,βοηθητικό!$J$2:$N$354,3,FALSE)="","",VLOOKUP(BL497,βοηθητικό!$J$2:$N$354,3,FALSE))</f>
        <v>_</v>
      </c>
      <c r="BN497" s="44"/>
      <c r="BO497" s="45" t="s">
        <v>16</v>
      </c>
      <c r="BP497" s="46" t="str">
        <f>IF(VLOOKUP(BO497,βοηθητικό!$J$2:$N$354,3,FALSE)="","",VLOOKUP(BO497,βοηθητικό!$J$2:$N$354,3,FALSE))</f>
        <v>_</v>
      </c>
      <c r="BQ497" s="47"/>
      <c r="BR497" s="42" t="s">
        <v>16</v>
      </c>
      <c r="BS497" s="43" t="str">
        <f>IF(VLOOKUP(BR497,βοηθητικό!$J$2:$N$354,3,FALSE)="","",VLOOKUP(BR497,βοηθητικό!$J$2:$N$354,3,FALSE))</f>
        <v>_</v>
      </c>
      <c r="BT497" s="44"/>
      <c r="BU497" s="45" t="s">
        <v>16</v>
      </c>
      <c r="BV497" s="46" t="str">
        <f>IF(VLOOKUP(BU497,βοηθητικό!$J$2:$N$354,3,FALSE)="","",VLOOKUP(BU497,βοηθητικό!$J$2:$N$354,3,FALSE))</f>
        <v>_</v>
      </c>
      <c r="BW497" s="47"/>
      <c r="BX497" s="42" t="s">
        <v>16</v>
      </c>
      <c r="BY497" s="43" t="str">
        <f>IF(VLOOKUP(BX497,βοηθητικό!$J$2:$N$354,3,FALSE)="","",VLOOKUP(BX497,βοηθητικό!$J$2:$N$354,3,FALSE))</f>
        <v>_</v>
      </c>
      <c r="BZ497" s="44"/>
      <c r="CA497" s="45" t="s">
        <v>16</v>
      </c>
      <c r="CB497" s="46" t="str">
        <f>IF(VLOOKUP(CA497,βοηθητικό!$J$2:$N$354,3,FALSE)="","",VLOOKUP(CA497,βοηθητικό!$J$2:$N$354,3,FALSE))</f>
        <v>_</v>
      </c>
      <c r="CC497" s="47"/>
      <c r="CD497" s="42" t="s">
        <v>16</v>
      </c>
      <c r="CE497" s="43" t="str">
        <f>IF(VLOOKUP(CD497,βοηθητικό!$J$2:$N$354,3,FALSE)="","",VLOOKUP(CD497,βοηθητικό!$J$2:$N$354,3,FALSE))</f>
        <v>_</v>
      </c>
      <c r="CF497" s="44"/>
      <c r="CG497" s="45" t="s">
        <v>16</v>
      </c>
      <c r="CH497" s="46" t="str">
        <f>IF(VLOOKUP(CG497,βοηθητικό!$J$2:$N$354,3,FALSE)="","",VLOOKUP(CG497,βοηθητικό!$J$2:$N$354,3,FALSE))</f>
        <v>_</v>
      </c>
      <c r="CI497" s="47"/>
      <c r="CJ497" s="42" t="s">
        <v>16</v>
      </c>
      <c r="CK497" s="43" t="str">
        <f>IF(VLOOKUP(CJ497,βοηθητικό!$J$2:$N$354,3,FALSE)="","",VLOOKUP(CJ497,βοηθητικό!$J$2:$N$354,3,FALSE))</f>
        <v>_</v>
      </c>
      <c r="CL497" s="44"/>
      <c r="CM497" s="45" t="s">
        <v>16</v>
      </c>
      <c r="CN497" s="46" t="str">
        <f>IF(VLOOKUP(CM497,βοηθητικό!$J$2:$N$354,3,FALSE)="","",VLOOKUP(CM497,βοηθητικό!$J$2:$N$354,3,FALSE))</f>
        <v>_</v>
      </c>
      <c r="CO497" s="47"/>
      <c r="CP497" s="42" t="s">
        <v>16</v>
      </c>
      <c r="CQ497" s="43" t="str">
        <f>IF(VLOOKUP(CP497,βοηθητικό!$J$2:$N$354,3,FALSE)="","",VLOOKUP(CP497,βοηθητικό!$J$2:$N$354,3,FALSE))</f>
        <v>_</v>
      </c>
      <c r="CR497" s="44"/>
      <c r="CS497" s="45" t="s">
        <v>16</v>
      </c>
      <c r="CT497" s="46" t="str">
        <f>IF(VLOOKUP(CS497,βοηθητικό!$J$2:$N$354,3,FALSE)="","",VLOOKUP(CS497,βοηθητικό!$J$2:$N$354,3,FALSE))</f>
        <v>_</v>
      </c>
      <c r="CU497" s="47"/>
    </row>
    <row r="498" spans="1:99" x14ac:dyDescent="0.25">
      <c r="A498" s="37">
        <f>--SUBTOTAL(3,$B$3:B497)</f>
        <v>198</v>
      </c>
      <c r="B498" s="2"/>
      <c r="C498" s="3"/>
      <c r="D498" s="55" t="s">
        <v>18</v>
      </c>
      <c r="E498" s="38" t="s">
        <v>16</v>
      </c>
      <c r="F498" s="38"/>
      <c r="G498" s="39" t="str">
        <f t="shared" si="23"/>
        <v>__</v>
      </c>
      <c r="H498" s="40" t="str">
        <f t="shared" si="24"/>
        <v>FALSE</v>
      </c>
      <c r="I498" s="41">
        <f t="shared" si="25"/>
        <v>0</v>
      </c>
      <c r="J498" s="4" t="s">
        <v>16</v>
      </c>
      <c r="K498" s="43" t="str">
        <f>IF(VLOOKUP(J498,βοηθητικό!$J$2:$N$354,3,FALSE)="","",VLOOKUP(J498,βοηθητικό!$J$2:$N$354,3,FALSE))</f>
        <v>_</v>
      </c>
      <c r="L498" s="44"/>
      <c r="M498" s="5" t="s">
        <v>16</v>
      </c>
      <c r="N498" s="46" t="str">
        <f>IF(VLOOKUP(M498,βοηθητικό!$J$2:$N$354,3,FALSE)="","",VLOOKUP(M498,βοηθητικό!$J$2:$N$354,3,FALSE))</f>
        <v>_</v>
      </c>
      <c r="O498" s="47"/>
      <c r="P498" s="4" t="s">
        <v>16</v>
      </c>
      <c r="Q498" s="43" t="str">
        <f>IF(VLOOKUP(P498,βοηθητικό!$J$2:$N$354,3,FALSE)="","",VLOOKUP(P498,βοηθητικό!$J$2:$N$354,3,FALSE))</f>
        <v>_</v>
      </c>
      <c r="R498" s="44"/>
      <c r="S498" s="5" t="s">
        <v>16</v>
      </c>
      <c r="T498" s="46" t="str">
        <f>IF(VLOOKUP(S498,βοηθητικό!$J$2:$N$354,3,FALSE)="","",VLOOKUP(S498,βοηθητικό!$J$2:$N$354,3,FALSE))</f>
        <v>_</v>
      </c>
      <c r="U498" s="47"/>
      <c r="V498" s="4" t="s">
        <v>16</v>
      </c>
      <c r="W498" s="43" t="str">
        <f>IF(VLOOKUP(V498,βοηθητικό!$J$2:$N$354,3,FALSE)="","",VLOOKUP(V498,βοηθητικό!$J$2:$N$354,3,FALSE))</f>
        <v>_</v>
      </c>
      <c r="X498" s="44"/>
      <c r="Y498" s="5" t="s">
        <v>16</v>
      </c>
      <c r="Z498" s="46" t="str">
        <f>IF(VLOOKUP(Y498,βοηθητικό!$J$2:$N$354,3,FALSE)="","",VLOOKUP(Y498,βοηθητικό!$J$2:$N$354,3,FALSE))</f>
        <v>_</v>
      </c>
      <c r="AA498" s="47"/>
      <c r="AB498" s="4" t="s">
        <v>16</v>
      </c>
      <c r="AC498" s="43" t="str">
        <f>IF(VLOOKUP(AB498,βοηθητικό!$J$2:$N$354,3,FALSE)="","",VLOOKUP(AB498,βοηθητικό!$J$2:$N$354,3,FALSE))</f>
        <v>_</v>
      </c>
      <c r="AD498" s="44"/>
      <c r="AE498" s="5" t="s">
        <v>16</v>
      </c>
      <c r="AF498" s="46" t="str">
        <f>IF(VLOOKUP(AE498,βοηθητικό!$J$2:$N$354,3,FALSE)="","",VLOOKUP(AE498,βοηθητικό!$J$2:$N$354,3,FALSE))</f>
        <v>_</v>
      </c>
      <c r="AG498" s="47"/>
      <c r="AH498" s="4" t="s">
        <v>16</v>
      </c>
      <c r="AI498" s="43" t="str">
        <f>IF(VLOOKUP(AH498,βοηθητικό!$J$2:$N$354,3,FALSE)="","",VLOOKUP(AH498,βοηθητικό!$J$2:$N$354,3,FALSE))</f>
        <v>_</v>
      </c>
      <c r="AJ498" s="44"/>
      <c r="AK498" s="5" t="s">
        <v>16</v>
      </c>
      <c r="AL498" s="46" t="str">
        <f>IF(VLOOKUP(AK498,βοηθητικό!$J$2:$N$354,3,FALSE)="","",VLOOKUP(AK498,βοηθητικό!$J$2:$N$354,3,FALSE))</f>
        <v>_</v>
      </c>
      <c r="AM498" s="47"/>
      <c r="AN498" s="4" t="s">
        <v>16</v>
      </c>
      <c r="AO498" s="43" t="str">
        <f>IF(VLOOKUP(AN498,βοηθητικό!$J$2:$N$354,3,FALSE)="","",VLOOKUP(AN498,βοηθητικό!$J$2:$N$354,3,FALSE))</f>
        <v>_</v>
      </c>
      <c r="AP498" s="44"/>
      <c r="AQ498" s="5" t="s">
        <v>16</v>
      </c>
      <c r="AR498" s="46" t="str">
        <f>IF(VLOOKUP(AQ498,βοηθητικό!$J$2:$N$354,3,FALSE)="","",VLOOKUP(AQ498,βοηθητικό!$J$2:$N$354,3,FALSE))</f>
        <v>_</v>
      </c>
      <c r="AS498" s="47"/>
      <c r="AT498" s="4" t="s">
        <v>16</v>
      </c>
      <c r="AU498" s="43" t="str">
        <f>IF(VLOOKUP(AT498,βοηθητικό!$J$2:$N$354,3,FALSE)="","",VLOOKUP(AT498,βοηθητικό!$J$2:$N$354,3,FALSE))</f>
        <v>_</v>
      </c>
      <c r="AV498" s="44"/>
      <c r="AW498" s="5" t="s">
        <v>16</v>
      </c>
      <c r="AX498" s="46" t="str">
        <f>IF(VLOOKUP(AW498,βοηθητικό!$J$2:$N$354,3,FALSE)="","",VLOOKUP(AW498,βοηθητικό!$J$2:$N$354,3,FALSE))</f>
        <v>_</v>
      </c>
      <c r="AY498" s="47"/>
      <c r="AZ498" s="4" t="s">
        <v>16</v>
      </c>
      <c r="BA498" s="43" t="str">
        <f>IF(VLOOKUP(AZ498,βοηθητικό!$J$2:$N$354,3,FALSE)="","",VLOOKUP(AZ498,βοηθητικό!$J$2:$N$354,3,FALSE))</f>
        <v>_</v>
      </c>
      <c r="BB498" s="44"/>
      <c r="BC498" s="45" t="s">
        <v>16</v>
      </c>
      <c r="BD498" s="46" t="str">
        <f>IF(VLOOKUP(BC498,βοηθητικό!$J$2:$N$354,3,FALSE)="","",VLOOKUP(BC498,βοηθητικό!$J$2:$N$354,3,FALSE))</f>
        <v>_</v>
      </c>
      <c r="BE498" s="47"/>
      <c r="BF498" s="42" t="s">
        <v>16</v>
      </c>
      <c r="BG498" s="43" t="str">
        <f>IF(VLOOKUP(BF498,βοηθητικό!$J$2:$N$354,3,FALSE)="","",VLOOKUP(BF498,βοηθητικό!$J$2:$N$354,3,FALSE))</f>
        <v>_</v>
      </c>
      <c r="BH498" s="44"/>
      <c r="BI498" s="45" t="s">
        <v>16</v>
      </c>
      <c r="BJ498" s="46" t="str">
        <f>IF(VLOOKUP(BI498,βοηθητικό!$J$2:$N$354,3,FALSE)="","",VLOOKUP(BI498,βοηθητικό!$J$2:$N$354,3,FALSE))</f>
        <v>_</v>
      </c>
      <c r="BK498" s="47"/>
      <c r="BL498" s="42" t="s">
        <v>16</v>
      </c>
      <c r="BM498" s="43" t="str">
        <f>IF(VLOOKUP(BL498,βοηθητικό!$J$2:$N$354,3,FALSE)="","",VLOOKUP(BL498,βοηθητικό!$J$2:$N$354,3,FALSE))</f>
        <v>_</v>
      </c>
      <c r="BN498" s="44"/>
      <c r="BO498" s="45" t="s">
        <v>16</v>
      </c>
      <c r="BP498" s="46" t="str">
        <f>IF(VLOOKUP(BO498,βοηθητικό!$J$2:$N$354,3,FALSE)="","",VLOOKUP(BO498,βοηθητικό!$J$2:$N$354,3,FALSE))</f>
        <v>_</v>
      </c>
      <c r="BQ498" s="47"/>
      <c r="BR498" s="42" t="s">
        <v>16</v>
      </c>
      <c r="BS498" s="43" t="str">
        <f>IF(VLOOKUP(BR498,βοηθητικό!$J$2:$N$354,3,FALSE)="","",VLOOKUP(BR498,βοηθητικό!$J$2:$N$354,3,FALSE))</f>
        <v>_</v>
      </c>
      <c r="BT498" s="44"/>
      <c r="BU498" s="45" t="s">
        <v>16</v>
      </c>
      <c r="BV498" s="46" t="str">
        <f>IF(VLOOKUP(BU498,βοηθητικό!$J$2:$N$354,3,FALSE)="","",VLOOKUP(BU498,βοηθητικό!$J$2:$N$354,3,FALSE))</f>
        <v>_</v>
      </c>
      <c r="BW498" s="47"/>
      <c r="BX498" s="42" t="s">
        <v>16</v>
      </c>
      <c r="BY498" s="43" t="str">
        <f>IF(VLOOKUP(BX498,βοηθητικό!$J$2:$N$354,3,FALSE)="","",VLOOKUP(BX498,βοηθητικό!$J$2:$N$354,3,FALSE))</f>
        <v>_</v>
      </c>
      <c r="BZ498" s="44"/>
      <c r="CA498" s="45" t="s">
        <v>16</v>
      </c>
      <c r="CB498" s="46" t="str">
        <f>IF(VLOOKUP(CA498,βοηθητικό!$J$2:$N$354,3,FALSE)="","",VLOOKUP(CA498,βοηθητικό!$J$2:$N$354,3,FALSE))</f>
        <v>_</v>
      </c>
      <c r="CC498" s="47"/>
      <c r="CD498" s="42" t="s">
        <v>16</v>
      </c>
      <c r="CE498" s="43" t="str">
        <f>IF(VLOOKUP(CD498,βοηθητικό!$J$2:$N$354,3,FALSE)="","",VLOOKUP(CD498,βοηθητικό!$J$2:$N$354,3,FALSE))</f>
        <v>_</v>
      </c>
      <c r="CF498" s="44"/>
      <c r="CG498" s="45" t="s">
        <v>16</v>
      </c>
      <c r="CH498" s="46" t="str">
        <f>IF(VLOOKUP(CG498,βοηθητικό!$J$2:$N$354,3,FALSE)="","",VLOOKUP(CG498,βοηθητικό!$J$2:$N$354,3,FALSE))</f>
        <v>_</v>
      </c>
      <c r="CI498" s="47"/>
      <c r="CJ498" s="42" t="s">
        <v>16</v>
      </c>
      <c r="CK498" s="43" t="str">
        <f>IF(VLOOKUP(CJ498,βοηθητικό!$J$2:$N$354,3,FALSE)="","",VLOOKUP(CJ498,βοηθητικό!$J$2:$N$354,3,FALSE))</f>
        <v>_</v>
      </c>
      <c r="CL498" s="44"/>
      <c r="CM498" s="45" t="s">
        <v>16</v>
      </c>
      <c r="CN498" s="46" t="str">
        <f>IF(VLOOKUP(CM498,βοηθητικό!$J$2:$N$354,3,FALSE)="","",VLOOKUP(CM498,βοηθητικό!$J$2:$N$354,3,FALSE))</f>
        <v>_</v>
      </c>
      <c r="CO498" s="47"/>
      <c r="CP498" s="42" t="s">
        <v>16</v>
      </c>
      <c r="CQ498" s="43" t="str">
        <f>IF(VLOOKUP(CP498,βοηθητικό!$J$2:$N$354,3,FALSE)="","",VLOOKUP(CP498,βοηθητικό!$J$2:$N$354,3,FALSE))</f>
        <v>_</v>
      </c>
      <c r="CR498" s="44"/>
      <c r="CS498" s="45" t="s">
        <v>16</v>
      </c>
      <c r="CT498" s="46" t="str">
        <f>IF(VLOOKUP(CS498,βοηθητικό!$J$2:$N$354,3,FALSE)="","",VLOOKUP(CS498,βοηθητικό!$J$2:$N$354,3,FALSE))</f>
        <v>_</v>
      </c>
      <c r="CU498" s="47"/>
    </row>
    <row r="499" spans="1:99" x14ac:dyDescent="0.25">
      <c r="A499" s="37">
        <f>--SUBTOTAL(3,$B$3:B498)</f>
        <v>198</v>
      </c>
      <c r="B499" s="2"/>
      <c r="C499" s="3"/>
      <c r="D499" s="55" t="s">
        <v>18</v>
      </c>
      <c r="E499" s="38" t="s">
        <v>16</v>
      </c>
      <c r="F499" s="38"/>
      <c r="G499" s="39" t="str">
        <f t="shared" si="23"/>
        <v>__</v>
      </c>
      <c r="H499" s="40" t="str">
        <f t="shared" si="24"/>
        <v>FALSE</v>
      </c>
      <c r="I499" s="41">
        <f t="shared" si="25"/>
        <v>0</v>
      </c>
      <c r="J499" s="4" t="s">
        <v>16</v>
      </c>
      <c r="K499" s="43" t="str">
        <f>IF(VLOOKUP(J499,βοηθητικό!$J$2:$N$354,3,FALSE)="","",VLOOKUP(J499,βοηθητικό!$J$2:$N$354,3,FALSE))</f>
        <v>_</v>
      </c>
      <c r="L499" s="44"/>
      <c r="M499" s="5" t="s">
        <v>16</v>
      </c>
      <c r="N499" s="46" t="str">
        <f>IF(VLOOKUP(M499,βοηθητικό!$J$2:$N$354,3,FALSE)="","",VLOOKUP(M499,βοηθητικό!$J$2:$N$354,3,FALSE))</f>
        <v>_</v>
      </c>
      <c r="O499" s="47"/>
      <c r="P499" s="4" t="s">
        <v>16</v>
      </c>
      <c r="Q499" s="43" t="str">
        <f>IF(VLOOKUP(P499,βοηθητικό!$J$2:$N$354,3,FALSE)="","",VLOOKUP(P499,βοηθητικό!$J$2:$N$354,3,FALSE))</f>
        <v>_</v>
      </c>
      <c r="R499" s="44"/>
      <c r="S499" s="5" t="s">
        <v>16</v>
      </c>
      <c r="T499" s="46" t="str">
        <f>IF(VLOOKUP(S499,βοηθητικό!$J$2:$N$354,3,FALSE)="","",VLOOKUP(S499,βοηθητικό!$J$2:$N$354,3,FALSE))</f>
        <v>_</v>
      </c>
      <c r="U499" s="47"/>
      <c r="V499" s="4" t="s">
        <v>16</v>
      </c>
      <c r="W499" s="43" t="str">
        <f>IF(VLOOKUP(V499,βοηθητικό!$J$2:$N$354,3,FALSE)="","",VLOOKUP(V499,βοηθητικό!$J$2:$N$354,3,FALSE))</f>
        <v>_</v>
      </c>
      <c r="X499" s="44"/>
      <c r="Y499" s="5" t="s">
        <v>16</v>
      </c>
      <c r="Z499" s="46" t="str">
        <f>IF(VLOOKUP(Y499,βοηθητικό!$J$2:$N$354,3,FALSE)="","",VLOOKUP(Y499,βοηθητικό!$J$2:$N$354,3,FALSE))</f>
        <v>_</v>
      </c>
      <c r="AA499" s="47"/>
      <c r="AB499" s="4" t="s">
        <v>16</v>
      </c>
      <c r="AC499" s="43" t="str">
        <f>IF(VLOOKUP(AB499,βοηθητικό!$J$2:$N$354,3,FALSE)="","",VLOOKUP(AB499,βοηθητικό!$J$2:$N$354,3,FALSE))</f>
        <v>_</v>
      </c>
      <c r="AD499" s="44"/>
      <c r="AE499" s="5" t="s">
        <v>16</v>
      </c>
      <c r="AF499" s="46" t="str">
        <f>IF(VLOOKUP(AE499,βοηθητικό!$J$2:$N$354,3,FALSE)="","",VLOOKUP(AE499,βοηθητικό!$J$2:$N$354,3,FALSE))</f>
        <v>_</v>
      </c>
      <c r="AG499" s="47"/>
      <c r="AH499" s="4" t="s">
        <v>16</v>
      </c>
      <c r="AI499" s="43" t="str">
        <f>IF(VLOOKUP(AH499,βοηθητικό!$J$2:$N$354,3,FALSE)="","",VLOOKUP(AH499,βοηθητικό!$J$2:$N$354,3,FALSE))</f>
        <v>_</v>
      </c>
      <c r="AJ499" s="44"/>
      <c r="AK499" s="5" t="s">
        <v>16</v>
      </c>
      <c r="AL499" s="46" t="str">
        <f>IF(VLOOKUP(AK499,βοηθητικό!$J$2:$N$354,3,FALSE)="","",VLOOKUP(AK499,βοηθητικό!$J$2:$N$354,3,FALSE))</f>
        <v>_</v>
      </c>
      <c r="AM499" s="47"/>
      <c r="AN499" s="4" t="s">
        <v>16</v>
      </c>
      <c r="AO499" s="43" t="str">
        <f>IF(VLOOKUP(AN499,βοηθητικό!$J$2:$N$354,3,FALSE)="","",VLOOKUP(AN499,βοηθητικό!$J$2:$N$354,3,FALSE))</f>
        <v>_</v>
      </c>
      <c r="AP499" s="44"/>
      <c r="AQ499" s="5" t="s">
        <v>16</v>
      </c>
      <c r="AR499" s="46" t="str">
        <f>IF(VLOOKUP(AQ499,βοηθητικό!$J$2:$N$354,3,FALSE)="","",VLOOKUP(AQ499,βοηθητικό!$J$2:$N$354,3,FALSE))</f>
        <v>_</v>
      </c>
      <c r="AS499" s="47"/>
      <c r="AT499" s="4" t="s">
        <v>16</v>
      </c>
      <c r="AU499" s="43" t="str">
        <f>IF(VLOOKUP(AT499,βοηθητικό!$J$2:$N$354,3,FALSE)="","",VLOOKUP(AT499,βοηθητικό!$J$2:$N$354,3,FALSE))</f>
        <v>_</v>
      </c>
      <c r="AV499" s="44"/>
      <c r="AW499" s="5" t="s">
        <v>16</v>
      </c>
      <c r="AX499" s="46" t="str">
        <f>IF(VLOOKUP(AW499,βοηθητικό!$J$2:$N$354,3,FALSE)="","",VLOOKUP(AW499,βοηθητικό!$J$2:$N$354,3,FALSE))</f>
        <v>_</v>
      </c>
      <c r="AY499" s="47"/>
      <c r="AZ499" s="4" t="s">
        <v>16</v>
      </c>
      <c r="BA499" s="43" t="str">
        <f>IF(VLOOKUP(AZ499,βοηθητικό!$J$2:$N$354,3,FALSE)="","",VLOOKUP(AZ499,βοηθητικό!$J$2:$N$354,3,FALSE))</f>
        <v>_</v>
      </c>
      <c r="BB499" s="44"/>
      <c r="BC499" s="45" t="s">
        <v>16</v>
      </c>
      <c r="BD499" s="46" t="str">
        <f>IF(VLOOKUP(BC499,βοηθητικό!$J$2:$N$354,3,FALSE)="","",VLOOKUP(BC499,βοηθητικό!$J$2:$N$354,3,FALSE))</f>
        <v>_</v>
      </c>
      <c r="BE499" s="47"/>
      <c r="BF499" s="42" t="s">
        <v>16</v>
      </c>
      <c r="BG499" s="43" t="str">
        <f>IF(VLOOKUP(BF499,βοηθητικό!$J$2:$N$354,3,FALSE)="","",VLOOKUP(BF499,βοηθητικό!$J$2:$N$354,3,FALSE))</f>
        <v>_</v>
      </c>
      <c r="BH499" s="44"/>
      <c r="BI499" s="45" t="s">
        <v>16</v>
      </c>
      <c r="BJ499" s="46" t="str">
        <f>IF(VLOOKUP(BI499,βοηθητικό!$J$2:$N$354,3,FALSE)="","",VLOOKUP(BI499,βοηθητικό!$J$2:$N$354,3,FALSE))</f>
        <v>_</v>
      </c>
      <c r="BK499" s="47"/>
      <c r="BL499" s="42" t="s">
        <v>16</v>
      </c>
      <c r="BM499" s="43" t="str">
        <f>IF(VLOOKUP(BL499,βοηθητικό!$J$2:$N$354,3,FALSE)="","",VLOOKUP(BL499,βοηθητικό!$J$2:$N$354,3,FALSE))</f>
        <v>_</v>
      </c>
      <c r="BN499" s="44"/>
      <c r="BO499" s="45" t="s">
        <v>16</v>
      </c>
      <c r="BP499" s="46" t="str">
        <f>IF(VLOOKUP(BO499,βοηθητικό!$J$2:$N$354,3,FALSE)="","",VLOOKUP(BO499,βοηθητικό!$J$2:$N$354,3,FALSE))</f>
        <v>_</v>
      </c>
      <c r="BQ499" s="47"/>
      <c r="BR499" s="42" t="s">
        <v>16</v>
      </c>
      <c r="BS499" s="43" t="str">
        <f>IF(VLOOKUP(BR499,βοηθητικό!$J$2:$N$354,3,FALSE)="","",VLOOKUP(BR499,βοηθητικό!$J$2:$N$354,3,FALSE))</f>
        <v>_</v>
      </c>
      <c r="BT499" s="44"/>
      <c r="BU499" s="45" t="s">
        <v>16</v>
      </c>
      <c r="BV499" s="46" t="str">
        <f>IF(VLOOKUP(BU499,βοηθητικό!$J$2:$N$354,3,FALSE)="","",VLOOKUP(BU499,βοηθητικό!$J$2:$N$354,3,FALSE))</f>
        <v>_</v>
      </c>
      <c r="BW499" s="47"/>
      <c r="BX499" s="42" t="s">
        <v>16</v>
      </c>
      <c r="BY499" s="43" t="str">
        <f>IF(VLOOKUP(BX499,βοηθητικό!$J$2:$N$354,3,FALSE)="","",VLOOKUP(BX499,βοηθητικό!$J$2:$N$354,3,FALSE))</f>
        <v>_</v>
      </c>
      <c r="BZ499" s="44"/>
      <c r="CA499" s="45" t="s">
        <v>16</v>
      </c>
      <c r="CB499" s="46" t="str">
        <f>IF(VLOOKUP(CA499,βοηθητικό!$J$2:$N$354,3,FALSE)="","",VLOOKUP(CA499,βοηθητικό!$J$2:$N$354,3,FALSE))</f>
        <v>_</v>
      </c>
      <c r="CC499" s="47"/>
      <c r="CD499" s="42" t="s">
        <v>16</v>
      </c>
      <c r="CE499" s="43" t="str">
        <f>IF(VLOOKUP(CD499,βοηθητικό!$J$2:$N$354,3,FALSE)="","",VLOOKUP(CD499,βοηθητικό!$J$2:$N$354,3,FALSE))</f>
        <v>_</v>
      </c>
      <c r="CF499" s="44"/>
      <c r="CG499" s="45" t="s">
        <v>16</v>
      </c>
      <c r="CH499" s="46" t="str">
        <f>IF(VLOOKUP(CG499,βοηθητικό!$J$2:$N$354,3,FALSE)="","",VLOOKUP(CG499,βοηθητικό!$J$2:$N$354,3,FALSE))</f>
        <v>_</v>
      </c>
      <c r="CI499" s="47"/>
      <c r="CJ499" s="42" t="s">
        <v>16</v>
      </c>
      <c r="CK499" s="43" t="str">
        <f>IF(VLOOKUP(CJ499,βοηθητικό!$J$2:$N$354,3,FALSE)="","",VLOOKUP(CJ499,βοηθητικό!$J$2:$N$354,3,FALSE))</f>
        <v>_</v>
      </c>
      <c r="CL499" s="44"/>
      <c r="CM499" s="45" t="s">
        <v>16</v>
      </c>
      <c r="CN499" s="46" t="str">
        <f>IF(VLOOKUP(CM499,βοηθητικό!$J$2:$N$354,3,FALSE)="","",VLOOKUP(CM499,βοηθητικό!$J$2:$N$354,3,FALSE))</f>
        <v>_</v>
      </c>
      <c r="CO499" s="47"/>
      <c r="CP499" s="42" t="s">
        <v>16</v>
      </c>
      <c r="CQ499" s="43" t="str">
        <f>IF(VLOOKUP(CP499,βοηθητικό!$J$2:$N$354,3,FALSE)="","",VLOOKUP(CP499,βοηθητικό!$J$2:$N$354,3,FALSE))</f>
        <v>_</v>
      </c>
      <c r="CR499" s="44"/>
      <c r="CS499" s="45" t="s">
        <v>16</v>
      </c>
      <c r="CT499" s="46" t="str">
        <f>IF(VLOOKUP(CS499,βοηθητικό!$J$2:$N$354,3,FALSE)="","",VLOOKUP(CS499,βοηθητικό!$J$2:$N$354,3,FALSE))</f>
        <v>_</v>
      </c>
      <c r="CU499" s="47"/>
    </row>
    <row r="500" spans="1:99" x14ac:dyDescent="0.25">
      <c r="A500" s="37">
        <f>--SUBTOTAL(3,$B$3:B499)</f>
        <v>198</v>
      </c>
      <c r="B500" s="2"/>
      <c r="C500" s="3"/>
      <c r="D500" s="55" t="s">
        <v>18</v>
      </c>
      <c r="E500" s="38" t="s">
        <v>16</v>
      </c>
      <c r="F500" s="38"/>
      <c r="G500" s="39" t="str">
        <f t="shared" si="23"/>
        <v>__</v>
      </c>
      <c r="H500" s="40" t="str">
        <f t="shared" si="24"/>
        <v>FALSE</v>
      </c>
      <c r="I500" s="41">
        <f t="shared" si="25"/>
        <v>0</v>
      </c>
      <c r="J500" s="4" t="s">
        <v>16</v>
      </c>
      <c r="K500" s="43" t="str">
        <f>IF(VLOOKUP(J500,βοηθητικό!$J$2:$N$354,3,FALSE)="","",VLOOKUP(J500,βοηθητικό!$J$2:$N$354,3,FALSE))</f>
        <v>_</v>
      </c>
      <c r="L500" s="44"/>
      <c r="M500" s="5" t="s">
        <v>16</v>
      </c>
      <c r="N500" s="46" t="str">
        <f>IF(VLOOKUP(M500,βοηθητικό!$J$2:$N$354,3,FALSE)="","",VLOOKUP(M500,βοηθητικό!$J$2:$N$354,3,FALSE))</f>
        <v>_</v>
      </c>
      <c r="O500" s="47"/>
      <c r="P500" s="4" t="s">
        <v>16</v>
      </c>
      <c r="Q500" s="43" t="str">
        <f>IF(VLOOKUP(P500,βοηθητικό!$J$2:$N$354,3,FALSE)="","",VLOOKUP(P500,βοηθητικό!$J$2:$N$354,3,FALSE))</f>
        <v>_</v>
      </c>
      <c r="R500" s="44"/>
      <c r="S500" s="5" t="s">
        <v>16</v>
      </c>
      <c r="T500" s="46" t="str">
        <f>IF(VLOOKUP(S500,βοηθητικό!$J$2:$N$354,3,FALSE)="","",VLOOKUP(S500,βοηθητικό!$J$2:$N$354,3,FALSE))</f>
        <v>_</v>
      </c>
      <c r="U500" s="47"/>
      <c r="V500" s="4" t="s">
        <v>16</v>
      </c>
      <c r="W500" s="43" t="str">
        <f>IF(VLOOKUP(V500,βοηθητικό!$J$2:$N$354,3,FALSE)="","",VLOOKUP(V500,βοηθητικό!$J$2:$N$354,3,FALSE))</f>
        <v>_</v>
      </c>
      <c r="X500" s="44"/>
      <c r="Y500" s="5" t="s">
        <v>16</v>
      </c>
      <c r="Z500" s="46" t="str">
        <f>IF(VLOOKUP(Y500,βοηθητικό!$J$2:$N$354,3,FALSE)="","",VLOOKUP(Y500,βοηθητικό!$J$2:$N$354,3,FALSE))</f>
        <v>_</v>
      </c>
      <c r="AA500" s="47"/>
      <c r="AB500" s="4" t="s">
        <v>16</v>
      </c>
      <c r="AC500" s="43" t="str">
        <f>IF(VLOOKUP(AB500,βοηθητικό!$J$2:$N$354,3,FALSE)="","",VLOOKUP(AB500,βοηθητικό!$J$2:$N$354,3,FALSE))</f>
        <v>_</v>
      </c>
      <c r="AD500" s="44"/>
      <c r="AE500" s="5" t="s">
        <v>16</v>
      </c>
      <c r="AF500" s="46" t="str">
        <f>IF(VLOOKUP(AE500,βοηθητικό!$J$2:$N$354,3,FALSE)="","",VLOOKUP(AE500,βοηθητικό!$J$2:$N$354,3,FALSE))</f>
        <v>_</v>
      </c>
      <c r="AG500" s="47"/>
      <c r="AH500" s="4" t="s">
        <v>16</v>
      </c>
      <c r="AI500" s="43" t="str">
        <f>IF(VLOOKUP(AH500,βοηθητικό!$J$2:$N$354,3,FALSE)="","",VLOOKUP(AH500,βοηθητικό!$J$2:$N$354,3,FALSE))</f>
        <v>_</v>
      </c>
      <c r="AJ500" s="44"/>
      <c r="AK500" s="5" t="s">
        <v>16</v>
      </c>
      <c r="AL500" s="46" t="str">
        <f>IF(VLOOKUP(AK500,βοηθητικό!$J$2:$N$354,3,FALSE)="","",VLOOKUP(AK500,βοηθητικό!$J$2:$N$354,3,FALSE))</f>
        <v>_</v>
      </c>
      <c r="AM500" s="47"/>
      <c r="AN500" s="4" t="s">
        <v>16</v>
      </c>
      <c r="AO500" s="43" t="str">
        <f>IF(VLOOKUP(AN500,βοηθητικό!$J$2:$N$354,3,FALSE)="","",VLOOKUP(AN500,βοηθητικό!$J$2:$N$354,3,FALSE))</f>
        <v>_</v>
      </c>
      <c r="AP500" s="44"/>
      <c r="AQ500" s="5" t="s">
        <v>16</v>
      </c>
      <c r="AR500" s="46" t="str">
        <f>IF(VLOOKUP(AQ500,βοηθητικό!$J$2:$N$354,3,FALSE)="","",VLOOKUP(AQ500,βοηθητικό!$J$2:$N$354,3,FALSE))</f>
        <v>_</v>
      </c>
      <c r="AS500" s="47"/>
      <c r="AT500" s="4" t="s">
        <v>16</v>
      </c>
      <c r="AU500" s="43" t="str">
        <f>IF(VLOOKUP(AT500,βοηθητικό!$J$2:$N$354,3,FALSE)="","",VLOOKUP(AT500,βοηθητικό!$J$2:$N$354,3,FALSE))</f>
        <v>_</v>
      </c>
      <c r="AV500" s="44"/>
      <c r="AW500" s="5" t="s">
        <v>16</v>
      </c>
      <c r="AX500" s="46" t="str">
        <f>IF(VLOOKUP(AW500,βοηθητικό!$J$2:$N$354,3,FALSE)="","",VLOOKUP(AW500,βοηθητικό!$J$2:$N$354,3,FALSE))</f>
        <v>_</v>
      </c>
      <c r="AY500" s="47"/>
      <c r="AZ500" s="4" t="s">
        <v>16</v>
      </c>
      <c r="BA500" s="43" t="str">
        <f>IF(VLOOKUP(AZ500,βοηθητικό!$J$2:$N$354,3,FALSE)="","",VLOOKUP(AZ500,βοηθητικό!$J$2:$N$354,3,FALSE))</f>
        <v>_</v>
      </c>
      <c r="BB500" s="44"/>
      <c r="BC500" s="45" t="s">
        <v>16</v>
      </c>
      <c r="BD500" s="46" t="str">
        <f>IF(VLOOKUP(BC500,βοηθητικό!$J$2:$N$354,3,FALSE)="","",VLOOKUP(BC500,βοηθητικό!$J$2:$N$354,3,FALSE))</f>
        <v>_</v>
      </c>
      <c r="BE500" s="47"/>
      <c r="BF500" s="42" t="s">
        <v>16</v>
      </c>
      <c r="BG500" s="43" t="str">
        <f>IF(VLOOKUP(BF500,βοηθητικό!$J$2:$N$354,3,FALSE)="","",VLOOKUP(BF500,βοηθητικό!$J$2:$N$354,3,FALSE))</f>
        <v>_</v>
      </c>
      <c r="BH500" s="44"/>
      <c r="BI500" s="45" t="s">
        <v>16</v>
      </c>
      <c r="BJ500" s="46" t="str">
        <f>IF(VLOOKUP(BI500,βοηθητικό!$J$2:$N$354,3,FALSE)="","",VLOOKUP(BI500,βοηθητικό!$J$2:$N$354,3,FALSE))</f>
        <v>_</v>
      </c>
      <c r="BK500" s="47"/>
      <c r="BL500" s="42" t="s">
        <v>16</v>
      </c>
      <c r="BM500" s="43" t="str">
        <f>IF(VLOOKUP(BL500,βοηθητικό!$J$2:$N$354,3,FALSE)="","",VLOOKUP(BL500,βοηθητικό!$J$2:$N$354,3,FALSE))</f>
        <v>_</v>
      </c>
      <c r="BN500" s="44"/>
      <c r="BO500" s="45" t="s">
        <v>16</v>
      </c>
      <c r="BP500" s="46" t="str">
        <f>IF(VLOOKUP(BO500,βοηθητικό!$J$2:$N$354,3,FALSE)="","",VLOOKUP(BO500,βοηθητικό!$J$2:$N$354,3,FALSE))</f>
        <v>_</v>
      </c>
      <c r="BQ500" s="47"/>
      <c r="BR500" s="42" t="s">
        <v>16</v>
      </c>
      <c r="BS500" s="43" t="str">
        <f>IF(VLOOKUP(BR500,βοηθητικό!$J$2:$N$354,3,FALSE)="","",VLOOKUP(BR500,βοηθητικό!$J$2:$N$354,3,FALSE))</f>
        <v>_</v>
      </c>
      <c r="BT500" s="44"/>
      <c r="BU500" s="45" t="s">
        <v>16</v>
      </c>
      <c r="BV500" s="46" t="str">
        <f>IF(VLOOKUP(BU500,βοηθητικό!$J$2:$N$354,3,FALSE)="","",VLOOKUP(BU500,βοηθητικό!$J$2:$N$354,3,FALSE))</f>
        <v>_</v>
      </c>
      <c r="BW500" s="47"/>
      <c r="BX500" s="42" t="s">
        <v>16</v>
      </c>
      <c r="BY500" s="43" t="str">
        <f>IF(VLOOKUP(BX500,βοηθητικό!$J$2:$N$354,3,FALSE)="","",VLOOKUP(BX500,βοηθητικό!$J$2:$N$354,3,FALSE))</f>
        <v>_</v>
      </c>
      <c r="BZ500" s="44"/>
      <c r="CA500" s="45" t="s">
        <v>16</v>
      </c>
      <c r="CB500" s="46" t="str">
        <f>IF(VLOOKUP(CA500,βοηθητικό!$J$2:$N$354,3,FALSE)="","",VLOOKUP(CA500,βοηθητικό!$J$2:$N$354,3,FALSE))</f>
        <v>_</v>
      </c>
      <c r="CC500" s="47"/>
      <c r="CD500" s="42" t="s">
        <v>16</v>
      </c>
      <c r="CE500" s="43" t="str">
        <f>IF(VLOOKUP(CD500,βοηθητικό!$J$2:$N$354,3,FALSE)="","",VLOOKUP(CD500,βοηθητικό!$J$2:$N$354,3,FALSE))</f>
        <v>_</v>
      </c>
      <c r="CF500" s="44"/>
      <c r="CG500" s="45" t="s">
        <v>16</v>
      </c>
      <c r="CH500" s="46" t="str">
        <f>IF(VLOOKUP(CG500,βοηθητικό!$J$2:$N$354,3,FALSE)="","",VLOOKUP(CG500,βοηθητικό!$J$2:$N$354,3,FALSE))</f>
        <v>_</v>
      </c>
      <c r="CI500" s="47"/>
      <c r="CJ500" s="42" t="s">
        <v>16</v>
      </c>
      <c r="CK500" s="43" t="str">
        <f>IF(VLOOKUP(CJ500,βοηθητικό!$J$2:$N$354,3,FALSE)="","",VLOOKUP(CJ500,βοηθητικό!$J$2:$N$354,3,FALSE))</f>
        <v>_</v>
      </c>
      <c r="CL500" s="44"/>
      <c r="CM500" s="45" t="s">
        <v>16</v>
      </c>
      <c r="CN500" s="46" t="str">
        <f>IF(VLOOKUP(CM500,βοηθητικό!$J$2:$N$354,3,FALSE)="","",VLOOKUP(CM500,βοηθητικό!$J$2:$N$354,3,FALSE))</f>
        <v>_</v>
      </c>
      <c r="CO500" s="47"/>
      <c r="CP500" s="42" t="s">
        <v>16</v>
      </c>
      <c r="CQ500" s="43" t="str">
        <f>IF(VLOOKUP(CP500,βοηθητικό!$J$2:$N$354,3,FALSE)="","",VLOOKUP(CP500,βοηθητικό!$J$2:$N$354,3,FALSE))</f>
        <v>_</v>
      </c>
      <c r="CR500" s="44"/>
      <c r="CS500" s="45" t="s">
        <v>16</v>
      </c>
      <c r="CT500" s="46" t="str">
        <f>IF(VLOOKUP(CS500,βοηθητικό!$J$2:$N$354,3,FALSE)="","",VLOOKUP(CS500,βοηθητικό!$J$2:$N$354,3,FALSE))</f>
        <v>_</v>
      </c>
      <c r="CU500" s="47"/>
    </row>
    <row r="501" spans="1:99" x14ac:dyDescent="0.25">
      <c r="A501" s="37">
        <f>--SUBTOTAL(3,$B$3:B500)</f>
        <v>198</v>
      </c>
      <c r="B501" s="2"/>
      <c r="C501" s="3"/>
      <c r="D501" s="55" t="s">
        <v>18</v>
      </c>
      <c r="E501" s="38" t="s">
        <v>16</v>
      </c>
      <c r="F501" s="38"/>
      <c r="G501" s="39" t="str">
        <f t="shared" si="23"/>
        <v>__</v>
      </c>
      <c r="H501" s="40" t="str">
        <f t="shared" si="24"/>
        <v>FALSE</v>
      </c>
      <c r="I501" s="41">
        <f t="shared" si="25"/>
        <v>0</v>
      </c>
      <c r="J501" s="4" t="s">
        <v>16</v>
      </c>
      <c r="K501" s="43" t="str">
        <f>IF(VLOOKUP(J501,βοηθητικό!$J$2:$N$354,3,FALSE)="","",VLOOKUP(J501,βοηθητικό!$J$2:$N$354,3,FALSE))</f>
        <v>_</v>
      </c>
      <c r="L501" s="44"/>
      <c r="M501" s="5" t="s">
        <v>16</v>
      </c>
      <c r="N501" s="46" t="str">
        <f>IF(VLOOKUP(M501,βοηθητικό!$J$2:$N$354,3,FALSE)="","",VLOOKUP(M501,βοηθητικό!$J$2:$N$354,3,FALSE))</f>
        <v>_</v>
      </c>
      <c r="O501" s="47"/>
      <c r="P501" s="4" t="s">
        <v>16</v>
      </c>
      <c r="Q501" s="43" t="str">
        <f>IF(VLOOKUP(P501,βοηθητικό!$J$2:$N$354,3,FALSE)="","",VLOOKUP(P501,βοηθητικό!$J$2:$N$354,3,FALSE))</f>
        <v>_</v>
      </c>
      <c r="R501" s="44"/>
      <c r="S501" s="5" t="s">
        <v>16</v>
      </c>
      <c r="T501" s="46" t="str">
        <f>IF(VLOOKUP(S501,βοηθητικό!$J$2:$N$354,3,FALSE)="","",VLOOKUP(S501,βοηθητικό!$J$2:$N$354,3,FALSE))</f>
        <v>_</v>
      </c>
      <c r="U501" s="47"/>
      <c r="V501" s="4" t="s">
        <v>16</v>
      </c>
      <c r="W501" s="43" t="str">
        <f>IF(VLOOKUP(V501,βοηθητικό!$J$2:$N$354,3,FALSE)="","",VLOOKUP(V501,βοηθητικό!$J$2:$N$354,3,FALSE))</f>
        <v>_</v>
      </c>
      <c r="X501" s="44"/>
      <c r="Y501" s="5" t="s">
        <v>16</v>
      </c>
      <c r="Z501" s="46" t="str">
        <f>IF(VLOOKUP(Y501,βοηθητικό!$J$2:$N$354,3,FALSE)="","",VLOOKUP(Y501,βοηθητικό!$J$2:$N$354,3,FALSE))</f>
        <v>_</v>
      </c>
      <c r="AA501" s="47"/>
      <c r="AB501" s="4" t="s">
        <v>16</v>
      </c>
      <c r="AC501" s="43" t="str">
        <f>IF(VLOOKUP(AB501,βοηθητικό!$J$2:$N$354,3,FALSE)="","",VLOOKUP(AB501,βοηθητικό!$J$2:$N$354,3,FALSE))</f>
        <v>_</v>
      </c>
      <c r="AD501" s="44"/>
      <c r="AE501" s="5" t="s">
        <v>16</v>
      </c>
      <c r="AF501" s="46" t="str">
        <f>IF(VLOOKUP(AE501,βοηθητικό!$J$2:$N$354,3,FALSE)="","",VLOOKUP(AE501,βοηθητικό!$J$2:$N$354,3,FALSE))</f>
        <v>_</v>
      </c>
      <c r="AG501" s="47"/>
      <c r="AH501" s="4" t="s">
        <v>16</v>
      </c>
      <c r="AI501" s="43" t="str">
        <f>IF(VLOOKUP(AH501,βοηθητικό!$J$2:$N$354,3,FALSE)="","",VLOOKUP(AH501,βοηθητικό!$J$2:$N$354,3,FALSE))</f>
        <v>_</v>
      </c>
      <c r="AJ501" s="44"/>
      <c r="AK501" s="5" t="s">
        <v>16</v>
      </c>
      <c r="AL501" s="46" t="str">
        <f>IF(VLOOKUP(AK501,βοηθητικό!$J$2:$N$354,3,FALSE)="","",VLOOKUP(AK501,βοηθητικό!$J$2:$N$354,3,FALSE))</f>
        <v>_</v>
      </c>
      <c r="AM501" s="47"/>
      <c r="AN501" s="4" t="s">
        <v>16</v>
      </c>
      <c r="AO501" s="43" t="str">
        <f>IF(VLOOKUP(AN501,βοηθητικό!$J$2:$N$354,3,FALSE)="","",VLOOKUP(AN501,βοηθητικό!$J$2:$N$354,3,FALSE))</f>
        <v>_</v>
      </c>
      <c r="AP501" s="44"/>
      <c r="AQ501" s="5" t="s">
        <v>16</v>
      </c>
      <c r="AR501" s="46" t="str">
        <f>IF(VLOOKUP(AQ501,βοηθητικό!$J$2:$N$354,3,FALSE)="","",VLOOKUP(AQ501,βοηθητικό!$J$2:$N$354,3,FALSE))</f>
        <v>_</v>
      </c>
      <c r="AS501" s="47"/>
      <c r="AT501" s="4" t="s">
        <v>16</v>
      </c>
      <c r="AU501" s="43" t="str">
        <f>IF(VLOOKUP(AT501,βοηθητικό!$J$2:$N$354,3,FALSE)="","",VLOOKUP(AT501,βοηθητικό!$J$2:$N$354,3,FALSE))</f>
        <v>_</v>
      </c>
      <c r="AV501" s="44"/>
      <c r="AW501" s="5" t="s">
        <v>16</v>
      </c>
      <c r="AX501" s="46" t="str">
        <f>IF(VLOOKUP(AW501,βοηθητικό!$J$2:$N$354,3,FALSE)="","",VLOOKUP(AW501,βοηθητικό!$J$2:$N$354,3,FALSE))</f>
        <v>_</v>
      </c>
      <c r="AY501" s="47"/>
      <c r="AZ501" s="4" t="s">
        <v>16</v>
      </c>
      <c r="BA501" s="43" t="str">
        <f>IF(VLOOKUP(AZ501,βοηθητικό!$J$2:$N$354,3,FALSE)="","",VLOOKUP(AZ501,βοηθητικό!$J$2:$N$354,3,FALSE))</f>
        <v>_</v>
      </c>
      <c r="BB501" s="44"/>
      <c r="BC501" s="45" t="s">
        <v>16</v>
      </c>
      <c r="BD501" s="46" t="str">
        <f>IF(VLOOKUP(BC501,βοηθητικό!$J$2:$N$354,3,FALSE)="","",VLOOKUP(BC501,βοηθητικό!$J$2:$N$354,3,FALSE))</f>
        <v>_</v>
      </c>
      <c r="BE501" s="47"/>
      <c r="BF501" s="42" t="s">
        <v>16</v>
      </c>
      <c r="BG501" s="43" t="str">
        <f>IF(VLOOKUP(BF501,βοηθητικό!$J$2:$N$354,3,FALSE)="","",VLOOKUP(BF501,βοηθητικό!$J$2:$N$354,3,FALSE))</f>
        <v>_</v>
      </c>
      <c r="BH501" s="44"/>
      <c r="BI501" s="45" t="s">
        <v>16</v>
      </c>
      <c r="BJ501" s="46" t="str">
        <f>IF(VLOOKUP(BI501,βοηθητικό!$J$2:$N$354,3,FALSE)="","",VLOOKUP(BI501,βοηθητικό!$J$2:$N$354,3,FALSE))</f>
        <v>_</v>
      </c>
      <c r="BK501" s="47"/>
      <c r="BL501" s="42" t="s">
        <v>16</v>
      </c>
      <c r="BM501" s="43" t="str">
        <f>IF(VLOOKUP(BL501,βοηθητικό!$J$2:$N$354,3,FALSE)="","",VLOOKUP(BL501,βοηθητικό!$J$2:$N$354,3,FALSE))</f>
        <v>_</v>
      </c>
      <c r="BN501" s="44"/>
      <c r="BO501" s="45" t="s">
        <v>16</v>
      </c>
      <c r="BP501" s="46" t="str">
        <f>IF(VLOOKUP(BO501,βοηθητικό!$J$2:$N$354,3,FALSE)="","",VLOOKUP(BO501,βοηθητικό!$J$2:$N$354,3,FALSE))</f>
        <v>_</v>
      </c>
      <c r="BQ501" s="47"/>
      <c r="BR501" s="42" t="s">
        <v>16</v>
      </c>
      <c r="BS501" s="43" t="str">
        <f>IF(VLOOKUP(BR501,βοηθητικό!$J$2:$N$354,3,FALSE)="","",VLOOKUP(BR501,βοηθητικό!$J$2:$N$354,3,FALSE))</f>
        <v>_</v>
      </c>
      <c r="BT501" s="44"/>
      <c r="BU501" s="45" t="s">
        <v>16</v>
      </c>
      <c r="BV501" s="46" t="str">
        <f>IF(VLOOKUP(BU501,βοηθητικό!$J$2:$N$354,3,FALSE)="","",VLOOKUP(BU501,βοηθητικό!$J$2:$N$354,3,FALSE))</f>
        <v>_</v>
      </c>
      <c r="BW501" s="47"/>
      <c r="BX501" s="42" t="s">
        <v>16</v>
      </c>
      <c r="BY501" s="43" t="str">
        <f>IF(VLOOKUP(BX501,βοηθητικό!$J$2:$N$354,3,FALSE)="","",VLOOKUP(BX501,βοηθητικό!$J$2:$N$354,3,FALSE))</f>
        <v>_</v>
      </c>
      <c r="BZ501" s="44"/>
      <c r="CA501" s="45" t="s">
        <v>16</v>
      </c>
      <c r="CB501" s="46" t="str">
        <f>IF(VLOOKUP(CA501,βοηθητικό!$J$2:$N$354,3,FALSE)="","",VLOOKUP(CA501,βοηθητικό!$J$2:$N$354,3,FALSE))</f>
        <v>_</v>
      </c>
      <c r="CC501" s="47"/>
      <c r="CD501" s="42" t="s">
        <v>16</v>
      </c>
      <c r="CE501" s="43" t="str">
        <f>IF(VLOOKUP(CD501,βοηθητικό!$J$2:$N$354,3,FALSE)="","",VLOOKUP(CD501,βοηθητικό!$J$2:$N$354,3,FALSE))</f>
        <v>_</v>
      </c>
      <c r="CF501" s="44"/>
      <c r="CG501" s="45" t="s">
        <v>16</v>
      </c>
      <c r="CH501" s="46" t="str">
        <f>IF(VLOOKUP(CG501,βοηθητικό!$J$2:$N$354,3,FALSE)="","",VLOOKUP(CG501,βοηθητικό!$J$2:$N$354,3,FALSE))</f>
        <v>_</v>
      </c>
      <c r="CI501" s="47"/>
      <c r="CJ501" s="42" t="s">
        <v>16</v>
      </c>
      <c r="CK501" s="43" t="str">
        <f>IF(VLOOKUP(CJ501,βοηθητικό!$J$2:$N$354,3,FALSE)="","",VLOOKUP(CJ501,βοηθητικό!$J$2:$N$354,3,FALSE))</f>
        <v>_</v>
      </c>
      <c r="CL501" s="44"/>
      <c r="CM501" s="45" t="s">
        <v>16</v>
      </c>
      <c r="CN501" s="46" t="str">
        <f>IF(VLOOKUP(CM501,βοηθητικό!$J$2:$N$354,3,FALSE)="","",VLOOKUP(CM501,βοηθητικό!$J$2:$N$354,3,FALSE))</f>
        <v>_</v>
      </c>
      <c r="CO501" s="47"/>
      <c r="CP501" s="42" t="s">
        <v>16</v>
      </c>
      <c r="CQ501" s="43" t="str">
        <f>IF(VLOOKUP(CP501,βοηθητικό!$J$2:$N$354,3,FALSE)="","",VLOOKUP(CP501,βοηθητικό!$J$2:$N$354,3,FALSE))</f>
        <v>_</v>
      </c>
      <c r="CR501" s="44"/>
      <c r="CS501" s="45" t="s">
        <v>16</v>
      </c>
      <c r="CT501" s="46" t="str">
        <f>IF(VLOOKUP(CS501,βοηθητικό!$J$2:$N$354,3,FALSE)="","",VLOOKUP(CS501,βοηθητικό!$J$2:$N$354,3,FALSE))</f>
        <v>_</v>
      </c>
      <c r="CU501" s="47"/>
    </row>
    <row r="502" spans="1:99" x14ac:dyDescent="0.25">
      <c r="A502" s="37">
        <f>--SUBTOTAL(3,$B$3:B501)</f>
        <v>198</v>
      </c>
      <c r="B502" s="2"/>
      <c r="C502" s="3"/>
      <c r="D502" s="55" t="s">
        <v>18</v>
      </c>
      <c r="E502" s="38" t="s">
        <v>16</v>
      </c>
      <c r="F502" s="38"/>
      <c r="G502" s="39" t="str">
        <f t="shared" si="23"/>
        <v>__</v>
      </c>
      <c r="H502" s="40" t="str">
        <f t="shared" si="24"/>
        <v>FALSE</v>
      </c>
      <c r="I502" s="41">
        <f t="shared" si="25"/>
        <v>0</v>
      </c>
      <c r="J502" s="4" t="s">
        <v>16</v>
      </c>
      <c r="K502" s="43" t="str">
        <f>IF(VLOOKUP(J502,βοηθητικό!$J$2:$N$354,3,FALSE)="","",VLOOKUP(J502,βοηθητικό!$J$2:$N$354,3,FALSE))</f>
        <v>_</v>
      </c>
      <c r="L502" s="44"/>
      <c r="M502" s="5" t="s">
        <v>16</v>
      </c>
      <c r="N502" s="46" t="str">
        <f>IF(VLOOKUP(M502,βοηθητικό!$J$2:$N$354,3,FALSE)="","",VLOOKUP(M502,βοηθητικό!$J$2:$N$354,3,FALSE))</f>
        <v>_</v>
      </c>
      <c r="O502" s="47"/>
      <c r="P502" s="4" t="s">
        <v>16</v>
      </c>
      <c r="Q502" s="43" t="str">
        <f>IF(VLOOKUP(P502,βοηθητικό!$J$2:$N$354,3,FALSE)="","",VLOOKUP(P502,βοηθητικό!$J$2:$N$354,3,FALSE))</f>
        <v>_</v>
      </c>
      <c r="R502" s="44"/>
      <c r="S502" s="5" t="s">
        <v>16</v>
      </c>
      <c r="T502" s="46" t="str">
        <f>IF(VLOOKUP(S502,βοηθητικό!$J$2:$N$354,3,FALSE)="","",VLOOKUP(S502,βοηθητικό!$J$2:$N$354,3,FALSE))</f>
        <v>_</v>
      </c>
      <c r="U502" s="47"/>
      <c r="V502" s="4" t="s">
        <v>16</v>
      </c>
      <c r="W502" s="43" t="str">
        <f>IF(VLOOKUP(V502,βοηθητικό!$J$2:$N$354,3,FALSE)="","",VLOOKUP(V502,βοηθητικό!$J$2:$N$354,3,FALSE))</f>
        <v>_</v>
      </c>
      <c r="X502" s="44"/>
      <c r="Y502" s="5" t="s">
        <v>16</v>
      </c>
      <c r="Z502" s="46" t="str">
        <f>IF(VLOOKUP(Y502,βοηθητικό!$J$2:$N$354,3,FALSE)="","",VLOOKUP(Y502,βοηθητικό!$J$2:$N$354,3,FALSE))</f>
        <v>_</v>
      </c>
      <c r="AA502" s="47"/>
      <c r="AB502" s="4" t="s">
        <v>16</v>
      </c>
      <c r="AC502" s="43" t="str">
        <f>IF(VLOOKUP(AB502,βοηθητικό!$J$2:$N$354,3,FALSE)="","",VLOOKUP(AB502,βοηθητικό!$J$2:$N$354,3,FALSE))</f>
        <v>_</v>
      </c>
      <c r="AD502" s="44"/>
      <c r="AE502" s="5" t="s">
        <v>16</v>
      </c>
      <c r="AF502" s="46" t="str">
        <f>IF(VLOOKUP(AE502,βοηθητικό!$J$2:$N$354,3,FALSE)="","",VLOOKUP(AE502,βοηθητικό!$J$2:$N$354,3,FALSE))</f>
        <v>_</v>
      </c>
      <c r="AG502" s="47"/>
      <c r="AH502" s="4" t="s">
        <v>16</v>
      </c>
      <c r="AI502" s="43" t="str">
        <f>IF(VLOOKUP(AH502,βοηθητικό!$J$2:$N$354,3,FALSE)="","",VLOOKUP(AH502,βοηθητικό!$J$2:$N$354,3,FALSE))</f>
        <v>_</v>
      </c>
      <c r="AJ502" s="44"/>
      <c r="AK502" s="5" t="s">
        <v>16</v>
      </c>
      <c r="AL502" s="46" t="str">
        <f>IF(VLOOKUP(AK502,βοηθητικό!$J$2:$N$354,3,FALSE)="","",VLOOKUP(AK502,βοηθητικό!$J$2:$N$354,3,FALSE))</f>
        <v>_</v>
      </c>
      <c r="AM502" s="47"/>
      <c r="AN502" s="4" t="s">
        <v>16</v>
      </c>
      <c r="AO502" s="43" t="str">
        <f>IF(VLOOKUP(AN502,βοηθητικό!$J$2:$N$354,3,FALSE)="","",VLOOKUP(AN502,βοηθητικό!$J$2:$N$354,3,FALSE))</f>
        <v>_</v>
      </c>
      <c r="AP502" s="44"/>
      <c r="AQ502" s="5" t="s">
        <v>16</v>
      </c>
      <c r="AR502" s="46" t="str">
        <f>IF(VLOOKUP(AQ502,βοηθητικό!$J$2:$N$354,3,FALSE)="","",VLOOKUP(AQ502,βοηθητικό!$J$2:$N$354,3,FALSE))</f>
        <v>_</v>
      </c>
      <c r="AS502" s="47"/>
      <c r="AT502" s="4" t="s">
        <v>16</v>
      </c>
      <c r="AU502" s="43" t="str">
        <f>IF(VLOOKUP(AT502,βοηθητικό!$J$2:$N$354,3,FALSE)="","",VLOOKUP(AT502,βοηθητικό!$J$2:$N$354,3,FALSE))</f>
        <v>_</v>
      </c>
      <c r="AV502" s="44"/>
      <c r="AW502" s="5" t="s">
        <v>16</v>
      </c>
      <c r="AX502" s="46" t="str">
        <f>IF(VLOOKUP(AW502,βοηθητικό!$J$2:$N$354,3,FALSE)="","",VLOOKUP(AW502,βοηθητικό!$J$2:$N$354,3,FALSE))</f>
        <v>_</v>
      </c>
      <c r="AY502" s="47"/>
      <c r="AZ502" s="4" t="s">
        <v>16</v>
      </c>
      <c r="BA502" s="43" t="str">
        <f>IF(VLOOKUP(AZ502,βοηθητικό!$J$2:$N$354,3,FALSE)="","",VLOOKUP(AZ502,βοηθητικό!$J$2:$N$354,3,FALSE))</f>
        <v>_</v>
      </c>
      <c r="BB502" s="44"/>
      <c r="BC502" s="45" t="s">
        <v>16</v>
      </c>
      <c r="BD502" s="46" t="str">
        <f>IF(VLOOKUP(BC502,βοηθητικό!$J$2:$N$354,3,FALSE)="","",VLOOKUP(BC502,βοηθητικό!$J$2:$N$354,3,FALSE))</f>
        <v>_</v>
      </c>
      <c r="BE502" s="47"/>
      <c r="BF502" s="42" t="s">
        <v>16</v>
      </c>
      <c r="BG502" s="43" t="str">
        <f>IF(VLOOKUP(BF502,βοηθητικό!$J$2:$N$354,3,FALSE)="","",VLOOKUP(BF502,βοηθητικό!$J$2:$N$354,3,FALSE))</f>
        <v>_</v>
      </c>
      <c r="BH502" s="44"/>
      <c r="BI502" s="45" t="s">
        <v>16</v>
      </c>
      <c r="BJ502" s="46" t="str">
        <f>IF(VLOOKUP(BI502,βοηθητικό!$J$2:$N$354,3,FALSE)="","",VLOOKUP(BI502,βοηθητικό!$J$2:$N$354,3,FALSE))</f>
        <v>_</v>
      </c>
      <c r="BK502" s="47"/>
      <c r="BL502" s="42" t="s">
        <v>16</v>
      </c>
      <c r="BM502" s="43" t="str">
        <f>IF(VLOOKUP(BL502,βοηθητικό!$J$2:$N$354,3,FALSE)="","",VLOOKUP(BL502,βοηθητικό!$J$2:$N$354,3,FALSE))</f>
        <v>_</v>
      </c>
      <c r="BN502" s="44"/>
      <c r="BO502" s="45" t="s">
        <v>16</v>
      </c>
      <c r="BP502" s="46" t="str">
        <f>IF(VLOOKUP(BO502,βοηθητικό!$J$2:$N$354,3,FALSE)="","",VLOOKUP(BO502,βοηθητικό!$J$2:$N$354,3,FALSE))</f>
        <v>_</v>
      </c>
      <c r="BQ502" s="47"/>
      <c r="BR502" s="42" t="s">
        <v>16</v>
      </c>
      <c r="BS502" s="43" t="str">
        <f>IF(VLOOKUP(BR502,βοηθητικό!$J$2:$N$354,3,FALSE)="","",VLOOKUP(BR502,βοηθητικό!$J$2:$N$354,3,FALSE))</f>
        <v>_</v>
      </c>
      <c r="BT502" s="44"/>
      <c r="BU502" s="45" t="s">
        <v>16</v>
      </c>
      <c r="BV502" s="46" t="str">
        <f>IF(VLOOKUP(BU502,βοηθητικό!$J$2:$N$354,3,FALSE)="","",VLOOKUP(BU502,βοηθητικό!$J$2:$N$354,3,FALSE))</f>
        <v>_</v>
      </c>
      <c r="BW502" s="47"/>
      <c r="BX502" s="42" t="s">
        <v>16</v>
      </c>
      <c r="BY502" s="43" t="str">
        <f>IF(VLOOKUP(BX502,βοηθητικό!$J$2:$N$354,3,FALSE)="","",VLOOKUP(BX502,βοηθητικό!$J$2:$N$354,3,FALSE))</f>
        <v>_</v>
      </c>
      <c r="BZ502" s="44"/>
      <c r="CA502" s="45" t="s">
        <v>16</v>
      </c>
      <c r="CB502" s="46" t="str">
        <f>IF(VLOOKUP(CA502,βοηθητικό!$J$2:$N$354,3,FALSE)="","",VLOOKUP(CA502,βοηθητικό!$J$2:$N$354,3,FALSE))</f>
        <v>_</v>
      </c>
      <c r="CC502" s="47"/>
      <c r="CD502" s="42" t="s">
        <v>16</v>
      </c>
      <c r="CE502" s="43" t="str">
        <f>IF(VLOOKUP(CD502,βοηθητικό!$J$2:$N$354,3,FALSE)="","",VLOOKUP(CD502,βοηθητικό!$J$2:$N$354,3,FALSE))</f>
        <v>_</v>
      </c>
      <c r="CF502" s="44"/>
      <c r="CG502" s="45" t="s">
        <v>16</v>
      </c>
      <c r="CH502" s="46" t="str">
        <f>IF(VLOOKUP(CG502,βοηθητικό!$J$2:$N$354,3,FALSE)="","",VLOOKUP(CG502,βοηθητικό!$J$2:$N$354,3,FALSE))</f>
        <v>_</v>
      </c>
      <c r="CI502" s="47"/>
      <c r="CJ502" s="42" t="s">
        <v>16</v>
      </c>
      <c r="CK502" s="43" t="str">
        <f>IF(VLOOKUP(CJ502,βοηθητικό!$J$2:$N$354,3,FALSE)="","",VLOOKUP(CJ502,βοηθητικό!$J$2:$N$354,3,FALSE))</f>
        <v>_</v>
      </c>
      <c r="CL502" s="44"/>
      <c r="CM502" s="45" t="s">
        <v>16</v>
      </c>
      <c r="CN502" s="46" t="str">
        <f>IF(VLOOKUP(CM502,βοηθητικό!$J$2:$N$354,3,FALSE)="","",VLOOKUP(CM502,βοηθητικό!$J$2:$N$354,3,FALSE))</f>
        <v>_</v>
      </c>
      <c r="CO502" s="47"/>
      <c r="CP502" s="42" t="s">
        <v>16</v>
      </c>
      <c r="CQ502" s="43" t="str">
        <f>IF(VLOOKUP(CP502,βοηθητικό!$J$2:$N$354,3,FALSE)="","",VLOOKUP(CP502,βοηθητικό!$J$2:$N$354,3,FALSE))</f>
        <v>_</v>
      </c>
      <c r="CR502" s="44"/>
      <c r="CS502" s="45" t="s">
        <v>16</v>
      </c>
      <c r="CT502" s="46" t="str">
        <f>IF(VLOOKUP(CS502,βοηθητικό!$J$2:$N$354,3,FALSE)="","",VLOOKUP(CS502,βοηθητικό!$J$2:$N$354,3,FALSE))</f>
        <v>_</v>
      </c>
      <c r="CU502" s="47"/>
    </row>
    <row r="503" spans="1:99" x14ac:dyDescent="0.25">
      <c r="A503" s="37">
        <f>--SUBTOTAL(3,$B$3:B502)</f>
        <v>198</v>
      </c>
      <c r="B503" s="2"/>
      <c r="C503" s="3"/>
      <c r="D503" s="55" t="s">
        <v>18</v>
      </c>
      <c r="E503" s="38" t="s">
        <v>16</v>
      </c>
      <c r="F503" s="38"/>
      <c r="G503" s="39" t="str">
        <f t="shared" si="23"/>
        <v>__</v>
      </c>
      <c r="H503" s="40" t="str">
        <f t="shared" si="24"/>
        <v>FALSE</v>
      </c>
      <c r="I503" s="41">
        <f t="shared" si="25"/>
        <v>0</v>
      </c>
      <c r="J503" s="4" t="s">
        <v>16</v>
      </c>
      <c r="K503" s="43" t="str">
        <f>IF(VLOOKUP(J503,βοηθητικό!$J$2:$N$354,3,FALSE)="","",VLOOKUP(J503,βοηθητικό!$J$2:$N$354,3,FALSE))</f>
        <v>_</v>
      </c>
      <c r="L503" s="44"/>
      <c r="M503" s="5" t="s">
        <v>16</v>
      </c>
      <c r="N503" s="46" t="str">
        <f>IF(VLOOKUP(M503,βοηθητικό!$J$2:$N$354,3,FALSE)="","",VLOOKUP(M503,βοηθητικό!$J$2:$N$354,3,FALSE))</f>
        <v>_</v>
      </c>
      <c r="O503" s="47"/>
      <c r="P503" s="4" t="s">
        <v>16</v>
      </c>
      <c r="Q503" s="43" t="str">
        <f>IF(VLOOKUP(P503,βοηθητικό!$J$2:$N$354,3,FALSE)="","",VLOOKUP(P503,βοηθητικό!$J$2:$N$354,3,FALSE))</f>
        <v>_</v>
      </c>
      <c r="R503" s="44"/>
      <c r="S503" s="5" t="s">
        <v>16</v>
      </c>
      <c r="T503" s="46" t="str">
        <f>IF(VLOOKUP(S503,βοηθητικό!$J$2:$N$354,3,FALSE)="","",VLOOKUP(S503,βοηθητικό!$J$2:$N$354,3,FALSE))</f>
        <v>_</v>
      </c>
      <c r="U503" s="47"/>
      <c r="V503" s="4" t="s">
        <v>16</v>
      </c>
      <c r="W503" s="43" t="str">
        <f>IF(VLOOKUP(V503,βοηθητικό!$J$2:$N$354,3,FALSE)="","",VLOOKUP(V503,βοηθητικό!$J$2:$N$354,3,FALSE))</f>
        <v>_</v>
      </c>
      <c r="X503" s="44"/>
      <c r="Y503" s="5" t="s">
        <v>16</v>
      </c>
      <c r="Z503" s="46" t="str">
        <f>IF(VLOOKUP(Y503,βοηθητικό!$J$2:$N$354,3,FALSE)="","",VLOOKUP(Y503,βοηθητικό!$J$2:$N$354,3,FALSE))</f>
        <v>_</v>
      </c>
      <c r="AA503" s="47"/>
      <c r="AB503" s="4" t="s">
        <v>16</v>
      </c>
      <c r="AC503" s="43" t="str">
        <f>IF(VLOOKUP(AB503,βοηθητικό!$J$2:$N$354,3,FALSE)="","",VLOOKUP(AB503,βοηθητικό!$J$2:$N$354,3,FALSE))</f>
        <v>_</v>
      </c>
      <c r="AD503" s="44"/>
      <c r="AE503" s="5" t="s">
        <v>16</v>
      </c>
      <c r="AF503" s="46" t="str">
        <f>IF(VLOOKUP(AE503,βοηθητικό!$J$2:$N$354,3,FALSE)="","",VLOOKUP(AE503,βοηθητικό!$J$2:$N$354,3,FALSE))</f>
        <v>_</v>
      </c>
      <c r="AG503" s="47"/>
      <c r="AH503" s="4" t="s">
        <v>16</v>
      </c>
      <c r="AI503" s="43" t="str">
        <f>IF(VLOOKUP(AH503,βοηθητικό!$J$2:$N$354,3,FALSE)="","",VLOOKUP(AH503,βοηθητικό!$J$2:$N$354,3,FALSE))</f>
        <v>_</v>
      </c>
      <c r="AJ503" s="44"/>
      <c r="AK503" s="5" t="s">
        <v>16</v>
      </c>
      <c r="AL503" s="46" t="str">
        <f>IF(VLOOKUP(AK503,βοηθητικό!$J$2:$N$354,3,FALSE)="","",VLOOKUP(AK503,βοηθητικό!$J$2:$N$354,3,FALSE))</f>
        <v>_</v>
      </c>
      <c r="AM503" s="47"/>
      <c r="AN503" s="4" t="s">
        <v>16</v>
      </c>
      <c r="AO503" s="43" t="str">
        <f>IF(VLOOKUP(AN503,βοηθητικό!$J$2:$N$354,3,FALSE)="","",VLOOKUP(AN503,βοηθητικό!$J$2:$N$354,3,FALSE))</f>
        <v>_</v>
      </c>
      <c r="AP503" s="44"/>
      <c r="AQ503" s="5" t="s">
        <v>16</v>
      </c>
      <c r="AR503" s="46" t="str">
        <f>IF(VLOOKUP(AQ503,βοηθητικό!$J$2:$N$354,3,FALSE)="","",VLOOKUP(AQ503,βοηθητικό!$J$2:$N$354,3,FALSE))</f>
        <v>_</v>
      </c>
      <c r="AS503" s="47"/>
      <c r="AT503" s="4" t="s">
        <v>16</v>
      </c>
      <c r="AU503" s="43" t="str">
        <f>IF(VLOOKUP(AT503,βοηθητικό!$J$2:$N$354,3,FALSE)="","",VLOOKUP(AT503,βοηθητικό!$J$2:$N$354,3,FALSE))</f>
        <v>_</v>
      </c>
      <c r="AV503" s="44"/>
      <c r="AW503" s="5" t="s">
        <v>16</v>
      </c>
      <c r="AX503" s="46" t="str">
        <f>IF(VLOOKUP(AW503,βοηθητικό!$J$2:$N$354,3,FALSE)="","",VLOOKUP(AW503,βοηθητικό!$J$2:$N$354,3,FALSE))</f>
        <v>_</v>
      </c>
      <c r="AY503" s="47"/>
      <c r="AZ503" s="4" t="s">
        <v>16</v>
      </c>
      <c r="BA503" s="43" t="str">
        <f>IF(VLOOKUP(AZ503,βοηθητικό!$J$2:$N$354,3,FALSE)="","",VLOOKUP(AZ503,βοηθητικό!$J$2:$N$354,3,FALSE))</f>
        <v>_</v>
      </c>
      <c r="BB503" s="44"/>
      <c r="BC503" s="45" t="s">
        <v>16</v>
      </c>
      <c r="BD503" s="46" t="str">
        <f>IF(VLOOKUP(BC503,βοηθητικό!$J$2:$N$354,3,FALSE)="","",VLOOKUP(BC503,βοηθητικό!$J$2:$N$354,3,FALSE))</f>
        <v>_</v>
      </c>
      <c r="BE503" s="47"/>
      <c r="BF503" s="42" t="s">
        <v>16</v>
      </c>
      <c r="BG503" s="43" t="str">
        <f>IF(VLOOKUP(BF503,βοηθητικό!$J$2:$N$354,3,FALSE)="","",VLOOKUP(BF503,βοηθητικό!$J$2:$N$354,3,FALSE))</f>
        <v>_</v>
      </c>
      <c r="BH503" s="44"/>
      <c r="BI503" s="45" t="s">
        <v>16</v>
      </c>
      <c r="BJ503" s="46" t="str">
        <f>IF(VLOOKUP(BI503,βοηθητικό!$J$2:$N$354,3,FALSE)="","",VLOOKUP(BI503,βοηθητικό!$J$2:$N$354,3,FALSE))</f>
        <v>_</v>
      </c>
      <c r="BK503" s="47"/>
      <c r="BL503" s="42" t="s">
        <v>16</v>
      </c>
      <c r="BM503" s="43" t="str">
        <f>IF(VLOOKUP(BL503,βοηθητικό!$J$2:$N$354,3,FALSE)="","",VLOOKUP(BL503,βοηθητικό!$J$2:$N$354,3,FALSE))</f>
        <v>_</v>
      </c>
      <c r="BN503" s="44"/>
      <c r="BO503" s="45" t="s">
        <v>16</v>
      </c>
      <c r="BP503" s="46" t="str">
        <f>IF(VLOOKUP(BO503,βοηθητικό!$J$2:$N$354,3,FALSE)="","",VLOOKUP(BO503,βοηθητικό!$J$2:$N$354,3,FALSE))</f>
        <v>_</v>
      </c>
      <c r="BQ503" s="47"/>
      <c r="BR503" s="42" t="s">
        <v>16</v>
      </c>
      <c r="BS503" s="43" t="str">
        <f>IF(VLOOKUP(BR503,βοηθητικό!$J$2:$N$354,3,FALSE)="","",VLOOKUP(BR503,βοηθητικό!$J$2:$N$354,3,FALSE))</f>
        <v>_</v>
      </c>
      <c r="BT503" s="44"/>
      <c r="BU503" s="45" t="s">
        <v>16</v>
      </c>
      <c r="BV503" s="46" t="str">
        <f>IF(VLOOKUP(BU503,βοηθητικό!$J$2:$N$354,3,FALSE)="","",VLOOKUP(BU503,βοηθητικό!$J$2:$N$354,3,FALSE))</f>
        <v>_</v>
      </c>
      <c r="BW503" s="47"/>
      <c r="BX503" s="42" t="s">
        <v>16</v>
      </c>
      <c r="BY503" s="43" t="str">
        <f>IF(VLOOKUP(BX503,βοηθητικό!$J$2:$N$354,3,FALSE)="","",VLOOKUP(BX503,βοηθητικό!$J$2:$N$354,3,FALSE))</f>
        <v>_</v>
      </c>
      <c r="BZ503" s="44"/>
      <c r="CA503" s="45" t="s">
        <v>16</v>
      </c>
      <c r="CB503" s="46" t="str">
        <f>IF(VLOOKUP(CA503,βοηθητικό!$J$2:$N$354,3,FALSE)="","",VLOOKUP(CA503,βοηθητικό!$J$2:$N$354,3,FALSE))</f>
        <v>_</v>
      </c>
      <c r="CC503" s="47"/>
      <c r="CD503" s="42" t="s">
        <v>16</v>
      </c>
      <c r="CE503" s="43" t="str">
        <f>IF(VLOOKUP(CD503,βοηθητικό!$J$2:$N$354,3,FALSE)="","",VLOOKUP(CD503,βοηθητικό!$J$2:$N$354,3,FALSE))</f>
        <v>_</v>
      </c>
      <c r="CF503" s="44"/>
      <c r="CG503" s="45" t="s">
        <v>16</v>
      </c>
      <c r="CH503" s="46" t="str">
        <f>IF(VLOOKUP(CG503,βοηθητικό!$J$2:$N$354,3,FALSE)="","",VLOOKUP(CG503,βοηθητικό!$J$2:$N$354,3,FALSE))</f>
        <v>_</v>
      </c>
      <c r="CI503" s="47"/>
      <c r="CJ503" s="42" t="s">
        <v>16</v>
      </c>
      <c r="CK503" s="43" t="str">
        <f>IF(VLOOKUP(CJ503,βοηθητικό!$J$2:$N$354,3,FALSE)="","",VLOOKUP(CJ503,βοηθητικό!$J$2:$N$354,3,FALSE))</f>
        <v>_</v>
      </c>
      <c r="CL503" s="44"/>
      <c r="CM503" s="45" t="s">
        <v>16</v>
      </c>
      <c r="CN503" s="46" t="str">
        <f>IF(VLOOKUP(CM503,βοηθητικό!$J$2:$N$354,3,FALSE)="","",VLOOKUP(CM503,βοηθητικό!$J$2:$N$354,3,FALSE))</f>
        <v>_</v>
      </c>
      <c r="CO503" s="47"/>
      <c r="CP503" s="42" t="s">
        <v>16</v>
      </c>
      <c r="CQ503" s="43" t="str">
        <f>IF(VLOOKUP(CP503,βοηθητικό!$J$2:$N$354,3,FALSE)="","",VLOOKUP(CP503,βοηθητικό!$J$2:$N$354,3,FALSE))</f>
        <v>_</v>
      </c>
      <c r="CR503" s="44"/>
      <c r="CS503" s="45" t="s">
        <v>16</v>
      </c>
      <c r="CT503" s="46" t="str">
        <f>IF(VLOOKUP(CS503,βοηθητικό!$J$2:$N$354,3,FALSE)="","",VLOOKUP(CS503,βοηθητικό!$J$2:$N$354,3,FALSE))</f>
        <v>_</v>
      </c>
      <c r="CU503" s="47"/>
    </row>
    <row r="504" spans="1:99" x14ac:dyDescent="0.25">
      <c r="A504" s="37">
        <f>--SUBTOTAL(3,$B$3:B503)</f>
        <v>198</v>
      </c>
      <c r="B504" s="2"/>
      <c r="C504" s="3"/>
      <c r="D504" s="55" t="s">
        <v>18</v>
      </c>
      <c r="E504" s="38" t="s">
        <v>16</v>
      </c>
      <c r="F504" s="38"/>
      <c r="G504" s="39" t="str">
        <f t="shared" si="23"/>
        <v>__</v>
      </c>
      <c r="H504" s="40" t="str">
        <f t="shared" si="24"/>
        <v>FALSE</v>
      </c>
      <c r="I504" s="41">
        <f t="shared" si="25"/>
        <v>0</v>
      </c>
      <c r="J504" s="4" t="s">
        <v>16</v>
      </c>
      <c r="K504" s="43" t="str">
        <f>IF(VLOOKUP(J504,βοηθητικό!$J$2:$N$354,3,FALSE)="","",VLOOKUP(J504,βοηθητικό!$J$2:$N$354,3,FALSE))</f>
        <v>_</v>
      </c>
      <c r="L504" s="44"/>
      <c r="M504" s="5" t="s">
        <v>16</v>
      </c>
      <c r="N504" s="46" t="str">
        <f>IF(VLOOKUP(M504,βοηθητικό!$J$2:$N$354,3,FALSE)="","",VLOOKUP(M504,βοηθητικό!$J$2:$N$354,3,FALSE))</f>
        <v>_</v>
      </c>
      <c r="O504" s="47"/>
      <c r="P504" s="4" t="s">
        <v>16</v>
      </c>
      <c r="Q504" s="43" t="str">
        <f>IF(VLOOKUP(P504,βοηθητικό!$J$2:$N$354,3,FALSE)="","",VLOOKUP(P504,βοηθητικό!$J$2:$N$354,3,FALSE))</f>
        <v>_</v>
      </c>
      <c r="R504" s="44"/>
      <c r="S504" s="5" t="s">
        <v>16</v>
      </c>
      <c r="T504" s="46" t="str">
        <f>IF(VLOOKUP(S504,βοηθητικό!$J$2:$N$354,3,FALSE)="","",VLOOKUP(S504,βοηθητικό!$J$2:$N$354,3,FALSE))</f>
        <v>_</v>
      </c>
      <c r="U504" s="47"/>
      <c r="V504" s="4" t="s">
        <v>16</v>
      </c>
      <c r="W504" s="43" t="str">
        <f>IF(VLOOKUP(V504,βοηθητικό!$J$2:$N$354,3,FALSE)="","",VLOOKUP(V504,βοηθητικό!$J$2:$N$354,3,FALSE))</f>
        <v>_</v>
      </c>
      <c r="X504" s="44"/>
      <c r="Y504" s="5" t="s">
        <v>16</v>
      </c>
      <c r="Z504" s="46" t="str">
        <f>IF(VLOOKUP(Y504,βοηθητικό!$J$2:$N$354,3,FALSE)="","",VLOOKUP(Y504,βοηθητικό!$J$2:$N$354,3,FALSE))</f>
        <v>_</v>
      </c>
      <c r="AA504" s="47"/>
      <c r="AB504" s="4" t="s">
        <v>16</v>
      </c>
      <c r="AC504" s="43" t="str">
        <f>IF(VLOOKUP(AB504,βοηθητικό!$J$2:$N$354,3,FALSE)="","",VLOOKUP(AB504,βοηθητικό!$J$2:$N$354,3,FALSE))</f>
        <v>_</v>
      </c>
      <c r="AD504" s="44"/>
      <c r="AE504" s="5" t="s">
        <v>16</v>
      </c>
      <c r="AF504" s="46" t="str">
        <f>IF(VLOOKUP(AE504,βοηθητικό!$J$2:$N$354,3,FALSE)="","",VLOOKUP(AE504,βοηθητικό!$J$2:$N$354,3,FALSE))</f>
        <v>_</v>
      </c>
      <c r="AG504" s="47"/>
      <c r="AH504" s="4" t="s">
        <v>16</v>
      </c>
      <c r="AI504" s="43" t="str">
        <f>IF(VLOOKUP(AH504,βοηθητικό!$J$2:$N$354,3,FALSE)="","",VLOOKUP(AH504,βοηθητικό!$J$2:$N$354,3,FALSE))</f>
        <v>_</v>
      </c>
      <c r="AJ504" s="44"/>
      <c r="AK504" s="5" t="s">
        <v>16</v>
      </c>
      <c r="AL504" s="46" t="str">
        <f>IF(VLOOKUP(AK504,βοηθητικό!$J$2:$N$354,3,FALSE)="","",VLOOKUP(AK504,βοηθητικό!$J$2:$N$354,3,FALSE))</f>
        <v>_</v>
      </c>
      <c r="AM504" s="47"/>
      <c r="AN504" s="4" t="s">
        <v>16</v>
      </c>
      <c r="AO504" s="43" t="str">
        <f>IF(VLOOKUP(AN504,βοηθητικό!$J$2:$N$354,3,FALSE)="","",VLOOKUP(AN504,βοηθητικό!$J$2:$N$354,3,FALSE))</f>
        <v>_</v>
      </c>
      <c r="AP504" s="44"/>
      <c r="AQ504" s="5" t="s">
        <v>16</v>
      </c>
      <c r="AR504" s="46" t="str">
        <f>IF(VLOOKUP(AQ504,βοηθητικό!$J$2:$N$354,3,FALSE)="","",VLOOKUP(AQ504,βοηθητικό!$J$2:$N$354,3,FALSE))</f>
        <v>_</v>
      </c>
      <c r="AS504" s="47"/>
      <c r="AT504" s="4" t="s">
        <v>16</v>
      </c>
      <c r="AU504" s="43" t="str">
        <f>IF(VLOOKUP(AT504,βοηθητικό!$J$2:$N$354,3,FALSE)="","",VLOOKUP(AT504,βοηθητικό!$J$2:$N$354,3,FALSE))</f>
        <v>_</v>
      </c>
      <c r="AV504" s="44"/>
      <c r="AW504" s="5" t="s">
        <v>16</v>
      </c>
      <c r="AX504" s="46" t="str">
        <f>IF(VLOOKUP(AW504,βοηθητικό!$J$2:$N$354,3,FALSE)="","",VLOOKUP(AW504,βοηθητικό!$J$2:$N$354,3,FALSE))</f>
        <v>_</v>
      </c>
      <c r="AY504" s="47"/>
      <c r="AZ504" s="4" t="s">
        <v>16</v>
      </c>
      <c r="BA504" s="43" t="str">
        <f>IF(VLOOKUP(AZ504,βοηθητικό!$J$2:$N$354,3,FALSE)="","",VLOOKUP(AZ504,βοηθητικό!$J$2:$N$354,3,FALSE))</f>
        <v>_</v>
      </c>
      <c r="BB504" s="44"/>
      <c r="BC504" s="45" t="s">
        <v>16</v>
      </c>
      <c r="BD504" s="46" t="str">
        <f>IF(VLOOKUP(BC504,βοηθητικό!$J$2:$N$354,3,FALSE)="","",VLOOKUP(BC504,βοηθητικό!$J$2:$N$354,3,FALSE))</f>
        <v>_</v>
      </c>
      <c r="BE504" s="47"/>
      <c r="BF504" s="42" t="s">
        <v>16</v>
      </c>
      <c r="BG504" s="43" t="str">
        <f>IF(VLOOKUP(BF504,βοηθητικό!$J$2:$N$354,3,FALSE)="","",VLOOKUP(BF504,βοηθητικό!$J$2:$N$354,3,FALSE))</f>
        <v>_</v>
      </c>
      <c r="BH504" s="44"/>
      <c r="BI504" s="45" t="s">
        <v>16</v>
      </c>
      <c r="BJ504" s="46" t="str">
        <f>IF(VLOOKUP(BI504,βοηθητικό!$J$2:$N$354,3,FALSE)="","",VLOOKUP(BI504,βοηθητικό!$J$2:$N$354,3,FALSE))</f>
        <v>_</v>
      </c>
      <c r="BK504" s="47"/>
      <c r="BL504" s="42" t="s">
        <v>16</v>
      </c>
      <c r="BM504" s="43" t="str">
        <f>IF(VLOOKUP(BL504,βοηθητικό!$J$2:$N$354,3,FALSE)="","",VLOOKUP(BL504,βοηθητικό!$J$2:$N$354,3,FALSE))</f>
        <v>_</v>
      </c>
      <c r="BN504" s="44"/>
      <c r="BO504" s="45" t="s">
        <v>16</v>
      </c>
      <c r="BP504" s="46" t="str">
        <f>IF(VLOOKUP(BO504,βοηθητικό!$J$2:$N$354,3,FALSE)="","",VLOOKUP(BO504,βοηθητικό!$J$2:$N$354,3,FALSE))</f>
        <v>_</v>
      </c>
      <c r="BQ504" s="47"/>
      <c r="BR504" s="42" t="s">
        <v>16</v>
      </c>
      <c r="BS504" s="43" t="str">
        <f>IF(VLOOKUP(BR504,βοηθητικό!$J$2:$N$354,3,FALSE)="","",VLOOKUP(BR504,βοηθητικό!$J$2:$N$354,3,FALSE))</f>
        <v>_</v>
      </c>
      <c r="BT504" s="44"/>
      <c r="BU504" s="45" t="s">
        <v>16</v>
      </c>
      <c r="BV504" s="46" t="str">
        <f>IF(VLOOKUP(BU504,βοηθητικό!$J$2:$N$354,3,FALSE)="","",VLOOKUP(BU504,βοηθητικό!$J$2:$N$354,3,FALSE))</f>
        <v>_</v>
      </c>
      <c r="BW504" s="47"/>
      <c r="BX504" s="42" t="s">
        <v>16</v>
      </c>
      <c r="BY504" s="43" t="str">
        <f>IF(VLOOKUP(BX504,βοηθητικό!$J$2:$N$354,3,FALSE)="","",VLOOKUP(BX504,βοηθητικό!$J$2:$N$354,3,FALSE))</f>
        <v>_</v>
      </c>
      <c r="BZ504" s="44"/>
      <c r="CA504" s="45" t="s">
        <v>16</v>
      </c>
      <c r="CB504" s="46" t="str">
        <f>IF(VLOOKUP(CA504,βοηθητικό!$J$2:$N$354,3,FALSE)="","",VLOOKUP(CA504,βοηθητικό!$J$2:$N$354,3,FALSE))</f>
        <v>_</v>
      </c>
      <c r="CC504" s="47"/>
      <c r="CD504" s="42" t="s">
        <v>16</v>
      </c>
      <c r="CE504" s="43" t="str">
        <f>IF(VLOOKUP(CD504,βοηθητικό!$J$2:$N$354,3,FALSE)="","",VLOOKUP(CD504,βοηθητικό!$J$2:$N$354,3,FALSE))</f>
        <v>_</v>
      </c>
      <c r="CF504" s="44"/>
      <c r="CG504" s="45" t="s">
        <v>16</v>
      </c>
      <c r="CH504" s="46" t="str">
        <f>IF(VLOOKUP(CG504,βοηθητικό!$J$2:$N$354,3,FALSE)="","",VLOOKUP(CG504,βοηθητικό!$J$2:$N$354,3,FALSE))</f>
        <v>_</v>
      </c>
      <c r="CI504" s="47"/>
      <c r="CJ504" s="42" t="s">
        <v>16</v>
      </c>
      <c r="CK504" s="43" t="str">
        <f>IF(VLOOKUP(CJ504,βοηθητικό!$J$2:$N$354,3,FALSE)="","",VLOOKUP(CJ504,βοηθητικό!$J$2:$N$354,3,FALSE))</f>
        <v>_</v>
      </c>
      <c r="CL504" s="44"/>
      <c r="CM504" s="45" t="s">
        <v>16</v>
      </c>
      <c r="CN504" s="46" t="str">
        <f>IF(VLOOKUP(CM504,βοηθητικό!$J$2:$N$354,3,FALSE)="","",VLOOKUP(CM504,βοηθητικό!$J$2:$N$354,3,FALSE))</f>
        <v>_</v>
      </c>
      <c r="CO504" s="47"/>
      <c r="CP504" s="42" t="s">
        <v>16</v>
      </c>
      <c r="CQ504" s="43" t="str">
        <f>IF(VLOOKUP(CP504,βοηθητικό!$J$2:$N$354,3,FALSE)="","",VLOOKUP(CP504,βοηθητικό!$J$2:$N$354,3,FALSE))</f>
        <v>_</v>
      </c>
      <c r="CR504" s="44"/>
      <c r="CS504" s="45" t="s">
        <v>16</v>
      </c>
      <c r="CT504" s="46" t="str">
        <f>IF(VLOOKUP(CS504,βοηθητικό!$J$2:$N$354,3,FALSE)="","",VLOOKUP(CS504,βοηθητικό!$J$2:$N$354,3,FALSE))</f>
        <v>_</v>
      </c>
      <c r="CU504" s="47"/>
    </row>
    <row r="505" spans="1:99" x14ac:dyDescent="0.25">
      <c r="A505" s="37">
        <f>--SUBTOTAL(3,$B$3:B504)</f>
        <v>198</v>
      </c>
      <c r="B505" s="2"/>
      <c r="C505" s="3"/>
      <c r="D505" s="55" t="s">
        <v>18</v>
      </c>
      <c r="E505" s="38" t="s">
        <v>16</v>
      </c>
      <c r="F505" s="38"/>
      <c r="G505" s="39" t="str">
        <f t="shared" si="23"/>
        <v>__</v>
      </c>
      <c r="H505" s="40" t="str">
        <f t="shared" si="24"/>
        <v>FALSE</v>
      </c>
      <c r="I505" s="41">
        <f t="shared" si="25"/>
        <v>0</v>
      </c>
      <c r="J505" s="4" t="s">
        <v>16</v>
      </c>
      <c r="K505" s="43" t="str">
        <f>IF(VLOOKUP(J505,βοηθητικό!$J$2:$N$354,3,FALSE)="","",VLOOKUP(J505,βοηθητικό!$J$2:$N$354,3,FALSE))</f>
        <v>_</v>
      </c>
      <c r="L505" s="44"/>
      <c r="M505" s="5" t="s">
        <v>16</v>
      </c>
      <c r="N505" s="46" t="str">
        <f>IF(VLOOKUP(M505,βοηθητικό!$J$2:$N$354,3,FALSE)="","",VLOOKUP(M505,βοηθητικό!$J$2:$N$354,3,FALSE))</f>
        <v>_</v>
      </c>
      <c r="O505" s="47"/>
      <c r="P505" s="4" t="s">
        <v>16</v>
      </c>
      <c r="Q505" s="43" t="str">
        <f>IF(VLOOKUP(P505,βοηθητικό!$J$2:$N$354,3,FALSE)="","",VLOOKUP(P505,βοηθητικό!$J$2:$N$354,3,FALSE))</f>
        <v>_</v>
      </c>
      <c r="R505" s="44"/>
      <c r="S505" s="5" t="s">
        <v>16</v>
      </c>
      <c r="T505" s="46" t="str">
        <f>IF(VLOOKUP(S505,βοηθητικό!$J$2:$N$354,3,FALSE)="","",VLOOKUP(S505,βοηθητικό!$J$2:$N$354,3,FALSE))</f>
        <v>_</v>
      </c>
      <c r="U505" s="47"/>
      <c r="V505" s="4" t="s">
        <v>16</v>
      </c>
      <c r="W505" s="43" t="str">
        <f>IF(VLOOKUP(V505,βοηθητικό!$J$2:$N$354,3,FALSE)="","",VLOOKUP(V505,βοηθητικό!$J$2:$N$354,3,FALSE))</f>
        <v>_</v>
      </c>
      <c r="X505" s="44"/>
      <c r="Y505" s="5" t="s">
        <v>16</v>
      </c>
      <c r="Z505" s="46" t="str">
        <f>IF(VLOOKUP(Y505,βοηθητικό!$J$2:$N$354,3,FALSE)="","",VLOOKUP(Y505,βοηθητικό!$J$2:$N$354,3,FALSE))</f>
        <v>_</v>
      </c>
      <c r="AA505" s="47"/>
      <c r="AB505" s="4" t="s">
        <v>16</v>
      </c>
      <c r="AC505" s="43" t="str">
        <f>IF(VLOOKUP(AB505,βοηθητικό!$J$2:$N$354,3,FALSE)="","",VLOOKUP(AB505,βοηθητικό!$J$2:$N$354,3,FALSE))</f>
        <v>_</v>
      </c>
      <c r="AD505" s="44"/>
      <c r="AE505" s="5" t="s">
        <v>16</v>
      </c>
      <c r="AF505" s="46" t="str">
        <f>IF(VLOOKUP(AE505,βοηθητικό!$J$2:$N$354,3,FALSE)="","",VLOOKUP(AE505,βοηθητικό!$J$2:$N$354,3,FALSE))</f>
        <v>_</v>
      </c>
      <c r="AG505" s="47"/>
      <c r="AH505" s="4" t="s">
        <v>16</v>
      </c>
      <c r="AI505" s="43" t="str">
        <f>IF(VLOOKUP(AH505,βοηθητικό!$J$2:$N$354,3,FALSE)="","",VLOOKUP(AH505,βοηθητικό!$J$2:$N$354,3,FALSE))</f>
        <v>_</v>
      </c>
      <c r="AJ505" s="44"/>
      <c r="AK505" s="5" t="s">
        <v>16</v>
      </c>
      <c r="AL505" s="46" t="str">
        <f>IF(VLOOKUP(AK505,βοηθητικό!$J$2:$N$354,3,FALSE)="","",VLOOKUP(AK505,βοηθητικό!$J$2:$N$354,3,FALSE))</f>
        <v>_</v>
      </c>
      <c r="AM505" s="47"/>
      <c r="AN505" s="4" t="s">
        <v>16</v>
      </c>
      <c r="AO505" s="43" t="str">
        <f>IF(VLOOKUP(AN505,βοηθητικό!$J$2:$N$354,3,FALSE)="","",VLOOKUP(AN505,βοηθητικό!$J$2:$N$354,3,FALSE))</f>
        <v>_</v>
      </c>
      <c r="AP505" s="44"/>
      <c r="AQ505" s="5" t="s">
        <v>16</v>
      </c>
      <c r="AR505" s="46" t="str">
        <f>IF(VLOOKUP(AQ505,βοηθητικό!$J$2:$N$354,3,FALSE)="","",VLOOKUP(AQ505,βοηθητικό!$J$2:$N$354,3,FALSE))</f>
        <v>_</v>
      </c>
      <c r="AS505" s="47"/>
      <c r="AT505" s="4" t="s">
        <v>16</v>
      </c>
      <c r="AU505" s="43" t="str">
        <f>IF(VLOOKUP(AT505,βοηθητικό!$J$2:$N$354,3,FALSE)="","",VLOOKUP(AT505,βοηθητικό!$J$2:$N$354,3,FALSE))</f>
        <v>_</v>
      </c>
      <c r="AV505" s="44"/>
      <c r="AW505" s="5" t="s">
        <v>16</v>
      </c>
      <c r="AX505" s="46" t="str">
        <f>IF(VLOOKUP(AW505,βοηθητικό!$J$2:$N$354,3,FALSE)="","",VLOOKUP(AW505,βοηθητικό!$J$2:$N$354,3,FALSE))</f>
        <v>_</v>
      </c>
      <c r="AY505" s="47"/>
      <c r="AZ505" s="4" t="s">
        <v>16</v>
      </c>
      <c r="BA505" s="43" t="str">
        <f>IF(VLOOKUP(AZ505,βοηθητικό!$J$2:$N$354,3,FALSE)="","",VLOOKUP(AZ505,βοηθητικό!$J$2:$N$354,3,FALSE))</f>
        <v>_</v>
      </c>
      <c r="BB505" s="44"/>
      <c r="BC505" s="45" t="s">
        <v>16</v>
      </c>
      <c r="BD505" s="46" t="str">
        <f>IF(VLOOKUP(BC505,βοηθητικό!$J$2:$N$354,3,FALSE)="","",VLOOKUP(BC505,βοηθητικό!$J$2:$N$354,3,FALSE))</f>
        <v>_</v>
      </c>
      <c r="BE505" s="47"/>
      <c r="BF505" s="42" t="s">
        <v>16</v>
      </c>
      <c r="BG505" s="43" t="str">
        <f>IF(VLOOKUP(BF505,βοηθητικό!$J$2:$N$354,3,FALSE)="","",VLOOKUP(BF505,βοηθητικό!$J$2:$N$354,3,FALSE))</f>
        <v>_</v>
      </c>
      <c r="BH505" s="44"/>
      <c r="BI505" s="45" t="s">
        <v>16</v>
      </c>
      <c r="BJ505" s="46" t="str">
        <f>IF(VLOOKUP(BI505,βοηθητικό!$J$2:$N$354,3,FALSE)="","",VLOOKUP(BI505,βοηθητικό!$J$2:$N$354,3,FALSE))</f>
        <v>_</v>
      </c>
      <c r="BK505" s="47"/>
      <c r="BL505" s="42" t="s">
        <v>16</v>
      </c>
      <c r="BM505" s="43" t="str">
        <f>IF(VLOOKUP(BL505,βοηθητικό!$J$2:$N$354,3,FALSE)="","",VLOOKUP(BL505,βοηθητικό!$J$2:$N$354,3,FALSE))</f>
        <v>_</v>
      </c>
      <c r="BN505" s="44"/>
      <c r="BO505" s="45" t="s">
        <v>16</v>
      </c>
      <c r="BP505" s="46" t="str">
        <f>IF(VLOOKUP(BO505,βοηθητικό!$J$2:$N$354,3,FALSE)="","",VLOOKUP(BO505,βοηθητικό!$J$2:$N$354,3,FALSE))</f>
        <v>_</v>
      </c>
      <c r="BQ505" s="47"/>
      <c r="BR505" s="42" t="s">
        <v>16</v>
      </c>
      <c r="BS505" s="43" t="str">
        <f>IF(VLOOKUP(BR505,βοηθητικό!$J$2:$N$354,3,FALSE)="","",VLOOKUP(BR505,βοηθητικό!$J$2:$N$354,3,FALSE))</f>
        <v>_</v>
      </c>
      <c r="BT505" s="44"/>
      <c r="BU505" s="45" t="s">
        <v>16</v>
      </c>
      <c r="BV505" s="46" t="str">
        <f>IF(VLOOKUP(BU505,βοηθητικό!$J$2:$N$354,3,FALSE)="","",VLOOKUP(BU505,βοηθητικό!$J$2:$N$354,3,FALSE))</f>
        <v>_</v>
      </c>
      <c r="BW505" s="47"/>
      <c r="BX505" s="42" t="s">
        <v>16</v>
      </c>
      <c r="BY505" s="43" t="str">
        <f>IF(VLOOKUP(BX505,βοηθητικό!$J$2:$N$354,3,FALSE)="","",VLOOKUP(BX505,βοηθητικό!$J$2:$N$354,3,FALSE))</f>
        <v>_</v>
      </c>
      <c r="BZ505" s="44"/>
      <c r="CA505" s="45" t="s">
        <v>16</v>
      </c>
      <c r="CB505" s="46" t="str">
        <f>IF(VLOOKUP(CA505,βοηθητικό!$J$2:$N$354,3,FALSE)="","",VLOOKUP(CA505,βοηθητικό!$J$2:$N$354,3,FALSE))</f>
        <v>_</v>
      </c>
      <c r="CC505" s="47"/>
      <c r="CD505" s="42" t="s">
        <v>16</v>
      </c>
      <c r="CE505" s="43" t="str">
        <f>IF(VLOOKUP(CD505,βοηθητικό!$J$2:$N$354,3,FALSE)="","",VLOOKUP(CD505,βοηθητικό!$J$2:$N$354,3,FALSE))</f>
        <v>_</v>
      </c>
      <c r="CF505" s="44"/>
      <c r="CG505" s="45" t="s">
        <v>16</v>
      </c>
      <c r="CH505" s="46" t="str">
        <f>IF(VLOOKUP(CG505,βοηθητικό!$J$2:$N$354,3,FALSE)="","",VLOOKUP(CG505,βοηθητικό!$J$2:$N$354,3,FALSE))</f>
        <v>_</v>
      </c>
      <c r="CI505" s="47"/>
      <c r="CJ505" s="42" t="s">
        <v>16</v>
      </c>
      <c r="CK505" s="43" t="str">
        <f>IF(VLOOKUP(CJ505,βοηθητικό!$J$2:$N$354,3,FALSE)="","",VLOOKUP(CJ505,βοηθητικό!$J$2:$N$354,3,FALSE))</f>
        <v>_</v>
      </c>
      <c r="CL505" s="44"/>
      <c r="CM505" s="45" t="s">
        <v>16</v>
      </c>
      <c r="CN505" s="46" t="str">
        <f>IF(VLOOKUP(CM505,βοηθητικό!$J$2:$N$354,3,FALSE)="","",VLOOKUP(CM505,βοηθητικό!$J$2:$N$354,3,FALSE))</f>
        <v>_</v>
      </c>
      <c r="CO505" s="47"/>
      <c r="CP505" s="42" t="s">
        <v>16</v>
      </c>
      <c r="CQ505" s="43" t="str">
        <f>IF(VLOOKUP(CP505,βοηθητικό!$J$2:$N$354,3,FALSE)="","",VLOOKUP(CP505,βοηθητικό!$J$2:$N$354,3,FALSE))</f>
        <v>_</v>
      </c>
      <c r="CR505" s="44"/>
      <c r="CS505" s="45" t="s">
        <v>16</v>
      </c>
      <c r="CT505" s="46" t="str">
        <f>IF(VLOOKUP(CS505,βοηθητικό!$J$2:$N$354,3,FALSE)="","",VLOOKUP(CS505,βοηθητικό!$J$2:$N$354,3,FALSE))</f>
        <v>_</v>
      </c>
      <c r="CU505" s="47"/>
    </row>
    <row r="506" spans="1:99" x14ac:dyDescent="0.25">
      <c r="A506" s="37">
        <f>--SUBTOTAL(3,$B$3:B505)</f>
        <v>198</v>
      </c>
      <c r="B506" s="2"/>
      <c r="C506" s="3"/>
      <c r="D506" s="55" t="s">
        <v>18</v>
      </c>
      <c r="E506" s="38" t="s">
        <v>16</v>
      </c>
      <c r="F506" s="38"/>
      <c r="G506" s="39" t="str">
        <f t="shared" si="23"/>
        <v>__</v>
      </c>
      <c r="H506" s="40" t="str">
        <f t="shared" si="24"/>
        <v>FALSE</v>
      </c>
      <c r="I506" s="41">
        <f t="shared" si="25"/>
        <v>0</v>
      </c>
      <c r="J506" s="4" t="s">
        <v>16</v>
      </c>
      <c r="K506" s="43" t="str">
        <f>IF(VLOOKUP(J506,βοηθητικό!$J$2:$N$354,3,FALSE)="","",VLOOKUP(J506,βοηθητικό!$J$2:$N$354,3,FALSE))</f>
        <v>_</v>
      </c>
      <c r="L506" s="44"/>
      <c r="M506" s="5" t="s">
        <v>16</v>
      </c>
      <c r="N506" s="46" t="str">
        <f>IF(VLOOKUP(M506,βοηθητικό!$J$2:$N$354,3,FALSE)="","",VLOOKUP(M506,βοηθητικό!$J$2:$N$354,3,FALSE))</f>
        <v>_</v>
      </c>
      <c r="O506" s="47"/>
      <c r="P506" s="4" t="s">
        <v>16</v>
      </c>
      <c r="Q506" s="43" t="str">
        <f>IF(VLOOKUP(P506,βοηθητικό!$J$2:$N$354,3,FALSE)="","",VLOOKUP(P506,βοηθητικό!$J$2:$N$354,3,FALSE))</f>
        <v>_</v>
      </c>
      <c r="R506" s="44"/>
      <c r="S506" s="5" t="s">
        <v>16</v>
      </c>
      <c r="T506" s="46" t="str">
        <f>IF(VLOOKUP(S506,βοηθητικό!$J$2:$N$354,3,FALSE)="","",VLOOKUP(S506,βοηθητικό!$J$2:$N$354,3,FALSE))</f>
        <v>_</v>
      </c>
      <c r="U506" s="47"/>
      <c r="V506" s="4" t="s">
        <v>16</v>
      </c>
      <c r="W506" s="43" t="str">
        <f>IF(VLOOKUP(V506,βοηθητικό!$J$2:$N$354,3,FALSE)="","",VLOOKUP(V506,βοηθητικό!$J$2:$N$354,3,FALSE))</f>
        <v>_</v>
      </c>
      <c r="X506" s="44"/>
      <c r="Y506" s="5" t="s">
        <v>16</v>
      </c>
      <c r="Z506" s="46" t="str">
        <f>IF(VLOOKUP(Y506,βοηθητικό!$J$2:$N$354,3,FALSE)="","",VLOOKUP(Y506,βοηθητικό!$J$2:$N$354,3,FALSE))</f>
        <v>_</v>
      </c>
      <c r="AA506" s="47"/>
      <c r="AB506" s="4" t="s">
        <v>16</v>
      </c>
      <c r="AC506" s="43" t="str">
        <f>IF(VLOOKUP(AB506,βοηθητικό!$J$2:$N$354,3,FALSE)="","",VLOOKUP(AB506,βοηθητικό!$J$2:$N$354,3,FALSE))</f>
        <v>_</v>
      </c>
      <c r="AD506" s="44"/>
      <c r="AE506" s="5" t="s">
        <v>16</v>
      </c>
      <c r="AF506" s="46" t="str">
        <f>IF(VLOOKUP(AE506,βοηθητικό!$J$2:$N$354,3,FALSE)="","",VLOOKUP(AE506,βοηθητικό!$J$2:$N$354,3,FALSE))</f>
        <v>_</v>
      </c>
      <c r="AG506" s="47"/>
      <c r="AH506" s="4" t="s">
        <v>16</v>
      </c>
      <c r="AI506" s="43" t="str">
        <f>IF(VLOOKUP(AH506,βοηθητικό!$J$2:$N$354,3,FALSE)="","",VLOOKUP(AH506,βοηθητικό!$J$2:$N$354,3,FALSE))</f>
        <v>_</v>
      </c>
      <c r="AJ506" s="44"/>
      <c r="AK506" s="5" t="s">
        <v>16</v>
      </c>
      <c r="AL506" s="46" t="str">
        <f>IF(VLOOKUP(AK506,βοηθητικό!$J$2:$N$354,3,FALSE)="","",VLOOKUP(AK506,βοηθητικό!$J$2:$N$354,3,FALSE))</f>
        <v>_</v>
      </c>
      <c r="AM506" s="47"/>
      <c r="AN506" s="4" t="s">
        <v>16</v>
      </c>
      <c r="AO506" s="43" t="str">
        <f>IF(VLOOKUP(AN506,βοηθητικό!$J$2:$N$354,3,FALSE)="","",VLOOKUP(AN506,βοηθητικό!$J$2:$N$354,3,FALSE))</f>
        <v>_</v>
      </c>
      <c r="AP506" s="44"/>
      <c r="AQ506" s="5" t="s">
        <v>16</v>
      </c>
      <c r="AR506" s="46" t="str">
        <f>IF(VLOOKUP(AQ506,βοηθητικό!$J$2:$N$354,3,FALSE)="","",VLOOKUP(AQ506,βοηθητικό!$J$2:$N$354,3,FALSE))</f>
        <v>_</v>
      </c>
      <c r="AS506" s="47"/>
      <c r="AT506" s="4" t="s">
        <v>16</v>
      </c>
      <c r="AU506" s="43" t="str">
        <f>IF(VLOOKUP(AT506,βοηθητικό!$J$2:$N$354,3,FALSE)="","",VLOOKUP(AT506,βοηθητικό!$J$2:$N$354,3,FALSE))</f>
        <v>_</v>
      </c>
      <c r="AV506" s="44"/>
      <c r="AW506" s="5" t="s">
        <v>16</v>
      </c>
      <c r="AX506" s="46" t="str">
        <f>IF(VLOOKUP(AW506,βοηθητικό!$J$2:$N$354,3,FALSE)="","",VLOOKUP(AW506,βοηθητικό!$J$2:$N$354,3,FALSE))</f>
        <v>_</v>
      </c>
      <c r="AY506" s="47"/>
      <c r="AZ506" s="4" t="s">
        <v>16</v>
      </c>
      <c r="BA506" s="43" t="str">
        <f>IF(VLOOKUP(AZ506,βοηθητικό!$J$2:$N$354,3,FALSE)="","",VLOOKUP(AZ506,βοηθητικό!$J$2:$N$354,3,FALSE))</f>
        <v>_</v>
      </c>
      <c r="BB506" s="44"/>
      <c r="BC506" s="45" t="s">
        <v>16</v>
      </c>
      <c r="BD506" s="46" t="str">
        <f>IF(VLOOKUP(BC506,βοηθητικό!$J$2:$N$354,3,FALSE)="","",VLOOKUP(BC506,βοηθητικό!$J$2:$N$354,3,FALSE))</f>
        <v>_</v>
      </c>
      <c r="BE506" s="47"/>
      <c r="BF506" s="42" t="s">
        <v>16</v>
      </c>
      <c r="BG506" s="43" t="str">
        <f>IF(VLOOKUP(BF506,βοηθητικό!$J$2:$N$354,3,FALSE)="","",VLOOKUP(BF506,βοηθητικό!$J$2:$N$354,3,FALSE))</f>
        <v>_</v>
      </c>
      <c r="BH506" s="44"/>
      <c r="BI506" s="45" t="s">
        <v>16</v>
      </c>
      <c r="BJ506" s="46" t="str">
        <f>IF(VLOOKUP(BI506,βοηθητικό!$J$2:$N$354,3,FALSE)="","",VLOOKUP(BI506,βοηθητικό!$J$2:$N$354,3,FALSE))</f>
        <v>_</v>
      </c>
      <c r="BK506" s="47"/>
      <c r="BL506" s="42" t="s">
        <v>16</v>
      </c>
      <c r="BM506" s="43" t="str">
        <f>IF(VLOOKUP(BL506,βοηθητικό!$J$2:$N$354,3,FALSE)="","",VLOOKUP(BL506,βοηθητικό!$J$2:$N$354,3,FALSE))</f>
        <v>_</v>
      </c>
      <c r="BN506" s="44"/>
      <c r="BO506" s="45" t="s">
        <v>16</v>
      </c>
      <c r="BP506" s="46" t="str">
        <f>IF(VLOOKUP(BO506,βοηθητικό!$J$2:$N$354,3,FALSE)="","",VLOOKUP(BO506,βοηθητικό!$J$2:$N$354,3,FALSE))</f>
        <v>_</v>
      </c>
      <c r="BQ506" s="47"/>
      <c r="BR506" s="42" t="s">
        <v>16</v>
      </c>
      <c r="BS506" s="43" t="str">
        <f>IF(VLOOKUP(BR506,βοηθητικό!$J$2:$N$354,3,FALSE)="","",VLOOKUP(BR506,βοηθητικό!$J$2:$N$354,3,FALSE))</f>
        <v>_</v>
      </c>
      <c r="BT506" s="44"/>
      <c r="BU506" s="45" t="s">
        <v>16</v>
      </c>
      <c r="BV506" s="46" t="str">
        <f>IF(VLOOKUP(BU506,βοηθητικό!$J$2:$N$354,3,FALSE)="","",VLOOKUP(BU506,βοηθητικό!$J$2:$N$354,3,FALSE))</f>
        <v>_</v>
      </c>
      <c r="BW506" s="47"/>
      <c r="BX506" s="42" t="s">
        <v>16</v>
      </c>
      <c r="BY506" s="43" t="str">
        <f>IF(VLOOKUP(BX506,βοηθητικό!$J$2:$N$354,3,FALSE)="","",VLOOKUP(BX506,βοηθητικό!$J$2:$N$354,3,FALSE))</f>
        <v>_</v>
      </c>
      <c r="BZ506" s="44"/>
      <c r="CA506" s="45" t="s">
        <v>16</v>
      </c>
      <c r="CB506" s="46" t="str">
        <f>IF(VLOOKUP(CA506,βοηθητικό!$J$2:$N$354,3,FALSE)="","",VLOOKUP(CA506,βοηθητικό!$J$2:$N$354,3,FALSE))</f>
        <v>_</v>
      </c>
      <c r="CC506" s="47"/>
      <c r="CD506" s="42" t="s">
        <v>16</v>
      </c>
      <c r="CE506" s="43" t="str">
        <f>IF(VLOOKUP(CD506,βοηθητικό!$J$2:$N$354,3,FALSE)="","",VLOOKUP(CD506,βοηθητικό!$J$2:$N$354,3,FALSE))</f>
        <v>_</v>
      </c>
      <c r="CF506" s="44"/>
      <c r="CG506" s="45" t="s">
        <v>16</v>
      </c>
      <c r="CH506" s="46" t="str">
        <f>IF(VLOOKUP(CG506,βοηθητικό!$J$2:$N$354,3,FALSE)="","",VLOOKUP(CG506,βοηθητικό!$J$2:$N$354,3,FALSE))</f>
        <v>_</v>
      </c>
      <c r="CI506" s="47"/>
      <c r="CJ506" s="42" t="s">
        <v>16</v>
      </c>
      <c r="CK506" s="43" t="str">
        <f>IF(VLOOKUP(CJ506,βοηθητικό!$J$2:$N$354,3,FALSE)="","",VLOOKUP(CJ506,βοηθητικό!$J$2:$N$354,3,FALSE))</f>
        <v>_</v>
      </c>
      <c r="CL506" s="44"/>
      <c r="CM506" s="45" t="s">
        <v>16</v>
      </c>
      <c r="CN506" s="46" t="str">
        <f>IF(VLOOKUP(CM506,βοηθητικό!$J$2:$N$354,3,FALSE)="","",VLOOKUP(CM506,βοηθητικό!$J$2:$N$354,3,FALSE))</f>
        <v>_</v>
      </c>
      <c r="CO506" s="47"/>
      <c r="CP506" s="42" t="s">
        <v>16</v>
      </c>
      <c r="CQ506" s="43" t="str">
        <f>IF(VLOOKUP(CP506,βοηθητικό!$J$2:$N$354,3,FALSE)="","",VLOOKUP(CP506,βοηθητικό!$J$2:$N$354,3,FALSE))</f>
        <v>_</v>
      </c>
      <c r="CR506" s="44"/>
      <c r="CS506" s="45" t="s">
        <v>16</v>
      </c>
      <c r="CT506" s="46" t="str">
        <f>IF(VLOOKUP(CS506,βοηθητικό!$J$2:$N$354,3,FALSE)="","",VLOOKUP(CS506,βοηθητικό!$J$2:$N$354,3,FALSE))</f>
        <v>_</v>
      </c>
      <c r="CU506" s="47"/>
    </row>
    <row r="507" spans="1:99" x14ac:dyDescent="0.25">
      <c r="A507" s="37">
        <f>--SUBTOTAL(3,$B$3:B506)</f>
        <v>198</v>
      </c>
      <c r="B507" s="2"/>
      <c r="C507" s="3"/>
      <c r="D507" s="55" t="s">
        <v>18</v>
      </c>
      <c r="E507" s="38" t="s">
        <v>16</v>
      </c>
      <c r="F507" s="38"/>
      <c r="G507" s="39" t="str">
        <f t="shared" si="23"/>
        <v>__</v>
      </c>
      <c r="H507" s="40" t="str">
        <f t="shared" si="24"/>
        <v>FALSE</v>
      </c>
      <c r="I507" s="41">
        <f t="shared" si="25"/>
        <v>0</v>
      </c>
      <c r="J507" s="4" t="s">
        <v>16</v>
      </c>
      <c r="K507" s="43" t="str">
        <f>IF(VLOOKUP(J507,βοηθητικό!$J$2:$N$354,3,FALSE)="","",VLOOKUP(J507,βοηθητικό!$J$2:$N$354,3,FALSE))</f>
        <v>_</v>
      </c>
      <c r="L507" s="44"/>
      <c r="M507" s="5" t="s">
        <v>16</v>
      </c>
      <c r="N507" s="46" t="str">
        <f>IF(VLOOKUP(M507,βοηθητικό!$J$2:$N$354,3,FALSE)="","",VLOOKUP(M507,βοηθητικό!$J$2:$N$354,3,FALSE))</f>
        <v>_</v>
      </c>
      <c r="O507" s="47"/>
      <c r="P507" s="4" t="s">
        <v>16</v>
      </c>
      <c r="Q507" s="43" t="str">
        <f>IF(VLOOKUP(P507,βοηθητικό!$J$2:$N$354,3,FALSE)="","",VLOOKUP(P507,βοηθητικό!$J$2:$N$354,3,FALSE))</f>
        <v>_</v>
      </c>
      <c r="R507" s="44"/>
      <c r="S507" s="5" t="s">
        <v>16</v>
      </c>
      <c r="T507" s="46" t="str">
        <f>IF(VLOOKUP(S507,βοηθητικό!$J$2:$N$354,3,FALSE)="","",VLOOKUP(S507,βοηθητικό!$J$2:$N$354,3,FALSE))</f>
        <v>_</v>
      </c>
      <c r="U507" s="47"/>
      <c r="V507" s="4" t="s">
        <v>16</v>
      </c>
      <c r="W507" s="43" t="str">
        <f>IF(VLOOKUP(V507,βοηθητικό!$J$2:$N$354,3,FALSE)="","",VLOOKUP(V507,βοηθητικό!$J$2:$N$354,3,FALSE))</f>
        <v>_</v>
      </c>
      <c r="X507" s="44"/>
      <c r="Y507" s="5" t="s">
        <v>16</v>
      </c>
      <c r="Z507" s="46" t="str">
        <f>IF(VLOOKUP(Y507,βοηθητικό!$J$2:$N$354,3,FALSE)="","",VLOOKUP(Y507,βοηθητικό!$J$2:$N$354,3,FALSE))</f>
        <v>_</v>
      </c>
      <c r="AA507" s="47"/>
      <c r="AB507" s="4" t="s">
        <v>16</v>
      </c>
      <c r="AC507" s="43" t="str">
        <f>IF(VLOOKUP(AB507,βοηθητικό!$J$2:$N$354,3,FALSE)="","",VLOOKUP(AB507,βοηθητικό!$J$2:$N$354,3,FALSE))</f>
        <v>_</v>
      </c>
      <c r="AD507" s="44"/>
      <c r="AE507" s="5" t="s">
        <v>16</v>
      </c>
      <c r="AF507" s="46" t="str">
        <f>IF(VLOOKUP(AE507,βοηθητικό!$J$2:$N$354,3,FALSE)="","",VLOOKUP(AE507,βοηθητικό!$J$2:$N$354,3,FALSE))</f>
        <v>_</v>
      </c>
      <c r="AG507" s="47"/>
      <c r="AH507" s="4" t="s">
        <v>16</v>
      </c>
      <c r="AI507" s="43" t="str">
        <f>IF(VLOOKUP(AH507,βοηθητικό!$J$2:$N$354,3,FALSE)="","",VLOOKUP(AH507,βοηθητικό!$J$2:$N$354,3,FALSE))</f>
        <v>_</v>
      </c>
      <c r="AJ507" s="44"/>
      <c r="AK507" s="5" t="s">
        <v>16</v>
      </c>
      <c r="AL507" s="46" t="str">
        <f>IF(VLOOKUP(AK507,βοηθητικό!$J$2:$N$354,3,FALSE)="","",VLOOKUP(AK507,βοηθητικό!$J$2:$N$354,3,FALSE))</f>
        <v>_</v>
      </c>
      <c r="AM507" s="47"/>
      <c r="AN507" s="4" t="s">
        <v>16</v>
      </c>
      <c r="AO507" s="43" t="str">
        <f>IF(VLOOKUP(AN507,βοηθητικό!$J$2:$N$354,3,FALSE)="","",VLOOKUP(AN507,βοηθητικό!$J$2:$N$354,3,FALSE))</f>
        <v>_</v>
      </c>
      <c r="AP507" s="44"/>
      <c r="AQ507" s="5" t="s">
        <v>16</v>
      </c>
      <c r="AR507" s="46" t="str">
        <f>IF(VLOOKUP(AQ507,βοηθητικό!$J$2:$N$354,3,FALSE)="","",VLOOKUP(AQ507,βοηθητικό!$J$2:$N$354,3,FALSE))</f>
        <v>_</v>
      </c>
      <c r="AS507" s="47"/>
      <c r="AT507" s="4" t="s">
        <v>16</v>
      </c>
      <c r="AU507" s="43" t="str">
        <f>IF(VLOOKUP(AT507,βοηθητικό!$J$2:$N$354,3,FALSE)="","",VLOOKUP(AT507,βοηθητικό!$J$2:$N$354,3,FALSE))</f>
        <v>_</v>
      </c>
      <c r="AV507" s="44"/>
      <c r="AW507" s="5" t="s">
        <v>16</v>
      </c>
      <c r="AX507" s="46" t="str">
        <f>IF(VLOOKUP(AW507,βοηθητικό!$J$2:$N$354,3,FALSE)="","",VLOOKUP(AW507,βοηθητικό!$J$2:$N$354,3,FALSE))</f>
        <v>_</v>
      </c>
      <c r="AY507" s="47"/>
      <c r="AZ507" s="4" t="s">
        <v>16</v>
      </c>
      <c r="BA507" s="43" t="str">
        <f>IF(VLOOKUP(AZ507,βοηθητικό!$J$2:$N$354,3,FALSE)="","",VLOOKUP(AZ507,βοηθητικό!$J$2:$N$354,3,FALSE))</f>
        <v>_</v>
      </c>
      <c r="BB507" s="44"/>
      <c r="BC507" s="45" t="s">
        <v>16</v>
      </c>
      <c r="BD507" s="46" t="str">
        <f>IF(VLOOKUP(BC507,βοηθητικό!$J$2:$N$354,3,FALSE)="","",VLOOKUP(BC507,βοηθητικό!$J$2:$N$354,3,FALSE))</f>
        <v>_</v>
      </c>
      <c r="BE507" s="47"/>
      <c r="BF507" s="42" t="s">
        <v>16</v>
      </c>
      <c r="BG507" s="43" t="str">
        <f>IF(VLOOKUP(BF507,βοηθητικό!$J$2:$N$354,3,FALSE)="","",VLOOKUP(BF507,βοηθητικό!$J$2:$N$354,3,FALSE))</f>
        <v>_</v>
      </c>
      <c r="BH507" s="44"/>
      <c r="BI507" s="45" t="s">
        <v>16</v>
      </c>
      <c r="BJ507" s="46" t="str">
        <f>IF(VLOOKUP(BI507,βοηθητικό!$J$2:$N$354,3,FALSE)="","",VLOOKUP(BI507,βοηθητικό!$J$2:$N$354,3,FALSE))</f>
        <v>_</v>
      </c>
      <c r="BK507" s="47"/>
      <c r="BL507" s="42" t="s">
        <v>16</v>
      </c>
      <c r="BM507" s="43" t="str">
        <f>IF(VLOOKUP(BL507,βοηθητικό!$J$2:$N$354,3,FALSE)="","",VLOOKUP(BL507,βοηθητικό!$J$2:$N$354,3,FALSE))</f>
        <v>_</v>
      </c>
      <c r="BN507" s="44"/>
      <c r="BO507" s="45" t="s">
        <v>16</v>
      </c>
      <c r="BP507" s="46" t="str">
        <f>IF(VLOOKUP(BO507,βοηθητικό!$J$2:$N$354,3,FALSE)="","",VLOOKUP(BO507,βοηθητικό!$J$2:$N$354,3,FALSE))</f>
        <v>_</v>
      </c>
      <c r="BQ507" s="47"/>
      <c r="BR507" s="42" t="s">
        <v>16</v>
      </c>
      <c r="BS507" s="43" t="str">
        <f>IF(VLOOKUP(BR507,βοηθητικό!$J$2:$N$354,3,FALSE)="","",VLOOKUP(BR507,βοηθητικό!$J$2:$N$354,3,FALSE))</f>
        <v>_</v>
      </c>
      <c r="BT507" s="44"/>
      <c r="BU507" s="45" t="s">
        <v>16</v>
      </c>
      <c r="BV507" s="46" t="str">
        <f>IF(VLOOKUP(BU507,βοηθητικό!$J$2:$N$354,3,FALSE)="","",VLOOKUP(BU507,βοηθητικό!$J$2:$N$354,3,FALSE))</f>
        <v>_</v>
      </c>
      <c r="BW507" s="47"/>
      <c r="BX507" s="42" t="s">
        <v>16</v>
      </c>
      <c r="BY507" s="43" t="str">
        <f>IF(VLOOKUP(BX507,βοηθητικό!$J$2:$N$354,3,FALSE)="","",VLOOKUP(BX507,βοηθητικό!$J$2:$N$354,3,FALSE))</f>
        <v>_</v>
      </c>
      <c r="BZ507" s="44"/>
      <c r="CA507" s="45" t="s">
        <v>16</v>
      </c>
      <c r="CB507" s="46" t="str">
        <f>IF(VLOOKUP(CA507,βοηθητικό!$J$2:$N$354,3,FALSE)="","",VLOOKUP(CA507,βοηθητικό!$J$2:$N$354,3,FALSE))</f>
        <v>_</v>
      </c>
      <c r="CC507" s="47"/>
      <c r="CD507" s="42" t="s">
        <v>16</v>
      </c>
      <c r="CE507" s="43" t="str">
        <f>IF(VLOOKUP(CD507,βοηθητικό!$J$2:$N$354,3,FALSE)="","",VLOOKUP(CD507,βοηθητικό!$J$2:$N$354,3,FALSE))</f>
        <v>_</v>
      </c>
      <c r="CF507" s="44"/>
      <c r="CG507" s="45" t="s">
        <v>16</v>
      </c>
      <c r="CH507" s="46" t="str">
        <f>IF(VLOOKUP(CG507,βοηθητικό!$J$2:$N$354,3,FALSE)="","",VLOOKUP(CG507,βοηθητικό!$J$2:$N$354,3,FALSE))</f>
        <v>_</v>
      </c>
      <c r="CI507" s="47"/>
      <c r="CJ507" s="42" t="s">
        <v>16</v>
      </c>
      <c r="CK507" s="43" t="str">
        <f>IF(VLOOKUP(CJ507,βοηθητικό!$J$2:$N$354,3,FALSE)="","",VLOOKUP(CJ507,βοηθητικό!$J$2:$N$354,3,FALSE))</f>
        <v>_</v>
      </c>
      <c r="CL507" s="44"/>
      <c r="CM507" s="45" t="s">
        <v>16</v>
      </c>
      <c r="CN507" s="46" t="str">
        <f>IF(VLOOKUP(CM507,βοηθητικό!$J$2:$N$354,3,FALSE)="","",VLOOKUP(CM507,βοηθητικό!$J$2:$N$354,3,FALSE))</f>
        <v>_</v>
      </c>
      <c r="CO507" s="47"/>
      <c r="CP507" s="42" t="s">
        <v>16</v>
      </c>
      <c r="CQ507" s="43" t="str">
        <f>IF(VLOOKUP(CP507,βοηθητικό!$J$2:$N$354,3,FALSE)="","",VLOOKUP(CP507,βοηθητικό!$J$2:$N$354,3,FALSE))</f>
        <v>_</v>
      </c>
      <c r="CR507" s="44"/>
      <c r="CS507" s="45" t="s">
        <v>16</v>
      </c>
      <c r="CT507" s="46" t="str">
        <f>IF(VLOOKUP(CS507,βοηθητικό!$J$2:$N$354,3,FALSE)="","",VLOOKUP(CS507,βοηθητικό!$J$2:$N$354,3,FALSE))</f>
        <v>_</v>
      </c>
      <c r="CU507" s="47"/>
    </row>
    <row r="508" spans="1:99" x14ac:dyDescent="0.25">
      <c r="A508" s="37">
        <f>--SUBTOTAL(3,$B$3:B507)</f>
        <v>198</v>
      </c>
      <c r="B508" s="2"/>
      <c r="C508" s="3"/>
      <c r="D508" s="55" t="s">
        <v>18</v>
      </c>
      <c r="E508" s="38" t="s">
        <v>16</v>
      </c>
      <c r="F508" s="38"/>
      <c r="G508" s="39" t="str">
        <f t="shared" si="23"/>
        <v>__</v>
      </c>
      <c r="H508" s="40" t="str">
        <f t="shared" si="24"/>
        <v>FALSE</v>
      </c>
      <c r="I508" s="41">
        <f t="shared" si="25"/>
        <v>0</v>
      </c>
      <c r="J508" s="4" t="s">
        <v>16</v>
      </c>
      <c r="K508" s="43" t="str">
        <f>IF(VLOOKUP(J508,βοηθητικό!$J$2:$N$354,3,FALSE)="","",VLOOKUP(J508,βοηθητικό!$J$2:$N$354,3,FALSE))</f>
        <v>_</v>
      </c>
      <c r="L508" s="44"/>
      <c r="M508" s="5" t="s">
        <v>16</v>
      </c>
      <c r="N508" s="46" t="str">
        <f>IF(VLOOKUP(M508,βοηθητικό!$J$2:$N$354,3,FALSE)="","",VLOOKUP(M508,βοηθητικό!$J$2:$N$354,3,FALSE))</f>
        <v>_</v>
      </c>
      <c r="O508" s="47"/>
      <c r="P508" s="4" t="s">
        <v>16</v>
      </c>
      <c r="Q508" s="43" t="str">
        <f>IF(VLOOKUP(P508,βοηθητικό!$J$2:$N$354,3,FALSE)="","",VLOOKUP(P508,βοηθητικό!$J$2:$N$354,3,FALSE))</f>
        <v>_</v>
      </c>
      <c r="R508" s="44"/>
      <c r="S508" s="5" t="s">
        <v>16</v>
      </c>
      <c r="T508" s="46" t="str">
        <f>IF(VLOOKUP(S508,βοηθητικό!$J$2:$N$354,3,FALSE)="","",VLOOKUP(S508,βοηθητικό!$J$2:$N$354,3,FALSE))</f>
        <v>_</v>
      </c>
      <c r="U508" s="47"/>
      <c r="V508" s="4" t="s">
        <v>16</v>
      </c>
      <c r="W508" s="43" t="str">
        <f>IF(VLOOKUP(V508,βοηθητικό!$J$2:$N$354,3,FALSE)="","",VLOOKUP(V508,βοηθητικό!$J$2:$N$354,3,FALSE))</f>
        <v>_</v>
      </c>
      <c r="X508" s="44"/>
      <c r="Y508" s="5" t="s">
        <v>16</v>
      </c>
      <c r="Z508" s="46" t="str">
        <f>IF(VLOOKUP(Y508,βοηθητικό!$J$2:$N$354,3,FALSE)="","",VLOOKUP(Y508,βοηθητικό!$J$2:$N$354,3,FALSE))</f>
        <v>_</v>
      </c>
      <c r="AA508" s="47"/>
      <c r="AB508" s="4" t="s">
        <v>16</v>
      </c>
      <c r="AC508" s="43" t="str">
        <f>IF(VLOOKUP(AB508,βοηθητικό!$J$2:$N$354,3,FALSE)="","",VLOOKUP(AB508,βοηθητικό!$J$2:$N$354,3,FALSE))</f>
        <v>_</v>
      </c>
      <c r="AD508" s="44"/>
      <c r="AE508" s="5" t="s">
        <v>16</v>
      </c>
      <c r="AF508" s="46" t="str">
        <f>IF(VLOOKUP(AE508,βοηθητικό!$J$2:$N$354,3,FALSE)="","",VLOOKUP(AE508,βοηθητικό!$J$2:$N$354,3,FALSE))</f>
        <v>_</v>
      </c>
      <c r="AG508" s="47"/>
      <c r="AH508" s="4" t="s">
        <v>16</v>
      </c>
      <c r="AI508" s="43" t="str">
        <f>IF(VLOOKUP(AH508,βοηθητικό!$J$2:$N$354,3,FALSE)="","",VLOOKUP(AH508,βοηθητικό!$J$2:$N$354,3,FALSE))</f>
        <v>_</v>
      </c>
      <c r="AJ508" s="44"/>
      <c r="AK508" s="5" t="s">
        <v>16</v>
      </c>
      <c r="AL508" s="46" t="str">
        <f>IF(VLOOKUP(AK508,βοηθητικό!$J$2:$N$354,3,FALSE)="","",VLOOKUP(AK508,βοηθητικό!$J$2:$N$354,3,FALSE))</f>
        <v>_</v>
      </c>
      <c r="AM508" s="47"/>
      <c r="AN508" s="4" t="s">
        <v>16</v>
      </c>
      <c r="AO508" s="43" t="str">
        <f>IF(VLOOKUP(AN508,βοηθητικό!$J$2:$N$354,3,FALSE)="","",VLOOKUP(AN508,βοηθητικό!$J$2:$N$354,3,FALSE))</f>
        <v>_</v>
      </c>
      <c r="AP508" s="44"/>
      <c r="AQ508" s="5" t="s">
        <v>16</v>
      </c>
      <c r="AR508" s="46" t="str">
        <f>IF(VLOOKUP(AQ508,βοηθητικό!$J$2:$N$354,3,FALSE)="","",VLOOKUP(AQ508,βοηθητικό!$J$2:$N$354,3,FALSE))</f>
        <v>_</v>
      </c>
      <c r="AS508" s="47"/>
      <c r="AT508" s="4" t="s">
        <v>16</v>
      </c>
      <c r="AU508" s="43" t="str">
        <f>IF(VLOOKUP(AT508,βοηθητικό!$J$2:$N$354,3,FALSE)="","",VLOOKUP(AT508,βοηθητικό!$J$2:$N$354,3,FALSE))</f>
        <v>_</v>
      </c>
      <c r="AV508" s="44"/>
      <c r="AW508" s="5" t="s">
        <v>16</v>
      </c>
      <c r="AX508" s="46" t="str">
        <f>IF(VLOOKUP(AW508,βοηθητικό!$J$2:$N$354,3,FALSE)="","",VLOOKUP(AW508,βοηθητικό!$J$2:$N$354,3,FALSE))</f>
        <v>_</v>
      </c>
      <c r="AY508" s="47"/>
      <c r="AZ508" s="4" t="s">
        <v>16</v>
      </c>
      <c r="BA508" s="43" t="str">
        <f>IF(VLOOKUP(AZ508,βοηθητικό!$J$2:$N$354,3,FALSE)="","",VLOOKUP(AZ508,βοηθητικό!$J$2:$N$354,3,FALSE))</f>
        <v>_</v>
      </c>
      <c r="BB508" s="44"/>
      <c r="BC508" s="45" t="s">
        <v>16</v>
      </c>
      <c r="BD508" s="46" t="str">
        <f>IF(VLOOKUP(BC508,βοηθητικό!$J$2:$N$354,3,FALSE)="","",VLOOKUP(BC508,βοηθητικό!$J$2:$N$354,3,FALSE))</f>
        <v>_</v>
      </c>
      <c r="BE508" s="47"/>
      <c r="BF508" s="42" t="s">
        <v>16</v>
      </c>
      <c r="BG508" s="43" t="str">
        <f>IF(VLOOKUP(BF508,βοηθητικό!$J$2:$N$354,3,FALSE)="","",VLOOKUP(BF508,βοηθητικό!$J$2:$N$354,3,FALSE))</f>
        <v>_</v>
      </c>
      <c r="BH508" s="44"/>
      <c r="BI508" s="45" t="s">
        <v>16</v>
      </c>
      <c r="BJ508" s="46" t="str">
        <f>IF(VLOOKUP(BI508,βοηθητικό!$J$2:$N$354,3,FALSE)="","",VLOOKUP(BI508,βοηθητικό!$J$2:$N$354,3,FALSE))</f>
        <v>_</v>
      </c>
      <c r="BK508" s="47"/>
      <c r="BL508" s="42" t="s">
        <v>16</v>
      </c>
      <c r="BM508" s="43" t="str">
        <f>IF(VLOOKUP(BL508,βοηθητικό!$J$2:$N$354,3,FALSE)="","",VLOOKUP(BL508,βοηθητικό!$J$2:$N$354,3,FALSE))</f>
        <v>_</v>
      </c>
      <c r="BN508" s="44"/>
      <c r="BO508" s="45" t="s">
        <v>16</v>
      </c>
      <c r="BP508" s="46" t="str">
        <f>IF(VLOOKUP(BO508,βοηθητικό!$J$2:$N$354,3,FALSE)="","",VLOOKUP(BO508,βοηθητικό!$J$2:$N$354,3,FALSE))</f>
        <v>_</v>
      </c>
      <c r="BQ508" s="47"/>
      <c r="BR508" s="42" t="s">
        <v>16</v>
      </c>
      <c r="BS508" s="43" t="str">
        <f>IF(VLOOKUP(BR508,βοηθητικό!$J$2:$N$354,3,FALSE)="","",VLOOKUP(BR508,βοηθητικό!$J$2:$N$354,3,FALSE))</f>
        <v>_</v>
      </c>
      <c r="BT508" s="44"/>
      <c r="BU508" s="45" t="s">
        <v>16</v>
      </c>
      <c r="BV508" s="46" t="str">
        <f>IF(VLOOKUP(BU508,βοηθητικό!$J$2:$N$354,3,FALSE)="","",VLOOKUP(BU508,βοηθητικό!$J$2:$N$354,3,FALSE))</f>
        <v>_</v>
      </c>
      <c r="BW508" s="47"/>
      <c r="BX508" s="42" t="s">
        <v>16</v>
      </c>
      <c r="BY508" s="43" t="str">
        <f>IF(VLOOKUP(BX508,βοηθητικό!$J$2:$N$354,3,FALSE)="","",VLOOKUP(BX508,βοηθητικό!$J$2:$N$354,3,FALSE))</f>
        <v>_</v>
      </c>
      <c r="BZ508" s="44"/>
      <c r="CA508" s="45" t="s">
        <v>16</v>
      </c>
      <c r="CB508" s="46" t="str">
        <f>IF(VLOOKUP(CA508,βοηθητικό!$J$2:$N$354,3,FALSE)="","",VLOOKUP(CA508,βοηθητικό!$J$2:$N$354,3,FALSE))</f>
        <v>_</v>
      </c>
      <c r="CC508" s="47"/>
      <c r="CD508" s="42" t="s">
        <v>16</v>
      </c>
      <c r="CE508" s="43" t="str">
        <f>IF(VLOOKUP(CD508,βοηθητικό!$J$2:$N$354,3,FALSE)="","",VLOOKUP(CD508,βοηθητικό!$J$2:$N$354,3,FALSE))</f>
        <v>_</v>
      </c>
      <c r="CF508" s="44"/>
      <c r="CG508" s="45" t="s">
        <v>16</v>
      </c>
      <c r="CH508" s="46" t="str">
        <f>IF(VLOOKUP(CG508,βοηθητικό!$J$2:$N$354,3,FALSE)="","",VLOOKUP(CG508,βοηθητικό!$J$2:$N$354,3,FALSE))</f>
        <v>_</v>
      </c>
      <c r="CI508" s="47"/>
      <c r="CJ508" s="42" t="s">
        <v>16</v>
      </c>
      <c r="CK508" s="43" t="str">
        <f>IF(VLOOKUP(CJ508,βοηθητικό!$J$2:$N$354,3,FALSE)="","",VLOOKUP(CJ508,βοηθητικό!$J$2:$N$354,3,FALSE))</f>
        <v>_</v>
      </c>
      <c r="CL508" s="44"/>
      <c r="CM508" s="45" t="s">
        <v>16</v>
      </c>
      <c r="CN508" s="46" t="str">
        <f>IF(VLOOKUP(CM508,βοηθητικό!$J$2:$N$354,3,FALSE)="","",VLOOKUP(CM508,βοηθητικό!$J$2:$N$354,3,FALSE))</f>
        <v>_</v>
      </c>
      <c r="CO508" s="47"/>
      <c r="CP508" s="42" t="s">
        <v>16</v>
      </c>
      <c r="CQ508" s="43" t="str">
        <f>IF(VLOOKUP(CP508,βοηθητικό!$J$2:$N$354,3,FALSE)="","",VLOOKUP(CP508,βοηθητικό!$J$2:$N$354,3,FALSE))</f>
        <v>_</v>
      </c>
      <c r="CR508" s="44"/>
      <c r="CS508" s="45" t="s">
        <v>16</v>
      </c>
      <c r="CT508" s="46" t="str">
        <f>IF(VLOOKUP(CS508,βοηθητικό!$J$2:$N$354,3,FALSE)="","",VLOOKUP(CS508,βοηθητικό!$J$2:$N$354,3,FALSE))</f>
        <v>_</v>
      </c>
      <c r="CU508" s="47"/>
    </row>
    <row r="509" spans="1:99" x14ac:dyDescent="0.25">
      <c r="A509" s="37">
        <f>--SUBTOTAL(3,$B$3:B508)</f>
        <v>198</v>
      </c>
      <c r="B509" s="2"/>
      <c r="C509" s="3"/>
      <c r="D509" s="55" t="s">
        <v>18</v>
      </c>
      <c r="E509" s="38" t="s">
        <v>16</v>
      </c>
      <c r="F509" s="38"/>
      <c r="G509" s="39" t="str">
        <f t="shared" si="23"/>
        <v>__</v>
      </c>
      <c r="H509" s="40" t="str">
        <f t="shared" si="24"/>
        <v>FALSE</v>
      </c>
      <c r="I509" s="41">
        <f t="shared" si="25"/>
        <v>0</v>
      </c>
      <c r="J509" s="4" t="s">
        <v>16</v>
      </c>
      <c r="K509" s="43" t="str">
        <f>IF(VLOOKUP(J509,βοηθητικό!$J$2:$N$354,3,FALSE)="","",VLOOKUP(J509,βοηθητικό!$J$2:$N$354,3,FALSE))</f>
        <v>_</v>
      </c>
      <c r="L509" s="44"/>
      <c r="M509" s="5" t="s">
        <v>16</v>
      </c>
      <c r="N509" s="46" t="str">
        <f>IF(VLOOKUP(M509,βοηθητικό!$J$2:$N$354,3,FALSE)="","",VLOOKUP(M509,βοηθητικό!$J$2:$N$354,3,FALSE))</f>
        <v>_</v>
      </c>
      <c r="O509" s="47"/>
      <c r="P509" s="4" t="s">
        <v>16</v>
      </c>
      <c r="Q509" s="43" t="str">
        <f>IF(VLOOKUP(P509,βοηθητικό!$J$2:$N$354,3,FALSE)="","",VLOOKUP(P509,βοηθητικό!$J$2:$N$354,3,FALSE))</f>
        <v>_</v>
      </c>
      <c r="R509" s="44"/>
      <c r="S509" s="5" t="s">
        <v>16</v>
      </c>
      <c r="T509" s="46" t="str">
        <f>IF(VLOOKUP(S509,βοηθητικό!$J$2:$N$354,3,FALSE)="","",VLOOKUP(S509,βοηθητικό!$J$2:$N$354,3,FALSE))</f>
        <v>_</v>
      </c>
      <c r="U509" s="47"/>
      <c r="V509" s="4" t="s">
        <v>16</v>
      </c>
      <c r="W509" s="43" t="str">
        <f>IF(VLOOKUP(V509,βοηθητικό!$J$2:$N$354,3,FALSE)="","",VLOOKUP(V509,βοηθητικό!$J$2:$N$354,3,FALSE))</f>
        <v>_</v>
      </c>
      <c r="X509" s="44"/>
      <c r="Y509" s="5" t="s">
        <v>16</v>
      </c>
      <c r="Z509" s="46" t="str">
        <f>IF(VLOOKUP(Y509,βοηθητικό!$J$2:$N$354,3,FALSE)="","",VLOOKUP(Y509,βοηθητικό!$J$2:$N$354,3,FALSE))</f>
        <v>_</v>
      </c>
      <c r="AA509" s="47"/>
      <c r="AB509" s="4" t="s">
        <v>16</v>
      </c>
      <c r="AC509" s="43" t="str">
        <f>IF(VLOOKUP(AB509,βοηθητικό!$J$2:$N$354,3,FALSE)="","",VLOOKUP(AB509,βοηθητικό!$J$2:$N$354,3,FALSE))</f>
        <v>_</v>
      </c>
      <c r="AD509" s="44"/>
      <c r="AE509" s="5" t="s">
        <v>16</v>
      </c>
      <c r="AF509" s="46" t="str">
        <f>IF(VLOOKUP(AE509,βοηθητικό!$J$2:$N$354,3,FALSE)="","",VLOOKUP(AE509,βοηθητικό!$J$2:$N$354,3,FALSE))</f>
        <v>_</v>
      </c>
      <c r="AG509" s="47"/>
      <c r="AH509" s="4" t="s">
        <v>16</v>
      </c>
      <c r="AI509" s="43" t="str">
        <f>IF(VLOOKUP(AH509,βοηθητικό!$J$2:$N$354,3,FALSE)="","",VLOOKUP(AH509,βοηθητικό!$J$2:$N$354,3,FALSE))</f>
        <v>_</v>
      </c>
      <c r="AJ509" s="44"/>
      <c r="AK509" s="5" t="s">
        <v>16</v>
      </c>
      <c r="AL509" s="46" t="str">
        <f>IF(VLOOKUP(AK509,βοηθητικό!$J$2:$N$354,3,FALSE)="","",VLOOKUP(AK509,βοηθητικό!$J$2:$N$354,3,FALSE))</f>
        <v>_</v>
      </c>
      <c r="AM509" s="47"/>
      <c r="AN509" s="4" t="s">
        <v>16</v>
      </c>
      <c r="AO509" s="43" t="str">
        <f>IF(VLOOKUP(AN509,βοηθητικό!$J$2:$N$354,3,FALSE)="","",VLOOKUP(AN509,βοηθητικό!$J$2:$N$354,3,FALSE))</f>
        <v>_</v>
      </c>
      <c r="AP509" s="44"/>
      <c r="AQ509" s="5" t="s">
        <v>16</v>
      </c>
      <c r="AR509" s="46" t="str">
        <f>IF(VLOOKUP(AQ509,βοηθητικό!$J$2:$N$354,3,FALSE)="","",VLOOKUP(AQ509,βοηθητικό!$J$2:$N$354,3,FALSE))</f>
        <v>_</v>
      </c>
      <c r="AS509" s="47"/>
      <c r="AT509" s="4" t="s">
        <v>16</v>
      </c>
      <c r="AU509" s="43" t="str">
        <f>IF(VLOOKUP(AT509,βοηθητικό!$J$2:$N$354,3,FALSE)="","",VLOOKUP(AT509,βοηθητικό!$J$2:$N$354,3,FALSE))</f>
        <v>_</v>
      </c>
      <c r="AV509" s="44"/>
      <c r="AW509" s="5" t="s">
        <v>16</v>
      </c>
      <c r="AX509" s="46" t="str">
        <f>IF(VLOOKUP(AW509,βοηθητικό!$J$2:$N$354,3,FALSE)="","",VLOOKUP(AW509,βοηθητικό!$J$2:$N$354,3,FALSE))</f>
        <v>_</v>
      </c>
      <c r="AY509" s="47"/>
      <c r="AZ509" s="4" t="s">
        <v>16</v>
      </c>
      <c r="BA509" s="43" t="str">
        <f>IF(VLOOKUP(AZ509,βοηθητικό!$J$2:$N$354,3,FALSE)="","",VLOOKUP(AZ509,βοηθητικό!$J$2:$N$354,3,FALSE))</f>
        <v>_</v>
      </c>
      <c r="BB509" s="44"/>
      <c r="BC509" s="45" t="s">
        <v>16</v>
      </c>
      <c r="BD509" s="46" t="str">
        <f>IF(VLOOKUP(BC509,βοηθητικό!$J$2:$N$354,3,FALSE)="","",VLOOKUP(BC509,βοηθητικό!$J$2:$N$354,3,FALSE))</f>
        <v>_</v>
      </c>
      <c r="BE509" s="47"/>
      <c r="BF509" s="42" t="s">
        <v>16</v>
      </c>
      <c r="BG509" s="43" t="str">
        <f>IF(VLOOKUP(BF509,βοηθητικό!$J$2:$N$354,3,FALSE)="","",VLOOKUP(BF509,βοηθητικό!$J$2:$N$354,3,FALSE))</f>
        <v>_</v>
      </c>
      <c r="BH509" s="44"/>
      <c r="BI509" s="45" t="s">
        <v>16</v>
      </c>
      <c r="BJ509" s="46" t="str">
        <f>IF(VLOOKUP(BI509,βοηθητικό!$J$2:$N$354,3,FALSE)="","",VLOOKUP(BI509,βοηθητικό!$J$2:$N$354,3,FALSE))</f>
        <v>_</v>
      </c>
      <c r="BK509" s="47"/>
      <c r="BL509" s="42" t="s">
        <v>16</v>
      </c>
      <c r="BM509" s="43" t="str">
        <f>IF(VLOOKUP(BL509,βοηθητικό!$J$2:$N$354,3,FALSE)="","",VLOOKUP(BL509,βοηθητικό!$J$2:$N$354,3,FALSE))</f>
        <v>_</v>
      </c>
      <c r="BN509" s="44"/>
      <c r="BO509" s="45" t="s">
        <v>16</v>
      </c>
      <c r="BP509" s="46" t="str">
        <f>IF(VLOOKUP(BO509,βοηθητικό!$J$2:$N$354,3,FALSE)="","",VLOOKUP(BO509,βοηθητικό!$J$2:$N$354,3,FALSE))</f>
        <v>_</v>
      </c>
      <c r="BQ509" s="47"/>
      <c r="BR509" s="42" t="s">
        <v>16</v>
      </c>
      <c r="BS509" s="43" t="str">
        <f>IF(VLOOKUP(BR509,βοηθητικό!$J$2:$N$354,3,FALSE)="","",VLOOKUP(BR509,βοηθητικό!$J$2:$N$354,3,FALSE))</f>
        <v>_</v>
      </c>
      <c r="BT509" s="44"/>
      <c r="BU509" s="45" t="s">
        <v>16</v>
      </c>
      <c r="BV509" s="46" t="str">
        <f>IF(VLOOKUP(BU509,βοηθητικό!$J$2:$N$354,3,FALSE)="","",VLOOKUP(BU509,βοηθητικό!$J$2:$N$354,3,FALSE))</f>
        <v>_</v>
      </c>
      <c r="BW509" s="47"/>
      <c r="BX509" s="42" t="s">
        <v>16</v>
      </c>
      <c r="BY509" s="43" t="str">
        <f>IF(VLOOKUP(BX509,βοηθητικό!$J$2:$N$354,3,FALSE)="","",VLOOKUP(BX509,βοηθητικό!$J$2:$N$354,3,FALSE))</f>
        <v>_</v>
      </c>
      <c r="BZ509" s="44"/>
      <c r="CA509" s="45" t="s">
        <v>16</v>
      </c>
      <c r="CB509" s="46" t="str">
        <f>IF(VLOOKUP(CA509,βοηθητικό!$J$2:$N$354,3,FALSE)="","",VLOOKUP(CA509,βοηθητικό!$J$2:$N$354,3,FALSE))</f>
        <v>_</v>
      </c>
      <c r="CC509" s="47"/>
      <c r="CD509" s="42" t="s">
        <v>16</v>
      </c>
      <c r="CE509" s="43" t="str">
        <f>IF(VLOOKUP(CD509,βοηθητικό!$J$2:$N$354,3,FALSE)="","",VLOOKUP(CD509,βοηθητικό!$J$2:$N$354,3,FALSE))</f>
        <v>_</v>
      </c>
      <c r="CF509" s="44"/>
      <c r="CG509" s="45" t="s">
        <v>16</v>
      </c>
      <c r="CH509" s="46" t="str">
        <f>IF(VLOOKUP(CG509,βοηθητικό!$J$2:$N$354,3,FALSE)="","",VLOOKUP(CG509,βοηθητικό!$J$2:$N$354,3,FALSE))</f>
        <v>_</v>
      </c>
      <c r="CI509" s="47"/>
      <c r="CJ509" s="42" t="s">
        <v>16</v>
      </c>
      <c r="CK509" s="43" t="str">
        <f>IF(VLOOKUP(CJ509,βοηθητικό!$J$2:$N$354,3,FALSE)="","",VLOOKUP(CJ509,βοηθητικό!$J$2:$N$354,3,FALSE))</f>
        <v>_</v>
      </c>
      <c r="CL509" s="44"/>
      <c r="CM509" s="45" t="s">
        <v>16</v>
      </c>
      <c r="CN509" s="46" t="str">
        <f>IF(VLOOKUP(CM509,βοηθητικό!$J$2:$N$354,3,FALSE)="","",VLOOKUP(CM509,βοηθητικό!$J$2:$N$354,3,FALSE))</f>
        <v>_</v>
      </c>
      <c r="CO509" s="47"/>
      <c r="CP509" s="42" t="s">
        <v>16</v>
      </c>
      <c r="CQ509" s="43" t="str">
        <f>IF(VLOOKUP(CP509,βοηθητικό!$J$2:$N$354,3,FALSE)="","",VLOOKUP(CP509,βοηθητικό!$J$2:$N$354,3,FALSE))</f>
        <v>_</v>
      </c>
      <c r="CR509" s="44"/>
      <c r="CS509" s="45" t="s">
        <v>16</v>
      </c>
      <c r="CT509" s="46" t="str">
        <f>IF(VLOOKUP(CS509,βοηθητικό!$J$2:$N$354,3,FALSE)="","",VLOOKUP(CS509,βοηθητικό!$J$2:$N$354,3,FALSE))</f>
        <v>_</v>
      </c>
      <c r="CU509" s="47"/>
    </row>
    <row r="510" spans="1:99" x14ac:dyDescent="0.25">
      <c r="A510" s="37">
        <f>--SUBTOTAL(3,$B$3:B509)</f>
        <v>198</v>
      </c>
      <c r="B510" s="2"/>
      <c r="C510" s="3"/>
      <c r="D510" s="55" t="s">
        <v>18</v>
      </c>
      <c r="E510" s="38" t="s">
        <v>16</v>
      </c>
      <c r="F510" s="38"/>
      <c r="G510" s="39" t="str">
        <f t="shared" si="23"/>
        <v>__</v>
      </c>
      <c r="H510" s="40" t="str">
        <f t="shared" si="24"/>
        <v>FALSE</v>
      </c>
      <c r="I510" s="41">
        <f t="shared" si="25"/>
        <v>0</v>
      </c>
      <c r="J510" s="4" t="s">
        <v>16</v>
      </c>
      <c r="K510" s="43" t="str">
        <f>IF(VLOOKUP(J510,βοηθητικό!$J$2:$N$354,3,FALSE)="","",VLOOKUP(J510,βοηθητικό!$J$2:$N$354,3,FALSE))</f>
        <v>_</v>
      </c>
      <c r="L510" s="44"/>
      <c r="M510" s="5" t="s">
        <v>16</v>
      </c>
      <c r="N510" s="46" t="str">
        <f>IF(VLOOKUP(M510,βοηθητικό!$J$2:$N$354,3,FALSE)="","",VLOOKUP(M510,βοηθητικό!$J$2:$N$354,3,FALSE))</f>
        <v>_</v>
      </c>
      <c r="O510" s="47"/>
      <c r="P510" s="4" t="s">
        <v>16</v>
      </c>
      <c r="Q510" s="43" t="str">
        <f>IF(VLOOKUP(P510,βοηθητικό!$J$2:$N$354,3,FALSE)="","",VLOOKUP(P510,βοηθητικό!$J$2:$N$354,3,FALSE))</f>
        <v>_</v>
      </c>
      <c r="R510" s="44"/>
      <c r="S510" s="5" t="s">
        <v>16</v>
      </c>
      <c r="T510" s="46" t="str">
        <f>IF(VLOOKUP(S510,βοηθητικό!$J$2:$N$354,3,FALSE)="","",VLOOKUP(S510,βοηθητικό!$J$2:$N$354,3,FALSE))</f>
        <v>_</v>
      </c>
      <c r="U510" s="47"/>
      <c r="V510" s="4" t="s">
        <v>16</v>
      </c>
      <c r="W510" s="43" t="str">
        <f>IF(VLOOKUP(V510,βοηθητικό!$J$2:$N$354,3,FALSE)="","",VLOOKUP(V510,βοηθητικό!$J$2:$N$354,3,FALSE))</f>
        <v>_</v>
      </c>
      <c r="X510" s="44"/>
      <c r="Y510" s="5" t="s">
        <v>16</v>
      </c>
      <c r="Z510" s="46" t="str">
        <f>IF(VLOOKUP(Y510,βοηθητικό!$J$2:$N$354,3,FALSE)="","",VLOOKUP(Y510,βοηθητικό!$J$2:$N$354,3,FALSE))</f>
        <v>_</v>
      </c>
      <c r="AA510" s="47"/>
      <c r="AB510" s="4" t="s">
        <v>16</v>
      </c>
      <c r="AC510" s="43" t="str">
        <f>IF(VLOOKUP(AB510,βοηθητικό!$J$2:$N$354,3,FALSE)="","",VLOOKUP(AB510,βοηθητικό!$J$2:$N$354,3,FALSE))</f>
        <v>_</v>
      </c>
      <c r="AD510" s="44"/>
      <c r="AE510" s="5" t="s">
        <v>16</v>
      </c>
      <c r="AF510" s="46" t="str">
        <f>IF(VLOOKUP(AE510,βοηθητικό!$J$2:$N$354,3,FALSE)="","",VLOOKUP(AE510,βοηθητικό!$J$2:$N$354,3,FALSE))</f>
        <v>_</v>
      </c>
      <c r="AG510" s="47"/>
      <c r="AH510" s="4" t="s">
        <v>16</v>
      </c>
      <c r="AI510" s="43" t="str">
        <f>IF(VLOOKUP(AH510,βοηθητικό!$J$2:$N$354,3,FALSE)="","",VLOOKUP(AH510,βοηθητικό!$J$2:$N$354,3,FALSE))</f>
        <v>_</v>
      </c>
      <c r="AJ510" s="44"/>
      <c r="AK510" s="5" t="s">
        <v>16</v>
      </c>
      <c r="AL510" s="46" t="str">
        <f>IF(VLOOKUP(AK510,βοηθητικό!$J$2:$N$354,3,FALSE)="","",VLOOKUP(AK510,βοηθητικό!$J$2:$N$354,3,FALSE))</f>
        <v>_</v>
      </c>
      <c r="AM510" s="47"/>
      <c r="AN510" s="4" t="s">
        <v>16</v>
      </c>
      <c r="AO510" s="43" t="str">
        <f>IF(VLOOKUP(AN510,βοηθητικό!$J$2:$N$354,3,FALSE)="","",VLOOKUP(AN510,βοηθητικό!$J$2:$N$354,3,FALSE))</f>
        <v>_</v>
      </c>
      <c r="AP510" s="44"/>
      <c r="AQ510" s="5" t="s">
        <v>16</v>
      </c>
      <c r="AR510" s="46" t="str">
        <f>IF(VLOOKUP(AQ510,βοηθητικό!$J$2:$N$354,3,FALSE)="","",VLOOKUP(AQ510,βοηθητικό!$J$2:$N$354,3,FALSE))</f>
        <v>_</v>
      </c>
      <c r="AS510" s="47"/>
      <c r="AT510" s="4" t="s">
        <v>16</v>
      </c>
      <c r="AU510" s="43" t="str">
        <f>IF(VLOOKUP(AT510,βοηθητικό!$J$2:$N$354,3,FALSE)="","",VLOOKUP(AT510,βοηθητικό!$J$2:$N$354,3,FALSE))</f>
        <v>_</v>
      </c>
      <c r="AV510" s="44"/>
      <c r="AW510" s="5" t="s">
        <v>16</v>
      </c>
      <c r="AX510" s="46" t="str">
        <f>IF(VLOOKUP(AW510,βοηθητικό!$J$2:$N$354,3,FALSE)="","",VLOOKUP(AW510,βοηθητικό!$J$2:$N$354,3,FALSE))</f>
        <v>_</v>
      </c>
      <c r="AY510" s="47"/>
      <c r="AZ510" s="4" t="s">
        <v>16</v>
      </c>
      <c r="BA510" s="43" t="str">
        <f>IF(VLOOKUP(AZ510,βοηθητικό!$J$2:$N$354,3,FALSE)="","",VLOOKUP(AZ510,βοηθητικό!$J$2:$N$354,3,FALSE))</f>
        <v>_</v>
      </c>
      <c r="BB510" s="44"/>
      <c r="BC510" s="45" t="s">
        <v>16</v>
      </c>
      <c r="BD510" s="46" t="str">
        <f>IF(VLOOKUP(BC510,βοηθητικό!$J$2:$N$354,3,FALSE)="","",VLOOKUP(BC510,βοηθητικό!$J$2:$N$354,3,FALSE))</f>
        <v>_</v>
      </c>
      <c r="BE510" s="47"/>
      <c r="BF510" s="42" t="s">
        <v>16</v>
      </c>
      <c r="BG510" s="43" t="str">
        <f>IF(VLOOKUP(BF510,βοηθητικό!$J$2:$N$354,3,FALSE)="","",VLOOKUP(BF510,βοηθητικό!$J$2:$N$354,3,FALSE))</f>
        <v>_</v>
      </c>
      <c r="BH510" s="44"/>
      <c r="BI510" s="45" t="s">
        <v>16</v>
      </c>
      <c r="BJ510" s="46" t="str">
        <f>IF(VLOOKUP(BI510,βοηθητικό!$J$2:$N$354,3,FALSE)="","",VLOOKUP(BI510,βοηθητικό!$J$2:$N$354,3,FALSE))</f>
        <v>_</v>
      </c>
      <c r="BK510" s="47"/>
      <c r="BL510" s="42" t="s">
        <v>16</v>
      </c>
      <c r="BM510" s="43" t="str">
        <f>IF(VLOOKUP(BL510,βοηθητικό!$J$2:$N$354,3,FALSE)="","",VLOOKUP(BL510,βοηθητικό!$J$2:$N$354,3,FALSE))</f>
        <v>_</v>
      </c>
      <c r="BN510" s="44"/>
      <c r="BO510" s="45" t="s">
        <v>16</v>
      </c>
      <c r="BP510" s="46" t="str">
        <f>IF(VLOOKUP(BO510,βοηθητικό!$J$2:$N$354,3,FALSE)="","",VLOOKUP(BO510,βοηθητικό!$J$2:$N$354,3,FALSE))</f>
        <v>_</v>
      </c>
      <c r="BQ510" s="47"/>
      <c r="BR510" s="42" t="s">
        <v>16</v>
      </c>
      <c r="BS510" s="43" t="str">
        <f>IF(VLOOKUP(BR510,βοηθητικό!$J$2:$N$354,3,FALSE)="","",VLOOKUP(BR510,βοηθητικό!$J$2:$N$354,3,FALSE))</f>
        <v>_</v>
      </c>
      <c r="BT510" s="44"/>
      <c r="BU510" s="45" t="s">
        <v>16</v>
      </c>
      <c r="BV510" s="46" t="str">
        <f>IF(VLOOKUP(BU510,βοηθητικό!$J$2:$N$354,3,FALSE)="","",VLOOKUP(BU510,βοηθητικό!$J$2:$N$354,3,FALSE))</f>
        <v>_</v>
      </c>
      <c r="BW510" s="47"/>
      <c r="BX510" s="42" t="s">
        <v>16</v>
      </c>
      <c r="BY510" s="43" t="str">
        <f>IF(VLOOKUP(BX510,βοηθητικό!$J$2:$N$354,3,FALSE)="","",VLOOKUP(BX510,βοηθητικό!$J$2:$N$354,3,FALSE))</f>
        <v>_</v>
      </c>
      <c r="BZ510" s="44"/>
      <c r="CA510" s="45" t="s">
        <v>16</v>
      </c>
      <c r="CB510" s="46" t="str">
        <f>IF(VLOOKUP(CA510,βοηθητικό!$J$2:$N$354,3,FALSE)="","",VLOOKUP(CA510,βοηθητικό!$J$2:$N$354,3,FALSE))</f>
        <v>_</v>
      </c>
      <c r="CC510" s="47"/>
      <c r="CD510" s="42" t="s">
        <v>16</v>
      </c>
      <c r="CE510" s="43" t="str">
        <f>IF(VLOOKUP(CD510,βοηθητικό!$J$2:$N$354,3,FALSE)="","",VLOOKUP(CD510,βοηθητικό!$J$2:$N$354,3,FALSE))</f>
        <v>_</v>
      </c>
      <c r="CF510" s="44"/>
      <c r="CG510" s="45" t="s">
        <v>16</v>
      </c>
      <c r="CH510" s="46" t="str">
        <f>IF(VLOOKUP(CG510,βοηθητικό!$J$2:$N$354,3,FALSE)="","",VLOOKUP(CG510,βοηθητικό!$J$2:$N$354,3,FALSE))</f>
        <v>_</v>
      </c>
      <c r="CI510" s="47"/>
      <c r="CJ510" s="42" t="s">
        <v>16</v>
      </c>
      <c r="CK510" s="43" t="str">
        <f>IF(VLOOKUP(CJ510,βοηθητικό!$J$2:$N$354,3,FALSE)="","",VLOOKUP(CJ510,βοηθητικό!$J$2:$N$354,3,FALSE))</f>
        <v>_</v>
      </c>
      <c r="CL510" s="44"/>
      <c r="CM510" s="45" t="s">
        <v>16</v>
      </c>
      <c r="CN510" s="46" t="str">
        <f>IF(VLOOKUP(CM510,βοηθητικό!$J$2:$N$354,3,FALSE)="","",VLOOKUP(CM510,βοηθητικό!$J$2:$N$354,3,FALSE))</f>
        <v>_</v>
      </c>
      <c r="CO510" s="47"/>
      <c r="CP510" s="42" t="s">
        <v>16</v>
      </c>
      <c r="CQ510" s="43" t="str">
        <f>IF(VLOOKUP(CP510,βοηθητικό!$J$2:$N$354,3,FALSE)="","",VLOOKUP(CP510,βοηθητικό!$J$2:$N$354,3,FALSE))</f>
        <v>_</v>
      </c>
      <c r="CR510" s="44"/>
      <c r="CS510" s="45" t="s">
        <v>16</v>
      </c>
      <c r="CT510" s="46" t="str">
        <f>IF(VLOOKUP(CS510,βοηθητικό!$J$2:$N$354,3,FALSE)="","",VLOOKUP(CS510,βοηθητικό!$J$2:$N$354,3,FALSE))</f>
        <v>_</v>
      </c>
      <c r="CU510" s="47"/>
    </row>
    <row r="511" spans="1:99" x14ac:dyDescent="0.25">
      <c r="A511" s="37">
        <f>--SUBTOTAL(3,$B$3:B510)</f>
        <v>198</v>
      </c>
      <c r="B511" s="2"/>
      <c r="C511" s="3"/>
      <c r="D511" s="55" t="s">
        <v>18</v>
      </c>
      <c r="E511" s="38" t="s">
        <v>16</v>
      </c>
      <c r="F511" s="38"/>
      <c r="G511" s="39" t="str">
        <f t="shared" si="23"/>
        <v>__</v>
      </c>
      <c r="H511" s="40" t="str">
        <f t="shared" si="24"/>
        <v>FALSE</v>
      </c>
      <c r="I511" s="41">
        <f t="shared" si="25"/>
        <v>0</v>
      </c>
      <c r="J511" s="4" t="s">
        <v>16</v>
      </c>
      <c r="K511" s="43" t="str">
        <f>IF(VLOOKUP(J511,βοηθητικό!$J$2:$N$354,3,FALSE)="","",VLOOKUP(J511,βοηθητικό!$J$2:$N$354,3,FALSE))</f>
        <v>_</v>
      </c>
      <c r="L511" s="44"/>
      <c r="M511" s="5" t="s">
        <v>16</v>
      </c>
      <c r="N511" s="46" t="str">
        <f>IF(VLOOKUP(M511,βοηθητικό!$J$2:$N$354,3,FALSE)="","",VLOOKUP(M511,βοηθητικό!$J$2:$N$354,3,FALSE))</f>
        <v>_</v>
      </c>
      <c r="O511" s="47"/>
      <c r="P511" s="4" t="s">
        <v>16</v>
      </c>
      <c r="Q511" s="43" t="str">
        <f>IF(VLOOKUP(P511,βοηθητικό!$J$2:$N$354,3,FALSE)="","",VLOOKUP(P511,βοηθητικό!$J$2:$N$354,3,FALSE))</f>
        <v>_</v>
      </c>
      <c r="R511" s="44"/>
      <c r="S511" s="5" t="s">
        <v>16</v>
      </c>
      <c r="T511" s="46" t="str">
        <f>IF(VLOOKUP(S511,βοηθητικό!$J$2:$N$354,3,FALSE)="","",VLOOKUP(S511,βοηθητικό!$J$2:$N$354,3,FALSE))</f>
        <v>_</v>
      </c>
      <c r="U511" s="47"/>
      <c r="V511" s="4" t="s">
        <v>16</v>
      </c>
      <c r="W511" s="43" t="str">
        <f>IF(VLOOKUP(V511,βοηθητικό!$J$2:$N$354,3,FALSE)="","",VLOOKUP(V511,βοηθητικό!$J$2:$N$354,3,FALSE))</f>
        <v>_</v>
      </c>
      <c r="X511" s="44"/>
      <c r="Y511" s="5" t="s">
        <v>16</v>
      </c>
      <c r="Z511" s="46" t="str">
        <f>IF(VLOOKUP(Y511,βοηθητικό!$J$2:$N$354,3,FALSE)="","",VLOOKUP(Y511,βοηθητικό!$J$2:$N$354,3,FALSE))</f>
        <v>_</v>
      </c>
      <c r="AA511" s="47"/>
      <c r="AB511" s="4" t="s">
        <v>16</v>
      </c>
      <c r="AC511" s="43" t="str">
        <f>IF(VLOOKUP(AB511,βοηθητικό!$J$2:$N$354,3,FALSE)="","",VLOOKUP(AB511,βοηθητικό!$J$2:$N$354,3,FALSE))</f>
        <v>_</v>
      </c>
      <c r="AD511" s="44"/>
      <c r="AE511" s="5" t="s">
        <v>16</v>
      </c>
      <c r="AF511" s="46" t="str">
        <f>IF(VLOOKUP(AE511,βοηθητικό!$J$2:$N$354,3,FALSE)="","",VLOOKUP(AE511,βοηθητικό!$J$2:$N$354,3,FALSE))</f>
        <v>_</v>
      </c>
      <c r="AG511" s="47"/>
      <c r="AH511" s="4" t="s">
        <v>16</v>
      </c>
      <c r="AI511" s="43" t="str">
        <f>IF(VLOOKUP(AH511,βοηθητικό!$J$2:$N$354,3,FALSE)="","",VLOOKUP(AH511,βοηθητικό!$J$2:$N$354,3,FALSE))</f>
        <v>_</v>
      </c>
      <c r="AJ511" s="44"/>
      <c r="AK511" s="5" t="s">
        <v>16</v>
      </c>
      <c r="AL511" s="46" t="str">
        <f>IF(VLOOKUP(AK511,βοηθητικό!$J$2:$N$354,3,FALSE)="","",VLOOKUP(AK511,βοηθητικό!$J$2:$N$354,3,FALSE))</f>
        <v>_</v>
      </c>
      <c r="AM511" s="47"/>
      <c r="AN511" s="4" t="s">
        <v>16</v>
      </c>
      <c r="AO511" s="43" t="str">
        <f>IF(VLOOKUP(AN511,βοηθητικό!$J$2:$N$354,3,FALSE)="","",VLOOKUP(AN511,βοηθητικό!$J$2:$N$354,3,FALSE))</f>
        <v>_</v>
      </c>
      <c r="AP511" s="44"/>
      <c r="AQ511" s="5" t="s">
        <v>16</v>
      </c>
      <c r="AR511" s="46" t="str">
        <f>IF(VLOOKUP(AQ511,βοηθητικό!$J$2:$N$354,3,FALSE)="","",VLOOKUP(AQ511,βοηθητικό!$J$2:$N$354,3,FALSE))</f>
        <v>_</v>
      </c>
      <c r="AS511" s="47"/>
      <c r="AT511" s="4" t="s">
        <v>16</v>
      </c>
      <c r="AU511" s="43" t="str">
        <f>IF(VLOOKUP(AT511,βοηθητικό!$J$2:$N$354,3,FALSE)="","",VLOOKUP(AT511,βοηθητικό!$J$2:$N$354,3,FALSE))</f>
        <v>_</v>
      </c>
      <c r="AV511" s="44"/>
      <c r="AW511" s="5" t="s">
        <v>16</v>
      </c>
      <c r="AX511" s="46" t="str">
        <f>IF(VLOOKUP(AW511,βοηθητικό!$J$2:$N$354,3,FALSE)="","",VLOOKUP(AW511,βοηθητικό!$J$2:$N$354,3,FALSE))</f>
        <v>_</v>
      </c>
      <c r="AY511" s="47"/>
      <c r="AZ511" s="4" t="s">
        <v>16</v>
      </c>
      <c r="BA511" s="43" t="str">
        <f>IF(VLOOKUP(AZ511,βοηθητικό!$J$2:$N$354,3,FALSE)="","",VLOOKUP(AZ511,βοηθητικό!$J$2:$N$354,3,FALSE))</f>
        <v>_</v>
      </c>
      <c r="BB511" s="44"/>
      <c r="BC511" s="45" t="s">
        <v>16</v>
      </c>
      <c r="BD511" s="46" t="str">
        <f>IF(VLOOKUP(BC511,βοηθητικό!$J$2:$N$354,3,FALSE)="","",VLOOKUP(BC511,βοηθητικό!$J$2:$N$354,3,FALSE))</f>
        <v>_</v>
      </c>
      <c r="BE511" s="47"/>
      <c r="BF511" s="42" t="s">
        <v>16</v>
      </c>
      <c r="BG511" s="43" t="str">
        <f>IF(VLOOKUP(BF511,βοηθητικό!$J$2:$N$354,3,FALSE)="","",VLOOKUP(BF511,βοηθητικό!$J$2:$N$354,3,FALSE))</f>
        <v>_</v>
      </c>
      <c r="BH511" s="44"/>
      <c r="BI511" s="45" t="s">
        <v>16</v>
      </c>
      <c r="BJ511" s="46" t="str">
        <f>IF(VLOOKUP(BI511,βοηθητικό!$J$2:$N$354,3,FALSE)="","",VLOOKUP(BI511,βοηθητικό!$J$2:$N$354,3,FALSE))</f>
        <v>_</v>
      </c>
      <c r="BK511" s="47"/>
      <c r="BL511" s="42" t="s">
        <v>16</v>
      </c>
      <c r="BM511" s="43" t="str">
        <f>IF(VLOOKUP(BL511,βοηθητικό!$J$2:$N$354,3,FALSE)="","",VLOOKUP(BL511,βοηθητικό!$J$2:$N$354,3,FALSE))</f>
        <v>_</v>
      </c>
      <c r="BN511" s="44"/>
      <c r="BO511" s="45" t="s">
        <v>16</v>
      </c>
      <c r="BP511" s="46" t="str">
        <f>IF(VLOOKUP(BO511,βοηθητικό!$J$2:$N$354,3,FALSE)="","",VLOOKUP(BO511,βοηθητικό!$J$2:$N$354,3,FALSE))</f>
        <v>_</v>
      </c>
      <c r="BQ511" s="47"/>
      <c r="BR511" s="42" t="s">
        <v>16</v>
      </c>
      <c r="BS511" s="43" t="str">
        <f>IF(VLOOKUP(BR511,βοηθητικό!$J$2:$N$354,3,FALSE)="","",VLOOKUP(BR511,βοηθητικό!$J$2:$N$354,3,FALSE))</f>
        <v>_</v>
      </c>
      <c r="BT511" s="44"/>
      <c r="BU511" s="45" t="s">
        <v>16</v>
      </c>
      <c r="BV511" s="46" t="str">
        <f>IF(VLOOKUP(BU511,βοηθητικό!$J$2:$N$354,3,FALSE)="","",VLOOKUP(BU511,βοηθητικό!$J$2:$N$354,3,FALSE))</f>
        <v>_</v>
      </c>
      <c r="BW511" s="47"/>
      <c r="BX511" s="42" t="s">
        <v>16</v>
      </c>
      <c r="BY511" s="43" t="str">
        <f>IF(VLOOKUP(BX511,βοηθητικό!$J$2:$N$354,3,FALSE)="","",VLOOKUP(BX511,βοηθητικό!$J$2:$N$354,3,FALSE))</f>
        <v>_</v>
      </c>
      <c r="BZ511" s="44"/>
      <c r="CA511" s="45" t="s">
        <v>16</v>
      </c>
      <c r="CB511" s="46" t="str">
        <f>IF(VLOOKUP(CA511,βοηθητικό!$J$2:$N$354,3,FALSE)="","",VLOOKUP(CA511,βοηθητικό!$J$2:$N$354,3,FALSE))</f>
        <v>_</v>
      </c>
      <c r="CC511" s="47"/>
      <c r="CD511" s="42" t="s">
        <v>16</v>
      </c>
      <c r="CE511" s="43" t="str">
        <f>IF(VLOOKUP(CD511,βοηθητικό!$J$2:$N$354,3,FALSE)="","",VLOOKUP(CD511,βοηθητικό!$J$2:$N$354,3,FALSE))</f>
        <v>_</v>
      </c>
      <c r="CF511" s="44"/>
      <c r="CG511" s="45" t="s">
        <v>16</v>
      </c>
      <c r="CH511" s="46" t="str">
        <f>IF(VLOOKUP(CG511,βοηθητικό!$J$2:$N$354,3,FALSE)="","",VLOOKUP(CG511,βοηθητικό!$J$2:$N$354,3,FALSE))</f>
        <v>_</v>
      </c>
      <c r="CI511" s="47"/>
      <c r="CJ511" s="42" t="s">
        <v>16</v>
      </c>
      <c r="CK511" s="43" t="str">
        <f>IF(VLOOKUP(CJ511,βοηθητικό!$J$2:$N$354,3,FALSE)="","",VLOOKUP(CJ511,βοηθητικό!$J$2:$N$354,3,FALSE))</f>
        <v>_</v>
      </c>
      <c r="CL511" s="44"/>
      <c r="CM511" s="45" t="s">
        <v>16</v>
      </c>
      <c r="CN511" s="46" t="str">
        <f>IF(VLOOKUP(CM511,βοηθητικό!$J$2:$N$354,3,FALSE)="","",VLOOKUP(CM511,βοηθητικό!$J$2:$N$354,3,FALSE))</f>
        <v>_</v>
      </c>
      <c r="CO511" s="47"/>
      <c r="CP511" s="42" t="s">
        <v>16</v>
      </c>
      <c r="CQ511" s="43" t="str">
        <f>IF(VLOOKUP(CP511,βοηθητικό!$J$2:$N$354,3,FALSE)="","",VLOOKUP(CP511,βοηθητικό!$J$2:$N$354,3,FALSE))</f>
        <v>_</v>
      </c>
      <c r="CR511" s="44"/>
      <c r="CS511" s="45" t="s">
        <v>16</v>
      </c>
      <c r="CT511" s="46" t="str">
        <f>IF(VLOOKUP(CS511,βοηθητικό!$J$2:$N$354,3,FALSE)="","",VLOOKUP(CS511,βοηθητικό!$J$2:$N$354,3,FALSE))</f>
        <v>_</v>
      </c>
      <c r="CU511" s="47"/>
    </row>
    <row r="512" spans="1:99" x14ac:dyDescent="0.25">
      <c r="A512" s="37">
        <f>--SUBTOTAL(3,$B$3:B511)</f>
        <v>198</v>
      </c>
      <c r="B512" s="2"/>
      <c r="C512" s="3"/>
      <c r="D512" s="55" t="s">
        <v>18</v>
      </c>
      <c r="E512" s="38" t="s">
        <v>16</v>
      </c>
      <c r="F512" s="38"/>
      <c r="G512" s="39" t="str">
        <f t="shared" si="23"/>
        <v>__</v>
      </c>
      <c r="H512" s="40" t="str">
        <f t="shared" si="24"/>
        <v>FALSE</v>
      </c>
      <c r="I512" s="41">
        <f t="shared" si="25"/>
        <v>0</v>
      </c>
      <c r="J512" s="4" t="s">
        <v>16</v>
      </c>
      <c r="K512" s="43" t="str">
        <f>IF(VLOOKUP(J512,βοηθητικό!$J$2:$N$354,3,FALSE)="","",VLOOKUP(J512,βοηθητικό!$J$2:$N$354,3,FALSE))</f>
        <v>_</v>
      </c>
      <c r="L512" s="44"/>
      <c r="M512" s="5" t="s">
        <v>16</v>
      </c>
      <c r="N512" s="46" t="str">
        <f>IF(VLOOKUP(M512,βοηθητικό!$J$2:$N$354,3,FALSE)="","",VLOOKUP(M512,βοηθητικό!$J$2:$N$354,3,FALSE))</f>
        <v>_</v>
      </c>
      <c r="O512" s="47"/>
      <c r="P512" s="4" t="s">
        <v>16</v>
      </c>
      <c r="Q512" s="43" t="str">
        <f>IF(VLOOKUP(P512,βοηθητικό!$J$2:$N$354,3,FALSE)="","",VLOOKUP(P512,βοηθητικό!$J$2:$N$354,3,FALSE))</f>
        <v>_</v>
      </c>
      <c r="R512" s="44"/>
      <c r="S512" s="5" t="s">
        <v>16</v>
      </c>
      <c r="T512" s="46" t="str">
        <f>IF(VLOOKUP(S512,βοηθητικό!$J$2:$N$354,3,FALSE)="","",VLOOKUP(S512,βοηθητικό!$J$2:$N$354,3,FALSE))</f>
        <v>_</v>
      </c>
      <c r="U512" s="47"/>
      <c r="V512" s="4" t="s">
        <v>16</v>
      </c>
      <c r="W512" s="43" t="str">
        <f>IF(VLOOKUP(V512,βοηθητικό!$J$2:$N$354,3,FALSE)="","",VLOOKUP(V512,βοηθητικό!$J$2:$N$354,3,FALSE))</f>
        <v>_</v>
      </c>
      <c r="X512" s="44"/>
      <c r="Y512" s="5" t="s">
        <v>16</v>
      </c>
      <c r="Z512" s="46" t="str">
        <f>IF(VLOOKUP(Y512,βοηθητικό!$J$2:$N$354,3,FALSE)="","",VLOOKUP(Y512,βοηθητικό!$J$2:$N$354,3,FALSE))</f>
        <v>_</v>
      </c>
      <c r="AA512" s="47"/>
      <c r="AB512" s="4" t="s">
        <v>16</v>
      </c>
      <c r="AC512" s="43" t="str">
        <f>IF(VLOOKUP(AB512,βοηθητικό!$J$2:$N$354,3,FALSE)="","",VLOOKUP(AB512,βοηθητικό!$J$2:$N$354,3,FALSE))</f>
        <v>_</v>
      </c>
      <c r="AD512" s="44"/>
      <c r="AE512" s="5" t="s">
        <v>16</v>
      </c>
      <c r="AF512" s="46" t="str">
        <f>IF(VLOOKUP(AE512,βοηθητικό!$J$2:$N$354,3,FALSE)="","",VLOOKUP(AE512,βοηθητικό!$J$2:$N$354,3,FALSE))</f>
        <v>_</v>
      </c>
      <c r="AG512" s="47"/>
      <c r="AH512" s="4" t="s">
        <v>16</v>
      </c>
      <c r="AI512" s="43" t="str">
        <f>IF(VLOOKUP(AH512,βοηθητικό!$J$2:$N$354,3,FALSE)="","",VLOOKUP(AH512,βοηθητικό!$J$2:$N$354,3,FALSE))</f>
        <v>_</v>
      </c>
      <c r="AJ512" s="44"/>
      <c r="AK512" s="5" t="s">
        <v>16</v>
      </c>
      <c r="AL512" s="46" t="str">
        <f>IF(VLOOKUP(AK512,βοηθητικό!$J$2:$N$354,3,FALSE)="","",VLOOKUP(AK512,βοηθητικό!$J$2:$N$354,3,FALSE))</f>
        <v>_</v>
      </c>
      <c r="AM512" s="47"/>
      <c r="AN512" s="4" t="s">
        <v>16</v>
      </c>
      <c r="AO512" s="43" t="str">
        <f>IF(VLOOKUP(AN512,βοηθητικό!$J$2:$N$354,3,FALSE)="","",VLOOKUP(AN512,βοηθητικό!$J$2:$N$354,3,FALSE))</f>
        <v>_</v>
      </c>
      <c r="AP512" s="44"/>
      <c r="AQ512" s="5" t="s">
        <v>16</v>
      </c>
      <c r="AR512" s="46" t="str">
        <f>IF(VLOOKUP(AQ512,βοηθητικό!$J$2:$N$354,3,FALSE)="","",VLOOKUP(AQ512,βοηθητικό!$J$2:$N$354,3,FALSE))</f>
        <v>_</v>
      </c>
      <c r="AS512" s="47"/>
      <c r="AT512" s="4" t="s">
        <v>16</v>
      </c>
      <c r="AU512" s="43" t="str">
        <f>IF(VLOOKUP(AT512,βοηθητικό!$J$2:$N$354,3,FALSE)="","",VLOOKUP(AT512,βοηθητικό!$J$2:$N$354,3,FALSE))</f>
        <v>_</v>
      </c>
      <c r="AV512" s="44"/>
      <c r="AW512" s="5" t="s">
        <v>16</v>
      </c>
      <c r="AX512" s="46" t="str">
        <f>IF(VLOOKUP(AW512,βοηθητικό!$J$2:$N$354,3,FALSE)="","",VLOOKUP(AW512,βοηθητικό!$J$2:$N$354,3,FALSE))</f>
        <v>_</v>
      </c>
      <c r="AY512" s="47"/>
      <c r="AZ512" s="4" t="s">
        <v>16</v>
      </c>
      <c r="BA512" s="43" t="str">
        <f>IF(VLOOKUP(AZ512,βοηθητικό!$J$2:$N$354,3,FALSE)="","",VLOOKUP(AZ512,βοηθητικό!$J$2:$N$354,3,FALSE))</f>
        <v>_</v>
      </c>
      <c r="BB512" s="44"/>
      <c r="BC512" s="45" t="s">
        <v>16</v>
      </c>
      <c r="BD512" s="46" t="str">
        <f>IF(VLOOKUP(BC512,βοηθητικό!$J$2:$N$354,3,FALSE)="","",VLOOKUP(BC512,βοηθητικό!$J$2:$N$354,3,FALSE))</f>
        <v>_</v>
      </c>
      <c r="BE512" s="47"/>
      <c r="BF512" s="42" t="s">
        <v>16</v>
      </c>
      <c r="BG512" s="43" t="str">
        <f>IF(VLOOKUP(BF512,βοηθητικό!$J$2:$N$354,3,FALSE)="","",VLOOKUP(BF512,βοηθητικό!$J$2:$N$354,3,FALSE))</f>
        <v>_</v>
      </c>
      <c r="BH512" s="44"/>
      <c r="BI512" s="45" t="s">
        <v>16</v>
      </c>
      <c r="BJ512" s="46" t="str">
        <f>IF(VLOOKUP(BI512,βοηθητικό!$J$2:$N$354,3,FALSE)="","",VLOOKUP(BI512,βοηθητικό!$J$2:$N$354,3,FALSE))</f>
        <v>_</v>
      </c>
      <c r="BK512" s="47"/>
      <c r="BL512" s="42" t="s">
        <v>16</v>
      </c>
      <c r="BM512" s="43" t="str">
        <f>IF(VLOOKUP(BL512,βοηθητικό!$J$2:$N$354,3,FALSE)="","",VLOOKUP(BL512,βοηθητικό!$J$2:$N$354,3,FALSE))</f>
        <v>_</v>
      </c>
      <c r="BN512" s="44"/>
      <c r="BO512" s="45" t="s">
        <v>16</v>
      </c>
      <c r="BP512" s="46" t="str">
        <f>IF(VLOOKUP(BO512,βοηθητικό!$J$2:$N$354,3,FALSE)="","",VLOOKUP(BO512,βοηθητικό!$J$2:$N$354,3,FALSE))</f>
        <v>_</v>
      </c>
      <c r="BQ512" s="47"/>
      <c r="BR512" s="42" t="s">
        <v>16</v>
      </c>
      <c r="BS512" s="43" t="str">
        <f>IF(VLOOKUP(BR512,βοηθητικό!$J$2:$N$354,3,FALSE)="","",VLOOKUP(BR512,βοηθητικό!$J$2:$N$354,3,FALSE))</f>
        <v>_</v>
      </c>
      <c r="BT512" s="44"/>
      <c r="BU512" s="45" t="s">
        <v>16</v>
      </c>
      <c r="BV512" s="46" t="str">
        <f>IF(VLOOKUP(BU512,βοηθητικό!$J$2:$N$354,3,FALSE)="","",VLOOKUP(BU512,βοηθητικό!$J$2:$N$354,3,FALSE))</f>
        <v>_</v>
      </c>
      <c r="BW512" s="47"/>
      <c r="BX512" s="42" t="s">
        <v>16</v>
      </c>
      <c r="BY512" s="43" t="str">
        <f>IF(VLOOKUP(BX512,βοηθητικό!$J$2:$N$354,3,FALSE)="","",VLOOKUP(BX512,βοηθητικό!$J$2:$N$354,3,FALSE))</f>
        <v>_</v>
      </c>
      <c r="BZ512" s="44"/>
      <c r="CA512" s="45" t="s">
        <v>16</v>
      </c>
      <c r="CB512" s="46" t="str">
        <f>IF(VLOOKUP(CA512,βοηθητικό!$J$2:$N$354,3,FALSE)="","",VLOOKUP(CA512,βοηθητικό!$J$2:$N$354,3,FALSE))</f>
        <v>_</v>
      </c>
      <c r="CC512" s="47"/>
      <c r="CD512" s="42" t="s">
        <v>16</v>
      </c>
      <c r="CE512" s="43" t="str">
        <f>IF(VLOOKUP(CD512,βοηθητικό!$J$2:$N$354,3,FALSE)="","",VLOOKUP(CD512,βοηθητικό!$J$2:$N$354,3,FALSE))</f>
        <v>_</v>
      </c>
      <c r="CF512" s="44"/>
      <c r="CG512" s="45" t="s">
        <v>16</v>
      </c>
      <c r="CH512" s="46" t="str">
        <f>IF(VLOOKUP(CG512,βοηθητικό!$J$2:$N$354,3,FALSE)="","",VLOOKUP(CG512,βοηθητικό!$J$2:$N$354,3,FALSE))</f>
        <v>_</v>
      </c>
      <c r="CI512" s="47"/>
      <c r="CJ512" s="42" t="s">
        <v>16</v>
      </c>
      <c r="CK512" s="43" t="str">
        <f>IF(VLOOKUP(CJ512,βοηθητικό!$J$2:$N$354,3,FALSE)="","",VLOOKUP(CJ512,βοηθητικό!$J$2:$N$354,3,FALSE))</f>
        <v>_</v>
      </c>
      <c r="CL512" s="44"/>
      <c r="CM512" s="45" t="s">
        <v>16</v>
      </c>
      <c r="CN512" s="46" t="str">
        <f>IF(VLOOKUP(CM512,βοηθητικό!$J$2:$N$354,3,FALSE)="","",VLOOKUP(CM512,βοηθητικό!$J$2:$N$354,3,FALSE))</f>
        <v>_</v>
      </c>
      <c r="CO512" s="47"/>
      <c r="CP512" s="42" t="s">
        <v>16</v>
      </c>
      <c r="CQ512" s="43" t="str">
        <f>IF(VLOOKUP(CP512,βοηθητικό!$J$2:$N$354,3,FALSE)="","",VLOOKUP(CP512,βοηθητικό!$J$2:$N$354,3,FALSE))</f>
        <v>_</v>
      </c>
      <c r="CR512" s="44"/>
      <c r="CS512" s="45" t="s">
        <v>16</v>
      </c>
      <c r="CT512" s="46" t="str">
        <f>IF(VLOOKUP(CS512,βοηθητικό!$J$2:$N$354,3,FALSE)="","",VLOOKUP(CS512,βοηθητικό!$J$2:$N$354,3,FALSE))</f>
        <v>_</v>
      </c>
      <c r="CU512" s="47"/>
    </row>
    <row r="513" spans="1:99" x14ac:dyDescent="0.25">
      <c r="A513" s="37">
        <f>--SUBTOTAL(3,$B$3:B512)</f>
        <v>198</v>
      </c>
      <c r="B513" s="2"/>
      <c r="C513" s="3"/>
      <c r="D513" s="55" t="s">
        <v>18</v>
      </c>
      <c r="E513" s="38" t="s">
        <v>16</v>
      </c>
      <c r="F513" s="38"/>
      <c r="G513" s="39" t="str">
        <f t="shared" si="23"/>
        <v>__</v>
      </c>
      <c r="H513" s="40" t="str">
        <f t="shared" si="24"/>
        <v>FALSE</v>
      </c>
      <c r="I513" s="41">
        <f t="shared" si="25"/>
        <v>0</v>
      </c>
      <c r="J513" s="4" t="s">
        <v>16</v>
      </c>
      <c r="K513" s="43" t="str">
        <f>IF(VLOOKUP(J513,βοηθητικό!$J$2:$N$354,3,FALSE)="","",VLOOKUP(J513,βοηθητικό!$J$2:$N$354,3,FALSE))</f>
        <v>_</v>
      </c>
      <c r="L513" s="44"/>
      <c r="M513" s="5" t="s">
        <v>16</v>
      </c>
      <c r="N513" s="46" t="str">
        <f>IF(VLOOKUP(M513,βοηθητικό!$J$2:$N$354,3,FALSE)="","",VLOOKUP(M513,βοηθητικό!$J$2:$N$354,3,FALSE))</f>
        <v>_</v>
      </c>
      <c r="O513" s="47"/>
      <c r="P513" s="4" t="s">
        <v>16</v>
      </c>
      <c r="Q513" s="43" t="str">
        <f>IF(VLOOKUP(P513,βοηθητικό!$J$2:$N$354,3,FALSE)="","",VLOOKUP(P513,βοηθητικό!$J$2:$N$354,3,FALSE))</f>
        <v>_</v>
      </c>
      <c r="R513" s="44"/>
      <c r="S513" s="5" t="s">
        <v>16</v>
      </c>
      <c r="T513" s="46" t="str">
        <f>IF(VLOOKUP(S513,βοηθητικό!$J$2:$N$354,3,FALSE)="","",VLOOKUP(S513,βοηθητικό!$J$2:$N$354,3,FALSE))</f>
        <v>_</v>
      </c>
      <c r="U513" s="47"/>
      <c r="V513" s="4" t="s">
        <v>16</v>
      </c>
      <c r="W513" s="43" t="str">
        <f>IF(VLOOKUP(V513,βοηθητικό!$J$2:$N$354,3,FALSE)="","",VLOOKUP(V513,βοηθητικό!$J$2:$N$354,3,FALSE))</f>
        <v>_</v>
      </c>
      <c r="X513" s="44"/>
      <c r="Y513" s="5" t="s">
        <v>16</v>
      </c>
      <c r="Z513" s="46" t="str">
        <f>IF(VLOOKUP(Y513,βοηθητικό!$J$2:$N$354,3,FALSE)="","",VLOOKUP(Y513,βοηθητικό!$J$2:$N$354,3,FALSE))</f>
        <v>_</v>
      </c>
      <c r="AA513" s="47"/>
      <c r="AB513" s="4" t="s">
        <v>16</v>
      </c>
      <c r="AC513" s="43" t="str">
        <f>IF(VLOOKUP(AB513,βοηθητικό!$J$2:$N$354,3,FALSE)="","",VLOOKUP(AB513,βοηθητικό!$J$2:$N$354,3,FALSE))</f>
        <v>_</v>
      </c>
      <c r="AD513" s="44"/>
      <c r="AE513" s="5" t="s">
        <v>16</v>
      </c>
      <c r="AF513" s="46" t="str">
        <f>IF(VLOOKUP(AE513,βοηθητικό!$J$2:$N$354,3,FALSE)="","",VLOOKUP(AE513,βοηθητικό!$J$2:$N$354,3,FALSE))</f>
        <v>_</v>
      </c>
      <c r="AG513" s="47"/>
      <c r="AH513" s="4" t="s">
        <v>16</v>
      </c>
      <c r="AI513" s="43" t="str">
        <f>IF(VLOOKUP(AH513,βοηθητικό!$J$2:$N$354,3,FALSE)="","",VLOOKUP(AH513,βοηθητικό!$J$2:$N$354,3,FALSE))</f>
        <v>_</v>
      </c>
      <c r="AJ513" s="44"/>
      <c r="AK513" s="5" t="s">
        <v>16</v>
      </c>
      <c r="AL513" s="46" t="str">
        <f>IF(VLOOKUP(AK513,βοηθητικό!$J$2:$N$354,3,FALSE)="","",VLOOKUP(AK513,βοηθητικό!$J$2:$N$354,3,FALSE))</f>
        <v>_</v>
      </c>
      <c r="AM513" s="47"/>
      <c r="AN513" s="4" t="s">
        <v>16</v>
      </c>
      <c r="AO513" s="43" t="str">
        <f>IF(VLOOKUP(AN513,βοηθητικό!$J$2:$N$354,3,FALSE)="","",VLOOKUP(AN513,βοηθητικό!$J$2:$N$354,3,FALSE))</f>
        <v>_</v>
      </c>
      <c r="AP513" s="44"/>
      <c r="AQ513" s="5" t="s">
        <v>16</v>
      </c>
      <c r="AR513" s="46" t="str">
        <f>IF(VLOOKUP(AQ513,βοηθητικό!$J$2:$N$354,3,FALSE)="","",VLOOKUP(AQ513,βοηθητικό!$J$2:$N$354,3,FALSE))</f>
        <v>_</v>
      </c>
      <c r="AS513" s="47"/>
      <c r="AT513" s="4" t="s">
        <v>16</v>
      </c>
      <c r="AU513" s="43" t="str">
        <f>IF(VLOOKUP(AT513,βοηθητικό!$J$2:$N$354,3,FALSE)="","",VLOOKUP(AT513,βοηθητικό!$J$2:$N$354,3,FALSE))</f>
        <v>_</v>
      </c>
      <c r="AV513" s="44"/>
      <c r="AW513" s="5" t="s">
        <v>16</v>
      </c>
      <c r="AX513" s="46" t="str">
        <f>IF(VLOOKUP(AW513,βοηθητικό!$J$2:$N$354,3,FALSE)="","",VLOOKUP(AW513,βοηθητικό!$J$2:$N$354,3,FALSE))</f>
        <v>_</v>
      </c>
      <c r="AY513" s="47"/>
      <c r="AZ513" s="4" t="s">
        <v>16</v>
      </c>
      <c r="BA513" s="43" t="str">
        <f>IF(VLOOKUP(AZ513,βοηθητικό!$J$2:$N$354,3,FALSE)="","",VLOOKUP(AZ513,βοηθητικό!$J$2:$N$354,3,FALSE))</f>
        <v>_</v>
      </c>
      <c r="BB513" s="44"/>
      <c r="BC513" s="45" t="s">
        <v>16</v>
      </c>
      <c r="BD513" s="46" t="str">
        <f>IF(VLOOKUP(BC513,βοηθητικό!$J$2:$N$354,3,FALSE)="","",VLOOKUP(BC513,βοηθητικό!$J$2:$N$354,3,FALSE))</f>
        <v>_</v>
      </c>
      <c r="BE513" s="47"/>
      <c r="BF513" s="42" t="s">
        <v>16</v>
      </c>
      <c r="BG513" s="43" t="str">
        <f>IF(VLOOKUP(BF513,βοηθητικό!$J$2:$N$354,3,FALSE)="","",VLOOKUP(BF513,βοηθητικό!$J$2:$N$354,3,FALSE))</f>
        <v>_</v>
      </c>
      <c r="BH513" s="44"/>
      <c r="BI513" s="45" t="s">
        <v>16</v>
      </c>
      <c r="BJ513" s="46" t="str">
        <f>IF(VLOOKUP(BI513,βοηθητικό!$J$2:$N$354,3,FALSE)="","",VLOOKUP(BI513,βοηθητικό!$J$2:$N$354,3,FALSE))</f>
        <v>_</v>
      </c>
      <c r="BK513" s="47"/>
      <c r="BL513" s="42" t="s">
        <v>16</v>
      </c>
      <c r="BM513" s="43" t="str">
        <f>IF(VLOOKUP(BL513,βοηθητικό!$J$2:$N$354,3,FALSE)="","",VLOOKUP(BL513,βοηθητικό!$J$2:$N$354,3,FALSE))</f>
        <v>_</v>
      </c>
      <c r="BN513" s="44"/>
      <c r="BO513" s="45" t="s">
        <v>16</v>
      </c>
      <c r="BP513" s="46" t="str">
        <f>IF(VLOOKUP(BO513,βοηθητικό!$J$2:$N$354,3,FALSE)="","",VLOOKUP(BO513,βοηθητικό!$J$2:$N$354,3,FALSE))</f>
        <v>_</v>
      </c>
      <c r="BQ513" s="47"/>
      <c r="BR513" s="42" t="s">
        <v>16</v>
      </c>
      <c r="BS513" s="43" t="str">
        <f>IF(VLOOKUP(BR513,βοηθητικό!$J$2:$N$354,3,FALSE)="","",VLOOKUP(BR513,βοηθητικό!$J$2:$N$354,3,FALSE))</f>
        <v>_</v>
      </c>
      <c r="BT513" s="44"/>
      <c r="BU513" s="45" t="s">
        <v>16</v>
      </c>
      <c r="BV513" s="46" t="str">
        <f>IF(VLOOKUP(BU513,βοηθητικό!$J$2:$N$354,3,FALSE)="","",VLOOKUP(BU513,βοηθητικό!$J$2:$N$354,3,FALSE))</f>
        <v>_</v>
      </c>
      <c r="BW513" s="47"/>
      <c r="BX513" s="42" t="s">
        <v>16</v>
      </c>
      <c r="BY513" s="43" t="str">
        <f>IF(VLOOKUP(BX513,βοηθητικό!$J$2:$N$354,3,FALSE)="","",VLOOKUP(BX513,βοηθητικό!$J$2:$N$354,3,FALSE))</f>
        <v>_</v>
      </c>
      <c r="BZ513" s="44"/>
      <c r="CA513" s="45" t="s">
        <v>16</v>
      </c>
      <c r="CB513" s="46" t="str">
        <f>IF(VLOOKUP(CA513,βοηθητικό!$J$2:$N$354,3,FALSE)="","",VLOOKUP(CA513,βοηθητικό!$J$2:$N$354,3,FALSE))</f>
        <v>_</v>
      </c>
      <c r="CC513" s="47"/>
      <c r="CD513" s="42" t="s">
        <v>16</v>
      </c>
      <c r="CE513" s="43" t="str">
        <f>IF(VLOOKUP(CD513,βοηθητικό!$J$2:$N$354,3,FALSE)="","",VLOOKUP(CD513,βοηθητικό!$J$2:$N$354,3,FALSE))</f>
        <v>_</v>
      </c>
      <c r="CF513" s="44"/>
      <c r="CG513" s="45" t="s">
        <v>16</v>
      </c>
      <c r="CH513" s="46" t="str">
        <f>IF(VLOOKUP(CG513,βοηθητικό!$J$2:$N$354,3,FALSE)="","",VLOOKUP(CG513,βοηθητικό!$J$2:$N$354,3,FALSE))</f>
        <v>_</v>
      </c>
      <c r="CI513" s="47"/>
      <c r="CJ513" s="42" t="s">
        <v>16</v>
      </c>
      <c r="CK513" s="43" t="str">
        <f>IF(VLOOKUP(CJ513,βοηθητικό!$J$2:$N$354,3,FALSE)="","",VLOOKUP(CJ513,βοηθητικό!$J$2:$N$354,3,FALSE))</f>
        <v>_</v>
      </c>
      <c r="CL513" s="44"/>
      <c r="CM513" s="45" t="s">
        <v>16</v>
      </c>
      <c r="CN513" s="46" t="str">
        <f>IF(VLOOKUP(CM513,βοηθητικό!$J$2:$N$354,3,FALSE)="","",VLOOKUP(CM513,βοηθητικό!$J$2:$N$354,3,FALSE))</f>
        <v>_</v>
      </c>
      <c r="CO513" s="47"/>
      <c r="CP513" s="42" t="s">
        <v>16</v>
      </c>
      <c r="CQ513" s="43" t="str">
        <f>IF(VLOOKUP(CP513,βοηθητικό!$J$2:$N$354,3,FALSE)="","",VLOOKUP(CP513,βοηθητικό!$J$2:$N$354,3,FALSE))</f>
        <v>_</v>
      </c>
      <c r="CR513" s="44"/>
      <c r="CS513" s="45" t="s">
        <v>16</v>
      </c>
      <c r="CT513" s="46" t="str">
        <f>IF(VLOOKUP(CS513,βοηθητικό!$J$2:$N$354,3,FALSE)="","",VLOOKUP(CS513,βοηθητικό!$J$2:$N$354,3,FALSE))</f>
        <v>_</v>
      </c>
      <c r="CU513" s="47"/>
    </row>
    <row r="514" spans="1:99" x14ac:dyDescent="0.25">
      <c r="A514" s="37">
        <f>--SUBTOTAL(3,$B$3:B513)</f>
        <v>198</v>
      </c>
      <c r="B514" s="2"/>
      <c r="C514" s="3"/>
      <c r="D514" s="55" t="s">
        <v>18</v>
      </c>
      <c r="E514" s="38" t="s">
        <v>16</v>
      </c>
      <c r="F514" s="38"/>
      <c r="G514" s="39" t="str">
        <f t="shared" si="23"/>
        <v>__</v>
      </c>
      <c r="H514" s="40" t="str">
        <f t="shared" si="24"/>
        <v>FALSE</v>
      </c>
      <c r="I514" s="41">
        <f t="shared" si="25"/>
        <v>0</v>
      </c>
      <c r="J514" s="4" t="s">
        <v>16</v>
      </c>
      <c r="K514" s="43" t="str">
        <f>IF(VLOOKUP(J514,βοηθητικό!$J$2:$N$354,3,FALSE)="","",VLOOKUP(J514,βοηθητικό!$J$2:$N$354,3,FALSE))</f>
        <v>_</v>
      </c>
      <c r="L514" s="44"/>
      <c r="M514" s="5" t="s">
        <v>16</v>
      </c>
      <c r="N514" s="46" t="str">
        <f>IF(VLOOKUP(M514,βοηθητικό!$J$2:$N$354,3,FALSE)="","",VLOOKUP(M514,βοηθητικό!$J$2:$N$354,3,FALSE))</f>
        <v>_</v>
      </c>
      <c r="O514" s="47"/>
      <c r="P514" s="4" t="s">
        <v>16</v>
      </c>
      <c r="Q514" s="43" t="str">
        <f>IF(VLOOKUP(P514,βοηθητικό!$J$2:$N$354,3,FALSE)="","",VLOOKUP(P514,βοηθητικό!$J$2:$N$354,3,FALSE))</f>
        <v>_</v>
      </c>
      <c r="R514" s="44"/>
      <c r="S514" s="5" t="s">
        <v>16</v>
      </c>
      <c r="T514" s="46" t="str">
        <f>IF(VLOOKUP(S514,βοηθητικό!$J$2:$N$354,3,FALSE)="","",VLOOKUP(S514,βοηθητικό!$J$2:$N$354,3,FALSE))</f>
        <v>_</v>
      </c>
      <c r="U514" s="47"/>
      <c r="V514" s="4" t="s">
        <v>16</v>
      </c>
      <c r="W514" s="43" t="str">
        <f>IF(VLOOKUP(V514,βοηθητικό!$J$2:$N$354,3,FALSE)="","",VLOOKUP(V514,βοηθητικό!$J$2:$N$354,3,FALSE))</f>
        <v>_</v>
      </c>
      <c r="X514" s="44"/>
      <c r="Y514" s="5" t="s">
        <v>16</v>
      </c>
      <c r="Z514" s="46" t="str">
        <f>IF(VLOOKUP(Y514,βοηθητικό!$J$2:$N$354,3,FALSE)="","",VLOOKUP(Y514,βοηθητικό!$J$2:$N$354,3,FALSE))</f>
        <v>_</v>
      </c>
      <c r="AA514" s="47"/>
      <c r="AB514" s="4" t="s">
        <v>16</v>
      </c>
      <c r="AC514" s="43" t="str">
        <f>IF(VLOOKUP(AB514,βοηθητικό!$J$2:$N$354,3,FALSE)="","",VLOOKUP(AB514,βοηθητικό!$J$2:$N$354,3,FALSE))</f>
        <v>_</v>
      </c>
      <c r="AD514" s="44"/>
      <c r="AE514" s="5" t="s">
        <v>16</v>
      </c>
      <c r="AF514" s="46" t="str">
        <f>IF(VLOOKUP(AE514,βοηθητικό!$J$2:$N$354,3,FALSE)="","",VLOOKUP(AE514,βοηθητικό!$J$2:$N$354,3,FALSE))</f>
        <v>_</v>
      </c>
      <c r="AG514" s="47"/>
      <c r="AH514" s="4" t="s">
        <v>16</v>
      </c>
      <c r="AI514" s="43" t="str">
        <f>IF(VLOOKUP(AH514,βοηθητικό!$J$2:$N$354,3,FALSE)="","",VLOOKUP(AH514,βοηθητικό!$J$2:$N$354,3,FALSE))</f>
        <v>_</v>
      </c>
      <c r="AJ514" s="44"/>
      <c r="AK514" s="5" t="s">
        <v>16</v>
      </c>
      <c r="AL514" s="46" t="str">
        <f>IF(VLOOKUP(AK514,βοηθητικό!$J$2:$N$354,3,FALSE)="","",VLOOKUP(AK514,βοηθητικό!$J$2:$N$354,3,FALSE))</f>
        <v>_</v>
      </c>
      <c r="AM514" s="47"/>
      <c r="AN514" s="4" t="s">
        <v>16</v>
      </c>
      <c r="AO514" s="43" t="str">
        <f>IF(VLOOKUP(AN514,βοηθητικό!$J$2:$N$354,3,FALSE)="","",VLOOKUP(AN514,βοηθητικό!$J$2:$N$354,3,FALSE))</f>
        <v>_</v>
      </c>
      <c r="AP514" s="44"/>
      <c r="AQ514" s="5" t="s">
        <v>16</v>
      </c>
      <c r="AR514" s="46" t="str">
        <f>IF(VLOOKUP(AQ514,βοηθητικό!$J$2:$N$354,3,FALSE)="","",VLOOKUP(AQ514,βοηθητικό!$J$2:$N$354,3,FALSE))</f>
        <v>_</v>
      </c>
      <c r="AS514" s="47"/>
      <c r="AT514" s="4" t="s">
        <v>16</v>
      </c>
      <c r="AU514" s="43" t="str">
        <f>IF(VLOOKUP(AT514,βοηθητικό!$J$2:$N$354,3,FALSE)="","",VLOOKUP(AT514,βοηθητικό!$J$2:$N$354,3,FALSE))</f>
        <v>_</v>
      </c>
      <c r="AV514" s="44"/>
      <c r="AW514" s="5" t="s">
        <v>16</v>
      </c>
      <c r="AX514" s="46" t="str">
        <f>IF(VLOOKUP(AW514,βοηθητικό!$J$2:$N$354,3,FALSE)="","",VLOOKUP(AW514,βοηθητικό!$J$2:$N$354,3,FALSE))</f>
        <v>_</v>
      </c>
      <c r="AY514" s="47"/>
      <c r="AZ514" s="4" t="s">
        <v>16</v>
      </c>
      <c r="BA514" s="43" t="str">
        <f>IF(VLOOKUP(AZ514,βοηθητικό!$J$2:$N$354,3,FALSE)="","",VLOOKUP(AZ514,βοηθητικό!$J$2:$N$354,3,FALSE))</f>
        <v>_</v>
      </c>
      <c r="BB514" s="44"/>
      <c r="BC514" s="45" t="s">
        <v>16</v>
      </c>
      <c r="BD514" s="46" t="str">
        <f>IF(VLOOKUP(BC514,βοηθητικό!$J$2:$N$354,3,FALSE)="","",VLOOKUP(BC514,βοηθητικό!$J$2:$N$354,3,FALSE))</f>
        <v>_</v>
      </c>
      <c r="BE514" s="47"/>
      <c r="BF514" s="42" t="s">
        <v>16</v>
      </c>
      <c r="BG514" s="43" t="str">
        <f>IF(VLOOKUP(BF514,βοηθητικό!$J$2:$N$354,3,FALSE)="","",VLOOKUP(BF514,βοηθητικό!$J$2:$N$354,3,FALSE))</f>
        <v>_</v>
      </c>
      <c r="BH514" s="44"/>
      <c r="BI514" s="45" t="s">
        <v>16</v>
      </c>
      <c r="BJ514" s="46" t="str">
        <f>IF(VLOOKUP(BI514,βοηθητικό!$J$2:$N$354,3,FALSE)="","",VLOOKUP(BI514,βοηθητικό!$J$2:$N$354,3,FALSE))</f>
        <v>_</v>
      </c>
      <c r="BK514" s="47"/>
      <c r="BL514" s="42" t="s">
        <v>16</v>
      </c>
      <c r="BM514" s="43" t="str">
        <f>IF(VLOOKUP(BL514,βοηθητικό!$J$2:$N$354,3,FALSE)="","",VLOOKUP(BL514,βοηθητικό!$J$2:$N$354,3,FALSE))</f>
        <v>_</v>
      </c>
      <c r="BN514" s="44"/>
      <c r="BO514" s="45" t="s">
        <v>16</v>
      </c>
      <c r="BP514" s="46" t="str">
        <f>IF(VLOOKUP(BO514,βοηθητικό!$J$2:$N$354,3,FALSE)="","",VLOOKUP(BO514,βοηθητικό!$J$2:$N$354,3,FALSE))</f>
        <v>_</v>
      </c>
      <c r="BQ514" s="47"/>
      <c r="BR514" s="42" t="s">
        <v>16</v>
      </c>
      <c r="BS514" s="43" t="str">
        <f>IF(VLOOKUP(BR514,βοηθητικό!$J$2:$N$354,3,FALSE)="","",VLOOKUP(BR514,βοηθητικό!$J$2:$N$354,3,FALSE))</f>
        <v>_</v>
      </c>
      <c r="BT514" s="44"/>
      <c r="BU514" s="45" t="s">
        <v>16</v>
      </c>
      <c r="BV514" s="46" t="str">
        <f>IF(VLOOKUP(BU514,βοηθητικό!$J$2:$N$354,3,FALSE)="","",VLOOKUP(BU514,βοηθητικό!$J$2:$N$354,3,FALSE))</f>
        <v>_</v>
      </c>
      <c r="BW514" s="47"/>
      <c r="BX514" s="42" t="s">
        <v>16</v>
      </c>
      <c r="BY514" s="43" t="str">
        <f>IF(VLOOKUP(BX514,βοηθητικό!$J$2:$N$354,3,FALSE)="","",VLOOKUP(BX514,βοηθητικό!$J$2:$N$354,3,FALSE))</f>
        <v>_</v>
      </c>
      <c r="BZ514" s="44"/>
      <c r="CA514" s="45" t="s">
        <v>16</v>
      </c>
      <c r="CB514" s="46" t="str">
        <f>IF(VLOOKUP(CA514,βοηθητικό!$J$2:$N$354,3,FALSE)="","",VLOOKUP(CA514,βοηθητικό!$J$2:$N$354,3,FALSE))</f>
        <v>_</v>
      </c>
      <c r="CC514" s="47"/>
      <c r="CD514" s="42" t="s">
        <v>16</v>
      </c>
      <c r="CE514" s="43" t="str">
        <f>IF(VLOOKUP(CD514,βοηθητικό!$J$2:$N$354,3,FALSE)="","",VLOOKUP(CD514,βοηθητικό!$J$2:$N$354,3,FALSE))</f>
        <v>_</v>
      </c>
      <c r="CF514" s="44"/>
      <c r="CG514" s="45" t="s">
        <v>16</v>
      </c>
      <c r="CH514" s="46" t="str">
        <f>IF(VLOOKUP(CG514,βοηθητικό!$J$2:$N$354,3,FALSE)="","",VLOOKUP(CG514,βοηθητικό!$J$2:$N$354,3,FALSE))</f>
        <v>_</v>
      </c>
      <c r="CI514" s="47"/>
      <c r="CJ514" s="42" t="s">
        <v>16</v>
      </c>
      <c r="CK514" s="43" t="str">
        <f>IF(VLOOKUP(CJ514,βοηθητικό!$J$2:$N$354,3,FALSE)="","",VLOOKUP(CJ514,βοηθητικό!$J$2:$N$354,3,FALSE))</f>
        <v>_</v>
      </c>
      <c r="CL514" s="44"/>
      <c r="CM514" s="45" t="s">
        <v>16</v>
      </c>
      <c r="CN514" s="46" t="str">
        <f>IF(VLOOKUP(CM514,βοηθητικό!$J$2:$N$354,3,FALSE)="","",VLOOKUP(CM514,βοηθητικό!$J$2:$N$354,3,FALSE))</f>
        <v>_</v>
      </c>
      <c r="CO514" s="47"/>
      <c r="CP514" s="42" t="s">
        <v>16</v>
      </c>
      <c r="CQ514" s="43" t="str">
        <f>IF(VLOOKUP(CP514,βοηθητικό!$J$2:$N$354,3,FALSE)="","",VLOOKUP(CP514,βοηθητικό!$J$2:$N$354,3,FALSE))</f>
        <v>_</v>
      </c>
      <c r="CR514" s="44"/>
      <c r="CS514" s="45" t="s">
        <v>16</v>
      </c>
      <c r="CT514" s="46" t="str">
        <f>IF(VLOOKUP(CS514,βοηθητικό!$J$2:$N$354,3,FALSE)="","",VLOOKUP(CS514,βοηθητικό!$J$2:$N$354,3,FALSE))</f>
        <v>_</v>
      </c>
      <c r="CU514" s="47"/>
    </row>
    <row r="515" spans="1:99" x14ac:dyDescent="0.25">
      <c r="A515" s="37">
        <f>--SUBTOTAL(3,$B$3:B514)</f>
        <v>198</v>
      </c>
      <c r="B515" s="2"/>
      <c r="C515" s="3"/>
      <c r="D515" s="55" t="s">
        <v>18</v>
      </c>
      <c r="E515" s="38" t="s">
        <v>16</v>
      </c>
      <c r="F515" s="38"/>
      <c r="G515" s="39" t="str">
        <f t="shared" si="23"/>
        <v>__</v>
      </c>
      <c r="H515" s="40" t="str">
        <f t="shared" si="24"/>
        <v>FALSE</v>
      </c>
      <c r="I515" s="41">
        <f t="shared" si="25"/>
        <v>0</v>
      </c>
      <c r="J515" s="4" t="s">
        <v>16</v>
      </c>
      <c r="K515" s="43" t="str">
        <f>IF(VLOOKUP(J515,βοηθητικό!$J$2:$N$354,3,FALSE)="","",VLOOKUP(J515,βοηθητικό!$J$2:$N$354,3,FALSE))</f>
        <v>_</v>
      </c>
      <c r="L515" s="44"/>
      <c r="M515" s="5" t="s">
        <v>16</v>
      </c>
      <c r="N515" s="46" t="str">
        <f>IF(VLOOKUP(M515,βοηθητικό!$J$2:$N$354,3,FALSE)="","",VLOOKUP(M515,βοηθητικό!$J$2:$N$354,3,FALSE))</f>
        <v>_</v>
      </c>
      <c r="O515" s="47"/>
      <c r="P515" s="4" t="s">
        <v>16</v>
      </c>
      <c r="Q515" s="43" t="str">
        <f>IF(VLOOKUP(P515,βοηθητικό!$J$2:$N$354,3,FALSE)="","",VLOOKUP(P515,βοηθητικό!$J$2:$N$354,3,FALSE))</f>
        <v>_</v>
      </c>
      <c r="R515" s="44"/>
      <c r="S515" s="5" t="s">
        <v>16</v>
      </c>
      <c r="T515" s="46" t="str">
        <f>IF(VLOOKUP(S515,βοηθητικό!$J$2:$N$354,3,FALSE)="","",VLOOKUP(S515,βοηθητικό!$J$2:$N$354,3,FALSE))</f>
        <v>_</v>
      </c>
      <c r="U515" s="47"/>
      <c r="V515" s="4" t="s">
        <v>16</v>
      </c>
      <c r="W515" s="43" t="str">
        <f>IF(VLOOKUP(V515,βοηθητικό!$J$2:$N$354,3,FALSE)="","",VLOOKUP(V515,βοηθητικό!$J$2:$N$354,3,FALSE))</f>
        <v>_</v>
      </c>
      <c r="X515" s="44"/>
      <c r="Y515" s="5" t="s">
        <v>16</v>
      </c>
      <c r="Z515" s="46" t="str">
        <f>IF(VLOOKUP(Y515,βοηθητικό!$J$2:$N$354,3,FALSE)="","",VLOOKUP(Y515,βοηθητικό!$J$2:$N$354,3,FALSE))</f>
        <v>_</v>
      </c>
      <c r="AA515" s="47"/>
      <c r="AB515" s="4" t="s">
        <v>16</v>
      </c>
      <c r="AC515" s="43" t="str">
        <f>IF(VLOOKUP(AB515,βοηθητικό!$J$2:$N$354,3,FALSE)="","",VLOOKUP(AB515,βοηθητικό!$J$2:$N$354,3,FALSE))</f>
        <v>_</v>
      </c>
      <c r="AD515" s="44"/>
      <c r="AE515" s="5" t="s">
        <v>16</v>
      </c>
      <c r="AF515" s="46" t="str">
        <f>IF(VLOOKUP(AE515,βοηθητικό!$J$2:$N$354,3,FALSE)="","",VLOOKUP(AE515,βοηθητικό!$J$2:$N$354,3,FALSE))</f>
        <v>_</v>
      </c>
      <c r="AG515" s="47"/>
      <c r="AH515" s="4" t="s">
        <v>16</v>
      </c>
      <c r="AI515" s="43" t="str">
        <f>IF(VLOOKUP(AH515,βοηθητικό!$J$2:$N$354,3,FALSE)="","",VLOOKUP(AH515,βοηθητικό!$J$2:$N$354,3,FALSE))</f>
        <v>_</v>
      </c>
      <c r="AJ515" s="44"/>
      <c r="AK515" s="5" t="s">
        <v>16</v>
      </c>
      <c r="AL515" s="46" t="str">
        <f>IF(VLOOKUP(AK515,βοηθητικό!$J$2:$N$354,3,FALSE)="","",VLOOKUP(AK515,βοηθητικό!$J$2:$N$354,3,FALSE))</f>
        <v>_</v>
      </c>
      <c r="AM515" s="47"/>
      <c r="AN515" s="4" t="s">
        <v>16</v>
      </c>
      <c r="AO515" s="43" t="str">
        <f>IF(VLOOKUP(AN515,βοηθητικό!$J$2:$N$354,3,FALSE)="","",VLOOKUP(AN515,βοηθητικό!$J$2:$N$354,3,FALSE))</f>
        <v>_</v>
      </c>
      <c r="AP515" s="44"/>
      <c r="AQ515" s="5" t="s">
        <v>16</v>
      </c>
      <c r="AR515" s="46" t="str">
        <f>IF(VLOOKUP(AQ515,βοηθητικό!$J$2:$N$354,3,FALSE)="","",VLOOKUP(AQ515,βοηθητικό!$J$2:$N$354,3,FALSE))</f>
        <v>_</v>
      </c>
      <c r="AS515" s="47"/>
      <c r="AT515" s="4" t="s">
        <v>16</v>
      </c>
      <c r="AU515" s="43" t="str">
        <f>IF(VLOOKUP(AT515,βοηθητικό!$J$2:$N$354,3,FALSE)="","",VLOOKUP(AT515,βοηθητικό!$J$2:$N$354,3,FALSE))</f>
        <v>_</v>
      </c>
      <c r="AV515" s="44"/>
      <c r="AW515" s="5" t="s">
        <v>16</v>
      </c>
      <c r="AX515" s="46" t="str">
        <f>IF(VLOOKUP(AW515,βοηθητικό!$J$2:$N$354,3,FALSE)="","",VLOOKUP(AW515,βοηθητικό!$J$2:$N$354,3,FALSE))</f>
        <v>_</v>
      </c>
      <c r="AY515" s="47"/>
      <c r="AZ515" s="4" t="s">
        <v>16</v>
      </c>
      <c r="BA515" s="43" t="str">
        <f>IF(VLOOKUP(AZ515,βοηθητικό!$J$2:$N$354,3,FALSE)="","",VLOOKUP(AZ515,βοηθητικό!$J$2:$N$354,3,FALSE))</f>
        <v>_</v>
      </c>
      <c r="BB515" s="44"/>
      <c r="BC515" s="45" t="s">
        <v>16</v>
      </c>
      <c r="BD515" s="46" t="str">
        <f>IF(VLOOKUP(BC515,βοηθητικό!$J$2:$N$354,3,FALSE)="","",VLOOKUP(BC515,βοηθητικό!$J$2:$N$354,3,FALSE))</f>
        <v>_</v>
      </c>
      <c r="BE515" s="47"/>
      <c r="BF515" s="42" t="s">
        <v>16</v>
      </c>
      <c r="BG515" s="43" t="str">
        <f>IF(VLOOKUP(BF515,βοηθητικό!$J$2:$N$354,3,FALSE)="","",VLOOKUP(BF515,βοηθητικό!$J$2:$N$354,3,FALSE))</f>
        <v>_</v>
      </c>
      <c r="BH515" s="44"/>
      <c r="BI515" s="45" t="s">
        <v>16</v>
      </c>
      <c r="BJ515" s="46" t="str">
        <f>IF(VLOOKUP(BI515,βοηθητικό!$J$2:$N$354,3,FALSE)="","",VLOOKUP(BI515,βοηθητικό!$J$2:$N$354,3,FALSE))</f>
        <v>_</v>
      </c>
      <c r="BK515" s="47"/>
      <c r="BL515" s="42" t="s">
        <v>16</v>
      </c>
      <c r="BM515" s="43" t="str">
        <f>IF(VLOOKUP(BL515,βοηθητικό!$J$2:$N$354,3,FALSE)="","",VLOOKUP(BL515,βοηθητικό!$J$2:$N$354,3,FALSE))</f>
        <v>_</v>
      </c>
      <c r="BN515" s="44"/>
      <c r="BO515" s="45" t="s">
        <v>16</v>
      </c>
      <c r="BP515" s="46" t="str">
        <f>IF(VLOOKUP(BO515,βοηθητικό!$J$2:$N$354,3,FALSE)="","",VLOOKUP(BO515,βοηθητικό!$J$2:$N$354,3,FALSE))</f>
        <v>_</v>
      </c>
      <c r="BQ515" s="47"/>
      <c r="BR515" s="42" t="s">
        <v>16</v>
      </c>
      <c r="BS515" s="43" t="str">
        <f>IF(VLOOKUP(BR515,βοηθητικό!$J$2:$N$354,3,FALSE)="","",VLOOKUP(BR515,βοηθητικό!$J$2:$N$354,3,FALSE))</f>
        <v>_</v>
      </c>
      <c r="BT515" s="44"/>
      <c r="BU515" s="45" t="s">
        <v>16</v>
      </c>
      <c r="BV515" s="46" t="str">
        <f>IF(VLOOKUP(BU515,βοηθητικό!$J$2:$N$354,3,FALSE)="","",VLOOKUP(BU515,βοηθητικό!$J$2:$N$354,3,FALSE))</f>
        <v>_</v>
      </c>
      <c r="BW515" s="47"/>
      <c r="BX515" s="42" t="s">
        <v>16</v>
      </c>
      <c r="BY515" s="43" t="str">
        <f>IF(VLOOKUP(BX515,βοηθητικό!$J$2:$N$354,3,FALSE)="","",VLOOKUP(BX515,βοηθητικό!$J$2:$N$354,3,FALSE))</f>
        <v>_</v>
      </c>
      <c r="BZ515" s="44"/>
      <c r="CA515" s="45" t="s">
        <v>16</v>
      </c>
      <c r="CB515" s="46" t="str">
        <f>IF(VLOOKUP(CA515,βοηθητικό!$J$2:$N$354,3,FALSE)="","",VLOOKUP(CA515,βοηθητικό!$J$2:$N$354,3,FALSE))</f>
        <v>_</v>
      </c>
      <c r="CC515" s="47"/>
      <c r="CD515" s="42" t="s">
        <v>16</v>
      </c>
      <c r="CE515" s="43" t="str">
        <f>IF(VLOOKUP(CD515,βοηθητικό!$J$2:$N$354,3,FALSE)="","",VLOOKUP(CD515,βοηθητικό!$J$2:$N$354,3,FALSE))</f>
        <v>_</v>
      </c>
      <c r="CF515" s="44"/>
      <c r="CG515" s="45" t="s">
        <v>16</v>
      </c>
      <c r="CH515" s="46" t="str">
        <f>IF(VLOOKUP(CG515,βοηθητικό!$J$2:$N$354,3,FALSE)="","",VLOOKUP(CG515,βοηθητικό!$J$2:$N$354,3,FALSE))</f>
        <v>_</v>
      </c>
      <c r="CI515" s="47"/>
      <c r="CJ515" s="42" t="s">
        <v>16</v>
      </c>
      <c r="CK515" s="43" t="str">
        <f>IF(VLOOKUP(CJ515,βοηθητικό!$J$2:$N$354,3,FALSE)="","",VLOOKUP(CJ515,βοηθητικό!$J$2:$N$354,3,FALSE))</f>
        <v>_</v>
      </c>
      <c r="CL515" s="44"/>
      <c r="CM515" s="45" t="s">
        <v>16</v>
      </c>
      <c r="CN515" s="46" t="str">
        <f>IF(VLOOKUP(CM515,βοηθητικό!$J$2:$N$354,3,FALSE)="","",VLOOKUP(CM515,βοηθητικό!$J$2:$N$354,3,FALSE))</f>
        <v>_</v>
      </c>
      <c r="CO515" s="47"/>
      <c r="CP515" s="42" t="s">
        <v>16</v>
      </c>
      <c r="CQ515" s="43" t="str">
        <f>IF(VLOOKUP(CP515,βοηθητικό!$J$2:$N$354,3,FALSE)="","",VLOOKUP(CP515,βοηθητικό!$J$2:$N$354,3,FALSE))</f>
        <v>_</v>
      </c>
      <c r="CR515" s="44"/>
      <c r="CS515" s="45" t="s">
        <v>16</v>
      </c>
      <c r="CT515" s="46" t="str">
        <f>IF(VLOOKUP(CS515,βοηθητικό!$J$2:$N$354,3,FALSE)="","",VLOOKUP(CS515,βοηθητικό!$J$2:$N$354,3,FALSE))</f>
        <v>_</v>
      </c>
      <c r="CU515" s="47"/>
    </row>
    <row r="516" spans="1:99" x14ac:dyDescent="0.25">
      <c r="A516" s="37">
        <f>--SUBTOTAL(3,$B$3:B515)</f>
        <v>198</v>
      </c>
      <c r="B516" s="2"/>
      <c r="C516" s="3"/>
      <c r="D516" s="55" t="s">
        <v>18</v>
      </c>
      <c r="E516" s="38" t="s">
        <v>16</v>
      </c>
      <c r="F516" s="38"/>
      <c r="G516" s="39" t="str">
        <f t="shared" ref="G516:G579" si="26">IF(OR(C516="_",E516="_"),"__",CONCATENATE(C516,E516))</f>
        <v>__</v>
      </c>
      <c r="H516" s="40" t="str">
        <f t="shared" ref="H516:H579" si="27">IF(G516="__","FALSE",COUNTIF(G:G,G516)&gt;1)</f>
        <v>FALSE</v>
      </c>
      <c r="I516" s="41">
        <f t="shared" ref="I516:I579" si="28">SUMPRODUCT((J516:CU516&lt;&gt;"_")*(MOD(COLUMN(J516:CU516)-COLUMN(J516),3)=0))</f>
        <v>0</v>
      </c>
      <c r="J516" s="4" t="s">
        <v>16</v>
      </c>
      <c r="K516" s="43" t="str">
        <f>IF(VLOOKUP(J516,βοηθητικό!$J$2:$N$354,3,FALSE)="","",VLOOKUP(J516,βοηθητικό!$J$2:$N$354,3,FALSE))</f>
        <v>_</v>
      </c>
      <c r="L516" s="44"/>
      <c r="M516" s="5" t="s">
        <v>16</v>
      </c>
      <c r="N516" s="46" t="str">
        <f>IF(VLOOKUP(M516,βοηθητικό!$J$2:$N$354,3,FALSE)="","",VLOOKUP(M516,βοηθητικό!$J$2:$N$354,3,FALSE))</f>
        <v>_</v>
      </c>
      <c r="O516" s="47"/>
      <c r="P516" s="4" t="s">
        <v>16</v>
      </c>
      <c r="Q516" s="43" t="str">
        <f>IF(VLOOKUP(P516,βοηθητικό!$J$2:$N$354,3,FALSE)="","",VLOOKUP(P516,βοηθητικό!$J$2:$N$354,3,FALSE))</f>
        <v>_</v>
      </c>
      <c r="R516" s="44"/>
      <c r="S516" s="5" t="s">
        <v>16</v>
      </c>
      <c r="T516" s="46" t="str">
        <f>IF(VLOOKUP(S516,βοηθητικό!$J$2:$N$354,3,FALSE)="","",VLOOKUP(S516,βοηθητικό!$J$2:$N$354,3,FALSE))</f>
        <v>_</v>
      </c>
      <c r="U516" s="47"/>
      <c r="V516" s="4" t="s">
        <v>16</v>
      </c>
      <c r="W516" s="43" t="str">
        <f>IF(VLOOKUP(V516,βοηθητικό!$J$2:$N$354,3,FALSE)="","",VLOOKUP(V516,βοηθητικό!$J$2:$N$354,3,FALSE))</f>
        <v>_</v>
      </c>
      <c r="X516" s="44"/>
      <c r="Y516" s="5" t="s">
        <v>16</v>
      </c>
      <c r="Z516" s="46" t="str">
        <f>IF(VLOOKUP(Y516,βοηθητικό!$J$2:$N$354,3,FALSE)="","",VLOOKUP(Y516,βοηθητικό!$J$2:$N$354,3,FALSE))</f>
        <v>_</v>
      </c>
      <c r="AA516" s="47"/>
      <c r="AB516" s="4" t="s">
        <v>16</v>
      </c>
      <c r="AC516" s="43" t="str">
        <f>IF(VLOOKUP(AB516,βοηθητικό!$J$2:$N$354,3,FALSE)="","",VLOOKUP(AB516,βοηθητικό!$J$2:$N$354,3,FALSE))</f>
        <v>_</v>
      </c>
      <c r="AD516" s="44"/>
      <c r="AE516" s="5" t="s">
        <v>16</v>
      </c>
      <c r="AF516" s="46" t="str">
        <f>IF(VLOOKUP(AE516,βοηθητικό!$J$2:$N$354,3,FALSE)="","",VLOOKUP(AE516,βοηθητικό!$J$2:$N$354,3,FALSE))</f>
        <v>_</v>
      </c>
      <c r="AG516" s="47"/>
      <c r="AH516" s="4" t="s">
        <v>16</v>
      </c>
      <c r="AI516" s="43" t="str">
        <f>IF(VLOOKUP(AH516,βοηθητικό!$J$2:$N$354,3,FALSE)="","",VLOOKUP(AH516,βοηθητικό!$J$2:$N$354,3,FALSE))</f>
        <v>_</v>
      </c>
      <c r="AJ516" s="44"/>
      <c r="AK516" s="5" t="s">
        <v>16</v>
      </c>
      <c r="AL516" s="46" t="str">
        <f>IF(VLOOKUP(AK516,βοηθητικό!$J$2:$N$354,3,FALSE)="","",VLOOKUP(AK516,βοηθητικό!$J$2:$N$354,3,FALSE))</f>
        <v>_</v>
      </c>
      <c r="AM516" s="47"/>
      <c r="AN516" s="4" t="s">
        <v>16</v>
      </c>
      <c r="AO516" s="43" t="str">
        <f>IF(VLOOKUP(AN516,βοηθητικό!$J$2:$N$354,3,FALSE)="","",VLOOKUP(AN516,βοηθητικό!$J$2:$N$354,3,FALSE))</f>
        <v>_</v>
      </c>
      <c r="AP516" s="44"/>
      <c r="AQ516" s="5" t="s">
        <v>16</v>
      </c>
      <c r="AR516" s="46" t="str">
        <f>IF(VLOOKUP(AQ516,βοηθητικό!$J$2:$N$354,3,FALSE)="","",VLOOKUP(AQ516,βοηθητικό!$J$2:$N$354,3,FALSE))</f>
        <v>_</v>
      </c>
      <c r="AS516" s="47"/>
      <c r="AT516" s="4" t="s">
        <v>16</v>
      </c>
      <c r="AU516" s="43" t="str">
        <f>IF(VLOOKUP(AT516,βοηθητικό!$J$2:$N$354,3,FALSE)="","",VLOOKUP(AT516,βοηθητικό!$J$2:$N$354,3,FALSE))</f>
        <v>_</v>
      </c>
      <c r="AV516" s="44"/>
      <c r="AW516" s="5" t="s">
        <v>16</v>
      </c>
      <c r="AX516" s="46" t="str">
        <f>IF(VLOOKUP(AW516,βοηθητικό!$J$2:$N$354,3,FALSE)="","",VLOOKUP(AW516,βοηθητικό!$J$2:$N$354,3,FALSE))</f>
        <v>_</v>
      </c>
      <c r="AY516" s="47"/>
      <c r="AZ516" s="4" t="s">
        <v>16</v>
      </c>
      <c r="BA516" s="43" t="str">
        <f>IF(VLOOKUP(AZ516,βοηθητικό!$J$2:$N$354,3,FALSE)="","",VLOOKUP(AZ516,βοηθητικό!$J$2:$N$354,3,FALSE))</f>
        <v>_</v>
      </c>
      <c r="BB516" s="44"/>
      <c r="BC516" s="45" t="s">
        <v>16</v>
      </c>
      <c r="BD516" s="46" t="str">
        <f>IF(VLOOKUP(BC516,βοηθητικό!$J$2:$N$354,3,FALSE)="","",VLOOKUP(BC516,βοηθητικό!$J$2:$N$354,3,FALSE))</f>
        <v>_</v>
      </c>
      <c r="BE516" s="47"/>
      <c r="BF516" s="42" t="s">
        <v>16</v>
      </c>
      <c r="BG516" s="43" t="str">
        <f>IF(VLOOKUP(BF516,βοηθητικό!$J$2:$N$354,3,FALSE)="","",VLOOKUP(BF516,βοηθητικό!$J$2:$N$354,3,FALSE))</f>
        <v>_</v>
      </c>
      <c r="BH516" s="44"/>
      <c r="BI516" s="45" t="s">
        <v>16</v>
      </c>
      <c r="BJ516" s="46" t="str">
        <f>IF(VLOOKUP(BI516,βοηθητικό!$J$2:$N$354,3,FALSE)="","",VLOOKUP(BI516,βοηθητικό!$J$2:$N$354,3,FALSE))</f>
        <v>_</v>
      </c>
      <c r="BK516" s="47"/>
      <c r="BL516" s="42" t="s">
        <v>16</v>
      </c>
      <c r="BM516" s="43" t="str">
        <f>IF(VLOOKUP(BL516,βοηθητικό!$J$2:$N$354,3,FALSE)="","",VLOOKUP(BL516,βοηθητικό!$J$2:$N$354,3,FALSE))</f>
        <v>_</v>
      </c>
      <c r="BN516" s="44"/>
      <c r="BO516" s="45" t="s">
        <v>16</v>
      </c>
      <c r="BP516" s="46" t="str">
        <f>IF(VLOOKUP(BO516,βοηθητικό!$J$2:$N$354,3,FALSE)="","",VLOOKUP(BO516,βοηθητικό!$J$2:$N$354,3,FALSE))</f>
        <v>_</v>
      </c>
      <c r="BQ516" s="47"/>
      <c r="BR516" s="42" t="s">
        <v>16</v>
      </c>
      <c r="BS516" s="43" t="str">
        <f>IF(VLOOKUP(BR516,βοηθητικό!$J$2:$N$354,3,FALSE)="","",VLOOKUP(BR516,βοηθητικό!$J$2:$N$354,3,FALSE))</f>
        <v>_</v>
      </c>
      <c r="BT516" s="44"/>
      <c r="BU516" s="45" t="s">
        <v>16</v>
      </c>
      <c r="BV516" s="46" t="str">
        <f>IF(VLOOKUP(BU516,βοηθητικό!$J$2:$N$354,3,FALSE)="","",VLOOKUP(BU516,βοηθητικό!$J$2:$N$354,3,FALSE))</f>
        <v>_</v>
      </c>
      <c r="BW516" s="47"/>
      <c r="BX516" s="42" t="s">
        <v>16</v>
      </c>
      <c r="BY516" s="43" t="str">
        <f>IF(VLOOKUP(BX516,βοηθητικό!$J$2:$N$354,3,FALSE)="","",VLOOKUP(BX516,βοηθητικό!$J$2:$N$354,3,FALSE))</f>
        <v>_</v>
      </c>
      <c r="BZ516" s="44"/>
      <c r="CA516" s="45" t="s">
        <v>16</v>
      </c>
      <c r="CB516" s="46" t="str">
        <f>IF(VLOOKUP(CA516,βοηθητικό!$J$2:$N$354,3,FALSE)="","",VLOOKUP(CA516,βοηθητικό!$J$2:$N$354,3,FALSE))</f>
        <v>_</v>
      </c>
      <c r="CC516" s="47"/>
      <c r="CD516" s="42" t="s">
        <v>16</v>
      </c>
      <c r="CE516" s="43" t="str">
        <f>IF(VLOOKUP(CD516,βοηθητικό!$J$2:$N$354,3,FALSE)="","",VLOOKUP(CD516,βοηθητικό!$J$2:$N$354,3,FALSE))</f>
        <v>_</v>
      </c>
      <c r="CF516" s="44"/>
      <c r="CG516" s="45" t="s">
        <v>16</v>
      </c>
      <c r="CH516" s="46" t="str">
        <f>IF(VLOOKUP(CG516,βοηθητικό!$J$2:$N$354,3,FALSE)="","",VLOOKUP(CG516,βοηθητικό!$J$2:$N$354,3,FALSE))</f>
        <v>_</v>
      </c>
      <c r="CI516" s="47"/>
      <c r="CJ516" s="42" t="s">
        <v>16</v>
      </c>
      <c r="CK516" s="43" t="str">
        <f>IF(VLOOKUP(CJ516,βοηθητικό!$J$2:$N$354,3,FALSE)="","",VLOOKUP(CJ516,βοηθητικό!$J$2:$N$354,3,FALSE))</f>
        <v>_</v>
      </c>
      <c r="CL516" s="44"/>
      <c r="CM516" s="45" t="s">
        <v>16</v>
      </c>
      <c r="CN516" s="46" t="str">
        <f>IF(VLOOKUP(CM516,βοηθητικό!$J$2:$N$354,3,FALSE)="","",VLOOKUP(CM516,βοηθητικό!$J$2:$N$354,3,FALSE))</f>
        <v>_</v>
      </c>
      <c r="CO516" s="47"/>
      <c r="CP516" s="42" t="s">
        <v>16</v>
      </c>
      <c r="CQ516" s="43" t="str">
        <f>IF(VLOOKUP(CP516,βοηθητικό!$J$2:$N$354,3,FALSE)="","",VLOOKUP(CP516,βοηθητικό!$J$2:$N$354,3,FALSE))</f>
        <v>_</v>
      </c>
      <c r="CR516" s="44"/>
      <c r="CS516" s="45" t="s">
        <v>16</v>
      </c>
      <c r="CT516" s="46" t="str">
        <f>IF(VLOOKUP(CS516,βοηθητικό!$J$2:$N$354,3,FALSE)="","",VLOOKUP(CS516,βοηθητικό!$J$2:$N$354,3,FALSE))</f>
        <v>_</v>
      </c>
      <c r="CU516" s="47"/>
    </row>
    <row r="517" spans="1:99" x14ac:dyDescent="0.25">
      <c r="A517" s="37">
        <f>--SUBTOTAL(3,$B$3:B516)</f>
        <v>198</v>
      </c>
      <c r="B517" s="2"/>
      <c r="C517" s="3"/>
      <c r="D517" s="55" t="s">
        <v>18</v>
      </c>
      <c r="E517" s="38" t="s">
        <v>16</v>
      </c>
      <c r="F517" s="38"/>
      <c r="G517" s="39" t="str">
        <f t="shared" si="26"/>
        <v>__</v>
      </c>
      <c r="H517" s="40" t="str">
        <f t="shared" si="27"/>
        <v>FALSE</v>
      </c>
      <c r="I517" s="41">
        <f t="shared" si="28"/>
        <v>0</v>
      </c>
      <c r="J517" s="4" t="s">
        <v>16</v>
      </c>
      <c r="K517" s="43" t="str">
        <f>IF(VLOOKUP(J517,βοηθητικό!$J$2:$N$354,3,FALSE)="","",VLOOKUP(J517,βοηθητικό!$J$2:$N$354,3,FALSE))</f>
        <v>_</v>
      </c>
      <c r="L517" s="44"/>
      <c r="M517" s="5" t="s">
        <v>16</v>
      </c>
      <c r="N517" s="46" t="str">
        <f>IF(VLOOKUP(M517,βοηθητικό!$J$2:$N$354,3,FALSE)="","",VLOOKUP(M517,βοηθητικό!$J$2:$N$354,3,FALSE))</f>
        <v>_</v>
      </c>
      <c r="O517" s="47"/>
      <c r="P517" s="4" t="s">
        <v>16</v>
      </c>
      <c r="Q517" s="43" t="str">
        <f>IF(VLOOKUP(P517,βοηθητικό!$J$2:$N$354,3,FALSE)="","",VLOOKUP(P517,βοηθητικό!$J$2:$N$354,3,FALSE))</f>
        <v>_</v>
      </c>
      <c r="R517" s="44"/>
      <c r="S517" s="5" t="s">
        <v>16</v>
      </c>
      <c r="T517" s="46" t="str">
        <f>IF(VLOOKUP(S517,βοηθητικό!$J$2:$N$354,3,FALSE)="","",VLOOKUP(S517,βοηθητικό!$J$2:$N$354,3,FALSE))</f>
        <v>_</v>
      </c>
      <c r="U517" s="47"/>
      <c r="V517" s="4" t="s">
        <v>16</v>
      </c>
      <c r="W517" s="43" t="str">
        <f>IF(VLOOKUP(V517,βοηθητικό!$J$2:$N$354,3,FALSE)="","",VLOOKUP(V517,βοηθητικό!$J$2:$N$354,3,FALSE))</f>
        <v>_</v>
      </c>
      <c r="X517" s="44"/>
      <c r="Y517" s="5" t="s">
        <v>16</v>
      </c>
      <c r="Z517" s="46" t="str">
        <f>IF(VLOOKUP(Y517,βοηθητικό!$J$2:$N$354,3,FALSE)="","",VLOOKUP(Y517,βοηθητικό!$J$2:$N$354,3,FALSE))</f>
        <v>_</v>
      </c>
      <c r="AA517" s="47"/>
      <c r="AB517" s="4" t="s">
        <v>16</v>
      </c>
      <c r="AC517" s="43" t="str">
        <f>IF(VLOOKUP(AB517,βοηθητικό!$J$2:$N$354,3,FALSE)="","",VLOOKUP(AB517,βοηθητικό!$J$2:$N$354,3,FALSE))</f>
        <v>_</v>
      </c>
      <c r="AD517" s="44"/>
      <c r="AE517" s="5" t="s">
        <v>16</v>
      </c>
      <c r="AF517" s="46" t="str">
        <f>IF(VLOOKUP(AE517,βοηθητικό!$J$2:$N$354,3,FALSE)="","",VLOOKUP(AE517,βοηθητικό!$J$2:$N$354,3,FALSE))</f>
        <v>_</v>
      </c>
      <c r="AG517" s="47"/>
      <c r="AH517" s="4" t="s">
        <v>16</v>
      </c>
      <c r="AI517" s="43" t="str">
        <f>IF(VLOOKUP(AH517,βοηθητικό!$J$2:$N$354,3,FALSE)="","",VLOOKUP(AH517,βοηθητικό!$J$2:$N$354,3,FALSE))</f>
        <v>_</v>
      </c>
      <c r="AJ517" s="44"/>
      <c r="AK517" s="5" t="s">
        <v>16</v>
      </c>
      <c r="AL517" s="46" t="str">
        <f>IF(VLOOKUP(AK517,βοηθητικό!$J$2:$N$354,3,FALSE)="","",VLOOKUP(AK517,βοηθητικό!$J$2:$N$354,3,FALSE))</f>
        <v>_</v>
      </c>
      <c r="AM517" s="47"/>
      <c r="AN517" s="4" t="s">
        <v>16</v>
      </c>
      <c r="AO517" s="43" t="str">
        <f>IF(VLOOKUP(AN517,βοηθητικό!$J$2:$N$354,3,FALSE)="","",VLOOKUP(AN517,βοηθητικό!$J$2:$N$354,3,FALSE))</f>
        <v>_</v>
      </c>
      <c r="AP517" s="44"/>
      <c r="AQ517" s="5" t="s">
        <v>16</v>
      </c>
      <c r="AR517" s="46" t="str">
        <f>IF(VLOOKUP(AQ517,βοηθητικό!$J$2:$N$354,3,FALSE)="","",VLOOKUP(AQ517,βοηθητικό!$J$2:$N$354,3,FALSE))</f>
        <v>_</v>
      </c>
      <c r="AS517" s="47"/>
      <c r="AT517" s="4" t="s">
        <v>16</v>
      </c>
      <c r="AU517" s="43" t="str">
        <f>IF(VLOOKUP(AT517,βοηθητικό!$J$2:$N$354,3,FALSE)="","",VLOOKUP(AT517,βοηθητικό!$J$2:$N$354,3,FALSE))</f>
        <v>_</v>
      </c>
      <c r="AV517" s="44"/>
      <c r="AW517" s="5" t="s">
        <v>16</v>
      </c>
      <c r="AX517" s="46" t="str">
        <f>IF(VLOOKUP(AW517,βοηθητικό!$J$2:$N$354,3,FALSE)="","",VLOOKUP(AW517,βοηθητικό!$J$2:$N$354,3,FALSE))</f>
        <v>_</v>
      </c>
      <c r="AY517" s="47"/>
      <c r="AZ517" s="4" t="s">
        <v>16</v>
      </c>
      <c r="BA517" s="43" t="str">
        <f>IF(VLOOKUP(AZ517,βοηθητικό!$J$2:$N$354,3,FALSE)="","",VLOOKUP(AZ517,βοηθητικό!$J$2:$N$354,3,FALSE))</f>
        <v>_</v>
      </c>
      <c r="BB517" s="44"/>
      <c r="BC517" s="45" t="s">
        <v>16</v>
      </c>
      <c r="BD517" s="46" t="str">
        <f>IF(VLOOKUP(BC517,βοηθητικό!$J$2:$N$354,3,FALSE)="","",VLOOKUP(BC517,βοηθητικό!$J$2:$N$354,3,FALSE))</f>
        <v>_</v>
      </c>
      <c r="BE517" s="47"/>
      <c r="BF517" s="42" t="s">
        <v>16</v>
      </c>
      <c r="BG517" s="43" t="str">
        <f>IF(VLOOKUP(BF517,βοηθητικό!$J$2:$N$354,3,FALSE)="","",VLOOKUP(BF517,βοηθητικό!$J$2:$N$354,3,FALSE))</f>
        <v>_</v>
      </c>
      <c r="BH517" s="44"/>
      <c r="BI517" s="45" t="s">
        <v>16</v>
      </c>
      <c r="BJ517" s="46" t="str">
        <f>IF(VLOOKUP(BI517,βοηθητικό!$J$2:$N$354,3,FALSE)="","",VLOOKUP(BI517,βοηθητικό!$J$2:$N$354,3,FALSE))</f>
        <v>_</v>
      </c>
      <c r="BK517" s="47"/>
      <c r="BL517" s="42" t="s">
        <v>16</v>
      </c>
      <c r="BM517" s="43" t="str">
        <f>IF(VLOOKUP(BL517,βοηθητικό!$J$2:$N$354,3,FALSE)="","",VLOOKUP(BL517,βοηθητικό!$J$2:$N$354,3,FALSE))</f>
        <v>_</v>
      </c>
      <c r="BN517" s="44"/>
      <c r="BO517" s="45" t="s">
        <v>16</v>
      </c>
      <c r="BP517" s="46" t="str">
        <f>IF(VLOOKUP(BO517,βοηθητικό!$J$2:$N$354,3,FALSE)="","",VLOOKUP(BO517,βοηθητικό!$J$2:$N$354,3,FALSE))</f>
        <v>_</v>
      </c>
      <c r="BQ517" s="47"/>
      <c r="BR517" s="42" t="s">
        <v>16</v>
      </c>
      <c r="BS517" s="43" t="str">
        <f>IF(VLOOKUP(BR517,βοηθητικό!$J$2:$N$354,3,FALSE)="","",VLOOKUP(BR517,βοηθητικό!$J$2:$N$354,3,FALSE))</f>
        <v>_</v>
      </c>
      <c r="BT517" s="44"/>
      <c r="BU517" s="45" t="s">
        <v>16</v>
      </c>
      <c r="BV517" s="46" t="str">
        <f>IF(VLOOKUP(BU517,βοηθητικό!$J$2:$N$354,3,FALSE)="","",VLOOKUP(BU517,βοηθητικό!$J$2:$N$354,3,FALSE))</f>
        <v>_</v>
      </c>
      <c r="BW517" s="47"/>
      <c r="BX517" s="42" t="s">
        <v>16</v>
      </c>
      <c r="BY517" s="43" t="str">
        <f>IF(VLOOKUP(BX517,βοηθητικό!$J$2:$N$354,3,FALSE)="","",VLOOKUP(BX517,βοηθητικό!$J$2:$N$354,3,FALSE))</f>
        <v>_</v>
      </c>
      <c r="BZ517" s="44"/>
      <c r="CA517" s="45" t="s">
        <v>16</v>
      </c>
      <c r="CB517" s="46" t="str">
        <f>IF(VLOOKUP(CA517,βοηθητικό!$J$2:$N$354,3,FALSE)="","",VLOOKUP(CA517,βοηθητικό!$J$2:$N$354,3,FALSE))</f>
        <v>_</v>
      </c>
      <c r="CC517" s="47"/>
      <c r="CD517" s="42" t="s">
        <v>16</v>
      </c>
      <c r="CE517" s="43" t="str">
        <f>IF(VLOOKUP(CD517,βοηθητικό!$J$2:$N$354,3,FALSE)="","",VLOOKUP(CD517,βοηθητικό!$J$2:$N$354,3,FALSE))</f>
        <v>_</v>
      </c>
      <c r="CF517" s="44"/>
      <c r="CG517" s="45" t="s">
        <v>16</v>
      </c>
      <c r="CH517" s="46" t="str">
        <f>IF(VLOOKUP(CG517,βοηθητικό!$J$2:$N$354,3,FALSE)="","",VLOOKUP(CG517,βοηθητικό!$J$2:$N$354,3,FALSE))</f>
        <v>_</v>
      </c>
      <c r="CI517" s="47"/>
      <c r="CJ517" s="42" t="s">
        <v>16</v>
      </c>
      <c r="CK517" s="43" t="str">
        <f>IF(VLOOKUP(CJ517,βοηθητικό!$J$2:$N$354,3,FALSE)="","",VLOOKUP(CJ517,βοηθητικό!$J$2:$N$354,3,FALSE))</f>
        <v>_</v>
      </c>
      <c r="CL517" s="44"/>
      <c r="CM517" s="45" t="s">
        <v>16</v>
      </c>
      <c r="CN517" s="46" t="str">
        <f>IF(VLOOKUP(CM517,βοηθητικό!$J$2:$N$354,3,FALSE)="","",VLOOKUP(CM517,βοηθητικό!$J$2:$N$354,3,FALSE))</f>
        <v>_</v>
      </c>
      <c r="CO517" s="47"/>
      <c r="CP517" s="42" t="s">
        <v>16</v>
      </c>
      <c r="CQ517" s="43" t="str">
        <f>IF(VLOOKUP(CP517,βοηθητικό!$J$2:$N$354,3,FALSE)="","",VLOOKUP(CP517,βοηθητικό!$J$2:$N$354,3,FALSE))</f>
        <v>_</v>
      </c>
      <c r="CR517" s="44"/>
      <c r="CS517" s="45" t="s">
        <v>16</v>
      </c>
      <c r="CT517" s="46" t="str">
        <f>IF(VLOOKUP(CS517,βοηθητικό!$J$2:$N$354,3,FALSE)="","",VLOOKUP(CS517,βοηθητικό!$J$2:$N$354,3,FALSE))</f>
        <v>_</v>
      </c>
      <c r="CU517" s="47"/>
    </row>
    <row r="518" spans="1:99" x14ac:dyDescent="0.25">
      <c r="A518" s="37">
        <f>--SUBTOTAL(3,$B$3:B517)</f>
        <v>198</v>
      </c>
      <c r="B518" s="2"/>
      <c r="C518" s="3"/>
      <c r="D518" s="55" t="s">
        <v>18</v>
      </c>
      <c r="E518" s="38" t="s">
        <v>16</v>
      </c>
      <c r="F518" s="38"/>
      <c r="G518" s="39" t="str">
        <f t="shared" si="26"/>
        <v>__</v>
      </c>
      <c r="H518" s="40" t="str">
        <f t="shared" si="27"/>
        <v>FALSE</v>
      </c>
      <c r="I518" s="41">
        <f t="shared" si="28"/>
        <v>0</v>
      </c>
      <c r="J518" s="4" t="s">
        <v>16</v>
      </c>
      <c r="K518" s="43" t="str">
        <f>IF(VLOOKUP(J518,βοηθητικό!$J$2:$N$354,3,FALSE)="","",VLOOKUP(J518,βοηθητικό!$J$2:$N$354,3,FALSE))</f>
        <v>_</v>
      </c>
      <c r="L518" s="44"/>
      <c r="M518" s="5" t="s">
        <v>16</v>
      </c>
      <c r="N518" s="46" t="str">
        <f>IF(VLOOKUP(M518,βοηθητικό!$J$2:$N$354,3,FALSE)="","",VLOOKUP(M518,βοηθητικό!$J$2:$N$354,3,FALSE))</f>
        <v>_</v>
      </c>
      <c r="O518" s="47"/>
      <c r="P518" s="4" t="s">
        <v>16</v>
      </c>
      <c r="Q518" s="43" t="str">
        <f>IF(VLOOKUP(P518,βοηθητικό!$J$2:$N$354,3,FALSE)="","",VLOOKUP(P518,βοηθητικό!$J$2:$N$354,3,FALSE))</f>
        <v>_</v>
      </c>
      <c r="R518" s="44"/>
      <c r="S518" s="5" t="s">
        <v>16</v>
      </c>
      <c r="T518" s="46" t="str">
        <f>IF(VLOOKUP(S518,βοηθητικό!$J$2:$N$354,3,FALSE)="","",VLOOKUP(S518,βοηθητικό!$J$2:$N$354,3,FALSE))</f>
        <v>_</v>
      </c>
      <c r="U518" s="47"/>
      <c r="V518" s="4" t="s">
        <v>16</v>
      </c>
      <c r="W518" s="43" t="str">
        <f>IF(VLOOKUP(V518,βοηθητικό!$J$2:$N$354,3,FALSE)="","",VLOOKUP(V518,βοηθητικό!$J$2:$N$354,3,FALSE))</f>
        <v>_</v>
      </c>
      <c r="X518" s="44"/>
      <c r="Y518" s="5" t="s">
        <v>16</v>
      </c>
      <c r="Z518" s="46" t="str">
        <f>IF(VLOOKUP(Y518,βοηθητικό!$J$2:$N$354,3,FALSE)="","",VLOOKUP(Y518,βοηθητικό!$J$2:$N$354,3,FALSE))</f>
        <v>_</v>
      </c>
      <c r="AA518" s="47"/>
      <c r="AB518" s="4" t="s">
        <v>16</v>
      </c>
      <c r="AC518" s="43" t="str">
        <f>IF(VLOOKUP(AB518,βοηθητικό!$J$2:$N$354,3,FALSE)="","",VLOOKUP(AB518,βοηθητικό!$J$2:$N$354,3,FALSE))</f>
        <v>_</v>
      </c>
      <c r="AD518" s="44"/>
      <c r="AE518" s="5" t="s">
        <v>16</v>
      </c>
      <c r="AF518" s="46" t="str">
        <f>IF(VLOOKUP(AE518,βοηθητικό!$J$2:$N$354,3,FALSE)="","",VLOOKUP(AE518,βοηθητικό!$J$2:$N$354,3,FALSE))</f>
        <v>_</v>
      </c>
      <c r="AG518" s="47"/>
      <c r="AH518" s="4" t="s">
        <v>16</v>
      </c>
      <c r="AI518" s="43" t="str">
        <f>IF(VLOOKUP(AH518,βοηθητικό!$J$2:$N$354,3,FALSE)="","",VLOOKUP(AH518,βοηθητικό!$J$2:$N$354,3,FALSE))</f>
        <v>_</v>
      </c>
      <c r="AJ518" s="44"/>
      <c r="AK518" s="5" t="s">
        <v>16</v>
      </c>
      <c r="AL518" s="46" t="str">
        <f>IF(VLOOKUP(AK518,βοηθητικό!$J$2:$N$354,3,FALSE)="","",VLOOKUP(AK518,βοηθητικό!$J$2:$N$354,3,FALSE))</f>
        <v>_</v>
      </c>
      <c r="AM518" s="47"/>
      <c r="AN518" s="4" t="s">
        <v>16</v>
      </c>
      <c r="AO518" s="43" t="str">
        <f>IF(VLOOKUP(AN518,βοηθητικό!$J$2:$N$354,3,FALSE)="","",VLOOKUP(AN518,βοηθητικό!$J$2:$N$354,3,FALSE))</f>
        <v>_</v>
      </c>
      <c r="AP518" s="44"/>
      <c r="AQ518" s="5" t="s">
        <v>16</v>
      </c>
      <c r="AR518" s="46" t="str">
        <f>IF(VLOOKUP(AQ518,βοηθητικό!$J$2:$N$354,3,FALSE)="","",VLOOKUP(AQ518,βοηθητικό!$J$2:$N$354,3,FALSE))</f>
        <v>_</v>
      </c>
      <c r="AS518" s="47"/>
      <c r="AT518" s="4" t="s">
        <v>16</v>
      </c>
      <c r="AU518" s="43" t="str">
        <f>IF(VLOOKUP(AT518,βοηθητικό!$J$2:$N$354,3,FALSE)="","",VLOOKUP(AT518,βοηθητικό!$J$2:$N$354,3,FALSE))</f>
        <v>_</v>
      </c>
      <c r="AV518" s="44"/>
      <c r="AW518" s="5" t="s">
        <v>16</v>
      </c>
      <c r="AX518" s="46" t="str">
        <f>IF(VLOOKUP(AW518,βοηθητικό!$J$2:$N$354,3,FALSE)="","",VLOOKUP(AW518,βοηθητικό!$J$2:$N$354,3,FALSE))</f>
        <v>_</v>
      </c>
      <c r="AY518" s="47"/>
      <c r="AZ518" s="4" t="s">
        <v>16</v>
      </c>
      <c r="BA518" s="43" t="str">
        <f>IF(VLOOKUP(AZ518,βοηθητικό!$J$2:$N$354,3,FALSE)="","",VLOOKUP(AZ518,βοηθητικό!$J$2:$N$354,3,FALSE))</f>
        <v>_</v>
      </c>
      <c r="BB518" s="44"/>
      <c r="BC518" s="45" t="s">
        <v>16</v>
      </c>
      <c r="BD518" s="46" t="str">
        <f>IF(VLOOKUP(BC518,βοηθητικό!$J$2:$N$354,3,FALSE)="","",VLOOKUP(BC518,βοηθητικό!$J$2:$N$354,3,FALSE))</f>
        <v>_</v>
      </c>
      <c r="BE518" s="47"/>
      <c r="BF518" s="42" t="s">
        <v>16</v>
      </c>
      <c r="BG518" s="43" t="str">
        <f>IF(VLOOKUP(BF518,βοηθητικό!$J$2:$N$354,3,FALSE)="","",VLOOKUP(BF518,βοηθητικό!$J$2:$N$354,3,FALSE))</f>
        <v>_</v>
      </c>
      <c r="BH518" s="44"/>
      <c r="BI518" s="45" t="s">
        <v>16</v>
      </c>
      <c r="BJ518" s="46" t="str">
        <f>IF(VLOOKUP(BI518,βοηθητικό!$J$2:$N$354,3,FALSE)="","",VLOOKUP(BI518,βοηθητικό!$J$2:$N$354,3,FALSE))</f>
        <v>_</v>
      </c>
      <c r="BK518" s="47"/>
      <c r="BL518" s="42" t="s">
        <v>16</v>
      </c>
      <c r="BM518" s="43" t="str">
        <f>IF(VLOOKUP(BL518,βοηθητικό!$J$2:$N$354,3,FALSE)="","",VLOOKUP(BL518,βοηθητικό!$J$2:$N$354,3,FALSE))</f>
        <v>_</v>
      </c>
      <c r="BN518" s="44"/>
      <c r="BO518" s="45" t="s">
        <v>16</v>
      </c>
      <c r="BP518" s="46" t="str">
        <f>IF(VLOOKUP(BO518,βοηθητικό!$J$2:$N$354,3,FALSE)="","",VLOOKUP(BO518,βοηθητικό!$J$2:$N$354,3,FALSE))</f>
        <v>_</v>
      </c>
      <c r="BQ518" s="47"/>
      <c r="BR518" s="42" t="s">
        <v>16</v>
      </c>
      <c r="BS518" s="43" t="str">
        <f>IF(VLOOKUP(BR518,βοηθητικό!$J$2:$N$354,3,FALSE)="","",VLOOKUP(BR518,βοηθητικό!$J$2:$N$354,3,FALSE))</f>
        <v>_</v>
      </c>
      <c r="BT518" s="44"/>
      <c r="BU518" s="45" t="s">
        <v>16</v>
      </c>
      <c r="BV518" s="46" t="str">
        <f>IF(VLOOKUP(BU518,βοηθητικό!$J$2:$N$354,3,FALSE)="","",VLOOKUP(BU518,βοηθητικό!$J$2:$N$354,3,FALSE))</f>
        <v>_</v>
      </c>
      <c r="BW518" s="47"/>
      <c r="BX518" s="42" t="s">
        <v>16</v>
      </c>
      <c r="BY518" s="43" t="str">
        <f>IF(VLOOKUP(BX518,βοηθητικό!$J$2:$N$354,3,FALSE)="","",VLOOKUP(BX518,βοηθητικό!$J$2:$N$354,3,FALSE))</f>
        <v>_</v>
      </c>
      <c r="BZ518" s="44"/>
      <c r="CA518" s="45" t="s">
        <v>16</v>
      </c>
      <c r="CB518" s="46" t="str">
        <f>IF(VLOOKUP(CA518,βοηθητικό!$J$2:$N$354,3,FALSE)="","",VLOOKUP(CA518,βοηθητικό!$J$2:$N$354,3,FALSE))</f>
        <v>_</v>
      </c>
      <c r="CC518" s="47"/>
      <c r="CD518" s="42" t="s">
        <v>16</v>
      </c>
      <c r="CE518" s="43" t="str">
        <f>IF(VLOOKUP(CD518,βοηθητικό!$J$2:$N$354,3,FALSE)="","",VLOOKUP(CD518,βοηθητικό!$J$2:$N$354,3,FALSE))</f>
        <v>_</v>
      </c>
      <c r="CF518" s="44"/>
      <c r="CG518" s="45" t="s">
        <v>16</v>
      </c>
      <c r="CH518" s="46" t="str">
        <f>IF(VLOOKUP(CG518,βοηθητικό!$J$2:$N$354,3,FALSE)="","",VLOOKUP(CG518,βοηθητικό!$J$2:$N$354,3,FALSE))</f>
        <v>_</v>
      </c>
      <c r="CI518" s="47"/>
      <c r="CJ518" s="42" t="s">
        <v>16</v>
      </c>
      <c r="CK518" s="43" t="str">
        <f>IF(VLOOKUP(CJ518,βοηθητικό!$J$2:$N$354,3,FALSE)="","",VLOOKUP(CJ518,βοηθητικό!$J$2:$N$354,3,FALSE))</f>
        <v>_</v>
      </c>
      <c r="CL518" s="44"/>
      <c r="CM518" s="45" t="s">
        <v>16</v>
      </c>
      <c r="CN518" s="46" t="str">
        <f>IF(VLOOKUP(CM518,βοηθητικό!$J$2:$N$354,3,FALSE)="","",VLOOKUP(CM518,βοηθητικό!$J$2:$N$354,3,FALSE))</f>
        <v>_</v>
      </c>
      <c r="CO518" s="47"/>
      <c r="CP518" s="42" t="s">
        <v>16</v>
      </c>
      <c r="CQ518" s="43" t="str">
        <f>IF(VLOOKUP(CP518,βοηθητικό!$J$2:$N$354,3,FALSE)="","",VLOOKUP(CP518,βοηθητικό!$J$2:$N$354,3,FALSE))</f>
        <v>_</v>
      </c>
      <c r="CR518" s="44"/>
      <c r="CS518" s="45" t="s">
        <v>16</v>
      </c>
      <c r="CT518" s="46" t="str">
        <f>IF(VLOOKUP(CS518,βοηθητικό!$J$2:$N$354,3,FALSE)="","",VLOOKUP(CS518,βοηθητικό!$J$2:$N$354,3,FALSE))</f>
        <v>_</v>
      </c>
      <c r="CU518" s="47"/>
    </row>
    <row r="519" spans="1:99" x14ac:dyDescent="0.25">
      <c r="A519" s="37">
        <f>--SUBTOTAL(3,$B$3:B518)</f>
        <v>198</v>
      </c>
      <c r="B519" s="2"/>
      <c r="C519" s="3"/>
      <c r="D519" s="55" t="s">
        <v>18</v>
      </c>
      <c r="E519" s="38" t="s">
        <v>16</v>
      </c>
      <c r="F519" s="38"/>
      <c r="G519" s="39" t="str">
        <f t="shared" si="26"/>
        <v>__</v>
      </c>
      <c r="H519" s="40" t="str">
        <f t="shared" si="27"/>
        <v>FALSE</v>
      </c>
      <c r="I519" s="41">
        <f t="shared" si="28"/>
        <v>0</v>
      </c>
      <c r="J519" s="4" t="s">
        <v>16</v>
      </c>
      <c r="K519" s="43" t="str">
        <f>IF(VLOOKUP(J519,βοηθητικό!$J$2:$N$354,3,FALSE)="","",VLOOKUP(J519,βοηθητικό!$J$2:$N$354,3,FALSE))</f>
        <v>_</v>
      </c>
      <c r="L519" s="44"/>
      <c r="M519" s="5" t="s">
        <v>16</v>
      </c>
      <c r="N519" s="46" t="str">
        <f>IF(VLOOKUP(M519,βοηθητικό!$J$2:$N$354,3,FALSE)="","",VLOOKUP(M519,βοηθητικό!$J$2:$N$354,3,FALSE))</f>
        <v>_</v>
      </c>
      <c r="O519" s="47"/>
      <c r="P519" s="4" t="s">
        <v>16</v>
      </c>
      <c r="Q519" s="43" t="str">
        <f>IF(VLOOKUP(P519,βοηθητικό!$J$2:$N$354,3,FALSE)="","",VLOOKUP(P519,βοηθητικό!$J$2:$N$354,3,FALSE))</f>
        <v>_</v>
      </c>
      <c r="R519" s="44"/>
      <c r="S519" s="5" t="s">
        <v>16</v>
      </c>
      <c r="T519" s="46" t="str">
        <f>IF(VLOOKUP(S519,βοηθητικό!$J$2:$N$354,3,FALSE)="","",VLOOKUP(S519,βοηθητικό!$J$2:$N$354,3,FALSE))</f>
        <v>_</v>
      </c>
      <c r="U519" s="47"/>
      <c r="V519" s="4" t="s">
        <v>16</v>
      </c>
      <c r="W519" s="43" t="str">
        <f>IF(VLOOKUP(V519,βοηθητικό!$J$2:$N$354,3,FALSE)="","",VLOOKUP(V519,βοηθητικό!$J$2:$N$354,3,FALSE))</f>
        <v>_</v>
      </c>
      <c r="X519" s="44"/>
      <c r="Y519" s="5" t="s">
        <v>16</v>
      </c>
      <c r="Z519" s="46" t="str">
        <f>IF(VLOOKUP(Y519,βοηθητικό!$J$2:$N$354,3,FALSE)="","",VLOOKUP(Y519,βοηθητικό!$J$2:$N$354,3,FALSE))</f>
        <v>_</v>
      </c>
      <c r="AA519" s="47"/>
      <c r="AB519" s="4" t="s">
        <v>16</v>
      </c>
      <c r="AC519" s="43" t="str">
        <f>IF(VLOOKUP(AB519,βοηθητικό!$J$2:$N$354,3,FALSE)="","",VLOOKUP(AB519,βοηθητικό!$J$2:$N$354,3,FALSE))</f>
        <v>_</v>
      </c>
      <c r="AD519" s="44"/>
      <c r="AE519" s="5" t="s">
        <v>16</v>
      </c>
      <c r="AF519" s="46" t="str">
        <f>IF(VLOOKUP(AE519,βοηθητικό!$J$2:$N$354,3,FALSE)="","",VLOOKUP(AE519,βοηθητικό!$J$2:$N$354,3,FALSE))</f>
        <v>_</v>
      </c>
      <c r="AG519" s="47"/>
      <c r="AH519" s="4" t="s">
        <v>16</v>
      </c>
      <c r="AI519" s="43" t="str">
        <f>IF(VLOOKUP(AH519,βοηθητικό!$J$2:$N$354,3,FALSE)="","",VLOOKUP(AH519,βοηθητικό!$J$2:$N$354,3,FALSE))</f>
        <v>_</v>
      </c>
      <c r="AJ519" s="44"/>
      <c r="AK519" s="5" t="s">
        <v>16</v>
      </c>
      <c r="AL519" s="46" t="str">
        <f>IF(VLOOKUP(AK519,βοηθητικό!$J$2:$N$354,3,FALSE)="","",VLOOKUP(AK519,βοηθητικό!$J$2:$N$354,3,FALSE))</f>
        <v>_</v>
      </c>
      <c r="AM519" s="47"/>
      <c r="AN519" s="4" t="s">
        <v>16</v>
      </c>
      <c r="AO519" s="43" t="str">
        <f>IF(VLOOKUP(AN519,βοηθητικό!$J$2:$N$354,3,FALSE)="","",VLOOKUP(AN519,βοηθητικό!$J$2:$N$354,3,FALSE))</f>
        <v>_</v>
      </c>
      <c r="AP519" s="44"/>
      <c r="AQ519" s="5" t="s">
        <v>16</v>
      </c>
      <c r="AR519" s="46" t="str">
        <f>IF(VLOOKUP(AQ519,βοηθητικό!$J$2:$N$354,3,FALSE)="","",VLOOKUP(AQ519,βοηθητικό!$J$2:$N$354,3,FALSE))</f>
        <v>_</v>
      </c>
      <c r="AS519" s="47"/>
      <c r="AT519" s="4" t="s">
        <v>16</v>
      </c>
      <c r="AU519" s="43" t="str">
        <f>IF(VLOOKUP(AT519,βοηθητικό!$J$2:$N$354,3,FALSE)="","",VLOOKUP(AT519,βοηθητικό!$J$2:$N$354,3,FALSE))</f>
        <v>_</v>
      </c>
      <c r="AV519" s="44"/>
      <c r="AW519" s="5" t="s">
        <v>16</v>
      </c>
      <c r="AX519" s="46" t="str">
        <f>IF(VLOOKUP(AW519,βοηθητικό!$J$2:$N$354,3,FALSE)="","",VLOOKUP(AW519,βοηθητικό!$J$2:$N$354,3,FALSE))</f>
        <v>_</v>
      </c>
      <c r="AY519" s="47"/>
      <c r="AZ519" s="4" t="s">
        <v>16</v>
      </c>
      <c r="BA519" s="43" t="str">
        <f>IF(VLOOKUP(AZ519,βοηθητικό!$J$2:$N$354,3,FALSE)="","",VLOOKUP(AZ519,βοηθητικό!$J$2:$N$354,3,FALSE))</f>
        <v>_</v>
      </c>
      <c r="BB519" s="44"/>
      <c r="BC519" s="45" t="s">
        <v>16</v>
      </c>
      <c r="BD519" s="46" t="str">
        <f>IF(VLOOKUP(BC519,βοηθητικό!$J$2:$N$354,3,FALSE)="","",VLOOKUP(BC519,βοηθητικό!$J$2:$N$354,3,FALSE))</f>
        <v>_</v>
      </c>
      <c r="BE519" s="47"/>
      <c r="BF519" s="42" t="s">
        <v>16</v>
      </c>
      <c r="BG519" s="43" t="str">
        <f>IF(VLOOKUP(BF519,βοηθητικό!$J$2:$N$354,3,FALSE)="","",VLOOKUP(BF519,βοηθητικό!$J$2:$N$354,3,FALSE))</f>
        <v>_</v>
      </c>
      <c r="BH519" s="44"/>
      <c r="BI519" s="45" t="s">
        <v>16</v>
      </c>
      <c r="BJ519" s="46" t="str">
        <f>IF(VLOOKUP(BI519,βοηθητικό!$J$2:$N$354,3,FALSE)="","",VLOOKUP(BI519,βοηθητικό!$J$2:$N$354,3,FALSE))</f>
        <v>_</v>
      </c>
      <c r="BK519" s="47"/>
      <c r="BL519" s="42" t="s">
        <v>16</v>
      </c>
      <c r="BM519" s="43" t="str">
        <f>IF(VLOOKUP(BL519,βοηθητικό!$J$2:$N$354,3,FALSE)="","",VLOOKUP(BL519,βοηθητικό!$J$2:$N$354,3,FALSE))</f>
        <v>_</v>
      </c>
      <c r="BN519" s="44"/>
      <c r="BO519" s="45" t="s">
        <v>16</v>
      </c>
      <c r="BP519" s="46" t="str">
        <f>IF(VLOOKUP(BO519,βοηθητικό!$J$2:$N$354,3,FALSE)="","",VLOOKUP(BO519,βοηθητικό!$J$2:$N$354,3,FALSE))</f>
        <v>_</v>
      </c>
      <c r="BQ519" s="47"/>
      <c r="BR519" s="42" t="s">
        <v>16</v>
      </c>
      <c r="BS519" s="43" t="str">
        <f>IF(VLOOKUP(BR519,βοηθητικό!$J$2:$N$354,3,FALSE)="","",VLOOKUP(BR519,βοηθητικό!$J$2:$N$354,3,FALSE))</f>
        <v>_</v>
      </c>
      <c r="BT519" s="44"/>
      <c r="BU519" s="45" t="s">
        <v>16</v>
      </c>
      <c r="BV519" s="46" t="str">
        <f>IF(VLOOKUP(BU519,βοηθητικό!$J$2:$N$354,3,FALSE)="","",VLOOKUP(BU519,βοηθητικό!$J$2:$N$354,3,FALSE))</f>
        <v>_</v>
      </c>
      <c r="BW519" s="47"/>
      <c r="BX519" s="42" t="s">
        <v>16</v>
      </c>
      <c r="BY519" s="43" t="str">
        <f>IF(VLOOKUP(BX519,βοηθητικό!$J$2:$N$354,3,FALSE)="","",VLOOKUP(BX519,βοηθητικό!$J$2:$N$354,3,FALSE))</f>
        <v>_</v>
      </c>
      <c r="BZ519" s="44"/>
      <c r="CA519" s="45" t="s">
        <v>16</v>
      </c>
      <c r="CB519" s="46" t="str">
        <f>IF(VLOOKUP(CA519,βοηθητικό!$J$2:$N$354,3,FALSE)="","",VLOOKUP(CA519,βοηθητικό!$J$2:$N$354,3,FALSE))</f>
        <v>_</v>
      </c>
      <c r="CC519" s="47"/>
      <c r="CD519" s="42" t="s">
        <v>16</v>
      </c>
      <c r="CE519" s="43" t="str">
        <f>IF(VLOOKUP(CD519,βοηθητικό!$J$2:$N$354,3,FALSE)="","",VLOOKUP(CD519,βοηθητικό!$J$2:$N$354,3,FALSE))</f>
        <v>_</v>
      </c>
      <c r="CF519" s="44"/>
      <c r="CG519" s="45" t="s">
        <v>16</v>
      </c>
      <c r="CH519" s="46" t="str">
        <f>IF(VLOOKUP(CG519,βοηθητικό!$J$2:$N$354,3,FALSE)="","",VLOOKUP(CG519,βοηθητικό!$J$2:$N$354,3,FALSE))</f>
        <v>_</v>
      </c>
      <c r="CI519" s="47"/>
      <c r="CJ519" s="42" t="s">
        <v>16</v>
      </c>
      <c r="CK519" s="43" t="str">
        <f>IF(VLOOKUP(CJ519,βοηθητικό!$J$2:$N$354,3,FALSE)="","",VLOOKUP(CJ519,βοηθητικό!$J$2:$N$354,3,FALSE))</f>
        <v>_</v>
      </c>
      <c r="CL519" s="44"/>
      <c r="CM519" s="45" t="s">
        <v>16</v>
      </c>
      <c r="CN519" s="46" t="str">
        <f>IF(VLOOKUP(CM519,βοηθητικό!$J$2:$N$354,3,FALSE)="","",VLOOKUP(CM519,βοηθητικό!$J$2:$N$354,3,FALSE))</f>
        <v>_</v>
      </c>
      <c r="CO519" s="47"/>
      <c r="CP519" s="42" t="s">
        <v>16</v>
      </c>
      <c r="CQ519" s="43" t="str">
        <f>IF(VLOOKUP(CP519,βοηθητικό!$J$2:$N$354,3,FALSE)="","",VLOOKUP(CP519,βοηθητικό!$J$2:$N$354,3,FALSE))</f>
        <v>_</v>
      </c>
      <c r="CR519" s="44"/>
      <c r="CS519" s="45" t="s">
        <v>16</v>
      </c>
      <c r="CT519" s="46" t="str">
        <f>IF(VLOOKUP(CS519,βοηθητικό!$J$2:$N$354,3,FALSE)="","",VLOOKUP(CS519,βοηθητικό!$J$2:$N$354,3,FALSE))</f>
        <v>_</v>
      </c>
      <c r="CU519" s="47"/>
    </row>
    <row r="520" spans="1:99" x14ac:dyDescent="0.25">
      <c r="A520" s="37">
        <f>--SUBTOTAL(3,$B$3:B519)</f>
        <v>198</v>
      </c>
      <c r="B520" s="2"/>
      <c r="C520" s="3"/>
      <c r="D520" s="55" t="s">
        <v>18</v>
      </c>
      <c r="E520" s="38" t="s">
        <v>16</v>
      </c>
      <c r="F520" s="38"/>
      <c r="G520" s="39" t="str">
        <f t="shared" si="26"/>
        <v>__</v>
      </c>
      <c r="H520" s="40" t="str">
        <f t="shared" si="27"/>
        <v>FALSE</v>
      </c>
      <c r="I520" s="41">
        <f t="shared" si="28"/>
        <v>0</v>
      </c>
      <c r="J520" s="4" t="s">
        <v>16</v>
      </c>
      <c r="K520" s="43" t="str">
        <f>IF(VLOOKUP(J520,βοηθητικό!$J$2:$N$354,3,FALSE)="","",VLOOKUP(J520,βοηθητικό!$J$2:$N$354,3,FALSE))</f>
        <v>_</v>
      </c>
      <c r="L520" s="44"/>
      <c r="M520" s="5" t="s">
        <v>16</v>
      </c>
      <c r="N520" s="46" t="str">
        <f>IF(VLOOKUP(M520,βοηθητικό!$J$2:$N$354,3,FALSE)="","",VLOOKUP(M520,βοηθητικό!$J$2:$N$354,3,FALSE))</f>
        <v>_</v>
      </c>
      <c r="O520" s="47"/>
      <c r="P520" s="4" t="s">
        <v>16</v>
      </c>
      <c r="Q520" s="43" t="str">
        <f>IF(VLOOKUP(P520,βοηθητικό!$J$2:$N$354,3,FALSE)="","",VLOOKUP(P520,βοηθητικό!$J$2:$N$354,3,FALSE))</f>
        <v>_</v>
      </c>
      <c r="R520" s="44"/>
      <c r="S520" s="5" t="s">
        <v>16</v>
      </c>
      <c r="T520" s="46" t="str">
        <f>IF(VLOOKUP(S520,βοηθητικό!$J$2:$N$354,3,FALSE)="","",VLOOKUP(S520,βοηθητικό!$J$2:$N$354,3,FALSE))</f>
        <v>_</v>
      </c>
      <c r="U520" s="47"/>
      <c r="V520" s="4" t="s">
        <v>16</v>
      </c>
      <c r="W520" s="43" t="str">
        <f>IF(VLOOKUP(V520,βοηθητικό!$J$2:$N$354,3,FALSE)="","",VLOOKUP(V520,βοηθητικό!$J$2:$N$354,3,FALSE))</f>
        <v>_</v>
      </c>
      <c r="X520" s="44"/>
      <c r="Y520" s="5" t="s">
        <v>16</v>
      </c>
      <c r="Z520" s="46" t="str">
        <f>IF(VLOOKUP(Y520,βοηθητικό!$J$2:$N$354,3,FALSE)="","",VLOOKUP(Y520,βοηθητικό!$J$2:$N$354,3,FALSE))</f>
        <v>_</v>
      </c>
      <c r="AA520" s="47"/>
      <c r="AB520" s="4" t="s">
        <v>16</v>
      </c>
      <c r="AC520" s="43" t="str">
        <f>IF(VLOOKUP(AB520,βοηθητικό!$J$2:$N$354,3,FALSE)="","",VLOOKUP(AB520,βοηθητικό!$J$2:$N$354,3,FALSE))</f>
        <v>_</v>
      </c>
      <c r="AD520" s="44"/>
      <c r="AE520" s="5" t="s">
        <v>16</v>
      </c>
      <c r="AF520" s="46" t="str">
        <f>IF(VLOOKUP(AE520,βοηθητικό!$J$2:$N$354,3,FALSE)="","",VLOOKUP(AE520,βοηθητικό!$J$2:$N$354,3,FALSE))</f>
        <v>_</v>
      </c>
      <c r="AG520" s="47"/>
      <c r="AH520" s="4" t="s">
        <v>16</v>
      </c>
      <c r="AI520" s="43" t="str">
        <f>IF(VLOOKUP(AH520,βοηθητικό!$J$2:$N$354,3,FALSE)="","",VLOOKUP(AH520,βοηθητικό!$J$2:$N$354,3,FALSE))</f>
        <v>_</v>
      </c>
      <c r="AJ520" s="44"/>
      <c r="AK520" s="5" t="s">
        <v>16</v>
      </c>
      <c r="AL520" s="46" t="str">
        <f>IF(VLOOKUP(AK520,βοηθητικό!$J$2:$N$354,3,FALSE)="","",VLOOKUP(AK520,βοηθητικό!$J$2:$N$354,3,FALSE))</f>
        <v>_</v>
      </c>
      <c r="AM520" s="47"/>
      <c r="AN520" s="4" t="s">
        <v>16</v>
      </c>
      <c r="AO520" s="43" t="str">
        <f>IF(VLOOKUP(AN520,βοηθητικό!$J$2:$N$354,3,FALSE)="","",VLOOKUP(AN520,βοηθητικό!$J$2:$N$354,3,FALSE))</f>
        <v>_</v>
      </c>
      <c r="AP520" s="44"/>
      <c r="AQ520" s="5" t="s">
        <v>16</v>
      </c>
      <c r="AR520" s="46" t="str">
        <f>IF(VLOOKUP(AQ520,βοηθητικό!$J$2:$N$354,3,FALSE)="","",VLOOKUP(AQ520,βοηθητικό!$J$2:$N$354,3,FALSE))</f>
        <v>_</v>
      </c>
      <c r="AS520" s="47"/>
      <c r="AT520" s="4" t="s">
        <v>16</v>
      </c>
      <c r="AU520" s="43" t="str">
        <f>IF(VLOOKUP(AT520,βοηθητικό!$J$2:$N$354,3,FALSE)="","",VLOOKUP(AT520,βοηθητικό!$J$2:$N$354,3,FALSE))</f>
        <v>_</v>
      </c>
      <c r="AV520" s="44"/>
      <c r="AW520" s="5" t="s">
        <v>16</v>
      </c>
      <c r="AX520" s="46" t="str">
        <f>IF(VLOOKUP(AW520,βοηθητικό!$J$2:$N$354,3,FALSE)="","",VLOOKUP(AW520,βοηθητικό!$J$2:$N$354,3,FALSE))</f>
        <v>_</v>
      </c>
      <c r="AY520" s="47"/>
      <c r="AZ520" s="4" t="s">
        <v>16</v>
      </c>
      <c r="BA520" s="43" t="str">
        <f>IF(VLOOKUP(AZ520,βοηθητικό!$J$2:$N$354,3,FALSE)="","",VLOOKUP(AZ520,βοηθητικό!$J$2:$N$354,3,FALSE))</f>
        <v>_</v>
      </c>
      <c r="BB520" s="44"/>
      <c r="BC520" s="45" t="s">
        <v>16</v>
      </c>
      <c r="BD520" s="46" t="str">
        <f>IF(VLOOKUP(BC520,βοηθητικό!$J$2:$N$354,3,FALSE)="","",VLOOKUP(BC520,βοηθητικό!$J$2:$N$354,3,FALSE))</f>
        <v>_</v>
      </c>
      <c r="BE520" s="47"/>
      <c r="BF520" s="42" t="s">
        <v>16</v>
      </c>
      <c r="BG520" s="43" t="str">
        <f>IF(VLOOKUP(BF520,βοηθητικό!$J$2:$N$354,3,FALSE)="","",VLOOKUP(BF520,βοηθητικό!$J$2:$N$354,3,FALSE))</f>
        <v>_</v>
      </c>
      <c r="BH520" s="44"/>
      <c r="BI520" s="45" t="s">
        <v>16</v>
      </c>
      <c r="BJ520" s="46" t="str">
        <f>IF(VLOOKUP(BI520,βοηθητικό!$J$2:$N$354,3,FALSE)="","",VLOOKUP(BI520,βοηθητικό!$J$2:$N$354,3,FALSE))</f>
        <v>_</v>
      </c>
      <c r="BK520" s="47"/>
      <c r="BL520" s="42" t="s">
        <v>16</v>
      </c>
      <c r="BM520" s="43" t="str">
        <f>IF(VLOOKUP(BL520,βοηθητικό!$J$2:$N$354,3,FALSE)="","",VLOOKUP(BL520,βοηθητικό!$J$2:$N$354,3,FALSE))</f>
        <v>_</v>
      </c>
      <c r="BN520" s="44"/>
      <c r="BO520" s="45" t="s">
        <v>16</v>
      </c>
      <c r="BP520" s="46" t="str">
        <f>IF(VLOOKUP(BO520,βοηθητικό!$J$2:$N$354,3,FALSE)="","",VLOOKUP(BO520,βοηθητικό!$J$2:$N$354,3,FALSE))</f>
        <v>_</v>
      </c>
      <c r="BQ520" s="47"/>
      <c r="BR520" s="42" t="s">
        <v>16</v>
      </c>
      <c r="BS520" s="43" t="str">
        <f>IF(VLOOKUP(BR520,βοηθητικό!$J$2:$N$354,3,FALSE)="","",VLOOKUP(BR520,βοηθητικό!$J$2:$N$354,3,FALSE))</f>
        <v>_</v>
      </c>
      <c r="BT520" s="44"/>
      <c r="BU520" s="45" t="s">
        <v>16</v>
      </c>
      <c r="BV520" s="46" t="str">
        <f>IF(VLOOKUP(BU520,βοηθητικό!$J$2:$N$354,3,FALSE)="","",VLOOKUP(BU520,βοηθητικό!$J$2:$N$354,3,FALSE))</f>
        <v>_</v>
      </c>
      <c r="BW520" s="47"/>
      <c r="BX520" s="42" t="s">
        <v>16</v>
      </c>
      <c r="BY520" s="43" t="str">
        <f>IF(VLOOKUP(BX520,βοηθητικό!$J$2:$N$354,3,FALSE)="","",VLOOKUP(BX520,βοηθητικό!$J$2:$N$354,3,FALSE))</f>
        <v>_</v>
      </c>
      <c r="BZ520" s="44"/>
      <c r="CA520" s="45" t="s">
        <v>16</v>
      </c>
      <c r="CB520" s="46" t="str">
        <f>IF(VLOOKUP(CA520,βοηθητικό!$J$2:$N$354,3,FALSE)="","",VLOOKUP(CA520,βοηθητικό!$J$2:$N$354,3,FALSE))</f>
        <v>_</v>
      </c>
      <c r="CC520" s="47"/>
      <c r="CD520" s="42" t="s">
        <v>16</v>
      </c>
      <c r="CE520" s="43" t="str">
        <f>IF(VLOOKUP(CD520,βοηθητικό!$J$2:$N$354,3,FALSE)="","",VLOOKUP(CD520,βοηθητικό!$J$2:$N$354,3,FALSE))</f>
        <v>_</v>
      </c>
      <c r="CF520" s="44"/>
      <c r="CG520" s="45" t="s">
        <v>16</v>
      </c>
      <c r="CH520" s="46" t="str">
        <f>IF(VLOOKUP(CG520,βοηθητικό!$J$2:$N$354,3,FALSE)="","",VLOOKUP(CG520,βοηθητικό!$J$2:$N$354,3,FALSE))</f>
        <v>_</v>
      </c>
      <c r="CI520" s="47"/>
      <c r="CJ520" s="42" t="s">
        <v>16</v>
      </c>
      <c r="CK520" s="43" t="str">
        <f>IF(VLOOKUP(CJ520,βοηθητικό!$J$2:$N$354,3,FALSE)="","",VLOOKUP(CJ520,βοηθητικό!$J$2:$N$354,3,FALSE))</f>
        <v>_</v>
      </c>
      <c r="CL520" s="44"/>
      <c r="CM520" s="45" t="s">
        <v>16</v>
      </c>
      <c r="CN520" s="46" t="str">
        <f>IF(VLOOKUP(CM520,βοηθητικό!$J$2:$N$354,3,FALSE)="","",VLOOKUP(CM520,βοηθητικό!$J$2:$N$354,3,FALSE))</f>
        <v>_</v>
      </c>
      <c r="CO520" s="47"/>
      <c r="CP520" s="42" t="s">
        <v>16</v>
      </c>
      <c r="CQ520" s="43" t="str">
        <f>IF(VLOOKUP(CP520,βοηθητικό!$J$2:$N$354,3,FALSE)="","",VLOOKUP(CP520,βοηθητικό!$J$2:$N$354,3,FALSE))</f>
        <v>_</v>
      </c>
      <c r="CR520" s="44"/>
      <c r="CS520" s="45" t="s">
        <v>16</v>
      </c>
      <c r="CT520" s="46" t="str">
        <f>IF(VLOOKUP(CS520,βοηθητικό!$J$2:$N$354,3,FALSE)="","",VLOOKUP(CS520,βοηθητικό!$J$2:$N$354,3,FALSE))</f>
        <v>_</v>
      </c>
      <c r="CU520" s="47"/>
    </row>
    <row r="521" spans="1:99" x14ac:dyDescent="0.25">
      <c r="A521" s="37">
        <f>--SUBTOTAL(3,$B$3:B520)</f>
        <v>198</v>
      </c>
      <c r="B521" s="2"/>
      <c r="C521" s="3"/>
      <c r="D521" s="55" t="s">
        <v>18</v>
      </c>
      <c r="E521" s="38" t="s">
        <v>16</v>
      </c>
      <c r="F521" s="38"/>
      <c r="G521" s="39" t="str">
        <f t="shared" si="26"/>
        <v>__</v>
      </c>
      <c r="H521" s="40" t="str">
        <f t="shared" si="27"/>
        <v>FALSE</v>
      </c>
      <c r="I521" s="41">
        <f t="shared" si="28"/>
        <v>0</v>
      </c>
      <c r="J521" s="4" t="s">
        <v>16</v>
      </c>
      <c r="K521" s="43" t="str">
        <f>IF(VLOOKUP(J521,βοηθητικό!$J$2:$N$354,3,FALSE)="","",VLOOKUP(J521,βοηθητικό!$J$2:$N$354,3,FALSE))</f>
        <v>_</v>
      </c>
      <c r="L521" s="44"/>
      <c r="M521" s="5" t="s">
        <v>16</v>
      </c>
      <c r="N521" s="46" t="str">
        <f>IF(VLOOKUP(M521,βοηθητικό!$J$2:$N$354,3,FALSE)="","",VLOOKUP(M521,βοηθητικό!$J$2:$N$354,3,FALSE))</f>
        <v>_</v>
      </c>
      <c r="O521" s="47"/>
      <c r="P521" s="4" t="s">
        <v>16</v>
      </c>
      <c r="Q521" s="43" t="str">
        <f>IF(VLOOKUP(P521,βοηθητικό!$J$2:$N$354,3,FALSE)="","",VLOOKUP(P521,βοηθητικό!$J$2:$N$354,3,FALSE))</f>
        <v>_</v>
      </c>
      <c r="R521" s="44"/>
      <c r="S521" s="5" t="s">
        <v>16</v>
      </c>
      <c r="T521" s="46" t="str">
        <f>IF(VLOOKUP(S521,βοηθητικό!$J$2:$N$354,3,FALSE)="","",VLOOKUP(S521,βοηθητικό!$J$2:$N$354,3,FALSE))</f>
        <v>_</v>
      </c>
      <c r="U521" s="47"/>
      <c r="V521" s="4" t="s">
        <v>16</v>
      </c>
      <c r="W521" s="43" t="str">
        <f>IF(VLOOKUP(V521,βοηθητικό!$J$2:$N$354,3,FALSE)="","",VLOOKUP(V521,βοηθητικό!$J$2:$N$354,3,FALSE))</f>
        <v>_</v>
      </c>
      <c r="X521" s="44"/>
      <c r="Y521" s="5" t="s">
        <v>16</v>
      </c>
      <c r="Z521" s="46" t="str">
        <f>IF(VLOOKUP(Y521,βοηθητικό!$J$2:$N$354,3,FALSE)="","",VLOOKUP(Y521,βοηθητικό!$J$2:$N$354,3,FALSE))</f>
        <v>_</v>
      </c>
      <c r="AA521" s="47"/>
      <c r="AB521" s="4" t="s">
        <v>16</v>
      </c>
      <c r="AC521" s="43" t="str">
        <f>IF(VLOOKUP(AB521,βοηθητικό!$J$2:$N$354,3,FALSE)="","",VLOOKUP(AB521,βοηθητικό!$J$2:$N$354,3,FALSE))</f>
        <v>_</v>
      </c>
      <c r="AD521" s="44"/>
      <c r="AE521" s="5" t="s">
        <v>16</v>
      </c>
      <c r="AF521" s="46" t="str">
        <f>IF(VLOOKUP(AE521,βοηθητικό!$J$2:$N$354,3,FALSE)="","",VLOOKUP(AE521,βοηθητικό!$J$2:$N$354,3,FALSE))</f>
        <v>_</v>
      </c>
      <c r="AG521" s="47"/>
      <c r="AH521" s="4" t="s">
        <v>16</v>
      </c>
      <c r="AI521" s="43" t="str">
        <f>IF(VLOOKUP(AH521,βοηθητικό!$J$2:$N$354,3,FALSE)="","",VLOOKUP(AH521,βοηθητικό!$J$2:$N$354,3,FALSE))</f>
        <v>_</v>
      </c>
      <c r="AJ521" s="44"/>
      <c r="AK521" s="5" t="s">
        <v>16</v>
      </c>
      <c r="AL521" s="46" t="str">
        <f>IF(VLOOKUP(AK521,βοηθητικό!$J$2:$N$354,3,FALSE)="","",VLOOKUP(AK521,βοηθητικό!$J$2:$N$354,3,FALSE))</f>
        <v>_</v>
      </c>
      <c r="AM521" s="47"/>
      <c r="AN521" s="4" t="s">
        <v>16</v>
      </c>
      <c r="AO521" s="43" t="str">
        <f>IF(VLOOKUP(AN521,βοηθητικό!$J$2:$N$354,3,FALSE)="","",VLOOKUP(AN521,βοηθητικό!$J$2:$N$354,3,FALSE))</f>
        <v>_</v>
      </c>
      <c r="AP521" s="44"/>
      <c r="AQ521" s="5" t="s">
        <v>16</v>
      </c>
      <c r="AR521" s="46" t="str">
        <f>IF(VLOOKUP(AQ521,βοηθητικό!$J$2:$N$354,3,FALSE)="","",VLOOKUP(AQ521,βοηθητικό!$J$2:$N$354,3,FALSE))</f>
        <v>_</v>
      </c>
      <c r="AS521" s="47"/>
      <c r="AT521" s="4" t="s">
        <v>16</v>
      </c>
      <c r="AU521" s="43" t="str">
        <f>IF(VLOOKUP(AT521,βοηθητικό!$J$2:$N$354,3,FALSE)="","",VLOOKUP(AT521,βοηθητικό!$J$2:$N$354,3,FALSE))</f>
        <v>_</v>
      </c>
      <c r="AV521" s="44"/>
      <c r="AW521" s="5" t="s">
        <v>16</v>
      </c>
      <c r="AX521" s="46" t="str">
        <f>IF(VLOOKUP(AW521,βοηθητικό!$J$2:$N$354,3,FALSE)="","",VLOOKUP(AW521,βοηθητικό!$J$2:$N$354,3,FALSE))</f>
        <v>_</v>
      </c>
      <c r="AY521" s="47"/>
      <c r="AZ521" s="4" t="s">
        <v>16</v>
      </c>
      <c r="BA521" s="43" t="str">
        <f>IF(VLOOKUP(AZ521,βοηθητικό!$J$2:$N$354,3,FALSE)="","",VLOOKUP(AZ521,βοηθητικό!$J$2:$N$354,3,FALSE))</f>
        <v>_</v>
      </c>
      <c r="BB521" s="44"/>
      <c r="BC521" s="45" t="s">
        <v>16</v>
      </c>
      <c r="BD521" s="46" t="str">
        <f>IF(VLOOKUP(BC521,βοηθητικό!$J$2:$N$354,3,FALSE)="","",VLOOKUP(BC521,βοηθητικό!$J$2:$N$354,3,FALSE))</f>
        <v>_</v>
      </c>
      <c r="BE521" s="47"/>
      <c r="BF521" s="42" t="s">
        <v>16</v>
      </c>
      <c r="BG521" s="43" t="str">
        <f>IF(VLOOKUP(BF521,βοηθητικό!$J$2:$N$354,3,FALSE)="","",VLOOKUP(BF521,βοηθητικό!$J$2:$N$354,3,FALSE))</f>
        <v>_</v>
      </c>
      <c r="BH521" s="44"/>
      <c r="BI521" s="45" t="s">
        <v>16</v>
      </c>
      <c r="BJ521" s="46" t="str">
        <f>IF(VLOOKUP(BI521,βοηθητικό!$J$2:$N$354,3,FALSE)="","",VLOOKUP(BI521,βοηθητικό!$J$2:$N$354,3,FALSE))</f>
        <v>_</v>
      </c>
      <c r="BK521" s="47"/>
      <c r="BL521" s="42" t="s">
        <v>16</v>
      </c>
      <c r="BM521" s="43" t="str">
        <f>IF(VLOOKUP(BL521,βοηθητικό!$J$2:$N$354,3,FALSE)="","",VLOOKUP(BL521,βοηθητικό!$J$2:$N$354,3,FALSE))</f>
        <v>_</v>
      </c>
      <c r="BN521" s="44"/>
      <c r="BO521" s="45" t="s">
        <v>16</v>
      </c>
      <c r="BP521" s="46" t="str">
        <f>IF(VLOOKUP(BO521,βοηθητικό!$J$2:$N$354,3,FALSE)="","",VLOOKUP(BO521,βοηθητικό!$J$2:$N$354,3,FALSE))</f>
        <v>_</v>
      </c>
      <c r="BQ521" s="47"/>
      <c r="BR521" s="42" t="s">
        <v>16</v>
      </c>
      <c r="BS521" s="43" t="str">
        <f>IF(VLOOKUP(BR521,βοηθητικό!$J$2:$N$354,3,FALSE)="","",VLOOKUP(BR521,βοηθητικό!$J$2:$N$354,3,FALSE))</f>
        <v>_</v>
      </c>
      <c r="BT521" s="44"/>
      <c r="BU521" s="45" t="s">
        <v>16</v>
      </c>
      <c r="BV521" s="46" t="str">
        <f>IF(VLOOKUP(BU521,βοηθητικό!$J$2:$N$354,3,FALSE)="","",VLOOKUP(BU521,βοηθητικό!$J$2:$N$354,3,FALSE))</f>
        <v>_</v>
      </c>
      <c r="BW521" s="47"/>
      <c r="BX521" s="42" t="s">
        <v>16</v>
      </c>
      <c r="BY521" s="43" t="str">
        <f>IF(VLOOKUP(BX521,βοηθητικό!$J$2:$N$354,3,FALSE)="","",VLOOKUP(BX521,βοηθητικό!$J$2:$N$354,3,FALSE))</f>
        <v>_</v>
      </c>
      <c r="BZ521" s="44"/>
      <c r="CA521" s="45" t="s">
        <v>16</v>
      </c>
      <c r="CB521" s="46" t="str">
        <f>IF(VLOOKUP(CA521,βοηθητικό!$J$2:$N$354,3,FALSE)="","",VLOOKUP(CA521,βοηθητικό!$J$2:$N$354,3,FALSE))</f>
        <v>_</v>
      </c>
      <c r="CC521" s="47"/>
      <c r="CD521" s="42" t="s">
        <v>16</v>
      </c>
      <c r="CE521" s="43" t="str">
        <f>IF(VLOOKUP(CD521,βοηθητικό!$J$2:$N$354,3,FALSE)="","",VLOOKUP(CD521,βοηθητικό!$J$2:$N$354,3,FALSE))</f>
        <v>_</v>
      </c>
      <c r="CF521" s="44"/>
      <c r="CG521" s="45" t="s">
        <v>16</v>
      </c>
      <c r="CH521" s="46" t="str">
        <f>IF(VLOOKUP(CG521,βοηθητικό!$J$2:$N$354,3,FALSE)="","",VLOOKUP(CG521,βοηθητικό!$J$2:$N$354,3,FALSE))</f>
        <v>_</v>
      </c>
      <c r="CI521" s="47"/>
      <c r="CJ521" s="42" t="s">
        <v>16</v>
      </c>
      <c r="CK521" s="43" t="str">
        <f>IF(VLOOKUP(CJ521,βοηθητικό!$J$2:$N$354,3,FALSE)="","",VLOOKUP(CJ521,βοηθητικό!$J$2:$N$354,3,FALSE))</f>
        <v>_</v>
      </c>
      <c r="CL521" s="44"/>
      <c r="CM521" s="45" t="s">
        <v>16</v>
      </c>
      <c r="CN521" s="46" t="str">
        <f>IF(VLOOKUP(CM521,βοηθητικό!$J$2:$N$354,3,FALSE)="","",VLOOKUP(CM521,βοηθητικό!$J$2:$N$354,3,FALSE))</f>
        <v>_</v>
      </c>
      <c r="CO521" s="47"/>
      <c r="CP521" s="42" t="s">
        <v>16</v>
      </c>
      <c r="CQ521" s="43" t="str">
        <f>IF(VLOOKUP(CP521,βοηθητικό!$J$2:$N$354,3,FALSE)="","",VLOOKUP(CP521,βοηθητικό!$J$2:$N$354,3,FALSE))</f>
        <v>_</v>
      </c>
      <c r="CR521" s="44"/>
      <c r="CS521" s="45" t="s">
        <v>16</v>
      </c>
      <c r="CT521" s="46" t="str">
        <f>IF(VLOOKUP(CS521,βοηθητικό!$J$2:$N$354,3,FALSE)="","",VLOOKUP(CS521,βοηθητικό!$J$2:$N$354,3,FALSE))</f>
        <v>_</v>
      </c>
      <c r="CU521" s="47"/>
    </row>
    <row r="522" spans="1:99" x14ac:dyDescent="0.25">
      <c r="A522" s="37">
        <f>--SUBTOTAL(3,$B$3:B521)</f>
        <v>198</v>
      </c>
      <c r="B522" s="2"/>
      <c r="C522" s="3"/>
      <c r="D522" s="55" t="s">
        <v>18</v>
      </c>
      <c r="E522" s="38" t="s">
        <v>16</v>
      </c>
      <c r="F522" s="38"/>
      <c r="G522" s="39" t="str">
        <f t="shared" si="26"/>
        <v>__</v>
      </c>
      <c r="H522" s="40" t="str">
        <f t="shared" si="27"/>
        <v>FALSE</v>
      </c>
      <c r="I522" s="41">
        <f t="shared" si="28"/>
        <v>0</v>
      </c>
      <c r="J522" s="4" t="s">
        <v>16</v>
      </c>
      <c r="K522" s="43" t="str">
        <f>IF(VLOOKUP(J522,βοηθητικό!$J$2:$N$354,3,FALSE)="","",VLOOKUP(J522,βοηθητικό!$J$2:$N$354,3,FALSE))</f>
        <v>_</v>
      </c>
      <c r="L522" s="44"/>
      <c r="M522" s="5" t="s">
        <v>16</v>
      </c>
      <c r="N522" s="46" t="str">
        <f>IF(VLOOKUP(M522,βοηθητικό!$J$2:$N$354,3,FALSE)="","",VLOOKUP(M522,βοηθητικό!$J$2:$N$354,3,FALSE))</f>
        <v>_</v>
      </c>
      <c r="O522" s="47"/>
      <c r="P522" s="4" t="s">
        <v>16</v>
      </c>
      <c r="Q522" s="43" t="str">
        <f>IF(VLOOKUP(P522,βοηθητικό!$J$2:$N$354,3,FALSE)="","",VLOOKUP(P522,βοηθητικό!$J$2:$N$354,3,FALSE))</f>
        <v>_</v>
      </c>
      <c r="R522" s="44"/>
      <c r="S522" s="5" t="s">
        <v>16</v>
      </c>
      <c r="T522" s="46" t="str">
        <f>IF(VLOOKUP(S522,βοηθητικό!$J$2:$N$354,3,FALSE)="","",VLOOKUP(S522,βοηθητικό!$J$2:$N$354,3,FALSE))</f>
        <v>_</v>
      </c>
      <c r="U522" s="47"/>
      <c r="V522" s="4" t="s">
        <v>16</v>
      </c>
      <c r="W522" s="43" t="str">
        <f>IF(VLOOKUP(V522,βοηθητικό!$J$2:$N$354,3,FALSE)="","",VLOOKUP(V522,βοηθητικό!$J$2:$N$354,3,FALSE))</f>
        <v>_</v>
      </c>
      <c r="X522" s="44"/>
      <c r="Y522" s="5" t="s">
        <v>16</v>
      </c>
      <c r="Z522" s="46" t="str">
        <f>IF(VLOOKUP(Y522,βοηθητικό!$J$2:$N$354,3,FALSE)="","",VLOOKUP(Y522,βοηθητικό!$J$2:$N$354,3,FALSE))</f>
        <v>_</v>
      </c>
      <c r="AA522" s="47"/>
      <c r="AB522" s="4" t="s">
        <v>16</v>
      </c>
      <c r="AC522" s="43" t="str">
        <f>IF(VLOOKUP(AB522,βοηθητικό!$J$2:$N$354,3,FALSE)="","",VLOOKUP(AB522,βοηθητικό!$J$2:$N$354,3,FALSE))</f>
        <v>_</v>
      </c>
      <c r="AD522" s="44"/>
      <c r="AE522" s="5" t="s">
        <v>16</v>
      </c>
      <c r="AF522" s="46" t="str">
        <f>IF(VLOOKUP(AE522,βοηθητικό!$J$2:$N$354,3,FALSE)="","",VLOOKUP(AE522,βοηθητικό!$J$2:$N$354,3,FALSE))</f>
        <v>_</v>
      </c>
      <c r="AG522" s="47"/>
      <c r="AH522" s="4" t="s">
        <v>16</v>
      </c>
      <c r="AI522" s="43" t="str">
        <f>IF(VLOOKUP(AH522,βοηθητικό!$J$2:$N$354,3,FALSE)="","",VLOOKUP(AH522,βοηθητικό!$J$2:$N$354,3,FALSE))</f>
        <v>_</v>
      </c>
      <c r="AJ522" s="44"/>
      <c r="AK522" s="5" t="s">
        <v>16</v>
      </c>
      <c r="AL522" s="46" t="str">
        <f>IF(VLOOKUP(AK522,βοηθητικό!$J$2:$N$354,3,FALSE)="","",VLOOKUP(AK522,βοηθητικό!$J$2:$N$354,3,FALSE))</f>
        <v>_</v>
      </c>
      <c r="AM522" s="47"/>
      <c r="AN522" s="4" t="s">
        <v>16</v>
      </c>
      <c r="AO522" s="43" t="str">
        <f>IF(VLOOKUP(AN522,βοηθητικό!$J$2:$N$354,3,FALSE)="","",VLOOKUP(AN522,βοηθητικό!$J$2:$N$354,3,FALSE))</f>
        <v>_</v>
      </c>
      <c r="AP522" s="44"/>
      <c r="AQ522" s="5" t="s">
        <v>16</v>
      </c>
      <c r="AR522" s="46" t="str">
        <f>IF(VLOOKUP(AQ522,βοηθητικό!$J$2:$N$354,3,FALSE)="","",VLOOKUP(AQ522,βοηθητικό!$J$2:$N$354,3,FALSE))</f>
        <v>_</v>
      </c>
      <c r="AS522" s="47"/>
      <c r="AT522" s="4" t="s">
        <v>16</v>
      </c>
      <c r="AU522" s="43" t="str">
        <f>IF(VLOOKUP(AT522,βοηθητικό!$J$2:$N$354,3,FALSE)="","",VLOOKUP(AT522,βοηθητικό!$J$2:$N$354,3,FALSE))</f>
        <v>_</v>
      </c>
      <c r="AV522" s="44"/>
      <c r="AW522" s="5" t="s">
        <v>16</v>
      </c>
      <c r="AX522" s="46" t="str">
        <f>IF(VLOOKUP(AW522,βοηθητικό!$J$2:$N$354,3,FALSE)="","",VLOOKUP(AW522,βοηθητικό!$J$2:$N$354,3,FALSE))</f>
        <v>_</v>
      </c>
      <c r="AY522" s="47"/>
      <c r="AZ522" s="4" t="s">
        <v>16</v>
      </c>
      <c r="BA522" s="43" t="str">
        <f>IF(VLOOKUP(AZ522,βοηθητικό!$J$2:$N$354,3,FALSE)="","",VLOOKUP(AZ522,βοηθητικό!$J$2:$N$354,3,FALSE))</f>
        <v>_</v>
      </c>
      <c r="BB522" s="44"/>
      <c r="BC522" s="45" t="s">
        <v>16</v>
      </c>
      <c r="BD522" s="46" t="str">
        <f>IF(VLOOKUP(BC522,βοηθητικό!$J$2:$N$354,3,FALSE)="","",VLOOKUP(BC522,βοηθητικό!$J$2:$N$354,3,FALSE))</f>
        <v>_</v>
      </c>
      <c r="BE522" s="47"/>
      <c r="BF522" s="42" t="s">
        <v>16</v>
      </c>
      <c r="BG522" s="43" t="str">
        <f>IF(VLOOKUP(BF522,βοηθητικό!$J$2:$N$354,3,FALSE)="","",VLOOKUP(BF522,βοηθητικό!$J$2:$N$354,3,FALSE))</f>
        <v>_</v>
      </c>
      <c r="BH522" s="44"/>
      <c r="BI522" s="45" t="s">
        <v>16</v>
      </c>
      <c r="BJ522" s="46" t="str">
        <f>IF(VLOOKUP(BI522,βοηθητικό!$J$2:$N$354,3,FALSE)="","",VLOOKUP(BI522,βοηθητικό!$J$2:$N$354,3,FALSE))</f>
        <v>_</v>
      </c>
      <c r="BK522" s="47"/>
      <c r="BL522" s="42" t="s">
        <v>16</v>
      </c>
      <c r="BM522" s="43" t="str">
        <f>IF(VLOOKUP(BL522,βοηθητικό!$J$2:$N$354,3,FALSE)="","",VLOOKUP(BL522,βοηθητικό!$J$2:$N$354,3,FALSE))</f>
        <v>_</v>
      </c>
      <c r="BN522" s="44"/>
      <c r="BO522" s="45" t="s">
        <v>16</v>
      </c>
      <c r="BP522" s="46" t="str">
        <f>IF(VLOOKUP(BO522,βοηθητικό!$J$2:$N$354,3,FALSE)="","",VLOOKUP(BO522,βοηθητικό!$J$2:$N$354,3,FALSE))</f>
        <v>_</v>
      </c>
      <c r="BQ522" s="47"/>
      <c r="BR522" s="42" t="s">
        <v>16</v>
      </c>
      <c r="BS522" s="43" t="str">
        <f>IF(VLOOKUP(BR522,βοηθητικό!$J$2:$N$354,3,FALSE)="","",VLOOKUP(BR522,βοηθητικό!$J$2:$N$354,3,FALSE))</f>
        <v>_</v>
      </c>
      <c r="BT522" s="44"/>
      <c r="BU522" s="45" t="s">
        <v>16</v>
      </c>
      <c r="BV522" s="46" t="str">
        <f>IF(VLOOKUP(BU522,βοηθητικό!$J$2:$N$354,3,FALSE)="","",VLOOKUP(BU522,βοηθητικό!$J$2:$N$354,3,FALSE))</f>
        <v>_</v>
      </c>
      <c r="BW522" s="47"/>
      <c r="BX522" s="42" t="s">
        <v>16</v>
      </c>
      <c r="BY522" s="43" t="str">
        <f>IF(VLOOKUP(BX522,βοηθητικό!$J$2:$N$354,3,FALSE)="","",VLOOKUP(BX522,βοηθητικό!$J$2:$N$354,3,FALSE))</f>
        <v>_</v>
      </c>
      <c r="BZ522" s="44"/>
      <c r="CA522" s="45" t="s">
        <v>16</v>
      </c>
      <c r="CB522" s="46" t="str">
        <f>IF(VLOOKUP(CA522,βοηθητικό!$J$2:$N$354,3,FALSE)="","",VLOOKUP(CA522,βοηθητικό!$J$2:$N$354,3,FALSE))</f>
        <v>_</v>
      </c>
      <c r="CC522" s="47"/>
      <c r="CD522" s="42" t="s">
        <v>16</v>
      </c>
      <c r="CE522" s="43" t="str">
        <f>IF(VLOOKUP(CD522,βοηθητικό!$J$2:$N$354,3,FALSE)="","",VLOOKUP(CD522,βοηθητικό!$J$2:$N$354,3,FALSE))</f>
        <v>_</v>
      </c>
      <c r="CF522" s="44"/>
      <c r="CG522" s="45" t="s">
        <v>16</v>
      </c>
      <c r="CH522" s="46" t="str">
        <f>IF(VLOOKUP(CG522,βοηθητικό!$J$2:$N$354,3,FALSE)="","",VLOOKUP(CG522,βοηθητικό!$J$2:$N$354,3,FALSE))</f>
        <v>_</v>
      </c>
      <c r="CI522" s="47"/>
      <c r="CJ522" s="42" t="s">
        <v>16</v>
      </c>
      <c r="CK522" s="43" t="str">
        <f>IF(VLOOKUP(CJ522,βοηθητικό!$J$2:$N$354,3,FALSE)="","",VLOOKUP(CJ522,βοηθητικό!$J$2:$N$354,3,FALSE))</f>
        <v>_</v>
      </c>
      <c r="CL522" s="44"/>
      <c r="CM522" s="45" t="s">
        <v>16</v>
      </c>
      <c r="CN522" s="46" t="str">
        <f>IF(VLOOKUP(CM522,βοηθητικό!$J$2:$N$354,3,FALSE)="","",VLOOKUP(CM522,βοηθητικό!$J$2:$N$354,3,FALSE))</f>
        <v>_</v>
      </c>
      <c r="CO522" s="47"/>
      <c r="CP522" s="42" t="s">
        <v>16</v>
      </c>
      <c r="CQ522" s="43" t="str">
        <f>IF(VLOOKUP(CP522,βοηθητικό!$J$2:$N$354,3,FALSE)="","",VLOOKUP(CP522,βοηθητικό!$J$2:$N$354,3,FALSE))</f>
        <v>_</v>
      </c>
      <c r="CR522" s="44"/>
      <c r="CS522" s="45" t="s">
        <v>16</v>
      </c>
      <c r="CT522" s="46" t="str">
        <f>IF(VLOOKUP(CS522,βοηθητικό!$J$2:$N$354,3,FALSE)="","",VLOOKUP(CS522,βοηθητικό!$J$2:$N$354,3,FALSE))</f>
        <v>_</v>
      </c>
      <c r="CU522" s="47"/>
    </row>
    <row r="523" spans="1:99" x14ac:dyDescent="0.25">
      <c r="A523" s="37">
        <f>--SUBTOTAL(3,$B$3:B522)</f>
        <v>198</v>
      </c>
      <c r="B523" s="2"/>
      <c r="C523" s="3"/>
      <c r="D523" s="55" t="s">
        <v>18</v>
      </c>
      <c r="E523" s="38" t="s">
        <v>16</v>
      </c>
      <c r="F523" s="38"/>
      <c r="G523" s="39" t="str">
        <f t="shared" si="26"/>
        <v>__</v>
      </c>
      <c r="H523" s="40" t="str">
        <f t="shared" si="27"/>
        <v>FALSE</v>
      </c>
      <c r="I523" s="41">
        <f t="shared" si="28"/>
        <v>0</v>
      </c>
      <c r="J523" s="4" t="s">
        <v>16</v>
      </c>
      <c r="K523" s="43" t="str">
        <f>IF(VLOOKUP(J523,βοηθητικό!$J$2:$N$354,3,FALSE)="","",VLOOKUP(J523,βοηθητικό!$J$2:$N$354,3,FALSE))</f>
        <v>_</v>
      </c>
      <c r="L523" s="44"/>
      <c r="M523" s="5" t="s">
        <v>16</v>
      </c>
      <c r="N523" s="46" t="str">
        <f>IF(VLOOKUP(M523,βοηθητικό!$J$2:$N$354,3,FALSE)="","",VLOOKUP(M523,βοηθητικό!$J$2:$N$354,3,FALSE))</f>
        <v>_</v>
      </c>
      <c r="O523" s="47"/>
      <c r="P523" s="4" t="s">
        <v>16</v>
      </c>
      <c r="Q523" s="43" t="str">
        <f>IF(VLOOKUP(P523,βοηθητικό!$J$2:$N$354,3,FALSE)="","",VLOOKUP(P523,βοηθητικό!$J$2:$N$354,3,FALSE))</f>
        <v>_</v>
      </c>
      <c r="R523" s="44"/>
      <c r="S523" s="5" t="s">
        <v>16</v>
      </c>
      <c r="T523" s="46" t="str">
        <f>IF(VLOOKUP(S523,βοηθητικό!$J$2:$N$354,3,FALSE)="","",VLOOKUP(S523,βοηθητικό!$J$2:$N$354,3,FALSE))</f>
        <v>_</v>
      </c>
      <c r="U523" s="47"/>
      <c r="V523" s="4" t="s">
        <v>16</v>
      </c>
      <c r="W523" s="43" t="str">
        <f>IF(VLOOKUP(V523,βοηθητικό!$J$2:$N$354,3,FALSE)="","",VLOOKUP(V523,βοηθητικό!$J$2:$N$354,3,FALSE))</f>
        <v>_</v>
      </c>
      <c r="X523" s="44"/>
      <c r="Y523" s="5" t="s">
        <v>16</v>
      </c>
      <c r="Z523" s="46" t="str">
        <f>IF(VLOOKUP(Y523,βοηθητικό!$J$2:$N$354,3,FALSE)="","",VLOOKUP(Y523,βοηθητικό!$J$2:$N$354,3,FALSE))</f>
        <v>_</v>
      </c>
      <c r="AA523" s="47"/>
      <c r="AB523" s="4" t="s">
        <v>16</v>
      </c>
      <c r="AC523" s="43" t="str">
        <f>IF(VLOOKUP(AB523,βοηθητικό!$J$2:$N$354,3,FALSE)="","",VLOOKUP(AB523,βοηθητικό!$J$2:$N$354,3,FALSE))</f>
        <v>_</v>
      </c>
      <c r="AD523" s="44"/>
      <c r="AE523" s="5" t="s">
        <v>16</v>
      </c>
      <c r="AF523" s="46" t="str">
        <f>IF(VLOOKUP(AE523,βοηθητικό!$J$2:$N$354,3,FALSE)="","",VLOOKUP(AE523,βοηθητικό!$J$2:$N$354,3,FALSE))</f>
        <v>_</v>
      </c>
      <c r="AG523" s="47"/>
      <c r="AH523" s="4" t="s">
        <v>16</v>
      </c>
      <c r="AI523" s="43" t="str">
        <f>IF(VLOOKUP(AH523,βοηθητικό!$J$2:$N$354,3,FALSE)="","",VLOOKUP(AH523,βοηθητικό!$J$2:$N$354,3,FALSE))</f>
        <v>_</v>
      </c>
      <c r="AJ523" s="44"/>
      <c r="AK523" s="5" t="s">
        <v>16</v>
      </c>
      <c r="AL523" s="46" t="str">
        <f>IF(VLOOKUP(AK523,βοηθητικό!$J$2:$N$354,3,FALSE)="","",VLOOKUP(AK523,βοηθητικό!$J$2:$N$354,3,FALSE))</f>
        <v>_</v>
      </c>
      <c r="AM523" s="47"/>
      <c r="AN523" s="4" t="s">
        <v>16</v>
      </c>
      <c r="AO523" s="43" t="str">
        <f>IF(VLOOKUP(AN523,βοηθητικό!$J$2:$N$354,3,FALSE)="","",VLOOKUP(AN523,βοηθητικό!$J$2:$N$354,3,FALSE))</f>
        <v>_</v>
      </c>
      <c r="AP523" s="44"/>
      <c r="AQ523" s="5" t="s">
        <v>16</v>
      </c>
      <c r="AR523" s="46" t="str">
        <f>IF(VLOOKUP(AQ523,βοηθητικό!$J$2:$N$354,3,FALSE)="","",VLOOKUP(AQ523,βοηθητικό!$J$2:$N$354,3,FALSE))</f>
        <v>_</v>
      </c>
      <c r="AS523" s="47"/>
      <c r="AT523" s="4" t="s">
        <v>16</v>
      </c>
      <c r="AU523" s="43" t="str">
        <f>IF(VLOOKUP(AT523,βοηθητικό!$J$2:$N$354,3,FALSE)="","",VLOOKUP(AT523,βοηθητικό!$J$2:$N$354,3,FALSE))</f>
        <v>_</v>
      </c>
      <c r="AV523" s="44"/>
      <c r="AW523" s="5" t="s">
        <v>16</v>
      </c>
      <c r="AX523" s="46" t="str">
        <f>IF(VLOOKUP(AW523,βοηθητικό!$J$2:$N$354,3,FALSE)="","",VLOOKUP(AW523,βοηθητικό!$J$2:$N$354,3,FALSE))</f>
        <v>_</v>
      </c>
      <c r="AY523" s="47"/>
      <c r="AZ523" s="4" t="s">
        <v>16</v>
      </c>
      <c r="BA523" s="43" t="str">
        <f>IF(VLOOKUP(AZ523,βοηθητικό!$J$2:$N$354,3,FALSE)="","",VLOOKUP(AZ523,βοηθητικό!$J$2:$N$354,3,FALSE))</f>
        <v>_</v>
      </c>
      <c r="BB523" s="44"/>
      <c r="BC523" s="45" t="s">
        <v>16</v>
      </c>
      <c r="BD523" s="46" t="str">
        <f>IF(VLOOKUP(BC523,βοηθητικό!$J$2:$N$354,3,FALSE)="","",VLOOKUP(BC523,βοηθητικό!$J$2:$N$354,3,FALSE))</f>
        <v>_</v>
      </c>
      <c r="BE523" s="47"/>
      <c r="BF523" s="42" t="s">
        <v>16</v>
      </c>
      <c r="BG523" s="43" t="str">
        <f>IF(VLOOKUP(BF523,βοηθητικό!$J$2:$N$354,3,FALSE)="","",VLOOKUP(BF523,βοηθητικό!$J$2:$N$354,3,FALSE))</f>
        <v>_</v>
      </c>
      <c r="BH523" s="44"/>
      <c r="BI523" s="45" t="s">
        <v>16</v>
      </c>
      <c r="BJ523" s="46" t="str">
        <f>IF(VLOOKUP(BI523,βοηθητικό!$J$2:$N$354,3,FALSE)="","",VLOOKUP(BI523,βοηθητικό!$J$2:$N$354,3,FALSE))</f>
        <v>_</v>
      </c>
      <c r="BK523" s="47"/>
      <c r="BL523" s="42" t="s">
        <v>16</v>
      </c>
      <c r="BM523" s="43" t="str">
        <f>IF(VLOOKUP(BL523,βοηθητικό!$J$2:$N$354,3,FALSE)="","",VLOOKUP(BL523,βοηθητικό!$J$2:$N$354,3,FALSE))</f>
        <v>_</v>
      </c>
      <c r="BN523" s="44"/>
      <c r="BO523" s="45" t="s">
        <v>16</v>
      </c>
      <c r="BP523" s="46" t="str">
        <f>IF(VLOOKUP(BO523,βοηθητικό!$J$2:$N$354,3,FALSE)="","",VLOOKUP(BO523,βοηθητικό!$J$2:$N$354,3,FALSE))</f>
        <v>_</v>
      </c>
      <c r="BQ523" s="47"/>
      <c r="BR523" s="42" t="s">
        <v>16</v>
      </c>
      <c r="BS523" s="43" t="str">
        <f>IF(VLOOKUP(BR523,βοηθητικό!$J$2:$N$354,3,FALSE)="","",VLOOKUP(BR523,βοηθητικό!$J$2:$N$354,3,FALSE))</f>
        <v>_</v>
      </c>
      <c r="BT523" s="44"/>
      <c r="BU523" s="45" t="s">
        <v>16</v>
      </c>
      <c r="BV523" s="46" t="str">
        <f>IF(VLOOKUP(BU523,βοηθητικό!$J$2:$N$354,3,FALSE)="","",VLOOKUP(BU523,βοηθητικό!$J$2:$N$354,3,FALSE))</f>
        <v>_</v>
      </c>
      <c r="BW523" s="47"/>
      <c r="BX523" s="42" t="s">
        <v>16</v>
      </c>
      <c r="BY523" s="43" t="str">
        <f>IF(VLOOKUP(BX523,βοηθητικό!$J$2:$N$354,3,FALSE)="","",VLOOKUP(BX523,βοηθητικό!$J$2:$N$354,3,FALSE))</f>
        <v>_</v>
      </c>
      <c r="BZ523" s="44"/>
      <c r="CA523" s="45" t="s">
        <v>16</v>
      </c>
      <c r="CB523" s="46" t="str">
        <f>IF(VLOOKUP(CA523,βοηθητικό!$J$2:$N$354,3,FALSE)="","",VLOOKUP(CA523,βοηθητικό!$J$2:$N$354,3,FALSE))</f>
        <v>_</v>
      </c>
      <c r="CC523" s="47"/>
      <c r="CD523" s="42" t="s">
        <v>16</v>
      </c>
      <c r="CE523" s="43" t="str">
        <f>IF(VLOOKUP(CD523,βοηθητικό!$J$2:$N$354,3,FALSE)="","",VLOOKUP(CD523,βοηθητικό!$J$2:$N$354,3,FALSE))</f>
        <v>_</v>
      </c>
      <c r="CF523" s="44"/>
      <c r="CG523" s="45" t="s">
        <v>16</v>
      </c>
      <c r="CH523" s="46" t="str">
        <f>IF(VLOOKUP(CG523,βοηθητικό!$J$2:$N$354,3,FALSE)="","",VLOOKUP(CG523,βοηθητικό!$J$2:$N$354,3,FALSE))</f>
        <v>_</v>
      </c>
      <c r="CI523" s="47"/>
      <c r="CJ523" s="42" t="s">
        <v>16</v>
      </c>
      <c r="CK523" s="43" t="str">
        <f>IF(VLOOKUP(CJ523,βοηθητικό!$J$2:$N$354,3,FALSE)="","",VLOOKUP(CJ523,βοηθητικό!$J$2:$N$354,3,FALSE))</f>
        <v>_</v>
      </c>
      <c r="CL523" s="44"/>
      <c r="CM523" s="45" t="s">
        <v>16</v>
      </c>
      <c r="CN523" s="46" t="str">
        <f>IF(VLOOKUP(CM523,βοηθητικό!$J$2:$N$354,3,FALSE)="","",VLOOKUP(CM523,βοηθητικό!$J$2:$N$354,3,FALSE))</f>
        <v>_</v>
      </c>
      <c r="CO523" s="47"/>
      <c r="CP523" s="42" t="s">
        <v>16</v>
      </c>
      <c r="CQ523" s="43" t="str">
        <f>IF(VLOOKUP(CP523,βοηθητικό!$J$2:$N$354,3,FALSE)="","",VLOOKUP(CP523,βοηθητικό!$J$2:$N$354,3,FALSE))</f>
        <v>_</v>
      </c>
      <c r="CR523" s="44"/>
      <c r="CS523" s="45" t="s">
        <v>16</v>
      </c>
      <c r="CT523" s="46" t="str">
        <f>IF(VLOOKUP(CS523,βοηθητικό!$J$2:$N$354,3,FALSE)="","",VLOOKUP(CS523,βοηθητικό!$J$2:$N$354,3,FALSE))</f>
        <v>_</v>
      </c>
      <c r="CU523" s="47"/>
    </row>
    <row r="524" spans="1:99" x14ac:dyDescent="0.25">
      <c r="A524" s="37">
        <f>--SUBTOTAL(3,$B$3:B523)</f>
        <v>198</v>
      </c>
      <c r="B524" s="2"/>
      <c r="C524" s="3"/>
      <c r="D524" s="55" t="s">
        <v>18</v>
      </c>
      <c r="E524" s="38" t="s">
        <v>16</v>
      </c>
      <c r="F524" s="38"/>
      <c r="G524" s="39" t="str">
        <f t="shared" si="26"/>
        <v>__</v>
      </c>
      <c r="H524" s="40" t="str">
        <f t="shared" si="27"/>
        <v>FALSE</v>
      </c>
      <c r="I524" s="41">
        <f t="shared" si="28"/>
        <v>0</v>
      </c>
      <c r="J524" s="4" t="s">
        <v>16</v>
      </c>
      <c r="K524" s="43" t="str">
        <f>IF(VLOOKUP(J524,βοηθητικό!$J$2:$N$354,3,FALSE)="","",VLOOKUP(J524,βοηθητικό!$J$2:$N$354,3,FALSE))</f>
        <v>_</v>
      </c>
      <c r="L524" s="44"/>
      <c r="M524" s="5" t="s">
        <v>16</v>
      </c>
      <c r="N524" s="46" t="str">
        <f>IF(VLOOKUP(M524,βοηθητικό!$J$2:$N$354,3,FALSE)="","",VLOOKUP(M524,βοηθητικό!$J$2:$N$354,3,FALSE))</f>
        <v>_</v>
      </c>
      <c r="O524" s="47"/>
      <c r="P524" s="4" t="s">
        <v>16</v>
      </c>
      <c r="Q524" s="43" t="str">
        <f>IF(VLOOKUP(P524,βοηθητικό!$J$2:$N$354,3,FALSE)="","",VLOOKUP(P524,βοηθητικό!$J$2:$N$354,3,FALSE))</f>
        <v>_</v>
      </c>
      <c r="R524" s="44"/>
      <c r="S524" s="5" t="s">
        <v>16</v>
      </c>
      <c r="T524" s="46" t="str">
        <f>IF(VLOOKUP(S524,βοηθητικό!$J$2:$N$354,3,FALSE)="","",VLOOKUP(S524,βοηθητικό!$J$2:$N$354,3,FALSE))</f>
        <v>_</v>
      </c>
      <c r="U524" s="47"/>
      <c r="V524" s="4" t="s">
        <v>16</v>
      </c>
      <c r="W524" s="43" t="str">
        <f>IF(VLOOKUP(V524,βοηθητικό!$J$2:$N$354,3,FALSE)="","",VLOOKUP(V524,βοηθητικό!$J$2:$N$354,3,FALSE))</f>
        <v>_</v>
      </c>
      <c r="X524" s="44"/>
      <c r="Y524" s="5" t="s">
        <v>16</v>
      </c>
      <c r="Z524" s="46" t="str">
        <f>IF(VLOOKUP(Y524,βοηθητικό!$J$2:$N$354,3,FALSE)="","",VLOOKUP(Y524,βοηθητικό!$J$2:$N$354,3,FALSE))</f>
        <v>_</v>
      </c>
      <c r="AA524" s="47"/>
      <c r="AB524" s="4" t="s">
        <v>16</v>
      </c>
      <c r="AC524" s="43" t="str">
        <f>IF(VLOOKUP(AB524,βοηθητικό!$J$2:$N$354,3,FALSE)="","",VLOOKUP(AB524,βοηθητικό!$J$2:$N$354,3,FALSE))</f>
        <v>_</v>
      </c>
      <c r="AD524" s="44"/>
      <c r="AE524" s="5" t="s">
        <v>16</v>
      </c>
      <c r="AF524" s="46" t="str">
        <f>IF(VLOOKUP(AE524,βοηθητικό!$J$2:$N$354,3,FALSE)="","",VLOOKUP(AE524,βοηθητικό!$J$2:$N$354,3,FALSE))</f>
        <v>_</v>
      </c>
      <c r="AG524" s="47"/>
      <c r="AH524" s="4" t="s">
        <v>16</v>
      </c>
      <c r="AI524" s="43" t="str">
        <f>IF(VLOOKUP(AH524,βοηθητικό!$J$2:$N$354,3,FALSE)="","",VLOOKUP(AH524,βοηθητικό!$J$2:$N$354,3,FALSE))</f>
        <v>_</v>
      </c>
      <c r="AJ524" s="44"/>
      <c r="AK524" s="5" t="s">
        <v>16</v>
      </c>
      <c r="AL524" s="46" t="str">
        <f>IF(VLOOKUP(AK524,βοηθητικό!$J$2:$N$354,3,FALSE)="","",VLOOKUP(AK524,βοηθητικό!$J$2:$N$354,3,FALSE))</f>
        <v>_</v>
      </c>
      <c r="AM524" s="47"/>
      <c r="AN524" s="4" t="s">
        <v>16</v>
      </c>
      <c r="AO524" s="43" t="str">
        <f>IF(VLOOKUP(AN524,βοηθητικό!$J$2:$N$354,3,FALSE)="","",VLOOKUP(AN524,βοηθητικό!$J$2:$N$354,3,FALSE))</f>
        <v>_</v>
      </c>
      <c r="AP524" s="44"/>
      <c r="AQ524" s="5" t="s">
        <v>16</v>
      </c>
      <c r="AR524" s="46" t="str">
        <f>IF(VLOOKUP(AQ524,βοηθητικό!$J$2:$N$354,3,FALSE)="","",VLOOKUP(AQ524,βοηθητικό!$J$2:$N$354,3,FALSE))</f>
        <v>_</v>
      </c>
      <c r="AS524" s="47"/>
      <c r="AT524" s="4" t="s">
        <v>16</v>
      </c>
      <c r="AU524" s="43" t="str">
        <f>IF(VLOOKUP(AT524,βοηθητικό!$J$2:$N$354,3,FALSE)="","",VLOOKUP(AT524,βοηθητικό!$J$2:$N$354,3,FALSE))</f>
        <v>_</v>
      </c>
      <c r="AV524" s="44"/>
      <c r="AW524" s="5" t="s">
        <v>16</v>
      </c>
      <c r="AX524" s="46" t="str">
        <f>IF(VLOOKUP(AW524,βοηθητικό!$J$2:$N$354,3,FALSE)="","",VLOOKUP(AW524,βοηθητικό!$J$2:$N$354,3,FALSE))</f>
        <v>_</v>
      </c>
      <c r="AY524" s="47"/>
      <c r="AZ524" s="4" t="s">
        <v>16</v>
      </c>
      <c r="BA524" s="43" t="str">
        <f>IF(VLOOKUP(AZ524,βοηθητικό!$J$2:$N$354,3,FALSE)="","",VLOOKUP(AZ524,βοηθητικό!$J$2:$N$354,3,FALSE))</f>
        <v>_</v>
      </c>
      <c r="BB524" s="44"/>
      <c r="BC524" s="45" t="s">
        <v>16</v>
      </c>
      <c r="BD524" s="46" t="str">
        <f>IF(VLOOKUP(BC524,βοηθητικό!$J$2:$N$354,3,FALSE)="","",VLOOKUP(BC524,βοηθητικό!$J$2:$N$354,3,FALSE))</f>
        <v>_</v>
      </c>
      <c r="BE524" s="47"/>
      <c r="BF524" s="42" t="s">
        <v>16</v>
      </c>
      <c r="BG524" s="43" t="str">
        <f>IF(VLOOKUP(BF524,βοηθητικό!$J$2:$N$354,3,FALSE)="","",VLOOKUP(BF524,βοηθητικό!$J$2:$N$354,3,FALSE))</f>
        <v>_</v>
      </c>
      <c r="BH524" s="44"/>
      <c r="BI524" s="45" t="s">
        <v>16</v>
      </c>
      <c r="BJ524" s="46" t="str">
        <f>IF(VLOOKUP(BI524,βοηθητικό!$J$2:$N$354,3,FALSE)="","",VLOOKUP(BI524,βοηθητικό!$J$2:$N$354,3,FALSE))</f>
        <v>_</v>
      </c>
      <c r="BK524" s="47"/>
      <c r="BL524" s="42" t="s">
        <v>16</v>
      </c>
      <c r="BM524" s="43" t="str">
        <f>IF(VLOOKUP(BL524,βοηθητικό!$J$2:$N$354,3,FALSE)="","",VLOOKUP(BL524,βοηθητικό!$J$2:$N$354,3,FALSE))</f>
        <v>_</v>
      </c>
      <c r="BN524" s="44"/>
      <c r="BO524" s="45" t="s">
        <v>16</v>
      </c>
      <c r="BP524" s="46" t="str">
        <f>IF(VLOOKUP(BO524,βοηθητικό!$J$2:$N$354,3,FALSE)="","",VLOOKUP(BO524,βοηθητικό!$J$2:$N$354,3,FALSE))</f>
        <v>_</v>
      </c>
      <c r="BQ524" s="47"/>
      <c r="BR524" s="42" t="s">
        <v>16</v>
      </c>
      <c r="BS524" s="43" t="str">
        <f>IF(VLOOKUP(BR524,βοηθητικό!$J$2:$N$354,3,FALSE)="","",VLOOKUP(BR524,βοηθητικό!$J$2:$N$354,3,FALSE))</f>
        <v>_</v>
      </c>
      <c r="BT524" s="44"/>
      <c r="BU524" s="45" t="s">
        <v>16</v>
      </c>
      <c r="BV524" s="46" t="str">
        <f>IF(VLOOKUP(BU524,βοηθητικό!$J$2:$N$354,3,FALSE)="","",VLOOKUP(BU524,βοηθητικό!$J$2:$N$354,3,FALSE))</f>
        <v>_</v>
      </c>
      <c r="BW524" s="47"/>
      <c r="BX524" s="42" t="s">
        <v>16</v>
      </c>
      <c r="BY524" s="43" t="str">
        <f>IF(VLOOKUP(BX524,βοηθητικό!$J$2:$N$354,3,FALSE)="","",VLOOKUP(BX524,βοηθητικό!$J$2:$N$354,3,FALSE))</f>
        <v>_</v>
      </c>
      <c r="BZ524" s="44"/>
      <c r="CA524" s="45" t="s">
        <v>16</v>
      </c>
      <c r="CB524" s="46" t="str">
        <f>IF(VLOOKUP(CA524,βοηθητικό!$J$2:$N$354,3,FALSE)="","",VLOOKUP(CA524,βοηθητικό!$J$2:$N$354,3,FALSE))</f>
        <v>_</v>
      </c>
      <c r="CC524" s="47"/>
      <c r="CD524" s="42" t="s">
        <v>16</v>
      </c>
      <c r="CE524" s="43" t="str">
        <f>IF(VLOOKUP(CD524,βοηθητικό!$J$2:$N$354,3,FALSE)="","",VLOOKUP(CD524,βοηθητικό!$J$2:$N$354,3,FALSE))</f>
        <v>_</v>
      </c>
      <c r="CF524" s="44"/>
      <c r="CG524" s="45" t="s">
        <v>16</v>
      </c>
      <c r="CH524" s="46" t="str">
        <f>IF(VLOOKUP(CG524,βοηθητικό!$J$2:$N$354,3,FALSE)="","",VLOOKUP(CG524,βοηθητικό!$J$2:$N$354,3,FALSE))</f>
        <v>_</v>
      </c>
      <c r="CI524" s="47"/>
      <c r="CJ524" s="42" t="s">
        <v>16</v>
      </c>
      <c r="CK524" s="43" t="str">
        <f>IF(VLOOKUP(CJ524,βοηθητικό!$J$2:$N$354,3,FALSE)="","",VLOOKUP(CJ524,βοηθητικό!$J$2:$N$354,3,FALSE))</f>
        <v>_</v>
      </c>
      <c r="CL524" s="44"/>
      <c r="CM524" s="45" t="s">
        <v>16</v>
      </c>
      <c r="CN524" s="46" t="str">
        <f>IF(VLOOKUP(CM524,βοηθητικό!$J$2:$N$354,3,FALSE)="","",VLOOKUP(CM524,βοηθητικό!$J$2:$N$354,3,FALSE))</f>
        <v>_</v>
      </c>
      <c r="CO524" s="47"/>
      <c r="CP524" s="42" t="s">
        <v>16</v>
      </c>
      <c r="CQ524" s="43" t="str">
        <f>IF(VLOOKUP(CP524,βοηθητικό!$J$2:$N$354,3,FALSE)="","",VLOOKUP(CP524,βοηθητικό!$J$2:$N$354,3,FALSE))</f>
        <v>_</v>
      </c>
      <c r="CR524" s="44"/>
      <c r="CS524" s="45" t="s">
        <v>16</v>
      </c>
      <c r="CT524" s="46" t="str">
        <f>IF(VLOOKUP(CS524,βοηθητικό!$J$2:$N$354,3,FALSE)="","",VLOOKUP(CS524,βοηθητικό!$J$2:$N$354,3,FALSE))</f>
        <v>_</v>
      </c>
      <c r="CU524" s="47"/>
    </row>
    <row r="525" spans="1:99" x14ac:dyDescent="0.25">
      <c r="A525" s="37">
        <f>--SUBTOTAL(3,$B$3:B524)</f>
        <v>198</v>
      </c>
      <c r="B525" s="2"/>
      <c r="C525" s="3"/>
      <c r="D525" s="55" t="s">
        <v>18</v>
      </c>
      <c r="E525" s="38" t="s">
        <v>16</v>
      </c>
      <c r="F525" s="38"/>
      <c r="G525" s="39" t="str">
        <f t="shared" si="26"/>
        <v>__</v>
      </c>
      <c r="H525" s="40" t="str">
        <f t="shared" si="27"/>
        <v>FALSE</v>
      </c>
      <c r="I525" s="41">
        <f t="shared" si="28"/>
        <v>0</v>
      </c>
      <c r="J525" s="4" t="s">
        <v>16</v>
      </c>
      <c r="K525" s="43" t="str">
        <f>IF(VLOOKUP(J525,βοηθητικό!$J$2:$N$354,3,FALSE)="","",VLOOKUP(J525,βοηθητικό!$J$2:$N$354,3,FALSE))</f>
        <v>_</v>
      </c>
      <c r="L525" s="44"/>
      <c r="M525" s="5" t="s">
        <v>16</v>
      </c>
      <c r="N525" s="46" t="str">
        <f>IF(VLOOKUP(M525,βοηθητικό!$J$2:$N$354,3,FALSE)="","",VLOOKUP(M525,βοηθητικό!$J$2:$N$354,3,FALSE))</f>
        <v>_</v>
      </c>
      <c r="O525" s="47"/>
      <c r="P525" s="4" t="s">
        <v>16</v>
      </c>
      <c r="Q525" s="43" t="str">
        <f>IF(VLOOKUP(P525,βοηθητικό!$J$2:$N$354,3,FALSE)="","",VLOOKUP(P525,βοηθητικό!$J$2:$N$354,3,FALSE))</f>
        <v>_</v>
      </c>
      <c r="R525" s="44"/>
      <c r="S525" s="5" t="s">
        <v>16</v>
      </c>
      <c r="T525" s="46" t="str">
        <f>IF(VLOOKUP(S525,βοηθητικό!$J$2:$N$354,3,FALSE)="","",VLOOKUP(S525,βοηθητικό!$J$2:$N$354,3,FALSE))</f>
        <v>_</v>
      </c>
      <c r="U525" s="47"/>
      <c r="V525" s="4" t="s">
        <v>16</v>
      </c>
      <c r="W525" s="43" t="str">
        <f>IF(VLOOKUP(V525,βοηθητικό!$J$2:$N$354,3,FALSE)="","",VLOOKUP(V525,βοηθητικό!$J$2:$N$354,3,FALSE))</f>
        <v>_</v>
      </c>
      <c r="X525" s="44"/>
      <c r="Y525" s="5" t="s">
        <v>16</v>
      </c>
      <c r="Z525" s="46" t="str">
        <f>IF(VLOOKUP(Y525,βοηθητικό!$J$2:$N$354,3,FALSE)="","",VLOOKUP(Y525,βοηθητικό!$J$2:$N$354,3,FALSE))</f>
        <v>_</v>
      </c>
      <c r="AA525" s="47"/>
      <c r="AB525" s="4" t="s">
        <v>16</v>
      </c>
      <c r="AC525" s="43" t="str">
        <f>IF(VLOOKUP(AB525,βοηθητικό!$J$2:$N$354,3,FALSE)="","",VLOOKUP(AB525,βοηθητικό!$J$2:$N$354,3,FALSE))</f>
        <v>_</v>
      </c>
      <c r="AD525" s="44"/>
      <c r="AE525" s="5" t="s">
        <v>16</v>
      </c>
      <c r="AF525" s="46" t="str">
        <f>IF(VLOOKUP(AE525,βοηθητικό!$J$2:$N$354,3,FALSE)="","",VLOOKUP(AE525,βοηθητικό!$J$2:$N$354,3,FALSE))</f>
        <v>_</v>
      </c>
      <c r="AG525" s="47"/>
      <c r="AH525" s="4" t="s">
        <v>16</v>
      </c>
      <c r="AI525" s="43" t="str">
        <f>IF(VLOOKUP(AH525,βοηθητικό!$J$2:$N$354,3,FALSE)="","",VLOOKUP(AH525,βοηθητικό!$J$2:$N$354,3,FALSE))</f>
        <v>_</v>
      </c>
      <c r="AJ525" s="44"/>
      <c r="AK525" s="5" t="s">
        <v>16</v>
      </c>
      <c r="AL525" s="46" t="str">
        <f>IF(VLOOKUP(AK525,βοηθητικό!$J$2:$N$354,3,FALSE)="","",VLOOKUP(AK525,βοηθητικό!$J$2:$N$354,3,FALSE))</f>
        <v>_</v>
      </c>
      <c r="AM525" s="47"/>
      <c r="AN525" s="4" t="s">
        <v>16</v>
      </c>
      <c r="AO525" s="43" t="str">
        <f>IF(VLOOKUP(AN525,βοηθητικό!$J$2:$N$354,3,FALSE)="","",VLOOKUP(AN525,βοηθητικό!$J$2:$N$354,3,FALSE))</f>
        <v>_</v>
      </c>
      <c r="AP525" s="44"/>
      <c r="AQ525" s="5" t="s">
        <v>16</v>
      </c>
      <c r="AR525" s="46" t="str">
        <f>IF(VLOOKUP(AQ525,βοηθητικό!$J$2:$N$354,3,FALSE)="","",VLOOKUP(AQ525,βοηθητικό!$J$2:$N$354,3,FALSE))</f>
        <v>_</v>
      </c>
      <c r="AS525" s="47"/>
      <c r="AT525" s="4" t="s">
        <v>16</v>
      </c>
      <c r="AU525" s="43" t="str">
        <f>IF(VLOOKUP(AT525,βοηθητικό!$J$2:$N$354,3,FALSE)="","",VLOOKUP(AT525,βοηθητικό!$J$2:$N$354,3,FALSE))</f>
        <v>_</v>
      </c>
      <c r="AV525" s="44"/>
      <c r="AW525" s="5" t="s">
        <v>16</v>
      </c>
      <c r="AX525" s="46" t="str">
        <f>IF(VLOOKUP(AW525,βοηθητικό!$J$2:$N$354,3,FALSE)="","",VLOOKUP(AW525,βοηθητικό!$J$2:$N$354,3,FALSE))</f>
        <v>_</v>
      </c>
      <c r="AY525" s="47"/>
      <c r="AZ525" s="4" t="s">
        <v>16</v>
      </c>
      <c r="BA525" s="43" t="str">
        <f>IF(VLOOKUP(AZ525,βοηθητικό!$J$2:$N$354,3,FALSE)="","",VLOOKUP(AZ525,βοηθητικό!$J$2:$N$354,3,FALSE))</f>
        <v>_</v>
      </c>
      <c r="BB525" s="44"/>
      <c r="BC525" s="45" t="s">
        <v>16</v>
      </c>
      <c r="BD525" s="46" t="str">
        <f>IF(VLOOKUP(BC525,βοηθητικό!$J$2:$N$354,3,FALSE)="","",VLOOKUP(BC525,βοηθητικό!$J$2:$N$354,3,FALSE))</f>
        <v>_</v>
      </c>
      <c r="BE525" s="47"/>
      <c r="BF525" s="42" t="s">
        <v>16</v>
      </c>
      <c r="BG525" s="43" t="str">
        <f>IF(VLOOKUP(BF525,βοηθητικό!$J$2:$N$354,3,FALSE)="","",VLOOKUP(BF525,βοηθητικό!$J$2:$N$354,3,FALSE))</f>
        <v>_</v>
      </c>
      <c r="BH525" s="44"/>
      <c r="BI525" s="45" t="s">
        <v>16</v>
      </c>
      <c r="BJ525" s="46" t="str">
        <f>IF(VLOOKUP(BI525,βοηθητικό!$J$2:$N$354,3,FALSE)="","",VLOOKUP(BI525,βοηθητικό!$J$2:$N$354,3,FALSE))</f>
        <v>_</v>
      </c>
      <c r="BK525" s="47"/>
      <c r="BL525" s="42" t="s">
        <v>16</v>
      </c>
      <c r="BM525" s="43" t="str">
        <f>IF(VLOOKUP(BL525,βοηθητικό!$J$2:$N$354,3,FALSE)="","",VLOOKUP(BL525,βοηθητικό!$J$2:$N$354,3,FALSE))</f>
        <v>_</v>
      </c>
      <c r="BN525" s="44"/>
      <c r="BO525" s="45" t="s">
        <v>16</v>
      </c>
      <c r="BP525" s="46" t="str">
        <f>IF(VLOOKUP(BO525,βοηθητικό!$J$2:$N$354,3,FALSE)="","",VLOOKUP(BO525,βοηθητικό!$J$2:$N$354,3,FALSE))</f>
        <v>_</v>
      </c>
      <c r="BQ525" s="47"/>
      <c r="BR525" s="42" t="s">
        <v>16</v>
      </c>
      <c r="BS525" s="43" t="str">
        <f>IF(VLOOKUP(BR525,βοηθητικό!$J$2:$N$354,3,FALSE)="","",VLOOKUP(BR525,βοηθητικό!$J$2:$N$354,3,FALSE))</f>
        <v>_</v>
      </c>
      <c r="BT525" s="44"/>
      <c r="BU525" s="45" t="s">
        <v>16</v>
      </c>
      <c r="BV525" s="46" t="str">
        <f>IF(VLOOKUP(BU525,βοηθητικό!$J$2:$N$354,3,FALSE)="","",VLOOKUP(BU525,βοηθητικό!$J$2:$N$354,3,FALSE))</f>
        <v>_</v>
      </c>
      <c r="BW525" s="47"/>
      <c r="BX525" s="42" t="s">
        <v>16</v>
      </c>
      <c r="BY525" s="43" t="str">
        <f>IF(VLOOKUP(BX525,βοηθητικό!$J$2:$N$354,3,FALSE)="","",VLOOKUP(BX525,βοηθητικό!$J$2:$N$354,3,FALSE))</f>
        <v>_</v>
      </c>
      <c r="BZ525" s="44"/>
      <c r="CA525" s="45" t="s">
        <v>16</v>
      </c>
      <c r="CB525" s="46" t="str">
        <f>IF(VLOOKUP(CA525,βοηθητικό!$J$2:$N$354,3,FALSE)="","",VLOOKUP(CA525,βοηθητικό!$J$2:$N$354,3,FALSE))</f>
        <v>_</v>
      </c>
      <c r="CC525" s="47"/>
      <c r="CD525" s="42" t="s">
        <v>16</v>
      </c>
      <c r="CE525" s="43" t="str">
        <f>IF(VLOOKUP(CD525,βοηθητικό!$J$2:$N$354,3,FALSE)="","",VLOOKUP(CD525,βοηθητικό!$J$2:$N$354,3,FALSE))</f>
        <v>_</v>
      </c>
      <c r="CF525" s="44"/>
      <c r="CG525" s="45" t="s">
        <v>16</v>
      </c>
      <c r="CH525" s="46" t="str">
        <f>IF(VLOOKUP(CG525,βοηθητικό!$J$2:$N$354,3,FALSE)="","",VLOOKUP(CG525,βοηθητικό!$J$2:$N$354,3,FALSE))</f>
        <v>_</v>
      </c>
      <c r="CI525" s="47"/>
      <c r="CJ525" s="42" t="s">
        <v>16</v>
      </c>
      <c r="CK525" s="43" t="str">
        <f>IF(VLOOKUP(CJ525,βοηθητικό!$J$2:$N$354,3,FALSE)="","",VLOOKUP(CJ525,βοηθητικό!$J$2:$N$354,3,FALSE))</f>
        <v>_</v>
      </c>
      <c r="CL525" s="44"/>
      <c r="CM525" s="45" t="s">
        <v>16</v>
      </c>
      <c r="CN525" s="46" t="str">
        <f>IF(VLOOKUP(CM525,βοηθητικό!$J$2:$N$354,3,FALSE)="","",VLOOKUP(CM525,βοηθητικό!$J$2:$N$354,3,FALSE))</f>
        <v>_</v>
      </c>
      <c r="CO525" s="47"/>
      <c r="CP525" s="42" t="s">
        <v>16</v>
      </c>
      <c r="CQ525" s="43" t="str">
        <f>IF(VLOOKUP(CP525,βοηθητικό!$J$2:$N$354,3,FALSE)="","",VLOOKUP(CP525,βοηθητικό!$J$2:$N$354,3,FALSE))</f>
        <v>_</v>
      </c>
      <c r="CR525" s="44"/>
      <c r="CS525" s="45" t="s">
        <v>16</v>
      </c>
      <c r="CT525" s="46" t="str">
        <f>IF(VLOOKUP(CS525,βοηθητικό!$J$2:$N$354,3,FALSE)="","",VLOOKUP(CS525,βοηθητικό!$J$2:$N$354,3,FALSE))</f>
        <v>_</v>
      </c>
      <c r="CU525" s="47"/>
    </row>
    <row r="526" spans="1:99" x14ac:dyDescent="0.25">
      <c r="A526" s="37">
        <f>--SUBTOTAL(3,$B$3:B525)</f>
        <v>198</v>
      </c>
      <c r="B526" s="2"/>
      <c r="C526" s="3"/>
      <c r="D526" s="55" t="s">
        <v>18</v>
      </c>
      <c r="E526" s="38" t="s">
        <v>16</v>
      </c>
      <c r="F526" s="38"/>
      <c r="G526" s="39" t="str">
        <f t="shared" si="26"/>
        <v>__</v>
      </c>
      <c r="H526" s="40" t="str">
        <f t="shared" si="27"/>
        <v>FALSE</v>
      </c>
      <c r="I526" s="41">
        <f t="shared" si="28"/>
        <v>0</v>
      </c>
      <c r="J526" s="4" t="s">
        <v>16</v>
      </c>
      <c r="K526" s="43" t="str">
        <f>IF(VLOOKUP(J526,βοηθητικό!$J$2:$N$354,3,FALSE)="","",VLOOKUP(J526,βοηθητικό!$J$2:$N$354,3,FALSE))</f>
        <v>_</v>
      </c>
      <c r="L526" s="44"/>
      <c r="M526" s="5" t="s">
        <v>16</v>
      </c>
      <c r="N526" s="46" t="str">
        <f>IF(VLOOKUP(M526,βοηθητικό!$J$2:$N$354,3,FALSE)="","",VLOOKUP(M526,βοηθητικό!$J$2:$N$354,3,FALSE))</f>
        <v>_</v>
      </c>
      <c r="O526" s="47"/>
      <c r="P526" s="4" t="s">
        <v>16</v>
      </c>
      <c r="Q526" s="43" t="str">
        <f>IF(VLOOKUP(P526,βοηθητικό!$J$2:$N$354,3,FALSE)="","",VLOOKUP(P526,βοηθητικό!$J$2:$N$354,3,FALSE))</f>
        <v>_</v>
      </c>
      <c r="R526" s="44"/>
      <c r="S526" s="5" t="s">
        <v>16</v>
      </c>
      <c r="T526" s="46" t="str">
        <f>IF(VLOOKUP(S526,βοηθητικό!$J$2:$N$354,3,FALSE)="","",VLOOKUP(S526,βοηθητικό!$J$2:$N$354,3,FALSE))</f>
        <v>_</v>
      </c>
      <c r="U526" s="47"/>
      <c r="V526" s="4" t="s">
        <v>16</v>
      </c>
      <c r="W526" s="43" t="str">
        <f>IF(VLOOKUP(V526,βοηθητικό!$J$2:$N$354,3,FALSE)="","",VLOOKUP(V526,βοηθητικό!$J$2:$N$354,3,FALSE))</f>
        <v>_</v>
      </c>
      <c r="X526" s="44"/>
      <c r="Y526" s="5" t="s">
        <v>16</v>
      </c>
      <c r="Z526" s="46" t="str">
        <f>IF(VLOOKUP(Y526,βοηθητικό!$J$2:$N$354,3,FALSE)="","",VLOOKUP(Y526,βοηθητικό!$J$2:$N$354,3,FALSE))</f>
        <v>_</v>
      </c>
      <c r="AA526" s="47"/>
      <c r="AB526" s="4" t="s">
        <v>16</v>
      </c>
      <c r="AC526" s="43" t="str">
        <f>IF(VLOOKUP(AB526,βοηθητικό!$J$2:$N$354,3,FALSE)="","",VLOOKUP(AB526,βοηθητικό!$J$2:$N$354,3,FALSE))</f>
        <v>_</v>
      </c>
      <c r="AD526" s="44"/>
      <c r="AE526" s="5" t="s">
        <v>16</v>
      </c>
      <c r="AF526" s="46" t="str">
        <f>IF(VLOOKUP(AE526,βοηθητικό!$J$2:$N$354,3,FALSE)="","",VLOOKUP(AE526,βοηθητικό!$J$2:$N$354,3,FALSE))</f>
        <v>_</v>
      </c>
      <c r="AG526" s="47"/>
      <c r="AH526" s="4" t="s">
        <v>16</v>
      </c>
      <c r="AI526" s="43" t="str">
        <f>IF(VLOOKUP(AH526,βοηθητικό!$J$2:$N$354,3,FALSE)="","",VLOOKUP(AH526,βοηθητικό!$J$2:$N$354,3,FALSE))</f>
        <v>_</v>
      </c>
      <c r="AJ526" s="44"/>
      <c r="AK526" s="5" t="s">
        <v>16</v>
      </c>
      <c r="AL526" s="46" t="str">
        <f>IF(VLOOKUP(AK526,βοηθητικό!$J$2:$N$354,3,FALSE)="","",VLOOKUP(AK526,βοηθητικό!$J$2:$N$354,3,FALSE))</f>
        <v>_</v>
      </c>
      <c r="AM526" s="47"/>
      <c r="AN526" s="4" t="s">
        <v>16</v>
      </c>
      <c r="AO526" s="43" t="str">
        <f>IF(VLOOKUP(AN526,βοηθητικό!$J$2:$N$354,3,FALSE)="","",VLOOKUP(AN526,βοηθητικό!$J$2:$N$354,3,FALSE))</f>
        <v>_</v>
      </c>
      <c r="AP526" s="44"/>
      <c r="AQ526" s="5" t="s">
        <v>16</v>
      </c>
      <c r="AR526" s="46" t="str">
        <f>IF(VLOOKUP(AQ526,βοηθητικό!$J$2:$N$354,3,FALSE)="","",VLOOKUP(AQ526,βοηθητικό!$J$2:$N$354,3,FALSE))</f>
        <v>_</v>
      </c>
      <c r="AS526" s="47"/>
      <c r="AT526" s="4" t="s">
        <v>16</v>
      </c>
      <c r="AU526" s="43" t="str">
        <f>IF(VLOOKUP(AT526,βοηθητικό!$J$2:$N$354,3,FALSE)="","",VLOOKUP(AT526,βοηθητικό!$J$2:$N$354,3,FALSE))</f>
        <v>_</v>
      </c>
      <c r="AV526" s="44"/>
      <c r="AW526" s="5" t="s">
        <v>16</v>
      </c>
      <c r="AX526" s="46" t="str">
        <f>IF(VLOOKUP(AW526,βοηθητικό!$J$2:$N$354,3,FALSE)="","",VLOOKUP(AW526,βοηθητικό!$J$2:$N$354,3,FALSE))</f>
        <v>_</v>
      </c>
      <c r="AY526" s="47"/>
      <c r="AZ526" s="4" t="s">
        <v>16</v>
      </c>
      <c r="BA526" s="43" t="str">
        <f>IF(VLOOKUP(AZ526,βοηθητικό!$J$2:$N$354,3,FALSE)="","",VLOOKUP(AZ526,βοηθητικό!$J$2:$N$354,3,FALSE))</f>
        <v>_</v>
      </c>
      <c r="BB526" s="44"/>
      <c r="BC526" s="45" t="s">
        <v>16</v>
      </c>
      <c r="BD526" s="46" t="str">
        <f>IF(VLOOKUP(BC526,βοηθητικό!$J$2:$N$354,3,FALSE)="","",VLOOKUP(BC526,βοηθητικό!$J$2:$N$354,3,FALSE))</f>
        <v>_</v>
      </c>
      <c r="BE526" s="47"/>
      <c r="BF526" s="42" t="s">
        <v>16</v>
      </c>
      <c r="BG526" s="43" t="str">
        <f>IF(VLOOKUP(BF526,βοηθητικό!$J$2:$N$354,3,FALSE)="","",VLOOKUP(BF526,βοηθητικό!$J$2:$N$354,3,FALSE))</f>
        <v>_</v>
      </c>
      <c r="BH526" s="44"/>
      <c r="BI526" s="45" t="s">
        <v>16</v>
      </c>
      <c r="BJ526" s="46" t="str">
        <f>IF(VLOOKUP(BI526,βοηθητικό!$J$2:$N$354,3,FALSE)="","",VLOOKUP(BI526,βοηθητικό!$J$2:$N$354,3,FALSE))</f>
        <v>_</v>
      </c>
      <c r="BK526" s="47"/>
      <c r="BL526" s="42" t="s">
        <v>16</v>
      </c>
      <c r="BM526" s="43" t="str">
        <f>IF(VLOOKUP(BL526,βοηθητικό!$J$2:$N$354,3,FALSE)="","",VLOOKUP(BL526,βοηθητικό!$J$2:$N$354,3,FALSE))</f>
        <v>_</v>
      </c>
      <c r="BN526" s="44"/>
      <c r="BO526" s="45" t="s">
        <v>16</v>
      </c>
      <c r="BP526" s="46" t="str">
        <f>IF(VLOOKUP(BO526,βοηθητικό!$J$2:$N$354,3,FALSE)="","",VLOOKUP(BO526,βοηθητικό!$J$2:$N$354,3,FALSE))</f>
        <v>_</v>
      </c>
      <c r="BQ526" s="47"/>
      <c r="BR526" s="42" t="s">
        <v>16</v>
      </c>
      <c r="BS526" s="43" t="str">
        <f>IF(VLOOKUP(BR526,βοηθητικό!$J$2:$N$354,3,FALSE)="","",VLOOKUP(BR526,βοηθητικό!$J$2:$N$354,3,FALSE))</f>
        <v>_</v>
      </c>
      <c r="BT526" s="44"/>
      <c r="BU526" s="45" t="s">
        <v>16</v>
      </c>
      <c r="BV526" s="46" t="str">
        <f>IF(VLOOKUP(BU526,βοηθητικό!$J$2:$N$354,3,FALSE)="","",VLOOKUP(BU526,βοηθητικό!$J$2:$N$354,3,FALSE))</f>
        <v>_</v>
      </c>
      <c r="BW526" s="47"/>
      <c r="BX526" s="42" t="s">
        <v>16</v>
      </c>
      <c r="BY526" s="43" t="str">
        <f>IF(VLOOKUP(BX526,βοηθητικό!$J$2:$N$354,3,FALSE)="","",VLOOKUP(BX526,βοηθητικό!$J$2:$N$354,3,FALSE))</f>
        <v>_</v>
      </c>
      <c r="BZ526" s="44"/>
      <c r="CA526" s="45" t="s">
        <v>16</v>
      </c>
      <c r="CB526" s="46" t="str">
        <f>IF(VLOOKUP(CA526,βοηθητικό!$J$2:$N$354,3,FALSE)="","",VLOOKUP(CA526,βοηθητικό!$J$2:$N$354,3,FALSE))</f>
        <v>_</v>
      </c>
      <c r="CC526" s="47"/>
      <c r="CD526" s="42" t="s">
        <v>16</v>
      </c>
      <c r="CE526" s="43" t="str">
        <f>IF(VLOOKUP(CD526,βοηθητικό!$J$2:$N$354,3,FALSE)="","",VLOOKUP(CD526,βοηθητικό!$J$2:$N$354,3,FALSE))</f>
        <v>_</v>
      </c>
      <c r="CF526" s="44"/>
      <c r="CG526" s="45" t="s">
        <v>16</v>
      </c>
      <c r="CH526" s="46" t="str">
        <f>IF(VLOOKUP(CG526,βοηθητικό!$J$2:$N$354,3,FALSE)="","",VLOOKUP(CG526,βοηθητικό!$J$2:$N$354,3,FALSE))</f>
        <v>_</v>
      </c>
      <c r="CI526" s="47"/>
      <c r="CJ526" s="42" t="s">
        <v>16</v>
      </c>
      <c r="CK526" s="43" t="str">
        <f>IF(VLOOKUP(CJ526,βοηθητικό!$J$2:$N$354,3,FALSE)="","",VLOOKUP(CJ526,βοηθητικό!$J$2:$N$354,3,FALSE))</f>
        <v>_</v>
      </c>
      <c r="CL526" s="44"/>
      <c r="CM526" s="45" t="s">
        <v>16</v>
      </c>
      <c r="CN526" s="46" t="str">
        <f>IF(VLOOKUP(CM526,βοηθητικό!$J$2:$N$354,3,FALSE)="","",VLOOKUP(CM526,βοηθητικό!$J$2:$N$354,3,FALSE))</f>
        <v>_</v>
      </c>
      <c r="CO526" s="47"/>
      <c r="CP526" s="42" t="s">
        <v>16</v>
      </c>
      <c r="CQ526" s="43" t="str">
        <f>IF(VLOOKUP(CP526,βοηθητικό!$J$2:$N$354,3,FALSE)="","",VLOOKUP(CP526,βοηθητικό!$J$2:$N$354,3,FALSE))</f>
        <v>_</v>
      </c>
      <c r="CR526" s="44"/>
      <c r="CS526" s="45" t="s">
        <v>16</v>
      </c>
      <c r="CT526" s="46" t="str">
        <f>IF(VLOOKUP(CS526,βοηθητικό!$J$2:$N$354,3,FALSE)="","",VLOOKUP(CS526,βοηθητικό!$J$2:$N$354,3,FALSE))</f>
        <v>_</v>
      </c>
      <c r="CU526" s="47"/>
    </row>
    <row r="527" spans="1:99" x14ac:dyDescent="0.25">
      <c r="A527" s="37">
        <f>--SUBTOTAL(3,$B$3:B526)</f>
        <v>198</v>
      </c>
      <c r="B527" s="2"/>
      <c r="C527" s="3"/>
      <c r="D527" s="55" t="s">
        <v>18</v>
      </c>
      <c r="E527" s="38" t="s">
        <v>16</v>
      </c>
      <c r="F527" s="38"/>
      <c r="G527" s="39" t="str">
        <f t="shared" si="26"/>
        <v>__</v>
      </c>
      <c r="H527" s="40" t="str">
        <f t="shared" si="27"/>
        <v>FALSE</v>
      </c>
      <c r="I527" s="41">
        <f t="shared" si="28"/>
        <v>0</v>
      </c>
      <c r="J527" s="4" t="s">
        <v>16</v>
      </c>
      <c r="K527" s="43" t="str">
        <f>IF(VLOOKUP(J527,βοηθητικό!$J$2:$N$354,3,FALSE)="","",VLOOKUP(J527,βοηθητικό!$J$2:$N$354,3,FALSE))</f>
        <v>_</v>
      </c>
      <c r="L527" s="44"/>
      <c r="M527" s="5" t="s">
        <v>16</v>
      </c>
      <c r="N527" s="46" t="str">
        <f>IF(VLOOKUP(M527,βοηθητικό!$J$2:$N$354,3,FALSE)="","",VLOOKUP(M527,βοηθητικό!$J$2:$N$354,3,FALSE))</f>
        <v>_</v>
      </c>
      <c r="O527" s="47"/>
      <c r="P527" s="4" t="s">
        <v>16</v>
      </c>
      <c r="Q527" s="43" t="str">
        <f>IF(VLOOKUP(P527,βοηθητικό!$J$2:$N$354,3,FALSE)="","",VLOOKUP(P527,βοηθητικό!$J$2:$N$354,3,FALSE))</f>
        <v>_</v>
      </c>
      <c r="R527" s="44"/>
      <c r="S527" s="5" t="s">
        <v>16</v>
      </c>
      <c r="T527" s="46" t="str">
        <f>IF(VLOOKUP(S527,βοηθητικό!$J$2:$N$354,3,FALSE)="","",VLOOKUP(S527,βοηθητικό!$J$2:$N$354,3,FALSE))</f>
        <v>_</v>
      </c>
      <c r="U527" s="47"/>
      <c r="V527" s="4" t="s">
        <v>16</v>
      </c>
      <c r="W527" s="43" t="str">
        <f>IF(VLOOKUP(V527,βοηθητικό!$J$2:$N$354,3,FALSE)="","",VLOOKUP(V527,βοηθητικό!$J$2:$N$354,3,FALSE))</f>
        <v>_</v>
      </c>
      <c r="X527" s="44"/>
      <c r="Y527" s="5" t="s">
        <v>16</v>
      </c>
      <c r="Z527" s="46" t="str">
        <f>IF(VLOOKUP(Y527,βοηθητικό!$J$2:$N$354,3,FALSE)="","",VLOOKUP(Y527,βοηθητικό!$J$2:$N$354,3,FALSE))</f>
        <v>_</v>
      </c>
      <c r="AA527" s="47"/>
      <c r="AB527" s="4" t="s">
        <v>16</v>
      </c>
      <c r="AC527" s="43" t="str">
        <f>IF(VLOOKUP(AB527,βοηθητικό!$J$2:$N$354,3,FALSE)="","",VLOOKUP(AB527,βοηθητικό!$J$2:$N$354,3,FALSE))</f>
        <v>_</v>
      </c>
      <c r="AD527" s="44"/>
      <c r="AE527" s="5" t="s">
        <v>16</v>
      </c>
      <c r="AF527" s="46" t="str">
        <f>IF(VLOOKUP(AE527,βοηθητικό!$J$2:$N$354,3,FALSE)="","",VLOOKUP(AE527,βοηθητικό!$J$2:$N$354,3,FALSE))</f>
        <v>_</v>
      </c>
      <c r="AG527" s="47"/>
      <c r="AH527" s="4" t="s">
        <v>16</v>
      </c>
      <c r="AI527" s="43" t="str">
        <f>IF(VLOOKUP(AH527,βοηθητικό!$J$2:$N$354,3,FALSE)="","",VLOOKUP(AH527,βοηθητικό!$J$2:$N$354,3,FALSE))</f>
        <v>_</v>
      </c>
      <c r="AJ527" s="44"/>
      <c r="AK527" s="5" t="s">
        <v>16</v>
      </c>
      <c r="AL527" s="46" t="str">
        <f>IF(VLOOKUP(AK527,βοηθητικό!$J$2:$N$354,3,FALSE)="","",VLOOKUP(AK527,βοηθητικό!$J$2:$N$354,3,FALSE))</f>
        <v>_</v>
      </c>
      <c r="AM527" s="47"/>
      <c r="AN527" s="4" t="s">
        <v>16</v>
      </c>
      <c r="AO527" s="43" t="str">
        <f>IF(VLOOKUP(AN527,βοηθητικό!$J$2:$N$354,3,FALSE)="","",VLOOKUP(AN527,βοηθητικό!$J$2:$N$354,3,FALSE))</f>
        <v>_</v>
      </c>
      <c r="AP527" s="44"/>
      <c r="AQ527" s="5" t="s">
        <v>16</v>
      </c>
      <c r="AR527" s="46" t="str">
        <f>IF(VLOOKUP(AQ527,βοηθητικό!$J$2:$N$354,3,FALSE)="","",VLOOKUP(AQ527,βοηθητικό!$J$2:$N$354,3,FALSE))</f>
        <v>_</v>
      </c>
      <c r="AS527" s="47"/>
      <c r="AT527" s="4" t="s">
        <v>16</v>
      </c>
      <c r="AU527" s="43" t="str">
        <f>IF(VLOOKUP(AT527,βοηθητικό!$J$2:$N$354,3,FALSE)="","",VLOOKUP(AT527,βοηθητικό!$J$2:$N$354,3,FALSE))</f>
        <v>_</v>
      </c>
      <c r="AV527" s="44"/>
      <c r="AW527" s="5" t="s">
        <v>16</v>
      </c>
      <c r="AX527" s="46" t="str">
        <f>IF(VLOOKUP(AW527,βοηθητικό!$J$2:$N$354,3,FALSE)="","",VLOOKUP(AW527,βοηθητικό!$J$2:$N$354,3,FALSE))</f>
        <v>_</v>
      </c>
      <c r="AY527" s="47"/>
      <c r="AZ527" s="4" t="s">
        <v>16</v>
      </c>
      <c r="BA527" s="43" t="str">
        <f>IF(VLOOKUP(AZ527,βοηθητικό!$J$2:$N$354,3,FALSE)="","",VLOOKUP(AZ527,βοηθητικό!$J$2:$N$354,3,FALSE))</f>
        <v>_</v>
      </c>
      <c r="BB527" s="44"/>
      <c r="BC527" s="45" t="s">
        <v>16</v>
      </c>
      <c r="BD527" s="46" t="str">
        <f>IF(VLOOKUP(BC527,βοηθητικό!$J$2:$N$354,3,FALSE)="","",VLOOKUP(BC527,βοηθητικό!$J$2:$N$354,3,FALSE))</f>
        <v>_</v>
      </c>
      <c r="BE527" s="47"/>
      <c r="BF527" s="42" t="s">
        <v>16</v>
      </c>
      <c r="BG527" s="43" t="str">
        <f>IF(VLOOKUP(BF527,βοηθητικό!$J$2:$N$354,3,FALSE)="","",VLOOKUP(BF527,βοηθητικό!$J$2:$N$354,3,FALSE))</f>
        <v>_</v>
      </c>
      <c r="BH527" s="44"/>
      <c r="BI527" s="45" t="s">
        <v>16</v>
      </c>
      <c r="BJ527" s="46" t="str">
        <f>IF(VLOOKUP(BI527,βοηθητικό!$J$2:$N$354,3,FALSE)="","",VLOOKUP(BI527,βοηθητικό!$J$2:$N$354,3,FALSE))</f>
        <v>_</v>
      </c>
      <c r="BK527" s="47"/>
      <c r="BL527" s="42" t="s">
        <v>16</v>
      </c>
      <c r="BM527" s="43" t="str">
        <f>IF(VLOOKUP(BL527,βοηθητικό!$J$2:$N$354,3,FALSE)="","",VLOOKUP(BL527,βοηθητικό!$J$2:$N$354,3,FALSE))</f>
        <v>_</v>
      </c>
      <c r="BN527" s="44"/>
      <c r="BO527" s="45" t="s">
        <v>16</v>
      </c>
      <c r="BP527" s="46" t="str">
        <f>IF(VLOOKUP(BO527,βοηθητικό!$J$2:$N$354,3,FALSE)="","",VLOOKUP(BO527,βοηθητικό!$J$2:$N$354,3,FALSE))</f>
        <v>_</v>
      </c>
      <c r="BQ527" s="47"/>
      <c r="BR527" s="42" t="s">
        <v>16</v>
      </c>
      <c r="BS527" s="43" t="str">
        <f>IF(VLOOKUP(BR527,βοηθητικό!$J$2:$N$354,3,FALSE)="","",VLOOKUP(BR527,βοηθητικό!$J$2:$N$354,3,FALSE))</f>
        <v>_</v>
      </c>
      <c r="BT527" s="44"/>
      <c r="BU527" s="45" t="s">
        <v>16</v>
      </c>
      <c r="BV527" s="46" t="str">
        <f>IF(VLOOKUP(BU527,βοηθητικό!$J$2:$N$354,3,FALSE)="","",VLOOKUP(BU527,βοηθητικό!$J$2:$N$354,3,FALSE))</f>
        <v>_</v>
      </c>
      <c r="BW527" s="47"/>
      <c r="BX527" s="42" t="s">
        <v>16</v>
      </c>
      <c r="BY527" s="43" t="str">
        <f>IF(VLOOKUP(BX527,βοηθητικό!$J$2:$N$354,3,FALSE)="","",VLOOKUP(BX527,βοηθητικό!$J$2:$N$354,3,FALSE))</f>
        <v>_</v>
      </c>
      <c r="BZ527" s="44"/>
      <c r="CA527" s="45" t="s">
        <v>16</v>
      </c>
      <c r="CB527" s="46" t="str">
        <f>IF(VLOOKUP(CA527,βοηθητικό!$J$2:$N$354,3,FALSE)="","",VLOOKUP(CA527,βοηθητικό!$J$2:$N$354,3,FALSE))</f>
        <v>_</v>
      </c>
      <c r="CC527" s="47"/>
      <c r="CD527" s="42" t="s">
        <v>16</v>
      </c>
      <c r="CE527" s="43" t="str">
        <f>IF(VLOOKUP(CD527,βοηθητικό!$J$2:$N$354,3,FALSE)="","",VLOOKUP(CD527,βοηθητικό!$J$2:$N$354,3,FALSE))</f>
        <v>_</v>
      </c>
      <c r="CF527" s="44"/>
      <c r="CG527" s="45" t="s">
        <v>16</v>
      </c>
      <c r="CH527" s="46" t="str">
        <f>IF(VLOOKUP(CG527,βοηθητικό!$J$2:$N$354,3,FALSE)="","",VLOOKUP(CG527,βοηθητικό!$J$2:$N$354,3,FALSE))</f>
        <v>_</v>
      </c>
      <c r="CI527" s="47"/>
      <c r="CJ527" s="42" t="s">
        <v>16</v>
      </c>
      <c r="CK527" s="43" t="str">
        <f>IF(VLOOKUP(CJ527,βοηθητικό!$J$2:$N$354,3,FALSE)="","",VLOOKUP(CJ527,βοηθητικό!$J$2:$N$354,3,FALSE))</f>
        <v>_</v>
      </c>
      <c r="CL527" s="44"/>
      <c r="CM527" s="45" t="s">
        <v>16</v>
      </c>
      <c r="CN527" s="46" t="str">
        <f>IF(VLOOKUP(CM527,βοηθητικό!$J$2:$N$354,3,FALSE)="","",VLOOKUP(CM527,βοηθητικό!$J$2:$N$354,3,FALSE))</f>
        <v>_</v>
      </c>
      <c r="CO527" s="47"/>
      <c r="CP527" s="42" t="s">
        <v>16</v>
      </c>
      <c r="CQ527" s="43" t="str">
        <f>IF(VLOOKUP(CP527,βοηθητικό!$J$2:$N$354,3,FALSE)="","",VLOOKUP(CP527,βοηθητικό!$J$2:$N$354,3,FALSE))</f>
        <v>_</v>
      </c>
      <c r="CR527" s="44"/>
      <c r="CS527" s="45" t="s">
        <v>16</v>
      </c>
      <c r="CT527" s="46" t="str">
        <f>IF(VLOOKUP(CS527,βοηθητικό!$J$2:$N$354,3,FALSE)="","",VLOOKUP(CS527,βοηθητικό!$J$2:$N$354,3,FALSE))</f>
        <v>_</v>
      </c>
      <c r="CU527" s="47"/>
    </row>
    <row r="528" spans="1:99" x14ac:dyDescent="0.25">
      <c r="A528" s="37">
        <f>--SUBTOTAL(3,$B$3:B527)</f>
        <v>198</v>
      </c>
      <c r="B528" s="2"/>
      <c r="C528" s="3"/>
      <c r="D528" s="55" t="s">
        <v>18</v>
      </c>
      <c r="E528" s="38" t="s">
        <v>16</v>
      </c>
      <c r="F528" s="38"/>
      <c r="G528" s="39" t="str">
        <f t="shared" si="26"/>
        <v>__</v>
      </c>
      <c r="H528" s="40" t="str">
        <f t="shared" si="27"/>
        <v>FALSE</v>
      </c>
      <c r="I528" s="41">
        <f t="shared" si="28"/>
        <v>0</v>
      </c>
      <c r="J528" s="4" t="s">
        <v>16</v>
      </c>
      <c r="K528" s="43" t="str">
        <f>IF(VLOOKUP(J528,βοηθητικό!$J$2:$N$354,3,FALSE)="","",VLOOKUP(J528,βοηθητικό!$J$2:$N$354,3,FALSE))</f>
        <v>_</v>
      </c>
      <c r="L528" s="44"/>
      <c r="M528" s="5" t="s">
        <v>16</v>
      </c>
      <c r="N528" s="46" t="str">
        <f>IF(VLOOKUP(M528,βοηθητικό!$J$2:$N$354,3,FALSE)="","",VLOOKUP(M528,βοηθητικό!$J$2:$N$354,3,FALSE))</f>
        <v>_</v>
      </c>
      <c r="O528" s="47"/>
      <c r="P528" s="4" t="s">
        <v>16</v>
      </c>
      <c r="Q528" s="43" t="str">
        <f>IF(VLOOKUP(P528,βοηθητικό!$J$2:$N$354,3,FALSE)="","",VLOOKUP(P528,βοηθητικό!$J$2:$N$354,3,FALSE))</f>
        <v>_</v>
      </c>
      <c r="R528" s="44"/>
      <c r="S528" s="5" t="s">
        <v>16</v>
      </c>
      <c r="T528" s="46" t="str">
        <f>IF(VLOOKUP(S528,βοηθητικό!$J$2:$N$354,3,FALSE)="","",VLOOKUP(S528,βοηθητικό!$J$2:$N$354,3,FALSE))</f>
        <v>_</v>
      </c>
      <c r="U528" s="47"/>
      <c r="V528" s="4" t="s">
        <v>16</v>
      </c>
      <c r="W528" s="43" t="str">
        <f>IF(VLOOKUP(V528,βοηθητικό!$J$2:$N$354,3,FALSE)="","",VLOOKUP(V528,βοηθητικό!$J$2:$N$354,3,FALSE))</f>
        <v>_</v>
      </c>
      <c r="X528" s="44"/>
      <c r="Y528" s="5" t="s">
        <v>16</v>
      </c>
      <c r="Z528" s="46" t="str">
        <f>IF(VLOOKUP(Y528,βοηθητικό!$J$2:$N$354,3,FALSE)="","",VLOOKUP(Y528,βοηθητικό!$J$2:$N$354,3,FALSE))</f>
        <v>_</v>
      </c>
      <c r="AA528" s="47"/>
      <c r="AB528" s="4" t="s">
        <v>16</v>
      </c>
      <c r="AC528" s="43" t="str">
        <f>IF(VLOOKUP(AB528,βοηθητικό!$J$2:$N$354,3,FALSE)="","",VLOOKUP(AB528,βοηθητικό!$J$2:$N$354,3,FALSE))</f>
        <v>_</v>
      </c>
      <c r="AD528" s="44"/>
      <c r="AE528" s="5" t="s">
        <v>16</v>
      </c>
      <c r="AF528" s="46" t="str">
        <f>IF(VLOOKUP(AE528,βοηθητικό!$J$2:$N$354,3,FALSE)="","",VLOOKUP(AE528,βοηθητικό!$J$2:$N$354,3,FALSE))</f>
        <v>_</v>
      </c>
      <c r="AG528" s="47"/>
      <c r="AH528" s="4" t="s">
        <v>16</v>
      </c>
      <c r="AI528" s="43" t="str">
        <f>IF(VLOOKUP(AH528,βοηθητικό!$J$2:$N$354,3,FALSE)="","",VLOOKUP(AH528,βοηθητικό!$J$2:$N$354,3,FALSE))</f>
        <v>_</v>
      </c>
      <c r="AJ528" s="44"/>
      <c r="AK528" s="5" t="s">
        <v>16</v>
      </c>
      <c r="AL528" s="46" t="str">
        <f>IF(VLOOKUP(AK528,βοηθητικό!$J$2:$N$354,3,FALSE)="","",VLOOKUP(AK528,βοηθητικό!$J$2:$N$354,3,FALSE))</f>
        <v>_</v>
      </c>
      <c r="AM528" s="47"/>
      <c r="AN528" s="4" t="s">
        <v>16</v>
      </c>
      <c r="AO528" s="43" t="str">
        <f>IF(VLOOKUP(AN528,βοηθητικό!$J$2:$N$354,3,FALSE)="","",VLOOKUP(AN528,βοηθητικό!$J$2:$N$354,3,FALSE))</f>
        <v>_</v>
      </c>
      <c r="AP528" s="44"/>
      <c r="AQ528" s="5" t="s">
        <v>16</v>
      </c>
      <c r="AR528" s="46" t="str">
        <f>IF(VLOOKUP(AQ528,βοηθητικό!$J$2:$N$354,3,FALSE)="","",VLOOKUP(AQ528,βοηθητικό!$J$2:$N$354,3,FALSE))</f>
        <v>_</v>
      </c>
      <c r="AS528" s="47"/>
      <c r="AT528" s="4" t="s">
        <v>16</v>
      </c>
      <c r="AU528" s="43" t="str">
        <f>IF(VLOOKUP(AT528,βοηθητικό!$J$2:$N$354,3,FALSE)="","",VLOOKUP(AT528,βοηθητικό!$J$2:$N$354,3,FALSE))</f>
        <v>_</v>
      </c>
      <c r="AV528" s="44"/>
      <c r="AW528" s="5" t="s">
        <v>16</v>
      </c>
      <c r="AX528" s="46" t="str">
        <f>IF(VLOOKUP(AW528,βοηθητικό!$J$2:$N$354,3,FALSE)="","",VLOOKUP(AW528,βοηθητικό!$J$2:$N$354,3,FALSE))</f>
        <v>_</v>
      </c>
      <c r="AY528" s="47"/>
      <c r="AZ528" s="4" t="s">
        <v>16</v>
      </c>
      <c r="BA528" s="43" t="str">
        <f>IF(VLOOKUP(AZ528,βοηθητικό!$J$2:$N$354,3,FALSE)="","",VLOOKUP(AZ528,βοηθητικό!$J$2:$N$354,3,FALSE))</f>
        <v>_</v>
      </c>
      <c r="BB528" s="44"/>
      <c r="BC528" s="45" t="s">
        <v>16</v>
      </c>
      <c r="BD528" s="46" t="str">
        <f>IF(VLOOKUP(BC528,βοηθητικό!$J$2:$N$354,3,FALSE)="","",VLOOKUP(BC528,βοηθητικό!$J$2:$N$354,3,FALSE))</f>
        <v>_</v>
      </c>
      <c r="BE528" s="47"/>
      <c r="BF528" s="42" t="s">
        <v>16</v>
      </c>
      <c r="BG528" s="43" t="str">
        <f>IF(VLOOKUP(BF528,βοηθητικό!$J$2:$N$354,3,FALSE)="","",VLOOKUP(BF528,βοηθητικό!$J$2:$N$354,3,FALSE))</f>
        <v>_</v>
      </c>
      <c r="BH528" s="44"/>
      <c r="BI528" s="45" t="s">
        <v>16</v>
      </c>
      <c r="BJ528" s="46" t="str">
        <f>IF(VLOOKUP(BI528,βοηθητικό!$J$2:$N$354,3,FALSE)="","",VLOOKUP(BI528,βοηθητικό!$J$2:$N$354,3,FALSE))</f>
        <v>_</v>
      </c>
      <c r="BK528" s="47"/>
      <c r="BL528" s="42" t="s">
        <v>16</v>
      </c>
      <c r="BM528" s="43" t="str">
        <f>IF(VLOOKUP(BL528,βοηθητικό!$J$2:$N$354,3,FALSE)="","",VLOOKUP(BL528,βοηθητικό!$J$2:$N$354,3,FALSE))</f>
        <v>_</v>
      </c>
      <c r="BN528" s="44"/>
      <c r="BO528" s="45" t="s">
        <v>16</v>
      </c>
      <c r="BP528" s="46" t="str">
        <f>IF(VLOOKUP(BO528,βοηθητικό!$J$2:$N$354,3,FALSE)="","",VLOOKUP(BO528,βοηθητικό!$J$2:$N$354,3,FALSE))</f>
        <v>_</v>
      </c>
      <c r="BQ528" s="47"/>
      <c r="BR528" s="42" t="s">
        <v>16</v>
      </c>
      <c r="BS528" s="43" t="str">
        <f>IF(VLOOKUP(BR528,βοηθητικό!$J$2:$N$354,3,FALSE)="","",VLOOKUP(BR528,βοηθητικό!$J$2:$N$354,3,FALSE))</f>
        <v>_</v>
      </c>
      <c r="BT528" s="44"/>
      <c r="BU528" s="45" t="s">
        <v>16</v>
      </c>
      <c r="BV528" s="46" t="str">
        <f>IF(VLOOKUP(BU528,βοηθητικό!$J$2:$N$354,3,FALSE)="","",VLOOKUP(BU528,βοηθητικό!$J$2:$N$354,3,FALSE))</f>
        <v>_</v>
      </c>
      <c r="BW528" s="47"/>
      <c r="BX528" s="42" t="s">
        <v>16</v>
      </c>
      <c r="BY528" s="43" t="str">
        <f>IF(VLOOKUP(BX528,βοηθητικό!$J$2:$N$354,3,FALSE)="","",VLOOKUP(BX528,βοηθητικό!$J$2:$N$354,3,FALSE))</f>
        <v>_</v>
      </c>
      <c r="BZ528" s="44"/>
      <c r="CA528" s="45" t="s">
        <v>16</v>
      </c>
      <c r="CB528" s="46" t="str">
        <f>IF(VLOOKUP(CA528,βοηθητικό!$J$2:$N$354,3,FALSE)="","",VLOOKUP(CA528,βοηθητικό!$J$2:$N$354,3,FALSE))</f>
        <v>_</v>
      </c>
      <c r="CC528" s="47"/>
      <c r="CD528" s="42" t="s">
        <v>16</v>
      </c>
      <c r="CE528" s="43" t="str">
        <f>IF(VLOOKUP(CD528,βοηθητικό!$J$2:$N$354,3,FALSE)="","",VLOOKUP(CD528,βοηθητικό!$J$2:$N$354,3,FALSE))</f>
        <v>_</v>
      </c>
      <c r="CF528" s="44"/>
      <c r="CG528" s="45" t="s">
        <v>16</v>
      </c>
      <c r="CH528" s="46" t="str">
        <f>IF(VLOOKUP(CG528,βοηθητικό!$J$2:$N$354,3,FALSE)="","",VLOOKUP(CG528,βοηθητικό!$J$2:$N$354,3,FALSE))</f>
        <v>_</v>
      </c>
      <c r="CI528" s="47"/>
      <c r="CJ528" s="42" t="s">
        <v>16</v>
      </c>
      <c r="CK528" s="43" t="str">
        <f>IF(VLOOKUP(CJ528,βοηθητικό!$J$2:$N$354,3,FALSE)="","",VLOOKUP(CJ528,βοηθητικό!$J$2:$N$354,3,FALSE))</f>
        <v>_</v>
      </c>
      <c r="CL528" s="44"/>
      <c r="CM528" s="45" t="s">
        <v>16</v>
      </c>
      <c r="CN528" s="46" t="str">
        <f>IF(VLOOKUP(CM528,βοηθητικό!$J$2:$N$354,3,FALSE)="","",VLOOKUP(CM528,βοηθητικό!$J$2:$N$354,3,FALSE))</f>
        <v>_</v>
      </c>
      <c r="CO528" s="47"/>
      <c r="CP528" s="42" t="s">
        <v>16</v>
      </c>
      <c r="CQ528" s="43" t="str">
        <f>IF(VLOOKUP(CP528,βοηθητικό!$J$2:$N$354,3,FALSE)="","",VLOOKUP(CP528,βοηθητικό!$J$2:$N$354,3,FALSE))</f>
        <v>_</v>
      </c>
      <c r="CR528" s="44"/>
      <c r="CS528" s="45" t="s">
        <v>16</v>
      </c>
      <c r="CT528" s="46" t="str">
        <f>IF(VLOOKUP(CS528,βοηθητικό!$J$2:$N$354,3,FALSE)="","",VLOOKUP(CS528,βοηθητικό!$J$2:$N$354,3,FALSE))</f>
        <v>_</v>
      </c>
      <c r="CU528" s="47"/>
    </row>
    <row r="529" spans="1:99" x14ac:dyDescent="0.25">
      <c r="A529" s="37">
        <f>--SUBTOTAL(3,$B$3:B528)</f>
        <v>198</v>
      </c>
      <c r="B529" s="2"/>
      <c r="C529" s="3"/>
      <c r="D529" s="55" t="s">
        <v>18</v>
      </c>
      <c r="E529" s="38" t="s">
        <v>16</v>
      </c>
      <c r="F529" s="38"/>
      <c r="G529" s="39" t="str">
        <f t="shared" si="26"/>
        <v>__</v>
      </c>
      <c r="H529" s="40" t="str">
        <f t="shared" si="27"/>
        <v>FALSE</v>
      </c>
      <c r="I529" s="41">
        <f t="shared" si="28"/>
        <v>0</v>
      </c>
      <c r="J529" s="4" t="s">
        <v>16</v>
      </c>
      <c r="K529" s="43" t="str">
        <f>IF(VLOOKUP(J529,βοηθητικό!$J$2:$N$354,3,FALSE)="","",VLOOKUP(J529,βοηθητικό!$J$2:$N$354,3,FALSE))</f>
        <v>_</v>
      </c>
      <c r="L529" s="44"/>
      <c r="M529" s="5" t="s">
        <v>16</v>
      </c>
      <c r="N529" s="46" t="str">
        <f>IF(VLOOKUP(M529,βοηθητικό!$J$2:$N$354,3,FALSE)="","",VLOOKUP(M529,βοηθητικό!$J$2:$N$354,3,FALSE))</f>
        <v>_</v>
      </c>
      <c r="O529" s="47"/>
      <c r="P529" s="4" t="s">
        <v>16</v>
      </c>
      <c r="Q529" s="43" t="str">
        <f>IF(VLOOKUP(P529,βοηθητικό!$J$2:$N$354,3,FALSE)="","",VLOOKUP(P529,βοηθητικό!$J$2:$N$354,3,FALSE))</f>
        <v>_</v>
      </c>
      <c r="R529" s="44"/>
      <c r="S529" s="5" t="s">
        <v>16</v>
      </c>
      <c r="T529" s="46" t="str">
        <f>IF(VLOOKUP(S529,βοηθητικό!$J$2:$N$354,3,FALSE)="","",VLOOKUP(S529,βοηθητικό!$J$2:$N$354,3,FALSE))</f>
        <v>_</v>
      </c>
      <c r="U529" s="47"/>
      <c r="V529" s="4" t="s">
        <v>16</v>
      </c>
      <c r="W529" s="43" t="str">
        <f>IF(VLOOKUP(V529,βοηθητικό!$J$2:$N$354,3,FALSE)="","",VLOOKUP(V529,βοηθητικό!$J$2:$N$354,3,FALSE))</f>
        <v>_</v>
      </c>
      <c r="X529" s="44"/>
      <c r="Y529" s="5" t="s">
        <v>16</v>
      </c>
      <c r="Z529" s="46" t="str">
        <f>IF(VLOOKUP(Y529,βοηθητικό!$J$2:$N$354,3,FALSE)="","",VLOOKUP(Y529,βοηθητικό!$J$2:$N$354,3,FALSE))</f>
        <v>_</v>
      </c>
      <c r="AA529" s="47"/>
      <c r="AB529" s="4" t="s">
        <v>16</v>
      </c>
      <c r="AC529" s="43" t="str">
        <f>IF(VLOOKUP(AB529,βοηθητικό!$J$2:$N$354,3,FALSE)="","",VLOOKUP(AB529,βοηθητικό!$J$2:$N$354,3,FALSE))</f>
        <v>_</v>
      </c>
      <c r="AD529" s="44"/>
      <c r="AE529" s="5" t="s">
        <v>16</v>
      </c>
      <c r="AF529" s="46" t="str">
        <f>IF(VLOOKUP(AE529,βοηθητικό!$J$2:$N$354,3,FALSE)="","",VLOOKUP(AE529,βοηθητικό!$J$2:$N$354,3,FALSE))</f>
        <v>_</v>
      </c>
      <c r="AG529" s="47"/>
      <c r="AH529" s="4" t="s">
        <v>16</v>
      </c>
      <c r="AI529" s="43" t="str">
        <f>IF(VLOOKUP(AH529,βοηθητικό!$J$2:$N$354,3,FALSE)="","",VLOOKUP(AH529,βοηθητικό!$J$2:$N$354,3,FALSE))</f>
        <v>_</v>
      </c>
      <c r="AJ529" s="44"/>
      <c r="AK529" s="5" t="s">
        <v>16</v>
      </c>
      <c r="AL529" s="46" t="str">
        <f>IF(VLOOKUP(AK529,βοηθητικό!$J$2:$N$354,3,FALSE)="","",VLOOKUP(AK529,βοηθητικό!$J$2:$N$354,3,FALSE))</f>
        <v>_</v>
      </c>
      <c r="AM529" s="47"/>
      <c r="AN529" s="4" t="s">
        <v>16</v>
      </c>
      <c r="AO529" s="43" t="str">
        <f>IF(VLOOKUP(AN529,βοηθητικό!$J$2:$N$354,3,FALSE)="","",VLOOKUP(AN529,βοηθητικό!$J$2:$N$354,3,FALSE))</f>
        <v>_</v>
      </c>
      <c r="AP529" s="44"/>
      <c r="AQ529" s="5" t="s">
        <v>16</v>
      </c>
      <c r="AR529" s="46" t="str">
        <f>IF(VLOOKUP(AQ529,βοηθητικό!$J$2:$N$354,3,FALSE)="","",VLOOKUP(AQ529,βοηθητικό!$J$2:$N$354,3,FALSE))</f>
        <v>_</v>
      </c>
      <c r="AS529" s="47"/>
      <c r="AT529" s="4" t="s">
        <v>16</v>
      </c>
      <c r="AU529" s="43" t="str">
        <f>IF(VLOOKUP(AT529,βοηθητικό!$J$2:$N$354,3,FALSE)="","",VLOOKUP(AT529,βοηθητικό!$J$2:$N$354,3,FALSE))</f>
        <v>_</v>
      </c>
      <c r="AV529" s="44"/>
      <c r="AW529" s="5" t="s">
        <v>16</v>
      </c>
      <c r="AX529" s="46" t="str">
        <f>IF(VLOOKUP(AW529,βοηθητικό!$J$2:$N$354,3,FALSE)="","",VLOOKUP(AW529,βοηθητικό!$J$2:$N$354,3,FALSE))</f>
        <v>_</v>
      </c>
      <c r="AY529" s="47"/>
      <c r="AZ529" s="4" t="s">
        <v>16</v>
      </c>
      <c r="BA529" s="43" t="str">
        <f>IF(VLOOKUP(AZ529,βοηθητικό!$J$2:$N$354,3,FALSE)="","",VLOOKUP(AZ529,βοηθητικό!$J$2:$N$354,3,FALSE))</f>
        <v>_</v>
      </c>
      <c r="BB529" s="44"/>
      <c r="BC529" s="45" t="s">
        <v>16</v>
      </c>
      <c r="BD529" s="46" t="str">
        <f>IF(VLOOKUP(BC529,βοηθητικό!$J$2:$N$354,3,FALSE)="","",VLOOKUP(BC529,βοηθητικό!$J$2:$N$354,3,FALSE))</f>
        <v>_</v>
      </c>
      <c r="BE529" s="47"/>
      <c r="BF529" s="42" t="s">
        <v>16</v>
      </c>
      <c r="BG529" s="43" t="str">
        <f>IF(VLOOKUP(BF529,βοηθητικό!$J$2:$N$354,3,FALSE)="","",VLOOKUP(BF529,βοηθητικό!$J$2:$N$354,3,FALSE))</f>
        <v>_</v>
      </c>
      <c r="BH529" s="44"/>
      <c r="BI529" s="45" t="s">
        <v>16</v>
      </c>
      <c r="BJ529" s="46" t="str">
        <f>IF(VLOOKUP(BI529,βοηθητικό!$J$2:$N$354,3,FALSE)="","",VLOOKUP(BI529,βοηθητικό!$J$2:$N$354,3,FALSE))</f>
        <v>_</v>
      </c>
      <c r="BK529" s="47"/>
      <c r="BL529" s="42" t="s">
        <v>16</v>
      </c>
      <c r="BM529" s="43" t="str">
        <f>IF(VLOOKUP(BL529,βοηθητικό!$J$2:$N$354,3,FALSE)="","",VLOOKUP(BL529,βοηθητικό!$J$2:$N$354,3,FALSE))</f>
        <v>_</v>
      </c>
      <c r="BN529" s="44"/>
      <c r="BO529" s="45" t="s">
        <v>16</v>
      </c>
      <c r="BP529" s="46" t="str">
        <f>IF(VLOOKUP(BO529,βοηθητικό!$J$2:$N$354,3,FALSE)="","",VLOOKUP(BO529,βοηθητικό!$J$2:$N$354,3,FALSE))</f>
        <v>_</v>
      </c>
      <c r="BQ529" s="47"/>
      <c r="BR529" s="42" t="s">
        <v>16</v>
      </c>
      <c r="BS529" s="43" t="str">
        <f>IF(VLOOKUP(BR529,βοηθητικό!$J$2:$N$354,3,FALSE)="","",VLOOKUP(BR529,βοηθητικό!$J$2:$N$354,3,FALSE))</f>
        <v>_</v>
      </c>
      <c r="BT529" s="44"/>
      <c r="BU529" s="45" t="s">
        <v>16</v>
      </c>
      <c r="BV529" s="46" t="str">
        <f>IF(VLOOKUP(BU529,βοηθητικό!$J$2:$N$354,3,FALSE)="","",VLOOKUP(BU529,βοηθητικό!$J$2:$N$354,3,FALSE))</f>
        <v>_</v>
      </c>
      <c r="BW529" s="47"/>
      <c r="BX529" s="42" t="s">
        <v>16</v>
      </c>
      <c r="BY529" s="43" t="str">
        <f>IF(VLOOKUP(BX529,βοηθητικό!$J$2:$N$354,3,FALSE)="","",VLOOKUP(BX529,βοηθητικό!$J$2:$N$354,3,FALSE))</f>
        <v>_</v>
      </c>
      <c r="BZ529" s="44"/>
      <c r="CA529" s="45" t="s">
        <v>16</v>
      </c>
      <c r="CB529" s="46" t="str">
        <f>IF(VLOOKUP(CA529,βοηθητικό!$J$2:$N$354,3,FALSE)="","",VLOOKUP(CA529,βοηθητικό!$J$2:$N$354,3,FALSE))</f>
        <v>_</v>
      </c>
      <c r="CC529" s="47"/>
      <c r="CD529" s="42" t="s">
        <v>16</v>
      </c>
      <c r="CE529" s="43" t="str">
        <f>IF(VLOOKUP(CD529,βοηθητικό!$J$2:$N$354,3,FALSE)="","",VLOOKUP(CD529,βοηθητικό!$J$2:$N$354,3,FALSE))</f>
        <v>_</v>
      </c>
      <c r="CF529" s="44"/>
      <c r="CG529" s="45" t="s">
        <v>16</v>
      </c>
      <c r="CH529" s="46" t="str">
        <f>IF(VLOOKUP(CG529,βοηθητικό!$J$2:$N$354,3,FALSE)="","",VLOOKUP(CG529,βοηθητικό!$J$2:$N$354,3,FALSE))</f>
        <v>_</v>
      </c>
      <c r="CI529" s="47"/>
      <c r="CJ529" s="42" t="s">
        <v>16</v>
      </c>
      <c r="CK529" s="43" t="str">
        <f>IF(VLOOKUP(CJ529,βοηθητικό!$J$2:$N$354,3,FALSE)="","",VLOOKUP(CJ529,βοηθητικό!$J$2:$N$354,3,FALSE))</f>
        <v>_</v>
      </c>
      <c r="CL529" s="44"/>
      <c r="CM529" s="45" t="s">
        <v>16</v>
      </c>
      <c r="CN529" s="46" t="str">
        <f>IF(VLOOKUP(CM529,βοηθητικό!$J$2:$N$354,3,FALSE)="","",VLOOKUP(CM529,βοηθητικό!$J$2:$N$354,3,FALSE))</f>
        <v>_</v>
      </c>
      <c r="CO529" s="47"/>
      <c r="CP529" s="42" t="s">
        <v>16</v>
      </c>
      <c r="CQ529" s="43" t="str">
        <f>IF(VLOOKUP(CP529,βοηθητικό!$J$2:$N$354,3,FALSE)="","",VLOOKUP(CP529,βοηθητικό!$J$2:$N$354,3,FALSE))</f>
        <v>_</v>
      </c>
      <c r="CR529" s="44"/>
      <c r="CS529" s="45" t="s">
        <v>16</v>
      </c>
      <c r="CT529" s="46" t="str">
        <f>IF(VLOOKUP(CS529,βοηθητικό!$J$2:$N$354,3,FALSE)="","",VLOOKUP(CS529,βοηθητικό!$J$2:$N$354,3,FALSE))</f>
        <v>_</v>
      </c>
      <c r="CU529" s="47"/>
    </row>
    <row r="530" spans="1:99" x14ac:dyDescent="0.25">
      <c r="A530" s="37">
        <f>--SUBTOTAL(3,$B$3:B529)</f>
        <v>198</v>
      </c>
      <c r="B530" s="2"/>
      <c r="C530" s="3"/>
      <c r="D530" s="55" t="s">
        <v>18</v>
      </c>
      <c r="E530" s="38" t="s">
        <v>16</v>
      </c>
      <c r="F530" s="38"/>
      <c r="G530" s="39" t="str">
        <f t="shared" si="26"/>
        <v>__</v>
      </c>
      <c r="H530" s="40" t="str">
        <f t="shared" si="27"/>
        <v>FALSE</v>
      </c>
      <c r="I530" s="41">
        <f t="shared" si="28"/>
        <v>0</v>
      </c>
      <c r="J530" s="4" t="s">
        <v>16</v>
      </c>
      <c r="K530" s="43" t="str">
        <f>IF(VLOOKUP(J530,βοηθητικό!$J$2:$N$354,3,FALSE)="","",VLOOKUP(J530,βοηθητικό!$J$2:$N$354,3,FALSE))</f>
        <v>_</v>
      </c>
      <c r="L530" s="44"/>
      <c r="M530" s="5" t="s">
        <v>16</v>
      </c>
      <c r="N530" s="46" t="str">
        <f>IF(VLOOKUP(M530,βοηθητικό!$J$2:$N$354,3,FALSE)="","",VLOOKUP(M530,βοηθητικό!$J$2:$N$354,3,FALSE))</f>
        <v>_</v>
      </c>
      <c r="O530" s="47"/>
      <c r="P530" s="4" t="s">
        <v>16</v>
      </c>
      <c r="Q530" s="43" t="str">
        <f>IF(VLOOKUP(P530,βοηθητικό!$J$2:$N$354,3,FALSE)="","",VLOOKUP(P530,βοηθητικό!$J$2:$N$354,3,FALSE))</f>
        <v>_</v>
      </c>
      <c r="R530" s="44"/>
      <c r="S530" s="5" t="s">
        <v>16</v>
      </c>
      <c r="T530" s="46" t="str">
        <f>IF(VLOOKUP(S530,βοηθητικό!$J$2:$N$354,3,FALSE)="","",VLOOKUP(S530,βοηθητικό!$J$2:$N$354,3,FALSE))</f>
        <v>_</v>
      </c>
      <c r="U530" s="47"/>
      <c r="V530" s="4" t="s">
        <v>16</v>
      </c>
      <c r="W530" s="43" t="str">
        <f>IF(VLOOKUP(V530,βοηθητικό!$J$2:$N$354,3,FALSE)="","",VLOOKUP(V530,βοηθητικό!$J$2:$N$354,3,FALSE))</f>
        <v>_</v>
      </c>
      <c r="X530" s="44"/>
      <c r="Y530" s="5" t="s">
        <v>16</v>
      </c>
      <c r="Z530" s="46" t="str">
        <f>IF(VLOOKUP(Y530,βοηθητικό!$J$2:$N$354,3,FALSE)="","",VLOOKUP(Y530,βοηθητικό!$J$2:$N$354,3,FALSE))</f>
        <v>_</v>
      </c>
      <c r="AA530" s="47"/>
      <c r="AB530" s="4" t="s">
        <v>16</v>
      </c>
      <c r="AC530" s="43" t="str">
        <f>IF(VLOOKUP(AB530,βοηθητικό!$J$2:$N$354,3,FALSE)="","",VLOOKUP(AB530,βοηθητικό!$J$2:$N$354,3,FALSE))</f>
        <v>_</v>
      </c>
      <c r="AD530" s="44"/>
      <c r="AE530" s="5" t="s">
        <v>16</v>
      </c>
      <c r="AF530" s="46" t="str">
        <f>IF(VLOOKUP(AE530,βοηθητικό!$J$2:$N$354,3,FALSE)="","",VLOOKUP(AE530,βοηθητικό!$J$2:$N$354,3,FALSE))</f>
        <v>_</v>
      </c>
      <c r="AG530" s="47"/>
      <c r="AH530" s="4" t="s">
        <v>16</v>
      </c>
      <c r="AI530" s="43" t="str">
        <f>IF(VLOOKUP(AH530,βοηθητικό!$J$2:$N$354,3,FALSE)="","",VLOOKUP(AH530,βοηθητικό!$J$2:$N$354,3,FALSE))</f>
        <v>_</v>
      </c>
      <c r="AJ530" s="44"/>
      <c r="AK530" s="5" t="s">
        <v>16</v>
      </c>
      <c r="AL530" s="46" t="str">
        <f>IF(VLOOKUP(AK530,βοηθητικό!$J$2:$N$354,3,FALSE)="","",VLOOKUP(AK530,βοηθητικό!$J$2:$N$354,3,FALSE))</f>
        <v>_</v>
      </c>
      <c r="AM530" s="47"/>
      <c r="AN530" s="4" t="s">
        <v>16</v>
      </c>
      <c r="AO530" s="43" t="str">
        <f>IF(VLOOKUP(AN530,βοηθητικό!$J$2:$N$354,3,FALSE)="","",VLOOKUP(AN530,βοηθητικό!$J$2:$N$354,3,FALSE))</f>
        <v>_</v>
      </c>
      <c r="AP530" s="44"/>
      <c r="AQ530" s="5" t="s">
        <v>16</v>
      </c>
      <c r="AR530" s="46" t="str">
        <f>IF(VLOOKUP(AQ530,βοηθητικό!$J$2:$N$354,3,FALSE)="","",VLOOKUP(AQ530,βοηθητικό!$J$2:$N$354,3,FALSE))</f>
        <v>_</v>
      </c>
      <c r="AS530" s="47"/>
      <c r="AT530" s="4" t="s">
        <v>16</v>
      </c>
      <c r="AU530" s="43" t="str">
        <f>IF(VLOOKUP(AT530,βοηθητικό!$J$2:$N$354,3,FALSE)="","",VLOOKUP(AT530,βοηθητικό!$J$2:$N$354,3,FALSE))</f>
        <v>_</v>
      </c>
      <c r="AV530" s="44"/>
      <c r="AW530" s="5" t="s">
        <v>16</v>
      </c>
      <c r="AX530" s="46" t="str">
        <f>IF(VLOOKUP(AW530,βοηθητικό!$J$2:$N$354,3,FALSE)="","",VLOOKUP(AW530,βοηθητικό!$J$2:$N$354,3,FALSE))</f>
        <v>_</v>
      </c>
      <c r="AY530" s="47"/>
      <c r="AZ530" s="4" t="s">
        <v>16</v>
      </c>
      <c r="BA530" s="43" t="str">
        <f>IF(VLOOKUP(AZ530,βοηθητικό!$J$2:$N$354,3,FALSE)="","",VLOOKUP(AZ530,βοηθητικό!$J$2:$N$354,3,FALSE))</f>
        <v>_</v>
      </c>
      <c r="BB530" s="44"/>
      <c r="BC530" s="45" t="s">
        <v>16</v>
      </c>
      <c r="BD530" s="46" t="str">
        <f>IF(VLOOKUP(BC530,βοηθητικό!$J$2:$N$354,3,FALSE)="","",VLOOKUP(BC530,βοηθητικό!$J$2:$N$354,3,FALSE))</f>
        <v>_</v>
      </c>
      <c r="BE530" s="47"/>
      <c r="BF530" s="42" t="s">
        <v>16</v>
      </c>
      <c r="BG530" s="43" t="str">
        <f>IF(VLOOKUP(BF530,βοηθητικό!$J$2:$N$354,3,FALSE)="","",VLOOKUP(BF530,βοηθητικό!$J$2:$N$354,3,FALSE))</f>
        <v>_</v>
      </c>
      <c r="BH530" s="44"/>
      <c r="BI530" s="45" t="s">
        <v>16</v>
      </c>
      <c r="BJ530" s="46" t="str">
        <f>IF(VLOOKUP(BI530,βοηθητικό!$J$2:$N$354,3,FALSE)="","",VLOOKUP(BI530,βοηθητικό!$J$2:$N$354,3,FALSE))</f>
        <v>_</v>
      </c>
      <c r="BK530" s="47"/>
      <c r="BL530" s="42" t="s">
        <v>16</v>
      </c>
      <c r="BM530" s="43" t="str">
        <f>IF(VLOOKUP(BL530,βοηθητικό!$J$2:$N$354,3,FALSE)="","",VLOOKUP(BL530,βοηθητικό!$J$2:$N$354,3,FALSE))</f>
        <v>_</v>
      </c>
      <c r="BN530" s="44"/>
      <c r="BO530" s="45" t="s">
        <v>16</v>
      </c>
      <c r="BP530" s="46" t="str">
        <f>IF(VLOOKUP(BO530,βοηθητικό!$J$2:$N$354,3,FALSE)="","",VLOOKUP(BO530,βοηθητικό!$J$2:$N$354,3,FALSE))</f>
        <v>_</v>
      </c>
      <c r="BQ530" s="47"/>
      <c r="BR530" s="42" t="s">
        <v>16</v>
      </c>
      <c r="BS530" s="43" t="str">
        <f>IF(VLOOKUP(BR530,βοηθητικό!$J$2:$N$354,3,FALSE)="","",VLOOKUP(BR530,βοηθητικό!$J$2:$N$354,3,FALSE))</f>
        <v>_</v>
      </c>
      <c r="BT530" s="44"/>
      <c r="BU530" s="45" t="s">
        <v>16</v>
      </c>
      <c r="BV530" s="46" t="str">
        <f>IF(VLOOKUP(BU530,βοηθητικό!$J$2:$N$354,3,FALSE)="","",VLOOKUP(BU530,βοηθητικό!$J$2:$N$354,3,FALSE))</f>
        <v>_</v>
      </c>
      <c r="BW530" s="47"/>
      <c r="BX530" s="42" t="s">
        <v>16</v>
      </c>
      <c r="BY530" s="43" t="str">
        <f>IF(VLOOKUP(BX530,βοηθητικό!$J$2:$N$354,3,FALSE)="","",VLOOKUP(BX530,βοηθητικό!$J$2:$N$354,3,FALSE))</f>
        <v>_</v>
      </c>
      <c r="BZ530" s="44"/>
      <c r="CA530" s="45" t="s">
        <v>16</v>
      </c>
      <c r="CB530" s="46" t="str">
        <f>IF(VLOOKUP(CA530,βοηθητικό!$J$2:$N$354,3,FALSE)="","",VLOOKUP(CA530,βοηθητικό!$J$2:$N$354,3,FALSE))</f>
        <v>_</v>
      </c>
      <c r="CC530" s="47"/>
      <c r="CD530" s="42" t="s">
        <v>16</v>
      </c>
      <c r="CE530" s="43" t="str">
        <f>IF(VLOOKUP(CD530,βοηθητικό!$J$2:$N$354,3,FALSE)="","",VLOOKUP(CD530,βοηθητικό!$J$2:$N$354,3,FALSE))</f>
        <v>_</v>
      </c>
      <c r="CF530" s="44"/>
      <c r="CG530" s="45" t="s">
        <v>16</v>
      </c>
      <c r="CH530" s="46" t="str">
        <f>IF(VLOOKUP(CG530,βοηθητικό!$J$2:$N$354,3,FALSE)="","",VLOOKUP(CG530,βοηθητικό!$J$2:$N$354,3,FALSE))</f>
        <v>_</v>
      </c>
      <c r="CI530" s="47"/>
      <c r="CJ530" s="42" t="s">
        <v>16</v>
      </c>
      <c r="CK530" s="43" t="str">
        <f>IF(VLOOKUP(CJ530,βοηθητικό!$J$2:$N$354,3,FALSE)="","",VLOOKUP(CJ530,βοηθητικό!$J$2:$N$354,3,FALSE))</f>
        <v>_</v>
      </c>
      <c r="CL530" s="44"/>
      <c r="CM530" s="45" t="s">
        <v>16</v>
      </c>
      <c r="CN530" s="46" t="str">
        <f>IF(VLOOKUP(CM530,βοηθητικό!$J$2:$N$354,3,FALSE)="","",VLOOKUP(CM530,βοηθητικό!$J$2:$N$354,3,FALSE))</f>
        <v>_</v>
      </c>
      <c r="CO530" s="47"/>
      <c r="CP530" s="42" t="s">
        <v>16</v>
      </c>
      <c r="CQ530" s="43" t="str">
        <f>IF(VLOOKUP(CP530,βοηθητικό!$J$2:$N$354,3,FALSE)="","",VLOOKUP(CP530,βοηθητικό!$J$2:$N$354,3,FALSE))</f>
        <v>_</v>
      </c>
      <c r="CR530" s="44"/>
      <c r="CS530" s="45" t="s">
        <v>16</v>
      </c>
      <c r="CT530" s="46" t="str">
        <f>IF(VLOOKUP(CS530,βοηθητικό!$J$2:$N$354,3,FALSE)="","",VLOOKUP(CS530,βοηθητικό!$J$2:$N$354,3,FALSE))</f>
        <v>_</v>
      </c>
      <c r="CU530" s="47"/>
    </row>
    <row r="531" spans="1:99" x14ac:dyDescent="0.25">
      <c r="A531" s="37">
        <f>--SUBTOTAL(3,$B$3:B530)</f>
        <v>198</v>
      </c>
      <c r="B531" s="2"/>
      <c r="C531" s="3"/>
      <c r="D531" s="55" t="s">
        <v>18</v>
      </c>
      <c r="E531" s="38" t="s">
        <v>16</v>
      </c>
      <c r="F531" s="38"/>
      <c r="G531" s="39" t="str">
        <f t="shared" si="26"/>
        <v>__</v>
      </c>
      <c r="H531" s="40" t="str">
        <f t="shared" si="27"/>
        <v>FALSE</v>
      </c>
      <c r="I531" s="41">
        <f t="shared" si="28"/>
        <v>0</v>
      </c>
      <c r="J531" s="4" t="s">
        <v>16</v>
      </c>
      <c r="K531" s="43" t="str">
        <f>IF(VLOOKUP(J531,βοηθητικό!$J$2:$N$354,3,FALSE)="","",VLOOKUP(J531,βοηθητικό!$J$2:$N$354,3,FALSE))</f>
        <v>_</v>
      </c>
      <c r="L531" s="44"/>
      <c r="M531" s="5" t="s">
        <v>16</v>
      </c>
      <c r="N531" s="46" t="str">
        <f>IF(VLOOKUP(M531,βοηθητικό!$J$2:$N$354,3,FALSE)="","",VLOOKUP(M531,βοηθητικό!$J$2:$N$354,3,FALSE))</f>
        <v>_</v>
      </c>
      <c r="O531" s="47"/>
      <c r="P531" s="4" t="s">
        <v>16</v>
      </c>
      <c r="Q531" s="43" t="str">
        <f>IF(VLOOKUP(P531,βοηθητικό!$J$2:$N$354,3,FALSE)="","",VLOOKUP(P531,βοηθητικό!$J$2:$N$354,3,FALSE))</f>
        <v>_</v>
      </c>
      <c r="R531" s="44"/>
      <c r="S531" s="5" t="s">
        <v>16</v>
      </c>
      <c r="T531" s="46" t="str">
        <f>IF(VLOOKUP(S531,βοηθητικό!$J$2:$N$354,3,FALSE)="","",VLOOKUP(S531,βοηθητικό!$J$2:$N$354,3,FALSE))</f>
        <v>_</v>
      </c>
      <c r="U531" s="47"/>
      <c r="V531" s="4" t="s">
        <v>16</v>
      </c>
      <c r="W531" s="43" t="str">
        <f>IF(VLOOKUP(V531,βοηθητικό!$J$2:$N$354,3,FALSE)="","",VLOOKUP(V531,βοηθητικό!$J$2:$N$354,3,FALSE))</f>
        <v>_</v>
      </c>
      <c r="X531" s="44"/>
      <c r="Y531" s="5" t="s">
        <v>16</v>
      </c>
      <c r="Z531" s="46" t="str">
        <f>IF(VLOOKUP(Y531,βοηθητικό!$J$2:$N$354,3,FALSE)="","",VLOOKUP(Y531,βοηθητικό!$J$2:$N$354,3,FALSE))</f>
        <v>_</v>
      </c>
      <c r="AA531" s="47"/>
      <c r="AB531" s="4" t="s">
        <v>16</v>
      </c>
      <c r="AC531" s="43" t="str">
        <f>IF(VLOOKUP(AB531,βοηθητικό!$J$2:$N$354,3,FALSE)="","",VLOOKUP(AB531,βοηθητικό!$J$2:$N$354,3,FALSE))</f>
        <v>_</v>
      </c>
      <c r="AD531" s="44"/>
      <c r="AE531" s="5" t="s">
        <v>16</v>
      </c>
      <c r="AF531" s="46" t="str">
        <f>IF(VLOOKUP(AE531,βοηθητικό!$J$2:$N$354,3,FALSE)="","",VLOOKUP(AE531,βοηθητικό!$J$2:$N$354,3,FALSE))</f>
        <v>_</v>
      </c>
      <c r="AG531" s="47"/>
      <c r="AH531" s="4" t="s">
        <v>16</v>
      </c>
      <c r="AI531" s="43" t="str">
        <f>IF(VLOOKUP(AH531,βοηθητικό!$J$2:$N$354,3,FALSE)="","",VLOOKUP(AH531,βοηθητικό!$J$2:$N$354,3,FALSE))</f>
        <v>_</v>
      </c>
      <c r="AJ531" s="44"/>
      <c r="AK531" s="5" t="s">
        <v>16</v>
      </c>
      <c r="AL531" s="46" t="str">
        <f>IF(VLOOKUP(AK531,βοηθητικό!$J$2:$N$354,3,FALSE)="","",VLOOKUP(AK531,βοηθητικό!$J$2:$N$354,3,FALSE))</f>
        <v>_</v>
      </c>
      <c r="AM531" s="47"/>
      <c r="AN531" s="4" t="s">
        <v>16</v>
      </c>
      <c r="AO531" s="43" t="str">
        <f>IF(VLOOKUP(AN531,βοηθητικό!$J$2:$N$354,3,FALSE)="","",VLOOKUP(AN531,βοηθητικό!$J$2:$N$354,3,FALSE))</f>
        <v>_</v>
      </c>
      <c r="AP531" s="44"/>
      <c r="AQ531" s="5" t="s">
        <v>16</v>
      </c>
      <c r="AR531" s="46" t="str">
        <f>IF(VLOOKUP(AQ531,βοηθητικό!$J$2:$N$354,3,FALSE)="","",VLOOKUP(AQ531,βοηθητικό!$J$2:$N$354,3,FALSE))</f>
        <v>_</v>
      </c>
      <c r="AS531" s="47"/>
      <c r="AT531" s="4" t="s">
        <v>16</v>
      </c>
      <c r="AU531" s="43" t="str">
        <f>IF(VLOOKUP(AT531,βοηθητικό!$J$2:$N$354,3,FALSE)="","",VLOOKUP(AT531,βοηθητικό!$J$2:$N$354,3,FALSE))</f>
        <v>_</v>
      </c>
      <c r="AV531" s="44"/>
      <c r="AW531" s="5" t="s">
        <v>16</v>
      </c>
      <c r="AX531" s="46" t="str">
        <f>IF(VLOOKUP(AW531,βοηθητικό!$J$2:$N$354,3,FALSE)="","",VLOOKUP(AW531,βοηθητικό!$J$2:$N$354,3,FALSE))</f>
        <v>_</v>
      </c>
      <c r="AY531" s="47"/>
      <c r="AZ531" s="4" t="s">
        <v>16</v>
      </c>
      <c r="BA531" s="43" t="str">
        <f>IF(VLOOKUP(AZ531,βοηθητικό!$J$2:$N$354,3,FALSE)="","",VLOOKUP(AZ531,βοηθητικό!$J$2:$N$354,3,FALSE))</f>
        <v>_</v>
      </c>
      <c r="BB531" s="44"/>
      <c r="BC531" s="45" t="s">
        <v>16</v>
      </c>
      <c r="BD531" s="46" t="str">
        <f>IF(VLOOKUP(BC531,βοηθητικό!$J$2:$N$354,3,FALSE)="","",VLOOKUP(BC531,βοηθητικό!$J$2:$N$354,3,FALSE))</f>
        <v>_</v>
      </c>
      <c r="BE531" s="47"/>
      <c r="BF531" s="42" t="s">
        <v>16</v>
      </c>
      <c r="BG531" s="43" t="str">
        <f>IF(VLOOKUP(BF531,βοηθητικό!$J$2:$N$354,3,FALSE)="","",VLOOKUP(BF531,βοηθητικό!$J$2:$N$354,3,FALSE))</f>
        <v>_</v>
      </c>
      <c r="BH531" s="44"/>
      <c r="BI531" s="45" t="s">
        <v>16</v>
      </c>
      <c r="BJ531" s="46" t="str">
        <f>IF(VLOOKUP(BI531,βοηθητικό!$J$2:$N$354,3,FALSE)="","",VLOOKUP(BI531,βοηθητικό!$J$2:$N$354,3,FALSE))</f>
        <v>_</v>
      </c>
      <c r="BK531" s="47"/>
      <c r="BL531" s="42" t="s">
        <v>16</v>
      </c>
      <c r="BM531" s="43" t="str">
        <f>IF(VLOOKUP(BL531,βοηθητικό!$J$2:$N$354,3,FALSE)="","",VLOOKUP(BL531,βοηθητικό!$J$2:$N$354,3,FALSE))</f>
        <v>_</v>
      </c>
      <c r="BN531" s="44"/>
      <c r="BO531" s="45" t="s">
        <v>16</v>
      </c>
      <c r="BP531" s="46" t="str">
        <f>IF(VLOOKUP(BO531,βοηθητικό!$J$2:$N$354,3,FALSE)="","",VLOOKUP(BO531,βοηθητικό!$J$2:$N$354,3,FALSE))</f>
        <v>_</v>
      </c>
      <c r="BQ531" s="47"/>
      <c r="BR531" s="42" t="s">
        <v>16</v>
      </c>
      <c r="BS531" s="43" t="str">
        <f>IF(VLOOKUP(BR531,βοηθητικό!$J$2:$N$354,3,FALSE)="","",VLOOKUP(BR531,βοηθητικό!$J$2:$N$354,3,FALSE))</f>
        <v>_</v>
      </c>
      <c r="BT531" s="44"/>
      <c r="BU531" s="45" t="s">
        <v>16</v>
      </c>
      <c r="BV531" s="46" t="str">
        <f>IF(VLOOKUP(BU531,βοηθητικό!$J$2:$N$354,3,FALSE)="","",VLOOKUP(BU531,βοηθητικό!$J$2:$N$354,3,FALSE))</f>
        <v>_</v>
      </c>
      <c r="BW531" s="47"/>
      <c r="BX531" s="42" t="s">
        <v>16</v>
      </c>
      <c r="BY531" s="43" t="str">
        <f>IF(VLOOKUP(BX531,βοηθητικό!$J$2:$N$354,3,FALSE)="","",VLOOKUP(BX531,βοηθητικό!$J$2:$N$354,3,FALSE))</f>
        <v>_</v>
      </c>
      <c r="BZ531" s="44"/>
      <c r="CA531" s="45" t="s">
        <v>16</v>
      </c>
      <c r="CB531" s="46" t="str">
        <f>IF(VLOOKUP(CA531,βοηθητικό!$J$2:$N$354,3,FALSE)="","",VLOOKUP(CA531,βοηθητικό!$J$2:$N$354,3,FALSE))</f>
        <v>_</v>
      </c>
      <c r="CC531" s="47"/>
      <c r="CD531" s="42" t="s">
        <v>16</v>
      </c>
      <c r="CE531" s="43" t="str">
        <f>IF(VLOOKUP(CD531,βοηθητικό!$J$2:$N$354,3,FALSE)="","",VLOOKUP(CD531,βοηθητικό!$J$2:$N$354,3,FALSE))</f>
        <v>_</v>
      </c>
      <c r="CF531" s="44"/>
      <c r="CG531" s="45" t="s">
        <v>16</v>
      </c>
      <c r="CH531" s="46" t="str">
        <f>IF(VLOOKUP(CG531,βοηθητικό!$J$2:$N$354,3,FALSE)="","",VLOOKUP(CG531,βοηθητικό!$J$2:$N$354,3,FALSE))</f>
        <v>_</v>
      </c>
      <c r="CI531" s="47"/>
      <c r="CJ531" s="42" t="s">
        <v>16</v>
      </c>
      <c r="CK531" s="43" t="str">
        <f>IF(VLOOKUP(CJ531,βοηθητικό!$J$2:$N$354,3,FALSE)="","",VLOOKUP(CJ531,βοηθητικό!$J$2:$N$354,3,FALSE))</f>
        <v>_</v>
      </c>
      <c r="CL531" s="44"/>
      <c r="CM531" s="45" t="s">
        <v>16</v>
      </c>
      <c r="CN531" s="46" t="str">
        <f>IF(VLOOKUP(CM531,βοηθητικό!$J$2:$N$354,3,FALSE)="","",VLOOKUP(CM531,βοηθητικό!$J$2:$N$354,3,FALSE))</f>
        <v>_</v>
      </c>
      <c r="CO531" s="47"/>
      <c r="CP531" s="42" t="s">
        <v>16</v>
      </c>
      <c r="CQ531" s="43" t="str">
        <f>IF(VLOOKUP(CP531,βοηθητικό!$J$2:$N$354,3,FALSE)="","",VLOOKUP(CP531,βοηθητικό!$J$2:$N$354,3,FALSE))</f>
        <v>_</v>
      </c>
      <c r="CR531" s="44"/>
      <c r="CS531" s="45" t="s">
        <v>16</v>
      </c>
      <c r="CT531" s="46" t="str">
        <f>IF(VLOOKUP(CS531,βοηθητικό!$J$2:$N$354,3,FALSE)="","",VLOOKUP(CS531,βοηθητικό!$J$2:$N$354,3,FALSE))</f>
        <v>_</v>
      </c>
      <c r="CU531" s="47"/>
    </row>
    <row r="532" spans="1:99" x14ac:dyDescent="0.25">
      <c r="A532" s="37">
        <f>--SUBTOTAL(3,$B$3:B531)</f>
        <v>198</v>
      </c>
      <c r="B532" s="2"/>
      <c r="C532" s="3"/>
      <c r="D532" s="55" t="s">
        <v>18</v>
      </c>
      <c r="E532" s="38" t="s">
        <v>16</v>
      </c>
      <c r="F532" s="38"/>
      <c r="G532" s="39" t="str">
        <f t="shared" si="26"/>
        <v>__</v>
      </c>
      <c r="H532" s="40" t="str">
        <f t="shared" si="27"/>
        <v>FALSE</v>
      </c>
      <c r="I532" s="41">
        <f t="shared" si="28"/>
        <v>0</v>
      </c>
      <c r="J532" s="4" t="s">
        <v>16</v>
      </c>
      <c r="K532" s="43" t="str">
        <f>IF(VLOOKUP(J532,βοηθητικό!$J$2:$N$354,3,FALSE)="","",VLOOKUP(J532,βοηθητικό!$J$2:$N$354,3,FALSE))</f>
        <v>_</v>
      </c>
      <c r="L532" s="44"/>
      <c r="M532" s="5" t="s">
        <v>16</v>
      </c>
      <c r="N532" s="46" t="str">
        <f>IF(VLOOKUP(M532,βοηθητικό!$J$2:$N$354,3,FALSE)="","",VLOOKUP(M532,βοηθητικό!$J$2:$N$354,3,FALSE))</f>
        <v>_</v>
      </c>
      <c r="O532" s="47"/>
      <c r="P532" s="4" t="s">
        <v>16</v>
      </c>
      <c r="Q532" s="43" t="str">
        <f>IF(VLOOKUP(P532,βοηθητικό!$J$2:$N$354,3,FALSE)="","",VLOOKUP(P532,βοηθητικό!$J$2:$N$354,3,FALSE))</f>
        <v>_</v>
      </c>
      <c r="R532" s="44"/>
      <c r="S532" s="5" t="s">
        <v>16</v>
      </c>
      <c r="T532" s="46" t="str">
        <f>IF(VLOOKUP(S532,βοηθητικό!$J$2:$N$354,3,FALSE)="","",VLOOKUP(S532,βοηθητικό!$J$2:$N$354,3,FALSE))</f>
        <v>_</v>
      </c>
      <c r="U532" s="47"/>
      <c r="V532" s="4" t="s">
        <v>16</v>
      </c>
      <c r="W532" s="43" t="str">
        <f>IF(VLOOKUP(V532,βοηθητικό!$J$2:$N$354,3,FALSE)="","",VLOOKUP(V532,βοηθητικό!$J$2:$N$354,3,FALSE))</f>
        <v>_</v>
      </c>
      <c r="X532" s="44"/>
      <c r="Y532" s="5" t="s">
        <v>16</v>
      </c>
      <c r="Z532" s="46" t="str">
        <f>IF(VLOOKUP(Y532,βοηθητικό!$J$2:$N$354,3,FALSE)="","",VLOOKUP(Y532,βοηθητικό!$J$2:$N$354,3,FALSE))</f>
        <v>_</v>
      </c>
      <c r="AA532" s="47"/>
      <c r="AB532" s="4" t="s">
        <v>16</v>
      </c>
      <c r="AC532" s="43" t="str">
        <f>IF(VLOOKUP(AB532,βοηθητικό!$J$2:$N$354,3,FALSE)="","",VLOOKUP(AB532,βοηθητικό!$J$2:$N$354,3,FALSE))</f>
        <v>_</v>
      </c>
      <c r="AD532" s="44"/>
      <c r="AE532" s="5" t="s">
        <v>16</v>
      </c>
      <c r="AF532" s="46" t="str">
        <f>IF(VLOOKUP(AE532,βοηθητικό!$J$2:$N$354,3,FALSE)="","",VLOOKUP(AE532,βοηθητικό!$J$2:$N$354,3,FALSE))</f>
        <v>_</v>
      </c>
      <c r="AG532" s="47"/>
      <c r="AH532" s="4" t="s">
        <v>16</v>
      </c>
      <c r="AI532" s="43" t="str">
        <f>IF(VLOOKUP(AH532,βοηθητικό!$J$2:$N$354,3,FALSE)="","",VLOOKUP(AH532,βοηθητικό!$J$2:$N$354,3,FALSE))</f>
        <v>_</v>
      </c>
      <c r="AJ532" s="44"/>
      <c r="AK532" s="5" t="s">
        <v>16</v>
      </c>
      <c r="AL532" s="46" t="str">
        <f>IF(VLOOKUP(AK532,βοηθητικό!$J$2:$N$354,3,FALSE)="","",VLOOKUP(AK532,βοηθητικό!$J$2:$N$354,3,FALSE))</f>
        <v>_</v>
      </c>
      <c r="AM532" s="47"/>
      <c r="AN532" s="4" t="s">
        <v>16</v>
      </c>
      <c r="AO532" s="43" t="str">
        <f>IF(VLOOKUP(AN532,βοηθητικό!$J$2:$N$354,3,FALSE)="","",VLOOKUP(AN532,βοηθητικό!$J$2:$N$354,3,FALSE))</f>
        <v>_</v>
      </c>
      <c r="AP532" s="44"/>
      <c r="AQ532" s="5" t="s">
        <v>16</v>
      </c>
      <c r="AR532" s="46" t="str">
        <f>IF(VLOOKUP(AQ532,βοηθητικό!$J$2:$N$354,3,FALSE)="","",VLOOKUP(AQ532,βοηθητικό!$J$2:$N$354,3,FALSE))</f>
        <v>_</v>
      </c>
      <c r="AS532" s="47"/>
      <c r="AT532" s="4" t="s">
        <v>16</v>
      </c>
      <c r="AU532" s="43" t="str">
        <f>IF(VLOOKUP(AT532,βοηθητικό!$J$2:$N$354,3,FALSE)="","",VLOOKUP(AT532,βοηθητικό!$J$2:$N$354,3,FALSE))</f>
        <v>_</v>
      </c>
      <c r="AV532" s="44"/>
      <c r="AW532" s="5" t="s">
        <v>16</v>
      </c>
      <c r="AX532" s="46" t="str">
        <f>IF(VLOOKUP(AW532,βοηθητικό!$J$2:$N$354,3,FALSE)="","",VLOOKUP(AW532,βοηθητικό!$J$2:$N$354,3,FALSE))</f>
        <v>_</v>
      </c>
      <c r="AY532" s="47"/>
      <c r="AZ532" s="4" t="s">
        <v>16</v>
      </c>
      <c r="BA532" s="43" t="str">
        <f>IF(VLOOKUP(AZ532,βοηθητικό!$J$2:$N$354,3,FALSE)="","",VLOOKUP(AZ532,βοηθητικό!$J$2:$N$354,3,FALSE))</f>
        <v>_</v>
      </c>
      <c r="BB532" s="44"/>
      <c r="BC532" s="45" t="s">
        <v>16</v>
      </c>
      <c r="BD532" s="46" t="str">
        <f>IF(VLOOKUP(BC532,βοηθητικό!$J$2:$N$354,3,FALSE)="","",VLOOKUP(BC532,βοηθητικό!$J$2:$N$354,3,FALSE))</f>
        <v>_</v>
      </c>
      <c r="BE532" s="47"/>
      <c r="BF532" s="42" t="s">
        <v>16</v>
      </c>
      <c r="BG532" s="43" t="str">
        <f>IF(VLOOKUP(BF532,βοηθητικό!$J$2:$N$354,3,FALSE)="","",VLOOKUP(BF532,βοηθητικό!$J$2:$N$354,3,FALSE))</f>
        <v>_</v>
      </c>
      <c r="BH532" s="44"/>
      <c r="BI532" s="45" t="s">
        <v>16</v>
      </c>
      <c r="BJ532" s="46" t="str">
        <f>IF(VLOOKUP(BI532,βοηθητικό!$J$2:$N$354,3,FALSE)="","",VLOOKUP(BI532,βοηθητικό!$J$2:$N$354,3,FALSE))</f>
        <v>_</v>
      </c>
      <c r="BK532" s="47"/>
      <c r="BL532" s="42" t="s">
        <v>16</v>
      </c>
      <c r="BM532" s="43" t="str">
        <f>IF(VLOOKUP(BL532,βοηθητικό!$J$2:$N$354,3,FALSE)="","",VLOOKUP(BL532,βοηθητικό!$J$2:$N$354,3,FALSE))</f>
        <v>_</v>
      </c>
      <c r="BN532" s="44"/>
      <c r="BO532" s="45" t="s">
        <v>16</v>
      </c>
      <c r="BP532" s="46" t="str">
        <f>IF(VLOOKUP(BO532,βοηθητικό!$J$2:$N$354,3,FALSE)="","",VLOOKUP(BO532,βοηθητικό!$J$2:$N$354,3,FALSE))</f>
        <v>_</v>
      </c>
      <c r="BQ532" s="47"/>
      <c r="BR532" s="42" t="s">
        <v>16</v>
      </c>
      <c r="BS532" s="43" t="str">
        <f>IF(VLOOKUP(BR532,βοηθητικό!$J$2:$N$354,3,FALSE)="","",VLOOKUP(BR532,βοηθητικό!$J$2:$N$354,3,FALSE))</f>
        <v>_</v>
      </c>
      <c r="BT532" s="44"/>
      <c r="BU532" s="45" t="s">
        <v>16</v>
      </c>
      <c r="BV532" s="46" t="str">
        <f>IF(VLOOKUP(BU532,βοηθητικό!$J$2:$N$354,3,FALSE)="","",VLOOKUP(BU532,βοηθητικό!$J$2:$N$354,3,FALSE))</f>
        <v>_</v>
      </c>
      <c r="BW532" s="47"/>
      <c r="BX532" s="42" t="s">
        <v>16</v>
      </c>
      <c r="BY532" s="43" t="str">
        <f>IF(VLOOKUP(BX532,βοηθητικό!$J$2:$N$354,3,FALSE)="","",VLOOKUP(BX532,βοηθητικό!$J$2:$N$354,3,FALSE))</f>
        <v>_</v>
      </c>
      <c r="BZ532" s="44"/>
      <c r="CA532" s="45" t="s">
        <v>16</v>
      </c>
      <c r="CB532" s="46" t="str">
        <f>IF(VLOOKUP(CA532,βοηθητικό!$J$2:$N$354,3,FALSE)="","",VLOOKUP(CA532,βοηθητικό!$J$2:$N$354,3,FALSE))</f>
        <v>_</v>
      </c>
      <c r="CC532" s="47"/>
      <c r="CD532" s="42" t="s">
        <v>16</v>
      </c>
      <c r="CE532" s="43" t="str">
        <f>IF(VLOOKUP(CD532,βοηθητικό!$J$2:$N$354,3,FALSE)="","",VLOOKUP(CD532,βοηθητικό!$J$2:$N$354,3,FALSE))</f>
        <v>_</v>
      </c>
      <c r="CF532" s="44"/>
      <c r="CG532" s="45" t="s">
        <v>16</v>
      </c>
      <c r="CH532" s="46" t="str">
        <f>IF(VLOOKUP(CG532,βοηθητικό!$J$2:$N$354,3,FALSE)="","",VLOOKUP(CG532,βοηθητικό!$J$2:$N$354,3,FALSE))</f>
        <v>_</v>
      </c>
      <c r="CI532" s="47"/>
      <c r="CJ532" s="42" t="s">
        <v>16</v>
      </c>
      <c r="CK532" s="43" t="str">
        <f>IF(VLOOKUP(CJ532,βοηθητικό!$J$2:$N$354,3,FALSE)="","",VLOOKUP(CJ532,βοηθητικό!$J$2:$N$354,3,FALSE))</f>
        <v>_</v>
      </c>
      <c r="CL532" s="44"/>
      <c r="CM532" s="45" t="s">
        <v>16</v>
      </c>
      <c r="CN532" s="46" t="str">
        <f>IF(VLOOKUP(CM532,βοηθητικό!$J$2:$N$354,3,FALSE)="","",VLOOKUP(CM532,βοηθητικό!$J$2:$N$354,3,FALSE))</f>
        <v>_</v>
      </c>
      <c r="CO532" s="47"/>
      <c r="CP532" s="42" t="s">
        <v>16</v>
      </c>
      <c r="CQ532" s="43" t="str">
        <f>IF(VLOOKUP(CP532,βοηθητικό!$J$2:$N$354,3,FALSE)="","",VLOOKUP(CP532,βοηθητικό!$J$2:$N$354,3,FALSE))</f>
        <v>_</v>
      </c>
      <c r="CR532" s="44"/>
      <c r="CS532" s="45" t="s">
        <v>16</v>
      </c>
      <c r="CT532" s="46" t="str">
        <f>IF(VLOOKUP(CS532,βοηθητικό!$J$2:$N$354,3,FALSE)="","",VLOOKUP(CS532,βοηθητικό!$J$2:$N$354,3,FALSE))</f>
        <v>_</v>
      </c>
      <c r="CU532" s="47"/>
    </row>
    <row r="533" spans="1:99" x14ac:dyDescent="0.25">
      <c r="A533" s="37">
        <f>--SUBTOTAL(3,$B$3:B532)</f>
        <v>198</v>
      </c>
      <c r="B533" s="2"/>
      <c r="C533" s="3"/>
      <c r="D533" s="55" t="s">
        <v>18</v>
      </c>
      <c r="E533" s="38" t="s">
        <v>16</v>
      </c>
      <c r="F533" s="38"/>
      <c r="G533" s="39" t="str">
        <f t="shared" si="26"/>
        <v>__</v>
      </c>
      <c r="H533" s="40" t="str">
        <f t="shared" si="27"/>
        <v>FALSE</v>
      </c>
      <c r="I533" s="41">
        <f t="shared" si="28"/>
        <v>0</v>
      </c>
      <c r="J533" s="4" t="s">
        <v>16</v>
      </c>
      <c r="K533" s="43" t="str">
        <f>IF(VLOOKUP(J533,βοηθητικό!$J$2:$N$354,3,FALSE)="","",VLOOKUP(J533,βοηθητικό!$J$2:$N$354,3,FALSE))</f>
        <v>_</v>
      </c>
      <c r="L533" s="44"/>
      <c r="M533" s="5" t="s">
        <v>16</v>
      </c>
      <c r="N533" s="46" t="str">
        <f>IF(VLOOKUP(M533,βοηθητικό!$J$2:$N$354,3,FALSE)="","",VLOOKUP(M533,βοηθητικό!$J$2:$N$354,3,FALSE))</f>
        <v>_</v>
      </c>
      <c r="O533" s="47"/>
      <c r="P533" s="4" t="s">
        <v>16</v>
      </c>
      <c r="Q533" s="43" t="str">
        <f>IF(VLOOKUP(P533,βοηθητικό!$J$2:$N$354,3,FALSE)="","",VLOOKUP(P533,βοηθητικό!$J$2:$N$354,3,FALSE))</f>
        <v>_</v>
      </c>
      <c r="R533" s="44"/>
      <c r="S533" s="5" t="s">
        <v>16</v>
      </c>
      <c r="T533" s="46" t="str">
        <f>IF(VLOOKUP(S533,βοηθητικό!$J$2:$N$354,3,FALSE)="","",VLOOKUP(S533,βοηθητικό!$J$2:$N$354,3,FALSE))</f>
        <v>_</v>
      </c>
      <c r="U533" s="47"/>
      <c r="V533" s="4" t="s">
        <v>16</v>
      </c>
      <c r="W533" s="43" t="str">
        <f>IF(VLOOKUP(V533,βοηθητικό!$J$2:$N$354,3,FALSE)="","",VLOOKUP(V533,βοηθητικό!$J$2:$N$354,3,FALSE))</f>
        <v>_</v>
      </c>
      <c r="X533" s="44"/>
      <c r="Y533" s="5" t="s">
        <v>16</v>
      </c>
      <c r="Z533" s="46" t="str">
        <f>IF(VLOOKUP(Y533,βοηθητικό!$J$2:$N$354,3,FALSE)="","",VLOOKUP(Y533,βοηθητικό!$J$2:$N$354,3,FALSE))</f>
        <v>_</v>
      </c>
      <c r="AA533" s="47"/>
      <c r="AB533" s="4" t="s">
        <v>16</v>
      </c>
      <c r="AC533" s="43" t="str">
        <f>IF(VLOOKUP(AB533,βοηθητικό!$J$2:$N$354,3,FALSE)="","",VLOOKUP(AB533,βοηθητικό!$J$2:$N$354,3,FALSE))</f>
        <v>_</v>
      </c>
      <c r="AD533" s="44"/>
      <c r="AE533" s="5" t="s">
        <v>16</v>
      </c>
      <c r="AF533" s="46" t="str">
        <f>IF(VLOOKUP(AE533,βοηθητικό!$J$2:$N$354,3,FALSE)="","",VLOOKUP(AE533,βοηθητικό!$J$2:$N$354,3,FALSE))</f>
        <v>_</v>
      </c>
      <c r="AG533" s="47"/>
      <c r="AH533" s="4" t="s">
        <v>16</v>
      </c>
      <c r="AI533" s="43" t="str">
        <f>IF(VLOOKUP(AH533,βοηθητικό!$J$2:$N$354,3,FALSE)="","",VLOOKUP(AH533,βοηθητικό!$J$2:$N$354,3,FALSE))</f>
        <v>_</v>
      </c>
      <c r="AJ533" s="44"/>
      <c r="AK533" s="5" t="s">
        <v>16</v>
      </c>
      <c r="AL533" s="46" t="str">
        <f>IF(VLOOKUP(AK533,βοηθητικό!$J$2:$N$354,3,FALSE)="","",VLOOKUP(AK533,βοηθητικό!$J$2:$N$354,3,FALSE))</f>
        <v>_</v>
      </c>
      <c r="AM533" s="47"/>
      <c r="AN533" s="4" t="s">
        <v>16</v>
      </c>
      <c r="AO533" s="43" t="str">
        <f>IF(VLOOKUP(AN533,βοηθητικό!$J$2:$N$354,3,FALSE)="","",VLOOKUP(AN533,βοηθητικό!$J$2:$N$354,3,FALSE))</f>
        <v>_</v>
      </c>
      <c r="AP533" s="44"/>
      <c r="AQ533" s="5" t="s">
        <v>16</v>
      </c>
      <c r="AR533" s="46" t="str">
        <f>IF(VLOOKUP(AQ533,βοηθητικό!$J$2:$N$354,3,FALSE)="","",VLOOKUP(AQ533,βοηθητικό!$J$2:$N$354,3,FALSE))</f>
        <v>_</v>
      </c>
      <c r="AS533" s="47"/>
      <c r="AT533" s="4" t="s">
        <v>16</v>
      </c>
      <c r="AU533" s="43" t="str">
        <f>IF(VLOOKUP(AT533,βοηθητικό!$J$2:$N$354,3,FALSE)="","",VLOOKUP(AT533,βοηθητικό!$J$2:$N$354,3,FALSE))</f>
        <v>_</v>
      </c>
      <c r="AV533" s="44"/>
      <c r="AW533" s="5" t="s">
        <v>16</v>
      </c>
      <c r="AX533" s="46" t="str">
        <f>IF(VLOOKUP(AW533,βοηθητικό!$J$2:$N$354,3,FALSE)="","",VLOOKUP(AW533,βοηθητικό!$J$2:$N$354,3,FALSE))</f>
        <v>_</v>
      </c>
      <c r="AY533" s="47"/>
      <c r="AZ533" s="4" t="s">
        <v>16</v>
      </c>
      <c r="BA533" s="43" t="str">
        <f>IF(VLOOKUP(AZ533,βοηθητικό!$J$2:$N$354,3,FALSE)="","",VLOOKUP(AZ533,βοηθητικό!$J$2:$N$354,3,FALSE))</f>
        <v>_</v>
      </c>
      <c r="BB533" s="44"/>
      <c r="BC533" s="45" t="s">
        <v>16</v>
      </c>
      <c r="BD533" s="46" t="str">
        <f>IF(VLOOKUP(BC533,βοηθητικό!$J$2:$N$354,3,FALSE)="","",VLOOKUP(BC533,βοηθητικό!$J$2:$N$354,3,FALSE))</f>
        <v>_</v>
      </c>
      <c r="BE533" s="47"/>
      <c r="BF533" s="42" t="s">
        <v>16</v>
      </c>
      <c r="BG533" s="43" t="str">
        <f>IF(VLOOKUP(BF533,βοηθητικό!$J$2:$N$354,3,FALSE)="","",VLOOKUP(BF533,βοηθητικό!$J$2:$N$354,3,FALSE))</f>
        <v>_</v>
      </c>
      <c r="BH533" s="44"/>
      <c r="BI533" s="45" t="s">
        <v>16</v>
      </c>
      <c r="BJ533" s="46" t="str">
        <f>IF(VLOOKUP(BI533,βοηθητικό!$J$2:$N$354,3,FALSE)="","",VLOOKUP(BI533,βοηθητικό!$J$2:$N$354,3,FALSE))</f>
        <v>_</v>
      </c>
      <c r="BK533" s="47"/>
      <c r="BL533" s="42" t="s">
        <v>16</v>
      </c>
      <c r="BM533" s="43" t="str">
        <f>IF(VLOOKUP(BL533,βοηθητικό!$J$2:$N$354,3,FALSE)="","",VLOOKUP(BL533,βοηθητικό!$J$2:$N$354,3,FALSE))</f>
        <v>_</v>
      </c>
      <c r="BN533" s="44"/>
      <c r="BO533" s="45" t="s">
        <v>16</v>
      </c>
      <c r="BP533" s="46" t="str">
        <f>IF(VLOOKUP(BO533,βοηθητικό!$J$2:$N$354,3,FALSE)="","",VLOOKUP(BO533,βοηθητικό!$J$2:$N$354,3,FALSE))</f>
        <v>_</v>
      </c>
      <c r="BQ533" s="47"/>
      <c r="BR533" s="42" t="s">
        <v>16</v>
      </c>
      <c r="BS533" s="43" t="str">
        <f>IF(VLOOKUP(BR533,βοηθητικό!$J$2:$N$354,3,FALSE)="","",VLOOKUP(BR533,βοηθητικό!$J$2:$N$354,3,FALSE))</f>
        <v>_</v>
      </c>
      <c r="BT533" s="44"/>
      <c r="BU533" s="45" t="s">
        <v>16</v>
      </c>
      <c r="BV533" s="46" t="str">
        <f>IF(VLOOKUP(BU533,βοηθητικό!$J$2:$N$354,3,FALSE)="","",VLOOKUP(BU533,βοηθητικό!$J$2:$N$354,3,FALSE))</f>
        <v>_</v>
      </c>
      <c r="BW533" s="47"/>
      <c r="BX533" s="42" t="s">
        <v>16</v>
      </c>
      <c r="BY533" s="43" t="str">
        <f>IF(VLOOKUP(BX533,βοηθητικό!$J$2:$N$354,3,FALSE)="","",VLOOKUP(BX533,βοηθητικό!$J$2:$N$354,3,FALSE))</f>
        <v>_</v>
      </c>
      <c r="BZ533" s="44"/>
      <c r="CA533" s="45" t="s">
        <v>16</v>
      </c>
      <c r="CB533" s="46" t="str">
        <f>IF(VLOOKUP(CA533,βοηθητικό!$J$2:$N$354,3,FALSE)="","",VLOOKUP(CA533,βοηθητικό!$J$2:$N$354,3,FALSE))</f>
        <v>_</v>
      </c>
      <c r="CC533" s="47"/>
      <c r="CD533" s="42" t="s">
        <v>16</v>
      </c>
      <c r="CE533" s="43" t="str">
        <f>IF(VLOOKUP(CD533,βοηθητικό!$J$2:$N$354,3,FALSE)="","",VLOOKUP(CD533,βοηθητικό!$J$2:$N$354,3,FALSE))</f>
        <v>_</v>
      </c>
      <c r="CF533" s="44"/>
      <c r="CG533" s="45" t="s">
        <v>16</v>
      </c>
      <c r="CH533" s="46" t="str">
        <f>IF(VLOOKUP(CG533,βοηθητικό!$J$2:$N$354,3,FALSE)="","",VLOOKUP(CG533,βοηθητικό!$J$2:$N$354,3,FALSE))</f>
        <v>_</v>
      </c>
      <c r="CI533" s="47"/>
      <c r="CJ533" s="42" t="s">
        <v>16</v>
      </c>
      <c r="CK533" s="43" t="str">
        <f>IF(VLOOKUP(CJ533,βοηθητικό!$J$2:$N$354,3,FALSE)="","",VLOOKUP(CJ533,βοηθητικό!$J$2:$N$354,3,FALSE))</f>
        <v>_</v>
      </c>
      <c r="CL533" s="44"/>
      <c r="CM533" s="45" t="s">
        <v>16</v>
      </c>
      <c r="CN533" s="46" t="str">
        <f>IF(VLOOKUP(CM533,βοηθητικό!$J$2:$N$354,3,FALSE)="","",VLOOKUP(CM533,βοηθητικό!$J$2:$N$354,3,FALSE))</f>
        <v>_</v>
      </c>
      <c r="CO533" s="47"/>
      <c r="CP533" s="42" t="s">
        <v>16</v>
      </c>
      <c r="CQ533" s="43" t="str">
        <f>IF(VLOOKUP(CP533,βοηθητικό!$J$2:$N$354,3,FALSE)="","",VLOOKUP(CP533,βοηθητικό!$J$2:$N$354,3,FALSE))</f>
        <v>_</v>
      </c>
      <c r="CR533" s="44"/>
      <c r="CS533" s="45" t="s">
        <v>16</v>
      </c>
      <c r="CT533" s="46" t="str">
        <f>IF(VLOOKUP(CS533,βοηθητικό!$J$2:$N$354,3,FALSE)="","",VLOOKUP(CS533,βοηθητικό!$J$2:$N$354,3,FALSE))</f>
        <v>_</v>
      </c>
      <c r="CU533" s="47"/>
    </row>
    <row r="534" spans="1:99" x14ac:dyDescent="0.25">
      <c r="A534" s="37">
        <f>--SUBTOTAL(3,$B$3:B533)</f>
        <v>198</v>
      </c>
      <c r="B534" s="2"/>
      <c r="C534" s="3"/>
      <c r="D534" s="55" t="s">
        <v>18</v>
      </c>
      <c r="E534" s="38" t="s">
        <v>16</v>
      </c>
      <c r="F534" s="38"/>
      <c r="G534" s="39" t="str">
        <f t="shared" si="26"/>
        <v>__</v>
      </c>
      <c r="H534" s="40" t="str">
        <f t="shared" si="27"/>
        <v>FALSE</v>
      </c>
      <c r="I534" s="41">
        <f t="shared" si="28"/>
        <v>0</v>
      </c>
      <c r="J534" s="4" t="s">
        <v>16</v>
      </c>
      <c r="K534" s="43" t="str">
        <f>IF(VLOOKUP(J534,βοηθητικό!$J$2:$N$354,3,FALSE)="","",VLOOKUP(J534,βοηθητικό!$J$2:$N$354,3,FALSE))</f>
        <v>_</v>
      </c>
      <c r="L534" s="44"/>
      <c r="M534" s="5" t="s">
        <v>16</v>
      </c>
      <c r="N534" s="46" t="str">
        <f>IF(VLOOKUP(M534,βοηθητικό!$J$2:$N$354,3,FALSE)="","",VLOOKUP(M534,βοηθητικό!$J$2:$N$354,3,FALSE))</f>
        <v>_</v>
      </c>
      <c r="O534" s="47"/>
      <c r="P534" s="4" t="s">
        <v>16</v>
      </c>
      <c r="Q534" s="43" t="str">
        <f>IF(VLOOKUP(P534,βοηθητικό!$J$2:$N$354,3,FALSE)="","",VLOOKUP(P534,βοηθητικό!$J$2:$N$354,3,FALSE))</f>
        <v>_</v>
      </c>
      <c r="R534" s="44"/>
      <c r="S534" s="5" t="s">
        <v>16</v>
      </c>
      <c r="T534" s="46" t="str">
        <f>IF(VLOOKUP(S534,βοηθητικό!$J$2:$N$354,3,FALSE)="","",VLOOKUP(S534,βοηθητικό!$J$2:$N$354,3,FALSE))</f>
        <v>_</v>
      </c>
      <c r="U534" s="47"/>
      <c r="V534" s="4" t="s">
        <v>16</v>
      </c>
      <c r="W534" s="43" t="str">
        <f>IF(VLOOKUP(V534,βοηθητικό!$J$2:$N$354,3,FALSE)="","",VLOOKUP(V534,βοηθητικό!$J$2:$N$354,3,FALSE))</f>
        <v>_</v>
      </c>
      <c r="X534" s="44"/>
      <c r="Y534" s="5" t="s">
        <v>16</v>
      </c>
      <c r="Z534" s="46" t="str">
        <f>IF(VLOOKUP(Y534,βοηθητικό!$J$2:$N$354,3,FALSE)="","",VLOOKUP(Y534,βοηθητικό!$J$2:$N$354,3,FALSE))</f>
        <v>_</v>
      </c>
      <c r="AA534" s="47"/>
      <c r="AB534" s="4" t="s">
        <v>16</v>
      </c>
      <c r="AC534" s="43" t="str">
        <f>IF(VLOOKUP(AB534,βοηθητικό!$J$2:$N$354,3,FALSE)="","",VLOOKUP(AB534,βοηθητικό!$J$2:$N$354,3,FALSE))</f>
        <v>_</v>
      </c>
      <c r="AD534" s="44"/>
      <c r="AE534" s="5" t="s">
        <v>16</v>
      </c>
      <c r="AF534" s="46" t="str">
        <f>IF(VLOOKUP(AE534,βοηθητικό!$J$2:$N$354,3,FALSE)="","",VLOOKUP(AE534,βοηθητικό!$J$2:$N$354,3,FALSE))</f>
        <v>_</v>
      </c>
      <c r="AG534" s="47"/>
      <c r="AH534" s="4" t="s">
        <v>16</v>
      </c>
      <c r="AI534" s="43" t="str">
        <f>IF(VLOOKUP(AH534,βοηθητικό!$J$2:$N$354,3,FALSE)="","",VLOOKUP(AH534,βοηθητικό!$J$2:$N$354,3,FALSE))</f>
        <v>_</v>
      </c>
      <c r="AJ534" s="44"/>
      <c r="AK534" s="5" t="s">
        <v>16</v>
      </c>
      <c r="AL534" s="46" t="str">
        <f>IF(VLOOKUP(AK534,βοηθητικό!$J$2:$N$354,3,FALSE)="","",VLOOKUP(AK534,βοηθητικό!$J$2:$N$354,3,FALSE))</f>
        <v>_</v>
      </c>
      <c r="AM534" s="47"/>
      <c r="AN534" s="4" t="s">
        <v>16</v>
      </c>
      <c r="AO534" s="43" t="str">
        <f>IF(VLOOKUP(AN534,βοηθητικό!$J$2:$N$354,3,FALSE)="","",VLOOKUP(AN534,βοηθητικό!$J$2:$N$354,3,FALSE))</f>
        <v>_</v>
      </c>
      <c r="AP534" s="44"/>
      <c r="AQ534" s="5" t="s">
        <v>16</v>
      </c>
      <c r="AR534" s="46" t="str">
        <f>IF(VLOOKUP(AQ534,βοηθητικό!$J$2:$N$354,3,FALSE)="","",VLOOKUP(AQ534,βοηθητικό!$J$2:$N$354,3,FALSE))</f>
        <v>_</v>
      </c>
      <c r="AS534" s="47"/>
      <c r="AT534" s="4" t="s">
        <v>16</v>
      </c>
      <c r="AU534" s="43" t="str">
        <f>IF(VLOOKUP(AT534,βοηθητικό!$J$2:$N$354,3,FALSE)="","",VLOOKUP(AT534,βοηθητικό!$J$2:$N$354,3,FALSE))</f>
        <v>_</v>
      </c>
      <c r="AV534" s="44"/>
      <c r="AW534" s="5" t="s">
        <v>16</v>
      </c>
      <c r="AX534" s="46" t="str">
        <f>IF(VLOOKUP(AW534,βοηθητικό!$J$2:$N$354,3,FALSE)="","",VLOOKUP(AW534,βοηθητικό!$J$2:$N$354,3,FALSE))</f>
        <v>_</v>
      </c>
      <c r="AY534" s="47"/>
      <c r="AZ534" s="4" t="s">
        <v>16</v>
      </c>
      <c r="BA534" s="43" t="str">
        <f>IF(VLOOKUP(AZ534,βοηθητικό!$J$2:$N$354,3,FALSE)="","",VLOOKUP(AZ534,βοηθητικό!$J$2:$N$354,3,FALSE))</f>
        <v>_</v>
      </c>
      <c r="BB534" s="44"/>
      <c r="BC534" s="45" t="s">
        <v>16</v>
      </c>
      <c r="BD534" s="46" t="str">
        <f>IF(VLOOKUP(BC534,βοηθητικό!$J$2:$N$354,3,FALSE)="","",VLOOKUP(BC534,βοηθητικό!$J$2:$N$354,3,FALSE))</f>
        <v>_</v>
      </c>
      <c r="BE534" s="47"/>
      <c r="BF534" s="42" t="s">
        <v>16</v>
      </c>
      <c r="BG534" s="43" t="str">
        <f>IF(VLOOKUP(BF534,βοηθητικό!$J$2:$N$354,3,FALSE)="","",VLOOKUP(BF534,βοηθητικό!$J$2:$N$354,3,FALSE))</f>
        <v>_</v>
      </c>
      <c r="BH534" s="44"/>
      <c r="BI534" s="45" t="s">
        <v>16</v>
      </c>
      <c r="BJ534" s="46" t="str">
        <f>IF(VLOOKUP(BI534,βοηθητικό!$J$2:$N$354,3,FALSE)="","",VLOOKUP(BI534,βοηθητικό!$J$2:$N$354,3,FALSE))</f>
        <v>_</v>
      </c>
      <c r="BK534" s="47"/>
      <c r="BL534" s="42" t="s">
        <v>16</v>
      </c>
      <c r="BM534" s="43" t="str">
        <f>IF(VLOOKUP(BL534,βοηθητικό!$J$2:$N$354,3,FALSE)="","",VLOOKUP(BL534,βοηθητικό!$J$2:$N$354,3,FALSE))</f>
        <v>_</v>
      </c>
      <c r="BN534" s="44"/>
      <c r="BO534" s="45" t="s">
        <v>16</v>
      </c>
      <c r="BP534" s="46" t="str">
        <f>IF(VLOOKUP(BO534,βοηθητικό!$J$2:$N$354,3,FALSE)="","",VLOOKUP(BO534,βοηθητικό!$J$2:$N$354,3,FALSE))</f>
        <v>_</v>
      </c>
      <c r="BQ534" s="47"/>
      <c r="BR534" s="42" t="s">
        <v>16</v>
      </c>
      <c r="BS534" s="43" t="str">
        <f>IF(VLOOKUP(BR534,βοηθητικό!$J$2:$N$354,3,FALSE)="","",VLOOKUP(BR534,βοηθητικό!$J$2:$N$354,3,FALSE))</f>
        <v>_</v>
      </c>
      <c r="BT534" s="44"/>
      <c r="BU534" s="45" t="s">
        <v>16</v>
      </c>
      <c r="BV534" s="46" t="str">
        <f>IF(VLOOKUP(BU534,βοηθητικό!$J$2:$N$354,3,FALSE)="","",VLOOKUP(BU534,βοηθητικό!$J$2:$N$354,3,FALSE))</f>
        <v>_</v>
      </c>
      <c r="BW534" s="47"/>
      <c r="BX534" s="42" t="s">
        <v>16</v>
      </c>
      <c r="BY534" s="43" t="str">
        <f>IF(VLOOKUP(BX534,βοηθητικό!$J$2:$N$354,3,FALSE)="","",VLOOKUP(BX534,βοηθητικό!$J$2:$N$354,3,FALSE))</f>
        <v>_</v>
      </c>
      <c r="BZ534" s="44"/>
      <c r="CA534" s="45" t="s">
        <v>16</v>
      </c>
      <c r="CB534" s="46" t="str">
        <f>IF(VLOOKUP(CA534,βοηθητικό!$J$2:$N$354,3,FALSE)="","",VLOOKUP(CA534,βοηθητικό!$J$2:$N$354,3,FALSE))</f>
        <v>_</v>
      </c>
      <c r="CC534" s="47"/>
      <c r="CD534" s="42" t="s">
        <v>16</v>
      </c>
      <c r="CE534" s="43" t="str">
        <f>IF(VLOOKUP(CD534,βοηθητικό!$J$2:$N$354,3,FALSE)="","",VLOOKUP(CD534,βοηθητικό!$J$2:$N$354,3,FALSE))</f>
        <v>_</v>
      </c>
      <c r="CF534" s="44"/>
      <c r="CG534" s="45" t="s">
        <v>16</v>
      </c>
      <c r="CH534" s="46" t="str">
        <f>IF(VLOOKUP(CG534,βοηθητικό!$J$2:$N$354,3,FALSE)="","",VLOOKUP(CG534,βοηθητικό!$J$2:$N$354,3,FALSE))</f>
        <v>_</v>
      </c>
      <c r="CI534" s="47"/>
      <c r="CJ534" s="42" t="s">
        <v>16</v>
      </c>
      <c r="CK534" s="43" t="str">
        <f>IF(VLOOKUP(CJ534,βοηθητικό!$J$2:$N$354,3,FALSE)="","",VLOOKUP(CJ534,βοηθητικό!$J$2:$N$354,3,FALSE))</f>
        <v>_</v>
      </c>
      <c r="CL534" s="44"/>
      <c r="CM534" s="45" t="s">
        <v>16</v>
      </c>
      <c r="CN534" s="46" t="str">
        <f>IF(VLOOKUP(CM534,βοηθητικό!$J$2:$N$354,3,FALSE)="","",VLOOKUP(CM534,βοηθητικό!$J$2:$N$354,3,FALSE))</f>
        <v>_</v>
      </c>
      <c r="CO534" s="47"/>
      <c r="CP534" s="42" t="s">
        <v>16</v>
      </c>
      <c r="CQ534" s="43" t="str">
        <f>IF(VLOOKUP(CP534,βοηθητικό!$J$2:$N$354,3,FALSE)="","",VLOOKUP(CP534,βοηθητικό!$J$2:$N$354,3,FALSE))</f>
        <v>_</v>
      </c>
      <c r="CR534" s="44"/>
      <c r="CS534" s="45" t="s">
        <v>16</v>
      </c>
      <c r="CT534" s="46" t="str">
        <f>IF(VLOOKUP(CS534,βοηθητικό!$J$2:$N$354,3,FALSE)="","",VLOOKUP(CS534,βοηθητικό!$J$2:$N$354,3,FALSE))</f>
        <v>_</v>
      </c>
      <c r="CU534" s="47"/>
    </row>
    <row r="535" spans="1:99" x14ac:dyDescent="0.25">
      <c r="A535" s="37">
        <f>--SUBTOTAL(3,$B$3:B534)</f>
        <v>198</v>
      </c>
      <c r="B535" s="2"/>
      <c r="C535" s="3"/>
      <c r="D535" s="55" t="s">
        <v>18</v>
      </c>
      <c r="E535" s="38" t="s">
        <v>16</v>
      </c>
      <c r="F535" s="38"/>
      <c r="G535" s="39" t="str">
        <f t="shared" si="26"/>
        <v>__</v>
      </c>
      <c r="H535" s="40" t="str">
        <f t="shared" si="27"/>
        <v>FALSE</v>
      </c>
      <c r="I535" s="41">
        <f t="shared" si="28"/>
        <v>0</v>
      </c>
      <c r="J535" s="4" t="s">
        <v>16</v>
      </c>
      <c r="K535" s="43" t="str">
        <f>IF(VLOOKUP(J535,βοηθητικό!$J$2:$N$354,3,FALSE)="","",VLOOKUP(J535,βοηθητικό!$J$2:$N$354,3,FALSE))</f>
        <v>_</v>
      </c>
      <c r="L535" s="44"/>
      <c r="M535" s="5" t="s">
        <v>16</v>
      </c>
      <c r="N535" s="46" t="str">
        <f>IF(VLOOKUP(M535,βοηθητικό!$J$2:$N$354,3,FALSE)="","",VLOOKUP(M535,βοηθητικό!$J$2:$N$354,3,FALSE))</f>
        <v>_</v>
      </c>
      <c r="O535" s="47"/>
      <c r="P535" s="4" t="s">
        <v>16</v>
      </c>
      <c r="Q535" s="43" t="str">
        <f>IF(VLOOKUP(P535,βοηθητικό!$J$2:$N$354,3,FALSE)="","",VLOOKUP(P535,βοηθητικό!$J$2:$N$354,3,FALSE))</f>
        <v>_</v>
      </c>
      <c r="R535" s="44"/>
      <c r="S535" s="5" t="s">
        <v>16</v>
      </c>
      <c r="T535" s="46" t="str">
        <f>IF(VLOOKUP(S535,βοηθητικό!$J$2:$N$354,3,FALSE)="","",VLOOKUP(S535,βοηθητικό!$J$2:$N$354,3,FALSE))</f>
        <v>_</v>
      </c>
      <c r="U535" s="47"/>
      <c r="V535" s="4" t="s">
        <v>16</v>
      </c>
      <c r="W535" s="43" t="str">
        <f>IF(VLOOKUP(V535,βοηθητικό!$J$2:$N$354,3,FALSE)="","",VLOOKUP(V535,βοηθητικό!$J$2:$N$354,3,FALSE))</f>
        <v>_</v>
      </c>
      <c r="X535" s="44"/>
      <c r="Y535" s="5" t="s">
        <v>16</v>
      </c>
      <c r="Z535" s="46" t="str">
        <f>IF(VLOOKUP(Y535,βοηθητικό!$J$2:$N$354,3,FALSE)="","",VLOOKUP(Y535,βοηθητικό!$J$2:$N$354,3,FALSE))</f>
        <v>_</v>
      </c>
      <c r="AA535" s="47"/>
      <c r="AB535" s="4" t="s">
        <v>16</v>
      </c>
      <c r="AC535" s="43" t="str">
        <f>IF(VLOOKUP(AB535,βοηθητικό!$J$2:$N$354,3,FALSE)="","",VLOOKUP(AB535,βοηθητικό!$J$2:$N$354,3,FALSE))</f>
        <v>_</v>
      </c>
      <c r="AD535" s="44"/>
      <c r="AE535" s="5" t="s">
        <v>16</v>
      </c>
      <c r="AF535" s="46" t="str">
        <f>IF(VLOOKUP(AE535,βοηθητικό!$J$2:$N$354,3,FALSE)="","",VLOOKUP(AE535,βοηθητικό!$J$2:$N$354,3,FALSE))</f>
        <v>_</v>
      </c>
      <c r="AG535" s="47"/>
      <c r="AH535" s="4" t="s">
        <v>16</v>
      </c>
      <c r="AI535" s="43" t="str">
        <f>IF(VLOOKUP(AH535,βοηθητικό!$J$2:$N$354,3,FALSE)="","",VLOOKUP(AH535,βοηθητικό!$J$2:$N$354,3,FALSE))</f>
        <v>_</v>
      </c>
      <c r="AJ535" s="44"/>
      <c r="AK535" s="5" t="s">
        <v>16</v>
      </c>
      <c r="AL535" s="46" t="str">
        <f>IF(VLOOKUP(AK535,βοηθητικό!$J$2:$N$354,3,FALSE)="","",VLOOKUP(AK535,βοηθητικό!$J$2:$N$354,3,FALSE))</f>
        <v>_</v>
      </c>
      <c r="AM535" s="47"/>
      <c r="AN535" s="4" t="s">
        <v>16</v>
      </c>
      <c r="AO535" s="43" t="str">
        <f>IF(VLOOKUP(AN535,βοηθητικό!$J$2:$N$354,3,FALSE)="","",VLOOKUP(AN535,βοηθητικό!$J$2:$N$354,3,FALSE))</f>
        <v>_</v>
      </c>
      <c r="AP535" s="44"/>
      <c r="AQ535" s="5" t="s">
        <v>16</v>
      </c>
      <c r="AR535" s="46" t="str">
        <f>IF(VLOOKUP(AQ535,βοηθητικό!$J$2:$N$354,3,FALSE)="","",VLOOKUP(AQ535,βοηθητικό!$J$2:$N$354,3,FALSE))</f>
        <v>_</v>
      </c>
      <c r="AS535" s="47"/>
      <c r="AT535" s="4" t="s">
        <v>16</v>
      </c>
      <c r="AU535" s="43" t="str">
        <f>IF(VLOOKUP(AT535,βοηθητικό!$J$2:$N$354,3,FALSE)="","",VLOOKUP(AT535,βοηθητικό!$J$2:$N$354,3,FALSE))</f>
        <v>_</v>
      </c>
      <c r="AV535" s="44"/>
      <c r="AW535" s="5" t="s">
        <v>16</v>
      </c>
      <c r="AX535" s="46" t="str">
        <f>IF(VLOOKUP(AW535,βοηθητικό!$J$2:$N$354,3,FALSE)="","",VLOOKUP(AW535,βοηθητικό!$J$2:$N$354,3,FALSE))</f>
        <v>_</v>
      </c>
      <c r="AY535" s="47"/>
      <c r="AZ535" s="4" t="s">
        <v>16</v>
      </c>
      <c r="BA535" s="43" t="str">
        <f>IF(VLOOKUP(AZ535,βοηθητικό!$J$2:$N$354,3,FALSE)="","",VLOOKUP(AZ535,βοηθητικό!$J$2:$N$354,3,FALSE))</f>
        <v>_</v>
      </c>
      <c r="BB535" s="44"/>
      <c r="BC535" s="45" t="s">
        <v>16</v>
      </c>
      <c r="BD535" s="46" t="str">
        <f>IF(VLOOKUP(BC535,βοηθητικό!$J$2:$N$354,3,FALSE)="","",VLOOKUP(BC535,βοηθητικό!$J$2:$N$354,3,FALSE))</f>
        <v>_</v>
      </c>
      <c r="BE535" s="47"/>
      <c r="BF535" s="42" t="s">
        <v>16</v>
      </c>
      <c r="BG535" s="43" t="str">
        <f>IF(VLOOKUP(BF535,βοηθητικό!$J$2:$N$354,3,FALSE)="","",VLOOKUP(BF535,βοηθητικό!$J$2:$N$354,3,FALSE))</f>
        <v>_</v>
      </c>
      <c r="BH535" s="44"/>
      <c r="BI535" s="45" t="s">
        <v>16</v>
      </c>
      <c r="BJ535" s="46" t="str">
        <f>IF(VLOOKUP(BI535,βοηθητικό!$J$2:$N$354,3,FALSE)="","",VLOOKUP(BI535,βοηθητικό!$J$2:$N$354,3,FALSE))</f>
        <v>_</v>
      </c>
      <c r="BK535" s="47"/>
      <c r="BL535" s="42" t="s">
        <v>16</v>
      </c>
      <c r="BM535" s="43" t="str">
        <f>IF(VLOOKUP(BL535,βοηθητικό!$J$2:$N$354,3,FALSE)="","",VLOOKUP(BL535,βοηθητικό!$J$2:$N$354,3,FALSE))</f>
        <v>_</v>
      </c>
      <c r="BN535" s="44"/>
      <c r="BO535" s="45" t="s">
        <v>16</v>
      </c>
      <c r="BP535" s="46" t="str">
        <f>IF(VLOOKUP(BO535,βοηθητικό!$J$2:$N$354,3,FALSE)="","",VLOOKUP(BO535,βοηθητικό!$J$2:$N$354,3,FALSE))</f>
        <v>_</v>
      </c>
      <c r="BQ535" s="47"/>
      <c r="BR535" s="42" t="s">
        <v>16</v>
      </c>
      <c r="BS535" s="43" t="str">
        <f>IF(VLOOKUP(BR535,βοηθητικό!$J$2:$N$354,3,FALSE)="","",VLOOKUP(BR535,βοηθητικό!$J$2:$N$354,3,FALSE))</f>
        <v>_</v>
      </c>
      <c r="BT535" s="44"/>
      <c r="BU535" s="45" t="s">
        <v>16</v>
      </c>
      <c r="BV535" s="46" t="str">
        <f>IF(VLOOKUP(BU535,βοηθητικό!$J$2:$N$354,3,FALSE)="","",VLOOKUP(BU535,βοηθητικό!$J$2:$N$354,3,FALSE))</f>
        <v>_</v>
      </c>
      <c r="BW535" s="47"/>
      <c r="BX535" s="42" t="s">
        <v>16</v>
      </c>
      <c r="BY535" s="43" t="str">
        <f>IF(VLOOKUP(BX535,βοηθητικό!$J$2:$N$354,3,FALSE)="","",VLOOKUP(BX535,βοηθητικό!$J$2:$N$354,3,FALSE))</f>
        <v>_</v>
      </c>
      <c r="BZ535" s="44"/>
      <c r="CA535" s="45" t="s">
        <v>16</v>
      </c>
      <c r="CB535" s="46" t="str">
        <f>IF(VLOOKUP(CA535,βοηθητικό!$J$2:$N$354,3,FALSE)="","",VLOOKUP(CA535,βοηθητικό!$J$2:$N$354,3,FALSE))</f>
        <v>_</v>
      </c>
      <c r="CC535" s="47"/>
      <c r="CD535" s="42" t="s">
        <v>16</v>
      </c>
      <c r="CE535" s="43" t="str">
        <f>IF(VLOOKUP(CD535,βοηθητικό!$J$2:$N$354,3,FALSE)="","",VLOOKUP(CD535,βοηθητικό!$J$2:$N$354,3,FALSE))</f>
        <v>_</v>
      </c>
      <c r="CF535" s="44"/>
      <c r="CG535" s="45" t="s">
        <v>16</v>
      </c>
      <c r="CH535" s="46" t="str">
        <f>IF(VLOOKUP(CG535,βοηθητικό!$J$2:$N$354,3,FALSE)="","",VLOOKUP(CG535,βοηθητικό!$J$2:$N$354,3,FALSE))</f>
        <v>_</v>
      </c>
      <c r="CI535" s="47"/>
      <c r="CJ535" s="42" t="s">
        <v>16</v>
      </c>
      <c r="CK535" s="43" t="str">
        <f>IF(VLOOKUP(CJ535,βοηθητικό!$J$2:$N$354,3,FALSE)="","",VLOOKUP(CJ535,βοηθητικό!$J$2:$N$354,3,FALSE))</f>
        <v>_</v>
      </c>
      <c r="CL535" s="44"/>
      <c r="CM535" s="45" t="s">
        <v>16</v>
      </c>
      <c r="CN535" s="46" t="str">
        <f>IF(VLOOKUP(CM535,βοηθητικό!$J$2:$N$354,3,FALSE)="","",VLOOKUP(CM535,βοηθητικό!$J$2:$N$354,3,FALSE))</f>
        <v>_</v>
      </c>
      <c r="CO535" s="47"/>
      <c r="CP535" s="42" t="s">
        <v>16</v>
      </c>
      <c r="CQ535" s="43" t="str">
        <f>IF(VLOOKUP(CP535,βοηθητικό!$J$2:$N$354,3,FALSE)="","",VLOOKUP(CP535,βοηθητικό!$J$2:$N$354,3,FALSE))</f>
        <v>_</v>
      </c>
      <c r="CR535" s="44"/>
      <c r="CS535" s="45" t="s">
        <v>16</v>
      </c>
      <c r="CT535" s="46" t="str">
        <f>IF(VLOOKUP(CS535,βοηθητικό!$J$2:$N$354,3,FALSE)="","",VLOOKUP(CS535,βοηθητικό!$J$2:$N$354,3,FALSE))</f>
        <v>_</v>
      </c>
      <c r="CU535" s="47"/>
    </row>
    <row r="536" spans="1:99" x14ac:dyDescent="0.25">
      <c r="A536" s="37">
        <f>--SUBTOTAL(3,$B$3:B535)</f>
        <v>198</v>
      </c>
      <c r="B536" s="2"/>
      <c r="C536" s="3"/>
      <c r="D536" s="55" t="s">
        <v>18</v>
      </c>
      <c r="E536" s="38" t="s">
        <v>16</v>
      </c>
      <c r="F536" s="38"/>
      <c r="G536" s="39" t="str">
        <f t="shared" si="26"/>
        <v>__</v>
      </c>
      <c r="H536" s="40" t="str">
        <f t="shared" si="27"/>
        <v>FALSE</v>
      </c>
      <c r="I536" s="41">
        <f t="shared" si="28"/>
        <v>0</v>
      </c>
      <c r="J536" s="4" t="s">
        <v>16</v>
      </c>
      <c r="K536" s="43" t="str">
        <f>IF(VLOOKUP(J536,βοηθητικό!$J$2:$N$354,3,FALSE)="","",VLOOKUP(J536,βοηθητικό!$J$2:$N$354,3,FALSE))</f>
        <v>_</v>
      </c>
      <c r="L536" s="44"/>
      <c r="M536" s="5" t="s">
        <v>16</v>
      </c>
      <c r="N536" s="46" t="str">
        <f>IF(VLOOKUP(M536,βοηθητικό!$J$2:$N$354,3,FALSE)="","",VLOOKUP(M536,βοηθητικό!$J$2:$N$354,3,FALSE))</f>
        <v>_</v>
      </c>
      <c r="O536" s="47"/>
      <c r="P536" s="4" t="s">
        <v>16</v>
      </c>
      <c r="Q536" s="43" t="str">
        <f>IF(VLOOKUP(P536,βοηθητικό!$J$2:$N$354,3,FALSE)="","",VLOOKUP(P536,βοηθητικό!$J$2:$N$354,3,FALSE))</f>
        <v>_</v>
      </c>
      <c r="R536" s="44"/>
      <c r="S536" s="5" t="s">
        <v>16</v>
      </c>
      <c r="T536" s="46" t="str">
        <f>IF(VLOOKUP(S536,βοηθητικό!$J$2:$N$354,3,FALSE)="","",VLOOKUP(S536,βοηθητικό!$J$2:$N$354,3,FALSE))</f>
        <v>_</v>
      </c>
      <c r="U536" s="47"/>
      <c r="V536" s="4" t="s">
        <v>16</v>
      </c>
      <c r="W536" s="43" t="str">
        <f>IF(VLOOKUP(V536,βοηθητικό!$J$2:$N$354,3,FALSE)="","",VLOOKUP(V536,βοηθητικό!$J$2:$N$354,3,FALSE))</f>
        <v>_</v>
      </c>
      <c r="X536" s="44"/>
      <c r="Y536" s="5" t="s">
        <v>16</v>
      </c>
      <c r="Z536" s="46" t="str">
        <f>IF(VLOOKUP(Y536,βοηθητικό!$J$2:$N$354,3,FALSE)="","",VLOOKUP(Y536,βοηθητικό!$J$2:$N$354,3,FALSE))</f>
        <v>_</v>
      </c>
      <c r="AA536" s="47"/>
      <c r="AB536" s="4" t="s">
        <v>16</v>
      </c>
      <c r="AC536" s="43" t="str">
        <f>IF(VLOOKUP(AB536,βοηθητικό!$J$2:$N$354,3,FALSE)="","",VLOOKUP(AB536,βοηθητικό!$J$2:$N$354,3,FALSE))</f>
        <v>_</v>
      </c>
      <c r="AD536" s="44"/>
      <c r="AE536" s="5" t="s">
        <v>16</v>
      </c>
      <c r="AF536" s="46" t="str">
        <f>IF(VLOOKUP(AE536,βοηθητικό!$J$2:$N$354,3,FALSE)="","",VLOOKUP(AE536,βοηθητικό!$J$2:$N$354,3,FALSE))</f>
        <v>_</v>
      </c>
      <c r="AG536" s="47"/>
      <c r="AH536" s="4" t="s">
        <v>16</v>
      </c>
      <c r="AI536" s="43" t="str">
        <f>IF(VLOOKUP(AH536,βοηθητικό!$J$2:$N$354,3,FALSE)="","",VLOOKUP(AH536,βοηθητικό!$J$2:$N$354,3,FALSE))</f>
        <v>_</v>
      </c>
      <c r="AJ536" s="44"/>
      <c r="AK536" s="5" t="s">
        <v>16</v>
      </c>
      <c r="AL536" s="46" t="str">
        <f>IF(VLOOKUP(AK536,βοηθητικό!$J$2:$N$354,3,FALSE)="","",VLOOKUP(AK536,βοηθητικό!$J$2:$N$354,3,FALSE))</f>
        <v>_</v>
      </c>
      <c r="AM536" s="47"/>
      <c r="AN536" s="4" t="s">
        <v>16</v>
      </c>
      <c r="AO536" s="43" t="str">
        <f>IF(VLOOKUP(AN536,βοηθητικό!$J$2:$N$354,3,FALSE)="","",VLOOKUP(AN536,βοηθητικό!$J$2:$N$354,3,FALSE))</f>
        <v>_</v>
      </c>
      <c r="AP536" s="44"/>
      <c r="AQ536" s="5" t="s">
        <v>16</v>
      </c>
      <c r="AR536" s="46" t="str">
        <f>IF(VLOOKUP(AQ536,βοηθητικό!$J$2:$N$354,3,FALSE)="","",VLOOKUP(AQ536,βοηθητικό!$J$2:$N$354,3,FALSE))</f>
        <v>_</v>
      </c>
      <c r="AS536" s="47"/>
      <c r="AT536" s="4" t="s">
        <v>16</v>
      </c>
      <c r="AU536" s="43" t="str">
        <f>IF(VLOOKUP(AT536,βοηθητικό!$J$2:$N$354,3,FALSE)="","",VLOOKUP(AT536,βοηθητικό!$J$2:$N$354,3,FALSE))</f>
        <v>_</v>
      </c>
      <c r="AV536" s="44"/>
      <c r="AW536" s="5" t="s">
        <v>16</v>
      </c>
      <c r="AX536" s="46" t="str">
        <f>IF(VLOOKUP(AW536,βοηθητικό!$J$2:$N$354,3,FALSE)="","",VLOOKUP(AW536,βοηθητικό!$J$2:$N$354,3,FALSE))</f>
        <v>_</v>
      </c>
      <c r="AY536" s="47"/>
      <c r="AZ536" s="4" t="s">
        <v>16</v>
      </c>
      <c r="BA536" s="43" t="str">
        <f>IF(VLOOKUP(AZ536,βοηθητικό!$J$2:$N$354,3,FALSE)="","",VLOOKUP(AZ536,βοηθητικό!$J$2:$N$354,3,FALSE))</f>
        <v>_</v>
      </c>
      <c r="BB536" s="44"/>
      <c r="BC536" s="45" t="s">
        <v>16</v>
      </c>
      <c r="BD536" s="46" t="str">
        <f>IF(VLOOKUP(BC536,βοηθητικό!$J$2:$N$354,3,FALSE)="","",VLOOKUP(BC536,βοηθητικό!$J$2:$N$354,3,FALSE))</f>
        <v>_</v>
      </c>
      <c r="BE536" s="47"/>
      <c r="BF536" s="42" t="s">
        <v>16</v>
      </c>
      <c r="BG536" s="43" t="str">
        <f>IF(VLOOKUP(BF536,βοηθητικό!$J$2:$N$354,3,FALSE)="","",VLOOKUP(BF536,βοηθητικό!$J$2:$N$354,3,FALSE))</f>
        <v>_</v>
      </c>
      <c r="BH536" s="44"/>
      <c r="BI536" s="45" t="s">
        <v>16</v>
      </c>
      <c r="BJ536" s="46" t="str">
        <f>IF(VLOOKUP(BI536,βοηθητικό!$J$2:$N$354,3,FALSE)="","",VLOOKUP(BI536,βοηθητικό!$J$2:$N$354,3,FALSE))</f>
        <v>_</v>
      </c>
      <c r="BK536" s="47"/>
      <c r="BL536" s="42" t="s">
        <v>16</v>
      </c>
      <c r="BM536" s="43" t="str">
        <f>IF(VLOOKUP(BL536,βοηθητικό!$J$2:$N$354,3,FALSE)="","",VLOOKUP(BL536,βοηθητικό!$J$2:$N$354,3,FALSE))</f>
        <v>_</v>
      </c>
      <c r="BN536" s="44"/>
      <c r="BO536" s="45" t="s">
        <v>16</v>
      </c>
      <c r="BP536" s="46" t="str">
        <f>IF(VLOOKUP(BO536,βοηθητικό!$J$2:$N$354,3,FALSE)="","",VLOOKUP(BO536,βοηθητικό!$J$2:$N$354,3,FALSE))</f>
        <v>_</v>
      </c>
      <c r="BQ536" s="47"/>
      <c r="BR536" s="42" t="s">
        <v>16</v>
      </c>
      <c r="BS536" s="43" t="str">
        <f>IF(VLOOKUP(BR536,βοηθητικό!$J$2:$N$354,3,FALSE)="","",VLOOKUP(BR536,βοηθητικό!$J$2:$N$354,3,FALSE))</f>
        <v>_</v>
      </c>
      <c r="BT536" s="44"/>
      <c r="BU536" s="45" t="s">
        <v>16</v>
      </c>
      <c r="BV536" s="46" t="str">
        <f>IF(VLOOKUP(BU536,βοηθητικό!$J$2:$N$354,3,FALSE)="","",VLOOKUP(BU536,βοηθητικό!$J$2:$N$354,3,FALSE))</f>
        <v>_</v>
      </c>
      <c r="BW536" s="47"/>
      <c r="BX536" s="42" t="s">
        <v>16</v>
      </c>
      <c r="BY536" s="43" t="str">
        <f>IF(VLOOKUP(BX536,βοηθητικό!$J$2:$N$354,3,FALSE)="","",VLOOKUP(BX536,βοηθητικό!$J$2:$N$354,3,FALSE))</f>
        <v>_</v>
      </c>
      <c r="BZ536" s="44"/>
      <c r="CA536" s="45" t="s">
        <v>16</v>
      </c>
      <c r="CB536" s="46" t="str">
        <f>IF(VLOOKUP(CA536,βοηθητικό!$J$2:$N$354,3,FALSE)="","",VLOOKUP(CA536,βοηθητικό!$J$2:$N$354,3,FALSE))</f>
        <v>_</v>
      </c>
      <c r="CC536" s="47"/>
      <c r="CD536" s="42" t="s">
        <v>16</v>
      </c>
      <c r="CE536" s="43" t="str">
        <f>IF(VLOOKUP(CD536,βοηθητικό!$J$2:$N$354,3,FALSE)="","",VLOOKUP(CD536,βοηθητικό!$J$2:$N$354,3,FALSE))</f>
        <v>_</v>
      </c>
      <c r="CF536" s="44"/>
      <c r="CG536" s="45" t="s">
        <v>16</v>
      </c>
      <c r="CH536" s="46" t="str">
        <f>IF(VLOOKUP(CG536,βοηθητικό!$J$2:$N$354,3,FALSE)="","",VLOOKUP(CG536,βοηθητικό!$J$2:$N$354,3,FALSE))</f>
        <v>_</v>
      </c>
      <c r="CI536" s="47"/>
      <c r="CJ536" s="42" t="s">
        <v>16</v>
      </c>
      <c r="CK536" s="43" t="str">
        <f>IF(VLOOKUP(CJ536,βοηθητικό!$J$2:$N$354,3,FALSE)="","",VLOOKUP(CJ536,βοηθητικό!$J$2:$N$354,3,FALSE))</f>
        <v>_</v>
      </c>
      <c r="CL536" s="44"/>
      <c r="CM536" s="45" t="s">
        <v>16</v>
      </c>
      <c r="CN536" s="46" t="str">
        <f>IF(VLOOKUP(CM536,βοηθητικό!$J$2:$N$354,3,FALSE)="","",VLOOKUP(CM536,βοηθητικό!$J$2:$N$354,3,FALSE))</f>
        <v>_</v>
      </c>
      <c r="CO536" s="47"/>
      <c r="CP536" s="42" t="s">
        <v>16</v>
      </c>
      <c r="CQ536" s="43" t="str">
        <f>IF(VLOOKUP(CP536,βοηθητικό!$J$2:$N$354,3,FALSE)="","",VLOOKUP(CP536,βοηθητικό!$J$2:$N$354,3,FALSE))</f>
        <v>_</v>
      </c>
      <c r="CR536" s="44"/>
      <c r="CS536" s="45" t="s">
        <v>16</v>
      </c>
      <c r="CT536" s="46" t="str">
        <f>IF(VLOOKUP(CS536,βοηθητικό!$J$2:$N$354,3,FALSE)="","",VLOOKUP(CS536,βοηθητικό!$J$2:$N$354,3,FALSE))</f>
        <v>_</v>
      </c>
      <c r="CU536" s="47"/>
    </row>
    <row r="537" spans="1:99" x14ac:dyDescent="0.25">
      <c r="A537" s="37">
        <f>--SUBTOTAL(3,$B$3:B536)</f>
        <v>198</v>
      </c>
      <c r="B537" s="2"/>
      <c r="C537" s="3"/>
      <c r="D537" s="55" t="s">
        <v>18</v>
      </c>
      <c r="E537" s="38" t="s">
        <v>16</v>
      </c>
      <c r="F537" s="38"/>
      <c r="G537" s="39" t="str">
        <f t="shared" si="26"/>
        <v>__</v>
      </c>
      <c r="H537" s="40" t="str">
        <f t="shared" si="27"/>
        <v>FALSE</v>
      </c>
      <c r="I537" s="41">
        <f t="shared" si="28"/>
        <v>0</v>
      </c>
      <c r="J537" s="4" t="s">
        <v>16</v>
      </c>
      <c r="K537" s="43" t="str">
        <f>IF(VLOOKUP(J537,βοηθητικό!$J$2:$N$354,3,FALSE)="","",VLOOKUP(J537,βοηθητικό!$J$2:$N$354,3,FALSE))</f>
        <v>_</v>
      </c>
      <c r="L537" s="44"/>
      <c r="M537" s="5" t="s">
        <v>16</v>
      </c>
      <c r="N537" s="46" t="str">
        <f>IF(VLOOKUP(M537,βοηθητικό!$J$2:$N$354,3,FALSE)="","",VLOOKUP(M537,βοηθητικό!$J$2:$N$354,3,FALSE))</f>
        <v>_</v>
      </c>
      <c r="O537" s="47"/>
      <c r="P537" s="4" t="s">
        <v>16</v>
      </c>
      <c r="Q537" s="43" t="str">
        <f>IF(VLOOKUP(P537,βοηθητικό!$J$2:$N$354,3,FALSE)="","",VLOOKUP(P537,βοηθητικό!$J$2:$N$354,3,FALSE))</f>
        <v>_</v>
      </c>
      <c r="R537" s="44"/>
      <c r="S537" s="5" t="s">
        <v>16</v>
      </c>
      <c r="T537" s="46" t="str">
        <f>IF(VLOOKUP(S537,βοηθητικό!$J$2:$N$354,3,FALSE)="","",VLOOKUP(S537,βοηθητικό!$J$2:$N$354,3,FALSE))</f>
        <v>_</v>
      </c>
      <c r="U537" s="47"/>
      <c r="V537" s="4" t="s">
        <v>16</v>
      </c>
      <c r="W537" s="43" t="str">
        <f>IF(VLOOKUP(V537,βοηθητικό!$J$2:$N$354,3,FALSE)="","",VLOOKUP(V537,βοηθητικό!$J$2:$N$354,3,FALSE))</f>
        <v>_</v>
      </c>
      <c r="X537" s="44"/>
      <c r="Y537" s="5" t="s">
        <v>16</v>
      </c>
      <c r="Z537" s="46" t="str">
        <f>IF(VLOOKUP(Y537,βοηθητικό!$J$2:$N$354,3,FALSE)="","",VLOOKUP(Y537,βοηθητικό!$J$2:$N$354,3,FALSE))</f>
        <v>_</v>
      </c>
      <c r="AA537" s="47"/>
      <c r="AB537" s="4" t="s">
        <v>16</v>
      </c>
      <c r="AC537" s="43" t="str">
        <f>IF(VLOOKUP(AB537,βοηθητικό!$J$2:$N$354,3,FALSE)="","",VLOOKUP(AB537,βοηθητικό!$J$2:$N$354,3,FALSE))</f>
        <v>_</v>
      </c>
      <c r="AD537" s="44"/>
      <c r="AE537" s="5" t="s">
        <v>16</v>
      </c>
      <c r="AF537" s="46" t="str">
        <f>IF(VLOOKUP(AE537,βοηθητικό!$J$2:$N$354,3,FALSE)="","",VLOOKUP(AE537,βοηθητικό!$J$2:$N$354,3,FALSE))</f>
        <v>_</v>
      </c>
      <c r="AG537" s="47"/>
      <c r="AH537" s="4" t="s">
        <v>16</v>
      </c>
      <c r="AI537" s="43" t="str">
        <f>IF(VLOOKUP(AH537,βοηθητικό!$J$2:$N$354,3,FALSE)="","",VLOOKUP(AH537,βοηθητικό!$J$2:$N$354,3,FALSE))</f>
        <v>_</v>
      </c>
      <c r="AJ537" s="44"/>
      <c r="AK537" s="5" t="s">
        <v>16</v>
      </c>
      <c r="AL537" s="46" t="str">
        <f>IF(VLOOKUP(AK537,βοηθητικό!$J$2:$N$354,3,FALSE)="","",VLOOKUP(AK537,βοηθητικό!$J$2:$N$354,3,FALSE))</f>
        <v>_</v>
      </c>
      <c r="AM537" s="47"/>
      <c r="AN537" s="4" t="s">
        <v>16</v>
      </c>
      <c r="AO537" s="43" t="str">
        <f>IF(VLOOKUP(AN537,βοηθητικό!$J$2:$N$354,3,FALSE)="","",VLOOKUP(AN537,βοηθητικό!$J$2:$N$354,3,FALSE))</f>
        <v>_</v>
      </c>
      <c r="AP537" s="44"/>
      <c r="AQ537" s="5" t="s">
        <v>16</v>
      </c>
      <c r="AR537" s="46" t="str">
        <f>IF(VLOOKUP(AQ537,βοηθητικό!$J$2:$N$354,3,FALSE)="","",VLOOKUP(AQ537,βοηθητικό!$J$2:$N$354,3,FALSE))</f>
        <v>_</v>
      </c>
      <c r="AS537" s="47"/>
      <c r="AT537" s="4" t="s">
        <v>16</v>
      </c>
      <c r="AU537" s="43" t="str">
        <f>IF(VLOOKUP(AT537,βοηθητικό!$J$2:$N$354,3,FALSE)="","",VLOOKUP(AT537,βοηθητικό!$J$2:$N$354,3,FALSE))</f>
        <v>_</v>
      </c>
      <c r="AV537" s="44"/>
      <c r="AW537" s="5" t="s">
        <v>16</v>
      </c>
      <c r="AX537" s="46" t="str">
        <f>IF(VLOOKUP(AW537,βοηθητικό!$J$2:$N$354,3,FALSE)="","",VLOOKUP(AW537,βοηθητικό!$J$2:$N$354,3,FALSE))</f>
        <v>_</v>
      </c>
      <c r="AY537" s="47"/>
      <c r="AZ537" s="4" t="s">
        <v>16</v>
      </c>
      <c r="BA537" s="43" t="str">
        <f>IF(VLOOKUP(AZ537,βοηθητικό!$J$2:$N$354,3,FALSE)="","",VLOOKUP(AZ537,βοηθητικό!$J$2:$N$354,3,FALSE))</f>
        <v>_</v>
      </c>
      <c r="BB537" s="44"/>
      <c r="BC537" s="45" t="s">
        <v>16</v>
      </c>
      <c r="BD537" s="46" t="str">
        <f>IF(VLOOKUP(BC537,βοηθητικό!$J$2:$N$354,3,FALSE)="","",VLOOKUP(BC537,βοηθητικό!$J$2:$N$354,3,FALSE))</f>
        <v>_</v>
      </c>
      <c r="BE537" s="47"/>
      <c r="BF537" s="42" t="s">
        <v>16</v>
      </c>
      <c r="BG537" s="43" t="str">
        <f>IF(VLOOKUP(BF537,βοηθητικό!$J$2:$N$354,3,FALSE)="","",VLOOKUP(BF537,βοηθητικό!$J$2:$N$354,3,FALSE))</f>
        <v>_</v>
      </c>
      <c r="BH537" s="44"/>
      <c r="BI537" s="45" t="s">
        <v>16</v>
      </c>
      <c r="BJ537" s="46" t="str">
        <f>IF(VLOOKUP(BI537,βοηθητικό!$J$2:$N$354,3,FALSE)="","",VLOOKUP(BI537,βοηθητικό!$J$2:$N$354,3,FALSE))</f>
        <v>_</v>
      </c>
      <c r="BK537" s="47"/>
      <c r="BL537" s="42" t="s">
        <v>16</v>
      </c>
      <c r="BM537" s="43" t="str">
        <f>IF(VLOOKUP(BL537,βοηθητικό!$J$2:$N$354,3,FALSE)="","",VLOOKUP(BL537,βοηθητικό!$J$2:$N$354,3,FALSE))</f>
        <v>_</v>
      </c>
      <c r="BN537" s="44"/>
      <c r="BO537" s="45" t="s">
        <v>16</v>
      </c>
      <c r="BP537" s="46" t="str">
        <f>IF(VLOOKUP(BO537,βοηθητικό!$J$2:$N$354,3,FALSE)="","",VLOOKUP(BO537,βοηθητικό!$J$2:$N$354,3,FALSE))</f>
        <v>_</v>
      </c>
      <c r="BQ537" s="47"/>
      <c r="BR537" s="42" t="s">
        <v>16</v>
      </c>
      <c r="BS537" s="43" t="str">
        <f>IF(VLOOKUP(BR537,βοηθητικό!$J$2:$N$354,3,FALSE)="","",VLOOKUP(BR537,βοηθητικό!$J$2:$N$354,3,FALSE))</f>
        <v>_</v>
      </c>
      <c r="BT537" s="44"/>
      <c r="BU537" s="45" t="s">
        <v>16</v>
      </c>
      <c r="BV537" s="46" t="str">
        <f>IF(VLOOKUP(BU537,βοηθητικό!$J$2:$N$354,3,FALSE)="","",VLOOKUP(BU537,βοηθητικό!$J$2:$N$354,3,FALSE))</f>
        <v>_</v>
      </c>
      <c r="BW537" s="47"/>
      <c r="BX537" s="42" t="s">
        <v>16</v>
      </c>
      <c r="BY537" s="43" t="str">
        <f>IF(VLOOKUP(BX537,βοηθητικό!$J$2:$N$354,3,FALSE)="","",VLOOKUP(BX537,βοηθητικό!$J$2:$N$354,3,FALSE))</f>
        <v>_</v>
      </c>
      <c r="BZ537" s="44"/>
      <c r="CA537" s="45" t="s">
        <v>16</v>
      </c>
      <c r="CB537" s="46" t="str">
        <f>IF(VLOOKUP(CA537,βοηθητικό!$J$2:$N$354,3,FALSE)="","",VLOOKUP(CA537,βοηθητικό!$J$2:$N$354,3,FALSE))</f>
        <v>_</v>
      </c>
      <c r="CC537" s="47"/>
      <c r="CD537" s="42" t="s">
        <v>16</v>
      </c>
      <c r="CE537" s="43" t="str">
        <f>IF(VLOOKUP(CD537,βοηθητικό!$J$2:$N$354,3,FALSE)="","",VLOOKUP(CD537,βοηθητικό!$J$2:$N$354,3,FALSE))</f>
        <v>_</v>
      </c>
      <c r="CF537" s="44"/>
      <c r="CG537" s="45" t="s">
        <v>16</v>
      </c>
      <c r="CH537" s="46" t="str">
        <f>IF(VLOOKUP(CG537,βοηθητικό!$J$2:$N$354,3,FALSE)="","",VLOOKUP(CG537,βοηθητικό!$J$2:$N$354,3,FALSE))</f>
        <v>_</v>
      </c>
      <c r="CI537" s="47"/>
      <c r="CJ537" s="42" t="s">
        <v>16</v>
      </c>
      <c r="CK537" s="43" t="str">
        <f>IF(VLOOKUP(CJ537,βοηθητικό!$J$2:$N$354,3,FALSE)="","",VLOOKUP(CJ537,βοηθητικό!$J$2:$N$354,3,FALSE))</f>
        <v>_</v>
      </c>
      <c r="CL537" s="44"/>
      <c r="CM537" s="45" t="s">
        <v>16</v>
      </c>
      <c r="CN537" s="46" t="str">
        <f>IF(VLOOKUP(CM537,βοηθητικό!$J$2:$N$354,3,FALSE)="","",VLOOKUP(CM537,βοηθητικό!$J$2:$N$354,3,FALSE))</f>
        <v>_</v>
      </c>
      <c r="CO537" s="47"/>
      <c r="CP537" s="42" t="s">
        <v>16</v>
      </c>
      <c r="CQ537" s="43" t="str">
        <f>IF(VLOOKUP(CP537,βοηθητικό!$J$2:$N$354,3,FALSE)="","",VLOOKUP(CP537,βοηθητικό!$J$2:$N$354,3,FALSE))</f>
        <v>_</v>
      </c>
      <c r="CR537" s="44"/>
      <c r="CS537" s="45" t="s">
        <v>16</v>
      </c>
      <c r="CT537" s="46" t="str">
        <f>IF(VLOOKUP(CS537,βοηθητικό!$J$2:$N$354,3,FALSE)="","",VLOOKUP(CS537,βοηθητικό!$J$2:$N$354,3,FALSE))</f>
        <v>_</v>
      </c>
      <c r="CU537" s="47"/>
    </row>
    <row r="538" spans="1:99" x14ac:dyDescent="0.25">
      <c r="A538" s="37">
        <f>--SUBTOTAL(3,$B$3:B537)</f>
        <v>198</v>
      </c>
      <c r="B538" s="2"/>
      <c r="C538" s="3"/>
      <c r="D538" s="55" t="s">
        <v>18</v>
      </c>
      <c r="E538" s="38" t="s">
        <v>16</v>
      </c>
      <c r="F538" s="38"/>
      <c r="G538" s="39" t="str">
        <f t="shared" si="26"/>
        <v>__</v>
      </c>
      <c r="H538" s="40" t="str">
        <f t="shared" si="27"/>
        <v>FALSE</v>
      </c>
      <c r="I538" s="41">
        <f t="shared" si="28"/>
        <v>0</v>
      </c>
      <c r="J538" s="4" t="s">
        <v>16</v>
      </c>
      <c r="K538" s="43" t="str">
        <f>IF(VLOOKUP(J538,βοηθητικό!$J$2:$N$354,3,FALSE)="","",VLOOKUP(J538,βοηθητικό!$J$2:$N$354,3,FALSE))</f>
        <v>_</v>
      </c>
      <c r="L538" s="44"/>
      <c r="M538" s="5" t="s">
        <v>16</v>
      </c>
      <c r="N538" s="46" t="str">
        <f>IF(VLOOKUP(M538,βοηθητικό!$J$2:$N$354,3,FALSE)="","",VLOOKUP(M538,βοηθητικό!$J$2:$N$354,3,FALSE))</f>
        <v>_</v>
      </c>
      <c r="O538" s="47"/>
      <c r="P538" s="4" t="s">
        <v>16</v>
      </c>
      <c r="Q538" s="43" t="str">
        <f>IF(VLOOKUP(P538,βοηθητικό!$J$2:$N$354,3,FALSE)="","",VLOOKUP(P538,βοηθητικό!$J$2:$N$354,3,FALSE))</f>
        <v>_</v>
      </c>
      <c r="R538" s="44"/>
      <c r="S538" s="5" t="s">
        <v>16</v>
      </c>
      <c r="T538" s="46" t="str">
        <f>IF(VLOOKUP(S538,βοηθητικό!$J$2:$N$354,3,FALSE)="","",VLOOKUP(S538,βοηθητικό!$J$2:$N$354,3,FALSE))</f>
        <v>_</v>
      </c>
      <c r="U538" s="47"/>
      <c r="V538" s="4" t="s">
        <v>16</v>
      </c>
      <c r="W538" s="43" t="str">
        <f>IF(VLOOKUP(V538,βοηθητικό!$J$2:$N$354,3,FALSE)="","",VLOOKUP(V538,βοηθητικό!$J$2:$N$354,3,FALSE))</f>
        <v>_</v>
      </c>
      <c r="X538" s="44"/>
      <c r="Y538" s="5" t="s">
        <v>16</v>
      </c>
      <c r="Z538" s="46" t="str">
        <f>IF(VLOOKUP(Y538,βοηθητικό!$J$2:$N$354,3,FALSE)="","",VLOOKUP(Y538,βοηθητικό!$J$2:$N$354,3,FALSE))</f>
        <v>_</v>
      </c>
      <c r="AA538" s="47"/>
      <c r="AB538" s="4" t="s">
        <v>16</v>
      </c>
      <c r="AC538" s="43" t="str">
        <f>IF(VLOOKUP(AB538,βοηθητικό!$J$2:$N$354,3,FALSE)="","",VLOOKUP(AB538,βοηθητικό!$J$2:$N$354,3,FALSE))</f>
        <v>_</v>
      </c>
      <c r="AD538" s="44"/>
      <c r="AE538" s="5" t="s">
        <v>16</v>
      </c>
      <c r="AF538" s="46" t="str">
        <f>IF(VLOOKUP(AE538,βοηθητικό!$J$2:$N$354,3,FALSE)="","",VLOOKUP(AE538,βοηθητικό!$J$2:$N$354,3,FALSE))</f>
        <v>_</v>
      </c>
      <c r="AG538" s="47"/>
      <c r="AH538" s="4" t="s">
        <v>16</v>
      </c>
      <c r="AI538" s="43" t="str">
        <f>IF(VLOOKUP(AH538,βοηθητικό!$J$2:$N$354,3,FALSE)="","",VLOOKUP(AH538,βοηθητικό!$J$2:$N$354,3,FALSE))</f>
        <v>_</v>
      </c>
      <c r="AJ538" s="44"/>
      <c r="AK538" s="5" t="s">
        <v>16</v>
      </c>
      <c r="AL538" s="46" t="str">
        <f>IF(VLOOKUP(AK538,βοηθητικό!$J$2:$N$354,3,FALSE)="","",VLOOKUP(AK538,βοηθητικό!$J$2:$N$354,3,FALSE))</f>
        <v>_</v>
      </c>
      <c r="AM538" s="47"/>
      <c r="AN538" s="4" t="s">
        <v>16</v>
      </c>
      <c r="AO538" s="43" t="str">
        <f>IF(VLOOKUP(AN538,βοηθητικό!$J$2:$N$354,3,FALSE)="","",VLOOKUP(AN538,βοηθητικό!$J$2:$N$354,3,FALSE))</f>
        <v>_</v>
      </c>
      <c r="AP538" s="44"/>
      <c r="AQ538" s="5" t="s">
        <v>16</v>
      </c>
      <c r="AR538" s="46" t="str">
        <f>IF(VLOOKUP(AQ538,βοηθητικό!$J$2:$N$354,3,FALSE)="","",VLOOKUP(AQ538,βοηθητικό!$J$2:$N$354,3,FALSE))</f>
        <v>_</v>
      </c>
      <c r="AS538" s="47"/>
      <c r="AT538" s="4" t="s">
        <v>16</v>
      </c>
      <c r="AU538" s="43" t="str">
        <f>IF(VLOOKUP(AT538,βοηθητικό!$J$2:$N$354,3,FALSE)="","",VLOOKUP(AT538,βοηθητικό!$J$2:$N$354,3,FALSE))</f>
        <v>_</v>
      </c>
      <c r="AV538" s="44"/>
      <c r="AW538" s="5" t="s">
        <v>16</v>
      </c>
      <c r="AX538" s="46" t="str">
        <f>IF(VLOOKUP(AW538,βοηθητικό!$J$2:$N$354,3,FALSE)="","",VLOOKUP(AW538,βοηθητικό!$J$2:$N$354,3,FALSE))</f>
        <v>_</v>
      </c>
      <c r="AY538" s="47"/>
      <c r="AZ538" s="4" t="s">
        <v>16</v>
      </c>
      <c r="BA538" s="43" t="str">
        <f>IF(VLOOKUP(AZ538,βοηθητικό!$J$2:$N$354,3,FALSE)="","",VLOOKUP(AZ538,βοηθητικό!$J$2:$N$354,3,FALSE))</f>
        <v>_</v>
      </c>
      <c r="BB538" s="44"/>
      <c r="BC538" s="45" t="s">
        <v>16</v>
      </c>
      <c r="BD538" s="46" t="str">
        <f>IF(VLOOKUP(BC538,βοηθητικό!$J$2:$N$354,3,FALSE)="","",VLOOKUP(BC538,βοηθητικό!$J$2:$N$354,3,FALSE))</f>
        <v>_</v>
      </c>
      <c r="BE538" s="47"/>
      <c r="BF538" s="42" t="s">
        <v>16</v>
      </c>
      <c r="BG538" s="43" t="str">
        <f>IF(VLOOKUP(BF538,βοηθητικό!$J$2:$N$354,3,FALSE)="","",VLOOKUP(BF538,βοηθητικό!$J$2:$N$354,3,FALSE))</f>
        <v>_</v>
      </c>
      <c r="BH538" s="44"/>
      <c r="BI538" s="45" t="s">
        <v>16</v>
      </c>
      <c r="BJ538" s="46" t="str">
        <f>IF(VLOOKUP(BI538,βοηθητικό!$J$2:$N$354,3,FALSE)="","",VLOOKUP(BI538,βοηθητικό!$J$2:$N$354,3,FALSE))</f>
        <v>_</v>
      </c>
      <c r="BK538" s="47"/>
      <c r="BL538" s="42" t="s">
        <v>16</v>
      </c>
      <c r="BM538" s="43" t="str">
        <f>IF(VLOOKUP(BL538,βοηθητικό!$J$2:$N$354,3,FALSE)="","",VLOOKUP(BL538,βοηθητικό!$J$2:$N$354,3,FALSE))</f>
        <v>_</v>
      </c>
      <c r="BN538" s="44"/>
      <c r="BO538" s="45" t="s">
        <v>16</v>
      </c>
      <c r="BP538" s="46" t="str">
        <f>IF(VLOOKUP(BO538,βοηθητικό!$J$2:$N$354,3,FALSE)="","",VLOOKUP(BO538,βοηθητικό!$J$2:$N$354,3,FALSE))</f>
        <v>_</v>
      </c>
      <c r="BQ538" s="47"/>
      <c r="BR538" s="42" t="s">
        <v>16</v>
      </c>
      <c r="BS538" s="43" t="str">
        <f>IF(VLOOKUP(BR538,βοηθητικό!$J$2:$N$354,3,FALSE)="","",VLOOKUP(BR538,βοηθητικό!$J$2:$N$354,3,FALSE))</f>
        <v>_</v>
      </c>
      <c r="BT538" s="44"/>
      <c r="BU538" s="45" t="s">
        <v>16</v>
      </c>
      <c r="BV538" s="46" t="str">
        <f>IF(VLOOKUP(BU538,βοηθητικό!$J$2:$N$354,3,FALSE)="","",VLOOKUP(BU538,βοηθητικό!$J$2:$N$354,3,FALSE))</f>
        <v>_</v>
      </c>
      <c r="BW538" s="47"/>
      <c r="BX538" s="42" t="s">
        <v>16</v>
      </c>
      <c r="BY538" s="43" t="str">
        <f>IF(VLOOKUP(BX538,βοηθητικό!$J$2:$N$354,3,FALSE)="","",VLOOKUP(BX538,βοηθητικό!$J$2:$N$354,3,FALSE))</f>
        <v>_</v>
      </c>
      <c r="BZ538" s="44"/>
      <c r="CA538" s="45" t="s">
        <v>16</v>
      </c>
      <c r="CB538" s="46" t="str">
        <f>IF(VLOOKUP(CA538,βοηθητικό!$J$2:$N$354,3,FALSE)="","",VLOOKUP(CA538,βοηθητικό!$J$2:$N$354,3,FALSE))</f>
        <v>_</v>
      </c>
      <c r="CC538" s="47"/>
      <c r="CD538" s="42" t="s">
        <v>16</v>
      </c>
      <c r="CE538" s="43" t="str">
        <f>IF(VLOOKUP(CD538,βοηθητικό!$J$2:$N$354,3,FALSE)="","",VLOOKUP(CD538,βοηθητικό!$J$2:$N$354,3,FALSE))</f>
        <v>_</v>
      </c>
      <c r="CF538" s="44"/>
      <c r="CG538" s="45" t="s">
        <v>16</v>
      </c>
      <c r="CH538" s="46" t="str">
        <f>IF(VLOOKUP(CG538,βοηθητικό!$J$2:$N$354,3,FALSE)="","",VLOOKUP(CG538,βοηθητικό!$J$2:$N$354,3,FALSE))</f>
        <v>_</v>
      </c>
      <c r="CI538" s="47"/>
      <c r="CJ538" s="42" t="s">
        <v>16</v>
      </c>
      <c r="CK538" s="43" t="str">
        <f>IF(VLOOKUP(CJ538,βοηθητικό!$J$2:$N$354,3,FALSE)="","",VLOOKUP(CJ538,βοηθητικό!$J$2:$N$354,3,FALSE))</f>
        <v>_</v>
      </c>
      <c r="CL538" s="44"/>
      <c r="CM538" s="45" t="s">
        <v>16</v>
      </c>
      <c r="CN538" s="46" t="str">
        <f>IF(VLOOKUP(CM538,βοηθητικό!$J$2:$N$354,3,FALSE)="","",VLOOKUP(CM538,βοηθητικό!$J$2:$N$354,3,FALSE))</f>
        <v>_</v>
      </c>
      <c r="CO538" s="47"/>
      <c r="CP538" s="42" t="s">
        <v>16</v>
      </c>
      <c r="CQ538" s="43" t="str">
        <f>IF(VLOOKUP(CP538,βοηθητικό!$J$2:$N$354,3,FALSE)="","",VLOOKUP(CP538,βοηθητικό!$J$2:$N$354,3,FALSE))</f>
        <v>_</v>
      </c>
      <c r="CR538" s="44"/>
      <c r="CS538" s="45" t="s">
        <v>16</v>
      </c>
      <c r="CT538" s="46" t="str">
        <f>IF(VLOOKUP(CS538,βοηθητικό!$J$2:$N$354,3,FALSE)="","",VLOOKUP(CS538,βοηθητικό!$J$2:$N$354,3,FALSE))</f>
        <v>_</v>
      </c>
      <c r="CU538" s="47"/>
    </row>
    <row r="539" spans="1:99" x14ac:dyDescent="0.25">
      <c r="A539" s="37">
        <f>--SUBTOTAL(3,$B$3:B538)</f>
        <v>198</v>
      </c>
      <c r="B539" s="2"/>
      <c r="C539" s="3"/>
      <c r="D539" s="55" t="s">
        <v>18</v>
      </c>
      <c r="E539" s="38" t="s">
        <v>16</v>
      </c>
      <c r="F539" s="38"/>
      <c r="G539" s="39" t="str">
        <f t="shared" si="26"/>
        <v>__</v>
      </c>
      <c r="H539" s="40" t="str">
        <f t="shared" si="27"/>
        <v>FALSE</v>
      </c>
      <c r="I539" s="41">
        <f t="shared" si="28"/>
        <v>0</v>
      </c>
      <c r="J539" s="4" t="s">
        <v>16</v>
      </c>
      <c r="K539" s="43" t="str">
        <f>IF(VLOOKUP(J539,βοηθητικό!$J$2:$N$354,3,FALSE)="","",VLOOKUP(J539,βοηθητικό!$J$2:$N$354,3,FALSE))</f>
        <v>_</v>
      </c>
      <c r="L539" s="44"/>
      <c r="M539" s="5" t="s">
        <v>16</v>
      </c>
      <c r="N539" s="46" t="str">
        <f>IF(VLOOKUP(M539,βοηθητικό!$J$2:$N$354,3,FALSE)="","",VLOOKUP(M539,βοηθητικό!$J$2:$N$354,3,FALSE))</f>
        <v>_</v>
      </c>
      <c r="O539" s="47"/>
      <c r="P539" s="4" t="s">
        <v>16</v>
      </c>
      <c r="Q539" s="43" t="str">
        <f>IF(VLOOKUP(P539,βοηθητικό!$J$2:$N$354,3,FALSE)="","",VLOOKUP(P539,βοηθητικό!$J$2:$N$354,3,FALSE))</f>
        <v>_</v>
      </c>
      <c r="R539" s="44"/>
      <c r="S539" s="5" t="s">
        <v>16</v>
      </c>
      <c r="T539" s="46" t="str">
        <f>IF(VLOOKUP(S539,βοηθητικό!$J$2:$N$354,3,FALSE)="","",VLOOKUP(S539,βοηθητικό!$J$2:$N$354,3,FALSE))</f>
        <v>_</v>
      </c>
      <c r="U539" s="47"/>
      <c r="V539" s="4" t="s">
        <v>16</v>
      </c>
      <c r="W539" s="43" t="str">
        <f>IF(VLOOKUP(V539,βοηθητικό!$J$2:$N$354,3,FALSE)="","",VLOOKUP(V539,βοηθητικό!$J$2:$N$354,3,FALSE))</f>
        <v>_</v>
      </c>
      <c r="X539" s="44"/>
      <c r="Y539" s="5" t="s">
        <v>16</v>
      </c>
      <c r="Z539" s="46" t="str">
        <f>IF(VLOOKUP(Y539,βοηθητικό!$J$2:$N$354,3,FALSE)="","",VLOOKUP(Y539,βοηθητικό!$J$2:$N$354,3,FALSE))</f>
        <v>_</v>
      </c>
      <c r="AA539" s="47"/>
      <c r="AB539" s="4" t="s">
        <v>16</v>
      </c>
      <c r="AC539" s="43" t="str">
        <f>IF(VLOOKUP(AB539,βοηθητικό!$J$2:$N$354,3,FALSE)="","",VLOOKUP(AB539,βοηθητικό!$J$2:$N$354,3,FALSE))</f>
        <v>_</v>
      </c>
      <c r="AD539" s="44"/>
      <c r="AE539" s="5" t="s">
        <v>16</v>
      </c>
      <c r="AF539" s="46" t="str">
        <f>IF(VLOOKUP(AE539,βοηθητικό!$J$2:$N$354,3,FALSE)="","",VLOOKUP(AE539,βοηθητικό!$J$2:$N$354,3,FALSE))</f>
        <v>_</v>
      </c>
      <c r="AG539" s="47"/>
      <c r="AH539" s="4" t="s">
        <v>16</v>
      </c>
      <c r="AI539" s="43" t="str">
        <f>IF(VLOOKUP(AH539,βοηθητικό!$J$2:$N$354,3,FALSE)="","",VLOOKUP(AH539,βοηθητικό!$J$2:$N$354,3,FALSE))</f>
        <v>_</v>
      </c>
      <c r="AJ539" s="44"/>
      <c r="AK539" s="5" t="s">
        <v>16</v>
      </c>
      <c r="AL539" s="46" t="str">
        <f>IF(VLOOKUP(AK539,βοηθητικό!$J$2:$N$354,3,FALSE)="","",VLOOKUP(AK539,βοηθητικό!$J$2:$N$354,3,FALSE))</f>
        <v>_</v>
      </c>
      <c r="AM539" s="47"/>
      <c r="AN539" s="4" t="s">
        <v>16</v>
      </c>
      <c r="AO539" s="43" t="str">
        <f>IF(VLOOKUP(AN539,βοηθητικό!$J$2:$N$354,3,FALSE)="","",VLOOKUP(AN539,βοηθητικό!$J$2:$N$354,3,FALSE))</f>
        <v>_</v>
      </c>
      <c r="AP539" s="44"/>
      <c r="AQ539" s="5" t="s">
        <v>16</v>
      </c>
      <c r="AR539" s="46" t="str">
        <f>IF(VLOOKUP(AQ539,βοηθητικό!$J$2:$N$354,3,FALSE)="","",VLOOKUP(AQ539,βοηθητικό!$J$2:$N$354,3,FALSE))</f>
        <v>_</v>
      </c>
      <c r="AS539" s="47"/>
      <c r="AT539" s="4" t="s">
        <v>16</v>
      </c>
      <c r="AU539" s="43" t="str">
        <f>IF(VLOOKUP(AT539,βοηθητικό!$J$2:$N$354,3,FALSE)="","",VLOOKUP(AT539,βοηθητικό!$J$2:$N$354,3,FALSE))</f>
        <v>_</v>
      </c>
      <c r="AV539" s="44"/>
      <c r="AW539" s="5" t="s">
        <v>16</v>
      </c>
      <c r="AX539" s="46" t="str">
        <f>IF(VLOOKUP(AW539,βοηθητικό!$J$2:$N$354,3,FALSE)="","",VLOOKUP(AW539,βοηθητικό!$J$2:$N$354,3,FALSE))</f>
        <v>_</v>
      </c>
      <c r="AY539" s="47"/>
      <c r="AZ539" s="4" t="s">
        <v>16</v>
      </c>
      <c r="BA539" s="43" t="str">
        <f>IF(VLOOKUP(AZ539,βοηθητικό!$J$2:$N$354,3,FALSE)="","",VLOOKUP(AZ539,βοηθητικό!$J$2:$N$354,3,FALSE))</f>
        <v>_</v>
      </c>
      <c r="BB539" s="44"/>
      <c r="BC539" s="45" t="s">
        <v>16</v>
      </c>
      <c r="BD539" s="46" t="str">
        <f>IF(VLOOKUP(BC539,βοηθητικό!$J$2:$N$354,3,FALSE)="","",VLOOKUP(BC539,βοηθητικό!$J$2:$N$354,3,FALSE))</f>
        <v>_</v>
      </c>
      <c r="BE539" s="47"/>
      <c r="BF539" s="42" t="s">
        <v>16</v>
      </c>
      <c r="BG539" s="43" t="str">
        <f>IF(VLOOKUP(BF539,βοηθητικό!$J$2:$N$354,3,FALSE)="","",VLOOKUP(BF539,βοηθητικό!$J$2:$N$354,3,FALSE))</f>
        <v>_</v>
      </c>
      <c r="BH539" s="44"/>
      <c r="BI539" s="45" t="s">
        <v>16</v>
      </c>
      <c r="BJ539" s="46" t="str">
        <f>IF(VLOOKUP(BI539,βοηθητικό!$J$2:$N$354,3,FALSE)="","",VLOOKUP(BI539,βοηθητικό!$J$2:$N$354,3,FALSE))</f>
        <v>_</v>
      </c>
      <c r="BK539" s="47"/>
      <c r="BL539" s="42" t="s">
        <v>16</v>
      </c>
      <c r="BM539" s="43" t="str">
        <f>IF(VLOOKUP(BL539,βοηθητικό!$J$2:$N$354,3,FALSE)="","",VLOOKUP(BL539,βοηθητικό!$J$2:$N$354,3,FALSE))</f>
        <v>_</v>
      </c>
      <c r="BN539" s="44"/>
      <c r="BO539" s="45" t="s">
        <v>16</v>
      </c>
      <c r="BP539" s="46" t="str">
        <f>IF(VLOOKUP(BO539,βοηθητικό!$J$2:$N$354,3,FALSE)="","",VLOOKUP(BO539,βοηθητικό!$J$2:$N$354,3,FALSE))</f>
        <v>_</v>
      </c>
      <c r="BQ539" s="47"/>
      <c r="BR539" s="42" t="s">
        <v>16</v>
      </c>
      <c r="BS539" s="43" t="str">
        <f>IF(VLOOKUP(BR539,βοηθητικό!$J$2:$N$354,3,FALSE)="","",VLOOKUP(BR539,βοηθητικό!$J$2:$N$354,3,FALSE))</f>
        <v>_</v>
      </c>
      <c r="BT539" s="44"/>
      <c r="BU539" s="45" t="s">
        <v>16</v>
      </c>
      <c r="BV539" s="46" t="str">
        <f>IF(VLOOKUP(BU539,βοηθητικό!$J$2:$N$354,3,FALSE)="","",VLOOKUP(BU539,βοηθητικό!$J$2:$N$354,3,FALSE))</f>
        <v>_</v>
      </c>
      <c r="BW539" s="47"/>
      <c r="BX539" s="42" t="s">
        <v>16</v>
      </c>
      <c r="BY539" s="43" t="str">
        <f>IF(VLOOKUP(BX539,βοηθητικό!$J$2:$N$354,3,FALSE)="","",VLOOKUP(BX539,βοηθητικό!$J$2:$N$354,3,FALSE))</f>
        <v>_</v>
      </c>
      <c r="BZ539" s="44"/>
      <c r="CA539" s="45" t="s">
        <v>16</v>
      </c>
      <c r="CB539" s="46" t="str">
        <f>IF(VLOOKUP(CA539,βοηθητικό!$J$2:$N$354,3,FALSE)="","",VLOOKUP(CA539,βοηθητικό!$J$2:$N$354,3,FALSE))</f>
        <v>_</v>
      </c>
      <c r="CC539" s="47"/>
      <c r="CD539" s="42" t="s">
        <v>16</v>
      </c>
      <c r="CE539" s="43" t="str">
        <f>IF(VLOOKUP(CD539,βοηθητικό!$J$2:$N$354,3,FALSE)="","",VLOOKUP(CD539,βοηθητικό!$J$2:$N$354,3,FALSE))</f>
        <v>_</v>
      </c>
      <c r="CF539" s="44"/>
      <c r="CG539" s="45" t="s">
        <v>16</v>
      </c>
      <c r="CH539" s="46" t="str">
        <f>IF(VLOOKUP(CG539,βοηθητικό!$J$2:$N$354,3,FALSE)="","",VLOOKUP(CG539,βοηθητικό!$J$2:$N$354,3,FALSE))</f>
        <v>_</v>
      </c>
      <c r="CI539" s="47"/>
      <c r="CJ539" s="42" t="s">
        <v>16</v>
      </c>
      <c r="CK539" s="43" t="str">
        <f>IF(VLOOKUP(CJ539,βοηθητικό!$J$2:$N$354,3,FALSE)="","",VLOOKUP(CJ539,βοηθητικό!$J$2:$N$354,3,FALSE))</f>
        <v>_</v>
      </c>
      <c r="CL539" s="44"/>
      <c r="CM539" s="45" t="s">
        <v>16</v>
      </c>
      <c r="CN539" s="46" t="str">
        <f>IF(VLOOKUP(CM539,βοηθητικό!$J$2:$N$354,3,FALSE)="","",VLOOKUP(CM539,βοηθητικό!$J$2:$N$354,3,FALSE))</f>
        <v>_</v>
      </c>
      <c r="CO539" s="47"/>
      <c r="CP539" s="42" t="s">
        <v>16</v>
      </c>
      <c r="CQ539" s="43" t="str">
        <f>IF(VLOOKUP(CP539,βοηθητικό!$J$2:$N$354,3,FALSE)="","",VLOOKUP(CP539,βοηθητικό!$J$2:$N$354,3,FALSE))</f>
        <v>_</v>
      </c>
      <c r="CR539" s="44"/>
      <c r="CS539" s="45" t="s">
        <v>16</v>
      </c>
      <c r="CT539" s="46" t="str">
        <f>IF(VLOOKUP(CS539,βοηθητικό!$J$2:$N$354,3,FALSE)="","",VLOOKUP(CS539,βοηθητικό!$J$2:$N$354,3,FALSE))</f>
        <v>_</v>
      </c>
      <c r="CU539" s="47"/>
    </row>
    <row r="540" spans="1:99" x14ac:dyDescent="0.25">
      <c r="A540" s="37">
        <f>--SUBTOTAL(3,$B$3:B539)</f>
        <v>198</v>
      </c>
      <c r="B540" s="2"/>
      <c r="C540" s="3"/>
      <c r="D540" s="55" t="s">
        <v>18</v>
      </c>
      <c r="E540" s="38" t="s">
        <v>16</v>
      </c>
      <c r="F540" s="38"/>
      <c r="G540" s="39" t="str">
        <f t="shared" si="26"/>
        <v>__</v>
      </c>
      <c r="H540" s="40" t="str">
        <f t="shared" si="27"/>
        <v>FALSE</v>
      </c>
      <c r="I540" s="41">
        <f t="shared" si="28"/>
        <v>0</v>
      </c>
      <c r="J540" s="4" t="s">
        <v>16</v>
      </c>
      <c r="K540" s="43" t="str">
        <f>IF(VLOOKUP(J540,βοηθητικό!$J$2:$N$354,3,FALSE)="","",VLOOKUP(J540,βοηθητικό!$J$2:$N$354,3,FALSE))</f>
        <v>_</v>
      </c>
      <c r="L540" s="44"/>
      <c r="M540" s="5" t="s">
        <v>16</v>
      </c>
      <c r="N540" s="46" t="str">
        <f>IF(VLOOKUP(M540,βοηθητικό!$J$2:$N$354,3,FALSE)="","",VLOOKUP(M540,βοηθητικό!$J$2:$N$354,3,FALSE))</f>
        <v>_</v>
      </c>
      <c r="O540" s="47"/>
      <c r="P540" s="4" t="s">
        <v>16</v>
      </c>
      <c r="Q540" s="43" t="str">
        <f>IF(VLOOKUP(P540,βοηθητικό!$J$2:$N$354,3,FALSE)="","",VLOOKUP(P540,βοηθητικό!$J$2:$N$354,3,FALSE))</f>
        <v>_</v>
      </c>
      <c r="R540" s="44"/>
      <c r="S540" s="5" t="s">
        <v>16</v>
      </c>
      <c r="T540" s="46" t="str">
        <f>IF(VLOOKUP(S540,βοηθητικό!$J$2:$N$354,3,FALSE)="","",VLOOKUP(S540,βοηθητικό!$J$2:$N$354,3,FALSE))</f>
        <v>_</v>
      </c>
      <c r="U540" s="47"/>
      <c r="V540" s="4" t="s">
        <v>16</v>
      </c>
      <c r="W540" s="43" t="str">
        <f>IF(VLOOKUP(V540,βοηθητικό!$J$2:$N$354,3,FALSE)="","",VLOOKUP(V540,βοηθητικό!$J$2:$N$354,3,FALSE))</f>
        <v>_</v>
      </c>
      <c r="X540" s="44"/>
      <c r="Y540" s="5" t="s">
        <v>16</v>
      </c>
      <c r="Z540" s="46" t="str">
        <f>IF(VLOOKUP(Y540,βοηθητικό!$J$2:$N$354,3,FALSE)="","",VLOOKUP(Y540,βοηθητικό!$J$2:$N$354,3,FALSE))</f>
        <v>_</v>
      </c>
      <c r="AA540" s="47"/>
      <c r="AB540" s="4" t="s">
        <v>16</v>
      </c>
      <c r="AC540" s="43" t="str">
        <f>IF(VLOOKUP(AB540,βοηθητικό!$J$2:$N$354,3,FALSE)="","",VLOOKUP(AB540,βοηθητικό!$J$2:$N$354,3,FALSE))</f>
        <v>_</v>
      </c>
      <c r="AD540" s="44"/>
      <c r="AE540" s="5" t="s">
        <v>16</v>
      </c>
      <c r="AF540" s="46" t="str">
        <f>IF(VLOOKUP(AE540,βοηθητικό!$J$2:$N$354,3,FALSE)="","",VLOOKUP(AE540,βοηθητικό!$J$2:$N$354,3,FALSE))</f>
        <v>_</v>
      </c>
      <c r="AG540" s="47"/>
      <c r="AH540" s="4" t="s">
        <v>16</v>
      </c>
      <c r="AI540" s="43" t="str">
        <f>IF(VLOOKUP(AH540,βοηθητικό!$J$2:$N$354,3,FALSE)="","",VLOOKUP(AH540,βοηθητικό!$J$2:$N$354,3,FALSE))</f>
        <v>_</v>
      </c>
      <c r="AJ540" s="44"/>
      <c r="AK540" s="5" t="s">
        <v>16</v>
      </c>
      <c r="AL540" s="46" t="str">
        <f>IF(VLOOKUP(AK540,βοηθητικό!$J$2:$N$354,3,FALSE)="","",VLOOKUP(AK540,βοηθητικό!$J$2:$N$354,3,FALSE))</f>
        <v>_</v>
      </c>
      <c r="AM540" s="47"/>
      <c r="AN540" s="4" t="s">
        <v>16</v>
      </c>
      <c r="AO540" s="43" t="str">
        <f>IF(VLOOKUP(AN540,βοηθητικό!$J$2:$N$354,3,FALSE)="","",VLOOKUP(AN540,βοηθητικό!$J$2:$N$354,3,FALSE))</f>
        <v>_</v>
      </c>
      <c r="AP540" s="44"/>
      <c r="AQ540" s="5" t="s">
        <v>16</v>
      </c>
      <c r="AR540" s="46" t="str">
        <f>IF(VLOOKUP(AQ540,βοηθητικό!$J$2:$N$354,3,FALSE)="","",VLOOKUP(AQ540,βοηθητικό!$J$2:$N$354,3,FALSE))</f>
        <v>_</v>
      </c>
      <c r="AS540" s="47"/>
      <c r="AT540" s="4" t="s">
        <v>16</v>
      </c>
      <c r="AU540" s="43" t="str">
        <f>IF(VLOOKUP(AT540,βοηθητικό!$J$2:$N$354,3,FALSE)="","",VLOOKUP(AT540,βοηθητικό!$J$2:$N$354,3,FALSE))</f>
        <v>_</v>
      </c>
      <c r="AV540" s="44"/>
      <c r="AW540" s="5" t="s">
        <v>16</v>
      </c>
      <c r="AX540" s="46" t="str">
        <f>IF(VLOOKUP(AW540,βοηθητικό!$J$2:$N$354,3,FALSE)="","",VLOOKUP(AW540,βοηθητικό!$J$2:$N$354,3,FALSE))</f>
        <v>_</v>
      </c>
      <c r="AY540" s="47"/>
      <c r="AZ540" s="4" t="s">
        <v>16</v>
      </c>
      <c r="BA540" s="43" t="str">
        <f>IF(VLOOKUP(AZ540,βοηθητικό!$J$2:$N$354,3,FALSE)="","",VLOOKUP(AZ540,βοηθητικό!$J$2:$N$354,3,FALSE))</f>
        <v>_</v>
      </c>
      <c r="BB540" s="44"/>
      <c r="BC540" s="45" t="s">
        <v>16</v>
      </c>
      <c r="BD540" s="46" t="str">
        <f>IF(VLOOKUP(BC540,βοηθητικό!$J$2:$N$354,3,FALSE)="","",VLOOKUP(BC540,βοηθητικό!$J$2:$N$354,3,FALSE))</f>
        <v>_</v>
      </c>
      <c r="BE540" s="47"/>
      <c r="BF540" s="42" t="s">
        <v>16</v>
      </c>
      <c r="BG540" s="43" t="str">
        <f>IF(VLOOKUP(BF540,βοηθητικό!$J$2:$N$354,3,FALSE)="","",VLOOKUP(BF540,βοηθητικό!$J$2:$N$354,3,FALSE))</f>
        <v>_</v>
      </c>
      <c r="BH540" s="44"/>
      <c r="BI540" s="45" t="s">
        <v>16</v>
      </c>
      <c r="BJ540" s="46" t="str">
        <f>IF(VLOOKUP(BI540,βοηθητικό!$J$2:$N$354,3,FALSE)="","",VLOOKUP(BI540,βοηθητικό!$J$2:$N$354,3,FALSE))</f>
        <v>_</v>
      </c>
      <c r="BK540" s="47"/>
      <c r="BL540" s="42" t="s">
        <v>16</v>
      </c>
      <c r="BM540" s="43" t="str">
        <f>IF(VLOOKUP(BL540,βοηθητικό!$J$2:$N$354,3,FALSE)="","",VLOOKUP(BL540,βοηθητικό!$J$2:$N$354,3,FALSE))</f>
        <v>_</v>
      </c>
      <c r="BN540" s="44"/>
      <c r="BO540" s="45" t="s">
        <v>16</v>
      </c>
      <c r="BP540" s="46" t="str">
        <f>IF(VLOOKUP(BO540,βοηθητικό!$J$2:$N$354,3,FALSE)="","",VLOOKUP(BO540,βοηθητικό!$J$2:$N$354,3,FALSE))</f>
        <v>_</v>
      </c>
      <c r="BQ540" s="47"/>
      <c r="BR540" s="42" t="s">
        <v>16</v>
      </c>
      <c r="BS540" s="43" t="str">
        <f>IF(VLOOKUP(BR540,βοηθητικό!$J$2:$N$354,3,FALSE)="","",VLOOKUP(BR540,βοηθητικό!$J$2:$N$354,3,FALSE))</f>
        <v>_</v>
      </c>
      <c r="BT540" s="44"/>
      <c r="BU540" s="45" t="s">
        <v>16</v>
      </c>
      <c r="BV540" s="46" t="str">
        <f>IF(VLOOKUP(BU540,βοηθητικό!$J$2:$N$354,3,FALSE)="","",VLOOKUP(BU540,βοηθητικό!$J$2:$N$354,3,FALSE))</f>
        <v>_</v>
      </c>
      <c r="BW540" s="47"/>
      <c r="BX540" s="42" t="s">
        <v>16</v>
      </c>
      <c r="BY540" s="43" t="str">
        <f>IF(VLOOKUP(BX540,βοηθητικό!$J$2:$N$354,3,FALSE)="","",VLOOKUP(BX540,βοηθητικό!$J$2:$N$354,3,FALSE))</f>
        <v>_</v>
      </c>
      <c r="BZ540" s="44"/>
      <c r="CA540" s="45" t="s">
        <v>16</v>
      </c>
      <c r="CB540" s="46" t="str">
        <f>IF(VLOOKUP(CA540,βοηθητικό!$J$2:$N$354,3,FALSE)="","",VLOOKUP(CA540,βοηθητικό!$J$2:$N$354,3,FALSE))</f>
        <v>_</v>
      </c>
      <c r="CC540" s="47"/>
      <c r="CD540" s="42" t="s">
        <v>16</v>
      </c>
      <c r="CE540" s="43" t="str">
        <f>IF(VLOOKUP(CD540,βοηθητικό!$J$2:$N$354,3,FALSE)="","",VLOOKUP(CD540,βοηθητικό!$J$2:$N$354,3,FALSE))</f>
        <v>_</v>
      </c>
      <c r="CF540" s="44"/>
      <c r="CG540" s="45" t="s">
        <v>16</v>
      </c>
      <c r="CH540" s="46" t="str">
        <f>IF(VLOOKUP(CG540,βοηθητικό!$J$2:$N$354,3,FALSE)="","",VLOOKUP(CG540,βοηθητικό!$J$2:$N$354,3,FALSE))</f>
        <v>_</v>
      </c>
      <c r="CI540" s="47"/>
      <c r="CJ540" s="42" t="s">
        <v>16</v>
      </c>
      <c r="CK540" s="43" t="str">
        <f>IF(VLOOKUP(CJ540,βοηθητικό!$J$2:$N$354,3,FALSE)="","",VLOOKUP(CJ540,βοηθητικό!$J$2:$N$354,3,FALSE))</f>
        <v>_</v>
      </c>
      <c r="CL540" s="44"/>
      <c r="CM540" s="45" t="s">
        <v>16</v>
      </c>
      <c r="CN540" s="46" t="str">
        <f>IF(VLOOKUP(CM540,βοηθητικό!$J$2:$N$354,3,FALSE)="","",VLOOKUP(CM540,βοηθητικό!$J$2:$N$354,3,FALSE))</f>
        <v>_</v>
      </c>
      <c r="CO540" s="47"/>
      <c r="CP540" s="42" t="s">
        <v>16</v>
      </c>
      <c r="CQ540" s="43" t="str">
        <f>IF(VLOOKUP(CP540,βοηθητικό!$J$2:$N$354,3,FALSE)="","",VLOOKUP(CP540,βοηθητικό!$J$2:$N$354,3,FALSE))</f>
        <v>_</v>
      </c>
      <c r="CR540" s="44"/>
      <c r="CS540" s="45" t="s">
        <v>16</v>
      </c>
      <c r="CT540" s="46" t="str">
        <f>IF(VLOOKUP(CS540,βοηθητικό!$J$2:$N$354,3,FALSE)="","",VLOOKUP(CS540,βοηθητικό!$J$2:$N$354,3,FALSE))</f>
        <v>_</v>
      </c>
      <c r="CU540" s="47"/>
    </row>
    <row r="541" spans="1:99" x14ac:dyDescent="0.25">
      <c r="A541" s="37">
        <f>--SUBTOTAL(3,$B$3:B540)</f>
        <v>198</v>
      </c>
      <c r="B541" s="2"/>
      <c r="C541" s="3"/>
      <c r="D541" s="55" t="s">
        <v>18</v>
      </c>
      <c r="E541" s="38" t="s">
        <v>16</v>
      </c>
      <c r="F541" s="38"/>
      <c r="G541" s="39" t="str">
        <f t="shared" si="26"/>
        <v>__</v>
      </c>
      <c r="H541" s="40" t="str">
        <f t="shared" si="27"/>
        <v>FALSE</v>
      </c>
      <c r="I541" s="41">
        <f t="shared" si="28"/>
        <v>0</v>
      </c>
      <c r="J541" s="4" t="s">
        <v>16</v>
      </c>
      <c r="K541" s="43" t="str">
        <f>IF(VLOOKUP(J541,βοηθητικό!$J$2:$N$354,3,FALSE)="","",VLOOKUP(J541,βοηθητικό!$J$2:$N$354,3,FALSE))</f>
        <v>_</v>
      </c>
      <c r="L541" s="44"/>
      <c r="M541" s="5" t="s">
        <v>16</v>
      </c>
      <c r="N541" s="46" t="str">
        <f>IF(VLOOKUP(M541,βοηθητικό!$J$2:$N$354,3,FALSE)="","",VLOOKUP(M541,βοηθητικό!$J$2:$N$354,3,FALSE))</f>
        <v>_</v>
      </c>
      <c r="O541" s="47"/>
      <c r="P541" s="4" t="s">
        <v>16</v>
      </c>
      <c r="Q541" s="43" t="str">
        <f>IF(VLOOKUP(P541,βοηθητικό!$J$2:$N$354,3,FALSE)="","",VLOOKUP(P541,βοηθητικό!$J$2:$N$354,3,FALSE))</f>
        <v>_</v>
      </c>
      <c r="R541" s="44"/>
      <c r="S541" s="5" t="s">
        <v>16</v>
      </c>
      <c r="T541" s="46" t="str">
        <f>IF(VLOOKUP(S541,βοηθητικό!$J$2:$N$354,3,FALSE)="","",VLOOKUP(S541,βοηθητικό!$J$2:$N$354,3,FALSE))</f>
        <v>_</v>
      </c>
      <c r="U541" s="47"/>
      <c r="V541" s="4" t="s">
        <v>16</v>
      </c>
      <c r="W541" s="43" t="str">
        <f>IF(VLOOKUP(V541,βοηθητικό!$J$2:$N$354,3,FALSE)="","",VLOOKUP(V541,βοηθητικό!$J$2:$N$354,3,FALSE))</f>
        <v>_</v>
      </c>
      <c r="X541" s="44"/>
      <c r="Y541" s="5" t="s">
        <v>16</v>
      </c>
      <c r="Z541" s="46" t="str">
        <f>IF(VLOOKUP(Y541,βοηθητικό!$J$2:$N$354,3,FALSE)="","",VLOOKUP(Y541,βοηθητικό!$J$2:$N$354,3,FALSE))</f>
        <v>_</v>
      </c>
      <c r="AA541" s="47"/>
      <c r="AB541" s="4" t="s">
        <v>16</v>
      </c>
      <c r="AC541" s="43" t="str">
        <f>IF(VLOOKUP(AB541,βοηθητικό!$J$2:$N$354,3,FALSE)="","",VLOOKUP(AB541,βοηθητικό!$J$2:$N$354,3,FALSE))</f>
        <v>_</v>
      </c>
      <c r="AD541" s="44"/>
      <c r="AE541" s="5" t="s">
        <v>16</v>
      </c>
      <c r="AF541" s="46" t="str">
        <f>IF(VLOOKUP(AE541,βοηθητικό!$J$2:$N$354,3,FALSE)="","",VLOOKUP(AE541,βοηθητικό!$J$2:$N$354,3,FALSE))</f>
        <v>_</v>
      </c>
      <c r="AG541" s="47"/>
      <c r="AH541" s="4" t="s">
        <v>16</v>
      </c>
      <c r="AI541" s="43" t="str">
        <f>IF(VLOOKUP(AH541,βοηθητικό!$J$2:$N$354,3,FALSE)="","",VLOOKUP(AH541,βοηθητικό!$J$2:$N$354,3,FALSE))</f>
        <v>_</v>
      </c>
      <c r="AJ541" s="44"/>
      <c r="AK541" s="5" t="s">
        <v>16</v>
      </c>
      <c r="AL541" s="46" t="str">
        <f>IF(VLOOKUP(AK541,βοηθητικό!$J$2:$N$354,3,FALSE)="","",VLOOKUP(AK541,βοηθητικό!$J$2:$N$354,3,FALSE))</f>
        <v>_</v>
      </c>
      <c r="AM541" s="47"/>
      <c r="AN541" s="4" t="s">
        <v>16</v>
      </c>
      <c r="AO541" s="43" t="str">
        <f>IF(VLOOKUP(AN541,βοηθητικό!$J$2:$N$354,3,FALSE)="","",VLOOKUP(AN541,βοηθητικό!$J$2:$N$354,3,FALSE))</f>
        <v>_</v>
      </c>
      <c r="AP541" s="44"/>
      <c r="AQ541" s="5" t="s">
        <v>16</v>
      </c>
      <c r="AR541" s="46" t="str">
        <f>IF(VLOOKUP(AQ541,βοηθητικό!$J$2:$N$354,3,FALSE)="","",VLOOKUP(AQ541,βοηθητικό!$J$2:$N$354,3,FALSE))</f>
        <v>_</v>
      </c>
      <c r="AS541" s="47"/>
      <c r="AT541" s="4" t="s">
        <v>16</v>
      </c>
      <c r="AU541" s="43" t="str">
        <f>IF(VLOOKUP(AT541,βοηθητικό!$J$2:$N$354,3,FALSE)="","",VLOOKUP(AT541,βοηθητικό!$J$2:$N$354,3,FALSE))</f>
        <v>_</v>
      </c>
      <c r="AV541" s="44"/>
      <c r="AW541" s="5" t="s">
        <v>16</v>
      </c>
      <c r="AX541" s="46" t="str">
        <f>IF(VLOOKUP(AW541,βοηθητικό!$J$2:$N$354,3,FALSE)="","",VLOOKUP(AW541,βοηθητικό!$J$2:$N$354,3,FALSE))</f>
        <v>_</v>
      </c>
      <c r="AY541" s="47"/>
      <c r="AZ541" s="4" t="s">
        <v>16</v>
      </c>
      <c r="BA541" s="43" t="str">
        <f>IF(VLOOKUP(AZ541,βοηθητικό!$J$2:$N$354,3,FALSE)="","",VLOOKUP(AZ541,βοηθητικό!$J$2:$N$354,3,FALSE))</f>
        <v>_</v>
      </c>
      <c r="BB541" s="44"/>
      <c r="BC541" s="45" t="s">
        <v>16</v>
      </c>
      <c r="BD541" s="46" t="str">
        <f>IF(VLOOKUP(BC541,βοηθητικό!$J$2:$N$354,3,FALSE)="","",VLOOKUP(BC541,βοηθητικό!$J$2:$N$354,3,FALSE))</f>
        <v>_</v>
      </c>
      <c r="BE541" s="47"/>
      <c r="BF541" s="42" t="s">
        <v>16</v>
      </c>
      <c r="BG541" s="43" t="str">
        <f>IF(VLOOKUP(BF541,βοηθητικό!$J$2:$N$354,3,FALSE)="","",VLOOKUP(BF541,βοηθητικό!$J$2:$N$354,3,FALSE))</f>
        <v>_</v>
      </c>
      <c r="BH541" s="44"/>
      <c r="BI541" s="45" t="s">
        <v>16</v>
      </c>
      <c r="BJ541" s="46" t="str">
        <f>IF(VLOOKUP(BI541,βοηθητικό!$J$2:$N$354,3,FALSE)="","",VLOOKUP(BI541,βοηθητικό!$J$2:$N$354,3,FALSE))</f>
        <v>_</v>
      </c>
      <c r="BK541" s="47"/>
      <c r="BL541" s="42" t="s">
        <v>16</v>
      </c>
      <c r="BM541" s="43" t="str">
        <f>IF(VLOOKUP(BL541,βοηθητικό!$J$2:$N$354,3,FALSE)="","",VLOOKUP(BL541,βοηθητικό!$J$2:$N$354,3,FALSE))</f>
        <v>_</v>
      </c>
      <c r="BN541" s="44"/>
      <c r="BO541" s="45" t="s">
        <v>16</v>
      </c>
      <c r="BP541" s="46" t="str">
        <f>IF(VLOOKUP(BO541,βοηθητικό!$J$2:$N$354,3,FALSE)="","",VLOOKUP(BO541,βοηθητικό!$J$2:$N$354,3,FALSE))</f>
        <v>_</v>
      </c>
      <c r="BQ541" s="47"/>
      <c r="BR541" s="42" t="s">
        <v>16</v>
      </c>
      <c r="BS541" s="43" t="str">
        <f>IF(VLOOKUP(BR541,βοηθητικό!$J$2:$N$354,3,FALSE)="","",VLOOKUP(BR541,βοηθητικό!$J$2:$N$354,3,FALSE))</f>
        <v>_</v>
      </c>
      <c r="BT541" s="44"/>
      <c r="BU541" s="45" t="s">
        <v>16</v>
      </c>
      <c r="BV541" s="46" t="str">
        <f>IF(VLOOKUP(BU541,βοηθητικό!$J$2:$N$354,3,FALSE)="","",VLOOKUP(BU541,βοηθητικό!$J$2:$N$354,3,FALSE))</f>
        <v>_</v>
      </c>
      <c r="BW541" s="47"/>
      <c r="BX541" s="42" t="s">
        <v>16</v>
      </c>
      <c r="BY541" s="43" t="str">
        <f>IF(VLOOKUP(BX541,βοηθητικό!$J$2:$N$354,3,FALSE)="","",VLOOKUP(BX541,βοηθητικό!$J$2:$N$354,3,FALSE))</f>
        <v>_</v>
      </c>
      <c r="BZ541" s="44"/>
      <c r="CA541" s="45" t="s">
        <v>16</v>
      </c>
      <c r="CB541" s="46" t="str">
        <f>IF(VLOOKUP(CA541,βοηθητικό!$J$2:$N$354,3,FALSE)="","",VLOOKUP(CA541,βοηθητικό!$J$2:$N$354,3,FALSE))</f>
        <v>_</v>
      </c>
      <c r="CC541" s="47"/>
      <c r="CD541" s="42" t="s">
        <v>16</v>
      </c>
      <c r="CE541" s="43" t="str">
        <f>IF(VLOOKUP(CD541,βοηθητικό!$J$2:$N$354,3,FALSE)="","",VLOOKUP(CD541,βοηθητικό!$J$2:$N$354,3,FALSE))</f>
        <v>_</v>
      </c>
      <c r="CF541" s="44"/>
      <c r="CG541" s="45" t="s">
        <v>16</v>
      </c>
      <c r="CH541" s="46" t="str">
        <f>IF(VLOOKUP(CG541,βοηθητικό!$J$2:$N$354,3,FALSE)="","",VLOOKUP(CG541,βοηθητικό!$J$2:$N$354,3,FALSE))</f>
        <v>_</v>
      </c>
      <c r="CI541" s="47"/>
      <c r="CJ541" s="42" t="s">
        <v>16</v>
      </c>
      <c r="CK541" s="43" t="str">
        <f>IF(VLOOKUP(CJ541,βοηθητικό!$J$2:$N$354,3,FALSE)="","",VLOOKUP(CJ541,βοηθητικό!$J$2:$N$354,3,FALSE))</f>
        <v>_</v>
      </c>
      <c r="CL541" s="44"/>
      <c r="CM541" s="45" t="s">
        <v>16</v>
      </c>
      <c r="CN541" s="46" t="str">
        <f>IF(VLOOKUP(CM541,βοηθητικό!$J$2:$N$354,3,FALSE)="","",VLOOKUP(CM541,βοηθητικό!$J$2:$N$354,3,FALSE))</f>
        <v>_</v>
      </c>
      <c r="CO541" s="47"/>
      <c r="CP541" s="42" t="s">
        <v>16</v>
      </c>
      <c r="CQ541" s="43" t="str">
        <f>IF(VLOOKUP(CP541,βοηθητικό!$J$2:$N$354,3,FALSE)="","",VLOOKUP(CP541,βοηθητικό!$J$2:$N$354,3,FALSE))</f>
        <v>_</v>
      </c>
      <c r="CR541" s="44"/>
      <c r="CS541" s="45" t="s">
        <v>16</v>
      </c>
      <c r="CT541" s="46" t="str">
        <f>IF(VLOOKUP(CS541,βοηθητικό!$J$2:$N$354,3,FALSE)="","",VLOOKUP(CS541,βοηθητικό!$J$2:$N$354,3,FALSE))</f>
        <v>_</v>
      </c>
      <c r="CU541" s="47"/>
    </row>
    <row r="542" spans="1:99" x14ac:dyDescent="0.25">
      <c r="A542" s="37">
        <f>--SUBTOTAL(3,$B$3:B541)</f>
        <v>198</v>
      </c>
      <c r="B542" s="2"/>
      <c r="C542" s="3"/>
      <c r="D542" s="55" t="s">
        <v>18</v>
      </c>
      <c r="E542" s="38" t="s">
        <v>16</v>
      </c>
      <c r="F542" s="38"/>
      <c r="G542" s="39" t="str">
        <f t="shared" si="26"/>
        <v>__</v>
      </c>
      <c r="H542" s="40" t="str">
        <f t="shared" si="27"/>
        <v>FALSE</v>
      </c>
      <c r="I542" s="41">
        <f t="shared" si="28"/>
        <v>0</v>
      </c>
      <c r="J542" s="4" t="s">
        <v>16</v>
      </c>
      <c r="K542" s="43" t="str">
        <f>IF(VLOOKUP(J542,βοηθητικό!$J$2:$N$354,3,FALSE)="","",VLOOKUP(J542,βοηθητικό!$J$2:$N$354,3,FALSE))</f>
        <v>_</v>
      </c>
      <c r="L542" s="44"/>
      <c r="M542" s="5" t="s">
        <v>16</v>
      </c>
      <c r="N542" s="46" t="str">
        <f>IF(VLOOKUP(M542,βοηθητικό!$J$2:$N$354,3,FALSE)="","",VLOOKUP(M542,βοηθητικό!$J$2:$N$354,3,FALSE))</f>
        <v>_</v>
      </c>
      <c r="O542" s="47"/>
      <c r="P542" s="4" t="s">
        <v>16</v>
      </c>
      <c r="Q542" s="43" t="str">
        <f>IF(VLOOKUP(P542,βοηθητικό!$J$2:$N$354,3,FALSE)="","",VLOOKUP(P542,βοηθητικό!$J$2:$N$354,3,FALSE))</f>
        <v>_</v>
      </c>
      <c r="R542" s="44"/>
      <c r="S542" s="5" t="s">
        <v>16</v>
      </c>
      <c r="T542" s="46" t="str">
        <f>IF(VLOOKUP(S542,βοηθητικό!$J$2:$N$354,3,FALSE)="","",VLOOKUP(S542,βοηθητικό!$J$2:$N$354,3,FALSE))</f>
        <v>_</v>
      </c>
      <c r="U542" s="47"/>
      <c r="V542" s="4" t="s">
        <v>16</v>
      </c>
      <c r="W542" s="43" t="str">
        <f>IF(VLOOKUP(V542,βοηθητικό!$J$2:$N$354,3,FALSE)="","",VLOOKUP(V542,βοηθητικό!$J$2:$N$354,3,FALSE))</f>
        <v>_</v>
      </c>
      <c r="X542" s="44"/>
      <c r="Y542" s="5" t="s">
        <v>16</v>
      </c>
      <c r="Z542" s="46" t="str">
        <f>IF(VLOOKUP(Y542,βοηθητικό!$J$2:$N$354,3,FALSE)="","",VLOOKUP(Y542,βοηθητικό!$J$2:$N$354,3,FALSE))</f>
        <v>_</v>
      </c>
      <c r="AA542" s="47"/>
      <c r="AB542" s="4" t="s">
        <v>16</v>
      </c>
      <c r="AC542" s="43" t="str">
        <f>IF(VLOOKUP(AB542,βοηθητικό!$J$2:$N$354,3,FALSE)="","",VLOOKUP(AB542,βοηθητικό!$J$2:$N$354,3,FALSE))</f>
        <v>_</v>
      </c>
      <c r="AD542" s="44"/>
      <c r="AE542" s="5" t="s">
        <v>16</v>
      </c>
      <c r="AF542" s="46" t="str">
        <f>IF(VLOOKUP(AE542,βοηθητικό!$J$2:$N$354,3,FALSE)="","",VLOOKUP(AE542,βοηθητικό!$J$2:$N$354,3,FALSE))</f>
        <v>_</v>
      </c>
      <c r="AG542" s="47"/>
      <c r="AH542" s="4" t="s">
        <v>16</v>
      </c>
      <c r="AI542" s="43" t="str">
        <f>IF(VLOOKUP(AH542,βοηθητικό!$J$2:$N$354,3,FALSE)="","",VLOOKUP(AH542,βοηθητικό!$J$2:$N$354,3,FALSE))</f>
        <v>_</v>
      </c>
      <c r="AJ542" s="44"/>
      <c r="AK542" s="5" t="s">
        <v>16</v>
      </c>
      <c r="AL542" s="46" t="str">
        <f>IF(VLOOKUP(AK542,βοηθητικό!$J$2:$N$354,3,FALSE)="","",VLOOKUP(AK542,βοηθητικό!$J$2:$N$354,3,FALSE))</f>
        <v>_</v>
      </c>
      <c r="AM542" s="47"/>
      <c r="AN542" s="4" t="s">
        <v>16</v>
      </c>
      <c r="AO542" s="43" t="str">
        <f>IF(VLOOKUP(AN542,βοηθητικό!$J$2:$N$354,3,FALSE)="","",VLOOKUP(AN542,βοηθητικό!$J$2:$N$354,3,FALSE))</f>
        <v>_</v>
      </c>
      <c r="AP542" s="44"/>
      <c r="AQ542" s="5" t="s">
        <v>16</v>
      </c>
      <c r="AR542" s="46" t="str">
        <f>IF(VLOOKUP(AQ542,βοηθητικό!$J$2:$N$354,3,FALSE)="","",VLOOKUP(AQ542,βοηθητικό!$J$2:$N$354,3,FALSE))</f>
        <v>_</v>
      </c>
      <c r="AS542" s="47"/>
      <c r="AT542" s="4" t="s">
        <v>16</v>
      </c>
      <c r="AU542" s="43" t="str">
        <f>IF(VLOOKUP(AT542,βοηθητικό!$J$2:$N$354,3,FALSE)="","",VLOOKUP(AT542,βοηθητικό!$J$2:$N$354,3,FALSE))</f>
        <v>_</v>
      </c>
      <c r="AV542" s="44"/>
      <c r="AW542" s="5" t="s">
        <v>16</v>
      </c>
      <c r="AX542" s="46" t="str">
        <f>IF(VLOOKUP(AW542,βοηθητικό!$J$2:$N$354,3,FALSE)="","",VLOOKUP(AW542,βοηθητικό!$J$2:$N$354,3,FALSE))</f>
        <v>_</v>
      </c>
      <c r="AY542" s="47"/>
      <c r="AZ542" s="4" t="s">
        <v>16</v>
      </c>
      <c r="BA542" s="43" t="str">
        <f>IF(VLOOKUP(AZ542,βοηθητικό!$J$2:$N$354,3,FALSE)="","",VLOOKUP(AZ542,βοηθητικό!$J$2:$N$354,3,FALSE))</f>
        <v>_</v>
      </c>
      <c r="BB542" s="44"/>
      <c r="BC542" s="45" t="s">
        <v>16</v>
      </c>
      <c r="BD542" s="46" t="str">
        <f>IF(VLOOKUP(BC542,βοηθητικό!$J$2:$N$354,3,FALSE)="","",VLOOKUP(BC542,βοηθητικό!$J$2:$N$354,3,FALSE))</f>
        <v>_</v>
      </c>
      <c r="BE542" s="47"/>
      <c r="BF542" s="42" t="s">
        <v>16</v>
      </c>
      <c r="BG542" s="43" t="str">
        <f>IF(VLOOKUP(BF542,βοηθητικό!$J$2:$N$354,3,FALSE)="","",VLOOKUP(BF542,βοηθητικό!$J$2:$N$354,3,FALSE))</f>
        <v>_</v>
      </c>
      <c r="BH542" s="44"/>
      <c r="BI542" s="45" t="s">
        <v>16</v>
      </c>
      <c r="BJ542" s="46" t="str">
        <f>IF(VLOOKUP(BI542,βοηθητικό!$J$2:$N$354,3,FALSE)="","",VLOOKUP(BI542,βοηθητικό!$J$2:$N$354,3,FALSE))</f>
        <v>_</v>
      </c>
      <c r="BK542" s="47"/>
      <c r="BL542" s="42" t="s">
        <v>16</v>
      </c>
      <c r="BM542" s="43" t="str">
        <f>IF(VLOOKUP(BL542,βοηθητικό!$J$2:$N$354,3,FALSE)="","",VLOOKUP(BL542,βοηθητικό!$J$2:$N$354,3,FALSE))</f>
        <v>_</v>
      </c>
      <c r="BN542" s="44"/>
      <c r="BO542" s="45" t="s">
        <v>16</v>
      </c>
      <c r="BP542" s="46" t="str">
        <f>IF(VLOOKUP(BO542,βοηθητικό!$J$2:$N$354,3,FALSE)="","",VLOOKUP(BO542,βοηθητικό!$J$2:$N$354,3,FALSE))</f>
        <v>_</v>
      </c>
      <c r="BQ542" s="47"/>
      <c r="BR542" s="42" t="s">
        <v>16</v>
      </c>
      <c r="BS542" s="43" t="str">
        <f>IF(VLOOKUP(BR542,βοηθητικό!$J$2:$N$354,3,FALSE)="","",VLOOKUP(BR542,βοηθητικό!$J$2:$N$354,3,FALSE))</f>
        <v>_</v>
      </c>
      <c r="BT542" s="44"/>
      <c r="BU542" s="45" t="s">
        <v>16</v>
      </c>
      <c r="BV542" s="46" t="str">
        <f>IF(VLOOKUP(BU542,βοηθητικό!$J$2:$N$354,3,FALSE)="","",VLOOKUP(BU542,βοηθητικό!$J$2:$N$354,3,FALSE))</f>
        <v>_</v>
      </c>
      <c r="BW542" s="47"/>
      <c r="BX542" s="42" t="s">
        <v>16</v>
      </c>
      <c r="BY542" s="43" t="str">
        <f>IF(VLOOKUP(BX542,βοηθητικό!$J$2:$N$354,3,FALSE)="","",VLOOKUP(BX542,βοηθητικό!$J$2:$N$354,3,FALSE))</f>
        <v>_</v>
      </c>
      <c r="BZ542" s="44"/>
      <c r="CA542" s="45" t="s">
        <v>16</v>
      </c>
      <c r="CB542" s="46" t="str">
        <f>IF(VLOOKUP(CA542,βοηθητικό!$J$2:$N$354,3,FALSE)="","",VLOOKUP(CA542,βοηθητικό!$J$2:$N$354,3,FALSE))</f>
        <v>_</v>
      </c>
      <c r="CC542" s="47"/>
      <c r="CD542" s="42" t="s">
        <v>16</v>
      </c>
      <c r="CE542" s="43" t="str">
        <f>IF(VLOOKUP(CD542,βοηθητικό!$J$2:$N$354,3,FALSE)="","",VLOOKUP(CD542,βοηθητικό!$J$2:$N$354,3,FALSE))</f>
        <v>_</v>
      </c>
      <c r="CF542" s="44"/>
      <c r="CG542" s="45" t="s">
        <v>16</v>
      </c>
      <c r="CH542" s="46" t="str">
        <f>IF(VLOOKUP(CG542,βοηθητικό!$J$2:$N$354,3,FALSE)="","",VLOOKUP(CG542,βοηθητικό!$J$2:$N$354,3,FALSE))</f>
        <v>_</v>
      </c>
      <c r="CI542" s="47"/>
      <c r="CJ542" s="42" t="s">
        <v>16</v>
      </c>
      <c r="CK542" s="43" t="str">
        <f>IF(VLOOKUP(CJ542,βοηθητικό!$J$2:$N$354,3,FALSE)="","",VLOOKUP(CJ542,βοηθητικό!$J$2:$N$354,3,FALSE))</f>
        <v>_</v>
      </c>
      <c r="CL542" s="44"/>
      <c r="CM542" s="45" t="s">
        <v>16</v>
      </c>
      <c r="CN542" s="46" t="str">
        <f>IF(VLOOKUP(CM542,βοηθητικό!$J$2:$N$354,3,FALSE)="","",VLOOKUP(CM542,βοηθητικό!$J$2:$N$354,3,FALSE))</f>
        <v>_</v>
      </c>
      <c r="CO542" s="47"/>
      <c r="CP542" s="42" t="s">
        <v>16</v>
      </c>
      <c r="CQ542" s="43" t="str">
        <f>IF(VLOOKUP(CP542,βοηθητικό!$J$2:$N$354,3,FALSE)="","",VLOOKUP(CP542,βοηθητικό!$J$2:$N$354,3,FALSE))</f>
        <v>_</v>
      </c>
      <c r="CR542" s="44"/>
      <c r="CS542" s="45" t="s">
        <v>16</v>
      </c>
      <c r="CT542" s="46" t="str">
        <f>IF(VLOOKUP(CS542,βοηθητικό!$J$2:$N$354,3,FALSE)="","",VLOOKUP(CS542,βοηθητικό!$J$2:$N$354,3,FALSE))</f>
        <v>_</v>
      </c>
      <c r="CU542" s="47"/>
    </row>
    <row r="543" spans="1:99" x14ac:dyDescent="0.25">
      <c r="A543" s="37">
        <f>--SUBTOTAL(3,$B$3:B542)</f>
        <v>198</v>
      </c>
      <c r="B543" s="2"/>
      <c r="C543" s="3"/>
      <c r="D543" s="55" t="s">
        <v>18</v>
      </c>
      <c r="E543" s="38" t="s">
        <v>16</v>
      </c>
      <c r="F543" s="38"/>
      <c r="G543" s="39" t="str">
        <f t="shared" si="26"/>
        <v>__</v>
      </c>
      <c r="H543" s="40" t="str">
        <f t="shared" si="27"/>
        <v>FALSE</v>
      </c>
      <c r="I543" s="41">
        <f t="shared" si="28"/>
        <v>0</v>
      </c>
      <c r="J543" s="4" t="s">
        <v>16</v>
      </c>
      <c r="K543" s="43" t="str">
        <f>IF(VLOOKUP(J543,βοηθητικό!$J$2:$N$354,3,FALSE)="","",VLOOKUP(J543,βοηθητικό!$J$2:$N$354,3,FALSE))</f>
        <v>_</v>
      </c>
      <c r="L543" s="44"/>
      <c r="M543" s="5" t="s">
        <v>16</v>
      </c>
      <c r="N543" s="46" t="str">
        <f>IF(VLOOKUP(M543,βοηθητικό!$J$2:$N$354,3,FALSE)="","",VLOOKUP(M543,βοηθητικό!$J$2:$N$354,3,FALSE))</f>
        <v>_</v>
      </c>
      <c r="O543" s="47"/>
      <c r="P543" s="4" t="s">
        <v>16</v>
      </c>
      <c r="Q543" s="43" t="str">
        <f>IF(VLOOKUP(P543,βοηθητικό!$J$2:$N$354,3,FALSE)="","",VLOOKUP(P543,βοηθητικό!$J$2:$N$354,3,FALSE))</f>
        <v>_</v>
      </c>
      <c r="R543" s="44"/>
      <c r="S543" s="5" t="s">
        <v>16</v>
      </c>
      <c r="T543" s="46" t="str">
        <f>IF(VLOOKUP(S543,βοηθητικό!$J$2:$N$354,3,FALSE)="","",VLOOKUP(S543,βοηθητικό!$J$2:$N$354,3,FALSE))</f>
        <v>_</v>
      </c>
      <c r="U543" s="47"/>
      <c r="V543" s="4" t="s">
        <v>16</v>
      </c>
      <c r="W543" s="43" t="str">
        <f>IF(VLOOKUP(V543,βοηθητικό!$J$2:$N$354,3,FALSE)="","",VLOOKUP(V543,βοηθητικό!$J$2:$N$354,3,FALSE))</f>
        <v>_</v>
      </c>
      <c r="X543" s="44"/>
      <c r="Y543" s="5" t="s">
        <v>16</v>
      </c>
      <c r="Z543" s="46" t="str">
        <f>IF(VLOOKUP(Y543,βοηθητικό!$J$2:$N$354,3,FALSE)="","",VLOOKUP(Y543,βοηθητικό!$J$2:$N$354,3,FALSE))</f>
        <v>_</v>
      </c>
      <c r="AA543" s="47"/>
      <c r="AB543" s="4" t="s">
        <v>16</v>
      </c>
      <c r="AC543" s="43" t="str">
        <f>IF(VLOOKUP(AB543,βοηθητικό!$J$2:$N$354,3,FALSE)="","",VLOOKUP(AB543,βοηθητικό!$J$2:$N$354,3,FALSE))</f>
        <v>_</v>
      </c>
      <c r="AD543" s="44"/>
      <c r="AE543" s="5" t="s">
        <v>16</v>
      </c>
      <c r="AF543" s="46" t="str">
        <f>IF(VLOOKUP(AE543,βοηθητικό!$J$2:$N$354,3,FALSE)="","",VLOOKUP(AE543,βοηθητικό!$J$2:$N$354,3,FALSE))</f>
        <v>_</v>
      </c>
      <c r="AG543" s="47"/>
      <c r="AH543" s="4" t="s">
        <v>16</v>
      </c>
      <c r="AI543" s="43" t="str">
        <f>IF(VLOOKUP(AH543,βοηθητικό!$J$2:$N$354,3,FALSE)="","",VLOOKUP(AH543,βοηθητικό!$J$2:$N$354,3,FALSE))</f>
        <v>_</v>
      </c>
      <c r="AJ543" s="44"/>
      <c r="AK543" s="5" t="s">
        <v>16</v>
      </c>
      <c r="AL543" s="46" t="str">
        <f>IF(VLOOKUP(AK543,βοηθητικό!$J$2:$N$354,3,FALSE)="","",VLOOKUP(AK543,βοηθητικό!$J$2:$N$354,3,FALSE))</f>
        <v>_</v>
      </c>
      <c r="AM543" s="47"/>
      <c r="AN543" s="4" t="s">
        <v>16</v>
      </c>
      <c r="AO543" s="43" t="str">
        <f>IF(VLOOKUP(AN543,βοηθητικό!$J$2:$N$354,3,FALSE)="","",VLOOKUP(AN543,βοηθητικό!$J$2:$N$354,3,FALSE))</f>
        <v>_</v>
      </c>
      <c r="AP543" s="44"/>
      <c r="AQ543" s="5" t="s">
        <v>16</v>
      </c>
      <c r="AR543" s="46" t="str">
        <f>IF(VLOOKUP(AQ543,βοηθητικό!$J$2:$N$354,3,FALSE)="","",VLOOKUP(AQ543,βοηθητικό!$J$2:$N$354,3,FALSE))</f>
        <v>_</v>
      </c>
      <c r="AS543" s="47"/>
      <c r="AT543" s="4" t="s">
        <v>16</v>
      </c>
      <c r="AU543" s="43" t="str">
        <f>IF(VLOOKUP(AT543,βοηθητικό!$J$2:$N$354,3,FALSE)="","",VLOOKUP(AT543,βοηθητικό!$J$2:$N$354,3,FALSE))</f>
        <v>_</v>
      </c>
      <c r="AV543" s="44"/>
      <c r="AW543" s="5" t="s">
        <v>16</v>
      </c>
      <c r="AX543" s="46" t="str">
        <f>IF(VLOOKUP(AW543,βοηθητικό!$J$2:$N$354,3,FALSE)="","",VLOOKUP(AW543,βοηθητικό!$J$2:$N$354,3,FALSE))</f>
        <v>_</v>
      </c>
      <c r="AY543" s="47"/>
      <c r="AZ543" s="4" t="s">
        <v>16</v>
      </c>
      <c r="BA543" s="43" t="str">
        <f>IF(VLOOKUP(AZ543,βοηθητικό!$J$2:$N$354,3,FALSE)="","",VLOOKUP(AZ543,βοηθητικό!$J$2:$N$354,3,FALSE))</f>
        <v>_</v>
      </c>
      <c r="BB543" s="44"/>
      <c r="BC543" s="45" t="s">
        <v>16</v>
      </c>
      <c r="BD543" s="46" t="str">
        <f>IF(VLOOKUP(BC543,βοηθητικό!$J$2:$N$354,3,FALSE)="","",VLOOKUP(BC543,βοηθητικό!$J$2:$N$354,3,FALSE))</f>
        <v>_</v>
      </c>
      <c r="BE543" s="47"/>
      <c r="BF543" s="42" t="s">
        <v>16</v>
      </c>
      <c r="BG543" s="43" t="str">
        <f>IF(VLOOKUP(BF543,βοηθητικό!$J$2:$N$354,3,FALSE)="","",VLOOKUP(BF543,βοηθητικό!$J$2:$N$354,3,FALSE))</f>
        <v>_</v>
      </c>
      <c r="BH543" s="44"/>
      <c r="BI543" s="45" t="s">
        <v>16</v>
      </c>
      <c r="BJ543" s="46" t="str">
        <f>IF(VLOOKUP(BI543,βοηθητικό!$J$2:$N$354,3,FALSE)="","",VLOOKUP(BI543,βοηθητικό!$J$2:$N$354,3,FALSE))</f>
        <v>_</v>
      </c>
      <c r="BK543" s="47"/>
      <c r="BL543" s="42" t="s">
        <v>16</v>
      </c>
      <c r="BM543" s="43" t="str">
        <f>IF(VLOOKUP(BL543,βοηθητικό!$J$2:$N$354,3,FALSE)="","",VLOOKUP(BL543,βοηθητικό!$J$2:$N$354,3,FALSE))</f>
        <v>_</v>
      </c>
      <c r="BN543" s="44"/>
      <c r="BO543" s="45" t="s">
        <v>16</v>
      </c>
      <c r="BP543" s="46" t="str">
        <f>IF(VLOOKUP(BO543,βοηθητικό!$J$2:$N$354,3,FALSE)="","",VLOOKUP(BO543,βοηθητικό!$J$2:$N$354,3,FALSE))</f>
        <v>_</v>
      </c>
      <c r="BQ543" s="47"/>
      <c r="BR543" s="42" t="s">
        <v>16</v>
      </c>
      <c r="BS543" s="43" t="str">
        <f>IF(VLOOKUP(BR543,βοηθητικό!$J$2:$N$354,3,FALSE)="","",VLOOKUP(BR543,βοηθητικό!$J$2:$N$354,3,FALSE))</f>
        <v>_</v>
      </c>
      <c r="BT543" s="44"/>
      <c r="BU543" s="45" t="s">
        <v>16</v>
      </c>
      <c r="BV543" s="46" t="str">
        <f>IF(VLOOKUP(BU543,βοηθητικό!$J$2:$N$354,3,FALSE)="","",VLOOKUP(BU543,βοηθητικό!$J$2:$N$354,3,FALSE))</f>
        <v>_</v>
      </c>
      <c r="BW543" s="47"/>
      <c r="BX543" s="42" t="s">
        <v>16</v>
      </c>
      <c r="BY543" s="43" t="str">
        <f>IF(VLOOKUP(BX543,βοηθητικό!$J$2:$N$354,3,FALSE)="","",VLOOKUP(BX543,βοηθητικό!$J$2:$N$354,3,FALSE))</f>
        <v>_</v>
      </c>
      <c r="BZ543" s="44"/>
      <c r="CA543" s="45" t="s">
        <v>16</v>
      </c>
      <c r="CB543" s="46" t="str">
        <f>IF(VLOOKUP(CA543,βοηθητικό!$J$2:$N$354,3,FALSE)="","",VLOOKUP(CA543,βοηθητικό!$J$2:$N$354,3,FALSE))</f>
        <v>_</v>
      </c>
      <c r="CC543" s="47"/>
      <c r="CD543" s="42" t="s">
        <v>16</v>
      </c>
      <c r="CE543" s="43" t="str">
        <f>IF(VLOOKUP(CD543,βοηθητικό!$J$2:$N$354,3,FALSE)="","",VLOOKUP(CD543,βοηθητικό!$J$2:$N$354,3,FALSE))</f>
        <v>_</v>
      </c>
      <c r="CF543" s="44"/>
      <c r="CG543" s="45" t="s">
        <v>16</v>
      </c>
      <c r="CH543" s="46" t="str">
        <f>IF(VLOOKUP(CG543,βοηθητικό!$J$2:$N$354,3,FALSE)="","",VLOOKUP(CG543,βοηθητικό!$J$2:$N$354,3,FALSE))</f>
        <v>_</v>
      </c>
      <c r="CI543" s="47"/>
      <c r="CJ543" s="42" t="s">
        <v>16</v>
      </c>
      <c r="CK543" s="43" t="str">
        <f>IF(VLOOKUP(CJ543,βοηθητικό!$J$2:$N$354,3,FALSE)="","",VLOOKUP(CJ543,βοηθητικό!$J$2:$N$354,3,FALSE))</f>
        <v>_</v>
      </c>
      <c r="CL543" s="44"/>
      <c r="CM543" s="45" t="s">
        <v>16</v>
      </c>
      <c r="CN543" s="46" t="str">
        <f>IF(VLOOKUP(CM543,βοηθητικό!$J$2:$N$354,3,FALSE)="","",VLOOKUP(CM543,βοηθητικό!$J$2:$N$354,3,FALSE))</f>
        <v>_</v>
      </c>
      <c r="CO543" s="47"/>
      <c r="CP543" s="42" t="s">
        <v>16</v>
      </c>
      <c r="CQ543" s="43" t="str">
        <f>IF(VLOOKUP(CP543,βοηθητικό!$J$2:$N$354,3,FALSE)="","",VLOOKUP(CP543,βοηθητικό!$J$2:$N$354,3,FALSE))</f>
        <v>_</v>
      </c>
      <c r="CR543" s="44"/>
      <c r="CS543" s="45" t="s">
        <v>16</v>
      </c>
      <c r="CT543" s="46" t="str">
        <f>IF(VLOOKUP(CS543,βοηθητικό!$J$2:$N$354,3,FALSE)="","",VLOOKUP(CS543,βοηθητικό!$J$2:$N$354,3,FALSE))</f>
        <v>_</v>
      </c>
      <c r="CU543" s="47"/>
    </row>
    <row r="544" spans="1:99" x14ac:dyDescent="0.25">
      <c r="A544" s="37">
        <f>--SUBTOTAL(3,$B$3:B543)</f>
        <v>198</v>
      </c>
      <c r="B544" s="2"/>
      <c r="C544" s="3"/>
      <c r="D544" s="55" t="s">
        <v>18</v>
      </c>
      <c r="E544" s="38" t="s">
        <v>16</v>
      </c>
      <c r="F544" s="38"/>
      <c r="G544" s="39" t="str">
        <f t="shared" si="26"/>
        <v>__</v>
      </c>
      <c r="H544" s="40" t="str">
        <f t="shared" si="27"/>
        <v>FALSE</v>
      </c>
      <c r="I544" s="41">
        <f t="shared" si="28"/>
        <v>0</v>
      </c>
      <c r="J544" s="4" t="s">
        <v>16</v>
      </c>
      <c r="K544" s="43" t="str">
        <f>IF(VLOOKUP(J544,βοηθητικό!$J$2:$N$354,3,FALSE)="","",VLOOKUP(J544,βοηθητικό!$J$2:$N$354,3,FALSE))</f>
        <v>_</v>
      </c>
      <c r="L544" s="44"/>
      <c r="M544" s="5" t="s">
        <v>16</v>
      </c>
      <c r="N544" s="46" t="str">
        <f>IF(VLOOKUP(M544,βοηθητικό!$J$2:$N$354,3,FALSE)="","",VLOOKUP(M544,βοηθητικό!$J$2:$N$354,3,FALSE))</f>
        <v>_</v>
      </c>
      <c r="O544" s="47"/>
      <c r="P544" s="4" t="s">
        <v>16</v>
      </c>
      <c r="Q544" s="43" t="str">
        <f>IF(VLOOKUP(P544,βοηθητικό!$J$2:$N$354,3,FALSE)="","",VLOOKUP(P544,βοηθητικό!$J$2:$N$354,3,FALSE))</f>
        <v>_</v>
      </c>
      <c r="R544" s="44"/>
      <c r="S544" s="5" t="s">
        <v>16</v>
      </c>
      <c r="T544" s="46" t="str">
        <f>IF(VLOOKUP(S544,βοηθητικό!$J$2:$N$354,3,FALSE)="","",VLOOKUP(S544,βοηθητικό!$J$2:$N$354,3,FALSE))</f>
        <v>_</v>
      </c>
      <c r="U544" s="47"/>
      <c r="V544" s="4" t="s">
        <v>16</v>
      </c>
      <c r="W544" s="43" t="str">
        <f>IF(VLOOKUP(V544,βοηθητικό!$J$2:$N$354,3,FALSE)="","",VLOOKUP(V544,βοηθητικό!$J$2:$N$354,3,FALSE))</f>
        <v>_</v>
      </c>
      <c r="X544" s="44"/>
      <c r="Y544" s="5" t="s">
        <v>16</v>
      </c>
      <c r="Z544" s="46" t="str">
        <f>IF(VLOOKUP(Y544,βοηθητικό!$J$2:$N$354,3,FALSE)="","",VLOOKUP(Y544,βοηθητικό!$J$2:$N$354,3,FALSE))</f>
        <v>_</v>
      </c>
      <c r="AA544" s="47"/>
      <c r="AB544" s="4" t="s">
        <v>16</v>
      </c>
      <c r="AC544" s="43" t="str">
        <f>IF(VLOOKUP(AB544,βοηθητικό!$J$2:$N$354,3,FALSE)="","",VLOOKUP(AB544,βοηθητικό!$J$2:$N$354,3,FALSE))</f>
        <v>_</v>
      </c>
      <c r="AD544" s="44"/>
      <c r="AE544" s="5" t="s">
        <v>16</v>
      </c>
      <c r="AF544" s="46" t="str">
        <f>IF(VLOOKUP(AE544,βοηθητικό!$J$2:$N$354,3,FALSE)="","",VLOOKUP(AE544,βοηθητικό!$J$2:$N$354,3,FALSE))</f>
        <v>_</v>
      </c>
      <c r="AG544" s="47"/>
      <c r="AH544" s="4" t="s">
        <v>16</v>
      </c>
      <c r="AI544" s="43" t="str">
        <f>IF(VLOOKUP(AH544,βοηθητικό!$J$2:$N$354,3,FALSE)="","",VLOOKUP(AH544,βοηθητικό!$J$2:$N$354,3,FALSE))</f>
        <v>_</v>
      </c>
      <c r="AJ544" s="44"/>
      <c r="AK544" s="5" t="s">
        <v>16</v>
      </c>
      <c r="AL544" s="46" t="str">
        <f>IF(VLOOKUP(AK544,βοηθητικό!$J$2:$N$354,3,FALSE)="","",VLOOKUP(AK544,βοηθητικό!$J$2:$N$354,3,FALSE))</f>
        <v>_</v>
      </c>
      <c r="AM544" s="47"/>
      <c r="AN544" s="4" t="s">
        <v>16</v>
      </c>
      <c r="AO544" s="43" t="str">
        <f>IF(VLOOKUP(AN544,βοηθητικό!$J$2:$N$354,3,FALSE)="","",VLOOKUP(AN544,βοηθητικό!$J$2:$N$354,3,FALSE))</f>
        <v>_</v>
      </c>
      <c r="AP544" s="44"/>
      <c r="AQ544" s="5" t="s">
        <v>16</v>
      </c>
      <c r="AR544" s="46" t="str">
        <f>IF(VLOOKUP(AQ544,βοηθητικό!$J$2:$N$354,3,FALSE)="","",VLOOKUP(AQ544,βοηθητικό!$J$2:$N$354,3,FALSE))</f>
        <v>_</v>
      </c>
      <c r="AS544" s="47"/>
      <c r="AT544" s="4" t="s">
        <v>16</v>
      </c>
      <c r="AU544" s="43" t="str">
        <f>IF(VLOOKUP(AT544,βοηθητικό!$J$2:$N$354,3,FALSE)="","",VLOOKUP(AT544,βοηθητικό!$J$2:$N$354,3,FALSE))</f>
        <v>_</v>
      </c>
      <c r="AV544" s="44"/>
      <c r="AW544" s="5" t="s">
        <v>16</v>
      </c>
      <c r="AX544" s="46" t="str">
        <f>IF(VLOOKUP(AW544,βοηθητικό!$J$2:$N$354,3,FALSE)="","",VLOOKUP(AW544,βοηθητικό!$J$2:$N$354,3,FALSE))</f>
        <v>_</v>
      </c>
      <c r="AY544" s="47"/>
      <c r="AZ544" s="4" t="s">
        <v>16</v>
      </c>
      <c r="BA544" s="43" t="str">
        <f>IF(VLOOKUP(AZ544,βοηθητικό!$J$2:$N$354,3,FALSE)="","",VLOOKUP(AZ544,βοηθητικό!$J$2:$N$354,3,FALSE))</f>
        <v>_</v>
      </c>
      <c r="BB544" s="44"/>
      <c r="BC544" s="45" t="s">
        <v>16</v>
      </c>
      <c r="BD544" s="46" t="str">
        <f>IF(VLOOKUP(BC544,βοηθητικό!$J$2:$N$354,3,FALSE)="","",VLOOKUP(BC544,βοηθητικό!$J$2:$N$354,3,FALSE))</f>
        <v>_</v>
      </c>
      <c r="BE544" s="47"/>
      <c r="BF544" s="42" t="s">
        <v>16</v>
      </c>
      <c r="BG544" s="43" t="str">
        <f>IF(VLOOKUP(BF544,βοηθητικό!$J$2:$N$354,3,FALSE)="","",VLOOKUP(BF544,βοηθητικό!$J$2:$N$354,3,FALSE))</f>
        <v>_</v>
      </c>
      <c r="BH544" s="44"/>
      <c r="BI544" s="45" t="s">
        <v>16</v>
      </c>
      <c r="BJ544" s="46" t="str">
        <f>IF(VLOOKUP(BI544,βοηθητικό!$J$2:$N$354,3,FALSE)="","",VLOOKUP(BI544,βοηθητικό!$J$2:$N$354,3,FALSE))</f>
        <v>_</v>
      </c>
      <c r="BK544" s="47"/>
      <c r="BL544" s="42" t="s">
        <v>16</v>
      </c>
      <c r="BM544" s="43" t="str">
        <f>IF(VLOOKUP(BL544,βοηθητικό!$J$2:$N$354,3,FALSE)="","",VLOOKUP(BL544,βοηθητικό!$J$2:$N$354,3,FALSE))</f>
        <v>_</v>
      </c>
      <c r="BN544" s="44"/>
      <c r="BO544" s="45" t="s">
        <v>16</v>
      </c>
      <c r="BP544" s="46" t="str">
        <f>IF(VLOOKUP(BO544,βοηθητικό!$J$2:$N$354,3,FALSE)="","",VLOOKUP(BO544,βοηθητικό!$J$2:$N$354,3,FALSE))</f>
        <v>_</v>
      </c>
      <c r="BQ544" s="47"/>
      <c r="BR544" s="42" t="s">
        <v>16</v>
      </c>
      <c r="BS544" s="43" t="str">
        <f>IF(VLOOKUP(BR544,βοηθητικό!$J$2:$N$354,3,FALSE)="","",VLOOKUP(BR544,βοηθητικό!$J$2:$N$354,3,FALSE))</f>
        <v>_</v>
      </c>
      <c r="BT544" s="44"/>
      <c r="BU544" s="45" t="s">
        <v>16</v>
      </c>
      <c r="BV544" s="46" t="str">
        <f>IF(VLOOKUP(BU544,βοηθητικό!$J$2:$N$354,3,FALSE)="","",VLOOKUP(BU544,βοηθητικό!$J$2:$N$354,3,FALSE))</f>
        <v>_</v>
      </c>
      <c r="BW544" s="47"/>
      <c r="BX544" s="42" t="s">
        <v>16</v>
      </c>
      <c r="BY544" s="43" t="str">
        <f>IF(VLOOKUP(BX544,βοηθητικό!$J$2:$N$354,3,FALSE)="","",VLOOKUP(BX544,βοηθητικό!$J$2:$N$354,3,FALSE))</f>
        <v>_</v>
      </c>
      <c r="BZ544" s="44"/>
      <c r="CA544" s="45" t="s">
        <v>16</v>
      </c>
      <c r="CB544" s="46" t="str">
        <f>IF(VLOOKUP(CA544,βοηθητικό!$J$2:$N$354,3,FALSE)="","",VLOOKUP(CA544,βοηθητικό!$J$2:$N$354,3,FALSE))</f>
        <v>_</v>
      </c>
      <c r="CC544" s="47"/>
      <c r="CD544" s="42" t="s">
        <v>16</v>
      </c>
      <c r="CE544" s="43" t="str">
        <f>IF(VLOOKUP(CD544,βοηθητικό!$J$2:$N$354,3,FALSE)="","",VLOOKUP(CD544,βοηθητικό!$J$2:$N$354,3,FALSE))</f>
        <v>_</v>
      </c>
      <c r="CF544" s="44"/>
      <c r="CG544" s="45" t="s">
        <v>16</v>
      </c>
      <c r="CH544" s="46" t="str">
        <f>IF(VLOOKUP(CG544,βοηθητικό!$J$2:$N$354,3,FALSE)="","",VLOOKUP(CG544,βοηθητικό!$J$2:$N$354,3,FALSE))</f>
        <v>_</v>
      </c>
      <c r="CI544" s="47"/>
      <c r="CJ544" s="42" t="s">
        <v>16</v>
      </c>
      <c r="CK544" s="43" t="str">
        <f>IF(VLOOKUP(CJ544,βοηθητικό!$J$2:$N$354,3,FALSE)="","",VLOOKUP(CJ544,βοηθητικό!$J$2:$N$354,3,FALSE))</f>
        <v>_</v>
      </c>
      <c r="CL544" s="44"/>
      <c r="CM544" s="45" t="s">
        <v>16</v>
      </c>
      <c r="CN544" s="46" t="str">
        <f>IF(VLOOKUP(CM544,βοηθητικό!$J$2:$N$354,3,FALSE)="","",VLOOKUP(CM544,βοηθητικό!$J$2:$N$354,3,FALSE))</f>
        <v>_</v>
      </c>
      <c r="CO544" s="47"/>
      <c r="CP544" s="42" t="s">
        <v>16</v>
      </c>
      <c r="CQ544" s="43" t="str">
        <f>IF(VLOOKUP(CP544,βοηθητικό!$J$2:$N$354,3,FALSE)="","",VLOOKUP(CP544,βοηθητικό!$J$2:$N$354,3,FALSE))</f>
        <v>_</v>
      </c>
      <c r="CR544" s="44"/>
      <c r="CS544" s="45" t="s">
        <v>16</v>
      </c>
      <c r="CT544" s="46" t="str">
        <f>IF(VLOOKUP(CS544,βοηθητικό!$J$2:$N$354,3,FALSE)="","",VLOOKUP(CS544,βοηθητικό!$J$2:$N$354,3,FALSE))</f>
        <v>_</v>
      </c>
      <c r="CU544" s="47"/>
    </row>
    <row r="545" spans="1:99" x14ac:dyDescent="0.25">
      <c r="A545" s="37">
        <f>--SUBTOTAL(3,$B$3:B544)</f>
        <v>198</v>
      </c>
      <c r="B545" s="2"/>
      <c r="C545" s="3"/>
      <c r="D545" s="55" t="s">
        <v>18</v>
      </c>
      <c r="E545" s="38" t="s">
        <v>16</v>
      </c>
      <c r="F545" s="38"/>
      <c r="G545" s="39" t="str">
        <f t="shared" si="26"/>
        <v>__</v>
      </c>
      <c r="H545" s="40" t="str">
        <f t="shared" si="27"/>
        <v>FALSE</v>
      </c>
      <c r="I545" s="41">
        <f t="shared" si="28"/>
        <v>0</v>
      </c>
      <c r="J545" s="4" t="s">
        <v>16</v>
      </c>
      <c r="K545" s="43" t="str">
        <f>IF(VLOOKUP(J545,βοηθητικό!$J$2:$N$354,3,FALSE)="","",VLOOKUP(J545,βοηθητικό!$J$2:$N$354,3,FALSE))</f>
        <v>_</v>
      </c>
      <c r="L545" s="44"/>
      <c r="M545" s="5" t="s">
        <v>16</v>
      </c>
      <c r="N545" s="46" t="str">
        <f>IF(VLOOKUP(M545,βοηθητικό!$J$2:$N$354,3,FALSE)="","",VLOOKUP(M545,βοηθητικό!$J$2:$N$354,3,FALSE))</f>
        <v>_</v>
      </c>
      <c r="O545" s="47"/>
      <c r="P545" s="4" t="s">
        <v>16</v>
      </c>
      <c r="Q545" s="43" t="str">
        <f>IF(VLOOKUP(P545,βοηθητικό!$J$2:$N$354,3,FALSE)="","",VLOOKUP(P545,βοηθητικό!$J$2:$N$354,3,FALSE))</f>
        <v>_</v>
      </c>
      <c r="R545" s="44"/>
      <c r="S545" s="5" t="s">
        <v>16</v>
      </c>
      <c r="T545" s="46" t="str">
        <f>IF(VLOOKUP(S545,βοηθητικό!$J$2:$N$354,3,FALSE)="","",VLOOKUP(S545,βοηθητικό!$J$2:$N$354,3,FALSE))</f>
        <v>_</v>
      </c>
      <c r="U545" s="47"/>
      <c r="V545" s="4" t="s">
        <v>16</v>
      </c>
      <c r="W545" s="43" t="str">
        <f>IF(VLOOKUP(V545,βοηθητικό!$J$2:$N$354,3,FALSE)="","",VLOOKUP(V545,βοηθητικό!$J$2:$N$354,3,FALSE))</f>
        <v>_</v>
      </c>
      <c r="X545" s="44"/>
      <c r="Y545" s="5" t="s">
        <v>16</v>
      </c>
      <c r="Z545" s="46" t="str">
        <f>IF(VLOOKUP(Y545,βοηθητικό!$J$2:$N$354,3,FALSE)="","",VLOOKUP(Y545,βοηθητικό!$J$2:$N$354,3,FALSE))</f>
        <v>_</v>
      </c>
      <c r="AA545" s="47"/>
      <c r="AB545" s="4" t="s">
        <v>16</v>
      </c>
      <c r="AC545" s="43" t="str">
        <f>IF(VLOOKUP(AB545,βοηθητικό!$J$2:$N$354,3,FALSE)="","",VLOOKUP(AB545,βοηθητικό!$J$2:$N$354,3,FALSE))</f>
        <v>_</v>
      </c>
      <c r="AD545" s="44"/>
      <c r="AE545" s="5" t="s">
        <v>16</v>
      </c>
      <c r="AF545" s="46" t="str">
        <f>IF(VLOOKUP(AE545,βοηθητικό!$J$2:$N$354,3,FALSE)="","",VLOOKUP(AE545,βοηθητικό!$J$2:$N$354,3,FALSE))</f>
        <v>_</v>
      </c>
      <c r="AG545" s="47"/>
      <c r="AH545" s="4" t="s">
        <v>16</v>
      </c>
      <c r="AI545" s="43" t="str">
        <f>IF(VLOOKUP(AH545,βοηθητικό!$J$2:$N$354,3,FALSE)="","",VLOOKUP(AH545,βοηθητικό!$J$2:$N$354,3,FALSE))</f>
        <v>_</v>
      </c>
      <c r="AJ545" s="44"/>
      <c r="AK545" s="5" t="s">
        <v>16</v>
      </c>
      <c r="AL545" s="46" t="str">
        <f>IF(VLOOKUP(AK545,βοηθητικό!$J$2:$N$354,3,FALSE)="","",VLOOKUP(AK545,βοηθητικό!$J$2:$N$354,3,FALSE))</f>
        <v>_</v>
      </c>
      <c r="AM545" s="47"/>
      <c r="AN545" s="4" t="s">
        <v>16</v>
      </c>
      <c r="AO545" s="43" t="str">
        <f>IF(VLOOKUP(AN545,βοηθητικό!$J$2:$N$354,3,FALSE)="","",VLOOKUP(AN545,βοηθητικό!$J$2:$N$354,3,FALSE))</f>
        <v>_</v>
      </c>
      <c r="AP545" s="44"/>
      <c r="AQ545" s="5" t="s">
        <v>16</v>
      </c>
      <c r="AR545" s="46" t="str">
        <f>IF(VLOOKUP(AQ545,βοηθητικό!$J$2:$N$354,3,FALSE)="","",VLOOKUP(AQ545,βοηθητικό!$J$2:$N$354,3,FALSE))</f>
        <v>_</v>
      </c>
      <c r="AS545" s="47"/>
      <c r="AT545" s="4" t="s">
        <v>16</v>
      </c>
      <c r="AU545" s="43" t="str">
        <f>IF(VLOOKUP(AT545,βοηθητικό!$J$2:$N$354,3,FALSE)="","",VLOOKUP(AT545,βοηθητικό!$J$2:$N$354,3,FALSE))</f>
        <v>_</v>
      </c>
      <c r="AV545" s="44"/>
      <c r="AW545" s="5" t="s">
        <v>16</v>
      </c>
      <c r="AX545" s="46" t="str">
        <f>IF(VLOOKUP(AW545,βοηθητικό!$J$2:$N$354,3,FALSE)="","",VLOOKUP(AW545,βοηθητικό!$J$2:$N$354,3,FALSE))</f>
        <v>_</v>
      </c>
      <c r="AY545" s="47"/>
      <c r="AZ545" s="4" t="s">
        <v>16</v>
      </c>
      <c r="BA545" s="43" t="str">
        <f>IF(VLOOKUP(AZ545,βοηθητικό!$J$2:$N$354,3,FALSE)="","",VLOOKUP(AZ545,βοηθητικό!$J$2:$N$354,3,FALSE))</f>
        <v>_</v>
      </c>
      <c r="BB545" s="44"/>
      <c r="BC545" s="45" t="s">
        <v>16</v>
      </c>
      <c r="BD545" s="46" t="str">
        <f>IF(VLOOKUP(BC545,βοηθητικό!$J$2:$N$354,3,FALSE)="","",VLOOKUP(BC545,βοηθητικό!$J$2:$N$354,3,FALSE))</f>
        <v>_</v>
      </c>
      <c r="BE545" s="47"/>
      <c r="BF545" s="42" t="s">
        <v>16</v>
      </c>
      <c r="BG545" s="43" t="str">
        <f>IF(VLOOKUP(BF545,βοηθητικό!$J$2:$N$354,3,FALSE)="","",VLOOKUP(BF545,βοηθητικό!$J$2:$N$354,3,FALSE))</f>
        <v>_</v>
      </c>
      <c r="BH545" s="44"/>
      <c r="BI545" s="45" t="s">
        <v>16</v>
      </c>
      <c r="BJ545" s="46" t="str">
        <f>IF(VLOOKUP(BI545,βοηθητικό!$J$2:$N$354,3,FALSE)="","",VLOOKUP(BI545,βοηθητικό!$J$2:$N$354,3,FALSE))</f>
        <v>_</v>
      </c>
      <c r="BK545" s="47"/>
      <c r="BL545" s="42" t="s">
        <v>16</v>
      </c>
      <c r="BM545" s="43" t="str">
        <f>IF(VLOOKUP(BL545,βοηθητικό!$J$2:$N$354,3,FALSE)="","",VLOOKUP(BL545,βοηθητικό!$J$2:$N$354,3,FALSE))</f>
        <v>_</v>
      </c>
      <c r="BN545" s="44"/>
      <c r="BO545" s="45" t="s">
        <v>16</v>
      </c>
      <c r="BP545" s="46" t="str">
        <f>IF(VLOOKUP(BO545,βοηθητικό!$J$2:$N$354,3,FALSE)="","",VLOOKUP(BO545,βοηθητικό!$J$2:$N$354,3,FALSE))</f>
        <v>_</v>
      </c>
      <c r="BQ545" s="47"/>
      <c r="BR545" s="42" t="s">
        <v>16</v>
      </c>
      <c r="BS545" s="43" t="str">
        <f>IF(VLOOKUP(BR545,βοηθητικό!$J$2:$N$354,3,FALSE)="","",VLOOKUP(BR545,βοηθητικό!$J$2:$N$354,3,FALSE))</f>
        <v>_</v>
      </c>
      <c r="BT545" s="44"/>
      <c r="BU545" s="45" t="s">
        <v>16</v>
      </c>
      <c r="BV545" s="46" t="str">
        <f>IF(VLOOKUP(BU545,βοηθητικό!$J$2:$N$354,3,FALSE)="","",VLOOKUP(BU545,βοηθητικό!$J$2:$N$354,3,FALSE))</f>
        <v>_</v>
      </c>
      <c r="BW545" s="47"/>
      <c r="BX545" s="42" t="s">
        <v>16</v>
      </c>
      <c r="BY545" s="43" t="str">
        <f>IF(VLOOKUP(BX545,βοηθητικό!$J$2:$N$354,3,FALSE)="","",VLOOKUP(BX545,βοηθητικό!$J$2:$N$354,3,FALSE))</f>
        <v>_</v>
      </c>
      <c r="BZ545" s="44"/>
      <c r="CA545" s="45" t="s">
        <v>16</v>
      </c>
      <c r="CB545" s="46" t="str">
        <f>IF(VLOOKUP(CA545,βοηθητικό!$J$2:$N$354,3,FALSE)="","",VLOOKUP(CA545,βοηθητικό!$J$2:$N$354,3,FALSE))</f>
        <v>_</v>
      </c>
      <c r="CC545" s="47"/>
      <c r="CD545" s="42" t="s">
        <v>16</v>
      </c>
      <c r="CE545" s="43" t="str">
        <f>IF(VLOOKUP(CD545,βοηθητικό!$J$2:$N$354,3,FALSE)="","",VLOOKUP(CD545,βοηθητικό!$J$2:$N$354,3,FALSE))</f>
        <v>_</v>
      </c>
      <c r="CF545" s="44"/>
      <c r="CG545" s="45" t="s">
        <v>16</v>
      </c>
      <c r="CH545" s="46" t="str">
        <f>IF(VLOOKUP(CG545,βοηθητικό!$J$2:$N$354,3,FALSE)="","",VLOOKUP(CG545,βοηθητικό!$J$2:$N$354,3,FALSE))</f>
        <v>_</v>
      </c>
      <c r="CI545" s="47"/>
      <c r="CJ545" s="42" t="s">
        <v>16</v>
      </c>
      <c r="CK545" s="43" t="str">
        <f>IF(VLOOKUP(CJ545,βοηθητικό!$J$2:$N$354,3,FALSE)="","",VLOOKUP(CJ545,βοηθητικό!$J$2:$N$354,3,FALSE))</f>
        <v>_</v>
      </c>
      <c r="CL545" s="44"/>
      <c r="CM545" s="45" t="s">
        <v>16</v>
      </c>
      <c r="CN545" s="46" t="str">
        <f>IF(VLOOKUP(CM545,βοηθητικό!$J$2:$N$354,3,FALSE)="","",VLOOKUP(CM545,βοηθητικό!$J$2:$N$354,3,FALSE))</f>
        <v>_</v>
      </c>
      <c r="CO545" s="47"/>
      <c r="CP545" s="42" t="s">
        <v>16</v>
      </c>
      <c r="CQ545" s="43" t="str">
        <f>IF(VLOOKUP(CP545,βοηθητικό!$J$2:$N$354,3,FALSE)="","",VLOOKUP(CP545,βοηθητικό!$J$2:$N$354,3,FALSE))</f>
        <v>_</v>
      </c>
      <c r="CR545" s="44"/>
      <c r="CS545" s="45" t="s">
        <v>16</v>
      </c>
      <c r="CT545" s="46" t="str">
        <f>IF(VLOOKUP(CS545,βοηθητικό!$J$2:$N$354,3,FALSE)="","",VLOOKUP(CS545,βοηθητικό!$J$2:$N$354,3,FALSE))</f>
        <v>_</v>
      </c>
      <c r="CU545" s="47"/>
    </row>
    <row r="546" spans="1:99" x14ac:dyDescent="0.25">
      <c r="A546" s="37">
        <f>--SUBTOTAL(3,$B$3:B545)</f>
        <v>198</v>
      </c>
      <c r="B546" s="2"/>
      <c r="C546" s="3"/>
      <c r="D546" s="55" t="s">
        <v>18</v>
      </c>
      <c r="E546" s="38" t="s">
        <v>16</v>
      </c>
      <c r="F546" s="38"/>
      <c r="G546" s="39" t="str">
        <f t="shared" si="26"/>
        <v>__</v>
      </c>
      <c r="H546" s="40" t="str">
        <f t="shared" si="27"/>
        <v>FALSE</v>
      </c>
      <c r="I546" s="41">
        <f t="shared" si="28"/>
        <v>0</v>
      </c>
      <c r="J546" s="4" t="s">
        <v>16</v>
      </c>
      <c r="K546" s="43" t="str">
        <f>IF(VLOOKUP(J546,βοηθητικό!$J$2:$N$354,3,FALSE)="","",VLOOKUP(J546,βοηθητικό!$J$2:$N$354,3,FALSE))</f>
        <v>_</v>
      </c>
      <c r="L546" s="44"/>
      <c r="M546" s="5" t="s">
        <v>16</v>
      </c>
      <c r="N546" s="46" t="str">
        <f>IF(VLOOKUP(M546,βοηθητικό!$J$2:$N$354,3,FALSE)="","",VLOOKUP(M546,βοηθητικό!$J$2:$N$354,3,FALSE))</f>
        <v>_</v>
      </c>
      <c r="O546" s="47"/>
      <c r="P546" s="4" t="s">
        <v>16</v>
      </c>
      <c r="Q546" s="43" t="str">
        <f>IF(VLOOKUP(P546,βοηθητικό!$J$2:$N$354,3,FALSE)="","",VLOOKUP(P546,βοηθητικό!$J$2:$N$354,3,FALSE))</f>
        <v>_</v>
      </c>
      <c r="R546" s="44"/>
      <c r="S546" s="5" t="s">
        <v>16</v>
      </c>
      <c r="T546" s="46" t="str">
        <f>IF(VLOOKUP(S546,βοηθητικό!$J$2:$N$354,3,FALSE)="","",VLOOKUP(S546,βοηθητικό!$J$2:$N$354,3,FALSE))</f>
        <v>_</v>
      </c>
      <c r="U546" s="47"/>
      <c r="V546" s="4" t="s">
        <v>16</v>
      </c>
      <c r="W546" s="43" t="str">
        <f>IF(VLOOKUP(V546,βοηθητικό!$J$2:$N$354,3,FALSE)="","",VLOOKUP(V546,βοηθητικό!$J$2:$N$354,3,FALSE))</f>
        <v>_</v>
      </c>
      <c r="X546" s="44"/>
      <c r="Y546" s="5" t="s">
        <v>16</v>
      </c>
      <c r="Z546" s="46" t="str">
        <f>IF(VLOOKUP(Y546,βοηθητικό!$J$2:$N$354,3,FALSE)="","",VLOOKUP(Y546,βοηθητικό!$J$2:$N$354,3,FALSE))</f>
        <v>_</v>
      </c>
      <c r="AA546" s="47"/>
      <c r="AB546" s="4" t="s">
        <v>16</v>
      </c>
      <c r="AC546" s="43" t="str">
        <f>IF(VLOOKUP(AB546,βοηθητικό!$J$2:$N$354,3,FALSE)="","",VLOOKUP(AB546,βοηθητικό!$J$2:$N$354,3,FALSE))</f>
        <v>_</v>
      </c>
      <c r="AD546" s="44"/>
      <c r="AE546" s="5" t="s">
        <v>16</v>
      </c>
      <c r="AF546" s="46" t="str">
        <f>IF(VLOOKUP(AE546,βοηθητικό!$J$2:$N$354,3,FALSE)="","",VLOOKUP(AE546,βοηθητικό!$J$2:$N$354,3,FALSE))</f>
        <v>_</v>
      </c>
      <c r="AG546" s="47"/>
      <c r="AH546" s="4" t="s">
        <v>16</v>
      </c>
      <c r="AI546" s="43" t="str">
        <f>IF(VLOOKUP(AH546,βοηθητικό!$J$2:$N$354,3,FALSE)="","",VLOOKUP(AH546,βοηθητικό!$J$2:$N$354,3,FALSE))</f>
        <v>_</v>
      </c>
      <c r="AJ546" s="44"/>
      <c r="AK546" s="5" t="s">
        <v>16</v>
      </c>
      <c r="AL546" s="46" t="str">
        <f>IF(VLOOKUP(AK546,βοηθητικό!$J$2:$N$354,3,FALSE)="","",VLOOKUP(AK546,βοηθητικό!$J$2:$N$354,3,FALSE))</f>
        <v>_</v>
      </c>
      <c r="AM546" s="47"/>
      <c r="AN546" s="4" t="s">
        <v>16</v>
      </c>
      <c r="AO546" s="43" t="str">
        <f>IF(VLOOKUP(AN546,βοηθητικό!$J$2:$N$354,3,FALSE)="","",VLOOKUP(AN546,βοηθητικό!$J$2:$N$354,3,FALSE))</f>
        <v>_</v>
      </c>
      <c r="AP546" s="44"/>
      <c r="AQ546" s="5" t="s">
        <v>16</v>
      </c>
      <c r="AR546" s="46" t="str">
        <f>IF(VLOOKUP(AQ546,βοηθητικό!$J$2:$N$354,3,FALSE)="","",VLOOKUP(AQ546,βοηθητικό!$J$2:$N$354,3,FALSE))</f>
        <v>_</v>
      </c>
      <c r="AS546" s="47"/>
      <c r="AT546" s="4" t="s">
        <v>16</v>
      </c>
      <c r="AU546" s="43" t="str">
        <f>IF(VLOOKUP(AT546,βοηθητικό!$J$2:$N$354,3,FALSE)="","",VLOOKUP(AT546,βοηθητικό!$J$2:$N$354,3,FALSE))</f>
        <v>_</v>
      </c>
      <c r="AV546" s="44"/>
      <c r="AW546" s="5" t="s">
        <v>16</v>
      </c>
      <c r="AX546" s="46" t="str">
        <f>IF(VLOOKUP(AW546,βοηθητικό!$J$2:$N$354,3,FALSE)="","",VLOOKUP(AW546,βοηθητικό!$J$2:$N$354,3,FALSE))</f>
        <v>_</v>
      </c>
      <c r="AY546" s="47"/>
      <c r="AZ546" s="4" t="s">
        <v>16</v>
      </c>
      <c r="BA546" s="43" t="str">
        <f>IF(VLOOKUP(AZ546,βοηθητικό!$J$2:$N$354,3,FALSE)="","",VLOOKUP(AZ546,βοηθητικό!$J$2:$N$354,3,FALSE))</f>
        <v>_</v>
      </c>
      <c r="BB546" s="44"/>
      <c r="BC546" s="45" t="s">
        <v>16</v>
      </c>
      <c r="BD546" s="46" t="str">
        <f>IF(VLOOKUP(BC546,βοηθητικό!$J$2:$N$354,3,FALSE)="","",VLOOKUP(BC546,βοηθητικό!$J$2:$N$354,3,FALSE))</f>
        <v>_</v>
      </c>
      <c r="BE546" s="47"/>
      <c r="BF546" s="42" t="s">
        <v>16</v>
      </c>
      <c r="BG546" s="43" t="str">
        <f>IF(VLOOKUP(BF546,βοηθητικό!$J$2:$N$354,3,FALSE)="","",VLOOKUP(BF546,βοηθητικό!$J$2:$N$354,3,FALSE))</f>
        <v>_</v>
      </c>
      <c r="BH546" s="44"/>
      <c r="BI546" s="45" t="s">
        <v>16</v>
      </c>
      <c r="BJ546" s="46" t="str">
        <f>IF(VLOOKUP(BI546,βοηθητικό!$J$2:$N$354,3,FALSE)="","",VLOOKUP(BI546,βοηθητικό!$J$2:$N$354,3,FALSE))</f>
        <v>_</v>
      </c>
      <c r="BK546" s="47"/>
      <c r="BL546" s="42" t="s">
        <v>16</v>
      </c>
      <c r="BM546" s="43" t="str">
        <f>IF(VLOOKUP(BL546,βοηθητικό!$J$2:$N$354,3,FALSE)="","",VLOOKUP(BL546,βοηθητικό!$J$2:$N$354,3,FALSE))</f>
        <v>_</v>
      </c>
      <c r="BN546" s="44"/>
      <c r="BO546" s="45" t="s">
        <v>16</v>
      </c>
      <c r="BP546" s="46" t="str">
        <f>IF(VLOOKUP(BO546,βοηθητικό!$J$2:$N$354,3,FALSE)="","",VLOOKUP(BO546,βοηθητικό!$J$2:$N$354,3,FALSE))</f>
        <v>_</v>
      </c>
      <c r="BQ546" s="47"/>
      <c r="BR546" s="42" t="s">
        <v>16</v>
      </c>
      <c r="BS546" s="43" t="str">
        <f>IF(VLOOKUP(BR546,βοηθητικό!$J$2:$N$354,3,FALSE)="","",VLOOKUP(BR546,βοηθητικό!$J$2:$N$354,3,FALSE))</f>
        <v>_</v>
      </c>
      <c r="BT546" s="44"/>
      <c r="BU546" s="45" t="s">
        <v>16</v>
      </c>
      <c r="BV546" s="46" t="str">
        <f>IF(VLOOKUP(BU546,βοηθητικό!$J$2:$N$354,3,FALSE)="","",VLOOKUP(BU546,βοηθητικό!$J$2:$N$354,3,FALSE))</f>
        <v>_</v>
      </c>
      <c r="BW546" s="47"/>
      <c r="BX546" s="42" t="s">
        <v>16</v>
      </c>
      <c r="BY546" s="43" t="str">
        <f>IF(VLOOKUP(BX546,βοηθητικό!$J$2:$N$354,3,FALSE)="","",VLOOKUP(BX546,βοηθητικό!$J$2:$N$354,3,FALSE))</f>
        <v>_</v>
      </c>
      <c r="BZ546" s="44"/>
      <c r="CA546" s="45" t="s">
        <v>16</v>
      </c>
      <c r="CB546" s="46" t="str">
        <f>IF(VLOOKUP(CA546,βοηθητικό!$J$2:$N$354,3,FALSE)="","",VLOOKUP(CA546,βοηθητικό!$J$2:$N$354,3,FALSE))</f>
        <v>_</v>
      </c>
      <c r="CC546" s="47"/>
      <c r="CD546" s="42" t="s">
        <v>16</v>
      </c>
      <c r="CE546" s="43" t="str">
        <f>IF(VLOOKUP(CD546,βοηθητικό!$J$2:$N$354,3,FALSE)="","",VLOOKUP(CD546,βοηθητικό!$J$2:$N$354,3,FALSE))</f>
        <v>_</v>
      </c>
      <c r="CF546" s="44"/>
      <c r="CG546" s="45" t="s">
        <v>16</v>
      </c>
      <c r="CH546" s="46" t="str">
        <f>IF(VLOOKUP(CG546,βοηθητικό!$J$2:$N$354,3,FALSE)="","",VLOOKUP(CG546,βοηθητικό!$J$2:$N$354,3,FALSE))</f>
        <v>_</v>
      </c>
      <c r="CI546" s="47"/>
      <c r="CJ546" s="42" t="s">
        <v>16</v>
      </c>
      <c r="CK546" s="43" t="str">
        <f>IF(VLOOKUP(CJ546,βοηθητικό!$J$2:$N$354,3,FALSE)="","",VLOOKUP(CJ546,βοηθητικό!$J$2:$N$354,3,FALSE))</f>
        <v>_</v>
      </c>
      <c r="CL546" s="44"/>
      <c r="CM546" s="45" t="s">
        <v>16</v>
      </c>
      <c r="CN546" s="46" t="str">
        <f>IF(VLOOKUP(CM546,βοηθητικό!$J$2:$N$354,3,FALSE)="","",VLOOKUP(CM546,βοηθητικό!$J$2:$N$354,3,FALSE))</f>
        <v>_</v>
      </c>
      <c r="CO546" s="47"/>
      <c r="CP546" s="42" t="s">
        <v>16</v>
      </c>
      <c r="CQ546" s="43" t="str">
        <f>IF(VLOOKUP(CP546,βοηθητικό!$J$2:$N$354,3,FALSE)="","",VLOOKUP(CP546,βοηθητικό!$J$2:$N$354,3,FALSE))</f>
        <v>_</v>
      </c>
      <c r="CR546" s="44"/>
      <c r="CS546" s="45" t="s">
        <v>16</v>
      </c>
      <c r="CT546" s="46" t="str">
        <f>IF(VLOOKUP(CS546,βοηθητικό!$J$2:$N$354,3,FALSE)="","",VLOOKUP(CS546,βοηθητικό!$J$2:$N$354,3,FALSE))</f>
        <v>_</v>
      </c>
      <c r="CU546" s="47"/>
    </row>
    <row r="547" spans="1:99" x14ac:dyDescent="0.25">
      <c r="A547" s="37">
        <f>--SUBTOTAL(3,$B$3:B546)</f>
        <v>198</v>
      </c>
      <c r="B547" s="2"/>
      <c r="C547" s="3"/>
      <c r="D547" s="55" t="s">
        <v>18</v>
      </c>
      <c r="E547" s="38" t="s">
        <v>16</v>
      </c>
      <c r="F547" s="38"/>
      <c r="G547" s="39" t="str">
        <f t="shared" si="26"/>
        <v>__</v>
      </c>
      <c r="H547" s="40" t="str">
        <f t="shared" si="27"/>
        <v>FALSE</v>
      </c>
      <c r="I547" s="41">
        <f t="shared" si="28"/>
        <v>0</v>
      </c>
      <c r="J547" s="4" t="s">
        <v>16</v>
      </c>
      <c r="K547" s="43" t="str">
        <f>IF(VLOOKUP(J547,βοηθητικό!$J$2:$N$354,3,FALSE)="","",VLOOKUP(J547,βοηθητικό!$J$2:$N$354,3,FALSE))</f>
        <v>_</v>
      </c>
      <c r="L547" s="44"/>
      <c r="M547" s="5" t="s">
        <v>16</v>
      </c>
      <c r="N547" s="46" t="str">
        <f>IF(VLOOKUP(M547,βοηθητικό!$J$2:$N$354,3,FALSE)="","",VLOOKUP(M547,βοηθητικό!$J$2:$N$354,3,FALSE))</f>
        <v>_</v>
      </c>
      <c r="O547" s="47"/>
      <c r="P547" s="4" t="s">
        <v>16</v>
      </c>
      <c r="Q547" s="43" t="str">
        <f>IF(VLOOKUP(P547,βοηθητικό!$J$2:$N$354,3,FALSE)="","",VLOOKUP(P547,βοηθητικό!$J$2:$N$354,3,FALSE))</f>
        <v>_</v>
      </c>
      <c r="R547" s="44"/>
      <c r="S547" s="5" t="s">
        <v>16</v>
      </c>
      <c r="T547" s="46" t="str">
        <f>IF(VLOOKUP(S547,βοηθητικό!$J$2:$N$354,3,FALSE)="","",VLOOKUP(S547,βοηθητικό!$J$2:$N$354,3,FALSE))</f>
        <v>_</v>
      </c>
      <c r="U547" s="47"/>
      <c r="V547" s="4" t="s">
        <v>16</v>
      </c>
      <c r="W547" s="43" t="str">
        <f>IF(VLOOKUP(V547,βοηθητικό!$J$2:$N$354,3,FALSE)="","",VLOOKUP(V547,βοηθητικό!$J$2:$N$354,3,FALSE))</f>
        <v>_</v>
      </c>
      <c r="X547" s="44"/>
      <c r="Y547" s="5" t="s">
        <v>16</v>
      </c>
      <c r="Z547" s="46" t="str">
        <f>IF(VLOOKUP(Y547,βοηθητικό!$J$2:$N$354,3,FALSE)="","",VLOOKUP(Y547,βοηθητικό!$J$2:$N$354,3,FALSE))</f>
        <v>_</v>
      </c>
      <c r="AA547" s="47"/>
      <c r="AB547" s="4" t="s">
        <v>16</v>
      </c>
      <c r="AC547" s="43" t="str">
        <f>IF(VLOOKUP(AB547,βοηθητικό!$J$2:$N$354,3,FALSE)="","",VLOOKUP(AB547,βοηθητικό!$J$2:$N$354,3,FALSE))</f>
        <v>_</v>
      </c>
      <c r="AD547" s="44"/>
      <c r="AE547" s="5" t="s">
        <v>16</v>
      </c>
      <c r="AF547" s="46" t="str">
        <f>IF(VLOOKUP(AE547,βοηθητικό!$J$2:$N$354,3,FALSE)="","",VLOOKUP(AE547,βοηθητικό!$J$2:$N$354,3,FALSE))</f>
        <v>_</v>
      </c>
      <c r="AG547" s="47"/>
      <c r="AH547" s="4" t="s">
        <v>16</v>
      </c>
      <c r="AI547" s="43" t="str">
        <f>IF(VLOOKUP(AH547,βοηθητικό!$J$2:$N$354,3,FALSE)="","",VLOOKUP(AH547,βοηθητικό!$J$2:$N$354,3,FALSE))</f>
        <v>_</v>
      </c>
      <c r="AJ547" s="44"/>
      <c r="AK547" s="5" t="s">
        <v>16</v>
      </c>
      <c r="AL547" s="46" t="str">
        <f>IF(VLOOKUP(AK547,βοηθητικό!$J$2:$N$354,3,FALSE)="","",VLOOKUP(AK547,βοηθητικό!$J$2:$N$354,3,FALSE))</f>
        <v>_</v>
      </c>
      <c r="AM547" s="47"/>
      <c r="AN547" s="4" t="s">
        <v>16</v>
      </c>
      <c r="AO547" s="43" t="str">
        <f>IF(VLOOKUP(AN547,βοηθητικό!$J$2:$N$354,3,FALSE)="","",VLOOKUP(AN547,βοηθητικό!$J$2:$N$354,3,FALSE))</f>
        <v>_</v>
      </c>
      <c r="AP547" s="44"/>
      <c r="AQ547" s="5" t="s">
        <v>16</v>
      </c>
      <c r="AR547" s="46" t="str">
        <f>IF(VLOOKUP(AQ547,βοηθητικό!$J$2:$N$354,3,FALSE)="","",VLOOKUP(AQ547,βοηθητικό!$J$2:$N$354,3,FALSE))</f>
        <v>_</v>
      </c>
      <c r="AS547" s="47"/>
      <c r="AT547" s="4" t="s">
        <v>16</v>
      </c>
      <c r="AU547" s="43" t="str">
        <f>IF(VLOOKUP(AT547,βοηθητικό!$J$2:$N$354,3,FALSE)="","",VLOOKUP(AT547,βοηθητικό!$J$2:$N$354,3,FALSE))</f>
        <v>_</v>
      </c>
      <c r="AV547" s="44"/>
      <c r="AW547" s="5" t="s">
        <v>16</v>
      </c>
      <c r="AX547" s="46" t="str">
        <f>IF(VLOOKUP(AW547,βοηθητικό!$J$2:$N$354,3,FALSE)="","",VLOOKUP(AW547,βοηθητικό!$J$2:$N$354,3,FALSE))</f>
        <v>_</v>
      </c>
      <c r="AY547" s="47"/>
      <c r="AZ547" s="4" t="s">
        <v>16</v>
      </c>
      <c r="BA547" s="43" t="str">
        <f>IF(VLOOKUP(AZ547,βοηθητικό!$J$2:$N$354,3,FALSE)="","",VLOOKUP(AZ547,βοηθητικό!$J$2:$N$354,3,FALSE))</f>
        <v>_</v>
      </c>
      <c r="BB547" s="44"/>
      <c r="BC547" s="45" t="s">
        <v>16</v>
      </c>
      <c r="BD547" s="46" t="str">
        <f>IF(VLOOKUP(BC547,βοηθητικό!$J$2:$N$354,3,FALSE)="","",VLOOKUP(BC547,βοηθητικό!$J$2:$N$354,3,FALSE))</f>
        <v>_</v>
      </c>
      <c r="BE547" s="47"/>
      <c r="BF547" s="42" t="s">
        <v>16</v>
      </c>
      <c r="BG547" s="43" t="str">
        <f>IF(VLOOKUP(BF547,βοηθητικό!$J$2:$N$354,3,FALSE)="","",VLOOKUP(BF547,βοηθητικό!$J$2:$N$354,3,FALSE))</f>
        <v>_</v>
      </c>
      <c r="BH547" s="44"/>
      <c r="BI547" s="45" t="s">
        <v>16</v>
      </c>
      <c r="BJ547" s="46" t="str">
        <f>IF(VLOOKUP(BI547,βοηθητικό!$J$2:$N$354,3,FALSE)="","",VLOOKUP(BI547,βοηθητικό!$J$2:$N$354,3,FALSE))</f>
        <v>_</v>
      </c>
      <c r="BK547" s="47"/>
      <c r="BL547" s="42" t="s">
        <v>16</v>
      </c>
      <c r="BM547" s="43" t="str">
        <f>IF(VLOOKUP(BL547,βοηθητικό!$J$2:$N$354,3,FALSE)="","",VLOOKUP(BL547,βοηθητικό!$J$2:$N$354,3,FALSE))</f>
        <v>_</v>
      </c>
      <c r="BN547" s="44"/>
      <c r="BO547" s="45" t="s">
        <v>16</v>
      </c>
      <c r="BP547" s="46" t="str">
        <f>IF(VLOOKUP(BO547,βοηθητικό!$J$2:$N$354,3,FALSE)="","",VLOOKUP(BO547,βοηθητικό!$J$2:$N$354,3,FALSE))</f>
        <v>_</v>
      </c>
      <c r="BQ547" s="47"/>
      <c r="BR547" s="42" t="s">
        <v>16</v>
      </c>
      <c r="BS547" s="43" t="str">
        <f>IF(VLOOKUP(BR547,βοηθητικό!$J$2:$N$354,3,FALSE)="","",VLOOKUP(BR547,βοηθητικό!$J$2:$N$354,3,FALSE))</f>
        <v>_</v>
      </c>
      <c r="BT547" s="44"/>
      <c r="BU547" s="45" t="s">
        <v>16</v>
      </c>
      <c r="BV547" s="46" t="str">
        <f>IF(VLOOKUP(BU547,βοηθητικό!$J$2:$N$354,3,FALSE)="","",VLOOKUP(BU547,βοηθητικό!$J$2:$N$354,3,FALSE))</f>
        <v>_</v>
      </c>
      <c r="BW547" s="47"/>
      <c r="BX547" s="42" t="s">
        <v>16</v>
      </c>
      <c r="BY547" s="43" t="str">
        <f>IF(VLOOKUP(BX547,βοηθητικό!$J$2:$N$354,3,FALSE)="","",VLOOKUP(BX547,βοηθητικό!$J$2:$N$354,3,FALSE))</f>
        <v>_</v>
      </c>
      <c r="BZ547" s="44"/>
      <c r="CA547" s="45" t="s">
        <v>16</v>
      </c>
      <c r="CB547" s="46" t="str">
        <f>IF(VLOOKUP(CA547,βοηθητικό!$J$2:$N$354,3,FALSE)="","",VLOOKUP(CA547,βοηθητικό!$J$2:$N$354,3,FALSE))</f>
        <v>_</v>
      </c>
      <c r="CC547" s="47"/>
      <c r="CD547" s="42" t="s">
        <v>16</v>
      </c>
      <c r="CE547" s="43" t="str">
        <f>IF(VLOOKUP(CD547,βοηθητικό!$J$2:$N$354,3,FALSE)="","",VLOOKUP(CD547,βοηθητικό!$J$2:$N$354,3,FALSE))</f>
        <v>_</v>
      </c>
      <c r="CF547" s="44"/>
      <c r="CG547" s="45" t="s">
        <v>16</v>
      </c>
      <c r="CH547" s="46" t="str">
        <f>IF(VLOOKUP(CG547,βοηθητικό!$J$2:$N$354,3,FALSE)="","",VLOOKUP(CG547,βοηθητικό!$J$2:$N$354,3,FALSE))</f>
        <v>_</v>
      </c>
      <c r="CI547" s="47"/>
      <c r="CJ547" s="42" t="s">
        <v>16</v>
      </c>
      <c r="CK547" s="43" t="str">
        <f>IF(VLOOKUP(CJ547,βοηθητικό!$J$2:$N$354,3,FALSE)="","",VLOOKUP(CJ547,βοηθητικό!$J$2:$N$354,3,FALSE))</f>
        <v>_</v>
      </c>
      <c r="CL547" s="44"/>
      <c r="CM547" s="45" t="s">
        <v>16</v>
      </c>
      <c r="CN547" s="46" t="str">
        <f>IF(VLOOKUP(CM547,βοηθητικό!$J$2:$N$354,3,FALSE)="","",VLOOKUP(CM547,βοηθητικό!$J$2:$N$354,3,FALSE))</f>
        <v>_</v>
      </c>
      <c r="CO547" s="47"/>
      <c r="CP547" s="42" t="s">
        <v>16</v>
      </c>
      <c r="CQ547" s="43" t="str">
        <f>IF(VLOOKUP(CP547,βοηθητικό!$J$2:$N$354,3,FALSE)="","",VLOOKUP(CP547,βοηθητικό!$J$2:$N$354,3,FALSE))</f>
        <v>_</v>
      </c>
      <c r="CR547" s="44"/>
      <c r="CS547" s="45" t="s">
        <v>16</v>
      </c>
      <c r="CT547" s="46" t="str">
        <f>IF(VLOOKUP(CS547,βοηθητικό!$J$2:$N$354,3,FALSE)="","",VLOOKUP(CS547,βοηθητικό!$J$2:$N$354,3,FALSE))</f>
        <v>_</v>
      </c>
      <c r="CU547" s="47"/>
    </row>
    <row r="548" spans="1:99" x14ac:dyDescent="0.25">
      <c r="A548" s="37">
        <f>--SUBTOTAL(3,$B$3:B547)</f>
        <v>198</v>
      </c>
      <c r="B548" s="2"/>
      <c r="C548" s="3"/>
      <c r="D548" s="55" t="s">
        <v>18</v>
      </c>
      <c r="E548" s="38" t="s">
        <v>16</v>
      </c>
      <c r="F548" s="38"/>
      <c r="G548" s="39" t="str">
        <f t="shared" si="26"/>
        <v>__</v>
      </c>
      <c r="H548" s="40" t="str">
        <f t="shared" si="27"/>
        <v>FALSE</v>
      </c>
      <c r="I548" s="41">
        <f t="shared" si="28"/>
        <v>0</v>
      </c>
      <c r="J548" s="4" t="s">
        <v>16</v>
      </c>
      <c r="K548" s="43" t="str">
        <f>IF(VLOOKUP(J548,βοηθητικό!$J$2:$N$354,3,FALSE)="","",VLOOKUP(J548,βοηθητικό!$J$2:$N$354,3,FALSE))</f>
        <v>_</v>
      </c>
      <c r="L548" s="44"/>
      <c r="M548" s="5" t="s">
        <v>16</v>
      </c>
      <c r="N548" s="46" t="str">
        <f>IF(VLOOKUP(M548,βοηθητικό!$J$2:$N$354,3,FALSE)="","",VLOOKUP(M548,βοηθητικό!$J$2:$N$354,3,FALSE))</f>
        <v>_</v>
      </c>
      <c r="O548" s="47"/>
      <c r="P548" s="4" t="s">
        <v>16</v>
      </c>
      <c r="Q548" s="43" t="str">
        <f>IF(VLOOKUP(P548,βοηθητικό!$J$2:$N$354,3,FALSE)="","",VLOOKUP(P548,βοηθητικό!$J$2:$N$354,3,FALSE))</f>
        <v>_</v>
      </c>
      <c r="R548" s="44"/>
      <c r="S548" s="5" t="s">
        <v>16</v>
      </c>
      <c r="T548" s="46" t="str">
        <f>IF(VLOOKUP(S548,βοηθητικό!$J$2:$N$354,3,FALSE)="","",VLOOKUP(S548,βοηθητικό!$J$2:$N$354,3,FALSE))</f>
        <v>_</v>
      </c>
      <c r="U548" s="47"/>
      <c r="V548" s="4" t="s">
        <v>16</v>
      </c>
      <c r="W548" s="43" t="str">
        <f>IF(VLOOKUP(V548,βοηθητικό!$J$2:$N$354,3,FALSE)="","",VLOOKUP(V548,βοηθητικό!$J$2:$N$354,3,FALSE))</f>
        <v>_</v>
      </c>
      <c r="X548" s="44"/>
      <c r="Y548" s="5" t="s">
        <v>16</v>
      </c>
      <c r="Z548" s="46" t="str">
        <f>IF(VLOOKUP(Y548,βοηθητικό!$J$2:$N$354,3,FALSE)="","",VLOOKUP(Y548,βοηθητικό!$J$2:$N$354,3,FALSE))</f>
        <v>_</v>
      </c>
      <c r="AA548" s="47"/>
      <c r="AB548" s="4" t="s">
        <v>16</v>
      </c>
      <c r="AC548" s="43" t="str">
        <f>IF(VLOOKUP(AB548,βοηθητικό!$J$2:$N$354,3,FALSE)="","",VLOOKUP(AB548,βοηθητικό!$J$2:$N$354,3,FALSE))</f>
        <v>_</v>
      </c>
      <c r="AD548" s="44"/>
      <c r="AE548" s="5" t="s">
        <v>16</v>
      </c>
      <c r="AF548" s="46" t="str">
        <f>IF(VLOOKUP(AE548,βοηθητικό!$J$2:$N$354,3,FALSE)="","",VLOOKUP(AE548,βοηθητικό!$J$2:$N$354,3,FALSE))</f>
        <v>_</v>
      </c>
      <c r="AG548" s="47"/>
      <c r="AH548" s="4" t="s">
        <v>16</v>
      </c>
      <c r="AI548" s="43" t="str">
        <f>IF(VLOOKUP(AH548,βοηθητικό!$J$2:$N$354,3,FALSE)="","",VLOOKUP(AH548,βοηθητικό!$J$2:$N$354,3,FALSE))</f>
        <v>_</v>
      </c>
      <c r="AJ548" s="44"/>
      <c r="AK548" s="5" t="s">
        <v>16</v>
      </c>
      <c r="AL548" s="46" t="str">
        <f>IF(VLOOKUP(AK548,βοηθητικό!$J$2:$N$354,3,FALSE)="","",VLOOKUP(AK548,βοηθητικό!$J$2:$N$354,3,FALSE))</f>
        <v>_</v>
      </c>
      <c r="AM548" s="47"/>
      <c r="AN548" s="4" t="s">
        <v>16</v>
      </c>
      <c r="AO548" s="43" t="str">
        <f>IF(VLOOKUP(AN548,βοηθητικό!$J$2:$N$354,3,FALSE)="","",VLOOKUP(AN548,βοηθητικό!$J$2:$N$354,3,FALSE))</f>
        <v>_</v>
      </c>
      <c r="AP548" s="44"/>
      <c r="AQ548" s="5" t="s">
        <v>16</v>
      </c>
      <c r="AR548" s="46" t="str">
        <f>IF(VLOOKUP(AQ548,βοηθητικό!$J$2:$N$354,3,FALSE)="","",VLOOKUP(AQ548,βοηθητικό!$J$2:$N$354,3,FALSE))</f>
        <v>_</v>
      </c>
      <c r="AS548" s="47"/>
      <c r="AT548" s="4" t="s">
        <v>16</v>
      </c>
      <c r="AU548" s="43" t="str">
        <f>IF(VLOOKUP(AT548,βοηθητικό!$J$2:$N$354,3,FALSE)="","",VLOOKUP(AT548,βοηθητικό!$J$2:$N$354,3,FALSE))</f>
        <v>_</v>
      </c>
      <c r="AV548" s="44"/>
      <c r="AW548" s="5" t="s">
        <v>16</v>
      </c>
      <c r="AX548" s="46" t="str">
        <f>IF(VLOOKUP(AW548,βοηθητικό!$J$2:$N$354,3,FALSE)="","",VLOOKUP(AW548,βοηθητικό!$J$2:$N$354,3,FALSE))</f>
        <v>_</v>
      </c>
      <c r="AY548" s="47"/>
      <c r="AZ548" s="4" t="s">
        <v>16</v>
      </c>
      <c r="BA548" s="43" t="str">
        <f>IF(VLOOKUP(AZ548,βοηθητικό!$J$2:$N$354,3,FALSE)="","",VLOOKUP(AZ548,βοηθητικό!$J$2:$N$354,3,FALSE))</f>
        <v>_</v>
      </c>
      <c r="BB548" s="44"/>
      <c r="BC548" s="45" t="s">
        <v>16</v>
      </c>
      <c r="BD548" s="46" t="str">
        <f>IF(VLOOKUP(BC548,βοηθητικό!$J$2:$N$354,3,FALSE)="","",VLOOKUP(BC548,βοηθητικό!$J$2:$N$354,3,FALSE))</f>
        <v>_</v>
      </c>
      <c r="BE548" s="47"/>
      <c r="BF548" s="42" t="s">
        <v>16</v>
      </c>
      <c r="BG548" s="43" t="str">
        <f>IF(VLOOKUP(BF548,βοηθητικό!$J$2:$N$354,3,FALSE)="","",VLOOKUP(BF548,βοηθητικό!$J$2:$N$354,3,FALSE))</f>
        <v>_</v>
      </c>
      <c r="BH548" s="44"/>
      <c r="BI548" s="45" t="s">
        <v>16</v>
      </c>
      <c r="BJ548" s="46" t="str">
        <f>IF(VLOOKUP(BI548,βοηθητικό!$J$2:$N$354,3,FALSE)="","",VLOOKUP(BI548,βοηθητικό!$J$2:$N$354,3,FALSE))</f>
        <v>_</v>
      </c>
      <c r="BK548" s="47"/>
      <c r="BL548" s="42" t="s">
        <v>16</v>
      </c>
      <c r="BM548" s="43" t="str">
        <f>IF(VLOOKUP(BL548,βοηθητικό!$J$2:$N$354,3,FALSE)="","",VLOOKUP(BL548,βοηθητικό!$J$2:$N$354,3,FALSE))</f>
        <v>_</v>
      </c>
      <c r="BN548" s="44"/>
      <c r="BO548" s="45" t="s">
        <v>16</v>
      </c>
      <c r="BP548" s="46" t="str">
        <f>IF(VLOOKUP(BO548,βοηθητικό!$J$2:$N$354,3,FALSE)="","",VLOOKUP(BO548,βοηθητικό!$J$2:$N$354,3,FALSE))</f>
        <v>_</v>
      </c>
      <c r="BQ548" s="47"/>
      <c r="BR548" s="42" t="s">
        <v>16</v>
      </c>
      <c r="BS548" s="43" t="str">
        <f>IF(VLOOKUP(BR548,βοηθητικό!$J$2:$N$354,3,FALSE)="","",VLOOKUP(BR548,βοηθητικό!$J$2:$N$354,3,FALSE))</f>
        <v>_</v>
      </c>
      <c r="BT548" s="44"/>
      <c r="BU548" s="45" t="s">
        <v>16</v>
      </c>
      <c r="BV548" s="46" t="str">
        <f>IF(VLOOKUP(BU548,βοηθητικό!$J$2:$N$354,3,FALSE)="","",VLOOKUP(BU548,βοηθητικό!$J$2:$N$354,3,FALSE))</f>
        <v>_</v>
      </c>
      <c r="BW548" s="47"/>
      <c r="BX548" s="42" t="s">
        <v>16</v>
      </c>
      <c r="BY548" s="43" t="str">
        <f>IF(VLOOKUP(BX548,βοηθητικό!$J$2:$N$354,3,FALSE)="","",VLOOKUP(BX548,βοηθητικό!$J$2:$N$354,3,FALSE))</f>
        <v>_</v>
      </c>
      <c r="BZ548" s="44"/>
      <c r="CA548" s="45" t="s">
        <v>16</v>
      </c>
      <c r="CB548" s="46" t="str">
        <f>IF(VLOOKUP(CA548,βοηθητικό!$J$2:$N$354,3,FALSE)="","",VLOOKUP(CA548,βοηθητικό!$J$2:$N$354,3,FALSE))</f>
        <v>_</v>
      </c>
      <c r="CC548" s="47"/>
      <c r="CD548" s="42" t="s">
        <v>16</v>
      </c>
      <c r="CE548" s="43" t="str">
        <f>IF(VLOOKUP(CD548,βοηθητικό!$J$2:$N$354,3,FALSE)="","",VLOOKUP(CD548,βοηθητικό!$J$2:$N$354,3,FALSE))</f>
        <v>_</v>
      </c>
      <c r="CF548" s="44"/>
      <c r="CG548" s="45" t="s">
        <v>16</v>
      </c>
      <c r="CH548" s="46" t="str">
        <f>IF(VLOOKUP(CG548,βοηθητικό!$J$2:$N$354,3,FALSE)="","",VLOOKUP(CG548,βοηθητικό!$J$2:$N$354,3,FALSE))</f>
        <v>_</v>
      </c>
      <c r="CI548" s="47"/>
      <c r="CJ548" s="42" t="s">
        <v>16</v>
      </c>
      <c r="CK548" s="43" t="str">
        <f>IF(VLOOKUP(CJ548,βοηθητικό!$J$2:$N$354,3,FALSE)="","",VLOOKUP(CJ548,βοηθητικό!$J$2:$N$354,3,FALSE))</f>
        <v>_</v>
      </c>
      <c r="CL548" s="44"/>
      <c r="CM548" s="45" t="s">
        <v>16</v>
      </c>
      <c r="CN548" s="46" t="str">
        <f>IF(VLOOKUP(CM548,βοηθητικό!$J$2:$N$354,3,FALSE)="","",VLOOKUP(CM548,βοηθητικό!$J$2:$N$354,3,FALSE))</f>
        <v>_</v>
      </c>
      <c r="CO548" s="47"/>
      <c r="CP548" s="42" t="s">
        <v>16</v>
      </c>
      <c r="CQ548" s="43" t="str">
        <f>IF(VLOOKUP(CP548,βοηθητικό!$J$2:$N$354,3,FALSE)="","",VLOOKUP(CP548,βοηθητικό!$J$2:$N$354,3,FALSE))</f>
        <v>_</v>
      </c>
      <c r="CR548" s="44"/>
      <c r="CS548" s="45" t="s">
        <v>16</v>
      </c>
      <c r="CT548" s="46" t="str">
        <f>IF(VLOOKUP(CS548,βοηθητικό!$J$2:$N$354,3,FALSE)="","",VLOOKUP(CS548,βοηθητικό!$J$2:$N$354,3,FALSE))</f>
        <v>_</v>
      </c>
      <c r="CU548" s="47"/>
    </row>
    <row r="549" spans="1:99" x14ac:dyDescent="0.25">
      <c r="A549" s="37">
        <f>--SUBTOTAL(3,$B$3:B548)</f>
        <v>198</v>
      </c>
      <c r="B549" s="2"/>
      <c r="C549" s="3"/>
      <c r="D549" s="55" t="s">
        <v>18</v>
      </c>
      <c r="E549" s="38" t="s">
        <v>16</v>
      </c>
      <c r="F549" s="38"/>
      <c r="G549" s="39" t="str">
        <f t="shared" si="26"/>
        <v>__</v>
      </c>
      <c r="H549" s="40" t="str">
        <f t="shared" si="27"/>
        <v>FALSE</v>
      </c>
      <c r="I549" s="41">
        <f t="shared" si="28"/>
        <v>0</v>
      </c>
      <c r="J549" s="4" t="s">
        <v>16</v>
      </c>
      <c r="K549" s="43" t="str">
        <f>IF(VLOOKUP(J549,βοηθητικό!$J$2:$N$354,3,FALSE)="","",VLOOKUP(J549,βοηθητικό!$J$2:$N$354,3,FALSE))</f>
        <v>_</v>
      </c>
      <c r="L549" s="44"/>
      <c r="M549" s="5" t="s">
        <v>16</v>
      </c>
      <c r="N549" s="46" t="str">
        <f>IF(VLOOKUP(M549,βοηθητικό!$J$2:$N$354,3,FALSE)="","",VLOOKUP(M549,βοηθητικό!$J$2:$N$354,3,FALSE))</f>
        <v>_</v>
      </c>
      <c r="O549" s="47"/>
      <c r="P549" s="4" t="s">
        <v>16</v>
      </c>
      <c r="Q549" s="43" t="str">
        <f>IF(VLOOKUP(P549,βοηθητικό!$J$2:$N$354,3,FALSE)="","",VLOOKUP(P549,βοηθητικό!$J$2:$N$354,3,FALSE))</f>
        <v>_</v>
      </c>
      <c r="R549" s="44"/>
      <c r="S549" s="5" t="s">
        <v>16</v>
      </c>
      <c r="T549" s="46" t="str">
        <f>IF(VLOOKUP(S549,βοηθητικό!$J$2:$N$354,3,FALSE)="","",VLOOKUP(S549,βοηθητικό!$J$2:$N$354,3,FALSE))</f>
        <v>_</v>
      </c>
      <c r="U549" s="47"/>
      <c r="V549" s="4" t="s">
        <v>16</v>
      </c>
      <c r="W549" s="43" t="str">
        <f>IF(VLOOKUP(V549,βοηθητικό!$J$2:$N$354,3,FALSE)="","",VLOOKUP(V549,βοηθητικό!$J$2:$N$354,3,FALSE))</f>
        <v>_</v>
      </c>
      <c r="X549" s="44"/>
      <c r="Y549" s="5" t="s">
        <v>16</v>
      </c>
      <c r="Z549" s="46" t="str">
        <f>IF(VLOOKUP(Y549,βοηθητικό!$J$2:$N$354,3,FALSE)="","",VLOOKUP(Y549,βοηθητικό!$J$2:$N$354,3,FALSE))</f>
        <v>_</v>
      </c>
      <c r="AA549" s="47"/>
      <c r="AB549" s="4" t="s">
        <v>16</v>
      </c>
      <c r="AC549" s="43" t="str">
        <f>IF(VLOOKUP(AB549,βοηθητικό!$J$2:$N$354,3,FALSE)="","",VLOOKUP(AB549,βοηθητικό!$J$2:$N$354,3,FALSE))</f>
        <v>_</v>
      </c>
      <c r="AD549" s="44"/>
      <c r="AE549" s="5" t="s">
        <v>16</v>
      </c>
      <c r="AF549" s="46" t="str">
        <f>IF(VLOOKUP(AE549,βοηθητικό!$J$2:$N$354,3,FALSE)="","",VLOOKUP(AE549,βοηθητικό!$J$2:$N$354,3,FALSE))</f>
        <v>_</v>
      </c>
      <c r="AG549" s="47"/>
      <c r="AH549" s="4" t="s">
        <v>16</v>
      </c>
      <c r="AI549" s="43" t="str">
        <f>IF(VLOOKUP(AH549,βοηθητικό!$J$2:$N$354,3,FALSE)="","",VLOOKUP(AH549,βοηθητικό!$J$2:$N$354,3,FALSE))</f>
        <v>_</v>
      </c>
      <c r="AJ549" s="44"/>
      <c r="AK549" s="5" t="s">
        <v>16</v>
      </c>
      <c r="AL549" s="46" t="str">
        <f>IF(VLOOKUP(AK549,βοηθητικό!$J$2:$N$354,3,FALSE)="","",VLOOKUP(AK549,βοηθητικό!$J$2:$N$354,3,FALSE))</f>
        <v>_</v>
      </c>
      <c r="AM549" s="47"/>
      <c r="AN549" s="4" t="s">
        <v>16</v>
      </c>
      <c r="AO549" s="43" t="str">
        <f>IF(VLOOKUP(AN549,βοηθητικό!$J$2:$N$354,3,FALSE)="","",VLOOKUP(AN549,βοηθητικό!$J$2:$N$354,3,FALSE))</f>
        <v>_</v>
      </c>
      <c r="AP549" s="44"/>
      <c r="AQ549" s="5" t="s">
        <v>16</v>
      </c>
      <c r="AR549" s="46" t="str">
        <f>IF(VLOOKUP(AQ549,βοηθητικό!$J$2:$N$354,3,FALSE)="","",VLOOKUP(AQ549,βοηθητικό!$J$2:$N$354,3,FALSE))</f>
        <v>_</v>
      </c>
      <c r="AS549" s="47"/>
      <c r="AT549" s="4" t="s">
        <v>16</v>
      </c>
      <c r="AU549" s="43" t="str">
        <f>IF(VLOOKUP(AT549,βοηθητικό!$J$2:$N$354,3,FALSE)="","",VLOOKUP(AT549,βοηθητικό!$J$2:$N$354,3,FALSE))</f>
        <v>_</v>
      </c>
      <c r="AV549" s="44"/>
      <c r="AW549" s="5" t="s">
        <v>16</v>
      </c>
      <c r="AX549" s="46" t="str">
        <f>IF(VLOOKUP(AW549,βοηθητικό!$J$2:$N$354,3,FALSE)="","",VLOOKUP(AW549,βοηθητικό!$J$2:$N$354,3,FALSE))</f>
        <v>_</v>
      </c>
      <c r="AY549" s="47"/>
      <c r="AZ549" s="4" t="s">
        <v>16</v>
      </c>
      <c r="BA549" s="43" t="str">
        <f>IF(VLOOKUP(AZ549,βοηθητικό!$J$2:$N$354,3,FALSE)="","",VLOOKUP(AZ549,βοηθητικό!$J$2:$N$354,3,FALSE))</f>
        <v>_</v>
      </c>
      <c r="BB549" s="44"/>
      <c r="BC549" s="45" t="s">
        <v>16</v>
      </c>
      <c r="BD549" s="46" t="str">
        <f>IF(VLOOKUP(BC549,βοηθητικό!$J$2:$N$354,3,FALSE)="","",VLOOKUP(BC549,βοηθητικό!$J$2:$N$354,3,FALSE))</f>
        <v>_</v>
      </c>
      <c r="BE549" s="47"/>
      <c r="BF549" s="42" t="s">
        <v>16</v>
      </c>
      <c r="BG549" s="43" t="str">
        <f>IF(VLOOKUP(BF549,βοηθητικό!$J$2:$N$354,3,FALSE)="","",VLOOKUP(BF549,βοηθητικό!$J$2:$N$354,3,FALSE))</f>
        <v>_</v>
      </c>
      <c r="BH549" s="44"/>
      <c r="BI549" s="45" t="s">
        <v>16</v>
      </c>
      <c r="BJ549" s="46" t="str">
        <f>IF(VLOOKUP(BI549,βοηθητικό!$J$2:$N$354,3,FALSE)="","",VLOOKUP(BI549,βοηθητικό!$J$2:$N$354,3,FALSE))</f>
        <v>_</v>
      </c>
      <c r="BK549" s="47"/>
      <c r="BL549" s="42" t="s">
        <v>16</v>
      </c>
      <c r="BM549" s="43" t="str">
        <f>IF(VLOOKUP(BL549,βοηθητικό!$J$2:$N$354,3,FALSE)="","",VLOOKUP(BL549,βοηθητικό!$J$2:$N$354,3,FALSE))</f>
        <v>_</v>
      </c>
      <c r="BN549" s="44"/>
      <c r="BO549" s="45" t="s">
        <v>16</v>
      </c>
      <c r="BP549" s="46" t="str">
        <f>IF(VLOOKUP(BO549,βοηθητικό!$J$2:$N$354,3,FALSE)="","",VLOOKUP(BO549,βοηθητικό!$J$2:$N$354,3,FALSE))</f>
        <v>_</v>
      </c>
      <c r="BQ549" s="47"/>
      <c r="BR549" s="42" t="s">
        <v>16</v>
      </c>
      <c r="BS549" s="43" t="str">
        <f>IF(VLOOKUP(BR549,βοηθητικό!$J$2:$N$354,3,FALSE)="","",VLOOKUP(BR549,βοηθητικό!$J$2:$N$354,3,FALSE))</f>
        <v>_</v>
      </c>
      <c r="BT549" s="44"/>
      <c r="BU549" s="45" t="s">
        <v>16</v>
      </c>
      <c r="BV549" s="46" t="str">
        <f>IF(VLOOKUP(BU549,βοηθητικό!$J$2:$N$354,3,FALSE)="","",VLOOKUP(BU549,βοηθητικό!$J$2:$N$354,3,FALSE))</f>
        <v>_</v>
      </c>
      <c r="BW549" s="47"/>
      <c r="BX549" s="42" t="s">
        <v>16</v>
      </c>
      <c r="BY549" s="43" t="str">
        <f>IF(VLOOKUP(BX549,βοηθητικό!$J$2:$N$354,3,FALSE)="","",VLOOKUP(BX549,βοηθητικό!$J$2:$N$354,3,FALSE))</f>
        <v>_</v>
      </c>
      <c r="BZ549" s="44"/>
      <c r="CA549" s="45" t="s">
        <v>16</v>
      </c>
      <c r="CB549" s="46" t="str">
        <f>IF(VLOOKUP(CA549,βοηθητικό!$J$2:$N$354,3,FALSE)="","",VLOOKUP(CA549,βοηθητικό!$J$2:$N$354,3,FALSE))</f>
        <v>_</v>
      </c>
      <c r="CC549" s="47"/>
      <c r="CD549" s="42" t="s">
        <v>16</v>
      </c>
      <c r="CE549" s="43" t="str">
        <f>IF(VLOOKUP(CD549,βοηθητικό!$J$2:$N$354,3,FALSE)="","",VLOOKUP(CD549,βοηθητικό!$J$2:$N$354,3,FALSE))</f>
        <v>_</v>
      </c>
      <c r="CF549" s="44"/>
      <c r="CG549" s="45" t="s">
        <v>16</v>
      </c>
      <c r="CH549" s="46" t="str">
        <f>IF(VLOOKUP(CG549,βοηθητικό!$J$2:$N$354,3,FALSE)="","",VLOOKUP(CG549,βοηθητικό!$J$2:$N$354,3,FALSE))</f>
        <v>_</v>
      </c>
      <c r="CI549" s="47"/>
      <c r="CJ549" s="42" t="s">
        <v>16</v>
      </c>
      <c r="CK549" s="43" t="str">
        <f>IF(VLOOKUP(CJ549,βοηθητικό!$J$2:$N$354,3,FALSE)="","",VLOOKUP(CJ549,βοηθητικό!$J$2:$N$354,3,FALSE))</f>
        <v>_</v>
      </c>
      <c r="CL549" s="44"/>
      <c r="CM549" s="45" t="s">
        <v>16</v>
      </c>
      <c r="CN549" s="46" t="str">
        <f>IF(VLOOKUP(CM549,βοηθητικό!$J$2:$N$354,3,FALSE)="","",VLOOKUP(CM549,βοηθητικό!$J$2:$N$354,3,FALSE))</f>
        <v>_</v>
      </c>
      <c r="CO549" s="47"/>
      <c r="CP549" s="42" t="s">
        <v>16</v>
      </c>
      <c r="CQ549" s="43" t="str">
        <f>IF(VLOOKUP(CP549,βοηθητικό!$J$2:$N$354,3,FALSE)="","",VLOOKUP(CP549,βοηθητικό!$J$2:$N$354,3,FALSE))</f>
        <v>_</v>
      </c>
      <c r="CR549" s="44"/>
      <c r="CS549" s="45" t="s">
        <v>16</v>
      </c>
      <c r="CT549" s="46" t="str">
        <f>IF(VLOOKUP(CS549,βοηθητικό!$J$2:$N$354,3,FALSE)="","",VLOOKUP(CS549,βοηθητικό!$J$2:$N$354,3,FALSE))</f>
        <v>_</v>
      </c>
      <c r="CU549" s="47"/>
    </row>
    <row r="550" spans="1:99" x14ac:dyDescent="0.25">
      <c r="A550" s="37">
        <f>--SUBTOTAL(3,$B$3:B549)</f>
        <v>198</v>
      </c>
      <c r="B550" s="2"/>
      <c r="C550" s="3"/>
      <c r="D550" s="55" t="s">
        <v>18</v>
      </c>
      <c r="E550" s="38" t="s">
        <v>16</v>
      </c>
      <c r="F550" s="38"/>
      <c r="G550" s="39" t="str">
        <f t="shared" si="26"/>
        <v>__</v>
      </c>
      <c r="H550" s="40" t="str">
        <f t="shared" si="27"/>
        <v>FALSE</v>
      </c>
      <c r="I550" s="41">
        <f t="shared" si="28"/>
        <v>0</v>
      </c>
      <c r="J550" s="4" t="s">
        <v>16</v>
      </c>
      <c r="K550" s="43" t="str">
        <f>IF(VLOOKUP(J550,βοηθητικό!$J$2:$N$354,3,FALSE)="","",VLOOKUP(J550,βοηθητικό!$J$2:$N$354,3,FALSE))</f>
        <v>_</v>
      </c>
      <c r="L550" s="44"/>
      <c r="M550" s="5" t="s">
        <v>16</v>
      </c>
      <c r="N550" s="46" t="str">
        <f>IF(VLOOKUP(M550,βοηθητικό!$J$2:$N$354,3,FALSE)="","",VLOOKUP(M550,βοηθητικό!$J$2:$N$354,3,FALSE))</f>
        <v>_</v>
      </c>
      <c r="O550" s="47"/>
      <c r="P550" s="4" t="s">
        <v>16</v>
      </c>
      <c r="Q550" s="43" t="str">
        <f>IF(VLOOKUP(P550,βοηθητικό!$J$2:$N$354,3,FALSE)="","",VLOOKUP(P550,βοηθητικό!$J$2:$N$354,3,FALSE))</f>
        <v>_</v>
      </c>
      <c r="R550" s="44"/>
      <c r="S550" s="5" t="s">
        <v>16</v>
      </c>
      <c r="T550" s="46" t="str">
        <f>IF(VLOOKUP(S550,βοηθητικό!$J$2:$N$354,3,FALSE)="","",VLOOKUP(S550,βοηθητικό!$J$2:$N$354,3,FALSE))</f>
        <v>_</v>
      </c>
      <c r="U550" s="47"/>
      <c r="V550" s="4" t="s">
        <v>16</v>
      </c>
      <c r="W550" s="43" t="str">
        <f>IF(VLOOKUP(V550,βοηθητικό!$J$2:$N$354,3,FALSE)="","",VLOOKUP(V550,βοηθητικό!$J$2:$N$354,3,FALSE))</f>
        <v>_</v>
      </c>
      <c r="X550" s="44"/>
      <c r="Y550" s="5" t="s">
        <v>16</v>
      </c>
      <c r="Z550" s="46" t="str">
        <f>IF(VLOOKUP(Y550,βοηθητικό!$J$2:$N$354,3,FALSE)="","",VLOOKUP(Y550,βοηθητικό!$J$2:$N$354,3,FALSE))</f>
        <v>_</v>
      </c>
      <c r="AA550" s="47"/>
      <c r="AB550" s="4" t="s">
        <v>16</v>
      </c>
      <c r="AC550" s="43" t="str">
        <f>IF(VLOOKUP(AB550,βοηθητικό!$J$2:$N$354,3,FALSE)="","",VLOOKUP(AB550,βοηθητικό!$J$2:$N$354,3,FALSE))</f>
        <v>_</v>
      </c>
      <c r="AD550" s="44"/>
      <c r="AE550" s="5" t="s">
        <v>16</v>
      </c>
      <c r="AF550" s="46" t="str">
        <f>IF(VLOOKUP(AE550,βοηθητικό!$J$2:$N$354,3,FALSE)="","",VLOOKUP(AE550,βοηθητικό!$J$2:$N$354,3,FALSE))</f>
        <v>_</v>
      </c>
      <c r="AG550" s="47"/>
      <c r="AH550" s="4" t="s">
        <v>16</v>
      </c>
      <c r="AI550" s="43" t="str">
        <f>IF(VLOOKUP(AH550,βοηθητικό!$J$2:$N$354,3,FALSE)="","",VLOOKUP(AH550,βοηθητικό!$J$2:$N$354,3,FALSE))</f>
        <v>_</v>
      </c>
      <c r="AJ550" s="44"/>
      <c r="AK550" s="5" t="s">
        <v>16</v>
      </c>
      <c r="AL550" s="46" t="str">
        <f>IF(VLOOKUP(AK550,βοηθητικό!$J$2:$N$354,3,FALSE)="","",VLOOKUP(AK550,βοηθητικό!$J$2:$N$354,3,FALSE))</f>
        <v>_</v>
      </c>
      <c r="AM550" s="47"/>
      <c r="AN550" s="4" t="s">
        <v>16</v>
      </c>
      <c r="AO550" s="43" t="str">
        <f>IF(VLOOKUP(AN550,βοηθητικό!$J$2:$N$354,3,FALSE)="","",VLOOKUP(AN550,βοηθητικό!$J$2:$N$354,3,FALSE))</f>
        <v>_</v>
      </c>
      <c r="AP550" s="44"/>
      <c r="AQ550" s="5" t="s">
        <v>16</v>
      </c>
      <c r="AR550" s="46" t="str">
        <f>IF(VLOOKUP(AQ550,βοηθητικό!$J$2:$N$354,3,FALSE)="","",VLOOKUP(AQ550,βοηθητικό!$J$2:$N$354,3,FALSE))</f>
        <v>_</v>
      </c>
      <c r="AS550" s="47"/>
      <c r="AT550" s="4" t="s">
        <v>16</v>
      </c>
      <c r="AU550" s="43" t="str">
        <f>IF(VLOOKUP(AT550,βοηθητικό!$J$2:$N$354,3,FALSE)="","",VLOOKUP(AT550,βοηθητικό!$J$2:$N$354,3,FALSE))</f>
        <v>_</v>
      </c>
      <c r="AV550" s="44"/>
      <c r="AW550" s="5" t="s">
        <v>16</v>
      </c>
      <c r="AX550" s="46" t="str">
        <f>IF(VLOOKUP(AW550,βοηθητικό!$J$2:$N$354,3,FALSE)="","",VLOOKUP(AW550,βοηθητικό!$J$2:$N$354,3,FALSE))</f>
        <v>_</v>
      </c>
      <c r="AY550" s="47"/>
      <c r="AZ550" s="4" t="s">
        <v>16</v>
      </c>
      <c r="BA550" s="43" t="str">
        <f>IF(VLOOKUP(AZ550,βοηθητικό!$J$2:$N$354,3,FALSE)="","",VLOOKUP(AZ550,βοηθητικό!$J$2:$N$354,3,FALSE))</f>
        <v>_</v>
      </c>
      <c r="BB550" s="44"/>
      <c r="BC550" s="45" t="s">
        <v>16</v>
      </c>
      <c r="BD550" s="46" t="str">
        <f>IF(VLOOKUP(BC550,βοηθητικό!$J$2:$N$354,3,FALSE)="","",VLOOKUP(BC550,βοηθητικό!$J$2:$N$354,3,FALSE))</f>
        <v>_</v>
      </c>
      <c r="BE550" s="47"/>
      <c r="BF550" s="42" t="s">
        <v>16</v>
      </c>
      <c r="BG550" s="43" t="str">
        <f>IF(VLOOKUP(BF550,βοηθητικό!$J$2:$N$354,3,FALSE)="","",VLOOKUP(BF550,βοηθητικό!$J$2:$N$354,3,FALSE))</f>
        <v>_</v>
      </c>
      <c r="BH550" s="44"/>
      <c r="BI550" s="45" t="s">
        <v>16</v>
      </c>
      <c r="BJ550" s="46" t="str">
        <f>IF(VLOOKUP(BI550,βοηθητικό!$J$2:$N$354,3,FALSE)="","",VLOOKUP(BI550,βοηθητικό!$J$2:$N$354,3,FALSE))</f>
        <v>_</v>
      </c>
      <c r="BK550" s="47"/>
      <c r="BL550" s="42" t="s">
        <v>16</v>
      </c>
      <c r="BM550" s="43" t="str">
        <f>IF(VLOOKUP(BL550,βοηθητικό!$J$2:$N$354,3,FALSE)="","",VLOOKUP(BL550,βοηθητικό!$J$2:$N$354,3,FALSE))</f>
        <v>_</v>
      </c>
      <c r="BN550" s="44"/>
      <c r="BO550" s="45" t="s">
        <v>16</v>
      </c>
      <c r="BP550" s="46" t="str">
        <f>IF(VLOOKUP(BO550,βοηθητικό!$J$2:$N$354,3,FALSE)="","",VLOOKUP(BO550,βοηθητικό!$J$2:$N$354,3,FALSE))</f>
        <v>_</v>
      </c>
      <c r="BQ550" s="47"/>
      <c r="BR550" s="42" t="s">
        <v>16</v>
      </c>
      <c r="BS550" s="43" t="str">
        <f>IF(VLOOKUP(BR550,βοηθητικό!$J$2:$N$354,3,FALSE)="","",VLOOKUP(BR550,βοηθητικό!$J$2:$N$354,3,FALSE))</f>
        <v>_</v>
      </c>
      <c r="BT550" s="44"/>
      <c r="BU550" s="45" t="s">
        <v>16</v>
      </c>
      <c r="BV550" s="46" t="str">
        <f>IF(VLOOKUP(BU550,βοηθητικό!$J$2:$N$354,3,FALSE)="","",VLOOKUP(BU550,βοηθητικό!$J$2:$N$354,3,FALSE))</f>
        <v>_</v>
      </c>
      <c r="BW550" s="47"/>
      <c r="BX550" s="42" t="s">
        <v>16</v>
      </c>
      <c r="BY550" s="43" t="str">
        <f>IF(VLOOKUP(BX550,βοηθητικό!$J$2:$N$354,3,FALSE)="","",VLOOKUP(BX550,βοηθητικό!$J$2:$N$354,3,FALSE))</f>
        <v>_</v>
      </c>
      <c r="BZ550" s="44"/>
      <c r="CA550" s="45" t="s">
        <v>16</v>
      </c>
      <c r="CB550" s="46" t="str">
        <f>IF(VLOOKUP(CA550,βοηθητικό!$J$2:$N$354,3,FALSE)="","",VLOOKUP(CA550,βοηθητικό!$J$2:$N$354,3,FALSE))</f>
        <v>_</v>
      </c>
      <c r="CC550" s="47"/>
      <c r="CD550" s="42" t="s">
        <v>16</v>
      </c>
      <c r="CE550" s="43" t="str">
        <f>IF(VLOOKUP(CD550,βοηθητικό!$J$2:$N$354,3,FALSE)="","",VLOOKUP(CD550,βοηθητικό!$J$2:$N$354,3,FALSE))</f>
        <v>_</v>
      </c>
      <c r="CF550" s="44"/>
      <c r="CG550" s="45" t="s">
        <v>16</v>
      </c>
      <c r="CH550" s="46" t="str">
        <f>IF(VLOOKUP(CG550,βοηθητικό!$J$2:$N$354,3,FALSE)="","",VLOOKUP(CG550,βοηθητικό!$J$2:$N$354,3,FALSE))</f>
        <v>_</v>
      </c>
      <c r="CI550" s="47"/>
      <c r="CJ550" s="42" t="s">
        <v>16</v>
      </c>
      <c r="CK550" s="43" t="str">
        <f>IF(VLOOKUP(CJ550,βοηθητικό!$J$2:$N$354,3,FALSE)="","",VLOOKUP(CJ550,βοηθητικό!$J$2:$N$354,3,FALSE))</f>
        <v>_</v>
      </c>
      <c r="CL550" s="44"/>
      <c r="CM550" s="45" t="s">
        <v>16</v>
      </c>
      <c r="CN550" s="46" t="str">
        <f>IF(VLOOKUP(CM550,βοηθητικό!$J$2:$N$354,3,FALSE)="","",VLOOKUP(CM550,βοηθητικό!$J$2:$N$354,3,FALSE))</f>
        <v>_</v>
      </c>
      <c r="CO550" s="47"/>
      <c r="CP550" s="42" t="s">
        <v>16</v>
      </c>
      <c r="CQ550" s="43" t="str">
        <f>IF(VLOOKUP(CP550,βοηθητικό!$J$2:$N$354,3,FALSE)="","",VLOOKUP(CP550,βοηθητικό!$J$2:$N$354,3,FALSE))</f>
        <v>_</v>
      </c>
      <c r="CR550" s="44"/>
      <c r="CS550" s="45" t="s">
        <v>16</v>
      </c>
      <c r="CT550" s="46" t="str">
        <f>IF(VLOOKUP(CS550,βοηθητικό!$J$2:$N$354,3,FALSE)="","",VLOOKUP(CS550,βοηθητικό!$J$2:$N$354,3,FALSE))</f>
        <v>_</v>
      </c>
      <c r="CU550" s="47"/>
    </row>
    <row r="551" spans="1:99" x14ac:dyDescent="0.25">
      <c r="A551" s="37">
        <f>--SUBTOTAL(3,$B$3:B550)</f>
        <v>198</v>
      </c>
      <c r="B551" s="2"/>
      <c r="C551" s="3"/>
      <c r="D551" s="55" t="s">
        <v>18</v>
      </c>
      <c r="E551" s="38" t="s">
        <v>16</v>
      </c>
      <c r="F551" s="38"/>
      <c r="G551" s="39" t="str">
        <f t="shared" si="26"/>
        <v>__</v>
      </c>
      <c r="H551" s="40" t="str">
        <f t="shared" si="27"/>
        <v>FALSE</v>
      </c>
      <c r="I551" s="41">
        <f t="shared" si="28"/>
        <v>0</v>
      </c>
      <c r="J551" s="4" t="s">
        <v>16</v>
      </c>
      <c r="K551" s="43" t="str">
        <f>IF(VLOOKUP(J551,βοηθητικό!$J$2:$N$354,3,FALSE)="","",VLOOKUP(J551,βοηθητικό!$J$2:$N$354,3,FALSE))</f>
        <v>_</v>
      </c>
      <c r="L551" s="44"/>
      <c r="M551" s="5" t="s">
        <v>16</v>
      </c>
      <c r="N551" s="46" t="str">
        <f>IF(VLOOKUP(M551,βοηθητικό!$J$2:$N$354,3,FALSE)="","",VLOOKUP(M551,βοηθητικό!$J$2:$N$354,3,FALSE))</f>
        <v>_</v>
      </c>
      <c r="O551" s="47"/>
      <c r="P551" s="4" t="s">
        <v>16</v>
      </c>
      <c r="Q551" s="43" t="str">
        <f>IF(VLOOKUP(P551,βοηθητικό!$J$2:$N$354,3,FALSE)="","",VLOOKUP(P551,βοηθητικό!$J$2:$N$354,3,FALSE))</f>
        <v>_</v>
      </c>
      <c r="R551" s="44"/>
      <c r="S551" s="5" t="s">
        <v>16</v>
      </c>
      <c r="T551" s="46" t="str">
        <f>IF(VLOOKUP(S551,βοηθητικό!$J$2:$N$354,3,FALSE)="","",VLOOKUP(S551,βοηθητικό!$J$2:$N$354,3,FALSE))</f>
        <v>_</v>
      </c>
      <c r="U551" s="47"/>
      <c r="V551" s="4" t="s">
        <v>16</v>
      </c>
      <c r="W551" s="43" t="str">
        <f>IF(VLOOKUP(V551,βοηθητικό!$J$2:$N$354,3,FALSE)="","",VLOOKUP(V551,βοηθητικό!$J$2:$N$354,3,FALSE))</f>
        <v>_</v>
      </c>
      <c r="X551" s="44"/>
      <c r="Y551" s="5" t="s">
        <v>16</v>
      </c>
      <c r="Z551" s="46" t="str">
        <f>IF(VLOOKUP(Y551,βοηθητικό!$J$2:$N$354,3,FALSE)="","",VLOOKUP(Y551,βοηθητικό!$J$2:$N$354,3,FALSE))</f>
        <v>_</v>
      </c>
      <c r="AA551" s="47"/>
      <c r="AB551" s="4" t="s">
        <v>16</v>
      </c>
      <c r="AC551" s="43" t="str">
        <f>IF(VLOOKUP(AB551,βοηθητικό!$J$2:$N$354,3,FALSE)="","",VLOOKUP(AB551,βοηθητικό!$J$2:$N$354,3,FALSE))</f>
        <v>_</v>
      </c>
      <c r="AD551" s="44"/>
      <c r="AE551" s="5" t="s">
        <v>16</v>
      </c>
      <c r="AF551" s="46" t="str">
        <f>IF(VLOOKUP(AE551,βοηθητικό!$J$2:$N$354,3,FALSE)="","",VLOOKUP(AE551,βοηθητικό!$J$2:$N$354,3,FALSE))</f>
        <v>_</v>
      </c>
      <c r="AG551" s="47"/>
      <c r="AH551" s="4" t="s">
        <v>16</v>
      </c>
      <c r="AI551" s="43" t="str">
        <f>IF(VLOOKUP(AH551,βοηθητικό!$J$2:$N$354,3,FALSE)="","",VLOOKUP(AH551,βοηθητικό!$J$2:$N$354,3,FALSE))</f>
        <v>_</v>
      </c>
      <c r="AJ551" s="44"/>
      <c r="AK551" s="5" t="s">
        <v>16</v>
      </c>
      <c r="AL551" s="46" t="str">
        <f>IF(VLOOKUP(AK551,βοηθητικό!$J$2:$N$354,3,FALSE)="","",VLOOKUP(AK551,βοηθητικό!$J$2:$N$354,3,FALSE))</f>
        <v>_</v>
      </c>
      <c r="AM551" s="47"/>
      <c r="AN551" s="4" t="s">
        <v>16</v>
      </c>
      <c r="AO551" s="43" t="str">
        <f>IF(VLOOKUP(AN551,βοηθητικό!$J$2:$N$354,3,FALSE)="","",VLOOKUP(AN551,βοηθητικό!$J$2:$N$354,3,FALSE))</f>
        <v>_</v>
      </c>
      <c r="AP551" s="44"/>
      <c r="AQ551" s="5" t="s">
        <v>16</v>
      </c>
      <c r="AR551" s="46" t="str">
        <f>IF(VLOOKUP(AQ551,βοηθητικό!$J$2:$N$354,3,FALSE)="","",VLOOKUP(AQ551,βοηθητικό!$J$2:$N$354,3,FALSE))</f>
        <v>_</v>
      </c>
      <c r="AS551" s="47"/>
      <c r="AT551" s="4" t="s">
        <v>16</v>
      </c>
      <c r="AU551" s="43" t="str">
        <f>IF(VLOOKUP(AT551,βοηθητικό!$J$2:$N$354,3,FALSE)="","",VLOOKUP(AT551,βοηθητικό!$J$2:$N$354,3,FALSE))</f>
        <v>_</v>
      </c>
      <c r="AV551" s="44"/>
      <c r="AW551" s="5" t="s">
        <v>16</v>
      </c>
      <c r="AX551" s="46" t="str">
        <f>IF(VLOOKUP(AW551,βοηθητικό!$J$2:$N$354,3,FALSE)="","",VLOOKUP(AW551,βοηθητικό!$J$2:$N$354,3,FALSE))</f>
        <v>_</v>
      </c>
      <c r="AY551" s="47"/>
      <c r="AZ551" s="4" t="s">
        <v>16</v>
      </c>
      <c r="BA551" s="43" t="str">
        <f>IF(VLOOKUP(AZ551,βοηθητικό!$J$2:$N$354,3,FALSE)="","",VLOOKUP(AZ551,βοηθητικό!$J$2:$N$354,3,FALSE))</f>
        <v>_</v>
      </c>
      <c r="BB551" s="44"/>
      <c r="BC551" s="45" t="s">
        <v>16</v>
      </c>
      <c r="BD551" s="46" t="str">
        <f>IF(VLOOKUP(BC551,βοηθητικό!$J$2:$N$354,3,FALSE)="","",VLOOKUP(BC551,βοηθητικό!$J$2:$N$354,3,FALSE))</f>
        <v>_</v>
      </c>
      <c r="BE551" s="47"/>
      <c r="BF551" s="42" t="s">
        <v>16</v>
      </c>
      <c r="BG551" s="43" t="str">
        <f>IF(VLOOKUP(BF551,βοηθητικό!$J$2:$N$354,3,FALSE)="","",VLOOKUP(BF551,βοηθητικό!$J$2:$N$354,3,FALSE))</f>
        <v>_</v>
      </c>
      <c r="BH551" s="44"/>
      <c r="BI551" s="45" t="s">
        <v>16</v>
      </c>
      <c r="BJ551" s="46" t="str">
        <f>IF(VLOOKUP(BI551,βοηθητικό!$J$2:$N$354,3,FALSE)="","",VLOOKUP(BI551,βοηθητικό!$J$2:$N$354,3,FALSE))</f>
        <v>_</v>
      </c>
      <c r="BK551" s="47"/>
      <c r="BL551" s="42" t="s">
        <v>16</v>
      </c>
      <c r="BM551" s="43" t="str">
        <f>IF(VLOOKUP(BL551,βοηθητικό!$J$2:$N$354,3,FALSE)="","",VLOOKUP(BL551,βοηθητικό!$J$2:$N$354,3,FALSE))</f>
        <v>_</v>
      </c>
      <c r="BN551" s="44"/>
      <c r="BO551" s="45" t="s">
        <v>16</v>
      </c>
      <c r="BP551" s="46" t="str">
        <f>IF(VLOOKUP(BO551,βοηθητικό!$J$2:$N$354,3,FALSE)="","",VLOOKUP(BO551,βοηθητικό!$J$2:$N$354,3,FALSE))</f>
        <v>_</v>
      </c>
      <c r="BQ551" s="47"/>
      <c r="BR551" s="42" t="s">
        <v>16</v>
      </c>
      <c r="BS551" s="43" t="str">
        <f>IF(VLOOKUP(BR551,βοηθητικό!$J$2:$N$354,3,FALSE)="","",VLOOKUP(BR551,βοηθητικό!$J$2:$N$354,3,FALSE))</f>
        <v>_</v>
      </c>
      <c r="BT551" s="44"/>
      <c r="BU551" s="45" t="s">
        <v>16</v>
      </c>
      <c r="BV551" s="46" t="str">
        <f>IF(VLOOKUP(BU551,βοηθητικό!$J$2:$N$354,3,FALSE)="","",VLOOKUP(BU551,βοηθητικό!$J$2:$N$354,3,FALSE))</f>
        <v>_</v>
      </c>
      <c r="BW551" s="47"/>
      <c r="BX551" s="42" t="s">
        <v>16</v>
      </c>
      <c r="BY551" s="43" t="str">
        <f>IF(VLOOKUP(BX551,βοηθητικό!$J$2:$N$354,3,FALSE)="","",VLOOKUP(BX551,βοηθητικό!$J$2:$N$354,3,FALSE))</f>
        <v>_</v>
      </c>
      <c r="BZ551" s="44"/>
      <c r="CA551" s="45" t="s">
        <v>16</v>
      </c>
      <c r="CB551" s="46" t="str">
        <f>IF(VLOOKUP(CA551,βοηθητικό!$J$2:$N$354,3,FALSE)="","",VLOOKUP(CA551,βοηθητικό!$J$2:$N$354,3,FALSE))</f>
        <v>_</v>
      </c>
      <c r="CC551" s="47"/>
      <c r="CD551" s="42" t="s">
        <v>16</v>
      </c>
      <c r="CE551" s="43" t="str">
        <f>IF(VLOOKUP(CD551,βοηθητικό!$J$2:$N$354,3,FALSE)="","",VLOOKUP(CD551,βοηθητικό!$J$2:$N$354,3,FALSE))</f>
        <v>_</v>
      </c>
      <c r="CF551" s="44"/>
      <c r="CG551" s="45" t="s">
        <v>16</v>
      </c>
      <c r="CH551" s="46" t="str">
        <f>IF(VLOOKUP(CG551,βοηθητικό!$J$2:$N$354,3,FALSE)="","",VLOOKUP(CG551,βοηθητικό!$J$2:$N$354,3,FALSE))</f>
        <v>_</v>
      </c>
      <c r="CI551" s="47"/>
      <c r="CJ551" s="42" t="s">
        <v>16</v>
      </c>
      <c r="CK551" s="43" t="str">
        <f>IF(VLOOKUP(CJ551,βοηθητικό!$J$2:$N$354,3,FALSE)="","",VLOOKUP(CJ551,βοηθητικό!$J$2:$N$354,3,FALSE))</f>
        <v>_</v>
      </c>
      <c r="CL551" s="44"/>
      <c r="CM551" s="45" t="s">
        <v>16</v>
      </c>
      <c r="CN551" s="46" t="str">
        <f>IF(VLOOKUP(CM551,βοηθητικό!$J$2:$N$354,3,FALSE)="","",VLOOKUP(CM551,βοηθητικό!$J$2:$N$354,3,FALSE))</f>
        <v>_</v>
      </c>
      <c r="CO551" s="47"/>
      <c r="CP551" s="42" t="s">
        <v>16</v>
      </c>
      <c r="CQ551" s="43" t="str">
        <f>IF(VLOOKUP(CP551,βοηθητικό!$J$2:$N$354,3,FALSE)="","",VLOOKUP(CP551,βοηθητικό!$J$2:$N$354,3,FALSE))</f>
        <v>_</v>
      </c>
      <c r="CR551" s="44"/>
      <c r="CS551" s="45" t="s">
        <v>16</v>
      </c>
      <c r="CT551" s="46" t="str">
        <f>IF(VLOOKUP(CS551,βοηθητικό!$J$2:$N$354,3,FALSE)="","",VLOOKUP(CS551,βοηθητικό!$J$2:$N$354,3,FALSE))</f>
        <v>_</v>
      </c>
      <c r="CU551" s="47"/>
    </row>
    <row r="552" spans="1:99" x14ac:dyDescent="0.25">
      <c r="A552" s="37">
        <f>--SUBTOTAL(3,$B$3:B551)</f>
        <v>198</v>
      </c>
      <c r="B552" s="2"/>
      <c r="C552" s="3"/>
      <c r="D552" s="55" t="s">
        <v>18</v>
      </c>
      <c r="E552" s="38" t="s">
        <v>16</v>
      </c>
      <c r="F552" s="38"/>
      <c r="G552" s="39" t="str">
        <f t="shared" si="26"/>
        <v>__</v>
      </c>
      <c r="H552" s="40" t="str">
        <f t="shared" si="27"/>
        <v>FALSE</v>
      </c>
      <c r="I552" s="41">
        <f t="shared" si="28"/>
        <v>0</v>
      </c>
      <c r="J552" s="4" t="s">
        <v>16</v>
      </c>
      <c r="K552" s="43" t="str">
        <f>IF(VLOOKUP(J552,βοηθητικό!$J$2:$N$354,3,FALSE)="","",VLOOKUP(J552,βοηθητικό!$J$2:$N$354,3,FALSE))</f>
        <v>_</v>
      </c>
      <c r="L552" s="44"/>
      <c r="M552" s="5" t="s">
        <v>16</v>
      </c>
      <c r="N552" s="46" t="str">
        <f>IF(VLOOKUP(M552,βοηθητικό!$J$2:$N$354,3,FALSE)="","",VLOOKUP(M552,βοηθητικό!$J$2:$N$354,3,FALSE))</f>
        <v>_</v>
      </c>
      <c r="O552" s="47"/>
      <c r="P552" s="4" t="s">
        <v>16</v>
      </c>
      <c r="Q552" s="43" t="str">
        <f>IF(VLOOKUP(P552,βοηθητικό!$J$2:$N$354,3,FALSE)="","",VLOOKUP(P552,βοηθητικό!$J$2:$N$354,3,FALSE))</f>
        <v>_</v>
      </c>
      <c r="R552" s="44"/>
      <c r="S552" s="5" t="s">
        <v>16</v>
      </c>
      <c r="T552" s="46" t="str">
        <f>IF(VLOOKUP(S552,βοηθητικό!$J$2:$N$354,3,FALSE)="","",VLOOKUP(S552,βοηθητικό!$J$2:$N$354,3,FALSE))</f>
        <v>_</v>
      </c>
      <c r="U552" s="47"/>
      <c r="V552" s="4" t="s">
        <v>16</v>
      </c>
      <c r="W552" s="43" t="str">
        <f>IF(VLOOKUP(V552,βοηθητικό!$J$2:$N$354,3,FALSE)="","",VLOOKUP(V552,βοηθητικό!$J$2:$N$354,3,FALSE))</f>
        <v>_</v>
      </c>
      <c r="X552" s="44"/>
      <c r="Y552" s="5" t="s">
        <v>16</v>
      </c>
      <c r="Z552" s="46" t="str">
        <f>IF(VLOOKUP(Y552,βοηθητικό!$J$2:$N$354,3,FALSE)="","",VLOOKUP(Y552,βοηθητικό!$J$2:$N$354,3,FALSE))</f>
        <v>_</v>
      </c>
      <c r="AA552" s="47"/>
      <c r="AB552" s="4" t="s">
        <v>16</v>
      </c>
      <c r="AC552" s="43" t="str">
        <f>IF(VLOOKUP(AB552,βοηθητικό!$J$2:$N$354,3,FALSE)="","",VLOOKUP(AB552,βοηθητικό!$J$2:$N$354,3,FALSE))</f>
        <v>_</v>
      </c>
      <c r="AD552" s="44"/>
      <c r="AE552" s="5" t="s">
        <v>16</v>
      </c>
      <c r="AF552" s="46" t="str">
        <f>IF(VLOOKUP(AE552,βοηθητικό!$J$2:$N$354,3,FALSE)="","",VLOOKUP(AE552,βοηθητικό!$J$2:$N$354,3,FALSE))</f>
        <v>_</v>
      </c>
      <c r="AG552" s="47"/>
      <c r="AH552" s="4" t="s">
        <v>16</v>
      </c>
      <c r="AI552" s="43" t="str">
        <f>IF(VLOOKUP(AH552,βοηθητικό!$J$2:$N$354,3,FALSE)="","",VLOOKUP(AH552,βοηθητικό!$J$2:$N$354,3,FALSE))</f>
        <v>_</v>
      </c>
      <c r="AJ552" s="44"/>
      <c r="AK552" s="5" t="s">
        <v>16</v>
      </c>
      <c r="AL552" s="46" t="str">
        <f>IF(VLOOKUP(AK552,βοηθητικό!$J$2:$N$354,3,FALSE)="","",VLOOKUP(AK552,βοηθητικό!$J$2:$N$354,3,FALSE))</f>
        <v>_</v>
      </c>
      <c r="AM552" s="47"/>
      <c r="AN552" s="4" t="s">
        <v>16</v>
      </c>
      <c r="AO552" s="43" t="str">
        <f>IF(VLOOKUP(AN552,βοηθητικό!$J$2:$N$354,3,FALSE)="","",VLOOKUP(AN552,βοηθητικό!$J$2:$N$354,3,FALSE))</f>
        <v>_</v>
      </c>
      <c r="AP552" s="44"/>
      <c r="AQ552" s="5" t="s">
        <v>16</v>
      </c>
      <c r="AR552" s="46" t="str">
        <f>IF(VLOOKUP(AQ552,βοηθητικό!$J$2:$N$354,3,FALSE)="","",VLOOKUP(AQ552,βοηθητικό!$J$2:$N$354,3,FALSE))</f>
        <v>_</v>
      </c>
      <c r="AS552" s="47"/>
      <c r="AT552" s="4" t="s">
        <v>16</v>
      </c>
      <c r="AU552" s="43" t="str">
        <f>IF(VLOOKUP(AT552,βοηθητικό!$J$2:$N$354,3,FALSE)="","",VLOOKUP(AT552,βοηθητικό!$J$2:$N$354,3,FALSE))</f>
        <v>_</v>
      </c>
      <c r="AV552" s="44"/>
      <c r="AW552" s="5" t="s">
        <v>16</v>
      </c>
      <c r="AX552" s="46" t="str">
        <f>IF(VLOOKUP(AW552,βοηθητικό!$J$2:$N$354,3,FALSE)="","",VLOOKUP(AW552,βοηθητικό!$J$2:$N$354,3,FALSE))</f>
        <v>_</v>
      </c>
      <c r="AY552" s="47"/>
      <c r="AZ552" s="4" t="s">
        <v>16</v>
      </c>
      <c r="BA552" s="43" t="str">
        <f>IF(VLOOKUP(AZ552,βοηθητικό!$J$2:$N$354,3,FALSE)="","",VLOOKUP(AZ552,βοηθητικό!$J$2:$N$354,3,FALSE))</f>
        <v>_</v>
      </c>
      <c r="BB552" s="44"/>
      <c r="BC552" s="45" t="s">
        <v>16</v>
      </c>
      <c r="BD552" s="46" t="str">
        <f>IF(VLOOKUP(BC552,βοηθητικό!$J$2:$N$354,3,FALSE)="","",VLOOKUP(BC552,βοηθητικό!$J$2:$N$354,3,FALSE))</f>
        <v>_</v>
      </c>
      <c r="BE552" s="47"/>
      <c r="BF552" s="42" t="s">
        <v>16</v>
      </c>
      <c r="BG552" s="43" t="str">
        <f>IF(VLOOKUP(BF552,βοηθητικό!$J$2:$N$354,3,FALSE)="","",VLOOKUP(BF552,βοηθητικό!$J$2:$N$354,3,FALSE))</f>
        <v>_</v>
      </c>
      <c r="BH552" s="44"/>
      <c r="BI552" s="45" t="s">
        <v>16</v>
      </c>
      <c r="BJ552" s="46" t="str">
        <f>IF(VLOOKUP(BI552,βοηθητικό!$J$2:$N$354,3,FALSE)="","",VLOOKUP(BI552,βοηθητικό!$J$2:$N$354,3,FALSE))</f>
        <v>_</v>
      </c>
      <c r="BK552" s="47"/>
      <c r="BL552" s="42" t="s">
        <v>16</v>
      </c>
      <c r="BM552" s="43" t="str">
        <f>IF(VLOOKUP(BL552,βοηθητικό!$J$2:$N$354,3,FALSE)="","",VLOOKUP(BL552,βοηθητικό!$J$2:$N$354,3,FALSE))</f>
        <v>_</v>
      </c>
      <c r="BN552" s="44"/>
      <c r="BO552" s="45" t="s">
        <v>16</v>
      </c>
      <c r="BP552" s="46" t="str">
        <f>IF(VLOOKUP(BO552,βοηθητικό!$J$2:$N$354,3,FALSE)="","",VLOOKUP(BO552,βοηθητικό!$J$2:$N$354,3,FALSE))</f>
        <v>_</v>
      </c>
      <c r="BQ552" s="47"/>
      <c r="BR552" s="42" t="s">
        <v>16</v>
      </c>
      <c r="BS552" s="43" t="str">
        <f>IF(VLOOKUP(BR552,βοηθητικό!$J$2:$N$354,3,FALSE)="","",VLOOKUP(BR552,βοηθητικό!$J$2:$N$354,3,FALSE))</f>
        <v>_</v>
      </c>
      <c r="BT552" s="44"/>
      <c r="BU552" s="45" t="s">
        <v>16</v>
      </c>
      <c r="BV552" s="46" t="str">
        <f>IF(VLOOKUP(BU552,βοηθητικό!$J$2:$N$354,3,FALSE)="","",VLOOKUP(BU552,βοηθητικό!$J$2:$N$354,3,FALSE))</f>
        <v>_</v>
      </c>
      <c r="BW552" s="47"/>
      <c r="BX552" s="42" t="s">
        <v>16</v>
      </c>
      <c r="BY552" s="43" t="str">
        <f>IF(VLOOKUP(BX552,βοηθητικό!$J$2:$N$354,3,FALSE)="","",VLOOKUP(BX552,βοηθητικό!$J$2:$N$354,3,FALSE))</f>
        <v>_</v>
      </c>
      <c r="BZ552" s="44"/>
      <c r="CA552" s="45" t="s">
        <v>16</v>
      </c>
      <c r="CB552" s="46" t="str">
        <f>IF(VLOOKUP(CA552,βοηθητικό!$J$2:$N$354,3,FALSE)="","",VLOOKUP(CA552,βοηθητικό!$J$2:$N$354,3,FALSE))</f>
        <v>_</v>
      </c>
      <c r="CC552" s="47"/>
      <c r="CD552" s="42" t="s">
        <v>16</v>
      </c>
      <c r="CE552" s="43" t="str">
        <f>IF(VLOOKUP(CD552,βοηθητικό!$J$2:$N$354,3,FALSE)="","",VLOOKUP(CD552,βοηθητικό!$J$2:$N$354,3,FALSE))</f>
        <v>_</v>
      </c>
      <c r="CF552" s="44"/>
      <c r="CG552" s="45" t="s">
        <v>16</v>
      </c>
      <c r="CH552" s="46" t="str">
        <f>IF(VLOOKUP(CG552,βοηθητικό!$J$2:$N$354,3,FALSE)="","",VLOOKUP(CG552,βοηθητικό!$J$2:$N$354,3,FALSE))</f>
        <v>_</v>
      </c>
      <c r="CI552" s="47"/>
      <c r="CJ552" s="42" t="s">
        <v>16</v>
      </c>
      <c r="CK552" s="43" t="str">
        <f>IF(VLOOKUP(CJ552,βοηθητικό!$J$2:$N$354,3,FALSE)="","",VLOOKUP(CJ552,βοηθητικό!$J$2:$N$354,3,FALSE))</f>
        <v>_</v>
      </c>
      <c r="CL552" s="44"/>
      <c r="CM552" s="45" t="s">
        <v>16</v>
      </c>
      <c r="CN552" s="46" t="str">
        <f>IF(VLOOKUP(CM552,βοηθητικό!$J$2:$N$354,3,FALSE)="","",VLOOKUP(CM552,βοηθητικό!$J$2:$N$354,3,FALSE))</f>
        <v>_</v>
      </c>
      <c r="CO552" s="47"/>
      <c r="CP552" s="42" t="s">
        <v>16</v>
      </c>
      <c r="CQ552" s="43" t="str">
        <f>IF(VLOOKUP(CP552,βοηθητικό!$J$2:$N$354,3,FALSE)="","",VLOOKUP(CP552,βοηθητικό!$J$2:$N$354,3,FALSE))</f>
        <v>_</v>
      </c>
      <c r="CR552" s="44"/>
      <c r="CS552" s="45" t="s">
        <v>16</v>
      </c>
      <c r="CT552" s="46" t="str">
        <f>IF(VLOOKUP(CS552,βοηθητικό!$J$2:$N$354,3,FALSE)="","",VLOOKUP(CS552,βοηθητικό!$J$2:$N$354,3,FALSE))</f>
        <v>_</v>
      </c>
      <c r="CU552" s="47"/>
    </row>
    <row r="553" spans="1:99" x14ac:dyDescent="0.25">
      <c r="A553" s="37">
        <f>--SUBTOTAL(3,$B$3:B552)</f>
        <v>198</v>
      </c>
      <c r="B553" s="2"/>
      <c r="C553" s="3"/>
      <c r="D553" s="55" t="s">
        <v>18</v>
      </c>
      <c r="E553" s="38" t="s">
        <v>16</v>
      </c>
      <c r="F553" s="38"/>
      <c r="G553" s="39" t="str">
        <f t="shared" si="26"/>
        <v>__</v>
      </c>
      <c r="H553" s="40" t="str">
        <f t="shared" si="27"/>
        <v>FALSE</v>
      </c>
      <c r="I553" s="41">
        <f t="shared" si="28"/>
        <v>0</v>
      </c>
      <c r="J553" s="4" t="s">
        <v>16</v>
      </c>
      <c r="K553" s="43" t="str">
        <f>IF(VLOOKUP(J553,βοηθητικό!$J$2:$N$354,3,FALSE)="","",VLOOKUP(J553,βοηθητικό!$J$2:$N$354,3,FALSE))</f>
        <v>_</v>
      </c>
      <c r="L553" s="44"/>
      <c r="M553" s="5" t="s">
        <v>16</v>
      </c>
      <c r="N553" s="46" t="str">
        <f>IF(VLOOKUP(M553,βοηθητικό!$J$2:$N$354,3,FALSE)="","",VLOOKUP(M553,βοηθητικό!$J$2:$N$354,3,FALSE))</f>
        <v>_</v>
      </c>
      <c r="O553" s="47"/>
      <c r="P553" s="4" t="s">
        <v>16</v>
      </c>
      <c r="Q553" s="43" t="str">
        <f>IF(VLOOKUP(P553,βοηθητικό!$J$2:$N$354,3,FALSE)="","",VLOOKUP(P553,βοηθητικό!$J$2:$N$354,3,FALSE))</f>
        <v>_</v>
      </c>
      <c r="R553" s="44"/>
      <c r="S553" s="5" t="s">
        <v>16</v>
      </c>
      <c r="T553" s="46" t="str">
        <f>IF(VLOOKUP(S553,βοηθητικό!$J$2:$N$354,3,FALSE)="","",VLOOKUP(S553,βοηθητικό!$J$2:$N$354,3,FALSE))</f>
        <v>_</v>
      </c>
      <c r="U553" s="47"/>
      <c r="V553" s="4" t="s">
        <v>16</v>
      </c>
      <c r="W553" s="43" t="str">
        <f>IF(VLOOKUP(V553,βοηθητικό!$J$2:$N$354,3,FALSE)="","",VLOOKUP(V553,βοηθητικό!$J$2:$N$354,3,FALSE))</f>
        <v>_</v>
      </c>
      <c r="X553" s="44"/>
      <c r="Y553" s="5" t="s">
        <v>16</v>
      </c>
      <c r="Z553" s="46" t="str">
        <f>IF(VLOOKUP(Y553,βοηθητικό!$J$2:$N$354,3,FALSE)="","",VLOOKUP(Y553,βοηθητικό!$J$2:$N$354,3,FALSE))</f>
        <v>_</v>
      </c>
      <c r="AA553" s="47"/>
      <c r="AB553" s="4" t="s">
        <v>16</v>
      </c>
      <c r="AC553" s="43" t="str">
        <f>IF(VLOOKUP(AB553,βοηθητικό!$J$2:$N$354,3,FALSE)="","",VLOOKUP(AB553,βοηθητικό!$J$2:$N$354,3,FALSE))</f>
        <v>_</v>
      </c>
      <c r="AD553" s="44"/>
      <c r="AE553" s="5" t="s">
        <v>16</v>
      </c>
      <c r="AF553" s="46" t="str">
        <f>IF(VLOOKUP(AE553,βοηθητικό!$J$2:$N$354,3,FALSE)="","",VLOOKUP(AE553,βοηθητικό!$J$2:$N$354,3,FALSE))</f>
        <v>_</v>
      </c>
      <c r="AG553" s="47"/>
      <c r="AH553" s="4" t="s">
        <v>16</v>
      </c>
      <c r="AI553" s="43" t="str">
        <f>IF(VLOOKUP(AH553,βοηθητικό!$J$2:$N$354,3,FALSE)="","",VLOOKUP(AH553,βοηθητικό!$J$2:$N$354,3,FALSE))</f>
        <v>_</v>
      </c>
      <c r="AJ553" s="44"/>
      <c r="AK553" s="5" t="s">
        <v>16</v>
      </c>
      <c r="AL553" s="46" t="str">
        <f>IF(VLOOKUP(AK553,βοηθητικό!$J$2:$N$354,3,FALSE)="","",VLOOKUP(AK553,βοηθητικό!$J$2:$N$354,3,FALSE))</f>
        <v>_</v>
      </c>
      <c r="AM553" s="47"/>
      <c r="AN553" s="4" t="s">
        <v>16</v>
      </c>
      <c r="AO553" s="43" t="str">
        <f>IF(VLOOKUP(AN553,βοηθητικό!$J$2:$N$354,3,FALSE)="","",VLOOKUP(AN553,βοηθητικό!$J$2:$N$354,3,FALSE))</f>
        <v>_</v>
      </c>
      <c r="AP553" s="44"/>
      <c r="AQ553" s="5" t="s">
        <v>16</v>
      </c>
      <c r="AR553" s="46" t="str">
        <f>IF(VLOOKUP(AQ553,βοηθητικό!$J$2:$N$354,3,FALSE)="","",VLOOKUP(AQ553,βοηθητικό!$J$2:$N$354,3,FALSE))</f>
        <v>_</v>
      </c>
      <c r="AS553" s="47"/>
      <c r="AT553" s="4" t="s">
        <v>16</v>
      </c>
      <c r="AU553" s="43" t="str">
        <f>IF(VLOOKUP(AT553,βοηθητικό!$J$2:$N$354,3,FALSE)="","",VLOOKUP(AT553,βοηθητικό!$J$2:$N$354,3,FALSE))</f>
        <v>_</v>
      </c>
      <c r="AV553" s="44"/>
      <c r="AW553" s="5" t="s">
        <v>16</v>
      </c>
      <c r="AX553" s="46" t="str">
        <f>IF(VLOOKUP(AW553,βοηθητικό!$J$2:$N$354,3,FALSE)="","",VLOOKUP(AW553,βοηθητικό!$J$2:$N$354,3,FALSE))</f>
        <v>_</v>
      </c>
      <c r="AY553" s="47"/>
      <c r="AZ553" s="4" t="s">
        <v>16</v>
      </c>
      <c r="BA553" s="43" t="str">
        <f>IF(VLOOKUP(AZ553,βοηθητικό!$J$2:$N$354,3,FALSE)="","",VLOOKUP(AZ553,βοηθητικό!$J$2:$N$354,3,FALSE))</f>
        <v>_</v>
      </c>
      <c r="BB553" s="44"/>
      <c r="BC553" s="45" t="s">
        <v>16</v>
      </c>
      <c r="BD553" s="46" t="str">
        <f>IF(VLOOKUP(BC553,βοηθητικό!$J$2:$N$354,3,FALSE)="","",VLOOKUP(BC553,βοηθητικό!$J$2:$N$354,3,FALSE))</f>
        <v>_</v>
      </c>
      <c r="BE553" s="47"/>
      <c r="BF553" s="42" t="s">
        <v>16</v>
      </c>
      <c r="BG553" s="43" t="str">
        <f>IF(VLOOKUP(BF553,βοηθητικό!$J$2:$N$354,3,FALSE)="","",VLOOKUP(BF553,βοηθητικό!$J$2:$N$354,3,FALSE))</f>
        <v>_</v>
      </c>
      <c r="BH553" s="44"/>
      <c r="BI553" s="45" t="s">
        <v>16</v>
      </c>
      <c r="BJ553" s="46" t="str">
        <f>IF(VLOOKUP(BI553,βοηθητικό!$J$2:$N$354,3,FALSE)="","",VLOOKUP(BI553,βοηθητικό!$J$2:$N$354,3,FALSE))</f>
        <v>_</v>
      </c>
      <c r="BK553" s="47"/>
      <c r="BL553" s="42" t="s">
        <v>16</v>
      </c>
      <c r="BM553" s="43" t="str">
        <f>IF(VLOOKUP(BL553,βοηθητικό!$J$2:$N$354,3,FALSE)="","",VLOOKUP(BL553,βοηθητικό!$J$2:$N$354,3,FALSE))</f>
        <v>_</v>
      </c>
      <c r="BN553" s="44"/>
      <c r="BO553" s="45" t="s">
        <v>16</v>
      </c>
      <c r="BP553" s="46" t="str">
        <f>IF(VLOOKUP(BO553,βοηθητικό!$J$2:$N$354,3,FALSE)="","",VLOOKUP(BO553,βοηθητικό!$J$2:$N$354,3,FALSE))</f>
        <v>_</v>
      </c>
      <c r="BQ553" s="47"/>
      <c r="BR553" s="42" t="s">
        <v>16</v>
      </c>
      <c r="BS553" s="43" t="str">
        <f>IF(VLOOKUP(BR553,βοηθητικό!$J$2:$N$354,3,FALSE)="","",VLOOKUP(BR553,βοηθητικό!$J$2:$N$354,3,FALSE))</f>
        <v>_</v>
      </c>
      <c r="BT553" s="44"/>
      <c r="BU553" s="45" t="s">
        <v>16</v>
      </c>
      <c r="BV553" s="46" t="str">
        <f>IF(VLOOKUP(BU553,βοηθητικό!$J$2:$N$354,3,FALSE)="","",VLOOKUP(BU553,βοηθητικό!$J$2:$N$354,3,FALSE))</f>
        <v>_</v>
      </c>
      <c r="BW553" s="47"/>
      <c r="BX553" s="42" t="s">
        <v>16</v>
      </c>
      <c r="BY553" s="43" t="str">
        <f>IF(VLOOKUP(BX553,βοηθητικό!$J$2:$N$354,3,FALSE)="","",VLOOKUP(BX553,βοηθητικό!$J$2:$N$354,3,FALSE))</f>
        <v>_</v>
      </c>
      <c r="BZ553" s="44"/>
      <c r="CA553" s="45" t="s">
        <v>16</v>
      </c>
      <c r="CB553" s="46" t="str">
        <f>IF(VLOOKUP(CA553,βοηθητικό!$J$2:$N$354,3,FALSE)="","",VLOOKUP(CA553,βοηθητικό!$J$2:$N$354,3,FALSE))</f>
        <v>_</v>
      </c>
      <c r="CC553" s="47"/>
      <c r="CD553" s="42" t="s">
        <v>16</v>
      </c>
      <c r="CE553" s="43" t="str">
        <f>IF(VLOOKUP(CD553,βοηθητικό!$J$2:$N$354,3,FALSE)="","",VLOOKUP(CD553,βοηθητικό!$J$2:$N$354,3,FALSE))</f>
        <v>_</v>
      </c>
      <c r="CF553" s="44"/>
      <c r="CG553" s="45" t="s">
        <v>16</v>
      </c>
      <c r="CH553" s="46" t="str">
        <f>IF(VLOOKUP(CG553,βοηθητικό!$J$2:$N$354,3,FALSE)="","",VLOOKUP(CG553,βοηθητικό!$J$2:$N$354,3,FALSE))</f>
        <v>_</v>
      </c>
      <c r="CI553" s="47"/>
      <c r="CJ553" s="42" t="s">
        <v>16</v>
      </c>
      <c r="CK553" s="43" t="str">
        <f>IF(VLOOKUP(CJ553,βοηθητικό!$J$2:$N$354,3,FALSE)="","",VLOOKUP(CJ553,βοηθητικό!$J$2:$N$354,3,FALSE))</f>
        <v>_</v>
      </c>
      <c r="CL553" s="44"/>
      <c r="CM553" s="45" t="s">
        <v>16</v>
      </c>
      <c r="CN553" s="46" t="str">
        <f>IF(VLOOKUP(CM553,βοηθητικό!$J$2:$N$354,3,FALSE)="","",VLOOKUP(CM553,βοηθητικό!$J$2:$N$354,3,FALSE))</f>
        <v>_</v>
      </c>
      <c r="CO553" s="47"/>
      <c r="CP553" s="42" t="s">
        <v>16</v>
      </c>
      <c r="CQ553" s="43" t="str">
        <f>IF(VLOOKUP(CP553,βοηθητικό!$J$2:$N$354,3,FALSE)="","",VLOOKUP(CP553,βοηθητικό!$J$2:$N$354,3,FALSE))</f>
        <v>_</v>
      </c>
      <c r="CR553" s="44"/>
      <c r="CS553" s="45" t="s">
        <v>16</v>
      </c>
      <c r="CT553" s="46" t="str">
        <f>IF(VLOOKUP(CS553,βοηθητικό!$J$2:$N$354,3,FALSE)="","",VLOOKUP(CS553,βοηθητικό!$J$2:$N$354,3,FALSE))</f>
        <v>_</v>
      </c>
      <c r="CU553" s="47"/>
    </row>
    <row r="554" spans="1:99" x14ac:dyDescent="0.25">
      <c r="A554" s="37">
        <f>--SUBTOTAL(3,$B$3:B553)</f>
        <v>198</v>
      </c>
      <c r="B554" s="2"/>
      <c r="C554" s="3"/>
      <c r="D554" s="55" t="s">
        <v>18</v>
      </c>
      <c r="E554" s="38" t="s">
        <v>16</v>
      </c>
      <c r="F554" s="38"/>
      <c r="G554" s="39" t="str">
        <f t="shared" si="26"/>
        <v>__</v>
      </c>
      <c r="H554" s="40" t="str">
        <f t="shared" si="27"/>
        <v>FALSE</v>
      </c>
      <c r="I554" s="41">
        <f t="shared" si="28"/>
        <v>0</v>
      </c>
      <c r="J554" s="4" t="s">
        <v>16</v>
      </c>
      <c r="K554" s="43" t="str">
        <f>IF(VLOOKUP(J554,βοηθητικό!$J$2:$N$354,3,FALSE)="","",VLOOKUP(J554,βοηθητικό!$J$2:$N$354,3,FALSE))</f>
        <v>_</v>
      </c>
      <c r="L554" s="44"/>
      <c r="M554" s="5" t="s">
        <v>16</v>
      </c>
      <c r="N554" s="46" t="str">
        <f>IF(VLOOKUP(M554,βοηθητικό!$J$2:$N$354,3,FALSE)="","",VLOOKUP(M554,βοηθητικό!$J$2:$N$354,3,FALSE))</f>
        <v>_</v>
      </c>
      <c r="O554" s="47"/>
      <c r="P554" s="4" t="s">
        <v>16</v>
      </c>
      <c r="Q554" s="43" t="str">
        <f>IF(VLOOKUP(P554,βοηθητικό!$J$2:$N$354,3,FALSE)="","",VLOOKUP(P554,βοηθητικό!$J$2:$N$354,3,FALSE))</f>
        <v>_</v>
      </c>
      <c r="R554" s="44"/>
      <c r="S554" s="5" t="s">
        <v>16</v>
      </c>
      <c r="T554" s="46" t="str">
        <f>IF(VLOOKUP(S554,βοηθητικό!$J$2:$N$354,3,FALSE)="","",VLOOKUP(S554,βοηθητικό!$J$2:$N$354,3,FALSE))</f>
        <v>_</v>
      </c>
      <c r="U554" s="47"/>
      <c r="V554" s="4" t="s">
        <v>16</v>
      </c>
      <c r="W554" s="43" t="str">
        <f>IF(VLOOKUP(V554,βοηθητικό!$J$2:$N$354,3,FALSE)="","",VLOOKUP(V554,βοηθητικό!$J$2:$N$354,3,FALSE))</f>
        <v>_</v>
      </c>
      <c r="X554" s="44"/>
      <c r="Y554" s="5" t="s">
        <v>16</v>
      </c>
      <c r="Z554" s="46" t="str">
        <f>IF(VLOOKUP(Y554,βοηθητικό!$J$2:$N$354,3,FALSE)="","",VLOOKUP(Y554,βοηθητικό!$J$2:$N$354,3,FALSE))</f>
        <v>_</v>
      </c>
      <c r="AA554" s="47"/>
      <c r="AB554" s="4" t="s">
        <v>16</v>
      </c>
      <c r="AC554" s="43" t="str">
        <f>IF(VLOOKUP(AB554,βοηθητικό!$J$2:$N$354,3,FALSE)="","",VLOOKUP(AB554,βοηθητικό!$J$2:$N$354,3,FALSE))</f>
        <v>_</v>
      </c>
      <c r="AD554" s="44"/>
      <c r="AE554" s="5" t="s">
        <v>16</v>
      </c>
      <c r="AF554" s="46" t="str">
        <f>IF(VLOOKUP(AE554,βοηθητικό!$J$2:$N$354,3,FALSE)="","",VLOOKUP(AE554,βοηθητικό!$J$2:$N$354,3,FALSE))</f>
        <v>_</v>
      </c>
      <c r="AG554" s="47"/>
      <c r="AH554" s="4" t="s">
        <v>16</v>
      </c>
      <c r="AI554" s="43" t="str">
        <f>IF(VLOOKUP(AH554,βοηθητικό!$J$2:$N$354,3,FALSE)="","",VLOOKUP(AH554,βοηθητικό!$J$2:$N$354,3,FALSE))</f>
        <v>_</v>
      </c>
      <c r="AJ554" s="44"/>
      <c r="AK554" s="5" t="s">
        <v>16</v>
      </c>
      <c r="AL554" s="46" t="str">
        <f>IF(VLOOKUP(AK554,βοηθητικό!$J$2:$N$354,3,FALSE)="","",VLOOKUP(AK554,βοηθητικό!$J$2:$N$354,3,FALSE))</f>
        <v>_</v>
      </c>
      <c r="AM554" s="47"/>
      <c r="AN554" s="4" t="s">
        <v>16</v>
      </c>
      <c r="AO554" s="43" t="str">
        <f>IF(VLOOKUP(AN554,βοηθητικό!$J$2:$N$354,3,FALSE)="","",VLOOKUP(AN554,βοηθητικό!$J$2:$N$354,3,FALSE))</f>
        <v>_</v>
      </c>
      <c r="AP554" s="44"/>
      <c r="AQ554" s="5" t="s">
        <v>16</v>
      </c>
      <c r="AR554" s="46" t="str">
        <f>IF(VLOOKUP(AQ554,βοηθητικό!$J$2:$N$354,3,FALSE)="","",VLOOKUP(AQ554,βοηθητικό!$J$2:$N$354,3,FALSE))</f>
        <v>_</v>
      </c>
      <c r="AS554" s="47"/>
      <c r="AT554" s="4" t="s">
        <v>16</v>
      </c>
      <c r="AU554" s="43" t="str">
        <f>IF(VLOOKUP(AT554,βοηθητικό!$J$2:$N$354,3,FALSE)="","",VLOOKUP(AT554,βοηθητικό!$J$2:$N$354,3,FALSE))</f>
        <v>_</v>
      </c>
      <c r="AV554" s="44"/>
      <c r="AW554" s="5" t="s">
        <v>16</v>
      </c>
      <c r="AX554" s="46" t="str">
        <f>IF(VLOOKUP(AW554,βοηθητικό!$J$2:$N$354,3,FALSE)="","",VLOOKUP(AW554,βοηθητικό!$J$2:$N$354,3,FALSE))</f>
        <v>_</v>
      </c>
      <c r="AY554" s="47"/>
      <c r="AZ554" s="4" t="s">
        <v>16</v>
      </c>
      <c r="BA554" s="43" t="str">
        <f>IF(VLOOKUP(AZ554,βοηθητικό!$J$2:$N$354,3,FALSE)="","",VLOOKUP(AZ554,βοηθητικό!$J$2:$N$354,3,FALSE))</f>
        <v>_</v>
      </c>
      <c r="BB554" s="44"/>
      <c r="BC554" s="45" t="s">
        <v>16</v>
      </c>
      <c r="BD554" s="46" t="str">
        <f>IF(VLOOKUP(BC554,βοηθητικό!$J$2:$N$354,3,FALSE)="","",VLOOKUP(BC554,βοηθητικό!$J$2:$N$354,3,FALSE))</f>
        <v>_</v>
      </c>
      <c r="BE554" s="47"/>
      <c r="BF554" s="42" t="s">
        <v>16</v>
      </c>
      <c r="BG554" s="43" t="str">
        <f>IF(VLOOKUP(BF554,βοηθητικό!$J$2:$N$354,3,FALSE)="","",VLOOKUP(BF554,βοηθητικό!$J$2:$N$354,3,FALSE))</f>
        <v>_</v>
      </c>
      <c r="BH554" s="44"/>
      <c r="BI554" s="45" t="s">
        <v>16</v>
      </c>
      <c r="BJ554" s="46" t="str">
        <f>IF(VLOOKUP(BI554,βοηθητικό!$J$2:$N$354,3,FALSE)="","",VLOOKUP(BI554,βοηθητικό!$J$2:$N$354,3,FALSE))</f>
        <v>_</v>
      </c>
      <c r="BK554" s="47"/>
      <c r="BL554" s="42" t="s">
        <v>16</v>
      </c>
      <c r="BM554" s="43" t="str">
        <f>IF(VLOOKUP(BL554,βοηθητικό!$J$2:$N$354,3,FALSE)="","",VLOOKUP(BL554,βοηθητικό!$J$2:$N$354,3,FALSE))</f>
        <v>_</v>
      </c>
      <c r="BN554" s="44"/>
      <c r="BO554" s="45" t="s">
        <v>16</v>
      </c>
      <c r="BP554" s="46" t="str">
        <f>IF(VLOOKUP(BO554,βοηθητικό!$J$2:$N$354,3,FALSE)="","",VLOOKUP(BO554,βοηθητικό!$J$2:$N$354,3,FALSE))</f>
        <v>_</v>
      </c>
      <c r="BQ554" s="47"/>
      <c r="BR554" s="42" t="s">
        <v>16</v>
      </c>
      <c r="BS554" s="43" t="str">
        <f>IF(VLOOKUP(BR554,βοηθητικό!$J$2:$N$354,3,FALSE)="","",VLOOKUP(BR554,βοηθητικό!$J$2:$N$354,3,FALSE))</f>
        <v>_</v>
      </c>
      <c r="BT554" s="44"/>
      <c r="BU554" s="45" t="s">
        <v>16</v>
      </c>
      <c r="BV554" s="46" t="str">
        <f>IF(VLOOKUP(BU554,βοηθητικό!$J$2:$N$354,3,FALSE)="","",VLOOKUP(BU554,βοηθητικό!$J$2:$N$354,3,FALSE))</f>
        <v>_</v>
      </c>
      <c r="BW554" s="47"/>
      <c r="BX554" s="42" t="s">
        <v>16</v>
      </c>
      <c r="BY554" s="43" t="str">
        <f>IF(VLOOKUP(BX554,βοηθητικό!$J$2:$N$354,3,FALSE)="","",VLOOKUP(BX554,βοηθητικό!$J$2:$N$354,3,FALSE))</f>
        <v>_</v>
      </c>
      <c r="BZ554" s="44"/>
      <c r="CA554" s="45" t="s">
        <v>16</v>
      </c>
      <c r="CB554" s="46" t="str">
        <f>IF(VLOOKUP(CA554,βοηθητικό!$J$2:$N$354,3,FALSE)="","",VLOOKUP(CA554,βοηθητικό!$J$2:$N$354,3,FALSE))</f>
        <v>_</v>
      </c>
      <c r="CC554" s="47"/>
      <c r="CD554" s="42" t="s">
        <v>16</v>
      </c>
      <c r="CE554" s="43" t="str">
        <f>IF(VLOOKUP(CD554,βοηθητικό!$J$2:$N$354,3,FALSE)="","",VLOOKUP(CD554,βοηθητικό!$J$2:$N$354,3,FALSE))</f>
        <v>_</v>
      </c>
      <c r="CF554" s="44"/>
      <c r="CG554" s="45" t="s">
        <v>16</v>
      </c>
      <c r="CH554" s="46" t="str">
        <f>IF(VLOOKUP(CG554,βοηθητικό!$J$2:$N$354,3,FALSE)="","",VLOOKUP(CG554,βοηθητικό!$J$2:$N$354,3,FALSE))</f>
        <v>_</v>
      </c>
      <c r="CI554" s="47"/>
      <c r="CJ554" s="42" t="s">
        <v>16</v>
      </c>
      <c r="CK554" s="43" t="str">
        <f>IF(VLOOKUP(CJ554,βοηθητικό!$J$2:$N$354,3,FALSE)="","",VLOOKUP(CJ554,βοηθητικό!$J$2:$N$354,3,FALSE))</f>
        <v>_</v>
      </c>
      <c r="CL554" s="44"/>
      <c r="CM554" s="45" t="s">
        <v>16</v>
      </c>
      <c r="CN554" s="46" t="str">
        <f>IF(VLOOKUP(CM554,βοηθητικό!$J$2:$N$354,3,FALSE)="","",VLOOKUP(CM554,βοηθητικό!$J$2:$N$354,3,FALSE))</f>
        <v>_</v>
      </c>
      <c r="CO554" s="47"/>
      <c r="CP554" s="42" t="s">
        <v>16</v>
      </c>
      <c r="CQ554" s="43" t="str">
        <f>IF(VLOOKUP(CP554,βοηθητικό!$J$2:$N$354,3,FALSE)="","",VLOOKUP(CP554,βοηθητικό!$J$2:$N$354,3,FALSE))</f>
        <v>_</v>
      </c>
      <c r="CR554" s="44"/>
      <c r="CS554" s="45" t="s">
        <v>16</v>
      </c>
      <c r="CT554" s="46" t="str">
        <f>IF(VLOOKUP(CS554,βοηθητικό!$J$2:$N$354,3,FALSE)="","",VLOOKUP(CS554,βοηθητικό!$J$2:$N$354,3,FALSE))</f>
        <v>_</v>
      </c>
      <c r="CU554" s="47"/>
    </row>
    <row r="555" spans="1:99" x14ac:dyDescent="0.25">
      <c r="A555" s="37">
        <f>--SUBTOTAL(3,$B$3:B554)</f>
        <v>198</v>
      </c>
      <c r="B555" s="2"/>
      <c r="C555" s="3"/>
      <c r="D555" s="55" t="s">
        <v>18</v>
      </c>
      <c r="E555" s="38" t="s">
        <v>16</v>
      </c>
      <c r="F555" s="38"/>
      <c r="G555" s="39" t="str">
        <f t="shared" si="26"/>
        <v>__</v>
      </c>
      <c r="H555" s="40" t="str">
        <f t="shared" si="27"/>
        <v>FALSE</v>
      </c>
      <c r="I555" s="41">
        <f t="shared" si="28"/>
        <v>0</v>
      </c>
      <c r="J555" s="4" t="s">
        <v>16</v>
      </c>
      <c r="K555" s="43" t="str">
        <f>IF(VLOOKUP(J555,βοηθητικό!$J$2:$N$354,3,FALSE)="","",VLOOKUP(J555,βοηθητικό!$J$2:$N$354,3,FALSE))</f>
        <v>_</v>
      </c>
      <c r="L555" s="44"/>
      <c r="M555" s="5" t="s">
        <v>16</v>
      </c>
      <c r="N555" s="46" t="str">
        <f>IF(VLOOKUP(M555,βοηθητικό!$J$2:$N$354,3,FALSE)="","",VLOOKUP(M555,βοηθητικό!$J$2:$N$354,3,FALSE))</f>
        <v>_</v>
      </c>
      <c r="O555" s="47"/>
      <c r="P555" s="4" t="s">
        <v>16</v>
      </c>
      <c r="Q555" s="43" t="str">
        <f>IF(VLOOKUP(P555,βοηθητικό!$J$2:$N$354,3,FALSE)="","",VLOOKUP(P555,βοηθητικό!$J$2:$N$354,3,FALSE))</f>
        <v>_</v>
      </c>
      <c r="R555" s="44"/>
      <c r="S555" s="5" t="s">
        <v>16</v>
      </c>
      <c r="T555" s="46" t="str">
        <f>IF(VLOOKUP(S555,βοηθητικό!$J$2:$N$354,3,FALSE)="","",VLOOKUP(S555,βοηθητικό!$J$2:$N$354,3,FALSE))</f>
        <v>_</v>
      </c>
      <c r="U555" s="47"/>
      <c r="V555" s="4" t="s">
        <v>16</v>
      </c>
      <c r="W555" s="43" t="str">
        <f>IF(VLOOKUP(V555,βοηθητικό!$J$2:$N$354,3,FALSE)="","",VLOOKUP(V555,βοηθητικό!$J$2:$N$354,3,FALSE))</f>
        <v>_</v>
      </c>
      <c r="X555" s="44"/>
      <c r="Y555" s="5" t="s">
        <v>16</v>
      </c>
      <c r="Z555" s="46" t="str">
        <f>IF(VLOOKUP(Y555,βοηθητικό!$J$2:$N$354,3,FALSE)="","",VLOOKUP(Y555,βοηθητικό!$J$2:$N$354,3,FALSE))</f>
        <v>_</v>
      </c>
      <c r="AA555" s="47"/>
      <c r="AB555" s="4" t="s">
        <v>16</v>
      </c>
      <c r="AC555" s="43" t="str">
        <f>IF(VLOOKUP(AB555,βοηθητικό!$J$2:$N$354,3,FALSE)="","",VLOOKUP(AB555,βοηθητικό!$J$2:$N$354,3,FALSE))</f>
        <v>_</v>
      </c>
      <c r="AD555" s="44"/>
      <c r="AE555" s="5" t="s">
        <v>16</v>
      </c>
      <c r="AF555" s="46" t="str">
        <f>IF(VLOOKUP(AE555,βοηθητικό!$J$2:$N$354,3,FALSE)="","",VLOOKUP(AE555,βοηθητικό!$J$2:$N$354,3,FALSE))</f>
        <v>_</v>
      </c>
      <c r="AG555" s="47"/>
      <c r="AH555" s="4" t="s">
        <v>16</v>
      </c>
      <c r="AI555" s="43" t="str">
        <f>IF(VLOOKUP(AH555,βοηθητικό!$J$2:$N$354,3,FALSE)="","",VLOOKUP(AH555,βοηθητικό!$J$2:$N$354,3,FALSE))</f>
        <v>_</v>
      </c>
      <c r="AJ555" s="44"/>
      <c r="AK555" s="5" t="s">
        <v>16</v>
      </c>
      <c r="AL555" s="46" t="str">
        <f>IF(VLOOKUP(AK555,βοηθητικό!$J$2:$N$354,3,FALSE)="","",VLOOKUP(AK555,βοηθητικό!$J$2:$N$354,3,FALSE))</f>
        <v>_</v>
      </c>
      <c r="AM555" s="47"/>
      <c r="AN555" s="4" t="s">
        <v>16</v>
      </c>
      <c r="AO555" s="43" t="str">
        <f>IF(VLOOKUP(AN555,βοηθητικό!$J$2:$N$354,3,FALSE)="","",VLOOKUP(AN555,βοηθητικό!$J$2:$N$354,3,FALSE))</f>
        <v>_</v>
      </c>
      <c r="AP555" s="44"/>
      <c r="AQ555" s="5" t="s">
        <v>16</v>
      </c>
      <c r="AR555" s="46" t="str">
        <f>IF(VLOOKUP(AQ555,βοηθητικό!$J$2:$N$354,3,FALSE)="","",VLOOKUP(AQ555,βοηθητικό!$J$2:$N$354,3,FALSE))</f>
        <v>_</v>
      </c>
      <c r="AS555" s="47"/>
      <c r="AT555" s="4" t="s">
        <v>16</v>
      </c>
      <c r="AU555" s="43" t="str">
        <f>IF(VLOOKUP(AT555,βοηθητικό!$J$2:$N$354,3,FALSE)="","",VLOOKUP(AT555,βοηθητικό!$J$2:$N$354,3,FALSE))</f>
        <v>_</v>
      </c>
      <c r="AV555" s="44"/>
      <c r="AW555" s="5" t="s">
        <v>16</v>
      </c>
      <c r="AX555" s="46" t="str">
        <f>IF(VLOOKUP(AW555,βοηθητικό!$J$2:$N$354,3,FALSE)="","",VLOOKUP(AW555,βοηθητικό!$J$2:$N$354,3,FALSE))</f>
        <v>_</v>
      </c>
      <c r="AY555" s="47"/>
      <c r="AZ555" s="4" t="s">
        <v>16</v>
      </c>
      <c r="BA555" s="43" t="str">
        <f>IF(VLOOKUP(AZ555,βοηθητικό!$J$2:$N$354,3,FALSE)="","",VLOOKUP(AZ555,βοηθητικό!$J$2:$N$354,3,FALSE))</f>
        <v>_</v>
      </c>
      <c r="BB555" s="44"/>
      <c r="BC555" s="45" t="s">
        <v>16</v>
      </c>
      <c r="BD555" s="46" t="str">
        <f>IF(VLOOKUP(BC555,βοηθητικό!$J$2:$N$354,3,FALSE)="","",VLOOKUP(BC555,βοηθητικό!$J$2:$N$354,3,FALSE))</f>
        <v>_</v>
      </c>
      <c r="BE555" s="47"/>
      <c r="BF555" s="42" t="s">
        <v>16</v>
      </c>
      <c r="BG555" s="43" t="str">
        <f>IF(VLOOKUP(BF555,βοηθητικό!$J$2:$N$354,3,FALSE)="","",VLOOKUP(BF555,βοηθητικό!$J$2:$N$354,3,FALSE))</f>
        <v>_</v>
      </c>
      <c r="BH555" s="44"/>
      <c r="BI555" s="45" t="s">
        <v>16</v>
      </c>
      <c r="BJ555" s="46" t="str">
        <f>IF(VLOOKUP(BI555,βοηθητικό!$J$2:$N$354,3,FALSE)="","",VLOOKUP(BI555,βοηθητικό!$J$2:$N$354,3,FALSE))</f>
        <v>_</v>
      </c>
      <c r="BK555" s="47"/>
      <c r="BL555" s="42" t="s">
        <v>16</v>
      </c>
      <c r="BM555" s="43" t="str">
        <f>IF(VLOOKUP(BL555,βοηθητικό!$J$2:$N$354,3,FALSE)="","",VLOOKUP(BL555,βοηθητικό!$J$2:$N$354,3,FALSE))</f>
        <v>_</v>
      </c>
      <c r="BN555" s="44"/>
      <c r="BO555" s="45" t="s">
        <v>16</v>
      </c>
      <c r="BP555" s="46" t="str">
        <f>IF(VLOOKUP(BO555,βοηθητικό!$J$2:$N$354,3,FALSE)="","",VLOOKUP(BO555,βοηθητικό!$J$2:$N$354,3,FALSE))</f>
        <v>_</v>
      </c>
      <c r="BQ555" s="47"/>
      <c r="BR555" s="42" t="s">
        <v>16</v>
      </c>
      <c r="BS555" s="43" t="str">
        <f>IF(VLOOKUP(BR555,βοηθητικό!$J$2:$N$354,3,FALSE)="","",VLOOKUP(BR555,βοηθητικό!$J$2:$N$354,3,FALSE))</f>
        <v>_</v>
      </c>
      <c r="BT555" s="44"/>
      <c r="BU555" s="45" t="s">
        <v>16</v>
      </c>
      <c r="BV555" s="46" t="str">
        <f>IF(VLOOKUP(BU555,βοηθητικό!$J$2:$N$354,3,FALSE)="","",VLOOKUP(BU555,βοηθητικό!$J$2:$N$354,3,FALSE))</f>
        <v>_</v>
      </c>
      <c r="BW555" s="47"/>
      <c r="BX555" s="42" t="s">
        <v>16</v>
      </c>
      <c r="BY555" s="43" t="str">
        <f>IF(VLOOKUP(BX555,βοηθητικό!$J$2:$N$354,3,FALSE)="","",VLOOKUP(BX555,βοηθητικό!$J$2:$N$354,3,FALSE))</f>
        <v>_</v>
      </c>
      <c r="BZ555" s="44"/>
      <c r="CA555" s="45" t="s">
        <v>16</v>
      </c>
      <c r="CB555" s="46" t="str">
        <f>IF(VLOOKUP(CA555,βοηθητικό!$J$2:$N$354,3,FALSE)="","",VLOOKUP(CA555,βοηθητικό!$J$2:$N$354,3,FALSE))</f>
        <v>_</v>
      </c>
      <c r="CC555" s="47"/>
      <c r="CD555" s="42" t="s">
        <v>16</v>
      </c>
      <c r="CE555" s="43" t="str">
        <f>IF(VLOOKUP(CD555,βοηθητικό!$J$2:$N$354,3,FALSE)="","",VLOOKUP(CD555,βοηθητικό!$J$2:$N$354,3,FALSE))</f>
        <v>_</v>
      </c>
      <c r="CF555" s="44"/>
      <c r="CG555" s="45" t="s">
        <v>16</v>
      </c>
      <c r="CH555" s="46" t="str">
        <f>IF(VLOOKUP(CG555,βοηθητικό!$J$2:$N$354,3,FALSE)="","",VLOOKUP(CG555,βοηθητικό!$J$2:$N$354,3,FALSE))</f>
        <v>_</v>
      </c>
      <c r="CI555" s="47"/>
      <c r="CJ555" s="42" t="s">
        <v>16</v>
      </c>
      <c r="CK555" s="43" t="str">
        <f>IF(VLOOKUP(CJ555,βοηθητικό!$J$2:$N$354,3,FALSE)="","",VLOOKUP(CJ555,βοηθητικό!$J$2:$N$354,3,FALSE))</f>
        <v>_</v>
      </c>
      <c r="CL555" s="44"/>
      <c r="CM555" s="45" t="s">
        <v>16</v>
      </c>
      <c r="CN555" s="46" t="str">
        <f>IF(VLOOKUP(CM555,βοηθητικό!$J$2:$N$354,3,FALSE)="","",VLOOKUP(CM555,βοηθητικό!$J$2:$N$354,3,FALSE))</f>
        <v>_</v>
      </c>
      <c r="CO555" s="47"/>
      <c r="CP555" s="42" t="s">
        <v>16</v>
      </c>
      <c r="CQ555" s="43" t="str">
        <f>IF(VLOOKUP(CP555,βοηθητικό!$J$2:$N$354,3,FALSE)="","",VLOOKUP(CP555,βοηθητικό!$J$2:$N$354,3,FALSE))</f>
        <v>_</v>
      </c>
      <c r="CR555" s="44"/>
      <c r="CS555" s="45" t="s">
        <v>16</v>
      </c>
      <c r="CT555" s="46" t="str">
        <f>IF(VLOOKUP(CS555,βοηθητικό!$J$2:$N$354,3,FALSE)="","",VLOOKUP(CS555,βοηθητικό!$J$2:$N$354,3,FALSE))</f>
        <v>_</v>
      </c>
      <c r="CU555" s="47"/>
    </row>
    <row r="556" spans="1:99" x14ac:dyDescent="0.25">
      <c r="A556" s="37">
        <f>--SUBTOTAL(3,$B$3:B555)</f>
        <v>198</v>
      </c>
      <c r="B556" s="2"/>
      <c r="C556" s="3"/>
      <c r="D556" s="55" t="s">
        <v>18</v>
      </c>
      <c r="E556" s="38" t="s">
        <v>16</v>
      </c>
      <c r="F556" s="38"/>
      <c r="G556" s="39" t="str">
        <f t="shared" si="26"/>
        <v>__</v>
      </c>
      <c r="H556" s="40" t="str">
        <f t="shared" si="27"/>
        <v>FALSE</v>
      </c>
      <c r="I556" s="41">
        <f t="shared" si="28"/>
        <v>0</v>
      </c>
      <c r="J556" s="4" t="s">
        <v>16</v>
      </c>
      <c r="K556" s="43" t="str">
        <f>IF(VLOOKUP(J556,βοηθητικό!$J$2:$N$354,3,FALSE)="","",VLOOKUP(J556,βοηθητικό!$J$2:$N$354,3,FALSE))</f>
        <v>_</v>
      </c>
      <c r="L556" s="44"/>
      <c r="M556" s="5" t="s">
        <v>16</v>
      </c>
      <c r="N556" s="46" t="str">
        <f>IF(VLOOKUP(M556,βοηθητικό!$J$2:$N$354,3,FALSE)="","",VLOOKUP(M556,βοηθητικό!$J$2:$N$354,3,FALSE))</f>
        <v>_</v>
      </c>
      <c r="O556" s="47"/>
      <c r="P556" s="4" t="s">
        <v>16</v>
      </c>
      <c r="Q556" s="43" t="str">
        <f>IF(VLOOKUP(P556,βοηθητικό!$J$2:$N$354,3,FALSE)="","",VLOOKUP(P556,βοηθητικό!$J$2:$N$354,3,FALSE))</f>
        <v>_</v>
      </c>
      <c r="R556" s="44"/>
      <c r="S556" s="5" t="s">
        <v>16</v>
      </c>
      <c r="T556" s="46" t="str">
        <f>IF(VLOOKUP(S556,βοηθητικό!$J$2:$N$354,3,FALSE)="","",VLOOKUP(S556,βοηθητικό!$J$2:$N$354,3,FALSE))</f>
        <v>_</v>
      </c>
      <c r="U556" s="47"/>
      <c r="V556" s="4" t="s">
        <v>16</v>
      </c>
      <c r="W556" s="43" t="str">
        <f>IF(VLOOKUP(V556,βοηθητικό!$J$2:$N$354,3,FALSE)="","",VLOOKUP(V556,βοηθητικό!$J$2:$N$354,3,FALSE))</f>
        <v>_</v>
      </c>
      <c r="X556" s="44"/>
      <c r="Y556" s="5" t="s">
        <v>16</v>
      </c>
      <c r="Z556" s="46" t="str">
        <f>IF(VLOOKUP(Y556,βοηθητικό!$J$2:$N$354,3,FALSE)="","",VLOOKUP(Y556,βοηθητικό!$J$2:$N$354,3,FALSE))</f>
        <v>_</v>
      </c>
      <c r="AA556" s="47"/>
      <c r="AB556" s="4" t="s">
        <v>16</v>
      </c>
      <c r="AC556" s="43" t="str">
        <f>IF(VLOOKUP(AB556,βοηθητικό!$J$2:$N$354,3,FALSE)="","",VLOOKUP(AB556,βοηθητικό!$J$2:$N$354,3,FALSE))</f>
        <v>_</v>
      </c>
      <c r="AD556" s="44"/>
      <c r="AE556" s="5" t="s">
        <v>16</v>
      </c>
      <c r="AF556" s="46" t="str">
        <f>IF(VLOOKUP(AE556,βοηθητικό!$J$2:$N$354,3,FALSE)="","",VLOOKUP(AE556,βοηθητικό!$J$2:$N$354,3,FALSE))</f>
        <v>_</v>
      </c>
      <c r="AG556" s="47"/>
      <c r="AH556" s="4" t="s">
        <v>16</v>
      </c>
      <c r="AI556" s="43" t="str">
        <f>IF(VLOOKUP(AH556,βοηθητικό!$J$2:$N$354,3,FALSE)="","",VLOOKUP(AH556,βοηθητικό!$J$2:$N$354,3,FALSE))</f>
        <v>_</v>
      </c>
      <c r="AJ556" s="44"/>
      <c r="AK556" s="5" t="s">
        <v>16</v>
      </c>
      <c r="AL556" s="46" t="str">
        <f>IF(VLOOKUP(AK556,βοηθητικό!$J$2:$N$354,3,FALSE)="","",VLOOKUP(AK556,βοηθητικό!$J$2:$N$354,3,FALSE))</f>
        <v>_</v>
      </c>
      <c r="AM556" s="47"/>
      <c r="AN556" s="4" t="s">
        <v>16</v>
      </c>
      <c r="AO556" s="43" t="str">
        <f>IF(VLOOKUP(AN556,βοηθητικό!$J$2:$N$354,3,FALSE)="","",VLOOKUP(AN556,βοηθητικό!$J$2:$N$354,3,FALSE))</f>
        <v>_</v>
      </c>
      <c r="AP556" s="44"/>
      <c r="AQ556" s="5" t="s">
        <v>16</v>
      </c>
      <c r="AR556" s="46" t="str">
        <f>IF(VLOOKUP(AQ556,βοηθητικό!$J$2:$N$354,3,FALSE)="","",VLOOKUP(AQ556,βοηθητικό!$J$2:$N$354,3,FALSE))</f>
        <v>_</v>
      </c>
      <c r="AS556" s="47"/>
      <c r="AT556" s="4" t="s">
        <v>16</v>
      </c>
      <c r="AU556" s="43" t="str">
        <f>IF(VLOOKUP(AT556,βοηθητικό!$J$2:$N$354,3,FALSE)="","",VLOOKUP(AT556,βοηθητικό!$J$2:$N$354,3,FALSE))</f>
        <v>_</v>
      </c>
      <c r="AV556" s="44"/>
      <c r="AW556" s="5" t="s">
        <v>16</v>
      </c>
      <c r="AX556" s="46" t="str">
        <f>IF(VLOOKUP(AW556,βοηθητικό!$J$2:$N$354,3,FALSE)="","",VLOOKUP(AW556,βοηθητικό!$J$2:$N$354,3,FALSE))</f>
        <v>_</v>
      </c>
      <c r="AY556" s="47"/>
      <c r="AZ556" s="4" t="s">
        <v>16</v>
      </c>
      <c r="BA556" s="43" t="str">
        <f>IF(VLOOKUP(AZ556,βοηθητικό!$J$2:$N$354,3,FALSE)="","",VLOOKUP(AZ556,βοηθητικό!$J$2:$N$354,3,FALSE))</f>
        <v>_</v>
      </c>
      <c r="BB556" s="44"/>
      <c r="BC556" s="45" t="s">
        <v>16</v>
      </c>
      <c r="BD556" s="46" t="str">
        <f>IF(VLOOKUP(BC556,βοηθητικό!$J$2:$N$354,3,FALSE)="","",VLOOKUP(BC556,βοηθητικό!$J$2:$N$354,3,FALSE))</f>
        <v>_</v>
      </c>
      <c r="BE556" s="47"/>
      <c r="BF556" s="42" t="s">
        <v>16</v>
      </c>
      <c r="BG556" s="43" t="str">
        <f>IF(VLOOKUP(BF556,βοηθητικό!$J$2:$N$354,3,FALSE)="","",VLOOKUP(BF556,βοηθητικό!$J$2:$N$354,3,FALSE))</f>
        <v>_</v>
      </c>
      <c r="BH556" s="44"/>
      <c r="BI556" s="45" t="s">
        <v>16</v>
      </c>
      <c r="BJ556" s="46" t="str">
        <f>IF(VLOOKUP(BI556,βοηθητικό!$J$2:$N$354,3,FALSE)="","",VLOOKUP(BI556,βοηθητικό!$J$2:$N$354,3,FALSE))</f>
        <v>_</v>
      </c>
      <c r="BK556" s="47"/>
      <c r="BL556" s="42" t="s">
        <v>16</v>
      </c>
      <c r="BM556" s="43" t="str">
        <f>IF(VLOOKUP(BL556,βοηθητικό!$J$2:$N$354,3,FALSE)="","",VLOOKUP(BL556,βοηθητικό!$J$2:$N$354,3,FALSE))</f>
        <v>_</v>
      </c>
      <c r="BN556" s="44"/>
      <c r="BO556" s="45" t="s">
        <v>16</v>
      </c>
      <c r="BP556" s="46" t="str">
        <f>IF(VLOOKUP(BO556,βοηθητικό!$J$2:$N$354,3,FALSE)="","",VLOOKUP(BO556,βοηθητικό!$J$2:$N$354,3,FALSE))</f>
        <v>_</v>
      </c>
      <c r="BQ556" s="47"/>
      <c r="BR556" s="42" t="s">
        <v>16</v>
      </c>
      <c r="BS556" s="43" t="str">
        <f>IF(VLOOKUP(BR556,βοηθητικό!$J$2:$N$354,3,FALSE)="","",VLOOKUP(BR556,βοηθητικό!$J$2:$N$354,3,FALSE))</f>
        <v>_</v>
      </c>
      <c r="BT556" s="44"/>
      <c r="BU556" s="45" t="s">
        <v>16</v>
      </c>
      <c r="BV556" s="46" t="str">
        <f>IF(VLOOKUP(BU556,βοηθητικό!$J$2:$N$354,3,FALSE)="","",VLOOKUP(BU556,βοηθητικό!$J$2:$N$354,3,FALSE))</f>
        <v>_</v>
      </c>
      <c r="BW556" s="47"/>
      <c r="BX556" s="42" t="s">
        <v>16</v>
      </c>
      <c r="BY556" s="43" t="str">
        <f>IF(VLOOKUP(BX556,βοηθητικό!$J$2:$N$354,3,FALSE)="","",VLOOKUP(BX556,βοηθητικό!$J$2:$N$354,3,FALSE))</f>
        <v>_</v>
      </c>
      <c r="BZ556" s="44"/>
      <c r="CA556" s="45" t="s">
        <v>16</v>
      </c>
      <c r="CB556" s="46" t="str">
        <f>IF(VLOOKUP(CA556,βοηθητικό!$J$2:$N$354,3,FALSE)="","",VLOOKUP(CA556,βοηθητικό!$J$2:$N$354,3,FALSE))</f>
        <v>_</v>
      </c>
      <c r="CC556" s="47"/>
      <c r="CD556" s="42" t="s">
        <v>16</v>
      </c>
      <c r="CE556" s="43" t="str">
        <f>IF(VLOOKUP(CD556,βοηθητικό!$J$2:$N$354,3,FALSE)="","",VLOOKUP(CD556,βοηθητικό!$J$2:$N$354,3,FALSE))</f>
        <v>_</v>
      </c>
      <c r="CF556" s="44"/>
      <c r="CG556" s="45" t="s">
        <v>16</v>
      </c>
      <c r="CH556" s="46" t="str">
        <f>IF(VLOOKUP(CG556,βοηθητικό!$J$2:$N$354,3,FALSE)="","",VLOOKUP(CG556,βοηθητικό!$J$2:$N$354,3,FALSE))</f>
        <v>_</v>
      </c>
      <c r="CI556" s="47"/>
      <c r="CJ556" s="42" t="s">
        <v>16</v>
      </c>
      <c r="CK556" s="43" t="str">
        <f>IF(VLOOKUP(CJ556,βοηθητικό!$J$2:$N$354,3,FALSE)="","",VLOOKUP(CJ556,βοηθητικό!$J$2:$N$354,3,FALSE))</f>
        <v>_</v>
      </c>
      <c r="CL556" s="44"/>
      <c r="CM556" s="45" t="s">
        <v>16</v>
      </c>
      <c r="CN556" s="46" t="str">
        <f>IF(VLOOKUP(CM556,βοηθητικό!$J$2:$N$354,3,FALSE)="","",VLOOKUP(CM556,βοηθητικό!$J$2:$N$354,3,FALSE))</f>
        <v>_</v>
      </c>
      <c r="CO556" s="47"/>
      <c r="CP556" s="42" t="s">
        <v>16</v>
      </c>
      <c r="CQ556" s="43" t="str">
        <f>IF(VLOOKUP(CP556,βοηθητικό!$J$2:$N$354,3,FALSE)="","",VLOOKUP(CP556,βοηθητικό!$J$2:$N$354,3,FALSE))</f>
        <v>_</v>
      </c>
      <c r="CR556" s="44"/>
      <c r="CS556" s="45" t="s">
        <v>16</v>
      </c>
      <c r="CT556" s="46" t="str">
        <f>IF(VLOOKUP(CS556,βοηθητικό!$J$2:$N$354,3,FALSE)="","",VLOOKUP(CS556,βοηθητικό!$J$2:$N$354,3,FALSE))</f>
        <v>_</v>
      </c>
      <c r="CU556" s="47"/>
    </row>
    <row r="557" spans="1:99" x14ac:dyDescent="0.25">
      <c r="A557" s="37">
        <f>--SUBTOTAL(3,$B$3:B556)</f>
        <v>198</v>
      </c>
      <c r="B557" s="2"/>
      <c r="C557" s="3"/>
      <c r="D557" s="55" t="s">
        <v>18</v>
      </c>
      <c r="E557" s="38" t="s">
        <v>16</v>
      </c>
      <c r="F557" s="38"/>
      <c r="G557" s="39" t="str">
        <f t="shared" si="26"/>
        <v>__</v>
      </c>
      <c r="H557" s="40" t="str">
        <f t="shared" si="27"/>
        <v>FALSE</v>
      </c>
      <c r="I557" s="41">
        <f t="shared" si="28"/>
        <v>0</v>
      </c>
      <c r="J557" s="4" t="s">
        <v>16</v>
      </c>
      <c r="K557" s="43" t="str">
        <f>IF(VLOOKUP(J557,βοηθητικό!$J$2:$N$354,3,FALSE)="","",VLOOKUP(J557,βοηθητικό!$J$2:$N$354,3,FALSE))</f>
        <v>_</v>
      </c>
      <c r="L557" s="44"/>
      <c r="M557" s="5" t="s">
        <v>16</v>
      </c>
      <c r="N557" s="46" t="str">
        <f>IF(VLOOKUP(M557,βοηθητικό!$J$2:$N$354,3,FALSE)="","",VLOOKUP(M557,βοηθητικό!$J$2:$N$354,3,FALSE))</f>
        <v>_</v>
      </c>
      <c r="O557" s="47"/>
      <c r="P557" s="4" t="s">
        <v>16</v>
      </c>
      <c r="Q557" s="43" t="str">
        <f>IF(VLOOKUP(P557,βοηθητικό!$J$2:$N$354,3,FALSE)="","",VLOOKUP(P557,βοηθητικό!$J$2:$N$354,3,FALSE))</f>
        <v>_</v>
      </c>
      <c r="R557" s="44"/>
      <c r="S557" s="5" t="s">
        <v>16</v>
      </c>
      <c r="T557" s="46" t="str">
        <f>IF(VLOOKUP(S557,βοηθητικό!$J$2:$N$354,3,FALSE)="","",VLOOKUP(S557,βοηθητικό!$J$2:$N$354,3,FALSE))</f>
        <v>_</v>
      </c>
      <c r="U557" s="47"/>
      <c r="V557" s="4" t="s">
        <v>16</v>
      </c>
      <c r="W557" s="43" t="str">
        <f>IF(VLOOKUP(V557,βοηθητικό!$J$2:$N$354,3,FALSE)="","",VLOOKUP(V557,βοηθητικό!$J$2:$N$354,3,FALSE))</f>
        <v>_</v>
      </c>
      <c r="X557" s="44"/>
      <c r="Y557" s="5" t="s">
        <v>16</v>
      </c>
      <c r="Z557" s="46" t="str">
        <f>IF(VLOOKUP(Y557,βοηθητικό!$J$2:$N$354,3,FALSE)="","",VLOOKUP(Y557,βοηθητικό!$J$2:$N$354,3,FALSE))</f>
        <v>_</v>
      </c>
      <c r="AA557" s="47"/>
      <c r="AB557" s="4" t="s">
        <v>16</v>
      </c>
      <c r="AC557" s="43" t="str">
        <f>IF(VLOOKUP(AB557,βοηθητικό!$J$2:$N$354,3,FALSE)="","",VLOOKUP(AB557,βοηθητικό!$J$2:$N$354,3,FALSE))</f>
        <v>_</v>
      </c>
      <c r="AD557" s="44"/>
      <c r="AE557" s="5" t="s">
        <v>16</v>
      </c>
      <c r="AF557" s="46" t="str">
        <f>IF(VLOOKUP(AE557,βοηθητικό!$J$2:$N$354,3,FALSE)="","",VLOOKUP(AE557,βοηθητικό!$J$2:$N$354,3,FALSE))</f>
        <v>_</v>
      </c>
      <c r="AG557" s="47"/>
      <c r="AH557" s="4" t="s">
        <v>16</v>
      </c>
      <c r="AI557" s="43" t="str">
        <f>IF(VLOOKUP(AH557,βοηθητικό!$J$2:$N$354,3,FALSE)="","",VLOOKUP(AH557,βοηθητικό!$J$2:$N$354,3,FALSE))</f>
        <v>_</v>
      </c>
      <c r="AJ557" s="44"/>
      <c r="AK557" s="5" t="s">
        <v>16</v>
      </c>
      <c r="AL557" s="46" t="str">
        <f>IF(VLOOKUP(AK557,βοηθητικό!$J$2:$N$354,3,FALSE)="","",VLOOKUP(AK557,βοηθητικό!$J$2:$N$354,3,FALSE))</f>
        <v>_</v>
      </c>
      <c r="AM557" s="47"/>
      <c r="AN557" s="4" t="s">
        <v>16</v>
      </c>
      <c r="AO557" s="43" t="str">
        <f>IF(VLOOKUP(AN557,βοηθητικό!$J$2:$N$354,3,FALSE)="","",VLOOKUP(AN557,βοηθητικό!$J$2:$N$354,3,FALSE))</f>
        <v>_</v>
      </c>
      <c r="AP557" s="44"/>
      <c r="AQ557" s="5" t="s">
        <v>16</v>
      </c>
      <c r="AR557" s="46" t="str">
        <f>IF(VLOOKUP(AQ557,βοηθητικό!$J$2:$N$354,3,FALSE)="","",VLOOKUP(AQ557,βοηθητικό!$J$2:$N$354,3,FALSE))</f>
        <v>_</v>
      </c>
      <c r="AS557" s="47"/>
      <c r="AT557" s="4" t="s">
        <v>16</v>
      </c>
      <c r="AU557" s="43" t="str">
        <f>IF(VLOOKUP(AT557,βοηθητικό!$J$2:$N$354,3,FALSE)="","",VLOOKUP(AT557,βοηθητικό!$J$2:$N$354,3,FALSE))</f>
        <v>_</v>
      </c>
      <c r="AV557" s="44"/>
      <c r="AW557" s="5" t="s">
        <v>16</v>
      </c>
      <c r="AX557" s="46" t="str">
        <f>IF(VLOOKUP(AW557,βοηθητικό!$J$2:$N$354,3,FALSE)="","",VLOOKUP(AW557,βοηθητικό!$J$2:$N$354,3,FALSE))</f>
        <v>_</v>
      </c>
      <c r="AY557" s="47"/>
      <c r="AZ557" s="4" t="s">
        <v>16</v>
      </c>
      <c r="BA557" s="43" t="str">
        <f>IF(VLOOKUP(AZ557,βοηθητικό!$J$2:$N$354,3,FALSE)="","",VLOOKUP(AZ557,βοηθητικό!$J$2:$N$354,3,FALSE))</f>
        <v>_</v>
      </c>
      <c r="BB557" s="44"/>
      <c r="BC557" s="45" t="s">
        <v>16</v>
      </c>
      <c r="BD557" s="46" t="str">
        <f>IF(VLOOKUP(BC557,βοηθητικό!$J$2:$N$354,3,FALSE)="","",VLOOKUP(BC557,βοηθητικό!$J$2:$N$354,3,FALSE))</f>
        <v>_</v>
      </c>
      <c r="BE557" s="47"/>
      <c r="BF557" s="42" t="s">
        <v>16</v>
      </c>
      <c r="BG557" s="43" t="str">
        <f>IF(VLOOKUP(BF557,βοηθητικό!$J$2:$N$354,3,FALSE)="","",VLOOKUP(BF557,βοηθητικό!$J$2:$N$354,3,FALSE))</f>
        <v>_</v>
      </c>
      <c r="BH557" s="44"/>
      <c r="BI557" s="45" t="s">
        <v>16</v>
      </c>
      <c r="BJ557" s="46" t="str">
        <f>IF(VLOOKUP(BI557,βοηθητικό!$J$2:$N$354,3,FALSE)="","",VLOOKUP(BI557,βοηθητικό!$J$2:$N$354,3,FALSE))</f>
        <v>_</v>
      </c>
      <c r="BK557" s="47"/>
      <c r="BL557" s="42" t="s">
        <v>16</v>
      </c>
      <c r="BM557" s="43" t="str">
        <f>IF(VLOOKUP(BL557,βοηθητικό!$J$2:$N$354,3,FALSE)="","",VLOOKUP(BL557,βοηθητικό!$J$2:$N$354,3,FALSE))</f>
        <v>_</v>
      </c>
      <c r="BN557" s="44"/>
      <c r="BO557" s="45" t="s">
        <v>16</v>
      </c>
      <c r="BP557" s="46" t="str">
        <f>IF(VLOOKUP(BO557,βοηθητικό!$J$2:$N$354,3,FALSE)="","",VLOOKUP(BO557,βοηθητικό!$J$2:$N$354,3,FALSE))</f>
        <v>_</v>
      </c>
      <c r="BQ557" s="47"/>
      <c r="BR557" s="42" t="s">
        <v>16</v>
      </c>
      <c r="BS557" s="43" t="str">
        <f>IF(VLOOKUP(BR557,βοηθητικό!$J$2:$N$354,3,FALSE)="","",VLOOKUP(BR557,βοηθητικό!$J$2:$N$354,3,FALSE))</f>
        <v>_</v>
      </c>
      <c r="BT557" s="44"/>
      <c r="BU557" s="45" t="s">
        <v>16</v>
      </c>
      <c r="BV557" s="46" t="str">
        <f>IF(VLOOKUP(BU557,βοηθητικό!$J$2:$N$354,3,FALSE)="","",VLOOKUP(BU557,βοηθητικό!$J$2:$N$354,3,FALSE))</f>
        <v>_</v>
      </c>
      <c r="BW557" s="47"/>
      <c r="BX557" s="42" t="s">
        <v>16</v>
      </c>
      <c r="BY557" s="43" t="str">
        <f>IF(VLOOKUP(BX557,βοηθητικό!$J$2:$N$354,3,FALSE)="","",VLOOKUP(BX557,βοηθητικό!$J$2:$N$354,3,FALSE))</f>
        <v>_</v>
      </c>
      <c r="BZ557" s="44"/>
      <c r="CA557" s="45" t="s">
        <v>16</v>
      </c>
      <c r="CB557" s="46" t="str">
        <f>IF(VLOOKUP(CA557,βοηθητικό!$J$2:$N$354,3,FALSE)="","",VLOOKUP(CA557,βοηθητικό!$J$2:$N$354,3,FALSE))</f>
        <v>_</v>
      </c>
      <c r="CC557" s="47"/>
      <c r="CD557" s="42" t="s">
        <v>16</v>
      </c>
      <c r="CE557" s="43" t="str">
        <f>IF(VLOOKUP(CD557,βοηθητικό!$J$2:$N$354,3,FALSE)="","",VLOOKUP(CD557,βοηθητικό!$J$2:$N$354,3,FALSE))</f>
        <v>_</v>
      </c>
      <c r="CF557" s="44"/>
      <c r="CG557" s="45" t="s">
        <v>16</v>
      </c>
      <c r="CH557" s="46" t="str">
        <f>IF(VLOOKUP(CG557,βοηθητικό!$J$2:$N$354,3,FALSE)="","",VLOOKUP(CG557,βοηθητικό!$J$2:$N$354,3,FALSE))</f>
        <v>_</v>
      </c>
      <c r="CI557" s="47"/>
      <c r="CJ557" s="42" t="s">
        <v>16</v>
      </c>
      <c r="CK557" s="43" t="str">
        <f>IF(VLOOKUP(CJ557,βοηθητικό!$J$2:$N$354,3,FALSE)="","",VLOOKUP(CJ557,βοηθητικό!$J$2:$N$354,3,FALSE))</f>
        <v>_</v>
      </c>
      <c r="CL557" s="44"/>
      <c r="CM557" s="45" t="s">
        <v>16</v>
      </c>
      <c r="CN557" s="46" t="str">
        <f>IF(VLOOKUP(CM557,βοηθητικό!$J$2:$N$354,3,FALSE)="","",VLOOKUP(CM557,βοηθητικό!$J$2:$N$354,3,FALSE))</f>
        <v>_</v>
      </c>
      <c r="CO557" s="47"/>
      <c r="CP557" s="42" t="s">
        <v>16</v>
      </c>
      <c r="CQ557" s="43" t="str">
        <f>IF(VLOOKUP(CP557,βοηθητικό!$J$2:$N$354,3,FALSE)="","",VLOOKUP(CP557,βοηθητικό!$J$2:$N$354,3,FALSE))</f>
        <v>_</v>
      </c>
      <c r="CR557" s="44"/>
      <c r="CS557" s="45" t="s">
        <v>16</v>
      </c>
      <c r="CT557" s="46" t="str">
        <f>IF(VLOOKUP(CS557,βοηθητικό!$J$2:$N$354,3,FALSE)="","",VLOOKUP(CS557,βοηθητικό!$J$2:$N$354,3,FALSE))</f>
        <v>_</v>
      </c>
      <c r="CU557" s="47"/>
    </row>
    <row r="558" spans="1:99" x14ac:dyDescent="0.25">
      <c r="A558" s="37">
        <f>--SUBTOTAL(3,$B$3:B557)</f>
        <v>198</v>
      </c>
      <c r="B558" s="2"/>
      <c r="C558" s="3"/>
      <c r="D558" s="55" t="s">
        <v>18</v>
      </c>
      <c r="E558" s="38" t="s">
        <v>16</v>
      </c>
      <c r="F558" s="38"/>
      <c r="G558" s="39" t="str">
        <f t="shared" si="26"/>
        <v>__</v>
      </c>
      <c r="H558" s="40" t="str">
        <f t="shared" si="27"/>
        <v>FALSE</v>
      </c>
      <c r="I558" s="41">
        <f t="shared" si="28"/>
        <v>0</v>
      </c>
      <c r="J558" s="4" t="s">
        <v>16</v>
      </c>
      <c r="K558" s="43" t="str">
        <f>IF(VLOOKUP(J558,βοηθητικό!$J$2:$N$354,3,FALSE)="","",VLOOKUP(J558,βοηθητικό!$J$2:$N$354,3,FALSE))</f>
        <v>_</v>
      </c>
      <c r="L558" s="44"/>
      <c r="M558" s="5" t="s">
        <v>16</v>
      </c>
      <c r="N558" s="46" t="str">
        <f>IF(VLOOKUP(M558,βοηθητικό!$J$2:$N$354,3,FALSE)="","",VLOOKUP(M558,βοηθητικό!$J$2:$N$354,3,FALSE))</f>
        <v>_</v>
      </c>
      <c r="O558" s="47"/>
      <c r="P558" s="4" t="s">
        <v>16</v>
      </c>
      <c r="Q558" s="43" t="str">
        <f>IF(VLOOKUP(P558,βοηθητικό!$J$2:$N$354,3,FALSE)="","",VLOOKUP(P558,βοηθητικό!$J$2:$N$354,3,FALSE))</f>
        <v>_</v>
      </c>
      <c r="R558" s="44"/>
      <c r="S558" s="5" t="s">
        <v>16</v>
      </c>
      <c r="T558" s="46" t="str">
        <f>IF(VLOOKUP(S558,βοηθητικό!$J$2:$N$354,3,FALSE)="","",VLOOKUP(S558,βοηθητικό!$J$2:$N$354,3,FALSE))</f>
        <v>_</v>
      </c>
      <c r="U558" s="47"/>
      <c r="V558" s="4" t="s">
        <v>16</v>
      </c>
      <c r="W558" s="43" t="str">
        <f>IF(VLOOKUP(V558,βοηθητικό!$J$2:$N$354,3,FALSE)="","",VLOOKUP(V558,βοηθητικό!$J$2:$N$354,3,FALSE))</f>
        <v>_</v>
      </c>
      <c r="X558" s="44"/>
      <c r="Y558" s="5" t="s">
        <v>16</v>
      </c>
      <c r="Z558" s="46" t="str">
        <f>IF(VLOOKUP(Y558,βοηθητικό!$J$2:$N$354,3,FALSE)="","",VLOOKUP(Y558,βοηθητικό!$J$2:$N$354,3,FALSE))</f>
        <v>_</v>
      </c>
      <c r="AA558" s="47"/>
      <c r="AB558" s="4" t="s">
        <v>16</v>
      </c>
      <c r="AC558" s="43" t="str">
        <f>IF(VLOOKUP(AB558,βοηθητικό!$J$2:$N$354,3,FALSE)="","",VLOOKUP(AB558,βοηθητικό!$J$2:$N$354,3,FALSE))</f>
        <v>_</v>
      </c>
      <c r="AD558" s="44"/>
      <c r="AE558" s="5" t="s">
        <v>16</v>
      </c>
      <c r="AF558" s="46" t="str">
        <f>IF(VLOOKUP(AE558,βοηθητικό!$J$2:$N$354,3,FALSE)="","",VLOOKUP(AE558,βοηθητικό!$J$2:$N$354,3,FALSE))</f>
        <v>_</v>
      </c>
      <c r="AG558" s="47"/>
      <c r="AH558" s="4" t="s">
        <v>16</v>
      </c>
      <c r="AI558" s="43" t="str">
        <f>IF(VLOOKUP(AH558,βοηθητικό!$J$2:$N$354,3,FALSE)="","",VLOOKUP(AH558,βοηθητικό!$J$2:$N$354,3,FALSE))</f>
        <v>_</v>
      </c>
      <c r="AJ558" s="44"/>
      <c r="AK558" s="5" t="s">
        <v>16</v>
      </c>
      <c r="AL558" s="46" t="str">
        <f>IF(VLOOKUP(AK558,βοηθητικό!$J$2:$N$354,3,FALSE)="","",VLOOKUP(AK558,βοηθητικό!$J$2:$N$354,3,FALSE))</f>
        <v>_</v>
      </c>
      <c r="AM558" s="47"/>
      <c r="AN558" s="4" t="s">
        <v>16</v>
      </c>
      <c r="AO558" s="43" t="str">
        <f>IF(VLOOKUP(AN558,βοηθητικό!$J$2:$N$354,3,FALSE)="","",VLOOKUP(AN558,βοηθητικό!$J$2:$N$354,3,FALSE))</f>
        <v>_</v>
      </c>
      <c r="AP558" s="44"/>
      <c r="AQ558" s="5" t="s">
        <v>16</v>
      </c>
      <c r="AR558" s="46" t="str">
        <f>IF(VLOOKUP(AQ558,βοηθητικό!$J$2:$N$354,3,FALSE)="","",VLOOKUP(AQ558,βοηθητικό!$J$2:$N$354,3,FALSE))</f>
        <v>_</v>
      </c>
      <c r="AS558" s="47"/>
      <c r="AT558" s="4" t="s">
        <v>16</v>
      </c>
      <c r="AU558" s="43" t="str">
        <f>IF(VLOOKUP(AT558,βοηθητικό!$J$2:$N$354,3,FALSE)="","",VLOOKUP(AT558,βοηθητικό!$J$2:$N$354,3,FALSE))</f>
        <v>_</v>
      </c>
      <c r="AV558" s="44"/>
      <c r="AW558" s="5" t="s">
        <v>16</v>
      </c>
      <c r="AX558" s="46" t="str">
        <f>IF(VLOOKUP(AW558,βοηθητικό!$J$2:$N$354,3,FALSE)="","",VLOOKUP(AW558,βοηθητικό!$J$2:$N$354,3,FALSE))</f>
        <v>_</v>
      </c>
      <c r="AY558" s="47"/>
      <c r="AZ558" s="4" t="s">
        <v>16</v>
      </c>
      <c r="BA558" s="43" t="str">
        <f>IF(VLOOKUP(AZ558,βοηθητικό!$J$2:$N$354,3,FALSE)="","",VLOOKUP(AZ558,βοηθητικό!$J$2:$N$354,3,FALSE))</f>
        <v>_</v>
      </c>
      <c r="BB558" s="44"/>
      <c r="BC558" s="45" t="s">
        <v>16</v>
      </c>
      <c r="BD558" s="46" t="str">
        <f>IF(VLOOKUP(BC558,βοηθητικό!$J$2:$N$354,3,FALSE)="","",VLOOKUP(BC558,βοηθητικό!$J$2:$N$354,3,FALSE))</f>
        <v>_</v>
      </c>
      <c r="BE558" s="47"/>
      <c r="BF558" s="42" t="s">
        <v>16</v>
      </c>
      <c r="BG558" s="43" t="str">
        <f>IF(VLOOKUP(BF558,βοηθητικό!$J$2:$N$354,3,FALSE)="","",VLOOKUP(BF558,βοηθητικό!$J$2:$N$354,3,FALSE))</f>
        <v>_</v>
      </c>
      <c r="BH558" s="44"/>
      <c r="BI558" s="45" t="s">
        <v>16</v>
      </c>
      <c r="BJ558" s="46" t="str">
        <f>IF(VLOOKUP(BI558,βοηθητικό!$J$2:$N$354,3,FALSE)="","",VLOOKUP(BI558,βοηθητικό!$J$2:$N$354,3,FALSE))</f>
        <v>_</v>
      </c>
      <c r="BK558" s="47"/>
      <c r="BL558" s="42" t="s">
        <v>16</v>
      </c>
      <c r="BM558" s="43" t="str">
        <f>IF(VLOOKUP(BL558,βοηθητικό!$J$2:$N$354,3,FALSE)="","",VLOOKUP(BL558,βοηθητικό!$J$2:$N$354,3,FALSE))</f>
        <v>_</v>
      </c>
      <c r="BN558" s="44"/>
      <c r="BO558" s="45" t="s">
        <v>16</v>
      </c>
      <c r="BP558" s="46" t="str">
        <f>IF(VLOOKUP(BO558,βοηθητικό!$J$2:$N$354,3,FALSE)="","",VLOOKUP(BO558,βοηθητικό!$J$2:$N$354,3,FALSE))</f>
        <v>_</v>
      </c>
      <c r="BQ558" s="47"/>
      <c r="BR558" s="42" t="s">
        <v>16</v>
      </c>
      <c r="BS558" s="43" t="str">
        <f>IF(VLOOKUP(BR558,βοηθητικό!$J$2:$N$354,3,FALSE)="","",VLOOKUP(BR558,βοηθητικό!$J$2:$N$354,3,FALSE))</f>
        <v>_</v>
      </c>
      <c r="BT558" s="44"/>
      <c r="BU558" s="45" t="s">
        <v>16</v>
      </c>
      <c r="BV558" s="46" t="str">
        <f>IF(VLOOKUP(BU558,βοηθητικό!$J$2:$N$354,3,FALSE)="","",VLOOKUP(BU558,βοηθητικό!$J$2:$N$354,3,FALSE))</f>
        <v>_</v>
      </c>
      <c r="BW558" s="47"/>
      <c r="BX558" s="42" t="s">
        <v>16</v>
      </c>
      <c r="BY558" s="43" t="str">
        <f>IF(VLOOKUP(BX558,βοηθητικό!$J$2:$N$354,3,FALSE)="","",VLOOKUP(BX558,βοηθητικό!$J$2:$N$354,3,FALSE))</f>
        <v>_</v>
      </c>
      <c r="BZ558" s="44"/>
      <c r="CA558" s="45" t="s">
        <v>16</v>
      </c>
      <c r="CB558" s="46" t="str">
        <f>IF(VLOOKUP(CA558,βοηθητικό!$J$2:$N$354,3,FALSE)="","",VLOOKUP(CA558,βοηθητικό!$J$2:$N$354,3,FALSE))</f>
        <v>_</v>
      </c>
      <c r="CC558" s="47"/>
      <c r="CD558" s="42" t="s">
        <v>16</v>
      </c>
      <c r="CE558" s="43" t="str">
        <f>IF(VLOOKUP(CD558,βοηθητικό!$J$2:$N$354,3,FALSE)="","",VLOOKUP(CD558,βοηθητικό!$J$2:$N$354,3,FALSE))</f>
        <v>_</v>
      </c>
      <c r="CF558" s="44"/>
      <c r="CG558" s="45" t="s">
        <v>16</v>
      </c>
      <c r="CH558" s="46" t="str">
        <f>IF(VLOOKUP(CG558,βοηθητικό!$J$2:$N$354,3,FALSE)="","",VLOOKUP(CG558,βοηθητικό!$J$2:$N$354,3,FALSE))</f>
        <v>_</v>
      </c>
      <c r="CI558" s="47"/>
      <c r="CJ558" s="42" t="s">
        <v>16</v>
      </c>
      <c r="CK558" s="43" t="str">
        <f>IF(VLOOKUP(CJ558,βοηθητικό!$J$2:$N$354,3,FALSE)="","",VLOOKUP(CJ558,βοηθητικό!$J$2:$N$354,3,FALSE))</f>
        <v>_</v>
      </c>
      <c r="CL558" s="44"/>
      <c r="CM558" s="45" t="s">
        <v>16</v>
      </c>
      <c r="CN558" s="46" t="str">
        <f>IF(VLOOKUP(CM558,βοηθητικό!$J$2:$N$354,3,FALSE)="","",VLOOKUP(CM558,βοηθητικό!$J$2:$N$354,3,FALSE))</f>
        <v>_</v>
      </c>
      <c r="CO558" s="47"/>
      <c r="CP558" s="42" t="s">
        <v>16</v>
      </c>
      <c r="CQ558" s="43" t="str">
        <f>IF(VLOOKUP(CP558,βοηθητικό!$J$2:$N$354,3,FALSE)="","",VLOOKUP(CP558,βοηθητικό!$J$2:$N$354,3,FALSE))</f>
        <v>_</v>
      </c>
      <c r="CR558" s="44"/>
      <c r="CS558" s="45" t="s">
        <v>16</v>
      </c>
      <c r="CT558" s="46" t="str">
        <f>IF(VLOOKUP(CS558,βοηθητικό!$J$2:$N$354,3,FALSE)="","",VLOOKUP(CS558,βοηθητικό!$J$2:$N$354,3,FALSE))</f>
        <v>_</v>
      </c>
      <c r="CU558" s="47"/>
    </row>
    <row r="559" spans="1:99" x14ac:dyDescent="0.25">
      <c r="A559" s="37">
        <f>--SUBTOTAL(3,$B$3:B558)</f>
        <v>198</v>
      </c>
      <c r="B559" s="2"/>
      <c r="C559" s="3"/>
      <c r="D559" s="55" t="s">
        <v>18</v>
      </c>
      <c r="E559" s="38" t="s">
        <v>16</v>
      </c>
      <c r="F559" s="38"/>
      <c r="G559" s="39" t="str">
        <f t="shared" si="26"/>
        <v>__</v>
      </c>
      <c r="H559" s="40" t="str">
        <f t="shared" si="27"/>
        <v>FALSE</v>
      </c>
      <c r="I559" s="41">
        <f t="shared" si="28"/>
        <v>0</v>
      </c>
      <c r="J559" s="4" t="s">
        <v>16</v>
      </c>
      <c r="K559" s="43" t="str">
        <f>IF(VLOOKUP(J559,βοηθητικό!$J$2:$N$354,3,FALSE)="","",VLOOKUP(J559,βοηθητικό!$J$2:$N$354,3,FALSE))</f>
        <v>_</v>
      </c>
      <c r="L559" s="44"/>
      <c r="M559" s="5" t="s">
        <v>16</v>
      </c>
      <c r="N559" s="46" t="str">
        <f>IF(VLOOKUP(M559,βοηθητικό!$J$2:$N$354,3,FALSE)="","",VLOOKUP(M559,βοηθητικό!$J$2:$N$354,3,FALSE))</f>
        <v>_</v>
      </c>
      <c r="O559" s="47"/>
      <c r="P559" s="4" t="s">
        <v>16</v>
      </c>
      <c r="Q559" s="43" t="str">
        <f>IF(VLOOKUP(P559,βοηθητικό!$J$2:$N$354,3,FALSE)="","",VLOOKUP(P559,βοηθητικό!$J$2:$N$354,3,FALSE))</f>
        <v>_</v>
      </c>
      <c r="R559" s="44"/>
      <c r="S559" s="5" t="s">
        <v>16</v>
      </c>
      <c r="T559" s="46" t="str">
        <f>IF(VLOOKUP(S559,βοηθητικό!$J$2:$N$354,3,FALSE)="","",VLOOKUP(S559,βοηθητικό!$J$2:$N$354,3,FALSE))</f>
        <v>_</v>
      </c>
      <c r="U559" s="47"/>
      <c r="V559" s="4" t="s">
        <v>16</v>
      </c>
      <c r="W559" s="43" t="str">
        <f>IF(VLOOKUP(V559,βοηθητικό!$J$2:$N$354,3,FALSE)="","",VLOOKUP(V559,βοηθητικό!$J$2:$N$354,3,FALSE))</f>
        <v>_</v>
      </c>
      <c r="X559" s="44"/>
      <c r="Y559" s="5" t="s">
        <v>16</v>
      </c>
      <c r="Z559" s="46" t="str">
        <f>IF(VLOOKUP(Y559,βοηθητικό!$J$2:$N$354,3,FALSE)="","",VLOOKUP(Y559,βοηθητικό!$J$2:$N$354,3,FALSE))</f>
        <v>_</v>
      </c>
      <c r="AA559" s="47"/>
      <c r="AB559" s="4" t="s">
        <v>16</v>
      </c>
      <c r="AC559" s="43" t="str">
        <f>IF(VLOOKUP(AB559,βοηθητικό!$J$2:$N$354,3,FALSE)="","",VLOOKUP(AB559,βοηθητικό!$J$2:$N$354,3,FALSE))</f>
        <v>_</v>
      </c>
      <c r="AD559" s="44"/>
      <c r="AE559" s="5" t="s">
        <v>16</v>
      </c>
      <c r="AF559" s="46" t="str">
        <f>IF(VLOOKUP(AE559,βοηθητικό!$J$2:$N$354,3,FALSE)="","",VLOOKUP(AE559,βοηθητικό!$J$2:$N$354,3,FALSE))</f>
        <v>_</v>
      </c>
      <c r="AG559" s="47"/>
      <c r="AH559" s="4" t="s">
        <v>16</v>
      </c>
      <c r="AI559" s="43" t="str">
        <f>IF(VLOOKUP(AH559,βοηθητικό!$J$2:$N$354,3,FALSE)="","",VLOOKUP(AH559,βοηθητικό!$J$2:$N$354,3,FALSE))</f>
        <v>_</v>
      </c>
      <c r="AJ559" s="44"/>
      <c r="AK559" s="5" t="s">
        <v>16</v>
      </c>
      <c r="AL559" s="46" t="str">
        <f>IF(VLOOKUP(AK559,βοηθητικό!$J$2:$N$354,3,FALSE)="","",VLOOKUP(AK559,βοηθητικό!$J$2:$N$354,3,FALSE))</f>
        <v>_</v>
      </c>
      <c r="AM559" s="47"/>
      <c r="AN559" s="4" t="s">
        <v>16</v>
      </c>
      <c r="AO559" s="43" t="str">
        <f>IF(VLOOKUP(AN559,βοηθητικό!$J$2:$N$354,3,FALSE)="","",VLOOKUP(AN559,βοηθητικό!$J$2:$N$354,3,FALSE))</f>
        <v>_</v>
      </c>
      <c r="AP559" s="44"/>
      <c r="AQ559" s="5" t="s">
        <v>16</v>
      </c>
      <c r="AR559" s="46" t="str">
        <f>IF(VLOOKUP(AQ559,βοηθητικό!$J$2:$N$354,3,FALSE)="","",VLOOKUP(AQ559,βοηθητικό!$J$2:$N$354,3,FALSE))</f>
        <v>_</v>
      </c>
      <c r="AS559" s="47"/>
      <c r="AT559" s="4" t="s">
        <v>16</v>
      </c>
      <c r="AU559" s="43" t="str">
        <f>IF(VLOOKUP(AT559,βοηθητικό!$J$2:$N$354,3,FALSE)="","",VLOOKUP(AT559,βοηθητικό!$J$2:$N$354,3,FALSE))</f>
        <v>_</v>
      </c>
      <c r="AV559" s="44"/>
      <c r="AW559" s="5" t="s">
        <v>16</v>
      </c>
      <c r="AX559" s="46" t="str">
        <f>IF(VLOOKUP(AW559,βοηθητικό!$J$2:$N$354,3,FALSE)="","",VLOOKUP(AW559,βοηθητικό!$J$2:$N$354,3,FALSE))</f>
        <v>_</v>
      </c>
      <c r="AY559" s="47"/>
      <c r="AZ559" s="4" t="s">
        <v>16</v>
      </c>
      <c r="BA559" s="43" t="str">
        <f>IF(VLOOKUP(AZ559,βοηθητικό!$J$2:$N$354,3,FALSE)="","",VLOOKUP(AZ559,βοηθητικό!$J$2:$N$354,3,FALSE))</f>
        <v>_</v>
      </c>
      <c r="BB559" s="44"/>
      <c r="BC559" s="45" t="s">
        <v>16</v>
      </c>
      <c r="BD559" s="46" t="str">
        <f>IF(VLOOKUP(BC559,βοηθητικό!$J$2:$N$354,3,FALSE)="","",VLOOKUP(BC559,βοηθητικό!$J$2:$N$354,3,FALSE))</f>
        <v>_</v>
      </c>
      <c r="BE559" s="47"/>
      <c r="BF559" s="42" t="s">
        <v>16</v>
      </c>
      <c r="BG559" s="43" t="str">
        <f>IF(VLOOKUP(BF559,βοηθητικό!$J$2:$N$354,3,FALSE)="","",VLOOKUP(BF559,βοηθητικό!$J$2:$N$354,3,FALSE))</f>
        <v>_</v>
      </c>
      <c r="BH559" s="44"/>
      <c r="BI559" s="45" t="s">
        <v>16</v>
      </c>
      <c r="BJ559" s="46" t="str">
        <f>IF(VLOOKUP(BI559,βοηθητικό!$J$2:$N$354,3,FALSE)="","",VLOOKUP(BI559,βοηθητικό!$J$2:$N$354,3,FALSE))</f>
        <v>_</v>
      </c>
      <c r="BK559" s="47"/>
      <c r="BL559" s="42" t="s">
        <v>16</v>
      </c>
      <c r="BM559" s="43" t="str">
        <f>IF(VLOOKUP(BL559,βοηθητικό!$J$2:$N$354,3,FALSE)="","",VLOOKUP(BL559,βοηθητικό!$J$2:$N$354,3,FALSE))</f>
        <v>_</v>
      </c>
      <c r="BN559" s="44"/>
      <c r="BO559" s="45" t="s">
        <v>16</v>
      </c>
      <c r="BP559" s="46" t="str">
        <f>IF(VLOOKUP(BO559,βοηθητικό!$J$2:$N$354,3,FALSE)="","",VLOOKUP(BO559,βοηθητικό!$J$2:$N$354,3,FALSE))</f>
        <v>_</v>
      </c>
      <c r="BQ559" s="47"/>
      <c r="BR559" s="42" t="s">
        <v>16</v>
      </c>
      <c r="BS559" s="43" t="str">
        <f>IF(VLOOKUP(BR559,βοηθητικό!$J$2:$N$354,3,FALSE)="","",VLOOKUP(BR559,βοηθητικό!$J$2:$N$354,3,FALSE))</f>
        <v>_</v>
      </c>
      <c r="BT559" s="44"/>
      <c r="BU559" s="45" t="s">
        <v>16</v>
      </c>
      <c r="BV559" s="46" t="str">
        <f>IF(VLOOKUP(BU559,βοηθητικό!$J$2:$N$354,3,FALSE)="","",VLOOKUP(BU559,βοηθητικό!$J$2:$N$354,3,FALSE))</f>
        <v>_</v>
      </c>
      <c r="BW559" s="47"/>
      <c r="BX559" s="42" t="s">
        <v>16</v>
      </c>
      <c r="BY559" s="43" t="str">
        <f>IF(VLOOKUP(BX559,βοηθητικό!$J$2:$N$354,3,FALSE)="","",VLOOKUP(BX559,βοηθητικό!$J$2:$N$354,3,FALSE))</f>
        <v>_</v>
      </c>
      <c r="BZ559" s="44"/>
      <c r="CA559" s="45" t="s">
        <v>16</v>
      </c>
      <c r="CB559" s="46" t="str">
        <f>IF(VLOOKUP(CA559,βοηθητικό!$J$2:$N$354,3,FALSE)="","",VLOOKUP(CA559,βοηθητικό!$J$2:$N$354,3,FALSE))</f>
        <v>_</v>
      </c>
      <c r="CC559" s="47"/>
      <c r="CD559" s="42" t="s">
        <v>16</v>
      </c>
      <c r="CE559" s="43" t="str">
        <f>IF(VLOOKUP(CD559,βοηθητικό!$J$2:$N$354,3,FALSE)="","",VLOOKUP(CD559,βοηθητικό!$J$2:$N$354,3,FALSE))</f>
        <v>_</v>
      </c>
      <c r="CF559" s="44"/>
      <c r="CG559" s="45" t="s">
        <v>16</v>
      </c>
      <c r="CH559" s="46" t="str">
        <f>IF(VLOOKUP(CG559,βοηθητικό!$J$2:$N$354,3,FALSE)="","",VLOOKUP(CG559,βοηθητικό!$J$2:$N$354,3,FALSE))</f>
        <v>_</v>
      </c>
      <c r="CI559" s="47"/>
      <c r="CJ559" s="42" t="s">
        <v>16</v>
      </c>
      <c r="CK559" s="43" t="str">
        <f>IF(VLOOKUP(CJ559,βοηθητικό!$J$2:$N$354,3,FALSE)="","",VLOOKUP(CJ559,βοηθητικό!$J$2:$N$354,3,FALSE))</f>
        <v>_</v>
      </c>
      <c r="CL559" s="44"/>
      <c r="CM559" s="45" t="s">
        <v>16</v>
      </c>
      <c r="CN559" s="46" t="str">
        <f>IF(VLOOKUP(CM559,βοηθητικό!$J$2:$N$354,3,FALSE)="","",VLOOKUP(CM559,βοηθητικό!$J$2:$N$354,3,FALSE))</f>
        <v>_</v>
      </c>
      <c r="CO559" s="47"/>
      <c r="CP559" s="42" t="s">
        <v>16</v>
      </c>
      <c r="CQ559" s="43" t="str">
        <f>IF(VLOOKUP(CP559,βοηθητικό!$J$2:$N$354,3,FALSE)="","",VLOOKUP(CP559,βοηθητικό!$J$2:$N$354,3,FALSE))</f>
        <v>_</v>
      </c>
      <c r="CR559" s="44"/>
      <c r="CS559" s="45" t="s">
        <v>16</v>
      </c>
      <c r="CT559" s="46" t="str">
        <f>IF(VLOOKUP(CS559,βοηθητικό!$J$2:$N$354,3,FALSE)="","",VLOOKUP(CS559,βοηθητικό!$J$2:$N$354,3,FALSE))</f>
        <v>_</v>
      </c>
      <c r="CU559" s="47"/>
    </row>
    <row r="560" spans="1:99" x14ac:dyDescent="0.25">
      <c r="A560" s="37">
        <f>--SUBTOTAL(3,$B$3:B559)</f>
        <v>198</v>
      </c>
      <c r="B560" s="2"/>
      <c r="C560" s="3"/>
      <c r="D560" s="55" t="s">
        <v>18</v>
      </c>
      <c r="E560" s="38" t="s">
        <v>16</v>
      </c>
      <c r="F560" s="38"/>
      <c r="G560" s="39" t="str">
        <f t="shared" si="26"/>
        <v>__</v>
      </c>
      <c r="H560" s="40" t="str">
        <f t="shared" si="27"/>
        <v>FALSE</v>
      </c>
      <c r="I560" s="41">
        <f t="shared" si="28"/>
        <v>0</v>
      </c>
      <c r="J560" s="4" t="s">
        <v>16</v>
      </c>
      <c r="K560" s="43" t="str">
        <f>IF(VLOOKUP(J560,βοηθητικό!$J$2:$N$354,3,FALSE)="","",VLOOKUP(J560,βοηθητικό!$J$2:$N$354,3,FALSE))</f>
        <v>_</v>
      </c>
      <c r="L560" s="44"/>
      <c r="M560" s="5" t="s">
        <v>16</v>
      </c>
      <c r="N560" s="46" t="str">
        <f>IF(VLOOKUP(M560,βοηθητικό!$J$2:$N$354,3,FALSE)="","",VLOOKUP(M560,βοηθητικό!$J$2:$N$354,3,FALSE))</f>
        <v>_</v>
      </c>
      <c r="O560" s="47"/>
      <c r="P560" s="4" t="s">
        <v>16</v>
      </c>
      <c r="Q560" s="43" t="str">
        <f>IF(VLOOKUP(P560,βοηθητικό!$J$2:$N$354,3,FALSE)="","",VLOOKUP(P560,βοηθητικό!$J$2:$N$354,3,FALSE))</f>
        <v>_</v>
      </c>
      <c r="R560" s="44"/>
      <c r="S560" s="5" t="s">
        <v>16</v>
      </c>
      <c r="T560" s="46" t="str">
        <f>IF(VLOOKUP(S560,βοηθητικό!$J$2:$N$354,3,FALSE)="","",VLOOKUP(S560,βοηθητικό!$J$2:$N$354,3,FALSE))</f>
        <v>_</v>
      </c>
      <c r="U560" s="47"/>
      <c r="V560" s="4" t="s">
        <v>16</v>
      </c>
      <c r="W560" s="43" t="str">
        <f>IF(VLOOKUP(V560,βοηθητικό!$J$2:$N$354,3,FALSE)="","",VLOOKUP(V560,βοηθητικό!$J$2:$N$354,3,FALSE))</f>
        <v>_</v>
      </c>
      <c r="X560" s="44"/>
      <c r="Y560" s="5" t="s">
        <v>16</v>
      </c>
      <c r="Z560" s="46" t="str">
        <f>IF(VLOOKUP(Y560,βοηθητικό!$J$2:$N$354,3,FALSE)="","",VLOOKUP(Y560,βοηθητικό!$J$2:$N$354,3,FALSE))</f>
        <v>_</v>
      </c>
      <c r="AA560" s="47"/>
      <c r="AB560" s="4" t="s">
        <v>16</v>
      </c>
      <c r="AC560" s="43" t="str">
        <f>IF(VLOOKUP(AB560,βοηθητικό!$J$2:$N$354,3,FALSE)="","",VLOOKUP(AB560,βοηθητικό!$J$2:$N$354,3,FALSE))</f>
        <v>_</v>
      </c>
      <c r="AD560" s="44"/>
      <c r="AE560" s="5" t="s">
        <v>16</v>
      </c>
      <c r="AF560" s="46" t="str">
        <f>IF(VLOOKUP(AE560,βοηθητικό!$J$2:$N$354,3,FALSE)="","",VLOOKUP(AE560,βοηθητικό!$J$2:$N$354,3,FALSE))</f>
        <v>_</v>
      </c>
      <c r="AG560" s="47"/>
      <c r="AH560" s="4" t="s">
        <v>16</v>
      </c>
      <c r="AI560" s="43" t="str">
        <f>IF(VLOOKUP(AH560,βοηθητικό!$J$2:$N$354,3,FALSE)="","",VLOOKUP(AH560,βοηθητικό!$J$2:$N$354,3,FALSE))</f>
        <v>_</v>
      </c>
      <c r="AJ560" s="44"/>
      <c r="AK560" s="5" t="s">
        <v>16</v>
      </c>
      <c r="AL560" s="46" t="str">
        <f>IF(VLOOKUP(AK560,βοηθητικό!$J$2:$N$354,3,FALSE)="","",VLOOKUP(AK560,βοηθητικό!$J$2:$N$354,3,FALSE))</f>
        <v>_</v>
      </c>
      <c r="AM560" s="47"/>
      <c r="AN560" s="4" t="s">
        <v>16</v>
      </c>
      <c r="AO560" s="43" t="str">
        <f>IF(VLOOKUP(AN560,βοηθητικό!$J$2:$N$354,3,FALSE)="","",VLOOKUP(AN560,βοηθητικό!$J$2:$N$354,3,FALSE))</f>
        <v>_</v>
      </c>
      <c r="AP560" s="44"/>
      <c r="AQ560" s="5" t="s">
        <v>16</v>
      </c>
      <c r="AR560" s="46" t="str">
        <f>IF(VLOOKUP(AQ560,βοηθητικό!$J$2:$N$354,3,FALSE)="","",VLOOKUP(AQ560,βοηθητικό!$J$2:$N$354,3,FALSE))</f>
        <v>_</v>
      </c>
      <c r="AS560" s="47"/>
      <c r="AT560" s="4" t="s">
        <v>16</v>
      </c>
      <c r="AU560" s="43" t="str">
        <f>IF(VLOOKUP(AT560,βοηθητικό!$J$2:$N$354,3,FALSE)="","",VLOOKUP(AT560,βοηθητικό!$J$2:$N$354,3,FALSE))</f>
        <v>_</v>
      </c>
      <c r="AV560" s="44"/>
      <c r="AW560" s="5" t="s">
        <v>16</v>
      </c>
      <c r="AX560" s="46" t="str">
        <f>IF(VLOOKUP(AW560,βοηθητικό!$J$2:$N$354,3,FALSE)="","",VLOOKUP(AW560,βοηθητικό!$J$2:$N$354,3,FALSE))</f>
        <v>_</v>
      </c>
      <c r="AY560" s="47"/>
      <c r="AZ560" s="4" t="s">
        <v>16</v>
      </c>
      <c r="BA560" s="43" t="str">
        <f>IF(VLOOKUP(AZ560,βοηθητικό!$J$2:$N$354,3,FALSE)="","",VLOOKUP(AZ560,βοηθητικό!$J$2:$N$354,3,FALSE))</f>
        <v>_</v>
      </c>
      <c r="BB560" s="44"/>
      <c r="BC560" s="45" t="s">
        <v>16</v>
      </c>
      <c r="BD560" s="46" t="str">
        <f>IF(VLOOKUP(BC560,βοηθητικό!$J$2:$N$354,3,FALSE)="","",VLOOKUP(BC560,βοηθητικό!$J$2:$N$354,3,FALSE))</f>
        <v>_</v>
      </c>
      <c r="BE560" s="47"/>
      <c r="BF560" s="42" t="s">
        <v>16</v>
      </c>
      <c r="BG560" s="43" t="str">
        <f>IF(VLOOKUP(BF560,βοηθητικό!$J$2:$N$354,3,FALSE)="","",VLOOKUP(BF560,βοηθητικό!$J$2:$N$354,3,FALSE))</f>
        <v>_</v>
      </c>
      <c r="BH560" s="44"/>
      <c r="BI560" s="45" t="s">
        <v>16</v>
      </c>
      <c r="BJ560" s="46" t="str">
        <f>IF(VLOOKUP(BI560,βοηθητικό!$J$2:$N$354,3,FALSE)="","",VLOOKUP(BI560,βοηθητικό!$J$2:$N$354,3,FALSE))</f>
        <v>_</v>
      </c>
      <c r="BK560" s="47"/>
      <c r="BL560" s="42" t="s">
        <v>16</v>
      </c>
      <c r="BM560" s="43" t="str">
        <f>IF(VLOOKUP(BL560,βοηθητικό!$J$2:$N$354,3,FALSE)="","",VLOOKUP(BL560,βοηθητικό!$J$2:$N$354,3,FALSE))</f>
        <v>_</v>
      </c>
      <c r="BN560" s="44"/>
      <c r="BO560" s="45" t="s">
        <v>16</v>
      </c>
      <c r="BP560" s="46" t="str">
        <f>IF(VLOOKUP(BO560,βοηθητικό!$J$2:$N$354,3,FALSE)="","",VLOOKUP(BO560,βοηθητικό!$J$2:$N$354,3,FALSE))</f>
        <v>_</v>
      </c>
      <c r="BQ560" s="47"/>
      <c r="BR560" s="42" t="s">
        <v>16</v>
      </c>
      <c r="BS560" s="43" t="str">
        <f>IF(VLOOKUP(BR560,βοηθητικό!$J$2:$N$354,3,FALSE)="","",VLOOKUP(BR560,βοηθητικό!$J$2:$N$354,3,FALSE))</f>
        <v>_</v>
      </c>
      <c r="BT560" s="44"/>
      <c r="BU560" s="45" t="s">
        <v>16</v>
      </c>
      <c r="BV560" s="46" t="str">
        <f>IF(VLOOKUP(BU560,βοηθητικό!$J$2:$N$354,3,FALSE)="","",VLOOKUP(BU560,βοηθητικό!$J$2:$N$354,3,FALSE))</f>
        <v>_</v>
      </c>
      <c r="BW560" s="47"/>
      <c r="BX560" s="42" t="s">
        <v>16</v>
      </c>
      <c r="BY560" s="43" t="str">
        <f>IF(VLOOKUP(BX560,βοηθητικό!$J$2:$N$354,3,FALSE)="","",VLOOKUP(BX560,βοηθητικό!$J$2:$N$354,3,FALSE))</f>
        <v>_</v>
      </c>
      <c r="BZ560" s="44"/>
      <c r="CA560" s="45" t="s">
        <v>16</v>
      </c>
      <c r="CB560" s="46" t="str">
        <f>IF(VLOOKUP(CA560,βοηθητικό!$J$2:$N$354,3,FALSE)="","",VLOOKUP(CA560,βοηθητικό!$J$2:$N$354,3,FALSE))</f>
        <v>_</v>
      </c>
      <c r="CC560" s="47"/>
      <c r="CD560" s="42" t="s">
        <v>16</v>
      </c>
      <c r="CE560" s="43" t="str">
        <f>IF(VLOOKUP(CD560,βοηθητικό!$J$2:$N$354,3,FALSE)="","",VLOOKUP(CD560,βοηθητικό!$J$2:$N$354,3,FALSE))</f>
        <v>_</v>
      </c>
      <c r="CF560" s="44"/>
      <c r="CG560" s="45" t="s">
        <v>16</v>
      </c>
      <c r="CH560" s="46" t="str">
        <f>IF(VLOOKUP(CG560,βοηθητικό!$J$2:$N$354,3,FALSE)="","",VLOOKUP(CG560,βοηθητικό!$J$2:$N$354,3,FALSE))</f>
        <v>_</v>
      </c>
      <c r="CI560" s="47"/>
      <c r="CJ560" s="42" t="s">
        <v>16</v>
      </c>
      <c r="CK560" s="43" t="str">
        <f>IF(VLOOKUP(CJ560,βοηθητικό!$J$2:$N$354,3,FALSE)="","",VLOOKUP(CJ560,βοηθητικό!$J$2:$N$354,3,FALSE))</f>
        <v>_</v>
      </c>
      <c r="CL560" s="44"/>
      <c r="CM560" s="45" t="s">
        <v>16</v>
      </c>
      <c r="CN560" s="46" t="str">
        <f>IF(VLOOKUP(CM560,βοηθητικό!$J$2:$N$354,3,FALSE)="","",VLOOKUP(CM560,βοηθητικό!$J$2:$N$354,3,FALSE))</f>
        <v>_</v>
      </c>
      <c r="CO560" s="47"/>
      <c r="CP560" s="42" t="s">
        <v>16</v>
      </c>
      <c r="CQ560" s="43" t="str">
        <f>IF(VLOOKUP(CP560,βοηθητικό!$J$2:$N$354,3,FALSE)="","",VLOOKUP(CP560,βοηθητικό!$J$2:$N$354,3,FALSE))</f>
        <v>_</v>
      </c>
      <c r="CR560" s="44"/>
      <c r="CS560" s="45" t="s">
        <v>16</v>
      </c>
      <c r="CT560" s="46" t="str">
        <f>IF(VLOOKUP(CS560,βοηθητικό!$J$2:$N$354,3,FALSE)="","",VLOOKUP(CS560,βοηθητικό!$J$2:$N$354,3,FALSE))</f>
        <v>_</v>
      </c>
      <c r="CU560" s="47"/>
    </row>
    <row r="561" spans="1:99" x14ac:dyDescent="0.25">
      <c r="A561" s="37">
        <f>--SUBTOTAL(3,$B$3:B560)</f>
        <v>198</v>
      </c>
      <c r="B561" s="2"/>
      <c r="C561" s="3"/>
      <c r="D561" s="55" t="s">
        <v>18</v>
      </c>
      <c r="E561" s="38" t="s">
        <v>16</v>
      </c>
      <c r="F561" s="38"/>
      <c r="G561" s="39" t="str">
        <f t="shared" si="26"/>
        <v>__</v>
      </c>
      <c r="H561" s="40" t="str">
        <f t="shared" si="27"/>
        <v>FALSE</v>
      </c>
      <c r="I561" s="41">
        <f t="shared" si="28"/>
        <v>0</v>
      </c>
      <c r="J561" s="4" t="s">
        <v>16</v>
      </c>
      <c r="K561" s="43" t="str">
        <f>IF(VLOOKUP(J561,βοηθητικό!$J$2:$N$354,3,FALSE)="","",VLOOKUP(J561,βοηθητικό!$J$2:$N$354,3,FALSE))</f>
        <v>_</v>
      </c>
      <c r="L561" s="44"/>
      <c r="M561" s="5" t="s">
        <v>16</v>
      </c>
      <c r="N561" s="46" t="str">
        <f>IF(VLOOKUP(M561,βοηθητικό!$J$2:$N$354,3,FALSE)="","",VLOOKUP(M561,βοηθητικό!$J$2:$N$354,3,FALSE))</f>
        <v>_</v>
      </c>
      <c r="O561" s="47"/>
      <c r="P561" s="4" t="s">
        <v>16</v>
      </c>
      <c r="Q561" s="43" t="str">
        <f>IF(VLOOKUP(P561,βοηθητικό!$J$2:$N$354,3,FALSE)="","",VLOOKUP(P561,βοηθητικό!$J$2:$N$354,3,FALSE))</f>
        <v>_</v>
      </c>
      <c r="R561" s="44"/>
      <c r="S561" s="5" t="s">
        <v>16</v>
      </c>
      <c r="T561" s="46" t="str">
        <f>IF(VLOOKUP(S561,βοηθητικό!$J$2:$N$354,3,FALSE)="","",VLOOKUP(S561,βοηθητικό!$J$2:$N$354,3,FALSE))</f>
        <v>_</v>
      </c>
      <c r="U561" s="47"/>
      <c r="V561" s="4" t="s">
        <v>16</v>
      </c>
      <c r="W561" s="43" t="str">
        <f>IF(VLOOKUP(V561,βοηθητικό!$J$2:$N$354,3,FALSE)="","",VLOOKUP(V561,βοηθητικό!$J$2:$N$354,3,FALSE))</f>
        <v>_</v>
      </c>
      <c r="X561" s="44"/>
      <c r="Y561" s="5" t="s">
        <v>16</v>
      </c>
      <c r="Z561" s="46" t="str">
        <f>IF(VLOOKUP(Y561,βοηθητικό!$J$2:$N$354,3,FALSE)="","",VLOOKUP(Y561,βοηθητικό!$J$2:$N$354,3,FALSE))</f>
        <v>_</v>
      </c>
      <c r="AA561" s="47"/>
      <c r="AB561" s="4" t="s">
        <v>16</v>
      </c>
      <c r="AC561" s="43" t="str">
        <f>IF(VLOOKUP(AB561,βοηθητικό!$J$2:$N$354,3,FALSE)="","",VLOOKUP(AB561,βοηθητικό!$J$2:$N$354,3,FALSE))</f>
        <v>_</v>
      </c>
      <c r="AD561" s="44"/>
      <c r="AE561" s="5" t="s">
        <v>16</v>
      </c>
      <c r="AF561" s="46" t="str">
        <f>IF(VLOOKUP(AE561,βοηθητικό!$J$2:$N$354,3,FALSE)="","",VLOOKUP(AE561,βοηθητικό!$J$2:$N$354,3,FALSE))</f>
        <v>_</v>
      </c>
      <c r="AG561" s="47"/>
      <c r="AH561" s="4" t="s">
        <v>16</v>
      </c>
      <c r="AI561" s="43" t="str">
        <f>IF(VLOOKUP(AH561,βοηθητικό!$J$2:$N$354,3,FALSE)="","",VLOOKUP(AH561,βοηθητικό!$J$2:$N$354,3,FALSE))</f>
        <v>_</v>
      </c>
      <c r="AJ561" s="44"/>
      <c r="AK561" s="5" t="s">
        <v>16</v>
      </c>
      <c r="AL561" s="46" t="str">
        <f>IF(VLOOKUP(AK561,βοηθητικό!$J$2:$N$354,3,FALSE)="","",VLOOKUP(AK561,βοηθητικό!$J$2:$N$354,3,FALSE))</f>
        <v>_</v>
      </c>
      <c r="AM561" s="47"/>
      <c r="AN561" s="4" t="s">
        <v>16</v>
      </c>
      <c r="AO561" s="43" t="str">
        <f>IF(VLOOKUP(AN561,βοηθητικό!$J$2:$N$354,3,FALSE)="","",VLOOKUP(AN561,βοηθητικό!$J$2:$N$354,3,FALSE))</f>
        <v>_</v>
      </c>
      <c r="AP561" s="44"/>
      <c r="AQ561" s="5" t="s">
        <v>16</v>
      </c>
      <c r="AR561" s="46" t="str">
        <f>IF(VLOOKUP(AQ561,βοηθητικό!$J$2:$N$354,3,FALSE)="","",VLOOKUP(AQ561,βοηθητικό!$J$2:$N$354,3,FALSE))</f>
        <v>_</v>
      </c>
      <c r="AS561" s="47"/>
      <c r="AT561" s="4" t="s">
        <v>16</v>
      </c>
      <c r="AU561" s="43" t="str">
        <f>IF(VLOOKUP(AT561,βοηθητικό!$J$2:$N$354,3,FALSE)="","",VLOOKUP(AT561,βοηθητικό!$J$2:$N$354,3,FALSE))</f>
        <v>_</v>
      </c>
      <c r="AV561" s="44"/>
      <c r="AW561" s="5" t="s">
        <v>16</v>
      </c>
      <c r="AX561" s="46" t="str">
        <f>IF(VLOOKUP(AW561,βοηθητικό!$J$2:$N$354,3,FALSE)="","",VLOOKUP(AW561,βοηθητικό!$J$2:$N$354,3,FALSE))</f>
        <v>_</v>
      </c>
      <c r="AY561" s="47"/>
      <c r="AZ561" s="4" t="s">
        <v>16</v>
      </c>
      <c r="BA561" s="43" t="str">
        <f>IF(VLOOKUP(AZ561,βοηθητικό!$J$2:$N$354,3,FALSE)="","",VLOOKUP(AZ561,βοηθητικό!$J$2:$N$354,3,FALSE))</f>
        <v>_</v>
      </c>
      <c r="BB561" s="44"/>
      <c r="BC561" s="45" t="s">
        <v>16</v>
      </c>
      <c r="BD561" s="46" t="str">
        <f>IF(VLOOKUP(BC561,βοηθητικό!$J$2:$N$354,3,FALSE)="","",VLOOKUP(BC561,βοηθητικό!$J$2:$N$354,3,FALSE))</f>
        <v>_</v>
      </c>
      <c r="BE561" s="47"/>
      <c r="BF561" s="42" t="s">
        <v>16</v>
      </c>
      <c r="BG561" s="43" t="str">
        <f>IF(VLOOKUP(BF561,βοηθητικό!$J$2:$N$354,3,FALSE)="","",VLOOKUP(BF561,βοηθητικό!$J$2:$N$354,3,FALSE))</f>
        <v>_</v>
      </c>
      <c r="BH561" s="44"/>
      <c r="BI561" s="45" t="s">
        <v>16</v>
      </c>
      <c r="BJ561" s="46" t="str">
        <f>IF(VLOOKUP(BI561,βοηθητικό!$J$2:$N$354,3,FALSE)="","",VLOOKUP(BI561,βοηθητικό!$J$2:$N$354,3,FALSE))</f>
        <v>_</v>
      </c>
      <c r="BK561" s="47"/>
      <c r="BL561" s="42" t="s">
        <v>16</v>
      </c>
      <c r="BM561" s="43" t="str">
        <f>IF(VLOOKUP(BL561,βοηθητικό!$J$2:$N$354,3,FALSE)="","",VLOOKUP(BL561,βοηθητικό!$J$2:$N$354,3,FALSE))</f>
        <v>_</v>
      </c>
      <c r="BN561" s="44"/>
      <c r="BO561" s="45" t="s">
        <v>16</v>
      </c>
      <c r="BP561" s="46" t="str">
        <f>IF(VLOOKUP(BO561,βοηθητικό!$J$2:$N$354,3,FALSE)="","",VLOOKUP(BO561,βοηθητικό!$J$2:$N$354,3,FALSE))</f>
        <v>_</v>
      </c>
      <c r="BQ561" s="47"/>
      <c r="BR561" s="42" t="s">
        <v>16</v>
      </c>
      <c r="BS561" s="43" t="str">
        <f>IF(VLOOKUP(BR561,βοηθητικό!$J$2:$N$354,3,FALSE)="","",VLOOKUP(BR561,βοηθητικό!$J$2:$N$354,3,FALSE))</f>
        <v>_</v>
      </c>
      <c r="BT561" s="44"/>
      <c r="BU561" s="45" t="s">
        <v>16</v>
      </c>
      <c r="BV561" s="46" t="str">
        <f>IF(VLOOKUP(BU561,βοηθητικό!$J$2:$N$354,3,FALSE)="","",VLOOKUP(BU561,βοηθητικό!$J$2:$N$354,3,FALSE))</f>
        <v>_</v>
      </c>
      <c r="BW561" s="47"/>
      <c r="BX561" s="42" t="s">
        <v>16</v>
      </c>
      <c r="BY561" s="43" t="str">
        <f>IF(VLOOKUP(BX561,βοηθητικό!$J$2:$N$354,3,FALSE)="","",VLOOKUP(BX561,βοηθητικό!$J$2:$N$354,3,FALSE))</f>
        <v>_</v>
      </c>
      <c r="BZ561" s="44"/>
      <c r="CA561" s="45" t="s">
        <v>16</v>
      </c>
      <c r="CB561" s="46" t="str">
        <f>IF(VLOOKUP(CA561,βοηθητικό!$J$2:$N$354,3,FALSE)="","",VLOOKUP(CA561,βοηθητικό!$J$2:$N$354,3,FALSE))</f>
        <v>_</v>
      </c>
      <c r="CC561" s="47"/>
      <c r="CD561" s="42" t="s">
        <v>16</v>
      </c>
      <c r="CE561" s="43" t="str">
        <f>IF(VLOOKUP(CD561,βοηθητικό!$J$2:$N$354,3,FALSE)="","",VLOOKUP(CD561,βοηθητικό!$J$2:$N$354,3,FALSE))</f>
        <v>_</v>
      </c>
      <c r="CF561" s="44"/>
      <c r="CG561" s="45" t="s">
        <v>16</v>
      </c>
      <c r="CH561" s="46" t="str">
        <f>IF(VLOOKUP(CG561,βοηθητικό!$J$2:$N$354,3,FALSE)="","",VLOOKUP(CG561,βοηθητικό!$J$2:$N$354,3,FALSE))</f>
        <v>_</v>
      </c>
      <c r="CI561" s="47"/>
      <c r="CJ561" s="42" t="s">
        <v>16</v>
      </c>
      <c r="CK561" s="43" t="str">
        <f>IF(VLOOKUP(CJ561,βοηθητικό!$J$2:$N$354,3,FALSE)="","",VLOOKUP(CJ561,βοηθητικό!$J$2:$N$354,3,FALSE))</f>
        <v>_</v>
      </c>
      <c r="CL561" s="44"/>
      <c r="CM561" s="45" t="s">
        <v>16</v>
      </c>
      <c r="CN561" s="46" t="str">
        <f>IF(VLOOKUP(CM561,βοηθητικό!$J$2:$N$354,3,FALSE)="","",VLOOKUP(CM561,βοηθητικό!$J$2:$N$354,3,FALSE))</f>
        <v>_</v>
      </c>
      <c r="CO561" s="47"/>
      <c r="CP561" s="42" t="s">
        <v>16</v>
      </c>
      <c r="CQ561" s="43" t="str">
        <f>IF(VLOOKUP(CP561,βοηθητικό!$J$2:$N$354,3,FALSE)="","",VLOOKUP(CP561,βοηθητικό!$J$2:$N$354,3,FALSE))</f>
        <v>_</v>
      </c>
      <c r="CR561" s="44"/>
      <c r="CS561" s="45" t="s">
        <v>16</v>
      </c>
      <c r="CT561" s="46" t="str">
        <f>IF(VLOOKUP(CS561,βοηθητικό!$J$2:$N$354,3,FALSE)="","",VLOOKUP(CS561,βοηθητικό!$J$2:$N$354,3,FALSE))</f>
        <v>_</v>
      </c>
      <c r="CU561" s="47"/>
    </row>
    <row r="562" spans="1:99" x14ac:dyDescent="0.25">
      <c r="A562" s="37">
        <f>--SUBTOTAL(3,$B$3:B561)</f>
        <v>198</v>
      </c>
      <c r="B562" s="2"/>
      <c r="C562" s="3"/>
      <c r="D562" s="55" t="s">
        <v>18</v>
      </c>
      <c r="E562" s="38" t="s">
        <v>16</v>
      </c>
      <c r="F562" s="38"/>
      <c r="G562" s="39" t="str">
        <f t="shared" si="26"/>
        <v>__</v>
      </c>
      <c r="H562" s="40" t="str">
        <f t="shared" si="27"/>
        <v>FALSE</v>
      </c>
      <c r="I562" s="41">
        <f t="shared" si="28"/>
        <v>0</v>
      </c>
      <c r="J562" s="4" t="s">
        <v>16</v>
      </c>
      <c r="K562" s="43" t="str">
        <f>IF(VLOOKUP(J562,βοηθητικό!$J$2:$N$354,3,FALSE)="","",VLOOKUP(J562,βοηθητικό!$J$2:$N$354,3,FALSE))</f>
        <v>_</v>
      </c>
      <c r="L562" s="44"/>
      <c r="M562" s="5" t="s">
        <v>16</v>
      </c>
      <c r="N562" s="46" t="str">
        <f>IF(VLOOKUP(M562,βοηθητικό!$J$2:$N$354,3,FALSE)="","",VLOOKUP(M562,βοηθητικό!$J$2:$N$354,3,FALSE))</f>
        <v>_</v>
      </c>
      <c r="O562" s="47"/>
      <c r="P562" s="4" t="s">
        <v>16</v>
      </c>
      <c r="Q562" s="43" t="str">
        <f>IF(VLOOKUP(P562,βοηθητικό!$J$2:$N$354,3,FALSE)="","",VLOOKUP(P562,βοηθητικό!$J$2:$N$354,3,FALSE))</f>
        <v>_</v>
      </c>
      <c r="R562" s="44"/>
      <c r="S562" s="5" t="s">
        <v>16</v>
      </c>
      <c r="T562" s="46" t="str">
        <f>IF(VLOOKUP(S562,βοηθητικό!$J$2:$N$354,3,FALSE)="","",VLOOKUP(S562,βοηθητικό!$J$2:$N$354,3,FALSE))</f>
        <v>_</v>
      </c>
      <c r="U562" s="47"/>
      <c r="V562" s="4" t="s">
        <v>16</v>
      </c>
      <c r="W562" s="43" t="str">
        <f>IF(VLOOKUP(V562,βοηθητικό!$J$2:$N$354,3,FALSE)="","",VLOOKUP(V562,βοηθητικό!$J$2:$N$354,3,FALSE))</f>
        <v>_</v>
      </c>
      <c r="X562" s="44"/>
      <c r="Y562" s="5" t="s">
        <v>16</v>
      </c>
      <c r="Z562" s="46" t="str">
        <f>IF(VLOOKUP(Y562,βοηθητικό!$J$2:$N$354,3,FALSE)="","",VLOOKUP(Y562,βοηθητικό!$J$2:$N$354,3,FALSE))</f>
        <v>_</v>
      </c>
      <c r="AA562" s="47"/>
      <c r="AB562" s="4" t="s">
        <v>16</v>
      </c>
      <c r="AC562" s="43" t="str">
        <f>IF(VLOOKUP(AB562,βοηθητικό!$J$2:$N$354,3,FALSE)="","",VLOOKUP(AB562,βοηθητικό!$J$2:$N$354,3,FALSE))</f>
        <v>_</v>
      </c>
      <c r="AD562" s="44"/>
      <c r="AE562" s="5" t="s">
        <v>16</v>
      </c>
      <c r="AF562" s="46" t="str">
        <f>IF(VLOOKUP(AE562,βοηθητικό!$J$2:$N$354,3,FALSE)="","",VLOOKUP(AE562,βοηθητικό!$J$2:$N$354,3,FALSE))</f>
        <v>_</v>
      </c>
      <c r="AG562" s="47"/>
      <c r="AH562" s="4" t="s">
        <v>16</v>
      </c>
      <c r="AI562" s="43" t="str">
        <f>IF(VLOOKUP(AH562,βοηθητικό!$J$2:$N$354,3,FALSE)="","",VLOOKUP(AH562,βοηθητικό!$J$2:$N$354,3,FALSE))</f>
        <v>_</v>
      </c>
      <c r="AJ562" s="44"/>
      <c r="AK562" s="5" t="s">
        <v>16</v>
      </c>
      <c r="AL562" s="46" t="str">
        <f>IF(VLOOKUP(AK562,βοηθητικό!$J$2:$N$354,3,FALSE)="","",VLOOKUP(AK562,βοηθητικό!$J$2:$N$354,3,FALSE))</f>
        <v>_</v>
      </c>
      <c r="AM562" s="47"/>
      <c r="AN562" s="4" t="s">
        <v>16</v>
      </c>
      <c r="AO562" s="43" t="str">
        <f>IF(VLOOKUP(AN562,βοηθητικό!$J$2:$N$354,3,FALSE)="","",VLOOKUP(AN562,βοηθητικό!$J$2:$N$354,3,FALSE))</f>
        <v>_</v>
      </c>
      <c r="AP562" s="44"/>
      <c r="AQ562" s="5" t="s">
        <v>16</v>
      </c>
      <c r="AR562" s="46" t="str">
        <f>IF(VLOOKUP(AQ562,βοηθητικό!$J$2:$N$354,3,FALSE)="","",VLOOKUP(AQ562,βοηθητικό!$J$2:$N$354,3,FALSE))</f>
        <v>_</v>
      </c>
      <c r="AS562" s="47"/>
      <c r="AT562" s="4" t="s">
        <v>16</v>
      </c>
      <c r="AU562" s="43" t="str">
        <f>IF(VLOOKUP(AT562,βοηθητικό!$J$2:$N$354,3,FALSE)="","",VLOOKUP(AT562,βοηθητικό!$J$2:$N$354,3,FALSE))</f>
        <v>_</v>
      </c>
      <c r="AV562" s="44"/>
      <c r="AW562" s="5" t="s">
        <v>16</v>
      </c>
      <c r="AX562" s="46" t="str">
        <f>IF(VLOOKUP(AW562,βοηθητικό!$J$2:$N$354,3,FALSE)="","",VLOOKUP(AW562,βοηθητικό!$J$2:$N$354,3,FALSE))</f>
        <v>_</v>
      </c>
      <c r="AY562" s="47"/>
      <c r="AZ562" s="4" t="s">
        <v>16</v>
      </c>
      <c r="BA562" s="43" t="str">
        <f>IF(VLOOKUP(AZ562,βοηθητικό!$J$2:$N$354,3,FALSE)="","",VLOOKUP(AZ562,βοηθητικό!$J$2:$N$354,3,FALSE))</f>
        <v>_</v>
      </c>
      <c r="BB562" s="44"/>
      <c r="BC562" s="45" t="s">
        <v>16</v>
      </c>
      <c r="BD562" s="46" t="str">
        <f>IF(VLOOKUP(BC562,βοηθητικό!$J$2:$N$354,3,FALSE)="","",VLOOKUP(BC562,βοηθητικό!$J$2:$N$354,3,FALSE))</f>
        <v>_</v>
      </c>
      <c r="BE562" s="47"/>
      <c r="BF562" s="42" t="s">
        <v>16</v>
      </c>
      <c r="BG562" s="43" t="str">
        <f>IF(VLOOKUP(BF562,βοηθητικό!$J$2:$N$354,3,FALSE)="","",VLOOKUP(BF562,βοηθητικό!$J$2:$N$354,3,FALSE))</f>
        <v>_</v>
      </c>
      <c r="BH562" s="44"/>
      <c r="BI562" s="45" t="s">
        <v>16</v>
      </c>
      <c r="BJ562" s="46" t="str">
        <f>IF(VLOOKUP(BI562,βοηθητικό!$J$2:$N$354,3,FALSE)="","",VLOOKUP(BI562,βοηθητικό!$J$2:$N$354,3,FALSE))</f>
        <v>_</v>
      </c>
      <c r="BK562" s="47"/>
      <c r="BL562" s="42" t="s">
        <v>16</v>
      </c>
      <c r="BM562" s="43" t="str">
        <f>IF(VLOOKUP(BL562,βοηθητικό!$J$2:$N$354,3,FALSE)="","",VLOOKUP(BL562,βοηθητικό!$J$2:$N$354,3,FALSE))</f>
        <v>_</v>
      </c>
      <c r="BN562" s="44"/>
      <c r="BO562" s="45" t="s">
        <v>16</v>
      </c>
      <c r="BP562" s="46" t="str">
        <f>IF(VLOOKUP(BO562,βοηθητικό!$J$2:$N$354,3,FALSE)="","",VLOOKUP(BO562,βοηθητικό!$J$2:$N$354,3,FALSE))</f>
        <v>_</v>
      </c>
      <c r="BQ562" s="47"/>
      <c r="BR562" s="42" t="s">
        <v>16</v>
      </c>
      <c r="BS562" s="43" t="str">
        <f>IF(VLOOKUP(BR562,βοηθητικό!$J$2:$N$354,3,FALSE)="","",VLOOKUP(BR562,βοηθητικό!$J$2:$N$354,3,FALSE))</f>
        <v>_</v>
      </c>
      <c r="BT562" s="44"/>
      <c r="BU562" s="45" t="s">
        <v>16</v>
      </c>
      <c r="BV562" s="46" t="str">
        <f>IF(VLOOKUP(BU562,βοηθητικό!$J$2:$N$354,3,FALSE)="","",VLOOKUP(BU562,βοηθητικό!$J$2:$N$354,3,FALSE))</f>
        <v>_</v>
      </c>
      <c r="BW562" s="47"/>
      <c r="BX562" s="42" t="s">
        <v>16</v>
      </c>
      <c r="BY562" s="43" t="str">
        <f>IF(VLOOKUP(BX562,βοηθητικό!$J$2:$N$354,3,FALSE)="","",VLOOKUP(BX562,βοηθητικό!$J$2:$N$354,3,FALSE))</f>
        <v>_</v>
      </c>
      <c r="BZ562" s="44"/>
      <c r="CA562" s="45" t="s">
        <v>16</v>
      </c>
      <c r="CB562" s="46" t="str">
        <f>IF(VLOOKUP(CA562,βοηθητικό!$J$2:$N$354,3,FALSE)="","",VLOOKUP(CA562,βοηθητικό!$J$2:$N$354,3,FALSE))</f>
        <v>_</v>
      </c>
      <c r="CC562" s="47"/>
      <c r="CD562" s="42" t="s">
        <v>16</v>
      </c>
      <c r="CE562" s="43" t="str">
        <f>IF(VLOOKUP(CD562,βοηθητικό!$J$2:$N$354,3,FALSE)="","",VLOOKUP(CD562,βοηθητικό!$J$2:$N$354,3,FALSE))</f>
        <v>_</v>
      </c>
      <c r="CF562" s="44"/>
      <c r="CG562" s="45" t="s">
        <v>16</v>
      </c>
      <c r="CH562" s="46" t="str">
        <f>IF(VLOOKUP(CG562,βοηθητικό!$J$2:$N$354,3,FALSE)="","",VLOOKUP(CG562,βοηθητικό!$J$2:$N$354,3,FALSE))</f>
        <v>_</v>
      </c>
      <c r="CI562" s="47"/>
      <c r="CJ562" s="42" t="s">
        <v>16</v>
      </c>
      <c r="CK562" s="43" t="str">
        <f>IF(VLOOKUP(CJ562,βοηθητικό!$J$2:$N$354,3,FALSE)="","",VLOOKUP(CJ562,βοηθητικό!$J$2:$N$354,3,FALSE))</f>
        <v>_</v>
      </c>
      <c r="CL562" s="44"/>
      <c r="CM562" s="45" t="s">
        <v>16</v>
      </c>
      <c r="CN562" s="46" t="str">
        <f>IF(VLOOKUP(CM562,βοηθητικό!$J$2:$N$354,3,FALSE)="","",VLOOKUP(CM562,βοηθητικό!$J$2:$N$354,3,FALSE))</f>
        <v>_</v>
      </c>
      <c r="CO562" s="47"/>
      <c r="CP562" s="42" t="s">
        <v>16</v>
      </c>
      <c r="CQ562" s="43" t="str">
        <f>IF(VLOOKUP(CP562,βοηθητικό!$J$2:$N$354,3,FALSE)="","",VLOOKUP(CP562,βοηθητικό!$J$2:$N$354,3,FALSE))</f>
        <v>_</v>
      </c>
      <c r="CR562" s="44"/>
      <c r="CS562" s="45" t="s">
        <v>16</v>
      </c>
      <c r="CT562" s="46" t="str">
        <f>IF(VLOOKUP(CS562,βοηθητικό!$J$2:$N$354,3,FALSE)="","",VLOOKUP(CS562,βοηθητικό!$J$2:$N$354,3,FALSE))</f>
        <v>_</v>
      </c>
      <c r="CU562" s="47"/>
    </row>
    <row r="563" spans="1:99" x14ac:dyDescent="0.25">
      <c r="A563" s="37">
        <f>--SUBTOTAL(3,$B$3:B562)</f>
        <v>198</v>
      </c>
      <c r="B563" s="2"/>
      <c r="C563" s="3"/>
      <c r="D563" s="55" t="s">
        <v>18</v>
      </c>
      <c r="E563" s="38" t="s">
        <v>16</v>
      </c>
      <c r="F563" s="38"/>
      <c r="G563" s="39" t="str">
        <f t="shared" si="26"/>
        <v>__</v>
      </c>
      <c r="H563" s="40" t="str">
        <f t="shared" si="27"/>
        <v>FALSE</v>
      </c>
      <c r="I563" s="41">
        <f t="shared" si="28"/>
        <v>0</v>
      </c>
      <c r="J563" s="4" t="s">
        <v>16</v>
      </c>
      <c r="K563" s="43" t="str">
        <f>IF(VLOOKUP(J563,βοηθητικό!$J$2:$N$354,3,FALSE)="","",VLOOKUP(J563,βοηθητικό!$J$2:$N$354,3,FALSE))</f>
        <v>_</v>
      </c>
      <c r="L563" s="44"/>
      <c r="M563" s="5" t="s">
        <v>16</v>
      </c>
      <c r="N563" s="46" t="str">
        <f>IF(VLOOKUP(M563,βοηθητικό!$J$2:$N$354,3,FALSE)="","",VLOOKUP(M563,βοηθητικό!$J$2:$N$354,3,FALSE))</f>
        <v>_</v>
      </c>
      <c r="O563" s="47"/>
      <c r="P563" s="4" t="s">
        <v>16</v>
      </c>
      <c r="Q563" s="43" t="str">
        <f>IF(VLOOKUP(P563,βοηθητικό!$J$2:$N$354,3,FALSE)="","",VLOOKUP(P563,βοηθητικό!$J$2:$N$354,3,FALSE))</f>
        <v>_</v>
      </c>
      <c r="R563" s="44"/>
      <c r="S563" s="5" t="s">
        <v>16</v>
      </c>
      <c r="T563" s="46" t="str">
        <f>IF(VLOOKUP(S563,βοηθητικό!$J$2:$N$354,3,FALSE)="","",VLOOKUP(S563,βοηθητικό!$J$2:$N$354,3,FALSE))</f>
        <v>_</v>
      </c>
      <c r="U563" s="47"/>
      <c r="V563" s="4" t="s">
        <v>16</v>
      </c>
      <c r="W563" s="43" t="str">
        <f>IF(VLOOKUP(V563,βοηθητικό!$J$2:$N$354,3,FALSE)="","",VLOOKUP(V563,βοηθητικό!$J$2:$N$354,3,FALSE))</f>
        <v>_</v>
      </c>
      <c r="X563" s="44"/>
      <c r="Y563" s="5" t="s">
        <v>16</v>
      </c>
      <c r="Z563" s="46" t="str">
        <f>IF(VLOOKUP(Y563,βοηθητικό!$J$2:$N$354,3,FALSE)="","",VLOOKUP(Y563,βοηθητικό!$J$2:$N$354,3,FALSE))</f>
        <v>_</v>
      </c>
      <c r="AA563" s="47"/>
      <c r="AB563" s="4" t="s">
        <v>16</v>
      </c>
      <c r="AC563" s="43" t="str">
        <f>IF(VLOOKUP(AB563,βοηθητικό!$J$2:$N$354,3,FALSE)="","",VLOOKUP(AB563,βοηθητικό!$J$2:$N$354,3,FALSE))</f>
        <v>_</v>
      </c>
      <c r="AD563" s="44"/>
      <c r="AE563" s="5" t="s">
        <v>16</v>
      </c>
      <c r="AF563" s="46" t="str">
        <f>IF(VLOOKUP(AE563,βοηθητικό!$J$2:$N$354,3,FALSE)="","",VLOOKUP(AE563,βοηθητικό!$J$2:$N$354,3,FALSE))</f>
        <v>_</v>
      </c>
      <c r="AG563" s="47"/>
      <c r="AH563" s="4" t="s">
        <v>16</v>
      </c>
      <c r="AI563" s="43" t="str">
        <f>IF(VLOOKUP(AH563,βοηθητικό!$J$2:$N$354,3,FALSE)="","",VLOOKUP(AH563,βοηθητικό!$J$2:$N$354,3,FALSE))</f>
        <v>_</v>
      </c>
      <c r="AJ563" s="44"/>
      <c r="AK563" s="5" t="s">
        <v>16</v>
      </c>
      <c r="AL563" s="46" t="str">
        <f>IF(VLOOKUP(AK563,βοηθητικό!$J$2:$N$354,3,FALSE)="","",VLOOKUP(AK563,βοηθητικό!$J$2:$N$354,3,FALSE))</f>
        <v>_</v>
      </c>
      <c r="AM563" s="47"/>
      <c r="AN563" s="4" t="s">
        <v>16</v>
      </c>
      <c r="AO563" s="43" t="str">
        <f>IF(VLOOKUP(AN563,βοηθητικό!$J$2:$N$354,3,FALSE)="","",VLOOKUP(AN563,βοηθητικό!$J$2:$N$354,3,FALSE))</f>
        <v>_</v>
      </c>
      <c r="AP563" s="44"/>
      <c r="AQ563" s="5" t="s">
        <v>16</v>
      </c>
      <c r="AR563" s="46" t="str">
        <f>IF(VLOOKUP(AQ563,βοηθητικό!$J$2:$N$354,3,FALSE)="","",VLOOKUP(AQ563,βοηθητικό!$J$2:$N$354,3,FALSE))</f>
        <v>_</v>
      </c>
      <c r="AS563" s="47"/>
      <c r="AT563" s="4" t="s">
        <v>16</v>
      </c>
      <c r="AU563" s="43" t="str">
        <f>IF(VLOOKUP(AT563,βοηθητικό!$J$2:$N$354,3,FALSE)="","",VLOOKUP(AT563,βοηθητικό!$J$2:$N$354,3,FALSE))</f>
        <v>_</v>
      </c>
      <c r="AV563" s="44"/>
      <c r="AW563" s="5" t="s">
        <v>16</v>
      </c>
      <c r="AX563" s="46" t="str">
        <f>IF(VLOOKUP(AW563,βοηθητικό!$J$2:$N$354,3,FALSE)="","",VLOOKUP(AW563,βοηθητικό!$J$2:$N$354,3,FALSE))</f>
        <v>_</v>
      </c>
      <c r="AY563" s="47"/>
      <c r="AZ563" s="4" t="s">
        <v>16</v>
      </c>
      <c r="BA563" s="43" t="str">
        <f>IF(VLOOKUP(AZ563,βοηθητικό!$J$2:$N$354,3,FALSE)="","",VLOOKUP(AZ563,βοηθητικό!$J$2:$N$354,3,FALSE))</f>
        <v>_</v>
      </c>
      <c r="BB563" s="44"/>
      <c r="BC563" s="45" t="s">
        <v>16</v>
      </c>
      <c r="BD563" s="46" t="str">
        <f>IF(VLOOKUP(BC563,βοηθητικό!$J$2:$N$354,3,FALSE)="","",VLOOKUP(BC563,βοηθητικό!$J$2:$N$354,3,FALSE))</f>
        <v>_</v>
      </c>
      <c r="BE563" s="47"/>
      <c r="BF563" s="42" t="s">
        <v>16</v>
      </c>
      <c r="BG563" s="43" t="str">
        <f>IF(VLOOKUP(BF563,βοηθητικό!$J$2:$N$354,3,FALSE)="","",VLOOKUP(BF563,βοηθητικό!$J$2:$N$354,3,FALSE))</f>
        <v>_</v>
      </c>
      <c r="BH563" s="44"/>
      <c r="BI563" s="45" t="s">
        <v>16</v>
      </c>
      <c r="BJ563" s="46" t="str">
        <f>IF(VLOOKUP(BI563,βοηθητικό!$J$2:$N$354,3,FALSE)="","",VLOOKUP(BI563,βοηθητικό!$J$2:$N$354,3,FALSE))</f>
        <v>_</v>
      </c>
      <c r="BK563" s="47"/>
      <c r="BL563" s="42" t="s">
        <v>16</v>
      </c>
      <c r="BM563" s="43" t="str">
        <f>IF(VLOOKUP(BL563,βοηθητικό!$J$2:$N$354,3,FALSE)="","",VLOOKUP(BL563,βοηθητικό!$J$2:$N$354,3,FALSE))</f>
        <v>_</v>
      </c>
      <c r="BN563" s="44"/>
      <c r="BO563" s="45" t="s">
        <v>16</v>
      </c>
      <c r="BP563" s="46" t="str">
        <f>IF(VLOOKUP(BO563,βοηθητικό!$J$2:$N$354,3,FALSE)="","",VLOOKUP(BO563,βοηθητικό!$J$2:$N$354,3,FALSE))</f>
        <v>_</v>
      </c>
      <c r="BQ563" s="47"/>
      <c r="BR563" s="42" t="s">
        <v>16</v>
      </c>
      <c r="BS563" s="43" t="str">
        <f>IF(VLOOKUP(BR563,βοηθητικό!$J$2:$N$354,3,FALSE)="","",VLOOKUP(BR563,βοηθητικό!$J$2:$N$354,3,FALSE))</f>
        <v>_</v>
      </c>
      <c r="BT563" s="44"/>
      <c r="BU563" s="45" t="s">
        <v>16</v>
      </c>
      <c r="BV563" s="46" t="str">
        <f>IF(VLOOKUP(BU563,βοηθητικό!$J$2:$N$354,3,FALSE)="","",VLOOKUP(BU563,βοηθητικό!$J$2:$N$354,3,FALSE))</f>
        <v>_</v>
      </c>
      <c r="BW563" s="47"/>
      <c r="BX563" s="42" t="s">
        <v>16</v>
      </c>
      <c r="BY563" s="43" t="str">
        <f>IF(VLOOKUP(BX563,βοηθητικό!$J$2:$N$354,3,FALSE)="","",VLOOKUP(BX563,βοηθητικό!$J$2:$N$354,3,FALSE))</f>
        <v>_</v>
      </c>
      <c r="BZ563" s="44"/>
      <c r="CA563" s="45" t="s">
        <v>16</v>
      </c>
      <c r="CB563" s="46" t="str">
        <f>IF(VLOOKUP(CA563,βοηθητικό!$J$2:$N$354,3,FALSE)="","",VLOOKUP(CA563,βοηθητικό!$J$2:$N$354,3,FALSE))</f>
        <v>_</v>
      </c>
      <c r="CC563" s="47"/>
      <c r="CD563" s="42" t="s">
        <v>16</v>
      </c>
      <c r="CE563" s="43" t="str">
        <f>IF(VLOOKUP(CD563,βοηθητικό!$J$2:$N$354,3,FALSE)="","",VLOOKUP(CD563,βοηθητικό!$J$2:$N$354,3,FALSE))</f>
        <v>_</v>
      </c>
      <c r="CF563" s="44"/>
      <c r="CG563" s="45" t="s">
        <v>16</v>
      </c>
      <c r="CH563" s="46" t="str">
        <f>IF(VLOOKUP(CG563,βοηθητικό!$J$2:$N$354,3,FALSE)="","",VLOOKUP(CG563,βοηθητικό!$J$2:$N$354,3,FALSE))</f>
        <v>_</v>
      </c>
      <c r="CI563" s="47"/>
      <c r="CJ563" s="42" t="s">
        <v>16</v>
      </c>
      <c r="CK563" s="43" t="str">
        <f>IF(VLOOKUP(CJ563,βοηθητικό!$J$2:$N$354,3,FALSE)="","",VLOOKUP(CJ563,βοηθητικό!$J$2:$N$354,3,FALSE))</f>
        <v>_</v>
      </c>
      <c r="CL563" s="44"/>
      <c r="CM563" s="45" t="s">
        <v>16</v>
      </c>
      <c r="CN563" s="46" t="str">
        <f>IF(VLOOKUP(CM563,βοηθητικό!$J$2:$N$354,3,FALSE)="","",VLOOKUP(CM563,βοηθητικό!$J$2:$N$354,3,FALSE))</f>
        <v>_</v>
      </c>
      <c r="CO563" s="47"/>
      <c r="CP563" s="42" t="s">
        <v>16</v>
      </c>
      <c r="CQ563" s="43" t="str">
        <f>IF(VLOOKUP(CP563,βοηθητικό!$J$2:$N$354,3,FALSE)="","",VLOOKUP(CP563,βοηθητικό!$J$2:$N$354,3,FALSE))</f>
        <v>_</v>
      </c>
      <c r="CR563" s="44"/>
      <c r="CS563" s="45" t="s">
        <v>16</v>
      </c>
      <c r="CT563" s="46" t="str">
        <f>IF(VLOOKUP(CS563,βοηθητικό!$J$2:$N$354,3,FALSE)="","",VLOOKUP(CS563,βοηθητικό!$J$2:$N$354,3,FALSE))</f>
        <v>_</v>
      </c>
      <c r="CU563" s="47"/>
    </row>
    <row r="564" spans="1:99" x14ac:dyDescent="0.25">
      <c r="A564" s="37">
        <f>--SUBTOTAL(3,$B$3:B563)</f>
        <v>198</v>
      </c>
      <c r="B564" s="2"/>
      <c r="C564" s="3"/>
      <c r="D564" s="55" t="s">
        <v>18</v>
      </c>
      <c r="E564" s="38" t="s">
        <v>16</v>
      </c>
      <c r="F564" s="38"/>
      <c r="G564" s="39" t="str">
        <f t="shared" si="26"/>
        <v>__</v>
      </c>
      <c r="H564" s="40" t="str">
        <f t="shared" si="27"/>
        <v>FALSE</v>
      </c>
      <c r="I564" s="41">
        <f t="shared" si="28"/>
        <v>0</v>
      </c>
      <c r="J564" s="4" t="s">
        <v>16</v>
      </c>
      <c r="K564" s="43" t="str">
        <f>IF(VLOOKUP(J564,βοηθητικό!$J$2:$N$354,3,FALSE)="","",VLOOKUP(J564,βοηθητικό!$J$2:$N$354,3,FALSE))</f>
        <v>_</v>
      </c>
      <c r="L564" s="44"/>
      <c r="M564" s="5" t="s">
        <v>16</v>
      </c>
      <c r="N564" s="46" t="str">
        <f>IF(VLOOKUP(M564,βοηθητικό!$J$2:$N$354,3,FALSE)="","",VLOOKUP(M564,βοηθητικό!$J$2:$N$354,3,FALSE))</f>
        <v>_</v>
      </c>
      <c r="O564" s="47"/>
      <c r="P564" s="4" t="s">
        <v>16</v>
      </c>
      <c r="Q564" s="43" t="str">
        <f>IF(VLOOKUP(P564,βοηθητικό!$J$2:$N$354,3,FALSE)="","",VLOOKUP(P564,βοηθητικό!$J$2:$N$354,3,FALSE))</f>
        <v>_</v>
      </c>
      <c r="R564" s="44"/>
      <c r="S564" s="5" t="s">
        <v>16</v>
      </c>
      <c r="T564" s="46" t="str">
        <f>IF(VLOOKUP(S564,βοηθητικό!$J$2:$N$354,3,FALSE)="","",VLOOKUP(S564,βοηθητικό!$J$2:$N$354,3,FALSE))</f>
        <v>_</v>
      </c>
      <c r="U564" s="47"/>
      <c r="V564" s="4" t="s">
        <v>16</v>
      </c>
      <c r="W564" s="43" t="str">
        <f>IF(VLOOKUP(V564,βοηθητικό!$J$2:$N$354,3,FALSE)="","",VLOOKUP(V564,βοηθητικό!$J$2:$N$354,3,FALSE))</f>
        <v>_</v>
      </c>
      <c r="X564" s="44"/>
      <c r="Y564" s="5" t="s">
        <v>16</v>
      </c>
      <c r="Z564" s="46" t="str">
        <f>IF(VLOOKUP(Y564,βοηθητικό!$J$2:$N$354,3,FALSE)="","",VLOOKUP(Y564,βοηθητικό!$J$2:$N$354,3,FALSE))</f>
        <v>_</v>
      </c>
      <c r="AA564" s="47"/>
      <c r="AB564" s="4" t="s">
        <v>16</v>
      </c>
      <c r="AC564" s="43" t="str">
        <f>IF(VLOOKUP(AB564,βοηθητικό!$J$2:$N$354,3,FALSE)="","",VLOOKUP(AB564,βοηθητικό!$J$2:$N$354,3,FALSE))</f>
        <v>_</v>
      </c>
      <c r="AD564" s="44"/>
      <c r="AE564" s="5" t="s">
        <v>16</v>
      </c>
      <c r="AF564" s="46" t="str">
        <f>IF(VLOOKUP(AE564,βοηθητικό!$J$2:$N$354,3,FALSE)="","",VLOOKUP(AE564,βοηθητικό!$J$2:$N$354,3,FALSE))</f>
        <v>_</v>
      </c>
      <c r="AG564" s="47"/>
      <c r="AH564" s="4" t="s">
        <v>16</v>
      </c>
      <c r="AI564" s="43" t="str">
        <f>IF(VLOOKUP(AH564,βοηθητικό!$J$2:$N$354,3,FALSE)="","",VLOOKUP(AH564,βοηθητικό!$J$2:$N$354,3,FALSE))</f>
        <v>_</v>
      </c>
      <c r="AJ564" s="44"/>
      <c r="AK564" s="5" t="s">
        <v>16</v>
      </c>
      <c r="AL564" s="46" t="str">
        <f>IF(VLOOKUP(AK564,βοηθητικό!$J$2:$N$354,3,FALSE)="","",VLOOKUP(AK564,βοηθητικό!$J$2:$N$354,3,FALSE))</f>
        <v>_</v>
      </c>
      <c r="AM564" s="47"/>
      <c r="AN564" s="4" t="s">
        <v>16</v>
      </c>
      <c r="AO564" s="43" t="str">
        <f>IF(VLOOKUP(AN564,βοηθητικό!$J$2:$N$354,3,FALSE)="","",VLOOKUP(AN564,βοηθητικό!$J$2:$N$354,3,FALSE))</f>
        <v>_</v>
      </c>
      <c r="AP564" s="44"/>
      <c r="AQ564" s="5" t="s">
        <v>16</v>
      </c>
      <c r="AR564" s="46" t="str">
        <f>IF(VLOOKUP(AQ564,βοηθητικό!$J$2:$N$354,3,FALSE)="","",VLOOKUP(AQ564,βοηθητικό!$J$2:$N$354,3,FALSE))</f>
        <v>_</v>
      </c>
      <c r="AS564" s="47"/>
      <c r="AT564" s="4" t="s">
        <v>16</v>
      </c>
      <c r="AU564" s="43" t="str">
        <f>IF(VLOOKUP(AT564,βοηθητικό!$J$2:$N$354,3,FALSE)="","",VLOOKUP(AT564,βοηθητικό!$J$2:$N$354,3,FALSE))</f>
        <v>_</v>
      </c>
      <c r="AV564" s="44"/>
      <c r="AW564" s="5" t="s">
        <v>16</v>
      </c>
      <c r="AX564" s="46" t="str">
        <f>IF(VLOOKUP(AW564,βοηθητικό!$J$2:$N$354,3,FALSE)="","",VLOOKUP(AW564,βοηθητικό!$J$2:$N$354,3,FALSE))</f>
        <v>_</v>
      </c>
      <c r="AY564" s="47"/>
      <c r="AZ564" s="4" t="s">
        <v>16</v>
      </c>
      <c r="BA564" s="43" t="str">
        <f>IF(VLOOKUP(AZ564,βοηθητικό!$J$2:$N$354,3,FALSE)="","",VLOOKUP(AZ564,βοηθητικό!$J$2:$N$354,3,FALSE))</f>
        <v>_</v>
      </c>
      <c r="BB564" s="44"/>
      <c r="BC564" s="45" t="s">
        <v>16</v>
      </c>
      <c r="BD564" s="46" t="str">
        <f>IF(VLOOKUP(BC564,βοηθητικό!$J$2:$N$354,3,FALSE)="","",VLOOKUP(BC564,βοηθητικό!$J$2:$N$354,3,FALSE))</f>
        <v>_</v>
      </c>
      <c r="BE564" s="47"/>
      <c r="BF564" s="42" t="s">
        <v>16</v>
      </c>
      <c r="BG564" s="43" t="str">
        <f>IF(VLOOKUP(BF564,βοηθητικό!$J$2:$N$354,3,FALSE)="","",VLOOKUP(BF564,βοηθητικό!$J$2:$N$354,3,FALSE))</f>
        <v>_</v>
      </c>
      <c r="BH564" s="44"/>
      <c r="BI564" s="45" t="s">
        <v>16</v>
      </c>
      <c r="BJ564" s="46" t="str">
        <f>IF(VLOOKUP(BI564,βοηθητικό!$J$2:$N$354,3,FALSE)="","",VLOOKUP(BI564,βοηθητικό!$J$2:$N$354,3,FALSE))</f>
        <v>_</v>
      </c>
      <c r="BK564" s="47"/>
      <c r="BL564" s="42" t="s">
        <v>16</v>
      </c>
      <c r="BM564" s="43" t="str">
        <f>IF(VLOOKUP(BL564,βοηθητικό!$J$2:$N$354,3,FALSE)="","",VLOOKUP(BL564,βοηθητικό!$J$2:$N$354,3,FALSE))</f>
        <v>_</v>
      </c>
      <c r="BN564" s="44"/>
      <c r="BO564" s="45" t="s">
        <v>16</v>
      </c>
      <c r="BP564" s="46" t="str">
        <f>IF(VLOOKUP(BO564,βοηθητικό!$J$2:$N$354,3,FALSE)="","",VLOOKUP(BO564,βοηθητικό!$J$2:$N$354,3,FALSE))</f>
        <v>_</v>
      </c>
      <c r="BQ564" s="47"/>
      <c r="BR564" s="42" t="s">
        <v>16</v>
      </c>
      <c r="BS564" s="43" t="str">
        <f>IF(VLOOKUP(BR564,βοηθητικό!$J$2:$N$354,3,FALSE)="","",VLOOKUP(BR564,βοηθητικό!$J$2:$N$354,3,FALSE))</f>
        <v>_</v>
      </c>
      <c r="BT564" s="44"/>
      <c r="BU564" s="45" t="s">
        <v>16</v>
      </c>
      <c r="BV564" s="46" t="str">
        <f>IF(VLOOKUP(BU564,βοηθητικό!$J$2:$N$354,3,FALSE)="","",VLOOKUP(BU564,βοηθητικό!$J$2:$N$354,3,FALSE))</f>
        <v>_</v>
      </c>
      <c r="BW564" s="47"/>
      <c r="BX564" s="42" t="s">
        <v>16</v>
      </c>
      <c r="BY564" s="43" t="str">
        <f>IF(VLOOKUP(BX564,βοηθητικό!$J$2:$N$354,3,FALSE)="","",VLOOKUP(BX564,βοηθητικό!$J$2:$N$354,3,FALSE))</f>
        <v>_</v>
      </c>
      <c r="BZ564" s="44"/>
      <c r="CA564" s="45" t="s">
        <v>16</v>
      </c>
      <c r="CB564" s="46" t="str">
        <f>IF(VLOOKUP(CA564,βοηθητικό!$J$2:$N$354,3,FALSE)="","",VLOOKUP(CA564,βοηθητικό!$J$2:$N$354,3,FALSE))</f>
        <v>_</v>
      </c>
      <c r="CC564" s="47"/>
      <c r="CD564" s="42" t="s">
        <v>16</v>
      </c>
      <c r="CE564" s="43" t="str">
        <f>IF(VLOOKUP(CD564,βοηθητικό!$J$2:$N$354,3,FALSE)="","",VLOOKUP(CD564,βοηθητικό!$J$2:$N$354,3,FALSE))</f>
        <v>_</v>
      </c>
      <c r="CF564" s="44"/>
      <c r="CG564" s="45" t="s">
        <v>16</v>
      </c>
      <c r="CH564" s="46" t="str">
        <f>IF(VLOOKUP(CG564,βοηθητικό!$J$2:$N$354,3,FALSE)="","",VLOOKUP(CG564,βοηθητικό!$J$2:$N$354,3,FALSE))</f>
        <v>_</v>
      </c>
      <c r="CI564" s="47"/>
      <c r="CJ564" s="42" t="s">
        <v>16</v>
      </c>
      <c r="CK564" s="43" t="str">
        <f>IF(VLOOKUP(CJ564,βοηθητικό!$J$2:$N$354,3,FALSE)="","",VLOOKUP(CJ564,βοηθητικό!$J$2:$N$354,3,FALSE))</f>
        <v>_</v>
      </c>
      <c r="CL564" s="44"/>
      <c r="CM564" s="45" t="s">
        <v>16</v>
      </c>
      <c r="CN564" s="46" t="str">
        <f>IF(VLOOKUP(CM564,βοηθητικό!$J$2:$N$354,3,FALSE)="","",VLOOKUP(CM564,βοηθητικό!$J$2:$N$354,3,FALSE))</f>
        <v>_</v>
      </c>
      <c r="CO564" s="47"/>
      <c r="CP564" s="42" t="s">
        <v>16</v>
      </c>
      <c r="CQ564" s="43" t="str">
        <f>IF(VLOOKUP(CP564,βοηθητικό!$J$2:$N$354,3,FALSE)="","",VLOOKUP(CP564,βοηθητικό!$J$2:$N$354,3,FALSE))</f>
        <v>_</v>
      </c>
      <c r="CR564" s="44"/>
      <c r="CS564" s="45" t="s">
        <v>16</v>
      </c>
      <c r="CT564" s="46" t="str">
        <f>IF(VLOOKUP(CS564,βοηθητικό!$J$2:$N$354,3,FALSE)="","",VLOOKUP(CS564,βοηθητικό!$J$2:$N$354,3,FALSE))</f>
        <v>_</v>
      </c>
      <c r="CU564" s="47"/>
    </row>
    <row r="565" spans="1:99" x14ac:dyDescent="0.25">
      <c r="A565" s="37">
        <f>--SUBTOTAL(3,$B$3:B564)</f>
        <v>198</v>
      </c>
      <c r="B565" s="2"/>
      <c r="C565" s="3"/>
      <c r="D565" s="55" t="s">
        <v>18</v>
      </c>
      <c r="E565" s="38" t="s">
        <v>16</v>
      </c>
      <c r="F565" s="38"/>
      <c r="G565" s="39" t="str">
        <f t="shared" si="26"/>
        <v>__</v>
      </c>
      <c r="H565" s="40" t="str">
        <f t="shared" si="27"/>
        <v>FALSE</v>
      </c>
      <c r="I565" s="41">
        <f t="shared" si="28"/>
        <v>0</v>
      </c>
      <c r="J565" s="4" t="s">
        <v>16</v>
      </c>
      <c r="K565" s="43" t="str">
        <f>IF(VLOOKUP(J565,βοηθητικό!$J$2:$N$354,3,FALSE)="","",VLOOKUP(J565,βοηθητικό!$J$2:$N$354,3,FALSE))</f>
        <v>_</v>
      </c>
      <c r="L565" s="44"/>
      <c r="M565" s="5" t="s">
        <v>16</v>
      </c>
      <c r="N565" s="46" t="str">
        <f>IF(VLOOKUP(M565,βοηθητικό!$J$2:$N$354,3,FALSE)="","",VLOOKUP(M565,βοηθητικό!$J$2:$N$354,3,FALSE))</f>
        <v>_</v>
      </c>
      <c r="O565" s="47"/>
      <c r="P565" s="4" t="s">
        <v>16</v>
      </c>
      <c r="Q565" s="43" t="str">
        <f>IF(VLOOKUP(P565,βοηθητικό!$J$2:$N$354,3,FALSE)="","",VLOOKUP(P565,βοηθητικό!$J$2:$N$354,3,FALSE))</f>
        <v>_</v>
      </c>
      <c r="R565" s="44"/>
      <c r="S565" s="5" t="s">
        <v>16</v>
      </c>
      <c r="T565" s="46" t="str">
        <f>IF(VLOOKUP(S565,βοηθητικό!$J$2:$N$354,3,FALSE)="","",VLOOKUP(S565,βοηθητικό!$J$2:$N$354,3,FALSE))</f>
        <v>_</v>
      </c>
      <c r="U565" s="47"/>
      <c r="V565" s="4" t="s">
        <v>16</v>
      </c>
      <c r="W565" s="43" t="str">
        <f>IF(VLOOKUP(V565,βοηθητικό!$J$2:$N$354,3,FALSE)="","",VLOOKUP(V565,βοηθητικό!$J$2:$N$354,3,FALSE))</f>
        <v>_</v>
      </c>
      <c r="X565" s="44"/>
      <c r="Y565" s="5" t="s">
        <v>16</v>
      </c>
      <c r="Z565" s="46" t="str">
        <f>IF(VLOOKUP(Y565,βοηθητικό!$J$2:$N$354,3,FALSE)="","",VLOOKUP(Y565,βοηθητικό!$J$2:$N$354,3,FALSE))</f>
        <v>_</v>
      </c>
      <c r="AA565" s="47"/>
      <c r="AB565" s="4" t="s">
        <v>16</v>
      </c>
      <c r="AC565" s="43" t="str">
        <f>IF(VLOOKUP(AB565,βοηθητικό!$J$2:$N$354,3,FALSE)="","",VLOOKUP(AB565,βοηθητικό!$J$2:$N$354,3,FALSE))</f>
        <v>_</v>
      </c>
      <c r="AD565" s="44"/>
      <c r="AE565" s="5" t="s">
        <v>16</v>
      </c>
      <c r="AF565" s="46" t="str">
        <f>IF(VLOOKUP(AE565,βοηθητικό!$J$2:$N$354,3,FALSE)="","",VLOOKUP(AE565,βοηθητικό!$J$2:$N$354,3,FALSE))</f>
        <v>_</v>
      </c>
      <c r="AG565" s="47"/>
      <c r="AH565" s="4" t="s">
        <v>16</v>
      </c>
      <c r="AI565" s="43" t="str">
        <f>IF(VLOOKUP(AH565,βοηθητικό!$J$2:$N$354,3,FALSE)="","",VLOOKUP(AH565,βοηθητικό!$J$2:$N$354,3,FALSE))</f>
        <v>_</v>
      </c>
      <c r="AJ565" s="44"/>
      <c r="AK565" s="5" t="s">
        <v>16</v>
      </c>
      <c r="AL565" s="46" t="str">
        <f>IF(VLOOKUP(AK565,βοηθητικό!$J$2:$N$354,3,FALSE)="","",VLOOKUP(AK565,βοηθητικό!$J$2:$N$354,3,FALSE))</f>
        <v>_</v>
      </c>
      <c r="AM565" s="47"/>
      <c r="AN565" s="4" t="s">
        <v>16</v>
      </c>
      <c r="AO565" s="43" t="str">
        <f>IF(VLOOKUP(AN565,βοηθητικό!$J$2:$N$354,3,FALSE)="","",VLOOKUP(AN565,βοηθητικό!$J$2:$N$354,3,FALSE))</f>
        <v>_</v>
      </c>
      <c r="AP565" s="44"/>
      <c r="AQ565" s="5" t="s">
        <v>16</v>
      </c>
      <c r="AR565" s="46" t="str">
        <f>IF(VLOOKUP(AQ565,βοηθητικό!$J$2:$N$354,3,FALSE)="","",VLOOKUP(AQ565,βοηθητικό!$J$2:$N$354,3,FALSE))</f>
        <v>_</v>
      </c>
      <c r="AS565" s="47"/>
      <c r="AT565" s="4" t="s">
        <v>16</v>
      </c>
      <c r="AU565" s="43" t="str">
        <f>IF(VLOOKUP(AT565,βοηθητικό!$J$2:$N$354,3,FALSE)="","",VLOOKUP(AT565,βοηθητικό!$J$2:$N$354,3,FALSE))</f>
        <v>_</v>
      </c>
      <c r="AV565" s="44"/>
      <c r="AW565" s="5" t="s">
        <v>16</v>
      </c>
      <c r="AX565" s="46" t="str">
        <f>IF(VLOOKUP(AW565,βοηθητικό!$J$2:$N$354,3,FALSE)="","",VLOOKUP(AW565,βοηθητικό!$J$2:$N$354,3,FALSE))</f>
        <v>_</v>
      </c>
      <c r="AY565" s="47"/>
      <c r="AZ565" s="4" t="s">
        <v>16</v>
      </c>
      <c r="BA565" s="43" t="str">
        <f>IF(VLOOKUP(AZ565,βοηθητικό!$J$2:$N$354,3,FALSE)="","",VLOOKUP(AZ565,βοηθητικό!$J$2:$N$354,3,FALSE))</f>
        <v>_</v>
      </c>
      <c r="BB565" s="44"/>
      <c r="BC565" s="45" t="s">
        <v>16</v>
      </c>
      <c r="BD565" s="46" t="str">
        <f>IF(VLOOKUP(BC565,βοηθητικό!$J$2:$N$354,3,FALSE)="","",VLOOKUP(BC565,βοηθητικό!$J$2:$N$354,3,FALSE))</f>
        <v>_</v>
      </c>
      <c r="BE565" s="47"/>
      <c r="BF565" s="42" t="s">
        <v>16</v>
      </c>
      <c r="BG565" s="43" t="str">
        <f>IF(VLOOKUP(BF565,βοηθητικό!$J$2:$N$354,3,FALSE)="","",VLOOKUP(BF565,βοηθητικό!$J$2:$N$354,3,FALSE))</f>
        <v>_</v>
      </c>
      <c r="BH565" s="44"/>
      <c r="BI565" s="45" t="s">
        <v>16</v>
      </c>
      <c r="BJ565" s="46" t="str">
        <f>IF(VLOOKUP(BI565,βοηθητικό!$J$2:$N$354,3,FALSE)="","",VLOOKUP(BI565,βοηθητικό!$J$2:$N$354,3,FALSE))</f>
        <v>_</v>
      </c>
      <c r="BK565" s="47"/>
      <c r="BL565" s="42" t="s">
        <v>16</v>
      </c>
      <c r="BM565" s="43" t="str">
        <f>IF(VLOOKUP(BL565,βοηθητικό!$J$2:$N$354,3,FALSE)="","",VLOOKUP(BL565,βοηθητικό!$J$2:$N$354,3,FALSE))</f>
        <v>_</v>
      </c>
      <c r="BN565" s="44"/>
      <c r="BO565" s="45" t="s">
        <v>16</v>
      </c>
      <c r="BP565" s="46" t="str">
        <f>IF(VLOOKUP(BO565,βοηθητικό!$J$2:$N$354,3,FALSE)="","",VLOOKUP(BO565,βοηθητικό!$J$2:$N$354,3,FALSE))</f>
        <v>_</v>
      </c>
      <c r="BQ565" s="47"/>
      <c r="BR565" s="42" t="s">
        <v>16</v>
      </c>
      <c r="BS565" s="43" t="str">
        <f>IF(VLOOKUP(BR565,βοηθητικό!$J$2:$N$354,3,FALSE)="","",VLOOKUP(BR565,βοηθητικό!$J$2:$N$354,3,FALSE))</f>
        <v>_</v>
      </c>
      <c r="BT565" s="44"/>
      <c r="BU565" s="45" t="s">
        <v>16</v>
      </c>
      <c r="BV565" s="46" t="str">
        <f>IF(VLOOKUP(BU565,βοηθητικό!$J$2:$N$354,3,FALSE)="","",VLOOKUP(BU565,βοηθητικό!$J$2:$N$354,3,FALSE))</f>
        <v>_</v>
      </c>
      <c r="BW565" s="47"/>
      <c r="BX565" s="42" t="s">
        <v>16</v>
      </c>
      <c r="BY565" s="43" t="str">
        <f>IF(VLOOKUP(BX565,βοηθητικό!$J$2:$N$354,3,FALSE)="","",VLOOKUP(BX565,βοηθητικό!$J$2:$N$354,3,FALSE))</f>
        <v>_</v>
      </c>
      <c r="BZ565" s="44"/>
      <c r="CA565" s="45" t="s">
        <v>16</v>
      </c>
      <c r="CB565" s="46" t="str">
        <f>IF(VLOOKUP(CA565,βοηθητικό!$J$2:$N$354,3,FALSE)="","",VLOOKUP(CA565,βοηθητικό!$J$2:$N$354,3,FALSE))</f>
        <v>_</v>
      </c>
      <c r="CC565" s="47"/>
      <c r="CD565" s="42" t="s">
        <v>16</v>
      </c>
      <c r="CE565" s="43" t="str">
        <f>IF(VLOOKUP(CD565,βοηθητικό!$J$2:$N$354,3,FALSE)="","",VLOOKUP(CD565,βοηθητικό!$J$2:$N$354,3,FALSE))</f>
        <v>_</v>
      </c>
      <c r="CF565" s="44"/>
      <c r="CG565" s="45" t="s">
        <v>16</v>
      </c>
      <c r="CH565" s="46" t="str">
        <f>IF(VLOOKUP(CG565,βοηθητικό!$J$2:$N$354,3,FALSE)="","",VLOOKUP(CG565,βοηθητικό!$J$2:$N$354,3,FALSE))</f>
        <v>_</v>
      </c>
      <c r="CI565" s="47"/>
      <c r="CJ565" s="42" t="s">
        <v>16</v>
      </c>
      <c r="CK565" s="43" t="str">
        <f>IF(VLOOKUP(CJ565,βοηθητικό!$J$2:$N$354,3,FALSE)="","",VLOOKUP(CJ565,βοηθητικό!$J$2:$N$354,3,FALSE))</f>
        <v>_</v>
      </c>
      <c r="CL565" s="44"/>
      <c r="CM565" s="45" t="s">
        <v>16</v>
      </c>
      <c r="CN565" s="46" t="str">
        <f>IF(VLOOKUP(CM565,βοηθητικό!$J$2:$N$354,3,FALSE)="","",VLOOKUP(CM565,βοηθητικό!$J$2:$N$354,3,FALSE))</f>
        <v>_</v>
      </c>
      <c r="CO565" s="47"/>
      <c r="CP565" s="42" t="s">
        <v>16</v>
      </c>
      <c r="CQ565" s="43" t="str">
        <f>IF(VLOOKUP(CP565,βοηθητικό!$J$2:$N$354,3,FALSE)="","",VLOOKUP(CP565,βοηθητικό!$J$2:$N$354,3,FALSE))</f>
        <v>_</v>
      </c>
      <c r="CR565" s="44"/>
      <c r="CS565" s="45" t="s">
        <v>16</v>
      </c>
      <c r="CT565" s="46" t="str">
        <f>IF(VLOOKUP(CS565,βοηθητικό!$J$2:$N$354,3,FALSE)="","",VLOOKUP(CS565,βοηθητικό!$J$2:$N$354,3,FALSE))</f>
        <v>_</v>
      </c>
      <c r="CU565" s="47"/>
    </row>
    <row r="566" spans="1:99" x14ac:dyDescent="0.25">
      <c r="A566" s="37">
        <f>--SUBTOTAL(3,$B$3:B565)</f>
        <v>198</v>
      </c>
      <c r="B566" s="2"/>
      <c r="C566" s="3"/>
      <c r="D566" s="55" t="s">
        <v>18</v>
      </c>
      <c r="E566" s="38" t="s">
        <v>16</v>
      </c>
      <c r="F566" s="38"/>
      <c r="G566" s="39" t="str">
        <f t="shared" si="26"/>
        <v>__</v>
      </c>
      <c r="H566" s="40" t="str">
        <f t="shared" si="27"/>
        <v>FALSE</v>
      </c>
      <c r="I566" s="41">
        <f t="shared" si="28"/>
        <v>0</v>
      </c>
      <c r="J566" s="4" t="s">
        <v>16</v>
      </c>
      <c r="K566" s="43" t="str">
        <f>IF(VLOOKUP(J566,βοηθητικό!$J$2:$N$354,3,FALSE)="","",VLOOKUP(J566,βοηθητικό!$J$2:$N$354,3,FALSE))</f>
        <v>_</v>
      </c>
      <c r="L566" s="44"/>
      <c r="M566" s="5" t="s">
        <v>16</v>
      </c>
      <c r="N566" s="46" t="str">
        <f>IF(VLOOKUP(M566,βοηθητικό!$J$2:$N$354,3,FALSE)="","",VLOOKUP(M566,βοηθητικό!$J$2:$N$354,3,FALSE))</f>
        <v>_</v>
      </c>
      <c r="O566" s="47"/>
      <c r="P566" s="4" t="s">
        <v>16</v>
      </c>
      <c r="Q566" s="43" t="str">
        <f>IF(VLOOKUP(P566,βοηθητικό!$J$2:$N$354,3,FALSE)="","",VLOOKUP(P566,βοηθητικό!$J$2:$N$354,3,FALSE))</f>
        <v>_</v>
      </c>
      <c r="R566" s="44"/>
      <c r="S566" s="5" t="s">
        <v>16</v>
      </c>
      <c r="T566" s="46" t="str">
        <f>IF(VLOOKUP(S566,βοηθητικό!$J$2:$N$354,3,FALSE)="","",VLOOKUP(S566,βοηθητικό!$J$2:$N$354,3,FALSE))</f>
        <v>_</v>
      </c>
      <c r="U566" s="47"/>
      <c r="V566" s="4" t="s">
        <v>16</v>
      </c>
      <c r="W566" s="43" t="str">
        <f>IF(VLOOKUP(V566,βοηθητικό!$J$2:$N$354,3,FALSE)="","",VLOOKUP(V566,βοηθητικό!$J$2:$N$354,3,FALSE))</f>
        <v>_</v>
      </c>
      <c r="X566" s="44"/>
      <c r="Y566" s="5" t="s">
        <v>16</v>
      </c>
      <c r="Z566" s="46" t="str">
        <f>IF(VLOOKUP(Y566,βοηθητικό!$J$2:$N$354,3,FALSE)="","",VLOOKUP(Y566,βοηθητικό!$J$2:$N$354,3,FALSE))</f>
        <v>_</v>
      </c>
      <c r="AA566" s="47"/>
      <c r="AB566" s="4" t="s">
        <v>16</v>
      </c>
      <c r="AC566" s="43" t="str">
        <f>IF(VLOOKUP(AB566,βοηθητικό!$J$2:$N$354,3,FALSE)="","",VLOOKUP(AB566,βοηθητικό!$J$2:$N$354,3,FALSE))</f>
        <v>_</v>
      </c>
      <c r="AD566" s="44"/>
      <c r="AE566" s="5" t="s">
        <v>16</v>
      </c>
      <c r="AF566" s="46" t="str">
        <f>IF(VLOOKUP(AE566,βοηθητικό!$J$2:$N$354,3,FALSE)="","",VLOOKUP(AE566,βοηθητικό!$J$2:$N$354,3,FALSE))</f>
        <v>_</v>
      </c>
      <c r="AG566" s="47"/>
      <c r="AH566" s="4" t="s">
        <v>16</v>
      </c>
      <c r="AI566" s="43" t="str">
        <f>IF(VLOOKUP(AH566,βοηθητικό!$J$2:$N$354,3,FALSE)="","",VLOOKUP(AH566,βοηθητικό!$J$2:$N$354,3,FALSE))</f>
        <v>_</v>
      </c>
      <c r="AJ566" s="44"/>
      <c r="AK566" s="5" t="s">
        <v>16</v>
      </c>
      <c r="AL566" s="46" t="str">
        <f>IF(VLOOKUP(AK566,βοηθητικό!$J$2:$N$354,3,FALSE)="","",VLOOKUP(AK566,βοηθητικό!$J$2:$N$354,3,FALSE))</f>
        <v>_</v>
      </c>
      <c r="AM566" s="47"/>
      <c r="AN566" s="4" t="s">
        <v>16</v>
      </c>
      <c r="AO566" s="43" t="str">
        <f>IF(VLOOKUP(AN566,βοηθητικό!$J$2:$N$354,3,FALSE)="","",VLOOKUP(AN566,βοηθητικό!$J$2:$N$354,3,FALSE))</f>
        <v>_</v>
      </c>
      <c r="AP566" s="44"/>
      <c r="AQ566" s="5" t="s">
        <v>16</v>
      </c>
      <c r="AR566" s="46" t="str">
        <f>IF(VLOOKUP(AQ566,βοηθητικό!$J$2:$N$354,3,FALSE)="","",VLOOKUP(AQ566,βοηθητικό!$J$2:$N$354,3,FALSE))</f>
        <v>_</v>
      </c>
      <c r="AS566" s="47"/>
      <c r="AT566" s="4" t="s">
        <v>16</v>
      </c>
      <c r="AU566" s="43" t="str">
        <f>IF(VLOOKUP(AT566,βοηθητικό!$J$2:$N$354,3,FALSE)="","",VLOOKUP(AT566,βοηθητικό!$J$2:$N$354,3,FALSE))</f>
        <v>_</v>
      </c>
      <c r="AV566" s="44"/>
      <c r="AW566" s="5" t="s">
        <v>16</v>
      </c>
      <c r="AX566" s="46" t="str">
        <f>IF(VLOOKUP(AW566,βοηθητικό!$J$2:$N$354,3,FALSE)="","",VLOOKUP(AW566,βοηθητικό!$J$2:$N$354,3,FALSE))</f>
        <v>_</v>
      </c>
      <c r="AY566" s="47"/>
      <c r="AZ566" s="4" t="s">
        <v>16</v>
      </c>
      <c r="BA566" s="43" t="str">
        <f>IF(VLOOKUP(AZ566,βοηθητικό!$J$2:$N$354,3,FALSE)="","",VLOOKUP(AZ566,βοηθητικό!$J$2:$N$354,3,FALSE))</f>
        <v>_</v>
      </c>
      <c r="BB566" s="44"/>
      <c r="BC566" s="45" t="s">
        <v>16</v>
      </c>
      <c r="BD566" s="46" t="str">
        <f>IF(VLOOKUP(BC566,βοηθητικό!$J$2:$N$354,3,FALSE)="","",VLOOKUP(BC566,βοηθητικό!$J$2:$N$354,3,FALSE))</f>
        <v>_</v>
      </c>
      <c r="BE566" s="47"/>
      <c r="BF566" s="42" t="s">
        <v>16</v>
      </c>
      <c r="BG566" s="43" t="str">
        <f>IF(VLOOKUP(BF566,βοηθητικό!$J$2:$N$354,3,FALSE)="","",VLOOKUP(BF566,βοηθητικό!$J$2:$N$354,3,FALSE))</f>
        <v>_</v>
      </c>
      <c r="BH566" s="44"/>
      <c r="BI566" s="45" t="s">
        <v>16</v>
      </c>
      <c r="BJ566" s="46" t="str">
        <f>IF(VLOOKUP(BI566,βοηθητικό!$J$2:$N$354,3,FALSE)="","",VLOOKUP(BI566,βοηθητικό!$J$2:$N$354,3,FALSE))</f>
        <v>_</v>
      </c>
      <c r="BK566" s="47"/>
      <c r="BL566" s="42" t="s">
        <v>16</v>
      </c>
      <c r="BM566" s="43" t="str">
        <f>IF(VLOOKUP(BL566,βοηθητικό!$J$2:$N$354,3,FALSE)="","",VLOOKUP(BL566,βοηθητικό!$J$2:$N$354,3,FALSE))</f>
        <v>_</v>
      </c>
      <c r="BN566" s="44"/>
      <c r="BO566" s="45" t="s">
        <v>16</v>
      </c>
      <c r="BP566" s="46" t="str">
        <f>IF(VLOOKUP(BO566,βοηθητικό!$J$2:$N$354,3,FALSE)="","",VLOOKUP(BO566,βοηθητικό!$J$2:$N$354,3,FALSE))</f>
        <v>_</v>
      </c>
      <c r="BQ566" s="47"/>
      <c r="BR566" s="42" t="s">
        <v>16</v>
      </c>
      <c r="BS566" s="43" t="str">
        <f>IF(VLOOKUP(BR566,βοηθητικό!$J$2:$N$354,3,FALSE)="","",VLOOKUP(BR566,βοηθητικό!$J$2:$N$354,3,FALSE))</f>
        <v>_</v>
      </c>
      <c r="BT566" s="44"/>
      <c r="BU566" s="45" t="s">
        <v>16</v>
      </c>
      <c r="BV566" s="46" t="str">
        <f>IF(VLOOKUP(BU566,βοηθητικό!$J$2:$N$354,3,FALSE)="","",VLOOKUP(BU566,βοηθητικό!$J$2:$N$354,3,FALSE))</f>
        <v>_</v>
      </c>
      <c r="BW566" s="47"/>
      <c r="BX566" s="42" t="s">
        <v>16</v>
      </c>
      <c r="BY566" s="43" t="str">
        <f>IF(VLOOKUP(BX566,βοηθητικό!$J$2:$N$354,3,FALSE)="","",VLOOKUP(BX566,βοηθητικό!$J$2:$N$354,3,FALSE))</f>
        <v>_</v>
      </c>
      <c r="BZ566" s="44"/>
      <c r="CA566" s="45" t="s">
        <v>16</v>
      </c>
      <c r="CB566" s="46" t="str">
        <f>IF(VLOOKUP(CA566,βοηθητικό!$J$2:$N$354,3,FALSE)="","",VLOOKUP(CA566,βοηθητικό!$J$2:$N$354,3,FALSE))</f>
        <v>_</v>
      </c>
      <c r="CC566" s="47"/>
      <c r="CD566" s="42" t="s">
        <v>16</v>
      </c>
      <c r="CE566" s="43" t="str">
        <f>IF(VLOOKUP(CD566,βοηθητικό!$J$2:$N$354,3,FALSE)="","",VLOOKUP(CD566,βοηθητικό!$J$2:$N$354,3,FALSE))</f>
        <v>_</v>
      </c>
      <c r="CF566" s="44"/>
      <c r="CG566" s="45" t="s">
        <v>16</v>
      </c>
      <c r="CH566" s="46" t="str">
        <f>IF(VLOOKUP(CG566,βοηθητικό!$J$2:$N$354,3,FALSE)="","",VLOOKUP(CG566,βοηθητικό!$J$2:$N$354,3,FALSE))</f>
        <v>_</v>
      </c>
      <c r="CI566" s="47"/>
      <c r="CJ566" s="42" t="s">
        <v>16</v>
      </c>
      <c r="CK566" s="43" t="str">
        <f>IF(VLOOKUP(CJ566,βοηθητικό!$J$2:$N$354,3,FALSE)="","",VLOOKUP(CJ566,βοηθητικό!$J$2:$N$354,3,FALSE))</f>
        <v>_</v>
      </c>
      <c r="CL566" s="44"/>
      <c r="CM566" s="45" t="s">
        <v>16</v>
      </c>
      <c r="CN566" s="46" t="str">
        <f>IF(VLOOKUP(CM566,βοηθητικό!$J$2:$N$354,3,FALSE)="","",VLOOKUP(CM566,βοηθητικό!$J$2:$N$354,3,FALSE))</f>
        <v>_</v>
      </c>
      <c r="CO566" s="47"/>
      <c r="CP566" s="42" t="s">
        <v>16</v>
      </c>
      <c r="CQ566" s="43" t="str">
        <f>IF(VLOOKUP(CP566,βοηθητικό!$J$2:$N$354,3,FALSE)="","",VLOOKUP(CP566,βοηθητικό!$J$2:$N$354,3,FALSE))</f>
        <v>_</v>
      </c>
      <c r="CR566" s="44"/>
      <c r="CS566" s="45" t="s">
        <v>16</v>
      </c>
      <c r="CT566" s="46" t="str">
        <f>IF(VLOOKUP(CS566,βοηθητικό!$J$2:$N$354,3,FALSE)="","",VLOOKUP(CS566,βοηθητικό!$J$2:$N$354,3,FALSE))</f>
        <v>_</v>
      </c>
      <c r="CU566" s="47"/>
    </row>
    <row r="567" spans="1:99" x14ac:dyDescent="0.25">
      <c r="A567" s="37">
        <f>--SUBTOTAL(3,$B$3:B566)</f>
        <v>198</v>
      </c>
      <c r="B567" s="2"/>
      <c r="C567" s="3"/>
      <c r="D567" s="55" t="s">
        <v>18</v>
      </c>
      <c r="E567" s="38" t="s">
        <v>16</v>
      </c>
      <c r="F567" s="38"/>
      <c r="G567" s="39" t="str">
        <f t="shared" si="26"/>
        <v>__</v>
      </c>
      <c r="H567" s="40" t="str">
        <f t="shared" si="27"/>
        <v>FALSE</v>
      </c>
      <c r="I567" s="41">
        <f t="shared" si="28"/>
        <v>0</v>
      </c>
      <c r="J567" s="4" t="s">
        <v>16</v>
      </c>
      <c r="K567" s="43" t="str">
        <f>IF(VLOOKUP(J567,βοηθητικό!$J$2:$N$354,3,FALSE)="","",VLOOKUP(J567,βοηθητικό!$J$2:$N$354,3,FALSE))</f>
        <v>_</v>
      </c>
      <c r="L567" s="44"/>
      <c r="M567" s="5" t="s">
        <v>16</v>
      </c>
      <c r="N567" s="46" t="str">
        <f>IF(VLOOKUP(M567,βοηθητικό!$J$2:$N$354,3,FALSE)="","",VLOOKUP(M567,βοηθητικό!$J$2:$N$354,3,FALSE))</f>
        <v>_</v>
      </c>
      <c r="O567" s="47"/>
      <c r="P567" s="4" t="s">
        <v>16</v>
      </c>
      <c r="Q567" s="43" t="str">
        <f>IF(VLOOKUP(P567,βοηθητικό!$J$2:$N$354,3,FALSE)="","",VLOOKUP(P567,βοηθητικό!$J$2:$N$354,3,FALSE))</f>
        <v>_</v>
      </c>
      <c r="R567" s="44"/>
      <c r="S567" s="5" t="s">
        <v>16</v>
      </c>
      <c r="T567" s="46" t="str">
        <f>IF(VLOOKUP(S567,βοηθητικό!$J$2:$N$354,3,FALSE)="","",VLOOKUP(S567,βοηθητικό!$J$2:$N$354,3,FALSE))</f>
        <v>_</v>
      </c>
      <c r="U567" s="47"/>
      <c r="V567" s="4" t="s">
        <v>16</v>
      </c>
      <c r="W567" s="43" t="str">
        <f>IF(VLOOKUP(V567,βοηθητικό!$J$2:$N$354,3,FALSE)="","",VLOOKUP(V567,βοηθητικό!$J$2:$N$354,3,FALSE))</f>
        <v>_</v>
      </c>
      <c r="X567" s="44"/>
      <c r="Y567" s="5" t="s">
        <v>16</v>
      </c>
      <c r="Z567" s="46" t="str">
        <f>IF(VLOOKUP(Y567,βοηθητικό!$J$2:$N$354,3,FALSE)="","",VLOOKUP(Y567,βοηθητικό!$J$2:$N$354,3,FALSE))</f>
        <v>_</v>
      </c>
      <c r="AA567" s="47"/>
      <c r="AB567" s="4" t="s">
        <v>16</v>
      </c>
      <c r="AC567" s="43" t="str">
        <f>IF(VLOOKUP(AB567,βοηθητικό!$J$2:$N$354,3,FALSE)="","",VLOOKUP(AB567,βοηθητικό!$J$2:$N$354,3,FALSE))</f>
        <v>_</v>
      </c>
      <c r="AD567" s="44"/>
      <c r="AE567" s="5" t="s">
        <v>16</v>
      </c>
      <c r="AF567" s="46" t="str">
        <f>IF(VLOOKUP(AE567,βοηθητικό!$J$2:$N$354,3,FALSE)="","",VLOOKUP(AE567,βοηθητικό!$J$2:$N$354,3,FALSE))</f>
        <v>_</v>
      </c>
      <c r="AG567" s="47"/>
      <c r="AH567" s="4" t="s">
        <v>16</v>
      </c>
      <c r="AI567" s="43" t="str">
        <f>IF(VLOOKUP(AH567,βοηθητικό!$J$2:$N$354,3,FALSE)="","",VLOOKUP(AH567,βοηθητικό!$J$2:$N$354,3,FALSE))</f>
        <v>_</v>
      </c>
      <c r="AJ567" s="44"/>
      <c r="AK567" s="5" t="s">
        <v>16</v>
      </c>
      <c r="AL567" s="46" t="str">
        <f>IF(VLOOKUP(AK567,βοηθητικό!$J$2:$N$354,3,FALSE)="","",VLOOKUP(AK567,βοηθητικό!$J$2:$N$354,3,FALSE))</f>
        <v>_</v>
      </c>
      <c r="AM567" s="47"/>
      <c r="AN567" s="4" t="s">
        <v>16</v>
      </c>
      <c r="AO567" s="43" t="str">
        <f>IF(VLOOKUP(AN567,βοηθητικό!$J$2:$N$354,3,FALSE)="","",VLOOKUP(AN567,βοηθητικό!$J$2:$N$354,3,FALSE))</f>
        <v>_</v>
      </c>
      <c r="AP567" s="44"/>
      <c r="AQ567" s="5" t="s">
        <v>16</v>
      </c>
      <c r="AR567" s="46" t="str">
        <f>IF(VLOOKUP(AQ567,βοηθητικό!$J$2:$N$354,3,FALSE)="","",VLOOKUP(AQ567,βοηθητικό!$J$2:$N$354,3,FALSE))</f>
        <v>_</v>
      </c>
      <c r="AS567" s="47"/>
      <c r="AT567" s="4" t="s">
        <v>16</v>
      </c>
      <c r="AU567" s="43" t="str">
        <f>IF(VLOOKUP(AT567,βοηθητικό!$J$2:$N$354,3,FALSE)="","",VLOOKUP(AT567,βοηθητικό!$J$2:$N$354,3,FALSE))</f>
        <v>_</v>
      </c>
      <c r="AV567" s="44"/>
      <c r="AW567" s="5" t="s">
        <v>16</v>
      </c>
      <c r="AX567" s="46" t="str">
        <f>IF(VLOOKUP(AW567,βοηθητικό!$J$2:$N$354,3,FALSE)="","",VLOOKUP(AW567,βοηθητικό!$J$2:$N$354,3,FALSE))</f>
        <v>_</v>
      </c>
      <c r="AY567" s="47"/>
      <c r="AZ567" s="4" t="s">
        <v>16</v>
      </c>
      <c r="BA567" s="43" t="str">
        <f>IF(VLOOKUP(AZ567,βοηθητικό!$J$2:$N$354,3,FALSE)="","",VLOOKUP(AZ567,βοηθητικό!$J$2:$N$354,3,FALSE))</f>
        <v>_</v>
      </c>
      <c r="BB567" s="44"/>
      <c r="BC567" s="45" t="s">
        <v>16</v>
      </c>
      <c r="BD567" s="46" t="str">
        <f>IF(VLOOKUP(BC567,βοηθητικό!$J$2:$N$354,3,FALSE)="","",VLOOKUP(BC567,βοηθητικό!$J$2:$N$354,3,FALSE))</f>
        <v>_</v>
      </c>
      <c r="BE567" s="47"/>
      <c r="BF567" s="42" t="s">
        <v>16</v>
      </c>
      <c r="BG567" s="43" t="str">
        <f>IF(VLOOKUP(BF567,βοηθητικό!$J$2:$N$354,3,FALSE)="","",VLOOKUP(BF567,βοηθητικό!$J$2:$N$354,3,FALSE))</f>
        <v>_</v>
      </c>
      <c r="BH567" s="44"/>
      <c r="BI567" s="45" t="s">
        <v>16</v>
      </c>
      <c r="BJ567" s="46" t="str">
        <f>IF(VLOOKUP(BI567,βοηθητικό!$J$2:$N$354,3,FALSE)="","",VLOOKUP(BI567,βοηθητικό!$J$2:$N$354,3,FALSE))</f>
        <v>_</v>
      </c>
      <c r="BK567" s="47"/>
      <c r="BL567" s="42" t="s">
        <v>16</v>
      </c>
      <c r="BM567" s="43" t="str">
        <f>IF(VLOOKUP(BL567,βοηθητικό!$J$2:$N$354,3,FALSE)="","",VLOOKUP(BL567,βοηθητικό!$J$2:$N$354,3,FALSE))</f>
        <v>_</v>
      </c>
      <c r="BN567" s="44"/>
      <c r="BO567" s="45" t="s">
        <v>16</v>
      </c>
      <c r="BP567" s="46" t="str">
        <f>IF(VLOOKUP(BO567,βοηθητικό!$J$2:$N$354,3,FALSE)="","",VLOOKUP(BO567,βοηθητικό!$J$2:$N$354,3,FALSE))</f>
        <v>_</v>
      </c>
      <c r="BQ567" s="47"/>
      <c r="BR567" s="42" t="s">
        <v>16</v>
      </c>
      <c r="BS567" s="43" t="str">
        <f>IF(VLOOKUP(BR567,βοηθητικό!$J$2:$N$354,3,FALSE)="","",VLOOKUP(BR567,βοηθητικό!$J$2:$N$354,3,FALSE))</f>
        <v>_</v>
      </c>
      <c r="BT567" s="44"/>
      <c r="BU567" s="45" t="s">
        <v>16</v>
      </c>
      <c r="BV567" s="46" t="str">
        <f>IF(VLOOKUP(BU567,βοηθητικό!$J$2:$N$354,3,FALSE)="","",VLOOKUP(BU567,βοηθητικό!$J$2:$N$354,3,FALSE))</f>
        <v>_</v>
      </c>
      <c r="BW567" s="47"/>
      <c r="BX567" s="42" t="s">
        <v>16</v>
      </c>
      <c r="BY567" s="43" t="str">
        <f>IF(VLOOKUP(BX567,βοηθητικό!$J$2:$N$354,3,FALSE)="","",VLOOKUP(BX567,βοηθητικό!$J$2:$N$354,3,FALSE))</f>
        <v>_</v>
      </c>
      <c r="BZ567" s="44"/>
      <c r="CA567" s="45" t="s">
        <v>16</v>
      </c>
      <c r="CB567" s="46" t="str">
        <f>IF(VLOOKUP(CA567,βοηθητικό!$J$2:$N$354,3,FALSE)="","",VLOOKUP(CA567,βοηθητικό!$J$2:$N$354,3,FALSE))</f>
        <v>_</v>
      </c>
      <c r="CC567" s="47"/>
      <c r="CD567" s="42" t="s">
        <v>16</v>
      </c>
      <c r="CE567" s="43" t="str">
        <f>IF(VLOOKUP(CD567,βοηθητικό!$J$2:$N$354,3,FALSE)="","",VLOOKUP(CD567,βοηθητικό!$J$2:$N$354,3,FALSE))</f>
        <v>_</v>
      </c>
      <c r="CF567" s="44"/>
      <c r="CG567" s="45" t="s">
        <v>16</v>
      </c>
      <c r="CH567" s="46" t="str">
        <f>IF(VLOOKUP(CG567,βοηθητικό!$J$2:$N$354,3,FALSE)="","",VLOOKUP(CG567,βοηθητικό!$J$2:$N$354,3,FALSE))</f>
        <v>_</v>
      </c>
      <c r="CI567" s="47"/>
      <c r="CJ567" s="42" t="s">
        <v>16</v>
      </c>
      <c r="CK567" s="43" t="str">
        <f>IF(VLOOKUP(CJ567,βοηθητικό!$J$2:$N$354,3,FALSE)="","",VLOOKUP(CJ567,βοηθητικό!$J$2:$N$354,3,FALSE))</f>
        <v>_</v>
      </c>
      <c r="CL567" s="44"/>
      <c r="CM567" s="45" t="s">
        <v>16</v>
      </c>
      <c r="CN567" s="46" t="str">
        <f>IF(VLOOKUP(CM567,βοηθητικό!$J$2:$N$354,3,FALSE)="","",VLOOKUP(CM567,βοηθητικό!$J$2:$N$354,3,FALSE))</f>
        <v>_</v>
      </c>
      <c r="CO567" s="47"/>
      <c r="CP567" s="42" t="s">
        <v>16</v>
      </c>
      <c r="CQ567" s="43" t="str">
        <f>IF(VLOOKUP(CP567,βοηθητικό!$J$2:$N$354,3,FALSE)="","",VLOOKUP(CP567,βοηθητικό!$J$2:$N$354,3,FALSE))</f>
        <v>_</v>
      </c>
      <c r="CR567" s="44"/>
      <c r="CS567" s="45" t="s">
        <v>16</v>
      </c>
      <c r="CT567" s="46" t="str">
        <f>IF(VLOOKUP(CS567,βοηθητικό!$J$2:$N$354,3,FALSE)="","",VLOOKUP(CS567,βοηθητικό!$J$2:$N$354,3,FALSE))</f>
        <v>_</v>
      </c>
      <c r="CU567" s="47"/>
    </row>
    <row r="568" spans="1:99" x14ac:dyDescent="0.25">
      <c r="A568" s="37">
        <f>--SUBTOTAL(3,$B$3:B567)</f>
        <v>198</v>
      </c>
      <c r="B568" s="2"/>
      <c r="C568" s="3"/>
      <c r="D568" s="55" t="s">
        <v>18</v>
      </c>
      <c r="E568" s="38" t="s">
        <v>16</v>
      </c>
      <c r="F568" s="38"/>
      <c r="G568" s="39" t="str">
        <f t="shared" si="26"/>
        <v>__</v>
      </c>
      <c r="H568" s="40" t="str">
        <f t="shared" si="27"/>
        <v>FALSE</v>
      </c>
      <c r="I568" s="41">
        <f t="shared" si="28"/>
        <v>0</v>
      </c>
      <c r="J568" s="4" t="s">
        <v>16</v>
      </c>
      <c r="K568" s="43" t="str">
        <f>IF(VLOOKUP(J568,βοηθητικό!$J$2:$N$354,3,FALSE)="","",VLOOKUP(J568,βοηθητικό!$J$2:$N$354,3,FALSE))</f>
        <v>_</v>
      </c>
      <c r="L568" s="44"/>
      <c r="M568" s="5" t="s">
        <v>16</v>
      </c>
      <c r="N568" s="46" t="str">
        <f>IF(VLOOKUP(M568,βοηθητικό!$J$2:$N$354,3,FALSE)="","",VLOOKUP(M568,βοηθητικό!$J$2:$N$354,3,FALSE))</f>
        <v>_</v>
      </c>
      <c r="O568" s="47"/>
      <c r="P568" s="4" t="s">
        <v>16</v>
      </c>
      <c r="Q568" s="43" t="str">
        <f>IF(VLOOKUP(P568,βοηθητικό!$J$2:$N$354,3,FALSE)="","",VLOOKUP(P568,βοηθητικό!$J$2:$N$354,3,FALSE))</f>
        <v>_</v>
      </c>
      <c r="R568" s="44"/>
      <c r="S568" s="5" t="s">
        <v>16</v>
      </c>
      <c r="T568" s="46" t="str">
        <f>IF(VLOOKUP(S568,βοηθητικό!$J$2:$N$354,3,FALSE)="","",VLOOKUP(S568,βοηθητικό!$J$2:$N$354,3,FALSE))</f>
        <v>_</v>
      </c>
      <c r="U568" s="47"/>
      <c r="V568" s="4" t="s">
        <v>16</v>
      </c>
      <c r="W568" s="43" t="str">
        <f>IF(VLOOKUP(V568,βοηθητικό!$J$2:$N$354,3,FALSE)="","",VLOOKUP(V568,βοηθητικό!$J$2:$N$354,3,FALSE))</f>
        <v>_</v>
      </c>
      <c r="X568" s="44"/>
      <c r="Y568" s="5" t="s">
        <v>16</v>
      </c>
      <c r="Z568" s="46" t="str">
        <f>IF(VLOOKUP(Y568,βοηθητικό!$J$2:$N$354,3,FALSE)="","",VLOOKUP(Y568,βοηθητικό!$J$2:$N$354,3,FALSE))</f>
        <v>_</v>
      </c>
      <c r="AA568" s="47"/>
      <c r="AB568" s="4" t="s">
        <v>16</v>
      </c>
      <c r="AC568" s="43" t="str">
        <f>IF(VLOOKUP(AB568,βοηθητικό!$J$2:$N$354,3,FALSE)="","",VLOOKUP(AB568,βοηθητικό!$J$2:$N$354,3,FALSE))</f>
        <v>_</v>
      </c>
      <c r="AD568" s="44"/>
      <c r="AE568" s="5" t="s">
        <v>16</v>
      </c>
      <c r="AF568" s="46" t="str">
        <f>IF(VLOOKUP(AE568,βοηθητικό!$J$2:$N$354,3,FALSE)="","",VLOOKUP(AE568,βοηθητικό!$J$2:$N$354,3,FALSE))</f>
        <v>_</v>
      </c>
      <c r="AG568" s="47"/>
      <c r="AH568" s="4" t="s">
        <v>16</v>
      </c>
      <c r="AI568" s="43" t="str">
        <f>IF(VLOOKUP(AH568,βοηθητικό!$J$2:$N$354,3,FALSE)="","",VLOOKUP(AH568,βοηθητικό!$J$2:$N$354,3,FALSE))</f>
        <v>_</v>
      </c>
      <c r="AJ568" s="44"/>
      <c r="AK568" s="5" t="s">
        <v>16</v>
      </c>
      <c r="AL568" s="46" t="str">
        <f>IF(VLOOKUP(AK568,βοηθητικό!$J$2:$N$354,3,FALSE)="","",VLOOKUP(AK568,βοηθητικό!$J$2:$N$354,3,FALSE))</f>
        <v>_</v>
      </c>
      <c r="AM568" s="47"/>
      <c r="AN568" s="4" t="s">
        <v>16</v>
      </c>
      <c r="AO568" s="43" t="str">
        <f>IF(VLOOKUP(AN568,βοηθητικό!$J$2:$N$354,3,FALSE)="","",VLOOKUP(AN568,βοηθητικό!$J$2:$N$354,3,FALSE))</f>
        <v>_</v>
      </c>
      <c r="AP568" s="44"/>
      <c r="AQ568" s="5" t="s">
        <v>16</v>
      </c>
      <c r="AR568" s="46" t="str">
        <f>IF(VLOOKUP(AQ568,βοηθητικό!$J$2:$N$354,3,FALSE)="","",VLOOKUP(AQ568,βοηθητικό!$J$2:$N$354,3,FALSE))</f>
        <v>_</v>
      </c>
      <c r="AS568" s="47"/>
      <c r="AT568" s="4" t="s">
        <v>16</v>
      </c>
      <c r="AU568" s="43" t="str">
        <f>IF(VLOOKUP(AT568,βοηθητικό!$J$2:$N$354,3,FALSE)="","",VLOOKUP(AT568,βοηθητικό!$J$2:$N$354,3,FALSE))</f>
        <v>_</v>
      </c>
      <c r="AV568" s="44"/>
      <c r="AW568" s="5" t="s">
        <v>16</v>
      </c>
      <c r="AX568" s="46" t="str">
        <f>IF(VLOOKUP(AW568,βοηθητικό!$J$2:$N$354,3,FALSE)="","",VLOOKUP(AW568,βοηθητικό!$J$2:$N$354,3,FALSE))</f>
        <v>_</v>
      </c>
      <c r="AY568" s="47"/>
      <c r="AZ568" s="4" t="s">
        <v>16</v>
      </c>
      <c r="BA568" s="43" t="str">
        <f>IF(VLOOKUP(AZ568,βοηθητικό!$J$2:$N$354,3,FALSE)="","",VLOOKUP(AZ568,βοηθητικό!$J$2:$N$354,3,FALSE))</f>
        <v>_</v>
      </c>
      <c r="BB568" s="44"/>
      <c r="BC568" s="45" t="s">
        <v>16</v>
      </c>
      <c r="BD568" s="46" t="str">
        <f>IF(VLOOKUP(BC568,βοηθητικό!$J$2:$N$354,3,FALSE)="","",VLOOKUP(BC568,βοηθητικό!$J$2:$N$354,3,FALSE))</f>
        <v>_</v>
      </c>
      <c r="BE568" s="47"/>
      <c r="BF568" s="42" t="s">
        <v>16</v>
      </c>
      <c r="BG568" s="43" t="str">
        <f>IF(VLOOKUP(BF568,βοηθητικό!$J$2:$N$354,3,FALSE)="","",VLOOKUP(BF568,βοηθητικό!$J$2:$N$354,3,FALSE))</f>
        <v>_</v>
      </c>
      <c r="BH568" s="44"/>
      <c r="BI568" s="45" t="s">
        <v>16</v>
      </c>
      <c r="BJ568" s="46" t="str">
        <f>IF(VLOOKUP(BI568,βοηθητικό!$J$2:$N$354,3,FALSE)="","",VLOOKUP(BI568,βοηθητικό!$J$2:$N$354,3,FALSE))</f>
        <v>_</v>
      </c>
      <c r="BK568" s="47"/>
      <c r="BL568" s="42" t="s">
        <v>16</v>
      </c>
      <c r="BM568" s="43" t="str">
        <f>IF(VLOOKUP(BL568,βοηθητικό!$J$2:$N$354,3,FALSE)="","",VLOOKUP(BL568,βοηθητικό!$J$2:$N$354,3,FALSE))</f>
        <v>_</v>
      </c>
      <c r="BN568" s="44"/>
      <c r="BO568" s="45" t="s">
        <v>16</v>
      </c>
      <c r="BP568" s="46" t="str">
        <f>IF(VLOOKUP(BO568,βοηθητικό!$J$2:$N$354,3,FALSE)="","",VLOOKUP(BO568,βοηθητικό!$J$2:$N$354,3,FALSE))</f>
        <v>_</v>
      </c>
      <c r="BQ568" s="47"/>
      <c r="BR568" s="42" t="s">
        <v>16</v>
      </c>
      <c r="BS568" s="43" t="str">
        <f>IF(VLOOKUP(BR568,βοηθητικό!$J$2:$N$354,3,FALSE)="","",VLOOKUP(BR568,βοηθητικό!$J$2:$N$354,3,FALSE))</f>
        <v>_</v>
      </c>
      <c r="BT568" s="44"/>
      <c r="BU568" s="45" t="s">
        <v>16</v>
      </c>
      <c r="BV568" s="46" t="str">
        <f>IF(VLOOKUP(BU568,βοηθητικό!$J$2:$N$354,3,FALSE)="","",VLOOKUP(BU568,βοηθητικό!$J$2:$N$354,3,FALSE))</f>
        <v>_</v>
      </c>
      <c r="BW568" s="47"/>
      <c r="BX568" s="42" t="s">
        <v>16</v>
      </c>
      <c r="BY568" s="43" t="str">
        <f>IF(VLOOKUP(BX568,βοηθητικό!$J$2:$N$354,3,FALSE)="","",VLOOKUP(BX568,βοηθητικό!$J$2:$N$354,3,FALSE))</f>
        <v>_</v>
      </c>
      <c r="BZ568" s="44"/>
      <c r="CA568" s="45" t="s">
        <v>16</v>
      </c>
      <c r="CB568" s="46" t="str">
        <f>IF(VLOOKUP(CA568,βοηθητικό!$J$2:$N$354,3,FALSE)="","",VLOOKUP(CA568,βοηθητικό!$J$2:$N$354,3,FALSE))</f>
        <v>_</v>
      </c>
      <c r="CC568" s="47"/>
      <c r="CD568" s="42" t="s">
        <v>16</v>
      </c>
      <c r="CE568" s="43" t="str">
        <f>IF(VLOOKUP(CD568,βοηθητικό!$J$2:$N$354,3,FALSE)="","",VLOOKUP(CD568,βοηθητικό!$J$2:$N$354,3,FALSE))</f>
        <v>_</v>
      </c>
      <c r="CF568" s="44"/>
      <c r="CG568" s="45" t="s">
        <v>16</v>
      </c>
      <c r="CH568" s="46" t="str">
        <f>IF(VLOOKUP(CG568,βοηθητικό!$J$2:$N$354,3,FALSE)="","",VLOOKUP(CG568,βοηθητικό!$J$2:$N$354,3,FALSE))</f>
        <v>_</v>
      </c>
      <c r="CI568" s="47"/>
      <c r="CJ568" s="42" t="s">
        <v>16</v>
      </c>
      <c r="CK568" s="43" t="str">
        <f>IF(VLOOKUP(CJ568,βοηθητικό!$J$2:$N$354,3,FALSE)="","",VLOOKUP(CJ568,βοηθητικό!$J$2:$N$354,3,FALSE))</f>
        <v>_</v>
      </c>
      <c r="CL568" s="44"/>
      <c r="CM568" s="45" t="s">
        <v>16</v>
      </c>
      <c r="CN568" s="46" t="str">
        <f>IF(VLOOKUP(CM568,βοηθητικό!$J$2:$N$354,3,FALSE)="","",VLOOKUP(CM568,βοηθητικό!$J$2:$N$354,3,FALSE))</f>
        <v>_</v>
      </c>
      <c r="CO568" s="47"/>
      <c r="CP568" s="42" t="s">
        <v>16</v>
      </c>
      <c r="CQ568" s="43" t="str">
        <f>IF(VLOOKUP(CP568,βοηθητικό!$J$2:$N$354,3,FALSE)="","",VLOOKUP(CP568,βοηθητικό!$J$2:$N$354,3,FALSE))</f>
        <v>_</v>
      </c>
      <c r="CR568" s="44"/>
      <c r="CS568" s="45" t="s">
        <v>16</v>
      </c>
      <c r="CT568" s="46" t="str">
        <f>IF(VLOOKUP(CS568,βοηθητικό!$J$2:$N$354,3,FALSE)="","",VLOOKUP(CS568,βοηθητικό!$J$2:$N$354,3,FALSE))</f>
        <v>_</v>
      </c>
      <c r="CU568" s="47"/>
    </row>
    <row r="569" spans="1:99" x14ac:dyDescent="0.25">
      <c r="A569" s="37">
        <f>--SUBTOTAL(3,$B$3:B568)</f>
        <v>198</v>
      </c>
      <c r="B569" s="2"/>
      <c r="C569" s="3"/>
      <c r="D569" s="55" t="s">
        <v>18</v>
      </c>
      <c r="E569" s="38" t="s">
        <v>16</v>
      </c>
      <c r="F569" s="38"/>
      <c r="G569" s="39" t="str">
        <f t="shared" si="26"/>
        <v>__</v>
      </c>
      <c r="H569" s="40" t="str">
        <f t="shared" si="27"/>
        <v>FALSE</v>
      </c>
      <c r="I569" s="41">
        <f t="shared" si="28"/>
        <v>0</v>
      </c>
      <c r="J569" s="4" t="s">
        <v>16</v>
      </c>
      <c r="K569" s="43" t="str">
        <f>IF(VLOOKUP(J569,βοηθητικό!$J$2:$N$354,3,FALSE)="","",VLOOKUP(J569,βοηθητικό!$J$2:$N$354,3,FALSE))</f>
        <v>_</v>
      </c>
      <c r="L569" s="44"/>
      <c r="M569" s="5" t="s">
        <v>16</v>
      </c>
      <c r="N569" s="46" t="str">
        <f>IF(VLOOKUP(M569,βοηθητικό!$J$2:$N$354,3,FALSE)="","",VLOOKUP(M569,βοηθητικό!$J$2:$N$354,3,FALSE))</f>
        <v>_</v>
      </c>
      <c r="O569" s="47"/>
      <c r="P569" s="4" t="s">
        <v>16</v>
      </c>
      <c r="Q569" s="43" t="str">
        <f>IF(VLOOKUP(P569,βοηθητικό!$J$2:$N$354,3,FALSE)="","",VLOOKUP(P569,βοηθητικό!$J$2:$N$354,3,FALSE))</f>
        <v>_</v>
      </c>
      <c r="R569" s="44"/>
      <c r="S569" s="5" t="s">
        <v>16</v>
      </c>
      <c r="T569" s="46" t="str">
        <f>IF(VLOOKUP(S569,βοηθητικό!$J$2:$N$354,3,FALSE)="","",VLOOKUP(S569,βοηθητικό!$J$2:$N$354,3,FALSE))</f>
        <v>_</v>
      </c>
      <c r="U569" s="47"/>
      <c r="V569" s="4" t="s">
        <v>16</v>
      </c>
      <c r="W569" s="43" t="str">
        <f>IF(VLOOKUP(V569,βοηθητικό!$J$2:$N$354,3,FALSE)="","",VLOOKUP(V569,βοηθητικό!$J$2:$N$354,3,FALSE))</f>
        <v>_</v>
      </c>
      <c r="X569" s="44"/>
      <c r="Y569" s="5" t="s">
        <v>16</v>
      </c>
      <c r="Z569" s="46" t="str">
        <f>IF(VLOOKUP(Y569,βοηθητικό!$J$2:$N$354,3,FALSE)="","",VLOOKUP(Y569,βοηθητικό!$J$2:$N$354,3,FALSE))</f>
        <v>_</v>
      </c>
      <c r="AA569" s="47"/>
      <c r="AB569" s="4" t="s">
        <v>16</v>
      </c>
      <c r="AC569" s="43" t="str">
        <f>IF(VLOOKUP(AB569,βοηθητικό!$J$2:$N$354,3,FALSE)="","",VLOOKUP(AB569,βοηθητικό!$J$2:$N$354,3,FALSE))</f>
        <v>_</v>
      </c>
      <c r="AD569" s="44"/>
      <c r="AE569" s="5" t="s">
        <v>16</v>
      </c>
      <c r="AF569" s="46" t="str">
        <f>IF(VLOOKUP(AE569,βοηθητικό!$J$2:$N$354,3,FALSE)="","",VLOOKUP(AE569,βοηθητικό!$J$2:$N$354,3,FALSE))</f>
        <v>_</v>
      </c>
      <c r="AG569" s="47"/>
      <c r="AH569" s="4" t="s">
        <v>16</v>
      </c>
      <c r="AI569" s="43" t="str">
        <f>IF(VLOOKUP(AH569,βοηθητικό!$J$2:$N$354,3,FALSE)="","",VLOOKUP(AH569,βοηθητικό!$J$2:$N$354,3,FALSE))</f>
        <v>_</v>
      </c>
      <c r="AJ569" s="44"/>
      <c r="AK569" s="5" t="s">
        <v>16</v>
      </c>
      <c r="AL569" s="46" t="str">
        <f>IF(VLOOKUP(AK569,βοηθητικό!$J$2:$N$354,3,FALSE)="","",VLOOKUP(AK569,βοηθητικό!$J$2:$N$354,3,FALSE))</f>
        <v>_</v>
      </c>
      <c r="AM569" s="47"/>
      <c r="AN569" s="4" t="s">
        <v>16</v>
      </c>
      <c r="AO569" s="43" t="str">
        <f>IF(VLOOKUP(AN569,βοηθητικό!$J$2:$N$354,3,FALSE)="","",VLOOKUP(AN569,βοηθητικό!$J$2:$N$354,3,FALSE))</f>
        <v>_</v>
      </c>
      <c r="AP569" s="44"/>
      <c r="AQ569" s="5" t="s">
        <v>16</v>
      </c>
      <c r="AR569" s="46" t="str">
        <f>IF(VLOOKUP(AQ569,βοηθητικό!$J$2:$N$354,3,FALSE)="","",VLOOKUP(AQ569,βοηθητικό!$J$2:$N$354,3,FALSE))</f>
        <v>_</v>
      </c>
      <c r="AS569" s="47"/>
      <c r="AT569" s="4" t="s">
        <v>16</v>
      </c>
      <c r="AU569" s="43" t="str">
        <f>IF(VLOOKUP(AT569,βοηθητικό!$J$2:$N$354,3,FALSE)="","",VLOOKUP(AT569,βοηθητικό!$J$2:$N$354,3,FALSE))</f>
        <v>_</v>
      </c>
      <c r="AV569" s="44"/>
      <c r="AW569" s="5" t="s">
        <v>16</v>
      </c>
      <c r="AX569" s="46" t="str">
        <f>IF(VLOOKUP(AW569,βοηθητικό!$J$2:$N$354,3,FALSE)="","",VLOOKUP(AW569,βοηθητικό!$J$2:$N$354,3,FALSE))</f>
        <v>_</v>
      </c>
      <c r="AY569" s="47"/>
      <c r="AZ569" s="4" t="s">
        <v>16</v>
      </c>
      <c r="BA569" s="43" t="str">
        <f>IF(VLOOKUP(AZ569,βοηθητικό!$J$2:$N$354,3,FALSE)="","",VLOOKUP(AZ569,βοηθητικό!$J$2:$N$354,3,FALSE))</f>
        <v>_</v>
      </c>
      <c r="BB569" s="44"/>
      <c r="BC569" s="45" t="s">
        <v>16</v>
      </c>
      <c r="BD569" s="46" t="str">
        <f>IF(VLOOKUP(BC569,βοηθητικό!$J$2:$N$354,3,FALSE)="","",VLOOKUP(BC569,βοηθητικό!$J$2:$N$354,3,FALSE))</f>
        <v>_</v>
      </c>
      <c r="BE569" s="47"/>
      <c r="BF569" s="42" t="s">
        <v>16</v>
      </c>
      <c r="BG569" s="43" t="str">
        <f>IF(VLOOKUP(BF569,βοηθητικό!$J$2:$N$354,3,FALSE)="","",VLOOKUP(BF569,βοηθητικό!$J$2:$N$354,3,FALSE))</f>
        <v>_</v>
      </c>
      <c r="BH569" s="44"/>
      <c r="BI569" s="45" t="s">
        <v>16</v>
      </c>
      <c r="BJ569" s="46" t="str">
        <f>IF(VLOOKUP(BI569,βοηθητικό!$J$2:$N$354,3,FALSE)="","",VLOOKUP(BI569,βοηθητικό!$J$2:$N$354,3,FALSE))</f>
        <v>_</v>
      </c>
      <c r="BK569" s="47"/>
      <c r="BL569" s="42" t="s">
        <v>16</v>
      </c>
      <c r="BM569" s="43" t="str">
        <f>IF(VLOOKUP(BL569,βοηθητικό!$J$2:$N$354,3,FALSE)="","",VLOOKUP(BL569,βοηθητικό!$J$2:$N$354,3,FALSE))</f>
        <v>_</v>
      </c>
      <c r="BN569" s="44"/>
      <c r="BO569" s="45" t="s">
        <v>16</v>
      </c>
      <c r="BP569" s="46" t="str">
        <f>IF(VLOOKUP(BO569,βοηθητικό!$J$2:$N$354,3,FALSE)="","",VLOOKUP(BO569,βοηθητικό!$J$2:$N$354,3,FALSE))</f>
        <v>_</v>
      </c>
      <c r="BQ569" s="47"/>
      <c r="BR569" s="42" t="s">
        <v>16</v>
      </c>
      <c r="BS569" s="43" t="str">
        <f>IF(VLOOKUP(BR569,βοηθητικό!$J$2:$N$354,3,FALSE)="","",VLOOKUP(BR569,βοηθητικό!$J$2:$N$354,3,FALSE))</f>
        <v>_</v>
      </c>
      <c r="BT569" s="44"/>
      <c r="BU569" s="45" t="s">
        <v>16</v>
      </c>
      <c r="BV569" s="46" t="str">
        <f>IF(VLOOKUP(BU569,βοηθητικό!$J$2:$N$354,3,FALSE)="","",VLOOKUP(BU569,βοηθητικό!$J$2:$N$354,3,FALSE))</f>
        <v>_</v>
      </c>
      <c r="BW569" s="47"/>
      <c r="BX569" s="42" t="s">
        <v>16</v>
      </c>
      <c r="BY569" s="43" t="str">
        <f>IF(VLOOKUP(BX569,βοηθητικό!$J$2:$N$354,3,FALSE)="","",VLOOKUP(BX569,βοηθητικό!$J$2:$N$354,3,FALSE))</f>
        <v>_</v>
      </c>
      <c r="BZ569" s="44"/>
      <c r="CA569" s="45" t="s">
        <v>16</v>
      </c>
      <c r="CB569" s="46" t="str">
        <f>IF(VLOOKUP(CA569,βοηθητικό!$J$2:$N$354,3,FALSE)="","",VLOOKUP(CA569,βοηθητικό!$J$2:$N$354,3,FALSE))</f>
        <v>_</v>
      </c>
      <c r="CC569" s="47"/>
      <c r="CD569" s="42" t="s">
        <v>16</v>
      </c>
      <c r="CE569" s="43" t="str">
        <f>IF(VLOOKUP(CD569,βοηθητικό!$J$2:$N$354,3,FALSE)="","",VLOOKUP(CD569,βοηθητικό!$J$2:$N$354,3,FALSE))</f>
        <v>_</v>
      </c>
      <c r="CF569" s="44"/>
      <c r="CG569" s="45" t="s">
        <v>16</v>
      </c>
      <c r="CH569" s="46" t="str">
        <f>IF(VLOOKUP(CG569,βοηθητικό!$J$2:$N$354,3,FALSE)="","",VLOOKUP(CG569,βοηθητικό!$J$2:$N$354,3,FALSE))</f>
        <v>_</v>
      </c>
      <c r="CI569" s="47"/>
      <c r="CJ569" s="42" t="s">
        <v>16</v>
      </c>
      <c r="CK569" s="43" t="str">
        <f>IF(VLOOKUP(CJ569,βοηθητικό!$J$2:$N$354,3,FALSE)="","",VLOOKUP(CJ569,βοηθητικό!$J$2:$N$354,3,FALSE))</f>
        <v>_</v>
      </c>
      <c r="CL569" s="44"/>
      <c r="CM569" s="45" t="s">
        <v>16</v>
      </c>
      <c r="CN569" s="46" t="str">
        <f>IF(VLOOKUP(CM569,βοηθητικό!$J$2:$N$354,3,FALSE)="","",VLOOKUP(CM569,βοηθητικό!$J$2:$N$354,3,FALSE))</f>
        <v>_</v>
      </c>
      <c r="CO569" s="47"/>
      <c r="CP569" s="42" t="s">
        <v>16</v>
      </c>
      <c r="CQ569" s="43" t="str">
        <f>IF(VLOOKUP(CP569,βοηθητικό!$J$2:$N$354,3,FALSE)="","",VLOOKUP(CP569,βοηθητικό!$J$2:$N$354,3,FALSE))</f>
        <v>_</v>
      </c>
      <c r="CR569" s="44"/>
      <c r="CS569" s="45" t="s">
        <v>16</v>
      </c>
      <c r="CT569" s="46" t="str">
        <f>IF(VLOOKUP(CS569,βοηθητικό!$J$2:$N$354,3,FALSE)="","",VLOOKUP(CS569,βοηθητικό!$J$2:$N$354,3,FALSE))</f>
        <v>_</v>
      </c>
      <c r="CU569" s="47"/>
    </row>
    <row r="570" spans="1:99" x14ac:dyDescent="0.25">
      <c r="A570" s="37">
        <f>--SUBTOTAL(3,$B$3:B569)</f>
        <v>198</v>
      </c>
      <c r="B570" s="2"/>
      <c r="C570" s="3"/>
      <c r="D570" s="55" t="s">
        <v>18</v>
      </c>
      <c r="E570" s="38" t="s">
        <v>16</v>
      </c>
      <c r="F570" s="38"/>
      <c r="G570" s="39" t="str">
        <f t="shared" si="26"/>
        <v>__</v>
      </c>
      <c r="H570" s="40" t="str">
        <f t="shared" si="27"/>
        <v>FALSE</v>
      </c>
      <c r="I570" s="41">
        <f t="shared" si="28"/>
        <v>0</v>
      </c>
      <c r="J570" s="4" t="s">
        <v>16</v>
      </c>
      <c r="K570" s="43" t="str">
        <f>IF(VLOOKUP(J570,βοηθητικό!$J$2:$N$354,3,FALSE)="","",VLOOKUP(J570,βοηθητικό!$J$2:$N$354,3,FALSE))</f>
        <v>_</v>
      </c>
      <c r="L570" s="44"/>
      <c r="M570" s="5" t="s">
        <v>16</v>
      </c>
      <c r="N570" s="46" t="str">
        <f>IF(VLOOKUP(M570,βοηθητικό!$J$2:$N$354,3,FALSE)="","",VLOOKUP(M570,βοηθητικό!$J$2:$N$354,3,FALSE))</f>
        <v>_</v>
      </c>
      <c r="O570" s="47"/>
      <c r="P570" s="4" t="s">
        <v>16</v>
      </c>
      <c r="Q570" s="43" t="str">
        <f>IF(VLOOKUP(P570,βοηθητικό!$J$2:$N$354,3,FALSE)="","",VLOOKUP(P570,βοηθητικό!$J$2:$N$354,3,FALSE))</f>
        <v>_</v>
      </c>
      <c r="R570" s="44"/>
      <c r="S570" s="5" t="s">
        <v>16</v>
      </c>
      <c r="T570" s="46" t="str">
        <f>IF(VLOOKUP(S570,βοηθητικό!$J$2:$N$354,3,FALSE)="","",VLOOKUP(S570,βοηθητικό!$J$2:$N$354,3,FALSE))</f>
        <v>_</v>
      </c>
      <c r="U570" s="47"/>
      <c r="V570" s="4" t="s">
        <v>16</v>
      </c>
      <c r="W570" s="43" t="str">
        <f>IF(VLOOKUP(V570,βοηθητικό!$J$2:$N$354,3,FALSE)="","",VLOOKUP(V570,βοηθητικό!$J$2:$N$354,3,FALSE))</f>
        <v>_</v>
      </c>
      <c r="X570" s="44"/>
      <c r="Y570" s="5" t="s">
        <v>16</v>
      </c>
      <c r="Z570" s="46" t="str">
        <f>IF(VLOOKUP(Y570,βοηθητικό!$J$2:$N$354,3,FALSE)="","",VLOOKUP(Y570,βοηθητικό!$J$2:$N$354,3,FALSE))</f>
        <v>_</v>
      </c>
      <c r="AA570" s="47"/>
      <c r="AB570" s="4" t="s">
        <v>16</v>
      </c>
      <c r="AC570" s="43" t="str">
        <f>IF(VLOOKUP(AB570,βοηθητικό!$J$2:$N$354,3,FALSE)="","",VLOOKUP(AB570,βοηθητικό!$J$2:$N$354,3,FALSE))</f>
        <v>_</v>
      </c>
      <c r="AD570" s="44"/>
      <c r="AE570" s="5" t="s">
        <v>16</v>
      </c>
      <c r="AF570" s="46" t="str">
        <f>IF(VLOOKUP(AE570,βοηθητικό!$J$2:$N$354,3,FALSE)="","",VLOOKUP(AE570,βοηθητικό!$J$2:$N$354,3,FALSE))</f>
        <v>_</v>
      </c>
      <c r="AG570" s="47"/>
      <c r="AH570" s="4" t="s">
        <v>16</v>
      </c>
      <c r="AI570" s="43" t="str">
        <f>IF(VLOOKUP(AH570,βοηθητικό!$J$2:$N$354,3,FALSE)="","",VLOOKUP(AH570,βοηθητικό!$J$2:$N$354,3,FALSE))</f>
        <v>_</v>
      </c>
      <c r="AJ570" s="44"/>
      <c r="AK570" s="5" t="s">
        <v>16</v>
      </c>
      <c r="AL570" s="46" t="str">
        <f>IF(VLOOKUP(AK570,βοηθητικό!$J$2:$N$354,3,FALSE)="","",VLOOKUP(AK570,βοηθητικό!$J$2:$N$354,3,FALSE))</f>
        <v>_</v>
      </c>
      <c r="AM570" s="47"/>
      <c r="AN570" s="4" t="s">
        <v>16</v>
      </c>
      <c r="AO570" s="43" t="str">
        <f>IF(VLOOKUP(AN570,βοηθητικό!$J$2:$N$354,3,FALSE)="","",VLOOKUP(AN570,βοηθητικό!$J$2:$N$354,3,FALSE))</f>
        <v>_</v>
      </c>
      <c r="AP570" s="44"/>
      <c r="AQ570" s="5" t="s">
        <v>16</v>
      </c>
      <c r="AR570" s="46" t="str">
        <f>IF(VLOOKUP(AQ570,βοηθητικό!$J$2:$N$354,3,FALSE)="","",VLOOKUP(AQ570,βοηθητικό!$J$2:$N$354,3,FALSE))</f>
        <v>_</v>
      </c>
      <c r="AS570" s="47"/>
      <c r="AT570" s="4" t="s">
        <v>16</v>
      </c>
      <c r="AU570" s="43" t="str">
        <f>IF(VLOOKUP(AT570,βοηθητικό!$J$2:$N$354,3,FALSE)="","",VLOOKUP(AT570,βοηθητικό!$J$2:$N$354,3,FALSE))</f>
        <v>_</v>
      </c>
      <c r="AV570" s="44"/>
      <c r="AW570" s="5" t="s">
        <v>16</v>
      </c>
      <c r="AX570" s="46" t="str">
        <f>IF(VLOOKUP(AW570,βοηθητικό!$J$2:$N$354,3,FALSE)="","",VLOOKUP(AW570,βοηθητικό!$J$2:$N$354,3,FALSE))</f>
        <v>_</v>
      </c>
      <c r="AY570" s="47"/>
      <c r="AZ570" s="4" t="s">
        <v>16</v>
      </c>
      <c r="BA570" s="43" t="str">
        <f>IF(VLOOKUP(AZ570,βοηθητικό!$J$2:$N$354,3,FALSE)="","",VLOOKUP(AZ570,βοηθητικό!$J$2:$N$354,3,FALSE))</f>
        <v>_</v>
      </c>
      <c r="BB570" s="44"/>
      <c r="BC570" s="45" t="s">
        <v>16</v>
      </c>
      <c r="BD570" s="46" t="str">
        <f>IF(VLOOKUP(BC570,βοηθητικό!$J$2:$N$354,3,FALSE)="","",VLOOKUP(BC570,βοηθητικό!$J$2:$N$354,3,FALSE))</f>
        <v>_</v>
      </c>
      <c r="BE570" s="47"/>
      <c r="BF570" s="42" t="s">
        <v>16</v>
      </c>
      <c r="BG570" s="43" t="str">
        <f>IF(VLOOKUP(BF570,βοηθητικό!$J$2:$N$354,3,FALSE)="","",VLOOKUP(BF570,βοηθητικό!$J$2:$N$354,3,FALSE))</f>
        <v>_</v>
      </c>
      <c r="BH570" s="44"/>
      <c r="BI570" s="45" t="s">
        <v>16</v>
      </c>
      <c r="BJ570" s="46" t="str">
        <f>IF(VLOOKUP(BI570,βοηθητικό!$J$2:$N$354,3,FALSE)="","",VLOOKUP(BI570,βοηθητικό!$J$2:$N$354,3,FALSE))</f>
        <v>_</v>
      </c>
      <c r="BK570" s="47"/>
      <c r="BL570" s="42" t="s">
        <v>16</v>
      </c>
      <c r="BM570" s="43" t="str">
        <f>IF(VLOOKUP(BL570,βοηθητικό!$J$2:$N$354,3,FALSE)="","",VLOOKUP(BL570,βοηθητικό!$J$2:$N$354,3,FALSE))</f>
        <v>_</v>
      </c>
      <c r="BN570" s="44"/>
      <c r="BO570" s="45" t="s">
        <v>16</v>
      </c>
      <c r="BP570" s="46" t="str">
        <f>IF(VLOOKUP(BO570,βοηθητικό!$J$2:$N$354,3,FALSE)="","",VLOOKUP(BO570,βοηθητικό!$J$2:$N$354,3,FALSE))</f>
        <v>_</v>
      </c>
      <c r="BQ570" s="47"/>
      <c r="BR570" s="42" t="s">
        <v>16</v>
      </c>
      <c r="BS570" s="43" t="str">
        <f>IF(VLOOKUP(BR570,βοηθητικό!$J$2:$N$354,3,FALSE)="","",VLOOKUP(BR570,βοηθητικό!$J$2:$N$354,3,FALSE))</f>
        <v>_</v>
      </c>
      <c r="BT570" s="44"/>
      <c r="BU570" s="45" t="s">
        <v>16</v>
      </c>
      <c r="BV570" s="46" t="str">
        <f>IF(VLOOKUP(BU570,βοηθητικό!$J$2:$N$354,3,FALSE)="","",VLOOKUP(BU570,βοηθητικό!$J$2:$N$354,3,FALSE))</f>
        <v>_</v>
      </c>
      <c r="BW570" s="47"/>
      <c r="BX570" s="42" t="s">
        <v>16</v>
      </c>
      <c r="BY570" s="43" t="str">
        <f>IF(VLOOKUP(BX570,βοηθητικό!$J$2:$N$354,3,FALSE)="","",VLOOKUP(BX570,βοηθητικό!$J$2:$N$354,3,FALSE))</f>
        <v>_</v>
      </c>
      <c r="BZ570" s="44"/>
      <c r="CA570" s="45" t="s">
        <v>16</v>
      </c>
      <c r="CB570" s="46" t="str">
        <f>IF(VLOOKUP(CA570,βοηθητικό!$J$2:$N$354,3,FALSE)="","",VLOOKUP(CA570,βοηθητικό!$J$2:$N$354,3,FALSE))</f>
        <v>_</v>
      </c>
      <c r="CC570" s="47"/>
      <c r="CD570" s="42" t="s">
        <v>16</v>
      </c>
      <c r="CE570" s="43" t="str">
        <f>IF(VLOOKUP(CD570,βοηθητικό!$J$2:$N$354,3,FALSE)="","",VLOOKUP(CD570,βοηθητικό!$J$2:$N$354,3,FALSE))</f>
        <v>_</v>
      </c>
      <c r="CF570" s="44"/>
      <c r="CG570" s="45" t="s">
        <v>16</v>
      </c>
      <c r="CH570" s="46" t="str">
        <f>IF(VLOOKUP(CG570,βοηθητικό!$J$2:$N$354,3,FALSE)="","",VLOOKUP(CG570,βοηθητικό!$J$2:$N$354,3,FALSE))</f>
        <v>_</v>
      </c>
      <c r="CI570" s="47"/>
      <c r="CJ570" s="42" t="s">
        <v>16</v>
      </c>
      <c r="CK570" s="43" t="str">
        <f>IF(VLOOKUP(CJ570,βοηθητικό!$J$2:$N$354,3,FALSE)="","",VLOOKUP(CJ570,βοηθητικό!$J$2:$N$354,3,FALSE))</f>
        <v>_</v>
      </c>
      <c r="CL570" s="44"/>
      <c r="CM570" s="45" t="s">
        <v>16</v>
      </c>
      <c r="CN570" s="46" t="str">
        <f>IF(VLOOKUP(CM570,βοηθητικό!$J$2:$N$354,3,FALSE)="","",VLOOKUP(CM570,βοηθητικό!$J$2:$N$354,3,FALSE))</f>
        <v>_</v>
      </c>
      <c r="CO570" s="47"/>
      <c r="CP570" s="42" t="s">
        <v>16</v>
      </c>
      <c r="CQ570" s="43" t="str">
        <f>IF(VLOOKUP(CP570,βοηθητικό!$J$2:$N$354,3,FALSE)="","",VLOOKUP(CP570,βοηθητικό!$J$2:$N$354,3,FALSE))</f>
        <v>_</v>
      </c>
      <c r="CR570" s="44"/>
      <c r="CS570" s="45" t="s">
        <v>16</v>
      </c>
      <c r="CT570" s="46" t="str">
        <f>IF(VLOOKUP(CS570,βοηθητικό!$J$2:$N$354,3,FALSE)="","",VLOOKUP(CS570,βοηθητικό!$J$2:$N$354,3,FALSE))</f>
        <v>_</v>
      </c>
      <c r="CU570" s="47"/>
    </row>
    <row r="571" spans="1:99" x14ac:dyDescent="0.25">
      <c r="A571" s="37">
        <f>--SUBTOTAL(3,$B$3:B570)</f>
        <v>198</v>
      </c>
      <c r="B571" s="2"/>
      <c r="C571" s="3"/>
      <c r="D571" s="55" t="s">
        <v>18</v>
      </c>
      <c r="E571" s="38" t="s">
        <v>16</v>
      </c>
      <c r="F571" s="38"/>
      <c r="G571" s="39" t="str">
        <f t="shared" si="26"/>
        <v>__</v>
      </c>
      <c r="H571" s="40" t="str">
        <f t="shared" si="27"/>
        <v>FALSE</v>
      </c>
      <c r="I571" s="41">
        <f t="shared" si="28"/>
        <v>0</v>
      </c>
      <c r="J571" s="4" t="s">
        <v>16</v>
      </c>
      <c r="K571" s="43" t="str">
        <f>IF(VLOOKUP(J571,βοηθητικό!$J$2:$N$354,3,FALSE)="","",VLOOKUP(J571,βοηθητικό!$J$2:$N$354,3,FALSE))</f>
        <v>_</v>
      </c>
      <c r="L571" s="44"/>
      <c r="M571" s="5" t="s">
        <v>16</v>
      </c>
      <c r="N571" s="46" t="str">
        <f>IF(VLOOKUP(M571,βοηθητικό!$J$2:$N$354,3,FALSE)="","",VLOOKUP(M571,βοηθητικό!$J$2:$N$354,3,FALSE))</f>
        <v>_</v>
      </c>
      <c r="O571" s="47"/>
      <c r="P571" s="4" t="s">
        <v>16</v>
      </c>
      <c r="Q571" s="43" t="str">
        <f>IF(VLOOKUP(P571,βοηθητικό!$J$2:$N$354,3,FALSE)="","",VLOOKUP(P571,βοηθητικό!$J$2:$N$354,3,FALSE))</f>
        <v>_</v>
      </c>
      <c r="R571" s="44"/>
      <c r="S571" s="5" t="s">
        <v>16</v>
      </c>
      <c r="T571" s="46" t="str">
        <f>IF(VLOOKUP(S571,βοηθητικό!$J$2:$N$354,3,FALSE)="","",VLOOKUP(S571,βοηθητικό!$J$2:$N$354,3,FALSE))</f>
        <v>_</v>
      </c>
      <c r="U571" s="47"/>
      <c r="V571" s="4" t="s">
        <v>16</v>
      </c>
      <c r="W571" s="43" t="str">
        <f>IF(VLOOKUP(V571,βοηθητικό!$J$2:$N$354,3,FALSE)="","",VLOOKUP(V571,βοηθητικό!$J$2:$N$354,3,FALSE))</f>
        <v>_</v>
      </c>
      <c r="X571" s="44"/>
      <c r="Y571" s="5" t="s">
        <v>16</v>
      </c>
      <c r="Z571" s="46" t="str">
        <f>IF(VLOOKUP(Y571,βοηθητικό!$J$2:$N$354,3,FALSE)="","",VLOOKUP(Y571,βοηθητικό!$J$2:$N$354,3,FALSE))</f>
        <v>_</v>
      </c>
      <c r="AA571" s="47"/>
      <c r="AB571" s="4" t="s">
        <v>16</v>
      </c>
      <c r="AC571" s="43" t="str">
        <f>IF(VLOOKUP(AB571,βοηθητικό!$J$2:$N$354,3,FALSE)="","",VLOOKUP(AB571,βοηθητικό!$J$2:$N$354,3,FALSE))</f>
        <v>_</v>
      </c>
      <c r="AD571" s="44"/>
      <c r="AE571" s="5" t="s">
        <v>16</v>
      </c>
      <c r="AF571" s="46" t="str">
        <f>IF(VLOOKUP(AE571,βοηθητικό!$J$2:$N$354,3,FALSE)="","",VLOOKUP(AE571,βοηθητικό!$J$2:$N$354,3,FALSE))</f>
        <v>_</v>
      </c>
      <c r="AG571" s="47"/>
      <c r="AH571" s="4" t="s">
        <v>16</v>
      </c>
      <c r="AI571" s="43" t="str">
        <f>IF(VLOOKUP(AH571,βοηθητικό!$J$2:$N$354,3,FALSE)="","",VLOOKUP(AH571,βοηθητικό!$J$2:$N$354,3,FALSE))</f>
        <v>_</v>
      </c>
      <c r="AJ571" s="44"/>
      <c r="AK571" s="5" t="s">
        <v>16</v>
      </c>
      <c r="AL571" s="46" t="str">
        <f>IF(VLOOKUP(AK571,βοηθητικό!$J$2:$N$354,3,FALSE)="","",VLOOKUP(AK571,βοηθητικό!$J$2:$N$354,3,FALSE))</f>
        <v>_</v>
      </c>
      <c r="AM571" s="47"/>
      <c r="AN571" s="4" t="s">
        <v>16</v>
      </c>
      <c r="AO571" s="43" t="str">
        <f>IF(VLOOKUP(AN571,βοηθητικό!$J$2:$N$354,3,FALSE)="","",VLOOKUP(AN571,βοηθητικό!$J$2:$N$354,3,FALSE))</f>
        <v>_</v>
      </c>
      <c r="AP571" s="44"/>
      <c r="AQ571" s="5" t="s">
        <v>16</v>
      </c>
      <c r="AR571" s="46" t="str">
        <f>IF(VLOOKUP(AQ571,βοηθητικό!$J$2:$N$354,3,FALSE)="","",VLOOKUP(AQ571,βοηθητικό!$J$2:$N$354,3,FALSE))</f>
        <v>_</v>
      </c>
      <c r="AS571" s="47"/>
      <c r="AT571" s="4" t="s">
        <v>16</v>
      </c>
      <c r="AU571" s="43" t="str">
        <f>IF(VLOOKUP(AT571,βοηθητικό!$J$2:$N$354,3,FALSE)="","",VLOOKUP(AT571,βοηθητικό!$J$2:$N$354,3,FALSE))</f>
        <v>_</v>
      </c>
      <c r="AV571" s="44"/>
      <c r="AW571" s="5" t="s">
        <v>16</v>
      </c>
      <c r="AX571" s="46" t="str">
        <f>IF(VLOOKUP(AW571,βοηθητικό!$J$2:$N$354,3,FALSE)="","",VLOOKUP(AW571,βοηθητικό!$J$2:$N$354,3,FALSE))</f>
        <v>_</v>
      </c>
      <c r="AY571" s="47"/>
      <c r="AZ571" s="4" t="s">
        <v>16</v>
      </c>
      <c r="BA571" s="43" t="str">
        <f>IF(VLOOKUP(AZ571,βοηθητικό!$J$2:$N$354,3,FALSE)="","",VLOOKUP(AZ571,βοηθητικό!$J$2:$N$354,3,FALSE))</f>
        <v>_</v>
      </c>
      <c r="BB571" s="44"/>
      <c r="BC571" s="45" t="s">
        <v>16</v>
      </c>
      <c r="BD571" s="46" t="str">
        <f>IF(VLOOKUP(BC571,βοηθητικό!$J$2:$N$354,3,FALSE)="","",VLOOKUP(BC571,βοηθητικό!$J$2:$N$354,3,FALSE))</f>
        <v>_</v>
      </c>
      <c r="BE571" s="47"/>
      <c r="BF571" s="42" t="s">
        <v>16</v>
      </c>
      <c r="BG571" s="43" t="str">
        <f>IF(VLOOKUP(BF571,βοηθητικό!$J$2:$N$354,3,FALSE)="","",VLOOKUP(BF571,βοηθητικό!$J$2:$N$354,3,FALSE))</f>
        <v>_</v>
      </c>
      <c r="BH571" s="44"/>
      <c r="BI571" s="45" t="s">
        <v>16</v>
      </c>
      <c r="BJ571" s="46" t="str">
        <f>IF(VLOOKUP(BI571,βοηθητικό!$J$2:$N$354,3,FALSE)="","",VLOOKUP(BI571,βοηθητικό!$J$2:$N$354,3,FALSE))</f>
        <v>_</v>
      </c>
      <c r="BK571" s="47"/>
      <c r="BL571" s="42" t="s">
        <v>16</v>
      </c>
      <c r="BM571" s="43" t="str">
        <f>IF(VLOOKUP(BL571,βοηθητικό!$J$2:$N$354,3,FALSE)="","",VLOOKUP(BL571,βοηθητικό!$J$2:$N$354,3,FALSE))</f>
        <v>_</v>
      </c>
      <c r="BN571" s="44"/>
      <c r="BO571" s="45" t="s">
        <v>16</v>
      </c>
      <c r="BP571" s="46" t="str">
        <f>IF(VLOOKUP(BO571,βοηθητικό!$J$2:$N$354,3,FALSE)="","",VLOOKUP(BO571,βοηθητικό!$J$2:$N$354,3,FALSE))</f>
        <v>_</v>
      </c>
      <c r="BQ571" s="47"/>
      <c r="BR571" s="42" t="s">
        <v>16</v>
      </c>
      <c r="BS571" s="43" t="str">
        <f>IF(VLOOKUP(BR571,βοηθητικό!$J$2:$N$354,3,FALSE)="","",VLOOKUP(BR571,βοηθητικό!$J$2:$N$354,3,FALSE))</f>
        <v>_</v>
      </c>
      <c r="BT571" s="44"/>
      <c r="BU571" s="45" t="s">
        <v>16</v>
      </c>
      <c r="BV571" s="46" t="str">
        <f>IF(VLOOKUP(BU571,βοηθητικό!$J$2:$N$354,3,FALSE)="","",VLOOKUP(BU571,βοηθητικό!$J$2:$N$354,3,FALSE))</f>
        <v>_</v>
      </c>
      <c r="BW571" s="47"/>
      <c r="BX571" s="42" t="s">
        <v>16</v>
      </c>
      <c r="BY571" s="43" t="str">
        <f>IF(VLOOKUP(BX571,βοηθητικό!$J$2:$N$354,3,FALSE)="","",VLOOKUP(BX571,βοηθητικό!$J$2:$N$354,3,FALSE))</f>
        <v>_</v>
      </c>
      <c r="BZ571" s="44"/>
      <c r="CA571" s="45" t="s">
        <v>16</v>
      </c>
      <c r="CB571" s="46" t="str">
        <f>IF(VLOOKUP(CA571,βοηθητικό!$J$2:$N$354,3,FALSE)="","",VLOOKUP(CA571,βοηθητικό!$J$2:$N$354,3,FALSE))</f>
        <v>_</v>
      </c>
      <c r="CC571" s="47"/>
      <c r="CD571" s="42" t="s">
        <v>16</v>
      </c>
      <c r="CE571" s="43" t="str">
        <f>IF(VLOOKUP(CD571,βοηθητικό!$J$2:$N$354,3,FALSE)="","",VLOOKUP(CD571,βοηθητικό!$J$2:$N$354,3,FALSE))</f>
        <v>_</v>
      </c>
      <c r="CF571" s="44"/>
      <c r="CG571" s="45" t="s">
        <v>16</v>
      </c>
      <c r="CH571" s="46" t="str">
        <f>IF(VLOOKUP(CG571,βοηθητικό!$J$2:$N$354,3,FALSE)="","",VLOOKUP(CG571,βοηθητικό!$J$2:$N$354,3,FALSE))</f>
        <v>_</v>
      </c>
      <c r="CI571" s="47"/>
      <c r="CJ571" s="42" t="s">
        <v>16</v>
      </c>
      <c r="CK571" s="43" t="str">
        <f>IF(VLOOKUP(CJ571,βοηθητικό!$J$2:$N$354,3,FALSE)="","",VLOOKUP(CJ571,βοηθητικό!$J$2:$N$354,3,FALSE))</f>
        <v>_</v>
      </c>
      <c r="CL571" s="44"/>
      <c r="CM571" s="45" t="s">
        <v>16</v>
      </c>
      <c r="CN571" s="46" t="str">
        <f>IF(VLOOKUP(CM571,βοηθητικό!$J$2:$N$354,3,FALSE)="","",VLOOKUP(CM571,βοηθητικό!$J$2:$N$354,3,FALSE))</f>
        <v>_</v>
      </c>
      <c r="CO571" s="47"/>
      <c r="CP571" s="42" t="s">
        <v>16</v>
      </c>
      <c r="CQ571" s="43" t="str">
        <f>IF(VLOOKUP(CP571,βοηθητικό!$J$2:$N$354,3,FALSE)="","",VLOOKUP(CP571,βοηθητικό!$J$2:$N$354,3,FALSE))</f>
        <v>_</v>
      </c>
      <c r="CR571" s="44"/>
      <c r="CS571" s="45" t="s">
        <v>16</v>
      </c>
      <c r="CT571" s="46" t="str">
        <f>IF(VLOOKUP(CS571,βοηθητικό!$J$2:$N$354,3,FALSE)="","",VLOOKUP(CS571,βοηθητικό!$J$2:$N$354,3,FALSE))</f>
        <v>_</v>
      </c>
      <c r="CU571" s="47"/>
    </row>
    <row r="572" spans="1:99" x14ac:dyDescent="0.25">
      <c r="A572" s="37">
        <f>--SUBTOTAL(3,$B$3:B571)</f>
        <v>198</v>
      </c>
      <c r="B572" s="2"/>
      <c r="C572" s="3"/>
      <c r="D572" s="55" t="s">
        <v>18</v>
      </c>
      <c r="E572" s="38" t="s">
        <v>16</v>
      </c>
      <c r="F572" s="38"/>
      <c r="G572" s="39" t="str">
        <f t="shared" si="26"/>
        <v>__</v>
      </c>
      <c r="H572" s="40" t="str">
        <f t="shared" si="27"/>
        <v>FALSE</v>
      </c>
      <c r="I572" s="41">
        <f t="shared" si="28"/>
        <v>0</v>
      </c>
      <c r="J572" s="4" t="s">
        <v>16</v>
      </c>
      <c r="K572" s="43" t="str">
        <f>IF(VLOOKUP(J572,βοηθητικό!$J$2:$N$354,3,FALSE)="","",VLOOKUP(J572,βοηθητικό!$J$2:$N$354,3,FALSE))</f>
        <v>_</v>
      </c>
      <c r="L572" s="44"/>
      <c r="M572" s="5" t="s">
        <v>16</v>
      </c>
      <c r="N572" s="46" t="str">
        <f>IF(VLOOKUP(M572,βοηθητικό!$J$2:$N$354,3,FALSE)="","",VLOOKUP(M572,βοηθητικό!$J$2:$N$354,3,FALSE))</f>
        <v>_</v>
      </c>
      <c r="O572" s="47"/>
      <c r="P572" s="4" t="s">
        <v>16</v>
      </c>
      <c r="Q572" s="43" t="str">
        <f>IF(VLOOKUP(P572,βοηθητικό!$J$2:$N$354,3,FALSE)="","",VLOOKUP(P572,βοηθητικό!$J$2:$N$354,3,FALSE))</f>
        <v>_</v>
      </c>
      <c r="R572" s="44"/>
      <c r="S572" s="5" t="s">
        <v>16</v>
      </c>
      <c r="T572" s="46" t="str">
        <f>IF(VLOOKUP(S572,βοηθητικό!$J$2:$N$354,3,FALSE)="","",VLOOKUP(S572,βοηθητικό!$J$2:$N$354,3,FALSE))</f>
        <v>_</v>
      </c>
      <c r="U572" s="47"/>
      <c r="V572" s="4" t="s">
        <v>16</v>
      </c>
      <c r="W572" s="43" t="str">
        <f>IF(VLOOKUP(V572,βοηθητικό!$J$2:$N$354,3,FALSE)="","",VLOOKUP(V572,βοηθητικό!$J$2:$N$354,3,FALSE))</f>
        <v>_</v>
      </c>
      <c r="X572" s="44"/>
      <c r="Y572" s="5" t="s">
        <v>16</v>
      </c>
      <c r="Z572" s="46" t="str">
        <f>IF(VLOOKUP(Y572,βοηθητικό!$J$2:$N$354,3,FALSE)="","",VLOOKUP(Y572,βοηθητικό!$J$2:$N$354,3,FALSE))</f>
        <v>_</v>
      </c>
      <c r="AA572" s="47"/>
      <c r="AB572" s="4" t="s">
        <v>16</v>
      </c>
      <c r="AC572" s="43" t="str">
        <f>IF(VLOOKUP(AB572,βοηθητικό!$J$2:$N$354,3,FALSE)="","",VLOOKUP(AB572,βοηθητικό!$J$2:$N$354,3,FALSE))</f>
        <v>_</v>
      </c>
      <c r="AD572" s="44"/>
      <c r="AE572" s="5" t="s">
        <v>16</v>
      </c>
      <c r="AF572" s="46" t="str">
        <f>IF(VLOOKUP(AE572,βοηθητικό!$J$2:$N$354,3,FALSE)="","",VLOOKUP(AE572,βοηθητικό!$J$2:$N$354,3,FALSE))</f>
        <v>_</v>
      </c>
      <c r="AG572" s="47"/>
      <c r="AH572" s="4" t="s">
        <v>16</v>
      </c>
      <c r="AI572" s="43" t="str">
        <f>IF(VLOOKUP(AH572,βοηθητικό!$J$2:$N$354,3,FALSE)="","",VLOOKUP(AH572,βοηθητικό!$J$2:$N$354,3,FALSE))</f>
        <v>_</v>
      </c>
      <c r="AJ572" s="44"/>
      <c r="AK572" s="5" t="s">
        <v>16</v>
      </c>
      <c r="AL572" s="46" t="str">
        <f>IF(VLOOKUP(AK572,βοηθητικό!$J$2:$N$354,3,FALSE)="","",VLOOKUP(AK572,βοηθητικό!$J$2:$N$354,3,FALSE))</f>
        <v>_</v>
      </c>
      <c r="AM572" s="47"/>
      <c r="AN572" s="4" t="s">
        <v>16</v>
      </c>
      <c r="AO572" s="43" t="str">
        <f>IF(VLOOKUP(AN572,βοηθητικό!$J$2:$N$354,3,FALSE)="","",VLOOKUP(AN572,βοηθητικό!$J$2:$N$354,3,FALSE))</f>
        <v>_</v>
      </c>
      <c r="AP572" s="44"/>
      <c r="AQ572" s="5" t="s">
        <v>16</v>
      </c>
      <c r="AR572" s="46" t="str">
        <f>IF(VLOOKUP(AQ572,βοηθητικό!$J$2:$N$354,3,FALSE)="","",VLOOKUP(AQ572,βοηθητικό!$J$2:$N$354,3,FALSE))</f>
        <v>_</v>
      </c>
      <c r="AS572" s="47"/>
      <c r="AT572" s="4" t="s">
        <v>16</v>
      </c>
      <c r="AU572" s="43" t="str">
        <f>IF(VLOOKUP(AT572,βοηθητικό!$J$2:$N$354,3,FALSE)="","",VLOOKUP(AT572,βοηθητικό!$J$2:$N$354,3,FALSE))</f>
        <v>_</v>
      </c>
      <c r="AV572" s="44"/>
      <c r="AW572" s="5" t="s">
        <v>16</v>
      </c>
      <c r="AX572" s="46" t="str">
        <f>IF(VLOOKUP(AW572,βοηθητικό!$J$2:$N$354,3,FALSE)="","",VLOOKUP(AW572,βοηθητικό!$J$2:$N$354,3,FALSE))</f>
        <v>_</v>
      </c>
      <c r="AY572" s="47"/>
      <c r="AZ572" s="4" t="s">
        <v>16</v>
      </c>
      <c r="BA572" s="43" t="str">
        <f>IF(VLOOKUP(AZ572,βοηθητικό!$J$2:$N$354,3,FALSE)="","",VLOOKUP(AZ572,βοηθητικό!$J$2:$N$354,3,FALSE))</f>
        <v>_</v>
      </c>
      <c r="BB572" s="44"/>
      <c r="BC572" s="45" t="s">
        <v>16</v>
      </c>
      <c r="BD572" s="46" t="str">
        <f>IF(VLOOKUP(BC572,βοηθητικό!$J$2:$N$354,3,FALSE)="","",VLOOKUP(BC572,βοηθητικό!$J$2:$N$354,3,FALSE))</f>
        <v>_</v>
      </c>
      <c r="BE572" s="47"/>
      <c r="BF572" s="42" t="s">
        <v>16</v>
      </c>
      <c r="BG572" s="43" t="str">
        <f>IF(VLOOKUP(BF572,βοηθητικό!$J$2:$N$354,3,FALSE)="","",VLOOKUP(BF572,βοηθητικό!$J$2:$N$354,3,FALSE))</f>
        <v>_</v>
      </c>
      <c r="BH572" s="44"/>
      <c r="BI572" s="45" t="s">
        <v>16</v>
      </c>
      <c r="BJ572" s="46" t="str">
        <f>IF(VLOOKUP(BI572,βοηθητικό!$J$2:$N$354,3,FALSE)="","",VLOOKUP(BI572,βοηθητικό!$J$2:$N$354,3,FALSE))</f>
        <v>_</v>
      </c>
      <c r="BK572" s="47"/>
      <c r="BL572" s="42" t="s">
        <v>16</v>
      </c>
      <c r="BM572" s="43" t="str">
        <f>IF(VLOOKUP(BL572,βοηθητικό!$J$2:$N$354,3,FALSE)="","",VLOOKUP(BL572,βοηθητικό!$J$2:$N$354,3,FALSE))</f>
        <v>_</v>
      </c>
      <c r="BN572" s="44"/>
      <c r="BO572" s="45" t="s">
        <v>16</v>
      </c>
      <c r="BP572" s="46" t="str">
        <f>IF(VLOOKUP(BO572,βοηθητικό!$J$2:$N$354,3,FALSE)="","",VLOOKUP(BO572,βοηθητικό!$J$2:$N$354,3,FALSE))</f>
        <v>_</v>
      </c>
      <c r="BQ572" s="47"/>
      <c r="BR572" s="42" t="s">
        <v>16</v>
      </c>
      <c r="BS572" s="43" t="str">
        <f>IF(VLOOKUP(BR572,βοηθητικό!$J$2:$N$354,3,FALSE)="","",VLOOKUP(BR572,βοηθητικό!$J$2:$N$354,3,FALSE))</f>
        <v>_</v>
      </c>
      <c r="BT572" s="44"/>
      <c r="BU572" s="45" t="s">
        <v>16</v>
      </c>
      <c r="BV572" s="46" t="str">
        <f>IF(VLOOKUP(BU572,βοηθητικό!$J$2:$N$354,3,FALSE)="","",VLOOKUP(BU572,βοηθητικό!$J$2:$N$354,3,FALSE))</f>
        <v>_</v>
      </c>
      <c r="BW572" s="47"/>
      <c r="BX572" s="42" t="s">
        <v>16</v>
      </c>
      <c r="BY572" s="43" t="str">
        <f>IF(VLOOKUP(BX572,βοηθητικό!$J$2:$N$354,3,FALSE)="","",VLOOKUP(BX572,βοηθητικό!$J$2:$N$354,3,FALSE))</f>
        <v>_</v>
      </c>
      <c r="BZ572" s="44"/>
      <c r="CA572" s="45" t="s">
        <v>16</v>
      </c>
      <c r="CB572" s="46" t="str">
        <f>IF(VLOOKUP(CA572,βοηθητικό!$J$2:$N$354,3,FALSE)="","",VLOOKUP(CA572,βοηθητικό!$J$2:$N$354,3,FALSE))</f>
        <v>_</v>
      </c>
      <c r="CC572" s="47"/>
      <c r="CD572" s="42" t="s">
        <v>16</v>
      </c>
      <c r="CE572" s="43" t="str">
        <f>IF(VLOOKUP(CD572,βοηθητικό!$J$2:$N$354,3,FALSE)="","",VLOOKUP(CD572,βοηθητικό!$J$2:$N$354,3,FALSE))</f>
        <v>_</v>
      </c>
      <c r="CF572" s="44"/>
      <c r="CG572" s="45" t="s">
        <v>16</v>
      </c>
      <c r="CH572" s="46" t="str">
        <f>IF(VLOOKUP(CG572,βοηθητικό!$J$2:$N$354,3,FALSE)="","",VLOOKUP(CG572,βοηθητικό!$J$2:$N$354,3,FALSE))</f>
        <v>_</v>
      </c>
      <c r="CI572" s="47"/>
      <c r="CJ572" s="42" t="s">
        <v>16</v>
      </c>
      <c r="CK572" s="43" t="str">
        <f>IF(VLOOKUP(CJ572,βοηθητικό!$J$2:$N$354,3,FALSE)="","",VLOOKUP(CJ572,βοηθητικό!$J$2:$N$354,3,FALSE))</f>
        <v>_</v>
      </c>
      <c r="CL572" s="44"/>
      <c r="CM572" s="45" t="s">
        <v>16</v>
      </c>
      <c r="CN572" s="46" t="str">
        <f>IF(VLOOKUP(CM572,βοηθητικό!$J$2:$N$354,3,FALSE)="","",VLOOKUP(CM572,βοηθητικό!$J$2:$N$354,3,FALSE))</f>
        <v>_</v>
      </c>
      <c r="CO572" s="47"/>
      <c r="CP572" s="42" t="s">
        <v>16</v>
      </c>
      <c r="CQ572" s="43" t="str">
        <f>IF(VLOOKUP(CP572,βοηθητικό!$J$2:$N$354,3,FALSE)="","",VLOOKUP(CP572,βοηθητικό!$J$2:$N$354,3,FALSE))</f>
        <v>_</v>
      </c>
      <c r="CR572" s="44"/>
      <c r="CS572" s="45" t="s">
        <v>16</v>
      </c>
      <c r="CT572" s="46" t="str">
        <f>IF(VLOOKUP(CS572,βοηθητικό!$J$2:$N$354,3,FALSE)="","",VLOOKUP(CS572,βοηθητικό!$J$2:$N$354,3,FALSE))</f>
        <v>_</v>
      </c>
      <c r="CU572" s="47"/>
    </row>
    <row r="573" spans="1:99" x14ac:dyDescent="0.25">
      <c r="A573" s="37">
        <f>--SUBTOTAL(3,$B$3:B572)</f>
        <v>198</v>
      </c>
      <c r="B573" s="2"/>
      <c r="C573" s="3"/>
      <c r="D573" s="55" t="s">
        <v>18</v>
      </c>
      <c r="E573" s="38" t="s">
        <v>16</v>
      </c>
      <c r="F573" s="38"/>
      <c r="G573" s="39" t="str">
        <f t="shared" si="26"/>
        <v>__</v>
      </c>
      <c r="H573" s="40" t="str">
        <f t="shared" si="27"/>
        <v>FALSE</v>
      </c>
      <c r="I573" s="41">
        <f t="shared" si="28"/>
        <v>0</v>
      </c>
      <c r="J573" s="4" t="s">
        <v>16</v>
      </c>
      <c r="K573" s="43" t="str">
        <f>IF(VLOOKUP(J573,βοηθητικό!$J$2:$N$354,3,FALSE)="","",VLOOKUP(J573,βοηθητικό!$J$2:$N$354,3,FALSE))</f>
        <v>_</v>
      </c>
      <c r="L573" s="44"/>
      <c r="M573" s="5" t="s">
        <v>16</v>
      </c>
      <c r="N573" s="46" t="str">
        <f>IF(VLOOKUP(M573,βοηθητικό!$J$2:$N$354,3,FALSE)="","",VLOOKUP(M573,βοηθητικό!$J$2:$N$354,3,FALSE))</f>
        <v>_</v>
      </c>
      <c r="O573" s="47"/>
      <c r="P573" s="4" t="s">
        <v>16</v>
      </c>
      <c r="Q573" s="43" t="str">
        <f>IF(VLOOKUP(P573,βοηθητικό!$J$2:$N$354,3,FALSE)="","",VLOOKUP(P573,βοηθητικό!$J$2:$N$354,3,FALSE))</f>
        <v>_</v>
      </c>
      <c r="R573" s="44"/>
      <c r="S573" s="5" t="s">
        <v>16</v>
      </c>
      <c r="T573" s="46" t="str">
        <f>IF(VLOOKUP(S573,βοηθητικό!$J$2:$N$354,3,FALSE)="","",VLOOKUP(S573,βοηθητικό!$J$2:$N$354,3,FALSE))</f>
        <v>_</v>
      </c>
      <c r="U573" s="47"/>
      <c r="V573" s="4" t="s">
        <v>16</v>
      </c>
      <c r="W573" s="43" t="str">
        <f>IF(VLOOKUP(V573,βοηθητικό!$J$2:$N$354,3,FALSE)="","",VLOOKUP(V573,βοηθητικό!$J$2:$N$354,3,FALSE))</f>
        <v>_</v>
      </c>
      <c r="X573" s="44"/>
      <c r="Y573" s="5" t="s">
        <v>16</v>
      </c>
      <c r="Z573" s="46" t="str">
        <f>IF(VLOOKUP(Y573,βοηθητικό!$J$2:$N$354,3,FALSE)="","",VLOOKUP(Y573,βοηθητικό!$J$2:$N$354,3,FALSE))</f>
        <v>_</v>
      </c>
      <c r="AA573" s="47"/>
      <c r="AB573" s="4" t="s">
        <v>16</v>
      </c>
      <c r="AC573" s="43" t="str">
        <f>IF(VLOOKUP(AB573,βοηθητικό!$J$2:$N$354,3,FALSE)="","",VLOOKUP(AB573,βοηθητικό!$J$2:$N$354,3,FALSE))</f>
        <v>_</v>
      </c>
      <c r="AD573" s="44"/>
      <c r="AE573" s="5" t="s">
        <v>16</v>
      </c>
      <c r="AF573" s="46" t="str">
        <f>IF(VLOOKUP(AE573,βοηθητικό!$J$2:$N$354,3,FALSE)="","",VLOOKUP(AE573,βοηθητικό!$J$2:$N$354,3,FALSE))</f>
        <v>_</v>
      </c>
      <c r="AG573" s="47"/>
      <c r="AH573" s="4" t="s">
        <v>16</v>
      </c>
      <c r="AI573" s="43" t="str">
        <f>IF(VLOOKUP(AH573,βοηθητικό!$J$2:$N$354,3,FALSE)="","",VLOOKUP(AH573,βοηθητικό!$J$2:$N$354,3,FALSE))</f>
        <v>_</v>
      </c>
      <c r="AJ573" s="44"/>
      <c r="AK573" s="5" t="s">
        <v>16</v>
      </c>
      <c r="AL573" s="46" t="str">
        <f>IF(VLOOKUP(AK573,βοηθητικό!$J$2:$N$354,3,FALSE)="","",VLOOKUP(AK573,βοηθητικό!$J$2:$N$354,3,FALSE))</f>
        <v>_</v>
      </c>
      <c r="AM573" s="47"/>
      <c r="AN573" s="4" t="s">
        <v>16</v>
      </c>
      <c r="AO573" s="43" t="str">
        <f>IF(VLOOKUP(AN573,βοηθητικό!$J$2:$N$354,3,FALSE)="","",VLOOKUP(AN573,βοηθητικό!$J$2:$N$354,3,FALSE))</f>
        <v>_</v>
      </c>
      <c r="AP573" s="44"/>
      <c r="AQ573" s="5" t="s">
        <v>16</v>
      </c>
      <c r="AR573" s="46" t="str">
        <f>IF(VLOOKUP(AQ573,βοηθητικό!$J$2:$N$354,3,FALSE)="","",VLOOKUP(AQ573,βοηθητικό!$J$2:$N$354,3,FALSE))</f>
        <v>_</v>
      </c>
      <c r="AS573" s="47"/>
      <c r="AT573" s="4" t="s">
        <v>16</v>
      </c>
      <c r="AU573" s="43" t="str">
        <f>IF(VLOOKUP(AT573,βοηθητικό!$J$2:$N$354,3,FALSE)="","",VLOOKUP(AT573,βοηθητικό!$J$2:$N$354,3,FALSE))</f>
        <v>_</v>
      </c>
      <c r="AV573" s="44"/>
      <c r="AW573" s="5" t="s">
        <v>16</v>
      </c>
      <c r="AX573" s="46" t="str">
        <f>IF(VLOOKUP(AW573,βοηθητικό!$J$2:$N$354,3,FALSE)="","",VLOOKUP(AW573,βοηθητικό!$J$2:$N$354,3,FALSE))</f>
        <v>_</v>
      </c>
      <c r="AY573" s="47"/>
      <c r="AZ573" s="4" t="s">
        <v>16</v>
      </c>
      <c r="BA573" s="43" t="str">
        <f>IF(VLOOKUP(AZ573,βοηθητικό!$J$2:$N$354,3,FALSE)="","",VLOOKUP(AZ573,βοηθητικό!$J$2:$N$354,3,FALSE))</f>
        <v>_</v>
      </c>
      <c r="BB573" s="44"/>
      <c r="BC573" s="45" t="s">
        <v>16</v>
      </c>
      <c r="BD573" s="46" t="str">
        <f>IF(VLOOKUP(BC573,βοηθητικό!$J$2:$N$354,3,FALSE)="","",VLOOKUP(BC573,βοηθητικό!$J$2:$N$354,3,FALSE))</f>
        <v>_</v>
      </c>
      <c r="BE573" s="47"/>
      <c r="BF573" s="42" t="s">
        <v>16</v>
      </c>
      <c r="BG573" s="43" t="str">
        <f>IF(VLOOKUP(BF573,βοηθητικό!$J$2:$N$354,3,FALSE)="","",VLOOKUP(BF573,βοηθητικό!$J$2:$N$354,3,FALSE))</f>
        <v>_</v>
      </c>
      <c r="BH573" s="44"/>
      <c r="BI573" s="45" t="s">
        <v>16</v>
      </c>
      <c r="BJ573" s="46" t="str">
        <f>IF(VLOOKUP(BI573,βοηθητικό!$J$2:$N$354,3,FALSE)="","",VLOOKUP(BI573,βοηθητικό!$J$2:$N$354,3,FALSE))</f>
        <v>_</v>
      </c>
      <c r="BK573" s="47"/>
      <c r="BL573" s="42" t="s">
        <v>16</v>
      </c>
      <c r="BM573" s="43" t="str">
        <f>IF(VLOOKUP(BL573,βοηθητικό!$J$2:$N$354,3,FALSE)="","",VLOOKUP(BL573,βοηθητικό!$J$2:$N$354,3,FALSE))</f>
        <v>_</v>
      </c>
      <c r="BN573" s="44"/>
      <c r="BO573" s="45" t="s">
        <v>16</v>
      </c>
      <c r="BP573" s="46" t="str">
        <f>IF(VLOOKUP(BO573,βοηθητικό!$J$2:$N$354,3,FALSE)="","",VLOOKUP(BO573,βοηθητικό!$J$2:$N$354,3,FALSE))</f>
        <v>_</v>
      </c>
      <c r="BQ573" s="47"/>
      <c r="BR573" s="42" t="s">
        <v>16</v>
      </c>
      <c r="BS573" s="43" t="str">
        <f>IF(VLOOKUP(BR573,βοηθητικό!$J$2:$N$354,3,FALSE)="","",VLOOKUP(BR573,βοηθητικό!$J$2:$N$354,3,FALSE))</f>
        <v>_</v>
      </c>
      <c r="BT573" s="44"/>
      <c r="BU573" s="45" t="s">
        <v>16</v>
      </c>
      <c r="BV573" s="46" t="str">
        <f>IF(VLOOKUP(BU573,βοηθητικό!$J$2:$N$354,3,FALSE)="","",VLOOKUP(BU573,βοηθητικό!$J$2:$N$354,3,FALSE))</f>
        <v>_</v>
      </c>
      <c r="BW573" s="47"/>
      <c r="BX573" s="42" t="s">
        <v>16</v>
      </c>
      <c r="BY573" s="43" t="str">
        <f>IF(VLOOKUP(BX573,βοηθητικό!$J$2:$N$354,3,FALSE)="","",VLOOKUP(BX573,βοηθητικό!$J$2:$N$354,3,FALSE))</f>
        <v>_</v>
      </c>
      <c r="BZ573" s="44"/>
      <c r="CA573" s="45" t="s">
        <v>16</v>
      </c>
      <c r="CB573" s="46" t="str">
        <f>IF(VLOOKUP(CA573,βοηθητικό!$J$2:$N$354,3,FALSE)="","",VLOOKUP(CA573,βοηθητικό!$J$2:$N$354,3,FALSE))</f>
        <v>_</v>
      </c>
      <c r="CC573" s="47"/>
      <c r="CD573" s="42" t="s">
        <v>16</v>
      </c>
      <c r="CE573" s="43" t="str">
        <f>IF(VLOOKUP(CD573,βοηθητικό!$J$2:$N$354,3,FALSE)="","",VLOOKUP(CD573,βοηθητικό!$J$2:$N$354,3,FALSE))</f>
        <v>_</v>
      </c>
      <c r="CF573" s="44"/>
      <c r="CG573" s="45" t="s">
        <v>16</v>
      </c>
      <c r="CH573" s="46" t="str">
        <f>IF(VLOOKUP(CG573,βοηθητικό!$J$2:$N$354,3,FALSE)="","",VLOOKUP(CG573,βοηθητικό!$J$2:$N$354,3,FALSE))</f>
        <v>_</v>
      </c>
      <c r="CI573" s="47"/>
      <c r="CJ573" s="42" t="s">
        <v>16</v>
      </c>
      <c r="CK573" s="43" t="str">
        <f>IF(VLOOKUP(CJ573,βοηθητικό!$J$2:$N$354,3,FALSE)="","",VLOOKUP(CJ573,βοηθητικό!$J$2:$N$354,3,FALSE))</f>
        <v>_</v>
      </c>
      <c r="CL573" s="44"/>
      <c r="CM573" s="45" t="s">
        <v>16</v>
      </c>
      <c r="CN573" s="46" t="str">
        <f>IF(VLOOKUP(CM573,βοηθητικό!$J$2:$N$354,3,FALSE)="","",VLOOKUP(CM573,βοηθητικό!$J$2:$N$354,3,FALSE))</f>
        <v>_</v>
      </c>
      <c r="CO573" s="47"/>
      <c r="CP573" s="42" t="s">
        <v>16</v>
      </c>
      <c r="CQ573" s="43" t="str">
        <f>IF(VLOOKUP(CP573,βοηθητικό!$J$2:$N$354,3,FALSE)="","",VLOOKUP(CP573,βοηθητικό!$J$2:$N$354,3,FALSE))</f>
        <v>_</v>
      </c>
      <c r="CR573" s="44"/>
      <c r="CS573" s="45" t="s">
        <v>16</v>
      </c>
      <c r="CT573" s="46" t="str">
        <f>IF(VLOOKUP(CS573,βοηθητικό!$J$2:$N$354,3,FALSE)="","",VLOOKUP(CS573,βοηθητικό!$J$2:$N$354,3,FALSE))</f>
        <v>_</v>
      </c>
      <c r="CU573" s="47"/>
    </row>
    <row r="574" spans="1:99" x14ac:dyDescent="0.25">
      <c r="A574" s="37">
        <f>--SUBTOTAL(3,$B$3:B573)</f>
        <v>198</v>
      </c>
      <c r="B574" s="2"/>
      <c r="C574" s="3"/>
      <c r="D574" s="55" t="s">
        <v>18</v>
      </c>
      <c r="E574" s="38" t="s">
        <v>16</v>
      </c>
      <c r="F574" s="38"/>
      <c r="G574" s="39" t="str">
        <f t="shared" si="26"/>
        <v>__</v>
      </c>
      <c r="H574" s="40" t="str">
        <f t="shared" si="27"/>
        <v>FALSE</v>
      </c>
      <c r="I574" s="41">
        <f t="shared" si="28"/>
        <v>0</v>
      </c>
      <c r="J574" s="4" t="s">
        <v>16</v>
      </c>
      <c r="K574" s="43" t="str">
        <f>IF(VLOOKUP(J574,βοηθητικό!$J$2:$N$354,3,FALSE)="","",VLOOKUP(J574,βοηθητικό!$J$2:$N$354,3,FALSE))</f>
        <v>_</v>
      </c>
      <c r="L574" s="44"/>
      <c r="M574" s="5" t="s">
        <v>16</v>
      </c>
      <c r="N574" s="46" t="str">
        <f>IF(VLOOKUP(M574,βοηθητικό!$J$2:$N$354,3,FALSE)="","",VLOOKUP(M574,βοηθητικό!$J$2:$N$354,3,FALSE))</f>
        <v>_</v>
      </c>
      <c r="O574" s="47"/>
      <c r="P574" s="4" t="s">
        <v>16</v>
      </c>
      <c r="Q574" s="43" t="str">
        <f>IF(VLOOKUP(P574,βοηθητικό!$J$2:$N$354,3,FALSE)="","",VLOOKUP(P574,βοηθητικό!$J$2:$N$354,3,FALSE))</f>
        <v>_</v>
      </c>
      <c r="R574" s="44"/>
      <c r="S574" s="5" t="s">
        <v>16</v>
      </c>
      <c r="T574" s="46" t="str">
        <f>IF(VLOOKUP(S574,βοηθητικό!$J$2:$N$354,3,FALSE)="","",VLOOKUP(S574,βοηθητικό!$J$2:$N$354,3,FALSE))</f>
        <v>_</v>
      </c>
      <c r="U574" s="47"/>
      <c r="V574" s="4" t="s">
        <v>16</v>
      </c>
      <c r="W574" s="43" t="str">
        <f>IF(VLOOKUP(V574,βοηθητικό!$J$2:$N$354,3,FALSE)="","",VLOOKUP(V574,βοηθητικό!$J$2:$N$354,3,FALSE))</f>
        <v>_</v>
      </c>
      <c r="X574" s="44"/>
      <c r="Y574" s="5" t="s">
        <v>16</v>
      </c>
      <c r="Z574" s="46" t="str">
        <f>IF(VLOOKUP(Y574,βοηθητικό!$J$2:$N$354,3,FALSE)="","",VLOOKUP(Y574,βοηθητικό!$J$2:$N$354,3,FALSE))</f>
        <v>_</v>
      </c>
      <c r="AA574" s="47"/>
      <c r="AB574" s="4" t="s">
        <v>16</v>
      </c>
      <c r="AC574" s="43" t="str">
        <f>IF(VLOOKUP(AB574,βοηθητικό!$J$2:$N$354,3,FALSE)="","",VLOOKUP(AB574,βοηθητικό!$J$2:$N$354,3,FALSE))</f>
        <v>_</v>
      </c>
      <c r="AD574" s="44"/>
      <c r="AE574" s="5" t="s">
        <v>16</v>
      </c>
      <c r="AF574" s="46" t="str">
        <f>IF(VLOOKUP(AE574,βοηθητικό!$J$2:$N$354,3,FALSE)="","",VLOOKUP(AE574,βοηθητικό!$J$2:$N$354,3,FALSE))</f>
        <v>_</v>
      </c>
      <c r="AG574" s="47"/>
      <c r="AH574" s="4" t="s">
        <v>16</v>
      </c>
      <c r="AI574" s="43" t="str">
        <f>IF(VLOOKUP(AH574,βοηθητικό!$J$2:$N$354,3,FALSE)="","",VLOOKUP(AH574,βοηθητικό!$J$2:$N$354,3,FALSE))</f>
        <v>_</v>
      </c>
      <c r="AJ574" s="44"/>
      <c r="AK574" s="5" t="s">
        <v>16</v>
      </c>
      <c r="AL574" s="46" t="str">
        <f>IF(VLOOKUP(AK574,βοηθητικό!$J$2:$N$354,3,FALSE)="","",VLOOKUP(AK574,βοηθητικό!$J$2:$N$354,3,FALSE))</f>
        <v>_</v>
      </c>
      <c r="AM574" s="47"/>
      <c r="AN574" s="4" t="s">
        <v>16</v>
      </c>
      <c r="AO574" s="43" t="str">
        <f>IF(VLOOKUP(AN574,βοηθητικό!$J$2:$N$354,3,FALSE)="","",VLOOKUP(AN574,βοηθητικό!$J$2:$N$354,3,FALSE))</f>
        <v>_</v>
      </c>
      <c r="AP574" s="44"/>
      <c r="AQ574" s="5" t="s">
        <v>16</v>
      </c>
      <c r="AR574" s="46" t="str">
        <f>IF(VLOOKUP(AQ574,βοηθητικό!$J$2:$N$354,3,FALSE)="","",VLOOKUP(AQ574,βοηθητικό!$J$2:$N$354,3,FALSE))</f>
        <v>_</v>
      </c>
      <c r="AS574" s="47"/>
      <c r="AT574" s="4" t="s">
        <v>16</v>
      </c>
      <c r="AU574" s="43" t="str">
        <f>IF(VLOOKUP(AT574,βοηθητικό!$J$2:$N$354,3,FALSE)="","",VLOOKUP(AT574,βοηθητικό!$J$2:$N$354,3,FALSE))</f>
        <v>_</v>
      </c>
      <c r="AV574" s="44"/>
      <c r="AW574" s="5" t="s">
        <v>16</v>
      </c>
      <c r="AX574" s="46" t="str">
        <f>IF(VLOOKUP(AW574,βοηθητικό!$J$2:$N$354,3,FALSE)="","",VLOOKUP(AW574,βοηθητικό!$J$2:$N$354,3,FALSE))</f>
        <v>_</v>
      </c>
      <c r="AY574" s="47"/>
      <c r="AZ574" s="4" t="s">
        <v>16</v>
      </c>
      <c r="BA574" s="43" t="str">
        <f>IF(VLOOKUP(AZ574,βοηθητικό!$J$2:$N$354,3,FALSE)="","",VLOOKUP(AZ574,βοηθητικό!$J$2:$N$354,3,FALSE))</f>
        <v>_</v>
      </c>
      <c r="BB574" s="44"/>
      <c r="BC574" s="45" t="s">
        <v>16</v>
      </c>
      <c r="BD574" s="46" t="str">
        <f>IF(VLOOKUP(BC574,βοηθητικό!$J$2:$N$354,3,FALSE)="","",VLOOKUP(BC574,βοηθητικό!$J$2:$N$354,3,FALSE))</f>
        <v>_</v>
      </c>
      <c r="BE574" s="47"/>
      <c r="BF574" s="42" t="s">
        <v>16</v>
      </c>
      <c r="BG574" s="43" t="str">
        <f>IF(VLOOKUP(BF574,βοηθητικό!$J$2:$N$354,3,FALSE)="","",VLOOKUP(BF574,βοηθητικό!$J$2:$N$354,3,FALSE))</f>
        <v>_</v>
      </c>
      <c r="BH574" s="44"/>
      <c r="BI574" s="45" t="s">
        <v>16</v>
      </c>
      <c r="BJ574" s="46" t="str">
        <f>IF(VLOOKUP(BI574,βοηθητικό!$J$2:$N$354,3,FALSE)="","",VLOOKUP(BI574,βοηθητικό!$J$2:$N$354,3,FALSE))</f>
        <v>_</v>
      </c>
      <c r="BK574" s="47"/>
      <c r="BL574" s="42" t="s">
        <v>16</v>
      </c>
      <c r="BM574" s="43" t="str">
        <f>IF(VLOOKUP(BL574,βοηθητικό!$J$2:$N$354,3,FALSE)="","",VLOOKUP(BL574,βοηθητικό!$J$2:$N$354,3,FALSE))</f>
        <v>_</v>
      </c>
      <c r="BN574" s="44"/>
      <c r="BO574" s="45" t="s">
        <v>16</v>
      </c>
      <c r="BP574" s="46" t="str">
        <f>IF(VLOOKUP(BO574,βοηθητικό!$J$2:$N$354,3,FALSE)="","",VLOOKUP(BO574,βοηθητικό!$J$2:$N$354,3,FALSE))</f>
        <v>_</v>
      </c>
      <c r="BQ574" s="47"/>
      <c r="BR574" s="42" t="s">
        <v>16</v>
      </c>
      <c r="BS574" s="43" t="str">
        <f>IF(VLOOKUP(BR574,βοηθητικό!$J$2:$N$354,3,FALSE)="","",VLOOKUP(BR574,βοηθητικό!$J$2:$N$354,3,FALSE))</f>
        <v>_</v>
      </c>
      <c r="BT574" s="44"/>
      <c r="BU574" s="45" t="s">
        <v>16</v>
      </c>
      <c r="BV574" s="46" t="str">
        <f>IF(VLOOKUP(BU574,βοηθητικό!$J$2:$N$354,3,FALSE)="","",VLOOKUP(BU574,βοηθητικό!$J$2:$N$354,3,FALSE))</f>
        <v>_</v>
      </c>
      <c r="BW574" s="47"/>
      <c r="BX574" s="42" t="s">
        <v>16</v>
      </c>
      <c r="BY574" s="43" t="str">
        <f>IF(VLOOKUP(BX574,βοηθητικό!$J$2:$N$354,3,FALSE)="","",VLOOKUP(BX574,βοηθητικό!$J$2:$N$354,3,FALSE))</f>
        <v>_</v>
      </c>
      <c r="BZ574" s="44"/>
      <c r="CA574" s="45" t="s">
        <v>16</v>
      </c>
      <c r="CB574" s="46" t="str">
        <f>IF(VLOOKUP(CA574,βοηθητικό!$J$2:$N$354,3,FALSE)="","",VLOOKUP(CA574,βοηθητικό!$J$2:$N$354,3,FALSE))</f>
        <v>_</v>
      </c>
      <c r="CC574" s="47"/>
      <c r="CD574" s="42" t="s">
        <v>16</v>
      </c>
      <c r="CE574" s="43" t="str">
        <f>IF(VLOOKUP(CD574,βοηθητικό!$J$2:$N$354,3,FALSE)="","",VLOOKUP(CD574,βοηθητικό!$J$2:$N$354,3,FALSE))</f>
        <v>_</v>
      </c>
      <c r="CF574" s="44"/>
      <c r="CG574" s="45" t="s">
        <v>16</v>
      </c>
      <c r="CH574" s="46" t="str">
        <f>IF(VLOOKUP(CG574,βοηθητικό!$J$2:$N$354,3,FALSE)="","",VLOOKUP(CG574,βοηθητικό!$J$2:$N$354,3,FALSE))</f>
        <v>_</v>
      </c>
      <c r="CI574" s="47"/>
      <c r="CJ574" s="42" t="s">
        <v>16</v>
      </c>
      <c r="CK574" s="43" t="str">
        <f>IF(VLOOKUP(CJ574,βοηθητικό!$J$2:$N$354,3,FALSE)="","",VLOOKUP(CJ574,βοηθητικό!$J$2:$N$354,3,FALSE))</f>
        <v>_</v>
      </c>
      <c r="CL574" s="44"/>
      <c r="CM574" s="45" t="s">
        <v>16</v>
      </c>
      <c r="CN574" s="46" t="str">
        <f>IF(VLOOKUP(CM574,βοηθητικό!$J$2:$N$354,3,FALSE)="","",VLOOKUP(CM574,βοηθητικό!$J$2:$N$354,3,FALSE))</f>
        <v>_</v>
      </c>
      <c r="CO574" s="47"/>
      <c r="CP574" s="42" t="s">
        <v>16</v>
      </c>
      <c r="CQ574" s="43" t="str">
        <f>IF(VLOOKUP(CP574,βοηθητικό!$J$2:$N$354,3,FALSE)="","",VLOOKUP(CP574,βοηθητικό!$J$2:$N$354,3,FALSE))</f>
        <v>_</v>
      </c>
      <c r="CR574" s="44"/>
      <c r="CS574" s="45" t="s">
        <v>16</v>
      </c>
      <c r="CT574" s="46" t="str">
        <f>IF(VLOOKUP(CS574,βοηθητικό!$J$2:$N$354,3,FALSE)="","",VLOOKUP(CS574,βοηθητικό!$J$2:$N$354,3,FALSE))</f>
        <v>_</v>
      </c>
      <c r="CU574" s="47"/>
    </row>
    <row r="575" spans="1:99" x14ac:dyDescent="0.25">
      <c r="A575" s="37">
        <f>--SUBTOTAL(3,$B$3:B574)</f>
        <v>198</v>
      </c>
      <c r="B575" s="2"/>
      <c r="C575" s="3"/>
      <c r="D575" s="55" t="s">
        <v>18</v>
      </c>
      <c r="E575" s="38" t="s">
        <v>16</v>
      </c>
      <c r="F575" s="38"/>
      <c r="G575" s="39" t="str">
        <f t="shared" si="26"/>
        <v>__</v>
      </c>
      <c r="H575" s="40" t="str">
        <f t="shared" si="27"/>
        <v>FALSE</v>
      </c>
      <c r="I575" s="41">
        <f t="shared" si="28"/>
        <v>0</v>
      </c>
      <c r="J575" s="4" t="s">
        <v>16</v>
      </c>
      <c r="K575" s="43" t="str">
        <f>IF(VLOOKUP(J575,βοηθητικό!$J$2:$N$354,3,FALSE)="","",VLOOKUP(J575,βοηθητικό!$J$2:$N$354,3,FALSE))</f>
        <v>_</v>
      </c>
      <c r="L575" s="44"/>
      <c r="M575" s="5" t="s">
        <v>16</v>
      </c>
      <c r="N575" s="46" t="str">
        <f>IF(VLOOKUP(M575,βοηθητικό!$J$2:$N$354,3,FALSE)="","",VLOOKUP(M575,βοηθητικό!$J$2:$N$354,3,FALSE))</f>
        <v>_</v>
      </c>
      <c r="O575" s="47"/>
      <c r="P575" s="4" t="s">
        <v>16</v>
      </c>
      <c r="Q575" s="43" t="str">
        <f>IF(VLOOKUP(P575,βοηθητικό!$J$2:$N$354,3,FALSE)="","",VLOOKUP(P575,βοηθητικό!$J$2:$N$354,3,FALSE))</f>
        <v>_</v>
      </c>
      <c r="R575" s="44"/>
      <c r="S575" s="5" t="s">
        <v>16</v>
      </c>
      <c r="T575" s="46" t="str">
        <f>IF(VLOOKUP(S575,βοηθητικό!$J$2:$N$354,3,FALSE)="","",VLOOKUP(S575,βοηθητικό!$J$2:$N$354,3,FALSE))</f>
        <v>_</v>
      </c>
      <c r="U575" s="47"/>
      <c r="V575" s="4" t="s">
        <v>16</v>
      </c>
      <c r="W575" s="43" t="str">
        <f>IF(VLOOKUP(V575,βοηθητικό!$J$2:$N$354,3,FALSE)="","",VLOOKUP(V575,βοηθητικό!$J$2:$N$354,3,FALSE))</f>
        <v>_</v>
      </c>
      <c r="X575" s="44"/>
      <c r="Y575" s="5" t="s">
        <v>16</v>
      </c>
      <c r="Z575" s="46" t="str">
        <f>IF(VLOOKUP(Y575,βοηθητικό!$J$2:$N$354,3,FALSE)="","",VLOOKUP(Y575,βοηθητικό!$J$2:$N$354,3,FALSE))</f>
        <v>_</v>
      </c>
      <c r="AA575" s="47"/>
      <c r="AB575" s="4" t="s">
        <v>16</v>
      </c>
      <c r="AC575" s="43" t="str">
        <f>IF(VLOOKUP(AB575,βοηθητικό!$J$2:$N$354,3,FALSE)="","",VLOOKUP(AB575,βοηθητικό!$J$2:$N$354,3,FALSE))</f>
        <v>_</v>
      </c>
      <c r="AD575" s="44"/>
      <c r="AE575" s="5" t="s">
        <v>16</v>
      </c>
      <c r="AF575" s="46" t="str">
        <f>IF(VLOOKUP(AE575,βοηθητικό!$J$2:$N$354,3,FALSE)="","",VLOOKUP(AE575,βοηθητικό!$J$2:$N$354,3,FALSE))</f>
        <v>_</v>
      </c>
      <c r="AG575" s="47"/>
      <c r="AH575" s="4" t="s">
        <v>16</v>
      </c>
      <c r="AI575" s="43" t="str">
        <f>IF(VLOOKUP(AH575,βοηθητικό!$J$2:$N$354,3,FALSE)="","",VLOOKUP(AH575,βοηθητικό!$J$2:$N$354,3,FALSE))</f>
        <v>_</v>
      </c>
      <c r="AJ575" s="44"/>
      <c r="AK575" s="5" t="s">
        <v>16</v>
      </c>
      <c r="AL575" s="46" t="str">
        <f>IF(VLOOKUP(AK575,βοηθητικό!$J$2:$N$354,3,FALSE)="","",VLOOKUP(AK575,βοηθητικό!$J$2:$N$354,3,FALSE))</f>
        <v>_</v>
      </c>
      <c r="AM575" s="47"/>
      <c r="AN575" s="4" t="s">
        <v>16</v>
      </c>
      <c r="AO575" s="43" t="str">
        <f>IF(VLOOKUP(AN575,βοηθητικό!$J$2:$N$354,3,FALSE)="","",VLOOKUP(AN575,βοηθητικό!$J$2:$N$354,3,FALSE))</f>
        <v>_</v>
      </c>
      <c r="AP575" s="44"/>
      <c r="AQ575" s="5" t="s">
        <v>16</v>
      </c>
      <c r="AR575" s="46" t="str">
        <f>IF(VLOOKUP(AQ575,βοηθητικό!$J$2:$N$354,3,FALSE)="","",VLOOKUP(AQ575,βοηθητικό!$J$2:$N$354,3,FALSE))</f>
        <v>_</v>
      </c>
      <c r="AS575" s="47"/>
      <c r="AT575" s="4" t="s">
        <v>16</v>
      </c>
      <c r="AU575" s="43" t="str">
        <f>IF(VLOOKUP(AT575,βοηθητικό!$J$2:$N$354,3,FALSE)="","",VLOOKUP(AT575,βοηθητικό!$J$2:$N$354,3,FALSE))</f>
        <v>_</v>
      </c>
      <c r="AV575" s="44"/>
      <c r="AW575" s="5" t="s">
        <v>16</v>
      </c>
      <c r="AX575" s="46" t="str">
        <f>IF(VLOOKUP(AW575,βοηθητικό!$J$2:$N$354,3,FALSE)="","",VLOOKUP(AW575,βοηθητικό!$J$2:$N$354,3,FALSE))</f>
        <v>_</v>
      </c>
      <c r="AY575" s="47"/>
      <c r="AZ575" s="4" t="s">
        <v>16</v>
      </c>
      <c r="BA575" s="43" t="str">
        <f>IF(VLOOKUP(AZ575,βοηθητικό!$J$2:$N$354,3,FALSE)="","",VLOOKUP(AZ575,βοηθητικό!$J$2:$N$354,3,FALSE))</f>
        <v>_</v>
      </c>
      <c r="BB575" s="44"/>
      <c r="BC575" s="45" t="s">
        <v>16</v>
      </c>
      <c r="BD575" s="46" t="str">
        <f>IF(VLOOKUP(BC575,βοηθητικό!$J$2:$N$354,3,FALSE)="","",VLOOKUP(BC575,βοηθητικό!$J$2:$N$354,3,FALSE))</f>
        <v>_</v>
      </c>
      <c r="BE575" s="47"/>
      <c r="BF575" s="42" t="s">
        <v>16</v>
      </c>
      <c r="BG575" s="43" t="str">
        <f>IF(VLOOKUP(BF575,βοηθητικό!$J$2:$N$354,3,FALSE)="","",VLOOKUP(BF575,βοηθητικό!$J$2:$N$354,3,FALSE))</f>
        <v>_</v>
      </c>
      <c r="BH575" s="44"/>
      <c r="BI575" s="45" t="s">
        <v>16</v>
      </c>
      <c r="BJ575" s="46" t="str">
        <f>IF(VLOOKUP(BI575,βοηθητικό!$J$2:$N$354,3,FALSE)="","",VLOOKUP(BI575,βοηθητικό!$J$2:$N$354,3,FALSE))</f>
        <v>_</v>
      </c>
      <c r="BK575" s="47"/>
      <c r="BL575" s="42" t="s">
        <v>16</v>
      </c>
      <c r="BM575" s="43" t="str">
        <f>IF(VLOOKUP(BL575,βοηθητικό!$J$2:$N$354,3,FALSE)="","",VLOOKUP(BL575,βοηθητικό!$J$2:$N$354,3,FALSE))</f>
        <v>_</v>
      </c>
      <c r="BN575" s="44"/>
      <c r="BO575" s="45" t="s">
        <v>16</v>
      </c>
      <c r="BP575" s="46" t="str">
        <f>IF(VLOOKUP(BO575,βοηθητικό!$J$2:$N$354,3,FALSE)="","",VLOOKUP(BO575,βοηθητικό!$J$2:$N$354,3,FALSE))</f>
        <v>_</v>
      </c>
      <c r="BQ575" s="47"/>
      <c r="BR575" s="42" t="s">
        <v>16</v>
      </c>
      <c r="BS575" s="43" t="str">
        <f>IF(VLOOKUP(BR575,βοηθητικό!$J$2:$N$354,3,FALSE)="","",VLOOKUP(BR575,βοηθητικό!$J$2:$N$354,3,FALSE))</f>
        <v>_</v>
      </c>
      <c r="BT575" s="44"/>
      <c r="BU575" s="45" t="s">
        <v>16</v>
      </c>
      <c r="BV575" s="46" t="str">
        <f>IF(VLOOKUP(BU575,βοηθητικό!$J$2:$N$354,3,FALSE)="","",VLOOKUP(BU575,βοηθητικό!$J$2:$N$354,3,FALSE))</f>
        <v>_</v>
      </c>
      <c r="BW575" s="47"/>
      <c r="BX575" s="42" t="s">
        <v>16</v>
      </c>
      <c r="BY575" s="43" t="str">
        <f>IF(VLOOKUP(BX575,βοηθητικό!$J$2:$N$354,3,FALSE)="","",VLOOKUP(BX575,βοηθητικό!$J$2:$N$354,3,FALSE))</f>
        <v>_</v>
      </c>
      <c r="BZ575" s="44"/>
      <c r="CA575" s="45" t="s">
        <v>16</v>
      </c>
      <c r="CB575" s="46" t="str">
        <f>IF(VLOOKUP(CA575,βοηθητικό!$J$2:$N$354,3,FALSE)="","",VLOOKUP(CA575,βοηθητικό!$J$2:$N$354,3,FALSE))</f>
        <v>_</v>
      </c>
      <c r="CC575" s="47"/>
      <c r="CD575" s="42" t="s">
        <v>16</v>
      </c>
      <c r="CE575" s="43" t="str">
        <f>IF(VLOOKUP(CD575,βοηθητικό!$J$2:$N$354,3,FALSE)="","",VLOOKUP(CD575,βοηθητικό!$J$2:$N$354,3,FALSE))</f>
        <v>_</v>
      </c>
      <c r="CF575" s="44"/>
      <c r="CG575" s="45" t="s">
        <v>16</v>
      </c>
      <c r="CH575" s="46" t="str">
        <f>IF(VLOOKUP(CG575,βοηθητικό!$J$2:$N$354,3,FALSE)="","",VLOOKUP(CG575,βοηθητικό!$J$2:$N$354,3,FALSE))</f>
        <v>_</v>
      </c>
      <c r="CI575" s="47"/>
      <c r="CJ575" s="42" t="s">
        <v>16</v>
      </c>
      <c r="CK575" s="43" t="str">
        <f>IF(VLOOKUP(CJ575,βοηθητικό!$J$2:$N$354,3,FALSE)="","",VLOOKUP(CJ575,βοηθητικό!$J$2:$N$354,3,FALSE))</f>
        <v>_</v>
      </c>
      <c r="CL575" s="44"/>
      <c r="CM575" s="45" t="s">
        <v>16</v>
      </c>
      <c r="CN575" s="46" t="str">
        <f>IF(VLOOKUP(CM575,βοηθητικό!$J$2:$N$354,3,FALSE)="","",VLOOKUP(CM575,βοηθητικό!$J$2:$N$354,3,FALSE))</f>
        <v>_</v>
      </c>
      <c r="CO575" s="47"/>
      <c r="CP575" s="42" t="s">
        <v>16</v>
      </c>
      <c r="CQ575" s="43" t="str">
        <f>IF(VLOOKUP(CP575,βοηθητικό!$J$2:$N$354,3,FALSE)="","",VLOOKUP(CP575,βοηθητικό!$J$2:$N$354,3,FALSE))</f>
        <v>_</v>
      </c>
      <c r="CR575" s="44"/>
      <c r="CS575" s="45" t="s">
        <v>16</v>
      </c>
      <c r="CT575" s="46" t="str">
        <f>IF(VLOOKUP(CS575,βοηθητικό!$J$2:$N$354,3,FALSE)="","",VLOOKUP(CS575,βοηθητικό!$J$2:$N$354,3,FALSE))</f>
        <v>_</v>
      </c>
      <c r="CU575" s="47"/>
    </row>
    <row r="576" spans="1:99" x14ac:dyDescent="0.25">
      <c r="A576" s="37">
        <f>--SUBTOTAL(3,$B$3:B575)</f>
        <v>198</v>
      </c>
      <c r="B576" s="2"/>
      <c r="C576" s="3"/>
      <c r="D576" s="55" t="s">
        <v>18</v>
      </c>
      <c r="E576" s="38" t="s">
        <v>16</v>
      </c>
      <c r="F576" s="38"/>
      <c r="G576" s="39" t="str">
        <f t="shared" si="26"/>
        <v>__</v>
      </c>
      <c r="H576" s="40" t="str">
        <f t="shared" si="27"/>
        <v>FALSE</v>
      </c>
      <c r="I576" s="41">
        <f t="shared" si="28"/>
        <v>0</v>
      </c>
      <c r="J576" s="4" t="s">
        <v>16</v>
      </c>
      <c r="K576" s="43" t="str">
        <f>IF(VLOOKUP(J576,βοηθητικό!$J$2:$N$354,3,FALSE)="","",VLOOKUP(J576,βοηθητικό!$J$2:$N$354,3,FALSE))</f>
        <v>_</v>
      </c>
      <c r="L576" s="44"/>
      <c r="M576" s="5" t="s">
        <v>16</v>
      </c>
      <c r="N576" s="46" t="str">
        <f>IF(VLOOKUP(M576,βοηθητικό!$J$2:$N$354,3,FALSE)="","",VLOOKUP(M576,βοηθητικό!$J$2:$N$354,3,FALSE))</f>
        <v>_</v>
      </c>
      <c r="O576" s="47"/>
      <c r="P576" s="4" t="s">
        <v>16</v>
      </c>
      <c r="Q576" s="43" t="str">
        <f>IF(VLOOKUP(P576,βοηθητικό!$J$2:$N$354,3,FALSE)="","",VLOOKUP(P576,βοηθητικό!$J$2:$N$354,3,FALSE))</f>
        <v>_</v>
      </c>
      <c r="R576" s="44"/>
      <c r="S576" s="5" t="s">
        <v>16</v>
      </c>
      <c r="T576" s="46" t="str">
        <f>IF(VLOOKUP(S576,βοηθητικό!$J$2:$N$354,3,FALSE)="","",VLOOKUP(S576,βοηθητικό!$J$2:$N$354,3,FALSE))</f>
        <v>_</v>
      </c>
      <c r="U576" s="47"/>
      <c r="V576" s="4" t="s">
        <v>16</v>
      </c>
      <c r="W576" s="43" t="str">
        <f>IF(VLOOKUP(V576,βοηθητικό!$J$2:$N$354,3,FALSE)="","",VLOOKUP(V576,βοηθητικό!$J$2:$N$354,3,FALSE))</f>
        <v>_</v>
      </c>
      <c r="X576" s="44"/>
      <c r="Y576" s="5" t="s">
        <v>16</v>
      </c>
      <c r="Z576" s="46" t="str">
        <f>IF(VLOOKUP(Y576,βοηθητικό!$J$2:$N$354,3,FALSE)="","",VLOOKUP(Y576,βοηθητικό!$J$2:$N$354,3,FALSE))</f>
        <v>_</v>
      </c>
      <c r="AA576" s="47"/>
      <c r="AB576" s="4" t="s">
        <v>16</v>
      </c>
      <c r="AC576" s="43" t="str">
        <f>IF(VLOOKUP(AB576,βοηθητικό!$J$2:$N$354,3,FALSE)="","",VLOOKUP(AB576,βοηθητικό!$J$2:$N$354,3,FALSE))</f>
        <v>_</v>
      </c>
      <c r="AD576" s="44"/>
      <c r="AE576" s="5" t="s">
        <v>16</v>
      </c>
      <c r="AF576" s="46" t="str">
        <f>IF(VLOOKUP(AE576,βοηθητικό!$J$2:$N$354,3,FALSE)="","",VLOOKUP(AE576,βοηθητικό!$J$2:$N$354,3,FALSE))</f>
        <v>_</v>
      </c>
      <c r="AG576" s="47"/>
      <c r="AH576" s="4" t="s">
        <v>16</v>
      </c>
      <c r="AI576" s="43" t="str">
        <f>IF(VLOOKUP(AH576,βοηθητικό!$J$2:$N$354,3,FALSE)="","",VLOOKUP(AH576,βοηθητικό!$J$2:$N$354,3,FALSE))</f>
        <v>_</v>
      </c>
      <c r="AJ576" s="44"/>
      <c r="AK576" s="5" t="s">
        <v>16</v>
      </c>
      <c r="AL576" s="46" t="str">
        <f>IF(VLOOKUP(AK576,βοηθητικό!$J$2:$N$354,3,FALSE)="","",VLOOKUP(AK576,βοηθητικό!$J$2:$N$354,3,FALSE))</f>
        <v>_</v>
      </c>
      <c r="AM576" s="47"/>
      <c r="AN576" s="4" t="s">
        <v>16</v>
      </c>
      <c r="AO576" s="43" t="str">
        <f>IF(VLOOKUP(AN576,βοηθητικό!$J$2:$N$354,3,FALSE)="","",VLOOKUP(AN576,βοηθητικό!$J$2:$N$354,3,FALSE))</f>
        <v>_</v>
      </c>
      <c r="AP576" s="44"/>
      <c r="AQ576" s="5" t="s">
        <v>16</v>
      </c>
      <c r="AR576" s="46" t="str">
        <f>IF(VLOOKUP(AQ576,βοηθητικό!$J$2:$N$354,3,FALSE)="","",VLOOKUP(AQ576,βοηθητικό!$J$2:$N$354,3,FALSE))</f>
        <v>_</v>
      </c>
      <c r="AS576" s="47"/>
      <c r="AT576" s="4" t="s">
        <v>16</v>
      </c>
      <c r="AU576" s="43" t="str">
        <f>IF(VLOOKUP(AT576,βοηθητικό!$J$2:$N$354,3,FALSE)="","",VLOOKUP(AT576,βοηθητικό!$J$2:$N$354,3,FALSE))</f>
        <v>_</v>
      </c>
      <c r="AV576" s="44"/>
      <c r="AW576" s="5" t="s">
        <v>16</v>
      </c>
      <c r="AX576" s="46" t="str">
        <f>IF(VLOOKUP(AW576,βοηθητικό!$J$2:$N$354,3,FALSE)="","",VLOOKUP(AW576,βοηθητικό!$J$2:$N$354,3,FALSE))</f>
        <v>_</v>
      </c>
      <c r="AY576" s="47"/>
      <c r="AZ576" s="4" t="s">
        <v>16</v>
      </c>
      <c r="BA576" s="43" t="str">
        <f>IF(VLOOKUP(AZ576,βοηθητικό!$J$2:$N$354,3,FALSE)="","",VLOOKUP(AZ576,βοηθητικό!$J$2:$N$354,3,FALSE))</f>
        <v>_</v>
      </c>
      <c r="BB576" s="44"/>
      <c r="BC576" s="45" t="s">
        <v>16</v>
      </c>
      <c r="BD576" s="46" t="str">
        <f>IF(VLOOKUP(BC576,βοηθητικό!$J$2:$N$354,3,FALSE)="","",VLOOKUP(BC576,βοηθητικό!$J$2:$N$354,3,FALSE))</f>
        <v>_</v>
      </c>
      <c r="BE576" s="47"/>
      <c r="BF576" s="42" t="s">
        <v>16</v>
      </c>
      <c r="BG576" s="43" t="str">
        <f>IF(VLOOKUP(BF576,βοηθητικό!$J$2:$N$354,3,FALSE)="","",VLOOKUP(BF576,βοηθητικό!$J$2:$N$354,3,FALSE))</f>
        <v>_</v>
      </c>
      <c r="BH576" s="44"/>
      <c r="BI576" s="45" t="s">
        <v>16</v>
      </c>
      <c r="BJ576" s="46" t="str">
        <f>IF(VLOOKUP(BI576,βοηθητικό!$J$2:$N$354,3,FALSE)="","",VLOOKUP(BI576,βοηθητικό!$J$2:$N$354,3,FALSE))</f>
        <v>_</v>
      </c>
      <c r="BK576" s="47"/>
      <c r="BL576" s="42" t="s">
        <v>16</v>
      </c>
      <c r="BM576" s="43" t="str">
        <f>IF(VLOOKUP(BL576,βοηθητικό!$J$2:$N$354,3,FALSE)="","",VLOOKUP(BL576,βοηθητικό!$J$2:$N$354,3,FALSE))</f>
        <v>_</v>
      </c>
      <c r="BN576" s="44"/>
      <c r="BO576" s="45" t="s">
        <v>16</v>
      </c>
      <c r="BP576" s="46" t="str">
        <f>IF(VLOOKUP(BO576,βοηθητικό!$J$2:$N$354,3,FALSE)="","",VLOOKUP(BO576,βοηθητικό!$J$2:$N$354,3,FALSE))</f>
        <v>_</v>
      </c>
      <c r="BQ576" s="47"/>
      <c r="BR576" s="42" t="s">
        <v>16</v>
      </c>
      <c r="BS576" s="43" t="str">
        <f>IF(VLOOKUP(BR576,βοηθητικό!$J$2:$N$354,3,FALSE)="","",VLOOKUP(BR576,βοηθητικό!$J$2:$N$354,3,FALSE))</f>
        <v>_</v>
      </c>
      <c r="BT576" s="44"/>
      <c r="BU576" s="45" t="s">
        <v>16</v>
      </c>
      <c r="BV576" s="46" t="str">
        <f>IF(VLOOKUP(BU576,βοηθητικό!$J$2:$N$354,3,FALSE)="","",VLOOKUP(BU576,βοηθητικό!$J$2:$N$354,3,FALSE))</f>
        <v>_</v>
      </c>
      <c r="BW576" s="47"/>
      <c r="BX576" s="42" t="s">
        <v>16</v>
      </c>
      <c r="BY576" s="43" t="str">
        <f>IF(VLOOKUP(BX576,βοηθητικό!$J$2:$N$354,3,FALSE)="","",VLOOKUP(BX576,βοηθητικό!$J$2:$N$354,3,FALSE))</f>
        <v>_</v>
      </c>
      <c r="BZ576" s="44"/>
      <c r="CA576" s="45" t="s">
        <v>16</v>
      </c>
      <c r="CB576" s="46" t="str">
        <f>IF(VLOOKUP(CA576,βοηθητικό!$J$2:$N$354,3,FALSE)="","",VLOOKUP(CA576,βοηθητικό!$J$2:$N$354,3,FALSE))</f>
        <v>_</v>
      </c>
      <c r="CC576" s="47"/>
      <c r="CD576" s="42" t="s">
        <v>16</v>
      </c>
      <c r="CE576" s="43" t="str">
        <f>IF(VLOOKUP(CD576,βοηθητικό!$J$2:$N$354,3,FALSE)="","",VLOOKUP(CD576,βοηθητικό!$J$2:$N$354,3,FALSE))</f>
        <v>_</v>
      </c>
      <c r="CF576" s="44"/>
      <c r="CG576" s="45" t="s">
        <v>16</v>
      </c>
      <c r="CH576" s="46" t="str">
        <f>IF(VLOOKUP(CG576,βοηθητικό!$J$2:$N$354,3,FALSE)="","",VLOOKUP(CG576,βοηθητικό!$J$2:$N$354,3,FALSE))</f>
        <v>_</v>
      </c>
      <c r="CI576" s="47"/>
      <c r="CJ576" s="42" t="s">
        <v>16</v>
      </c>
      <c r="CK576" s="43" t="str">
        <f>IF(VLOOKUP(CJ576,βοηθητικό!$J$2:$N$354,3,FALSE)="","",VLOOKUP(CJ576,βοηθητικό!$J$2:$N$354,3,FALSE))</f>
        <v>_</v>
      </c>
      <c r="CL576" s="44"/>
      <c r="CM576" s="45" t="s">
        <v>16</v>
      </c>
      <c r="CN576" s="46" t="str">
        <f>IF(VLOOKUP(CM576,βοηθητικό!$J$2:$N$354,3,FALSE)="","",VLOOKUP(CM576,βοηθητικό!$J$2:$N$354,3,FALSE))</f>
        <v>_</v>
      </c>
      <c r="CO576" s="47"/>
      <c r="CP576" s="42" t="s">
        <v>16</v>
      </c>
      <c r="CQ576" s="43" t="str">
        <f>IF(VLOOKUP(CP576,βοηθητικό!$J$2:$N$354,3,FALSE)="","",VLOOKUP(CP576,βοηθητικό!$J$2:$N$354,3,FALSE))</f>
        <v>_</v>
      </c>
      <c r="CR576" s="44"/>
      <c r="CS576" s="45" t="s">
        <v>16</v>
      </c>
      <c r="CT576" s="46" t="str">
        <f>IF(VLOOKUP(CS576,βοηθητικό!$J$2:$N$354,3,FALSE)="","",VLOOKUP(CS576,βοηθητικό!$J$2:$N$354,3,FALSE))</f>
        <v>_</v>
      </c>
      <c r="CU576" s="47"/>
    </row>
    <row r="577" spans="1:99" x14ac:dyDescent="0.25">
      <c r="A577" s="37">
        <f>--SUBTOTAL(3,$B$3:B576)</f>
        <v>198</v>
      </c>
      <c r="B577" s="2"/>
      <c r="C577" s="3"/>
      <c r="D577" s="55" t="s">
        <v>18</v>
      </c>
      <c r="E577" s="38" t="s">
        <v>16</v>
      </c>
      <c r="F577" s="38"/>
      <c r="G577" s="39" t="str">
        <f t="shared" si="26"/>
        <v>__</v>
      </c>
      <c r="H577" s="40" t="str">
        <f t="shared" si="27"/>
        <v>FALSE</v>
      </c>
      <c r="I577" s="41">
        <f t="shared" si="28"/>
        <v>0</v>
      </c>
      <c r="J577" s="4" t="s">
        <v>16</v>
      </c>
      <c r="K577" s="43" t="str">
        <f>IF(VLOOKUP(J577,βοηθητικό!$J$2:$N$354,3,FALSE)="","",VLOOKUP(J577,βοηθητικό!$J$2:$N$354,3,FALSE))</f>
        <v>_</v>
      </c>
      <c r="L577" s="44"/>
      <c r="M577" s="5" t="s">
        <v>16</v>
      </c>
      <c r="N577" s="46" t="str">
        <f>IF(VLOOKUP(M577,βοηθητικό!$J$2:$N$354,3,FALSE)="","",VLOOKUP(M577,βοηθητικό!$J$2:$N$354,3,FALSE))</f>
        <v>_</v>
      </c>
      <c r="O577" s="47"/>
      <c r="P577" s="4" t="s">
        <v>16</v>
      </c>
      <c r="Q577" s="43" t="str">
        <f>IF(VLOOKUP(P577,βοηθητικό!$J$2:$N$354,3,FALSE)="","",VLOOKUP(P577,βοηθητικό!$J$2:$N$354,3,FALSE))</f>
        <v>_</v>
      </c>
      <c r="R577" s="44"/>
      <c r="S577" s="5" t="s">
        <v>16</v>
      </c>
      <c r="T577" s="46" t="str">
        <f>IF(VLOOKUP(S577,βοηθητικό!$J$2:$N$354,3,FALSE)="","",VLOOKUP(S577,βοηθητικό!$J$2:$N$354,3,FALSE))</f>
        <v>_</v>
      </c>
      <c r="U577" s="47"/>
      <c r="V577" s="4" t="s">
        <v>16</v>
      </c>
      <c r="W577" s="43" t="str">
        <f>IF(VLOOKUP(V577,βοηθητικό!$J$2:$N$354,3,FALSE)="","",VLOOKUP(V577,βοηθητικό!$J$2:$N$354,3,FALSE))</f>
        <v>_</v>
      </c>
      <c r="X577" s="44"/>
      <c r="Y577" s="5" t="s">
        <v>16</v>
      </c>
      <c r="Z577" s="46" t="str">
        <f>IF(VLOOKUP(Y577,βοηθητικό!$J$2:$N$354,3,FALSE)="","",VLOOKUP(Y577,βοηθητικό!$J$2:$N$354,3,FALSE))</f>
        <v>_</v>
      </c>
      <c r="AA577" s="47"/>
      <c r="AB577" s="4" t="s">
        <v>16</v>
      </c>
      <c r="AC577" s="43" t="str">
        <f>IF(VLOOKUP(AB577,βοηθητικό!$J$2:$N$354,3,FALSE)="","",VLOOKUP(AB577,βοηθητικό!$J$2:$N$354,3,FALSE))</f>
        <v>_</v>
      </c>
      <c r="AD577" s="44"/>
      <c r="AE577" s="5" t="s">
        <v>16</v>
      </c>
      <c r="AF577" s="46" t="str">
        <f>IF(VLOOKUP(AE577,βοηθητικό!$J$2:$N$354,3,FALSE)="","",VLOOKUP(AE577,βοηθητικό!$J$2:$N$354,3,FALSE))</f>
        <v>_</v>
      </c>
      <c r="AG577" s="47"/>
      <c r="AH577" s="4" t="s">
        <v>16</v>
      </c>
      <c r="AI577" s="43" t="str">
        <f>IF(VLOOKUP(AH577,βοηθητικό!$J$2:$N$354,3,FALSE)="","",VLOOKUP(AH577,βοηθητικό!$J$2:$N$354,3,FALSE))</f>
        <v>_</v>
      </c>
      <c r="AJ577" s="44"/>
      <c r="AK577" s="5" t="s">
        <v>16</v>
      </c>
      <c r="AL577" s="46" t="str">
        <f>IF(VLOOKUP(AK577,βοηθητικό!$J$2:$N$354,3,FALSE)="","",VLOOKUP(AK577,βοηθητικό!$J$2:$N$354,3,FALSE))</f>
        <v>_</v>
      </c>
      <c r="AM577" s="47"/>
      <c r="AN577" s="4" t="s">
        <v>16</v>
      </c>
      <c r="AO577" s="43" t="str">
        <f>IF(VLOOKUP(AN577,βοηθητικό!$J$2:$N$354,3,FALSE)="","",VLOOKUP(AN577,βοηθητικό!$J$2:$N$354,3,FALSE))</f>
        <v>_</v>
      </c>
      <c r="AP577" s="44"/>
      <c r="AQ577" s="5" t="s">
        <v>16</v>
      </c>
      <c r="AR577" s="46" t="str">
        <f>IF(VLOOKUP(AQ577,βοηθητικό!$J$2:$N$354,3,FALSE)="","",VLOOKUP(AQ577,βοηθητικό!$J$2:$N$354,3,FALSE))</f>
        <v>_</v>
      </c>
      <c r="AS577" s="47"/>
      <c r="AT577" s="4" t="s">
        <v>16</v>
      </c>
      <c r="AU577" s="43" t="str">
        <f>IF(VLOOKUP(AT577,βοηθητικό!$J$2:$N$354,3,FALSE)="","",VLOOKUP(AT577,βοηθητικό!$J$2:$N$354,3,FALSE))</f>
        <v>_</v>
      </c>
      <c r="AV577" s="44"/>
      <c r="AW577" s="5" t="s">
        <v>16</v>
      </c>
      <c r="AX577" s="46" t="str">
        <f>IF(VLOOKUP(AW577,βοηθητικό!$J$2:$N$354,3,FALSE)="","",VLOOKUP(AW577,βοηθητικό!$J$2:$N$354,3,FALSE))</f>
        <v>_</v>
      </c>
      <c r="AY577" s="47"/>
      <c r="AZ577" s="4" t="s">
        <v>16</v>
      </c>
      <c r="BA577" s="43" t="str">
        <f>IF(VLOOKUP(AZ577,βοηθητικό!$J$2:$N$354,3,FALSE)="","",VLOOKUP(AZ577,βοηθητικό!$J$2:$N$354,3,FALSE))</f>
        <v>_</v>
      </c>
      <c r="BB577" s="44"/>
      <c r="BC577" s="45" t="s">
        <v>16</v>
      </c>
      <c r="BD577" s="46" t="str">
        <f>IF(VLOOKUP(BC577,βοηθητικό!$J$2:$N$354,3,FALSE)="","",VLOOKUP(BC577,βοηθητικό!$J$2:$N$354,3,FALSE))</f>
        <v>_</v>
      </c>
      <c r="BE577" s="47"/>
      <c r="BF577" s="42" t="s">
        <v>16</v>
      </c>
      <c r="BG577" s="43" t="str">
        <f>IF(VLOOKUP(BF577,βοηθητικό!$J$2:$N$354,3,FALSE)="","",VLOOKUP(BF577,βοηθητικό!$J$2:$N$354,3,FALSE))</f>
        <v>_</v>
      </c>
      <c r="BH577" s="44"/>
      <c r="BI577" s="45" t="s">
        <v>16</v>
      </c>
      <c r="BJ577" s="46" t="str">
        <f>IF(VLOOKUP(BI577,βοηθητικό!$J$2:$N$354,3,FALSE)="","",VLOOKUP(BI577,βοηθητικό!$J$2:$N$354,3,FALSE))</f>
        <v>_</v>
      </c>
      <c r="BK577" s="47"/>
      <c r="BL577" s="42" t="s">
        <v>16</v>
      </c>
      <c r="BM577" s="43" t="str">
        <f>IF(VLOOKUP(BL577,βοηθητικό!$J$2:$N$354,3,FALSE)="","",VLOOKUP(BL577,βοηθητικό!$J$2:$N$354,3,FALSE))</f>
        <v>_</v>
      </c>
      <c r="BN577" s="44"/>
      <c r="BO577" s="45" t="s">
        <v>16</v>
      </c>
      <c r="BP577" s="46" t="str">
        <f>IF(VLOOKUP(BO577,βοηθητικό!$J$2:$N$354,3,FALSE)="","",VLOOKUP(BO577,βοηθητικό!$J$2:$N$354,3,FALSE))</f>
        <v>_</v>
      </c>
      <c r="BQ577" s="47"/>
      <c r="BR577" s="42" t="s">
        <v>16</v>
      </c>
      <c r="BS577" s="43" t="str">
        <f>IF(VLOOKUP(BR577,βοηθητικό!$J$2:$N$354,3,FALSE)="","",VLOOKUP(BR577,βοηθητικό!$J$2:$N$354,3,FALSE))</f>
        <v>_</v>
      </c>
      <c r="BT577" s="44"/>
      <c r="BU577" s="45" t="s">
        <v>16</v>
      </c>
      <c r="BV577" s="46" t="str">
        <f>IF(VLOOKUP(BU577,βοηθητικό!$J$2:$N$354,3,FALSE)="","",VLOOKUP(BU577,βοηθητικό!$J$2:$N$354,3,FALSE))</f>
        <v>_</v>
      </c>
      <c r="BW577" s="47"/>
      <c r="BX577" s="42" t="s">
        <v>16</v>
      </c>
      <c r="BY577" s="43" t="str">
        <f>IF(VLOOKUP(BX577,βοηθητικό!$J$2:$N$354,3,FALSE)="","",VLOOKUP(BX577,βοηθητικό!$J$2:$N$354,3,FALSE))</f>
        <v>_</v>
      </c>
      <c r="BZ577" s="44"/>
      <c r="CA577" s="45" t="s">
        <v>16</v>
      </c>
      <c r="CB577" s="46" t="str">
        <f>IF(VLOOKUP(CA577,βοηθητικό!$J$2:$N$354,3,FALSE)="","",VLOOKUP(CA577,βοηθητικό!$J$2:$N$354,3,FALSE))</f>
        <v>_</v>
      </c>
      <c r="CC577" s="47"/>
      <c r="CD577" s="42" t="s">
        <v>16</v>
      </c>
      <c r="CE577" s="43" t="str">
        <f>IF(VLOOKUP(CD577,βοηθητικό!$J$2:$N$354,3,FALSE)="","",VLOOKUP(CD577,βοηθητικό!$J$2:$N$354,3,FALSE))</f>
        <v>_</v>
      </c>
      <c r="CF577" s="44"/>
      <c r="CG577" s="45" t="s">
        <v>16</v>
      </c>
      <c r="CH577" s="46" t="str">
        <f>IF(VLOOKUP(CG577,βοηθητικό!$J$2:$N$354,3,FALSE)="","",VLOOKUP(CG577,βοηθητικό!$J$2:$N$354,3,FALSE))</f>
        <v>_</v>
      </c>
      <c r="CI577" s="47"/>
      <c r="CJ577" s="42" t="s">
        <v>16</v>
      </c>
      <c r="CK577" s="43" t="str">
        <f>IF(VLOOKUP(CJ577,βοηθητικό!$J$2:$N$354,3,FALSE)="","",VLOOKUP(CJ577,βοηθητικό!$J$2:$N$354,3,FALSE))</f>
        <v>_</v>
      </c>
      <c r="CL577" s="44"/>
      <c r="CM577" s="45" t="s">
        <v>16</v>
      </c>
      <c r="CN577" s="46" t="str">
        <f>IF(VLOOKUP(CM577,βοηθητικό!$J$2:$N$354,3,FALSE)="","",VLOOKUP(CM577,βοηθητικό!$J$2:$N$354,3,FALSE))</f>
        <v>_</v>
      </c>
      <c r="CO577" s="47"/>
      <c r="CP577" s="42" t="s">
        <v>16</v>
      </c>
      <c r="CQ577" s="43" t="str">
        <f>IF(VLOOKUP(CP577,βοηθητικό!$J$2:$N$354,3,FALSE)="","",VLOOKUP(CP577,βοηθητικό!$J$2:$N$354,3,FALSE))</f>
        <v>_</v>
      </c>
      <c r="CR577" s="44"/>
      <c r="CS577" s="45" t="s">
        <v>16</v>
      </c>
      <c r="CT577" s="46" t="str">
        <f>IF(VLOOKUP(CS577,βοηθητικό!$J$2:$N$354,3,FALSE)="","",VLOOKUP(CS577,βοηθητικό!$J$2:$N$354,3,FALSE))</f>
        <v>_</v>
      </c>
      <c r="CU577" s="47"/>
    </row>
    <row r="578" spans="1:99" x14ac:dyDescent="0.25">
      <c r="A578" s="37">
        <f>--SUBTOTAL(3,$B$3:B577)</f>
        <v>198</v>
      </c>
      <c r="B578" s="2"/>
      <c r="C578" s="3"/>
      <c r="D578" s="55" t="s">
        <v>18</v>
      </c>
      <c r="E578" s="38" t="s">
        <v>16</v>
      </c>
      <c r="F578" s="38"/>
      <c r="G578" s="39" t="str">
        <f t="shared" si="26"/>
        <v>__</v>
      </c>
      <c r="H578" s="40" t="str">
        <f t="shared" si="27"/>
        <v>FALSE</v>
      </c>
      <c r="I578" s="41">
        <f t="shared" si="28"/>
        <v>0</v>
      </c>
      <c r="J578" s="4" t="s">
        <v>16</v>
      </c>
      <c r="K578" s="43" t="str">
        <f>IF(VLOOKUP(J578,βοηθητικό!$J$2:$N$354,3,FALSE)="","",VLOOKUP(J578,βοηθητικό!$J$2:$N$354,3,FALSE))</f>
        <v>_</v>
      </c>
      <c r="L578" s="44"/>
      <c r="M578" s="5" t="s">
        <v>16</v>
      </c>
      <c r="N578" s="46" t="str">
        <f>IF(VLOOKUP(M578,βοηθητικό!$J$2:$N$354,3,FALSE)="","",VLOOKUP(M578,βοηθητικό!$J$2:$N$354,3,FALSE))</f>
        <v>_</v>
      </c>
      <c r="O578" s="47"/>
      <c r="P578" s="4" t="s">
        <v>16</v>
      </c>
      <c r="Q578" s="43" t="str">
        <f>IF(VLOOKUP(P578,βοηθητικό!$J$2:$N$354,3,FALSE)="","",VLOOKUP(P578,βοηθητικό!$J$2:$N$354,3,FALSE))</f>
        <v>_</v>
      </c>
      <c r="R578" s="44"/>
      <c r="S578" s="5" t="s">
        <v>16</v>
      </c>
      <c r="T578" s="46" t="str">
        <f>IF(VLOOKUP(S578,βοηθητικό!$J$2:$N$354,3,FALSE)="","",VLOOKUP(S578,βοηθητικό!$J$2:$N$354,3,FALSE))</f>
        <v>_</v>
      </c>
      <c r="U578" s="47"/>
      <c r="V578" s="4" t="s">
        <v>16</v>
      </c>
      <c r="W578" s="43" t="str">
        <f>IF(VLOOKUP(V578,βοηθητικό!$J$2:$N$354,3,FALSE)="","",VLOOKUP(V578,βοηθητικό!$J$2:$N$354,3,FALSE))</f>
        <v>_</v>
      </c>
      <c r="X578" s="44"/>
      <c r="Y578" s="5" t="s">
        <v>16</v>
      </c>
      <c r="Z578" s="46" t="str">
        <f>IF(VLOOKUP(Y578,βοηθητικό!$J$2:$N$354,3,FALSE)="","",VLOOKUP(Y578,βοηθητικό!$J$2:$N$354,3,FALSE))</f>
        <v>_</v>
      </c>
      <c r="AA578" s="47"/>
      <c r="AB578" s="4" t="s">
        <v>16</v>
      </c>
      <c r="AC578" s="43" t="str">
        <f>IF(VLOOKUP(AB578,βοηθητικό!$J$2:$N$354,3,FALSE)="","",VLOOKUP(AB578,βοηθητικό!$J$2:$N$354,3,FALSE))</f>
        <v>_</v>
      </c>
      <c r="AD578" s="44"/>
      <c r="AE578" s="5" t="s">
        <v>16</v>
      </c>
      <c r="AF578" s="46" t="str">
        <f>IF(VLOOKUP(AE578,βοηθητικό!$J$2:$N$354,3,FALSE)="","",VLOOKUP(AE578,βοηθητικό!$J$2:$N$354,3,FALSE))</f>
        <v>_</v>
      </c>
      <c r="AG578" s="47"/>
      <c r="AH578" s="4" t="s">
        <v>16</v>
      </c>
      <c r="AI578" s="43" t="str">
        <f>IF(VLOOKUP(AH578,βοηθητικό!$J$2:$N$354,3,FALSE)="","",VLOOKUP(AH578,βοηθητικό!$J$2:$N$354,3,FALSE))</f>
        <v>_</v>
      </c>
      <c r="AJ578" s="44"/>
      <c r="AK578" s="5" t="s">
        <v>16</v>
      </c>
      <c r="AL578" s="46" t="str">
        <f>IF(VLOOKUP(AK578,βοηθητικό!$J$2:$N$354,3,FALSE)="","",VLOOKUP(AK578,βοηθητικό!$J$2:$N$354,3,FALSE))</f>
        <v>_</v>
      </c>
      <c r="AM578" s="47"/>
      <c r="AN578" s="4" t="s">
        <v>16</v>
      </c>
      <c r="AO578" s="43" t="str">
        <f>IF(VLOOKUP(AN578,βοηθητικό!$J$2:$N$354,3,FALSE)="","",VLOOKUP(AN578,βοηθητικό!$J$2:$N$354,3,FALSE))</f>
        <v>_</v>
      </c>
      <c r="AP578" s="44"/>
      <c r="AQ578" s="5" t="s">
        <v>16</v>
      </c>
      <c r="AR578" s="46" t="str">
        <f>IF(VLOOKUP(AQ578,βοηθητικό!$J$2:$N$354,3,FALSE)="","",VLOOKUP(AQ578,βοηθητικό!$J$2:$N$354,3,FALSE))</f>
        <v>_</v>
      </c>
      <c r="AS578" s="47"/>
      <c r="AT578" s="4" t="s">
        <v>16</v>
      </c>
      <c r="AU578" s="43" t="str">
        <f>IF(VLOOKUP(AT578,βοηθητικό!$J$2:$N$354,3,FALSE)="","",VLOOKUP(AT578,βοηθητικό!$J$2:$N$354,3,FALSE))</f>
        <v>_</v>
      </c>
      <c r="AV578" s="44"/>
      <c r="AW578" s="5" t="s">
        <v>16</v>
      </c>
      <c r="AX578" s="46" t="str">
        <f>IF(VLOOKUP(AW578,βοηθητικό!$J$2:$N$354,3,FALSE)="","",VLOOKUP(AW578,βοηθητικό!$J$2:$N$354,3,FALSE))</f>
        <v>_</v>
      </c>
      <c r="AY578" s="47"/>
      <c r="AZ578" s="4" t="s">
        <v>16</v>
      </c>
      <c r="BA578" s="43" t="str">
        <f>IF(VLOOKUP(AZ578,βοηθητικό!$J$2:$N$354,3,FALSE)="","",VLOOKUP(AZ578,βοηθητικό!$J$2:$N$354,3,FALSE))</f>
        <v>_</v>
      </c>
      <c r="BB578" s="44"/>
      <c r="BC578" s="45" t="s">
        <v>16</v>
      </c>
      <c r="BD578" s="46" t="str">
        <f>IF(VLOOKUP(BC578,βοηθητικό!$J$2:$N$354,3,FALSE)="","",VLOOKUP(BC578,βοηθητικό!$J$2:$N$354,3,FALSE))</f>
        <v>_</v>
      </c>
      <c r="BE578" s="47"/>
      <c r="BF578" s="42" t="s">
        <v>16</v>
      </c>
      <c r="BG578" s="43" t="str">
        <f>IF(VLOOKUP(BF578,βοηθητικό!$J$2:$N$354,3,FALSE)="","",VLOOKUP(BF578,βοηθητικό!$J$2:$N$354,3,FALSE))</f>
        <v>_</v>
      </c>
      <c r="BH578" s="44"/>
      <c r="BI578" s="45" t="s">
        <v>16</v>
      </c>
      <c r="BJ578" s="46" t="str">
        <f>IF(VLOOKUP(BI578,βοηθητικό!$J$2:$N$354,3,FALSE)="","",VLOOKUP(BI578,βοηθητικό!$J$2:$N$354,3,FALSE))</f>
        <v>_</v>
      </c>
      <c r="BK578" s="47"/>
      <c r="BL578" s="42" t="s">
        <v>16</v>
      </c>
      <c r="BM578" s="43" t="str">
        <f>IF(VLOOKUP(BL578,βοηθητικό!$J$2:$N$354,3,FALSE)="","",VLOOKUP(BL578,βοηθητικό!$J$2:$N$354,3,FALSE))</f>
        <v>_</v>
      </c>
      <c r="BN578" s="44"/>
      <c r="BO578" s="45" t="s">
        <v>16</v>
      </c>
      <c r="BP578" s="46" t="str">
        <f>IF(VLOOKUP(BO578,βοηθητικό!$J$2:$N$354,3,FALSE)="","",VLOOKUP(BO578,βοηθητικό!$J$2:$N$354,3,FALSE))</f>
        <v>_</v>
      </c>
      <c r="BQ578" s="47"/>
      <c r="BR578" s="42" t="s">
        <v>16</v>
      </c>
      <c r="BS578" s="43" t="str">
        <f>IF(VLOOKUP(BR578,βοηθητικό!$J$2:$N$354,3,FALSE)="","",VLOOKUP(BR578,βοηθητικό!$J$2:$N$354,3,FALSE))</f>
        <v>_</v>
      </c>
      <c r="BT578" s="44"/>
      <c r="BU578" s="45" t="s">
        <v>16</v>
      </c>
      <c r="BV578" s="46" t="str">
        <f>IF(VLOOKUP(BU578,βοηθητικό!$J$2:$N$354,3,FALSE)="","",VLOOKUP(BU578,βοηθητικό!$J$2:$N$354,3,FALSE))</f>
        <v>_</v>
      </c>
      <c r="BW578" s="47"/>
      <c r="BX578" s="42" t="s">
        <v>16</v>
      </c>
      <c r="BY578" s="43" t="str">
        <f>IF(VLOOKUP(BX578,βοηθητικό!$J$2:$N$354,3,FALSE)="","",VLOOKUP(BX578,βοηθητικό!$J$2:$N$354,3,FALSE))</f>
        <v>_</v>
      </c>
      <c r="BZ578" s="44"/>
      <c r="CA578" s="45" t="s">
        <v>16</v>
      </c>
      <c r="CB578" s="46" t="str">
        <f>IF(VLOOKUP(CA578,βοηθητικό!$J$2:$N$354,3,FALSE)="","",VLOOKUP(CA578,βοηθητικό!$J$2:$N$354,3,FALSE))</f>
        <v>_</v>
      </c>
      <c r="CC578" s="47"/>
      <c r="CD578" s="42" t="s">
        <v>16</v>
      </c>
      <c r="CE578" s="43" t="str">
        <f>IF(VLOOKUP(CD578,βοηθητικό!$J$2:$N$354,3,FALSE)="","",VLOOKUP(CD578,βοηθητικό!$J$2:$N$354,3,FALSE))</f>
        <v>_</v>
      </c>
      <c r="CF578" s="44"/>
      <c r="CG578" s="45" t="s">
        <v>16</v>
      </c>
      <c r="CH578" s="46" t="str">
        <f>IF(VLOOKUP(CG578,βοηθητικό!$J$2:$N$354,3,FALSE)="","",VLOOKUP(CG578,βοηθητικό!$J$2:$N$354,3,FALSE))</f>
        <v>_</v>
      </c>
      <c r="CI578" s="47"/>
      <c r="CJ578" s="42" t="s">
        <v>16</v>
      </c>
      <c r="CK578" s="43" t="str">
        <f>IF(VLOOKUP(CJ578,βοηθητικό!$J$2:$N$354,3,FALSE)="","",VLOOKUP(CJ578,βοηθητικό!$J$2:$N$354,3,FALSE))</f>
        <v>_</v>
      </c>
      <c r="CL578" s="44"/>
      <c r="CM578" s="45" t="s">
        <v>16</v>
      </c>
      <c r="CN578" s="46" t="str">
        <f>IF(VLOOKUP(CM578,βοηθητικό!$J$2:$N$354,3,FALSE)="","",VLOOKUP(CM578,βοηθητικό!$J$2:$N$354,3,FALSE))</f>
        <v>_</v>
      </c>
      <c r="CO578" s="47"/>
      <c r="CP578" s="42" t="s">
        <v>16</v>
      </c>
      <c r="CQ578" s="43" t="str">
        <f>IF(VLOOKUP(CP578,βοηθητικό!$J$2:$N$354,3,FALSE)="","",VLOOKUP(CP578,βοηθητικό!$J$2:$N$354,3,FALSE))</f>
        <v>_</v>
      </c>
      <c r="CR578" s="44"/>
      <c r="CS578" s="45" t="s">
        <v>16</v>
      </c>
      <c r="CT578" s="46" t="str">
        <f>IF(VLOOKUP(CS578,βοηθητικό!$J$2:$N$354,3,FALSE)="","",VLOOKUP(CS578,βοηθητικό!$J$2:$N$354,3,FALSE))</f>
        <v>_</v>
      </c>
      <c r="CU578" s="47"/>
    </row>
    <row r="579" spans="1:99" x14ac:dyDescent="0.25">
      <c r="A579" s="37">
        <f>--SUBTOTAL(3,$B$3:B578)</f>
        <v>198</v>
      </c>
      <c r="B579" s="2"/>
      <c r="C579" s="3"/>
      <c r="D579" s="55" t="s">
        <v>18</v>
      </c>
      <c r="E579" s="38" t="s">
        <v>16</v>
      </c>
      <c r="F579" s="38"/>
      <c r="G579" s="39" t="str">
        <f t="shared" si="26"/>
        <v>__</v>
      </c>
      <c r="H579" s="40" t="str">
        <f t="shared" si="27"/>
        <v>FALSE</v>
      </c>
      <c r="I579" s="41">
        <f t="shared" si="28"/>
        <v>0</v>
      </c>
      <c r="J579" s="4" t="s">
        <v>16</v>
      </c>
      <c r="K579" s="43" t="str">
        <f>IF(VLOOKUP(J579,βοηθητικό!$J$2:$N$354,3,FALSE)="","",VLOOKUP(J579,βοηθητικό!$J$2:$N$354,3,FALSE))</f>
        <v>_</v>
      </c>
      <c r="L579" s="44"/>
      <c r="M579" s="5" t="s">
        <v>16</v>
      </c>
      <c r="N579" s="46" t="str">
        <f>IF(VLOOKUP(M579,βοηθητικό!$J$2:$N$354,3,FALSE)="","",VLOOKUP(M579,βοηθητικό!$J$2:$N$354,3,FALSE))</f>
        <v>_</v>
      </c>
      <c r="O579" s="47"/>
      <c r="P579" s="4" t="s">
        <v>16</v>
      </c>
      <c r="Q579" s="43" t="str">
        <f>IF(VLOOKUP(P579,βοηθητικό!$J$2:$N$354,3,FALSE)="","",VLOOKUP(P579,βοηθητικό!$J$2:$N$354,3,FALSE))</f>
        <v>_</v>
      </c>
      <c r="R579" s="44"/>
      <c r="S579" s="5" t="s">
        <v>16</v>
      </c>
      <c r="T579" s="46" t="str">
        <f>IF(VLOOKUP(S579,βοηθητικό!$J$2:$N$354,3,FALSE)="","",VLOOKUP(S579,βοηθητικό!$J$2:$N$354,3,FALSE))</f>
        <v>_</v>
      </c>
      <c r="U579" s="47"/>
      <c r="V579" s="4" t="s">
        <v>16</v>
      </c>
      <c r="W579" s="43" t="str">
        <f>IF(VLOOKUP(V579,βοηθητικό!$J$2:$N$354,3,FALSE)="","",VLOOKUP(V579,βοηθητικό!$J$2:$N$354,3,FALSE))</f>
        <v>_</v>
      </c>
      <c r="X579" s="44"/>
      <c r="Y579" s="5" t="s">
        <v>16</v>
      </c>
      <c r="Z579" s="46" t="str">
        <f>IF(VLOOKUP(Y579,βοηθητικό!$J$2:$N$354,3,FALSE)="","",VLOOKUP(Y579,βοηθητικό!$J$2:$N$354,3,FALSE))</f>
        <v>_</v>
      </c>
      <c r="AA579" s="47"/>
      <c r="AB579" s="4" t="s">
        <v>16</v>
      </c>
      <c r="AC579" s="43" t="str">
        <f>IF(VLOOKUP(AB579,βοηθητικό!$J$2:$N$354,3,FALSE)="","",VLOOKUP(AB579,βοηθητικό!$J$2:$N$354,3,FALSE))</f>
        <v>_</v>
      </c>
      <c r="AD579" s="44"/>
      <c r="AE579" s="5" t="s">
        <v>16</v>
      </c>
      <c r="AF579" s="46" t="str">
        <f>IF(VLOOKUP(AE579,βοηθητικό!$J$2:$N$354,3,FALSE)="","",VLOOKUP(AE579,βοηθητικό!$J$2:$N$354,3,FALSE))</f>
        <v>_</v>
      </c>
      <c r="AG579" s="47"/>
      <c r="AH579" s="4" t="s">
        <v>16</v>
      </c>
      <c r="AI579" s="43" t="str">
        <f>IF(VLOOKUP(AH579,βοηθητικό!$J$2:$N$354,3,FALSE)="","",VLOOKUP(AH579,βοηθητικό!$J$2:$N$354,3,FALSE))</f>
        <v>_</v>
      </c>
      <c r="AJ579" s="44"/>
      <c r="AK579" s="5" t="s">
        <v>16</v>
      </c>
      <c r="AL579" s="46" t="str">
        <f>IF(VLOOKUP(AK579,βοηθητικό!$J$2:$N$354,3,FALSE)="","",VLOOKUP(AK579,βοηθητικό!$J$2:$N$354,3,FALSE))</f>
        <v>_</v>
      </c>
      <c r="AM579" s="47"/>
      <c r="AN579" s="4" t="s">
        <v>16</v>
      </c>
      <c r="AO579" s="43" t="str">
        <f>IF(VLOOKUP(AN579,βοηθητικό!$J$2:$N$354,3,FALSE)="","",VLOOKUP(AN579,βοηθητικό!$J$2:$N$354,3,FALSE))</f>
        <v>_</v>
      </c>
      <c r="AP579" s="44"/>
      <c r="AQ579" s="5" t="s">
        <v>16</v>
      </c>
      <c r="AR579" s="46" t="str">
        <f>IF(VLOOKUP(AQ579,βοηθητικό!$J$2:$N$354,3,FALSE)="","",VLOOKUP(AQ579,βοηθητικό!$J$2:$N$354,3,FALSE))</f>
        <v>_</v>
      </c>
      <c r="AS579" s="47"/>
      <c r="AT579" s="4" t="s">
        <v>16</v>
      </c>
      <c r="AU579" s="43" t="str">
        <f>IF(VLOOKUP(AT579,βοηθητικό!$J$2:$N$354,3,FALSE)="","",VLOOKUP(AT579,βοηθητικό!$J$2:$N$354,3,FALSE))</f>
        <v>_</v>
      </c>
      <c r="AV579" s="44"/>
      <c r="AW579" s="5" t="s">
        <v>16</v>
      </c>
      <c r="AX579" s="46" t="str">
        <f>IF(VLOOKUP(AW579,βοηθητικό!$J$2:$N$354,3,FALSE)="","",VLOOKUP(AW579,βοηθητικό!$J$2:$N$354,3,FALSE))</f>
        <v>_</v>
      </c>
      <c r="AY579" s="47"/>
      <c r="AZ579" s="4" t="s">
        <v>16</v>
      </c>
      <c r="BA579" s="43" t="str">
        <f>IF(VLOOKUP(AZ579,βοηθητικό!$J$2:$N$354,3,FALSE)="","",VLOOKUP(AZ579,βοηθητικό!$J$2:$N$354,3,FALSE))</f>
        <v>_</v>
      </c>
      <c r="BB579" s="44"/>
      <c r="BC579" s="45" t="s">
        <v>16</v>
      </c>
      <c r="BD579" s="46" t="str">
        <f>IF(VLOOKUP(BC579,βοηθητικό!$J$2:$N$354,3,FALSE)="","",VLOOKUP(BC579,βοηθητικό!$J$2:$N$354,3,FALSE))</f>
        <v>_</v>
      </c>
      <c r="BE579" s="47"/>
      <c r="BF579" s="42" t="s">
        <v>16</v>
      </c>
      <c r="BG579" s="43" t="str">
        <f>IF(VLOOKUP(BF579,βοηθητικό!$J$2:$N$354,3,FALSE)="","",VLOOKUP(BF579,βοηθητικό!$J$2:$N$354,3,FALSE))</f>
        <v>_</v>
      </c>
      <c r="BH579" s="44"/>
      <c r="BI579" s="45" t="s">
        <v>16</v>
      </c>
      <c r="BJ579" s="46" t="str">
        <f>IF(VLOOKUP(BI579,βοηθητικό!$J$2:$N$354,3,FALSE)="","",VLOOKUP(BI579,βοηθητικό!$J$2:$N$354,3,FALSE))</f>
        <v>_</v>
      </c>
      <c r="BK579" s="47"/>
      <c r="BL579" s="42" t="s">
        <v>16</v>
      </c>
      <c r="BM579" s="43" t="str">
        <f>IF(VLOOKUP(BL579,βοηθητικό!$J$2:$N$354,3,FALSE)="","",VLOOKUP(BL579,βοηθητικό!$J$2:$N$354,3,FALSE))</f>
        <v>_</v>
      </c>
      <c r="BN579" s="44"/>
      <c r="BO579" s="45" t="s">
        <v>16</v>
      </c>
      <c r="BP579" s="46" t="str">
        <f>IF(VLOOKUP(BO579,βοηθητικό!$J$2:$N$354,3,FALSE)="","",VLOOKUP(BO579,βοηθητικό!$J$2:$N$354,3,FALSE))</f>
        <v>_</v>
      </c>
      <c r="BQ579" s="47"/>
      <c r="BR579" s="42" t="s">
        <v>16</v>
      </c>
      <c r="BS579" s="43" t="str">
        <f>IF(VLOOKUP(BR579,βοηθητικό!$J$2:$N$354,3,FALSE)="","",VLOOKUP(BR579,βοηθητικό!$J$2:$N$354,3,FALSE))</f>
        <v>_</v>
      </c>
      <c r="BT579" s="44"/>
      <c r="BU579" s="45" t="s">
        <v>16</v>
      </c>
      <c r="BV579" s="46" t="str">
        <f>IF(VLOOKUP(BU579,βοηθητικό!$J$2:$N$354,3,FALSE)="","",VLOOKUP(BU579,βοηθητικό!$J$2:$N$354,3,FALSE))</f>
        <v>_</v>
      </c>
      <c r="BW579" s="47"/>
      <c r="BX579" s="42" t="s">
        <v>16</v>
      </c>
      <c r="BY579" s="43" t="str">
        <f>IF(VLOOKUP(BX579,βοηθητικό!$J$2:$N$354,3,FALSE)="","",VLOOKUP(BX579,βοηθητικό!$J$2:$N$354,3,FALSE))</f>
        <v>_</v>
      </c>
      <c r="BZ579" s="44"/>
      <c r="CA579" s="45" t="s">
        <v>16</v>
      </c>
      <c r="CB579" s="46" t="str">
        <f>IF(VLOOKUP(CA579,βοηθητικό!$J$2:$N$354,3,FALSE)="","",VLOOKUP(CA579,βοηθητικό!$J$2:$N$354,3,FALSE))</f>
        <v>_</v>
      </c>
      <c r="CC579" s="47"/>
      <c r="CD579" s="42" t="s">
        <v>16</v>
      </c>
      <c r="CE579" s="43" t="str">
        <f>IF(VLOOKUP(CD579,βοηθητικό!$J$2:$N$354,3,FALSE)="","",VLOOKUP(CD579,βοηθητικό!$J$2:$N$354,3,FALSE))</f>
        <v>_</v>
      </c>
      <c r="CF579" s="44"/>
      <c r="CG579" s="45" t="s">
        <v>16</v>
      </c>
      <c r="CH579" s="46" t="str">
        <f>IF(VLOOKUP(CG579,βοηθητικό!$J$2:$N$354,3,FALSE)="","",VLOOKUP(CG579,βοηθητικό!$J$2:$N$354,3,FALSE))</f>
        <v>_</v>
      </c>
      <c r="CI579" s="47"/>
      <c r="CJ579" s="42" t="s">
        <v>16</v>
      </c>
      <c r="CK579" s="43" t="str">
        <f>IF(VLOOKUP(CJ579,βοηθητικό!$J$2:$N$354,3,FALSE)="","",VLOOKUP(CJ579,βοηθητικό!$J$2:$N$354,3,FALSE))</f>
        <v>_</v>
      </c>
      <c r="CL579" s="44"/>
      <c r="CM579" s="45" t="s">
        <v>16</v>
      </c>
      <c r="CN579" s="46" t="str">
        <f>IF(VLOOKUP(CM579,βοηθητικό!$J$2:$N$354,3,FALSE)="","",VLOOKUP(CM579,βοηθητικό!$J$2:$N$354,3,FALSE))</f>
        <v>_</v>
      </c>
      <c r="CO579" s="47"/>
      <c r="CP579" s="42" t="s">
        <v>16</v>
      </c>
      <c r="CQ579" s="43" t="str">
        <f>IF(VLOOKUP(CP579,βοηθητικό!$J$2:$N$354,3,FALSE)="","",VLOOKUP(CP579,βοηθητικό!$J$2:$N$354,3,FALSE))</f>
        <v>_</v>
      </c>
      <c r="CR579" s="44"/>
      <c r="CS579" s="45" t="s">
        <v>16</v>
      </c>
      <c r="CT579" s="46" t="str">
        <f>IF(VLOOKUP(CS579,βοηθητικό!$J$2:$N$354,3,FALSE)="","",VLOOKUP(CS579,βοηθητικό!$J$2:$N$354,3,FALSE))</f>
        <v>_</v>
      </c>
      <c r="CU579" s="47"/>
    </row>
    <row r="580" spans="1:99" x14ac:dyDescent="0.25">
      <c r="A580" s="37">
        <f>--SUBTOTAL(3,$B$3:B579)</f>
        <v>198</v>
      </c>
      <c r="B580" s="2"/>
      <c r="C580" s="3"/>
      <c r="D580" s="55" t="s">
        <v>18</v>
      </c>
      <c r="E580" s="38" t="s">
        <v>16</v>
      </c>
      <c r="F580" s="38"/>
      <c r="G580" s="39" t="str">
        <f t="shared" ref="G580:G643" si="29">IF(OR(C580="_",E580="_"),"__",CONCATENATE(C580,E580))</f>
        <v>__</v>
      </c>
      <c r="H580" s="40" t="str">
        <f t="shared" ref="H580:H643" si="30">IF(G580="__","FALSE",COUNTIF(G:G,G580)&gt;1)</f>
        <v>FALSE</v>
      </c>
      <c r="I580" s="41">
        <f t="shared" ref="I580:I643" si="31">SUMPRODUCT((J580:CU580&lt;&gt;"_")*(MOD(COLUMN(J580:CU580)-COLUMN(J580),3)=0))</f>
        <v>0</v>
      </c>
      <c r="J580" s="4" t="s">
        <v>16</v>
      </c>
      <c r="K580" s="43" t="str">
        <f>IF(VLOOKUP(J580,βοηθητικό!$J$2:$N$354,3,FALSE)="","",VLOOKUP(J580,βοηθητικό!$J$2:$N$354,3,FALSE))</f>
        <v>_</v>
      </c>
      <c r="L580" s="44"/>
      <c r="M580" s="5" t="s">
        <v>16</v>
      </c>
      <c r="N580" s="46" t="str">
        <f>IF(VLOOKUP(M580,βοηθητικό!$J$2:$N$354,3,FALSE)="","",VLOOKUP(M580,βοηθητικό!$J$2:$N$354,3,FALSE))</f>
        <v>_</v>
      </c>
      <c r="O580" s="47"/>
      <c r="P580" s="4" t="s">
        <v>16</v>
      </c>
      <c r="Q580" s="43" t="str">
        <f>IF(VLOOKUP(P580,βοηθητικό!$J$2:$N$354,3,FALSE)="","",VLOOKUP(P580,βοηθητικό!$J$2:$N$354,3,FALSE))</f>
        <v>_</v>
      </c>
      <c r="R580" s="44"/>
      <c r="S580" s="5" t="s">
        <v>16</v>
      </c>
      <c r="T580" s="46" t="str">
        <f>IF(VLOOKUP(S580,βοηθητικό!$J$2:$N$354,3,FALSE)="","",VLOOKUP(S580,βοηθητικό!$J$2:$N$354,3,FALSE))</f>
        <v>_</v>
      </c>
      <c r="U580" s="47"/>
      <c r="V580" s="4" t="s">
        <v>16</v>
      </c>
      <c r="W580" s="43" t="str">
        <f>IF(VLOOKUP(V580,βοηθητικό!$J$2:$N$354,3,FALSE)="","",VLOOKUP(V580,βοηθητικό!$J$2:$N$354,3,FALSE))</f>
        <v>_</v>
      </c>
      <c r="X580" s="44"/>
      <c r="Y580" s="5" t="s">
        <v>16</v>
      </c>
      <c r="Z580" s="46" t="str">
        <f>IF(VLOOKUP(Y580,βοηθητικό!$J$2:$N$354,3,FALSE)="","",VLOOKUP(Y580,βοηθητικό!$J$2:$N$354,3,FALSE))</f>
        <v>_</v>
      </c>
      <c r="AA580" s="47"/>
      <c r="AB580" s="4" t="s">
        <v>16</v>
      </c>
      <c r="AC580" s="43" t="str">
        <f>IF(VLOOKUP(AB580,βοηθητικό!$J$2:$N$354,3,FALSE)="","",VLOOKUP(AB580,βοηθητικό!$J$2:$N$354,3,FALSE))</f>
        <v>_</v>
      </c>
      <c r="AD580" s="44"/>
      <c r="AE580" s="5" t="s">
        <v>16</v>
      </c>
      <c r="AF580" s="46" t="str">
        <f>IF(VLOOKUP(AE580,βοηθητικό!$J$2:$N$354,3,FALSE)="","",VLOOKUP(AE580,βοηθητικό!$J$2:$N$354,3,FALSE))</f>
        <v>_</v>
      </c>
      <c r="AG580" s="47"/>
      <c r="AH580" s="4" t="s">
        <v>16</v>
      </c>
      <c r="AI580" s="43" t="str">
        <f>IF(VLOOKUP(AH580,βοηθητικό!$J$2:$N$354,3,FALSE)="","",VLOOKUP(AH580,βοηθητικό!$J$2:$N$354,3,FALSE))</f>
        <v>_</v>
      </c>
      <c r="AJ580" s="44"/>
      <c r="AK580" s="5" t="s">
        <v>16</v>
      </c>
      <c r="AL580" s="46" t="str">
        <f>IF(VLOOKUP(AK580,βοηθητικό!$J$2:$N$354,3,FALSE)="","",VLOOKUP(AK580,βοηθητικό!$J$2:$N$354,3,FALSE))</f>
        <v>_</v>
      </c>
      <c r="AM580" s="47"/>
      <c r="AN580" s="4" t="s">
        <v>16</v>
      </c>
      <c r="AO580" s="43" t="str">
        <f>IF(VLOOKUP(AN580,βοηθητικό!$J$2:$N$354,3,FALSE)="","",VLOOKUP(AN580,βοηθητικό!$J$2:$N$354,3,FALSE))</f>
        <v>_</v>
      </c>
      <c r="AP580" s="44"/>
      <c r="AQ580" s="5" t="s">
        <v>16</v>
      </c>
      <c r="AR580" s="46" t="str">
        <f>IF(VLOOKUP(AQ580,βοηθητικό!$J$2:$N$354,3,FALSE)="","",VLOOKUP(AQ580,βοηθητικό!$J$2:$N$354,3,FALSE))</f>
        <v>_</v>
      </c>
      <c r="AS580" s="47"/>
      <c r="AT580" s="4" t="s">
        <v>16</v>
      </c>
      <c r="AU580" s="43" t="str">
        <f>IF(VLOOKUP(AT580,βοηθητικό!$J$2:$N$354,3,FALSE)="","",VLOOKUP(AT580,βοηθητικό!$J$2:$N$354,3,FALSE))</f>
        <v>_</v>
      </c>
      <c r="AV580" s="44"/>
      <c r="AW580" s="5" t="s">
        <v>16</v>
      </c>
      <c r="AX580" s="46" t="str">
        <f>IF(VLOOKUP(AW580,βοηθητικό!$J$2:$N$354,3,FALSE)="","",VLOOKUP(AW580,βοηθητικό!$J$2:$N$354,3,FALSE))</f>
        <v>_</v>
      </c>
      <c r="AY580" s="47"/>
      <c r="AZ580" s="4" t="s">
        <v>16</v>
      </c>
      <c r="BA580" s="43" t="str">
        <f>IF(VLOOKUP(AZ580,βοηθητικό!$J$2:$N$354,3,FALSE)="","",VLOOKUP(AZ580,βοηθητικό!$J$2:$N$354,3,FALSE))</f>
        <v>_</v>
      </c>
      <c r="BB580" s="44"/>
      <c r="BC580" s="45" t="s">
        <v>16</v>
      </c>
      <c r="BD580" s="46" t="str">
        <f>IF(VLOOKUP(BC580,βοηθητικό!$J$2:$N$354,3,FALSE)="","",VLOOKUP(BC580,βοηθητικό!$J$2:$N$354,3,FALSE))</f>
        <v>_</v>
      </c>
      <c r="BE580" s="47"/>
      <c r="BF580" s="42" t="s">
        <v>16</v>
      </c>
      <c r="BG580" s="43" t="str">
        <f>IF(VLOOKUP(BF580,βοηθητικό!$J$2:$N$354,3,FALSE)="","",VLOOKUP(BF580,βοηθητικό!$J$2:$N$354,3,FALSE))</f>
        <v>_</v>
      </c>
      <c r="BH580" s="44"/>
      <c r="BI580" s="45" t="s">
        <v>16</v>
      </c>
      <c r="BJ580" s="46" t="str">
        <f>IF(VLOOKUP(BI580,βοηθητικό!$J$2:$N$354,3,FALSE)="","",VLOOKUP(BI580,βοηθητικό!$J$2:$N$354,3,FALSE))</f>
        <v>_</v>
      </c>
      <c r="BK580" s="47"/>
      <c r="BL580" s="42" t="s">
        <v>16</v>
      </c>
      <c r="BM580" s="43" t="str">
        <f>IF(VLOOKUP(BL580,βοηθητικό!$J$2:$N$354,3,FALSE)="","",VLOOKUP(BL580,βοηθητικό!$J$2:$N$354,3,FALSE))</f>
        <v>_</v>
      </c>
      <c r="BN580" s="44"/>
      <c r="BO580" s="45" t="s">
        <v>16</v>
      </c>
      <c r="BP580" s="46" t="str">
        <f>IF(VLOOKUP(BO580,βοηθητικό!$J$2:$N$354,3,FALSE)="","",VLOOKUP(BO580,βοηθητικό!$J$2:$N$354,3,FALSE))</f>
        <v>_</v>
      </c>
      <c r="BQ580" s="47"/>
      <c r="BR580" s="42" t="s">
        <v>16</v>
      </c>
      <c r="BS580" s="43" t="str">
        <f>IF(VLOOKUP(BR580,βοηθητικό!$J$2:$N$354,3,FALSE)="","",VLOOKUP(BR580,βοηθητικό!$J$2:$N$354,3,FALSE))</f>
        <v>_</v>
      </c>
      <c r="BT580" s="44"/>
      <c r="BU580" s="45" t="s">
        <v>16</v>
      </c>
      <c r="BV580" s="46" t="str">
        <f>IF(VLOOKUP(BU580,βοηθητικό!$J$2:$N$354,3,FALSE)="","",VLOOKUP(BU580,βοηθητικό!$J$2:$N$354,3,FALSE))</f>
        <v>_</v>
      </c>
      <c r="BW580" s="47"/>
      <c r="BX580" s="42" t="s">
        <v>16</v>
      </c>
      <c r="BY580" s="43" t="str">
        <f>IF(VLOOKUP(BX580,βοηθητικό!$J$2:$N$354,3,FALSE)="","",VLOOKUP(BX580,βοηθητικό!$J$2:$N$354,3,FALSE))</f>
        <v>_</v>
      </c>
      <c r="BZ580" s="44"/>
      <c r="CA580" s="45" t="s">
        <v>16</v>
      </c>
      <c r="CB580" s="46" t="str">
        <f>IF(VLOOKUP(CA580,βοηθητικό!$J$2:$N$354,3,FALSE)="","",VLOOKUP(CA580,βοηθητικό!$J$2:$N$354,3,FALSE))</f>
        <v>_</v>
      </c>
      <c r="CC580" s="47"/>
      <c r="CD580" s="42" t="s">
        <v>16</v>
      </c>
      <c r="CE580" s="43" t="str">
        <f>IF(VLOOKUP(CD580,βοηθητικό!$J$2:$N$354,3,FALSE)="","",VLOOKUP(CD580,βοηθητικό!$J$2:$N$354,3,FALSE))</f>
        <v>_</v>
      </c>
      <c r="CF580" s="44"/>
      <c r="CG580" s="45" t="s">
        <v>16</v>
      </c>
      <c r="CH580" s="46" t="str">
        <f>IF(VLOOKUP(CG580,βοηθητικό!$J$2:$N$354,3,FALSE)="","",VLOOKUP(CG580,βοηθητικό!$J$2:$N$354,3,FALSE))</f>
        <v>_</v>
      </c>
      <c r="CI580" s="47"/>
      <c r="CJ580" s="42" t="s">
        <v>16</v>
      </c>
      <c r="CK580" s="43" t="str">
        <f>IF(VLOOKUP(CJ580,βοηθητικό!$J$2:$N$354,3,FALSE)="","",VLOOKUP(CJ580,βοηθητικό!$J$2:$N$354,3,FALSE))</f>
        <v>_</v>
      </c>
      <c r="CL580" s="44"/>
      <c r="CM580" s="45" t="s">
        <v>16</v>
      </c>
      <c r="CN580" s="46" t="str">
        <f>IF(VLOOKUP(CM580,βοηθητικό!$J$2:$N$354,3,FALSE)="","",VLOOKUP(CM580,βοηθητικό!$J$2:$N$354,3,FALSE))</f>
        <v>_</v>
      </c>
      <c r="CO580" s="47"/>
      <c r="CP580" s="42" t="s">
        <v>16</v>
      </c>
      <c r="CQ580" s="43" t="str">
        <f>IF(VLOOKUP(CP580,βοηθητικό!$J$2:$N$354,3,FALSE)="","",VLOOKUP(CP580,βοηθητικό!$J$2:$N$354,3,FALSE))</f>
        <v>_</v>
      </c>
      <c r="CR580" s="44"/>
      <c r="CS580" s="45" t="s">
        <v>16</v>
      </c>
      <c r="CT580" s="46" t="str">
        <f>IF(VLOOKUP(CS580,βοηθητικό!$J$2:$N$354,3,FALSE)="","",VLOOKUP(CS580,βοηθητικό!$J$2:$N$354,3,FALSE))</f>
        <v>_</v>
      </c>
      <c r="CU580" s="47"/>
    </row>
    <row r="581" spans="1:99" x14ac:dyDescent="0.25">
      <c r="A581" s="37">
        <f>--SUBTOTAL(3,$B$3:B580)</f>
        <v>198</v>
      </c>
      <c r="B581" s="2"/>
      <c r="C581" s="3"/>
      <c r="D581" s="55" t="s">
        <v>18</v>
      </c>
      <c r="E581" s="38" t="s">
        <v>16</v>
      </c>
      <c r="F581" s="38"/>
      <c r="G581" s="39" t="str">
        <f t="shared" si="29"/>
        <v>__</v>
      </c>
      <c r="H581" s="40" t="str">
        <f t="shared" si="30"/>
        <v>FALSE</v>
      </c>
      <c r="I581" s="41">
        <f t="shared" si="31"/>
        <v>0</v>
      </c>
      <c r="J581" s="4" t="s">
        <v>16</v>
      </c>
      <c r="K581" s="43" t="str">
        <f>IF(VLOOKUP(J581,βοηθητικό!$J$2:$N$354,3,FALSE)="","",VLOOKUP(J581,βοηθητικό!$J$2:$N$354,3,FALSE))</f>
        <v>_</v>
      </c>
      <c r="L581" s="44"/>
      <c r="M581" s="5" t="s">
        <v>16</v>
      </c>
      <c r="N581" s="46" t="str">
        <f>IF(VLOOKUP(M581,βοηθητικό!$J$2:$N$354,3,FALSE)="","",VLOOKUP(M581,βοηθητικό!$J$2:$N$354,3,FALSE))</f>
        <v>_</v>
      </c>
      <c r="O581" s="47"/>
      <c r="P581" s="4" t="s">
        <v>16</v>
      </c>
      <c r="Q581" s="43" t="str">
        <f>IF(VLOOKUP(P581,βοηθητικό!$J$2:$N$354,3,FALSE)="","",VLOOKUP(P581,βοηθητικό!$J$2:$N$354,3,FALSE))</f>
        <v>_</v>
      </c>
      <c r="R581" s="44"/>
      <c r="S581" s="5" t="s">
        <v>16</v>
      </c>
      <c r="T581" s="46" t="str">
        <f>IF(VLOOKUP(S581,βοηθητικό!$J$2:$N$354,3,FALSE)="","",VLOOKUP(S581,βοηθητικό!$J$2:$N$354,3,FALSE))</f>
        <v>_</v>
      </c>
      <c r="U581" s="47"/>
      <c r="V581" s="4" t="s">
        <v>16</v>
      </c>
      <c r="W581" s="43" t="str">
        <f>IF(VLOOKUP(V581,βοηθητικό!$J$2:$N$354,3,FALSE)="","",VLOOKUP(V581,βοηθητικό!$J$2:$N$354,3,FALSE))</f>
        <v>_</v>
      </c>
      <c r="X581" s="44"/>
      <c r="Y581" s="5" t="s">
        <v>16</v>
      </c>
      <c r="Z581" s="46" t="str">
        <f>IF(VLOOKUP(Y581,βοηθητικό!$J$2:$N$354,3,FALSE)="","",VLOOKUP(Y581,βοηθητικό!$J$2:$N$354,3,FALSE))</f>
        <v>_</v>
      </c>
      <c r="AA581" s="47"/>
      <c r="AB581" s="4" t="s">
        <v>16</v>
      </c>
      <c r="AC581" s="43" t="str">
        <f>IF(VLOOKUP(AB581,βοηθητικό!$J$2:$N$354,3,FALSE)="","",VLOOKUP(AB581,βοηθητικό!$J$2:$N$354,3,FALSE))</f>
        <v>_</v>
      </c>
      <c r="AD581" s="44"/>
      <c r="AE581" s="5" t="s">
        <v>16</v>
      </c>
      <c r="AF581" s="46" t="str">
        <f>IF(VLOOKUP(AE581,βοηθητικό!$J$2:$N$354,3,FALSE)="","",VLOOKUP(AE581,βοηθητικό!$J$2:$N$354,3,FALSE))</f>
        <v>_</v>
      </c>
      <c r="AG581" s="47"/>
      <c r="AH581" s="4" t="s">
        <v>16</v>
      </c>
      <c r="AI581" s="43" t="str">
        <f>IF(VLOOKUP(AH581,βοηθητικό!$J$2:$N$354,3,FALSE)="","",VLOOKUP(AH581,βοηθητικό!$J$2:$N$354,3,FALSE))</f>
        <v>_</v>
      </c>
      <c r="AJ581" s="44"/>
      <c r="AK581" s="5" t="s">
        <v>16</v>
      </c>
      <c r="AL581" s="46" t="str">
        <f>IF(VLOOKUP(AK581,βοηθητικό!$J$2:$N$354,3,FALSE)="","",VLOOKUP(AK581,βοηθητικό!$J$2:$N$354,3,FALSE))</f>
        <v>_</v>
      </c>
      <c r="AM581" s="47"/>
      <c r="AN581" s="4" t="s">
        <v>16</v>
      </c>
      <c r="AO581" s="43" t="str">
        <f>IF(VLOOKUP(AN581,βοηθητικό!$J$2:$N$354,3,FALSE)="","",VLOOKUP(AN581,βοηθητικό!$J$2:$N$354,3,FALSE))</f>
        <v>_</v>
      </c>
      <c r="AP581" s="44"/>
      <c r="AQ581" s="5" t="s">
        <v>16</v>
      </c>
      <c r="AR581" s="46" t="str">
        <f>IF(VLOOKUP(AQ581,βοηθητικό!$J$2:$N$354,3,FALSE)="","",VLOOKUP(AQ581,βοηθητικό!$J$2:$N$354,3,FALSE))</f>
        <v>_</v>
      </c>
      <c r="AS581" s="47"/>
      <c r="AT581" s="4" t="s">
        <v>16</v>
      </c>
      <c r="AU581" s="43" t="str">
        <f>IF(VLOOKUP(AT581,βοηθητικό!$J$2:$N$354,3,FALSE)="","",VLOOKUP(AT581,βοηθητικό!$J$2:$N$354,3,FALSE))</f>
        <v>_</v>
      </c>
      <c r="AV581" s="44"/>
      <c r="AW581" s="5" t="s">
        <v>16</v>
      </c>
      <c r="AX581" s="46" t="str">
        <f>IF(VLOOKUP(AW581,βοηθητικό!$J$2:$N$354,3,FALSE)="","",VLOOKUP(AW581,βοηθητικό!$J$2:$N$354,3,FALSE))</f>
        <v>_</v>
      </c>
      <c r="AY581" s="47"/>
      <c r="AZ581" s="4" t="s">
        <v>16</v>
      </c>
      <c r="BA581" s="43" t="str">
        <f>IF(VLOOKUP(AZ581,βοηθητικό!$J$2:$N$354,3,FALSE)="","",VLOOKUP(AZ581,βοηθητικό!$J$2:$N$354,3,FALSE))</f>
        <v>_</v>
      </c>
      <c r="BB581" s="44"/>
      <c r="BC581" s="45" t="s">
        <v>16</v>
      </c>
      <c r="BD581" s="46" t="str">
        <f>IF(VLOOKUP(BC581,βοηθητικό!$J$2:$N$354,3,FALSE)="","",VLOOKUP(BC581,βοηθητικό!$J$2:$N$354,3,FALSE))</f>
        <v>_</v>
      </c>
      <c r="BE581" s="47"/>
      <c r="BF581" s="42" t="s">
        <v>16</v>
      </c>
      <c r="BG581" s="43" t="str">
        <f>IF(VLOOKUP(BF581,βοηθητικό!$J$2:$N$354,3,FALSE)="","",VLOOKUP(BF581,βοηθητικό!$J$2:$N$354,3,FALSE))</f>
        <v>_</v>
      </c>
      <c r="BH581" s="44"/>
      <c r="BI581" s="45" t="s">
        <v>16</v>
      </c>
      <c r="BJ581" s="46" t="str">
        <f>IF(VLOOKUP(BI581,βοηθητικό!$J$2:$N$354,3,FALSE)="","",VLOOKUP(BI581,βοηθητικό!$J$2:$N$354,3,FALSE))</f>
        <v>_</v>
      </c>
      <c r="BK581" s="47"/>
      <c r="BL581" s="42" t="s">
        <v>16</v>
      </c>
      <c r="BM581" s="43" t="str">
        <f>IF(VLOOKUP(BL581,βοηθητικό!$J$2:$N$354,3,FALSE)="","",VLOOKUP(BL581,βοηθητικό!$J$2:$N$354,3,FALSE))</f>
        <v>_</v>
      </c>
      <c r="BN581" s="44"/>
      <c r="BO581" s="45" t="s">
        <v>16</v>
      </c>
      <c r="BP581" s="46" t="str">
        <f>IF(VLOOKUP(BO581,βοηθητικό!$J$2:$N$354,3,FALSE)="","",VLOOKUP(BO581,βοηθητικό!$J$2:$N$354,3,FALSE))</f>
        <v>_</v>
      </c>
      <c r="BQ581" s="47"/>
      <c r="BR581" s="42" t="s">
        <v>16</v>
      </c>
      <c r="BS581" s="43" t="str">
        <f>IF(VLOOKUP(BR581,βοηθητικό!$J$2:$N$354,3,FALSE)="","",VLOOKUP(BR581,βοηθητικό!$J$2:$N$354,3,FALSE))</f>
        <v>_</v>
      </c>
      <c r="BT581" s="44"/>
      <c r="BU581" s="45" t="s">
        <v>16</v>
      </c>
      <c r="BV581" s="46" t="str">
        <f>IF(VLOOKUP(BU581,βοηθητικό!$J$2:$N$354,3,FALSE)="","",VLOOKUP(BU581,βοηθητικό!$J$2:$N$354,3,FALSE))</f>
        <v>_</v>
      </c>
      <c r="BW581" s="47"/>
      <c r="BX581" s="42" t="s">
        <v>16</v>
      </c>
      <c r="BY581" s="43" t="str">
        <f>IF(VLOOKUP(BX581,βοηθητικό!$J$2:$N$354,3,FALSE)="","",VLOOKUP(BX581,βοηθητικό!$J$2:$N$354,3,FALSE))</f>
        <v>_</v>
      </c>
      <c r="BZ581" s="44"/>
      <c r="CA581" s="45" t="s">
        <v>16</v>
      </c>
      <c r="CB581" s="46" t="str">
        <f>IF(VLOOKUP(CA581,βοηθητικό!$J$2:$N$354,3,FALSE)="","",VLOOKUP(CA581,βοηθητικό!$J$2:$N$354,3,FALSE))</f>
        <v>_</v>
      </c>
      <c r="CC581" s="47"/>
      <c r="CD581" s="42" t="s">
        <v>16</v>
      </c>
      <c r="CE581" s="43" t="str">
        <f>IF(VLOOKUP(CD581,βοηθητικό!$J$2:$N$354,3,FALSE)="","",VLOOKUP(CD581,βοηθητικό!$J$2:$N$354,3,FALSE))</f>
        <v>_</v>
      </c>
      <c r="CF581" s="44"/>
      <c r="CG581" s="45" t="s">
        <v>16</v>
      </c>
      <c r="CH581" s="46" t="str">
        <f>IF(VLOOKUP(CG581,βοηθητικό!$J$2:$N$354,3,FALSE)="","",VLOOKUP(CG581,βοηθητικό!$J$2:$N$354,3,FALSE))</f>
        <v>_</v>
      </c>
      <c r="CI581" s="47"/>
      <c r="CJ581" s="42" t="s">
        <v>16</v>
      </c>
      <c r="CK581" s="43" t="str">
        <f>IF(VLOOKUP(CJ581,βοηθητικό!$J$2:$N$354,3,FALSE)="","",VLOOKUP(CJ581,βοηθητικό!$J$2:$N$354,3,FALSE))</f>
        <v>_</v>
      </c>
      <c r="CL581" s="44"/>
      <c r="CM581" s="45" t="s">
        <v>16</v>
      </c>
      <c r="CN581" s="46" t="str">
        <f>IF(VLOOKUP(CM581,βοηθητικό!$J$2:$N$354,3,FALSE)="","",VLOOKUP(CM581,βοηθητικό!$J$2:$N$354,3,FALSE))</f>
        <v>_</v>
      </c>
      <c r="CO581" s="47"/>
      <c r="CP581" s="42" t="s">
        <v>16</v>
      </c>
      <c r="CQ581" s="43" t="str">
        <f>IF(VLOOKUP(CP581,βοηθητικό!$J$2:$N$354,3,FALSE)="","",VLOOKUP(CP581,βοηθητικό!$J$2:$N$354,3,FALSE))</f>
        <v>_</v>
      </c>
      <c r="CR581" s="44"/>
      <c r="CS581" s="45" t="s">
        <v>16</v>
      </c>
      <c r="CT581" s="46" t="str">
        <f>IF(VLOOKUP(CS581,βοηθητικό!$J$2:$N$354,3,FALSE)="","",VLOOKUP(CS581,βοηθητικό!$J$2:$N$354,3,FALSE))</f>
        <v>_</v>
      </c>
      <c r="CU581" s="47"/>
    </row>
    <row r="582" spans="1:99" x14ac:dyDescent="0.25">
      <c r="A582" s="37">
        <f>--SUBTOTAL(3,$B$3:B581)</f>
        <v>198</v>
      </c>
      <c r="B582" s="2"/>
      <c r="C582" s="3"/>
      <c r="D582" s="55" t="s">
        <v>18</v>
      </c>
      <c r="E582" s="38" t="s">
        <v>16</v>
      </c>
      <c r="F582" s="38"/>
      <c r="G582" s="39" t="str">
        <f t="shared" si="29"/>
        <v>__</v>
      </c>
      <c r="H582" s="40" t="str">
        <f t="shared" si="30"/>
        <v>FALSE</v>
      </c>
      <c r="I582" s="41">
        <f t="shared" si="31"/>
        <v>0</v>
      </c>
      <c r="J582" s="4" t="s">
        <v>16</v>
      </c>
      <c r="K582" s="43" t="str">
        <f>IF(VLOOKUP(J582,βοηθητικό!$J$2:$N$354,3,FALSE)="","",VLOOKUP(J582,βοηθητικό!$J$2:$N$354,3,FALSE))</f>
        <v>_</v>
      </c>
      <c r="L582" s="44"/>
      <c r="M582" s="5" t="s">
        <v>16</v>
      </c>
      <c r="N582" s="46" t="str">
        <f>IF(VLOOKUP(M582,βοηθητικό!$J$2:$N$354,3,FALSE)="","",VLOOKUP(M582,βοηθητικό!$J$2:$N$354,3,FALSE))</f>
        <v>_</v>
      </c>
      <c r="O582" s="47"/>
      <c r="P582" s="4" t="s">
        <v>16</v>
      </c>
      <c r="Q582" s="43" t="str">
        <f>IF(VLOOKUP(P582,βοηθητικό!$J$2:$N$354,3,FALSE)="","",VLOOKUP(P582,βοηθητικό!$J$2:$N$354,3,FALSE))</f>
        <v>_</v>
      </c>
      <c r="R582" s="44"/>
      <c r="S582" s="5" t="s">
        <v>16</v>
      </c>
      <c r="T582" s="46" t="str">
        <f>IF(VLOOKUP(S582,βοηθητικό!$J$2:$N$354,3,FALSE)="","",VLOOKUP(S582,βοηθητικό!$J$2:$N$354,3,FALSE))</f>
        <v>_</v>
      </c>
      <c r="U582" s="47"/>
      <c r="V582" s="4" t="s">
        <v>16</v>
      </c>
      <c r="W582" s="43" t="str">
        <f>IF(VLOOKUP(V582,βοηθητικό!$J$2:$N$354,3,FALSE)="","",VLOOKUP(V582,βοηθητικό!$J$2:$N$354,3,FALSE))</f>
        <v>_</v>
      </c>
      <c r="X582" s="44"/>
      <c r="Y582" s="5" t="s">
        <v>16</v>
      </c>
      <c r="Z582" s="46" t="str">
        <f>IF(VLOOKUP(Y582,βοηθητικό!$J$2:$N$354,3,FALSE)="","",VLOOKUP(Y582,βοηθητικό!$J$2:$N$354,3,FALSE))</f>
        <v>_</v>
      </c>
      <c r="AA582" s="47"/>
      <c r="AB582" s="4" t="s">
        <v>16</v>
      </c>
      <c r="AC582" s="43" t="str">
        <f>IF(VLOOKUP(AB582,βοηθητικό!$J$2:$N$354,3,FALSE)="","",VLOOKUP(AB582,βοηθητικό!$J$2:$N$354,3,FALSE))</f>
        <v>_</v>
      </c>
      <c r="AD582" s="44"/>
      <c r="AE582" s="5" t="s">
        <v>16</v>
      </c>
      <c r="AF582" s="46" t="str">
        <f>IF(VLOOKUP(AE582,βοηθητικό!$J$2:$N$354,3,FALSE)="","",VLOOKUP(AE582,βοηθητικό!$J$2:$N$354,3,FALSE))</f>
        <v>_</v>
      </c>
      <c r="AG582" s="47"/>
      <c r="AH582" s="4" t="s">
        <v>16</v>
      </c>
      <c r="AI582" s="43" t="str">
        <f>IF(VLOOKUP(AH582,βοηθητικό!$J$2:$N$354,3,FALSE)="","",VLOOKUP(AH582,βοηθητικό!$J$2:$N$354,3,FALSE))</f>
        <v>_</v>
      </c>
      <c r="AJ582" s="44"/>
      <c r="AK582" s="5" t="s">
        <v>16</v>
      </c>
      <c r="AL582" s="46" t="str">
        <f>IF(VLOOKUP(AK582,βοηθητικό!$J$2:$N$354,3,FALSE)="","",VLOOKUP(AK582,βοηθητικό!$J$2:$N$354,3,FALSE))</f>
        <v>_</v>
      </c>
      <c r="AM582" s="47"/>
      <c r="AN582" s="4" t="s">
        <v>16</v>
      </c>
      <c r="AO582" s="43" t="str">
        <f>IF(VLOOKUP(AN582,βοηθητικό!$J$2:$N$354,3,FALSE)="","",VLOOKUP(AN582,βοηθητικό!$J$2:$N$354,3,FALSE))</f>
        <v>_</v>
      </c>
      <c r="AP582" s="44"/>
      <c r="AQ582" s="5" t="s">
        <v>16</v>
      </c>
      <c r="AR582" s="46" t="str">
        <f>IF(VLOOKUP(AQ582,βοηθητικό!$J$2:$N$354,3,FALSE)="","",VLOOKUP(AQ582,βοηθητικό!$J$2:$N$354,3,FALSE))</f>
        <v>_</v>
      </c>
      <c r="AS582" s="47"/>
      <c r="AT582" s="4" t="s">
        <v>16</v>
      </c>
      <c r="AU582" s="43" t="str">
        <f>IF(VLOOKUP(AT582,βοηθητικό!$J$2:$N$354,3,FALSE)="","",VLOOKUP(AT582,βοηθητικό!$J$2:$N$354,3,FALSE))</f>
        <v>_</v>
      </c>
      <c r="AV582" s="44"/>
      <c r="AW582" s="5" t="s">
        <v>16</v>
      </c>
      <c r="AX582" s="46" t="str">
        <f>IF(VLOOKUP(AW582,βοηθητικό!$J$2:$N$354,3,FALSE)="","",VLOOKUP(AW582,βοηθητικό!$J$2:$N$354,3,FALSE))</f>
        <v>_</v>
      </c>
      <c r="AY582" s="47"/>
      <c r="AZ582" s="4" t="s">
        <v>16</v>
      </c>
      <c r="BA582" s="43" t="str">
        <f>IF(VLOOKUP(AZ582,βοηθητικό!$J$2:$N$354,3,FALSE)="","",VLOOKUP(AZ582,βοηθητικό!$J$2:$N$354,3,FALSE))</f>
        <v>_</v>
      </c>
      <c r="BB582" s="44"/>
      <c r="BC582" s="45" t="s">
        <v>16</v>
      </c>
      <c r="BD582" s="46" t="str">
        <f>IF(VLOOKUP(BC582,βοηθητικό!$J$2:$N$354,3,FALSE)="","",VLOOKUP(BC582,βοηθητικό!$J$2:$N$354,3,FALSE))</f>
        <v>_</v>
      </c>
      <c r="BE582" s="47"/>
      <c r="BF582" s="42" t="s">
        <v>16</v>
      </c>
      <c r="BG582" s="43" t="str">
        <f>IF(VLOOKUP(BF582,βοηθητικό!$J$2:$N$354,3,FALSE)="","",VLOOKUP(BF582,βοηθητικό!$J$2:$N$354,3,FALSE))</f>
        <v>_</v>
      </c>
      <c r="BH582" s="44"/>
      <c r="BI582" s="45" t="s">
        <v>16</v>
      </c>
      <c r="BJ582" s="46" t="str">
        <f>IF(VLOOKUP(BI582,βοηθητικό!$J$2:$N$354,3,FALSE)="","",VLOOKUP(BI582,βοηθητικό!$J$2:$N$354,3,FALSE))</f>
        <v>_</v>
      </c>
      <c r="BK582" s="47"/>
      <c r="BL582" s="42" t="s">
        <v>16</v>
      </c>
      <c r="BM582" s="43" t="str">
        <f>IF(VLOOKUP(BL582,βοηθητικό!$J$2:$N$354,3,FALSE)="","",VLOOKUP(BL582,βοηθητικό!$J$2:$N$354,3,FALSE))</f>
        <v>_</v>
      </c>
      <c r="BN582" s="44"/>
      <c r="BO582" s="45" t="s">
        <v>16</v>
      </c>
      <c r="BP582" s="46" t="str">
        <f>IF(VLOOKUP(BO582,βοηθητικό!$J$2:$N$354,3,FALSE)="","",VLOOKUP(BO582,βοηθητικό!$J$2:$N$354,3,FALSE))</f>
        <v>_</v>
      </c>
      <c r="BQ582" s="47"/>
      <c r="BR582" s="42" t="s">
        <v>16</v>
      </c>
      <c r="BS582" s="43" t="str">
        <f>IF(VLOOKUP(BR582,βοηθητικό!$J$2:$N$354,3,FALSE)="","",VLOOKUP(BR582,βοηθητικό!$J$2:$N$354,3,FALSE))</f>
        <v>_</v>
      </c>
      <c r="BT582" s="44"/>
      <c r="BU582" s="45" t="s">
        <v>16</v>
      </c>
      <c r="BV582" s="46" t="str">
        <f>IF(VLOOKUP(BU582,βοηθητικό!$J$2:$N$354,3,FALSE)="","",VLOOKUP(BU582,βοηθητικό!$J$2:$N$354,3,FALSE))</f>
        <v>_</v>
      </c>
      <c r="BW582" s="47"/>
      <c r="BX582" s="42" t="s">
        <v>16</v>
      </c>
      <c r="BY582" s="43" t="str">
        <f>IF(VLOOKUP(BX582,βοηθητικό!$J$2:$N$354,3,FALSE)="","",VLOOKUP(BX582,βοηθητικό!$J$2:$N$354,3,FALSE))</f>
        <v>_</v>
      </c>
      <c r="BZ582" s="44"/>
      <c r="CA582" s="45" t="s">
        <v>16</v>
      </c>
      <c r="CB582" s="46" t="str">
        <f>IF(VLOOKUP(CA582,βοηθητικό!$J$2:$N$354,3,FALSE)="","",VLOOKUP(CA582,βοηθητικό!$J$2:$N$354,3,FALSE))</f>
        <v>_</v>
      </c>
      <c r="CC582" s="47"/>
      <c r="CD582" s="42" t="s">
        <v>16</v>
      </c>
      <c r="CE582" s="43" t="str">
        <f>IF(VLOOKUP(CD582,βοηθητικό!$J$2:$N$354,3,FALSE)="","",VLOOKUP(CD582,βοηθητικό!$J$2:$N$354,3,FALSE))</f>
        <v>_</v>
      </c>
      <c r="CF582" s="44"/>
      <c r="CG582" s="45" t="s">
        <v>16</v>
      </c>
      <c r="CH582" s="46" t="str">
        <f>IF(VLOOKUP(CG582,βοηθητικό!$J$2:$N$354,3,FALSE)="","",VLOOKUP(CG582,βοηθητικό!$J$2:$N$354,3,FALSE))</f>
        <v>_</v>
      </c>
      <c r="CI582" s="47"/>
      <c r="CJ582" s="42" t="s">
        <v>16</v>
      </c>
      <c r="CK582" s="43" t="str">
        <f>IF(VLOOKUP(CJ582,βοηθητικό!$J$2:$N$354,3,FALSE)="","",VLOOKUP(CJ582,βοηθητικό!$J$2:$N$354,3,FALSE))</f>
        <v>_</v>
      </c>
      <c r="CL582" s="44"/>
      <c r="CM582" s="45" t="s">
        <v>16</v>
      </c>
      <c r="CN582" s="46" t="str">
        <f>IF(VLOOKUP(CM582,βοηθητικό!$J$2:$N$354,3,FALSE)="","",VLOOKUP(CM582,βοηθητικό!$J$2:$N$354,3,FALSE))</f>
        <v>_</v>
      </c>
      <c r="CO582" s="47"/>
      <c r="CP582" s="42" t="s">
        <v>16</v>
      </c>
      <c r="CQ582" s="43" t="str">
        <f>IF(VLOOKUP(CP582,βοηθητικό!$J$2:$N$354,3,FALSE)="","",VLOOKUP(CP582,βοηθητικό!$J$2:$N$354,3,FALSE))</f>
        <v>_</v>
      </c>
      <c r="CR582" s="44"/>
      <c r="CS582" s="45" t="s">
        <v>16</v>
      </c>
      <c r="CT582" s="46" t="str">
        <f>IF(VLOOKUP(CS582,βοηθητικό!$J$2:$N$354,3,FALSE)="","",VLOOKUP(CS582,βοηθητικό!$J$2:$N$354,3,FALSE))</f>
        <v>_</v>
      </c>
      <c r="CU582" s="47"/>
    </row>
    <row r="583" spans="1:99" x14ac:dyDescent="0.25">
      <c r="A583" s="37">
        <f>--SUBTOTAL(3,$B$3:B582)</f>
        <v>198</v>
      </c>
      <c r="B583" s="2"/>
      <c r="C583" s="3"/>
      <c r="D583" s="55" t="s">
        <v>18</v>
      </c>
      <c r="E583" s="38" t="s">
        <v>16</v>
      </c>
      <c r="F583" s="38"/>
      <c r="G583" s="39" t="str">
        <f t="shared" si="29"/>
        <v>__</v>
      </c>
      <c r="H583" s="40" t="str">
        <f t="shared" si="30"/>
        <v>FALSE</v>
      </c>
      <c r="I583" s="41">
        <f t="shared" si="31"/>
        <v>0</v>
      </c>
      <c r="J583" s="4" t="s">
        <v>16</v>
      </c>
      <c r="K583" s="43" t="str">
        <f>IF(VLOOKUP(J583,βοηθητικό!$J$2:$N$354,3,FALSE)="","",VLOOKUP(J583,βοηθητικό!$J$2:$N$354,3,FALSE))</f>
        <v>_</v>
      </c>
      <c r="L583" s="44"/>
      <c r="M583" s="5" t="s">
        <v>16</v>
      </c>
      <c r="N583" s="46" t="str">
        <f>IF(VLOOKUP(M583,βοηθητικό!$J$2:$N$354,3,FALSE)="","",VLOOKUP(M583,βοηθητικό!$J$2:$N$354,3,FALSE))</f>
        <v>_</v>
      </c>
      <c r="O583" s="47"/>
      <c r="P583" s="4" t="s">
        <v>16</v>
      </c>
      <c r="Q583" s="43" t="str">
        <f>IF(VLOOKUP(P583,βοηθητικό!$J$2:$N$354,3,FALSE)="","",VLOOKUP(P583,βοηθητικό!$J$2:$N$354,3,FALSE))</f>
        <v>_</v>
      </c>
      <c r="R583" s="44"/>
      <c r="S583" s="5" t="s">
        <v>16</v>
      </c>
      <c r="T583" s="46" t="str">
        <f>IF(VLOOKUP(S583,βοηθητικό!$J$2:$N$354,3,FALSE)="","",VLOOKUP(S583,βοηθητικό!$J$2:$N$354,3,FALSE))</f>
        <v>_</v>
      </c>
      <c r="U583" s="47"/>
      <c r="V583" s="4" t="s">
        <v>16</v>
      </c>
      <c r="W583" s="43" t="str">
        <f>IF(VLOOKUP(V583,βοηθητικό!$J$2:$N$354,3,FALSE)="","",VLOOKUP(V583,βοηθητικό!$J$2:$N$354,3,FALSE))</f>
        <v>_</v>
      </c>
      <c r="X583" s="44"/>
      <c r="Y583" s="5" t="s">
        <v>16</v>
      </c>
      <c r="Z583" s="46" t="str">
        <f>IF(VLOOKUP(Y583,βοηθητικό!$J$2:$N$354,3,FALSE)="","",VLOOKUP(Y583,βοηθητικό!$J$2:$N$354,3,FALSE))</f>
        <v>_</v>
      </c>
      <c r="AA583" s="47"/>
      <c r="AB583" s="4" t="s">
        <v>16</v>
      </c>
      <c r="AC583" s="43" t="str">
        <f>IF(VLOOKUP(AB583,βοηθητικό!$J$2:$N$354,3,FALSE)="","",VLOOKUP(AB583,βοηθητικό!$J$2:$N$354,3,FALSE))</f>
        <v>_</v>
      </c>
      <c r="AD583" s="44"/>
      <c r="AE583" s="5" t="s">
        <v>16</v>
      </c>
      <c r="AF583" s="46" t="str">
        <f>IF(VLOOKUP(AE583,βοηθητικό!$J$2:$N$354,3,FALSE)="","",VLOOKUP(AE583,βοηθητικό!$J$2:$N$354,3,FALSE))</f>
        <v>_</v>
      </c>
      <c r="AG583" s="47"/>
      <c r="AH583" s="4" t="s">
        <v>16</v>
      </c>
      <c r="AI583" s="43" t="str">
        <f>IF(VLOOKUP(AH583,βοηθητικό!$J$2:$N$354,3,FALSE)="","",VLOOKUP(AH583,βοηθητικό!$J$2:$N$354,3,FALSE))</f>
        <v>_</v>
      </c>
      <c r="AJ583" s="44"/>
      <c r="AK583" s="5" t="s">
        <v>16</v>
      </c>
      <c r="AL583" s="46" t="str">
        <f>IF(VLOOKUP(AK583,βοηθητικό!$J$2:$N$354,3,FALSE)="","",VLOOKUP(AK583,βοηθητικό!$J$2:$N$354,3,FALSE))</f>
        <v>_</v>
      </c>
      <c r="AM583" s="47"/>
      <c r="AN583" s="4" t="s">
        <v>16</v>
      </c>
      <c r="AO583" s="43" t="str">
        <f>IF(VLOOKUP(AN583,βοηθητικό!$J$2:$N$354,3,FALSE)="","",VLOOKUP(AN583,βοηθητικό!$J$2:$N$354,3,FALSE))</f>
        <v>_</v>
      </c>
      <c r="AP583" s="44"/>
      <c r="AQ583" s="5" t="s">
        <v>16</v>
      </c>
      <c r="AR583" s="46" t="str">
        <f>IF(VLOOKUP(AQ583,βοηθητικό!$J$2:$N$354,3,FALSE)="","",VLOOKUP(AQ583,βοηθητικό!$J$2:$N$354,3,FALSE))</f>
        <v>_</v>
      </c>
      <c r="AS583" s="47"/>
      <c r="AT583" s="4" t="s">
        <v>16</v>
      </c>
      <c r="AU583" s="43" t="str">
        <f>IF(VLOOKUP(AT583,βοηθητικό!$J$2:$N$354,3,FALSE)="","",VLOOKUP(AT583,βοηθητικό!$J$2:$N$354,3,FALSE))</f>
        <v>_</v>
      </c>
      <c r="AV583" s="44"/>
      <c r="AW583" s="5" t="s">
        <v>16</v>
      </c>
      <c r="AX583" s="46" t="str">
        <f>IF(VLOOKUP(AW583,βοηθητικό!$J$2:$N$354,3,FALSE)="","",VLOOKUP(AW583,βοηθητικό!$J$2:$N$354,3,FALSE))</f>
        <v>_</v>
      </c>
      <c r="AY583" s="47"/>
      <c r="AZ583" s="4" t="s">
        <v>16</v>
      </c>
      <c r="BA583" s="43" t="str">
        <f>IF(VLOOKUP(AZ583,βοηθητικό!$J$2:$N$354,3,FALSE)="","",VLOOKUP(AZ583,βοηθητικό!$J$2:$N$354,3,FALSE))</f>
        <v>_</v>
      </c>
      <c r="BB583" s="44"/>
      <c r="BC583" s="45" t="s">
        <v>16</v>
      </c>
      <c r="BD583" s="46" t="str">
        <f>IF(VLOOKUP(BC583,βοηθητικό!$J$2:$N$354,3,FALSE)="","",VLOOKUP(BC583,βοηθητικό!$J$2:$N$354,3,FALSE))</f>
        <v>_</v>
      </c>
      <c r="BE583" s="47"/>
      <c r="BF583" s="42" t="s">
        <v>16</v>
      </c>
      <c r="BG583" s="43" t="str">
        <f>IF(VLOOKUP(BF583,βοηθητικό!$J$2:$N$354,3,FALSE)="","",VLOOKUP(BF583,βοηθητικό!$J$2:$N$354,3,FALSE))</f>
        <v>_</v>
      </c>
      <c r="BH583" s="44"/>
      <c r="BI583" s="45" t="s">
        <v>16</v>
      </c>
      <c r="BJ583" s="46" t="str">
        <f>IF(VLOOKUP(BI583,βοηθητικό!$J$2:$N$354,3,FALSE)="","",VLOOKUP(BI583,βοηθητικό!$J$2:$N$354,3,FALSE))</f>
        <v>_</v>
      </c>
      <c r="BK583" s="47"/>
      <c r="BL583" s="42" t="s">
        <v>16</v>
      </c>
      <c r="BM583" s="43" t="str">
        <f>IF(VLOOKUP(BL583,βοηθητικό!$J$2:$N$354,3,FALSE)="","",VLOOKUP(BL583,βοηθητικό!$J$2:$N$354,3,FALSE))</f>
        <v>_</v>
      </c>
      <c r="BN583" s="44"/>
      <c r="BO583" s="45" t="s">
        <v>16</v>
      </c>
      <c r="BP583" s="46" t="str">
        <f>IF(VLOOKUP(BO583,βοηθητικό!$J$2:$N$354,3,FALSE)="","",VLOOKUP(BO583,βοηθητικό!$J$2:$N$354,3,FALSE))</f>
        <v>_</v>
      </c>
      <c r="BQ583" s="47"/>
      <c r="BR583" s="42" t="s">
        <v>16</v>
      </c>
      <c r="BS583" s="43" t="str">
        <f>IF(VLOOKUP(BR583,βοηθητικό!$J$2:$N$354,3,FALSE)="","",VLOOKUP(BR583,βοηθητικό!$J$2:$N$354,3,FALSE))</f>
        <v>_</v>
      </c>
      <c r="BT583" s="44"/>
      <c r="BU583" s="45" t="s">
        <v>16</v>
      </c>
      <c r="BV583" s="46" t="str">
        <f>IF(VLOOKUP(BU583,βοηθητικό!$J$2:$N$354,3,FALSE)="","",VLOOKUP(BU583,βοηθητικό!$J$2:$N$354,3,FALSE))</f>
        <v>_</v>
      </c>
      <c r="BW583" s="47"/>
      <c r="BX583" s="42" t="s">
        <v>16</v>
      </c>
      <c r="BY583" s="43" t="str">
        <f>IF(VLOOKUP(BX583,βοηθητικό!$J$2:$N$354,3,FALSE)="","",VLOOKUP(BX583,βοηθητικό!$J$2:$N$354,3,FALSE))</f>
        <v>_</v>
      </c>
      <c r="BZ583" s="44"/>
      <c r="CA583" s="45" t="s">
        <v>16</v>
      </c>
      <c r="CB583" s="46" t="str">
        <f>IF(VLOOKUP(CA583,βοηθητικό!$J$2:$N$354,3,FALSE)="","",VLOOKUP(CA583,βοηθητικό!$J$2:$N$354,3,FALSE))</f>
        <v>_</v>
      </c>
      <c r="CC583" s="47"/>
      <c r="CD583" s="42" t="s">
        <v>16</v>
      </c>
      <c r="CE583" s="43" t="str">
        <f>IF(VLOOKUP(CD583,βοηθητικό!$J$2:$N$354,3,FALSE)="","",VLOOKUP(CD583,βοηθητικό!$J$2:$N$354,3,FALSE))</f>
        <v>_</v>
      </c>
      <c r="CF583" s="44"/>
      <c r="CG583" s="45" t="s">
        <v>16</v>
      </c>
      <c r="CH583" s="46" t="str">
        <f>IF(VLOOKUP(CG583,βοηθητικό!$J$2:$N$354,3,FALSE)="","",VLOOKUP(CG583,βοηθητικό!$J$2:$N$354,3,FALSE))</f>
        <v>_</v>
      </c>
      <c r="CI583" s="47"/>
      <c r="CJ583" s="42" t="s">
        <v>16</v>
      </c>
      <c r="CK583" s="43" t="str">
        <f>IF(VLOOKUP(CJ583,βοηθητικό!$J$2:$N$354,3,FALSE)="","",VLOOKUP(CJ583,βοηθητικό!$J$2:$N$354,3,FALSE))</f>
        <v>_</v>
      </c>
      <c r="CL583" s="44"/>
      <c r="CM583" s="45" t="s">
        <v>16</v>
      </c>
      <c r="CN583" s="46" t="str">
        <f>IF(VLOOKUP(CM583,βοηθητικό!$J$2:$N$354,3,FALSE)="","",VLOOKUP(CM583,βοηθητικό!$J$2:$N$354,3,FALSE))</f>
        <v>_</v>
      </c>
      <c r="CO583" s="47"/>
      <c r="CP583" s="42" t="s">
        <v>16</v>
      </c>
      <c r="CQ583" s="43" t="str">
        <f>IF(VLOOKUP(CP583,βοηθητικό!$J$2:$N$354,3,FALSE)="","",VLOOKUP(CP583,βοηθητικό!$J$2:$N$354,3,FALSE))</f>
        <v>_</v>
      </c>
      <c r="CR583" s="44"/>
      <c r="CS583" s="45" t="s">
        <v>16</v>
      </c>
      <c r="CT583" s="46" t="str">
        <f>IF(VLOOKUP(CS583,βοηθητικό!$J$2:$N$354,3,FALSE)="","",VLOOKUP(CS583,βοηθητικό!$J$2:$N$354,3,FALSE))</f>
        <v>_</v>
      </c>
      <c r="CU583" s="47"/>
    </row>
    <row r="584" spans="1:99" x14ac:dyDescent="0.25">
      <c r="A584" s="37">
        <f>--SUBTOTAL(3,$B$3:B583)</f>
        <v>198</v>
      </c>
      <c r="B584" s="2"/>
      <c r="C584" s="3"/>
      <c r="D584" s="55" t="s">
        <v>18</v>
      </c>
      <c r="E584" s="38" t="s">
        <v>16</v>
      </c>
      <c r="F584" s="38"/>
      <c r="G584" s="39" t="str">
        <f t="shared" si="29"/>
        <v>__</v>
      </c>
      <c r="H584" s="40" t="str">
        <f t="shared" si="30"/>
        <v>FALSE</v>
      </c>
      <c r="I584" s="41">
        <f t="shared" si="31"/>
        <v>0</v>
      </c>
      <c r="J584" s="4" t="s">
        <v>16</v>
      </c>
      <c r="K584" s="43" t="str">
        <f>IF(VLOOKUP(J584,βοηθητικό!$J$2:$N$354,3,FALSE)="","",VLOOKUP(J584,βοηθητικό!$J$2:$N$354,3,FALSE))</f>
        <v>_</v>
      </c>
      <c r="L584" s="44"/>
      <c r="M584" s="5" t="s">
        <v>16</v>
      </c>
      <c r="N584" s="46" t="str">
        <f>IF(VLOOKUP(M584,βοηθητικό!$J$2:$N$354,3,FALSE)="","",VLOOKUP(M584,βοηθητικό!$J$2:$N$354,3,FALSE))</f>
        <v>_</v>
      </c>
      <c r="O584" s="47"/>
      <c r="P584" s="4" t="s">
        <v>16</v>
      </c>
      <c r="Q584" s="43" t="str">
        <f>IF(VLOOKUP(P584,βοηθητικό!$J$2:$N$354,3,FALSE)="","",VLOOKUP(P584,βοηθητικό!$J$2:$N$354,3,FALSE))</f>
        <v>_</v>
      </c>
      <c r="R584" s="44"/>
      <c r="S584" s="5" t="s">
        <v>16</v>
      </c>
      <c r="T584" s="46" t="str">
        <f>IF(VLOOKUP(S584,βοηθητικό!$J$2:$N$354,3,FALSE)="","",VLOOKUP(S584,βοηθητικό!$J$2:$N$354,3,FALSE))</f>
        <v>_</v>
      </c>
      <c r="U584" s="47"/>
      <c r="V584" s="4" t="s">
        <v>16</v>
      </c>
      <c r="W584" s="43" t="str">
        <f>IF(VLOOKUP(V584,βοηθητικό!$J$2:$N$354,3,FALSE)="","",VLOOKUP(V584,βοηθητικό!$J$2:$N$354,3,FALSE))</f>
        <v>_</v>
      </c>
      <c r="X584" s="44"/>
      <c r="Y584" s="5" t="s">
        <v>16</v>
      </c>
      <c r="Z584" s="46" t="str">
        <f>IF(VLOOKUP(Y584,βοηθητικό!$J$2:$N$354,3,FALSE)="","",VLOOKUP(Y584,βοηθητικό!$J$2:$N$354,3,FALSE))</f>
        <v>_</v>
      </c>
      <c r="AA584" s="47"/>
      <c r="AB584" s="4" t="s">
        <v>16</v>
      </c>
      <c r="AC584" s="43" t="str">
        <f>IF(VLOOKUP(AB584,βοηθητικό!$J$2:$N$354,3,FALSE)="","",VLOOKUP(AB584,βοηθητικό!$J$2:$N$354,3,FALSE))</f>
        <v>_</v>
      </c>
      <c r="AD584" s="44"/>
      <c r="AE584" s="5" t="s">
        <v>16</v>
      </c>
      <c r="AF584" s="46" t="str">
        <f>IF(VLOOKUP(AE584,βοηθητικό!$J$2:$N$354,3,FALSE)="","",VLOOKUP(AE584,βοηθητικό!$J$2:$N$354,3,FALSE))</f>
        <v>_</v>
      </c>
      <c r="AG584" s="47"/>
      <c r="AH584" s="4" t="s">
        <v>16</v>
      </c>
      <c r="AI584" s="43" t="str">
        <f>IF(VLOOKUP(AH584,βοηθητικό!$J$2:$N$354,3,FALSE)="","",VLOOKUP(AH584,βοηθητικό!$J$2:$N$354,3,FALSE))</f>
        <v>_</v>
      </c>
      <c r="AJ584" s="44"/>
      <c r="AK584" s="5" t="s">
        <v>16</v>
      </c>
      <c r="AL584" s="46" t="str">
        <f>IF(VLOOKUP(AK584,βοηθητικό!$J$2:$N$354,3,FALSE)="","",VLOOKUP(AK584,βοηθητικό!$J$2:$N$354,3,FALSE))</f>
        <v>_</v>
      </c>
      <c r="AM584" s="47"/>
      <c r="AN584" s="4" t="s">
        <v>16</v>
      </c>
      <c r="AO584" s="43" t="str">
        <f>IF(VLOOKUP(AN584,βοηθητικό!$J$2:$N$354,3,FALSE)="","",VLOOKUP(AN584,βοηθητικό!$J$2:$N$354,3,FALSE))</f>
        <v>_</v>
      </c>
      <c r="AP584" s="44"/>
      <c r="AQ584" s="5" t="s">
        <v>16</v>
      </c>
      <c r="AR584" s="46" t="str">
        <f>IF(VLOOKUP(AQ584,βοηθητικό!$J$2:$N$354,3,FALSE)="","",VLOOKUP(AQ584,βοηθητικό!$J$2:$N$354,3,FALSE))</f>
        <v>_</v>
      </c>
      <c r="AS584" s="47"/>
      <c r="AT584" s="4" t="s">
        <v>16</v>
      </c>
      <c r="AU584" s="43" t="str">
        <f>IF(VLOOKUP(AT584,βοηθητικό!$J$2:$N$354,3,FALSE)="","",VLOOKUP(AT584,βοηθητικό!$J$2:$N$354,3,FALSE))</f>
        <v>_</v>
      </c>
      <c r="AV584" s="44"/>
      <c r="AW584" s="5" t="s">
        <v>16</v>
      </c>
      <c r="AX584" s="46" t="str">
        <f>IF(VLOOKUP(AW584,βοηθητικό!$J$2:$N$354,3,FALSE)="","",VLOOKUP(AW584,βοηθητικό!$J$2:$N$354,3,FALSE))</f>
        <v>_</v>
      </c>
      <c r="AY584" s="47"/>
      <c r="AZ584" s="4" t="s">
        <v>16</v>
      </c>
      <c r="BA584" s="43" t="str">
        <f>IF(VLOOKUP(AZ584,βοηθητικό!$J$2:$N$354,3,FALSE)="","",VLOOKUP(AZ584,βοηθητικό!$J$2:$N$354,3,FALSE))</f>
        <v>_</v>
      </c>
      <c r="BB584" s="44"/>
      <c r="BC584" s="45" t="s">
        <v>16</v>
      </c>
      <c r="BD584" s="46" t="str">
        <f>IF(VLOOKUP(BC584,βοηθητικό!$J$2:$N$354,3,FALSE)="","",VLOOKUP(BC584,βοηθητικό!$J$2:$N$354,3,FALSE))</f>
        <v>_</v>
      </c>
      <c r="BE584" s="47"/>
      <c r="BF584" s="42" t="s">
        <v>16</v>
      </c>
      <c r="BG584" s="43" t="str">
        <f>IF(VLOOKUP(BF584,βοηθητικό!$J$2:$N$354,3,FALSE)="","",VLOOKUP(BF584,βοηθητικό!$J$2:$N$354,3,FALSE))</f>
        <v>_</v>
      </c>
      <c r="BH584" s="44"/>
      <c r="BI584" s="45" t="s">
        <v>16</v>
      </c>
      <c r="BJ584" s="46" t="str">
        <f>IF(VLOOKUP(BI584,βοηθητικό!$J$2:$N$354,3,FALSE)="","",VLOOKUP(BI584,βοηθητικό!$J$2:$N$354,3,FALSE))</f>
        <v>_</v>
      </c>
      <c r="BK584" s="47"/>
      <c r="BL584" s="42" t="s">
        <v>16</v>
      </c>
      <c r="BM584" s="43" t="str">
        <f>IF(VLOOKUP(BL584,βοηθητικό!$J$2:$N$354,3,FALSE)="","",VLOOKUP(BL584,βοηθητικό!$J$2:$N$354,3,FALSE))</f>
        <v>_</v>
      </c>
      <c r="BN584" s="44"/>
      <c r="BO584" s="45" t="s">
        <v>16</v>
      </c>
      <c r="BP584" s="46" t="str">
        <f>IF(VLOOKUP(BO584,βοηθητικό!$J$2:$N$354,3,FALSE)="","",VLOOKUP(BO584,βοηθητικό!$J$2:$N$354,3,FALSE))</f>
        <v>_</v>
      </c>
      <c r="BQ584" s="47"/>
      <c r="BR584" s="42" t="s">
        <v>16</v>
      </c>
      <c r="BS584" s="43" t="str">
        <f>IF(VLOOKUP(BR584,βοηθητικό!$J$2:$N$354,3,FALSE)="","",VLOOKUP(BR584,βοηθητικό!$J$2:$N$354,3,FALSE))</f>
        <v>_</v>
      </c>
      <c r="BT584" s="44"/>
      <c r="BU584" s="45" t="s">
        <v>16</v>
      </c>
      <c r="BV584" s="46" t="str">
        <f>IF(VLOOKUP(BU584,βοηθητικό!$J$2:$N$354,3,FALSE)="","",VLOOKUP(BU584,βοηθητικό!$J$2:$N$354,3,FALSE))</f>
        <v>_</v>
      </c>
      <c r="BW584" s="47"/>
      <c r="BX584" s="42" t="s">
        <v>16</v>
      </c>
      <c r="BY584" s="43" t="str">
        <f>IF(VLOOKUP(BX584,βοηθητικό!$J$2:$N$354,3,FALSE)="","",VLOOKUP(BX584,βοηθητικό!$J$2:$N$354,3,FALSE))</f>
        <v>_</v>
      </c>
      <c r="BZ584" s="44"/>
      <c r="CA584" s="45" t="s">
        <v>16</v>
      </c>
      <c r="CB584" s="46" t="str">
        <f>IF(VLOOKUP(CA584,βοηθητικό!$J$2:$N$354,3,FALSE)="","",VLOOKUP(CA584,βοηθητικό!$J$2:$N$354,3,FALSE))</f>
        <v>_</v>
      </c>
      <c r="CC584" s="47"/>
      <c r="CD584" s="42" t="s">
        <v>16</v>
      </c>
      <c r="CE584" s="43" t="str">
        <f>IF(VLOOKUP(CD584,βοηθητικό!$J$2:$N$354,3,FALSE)="","",VLOOKUP(CD584,βοηθητικό!$J$2:$N$354,3,FALSE))</f>
        <v>_</v>
      </c>
      <c r="CF584" s="44"/>
      <c r="CG584" s="45" t="s">
        <v>16</v>
      </c>
      <c r="CH584" s="46" t="str">
        <f>IF(VLOOKUP(CG584,βοηθητικό!$J$2:$N$354,3,FALSE)="","",VLOOKUP(CG584,βοηθητικό!$J$2:$N$354,3,FALSE))</f>
        <v>_</v>
      </c>
      <c r="CI584" s="47"/>
      <c r="CJ584" s="42" t="s">
        <v>16</v>
      </c>
      <c r="CK584" s="43" t="str">
        <f>IF(VLOOKUP(CJ584,βοηθητικό!$J$2:$N$354,3,FALSE)="","",VLOOKUP(CJ584,βοηθητικό!$J$2:$N$354,3,FALSE))</f>
        <v>_</v>
      </c>
      <c r="CL584" s="44"/>
      <c r="CM584" s="45" t="s">
        <v>16</v>
      </c>
      <c r="CN584" s="46" t="str">
        <f>IF(VLOOKUP(CM584,βοηθητικό!$J$2:$N$354,3,FALSE)="","",VLOOKUP(CM584,βοηθητικό!$J$2:$N$354,3,FALSE))</f>
        <v>_</v>
      </c>
      <c r="CO584" s="47"/>
      <c r="CP584" s="42" t="s">
        <v>16</v>
      </c>
      <c r="CQ584" s="43" t="str">
        <f>IF(VLOOKUP(CP584,βοηθητικό!$J$2:$N$354,3,FALSE)="","",VLOOKUP(CP584,βοηθητικό!$J$2:$N$354,3,FALSE))</f>
        <v>_</v>
      </c>
      <c r="CR584" s="44"/>
      <c r="CS584" s="45" t="s">
        <v>16</v>
      </c>
      <c r="CT584" s="46" t="str">
        <f>IF(VLOOKUP(CS584,βοηθητικό!$J$2:$N$354,3,FALSE)="","",VLOOKUP(CS584,βοηθητικό!$J$2:$N$354,3,FALSE))</f>
        <v>_</v>
      </c>
      <c r="CU584" s="47"/>
    </row>
    <row r="585" spans="1:99" x14ac:dyDescent="0.25">
      <c r="A585" s="37">
        <f>--SUBTOTAL(3,$B$3:B584)</f>
        <v>198</v>
      </c>
      <c r="B585" s="2"/>
      <c r="C585" s="3"/>
      <c r="D585" s="55" t="s">
        <v>18</v>
      </c>
      <c r="E585" s="38" t="s">
        <v>16</v>
      </c>
      <c r="F585" s="38"/>
      <c r="G585" s="39" t="str">
        <f t="shared" si="29"/>
        <v>__</v>
      </c>
      <c r="H585" s="40" t="str">
        <f t="shared" si="30"/>
        <v>FALSE</v>
      </c>
      <c r="I585" s="41">
        <f t="shared" si="31"/>
        <v>0</v>
      </c>
      <c r="J585" s="4" t="s">
        <v>16</v>
      </c>
      <c r="K585" s="43" t="str">
        <f>IF(VLOOKUP(J585,βοηθητικό!$J$2:$N$354,3,FALSE)="","",VLOOKUP(J585,βοηθητικό!$J$2:$N$354,3,FALSE))</f>
        <v>_</v>
      </c>
      <c r="L585" s="44"/>
      <c r="M585" s="5" t="s">
        <v>16</v>
      </c>
      <c r="N585" s="46" t="str">
        <f>IF(VLOOKUP(M585,βοηθητικό!$J$2:$N$354,3,FALSE)="","",VLOOKUP(M585,βοηθητικό!$J$2:$N$354,3,FALSE))</f>
        <v>_</v>
      </c>
      <c r="O585" s="47"/>
      <c r="P585" s="4" t="s">
        <v>16</v>
      </c>
      <c r="Q585" s="43" t="str">
        <f>IF(VLOOKUP(P585,βοηθητικό!$J$2:$N$354,3,FALSE)="","",VLOOKUP(P585,βοηθητικό!$J$2:$N$354,3,FALSE))</f>
        <v>_</v>
      </c>
      <c r="R585" s="44"/>
      <c r="S585" s="5" t="s">
        <v>16</v>
      </c>
      <c r="T585" s="46" t="str">
        <f>IF(VLOOKUP(S585,βοηθητικό!$J$2:$N$354,3,FALSE)="","",VLOOKUP(S585,βοηθητικό!$J$2:$N$354,3,FALSE))</f>
        <v>_</v>
      </c>
      <c r="U585" s="47"/>
      <c r="V585" s="4" t="s">
        <v>16</v>
      </c>
      <c r="W585" s="43" t="str">
        <f>IF(VLOOKUP(V585,βοηθητικό!$J$2:$N$354,3,FALSE)="","",VLOOKUP(V585,βοηθητικό!$J$2:$N$354,3,FALSE))</f>
        <v>_</v>
      </c>
      <c r="X585" s="44"/>
      <c r="Y585" s="5" t="s">
        <v>16</v>
      </c>
      <c r="Z585" s="46" t="str">
        <f>IF(VLOOKUP(Y585,βοηθητικό!$J$2:$N$354,3,FALSE)="","",VLOOKUP(Y585,βοηθητικό!$J$2:$N$354,3,FALSE))</f>
        <v>_</v>
      </c>
      <c r="AA585" s="47"/>
      <c r="AB585" s="4" t="s">
        <v>16</v>
      </c>
      <c r="AC585" s="43" t="str">
        <f>IF(VLOOKUP(AB585,βοηθητικό!$J$2:$N$354,3,FALSE)="","",VLOOKUP(AB585,βοηθητικό!$J$2:$N$354,3,FALSE))</f>
        <v>_</v>
      </c>
      <c r="AD585" s="44"/>
      <c r="AE585" s="5" t="s">
        <v>16</v>
      </c>
      <c r="AF585" s="46" t="str">
        <f>IF(VLOOKUP(AE585,βοηθητικό!$J$2:$N$354,3,FALSE)="","",VLOOKUP(AE585,βοηθητικό!$J$2:$N$354,3,FALSE))</f>
        <v>_</v>
      </c>
      <c r="AG585" s="47"/>
      <c r="AH585" s="4" t="s">
        <v>16</v>
      </c>
      <c r="AI585" s="43" t="str">
        <f>IF(VLOOKUP(AH585,βοηθητικό!$J$2:$N$354,3,FALSE)="","",VLOOKUP(AH585,βοηθητικό!$J$2:$N$354,3,FALSE))</f>
        <v>_</v>
      </c>
      <c r="AJ585" s="44"/>
      <c r="AK585" s="5" t="s">
        <v>16</v>
      </c>
      <c r="AL585" s="46" t="str">
        <f>IF(VLOOKUP(AK585,βοηθητικό!$J$2:$N$354,3,FALSE)="","",VLOOKUP(AK585,βοηθητικό!$J$2:$N$354,3,FALSE))</f>
        <v>_</v>
      </c>
      <c r="AM585" s="47"/>
      <c r="AN585" s="4" t="s">
        <v>16</v>
      </c>
      <c r="AO585" s="43" t="str">
        <f>IF(VLOOKUP(AN585,βοηθητικό!$J$2:$N$354,3,FALSE)="","",VLOOKUP(AN585,βοηθητικό!$J$2:$N$354,3,FALSE))</f>
        <v>_</v>
      </c>
      <c r="AP585" s="44"/>
      <c r="AQ585" s="5" t="s">
        <v>16</v>
      </c>
      <c r="AR585" s="46" t="str">
        <f>IF(VLOOKUP(AQ585,βοηθητικό!$J$2:$N$354,3,FALSE)="","",VLOOKUP(AQ585,βοηθητικό!$J$2:$N$354,3,FALSE))</f>
        <v>_</v>
      </c>
      <c r="AS585" s="47"/>
      <c r="AT585" s="4" t="s">
        <v>16</v>
      </c>
      <c r="AU585" s="43" t="str">
        <f>IF(VLOOKUP(AT585,βοηθητικό!$J$2:$N$354,3,FALSE)="","",VLOOKUP(AT585,βοηθητικό!$J$2:$N$354,3,FALSE))</f>
        <v>_</v>
      </c>
      <c r="AV585" s="44"/>
      <c r="AW585" s="5" t="s">
        <v>16</v>
      </c>
      <c r="AX585" s="46" t="str">
        <f>IF(VLOOKUP(AW585,βοηθητικό!$J$2:$N$354,3,FALSE)="","",VLOOKUP(AW585,βοηθητικό!$J$2:$N$354,3,FALSE))</f>
        <v>_</v>
      </c>
      <c r="AY585" s="47"/>
      <c r="AZ585" s="4" t="s">
        <v>16</v>
      </c>
      <c r="BA585" s="43" t="str">
        <f>IF(VLOOKUP(AZ585,βοηθητικό!$J$2:$N$354,3,FALSE)="","",VLOOKUP(AZ585,βοηθητικό!$J$2:$N$354,3,FALSE))</f>
        <v>_</v>
      </c>
      <c r="BB585" s="44"/>
      <c r="BC585" s="45" t="s">
        <v>16</v>
      </c>
      <c r="BD585" s="46" t="str">
        <f>IF(VLOOKUP(BC585,βοηθητικό!$J$2:$N$354,3,FALSE)="","",VLOOKUP(BC585,βοηθητικό!$J$2:$N$354,3,FALSE))</f>
        <v>_</v>
      </c>
      <c r="BE585" s="47"/>
      <c r="BF585" s="42" t="s">
        <v>16</v>
      </c>
      <c r="BG585" s="43" t="str">
        <f>IF(VLOOKUP(BF585,βοηθητικό!$J$2:$N$354,3,FALSE)="","",VLOOKUP(BF585,βοηθητικό!$J$2:$N$354,3,FALSE))</f>
        <v>_</v>
      </c>
      <c r="BH585" s="44"/>
      <c r="BI585" s="45" t="s">
        <v>16</v>
      </c>
      <c r="BJ585" s="46" t="str">
        <f>IF(VLOOKUP(BI585,βοηθητικό!$J$2:$N$354,3,FALSE)="","",VLOOKUP(BI585,βοηθητικό!$J$2:$N$354,3,FALSE))</f>
        <v>_</v>
      </c>
      <c r="BK585" s="47"/>
      <c r="BL585" s="42" t="s">
        <v>16</v>
      </c>
      <c r="BM585" s="43" t="str">
        <f>IF(VLOOKUP(BL585,βοηθητικό!$J$2:$N$354,3,FALSE)="","",VLOOKUP(BL585,βοηθητικό!$J$2:$N$354,3,FALSE))</f>
        <v>_</v>
      </c>
      <c r="BN585" s="44"/>
      <c r="BO585" s="45" t="s">
        <v>16</v>
      </c>
      <c r="BP585" s="46" t="str">
        <f>IF(VLOOKUP(BO585,βοηθητικό!$J$2:$N$354,3,FALSE)="","",VLOOKUP(BO585,βοηθητικό!$J$2:$N$354,3,FALSE))</f>
        <v>_</v>
      </c>
      <c r="BQ585" s="47"/>
      <c r="BR585" s="42" t="s">
        <v>16</v>
      </c>
      <c r="BS585" s="43" t="str">
        <f>IF(VLOOKUP(BR585,βοηθητικό!$J$2:$N$354,3,FALSE)="","",VLOOKUP(BR585,βοηθητικό!$J$2:$N$354,3,FALSE))</f>
        <v>_</v>
      </c>
      <c r="BT585" s="44"/>
      <c r="BU585" s="45" t="s">
        <v>16</v>
      </c>
      <c r="BV585" s="46" t="str">
        <f>IF(VLOOKUP(BU585,βοηθητικό!$J$2:$N$354,3,FALSE)="","",VLOOKUP(BU585,βοηθητικό!$J$2:$N$354,3,FALSE))</f>
        <v>_</v>
      </c>
      <c r="BW585" s="47"/>
      <c r="BX585" s="42" t="s">
        <v>16</v>
      </c>
      <c r="BY585" s="43" t="str">
        <f>IF(VLOOKUP(BX585,βοηθητικό!$J$2:$N$354,3,FALSE)="","",VLOOKUP(BX585,βοηθητικό!$J$2:$N$354,3,FALSE))</f>
        <v>_</v>
      </c>
      <c r="BZ585" s="44"/>
      <c r="CA585" s="45" t="s">
        <v>16</v>
      </c>
      <c r="CB585" s="46" t="str">
        <f>IF(VLOOKUP(CA585,βοηθητικό!$J$2:$N$354,3,FALSE)="","",VLOOKUP(CA585,βοηθητικό!$J$2:$N$354,3,FALSE))</f>
        <v>_</v>
      </c>
      <c r="CC585" s="47"/>
      <c r="CD585" s="42" t="s">
        <v>16</v>
      </c>
      <c r="CE585" s="43" t="str">
        <f>IF(VLOOKUP(CD585,βοηθητικό!$J$2:$N$354,3,FALSE)="","",VLOOKUP(CD585,βοηθητικό!$J$2:$N$354,3,FALSE))</f>
        <v>_</v>
      </c>
      <c r="CF585" s="44"/>
      <c r="CG585" s="45" t="s">
        <v>16</v>
      </c>
      <c r="CH585" s="46" t="str">
        <f>IF(VLOOKUP(CG585,βοηθητικό!$J$2:$N$354,3,FALSE)="","",VLOOKUP(CG585,βοηθητικό!$J$2:$N$354,3,FALSE))</f>
        <v>_</v>
      </c>
      <c r="CI585" s="47"/>
      <c r="CJ585" s="42" t="s">
        <v>16</v>
      </c>
      <c r="CK585" s="43" t="str">
        <f>IF(VLOOKUP(CJ585,βοηθητικό!$J$2:$N$354,3,FALSE)="","",VLOOKUP(CJ585,βοηθητικό!$J$2:$N$354,3,FALSE))</f>
        <v>_</v>
      </c>
      <c r="CL585" s="44"/>
      <c r="CM585" s="45" t="s">
        <v>16</v>
      </c>
      <c r="CN585" s="46" t="str">
        <f>IF(VLOOKUP(CM585,βοηθητικό!$J$2:$N$354,3,FALSE)="","",VLOOKUP(CM585,βοηθητικό!$J$2:$N$354,3,FALSE))</f>
        <v>_</v>
      </c>
      <c r="CO585" s="47"/>
      <c r="CP585" s="42" t="s">
        <v>16</v>
      </c>
      <c r="CQ585" s="43" t="str">
        <f>IF(VLOOKUP(CP585,βοηθητικό!$J$2:$N$354,3,FALSE)="","",VLOOKUP(CP585,βοηθητικό!$J$2:$N$354,3,FALSE))</f>
        <v>_</v>
      </c>
      <c r="CR585" s="44"/>
      <c r="CS585" s="45" t="s">
        <v>16</v>
      </c>
      <c r="CT585" s="46" t="str">
        <f>IF(VLOOKUP(CS585,βοηθητικό!$J$2:$N$354,3,FALSE)="","",VLOOKUP(CS585,βοηθητικό!$J$2:$N$354,3,FALSE))</f>
        <v>_</v>
      </c>
      <c r="CU585" s="47"/>
    </row>
    <row r="586" spans="1:99" x14ac:dyDescent="0.25">
      <c r="A586" s="37">
        <f>--SUBTOTAL(3,$B$3:B585)</f>
        <v>198</v>
      </c>
      <c r="B586" s="2"/>
      <c r="C586" s="3"/>
      <c r="D586" s="55" t="s">
        <v>18</v>
      </c>
      <c r="E586" s="38" t="s">
        <v>16</v>
      </c>
      <c r="F586" s="38"/>
      <c r="G586" s="39" t="str">
        <f t="shared" si="29"/>
        <v>__</v>
      </c>
      <c r="H586" s="40" t="str">
        <f t="shared" si="30"/>
        <v>FALSE</v>
      </c>
      <c r="I586" s="41">
        <f t="shared" si="31"/>
        <v>0</v>
      </c>
      <c r="J586" s="4" t="s">
        <v>16</v>
      </c>
      <c r="K586" s="43" t="str">
        <f>IF(VLOOKUP(J586,βοηθητικό!$J$2:$N$354,3,FALSE)="","",VLOOKUP(J586,βοηθητικό!$J$2:$N$354,3,FALSE))</f>
        <v>_</v>
      </c>
      <c r="L586" s="44"/>
      <c r="M586" s="5" t="s">
        <v>16</v>
      </c>
      <c r="N586" s="46" t="str">
        <f>IF(VLOOKUP(M586,βοηθητικό!$J$2:$N$354,3,FALSE)="","",VLOOKUP(M586,βοηθητικό!$J$2:$N$354,3,FALSE))</f>
        <v>_</v>
      </c>
      <c r="O586" s="47"/>
      <c r="P586" s="4" t="s">
        <v>16</v>
      </c>
      <c r="Q586" s="43" t="str">
        <f>IF(VLOOKUP(P586,βοηθητικό!$J$2:$N$354,3,FALSE)="","",VLOOKUP(P586,βοηθητικό!$J$2:$N$354,3,FALSE))</f>
        <v>_</v>
      </c>
      <c r="R586" s="44"/>
      <c r="S586" s="5" t="s">
        <v>16</v>
      </c>
      <c r="T586" s="46" t="str">
        <f>IF(VLOOKUP(S586,βοηθητικό!$J$2:$N$354,3,FALSE)="","",VLOOKUP(S586,βοηθητικό!$J$2:$N$354,3,FALSE))</f>
        <v>_</v>
      </c>
      <c r="U586" s="47"/>
      <c r="V586" s="4" t="s">
        <v>16</v>
      </c>
      <c r="W586" s="43" t="str">
        <f>IF(VLOOKUP(V586,βοηθητικό!$J$2:$N$354,3,FALSE)="","",VLOOKUP(V586,βοηθητικό!$J$2:$N$354,3,FALSE))</f>
        <v>_</v>
      </c>
      <c r="X586" s="44"/>
      <c r="Y586" s="5" t="s">
        <v>16</v>
      </c>
      <c r="Z586" s="46" t="str">
        <f>IF(VLOOKUP(Y586,βοηθητικό!$J$2:$N$354,3,FALSE)="","",VLOOKUP(Y586,βοηθητικό!$J$2:$N$354,3,FALSE))</f>
        <v>_</v>
      </c>
      <c r="AA586" s="47"/>
      <c r="AB586" s="4" t="s">
        <v>16</v>
      </c>
      <c r="AC586" s="43" t="str">
        <f>IF(VLOOKUP(AB586,βοηθητικό!$J$2:$N$354,3,FALSE)="","",VLOOKUP(AB586,βοηθητικό!$J$2:$N$354,3,FALSE))</f>
        <v>_</v>
      </c>
      <c r="AD586" s="44"/>
      <c r="AE586" s="5" t="s">
        <v>16</v>
      </c>
      <c r="AF586" s="46" t="str">
        <f>IF(VLOOKUP(AE586,βοηθητικό!$J$2:$N$354,3,FALSE)="","",VLOOKUP(AE586,βοηθητικό!$J$2:$N$354,3,FALSE))</f>
        <v>_</v>
      </c>
      <c r="AG586" s="47"/>
      <c r="AH586" s="4" t="s">
        <v>16</v>
      </c>
      <c r="AI586" s="43" t="str">
        <f>IF(VLOOKUP(AH586,βοηθητικό!$J$2:$N$354,3,FALSE)="","",VLOOKUP(AH586,βοηθητικό!$J$2:$N$354,3,FALSE))</f>
        <v>_</v>
      </c>
      <c r="AJ586" s="44"/>
      <c r="AK586" s="5" t="s">
        <v>16</v>
      </c>
      <c r="AL586" s="46" t="str">
        <f>IF(VLOOKUP(AK586,βοηθητικό!$J$2:$N$354,3,FALSE)="","",VLOOKUP(AK586,βοηθητικό!$J$2:$N$354,3,FALSE))</f>
        <v>_</v>
      </c>
      <c r="AM586" s="47"/>
      <c r="AN586" s="4" t="s">
        <v>16</v>
      </c>
      <c r="AO586" s="43" t="str">
        <f>IF(VLOOKUP(AN586,βοηθητικό!$J$2:$N$354,3,FALSE)="","",VLOOKUP(AN586,βοηθητικό!$J$2:$N$354,3,FALSE))</f>
        <v>_</v>
      </c>
      <c r="AP586" s="44"/>
      <c r="AQ586" s="5" t="s">
        <v>16</v>
      </c>
      <c r="AR586" s="46" t="str">
        <f>IF(VLOOKUP(AQ586,βοηθητικό!$J$2:$N$354,3,FALSE)="","",VLOOKUP(AQ586,βοηθητικό!$J$2:$N$354,3,FALSE))</f>
        <v>_</v>
      </c>
      <c r="AS586" s="47"/>
      <c r="AT586" s="4" t="s">
        <v>16</v>
      </c>
      <c r="AU586" s="43" t="str">
        <f>IF(VLOOKUP(AT586,βοηθητικό!$J$2:$N$354,3,FALSE)="","",VLOOKUP(AT586,βοηθητικό!$J$2:$N$354,3,FALSE))</f>
        <v>_</v>
      </c>
      <c r="AV586" s="44"/>
      <c r="AW586" s="5" t="s">
        <v>16</v>
      </c>
      <c r="AX586" s="46" t="str">
        <f>IF(VLOOKUP(AW586,βοηθητικό!$J$2:$N$354,3,FALSE)="","",VLOOKUP(AW586,βοηθητικό!$J$2:$N$354,3,FALSE))</f>
        <v>_</v>
      </c>
      <c r="AY586" s="47"/>
      <c r="AZ586" s="4" t="s">
        <v>16</v>
      </c>
      <c r="BA586" s="43" t="str">
        <f>IF(VLOOKUP(AZ586,βοηθητικό!$J$2:$N$354,3,FALSE)="","",VLOOKUP(AZ586,βοηθητικό!$J$2:$N$354,3,FALSE))</f>
        <v>_</v>
      </c>
      <c r="BB586" s="44"/>
      <c r="BC586" s="45" t="s">
        <v>16</v>
      </c>
      <c r="BD586" s="46" t="str">
        <f>IF(VLOOKUP(BC586,βοηθητικό!$J$2:$N$354,3,FALSE)="","",VLOOKUP(BC586,βοηθητικό!$J$2:$N$354,3,FALSE))</f>
        <v>_</v>
      </c>
      <c r="BE586" s="47"/>
      <c r="BF586" s="42" t="s">
        <v>16</v>
      </c>
      <c r="BG586" s="43" t="str">
        <f>IF(VLOOKUP(BF586,βοηθητικό!$J$2:$N$354,3,FALSE)="","",VLOOKUP(BF586,βοηθητικό!$J$2:$N$354,3,FALSE))</f>
        <v>_</v>
      </c>
      <c r="BH586" s="44"/>
      <c r="BI586" s="45" t="s">
        <v>16</v>
      </c>
      <c r="BJ586" s="46" t="str">
        <f>IF(VLOOKUP(BI586,βοηθητικό!$J$2:$N$354,3,FALSE)="","",VLOOKUP(BI586,βοηθητικό!$J$2:$N$354,3,FALSE))</f>
        <v>_</v>
      </c>
      <c r="BK586" s="47"/>
      <c r="BL586" s="42" t="s">
        <v>16</v>
      </c>
      <c r="BM586" s="43" t="str">
        <f>IF(VLOOKUP(BL586,βοηθητικό!$J$2:$N$354,3,FALSE)="","",VLOOKUP(BL586,βοηθητικό!$J$2:$N$354,3,FALSE))</f>
        <v>_</v>
      </c>
      <c r="BN586" s="44"/>
      <c r="BO586" s="45" t="s">
        <v>16</v>
      </c>
      <c r="BP586" s="46" t="str">
        <f>IF(VLOOKUP(BO586,βοηθητικό!$J$2:$N$354,3,FALSE)="","",VLOOKUP(BO586,βοηθητικό!$J$2:$N$354,3,FALSE))</f>
        <v>_</v>
      </c>
      <c r="BQ586" s="47"/>
      <c r="BR586" s="42" t="s">
        <v>16</v>
      </c>
      <c r="BS586" s="43" t="str">
        <f>IF(VLOOKUP(BR586,βοηθητικό!$J$2:$N$354,3,FALSE)="","",VLOOKUP(BR586,βοηθητικό!$J$2:$N$354,3,FALSE))</f>
        <v>_</v>
      </c>
      <c r="BT586" s="44"/>
      <c r="BU586" s="45" t="s">
        <v>16</v>
      </c>
      <c r="BV586" s="46" t="str">
        <f>IF(VLOOKUP(BU586,βοηθητικό!$J$2:$N$354,3,FALSE)="","",VLOOKUP(BU586,βοηθητικό!$J$2:$N$354,3,FALSE))</f>
        <v>_</v>
      </c>
      <c r="BW586" s="47"/>
      <c r="BX586" s="42" t="s">
        <v>16</v>
      </c>
      <c r="BY586" s="43" t="str">
        <f>IF(VLOOKUP(BX586,βοηθητικό!$J$2:$N$354,3,FALSE)="","",VLOOKUP(BX586,βοηθητικό!$J$2:$N$354,3,FALSE))</f>
        <v>_</v>
      </c>
      <c r="BZ586" s="44"/>
      <c r="CA586" s="45" t="s">
        <v>16</v>
      </c>
      <c r="CB586" s="46" t="str">
        <f>IF(VLOOKUP(CA586,βοηθητικό!$J$2:$N$354,3,FALSE)="","",VLOOKUP(CA586,βοηθητικό!$J$2:$N$354,3,FALSE))</f>
        <v>_</v>
      </c>
      <c r="CC586" s="47"/>
      <c r="CD586" s="42" t="s">
        <v>16</v>
      </c>
      <c r="CE586" s="43" t="str">
        <f>IF(VLOOKUP(CD586,βοηθητικό!$J$2:$N$354,3,FALSE)="","",VLOOKUP(CD586,βοηθητικό!$J$2:$N$354,3,FALSE))</f>
        <v>_</v>
      </c>
      <c r="CF586" s="44"/>
      <c r="CG586" s="45" t="s">
        <v>16</v>
      </c>
      <c r="CH586" s="46" t="str">
        <f>IF(VLOOKUP(CG586,βοηθητικό!$J$2:$N$354,3,FALSE)="","",VLOOKUP(CG586,βοηθητικό!$J$2:$N$354,3,FALSE))</f>
        <v>_</v>
      </c>
      <c r="CI586" s="47"/>
      <c r="CJ586" s="42" t="s">
        <v>16</v>
      </c>
      <c r="CK586" s="43" t="str">
        <f>IF(VLOOKUP(CJ586,βοηθητικό!$J$2:$N$354,3,FALSE)="","",VLOOKUP(CJ586,βοηθητικό!$J$2:$N$354,3,FALSE))</f>
        <v>_</v>
      </c>
      <c r="CL586" s="44"/>
      <c r="CM586" s="45" t="s">
        <v>16</v>
      </c>
      <c r="CN586" s="46" t="str">
        <f>IF(VLOOKUP(CM586,βοηθητικό!$J$2:$N$354,3,FALSE)="","",VLOOKUP(CM586,βοηθητικό!$J$2:$N$354,3,FALSE))</f>
        <v>_</v>
      </c>
      <c r="CO586" s="47"/>
      <c r="CP586" s="42" t="s">
        <v>16</v>
      </c>
      <c r="CQ586" s="43" t="str">
        <f>IF(VLOOKUP(CP586,βοηθητικό!$J$2:$N$354,3,FALSE)="","",VLOOKUP(CP586,βοηθητικό!$J$2:$N$354,3,FALSE))</f>
        <v>_</v>
      </c>
      <c r="CR586" s="44"/>
      <c r="CS586" s="45" t="s">
        <v>16</v>
      </c>
      <c r="CT586" s="46" t="str">
        <f>IF(VLOOKUP(CS586,βοηθητικό!$J$2:$N$354,3,FALSE)="","",VLOOKUP(CS586,βοηθητικό!$J$2:$N$354,3,FALSE))</f>
        <v>_</v>
      </c>
      <c r="CU586" s="47"/>
    </row>
    <row r="587" spans="1:99" x14ac:dyDescent="0.25">
      <c r="A587" s="37">
        <f>--SUBTOTAL(3,$B$3:B586)</f>
        <v>198</v>
      </c>
      <c r="B587" s="2"/>
      <c r="C587" s="3"/>
      <c r="D587" s="55" t="s">
        <v>18</v>
      </c>
      <c r="E587" s="38" t="s">
        <v>16</v>
      </c>
      <c r="F587" s="38"/>
      <c r="G587" s="39" t="str">
        <f t="shared" si="29"/>
        <v>__</v>
      </c>
      <c r="H587" s="40" t="str">
        <f t="shared" si="30"/>
        <v>FALSE</v>
      </c>
      <c r="I587" s="41">
        <f t="shared" si="31"/>
        <v>0</v>
      </c>
      <c r="J587" s="4" t="s">
        <v>16</v>
      </c>
      <c r="K587" s="43" t="str">
        <f>IF(VLOOKUP(J587,βοηθητικό!$J$2:$N$354,3,FALSE)="","",VLOOKUP(J587,βοηθητικό!$J$2:$N$354,3,FALSE))</f>
        <v>_</v>
      </c>
      <c r="L587" s="44"/>
      <c r="M587" s="5" t="s">
        <v>16</v>
      </c>
      <c r="N587" s="46" t="str">
        <f>IF(VLOOKUP(M587,βοηθητικό!$J$2:$N$354,3,FALSE)="","",VLOOKUP(M587,βοηθητικό!$J$2:$N$354,3,FALSE))</f>
        <v>_</v>
      </c>
      <c r="O587" s="47"/>
      <c r="P587" s="4" t="s">
        <v>16</v>
      </c>
      <c r="Q587" s="43" t="str">
        <f>IF(VLOOKUP(P587,βοηθητικό!$J$2:$N$354,3,FALSE)="","",VLOOKUP(P587,βοηθητικό!$J$2:$N$354,3,FALSE))</f>
        <v>_</v>
      </c>
      <c r="R587" s="44"/>
      <c r="S587" s="5" t="s">
        <v>16</v>
      </c>
      <c r="T587" s="46" t="str">
        <f>IF(VLOOKUP(S587,βοηθητικό!$J$2:$N$354,3,FALSE)="","",VLOOKUP(S587,βοηθητικό!$J$2:$N$354,3,FALSE))</f>
        <v>_</v>
      </c>
      <c r="U587" s="47"/>
      <c r="V587" s="4" t="s">
        <v>16</v>
      </c>
      <c r="W587" s="43" t="str">
        <f>IF(VLOOKUP(V587,βοηθητικό!$J$2:$N$354,3,FALSE)="","",VLOOKUP(V587,βοηθητικό!$J$2:$N$354,3,FALSE))</f>
        <v>_</v>
      </c>
      <c r="X587" s="44"/>
      <c r="Y587" s="5" t="s">
        <v>16</v>
      </c>
      <c r="Z587" s="46" t="str">
        <f>IF(VLOOKUP(Y587,βοηθητικό!$J$2:$N$354,3,FALSE)="","",VLOOKUP(Y587,βοηθητικό!$J$2:$N$354,3,FALSE))</f>
        <v>_</v>
      </c>
      <c r="AA587" s="47"/>
      <c r="AB587" s="4" t="s">
        <v>16</v>
      </c>
      <c r="AC587" s="43" t="str">
        <f>IF(VLOOKUP(AB587,βοηθητικό!$J$2:$N$354,3,FALSE)="","",VLOOKUP(AB587,βοηθητικό!$J$2:$N$354,3,FALSE))</f>
        <v>_</v>
      </c>
      <c r="AD587" s="44"/>
      <c r="AE587" s="5" t="s">
        <v>16</v>
      </c>
      <c r="AF587" s="46" t="str">
        <f>IF(VLOOKUP(AE587,βοηθητικό!$J$2:$N$354,3,FALSE)="","",VLOOKUP(AE587,βοηθητικό!$J$2:$N$354,3,FALSE))</f>
        <v>_</v>
      </c>
      <c r="AG587" s="47"/>
      <c r="AH587" s="4" t="s">
        <v>16</v>
      </c>
      <c r="AI587" s="43" t="str">
        <f>IF(VLOOKUP(AH587,βοηθητικό!$J$2:$N$354,3,FALSE)="","",VLOOKUP(AH587,βοηθητικό!$J$2:$N$354,3,FALSE))</f>
        <v>_</v>
      </c>
      <c r="AJ587" s="44"/>
      <c r="AK587" s="5" t="s">
        <v>16</v>
      </c>
      <c r="AL587" s="46" t="str">
        <f>IF(VLOOKUP(AK587,βοηθητικό!$J$2:$N$354,3,FALSE)="","",VLOOKUP(AK587,βοηθητικό!$J$2:$N$354,3,FALSE))</f>
        <v>_</v>
      </c>
      <c r="AM587" s="47"/>
      <c r="AN587" s="4" t="s">
        <v>16</v>
      </c>
      <c r="AO587" s="43" t="str">
        <f>IF(VLOOKUP(AN587,βοηθητικό!$J$2:$N$354,3,FALSE)="","",VLOOKUP(AN587,βοηθητικό!$J$2:$N$354,3,FALSE))</f>
        <v>_</v>
      </c>
      <c r="AP587" s="44"/>
      <c r="AQ587" s="5" t="s">
        <v>16</v>
      </c>
      <c r="AR587" s="46" t="str">
        <f>IF(VLOOKUP(AQ587,βοηθητικό!$J$2:$N$354,3,FALSE)="","",VLOOKUP(AQ587,βοηθητικό!$J$2:$N$354,3,FALSE))</f>
        <v>_</v>
      </c>
      <c r="AS587" s="47"/>
      <c r="AT587" s="4" t="s">
        <v>16</v>
      </c>
      <c r="AU587" s="43" t="str">
        <f>IF(VLOOKUP(AT587,βοηθητικό!$J$2:$N$354,3,FALSE)="","",VLOOKUP(AT587,βοηθητικό!$J$2:$N$354,3,FALSE))</f>
        <v>_</v>
      </c>
      <c r="AV587" s="44"/>
      <c r="AW587" s="5" t="s">
        <v>16</v>
      </c>
      <c r="AX587" s="46" t="str">
        <f>IF(VLOOKUP(AW587,βοηθητικό!$J$2:$N$354,3,FALSE)="","",VLOOKUP(AW587,βοηθητικό!$J$2:$N$354,3,FALSE))</f>
        <v>_</v>
      </c>
      <c r="AY587" s="47"/>
      <c r="AZ587" s="4" t="s">
        <v>16</v>
      </c>
      <c r="BA587" s="43" t="str">
        <f>IF(VLOOKUP(AZ587,βοηθητικό!$J$2:$N$354,3,FALSE)="","",VLOOKUP(AZ587,βοηθητικό!$J$2:$N$354,3,FALSE))</f>
        <v>_</v>
      </c>
      <c r="BB587" s="44"/>
      <c r="BC587" s="45" t="s">
        <v>16</v>
      </c>
      <c r="BD587" s="46" t="str">
        <f>IF(VLOOKUP(BC587,βοηθητικό!$J$2:$N$354,3,FALSE)="","",VLOOKUP(BC587,βοηθητικό!$J$2:$N$354,3,FALSE))</f>
        <v>_</v>
      </c>
      <c r="BE587" s="47"/>
      <c r="BF587" s="42" t="s">
        <v>16</v>
      </c>
      <c r="BG587" s="43" t="str">
        <f>IF(VLOOKUP(BF587,βοηθητικό!$J$2:$N$354,3,FALSE)="","",VLOOKUP(BF587,βοηθητικό!$J$2:$N$354,3,FALSE))</f>
        <v>_</v>
      </c>
      <c r="BH587" s="44"/>
      <c r="BI587" s="45" t="s">
        <v>16</v>
      </c>
      <c r="BJ587" s="46" t="str">
        <f>IF(VLOOKUP(BI587,βοηθητικό!$J$2:$N$354,3,FALSE)="","",VLOOKUP(BI587,βοηθητικό!$J$2:$N$354,3,FALSE))</f>
        <v>_</v>
      </c>
      <c r="BK587" s="47"/>
      <c r="BL587" s="42" t="s">
        <v>16</v>
      </c>
      <c r="BM587" s="43" t="str">
        <f>IF(VLOOKUP(BL587,βοηθητικό!$J$2:$N$354,3,FALSE)="","",VLOOKUP(BL587,βοηθητικό!$J$2:$N$354,3,FALSE))</f>
        <v>_</v>
      </c>
      <c r="BN587" s="44"/>
      <c r="BO587" s="45" t="s">
        <v>16</v>
      </c>
      <c r="BP587" s="46" t="str">
        <f>IF(VLOOKUP(BO587,βοηθητικό!$J$2:$N$354,3,FALSE)="","",VLOOKUP(BO587,βοηθητικό!$J$2:$N$354,3,FALSE))</f>
        <v>_</v>
      </c>
      <c r="BQ587" s="47"/>
      <c r="BR587" s="42" t="s">
        <v>16</v>
      </c>
      <c r="BS587" s="43" t="str">
        <f>IF(VLOOKUP(BR587,βοηθητικό!$J$2:$N$354,3,FALSE)="","",VLOOKUP(BR587,βοηθητικό!$J$2:$N$354,3,FALSE))</f>
        <v>_</v>
      </c>
      <c r="BT587" s="44"/>
      <c r="BU587" s="45" t="s">
        <v>16</v>
      </c>
      <c r="BV587" s="46" t="str">
        <f>IF(VLOOKUP(BU587,βοηθητικό!$J$2:$N$354,3,FALSE)="","",VLOOKUP(BU587,βοηθητικό!$J$2:$N$354,3,FALSE))</f>
        <v>_</v>
      </c>
      <c r="BW587" s="47"/>
      <c r="BX587" s="42" t="s">
        <v>16</v>
      </c>
      <c r="BY587" s="43" t="str">
        <f>IF(VLOOKUP(BX587,βοηθητικό!$J$2:$N$354,3,FALSE)="","",VLOOKUP(BX587,βοηθητικό!$J$2:$N$354,3,FALSE))</f>
        <v>_</v>
      </c>
      <c r="BZ587" s="44"/>
      <c r="CA587" s="45" t="s">
        <v>16</v>
      </c>
      <c r="CB587" s="46" t="str">
        <f>IF(VLOOKUP(CA587,βοηθητικό!$J$2:$N$354,3,FALSE)="","",VLOOKUP(CA587,βοηθητικό!$J$2:$N$354,3,FALSE))</f>
        <v>_</v>
      </c>
      <c r="CC587" s="47"/>
      <c r="CD587" s="42" t="s">
        <v>16</v>
      </c>
      <c r="CE587" s="43" t="str">
        <f>IF(VLOOKUP(CD587,βοηθητικό!$J$2:$N$354,3,FALSE)="","",VLOOKUP(CD587,βοηθητικό!$J$2:$N$354,3,FALSE))</f>
        <v>_</v>
      </c>
      <c r="CF587" s="44"/>
      <c r="CG587" s="45" t="s">
        <v>16</v>
      </c>
      <c r="CH587" s="46" t="str">
        <f>IF(VLOOKUP(CG587,βοηθητικό!$J$2:$N$354,3,FALSE)="","",VLOOKUP(CG587,βοηθητικό!$J$2:$N$354,3,FALSE))</f>
        <v>_</v>
      </c>
      <c r="CI587" s="47"/>
      <c r="CJ587" s="42" t="s">
        <v>16</v>
      </c>
      <c r="CK587" s="43" t="str">
        <f>IF(VLOOKUP(CJ587,βοηθητικό!$J$2:$N$354,3,FALSE)="","",VLOOKUP(CJ587,βοηθητικό!$J$2:$N$354,3,FALSE))</f>
        <v>_</v>
      </c>
      <c r="CL587" s="44"/>
      <c r="CM587" s="45" t="s">
        <v>16</v>
      </c>
      <c r="CN587" s="46" t="str">
        <f>IF(VLOOKUP(CM587,βοηθητικό!$J$2:$N$354,3,FALSE)="","",VLOOKUP(CM587,βοηθητικό!$J$2:$N$354,3,FALSE))</f>
        <v>_</v>
      </c>
      <c r="CO587" s="47"/>
      <c r="CP587" s="42" t="s">
        <v>16</v>
      </c>
      <c r="CQ587" s="43" t="str">
        <f>IF(VLOOKUP(CP587,βοηθητικό!$J$2:$N$354,3,FALSE)="","",VLOOKUP(CP587,βοηθητικό!$J$2:$N$354,3,FALSE))</f>
        <v>_</v>
      </c>
      <c r="CR587" s="44"/>
      <c r="CS587" s="45" t="s">
        <v>16</v>
      </c>
      <c r="CT587" s="46" t="str">
        <f>IF(VLOOKUP(CS587,βοηθητικό!$J$2:$N$354,3,FALSE)="","",VLOOKUP(CS587,βοηθητικό!$J$2:$N$354,3,FALSE))</f>
        <v>_</v>
      </c>
      <c r="CU587" s="47"/>
    </row>
    <row r="588" spans="1:99" x14ac:dyDescent="0.25">
      <c r="A588" s="37">
        <f>--SUBTOTAL(3,$B$3:B587)</f>
        <v>198</v>
      </c>
      <c r="B588" s="2"/>
      <c r="C588" s="3"/>
      <c r="D588" s="55" t="s">
        <v>18</v>
      </c>
      <c r="E588" s="38" t="s">
        <v>16</v>
      </c>
      <c r="F588" s="38"/>
      <c r="G588" s="39" t="str">
        <f t="shared" si="29"/>
        <v>__</v>
      </c>
      <c r="H588" s="40" t="str">
        <f t="shared" si="30"/>
        <v>FALSE</v>
      </c>
      <c r="I588" s="41">
        <f t="shared" si="31"/>
        <v>0</v>
      </c>
      <c r="J588" s="4" t="s">
        <v>16</v>
      </c>
      <c r="K588" s="43" t="str">
        <f>IF(VLOOKUP(J588,βοηθητικό!$J$2:$N$354,3,FALSE)="","",VLOOKUP(J588,βοηθητικό!$J$2:$N$354,3,FALSE))</f>
        <v>_</v>
      </c>
      <c r="L588" s="44"/>
      <c r="M588" s="5" t="s">
        <v>16</v>
      </c>
      <c r="N588" s="46" t="str">
        <f>IF(VLOOKUP(M588,βοηθητικό!$J$2:$N$354,3,FALSE)="","",VLOOKUP(M588,βοηθητικό!$J$2:$N$354,3,FALSE))</f>
        <v>_</v>
      </c>
      <c r="O588" s="47"/>
      <c r="P588" s="4" t="s">
        <v>16</v>
      </c>
      <c r="Q588" s="43" t="str">
        <f>IF(VLOOKUP(P588,βοηθητικό!$J$2:$N$354,3,FALSE)="","",VLOOKUP(P588,βοηθητικό!$J$2:$N$354,3,FALSE))</f>
        <v>_</v>
      </c>
      <c r="R588" s="44"/>
      <c r="S588" s="5" t="s">
        <v>16</v>
      </c>
      <c r="T588" s="46" t="str">
        <f>IF(VLOOKUP(S588,βοηθητικό!$J$2:$N$354,3,FALSE)="","",VLOOKUP(S588,βοηθητικό!$J$2:$N$354,3,FALSE))</f>
        <v>_</v>
      </c>
      <c r="U588" s="47"/>
      <c r="V588" s="4" t="s">
        <v>16</v>
      </c>
      <c r="W588" s="43" t="str">
        <f>IF(VLOOKUP(V588,βοηθητικό!$J$2:$N$354,3,FALSE)="","",VLOOKUP(V588,βοηθητικό!$J$2:$N$354,3,FALSE))</f>
        <v>_</v>
      </c>
      <c r="X588" s="44"/>
      <c r="Y588" s="5" t="s">
        <v>16</v>
      </c>
      <c r="Z588" s="46" t="str">
        <f>IF(VLOOKUP(Y588,βοηθητικό!$J$2:$N$354,3,FALSE)="","",VLOOKUP(Y588,βοηθητικό!$J$2:$N$354,3,FALSE))</f>
        <v>_</v>
      </c>
      <c r="AA588" s="47"/>
      <c r="AB588" s="4" t="s">
        <v>16</v>
      </c>
      <c r="AC588" s="43" t="str">
        <f>IF(VLOOKUP(AB588,βοηθητικό!$J$2:$N$354,3,FALSE)="","",VLOOKUP(AB588,βοηθητικό!$J$2:$N$354,3,FALSE))</f>
        <v>_</v>
      </c>
      <c r="AD588" s="44"/>
      <c r="AE588" s="5" t="s">
        <v>16</v>
      </c>
      <c r="AF588" s="46" t="str">
        <f>IF(VLOOKUP(AE588,βοηθητικό!$J$2:$N$354,3,FALSE)="","",VLOOKUP(AE588,βοηθητικό!$J$2:$N$354,3,FALSE))</f>
        <v>_</v>
      </c>
      <c r="AG588" s="47"/>
      <c r="AH588" s="4" t="s">
        <v>16</v>
      </c>
      <c r="AI588" s="43" t="str">
        <f>IF(VLOOKUP(AH588,βοηθητικό!$J$2:$N$354,3,FALSE)="","",VLOOKUP(AH588,βοηθητικό!$J$2:$N$354,3,FALSE))</f>
        <v>_</v>
      </c>
      <c r="AJ588" s="44"/>
      <c r="AK588" s="5" t="s">
        <v>16</v>
      </c>
      <c r="AL588" s="46" t="str">
        <f>IF(VLOOKUP(AK588,βοηθητικό!$J$2:$N$354,3,FALSE)="","",VLOOKUP(AK588,βοηθητικό!$J$2:$N$354,3,FALSE))</f>
        <v>_</v>
      </c>
      <c r="AM588" s="47"/>
      <c r="AN588" s="4" t="s">
        <v>16</v>
      </c>
      <c r="AO588" s="43" t="str">
        <f>IF(VLOOKUP(AN588,βοηθητικό!$J$2:$N$354,3,FALSE)="","",VLOOKUP(AN588,βοηθητικό!$J$2:$N$354,3,FALSE))</f>
        <v>_</v>
      </c>
      <c r="AP588" s="44"/>
      <c r="AQ588" s="5" t="s">
        <v>16</v>
      </c>
      <c r="AR588" s="46" t="str">
        <f>IF(VLOOKUP(AQ588,βοηθητικό!$J$2:$N$354,3,FALSE)="","",VLOOKUP(AQ588,βοηθητικό!$J$2:$N$354,3,FALSE))</f>
        <v>_</v>
      </c>
      <c r="AS588" s="47"/>
      <c r="AT588" s="4" t="s">
        <v>16</v>
      </c>
      <c r="AU588" s="43" t="str">
        <f>IF(VLOOKUP(AT588,βοηθητικό!$J$2:$N$354,3,FALSE)="","",VLOOKUP(AT588,βοηθητικό!$J$2:$N$354,3,FALSE))</f>
        <v>_</v>
      </c>
      <c r="AV588" s="44"/>
      <c r="AW588" s="5" t="s">
        <v>16</v>
      </c>
      <c r="AX588" s="46" t="str">
        <f>IF(VLOOKUP(AW588,βοηθητικό!$J$2:$N$354,3,FALSE)="","",VLOOKUP(AW588,βοηθητικό!$J$2:$N$354,3,FALSE))</f>
        <v>_</v>
      </c>
      <c r="AY588" s="47"/>
      <c r="AZ588" s="4" t="s">
        <v>16</v>
      </c>
      <c r="BA588" s="43" t="str">
        <f>IF(VLOOKUP(AZ588,βοηθητικό!$J$2:$N$354,3,FALSE)="","",VLOOKUP(AZ588,βοηθητικό!$J$2:$N$354,3,FALSE))</f>
        <v>_</v>
      </c>
      <c r="BB588" s="44"/>
      <c r="BC588" s="45" t="s">
        <v>16</v>
      </c>
      <c r="BD588" s="46" t="str">
        <f>IF(VLOOKUP(BC588,βοηθητικό!$J$2:$N$354,3,FALSE)="","",VLOOKUP(BC588,βοηθητικό!$J$2:$N$354,3,FALSE))</f>
        <v>_</v>
      </c>
      <c r="BE588" s="47"/>
      <c r="BF588" s="42" t="s">
        <v>16</v>
      </c>
      <c r="BG588" s="43" t="str">
        <f>IF(VLOOKUP(BF588,βοηθητικό!$J$2:$N$354,3,FALSE)="","",VLOOKUP(BF588,βοηθητικό!$J$2:$N$354,3,FALSE))</f>
        <v>_</v>
      </c>
      <c r="BH588" s="44"/>
      <c r="BI588" s="45" t="s">
        <v>16</v>
      </c>
      <c r="BJ588" s="46" t="str">
        <f>IF(VLOOKUP(BI588,βοηθητικό!$J$2:$N$354,3,FALSE)="","",VLOOKUP(BI588,βοηθητικό!$J$2:$N$354,3,FALSE))</f>
        <v>_</v>
      </c>
      <c r="BK588" s="47"/>
      <c r="BL588" s="42" t="s">
        <v>16</v>
      </c>
      <c r="BM588" s="43" t="str">
        <f>IF(VLOOKUP(BL588,βοηθητικό!$J$2:$N$354,3,FALSE)="","",VLOOKUP(BL588,βοηθητικό!$J$2:$N$354,3,FALSE))</f>
        <v>_</v>
      </c>
      <c r="BN588" s="44"/>
      <c r="BO588" s="45" t="s">
        <v>16</v>
      </c>
      <c r="BP588" s="46" t="str">
        <f>IF(VLOOKUP(BO588,βοηθητικό!$J$2:$N$354,3,FALSE)="","",VLOOKUP(BO588,βοηθητικό!$J$2:$N$354,3,FALSE))</f>
        <v>_</v>
      </c>
      <c r="BQ588" s="47"/>
      <c r="BR588" s="42" t="s">
        <v>16</v>
      </c>
      <c r="BS588" s="43" t="str">
        <f>IF(VLOOKUP(BR588,βοηθητικό!$J$2:$N$354,3,FALSE)="","",VLOOKUP(BR588,βοηθητικό!$J$2:$N$354,3,FALSE))</f>
        <v>_</v>
      </c>
      <c r="BT588" s="44"/>
      <c r="BU588" s="45" t="s">
        <v>16</v>
      </c>
      <c r="BV588" s="46" t="str">
        <f>IF(VLOOKUP(BU588,βοηθητικό!$J$2:$N$354,3,FALSE)="","",VLOOKUP(BU588,βοηθητικό!$J$2:$N$354,3,FALSE))</f>
        <v>_</v>
      </c>
      <c r="BW588" s="47"/>
      <c r="BX588" s="42" t="s">
        <v>16</v>
      </c>
      <c r="BY588" s="43" t="str">
        <f>IF(VLOOKUP(BX588,βοηθητικό!$J$2:$N$354,3,FALSE)="","",VLOOKUP(BX588,βοηθητικό!$J$2:$N$354,3,FALSE))</f>
        <v>_</v>
      </c>
      <c r="BZ588" s="44"/>
      <c r="CA588" s="45" t="s">
        <v>16</v>
      </c>
      <c r="CB588" s="46" t="str">
        <f>IF(VLOOKUP(CA588,βοηθητικό!$J$2:$N$354,3,FALSE)="","",VLOOKUP(CA588,βοηθητικό!$J$2:$N$354,3,FALSE))</f>
        <v>_</v>
      </c>
      <c r="CC588" s="47"/>
      <c r="CD588" s="42" t="s">
        <v>16</v>
      </c>
      <c r="CE588" s="43" t="str">
        <f>IF(VLOOKUP(CD588,βοηθητικό!$J$2:$N$354,3,FALSE)="","",VLOOKUP(CD588,βοηθητικό!$J$2:$N$354,3,FALSE))</f>
        <v>_</v>
      </c>
      <c r="CF588" s="44"/>
      <c r="CG588" s="45" t="s">
        <v>16</v>
      </c>
      <c r="CH588" s="46" t="str">
        <f>IF(VLOOKUP(CG588,βοηθητικό!$J$2:$N$354,3,FALSE)="","",VLOOKUP(CG588,βοηθητικό!$J$2:$N$354,3,FALSE))</f>
        <v>_</v>
      </c>
      <c r="CI588" s="47"/>
      <c r="CJ588" s="42" t="s">
        <v>16</v>
      </c>
      <c r="CK588" s="43" t="str">
        <f>IF(VLOOKUP(CJ588,βοηθητικό!$J$2:$N$354,3,FALSE)="","",VLOOKUP(CJ588,βοηθητικό!$J$2:$N$354,3,FALSE))</f>
        <v>_</v>
      </c>
      <c r="CL588" s="44"/>
      <c r="CM588" s="45" t="s">
        <v>16</v>
      </c>
      <c r="CN588" s="46" t="str">
        <f>IF(VLOOKUP(CM588,βοηθητικό!$J$2:$N$354,3,FALSE)="","",VLOOKUP(CM588,βοηθητικό!$J$2:$N$354,3,FALSE))</f>
        <v>_</v>
      </c>
      <c r="CO588" s="47"/>
      <c r="CP588" s="42" t="s">
        <v>16</v>
      </c>
      <c r="CQ588" s="43" t="str">
        <f>IF(VLOOKUP(CP588,βοηθητικό!$J$2:$N$354,3,FALSE)="","",VLOOKUP(CP588,βοηθητικό!$J$2:$N$354,3,FALSE))</f>
        <v>_</v>
      </c>
      <c r="CR588" s="44"/>
      <c r="CS588" s="45" t="s">
        <v>16</v>
      </c>
      <c r="CT588" s="46" t="str">
        <f>IF(VLOOKUP(CS588,βοηθητικό!$J$2:$N$354,3,FALSE)="","",VLOOKUP(CS588,βοηθητικό!$J$2:$N$354,3,FALSE))</f>
        <v>_</v>
      </c>
      <c r="CU588" s="47"/>
    </row>
    <row r="589" spans="1:99" x14ac:dyDescent="0.25">
      <c r="A589" s="37">
        <f>--SUBTOTAL(3,$B$3:B588)</f>
        <v>198</v>
      </c>
      <c r="B589" s="2"/>
      <c r="C589" s="3"/>
      <c r="D589" s="55" t="s">
        <v>18</v>
      </c>
      <c r="E589" s="38" t="s">
        <v>16</v>
      </c>
      <c r="F589" s="38"/>
      <c r="G589" s="39" t="str">
        <f t="shared" si="29"/>
        <v>__</v>
      </c>
      <c r="H589" s="40" t="str">
        <f t="shared" si="30"/>
        <v>FALSE</v>
      </c>
      <c r="I589" s="41">
        <f t="shared" si="31"/>
        <v>0</v>
      </c>
      <c r="J589" s="4" t="s">
        <v>16</v>
      </c>
      <c r="K589" s="43" t="str">
        <f>IF(VLOOKUP(J589,βοηθητικό!$J$2:$N$354,3,FALSE)="","",VLOOKUP(J589,βοηθητικό!$J$2:$N$354,3,FALSE))</f>
        <v>_</v>
      </c>
      <c r="L589" s="44"/>
      <c r="M589" s="5" t="s">
        <v>16</v>
      </c>
      <c r="N589" s="46" t="str">
        <f>IF(VLOOKUP(M589,βοηθητικό!$J$2:$N$354,3,FALSE)="","",VLOOKUP(M589,βοηθητικό!$J$2:$N$354,3,FALSE))</f>
        <v>_</v>
      </c>
      <c r="O589" s="47"/>
      <c r="P589" s="4" t="s">
        <v>16</v>
      </c>
      <c r="Q589" s="43" t="str">
        <f>IF(VLOOKUP(P589,βοηθητικό!$J$2:$N$354,3,FALSE)="","",VLOOKUP(P589,βοηθητικό!$J$2:$N$354,3,FALSE))</f>
        <v>_</v>
      </c>
      <c r="R589" s="44"/>
      <c r="S589" s="5" t="s">
        <v>16</v>
      </c>
      <c r="T589" s="46" t="str">
        <f>IF(VLOOKUP(S589,βοηθητικό!$J$2:$N$354,3,FALSE)="","",VLOOKUP(S589,βοηθητικό!$J$2:$N$354,3,FALSE))</f>
        <v>_</v>
      </c>
      <c r="U589" s="47"/>
      <c r="V589" s="4" t="s">
        <v>16</v>
      </c>
      <c r="W589" s="43" t="str">
        <f>IF(VLOOKUP(V589,βοηθητικό!$J$2:$N$354,3,FALSE)="","",VLOOKUP(V589,βοηθητικό!$J$2:$N$354,3,FALSE))</f>
        <v>_</v>
      </c>
      <c r="X589" s="44"/>
      <c r="Y589" s="5" t="s">
        <v>16</v>
      </c>
      <c r="Z589" s="46" t="str">
        <f>IF(VLOOKUP(Y589,βοηθητικό!$J$2:$N$354,3,FALSE)="","",VLOOKUP(Y589,βοηθητικό!$J$2:$N$354,3,FALSE))</f>
        <v>_</v>
      </c>
      <c r="AA589" s="47"/>
      <c r="AB589" s="4" t="s">
        <v>16</v>
      </c>
      <c r="AC589" s="43" t="str">
        <f>IF(VLOOKUP(AB589,βοηθητικό!$J$2:$N$354,3,FALSE)="","",VLOOKUP(AB589,βοηθητικό!$J$2:$N$354,3,FALSE))</f>
        <v>_</v>
      </c>
      <c r="AD589" s="44"/>
      <c r="AE589" s="5" t="s">
        <v>16</v>
      </c>
      <c r="AF589" s="46" t="str">
        <f>IF(VLOOKUP(AE589,βοηθητικό!$J$2:$N$354,3,FALSE)="","",VLOOKUP(AE589,βοηθητικό!$J$2:$N$354,3,FALSE))</f>
        <v>_</v>
      </c>
      <c r="AG589" s="47"/>
      <c r="AH589" s="4" t="s">
        <v>16</v>
      </c>
      <c r="AI589" s="43" t="str">
        <f>IF(VLOOKUP(AH589,βοηθητικό!$J$2:$N$354,3,FALSE)="","",VLOOKUP(AH589,βοηθητικό!$J$2:$N$354,3,FALSE))</f>
        <v>_</v>
      </c>
      <c r="AJ589" s="44"/>
      <c r="AK589" s="5" t="s">
        <v>16</v>
      </c>
      <c r="AL589" s="46" t="str">
        <f>IF(VLOOKUP(AK589,βοηθητικό!$J$2:$N$354,3,FALSE)="","",VLOOKUP(AK589,βοηθητικό!$J$2:$N$354,3,FALSE))</f>
        <v>_</v>
      </c>
      <c r="AM589" s="47"/>
      <c r="AN589" s="4" t="s">
        <v>16</v>
      </c>
      <c r="AO589" s="43" t="str">
        <f>IF(VLOOKUP(AN589,βοηθητικό!$J$2:$N$354,3,FALSE)="","",VLOOKUP(AN589,βοηθητικό!$J$2:$N$354,3,FALSE))</f>
        <v>_</v>
      </c>
      <c r="AP589" s="44"/>
      <c r="AQ589" s="5" t="s">
        <v>16</v>
      </c>
      <c r="AR589" s="46" t="str">
        <f>IF(VLOOKUP(AQ589,βοηθητικό!$J$2:$N$354,3,FALSE)="","",VLOOKUP(AQ589,βοηθητικό!$J$2:$N$354,3,FALSE))</f>
        <v>_</v>
      </c>
      <c r="AS589" s="47"/>
      <c r="AT589" s="4" t="s">
        <v>16</v>
      </c>
      <c r="AU589" s="43" t="str">
        <f>IF(VLOOKUP(AT589,βοηθητικό!$J$2:$N$354,3,FALSE)="","",VLOOKUP(AT589,βοηθητικό!$J$2:$N$354,3,FALSE))</f>
        <v>_</v>
      </c>
      <c r="AV589" s="44"/>
      <c r="AW589" s="5" t="s">
        <v>16</v>
      </c>
      <c r="AX589" s="46" t="str">
        <f>IF(VLOOKUP(AW589,βοηθητικό!$J$2:$N$354,3,FALSE)="","",VLOOKUP(AW589,βοηθητικό!$J$2:$N$354,3,FALSE))</f>
        <v>_</v>
      </c>
      <c r="AY589" s="47"/>
      <c r="AZ589" s="4" t="s">
        <v>16</v>
      </c>
      <c r="BA589" s="43" t="str">
        <f>IF(VLOOKUP(AZ589,βοηθητικό!$J$2:$N$354,3,FALSE)="","",VLOOKUP(AZ589,βοηθητικό!$J$2:$N$354,3,FALSE))</f>
        <v>_</v>
      </c>
      <c r="BB589" s="44"/>
      <c r="BC589" s="45" t="s">
        <v>16</v>
      </c>
      <c r="BD589" s="46" t="str">
        <f>IF(VLOOKUP(BC589,βοηθητικό!$J$2:$N$354,3,FALSE)="","",VLOOKUP(BC589,βοηθητικό!$J$2:$N$354,3,FALSE))</f>
        <v>_</v>
      </c>
      <c r="BE589" s="47"/>
      <c r="BF589" s="42" t="s">
        <v>16</v>
      </c>
      <c r="BG589" s="43" t="str">
        <f>IF(VLOOKUP(BF589,βοηθητικό!$J$2:$N$354,3,FALSE)="","",VLOOKUP(BF589,βοηθητικό!$J$2:$N$354,3,FALSE))</f>
        <v>_</v>
      </c>
      <c r="BH589" s="44"/>
      <c r="BI589" s="45" t="s">
        <v>16</v>
      </c>
      <c r="BJ589" s="46" t="str">
        <f>IF(VLOOKUP(BI589,βοηθητικό!$J$2:$N$354,3,FALSE)="","",VLOOKUP(BI589,βοηθητικό!$J$2:$N$354,3,FALSE))</f>
        <v>_</v>
      </c>
      <c r="BK589" s="47"/>
      <c r="BL589" s="42" t="s">
        <v>16</v>
      </c>
      <c r="BM589" s="43" t="str">
        <f>IF(VLOOKUP(BL589,βοηθητικό!$J$2:$N$354,3,FALSE)="","",VLOOKUP(BL589,βοηθητικό!$J$2:$N$354,3,FALSE))</f>
        <v>_</v>
      </c>
      <c r="BN589" s="44"/>
      <c r="BO589" s="45" t="s">
        <v>16</v>
      </c>
      <c r="BP589" s="46" t="str">
        <f>IF(VLOOKUP(BO589,βοηθητικό!$J$2:$N$354,3,FALSE)="","",VLOOKUP(BO589,βοηθητικό!$J$2:$N$354,3,FALSE))</f>
        <v>_</v>
      </c>
      <c r="BQ589" s="47"/>
      <c r="BR589" s="42" t="s">
        <v>16</v>
      </c>
      <c r="BS589" s="43" t="str">
        <f>IF(VLOOKUP(BR589,βοηθητικό!$J$2:$N$354,3,FALSE)="","",VLOOKUP(BR589,βοηθητικό!$J$2:$N$354,3,FALSE))</f>
        <v>_</v>
      </c>
      <c r="BT589" s="44"/>
      <c r="BU589" s="45" t="s">
        <v>16</v>
      </c>
      <c r="BV589" s="46" t="str">
        <f>IF(VLOOKUP(BU589,βοηθητικό!$J$2:$N$354,3,FALSE)="","",VLOOKUP(BU589,βοηθητικό!$J$2:$N$354,3,FALSE))</f>
        <v>_</v>
      </c>
      <c r="BW589" s="47"/>
      <c r="BX589" s="42" t="s">
        <v>16</v>
      </c>
      <c r="BY589" s="43" t="str">
        <f>IF(VLOOKUP(BX589,βοηθητικό!$J$2:$N$354,3,FALSE)="","",VLOOKUP(BX589,βοηθητικό!$J$2:$N$354,3,FALSE))</f>
        <v>_</v>
      </c>
      <c r="BZ589" s="44"/>
      <c r="CA589" s="45" t="s">
        <v>16</v>
      </c>
      <c r="CB589" s="46" t="str">
        <f>IF(VLOOKUP(CA589,βοηθητικό!$J$2:$N$354,3,FALSE)="","",VLOOKUP(CA589,βοηθητικό!$J$2:$N$354,3,FALSE))</f>
        <v>_</v>
      </c>
      <c r="CC589" s="47"/>
      <c r="CD589" s="42" t="s">
        <v>16</v>
      </c>
      <c r="CE589" s="43" t="str">
        <f>IF(VLOOKUP(CD589,βοηθητικό!$J$2:$N$354,3,FALSE)="","",VLOOKUP(CD589,βοηθητικό!$J$2:$N$354,3,FALSE))</f>
        <v>_</v>
      </c>
      <c r="CF589" s="44"/>
      <c r="CG589" s="45" t="s">
        <v>16</v>
      </c>
      <c r="CH589" s="46" t="str">
        <f>IF(VLOOKUP(CG589,βοηθητικό!$J$2:$N$354,3,FALSE)="","",VLOOKUP(CG589,βοηθητικό!$J$2:$N$354,3,FALSE))</f>
        <v>_</v>
      </c>
      <c r="CI589" s="47"/>
      <c r="CJ589" s="42" t="s">
        <v>16</v>
      </c>
      <c r="CK589" s="43" t="str">
        <f>IF(VLOOKUP(CJ589,βοηθητικό!$J$2:$N$354,3,FALSE)="","",VLOOKUP(CJ589,βοηθητικό!$J$2:$N$354,3,FALSE))</f>
        <v>_</v>
      </c>
      <c r="CL589" s="44"/>
      <c r="CM589" s="45" t="s">
        <v>16</v>
      </c>
      <c r="CN589" s="46" t="str">
        <f>IF(VLOOKUP(CM589,βοηθητικό!$J$2:$N$354,3,FALSE)="","",VLOOKUP(CM589,βοηθητικό!$J$2:$N$354,3,FALSE))</f>
        <v>_</v>
      </c>
      <c r="CO589" s="47"/>
      <c r="CP589" s="42" t="s">
        <v>16</v>
      </c>
      <c r="CQ589" s="43" t="str">
        <f>IF(VLOOKUP(CP589,βοηθητικό!$J$2:$N$354,3,FALSE)="","",VLOOKUP(CP589,βοηθητικό!$J$2:$N$354,3,FALSE))</f>
        <v>_</v>
      </c>
      <c r="CR589" s="44"/>
      <c r="CS589" s="45" t="s">
        <v>16</v>
      </c>
      <c r="CT589" s="46" t="str">
        <f>IF(VLOOKUP(CS589,βοηθητικό!$J$2:$N$354,3,FALSE)="","",VLOOKUP(CS589,βοηθητικό!$J$2:$N$354,3,FALSE))</f>
        <v>_</v>
      </c>
      <c r="CU589" s="47"/>
    </row>
    <row r="590" spans="1:99" x14ac:dyDescent="0.25">
      <c r="A590" s="37">
        <f>--SUBTOTAL(3,$B$3:B589)</f>
        <v>198</v>
      </c>
      <c r="B590" s="2"/>
      <c r="C590" s="3"/>
      <c r="D590" s="55" t="s">
        <v>18</v>
      </c>
      <c r="E590" s="38" t="s">
        <v>16</v>
      </c>
      <c r="F590" s="38"/>
      <c r="G590" s="39" t="str">
        <f t="shared" si="29"/>
        <v>__</v>
      </c>
      <c r="H590" s="40" t="str">
        <f t="shared" si="30"/>
        <v>FALSE</v>
      </c>
      <c r="I590" s="41">
        <f t="shared" si="31"/>
        <v>0</v>
      </c>
      <c r="J590" s="4" t="s">
        <v>16</v>
      </c>
      <c r="K590" s="43" t="str">
        <f>IF(VLOOKUP(J590,βοηθητικό!$J$2:$N$354,3,FALSE)="","",VLOOKUP(J590,βοηθητικό!$J$2:$N$354,3,FALSE))</f>
        <v>_</v>
      </c>
      <c r="L590" s="44"/>
      <c r="M590" s="5" t="s">
        <v>16</v>
      </c>
      <c r="N590" s="46" t="str">
        <f>IF(VLOOKUP(M590,βοηθητικό!$J$2:$N$354,3,FALSE)="","",VLOOKUP(M590,βοηθητικό!$J$2:$N$354,3,FALSE))</f>
        <v>_</v>
      </c>
      <c r="O590" s="47"/>
      <c r="P590" s="4" t="s">
        <v>16</v>
      </c>
      <c r="Q590" s="43" t="str">
        <f>IF(VLOOKUP(P590,βοηθητικό!$J$2:$N$354,3,FALSE)="","",VLOOKUP(P590,βοηθητικό!$J$2:$N$354,3,FALSE))</f>
        <v>_</v>
      </c>
      <c r="R590" s="44"/>
      <c r="S590" s="5" t="s">
        <v>16</v>
      </c>
      <c r="T590" s="46" t="str">
        <f>IF(VLOOKUP(S590,βοηθητικό!$J$2:$N$354,3,FALSE)="","",VLOOKUP(S590,βοηθητικό!$J$2:$N$354,3,FALSE))</f>
        <v>_</v>
      </c>
      <c r="U590" s="47"/>
      <c r="V590" s="4" t="s">
        <v>16</v>
      </c>
      <c r="W590" s="43" t="str">
        <f>IF(VLOOKUP(V590,βοηθητικό!$J$2:$N$354,3,FALSE)="","",VLOOKUP(V590,βοηθητικό!$J$2:$N$354,3,FALSE))</f>
        <v>_</v>
      </c>
      <c r="X590" s="44"/>
      <c r="Y590" s="5" t="s">
        <v>16</v>
      </c>
      <c r="Z590" s="46" t="str">
        <f>IF(VLOOKUP(Y590,βοηθητικό!$J$2:$N$354,3,FALSE)="","",VLOOKUP(Y590,βοηθητικό!$J$2:$N$354,3,FALSE))</f>
        <v>_</v>
      </c>
      <c r="AA590" s="47"/>
      <c r="AB590" s="4" t="s">
        <v>16</v>
      </c>
      <c r="AC590" s="43" t="str">
        <f>IF(VLOOKUP(AB590,βοηθητικό!$J$2:$N$354,3,FALSE)="","",VLOOKUP(AB590,βοηθητικό!$J$2:$N$354,3,FALSE))</f>
        <v>_</v>
      </c>
      <c r="AD590" s="44"/>
      <c r="AE590" s="5" t="s">
        <v>16</v>
      </c>
      <c r="AF590" s="46" t="str">
        <f>IF(VLOOKUP(AE590,βοηθητικό!$J$2:$N$354,3,FALSE)="","",VLOOKUP(AE590,βοηθητικό!$J$2:$N$354,3,FALSE))</f>
        <v>_</v>
      </c>
      <c r="AG590" s="47"/>
      <c r="AH590" s="4" t="s">
        <v>16</v>
      </c>
      <c r="AI590" s="43" t="str">
        <f>IF(VLOOKUP(AH590,βοηθητικό!$J$2:$N$354,3,FALSE)="","",VLOOKUP(AH590,βοηθητικό!$J$2:$N$354,3,FALSE))</f>
        <v>_</v>
      </c>
      <c r="AJ590" s="44"/>
      <c r="AK590" s="5" t="s">
        <v>16</v>
      </c>
      <c r="AL590" s="46" t="str">
        <f>IF(VLOOKUP(AK590,βοηθητικό!$J$2:$N$354,3,FALSE)="","",VLOOKUP(AK590,βοηθητικό!$J$2:$N$354,3,FALSE))</f>
        <v>_</v>
      </c>
      <c r="AM590" s="47"/>
      <c r="AN590" s="4" t="s">
        <v>16</v>
      </c>
      <c r="AO590" s="43" t="str">
        <f>IF(VLOOKUP(AN590,βοηθητικό!$J$2:$N$354,3,FALSE)="","",VLOOKUP(AN590,βοηθητικό!$J$2:$N$354,3,FALSE))</f>
        <v>_</v>
      </c>
      <c r="AP590" s="44"/>
      <c r="AQ590" s="5" t="s">
        <v>16</v>
      </c>
      <c r="AR590" s="46" t="str">
        <f>IF(VLOOKUP(AQ590,βοηθητικό!$J$2:$N$354,3,FALSE)="","",VLOOKUP(AQ590,βοηθητικό!$J$2:$N$354,3,FALSE))</f>
        <v>_</v>
      </c>
      <c r="AS590" s="47"/>
      <c r="AT590" s="4" t="s">
        <v>16</v>
      </c>
      <c r="AU590" s="43" t="str">
        <f>IF(VLOOKUP(AT590,βοηθητικό!$J$2:$N$354,3,FALSE)="","",VLOOKUP(AT590,βοηθητικό!$J$2:$N$354,3,FALSE))</f>
        <v>_</v>
      </c>
      <c r="AV590" s="44"/>
      <c r="AW590" s="5" t="s">
        <v>16</v>
      </c>
      <c r="AX590" s="46" t="str">
        <f>IF(VLOOKUP(AW590,βοηθητικό!$J$2:$N$354,3,FALSE)="","",VLOOKUP(AW590,βοηθητικό!$J$2:$N$354,3,FALSE))</f>
        <v>_</v>
      </c>
      <c r="AY590" s="47"/>
      <c r="AZ590" s="4" t="s">
        <v>16</v>
      </c>
      <c r="BA590" s="43" t="str">
        <f>IF(VLOOKUP(AZ590,βοηθητικό!$J$2:$N$354,3,FALSE)="","",VLOOKUP(AZ590,βοηθητικό!$J$2:$N$354,3,FALSE))</f>
        <v>_</v>
      </c>
      <c r="BB590" s="44"/>
      <c r="BC590" s="45" t="s">
        <v>16</v>
      </c>
      <c r="BD590" s="46" t="str">
        <f>IF(VLOOKUP(BC590,βοηθητικό!$J$2:$N$354,3,FALSE)="","",VLOOKUP(BC590,βοηθητικό!$J$2:$N$354,3,FALSE))</f>
        <v>_</v>
      </c>
      <c r="BE590" s="47"/>
      <c r="BF590" s="42" t="s">
        <v>16</v>
      </c>
      <c r="BG590" s="43" t="str">
        <f>IF(VLOOKUP(BF590,βοηθητικό!$J$2:$N$354,3,FALSE)="","",VLOOKUP(BF590,βοηθητικό!$J$2:$N$354,3,FALSE))</f>
        <v>_</v>
      </c>
      <c r="BH590" s="44"/>
      <c r="BI590" s="45" t="s">
        <v>16</v>
      </c>
      <c r="BJ590" s="46" t="str">
        <f>IF(VLOOKUP(BI590,βοηθητικό!$J$2:$N$354,3,FALSE)="","",VLOOKUP(BI590,βοηθητικό!$J$2:$N$354,3,FALSE))</f>
        <v>_</v>
      </c>
      <c r="BK590" s="47"/>
      <c r="BL590" s="42" t="s">
        <v>16</v>
      </c>
      <c r="BM590" s="43" t="str">
        <f>IF(VLOOKUP(BL590,βοηθητικό!$J$2:$N$354,3,FALSE)="","",VLOOKUP(BL590,βοηθητικό!$J$2:$N$354,3,FALSE))</f>
        <v>_</v>
      </c>
      <c r="BN590" s="44"/>
      <c r="BO590" s="45" t="s">
        <v>16</v>
      </c>
      <c r="BP590" s="46" t="str">
        <f>IF(VLOOKUP(BO590,βοηθητικό!$J$2:$N$354,3,FALSE)="","",VLOOKUP(BO590,βοηθητικό!$J$2:$N$354,3,FALSE))</f>
        <v>_</v>
      </c>
      <c r="BQ590" s="47"/>
      <c r="BR590" s="42" t="s">
        <v>16</v>
      </c>
      <c r="BS590" s="43" t="str">
        <f>IF(VLOOKUP(BR590,βοηθητικό!$J$2:$N$354,3,FALSE)="","",VLOOKUP(BR590,βοηθητικό!$J$2:$N$354,3,FALSE))</f>
        <v>_</v>
      </c>
      <c r="BT590" s="44"/>
      <c r="BU590" s="45" t="s">
        <v>16</v>
      </c>
      <c r="BV590" s="46" t="str">
        <f>IF(VLOOKUP(BU590,βοηθητικό!$J$2:$N$354,3,FALSE)="","",VLOOKUP(BU590,βοηθητικό!$J$2:$N$354,3,FALSE))</f>
        <v>_</v>
      </c>
      <c r="BW590" s="47"/>
      <c r="BX590" s="42" t="s">
        <v>16</v>
      </c>
      <c r="BY590" s="43" t="str">
        <f>IF(VLOOKUP(BX590,βοηθητικό!$J$2:$N$354,3,FALSE)="","",VLOOKUP(BX590,βοηθητικό!$J$2:$N$354,3,FALSE))</f>
        <v>_</v>
      </c>
      <c r="BZ590" s="44"/>
      <c r="CA590" s="45" t="s">
        <v>16</v>
      </c>
      <c r="CB590" s="46" t="str">
        <f>IF(VLOOKUP(CA590,βοηθητικό!$J$2:$N$354,3,FALSE)="","",VLOOKUP(CA590,βοηθητικό!$J$2:$N$354,3,FALSE))</f>
        <v>_</v>
      </c>
      <c r="CC590" s="47"/>
      <c r="CD590" s="42" t="s">
        <v>16</v>
      </c>
      <c r="CE590" s="43" t="str">
        <f>IF(VLOOKUP(CD590,βοηθητικό!$J$2:$N$354,3,FALSE)="","",VLOOKUP(CD590,βοηθητικό!$J$2:$N$354,3,FALSE))</f>
        <v>_</v>
      </c>
      <c r="CF590" s="44"/>
      <c r="CG590" s="45" t="s">
        <v>16</v>
      </c>
      <c r="CH590" s="46" t="str">
        <f>IF(VLOOKUP(CG590,βοηθητικό!$J$2:$N$354,3,FALSE)="","",VLOOKUP(CG590,βοηθητικό!$J$2:$N$354,3,FALSE))</f>
        <v>_</v>
      </c>
      <c r="CI590" s="47"/>
      <c r="CJ590" s="42" t="s">
        <v>16</v>
      </c>
      <c r="CK590" s="43" t="str">
        <f>IF(VLOOKUP(CJ590,βοηθητικό!$J$2:$N$354,3,FALSE)="","",VLOOKUP(CJ590,βοηθητικό!$J$2:$N$354,3,FALSE))</f>
        <v>_</v>
      </c>
      <c r="CL590" s="44"/>
      <c r="CM590" s="45" t="s">
        <v>16</v>
      </c>
      <c r="CN590" s="46" t="str">
        <f>IF(VLOOKUP(CM590,βοηθητικό!$J$2:$N$354,3,FALSE)="","",VLOOKUP(CM590,βοηθητικό!$J$2:$N$354,3,FALSE))</f>
        <v>_</v>
      </c>
      <c r="CO590" s="47"/>
      <c r="CP590" s="42" t="s">
        <v>16</v>
      </c>
      <c r="CQ590" s="43" t="str">
        <f>IF(VLOOKUP(CP590,βοηθητικό!$J$2:$N$354,3,FALSE)="","",VLOOKUP(CP590,βοηθητικό!$J$2:$N$354,3,FALSE))</f>
        <v>_</v>
      </c>
      <c r="CR590" s="44"/>
      <c r="CS590" s="45" t="s">
        <v>16</v>
      </c>
      <c r="CT590" s="46" t="str">
        <f>IF(VLOOKUP(CS590,βοηθητικό!$J$2:$N$354,3,FALSE)="","",VLOOKUP(CS590,βοηθητικό!$J$2:$N$354,3,FALSE))</f>
        <v>_</v>
      </c>
      <c r="CU590" s="47"/>
    </row>
    <row r="591" spans="1:99" x14ac:dyDescent="0.25">
      <c r="A591" s="37">
        <f>--SUBTOTAL(3,$B$3:B590)</f>
        <v>198</v>
      </c>
      <c r="B591" s="2"/>
      <c r="C591" s="3"/>
      <c r="D591" s="55" t="s">
        <v>18</v>
      </c>
      <c r="E591" s="38" t="s">
        <v>16</v>
      </c>
      <c r="F591" s="38"/>
      <c r="G591" s="39" t="str">
        <f t="shared" si="29"/>
        <v>__</v>
      </c>
      <c r="H591" s="40" t="str">
        <f t="shared" si="30"/>
        <v>FALSE</v>
      </c>
      <c r="I591" s="41">
        <f t="shared" si="31"/>
        <v>0</v>
      </c>
      <c r="J591" s="4" t="s">
        <v>16</v>
      </c>
      <c r="K591" s="43" t="str">
        <f>IF(VLOOKUP(J591,βοηθητικό!$J$2:$N$354,3,FALSE)="","",VLOOKUP(J591,βοηθητικό!$J$2:$N$354,3,FALSE))</f>
        <v>_</v>
      </c>
      <c r="L591" s="44"/>
      <c r="M591" s="5" t="s">
        <v>16</v>
      </c>
      <c r="N591" s="46" t="str">
        <f>IF(VLOOKUP(M591,βοηθητικό!$J$2:$N$354,3,FALSE)="","",VLOOKUP(M591,βοηθητικό!$J$2:$N$354,3,FALSE))</f>
        <v>_</v>
      </c>
      <c r="O591" s="47"/>
      <c r="P591" s="4" t="s">
        <v>16</v>
      </c>
      <c r="Q591" s="43" t="str">
        <f>IF(VLOOKUP(P591,βοηθητικό!$J$2:$N$354,3,FALSE)="","",VLOOKUP(P591,βοηθητικό!$J$2:$N$354,3,FALSE))</f>
        <v>_</v>
      </c>
      <c r="R591" s="44"/>
      <c r="S591" s="5" t="s">
        <v>16</v>
      </c>
      <c r="T591" s="46" t="str">
        <f>IF(VLOOKUP(S591,βοηθητικό!$J$2:$N$354,3,FALSE)="","",VLOOKUP(S591,βοηθητικό!$J$2:$N$354,3,FALSE))</f>
        <v>_</v>
      </c>
      <c r="U591" s="47"/>
      <c r="V591" s="4" t="s">
        <v>16</v>
      </c>
      <c r="W591" s="43" t="str">
        <f>IF(VLOOKUP(V591,βοηθητικό!$J$2:$N$354,3,FALSE)="","",VLOOKUP(V591,βοηθητικό!$J$2:$N$354,3,FALSE))</f>
        <v>_</v>
      </c>
      <c r="X591" s="44"/>
      <c r="Y591" s="5" t="s">
        <v>16</v>
      </c>
      <c r="Z591" s="46" t="str">
        <f>IF(VLOOKUP(Y591,βοηθητικό!$J$2:$N$354,3,FALSE)="","",VLOOKUP(Y591,βοηθητικό!$J$2:$N$354,3,FALSE))</f>
        <v>_</v>
      </c>
      <c r="AA591" s="47"/>
      <c r="AB591" s="4" t="s">
        <v>16</v>
      </c>
      <c r="AC591" s="43" t="str">
        <f>IF(VLOOKUP(AB591,βοηθητικό!$J$2:$N$354,3,FALSE)="","",VLOOKUP(AB591,βοηθητικό!$J$2:$N$354,3,FALSE))</f>
        <v>_</v>
      </c>
      <c r="AD591" s="44"/>
      <c r="AE591" s="5" t="s">
        <v>16</v>
      </c>
      <c r="AF591" s="46" t="str">
        <f>IF(VLOOKUP(AE591,βοηθητικό!$J$2:$N$354,3,FALSE)="","",VLOOKUP(AE591,βοηθητικό!$J$2:$N$354,3,FALSE))</f>
        <v>_</v>
      </c>
      <c r="AG591" s="47"/>
      <c r="AH591" s="4" t="s">
        <v>16</v>
      </c>
      <c r="AI591" s="43" t="str">
        <f>IF(VLOOKUP(AH591,βοηθητικό!$J$2:$N$354,3,FALSE)="","",VLOOKUP(AH591,βοηθητικό!$J$2:$N$354,3,FALSE))</f>
        <v>_</v>
      </c>
      <c r="AJ591" s="44"/>
      <c r="AK591" s="5" t="s">
        <v>16</v>
      </c>
      <c r="AL591" s="46" t="str">
        <f>IF(VLOOKUP(AK591,βοηθητικό!$J$2:$N$354,3,FALSE)="","",VLOOKUP(AK591,βοηθητικό!$J$2:$N$354,3,FALSE))</f>
        <v>_</v>
      </c>
      <c r="AM591" s="47"/>
      <c r="AN591" s="4" t="s">
        <v>16</v>
      </c>
      <c r="AO591" s="43" t="str">
        <f>IF(VLOOKUP(AN591,βοηθητικό!$J$2:$N$354,3,FALSE)="","",VLOOKUP(AN591,βοηθητικό!$J$2:$N$354,3,FALSE))</f>
        <v>_</v>
      </c>
      <c r="AP591" s="44"/>
      <c r="AQ591" s="5" t="s">
        <v>16</v>
      </c>
      <c r="AR591" s="46" t="str">
        <f>IF(VLOOKUP(AQ591,βοηθητικό!$J$2:$N$354,3,FALSE)="","",VLOOKUP(AQ591,βοηθητικό!$J$2:$N$354,3,FALSE))</f>
        <v>_</v>
      </c>
      <c r="AS591" s="47"/>
      <c r="AT591" s="4" t="s">
        <v>16</v>
      </c>
      <c r="AU591" s="43" t="str">
        <f>IF(VLOOKUP(AT591,βοηθητικό!$J$2:$N$354,3,FALSE)="","",VLOOKUP(AT591,βοηθητικό!$J$2:$N$354,3,FALSE))</f>
        <v>_</v>
      </c>
      <c r="AV591" s="44"/>
      <c r="AW591" s="5" t="s">
        <v>16</v>
      </c>
      <c r="AX591" s="46" t="str">
        <f>IF(VLOOKUP(AW591,βοηθητικό!$J$2:$N$354,3,FALSE)="","",VLOOKUP(AW591,βοηθητικό!$J$2:$N$354,3,FALSE))</f>
        <v>_</v>
      </c>
      <c r="AY591" s="47"/>
      <c r="AZ591" s="4" t="s">
        <v>16</v>
      </c>
      <c r="BA591" s="43" t="str">
        <f>IF(VLOOKUP(AZ591,βοηθητικό!$J$2:$N$354,3,FALSE)="","",VLOOKUP(AZ591,βοηθητικό!$J$2:$N$354,3,FALSE))</f>
        <v>_</v>
      </c>
      <c r="BB591" s="44"/>
      <c r="BC591" s="45" t="s">
        <v>16</v>
      </c>
      <c r="BD591" s="46" t="str">
        <f>IF(VLOOKUP(BC591,βοηθητικό!$J$2:$N$354,3,FALSE)="","",VLOOKUP(BC591,βοηθητικό!$J$2:$N$354,3,FALSE))</f>
        <v>_</v>
      </c>
      <c r="BE591" s="47"/>
      <c r="BF591" s="42" t="s">
        <v>16</v>
      </c>
      <c r="BG591" s="43" t="str">
        <f>IF(VLOOKUP(BF591,βοηθητικό!$J$2:$N$354,3,FALSE)="","",VLOOKUP(BF591,βοηθητικό!$J$2:$N$354,3,FALSE))</f>
        <v>_</v>
      </c>
      <c r="BH591" s="44"/>
      <c r="BI591" s="45" t="s">
        <v>16</v>
      </c>
      <c r="BJ591" s="46" t="str">
        <f>IF(VLOOKUP(BI591,βοηθητικό!$J$2:$N$354,3,FALSE)="","",VLOOKUP(BI591,βοηθητικό!$J$2:$N$354,3,FALSE))</f>
        <v>_</v>
      </c>
      <c r="BK591" s="47"/>
      <c r="BL591" s="42" t="s">
        <v>16</v>
      </c>
      <c r="BM591" s="43" t="str">
        <f>IF(VLOOKUP(BL591,βοηθητικό!$J$2:$N$354,3,FALSE)="","",VLOOKUP(BL591,βοηθητικό!$J$2:$N$354,3,FALSE))</f>
        <v>_</v>
      </c>
      <c r="BN591" s="44"/>
      <c r="BO591" s="45" t="s">
        <v>16</v>
      </c>
      <c r="BP591" s="46" t="str">
        <f>IF(VLOOKUP(BO591,βοηθητικό!$J$2:$N$354,3,FALSE)="","",VLOOKUP(BO591,βοηθητικό!$J$2:$N$354,3,FALSE))</f>
        <v>_</v>
      </c>
      <c r="BQ591" s="47"/>
      <c r="BR591" s="42" t="s">
        <v>16</v>
      </c>
      <c r="BS591" s="43" t="str">
        <f>IF(VLOOKUP(BR591,βοηθητικό!$J$2:$N$354,3,FALSE)="","",VLOOKUP(BR591,βοηθητικό!$J$2:$N$354,3,FALSE))</f>
        <v>_</v>
      </c>
      <c r="BT591" s="44"/>
      <c r="BU591" s="45" t="s">
        <v>16</v>
      </c>
      <c r="BV591" s="46" t="str">
        <f>IF(VLOOKUP(BU591,βοηθητικό!$J$2:$N$354,3,FALSE)="","",VLOOKUP(BU591,βοηθητικό!$J$2:$N$354,3,FALSE))</f>
        <v>_</v>
      </c>
      <c r="BW591" s="47"/>
      <c r="BX591" s="42" t="s">
        <v>16</v>
      </c>
      <c r="BY591" s="43" t="str">
        <f>IF(VLOOKUP(BX591,βοηθητικό!$J$2:$N$354,3,FALSE)="","",VLOOKUP(BX591,βοηθητικό!$J$2:$N$354,3,FALSE))</f>
        <v>_</v>
      </c>
      <c r="BZ591" s="44"/>
      <c r="CA591" s="45" t="s">
        <v>16</v>
      </c>
      <c r="CB591" s="46" t="str">
        <f>IF(VLOOKUP(CA591,βοηθητικό!$J$2:$N$354,3,FALSE)="","",VLOOKUP(CA591,βοηθητικό!$J$2:$N$354,3,FALSE))</f>
        <v>_</v>
      </c>
      <c r="CC591" s="47"/>
      <c r="CD591" s="42" t="s">
        <v>16</v>
      </c>
      <c r="CE591" s="43" t="str">
        <f>IF(VLOOKUP(CD591,βοηθητικό!$J$2:$N$354,3,FALSE)="","",VLOOKUP(CD591,βοηθητικό!$J$2:$N$354,3,FALSE))</f>
        <v>_</v>
      </c>
      <c r="CF591" s="44"/>
      <c r="CG591" s="45" t="s">
        <v>16</v>
      </c>
      <c r="CH591" s="46" t="str">
        <f>IF(VLOOKUP(CG591,βοηθητικό!$J$2:$N$354,3,FALSE)="","",VLOOKUP(CG591,βοηθητικό!$J$2:$N$354,3,FALSE))</f>
        <v>_</v>
      </c>
      <c r="CI591" s="47"/>
      <c r="CJ591" s="42" t="s">
        <v>16</v>
      </c>
      <c r="CK591" s="43" t="str">
        <f>IF(VLOOKUP(CJ591,βοηθητικό!$J$2:$N$354,3,FALSE)="","",VLOOKUP(CJ591,βοηθητικό!$J$2:$N$354,3,FALSE))</f>
        <v>_</v>
      </c>
      <c r="CL591" s="44"/>
      <c r="CM591" s="45" t="s">
        <v>16</v>
      </c>
      <c r="CN591" s="46" t="str">
        <f>IF(VLOOKUP(CM591,βοηθητικό!$J$2:$N$354,3,FALSE)="","",VLOOKUP(CM591,βοηθητικό!$J$2:$N$354,3,FALSE))</f>
        <v>_</v>
      </c>
      <c r="CO591" s="47"/>
      <c r="CP591" s="42" t="s">
        <v>16</v>
      </c>
      <c r="CQ591" s="43" t="str">
        <f>IF(VLOOKUP(CP591,βοηθητικό!$J$2:$N$354,3,FALSE)="","",VLOOKUP(CP591,βοηθητικό!$J$2:$N$354,3,FALSE))</f>
        <v>_</v>
      </c>
      <c r="CR591" s="44"/>
      <c r="CS591" s="45" t="s">
        <v>16</v>
      </c>
      <c r="CT591" s="46" t="str">
        <f>IF(VLOOKUP(CS591,βοηθητικό!$J$2:$N$354,3,FALSE)="","",VLOOKUP(CS591,βοηθητικό!$J$2:$N$354,3,FALSE))</f>
        <v>_</v>
      </c>
      <c r="CU591" s="47"/>
    </row>
    <row r="592" spans="1:99" x14ac:dyDescent="0.25">
      <c r="A592" s="37">
        <f>--SUBTOTAL(3,$B$3:B591)</f>
        <v>198</v>
      </c>
      <c r="B592" s="2"/>
      <c r="C592" s="3"/>
      <c r="D592" s="55" t="s">
        <v>18</v>
      </c>
      <c r="E592" s="38" t="s">
        <v>16</v>
      </c>
      <c r="F592" s="38"/>
      <c r="G592" s="39" t="str">
        <f t="shared" si="29"/>
        <v>__</v>
      </c>
      <c r="H592" s="40" t="str">
        <f t="shared" si="30"/>
        <v>FALSE</v>
      </c>
      <c r="I592" s="41">
        <f t="shared" si="31"/>
        <v>0</v>
      </c>
      <c r="J592" s="4" t="s">
        <v>16</v>
      </c>
      <c r="K592" s="43" t="str">
        <f>IF(VLOOKUP(J592,βοηθητικό!$J$2:$N$354,3,FALSE)="","",VLOOKUP(J592,βοηθητικό!$J$2:$N$354,3,FALSE))</f>
        <v>_</v>
      </c>
      <c r="L592" s="44"/>
      <c r="M592" s="5" t="s">
        <v>16</v>
      </c>
      <c r="N592" s="46" t="str">
        <f>IF(VLOOKUP(M592,βοηθητικό!$J$2:$N$354,3,FALSE)="","",VLOOKUP(M592,βοηθητικό!$J$2:$N$354,3,FALSE))</f>
        <v>_</v>
      </c>
      <c r="O592" s="47"/>
      <c r="P592" s="4" t="s">
        <v>16</v>
      </c>
      <c r="Q592" s="43" t="str">
        <f>IF(VLOOKUP(P592,βοηθητικό!$J$2:$N$354,3,FALSE)="","",VLOOKUP(P592,βοηθητικό!$J$2:$N$354,3,FALSE))</f>
        <v>_</v>
      </c>
      <c r="R592" s="44"/>
      <c r="S592" s="5" t="s">
        <v>16</v>
      </c>
      <c r="T592" s="46" t="str">
        <f>IF(VLOOKUP(S592,βοηθητικό!$J$2:$N$354,3,FALSE)="","",VLOOKUP(S592,βοηθητικό!$J$2:$N$354,3,FALSE))</f>
        <v>_</v>
      </c>
      <c r="U592" s="47"/>
      <c r="V592" s="4" t="s">
        <v>16</v>
      </c>
      <c r="W592" s="43" t="str">
        <f>IF(VLOOKUP(V592,βοηθητικό!$J$2:$N$354,3,FALSE)="","",VLOOKUP(V592,βοηθητικό!$J$2:$N$354,3,FALSE))</f>
        <v>_</v>
      </c>
      <c r="X592" s="44"/>
      <c r="Y592" s="5" t="s">
        <v>16</v>
      </c>
      <c r="Z592" s="46" t="str">
        <f>IF(VLOOKUP(Y592,βοηθητικό!$J$2:$N$354,3,FALSE)="","",VLOOKUP(Y592,βοηθητικό!$J$2:$N$354,3,FALSE))</f>
        <v>_</v>
      </c>
      <c r="AA592" s="47"/>
      <c r="AB592" s="4" t="s">
        <v>16</v>
      </c>
      <c r="AC592" s="43" t="str">
        <f>IF(VLOOKUP(AB592,βοηθητικό!$J$2:$N$354,3,FALSE)="","",VLOOKUP(AB592,βοηθητικό!$J$2:$N$354,3,FALSE))</f>
        <v>_</v>
      </c>
      <c r="AD592" s="44"/>
      <c r="AE592" s="5" t="s">
        <v>16</v>
      </c>
      <c r="AF592" s="46" t="str">
        <f>IF(VLOOKUP(AE592,βοηθητικό!$J$2:$N$354,3,FALSE)="","",VLOOKUP(AE592,βοηθητικό!$J$2:$N$354,3,FALSE))</f>
        <v>_</v>
      </c>
      <c r="AG592" s="47"/>
      <c r="AH592" s="4" t="s">
        <v>16</v>
      </c>
      <c r="AI592" s="43" t="str">
        <f>IF(VLOOKUP(AH592,βοηθητικό!$J$2:$N$354,3,FALSE)="","",VLOOKUP(AH592,βοηθητικό!$J$2:$N$354,3,FALSE))</f>
        <v>_</v>
      </c>
      <c r="AJ592" s="44"/>
      <c r="AK592" s="5" t="s">
        <v>16</v>
      </c>
      <c r="AL592" s="46" t="str">
        <f>IF(VLOOKUP(AK592,βοηθητικό!$J$2:$N$354,3,FALSE)="","",VLOOKUP(AK592,βοηθητικό!$J$2:$N$354,3,FALSE))</f>
        <v>_</v>
      </c>
      <c r="AM592" s="47"/>
      <c r="AN592" s="4" t="s">
        <v>16</v>
      </c>
      <c r="AO592" s="43" t="str">
        <f>IF(VLOOKUP(AN592,βοηθητικό!$J$2:$N$354,3,FALSE)="","",VLOOKUP(AN592,βοηθητικό!$J$2:$N$354,3,FALSE))</f>
        <v>_</v>
      </c>
      <c r="AP592" s="44"/>
      <c r="AQ592" s="5" t="s">
        <v>16</v>
      </c>
      <c r="AR592" s="46" t="str">
        <f>IF(VLOOKUP(AQ592,βοηθητικό!$J$2:$N$354,3,FALSE)="","",VLOOKUP(AQ592,βοηθητικό!$J$2:$N$354,3,FALSE))</f>
        <v>_</v>
      </c>
      <c r="AS592" s="47"/>
      <c r="AT592" s="4" t="s">
        <v>16</v>
      </c>
      <c r="AU592" s="43" t="str">
        <f>IF(VLOOKUP(AT592,βοηθητικό!$J$2:$N$354,3,FALSE)="","",VLOOKUP(AT592,βοηθητικό!$J$2:$N$354,3,FALSE))</f>
        <v>_</v>
      </c>
      <c r="AV592" s="44"/>
      <c r="AW592" s="5" t="s">
        <v>16</v>
      </c>
      <c r="AX592" s="46" t="str">
        <f>IF(VLOOKUP(AW592,βοηθητικό!$J$2:$N$354,3,FALSE)="","",VLOOKUP(AW592,βοηθητικό!$J$2:$N$354,3,FALSE))</f>
        <v>_</v>
      </c>
      <c r="AY592" s="47"/>
      <c r="AZ592" s="4" t="s">
        <v>16</v>
      </c>
      <c r="BA592" s="43" t="str">
        <f>IF(VLOOKUP(AZ592,βοηθητικό!$J$2:$N$354,3,FALSE)="","",VLOOKUP(AZ592,βοηθητικό!$J$2:$N$354,3,FALSE))</f>
        <v>_</v>
      </c>
      <c r="BB592" s="44"/>
      <c r="BC592" s="45" t="s">
        <v>16</v>
      </c>
      <c r="BD592" s="46" t="str">
        <f>IF(VLOOKUP(BC592,βοηθητικό!$J$2:$N$354,3,FALSE)="","",VLOOKUP(BC592,βοηθητικό!$J$2:$N$354,3,FALSE))</f>
        <v>_</v>
      </c>
      <c r="BE592" s="47"/>
      <c r="BF592" s="42" t="s">
        <v>16</v>
      </c>
      <c r="BG592" s="43" t="str">
        <f>IF(VLOOKUP(BF592,βοηθητικό!$J$2:$N$354,3,FALSE)="","",VLOOKUP(BF592,βοηθητικό!$J$2:$N$354,3,FALSE))</f>
        <v>_</v>
      </c>
      <c r="BH592" s="44"/>
      <c r="BI592" s="45" t="s">
        <v>16</v>
      </c>
      <c r="BJ592" s="46" t="str">
        <f>IF(VLOOKUP(BI592,βοηθητικό!$J$2:$N$354,3,FALSE)="","",VLOOKUP(BI592,βοηθητικό!$J$2:$N$354,3,FALSE))</f>
        <v>_</v>
      </c>
      <c r="BK592" s="47"/>
      <c r="BL592" s="42" t="s">
        <v>16</v>
      </c>
      <c r="BM592" s="43" t="str">
        <f>IF(VLOOKUP(BL592,βοηθητικό!$J$2:$N$354,3,FALSE)="","",VLOOKUP(BL592,βοηθητικό!$J$2:$N$354,3,FALSE))</f>
        <v>_</v>
      </c>
      <c r="BN592" s="44"/>
      <c r="BO592" s="45" t="s">
        <v>16</v>
      </c>
      <c r="BP592" s="46" t="str">
        <f>IF(VLOOKUP(BO592,βοηθητικό!$J$2:$N$354,3,FALSE)="","",VLOOKUP(BO592,βοηθητικό!$J$2:$N$354,3,FALSE))</f>
        <v>_</v>
      </c>
      <c r="BQ592" s="47"/>
      <c r="BR592" s="42" t="s">
        <v>16</v>
      </c>
      <c r="BS592" s="43" t="str">
        <f>IF(VLOOKUP(BR592,βοηθητικό!$J$2:$N$354,3,FALSE)="","",VLOOKUP(BR592,βοηθητικό!$J$2:$N$354,3,FALSE))</f>
        <v>_</v>
      </c>
      <c r="BT592" s="44"/>
      <c r="BU592" s="45" t="s">
        <v>16</v>
      </c>
      <c r="BV592" s="46" t="str">
        <f>IF(VLOOKUP(BU592,βοηθητικό!$J$2:$N$354,3,FALSE)="","",VLOOKUP(BU592,βοηθητικό!$J$2:$N$354,3,FALSE))</f>
        <v>_</v>
      </c>
      <c r="BW592" s="47"/>
      <c r="BX592" s="42" t="s">
        <v>16</v>
      </c>
      <c r="BY592" s="43" t="str">
        <f>IF(VLOOKUP(BX592,βοηθητικό!$J$2:$N$354,3,FALSE)="","",VLOOKUP(BX592,βοηθητικό!$J$2:$N$354,3,FALSE))</f>
        <v>_</v>
      </c>
      <c r="BZ592" s="44"/>
      <c r="CA592" s="45" t="s">
        <v>16</v>
      </c>
      <c r="CB592" s="46" t="str">
        <f>IF(VLOOKUP(CA592,βοηθητικό!$J$2:$N$354,3,FALSE)="","",VLOOKUP(CA592,βοηθητικό!$J$2:$N$354,3,FALSE))</f>
        <v>_</v>
      </c>
      <c r="CC592" s="47"/>
      <c r="CD592" s="42" t="s">
        <v>16</v>
      </c>
      <c r="CE592" s="43" t="str">
        <f>IF(VLOOKUP(CD592,βοηθητικό!$J$2:$N$354,3,FALSE)="","",VLOOKUP(CD592,βοηθητικό!$J$2:$N$354,3,FALSE))</f>
        <v>_</v>
      </c>
      <c r="CF592" s="44"/>
      <c r="CG592" s="45" t="s">
        <v>16</v>
      </c>
      <c r="CH592" s="46" t="str">
        <f>IF(VLOOKUP(CG592,βοηθητικό!$J$2:$N$354,3,FALSE)="","",VLOOKUP(CG592,βοηθητικό!$J$2:$N$354,3,FALSE))</f>
        <v>_</v>
      </c>
      <c r="CI592" s="47"/>
      <c r="CJ592" s="42" t="s">
        <v>16</v>
      </c>
      <c r="CK592" s="43" t="str">
        <f>IF(VLOOKUP(CJ592,βοηθητικό!$J$2:$N$354,3,FALSE)="","",VLOOKUP(CJ592,βοηθητικό!$J$2:$N$354,3,FALSE))</f>
        <v>_</v>
      </c>
      <c r="CL592" s="44"/>
      <c r="CM592" s="45" t="s">
        <v>16</v>
      </c>
      <c r="CN592" s="46" t="str">
        <f>IF(VLOOKUP(CM592,βοηθητικό!$J$2:$N$354,3,FALSE)="","",VLOOKUP(CM592,βοηθητικό!$J$2:$N$354,3,FALSE))</f>
        <v>_</v>
      </c>
      <c r="CO592" s="47"/>
      <c r="CP592" s="42" t="s">
        <v>16</v>
      </c>
      <c r="CQ592" s="43" t="str">
        <f>IF(VLOOKUP(CP592,βοηθητικό!$J$2:$N$354,3,FALSE)="","",VLOOKUP(CP592,βοηθητικό!$J$2:$N$354,3,FALSE))</f>
        <v>_</v>
      </c>
      <c r="CR592" s="44"/>
      <c r="CS592" s="45" t="s">
        <v>16</v>
      </c>
      <c r="CT592" s="46" t="str">
        <f>IF(VLOOKUP(CS592,βοηθητικό!$J$2:$N$354,3,FALSE)="","",VLOOKUP(CS592,βοηθητικό!$J$2:$N$354,3,FALSE))</f>
        <v>_</v>
      </c>
      <c r="CU592" s="47"/>
    </row>
    <row r="593" spans="1:99" x14ac:dyDescent="0.25">
      <c r="A593" s="37">
        <f>--SUBTOTAL(3,$B$3:B592)</f>
        <v>198</v>
      </c>
      <c r="B593" s="2"/>
      <c r="C593" s="3"/>
      <c r="D593" s="55" t="s">
        <v>18</v>
      </c>
      <c r="E593" s="38" t="s">
        <v>16</v>
      </c>
      <c r="F593" s="38"/>
      <c r="G593" s="39" t="str">
        <f t="shared" si="29"/>
        <v>__</v>
      </c>
      <c r="H593" s="40" t="str">
        <f t="shared" si="30"/>
        <v>FALSE</v>
      </c>
      <c r="I593" s="41">
        <f t="shared" si="31"/>
        <v>0</v>
      </c>
      <c r="J593" s="4" t="s">
        <v>16</v>
      </c>
      <c r="K593" s="43" t="str">
        <f>IF(VLOOKUP(J593,βοηθητικό!$J$2:$N$354,3,FALSE)="","",VLOOKUP(J593,βοηθητικό!$J$2:$N$354,3,FALSE))</f>
        <v>_</v>
      </c>
      <c r="L593" s="44"/>
      <c r="M593" s="5" t="s">
        <v>16</v>
      </c>
      <c r="N593" s="46" t="str">
        <f>IF(VLOOKUP(M593,βοηθητικό!$J$2:$N$354,3,FALSE)="","",VLOOKUP(M593,βοηθητικό!$J$2:$N$354,3,FALSE))</f>
        <v>_</v>
      </c>
      <c r="O593" s="47"/>
      <c r="P593" s="4" t="s">
        <v>16</v>
      </c>
      <c r="Q593" s="43" t="str">
        <f>IF(VLOOKUP(P593,βοηθητικό!$J$2:$N$354,3,FALSE)="","",VLOOKUP(P593,βοηθητικό!$J$2:$N$354,3,FALSE))</f>
        <v>_</v>
      </c>
      <c r="R593" s="44"/>
      <c r="S593" s="5" t="s">
        <v>16</v>
      </c>
      <c r="T593" s="46" t="str">
        <f>IF(VLOOKUP(S593,βοηθητικό!$J$2:$N$354,3,FALSE)="","",VLOOKUP(S593,βοηθητικό!$J$2:$N$354,3,FALSE))</f>
        <v>_</v>
      </c>
      <c r="U593" s="47"/>
      <c r="V593" s="4" t="s">
        <v>16</v>
      </c>
      <c r="W593" s="43" t="str">
        <f>IF(VLOOKUP(V593,βοηθητικό!$J$2:$N$354,3,FALSE)="","",VLOOKUP(V593,βοηθητικό!$J$2:$N$354,3,FALSE))</f>
        <v>_</v>
      </c>
      <c r="X593" s="44"/>
      <c r="Y593" s="5" t="s">
        <v>16</v>
      </c>
      <c r="Z593" s="46" t="str">
        <f>IF(VLOOKUP(Y593,βοηθητικό!$J$2:$N$354,3,FALSE)="","",VLOOKUP(Y593,βοηθητικό!$J$2:$N$354,3,FALSE))</f>
        <v>_</v>
      </c>
      <c r="AA593" s="47"/>
      <c r="AB593" s="4" t="s">
        <v>16</v>
      </c>
      <c r="AC593" s="43" t="str">
        <f>IF(VLOOKUP(AB593,βοηθητικό!$J$2:$N$354,3,FALSE)="","",VLOOKUP(AB593,βοηθητικό!$J$2:$N$354,3,FALSE))</f>
        <v>_</v>
      </c>
      <c r="AD593" s="44"/>
      <c r="AE593" s="5" t="s">
        <v>16</v>
      </c>
      <c r="AF593" s="46" t="str">
        <f>IF(VLOOKUP(AE593,βοηθητικό!$J$2:$N$354,3,FALSE)="","",VLOOKUP(AE593,βοηθητικό!$J$2:$N$354,3,FALSE))</f>
        <v>_</v>
      </c>
      <c r="AG593" s="47"/>
      <c r="AH593" s="4" t="s">
        <v>16</v>
      </c>
      <c r="AI593" s="43" t="str">
        <f>IF(VLOOKUP(AH593,βοηθητικό!$J$2:$N$354,3,FALSE)="","",VLOOKUP(AH593,βοηθητικό!$J$2:$N$354,3,FALSE))</f>
        <v>_</v>
      </c>
      <c r="AJ593" s="44"/>
      <c r="AK593" s="5" t="s">
        <v>16</v>
      </c>
      <c r="AL593" s="46" t="str">
        <f>IF(VLOOKUP(AK593,βοηθητικό!$J$2:$N$354,3,FALSE)="","",VLOOKUP(AK593,βοηθητικό!$J$2:$N$354,3,FALSE))</f>
        <v>_</v>
      </c>
      <c r="AM593" s="47"/>
      <c r="AN593" s="4" t="s">
        <v>16</v>
      </c>
      <c r="AO593" s="43" t="str">
        <f>IF(VLOOKUP(AN593,βοηθητικό!$J$2:$N$354,3,FALSE)="","",VLOOKUP(AN593,βοηθητικό!$J$2:$N$354,3,FALSE))</f>
        <v>_</v>
      </c>
      <c r="AP593" s="44"/>
      <c r="AQ593" s="5" t="s">
        <v>16</v>
      </c>
      <c r="AR593" s="46" t="str">
        <f>IF(VLOOKUP(AQ593,βοηθητικό!$J$2:$N$354,3,FALSE)="","",VLOOKUP(AQ593,βοηθητικό!$J$2:$N$354,3,FALSE))</f>
        <v>_</v>
      </c>
      <c r="AS593" s="47"/>
      <c r="AT593" s="4" t="s">
        <v>16</v>
      </c>
      <c r="AU593" s="43" t="str">
        <f>IF(VLOOKUP(AT593,βοηθητικό!$J$2:$N$354,3,FALSE)="","",VLOOKUP(AT593,βοηθητικό!$J$2:$N$354,3,FALSE))</f>
        <v>_</v>
      </c>
      <c r="AV593" s="44"/>
      <c r="AW593" s="5" t="s">
        <v>16</v>
      </c>
      <c r="AX593" s="46" t="str">
        <f>IF(VLOOKUP(AW593,βοηθητικό!$J$2:$N$354,3,FALSE)="","",VLOOKUP(AW593,βοηθητικό!$J$2:$N$354,3,FALSE))</f>
        <v>_</v>
      </c>
      <c r="AY593" s="47"/>
      <c r="AZ593" s="4" t="s">
        <v>16</v>
      </c>
      <c r="BA593" s="43" t="str">
        <f>IF(VLOOKUP(AZ593,βοηθητικό!$J$2:$N$354,3,FALSE)="","",VLOOKUP(AZ593,βοηθητικό!$J$2:$N$354,3,FALSE))</f>
        <v>_</v>
      </c>
      <c r="BB593" s="44"/>
      <c r="BC593" s="45" t="s">
        <v>16</v>
      </c>
      <c r="BD593" s="46" t="str">
        <f>IF(VLOOKUP(BC593,βοηθητικό!$J$2:$N$354,3,FALSE)="","",VLOOKUP(BC593,βοηθητικό!$J$2:$N$354,3,FALSE))</f>
        <v>_</v>
      </c>
      <c r="BE593" s="47"/>
      <c r="BF593" s="42" t="s">
        <v>16</v>
      </c>
      <c r="BG593" s="43" t="str">
        <f>IF(VLOOKUP(BF593,βοηθητικό!$J$2:$N$354,3,FALSE)="","",VLOOKUP(BF593,βοηθητικό!$J$2:$N$354,3,FALSE))</f>
        <v>_</v>
      </c>
      <c r="BH593" s="44"/>
      <c r="BI593" s="45" t="s">
        <v>16</v>
      </c>
      <c r="BJ593" s="46" t="str">
        <f>IF(VLOOKUP(BI593,βοηθητικό!$J$2:$N$354,3,FALSE)="","",VLOOKUP(BI593,βοηθητικό!$J$2:$N$354,3,FALSE))</f>
        <v>_</v>
      </c>
      <c r="BK593" s="47"/>
      <c r="BL593" s="42" t="s">
        <v>16</v>
      </c>
      <c r="BM593" s="43" t="str">
        <f>IF(VLOOKUP(BL593,βοηθητικό!$J$2:$N$354,3,FALSE)="","",VLOOKUP(BL593,βοηθητικό!$J$2:$N$354,3,FALSE))</f>
        <v>_</v>
      </c>
      <c r="BN593" s="44"/>
      <c r="BO593" s="45" t="s">
        <v>16</v>
      </c>
      <c r="BP593" s="46" t="str">
        <f>IF(VLOOKUP(BO593,βοηθητικό!$J$2:$N$354,3,FALSE)="","",VLOOKUP(BO593,βοηθητικό!$J$2:$N$354,3,FALSE))</f>
        <v>_</v>
      </c>
      <c r="BQ593" s="47"/>
      <c r="BR593" s="42" t="s">
        <v>16</v>
      </c>
      <c r="BS593" s="43" t="str">
        <f>IF(VLOOKUP(BR593,βοηθητικό!$J$2:$N$354,3,FALSE)="","",VLOOKUP(BR593,βοηθητικό!$J$2:$N$354,3,FALSE))</f>
        <v>_</v>
      </c>
      <c r="BT593" s="44"/>
      <c r="BU593" s="45" t="s">
        <v>16</v>
      </c>
      <c r="BV593" s="46" t="str">
        <f>IF(VLOOKUP(BU593,βοηθητικό!$J$2:$N$354,3,FALSE)="","",VLOOKUP(BU593,βοηθητικό!$J$2:$N$354,3,FALSE))</f>
        <v>_</v>
      </c>
      <c r="BW593" s="47"/>
      <c r="BX593" s="42" t="s">
        <v>16</v>
      </c>
      <c r="BY593" s="43" t="str">
        <f>IF(VLOOKUP(BX593,βοηθητικό!$J$2:$N$354,3,FALSE)="","",VLOOKUP(BX593,βοηθητικό!$J$2:$N$354,3,FALSE))</f>
        <v>_</v>
      </c>
      <c r="BZ593" s="44"/>
      <c r="CA593" s="45" t="s">
        <v>16</v>
      </c>
      <c r="CB593" s="46" t="str">
        <f>IF(VLOOKUP(CA593,βοηθητικό!$J$2:$N$354,3,FALSE)="","",VLOOKUP(CA593,βοηθητικό!$J$2:$N$354,3,FALSE))</f>
        <v>_</v>
      </c>
      <c r="CC593" s="47"/>
      <c r="CD593" s="42" t="s">
        <v>16</v>
      </c>
      <c r="CE593" s="43" t="str">
        <f>IF(VLOOKUP(CD593,βοηθητικό!$J$2:$N$354,3,FALSE)="","",VLOOKUP(CD593,βοηθητικό!$J$2:$N$354,3,FALSE))</f>
        <v>_</v>
      </c>
      <c r="CF593" s="44"/>
      <c r="CG593" s="45" t="s">
        <v>16</v>
      </c>
      <c r="CH593" s="46" t="str">
        <f>IF(VLOOKUP(CG593,βοηθητικό!$J$2:$N$354,3,FALSE)="","",VLOOKUP(CG593,βοηθητικό!$J$2:$N$354,3,FALSE))</f>
        <v>_</v>
      </c>
      <c r="CI593" s="47"/>
      <c r="CJ593" s="42" t="s">
        <v>16</v>
      </c>
      <c r="CK593" s="43" t="str">
        <f>IF(VLOOKUP(CJ593,βοηθητικό!$J$2:$N$354,3,FALSE)="","",VLOOKUP(CJ593,βοηθητικό!$J$2:$N$354,3,FALSE))</f>
        <v>_</v>
      </c>
      <c r="CL593" s="44"/>
      <c r="CM593" s="45" t="s">
        <v>16</v>
      </c>
      <c r="CN593" s="46" t="str">
        <f>IF(VLOOKUP(CM593,βοηθητικό!$J$2:$N$354,3,FALSE)="","",VLOOKUP(CM593,βοηθητικό!$J$2:$N$354,3,FALSE))</f>
        <v>_</v>
      </c>
      <c r="CO593" s="47"/>
      <c r="CP593" s="42" t="s">
        <v>16</v>
      </c>
      <c r="CQ593" s="43" t="str">
        <f>IF(VLOOKUP(CP593,βοηθητικό!$J$2:$N$354,3,FALSE)="","",VLOOKUP(CP593,βοηθητικό!$J$2:$N$354,3,FALSE))</f>
        <v>_</v>
      </c>
      <c r="CR593" s="44"/>
      <c r="CS593" s="45" t="s">
        <v>16</v>
      </c>
      <c r="CT593" s="46" t="str">
        <f>IF(VLOOKUP(CS593,βοηθητικό!$J$2:$N$354,3,FALSE)="","",VLOOKUP(CS593,βοηθητικό!$J$2:$N$354,3,FALSE))</f>
        <v>_</v>
      </c>
      <c r="CU593" s="47"/>
    </row>
    <row r="594" spans="1:99" x14ac:dyDescent="0.25">
      <c r="A594" s="37">
        <f>--SUBTOTAL(3,$B$3:B593)</f>
        <v>198</v>
      </c>
      <c r="B594" s="2"/>
      <c r="C594" s="3"/>
      <c r="D594" s="55" t="s">
        <v>18</v>
      </c>
      <c r="E594" s="38" t="s">
        <v>16</v>
      </c>
      <c r="F594" s="38"/>
      <c r="G594" s="39" t="str">
        <f t="shared" si="29"/>
        <v>__</v>
      </c>
      <c r="H594" s="40" t="str">
        <f t="shared" si="30"/>
        <v>FALSE</v>
      </c>
      <c r="I594" s="41">
        <f t="shared" si="31"/>
        <v>0</v>
      </c>
      <c r="J594" s="4" t="s">
        <v>16</v>
      </c>
      <c r="K594" s="43" t="str">
        <f>IF(VLOOKUP(J594,βοηθητικό!$J$2:$N$354,3,FALSE)="","",VLOOKUP(J594,βοηθητικό!$J$2:$N$354,3,FALSE))</f>
        <v>_</v>
      </c>
      <c r="L594" s="44"/>
      <c r="M594" s="5" t="s">
        <v>16</v>
      </c>
      <c r="N594" s="46" t="str">
        <f>IF(VLOOKUP(M594,βοηθητικό!$J$2:$N$354,3,FALSE)="","",VLOOKUP(M594,βοηθητικό!$J$2:$N$354,3,FALSE))</f>
        <v>_</v>
      </c>
      <c r="O594" s="47"/>
      <c r="P594" s="4" t="s">
        <v>16</v>
      </c>
      <c r="Q594" s="43" t="str">
        <f>IF(VLOOKUP(P594,βοηθητικό!$J$2:$N$354,3,FALSE)="","",VLOOKUP(P594,βοηθητικό!$J$2:$N$354,3,FALSE))</f>
        <v>_</v>
      </c>
      <c r="R594" s="44"/>
      <c r="S594" s="5" t="s">
        <v>16</v>
      </c>
      <c r="T594" s="46" t="str">
        <f>IF(VLOOKUP(S594,βοηθητικό!$J$2:$N$354,3,FALSE)="","",VLOOKUP(S594,βοηθητικό!$J$2:$N$354,3,FALSE))</f>
        <v>_</v>
      </c>
      <c r="U594" s="47"/>
      <c r="V594" s="4" t="s">
        <v>16</v>
      </c>
      <c r="W594" s="43" t="str">
        <f>IF(VLOOKUP(V594,βοηθητικό!$J$2:$N$354,3,FALSE)="","",VLOOKUP(V594,βοηθητικό!$J$2:$N$354,3,FALSE))</f>
        <v>_</v>
      </c>
      <c r="X594" s="44"/>
      <c r="Y594" s="5" t="s">
        <v>16</v>
      </c>
      <c r="Z594" s="46" t="str">
        <f>IF(VLOOKUP(Y594,βοηθητικό!$J$2:$N$354,3,FALSE)="","",VLOOKUP(Y594,βοηθητικό!$J$2:$N$354,3,FALSE))</f>
        <v>_</v>
      </c>
      <c r="AA594" s="47"/>
      <c r="AB594" s="4" t="s">
        <v>16</v>
      </c>
      <c r="AC594" s="43" t="str">
        <f>IF(VLOOKUP(AB594,βοηθητικό!$J$2:$N$354,3,FALSE)="","",VLOOKUP(AB594,βοηθητικό!$J$2:$N$354,3,FALSE))</f>
        <v>_</v>
      </c>
      <c r="AD594" s="44"/>
      <c r="AE594" s="5" t="s">
        <v>16</v>
      </c>
      <c r="AF594" s="46" t="str">
        <f>IF(VLOOKUP(AE594,βοηθητικό!$J$2:$N$354,3,FALSE)="","",VLOOKUP(AE594,βοηθητικό!$J$2:$N$354,3,FALSE))</f>
        <v>_</v>
      </c>
      <c r="AG594" s="47"/>
      <c r="AH594" s="4" t="s">
        <v>16</v>
      </c>
      <c r="AI594" s="43" t="str">
        <f>IF(VLOOKUP(AH594,βοηθητικό!$J$2:$N$354,3,FALSE)="","",VLOOKUP(AH594,βοηθητικό!$J$2:$N$354,3,FALSE))</f>
        <v>_</v>
      </c>
      <c r="AJ594" s="44"/>
      <c r="AK594" s="5" t="s">
        <v>16</v>
      </c>
      <c r="AL594" s="46" t="str">
        <f>IF(VLOOKUP(AK594,βοηθητικό!$J$2:$N$354,3,FALSE)="","",VLOOKUP(AK594,βοηθητικό!$J$2:$N$354,3,FALSE))</f>
        <v>_</v>
      </c>
      <c r="AM594" s="47"/>
      <c r="AN594" s="4" t="s">
        <v>16</v>
      </c>
      <c r="AO594" s="43" t="str">
        <f>IF(VLOOKUP(AN594,βοηθητικό!$J$2:$N$354,3,FALSE)="","",VLOOKUP(AN594,βοηθητικό!$J$2:$N$354,3,FALSE))</f>
        <v>_</v>
      </c>
      <c r="AP594" s="44"/>
      <c r="AQ594" s="5" t="s">
        <v>16</v>
      </c>
      <c r="AR594" s="46" t="str">
        <f>IF(VLOOKUP(AQ594,βοηθητικό!$J$2:$N$354,3,FALSE)="","",VLOOKUP(AQ594,βοηθητικό!$J$2:$N$354,3,FALSE))</f>
        <v>_</v>
      </c>
      <c r="AS594" s="47"/>
      <c r="AT594" s="4" t="s">
        <v>16</v>
      </c>
      <c r="AU594" s="43" t="str">
        <f>IF(VLOOKUP(AT594,βοηθητικό!$J$2:$N$354,3,FALSE)="","",VLOOKUP(AT594,βοηθητικό!$J$2:$N$354,3,FALSE))</f>
        <v>_</v>
      </c>
      <c r="AV594" s="44"/>
      <c r="AW594" s="5" t="s">
        <v>16</v>
      </c>
      <c r="AX594" s="46" t="str">
        <f>IF(VLOOKUP(AW594,βοηθητικό!$J$2:$N$354,3,FALSE)="","",VLOOKUP(AW594,βοηθητικό!$J$2:$N$354,3,FALSE))</f>
        <v>_</v>
      </c>
      <c r="AY594" s="47"/>
      <c r="AZ594" s="4" t="s">
        <v>16</v>
      </c>
      <c r="BA594" s="43" t="str">
        <f>IF(VLOOKUP(AZ594,βοηθητικό!$J$2:$N$354,3,FALSE)="","",VLOOKUP(AZ594,βοηθητικό!$J$2:$N$354,3,FALSE))</f>
        <v>_</v>
      </c>
      <c r="BB594" s="44"/>
      <c r="BC594" s="45" t="s">
        <v>16</v>
      </c>
      <c r="BD594" s="46" t="str">
        <f>IF(VLOOKUP(BC594,βοηθητικό!$J$2:$N$354,3,FALSE)="","",VLOOKUP(BC594,βοηθητικό!$J$2:$N$354,3,FALSE))</f>
        <v>_</v>
      </c>
      <c r="BE594" s="47"/>
      <c r="BF594" s="42" t="s">
        <v>16</v>
      </c>
      <c r="BG594" s="43" t="str">
        <f>IF(VLOOKUP(BF594,βοηθητικό!$J$2:$N$354,3,FALSE)="","",VLOOKUP(BF594,βοηθητικό!$J$2:$N$354,3,FALSE))</f>
        <v>_</v>
      </c>
      <c r="BH594" s="44"/>
      <c r="BI594" s="45" t="s">
        <v>16</v>
      </c>
      <c r="BJ594" s="46" t="str">
        <f>IF(VLOOKUP(BI594,βοηθητικό!$J$2:$N$354,3,FALSE)="","",VLOOKUP(BI594,βοηθητικό!$J$2:$N$354,3,FALSE))</f>
        <v>_</v>
      </c>
      <c r="BK594" s="47"/>
      <c r="BL594" s="42" t="s">
        <v>16</v>
      </c>
      <c r="BM594" s="43" t="str">
        <f>IF(VLOOKUP(BL594,βοηθητικό!$J$2:$N$354,3,FALSE)="","",VLOOKUP(BL594,βοηθητικό!$J$2:$N$354,3,FALSE))</f>
        <v>_</v>
      </c>
      <c r="BN594" s="44"/>
      <c r="BO594" s="45" t="s">
        <v>16</v>
      </c>
      <c r="BP594" s="46" t="str">
        <f>IF(VLOOKUP(BO594,βοηθητικό!$J$2:$N$354,3,FALSE)="","",VLOOKUP(BO594,βοηθητικό!$J$2:$N$354,3,FALSE))</f>
        <v>_</v>
      </c>
      <c r="BQ594" s="47"/>
      <c r="BR594" s="42" t="s">
        <v>16</v>
      </c>
      <c r="BS594" s="43" t="str">
        <f>IF(VLOOKUP(BR594,βοηθητικό!$J$2:$N$354,3,FALSE)="","",VLOOKUP(BR594,βοηθητικό!$J$2:$N$354,3,FALSE))</f>
        <v>_</v>
      </c>
      <c r="BT594" s="44"/>
      <c r="BU594" s="45" t="s">
        <v>16</v>
      </c>
      <c r="BV594" s="46" t="str">
        <f>IF(VLOOKUP(BU594,βοηθητικό!$J$2:$N$354,3,FALSE)="","",VLOOKUP(BU594,βοηθητικό!$J$2:$N$354,3,FALSE))</f>
        <v>_</v>
      </c>
      <c r="BW594" s="47"/>
      <c r="BX594" s="42" t="s">
        <v>16</v>
      </c>
      <c r="BY594" s="43" t="str">
        <f>IF(VLOOKUP(BX594,βοηθητικό!$J$2:$N$354,3,FALSE)="","",VLOOKUP(BX594,βοηθητικό!$J$2:$N$354,3,FALSE))</f>
        <v>_</v>
      </c>
      <c r="BZ594" s="44"/>
      <c r="CA594" s="45" t="s">
        <v>16</v>
      </c>
      <c r="CB594" s="46" t="str">
        <f>IF(VLOOKUP(CA594,βοηθητικό!$J$2:$N$354,3,FALSE)="","",VLOOKUP(CA594,βοηθητικό!$J$2:$N$354,3,FALSE))</f>
        <v>_</v>
      </c>
      <c r="CC594" s="47"/>
      <c r="CD594" s="42" t="s">
        <v>16</v>
      </c>
      <c r="CE594" s="43" t="str">
        <f>IF(VLOOKUP(CD594,βοηθητικό!$J$2:$N$354,3,FALSE)="","",VLOOKUP(CD594,βοηθητικό!$J$2:$N$354,3,FALSE))</f>
        <v>_</v>
      </c>
      <c r="CF594" s="44"/>
      <c r="CG594" s="45" t="s">
        <v>16</v>
      </c>
      <c r="CH594" s="46" t="str">
        <f>IF(VLOOKUP(CG594,βοηθητικό!$J$2:$N$354,3,FALSE)="","",VLOOKUP(CG594,βοηθητικό!$J$2:$N$354,3,FALSE))</f>
        <v>_</v>
      </c>
      <c r="CI594" s="47"/>
      <c r="CJ594" s="42" t="s">
        <v>16</v>
      </c>
      <c r="CK594" s="43" t="str">
        <f>IF(VLOOKUP(CJ594,βοηθητικό!$J$2:$N$354,3,FALSE)="","",VLOOKUP(CJ594,βοηθητικό!$J$2:$N$354,3,FALSE))</f>
        <v>_</v>
      </c>
      <c r="CL594" s="44"/>
      <c r="CM594" s="45" t="s">
        <v>16</v>
      </c>
      <c r="CN594" s="46" t="str">
        <f>IF(VLOOKUP(CM594,βοηθητικό!$J$2:$N$354,3,FALSE)="","",VLOOKUP(CM594,βοηθητικό!$J$2:$N$354,3,FALSE))</f>
        <v>_</v>
      </c>
      <c r="CO594" s="47"/>
      <c r="CP594" s="42" t="s">
        <v>16</v>
      </c>
      <c r="CQ594" s="43" t="str">
        <f>IF(VLOOKUP(CP594,βοηθητικό!$J$2:$N$354,3,FALSE)="","",VLOOKUP(CP594,βοηθητικό!$J$2:$N$354,3,FALSE))</f>
        <v>_</v>
      </c>
      <c r="CR594" s="44"/>
      <c r="CS594" s="45" t="s">
        <v>16</v>
      </c>
      <c r="CT594" s="46" t="str">
        <f>IF(VLOOKUP(CS594,βοηθητικό!$J$2:$N$354,3,FALSE)="","",VLOOKUP(CS594,βοηθητικό!$J$2:$N$354,3,FALSE))</f>
        <v>_</v>
      </c>
      <c r="CU594" s="47"/>
    </row>
    <row r="595" spans="1:99" x14ac:dyDescent="0.25">
      <c r="A595" s="37">
        <f>--SUBTOTAL(3,$B$3:B594)</f>
        <v>198</v>
      </c>
      <c r="B595" s="2"/>
      <c r="C595" s="3"/>
      <c r="D595" s="55" t="s">
        <v>18</v>
      </c>
      <c r="E595" s="38" t="s">
        <v>16</v>
      </c>
      <c r="F595" s="38"/>
      <c r="G595" s="39" t="str">
        <f t="shared" si="29"/>
        <v>__</v>
      </c>
      <c r="H595" s="40" t="str">
        <f t="shared" si="30"/>
        <v>FALSE</v>
      </c>
      <c r="I595" s="41">
        <f t="shared" si="31"/>
        <v>0</v>
      </c>
      <c r="J595" s="4" t="s">
        <v>16</v>
      </c>
      <c r="K595" s="43" t="str">
        <f>IF(VLOOKUP(J595,βοηθητικό!$J$2:$N$354,3,FALSE)="","",VLOOKUP(J595,βοηθητικό!$J$2:$N$354,3,FALSE))</f>
        <v>_</v>
      </c>
      <c r="L595" s="44"/>
      <c r="M595" s="5" t="s">
        <v>16</v>
      </c>
      <c r="N595" s="46" t="str">
        <f>IF(VLOOKUP(M595,βοηθητικό!$J$2:$N$354,3,FALSE)="","",VLOOKUP(M595,βοηθητικό!$J$2:$N$354,3,FALSE))</f>
        <v>_</v>
      </c>
      <c r="O595" s="47"/>
      <c r="P595" s="4" t="s">
        <v>16</v>
      </c>
      <c r="Q595" s="43" t="str">
        <f>IF(VLOOKUP(P595,βοηθητικό!$J$2:$N$354,3,FALSE)="","",VLOOKUP(P595,βοηθητικό!$J$2:$N$354,3,FALSE))</f>
        <v>_</v>
      </c>
      <c r="R595" s="44"/>
      <c r="S595" s="5" t="s">
        <v>16</v>
      </c>
      <c r="T595" s="46" t="str">
        <f>IF(VLOOKUP(S595,βοηθητικό!$J$2:$N$354,3,FALSE)="","",VLOOKUP(S595,βοηθητικό!$J$2:$N$354,3,FALSE))</f>
        <v>_</v>
      </c>
      <c r="U595" s="47"/>
      <c r="V595" s="4" t="s">
        <v>16</v>
      </c>
      <c r="W595" s="43" t="str">
        <f>IF(VLOOKUP(V595,βοηθητικό!$J$2:$N$354,3,FALSE)="","",VLOOKUP(V595,βοηθητικό!$J$2:$N$354,3,FALSE))</f>
        <v>_</v>
      </c>
      <c r="X595" s="44"/>
      <c r="Y595" s="5" t="s">
        <v>16</v>
      </c>
      <c r="Z595" s="46" t="str">
        <f>IF(VLOOKUP(Y595,βοηθητικό!$J$2:$N$354,3,FALSE)="","",VLOOKUP(Y595,βοηθητικό!$J$2:$N$354,3,FALSE))</f>
        <v>_</v>
      </c>
      <c r="AA595" s="47"/>
      <c r="AB595" s="4" t="s">
        <v>16</v>
      </c>
      <c r="AC595" s="43" t="str">
        <f>IF(VLOOKUP(AB595,βοηθητικό!$J$2:$N$354,3,FALSE)="","",VLOOKUP(AB595,βοηθητικό!$J$2:$N$354,3,FALSE))</f>
        <v>_</v>
      </c>
      <c r="AD595" s="44"/>
      <c r="AE595" s="5" t="s">
        <v>16</v>
      </c>
      <c r="AF595" s="46" t="str">
        <f>IF(VLOOKUP(AE595,βοηθητικό!$J$2:$N$354,3,FALSE)="","",VLOOKUP(AE595,βοηθητικό!$J$2:$N$354,3,FALSE))</f>
        <v>_</v>
      </c>
      <c r="AG595" s="47"/>
      <c r="AH595" s="4" t="s">
        <v>16</v>
      </c>
      <c r="AI595" s="43" t="str">
        <f>IF(VLOOKUP(AH595,βοηθητικό!$J$2:$N$354,3,FALSE)="","",VLOOKUP(AH595,βοηθητικό!$J$2:$N$354,3,FALSE))</f>
        <v>_</v>
      </c>
      <c r="AJ595" s="44"/>
      <c r="AK595" s="5" t="s">
        <v>16</v>
      </c>
      <c r="AL595" s="46" t="str">
        <f>IF(VLOOKUP(AK595,βοηθητικό!$J$2:$N$354,3,FALSE)="","",VLOOKUP(AK595,βοηθητικό!$J$2:$N$354,3,FALSE))</f>
        <v>_</v>
      </c>
      <c r="AM595" s="47"/>
      <c r="AN595" s="4" t="s">
        <v>16</v>
      </c>
      <c r="AO595" s="43" t="str">
        <f>IF(VLOOKUP(AN595,βοηθητικό!$J$2:$N$354,3,FALSE)="","",VLOOKUP(AN595,βοηθητικό!$J$2:$N$354,3,FALSE))</f>
        <v>_</v>
      </c>
      <c r="AP595" s="44"/>
      <c r="AQ595" s="5" t="s">
        <v>16</v>
      </c>
      <c r="AR595" s="46" t="str">
        <f>IF(VLOOKUP(AQ595,βοηθητικό!$J$2:$N$354,3,FALSE)="","",VLOOKUP(AQ595,βοηθητικό!$J$2:$N$354,3,FALSE))</f>
        <v>_</v>
      </c>
      <c r="AS595" s="47"/>
      <c r="AT595" s="4" t="s">
        <v>16</v>
      </c>
      <c r="AU595" s="43" t="str">
        <f>IF(VLOOKUP(AT595,βοηθητικό!$J$2:$N$354,3,FALSE)="","",VLOOKUP(AT595,βοηθητικό!$J$2:$N$354,3,FALSE))</f>
        <v>_</v>
      </c>
      <c r="AV595" s="44"/>
      <c r="AW595" s="5" t="s">
        <v>16</v>
      </c>
      <c r="AX595" s="46" t="str">
        <f>IF(VLOOKUP(AW595,βοηθητικό!$J$2:$N$354,3,FALSE)="","",VLOOKUP(AW595,βοηθητικό!$J$2:$N$354,3,FALSE))</f>
        <v>_</v>
      </c>
      <c r="AY595" s="47"/>
      <c r="AZ595" s="4" t="s">
        <v>16</v>
      </c>
      <c r="BA595" s="43" t="str">
        <f>IF(VLOOKUP(AZ595,βοηθητικό!$J$2:$N$354,3,FALSE)="","",VLOOKUP(AZ595,βοηθητικό!$J$2:$N$354,3,FALSE))</f>
        <v>_</v>
      </c>
      <c r="BB595" s="44"/>
      <c r="BC595" s="45" t="s">
        <v>16</v>
      </c>
      <c r="BD595" s="46" t="str">
        <f>IF(VLOOKUP(BC595,βοηθητικό!$J$2:$N$354,3,FALSE)="","",VLOOKUP(BC595,βοηθητικό!$J$2:$N$354,3,FALSE))</f>
        <v>_</v>
      </c>
      <c r="BE595" s="47"/>
      <c r="BF595" s="42" t="s">
        <v>16</v>
      </c>
      <c r="BG595" s="43" t="str">
        <f>IF(VLOOKUP(BF595,βοηθητικό!$J$2:$N$354,3,FALSE)="","",VLOOKUP(BF595,βοηθητικό!$J$2:$N$354,3,FALSE))</f>
        <v>_</v>
      </c>
      <c r="BH595" s="44"/>
      <c r="BI595" s="45" t="s">
        <v>16</v>
      </c>
      <c r="BJ595" s="46" t="str">
        <f>IF(VLOOKUP(BI595,βοηθητικό!$J$2:$N$354,3,FALSE)="","",VLOOKUP(BI595,βοηθητικό!$J$2:$N$354,3,FALSE))</f>
        <v>_</v>
      </c>
      <c r="BK595" s="47"/>
      <c r="BL595" s="42" t="s">
        <v>16</v>
      </c>
      <c r="BM595" s="43" t="str">
        <f>IF(VLOOKUP(BL595,βοηθητικό!$J$2:$N$354,3,FALSE)="","",VLOOKUP(BL595,βοηθητικό!$J$2:$N$354,3,FALSE))</f>
        <v>_</v>
      </c>
      <c r="BN595" s="44"/>
      <c r="BO595" s="45" t="s">
        <v>16</v>
      </c>
      <c r="BP595" s="46" t="str">
        <f>IF(VLOOKUP(BO595,βοηθητικό!$J$2:$N$354,3,FALSE)="","",VLOOKUP(BO595,βοηθητικό!$J$2:$N$354,3,FALSE))</f>
        <v>_</v>
      </c>
      <c r="BQ595" s="47"/>
      <c r="BR595" s="42" t="s">
        <v>16</v>
      </c>
      <c r="BS595" s="43" t="str">
        <f>IF(VLOOKUP(BR595,βοηθητικό!$J$2:$N$354,3,FALSE)="","",VLOOKUP(BR595,βοηθητικό!$J$2:$N$354,3,FALSE))</f>
        <v>_</v>
      </c>
      <c r="BT595" s="44"/>
      <c r="BU595" s="45" t="s">
        <v>16</v>
      </c>
      <c r="BV595" s="46" t="str">
        <f>IF(VLOOKUP(BU595,βοηθητικό!$J$2:$N$354,3,FALSE)="","",VLOOKUP(BU595,βοηθητικό!$J$2:$N$354,3,FALSE))</f>
        <v>_</v>
      </c>
      <c r="BW595" s="47"/>
      <c r="BX595" s="42" t="s">
        <v>16</v>
      </c>
      <c r="BY595" s="43" t="str">
        <f>IF(VLOOKUP(BX595,βοηθητικό!$J$2:$N$354,3,FALSE)="","",VLOOKUP(BX595,βοηθητικό!$J$2:$N$354,3,FALSE))</f>
        <v>_</v>
      </c>
      <c r="BZ595" s="44"/>
      <c r="CA595" s="45" t="s">
        <v>16</v>
      </c>
      <c r="CB595" s="46" t="str">
        <f>IF(VLOOKUP(CA595,βοηθητικό!$J$2:$N$354,3,FALSE)="","",VLOOKUP(CA595,βοηθητικό!$J$2:$N$354,3,FALSE))</f>
        <v>_</v>
      </c>
      <c r="CC595" s="47"/>
      <c r="CD595" s="42" t="s">
        <v>16</v>
      </c>
      <c r="CE595" s="43" t="str">
        <f>IF(VLOOKUP(CD595,βοηθητικό!$J$2:$N$354,3,FALSE)="","",VLOOKUP(CD595,βοηθητικό!$J$2:$N$354,3,FALSE))</f>
        <v>_</v>
      </c>
      <c r="CF595" s="44"/>
      <c r="CG595" s="45" t="s">
        <v>16</v>
      </c>
      <c r="CH595" s="46" t="str">
        <f>IF(VLOOKUP(CG595,βοηθητικό!$J$2:$N$354,3,FALSE)="","",VLOOKUP(CG595,βοηθητικό!$J$2:$N$354,3,FALSE))</f>
        <v>_</v>
      </c>
      <c r="CI595" s="47"/>
      <c r="CJ595" s="42" t="s">
        <v>16</v>
      </c>
      <c r="CK595" s="43" t="str">
        <f>IF(VLOOKUP(CJ595,βοηθητικό!$J$2:$N$354,3,FALSE)="","",VLOOKUP(CJ595,βοηθητικό!$J$2:$N$354,3,FALSE))</f>
        <v>_</v>
      </c>
      <c r="CL595" s="44"/>
      <c r="CM595" s="45" t="s">
        <v>16</v>
      </c>
      <c r="CN595" s="46" t="str">
        <f>IF(VLOOKUP(CM595,βοηθητικό!$J$2:$N$354,3,FALSE)="","",VLOOKUP(CM595,βοηθητικό!$J$2:$N$354,3,FALSE))</f>
        <v>_</v>
      </c>
      <c r="CO595" s="47"/>
      <c r="CP595" s="42" t="s">
        <v>16</v>
      </c>
      <c r="CQ595" s="43" t="str">
        <f>IF(VLOOKUP(CP595,βοηθητικό!$J$2:$N$354,3,FALSE)="","",VLOOKUP(CP595,βοηθητικό!$J$2:$N$354,3,FALSE))</f>
        <v>_</v>
      </c>
      <c r="CR595" s="44"/>
      <c r="CS595" s="45" t="s">
        <v>16</v>
      </c>
      <c r="CT595" s="46" t="str">
        <f>IF(VLOOKUP(CS595,βοηθητικό!$J$2:$N$354,3,FALSE)="","",VLOOKUP(CS595,βοηθητικό!$J$2:$N$354,3,FALSE))</f>
        <v>_</v>
      </c>
      <c r="CU595" s="47"/>
    </row>
    <row r="596" spans="1:99" x14ac:dyDescent="0.25">
      <c r="A596" s="37">
        <f>--SUBTOTAL(3,$B$3:B595)</f>
        <v>198</v>
      </c>
      <c r="B596" s="2"/>
      <c r="C596" s="3"/>
      <c r="D596" s="55" t="s">
        <v>18</v>
      </c>
      <c r="E596" s="38" t="s">
        <v>16</v>
      </c>
      <c r="F596" s="38"/>
      <c r="G596" s="39" t="str">
        <f t="shared" si="29"/>
        <v>__</v>
      </c>
      <c r="H596" s="40" t="str">
        <f t="shared" si="30"/>
        <v>FALSE</v>
      </c>
      <c r="I596" s="41">
        <f t="shared" si="31"/>
        <v>0</v>
      </c>
      <c r="J596" s="4" t="s">
        <v>16</v>
      </c>
      <c r="K596" s="43" t="str">
        <f>IF(VLOOKUP(J596,βοηθητικό!$J$2:$N$354,3,FALSE)="","",VLOOKUP(J596,βοηθητικό!$J$2:$N$354,3,FALSE))</f>
        <v>_</v>
      </c>
      <c r="L596" s="44"/>
      <c r="M596" s="5" t="s">
        <v>16</v>
      </c>
      <c r="N596" s="46" t="str">
        <f>IF(VLOOKUP(M596,βοηθητικό!$J$2:$N$354,3,FALSE)="","",VLOOKUP(M596,βοηθητικό!$J$2:$N$354,3,FALSE))</f>
        <v>_</v>
      </c>
      <c r="O596" s="47"/>
      <c r="P596" s="4" t="s">
        <v>16</v>
      </c>
      <c r="Q596" s="43" t="str">
        <f>IF(VLOOKUP(P596,βοηθητικό!$J$2:$N$354,3,FALSE)="","",VLOOKUP(P596,βοηθητικό!$J$2:$N$354,3,FALSE))</f>
        <v>_</v>
      </c>
      <c r="R596" s="44"/>
      <c r="S596" s="5" t="s">
        <v>16</v>
      </c>
      <c r="T596" s="46" t="str">
        <f>IF(VLOOKUP(S596,βοηθητικό!$J$2:$N$354,3,FALSE)="","",VLOOKUP(S596,βοηθητικό!$J$2:$N$354,3,FALSE))</f>
        <v>_</v>
      </c>
      <c r="U596" s="47"/>
      <c r="V596" s="4" t="s">
        <v>16</v>
      </c>
      <c r="W596" s="43" t="str">
        <f>IF(VLOOKUP(V596,βοηθητικό!$J$2:$N$354,3,FALSE)="","",VLOOKUP(V596,βοηθητικό!$J$2:$N$354,3,FALSE))</f>
        <v>_</v>
      </c>
      <c r="X596" s="44"/>
      <c r="Y596" s="5" t="s">
        <v>16</v>
      </c>
      <c r="Z596" s="46" t="str">
        <f>IF(VLOOKUP(Y596,βοηθητικό!$J$2:$N$354,3,FALSE)="","",VLOOKUP(Y596,βοηθητικό!$J$2:$N$354,3,FALSE))</f>
        <v>_</v>
      </c>
      <c r="AA596" s="47"/>
      <c r="AB596" s="4" t="s">
        <v>16</v>
      </c>
      <c r="AC596" s="43" t="str">
        <f>IF(VLOOKUP(AB596,βοηθητικό!$J$2:$N$354,3,FALSE)="","",VLOOKUP(AB596,βοηθητικό!$J$2:$N$354,3,FALSE))</f>
        <v>_</v>
      </c>
      <c r="AD596" s="44"/>
      <c r="AE596" s="5" t="s">
        <v>16</v>
      </c>
      <c r="AF596" s="46" t="str">
        <f>IF(VLOOKUP(AE596,βοηθητικό!$J$2:$N$354,3,FALSE)="","",VLOOKUP(AE596,βοηθητικό!$J$2:$N$354,3,FALSE))</f>
        <v>_</v>
      </c>
      <c r="AG596" s="47"/>
      <c r="AH596" s="4" t="s">
        <v>16</v>
      </c>
      <c r="AI596" s="43" t="str">
        <f>IF(VLOOKUP(AH596,βοηθητικό!$J$2:$N$354,3,FALSE)="","",VLOOKUP(AH596,βοηθητικό!$J$2:$N$354,3,FALSE))</f>
        <v>_</v>
      </c>
      <c r="AJ596" s="44"/>
      <c r="AK596" s="5" t="s">
        <v>16</v>
      </c>
      <c r="AL596" s="46" t="str">
        <f>IF(VLOOKUP(AK596,βοηθητικό!$J$2:$N$354,3,FALSE)="","",VLOOKUP(AK596,βοηθητικό!$J$2:$N$354,3,FALSE))</f>
        <v>_</v>
      </c>
      <c r="AM596" s="47"/>
      <c r="AN596" s="4" t="s">
        <v>16</v>
      </c>
      <c r="AO596" s="43" t="str">
        <f>IF(VLOOKUP(AN596,βοηθητικό!$J$2:$N$354,3,FALSE)="","",VLOOKUP(AN596,βοηθητικό!$J$2:$N$354,3,FALSE))</f>
        <v>_</v>
      </c>
      <c r="AP596" s="44"/>
      <c r="AQ596" s="5" t="s">
        <v>16</v>
      </c>
      <c r="AR596" s="46" t="str">
        <f>IF(VLOOKUP(AQ596,βοηθητικό!$J$2:$N$354,3,FALSE)="","",VLOOKUP(AQ596,βοηθητικό!$J$2:$N$354,3,FALSE))</f>
        <v>_</v>
      </c>
      <c r="AS596" s="47"/>
      <c r="AT596" s="4" t="s">
        <v>16</v>
      </c>
      <c r="AU596" s="43" t="str">
        <f>IF(VLOOKUP(AT596,βοηθητικό!$J$2:$N$354,3,FALSE)="","",VLOOKUP(AT596,βοηθητικό!$J$2:$N$354,3,FALSE))</f>
        <v>_</v>
      </c>
      <c r="AV596" s="44"/>
      <c r="AW596" s="5" t="s">
        <v>16</v>
      </c>
      <c r="AX596" s="46" t="str">
        <f>IF(VLOOKUP(AW596,βοηθητικό!$J$2:$N$354,3,FALSE)="","",VLOOKUP(AW596,βοηθητικό!$J$2:$N$354,3,FALSE))</f>
        <v>_</v>
      </c>
      <c r="AY596" s="47"/>
      <c r="AZ596" s="4" t="s">
        <v>16</v>
      </c>
      <c r="BA596" s="43" t="str">
        <f>IF(VLOOKUP(AZ596,βοηθητικό!$J$2:$N$354,3,FALSE)="","",VLOOKUP(AZ596,βοηθητικό!$J$2:$N$354,3,FALSE))</f>
        <v>_</v>
      </c>
      <c r="BB596" s="44"/>
      <c r="BC596" s="45" t="s">
        <v>16</v>
      </c>
      <c r="BD596" s="46" t="str">
        <f>IF(VLOOKUP(BC596,βοηθητικό!$J$2:$N$354,3,FALSE)="","",VLOOKUP(BC596,βοηθητικό!$J$2:$N$354,3,FALSE))</f>
        <v>_</v>
      </c>
      <c r="BE596" s="47"/>
      <c r="BF596" s="42" t="s">
        <v>16</v>
      </c>
      <c r="BG596" s="43" t="str">
        <f>IF(VLOOKUP(BF596,βοηθητικό!$J$2:$N$354,3,FALSE)="","",VLOOKUP(BF596,βοηθητικό!$J$2:$N$354,3,FALSE))</f>
        <v>_</v>
      </c>
      <c r="BH596" s="44"/>
      <c r="BI596" s="45" t="s">
        <v>16</v>
      </c>
      <c r="BJ596" s="46" t="str">
        <f>IF(VLOOKUP(BI596,βοηθητικό!$J$2:$N$354,3,FALSE)="","",VLOOKUP(BI596,βοηθητικό!$J$2:$N$354,3,FALSE))</f>
        <v>_</v>
      </c>
      <c r="BK596" s="47"/>
      <c r="BL596" s="42" t="s">
        <v>16</v>
      </c>
      <c r="BM596" s="43" t="str">
        <f>IF(VLOOKUP(BL596,βοηθητικό!$J$2:$N$354,3,FALSE)="","",VLOOKUP(BL596,βοηθητικό!$J$2:$N$354,3,FALSE))</f>
        <v>_</v>
      </c>
      <c r="BN596" s="44"/>
      <c r="BO596" s="45" t="s">
        <v>16</v>
      </c>
      <c r="BP596" s="46" t="str">
        <f>IF(VLOOKUP(BO596,βοηθητικό!$J$2:$N$354,3,FALSE)="","",VLOOKUP(BO596,βοηθητικό!$J$2:$N$354,3,FALSE))</f>
        <v>_</v>
      </c>
      <c r="BQ596" s="47"/>
      <c r="BR596" s="42" t="s">
        <v>16</v>
      </c>
      <c r="BS596" s="43" t="str">
        <f>IF(VLOOKUP(BR596,βοηθητικό!$J$2:$N$354,3,FALSE)="","",VLOOKUP(BR596,βοηθητικό!$J$2:$N$354,3,FALSE))</f>
        <v>_</v>
      </c>
      <c r="BT596" s="44"/>
      <c r="BU596" s="45" t="s">
        <v>16</v>
      </c>
      <c r="BV596" s="46" t="str">
        <f>IF(VLOOKUP(BU596,βοηθητικό!$J$2:$N$354,3,FALSE)="","",VLOOKUP(BU596,βοηθητικό!$J$2:$N$354,3,FALSE))</f>
        <v>_</v>
      </c>
      <c r="BW596" s="47"/>
      <c r="BX596" s="42" t="s">
        <v>16</v>
      </c>
      <c r="BY596" s="43" t="str">
        <f>IF(VLOOKUP(BX596,βοηθητικό!$J$2:$N$354,3,FALSE)="","",VLOOKUP(BX596,βοηθητικό!$J$2:$N$354,3,FALSE))</f>
        <v>_</v>
      </c>
      <c r="BZ596" s="44"/>
      <c r="CA596" s="45" t="s">
        <v>16</v>
      </c>
      <c r="CB596" s="46" t="str">
        <f>IF(VLOOKUP(CA596,βοηθητικό!$J$2:$N$354,3,FALSE)="","",VLOOKUP(CA596,βοηθητικό!$J$2:$N$354,3,FALSE))</f>
        <v>_</v>
      </c>
      <c r="CC596" s="47"/>
      <c r="CD596" s="42" t="s">
        <v>16</v>
      </c>
      <c r="CE596" s="43" t="str">
        <f>IF(VLOOKUP(CD596,βοηθητικό!$J$2:$N$354,3,FALSE)="","",VLOOKUP(CD596,βοηθητικό!$J$2:$N$354,3,FALSE))</f>
        <v>_</v>
      </c>
      <c r="CF596" s="44"/>
      <c r="CG596" s="45" t="s">
        <v>16</v>
      </c>
      <c r="CH596" s="46" t="str">
        <f>IF(VLOOKUP(CG596,βοηθητικό!$J$2:$N$354,3,FALSE)="","",VLOOKUP(CG596,βοηθητικό!$J$2:$N$354,3,FALSE))</f>
        <v>_</v>
      </c>
      <c r="CI596" s="47"/>
      <c r="CJ596" s="42" t="s">
        <v>16</v>
      </c>
      <c r="CK596" s="43" t="str">
        <f>IF(VLOOKUP(CJ596,βοηθητικό!$J$2:$N$354,3,FALSE)="","",VLOOKUP(CJ596,βοηθητικό!$J$2:$N$354,3,FALSE))</f>
        <v>_</v>
      </c>
      <c r="CL596" s="44"/>
      <c r="CM596" s="45" t="s">
        <v>16</v>
      </c>
      <c r="CN596" s="46" t="str">
        <f>IF(VLOOKUP(CM596,βοηθητικό!$J$2:$N$354,3,FALSE)="","",VLOOKUP(CM596,βοηθητικό!$J$2:$N$354,3,FALSE))</f>
        <v>_</v>
      </c>
      <c r="CO596" s="47"/>
      <c r="CP596" s="42" t="s">
        <v>16</v>
      </c>
      <c r="CQ596" s="43" t="str">
        <f>IF(VLOOKUP(CP596,βοηθητικό!$J$2:$N$354,3,FALSE)="","",VLOOKUP(CP596,βοηθητικό!$J$2:$N$354,3,FALSE))</f>
        <v>_</v>
      </c>
      <c r="CR596" s="44"/>
      <c r="CS596" s="45" t="s">
        <v>16</v>
      </c>
      <c r="CT596" s="46" t="str">
        <f>IF(VLOOKUP(CS596,βοηθητικό!$J$2:$N$354,3,FALSE)="","",VLOOKUP(CS596,βοηθητικό!$J$2:$N$354,3,FALSE))</f>
        <v>_</v>
      </c>
      <c r="CU596" s="47"/>
    </row>
    <row r="597" spans="1:99" x14ac:dyDescent="0.25">
      <c r="A597" s="37">
        <f>--SUBTOTAL(3,$B$3:B596)</f>
        <v>198</v>
      </c>
      <c r="B597" s="2"/>
      <c r="C597" s="3"/>
      <c r="D597" s="55" t="s">
        <v>18</v>
      </c>
      <c r="E597" s="38" t="s">
        <v>16</v>
      </c>
      <c r="F597" s="38"/>
      <c r="G597" s="39" t="str">
        <f t="shared" si="29"/>
        <v>__</v>
      </c>
      <c r="H597" s="40" t="str">
        <f t="shared" si="30"/>
        <v>FALSE</v>
      </c>
      <c r="I597" s="41">
        <f t="shared" si="31"/>
        <v>0</v>
      </c>
      <c r="J597" s="4" t="s">
        <v>16</v>
      </c>
      <c r="K597" s="43" t="str">
        <f>IF(VLOOKUP(J597,βοηθητικό!$J$2:$N$354,3,FALSE)="","",VLOOKUP(J597,βοηθητικό!$J$2:$N$354,3,FALSE))</f>
        <v>_</v>
      </c>
      <c r="L597" s="44"/>
      <c r="M597" s="5" t="s">
        <v>16</v>
      </c>
      <c r="N597" s="46" t="str">
        <f>IF(VLOOKUP(M597,βοηθητικό!$J$2:$N$354,3,FALSE)="","",VLOOKUP(M597,βοηθητικό!$J$2:$N$354,3,FALSE))</f>
        <v>_</v>
      </c>
      <c r="O597" s="47"/>
      <c r="P597" s="4" t="s">
        <v>16</v>
      </c>
      <c r="Q597" s="43" t="str">
        <f>IF(VLOOKUP(P597,βοηθητικό!$J$2:$N$354,3,FALSE)="","",VLOOKUP(P597,βοηθητικό!$J$2:$N$354,3,FALSE))</f>
        <v>_</v>
      </c>
      <c r="R597" s="44"/>
      <c r="S597" s="5" t="s">
        <v>16</v>
      </c>
      <c r="T597" s="46" t="str">
        <f>IF(VLOOKUP(S597,βοηθητικό!$J$2:$N$354,3,FALSE)="","",VLOOKUP(S597,βοηθητικό!$J$2:$N$354,3,FALSE))</f>
        <v>_</v>
      </c>
      <c r="U597" s="47"/>
      <c r="V597" s="4" t="s">
        <v>16</v>
      </c>
      <c r="W597" s="43" t="str">
        <f>IF(VLOOKUP(V597,βοηθητικό!$J$2:$N$354,3,FALSE)="","",VLOOKUP(V597,βοηθητικό!$J$2:$N$354,3,FALSE))</f>
        <v>_</v>
      </c>
      <c r="X597" s="44"/>
      <c r="Y597" s="5" t="s">
        <v>16</v>
      </c>
      <c r="Z597" s="46" t="str">
        <f>IF(VLOOKUP(Y597,βοηθητικό!$J$2:$N$354,3,FALSE)="","",VLOOKUP(Y597,βοηθητικό!$J$2:$N$354,3,FALSE))</f>
        <v>_</v>
      </c>
      <c r="AA597" s="47"/>
      <c r="AB597" s="4" t="s">
        <v>16</v>
      </c>
      <c r="AC597" s="43" t="str">
        <f>IF(VLOOKUP(AB597,βοηθητικό!$J$2:$N$354,3,FALSE)="","",VLOOKUP(AB597,βοηθητικό!$J$2:$N$354,3,FALSE))</f>
        <v>_</v>
      </c>
      <c r="AD597" s="44"/>
      <c r="AE597" s="5" t="s">
        <v>16</v>
      </c>
      <c r="AF597" s="46" t="str">
        <f>IF(VLOOKUP(AE597,βοηθητικό!$J$2:$N$354,3,FALSE)="","",VLOOKUP(AE597,βοηθητικό!$J$2:$N$354,3,FALSE))</f>
        <v>_</v>
      </c>
      <c r="AG597" s="47"/>
      <c r="AH597" s="4" t="s">
        <v>16</v>
      </c>
      <c r="AI597" s="43" t="str">
        <f>IF(VLOOKUP(AH597,βοηθητικό!$J$2:$N$354,3,FALSE)="","",VLOOKUP(AH597,βοηθητικό!$J$2:$N$354,3,FALSE))</f>
        <v>_</v>
      </c>
      <c r="AJ597" s="44"/>
      <c r="AK597" s="5" t="s">
        <v>16</v>
      </c>
      <c r="AL597" s="46" t="str">
        <f>IF(VLOOKUP(AK597,βοηθητικό!$J$2:$N$354,3,FALSE)="","",VLOOKUP(AK597,βοηθητικό!$J$2:$N$354,3,FALSE))</f>
        <v>_</v>
      </c>
      <c r="AM597" s="47"/>
      <c r="AN597" s="4" t="s">
        <v>16</v>
      </c>
      <c r="AO597" s="43" t="str">
        <f>IF(VLOOKUP(AN597,βοηθητικό!$J$2:$N$354,3,FALSE)="","",VLOOKUP(AN597,βοηθητικό!$J$2:$N$354,3,FALSE))</f>
        <v>_</v>
      </c>
      <c r="AP597" s="44"/>
      <c r="AQ597" s="5" t="s">
        <v>16</v>
      </c>
      <c r="AR597" s="46" t="str">
        <f>IF(VLOOKUP(AQ597,βοηθητικό!$J$2:$N$354,3,FALSE)="","",VLOOKUP(AQ597,βοηθητικό!$J$2:$N$354,3,FALSE))</f>
        <v>_</v>
      </c>
      <c r="AS597" s="47"/>
      <c r="AT597" s="4" t="s">
        <v>16</v>
      </c>
      <c r="AU597" s="43" t="str">
        <f>IF(VLOOKUP(AT597,βοηθητικό!$J$2:$N$354,3,FALSE)="","",VLOOKUP(AT597,βοηθητικό!$J$2:$N$354,3,FALSE))</f>
        <v>_</v>
      </c>
      <c r="AV597" s="44"/>
      <c r="AW597" s="5" t="s">
        <v>16</v>
      </c>
      <c r="AX597" s="46" t="str">
        <f>IF(VLOOKUP(AW597,βοηθητικό!$J$2:$N$354,3,FALSE)="","",VLOOKUP(AW597,βοηθητικό!$J$2:$N$354,3,FALSE))</f>
        <v>_</v>
      </c>
      <c r="AY597" s="47"/>
      <c r="AZ597" s="4" t="s">
        <v>16</v>
      </c>
      <c r="BA597" s="43" t="str">
        <f>IF(VLOOKUP(AZ597,βοηθητικό!$J$2:$N$354,3,FALSE)="","",VLOOKUP(AZ597,βοηθητικό!$J$2:$N$354,3,FALSE))</f>
        <v>_</v>
      </c>
      <c r="BB597" s="44"/>
      <c r="BC597" s="45" t="s">
        <v>16</v>
      </c>
      <c r="BD597" s="46" t="str">
        <f>IF(VLOOKUP(BC597,βοηθητικό!$J$2:$N$354,3,FALSE)="","",VLOOKUP(BC597,βοηθητικό!$J$2:$N$354,3,FALSE))</f>
        <v>_</v>
      </c>
      <c r="BE597" s="47"/>
      <c r="BF597" s="42" t="s">
        <v>16</v>
      </c>
      <c r="BG597" s="43" t="str">
        <f>IF(VLOOKUP(BF597,βοηθητικό!$J$2:$N$354,3,FALSE)="","",VLOOKUP(BF597,βοηθητικό!$J$2:$N$354,3,FALSE))</f>
        <v>_</v>
      </c>
      <c r="BH597" s="44"/>
      <c r="BI597" s="45" t="s">
        <v>16</v>
      </c>
      <c r="BJ597" s="46" t="str">
        <f>IF(VLOOKUP(BI597,βοηθητικό!$J$2:$N$354,3,FALSE)="","",VLOOKUP(BI597,βοηθητικό!$J$2:$N$354,3,FALSE))</f>
        <v>_</v>
      </c>
      <c r="BK597" s="47"/>
      <c r="BL597" s="42" t="s">
        <v>16</v>
      </c>
      <c r="BM597" s="43" t="str">
        <f>IF(VLOOKUP(BL597,βοηθητικό!$J$2:$N$354,3,FALSE)="","",VLOOKUP(BL597,βοηθητικό!$J$2:$N$354,3,FALSE))</f>
        <v>_</v>
      </c>
      <c r="BN597" s="44"/>
      <c r="BO597" s="45" t="s">
        <v>16</v>
      </c>
      <c r="BP597" s="46" t="str">
        <f>IF(VLOOKUP(BO597,βοηθητικό!$J$2:$N$354,3,FALSE)="","",VLOOKUP(BO597,βοηθητικό!$J$2:$N$354,3,FALSE))</f>
        <v>_</v>
      </c>
      <c r="BQ597" s="47"/>
      <c r="BR597" s="42" t="s">
        <v>16</v>
      </c>
      <c r="BS597" s="43" t="str">
        <f>IF(VLOOKUP(BR597,βοηθητικό!$J$2:$N$354,3,FALSE)="","",VLOOKUP(BR597,βοηθητικό!$J$2:$N$354,3,FALSE))</f>
        <v>_</v>
      </c>
      <c r="BT597" s="44"/>
      <c r="BU597" s="45" t="s">
        <v>16</v>
      </c>
      <c r="BV597" s="46" t="str">
        <f>IF(VLOOKUP(BU597,βοηθητικό!$J$2:$N$354,3,FALSE)="","",VLOOKUP(BU597,βοηθητικό!$J$2:$N$354,3,FALSE))</f>
        <v>_</v>
      </c>
      <c r="BW597" s="47"/>
      <c r="BX597" s="42" t="s">
        <v>16</v>
      </c>
      <c r="BY597" s="43" t="str">
        <f>IF(VLOOKUP(BX597,βοηθητικό!$J$2:$N$354,3,FALSE)="","",VLOOKUP(BX597,βοηθητικό!$J$2:$N$354,3,FALSE))</f>
        <v>_</v>
      </c>
      <c r="BZ597" s="44"/>
      <c r="CA597" s="45" t="s">
        <v>16</v>
      </c>
      <c r="CB597" s="46" t="str">
        <f>IF(VLOOKUP(CA597,βοηθητικό!$J$2:$N$354,3,FALSE)="","",VLOOKUP(CA597,βοηθητικό!$J$2:$N$354,3,FALSE))</f>
        <v>_</v>
      </c>
      <c r="CC597" s="47"/>
      <c r="CD597" s="42" t="s">
        <v>16</v>
      </c>
      <c r="CE597" s="43" t="str">
        <f>IF(VLOOKUP(CD597,βοηθητικό!$J$2:$N$354,3,FALSE)="","",VLOOKUP(CD597,βοηθητικό!$J$2:$N$354,3,FALSE))</f>
        <v>_</v>
      </c>
      <c r="CF597" s="44"/>
      <c r="CG597" s="45" t="s">
        <v>16</v>
      </c>
      <c r="CH597" s="46" t="str">
        <f>IF(VLOOKUP(CG597,βοηθητικό!$J$2:$N$354,3,FALSE)="","",VLOOKUP(CG597,βοηθητικό!$J$2:$N$354,3,FALSE))</f>
        <v>_</v>
      </c>
      <c r="CI597" s="47"/>
      <c r="CJ597" s="42" t="s">
        <v>16</v>
      </c>
      <c r="CK597" s="43" t="str">
        <f>IF(VLOOKUP(CJ597,βοηθητικό!$J$2:$N$354,3,FALSE)="","",VLOOKUP(CJ597,βοηθητικό!$J$2:$N$354,3,FALSE))</f>
        <v>_</v>
      </c>
      <c r="CL597" s="44"/>
      <c r="CM597" s="45" t="s">
        <v>16</v>
      </c>
      <c r="CN597" s="46" t="str">
        <f>IF(VLOOKUP(CM597,βοηθητικό!$J$2:$N$354,3,FALSE)="","",VLOOKUP(CM597,βοηθητικό!$J$2:$N$354,3,FALSE))</f>
        <v>_</v>
      </c>
      <c r="CO597" s="47"/>
      <c r="CP597" s="42" t="s">
        <v>16</v>
      </c>
      <c r="CQ597" s="43" t="str">
        <f>IF(VLOOKUP(CP597,βοηθητικό!$J$2:$N$354,3,FALSE)="","",VLOOKUP(CP597,βοηθητικό!$J$2:$N$354,3,FALSE))</f>
        <v>_</v>
      </c>
      <c r="CR597" s="44"/>
      <c r="CS597" s="45" t="s">
        <v>16</v>
      </c>
      <c r="CT597" s="46" t="str">
        <f>IF(VLOOKUP(CS597,βοηθητικό!$J$2:$N$354,3,FALSE)="","",VLOOKUP(CS597,βοηθητικό!$J$2:$N$354,3,FALSE))</f>
        <v>_</v>
      </c>
      <c r="CU597" s="47"/>
    </row>
    <row r="598" spans="1:99" x14ac:dyDescent="0.25">
      <c r="A598" s="37">
        <f>--SUBTOTAL(3,$B$3:B597)</f>
        <v>198</v>
      </c>
      <c r="B598" s="2"/>
      <c r="C598" s="3"/>
      <c r="D598" s="55" t="s">
        <v>18</v>
      </c>
      <c r="E598" s="38" t="s">
        <v>16</v>
      </c>
      <c r="F598" s="38"/>
      <c r="G598" s="39" t="str">
        <f t="shared" si="29"/>
        <v>__</v>
      </c>
      <c r="H598" s="40" t="str">
        <f t="shared" si="30"/>
        <v>FALSE</v>
      </c>
      <c r="I598" s="41">
        <f t="shared" si="31"/>
        <v>0</v>
      </c>
      <c r="J598" s="4" t="s">
        <v>16</v>
      </c>
      <c r="K598" s="43" t="str">
        <f>IF(VLOOKUP(J598,βοηθητικό!$J$2:$N$354,3,FALSE)="","",VLOOKUP(J598,βοηθητικό!$J$2:$N$354,3,FALSE))</f>
        <v>_</v>
      </c>
      <c r="L598" s="44"/>
      <c r="M598" s="5" t="s">
        <v>16</v>
      </c>
      <c r="N598" s="46" t="str">
        <f>IF(VLOOKUP(M598,βοηθητικό!$J$2:$N$354,3,FALSE)="","",VLOOKUP(M598,βοηθητικό!$J$2:$N$354,3,FALSE))</f>
        <v>_</v>
      </c>
      <c r="O598" s="47"/>
      <c r="P598" s="4" t="s">
        <v>16</v>
      </c>
      <c r="Q598" s="43" t="str">
        <f>IF(VLOOKUP(P598,βοηθητικό!$J$2:$N$354,3,FALSE)="","",VLOOKUP(P598,βοηθητικό!$J$2:$N$354,3,FALSE))</f>
        <v>_</v>
      </c>
      <c r="R598" s="44"/>
      <c r="S598" s="5" t="s">
        <v>16</v>
      </c>
      <c r="T598" s="46" t="str">
        <f>IF(VLOOKUP(S598,βοηθητικό!$J$2:$N$354,3,FALSE)="","",VLOOKUP(S598,βοηθητικό!$J$2:$N$354,3,FALSE))</f>
        <v>_</v>
      </c>
      <c r="U598" s="47"/>
      <c r="V598" s="4" t="s">
        <v>16</v>
      </c>
      <c r="W598" s="43" t="str">
        <f>IF(VLOOKUP(V598,βοηθητικό!$J$2:$N$354,3,FALSE)="","",VLOOKUP(V598,βοηθητικό!$J$2:$N$354,3,FALSE))</f>
        <v>_</v>
      </c>
      <c r="X598" s="44"/>
      <c r="Y598" s="5" t="s">
        <v>16</v>
      </c>
      <c r="Z598" s="46" t="str">
        <f>IF(VLOOKUP(Y598,βοηθητικό!$J$2:$N$354,3,FALSE)="","",VLOOKUP(Y598,βοηθητικό!$J$2:$N$354,3,FALSE))</f>
        <v>_</v>
      </c>
      <c r="AA598" s="47"/>
      <c r="AB598" s="4" t="s">
        <v>16</v>
      </c>
      <c r="AC598" s="43" t="str">
        <f>IF(VLOOKUP(AB598,βοηθητικό!$J$2:$N$354,3,FALSE)="","",VLOOKUP(AB598,βοηθητικό!$J$2:$N$354,3,FALSE))</f>
        <v>_</v>
      </c>
      <c r="AD598" s="44"/>
      <c r="AE598" s="5" t="s">
        <v>16</v>
      </c>
      <c r="AF598" s="46" t="str">
        <f>IF(VLOOKUP(AE598,βοηθητικό!$J$2:$N$354,3,FALSE)="","",VLOOKUP(AE598,βοηθητικό!$J$2:$N$354,3,FALSE))</f>
        <v>_</v>
      </c>
      <c r="AG598" s="47"/>
      <c r="AH598" s="4" t="s">
        <v>16</v>
      </c>
      <c r="AI598" s="43" t="str">
        <f>IF(VLOOKUP(AH598,βοηθητικό!$J$2:$N$354,3,FALSE)="","",VLOOKUP(AH598,βοηθητικό!$J$2:$N$354,3,FALSE))</f>
        <v>_</v>
      </c>
      <c r="AJ598" s="44"/>
      <c r="AK598" s="5" t="s">
        <v>16</v>
      </c>
      <c r="AL598" s="46" t="str">
        <f>IF(VLOOKUP(AK598,βοηθητικό!$J$2:$N$354,3,FALSE)="","",VLOOKUP(AK598,βοηθητικό!$J$2:$N$354,3,FALSE))</f>
        <v>_</v>
      </c>
      <c r="AM598" s="47"/>
      <c r="AN598" s="4" t="s">
        <v>16</v>
      </c>
      <c r="AO598" s="43" t="str">
        <f>IF(VLOOKUP(AN598,βοηθητικό!$J$2:$N$354,3,FALSE)="","",VLOOKUP(AN598,βοηθητικό!$J$2:$N$354,3,FALSE))</f>
        <v>_</v>
      </c>
      <c r="AP598" s="44"/>
      <c r="AQ598" s="5" t="s">
        <v>16</v>
      </c>
      <c r="AR598" s="46" t="str">
        <f>IF(VLOOKUP(AQ598,βοηθητικό!$J$2:$N$354,3,FALSE)="","",VLOOKUP(AQ598,βοηθητικό!$J$2:$N$354,3,FALSE))</f>
        <v>_</v>
      </c>
      <c r="AS598" s="47"/>
      <c r="AT598" s="4" t="s">
        <v>16</v>
      </c>
      <c r="AU598" s="43" t="str">
        <f>IF(VLOOKUP(AT598,βοηθητικό!$J$2:$N$354,3,FALSE)="","",VLOOKUP(AT598,βοηθητικό!$J$2:$N$354,3,FALSE))</f>
        <v>_</v>
      </c>
      <c r="AV598" s="44"/>
      <c r="AW598" s="5" t="s">
        <v>16</v>
      </c>
      <c r="AX598" s="46" t="str">
        <f>IF(VLOOKUP(AW598,βοηθητικό!$J$2:$N$354,3,FALSE)="","",VLOOKUP(AW598,βοηθητικό!$J$2:$N$354,3,FALSE))</f>
        <v>_</v>
      </c>
      <c r="AY598" s="47"/>
      <c r="AZ598" s="4" t="s">
        <v>16</v>
      </c>
      <c r="BA598" s="43" t="str">
        <f>IF(VLOOKUP(AZ598,βοηθητικό!$J$2:$N$354,3,FALSE)="","",VLOOKUP(AZ598,βοηθητικό!$J$2:$N$354,3,FALSE))</f>
        <v>_</v>
      </c>
      <c r="BB598" s="44"/>
      <c r="BC598" s="45" t="s">
        <v>16</v>
      </c>
      <c r="BD598" s="46" t="str">
        <f>IF(VLOOKUP(BC598,βοηθητικό!$J$2:$N$354,3,FALSE)="","",VLOOKUP(BC598,βοηθητικό!$J$2:$N$354,3,FALSE))</f>
        <v>_</v>
      </c>
      <c r="BE598" s="47"/>
      <c r="BF598" s="42" t="s">
        <v>16</v>
      </c>
      <c r="BG598" s="43" t="str">
        <f>IF(VLOOKUP(BF598,βοηθητικό!$J$2:$N$354,3,FALSE)="","",VLOOKUP(BF598,βοηθητικό!$J$2:$N$354,3,FALSE))</f>
        <v>_</v>
      </c>
      <c r="BH598" s="44"/>
      <c r="BI598" s="45" t="s">
        <v>16</v>
      </c>
      <c r="BJ598" s="46" t="str">
        <f>IF(VLOOKUP(BI598,βοηθητικό!$J$2:$N$354,3,FALSE)="","",VLOOKUP(BI598,βοηθητικό!$J$2:$N$354,3,FALSE))</f>
        <v>_</v>
      </c>
      <c r="BK598" s="47"/>
      <c r="BL598" s="42" t="s">
        <v>16</v>
      </c>
      <c r="BM598" s="43" t="str">
        <f>IF(VLOOKUP(BL598,βοηθητικό!$J$2:$N$354,3,FALSE)="","",VLOOKUP(BL598,βοηθητικό!$J$2:$N$354,3,FALSE))</f>
        <v>_</v>
      </c>
      <c r="BN598" s="44"/>
      <c r="BO598" s="45" t="s">
        <v>16</v>
      </c>
      <c r="BP598" s="46" t="str">
        <f>IF(VLOOKUP(BO598,βοηθητικό!$J$2:$N$354,3,FALSE)="","",VLOOKUP(BO598,βοηθητικό!$J$2:$N$354,3,FALSE))</f>
        <v>_</v>
      </c>
      <c r="BQ598" s="47"/>
      <c r="BR598" s="42" t="s">
        <v>16</v>
      </c>
      <c r="BS598" s="43" t="str">
        <f>IF(VLOOKUP(BR598,βοηθητικό!$J$2:$N$354,3,FALSE)="","",VLOOKUP(BR598,βοηθητικό!$J$2:$N$354,3,FALSE))</f>
        <v>_</v>
      </c>
      <c r="BT598" s="44"/>
      <c r="BU598" s="45" t="s">
        <v>16</v>
      </c>
      <c r="BV598" s="46" t="str">
        <f>IF(VLOOKUP(BU598,βοηθητικό!$J$2:$N$354,3,FALSE)="","",VLOOKUP(BU598,βοηθητικό!$J$2:$N$354,3,FALSE))</f>
        <v>_</v>
      </c>
      <c r="BW598" s="47"/>
      <c r="BX598" s="42" t="s">
        <v>16</v>
      </c>
      <c r="BY598" s="43" t="str">
        <f>IF(VLOOKUP(BX598,βοηθητικό!$J$2:$N$354,3,FALSE)="","",VLOOKUP(BX598,βοηθητικό!$J$2:$N$354,3,FALSE))</f>
        <v>_</v>
      </c>
      <c r="BZ598" s="44"/>
      <c r="CA598" s="45" t="s">
        <v>16</v>
      </c>
      <c r="CB598" s="46" t="str">
        <f>IF(VLOOKUP(CA598,βοηθητικό!$J$2:$N$354,3,FALSE)="","",VLOOKUP(CA598,βοηθητικό!$J$2:$N$354,3,FALSE))</f>
        <v>_</v>
      </c>
      <c r="CC598" s="47"/>
      <c r="CD598" s="42" t="s">
        <v>16</v>
      </c>
      <c r="CE598" s="43" t="str">
        <f>IF(VLOOKUP(CD598,βοηθητικό!$J$2:$N$354,3,FALSE)="","",VLOOKUP(CD598,βοηθητικό!$J$2:$N$354,3,FALSE))</f>
        <v>_</v>
      </c>
      <c r="CF598" s="44"/>
      <c r="CG598" s="45" t="s">
        <v>16</v>
      </c>
      <c r="CH598" s="46" t="str">
        <f>IF(VLOOKUP(CG598,βοηθητικό!$J$2:$N$354,3,FALSE)="","",VLOOKUP(CG598,βοηθητικό!$J$2:$N$354,3,FALSE))</f>
        <v>_</v>
      </c>
      <c r="CI598" s="47"/>
      <c r="CJ598" s="42" t="s">
        <v>16</v>
      </c>
      <c r="CK598" s="43" t="str">
        <f>IF(VLOOKUP(CJ598,βοηθητικό!$J$2:$N$354,3,FALSE)="","",VLOOKUP(CJ598,βοηθητικό!$J$2:$N$354,3,FALSE))</f>
        <v>_</v>
      </c>
      <c r="CL598" s="44"/>
      <c r="CM598" s="45" t="s">
        <v>16</v>
      </c>
      <c r="CN598" s="46" t="str">
        <f>IF(VLOOKUP(CM598,βοηθητικό!$J$2:$N$354,3,FALSE)="","",VLOOKUP(CM598,βοηθητικό!$J$2:$N$354,3,FALSE))</f>
        <v>_</v>
      </c>
      <c r="CO598" s="47"/>
      <c r="CP598" s="42" t="s">
        <v>16</v>
      </c>
      <c r="CQ598" s="43" t="str">
        <f>IF(VLOOKUP(CP598,βοηθητικό!$J$2:$N$354,3,FALSE)="","",VLOOKUP(CP598,βοηθητικό!$J$2:$N$354,3,FALSE))</f>
        <v>_</v>
      </c>
      <c r="CR598" s="44"/>
      <c r="CS598" s="45" t="s">
        <v>16</v>
      </c>
      <c r="CT598" s="46" t="str">
        <f>IF(VLOOKUP(CS598,βοηθητικό!$J$2:$N$354,3,FALSE)="","",VLOOKUP(CS598,βοηθητικό!$J$2:$N$354,3,FALSE))</f>
        <v>_</v>
      </c>
      <c r="CU598" s="47"/>
    </row>
    <row r="599" spans="1:99" x14ac:dyDescent="0.25">
      <c r="A599" s="37">
        <f>--SUBTOTAL(3,$B$3:B598)</f>
        <v>198</v>
      </c>
      <c r="B599" s="2"/>
      <c r="C599" s="3"/>
      <c r="D599" s="55" t="s">
        <v>18</v>
      </c>
      <c r="E599" s="38" t="s">
        <v>16</v>
      </c>
      <c r="F599" s="38"/>
      <c r="G599" s="39" t="str">
        <f t="shared" si="29"/>
        <v>__</v>
      </c>
      <c r="H599" s="40" t="str">
        <f t="shared" si="30"/>
        <v>FALSE</v>
      </c>
      <c r="I599" s="41">
        <f t="shared" si="31"/>
        <v>0</v>
      </c>
      <c r="J599" s="4" t="s">
        <v>16</v>
      </c>
      <c r="K599" s="43" t="str">
        <f>IF(VLOOKUP(J599,βοηθητικό!$J$2:$N$354,3,FALSE)="","",VLOOKUP(J599,βοηθητικό!$J$2:$N$354,3,FALSE))</f>
        <v>_</v>
      </c>
      <c r="L599" s="44"/>
      <c r="M599" s="5" t="s">
        <v>16</v>
      </c>
      <c r="N599" s="46" t="str">
        <f>IF(VLOOKUP(M599,βοηθητικό!$J$2:$N$354,3,FALSE)="","",VLOOKUP(M599,βοηθητικό!$J$2:$N$354,3,FALSE))</f>
        <v>_</v>
      </c>
      <c r="O599" s="47"/>
      <c r="P599" s="4" t="s">
        <v>16</v>
      </c>
      <c r="Q599" s="43" t="str">
        <f>IF(VLOOKUP(P599,βοηθητικό!$J$2:$N$354,3,FALSE)="","",VLOOKUP(P599,βοηθητικό!$J$2:$N$354,3,FALSE))</f>
        <v>_</v>
      </c>
      <c r="R599" s="44"/>
      <c r="S599" s="5" t="s">
        <v>16</v>
      </c>
      <c r="T599" s="46" t="str">
        <f>IF(VLOOKUP(S599,βοηθητικό!$J$2:$N$354,3,FALSE)="","",VLOOKUP(S599,βοηθητικό!$J$2:$N$354,3,FALSE))</f>
        <v>_</v>
      </c>
      <c r="U599" s="47"/>
      <c r="V599" s="4" t="s">
        <v>16</v>
      </c>
      <c r="W599" s="43" t="str">
        <f>IF(VLOOKUP(V599,βοηθητικό!$J$2:$N$354,3,FALSE)="","",VLOOKUP(V599,βοηθητικό!$J$2:$N$354,3,FALSE))</f>
        <v>_</v>
      </c>
      <c r="X599" s="44"/>
      <c r="Y599" s="5" t="s">
        <v>16</v>
      </c>
      <c r="Z599" s="46" t="str">
        <f>IF(VLOOKUP(Y599,βοηθητικό!$J$2:$N$354,3,FALSE)="","",VLOOKUP(Y599,βοηθητικό!$J$2:$N$354,3,FALSE))</f>
        <v>_</v>
      </c>
      <c r="AA599" s="47"/>
      <c r="AB599" s="4" t="s">
        <v>16</v>
      </c>
      <c r="AC599" s="43" t="str">
        <f>IF(VLOOKUP(AB599,βοηθητικό!$J$2:$N$354,3,FALSE)="","",VLOOKUP(AB599,βοηθητικό!$J$2:$N$354,3,FALSE))</f>
        <v>_</v>
      </c>
      <c r="AD599" s="44"/>
      <c r="AE599" s="5" t="s">
        <v>16</v>
      </c>
      <c r="AF599" s="46" t="str">
        <f>IF(VLOOKUP(AE599,βοηθητικό!$J$2:$N$354,3,FALSE)="","",VLOOKUP(AE599,βοηθητικό!$J$2:$N$354,3,FALSE))</f>
        <v>_</v>
      </c>
      <c r="AG599" s="47"/>
      <c r="AH599" s="4" t="s">
        <v>16</v>
      </c>
      <c r="AI599" s="43" t="str">
        <f>IF(VLOOKUP(AH599,βοηθητικό!$J$2:$N$354,3,FALSE)="","",VLOOKUP(AH599,βοηθητικό!$J$2:$N$354,3,FALSE))</f>
        <v>_</v>
      </c>
      <c r="AJ599" s="44"/>
      <c r="AK599" s="5" t="s">
        <v>16</v>
      </c>
      <c r="AL599" s="46" t="str">
        <f>IF(VLOOKUP(AK599,βοηθητικό!$J$2:$N$354,3,FALSE)="","",VLOOKUP(AK599,βοηθητικό!$J$2:$N$354,3,FALSE))</f>
        <v>_</v>
      </c>
      <c r="AM599" s="47"/>
      <c r="AN599" s="4" t="s">
        <v>16</v>
      </c>
      <c r="AO599" s="43" t="str">
        <f>IF(VLOOKUP(AN599,βοηθητικό!$J$2:$N$354,3,FALSE)="","",VLOOKUP(AN599,βοηθητικό!$J$2:$N$354,3,FALSE))</f>
        <v>_</v>
      </c>
      <c r="AP599" s="44"/>
      <c r="AQ599" s="5" t="s">
        <v>16</v>
      </c>
      <c r="AR599" s="46" t="str">
        <f>IF(VLOOKUP(AQ599,βοηθητικό!$J$2:$N$354,3,FALSE)="","",VLOOKUP(AQ599,βοηθητικό!$J$2:$N$354,3,FALSE))</f>
        <v>_</v>
      </c>
      <c r="AS599" s="47"/>
      <c r="AT599" s="4" t="s">
        <v>16</v>
      </c>
      <c r="AU599" s="43" t="str">
        <f>IF(VLOOKUP(AT599,βοηθητικό!$J$2:$N$354,3,FALSE)="","",VLOOKUP(AT599,βοηθητικό!$J$2:$N$354,3,FALSE))</f>
        <v>_</v>
      </c>
      <c r="AV599" s="44"/>
      <c r="AW599" s="5" t="s">
        <v>16</v>
      </c>
      <c r="AX599" s="46" t="str">
        <f>IF(VLOOKUP(AW599,βοηθητικό!$J$2:$N$354,3,FALSE)="","",VLOOKUP(AW599,βοηθητικό!$J$2:$N$354,3,FALSE))</f>
        <v>_</v>
      </c>
      <c r="AY599" s="47"/>
      <c r="AZ599" s="4" t="s">
        <v>16</v>
      </c>
      <c r="BA599" s="43" t="str">
        <f>IF(VLOOKUP(AZ599,βοηθητικό!$J$2:$N$354,3,FALSE)="","",VLOOKUP(AZ599,βοηθητικό!$J$2:$N$354,3,FALSE))</f>
        <v>_</v>
      </c>
      <c r="BB599" s="44"/>
      <c r="BC599" s="45" t="s">
        <v>16</v>
      </c>
      <c r="BD599" s="46" t="str">
        <f>IF(VLOOKUP(BC599,βοηθητικό!$J$2:$N$354,3,FALSE)="","",VLOOKUP(BC599,βοηθητικό!$J$2:$N$354,3,FALSE))</f>
        <v>_</v>
      </c>
      <c r="BE599" s="47"/>
      <c r="BF599" s="42" t="s">
        <v>16</v>
      </c>
      <c r="BG599" s="43" t="str">
        <f>IF(VLOOKUP(BF599,βοηθητικό!$J$2:$N$354,3,FALSE)="","",VLOOKUP(BF599,βοηθητικό!$J$2:$N$354,3,FALSE))</f>
        <v>_</v>
      </c>
      <c r="BH599" s="44"/>
      <c r="BI599" s="45" t="s">
        <v>16</v>
      </c>
      <c r="BJ599" s="46" t="str">
        <f>IF(VLOOKUP(BI599,βοηθητικό!$J$2:$N$354,3,FALSE)="","",VLOOKUP(BI599,βοηθητικό!$J$2:$N$354,3,FALSE))</f>
        <v>_</v>
      </c>
      <c r="BK599" s="47"/>
      <c r="BL599" s="42" t="s">
        <v>16</v>
      </c>
      <c r="BM599" s="43" t="str">
        <f>IF(VLOOKUP(BL599,βοηθητικό!$J$2:$N$354,3,FALSE)="","",VLOOKUP(BL599,βοηθητικό!$J$2:$N$354,3,FALSE))</f>
        <v>_</v>
      </c>
      <c r="BN599" s="44"/>
      <c r="BO599" s="45" t="s">
        <v>16</v>
      </c>
      <c r="BP599" s="46" t="str">
        <f>IF(VLOOKUP(BO599,βοηθητικό!$J$2:$N$354,3,FALSE)="","",VLOOKUP(BO599,βοηθητικό!$J$2:$N$354,3,FALSE))</f>
        <v>_</v>
      </c>
      <c r="BQ599" s="47"/>
      <c r="BR599" s="42" t="s">
        <v>16</v>
      </c>
      <c r="BS599" s="43" t="str">
        <f>IF(VLOOKUP(BR599,βοηθητικό!$J$2:$N$354,3,FALSE)="","",VLOOKUP(BR599,βοηθητικό!$J$2:$N$354,3,FALSE))</f>
        <v>_</v>
      </c>
      <c r="BT599" s="44"/>
      <c r="BU599" s="45" t="s">
        <v>16</v>
      </c>
      <c r="BV599" s="46" t="str">
        <f>IF(VLOOKUP(BU599,βοηθητικό!$J$2:$N$354,3,FALSE)="","",VLOOKUP(BU599,βοηθητικό!$J$2:$N$354,3,FALSE))</f>
        <v>_</v>
      </c>
      <c r="BW599" s="47"/>
      <c r="BX599" s="42" t="s">
        <v>16</v>
      </c>
      <c r="BY599" s="43" t="str">
        <f>IF(VLOOKUP(BX599,βοηθητικό!$J$2:$N$354,3,FALSE)="","",VLOOKUP(BX599,βοηθητικό!$J$2:$N$354,3,FALSE))</f>
        <v>_</v>
      </c>
      <c r="BZ599" s="44"/>
      <c r="CA599" s="45" t="s">
        <v>16</v>
      </c>
      <c r="CB599" s="46" t="str">
        <f>IF(VLOOKUP(CA599,βοηθητικό!$J$2:$N$354,3,FALSE)="","",VLOOKUP(CA599,βοηθητικό!$J$2:$N$354,3,FALSE))</f>
        <v>_</v>
      </c>
      <c r="CC599" s="47"/>
      <c r="CD599" s="42" t="s">
        <v>16</v>
      </c>
      <c r="CE599" s="43" t="str">
        <f>IF(VLOOKUP(CD599,βοηθητικό!$J$2:$N$354,3,FALSE)="","",VLOOKUP(CD599,βοηθητικό!$J$2:$N$354,3,FALSE))</f>
        <v>_</v>
      </c>
      <c r="CF599" s="44"/>
      <c r="CG599" s="45" t="s">
        <v>16</v>
      </c>
      <c r="CH599" s="46" t="str">
        <f>IF(VLOOKUP(CG599,βοηθητικό!$J$2:$N$354,3,FALSE)="","",VLOOKUP(CG599,βοηθητικό!$J$2:$N$354,3,FALSE))</f>
        <v>_</v>
      </c>
      <c r="CI599" s="47"/>
      <c r="CJ599" s="42" t="s">
        <v>16</v>
      </c>
      <c r="CK599" s="43" t="str">
        <f>IF(VLOOKUP(CJ599,βοηθητικό!$J$2:$N$354,3,FALSE)="","",VLOOKUP(CJ599,βοηθητικό!$J$2:$N$354,3,FALSE))</f>
        <v>_</v>
      </c>
      <c r="CL599" s="44"/>
      <c r="CM599" s="45" t="s">
        <v>16</v>
      </c>
      <c r="CN599" s="46" t="str">
        <f>IF(VLOOKUP(CM599,βοηθητικό!$J$2:$N$354,3,FALSE)="","",VLOOKUP(CM599,βοηθητικό!$J$2:$N$354,3,FALSE))</f>
        <v>_</v>
      </c>
      <c r="CO599" s="47"/>
      <c r="CP599" s="42" t="s">
        <v>16</v>
      </c>
      <c r="CQ599" s="43" t="str">
        <f>IF(VLOOKUP(CP599,βοηθητικό!$J$2:$N$354,3,FALSE)="","",VLOOKUP(CP599,βοηθητικό!$J$2:$N$354,3,FALSE))</f>
        <v>_</v>
      </c>
      <c r="CR599" s="44"/>
      <c r="CS599" s="45" t="s">
        <v>16</v>
      </c>
      <c r="CT599" s="46" t="str">
        <f>IF(VLOOKUP(CS599,βοηθητικό!$J$2:$N$354,3,FALSE)="","",VLOOKUP(CS599,βοηθητικό!$J$2:$N$354,3,FALSE))</f>
        <v>_</v>
      </c>
      <c r="CU599" s="47"/>
    </row>
    <row r="600" spans="1:99" x14ac:dyDescent="0.25">
      <c r="A600" s="37">
        <f>--SUBTOTAL(3,$B$3:B599)</f>
        <v>198</v>
      </c>
      <c r="B600" s="2"/>
      <c r="C600" s="3"/>
      <c r="D600" s="55" t="s">
        <v>18</v>
      </c>
      <c r="E600" s="38" t="s">
        <v>16</v>
      </c>
      <c r="F600" s="38"/>
      <c r="G600" s="39" t="str">
        <f t="shared" si="29"/>
        <v>__</v>
      </c>
      <c r="H600" s="40" t="str">
        <f t="shared" si="30"/>
        <v>FALSE</v>
      </c>
      <c r="I600" s="41">
        <f t="shared" si="31"/>
        <v>0</v>
      </c>
      <c r="J600" s="4" t="s">
        <v>16</v>
      </c>
      <c r="K600" s="43" t="str">
        <f>IF(VLOOKUP(J600,βοηθητικό!$J$2:$N$354,3,FALSE)="","",VLOOKUP(J600,βοηθητικό!$J$2:$N$354,3,FALSE))</f>
        <v>_</v>
      </c>
      <c r="L600" s="44"/>
      <c r="M600" s="5" t="s">
        <v>16</v>
      </c>
      <c r="N600" s="46" t="str">
        <f>IF(VLOOKUP(M600,βοηθητικό!$J$2:$N$354,3,FALSE)="","",VLOOKUP(M600,βοηθητικό!$J$2:$N$354,3,FALSE))</f>
        <v>_</v>
      </c>
      <c r="O600" s="47"/>
      <c r="P600" s="4" t="s">
        <v>16</v>
      </c>
      <c r="Q600" s="43" t="str">
        <f>IF(VLOOKUP(P600,βοηθητικό!$J$2:$N$354,3,FALSE)="","",VLOOKUP(P600,βοηθητικό!$J$2:$N$354,3,FALSE))</f>
        <v>_</v>
      </c>
      <c r="R600" s="44"/>
      <c r="S600" s="5" t="s">
        <v>16</v>
      </c>
      <c r="T600" s="46" t="str">
        <f>IF(VLOOKUP(S600,βοηθητικό!$J$2:$N$354,3,FALSE)="","",VLOOKUP(S600,βοηθητικό!$J$2:$N$354,3,FALSE))</f>
        <v>_</v>
      </c>
      <c r="U600" s="47"/>
      <c r="V600" s="4" t="s">
        <v>16</v>
      </c>
      <c r="W600" s="43" t="str">
        <f>IF(VLOOKUP(V600,βοηθητικό!$J$2:$N$354,3,FALSE)="","",VLOOKUP(V600,βοηθητικό!$J$2:$N$354,3,FALSE))</f>
        <v>_</v>
      </c>
      <c r="X600" s="44"/>
      <c r="Y600" s="5" t="s">
        <v>16</v>
      </c>
      <c r="Z600" s="46" t="str">
        <f>IF(VLOOKUP(Y600,βοηθητικό!$J$2:$N$354,3,FALSE)="","",VLOOKUP(Y600,βοηθητικό!$J$2:$N$354,3,FALSE))</f>
        <v>_</v>
      </c>
      <c r="AA600" s="47"/>
      <c r="AB600" s="4" t="s">
        <v>16</v>
      </c>
      <c r="AC600" s="43" t="str">
        <f>IF(VLOOKUP(AB600,βοηθητικό!$J$2:$N$354,3,FALSE)="","",VLOOKUP(AB600,βοηθητικό!$J$2:$N$354,3,FALSE))</f>
        <v>_</v>
      </c>
      <c r="AD600" s="44"/>
      <c r="AE600" s="5" t="s">
        <v>16</v>
      </c>
      <c r="AF600" s="46" t="str">
        <f>IF(VLOOKUP(AE600,βοηθητικό!$J$2:$N$354,3,FALSE)="","",VLOOKUP(AE600,βοηθητικό!$J$2:$N$354,3,FALSE))</f>
        <v>_</v>
      </c>
      <c r="AG600" s="47"/>
      <c r="AH600" s="4" t="s">
        <v>16</v>
      </c>
      <c r="AI600" s="43" t="str">
        <f>IF(VLOOKUP(AH600,βοηθητικό!$J$2:$N$354,3,FALSE)="","",VLOOKUP(AH600,βοηθητικό!$J$2:$N$354,3,FALSE))</f>
        <v>_</v>
      </c>
      <c r="AJ600" s="44"/>
      <c r="AK600" s="5" t="s">
        <v>16</v>
      </c>
      <c r="AL600" s="46" t="str">
        <f>IF(VLOOKUP(AK600,βοηθητικό!$J$2:$N$354,3,FALSE)="","",VLOOKUP(AK600,βοηθητικό!$J$2:$N$354,3,FALSE))</f>
        <v>_</v>
      </c>
      <c r="AM600" s="47"/>
      <c r="AN600" s="4" t="s">
        <v>16</v>
      </c>
      <c r="AO600" s="43" t="str">
        <f>IF(VLOOKUP(AN600,βοηθητικό!$J$2:$N$354,3,FALSE)="","",VLOOKUP(AN600,βοηθητικό!$J$2:$N$354,3,FALSE))</f>
        <v>_</v>
      </c>
      <c r="AP600" s="44"/>
      <c r="AQ600" s="5" t="s">
        <v>16</v>
      </c>
      <c r="AR600" s="46" t="str">
        <f>IF(VLOOKUP(AQ600,βοηθητικό!$J$2:$N$354,3,FALSE)="","",VLOOKUP(AQ600,βοηθητικό!$J$2:$N$354,3,FALSE))</f>
        <v>_</v>
      </c>
      <c r="AS600" s="47"/>
      <c r="AT600" s="4" t="s">
        <v>16</v>
      </c>
      <c r="AU600" s="43" t="str">
        <f>IF(VLOOKUP(AT600,βοηθητικό!$J$2:$N$354,3,FALSE)="","",VLOOKUP(AT600,βοηθητικό!$J$2:$N$354,3,FALSE))</f>
        <v>_</v>
      </c>
      <c r="AV600" s="44"/>
      <c r="AW600" s="5" t="s">
        <v>16</v>
      </c>
      <c r="AX600" s="46" t="str">
        <f>IF(VLOOKUP(AW600,βοηθητικό!$J$2:$N$354,3,FALSE)="","",VLOOKUP(AW600,βοηθητικό!$J$2:$N$354,3,FALSE))</f>
        <v>_</v>
      </c>
      <c r="AY600" s="47"/>
      <c r="AZ600" s="4" t="s">
        <v>16</v>
      </c>
      <c r="BA600" s="43" t="str">
        <f>IF(VLOOKUP(AZ600,βοηθητικό!$J$2:$N$354,3,FALSE)="","",VLOOKUP(AZ600,βοηθητικό!$J$2:$N$354,3,FALSE))</f>
        <v>_</v>
      </c>
      <c r="BB600" s="44"/>
      <c r="BC600" s="45" t="s">
        <v>16</v>
      </c>
      <c r="BD600" s="46" t="str">
        <f>IF(VLOOKUP(BC600,βοηθητικό!$J$2:$N$354,3,FALSE)="","",VLOOKUP(BC600,βοηθητικό!$J$2:$N$354,3,FALSE))</f>
        <v>_</v>
      </c>
      <c r="BE600" s="47"/>
      <c r="BF600" s="42" t="s">
        <v>16</v>
      </c>
      <c r="BG600" s="43" t="str">
        <f>IF(VLOOKUP(BF600,βοηθητικό!$J$2:$N$354,3,FALSE)="","",VLOOKUP(BF600,βοηθητικό!$J$2:$N$354,3,FALSE))</f>
        <v>_</v>
      </c>
      <c r="BH600" s="44"/>
      <c r="BI600" s="45" t="s">
        <v>16</v>
      </c>
      <c r="BJ600" s="46" t="str">
        <f>IF(VLOOKUP(BI600,βοηθητικό!$J$2:$N$354,3,FALSE)="","",VLOOKUP(BI600,βοηθητικό!$J$2:$N$354,3,FALSE))</f>
        <v>_</v>
      </c>
      <c r="BK600" s="47"/>
      <c r="BL600" s="42" t="s">
        <v>16</v>
      </c>
      <c r="BM600" s="43" t="str">
        <f>IF(VLOOKUP(BL600,βοηθητικό!$J$2:$N$354,3,FALSE)="","",VLOOKUP(BL600,βοηθητικό!$J$2:$N$354,3,FALSE))</f>
        <v>_</v>
      </c>
      <c r="BN600" s="44"/>
      <c r="BO600" s="45" t="s">
        <v>16</v>
      </c>
      <c r="BP600" s="46" t="str">
        <f>IF(VLOOKUP(BO600,βοηθητικό!$J$2:$N$354,3,FALSE)="","",VLOOKUP(BO600,βοηθητικό!$J$2:$N$354,3,FALSE))</f>
        <v>_</v>
      </c>
      <c r="BQ600" s="47"/>
      <c r="BR600" s="42" t="s">
        <v>16</v>
      </c>
      <c r="BS600" s="43" t="str">
        <f>IF(VLOOKUP(BR600,βοηθητικό!$J$2:$N$354,3,FALSE)="","",VLOOKUP(BR600,βοηθητικό!$J$2:$N$354,3,FALSE))</f>
        <v>_</v>
      </c>
      <c r="BT600" s="44"/>
      <c r="BU600" s="45" t="s">
        <v>16</v>
      </c>
      <c r="BV600" s="46" t="str">
        <f>IF(VLOOKUP(BU600,βοηθητικό!$J$2:$N$354,3,FALSE)="","",VLOOKUP(BU600,βοηθητικό!$J$2:$N$354,3,FALSE))</f>
        <v>_</v>
      </c>
      <c r="BW600" s="47"/>
      <c r="BX600" s="42" t="s">
        <v>16</v>
      </c>
      <c r="BY600" s="43" t="str">
        <f>IF(VLOOKUP(BX600,βοηθητικό!$J$2:$N$354,3,FALSE)="","",VLOOKUP(BX600,βοηθητικό!$J$2:$N$354,3,FALSE))</f>
        <v>_</v>
      </c>
      <c r="BZ600" s="44"/>
      <c r="CA600" s="45" t="s">
        <v>16</v>
      </c>
      <c r="CB600" s="46" t="str">
        <f>IF(VLOOKUP(CA600,βοηθητικό!$J$2:$N$354,3,FALSE)="","",VLOOKUP(CA600,βοηθητικό!$J$2:$N$354,3,FALSE))</f>
        <v>_</v>
      </c>
      <c r="CC600" s="47"/>
      <c r="CD600" s="42" t="s">
        <v>16</v>
      </c>
      <c r="CE600" s="43" t="str">
        <f>IF(VLOOKUP(CD600,βοηθητικό!$J$2:$N$354,3,FALSE)="","",VLOOKUP(CD600,βοηθητικό!$J$2:$N$354,3,FALSE))</f>
        <v>_</v>
      </c>
      <c r="CF600" s="44"/>
      <c r="CG600" s="45" t="s">
        <v>16</v>
      </c>
      <c r="CH600" s="46" t="str">
        <f>IF(VLOOKUP(CG600,βοηθητικό!$J$2:$N$354,3,FALSE)="","",VLOOKUP(CG600,βοηθητικό!$J$2:$N$354,3,FALSE))</f>
        <v>_</v>
      </c>
      <c r="CI600" s="47"/>
      <c r="CJ600" s="42" t="s">
        <v>16</v>
      </c>
      <c r="CK600" s="43" t="str">
        <f>IF(VLOOKUP(CJ600,βοηθητικό!$J$2:$N$354,3,FALSE)="","",VLOOKUP(CJ600,βοηθητικό!$J$2:$N$354,3,FALSE))</f>
        <v>_</v>
      </c>
      <c r="CL600" s="44"/>
      <c r="CM600" s="45" t="s">
        <v>16</v>
      </c>
      <c r="CN600" s="46" t="str">
        <f>IF(VLOOKUP(CM600,βοηθητικό!$J$2:$N$354,3,FALSE)="","",VLOOKUP(CM600,βοηθητικό!$J$2:$N$354,3,FALSE))</f>
        <v>_</v>
      </c>
      <c r="CO600" s="47"/>
      <c r="CP600" s="42" t="s">
        <v>16</v>
      </c>
      <c r="CQ600" s="43" t="str">
        <f>IF(VLOOKUP(CP600,βοηθητικό!$J$2:$N$354,3,FALSE)="","",VLOOKUP(CP600,βοηθητικό!$J$2:$N$354,3,FALSE))</f>
        <v>_</v>
      </c>
      <c r="CR600" s="44"/>
      <c r="CS600" s="45" t="s">
        <v>16</v>
      </c>
      <c r="CT600" s="46" t="str">
        <f>IF(VLOOKUP(CS600,βοηθητικό!$J$2:$N$354,3,FALSE)="","",VLOOKUP(CS600,βοηθητικό!$J$2:$N$354,3,FALSE))</f>
        <v>_</v>
      </c>
      <c r="CU600" s="47"/>
    </row>
    <row r="601" spans="1:99" x14ac:dyDescent="0.25">
      <c r="A601" s="37">
        <f>--SUBTOTAL(3,$B$3:B600)</f>
        <v>198</v>
      </c>
      <c r="B601" s="2"/>
      <c r="C601" s="3"/>
      <c r="D601" s="55" t="s">
        <v>18</v>
      </c>
      <c r="E601" s="38" t="s">
        <v>16</v>
      </c>
      <c r="F601" s="38"/>
      <c r="G601" s="39" t="str">
        <f t="shared" si="29"/>
        <v>__</v>
      </c>
      <c r="H601" s="40" t="str">
        <f t="shared" si="30"/>
        <v>FALSE</v>
      </c>
      <c r="I601" s="41">
        <f t="shared" si="31"/>
        <v>0</v>
      </c>
      <c r="J601" s="4" t="s">
        <v>16</v>
      </c>
      <c r="K601" s="43" t="str">
        <f>IF(VLOOKUP(J601,βοηθητικό!$J$2:$N$354,3,FALSE)="","",VLOOKUP(J601,βοηθητικό!$J$2:$N$354,3,FALSE))</f>
        <v>_</v>
      </c>
      <c r="L601" s="44"/>
      <c r="M601" s="5" t="s">
        <v>16</v>
      </c>
      <c r="N601" s="46" t="str">
        <f>IF(VLOOKUP(M601,βοηθητικό!$J$2:$N$354,3,FALSE)="","",VLOOKUP(M601,βοηθητικό!$J$2:$N$354,3,FALSE))</f>
        <v>_</v>
      </c>
      <c r="O601" s="47"/>
      <c r="P601" s="4" t="s">
        <v>16</v>
      </c>
      <c r="Q601" s="43" t="str">
        <f>IF(VLOOKUP(P601,βοηθητικό!$J$2:$N$354,3,FALSE)="","",VLOOKUP(P601,βοηθητικό!$J$2:$N$354,3,FALSE))</f>
        <v>_</v>
      </c>
      <c r="R601" s="44"/>
      <c r="S601" s="5" t="s">
        <v>16</v>
      </c>
      <c r="T601" s="46" t="str">
        <f>IF(VLOOKUP(S601,βοηθητικό!$J$2:$N$354,3,FALSE)="","",VLOOKUP(S601,βοηθητικό!$J$2:$N$354,3,FALSE))</f>
        <v>_</v>
      </c>
      <c r="U601" s="47"/>
      <c r="V601" s="4" t="s">
        <v>16</v>
      </c>
      <c r="W601" s="43" t="str">
        <f>IF(VLOOKUP(V601,βοηθητικό!$J$2:$N$354,3,FALSE)="","",VLOOKUP(V601,βοηθητικό!$J$2:$N$354,3,FALSE))</f>
        <v>_</v>
      </c>
      <c r="X601" s="44"/>
      <c r="Y601" s="5" t="s">
        <v>16</v>
      </c>
      <c r="Z601" s="46" t="str">
        <f>IF(VLOOKUP(Y601,βοηθητικό!$J$2:$N$354,3,FALSE)="","",VLOOKUP(Y601,βοηθητικό!$J$2:$N$354,3,FALSE))</f>
        <v>_</v>
      </c>
      <c r="AA601" s="47"/>
      <c r="AB601" s="4" t="s">
        <v>16</v>
      </c>
      <c r="AC601" s="43" t="str">
        <f>IF(VLOOKUP(AB601,βοηθητικό!$J$2:$N$354,3,FALSE)="","",VLOOKUP(AB601,βοηθητικό!$J$2:$N$354,3,FALSE))</f>
        <v>_</v>
      </c>
      <c r="AD601" s="44"/>
      <c r="AE601" s="5" t="s">
        <v>16</v>
      </c>
      <c r="AF601" s="46" t="str">
        <f>IF(VLOOKUP(AE601,βοηθητικό!$J$2:$N$354,3,FALSE)="","",VLOOKUP(AE601,βοηθητικό!$J$2:$N$354,3,FALSE))</f>
        <v>_</v>
      </c>
      <c r="AG601" s="47"/>
      <c r="AH601" s="4" t="s">
        <v>16</v>
      </c>
      <c r="AI601" s="43" t="str">
        <f>IF(VLOOKUP(AH601,βοηθητικό!$J$2:$N$354,3,FALSE)="","",VLOOKUP(AH601,βοηθητικό!$J$2:$N$354,3,FALSE))</f>
        <v>_</v>
      </c>
      <c r="AJ601" s="44"/>
      <c r="AK601" s="5" t="s">
        <v>16</v>
      </c>
      <c r="AL601" s="46" t="str">
        <f>IF(VLOOKUP(AK601,βοηθητικό!$J$2:$N$354,3,FALSE)="","",VLOOKUP(AK601,βοηθητικό!$J$2:$N$354,3,FALSE))</f>
        <v>_</v>
      </c>
      <c r="AM601" s="47"/>
      <c r="AN601" s="4" t="s">
        <v>16</v>
      </c>
      <c r="AO601" s="43" t="str">
        <f>IF(VLOOKUP(AN601,βοηθητικό!$J$2:$N$354,3,FALSE)="","",VLOOKUP(AN601,βοηθητικό!$J$2:$N$354,3,FALSE))</f>
        <v>_</v>
      </c>
      <c r="AP601" s="44"/>
      <c r="AQ601" s="5" t="s">
        <v>16</v>
      </c>
      <c r="AR601" s="46" t="str">
        <f>IF(VLOOKUP(AQ601,βοηθητικό!$J$2:$N$354,3,FALSE)="","",VLOOKUP(AQ601,βοηθητικό!$J$2:$N$354,3,FALSE))</f>
        <v>_</v>
      </c>
      <c r="AS601" s="47"/>
      <c r="AT601" s="4" t="s">
        <v>16</v>
      </c>
      <c r="AU601" s="43" t="str">
        <f>IF(VLOOKUP(AT601,βοηθητικό!$J$2:$N$354,3,FALSE)="","",VLOOKUP(AT601,βοηθητικό!$J$2:$N$354,3,FALSE))</f>
        <v>_</v>
      </c>
      <c r="AV601" s="44"/>
      <c r="AW601" s="5" t="s">
        <v>16</v>
      </c>
      <c r="AX601" s="46" t="str">
        <f>IF(VLOOKUP(AW601,βοηθητικό!$J$2:$N$354,3,FALSE)="","",VLOOKUP(AW601,βοηθητικό!$J$2:$N$354,3,FALSE))</f>
        <v>_</v>
      </c>
      <c r="AY601" s="47"/>
      <c r="AZ601" s="4" t="s">
        <v>16</v>
      </c>
      <c r="BA601" s="43" t="str">
        <f>IF(VLOOKUP(AZ601,βοηθητικό!$J$2:$N$354,3,FALSE)="","",VLOOKUP(AZ601,βοηθητικό!$J$2:$N$354,3,FALSE))</f>
        <v>_</v>
      </c>
      <c r="BB601" s="44"/>
      <c r="BC601" s="45" t="s">
        <v>16</v>
      </c>
      <c r="BD601" s="46" t="str">
        <f>IF(VLOOKUP(BC601,βοηθητικό!$J$2:$N$354,3,FALSE)="","",VLOOKUP(BC601,βοηθητικό!$J$2:$N$354,3,FALSE))</f>
        <v>_</v>
      </c>
      <c r="BE601" s="47"/>
      <c r="BF601" s="42" t="s">
        <v>16</v>
      </c>
      <c r="BG601" s="43" t="str">
        <f>IF(VLOOKUP(BF601,βοηθητικό!$J$2:$N$354,3,FALSE)="","",VLOOKUP(BF601,βοηθητικό!$J$2:$N$354,3,FALSE))</f>
        <v>_</v>
      </c>
      <c r="BH601" s="44"/>
      <c r="BI601" s="45" t="s">
        <v>16</v>
      </c>
      <c r="BJ601" s="46" t="str">
        <f>IF(VLOOKUP(BI601,βοηθητικό!$J$2:$N$354,3,FALSE)="","",VLOOKUP(BI601,βοηθητικό!$J$2:$N$354,3,FALSE))</f>
        <v>_</v>
      </c>
      <c r="BK601" s="47"/>
      <c r="BL601" s="42" t="s">
        <v>16</v>
      </c>
      <c r="BM601" s="43" t="str">
        <f>IF(VLOOKUP(BL601,βοηθητικό!$J$2:$N$354,3,FALSE)="","",VLOOKUP(BL601,βοηθητικό!$J$2:$N$354,3,FALSE))</f>
        <v>_</v>
      </c>
      <c r="BN601" s="44"/>
      <c r="BO601" s="45" t="s">
        <v>16</v>
      </c>
      <c r="BP601" s="46" t="str">
        <f>IF(VLOOKUP(BO601,βοηθητικό!$J$2:$N$354,3,FALSE)="","",VLOOKUP(BO601,βοηθητικό!$J$2:$N$354,3,FALSE))</f>
        <v>_</v>
      </c>
      <c r="BQ601" s="47"/>
      <c r="BR601" s="42" t="s">
        <v>16</v>
      </c>
      <c r="BS601" s="43" t="str">
        <f>IF(VLOOKUP(BR601,βοηθητικό!$J$2:$N$354,3,FALSE)="","",VLOOKUP(BR601,βοηθητικό!$J$2:$N$354,3,FALSE))</f>
        <v>_</v>
      </c>
      <c r="BT601" s="44"/>
      <c r="BU601" s="45" t="s">
        <v>16</v>
      </c>
      <c r="BV601" s="46" t="str">
        <f>IF(VLOOKUP(BU601,βοηθητικό!$J$2:$N$354,3,FALSE)="","",VLOOKUP(BU601,βοηθητικό!$J$2:$N$354,3,FALSE))</f>
        <v>_</v>
      </c>
      <c r="BW601" s="47"/>
      <c r="BX601" s="42" t="s">
        <v>16</v>
      </c>
      <c r="BY601" s="43" t="str">
        <f>IF(VLOOKUP(BX601,βοηθητικό!$J$2:$N$354,3,FALSE)="","",VLOOKUP(BX601,βοηθητικό!$J$2:$N$354,3,FALSE))</f>
        <v>_</v>
      </c>
      <c r="BZ601" s="44"/>
      <c r="CA601" s="45" t="s">
        <v>16</v>
      </c>
      <c r="CB601" s="46" t="str">
        <f>IF(VLOOKUP(CA601,βοηθητικό!$J$2:$N$354,3,FALSE)="","",VLOOKUP(CA601,βοηθητικό!$J$2:$N$354,3,FALSE))</f>
        <v>_</v>
      </c>
      <c r="CC601" s="47"/>
      <c r="CD601" s="42" t="s">
        <v>16</v>
      </c>
      <c r="CE601" s="43" t="str">
        <f>IF(VLOOKUP(CD601,βοηθητικό!$J$2:$N$354,3,FALSE)="","",VLOOKUP(CD601,βοηθητικό!$J$2:$N$354,3,FALSE))</f>
        <v>_</v>
      </c>
      <c r="CF601" s="44"/>
      <c r="CG601" s="45" t="s">
        <v>16</v>
      </c>
      <c r="CH601" s="46" t="str">
        <f>IF(VLOOKUP(CG601,βοηθητικό!$J$2:$N$354,3,FALSE)="","",VLOOKUP(CG601,βοηθητικό!$J$2:$N$354,3,FALSE))</f>
        <v>_</v>
      </c>
      <c r="CI601" s="47"/>
      <c r="CJ601" s="42" t="s">
        <v>16</v>
      </c>
      <c r="CK601" s="43" t="str">
        <f>IF(VLOOKUP(CJ601,βοηθητικό!$J$2:$N$354,3,FALSE)="","",VLOOKUP(CJ601,βοηθητικό!$J$2:$N$354,3,FALSE))</f>
        <v>_</v>
      </c>
      <c r="CL601" s="44"/>
      <c r="CM601" s="45" t="s">
        <v>16</v>
      </c>
      <c r="CN601" s="46" t="str">
        <f>IF(VLOOKUP(CM601,βοηθητικό!$J$2:$N$354,3,FALSE)="","",VLOOKUP(CM601,βοηθητικό!$J$2:$N$354,3,FALSE))</f>
        <v>_</v>
      </c>
      <c r="CO601" s="47"/>
      <c r="CP601" s="42" t="s">
        <v>16</v>
      </c>
      <c r="CQ601" s="43" t="str">
        <f>IF(VLOOKUP(CP601,βοηθητικό!$J$2:$N$354,3,FALSE)="","",VLOOKUP(CP601,βοηθητικό!$J$2:$N$354,3,FALSE))</f>
        <v>_</v>
      </c>
      <c r="CR601" s="44"/>
      <c r="CS601" s="45" t="s">
        <v>16</v>
      </c>
      <c r="CT601" s="46" t="str">
        <f>IF(VLOOKUP(CS601,βοηθητικό!$J$2:$N$354,3,FALSE)="","",VLOOKUP(CS601,βοηθητικό!$J$2:$N$354,3,FALSE))</f>
        <v>_</v>
      </c>
      <c r="CU601" s="47"/>
    </row>
    <row r="602" spans="1:99" x14ac:dyDescent="0.25">
      <c r="A602" s="37">
        <f>--SUBTOTAL(3,$B$3:B601)</f>
        <v>198</v>
      </c>
      <c r="B602" s="2"/>
      <c r="C602" s="3"/>
      <c r="D602" s="55" t="s">
        <v>18</v>
      </c>
      <c r="E602" s="38" t="s">
        <v>16</v>
      </c>
      <c r="F602" s="38"/>
      <c r="G602" s="39" t="str">
        <f t="shared" si="29"/>
        <v>__</v>
      </c>
      <c r="H602" s="40" t="str">
        <f t="shared" si="30"/>
        <v>FALSE</v>
      </c>
      <c r="I602" s="41">
        <f t="shared" si="31"/>
        <v>0</v>
      </c>
      <c r="J602" s="4" t="s">
        <v>16</v>
      </c>
      <c r="K602" s="43" t="str">
        <f>IF(VLOOKUP(J602,βοηθητικό!$J$2:$N$354,3,FALSE)="","",VLOOKUP(J602,βοηθητικό!$J$2:$N$354,3,FALSE))</f>
        <v>_</v>
      </c>
      <c r="L602" s="44"/>
      <c r="M602" s="5" t="s">
        <v>16</v>
      </c>
      <c r="N602" s="46" t="str">
        <f>IF(VLOOKUP(M602,βοηθητικό!$J$2:$N$354,3,FALSE)="","",VLOOKUP(M602,βοηθητικό!$J$2:$N$354,3,FALSE))</f>
        <v>_</v>
      </c>
      <c r="O602" s="47"/>
      <c r="P602" s="4" t="s">
        <v>16</v>
      </c>
      <c r="Q602" s="43" t="str">
        <f>IF(VLOOKUP(P602,βοηθητικό!$J$2:$N$354,3,FALSE)="","",VLOOKUP(P602,βοηθητικό!$J$2:$N$354,3,FALSE))</f>
        <v>_</v>
      </c>
      <c r="R602" s="44"/>
      <c r="S602" s="5" t="s">
        <v>16</v>
      </c>
      <c r="T602" s="46" t="str">
        <f>IF(VLOOKUP(S602,βοηθητικό!$J$2:$N$354,3,FALSE)="","",VLOOKUP(S602,βοηθητικό!$J$2:$N$354,3,FALSE))</f>
        <v>_</v>
      </c>
      <c r="U602" s="47"/>
      <c r="V602" s="4" t="s">
        <v>16</v>
      </c>
      <c r="W602" s="43" t="str">
        <f>IF(VLOOKUP(V602,βοηθητικό!$J$2:$N$354,3,FALSE)="","",VLOOKUP(V602,βοηθητικό!$J$2:$N$354,3,FALSE))</f>
        <v>_</v>
      </c>
      <c r="X602" s="44"/>
      <c r="Y602" s="5" t="s">
        <v>16</v>
      </c>
      <c r="Z602" s="46" t="str">
        <f>IF(VLOOKUP(Y602,βοηθητικό!$J$2:$N$354,3,FALSE)="","",VLOOKUP(Y602,βοηθητικό!$J$2:$N$354,3,FALSE))</f>
        <v>_</v>
      </c>
      <c r="AA602" s="47"/>
      <c r="AB602" s="4" t="s">
        <v>16</v>
      </c>
      <c r="AC602" s="43" t="str">
        <f>IF(VLOOKUP(AB602,βοηθητικό!$J$2:$N$354,3,FALSE)="","",VLOOKUP(AB602,βοηθητικό!$J$2:$N$354,3,FALSE))</f>
        <v>_</v>
      </c>
      <c r="AD602" s="44"/>
      <c r="AE602" s="5" t="s">
        <v>16</v>
      </c>
      <c r="AF602" s="46" t="str">
        <f>IF(VLOOKUP(AE602,βοηθητικό!$J$2:$N$354,3,FALSE)="","",VLOOKUP(AE602,βοηθητικό!$J$2:$N$354,3,FALSE))</f>
        <v>_</v>
      </c>
      <c r="AG602" s="47"/>
      <c r="AH602" s="4" t="s">
        <v>16</v>
      </c>
      <c r="AI602" s="43" t="str">
        <f>IF(VLOOKUP(AH602,βοηθητικό!$J$2:$N$354,3,FALSE)="","",VLOOKUP(AH602,βοηθητικό!$J$2:$N$354,3,FALSE))</f>
        <v>_</v>
      </c>
      <c r="AJ602" s="44"/>
      <c r="AK602" s="5" t="s">
        <v>16</v>
      </c>
      <c r="AL602" s="46" t="str">
        <f>IF(VLOOKUP(AK602,βοηθητικό!$J$2:$N$354,3,FALSE)="","",VLOOKUP(AK602,βοηθητικό!$J$2:$N$354,3,FALSE))</f>
        <v>_</v>
      </c>
      <c r="AM602" s="47"/>
      <c r="AN602" s="4" t="s">
        <v>16</v>
      </c>
      <c r="AO602" s="43" t="str">
        <f>IF(VLOOKUP(AN602,βοηθητικό!$J$2:$N$354,3,FALSE)="","",VLOOKUP(AN602,βοηθητικό!$J$2:$N$354,3,FALSE))</f>
        <v>_</v>
      </c>
      <c r="AP602" s="44"/>
      <c r="AQ602" s="5" t="s">
        <v>16</v>
      </c>
      <c r="AR602" s="46" t="str">
        <f>IF(VLOOKUP(AQ602,βοηθητικό!$J$2:$N$354,3,FALSE)="","",VLOOKUP(AQ602,βοηθητικό!$J$2:$N$354,3,FALSE))</f>
        <v>_</v>
      </c>
      <c r="AS602" s="47"/>
      <c r="AT602" s="4" t="s">
        <v>16</v>
      </c>
      <c r="AU602" s="43" t="str">
        <f>IF(VLOOKUP(AT602,βοηθητικό!$J$2:$N$354,3,FALSE)="","",VLOOKUP(AT602,βοηθητικό!$J$2:$N$354,3,FALSE))</f>
        <v>_</v>
      </c>
      <c r="AV602" s="44"/>
      <c r="AW602" s="5" t="s">
        <v>16</v>
      </c>
      <c r="AX602" s="46" t="str">
        <f>IF(VLOOKUP(AW602,βοηθητικό!$J$2:$N$354,3,FALSE)="","",VLOOKUP(AW602,βοηθητικό!$J$2:$N$354,3,FALSE))</f>
        <v>_</v>
      </c>
      <c r="AY602" s="47"/>
      <c r="AZ602" s="4" t="s">
        <v>16</v>
      </c>
      <c r="BA602" s="43" t="str">
        <f>IF(VLOOKUP(AZ602,βοηθητικό!$J$2:$N$354,3,FALSE)="","",VLOOKUP(AZ602,βοηθητικό!$J$2:$N$354,3,FALSE))</f>
        <v>_</v>
      </c>
      <c r="BB602" s="44"/>
      <c r="BC602" s="45" t="s">
        <v>16</v>
      </c>
      <c r="BD602" s="46" t="str">
        <f>IF(VLOOKUP(BC602,βοηθητικό!$J$2:$N$354,3,FALSE)="","",VLOOKUP(BC602,βοηθητικό!$J$2:$N$354,3,FALSE))</f>
        <v>_</v>
      </c>
      <c r="BE602" s="47"/>
      <c r="BF602" s="42" t="s">
        <v>16</v>
      </c>
      <c r="BG602" s="43" t="str">
        <f>IF(VLOOKUP(BF602,βοηθητικό!$J$2:$N$354,3,FALSE)="","",VLOOKUP(BF602,βοηθητικό!$J$2:$N$354,3,FALSE))</f>
        <v>_</v>
      </c>
      <c r="BH602" s="44"/>
      <c r="BI602" s="45" t="s">
        <v>16</v>
      </c>
      <c r="BJ602" s="46" t="str">
        <f>IF(VLOOKUP(BI602,βοηθητικό!$J$2:$N$354,3,FALSE)="","",VLOOKUP(BI602,βοηθητικό!$J$2:$N$354,3,FALSE))</f>
        <v>_</v>
      </c>
      <c r="BK602" s="47"/>
      <c r="BL602" s="42" t="s">
        <v>16</v>
      </c>
      <c r="BM602" s="43" t="str">
        <f>IF(VLOOKUP(BL602,βοηθητικό!$J$2:$N$354,3,FALSE)="","",VLOOKUP(BL602,βοηθητικό!$J$2:$N$354,3,FALSE))</f>
        <v>_</v>
      </c>
      <c r="BN602" s="44"/>
      <c r="BO602" s="45" t="s">
        <v>16</v>
      </c>
      <c r="BP602" s="46" t="str">
        <f>IF(VLOOKUP(BO602,βοηθητικό!$J$2:$N$354,3,FALSE)="","",VLOOKUP(BO602,βοηθητικό!$J$2:$N$354,3,FALSE))</f>
        <v>_</v>
      </c>
      <c r="BQ602" s="47"/>
      <c r="BR602" s="42" t="s">
        <v>16</v>
      </c>
      <c r="BS602" s="43" t="str">
        <f>IF(VLOOKUP(BR602,βοηθητικό!$J$2:$N$354,3,FALSE)="","",VLOOKUP(BR602,βοηθητικό!$J$2:$N$354,3,FALSE))</f>
        <v>_</v>
      </c>
      <c r="BT602" s="44"/>
      <c r="BU602" s="45" t="s">
        <v>16</v>
      </c>
      <c r="BV602" s="46" t="str">
        <f>IF(VLOOKUP(BU602,βοηθητικό!$J$2:$N$354,3,FALSE)="","",VLOOKUP(BU602,βοηθητικό!$J$2:$N$354,3,FALSE))</f>
        <v>_</v>
      </c>
      <c r="BW602" s="47"/>
      <c r="BX602" s="42" t="s">
        <v>16</v>
      </c>
      <c r="BY602" s="43" t="str">
        <f>IF(VLOOKUP(BX602,βοηθητικό!$J$2:$N$354,3,FALSE)="","",VLOOKUP(BX602,βοηθητικό!$J$2:$N$354,3,FALSE))</f>
        <v>_</v>
      </c>
      <c r="BZ602" s="44"/>
      <c r="CA602" s="45" t="s">
        <v>16</v>
      </c>
      <c r="CB602" s="46" t="str">
        <f>IF(VLOOKUP(CA602,βοηθητικό!$J$2:$N$354,3,FALSE)="","",VLOOKUP(CA602,βοηθητικό!$J$2:$N$354,3,FALSE))</f>
        <v>_</v>
      </c>
      <c r="CC602" s="47"/>
      <c r="CD602" s="42" t="s">
        <v>16</v>
      </c>
      <c r="CE602" s="43" t="str">
        <f>IF(VLOOKUP(CD602,βοηθητικό!$J$2:$N$354,3,FALSE)="","",VLOOKUP(CD602,βοηθητικό!$J$2:$N$354,3,FALSE))</f>
        <v>_</v>
      </c>
      <c r="CF602" s="44"/>
      <c r="CG602" s="45" t="s">
        <v>16</v>
      </c>
      <c r="CH602" s="46" t="str">
        <f>IF(VLOOKUP(CG602,βοηθητικό!$J$2:$N$354,3,FALSE)="","",VLOOKUP(CG602,βοηθητικό!$J$2:$N$354,3,FALSE))</f>
        <v>_</v>
      </c>
      <c r="CI602" s="47"/>
      <c r="CJ602" s="42" t="s">
        <v>16</v>
      </c>
      <c r="CK602" s="43" t="str">
        <f>IF(VLOOKUP(CJ602,βοηθητικό!$J$2:$N$354,3,FALSE)="","",VLOOKUP(CJ602,βοηθητικό!$J$2:$N$354,3,FALSE))</f>
        <v>_</v>
      </c>
      <c r="CL602" s="44"/>
      <c r="CM602" s="45" t="s">
        <v>16</v>
      </c>
      <c r="CN602" s="46" t="str">
        <f>IF(VLOOKUP(CM602,βοηθητικό!$J$2:$N$354,3,FALSE)="","",VLOOKUP(CM602,βοηθητικό!$J$2:$N$354,3,FALSE))</f>
        <v>_</v>
      </c>
      <c r="CO602" s="47"/>
      <c r="CP602" s="42" t="s">
        <v>16</v>
      </c>
      <c r="CQ602" s="43" t="str">
        <f>IF(VLOOKUP(CP602,βοηθητικό!$J$2:$N$354,3,FALSE)="","",VLOOKUP(CP602,βοηθητικό!$J$2:$N$354,3,FALSE))</f>
        <v>_</v>
      </c>
      <c r="CR602" s="44"/>
      <c r="CS602" s="45" t="s">
        <v>16</v>
      </c>
      <c r="CT602" s="46" t="str">
        <f>IF(VLOOKUP(CS602,βοηθητικό!$J$2:$N$354,3,FALSE)="","",VLOOKUP(CS602,βοηθητικό!$J$2:$N$354,3,FALSE))</f>
        <v>_</v>
      </c>
      <c r="CU602" s="47"/>
    </row>
    <row r="603" spans="1:99" x14ac:dyDescent="0.25">
      <c r="A603" s="37">
        <f>--SUBTOTAL(3,$B$3:B602)</f>
        <v>198</v>
      </c>
      <c r="B603" s="2"/>
      <c r="C603" s="3"/>
      <c r="D603" s="55" t="s">
        <v>18</v>
      </c>
      <c r="E603" s="38" t="s">
        <v>16</v>
      </c>
      <c r="F603" s="38"/>
      <c r="G603" s="39" t="str">
        <f t="shared" si="29"/>
        <v>__</v>
      </c>
      <c r="H603" s="40" t="str">
        <f t="shared" si="30"/>
        <v>FALSE</v>
      </c>
      <c r="I603" s="41">
        <f t="shared" si="31"/>
        <v>0</v>
      </c>
      <c r="J603" s="4" t="s">
        <v>16</v>
      </c>
      <c r="K603" s="43" t="str">
        <f>IF(VLOOKUP(J603,βοηθητικό!$J$2:$N$354,3,FALSE)="","",VLOOKUP(J603,βοηθητικό!$J$2:$N$354,3,FALSE))</f>
        <v>_</v>
      </c>
      <c r="L603" s="44"/>
      <c r="M603" s="5" t="s">
        <v>16</v>
      </c>
      <c r="N603" s="46" t="str">
        <f>IF(VLOOKUP(M603,βοηθητικό!$J$2:$N$354,3,FALSE)="","",VLOOKUP(M603,βοηθητικό!$J$2:$N$354,3,FALSE))</f>
        <v>_</v>
      </c>
      <c r="O603" s="47"/>
      <c r="P603" s="4" t="s">
        <v>16</v>
      </c>
      <c r="Q603" s="43" t="str">
        <f>IF(VLOOKUP(P603,βοηθητικό!$J$2:$N$354,3,FALSE)="","",VLOOKUP(P603,βοηθητικό!$J$2:$N$354,3,FALSE))</f>
        <v>_</v>
      </c>
      <c r="R603" s="44"/>
      <c r="S603" s="5" t="s">
        <v>16</v>
      </c>
      <c r="T603" s="46" t="str">
        <f>IF(VLOOKUP(S603,βοηθητικό!$J$2:$N$354,3,FALSE)="","",VLOOKUP(S603,βοηθητικό!$J$2:$N$354,3,FALSE))</f>
        <v>_</v>
      </c>
      <c r="U603" s="47"/>
      <c r="V603" s="4" t="s">
        <v>16</v>
      </c>
      <c r="W603" s="43" t="str">
        <f>IF(VLOOKUP(V603,βοηθητικό!$J$2:$N$354,3,FALSE)="","",VLOOKUP(V603,βοηθητικό!$J$2:$N$354,3,FALSE))</f>
        <v>_</v>
      </c>
      <c r="X603" s="44"/>
      <c r="Y603" s="5" t="s">
        <v>16</v>
      </c>
      <c r="Z603" s="46" t="str">
        <f>IF(VLOOKUP(Y603,βοηθητικό!$J$2:$N$354,3,FALSE)="","",VLOOKUP(Y603,βοηθητικό!$J$2:$N$354,3,FALSE))</f>
        <v>_</v>
      </c>
      <c r="AA603" s="47"/>
      <c r="AB603" s="4" t="s">
        <v>16</v>
      </c>
      <c r="AC603" s="43" t="str">
        <f>IF(VLOOKUP(AB603,βοηθητικό!$J$2:$N$354,3,FALSE)="","",VLOOKUP(AB603,βοηθητικό!$J$2:$N$354,3,FALSE))</f>
        <v>_</v>
      </c>
      <c r="AD603" s="44"/>
      <c r="AE603" s="5" t="s">
        <v>16</v>
      </c>
      <c r="AF603" s="46" t="str">
        <f>IF(VLOOKUP(AE603,βοηθητικό!$J$2:$N$354,3,FALSE)="","",VLOOKUP(AE603,βοηθητικό!$J$2:$N$354,3,FALSE))</f>
        <v>_</v>
      </c>
      <c r="AG603" s="47"/>
      <c r="AH603" s="4" t="s">
        <v>16</v>
      </c>
      <c r="AI603" s="43" t="str">
        <f>IF(VLOOKUP(AH603,βοηθητικό!$J$2:$N$354,3,FALSE)="","",VLOOKUP(AH603,βοηθητικό!$J$2:$N$354,3,FALSE))</f>
        <v>_</v>
      </c>
      <c r="AJ603" s="44"/>
      <c r="AK603" s="5" t="s">
        <v>16</v>
      </c>
      <c r="AL603" s="46" t="str">
        <f>IF(VLOOKUP(AK603,βοηθητικό!$J$2:$N$354,3,FALSE)="","",VLOOKUP(AK603,βοηθητικό!$J$2:$N$354,3,FALSE))</f>
        <v>_</v>
      </c>
      <c r="AM603" s="47"/>
      <c r="AN603" s="4" t="s">
        <v>16</v>
      </c>
      <c r="AO603" s="43" t="str">
        <f>IF(VLOOKUP(AN603,βοηθητικό!$J$2:$N$354,3,FALSE)="","",VLOOKUP(AN603,βοηθητικό!$J$2:$N$354,3,FALSE))</f>
        <v>_</v>
      </c>
      <c r="AP603" s="44"/>
      <c r="AQ603" s="5" t="s">
        <v>16</v>
      </c>
      <c r="AR603" s="46" t="str">
        <f>IF(VLOOKUP(AQ603,βοηθητικό!$J$2:$N$354,3,FALSE)="","",VLOOKUP(AQ603,βοηθητικό!$J$2:$N$354,3,FALSE))</f>
        <v>_</v>
      </c>
      <c r="AS603" s="47"/>
      <c r="AT603" s="4" t="s">
        <v>16</v>
      </c>
      <c r="AU603" s="43" t="str">
        <f>IF(VLOOKUP(AT603,βοηθητικό!$J$2:$N$354,3,FALSE)="","",VLOOKUP(AT603,βοηθητικό!$J$2:$N$354,3,FALSE))</f>
        <v>_</v>
      </c>
      <c r="AV603" s="44"/>
      <c r="AW603" s="5" t="s">
        <v>16</v>
      </c>
      <c r="AX603" s="46" t="str">
        <f>IF(VLOOKUP(AW603,βοηθητικό!$J$2:$N$354,3,FALSE)="","",VLOOKUP(AW603,βοηθητικό!$J$2:$N$354,3,FALSE))</f>
        <v>_</v>
      </c>
      <c r="AY603" s="47"/>
      <c r="AZ603" s="4" t="s">
        <v>16</v>
      </c>
      <c r="BA603" s="43" t="str">
        <f>IF(VLOOKUP(AZ603,βοηθητικό!$J$2:$N$354,3,FALSE)="","",VLOOKUP(AZ603,βοηθητικό!$J$2:$N$354,3,FALSE))</f>
        <v>_</v>
      </c>
      <c r="BB603" s="44"/>
      <c r="BC603" s="45" t="s">
        <v>16</v>
      </c>
      <c r="BD603" s="46" t="str">
        <f>IF(VLOOKUP(BC603,βοηθητικό!$J$2:$N$354,3,FALSE)="","",VLOOKUP(BC603,βοηθητικό!$J$2:$N$354,3,FALSE))</f>
        <v>_</v>
      </c>
      <c r="BE603" s="47"/>
      <c r="BF603" s="42" t="s">
        <v>16</v>
      </c>
      <c r="BG603" s="43" t="str">
        <f>IF(VLOOKUP(BF603,βοηθητικό!$J$2:$N$354,3,FALSE)="","",VLOOKUP(BF603,βοηθητικό!$J$2:$N$354,3,FALSE))</f>
        <v>_</v>
      </c>
      <c r="BH603" s="44"/>
      <c r="BI603" s="45" t="s">
        <v>16</v>
      </c>
      <c r="BJ603" s="46" t="str">
        <f>IF(VLOOKUP(BI603,βοηθητικό!$J$2:$N$354,3,FALSE)="","",VLOOKUP(BI603,βοηθητικό!$J$2:$N$354,3,FALSE))</f>
        <v>_</v>
      </c>
      <c r="BK603" s="47"/>
      <c r="BL603" s="42" t="s">
        <v>16</v>
      </c>
      <c r="BM603" s="43" t="str">
        <f>IF(VLOOKUP(BL603,βοηθητικό!$J$2:$N$354,3,FALSE)="","",VLOOKUP(BL603,βοηθητικό!$J$2:$N$354,3,FALSE))</f>
        <v>_</v>
      </c>
      <c r="BN603" s="44"/>
      <c r="BO603" s="45" t="s">
        <v>16</v>
      </c>
      <c r="BP603" s="46" t="str">
        <f>IF(VLOOKUP(BO603,βοηθητικό!$J$2:$N$354,3,FALSE)="","",VLOOKUP(BO603,βοηθητικό!$J$2:$N$354,3,FALSE))</f>
        <v>_</v>
      </c>
      <c r="BQ603" s="47"/>
      <c r="BR603" s="42" t="s">
        <v>16</v>
      </c>
      <c r="BS603" s="43" t="str">
        <f>IF(VLOOKUP(BR603,βοηθητικό!$J$2:$N$354,3,FALSE)="","",VLOOKUP(BR603,βοηθητικό!$J$2:$N$354,3,FALSE))</f>
        <v>_</v>
      </c>
      <c r="BT603" s="44"/>
      <c r="BU603" s="45" t="s">
        <v>16</v>
      </c>
      <c r="BV603" s="46" t="str">
        <f>IF(VLOOKUP(BU603,βοηθητικό!$J$2:$N$354,3,FALSE)="","",VLOOKUP(BU603,βοηθητικό!$J$2:$N$354,3,FALSE))</f>
        <v>_</v>
      </c>
      <c r="BW603" s="47"/>
      <c r="BX603" s="42" t="s">
        <v>16</v>
      </c>
      <c r="BY603" s="43" t="str">
        <f>IF(VLOOKUP(BX603,βοηθητικό!$J$2:$N$354,3,FALSE)="","",VLOOKUP(BX603,βοηθητικό!$J$2:$N$354,3,FALSE))</f>
        <v>_</v>
      </c>
      <c r="BZ603" s="44"/>
      <c r="CA603" s="45" t="s">
        <v>16</v>
      </c>
      <c r="CB603" s="46" t="str">
        <f>IF(VLOOKUP(CA603,βοηθητικό!$J$2:$N$354,3,FALSE)="","",VLOOKUP(CA603,βοηθητικό!$J$2:$N$354,3,FALSE))</f>
        <v>_</v>
      </c>
      <c r="CC603" s="47"/>
      <c r="CD603" s="42" t="s">
        <v>16</v>
      </c>
      <c r="CE603" s="43" t="str">
        <f>IF(VLOOKUP(CD603,βοηθητικό!$J$2:$N$354,3,FALSE)="","",VLOOKUP(CD603,βοηθητικό!$J$2:$N$354,3,FALSE))</f>
        <v>_</v>
      </c>
      <c r="CF603" s="44"/>
      <c r="CG603" s="45" t="s">
        <v>16</v>
      </c>
      <c r="CH603" s="46" t="str">
        <f>IF(VLOOKUP(CG603,βοηθητικό!$J$2:$N$354,3,FALSE)="","",VLOOKUP(CG603,βοηθητικό!$J$2:$N$354,3,FALSE))</f>
        <v>_</v>
      </c>
      <c r="CI603" s="47"/>
      <c r="CJ603" s="42" t="s">
        <v>16</v>
      </c>
      <c r="CK603" s="43" t="str">
        <f>IF(VLOOKUP(CJ603,βοηθητικό!$J$2:$N$354,3,FALSE)="","",VLOOKUP(CJ603,βοηθητικό!$J$2:$N$354,3,FALSE))</f>
        <v>_</v>
      </c>
      <c r="CL603" s="44"/>
      <c r="CM603" s="45" t="s">
        <v>16</v>
      </c>
      <c r="CN603" s="46" t="str">
        <f>IF(VLOOKUP(CM603,βοηθητικό!$J$2:$N$354,3,FALSE)="","",VLOOKUP(CM603,βοηθητικό!$J$2:$N$354,3,FALSE))</f>
        <v>_</v>
      </c>
      <c r="CO603" s="47"/>
      <c r="CP603" s="42" t="s">
        <v>16</v>
      </c>
      <c r="CQ603" s="43" t="str">
        <f>IF(VLOOKUP(CP603,βοηθητικό!$J$2:$N$354,3,FALSE)="","",VLOOKUP(CP603,βοηθητικό!$J$2:$N$354,3,FALSE))</f>
        <v>_</v>
      </c>
      <c r="CR603" s="44"/>
      <c r="CS603" s="45" t="s">
        <v>16</v>
      </c>
      <c r="CT603" s="46" t="str">
        <f>IF(VLOOKUP(CS603,βοηθητικό!$J$2:$N$354,3,FALSE)="","",VLOOKUP(CS603,βοηθητικό!$J$2:$N$354,3,FALSE))</f>
        <v>_</v>
      </c>
      <c r="CU603" s="47"/>
    </row>
    <row r="604" spans="1:99" x14ac:dyDescent="0.25">
      <c r="A604" s="37">
        <f>--SUBTOTAL(3,$B$3:B603)</f>
        <v>198</v>
      </c>
      <c r="B604" s="2"/>
      <c r="C604" s="3"/>
      <c r="D604" s="55" t="s">
        <v>18</v>
      </c>
      <c r="E604" s="38" t="s">
        <v>16</v>
      </c>
      <c r="F604" s="38"/>
      <c r="G604" s="39" t="str">
        <f t="shared" si="29"/>
        <v>__</v>
      </c>
      <c r="H604" s="40" t="str">
        <f t="shared" si="30"/>
        <v>FALSE</v>
      </c>
      <c r="I604" s="41">
        <f t="shared" si="31"/>
        <v>0</v>
      </c>
      <c r="J604" s="4" t="s">
        <v>16</v>
      </c>
      <c r="K604" s="43" t="str">
        <f>IF(VLOOKUP(J604,βοηθητικό!$J$2:$N$354,3,FALSE)="","",VLOOKUP(J604,βοηθητικό!$J$2:$N$354,3,FALSE))</f>
        <v>_</v>
      </c>
      <c r="L604" s="44"/>
      <c r="M604" s="5" t="s">
        <v>16</v>
      </c>
      <c r="N604" s="46" t="str">
        <f>IF(VLOOKUP(M604,βοηθητικό!$J$2:$N$354,3,FALSE)="","",VLOOKUP(M604,βοηθητικό!$J$2:$N$354,3,FALSE))</f>
        <v>_</v>
      </c>
      <c r="O604" s="47"/>
      <c r="P604" s="4" t="s">
        <v>16</v>
      </c>
      <c r="Q604" s="43" t="str">
        <f>IF(VLOOKUP(P604,βοηθητικό!$J$2:$N$354,3,FALSE)="","",VLOOKUP(P604,βοηθητικό!$J$2:$N$354,3,FALSE))</f>
        <v>_</v>
      </c>
      <c r="R604" s="44"/>
      <c r="S604" s="5" t="s">
        <v>16</v>
      </c>
      <c r="T604" s="46" t="str">
        <f>IF(VLOOKUP(S604,βοηθητικό!$J$2:$N$354,3,FALSE)="","",VLOOKUP(S604,βοηθητικό!$J$2:$N$354,3,FALSE))</f>
        <v>_</v>
      </c>
      <c r="U604" s="47"/>
      <c r="V604" s="4" t="s">
        <v>16</v>
      </c>
      <c r="W604" s="43" t="str">
        <f>IF(VLOOKUP(V604,βοηθητικό!$J$2:$N$354,3,FALSE)="","",VLOOKUP(V604,βοηθητικό!$J$2:$N$354,3,FALSE))</f>
        <v>_</v>
      </c>
      <c r="X604" s="44"/>
      <c r="Y604" s="5" t="s">
        <v>16</v>
      </c>
      <c r="Z604" s="46" t="str">
        <f>IF(VLOOKUP(Y604,βοηθητικό!$J$2:$N$354,3,FALSE)="","",VLOOKUP(Y604,βοηθητικό!$J$2:$N$354,3,FALSE))</f>
        <v>_</v>
      </c>
      <c r="AA604" s="47"/>
      <c r="AB604" s="4" t="s">
        <v>16</v>
      </c>
      <c r="AC604" s="43" t="str">
        <f>IF(VLOOKUP(AB604,βοηθητικό!$J$2:$N$354,3,FALSE)="","",VLOOKUP(AB604,βοηθητικό!$J$2:$N$354,3,FALSE))</f>
        <v>_</v>
      </c>
      <c r="AD604" s="44"/>
      <c r="AE604" s="5" t="s">
        <v>16</v>
      </c>
      <c r="AF604" s="46" t="str">
        <f>IF(VLOOKUP(AE604,βοηθητικό!$J$2:$N$354,3,FALSE)="","",VLOOKUP(AE604,βοηθητικό!$J$2:$N$354,3,FALSE))</f>
        <v>_</v>
      </c>
      <c r="AG604" s="47"/>
      <c r="AH604" s="4" t="s">
        <v>16</v>
      </c>
      <c r="AI604" s="43" t="str">
        <f>IF(VLOOKUP(AH604,βοηθητικό!$J$2:$N$354,3,FALSE)="","",VLOOKUP(AH604,βοηθητικό!$J$2:$N$354,3,FALSE))</f>
        <v>_</v>
      </c>
      <c r="AJ604" s="44"/>
      <c r="AK604" s="5" t="s">
        <v>16</v>
      </c>
      <c r="AL604" s="46" t="str">
        <f>IF(VLOOKUP(AK604,βοηθητικό!$J$2:$N$354,3,FALSE)="","",VLOOKUP(AK604,βοηθητικό!$J$2:$N$354,3,FALSE))</f>
        <v>_</v>
      </c>
      <c r="AM604" s="47"/>
      <c r="AN604" s="4" t="s">
        <v>16</v>
      </c>
      <c r="AO604" s="43" t="str">
        <f>IF(VLOOKUP(AN604,βοηθητικό!$J$2:$N$354,3,FALSE)="","",VLOOKUP(AN604,βοηθητικό!$J$2:$N$354,3,FALSE))</f>
        <v>_</v>
      </c>
      <c r="AP604" s="44"/>
      <c r="AQ604" s="5" t="s">
        <v>16</v>
      </c>
      <c r="AR604" s="46" t="str">
        <f>IF(VLOOKUP(AQ604,βοηθητικό!$J$2:$N$354,3,FALSE)="","",VLOOKUP(AQ604,βοηθητικό!$J$2:$N$354,3,FALSE))</f>
        <v>_</v>
      </c>
      <c r="AS604" s="47"/>
      <c r="AT604" s="4" t="s">
        <v>16</v>
      </c>
      <c r="AU604" s="43" t="str">
        <f>IF(VLOOKUP(AT604,βοηθητικό!$J$2:$N$354,3,FALSE)="","",VLOOKUP(AT604,βοηθητικό!$J$2:$N$354,3,FALSE))</f>
        <v>_</v>
      </c>
      <c r="AV604" s="44"/>
      <c r="AW604" s="5" t="s">
        <v>16</v>
      </c>
      <c r="AX604" s="46" t="str">
        <f>IF(VLOOKUP(AW604,βοηθητικό!$J$2:$N$354,3,FALSE)="","",VLOOKUP(AW604,βοηθητικό!$J$2:$N$354,3,FALSE))</f>
        <v>_</v>
      </c>
      <c r="AY604" s="47"/>
      <c r="AZ604" s="4" t="s">
        <v>16</v>
      </c>
      <c r="BA604" s="43" t="str">
        <f>IF(VLOOKUP(AZ604,βοηθητικό!$J$2:$N$354,3,FALSE)="","",VLOOKUP(AZ604,βοηθητικό!$J$2:$N$354,3,FALSE))</f>
        <v>_</v>
      </c>
      <c r="BB604" s="44"/>
      <c r="BC604" s="45" t="s">
        <v>16</v>
      </c>
      <c r="BD604" s="46" t="str">
        <f>IF(VLOOKUP(BC604,βοηθητικό!$J$2:$N$354,3,FALSE)="","",VLOOKUP(BC604,βοηθητικό!$J$2:$N$354,3,FALSE))</f>
        <v>_</v>
      </c>
      <c r="BE604" s="47"/>
      <c r="BF604" s="42" t="s">
        <v>16</v>
      </c>
      <c r="BG604" s="43" t="str">
        <f>IF(VLOOKUP(BF604,βοηθητικό!$J$2:$N$354,3,FALSE)="","",VLOOKUP(BF604,βοηθητικό!$J$2:$N$354,3,FALSE))</f>
        <v>_</v>
      </c>
      <c r="BH604" s="44"/>
      <c r="BI604" s="45" t="s">
        <v>16</v>
      </c>
      <c r="BJ604" s="46" t="str">
        <f>IF(VLOOKUP(BI604,βοηθητικό!$J$2:$N$354,3,FALSE)="","",VLOOKUP(BI604,βοηθητικό!$J$2:$N$354,3,FALSE))</f>
        <v>_</v>
      </c>
      <c r="BK604" s="47"/>
      <c r="BL604" s="42" t="s">
        <v>16</v>
      </c>
      <c r="BM604" s="43" t="str">
        <f>IF(VLOOKUP(BL604,βοηθητικό!$J$2:$N$354,3,FALSE)="","",VLOOKUP(BL604,βοηθητικό!$J$2:$N$354,3,FALSE))</f>
        <v>_</v>
      </c>
      <c r="BN604" s="44"/>
      <c r="BO604" s="45" t="s">
        <v>16</v>
      </c>
      <c r="BP604" s="46" t="str">
        <f>IF(VLOOKUP(BO604,βοηθητικό!$J$2:$N$354,3,FALSE)="","",VLOOKUP(BO604,βοηθητικό!$J$2:$N$354,3,FALSE))</f>
        <v>_</v>
      </c>
      <c r="BQ604" s="47"/>
      <c r="BR604" s="42" t="s">
        <v>16</v>
      </c>
      <c r="BS604" s="43" t="str">
        <f>IF(VLOOKUP(BR604,βοηθητικό!$J$2:$N$354,3,FALSE)="","",VLOOKUP(BR604,βοηθητικό!$J$2:$N$354,3,FALSE))</f>
        <v>_</v>
      </c>
      <c r="BT604" s="44"/>
      <c r="BU604" s="45" t="s">
        <v>16</v>
      </c>
      <c r="BV604" s="46" t="str">
        <f>IF(VLOOKUP(BU604,βοηθητικό!$J$2:$N$354,3,FALSE)="","",VLOOKUP(BU604,βοηθητικό!$J$2:$N$354,3,FALSE))</f>
        <v>_</v>
      </c>
      <c r="BW604" s="47"/>
      <c r="BX604" s="42" t="s">
        <v>16</v>
      </c>
      <c r="BY604" s="43" t="str">
        <f>IF(VLOOKUP(BX604,βοηθητικό!$J$2:$N$354,3,FALSE)="","",VLOOKUP(BX604,βοηθητικό!$J$2:$N$354,3,FALSE))</f>
        <v>_</v>
      </c>
      <c r="BZ604" s="44"/>
      <c r="CA604" s="45" t="s">
        <v>16</v>
      </c>
      <c r="CB604" s="46" t="str">
        <f>IF(VLOOKUP(CA604,βοηθητικό!$J$2:$N$354,3,FALSE)="","",VLOOKUP(CA604,βοηθητικό!$J$2:$N$354,3,FALSE))</f>
        <v>_</v>
      </c>
      <c r="CC604" s="47"/>
      <c r="CD604" s="42" t="s">
        <v>16</v>
      </c>
      <c r="CE604" s="43" t="str">
        <f>IF(VLOOKUP(CD604,βοηθητικό!$J$2:$N$354,3,FALSE)="","",VLOOKUP(CD604,βοηθητικό!$J$2:$N$354,3,FALSE))</f>
        <v>_</v>
      </c>
      <c r="CF604" s="44"/>
      <c r="CG604" s="45" t="s">
        <v>16</v>
      </c>
      <c r="CH604" s="46" t="str">
        <f>IF(VLOOKUP(CG604,βοηθητικό!$J$2:$N$354,3,FALSE)="","",VLOOKUP(CG604,βοηθητικό!$J$2:$N$354,3,FALSE))</f>
        <v>_</v>
      </c>
      <c r="CI604" s="47"/>
      <c r="CJ604" s="42" t="s">
        <v>16</v>
      </c>
      <c r="CK604" s="43" t="str">
        <f>IF(VLOOKUP(CJ604,βοηθητικό!$J$2:$N$354,3,FALSE)="","",VLOOKUP(CJ604,βοηθητικό!$J$2:$N$354,3,FALSE))</f>
        <v>_</v>
      </c>
      <c r="CL604" s="44"/>
      <c r="CM604" s="45" t="s">
        <v>16</v>
      </c>
      <c r="CN604" s="46" t="str">
        <f>IF(VLOOKUP(CM604,βοηθητικό!$J$2:$N$354,3,FALSE)="","",VLOOKUP(CM604,βοηθητικό!$J$2:$N$354,3,FALSE))</f>
        <v>_</v>
      </c>
      <c r="CO604" s="47"/>
      <c r="CP604" s="42" t="s">
        <v>16</v>
      </c>
      <c r="CQ604" s="43" t="str">
        <f>IF(VLOOKUP(CP604,βοηθητικό!$J$2:$N$354,3,FALSE)="","",VLOOKUP(CP604,βοηθητικό!$J$2:$N$354,3,FALSE))</f>
        <v>_</v>
      </c>
      <c r="CR604" s="44"/>
      <c r="CS604" s="45" t="s">
        <v>16</v>
      </c>
      <c r="CT604" s="46" t="str">
        <f>IF(VLOOKUP(CS604,βοηθητικό!$J$2:$N$354,3,FALSE)="","",VLOOKUP(CS604,βοηθητικό!$J$2:$N$354,3,FALSE))</f>
        <v>_</v>
      </c>
      <c r="CU604" s="47"/>
    </row>
    <row r="605" spans="1:99" x14ac:dyDescent="0.25">
      <c r="A605" s="37">
        <f>--SUBTOTAL(3,$B$3:B604)</f>
        <v>198</v>
      </c>
      <c r="B605" s="2"/>
      <c r="C605" s="3"/>
      <c r="D605" s="55" t="s">
        <v>18</v>
      </c>
      <c r="E605" s="38" t="s">
        <v>16</v>
      </c>
      <c r="F605" s="38"/>
      <c r="G605" s="39" t="str">
        <f t="shared" si="29"/>
        <v>__</v>
      </c>
      <c r="H605" s="40" t="str">
        <f t="shared" si="30"/>
        <v>FALSE</v>
      </c>
      <c r="I605" s="41">
        <f t="shared" si="31"/>
        <v>0</v>
      </c>
      <c r="J605" s="4" t="s">
        <v>16</v>
      </c>
      <c r="K605" s="43" t="str">
        <f>IF(VLOOKUP(J605,βοηθητικό!$J$2:$N$354,3,FALSE)="","",VLOOKUP(J605,βοηθητικό!$J$2:$N$354,3,FALSE))</f>
        <v>_</v>
      </c>
      <c r="L605" s="44"/>
      <c r="M605" s="5" t="s">
        <v>16</v>
      </c>
      <c r="N605" s="46" t="str">
        <f>IF(VLOOKUP(M605,βοηθητικό!$J$2:$N$354,3,FALSE)="","",VLOOKUP(M605,βοηθητικό!$J$2:$N$354,3,FALSE))</f>
        <v>_</v>
      </c>
      <c r="O605" s="47"/>
      <c r="P605" s="4" t="s">
        <v>16</v>
      </c>
      <c r="Q605" s="43" t="str">
        <f>IF(VLOOKUP(P605,βοηθητικό!$J$2:$N$354,3,FALSE)="","",VLOOKUP(P605,βοηθητικό!$J$2:$N$354,3,FALSE))</f>
        <v>_</v>
      </c>
      <c r="R605" s="44"/>
      <c r="S605" s="5" t="s">
        <v>16</v>
      </c>
      <c r="T605" s="46" t="str">
        <f>IF(VLOOKUP(S605,βοηθητικό!$J$2:$N$354,3,FALSE)="","",VLOOKUP(S605,βοηθητικό!$J$2:$N$354,3,FALSE))</f>
        <v>_</v>
      </c>
      <c r="U605" s="47"/>
      <c r="V605" s="4" t="s">
        <v>16</v>
      </c>
      <c r="W605" s="43" t="str">
        <f>IF(VLOOKUP(V605,βοηθητικό!$J$2:$N$354,3,FALSE)="","",VLOOKUP(V605,βοηθητικό!$J$2:$N$354,3,FALSE))</f>
        <v>_</v>
      </c>
      <c r="X605" s="44"/>
      <c r="Y605" s="5" t="s">
        <v>16</v>
      </c>
      <c r="Z605" s="46" t="str">
        <f>IF(VLOOKUP(Y605,βοηθητικό!$J$2:$N$354,3,FALSE)="","",VLOOKUP(Y605,βοηθητικό!$J$2:$N$354,3,FALSE))</f>
        <v>_</v>
      </c>
      <c r="AA605" s="47"/>
      <c r="AB605" s="4" t="s">
        <v>16</v>
      </c>
      <c r="AC605" s="43" t="str">
        <f>IF(VLOOKUP(AB605,βοηθητικό!$J$2:$N$354,3,FALSE)="","",VLOOKUP(AB605,βοηθητικό!$J$2:$N$354,3,FALSE))</f>
        <v>_</v>
      </c>
      <c r="AD605" s="44"/>
      <c r="AE605" s="5" t="s">
        <v>16</v>
      </c>
      <c r="AF605" s="46" t="str">
        <f>IF(VLOOKUP(AE605,βοηθητικό!$J$2:$N$354,3,FALSE)="","",VLOOKUP(AE605,βοηθητικό!$J$2:$N$354,3,FALSE))</f>
        <v>_</v>
      </c>
      <c r="AG605" s="47"/>
      <c r="AH605" s="4" t="s">
        <v>16</v>
      </c>
      <c r="AI605" s="43" t="str">
        <f>IF(VLOOKUP(AH605,βοηθητικό!$J$2:$N$354,3,FALSE)="","",VLOOKUP(AH605,βοηθητικό!$J$2:$N$354,3,FALSE))</f>
        <v>_</v>
      </c>
      <c r="AJ605" s="44"/>
      <c r="AK605" s="5" t="s">
        <v>16</v>
      </c>
      <c r="AL605" s="46" t="str">
        <f>IF(VLOOKUP(AK605,βοηθητικό!$J$2:$N$354,3,FALSE)="","",VLOOKUP(AK605,βοηθητικό!$J$2:$N$354,3,FALSE))</f>
        <v>_</v>
      </c>
      <c r="AM605" s="47"/>
      <c r="AN605" s="4" t="s">
        <v>16</v>
      </c>
      <c r="AO605" s="43" t="str">
        <f>IF(VLOOKUP(AN605,βοηθητικό!$J$2:$N$354,3,FALSE)="","",VLOOKUP(AN605,βοηθητικό!$J$2:$N$354,3,FALSE))</f>
        <v>_</v>
      </c>
      <c r="AP605" s="44"/>
      <c r="AQ605" s="5" t="s">
        <v>16</v>
      </c>
      <c r="AR605" s="46" t="str">
        <f>IF(VLOOKUP(AQ605,βοηθητικό!$J$2:$N$354,3,FALSE)="","",VLOOKUP(AQ605,βοηθητικό!$J$2:$N$354,3,FALSE))</f>
        <v>_</v>
      </c>
      <c r="AS605" s="47"/>
      <c r="AT605" s="4" t="s">
        <v>16</v>
      </c>
      <c r="AU605" s="43" t="str">
        <f>IF(VLOOKUP(AT605,βοηθητικό!$J$2:$N$354,3,FALSE)="","",VLOOKUP(AT605,βοηθητικό!$J$2:$N$354,3,FALSE))</f>
        <v>_</v>
      </c>
      <c r="AV605" s="44"/>
      <c r="AW605" s="5" t="s">
        <v>16</v>
      </c>
      <c r="AX605" s="46" t="str">
        <f>IF(VLOOKUP(AW605,βοηθητικό!$J$2:$N$354,3,FALSE)="","",VLOOKUP(AW605,βοηθητικό!$J$2:$N$354,3,FALSE))</f>
        <v>_</v>
      </c>
      <c r="AY605" s="47"/>
      <c r="AZ605" s="4" t="s">
        <v>16</v>
      </c>
      <c r="BA605" s="43" t="str">
        <f>IF(VLOOKUP(AZ605,βοηθητικό!$J$2:$N$354,3,FALSE)="","",VLOOKUP(AZ605,βοηθητικό!$J$2:$N$354,3,FALSE))</f>
        <v>_</v>
      </c>
      <c r="BB605" s="44"/>
      <c r="BC605" s="45" t="s">
        <v>16</v>
      </c>
      <c r="BD605" s="46" t="str">
        <f>IF(VLOOKUP(BC605,βοηθητικό!$J$2:$N$354,3,FALSE)="","",VLOOKUP(BC605,βοηθητικό!$J$2:$N$354,3,FALSE))</f>
        <v>_</v>
      </c>
      <c r="BE605" s="47"/>
      <c r="BF605" s="42" t="s">
        <v>16</v>
      </c>
      <c r="BG605" s="43" t="str">
        <f>IF(VLOOKUP(BF605,βοηθητικό!$J$2:$N$354,3,FALSE)="","",VLOOKUP(BF605,βοηθητικό!$J$2:$N$354,3,FALSE))</f>
        <v>_</v>
      </c>
      <c r="BH605" s="44"/>
      <c r="BI605" s="45" t="s">
        <v>16</v>
      </c>
      <c r="BJ605" s="46" t="str">
        <f>IF(VLOOKUP(BI605,βοηθητικό!$J$2:$N$354,3,FALSE)="","",VLOOKUP(BI605,βοηθητικό!$J$2:$N$354,3,FALSE))</f>
        <v>_</v>
      </c>
      <c r="BK605" s="47"/>
      <c r="BL605" s="42" t="s">
        <v>16</v>
      </c>
      <c r="BM605" s="43" t="str">
        <f>IF(VLOOKUP(BL605,βοηθητικό!$J$2:$N$354,3,FALSE)="","",VLOOKUP(BL605,βοηθητικό!$J$2:$N$354,3,FALSE))</f>
        <v>_</v>
      </c>
      <c r="BN605" s="44"/>
      <c r="BO605" s="45" t="s">
        <v>16</v>
      </c>
      <c r="BP605" s="46" t="str">
        <f>IF(VLOOKUP(BO605,βοηθητικό!$J$2:$N$354,3,FALSE)="","",VLOOKUP(BO605,βοηθητικό!$J$2:$N$354,3,FALSE))</f>
        <v>_</v>
      </c>
      <c r="BQ605" s="47"/>
      <c r="BR605" s="42" t="s">
        <v>16</v>
      </c>
      <c r="BS605" s="43" t="str">
        <f>IF(VLOOKUP(BR605,βοηθητικό!$J$2:$N$354,3,FALSE)="","",VLOOKUP(BR605,βοηθητικό!$J$2:$N$354,3,FALSE))</f>
        <v>_</v>
      </c>
      <c r="BT605" s="44"/>
      <c r="BU605" s="45" t="s">
        <v>16</v>
      </c>
      <c r="BV605" s="46" t="str">
        <f>IF(VLOOKUP(BU605,βοηθητικό!$J$2:$N$354,3,FALSE)="","",VLOOKUP(BU605,βοηθητικό!$J$2:$N$354,3,FALSE))</f>
        <v>_</v>
      </c>
      <c r="BW605" s="47"/>
      <c r="BX605" s="42" t="s">
        <v>16</v>
      </c>
      <c r="BY605" s="43" t="str">
        <f>IF(VLOOKUP(BX605,βοηθητικό!$J$2:$N$354,3,FALSE)="","",VLOOKUP(BX605,βοηθητικό!$J$2:$N$354,3,FALSE))</f>
        <v>_</v>
      </c>
      <c r="BZ605" s="44"/>
      <c r="CA605" s="45" t="s">
        <v>16</v>
      </c>
      <c r="CB605" s="46" t="str">
        <f>IF(VLOOKUP(CA605,βοηθητικό!$J$2:$N$354,3,FALSE)="","",VLOOKUP(CA605,βοηθητικό!$J$2:$N$354,3,FALSE))</f>
        <v>_</v>
      </c>
      <c r="CC605" s="47"/>
      <c r="CD605" s="42" t="s">
        <v>16</v>
      </c>
      <c r="CE605" s="43" t="str">
        <f>IF(VLOOKUP(CD605,βοηθητικό!$J$2:$N$354,3,FALSE)="","",VLOOKUP(CD605,βοηθητικό!$J$2:$N$354,3,FALSE))</f>
        <v>_</v>
      </c>
      <c r="CF605" s="44"/>
      <c r="CG605" s="45" t="s">
        <v>16</v>
      </c>
      <c r="CH605" s="46" t="str">
        <f>IF(VLOOKUP(CG605,βοηθητικό!$J$2:$N$354,3,FALSE)="","",VLOOKUP(CG605,βοηθητικό!$J$2:$N$354,3,FALSE))</f>
        <v>_</v>
      </c>
      <c r="CI605" s="47"/>
      <c r="CJ605" s="42" t="s">
        <v>16</v>
      </c>
      <c r="CK605" s="43" t="str">
        <f>IF(VLOOKUP(CJ605,βοηθητικό!$J$2:$N$354,3,FALSE)="","",VLOOKUP(CJ605,βοηθητικό!$J$2:$N$354,3,FALSE))</f>
        <v>_</v>
      </c>
      <c r="CL605" s="44"/>
      <c r="CM605" s="45" t="s">
        <v>16</v>
      </c>
      <c r="CN605" s="46" t="str">
        <f>IF(VLOOKUP(CM605,βοηθητικό!$J$2:$N$354,3,FALSE)="","",VLOOKUP(CM605,βοηθητικό!$J$2:$N$354,3,FALSE))</f>
        <v>_</v>
      </c>
      <c r="CO605" s="47"/>
      <c r="CP605" s="42" t="s">
        <v>16</v>
      </c>
      <c r="CQ605" s="43" t="str">
        <f>IF(VLOOKUP(CP605,βοηθητικό!$J$2:$N$354,3,FALSE)="","",VLOOKUP(CP605,βοηθητικό!$J$2:$N$354,3,FALSE))</f>
        <v>_</v>
      </c>
      <c r="CR605" s="44"/>
      <c r="CS605" s="45" t="s">
        <v>16</v>
      </c>
      <c r="CT605" s="46" t="str">
        <f>IF(VLOOKUP(CS605,βοηθητικό!$J$2:$N$354,3,FALSE)="","",VLOOKUP(CS605,βοηθητικό!$J$2:$N$354,3,FALSE))</f>
        <v>_</v>
      </c>
      <c r="CU605" s="47"/>
    </row>
    <row r="606" spans="1:99" x14ac:dyDescent="0.25">
      <c r="A606" s="37">
        <f>--SUBTOTAL(3,$B$3:B605)</f>
        <v>198</v>
      </c>
      <c r="B606" s="2"/>
      <c r="C606" s="3"/>
      <c r="D606" s="55" t="s">
        <v>18</v>
      </c>
      <c r="E606" s="38" t="s">
        <v>16</v>
      </c>
      <c r="F606" s="38"/>
      <c r="G606" s="39" t="str">
        <f t="shared" si="29"/>
        <v>__</v>
      </c>
      <c r="H606" s="40" t="str">
        <f t="shared" si="30"/>
        <v>FALSE</v>
      </c>
      <c r="I606" s="41">
        <f t="shared" si="31"/>
        <v>0</v>
      </c>
      <c r="J606" s="4" t="s">
        <v>16</v>
      </c>
      <c r="K606" s="43" t="str">
        <f>IF(VLOOKUP(J606,βοηθητικό!$J$2:$N$354,3,FALSE)="","",VLOOKUP(J606,βοηθητικό!$J$2:$N$354,3,FALSE))</f>
        <v>_</v>
      </c>
      <c r="L606" s="44"/>
      <c r="M606" s="5" t="s">
        <v>16</v>
      </c>
      <c r="N606" s="46" t="str">
        <f>IF(VLOOKUP(M606,βοηθητικό!$J$2:$N$354,3,FALSE)="","",VLOOKUP(M606,βοηθητικό!$J$2:$N$354,3,FALSE))</f>
        <v>_</v>
      </c>
      <c r="O606" s="47"/>
      <c r="P606" s="4" t="s">
        <v>16</v>
      </c>
      <c r="Q606" s="43" t="str">
        <f>IF(VLOOKUP(P606,βοηθητικό!$J$2:$N$354,3,FALSE)="","",VLOOKUP(P606,βοηθητικό!$J$2:$N$354,3,FALSE))</f>
        <v>_</v>
      </c>
      <c r="R606" s="44"/>
      <c r="S606" s="5" t="s">
        <v>16</v>
      </c>
      <c r="T606" s="46" t="str">
        <f>IF(VLOOKUP(S606,βοηθητικό!$J$2:$N$354,3,FALSE)="","",VLOOKUP(S606,βοηθητικό!$J$2:$N$354,3,FALSE))</f>
        <v>_</v>
      </c>
      <c r="U606" s="47"/>
      <c r="V606" s="4" t="s">
        <v>16</v>
      </c>
      <c r="W606" s="43" t="str">
        <f>IF(VLOOKUP(V606,βοηθητικό!$J$2:$N$354,3,FALSE)="","",VLOOKUP(V606,βοηθητικό!$J$2:$N$354,3,FALSE))</f>
        <v>_</v>
      </c>
      <c r="X606" s="44"/>
      <c r="Y606" s="5" t="s">
        <v>16</v>
      </c>
      <c r="Z606" s="46" t="str">
        <f>IF(VLOOKUP(Y606,βοηθητικό!$J$2:$N$354,3,FALSE)="","",VLOOKUP(Y606,βοηθητικό!$J$2:$N$354,3,FALSE))</f>
        <v>_</v>
      </c>
      <c r="AA606" s="47"/>
      <c r="AB606" s="4" t="s">
        <v>16</v>
      </c>
      <c r="AC606" s="43" t="str">
        <f>IF(VLOOKUP(AB606,βοηθητικό!$J$2:$N$354,3,FALSE)="","",VLOOKUP(AB606,βοηθητικό!$J$2:$N$354,3,FALSE))</f>
        <v>_</v>
      </c>
      <c r="AD606" s="44"/>
      <c r="AE606" s="5" t="s">
        <v>16</v>
      </c>
      <c r="AF606" s="46" t="str">
        <f>IF(VLOOKUP(AE606,βοηθητικό!$J$2:$N$354,3,FALSE)="","",VLOOKUP(AE606,βοηθητικό!$J$2:$N$354,3,FALSE))</f>
        <v>_</v>
      </c>
      <c r="AG606" s="47"/>
      <c r="AH606" s="4" t="s">
        <v>16</v>
      </c>
      <c r="AI606" s="43" t="str">
        <f>IF(VLOOKUP(AH606,βοηθητικό!$J$2:$N$354,3,FALSE)="","",VLOOKUP(AH606,βοηθητικό!$J$2:$N$354,3,FALSE))</f>
        <v>_</v>
      </c>
      <c r="AJ606" s="44"/>
      <c r="AK606" s="5" t="s">
        <v>16</v>
      </c>
      <c r="AL606" s="46" t="str">
        <f>IF(VLOOKUP(AK606,βοηθητικό!$J$2:$N$354,3,FALSE)="","",VLOOKUP(AK606,βοηθητικό!$J$2:$N$354,3,FALSE))</f>
        <v>_</v>
      </c>
      <c r="AM606" s="47"/>
      <c r="AN606" s="4" t="s">
        <v>16</v>
      </c>
      <c r="AO606" s="43" t="str">
        <f>IF(VLOOKUP(AN606,βοηθητικό!$J$2:$N$354,3,FALSE)="","",VLOOKUP(AN606,βοηθητικό!$J$2:$N$354,3,FALSE))</f>
        <v>_</v>
      </c>
      <c r="AP606" s="44"/>
      <c r="AQ606" s="5" t="s">
        <v>16</v>
      </c>
      <c r="AR606" s="46" t="str">
        <f>IF(VLOOKUP(AQ606,βοηθητικό!$J$2:$N$354,3,FALSE)="","",VLOOKUP(AQ606,βοηθητικό!$J$2:$N$354,3,FALSE))</f>
        <v>_</v>
      </c>
      <c r="AS606" s="47"/>
      <c r="AT606" s="4" t="s">
        <v>16</v>
      </c>
      <c r="AU606" s="43" t="str">
        <f>IF(VLOOKUP(AT606,βοηθητικό!$J$2:$N$354,3,FALSE)="","",VLOOKUP(AT606,βοηθητικό!$J$2:$N$354,3,FALSE))</f>
        <v>_</v>
      </c>
      <c r="AV606" s="44"/>
      <c r="AW606" s="5" t="s">
        <v>16</v>
      </c>
      <c r="AX606" s="46" t="str">
        <f>IF(VLOOKUP(AW606,βοηθητικό!$J$2:$N$354,3,FALSE)="","",VLOOKUP(AW606,βοηθητικό!$J$2:$N$354,3,FALSE))</f>
        <v>_</v>
      </c>
      <c r="AY606" s="47"/>
      <c r="AZ606" s="4" t="s">
        <v>16</v>
      </c>
      <c r="BA606" s="43" t="str">
        <f>IF(VLOOKUP(AZ606,βοηθητικό!$J$2:$N$354,3,FALSE)="","",VLOOKUP(AZ606,βοηθητικό!$J$2:$N$354,3,FALSE))</f>
        <v>_</v>
      </c>
      <c r="BB606" s="44"/>
      <c r="BC606" s="45" t="s">
        <v>16</v>
      </c>
      <c r="BD606" s="46" t="str">
        <f>IF(VLOOKUP(BC606,βοηθητικό!$J$2:$N$354,3,FALSE)="","",VLOOKUP(BC606,βοηθητικό!$J$2:$N$354,3,FALSE))</f>
        <v>_</v>
      </c>
      <c r="BE606" s="47"/>
      <c r="BF606" s="42" t="s">
        <v>16</v>
      </c>
      <c r="BG606" s="43" t="str">
        <f>IF(VLOOKUP(BF606,βοηθητικό!$J$2:$N$354,3,FALSE)="","",VLOOKUP(BF606,βοηθητικό!$J$2:$N$354,3,FALSE))</f>
        <v>_</v>
      </c>
      <c r="BH606" s="44"/>
      <c r="BI606" s="45" t="s">
        <v>16</v>
      </c>
      <c r="BJ606" s="46" t="str">
        <f>IF(VLOOKUP(BI606,βοηθητικό!$J$2:$N$354,3,FALSE)="","",VLOOKUP(BI606,βοηθητικό!$J$2:$N$354,3,FALSE))</f>
        <v>_</v>
      </c>
      <c r="BK606" s="47"/>
      <c r="BL606" s="42" t="s">
        <v>16</v>
      </c>
      <c r="BM606" s="43" t="str">
        <f>IF(VLOOKUP(BL606,βοηθητικό!$J$2:$N$354,3,FALSE)="","",VLOOKUP(BL606,βοηθητικό!$J$2:$N$354,3,FALSE))</f>
        <v>_</v>
      </c>
      <c r="BN606" s="44"/>
      <c r="BO606" s="45" t="s">
        <v>16</v>
      </c>
      <c r="BP606" s="46" t="str">
        <f>IF(VLOOKUP(BO606,βοηθητικό!$J$2:$N$354,3,FALSE)="","",VLOOKUP(BO606,βοηθητικό!$J$2:$N$354,3,FALSE))</f>
        <v>_</v>
      </c>
      <c r="BQ606" s="47"/>
      <c r="BR606" s="42" t="s">
        <v>16</v>
      </c>
      <c r="BS606" s="43" t="str">
        <f>IF(VLOOKUP(BR606,βοηθητικό!$J$2:$N$354,3,FALSE)="","",VLOOKUP(BR606,βοηθητικό!$J$2:$N$354,3,FALSE))</f>
        <v>_</v>
      </c>
      <c r="BT606" s="44"/>
      <c r="BU606" s="45" t="s">
        <v>16</v>
      </c>
      <c r="BV606" s="46" t="str">
        <f>IF(VLOOKUP(BU606,βοηθητικό!$J$2:$N$354,3,FALSE)="","",VLOOKUP(BU606,βοηθητικό!$J$2:$N$354,3,FALSE))</f>
        <v>_</v>
      </c>
      <c r="BW606" s="47"/>
      <c r="BX606" s="42" t="s">
        <v>16</v>
      </c>
      <c r="BY606" s="43" t="str">
        <f>IF(VLOOKUP(BX606,βοηθητικό!$J$2:$N$354,3,FALSE)="","",VLOOKUP(BX606,βοηθητικό!$J$2:$N$354,3,FALSE))</f>
        <v>_</v>
      </c>
      <c r="BZ606" s="44"/>
      <c r="CA606" s="45" t="s">
        <v>16</v>
      </c>
      <c r="CB606" s="46" t="str">
        <f>IF(VLOOKUP(CA606,βοηθητικό!$J$2:$N$354,3,FALSE)="","",VLOOKUP(CA606,βοηθητικό!$J$2:$N$354,3,FALSE))</f>
        <v>_</v>
      </c>
      <c r="CC606" s="47"/>
      <c r="CD606" s="42" t="s">
        <v>16</v>
      </c>
      <c r="CE606" s="43" t="str">
        <f>IF(VLOOKUP(CD606,βοηθητικό!$J$2:$N$354,3,FALSE)="","",VLOOKUP(CD606,βοηθητικό!$J$2:$N$354,3,FALSE))</f>
        <v>_</v>
      </c>
      <c r="CF606" s="44"/>
      <c r="CG606" s="45" t="s">
        <v>16</v>
      </c>
      <c r="CH606" s="46" t="str">
        <f>IF(VLOOKUP(CG606,βοηθητικό!$J$2:$N$354,3,FALSE)="","",VLOOKUP(CG606,βοηθητικό!$J$2:$N$354,3,FALSE))</f>
        <v>_</v>
      </c>
      <c r="CI606" s="47"/>
      <c r="CJ606" s="42" t="s">
        <v>16</v>
      </c>
      <c r="CK606" s="43" t="str">
        <f>IF(VLOOKUP(CJ606,βοηθητικό!$J$2:$N$354,3,FALSE)="","",VLOOKUP(CJ606,βοηθητικό!$J$2:$N$354,3,FALSE))</f>
        <v>_</v>
      </c>
      <c r="CL606" s="44"/>
      <c r="CM606" s="45" t="s">
        <v>16</v>
      </c>
      <c r="CN606" s="46" t="str">
        <f>IF(VLOOKUP(CM606,βοηθητικό!$J$2:$N$354,3,FALSE)="","",VLOOKUP(CM606,βοηθητικό!$J$2:$N$354,3,FALSE))</f>
        <v>_</v>
      </c>
      <c r="CO606" s="47"/>
      <c r="CP606" s="42" t="s">
        <v>16</v>
      </c>
      <c r="CQ606" s="43" t="str">
        <f>IF(VLOOKUP(CP606,βοηθητικό!$J$2:$N$354,3,FALSE)="","",VLOOKUP(CP606,βοηθητικό!$J$2:$N$354,3,FALSE))</f>
        <v>_</v>
      </c>
      <c r="CR606" s="44"/>
      <c r="CS606" s="45" t="s">
        <v>16</v>
      </c>
      <c r="CT606" s="46" t="str">
        <f>IF(VLOOKUP(CS606,βοηθητικό!$J$2:$N$354,3,FALSE)="","",VLOOKUP(CS606,βοηθητικό!$J$2:$N$354,3,FALSE))</f>
        <v>_</v>
      </c>
      <c r="CU606" s="47"/>
    </row>
    <row r="607" spans="1:99" x14ac:dyDescent="0.25">
      <c r="A607" s="37">
        <f>--SUBTOTAL(3,$B$3:B606)</f>
        <v>198</v>
      </c>
      <c r="B607" s="2"/>
      <c r="C607" s="3"/>
      <c r="D607" s="55" t="s">
        <v>18</v>
      </c>
      <c r="E607" s="38" t="s">
        <v>16</v>
      </c>
      <c r="F607" s="38"/>
      <c r="G607" s="39" t="str">
        <f t="shared" si="29"/>
        <v>__</v>
      </c>
      <c r="H607" s="40" t="str">
        <f t="shared" si="30"/>
        <v>FALSE</v>
      </c>
      <c r="I607" s="41">
        <f t="shared" si="31"/>
        <v>0</v>
      </c>
      <c r="J607" s="4" t="s">
        <v>16</v>
      </c>
      <c r="K607" s="43" t="str">
        <f>IF(VLOOKUP(J607,βοηθητικό!$J$2:$N$354,3,FALSE)="","",VLOOKUP(J607,βοηθητικό!$J$2:$N$354,3,FALSE))</f>
        <v>_</v>
      </c>
      <c r="L607" s="44"/>
      <c r="M607" s="5" t="s">
        <v>16</v>
      </c>
      <c r="N607" s="46" t="str">
        <f>IF(VLOOKUP(M607,βοηθητικό!$J$2:$N$354,3,FALSE)="","",VLOOKUP(M607,βοηθητικό!$J$2:$N$354,3,FALSE))</f>
        <v>_</v>
      </c>
      <c r="O607" s="47"/>
      <c r="P607" s="4" t="s">
        <v>16</v>
      </c>
      <c r="Q607" s="43" t="str">
        <f>IF(VLOOKUP(P607,βοηθητικό!$J$2:$N$354,3,FALSE)="","",VLOOKUP(P607,βοηθητικό!$J$2:$N$354,3,FALSE))</f>
        <v>_</v>
      </c>
      <c r="R607" s="44"/>
      <c r="S607" s="5" t="s">
        <v>16</v>
      </c>
      <c r="T607" s="46" t="str">
        <f>IF(VLOOKUP(S607,βοηθητικό!$J$2:$N$354,3,FALSE)="","",VLOOKUP(S607,βοηθητικό!$J$2:$N$354,3,FALSE))</f>
        <v>_</v>
      </c>
      <c r="U607" s="47"/>
      <c r="V607" s="4" t="s">
        <v>16</v>
      </c>
      <c r="W607" s="43" t="str">
        <f>IF(VLOOKUP(V607,βοηθητικό!$J$2:$N$354,3,FALSE)="","",VLOOKUP(V607,βοηθητικό!$J$2:$N$354,3,FALSE))</f>
        <v>_</v>
      </c>
      <c r="X607" s="44"/>
      <c r="Y607" s="5" t="s">
        <v>16</v>
      </c>
      <c r="Z607" s="46" t="str">
        <f>IF(VLOOKUP(Y607,βοηθητικό!$J$2:$N$354,3,FALSE)="","",VLOOKUP(Y607,βοηθητικό!$J$2:$N$354,3,FALSE))</f>
        <v>_</v>
      </c>
      <c r="AA607" s="47"/>
      <c r="AB607" s="4" t="s">
        <v>16</v>
      </c>
      <c r="AC607" s="43" t="str">
        <f>IF(VLOOKUP(AB607,βοηθητικό!$J$2:$N$354,3,FALSE)="","",VLOOKUP(AB607,βοηθητικό!$J$2:$N$354,3,FALSE))</f>
        <v>_</v>
      </c>
      <c r="AD607" s="44"/>
      <c r="AE607" s="5" t="s">
        <v>16</v>
      </c>
      <c r="AF607" s="46" t="str">
        <f>IF(VLOOKUP(AE607,βοηθητικό!$J$2:$N$354,3,FALSE)="","",VLOOKUP(AE607,βοηθητικό!$J$2:$N$354,3,FALSE))</f>
        <v>_</v>
      </c>
      <c r="AG607" s="47"/>
      <c r="AH607" s="4" t="s">
        <v>16</v>
      </c>
      <c r="AI607" s="43" t="str">
        <f>IF(VLOOKUP(AH607,βοηθητικό!$J$2:$N$354,3,FALSE)="","",VLOOKUP(AH607,βοηθητικό!$J$2:$N$354,3,FALSE))</f>
        <v>_</v>
      </c>
      <c r="AJ607" s="44"/>
      <c r="AK607" s="5" t="s">
        <v>16</v>
      </c>
      <c r="AL607" s="46" t="str">
        <f>IF(VLOOKUP(AK607,βοηθητικό!$J$2:$N$354,3,FALSE)="","",VLOOKUP(AK607,βοηθητικό!$J$2:$N$354,3,FALSE))</f>
        <v>_</v>
      </c>
      <c r="AM607" s="47"/>
      <c r="AN607" s="4" t="s">
        <v>16</v>
      </c>
      <c r="AO607" s="43" t="str">
        <f>IF(VLOOKUP(AN607,βοηθητικό!$J$2:$N$354,3,FALSE)="","",VLOOKUP(AN607,βοηθητικό!$J$2:$N$354,3,FALSE))</f>
        <v>_</v>
      </c>
      <c r="AP607" s="44"/>
      <c r="AQ607" s="5" t="s">
        <v>16</v>
      </c>
      <c r="AR607" s="46" t="str">
        <f>IF(VLOOKUP(AQ607,βοηθητικό!$J$2:$N$354,3,FALSE)="","",VLOOKUP(AQ607,βοηθητικό!$J$2:$N$354,3,FALSE))</f>
        <v>_</v>
      </c>
      <c r="AS607" s="47"/>
      <c r="AT607" s="4" t="s">
        <v>16</v>
      </c>
      <c r="AU607" s="43" t="str">
        <f>IF(VLOOKUP(AT607,βοηθητικό!$J$2:$N$354,3,FALSE)="","",VLOOKUP(AT607,βοηθητικό!$J$2:$N$354,3,FALSE))</f>
        <v>_</v>
      </c>
      <c r="AV607" s="44"/>
      <c r="AW607" s="5" t="s">
        <v>16</v>
      </c>
      <c r="AX607" s="46" t="str">
        <f>IF(VLOOKUP(AW607,βοηθητικό!$J$2:$N$354,3,FALSE)="","",VLOOKUP(AW607,βοηθητικό!$J$2:$N$354,3,FALSE))</f>
        <v>_</v>
      </c>
      <c r="AY607" s="47"/>
      <c r="AZ607" s="4" t="s">
        <v>16</v>
      </c>
      <c r="BA607" s="43" t="str">
        <f>IF(VLOOKUP(AZ607,βοηθητικό!$J$2:$N$354,3,FALSE)="","",VLOOKUP(AZ607,βοηθητικό!$J$2:$N$354,3,FALSE))</f>
        <v>_</v>
      </c>
      <c r="BB607" s="44"/>
      <c r="BC607" s="45" t="s">
        <v>16</v>
      </c>
      <c r="BD607" s="46" t="str">
        <f>IF(VLOOKUP(BC607,βοηθητικό!$J$2:$N$354,3,FALSE)="","",VLOOKUP(BC607,βοηθητικό!$J$2:$N$354,3,FALSE))</f>
        <v>_</v>
      </c>
      <c r="BE607" s="47"/>
      <c r="BF607" s="42" t="s">
        <v>16</v>
      </c>
      <c r="BG607" s="43" t="str">
        <f>IF(VLOOKUP(BF607,βοηθητικό!$J$2:$N$354,3,FALSE)="","",VLOOKUP(BF607,βοηθητικό!$J$2:$N$354,3,FALSE))</f>
        <v>_</v>
      </c>
      <c r="BH607" s="44"/>
      <c r="BI607" s="45" t="s">
        <v>16</v>
      </c>
      <c r="BJ607" s="46" t="str">
        <f>IF(VLOOKUP(BI607,βοηθητικό!$J$2:$N$354,3,FALSE)="","",VLOOKUP(BI607,βοηθητικό!$J$2:$N$354,3,FALSE))</f>
        <v>_</v>
      </c>
      <c r="BK607" s="47"/>
      <c r="BL607" s="42" t="s">
        <v>16</v>
      </c>
      <c r="BM607" s="43" t="str">
        <f>IF(VLOOKUP(BL607,βοηθητικό!$J$2:$N$354,3,FALSE)="","",VLOOKUP(BL607,βοηθητικό!$J$2:$N$354,3,FALSE))</f>
        <v>_</v>
      </c>
      <c r="BN607" s="44"/>
      <c r="BO607" s="45" t="s">
        <v>16</v>
      </c>
      <c r="BP607" s="46" t="str">
        <f>IF(VLOOKUP(BO607,βοηθητικό!$J$2:$N$354,3,FALSE)="","",VLOOKUP(BO607,βοηθητικό!$J$2:$N$354,3,FALSE))</f>
        <v>_</v>
      </c>
      <c r="BQ607" s="47"/>
      <c r="BR607" s="42" t="s">
        <v>16</v>
      </c>
      <c r="BS607" s="43" t="str">
        <f>IF(VLOOKUP(BR607,βοηθητικό!$J$2:$N$354,3,FALSE)="","",VLOOKUP(BR607,βοηθητικό!$J$2:$N$354,3,FALSE))</f>
        <v>_</v>
      </c>
      <c r="BT607" s="44"/>
      <c r="BU607" s="45" t="s">
        <v>16</v>
      </c>
      <c r="BV607" s="46" t="str">
        <f>IF(VLOOKUP(BU607,βοηθητικό!$J$2:$N$354,3,FALSE)="","",VLOOKUP(BU607,βοηθητικό!$J$2:$N$354,3,FALSE))</f>
        <v>_</v>
      </c>
      <c r="BW607" s="47"/>
      <c r="BX607" s="42" t="s">
        <v>16</v>
      </c>
      <c r="BY607" s="43" t="str">
        <f>IF(VLOOKUP(BX607,βοηθητικό!$J$2:$N$354,3,FALSE)="","",VLOOKUP(BX607,βοηθητικό!$J$2:$N$354,3,FALSE))</f>
        <v>_</v>
      </c>
      <c r="BZ607" s="44"/>
      <c r="CA607" s="45" t="s">
        <v>16</v>
      </c>
      <c r="CB607" s="46" t="str">
        <f>IF(VLOOKUP(CA607,βοηθητικό!$J$2:$N$354,3,FALSE)="","",VLOOKUP(CA607,βοηθητικό!$J$2:$N$354,3,FALSE))</f>
        <v>_</v>
      </c>
      <c r="CC607" s="47"/>
      <c r="CD607" s="42" t="s">
        <v>16</v>
      </c>
      <c r="CE607" s="43" t="str">
        <f>IF(VLOOKUP(CD607,βοηθητικό!$J$2:$N$354,3,FALSE)="","",VLOOKUP(CD607,βοηθητικό!$J$2:$N$354,3,FALSE))</f>
        <v>_</v>
      </c>
      <c r="CF607" s="44"/>
      <c r="CG607" s="45" t="s">
        <v>16</v>
      </c>
      <c r="CH607" s="46" t="str">
        <f>IF(VLOOKUP(CG607,βοηθητικό!$J$2:$N$354,3,FALSE)="","",VLOOKUP(CG607,βοηθητικό!$J$2:$N$354,3,FALSE))</f>
        <v>_</v>
      </c>
      <c r="CI607" s="47"/>
      <c r="CJ607" s="42" t="s">
        <v>16</v>
      </c>
      <c r="CK607" s="43" t="str">
        <f>IF(VLOOKUP(CJ607,βοηθητικό!$J$2:$N$354,3,FALSE)="","",VLOOKUP(CJ607,βοηθητικό!$J$2:$N$354,3,FALSE))</f>
        <v>_</v>
      </c>
      <c r="CL607" s="44"/>
      <c r="CM607" s="45" t="s">
        <v>16</v>
      </c>
      <c r="CN607" s="46" t="str">
        <f>IF(VLOOKUP(CM607,βοηθητικό!$J$2:$N$354,3,FALSE)="","",VLOOKUP(CM607,βοηθητικό!$J$2:$N$354,3,FALSE))</f>
        <v>_</v>
      </c>
      <c r="CO607" s="47"/>
      <c r="CP607" s="42" t="s">
        <v>16</v>
      </c>
      <c r="CQ607" s="43" t="str">
        <f>IF(VLOOKUP(CP607,βοηθητικό!$J$2:$N$354,3,FALSE)="","",VLOOKUP(CP607,βοηθητικό!$J$2:$N$354,3,FALSE))</f>
        <v>_</v>
      </c>
      <c r="CR607" s="44"/>
      <c r="CS607" s="45" t="s">
        <v>16</v>
      </c>
      <c r="CT607" s="46" t="str">
        <f>IF(VLOOKUP(CS607,βοηθητικό!$J$2:$N$354,3,FALSE)="","",VLOOKUP(CS607,βοηθητικό!$J$2:$N$354,3,FALSE))</f>
        <v>_</v>
      </c>
      <c r="CU607" s="47"/>
    </row>
    <row r="608" spans="1:99" x14ac:dyDescent="0.25">
      <c r="A608" s="37">
        <f>--SUBTOTAL(3,$B$3:B607)</f>
        <v>198</v>
      </c>
      <c r="B608" s="2"/>
      <c r="C608" s="3"/>
      <c r="D608" s="55" t="s">
        <v>18</v>
      </c>
      <c r="E608" s="38" t="s">
        <v>16</v>
      </c>
      <c r="F608" s="38"/>
      <c r="G608" s="39" t="str">
        <f t="shared" si="29"/>
        <v>__</v>
      </c>
      <c r="H608" s="40" t="str">
        <f t="shared" si="30"/>
        <v>FALSE</v>
      </c>
      <c r="I608" s="41">
        <f t="shared" si="31"/>
        <v>0</v>
      </c>
      <c r="J608" s="4" t="s">
        <v>16</v>
      </c>
      <c r="K608" s="43" t="str">
        <f>IF(VLOOKUP(J608,βοηθητικό!$J$2:$N$354,3,FALSE)="","",VLOOKUP(J608,βοηθητικό!$J$2:$N$354,3,FALSE))</f>
        <v>_</v>
      </c>
      <c r="L608" s="44"/>
      <c r="M608" s="5" t="s">
        <v>16</v>
      </c>
      <c r="N608" s="46" t="str">
        <f>IF(VLOOKUP(M608,βοηθητικό!$J$2:$N$354,3,FALSE)="","",VLOOKUP(M608,βοηθητικό!$J$2:$N$354,3,FALSE))</f>
        <v>_</v>
      </c>
      <c r="O608" s="47"/>
      <c r="P608" s="4" t="s">
        <v>16</v>
      </c>
      <c r="Q608" s="43" t="str">
        <f>IF(VLOOKUP(P608,βοηθητικό!$J$2:$N$354,3,FALSE)="","",VLOOKUP(P608,βοηθητικό!$J$2:$N$354,3,FALSE))</f>
        <v>_</v>
      </c>
      <c r="R608" s="44"/>
      <c r="S608" s="5" t="s">
        <v>16</v>
      </c>
      <c r="T608" s="46" t="str">
        <f>IF(VLOOKUP(S608,βοηθητικό!$J$2:$N$354,3,FALSE)="","",VLOOKUP(S608,βοηθητικό!$J$2:$N$354,3,FALSE))</f>
        <v>_</v>
      </c>
      <c r="U608" s="47"/>
      <c r="V608" s="4" t="s">
        <v>16</v>
      </c>
      <c r="W608" s="43" t="str">
        <f>IF(VLOOKUP(V608,βοηθητικό!$J$2:$N$354,3,FALSE)="","",VLOOKUP(V608,βοηθητικό!$J$2:$N$354,3,FALSE))</f>
        <v>_</v>
      </c>
      <c r="X608" s="44"/>
      <c r="Y608" s="5" t="s">
        <v>16</v>
      </c>
      <c r="Z608" s="46" t="str">
        <f>IF(VLOOKUP(Y608,βοηθητικό!$J$2:$N$354,3,FALSE)="","",VLOOKUP(Y608,βοηθητικό!$J$2:$N$354,3,FALSE))</f>
        <v>_</v>
      </c>
      <c r="AA608" s="47"/>
      <c r="AB608" s="4" t="s">
        <v>16</v>
      </c>
      <c r="AC608" s="43" t="str">
        <f>IF(VLOOKUP(AB608,βοηθητικό!$J$2:$N$354,3,FALSE)="","",VLOOKUP(AB608,βοηθητικό!$J$2:$N$354,3,FALSE))</f>
        <v>_</v>
      </c>
      <c r="AD608" s="44"/>
      <c r="AE608" s="5" t="s">
        <v>16</v>
      </c>
      <c r="AF608" s="46" t="str">
        <f>IF(VLOOKUP(AE608,βοηθητικό!$J$2:$N$354,3,FALSE)="","",VLOOKUP(AE608,βοηθητικό!$J$2:$N$354,3,FALSE))</f>
        <v>_</v>
      </c>
      <c r="AG608" s="47"/>
      <c r="AH608" s="4" t="s">
        <v>16</v>
      </c>
      <c r="AI608" s="43" t="str">
        <f>IF(VLOOKUP(AH608,βοηθητικό!$J$2:$N$354,3,FALSE)="","",VLOOKUP(AH608,βοηθητικό!$J$2:$N$354,3,FALSE))</f>
        <v>_</v>
      </c>
      <c r="AJ608" s="44"/>
      <c r="AK608" s="5" t="s">
        <v>16</v>
      </c>
      <c r="AL608" s="46" t="str">
        <f>IF(VLOOKUP(AK608,βοηθητικό!$J$2:$N$354,3,FALSE)="","",VLOOKUP(AK608,βοηθητικό!$J$2:$N$354,3,FALSE))</f>
        <v>_</v>
      </c>
      <c r="AM608" s="47"/>
      <c r="AN608" s="4" t="s">
        <v>16</v>
      </c>
      <c r="AO608" s="43" t="str">
        <f>IF(VLOOKUP(AN608,βοηθητικό!$J$2:$N$354,3,FALSE)="","",VLOOKUP(AN608,βοηθητικό!$J$2:$N$354,3,FALSE))</f>
        <v>_</v>
      </c>
      <c r="AP608" s="44"/>
      <c r="AQ608" s="5" t="s">
        <v>16</v>
      </c>
      <c r="AR608" s="46" t="str">
        <f>IF(VLOOKUP(AQ608,βοηθητικό!$J$2:$N$354,3,FALSE)="","",VLOOKUP(AQ608,βοηθητικό!$J$2:$N$354,3,FALSE))</f>
        <v>_</v>
      </c>
      <c r="AS608" s="47"/>
      <c r="AT608" s="4" t="s">
        <v>16</v>
      </c>
      <c r="AU608" s="43" t="str">
        <f>IF(VLOOKUP(AT608,βοηθητικό!$J$2:$N$354,3,FALSE)="","",VLOOKUP(AT608,βοηθητικό!$J$2:$N$354,3,FALSE))</f>
        <v>_</v>
      </c>
      <c r="AV608" s="44"/>
      <c r="AW608" s="5" t="s">
        <v>16</v>
      </c>
      <c r="AX608" s="46" t="str">
        <f>IF(VLOOKUP(AW608,βοηθητικό!$J$2:$N$354,3,FALSE)="","",VLOOKUP(AW608,βοηθητικό!$J$2:$N$354,3,FALSE))</f>
        <v>_</v>
      </c>
      <c r="AY608" s="47"/>
      <c r="AZ608" s="4" t="s">
        <v>16</v>
      </c>
      <c r="BA608" s="43" t="str">
        <f>IF(VLOOKUP(AZ608,βοηθητικό!$J$2:$N$354,3,FALSE)="","",VLOOKUP(AZ608,βοηθητικό!$J$2:$N$354,3,FALSE))</f>
        <v>_</v>
      </c>
      <c r="BB608" s="44"/>
      <c r="BC608" s="45" t="s">
        <v>16</v>
      </c>
      <c r="BD608" s="46" t="str">
        <f>IF(VLOOKUP(BC608,βοηθητικό!$J$2:$N$354,3,FALSE)="","",VLOOKUP(BC608,βοηθητικό!$J$2:$N$354,3,FALSE))</f>
        <v>_</v>
      </c>
      <c r="BE608" s="47"/>
      <c r="BF608" s="42" t="s">
        <v>16</v>
      </c>
      <c r="BG608" s="43" t="str">
        <f>IF(VLOOKUP(BF608,βοηθητικό!$J$2:$N$354,3,FALSE)="","",VLOOKUP(BF608,βοηθητικό!$J$2:$N$354,3,FALSE))</f>
        <v>_</v>
      </c>
      <c r="BH608" s="44"/>
      <c r="BI608" s="45" t="s">
        <v>16</v>
      </c>
      <c r="BJ608" s="46" t="str">
        <f>IF(VLOOKUP(BI608,βοηθητικό!$J$2:$N$354,3,FALSE)="","",VLOOKUP(BI608,βοηθητικό!$J$2:$N$354,3,FALSE))</f>
        <v>_</v>
      </c>
      <c r="BK608" s="47"/>
      <c r="BL608" s="42" t="s">
        <v>16</v>
      </c>
      <c r="BM608" s="43" t="str">
        <f>IF(VLOOKUP(BL608,βοηθητικό!$J$2:$N$354,3,FALSE)="","",VLOOKUP(BL608,βοηθητικό!$J$2:$N$354,3,FALSE))</f>
        <v>_</v>
      </c>
      <c r="BN608" s="44"/>
      <c r="BO608" s="45" t="s">
        <v>16</v>
      </c>
      <c r="BP608" s="46" t="str">
        <f>IF(VLOOKUP(BO608,βοηθητικό!$J$2:$N$354,3,FALSE)="","",VLOOKUP(BO608,βοηθητικό!$J$2:$N$354,3,FALSE))</f>
        <v>_</v>
      </c>
      <c r="BQ608" s="47"/>
      <c r="BR608" s="42" t="s">
        <v>16</v>
      </c>
      <c r="BS608" s="43" t="str">
        <f>IF(VLOOKUP(BR608,βοηθητικό!$J$2:$N$354,3,FALSE)="","",VLOOKUP(BR608,βοηθητικό!$J$2:$N$354,3,FALSE))</f>
        <v>_</v>
      </c>
      <c r="BT608" s="44"/>
      <c r="BU608" s="45" t="s">
        <v>16</v>
      </c>
      <c r="BV608" s="46" t="str">
        <f>IF(VLOOKUP(BU608,βοηθητικό!$J$2:$N$354,3,FALSE)="","",VLOOKUP(BU608,βοηθητικό!$J$2:$N$354,3,FALSE))</f>
        <v>_</v>
      </c>
      <c r="BW608" s="47"/>
      <c r="BX608" s="42" t="s">
        <v>16</v>
      </c>
      <c r="BY608" s="43" t="str">
        <f>IF(VLOOKUP(BX608,βοηθητικό!$J$2:$N$354,3,FALSE)="","",VLOOKUP(BX608,βοηθητικό!$J$2:$N$354,3,FALSE))</f>
        <v>_</v>
      </c>
      <c r="BZ608" s="44"/>
      <c r="CA608" s="45" t="s">
        <v>16</v>
      </c>
      <c r="CB608" s="46" t="str">
        <f>IF(VLOOKUP(CA608,βοηθητικό!$J$2:$N$354,3,FALSE)="","",VLOOKUP(CA608,βοηθητικό!$J$2:$N$354,3,FALSE))</f>
        <v>_</v>
      </c>
      <c r="CC608" s="47"/>
      <c r="CD608" s="42" t="s">
        <v>16</v>
      </c>
      <c r="CE608" s="43" t="str">
        <f>IF(VLOOKUP(CD608,βοηθητικό!$J$2:$N$354,3,FALSE)="","",VLOOKUP(CD608,βοηθητικό!$J$2:$N$354,3,FALSE))</f>
        <v>_</v>
      </c>
      <c r="CF608" s="44"/>
      <c r="CG608" s="45" t="s">
        <v>16</v>
      </c>
      <c r="CH608" s="46" t="str">
        <f>IF(VLOOKUP(CG608,βοηθητικό!$J$2:$N$354,3,FALSE)="","",VLOOKUP(CG608,βοηθητικό!$J$2:$N$354,3,FALSE))</f>
        <v>_</v>
      </c>
      <c r="CI608" s="47"/>
      <c r="CJ608" s="42" t="s">
        <v>16</v>
      </c>
      <c r="CK608" s="43" t="str">
        <f>IF(VLOOKUP(CJ608,βοηθητικό!$J$2:$N$354,3,FALSE)="","",VLOOKUP(CJ608,βοηθητικό!$J$2:$N$354,3,FALSE))</f>
        <v>_</v>
      </c>
      <c r="CL608" s="44"/>
      <c r="CM608" s="45" t="s">
        <v>16</v>
      </c>
      <c r="CN608" s="46" t="str">
        <f>IF(VLOOKUP(CM608,βοηθητικό!$J$2:$N$354,3,FALSE)="","",VLOOKUP(CM608,βοηθητικό!$J$2:$N$354,3,FALSE))</f>
        <v>_</v>
      </c>
      <c r="CO608" s="47"/>
      <c r="CP608" s="42" t="s">
        <v>16</v>
      </c>
      <c r="CQ608" s="43" t="str">
        <f>IF(VLOOKUP(CP608,βοηθητικό!$J$2:$N$354,3,FALSE)="","",VLOOKUP(CP608,βοηθητικό!$J$2:$N$354,3,FALSE))</f>
        <v>_</v>
      </c>
      <c r="CR608" s="44"/>
      <c r="CS608" s="45" t="s">
        <v>16</v>
      </c>
      <c r="CT608" s="46" t="str">
        <f>IF(VLOOKUP(CS608,βοηθητικό!$J$2:$N$354,3,FALSE)="","",VLOOKUP(CS608,βοηθητικό!$J$2:$N$354,3,FALSE))</f>
        <v>_</v>
      </c>
      <c r="CU608" s="47"/>
    </row>
    <row r="609" spans="1:99" x14ac:dyDescent="0.25">
      <c r="A609" s="37">
        <f>--SUBTOTAL(3,$B$3:B608)</f>
        <v>198</v>
      </c>
      <c r="B609" s="2"/>
      <c r="C609" s="3"/>
      <c r="D609" s="55" t="s">
        <v>18</v>
      </c>
      <c r="E609" s="38" t="s">
        <v>16</v>
      </c>
      <c r="F609" s="38"/>
      <c r="G609" s="39" t="str">
        <f t="shared" si="29"/>
        <v>__</v>
      </c>
      <c r="H609" s="40" t="str">
        <f t="shared" si="30"/>
        <v>FALSE</v>
      </c>
      <c r="I609" s="41">
        <f t="shared" si="31"/>
        <v>0</v>
      </c>
      <c r="J609" s="4" t="s">
        <v>16</v>
      </c>
      <c r="K609" s="43" t="str">
        <f>IF(VLOOKUP(J609,βοηθητικό!$J$2:$N$354,3,FALSE)="","",VLOOKUP(J609,βοηθητικό!$J$2:$N$354,3,FALSE))</f>
        <v>_</v>
      </c>
      <c r="L609" s="44"/>
      <c r="M609" s="5" t="s">
        <v>16</v>
      </c>
      <c r="N609" s="46" t="str">
        <f>IF(VLOOKUP(M609,βοηθητικό!$J$2:$N$354,3,FALSE)="","",VLOOKUP(M609,βοηθητικό!$J$2:$N$354,3,FALSE))</f>
        <v>_</v>
      </c>
      <c r="O609" s="47"/>
      <c r="P609" s="4" t="s">
        <v>16</v>
      </c>
      <c r="Q609" s="43" t="str">
        <f>IF(VLOOKUP(P609,βοηθητικό!$J$2:$N$354,3,FALSE)="","",VLOOKUP(P609,βοηθητικό!$J$2:$N$354,3,FALSE))</f>
        <v>_</v>
      </c>
      <c r="R609" s="44"/>
      <c r="S609" s="5" t="s">
        <v>16</v>
      </c>
      <c r="T609" s="46" t="str">
        <f>IF(VLOOKUP(S609,βοηθητικό!$J$2:$N$354,3,FALSE)="","",VLOOKUP(S609,βοηθητικό!$J$2:$N$354,3,FALSE))</f>
        <v>_</v>
      </c>
      <c r="U609" s="47"/>
      <c r="V609" s="4" t="s">
        <v>16</v>
      </c>
      <c r="W609" s="43" t="str">
        <f>IF(VLOOKUP(V609,βοηθητικό!$J$2:$N$354,3,FALSE)="","",VLOOKUP(V609,βοηθητικό!$J$2:$N$354,3,FALSE))</f>
        <v>_</v>
      </c>
      <c r="X609" s="44"/>
      <c r="Y609" s="5" t="s">
        <v>16</v>
      </c>
      <c r="Z609" s="46" t="str">
        <f>IF(VLOOKUP(Y609,βοηθητικό!$J$2:$N$354,3,FALSE)="","",VLOOKUP(Y609,βοηθητικό!$J$2:$N$354,3,FALSE))</f>
        <v>_</v>
      </c>
      <c r="AA609" s="47"/>
      <c r="AB609" s="4" t="s">
        <v>16</v>
      </c>
      <c r="AC609" s="43" t="str">
        <f>IF(VLOOKUP(AB609,βοηθητικό!$J$2:$N$354,3,FALSE)="","",VLOOKUP(AB609,βοηθητικό!$J$2:$N$354,3,FALSE))</f>
        <v>_</v>
      </c>
      <c r="AD609" s="44"/>
      <c r="AE609" s="5" t="s">
        <v>16</v>
      </c>
      <c r="AF609" s="46" t="str">
        <f>IF(VLOOKUP(AE609,βοηθητικό!$J$2:$N$354,3,FALSE)="","",VLOOKUP(AE609,βοηθητικό!$J$2:$N$354,3,FALSE))</f>
        <v>_</v>
      </c>
      <c r="AG609" s="47"/>
      <c r="AH609" s="4" t="s">
        <v>16</v>
      </c>
      <c r="AI609" s="43" t="str">
        <f>IF(VLOOKUP(AH609,βοηθητικό!$J$2:$N$354,3,FALSE)="","",VLOOKUP(AH609,βοηθητικό!$J$2:$N$354,3,FALSE))</f>
        <v>_</v>
      </c>
      <c r="AJ609" s="44"/>
      <c r="AK609" s="5" t="s">
        <v>16</v>
      </c>
      <c r="AL609" s="46" t="str">
        <f>IF(VLOOKUP(AK609,βοηθητικό!$J$2:$N$354,3,FALSE)="","",VLOOKUP(AK609,βοηθητικό!$J$2:$N$354,3,FALSE))</f>
        <v>_</v>
      </c>
      <c r="AM609" s="47"/>
      <c r="AN609" s="4" t="s">
        <v>16</v>
      </c>
      <c r="AO609" s="43" t="str">
        <f>IF(VLOOKUP(AN609,βοηθητικό!$J$2:$N$354,3,FALSE)="","",VLOOKUP(AN609,βοηθητικό!$J$2:$N$354,3,FALSE))</f>
        <v>_</v>
      </c>
      <c r="AP609" s="44"/>
      <c r="AQ609" s="5" t="s">
        <v>16</v>
      </c>
      <c r="AR609" s="46" t="str">
        <f>IF(VLOOKUP(AQ609,βοηθητικό!$J$2:$N$354,3,FALSE)="","",VLOOKUP(AQ609,βοηθητικό!$J$2:$N$354,3,FALSE))</f>
        <v>_</v>
      </c>
      <c r="AS609" s="47"/>
      <c r="AT609" s="4" t="s">
        <v>16</v>
      </c>
      <c r="AU609" s="43" t="str">
        <f>IF(VLOOKUP(AT609,βοηθητικό!$J$2:$N$354,3,FALSE)="","",VLOOKUP(AT609,βοηθητικό!$J$2:$N$354,3,FALSE))</f>
        <v>_</v>
      </c>
      <c r="AV609" s="44"/>
      <c r="AW609" s="5" t="s">
        <v>16</v>
      </c>
      <c r="AX609" s="46" t="str">
        <f>IF(VLOOKUP(AW609,βοηθητικό!$J$2:$N$354,3,FALSE)="","",VLOOKUP(AW609,βοηθητικό!$J$2:$N$354,3,FALSE))</f>
        <v>_</v>
      </c>
      <c r="AY609" s="47"/>
      <c r="AZ609" s="4" t="s">
        <v>16</v>
      </c>
      <c r="BA609" s="43" t="str">
        <f>IF(VLOOKUP(AZ609,βοηθητικό!$J$2:$N$354,3,FALSE)="","",VLOOKUP(AZ609,βοηθητικό!$J$2:$N$354,3,FALSE))</f>
        <v>_</v>
      </c>
      <c r="BB609" s="44"/>
      <c r="BC609" s="45" t="s">
        <v>16</v>
      </c>
      <c r="BD609" s="46" t="str">
        <f>IF(VLOOKUP(BC609,βοηθητικό!$J$2:$N$354,3,FALSE)="","",VLOOKUP(BC609,βοηθητικό!$J$2:$N$354,3,FALSE))</f>
        <v>_</v>
      </c>
      <c r="BE609" s="47"/>
      <c r="BF609" s="42" t="s">
        <v>16</v>
      </c>
      <c r="BG609" s="43" t="str">
        <f>IF(VLOOKUP(BF609,βοηθητικό!$J$2:$N$354,3,FALSE)="","",VLOOKUP(BF609,βοηθητικό!$J$2:$N$354,3,FALSE))</f>
        <v>_</v>
      </c>
      <c r="BH609" s="44"/>
      <c r="BI609" s="45" t="s">
        <v>16</v>
      </c>
      <c r="BJ609" s="46" t="str">
        <f>IF(VLOOKUP(BI609,βοηθητικό!$J$2:$N$354,3,FALSE)="","",VLOOKUP(BI609,βοηθητικό!$J$2:$N$354,3,FALSE))</f>
        <v>_</v>
      </c>
      <c r="BK609" s="47"/>
      <c r="BL609" s="42" t="s">
        <v>16</v>
      </c>
      <c r="BM609" s="43" t="str">
        <f>IF(VLOOKUP(BL609,βοηθητικό!$J$2:$N$354,3,FALSE)="","",VLOOKUP(BL609,βοηθητικό!$J$2:$N$354,3,FALSE))</f>
        <v>_</v>
      </c>
      <c r="BN609" s="44"/>
      <c r="BO609" s="45" t="s">
        <v>16</v>
      </c>
      <c r="BP609" s="46" t="str">
        <f>IF(VLOOKUP(BO609,βοηθητικό!$J$2:$N$354,3,FALSE)="","",VLOOKUP(BO609,βοηθητικό!$J$2:$N$354,3,FALSE))</f>
        <v>_</v>
      </c>
      <c r="BQ609" s="47"/>
      <c r="BR609" s="42" t="s">
        <v>16</v>
      </c>
      <c r="BS609" s="43" t="str">
        <f>IF(VLOOKUP(BR609,βοηθητικό!$J$2:$N$354,3,FALSE)="","",VLOOKUP(BR609,βοηθητικό!$J$2:$N$354,3,FALSE))</f>
        <v>_</v>
      </c>
      <c r="BT609" s="44"/>
      <c r="BU609" s="45" t="s">
        <v>16</v>
      </c>
      <c r="BV609" s="46" t="str">
        <f>IF(VLOOKUP(BU609,βοηθητικό!$J$2:$N$354,3,FALSE)="","",VLOOKUP(BU609,βοηθητικό!$J$2:$N$354,3,FALSE))</f>
        <v>_</v>
      </c>
      <c r="BW609" s="47"/>
      <c r="BX609" s="42" t="s">
        <v>16</v>
      </c>
      <c r="BY609" s="43" t="str">
        <f>IF(VLOOKUP(BX609,βοηθητικό!$J$2:$N$354,3,FALSE)="","",VLOOKUP(BX609,βοηθητικό!$J$2:$N$354,3,FALSE))</f>
        <v>_</v>
      </c>
      <c r="BZ609" s="44"/>
      <c r="CA609" s="45" t="s">
        <v>16</v>
      </c>
      <c r="CB609" s="46" t="str">
        <f>IF(VLOOKUP(CA609,βοηθητικό!$J$2:$N$354,3,FALSE)="","",VLOOKUP(CA609,βοηθητικό!$J$2:$N$354,3,FALSE))</f>
        <v>_</v>
      </c>
      <c r="CC609" s="47"/>
      <c r="CD609" s="42" t="s">
        <v>16</v>
      </c>
      <c r="CE609" s="43" t="str">
        <f>IF(VLOOKUP(CD609,βοηθητικό!$J$2:$N$354,3,FALSE)="","",VLOOKUP(CD609,βοηθητικό!$J$2:$N$354,3,FALSE))</f>
        <v>_</v>
      </c>
      <c r="CF609" s="44"/>
      <c r="CG609" s="45" t="s">
        <v>16</v>
      </c>
      <c r="CH609" s="46" t="str">
        <f>IF(VLOOKUP(CG609,βοηθητικό!$J$2:$N$354,3,FALSE)="","",VLOOKUP(CG609,βοηθητικό!$J$2:$N$354,3,FALSE))</f>
        <v>_</v>
      </c>
      <c r="CI609" s="47"/>
      <c r="CJ609" s="42" t="s">
        <v>16</v>
      </c>
      <c r="CK609" s="43" t="str">
        <f>IF(VLOOKUP(CJ609,βοηθητικό!$J$2:$N$354,3,FALSE)="","",VLOOKUP(CJ609,βοηθητικό!$J$2:$N$354,3,FALSE))</f>
        <v>_</v>
      </c>
      <c r="CL609" s="44"/>
      <c r="CM609" s="45" t="s">
        <v>16</v>
      </c>
      <c r="CN609" s="46" t="str">
        <f>IF(VLOOKUP(CM609,βοηθητικό!$J$2:$N$354,3,FALSE)="","",VLOOKUP(CM609,βοηθητικό!$J$2:$N$354,3,FALSE))</f>
        <v>_</v>
      </c>
      <c r="CO609" s="47"/>
      <c r="CP609" s="42" t="s">
        <v>16</v>
      </c>
      <c r="CQ609" s="43" t="str">
        <f>IF(VLOOKUP(CP609,βοηθητικό!$J$2:$N$354,3,FALSE)="","",VLOOKUP(CP609,βοηθητικό!$J$2:$N$354,3,FALSE))</f>
        <v>_</v>
      </c>
      <c r="CR609" s="44"/>
      <c r="CS609" s="45" t="s">
        <v>16</v>
      </c>
      <c r="CT609" s="46" t="str">
        <f>IF(VLOOKUP(CS609,βοηθητικό!$J$2:$N$354,3,FALSE)="","",VLOOKUP(CS609,βοηθητικό!$J$2:$N$354,3,FALSE))</f>
        <v>_</v>
      </c>
      <c r="CU609" s="47"/>
    </row>
    <row r="610" spans="1:99" x14ac:dyDescent="0.25">
      <c r="A610" s="37">
        <f>--SUBTOTAL(3,$B$3:B609)</f>
        <v>198</v>
      </c>
      <c r="B610" s="2"/>
      <c r="C610" s="3"/>
      <c r="D610" s="55" t="s">
        <v>18</v>
      </c>
      <c r="E610" s="38" t="s">
        <v>16</v>
      </c>
      <c r="F610" s="38"/>
      <c r="G610" s="39" t="str">
        <f t="shared" si="29"/>
        <v>__</v>
      </c>
      <c r="H610" s="40" t="str">
        <f t="shared" si="30"/>
        <v>FALSE</v>
      </c>
      <c r="I610" s="41">
        <f t="shared" si="31"/>
        <v>0</v>
      </c>
      <c r="J610" s="4" t="s">
        <v>16</v>
      </c>
      <c r="K610" s="43" t="str">
        <f>IF(VLOOKUP(J610,βοηθητικό!$J$2:$N$354,3,FALSE)="","",VLOOKUP(J610,βοηθητικό!$J$2:$N$354,3,FALSE))</f>
        <v>_</v>
      </c>
      <c r="L610" s="44"/>
      <c r="M610" s="5" t="s">
        <v>16</v>
      </c>
      <c r="N610" s="46" t="str">
        <f>IF(VLOOKUP(M610,βοηθητικό!$J$2:$N$354,3,FALSE)="","",VLOOKUP(M610,βοηθητικό!$J$2:$N$354,3,FALSE))</f>
        <v>_</v>
      </c>
      <c r="O610" s="47"/>
      <c r="P610" s="4" t="s">
        <v>16</v>
      </c>
      <c r="Q610" s="43" t="str">
        <f>IF(VLOOKUP(P610,βοηθητικό!$J$2:$N$354,3,FALSE)="","",VLOOKUP(P610,βοηθητικό!$J$2:$N$354,3,FALSE))</f>
        <v>_</v>
      </c>
      <c r="R610" s="44"/>
      <c r="S610" s="5" t="s">
        <v>16</v>
      </c>
      <c r="T610" s="46" t="str">
        <f>IF(VLOOKUP(S610,βοηθητικό!$J$2:$N$354,3,FALSE)="","",VLOOKUP(S610,βοηθητικό!$J$2:$N$354,3,FALSE))</f>
        <v>_</v>
      </c>
      <c r="U610" s="47"/>
      <c r="V610" s="4" t="s">
        <v>16</v>
      </c>
      <c r="W610" s="43" t="str">
        <f>IF(VLOOKUP(V610,βοηθητικό!$J$2:$N$354,3,FALSE)="","",VLOOKUP(V610,βοηθητικό!$J$2:$N$354,3,FALSE))</f>
        <v>_</v>
      </c>
      <c r="X610" s="44"/>
      <c r="Y610" s="5" t="s">
        <v>16</v>
      </c>
      <c r="Z610" s="46" t="str">
        <f>IF(VLOOKUP(Y610,βοηθητικό!$J$2:$N$354,3,FALSE)="","",VLOOKUP(Y610,βοηθητικό!$J$2:$N$354,3,FALSE))</f>
        <v>_</v>
      </c>
      <c r="AA610" s="47"/>
      <c r="AB610" s="4" t="s">
        <v>16</v>
      </c>
      <c r="AC610" s="43" t="str">
        <f>IF(VLOOKUP(AB610,βοηθητικό!$J$2:$N$354,3,FALSE)="","",VLOOKUP(AB610,βοηθητικό!$J$2:$N$354,3,FALSE))</f>
        <v>_</v>
      </c>
      <c r="AD610" s="44"/>
      <c r="AE610" s="5" t="s">
        <v>16</v>
      </c>
      <c r="AF610" s="46" t="str">
        <f>IF(VLOOKUP(AE610,βοηθητικό!$J$2:$N$354,3,FALSE)="","",VLOOKUP(AE610,βοηθητικό!$J$2:$N$354,3,FALSE))</f>
        <v>_</v>
      </c>
      <c r="AG610" s="47"/>
      <c r="AH610" s="4" t="s">
        <v>16</v>
      </c>
      <c r="AI610" s="43" t="str">
        <f>IF(VLOOKUP(AH610,βοηθητικό!$J$2:$N$354,3,FALSE)="","",VLOOKUP(AH610,βοηθητικό!$J$2:$N$354,3,FALSE))</f>
        <v>_</v>
      </c>
      <c r="AJ610" s="44"/>
      <c r="AK610" s="5" t="s">
        <v>16</v>
      </c>
      <c r="AL610" s="46" t="str">
        <f>IF(VLOOKUP(AK610,βοηθητικό!$J$2:$N$354,3,FALSE)="","",VLOOKUP(AK610,βοηθητικό!$J$2:$N$354,3,FALSE))</f>
        <v>_</v>
      </c>
      <c r="AM610" s="47"/>
      <c r="AN610" s="4" t="s">
        <v>16</v>
      </c>
      <c r="AO610" s="43" t="str">
        <f>IF(VLOOKUP(AN610,βοηθητικό!$J$2:$N$354,3,FALSE)="","",VLOOKUP(AN610,βοηθητικό!$J$2:$N$354,3,FALSE))</f>
        <v>_</v>
      </c>
      <c r="AP610" s="44"/>
      <c r="AQ610" s="5" t="s">
        <v>16</v>
      </c>
      <c r="AR610" s="46" t="str">
        <f>IF(VLOOKUP(AQ610,βοηθητικό!$J$2:$N$354,3,FALSE)="","",VLOOKUP(AQ610,βοηθητικό!$J$2:$N$354,3,FALSE))</f>
        <v>_</v>
      </c>
      <c r="AS610" s="47"/>
      <c r="AT610" s="4" t="s">
        <v>16</v>
      </c>
      <c r="AU610" s="43" t="str">
        <f>IF(VLOOKUP(AT610,βοηθητικό!$J$2:$N$354,3,FALSE)="","",VLOOKUP(AT610,βοηθητικό!$J$2:$N$354,3,FALSE))</f>
        <v>_</v>
      </c>
      <c r="AV610" s="44"/>
      <c r="AW610" s="5" t="s">
        <v>16</v>
      </c>
      <c r="AX610" s="46" t="str">
        <f>IF(VLOOKUP(AW610,βοηθητικό!$J$2:$N$354,3,FALSE)="","",VLOOKUP(AW610,βοηθητικό!$J$2:$N$354,3,FALSE))</f>
        <v>_</v>
      </c>
      <c r="AY610" s="47"/>
      <c r="AZ610" s="4" t="s">
        <v>16</v>
      </c>
      <c r="BA610" s="43" t="str">
        <f>IF(VLOOKUP(AZ610,βοηθητικό!$J$2:$N$354,3,FALSE)="","",VLOOKUP(AZ610,βοηθητικό!$J$2:$N$354,3,FALSE))</f>
        <v>_</v>
      </c>
      <c r="BB610" s="44"/>
      <c r="BC610" s="45" t="s">
        <v>16</v>
      </c>
      <c r="BD610" s="46" t="str">
        <f>IF(VLOOKUP(BC610,βοηθητικό!$J$2:$N$354,3,FALSE)="","",VLOOKUP(BC610,βοηθητικό!$J$2:$N$354,3,FALSE))</f>
        <v>_</v>
      </c>
      <c r="BE610" s="47"/>
      <c r="BF610" s="42" t="s">
        <v>16</v>
      </c>
      <c r="BG610" s="43" t="str">
        <f>IF(VLOOKUP(BF610,βοηθητικό!$J$2:$N$354,3,FALSE)="","",VLOOKUP(BF610,βοηθητικό!$J$2:$N$354,3,FALSE))</f>
        <v>_</v>
      </c>
      <c r="BH610" s="44"/>
      <c r="BI610" s="45" t="s">
        <v>16</v>
      </c>
      <c r="BJ610" s="46" t="str">
        <f>IF(VLOOKUP(BI610,βοηθητικό!$J$2:$N$354,3,FALSE)="","",VLOOKUP(BI610,βοηθητικό!$J$2:$N$354,3,FALSE))</f>
        <v>_</v>
      </c>
      <c r="BK610" s="47"/>
      <c r="BL610" s="42" t="s">
        <v>16</v>
      </c>
      <c r="BM610" s="43" t="str">
        <f>IF(VLOOKUP(BL610,βοηθητικό!$J$2:$N$354,3,FALSE)="","",VLOOKUP(BL610,βοηθητικό!$J$2:$N$354,3,FALSE))</f>
        <v>_</v>
      </c>
      <c r="BN610" s="44"/>
      <c r="BO610" s="45" t="s">
        <v>16</v>
      </c>
      <c r="BP610" s="46" t="str">
        <f>IF(VLOOKUP(BO610,βοηθητικό!$J$2:$N$354,3,FALSE)="","",VLOOKUP(BO610,βοηθητικό!$J$2:$N$354,3,FALSE))</f>
        <v>_</v>
      </c>
      <c r="BQ610" s="47"/>
      <c r="BR610" s="42" t="s">
        <v>16</v>
      </c>
      <c r="BS610" s="43" t="str">
        <f>IF(VLOOKUP(BR610,βοηθητικό!$J$2:$N$354,3,FALSE)="","",VLOOKUP(BR610,βοηθητικό!$J$2:$N$354,3,FALSE))</f>
        <v>_</v>
      </c>
      <c r="BT610" s="44"/>
      <c r="BU610" s="45" t="s">
        <v>16</v>
      </c>
      <c r="BV610" s="46" t="str">
        <f>IF(VLOOKUP(BU610,βοηθητικό!$J$2:$N$354,3,FALSE)="","",VLOOKUP(BU610,βοηθητικό!$J$2:$N$354,3,FALSE))</f>
        <v>_</v>
      </c>
      <c r="BW610" s="47"/>
      <c r="BX610" s="42" t="s">
        <v>16</v>
      </c>
      <c r="BY610" s="43" t="str">
        <f>IF(VLOOKUP(BX610,βοηθητικό!$J$2:$N$354,3,FALSE)="","",VLOOKUP(BX610,βοηθητικό!$J$2:$N$354,3,FALSE))</f>
        <v>_</v>
      </c>
      <c r="BZ610" s="44"/>
      <c r="CA610" s="45" t="s">
        <v>16</v>
      </c>
      <c r="CB610" s="46" t="str">
        <f>IF(VLOOKUP(CA610,βοηθητικό!$J$2:$N$354,3,FALSE)="","",VLOOKUP(CA610,βοηθητικό!$J$2:$N$354,3,FALSE))</f>
        <v>_</v>
      </c>
      <c r="CC610" s="47"/>
      <c r="CD610" s="42" t="s">
        <v>16</v>
      </c>
      <c r="CE610" s="43" t="str">
        <f>IF(VLOOKUP(CD610,βοηθητικό!$J$2:$N$354,3,FALSE)="","",VLOOKUP(CD610,βοηθητικό!$J$2:$N$354,3,FALSE))</f>
        <v>_</v>
      </c>
      <c r="CF610" s="44"/>
      <c r="CG610" s="45" t="s">
        <v>16</v>
      </c>
      <c r="CH610" s="46" t="str">
        <f>IF(VLOOKUP(CG610,βοηθητικό!$J$2:$N$354,3,FALSE)="","",VLOOKUP(CG610,βοηθητικό!$J$2:$N$354,3,FALSE))</f>
        <v>_</v>
      </c>
      <c r="CI610" s="47"/>
      <c r="CJ610" s="42" t="s">
        <v>16</v>
      </c>
      <c r="CK610" s="43" t="str">
        <f>IF(VLOOKUP(CJ610,βοηθητικό!$J$2:$N$354,3,FALSE)="","",VLOOKUP(CJ610,βοηθητικό!$J$2:$N$354,3,FALSE))</f>
        <v>_</v>
      </c>
      <c r="CL610" s="44"/>
      <c r="CM610" s="45" t="s">
        <v>16</v>
      </c>
      <c r="CN610" s="46" t="str">
        <f>IF(VLOOKUP(CM610,βοηθητικό!$J$2:$N$354,3,FALSE)="","",VLOOKUP(CM610,βοηθητικό!$J$2:$N$354,3,FALSE))</f>
        <v>_</v>
      </c>
      <c r="CO610" s="47"/>
      <c r="CP610" s="42" t="s">
        <v>16</v>
      </c>
      <c r="CQ610" s="43" t="str">
        <f>IF(VLOOKUP(CP610,βοηθητικό!$J$2:$N$354,3,FALSE)="","",VLOOKUP(CP610,βοηθητικό!$J$2:$N$354,3,FALSE))</f>
        <v>_</v>
      </c>
      <c r="CR610" s="44"/>
      <c r="CS610" s="45" t="s">
        <v>16</v>
      </c>
      <c r="CT610" s="46" t="str">
        <f>IF(VLOOKUP(CS610,βοηθητικό!$J$2:$N$354,3,FALSE)="","",VLOOKUP(CS610,βοηθητικό!$J$2:$N$354,3,FALSE))</f>
        <v>_</v>
      </c>
      <c r="CU610" s="47"/>
    </row>
    <row r="611" spans="1:99" x14ac:dyDescent="0.25">
      <c r="A611" s="37">
        <f>--SUBTOTAL(3,$B$3:B610)</f>
        <v>198</v>
      </c>
      <c r="B611" s="2"/>
      <c r="C611" s="3"/>
      <c r="D611" s="55" t="s">
        <v>18</v>
      </c>
      <c r="E611" s="38" t="s">
        <v>16</v>
      </c>
      <c r="F611" s="38"/>
      <c r="G611" s="39" t="str">
        <f t="shared" si="29"/>
        <v>__</v>
      </c>
      <c r="H611" s="40" t="str">
        <f t="shared" si="30"/>
        <v>FALSE</v>
      </c>
      <c r="I611" s="41">
        <f t="shared" si="31"/>
        <v>0</v>
      </c>
      <c r="J611" s="4" t="s">
        <v>16</v>
      </c>
      <c r="K611" s="43" t="str">
        <f>IF(VLOOKUP(J611,βοηθητικό!$J$2:$N$354,3,FALSE)="","",VLOOKUP(J611,βοηθητικό!$J$2:$N$354,3,FALSE))</f>
        <v>_</v>
      </c>
      <c r="L611" s="44"/>
      <c r="M611" s="5" t="s">
        <v>16</v>
      </c>
      <c r="N611" s="46" t="str">
        <f>IF(VLOOKUP(M611,βοηθητικό!$J$2:$N$354,3,FALSE)="","",VLOOKUP(M611,βοηθητικό!$J$2:$N$354,3,FALSE))</f>
        <v>_</v>
      </c>
      <c r="O611" s="47"/>
      <c r="P611" s="4" t="s">
        <v>16</v>
      </c>
      <c r="Q611" s="43" t="str">
        <f>IF(VLOOKUP(P611,βοηθητικό!$J$2:$N$354,3,FALSE)="","",VLOOKUP(P611,βοηθητικό!$J$2:$N$354,3,FALSE))</f>
        <v>_</v>
      </c>
      <c r="R611" s="44"/>
      <c r="S611" s="5" t="s">
        <v>16</v>
      </c>
      <c r="T611" s="46" t="str">
        <f>IF(VLOOKUP(S611,βοηθητικό!$J$2:$N$354,3,FALSE)="","",VLOOKUP(S611,βοηθητικό!$J$2:$N$354,3,FALSE))</f>
        <v>_</v>
      </c>
      <c r="U611" s="47"/>
      <c r="V611" s="4" t="s">
        <v>16</v>
      </c>
      <c r="W611" s="43" t="str">
        <f>IF(VLOOKUP(V611,βοηθητικό!$J$2:$N$354,3,FALSE)="","",VLOOKUP(V611,βοηθητικό!$J$2:$N$354,3,FALSE))</f>
        <v>_</v>
      </c>
      <c r="X611" s="44"/>
      <c r="Y611" s="5" t="s">
        <v>16</v>
      </c>
      <c r="Z611" s="46" t="str">
        <f>IF(VLOOKUP(Y611,βοηθητικό!$J$2:$N$354,3,FALSE)="","",VLOOKUP(Y611,βοηθητικό!$J$2:$N$354,3,FALSE))</f>
        <v>_</v>
      </c>
      <c r="AA611" s="47"/>
      <c r="AB611" s="4" t="s">
        <v>16</v>
      </c>
      <c r="AC611" s="43" t="str">
        <f>IF(VLOOKUP(AB611,βοηθητικό!$J$2:$N$354,3,FALSE)="","",VLOOKUP(AB611,βοηθητικό!$J$2:$N$354,3,FALSE))</f>
        <v>_</v>
      </c>
      <c r="AD611" s="44"/>
      <c r="AE611" s="5" t="s">
        <v>16</v>
      </c>
      <c r="AF611" s="46" t="str">
        <f>IF(VLOOKUP(AE611,βοηθητικό!$J$2:$N$354,3,FALSE)="","",VLOOKUP(AE611,βοηθητικό!$J$2:$N$354,3,FALSE))</f>
        <v>_</v>
      </c>
      <c r="AG611" s="47"/>
      <c r="AH611" s="4" t="s">
        <v>16</v>
      </c>
      <c r="AI611" s="43" t="str">
        <f>IF(VLOOKUP(AH611,βοηθητικό!$J$2:$N$354,3,FALSE)="","",VLOOKUP(AH611,βοηθητικό!$J$2:$N$354,3,FALSE))</f>
        <v>_</v>
      </c>
      <c r="AJ611" s="44"/>
      <c r="AK611" s="5" t="s">
        <v>16</v>
      </c>
      <c r="AL611" s="46" t="str">
        <f>IF(VLOOKUP(AK611,βοηθητικό!$J$2:$N$354,3,FALSE)="","",VLOOKUP(AK611,βοηθητικό!$J$2:$N$354,3,FALSE))</f>
        <v>_</v>
      </c>
      <c r="AM611" s="47"/>
      <c r="AN611" s="4" t="s">
        <v>16</v>
      </c>
      <c r="AO611" s="43" t="str">
        <f>IF(VLOOKUP(AN611,βοηθητικό!$J$2:$N$354,3,FALSE)="","",VLOOKUP(AN611,βοηθητικό!$J$2:$N$354,3,FALSE))</f>
        <v>_</v>
      </c>
      <c r="AP611" s="44"/>
      <c r="AQ611" s="5" t="s">
        <v>16</v>
      </c>
      <c r="AR611" s="46" t="str">
        <f>IF(VLOOKUP(AQ611,βοηθητικό!$J$2:$N$354,3,FALSE)="","",VLOOKUP(AQ611,βοηθητικό!$J$2:$N$354,3,FALSE))</f>
        <v>_</v>
      </c>
      <c r="AS611" s="47"/>
      <c r="AT611" s="4" t="s">
        <v>16</v>
      </c>
      <c r="AU611" s="43" t="str">
        <f>IF(VLOOKUP(AT611,βοηθητικό!$J$2:$N$354,3,FALSE)="","",VLOOKUP(AT611,βοηθητικό!$J$2:$N$354,3,FALSE))</f>
        <v>_</v>
      </c>
      <c r="AV611" s="44"/>
      <c r="AW611" s="5" t="s">
        <v>16</v>
      </c>
      <c r="AX611" s="46" t="str">
        <f>IF(VLOOKUP(AW611,βοηθητικό!$J$2:$N$354,3,FALSE)="","",VLOOKUP(AW611,βοηθητικό!$J$2:$N$354,3,FALSE))</f>
        <v>_</v>
      </c>
      <c r="AY611" s="47"/>
      <c r="AZ611" s="4" t="s">
        <v>16</v>
      </c>
      <c r="BA611" s="43" t="str">
        <f>IF(VLOOKUP(AZ611,βοηθητικό!$J$2:$N$354,3,FALSE)="","",VLOOKUP(AZ611,βοηθητικό!$J$2:$N$354,3,FALSE))</f>
        <v>_</v>
      </c>
      <c r="BB611" s="44"/>
      <c r="BC611" s="45" t="s">
        <v>16</v>
      </c>
      <c r="BD611" s="46" t="str">
        <f>IF(VLOOKUP(BC611,βοηθητικό!$J$2:$N$354,3,FALSE)="","",VLOOKUP(BC611,βοηθητικό!$J$2:$N$354,3,FALSE))</f>
        <v>_</v>
      </c>
      <c r="BE611" s="47"/>
      <c r="BF611" s="42" t="s">
        <v>16</v>
      </c>
      <c r="BG611" s="43" t="str">
        <f>IF(VLOOKUP(BF611,βοηθητικό!$J$2:$N$354,3,FALSE)="","",VLOOKUP(BF611,βοηθητικό!$J$2:$N$354,3,FALSE))</f>
        <v>_</v>
      </c>
      <c r="BH611" s="44"/>
      <c r="BI611" s="45" t="s">
        <v>16</v>
      </c>
      <c r="BJ611" s="46" t="str">
        <f>IF(VLOOKUP(BI611,βοηθητικό!$J$2:$N$354,3,FALSE)="","",VLOOKUP(BI611,βοηθητικό!$J$2:$N$354,3,FALSE))</f>
        <v>_</v>
      </c>
      <c r="BK611" s="47"/>
      <c r="BL611" s="42" t="s">
        <v>16</v>
      </c>
      <c r="BM611" s="43" t="str">
        <f>IF(VLOOKUP(BL611,βοηθητικό!$J$2:$N$354,3,FALSE)="","",VLOOKUP(BL611,βοηθητικό!$J$2:$N$354,3,FALSE))</f>
        <v>_</v>
      </c>
      <c r="BN611" s="44"/>
      <c r="BO611" s="45" t="s">
        <v>16</v>
      </c>
      <c r="BP611" s="46" t="str">
        <f>IF(VLOOKUP(BO611,βοηθητικό!$J$2:$N$354,3,FALSE)="","",VLOOKUP(BO611,βοηθητικό!$J$2:$N$354,3,FALSE))</f>
        <v>_</v>
      </c>
      <c r="BQ611" s="47"/>
      <c r="BR611" s="42" t="s">
        <v>16</v>
      </c>
      <c r="BS611" s="43" t="str">
        <f>IF(VLOOKUP(BR611,βοηθητικό!$J$2:$N$354,3,FALSE)="","",VLOOKUP(BR611,βοηθητικό!$J$2:$N$354,3,FALSE))</f>
        <v>_</v>
      </c>
      <c r="BT611" s="44"/>
      <c r="BU611" s="45" t="s">
        <v>16</v>
      </c>
      <c r="BV611" s="46" t="str">
        <f>IF(VLOOKUP(BU611,βοηθητικό!$J$2:$N$354,3,FALSE)="","",VLOOKUP(BU611,βοηθητικό!$J$2:$N$354,3,FALSE))</f>
        <v>_</v>
      </c>
      <c r="BW611" s="47"/>
      <c r="BX611" s="42" t="s">
        <v>16</v>
      </c>
      <c r="BY611" s="43" t="str">
        <f>IF(VLOOKUP(BX611,βοηθητικό!$J$2:$N$354,3,FALSE)="","",VLOOKUP(BX611,βοηθητικό!$J$2:$N$354,3,FALSE))</f>
        <v>_</v>
      </c>
      <c r="BZ611" s="44"/>
      <c r="CA611" s="45" t="s">
        <v>16</v>
      </c>
      <c r="CB611" s="46" t="str">
        <f>IF(VLOOKUP(CA611,βοηθητικό!$J$2:$N$354,3,FALSE)="","",VLOOKUP(CA611,βοηθητικό!$J$2:$N$354,3,FALSE))</f>
        <v>_</v>
      </c>
      <c r="CC611" s="47"/>
      <c r="CD611" s="42" t="s">
        <v>16</v>
      </c>
      <c r="CE611" s="43" t="str">
        <f>IF(VLOOKUP(CD611,βοηθητικό!$J$2:$N$354,3,FALSE)="","",VLOOKUP(CD611,βοηθητικό!$J$2:$N$354,3,FALSE))</f>
        <v>_</v>
      </c>
      <c r="CF611" s="44"/>
      <c r="CG611" s="45" t="s">
        <v>16</v>
      </c>
      <c r="CH611" s="46" t="str">
        <f>IF(VLOOKUP(CG611,βοηθητικό!$J$2:$N$354,3,FALSE)="","",VLOOKUP(CG611,βοηθητικό!$J$2:$N$354,3,FALSE))</f>
        <v>_</v>
      </c>
      <c r="CI611" s="47"/>
      <c r="CJ611" s="42" t="s">
        <v>16</v>
      </c>
      <c r="CK611" s="43" t="str">
        <f>IF(VLOOKUP(CJ611,βοηθητικό!$J$2:$N$354,3,FALSE)="","",VLOOKUP(CJ611,βοηθητικό!$J$2:$N$354,3,FALSE))</f>
        <v>_</v>
      </c>
      <c r="CL611" s="44"/>
      <c r="CM611" s="45" t="s">
        <v>16</v>
      </c>
      <c r="CN611" s="46" t="str">
        <f>IF(VLOOKUP(CM611,βοηθητικό!$J$2:$N$354,3,FALSE)="","",VLOOKUP(CM611,βοηθητικό!$J$2:$N$354,3,FALSE))</f>
        <v>_</v>
      </c>
      <c r="CO611" s="47"/>
      <c r="CP611" s="42" t="s">
        <v>16</v>
      </c>
      <c r="CQ611" s="43" t="str">
        <f>IF(VLOOKUP(CP611,βοηθητικό!$J$2:$N$354,3,FALSE)="","",VLOOKUP(CP611,βοηθητικό!$J$2:$N$354,3,FALSE))</f>
        <v>_</v>
      </c>
      <c r="CR611" s="44"/>
      <c r="CS611" s="45" t="s">
        <v>16</v>
      </c>
      <c r="CT611" s="46" t="str">
        <f>IF(VLOOKUP(CS611,βοηθητικό!$J$2:$N$354,3,FALSE)="","",VLOOKUP(CS611,βοηθητικό!$J$2:$N$354,3,FALSE))</f>
        <v>_</v>
      </c>
      <c r="CU611" s="47"/>
    </row>
    <row r="612" spans="1:99" x14ac:dyDescent="0.25">
      <c r="A612" s="37">
        <f>--SUBTOTAL(3,$B$3:B611)</f>
        <v>198</v>
      </c>
      <c r="B612" s="2"/>
      <c r="C612" s="3"/>
      <c r="D612" s="55" t="s">
        <v>18</v>
      </c>
      <c r="E612" s="38" t="s">
        <v>16</v>
      </c>
      <c r="F612" s="38"/>
      <c r="G612" s="39" t="str">
        <f t="shared" si="29"/>
        <v>__</v>
      </c>
      <c r="H612" s="40" t="str">
        <f t="shared" si="30"/>
        <v>FALSE</v>
      </c>
      <c r="I612" s="41">
        <f t="shared" si="31"/>
        <v>0</v>
      </c>
      <c r="J612" s="4" t="s">
        <v>16</v>
      </c>
      <c r="K612" s="43" t="str">
        <f>IF(VLOOKUP(J612,βοηθητικό!$J$2:$N$354,3,FALSE)="","",VLOOKUP(J612,βοηθητικό!$J$2:$N$354,3,FALSE))</f>
        <v>_</v>
      </c>
      <c r="L612" s="44"/>
      <c r="M612" s="5" t="s">
        <v>16</v>
      </c>
      <c r="N612" s="46" t="str">
        <f>IF(VLOOKUP(M612,βοηθητικό!$J$2:$N$354,3,FALSE)="","",VLOOKUP(M612,βοηθητικό!$J$2:$N$354,3,FALSE))</f>
        <v>_</v>
      </c>
      <c r="O612" s="47"/>
      <c r="P612" s="4" t="s">
        <v>16</v>
      </c>
      <c r="Q612" s="43" t="str">
        <f>IF(VLOOKUP(P612,βοηθητικό!$J$2:$N$354,3,FALSE)="","",VLOOKUP(P612,βοηθητικό!$J$2:$N$354,3,FALSE))</f>
        <v>_</v>
      </c>
      <c r="R612" s="44"/>
      <c r="S612" s="5" t="s">
        <v>16</v>
      </c>
      <c r="T612" s="46" t="str">
        <f>IF(VLOOKUP(S612,βοηθητικό!$J$2:$N$354,3,FALSE)="","",VLOOKUP(S612,βοηθητικό!$J$2:$N$354,3,FALSE))</f>
        <v>_</v>
      </c>
      <c r="U612" s="47"/>
      <c r="V612" s="4" t="s">
        <v>16</v>
      </c>
      <c r="W612" s="43" t="str">
        <f>IF(VLOOKUP(V612,βοηθητικό!$J$2:$N$354,3,FALSE)="","",VLOOKUP(V612,βοηθητικό!$J$2:$N$354,3,FALSE))</f>
        <v>_</v>
      </c>
      <c r="X612" s="44"/>
      <c r="Y612" s="5" t="s">
        <v>16</v>
      </c>
      <c r="Z612" s="46" t="str">
        <f>IF(VLOOKUP(Y612,βοηθητικό!$J$2:$N$354,3,FALSE)="","",VLOOKUP(Y612,βοηθητικό!$J$2:$N$354,3,FALSE))</f>
        <v>_</v>
      </c>
      <c r="AA612" s="47"/>
      <c r="AB612" s="4" t="s">
        <v>16</v>
      </c>
      <c r="AC612" s="43" t="str">
        <f>IF(VLOOKUP(AB612,βοηθητικό!$J$2:$N$354,3,FALSE)="","",VLOOKUP(AB612,βοηθητικό!$J$2:$N$354,3,FALSE))</f>
        <v>_</v>
      </c>
      <c r="AD612" s="44"/>
      <c r="AE612" s="5" t="s">
        <v>16</v>
      </c>
      <c r="AF612" s="46" t="str">
        <f>IF(VLOOKUP(AE612,βοηθητικό!$J$2:$N$354,3,FALSE)="","",VLOOKUP(AE612,βοηθητικό!$J$2:$N$354,3,FALSE))</f>
        <v>_</v>
      </c>
      <c r="AG612" s="47"/>
      <c r="AH612" s="4" t="s">
        <v>16</v>
      </c>
      <c r="AI612" s="43" t="str">
        <f>IF(VLOOKUP(AH612,βοηθητικό!$J$2:$N$354,3,FALSE)="","",VLOOKUP(AH612,βοηθητικό!$J$2:$N$354,3,FALSE))</f>
        <v>_</v>
      </c>
      <c r="AJ612" s="44"/>
      <c r="AK612" s="5" t="s">
        <v>16</v>
      </c>
      <c r="AL612" s="46" t="str">
        <f>IF(VLOOKUP(AK612,βοηθητικό!$J$2:$N$354,3,FALSE)="","",VLOOKUP(AK612,βοηθητικό!$J$2:$N$354,3,FALSE))</f>
        <v>_</v>
      </c>
      <c r="AM612" s="47"/>
      <c r="AN612" s="4" t="s">
        <v>16</v>
      </c>
      <c r="AO612" s="43" t="str">
        <f>IF(VLOOKUP(AN612,βοηθητικό!$J$2:$N$354,3,FALSE)="","",VLOOKUP(AN612,βοηθητικό!$J$2:$N$354,3,FALSE))</f>
        <v>_</v>
      </c>
      <c r="AP612" s="44"/>
      <c r="AQ612" s="5" t="s">
        <v>16</v>
      </c>
      <c r="AR612" s="46" t="str">
        <f>IF(VLOOKUP(AQ612,βοηθητικό!$J$2:$N$354,3,FALSE)="","",VLOOKUP(AQ612,βοηθητικό!$J$2:$N$354,3,FALSE))</f>
        <v>_</v>
      </c>
      <c r="AS612" s="47"/>
      <c r="AT612" s="4" t="s">
        <v>16</v>
      </c>
      <c r="AU612" s="43" t="str">
        <f>IF(VLOOKUP(AT612,βοηθητικό!$J$2:$N$354,3,FALSE)="","",VLOOKUP(AT612,βοηθητικό!$J$2:$N$354,3,FALSE))</f>
        <v>_</v>
      </c>
      <c r="AV612" s="44"/>
      <c r="AW612" s="5" t="s">
        <v>16</v>
      </c>
      <c r="AX612" s="46" t="str">
        <f>IF(VLOOKUP(AW612,βοηθητικό!$J$2:$N$354,3,FALSE)="","",VLOOKUP(AW612,βοηθητικό!$J$2:$N$354,3,FALSE))</f>
        <v>_</v>
      </c>
      <c r="AY612" s="47"/>
      <c r="AZ612" s="4" t="s">
        <v>16</v>
      </c>
      <c r="BA612" s="43" t="str">
        <f>IF(VLOOKUP(AZ612,βοηθητικό!$J$2:$N$354,3,FALSE)="","",VLOOKUP(AZ612,βοηθητικό!$J$2:$N$354,3,FALSE))</f>
        <v>_</v>
      </c>
      <c r="BB612" s="44"/>
      <c r="BC612" s="45" t="s">
        <v>16</v>
      </c>
      <c r="BD612" s="46" t="str">
        <f>IF(VLOOKUP(BC612,βοηθητικό!$J$2:$N$354,3,FALSE)="","",VLOOKUP(BC612,βοηθητικό!$J$2:$N$354,3,FALSE))</f>
        <v>_</v>
      </c>
      <c r="BE612" s="47"/>
      <c r="BF612" s="42" t="s">
        <v>16</v>
      </c>
      <c r="BG612" s="43" t="str">
        <f>IF(VLOOKUP(BF612,βοηθητικό!$J$2:$N$354,3,FALSE)="","",VLOOKUP(BF612,βοηθητικό!$J$2:$N$354,3,FALSE))</f>
        <v>_</v>
      </c>
      <c r="BH612" s="44"/>
      <c r="BI612" s="45" t="s">
        <v>16</v>
      </c>
      <c r="BJ612" s="46" t="str">
        <f>IF(VLOOKUP(BI612,βοηθητικό!$J$2:$N$354,3,FALSE)="","",VLOOKUP(BI612,βοηθητικό!$J$2:$N$354,3,FALSE))</f>
        <v>_</v>
      </c>
      <c r="BK612" s="47"/>
      <c r="BL612" s="42" t="s">
        <v>16</v>
      </c>
      <c r="BM612" s="43" t="str">
        <f>IF(VLOOKUP(BL612,βοηθητικό!$J$2:$N$354,3,FALSE)="","",VLOOKUP(BL612,βοηθητικό!$J$2:$N$354,3,FALSE))</f>
        <v>_</v>
      </c>
      <c r="BN612" s="44"/>
      <c r="BO612" s="45" t="s">
        <v>16</v>
      </c>
      <c r="BP612" s="46" t="str">
        <f>IF(VLOOKUP(BO612,βοηθητικό!$J$2:$N$354,3,FALSE)="","",VLOOKUP(BO612,βοηθητικό!$J$2:$N$354,3,FALSE))</f>
        <v>_</v>
      </c>
      <c r="BQ612" s="47"/>
      <c r="BR612" s="42" t="s">
        <v>16</v>
      </c>
      <c r="BS612" s="43" t="str">
        <f>IF(VLOOKUP(BR612,βοηθητικό!$J$2:$N$354,3,FALSE)="","",VLOOKUP(BR612,βοηθητικό!$J$2:$N$354,3,FALSE))</f>
        <v>_</v>
      </c>
      <c r="BT612" s="44"/>
      <c r="BU612" s="45" t="s">
        <v>16</v>
      </c>
      <c r="BV612" s="46" t="str">
        <f>IF(VLOOKUP(BU612,βοηθητικό!$J$2:$N$354,3,FALSE)="","",VLOOKUP(BU612,βοηθητικό!$J$2:$N$354,3,FALSE))</f>
        <v>_</v>
      </c>
      <c r="BW612" s="47"/>
      <c r="BX612" s="42" t="s">
        <v>16</v>
      </c>
      <c r="BY612" s="43" t="str">
        <f>IF(VLOOKUP(BX612,βοηθητικό!$J$2:$N$354,3,FALSE)="","",VLOOKUP(BX612,βοηθητικό!$J$2:$N$354,3,FALSE))</f>
        <v>_</v>
      </c>
      <c r="BZ612" s="44"/>
      <c r="CA612" s="45" t="s">
        <v>16</v>
      </c>
      <c r="CB612" s="46" t="str">
        <f>IF(VLOOKUP(CA612,βοηθητικό!$J$2:$N$354,3,FALSE)="","",VLOOKUP(CA612,βοηθητικό!$J$2:$N$354,3,FALSE))</f>
        <v>_</v>
      </c>
      <c r="CC612" s="47"/>
      <c r="CD612" s="42" t="s">
        <v>16</v>
      </c>
      <c r="CE612" s="43" t="str">
        <f>IF(VLOOKUP(CD612,βοηθητικό!$J$2:$N$354,3,FALSE)="","",VLOOKUP(CD612,βοηθητικό!$J$2:$N$354,3,FALSE))</f>
        <v>_</v>
      </c>
      <c r="CF612" s="44"/>
      <c r="CG612" s="45" t="s">
        <v>16</v>
      </c>
      <c r="CH612" s="46" t="str">
        <f>IF(VLOOKUP(CG612,βοηθητικό!$J$2:$N$354,3,FALSE)="","",VLOOKUP(CG612,βοηθητικό!$J$2:$N$354,3,FALSE))</f>
        <v>_</v>
      </c>
      <c r="CI612" s="47"/>
      <c r="CJ612" s="42" t="s">
        <v>16</v>
      </c>
      <c r="CK612" s="43" t="str">
        <f>IF(VLOOKUP(CJ612,βοηθητικό!$J$2:$N$354,3,FALSE)="","",VLOOKUP(CJ612,βοηθητικό!$J$2:$N$354,3,FALSE))</f>
        <v>_</v>
      </c>
      <c r="CL612" s="44"/>
      <c r="CM612" s="45" t="s">
        <v>16</v>
      </c>
      <c r="CN612" s="46" t="str">
        <f>IF(VLOOKUP(CM612,βοηθητικό!$J$2:$N$354,3,FALSE)="","",VLOOKUP(CM612,βοηθητικό!$J$2:$N$354,3,FALSE))</f>
        <v>_</v>
      </c>
      <c r="CO612" s="47"/>
      <c r="CP612" s="42" t="s">
        <v>16</v>
      </c>
      <c r="CQ612" s="43" t="str">
        <f>IF(VLOOKUP(CP612,βοηθητικό!$J$2:$N$354,3,FALSE)="","",VLOOKUP(CP612,βοηθητικό!$J$2:$N$354,3,FALSE))</f>
        <v>_</v>
      </c>
      <c r="CR612" s="44"/>
      <c r="CS612" s="45" t="s">
        <v>16</v>
      </c>
      <c r="CT612" s="46" t="str">
        <f>IF(VLOOKUP(CS612,βοηθητικό!$J$2:$N$354,3,FALSE)="","",VLOOKUP(CS612,βοηθητικό!$J$2:$N$354,3,FALSE))</f>
        <v>_</v>
      </c>
      <c r="CU612" s="47"/>
    </row>
    <row r="613" spans="1:99" x14ac:dyDescent="0.25">
      <c r="A613" s="37">
        <f>--SUBTOTAL(3,$B$3:B612)</f>
        <v>198</v>
      </c>
      <c r="B613" s="2"/>
      <c r="C613" s="3"/>
      <c r="D613" s="55" t="s">
        <v>18</v>
      </c>
      <c r="E613" s="38" t="s">
        <v>16</v>
      </c>
      <c r="F613" s="38"/>
      <c r="G613" s="39" t="str">
        <f t="shared" si="29"/>
        <v>__</v>
      </c>
      <c r="H613" s="40" t="str">
        <f t="shared" si="30"/>
        <v>FALSE</v>
      </c>
      <c r="I613" s="41">
        <f t="shared" si="31"/>
        <v>0</v>
      </c>
      <c r="J613" s="4" t="s">
        <v>16</v>
      </c>
      <c r="K613" s="43" t="str">
        <f>IF(VLOOKUP(J613,βοηθητικό!$J$2:$N$354,3,FALSE)="","",VLOOKUP(J613,βοηθητικό!$J$2:$N$354,3,FALSE))</f>
        <v>_</v>
      </c>
      <c r="L613" s="44"/>
      <c r="M613" s="5" t="s">
        <v>16</v>
      </c>
      <c r="N613" s="46" t="str">
        <f>IF(VLOOKUP(M613,βοηθητικό!$J$2:$N$354,3,FALSE)="","",VLOOKUP(M613,βοηθητικό!$J$2:$N$354,3,FALSE))</f>
        <v>_</v>
      </c>
      <c r="O613" s="47"/>
      <c r="P613" s="4" t="s">
        <v>16</v>
      </c>
      <c r="Q613" s="43" t="str">
        <f>IF(VLOOKUP(P613,βοηθητικό!$J$2:$N$354,3,FALSE)="","",VLOOKUP(P613,βοηθητικό!$J$2:$N$354,3,FALSE))</f>
        <v>_</v>
      </c>
      <c r="R613" s="44"/>
      <c r="S613" s="5" t="s">
        <v>16</v>
      </c>
      <c r="T613" s="46" t="str">
        <f>IF(VLOOKUP(S613,βοηθητικό!$J$2:$N$354,3,FALSE)="","",VLOOKUP(S613,βοηθητικό!$J$2:$N$354,3,FALSE))</f>
        <v>_</v>
      </c>
      <c r="U613" s="47"/>
      <c r="V613" s="4" t="s">
        <v>16</v>
      </c>
      <c r="W613" s="43" t="str">
        <f>IF(VLOOKUP(V613,βοηθητικό!$J$2:$N$354,3,FALSE)="","",VLOOKUP(V613,βοηθητικό!$J$2:$N$354,3,FALSE))</f>
        <v>_</v>
      </c>
      <c r="X613" s="44"/>
      <c r="Y613" s="5" t="s">
        <v>16</v>
      </c>
      <c r="Z613" s="46" t="str">
        <f>IF(VLOOKUP(Y613,βοηθητικό!$J$2:$N$354,3,FALSE)="","",VLOOKUP(Y613,βοηθητικό!$J$2:$N$354,3,FALSE))</f>
        <v>_</v>
      </c>
      <c r="AA613" s="47"/>
      <c r="AB613" s="4" t="s">
        <v>16</v>
      </c>
      <c r="AC613" s="43" t="str">
        <f>IF(VLOOKUP(AB613,βοηθητικό!$J$2:$N$354,3,FALSE)="","",VLOOKUP(AB613,βοηθητικό!$J$2:$N$354,3,FALSE))</f>
        <v>_</v>
      </c>
      <c r="AD613" s="44"/>
      <c r="AE613" s="5" t="s">
        <v>16</v>
      </c>
      <c r="AF613" s="46" t="str">
        <f>IF(VLOOKUP(AE613,βοηθητικό!$J$2:$N$354,3,FALSE)="","",VLOOKUP(AE613,βοηθητικό!$J$2:$N$354,3,FALSE))</f>
        <v>_</v>
      </c>
      <c r="AG613" s="47"/>
      <c r="AH613" s="4" t="s">
        <v>16</v>
      </c>
      <c r="AI613" s="43" t="str">
        <f>IF(VLOOKUP(AH613,βοηθητικό!$J$2:$N$354,3,FALSE)="","",VLOOKUP(AH613,βοηθητικό!$J$2:$N$354,3,FALSE))</f>
        <v>_</v>
      </c>
      <c r="AJ613" s="44"/>
      <c r="AK613" s="5" t="s">
        <v>16</v>
      </c>
      <c r="AL613" s="46" t="str">
        <f>IF(VLOOKUP(AK613,βοηθητικό!$J$2:$N$354,3,FALSE)="","",VLOOKUP(AK613,βοηθητικό!$J$2:$N$354,3,FALSE))</f>
        <v>_</v>
      </c>
      <c r="AM613" s="47"/>
      <c r="AN613" s="4" t="s">
        <v>16</v>
      </c>
      <c r="AO613" s="43" t="str">
        <f>IF(VLOOKUP(AN613,βοηθητικό!$J$2:$N$354,3,FALSE)="","",VLOOKUP(AN613,βοηθητικό!$J$2:$N$354,3,FALSE))</f>
        <v>_</v>
      </c>
      <c r="AP613" s="44"/>
      <c r="AQ613" s="5" t="s">
        <v>16</v>
      </c>
      <c r="AR613" s="46" t="str">
        <f>IF(VLOOKUP(AQ613,βοηθητικό!$J$2:$N$354,3,FALSE)="","",VLOOKUP(AQ613,βοηθητικό!$J$2:$N$354,3,FALSE))</f>
        <v>_</v>
      </c>
      <c r="AS613" s="47"/>
      <c r="AT613" s="4" t="s">
        <v>16</v>
      </c>
      <c r="AU613" s="43" t="str">
        <f>IF(VLOOKUP(AT613,βοηθητικό!$J$2:$N$354,3,FALSE)="","",VLOOKUP(AT613,βοηθητικό!$J$2:$N$354,3,FALSE))</f>
        <v>_</v>
      </c>
      <c r="AV613" s="44"/>
      <c r="AW613" s="5" t="s">
        <v>16</v>
      </c>
      <c r="AX613" s="46" t="str">
        <f>IF(VLOOKUP(AW613,βοηθητικό!$J$2:$N$354,3,FALSE)="","",VLOOKUP(AW613,βοηθητικό!$J$2:$N$354,3,FALSE))</f>
        <v>_</v>
      </c>
      <c r="AY613" s="47"/>
      <c r="AZ613" s="4" t="s">
        <v>16</v>
      </c>
      <c r="BA613" s="43" t="str">
        <f>IF(VLOOKUP(AZ613,βοηθητικό!$J$2:$N$354,3,FALSE)="","",VLOOKUP(AZ613,βοηθητικό!$J$2:$N$354,3,FALSE))</f>
        <v>_</v>
      </c>
      <c r="BB613" s="44"/>
      <c r="BC613" s="45" t="s">
        <v>16</v>
      </c>
      <c r="BD613" s="46" t="str">
        <f>IF(VLOOKUP(BC613,βοηθητικό!$J$2:$N$354,3,FALSE)="","",VLOOKUP(BC613,βοηθητικό!$J$2:$N$354,3,FALSE))</f>
        <v>_</v>
      </c>
      <c r="BE613" s="47"/>
      <c r="BF613" s="42" t="s">
        <v>16</v>
      </c>
      <c r="BG613" s="43" t="str">
        <f>IF(VLOOKUP(BF613,βοηθητικό!$J$2:$N$354,3,FALSE)="","",VLOOKUP(BF613,βοηθητικό!$J$2:$N$354,3,FALSE))</f>
        <v>_</v>
      </c>
      <c r="BH613" s="44"/>
      <c r="BI613" s="45" t="s">
        <v>16</v>
      </c>
      <c r="BJ613" s="46" t="str">
        <f>IF(VLOOKUP(BI613,βοηθητικό!$J$2:$N$354,3,FALSE)="","",VLOOKUP(BI613,βοηθητικό!$J$2:$N$354,3,FALSE))</f>
        <v>_</v>
      </c>
      <c r="BK613" s="47"/>
      <c r="BL613" s="42" t="s">
        <v>16</v>
      </c>
      <c r="BM613" s="43" t="str">
        <f>IF(VLOOKUP(BL613,βοηθητικό!$J$2:$N$354,3,FALSE)="","",VLOOKUP(BL613,βοηθητικό!$J$2:$N$354,3,FALSE))</f>
        <v>_</v>
      </c>
      <c r="BN613" s="44"/>
      <c r="BO613" s="45" t="s">
        <v>16</v>
      </c>
      <c r="BP613" s="46" t="str">
        <f>IF(VLOOKUP(BO613,βοηθητικό!$J$2:$N$354,3,FALSE)="","",VLOOKUP(BO613,βοηθητικό!$J$2:$N$354,3,FALSE))</f>
        <v>_</v>
      </c>
      <c r="BQ613" s="47"/>
      <c r="BR613" s="42" t="s">
        <v>16</v>
      </c>
      <c r="BS613" s="43" t="str">
        <f>IF(VLOOKUP(BR613,βοηθητικό!$J$2:$N$354,3,FALSE)="","",VLOOKUP(BR613,βοηθητικό!$J$2:$N$354,3,FALSE))</f>
        <v>_</v>
      </c>
      <c r="BT613" s="44"/>
      <c r="BU613" s="45" t="s">
        <v>16</v>
      </c>
      <c r="BV613" s="46" t="str">
        <f>IF(VLOOKUP(BU613,βοηθητικό!$J$2:$N$354,3,FALSE)="","",VLOOKUP(BU613,βοηθητικό!$J$2:$N$354,3,FALSE))</f>
        <v>_</v>
      </c>
      <c r="BW613" s="47"/>
      <c r="BX613" s="42" t="s">
        <v>16</v>
      </c>
      <c r="BY613" s="43" t="str">
        <f>IF(VLOOKUP(BX613,βοηθητικό!$J$2:$N$354,3,FALSE)="","",VLOOKUP(BX613,βοηθητικό!$J$2:$N$354,3,FALSE))</f>
        <v>_</v>
      </c>
      <c r="BZ613" s="44"/>
      <c r="CA613" s="45" t="s">
        <v>16</v>
      </c>
      <c r="CB613" s="46" t="str">
        <f>IF(VLOOKUP(CA613,βοηθητικό!$J$2:$N$354,3,FALSE)="","",VLOOKUP(CA613,βοηθητικό!$J$2:$N$354,3,FALSE))</f>
        <v>_</v>
      </c>
      <c r="CC613" s="47"/>
      <c r="CD613" s="42" t="s">
        <v>16</v>
      </c>
      <c r="CE613" s="43" t="str">
        <f>IF(VLOOKUP(CD613,βοηθητικό!$J$2:$N$354,3,FALSE)="","",VLOOKUP(CD613,βοηθητικό!$J$2:$N$354,3,FALSE))</f>
        <v>_</v>
      </c>
      <c r="CF613" s="44"/>
      <c r="CG613" s="45" t="s">
        <v>16</v>
      </c>
      <c r="CH613" s="46" t="str">
        <f>IF(VLOOKUP(CG613,βοηθητικό!$J$2:$N$354,3,FALSE)="","",VLOOKUP(CG613,βοηθητικό!$J$2:$N$354,3,FALSE))</f>
        <v>_</v>
      </c>
      <c r="CI613" s="47"/>
      <c r="CJ613" s="42" t="s">
        <v>16</v>
      </c>
      <c r="CK613" s="43" t="str">
        <f>IF(VLOOKUP(CJ613,βοηθητικό!$J$2:$N$354,3,FALSE)="","",VLOOKUP(CJ613,βοηθητικό!$J$2:$N$354,3,FALSE))</f>
        <v>_</v>
      </c>
      <c r="CL613" s="44"/>
      <c r="CM613" s="45" t="s">
        <v>16</v>
      </c>
      <c r="CN613" s="46" t="str">
        <f>IF(VLOOKUP(CM613,βοηθητικό!$J$2:$N$354,3,FALSE)="","",VLOOKUP(CM613,βοηθητικό!$J$2:$N$354,3,FALSE))</f>
        <v>_</v>
      </c>
      <c r="CO613" s="47"/>
      <c r="CP613" s="42" t="s">
        <v>16</v>
      </c>
      <c r="CQ613" s="43" t="str">
        <f>IF(VLOOKUP(CP613,βοηθητικό!$J$2:$N$354,3,FALSE)="","",VLOOKUP(CP613,βοηθητικό!$J$2:$N$354,3,FALSE))</f>
        <v>_</v>
      </c>
      <c r="CR613" s="44"/>
      <c r="CS613" s="45" t="s">
        <v>16</v>
      </c>
      <c r="CT613" s="46" t="str">
        <f>IF(VLOOKUP(CS613,βοηθητικό!$J$2:$N$354,3,FALSE)="","",VLOOKUP(CS613,βοηθητικό!$J$2:$N$354,3,FALSE))</f>
        <v>_</v>
      </c>
      <c r="CU613" s="47"/>
    </row>
    <row r="614" spans="1:99" x14ac:dyDescent="0.25">
      <c r="A614" s="37">
        <f>--SUBTOTAL(3,$B$3:B613)</f>
        <v>198</v>
      </c>
      <c r="B614" s="2"/>
      <c r="C614" s="3"/>
      <c r="D614" s="55" t="s">
        <v>18</v>
      </c>
      <c r="E614" s="38" t="s">
        <v>16</v>
      </c>
      <c r="F614" s="38"/>
      <c r="G614" s="39" t="str">
        <f t="shared" si="29"/>
        <v>__</v>
      </c>
      <c r="H614" s="40" t="str">
        <f t="shared" si="30"/>
        <v>FALSE</v>
      </c>
      <c r="I614" s="41">
        <f t="shared" si="31"/>
        <v>0</v>
      </c>
      <c r="J614" s="4" t="s">
        <v>16</v>
      </c>
      <c r="K614" s="43" t="str">
        <f>IF(VLOOKUP(J614,βοηθητικό!$J$2:$N$354,3,FALSE)="","",VLOOKUP(J614,βοηθητικό!$J$2:$N$354,3,FALSE))</f>
        <v>_</v>
      </c>
      <c r="L614" s="44"/>
      <c r="M614" s="5" t="s">
        <v>16</v>
      </c>
      <c r="N614" s="46" t="str">
        <f>IF(VLOOKUP(M614,βοηθητικό!$J$2:$N$354,3,FALSE)="","",VLOOKUP(M614,βοηθητικό!$J$2:$N$354,3,FALSE))</f>
        <v>_</v>
      </c>
      <c r="O614" s="47"/>
      <c r="P614" s="4" t="s">
        <v>16</v>
      </c>
      <c r="Q614" s="43" t="str">
        <f>IF(VLOOKUP(P614,βοηθητικό!$J$2:$N$354,3,FALSE)="","",VLOOKUP(P614,βοηθητικό!$J$2:$N$354,3,FALSE))</f>
        <v>_</v>
      </c>
      <c r="R614" s="44"/>
      <c r="S614" s="5" t="s">
        <v>16</v>
      </c>
      <c r="T614" s="46" t="str">
        <f>IF(VLOOKUP(S614,βοηθητικό!$J$2:$N$354,3,FALSE)="","",VLOOKUP(S614,βοηθητικό!$J$2:$N$354,3,FALSE))</f>
        <v>_</v>
      </c>
      <c r="U614" s="47"/>
      <c r="V614" s="4" t="s">
        <v>16</v>
      </c>
      <c r="W614" s="43" t="str">
        <f>IF(VLOOKUP(V614,βοηθητικό!$J$2:$N$354,3,FALSE)="","",VLOOKUP(V614,βοηθητικό!$J$2:$N$354,3,FALSE))</f>
        <v>_</v>
      </c>
      <c r="X614" s="44"/>
      <c r="Y614" s="5" t="s">
        <v>16</v>
      </c>
      <c r="Z614" s="46" t="str">
        <f>IF(VLOOKUP(Y614,βοηθητικό!$J$2:$N$354,3,FALSE)="","",VLOOKUP(Y614,βοηθητικό!$J$2:$N$354,3,FALSE))</f>
        <v>_</v>
      </c>
      <c r="AA614" s="47"/>
      <c r="AB614" s="4" t="s">
        <v>16</v>
      </c>
      <c r="AC614" s="43" t="str">
        <f>IF(VLOOKUP(AB614,βοηθητικό!$J$2:$N$354,3,FALSE)="","",VLOOKUP(AB614,βοηθητικό!$J$2:$N$354,3,FALSE))</f>
        <v>_</v>
      </c>
      <c r="AD614" s="44"/>
      <c r="AE614" s="5" t="s">
        <v>16</v>
      </c>
      <c r="AF614" s="46" t="str">
        <f>IF(VLOOKUP(AE614,βοηθητικό!$J$2:$N$354,3,FALSE)="","",VLOOKUP(AE614,βοηθητικό!$J$2:$N$354,3,FALSE))</f>
        <v>_</v>
      </c>
      <c r="AG614" s="47"/>
      <c r="AH614" s="4" t="s">
        <v>16</v>
      </c>
      <c r="AI614" s="43" t="str">
        <f>IF(VLOOKUP(AH614,βοηθητικό!$J$2:$N$354,3,FALSE)="","",VLOOKUP(AH614,βοηθητικό!$J$2:$N$354,3,FALSE))</f>
        <v>_</v>
      </c>
      <c r="AJ614" s="44"/>
      <c r="AK614" s="5" t="s">
        <v>16</v>
      </c>
      <c r="AL614" s="46" t="str">
        <f>IF(VLOOKUP(AK614,βοηθητικό!$J$2:$N$354,3,FALSE)="","",VLOOKUP(AK614,βοηθητικό!$J$2:$N$354,3,FALSE))</f>
        <v>_</v>
      </c>
      <c r="AM614" s="47"/>
      <c r="AN614" s="4" t="s">
        <v>16</v>
      </c>
      <c r="AO614" s="43" t="str">
        <f>IF(VLOOKUP(AN614,βοηθητικό!$J$2:$N$354,3,FALSE)="","",VLOOKUP(AN614,βοηθητικό!$J$2:$N$354,3,FALSE))</f>
        <v>_</v>
      </c>
      <c r="AP614" s="44"/>
      <c r="AQ614" s="5" t="s">
        <v>16</v>
      </c>
      <c r="AR614" s="46" t="str">
        <f>IF(VLOOKUP(AQ614,βοηθητικό!$J$2:$N$354,3,FALSE)="","",VLOOKUP(AQ614,βοηθητικό!$J$2:$N$354,3,FALSE))</f>
        <v>_</v>
      </c>
      <c r="AS614" s="47"/>
      <c r="AT614" s="4" t="s">
        <v>16</v>
      </c>
      <c r="AU614" s="43" t="str">
        <f>IF(VLOOKUP(AT614,βοηθητικό!$J$2:$N$354,3,FALSE)="","",VLOOKUP(AT614,βοηθητικό!$J$2:$N$354,3,FALSE))</f>
        <v>_</v>
      </c>
      <c r="AV614" s="44"/>
      <c r="AW614" s="5" t="s">
        <v>16</v>
      </c>
      <c r="AX614" s="46" t="str">
        <f>IF(VLOOKUP(AW614,βοηθητικό!$J$2:$N$354,3,FALSE)="","",VLOOKUP(AW614,βοηθητικό!$J$2:$N$354,3,FALSE))</f>
        <v>_</v>
      </c>
      <c r="AY614" s="47"/>
      <c r="AZ614" s="4" t="s">
        <v>16</v>
      </c>
      <c r="BA614" s="43" t="str">
        <f>IF(VLOOKUP(AZ614,βοηθητικό!$J$2:$N$354,3,FALSE)="","",VLOOKUP(AZ614,βοηθητικό!$J$2:$N$354,3,FALSE))</f>
        <v>_</v>
      </c>
      <c r="BB614" s="44"/>
      <c r="BC614" s="45" t="s">
        <v>16</v>
      </c>
      <c r="BD614" s="46" t="str">
        <f>IF(VLOOKUP(BC614,βοηθητικό!$J$2:$N$354,3,FALSE)="","",VLOOKUP(BC614,βοηθητικό!$J$2:$N$354,3,FALSE))</f>
        <v>_</v>
      </c>
      <c r="BE614" s="47"/>
      <c r="BF614" s="42" t="s">
        <v>16</v>
      </c>
      <c r="BG614" s="43" t="str">
        <f>IF(VLOOKUP(BF614,βοηθητικό!$J$2:$N$354,3,FALSE)="","",VLOOKUP(BF614,βοηθητικό!$J$2:$N$354,3,FALSE))</f>
        <v>_</v>
      </c>
      <c r="BH614" s="44"/>
      <c r="BI614" s="45" t="s">
        <v>16</v>
      </c>
      <c r="BJ614" s="46" t="str">
        <f>IF(VLOOKUP(BI614,βοηθητικό!$J$2:$N$354,3,FALSE)="","",VLOOKUP(BI614,βοηθητικό!$J$2:$N$354,3,FALSE))</f>
        <v>_</v>
      </c>
      <c r="BK614" s="47"/>
      <c r="BL614" s="42" t="s">
        <v>16</v>
      </c>
      <c r="BM614" s="43" t="str">
        <f>IF(VLOOKUP(BL614,βοηθητικό!$J$2:$N$354,3,FALSE)="","",VLOOKUP(BL614,βοηθητικό!$J$2:$N$354,3,FALSE))</f>
        <v>_</v>
      </c>
      <c r="BN614" s="44"/>
      <c r="BO614" s="45" t="s">
        <v>16</v>
      </c>
      <c r="BP614" s="46" t="str">
        <f>IF(VLOOKUP(BO614,βοηθητικό!$J$2:$N$354,3,FALSE)="","",VLOOKUP(BO614,βοηθητικό!$J$2:$N$354,3,FALSE))</f>
        <v>_</v>
      </c>
      <c r="BQ614" s="47"/>
      <c r="BR614" s="42" t="s">
        <v>16</v>
      </c>
      <c r="BS614" s="43" t="str">
        <f>IF(VLOOKUP(BR614,βοηθητικό!$J$2:$N$354,3,FALSE)="","",VLOOKUP(BR614,βοηθητικό!$J$2:$N$354,3,FALSE))</f>
        <v>_</v>
      </c>
      <c r="BT614" s="44"/>
      <c r="BU614" s="45" t="s">
        <v>16</v>
      </c>
      <c r="BV614" s="46" t="str">
        <f>IF(VLOOKUP(BU614,βοηθητικό!$J$2:$N$354,3,FALSE)="","",VLOOKUP(BU614,βοηθητικό!$J$2:$N$354,3,FALSE))</f>
        <v>_</v>
      </c>
      <c r="BW614" s="47"/>
      <c r="BX614" s="42" t="s">
        <v>16</v>
      </c>
      <c r="BY614" s="43" t="str">
        <f>IF(VLOOKUP(BX614,βοηθητικό!$J$2:$N$354,3,FALSE)="","",VLOOKUP(BX614,βοηθητικό!$J$2:$N$354,3,FALSE))</f>
        <v>_</v>
      </c>
      <c r="BZ614" s="44"/>
      <c r="CA614" s="45" t="s">
        <v>16</v>
      </c>
      <c r="CB614" s="46" t="str">
        <f>IF(VLOOKUP(CA614,βοηθητικό!$J$2:$N$354,3,FALSE)="","",VLOOKUP(CA614,βοηθητικό!$J$2:$N$354,3,FALSE))</f>
        <v>_</v>
      </c>
      <c r="CC614" s="47"/>
      <c r="CD614" s="42" t="s">
        <v>16</v>
      </c>
      <c r="CE614" s="43" t="str">
        <f>IF(VLOOKUP(CD614,βοηθητικό!$J$2:$N$354,3,FALSE)="","",VLOOKUP(CD614,βοηθητικό!$J$2:$N$354,3,FALSE))</f>
        <v>_</v>
      </c>
      <c r="CF614" s="44"/>
      <c r="CG614" s="45" t="s">
        <v>16</v>
      </c>
      <c r="CH614" s="46" t="str">
        <f>IF(VLOOKUP(CG614,βοηθητικό!$J$2:$N$354,3,FALSE)="","",VLOOKUP(CG614,βοηθητικό!$J$2:$N$354,3,FALSE))</f>
        <v>_</v>
      </c>
      <c r="CI614" s="47"/>
      <c r="CJ614" s="42" t="s">
        <v>16</v>
      </c>
      <c r="CK614" s="43" t="str">
        <f>IF(VLOOKUP(CJ614,βοηθητικό!$J$2:$N$354,3,FALSE)="","",VLOOKUP(CJ614,βοηθητικό!$J$2:$N$354,3,FALSE))</f>
        <v>_</v>
      </c>
      <c r="CL614" s="44"/>
      <c r="CM614" s="45" t="s">
        <v>16</v>
      </c>
      <c r="CN614" s="46" t="str">
        <f>IF(VLOOKUP(CM614,βοηθητικό!$J$2:$N$354,3,FALSE)="","",VLOOKUP(CM614,βοηθητικό!$J$2:$N$354,3,FALSE))</f>
        <v>_</v>
      </c>
      <c r="CO614" s="47"/>
      <c r="CP614" s="42" t="s">
        <v>16</v>
      </c>
      <c r="CQ614" s="43" t="str">
        <f>IF(VLOOKUP(CP614,βοηθητικό!$J$2:$N$354,3,FALSE)="","",VLOOKUP(CP614,βοηθητικό!$J$2:$N$354,3,FALSE))</f>
        <v>_</v>
      </c>
      <c r="CR614" s="44"/>
      <c r="CS614" s="45" t="s">
        <v>16</v>
      </c>
      <c r="CT614" s="46" t="str">
        <f>IF(VLOOKUP(CS614,βοηθητικό!$J$2:$N$354,3,FALSE)="","",VLOOKUP(CS614,βοηθητικό!$J$2:$N$354,3,FALSE))</f>
        <v>_</v>
      </c>
      <c r="CU614" s="47"/>
    </row>
    <row r="615" spans="1:99" x14ac:dyDescent="0.25">
      <c r="A615" s="37">
        <f>--SUBTOTAL(3,$B$3:B614)</f>
        <v>198</v>
      </c>
      <c r="B615" s="2"/>
      <c r="C615" s="3"/>
      <c r="D615" s="55" t="s">
        <v>18</v>
      </c>
      <c r="E615" s="38" t="s">
        <v>16</v>
      </c>
      <c r="F615" s="38"/>
      <c r="G615" s="39" t="str">
        <f t="shared" si="29"/>
        <v>__</v>
      </c>
      <c r="H615" s="40" t="str">
        <f t="shared" si="30"/>
        <v>FALSE</v>
      </c>
      <c r="I615" s="41">
        <f t="shared" si="31"/>
        <v>0</v>
      </c>
      <c r="J615" s="4" t="s">
        <v>16</v>
      </c>
      <c r="K615" s="43" t="str">
        <f>IF(VLOOKUP(J615,βοηθητικό!$J$2:$N$354,3,FALSE)="","",VLOOKUP(J615,βοηθητικό!$J$2:$N$354,3,FALSE))</f>
        <v>_</v>
      </c>
      <c r="L615" s="44"/>
      <c r="M615" s="5" t="s">
        <v>16</v>
      </c>
      <c r="N615" s="46" t="str">
        <f>IF(VLOOKUP(M615,βοηθητικό!$J$2:$N$354,3,FALSE)="","",VLOOKUP(M615,βοηθητικό!$J$2:$N$354,3,FALSE))</f>
        <v>_</v>
      </c>
      <c r="O615" s="47"/>
      <c r="P615" s="4" t="s">
        <v>16</v>
      </c>
      <c r="Q615" s="43" t="str">
        <f>IF(VLOOKUP(P615,βοηθητικό!$J$2:$N$354,3,FALSE)="","",VLOOKUP(P615,βοηθητικό!$J$2:$N$354,3,FALSE))</f>
        <v>_</v>
      </c>
      <c r="R615" s="44"/>
      <c r="S615" s="5" t="s">
        <v>16</v>
      </c>
      <c r="T615" s="46" t="str">
        <f>IF(VLOOKUP(S615,βοηθητικό!$J$2:$N$354,3,FALSE)="","",VLOOKUP(S615,βοηθητικό!$J$2:$N$354,3,FALSE))</f>
        <v>_</v>
      </c>
      <c r="U615" s="47"/>
      <c r="V615" s="4" t="s">
        <v>16</v>
      </c>
      <c r="W615" s="43" t="str">
        <f>IF(VLOOKUP(V615,βοηθητικό!$J$2:$N$354,3,FALSE)="","",VLOOKUP(V615,βοηθητικό!$J$2:$N$354,3,FALSE))</f>
        <v>_</v>
      </c>
      <c r="X615" s="44"/>
      <c r="Y615" s="5" t="s">
        <v>16</v>
      </c>
      <c r="Z615" s="46" t="str">
        <f>IF(VLOOKUP(Y615,βοηθητικό!$J$2:$N$354,3,FALSE)="","",VLOOKUP(Y615,βοηθητικό!$J$2:$N$354,3,FALSE))</f>
        <v>_</v>
      </c>
      <c r="AA615" s="47"/>
      <c r="AB615" s="4" t="s">
        <v>16</v>
      </c>
      <c r="AC615" s="43" t="str">
        <f>IF(VLOOKUP(AB615,βοηθητικό!$J$2:$N$354,3,FALSE)="","",VLOOKUP(AB615,βοηθητικό!$J$2:$N$354,3,FALSE))</f>
        <v>_</v>
      </c>
      <c r="AD615" s="44"/>
      <c r="AE615" s="5" t="s">
        <v>16</v>
      </c>
      <c r="AF615" s="46" t="str">
        <f>IF(VLOOKUP(AE615,βοηθητικό!$J$2:$N$354,3,FALSE)="","",VLOOKUP(AE615,βοηθητικό!$J$2:$N$354,3,FALSE))</f>
        <v>_</v>
      </c>
      <c r="AG615" s="47"/>
      <c r="AH615" s="4" t="s">
        <v>16</v>
      </c>
      <c r="AI615" s="43" t="str">
        <f>IF(VLOOKUP(AH615,βοηθητικό!$J$2:$N$354,3,FALSE)="","",VLOOKUP(AH615,βοηθητικό!$J$2:$N$354,3,FALSE))</f>
        <v>_</v>
      </c>
      <c r="AJ615" s="44"/>
      <c r="AK615" s="5" t="s">
        <v>16</v>
      </c>
      <c r="AL615" s="46" t="str">
        <f>IF(VLOOKUP(AK615,βοηθητικό!$J$2:$N$354,3,FALSE)="","",VLOOKUP(AK615,βοηθητικό!$J$2:$N$354,3,FALSE))</f>
        <v>_</v>
      </c>
      <c r="AM615" s="47"/>
      <c r="AN615" s="4" t="s">
        <v>16</v>
      </c>
      <c r="AO615" s="43" t="str">
        <f>IF(VLOOKUP(AN615,βοηθητικό!$J$2:$N$354,3,FALSE)="","",VLOOKUP(AN615,βοηθητικό!$J$2:$N$354,3,FALSE))</f>
        <v>_</v>
      </c>
      <c r="AP615" s="44"/>
      <c r="AQ615" s="5" t="s">
        <v>16</v>
      </c>
      <c r="AR615" s="46" t="str">
        <f>IF(VLOOKUP(AQ615,βοηθητικό!$J$2:$N$354,3,FALSE)="","",VLOOKUP(AQ615,βοηθητικό!$J$2:$N$354,3,FALSE))</f>
        <v>_</v>
      </c>
      <c r="AS615" s="47"/>
      <c r="AT615" s="4" t="s">
        <v>16</v>
      </c>
      <c r="AU615" s="43" t="str">
        <f>IF(VLOOKUP(AT615,βοηθητικό!$J$2:$N$354,3,FALSE)="","",VLOOKUP(AT615,βοηθητικό!$J$2:$N$354,3,FALSE))</f>
        <v>_</v>
      </c>
      <c r="AV615" s="44"/>
      <c r="AW615" s="5" t="s">
        <v>16</v>
      </c>
      <c r="AX615" s="46" t="str">
        <f>IF(VLOOKUP(AW615,βοηθητικό!$J$2:$N$354,3,FALSE)="","",VLOOKUP(AW615,βοηθητικό!$J$2:$N$354,3,FALSE))</f>
        <v>_</v>
      </c>
      <c r="AY615" s="47"/>
      <c r="AZ615" s="4" t="s">
        <v>16</v>
      </c>
      <c r="BA615" s="43" t="str">
        <f>IF(VLOOKUP(AZ615,βοηθητικό!$J$2:$N$354,3,FALSE)="","",VLOOKUP(AZ615,βοηθητικό!$J$2:$N$354,3,FALSE))</f>
        <v>_</v>
      </c>
      <c r="BB615" s="44"/>
      <c r="BC615" s="45" t="s">
        <v>16</v>
      </c>
      <c r="BD615" s="46" t="str">
        <f>IF(VLOOKUP(BC615,βοηθητικό!$J$2:$N$354,3,FALSE)="","",VLOOKUP(BC615,βοηθητικό!$J$2:$N$354,3,FALSE))</f>
        <v>_</v>
      </c>
      <c r="BE615" s="47"/>
      <c r="BF615" s="42" t="s">
        <v>16</v>
      </c>
      <c r="BG615" s="43" t="str">
        <f>IF(VLOOKUP(BF615,βοηθητικό!$J$2:$N$354,3,FALSE)="","",VLOOKUP(BF615,βοηθητικό!$J$2:$N$354,3,FALSE))</f>
        <v>_</v>
      </c>
      <c r="BH615" s="44"/>
      <c r="BI615" s="45" t="s">
        <v>16</v>
      </c>
      <c r="BJ615" s="46" t="str">
        <f>IF(VLOOKUP(BI615,βοηθητικό!$J$2:$N$354,3,FALSE)="","",VLOOKUP(BI615,βοηθητικό!$J$2:$N$354,3,FALSE))</f>
        <v>_</v>
      </c>
      <c r="BK615" s="47"/>
      <c r="BL615" s="42" t="s">
        <v>16</v>
      </c>
      <c r="BM615" s="43" t="str">
        <f>IF(VLOOKUP(BL615,βοηθητικό!$J$2:$N$354,3,FALSE)="","",VLOOKUP(BL615,βοηθητικό!$J$2:$N$354,3,FALSE))</f>
        <v>_</v>
      </c>
      <c r="BN615" s="44"/>
      <c r="BO615" s="45" t="s">
        <v>16</v>
      </c>
      <c r="BP615" s="46" t="str">
        <f>IF(VLOOKUP(BO615,βοηθητικό!$J$2:$N$354,3,FALSE)="","",VLOOKUP(BO615,βοηθητικό!$J$2:$N$354,3,FALSE))</f>
        <v>_</v>
      </c>
      <c r="BQ615" s="47"/>
      <c r="BR615" s="42" t="s">
        <v>16</v>
      </c>
      <c r="BS615" s="43" t="str">
        <f>IF(VLOOKUP(BR615,βοηθητικό!$J$2:$N$354,3,FALSE)="","",VLOOKUP(BR615,βοηθητικό!$J$2:$N$354,3,FALSE))</f>
        <v>_</v>
      </c>
      <c r="BT615" s="44"/>
      <c r="BU615" s="45" t="s">
        <v>16</v>
      </c>
      <c r="BV615" s="46" t="str">
        <f>IF(VLOOKUP(BU615,βοηθητικό!$J$2:$N$354,3,FALSE)="","",VLOOKUP(BU615,βοηθητικό!$J$2:$N$354,3,FALSE))</f>
        <v>_</v>
      </c>
      <c r="BW615" s="47"/>
      <c r="BX615" s="42" t="s">
        <v>16</v>
      </c>
      <c r="BY615" s="43" t="str">
        <f>IF(VLOOKUP(BX615,βοηθητικό!$J$2:$N$354,3,FALSE)="","",VLOOKUP(BX615,βοηθητικό!$J$2:$N$354,3,FALSE))</f>
        <v>_</v>
      </c>
      <c r="BZ615" s="44"/>
      <c r="CA615" s="45" t="s">
        <v>16</v>
      </c>
      <c r="CB615" s="46" t="str">
        <f>IF(VLOOKUP(CA615,βοηθητικό!$J$2:$N$354,3,FALSE)="","",VLOOKUP(CA615,βοηθητικό!$J$2:$N$354,3,FALSE))</f>
        <v>_</v>
      </c>
      <c r="CC615" s="47"/>
      <c r="CD615" s="42" t="s">
        <v>16</v>
      </c>
      <c r="CE615" s="43" t="str">
        <f>IF(VLOOKUP(CD615,βοηθητικό!$J$2:$N$354,3,FALSE)="","",VLOOKUP(CD615,βοηθητικό!$J$2:$N$354,3,FALSE))</f>
        <v>_</v>
      </c>
      <c r="CF615" s="44"/>
      <c r="CG615" s="45" t="s">
        <v>16</v>
      </c>
      <c r="CH615" s="46" t="str">
        <f>IF(VLOOKUP(CG615,βοηθητικό!$J$2:$N$354,3,FALSE)="","",VLOOKUP(CG615,βοηθητικό!$J$2:$N$354,3,FALSE))</f>
        <v>_</v>
      </c>
      <c r="CI615" s="47"/>
      <c r="CJ615" s="42" t="s">
        <v>16</v>
      </c>
      <c r="CK615" s="43" t="str">
        <f>IF(VLOOKUP(CJ615,βοηθητικό!$J$2:$N$354,3,FALSE)="","",VLOOKUP(CJ615,βοηθητικό!$J$2:$N$354,3,FALSE))</f>
        <v>_</v>
      </c>
      <c r="CL615" s="44"/>
      <c r="CM615" s="45" t="s">
        <v>16</v>
      </c>
      <c r="CN615" s="46" t="str">
        <f>IF(VLOOKUP(CM615,βοηθητικό!$J$2:$N$354,3,FALSE)="","",VLOOKUP(CM615,βοηθητικό!$J$2:$N$354,3,FALSE))</f>
        <v>_</v>
      </c>
      <c r="CO615" s="47"/>
      <c r="CP615" s="42" t="s">
        <v>16</v>
      </c>
      <c r="CQ615" s="43" t="str">
        <f>IF(VLOOKUP(CP615,βοηθητικό!$J$2:$N$354,3,FALSE)="","",VLOOKUP(CP615,βοηθητικό!$J$2:$N$354,3,FALSE))</f>
        <v>_</v>
      </c>
      <c r="CR615" s="44"/>
      <c r="CS615" s="45" t="s">
        <v>16</v>
      </c>
      <c r="CT615" s="46" t="str">
        <f>IF(VLOOKUP(CS615,βοηθητικό!$J$2:$N$354,3,FALSE)="","",VLOOKUP(CS615,βοηθητικό!$J$2:$N$354,3,FALSE))</f>
        <v>_</v>
      </c>
      <c r="CU615" s="47"/>
    </row>
    <row r="616" spans="1:99" x14ac:dyDescent="0.25">
      <c r="A616" s="37">
        <f>--SUBTOTAL(3,$B$3:B615)</f>
        <v>198</v>
      </c>
      <c r="B616" s="2"/>
      <c r="C616" s="3"/>
      <c r="D616" s="55" t="s">
        <v>18</v>
      </c>
      <c r="E616" s="38" t="s">
        <v>16</v>
      </c>
      <c r="F616" s="38"/>
      <c r="G616" s="39" t="str">
        <f t="shared" si="29"/>
        <v>__</v>
      </c>
      <c r="H616" s="40" t="str">
        <f t="shared" si="30"/>
        <v>FALSE</v>
      </c>
      <c r="I616" s="41">
        <f t="shared" si="31"/>
        <v>0</v>
      </c>
      <c r="J616" s="4" t="s">
        <v>16</v>
      </c>
      <c r="K616" s="43" t="str">
        <f>IF(VLOOKUP(J616,βοηθητικό!$J$2:$N$354,3,FALSE)="","",VLOOKUP(J616,βοηθητικό!$J$2:$N$354,3,FALSE))</f>
        <v>_</v>
      </c>
      <c r="L616" s="44"/>
      <c r="M616" s="5" t="s">
        <v>16</v>
      </c>
      <c r="N616" s="46" t="str">
        <f>IF(VLOOKUP(M616,βοηθητικό!$J$2:$N$354,3,FALSE)="","",VLOOKUP(M616,βοηθητικό!$J$2:$N$354,3,FALSE))</f>
        <v>_</v>
      </c>
      <c r="O616" s="47"/>
      <c r="P616" s="4" t="s">
        <v>16</v>
      </c>
      <c r="Q616" s="43" t="str">
        <f>IF(VLOOKUP(P616,βοηθητικό!$J$2:$N$354,3,FALSE)="","",VLOOKUP(P616,βοηθητικό!$J$2:$N$354,3,FALSE))</f>
        <v>_</v>
      </c>
      <c r="R616" s="44"/>
      <c r="S616" s="5" t="s">
        <v>16</v>
      </c>
      <c r="T616" s="46" t="str">
        <f>IF(VLOOKUP(S616,βοηθητικό!$J$2:$N$354,3,FALSE)="","",VLOOKUP(S616,βοηθητικό!$J$2:$N$354,3,FALSE))</f>
        <v>_</v>
      </c>
      <c r="U616" s="47"/>
      <c r="V616" s="4" t="s">
        <v>16</v>
      </c>
      <c r="W616" s="43" t="str">
        <f>IF(VLOOKUP(V616,βοηθητικό!$J$2:$N$354,3,FALSE)="","",VLOOKUP(V616,βοηθητικό!$J$2:$N$354,3,FALSE))</f>
        <v>_</v>
      </c>
      <c r="X616" s="44"/>
      <c r="Y616" s="5" t="s">
        <v>16</v>
      </c>
      <c r="Z616" s="46" t="str">
        <f>IF(VLOOKUP(Y616,βοηθητικό!$J$2:$N$354,3,FALSE)="","",VLOOKUP(Y616,βοηθητικό!$J$2:$N$354,3,FALSE))</f>
        <v>_</v>
      </c>
      <c r="AA616" s="47"/>
      <c r="AB616" s="4" t="s">
        <v>16</v>
      </c>
      <c r="AC616" s="43" t="str">
        <f>IF(VLOOKUP(AB616,βοηθητικό!$J$2:$N$354,3,FALSE)="","",VLOOKUP(AB616,βοηθητικό!$J$2:$N$354,3,FALSE))</f>
        <v>_</v>
      </c>
      <c r="AD616" s="44"/>
      <c r="AE616" s="5" t="s">
        <v>16</v>
      </c>
      <c r="AF616" s="46" t="str">
        <f>IF(VLOOKUP(AE616,βοηθητικό!$J$2:$N$354,3,FALSE)="","",VLOOKUP(AE616,βοηθητικό!$J$2:$N$354,3,FALSE))</f>
        <v>_</v>
      </c>
      <c r="AG616" s="47"/>
      <c r="AH616" s="4" t="s">
        <v>16</v>
      </c>
      <c r="AI616" s="43" t="str">
        <f>IF(VLOOKUP(AH616,βοηθητικό!$J$2:$N$354,3,FALSE)="","",VLOOKUP(AH616,βοηθητικό!$J$2:$N$354,3,FALSE))</f>
        <v>_</v>
      </c>
      <c r="AJ616" s="44"/>
      <c r="AK616" s="5" t="s">
        <v>16</v>
      </c>
      <c r="AL616" s="46" t="str">
        <f>IF(VLOOKUP(AK616,βοηθητικό!$J$2:$N$354,3,FALSE)="","",VLOOKUP(AK616,βοηθητικό!$J$2:$N$354,3,FALSE))</f>
        <v>_</v>
      </c>
      <c r="AM616" s="47"/>
      <c r="AN616" s="4" t="s">
        <v>16</v>
      </c>
      <c r="AO616" s="43" t="str">
        <f>IF(VLOOKUP(AN616,βοηθητικό!$J$2:$N$354,3,FALSE)="","",VLOOKUP(AN616,βοηθητικό!$J$2:$N$354,3,FALSE))</f>
        <v>_</v>
      </c>
      <c r="AP616" s="44"/>
      <c r="AQ616" s="5" t="s">
        <v>16</v>
      </c>
      <c r="AR616" s="46" t="str">
        <f>IF(VLOOKUP(AQ616,βοηθητικό!$J$2:$N$354,3,FALSE)="","",VLOOKUP(AQ616,βοηθητικό!$J$2:$N$354,3,FALSE))</f>
        <v>_</v>
      </c>
      <c r="AS616" s="47"/>
      <c r="AT616" s="4" t="s">
        <v>16</v>
      </c>
      <c r="AU616" s="43" t="str">
        <f>IF(VLOOKUP(AT616,βοηθητικό!$J$2:$N$354,3,FALSE)="","",VLOOKUP(AT616,βοηθητικό!$J$2:$N$354,3,FALSE))</f>
        <v>_</v>
      </c>
      <c r="AV616" s="44"/>
      <c r="AW616" s="5" t="s">
        <v>16</v>
      </c>
      <c r="AX616" s="46" t="str">
        <f>IF(VLOOKUP(AW616,βοηθητικό!$J$2:$N$354,3,FALSE)="","",VLOOKUP(AW616,βοηθητικό!$J$2:$N$354,3,FALSE))</f>
        <v>_</v>
      </c>
      <c r="AY616" s="47"/>
      <c r="AZ616" s="4" t="s">
        <v>16</v>
      </c>
      <c r="BA616" s="43" t="str">
        <f>IF(VLOOKUP(AZ616,βοηθητικό!$J$2:$N$354,3,FALSE)="","",VLOOKUP(AZ616,βοηθητικό!$J$2:$N$354,3,FALSE))</f>
        <v>_</v>
      </c>
      <c r="BB616" s="44"/>
      <c r="BC616" s="45" t="s">
        <v>16</v>
      </c>
      <c r="BD616" s="46" t="str">
        <f>IF(VLOOKUP(BC616,βοηθητικό!$J$2:$N$354,3,FALSE)="","",VLOOKUP(BC616,βοηθητικό!$J$2:$N$354,3,FALSE))</f>
        <v>_</v>
      </c>
      <c r="BE616" s="47"/>
      <c r="BF616" s="42" t="s">
        <v>16</v>
      </c>
      <c r="BG616" s="43" t="str">
        <f>IF(VLOOKUP(BF616,βοηθητικό!$J$2:$N$354,3,FALSE)="","",VLOOKUP(BF616,βοηθητικό!$J$2:$N$354,3,FALSE))</f>
        <v>_</v>
      </c>
      <c r="BH616" s="44"/>
      <c r="BI616" s="45" t="s">
        <v>16</v>
      </c>
      <c r="BJ616" s="46" t="str">
        <f>IF(VLOOKUP(BI616,βοηθητικό!$J$2:$N$354,3,FALSE)="","",VLOOKUP(BI616,βοηθητικό!$J$2:$N$354,3,FALSE))</f>
        <v>_</v>
      </c>
      <c r="BK616" s="47"/>
      <c r="BL616" s="42" t="s">
        <v>16</v>
      </c>
      <c r="BM616" s="43" t="str">
        <f>IF(VLOOKUP(BL616,βοηθητικό!$J$2:$N$354,3,FALSE)="","",VLOOKUP(BL616,βοηθητικό!$J$2:$N$354,3,FALSE))</f>
        <v>_</v>
      </c>
      <c r="BN616" s="44"/>
      <c r="BO616" s="45" t="s">
        <v>16</v>
      </c>
      <c r="BP616" s="46" t="str">
        <f>IF(VLOOKUP(BO616,βοηθητικό!$J$2:$N$354,3,FALSE)="","",VLOOKUP(BO616,βοηθητικό!$J$2:$N$354,3,FALSE))</f>
        <v>_</v>
      </c>
      <c r="BQ616" s="47"/>
      <c r="BR616" s="42" t="s">
        <v>16</v>
      </c>
      <c r="BS616" s="43" t="str">
        <f>IF(VLOOKUP(BR616,βοηθητικό!$J$2:$N$354,3,FALSE)="","",VLOOKUP(BR616,βοηθητικό!$J$2:$N$354,3,FALSE))</f>
        <v>_</v>
      </c>
      <c r="BT616" s="44"/>
      <c r="BU616" s="45" t="s">
        <v>16</v>
      </c>
      <c r="BV616" s="46" t="str">
        <f>IF(VLOOKUP(BU616,βοηθητικό!$J$2:$N$354,3,FALSE)="","",VLOOKUP(BU616,βοηθητικό!$J$2:$N$354,3,FALSE))</f>
        <v>_</v>
      </c>
      <c r="BW616" s="47"/>
      <c r="BX616" s="42" t="s">
        <v>16</v>
      </c>
      <c r="BY616" s="43" t="str">
        <f>IF(VLOOKUP(BX616,βοηθητικό!$J$2:$N$354,3,FALSE)="","",VLOOKUP(BX616,βοηθητικό!$J$2:$N$354,3,FALSE))</f>
        <v>_</v>
      </c>
      <c r="BZ616" s="44"/>
      <c r="CA616" s="45" t="s">
        <v>16</v>
      </c>
      <c r="CB616" s="46" t="str">
        <f>IF(VLOOKUP(CA616,βοηθητικό!$J$2:$N$354,3,FALSE)="","",VLOOKUP(CA616,βοηθητικό!$J$2:$N$354,3,FALSE))</f>
        <v>_</v>
      </c>
      <c r="CC616" s="47"/>
      <c r="CD616" s="42" t="s">
        <v>16</v>
      </c>
      <c r="CE616" s="43" t="str">
        <f>IF(VLOOKUP(CD616,βοηθητικό!$J$2:$N$354,3,FALSE)="","",VLOOKUP(CD616,βοηθητικό!$J$2:$N$354,3,FALSE))</f>
        <v>_</v>
      </c>
      <c r="CF616" s="44"/>
      <c r="CG616" s="45" t="s">
        <v>16</v>
      </c>
      <c r="CH616" s="46" t="str">
        <f>IF(VLOOKUP(CG616,βοηθητικό!$J$2:$N$354,3,FALSE)="","",VLOOKUP(CG616,βοηθητικό!$J$2:$N$354,3,FALSE))</f>
        <v>_</v>
      </c>
      <c r="CI616" s="47"/>
      <c r="CJ616" s="42" t="s">
        <v>16</v>
      </c>
      <c r="CK616" s="43" t="str">
        <f>IF(VLOOKUP(CJ616,βοηθητικό!$J$2:$N$354,3,FALSE)="","",VLOOKUP(CJ616,βοηθητικό!$J$2:$N$354,3,FALSE))</f>
        <v>_</v>
      </c>
      <c r="CL616" s="44"/>
      <c r="CM616" s="45" t="s">
        <v>16</v>
      </c>
      <c r="CN616" s="46" t="str">
        <f>IF(VLOOKUP(CM616,βοηθητικό!$J$2:$N$354,3,FALSE)="","",VLOOKUP(CM616,βοηθητικό!$J$2:$N$354,3,FALSE))</f>
        <v>_</v>
      </c>
      <c r="CO616" s="47"/>
      <c r="CP616" s="42" t="s">
        <v>16</v>
      </c>
      <c r="CQ616" s="43" t="str">
        <f>IF(VLOOKUP(CP616,βοηθητικό!$J$2:$N$354,3,FALSE)="","",VLOOKUP(CP616,βοηθητικό!$J$2:$N$354,3,FALSE))</f>
        <v>_</v>
      </c>
      <c r="CR616" s="44"/>
      <c r="CS616" s="45" t="s">
        <v>16</v>
      </c>
      <c r="CT616" s="46" t="str">
        <f>IF(VLOOKUP(CS616,βοηθητικό!$J$2:$N$354,3,FALSE)="","",VLOOKUP(CS616,βοηθητικό!$J$2:$N$354,3,FALSE))</f>
        <v>_</v>
      </c>
      <c r="CU616" s="47"/>
    </row>
    <row r="617" spans="1:99" x14ac:dyDescent="0.25">
      <c r="A617" s="37">
        <f>--SUBTOTAL(3,$B$3:B616)</f>
        <v>198</v>
      </c>
      <c r="B617" s="2"/>
      <c r="C617" s="3"/>
      <c r="D617" s="55" t="s">
        <v>18</v>
      </c>
      <c r="E617" s="38" t="s">
        <v>16</v>
      </c>
      <c r="F617" s="38"/>
      <c r="G617" s="39" t="str">
        <f t="shared" si="29"/>
        <v>__</v>
      </c>
      <c r="H617" s="40" t="str">
        <f t="shared" si="30"/>
        <v>FALSE</v>
      </c>
      <c r="I617" s="41">
        <f t="shared" si="31"/>
        <v>0</v>
      </c>
      <c r="J617" s="4" t="s">
        <v>16</v>
      </c>
      <c r="K617" s="43" t="str">
        <f>IF(VLOOKUP(J617,βοηθητικό!$J$2:$N$354,3,FALSE)="","",VLOOKUP(J617,βοηθητικό!$J$2:$N$354,3,FALSE))</f>
        <v>_</v>
      </c>
      <c r="L617" s="44"/>
      <c r="M617" s="5" t="s">
        <v>16</v>
      </c>
      <c r="N617" s="46" t="str">
        <f>IF(VLOOKUP(M617,βοηθητικό!$J$2:$N$354,3,FALSE)="","",VLOOKUP(M617,βοηθητικό!$J$2:$N$354,3,FALSE))</f>
        <v>_</v>
      </c>
      <c r="O617" s="47"/>
      <c r="P617" s="4" t="s">
        <v>16</v>
      </c>
      <c r="Q617" s="43" t="str">
        <f>IF(VLOOKUP(P617,βοηθητικό!$J$2:$N$354,3,FALSE)="","",VLOOKUP(P617,βοηθητικό!$J$2:$N$354,3,FALSE))</f>
        <v>_</v>
      </c>
      <c r="R617" s="44"/>
      <c r="S617" s="5" t="s">
        <v>16</v>
      </c>
      <c r="T617" s="46" t="str">
        <f>IF(VLOOKUP(S617,βοηθητικό!$J$2:$N$354,3,FALSE)="","",VLOOKUP(S617,βοηθητικό!$J$2:$N$354,3,FALSE))</f>
        <v>_</v>
      </c>
      <c r="U617" s="47"/>
      <c r="V617" s="4" t="s">
        <v>16</v>
      </c>
      <c r="W617" s="43" t="str">
        <f>IF(VLOOKUP(V617,βοηθητικό!$J$2:$N$354,3,FALSE)="","",VLOOKUP(V617,βοηθητικό!$J$2:$N$354,3,FALSE))</f>
        <v>_</v>
      </c>
      <c r="X617" s="44"/>
      <c r="Y617" s="5" t="s">
        <v>16</v>
      </c>
      <c r="Z617" s="46" t="str">
        <f>IF(VLOOKUP(Y617,βοηθητικό!$J$2:$N$354,3,FALSE)="","",VLOOKUP(Y617,βοηθητικό!$J$2:$N$354,3,FALSE))</f>
        <v>_</v>
      </c>
      <c r="AA617" s="47"/>
      <c r="AB617" s="4" t="s">
        <v>16</v>
      </c>
      <c r="AC617" s="43" t="str">
        <f>IF(VLOOKUP(AB617,βοηθητικό!$J$2:$N$354,3,FALSE)="","",VLOOKUP(AB617,βοηθητικό!$J$2:$N$354,3,FALSE))</f>
        <v>_</v>
      </c>
      <c r="AD617" s="44"/>
      <c r="AE617" s="5" t="s">
        <v>16</v>
      </c>
      <c r="AF617" s="46" t="str">
        <f>IF(VLOOKUP(AE617,βοηθητικό!$J$2:$N$354,3,FALSE)="","",VLOOKUP(AE617,βοηθητικό!$J$2:$N$354,3,FALSE))</f>
        <v>_</v>
      </c>
      <c r="AG617" s="47"/>
      <c r="AH617" s="4" t="s">
        <v>16</v>
      </c>
      <c r="AI617" s="43" t="str">
        <f>IF(VLOOKUP(AH617,βοηθητικό!$J$2:$N$354,3,FALSE)="","",VLOOKUP(AH617,βοηθητικό!$J$2:$N$354,3,FALSE))</f>
        <v>_</v>
      </c>
      <c r="AJ617" s="44"/>
      <c r="AK617" s="5" t="s">
        <v>16</v>
      </c>
      <c r="AL617" s="46" t="str">
        <f>IF(VLOOKUP(AK617,βοηθητικό!$J$2:$N$354,3,FALSE)="","",VLOOKUP(AK617,βοηθητικό!$J$2:$N$354,3,FALSE))</f>
        <v>_</v>
      </c>
      <c r="AM617" s="47"/>
      <c r="AN617" s="4" t="s">
        <v>16</v>
      </c>
      <c r="AO617" s="43" t="str">
        <f>IF(VLOOKUP(AN617,βοηθητικό!$J$2:$N$354,3,FALSE)="","",VLOOKUP(AN617,βοηθητικό!$J$2:$N$354,3,FALSE))</f>
        <v>_</v>
      </c>
      <c r="AP617" s="44"/>
      <c r="AQ617" s="5" t="s">
        <v>16</v>
      </c>
      <c r="AR617" s="46" t="str">
        <f>IF(VLOOKUP(AQ617,βοηθητικό!$J$2:$N$354,3,FALSE)="","",VLOOKUP(AQ617,βοηθητικό!$J$2:$N$354,3,FALSE))</f>
        <v>_</v>
      </c>
      <c r="AS617" s="47"/>
      <c r="AT617" s="4" t="s">
        <v>16</v>
      </c>
      <c r="AU617" s="43" t="str">
        <f>IF(VLOOKUP(AT617,βοηθητικό!$J$2:$N$354,3,FALSE)="","",VLOOKUP(AT617,βοηθητικό!$J$2:$N$354,3,FALSE))</f>
        <v>_</v>
      </c>
      <c r="AV617" s="44"/>
      <c r="AW617" s="5" t="s">
        <v>16</v>
      </c>
      <c r="AX617" s="46" t="str">
        <f>IF(VLOOKUP(AW617,βοηθητικό!$J$2:$N$354,3,FALSE)="","",VLOOKUP(AW617,βοηθητικό!$J$2:$N$354,3,FALSE))</f>
        <v>_</v>
      </c>
      <c r="AY617" s="47"/>
      <c r="AZ617" s="4" t="s">
        <v>16</v>
      </c>
      <c r="BA617" s="43" t="str">
        <f>IF(VLOOKUP(AZ617,βοηθητικό!$J$2:$N$354,3,FALSE)="","",VLOOKUP(AZ617,βοηθητικό!$J$2:$N$354,3,FALSE))</f>
        <v>_</v>
      </c>
      <c r="BB617" s="44"/>
      <c r="BC617" s="45" t="s">
        <v>16</v>
      </c>
      <c r="BD617" s="46" t="str">
        <f>IF(VLOOKUP(BC617,βοηθητικό!$J$2:$N$354,3,FALSE)="","",VLOOKUP(BC617,βοηθητικό!$J$2:$N$354,3,FALSE))</f>
        <v>_</v>
      </c>
      <c r="BE617" s="47"/>
      <c r="BF617" s="42" t="s">
        <v>16</v>
      </c>
      <c r="BG617" s="43" t="str">
        <f>IF(VLOOKUP(BF617,βοηθητικό!$J$2:$N$354,3,FALSE)="","",VLOOKUP(BF617,βοηθητικό!$J$2:$N$354,3,FALSE))</f>
        <v>_</v>
      </c>
      <c r="BH617" s="44"/>
      <c r="BI617" s="45" t="s">
        <v>16</v>
      </c>
      <c r="BJ617" s="46" t="str">
        <f>IF(VLOOKUP(BI617,βοηθητικό!$J$2:$N$354,3,FALSE)="","",VLOOKUP(BI617,βοηθητικό!$J$2:$N$354,3,FALSE))</f>
        <v>_</v>
      </c>
      <c r="BK617" s="47"/>
      <c r="BL617" s="42" t="s">
        <v>16</v>
      </c>
      <c r="BM617" s="43" t="str">
        <f>IF(VLOOKUP(BL617,βοηθητικό!$J$2:$N$354,3,FALSE)="","",VLOOKUP(BL617,βοηθητικό!$J$2:$N$354,3,FALSE))</f>
        <v>_</v>
      </c>
      <c r="BN617" s="44"/>
      <c r="BO617" s="45" t="s">
        <v>16</v>
      </c>
      <c r="BP617" s="46" t="str">
        <f>IF(VLOOKUP(BO617,βοηθητικό!$J$2:$N$354,3,FALSE)="","",VLOOKUP(BO617,βοηθητικό!$J$2:$N$354,3,FALSE))</f>
        <v>_</v>
      </c>
      <c r="BQ617" s="47"/>
      <c r="BR617" s="42" t="s">
        <v>16</v>
      </c>
      <c r="BS617" s="43" t="str">
        <f>IF(VLOOKUP(BR617,βοηθητικό!$J$2:$N$354,3,FALSE)="","",VLOOKUP(BR617,βοηθητικό!$J$2:$N$354,3,FALSE))</f>
        <v>_</v>
      </c>
      <c r="BT617" s="44"/>
      <c r="BU617" s="45" t="s">
        <v>16</v>
      </c>
      <c r="BV617" s="46" t="str">
        <f>IF(VLOOKUP(BU617,βοηθητικό!$J$2:$N$354,3,FALSE)="","",VLOOKUP(BU617,βοηθητικό!$J$2:$N$354,3,FALSE))</f>
        <v>_</v>
      </c>
      <c r="BW617" s="47"/>
      <c r="BX617" s="42" t="s">
        <v>16</v>
      </c>
      <c r="BY617" s="43" t="str">
        <f>IF(VLOOKUP(BX617,βοηθητικό!$J$2:$N$354,3,FALSE)="","",VLOOKUP(BX617,βοηθητικό!$J$2:$N$354,3,FALSE))</f>
        <v>_</v>
      </c>
      <c r="BZ617" s="44"/>
      <c r="CA617" s="45" t="s">
        <v>16</v>
      </c>
      <c r="CB617" s="46" t="str">
        <f>IF(VLOOKUP(CA617,βοηθητικό!$J$2:$N$354,3,FALSE)="","",VLOOKUP(CA617,βοηθητικό!$J$2:$N$354,3,FALSE))</f>
        <v>_</v>
      </c>
      <c r="CC617" s="47"/>
      <c r="CD617" s="42" t="s">
        <v>16</v>
      </c>
      <c r="CE617" s="43" t="str">
        <f>IF(VLOOKUP(CD617,βοηθητικό!$J$2:$N$354,3,FALSE)="","",VLOOKUP(CD617,βοηθητικό!$J$2:$N$354,3,FALSE))</f>
        <v>_</v>
      </c>
      <c r="CF617" s="44"/>
      <c r="CG617" s="45" t="s">
        <v>16</v>
      </c>
      <c r="CH617" s="46" t="str">
        <f>IF(VLOOKUP(CG617,βοηθητικό!$J$2:$N$354,3,FALSE)="","",VLOOKUP(CG617,βοηθητικό!$J$2:$N$354,3,FALSE))</f>
        <v>_</v>
      </c>
      <c r="CI617" s="47"/>
      <c r="CJ617" s="42" t="s">
        <v>16</v>
      </c>
      <c r="CK617" s="43" t="str">
        <f>IF(VLOOKUP(CJ617,βοηθητικό!$J$2:$N$354,3,FALSE)="","",VLOOKUP(CJ617,βοηθητικό!$J$2:$N$354,3,FALSE))</f>
        <v>_</v>
      </c>
      <c r="CL617" s="44"/>
      <c r="CM617" s="45" t="s">
        <v>16</v>
      </c>
      <c r="CN617" s="46" t="str">
        <f>IF(VLOOKUP(CM617,βοηθητικό!$J$2:$N$354,3,FALSE)="","",VLOOKUP(CM617,βοηθητικό!$J$2:$N$354,3,FALSE))</f>
        <v>_</v>
      </c>
      <c r="CO617" s="47"/>
      <c r="CP617" s="42" t="s">
        <v>16</v>
      </c>
      <c r="CQ617" s="43" t="str">
        <f>IF(VLOOKUP(CP617,βοηθητικό!$J$2:$N$354,3,FALSE)="","",VLOOKUP(CP617,βοηθητικό!$J$2:$N$354,3,FALSE))</f>
        <v>_</v>
      </c>
      <c r="CR617" s="44"/>
      <c r="CS617" s="45" t="s">
        <v>16</v>
      </c>
      <c r="CT617" s="46" t="str">
        <f>IF(VLOOKUP(CS617,βοηθητικό!$J$2:$N$354,3,FALSE)="","",VLOOKUP(CS617,βοηθητικό!$J$2:$N$354,3,FALSE))</f>
        <v>_</v>
      </c>
      <c r="CU617" s="47"/>
    </row>
    <row r="618" spans="1:99" x14ac:dyDescent="0.25">
      <c r="A618" s="37">
        <f>--SUBTOTAL(3,$B$3:B617)</f>
        <v>198</v>
      </c>
      <c r="B618" s="2"/>
      <c r="C618" s="3"/>
      <c r="D618" s="55" t="s">
        <v>18</v>
      </c>
      <c r="E618" s="38" t="s">
        <v>16</v>
      </c>
      <c r="F618" s="38"/>
      <c r="G618" s="39" t="str">
        <f t="shared" si="29"/>
        <v>__</v>
      </c>
      <c r="H618" s="40" t="str">
        <f t="shared" si="30"/>
        <v>FALSE</v>
      </c>
      <c r="I618" s="41">
        <f t="shared" si="31"/>
        <v>0</v>
      </c>
      <c r="J618" s="4" t="s">
        <v>16</v>
      </c>
      <c r="K618" s="43" t="str">
        <f>IF(VLOOKUP(J618,βοηθητικό!$J$2:$N$354,3,FALSE)="","",VLOOKUP(J618,βοηθητικό!$J$2:$N$354,3,FALSE))</f>
        <v>_</v>
      </c>
      <c r="L618" s="44"/>
      <c r="M618" s="5" t="s">
        <v>16</v>
      </c>
      <c r="N618" s="46" t="str">
        <f>IF(VLOOKUP(M618,βοηθητικό!$J$2:$N$354,3,FALSE)="","",VLOOKUP(M618,βοηθητικό!$J$2:$N$354,3,FALSE))</f>
        <v>_</v>
      </c>
      <c r="O618" s="47"/>
      <c r="P618" s="4" t="s">
        <v>16</v>
      </c>
      <c r="Q618" s="43" t="str">
        <f>IF(VLOOKUP(P618,βοηθητικό!$J$2:$N$354,3,FALSE)="","",VLOOKUP(P618,βοηθητικό!$J$2:$N$354,3,FALSE))</f>
        <v>_</v>
      </c>
      <c r="R618" s="44"/>
      <c r="S618" s="5" t="s">
        <v>16</v>
      </c>
      <c r="T618" s="46" t="str">
        <f>IF(VLOOKUP(S618,βοηθητικό!$J$2:$N$354,3,FALSE)="","",VLOOKUP(S618,βοηθητικό!$J$2:$N$354,3,FALSE))</f>
        <v>_</v>
      </c>
      <c r="U618" s="47"/>
      <c r="V618" s="4" t="s">
        <v>16</v>
      </c>
      <c r="W618" s="43" t="str">
        <f>IF(VLOOKUP(V618,βοηθητικό!$J$2:$N$354,3,FALSE)="","",VLOOKUP(V618,βοηθητικό!$J$2:$N$354,3,FALSE))</f>
        <v>_</v>
      </c>
      <c r="X618" s="44"/>
      <c r="Y618" s="5" t="s">
        <v>16</v>
      </c>
      <c r="Z618" s="46" t="str">
        <f>IF(VLOOKUP(Y618,βοηθητικό!$J$2:$N$354,3,FALSE)="","",VLOOKUP(Y618,βοηθητικό!$J$2:$N$354,3,FALSE))</f>
        <v>_</v>
      </c>
      <c r="AA618" s="47"/>
      <c r="AB618" s="4" t="s">
        <v>16</v>
      </c>
      <c r="AC618" s="43" t="str">
        <f>IF(VLOOKUP(AB618,βοηθητικό!$J$2:$N$354,3,FALSE)="","",VLOOKUP(AB618,βοηθητικό!$J$2:$N$354,3,FALSE))</f>
        <v>_</v>
      </c>
      <c r="AD618" s="44"/>
      <c r="AE618" s="5" t="s">
        <v>16</v>
      </c>
      <c r="AF618" s="46" t="str">
        <f>IF(VLOOKUP(AE618,βοηθητικό!$J$2:$N$354,3,FALSE)="","",VLOOKUP(AE618,βοηθητικό!$J$2:$N$354,3,FALSE))</f>
        <v>_</v>
      </c>
      <c r="AG618" s="47"/>
      <c r="AH618" s="4" t="s">
        <v>16</v>
      </c>
      <c r="AI618" s="43" t="str">
        <f>IF(VLOOKUP(AH618,βοηθητικό!$J$2:$N$354,3,FALSE)="","",VLOOKUP(AH618,βοηθητικό!$J$2:$N$354,3,FALSE))</f>
        <v>_</v>
      </c>
      <c r="AJ618" s="44"/>
      <c r="AK618" s="5" t="s">
        <v>16</v>
      </c>
      <c r="AL618" s="46" t="str">
        <f>IF(VLOOKUP(AK618,βοηθητικό!$J$2:$N$354,3,FALSE)="","",VLOOKUP(AK618,βοηθητικό!$J$2:$N$354,3,FALSE))</f>
        <v>_</v>
      </c>
      <c r="AM618" s="47"/>
      <c r="AN618" s="4" t="s">
        <v>16</v>
      </c>
      <c r="AO618" s="43" t="str">
        <f>IF(VLOOKUP(AN618,βοηθητικό!$J$2:$N$354,3,FALSE)="","",VLOOKUP(AN618,βοηθητικό!$J$2:$N$354,3,FALSE))</f>
        <v>_</v>
      </c>
      <c r="AP618" s="44"/>
      <c r="AQ618" s="5" t="s">
        <v>16</v>
      </c>
      <c r="AR618" s="46" t="str">
        <f>IF(VLOOKUP(AQ618,βοηθητικό!$J$2:$N$354,3,FALSE)="","",VLOOKUP(AQ618,βοηθητικό!$J$2:$N$354,3,FALSE))</f>
        <v>_</v>
      </c>
      <c r="AS618" s="47"/>
      <c r="AT618" s="4" t="s">
        <v>16</v>
      </c>
      <c r="AU618" s="43" t="str">
        <f>IF(VLOOKUP(AT618,βοηθητικό!$J$2:$N$354,3,FALSE)="","",VLOOKUP(AT618,βοηθητικό!$J$2:$N$354,3,FALSE))</f>
        <v>_</v>
      </c>
      <c r="AV618" s="44"/>
      <c r="AW618" s="5" t="s">
        <v>16</v>
      </c>
      <c r="AX618" s="46" t="str">
        <f>IF(VLOOKUP(AW618,βοηθητικό!$J$2:$N$354,3,FALSE)="","",VLOOKUP(AW618,βοηθητικό!$J$2:$N$354,3,FALSE))</f>
        <v>_</v>
      </c>
      <c r="AY618" s="47"/>
      <c r="AZ618" s="4" t="s">
        <v>16</v>
      </c>
      <c r="BA618" s="43" t="str">
        <f>IF(VLOOKUP(AZ618,βοηθητικό!$J$2:$N$354,3,FALSE)="","",VLOOKUP(AZ618,βοηθητικό!$J$2:$N$354,3,FALSE))</f>
        <v>_</v>
      </c>
      <c r="BB618" s="44"/>
      <c r="BC618" s="45" t="s">
        <v>16</v>
      </c>
      <c r="BD618" s="46" t="str">
        <f>IF(VLOOKUP(BC618,βοηθητικό!$J$2:$N$354,3,FALSE)="","",VLOOKUP(BC618,βοηθητικό!$J$2:$N$354,3,FALSE))</f>
        <v>_</v>
      </c>
      <c r="BE618" s="47"/>
      <c r="BF618" s="42" t="s">
        <v>16</v>
      </c>
      <c r="BG618" s="43" t="str">
        <f>IF(VLOOKUP(BF618,βοηθητικό!$J$2:$N$354,3,FALSE)="","",VLOOKUP(BF618,βοηθητικό!$J$2:$N$354,3,FALSE))</f>
        <v>_</v>
      </c>
      <c r="BH618" s="44"/>
      <c r="BI618" s="45" t="s">
        <v>16</v>
      </c>
      <c r="BJ618" s="46" t="str">
        <f>IF(VLOOKUP(BI618,βοηθητικό!$J$2:$N$354,3,FALSE)="","",VLOOKUP(BI618,βοηθητικό!$J$2:$N$354,3,FALSE))</f>
        <v>_</v>
      </c>
      <c r="BK618" s="47"/>
      <c r="BL618" s="42" t="s">
        <v>16</v>
      </c>
      <c r="BM618" s="43" t="str">
        <f>IF(VLOOKUP(BL618,βοηθητικό!$J$2:$N$354,3,FALSE)="","",VLOOKUP(BL618,βοηθητικό!$J$2:$N$354,3,FALSE))</f>
        <v>_</v>
      </c>
      <c r="BN618" s="44"/>
      <c r="BO618" s="45" t="s">
        <v>16</v>
      </c>
      <c r="BP618" s="46" t="str">
        <f>IF(VLOOKUP(BO618,βοηθητικό!$J$2:$N$354,3,FALSE)="","",VLOOKUP(BO618,βοηθητικό!$J$2:$N$354,3,FALSE))</f>
        <v>_</v>
      </c>
      <c r="BQ618" s="47"/>
      <c r="BR618" s="42" t="s">
        <v>16</v>
      </c>
      <c r="BS618" s="43" t="str">
        <f>IF(VLOOKUP(BR618,βοηθητικό!$J$2:$N$354,3,FALSE)="","",VLOOKUP(BR618,βοηθητικό!$J$2:$N$354,3,FALSE))</f>
        <v>_</v>
      </c>
      <c r="BT618" s="44"/>
      <c r="BU618" s="45" t="s">
        <v>16</v>
      </c>
      <c r="BV618" s="46" t="str">
        <f>IF(VLOOKUP(BU618,βοηθητικό!$J$2:$N$354,3,FALSE)="","",VLOOKUP(BU618,βοηθητικό!$J$2:$N$354,3,FALSE))</f>
        <v>_</v>
      </c>
      <c r="BW618" s="47"/>
      <c r="BX618" s="42" t="s">
        <v>16</v>
      </c>
      <c r="BY618" s="43" t="str">
        <f>IF(VLOOKUP(BX618,βοηθητικό!$J$2:$N$354,3,FALSE)="","",VLOOKUP(BX618,βοηθητικό!$J$2:$N$354,3,FALSE))</f>
        <v>_</v>
      </c>
      <c r="BZ618" s="44"/>
      <c r="CA618" s="45" t="s">
        <v>16</v>
      </c>
      <c r="CB618" s="46" t="str">
        <f>IF(VLOOKUP(CA618,βοηθητικό!$J$2:$N$354,3,FALSE)="","",VLOOKUP(CA618,βοηθητικό!$J$2:$N$354,3,FALSE))</f>
        <v>_</v>
      </c>
      <c r="CC618" s="47"/>
      <c r="CD618" s="42" t="s">
        <v>16</v>
      </c>
      <c r="CE618" s="43" t="str">
        <f>IF(VLOOKUP(CD618,βοηθητικό!$J$2:$N$354,3,FALSE)="","",VLOOKUP(CD618,βοηθητικό!$J$2:$N$354,3,FALSE))</f>
        <v>_</v>
      </c>
      <c r="CF618" s="44"/>
      <c r="CG618" s="45" t="s">
        <v>16</v>
      </c>
      <c r="CH618" s="46" t="str">
        <f>IF(VLOOKUP(CG618,βοηθητικό!$J$2:$N$354,3,FALSE)="","",VLOOKUP(CG618,βοηθητικό!$J$2:$N$354,3,FALSE))</f>
        <v>_</v>
      </c>
      <c r="CI618" s="47"/>
      <c r="CJ618" s="42" t="s">
        <v>16</v>
      </c>
      <c r="CK618" s="43" t="str">
        <f>IF(VLOOKUP(CJ618,βοηθητικό!$J$2:$N$354,3,FALSE)="","",VLOOKUP(CJ618,βοηθητικό!$J$2:$N$354,3,FALSE))</f>
        <v>_</v>
      </c>
      <c r="CL618" s="44"/>
      <c r="CM618" s="45" t="s">
        <v>16</v>
      </c>
      <c r="CN618" s="46" t="str">
        <f>IF(VLOOKUP(CM618,βοηθητικό!$J$2:$N$354,3,FALSE)="","",VLOOKUP(CM618,βοηθητικό!$J$2:$N$354,3,FALSE))</f>
        <v>_</v>
      </c>
      <c r="CO618" s="47"/>
      <c r="CP618" s="42" t="s">
        <v>16</v>
      </c>
      <c r="CQ618" s="43" t="str">
        <f>IF(VLOOKUP(CP618,βοηθητικό!$J$2:$N$354,3,FALSE)="","",VLOOKUP(CP618,βοηθητικό!$J$2:$N$354,3,FALSE))</f>
        <v>_</v>
      </c>
      <c r="CR618" s="44"/>
      <c r="CS618" s="45" t="s">
        <v>16</v>
      </c>
      <c r="CT618" s="46" t="str">
        <f>IF(VLOOKUP(CS618,βοηθητικό!$J$2:$N$354,3,FALSE)="","",VLOOKUP(CS618,βοηθητικό!$J$2:$N$354,3,FALSE))</f>
        <v>_</v>
      </c>
      <c r="CU618" s="47"/>
    </row>
    <row r="619" spans="1:99" x14ac:dyDescent="0.25">
      <c r="A619" s="37">
        <f>--SUBTOTAL(3,$B$3:B618)</f>
        <v>198</v>
      </c>
      <c r="B619" s="2"/>
      <c r="C619" s="3"/>
      <c r="D619" s="55" t="s">
        <v>18</v>
      </c>
      <c r="E619" s="38" t="s">
        <v>16</v>
      </c>
      <c r="F619" s="38"/>
      <c r="G619" s="39" t="str">
        <f t="shared" si="29"/>
        <v>__</v>
      </c>
      <c r="H619" s="40" t="str">
        <f t="shared" si="30"/>
        <v>FALSE</v>
      </c>
      <c r="I619" s="41">
        <f t="shared" si="31"/>
        <v>0</v>
      </c>
      <c r="J619" s="4" t="s">
        <v>16</v>
      </c>
      <c r="K619" s="43" t="str">
        <f>IF(VLOOKUP(J619,βοηθητικό!$J$2:$N$354,3,FALSE)="","",VLOOKUP(J619,βοηθητικό!$J$2:$N$354,3,FALSE))</f>
        <v>_</v>
      </c>
      <c r="L619" s="44"/>
      <c r="M619" s="5" t="s">
        <v>16</v>
      </c>
      <c r="N619" s="46" t="str">
        <f>IF(VLOOKUP(M619,βοηθητικό!$J$2:$N$354,3,FALSE)="","",VLOOKUP(M619,βοηθητικό!$J$2:$N$354,3,FALSE))</f>
        <v>_</v>
      </c>
      <c r="O619" s="47"/>
      <c r="P619" s="4" t="s">
        <v>16</v>
      </c>
      <c r="Q619" s="43" t="str">
        <f>IF(VLOOKUP(P619,βοηθητικό!$J$2:$N$354,3,FALSE)="","",VLOOKUP(P619,βοηθητικό!$J$2:$N$354,3,FALSE))</f>
        <v>_</v>
      </c>
      <c r="R619" s="44"/>
      <c r="S619" s="5" t="s">
        <v>16</v>
      </c>
      <c r="T619" s="46" t="str">
        <f>IF(VLOOKUP(S619,βοηθητικό!$J$2:$N$354,3,FALSE)="","",VLOOKUP(S619,βοηθητικό!$J$2:$N$354,3,FALSE))</f>
        <v>_</v>
      </c>
      <c r="U619" s="47"/>
      <c r="V619" s="4" t="s">
        <v>16</v>
      </c>
      <c r="W619" s="43" t="str">
        <f>IF(VLOOKUP(V619,βοηθητικό!$J$2:$N$354,3,FALSE)="","",VLOOKUP(V619,βοηθητικό!$J$2:$N$354,3,FALSE))</f>
        <v>_</v>
      </c>
      <c r="X619" s="44"/>
      <c r="Y619" s="5" t="s">
        <v>16</v>
      </c>
      <c r="Z619" s="46" t="str">
        <f>IF(VLOOKUP(Y619,βοηθητικό!$J$2:$N$354,3,FALSE)="","",VLOOKUP(Y619,βοηθητικό!$J$2:$N$354,3,FALSE))</f>
        <v>_</v>
      </c>
      <c r="AA619" s="47"/>
      <c r="AB619" s="4" t="s">
        <v>16</v>
      </c>
      <c r="AC619" s="43" t="str">
        <f>IF(VLOOKUP(AB619,βοηθητικό!$J$2:$N$354,3,FALSE)="","",VLOOKUP(AB619,βοηθητικό!$J$2:$N$354,3,FALSE))</f>
        <v>_</v>
      </c>
      <c r="AD619" s="44"/>
      <c r="AE619" s="5" t="s">
        <v>16</v>
      </c>
      <c r="AF619" s="46" t="str">
        <f>IF(VLOOKUP(AE619,βοηθητικό!$J$2:$N$354,3,FALSE)="","",VLOOKUP(AE619,βοηθητικό!$J$2:$N$354,3,FALSE))</f>
        <v>_</v>
      </c>
      <c r="AG619" s="47"/>
      <c r="AH619" s="4" t="s">
        <v>16</v>
      </c>
      <c r="AI619" s="43" t="str">
        <f>IF(VLOOKUP(AH619,βοηθητικό!$J$2:$N$354,3,FALSE)="","",VLOOKUP(AH619,βοηθητικό!$J$2:$N$354,3,FALSE))</f>
        <v>_</v>
      </c>
      <c r="AJ619" s="44"/>
      <c r="AK619" s="5" t="s">
        <v>16</v>
      </c>
      <c r="AL619" s="46" t="str">
        <f>IF(VLOOKUP(AK619,βοηθητικό!$J$2:$N$354,3,FALSE)="","",VLOOKUP(AK619,βοηθητικό!$J$2:$N$354,3,FALSE))</f>
        <v>_</v>
      </c>
      <c r="AM619" s="47"/>
      <c r="AN619" s="4" t="s">
        <v>16</v>
      </c>
      <c r="AO619" s="43" t="str">
        <f>IF(VLOOKUP(AN619,βοηθητικό!$J$2:$N$354,3,FALSE)="","",VLOOKUP(AN619,βοηθητικό!$J$2:$N$354,3,FALSE))</f>
        <v>_</v>
      </c>
      <c r="AP619" s="44"/>
      <c r="AQ619" s="5" t="s">
        <v>16</v>
      </c>
      <c r="AR619" s="46" t="str">
        <f>IF(VLOOKUP(AQ619,βοηθητικό!$J$2:$N$354,3,FALSE)="","",VLOOKUP(AQ619,βοηθητικό!$J$2:$N$354,3,FALSE))</f>
        <v>_</v>
      </c>
      <c r="AS619" s="47"/>
      <c r="AT619" s="4" t="s">
        <v>16</v>
      </c>
      <c r="AU619" s="43" t="str">
        <f>IF(VLOOKUP(AT619,βοηθητικό!$J$2:$N$354,3,FALSE)="","",VLOOKUP(AT619,βοηθητικό!$J$2:$N$354,3,FALSE))</f>
        <v>_</v>
      </c>
      <c r="AV619" s="44"/>
      <c r="AW619" s="5" t="s">
        <v>16</v>
      </c>
      <c r="AX619" s="46" t="str">
        <f>IF(VLOOKUP(AW619,βοηθητικό!$J$2:$N$354,3,FALSE)="","",VLOOKUP(AW619,βοηθητικό!$J$2:$N$354,3,FALSE))</f>
        <v>_</v>
      </c>
      <c r="AY619" s="47"/>
      <c r="AZ619" s="4" t="s">
        <v>16</v>
      </c>
      <c r="BA619" s="43" t="str">
        <f>IF(VLOOKUP(AZ619,βοηθητικό!$J$2:$N$354,3,FALSE)="","",VLOOKUP(AZ619,βοηθητικό!$J$2:$N$354,3,FALSE))</f>
        <v>_</v>
      </c>
      <c r="BB619" s="44"/>
      <c r="BC619" s="45" t="s">
        <v>16</v>
      </c>
      <c r="BD619" s="46" t="str">
        <f>IF(VLOOKUP(BC619,βοηθητικό!$J$2:$N$354,3,FALSE)="","",VLOOKUP(BC619,βοηθητικό!$J$2:$N$354,3,FALSE))</f>
        <v>_</v>
      </c>
      <c r="BE619" s="47"/>
      <c r="BF619" s="42" t="s">
        <v>16</v>
      </c>
      <c r="BG619" s="43" t="str">
        <f>IF(VLOOKUP(BF619,βοηθητικό!$J$2:$N$354,3,FALSE)="","",VLOOKUP(BF619,βοηθητικό!$J$2:$N$354,3,FALSE))</f>
        <v>_</v>
      </c>
      <c r="BH619" s="44"/>
      <c r="BI619" s="45" t="s">
        <v>16</v>
      </c>
      <c r="BJ619" s="46" t="str">
        <f>IF(VLOOKUP(BI619,βοηθητικό!$J$2:$N$354,3,FALSE)="","",VLOOKUP(BI619,βοηθητικό!$J$2:$N$354,3,FALSE))</f>
        <v>_</v>
      </c>
      <c r="BK619" s="47"/>
      <c r="BL619" s="42" t="s">
        <v>16</v>
      </c>
      <c r="BM619" s="43" t="str">
        <f>IF(VLOOKUP(BL619,βοηθητικό!$J$2:$N$354,3,FALSE)="","",VLOOKUP(BL619,βοηθητικό!$J$2:$N$354,3,FALSE))</f>
        <v>_</v>
      </c>
      <c r="BN619" s="44"/>
      <c r="BO619" s="45" t="s">
        <v>16</v>
      </c>
      <c r="BP619" s="46" t="str">
        <f>IF(VLOOKUP(BO619,βοηθητικό!$J$2:$N$354,3,FALSE)="","",VLOOKUP(BO619,βοηθητικό!$J$2:$N$354,3,FALSE))</f>
        <v>_</v>
      </c>
      <c r="BQ619" s="47"/>
      <c r="BR619" s="42" t="s">
        <v>16</v>
      </c>
      <c r="BS619" s="43" t="str">
        <f>IF(VLOOKUP(BR619,βοηθητικό!$J$2:$N$354,3,FALSE)="","",VLOOKUP(BR619,βοηθητικό!$J$2:$N$354,3,FALSE))</f>
        <v>_</v>
      </c>
      <c r="BT619" s="44"/>
      <c r="BU619" s="45" t="s">
        <v>16</v>
      </c>
      <c r="BV619" s="46" t="str">
        <f>IF(VLOOKUP(BU619,βοηθητικό!$J$2:$N$354,3,FALSE)="","",VLOOKUP(BU619,βοηθητικό!$J$2:$N$354,3,FALSE))</f>
        <v>_</v>
      </c>
      <c r="BW619" s="47"/>
      <c r="BX619" s="42" t="s">
        <v>16</v>
      </c>
      <c r="BY619" s="43" t="str">
        <f>IF(VLOOKUP(BX619,βοηθητικό!$J$2:$N$354,3,FALSE)="","",VLOOKUP(BX619,βοηθητικό!$J$2:$N$354,3,FALSE))</f>
        <v>_</v>
      </c>
      <c r="BZ619" s="44"/>
      <c r="CA619" s="45" t="s">
        <v>16</v>
      </c>
      <c r="CB619" s="46" t="str">
        <f>IF(VLOOKUP(CA619,βοηθητικό!$J$2:$N$354,3,FALSE)="","",VLOOKUP(CA619,βοηθητικό!$J$2:$N$354,3,FALSE))</f>
        <v>_</v>
      </c>
      <c r="CC619" s="47"/>
      <c r="CD619" s="42" t="s">
        <v>16</v>
      </c>
      <c r="CE619" s="43" t="str">
        <f>IF(VLOOKUP(CD619,βοηθητικό!$J$2:$N$354,3,FALSE)="","",VLOOKUP(CD619,βοηθητικό!$J$2:$N$354,3,FALSE))</f>
        <v>_</v>
      </c>
      <c r="CF619" s="44"/>
      <c r="CG619" s="45" t="s">
        <v>16</v>
      </c>
      <c r="CH619" s="46" t="str">
        <f>IF(VLOOKUP(CG619,βοηθητικό!$J$2:$N$354,3,FALSE)="","",VLOOKUP(CG619,βοηθητικό!$J$2:$N$354,3,FALSE))</f>
        <v>_</v>
      </c>
      <c r="CI619" s="47"/>
      <c r="CJ619" s="42" t="s">
        <v>16</v>
      </c>
      <c r="CK619" s="43" t="str">
        <f>IF(VLOOKUP(CJ619,βοηθητικό!$J$2:$N$354,3,FALSE)="","",VLOOKUP(CJ619,βοηθητικό!$J$2:$N$354,3,FALSE))</f>
        <v>_</v>
      </c>
      <c r="CL619" s="44"/>
      <c r="CM619" s="45" t="s">
        <v>16</v>
      </c>
      <c r="CN619" s="46" t="str">
        <f>IF(VLOOKUP(CM619,βοηθητικό!$J$2:$N$354,3,FALSE)="","",VLOOKUP(CM619,βοηθητικό!$J$2:$N$354,3,FALSE))</f>
        <v>_</v>
      </c>
      <c r="CO619" s="47"/>
      <c r="CP619" s="42" t="s">
        <v>16</v>
      </c>
      <c r="CQ619" s="43" t="str">
        <f>IF(VLOOKUP(CP619,βοηθητικό!$J$2:$N$354,3,FALSE)="","",VLOOKUP(CP619,βοηθητικό!$J$2:$N$354,3,FALSE))</f>
        <v>_</v>
      </c>
      <c r="CR619" s="44"/>
      <c r="CS619" s="45" t="s">
        <v>16</v>
      </c>
      <c r="CT619" s="46" t="str">
        <f>IF(VLOOKUP(CS619,βοηθητικό!$J$2:$N$354,3,FALSE)="","",VLOOKUP(CS619,βοηθητικό!$J$2:$N$354,3,FALSE))</f>
        <v>_</v>
      </c>
      <c r="CU619" s="47"/>
    </row>
    <row r="620" spans="1:99" x14ac:dyDescent="0.25">
      <c r="A620" s="37">
        <f>--SUBTOTAL(3,$B$3:B619)</f>
        <v>198</v>
      </c>
      <c r="B620" s="2"/>
      <c r="C620" s="3"/>
      <c r="D620" s="55" t="s">
        <v>18</v>
      </c>
      <c r="E620" s="38" t="s">
        <v>16</v>
      </c>
      <c r="F620" s="38"/>
      <c r="G620" s="39" t="str">
        <f t="shared" si="29"/>
        <v>__</v>
      </c>
      <c r="H620" s="40" t="str">
        <f t="shared" si="30"/>
        <v>FALSE</v>
      </c>
      <c r="I620" s="41">
        <f t="shared" si="31"/>
        <v>0</v>
      </c>
      <c r="J620" s="4" t="s">
        <v>16</v>
      </c>
      <c r="K620" s="43" t="str">
        <f>IF(VLOOKUP(J620,βοηθητικό!$J$2:$N$354,3,FALSE)="","",VLOOKUP(J620,βοηθητικό!$J$2:$N$354,3,FALSE))</f>
        <v>_</v>
      </c>
      <c r="L620" s="44"/>
      <c r="M620" s="5" t="s">
        <v>16</v>
      </c>
      <c r="N620" s="46" t="str">
        <f>IF(VLOOKUP(M620,βοηθητικό!$J$2:$N$354,3,FALSE)="","",VLOOKUP(M620,βοηθητικό!$J$2:$N$354,3,FALSE))</f>
        <v>_</v>
      </c>
      <c r="O620" s="47"/>
      <c r="P620" s="4" t="s">
        <v>16</v>
      </c>
      <c r="Q620" s="43" t="str">
        <f>IF(VLOOKUP(P620,βοηθητικό!$J$2:$N$354,3,FALSE)="","",VLOOKUP(P620,βοηθητικό!$J$2:$N$354,3,FALSE))</f>
        <v>_</v>
      </c>
      <c r="R620" s="44"/>
      <c r="S620" s="5" t="s">
        <v>16</v>
      </c>
      <c r="T620" s="46" t="str">
        <f>IF(VLOOKUP(S620,βοηθητικό!$J$2:$N$354,3,FALSE)="","",VLOOKUP(S620,βοηθητικό!$J$2:$N$354,3,FALSE))</f>
        <v>_</v>
      </c>
      <c r="U620" s="47"/>
      <c r="V620" s="4" t="s">
        <v>16</v>
      </c>
      <c r="W620" s="43" t="str">
        <f>IF(VLOOKUP(V620,βοηθητικό!$J$2:$N$354,3,FALSE)="","",VLOOKUP(V620,βοηθητικό!$J$2:$N$354,3,FALSE))</f>
        <v>_</v>
      </c>
      <c r="X620" s="44"/>
      <c r="Y620" s="5" t="s">
        <v>16</v>
      </c>
      <c r="Z620" s="46" t="str">
        <f>IF(VLOOKUP(Y620,βοηθητικό!$J$2:$N$354,3,FALSE)="","",VLOOKUP(Y620,βοηθητικό!$J$2:$N$354,3,FALSE))</f>
        <v>_</v>
      </c>
      <c r="AA620" s="47"/>
      <c r="AB620" s="4" t="s">
        <v>16</v>
      </c>
      <c r="AC620" s="43" t="str">
        <f>IF(VLOOKUP(AB620,βοηθητικό!$J$2:$N$354,3,FALSE)="","",VLOOKUP(AB620,βοηθητικό!$J$2:$N$354,3,FALSE))</f>
        <v>_</v>
      </c>
      <c r="AD620" s="44"/>
      <c r="AE620" s="5" t="s">
        <v>16</v>
      </c>
      <c r="AF620" s="46" t="str">
        <f>IF(VLOOKUP(AE620,βοηθητικό!$J$2:$N$354,3,FALSE)="","",VLOOKUP(AE620,βοηθητικό!$J$2:$N$354,3,FALSE))</f>
        <v>_</v>
      </c>
      <c r="AG620" s="47"/>
      <c r="AH620" s="4" t="s">
        <v>16</v>
      </c>
      <c r="AI620" s="43" t="str">
        <f>IF(VLOOKUP(AH620,βοηθητικό!$J$2:$N$354,3,FALSE)="","",VLOOKUP(AH620,βοηθητικό!$J$2:$N$354,3,FALSE))</f>
        <v>_</v>
      </c>
      <c r="AJ620" s="44"/>
      <c r="AK620" s="5" t="s">
        <v>16</v>
      </c>
      <c r="AL620" s="46" t="str">
        <f>IF(VLOOKUP(AK620,βοηθητικό!$J$2:$N$354,3,FALSE)="","",VLOOKUP(AK620,βοηθητικό!$J$2:$N$354,3,FALSE))</f>
        <v>_</v>
      </c>
      <c r="AM620" s="47"/>
      <c r="AN620" s="4" t="s">
        <v>16</v>
      </c>
      <c r="AO620" s="43" t="str">
        <f>IF(VLOOKUP(AN620,βοηθητικό!$J$2:$N$354,3,FALSE)="","",VLOOKUP(AN620,βοηθητικό!$J$2:$N$354,3,FALSE))</f>
        <v>_</v>
      </c>
      <c r="AP620" s="44"/>
      <c r="AQ620" s="5" t="s">
        <v>16</v>
      </c>
      <c r="AR620" s="46" t="str">
        <f>IF(VLOOKUP(AQ620,βοηθητικό!$J$2:$N$354,3,FALSE)="","",VLOOKUP(AQ620,βοηθητικό!$J$2:$N$354,3,FALSE))</f>
        <v>_</v>
      </c>
      <c r="AS620" s="47"/>
      <c r="AT620" s="4" t="s">
        <v>16</v>
      </c>
      <c r="AU620" s="43" t="str">
        <f>IF(VLOOKUP(AT620,βοηθητικό!$J$2:$N$354,3,FALSE)="","",VLOOKUP(AT620,βοηθητικό!$J$2:$N$354,3,FALSE))</f>
        <v>_</v>
      </c>
      <c r="AV620" s="44"/>
      <c r="AW620" s="5" t="s">
        <v>16</v>
      </c>
      <c r="AX620" s="46" t="str">
        <f>IF(VLOOKUP(AW620,βοηθητικό!$J$2:$N$354,3,FALSE)="","",VLOOKUP(AW620,βοηθητικό!$J$2:$N$354,3,FALSE))</f>
        <v>_</v>
      </c>
      <c r="AY620" s="47"/>
      <c r="AZ620" s="4" t="s">
        <v>16</v>
      </c>
      <c r="BA620" s="43" t="str">
        <f>IF(VLOOKUP(AZ620,βοηθητικό!$J$2:$N$354,3,FALSE)="","",VLOOKUP(AZ620,βοηθητικό!$J$2:$N$354,3,FALSE))</f>
        <v>_</v>
      </c>
      <c r="BB620" s="44"/>
      <c r="BC620" s="45" t="s">
        <v>16</v>
      </c>
      <c r="BD620" s="46" t="str">
        <f>IF(VLOOKUP(BC620,βοηθητικό!$J$2:$N$354,3,FALSE)="","",VLOOKUP(BC620,βοηθητικό!$J$2:$N$354,3,FALSE))</f>
        <v>_</v>
      </c>
      <c r="BE620" s="47"/>
      <c r="BF620" s="42" t="s">
        <v>16</v>
      </c>
      <c r="BG620" s="43" t="str">
        <f>IF(VLOOKUP(BF620,βοηθητικό!$J$2:$N$354,3,FALSE)="","",VLOOKUP(BF620,βοηθητικό!$J$2:$N$354,3,FALSE))</f>
        <v>_</v>
      </c>
      <c r="BH620" s="44"/>
      <c r="BI620" s="45" t="s">
        <v>16</v>
      </c>
      <c r="BJ620" s="46" t="str">
        <f>IF(VLOOKUP(BI620,βοηθητικό!$J$2:$N$354,3,FALSE)="","",VLOOKUP(BI620,βοηθητικό!$J$2:$N$354,3,FALSE))</f>
        <v>_</v>
      </c>
      <c r="BK620" s="47"/>
      <c r="BL620" s="42" t="s">
        <v>16</v>
      </c>
      <c r="BM620" s="43" t="str">
        <f>IF(VLOOKUP(BL620,βοηθητικό!$J$2:$N$354,3,FALSE)="","",VLOOKUP(BL620,βοηθητικό!$J$2:$N$354,3,FALSE))</f>
        <v>_</v>
      </c>
      <c r="BN620" s="44"/>
      <c r="BO620" s="45" t="s">
        <v>16</v>
      </c>
      <c r="BP620" s="46" t="str">
        <f>IF(VLOOKUP(BO620,βοηθητικό!$J$2:$N$354,3,FALSE)="","",VLOOKUP(BO620,βοηθητικό!$J$2:$N$354,3,FALSE))</f>
        <v>_</v>
      </c>
      <c r="BQ620" s="47"/>
      <c r="BR620" s="42" t="s">
        <v>16</v>
      </c>
      <c r="BS620" s="43" t="str">
        <f>IF(VLOOKUP(BR620,βοηθητικό!$J$2:$N$354,3,FALSE)="","",VLOOKUP(BR620,βοηθητικό!$J$2:$N$354,3,FALSE))</f>
        <v>_</v>
      </c>
      <c r="BT620" s="44"/>
      <c r="BU620" s="45" t="s">
        <v>16</v>
      </c>
      <c r="BV620" s="46" t="str">
        <f>IF(VLOOKUP(BU620,βοηθητικό!$J$2:$N$354,3,FALSE)="","",VLOOKUP(BU620,βοηθητικό!$J$2:$N$354,3,FALSE))</f>
        <v>_</v>
      </c>
      <c r="BW620" s="47"/>
      <c r="BX620" s="42" t="s">
        <v>16</v>
      </c>
      <c r="BY620" s="43" t="str">
        <f>IF(VLOOKUP(BX620,βοηθητικό!$J$2:$N$354,3,FALSE)="","",VLOOKUP(BX620,βοηθητικό!$J$2:$N$354,3,FALSE))</f>
        <v>_</v>
      </c>
      <c r="BZ620" s="44"/>
      <c r="CA620" s="45" t="s">
        <v>16</v>
      </c>
      <c r="CB620" s="46" t="str">
        <f>IF(VLOOKUP(CA620,βοηθητικό!$J$2:$N$354,3,FALSE)="","",VLOOKUP(CA620,βοηθητικό!$J$2:$N$354,3,FALSE))</f>
        <v>_</v>
      </c>
      <c r="CC620" s="47"/>
      <c r="CD620" s="42" t="s">
        <v>16</v>
      </c>
      <c r="CE620" s="43" t="str">
        <f>IF(VLOOKUP(CD620,βοηθητικό!$J$2:$N$354,3,FALSE)="","",VLOOKUP(CD620,βοηθητικό!$J$2:$N$354,3,FALSE))</f>
        <v>_</v>
      </c>
      <c r="CF620" s="44"/>
      <c r="CG620" s="45" t="s">
        <v>16</v>
      </c>
      <c r="CH620" s="46" t="str">
        <f>IF(VLOOKUP(CG620,βοηθητικό!$J$2:$N$354,3,FALSE)="","",VLOOKUP(CG620,βοηθητικό!$J$2:$N$354,3,FALSE))</f>
        <v>_</v>
      </c>
      <c r="CI620" s="47"/>
      <c r="CJ620" s="42" t="s">
        <v>16</v>
      </c>
      <c r="CK620" s="43" t="str">
        <f>IF(VLOOKUP(CJ620,βοηθητικό!$J$2:$N$354,3,FALSE)="","",VLOOKUP(CJ620,βοηθητικό!$J$2:$N$354,3,FALSE))</f>
        <v>_</v>
      </c>
      <c r="CL620" s="44"/>
      <c r="CM620" s="45" t="s">
        <v>16</v>
      </c>
      <c r="CN620" s="46" t="str">
        <f>IF(VLOOKUP(CM620,βοηθητικό!$J$2:$N$354,3,FALSE)="","",VLOOKUP(CM620,βοηθητικό!$J$2:$N$354,3,FALSE))</f>
        <v>_</v>
      </c>
      <c r="CO620" s="47"/>
      <c r="CP620" s="42" t="s">
        <v>16</v>
      </c>
      <c r="CQ620" s="43" t="str">
        <f>IF(VLOOKUP(CP620,βοηθητικό!$J$2:$N$354,3,FALSE)="","",VLOOKUP(CP620,βοηθητικό!$J$2:$N$354,3,FALSE))</f>
        <v>_</v>
      </c>
      <c r="CR620" s="44"/>
      <c r="CS620" s="45" t="s">
        <v>16</v>
      </c>
      <c r="CT620" s="46" t="str">
        <f>IF(VLOOKUP(CS620,βοηθητικό!$J$2:$N$354,3,FALSE)="","",VLOOKUP(CS620,βοηθητικό!$J$2:$N$354,3,FALSE))</f>
        <v>_</v>
      </c>
      <c r="CU620" s="47"/>
    </row>
    <row r="621" spans="1:99" x14ac:dyDescent="0.25">
      <c r="A621" s="37">
        <f>--SUBTOTAL(3,$B$3:B620)</f>
        <v>198</v>
      </c>
      <c r="B621" s="2"/>
      <c r="C621" s="3"/>
      <c r="D621" s="55" t="s">
        <v>18</v>
      </c>
      <c r="E621" s="38" t="s">
        <v>16</v>
      </c>
      <c r="F621" s="38"/>
      <c r="G621" s="39" t="str">
        <f t="shared" si="29"/>
        <v>__</v>
      </c>
      <c r="H621" s="40" t="str">
        <f t="shared" si="30"/>
        <v>FALSE</v>
      </c>
      <c r="I621" s="41">
        <f t="shared" si="31"/>
        <v>0</v>
      </c>
      <c r="J621" s="4" t="s">
        <v>16</v>
      </c>
      <c r="K621" s="43" t="str">
        <f>IF(VLOOKUP(J621,βοηθητικό!$J$2:$N$354,3,FALSE)="","",VLOOKUP(J621,βοηθητικό!$J$2:$N$354,3,FALSE))</f>
        <v>_</v>
      </c>
      <c r="L621" s="44"/>
      <c r="M621" s="5" t="s">
        <v>16</v>
      </c>
      <c r="N621" s="46" t="str">
        <f>IF(VLOOKUP(M621,βοηθητικό!$J$2:$N$354,3,FALSE)="","",VLOOKUP(M621,βοηθητικό!$J$2:$N$354,3,FALSE))</f>
        <v>_</v>
      </c>
      <c r="O621" s="47"/>
      <c r="P621" s="4" t="s">
        <v>16</v>
      </c>
      <c r="Q621" s="43" t="str">
        <f>IF(VLOOKUP(P621,βοηθητικό!$J$2:$N$354,3,FALSE)="","",VLOOKUP(P621,βοηθητικό!$J$2:$N$354,3,FALSE))</f>
        <v>_</v>
      </c>
      <c r="R621" s="44"/>
      <c r="S621" s="5" t="s">
        <v>16</v>
      </c>
      <c r="T621" s="46" t="str">
        <f>IF(VLOOKUP(S621,βοηθητικό!$J$2:$N$354,3,FALSE)="","",VLOOKUP(S621,βοηθητικό!$J$2:$N$354,3,FALSE))</f>
        <v>_</v>
      </c>
      <c r="U621" s="47"/>
      <c r="V621" s="4" t="s">
        <v>16</v>
      </c>
      <c r="W621" s="43" t="str">
        <f>IF(VLOOKUP(V621,βοηθητικό!$J$2:$N$354,3,FALSE)="","",VLOOKUP(V621,βοηθητικό!$J$2:$N$354,3,FALSE))</f>
        <v>_</v>
      </c>
      <c r="X621" s="44"/>
      <c r="Y621" s="5" t="s">
        <v>16</v>
      </c>
      <c r="Z621" s="46" t="str">
        <f>IF(VLOOKUP(Y621,βοηθητικό!$J$2:$N$354,3,FALSE)="","",VLOOKUP(Y621,βοηθητικό!$J$2:$N$354,3,FALSE))</f>
        <v>_</v>
      </c>
      <c r="AA621" s="47"/>
      <c r="AB621" s="4" t="s">
        <v>16</v>
      </c>
      <c r="AC621" s="43" t="str">
        <f>IF(VLOOKUP(AB621,βοηθητικό!$J$2:$N$354,3,FALSE)="","",VLOOKUP(AB621,βοηθητικό!$J$2:$N$354,3,FALSE))</f>
        <v>_</v>
      </c>
      <c r="AD621" s="44"/>
      <c r="AE621" s="5" t="s">
        <v>16</v>
      </c>
      <c r="AF621" s="46" t="str">
        <f>IF(VLOOKUP(AE621,βοηθητικό!$J$2:$N$354,3,FALSE)="","",VLOOKUP(AE621,βοηθητικό!$J$2:$N$354,3,FALSE))</f>
        <v>_</v>
      </c>
      <c r="AG621" s="47"/>
      <c r="AH621" s="4" t="s">
        <v>16</v>
      </c>
      <c r="AI621" s="43" t="str">
        <f>IF(VLOOKUP(AH621,βοηθητικό!$J$2:$N$354,3,FALSE)="","",VLOOKUP(AH621,βοηθητικό!$J$2:$N$354,3,FALSE))</f>
        <v>_</v>
      </c>
      <c r="AJ621" s="44"/>
      <c r="AK621" s="5" t="s">
        <v>16</v>
      </c>
      <c r="AL621" s="46" t="str">
        <f>IF(VLOOKUP(AK621,βοηθητικό!$J$2:$N$354,3,FALSE)="","",VLOOKUP(AK621,βοηθητικό!$J$2:$N$354,3,FALSE))</f>
        <v>_</v>
      </c>
      <c r="AM621" s="47"/>
      <c r="AN621" s="4" t="s">
        <v>16</v>
      </c>
      <c r="AO621" s="43" t="str">
        <f>IF(VLOOKUP(AN621,βοηθητικό!$J$2:$N$354,3,FALSE)="","",VLOOKUP(AN621,βοηθητικό!$J$2:$N$354,3,FALSE))</f>
        <v>_</v>
      </c>
      <c r="AP621" s="44"/>
      <c r="AQ621" s="5" t="s">
        <v>16</v>
      </c>
      <c r="AR621" s="46" t="str">
        <f>IF(VLOOKUP(AQ621,βοηθητικό!$J$2:$N$354,3,FALSE)="","",VLOOKUP(AQ621,βοηθητικό!$J$2:$N$354,3,FALSE))</f>
        <v>_</v>
      </c>
      <c r="AS621" s="47"/>
      <c r="AT621" s="4" t="s">
        <v>16</v>
      </c>
      <c r="AU621" s="43" t="str">
        <f>IF(VLOOKUP(AT621,βοηθητικό!$J$2:$N$354,3,FALSE)="","",VLOOKUP(AT621,βοηθητικό!$J$2:$N$354,3,FALSE))</f>
        <v>_</v>
      </c>
      <c r="AV621" s="44"/>
      <c r="AW621" s="5" t="s">
        <v>16</v>
      </c>
      <c r="AX621" s="46" t="str">
        <f>IF(VLOOKUP(AW621,βοηθητικό!$J$2:$N$354,3,FALSE)="","",VLOOKUP(AW621,βοηθητικό!$J$2:$N$354,3,FALSE))</f>
        <v>_</v>
      </c>
      <c r="AY621" s="47"/>
      <c r="AZ621" s="4" t="s">
        <v>16</v>
      </c>
      <c r="BA621" s="43" t="str">
        <f>IF(VLOOKUP(AZ621,βοηθητικό!$J$2:$N$354,3,FALSE)="","",VLOOKUP(AZ621,βοηθητικό!$J$2:$N$354,3,FALSE))</f>
        <v>_</v>
      </c>
      <c r="BB621" s="44"/>
      <c r="BC621" s="45" t="s">
        <v>16</v>
      </c>
      <c r="BD621" s="46" t="str">
        <f>IF(VLOOKUP(BC621,βοηθητικό!$J$2:$N$354,3,FALSE)="","",VLOOKUP(BC621,βοηθητικό!$J$2:$N$354,3,FALSE))</f>
        <v>_</v>
      </c>
      <c r="BE621" s="47"/>
      <c r="BF621" s="42" t="s">
        <v>16</v>
      </c>
      <c r="BG621" s="43" t="str">
        <f>IF(VLOOKUP(BF621,βοηθητικό!$J$2:$N$354,3,FALSE)="","",VLOOKUP(BF621,βοηθητικό!$J$2:$N$354,3,FALSE))</f>
        <v>_</v>
      </c>
      <c r="BH621" s="44"/>
      <c r="BI621" s="45" t="s">
        <v>16</v>
      </c>
      <c r="BJ621" s="46" t="str">
        <f>IF(VLOOKUP(BI621,βοηθητικό!$J$2:$N$354,3,FALSE)="","",VLOOKUP(BI621,βοηθητικό!$J$2:$N$354,3,FALSE))</f>
        <v>_</v>
      </c>
      <c r="BK621" s="47"/>
      <c r="BL621" s="42" t="s">
        <v>16</v>
      </c>
      <c r="BM621" s="43" t="str">
        <f>IF(VLOOKUP(BL621,βοηθητικό!$J$2:$N$354,3,FALSE)="","",VLOOKUP(BL621,βοηθητικό!$J$2:$N$354,3,FALSE))</f>
        <v>_</v>
      </c>
      <c r="BN621" s="44"/>
      <c r="BO621" s="45" t="s">
        <v>16</v>
      </c>
      <c r="BP621" s="46" t="str">
        <f>IF(VLOOKUP(BO621,βοηθητικό!$J$2:$N$354,3,FALSE)="","",VLOOKUP(BO621,βοηθητικό!$J$2:$N$354,3,FALSE))</f>
        <v>_</v>
      </c>
      <c r="BQ621" s="47"/>
      <c r="BR621" s="42" t="s">
        <v>16</v>
      </c>
      <c r="BS621" s="43" t="str">
        <f>IF(VLOOKUP(BR621,βοηθητικό!$J$2:$N$354,3,FALSE)="","",VLOOKUP(BR621,βοηθητικό!$J$2:$N$354,3,FALSE))</f>
        <v>_</v>
      </c>
      <c r="BT621" s="44"/>
      <c r="BU621" s="45" t="s">
        <v>16</v>
      </c>
      <c r="BV621" s="46" t="str">
        <f>IF(VLOOKUP(BU621,βοηθητικό!$J$2:$N$354,3,FALSE)="","",VLOOKUP(BU621,βοηθητικό!$J$2:$N$354,3,FALSE))</f>
        <v>_</v>
      </c>
      <c r="BW621" s="47"/>
      <c r="BX621" s="42" t="s">
        <v>16</v>
      </c>
      <c r="BY621" s="43" t="str">
        <f>IF(VLOOKUP(BX621,βοηθητικό!$J$2:$N$354,3,FALSE)="","",VLOOKUP(BX621,βοηθητικό!$J$2:$N$354,3,FALSE))</f>
        <v>_</v>
      </c>
      <c r="BZ621" s="44"/>
      <c r="CA621" s="45" t="s">
        <v>16</v>
      </c>
      <c r="CB621" s="46" t="str">
        <f>IF(VLOOKUP(CA621,βοηθητικό!$J$2:$N$354,3,FALSE)="","",VLOOKUP(CA621,βοηθητικό!$J$2:$N$354,3,FALSE))</f>
        <v>_</v>
      </c>
      <c r="CC621" s="47"/>
      <c r="CD621" s="42" t="s">
        <v>16</v>
      </c>
      <c r="CE621" s="43" t="str">
        <f>IF(VLOOKUP(CD621,βοηθητικό!$J$2:$N$354,3,FALSE)="","",VLOOKUP(CD621,βοηθητικό!$J$2:$N$354,3,FALSE))</f>
        <v>_</v>
      </c>
      <c r="CF621" s="44"/>
      <c r="CG621" s="45" t="s">
        <v>16</v>
      </c>
      <c r="CH621" s="46" t="str">
        <f>IF(VLOOKUP(CG621,βοηθητικό!$J$2:$N$354,3,FALSE)="","",VLOOKUP(CG621,βοηθητικό!$J$2:$N$354,3,FALSE))</f>
        <v>_</v>
      </c>
      <c r="CI621" s="47"/>
      <c r="CJ621" s="42" t="s">
        <v>16</v>
      </c>
      <c r="CK621" s="43" t="str">
        <f>IF(VLOOKUP(CJ621,βοηθητικό!$J$2:$N$354,3,FALSE)="","",VLOOKUP(CJ621,βοηθητικό!$J$2:$N$354,3,FALSE))</f>
        <v>_</v>
      </c>
      <c r="CL621" s="44"/>
      <c r="CM621" s="45" t="s">
        <v>16</v>
      </c>
      <c r="CN621" s="46" t="str">
        <f>IF(VLOOKUP(CM621,βοηθητικό!$J$2:$N$354,3,FALSE)="","",VLOOKUP(CM621,βοηθητικό!$J$2:$N$354,3,FALSE))</f>
        <v>_</v>
      </c>
      <c r="CO621" s="47"/>
      <c r="CP621" s="42" t="s">
        <v>16</v>
      </c>
      <c r="CQ621" s="43" t="str">
        <f>IF(VLOOKUP(CP621,βοηθητικό!$J$2:$N$354,3,FALSE)="","",VLOOKUP(CP621,βοηθητικό!$J$2:$N$354,3,FALSE))</f>
        <v>_</v>
      </c>
      <c r="CR621" s="44"/>
      <c r="CS621" s="45" t="s">
        <v>16</v>
      </c>
      <c r="CT621" s="46" t="str">
        <f>IF(VLOOKUP(CS621,βοηθητικό!$J$2:$N$354,3,FALSE)="","",VLOOKUP(CS621,βοηθητικό!$J$2:$N$354,3,FALSE))</f>
        <v>_</v>
      </c>
      <c r="CU621" s="47"/>
    </row>
    <row r="622" spans="1:99" x14ac:dyDescent="0.25">
      <c r="A622" s="37">
        <f>--SUBTOTAL(3,$B$3:B621)</f>
        <v>198</v>
      </c>
      <c r="B622" s="2"/>
      <c r="C622" s="3"/>
      <c r="D622" s="55" t="s">
        <v>18</v>
      </c>
      <c r="E622" s="38" t="s">
        <v>16</v>
      </c>
      <c r="F622" s="38"/>
      <c r="G622" s="39" t="str">
        <f t="shared" si="29"/>
        <v>__</v>
      </c>
      <c r="H622" s="40" t="str">
        <f t="shared" si="30"/>
        <v>FALSE</v>
      </c>
      <c r="I622" s="41">
        <f t="shared" si="31"/>
        <v>0</v>
      </c>
      <c r="J622" s="4" t="s">
        <v>16</v>
      </c>
      <c r="K622" s="43" t="str">
        <f>IF(VLOOKUP(J622,βοηθητικό!$J$2:$N$354,3,FALSE)="","",VLOOKUP(J622,βοηθητικό!$J$2:$N$354,3,FALSE))</f>
        <v>_</v>
      </c>
      <c r="L622" s="44"/>
      <c r="M622" s="5" t="s">
        <v>16</v>
      </c>
      <c r="N622" s="46" t="str">
        <f>IF(VLOOKUP(M622,βοηθητικό!$J$2:$N$354,3,FALSE)="","",VLOOKUP(M622,βοηθητικό!$J$2:$N$354,3,FALSE))</f>
        <v>_</v>
      </c>
      <c r="O622" s="47"/>
      <c r="P622" s="4" t="s">
        <v>16</v>
      </c>
      <c r="Q622" s="43" t="str">
        <f>IF(VLOOKUP(P622,βοηθητικό!$J$2:$N$354,3,FALSE)="","",VLOOKUP(P622,βοηθητικό!$J$2:$N$354,3,FALSE))</f>
        <v>_</v>
      </c>
      <c r="R622" s="44"/>
      <c r="S622" s="5" t="s">
        <v>16</v>
      </c>
      <c r="T622" s="46" t="str">
        <f>IF(VLOOKUP(S622,βοηθητικό!$J$2:$N$354,3,FALSE)="","",VLOOKUP(S622,βοηθητικό!$J$2:$N$354,3,FALSE))</f>
        <v>_</v>
      </c>
      <c r="U622" s="47"/>
      <c r="V622" s="4" t="s">
        <v>16</v>
      </c>
      <c r="W622" s="43" t="str">
        <f>IF(VLOOKUP(V622,βοηθητικό!$J$2:$N$354,3,FALSE)="","",VLOOKUP(V622,βοηθητικό!$J$2:$N$354,3,FALSE))</f>
        <v>_</v>
      </c>
      <c r="X622" s="44"/>
      <c r="Y622" s="5" t="s">
        <v>16</v>
      </c>
      <c r="Z622" s="46" t="str">
        <f>IF(VLOOKUP(Y622,βοηθητικό!$J$2:$N$354,3,FALSE)="","",VLOOKUP(Y622,βοηθητικό!$J$2:$N$354,3,FALSE))</f>
        <v>_</v>
      </c>
      <c r="AA622" s="47"/>
      <c r="AB622" s="4" t="s">
        <v>16</v>
      </c>
      <c r="AC622" s="43" t="str">
        <f>IF(VLOOKUP(AB622,βοηθητικό!$J$2:$N$354,3,FALSE)="","",VLOOKUP(AB622,βοηθητικό!$J$2:$N$354,3,FALSE))</f>
        <v>_</v>
      </c>
      <c r="AD622" s="44"/>
      <c r="AE622" s="5" t="s">
        <v>16</v>
      </c>
      <c r="AF622" s="46" t="str">
        <f>IF(VLOOKUP(AE622,βοηθητικό!$J$2:$N$354,3,FALSE)="","",VLOOKUP(AE622,βοηθητικό!$J$2:$N$354,3,FALSE))</f>
        <v>_</v>
      </c>
      <c r="AG622" s="47"/>
      <c r="AH622" s="4" t="s">
        <v>16</v>
      </c>
      <c r="AI622" s="43" t="str">
        <f>IF(VLOOKUP(AH622,βοηθητικό!$J$2:$N$354,3,FALSE)="","",VLOOKUP(AH622,βοηθητικό!$J$2:$N$354,3,FALSE))</f>
        <v>_</v>
      </c>
      <c r="AJ622" s="44"/>
      <c r="AK622" s="5" t="s">
        <v>16</v>
      </c>
      <c r="AL622" s="46" t="str">
        <f>IF(VLOOKUP(AK622,βοηθητικό!$J$2:$N$354,3,FALSE)="","",VLOOKUP(AK622,βοηθητικό!$J$2:$N$354,3,FALSE))</f>
        <v>_</v>
      </c>
      <c r="AM622" s="47"/>
      <c r="AN622" s="4" t="s">
        <v>16</v>
      </c>
      <c r="AO622" s="43" t="str">
        <f>IF(VLOOKUP(AN622,βοηθητικό!$J$2:$N$354,3,FALSE)="","",VLOOKUP(AN622,βοηθητικό!$J$2:$N$354,3,FALSE))</f>
        <v>_</v>
      </c>
      <c r="AP622" s="44"/>
      <c r="AQ622" s="5" t="s">
        <v>16</v>
      </c>
      <c r="AR622" s="46" t="str">
        <f>IF(VLOOKUP(AQ622,βοηθητικό!$J$2:$N$354,3,FALSE)="","",VLOOKUP(AQ622,βοηθητικό!$J$2:$N$354,3,FALSE))</f>
        <v>_</v>
      </c>
      <c r="AS622" s="47"/>
      <c r="AT622" s="4" t="s">
        <v>16</v>
      </c>
      <c r="AU622" s="43" t="str">
        <f>IF(VLOOKUP(AT622,βοηθητικό!$J$2:$N$354,3,FALSE)="","",VLOOKUP(AT622,βοηθητικό!$J$2:$N$354,3,FALSE))</f>
        <v>_</v>
      </c>
      <c r="AV622" s="44"/>
      <c r="AW622" s="5" t="s">
        <v>16</v>
      </c>
      <c r="AX622" s="46" t="str">
        <f>IF(VLOOKUP(AW622,βοηθητικό!$J$2:$N$354,3,FALSE)="","",VLOOKUP(AW622,βοηθητικό!$J$2:$N$354,3,FALSE))</f>
        <v>_</v>
      </c>
      <c r="AY622" s="47"/>
      <c r="AZ622" s="4" t="s">
        <v>16</v>
      </c>
      <c r="BA622" s="43" t="str">
        <f>IF(VLOOKUP(AZ622,βοηθητικό!$J$2:$N$354,3,FALSE)="","",VLOOKUP(AZ622,βοηθητικό!$J$2:$N$354,3,FALSE))</f>
        <v>_</v>
      </c>
      <c r="BB622" s="44"/>
      <c r="BC622" s="45" t="s">
        <v>16</v>
      </c>
      <c r="BD622" s="46" t="str">
        <f>IF(VLOOKUP(BC622,βοηθητικό!$J$2:$N$354,3,FALSE)="","",VLOOKUP(BC622,βοηθητικό!$J$2:$N$354,3,FALSE))</f>
        <v>_</v>
      </c>
      <c r="BE622" s="47"/>
      <c r="BF622" s="42" t="s">
        <v>16</v>
      </c>
      <c r="BG622" s="43" t="str">
        <f>IF(VLOOKUP(BF622,βοηθητικό!$J$2:$N$354,3,FALSE)="","",VLOOKUP(BF622,βοηθητικό!$J$2:$N$354,3,FALSE))</f>
        <v>_</v>
      </c>
      <c r="BH622" s="44"/>
      <c r="BI622" s="45" t="s">
        <v>16</v>
      </c>
      <c r="BJ622" s="46" t="str">
        <f>IF(VLOOKUP(BI622,βοηθητικό!$J$2:$N$354,3,FALSE)="","",VLOOKUP(BI622,βοηθητικό!$J$2:$N$354,3,FALSE))</f>
        <v>_</v>
      </c>
      <c r="BK622" s="47"/>
      <c r="BL622" s="42" t="s">
        <v>16</v>
      </c>
      <c r="BM622" s="43" t="str">
        <f>IF(VLOOKUP(BL622,βοηθητικό!$J$2:$N$354,3,FALSE)="","",VLOOKUP(BL622,βοηθητικό!$J$2:$N$354,3,FALSE))</f>
        <v>_</v>
      </c>
      <c r="BN622" s="44"/>
      <c r="BO622" s="45" t="s">
        <v>16</v>
      </c>
      <c r="BP622" s="46" t="str">
        <f>IF(VLOOKUP(BO622,βοηθητικό!$J$2:$N$354,3,FALSE)="","",VLOOKUP(BO622,βοηθητικό!$J$2:$N$354,3,FALSE))</f>
        <v>_</v>
      </c>
      <c r="BQ622" s="47"/>
      <c r="BR622" s="42" t="s">
        <v>16</v>
      </c>
      <c r="BS622" s="43" t="str">
        <f>IF(VLOOKUP(BR622,βοηθητικό!$J$2:$N$354,3,FALSE)="","",VLOOKUP(BR622,βοηθητικό!$J$2:$N$354,3,FALSE))</f>
        <v>_</v>
      </c>
      <c r="BT622" s="44"/>
      <c r="BU622" s="45" t="s">
        <v>16</v>
      </c>
      <c r="BV622" s="46" t="str">
        <f>IF(VLOOKUP(BU622,βοηθητικό!$J$2:$N$354,3,FALSE)="","",VLOOKUP(BU622,βοηθητικό!$J$2:$N$354,3,FALSE))</f>
        <v>_</v>
      </c>
      <c r="BW622" s="47"/>
      <c r="BX622" s="42" t="s">
        <v>16</v>
      </c>
      <c r="BY622" s="43" t="str">
        <f>IF(VLOOKUP(BX622,βοηθητικό!$J$2:$N$354,3,FALSE)="","",VLOOKUP(BX622,βοηθητικό!$J$2:$N$354,3,FALSE))</f>
        <v>_</v>
      </c>
      <c r="BZ622" s="44"/>
      <c r="CA622" s="45" t="s">
        <v>16</v>
      </c>
      <c r="CB622" s="46" t="str">
        <f>IF(VLOOKUP(CA622,βοηθητικό!$J$2:$N$354,3,FALSE)="","",VLOOKUP(CA622,βοηθητικό!$J$2:$N$354,3,FALSE))</f>
        <v>_</v>
      </c>
      <c r="CC622" s="47"/>
      <c r="CD622" s="42" t="s">
        <v>16</v>
      </c>
      <c r="CE622" s="43" t="str">
        <f>IF(VLOOKUP(CD622,βοηθητικό!$J$2:$N$354,3,FALSE)="","",VLOOKUP(CD622,βοηθητικό!$J$2:$N$354,3,FALSE))</f>
        <v>_</v>
      </c>
      <c r="CF622" s="44"/>
      <c r="CG622" s="45" t="s">
        <v>16</v>
      </c>
      <c r="CH622" s="46" t="str">
        <f>IF(VLOOKUP(CG622,βοηθητικό!$J$2:$N$354,3,FALSE)="","",VLOOKUP(CG622,βοηθητικό!$J$2:$N$354,3,FALSE))</f>
        <v>_</v>
      </c>
      <c r="CI622" s="47"/>
      <c r="CJ622" s="42" t="s">
        <v>16</v>
      </c>
      <c r="CK622" s="43" t="str">
        <f>IF(VLOOKUP(CJ622,βοηθητικό!$J$2:$N$354,3,FALSE)="","",VLOOKUP(CJ622,βοηθητικό!$J$2:$N$354,3,FALSE))</f>
        <v>_</v>
      </c>
      <c r="CL622" s="44"/>
      <c r="CM622" s="45" t="s">
        <v>16</v>
      </c>
      <c r="CN622" s="46" t="str">
        <f>IF(VLOOKUP(CM622,βοηθητικό!$J$2:$N$354,3,FALSE)="","",VLOOKUP(CM622,βοηθητικό!$J$2:$N$354,3,FALSE))</f>
        <v>_</v>
      </c>
      <c r="CO622" s="47"/>
      <c r="CP622" s="42" t="s">
        <v>16</v>
      </c>
      <c r="CQ622" s="43" t="str">
        <f>IF(VLOOKUP(CP622,βοηθητικό!$J$2:$N$354,3,FALSE)="","",VLOOKUP(CP622,βοηθητικό!$J$2:$N$354,3,FALSE))</f>
        <v>_</v>
      </c>
      <c r="CR622" s="44"/>
      <c r="CS622" s="45" t="s">
        <v>16</v>
      </c>
      <c r="CT622" s="46" t="str">
        <f>IF(VLOOKUP(CS622,βοηθητικό!$J$2:$N$354,3,FALSE)="","",VLOOKUP(CS622,βοηθητικό!$J$2:$N$354,3,FALSE))</f>
        <v>_</v>
      </c>
      <c r="CU622" s="47"/>
    </row>
    <row r="623" spans="1:99" x14ac:dyDescent="0.25">
      <c r="A623" s="37">
        <f>--SUBTOTAL(3,$B$3:B622)</f>
        <v>198</v>
      </c>
      <c r="B623" s="2"/>
      <c r="C623" s="3"/>
      <c r="D623" s="55" t="s">
        <v>18</v>
      </c>
      <c r="E623" s="38" t="s">
        <v>16</v>
      </c>
      <c r="F623" s="38"/>
      <c r="G623" s="39" t="str">
        <f t="shared" si="29"/>
        <v>__</v>
      </c>
      <c r="H623" s="40" t="str">
        <f t="shared" si="30"/>
        <v>FALSE</v>
      </c>
      <c r="I623" s="41">
        <f t="shared" si="31"/>
        <v>0</v>
      </c>
      <c r="J623" s="4" t="s">
        <v>16</v>
      </c>
      <c r="K623" s="43" t="str">
        <f>IF(VLOOKUP(J623,βοηθητικό!$J$2:$N$354,3,FALSE)="","",VLOOKUP(J623,βοηθητικό!$J$2:$N$354,3,FALSE))</f>
        <v>_</v>
      </c>
      <c r="L623" s="44"/>
      <c r="M623" s="5" t="s">
        <v>16</v>
      </c>
      <c r="N623" s="46" t="str">
        <f>IF(VLOOKUP(M623,βοηθητικό!$J$2:$N$354,3,FALSE)="","",VLOOKUP(M623,βοηθητικό!$J$2:$N$354,3,FALSE))</f>
        <v>_</v>
      </c>
      <c r="O623" s="47"/>
      <c r="P623" s="4" t="s">
        <v>16</v>
      </c>
      <c r="Q623" s="43" t="str">
        <f>IF(VLOOKUP(P623,βοηθητικό!$J$2:$N$354,3,FALSE)="","",VLOOKUP(P623,βοηθητικό!$J$2:$N$354,3,FALSE))</f>
        <v>_</v>
      </c>
      <c r="R623" s="44"/>
      <c r="S623" s="5" t="s">
        <v>16</v>
      </c>
      <c r="T623" s="46" t="str">
        <f>IF(VLOOKUP(S623,βοηθητικό!$J$2:$N$354,3,FALSE)="","",VLOOKUP(S623,βοηθητικό!$J$2:$N$354,3,FALSE))</f>
        <v>_</v>
      </c>
      <c r="U623" s="47"/>
      <c r="V623" s="4" t="s">
        <v>16</v>
      </c>
      <c r="W623" s="43" t="str">
        <f>IF(VLOOKUP(V623,βοηθητικό!$J$2:$N$354,3,FALSE)="","",VLOOKUP(V623,βοηθητικό!$J$2:$N$354,3,FALSE))</f>
        <v>_</v>
      </c>
      <c r="X623" s="44"/>
      <c r="Y623" s="5" t="s">
        <v>16</v>
      </c>
      <c r="Z623" s="46" t="str">
        <f>IF(VLOOKUP(Y623,βοηθητικό!$J$2:$N$354,3,FALSE)="","",VLOOKUP(Y623,βοηθητικό!$J$2:$N$354,3,FALSE))</f>
        <v>_</v>
      </c>
      <c r="AA623" s="47"/>
      <c r="AB623" s="4" t="s">
        <v>16</v>
      </c>
      <c r="AC623" s="43" t="str">
        <f>IF(VLOOKUP(AB623,βοηθητικό!$J$2:$N$354,3,FALSE)="","",VLOOKUP(AB623,βοηθητικό!$J$2:$N$354,3,FALSE))</f>
        <v>_</v>
      </c>
      <c r="AD623" s="44"/>
      <c r="AE623" s="5" t="s">
        <v>16</v>
      </c>
      <c r="AF623" s="46" t="str">
        <f>IF(VLOOKUP(AE623,βοηθητικό!$J$2:$N$354,3,FALSE)="","",VLOOKUP(AE623,βοηθητικό!$J$2:$N$354,3,FALSE))</f>
        <v>_</v>
      </c>
      <c r="AG623" s="47"/>
      <c r="AH623" s="4" t="s">
        <v>16</v>
      </c>
      <c r="AI623" s="43" t="str">
        <f>IF(VLOOKUP(AH623,βοηθητικό!$J$2:$N$354,3,FALSE)="","",VLOOKUP(AH623,βοηθητικό!$J$2:$N$354,3,FALSE))</f>
        <v>_</v>
      </c>
      <c r="AJ623" s="44"/>
      <c r="AK623" s="5" t="s">
        <v>16</v>
      </c>
      <c r="AL623" s="46" t="str">
        <f>IF(VLOOKUP(AK623,βοηθητικό!$J$2:$N$354,3,FALSE)="","",VLOOKUP(AK623,βοηθητικό!$J$2:$N$354,3,FALSE))</f>
        <v>_</v>
      </c>
      <c r="AM623" s="47"/>
      <c r="AN623" s="4" t="s">
        <v>16</v>
      </c>
      <c r="AO623" s="43" t="str">
        <f>IF(VLOOKUP(AN623,βοηθητικό!$J$2:$N$354,3,FALSE)="","",VLOOKUP(AN623,βοηθητικό!$J$2:$N$354,3,FALSE))</f>
        <v>_</v>
      </c>
      <c r="AP623" s="44"/>
      <c r="AQ623" s="5" t="s">
        <v>16</v>
      </c>
      <c r="AR623" s="46" t="str">
        <f>IF(VLOOKUP(AQ623,βοηθητικό!$J$2:$N$354,3,FALSE)="","",VLOOKUP(AQ623,βοηθητικό!$J$2:$N$354,3,FALSE))</f>
        <v>_</v>
      </c>
      <c r="AS623" s="47"/>
      <c r="AT623" s="4" t="s">
        <v>16</v>
      </c>
      <c r="AU623" s="43" t="str">
        <f>IF(VLOOKUP(AT623,βοηθητικό!$J$2:$N$354,3,FALSE)="","",VLOOKUP(AT623,βοηθητικό!$J$2:$N$354,3,FALSE))</f>
        <v>_</v>
      </c>
      <c r="AV623" s="44"/>
      <c r="AW623" s="5" t="s">
        <v>16</v>
      </c>
      <c r="AX623" s="46" t="str">
        <f>IF(VLOOKUP(AW623,βοηθητικό!$J$2:$N$354,3,FALSE)="","",VLOOKUP(AW623,βοηθητικό!$J$2:$N$354,3,FALSE))</f>
        <v>_</v>
      </c>
      <c r="AY623" s="47"/>
      <c r="AZ623" s="4" t="s">
        <v>16</v>
      </c>
      <c r="BA623" s="43" t="str">
        <f>IF(VLOOKUP(AZ623,βοηθητικό!$J$2:$N$354,3,FALSE)="","",VLOOKUP(AZ623,βοηθητικό!$J$2:$N$354,3,FALSE))</f>
        <v>_</v>
      </c>
      <c r="BB623" s="44"/>
      <c r="BC623" s="45" t="s">
        <v>16</v>
      </c>
      <c r="BD623" s="46" t="str">
        <f>IF(VLOOKUP(BC623,βοηθητικό!$J$2:$N$354,3,FALSE)="","",VLOOKUP(BC623,βοηθητικό!$J$2:$N$354,3,FALSE))</f>
        <v>_</v>
      </c>
      <c r="BE623" s="47"/>
      <c r="BF623" s="42" t="s">
        <v>16</v>
      </c>
      <c r="BG623" s="43" t="str">
        <f>IF(VLOOKUP(BF623,βοηθητικό!$J$2:$N$354,3,FALSE)="","",VLOOKUP(BF623,βοηθητικό!$J$2:$N$354,3,FALSE))</f>
        <v>_</v>
      </c>
      <c r="BH623" s="44"/>
      <c r="BI623" s="45" t="s">
        <v>16</v>
      </c>
      <c r="BJ623" s="46" t="str">
        <f>IF(VLOOKUP(BI623,βοηθητικό!$J$2:$N$354,3,FALSE)="","",VLOOKUP(BI623,βοηθητικό!$J$2:$N$354,3,FALSE))</f>
        <v>_</v>
      </c>
      <c r="BK623" s="47"/>
      <c r="BL623" s="42" t="s">
        <v>16</v>
      </c>
      <c r="BM623" s="43" t="str">
        <f>IF(VLOOKUP(BL623,βοηθητικό!$J$2:$N$354,3,FALSE)="","",VLOOKUP(BL623,βοηθητικό!$J$2:$N$354,3,FALSE))</f>
        <v>_</v>
      </c>
      <c r="BN623" s="44"/>
      <c r="BO623" s="45" t="s">
        <v>16</v>
      </c>
      <c r="BP623" s="46" t="str">
        <f>IF(VLOOKUP(BO623,βοηθητικό!$J$2:$N$354,3,FALSE)="","",VLOOKUP(BO623,βοηθητικό!$J$2:$N$354,3,FALSE))</f>
        <v>_</v>
      </c>
      <c r="BQ623" s="47"/>
      <c r="BR623" s="42" t="s">
        <v>16</v>
      </c>
      <c r="BS623" s="43" t="str">
        <f>IF(VLOOKUP(BR623,βοηθητικό!$J$2:$N$354,3,FALSE)="","",VLOOKUP(BR623,βοηθητικό!$J$2:$N$354,3,FALSE))</f>
        <v>_</v>
      </c>
      <c r="BT623" s="44"/>
      <c r="BU623" s="45" t="s">
        <v>16</v>
      </c>
      <c r="BV623" s="46" t="str">
        <f>IF(VLOOKUP(BU623,βοηθητικό!$J$2:$N$354,3,FALSE)="","",VLOOKUP(BU623,βοηθητικό!$J$2:$N$354,3,FALSE))</f>
        <v>_</v>
      </c>
      <c r="BW623" s="47"/>
      <c r="BX623" s="42" t="s">
        <v>16</v>
      </c>
      <c r="BY623" s="43" t="str">
        <f>IF(VLOOKUP(BX623,βοηθητικό!$J$2:$N$354,3,FALSE)="","",VLOOKUP(BX623,βοηθητικό!$J$2:$N$354,3,FALSE))</f>
        <v>_</v>
      </c>
      <c r="BZ623" s="44"/>
      <c r="CA623" s="45" t="s">
        <v>16</v>
      </c>
      <c r="CB623" s="46" t="str">
        <f>IF(VLOOKUP(CA623,βοηθητικό!$J$2:$N$354,3,FALSE)="","",VLOOKUP(CA623,βοηθητικό!$J$2:$N$354,3,FALSE))</f>
        <v>_</v>
      </c>
      <c r="CC623" s="47"/>
      <c r="CD623" s="42" t="s">
        <v>16</v>
      </c>
      <c r="CE623" s="43" t="str">
        <f>IF(VLOOKUP(CD623,βοηθητικό!$J$2:$N$354,3,FALSE)="","",VLOOKUP(CD623,βοηθητικό!$J$2:$N$354,3,FALSE))</f>
        <v>_</v>
      </c>
      <c r="CF623" s="44"/>
      <c r="CG623" s="45" t="s">
        <v>16</v>
      </c>
      <c r="CH623" s="46" t="str">
        <f>IF(VLOOKUP(CG623,βοηθητικό!$J$2:$N$354,3,FALSE)="","",VLOOKUP(CG623,βοηθητικό!$J$2:$N$354,3,FALSE))</f>
        <v>_</v>
      </c>
      <c r="CI623" s="47"/>
      <c r="CJ623" s="42" t="s">
        <v>16</v>
      </c>
      <c r="CK623" s="43" t="str">
        <f>IF(VLOOKUP(CJ623,βοηθητικό!$J$2:$N$354,3,FALSE)="","",VLOOKUP(CJ623,βοηθητικό!$J$2:$N$354,3,FALSE))</f>
        <v>_</v>
      </c>
      <c r="CL623" s="44"/>
      <c r="CM623" s="45" t="s">
        <v>16</v>
      </c>
      <c r="CN623" s="46" t="str">
        <f>IF(VLOOKUP(CM623,βοηθητικό!$J$2:$N$354,3,FALSE)="","",VLOOKUP(CM623,βοηθητικό!$J$2:$N$354,3,FALSE))</f>
        <v>_</v>
      </c>
      <c r="CO623" s="47"/>
      <c r="CP623" s="42" t="s">
        <v>16</v>
      </c>
      <c r="CQ623" s="43" t="str">
        <f>IF(VLOOKUP(CP623,βοηθητικό!$J$2:$N$354,3,FALSE)="","",VLOOKUP(CP623,βοηθητικό!$J$2:$N$354,3,FALSE))</f>
        <v>_</v>
      </c>
      <c r="CR623" s="44"/>
      <c r="CS623" s="45" t="s">
        <v>16</v>
      </c>
      <c r="CT623" s="46" t="str">
        <f>IF(VLOOKUP(CS623,βοηθητικό!$J$2:$N$354,3,FALSE)="","",VLOOKUP(CS623,βοηθητικό!$J$2:$N$354,3,FALSE))</f>
        <v>_</v>
      </c>
      <c r="CU623" s="47"/>
    </row>
    <row r="624" spans="1:99" x14ac:dyDescent="0.25">
      <c r="A624" s="37">
        <f>--SUBTOTAL(3,$B$3:B623)</f>
        <v>198</v>
      </c>
      <c r="B624" s="2"/>
      <c r="C624" s="3"/>
      <c r="D624" s="55" t="s">
        <v>18</v>
      </c>
      <c r="E624" s="38" t="s">
        <v>16</v>
      </c>
      <c r="F624" s="38"/>
      <c r="G624" s="39" t="str">
        <f t="shared" si="29"/>
        <v>__</v>
      </c>
      <c r="H624" s="40" t="str">
        <f t="shared" si="30"/>
        <v>FALSE</v>
      </c>
      <c r="I624" s="41">
        <f t="shared" si="31"/>
        <v>0</v>
      </c>
      <c r="J624" s="4" t="s">
        <v>16</v>
      </c>
      <c r="K624" s="43" t="str">
        <f>IF(VLOOKUP(J624,βοηθητικό!$J$2:$N$354,3,FALSE)="","",VLOOKUP(J624,βοηθητικό!$J$2:$N$354,3,FALSE))</f>
        <v>_</v>
      </c>
      <c r="L624" s="44"/>
      <c r="M624" s="5" t="s">
        <v>16</v>
      </c>
      <c r="N624" s="46" t="str">
        <f>IF(VLOOKUP(M624,βοηθητικό!$J$2:$N$354,3,FALSE)="","",VLOOKUP(M624,βοηθητικό!$J$2:$N$354,3,FALSE))</f>
        <v>_</v>
      </c>
      <c r="O624" s="47"/>
      <c r="P624" s="4" t="s">
        <v>16</v>
      </c>
      <c r="Q624" s="43" t="str">
        <f>IF(VLOOKUP(P624,βοηθητικό!$J$2:$N$354,3,FALSE)="","",VLOOKUP(P624,βοηθητικό!$J$2:$N$354,3,FALSE))</f>
        <v>_</v>
      </c>
      <c r="R624" s="44"/>
      <c r="S624" s="5" t="s">
        <v>16</v>
      </c>
      <c r="T624" s="46" t="str">
        <f>IF(VLOOKUP(S624,βοηθητικό!$J$2:$N$354,3,FALSE)="","",VLOOKUP(S624,βοηθητικό!$J$2:$N$354,3,FALSE))</f>
        <v>_</v>
      </c>
      <c r="U624" s="47"/>
      <c r="V624" s="4" t="s">
        <v>16</v>
      </c>
      <c r="W624" s="43" t="str">
        <f>IF(VLOOKUP(V624,βοηθητικό!$J$2:$N$354,3,FALSE)="","",VLOOKUP(V624,βοηθητικό!$J$2:$N$354,3,FALSE))</f>
        <v>_</v>
      </c>
      <c r="X624" s="44"/>
      <c r="Y624" s="5" t="s">
        <v>16</v>
      </c>
      <c r="Z624" s="46" t="str">
        <f>IF(VLOOKUP(Y624,βοηθητικό!$J$2:$N$354,3,FALSE)="","",VLOOKUP(Y624,βοηθητικό!$J$2:$N$354,3,FALSE))</f>
        <v>_</v>
      </c>
      <c r="AA624" s="47"/>
      <c r="AB624" s="4" t="s">
        <v>16</v>
      </c>
      <c r="AC624" s="43" t="str">
        <f>IF(VLOOKUP(AB624,βοηθητικό!$J$2:$N$354,3,FALSE)="","",VLOOKUP(AB624,βοηθητικό!$J$2:$N$354,3,FALSE))</f>
        <v>_</v>
      </c>
      <c r="AD624" s="44"/>
      <c r="AE624" s="5" t="s">
        <v>16</v>
      </c>
      <c r="AF624" s="46" t="str">
        <f>IF(VLOOKUP(AE624,βοηθητικό!$J$2:$N$354,3,FALSE)="","",VLOOKUP(AE624,βοηθητικό!$J$2:$N$354,3,FALSE))</f>
        <v>_</v>
      </c>
      <c r="AG624" s="47"/>
      <c r="AH624" s="4" t="s">
        <v>16</v>
      </c>
      <c r="AI624" s="43" t="str">
        <f>IF(VLOOKUP(AH624,βοηθητικό!$J$2:$N$354,3,FALSE)="","",VLOOKUP(AH624,βοηθητικό!$J$2:$N$354,3,FALSE))</f>
        <v>_</v>
      </c>
      <c r="AJ624" s="44"/>
      <c r="AK624" s="5" t="s">
        <v>16</v>
      </c>
      <c r="AL624" s="46" t="str">
        <f>IF(VLOOKUP(AK624,βοηθητικό!$J$2:$N$354,3,FALSE)="","",VLOOKUP(AK624,βοηθητικό!$J$2:$N$354,3,FALSE))</f>
        <v>_</v>
      </c>
      <c r="AM624" s="47"/>
      <c r="AN624" s="4" t="s">
        <v>16</v>
      </c>
      <c r="AO624" s="43" t="str">
        <f>IF(VLOOKUP(AN624,βοηθητικό!$J$2:$N$354,3,FALSE)="","",VLOOKUP(AN624,βοηθητικό!$J$2:$N$354,3,FALSE))</f>
        <v>_</v>
      </c>
      <c r="AP624" s="44"/>
      <c r="AQ624" s="5" t="s">
        <v>16</v>
      </c>
      <c r="AR624" s="46" t="str">
        <f>IF(VLOOKUP(AQ624,βοηθητικό!$J$2:$N$354,3,FALSE)="","",VLOOKUP(AQ624,βοηθητικό!$J$2:$N$354,3,FALSE))</f>
        <v>_</v>
      </c>
      <c r="AS624" s="47"/>
      <c r="AT624" s="4" t="s">
        <v>16</v>
      </c>
      <c r="AU624" s="43" t="str">
        <f>IF(VLOOKUP(AT624,βοηθητικό!$J$2:$N$354,3,FALSE)="","",VLOOKUP(AT624,βοηθητικό!$J$2:$N$354,3,FALSE))</f>
        <v>_</v>
      </c>
      <c r="AV624" s="44"/>
      <c r="AW624" s="5" t="s">
        <v>16</v>
      </c>
      <c r="AX624" s="46" t="str">
        <f>IF(VLOOKUP(AW624,βοηθητικό!$J$2:$N$354,3,FALSE)="","",VLOOKUP(AW624,βοηθητικό!$J$2:$N$354,3,FALSE))</f>
        <v>_</v>
      </c>
      <c r="AY624" s="47"/>
      <c r="AZ624" s="4" t="s">
        <v>16</v>
      </c>
      <c r="BA624" s="43" t="str">
        <f>IF(VLOOKUP(AZ624,βοηθητικό!$J$2:$N$354,3,FALSE)="","",VLOOKUP(AZ624,βοηθητικό!$J$2:$N$354,3,FALSE))</f>
        <v>_</v>
      </c>
      <c r="BB624" s="44"/>
      <c r="BC624" s="45" t="s">
        <v>16</v>
      </c>
      <c r="BD624" s="46" t="str">
        <f>IF(VLOOKUP(BC624,βοηθητικό!$J$2:$N$354,3,FALSE)="","",VLOOKUP(BC624,βοηθητικό!$J$2:$N$354,3,FALSE))</f>
        <v>_</v>
      </c>
      <c r="BE624" s="47"/>
      <c r="BF624" s="42" t="s">
        <v>16</v>
      </c>
      <c r="BG624" s="43" t="str">
        <f>IF(VLOOKUP(BF624,βοηθητικό!$J$2:$N$354,3,FALSE)="","",VLOOKUP(BF624,βοηθητικό!$J$2:$N$354,3,FALSE))</f>
        <v>_</v>
      </c>
      <c r="BH624" s="44"/>
      <c r="BI624" s="45" t="s">
        <v>16</v>
      </c>
      <c r="BJ624" s="46" t="str">
        <f>IF(VLOOKUP(BI624,βοηθητικό!$J$2:$N$354,3,FALSE)="","",VLOOKUP(BI624,βοηθητικό!$J$2:$N$354,3,FALSE))</f>
        <v>_</v>
      </c>
      <c r="BK624" s="47"/>
      <c r="BL624" s="42" t="s">
        <v>16</v>
      </c>
      <c r="BM624" s="43" t="str">
        <f>IF(VLOOKUP(BL624,βοηθητικό!$J$2:$N$354,3,FALSE)="","",VLOOKUP(BL624,βοηθητικό!$J$2:$N$354,3,FALSE))</f>
        <v>_</v>
      </c>
      <c r="BN624" s="44"/>
      <c r="BO624" s="45" t="s">
        <v>16</v>
      </c>
      <c r="BP624" s="46" t="str">
        <f>IF(VLOOKUP(BO624,βοηθητικό!$J$2:$N$354,3,FALSE)="","",VLOOKUP(BO624,βοηθητικό!$J$2:$N$354,3,FALSE))</f>
        <v>_</v>
      </c>
      <c r="BQ624" s="47"/>
      <c r="BR624" s="42" t="s">
        <v>16</v>
      </c>
      <c r="BS624" s="43" t="str">
        <f>IF(VLOOKUP(BR624,βοηθητικό!$J$2:$N$354,3,FALSE)="","",VLOOKUP(BR624,βοηθητικό!$J$2:$N$354,3,FALSE))</f>
        <v>_</v>
      </c>
      <c r="BT624" s="44"/>
      <c r="BU624" s="45" t="s">
        <v>16</v>
      </c>
      <c r="BV624" s="46" t="str">
        <f>IF(VLOOKUP(BU624,βοηθητικό!$J$2:$N$354,3,FALSE)="","",VLOOKUP(BU624,βοηθητικό!$J$2:$N$354,3,FALSE))</f>
        <v>_</v>
      </c>
      <c r="BW624" s="47"/>
      <c r="BX624" s="42" t="s">
        <v>16</v>
      </c>
      <c r="BY624" s="43" t="str">
        <f>IF(VLOOKUP(BX624,βοηθητικό!$J$2:$N$354,3,FALSE)="","",VLOOKUP(BX624,βοηθητικό!$J$2:$N$354,3,FALSE))</f>
        <v>_</v>
      </c>
      <c r="BZ624" s="44"/>
      <c r="CA624" s="45" t="s">
        <v>16</v>
      </c>
      <c r="CB624" s="46" t="str">
        <f>IF(VLOOKUP(CA624,βοηθητικό!$J$2:$N$354,3,FALSE)="","",VLOOKUP(CA624,βοηθητικό!$J$2:$N$354,3,FALSE))</f>
        <v>_</v>
      </c>
      <c r="CC624" s="47"/>
      <c r="CD624" s="42" t="s">
        <v>16</v>
      </c>
      <c r="CE624" s="43" t="str">
        <f>IF(VLOOKUP(CD624,βοηθητικό!$J$2:$N$354,3,FALSE)="","",VLOOKUP(CD624,βοηθητικό!$J$2:$N$354,3,FALSE))</f>
        <v>_</v>
      </c>
      <c r="CF624" s="44"/>
      <c r="CG624" s="45" t="s">
        <v>16</v>
      </c>
      <c r="CH624" s="46" t="str">
        <f>IF(VLOOKUP(CG624,βοηθητικό!$J$2:$N$354,3,FALSE)="","",VLOOKUP(CG624,βοηθητικό!$J$2:$N$354,3,FALSE))</f>
        <v>_</v>
      </c>
      <c r="CI624" s="47"/>
      <c r="CJ624" s="42" t="s">
        <v>16</v>
      </c>
      <c r="CK624" s="43" t="str">
        <f>IF(VLOOKUP(CJ624,βοηθητικό!$J$2:$N$354,3,FALSE)="","",VLOOKUP(CJ624,βοηθητικό!$J$2:$N$354,3,FALSE))</f>
        <v>_</v>
      </c>
      <c r="CL624" s="44"/>
      <c r="CM624" s="45" t="s">
        <v>16</v>
      </c>
      <c r="CN624" s="46" t="str">
        <f>IF(VLOOKUP(CM624,βοηθητικό!$J$2:$N$354,3,FALSE)="","",VLOOKUP(CM624,βοηθητικό!$J$2:$N$354,3,FALSE))</f>
        <v>_</v>
      </c>
      <c r="CO624" s="47"/>
      <c r="CP624" s="42" t="s">
        <v>16</v>
      </c>
      <c r="CQ624" s="43" t="str">
        <f>IF(VLOOKUP(CP624,βοηθητικό!$J$2:$N$354,3,FALSE)="","",VLOOKUP(CP624,βοηθητικό!$J$2:$N$354,3,FALSE))</f>
        <v>_</v>
      </c>
      <c r="CR624" s="44"/>
      <c r="CS624" s="45" t="s">
        <v>16</v>
      </c>
      <c r="CT624" s="46" t="str">
        <f>IF(VLOOKUP(CS624,βοηθητικό!$J$2:$N$354,3,FALSE)="","",VLOOKUP(CS624,βοηθητικό!$J$2:$N$354,3,FALSE))</f>
        <v>_</v>
      </c>
      <c r="CU624" s="47"/>
    </row>
    <row r="625" spans="1:99" x14ac:dyDescent="0.25">
      <c r="A625" s="37">
        <f>--SUBTOTAL(3,$B$3:B624)</f>
        <v>198</v>
      </c>
      <c r="B625" s="2"/>
      <c r="C625" s="3"/>
      <c r="D625" s="55" t="s">
        <v>18</v>
      </c>
      <c r="E625" s="38" t="s">
        <v>16</v>
      </c>
      <c r="F625" s="38"/>
      <c r="G625" s="39" t="str">
        <f t="shared" si="29"/>
        <v>__</v>
      </c>
      <c r="H625" s="40" t="str">
        <f t="shared" si="30"/>
        <v>FALSE</v>
      </c>
      <c r="I625" s="41">
        <f t="shared" si="31"/>
        <v>0</v>
      </c>
      <c r="J625" s="4" t="s">
        <v>16</v>
      </c>
      <c r="K625" s="43" t="str">
        <f>IF(VLOOKUP(J625,βοηθητικό!$J$2:$N$354,3,FALSE)="","",VLOOKUP(J625,βοηθητικό!$J$2:$N$354,3,FALSE))</f>
        <v>_</v>
      </c>
      <c r="L625" s="44"/>
      <c r="M625" s="5" t="s">
        <v>16</v>
      </c>
      <c r="N625" s="46" t="str">
        <f>IF(VLOOKUP(M625,βοηθητικό!$J$2:$N$354,3,FALSE)="","",VLOOKUP(M625,βοηθητικό!$J$2:$N$354,3,FALSE))</f>
        <v>_</v>
      </c>
      <c r="O625" s="47"/>
      <c r="P625" s="4" t="s">
        <v>16</v>
      </c>
      <c r="Q625" s="43" t="str">
        <f>IF(VLOOKUP(P625,βοηθητικό!$J$2:$N$354,3,FALSE)="","",VLOOKUP(P625,βοηθητικό!$J$2:$N$354,3,FALSE))</f>
        <v>_</v>
      </c>
      <c r="R625" s="44"/>
      <c r="S625" s="5" t="s">
        <v>16</v>
      </c>
      <c r="T625" s="46" t="str">
        <f>IF(VLOOKUP(S625,βοηθητικό!$J$2:$N$354,3,FALSE)="","",VLOOKUP(S625,βοηθητικό!$J$2:$N$354,3,FALSE))</f>
        <v>_</v>
      </c>
      <c r="U625" s="47"/>
      <c r="V625" s="4" t="s">
        <v>16</v>
      </c>
      <c r="W625" s="43" t="str">
        <f>IF(VLOOKUP(V625,βοηθητικό!$J$2:$N$354,3,FALSE)="","",VLOOKUP(V625,βοηθητικό!$J$2:$N$354,3,FALSE))</f>
        <v>_</v>
      </c>
      <c r="X625" s="44"/>
      <c r="Y625" s="5" t="s">
        <v>16</v>
      </c>
      <c r="Z625" s="46" t="str">
        <f>IF(VLOOKUP(Y625,βοηθητικό!$J$2:$N$354,3,FALSE)="","",VLOOKUP(Y625,βοηθητικό!$J$2:$N$354,3,FALSE))</f>
        <v>_</v>
      </c>
      <c r="AA625" s="47"/>
      <c r="AB625" s="4" t="s">
        <v>16</v>
      </c>
      <c r="AC625" s="43" t="str">
        <f>IF(VLOOKUP(AB625,βοηθητικό!$J$2:$N$354,3,FALSE)="","",VLOOKUP(AB625,βοηθητικό!$J$2:$N$354,3,FALSE))</f>
        <v>_</v>
      </c>
      <c r="AD625" s="44"/>
      <c r="AE625" s="5" t="s">
        <v>16</v>
      </c>
      <c r="AF625" s="46" t="str">
        <f>IF(VLOOKUP(AE625,βοηθητικό!$J$2:$N$354,3,FALSE)="","",VLOOKUP(AE625,βοηθητικό!$J$2:$N$354,3,FALSE))</f>
        <v>_</v>
      </c>
      <c r="AG625" s="47"/>
      <c r="AH625" s="4" t="s">
        <v>16</v>
      </c>
      <c r="AI625" s="43" t="str">
        <f>IF(VLOOKUP(AH625,βοηθητικό!$J$2:$N$354,3,FALSE)="","",VLOOKUP(AH625,βοηθητικό!$J$2:$N$354,3,FALSE))</f>
        <v>_</v>
      </c>
      <c r="AJ625" s="44"/>
      <c r="AK625" s="5" t="s">
        <v>16</v>
      </c>
      <c r="AL625" s="46" t="str">
        <f>IF(VLOOKUP(AK625,βοηθητικό!$J$2:$N$354,3,FALSE)="","",VLOOKUP(AK625,βοηθητικό!$J$2:$N$354,3,FALSE))</f>
        <v>_</v>
      </c>
      <c r="AM625" s="47"/>
      <c r="AN625" s="4" t="s">
        <v>16</v>
      </c>
      <c r="AO625" s="43" t="str">
        <f>IF(VLOOKUP(AN625,βοηθητικό!$J$2:$N$354,3,FALSE)="","",VLOOKUP(AN625,βοηθητικό!$J$2:$N$354,3,FALSE))</f>
        <v>_</v>
      </c>
      <c r="AP625" s="44"/>
      <c r="AQ625" s="5" t="s">
        <v>16</v>
      </c>
      <c r="AR625" s="46" t="str">
        <f>IF(VLOOKUP(AQ625,βοηθητικό!$J$2:$N$354,3,FALSE)="","",VLOOKUP(AQ625,βοηθητικό!$J$2:$N$354,3,FALSE))</f>
        <v>_</v>
      </c>
      <c r="AS625" s="47"/>
      <c r="AT625" s="4" t="s">
        <v>16</v>
      </c>
      <c r="AU625" s="43" t="str">
        <f>IF(VLOOKUP(AT625,βοηθητικό!$J$2:$N$354,3,FALSE)="","",VLOOKUP(AT625,βοηθητικό!$J$2:$N$354,3,FALSE))</f>
        <v>_</v>
      </c>
      <c r="AV625" s="44"/>
      <c r="AW625" s="5" t="s">
        <v>16</v>
      </c>
      <c r="AX625" s="46" t="str">
        <f>IF(VLOOKUP(AW625,βοηθητικό!$J$2:$N$354,3,FALSE)="","",VLOOKUP(AW625,βοηθητικό!$J$2:$N$354,3,FALSE))</f>
        <v>_</v>
      </c>
      <c r="AY625" s="47"/>
      <c r="AZ625" s="4" t="s">
        <v>16</v>
      </c>
      <c r="BA625" s="43" t="str">
        <f>IF(VLOOKUP(AZ625,βοηθητικό!$J$2:$N$354,3,FALSE)="","",VLOOKUP(AZ625,βοηθητικό!$J$2:$N$354,3,FALSE))</f>
        <v>_</v>
      </c>
      <c r="BB625" s="44"/>
      <c r="BC625" s="45" t="s">
        <v>16</v>
      </c>
      <c r="BD625" s="46" t="str">
        <f>IF(VLOOKUP(BC625,βοηθητικό!$J$2:$N$354,3,FALSE)="","",VLOOKUP(BC625,βοηθητικό!$J$2:$N$354,3,FALSE))</f>
        <v>_</v>
      </c>
      <c r="BE625" s="47"/>
      <c r="BF625" s="42" t="s">
        <v>16</v>
      </c>
      <c r="BG625" s="43" t="str">
        <f>IF(VLOOKUP(BF625,βοηθητικό!$J$2:$N$354,3,FALSE)="","",VLOOKUP(BF625,βοηθητικό!$J$2:$N$354,3,FALSE))</f>
        <v>_</v>
      </c>
      <c r="BH625" s="44"/>
      <c r="BI625" s="45" t="s">
        <v>16</v>
      </c>
      <c r="BJ625" s="46" t="str">
        <f>IF(VLOOKUP(BI625,βοηθητικό!$J$2:$N$354,3,FALSE)="","",VLOOKUP(BI625,βοηθητικό!$J$2:$N$354,3,FALSE))</f>
        <v>_</v>
      </c>
      <c r="BK625" s="47"/>
      <c r="BL625" s="42" t="s">
        <v>16</v>
      </c>
      <c r="BM625" s="43" t="str">
        <f>IF(VLOOKUP(BL625,βοηθητικό!$J$2:$N$354,3,FALSE)="","",VLOOKUP(BL625,βοηθητικό!$J$2:$N$354,3,FALSE))</f>
        <v>_</v>
      </c>
      <c r="BN625" s="44"/>
      <c r="BO625" s="45" t="s">
        <v>16</v>
      </c>
      <c r="BP625" s="46" t="str">
        <f>IF(VLOOKUP(BO625,βοηθητικό!$J$2:$N$354,3,FALSE)="","",VLOOKUP(BO625,βοηθητικό!$J$2:$N$354,3,FALSE))</f>
        <v>_</v>
      </c>
      <c r="BQ625" s="47"/>
      <c r="BR625" s="42" t="s">
        <v>16</v>
      </c>
      <c r="BS625" s="43" t="str">
        <f>IF(VLOOKUP(BR625,βοηθητικό!$J$2:$N$354,3,FALSE)="","",VLOOKUP(BR625,βοηθητικό!$J$2:$N$354,3,FALSE))</f>
        <v>_</v>
      </c>
      <c r="BT625" s="44"/>
      <c r="BU625" s="45" t="s">
        <v>16</v>
      </c>
      <c r="BV625" s="46" t="str">
        <f>IF(VLOOKUP(BU625,βοηθητικό!$J$2:$N$354,3,FALSE)="","",VLOOKUP(BU625,βοηθητικό!$J$2:$N$354,3,FALSE))</f>
        <v>_</v>
      </c>
      <c r="BW625" s="47"/>
      <c r="BX625" s="42" t="s">
        <v>16</v>
      </c>
      <c r="BY625" s="43" t="str">
        <f>IF(VLOOKUP(BX625,βοηθητικό!$J$2:$N$354,3,FALSE)="","",VLOOKUP(BX625,βοηθητικό!$J$2:$N$354,3,FALSE))</f>
        <v>_</v>
      </c>
      <c r="BZ625" s="44"/>
      <c r="CA625" s="45" t="s">
        <v>16</v>
      </c>
      <c r="CB625" s="46" t="str">
        <f>IF(VLOOKUP(CA625,βοηθητικό!$J$2:$N$354,3,FALSE)="","",VLOOKUP(CA625,βοηθητικό!$J$2:$N$354,3,FALSE))</f>
        <v>_</v>
      </c>
      <c r="CC625" s="47"/>
      <c r="CD625" s="42" t="s">
        <v>16</v>
      </c>
      <c r="CE625" s="43" t="str">
        <f>IF(VLOOKUP(CD625,βοηθητικό!$J$2:$N$354,3,FALSE)="","",VLOOKUP(CD625,βοηθητικό!$J$2:$N$354,3,FALSE))</f>
        <v>_</v>
      </c>
      <c r="CF625" s="44"/>
      <c r="CG625" s="45" t="s">
        <v>16</v>
      </c>
      <c r="CH625" s="46" t="str">
        <f>IF(VLOOKUP(CG625,βοηθητικό!$J$2:$N$354,3,FALSE)="","",VLOOKUP(CG625,βοηθητικό!$J$2:$N$354,3,FALSE))</f>
        <v>_</v>
      </c>
      <c r="CI625" s="47"/>
      <c r="CJ625" s="42" t="s">
        <v>16</v>
      </c>
      <c r="CK625" s="43" t="str">
        <f>IF(VLOOKUP(CJ625,βοηθητικό!$J$2:$N$354,3,FALSE)="","",VLOOKUP(CJ625,βοηθητικό!$J$2:$N$354,3,FALSE))</f>
        <v>_</v>
      </c>
      <c r="CL625" s="44"/>
      <c r="CM625" s="45" t="s">
        <v>16</v>
      </c>
      <c r="CN625" s="46" t="str">
        <f>IF(VLOOKUP(CM625,βοηθητικό!$J$2:$N$354,3,FALSE)="","",VLOOKUP(CM625,βοηθητικό!$J$2:$N$354,3,FALSE))</f>
        <v>_</v>
      </c>
      <c r="CO625" s="47"/>
      <c r="CP625" s="42" t="s">
        <v>16</v>
      </c>
      <c r="CQ625" s="43" t="str">
        <f>IF(VLOOKUP(CP625,βοηθητικό!$J$2:$N$354,3,FALSE)="","",VLOOKUP(CP625,βοηθητικό!$J$2:$N$354,3,FALSE))</f>
        <v>_</v>
      </c>
      <c r="CR625" s="44"/>
      <c r="CS625" s="45" t="s">
        <v>16</v>
      </c>
      <c r="CT625" s="46" t="str">
        <f>IF(VLOOKUP(CS625,βοηθητικό!$J$2:$N$354,3,FALSE)="","",VLOOKUP(CS625,βοηθητικό!$J$2:$N$354,3,FALSE))</f>
        <v>_</v>
      </c>
      <c r="CU625" s="47"/>
    </row>
    <row r="626" spans="1:99" x14ac:dyDescent="0.25">
      <c r="A626" s="37">
        <f>--SUBTOTAL(3,$B$3:B625)</f>
        <v>198</v>
      </c>
      <c r="B626" s="2"/>
      <c r="C626" s="3"/>
      <c r="D626" s="55" t="s">
        <v>18</v>
      </c>
      <c r="E626" s="38" t="s">
        <v>16</v>
      </c>
      <c r="F626" s="38"/>
      <c r="G626" s="39" t="str">
        <f t="shared" si="29"/>
        <v>__</v>
      </c>
      <c r="H626" s="40" t="str">
        <f t="shared" si="30"/>
        <v>FALSE</v>
      </c>
      <c r="I626" s="41">
        <f t="shared" si="31"/>
        <v>0</v>
      </c>
      <c r="J626" s="4" t="s">
        <v>16</v>
      </c>
      <c r="K626" s="43" t="str">
        <f>IF(VLOOKUP(J626,βοηθητικό!$J$2:$N$354,3,FALSE)="","",VLOOKUP(J626,βοηθητικό!$J$2:$N$354,3,FALSE))</f>
        <v>_</v>
      </c>
      <c r="L626" s="44"/>
      <c r="M626" s="5" t="s">
        <v>16</v>
      </c>
      <c r="N626" s="46" t="str">
        <f>IF(VLOOKUP(M626,βοηθητικό!$J$2:$N$354,3,FALSE)="","",VLOOKUP(M626,βοηθητικό!$J$2:$N$354,3,FALSE))</f>
        <v>_</v>
      </c>
      <c r="O626" s="47"/>
      <c r="P626" s="4" t="s">
        <v>16</v>
      </c>
      <c r="Q626" s="43" t="str">
        <f>IF(VLOOKUP(P626,βοηθητικό!$J$2:$N$354,3,FALSE)="","",VLOOKUP(P626,βοηθητικό!$J$2:$N$354,3,FALSE))</f>
        <v>_</v>
      </c>
      <c r="R626" s="44"/>
      <c r="S626" s="5" t="s">
        <v>16</v>
      </c>
      <c r="T626" s="46" t="str">
        <f>IF(VLOOKUP(S626,βοηθητικό!$J$2:$N$354,3,FALSE)="","",VLOOKUP(S626,βοηθητικό!$J$2:$N$354,3,FALSE))</f>
        <v>_</v>
      </c>
      <c r="U626" s="47"/>
      <c r="V626" s="4" t="s">
        <v>16</v>
      </c>
      <c r="W626" s="43" t="str">
        <f>IF(VLOOKUP(V626,βοηθητικό!$J$2:$N$354,3,FALSE)="","",VLOOKUP(V626,βοηθητικό!$J$2:$N$354,3,FALSE))</f>
        <v>_</v>
      </c>
      <c r="X626" s="44"/>
      <c r="Y626" s="5" t="s">
        <v>16</v>
      </c>
      <c r="Z626" s="46" t="str">
        <f>IF(VLOOKUP(Y626,βοηθητικό!$J$2:$N$354,3,FALSE)="","",VLOOKUP(Y626,βοηθητικό!$J$2:$N$354,3,FALSE))</f>
        <v>_</v>
      </c>
      <c r="AA626" s="47"/>
      <c r="AB626" s="4" t="s">
        <v>16</v>
      </c>
      <c r="AC626" s="43" t="str">
        <f>IF(VLOOKUP(AB626,βοηθητικό!$J$2:$N$354,3,FALSE)="","",VLOOKUP(AB626,βοηθητικό!$J$2:$N$354,3,FALSE))</f>
        <v>_</v>
      </c>
      <c r="AD626" s="44"/>
      <c r="AE626" s="5" t="s">
        <v>16</v>
      </c>
      <c r="AF626" s="46" t="str">
        <f>IF(VLOOKUP(AE626,βοηθητικό!$J$2:$N$354,3,FALSE)="","",VLOOKUP(AE626,βοηθητικό!$J$2:$N$354,3,FALSE))</f>
        <v>_</v>
      </c>
      <c r="AG626" s="47"/>
      <c r="AH626" s="4" t="s">
        <v>16</v>
      </c>
      <c r="AI626" s="43" t="str">
        <f>IF(VLOOKUP(AH626,βοηθητικό!$J$2:$N$354,3,FALSE)="","",VLOOKUP(AH626,βοηθητικό!$J$2:$N$354,3,FALSE))</f>
        <v>_</v>
      </c>
      <c r="AJ626" s="44"/>
      <c r="AK626" s="5" t="s">
        <v>16</v>
      </c>
      <c r="AL626" s="46" t="str">
        <f>IF(VLOOKUP(AK626,βοηθητικό!$J$2:$N$354,3,FALSE)="","",VLOOKUP(AK626,βοηθητικό!$J$2:$N$354,3,FALSE))</f>
        <v>_</v>
      </c>
      <c r="AM626" s="47"/>
      <c r="AN626" s="4" t="s">
        <v>16</v>
      </c>
      <c r="AO626" s="43" t="str">
        <f>IF(VLOOKUP(AN626,βοηθητικό!$J$2:$N$354,3,FALSE)="","",VLOOKUP(AN626,βοηθητικό!$J$2:$N$354,3,FALSE))</f>
        <v>_</v>
      </c>
      <c r="AP626" s="44"/>
      <c r="AQ626" s="5" t="s">
        <v>16</v>
      </c>
      <c r="AR626" s="46" t="str">
        <f>IF(VLOOKUP(AQ626,βοηθητικό!$J$2:$N$354,3,FALSE)="","",VLOOKUP(AQ626,βοηθητικό!$J$2:$N$354,3,FALSE))</f>
        <v>_</v>
      </c>
      <c r="AS626" s="47"/>
      <c r="AT626" s="4" t="s">
        <v>16</v>
      </c>
      <c r="AU626" s="43" t="str">
        <f>IF(VLOOKUP(AT626,βοηθητικό!$J$2:$N$354,3,FALSE)="","",VLOOKUP(AT626,βοηθητικό!$J$2:$N$354,3,FALSE))</f>
        <v>_</v>
      </c>
      <c r="AV626" s="44"/>
      <c r="AW626" s="5" t="s">
        <v>16</v>
      </c>
      <c r="AX626" s="46" t="str">
        <f>IF(VLOOKUP(AW626,βοηθητικό!$J$2:$N$354,3,FALSE)="","",VLOOKUP(AW626,βοηθητικό!$J$2:$N$354,3,FALSE))</f>
        <v>_</v>
      </c>
      <c r="AY626" s="47"/>
      <c r="AZ626" s="4" t="s">
        <v>16</v>
      </c>
      <c r="BA626" s="43" t="str">
        <f>IF(VLOOKUP(AZ626,βοηθητικό!$J$2:$N$354,3,FALSE)="","",VLOOKUP(AZ626,βοηθητικό!$J$2:$N$354,3,FALSE))</f>
        <v>_</v>
      </c>
      <c r="BB626" s="44"/>
      <c r="BC626" s="45" t="s">
        <v>16</v>
      </c>
      <c r="BD626" s="46" t="str">
        <f>IF(VLOOKUP(BC626,βοηθητικό!$J$2:$N$354,3,FALSE)="","",VLOOKUP(BC626,βοηθητικό!$J$2:$N$354,3,FALSE))</f>
        <v>_</v>
      </c>
      <c r="BE626" s="47"/>
      <c r="BF626" s="42" t="s">
        <v>16</v>
      </c>
      <c r="BG626" s="43" t="str">
        <f>IF(VLOOKUP(BF626,βοηθητικό!$J$2:$N$354,3,FALSE)="","",VLOOKUP(BF626,βοηθητικό!$J$2:$N$354,3,FALSE))</f>
        <v>_</v>
      </c>
      <c r="BH626" s="44"/>
      <c r="BI626" s="45" t="s">
        <v>16</v>
      </c>
      <c r="BJ626" s="46" t="str">
        <f>IF(VLOOKUP(BI626,βοηθητικό!$J$2:$N$354,3,FALSE)="","",VLOOKUP(BI626,βοηθητικό!$J$2:$N$354,3,FALSE))</f>
        <v>_</v>
      </c>
      <c r="BK626" s="47"/>
      <c r="BL626" s="42" t="s">
        <v>16</v>
      </c>
      <c r="BM626" s="43" t="str">
        <f>IF(VLOOKUP(BL626,βοηθητικό!$J$2:$N$354,3,FALSE)="","",VLOOKUP(BL626,βοηθητικό!$J$2:$N$354,3,FALSE))</f>
        <v>_</v>
      </c>
      <c r="BN626" s="44"/>
      <c r="BO626" s="45" t="s">
        <v>16</v>
      </c>
      <c r="BP626" s="46" t="str">
        <f>IF(VLOOKUP(BO626,βοηθητικό!$J$2:$N$354,3,FALSE)="","",VLOOKUP(BO626,βοηθητικό!$J$2:$N$354,3,FALSE))</f>
        <v>_</v>
      </c>
      <c r="BQ626" s="47"/>
      <c r="BR626" s="42" t="s">
        <v>16</v>
      </c>
      <c r="BS626" s="43" t="str">
        <f>IF(VLOOKUP(BR626,βοηθητικό!$J$2:$N$354,3,FALSE)="","",VLOOKUP(BR626,βοηθητικό!$J$2:$N$354,3,FALSE))</f>
        <v>_</v>
      </c>
      <c r="BT626" s="44"/>
      <c r="BU626" s="45" t="s">
        <v>16</v>
      </c>
      <c r="BV626" s="46" t="str">
        <f>IF(VLOOKUP(BU626,βοηθητικό!$J$2:$N$354,3,FALSE)="","",VLOOKUP(BU626,βοηθητικό!$J$2:$N$354,3,FALSE))</f>
        <v>_</v>
      </c>
      <c r="BW626" s="47"/>
      <c r="BX626" s="42" t="s">
        <v>16</v>
      </c>
      <c r="BY626" s="43" t="str">
        <f>IF(VLOOKUP(BX626,βοηθητικό!$J$2:$N$354,3,FALSE)="","",VLOOKUP(BX626,βοηθητικό!$J$2:$N$354,3,FALSE))</f>
        <v>_</v>
      </c>
      <c r="BZ626" s="44"/>
      <c r="CA626" s="45" t="s">
        <v>16</v>
      </c>
      <c r="CB626" s="46" t="str">
        <f>IF(VLOOKUP(CA626,βοηθητικό!$J$2:$N$354,3,FALSE)="","",VLOOKUP(CA626,βοηθητικό!$J$2:$N$354,3,FALSE))</f>
        <v>_</v>
      </c>
      <c r="CC626" s="47"/>
      <c r="CD626" s="42" t="s">
        <v>16</v>
      </c>
      <c r="CE626" s="43" t="str">
        <f>IF(VLOOKUP(CD626,βοηθητικό!$J$2:$N$354,3,FALSE)="","",VLOOKUP(CD626,βοηθητικό!$J$2:$N$354,3,FALSE))</f>
        <v>_</v>
      </c>
      <c r="CF626" s="44"/>
      <c r="CG626" s="45" t="s">
        <v>16</v>
      </c>
      <c r="CH626" s="46" t="str">
        <f>IF(VLOOKUP(CG626,βοηθητικό!$J$2:$N$354,3,FALSE)="","",VLOOKUP(CG626,βοηθητικό!$J$2:$N$354,3,FALSE))</f>
        <v>_</v>
      </c>
      <c r="CI626" s="47"/>
      <c r="CJ626" s="42" t="s">
        <v>16</v>
      </c>
      <c r="CK626" s="43" t="str">
        <f>IF(VLOOKUP(CJ626,βοηθητικό!$J$2:$N$354,3,FALSE)="","",VLOOKUP(CJ626,βοηθητικό!$J$2:$N$354,3,FALSE))</f>
        <v>_</v>
      </c>
      <c r="CL626" s="44"/>
      <c r="CM626" s="45" t="s">
        <v>16</v>
      </c>
      <c r="CN626" s="46" t="str">
        <f>IF(VLOOKUP(CM626,βοηθητικό!$J$2:$N$354,3,FALSE)="","",VLOOKUP(CM626,βοηθητικό!$J$2:$N$354,3,FALSE))</f>
        <v>_</v>
      </c>
      <c r="CO626" s="47"/>
      <c r="CP626" s="42" t="s">
        <v>16</v>
      </c>
      <c r="CQ626" s="43" t="str">
        <f>IF(VLOOKUP(CP626,βοηθητικό!$J$2:$N$354,3,FALSE)="","",VLOOKUP(CP626,βοηθητικό!$J$2:$N$354,3,FALSE))</f>
        <v>_</v>
      </c>
      <c r="CR626" s="44"/>
      <c r="CS626" s="45" t="s">
        <v>16</v>
      </c>
      <c r="CT626" s="46" t="str">
        <f>IF(VLOOKUP(CS626,βοηθητικό!$J$2:$N$354,3,FALSE)="","",VLOOKUP(CS626,βοηθητικό!$J$2:$N$354,3,FALSE))</f>
        <v>_</v>
      </c>
      <c r="CU626" s="47"/>
    </row>
    <row r="627" spans="1:99" x14ac:dyDescent="0.25">
      <c r="A627" s="37">
        <f>--SUBTOTAL(3,$B$3:B626)</f>
        <v>198</v>
      </c>
      <c r="B627" s="2"/>
      <c r="C627" s="3"/>
      <c r="D627" s="55" t="s">
        <v>18</v>
      </c>
      <c r="E627" s="38" t="s">
        <v>16</v>
      </c>
      <c r="F627" s="38"/>
      <c r="G627" s="39" t="str">
        <f t="shared" si="29"/>
        <v>__</v>
      </c>
      <c r="H627" s="40" t="str">
        <f t="shared" si="30"/>
        <v>FALSE</v>
      </c>
      <c r="I627" s="41">
        <f t="shared" si="31"/>
        <v>0</v>
      </c>
      <c r="J627" s="4" t="s">
        <v>16</v>
      </c>
      <c r="K627" s="43" t="str">
        <f>IF(VLOOKUP(J627,βοηθητικό!$J$2:$N$354,3,FALSE)="","",VLOOKUP(J627,βοηθητικό!$J$2:$N$354,3,FALSE))</f>
        <v>_</v>
      </c>
      <c r="L627" s="44"/>
      <c r="M627" s="5" t="s">
        <v>16</v>
      </c>
      <c r="N627" s="46" t="str">
        <f>IF(VLOOKUP(M627,βοηθητικό!$J$2:$N$354,3,FALSE)="","",VLOOKUP(M627,βοηθητικό!$J$2:$N$354,3,FALSE))</f>
        <v>_</v>
      </c>
      <c r="O627" s="47"/>
      <c r="P627" s="4" t="s">
        <v>16</v>
      </c>
      <c r="Q627" s="43" t="str">
        <f>IF(VLOOKUP(P627,βοηθητικό!$J$2:$N$354,3,FALSE)="","",VLOOKUP(P627,βοηθητικό!$J$2:$N$354,3,FALSE))</f>
        <v>_</v>
      </c>
      <c r="R627" s="44"/>
      <c r="S627" s="5" t="s">
        <v>16</v>
      </c>
      <c r="T627" s="46" t="str">
        <f>IF(VLOOKUP(S627,βοηθητικό!$J$2:$N$354,3,FALSE)="","",VLOOKUP(S627,βοηθητικό!$J$2:$N$354,3,FALSE))</f>
        <v>_</v>
      </c>
      <c r="U627" s="47"/>
      <c r="V627" s="4" t="s">
        <v>16</v>
      </c>
      <c r="W627" s="43" t="str">
        <f>IF(VLOOKUP(V627,βοηθητικό!$J$2:$N$354,3,FALSE)="","",VLOOKUP(V627,βοηθητικό!$J$2:$N$354,3,FALSE))</f>
        <v>_</v>
      </c>
      <c r="X627" s="44"/>
      <c r="Y627" s="5" t="s">
        <v>16</v>
      </c>
      <c r="Z627" s="46" t="str">
        <f>IF(VLOOKUP(Y627,βοηθητικό!$J$2:$N$354,3,FALSE)="","",VLOOKUP(Y627,βοηθητικό!$J$2:$N$354,3,FALSE))</f>
        <v>_</v>
      </c>
      <c r="AA627" s="47"/>
      <c r="AB627" s="4" t="s">
        <v>16</v>
      </c>
      <c r="AC627" s="43" t="str">
        <f>IF(VLOOKUP(AB627,βοηθητικό!$J$2:$N$354,3,FALSE)="","",VLOOKUP(AB627,βοηθητικό!$J$2:$N$354,3,FALSE))</f>
        <v>_</v>
      </c>
      <c r="AD627" s="44"/>
      <c r="AE627" s="5" t="s">
        <v>16</v>
      </c>
      <c r="AF627" s="46" t="str">
        <f>IF(VLOOKUP(AE627,βοηθητικό!$J$2:$N$354,3,FALSE)="","",VLOOKUP(AE627,βοηθητικό!$J$2:$N$354,3,FALSE))</f>
        <v>_</v>
      </c>
      <c r="AG627" s="47"/>
      <c r="AH627" s="4" t="s">
        <v>16</v>
      </c>
      <c r="AI627" s="43" t="str">
        <f>IF(VLOOKUP(AH627,βοηθητικό!$J$2:$N$354,3,FALSE)="","",VLOOKUP(AH627,βοηθητικό!$J$2:$N$354,3,FALSE))</f>
        <v>_</v>
      </c>
      <c r="AJ627" s="44"/>
      <c r="AK627" s="5" t="s">
        <v>16</v>
      </c>
      <c r="AL627" s="46" t="str">
        <f>IF(VLOOKUP(AK627,βοηθητικό!$J$2:$N$354,3,FALSE)="","",VLOOKUP(AK627,βοηθητικό!$J$2:$N$354,3,FALSE))</f>
        <v>_</v>
      </c>
      <c r="AM627" s="47"/>
      <c r="AN627" s="4" t="s">
        <v>16</v>
      </c>
      <c r="AO627" s="43" t="str">
        <f>IF(VLOOKUP(AN627,βοηθητικό!$J$2:$N$354,3,FALSE)="","",VLOOKUP(AN627,βοηθητικό!$J$2:$N$354,3,FALSE))</f>
        <v>_</v>
      </c>
      <c r="AP627" s="44"/>
      <c r="AQ627" s="5" t="s">
        <v>16</v>
      </c>
      <c r="AR627" s="46" t="str">
        <f>IF(VLOOKUP(AQ627,βοηθητικό!$J$2:$N$354,3,FALSE)="","",VLOOKUP(AQ627,βοηθητικό!$J$2:$N$354,3,FALSE))</f>
        <v>_</v>
      </c>
      <c r="AS627" s="47"/>
      <c r="AT627" s="4" t="s">
        <v>16</v>
      </c>
      <c r="AU627" s="43" t="str">
        <f>IF(VLOOKUP(AT627,βοηθητικό!$J$2:$N$354,3,FALSE)="","",VLOOKUP(AT627,βοηθητικό!$J$2:$N$354,3,FALSE))</f>
        <v>_</v>
      </c>
      <c r="AV627" s="44"/>
      <c r="AW627" s="5" t="s">
        <v>16</v>
      </c>
      <c r="AX627" s="46" t="str">
        <f>IF(VLOOKUP(AW627,βοηθητικό!$J$2:$N$354,3,FALSE)="","",VLOOKUP(AW627,βοηθητικό!$J$2:$N$354,3,FALSE))</f>
        <v>_</v>
      </c>
      <c r="AY627" s="47"/>
      <c r="AZ627" s="4" t="s">
        <v>16</v>
      </c>
      <c r="BA627" s="43" t="str">
        <f>IF(VLOOKUP(AZ627,βοηθητικό!$J$2:$N$354,3,FALSE)="","",VLOOKUP(AZ627,βοηθητικό!$J$2:$N$354,3,FALSE))</f>
        <v>_</v>
      </c>
      <c r="BB627" s="44"/>
      <c r="BC627" s="45" t="s">
        <v>16</v>
      </c>
      <c r="BD627" s="46" t="str">
        <f>IF(VLOOKUP(BC627,βοηθητικό!$J$2:$N$354,3,FALSE)="","",VLOOKUP(BC627,βοηθητικό!$J$2:$N$354,3,FALSE))</f>
        <v>_</v>
      </c>
      <c r="BE627" s="47"/>
      <c r="BF627" s="42" t="s">
        <v>16</v>
      </c>
      <c r="BG627" s="43" t="str">
        <f>IF(VLOOKUP(BF627,βοηθητικό!$J$2:$N$354,3,FALSE)="","",VLOOKUP(BF627,βοηθητικό!$J$2:$N$354,3,FALSE))</f>
        <v>_</v>
      </c>
      <c r="BH627" s="44"/>
      <c r="BI627" s="45" t="s">
        <v>16</v>
      </c>
      <c r="BJ627" s="46" t="str">
        <f>IF(VLOOKUP(BI627,βοηθητικό!$J$2:$N$354,3,FALSE)="","",VLOOKUP(BI627,βοηθητικό!$J$2:$N$354,3,FALSE))</f>
        <v>_</v>
      </c>
      <c r="BK627" s="47"/>
      <c r="BL627" s="42" t="s">
        <v>16</v>
      </c>
      <c r="BM627" s="43" t="str">
        <f>IF(VLOOKUP(BL627,βοηθητικό!$J$2:$N$354,3,FALSE)="","",VLOOKUP(BL627,βοηθητικό!$J$2:$N$354,3,FALSE))</f>
        <v>_</v>
      </c>
      <c r="BN627" s="44"/>
      <c r="BO627" s="45" t="s">
        <v>16</v>
      </c>
      <c r="BP627" s="46" t="str">
        <f>IF(VLOOKUP(BO627,βοηθητικό!$J$2:$N$354,3,FALSE)="","",VLOOKUP(BO627,βοηθητικό!$J$2:$N$354,3,FALSE))</f>
        <v>_</v>
      </c>
      <c r="BQ627" s="47"/>
      <c r="BR627" s="42" t="s">
        <v>16</v>
      </c>
      <c r="BS627" s="43" t="str">
        <f>IF(VLOOKUP(BR627,βοηθητικό!$J$2:$N$354,3,FALSE)="","",VLOOKUP(BR627,βοηθητικό!$J$2:$N$354,3,FALSE))</f>
        <v>_</v>
      </c>
      <c r="BT627" s="44"/>
      <c r="BU627" s="45" t="s">
        <v>16</v>
      </c>
      <c r="BV627" s="46" t="str">
        <f>IF(VLOOKUP(BU627,βοηθητικό!$J$2:$N$354,3,FALSE)="","",VLOOKUP(BU627,βοηθητικό!$J$2:$N$354,3,FALSE))</f>
        <v>_</v>
      </c>
      <c r="BW627" s="47"/>
      <c r="BX627" s="42" t="s">
        <v>16</v>
      </c>
      <c r="BY627" s="43" t="str">
        <f>IF(VLOOKUP(BX627,βοηθητικό!$J$2:$N$354,3,FALSE)="","",VLOOKUP(BX627,βοηθητικό!$J$2:$N$354,3,FALSE))</f>
        <v>_</v>
      </c>
      <c r="BZ627" s="44"/>
      <c r="CA627" s="45" t="s">
        <v>16</v>
      </c>
      <c r="CB627" s="46" t="str">
        <f>IF(VLOOKUP(CA627,βοηθητικό!$J$2:$N$354,3,FALSE)="","",VLOOKUP(CA627,βοηθητικό!$J$2:$N$354,3,FALSE))</f>
        <v>_</v>
      </c>
      <c r="CC627" s="47"/>
      <c r="CD627" s="42" t="s">
        <v>16</v>
      </c>
      <c r="CE627" s="43" t="str">
        <f>IF(VLOOKUP(CD627,βοηθητικό!$J$2:$N$354,3,FALSE)="","",VLOOKUP(CD627,βοηθητικό!$J$2:$N$354,3,FALSE))</f>
        <v>_</v>
      </c>
      <c r="CF627" s="44"/>
      <c r="CG627" s="45" t="s">
        <v>16</v>
      </c>
      <c r="CH627" s="46" t="str">
        <f>IF(VLOOKUP(CG627,βοηθητικό!$J$2:$N$354,3,FALSE)="","",VLOOKUP(CG627,βοηθητικό!$J$2:$N$354,3,FALSE))</f>
        <v>_</v>
      </c>
      <c r="CI627" s="47"/>
      <c r="CJ627" s="42" t="s">
        <v>16</v>
      </c>
      <c r="CK627" s="43" t="str">
        <f>IF(VLOOKUP(CJ627,βοηθητικό!$J$2:$N$354,3,FALSE)="","",VLOOKUP(CJ627,βοηθητικό!$J$2:$N$354,3,FALSE))</f>
        <v>_</v>
      </c>
      <c r="CL627" s="44"/>
      <c r="CM627" s="45" t="s">
        <v>16</v>
      </c>
      <c r="CN627" s="46" t="str">
        <f>IF(VLOOKUP(CM627,βοηθητικό!$J$2:$N$354,3,FALSE)="","",VLOOKUP(CM627,βοηθητικό!$J$2:$N$354,3,FALSE))</f>
        <v>_</v>
      </c>
      <c r="CO627" s="47"/>
      <c r="CP627" s="42" t="s">
        <v>16</v>
      </c>
      <c r="CQ627" s="43" t="str">
        <f>IF(VLOOKUP(CP627,βοηθητικό!$J$2:$N$354,3,FALSE)="","",VLOOKUP(CP627,βοηθητικό!$J$2:$N$354,3,FALSE))</f>
        <v>_</v>
      </c>
      <c r="CR627" s="44"/>
      <c r="CS627" s="45" t="s">
        <v>16</v>
      </c>
      <c r="CT627" s="46" t="str">
        <f>IF(VLOOKUP(CS627,βοηθητικό!$J$2:$N$354,3,FALSE)="","",VLOOKUP(CS627,βοηθητικό!$J$2:$N$354,3,FALSE))</f>
        <v>_</v>
      </c>
      <c r="CU627" s="47"/>
    </row>
    <row r="628" spans="1:99" x14ac:dyDescent="0.25">
      <c r="A628" s="37">
        <f>--SUBTOTAL(3,$B$3:B627)</f>
        <v>198</v>
      </c>
      <c r="B628" s="2"/>
      <c r="C628" s="3"/>
      <c r="D628" s="55" t="s">
        <v>18</v>
      </c>
      <c r="E628" s="38" t="s">
        <v>16</v>
      </c>
      <c r="F628" s="38"/>
      <c r="G628" s="39" t="str">
        <f t="shared" si="29"/>
        <v>__</v>
      </c>
      <c r="H628" s="40" t="str">
        <f t="shared" si="30"/>
        <v>FALSE</v>
      </c>
      <c r="I628" s="41">
        <f t="shared" si="31"/>
        <v>0</v>
      </c>
      <c r="J628" s="4" t="s">
        <v>16</v>
      </c>
      <c r="K628" s="43" t="str">
        <f>IF(VLOOKUP(J628,βοηθητικό!$J$2:$N$354,3,FALSE)="","",VLOOKUP(J628,βοηθητικό!$J$2:$N$354,3,FALSE))</f>
        <v>_</v>
      </c>
      <c r="L628" s="44"/>
      <c r="M628" s="5" t="s">
        <v>16</v>
      </c>
      <c r="N628" s="46" t="str">
        <f>IF(VLOOKUP(M628,βοηθητικό!$J$2:$N$354,3,FALSE)="","",VLOOKUP(M628,βοηθητικό!$J$2:$N$354,3,FALSE))</f>
        <v>_</v>
      </c>
      <c r="O628" s="47"/>
      <c r="P628" s="4" t="s">
        <v>16</v>
      </c>
      <c r="Q628" s="43" t="str">
        <f>IF(VLOOKUP(P628,βοηθητικό!$J$2:$N$354,3,FALSE)="","",VLOOKUP(P628,βοηθητικό!$J$2:$N$354,3,FALSE))</f>
        <v>_</v>
      </c>
      <c r="R628" s="44"/>
      <c r="S628" s="5" t="s">
        <v>16</v>
      </c>
      <c r="T628" s="46" t="str">
        <f>IF(VLOOKUP(S628,βοηθητικό!$J$2:$N$354,3,FALSE)="","",VLOOKUP(S628,βοηθητικό!$J$2:$N$354,3,FALSE))</f>
        <v>_</v>
      </c>
      <c r="U628" s="47"/>
      <c r="V628" s="4" t="s">
        <v>16</v>
      </c>
      <c r="W628" s="43" t="str">
        <f>IF(VLOOKUP(V628,βοηθητικό!$J$2:$N$354,3,FALSE)="","",VLOOKUP(V628,βοηθητικό!$J$2:$N$354,3,FALSE))</f>
        <v>_</v>
      </c>
      <c r="X628" s="44"/>
      <c r="Y628" s="5" t="s">
        <v>16</v>
      </c>
      <c r="Z628" s="46" t="str">
        <f>IF(VLOOKUP(Y628,βοηθητικό!$J$2:$N$354,3,FALSE)="","",VLOOKUP(Y628,βοηθητικό!$J$2:$N$354,3,FALSE))</f>
        <v>_</v>
      </c>
      <c r="AA628" s="47"/>
      <c r="AB628" s="4" t="s">
        <v>16</v>
      </c>
      <c r="AC628" s="43" t="str">
        <f>IF(VLOOKUP(AB628,βοηθητικό!$J$2:$N$354,3,FALSE)="","",VLOOKUP(AB628,βοηθητικό!$J$2:$N$354,3,FALSE))</f>
        <v>_</v>
      </c>
      <c r="AD628" s="44"/>
      <c r="AE628" s="5" t="s">
        <v>16</v>
      </c>
      <c r="AF628" s="46" t="str">
        <f>IF(VLOOKUP(AE628,βοηθητικό!$J$2:$N$354,3,FALSE)="","",VLOOKUP(AE628,βοηθητικό!$J$2:$N$354,3,FALSE))</f>
        <v>_</v>
      </c>
      <c r="AG628" s="47"/>
      <c r="AH628" s="4" t="s">
        <v>16</v>
      </c>
      <c r="AI628" s="43" t="str">
        <f>IF(VLOOKUP(AH628,βοηθητικό!$J$2:$N$354,3,FALSE)="","",VLOOKUP(AH628,βοηθητικό!$J$2:$N$354,3,FALSE))</f>
        <v>_</v>
      </c>
      <c r="AJ628" s="44"/>
      <c r="AK628" s="5" t="s">
        <v>16</v>
      </c>
      <c r="AL628" s="46" t="str">
        <f>IF(VLOOKUP(AK628,βοηθητικό!$J$2:$N$354,3,FALSE)="","",VLOOKUP(AK628,βοηθητικό!$J$2:$N$354,3,FALSE))</f>
        <v>_</v>
      </c>
      <c r="AM628" s="47"/>
      <c r="AN628" s="4" t="s">
        <v>16</v>
      </c>
      <c r="AO628" s="43" t="str">
        <f>IF(VLOOKUP(AN628,βοηθητικό!$J$2:$N$354,3,FALSE)="","",VLOOKUP(AN628,βοηθητικό!$J$2:$N$354,3,FALSE))</f>
        <v>_</v>
      </c>
      <c r="AP628" s="44"/>
      <c r="AQ628" s="5" t="s">
        <v>16</v>
      </c>
      <c r="AR628" s="46" t="str">
        <f>IF(VLOOKUP(AQ628,βοηθητικό!$J$2:$N$354,3,FALSE)="","",VLOOKUP(AQ628,βοηθητικό!$J$2:$N$354,3,FALSE))</f>
        <v>_</v>
      </c>
      <c r="AS628" s="47"/>
      <c r="AT628" s="4" t="s">
        <v>16</v>
      </c>
      <c r="AU628" s="43" t="str">
        <f>IF(VLOOKUP(AT628,βοηθητικό!$J$2:$N$354,3,FALSE)="","",VLOOKUP(AT628,βοηθητικό!$J$2:$N$354,3,FALSE))</f>
        <v>_</v>
      </c>
      <c r="AV628" s="44"/>
      <c r="AW628" s="5" t="s">
        <v>16</v>
      </c>
      <c r="AX628" s="46" t="str">
        <f>IF(VLOOKUP(AW628,βοηθητικό!$J$2:$N$354,3,FALSE)="","",VLOOKUP(AW628,βοηθητικό!$J$2:$N$354,3,FALSE))</f>
        <v>_</v>
      </c>
      <c r="AY628" s="47"/>
      <c r="AZ628" s="4" t="s">
        <v>16</v>
      </c>
      <c r="BA628" s="43" t="str">
        <f>IF(VLOOKUP(AZ628,βοηθητικό!$J$2:$N$354,3,FALSE)="","",VLOOKUP(AZ628,βοηθητικό!$J$2:$N$354,3,FALSE))</f>
        <v>_</v>
      </c>
      <c r="BB628" s="44"/>
      <c r="BC628" s="45" t="s">
        <v>16</v>
      </c>
      <c r="BD628" s="46" t="str">
        <f>IF(VLOOKUP(BC628,βοηθητικό!$J$2:$N$354,3,FALSE)="","",VLOOKUP(BC628,βοηθητικό!$J$2:$N$354,3,FALSE))</f>
        <v>_</v>
      </c>
      <c r="BE628" s="47"/>
      <c r="BF628" s="42" t="s">
        <v>16</v>
      </c>
      <c r="BG628" s="43" t="str">
        <f>IF(VLOOKUP(BF628,βοηθητικό!$J$2:$N$354,3,FALSE)="","",VLOOKUP(BF628,βοηθητικό!$J$2:$N$354,3,FALSE))</f>
        <v>_</v>
      </c>
      <c r="BH628" s="44"/>
      <c r="BI628" s="45" t="s">
        <v>16</v>
      </c>
      <c r="BJ628" s="46" t="str">
        <f>IF(VLOOKUP(BI628,βοηθητικό!$J$2:$N$354,3,FALSE)="","",VLOOKUP(BI628,βοηθητικό!$J$2:$N$354,3,FALSE))</f>
        <v>_</v>
      </c>
      <c r="BK628" s="47"/>
      <c r="BL628" s="42" t="s">
        <v>16</v>
      </c>
      <c r="BM628" s="43" t="str">
        <f>IF(VLOOKUP(BL628,βοηθητικό!$J$2:$N$354,3,FALSE)="","",VLOOKUP(BL628,βοηθητικό!$J$2:$N$354,3,FALSE))</f>
        <v>_</v>
      </c>
      <c r="BN628" s="44"/>
      <c r="BO628" s="45" t="s">
        <v>16</v>
      </c>
      <c r="BP628" s="46" t="str">
        <f>IF(VLOOKUP(BO628,βοηθητικό!$J$2:$N$354,3,FALSE)="","",VLOOKUP(BO628,βοηθητικό!$J$2:$N$354,3,FALSE))</f>
        <v>_</v>
      </c>
      <c r="BQ628" s="47"/>
      <c r="BR628" s="42" t="s">
        <v>16</v>
      </c>
      <c r="BS628" s="43" t="str">
        <f>IF(VLOOKUP(BR628,βοηθητικό!$J$2:$N$354,3,FALSE)="","",VLOOKUP(BR628,βοηθητικό!$J$2:$N$354,3,FALSE))</f>
        <v>_</v>
      </c>
      <c r="BT628" s="44"/>
      <c r="BU628" s="45" t="s">
        <v>16</v>
      </c>
      <c r="BV628" s="46" t="str">
        <f>IF(VLOOKUP(BU628,βοηθητικό!$J$2:$N$354,3,FALSE)="","",VLOOKUP(BU628,βοηθητικό!$J$2:$N$354,3,FALSE))</f>
        <v>_</v>
      </c>
      <c r="BW628" s="47"/>
      <c r="BX628" s="42" t="s">
        <v>16</v>
      </c>
      <c r="BY628" s="43" t="str">
        <f>IF(VLOOKUP(BX628,βοηθητικό!$J$2:$N$354,3,FALSE)="","",VLOOKUP(BX628,βοηθητικό!$J$2:$N$354,3,FALSE))</f>
        <v>_</v>
      </c>
      <c r="BZ628" s="44"/>
      <c r="CA628" s="45" t="s">
        <v>16</v>
      </c>
      <c r="CB628" s="46" t="str">
        <f>IF(VLOOKUP(CA628,βοηθητικό!$J$2:$N$354,3,FALSE)="","",VLOOKUP(CA628,βοηθητικό!$J$2:$N$354,3,FALSE))</f>
        <v>_</v>
      </c>
      <c r="CC628" s="47"/>
      <c r="CD628" s="42" t="s">
        <v>16</v>
      </c>
      <c r="CE628" s="43" t="str">
        <f>IF(VLOOKUP(CD628,βοηθητικό!$J$2:$N$354,3,FALSE)="","",VLOOKUP(CD628,βοηθητικό!$J$2:$N$354,3,FALSE))</f>
        <v>_</v>
      </c>
      <c r="CF628" s="44"/>
      <c r="CG628" s="45" t="s">
        <v>16</v>
      </c>
      <c r="CH628" s="46" t="str">
        <f>IF(VLOOKUP(CG628,βοηθητικό!$J$2:$N$354,3,FALSE)="","",VLOOKUP(CG628,βοηθητικό!$J$2:$N$354,3,FALSE))</f>
        <v>_</v>
      </c>
      <c r="CI628" s="47"/>
      <c r="CJ628" s="42" t="s">
        <v>16</v>
      </c>
      <c r="CK628" s="43" t="str">
        <f>IF(VLOOKUP(CJ628,βοηθητικό!$J$2:$N$354,3,FALSE)="","",VLOOKUP(CJ628,βοηθητικό!$J$2:$N$354,3,FALSE))</f>
        <v>_</v>
      </c>
      <c r="CL628" s="44"/>
      <c r="CM628" s="45" t="s">
        <v>16</v>
      </c>
      <c r="CN628" s="46" t="str">
        <f>IF(VLOOKUP(CM628,βοηθητικό!$J$2:$N$354,3,FALSE)="","",VLOOKUP(CM628,βοηθητικό!$J$2:$N$354,3,FALSE))</f>
        <v>_</v>
      </c>
      <c r="CO628" s="47"/>
      <c r="CP628" s="42" t="s">
        <v>16</v>
      </c>
      <c r="CQ628" s="43" t="str">
        <f>IF(VLOOKUP(CP628,βοηθητικό!$J$2:$N$354,3,FALSE)="","",VLOOKUP(CP628,βοηθητικό!$J$2:$N$354,3,FALSE))</f>
        <v>_</v>
      </c>
      <c r="CR628" s="44"/>
      <c r="CS628" s="45" t="s">
        <v>16</v>
      </c>
      <c r="CT628" s="46" t="str">
        <f>IF(VLOOKUP(CS628,βοηθητικό!$J$2:$N$354,3,FALSE)="","",VLOOKUP(CS628,βοηθητικό!$J$2:$N$354,3,FALSE))</f>
        <v>_</v>
      </c>
      <c r="CU628" s="47"/>
    </row>
    <row r="629" spans="1:99" x14ac:dyDescent="0.25">
      <c r="A629" s="37">
        <f>--SUBTOTAL(3,$B$3:B628)</f>
        <v>198</v>
      </c>
      <c r="B629" s="2"/>
      <c r="C629" s="3"/>
      <c r="D629" s="55" t="s">
        <v>18</v>
      </c>
      <c r="E629" s="38" t="s">
        <v>16</v>
      </c>
      <c r="F629" s="38"/>
      <c r="G629" s="39" t="str">
        <f t="shared" si="29"/>
        <v>__</v>
      </c>
      <c r="H629" s="40" t="str">
        <f t="shared" si="30"/>
        <v>FALSE</v>
      </c>
      <c r="I629" s="41">
        <f t="shared" si="31"/>
        <v>0</v>
      </c>
      <c r="J629" s="4" t="s">
        <v>16</v>
      </c>
      <c r="K629" s="43" t="str">
        <f>IF(VLOOKUP(J629,βοηθητικό!$J$2:$N$354,3,FALSE)="","",VLOOKUP(J629,βοηθητικό!$J$2:$N$354,3,FALSE))</f>
        <v>_</v>
      </c>
      <c r="L629" s="44"/>
      <c r="M629" s="5" t="s">
        <v>16</v>
      </c>
      <c r="N629" s="46" t="str">
        <f>IF(VLOOKUP(M629,βοηθητικό!$J$2:$N$354,3,FALSE)="","",VLOOKUP(M629,βοηθητικό!$J$2:$N$354,3,FALSE))</f>
        <v>_</v>
      </c>
      <c r="O629" s="47"/>
      <c r="P629" s="4" t="s">
        <v>16</v>
      </c>
      <c r="Q629" s="43" t="str">
        <f>IF(VLOOKUP(P629,βοηθητικό!$J$2:$N$354,3,FALSE)="","",VLOOKUP(P629,βοηθητικό!$J$2:$N$354,3,FALSE))</f>
        <v>_</v>
      </c>
      <c r="R629" s="44"/>
      <c r="S629" s="5" t="s">
        <v>16</v>
      </c>
      <c r="T629" s="46" t="str">
        <f>IF(VLOOKUP(S629,βοηθητικό!$J$2:$N$354,3,FALSE)="","",VLOOKUP(S629,βοηθητικό!$J$2:$N$354,3,FALSE))</f>
        <v>_</v>
      </c>
      <c r="U629" s="47"/>
      <c r="V629" s="4" t="s">
        <v>16</v>
      </c>
      <c r="W629" s="43" t="str">
        <f>IF(VLOOKUP(V629,βοηθητικό!$J$2:$N$354,3,FALSE)="","",VLOOKUP(V629,βοηθητικό!$J$2:$N$354,3,FALSE))</f>
        <v>_</v>
      </c>
      <c r="X629" s="44"/>
      <c r="Y629" s="5" t="s">
        <v>16</v>
      </c>
      <c r="Z629" s="46" t="str">
        <f>IF(VLOOKUP(Y629,βοηθητικό!$J$2:$N$354,3,FALSE)="","",VLOOKUP(Y629,βοηθητικό!$J$2:$N$354,3,FALSE))</f>
        <v>_</v>
      </c>
      <c r="AA629" s="47"/>
      <c r="AB629" s="4" t="s">
        <v>16</v>
      </c>
      <c r="AC629" s="43" t="str">
        <f>IF(VLOOKUP(AB629,βοηθητικό!$J$2:$N$354,3,FALSE)="","",VLOOKUP(AB629,βοηθητικό!$J$2:$N$354,3,FALSE))</f>
        <v>_</v>
      </c>
      <c r="AD629" s="44"/>
      <c r="AE629" s="5" t="s">
        <v>16</v>
      </c>
      <c r="AF629" s="46" t="str">
        <f>IF(VLOOKUP(AE629,βοηθητικό!$J$2:$N$354,3,FALSE)="","",VLOOKUP(AE629,βοηθητικό!$J$2:$N$354,3,FALSE))</f>
        <v>_</v>
      </c>
      <c r="AG629" s="47"/>
      <c r="AH629" s="4" t="s">
        <v>16</v>
      </c>
      <c r="AI629" s="43" t="str">
        <f>IF(VLOOKUP(AH629,βοηθητικό!$J$2:$N$354,3,FALSE)="","",VLOOKUP(AH629,βοηθητικό!$J$2:$N$354,3,FALSE))</f>
        <v>_</v>
      </c>
      <c r="AJ629" s="44"/>
      <c r="AK629" s="5" t="s">
        <v>16</v>
      </c>
      <c r="AL629" s="46" t="str">
        <f>IF(VLOOKUP(AK629,βοηθητικό!$J$2:$N$354,3,FALSE)="","",VLOOKUP(AK629,βοηθητικό!$J$2:$N$354,3,FALSE))</f>
        <v>_</v>
      </c>
      <c r="AM629" s="47"/>
      <c r="AN629" s="4" t="s">
        <v>16</v>
      </c>
      <c r="AO629" s="43" t="str">
        <f>IF(VLOOKUP(AN629,βοηθητικό!$J$2:$N$354,3,FALSE)="","",VLOOKUP(AN629,βοηθητικό!$J$2:$N$354,3,FALSE))</f>
        <v>_</v>
      </c>
      <c r="AP629" s="44"/>
      <c r="AQ629" s="5" t="s">
        <v>16</v>
      </c>
      <c r="AR629" s="46" t="str">
        <f>IF(VLOOKUP(AQ629,βοηθητικό!$J$2:$N$354,3,FALSE)="","",VLOOKUP(AQ629,βοηθητικό!$J$2:$N$354,3,FALSE))</f>
        <v>_</v>
      </c>
      <c r="AS629" s="47"/>
      <c r="AT629" s="4" t="s">
        <v>16</v>
      </c>
      <c r="AU629" s="43" t="str">
        <f>IF(VLOOKUP(AT629,βοηθητικό!$J$2:$N$354,3,FALSE)="","",VLOOKUP(AT629,βοηθητικό!$J$2:$N$354,3,FALSE))</f>
        <v>_</v>
      </c>
      <c r="AV629" s="44"/>
      <c r="AW629" s="5" t="s">
        <v>16</v>
      </c>
      <c r="AX629" s="46" t="str">
        <f>IF(VLOOKUP(AW629,βοηθητικό!$J$2:$N$354,3,FALSE)="","",VLOOKUP(AW629,βοηθητικό!$J$2:$N$354,3,FALSE))</f>
        <v>_</v>
      </c>
      <c r="AY629" s="47"/>
      <c r="AZ629" s="4" t="s">
        <v>16</v>
      </c>
      <c r="BA629" s="43" t="str">
        <f>IF(VLOOKUP(AZ629,βοηθητικό!$J$2:$N$354,3,FALSE)="","",VLOOKUP(AZ629,βοηθητικό!$J$2:$N$354,3,FALSE))</f>
        <v>_</v>
      </c>
      <c r="BB629" s="44"/>
      <c r="BC629" s="45" t="s">
        <v>16</v>
      </c>
      <c r="BD629" s="46" t="str">
        <f>IF(VLOOKUP(BC629,βοηθητικό!$J$2:$N$354,3,FALSE)="","",VLOOKUP(BC629,βοηθητικό!$J$2:$N$354,3,FALSE))</f>
        <v>_</v>
      </c>
      <c r="BE629" s="47"/>
      <c r="BF629" s="42" t="s">
        <v>16</v>
      </c>
      <c r="BG629" s="43" t="str">
        <f>IF(VLOOKUP(BF629,βοηθητικό!$J$2:$N$354,3,FALSE)="","",VLOOKUP(BF629,βοηθητικό!$J$2:$N$354,3,FALSE))</f>
        <v>_</v>
      </c>
      <c r="BH629" s="44"/>
      <c r="BI629" s="45" t="s">
        <v>16</v>
      </c>
      <c r="BJ629" s="46" t="str">
        <f>IF(VLOOKUP(BI629,βοηθητικό!$J$2:$N$354,3,FALSE)="","",VLOOKUP(BI629,βοηθητικό!$J$2:$N$354,3,FALSE))</f>
        <v>_</v>
      </c>
      <c r="BK629" s="47"/>
      <c r="BL629" s="42" t="s">
        <v>16</v>
      </c>
      <c r="BM629" s="43" t="str">
        <f>IF(VLOOKUP(BL629,βοηθητικό!$J$2:$N$354,3,FALSE)="","",VLOOKUP(BL629,βοηθητικό!$J$2:$N$354,3,FALSE))</f>
        <v>_</v>
      </c>
      <c r="BN629" s="44"/>
      <c r="BO629" s="45" t="s">
        <v>16</v>
      </c>
      <c r="BP629" s="46" t="str">
        <f>IF(VLOOKUP(BO629,βοηθητικό!$J$2:$N$354,3,FALSE)="","",VLOOKUP(BO629,βοηθητικό!$J$2:$N$354,3,FALSE))</f>
        <v>_</v>
      </c>
      <c r="BQ629" s="47"/>
      <c r="BR629" s="42" t="s">
        <v>16</v>
      </c>
      <c r="BS629" s="43" t="str">
        <f>IF(VLOOKUP(BR629,βοηθητικό!$J$2:$N$354,3,FALSE)="","",VLOOKUP(BR629,βοηθητικό!$J$2:$N$354,3,FALSE))</f>
        <v>_</v>
      </c>
      <c r="BT629" s="44"/>
      <c r="BU629" s="45" t="s">
        <v>16</v>
      </c>
      <c r="BV629" s="46" t="str">
        <f>IF(VLOOKUP(BU629,βοηθητικό!$J$2:$N$354,3,FALSE)="","",VLOOKUP(BU629,βοηθητικό!$J$2:$N$354,3,FALSE))</f>
        <v>_</v>
      </c>
      <c r="BW629" s="47"/>
      <c r="BX629" s="42" t="s">
        <v>16</v>
      </c>
      <c r="BY629" s="43" t="str">
        <f>IF(VLOOKUP(BX629,βοηθητικό!$J$2:$N$354,3,FALSE)="","",VLOOKUP(BX629,βοηθητικό!$J$2:$N$354,3,FALSE))</f>
        <v>_</v>
      </c>
      <c r="BZ629" s="44"/>
      <c r="CA629" s="45" t="s">
        <v>16</v>
      </c>
      <c r="CB629" s="46" t="str">
        <f>IF(VLOOKUP(CA629,βοηθητικό!$J$2:$N$354,3,FALSE)="","",VLOOKUP(CA629,βοηθητικό!$J$2:$N$354,3,FALSE))</f>
        <v>_</v>
      </c>
      <c r="CC629" s="47"/>
      <c r="CD629" s="42" t="s">
        <v>16</v>
      </c>
      <c r="CE629" s="43" t="str">
        <f>IF(VLOOKUP(CD629,βοηθητικό!$J$2:$N$354,3,FALSE)="","",VLOOKUP(CD629,βοηθητικό!$J$2:$N$354,3,FALSE))</f>
        <v>_</v>
      </c>
      <c r="CF629" s="44"/>
      <c r="CG629" s="45" t="s">
        <v>16</v>
      </c>
      <c r="CH629" s="46" t="str">
        <f>IF(VLOOKUP(CG629,βοηθητικό!$J$2:$N$354,3,FALSE)="","",VLOOKUP(CG629,βοηθητικό!$J$2:$N$354,3,FALSE))</f>
        <v>_</v>
      </c>
      <c r="CI629" s="47"/>
      <c r="CJ629" s="42" t="s">
        <v>16</v>
      </c>
      <c r="CK629" s="43" t="str">
        <f>IF(VLOOKUP(CJ629,βοηθητικό!$J$2:$N$354,3,FALSE)="","",VLOOKUP(CJ629,βοηθητικό!$J$2:$N$354,3,FALSE))</f>
        <v>_</v>
      </c>
      <c r="CL629" s="44"/>
      <c r="CM629" s="45" t="s">
        <v>16</v>
      </c>
      <c r="CN629" s="46" t="str">
        <f>IF(VLOOKUP(CM629,βοηθητικό!$J$2:$N$354,3,FALSE)="","",VLOOKUP(CM629,βοηθητικό!$J$2:$N$354,3,FALSE))</f>
        <v>_</v>
      </c>
      <c r="CO629" s="47"/>
      <c r="CP629" s="42" t="s">
        <v>16</v>
      </c>
      <c r="CQ629" s="43" t="str">
        <f>IF(VLOOKUP(CP629,βοηθητικό!$J$2:$N$354,3,FALSE)="","",VLOOKUP(CP629,βοηθητικό!$J$2:$N$354,3,FALSE))</f>
        <v>_</v>
      </c>
      <c r="CR629" s="44"/>
      <c r="CS629" s="45" t="s">
        <v>16</v>
      </c>
      <c r="CT629" s="46" t="str">
        <f>IF(VLOOKUP(CS629,βοηθητικό!$J$2:$N$354,3,FALSE)="","",VLOOKUP(CS629,βοηθητικό!$J$2:$N$354,3,FALSE))</f>
        <v>_</v>
      </c>
      <c r="CU629" s="47"/>
    </row>
    <row r="630" spans="1:99" x14ac:dyDescent="0.25">
      <c r="A630" s="37">
        <f>--SUBTOTAL(3,$B$3:B629)</f>
        <v>198</v>
      </c>
      <c r="B630" s="2"/>
      <c r="C630" s="3"/>
      <c r="D630" s="55" t="s">
        <v>18</v>
      </c>
      <c r="E630" s="38" t="s">
        <v>16</v>
      </c>
      <c r="F630" s="38"/>
      <c r="G630" s="39" t="str">
        <f t="shared" si="29"/>
        <v>__</v>
      </c>
      <c r="H630" s="40" t="str">
        <f t="shared" si="30"/>
        <v>FALSE</v>
      </c>
      <c r="I630" s="41">
        <f t="shared" si="31"/>
        <v>0</v>
      </c>
      <c r="J630" s="4" t="s">
        <v>16</v>
      </c>
      <c r="K630" s="43" t="str">
        <f>IF(VLOOKUP(J630,βοηθητικό!$J$2:$N$354,3,FALSE)="","",VLOOKUP(J630,βοηθητικό!$J$2:$N$354,3,FALSE))</f>
        <v>_</v>
      </c>
      <c r="L630" s="44"/>
      <c r="M630" s="5" t="s">
        <v>16</v>
      </c>
      <c r="N630" s="46" t="str">
        <f>IF(VLOOKUP(M630,βοηθητικό!$J$2:$N$354,3,FALSE)="","",VLOOKUP(M630,βοηθητικό!$J$2:$N$354,3,FALSE))</f>
        <v>_</v>
      </c>
      <c r="O630" s="47"/>
      <c r="P630" s="4" t="s">
        <v>16</v>
      </c>
      <c r="Q630" s="43" t="str">
        <f>IF(VLOOKUP(P630,βοηθητικό!$J$2:$N$354,3,FALSE)="","",VLOOKUP(P630,βοηθητικό!$J$2:$N$354,3,FALSE))</f>
        <v>_</v>
      </c>
      <c r="R630" s="44"/>
      <c r="S630" s="5" t="s">
        <v>16</v>
      </c>
      <c r="T630" s="46" t="str">
        <f>IF(VLOOKUP(S630,βοηθητικό!$J$2:$N$354,3,FALSE)="","",VLOOKUP(S630,βοηθητικό!$J$2:$N$354,3,FALSE))</f>
        <v>_</v>
      </c>
      <c r="U630" s="47"/>
      <c r="V630" s="4" t="s">
        <v>16</v>
      </c>
      <c r="W630" s="43" t="str">
        <f>IF(VLOOKUP(V630,βοηθητικό!$J$2:$N$354,3,FALSE)="","",VLOOKUP(V630,βοηθητικό!$J$2:$N$354,3,FALSE))</f>
        <v>_</v>
      </c>
      <c r="X630" s="44"/>
      <c r="Y630" s="5" t="s">
        <v>16</v>
      </c>
      <c r="Z630" s="46" t="str">
        <f>IF(VLOOKUP(Y630,βοηθητικό!$J$2:$N$354,3,FALSE)="","",VLOOKUP(Y630,βοηθητικό!$J$2:$N$354,3,FALSE))</f>
        <v>_</v>
      </c>
      <c r="AA630" s="47"/>
      <c r="AB630" s="4" t="s">
        <v>16</v>
      </c>
      <c r="AC630" s="43" t="str">
        <f>IF(VLOOKUP(AB630,βοηθητικό!$J$2:$N$354,3,FALSE)="","",VLOOKUP(AB630,βοηθητικό!$J$2:$N$354,3,FALSE))</f>
        <v>_</v>
      </c>
      <c r="AD630" s="44"/>
      <c r="AE630" s="5" t="s">
        <v>16</v>
      </c>
      <c r="AF630" s="46" t="str">
        <f>IF(VLOOKUP(AE630,βοηθητικό!$J$2:$N$354,3,FALSE)="","",VLOOKUP(AE630,βοηθητικό!$J$2:$N$354,3,FALSE))</f>
        <v>_</v>
      </c>
      <c r="AG630" s="47"/>
      <c r="AH630" s="4" t="s">
        <v>16</v>
      </c>
      <c r="AI630" s="43" t="str">
        <f>IF(VLOOKUP(AH630,βοηθητικό!$J$2:$N$354,3,FALSE)="","",VLOOKUP(AH630,βοηθητικό!$J$2:$N$354,3,FALSE))</f>
        <v>_</v>
      </c>
      <c r="AJ630" s="44"/>
      <c r="AK630" s="5" t="s">
        <v>16</v>
      </c>
      <c r="AL630" s="46" t="str">
        <f>IF(VLOOKUP(AK630,βοηθητικό!$J$2:$N$354,3,FALSE)="","",VLOOKUP(AK630,βοηθητικό!$J$2:$N$354,3,FALSE))</f>
        <v>_</v>
      </c>
      <c r="AM630" s="47"/>
      <c r="AN630" s="4" t="s">
        <v>16</v>
      </c>
      <c r="AO630" s="43" t="str">
        <f>IF(VLOOKUP(AN630,βοηθητικό!$J$2:$N$354,3,FALSE)="","",VLOOKUP(AN630,βοηθητικό!$J$2:$N$354,3,FALSE))</f>
        <v>_</v>
      </c>
      <c r="AP630" s="44"/>
      <c r="AQ630" s="5" t="s">
        <v>16</v>
      </c>
      <c r="AR630" s="46" t="str">
        <f>IF(VLOOKUP(AQ630,βοηθητικό!$J$2:$N$354,3,FALSE)="","",VLOOKUP(AQ630,βοηθητικό!$J$2:$N$354,3,FALSE))</f>
        <v>_</v>
      </c>
      <c r="AS630" s="47"/>
      <c r="AT630" s="4" t="s">
        <v>16</v>
      </c>
      <c r="AU630" s="43" t="str">
        <f>IF(VLOOKUP(AT630,βοηθητικό!$J$2:$N$354,3,FALSE)="","",VLOOKUP(AT630,βοηθητικό!$J$2:$N$354,3,FALSE))</f>
        <v>_</v>
      </c>
      <c r="AV630" s="44"/>
      <c r="AW630" s="5" t="s">
        <v>16</v>
      </c>
      <c r="AX630" s="46" t="str">
        <f>IF(VLOOKUP(AW630,βοηθητικό!$J$2:$N$354,3,FALSE)="","",VLOOKUP(AW630,βοηθητικό!$J$2:$N$354,3,FALSE))</f>
        <v>_</v>
      </c>
      <c r="AY630" s="47"/>
      <c r="AZ630" s="4" t="s">
        <v>16</v>
      </c>
      <c r="BA630" s="43" t="str">
        <f>IF(VLOOKUP(AZ630,βοηθητικό!$J$2:$N$354,3,FALSE)="","",VLOOKUP(AZ630,βοηθητικό!$J$2:$N$354,3,FALSE))</f>
        <v>_</v>
      </c>
      <c r="BB630" s="44"/>
      <c r="BC630" s="45" t="s">
        <v>16</v>
      </c>
      <c r="BD630" s="46" t="str">
        <f>IF(VLOOKUP(BC630,βοηθητικό!$J$2:$N$354,3,FALSE)="","",VLOOKUP(BC630,βοηθητικό!$J$2:$N$354,3,FALSE))</f>
        <v>_</v>
      </c>
      <c r="BE630" s="47"/>
      <c r="BF630" s="42" t="s">
        <v>16</v>
      </c>
      <c r="BG630" s="43" t="str">
        <f>IF(VLOOKUP(BF630,βοηθητικό!$J$2:$N$354,3,FALSE)="","",VLOOKUP(BF630,βοηθητικό!$J$2:$N$354,3,FALSE))</f>
        <v>_</v>
      </c>
      <c r="BH630" s="44"/>
      <c r="BI630" s="45" t="s">
        <v>16</v>
      </c>
      <c r="BJ630" s="46" t="str">
        <f>IF(VLOOKUP(BI630,βοηθητικό!$J$2:$N$354,3,FALSE)="","",VLOOKUP(BI630,βοηθητικό!$J$2:$N$354,3,FALSE))</f>
        <v>_</v>
      </c>
      <c r="BK630" s="47"/>
      <c r="BL630" s="42" t="s">
        <v>16</v>
      </c>
      <c r="BM630" s="43" t="str">
        <f>IF(VLOOKUP(BL630,βοηθητικό!$J$2:$N$354,3,FALSE)="","",VLOOKUP(BL630,βοηθητικό!$J$2:$N$354,3,FALSE))</f>
        <v>_</v>
      </c>
      <c r="BN630" s="44"/>
      <c r="BO630" s="45" t="s">
        <v>16</v>
      </c>
      <c r="BP630" s="46" t="str">
        <f>IF(VLOOKUP(BO630,βοηθητικό!$J$2:$N$354,3,FALSE)="","",VLOOKUP(BO630,βοηθητικό!$J$2:$N$354,3,FALSE))</f>
        <v>_</v>
      </c>
      <c r="BQ630" s="47"/>
      <c r="BR630" s="42" t="s">
        <v>16</v>
      </c>
      <c r="BS630" s="43" t="str">
        <f>IF(VLOOKUP(BR630,βοηθητικό!$J$2:$N$354,3,FALSE)="","",VLOOKUP(BR630,βοηθητικό!$J$2:$N$354,3,FALSE))</f>
        <v>_</v>
      </c>
      <c r="BT630" s="44"/>
      <c r="BU630" s="45" t="s">
        <v>16</v>
      </c>
      <c r="BV630" s="46" t="str">
        <f>IF(VLOOKUP(BU630,βοηθητικό!$J$2:$N$354,3,FALSE)="","",VLOOKUP(BU630,βοηθητικό!$J$2:$N$354,3,FALSE))</f>
        <v>_</v>
      </c>
      <c r="BW630" s="47"/>
      <c r="BX630" s="42" t="s">
        <v>16</v>
      </c>
      <c r="BY630" s="43" t="str">
        <f>IF(VLOOKUP(BX630,βοηθητικό!$J$2:$N$354,3,FALSE)="","",VLOOKUP(BX630,βοηθητικό!$J$2:$N$354,3,FALSE))</f>
        <v>_</v>
      </c>
      <c r="BZ630" s="44"/>
      <c r="CA630" s="45" t="s">
        <v>16</v>
      </c>
      <c r="CB630" s="46" t="str">
        <f>IF(VLOOKUP(CA630,βοηθητικό!$J$2:$N$354,3,FALSE)="","",VLOOKUP(CA630,βοηθητικό!$J$2:$N$354,3,FALSE))</f>
        <v>_</v>
      </c>
      <c r="CC630" s="47"/>
      <c r="CD630" s="42" t="s">
        <v>16</v>
      </c>
      <c r="CE630" s="43" t="str">
        <f>IF(VLOOKUP(CD630,βοηθητικό!$J$2:$N$354,3,FALSE)="","",VLOOKUP(CD630,βοηθητικό!$J$2:$N$354,3,FALSE))</f>
        <v>_</v>
      </c>
      <c r="CF630" s="44"/>
      <c r="CG630" s="45" t="s">
        <v>16</v>
      </c>
      <c r="CH630" s="46" t="str">
        <f>IF(VLOOKUP(CG630,βοηθητικό!$J$2:$N$354,3,FALSE)="","",VLOOKUP(CG630,βοηθητικό!$J$2:$N$354,3,FALSE))</f>
        <v>_</v>
      </c>
      <c r="CI630" s="47"/>
      <c r="CJ630" s="42" t="s">
        <v>16</v>
      </c>
      <c r="CK630" s="43" t="str">
        <f>IF(VLOOKUP(CJ630,βοηθητικό!$J$2:$N$354,3,FALSE)="","",VLOOKUP(CJ630,βοηθητικό!$J$2:$N$354,3,FALSE))</f>
        <v>_</v>
      </c>
      <c r="CL630" s="44"/>
      <c r="CM630" s="45" t="s">
        <v>16</v>
      </c>
      <c r="CN630" s="46" t="str">
        <f>IF(VLOOKUP(CM630,βοηθητικό!$J$2:$N$354,3,FALSE)="","",VLOOKUP(CM630,βοηθητικό!$J$2:$N$354,3,FALSE))</f>
        <v>_</v>
      </c>
      <c r="CO630" s="47"/>
      <c r="CP630" s="42" t="s">
        <v>16</v>
      </c>
      <c r="CQ630" s="43" t="str">
        <f>IF(VLOOKUP(CP630,βοηθητικό!$J$2:$N$354,3,FALSE)="","",VLOOKUP(CP630,βοηθητικό!$J$2:$N$354,3,FALSE))</f>
        <v>_</v>
      </c>
      <c r="CR630" s="44"/>
      <c r="CS630" s="45" t="s">
        <v>16</v>
      </c>
      <c r="CT630" s="46" t="str">
        <f>IF(VLOOKUP(CS630,βοηθητικό!$J$2:$N$354,3,FALSE)="","",VLOOKUP(CS630,βοηθητικό!$J$2:$N$354,3,FALSE))</f>
        <v>_</v>
      </c>
      <c r="CU630" s="47"/>
    </row>
    <row r="631" spans="1:99" x14ac:dyDescent="0.25">
      <c r="A631" s="37">
        <f>--SUBTOTAL(3,$B$3:B630)</f>
        <v>198</v>
      </c>
      <c r="B631" s="2"/>
      <c r="C631" s="3"/>
      <c r="D631" s="55" t="s">
        <v>18</v>
      </c>
      <c r="E631" s="38" t="s">
        <v>16</v>
      </c>
      <c r="F631" s="38"/>
      <c r="G631" s="39" t="str">
        <f t="shared" si="29"/>
        <v>__</v>
      </c>
      <c r="H631" s="40" t="str">
        <f t="shared" si="30"/>
        <v>FALSE</v>
      </c>
      <c r="I631" s="41">
        <f t="shared" si="31"/>
        <v>0</v>
      </c>
      <c r="J631" s="4" t="s">
        <v>16</v>
      </c>
      <c r="K631" s="43" t="str">
        <f>IF(VLOOKUP(J631,βοηθητικό!$J$2:$N$354,3,FALSE)="","",VLOOKUP(J631,βοηθητικό!$J$2:$N$354,3,FALSE))</f>
        <v>_</v>
      </c>
      <c r="L631" s="44"/>
      <c r="M631" s="5" t="s">
        <v>16</v>
      </c>
      <c r="N631" s="46" t="str">
        <f>IF(VLOOKUP(M631,βοηθητικό!$J$2:$N$354,3,FALSE)="","",VLOOKUP(M631,βοηθητικό!$J$2:$N$354,3,FALSE))</f>
        <v>_</v>
      </c>
      <c r="O631" s="47"/>
      <c r="P631" s="4" t="s">
        <v>16</v>
      </c>
      <c r="Q631" s="43" t="str">
        <f>IF(VLOOKUP(P631,βοηθητικό!$J$2:$N$354,3,FALSE)="","",VLOOKUP(P631,βοηθητικό!$J$2:$N$354,3,FALSE))</f>
        <v>_</v>
      </c>
      <c r="R631" s="44"/>
      <c r="S631" s="5" t="s">
        <v>16</v>
      </c>
      <c r="T631" s="46" t="str">
        <f>IF(VLOOKUP(S631,βοηθητικό!$J$2:$N$354,3,FALSE)="","",VLOOKUP(S631,βοηθητικό!$J$2:$N$354,3,FALSE))</f>
        <v>_</v>
      </c>
      <c r="U631" s="47"/>
      <c r="V631" s="4" t="s">
        <v>16</v>
      </c>
      <c r="W631" s="43" t="str">
        <f>IF(VLOOKUP(V631,βοηθητικό!$J$2:$N$354,3,FALSE)="","",VLOOKUP(V631,βοηθητικό!$J$2:$N$354,3,FALSE))</f>
        <v>_</v>
      </c>
      <c r="X631" s="44"/>
      <c r="Y631" s="5" t="s">
        <v>16</v>
      </c>
      <c r="Z631" s="46" t="str">
        <f>IF(VLOOKUP(Y631,βοηθητικό!$J$2:$N$354,3,FALSE)="","",VLOOKUP(Y631,βοηθητικό!$J$2:$N$354,3,FALSE))</f>
        <v>_</v>
      </c>
      <c r="AA631" s="47"/>
      <c r="AB631" s="4" t="s">
        <v>16</v>
      </c>
      <c r="AC631" s="43" t="str">
        <f>IF(VLOOKUP(AB631,βοηθητικό!$J$2:$N$354,3,FALSE)="","",VLOOKUP(AB631,βοηθητικό!$J$2:$N$354,3,FALSE))</f>
        <v>_</v>
      </c>
      <c r="AD631" s="44"/>
      <c r="AE631" s="5" t="s">
        <v>16</v>
      </c>
      <c r="AF631" s="46" t="str">
        <f>IF(VLOOKUP(AE631,βοηθητικό!$J$2:$N$354,3,FALSE)="","",VLOOKUP(AE631,βοηθητικό!$J$2:$N$354,3,FALSE))</f>
        <v>_</v>
      </c>
      <c r="AG631" s="47"/>
      <c r="AH631" s="4" t="s">
        <v>16</v>
      </c>
      <c r="AI631" s="43" t="str">
        <f>IF(VLOOKUP(AH631,βοηθητικό!$J$2:$N$354,3,FALSE)="","",VLOOKUP(AH631,βοηθητικό!$J$2:$N$354,3,FALSE))</f>
        <v>_</v>
      </c>
      <c r="AJ631" s="44"/>
      <c r="AK631" s="5" t="s">
        <v>16</v>
      </c>
      <c r="AL631" s="46" t="str">
        <f>IF(VLOOKUP(AK631,βοηθητικό!$J$2:$N$354,3,FALSE)="","",VLOOKUP(AK631,βοηθητικό!$J$2:$N$354,3,FALSE))</f>
        <v>_</v>
      </c>
      <c r="AM631" s="47"/>
      <c r="AN631" s="4" t="s">
        <v>16</v>
      </c>
      <c r="AO631" s="43" t="str">
        <f>IF(VLOOKUP(AN631,βοηθητικό!$J$2:$N$354,3,FALSE)="","",VLOOKUP(AN631,βοηθητικό!$J$2:$N$354,3,FALSE))</f>
        <v>_</v>
      </c>
      <c r="AP631" s="44"/>
      <c r="AQ631" s="5" t="s">
        <v>16</v>
      </c>
      <c r="AR631" s="46" t="str">
        <f>IF(VLOOKUP(AQ631,βοηθητικό!$J$2:$N$354,3,FALSE)="","",VLOOKUP(AQ631,βοηθητικό!$J$2:$N$354,3,FALSE))</f>
        <v>_</v>
      </c>
      <c r="AS631" s="47"/>
      <c r="AT631" s="4" t="s">
        <v>16</v>
      </c>
      <c r="AU631" s="43" t="str">
        <f>IF(VLOOKUP(AT631,βοηθητικό!$J$2:$N$354,3,FALSE)="","",VLOOKUP(AT631,βοηθητικό!$J$2:$N$354,3,FALSE))</f>
        <v>_</v>
      </c>
      <c r="AV631" s="44"/>
      <c r="AW631" s="5" t="s">
        <v>16</v>
      </c>
      <c r="AX631" s="46" t="str">
        <f>IF(VLOOKUP(AW631,βοηθητικό!$J$2:$N$354,3,FALSE)="","",VLOOKUP(AW631,βοηθητικό!$J$2:$N$354,3,FALSE))</f>
        <v>_</v>
      </c>
      <c r="AY631" s="47"/>
      <c r="AZ631" s="4" t="s">
        <v>16</v>
      </c>
      <c r="BA631" s="43" t="str">
        <f>IF(VLOOKUP(AZ631,βοηθητικό!$J$2:$N$354,3,FALSE)="","",VLOOKUP(AZ631,βοηθητικό!$J$2:$N$354,3,FALSE))</f>
        <v>_</v>
      </c>
      <c r="BB631" s="44"/>
      <c r="BC631" s="45" t="s">
        <v>16</v>
      </c>
      <c r="BD631" s="46" t="str">
        <f>IF(VLOOKUP(BC631,βοηθητικό!$J$2:$N$354,3,FALSE)="","",VLOOKUP(BC631,βοηθητικό!$J$2:$N$354,3,FALSE))</f>
        <v>_</v>
      </c>
      <c r="BE631" s="47"/>
      <c r="BF631" s="42" t="s">
        <v>16</v>
      </c>
      <c r="BG631" s="43" t="str">
        <f>IF(VLOOKUP(BF631,βοηθητικό!$J$2:$N$354,3,FALSE)="","",VLOOKUP(BF631,βοηθητικό!$J$2:$N$354,3,FALSE))</f>
        <v>_</v>
      </c>
      <c r="BH631" s="44"/>
      <c r="BI631" s="45" t="s">
        <v>16</v>
      </c>
      <c r="BJ631" s="46" t="str">
        <f>IF(VLOOKUP(BI631,βοηθητικό!$J$2:$N$354,3,FALSE)="","",VLOOKUP(BI631,βοηθητικό!$J$2:$N$354,3,FALSE))</f>
        <v>_</v>
      </c>
      <c r="BK631" s="47"/>
      <c r="BL631" s="42" t="s">
        <v>16</v>
      </c>
      <c r="BM631" s="43" t="str">
        <f>IF(VLOOKUP(BL631,βοηθητικό!$J$2:$N$354,3,FALSE)="","",VLOOKUP(BL631,βοηθητικό!$J$2:$N$354,3,FALSE))</f>
        <v>_</v>
      </c>
      <c r="BN631" s="44"/>
      <c r="BO631" s="45" t="s">
        <v>16</v>
      </c>
      <c r="BP631" s="46" t="str">
        <f>IF(VLOOKUP(BO631,βοηθητικό!$J$2:$N$354,3,FALSE)="","",VLOOKUP(BO631,βοηθητικό!$J$2:$N$354,3,FALSE))</f>
        <v>_</v>
      </c>
      <c r="BQ631" s="47"/>
      <c r="BR631" s="42" t="s">
        <v>16</v>
      </c>
      <c r="BS631" s="43" t="str">
        <f>IF(VLOOKUP(BR631,βοηθητικό!$J$2:$N$354,3,FALSE)="","",VLOOKUP(BR631,βοηθητικό!$J$2:$N$354,3,FALSE))</f>
        <v>_</v>
      </c>
      <c r="BT631" s="44"/>
      <c r="BU631" s="45" t="s">
        <v>16</v>
      </c>
      <c r="BV631" s="46" t="str">
        <f>IF(VLOOKUP(BU631,βοηθητικό!$J$2:$N$354,3,FALSE)="","",VLOOKUP(BU631,βοηθητικό!$J$2:$N$354,3,FALSE))</f>
        <v>_</v>
      </c>
      <c r="BW631" s="47"/>
      <c r="BX631" s="42" t="s">
        <v>16</v>
      </c>
      <c r="BY631" s="43" t="str">
        <f>IF(VLOOKUP(BX631,βοηθητικό!$J$2:$N$354,3,FALSE)="","",VLOOKUP(BX631,βοηθητικό!$J$2:$N$354,3,FALSE))</f>
        <v>_</v>
      </c>
      <c r="BZ631" s="44"/>
      <c r="CA631" s="45" t="s">
        <v>16</v>
      </c>
      <c r="CB631" s="46" t="str">
        <f>IF(VLOOKUP(CA631,βοηθητικό!$J$2:$N$354,3,FALSE)="","",VLOOKUP(CA631,βοηθητικό!$J$2:$N$354,3,FALSE))</f>
        <v>_</v>
      </c>
      <c r="CC631" s="47"/>
      <c r="CD631" s="42" t="s">
        <v>16</v>
      </c>
      <c r="CE631" s="43" t="str">
        <f>IF(VLOOKUP(CD631,βοηθητικό!$J$2:$N$354,3,FALSE)="","",VLOOKUP(CD631,βοηθητικό!$J$2:$N$354,3,FALSE))</f>
        <v>_</v>
      </c>
      <c r="CF631" s="44"/>
      <c r="CG631" s="45" t="s">
        <v>16</v>
      </c>
      <c r="CH631" s="46" t="str">
        <f>IF(VLOOKUP(CG631,βοηθητικό!$J$2:$N$354,3,FALSE)="","",VLOOKUP(CG631,βοηθητικό!$J$2:$N$354,3,FALSE))</f>
        <v>_</v>
      </c>
      <c r="CI631" s="47"/>
      <c r="CJ631" s="42" t="s">
        <v>16</v>
      </c>
      <c r="CK631" s="43" t="str">
        <f>IF(VLOOKUP(CJ631,βοηθητικό!$J$2:$N$354,3,FALSE)="","",VLOOKUP(CJ631,βοηθητικό!$J$2:$N$354,3,FALSE))</f>
        <v>_</v>
      </c>
      <c r="CL631" s="44"/>
      <c r="CM631" s="45" t="s">
        <v>16</v>
      </c>
      <c r="CN631" s="46" t="str">
        <f>IF(VLOOKUP(CM631,βοηθητικό!$J$2:$N$354,3,FALSE)="","",VLOOKUP(CM631,βοηθητικό!$J$2:$N$354,3,FALSE))</f>
        <v>_</v>
      </c>
      <c r="CO631" s="47"/>
      <c r="CP631" s="42" t="s">
        <v>16</v>
      </c>
      <c r="CQ631" s="43" t="str">
        <f>IF(VLOOKUP(CP631,βοηθητικό!$J$2:$N$354,3,FALSE)="","",VLOOKUP(CP631,βοηθητικό!$J$2:$N$354,3,FALSE))</f>
        <v>_</v>
      </c>
      <c r="CR631" s="44"/>
      <c r="CS631" s="45" t="s">
        <v>16</v>
      </c>
      <c r="CT631" s="46" t="str">
        <f>IF(VLOOKUP(CS631,βοηθητικό!$J$2:$N$354,3,FALSE)="","",VLOOKUP(CS631,βοηθητικό!$J$2:$N$354,3,FALSE))</f>
        <v>_</v>
      </c>
      <c r="CU631" s="47"/>
    </row>
    <row r="632" spans="1:99" x14ac:dyDescent="0.25">
      <c r="A632" s="37">
        <f>--SUBTOTAL(3,$B$3:B631)</f>
        <v>198</v>
      </c>
      <c r="B632" s="2"/>
      <c r="C632" s="3"/>
      <c r="D632" s="55" t="s">
        <v>18</v>
      </c>
      <c r="E632" s="38" t="s">
        <v>16</v>
      </c>
      <c r="F632" s="38"/>
      <c r="G632" s="39" t="str">
        <f t="shared" si="29"/>
        <v>__</v>
      </c>
      <c r="H632" s="40" t="str">
        <f t="shared" si="30"/>
        <v>FALSE</v>
      </c>
      <c r="I632" s="41">
        <f t="shared" si="31"/>
        <v>0</v>
      </c>
      <c r="J632" s="4" t="s">
        <v>16</v>
      </c>
      <c r="K632" s="43" t="str">
        <f>IF(VLOOKUP(J632,βοηθητικό!$J$2:$N$354,3,FALSE)="","",VLOOKUP(J632,βοηθητικό!$J$2:$N$354,3,FALSE))</f>
        <v>_</v>
      </c>
      <c r="L632" s="44"/>
      <c r="M632" s="5" t="s">
        <v>16</v>
      </c>
      <c r="N632" s="46" t="str">
        <f>IF(VLOOKUP(M632,βοηθητικό!$J$2:$N$354,3,FALSE)="","",VLOOKUP(M632,βοηθητικό!$J$2:$N$354,3,FALSE))</f>
        <v>_</v>
      </c>
      <c r="O632" s="47"/>
      <c r="P632" s="4" t="s">
        <v>16</v>
      </c>
      <c r="Q632" s="43" t="str">
        <f>IF(VLOOKUP(P632,βοηθητικό!$J$2:$N$354,3,FALSE)="","",VLOOKUP(P632,βοηθητικό!$J$2:$N$354,3,FALSE))</f>
        <v>_</v>
      </c>
      <c r="R632" s="44"/>
      <c r="S632" s="5" t="s">
        <v>16</v>
      </c>
      <c r="T632" s="46" t="str">
        <f>IF(VLOOKUP(S632,βοηθητικό!$J$2:$N$354,3,FALSE)="","",VLOOKUP(S632,βοηθητικό!$J$2:$N$354,3,FALSE))</f>
        <v>_</v>
      </c>
      <c r="U632" s="47"/>
      <c r="V632" s="4" t="s">
        <v>16</v>
      </c>
      <c r="W632" s="43" t="str">
        <f>IF(VLOOKUP(V632,βοηθητικό!$J$2:$N$354,3,FALSE)="","",VLOOKUP(V632,βοηθητικό!$J$2:$N$354,3,FALSE))</f>
        <v>_</v>
      </c>
      <c r="X632" s="44"/>
      <c r="Y632" s="5" t="s">
        <v>16</v>
      </c>
      <c r="Z632" s="46" t="str">
        <f>IF(VLOOKUP(Y632,βοηθητικό!$J$2:$N$354,3,FALSE)="","",VLOOKUP(Y632,βοηθητικό!$J$2:$N$354,3,FALSE))</f>
        <v>_</v>
      </c>
      <c r="AA632" s="47"/>
      <c r="AB632" s="4" t="s">
        <v>16</v>
      </c>
      <c r="AC632" s="43" t="str">
        <f>IF(VLOOKUP(AB632,βοηθητικό!$J$2:$N$354,3,FALSE)="","",VLOOKUP(AB632,βοηθητικό!$J$2:$N$354,3,FALSE))</f>
        <v>_</v>
      </c>
      <c r="AD632" s="44"/>
      <c r="AE632" s="5" t="s">
        <v>16</v>
      </c>
      <c r="AF632" s="46" t="str">
        <f>IF(VLOOKUP(AE632,βοηθητικό!$J$2:$N$354,3,FALSE)="","",VLOOKUP(AE632,βοηθητικό!$J$2:$N$354,3,FALSE))</f>
        <v>_</v>
      </c>
      <c r="AG632" s="47"/>
      <c r="AH632" s="4" t="s">
        <v>16</v>
      </c>
      <c r="AI632" s="43" t="str">
        <f>IF(VLOOKUP(AH632,βοηθητικό!$J$2:$N$354,3,FALSE)="","",VLOOKUP(AH632,βοηθητικό!$J$2:$N$354,3,FALSE))</f>
        <v>_</v>
      </c>
      <c r="AJ632" s="44"/>
      <c r="AK632" s="5" t="s">
        <v>16</v>
      </c>
      <c r="AL632" s="46" t="str">
        <f>IF(VLOOKUP(AK632,βοηθητικό!$J$2:$N$354,3,FALSE)="","",VLOOKUP(AK632,βοηθητικό!$J$2:$N$354,3,FALSE))</f>
        <v>_</v>
      </c>
      <c r="AM632" s="47"/>
      <c r="AN632" s="4" t="s">
        <v>16</v>
      </c>
      <c r="AO632" s="43" t="str">
        <f>IF(VLOOKUP(AN632,βοηθητικό!$J$2:$N$354,3,FALSE)="","",VLOOKUP(AN632,βοηθητικό!$J$2:$N$354,3,FALSE))</f>
        <v>_</v>
      </c>
      <c r="AP632" s="44"/>
      <c r="AQ632" s="5" t="s">
        <v>16</v>
      </c>
      <c r="AR632" s="46" t="str">
        <f>IF(VLOOKUP(AQ632,βοηθητικό!$J$2:$N$354,3,FALSE)="","",VLOOKUP(AQ632,βοηθητικό!$J$2:$N$354,3,FALSE))</f>
        <v>_</v>
      </c>
      <c r="AS632" s="47"/>
      <c r="AT632" s="4" t="s">
        <v>16</v>
      </c>
      <c r="AU632" s="43" t="str">
        <f>IF(VLOOKUP(AT632,βοηθητικό!$J$2:$N$354,3,FALSE)="","",VLOOKUP(AT632,βοηθητικό!$J$2:$N$354,3,FALSE))</f>
        <v>_</v>
      </c>
      <c r="AV632" s="44"/>
      <c r="AW632" s="5" t="s">
        <v>16</v>
      </c>
      <c r="AX632" s="46" t="str">
        <f>IF(VLOOKUP(AW632,βοηθητικό!$J$2:$N$354,3,FALSE)="","",VLOOKUP(AW632,βοηθητικό!$J$2:$N$354,3,FALSE))</f>
        <v>_</v>
      </c>
      <c r="AY632" s="47"/>
      <c r="AZ632" s="4" t="s">
        <v>16</v>
      </c>
      <c r="BA632" s="43" t="str">
        <f>IF(VLOOKUP(AZ632,βοηθητικό!$J$2:$N$354,3,FALSE)="","",VLOOKUP(AZ632,βοηθητικό!$J$2:$N$354,3,FALSE))</f>
        <v>_</v>
      </c>
      <c r="BB632" s="44"/>
      <c r="BC632" s="45" t="s">
        <v>16</v>
      </c>
      <c r="BD632" s="46" t="str">
        <f>IF(VLOOKUP(BC632,βοηθητικό!$J$2:$N$354,3,FALSE)="","",VLOOKUP(BC632,βοηθητικό!$J$2:$N$354,3,FALSE))</f>
        <v>_</v>
      </c>
      <c r="BE632" s="47"/>
      <c r="BF632" s="42" t="s">
        <v>16</v>
      </c>
      <c r="BG632" s="43" t="str">
        <f>IF(VLOOKUP(BF632,βοηθητικό!$J$2:$N$354,3,FALSE)="","",VLOOKUP(BF632,βοηθητικό!$J$2:$N$354,3,FALSE))</f>
        <v>_</v>
      </c>
      <c r="BH632" s="44"/>
      <c r="BI632" s="45" t="s">
        <v>16</v>
      </c>
      <c r="BJ632" s="46" t="str">
        <f>IF(VLOOKUP(BI632,βοηθητικό!$J$2:$N$354,3,FALSE)="","",VLOOKUP(BI632,βοηθητικό!$J$2:$N$354,3,FALSE))</f>
        <v>_</v>
      </c>
      <c r="BK632" s="47"/>
      <c r="BL632" s="42" t="s">
        <v>16</v>
      </c>
      <c r="BM632" s="43" t="str">
        <f>IF(VLOOKUP(BL632,βοηθητικό!$J$2:$N$354,3,FALSE)="","",VLOOKUP(BL632,βοηθητικό!$J$2:$N$354,3,FALSE))</f>
        <v>_</v>
      </c>
      <c r="BN632" s="44"/>
      <c r="BO632" s="45" t="s">
        <v>16</v>
      </c>
      <c r="BP632" s="46" t="str">
        <f>IF(VLOOKUP(BO632,βοηθητικό!$J$2:$N$354,3,FALSE)="","",VLOOKUP(BO632,βοηθητικό!$J$2:$N$354,3,FALSE))</f>
        <v>_</v>
      </c>
      <c r="BQ632" s="47"/>
      <c r="BR632" s="42" t="s">
        <v>16</v>
      </c>
      <c r="BS632" s="43" t="str">
        <f>IF(VLOOKUP(BR632,βοηθητικό!$J$2:$N$354,3,FALSE)="","",VLOOKUP(BR632,βοηθητικό!$J$2:$N$354,3,FALSE))</f>
        <v>_</v>
      </c>
      <c r="BT632" s="44"/>
      <c r="BU632" s="45" t="s">
        <v>16</v>
      </c>
      <c r="BV632" s="46" t="str">
        <f>IF(VLOOKUP(BU632,βοηθητικό!$J$2:$N$354,3,FALSE)="","",VLOOKUP(BU632,βοηθητικό!$J$2:$N$354,3,FALSE))</f>
        <v>_</v>
      </c>
      <c r="BW632" s="47"/>
      <c r="BX632" s="42" t="s">
        <v>16</v>
      </c>
      <c r="BY632" s="43" t="str">
        <f>IF(VLOOKUP(BX632,βοηθητικό!$J$2:$N$354,3,FALSE)="","",VLOOKUP(BX632,βοηθητικό!$J$2:$N$354,3,FALSE))</f>
        <v>_</v>
      </c>
      <c r="BZ632" s="44"/>
      <c r="CA632" s="45" t="s">
        <v>16</v>
      </c>
      <c r="CB632" s="46" t="str">
        <f>IF(VLOOKUP(CA632,βοηθητικό!$J$2:$N$354,3,FALSE)="","",VLOOKUP(CA632,βοηθητικό!$J$2:$N$354,3,FALSE))</f>
        <v>_</v>
      </c>
      <c r="CC632" s="47"/>
      <c r="CD632" s="42" t="s">
        <v>16</v>
      </c>
      <c r="CE632" s="43" t="str">
        <f>IF(VLOOKUP(CD632,βοηθητικό!$J$2:$N$354,3,FALSE)="","",VLOOKUP(CD632,βοηθητικό!$J$2:$N$354,3,FALSE))</f>
        <v>_</v>
      </c>
      <c r="CF632" s="44"/>
      <c r="CG632" s="45" t="s">
        <v>16</v>
      </c>
      <c r="CH632" s="46" t="str">
        <f>IF(VLOOKUP(CG632,βοηθητικό!$J$2:$N$354,3,FALSE)="","",VLOOKUP(CG632,βοηθητικό!$J$2:$N$354,3,FALSE))</f>
        <v>_</v>
      </c>
      <c r="CI632" s="47"/>
      <c r="CJ632" s="42" t="s">
        <v>16</v>
      </c>
      <c r="CK632" s="43" t="str">
        <f>IF(VLOOKUP(CJ632,βοηθητικό!$J$2:$N$354,3,FALSE)="","",VLOOKUP(CJ632,βοηθητικό!$J$2:$N$354,3,FALSE))</f>
        <v>_</v>
      </c>
      <c r="CL632" s="44"/>
      <c r="CM632" s="45" t="s">
        <v>16</v>
      </c>
      <c r="CN632" s="46" t="str">
        <f>IF(VLOOKUP(CM632,βοηθητικό!$J$2:$N$354,3,FALSE)="","",VLOOKUP(CM632,βοηθητικό!$J$2:$N$354,3,FALSE))</f>
        <v>_</v>
      </c>
      <c r="CO632" s="47"/>
      <c r="CP632" s="42" t="s">
        <v>16</v>
      </c>
      <c r="CQ632" s="43" t="str">
        <f>IF(VLOOKUP(CP632,βοηθητικό!$J$2:$N$354,3,FALSE)="","",VLOOKUP(CP632,βοηθητικό!$J$2:$N$354,3,FALSE))</f>
        <v>_</v>
      </c>
      <c r="CR632" s="44"/>
      <c r="CS632" s="45" t="s">
        <v>16</v>
      </c>
      <c r="CT632" s="46" t="str">
        <f>IF(VLOOKUP(CS632,βοηθητικό!$J$2:$N$354,3,FALSE)="","",VLOOKUP(CS632,βοηθητικό!$J$2:$N$354,3,FALSE))</f>
        <v>_</v>
      </c>
      <c r="CU632" s="47"/>
    </row>
    <row r="633" spans="1:99" x14ac:dyDescent="0.25">
      <c r="A633" s="37">
        <f>--SUBTOTAL(3,$B$3:B632)</f>
        <v>198</v>
      </c>
      <c r="B633" s="2"/>
      <c r="C633" s="3"/>
      <c r="D633" s="55" t="s">
        <v>18</v>
      </c>
      <c r="E633" s="38" t="s">
        <v>16</v>
      </c>
      <c r="F633" s="38"/>
      <c r="G633" s="39" t="str">
        <f t="shared" si="29"/>
        <v>__</v>
      </c>
      <c r="H633" s="40" t="str">
        <f t="shared" si="30"/>
        <v>FALSE</v>
      </c>
      <c r="I633" s="41">
        <f t="shared" si="31"/>
        <v>0</v>
      </c>
      <c r="J633" s="4" t="s">
        <v>16</v>
      </c>
      <c r="K633" s="43" t="str">
        <f>IF(VLOOKUP(J633,βοηθητικό!$J$2:$N$354,3,FALSE)="","",VLOOKUP(J633,βοηθητικό!$J$2:$N$354,3,FALSE))</f>
        <v>_</v>
      </c>
      <c r="L633" s="44"/>
      <c r="M633" s="5" t="s">
        <v>16</v>
      </c>
      <c r="N633" s="46" t="str">
        <f>IF(VLOOKUP(M633,βοηθητικό!$J$2:$N$354,3,FALSE)="","",VLOOKUP(M633,βοηθητικό!$J$2:$N$354,3,FALSE))</f>
        <v>_</v>
      </c>
      <c r="O633" s="47"/>
      <c r="P633" s="4" t="s">
        <v>16</v>
      </c>
      <c r="Q633" s="43" t="str">
        <f>IF(VLOOKUP(P633,βοηθητικό!$J$2:$N$354,3,FALSE)="","",VLOOKUP(P633,βοηθητικό!$J$2:$N$354,3,FALSE))</f>
        <v>_</v>
      </c>
      <c r="R633" s="44"/>
      <c r="S633" s="5" t="s">
        <v>16</v>
      </c>
      <c r="T633" s="46" t="str">
        <f>IF(VLOOKUP(S633,βοηθητικό!$J$2:$N$354,3,FALSE)="","",VLOOKUP(S633,βοηθητικό!$J$2:$N$354,3,FALSE))</f>
        <v>_</v>
      </c>
      <c r="U633" s="47"/>
      <c r="V633" s="4" t="s">
        <v>16</v>
      </c>
      <c r="W633" s="43" t="str">
        <f>IF(VLOOKUP(V633,βοηθητικό!$J$2:$N$354,3,FALSE)="","",VLOOKUP(V633,βοηθητικό!$J$2:$N$354,3,FALSE))</f>
        <v>_</v>
      </c>
      <c r="X633" s="44"/>
      <c r="Y633" s="5" t="s">
        <v>16</v>
      </c>
      <c r="Z633" s="46" t="str">
        <f>IF(VLOOKUP(Y633,βοηθητικό!$J$2:$N$354,3,FALSE)="","",VLOOKUP(Y633,βοηθητικό!$J$2:$N$354,3,FALSE))</f>
        <v>_</v>
      </c>
      <c r="AA633" s="47"/>
      <c r="AB633" s="4" t="s">
        <v>16</v>
      </c>
      <c r="AC633" s="43" t="str">
        <f>IF(VLOOKUP(AB633,βοηθητικό!$J$2:$N$354,3,FALSE)="","",VLOOKUP(AB633,βοηθητικό!$J$2:$N$354,3,FALSE))</f>
        <v>_</v>
      </c>
      <c r="AD633" s="44"/>
      <c r="AE633" s="5" t="s">
        <v>16</v>
      </c>
      <c r="AF633" s="46" t="str">
        <f>IF(VLOOKUP(AE633,βοηθητικό!$J$2:$N$354,3,FALSE)="","",VLOOKUP(AE633,βοηθητικό!$J$2:$N$354,3,FALSE))</f>
        <v>_</v>
      </c>
      <c r="AG633" s="47"/>
      <c r="AH633" s="4" t="s">
        <v>16</v>
      </c>
      <c r="AI633" s="43" t="str">
        <f>IF(VLOOKUP(AH633,βοηθητικό!$J$2:$N$354,3,FALSE)="","",VLOOKUP(AH633,βοηθητικό!$J$2:$N$354,3,FALSE))</f>
        <v>_</v>
      </c>
      <c r="AJ633" s="44"/>
      <c r="AK633" s="5" t="s">
        <v>16</v>
      </c>
      <c r="AL633" s="46" t="str">
        <f>IF(VLOOKUP(AK633,βοηθητικό!$J$2:$N$354,3,FALSE)="","",VLOOKUP(AK633,βοηθητικό!$J$2:$N$354,3,FALSE))</f>
        <v>_</v>
      </c>
      <c r="AM633" s="47"/>
      <c r="AN633" s="4" t="s">
        <v>16</v>
      </c>
      <c r="AO633" s="43" t="str">
        <f>IF(VLOOKUP(AN633,βοηθητικό!$J$2:$N$354,3,FALSE)="","",VLOOKUP(AN633,βοηθητικό!$J$2:$N$354,3,FALSE))</f>
        <v>_</v>
      </c>
      <c r="AP633" s="44"/>
      <c r="AQ633" s="5" t="s">
        <v>16</v>
      </c>
      <c r="AR633" s="46" t="str">
        <f>IF(VLOOKUP(AQ633,βοηθητικό!$J$2:$N$354,3,FALSE)="","",VLOOKUP(AQ633,βοηθητικό!$J$2:$N$354,3,FALSE))</f>
        <v>_</v>
      </c>
      <c r="AS633" s="47"/>
      <c r="AT633" s="4" t="s">
        <v>16</v>
      </c>
      <c r="AU633" s="43" t="str">
        <f>IF(VLOOKUP(AT633,βοηθητικό!$J$2:$N$354,3,FALSE)="","",VLOOKUP(AT633,βοηθητικό!$J$2:$N$354,3,FALSE))</f>
        <v>_</v>
      </c>
      <c r="AV633" s="44"/>
      <c r="AW633" s="5" t="s">
        <v>16</v>
      </c>
      <c r="AX633" s="46" t="str">
        <f>IF(VLOOKUP(AW633,βοηθητικό!$J$2:$N$354,3,FALSE)="","",VLOOKUP(AW633,βοηθητικό!$J$2:$N$354,3,FALSE))</f>
        <v>_</v>
      </c>
      <c r="AY633" s="47"/>
      <c r="AZ633" s="4" t="s">
        <v>16</v>
      </c>
      <c r="BA633" s="43" t="str">
        <f>IF(VLOOKUP(AZ633,βοηθητικό!$J$2:$N$354,3,FALSE)="","",VLOOKUP(AZ633,βοηθητικό!$J$2:$N$354,3,FALSE))</f>
        <v>_</v>
      </c>
      <c r="BB633" s="44"/>
      <c r="BC633" s="45" t="s">
        <v>16</v>
      </c>
      <c r="BD633" s="46" t="str">
        <f>IF(VLOOKUP(BC633,βοηθητικό!$J$2:$N$354,3,FALSE)="","",VLOOKUP(BC633,βοηθητικό!$J$2:$N$354,3,FALSE))</f>
        <v>_</v>
      </c>
      <c r="BE633" s="47"/>
      <c r="BF633" s="42" t="s">
        <v>16</v>
      </c>
      <c r="BG633" s="43" t="str">
        <f>IF(VLOOKUP(BF633,βοηθητικό!$J$2:$N$354,3,FALSE)="","",VLOOKUP(BF633,βοηθητικό!$J$2:$N$354,3,FALSE))</f>
        <v>_</v>
      </c>
      <c r="BH633" s="44"/>
      <c r="BI633" s="45" t="s">
        <v>16</v>
      </c>
      <c r="BJ633" s="46" t="str">
        <f>IF(VLOOKUP(BI633,βοηθητικό!$J$2:$N$354,3,FALSE)="","",VLOOKUP(BI633,βοηθητικό!$J$2:$N$354,3,FALSE))</f>
        <v>_</v>
      </c>
      <c r="BK633" s="47"/>
      <c r="BL633" s="42" t="s">
        <v>16</v>
      </c>
      <c r="BM633" s="43" t="str">
        <f>IF(VLOOKUP(BL633,βοηθητικό!$J$2:$N$354,3,FALSE)="","",VLOOKUP(BL633,βοηθητικό!$J$2:$N$354,3,FALSE))</f>
        <v>_</v>
      </c>
      <c r="BN633" s="44"/>
      <c r="BO633" s="45" t="s">
        <v>16</v>
      </c>
      <c r="BP633" s="46" t="str">
        <f>IF(VLOOKUP(BO633,βοηθητικό!$J$2:$N$354,3,FALSE)="","",VLOOKUP(BO633,βοηθητικό!$J$2:$N$354,3,FALSE))</f>
        <v>_</v>
      </c>
      <c r="BQ633" s="47"/>
      <c r="BR633" s="42" t="s">
        <v>16</v>
      </c>
      <c r="BS633" s="43" t="str">
        <f>IF(VLOOKUP(BR633,βοηθητικό!$J$2:$N$354,3,FALSE)="","",VLOOKUP(BR633,βοηθητικό!$J$2:$N$354,3,FALSE))</f>
        <v>_</v>
      </c>
      <c r="BT633" s="44"/>
      <c r="BU633" s="45" t="s">
        <v>16</v>
      </c>
      <c r="BV633" s="46" t="str">
        <f>IF(VLOOKUP(BU633,βοηθητικό!$J$2:$N$354,3,FALSE)="","",VLOOKUP(BU633,βοηθητικό!$J$2:$N$354,3,FALSE))</f>
        <v>_</v>
      </c>
      <c r="BW633" s="47"/>
      <c r="BX633" s="42" t="s">
        <v>16</v>
      </c>
      <c r="BY633" s="43" t="str">
        <f>IF(VLOOKUP(BX633,βοηθητικό!$J$2:$N$354,3,FALSE)="","",VLOOKUP(BX633,βοηθητικό!$J$2:$N$354,3,FALSE))</f>
        <v>_</v>
      </c>
      <c r="BZ633" s="44"/>
      <c r="CA633" s="45" t="s">
        <v>16</v>
      </c>
      <c r="CB633" s="46" t="str">
        <f>IF(VLOOKUP(CA633,βοηθητικό!$J$2:$N$354,3,FALSE)="","",VLOOKUP(CA633,βοηθητικό!$J$2:$N$354,3,FALSE))</f>
        <v>_</v>
      </c>
      <c r="CC633" s="47"/>
      <c r="CD633" s="42" t="s">
        <v>16</v>
      </c>
      <c r="CE633" s="43" t="str">
        <f>IF(VLOOKUP(CD633,βοηθητικό!$J$2:$N$354,3,FALSE)="","",VLOOKUP(CD633,βοηθητικό!$J$2:$N$354,3,FALSE))</f>
        <v>_</v>
      </c>
      <c r="CF633" s="44"/>
      <c r="CG633" s="45" t="s">
        <v>16</v>
      </c>
      <c r="CH633" s="46" t="str">
        <f>IF(VLOOKUP(CG633,βοηθητικό!$J$2:$N$354,3,FALSE)="","",VLOOKUP(CG633,βοηθητικό!$J$2:$N$354,3,FALSE))</f>
        <v>_</v>
      </c>
      <c r="CI633" s="47"/>
      <c r="CJ633" s="42" t="s">
        <v>16</v>
      </c>
      <c r="CK633" s="43" t="str">
        <f>IF(VLOOKUP(CJ633,βοηθητικό!$J$2:$N$354,3,FALSE)="","",VLOOKUP(CJ633,βοηθητικό!$J$2:$N$354,3,FALSE))</f>
        <v>_</v>
      </c>
      <c r="CL633" s="44"/>
      <c r="CM633" s="45" t="s">
        <v>16</v>
      </c>
      <c r="CN633" s="46" t="str">
        <f>IF(VLOOKUP(CM633,βοηθητικό!$J$2:$N$354,3,FALSE)="","",VLOOKUP(CM633,βοηθητικό!$J$2:$N$354,3,FALSE))</f>
        <v>_</v>
      </c>
      <c r="CO633" s="47"/>
      <c r="CP633" s="42" t="s">
        <v>16</v>
      </c>
      <c r="CQ633" s="43" t="str">
        <f>IF(VLOOKUP(CP633,βοηθητικό!$J$2:$N$354,3,FALSE)="","",VLOOKUP(CP633,βοηθητικό!$J$2:$N$354,3,FALSE))</f>
        <v>_</v>
      </c>
      <c r="CR633" s="44"/>
      <c r="CS633" s="45" t="s">
        <v>16</v>
      </c>
      <c r="CT633" s="46" t="str">
        <f>IF(VLOOKUP(CS633,βοηθητικό!$J$2:$N$354,3,FALSE)="","",VLOOKUP(CS633,βοηθητικό!$J$2:$N$354,3,FALSE))</f>
        <v>_</v>
      </c>
      <c r="CU633" s="47"/>
    </row>
    <row r="634" spans="1:99" x14ac:dyDescent="0.25">
      <c r="A634" s="37">
        <f>--SUBTOTAL(3,$B$3:B633)</f>
        <v>198</v>
      </c>
      <c r="B634" s="2"/>
      <c r="C634" s="3"/>
      <c r="D634" s="55" t="s">
        <v>18</v>
      </c>
      <c r="E634" s="38" t="s">
        <v>16</v>
      </c>
      <c r="F634" s="38"/>
      <c r="G634" s="39" t="str">
        <f t="shared" si="29"/>
        <v>__</v>
      </c>
      <c r="H634" s="40" t="str">
        <f t="shared" si="30"/>
        <v>FALSE</v>
      </c>
      <c r="I634" s="41">
        <f t="shared" si="31"/>
        <v>0</v>
      </c>
      <c r="J634" s="4" t="s">
        <v>16</v>
      </c>
      <c r="K634" s="43" t="str">
        <f>IF(VLOOKUP(J634,βοηθητικό!$J$2:$N$354,3,FALSE)="","",VLOOKUP(J634,βοηθητικό!$J$2:$N$354,3,FALSE))</f>
        <v>_</v>
      </c>
      <c r="L634" s="44"/>
      <c r="M634" s="5" t="s">
        <v>16</v>
      </c>
      <c r="N634" s="46" t="str">
        <f>IF(VLOOKUP(M634,βοηθητικό!$J$2:$N$354,3,FALSE)="","",VLOOKUP(M634,βοηθητικό!$J$2:$N$354,3,FALSE))</f>
        <v>_</v>
      </c>
      <c r="O634" s="47"/>
      <c r="P634" s="4" t="s">
        <v>16</v>
      </c>
      <c r="Q634" s="43" t="str">
        <f>IF(VLOOKUP(P634,βοηθητικό!$J$2:$N$354,3,FALSE)="","",VLOOKUP(P634,βοηθητικό!$J$2:$N$354,3,FALSE))</f>
        <v>_</v>
      </c>
      <c r="R634" s="44"/>
      <c r="S634" s="5" t="s">
        <v>16</v>
      </c>
      <c r="T634" s="46" t="str">
        <f>IF(VLOOKUP(S634,βοηθητικό!$J$2:$N$354,3,FALSE)="","",VLOOKUP(S634,βοηθητικό!$J$2:$N$354,3,FALSE))</f>
        <v>_</v>
      </c>
      <c r="U634" s="47"/>
      <c r="V634" s="4" t="s">
        <v>16</v>
      </c>
      <c r="W634" s="43" t="str">
        <f>IF(VLOOKUP(V634,βοηθητικό!$J$2:$N$354,3,FALSE)="","",VLOOKUP(V634,βοηθητικό!$J$2:$N$354,3,FALSE))</f>
        <v>_</v>
      </c>
      <c r="X634" s="44"/>
      <c r="Y634" s="5" t="s">
        <v>16</v>
      </c>
      <c r="Z634" s="46" t="str">
        <f>IF(VLOOKUP(Y634,βοηθητικό!$J$2:$N$354,3,FALSE)="","",VLOOKUP(Y634,βοηθητικό!$J$2:$N$354,3,FALSE))</f>
        <v>_</v>
      </c>
      <c r="AA634" s="47"/>
      <c r="AB634" s="4" t="s">
        <v>16</v>
      </c>
      <c r="AC634" s="43" t="str">
        <f>IF(VLOOKUP(AB634,βοηθητικό!$J$2:$N$354,3,FALSE)="","",VLOOKUP(AB634,βοηθητικό!$J$2:$N$354,3,FALSE))</f>
        <v>_</v>
      </c>
      <c r="AD634" s="44"/>
      <c r="AE634" s="5" t="s">
        <v>16</v>
      </c>
      <c r="AF634" s="46" t="str">
        <f>IF(VLOOKUP(AE634,βοηθητικό!$J$2:$N$354,3,FALSE)="","",VLOOKUP(AE634,βοηθητικό!$J$2:$N$354,3,FALSE))</f>
        <v>_</v>
      </c>
      <c r="AG634" s="47"/>
      <c r="AH634" s="4" t="s">
        <v>16</v>
      </c>
      <c r="AI634" s="43" t="str">
        <f>IF(VLOOKUP(AH634,βοηθητικό!$J$2:$N$354,3,FALSE)="","",VLOOKUP(AH634,βοηθητικό!$J$2:$N$354,3,FALSE))</f>
        <v>_</v>
      </c>
      <c r="AJ634" s="44"/>
      <c r="AK634" s="5" t="s">
        <v>16</v>
      </c>
      <c r="AL634" s="46" t="str">
        <f>IF(VLOOKUP(AK634,βοηθητικό!$J$2:$N$354,3,FALSE)="","",VLOOKUP(AK634,βοηθητικό!$J$2:$N$354,3,FALSE))</f>
        <v>_</v>
      </c>
      <c r="AM634" s="47"/>
      <c r="AN634" s="4" t="s">
        <v>16</v>
      </c>
      <c r="AO634" s="43" t="str">
        <f>IF(VLOOKUP(AN634,βοηθητικό!$J$2:$N$354,3,FALSE)="","",VLOOKUP(AN634,βοηθητικό!$J$2:$N$354,3,FALSE))</f>
        <v>_</v>
      </c>
      <c r="AP634" s="44"/>
      <c r="AQ634" s="5" t="s">
        <v>16</v>
      </c>
      <c r="AR634" s="46" t="str">
        <f>IF(VLOOKUP(AQ634,βοηθητικό!$J$2:$N$354,3,FALSE)="","",VLOOKUP(AQ634,βοηθητικό!$J$2:$N$354,3,FALSE))</f>
        <v>_</v>
      </c>
      <c r="AS634" s="47"/>
      <c r="AT634" s="4" t="s">
        <v>16</v>
      </c>
      <c r="AU634" s="43" t="str">
        <f>IF(VLOOKUP(AT634,βοηθητικό!$J$2:$N$354,3,FALSE)="","",VLOOKUP(AT634,βοηθητικό!$J$2:$N$354,3,FALSE))</f>
        <v>_</v>
      </c>
      <c r="AV634" s="44"/>
      <c r="AW634" s="5" t="s">
        <v>16</v>
      </c>
      <c r="AX634" s="46" t="str">
        <f>IF(VLOOKUP(AW634,βοηθητικό!$J$2:$N$354,3,FALSE)="","",VLOOKUP(AW634,βοηθητικό!$J$2:$N$354,3,FALSE))</f>
        <v>_</v>
      </c>
      <c r="AY634" s="47"/>
      <c r="AZ634" s="4" t="s">
        <v>16</v>
      </c>
      <c r="BA634" s="43" t="str">
        <f>IF(VLOOKUP(AZ634,βοηθητικό!$J$2:$N$354,3,FALSE)="","",VLOOKUP(AZ634,βοηθητικό!$J$2:$N$354,3,FALSE))</f>
        <v>_</v>
      </c>
      <c r="BB634" s="44"/>
      <c r="BC634" s="45" t="s">
        <v>16</v>
      </c>
      <c r="BD634" s="46" t="str">
        <f>IF(VLOOKUP(BC634,βοηθητικό!$J$2:$N$354,3,FALSE)="","",VLOOKUP(BC634,βοηθητικό!$J$2:$N$354,3,FALSE))</f>
        <v>_</v>
      </c>
      <c r="BE634" s="47"/>
      <c r="BF634" s="42" t="s">
        <v>16</v>
      </c>
      <c r="BG634" s="43" t="str">
        <f>IF(VLOOKUP(BF634,βοηθητικό!$J$2:$N$354,3,FALSE)="","",VLOOKUP(BF634,βοηθητικό!$J$2:$N$354,3,FALSE))</f>
        <v>_</v>
      </c>
      <c r="BH634" s="44"/>
      <c r="BI634" s="45" t="s">
        <v>16</v>
      </c>
      <c r="BJ634" s="46" t="str">
        <f>IF(VLOOKUP(BI634,βοηθητικό!$J$2:$N$354,3,FALSE)="","",VLOOKUP(BI634,βοηθητικό!$J$2:$N$354,3,FALSE))</f>
        <v>_</v>
      </c>
      <c r="BK634" s="47"/>
      <c r="BL634" s="42" t="s">
        <v>16</v>
      </c>
      <c r="BM634" s="43" t="str">
        <f>IF(VLOOKUP(BL634,βοηθητικό!$J$2:$N$354,3,FALSE)="","",VLOOKUP(BL634,βοηθητικό!$J$2:$N$354,3,FALSE))</f>
        <v>_</v>
      </c>
      <c r="BN634" s="44"/>
      <c r="BO634" s="45" t="s">
        <v>16</v>
      </c>
      <c r="BP634" s="46" t="str">
        <f>IF(VLOOKUP(BO634,βοηθητικό!$J$2:$N$354,3,FALSE)="","",VLOOKUP(BO634,βοηθητικό!$J$2:$N$354,3,FALSE))</f>
        <v>_</v>
      </c>
      <c r="BQ634" s="47"/>
      <c r="BR634" s="42" t="s">
        <v>16</v>
      </c>
      <c r="BS634" s="43" t="str">
        <f>IF(VLOOKUP(BR634,βοηθητικό!$J$2:$N$354,3,FALSE)="","",VLOOKUP(BR634,βοηθητικό!$J$2:$N$354,3,FALSE))</f>
        <v>_</v>
      </c>
      <c r="BT634" s="44"/>
      <c r="BU634" s="45" t="s">
        <v>16</v>
      </c>
      <c r="BV634" s="46" t="str">
        <f>IF(VLOOKUP(BU634,βοηθητικό!$J$2:$N$354,3,FALSE)="","",VLOOKUP(BU634,βοηθητικό!$J$2:$N$354,3,FALSE))</f>
        <v>_</v>
      </c>
      <c r="BW634" s="47"/>
      <c r="BX634" s="42" t="s">
        <v>16</v>
      </c>
      <c r="BY634" s="43" t="str">
        <f>IF(VLOOKUP(BX634,βοηθητικό!$J$2:$N$354,3,FALSE)="","",VLOOKUP(BX634,βοηθητικό!$J$2:$N$354,3,FALSE))</f>
        <v>_</v>
      </c>
      <c r="BZ634" s="44"/>
      <c r="CA634" s="45" t="s">
        <v>16</v>
      </c>
      <c r="CB634" s="46" t="str">
        <f>IF(VLOOKUP(CA634,βοηθητικό!$J$2:$N$354,3,FALSE)="","",VLOOKUP(CA634,βοηθητικό!$J$2:$N$354,3,FALSE))</f>
        <v>_</v>
      </c>
      <c r="CC634" s="47"/>
      <c r="CD634" s="42" t="s">
        <v>16</v>
      </c>
      <c r="CE634" s="43" t="str">
        <f>IF(VLOOKUP(CD634,βοηθητικό!$J$2:$N$354,3,FALSE)="","",VLOOKUP(CD634,βοηθητικό!$J$2:$N$354,3,FALSE))</f>
        <v>_</v>
      </c>
      <c r="CF634" s="44"/>
      <c r="CG634" s="45" t="s">
        <v>16</v>
      </c>
      <c r="CH634" s="46" t="str">
        <f>IF(VLOOKUP(CG634,βοηθητικό!$J$2:$N$354,3,FALSE)="","",VLOOKUP(CG634,βοηθητικό!$J$2:$N$354,3,FALSE))</f>
        <v>_</v>
      </c>
      <c r="CI634" s="47"/>
      <c r="CJ634" s="42" t="s">
        <v>16</v>
      </c>
      <c r="CK634" s="43" t="str">
        <f>IF(VLOOKUP(CJ634,βοηθητικό!$J$2:$N$354,3,FALSE)="","",VLOOKUP(CJ634,βοηθητικό!$J$2:$N$354,3,FALSE))</f>
        <v>_</v>
      </c>
      <c r="CL634" s="44"/>
      <c r="CM634" s="45" t="s">
        <v>16</v>
      </c>
      <c r="CN634" s="46" t="str">
        <f>IF(VLOOKUP(CM634,βοηθητικό!$J$2:$N$354,3,FALSE)="","",VLOOKUP(CM634,βοηθητικό!$J$2:$N$354,3,FALSE))</f>
        <v>_</v>
      </c>
      <c r="CO634" s="47"/>
      <c r="CP634" s="42" t="s">
        <v>16</v>
      </c>
      <c r="CQ634" s="43" t="str">
        <f>IF(VLOOKUP(CP634,βοηθητικό!$J$2:$N$354,3,FALSE)="","",VLOOKUP(CP634,βοηθητικό!$J$2:$N$354,3,FALSE))</f>
        <v>_</v>
      </c>
      <c r="CR634" s="44"/>
      <c r="CS634" s="45" t="s">
        <v>16</v>
      </c>
      <c r="CT634" s="46" t="str">
        <f>IF(VLOOKUP(CS634,βοηθητικό!$J$2:$N$354,3,FALSE)="","",VLOOKUP(CS634,βοηθητικό!$J$2:$N$354,3,FALSE))</f>
        <v>_</v>
      </c>
      <c r="CU634" s="47"/>
    </row>
    <row r="635" spans="1:99" x14ac:dyDescent="0.25">
      <c r="A635" s="37">
        <f>--SUBTOTAL(3,$B$3:B634)</f>
        <v>198</v>
      </c>
      <c r="B635" s="2"/>
      <c r="C635" s="3"/>
      <c r="D635" s="55" t="s">
        <v>18</v>
      </c>
      <c r="E635" s="38" t="s">
        <v>16</v>
      </c>
      <c r="F635" s="38"/>
      <c r="G635" s="39" t="str">
        <f t="shared" si="29"/>
        <v>__</v>
      </c>
      <c r="H635" s="40" t="str">
        <f t="shared" si="30"/>
        <v>FALSE</v>
      </c>
      <c r="I635" s="41">
        <f t="shared" si="31"/>
        <v>0</v>
      </c>
      <c r="J635" s="4" t="s">
        <v>16</v>
      </c>
      <c r="K635" s="43" t="str">
        <f>IF(VLOOKUP(J635,βοηθητικό!$J$2:$N$354,3,FALSE)="","",VLOOKUP(J635,βοηθητικό!$J$2:$N$354,3,FALSE))</f>
        <v>_</v>
      </c>
      <c r="L635" s="44"/>
      <c r="M635" s="5" t="s">
        <v>16</v>
      </c>
      <c r="N635" s="46" t="str">
        <f>IF(VLOOKUP(M635,βοηθητικό!$J$2:$N$354,3,FALSE)="","",VLOOKUP(M635,βοηθητικό!$J$2:$N$354,3,FALSE))</f>
        <v>_</v>
      </c>
      <c r="O635" s="47"/>
      <c r="P635" s="4" t="s">
        <v>16</v>
      </c>
      <c r="Q635" s="43" t="str">
        <f>IF(VLOOKUP(P635,βοηθητικό!$J$2:$N$354,3,FALSE)="","",VLOOKUP(P635,βοηθητικό!$J$2:$N$354,3,FALSE))</f>
        <v>_</v>
      </c>
      <c r="R635" s="44"/>
      <c r="S635" s="5" t="s">
        <v>16</v>
      </c>
      <c r="T635" s="46" t="str">
        <f>IF(VLOOKUP(S635,βοηθητικό!$J$2:$N$354,3,FALSE)="","",VLOOKUP(S635,βοηθητικό!$J$2:$N$354,3,FALSE))</f>
        <v>_</v>
      </c>
      <c r="U635" s="47"/>
      <c r="V635" s="4" t="s">
        <v>16</v>
      </c>
      <c r="W635" s="43" t="str">
        <f>IF(VLOOKUP(V635,βοηθητικό!$J$2:$N$354,3,FALSE)="","",VLOOKUP(V635,βοηθητικό!$J$2:$N$354,3,FALSE))</f>
        <v>_</v>
      </c>
      <c r="X635" s="44"/>
      <c r="Y635" s="5" t="s">
        <v>16</v>
      </c>
      <c r="Z635" s="46" t="str">
        <f>IF(VLOOKUP(Y635,βοηθητικό!$J$2:$N$354,3,FALSE)="","",VLOOKUP(Y635,βοηθητικό!$J$2:$N$354,3,FALSE))</f>
        <v>_</v>
      </c>
      <c r="AA635" s="47"/>
      <c r="AB635" s="4" t="s">
        <v>16</v>
      </c>
      <c r="AC635" s="43" t="str">
        <f>IF(VLOOKUP(AB635,βοηθητικό!$J$2:$N$354,3,FALSE)="","",VLOOKUP(AB635,βοηθητικό!$J$2:$N$354,3,FALSE))</f>
        <v>_</v>
      </c>
      <c r="AD635" s="44"/>
      <c r="AE635" s="5" t="s">
        <v>16</v>
      </c>
      <c r="AF635" s="46" t="str">
        <f>IF(VLOOKUP(AE635,βοηθητικό!$J$2:$N$354,3,FALSE)="","",VLOOKUP(AE635,βοηθητικό!$J$2:$N$354,3,FALSE))</f>
        <v>_</v>
      </c>
      <c r="AG635" s="47"/>
      <c r="AH635" s="4" t="s">
        <v>16</v>
      </c>
      <c r="AI635" s="43" t="str">
        <f>IF(VLOOKUP(AH635,βοηθητικό!$J$2:$N$354,3,FALSE)="","",VLOOKUP(AH635,βοηθητικό!$J$2:$N$354,3,FALSE))</f>
        <v>_</v>
      </c>
      <c r="AJ635" s="44"/>
      <c r="AK635" s="5" t="s">
        <v>16</v>
      </c>
      <c r="AL635" s="46" t="str">
        <f>IF(VLOOKUP(AK635,βοηθητικό!$J$2:$N$354,3,FALSE)="","",VLOOKUP(AK635,βοηθητικό!$J$2:$N$354,3,FALSE))</f>
        <v>_</v>
      </c>
      <c r="AM635" s="47"/>
      <c r="AN635" s="4" t="s">
        <v>16</v>
      </c>
      <c r="AO635" s="43" t="str">
        <f>IF(VLOOKUP(AN635,βοηθητικό!$J$2:$N$354,3,FALSE)="","",VLOOKUP(AN635,βοηθητικό!$J$2:$N$354,3,FALSE))</f>
        <v>_</v>
      </c>
      <c r="AP635" s="44"/>
      <c r="AQ635" s="5" t="s">
        <v>16</v>
      </c>
      <c r="AR635" s="46" t="str">
        <f>IF(VLOOKUP(AQ635,βοηθητικό!$J$2:$N$354,3,FALSE)="","",VLOOKUP(AQ635,βοηθητικό!$J$2:$N$354,3,FALSE))</f>
        <v>_</v>
      </c>
      <c r="AS635" s="47"/>
      <c r="AT635" s="4" t="s">
        <v>16</v>
      </c>
      <c r="AU635" s="43" t="str">
        <f>IF(VLOOKUP(AT635,βοηθητικό!$J$2:$N$354,3,FALSE)="","",VLOOKUP(AT635,βοηθητικό!$J$2:$N$354,3,FALSE))</f>
        <v>_</v>
      </c>
      <c r="AV635" s="44"/>
      <c r="AW635" s="5" t="s">
        <v>16</v>
      </c>
      <c r="AX635" s="46" t="str">
        <f>IF(VLOOKUP(AW635,βοηθητικό!$J$2:$N$354,3,FALSE)="","",VLOOKUP(AW635,βοηθητικό!$J$2:$N$354,3,FALSE))</f>
        <v>_</v>
      </c>
      <c r="AY635" s="47"/>
      <c r="AZ635" s="4" t="s">
        <v>16</v>
      </c>
      <c r="BA635" s="43" t="str">
        <f>IF(VLOOKUP(AZ635,βοηθητικό!$J$2:$N$354,3,FALSE)="","",VLOOKUP(AZ635,βοηθητικό!$J$2:$N$354,3,FALSE))</f>
        <v>_</v>
      </c>
      <c r="BB635" s="44"/>
      <c r="BC635" s="45" t="s">
        <v>16</v>
      </c>
      <c r="BD635" s="46" t="str">
        <f>IF(VLOOKUP(BC635,βοηθητικό!$J$2:$N$354,3,FALSE)="","",VLOOKUP(BC635,βοηθητικό!$J$2:$N$354,3,FALSE))</f>
        <v>_</v>
      </c>
      <c r="BE635" s="47"/>
      <c r="BF635" s="42" t="s">
        <v>16</v>
      </c>
      <c r="BG635" s="43" t="str">
        <f>IF(VLOOKUP(BF635,βοηθητικό!$J$2:$N$354,3,FALSE)="","",VLOOKUP(BF635,βοηθητικό!$J$2:$N$354,3,FALSE))</f>
        <v>_</v>
      </c>
      <c r="BH635" s="44"/>
      <c r="BI635" s="45" t="s">
        <v>16</v>
      </c>
      <c r="BJ635" s="46" t="str">
        <f>IF(VLOOKUP(BI635,βοηθητικό!$J$2:$N$354,3,FALSE)="","",VLOOKUP(BI635,βοηθητικό!$J$2:$N$354,3,FALSE))</f>
        <v>_</v>
      </c>
      <c r="BK635" s="47"/>
      <c r="BL635" s="42" t="s">
        <v>16</v>
      </c>
      <c r="BM635" s="43" t="str">
        <f>IF(VLOOKUP(BL635,βοηθητικό!$J$2:$N$354,3,FALSE)="","",VLOOKUP(BL635,βοηθητικό!$J$2:$N$354,3,FALSE))</f>
        <v>_</v>
      </c>
      <c r="BN635" s="44"/>
      <c r="BO635" s="45" t="s">
        <v>16</v>
      </c>
      <c r="BP635" s="46" t="str">
        <f>IF(VLOOKUP(BO635,βοηθητικό!$J$2:$N$354,3,FALSE)="","",VLOOKUP(BO635,βοηθητικό!$J$2:$N$354,3,FALSE))</f>
        <v>_</v>
      </c>
      <c r="BQ635" s="47"/>
      <c r="BR635" s="42" t="s">
        <v>16</v>
      </c>
      <c r="BS635" s="43" t="str">
        <f>IF(VLOOKUP(BR635,βοηθητικό!$J$2:$N$354,3,FALSE)="","",VLOOKUP(BR635,βοηθητικό!$J$2:$N$354,3,FALSE))</f>
        <v>_</v>
      </c>
      <c r="BT635" s="44"/>
      <c r="BU635" s="45" t="s">
        <v>16</v>
      </c>
      <c r="BV635" s="46" t="str">
        <f>IF(VLOOKUP(BU635,βοηθητικό!$J$2:$N$354,3,FALSE)="","",VLOOKUP(BU635,βοηθητικό!$J$2:$N$354,3,FALSE))</f>
        <v>_</v>
      </c>
      <c r="BW635" s="47"/>
      <c r="BX635" s="42" t="s">
        <v>16</v>
      </c>
      <c r="BY635" s="43" t="str">
        <f>IF(VLOOKUP(BX635,βοηθητικό!$J$2:$N$354,3,FALSE)="","",VLOOKUP(BX635,βοηθητικό!$J$2:$N$354,3,FALSE))</f>
        <v>_</v>
      </c>
      <c r="BZ635" s="44"/>
      <c r="CA635" s="45" t="s">
        <v>16</v>
      </c>
      <c r="CB635" s="46" t="str">
        <f>IF(VLOOKUP(CA635,βοηθητικό!$J$2:$N$354,3,FALSE)="","",VLOOKUP(CA635,βοηθητικό!$J$2:$N$354,3,FALSE))</f>
        <v>_</v>
      </c>
      <c r="CC635" s="47"/>
      <c r="CD635" s="42" t="s">
        <v>16</v>
      </c>
      <c r="CE635" s="43" t="str">
        <f>IF(VLOOKUP(CD635,βοηθητικό!$J$2:$N$354,3,FALSE)="","",VLOOKUP(CD635,βοηθητικό!$J$2:$N$354,3,FALSE))</f>
        <v>_</v>
      </c>
      <c r="CF635" s="44"/>
      <c r="CG635" s="45" t="s">
        <v>16</v>
      </c>
      <c r="CH635" s="46" t="str">
        <f>IF(VLOOKUP(CG635,βοηθητικό!$J$2:$N$354,3,FALSE)="","",VLOOKUP(CG635,βοηθητικό!$J$2:$N$354,3,FALSE))</f>
        <v>_</v>
      </c>
      <c r="CI635" s="47"/>
      <c r="CJ635" s="42" t="s">
        <v>16</v>
      </c>
      <c r="CK635" s="43" t="str">
        <f>IF(VLOOKUP(CJ635,βοηθητικό!$J$2:$N$354,3,FALSE)="","",VLOOKUP(CJ635,βοηθητικό!$J$2:$N$354,3,FALSE))</f>
        <v>_</v>
      </c>
      <c r="CL635" s="44"/>
      <c r="CM635" s="45" t="s">
        <v>16</v>
      </c>
      <c r="CN635" s="46" t="str">
        <f>IF(VLOOKUP(CM635,βοηθητικό!$J$2:$N$354,3,FALSE)="","",VLOOKUP(CM635,βοηθητικό!$J$2:$N$354,3,FALSE))</f>
        <v>_</v>
      </c>
      <c r="CO635" s="47"/>
      <c r="CP635" s="42" t="s">
        <v>16</v>
      </c>
      <c r="CQ635" s="43" t="str">
        <f>IF(VLOOKUP(CP635,βοηθητικό!$J$2:$N$354,3,FALSE)="","",VLOOKUP(CP635,βοηθητικό!$J$2:$N$354,3,FALSE))</f>
        <v>_</v>
      </c>
      <c r="CR635" s="44"/>
      <c r="CS635" s="45" t="s">
        <v>16</v>
      </c>
      <c r="CT635" s="46" t="str">
        <f>IF(VLOOKUP(CS635,βοηθητικό!$J$2:$N$354,3,FALSE)="","",VLOOKUP(CS635,βοηθητικό!$J$2:$N$354,3,FALSE))</f>
        <v>_</v>
      </c>
      <c r="CU635" s="47"/>
    </row>
    <row r="636" spans="1:99" x14ac:dyDescent="0.25">
      <c r="A636" s="37">
        <f>--SUBTOTAL(3,$B$3:B635)</f>
        <v>198</v>
      </c>
      <c r="B636" s="2"/>
      <c r="C636" s="3"/>
      <c r="D636" s="55" t="s">
        <v>18</v>
      </c>
      <c r="E636" s="38" t="s">
        <v>16</v>
      </c>
      <c r="F636" s="38"/>
      <c r="G636" s="39" t="str">
        <f t="shared" si="29"/>
        <v>__</v>
      </c>
      <c r="H636" s="40" t="str">
        <f t="shared" si="30"/>
        <v>FALSE</v>
      </c>
      <c r="I636" s="41">
        <f t="shared" si="31"/>
        <v>0</v>
      </c>
      <c r="J636" s="4" t="s">
        <v>16</v>
      </c>
      <c r="K636" s="43" t="str">
        <f>IF(VLOOKUP(J636,βοηθητικό!$J$2:$N$354,3,FALSE)="","",VLOOKUP(J636,βοηθητικό!$J$2:$N$354,3,FALSE))</f>
        <v>_</v>
      </c>
      <c r="L636" s="44"/>
      <c r="M636" s="5" t="s">
        <v>16</v>
      </c>
      <c r="N636" s="46" t="str">
        <f>IF(VLOOKUP(M636,βοηθητικό!$J$2:$N$354,3,FALSE)="","",VLOOKUP(M636,βοηθητικό!$J$2:$N$354,3,FALSE))</f>
        <v>_</v>
      </c>
      <c r="O636" s="47"/>
      <c r="P636" s="4" t="s">
        <v>16</v>
      </c>
      <c r="Q636" s="43" t="str">
        <f>IF(VLOOKUP(P636,βοηθητικό!$J$2:$N$354,3,FALSE)="","",VLOOKUP(P636,βοηθητικό!$J$2:$N$354,3,FALSE))</f>
        <v>_</v>
      </c>
      <c r="R636" s="44"/>
      <c r="S636" s="5" t="s">
        <v>16</v>
      </c>
      <c r="T636" s="46" t="str">
        <f>IF(VLOOKUP(S636,βοηθητικό!$J$2:$N$354,3,FALSE)="","",VLOOKUP(S636,βοηθητικό!$J$2:$N$354,3,FALSE))</f>
        <v>_</v>
      </c>
      <c r="U636" s="47"/>
      <c r="V636" s="4" t="s">
        <v>16</v>
      </c>
      <c r="W636" s="43" t="str">
        <f>IF(VLOOKUP(V636,βοηθητικό!$J$2:$N$354,3,FALSE)="","",VLOOKUP(V636,βοηθητικό!$J$2:$N$354,3,FALSE))</f>
        <v>_</v>
      </c>
      <c r="X636" s="44"/>
      <c r="Y636" s="5" t="s">
        <v>16</v>
      </c>
      <c r="Z636" s="46" t="str">
        <f>IF(VLOOKUP(Y636,βοηθητικό!$J$2:$N$354,3,FALSE)="","",VLOOKUP(Y636,βοηθητικό!$J$2:$N$354,3,FALSE))</f>
        <v>_</v>
      </c>
      <c r="AA636" s="47"/>
      <c r="AB636" s="4" t="s">
        <v>16</v>
      </c>
      <c r="AC636" s="43" t="str">
        <f>IF(VLOOKUP(AB636,βοηθητικό!$J$2:$N$354,3,FALSE)="","",VLOOKUP(AB636,βοηθητικό!$J$2:$N$354,3,FALSE))</f>
        <v>_</v>
      </c>
      <c r="AD636" s="44"/>
      <c r="AE636" s="5" t="s">
        <v>16</v>
      </c>
      <c r="AF636" s="46" t="str">
        <f>IF(VLOOKUP(AE636,βοηθητικό!$J$2:$N$354,3,FALSE)="","",VLOOKUP(AE636,βοηθητικό!$J$2:$N$354,3,FALSE))</f>
        <v>_</v>
      </c>
      <c r="AG636" s="47"/>
      <c r="AH636" s="4" t="s">
        <v>16</v>
      </c>
      <c r="AI636" s="43" t="str">
        <f>IF(VLOOKUP(AH636,βοηθητικό!$J$2:$N$354,3,FALSE)="","",VLOOKUP(AH636,βοηθητικό!$J$2:$N$354,3,FALSE))</f>
        <v>_</v>
      </c>
      <c r="AJ636" s="44"/>
      <c r="AK636" s="5" t="s">
        <v>16</v>
      </c>
      <c r="AL636" s="46" t="str">
        <f>IF(VLOOKUP(AK636,βοηθητικό!$J$2:$N$354,3,FALSE)="","",VLOOKUP(AK636,βοηθητικό!$J$2:$N$354,3,FALSE))</f>
        <v>_</v>
      </c>
      <c r="AM636" s="47"/>
      <c r="AN636" s="4" t="s">
        <v>16</v>
      </c>
      <c r="AO636" s="43" t="str">
        <f>IF(VLOOKUP(AN636,βοηθητικό!$J$2:$N$354,3,FALSE)="","",VLOOKUP(AN636,βοηθητικό!$J$2:$N$354,3,FALSE))</f>
        <v>_</v>
      </c>
      <c r="AP636" s="44"/>
      <c r="AQ636" s="5" t="s">
        <v>16</v>
      </c>
      <c r="AR636" s="46" t="str">
        <f>IF(VLOOKUP(AQ636,βοηθητικό!$J$2:$N$354,3,FALSE)="","",VLOOKUP(AQ636,βοηθητικό!$J$2:$N$354,3,FALSE))</f>
        <v>_</v>
      </c>
      <c r="AS636" s="47"/>
      <c r="AT636" s="4" t="s">
        <v>16</v>
      </c>
      <c r="AU636" s="43" t="str">
        <f>IF(VLOOKUP(AT636,βοηθητικό!$J$2:$N$354,3,FALSE)="","",VLOOKUP(AT636,βοηθητικό!$J$2:$N$354,3,FALSE))</f>
        <v>_</v>
      </c>
      <c r="AV636" s="44"/>
      <c r="AW636" s="5" t="s">
        <v>16</v>
      </c>
      <c r="AX636" s="46" t="str">
        <f>IF(VLOOKUP(AW636,βοηθητικό!$J$2:$N$354,3,FALSE)="","",VLOOKUP(AW636,βοηθητικό!$J$2:$N$354,3,FALSE))</f>
        <v>_</v>
      </c>
      <c r="AY636" s="47"/>
      <c r="AZ636" s="4" t="s">
        <v>16</v>
      </c>
      <c r="BA636" s="43" t="str">
        <f>IF(VLOOKUP(AZ636,βοηθητικό!$J$2:$N$354,3,FALSE)="","",VLOOKUP(AZ636,βοηθητικό!$J$2:$N$354,3,FALSE))</f>
        <v>_</v>
      </c>
      <c r="BB636" s="44"/>
      <c r="BC636" s="45" t="s">
        <v>16</v>
      </c>
      <c r="BD636" s="46" t="str">
        <f>IF(VLOOKUP(BC636,βοηθητικό!$J$2:$N$354,3,FALSE)="","",VLOOKUP(BC636,βοηθητικό!$J$2:$N$354,3,FALSE))</f>
        <v>_</v>
      </c>
      <c r="BE636" s="47"/>
      <c r="BF636" s="42" t="s">
        <v>16</v>
      </c>
      <c r="BG636" s="43" t="str">
        <f>IF(VLOOKUP(BF636,βοηθητικό!$J$2:$N$354,3,FALSE)="","",VLOOKUP(BF636,βοηθητικό!$J$2:$N$354,3,FALSE))</f>
        <v>_</v>
      </c>
      <c r="BH636" s="44"/>
      <c r="BI636" s="45" t="s">
        <v>16</v>
      </c>
      <c r="BJ636" s="46" t="str">
        <f>IF(VLOOKUP(BI636,βοηθητικό!$J$2:$N$354,3,FALSE)="","",VLOOKUP(BI636,βοηθητικό!$J$2:$N$354,3,FALSE))</f>
        <v>_</v>
      </c>
      <c r="BK636" s="47"/>
      <c r="BL636" s="42" t="s">
        <v>16</v>
      </c>
      <c r="BM636" s="43" t="str">
        <f>IF(VLOOKUP(BL636,βοηθητικό!$J$2:$N$354,3,FALSE)="","",VLOOKUP(BL636,βοηθητικό!$J$2:$N$354,3,FALSE))</f>
        <v>_</v>
      </c>
      <c r="BN636" s="44"/>
      <c r="BO636" s="45" t="s">
        <v>16</v>
      </c>
      <c r="BP636" s="46" t="str">
        <f>IF(VLOOKUP(BO636,βοηθητικό!$J$2:$N$354,3,FALSE)="","",VLOOKUP(BO636,βοηθητικό!$J$2:$N$354,3,FALSE))</f>
        <v>_</v>
      </c>
      <c r="BQ636" s="47"/>
      <c r="BR636" s="42" t="s">
        <v>16</v>
      </c>
      <c r="BS636" s="43" t="str">
        <f>IF(VLOOKUP(BR636,βοηθητικό!$J$2:$N$354,3,FALSE)="","",VLOOKUP(BR636,βοηθητικό!$J$2:$N$354,3,FALSE))</f>
        <v>_</v>
      </c>
      <c r="BT636" s="44"/>
      <c r="BU636" s="45" t="s">
        <v>16</v>
      </c>
      <c r="BV636" s="46" t="str">
        <f>IF(VLOOKUP(BU636,βοηθητικό!$J$2:$N$354,3,FALSE)="","",VLOOKUP(BU636,βοηθητικό!$J$2:$N$354,3,FALSE))</f>
        <v>_</v>
      </c>
      <c r="BW636" s="47"/>
      <c r="BX636" s="42" t="s">
        <v>16</v>
      </c>
      <c r="BY636" s="43" t="str">
        <f>IF(VLOOKUP(BX636,βοηθητικό!$J$2:$N$354,3,FALSE)="","",VLOOKUP(BX636,βοηθητικό!$J$2:$N$354,3,FALSE))</f>
        <v>_</v>
      </c>
      <c r="BZ636" s="44"/>
      <c r="CA636" s="45" t="s">
        <v>16</v>
      </c>
      <c r="CB636" s="46" t="str">
        <f>IF(VLOOKUP(CA636,βοηθητικό!$J$2:$N$354,3,FALSE)="","",VLOOKUP(CA636,βοηθητικό!$J$2:$N$354,3,FALSE))</f>
        <v>_</v>
      </c>
      <c r="CC636" s="47"/>
      <c r="CD636" s="42" t="s">
        <v>16</v>
      </c>
      <c r="CE636" s="43" t="str">
        <f>IF(VLOOKUP(CD636,βοηθητικό!$J$2:$N$354,3,FALSE)="","",VLOOKUP(CD636,βοηθητικό!$J$2:$N$354,3,FALSE))</f>
        <v>_</v>
      </c>
      <c r="CF636" s="44"/>
      <c r="CG636" s="45" t="s">
        <v>16</v>
      </c>
      <c r="CH636" s="46" t="str">
        <f>IF(VLOOKUP(CG636,βοηθητικό!$J$2:$N$354,3,FALSE)="","",VLOOKUP(CG636,βοηθητικό!$J$2:$N$354,3,FALSE))</f>
        <v>_</v>
      </c>
      <c r="CI636" s="47"/>
      <c r="CJ636" s="42" t="s">
        <v>16</v>
      </c>
      <c r="CK636" s="43" t="str">
        <f>IF(VLOOKUP(CJ636,βοηθητικό!$J$2:$N$354,3,FALSE)="","",VLOOKUP(CJ636,βοηθητικό!$J$2:$N$354,3,FALSE))</f>
        <v>_</v>
      </c>
      <c r="CL636" s="44"/>
      <c r="CM636" s="45" t="s">
        <v>16</v>
      </c>
      <c r="CN636" s="46" t="str">
        <f>IF(VLOOKUP(CM636,βοηθητικό!$J$2:$N$354,3,FALSE)="","",VLOOKUP(CM636,βοηθητικό!$J$2:$N$354,3,FALSE))</f>
        <v>_</v>
      </c>
      <c r="CO636" s="47"/>
      <c r="CP636" s="42" t="s">
        <v>16</v>
      </c>
      <c r="CQ636" s="43" t="str">
        <f>IF(VLOOKUP(CP636,βοηθητικό!$J$2:$N$354,3,FALSE)="","",VLOOKUP(CP636,βοηθητικό!$J$2:$N$354,3,FALSE))</f>
        <v>_</v>
      </c>
      <c r="CR636" s="44"/>
      <c r="CS636" s="45" t="s">
        <v>16</v>
      </c>
      <c r="CT636" s="46" t="str">
        <f>IF(VLOOKUP(CS636,βοηθητικό!$J$2:$N$354,3,FALSE)="","",VLOOKUP(CS636,βοηθητικό!$J$2:$N$354,3,FALSE))</f>
        <v>_</v>
      </c>
      <c r="CU636" s="47"/>
    </row>
    <row r="637" spans="1:99" x14ac:dyDescent="0.25">
      <c r="A637" s="37">
        <f>--SUBTOTAL(3,$B$3:B636)</f>
        <v>198</v>
      </c>
      <c r="B637" s="2"/>
      <c r="C637" s="3"/>
      <c r="D637" s="55" t="s">
        <v>18</v>
      </c>
      <c r="E637" s="38" t="s">
        <v>16</v>
      </c>
      <c r="F637" s="38"/>
      <c r="G637" s="39" t="str">
        <f t="shared" si="29"/>
        <v>__</v>
      </c>
      <c r="H637" s="40" t="str">
        <f t="shared" si="30"/>
        <v>FALSE</v>
      </c>
      <c r="I637" s="41">
        <f t="shared" si="31"/>
        <v>0</v>
      </c>
      <c r="J637" s="4" t="s">
        <v>16</v>
      </c>
      <c r="K637" s="43" t="str">
        <f>IF(VLOOKUP(J637,βοηθητικό!$J$2:$N$354,3,FALSE)="","",VLOOKUP(J637,βοηθητικό!$J$2:$N$354,3,FALSE))</f>
        <v>_</v>
      </c>
      <c r="L637" s="44"/>
      <c r="M637" s="5" t="s">
        <v>16</v>
      </c>
      <c r="N637" s="46" t="str">
        <f>IF(VLOOKUP(M637,βοηθητικό!$J$2:$N$354,3,FALSE)="","",VLOOKUP(M637,βοηθητικό!$J$2:$N$354,3,FALSE))</f>
        <v>_</v>
      </c>
      <c r="O637" s="47"/>
      <c r="P637" s="4" t="s">
        <v>16</v>
      </c>
      <c r="Q637" s="43" t="str">
        <f>IF(VLOOKUP(P637,βοηθητικό!$J$2:$N$354,3,FALSE)="","",VLOOKUP(P637,βοηθητικό!$J$2:$N$354,3,FALSE))</f>
        <v>_</v>
      </c>
      <c r="R637" s="44"/>
      <c r="S637" s="5" t="s">
        <v>16</v>
      </c>
      <c r="T637" s="46" t="str">
        <f>IF(VLOOKUP(S637,βοηθητικό!$J$2:$N$354,3,FALSE)="","",VLOOKUP(S637,βοηθητικό!$J$2:$N$354,3,FALSE))</f>
        <v>_</v>
      </c>
      <c r="U637" s="47"/>
      <c r="V637" s="4" t="s">
        <v>16</v>
      </c>
      <c r="W637" s="43" t="str">
        <f>IF(VLOOKUP(V637,βοηθητικό!$J$2:$N$354,3,FALSE)="","",VLOOKUP(V637,βοηθητικό!$J$2:$N$354,3,FALSE))</f>
        <v>_</v>
      </c>
      <c r="X637" s="44"/>
      <c r="Y637" s="5" t="s">
        <v>16</v>
      </c>
      <c r="Z637" s="46" t="str">
        <f>IF(VLOOKUP(Y637,βοηθητικό!$J$2:$N$354,3,FALSE)="","",VLOOKUP(Y637,βοηθητικό!$J$2:$N$354,3,FALSE))</f>
        <v>_</v>
      </c>
      <c r="AA637" s="47"/>
      <c r="AB637" s="4" t="s">
        <v>16</v>
      </c>
      <c r="AC637" s="43" t="str">
        <f>IF(VLOOKUP(AB637,βοηθητικό!$J$2:$N$354,3,FALSE)="","",VLOOKUP(AB637,βοηθητικό!$J$2:$N$354,3,FALSE))</f>
        <v>_</v>
      </c>
      <c r="AD637" s="44"/>
      <c r="AE637" s="5" t="s">
        <v>16</v>
      </c>
      <c r="AF637" s="46" t="str">
        <f>IF(VLOOKUP(AE637,βοηθητικό!$J$2:$N$354,3,FALSE)="","",VLOOKUP(AE637,βοηθητικό!$J$2:$N$354,3,FALSE))</f>
        <v>_</v>
      </c>
      <c r="AG637" s="47"/>
      <c r="AH637" s="4" t="s">
        <v>16</v>
      </c>
      <c r="AI637" s="43" t="str">
        <f>IF(VLOOKUP(AH637,βοηθητικό!$J$2:$N$354,3,FALSE)="","",VLOOKUP(AH637,βοηθητικό!$J$2:$N$354,3,FALSE))</f>
        <v>_</v>
      </c>
      <c r="AJ637" s="44"/>
      <c r="AK637" s="5" t="s">
        <v>16</v>
      </c>
      <c r="AL637" s="46" t="str">
        <f>IF(VLOOKUP(AK637,βοηθητικό!$J$2:$N$354,3,FALSE)="","",VLOOKUP(AK637,βοηθητικό!$J$2:$N$354,3,FALSE))</f>
        <v>_</v>
      </c>
      <c r="AM637" s="47"/>
      <c r="AN637" s="4" t="s">
        <v>16</v>
      </c>
      <c r="AO637" s="43" t="str">
        <f>IF(VLOOKUP(AN637,βοηθητικό!$J$2:$N$354,3,FALSE)="","",VLOOKUP(AN637,βοηθητικό!$J$2:$N$354,3,FALSE))</f>
        <v>_</v>
      </c>
      <c r="AP637" s="44"/>
      <c r="AQ637" s="5" t="s">
        <v>16</v>
      </c>
      <c r="AR637" s="46" t="str">
        <f>IF(VLOOKUP(AQ637,βοηθητικό!$J$2:$N$354,3,FALSE)="","",VLOOKUP(AQ637,βοηθητικό!$J$2:$N$354,3,FALSE))</f>
        <v>_</v>
      </c>
      <c r="AS637" s="47"/>
      <c r="AT637" s="4" t="s">
        <v>16</v>
      </c>
      <c r="AU637" s="43" t="str">
        <f>IF(VLOOKUP(AT637,βοηθητικό!$J$2:$N$354,3,FALSE)="","",VLOOKUP(AT637,βοηθητικό!$J$2:$N$354,3,FALSE))</f>
        <v>_</v>
      </c>
      <c r="AV637" s="44"/>
      <c r="AW637" s="5" t="s">
        <v>16</v>
      </c>
      <c r="AX637" s="46" t="str">
        <f>IF(VLOOKUP(AW637,βοηθητικό!$J$2:$N$354,3,FALSE)="","",VLOOKUP(AW637,βοηθητικό!$J$2:$N$354,3,FALSE))</f>
        <v>_</v>
      </c>
      <c r="AY637" s="47"/>
      <c r="AZ637" s="4" t="s">
        <v>16</v>
      </c>
      <c r="BA637" s="43" t="str">
        <f>IF(VLOOKUP(AZ637,βοηθητικό!$J$2:$N$354,3,FALSE)="","",VLOOKUP(AZ637,βοηθητικό!$J$2:$N$354,3,FALSE))</f>
        <v>_</v>
      </c>
      <c r="BB637" s="44"/>
      <c r="BC637" s="45" t="s">
        <v>16</v>
      </c>
      <c r="BD637" s="46" t="str">
        <f>IF(VLOOKUP(BC637,βοηθητικό!$J$2:$N$354,3,FALSE)="","",VLOOKUP(BC637,βοηθητικό!$J$2:$N$354,3,FALSE))</f>
        <v>_</v>
      </c>
      <c r="BE637" s="47"/>
      <c r="BF637" s="42" t="s">
        <v>16</v>
      </c>
      <c r="BG637" s="43" t="str">
        <f>IF(VLOOKUP(BF637,βοηθητικό!$J$2:$N$354,3,FALSE)="","",VLOOKUP(BF637,βοηθητικό!$J$2:$N$354,3,FALSE))</f>
        <v>_</v>
      </c>
      <c r="BH637" s="44"/>
      <c r="BI637" s="45" t="s">
        <v>16</v>
      </c>
      <c r="BJ637" s="46" t="str">
        <f>IF(VLOOKUP(BI637,βοηθητικό!$J$2:$N$354,3,FALSE)="","",VLOOKUP(BI637,βοηθητικό!$J$2:$N$354,3,FALSE))</f>
        <v>_</v>
      </c>
      <c r="BK637" s="47"/>
      <c r="BL637" s="42" t="s">
        <v>16</v>
      </c>
      <c r="BM637" s="43" t="str">
        <f>IF(VLOOKUP(BL637,βοηθητικό!$J$2:$N$354,3,FALSE)="","",VLOOKUP(BL637,βοηθητικό!$J$2:$N$354,3,FALSE))</f>
        <v>_</v>
      </c>
      <c r="BN637" s="44"/>
      <c r="BO637" s="45" t="s">
        <v>16</v>
      </c>
      <c r="BP637" s="46" t="str">
        <f>IF(VLOOKUP(BO637,βοηθητικό!$J$2:$N$354,3,FALSE)="","",VLOOKUP(BO637,βοηθητικό!$J$2:$N$354,3,FALSE))</f>
        <v>_</v>
      </c>
      <c r="BQ637" s="47"/>
      <c r="BR637" s="42" t="s">
        <v>16</v>
      </c>
      <c r="BS637" s="43" t="str">
        <f>IF(VLOOKUP(BR637,βοηθητικό!$J$2:$N$354,3,FALSE)="","",VLOOKUP(BR637,βοηθητικό!$J$2:$N$354,3,FALSE))</f>
        <v>_</v>
      </c>
      <c r="BT637" s="44"/>
      <c r="BU637" s="45" t="s">
        <v>16</v>
      </c>
      <c r="BV637" s="46" t="str">
        <f>IF(VLOOKUP(BU637,βοηθητικό!$J$2:$N$354,3,FALSE)="","",VLOOKUP(BU637,βοηθητικό!$J$2:$N$354,3,FALSE))</f>
        <v>_</v>
      </c>
      <c r="BW637" s="47"/>
      <c r="BX637" s="42" t="s">
        <v>16</v>
      </c>
      <c r="BY637" s="43" t="str">
        <f>IF(VLOOKUP(BX637,βοηθητικό!$J$2:$N$354,3,FALSE)="","",VLOOKUP(BX637,βοηθητικό!$J$2:$N$354,3,FALSE))</f>
        <v>_</v>
      </c>
      <c r="BZ637" s="44"/>
      <c r="CA637" s="45" t="s">
        <v>16</v>
      </c>
      <c r="CB637" s="46" t="str">
        <f>IF(VLOOKUP(CA637,βοηθητικό!$J$2:$N$354,3,FALSE)="","",VLOOKUP(CA637,βοηθητικό!$J$2:$N$354,3,FALSE))</f>
        <v>_</v>
      </c>
      <c r="CC637" s="47"/>
      <c r="CD637" s="42" t="s">
        <v>16</v>
      </c>
      <c r="CE637" s="43" t="str">
        <f>IF(VLOOKUP(CD637,βοηθητικό!$J$2:$N$354,3,FALSE)="","",VLOOKUP(CD637,βοηθητικό!$J$2:$N$354,3,FALSE))</f>
        <v>_</v>
      </c>
      <c r="CF637" s="44"/>
      <c r="CG637" s="45" t="s">
        <v>16</v>
      </c>
      <c r="CH637" s="46" t="str">
        <f>IF(VLOOKUP(CG637,βοηθητικό!$J$2:$N$354,3,FALSE)="","",VLOOKUP(CG637,βοηθητικό!$J$2:$N$354,3,FALSE))</f>
        <v>_</v>
      </c>
      <c r="CI637" s="47"/>
      <c r="CJ637" s="42" t="s">
        <v>16</v>
      </c>
      <c r="CK637" s="43" t="str">
        <f>IF(VLOOKUP(CJ637,βοηθητικό!$J$2:$N$354,3,FALSE)="","",VLOOKUP(CJ637,βοηθητικό!$J$2:$N$354,3,FALSE))</f>
        <v>_</v>
      </c>
      <c r="CL637" s="44"/>
      <c r="CM637" s="45" t="s">
        <v>16</v>
      </c>
      <c r="CN637" s="46" t="str">
        <f>IF(VLOOKUP(CM637,βοηθητικό!$J$2:$N$354,3,FALSE)="","",VLOOKUP(CM637,βοηθητικό!$J$2:$N$354,3,FALSE))</f>
        <v>_</v>
      </c>
      <c r="CO637" s="47"/>
      <c r="CP637" s="42" t="s">
        <v>16</v>
      </c>
      <c r="CQ637" s="43" t="str">
        <f>IF(VLOOKUP(CP637,βοηθητικό!$J$2:$N$354,3,FALSE)="","",VLOOKUP(CP637,βοηθητικό!$J$2:$N$354,3,FALSE))</f>
        <v>_</v>
      </c>
      <c r="CR637" s="44"/>
      <c r="CS637" s="45" t="s">
        <v>16</v>
      </c>
      <c r="CT637" s="46" t="str">
        <f>IF(VLOOKUP(CS637,βοηθητικό!$J$2:$N$354,3,FALSE)="","",VLOOKUP(CS637,βοηθητικό!$J$2:$N$354,3,FALSE))</f>
        <v>_</v>
      </c>
      <c r="CU637" s="47"/>
    </row>
    <row r="638" spans="1:99" x14ac:dyDescent="0.25">
      <c r="A638" s="37">
        <f>--SUBTOTAL(3,$B$3:B637)</f>
        <v>198</v>
      </c>
      <c r="B638" s="2"/>
      <c r="C638" s="3"/>
      <c r="D638" s="55" t="s">
        <v>18</v>
      </c>
      <c r="E638" s="38" t="s">
        <v>16</v>
      </c>
      <c r="F638" s="38"/>
      <c r="G638" s="39" t="str">
        <f t="shared" si="29"/>
        <v>__</v>
      </c>
      <c r="H638" s="40" t="str">
        <f t="shared" si="30"/>
        <v>FALSE</v>
      </c>
      <c r="I638" s="41">
        <f t="shared" si="31"/>
        <v>0</v>
      </c>
      <c r="J638" s="4" t="s">
        <v>16</v>
      </c>
      <c r="K638" s="43" t="str">
        <f>IF(VLOOKUP(J638,βοηθητικό!$J$2:$N$354,3,FALSE)="","",VLOOKUP(J638,βοηθητικό!$J$2:$N$354,3,FALSE))</f>
        <v>_</v>
      </c>
      <c r="L638" s="44"/>
      <c r="M638" s="5" t="s">
        <v>16</v>
      </c>
      <c r="N638" s="46" t="str">
        <f>IF(VLOOKUP(M638,βοηθητικό!$J$2:$N$354,3,FALSE)="","",VLOOKUP(M638,βοηθητικό!$J$2:$N$354,3,FALSE))</f>
        <v>_</v>
      </c>
      <c r="O638" s="47"/>
      <c r="P638" s="4" t="s">
        <v>16</v>
      </c>
      <c r="Q638" s="43" t="str">
        <f>IF(VLOOKUP(P638,βοηθητικό!$J$2:$N$354,3,FALSE)="","",VLOOKUP(P638,βοηθητικό!$J$2:$N$354,3,FALSE))</f>
        <v>_</v>
      </c>
      <c r="R638" s="44"/>
      <c r="S638" s="5" t="s">
        <v>16</v>
      </c>
      <c r="T638" s="46" t="str">
        <f>IF(VLOOKUP(S638,βοηθητικό!$J$2:$N$354,3,FALSE)="","",VLOOKUP(S638,βοηθητικό!$J$2:$N$354,3,FALSE))</f>
        <v>_</v>
      </c>
      <c r="U638" s="47"/>
      <c r="V638" s="4" t="s">
        <v>16</v>
      </c>
      <c r="W638" s="43" t="str">
        <f>IF(VLOOKUP(V638,βοηθητικό!$J$2:$N$354,3,FALSE)="","",VLOOKUP(V638,βοηθητικό!$J$2:$N$354,3,FALSE))</f>
        <v>_</v>
      </c>
      <c r="X638" s="44"/>
      <c r="Y638" s="5" t="s">
        <v>16</v>
      </c>
      <c r="Z638" s="46" t="str">
        <f>IF(VLOOKUP(Y638,βοηθητικό!$J$2:$N$354,3,FALSE)="","",VLOOKUP(Y638,βοηθητικό!$J$2:$N$354,3,FALSE))</f>
        <v>_</v>
      </c>
      <c r="AA638" s="47"/>
      <c r="AB638" s="4" t="s">
        <v>16</v>
      </c>
      <c r="AC638" s="43" t="str">
        <f>IF(VLOOKUP(AB638,βοηθητικό!$J$2:$N$354,3,FALSE)="","",VLOOKUP(AB638,βοηθητικό!$J$2:$N$354,3,FALSE))</f>
        <v>_</v>
      </c>
      <c r="AD638" s="44"/>
      <c r="AE638" s="5" t="s">
        <v>16</v>
      </c>
      <c r="AF638" s="46" t="str">
        <f>IF(VLOOKUP(AE638,βοηθητικό!$J$2:$N$354,3,FALSE)="","",VLOOKUP(AE638,βοηθητικό!$J$2:$N$354,3,FALSE))</f>
        <v>_</v>
      </c>
      <c r="AG638" s="47"/>
      <c r="AH638" s="4" t="s">
        <v>16</v>
      </c>
      <c r="AI638" s="43" t="str">
        <f>IF(VLOOKUP(AH638,βοηθητικό!$J$2:$N$354,3,FALSE)="","",VLOOKUP(AH638,βοηθητικό!$J$2:$N$354,3,FALSE))</f>
        <v>_</v>
      </c>
      <c r="AJ638" s="44"/>
      <c r="AK638" s="5" t="s">
        <v>16</v>
      </c>
      <c r="AL638" s="46" t="str">
        <f>IF(VLOOKUP(AK638,βοηθητικό!$J$2:$N$354,3,FALSE)="","",VLOOKUP(AK638,βοηθητικό!$J$2:$N$354,3,FALSE))</f>
        <v>_</v>
      </c>
      <c r="AM638" s="47"/>
      <c r="AN638" s="4" t="s">
        <v>16</v>
      </c>
      <c r="AO638" s="43" t="str">
        <f>IF(VLOOKUP(AN638,βοηθητικό!$J$2:$N$354,3,FALSE)="","",VLOOKUP(AN638,βοηθητικό!$J$2:$N$354,3,FALSE))</f>
        <v>_</v>
      </c>
      <c r="AP638" s="44"/>
      <c r="AQ638" s="5" t="s">
        <v>16</v>
      </c>
      <c r="AR638" s="46" t="str">
        <f>IF(VLOOKUP(AQ638,βοηθητικό!$J$2:$N$354,3,FALSE)="","",VLOOKUP(AQ638,βοηθητικό!$J$2:$N$354,3,FALSE))</f>
        <v>_</v>
      </c>
      <c r="AS638" s="47"/>
      <c r="AT638" s="4" t="s">
        <v>16</v>
      </c>
      <c r="AU638" s="43" t="str">
        <f>IF(VLOOKUP(AT638,βοηθητικό!$J$2:$N$354,3,FALSE)="","",VLOOKUP(AT638,βοηθητικό!$J$2:$N$354,3,FALSE))</f>
        <v>_</v>
      </c>
      <c r="AV638" s="44"/>
      <c r="AW638" s="5" t="s">
        <v>16</v>
      </c>
      <c r="AX638" s="46" t="str">
        <f>IF(VLOOKUP(AW638,βοηθητικό!$J$2:$N$354,3,FALSE)="","",VLOOKUP(AW638,βοηθητικό!$J$2:$N$354,3,FALSE))</f>
        <v>_</v>
      </c>
      <c r="AY638" s="47"/>
      <c r="AZ638" s="4" t="s">
        <v>16</v>
      </c>
      <c r="BA638" s="43" t="str">
        <f>IF(VLOOKUP(AZ638,βοηθητικό!$J$2:$N$354,3,FALSE)="","",VLOOKUP(AZ638,βοηθητικό!$J$2:$N$354,3,FALSE))</f>
        <v>_</v>
      </c>
      <c r="BB638" s="44"/>
      <c r="BC638" s="45" t="s">
        <v>16</v>
      </c>
      <c r="BD638" s="46" t="str">
        <f>IF(VLOOKUP(BC638,βοηθητικό!$J$2:$N$354,3,FALSE)="","",VLOOKUP(BC638,βοηθητικό!$J$2:$N$354,3,FALSE))</f>
        <v>_</v>
      </c>
      <c r="BE638" s="47"/>
      <c r="BF638" s="42" t="s">
        <v>16</v>
      </c>
      <c r="BG638" s="43" t="str">
        <f>IF(VLOOKUP(BF638,βοηθητικό!$J$2:$N$354,3,FALSE)="","",VLOOKUP(BF638,βοηθητικό!$J$2:$N$354,3,FALSE))</f>
        <v>_</v>
      </c>
      <c r="BH638" s="44"/>
      <c r="BI638" s="45" t="s">
        <v>16</v>
      </c>
      <c r="BJ638" s="46" t="str">
        <f>IF(VLOOKUP(BI638,βοηθητικό!$J$2:$N$354,3,FALSE)="","",VLOOKUP(BI638,βοηθητικό!$J$2:$N$354,3,FALSE))</f>
        <v>_</v>
      </c>
      <c r="BK638" s="47"/>
      <c r="BL638" s="42" t="s">
        <v>16</v>
      </c>
      <c r="BM638" s="43" t="str">
        <f>IF(VLOOKUP(BL638,βοηθητικό!$J$2:$N$354,3,FALSE)="","",VLOOKUP(BL638,βοηθητικό!$J$2:$N$354,3,FALSE))</f>
        <v>_</v>
      </c>
      <c r="BN638" s="44"/>
      <c r="BO638" s="45" t="s">
        <v>16</v>
      </c>
      <c r="BP638" s="46" t="str">
        <f>IF(VLOOKUP(BO638,βοηθητικό!$J$2:$N$354,3,FALSE)="","",VLOOKUP(BO638,βοηθητικό!$J$2:$N$354,3,FALSE))</f>
        <v>_</v>
      </c>
      <c r="BQ638" s="47"/>
      <c r="BR638" s="42" t="s">
        <v>16</v>
      </c>
      <c r="BS638" s="43" t="str">
        <f>IF(VLOOKUP(BR638,βοηθητικό!$J$2:$N$354,3,FALSE)="","",VLOOKUP(BR638,βοηθητικό!$J$2:$N$354,3,FALSE))</f>
        <v>_</v>
      </c>
      <c r="BT638" s="44"/>
      <c r="BU638" s="45" t="s">
        <v>16</v>
      </c>
      <c r="BV638" s="46" t="str">
        <f>IF(VLOOKUP(BU638,βοηθητικό!$J$2:$N$354,3,FALSE)="","",VLOOKUP(BU638,βοηθητικό!$J$2:$N$354,3,FALSE))</f>
        <v>_</v>
      </c>
      <c r="BW638" s="47"/>
      <c r="BX638" s="42" t="s">
        <v>16</v>
      </c>
      <c r="BY638" s="43" t="str">
        <f>IF(VLOOKUP(BX638,βοηθητικό!$J$2:$N$354,3,FALSE)="","",VLOOKUP(BX638,βοηθητικό!$J$2:$N$354,3,FALSE))</f>
        <v>_</v>
      </c>
      <c r="BZ638" s="44"/>
      <c r="CA638" s="45" t="s">
        <v>16</v>
      </c>
      <c r="CB638" s="46" t="str">
        <f>IF(VLOOKUP(CA638,βοηθητικό!$J$2:$N$354,3,FALSE)="","",VLOOKUP(CA638,βοηθητικό!$J$2:$N$354,3,FALSE))</f>
        <v>_</v>
      </c>
      <c r="CC638" s="47"/>
      <c r="CD638" s="42" t="s">
        <v>16</v>
      </c>
      <c r="CE638" s="43" t="str">
        <f>IF(VLOOKUP(CD638,βοηθητικό!$J$2:$N$354,3,FALSE)="","",VLOOKUP(CD638,βοηθητικό!$J$2:$N$354,3,FALSE))</f>
        <v>_</v>
      </c>
      <c r="CF638" s="44"/>
      <c r="CG638" s="45" t="s">
        <v>16</v>
      </c>
      <c r="CH638" s="46" t="str">
        <f>IF(VLOOKUP(CG638,βοηθητικό!$J$2:$N$354,3,FALSE)="","",VLOOKUP(CG638,βοηθητικό!$J$2:$N$354,3,FALSE))</f>
        <v>_</v>
      </c>
      <c r="CI638" s="47"/>
      <c r="CJ638" s="42" t="s">
        <v>16</v>
      </c>
      <c r="CK638" s="43" t="str">
        <f>IF(VLOOKUP(CJ638,βοηθητικό!$J$2:$N$354,3,FALSE)="","",VLOOKUP(CJ638,βοηθητικό!$J$2:$N$354,3,FALSE))</f>
        <v>_</v>
      </c>
      <c r="CL638" s="44"/>
      <c r="CM638" s="45" t="s">
        <v>16</v>
      </c>
      <c r="CN638" s="46" t="str">
        <f>IF(VLOOKUP(CM638,βοηθητικό!$J$2:$N$354,3,FALSE)="","",VLOOKUP(CM638,βοηθητικό!$J$2:$N$354,3,FALSE))</f>
        <v>_</v>
      </c>
      <c r="CO638" s="47"/>
      <c r="CP638" s="42" t="s">
        <v>16</v>
      </c>
      <c r="CQ638" s="43" t="str">
        <f>IF(VLOOKUP(CP638,βοηθητικό!$J$2:$N$354,3,FALSE)="","",VLOOKUP(CP638,βοηθητικό!$J$2:$N$354,3,FALSE))</f>
        <v>_</v>
      </c>
      <c r="CR638" s="44"/>
      <c r="CS638" s="45" t="s">
        <v>16</v>
      </c>
      <c r="CT638" s="46" t="str">
        <f>IF(VLOOKUP(CS638,βοηθητικό!$J$2:$N$354,3,FALSE)="","",VLOOKUP(CS638,βοηθητικό!$J$2:$N$354,3,FALSE))</f>
        <v>_</v>
      </c>
      <c r="CU638" s="47"/>
    </row>
    <row r="639" spans="1:99" x14ac:dyDescent="0.25">
      <c r="A639" s="37">
        <f>--SUBTOTAL(3,$B$3:B638)</f>
        <v>198</v>
      </c>
      <c r="B639" s="2"/>
      <c r="C639" s="3"/>
      <c r="D639" s="55" t="s">
        <v>18</v>
      </c>
      <c r="E639" s="38" t="s">
        <v>16</v>
      </c>
      <c r="F639" s="38"/>
      <c r="G639" s="39" t="str">
        <f t="shared" si="29"/>
        <v>__</v>
      </c>
      <c r="H639" s="40" t="str">
        <f t="shared" si="30"/>
        <v>FALSE</v>
      </c>
      <c r="I639" s="41">
        <f t="shared" si="31"/>
        <v>0</v>
      </c>
      <c r="J639" s="4" t="s">
        <v>16</v>
      </c>
      <c r="K639" s="43" t="str">
        <f>IF(VLOOKUP(J639,βοηθητικό!$J$2:$N$354,3,FALSE)="","",VLOOKUP(J639,βοηθητικό!$J$2:$N$354,3,FALSE))</f>
        <v>_</v>
      </c>
      <c r="L639" s="44"/>
      <c r="M639" s="5" t="s">
        <v>16</v>
      </c>
      <c r="N639" s="46" t="str">
        <f>IF(VLOOKUP(M639,βοηθητικό!$J$2:$N$354,3,FALSE)="","",VLOOKUP(M639,βοηθητικό!$J$2:$N$354,3,FALSE))</f>
        <v>_</v>
      </c>
      <c r="O639" s="47"/>
      <c r="P639" s="4" t="s">
        <v>16</v>
      </c>
      <c r="Q639" s="43" t="str">
        <f>IF(VLOOKUP(P639,βοηθητικό!$J$2:$N$354,3,FALSE)="","",VLOOKUP(P639,βοηθητικό!$J$2:$N$354,3,FALSE))</f>
        <v>_</v>
      </c>
      <c r="R639" s="44"/>
      <c r="S639" s="5" t="s">
        <v>16</v>
      </c>
      <c r="T639" s="46" t="str">
        <f>IF(VLOOKUP(S639,βοηθητικό!$J$2:$N$354,3,FALSE)="","",VLOOKUP(S639,βοηθητικό!$J$2:$N$354,3,FALSE))</f>
        <v>_</v>
      </c>
      <c r="U639" s="47"/>
      <c r="V639" s="4" t="s">
        <v>16</v>
      </c>
      <c r="W639" s="43" t="str">
        <f>IF(VLOOKUP(V639,βοηθητικό!$J$2:$N$354,3,FALSE)="","",VLOOKUP(V639,βοηθητικό!$J$2:$N$354,3,FALSE))</f>
        <v>_</v>
      </c>
      <c r="X639" s="44"/>
      <c r="Y639" s="5" t="s">
        <v>16</v>
      </c>
      <c r="Z639" s="46" t="str">
        <f>IF(VLOOKUP(Y639,βοηθητικό!$J$2:$N$354,3,FALSE)="","",VLOOKUP(Y639,βοηθητικό!$J$2:$N$354,3,FALSE))</f>
        <v>_</v>
      </c>
      <c r="AA639" s="47"/>
      <c r="AB639" s="4" t="s">
        <v>16</v>
      </c>
      <c r="AC639" s="43" t="str">
        <f>IF(VLOOKUP(AB639,βοηθητικό!$J$2:$N$354,3,FALSE)="","",VLOOKUP(AB639,βοηθητικό!$J$2:$N$354,3,FALSE))</f>
        <v>_</v>
      </c>
      <c r="AD639" s="44"/>
      <c r="AE639" s="5" t="s">
        <v>16</v>
      </c>
      <c r="AF639" s="46" t="str">
        <f>IF(VLOOKUP(AE639,βοηθητικό!$J$2:$N$354,3,FALSE)="","",VLOOKUP(AE639,βοηθητικό!$J$2:$N$354,3,FALSE))</f>
        <v>_</v>
      </c>
      <c r="AG639" s="47"/>
      <c r="AH639" s="4" t="s">
        <v>16</v>
      </c>
      <c r="AI639" s="43" t="str">
        <f>IF(VLOOKUP(AH639,βοηθητικό!$J$2:$N$354,3,FALSE)="","",VLOOKUP(AH639,βοηθητικό!$J$2:$N$354,3,FALSE))</f>
        <v>_</v>
      </c>
      <c r="AJ639" s="44"/>
      <c r="AK639" s="5" t="s">
        <v>16</v>
      </c>
      <c r="AL639" s="46" t="str">
        <f>IF(VLOOKUP(AK639,βοηθητικό!$J$2:$N$354,3,FALSE)="","",VLOOKUP(AK639,βοηθητικό!$J$2:$N$354,3,FALSE))</f>
        <v>_</v>
      </c>
      <c r="AM639" s="47"/>
      <c r="AN639" s="4" t="s">
        <v>16</v>
      </c>
      <c r="AO639" s="43" t="str">
        <f>IF(VLOOKUP(AN639,βοηθητικό!$J$2:$N$354,3,FALSE)="","",VLOOKUP(AN639,βοηθητικό!$J$2:$N$354,3,FALSE))</f>
        <v>_</v>
      </c>
      <c r="AP639" s="44"/>
      <c r="AQ639" s="5" t="s">
        <v>16</v>
      </c>
      <c r="AR639" s="46" t="str">
        <f>IF(VLOOKUP(AQ639,βοηθητικό!$J$2:$N$354,3,FALSE)="","",VLOOKUP(AQ639,βοηθητικό!$J$2:$N$354,3,FALSE))</f>
        <v>_</v>
      </c>
      <c r="AS639" s="47"/>
      <c r="AT639" s="4" t="s">
        <v>16</v>
      </c>
      <c r="AU639" s="43" t="str">
        <f>IF(VLOOKUP(AT639,βοηθητικό!$J$2:$N$354,3,FALSE)="","",VLOOKUP(AT639,βοηθητικό!$J$2:$N$354,3,FALSE))</f>
        <v>_</v>
      </c>
      <c r="AV639" s="44"/>
      <c r="AW639" s="5" t="s">
        <v>16</v>
      </c>
      <c r="AX639" s="46" t="str">
        <f>IF(VLOOKUP(AW639,βοηθητικό!$J$2:$N$354,3,FALSE)="","",VLOOKUP(AW639,βοηθητικό!$J$2:$N$354,3,FALSE))</f>
        <v>_</v>
      </c>
      <c r="AY639" s="47"/>
      <c r="AZ639" s="4" t="s">
        <v>16</v>
      </c>
      <c r="BA639" s="43" t="str">
        <f>IF(VLOOKUP(AZ639,βοηθητικό!$J$2:$N$354,3,FALSE)="","",VLOOKUP(AZ639,βοηθητικό!$J$2:$N$354,3,FALSE))</f>
        <v>_</v>
      </c>
      <c r="BB639" s="44"/>
      <c r="BC639" s="45" t="s">
        <v>16</v>
      </c>
      <c r="BD639" s="46" t="str">
        <f>IF(VLOOKUP(BC639,βοηθητικό!$J$2:$N$354,3,FALSE)="","",VLOOKUP(BC639,βοηθητικό!$J$2:$N$354,3,FALSE))</f>
        <v>_</v>
      </c>
      <c r="BE639" s="47"/>
      <c r="BF639" s="42" t="s">
        <v>16</v>
      </c>
      <c r="BG639" s="43" t="str">
        <f>IF(VLOOKUP(BF639,βοηθητικό!$J$2:$N$354,3,FALSE)="","",VLOOKUP(BF639,βοηθητικό!$J$2:$N$354,3,FALSE))</f>
        <v>_</v>
      </c>
      <c r="BH639" s="44"/>
      <c r="BI639" s="45" t="s">
        <v>16</v>
      </c>
      <c r="BJ639" s="46" t="str">
        <f>IF(VLOOKUP(BI639,βοηθητικό!$J$2:$N$354,3,FALSE)="","",VLOOKUP(BI639,βοηθητικό!$J$2:$N$354,3,FALSE))</f>
        <v>_</v>
      </c>
      <c r="BK639" s="47"/>
      <c r="BL639" s="42" t="s">
        <v>16</v>
      </c>
      <c r="BM639" s="43" t="str">
        <f>IF(VLOOKUP(BL639,βοηθητικό!$J$2:$N$354,3,FALSE)="","",VLOOKUP(BL639,βοηθητικό!$J$2:$N$354,3,FALSE))</f>
        <v>_</v>
      </c>
      <c r="BN639" s="44"/>
      <c r="BO639" s="45" t="s">
        <v>16</v>
      </c>
      <c r="BP639" s="46" t="str">
        <f>IF(VLOOKUP(BO639,βοηθητικό!$J$2:$N$354,3,FALSE)="","",VLOOKUP(BO639,βοηθητικό!$J$2:$N$354,3,FALSE))</f>
        <v>_</v>
      </c>
      <c r="BQ639" s="47"/>
      <c r="BR639" s="42" t="s">
        <v>16</v>
      </c>
      <c r="BS639" s="43" t="str">
        <f>IF(VLOOKUP(BR639,βοηθητικό!$J$2:$N$354,3,FALSE)="","",VLOOKUP(BR639,βοηθητικό!$J$2:$N$354,3,FALSE))</f>
        <v>_</v>
      </c>
      <c r="BT639" s="44"/>
      <c r="BU639" s="45" t="s">
        <v>16</v>
      </c>
      <c r="BV639" s="46" t="str">
        <f>IF(VLOOKUP(BU639,βοηθητικό!$J$2:$N$354,3,FALSE)="","",VLOOKUP(BU639,βοηθητικό!$J$2:$N$354,3,FALSE))</f>
        <v>_</v>
      </c>
      <c r="BW639" s="47"/>
      <c r="BX639" s="42" t="s">
        <v>16</v>
      </c>
      <c r="BY639" s="43" t="str">
        <f>IF(VLOOKUP(BX639,βοηθητικό!$J$2:$N$354,3,FALSE)="","",VLOOKUP(BX639,βοηθητικό!$J$2:$N$354,3,FALSE))</f>
        <v>_</v>
      </c>
      <c r="BZ639" s="44"/>
      <c r="CA639" s="45" t="s">
        <v>16</v>
      </c>
      <c r="CB639" s="46" t="str">
        <f>IF(VLOOKUP(CA639,βοηθητικό!$J$2:$N$354,3,FALSE)="","",VLOOKUP(CA639,βοηθητικό!$J$2:$N$354,3,FALSE))</f>
        <v>_</v>
      </c>
      <c r="CC639" s="47"/>
      <c r="CD639" s="42" t="s">
        <v>16</v>
      </c>
      <c r="CE639" s="43" t="str">
        <f>IF(VLOOKUP(CD639,βοηθητικό!$J$2:$N$354,3,FALSE)="","",VLOOKUP(CD639,βοηθητικό!$J$2:$N$354,3,FALSE))</f>
        <v>_</v>
      </c>
      <c r="CF639" s="44"/>
      <c r="CG639" s="45" t="s">
        <v>16</v>
      </c>
      <c r="CH639" s="46" t="str">
        <f>IF(VLOOKUP(CG639,βοηθητικό!$J$2:$N$354,3,FALSE)="","",VLOOKUP(CG639,βοηθητικό!$J$2:$N$354,3,FALSE))</f>
        <v>_</v>
      </c>
      <c r="CI639" s="47"/>
      <c r="CJ639" s="42" t="s">
        <v>16</v>
      </c>
      <c r="CK639" s="43" t="str">
        <f>IF(VLOOKUP(CJ639,βοηθητικό!$J$2:$N$354,3,FALSE)="","",VLOOKUP(CJ639,βοηθητικό!$J$2:$N$354,3,FALSE))</f>
        <v>_</v>
      </c>
      <c r="CL639" s="44"/>
      <c r="CM639" s="45" t="s">
        <v>16</v>
      </c>
      <c r="CN639" s="46" t="str">
        <f>IF(VLOOKUP(CM639,βοηθητικό!$J$2:$N$354,3,FALSE)="","",VLOOKUP(CM639,βοηθητικό!$J$2:$N$354,3,FALSE))</f>
        <v>_</v>
      </c>
      <c r="CO639" s="47"/>
      <c r="CP639" s="42" t="s">
        <v>16</v>
      </c>
      <c r="CQ639" s="43" t="str">
        <f>IF(VLOOKUP(CP639,βοηθητικό!$J$2:$N$354,3,FALSE)="","",VLOOKUP(CP639,βοηθητικό!$J$2:$N$354,3,FALSE))</f>
        <v>_</v>
      </c>
      <c r="CR639" s="44"/>
      <c r="CS639" s="45" t="s">
        <v>16</v>
      </c>
      <c r="CT639" s="46" t="str">
        <f>IF(VLOOKUP(CS639,βοηθητικό!$J$2:$N$354,3,FALSE)="","",VLOOKUP(CS639,βοηθητικό!$J$2:$N$354,3,FALSE))</f>
        <v>_</v>
      </c>
      <c r="CU639" s="47"/>
    </row>
    <row r="640" spans="1:99" x14ac:dyDescent="0.25">
      <c r="A640" s="37">
        <f>--SUBTOTAL(3,$B$3:B639)</f>
        <v>198</v>
      </c>
      <c r="B640" s="2"/>
      <c r="C640" s="3"/>
      <c r="D640" s="55" t="s">
        <v>18</v>
      </c>
      <c r="E640" s="38" t="s">
        <v>16</v>
      </c>
      <c r="F640" s="38"/>
      <c r="G640" s="39" t="str">
        <f t="shared" si="29"/>
        <v>__</v>
      </c>
      <c r="H640" s="40" t="str">
        <f t="shared" si="30"/>
        <v>FALSE</v>
      </c>
      <c r="I640" s="41">
        <f t="shared" si="31"/>
        <v>0</v>
      </c>
      <c r="J640" s="4" t="s">
        <v>16</v>
      </c>
      <c r="K640" s="43" t="str">
        <f>IF(VLOOKUP(J640,βοηθητικό!$J$2:$N$354,3,FALSE)="","",VLOOKUP(J640,βοηθητικό!$J$2:$N$354,3,FALSE))</f>
        <v>_</v>
      </c>
      <c r="L640" s="44"/>
      <c r="M640" s="5" t="s">
        <v>16</v>
      </c>
      <c r="N640" s="46" t="str">
        <f>IF(VLOOKUP(M640,βοηθητικό!$J$2:$N$354,3,FALSE)="","",VLOOKUP(M640,βοηθητικό!$J$2:$N$354,3,FALSE))</f>
        <v>_</v>
      </c>
      <c r="O640" s="47"/>
      <c r="P640" s="4" t="s">
        <v>16</v>
      </c>
      <c r="Q640" s="43" t="str">
        <f>IF(VLOOKUP(P640,βοηθητικό!$J$2:$N$354,3,FALSE)="","",VLOOKUP(P640,βοηθητικό!$J$2:$N$354,3,FALSE))</f>
        <v>_</v>
      </c>
      <c r="R640" s="44"/>
      <c r="S640" s="5" t="s">
        <v>16</v>
      </c>
      <c r="T640" s="46" t="str">
        <f>IF(VLOOKUP(S640,βοηθητικό!$J$2:$N$354,3,FALSE)="","",VLOOKUP(S640,βοηθητικό!$J$2:$N$354,3,FALSE))</f>
        <v>_</v>
      </c>
      <c r="U640" s="47"/>
      <c r="V640" s="4" t="s">
        <v>16</v>
      </c>
      <c r="W640" s="43" t="str">
        <f>IF(VLOOKUP(V640,βοηθητικό!$J$2:$N$354,3,FALSE)="","",VLOOKUP(V640,βοηθητικό!$J$2:$N$354,3,FALSE))</f>
        <v>_</v>
      </c>
      <c r="X640" s="44"/>
      <c r="Y640" s="5" t="s">
        <v>16</v>
      </c>
      <c r="Z640" s="46" t="str">
        <f>IF(VLOOKUP(Y640,βοηθητικό!$J$2:$N$354,3,FALSE)="","",VLOOKUP(Y640,βοηθητικό!$J$2:$N$354,3,FALSE))</f>
        <v>_</v>
      </c>
      <c r="AA640" s="47"/>
      <c r="AB640" s="4" t="s">
        <v>16</v>
      </c>
      <c r="AC640" s="43" t="str">
        <f>IF(VLOOKUP(AB640,βοηθητικό!$J$2:$N$354,3,FALSE)="","",VLOOKUP(AB640,βοηθητικό!$J$2:$N$354,3,FALSE))</f>
        <v>_</v>
      </c>
      <c r="AD640" s="44"/>
      <c r="AE640" s="5" t="s">
        <v>16</v>
      </c>
      <c r="AF640" s="46" t="str">
        <f>IF(VLOOKUP(AE640,βοηθητικό!$J$2:$N$354,3,FALSE)="","",VLOOKUP(AE640,βοηθητικό!$J$2:$N$354,3,FALSE))</f>
        <v>_</v>
      </c>
      <c r="AG640" s="47"/>
      <c r="AH640" s="4" t="s">
        <v>16</v>
      </c>
      <c r="AI640" s="43" t="str">
        <f>IF(VLOOKUP(AH640,βοηθητικό!$J$2:$N$354,3,FALSE)="","",VLOOKUP(AH640,βοηθητικό!$J$2:$N$354,3,FALSE))</f>
        <v>_</v>
      </c>
      <c r="AJ640" s="44"/>
      <c r="AK640" s="5" t="s">
        <v>16</v>
      </c>
      <c r="AL640" s="46" t="str">
        <f>IF(VLOOKUP(AK640,βοηθητικό!$J$2:$N$354,3,FALSE)="","",VLOOKUP(AK640,βοηθητικό!$J$2:$N$354,3,FALSE))</f>
        <v>_</v>
      </c>
      <c r="AM640" s="47"/>
      <c r="AN640" s="4" t="s">
        <v>16</v>
      </c>
      <c r="AO640" s="43" t="str">
        <f>IF(VLOOKUP(AN640,βοηθητικό!$J$2:$N$354,3,FALSE)="","",VLOOKUP(AN640,βοηθητικό!$J$2:$N$354,3,FALSE))</f>
        <v>_</v>
      </c>
      <c r="AP640" s="44"/>
      <c r="AQ640" s="5" t="s">
        <v>16</v>
      </c>
      <c r="AR640" s="46" t="str">
        <f>IF(VLOOKUP(AQ640,βοηθητικό!$J$2:$N$354,3,FALSE)="","",VLOOKUP(AQ640,βοηθητικό!$J$2:$N$354,3,FALSE))</f>
        <v>_</v>
      </c>
      <c r="AS640" s="47"/>
      <c r="AT640" s="4" t="s">
        <v>16</v>
      </c>
      <c r="AU640" s="43" t="str">
        <f>IF(VLOOKUP(AT640,βοηθητικό!$J$2:$N$354,3,FALSE)="","",VLOOKUP(AT640,βοηθητικό!$J$2:$N$354,3,FALSE))</f>
        <v>_</v>
      </c>
      <c r="AV640" s="44"/>
      <c r="AW640" s="5" t="s">
        <v>16</v>
      </c>
      <c r="AX640" s="46" t="str">
        <f>IF(VLOOKUP(AW640,βοηθητικό!$J$2:$N$354,3,FALSE)="","",VLOOKUP(AW640,βοηθητικό!$J$2:$N$354,3,FALSE))</f>
        <v>_</v>
      </c>
      <c r="AY640" s="47"/>
      <c r="AZ640" s="4" t="s">
        <v>16</v>
      </c>
      <c r="BA640" s="43" t="str">
        <f>IF(VLOOKUP(AZ640,βοηθητικό!$J$2:$N$354,3,FALSE)="","",VLOOKUP(AZ640,βοηθητικό!$J$2:$N$354,3,FALSE))</f>
        <v>_</v>
      </c>
      <c r="BB640" s="44"/>
      <c r="BC640" s="45" t="s">
        <v>16</v>
      </c>
      <c r="BD640" s="46" t="str">
        <f>IF(VLOOKUP(BC640,βοηθητικό!$J$2:$N$354,3,FALSE)="","",VLOOKUP(BC640,βοηθητικό!$J$2:$N$354,3,FALSE))</f>
        <v>_</v>
      </c>
      <c r="BE640" s="47"/>
      <c r="BF640" s="42" t="s">
        <v>16</v>
      </c>
      <c r="BG640" s="43" t="str">
        <f>IF(VLOOKUP(BF640,βοηθητικό!$J$2:$N$354,3,FALSE)="","",VLOOKUP(BF640,βοηθητικό!$J$2:$N$354,3,FALSE))</f>
        <v>_</v>
      </c>
      <c r="BH640" s="44"/>
      <c r="BI640" s="45" t="s">
        <v>16</v>
      </c>
      <c r="BJ640" s="46" t="str">
        <f>IF(VLOOKUP(BI640,βοηθητικό!$J$2:$N$354,3,FALSE)="","",VLOOKUP(BI640,βοηθητικό!$J$2:$N$354,3,FALSE))</f>
        <v>_</v>
      </c>
      <c r="BK640" s="47"/>
      <c r="BL640" s="42" t="s">
        <v>16</v>
      </c>
      <c r="BM640" s="43" t="str">
        <f>IF(VLOOKUP(BL640,βοηθητικό!$J$2:$N$354,3,FALSE)="","",VLOOKUP(BL640,βοηθητικό!$J$2:$N$354,3,FALSE))</f>
        <v>_</v>
      </c>
      <c r="BN640" s="44"/>
      <c r="BO640" s="45" t="s">
        <v>16</v>
      </c>
      <c r="BP640" s="46" t="str">
        <f>IF(VLOOKUP(BO640,βοηθητικό!$J$2:$N$354,3,FALSE)="","",VLOOKUP(BO640,βοηθητικό!$J$2:$N$354,3,FALSE))</f>
        <v>_</v>
      </c>
      <c r="BQ640" s="47"/>
      <c r="BR640" s="42" t="s">
        <v>16</v>
      </c>
      <c r="BS640" s="43" t="str">
        <f>IF(VLOOKUP(BR640,βοηθητικό!$J$2:$N$354,3,FALSE)="","",VLOOKUP(BR640,βοηθητικό!$J$2:$N$354,3,FALSE))</f>
        <v>_</v>
      </c>
      <c r="BT640" s="44"/>
      <c r="BU640" s="45" t="s">
        <v>16</v>
      </c>
      <c r="BV640" s="46" t="str">
        <f>IF(VLOOKUP(BU640,βοηθητικό!$J$2:$N$354,3,FALSE)="","",VLOOKUP(BU640,βοηθητικό!$J$2:$N$354,3,FALSE))</f>
        <v>_</v>
      </c>
      <c r="BW640" s="47"/>
      <c r="BX640" s="42" t="s">
        <v>16</v>
      </c>
      <c r="BY640" s="43" t="str">
        <f>IF(VLOOKUP(BX640,βοηθητικό!$J$2:$N$354,3,FALSE)="","",VLOOKUP(BX640,βοηθητικό!$J$2:$N$354,3,FALSE))</f>
        <v>_</v>
      </c>
      <c r="BZ640" s="44"/>
      <c r="CA640" s="45" t="s">
        <v>16</v>
      </c>
      <c r="CB640" s="46" t="str">
        <f>IF(VLOOKUP(CA640,βοηθητικό!$J$2:$N$354,3,FALSE)="","",VLOOKUP(CA640,βοηθητικό!$J$2:$N$354,3,FALSE))</f>
        <v>_</v>
      </c>
      <c r="CC640" s="47"/>
      <c r="CD640" s="42" t="s">
        <v>16</v>
      </c>
      <c r="CE640" s="43" t="str">
        <f>IF(VLOOKUP(CD640,βοηθητικό!$J$2:$N$354,3,FALSE)="","",VLOOKUP(CD640,βοηθητικό!$J$2:$N$354,3,FALSE))</f>
        <v>_</v>
      </c>
      <c r="CF640" s="44"/>
      <c r="CG640" s="45" t="s">
        <v>16</v>
      </c>
      <c r="CH640" s="46" t="str">
        <f>IF(VLOOKUP(CG640,βοηθητικό!$J$2:$N$354,3,FALSE)="","",VLOOKUP(CG640,βοηθητικό!$J$2:$N$354,3,FALSE))</f>
        <v>_</v>
      </c>
      <c r="CI640" s="47"/>
      <c r="CJ640" s="42" t="s">
        <v>16</v>
      </c>
      <c r="CK640" s="43" t="str">
        <f>IF(VLOOKUP(CJ640,βοηθητικό!$J$2:$N$354,3,FALSE)="","",VLOOKUP(CJ640,βοηθητικό!$J$2:$N$354,3,FALSE))</f>
        <v>_</v>
      </c>
      <c r="CL640" s="44"/>
      <c r="CM640" s="45" t="s">
        <v>16</v>
      </c>
      <c r="CN640" s="46" t="str">
        <f>IF(VLOOKUP(CM640,βοηθητικό!$J$2:$N$354,3,FALSE)="","",VLOOKUP(CM640,βοηθητικό!$J$2:$N$354,3,FALSE))</f>
        <v>_</v>
      </c>
      <c r="CO640" s="47"/>
      <c r="CP640" s="42" t="s">
        <v>16</v>
      </c>
      <c r="CQ640" s="43" t="str">
        <f>IF(VLOOKUP(CP640,βοηθητικό!$J$2:$N$354,3,FALSE)="","",VLOOKUP(CP640,βοηθητικό!$J$2:$N$354,3,FALSE))</f>
        <v>_</v>
      </c>
      <c r="CR640" s="44"/>
      <c r="CS640" s="45" t="s">
        <v>16</v>
      </c>
      <c r="CT640" s="46" t="str">
        <f>IF(VLOOKUP(CS640,βοηθητικό!$J$2:$N$354,3,FALSE)="","",VLOOKUP(CS640,βοηθητικό!$J$2:$N$354,3,FALSE))</f>
        <v>_</v>
      </c>
      <c r="CU640" s="47"/>
    </row>
    <row r="641" spans="1:99" x14ac:dyDescent="0.25">
      <c r="A641" s="37">
        <f>--SUBTOTAL(3,$B$3:B640)</f>
        <v>198</v>
      </c>
      <c r="B641" s="2"/>
      <c r="C641" s="3"/>
      <c r="D641" s="55" t="s">
        <v>18</v>
      </c>
      <c r="E641" s="38" t="s">
        <v>16</v>
      </c>
      <c r="F641" s="38"/>
      <c r="G641" s="39" t="str">
        <f t="shared" si="29"/>
        <v>__</v>
      </c>
      <c r="H641" s="40" t="str">
        <f t="shared" si="30"/>
        <v>FALSE</v>
      </c>
      <c r="I641" s="41">
        <f t="shared" si="31"/>
        <v>0</v>
      </c>
      <c r="J641" s="4" t="s">
        <v>16</v>
      </c>
      <c r="K641" s="43" t="str">
        <f>IF(VLOOKUP(J641,βοηθητικό!$J$2:$N$354,3,FALSE)="","",VLOOKUP(J641,βοηθητικό!$J$2:$N$354,3,FALSE))</f>
        <v>_</v>
      </c>
      <c r="L641" s="44"/>
      <c r="M641" s="5" t="s">
        <v>16</v>
      </c>
      <c r="N641" s="46" t="str">
        <f>IF(VLOOKUP(M641,βοηθητικό!$J$2:$N$354,3,FALSE)="","",VLOOKUP(M641,βοηθητικό!$J$2:$N$354,3,FALSE))</f>
        <v>_</v>
      </c>
      <c r="O641" s="47"/>
      <c r="P641" s="4" t="s">
        <v>16</v>
      </c>
      <c r="Q641" s="43" t="str">
        <f>IF(VLOOKUP(P641,βοηθητικό!$J$2:$N$354,3,FALSE)="","",VLOOKUP(P641,βοηθητικό!$J$2:$N$354,3,FALSE))</f>
        <v>_</v>
      </c>
      <c r="R641" s="44"/>
      <c r="S641" s="5" t="s">
        <v>16</v>
      </c>
      <c r="T641" s="46" t="str">
        <f>IF(VLOOKUP(S641,βοηθητικό!$J$2:$N$354,3,FALSE)="","",VLOOKUP(S641,βοηθητικό!$J$2:$N$354,3,FALSE))</f>
        <v>_</v>
      </c>
      <c r="U641" s="47"/>
      <c r="V641" s="4" t="s">
        <v>16</v>
      </c>
      <c r="W641" s="43" t="str">
        <f>IF(VLOOKUP(V641,βοηθητικό!$J$2:$N$354,3,FALSE)="","",VLOOKUP(V641,βοηθητικό!$J$2:$N$354,3,FALSE))</f>
        <v>_</v>
      </c>
      <c r="X641" s="44"/>
      <c r="Y641" s="5" t="s">
        <v>16</v>
      </c>
      <c r="Z641" s="46" t="str">
        <f>IF(VLOOKUP(Y641,βοηθητικό!$J$2:$N$354,3,FALSE)="","",VLOOKUP(Y641,βοηθητικό!$J$2:$N$354,3,FALSE))</f>
        <v>_</v>
      </c>
      <c r="AA641" s="47"/>
      <c r="AB641" s="4" t="s">
        <v>16</v>
      </c>
      <c r="AC641" s="43" t="str">
        <f>IF(VLOOKUP(AB641,βοηθητικό!$J$2:$N$354,3,FALSE)="","",VLOOKUP(AB641,βοηθητικό!$J$2:$N$354,3,FALSE))</f>
        <v>_</v>
      </c>
      <c r="AD641" s="44"/>
      <c r="AE641" s="5" t="s">
        <v>16</v>
      </c>
      <c r="AF641" s="46" t="str">
        <f>IF(VLOOKUP(AE641,βοηθητικό!$J$2:$N$354,3,FALSE)="","",VLOOKUP(AE641,βοηθητικό!$J$2:$N$354,3,FALSE))</f>
        <v>_</v>
      </c>
      <c r="AG641" s="47"/>
      <c r="AH641" s="4" t="s">
        <v>16</v>
      </c>
      <c r="AI641" s="43" t="str">
        <f>IF(VLOOKUP(AH641,βοηθητικό!$J$2:$N$354,3,FALSE)="","",VLOOKUP(AH641,βοηθητικό!$J$2:$N$354,3,FALSE))</f>
        <v>_</v>
      </c>
      <c r="AJ641" s="44"/>
      <c r="AK641" s="5" t="s">
        <v>16</v>
      </c>
      <c r="AL641" s="46" t="str">
        <f>IF(VLOOKUP(AK641,βοηθητικό!$J$2:$N$354,3,FALSE)="","",VLOOKUP(AK641,βοηθητικό!$J$2:$N$354,3,FALSE))</f>
        <v>_</v>
      </c>
      <c r="AM641" s="47"/>
      <c r="AN641" s="4" t="s">
        <v>16</v>
      </c>
      <c r="AO641" s="43" t="str">
        <f>IF(VLOOKUP(AN641,βοηθητικό!$J$2:$N$354,3,FALSE)="","",VLOOKUP(AN641,βοηθητικό!$J$2:$N$354,3,FALSE))</f>
        <v>_</v>
      </c>
      <c r="AP641" s="44"/>
      <c r="AQ641" s="5" t="s">
        <v>16</v>
      </c>
      <c r="AR641" s="46" t="str">
        <f>IF(VLOOKUP(AQ641,βοηθητικό!$J$2:$N$354,3,FALSE)="","",VLOOKUP(AQ641,βοηθητικό!$J$2:$N$354,3,FALSE))</f>
        <v>_</v>
      </c>
      <c r="AS641" s="47"/>
      <c r="AT641" s="4" t="s">
        <v>16</v>
      </c>
      <c r="AU641" s="43" t="str">
        <f>IF(VLOOKUP(AT641,βοηθητικό!$J$2:$N$354,3,FALSE)="","",VLOOKUP(AT641,βοηθητικό!$J$2:$N$354,3,FALSE))</f>
        <v>_</v>
      </c>
      <c r="AV641" s="44"/>
      <c r="AW641" s="5" t="s">
        <v>16</v>
      </c>
      <c r="AX641" s="46" t="str">
        <f>IF(VLOOKUP(AW641,βοηθητικό!$J$2:$N$354,3,FALSE)="","",VLOOKUP(AW641,βοηθητικό!$J$2:$N$354,3,FALSE))</f>
        <v>_</v>
      </c>
      <c r="AY641" s="47"/>
      <c r="AZ641" s="4" t="s">
        <v>16</v>
      </c>
      <c r="BA641" s="43" t="str">
        <f>IF(VLOOKUP(AZ641,βοηθητικό!$J$2:$N$354,3,FALSE)="","",VLOOKUP(AZ641,βοηθητικό!$J$2:$N$354,3,FALSE))</f>
        <v>_</v>
      </c>
      <c r="BB641" s="44"/>
      <c r="BC641" s="45" t="s">
        <v>16</v>
      </c>
      <c r="BD641" s="46" t="str">
        <f>IF(VLOOKUP(BC641,βοηθητικό!$J$2:$N$354,3,FALSE)="","",VLOOKUP(BC641,βοηθητικό!$J$2:$N$354,3,FALSE))</f>
        <v>_</v>
      </c>
      <c r="BE641" s="47"/>
      <c r="BF641" s="42" t="s">
        <v>16</v>
      </c>
      <c r="BG641" s="43" t="str">
        <f>IF(VLOOKUP(BF641,βοηθητικό!$J$2:$N$354,3,FALSE)="","",VLOOKUP(BF641,βοηθητικό!$J$2:$N$354,3,FALSE))</f>
        <v>_</v>
      </c>
      <c r="BH641" s="44"/>
      <c r="BI641" s="45" t="s">
        <v>16</v>
      </c>
      <c r="BJ641" s="46" t="str">
        <f>IF(VLOOKUP(BI641,βοηθητικό!$J$2:$N$354,3,FALSE)="","",VLOOKUP(BI641,βοηθητικό!$J$2:$N$354,3,FALSE))</f>
        <v>_</v>
      </c>
      <c r="BK641" s="47"/>
      <c r="BL641" s="42" t="s">
        <v>16</v>
      </c>
      <c r="BM641" s="43" t="str">
        <f>IF(VLOOKUP(BL641,βοηθητικό!$J$2:$N$354,3,FALSE)="","",VLOOKUP(BL641,βοηθητικό!$J$2:$N$354,3,FALSE))</f>
        <v>_</v>
      </c>
      <c r="BN641" s="44"/>
      <c r="BO641" s="45" t="s">
        <v>16</v>
      </c>
      <c r="BP641" s="46" t="str">
        <f>IF(VLOOKUP(BO641,βοηθητικό!$J$2:$N$354,3,FALSE)="","",VLOOKUP(BO641,βοηθητικό!$J$2:$N$354,3,FALSE))</f>
        <v>_</v>
      </c>
      <c r="BQ641" s="47"/>
      <c r="BR641" s="42" t="s">
        <v>16</v>
      </c>
      <c r="BS641" s="43" t="str">
        <f>IF(VLOOKUP(BR641,βοηθητικό!$J$2:$N$354,3,FALSE)="","",VLOOKUP(BR641,βοηθητικό!$J$2:$N$354,3,FALSE))</f>
        <v>_</v>
      </c>
      <c r="BT641" s="44"/>
      <c r="BU641" s="45" t="s">
        <v>16</v>
      </c>
      <c r="BV641" s="46" t="str">
        <f>IF(VLOOKUP(BU641,βοηθητικό!$J$2:$N$354,3,FALSE)="","",VLOOKUP(BU641,βοηθητικό!$J$2:$N$354,3,FALSE))</f>
        <v>_</v>
      </c>
      <c r="BW641" s="47"/>
      <c r="BX641" s="42" t="s">
        <v>16</v>
      </c>
      <c r="BY641" s="43" t="str">
        <f>IF(VLOOKUP(BX641,βοηθητικό!$J$2:$N$354,3,FALSE)="","",VLOOKUP(BX641,βοηθητικό!$J$2:$N$354,3,FALSE))</f>
        <v>_</v>
      </c>
      <c r="BZ641" s="44"/>
      <c r="CA641" s="45" t="s">
        <v>16</v>
      </c>
      <c r="CB641" s="46" t="str">
        <f>IF(VLOOKUP(CA641,βοηθητικό!$J$2:$N$354,3,FALSE)="","",VLOOKUP(CA641,βοηθητικό!$J$2:$N$354,3,FALSE))</f>
        <v>_</v>
      </c>
      <c r="CC641" s="47"/>
      <c r="CD641" s="42" t="s">
        <v>16</v>
      </c>
      <c r="CE641" s="43" t="str">
        <f>IF(VLOOKUP(CD641,βοηθητικό!$J$2:$N$354,3,FALSE)="","",VLOOKUP(CD641,βοηθητικό!$J$2:$N$354,3,FALSE))</f>
        <v>_</v>
      </c>
      <c r="CF641" s="44"/>
      <c r="CG641" s="45" t="s">
        <v>16</v>
      </c>
      <c r="CH641" s="46" t="str">
        <f>IF(VLOOKUP(CG641,βοηθητικό!$J$2:$N$354,3,FALSE)="","",VLOOKUP(CG641,βοηθητικό!$J$2:$N$354,3,FALSE))</f>
        <v>_</v>
      </c>
      <c r="CI641" s="47"/>
      <c r="CJ641" s="42" t="s">
        <v>16</v>
      </c>
      <c r="CK641" s="43" t="str">
        <f>IF(VLOOKUP(CJ641,βοηθητικό!$J$2:$N$354,3,FALSE)="","",VLOOKUP(CJ641,βοηθητικό!$J$2:$N$354,3,FALSE))</f>
        <v>_</v>
      </c>
      <c r="CL641" s="44"/>
      <c r="CM641" s="45" t="s">
        <v>16</v>
      </c>
      <c r="CN641" s="46" t="str">
        <f>IF(VLOOKUP(CM641,βοηθητικό!$J$2:$N$354,3,FALSE)="","",VLOOKUP(CM641,βοηθητικό!$J$2:$N$354,3,FALSE))</f>
        <v>_</v>
      </c>
      <c r="CO641" s="47"/>
      <c r="CP641" s="42" t="s">
        <v>16</v>
      </c>
      <c r="CQ641" s="43" t="str">
        <f>IF(VLOOKUP(CP641,βοηθητικό!$J$2:$N$354,3,FALSE)="","",VLOOKUP(CP641,βοηθητικό!$J$2:$N$354,3,FALSE))</f>
        <v>_</v>
      </c>
      <c r="CR641" s="44"/>
      <c r="CS641" s="45" t="s">
        <v>16</v>
      </c>
      <c r="CT641" s="46" t="str">
        <f>IF(VLOOKUP(CS641,βοηθητικό!$J$2:$N$354,3,FALSE)="","",VLOOKUP(CS641,βοηθητικό!$J$2:$N$354,3,FALSE))</f>
        <v>_</v>
      </c>
      <c r="CU641" s="47"/>
    </row>
    <row r="642" spans="1:99" x14ac:dyDescent="0.25">
      <c r="A642" s="37">
        <f>--SUBTOTAL(3,$B$3:B641)</f>
        <v>198</v>
      </c>
      <c r="B642" s="2"/>
      <c r="C642" s="3"/>
      <c r="D642" s="55" t="s">
        <v>18</v>
      </c>
      <c r="E642" s="38" t="s">
        <v>16</v>
      </c>
      <c r="F642" s="38"/>
      <c r="G642" s="39" t="str">
        <f t="shared" si="29"/>
        <v>__</v>
      </c>
      <c r="H642" s="40" t="str">
        <f t="shared" si="30"/>
        <v>FALSE</v>
      </c>
      <c r="I642" s="41">
        <f t="shared" si="31"/>
        <v>0</v>
      </c>
      <c r="J642" s="4" t="s">
        <v>16</v>
      </c>
      <c r="K642" s="43" t="str">
        <f>IF(VLOOKUP(J642,βοηθητικό!$J$2:$N$354,3,FALSE)="","",VLOOKUP(J642,βοηθητικό!$J$2:$N$354,3,FALSE))</f>
        <v>_</v>
      </c>
      <c r="L642" s="44"/>
      <c r="M642" s="5" t="s">
        <v>16</v>
      </c>
      <c r="N642" s="46" t="str">
        <f>IF(VLOOKUP(M642,βοηθητικό!$J$2:$N$354,3,FALSE)="","",VLOOKUP(M642,βοηθητικό!$J$2:$N$354,3,FALSE))</f>
        <v>_</v>
      </c>
      <c r="O642" s="47"/>
      <c r="P642" s="4" t="s">
        <v>16</v>
      </c>
      <c r="Q642" s="43" t="str">
        <f>IF(VLOOKUP(P642,βοηθητικό!$J$2:$N$354,3,FALSE)="","",VLOOKUP(P642,βοηθητικό!$J$2:$N$354,3,FALSE))</f>
        <v>_</v>
      </c>
      <c r="R642" s="44"/>
      <c r="S642" s="5" t="s">
        <v>16</v>
      </c>
      <c r="T642" s="46" t="str">
        <f>IF(VLOOKUP(S642,βοηθητικό!$J$2:$N$354,3,FALSE)="","",VLOOKUP(S642,βοηθητικό!$J$2:$N$354,3,FALSE))</f>
        <v>_</v>
      </c>
      <c r="U642" s="47"/>
      <c r="V642" s="4" t="s">
        <v>16</v>
      </c>
      <c r="W642" s="43" t="str">
        <f>IF(VLOOKUP(V642,βοηθητικό!$J$2:$N$354,3,FALSE)="","",VLOOKUP(V642,βοηθητικό!$J$2:$N$354,3,FALSE))</f>
        <v>_</v>
      </c>
      <c r="X642" s="44"/>
      <c r="Y642" s="5" t="s">
        <v>16</v>
      </c>
      <c r="Z642" s="46" t="str">
        <f>IF(VLOOKUP(Y642,βοηθητικό!$J$2:$N$354,3,FALSE)="","",VLOOKUP(Y642,βοηθητικό!$J$2:$N$354,3,FALSE))</f>
        <v>_</v>
      </c>
      <c r="AA642" s="47"/>
      <c r="AB642" s="4" t="s">
        <v>16</v>
      </c>
      <c r="AC642" s="43" t="str">
        <f>IF(VLOOKUP(AB642,βοηθητικό!$J$2:$N$354,3,FALSE)="","",VLOOKUP(AB642,βοηθητικό!$J$2:$N$354,3,FALSE))</f>
        <v>_</v>
      </c>
      <c r="AD642" s="44"/>
      <c r="AE642" s="5" t="s">
        <v>16</v>
      </c>
      <c r="AF642" s="46" t="str">
        <f>IF(VLOOKUP(AE642,βοηθητικό!$J$2:$N$354,3,FALSE)="","",VLOOKUP(AE642,βοηθητικό!$J$2:$N$354,3,FALSE))</f>
        <v>_</v>
      </c>
      <c r="AG642" s="47"/>
      <c r="AH642" s="4" t="s">
        <v>16</v>
      </c>
      <c r="AI642" s="43" t="str">
        <f>IF(VLOOKUP(AH642,βοηθητικό!$J$2:$N$354,3,FALSE)="","",VLOOKUP(AH642,βοηθητικό!$J$2:$N$354,3,FALSE))</f>
        <v>_</v>
      </c>
      <c r="AJ642" s="44"/>
      <c r="AK642" s="5" t="s">
        <v>16</v>
      </c>
      <c r="AL642" s="46" t="str">
        <f>IF(VLOOKUP(AK642,βοηθητικό!$J$2:$N$354,3,FALSE)="","",VLOOKUP(AK642,βοηθητικό!$J$2:$N$354,3,FALSE))</f>
        <v>_</v>
      </c>
      <c r="AM642" s="47"/>
      <c r="AN642" s="4" t="s">
        <v>16</v>
      </c>
      <c r="AO642" s="43" t="str">
        <f>IF(VLOOKUP(AN642,βοηθητικό!$J$2:$N$354,3,FALSE)="","",VLOOKUP(AN642,βοηθητικό!$J$2:$N$354,3,FALSE))</f>
        <v>_</v>
      </c>
      <c r="AP642" s="44"/>
      <c r="AQ642" s="5" t="s">
        <v>16</v>
      </c>
      <c r="AR642" s="46" t="str">
        <f>IF(VLOOKUP(AQ642,βοηθητικό!$J$2:$N$354,3,FALSE)="","",VLOOKUP(AQ642,βοηθητικό!$J$2:$N$354,3,FALSE))</f>
        <v>_</v>
      </c>
      <c r="AS642" s="47"/>
      <c r="AT642" s="4" t="s">
        <v>16</v>
      </c>
      <c r="AU642" s="43" t="str">
        <f>IF(VLOOKUP(AT642,βοηθητικό!$J$2:$N$354,3,FALSE)="","",VLOOKUP(AT642,βοηθητικό!$J$2:$N$354,3,FALSE))</f>
        <v>_</v>
      </c>
      <c r="AV642" s="44"/>
      <c r="AW642" s="5" t="s">
        <v>16</v>
      </c>
      <c r="AX642" s="46" t="str">
        <f>IF(VLOOKUP(AW642,βοηθητικό!$J$2:$N$354,3,FALSE)="","",VLOOKUP(AW642,βοηθητικό!$J$2:$N$354,3,FALSE))</f>
        <v>_</v>
      </c>
      <c r="AY642" s="47"/>
      <c r="AZ642" s="4" t="s">
        <v>16</v>
      </c>
      <c r="BA642" s="43" t="str">
        <f>IF(VLOOKUP(AZ642,βοηθητικό!$J$2:$N$354,3,FALSE)="","",VLOOKUP(AZ642,βοηθητικό!$J$2:$N$354,3,FALSE))</f>
        <v>_</v>
      </c>
      <c r="BB642" s="44"/>
      <c r="BC642" s="45" t="s">
        <v>16</v>
      </c>
      <c r="BD642" s="46" t="str">
        <f>IF(VLOOKUP(BC642,βοηθητικό!$J$2:$N$354,3,FALSE)="","",VLOOKUP(BC642,βοηθητικό!$J$2:$N$354,3,FALSE))</f>
        <v>_</v>
      </c>
      <c r="BE642" s="47"/>
      <c r="BF642" s="42" t="s">
        <v>16</v>
      </c>
      <c r="BG642" s="43" t="str">
        <f>IF(VLOOKUP(BF642,βοηθητικό!$J$2:$N$354,3,FALSE)="","",VLOOKUP(BF642,βοηθητικό!$J$2:$N$354,3,FALSE))</f>
        <v>_</v>
      </c>
      <c r="BH642" s="44"/>
      <c r="BI642" s="45" t="s">
        <v>16</v>
      </c>
      <c r="BJ642" s="46" t="str">
        <f>IF(VLOOKUP(BI642,βοηθητικό!$J$2:$N$354,3,FALSE)="","",VLOOKUP(BI642,βοηθητικό!$J$2:$N$354,3,FALSE))</f>
        <v>_</v>
      </c>
      <c r="BK642" s="47"/>
      <c r="BL642" s="42" t="s">
        <v>16</v>
      </c>
      <c r="BM642" s="43" t="str">
        <f>IF(VLOOKUP(BL642,βοηθητικό!$J$2:$N$354,3,FALSE)="","",VLOOKUP(BL642,βοηθητικό!$J$2:$N$354,3,FALSE))</f>
        <v>_</v>
      </c>
      <c r="BN642" s="44"/>
      <c r="BO642" s="45" t="s">
        <v>16</v>
      </c>
      <c r="BP642" s="46" t="str">
        <f>IF(VLOOKUP(BO642,βοηθητικό!$J$2:$N$354,3,FALSE)="","",VLOOKUP(BO642,βοηθητικό!$J$2:$N$354,3,FALSE))</f>
        <v>_</v>
      </c>
      <c r="BQ642" s="47"/>
      <c r="BR642" s="42" t="s">
        <v>16</v>
      </c>
      <c r="BS642" s="43" t="str">
        <f>IF(VLOOKUP(BR642,βοηθητικό!$J$2:$N$354,3,FALSE)="","",VLOOKUP(BR642,βοηθητικό!$J$2:$N$354,3,FALSE))</f>
        <v>_</v>
      </c>
      <c r="BT642" s="44"/>
      <c r="BU642" s="45" t="s">
        <v>16</v>
      </c>
      <c r="BV642" s="46" t="str">
        <f>IF(VLOOKUP(BU642,βοηθητικό!$J$2:$N$354,3,FALSE)="","",VLOOKUP(BU642,βοηθητικό!$J$2:$N$354,3,FALSE))</f>
        <v>_</v>
      </c>
      <c r="BW642" s="47"/>
      <c r="BX642" s="42" t="s">
        <v>16</v>
      </c>
      <c r="BY642" s="43" t="str">
        <f>IF(VLOOKUP(BX642,βοηθητικό!$J$2:$N$354,3,FALSE)="","",VLOOKUP(BX642,βοηθητικό!$J$2:$N$354,3,FALSE))</f>
        <v>_</v>
      </c>
      <c r="BZ642" s="44"/>
      <c r="CA642" s="45" t="s">
        <v>16</v>
      </c>
      <c r="CB642" s="46" t="str">
        <f>IF(VLOOKUP(CA642,βοηθητικό!$J$2:$N$354,3,FALSE)="","",VLOOKUP(CA642,βοηθητικό!$J$2:$N$354,3,FALSE))</f>
        <v>_</v>
      </c>
      <c r="CC642" s="47"/>
      <c r="CD642" s="42" t="s">
        <v>16</v>
      </c>
      <c r="CE642" s="43" t="str">
        <f>IF(VLOOKUP(CD642,βοηθητικό!$J$2:$N$354,3,FALSE)="","",VLOOKUP(CD642,βοηθητικό!$J$2:$N$354,3,FALSE))</f>
        <v>_</v>
      </c>
      <c r="CF642" s="44"/>
      <c r="CG642" s="45" t="s">
        <v>16</v>
      </c>
      <c r="CH642" s="46" t="str">
        <f>IF(VLOOKUP(CG642,βοηθητικό!$J$2:$N$354,3,FALSE)="","",VLOOKUP(CG642,βοηθητικό!$J$2:$N$354,3,FALSE))</f>
        <v>_</v>
      </c>
      <c r="CI642" s="47"/>
      <c r="CJ642" s="42" t="s">
        <v>16</v>
      </c>
      <c r="CK642" s="43" t="str">
        <f>IF(VLOOKUP(CJ642,βοηθητικό!$J$2:$N$354,3,FALSE)="","",VLOOKUP(CJ642,βοηθητικό!$J$2:$N$354,3,FALSE))</f>
        <v>_</v>
      </c>
      <c r="CL642" s="44"/>
      <c r="CM642" s="45" t="s">
        <v>16</v>
      </c>
      <c r="CN642" s="46" t="str">
        <f>IF(VLOOKUP(CM642,βοηθητικό!$J$2:$N$354,3,FALSE)="","",VLOOKUP(CM642,βοηθητικό!$J$2:$N$354,3,FALSE))</f>
        <v>_</v>
      </c>
      <c r="CO642" s="47"/>
      <c r="CP642" s="42" t="s">
        <v>16</v>
      </c>
      <c r="CQ642" s="43" t="str">
        <f>IF(VLOOKUP(CP642,βοηθητικό!$J$2:$N$354,3,FALSE)="","",VLOOKUP(CP642,βοηθητικό!$J$2:$N$354,3,FALSE))</f>
        <v>_</v>
      </c>
      <c r="CR642" s="44"/>
      <c r="CS642" s="45" t="s">
        <v>16</v>
      </c>
      <c r="CT642" s="46" t="str">
        <f>IF(VLOOKUP(CS642,βοηθητικό!$J$2:$N$354,3,FALSE)="","",VLOOKUP(CS642,βοηθητικό!$J$2:$N$354,3,FALSE))</f>
        <v>_</v>
      </c>
      <c r="CU642" s="47"/>
    </row>
    <row r="643" spans="1:99" x14ac:dyDescent="0.25">
      <c r="A643" s="37">
        <f>--SUBTOTAL(3,$B$3:B642)</f>
        <v>198</v>
      </c>
      <c r="B643" s="2"/>
      <c r="C643" s="3"/>
      <c r="D643" s="55" t="s">
        <v>18</v>
      </c>
      <c r="E643" s="38" t="s">
        <v>16</v>
      </c>
      <c r="F643" s="38"/>
      <c r="G643" s="39" t="str">
        <f t="shared" si="29"/>
        <v>__</v>
      </c>
      <c r="H643" s="40" t="str">
        <f t="shared" si="30"/>
        <v>FALSE</v>
      </c>
      <c r="I643" s="41">
        <f t="shared" si="31"/>
        <v>0</v>
      </c>
      <c r="J643" s="4" t="s">
        <v>16</v>
      </c>
      <c r="K643" s="43" t="str">
        <f>IF(VLOOKUP(J643,βοηθητικό!$J$2:$N$354,3,FALSE)="","",VLOOKUP(J643,βοηθητικό!$J$2:$N$354,3,FALSE))</f>
        <v>_</v>
      </c>
      <c r="L643" s="44"/>
      <c r="M643" s="5" t="s">
        <v>16</v>
      </c>
      <c r="N643" s="46" t="str">
        <f>IF(VLOOKUP(M643,βοηθητικό!$J$2:$N$354,3,FALSE)="","",VLOOKUP(M643,βοηθητικό!$J$2:$N$354,3,FALSE))</f>
        <v>_</v>
      </c>
      <c r="O643" s="47"/>
      <c r="P643" s="4" t="s">
        <v>16</v>
      </c>
      <c r="Q643" s="43" t="str">
        <f>IF(VLOOKUP(P643,βοηθητικό!$J$2:$N$354,3,FALSE)="","",VLOOKUP(P643,βοηθητικό!$J$2:$N$354,3,FALSE))</f>
        <v>_</v>
      </c>
      <c r="R643" s="44"/>
      <c r="S643" s="5" t="s">
        <v>16</v>
      </c>
      <c r="T643" s="46" t="str">
        <f>IF(VLOOKUP(S643,βοηθητικό!$J$2:$N$354,3,FALSE)="","",VLOOKUP(S643,βοηθητικό!$J$2:$N$354,3,FALSE))</f>
        <v>_</v>
      </c>
      <c r="U643" s="47"/>
      <c r="V643" s="4" t="s">
        <v>16</v>
      </c>
      <c r="W643" s="43" t="str">
        <f>IF(VLOOKUP(V643,βοηθητικό!$J$2:$N$354,3,FALSE)="","",VLOOKUP(V643,βοηθητικό!$J$2:$N$354,3,FALSE))</f>
        <v>_</v>
      </c>
      <c r="X643" s="44"/>
      <c r="Y643" s="5" t="s">
        <v>16</v>
      </c>
      <c r="Z643" s="46" t="str">
        <f>IF(VLOOKUP(Y643,βοηθητικό!$J$2:$N$354,3,FALSE)="","",VLOOKUP(Y643,βοηθητικό!$J$2:$N$354,3,FALSE))</f>
        <v>_</v>
      </c>
      <c r="AA643" s="47"/>
      <c r="AB643" s="4" t="s">
        <v>16</v>
      </c>
      <c r="AC643" s="43" t="str">
        <f>IF(VLOOKUP(AB643,βοηθητικό!$J$2:$N$354,3,FALSE)="","",VLOOKUP(AB643,βοηθητικό!$J$2:$N$354,3,FALSE))</f>
        <v>_</v>
      </c>
      <c r="AD643" s="44"/>
      <c r="AE643" s="5" t="s">
        <v>16</v>
      </c>
      <c r="AF643" s="46" t="str">
        <f>IF(VLOOKUP(AE643,βοηθητικό!$J$2:$N$354,3,FALSE)="","",VLOOKUP(AE643,βοηθητικό!$J$2:$N$354,3,FALSE))</f>
        <v>_</v>
      </c>
      <c r="AG643" s="47"/>
      <c r="AH643" s="4" t="s">
        <v>16</v>
      </c>
      <c r="AI643" s="43" t="str">
        <f>IF(VLOOKUP(AH643,βοηθητικό!$J$2:$N$354,3,FALSE)="","",VLOOKUP(AH643,βοηθητικό!$J$2:$N$354,3,FALSE))</f>
        <v>_</v>
      </c>
      <c r="AJ643" s="44"/>
      <c r="AK643" s="5" t="s">
        <v>16</v>
      </c>
      <c r="AL643" s="46" t="str">
        <f>IF(VLOOKUP(AK643,βοηθητικό!$J$2:$N$354,3,FALSE)="","",VLOOKUP(AK643,βοηθητικό!$J$2:$N$354,3,FALSE))</f>
        <v>_</v>
      </c>
      <c r="AM643" s="47"/>
      <c r="AN643" s="4" t="s">
        <v>16</v>
      </c>
      <c r="AO643" s="43" t="str">
        <f>IF(VLOOKUP(AN643,βοηθητικό!$J$2:$N$354,3,FALSE)="","",VLOOKUP(AN643,βοηθητικό!$J$2:$N$354,3,FALSE))</f>
        <v>_</v>
      </c>
      <c r="AP643" s="44"/>
      <c r="AQ643" s="5" t="s">
        <v>16</v>
      </c>
      <c r="AR643" s="46" t="str">
        <f>IF(VLOOKUP(AQ643,βοηθητικό!$J$2:$N$354,3,FALSE)="","",VLOOKUP(AQ643,βοηθητικό!$J$2:$N$354,3,FALSE))</f>
        <v>_</v>
      </c>
      <c r="AS643" s="47"/>
      <c r="AT643" s="4" t="s">
        <v>16</v>
      </c>
      <c r="AU643" s="43" t="str">
        <f>IF(VLOOKUP(AT643,βοηθητικό!$J$2:$N$354,3,FALSE)="","",VLOOKUP(AT643,βοηθητικό!$J$2:$N$354,3,FALSE))</f>
        <v>_</v>
      </c>
      <c r="AV643" s="44"/>
      <c r="AW643" s="5" t="s">
        <v>16</v>
      </c>
      <c r="AX643" s="46" t="str">
        <f>IF(VLOOKUP(AW643,βοηθητικό!$J$2:$N$354,3,FALSE)="","",VLOOKUP(AW643,βοηθητικό!$J$2:$N$354,3,FALSE))</f>
        <v>_</v>
      </c>
      <c r="AY643" s="47"/>
      <c r="AZ643" s="4" t="s">
        <v>16</v>
      </c>
      <c r="BA643" s="43" t="str">
        <f>IF(VLOOKUP(AZ643,βοηθητικό!$J$2:$N$354,3,FALSE)="","",VLOOKUP(AZ643,βοηθητικό!$J$2:$N$354,3,FALSE))</f>
        <v>_</v>
      </c>
      <c r="BB643" s="44"/>
      <c r="BC643" s="45" t="s">
        <v>16</v>
      </c>
      <c r="BD643" s="46" t="str">
        <f>IF(VLOOKUP(BC643,βοηθητικό!$J$2:$N$354,3,FALSE)="","",VLOOKUP(BC643,βοηθητικό!$J$2:$N$354,3,FALSE))</f>
        <v>_</v>
      </c>
      <c r="BE643" s="47"/>
      <c r="BF643" s="42" t="s">
        <v>16</v>
      </c>
      <c r="BG643" s="43" t="str">
        <f>IF(VLOOKUP(BF643,βοηθητικό!$J$2:$N$354,3,FALSE)="","",VLOOKUP(BF643,βοηθητικό!$J$2:$N$354,3,FALSE))</f>
        <v>_</v>
      </c>
      <c r="BH643" s="44"/>
      <c r="BI643" s="45" t="s">
        <v>16</v>
      </c>
      <c r="BJ643" s="46" t="str">
        <f>IF(VLOOKUP(BI643,βοηθητικό!$J$2:$N$354,3,FALSE)="","",VLOOKUP(BI643,βοηθητικό!$J$2:$N$354,3,FALSE))</f>
        <v>_</v>
      </c>
      <c r="BK643" s="47"/>
      <c r="BL643" s="42" t="s">
        <v>16</v>
      </c>
      <c r="BM643" s="43" t="str">
        <f>IF(VLOOKUP(BL643,βοηθητικό!$J$2:$N$354,3,FALSE)="","",VLOOKUP(BL643,βοηθητικό!$J$2:$N$354,3,FALSE))</f>
        <v>_</v>
      </c>
      <c r="BN643" s="44"/>
      <c r="BO643" s="45" t="s">
        <v>16</v>
      </c>
      <c r="BP643" s="46" t="str">
        <f>IF(VLOOKUP(BO643,βοηθητικό!$J$2:$N$354,3,FALSE)="","",VLOOKUP(BO643,βοηθητικό!$J$2:$N$354,3,FALSE))</f>
        <v>_</v>
      </c>
      <c r="BQ643" s="47"/>
      <c r="BR643" s="42" t="s">
        <v>16</v>
      </c>
      <c r="BS643" s="43" t="str">
        <f>IF(VLOOKUP(BR643,βοηθητικό!$J$2:$N$354,3,FALSE)="","",VLOOKUP(BR643,βοηθητικό!$J$2:$N$354,3,FALSE))</f>
        <v>_</v>
      </c>
      <c r="BT643" s="44"/>
      <c r="BU643" s="45" t="s">
        <v>16</v>
      </c>
      <c r="BV643" s="46" t="str">
        <f>IF(VLOOKUP(BU643,βοηθητικό!$J$2:$N$354,3,FALSE)="","",VLOOKUP(BU643,βοηθητικό!$J$2:$N$354,3,FALSE))</f>
        <v>_</v>
      </c>
      <c r="BW643" s="47"/>
      <c r="BX643" s="42" t="s">
        <v>16</v>
      </c>
      <c r="BY643" s="43" t="str">
        <f>IF(VLOOKUP(BX643,βοηθητικό!$J$2:$N$354,3,FALSE)="","",VLOOKUP(BX643,βοηθητικό!$J$2:$N$354,3,FALSE))</f>
        <v>_</v>
      </c>
      <c r="BZ643" s="44"/>
      <c r="CA643" s="45" t="s">
        <v>16</v>
      </c>
      <c r="CB643" s="46" t="str">
        <f>IF(VLOOKUP(CA643,βοηθητικό!$J$2:$N$354,3,FALSE)="","",VLOOKUP(CA643,βοηθητικό!$J$2:$N$354,3,FALSE))</f>
        <v>_</v>
      </c>
      <c r="CC643" s="47"/>
      <c r="CD643" s="42" t="s">
        <v>16</v>
      </c>
      <c r="CE643" s="43" t="str">
        <f>IF(VLOOKUP(CD643,βοηθητικό!$J$2:$N$354,3,FALSE)="","",VLOOKUP(CD643,βοηθητικό!$J$2:$N$354,3,FALSE))</f>
        <v>_</v>
      </c>
      <c r="CF643" s="44"/>
      <c r="CG643" s="45" t="s">
        <v>16</v>
      </c>
      <c r="CH643" s="46" t="str">
        <f>IF(VLOOKUP(CG643,βοηθητικό!$J$2:$N$354,3,FALSE)="","",VLOOKUP(CG643,βοηθητικό!$J$2:$N$354,3,FALSE))</f>
        <v>_</v>
      </c>
      <c r="CI643" s="47"/>
      <c r="CJ643" s="42" t="s">
        <v>16</v>
      </c>
      <c r="CK643" s="43" t="str">
        <f>IF(VLOOKUP(CJ643,βοηθητικό!$J$2:$N$354,3,FALSE)="","",VLOOKUP(CJ643,βοηθητικό!$J$2:$N$354,3,FALSE))</f>
        <v>_</v>
      </c>
      <c r="CL643" s="44"/>
      <c r="CM643" s="45" t="s">
        <v>16</v>
      </c>
      <c r="CN643" s="46" t="str">
        <f>IF(VLOOKUP(CM643,βοηθητικό!$J$2:$N$354,3,FALSE)="","",VLOOKUP(CM643,βοηθητικό!$J$2:$N$354,3,FALSE))</f>
        <v>_</v>
      </c>
      <c r="CO643" s="47"/>
      <c r="CP643" s="42" t="s">
        <v>16</v>
      </c>
      <c r="CQ643" s="43" t="str">
        <f>IF(VLOOKUP(CP643,βοηθητικό!$J$2:$N$354,3,FALSE)="","",VLOOKUP(CP643,βοηθητικό!$J$2:$N$354,3,FALSE))</f>
        <v>_</v>
      </c>
      <c r="CR643" s="44"/>
      <c r="CS643" s="45" t="s">
        <v>16</v>
      </c>
      <c r="CT643" s="46" t="str">
        <f>IF(VLOOKUP(CS643,βοηθητικό!$J$2:$N$354,3,FALSE)="","",VLOOKUP(CS643,βοηθητικό!$J$2:$N$354,3,FALSE))</f>
        <v>_</v>
      </c>
      <c r="CU643" s="47"/>
    </row>
    <row r="644" spans="1:99" x14ac:dyDescent="0.25">
      <c r="A644" s="37">
        <f>--SUBTOTAL(3,$B$3:B643)</f>
        <v>198</v>
      </c>
      <c r="B644" s="2"/>
      <c r="C644" s="3"/>
      <c r="D644" s="55" t="s">
        <v>18</v>
      </c>
      <c r="E644" s="38" t="s">
        <v>16</v>
      </c>
      <c r="F644" s="38"/>
      <c r="G644" s="39" t="str">
        <f t="shared" ref="G644:G707" si="32">IF(OR(C644="_",E644="_"),"__",CONCATENATE(C644,E644))</f>
        <v>__</v>
      </c>
      <c r="H644" s="40" t="str">
        <f t="shared" ref="H644:H707" si="33">IF(G644="__","FALSE",COUNTIF(G:G,G644)&gt;1)</f>
        <v>FALSE</v>
      </c>
      <c r="I644" s="41">
        <f t="shared" ref="I644:I707" si="34">SUMPRODUCT((J644:CU644&lt;&gt;"_")*(MOD(COLUMN(J644:CU644)-COLUMN(J644),3)=0))</f>
        <v>0</v>
      </c>
      <c r="J644" s="4" t="s">
        <v>16</v>
      </c>
      <c r="K644" s="43" t="str">
        <f>IF(VLOOKUP(J644,βοηθητικό!$J$2:$N$354,3,FALSE)="","",VLOOKUP(J644,βοηθητικό!$J$2:$N$354,3,FALSE))</f>
        <v>_</v>
      </c>
      <c r="L644" s="44"/>
      <c r="M644" s="5" t="s">
        <v>16</v>
      </c>
      <c r="N644" s="46" t="str">
        <f>IF(VLOOKUP(M644,βοηθητικό!$J$2:$N$354,3,FALSE)="","",VLOOKUP(M644,βοηθητικό!$J$2:$N$354,3,FALSE))</f>
        <v>_</v>
      </c>
      <c r="O644" s="47"/>
      <c r="P644" s="4" t="s">
        <v>16</v>
      </c>
      <c r="Q644" s="43" t="str">
        <f>IF(VLOOKUP(P644,βοηθητικό!$J$2:$N$354,3,FALSE)="","",VLOOKUP(P644,βοηθητικό!$J$2:$N$354,3,FALSE))</f>
        <v>_</v>
      </c>
      <c r="R644" s="44"/>
      <c r="S644" s="5" t="s">
        <v>16</v>
      </c>
      <c r="T644" s="46" t="str">
        <f>IF(VLOOKUP(S644,βοηθητικό!$J$2:$N$354,3,FALSE)="","",VLOOKUP(S644,βοηθητικό!$J$2:$N$354,3,FALSE))</f>
        <v>_</v>
      </c>
      <c r="U644" s="47"/>
      <c r="V644" s="4" t="s">
        <v>16</v>
      </c>
      <c r="W644" s="43" t="str">
        <f>IF(VLOOKUP(V644,βοηθητικό!$J$2:$N$354,3,FALSE)="","",VLOOKUP(V644,βοηθητικό!$J$2:$N$354,3,FALSE))</f>
        <v>_</v>
      </c>
      <c r="X644" s="44"/>
      <c r="Y644" s="5" t="s">
        <v>16</v>
      </c>
      <c r="Z644" s="46" t="str">
        <f>IF(VLOOKUP(Y644,βοηθητικό!$J$2:$N$354,3,FALSE)="","",VLOOKUP(Y644,βοηθητικό!$J$2:$N$354,3,FALSE))</f>
        <v>_</v>
      </c>
      <c r="AA644" s="47"/>
      <c r="AB644" s="4" t="s">
        <v>16</v>
      </c>
      <c r="AC644" s="43" t="str">
        <f>IF(VLOOKUP(AB644,βοηθητικό!$J$2:$N$354,3,FALSE)="","",VLOOKUP(AB644,βοηθητικό!$J$2:$N$354,3,FALSE))</f>
        <v>_</v>
      </c>
      <c r="AD644" s="44"/>
      <c r="AE644" s="5" t="s">
        <v>16</v>
      </c>
      <c r="AF644" s="46" t="str">
        <f>IF(VLOOKUP(AE644,βοηθητικό!$J$2:$N$354,3,FALSE)="","",VLOOKUP(AE644,βοηθητικό!$J$2:$N$354,3,FALSE))</f>
        <v>_</v>
      </c>
      <c r="AG644" s="47"/>
      <c r="AH644" s="4" t="s">
        <v>16</v>
      </c>
      <c r="AI644" s="43" t="str">
        <f>IF(VLOOKUP(AH644,βοηθητικό!$J$2:$N$354,3,FALSE)="","",VLOOKUP(AH644,βοηθητικό!$J$2:$N$354,3,FALSE))</f>
        <v>_</v>
      </c>
      <c r="AJ644" s="44"/>
      <c r="AK644" s="5" t="s">
        <v>16</v>
      </c>
      <c r="AL644" s="46" t="str">
        <f>IF(VLOOKUP(AK644,βοηθητικό!$J$2:$N$354,3,FALSE)="","",VLOOKUP(AK644,βοηθητικό!$J$2:$N$354,3,FALSE))</f>
        <v>_</v>
      </c>
      <c r="AM644" s="47"/>
      <c r="AN644" s="4" t="s">
        <v>16</v>
      </c>
      <c r="AO644" s="43" t="str">
        <f>IF(VLOOKUP(AN644,βοηθητικό!$J$2:$N$354,3,FALSE)="","",VLOOKUP(AN644,βοηθητικό!$J$2:$N$354,3,FALSE))</f>
        <v>_</v>
      </c>
      <c r="AP644" s="44"/>
      <c r="AQ644" s="5" t="s">
        <v>16</v>
      </c>
      <c r="AR644" s="46" t="str">
        <f>IF(VLOOKUP(AQ644,βοηθητικό!$J$2:$N$354,3,FALSE)="","",VLOOKUP(AQ644,βοηθητικό!$J$2:$N$354,3,FALSE))</f>
        <v>_</v>
      </c>
      <c r="AS644" s="47"/>
      <c r="AT644" s="4" t="s">
        <v>16</v>
      </c>
      <c r="AU644" s="43" t="str">
        <f>IF(VLOOKUP(AT644,βοηθητικό!$J$2:$N$354,3,FALSE)="","",VLOOKUP(AT644,βοηθητικό!$J$2:$N$354,3,FALSE))</f>
        <v>_</v>
      </c>
      <c r="AV644" s="44"/>
      <c r="AW644" s="5" t="s">
        <v>16</v>
      </c>
      <c r="AX644" s="46" t="str">
        <f>IF(VLOOKUP(AW644,βοηθητικό!$J$2:$N$354,3,FALSE)="","",VLOOKUP(AW644,βοηθητικό!$J$2:$N$354,3,FALSE))</f>
        <v>_</v>
      </c>
      <c r="AY644" s="47"/>
      <c r="AZ644" s="4" t="s">
        <v>16</v>
      </c>
      <c r="BA644" s="43" t="str">
        <f>IF(VLOOKUP(AZ644,βοηθητικό!$J$2:$N$354,3,FALSE)="","",VLOOKUP(AZ644,βοηθητικό!$J$2:$N$354,3,FALSE))</f>
        <v>_</v>
      </c>
      <c r="BB644" s="44"/>
      <c r="BC644" s="45" t="s">
        <v>16</v>
      </c>
      <c r="BD644" s="46" t="str">
        <f>IF(VLOOKUP(BC644,βοηθητικό!$J$2:$N$354,3,FALSE)="","",VLOOKUP(BC644,βοηθητικό!$J$2:$N$354,3,FALSE))</f>
        <v>_</v>
      </c>
      <c r="BE644" s="47"/>
      <c r="BF644" s="42" t="s">
        <v>16</v>
      </c>
      <c r="BG644" s="43" t="str">
        <f>IF(VLOOKUP(BF644,βοηθητικό!$J$2:$N$354,3,FALSE)="","",VLOOKUP(BF644,βοηθητικό!$J$2:$N$354,3,FALSE))</f>
        <v>_</v>
      </c>
      <c r="BH644" s="44"/>
      <c r="BI644" s="45" t="s">
        <v>16</v>
      </c>
      <c r="BJ644" s="46" t="str">
        <f>IF(VLOOKUP(BI644,βοηθητικό!$J$2:$N$354,3,FALSE)="","",VLOOKUP(BI644,βοηθητικό!$J$2:$N$354,3,FALSE))</f>
        <v>_</v>
      </c>
      <c r="BK644" s="47"/>
      <c r="BL644" s="42" t="s">
        <v>16</v>
      </c>
      <c r="BM644" s="43" t="str">
        <f>IF(VLOOKUP(BL644,βοηθητικό!$J$2:$N$354,3,FALSE)="","",VLOOKUP(BL644,βοηθητικό!$J$2:$N$354,3,FALSE))</f>
        <v>_</v>
      </c>
      <c r="BN644" s="44"/>
      <c r="BO644" s="45" t="s">
        <v>16</v>
      </c>
      <c r="BP644" s="46" t="str">
        <f>IF(VLOOKUP(BO644,βοηθητικό!$J$2:$N$354,3,FALSE)="","",VLOOKUP(BO644,βοηθητικό!$J$2:$N$354,3,FALSE))</f>
        <v>_</v>
      </c>
      <c r="BQ644" s="47"/>
      <c r="BR644" s="42" t="s">
        <v>16</v>
      </c>
      <c r="BS644" s="43" t="str">
        <f>IF(VLOOKUP(BR644,βοηθητικό!$J$2:$N$354,3,FALSE)="","",VLOOKUP(BR644,βοηθητικό!$J$2:$N$354,3,FALSE))</f>
        <v>_</v>
      </c>
      <c r="BT644" s="44"/>
      <c r="BU644" s="45" t="s">
        <v>16</v>
      </c>
      <c r="BV644" s="46" t="str">
        <f>IF(VLOOKUP(BU644,βοηθητικό!$J$2:$N$354,3,FALSE)="","",VLOOKUP(BU644,βοηθητικό!$J$2:$N$354,3,FALSE))</f>
        <v>_</v>
      </c>
      <c r="BW644" s="47"/>
      <c r="BX644" s="42" t="s">
        <v>16</v>
      </c>
      <c r="BY644" s="43" t="str">
        <f>IF(VLOOKUP(BX644,βοηθητικό!$J$2:$N$354,3,FALSE)="","",VLOOKUP(BX644,βοηθητικό!$J$2:$N$354,3,FALSE))</f>
        <v>_</v>
      </c>
      <c r="BZ644" s="44"/>
      <c r="CA644" s="45" t="s">
        <v>16</v>
      </c>
      <c r="CB644" s="46" t="str">
        <f>IF(VLOOKUP(CA644,βοηθητικό!$J$2:$N$354,3,FALSE)="","",VLOOKUP(CA644,βοηθητικό!$J$2:$N$354,3,FALSE))</f>
        <v>_</v>
      </c>
      <c r="CC644" s="47"/>
      <c r="CD644" s="42" t="s">
        <v>16</v>
      </c>
      <c r="CE644" s="43" t="str">
        <f>IF(VLOOKUP(CD644,βοηθητικό!$J$2:$N$354,3,FALSE)="","",VLOOKUP(CD644,βοηθητικό!$J$2:$N$354,3,FALSE))</f>
        <v>_</v>
      </c>
      <c r="CF644" s="44"/>
      <c r="CG644" s="45" t="s">
        <v>16</v>
      </c>
      <c r="CH644" s="46" t="str">
        <f>IF(VLOOKUP(CG644,βοηθητικό!$J$2:$N$354,3,FALSE)="","",VLOOKUP(CG644,βοηθητικό!$J$2:$N$354,3,FALSE))</f>
        <v>_</v>
      </c>
      <c r="CI644" s="47"/>
      <c r="CJ644" s="42" t="s">
        <v>16</v>
      </c>
      <c r="CK644" s="43" t="str">
        <f>IF(VLOOKUP(CJ644,βοηθητικό!$J$2:$N$354,3,FALSE)="","",VLOOKUP(CJ644,βοηθητικό!$J$2:$N$354,3,FALSE))</f>
        <v>_</v>
      </c>
      <c r="CL644" s="44"/>
      <c r="CM644" s="45" t="s">
        <v>16</v>
      </c>
      <c r="CN644" s="46" t="str">
        <f>IF(VLOOKUP(CM644,βοηθητικό!$J$2:$N$354,3,FALSE)="","",VLOOKUP(CM644,βοηθητικό!$J$2:$N$354,3,FALSE))</f>
        <v>_</v>
      </c>
      <c r="CO644" s="47"/>
      <c r="CP644" s="42" t="s">
        <v>16</v>
      </c>
      <c r="CQ644" s="43" t="str">
        <f>IF(VLOOKUP(CP644,βοηθητικό!$J$2:$N$354,3,FALSE)="","",VLOOKUP(CP644,βοηθητικό!$J$2:$N$354,3,FALSE))</f>
        <v>_</v>
      </c>
      <c r="CR644" s="44"/>
      <c r="CS644" s="45" t="s">
        <v>16</v>
      </c>
      <c r="CT644" s="46" t="str">
        <f>IF(VLOOKUP(CS644,βοηθητικό!$J$2:$N$354,3,FALSE)="","",VLOOKUP(CS644,βοηθητικό!$J$2:$N$354,3,FALSE))</f>
        <v>_</v>
      </c>
      <c r="CU644" s="47"/>
    </row>
    <row r="645" spans="1:99" x14ac:dyDescent="0.25">
      <c r="A645" s="37">
        <f>--SUBTOTAL(3,$B$3:B644)</f>
        <v>198</v>
      </c>
      <c r="B645" s="2"/>
      <c r="C645" s="3"/>
      <c r="D645" s="55" t="s">
        <v>18</v>
      </c>
      <c r="E645" s="38" t="s">
        <v>16</v>
      </c>
      <c r="F645" s="38"/>
      <c r="G645" s="39" t="str">
        <f t="shared" si="32"/>
        <v>__</v>
      </c>
      <c r="H645" s="40" t="str">
        <f t="shared" si="33"/>
        <v>FALSE</v>
      </c>
      <c r="I645" s="41">
        <f t="shared" si="34"/>
        <v>0</v>
      </c>
      <c r="J645" s="4" t="s">
        <v>16</v>
      </c>
      <c r="K645" s="43" t="str">
        <f>IF(VLOOKUP(J645,βοηθητικό!$J$2:$N$354,3,FALSE)="","",VLOOKUP(J645,βοηθητικό!$J$2:$N$354,3,FALSE))</f>
        <v>_</v>
      </c>
      <c r="L645" s="44"/>
      <c r="M645" s="5" t="s">
        <v>16</v>
      </c>
      <c r="N645" s="46" t="str">
        <f>IF(VLOOKUP(M645,βοηθητικό!$J$2:$N$354,3,FALSE)="","",VLOOKUP(M645,βοηθητικό!$J$2:$N$354,3,FALSE))</f>
        <v>_</v>
      </c>
      <c r="O645" s="47"/>
      <c r="P645" s="4" t="s">
        <v>16</v>
      </c>
      <c r="Q645" s="43" t="str">
        <f>IF(VLOOKUP(P645,βοηθητικό!$J$2:$N$354,3,FALSE)="","",VLOOKUP(P645,βοηθητικό!$J$2:$N$354,3,FALSE))</f>
        <v>_</v>
      </c>
      <c r="R645" s="44"/>
      <c r="S645" s="5" t="s">
        <v>16</v>
      </c>
      <c r="T645" s="46" t="str">
        <f>IF(VLOOKUP(S645,βοηθητικό!$J$2:$N$354,3,FALSE)="","",VLOOKUP(S645,βοηθητικό!$J$2:$N$354,3,FALSE))</f>
        <v>_</v>
      </c>
      <c r="U645" s="47"/>
      <c r="V645" s="4" t="s">
        <v>16</v>
      </c>
      <c r="W645" s="43" t="str">
        <f>IF(VLOOKUP(V645,βοηθητικό!$J$2:$N$354,3,FALSE)="","",VLOOKUP(V645,βοηθητικό!$J$2:$N$354,3,FALSE))</f>
        <v>_</v>
      </c>
      <c r="X645" s="44"/>
      <c r="Y645" s="5" t="s">
        <v>16</v>
      </c>
      <c r="Z645" s="46" t="str">
        <f>IF(VLOOKUP(Y645,βοηθητικό!$J$2:$N$354,3,FALSE)="","",VLOOKUP(Y645,βοηθητικό!$J$2:$N$354,3,FALSE))</f>
        <v>_</v>
      </c>
      <c r="AA645" s="47"/>
      <c r="AB645" s="4" t="s">
        <v>16</v>
      </c>
      <c r="AC645" s="43" t="str">
        <f>IF(VLOOKUP(AB645,βοηθητικό!$J$2:$N$354,3,FALSE)="","",VLOOKUP(AB645,βοηθητικό!$J$2:$N$354,3,FALSE))</f>
        <v>_</v>
      </c>
      <c r="AD645" s="44"/>
      <c r="AE645" s="5" t="s">
        <v>16</v>
      </c>
      <c r="AF645" s="46" t="str">
        <f>IF(VLOOKUP(AE645,βοηθητικό!$J$2:$N$354,3,FALSE)="","",VLOOKUP(AE645,βοηθητικό!$J$2:$N$354,3,FALSE))</f>
        <v>_</v>
      </c>
      <c r="AG645" s="47"/>
      <c r="AH645" s="4" t="s">
        <v>16</v>
      </c>
      <c r="AI645" s="43" t="str">
        <f>IF(VLOOKUP(AH645,βοηθητικό!$J$2:$N$354,3,FALSE)="","",VLOOKUP(AH645,βοηθητικό!$J$2:$N$354,3,FALSE))</f>
        <v>_</v>
      </c>
      <c r="AJ645" s="44"/>
      <c r="AK645" s="5" t="s">
        <v>16</v>
      </c>
      <c r="AL645" s="46" t="str">
        <f>IF(VLOOKUP(AK645,βοηθητικό!$J$2:$N$354,3,FALSE)="","",VLOOKUP(AK645,βοηθητικό!$J$2:$N$354,3,FALSE))</f>
        <v>_</v>
      </c>
      <c r="AM645" s="47"/>
      <c r="AN645" s="4" t="s">
        <v>16</v>
      </c>
      <c r="AO645" s="43" t="str">
        <f>IF(VLOOKUP(AN645,βοηθητικό!$J$2:$N$354,3,FALSE)="","",VLOOKUP(AN645,βοηθητικό!$J$2:$N$354,3,FALSE))</f>
        <v>_</v>
      </c>
      <c r="AP645" s="44"/>
      <c r="AQ645" s="5" t="s">
        <v>16</v>
      </c>
      <c r="AR645" s="46" t="str">
        <f>IF(VLOOKUP(AQ645,βοηθητικό!$J$2:$N$354,3,FALSE)="","",VLOOKUP(AQ645,βοηθητικό!$J$2:$N$354,3,FALSE))</f>
        <v>_</v>
      </c>
      <c r="AS645" s="47"/>
      <c r="AT645" s="4" t="s">
        <v>16</v>
      </c>
      <c r="AU645" s="43" t="str">
        <f>IF(VLOOKUP(AT645,βοηθητικό!$J$2:$N$354,3,FALSE)="","",VLOOKUP(AT645,βοηθητικό!$J$2:$N$354,3,FALSE))</f>
        <v>_</v>
      </c>
      <c r="AV645" s="44"/>
      <c r="AW645" s="5" t="s">
        <v>16</v>
      </c>
      <c r="AX645" s="46" t="str">
        <f>IF(VLOOKUP(AW645,βοηθητικό!$J$2:$N$354,3,FALSE)="","",VLOOKUP(AW645,βοηθητικό!$J$2:$N$354,3,FALSE))</f>
        <v>_</v>
      </c>
      <c r="AY645" s="47"/>
      <c r="AZ645" s="4" t="s">
        <v>16</v>
      </c>
      <c r="BA645" s="43" t="str">
        <f>IF(VLOOKUP(AZ645,βοηθητικό!$J$2:$N$354,3,FALSE)="","",VLOOKUP(AZ645,βοηθητικό!$J$2:$N$354,3,FALSE))</f>
        <v>_</v>
      </c>
      <c r="BB645" s="44"/>
      <c r="BC645" s="45" t="s">
        <v>16</v>
      </c>
      <c r="BD645" s="46" t="str">
        <f>IF(VLOOKUP(BC645,βοηθητικό!$J$2:$N$354,3,FALSE)="","",VLOOKUP(BC645,βοηθητικό!$J$2:$N$354,3,FALSE))</f>
        <v>_</v>
      </c>
      <c r="BE645" s="47"/>
      <c r="BF645" s="42" t="s">
        <v>16</v>
      </c>
      <c r="BG645" s="43" t="str">
        <f>IF(VLOOKUP(BF645,βοηθητικό!$J$2:$N$354,3,FALSE)="","",VLOOKUP(BF645,βοηθητικό!$J$2:$N$354,3,FALSE))</f>
        <v>_</v>
      </c>
      <c r="BH645" s="44"/>
      <c r="BI645" s="45" t="s">
        <v>16</v>
      </c>
      <c r="BJ645" s="46" t="str">
        <f>IF(VLOOKUP(BI645,βοηθητικό!$J$2:$N$354,3,FALSE)="","",VLOOKUP(BI645,βοηθητικό!$J$2:$N$354,3,FALSE))</f>
        <v>_</v>
      </c>
      <c r="BK645" s="47"/>
      <c r="BL645" s="42" t="s">
        <v>16</v>
      </c>
      <c r="BM645" s="43" t="str">
        <f>IF(VLOOKUP(BL645,βοηθητικό!$J$2:$N$354,3,FALSE)="","",VLOOKUP(BL645,βοηθητικό!$J$2:$N$354,3,FALSE))</f>
        <v>_</v>
      </c>
      <c r="BN645" s="44"/>
      <c r="BO645" s="45" t="s">
        <v>16</v>
      </c>
      <c r="BP645" s="46" t="str">
        <f>IF(VLOOKUP(BO645,βοηθητικό!$J$2:$N$354,3,FALSE)="","",VLOOKUP(BO645,βοηθητικό!$J$2:$N$354,3,FALSE))</f>
        <v>_</v>
      </c>
      <c r="BQ645" s="47"/>
      <c r="BR645" s="42" t="s">
        <v>16</v>
      </c>
      <c r="BS645" s="43" t="str">
        <f>IF(VLOOKUP(BR645,βοηθητικό!$J$2:$N$354,3,FALSE)="","",VLOOKUP(BR645,βοηθητικό!$J$2:$N$354,3,FALSE))</f>
        <v>_</v>
      </c>
      <c r="BT645" s="44"/>
      <c r="BU645" s="45" t="s">
        <v>16</v>
      </c>
      <c r="BV645" s="46" t="str">
        <f>IF(VLOOKUP(BU645,βοηθητικό!$J$2:$N$354,3,FALSE)="","",VLOOKUP(BU645,βοηθητικό!$J$2:$N$354,3,FALSE))</f>
        <v>_</v>
      </c>
      <c r="BW645" s="47"/>
      <c r="BX645" s="42" t="s">
        <v>16</v>
      </c>
      <c r="BY645" s="43" t="str">
        <f>IF(VLOOKUP(BX645,βοηθητικό!$J$2:$N$354,3,FALSE)="","",VLOOKUP(BX645,βοηθητικό!$J$2:$N$354,3,FALSE))</f>
        <v>_</v>
      </c>
      <c r="BZ645" s="44"/>
      <c r="CA645" s="45" t="s">
        <v>16</v>
      </c>
      <c r="CB645" s="46" t="str">
        <f>IF(VLOOKUP(CA645,βοηθητικό!$J$2:$N$354,3,FALSE)="","",VLOOKUP(CA645,βοηθητικό!$J$2:$N$354,3,FALSE))</f>
        <v>_</v>
      </c>
      <c r="CC645" s="47"/>
      <c r="CD645" s="42" t="s">
        <v>16</v>
      </c>
      <c r="CE645" s="43" t="str">
        <f>IF(VLOOKUP(CD645,βοηθητικό!$J$2:$N$354,3,FALSE)="","",VLOOKUP(CD645,βοηθητικό!$J$2:$N$354,3,FALSE))</f>
        <v>_</v>
      </c>
      <c r="CF645" s="44"/>
      <c r="CG645" s="45" t="s">
        <v>16</v>
      </c>
      <c r="CH645" s="46" t="str">
        <f>IF(VLOOKUP(CG645,βοηθητικό!$J$2:$N$354,3,FALSE)="","",VLOOKUP(CG645,βοηθητικό!$J$2:$N$354,3,FALSE))</f>
        <v>_</v>
      </c>
      <c r="CI645" s="47"/>
      <c r="CJ645" s="42" t="s">
        <v>16</v>
      </c>
      <c r="CK645" s="43" t="str">
        <f>IF(VLOOKUP(CJ645,βοηθητικό!$J$2:$N$354,3,FALSE)="","",VLOOKUP(CJ645,βοηθητικό!$J$2:$N$354,3,FALSE))</f>
        <v>_</v>
      </c>
      <c r="CL645" s="44"/>
      <c r="CM645" s="45" t="s">
        <v>16</v>
      </c>
      <c r="CN645" s="46" t="str">
        <f>IF(VLOOKUP(CM645,βοηθητικό!$J$2:$N$354,3,FALSE)="","",VLOOKUP(CM645,βοηθητικό!$J$2:$N$354,3,FALSE))</f>
        <v>_</v>
      </c>
      <c r="CO645" s="47"/>
      <c r="CP645" s="42" t="s">
        <v>16</v>
      </c>
      <c r="CQ645" s="43" t="str">
        <f>IF(VLOOKUP(CP645,βοηθητικό!$J$2:$N$354,3,FALSE)="","",VLOOKUP(CP645,βοηθητικό!$J$2:$N$354,3,FALSE))</f>
        <v>_</v>
      </c>
      <c r="CR645" s="44"/>
      <c r="CS645" s="45" t="s">
        <v>16</v>
      </c>
      <c r="CT645" s="46" t="str">
        <f>IF(VLOOKUP(CS645,βοηθητικό!$J$2:$N$354,3,FALSE)="","",VLOOKUP(CS645,βοηθητικό!$J$2:$N$354,3,FALSE))</f>
        <v>_</v>
      </c>
      <c r="CU645" s="47"/>
    </row>
    <row r="646" spans="1:99" x14ac:dyDescent="0.25">
      <c r="A646" s="37">
        <f>--SUBTOTAL(3,$B$3:B645)</f>
        <v>198</v>
      </c>
      <c r="B646" s="2"/>
      <c r="C646" s="3"/>
      <c r="D646" s="55" t="s">
        <v>18</v>
      </c>
      <c r="E646" s="38" t="s">
        <v>16</v>
      </c>
      <c r="F646" s="38"/>
      <c r="G646" s="39" t="str">
        <f t="shared" si="32"/>
        <v>__</v>
      </c>
      <c r="H646" s="40" t="str">
        <f t="shared" si="33"/>
        <v>FALSE</v>
      </c>
      <c r="I646" s="41">
        <f t="shared" si="34"/>
        <v>0</v>
      </c>
      <c r="J646" s="4" t="s">
        <v>16</v>
      </c>
      <c r="K646" s="43" t="str">
        <f>IF(VLOOKUP(J646,βοηθητικό!$J$2:$N$354,3,FALSE)="","",VLOOKUP(J646,βοηθητικό!$J$2:$N$354,3,FALSE))</f>
        <v>_</v>
      </c>
      <c r="L646" s="44"/>
      <c r="M646" s="5" t="s">
        <v>16</v>
      </c>
      <c r="N646" s="46" t="str">
        <f>IF(VLOOKUP(M646,βοηθητικό!$J$2:$N$354,3,FALSE)="","",VLOOKUP(M646,βοηθητικό!$J$2:$N$354,3,FALSE))</f>
        <v>_</v>
      </c>
      <c r="O646" s="47"/>
      <c r="P646" s="4" t="s">
        <v>16</v>
      </c>
      <c r="Q646" s="43" t="str">
        <f>IF(VLOOKUP(P646,βοηθητικό!$J$2:$N$354,3,FALSE)="","",VLOOKUP(P646,βοηθητικό!$J$2:$N$354,3,FALSE))</f>
        <v>_</v>
      </c>
      <c r="R646" s="44"/>
      <c r="S646" s="5" t="s">
        <v>16</v>
      </c>
      <c r="T646" s="46" t="str">
        <f>IF(VLOOKUP(S646,βοηθητικό!$J$2:$N$354,3,FALSE)="","",VLOOKUP(S646,βοηθητικό!$J$2:$N$354,3,FALSE))</f>
        <v>_</v>
      </c>
      <c r="U646" s="47"/>
      <c r="V646" s="4" t="s">
        <v>16</v>
      </c>
      <c r="W646" s="43" t="str">
        <f>IF(VLOOKUP(V646,βοηθητικό!$J$2:$N$354,3,FALSE)="","",VLOOKUP(V646,βοηθητικό!$J$2:$N$354,3,FALSE))</f>
        <v>_</v>
      </c>
      <c r="X646" s="44"/>
      <c r="Y646" s="5" t="s">
        <v>16</v>
      </c>
      <c r="Z646" s="46" t="str">
        <f>IF(VLOOKUP(Y646,βοηθητικό!$J$2:$N$354,3,FALSE)="","",VLOOKUP(Y646,βοηθητικό!$J$2:$N$354,3,FALSE))</f>
        <v>_</v>
      </c>
      <c r="AA646" s="47"/>
      <c r="AB646" s="4" t="s">
        <v>16</v>
      </c>
      <c r="AC646" s="43" t="str">
        <f>IF(VLOOKUP(AB646,βοηθητικό!$J$2:$N$354,3,FALSE)="","",VLOOKUP(AB646,βοηθητικό!$J$2:$N$354,3,FALSE))</f>
        <v>_</v>
      </c>
      <c r="AD646" s="44"/>
      <c r="AE646" s="5" t="s">
        <v>16</v>
      </c>
      <c r="AF646" s="46" t="str">
        <f>IF(VLOOKUP(AE646,βοηθητικό!$J$2:$N$354,3,FALSE)="","",VLOOKUP(AE646,βοηθητικό!$J$2:$N$354,3,FALSE))</f>
        <v>_</v>
      </c>
      <c r="AG646" s="47"/>
      <c r="AH646" s="4" t="s">
        <v>16</v>
      </c>
      <c r="AI646" s="43" t="str">
        <f>IF(VLOOKUP(AH646,βοηθητικό!$J$2:$N$354,3,FALSE)="","",VLOOKUP(AH646,βοηθητικό!$J$2:$N$354,3,FALSE))</f>
        <v>_</v>
      </c>
      <c r="AJ646" s="44"/>
      <c r="AK646" s="5" t="s">
        <v>16</v>
      </c>
      <c r="AL646" s="46" t="str">
        <f>IF(VLOOKUP(AK646,βοηθητικό!$J$2:$N$354,3,FALSE)="","",VLOOKUP(AK646,βοηθητικό!$J$2:$N$354,3,FALSE))</f>
        <v>_</v>
      </c>
      <c r="AM646" s="47"/>
      <c r="AN646" s="4" t="s">
        <v>16</v>
      </c>
      <c r="AO646" s="43" t="str">
        <f>IF(VLOOKUP(AN646,βοηθητικό!$J$2:$N$354,3,FALSE)="","",VLOOKUP(AN646,βοηθητικό!$J$2:$N$354,3,FALSE))</f>
        <v>_</v>
      </c>
      <c r="AP646" s="44"/>
      <c r="AQ646" s="5" t="s">
        <v>16</v>
      </c>
      <c r="AR646" s="46" t="str">
        <f>IF(VLOOKUP(AQ646,βοηθητικό!$J$2:$N$354,3,FALSE)="","",VLOOKUP(AQ646,βοηθητικό!$J$2:$N$354,3,FALSE))</f>
        <v>_</v>
      </c>
      <c r="AS646" s="47"/>
      <c r="AT646" s="4" t="s">
        <v>16</v>
      </c>
      <c r="AU646" s="43" t="str">
        <f>IF(VLOOKUP(AT646,βοηθητικό!$J$2:$N$354,3,FALSE)="","",VLOOKUP(AT646,βοηθητικό!$J$2:$N$354,3,FALSE))</f>
        <v>_</v>
      </c>
      <c r="AV646" s="44"/>
      <c r="AW646" s="5" t="s">
        <v>16</v>
      </c>
      <c r="AX646" s="46" t="str">
        <f>IF(VLOOKUP(AW646,βοηθητικό!$J$2:$N$354,3,FALSE)="","",VLOOKUP(AW646,βοηθητικό!$J$2:$N$354,3,FALSE))</f>
        <v>_</v>
      </c>
      <c r="AY646" s="47"/>
      <c r="AZ646" s="4" t="s">
        <v>16</v>
      </c>
      <c r="BA646" s="43" t="str">
        <f>IF(VLOOKUP(AZ646,βοηθητικό!$J$2:$N$354,3,FALSE)="","",VLOOKUP(AZ646,βοηθητικό!$J$2:$N$354,3,FALSE))</f>
        <v>_</v>
      </c>
      <c r="BB646" s="44"/>
      <c r="BC646" s="45" t="s">
        <v>16</v>
      </c>
      <c r="BD646" s="46" t="str">
        <f>IF(VLOOKUP(BC646,βοηθητικό!$J$2:$N$354,3,FALSE)="","",VLOOKUP(BC646,βοηθητικό!$J$2:$N$354,3,FALSE))</f>
        <v>_</v>
      </c>
      <c r="BE646" s="47"/>
      <c r="BF646" s="42" t="s">
        <v>16</v>
      </c>
      <c r="BG646" s="43" t="str">
        <f>IF(VLOOKUP(BF646,βοηθητικό!$J$2:$N$354,3,FALSE)="","",VLOOKUP(BF646,βοηθητικό!$J$2:$N$354,3,FALSE))</f>
        <v>_</v>
      </c>
      <c r="BH646" s="44"/>
      <c r="BI646" s="45" t="s">
        <v>16</v>
      </c>
      <c r="BJ646" s="46" t="str">
        <f>IF(VLOOKUP(BI646,βοηθητικό!$J$2:$N$354,3,FALSE)="","",VLOOKUP(BI646,βοηθητικό!$J$2:$N$354,3,FALSE))</f>
        <v>_</v>
      </c>
      <c r="BK646" s="47"/>
      <c r="BL646" s="42" t="s">
        <v>16</v>
      </c>
      <c r="BM646" s="43" t="str">
        <f>IF(VLOOKUP(BL646,βοηθητικό!$J$2:$N$354,3,FALSE)="","",VLOOKUP(BL646,βοηθητικό!$J$2:$N$354,3,FALSE))</f>
        <v>_</v>
      </c>
      <c r="BN646" s="44"/>
      <c r="BO646" s="45" t="s">
        <v>16</v>
      </c>
      <c r="BP646" s="46" t="str">
        <f>IF(VLOOKUP(BO646,βοηθητικό!$J$2:$N$354,3,FALSE)="","",VLOOKUP(BO646,βοηθητικό!$J$2:$N$354,3,FALSE))</f>
        <v>_</v>
      </c>
      <c r="BQ646" s="47"/>
      <c r="BR646" s="42" t="s">
        <v>16</v>
      </c>
      <c r="BS646" s="43" t="str">
        <f>IF(VLOOKUP(BR646,βοηθητικό!$J$2:$N$354,3,FALSE)="","",VLOOKUP(BR646,βοηθητικό!$J$2:$N$354,3,FALSE))</f>
        <v>_</v>
      </c>
      <c r="BT646" s="44"/>
      <c r="BU646" s="45" t="s">
        <v>16</v>
      </c>
      <c r="BV646" s="46" t="str">
        <f>IF(VLOOKUP(BU646,βοηθητικό!$J$2:$N$354,3,FALSE)="","",VLOOKUP(BU646,βοηθητικό!$J$2:$N$354,3,FALSE))</f>
        <v>_</v>
      </c>
      <c r="BW646" s="47"/>
      <c r="BX646" s="42" t="s">
        <v>16</v>
      </c>
      <c r="BY646" s="43" t="str">
        <f>IF(VLOOKUP(BX646,βοηθητικό!$J$2:$N$354,3,FALSE)="","",VLOOKUP(BX646,βοηθητικό!$J$2:$N$354,3,FALSE))</f>
        <v>_</v>
      </c>
      <c r="BZ646" s="44"/>
      <c r="CA646" s="45" t="s">
        <v>16</v>
      </c>
      <c r="CB646" s="46" t="str">
        <f>IF(VLOOKUP(CA646,βοηθητικό!$J$2:$N$354,3,FALSE)="","",VLOOKUP(CA646,βοηθητικό!$J$2:$N$354,3,FALSE))</f>
        <v>_</v>
      </c>
      <c r="CC646" s="47"/>
      <c r="CD646" s="42" t="s">
        <v>16</v>
      </c>
      <c r="CE646" s="43" t="str">
        <f>IF(VLOOKUP(CD646,βοηθητικό!$J$2:$N$354,3,FALSE)="","",VLOOKUP(CD646,βοηθητικό!$J$2:$N$354,3,FALSE))</f>
        <v>_</v>
      </c>
      <c r="CF646" s="44"/>
      <c r="CG646" s="45" t="s">
        <v>16</v>
      </c>
      <c r="CH646" s="46" t="str">
        <f>IF(VLOOKUP(CG646,βοηθητικό!$J$2:$N$354,3,FALSE)="","",VLOOKUP(CG646,βοηθητικό!$J$2:$N$354,3,FALSE))</f>
        <v>_</v>
      </c>
      <c r="CI646" s="47"/>
      <c r="CJ646" s="42" t="s">
        <v>16</v>
      </c>
      <c r="CK646" s="43" t="str">
        <f>IF(VLOOKUP(CJ646,βοηθητικό!$J$2:$N$354,3,FALSE)="","",VLOOKUP(CJ646,βοηθητικό!$J$2:$N$354,3,FALSE))</f>
        <v>_</v>
      </c>
      <c r="CL646" s="44"/>
      <c r="CM646" s="45" t="s">
        <v>16</v>
      </c>
      <c r="CN646" s="46" t="str">
        <f>IF(VLOOKUP(CM646,βοηθητικό!$J$2:$N$354,3,FALSE)="","",VLOOKUP(CM646,βοηθητικό!$J$2:$N$354,3,FALSE))</f>
        <v>_</v>
      </c>
      <c r="CO646" s="47"/>
      <c r="CP646" s="42" t="s">
        <v>16</v>
      </c>
      <c r="CQ646" s="43" t="str">
        <f>IF(VLOOKUP(CP646,βοηθητικό!$J$2:$N$354,3,FALSE)="","",VLOOKUP(CP646,βοηθητικό!$J$2:$N$354,3,FALSE))</f>
        <v>_</v>
      </c>
      <c r="CR646" s="44"/>
      <c r="CS646" s="45" t="s">
        <v>16</v>
      </c>
      <c r="CT646" s="46" t="str">
        <f>IF(VLOOKUP(CS646,βοηθητικό!$J$2:$N$354,3,FALSE)="","",VLOOKUP(CS646,βοηθητικό!$J$2:$N$354,3,FALSE))</f>
        <v>_</v>
      </c>
      <c r="CU646" s="47"/>
    </row>
    <row r="647" spans="1:99" x14ac:dyDescent="0.25">
      <c r="A647" s="37">
        <f>--SUBTOTAL(3,$B$3:B646)</f>
        <v>198</v>
      </c>
      <c r="B647" s="2"/>
      <c r="C647" s="3"/>
      <c r="D647" s="55" t="s">
        <v>18</v>
      </c>
      <c r="E647" s="38" t="s">
        <v>16</v>
      </c>
      <c r="F647" s="38"/>
      <c r="G647" s="39" t="str">
        <f t="shared" si="32"/>
        <v>__</v>
      </c>
      <c r="H647" s="40" t="str">
        <f t="shared" si="33"/>
        <v>FALSE</v>
      </c>
      <c r="I647" s="41">
        <f t="shared" si="34"/>
        <v>0</v>
      </c>
      <c r="J647" s="4" t="s">
        <v>16</v>
      </c>
      <c r="K647" s="43" t="str">
        <f>IF(VLOOKUP(J647,βοηθητικό!$J$2:$N$354,3,FALSE)="","",VLOOKUP(J647,βοηθητικό!$J$2:$N$354,3,FALSE))</f>
        <v>_</v>
      </c>
      <c r="L647" s="44"/>
      <c r="M647" s="5" t="s">
        <v>16</v>
      </c>
      <c r="N647" s="46" t="str">
        <f>IF(VLOOKUP(M647,βοηθητικό!$J$2:$N$354,3,FALSE)="","",VLOOKUP(M647,βοηθητικό!$J$2:$N$354,3,FALSE))</f>
        <v>_</v>
      </c>
      <c r="O647" s="47"/>
      <c r="P647" s="4" t="s">
        <v>16</v>
      </c>
      <c r="Q647" s="43" t="str">
        <f>IF(VLOOKUP(P647,βοηθητικό!$J$2:$N$354,3,FALSE)="","",VLOOKUP(P647,βοηθητικό!$J$2:$N$354,3,FALSE))</f>
        <v>_</v>
      </c>
      <c r="R647" s="44"/>
      <c r="S647" s="5" t="s">
        <v>16</v>
      </c>
      <c r="T647" s="46" t="str">
        <f>IF(VLOOKUP(S647,βοηθητικό!$J$2:$N$354,3,FALSE)="","",VLOOKUP(S647,βοηθητικό!$J$2:$N$354,3,FALSE))</f>
        <v>_</v>
      </c>
      <c r="U647" s="47"/>
      <c r="V647" s="4" t="s">
        <v>16</v>
      </c>
      <c r="W647" s="43" t="str">
        <f>IF(VLOOKUP(V647,βοηθητικό!$J$2:$N$354,3,FALSE)="","",VLOOKUP(V647,βοηθητικό!$J$2:$N$354,3,FALSE))</f>
        <v>_</v>
      </c>
      <c r="X647" s="44"/>
      <c r="Y647" s="5" t="s">
        <v>16</v>
      </c>
      <c r="Z647" s="46" t="str">
        <f>IF(VLOOKUP(Y647,βοηθητικό!$J$2:$N$354,3,FALSE)="","",VLOOKUP(Y647,βοηθητικό!$J$2:$N$354,3,FALSE))</f>
        <v>_</v>
      </c>
      <c r="AA647" s="47"/>
      <c r="AB647" s="4" t="s">
        <v>16</v>
      </c>
      <c r="AC647" s="43" t="str">
        <f>IF(VLOOKUP(AB647,βοηθητικό!$J$2:$N$354,3,FALSE)="","",VLOOKUP(AB647,βοηθητικό!$J$2:$N$354,3,FALSE))</f>
        <v>_</v>
      </c>
      <c r="AD647" s="44"/>
      <c r="AE647" s="5" t="s">
        <v>16</v>
      </c>
      <c r="AF647" s="46" t="str">
        <f>IF(VLOOKUP(AE647,βοηθητικό!$J$2:$N$354,3,FALSE)="","",VLOOKUP(AE647,βοηθητικό!$J$2:$N$354,3,FALSE))</f>
        <v>_</v>
      </c>
      <c r="AG647" s="47"/>
      <c r="AH647" s="4" t="s">
        <v>16</v>
      </c>
      <c r="AI647" s="43" t="str">
        <f>IF(VLOOKUP(AH647,βοηθητικό!$J$2:$N$354,3,FALSE)="","",VLOOKUP(AH647,βοηθητικό!$J$2:$N$354,3,FALSE))</f>
        <v>_</v>
      </c>
      <c r="AJ647" s="44"/>
      <c r="AK647" s="5" t="s">
        <v>16</v>
      </c>
      <c r="AL647" s="46" t="str">
        <f>IF(VLOOKUP(AK647,βοηθητικό!$J$2:$N$354,3,FALSE)="","",VLOOKUP(AK647,βοηθητικό!$J$2:$N$354,3,FALSE))</f>
        <v>_</v>
      </c>
      <c r="AM647" s="47"/>
      <c r="AN647" s="4" t="s">
        <v>16</v>
      </c>
      <c r="AO647" s="43" t="str">
        <f>IF(VLOOKUP(AN647,βοηθητικό!$J$2:$N$354,3,FALSE)="","",VLOOKUP(AN647,βοηθητικό!$J$2:$N$354,3,FALSE))</f>
        <v>_</v>
      </c>
      <c r="AP647" s="44"/>
      <c r="AQ647" s="5" t="s">
        <v>16</v>
      </c>
      <c r="AR647" s="46" t="str">
        <f>IF(VLOOKUP(AQ647,βοηθητικό!$J$2:$N$354,3,FALSE)="","",VLOOKUP(AQ647,βοηθητικό!$J$2:$N$354,3,FALSE))</f>
        <v>_</v>
      </c>
      <c r="AS647" s="47"/>
      <c r="AT647" s="4" t="s">
        <v>16</v>
      </c>
      <c r="AU647" s="43" t="str">
        <f>IF(VLOOKUP(AT647,βοηθητικό!$J$2:$N$354,3,FALSE)="","",VLOOKUP(AT647,βοηθητικό!$J$2:$N$354,3,FALSE))</f>
        <v>_</v>
      </c>
      <c r="AV647" s="44"/>
      <c r="AW647" s="5" t="s">
        <v>16</v>
      </c>
      <c r="AX647" s="46" t="str">
        <f>IF(VLOOKUP(AW647,βοηθητικό!$J$2:$N$354,3,FALSE)="","",VLOOKUP(AW647,βοηθητικό!$J$2:$N$354,3,FALSE))</f>
        <v>_</v>
      </c>
      <c r="AY647" s="47"/>
      <c r="AZ647" s="4" t="s">
        <v>16</v>
      </c>
      <c r="BA647" s="43" t="str">
        <f>IF(VLOOKUP(AZ647,βοηθητικό!$J$2:$N$354,3,FALSE)="","",VLOOKUP(AZ647,βοηθητικό!$J$2:$N$354,3,FALSE))</f>
        <v>_</v>
      </c>
      <c r="BB647" s="44"/>
      <c r="BC647" s="45" t="s">
        <v>16</v>
      </c>
      <c r="BD647" s="46" t="str">
        <f>IF(VLOOKUP(BC647,βοηθητικό!$J$2:$N$354,3,FALSE)="","",VLOOKUP(BC647,βοηθητικό!$J$2:$N$354,3,FALSE))</f>
        <v>_</v>
      </c>
      <c r="BE647" s="47"/>
      <c r="BF647" s="42" t="s">
        <v>16</v>
      </c>
      <c r="BG647" s="43" t="str">
        <f>IF(VLOOKUP(BF647,βοηθητικό!$J$2:$N$354,3,FALSE)="","",VLOOKUP(BF647,βοηθητικό!$J$2:$N$354,3,FALSE))</f>
        <v>_</v>
      </c>
      <c r="BH647" s="44"/>
      <c r="BI647" s="45" t="s">
        <v>16</v>
      </c>
      <c r="BJ647" s="46" t="str">
        <f>IF(VLOOKUP(BI647,βοηθητικό!$J$2:$N$354,3,FALSE)="","",VLOOKUP(BI647,βοηθητικό!$J$2:$N$354,3,FALSE))</f>
        <v>_</v>
      </c>
      <c r="BK647" s="47"/>
      <c r="BL647" s="42" t="s">
        <v>16</v>
      </c>
      <c r="BM647" s="43" t="str">
        <f>IF(VLOOKUP(BL647,βοηθητικό!$J$2:$N$354,3,FALSE)="","",VLOOKUP(BL647,βοηθητικό!$J$2:$N$354,3,FALSE))</f>
        <v>_</v>
      </c>
      <c r="BN647" s="44"/>
      <c r="BO647" s="45" t="s">
        <v>16</v>
      </c>
      <c r="BP647" s="46" t="str">
        <f>IF(VLOOKUP(BO647,βοηθητικό!$J$2:$N$354,3,FALSE)="","",VLOOKUP(BO647,βοηθητικό!$J$2:$N$354,3,FALSE))</f>
        <v>_</v>
      </c>
      <c r="BQ647" s="47"/>
      <c r="BR647" s="42" t="s">
        <v>16</v>
      </c>
      <c r="BS647" s="43" t="str">
        <f>IF(VLOOKUP(BR647,βοηθητικό!$J$2:$N$354,3,FALSE)="","",VLOOKUP(BR647,βοηθητικό!$J$2:$N$354,3,FALSE))</f>
        <v>_</v>
      </c>
      <c r="BT647" s="44"/>
      <c r="BU647" s="45" t="s">
        <v>16</v>
      </c>
      <c r="BV647" s="46" t="str">
        <f>IF(VLOOKUP(BU647,βοηθητικό!$J$2:$N$354,3,FALSE)="","",VLOOKUP(BU647,βοηθητικό!$J$2:$N$354,3,FALSE))</f>
        <v>_</v>
      </c>
      <c r="BW647" s="47"/>
      <c r="BX647" s="42" t="s">
        <v>16</v>
      </c>
      <c r="BY647" s="43" t="str">
        <f>IF(VLOOKUP(BX647,βοηθητικό!$J$2:$N$354,3,FALSE)="","",VLOOKUP(BX647,βοηθητικό!$J$2:$N$354,3,FALSE))</f>
        <v>_</v>
      </c>
      <c r="BZ647" s="44"/>
      <c r="CA647" s="45" t="s">
        <v>16</v>
      </c>
      <c r="CB647" s="46" t="str">
        <f>IF(VLOOKUP(CA647,βοηθητικό!$J$2:$N$354,3,FALSE)="","",VLOOKUP(CA647,βοηθητικό!$J$2:$N$354,3,FALSE))</f>
        <v>_</v>
      </c>
      <c r="CC647" s="47"/>
      <c r="CD647" s="42" t="s">
        <v>16</v>
      </c>
      <c r="CE647" s="43" t="str">
        <f>IF(VLOOKUP(CD647,βοηθητικό!$J$2:$N$354,3,FALSE)="","",VLOOKUP(CD647,βοηθητικό!$J$2:$N$354,3,FALSE))</f>
        <v>_</v>
      </c>
      <c r="CF647" s="44"/>
      <c r="CG647" s="45" t="s">
        <v>16</v>
      </c>
      <c r="CH647" s="46" t="str">
        <f>IF(VLOOKUP(CG647,βοηθητικό!$J$2:$N$354,3,FALSE)="","",VLOOKUP(CG647,βοηθητικό!$J$2:$N$354,3,FALSE))</f>
        <v>_</v>
      </c>
      <c r="CI647" s="47"/>
      <c r="CJ647" s="42" t="s">
        <v>16</v>
      </c>
      <c r="CK647" s="43" t="str">
        <f>IF(VLOOKUP(CJ647,βοηθητικό!$J$2:$N$354,3,FALSE)="","",VLOOKUP(CJ647,βοηθητικό!$J$2:$N$354,3,FALSE))</f>
        <v>_</v>
      </c>
      <c r="CL647" s="44"/>
      <c r="CM647" s="45" t="s">
        <v>16</v>
      </c>
      <c r="CN647" s="46" t="str">
        <f>IF(VLOOKUP(CM647,βοηθητικό!$J$2:$N$354,3,FALSE)="","",VLOOKUP(CM647,βοηθητικό!$J$2:$N$354,3,FALSE))</f>
        <v>_</v>
      </c>
      <c r="CO647" s="47"/>
      <c r="CP647" s="42" t="s">
        <v>16</v>
      </c>
      <c r="CQ647" s="43" t="str">
        <f>IF(VLOOKUP(CP647,βοηθητικό!$J$2:$N$354,3,FALSE)="","",VLOOKUP(CP647,βοηθητικό!$J$2:$N$354,3,FALSE))</f>
        <v>_</v>
      </c>
      <c r="CR647" s="44"/>
      <c r="CS647" s="45" t="s">
        <v>16</v>
      </c>
      <c r="CT647" s="46" t="str">
        <f>IF(VLOOKUP(CS647,βοηθητικό!$J$2:$N$354,3,FALSE)="","",VLOOKUP(CS647,βοηθητικό!$J$2:$N$354,3,FALSE))</f>
        <v>_</v>
      </c>
      <c r="CU647" s="47"/>
    </row>
    <row r="648" spans="1:99" x14ac:dyDescent="0.25">
      <c r="A648" s="37">
        <f>--SUBTOTAL(3,$B$3:B647)</f>
        <v>198</v>
      </c>
      <c r="B648" s="2"/>
      <c r="C648" s="3"/>
      <c r="D648" s="55" t="s">
        <v>18</v>
      </c>
      <c r="E648" s="38" t="s">
        <v>16</v>
      </c>
      <c r="F648" s="38"/>
      <c r="G648" s="39" t="str">
        <f t="shared" si="32"/>
        <v>__</v>
      </c>
      <c r="H648" s="40" t="str">
        <f t="shared" si="33"/>
        <v>FALSE</v>
      </c>
      <c r="I648" s="41">
        <f t="shared" si="34"/>
        <v>0</v>
      </c>
      <c r="J648" s="4" t="s">
        <v>16</v>
      </c>
      <c r="K648" s="43" t="str">
        <f>IF(VLOOKUP(J648,βοηθητικό!$J$2:$N$354,3,FALSE)="","",VLOOKUP(J648,βοηθητικό!$J$2:$N$354,3,FALSE))</f>
        <v>_</v>
      </c>
      <c r="L648" s="44"/>
      <c r="M648" s="5" t="s">
        <v>16</v>
      </c>
      <c r="N648" s="46" t="str">
        <f>IF(VLOOKUP(M648,βοηθητικό!$J$2:$N$354,3,FALSE)="","",VLOOKUP(M648,βοηθητικό!$J$2:$N$354,3,FALSE))</f>
        <v>_</v>
      </c>
      <c r="O648" s="47"/>
      <c r="P648" s="4" t="s">
        <v>16</v>
      </c>
      <c r="Q648" s="43" t="str">
        <f>IF(VLOOKUP(P648,βοηθητικό!$J$2:$N$354,3,FALSE)="","",VLOOKUP(P648,βοηθητικό!$J$2:$N$354,3,FALSE))</f>
        <v>_</v>
      </c>
      <c r="R648" s="44"/>
      <c r="S648" s="5" t="s">
        <v>16</v>
      </c>
      <c r="T648" s="46" t="str">
        <f>IF(VLOOKUP(S648,βοηθητικό!$J$2:$N$354,3,FALSE)="","",VLOOKUP(S648,βοηθητικό!$J$2:$N$354,3,FALSE))</f>
        <v>_</v>
      </c>
      <c r="U648" s="47"/>
      <c r="V648" s="4" t="s">
        <v>16</v>
      </c>
      <c r="W648" s="43" t="str">
        <f>IF(VLOOKUP(V648,βοηθητικό!$J$2:$N$354,3,FALSE)="","",VLOOKUP(V648,βοηθητικό!$J$2:$N$354,3,FALSE))</f>
        <v>_</v>
      </c>
      <c r="X648" s="44"/>
      <c r="Y648" s="5" t="s">
        <v>16</v>
      </c>
      <c r="Z648" s="46" t="str">
        <f>IF(VLOOKUP(Y648,βοηθητικό!$J$2:$N$354,3,FALSE)="","",VLOOKUP(Y648,βοηθητικό!$J$2:$N$354,3,FALSE))</f>
        <v>_</v>
      </c>
      <c r="AA648" s="47"/>
      <c r="AB648" s="4" t="s">
        <v>16</v>
      </c>
      <c r="AC648" s="43" t="str">
        <f>IF(VLOOKUP(AB648,βοηθητικό!$J$2:$N$354,3,FALSE)="","",VLOOKUP(AB648,βοηθητικό!$J$2:$N$354,3,FALSE))</f>
        <v>_</v>
      </c>
      <c r="AD648" s="44"/>
      <c r="AE648" s="5" t="s">
        <v>16</v>
      </c>
      <c r="AF648" s="46" t="str">
        <f>IF(VLOOKUP(AE648,βοηθητικό!$J$2:$N$354,3,FALSE)="","",VLOOKUP(AE648,βοηθητικό!$J$2:$N$354,3,FALSE))</f>
        <v>_</v>
      </c>
      <c r="AG648" s="47"/>
      <c r="AH648" s="4" t="s">
        <v>16</v>
      </c>
      <c r="AI648" s="43" t="str">
        <f>IF(VLOOKUP(AH648,βοηθητικό!$J$2:$N$354,3,FALSE)="","",VLOOKUP(AH648,βοηθητικό!$J$2:$N$354,3,FALSE))</f>
        <v>_</v>
      </c>
      <c r="AJ648" s="44"/>
      <c r="AK648" s="5" t="s">
        <v>16</v>
      </c>
      <c r="AL648" s="46" t="str">
        <f>IF(VLOOKUP(AK648,βοηθητικό!$J$2:$N$354,3,FALSE)="","",VLOOKUP(AK648,βοηθητικό!$J$2:$N$354,3,FALSE))</f>
        <v>_</v>
      </c>
      <c r="AM648" s="47"/>
      <c r="AN648" s="4" t="s">
        <v>16</v>
      </c>
      <c r="AO648" s="43" t="str">
        <f>IF(VLOOKUP(AN648,βοηθητικό!$J$2:$N$354,3,FALSE)="","",VLOOKUP(AN648,βοηθητικό!$J$2:$N$354,3,FALSE))</f>
        <v>_</v>
      </c>
      <c r="AP648" s="44"/>
      <c r="AQ648" s="5" t="s">
        <v>16</v>
      </c>
      <c r="AR648" s="46" t="str">
        <f>IF(VLOOKUP(AQ648,βοηθητικό!$J$2:$N$354,3,FALSE)="","",VLOOKUP(AQ648,βοηθητικό!$J$2:$N$354,3,FALSE))</f>
        <v>_</v>
      </c>
      <c r="AS648" s="47"/>
      <c r="AT648" s="4" t="s">
        <v>16</v>
      </c>
      <c r="AU648" s="43" t="str">
        <f>IF(VLOOKUP(AT648,βοηθητικό!$J$2:$N$354,3,FALSE)="","",VLOOKUP(AT648,βοηθητικό!$J$2:$N$354,3,FALSE))</f>
        <v>_</v>
      </c>
      <c r="AV648" s="44"/>
      <c r="AW648" s="5" t="s">
        <v>16</v>
      </c>
      <c r="AX648" s="46" t="str">
        <f>IF(VLOOKUP(AW648,βοηθητικό!$J$2:$N$354,3,FALSE)="","",VLOOKUP(AW648,βοηθητικό!$J$2:$N$354,3,FALSE))</f>
        <v>_</v>
      </c>
      <c r="AY648" s="47"/>
      <c r="AZ648" s="4" t="s">
        <v>16</v>
      </c>
      <c r="BA648" s="43" t="str">
        <f>IF(VLOOKUP(AZ648,βοηθητικό!$J$2:$N$354,3,FALSE)="","",VLOOKUP(AZ648,βοηθητικό!$J$2:$N$354,3,FALSE))</f>
        <v>_</v>
      </c>
      <c r="BB648" s="44"/>
      <c r="BC648" s="45" t="s">
        <v>16</v>
      </c>
      <c r="BD648" s="46" t="str">
        <f>IF(VLOOKUP(BC648,βοηθητικό!$J$2:$N$354,3,FALSE)="","",VLOOKUP(BC648,βοηθητικό!$J$2:$N$354,3,FALSE))</f>
        <v>_</v>
      </c>
      <c r="BE648" s="47"/>
      <c r="BF648" s="42" t="s">
        <v>16</v>
      </c>
      <c r="BG648" s="43" t="str">
        <f>IF(VLOOKUP(BF648,βοηθητικό!$J$2:$N$354,3,FALSE)="","",VLOOKUP(BF648,βοηθητικό!$J$2:$N$354,3,FALSE))</f>
        <v>_</v>
      </c>
      <c r="BH648" s="44"/>
      <c r="BI648" s="45" t="s">
        <v>16</v>
      </c>
      <c r="BJ648" s="46" t="str">
        <f>IF(VLOOKUP(BI648,βοηθητικό!$J$2:$N$354,3,FALSE)="","",VLOOKUP(BI648,βοηθητικό!$J$2:$N$354,3,FALSE))</f>
        <v>_</v>
      </c>
      <c r="BK648" s="47"/>
      <c r="BL648" s="42" t="s">
        <v>16</v>
      </c>
      <c r="BM648" s="43" t="str">
        <f>IF(VLOOKUP(BL648,βοηθητικό!$J$2:$N$354,3,FALSE)="","",VLOOKUP(BL648,βοηθητικό!$J$2:$N$354,3,FALSE))</f>
        <v>_</v>
      </c>
      <c r="BN648" s="44"/>
      <c r="BO648" s="45" t="s">
        <v>16</v>
      </c>
      <c r="BP648" s="46" t="str">
        <f>IF(VLOOKUP(BO648,βοηθητικό!$J$2:$N$354,3,FALSE)="","",VLOOKUP(BO648,βοηθητικό!$J$2:$N$354,3,FALSE))</f>
        <v>_</v>
      </c>
      <c r="BQ648" s="47"/>
      <c r="BR648" s="42" t="s">
        <v>16</v>
      </c>
      <c r="BS648" s="43" t="str">
        <f>IF(VLOOKUP(BR648,βοηθητικό!$J$2:$N$354,3,FALSE)="","",VLOOKUP(BR648,βοηθητικό!$J$2:$N$354,3,FALSE))</f>
        <v>_</v>
      </c>
      <c r="BT648" s="44"/>
      <c r="BU648" s="45" t="s">
        <v>16</v>
      </c>
      <c r="BV648" s="46" t="str">
        <f>IF(VLOOKUP(BU648,βοηθητικό!$J$2:$N$354,3,FALSE)="","",VLOOKUP(BU648,βοηθητικό!$J$2:$N$354,3,FALSE))</f>
        <v>_</v>
      </c>
      <c r="BW648" s="47"/>
      <c r="BX648" s="42" t="s">
        <v>16</v>
      </c>
      <c r="BY648" s="43" t="str">
        <f>IF(VLOOKUP(BX648,βοηθητικό!$J$2:$N$354,3,FALSE)="","",VLOOKUP(BX648,βοηθητικό!$J$2:$N$354,3,FALSE))</f>
        <v>_</v>
      </c>
      <c r="BZ648" s="44"/>
      <c r="CA648" s="45" t="s">
        <v>16</v>
      </c>
      <c r="CB648" s="46" t="str">
        <f>IF(VLOOKUP(CA648,βοηθητικό!$J$2:$N$354,3,FALSE)="","",VLOOKUP(CA648,βοηθητικό!$J$2:$N$354,3,FALSE))</f>
        <v>_</v>
      </c>
      <c r="CC648" s="47"/>
      <c r="CD648" s="42" t="s">
        <v>16</v>
      </c>
      <c r="CE648" s="43" t="str">
        <f>IF(VLOOKUP(CD648,βοηθητικό!$J$2:$N$354,3,FALSE)="","",VLOOKUP(CD648,βοηθητικό!$J$2:$N$354,3,FALSE))</f>
        <v>_</v>
      </c>
      <c r="CF648" s="44"/>
      <c r="CG648" s="45" t="s">
        <v>16</v>
      </c>
      <c r="CH648" s="46" t="str">
        <f>IF(VLOOKUP(CG648,βοηθητικό!$J$2:$N$354,3,FALSE)="","",VLOOKUP(CG648,βοηθητικό!$J$2:$N$354,3,FALSE))</f>
        <v>_</v>
      </c>
      <c r="CI648" s="47"/>
      <c r="CJ648" s="42" t="s">
        <v>16</v>
      </c>
      <c r="CK648" s="43" t="str">
        <f>IF(VLOOKUP(CJ648,βοηθητικό!$J$2:$N$354,3,FALSE)="","",VLOOKUP(CJ648,βοηθητικό!$J$2:$N$354,3,FALSE))</f>
        <v>_</v>
      </c>
      <c r="CL648" s="44"/>
      <c r="CM648" s="45" t="s">
        <v>16</v>
      </c>
      <c r="CN648" s="46" t="str">
        <f>IF(VLOOKUP(CM648,βοηθητικό!$J$2:$N$354,3,FALSE)="","",VLOOKUP(CM648,βοηθητικό!$J$2:$N$354,3,FALSE))</f>
        <v>_</v>
      </c>
      <c r="CO648" s="47"/>
      <c r="CP648" s="42" t="s">
        <v>16</v>
      </c>
      <c r="CQ648" s="43" t="str">
        <f>IF(VLOOKUP(CP648,βοηθητικό!$J$2:$N$354,3,FALSE)="","",VLOOKUP(CP648,βοηθητικό!$J$2:$N$354,3,FALSE))</f>
        <v>_</v>
      </c>
      <c r="CR648" s="44"/>
      <c r="CS648" s="45" t="s">
        <v>16</v>
      </c>
      <c r="CT648" s="46" t="str">
        <f>IF(VLOOKUP(CS648,βοηθητικό!$J$2:$N$354,3,FALSE)="","",VLOOKUP(CS648,βοηθητικό!$J$2:$N$354,3,FALSE))</f>
        <v>_</v>
      </c>
      <c r="CU648" s="47"/>
    </row>
    <row r="649" spans="1:99" x14ac:dyDescent="0.25">
      <c r="A649" s="37">
        <f>--SUBTOTAL(3,$B$3:B648)</f>
        <v>198</v>
      </c>
      <c r="B649" s="2"/>
      <c r="C649" s="3"/>
      <c r="D649" s="55" t="s">
        <v>18</v>
      </c>
      <c r="E649" s="38" t="s">
        <v>16</v>
      </c>
      <c r="F649" s="38"/>
      <c r="G649" s="39" t="str">
        <f t="shared" si="32"/>
        <v>__</v>
      </c>
      <c r="H649" s="40" t="str">
        <f t="shared" si="33"/>
        <v>FALSE</v>
      </c>
      <c r="I649" s="41">
        <f t="shared" si="34"/>
        <v>0</v>
      </c>
      <c r="J649" s="4" t="s">
        <v>16</v>
      </c>
      <c r="K649" s="43" t="str">
        <f>IF(VLOOKUP(J649,βοηθητικό!$J$2:$N$354,3,FALSE)="","",VLOOKUP(J649,βοηθητικό!$J$2:$N$354,3,FALSE))</f>
        <v>_</v>
      </c>
      <c r="L649" s="44"/>
      <c r="M649" s="5" t="s">
        <v>16</v>
      </c>
      <c r="N649" s="46" t="str">
        <f>IF(VLOOKUP(M649,βοηθητικό!$J$2:$N$354,3,FALSE)="","",VLOOKUP(M649,βοηθητικό!$J$2:$N$354,3,FALSE))</f>
        <v>_</v>
      </c>
      <c r="O649" s="47"/>
      <c r="P649" s="4" t="s">
        <v>16</v>
      </c>
      <c r="Q649" s="43" t="str">
        <f>IF(VLOOKUP(P649,βοηθητικό!$J$2:$N$354,3,FALSE)="","",VLOOKUP(P649,βοηθητικό!$J$2:$N$354,3,FALSE))</f>
        <v>_</v>
      </c>
      <c r="R649" s="44"/>
      <c r="S649" s="5" t="s">
        <v>16</v>
      </c>
      <c r="T649" s="46" t="str">
        <f>IF(VLOOKUP(S649,βοηθητικό!$J$2:$N$354,3,FALSE)="","",VLOOKUP(S649,βοηθητικό!$J$2:$N$354,3,FALSE))</f>
        <v>_</v>
      </c>
      <c r="U649" s="47"/>
      <c r="V649" s="4" t="s">
        <v>16</v>
      </c>
      <c r="W649" s="43" t="str">
        <f>IF(VLOOKUP(V649,βοηθητικό!$J$2:$N$354,3,FALSE)="","",VLOOKUP(V649,βοηθητικό!$J$2:$N$354,3,FALSE))</f>
        <v>_</v>
      </c>
      <c r="X649" s="44"/>
      <c r="Y649" s="5" t="s">
        <v>16</v>
      </c>
      <c r="Z649" s="46" t="str">
        <f>IF(VLOOKUP(Y649,βοηθητικό!$J$2:$N$354,3,FALSE)="","",VLOOKUP(Y649,βοηθητικό!$J$2:$N$354,3,FALSE))</f>
        <v>_</v>
      </c>
      <c r="AA649" s="47"/>
      <c r="AB649" s="4" t="s">
        <v>16</v>
      </c>
      <c r="AC649" s="43" t="str">
        <f>IF(VLOOKUP(AB649,βοηθητικό!$J$2:$N$354,3,FALSE)="","",VLOOKUP(AB649,βοηθητικό!$J$2:$N$354,3,FALSE))</f>
        <v>_</v>
      </c>
      <c r="AD649" s="44"/>
      <c r="AE649" s="5" t="s">
        <v>16</v>
      </c>
      <c r="AF649" s="46" t="str">
        <f>IF(VLOOKUP(AE649,βοηθητικό!$J$2:$N$354,3,FALSE)="","",VLOOKUP(AE649,βοηθητικό!$J$2:$N$354,3,FALSE))</f>
        <v>_</v>
      </c>
      <c r="AG649" s="47"/>
      <c r="AH649" s="4" t="s">
        <v>16</v>
      </c>
      <c r="AI649" s="43" t="str">
        <f>IF(VLOOKUP(AH649,βοηθητικό!$J$2:$N$354,3,FALSE)="","",VLOOKUP(AH649,βοηθητικό!$J$2:$N$354,3,FALSE))</f>
        <v>_</v>
      </c>
      <c r="AJ649" s="44"/>
      <c r="AK649" s="5" t="s">
        <v>16</v>
      </c>
      <c r="AL649" s="46" t="str">
        <f>IF(VLOOKUP(AK649,βοηθητικό!$J$2:$N$354,3,FALSE)="","",VLOOKUP(AK649,βοηθητικό!$J$2:$N$354,3,FALSE))</f>
        <v>_</v>
      </c>
      <c r="AM649" s="47"/>
      <c r="AN649" s="4" t="s">
        <v>16</v>
      </c>
      <c r="AO649" s="43" t="str">
        <f>IF(VLOOKUP(AN649,βοηθητικό!$J$2:$N$354,3,FALSE)="","",VLOOKUP(AN649,βοηθητικό!$J$2:$N$354,3,FALSE))</f>
        <v>_</v>
      </c>
      <c r="AP649" s="44"/>
      <c r="AQ649" s="5" t="s">
        <v>16</v>
      </c>
      <c r="AR649" s="46" t="str">
        <f>IF(VLOOKUP(AQ649,βοηθητικό!$J$2:$N$354,3,FALSE)="","",VLOOKUP(AQ649,βοηθητικό!$J$2:$N$354,3,FALSE))</f>
        <v>_</v>
      </c>
      <c r="AS649" s="47"/>
      <c r="AT649" s="4" t="s">
        <v>16</v>
      </c>
      <c r="AU649" s="43" t="str">
        <f>IF(VLOOKUP(AT649,βοηθητικό!$J$2:$N$354,3,FALSE)="","",VLOOKUP(AT649,βοηθητικό!$J$2:$N$354,3,FALSE))</f>
        <v>_</v>
      </c>
      <c r="AV649" s="44"/>
      <c r="AW649" s="5" t="s">
        <v>16</v>
      </c>
      <c r="AX649" s="46" t="str">
        <f>IF(VLOOKUP(AW649,βοηθητικό!$J$2:$N$354,3,FALSE)="","",VLOOKUP(AW649,βοηθητικό!$J$2:$N$354,3,FALSE))</f>
        <v>_</v>
      </c>
      <c r="AY649" s="47"/>
      <c r="AZ649" s="4" t="s">
        <v>16</v>
      </c>
      <c r="BA649" s="43" t="str">
        <f>IF(VLOOKUP(AZ649,βοηθητικό!$J$2:$N$354,3,FALSE)="","",VLOOKUP(AZ649,βοηθητικό!$J$2:$N$354,3,FALSE))</f>
        <v>_</v>
      </c>
      <c r="BB649" s="44"/>
      <c r="BC649" s="45" t="s">
        <v>16</v>
      </c>
      <c r="BD649" s="46" t="str">
        <f>IF(VLOOKUP(BC649,βοηθητικό!$J$2:$N$354,3,FALSE)="","",VLOOKUP(BC649,βοηθητικό!$J$2:$N$354,3,FALSE))</f>
        <v>_</v>
      </c>
      <c r="BE649" s="47"/>
      <c r="BF649" s="42" t="s">
        <v>16</v>
      </c>
      <c r="BG649" s="43" t="str">
        <f>IF(VLOOKUP(BF649,βοηθητικό!$J$2:$N$354,3,FALSE)="","",VLOOKUP(BF649,βοηθητικό!$J$2:$N$354,3,FALSE))</f>
        <v>_</v>
      </c>
      <c r="BH649" s="44"/>
      <c r="BI649" s="45" t="s">
        <v>16</v>
      </c>
      <c r="BJ649" s="46" t="str">
        <f>IF(VLOOKUP(BI649,βοηθητικό!$J$2:$N$354,3,FALSE)="","",VLOOKUP(BI649,βοηθητικό!$J$2:$N$354,3,FALSE))</f>
        <v>_</v>
      </c>
      <c r="BK649" s="47"/>
      <c r="BL649" s="42" t="s">
        <v>16</v>
      </c>
      <c r="BM649" s="43" t="str">
        <f>IF(VLOOKUP(BL649,βοηθητικό!$J$2:$N$354,3,FALSE)="","",VLOOKUP(BL649,βοηθητικό!$J$2:$N$354,3,FALSE))</f>
        <v>_</v>
      </c>
      <c r="BN649" s="44"/>
      <c r="BO649" s="45" t="s">
        <v>16</v>
      </c>
      <c r="BP649" s="46" t="str">
        <f>IF(VLOOKUP(BO649,βοηθητικό!$J$2:$N$354,3,FALSE)="","",VLOOKUP(BO649,βοηθητικό!$J$2:$N$354,3,FALSE))</f>
        <v>_</v>
      </c>
      <c r="BQ649" s="47"/>
      <c r="BR649" s="42" t="s">
        <v>16</v>
      </c>
      <c r="BS649" s="43" t="str">
        <f>IF(VLOOKUP(BR649,βοηθητικό!$J$2:$N$354,3,FALSE)="","",VLOOKUP(BR649,βοηθητικό!$J$2:$N$354,3,FALSE))</f>
        <v>_</v>
      </c>
      <c r="BT649" s="44"/>
      <c r="BU649" s="45" t="s">
        <v>16</v>
      </c>
      <c r="BV649" s="46" t="str">
        <f>IF(VLOOKUP(BU649,βοηθητικό!$J$2:$N$354,3,FALSE)="","",VLOOKUP(BU649,βοηθητικό!$J$2:$N$354,3,FALSE))</f>
        <v>_</v>
      </c>
      <c r="BW649" s="47"/>
      <c r="BX649" s="42" t="s">
        <v>16</v>
      </c>
      <c r="BY649" s="43" t="str">
        <f>IF(VLOOKUP(BX649,βοηθητικό!$J$2:$N$354,3,FALSE)="","",VLOOKUP(BX649,βοηθητικό!$J$2:$N$354,3,FALSE))</f>
        <v>_</v>
      </c>
      <c r="BZ649" s="44"/>
      <c r="CA649" s="45" t="s">
        <v>16</v>
      </c>
      <c r="CB649" s="46" t="str">
        <f>IF(VLOOKUP(CA649,βοηθητικό!$J$2:$N$354,3,FALSE)="","",VLOOKUP(CA649,βοηθητικό!$J$2:$N$354,3,FALSE))</f>
        <v>_</v>
      </c>
      <c r="CC649" s="47"/>
      <c r="CD649" s="42" t="s">
        <v>16</v>
      </c>
      <c r="CE649" s="43" t="str">
        <f>IF(VLOOKUP(CD649,βοηθητικό!$J$2:$N$354,3,FALSE)="","",VLOOKUP(CD649,βοηθητικό!$J$2:$N$354,3,FALSE))</f>
        <v>_</v>
      </c>
      <c r="CF649" s="44"/>
      <c r="CG649" s="45" t="s">
        <v>16</v>
      </c>
      <c r="CH649" s="46" t="str">
        <f>IF(VLOOKUP(CG649,βοηθητικό!$J$2:$N$354,3,FALSE)="","",VLOOKUP(CG649,βοηθητικό!$J$2:$N$354,3,FALSE))</f>
        <v>_</v>
      </c>
      <c r="CI649" s="47"/>
      <c r="CJ649" s="42" t="s">
        <v>16</v>
      </c>
      <c r="CK649" s="43" t="str">
        <f>IF(VLOOKUP(CJ649,βοηθητικό!$J$2:$N$354,3,FALSE)="","",VLOOKUP(CJ649,βοηθητικό!$J$2:$N$354,3,FALSE))</f>
        <v>_</v>
      </c>
      <c r="CL649" s="44"/>
      <c r="CM649" s="45" t="s">
        <v>16</v>
      </c>
      <c r="CN649" s="46" t="str">
        <f>IF(VLOOKUP(CM649,βοηθητικό!$J$2:$N$354,3,FALSE)="","",VLOOKUP(CM649,βοηθητικό!$J$2:$N$354,3,FALSE))</f>
        <v>_</v>
      </c>
      <c r="CO649" s="47"/>
      <c r="CP649" s="42" t="s">
        <v>16</v>
      </c>
      <c r="CQ649" s="43" t="str">
        <f>IF(VLOOKUP(CP649,βοηθητικό!$J$2:$N$354,3,FALSE)="","",VLOOKUP(CP649,βοηθητικό!$J$2:$N$354,3,FALSE))</f>
        <v>_</v>
      </c>
      <c r="CR649" s="44"/>
      <c r="CS649" s="45" t="s">
        <v>16</v>
      </c>
      <c r="CT649" s="46" t="str">
        <f>IF(VLOOKUP(CS649,βοηθητικό!$J$2:$N$354,3,FALSE)="","",VLOOKUP(CS649,βοηθητικό!$J$2:$N$354,3,FALSE))</f>
        <v>_</v>
      </c>
      <c r="CU649" s="47"/>
    </row>
    <row r="650" spans="1:99" x14ac:dyDescent="0.25">
      <c r="A650" s="37">
        <f>--SUBTOTAL(3,$B$3:B649)</f>
        <v>198</v>
      </c>
      <c r="B650" s="2"/>
      <c r="C650" s="3"/>
      <c r="D650" s="55" t="s">
        <v>18</v>
      </c>
      <c r="E650" s="38" t="s">
        <v>16</v>
      </c>
      <c r="F650" s="38"/>
      <c r="G650" s="39" t="str">
        <f t="shared" si="32"/>
        <v>__</v>
      </c>
      <c r="H650" s="40" t="str">
        <f t="shared" si="33"/>
        <v>FALSE</v>
      </c>
      <c r="I650" s="41">
        <f t="shared" si="34"/>
        <v>0</v>
      </c>
      <c r="J650" s="4" t="s">
        <v>16</v>
      </c>
      <c r="K650" s="43" t="str">
        <f>IF(VLOOKUP(J650,βοηθητικό!$J$2:$N$354,3,FALSE)="","",VLOOKUP(J650,βοηθητικό!$J$2:$N$354,3,FALSE))</f>
        <v>_</v>
      </c>
      <c r="L650" s="44"/>
      <c r="M650" s="5" t="s">
        <v>16</v>
      </c>
      <c r="N650" s="46" t="str">
        <f>IF(VLOOKUP(M650,βοηθητικό!$J$2:$N$354,3,FALSE)="","",VLOOKUP(M650,βοηθητικό!$J$2:$N$354,3,FALSE))</f>
        <v>_</v>
      </c>
      <c r="O650" s="47"/>
      <c r="P650" s="4" t="s">
        <v>16</v>
      </c>
      <c r="Q650" s="43" t="str">
        <f>IF(VLOOKUP(P650,βοηθητικό!$J$2:$N$354,3,FALSE)="","",VLOOKUP(P650,βοηθητικό!$J$2:$N$354,3,FALSE))</f>
        <v>_</v>
      </c>
      <c r="R650" s="44"/>
      <c r="S650" s="5" t="s">
        <v>16</v>
      </c>
      <c r="T650" s="46" t="str">
        <f>IF(VLOOKUP(S650,βοηθητικό!$J$2:$N$354,3,FALSE)="","",VLOOKUP(S650,βοηθητικό!$J$2:$N$354,3,FALSE))</f>
        <v>_</v>
      </c>
      <c r="U650" s="47"/>
      <c r="V650" s="4" t="s">
        <v>16</v>
      </c>
      <c r="W650" s="43" t="str">
        <f>IF(VLOOKUP(V650,βοηθητικό!$J$2:$N$354,3,FALSE)="","",VLOOKUP(V650,βοηθητικό!$J$2:$N$354,3,FALSE))</f>
        <v>_</v>
      </c>
      <c r="X650" s="44"/>
      <c r="Y650" s="5" t="s">
        <v>16</v>
      </c>
      <c r="Z650" s="46" t="str">
        <f>IF(VLOOKUP(Y650,βοηθητικό!$J$2:$N$354,3,FALSE)="","",VLOOKUP(Y650,βοηθητικό!$J$2:$N$354,3,FALSE))</f>
        <v>_</v>
      </c>
      <c r="AA650" s="47"/>
      <c r="AB650" s="4" t="s">
        <v>16</v>
      </c>
      <c r="AC650" s="43" t="str">
        <f>IF(VLOOKUP(AB650,βοηθητικό!$J$2:$N$354,3,FALSE)="","",VLOOKUP(AB650,βοηθητικό!$J$2:$N$354,3,FALSE))</f>
        <v>_</v>
      </c>
      <c r="AD650" s="44"/>
      <c r="AE650" s="5" t="s">
        <v>16</v>
      </c>
      <c r="AF650" s="46" t="str">
        <f>IF(VLOOKUP(AE650,βοηθητικό!$J$2:$N$354,3,FALSE)="","",VLOOKUP(AE650,βοηθητικό!$J$2:$N$354,3,FALSE))</f>
        <v>_</v>
      </c>
      <c r="AG650" s="47"/>
      <c r="AH650" s="4" t="s">
        <v>16</v>
      </c>
      <c r="AI650" s="43" t="str">
        <f>IF(VLOOKUP(AH650,βοηθητικό!$J$2:$N$354,3,FALSE)="","",VLOOKUP(AH650,βοηθητικό!$J$2:$N$354,3,FALSE))</f>
        <v>_</v>
      </c>
      <c r="AJ650" s="44"/>
      <c r="AK650" s="5" t="s">
        <v>16</v>
      </c>
      <c r="AL650" s="46" t="str">
        <f>IF(VLOOKUP(AK650,βοηθητικό!$J$2:$N$354,3,FALSE)="","",VLOOKUP(AK650,βοηθητικό!$J$2:$N$354,3,FALSE))</f>
        <v>_</v>
      </c>
      <c r="AM650" s="47"/>
      <c r="AN650" s="4" t="s">
        <v>16</v>
      </c>
      <c r="AO650" s="43" t="str">
        <f>IF(VLOOKUP(AN650,βοηθητικό!$J$2:$N$354,3,FALSE)="","",VLOOKUP(AN650,βοηθητικό!$J$2:$N$354,3,FALSE))</f>
        <v>_</v>
      </c>
      <c r="AP650" s="44"/>
      <c r="AQ650" s="5" t="s">
        <v>16</v>
      </c>
      <c r="AR650" s="46" t="str">
        <f>IF(VLOOKUP(AQ650,βοηθητικό!$J$2:$N$354,3,FALSE)="","",VLOOKUP(AQ650,βοηθητικό!$J$2:$N$354,3,FALSE))</f>
        <v>_</v>
      </c>
      <c r="AS650" s="47"/>
      <c r="AT650" s="4" t="s">
        <v>16</v>
      </c>
      <c r="AU650" s="43" t="str">
        <f>IF(VLOOKUP(AT650,βοηθητικό!$J$2:$N$354,3,FALSE)="","",VLOOKUP(AT650,βοηθητικό!$J$2:$N$354,3,FALSE))</f>
        <v>_</v>
      </c>
      <c r="AV650" s="44"/>
      <c r="AW650" s="5" t="s">
        <v>16</v>
      </c>
      <c r="AX650" s="46" t="str">
        <f>IF(VLOOKUP(AW650,βοηθητικό!$J$2:$N$354,3,FALSE)="","",VLOOKUP(AW650,βοηθητικό!$J$2:$N$354,3,FALSE))</f>
        <v>_</v>
      </c>
      <c r="AY650" s="47"/>
      <c r="AZ650" s="4" t="s">
        <v>16</v>
      </c>
      <c r="BA650" s="43" t="str">
        <f>IF(VLOOKUP(AZ650,βοηθητικό!$J$2:$N$354,3,FALSE)="","",VLOOKUP(AZ650,βοηθητικό!$J$2:$N$354,3,FALSE))</f>
        <v>_</v>
      </c>
      <c r="BB650" s="44"/>
      <c r="BC650" s="45" t="s">
        <v>16</v>
      </c>
      <c r="BD650" s="46" t="str">
        <f>IF(VLOOKUP(BC650,βοηθητικό!$J$2:$N$354,3,FALSE)="","",VLOOKUP(BC650,βοηθητικό!$J$2:$N$354,3,FALSE))</f>
        <v>_</v>
      </c>
      <c r="BE650" s="47"/>
      <c r="BF650" s="42" t="s">
        <v>16</v>
      </c>
      <c r="BG650" s="43" t="str">
        <f>IF(VLOOKUP(BF650,βοηθητικό!$J$2:$N$354,3,FALSE)="","",VLOOKUP(BF650,βοηθητικό!$J$2:$N$354,3,FALSE))</f>
        <v>_</v>
      </c>
      <c r="BH650" s="44"/>
      <c r="BI650" s="45" t="s">
        <v>16</v>
      </c>
      <c r="BJ650" s="46" t="str">
        <f>IF(VLOOKUP(BI650,βοηθητικό!$J$2:$N$354,3,FALSE)="","",VLOOKUP(BI650,βοηθητικό!$J$2:$N$354,3,FALSE))</f>
        <v>_</v>
      </c>
      <c r="BK650" s="47"/>
      <c r="BL650" s="42" t="s">
        <v>16</v>
      </c>
      <c r="BM650" s="43" t="str">
        <f>IF(VLOOKUP(BL650,βοηθητικό!$J$2:$N$354,3,FALSE)="","",VLOOKUP(BL650,βοηθητικό!$J$2:$N$354,3,FALSE))</f>
        <v>_</v>
      </c>
      <c r="BN650" s="44"/>
      <c r="BO650" s="45" t="s">
        <v>16</v>
      </c>
      <c r="BP650" s="46" t="str">
        <f>IF(VLOOKUP(BO650,βοηθητικό!$J$2:$N$354,3,FALSE)="","",VLOOKUP(BO650,βοηθητικό!$J$2:$N$354,3,FALSE))</f>
        <v>_</v>
      </c>
      <c r="BQ650" s="47"/>
      <c r="BR650" s="42" t="s">
        <v>16</v>
      </c>
      <c r="BS650" s="43" t="str">
        <f>IF(VLOOKUP(BR650,βοηθητικό!$J$2:$N$354,3,FALSE)="","",VLOOKUP(BR650,βοηθητικό!$J$2:$N$354,3,FALSE))</f>
        <v>_</v>
      </c>
      <c r="BT650" s="44"/>
      <c r="BU650" s="45" t="s">
        <v>16</v>
      </c>
      <c r="BV650" s="46" t="str">
        <f>IF(VLOOKUP(BU650,βοηθητικό!$J$2:$N$354,3,FALSE)="","",VLOOKUP(BU650,βοηθητικό!$J$2:$N$354,3,FALSE))</f>
        <v>_</v>
      </c>
      <c r="BW650" s="47"/>
      <c r="BX650" s="42" t="s">
        <v>16</v>
      </c>
      <c r="BY650" s="43" t="str">
        <f>IF(VLOOKUP(BX650,βοηθητικό!$J$2:$N$354,3,FALSE)="","",VLOOKUP(BX650,βοηθητικό!$J$2:$N$354,3,FALSE))</f>
        <v>_</v>
      </c>
      <c r="BZ650" s="44"/>
      <c r="CA650" s="45" t="s">
        <v>16</v>
      </c>
      <c r="CB650" s="46" t="str">
        <f>IF(VLOOKUP(CA650,βοηθητικό!$J$2:$N$354,3,FALSE)="","",VLOOKUP(CA650,βοηθητικό!$J$2:$N$354,3,FALSE))</f>
        <v>_</v>
      </c>
      <c r="CC650" s="47"/>
      <c r="CD650" s="42" t="s">
        <v>16</v>
      </c>
      <c r="CE650" s="43" t="str">
        <f>IF(VLOOKUP(CD650,βοηθητικό!$J$2:$N$354,3,FALSE)="","",VLOOKUP(CD650,βοηθητικό!$J$2:$N$354,3,FALSE))</f>
        <v>_</v>
      </c>
      <c r="CF650" s="44"/>
      <c r="CG650" s="45" t="s">
        <v>16</v>
      </c>
      <c r="CH650" s="46" t="str">
        <f>IF(VLOOKUP(CG650,βοηθητικό!$J$2:$N$354,3,FALSE)="","",VLOOKUP(CG650,βοηθητικό!$J$2:$N$354,3,FALSE))</f>
        <v>_</v>
      </c>
      <c r="CI650" s="47"/>
      <c r="CJ650" s="42" t="s">
        <v>16</v>
      </c>
      <c r="CK650" s="43" t="str">
        <f>IF(VLOOKUP(CJ650,βοηθητικό!$J$2:$N$354,3,FALSE)="","",VLOOKUP(CJ650,βοηθητικό!$J$2:$N$354,3,FALSE))</f>
        <v>_</v>
      </c>
      <c r="CL650" s="44"/>
      <c r="CM650" s="45" t="s">
        <v>16</v>
      </c>
      <c r="CN650" s="46" t="str">
        <f>IF(VLOOKUP(CM650,βοηθητικό!$J$2:$N$354,3,FALSE)="","",VLOOKUP(CM650,βοηθητικό!$J$2:$N$354,3,FALSE))</f>
        <v>_</v>
      </c>
      <c r="CO650" s="47"/>
      <c r="CP650" s="42" t="s">
        <v>16</v>
      </c>
      <c r="CQ650" s="43" t="str">
        <f>IF(VLOOKUP(CP650,βοηθητικό!$J$2:$N$354,3,FALSE)="","",VLOOKUP(CP650,βοηθητικό!$J$2:$N$354,3,FALSE))</f>
        <v>_</v>
      </c>
      <c r="CR650" s="44"/>
      <c r="CS650" s="45" t="s">
        <v>16</v>
      </c>
      <c r="CT650" s="46" t="str">
        <f>IF(VLOOKUP(CS650,βοηθητικό!$J$2:$N$354,3,FALSE)="","",VLOOKUP(CS650,βοηθητικό!$J$2:$N$354,3,FALSE))</f>
        <v>_</v>
      </c>
      <c r="CU650" s="47"/>
    </row>
    <row r="651" spans="1:99" x14ac:dyDescent="0.25">
      <c r="A651" s="37">
        <f>--SUBTOTAL(3,$B$3:B650)</f>
        <v>198</v>
      </c>
      <c r="B651" s="2"/>
      <c r="C651" s="3"/>
      <c r="D651" s="55" t="s">
        <v>18</v>
      </c>
      <c r="E651" s="38" t="s">
        <v>16</v>
      </c>
      <c r="F651" s="38"/>
      <c r="G651" s="39" t="str">
        <f t="shared" si="32"/>
        <v>__</v>
      </c>
      <c r="H651" s="40" t="str">
        <f t="shared" si="33"/>
        <v>FALSE</v>
      </c>
      <c r="I651" s="41">
        <f t="shared" si="34"/>
        <v>0</v>
      </c>
      <c r="J651" s="4" t="s">
        <v>16</v>
      </c>
      <c r="K651" s="43" t="str">
        <f>IF(VLOOKUP(J651,βοηθητικό!$J$2:$N$354,3,FALSE)="","",VLOOKUP(J651,βοηθητικό!$J$2:$N$354,3,FALSE))</f>
        <v>_</v>
      </c>
      <c r="L651" s="44"/>
      <c r="M651" s="5" t="s">
        <v>16</v>
      </c>
      <c r="N651" s="46" t="str">
        <f>IF(VLOOKUP(M651,βοηθητικό!$J$2:$N$354,3,FALSE)="","",VLOOKUP(M651,βοηθητικό!$J$2:$N$354,3,FALSE))</f>
        <v>_</v>
      </c>
      <c r="O651" s="47"/>
      <c r="P651" s="4" t="s">
        <v>16</v>
      </c>
      <c r="Q651" s="43" t="str">
        <f>IF(VLOOKUP(P651,βοηθητικό!$J$2:$N$354,3,FALSE)="","",VLOOKUP(P651,βοηθητικό!$J$2:$N$354,3,FALSE))</f>
        <v>_</v>
      </c>
      <c r="R651" s="44"/>
      <c r="S651" s="5" t="s">
        <v>16</v>
      </c>
      <c r="T651" s="46" t="str">
        <f>IF(VLOOKUP(S651,βοηθητικό!$J$2:$N$354,3,FALSE)="","",VLOOKUP(S651,βοηθητικό!$J$2:$N$354,3,FALSE))</f>
        <v>_</v>
      </c>
      <c r="U651" s="47"/>
      <c r="V651" s="4" t="s">
        <v>16</v>
      </c>
      <c r="W651" s="43" t="str">
        <f>IF(VLOOKUP(V651,βοηθητικό!$J$2:$N$354,3,FALSE)="","",VLOOKUP(V651,βοηθητικό!$J$2:$N$354,3,FALSE))</f>
        <v>_</v>
      </c>
      <c r="X651" s="44"/>
      <c r="Y651" s="5" t="s">
        <v>16</v>
      </c>
      <c r="Z651" s="46" t="str">
        <f>IF(VLOOKUP(Y651,βοηθητικό!$J$2:$N$354,3,FALSE)="","",VLOOKUP(Y651,βοηθητικό!$J$2:$N$354,3,FALSE))</f>
        <v>_</v>
      </c>
      <c r="AA651" s="47"/>
      <c r="AB651" s="4" t="s">
        <v>16</v>
      </c>
      <c r="AC651" s="43" t="str">
        <f>IF(VLOOKUP(AB651,βοηθητικό!$J$2:$N$354,3,FALSE)="","",VLOOKUP(AB651,βοηθητικό!$J$2:$N$354,3,FALSE))</f>
        <v>_</v>
      </c>
      <c r="AD651" s="44"/>
      <c r="AE651" s="5" t="s">
        <v>16</v>
      </c>
      <c r="AF651" s="46" t="str">
        <f>IF(VLOOKUP(AE651,βοηθητικό!$J$2:$N$354,3,FALSE)="","",VLOOKUP(AE651,βοηθητικό!$J$2:$N$354,3,FALSE))</f>
        <v>_</v>
      </c>
      <c r="AG651" s="47"/>
      <c r="AH651" s="4" t="s">
        <v>16</v>
      </c>
      <c r="AI651" s="43" t="str">
        <f>IF(VLOOKUP(AH651,βοηθητικό!$J$2:$N$354,3,FALSE)="","",VLOOKUP(AH651,βοηθητικό!$J$2:$N$354,3,FALSE))</f>
        <v>_</v>
      </c>
      <c r="AJ651" s="44"/>
      <c r="AK651" s="5" t="s">
        <v>16</v>
      </c>
      <c r="AL651" s="46" t="str">
        <f>IF(VLOOKUP(AK651,βοηθητικό!$J$2:$N$354,3,FALSE)="","",VLOOKUP(AK651,βοηθητικό!$J$2:$N$354,3,FALSE))</f>
        <v>_</v>
      </c>
      <c r="AM651" s="47"/>
      <c r="AN651" s="4" t="s">
        <v>16</v>
      </c>
      <c r="AO651" s="43" t="str">
        <f>IF(VLOOKUP(AN651,βοηθητικό!$J$2:$N$354,3,FALSE)="","",VLOOKUP(AN651,βοηθητικό!$J$2:$N$354,3,FALSE))</f>
        <v>_</v>
      </c>
      <c r="AP651" s="44"/>
      <c r="AQ651" s="5" t="s">
        <v>16</v>
      </c>
      <c r="AR651" s="46" t="str">
        <f>IF(VLOOKUP(AQ651,βοηθητικό!$J$2:$N$354,3,FALSE)="","",VLOOKUP(AQ651,βοηθητικό!$J$2:$N$354,3,FALSE))</f>
        <v>_</v>
      </c>
      <c r="AS651" s="47"/>
      <c r="AT651" s="4" t="s">
        <v>16</v>
      </c>
      <c r="AU651" s="43" t="str">
        <f>IF(VLOOKUP(AT651,βοηθητικό!$J$2:$N$354,3,FALSE)="","",VLOOKUP(AT651,βοηθητικό!$J$2:$N$354,3,FALSE))</f>
        <v>_</v>
      </c>
      <c r="AV651" s="44"/>
      <c r="AW651" s="5" t="s">
        <v>16</v>
      </c>
      <c r="AX651" s="46" t="str">
        <f>IF(VLOOKUP(AW651,βοηθητικό!$J$2:$N$354,3,FALSE)="","",VLOOKUP(AW651,βοηθητικό!$J$2:$N$354,3,FALSE))</f>
        <v>_</v>
      </c>
      <c r="AY651" s="47"/>
      <c r="AZ651" s="4" t="s">
        <v>16</v>
      </c>
      <c r="BA651" s="43" t="str">
        <f>IF(VLOOKUP(AZ651,βοηθητικό!$J$2:$N$354,3,FALSE)="","",VLOOKUP(AZ651,βοηθητικό!$J$2:$N$354,3,FALSE))</f>
        <v>_</v>
      </c>
      <c r="BB651" s="44"/>
      <c r="BC651" s="45" t="s">
        <v>16</v>
      </c>
      <c r="BD651" s="46" t="str">
        <f>IF(VLOOKUP(BC651,βοηθητικό!$J$2:$N$354,3,FALSE)="","",VLOOKUP(BC651,βοηθητικό!$J$2:$N$354,3,FALSE))</f>
        <v>_</v>
      </c>
      <c r="BE651" s="47"/>
      <c r="BF651" s="42" t="s">
        <v>16</v>
      </c>
      <c r="BG651" s="43" t="str">
        <f>IF(VLOOKUP(BF651,βοηθητικό!$J$2:$N$354,3,FALSE)="","",VLOOKUP(BF651,βοηθητικό!$J$2:$N$354,3,FALSE))</f>
        <v>_</v>
      </c>
      <c r="BH651" s="44"/>
      <c r="BI651" s="45" t="s">
        <v>16</v>
      </c>
      <c r="BJ651" s="46" t="str">
        <f>IF(VLOOKUP(BI651,βοηθητικό!$J$2:$N$354,3,FALSE)="","",VLOOKUP(BI651,βοηθητικό!$J$2:$N$354,3,FALSE))</f>
        <v>_</v>
      </c>
      <c r="BK651" s="47"/>
      <c r="BL651" s="42" t="s">
        <v>16</v>
      </c>
      <c r="BM651" s="43" t="str">
        <f>IF(VLOOKUP(BL651,βοηθητικό!$J$2:$N$354,3,FALSE)="","",VLOOKUP(BL651,βοηθητικό!$J$2:$N$354,3,FALSE))</f>
        <v>_</v>
      </c>
      <c r="BN651" s="44"/>
      <c r="BO651" s="45" t="s">
        <v>16</v>
      </c>
      <c r="BP651" s="46" t="str">
        <f>IF(VLOOKUP(BO651,βοηθητικό!$J$2:$N$354,3,FALSE)="","",VLOOKUP(BO651,βοηθητικό!$J$2:$N$354,3,FALSE))</f>
        <v>_</v>
      </c>
      <c r="BQ651" s="47"/>
      <c r="BR651" s="42" t="s">
        <v>16</v>
      </c>
      <c r="BS651" s="43" t="str">
        <f>IF(VLOOKUP(BR651,βοηθητικό!$J$2:$N$354,3,FALSE)="","",VLOOKUP(BR651,βοηθητικό!$J$2:$N$354,3,FALSE))</f>
        <v>_</v>
      </c>
      <c r="BT651" s="44"/>
      <c r="BU651" s="45" t="s">
        <v>16</v>
      </c>
      <c r="BV651" s="46" t="str">
        <f>IF(VLOOKUP(BU651,βοηθητικό!$J$2:$N$354,3,FALSE)="","",VLOOKUP(BU651,βοηθητικό!$J$2:$N$354,3,FALSE))</f>
        <v>_</v>
      </c>
      <c r="BW651" s="47"/>
      <c r="BX651" s="42" t="s">
        <v>16</v>
      </c>
      <c r="BY651" s="43" t="str">
        <f>IF(VLOOKUP(BX651,βοηθητικό!$J$2:$N$354,3,FALSE)="","",VLOOKUP(BX651,βοηθητικό!$J$2:$N$354,3,FALSE))</f>
        <v>_</v>
      </c>
      <c r="BZ651" s="44"/>
      <c r="CA651" s="45" t="s">
        <v>16</v>
      </c>
      <c r="CB651" s="46" t="str">
        <f>IF(VLOOKUP(CA651,βοηθητικό!$J$2:$N$354,3,FALSE)="","",VLOOKUP(CA651,βοηθητικό!$J$2:$N$354,3,FALSE))</f>
        <v>_</v>
      </c>
      <c r="CC651" s="47"/>
      <c r="CD651" s="42" t="s">
        <v>16</v>
      </c>
      <c r="CE651" s="43" t="str">
        <f>IF(VLOOKUP(CD651,βοηθητικό!$J$2:$N$354,3,FALSE)="","",VLOOKUP(CD651,βοηθητικό!$J$2:$N$354,3,FALSE))</f>
        <v>_</v>
      </c>
      <c r="CF651" s="44"/>
      <c r="CG651" s="45" t="s">
        <v>16</v>
      </c>
      <c r="CH651" s="46" t="str">
        <f>IF(VLOOKUP(CG651,βοηθητικό!$J$2:$N$354,3,FALSE)="","",VLOOKUP(CG651,βοηθητικό!$J$2:$N$354,3,FALSE))</f>
        <v>_</v>
      </c>
      <c r="CI651" s="47"/>
      <c r="CJ651" s="42" t="s">
        <v>16</v>
      </c>
      <c r="CK651" s="43" t="str">
        <f>IF(VLOOKUP(CJ651,βοηθητικό!$J$2:$N$354,3,FALSE)="","",VLOOKUP(CJ651,βοηθητικό!$J$2:$N$354,3,FALSE))</f>
        <v>_</v>
      </c>
      <c r="CL651" s="44"/>
      <c r="CM651" s="45" t="s">
        <v>16</v>
      </c>
      <c r="CN651" s="46" t="str">
        <f>IF(VLOOKUP(CM651,βοηθητικό!$J$2:$N$354,3,FALSE)="","",VLOOKUP(CM651,βοηθητικό!$J$2:$N$354,3,FALSE))</f>
        <v>_</v>
      </c>
      <c r="CO651" s="47"/>
      <c r="CP651" s="42" t="s">
        <v>16</v>
      </c>
      <c r="CQ651" s="43" t="str">
        <f>IF(VLOOKUP(CP651,βοηθητικό!$J$2:$N$354,3,FALSE)="","",VLOOKUP(CP651,βοηθητικό!$J$2:$N$354,3,FALSE))</f>
        <v>_</v>
      </c>
      <c r="CR651" s="44"/>
      <c r="CS651" s="45" t="s">
        <v>16</v>
      </c>
      <c r="CT651" s="46" t="str">
        <f>IF(VLOOKUP(CS651,βοηθητικό!$J$2:$N$354,3,FALSE)="","",VLOOKUP(CS651,βοηθητικό!$J$2:$N$354,3,FALSE))</f>
        <v>_</v>
      </c>
      <c r="CU651" s="47"/>
    </row>
    <row r="652" spans="1:99" x14ac:dyDescent="0.25">
      <c r="A652" s="37">
        <f>--SUBTOTAL(3,$B$3:B651)</f>
        <v>198</v>
      </c>
      <c r="B652" s="2"/>
      <c r="C652" s="3"/>
      <c r="D652" s="55" t="s">
        <v>18</v>
      </c>
      <c r="E652" s="38" t="s">
        <v>16</v>
      </c>
      <c r="F652" s="38"/>
      <c r="G652" s="39" t="str">
        <f t="shared" si="32"/>
        <v>__</v>
      </c>
      <c r="H652" s="40" t="str">
        <f t="shared" si="33"/>
        <v>FALSE</v>
      </c>
      <c r="I652" s="41">
        <f t="shared" si="34"/>
        <v>0</v>
      </c>
      <c r="J652" s="4" t="s">
        <v>16</v>
      </c>
      <c r="K652" s="43" t="str">
        <f>IF(VLOOKUP(J652,βοηθητικό!$J$2:$N$354,3,FALSE)="","",VLOOKUP(J652,βοηθητικό!$J$2:$N$354,3,FALSE))</f>
        <v>_</v>
      </c>
      <c r="L652" s="44"/>
      <c r="M652" s="5" t="s">
        <v>16</v>
      </c>
      <c r="N652" s="46" t="str">
        <f>IF(VLOOKUP(M652,βοηθητικό!$J$2:$N$354,3,FALSE)="","",VLOOKUP(M652,βοηθητικό!$J$2:$N$354,3,FALSE))</f>
        <v>_</v>
      </c>
      <c r="O652" s="47"/>
      <c r="P652" s="4" t="s">
        <v>16</v>
      </c>
      <c r="Q652" s="43" t="str">
        <f>IF(VLOOKUP(P652,βοηθητικό!$J$2:$N$354,3,FALSE)="","",VLOOKUP(P652,βοηθητικό!$J$2:$N$354,3,FALSE))</f>
        <v>_</v>
      </c>
      <c r="R652" s="44"/>
      <c r="S652" s="5" t="s">
        <v>16</v>
      </c>
      <c r="T652" s="46" t="str">
        <f>IF(VLOOKUP(S652,βοηθητικό!$J$2:$N$354,3,FALSE)="","",VLOOKUP(S652,βοηθητικό!$J$2:$N$354,3,FALSE))</f>
        <v>_</v>
      </c>
      <c r="U652" s="47"/>
      <c r="V652" s="4" t="s">
        <v>16</v>
      </c>
      <c r="W652" s="43" t="str">
        <f>IF(VLOOKUP(V652,βοηθητικό!$J$2:$N$354,3,FALSE)="","",VLOOKUP(V652,βοηθητικό!$J$2:$N$354,3,FALSE))</f>
        <v>_</v>
      </c>
      <c r="X652" s="44"/>
      <c r="Y652" s="5" t="s">
        <v>16</v>
      </c>
      <c r="Z652" s="46" t="str">
        <f>IF(VLOOKUP(Y652,βοηθητικό!$J$2:$N$354,3,FALSE)="","",VLOOKUP(Y652,βοηθητικό!$J$2:$N$354,3,FALSE))</f>
        <v>_</v>
      </c>
      <c r="AA652" s="47"/>
      <c r="AB652" s="4" t="s">
        <v>16</v>
      </c>
      <c r="AC652" s="43" t="str">
        <f>IF(VLOOKUP(AB652,βοηθητικό!$J$2:$N$354,3,FALSE)="","",VLOOKUP(AB652,βοηθητικό!$J$2:$N$354,3,FALSE))</f>
        <v>_</v>
      </c>
      <c r="AD652" s="44"/>
      <c r="AE652" s="5" t="s">
        <v>16</v>
      </c>
      <c r="AF652" s="46" t="str">
        <f>IF(VLOOKUP(AE652,βοηθητικό!$J$2:$N$354,3,FALSE)="","",VLOOKUP(AE652,βοηθητικό!$J$2:$N$354,3,FALSE))</f>
        <v>_</v>
      </c>
      <c r="AG652" s="47"/>
      <c r="AH652" s="4" t="s">
        <v>16</v>
      </c>
      <c r="AI652" s="43" t="str">
        <f>IF(VLOOKUP(AH652,βοηθητικό!$J$2:$N$354,3,FALSE)="","",VLOOKUP(AH652,βοηθητικό!$J$2:$N$354,3,FALSE))</f>
        <v>_</v>
      </c>
      <c r="AJ652" s="44"/>
      <c r="AK652" s="5" t="s">
        <v>16</v>
      </c>
      <c r="AL652" s="46" t="str">
        <f>IF(VLOOKUP(AK652,βοηθητικό!$J$2:$N$354,3,FALSE)="","",VLOOKUP(AK652,βοηθητικό!$J$2:$N$354,3,FALSE))</f>
        <v>_</v>
      </c>
      <c r="AM652" s="47"/>
      <c r="AN652" s="4" t="s">
        <v>16</v>
      </c>
      <c r="AO652" s="43" t="str">
        <f>IF(VLOOKUP(AN652,βοηθητικό!$J$2:$N$354,3,FALSE)="","",VLOOKUP(AN652,βοηθητικό!$J$2:$N$354,3,FALSE))</f>
        <v>_</v>
      </c>
      <c r="AP652" s="44"/>
      <c r="AQ652" s="5" t="s">
        <v>16</v>
      </c>
      <c r="AR652" s="46" t="str">
        <f>IF(VLOOKUP(AQ652,βοηθητικό!$J$2:$N$354,3,FALSE)="","",VLOOKUP(AQ652,βοηθητικό!$J$2:$N$354,3,FALSE))</f>
        <v>_</v>
      </c>
      <c r="AS652" s="47"/>
      <c r="AT652" s="4" t="s">
        <v>16</v>
      </c>
      <c r="AU652" s="43" t="str">
        <f>IF(VLOOKUP(AT652,βοηθητικό!$J$2:$N$354,3,FALSE)="","",VLOOKUP(AT652,βοηθητικό!$J$2:$N$354,3,FALSE))</f>
        <v>_</v>
      </c>
      <c r="AV652" s="44"/>
      <c r="AW652" s="5" t="s">
        <v>16</v>
      </c>
      <c r="AX652" s="46" t="str">
        <f>IF(VLOOKUP(AW652,βοηθητικό!$J$2:$N$354,3,FALSE)="","",VLOOKUP(AW652,βοηθητικό!$J$2:$N$354,3,FALSE))</f>
        <v>_</v>
      </c>
      <c r="AY652" s="47"/>
      <c r="AZ652" s="4" t="s">
        <v>16</v>
      </c>
      <c r="BA652" s="43" t="str">
        <f>IF(VLOOKUP(AZ652,βοηθητικό!$J$2:$N$354,3,FALSE)="","",VLOOKUP(AZ652,βοηθητικό!$J$2:$N$354,3,FALSE))</f>
        <v>_</v>
      </c>
      <c r="BB652" s="44"/>
      <c r="BC652" s="45" t="s">
        <v>16</v>
      </c>
      <c r="BD652" s="46" t="str">
        <f>IF(VLOOKUP(BC652,βοηθητικό!$J$2:$N$354,3,FALSE)="","",VLOOKUP(BC652,βοηθητικό!$J$2:$N$354,3,FALSE))</f>
        <v>_</v>
      </c>
      <c r="BE652" s="47"/>
      <c r="BF652" s="42" t="s">
        <v>16</v>
      </c>
      <c r="BG652" s="43" t="str">
        <f>IF(VLOOKUP(BF652,βοηθητικό!$J$2:$N$354,3,FALSE)="","",VLOOKUP(BF652,βοηθητικό!$J$2:$N$354,3,FALSE))</f>
        <v>_</v>
      </c>
      <c r="BH652" s="44"/>
      <c r="BI652" s="45" t="s">
        <v>16</v>
      </c>
      <c r="BJ652" s="46" t="str">
        <f>IF(VLOOKUP(BI652,βοηθητικό!$J$2:$N$354,3,FALSE)="","",VLOOKUP(BI652,βοηθητικό!$J$2:$N$354,3,FALSE))</f>
        <v>_</v>
      </c>
      <c r="BK652" s="47"/>
      <c r="BL652" s="42" t="s">
        <v>16</v>
      </c>
      <c r="BM652" s="43" t="str">
        <f>IF(VLOOKUP(BL652,βοηθητικό!$J$2:$N$354,3,FALSE)="","",VLOOKUP(BL652,βοηθητικό!$J$2:$N$354,3,FALSE))</f>
        <v>_</v>
      </c>
      <c r="BN652" s="44"/>
      <c r="BO652" s="45" t="s">
        <v>16</v>
      </c>
      <c r="BP652" s="46" t="str">
        <f>IF(VLOOKUP(BO652,βοηθητικό!$J$2:$N$354,3,FALSE)="","",VLOOKUP(BO652,βοηθητικό!$J$2:$N$354,3,FALSE))</f>
        <v>_</v>
      </c>
      <c r="BQ652" s="47"/>
      <c r="BR652" s="42" t="s">
        <v>16</v>
      </c>
      <c r="BS652" s="43" t="str">
        <f>IF(VLOOKUP(BR652,βοηθητικό!$J$2:$N$354,3,FALSE)="","",VLOOKUP(BR652,βοηθητικό!$J$2:$N$354,3,FALSE))</f>
        <v>_</v>
      </c>
      <c r="BT652" s="44"/>
      <c r="BU652" s="45" t="s">
        <v>16</v>
      </c>
      <c r="BV652" s="46" t="str">
        <f>IF(VLOOKUP(BU652,βοηθητικό!$J$2:$N$354,3,FALSE)="","",VLOOKUP(BU652,βοηθητικό!$J$2:$N$354,3,FALSE))</f>
        <v>_</v>
      </c>
      <c r="BW652" s="47"/>
      <c r="BX652" s="42" t="s">
        <v>16</v>
      </c>
      <c r="BY652" s="43" t="str">
        <f>IF(VLOOKUP(BX652,βοηθητικό!$J$2:$N$354,3,FALSE)="","",VLOOKUP(BX652,βοηθητικό!$J$2:$N$354,3,FALSE))</f>
        <v>_</v>
      </c>
      <c r="BZ652" s="44"/>
      <c r="CA652" s="45" t="s">
        <v>16</v>
      </c>
      <c r="CB652" s="46" t="str">
        <f>IF(VLOOKUP(CA652,βοηθητικό!$J$2:$N$354,3,FALSE)="","",VLOOKUP(CA652,βοηθητικό!$J$2:$N$354,3,FALSE))</f>
        <v>_</v>
      </c>
      <c r="CC652" s="47"/>
      <c r="CD652" s="42" t="s">
        <v>16</v>
      </c>
      <c r="CE652" s="43" t="str">
        <f>IF(VLOOKUP(CD652,βοηθητικό!$J$2:$N$354,3,FALSE)="","",VLOOKUP(CD652,βοηθητικό!$J$2:$N$354,3,FALSE))</f>
        <v>_</v>
      </c>
      <c r="CF652" s="44"/>
      <c r="CG652" s="45" t="s">
        <v>16</v>
      </c>
      <c r="CH652" s="46" t="str">
        <f>IF(VLOOKUP(CG652,βοηθητικό!$J$2:$N$354,3,FALSE)="","",VLOOKUP(CG652,βοηθητικό!$J$2:$N$354,3,FALSE))</f>
        <v>_</v>
      </c>
      <c r="CI652" s="47"/>
      <c r="CJ652" s="42" t="s">
        <v>16</v>
      </c>
      <c r="CK652" s="43" t="str">
        <f>IF(VLOOKUP(CJ652,βοηθητικό!$J$2:$N$354,3,FALSE)="","",VLOOKUP(CJ652,βοηθητικό!$J$2:$N$354,3,FALSE))</f>
        <v>_</v>
      </c>
      <c r="CL652" s="44"/>
      <c r="CM652" s="45" t="s">
        <v>16</v>
      </c>
      <c r="CN652" s="46" t="str">
        <f>IF(VLOOKUP(CM652,βοηθητικό!$J$2:$N$354,3,FALSE)="","",VLOOKUP(CM652,βοηθητικό!$J$2:$N$354,3,FALSE))</f>
        <v>_</v>
      </c>
      <c r="CO652" s="47"/>
      <c r="CP652" s="42" t="s">
        <v>16</v>
      </c>
      <c r="CQ652" s="43" t="str">
        <f>IF(VLOOKUP(CP652,βοηθητικό!$J$2:$N$354,3,FALSE)="","",VLOOKUP(CP652,βοηθητικό!$J$2:$N$354,3,FALSE))</f>
        <v>_</v>
      </c>
      <c r="CR652" s="44"/>
      <c r="CS652" s="45" t="s">
        <v>16</v>
      </c>
      <c r="CT652" s="46" t="str">
        <f>IF(VLOOKUP(CS652,βοηθητικό!$J$2:$N$354,3,FALSE)="","",VLOOKUP(CS652,βοηθητικό!$J$2:$N$354,3,FALSE))</f>
        <v>_</v>
      </c>
      <c r="CU652" s="47"/>
    </row>
    <row r="653" spans="1:99" x14ac:dyDescent="0.25">
      <c r="A653" s="37">
        <f>--SUBTOTAL(3,$B$3:B652)</f>
        <v>198</v>
      </c>
      <c r="B653" s="2"/>
      <c r="C653" s="3"/>
      <c r="D653" s="55" t="s">
        <v>18</v>
      </c>
      <c r="E653" s="38" t="s">
        <v>16</v>
      </c>
      <c r="F653" s="38"/>
      <c r="G653" s="39" t="str">
        <f t="shared" si="32"/>
        <v>__</v>
      </c>
      <c r="H653" s="40" t="str">
        <f t="shared" si="33"/>
        <v>FALSE</v>
      </c>
      <c r="I653" s="41">
        <f t="shared" si="34"/>
        <v>0</v>
      </c>
      <c r="J653" s="4" t="s">
        <v>16</v>
      </c>
      <c r="K653" s="43" t="str">
        <f>IF(VLOOKUP(J653,βοηθητικό!$J$2:$N$354,3,FALSE)="","",VLOOKUP(J653,βοηθητικό!$J$2:$N$354,3,FALSE))</f>
        <v>_</v>
      </c>
      <c r="L653" s="44"/>
      <c r="M653" s="5" t="s">
        <v>16</v>
      </c>
      <c r="N653" s="46" t="str">
        <f>IF(VLOOKUP(M653,βοηθητικό!$J$2:$N$354,3,FALSE)="","",VLOOKUP(M653,βοηθητικό!$J$2:$N$354,3,FALSE))</f>
        <v>_</v>
      </c>
      <c r="O653" s="47"/>
      <c r="P653" s="4" t="s">
        <v>16</v>
      </c>
      <c r="Q653" s="43" t="str">
        <f>IF(VLOOKUP(P653,βοηθητικό!$J$2:$N$354,3,FALSE)="","",VLOOKUP(P653,βοηθητικό!$J$2:$N$354,3,FALSE))</f>
        <v>_</v>
      </c>
      <c r="R653" s="44"/>
      <c r="S653" s="5" t="s">
        <v>16</v>
      </c>
      <c r="T653" s="46" t="str">
        <f>IF(VLOOKUP(S653,βοηθητικό!$J$2:$N$354,3,FALSE)="","",VLOOKUP(S653,βοηθητικό!$J$2:$N$354,3,FALSE))</f>
        <v>_</v>
      </c>
      <c r="U653" s="47"/>
      <c r="V653" s="4" t="s">
        <v>16</v>
      </c>
      <c r="W653" s="43" t="str">
        <f>IF(VLOOKUP(V653,βοηθητικό!$J$2:$N$354,3,FALSE)="","",VLOOKUP(V653,βοηθητικό!$J$2:$N$354,3,FALSE))</f>
        <v>_</v>
      </c>
      <c r="X653" s="44"/>
      <c r="Y653" s="5" t="s">
        <v>16</v>
      </c>
      <c r="Z653" s="46" t="str">
        <f>IF(VLOOKUP(Y653,βοηθητικό!$J$2:$N$354,3,FALSE)="","",VLOOKUP(Y653,βοηθητικό!$J$2:$N$354,3,FALSE))</f>
        <v>_</v>
      </c>
      <c r="AA653" s="47"/>
      <c r="AB653" s="4" t="s">
        <v>16</v>
      </c>
      <c r="AC653" s="43" t="str">
        <f>IF(VLOOKUP(AB653,βοηθητικό!$J$2:$N$354,3,FALSE)="","",VLOOKUP(AB653,βοηθητικό!$J$2:$N$354,3,FALSE))</f>
        <v>_</v>
      </c>
      <c r="AD653" s="44"/>
      <c r="AE653" s="5" t="s">
        <v>16</v>
      </c>
      <c r="AF653" s="46" t="str">
        <f>IF(VLOOKUP(AE653,βοηθητικό!$J$2:$N$354,3,FALSE)="","",VLOOKUP(AE653,βοηθητικό!$J$2:$N$354,3,FALSE))</f>
        <v>_</v>
      </c>
      <c r="AG653" s="47"/>
      <c r="AH653" s="4" t="s">
        <v>16</v>
      </c>
      <c r="AI653" s="43" t="str">
        <f>IF(VLOOKUP(AH653,βοηθητικό!$J$2:$N$354,3,FALSE)="","",VLOOKUP(AH653,βοηθητικό!$J$2:$N$354,3,FALSE))</f>
        <v>_</v>
      </c>
      <c r="AJ653" s="44"/>
      <c r="AK653" s="5" t="s">
        <v>16</v>
      </c>
      <c r="AL653" s="46" t="str">
        <f>IF(VLOOKUP(AK653,βοηθητικό!$J$2:$N$354,3,FALSE)="","",VLOOKUP(AK653,βοηθητικό!$J$2:$N$354,3,FALSE))</f>
        <v>_</v>
      </c>
      <c r="AM653" s="47"/>
      <c r="AN653" s="4" t="s">
        <v>16</v>
      </c>
      <c r="AO653" s="43" t="str">
        <f>IF(VLOOKUP(AN653,βοηθητικό!$J$2:$N$354,3,FALSE)="","",VLOOKUP(AN653,βοηθητικό!$J$2:$N$354,3,FALSE))</f>
        <v>_</v>
      </c>
      <c r="AP653" s="44"/>
      <c r="AQ653" s="5" t="s">
        <v>16</v>
      </c>
      <c r="AR653" s="46" t="str">
        <f>IF(VLOOKUP(AQ653,βοηθητικό!$J$2:$N$354,3,FALSE)="","",VLOOKUP(AQ653,βοηθητικό!$J$2:$N$354,3,FALSE))</f>
        <v>_</v>
      </c>
      <c r="AS653" s="47"/>
      <c r="AT653" s="4" t="s">
        <v>16</v>
      </c>
      <c r="AU653" s="43" t="str">
        <f>IF(VLOOKUP(AT653,βοηθητικό!$J$2:$N$354,3,FALSE)="","",VLOOKUP(AT653,βοηθητικό!$J$2:$N$354,3,FALSE))</f>
        <v>_</v>
      </c>
      <c r="AV653" s="44"/>
      <c r="AW653" s="5" t="s">
        <v>16</v>
      </c>
      <c r="AX653" s="46" t="str">
        <f>IF(VLOOKUP(AW653,βοηθητικό!$J$2:$N$354,3,FALSE)="","",VLOOKUP(AW653,βοηθητικό!$J$2:$N$354,3,FALSE))</f>
        <v>_</v>
      </c>
      <c r="AY653" s="47"/>
      <c r="AZ653" s="4" t="s">
        <v>16</v>
      </c>
      <c r="BA653" s="43" t="str">
        <f>IF(VLOOKUP(AZ653,βοηθητικό!$J$2:$N$354,3,FALSE)="","",VLOOKUP(AZ653,βοηθητικό!$J$2:$N$354,3,FALSE))</f>
        <v>_</v>
      </c>
      <c r="BB653" s="44"/>
      <c r="BC653" s="45" t="s">
        <v>16</v>
      </c>
      <c r="BD653" s="46" t="str">
        <f>IF(VLOOKUP(BC653,βοηθητικό!$J$2:$N$354,3,FALSE)="","",VLOOKUP(BC653,βοηθητικό!$J$2:$N$354,3,FALSE))</f>
        <v>_</v>
      </c>
      <c r="BE653" s="47"/>
      <c r="BF653" s="42" t="s">
        <v>16</v>
      </c>
      <c r="BG653" s="43" t="str">
        <f>IF(VLOOKUP(BF653,βοηθητικό!$J$2:$N$354,3,FALSE)="","",VLOOKUP(BF653,βοηθητικό!$J$2:$N$354,3,FALSE))</f>
        <v>_</v>
      </c>
      <c r="BH653" s="44"/>
      <c r="BI653" s="45" t="s">
        <v>16</v>
      </c>
      <c r="BJ653" s="46" t="str">
        <f>IF(VLOOKUP(BI653,βοηθητικό!$J$2:$N$354,3,FALSE)="","",VLOOKUP(BI653,βοηθητικό!$J$2:$N$354,3,FALSE))</f>
        <v>_</v>
      </c>
      <c r="BK653" s="47"/>
      <c r="BL653" s="42" t="s">
        <v>16</v>
      </c>
      <c r="BM653" s="43" t="str">
        <f>IF(VLOOKUP(BL653,βοηθητικό!$J$2:$N$354,3,FALSE)="","",VLOOKUP(BL653,βοηθητικό!$J$2:$N$354,3,FALSE))</f>
        <v>_</v>
      </c>
      <c r="BN653" s="44"/>
      <c r="BO653" s="45" t="s">
        <v>16</v>
      </c>
      <c r="BP653" s="46" t="str">
        <f>IF(VLOOKUP(BO653,βοηθητικό!$J$2:$N$354,3,FALSE)="","",VLOOKUP(BO653,βοηθητικό!$J$2:$N$354,3,FALSE))</f>
        <v>_</v>
      </c>
      <c r="BQ653" s="47"/>
      <c r="BR653" s="42" t="s">
        <v>16</v>
      </c>
      <c r="BS653" s="43" t="str">
        <f>IF(VLOOKUP(BR653,βοηθητικό!$J$2:$N$354,3,FALSE)="","",VLOOKUP(BR653,βοηθητικό!$J$2:$N$354,3,FALSE))</f>
        <v>_</v>
      </c>
      <c r="BT653" s="44"/>
      <c r="BU653" s="45" t="s">
        <v>16</v>
      </c>
      <c r="BV653" s="46" t="str">
        <f>IF(VLOOKUP(BU653,βοηθητικό!$J$2:$N$354,3,FALSE)="","",VLOOKUP(BU653,βοηθητικό!$J$2:$N$354,3,FALSE))</f>
        <v>_</v>
      </c>
      <c r="BW653" s="47"/>
      <c r="BX653" s="42" t="s">
        <v>16</v>
      </c>
      <c r="BY653" s="43" t="str">
        <f>IF(VLOOKUP(BX653,βοηθητικό!$J$2:$N$354,3,FALSE)="","",VLOOKUP(BX653,βοηθητικό!$J$2:$N$354,3,FALSE))</f>
        <v>_</v>
      </c>
      <c r="BZ653" s="44"/>
      <c r="CA653" s="45" t="s">
        <v>16</v>
      </c>
      <c r="CB653" s="46" t="str">
        <f>IF(VLOOKUP(CA653,βοηθητικό!$J$2:$N$354,3,FALSE)="","",VLOOKUP(CA653,βοηθητικό!$J$2:$N$354,3,FALSE))</f>
        <v>_</v>
      </c>
      <c r="CC653" s="47"/>
      <c r="CD653" s="42" t="s">
        <v>16</v>
      </c>
      <c r="CE653" s="43" t="str">
        <f>IF(VLOOKUP(CD653,βοηθητικό!$J$2:$N$354,3,FALSE)="","",VLOOKUP(CD653,βοηθητικό!$J$2:$N$354,3,FALSE))</f>
        <v>_</v>
      </c>
      <c r="CF653" s="44"/>
      <c r="CG653" s="45" t="s">
        <v>16</v>
      </c>
      <c r="CH653" s="46" t="str">
        <f>IF(VLOOKUP(CG653,βοηθητικό!$J$2:$N$354,3,FALSE)="","",VLOOKUP(CG653,βοηθητικό!$J$2:$N$354,3,FALSE))</f>
        <v>_</v>
      </c>
      <c r="CI653" s="47"/>
      <c r="CJ653" s="42" t="s">
        <v>16</v>
      </c>
      <c r="CK653" s="43" t="str">
        <f>IF(VLOOKUP(CJ653,βοηθητικό!$J$2:$N$354,3,FALSE)="","",VLOOKUP(CJ653,βοηθητικό!$J$2:$N$354,3,FALSE))</f>
        <v>_</v>
      </c>
      <c r="CL653" s="44"/>
      <c r="CM653" s="45" t="s">
        <v>16</v>
      </c>
      <c r="CN653" s="46" t="str">
        <f>IF(VLOOKUP(CM653,βοηθητικό!$J$2:$N$354,3,FALSE)="","",VLOOKUP(CM653,βοηθητικό!$J$2:$N$354,3,FALSE))</f>
        <v>_</v>
      </c>
      <c r="CO653" s="47"/>
      <c r="CP653" s="42" t="s">
        <v>16</v>
      </c>
      <c r="CQ653" s="43" t="str">
        <f>IF(VLOOKUP(CP653,βοηθητικό!$J$2:$N$354,3,FALSE)="","",VLOOKUP(CP653,βοηθητικό!$J$2:$N$354,3,FALSE))</f>
        <v>_</v>
      </c>
      <c r="CR653" s="44"/>
      <c r="CS653" s="45" t="s">
        <v>16</v>
      </c>
      <c r="CT653" s="46" t="str">
        <f>IF(VLOOKUP(CS653,βοηθητικό!$J$2:$N$354,3,FALSE)="","",VLOOKUP(CS653,βοηθητικό!$J$2:$N$354,3,FALSE))</f>
        <v>_</v>
      </c>
      <c r="CU653" s="47"/>
    </row>
    <row r="654" spans="1:99" x14ac:dyDescent="0.25">
      <c r="A654" s="37">
        <f>--SUBTOTAL(3,$B$3:B653)</f>
        <v>198</v>
      </c>
      <c r="B654" s="2"/>
      <c r="C654" s="3"/>
      <c r="D654" s="55" t="s">
        <v>18</v>
      </c>
      <c r="E654" s="38" t="s">
        <v>16</v>
      </c>
      <c r="F654" s="38"/>
      <c r="G654" s="39" t="str">
        <f t="shared" si="32"/>
        <v>__</v>
      </c>
      <c r="H654" s="40" t="str">
        <f t="shared" si="33"/>
        <v>FALSE</v>
      </c>
      <c r="I654" s="41">
        <f t="shared" si="34"/>
        <v>0</v>
      </c>
      <c r="J654" s="4" t="s">
        <v>16</v>
      </c>
      <c r="K654" s="43" t="str">
        <f>IF(VLOOKUP(J654,βοηθητικό!$J$2:$N$354,3,FALSE)="","",VLOOKUP(J654,βοηθητικό!$J$2:$N$354,3,FALSE))</f>
        <v>_</v>
      </c>
      <c r="L654" s="44"/>
      <c r="M654" s="5" t="s">
        <v>16</v>
      </c>
      <c r="N654" s="46" t="str">
        <f>IF(VLOOKUP(M654,βοηθητικό!$J$2:$N$354,3,FALSE)="","",VLOOKUP(M654,βοηθητικό!$J$2:$N$354,3,FALSE))</f>
        <v>_</v>
      </c>
      <c r="O654" s="47"/>
      <c r="P654" s="4" t="s">
        <v>16</v>
      </c>
      <c r="Q654" s="43" t="str">
        <f>IF(VLOOKUP(P654,βοηθητικό!$J$2:$N$354,3,FALSE)="","",VLOOKUP(P654,βοηθητικό!$J$2:$N$354,3,FALSE))</f>
        <v>_</v>
      </c>
      <c r="R654" s="44"/>
      <c r="S654" s="5" t="s">
        <v>16</v>
      </c>
      <c r="T654" s="46" t="str">
        <f>IF(VLOOKUP(S654,βοηθητικό!$J$2:$N$354,3,FALSE)="","",VLOOKUP(S654,βοηθητικό!$J$2:$N$354,3,FALSE))</f>
        <v>_</v>
      </c>
      <c r="U654" s="47"/>
      <c r="V654" s="4" t="s">
        <v>16</v>
      </c>
      <c r="W654" s="43" t="str">
        <f>IF(VLOOKUP(V654,βοηθητικό!$J$2:$N$354,3,FALSE)="","",VLOOKUP(V654,βοηθητικό!$J$2:$N$354,3,FALSE))</f>
        <v>_</v>
      </c>
      <c r="X654" s="44"/>
      <c r="Y654" s="5" t="s">
        <v>16</v>
      </c>
      <c r="Z654" s="46" t="str">
        <f>IF(VLOOKUP(Y654,βοηθητικό!$J$2:$N$354,3,FALSE)="","",VLOOKUP(Y654,βοηθητικό!$J$2:$N$354,3,FALSE))</f>
        <v>_</v>
      </c>
      <c r="AA654" s="47"/>
      <c r="AB654" s="4" t="s">
        <v>16</v>
      </c>
      <c r="AC654" s="43" t="str">
        <f>IF(VLOOKUP(AB654,βοηθητικό!$J$2:$N$354,3,FALSE)="","",VLOOKUP(AB654,βοηθητικό!$J$2:$N$354,3,FALSE))</f>
        <v>_</v>
      </c>
      <c r="AD654" s="44"/>
      <c r="AE654" s="5" t="s">
        <v>16</v>
      </c>
      <c r="AF654" s="46" t="str">
        <f>IF(VLOOKUP(AE654,βοηθητικό!$J$2:$N$354,3,FALSE)="","",VLOOKUP(AE654,βοηθητικό!$J$2:$N$354,3,FALSE))</f>
        <v>_</v>
      </c>
      <c r="AG654" s="47"/>
      <c r="AH654" s="4" t="s">
        <v>16</v>
      </c>
      <c r="AI654" s="43" t="str">
        <f>IF(VLOOKUP(AH654,βοηθητικό!$J$2:$N$354,3,FALSE)="","",VLOOKUP(AH654,βοηθητικό!$J$2:$N$354,3,FALSE))</f>
        <v>_</v>
      </c>
      <c r="AJ654" s="44"/>
      <c r="AK654" s="5" t="s">
        <v>16</v>
      </c>
      <c r="AL654" s="46" t="str">
        <f>IF(VLOOKUP(AK654,βοηθητικό!$J$2:$N$354,3,FALSE)="","",VLOOKUP(AK654,βοηθητικό!$J$2:$N$354,3,FALSE))</f>
        <v>_</v>
      </c>
      <c r="AM654" s="47"/>
      <c r="AN654" s="4" t="s">
        <v>16</v>
      </c>
      <c r="AO654" s="43" t="str">
        <f>IF(VLOOKUP(AN654,βοηθητικό!$J$2:$N$354,3,FALSE)="","",VLOOKUP(AN654,βοηθητικό!$J$2:$N$354,3,FALSE))</f>
        <v>_</v>
      </c>
      <c r="AP654" s="44"/>
      <c r="AQ654" s="5" t="s">
        <v>16</v>
      </c>
      <c r="AR654" s="46" t="str">
        <f>IF(VLOOKUP(AQ654,βοηθητικό!$J$2:$N$354,3,FALSE)="","",VLOOKUP(AQ654,βοηθητικό!$J$2:$N$354,3,FALSE))</f>
        <v>_</v>
      </c>
      <c r="AS654" s="47"/>
      <c r="AT654" s="4" t="s">
        <v>16</v>
      </c>
      <c r="AU654" s="43" t="str">
        <f>IF(VLOOKUP(AT654,βοηθητικό!$J$2:$N$354,3,FALSE)="","",VLOOKUP(AT654,βοηθητικό!$J$2:$N$354,3,FALSE))</f>
        <v>_</v>
      </c>
      <c r="AV654" s="44"/>
      <c r="AW654" s="5" t="s">
        <v>16</v>
      </c>
      <c r="AX654" s="46" t="str">
        <f>IF(VLOOKUP(AW654,βοηθητικό!$J$2:$N$354,3,FALSE)="","",VLOOKUP(AW654,βοηθητικό!$J$2:$N$354,3,FALSE))</f>
        <v>_</v>
      </c>
      <c r="AY654" s="47"/>
      <c r="AZ654" s="4" t="s">
        <v>16</v>
      </c>
      <c r="BA654" s="43" t="str">
        <f>IF(VLOOKUP(AZ654,βοηθητικό!$J$2:$N$354,3,FALSE)="","",VLOOKUP(AZ654,βοηθητικό!$J$2:$N$354,3,FALSE))</f>
        <v>_</v>
      </c>
      <c r="BB654" s="44"/>
      <c r="BC654" s="45" t="s">
        <v>16</v>
      </c>
      <c r="BD654" s="46" t="str">
        <f>IF(VLOOKUP(BC654,βοηθητικό!$J$2:$N$354,3,FALSE)="","",VLOOKUP(BC654,βοηθητικό!$J$2:$N$354,3,FALSE))</f>
        <v>_</v>
      </c>
      <c r="BE654" s="47"/>
      <c r="BF654" s="42" t="s">
        <v>16</v>
      </c>
      <c r="BG654" s="43" t="str">
        <f>IF(VLOOKUP(BF654,βοηθητικό!$J$2:$N$354,3,FALSE)="","",VLOOKUP(BF654,βοηθητικό!$J$2:$N$354,3,FALSE))</f>
        <v>_</v>
      </c>
      <c r="BH654" s="44"/>
      <c r="BI654" s="45" t="s">
        <v>16</v>
      </c>
      <c r="BJ654" s="46" t="str">
        <f>IF(VLOOKUP(BI654,βοηθητικό!$J$2:$N$354,3,FALSE)="","",VLOOKUP(BI654,βοηθητικό!$J$2:$N$354,3,FALSE))</f>
        <v>_</v>
      </c>
      <c r="BK654" s="47"/>
      <c r="BL654" s="42" t="s">
        <v>16</v>
      </c>
      <c r="BM654" s="43" t="str">
        <f>IF(VLOOKUP(BL654,βοηθητικό!$J$2:$N$354,3,FALSE)="","",VLOOKUP(BL654,βοηθητικό!$J$2:$N$354,3,FALSE))</f>
        <v>_</v>
      </c>
      <c r="BN654" s="44"/>
      <c r="BO654" s="45" t="s">
        <v>16</v>
      </c>
      <c r="BP654" s="46" t="str">
        <f>IF(VLOOKUP(BO654,βοηθητικό!$J$2:$N$354,3,FALSE)="","",VLOOKUP(BO654,βοηθητικό!$J$2:$N$354,3,FALSE))</f>
        <v>_</v>
      </c>
      <c r="BQ654" s="47"/>
      <c r="BR654" s="42" t="s">
        <v>16</v>
      </c>
      <c r="BS654" s="43" t="str">
        <f>IF(VLOOKUP(BR654,βοηθητικό!$J$2:$N$354,3,FALSE)="","",VLOOKUP(BR654,βοηθητικό!$J$2:$N$354,3,FALSE))</f>
        <v>_</v>
      </c>
      <c r="BT654" s="44"/>
      <c r="BU654" s="45" t="s">
        <v>16</v>
      </c>
      <c r="BV654" s="46" t="str">
        <f>IF(VLOOKUP(BU654,βοηθητικό!$J$2:$N$354,3,FALSE)="","",VLOOKUP(BU654,βοηθητικό!$J$2:$N$354,3,FALSE))</f>
        <v>_</v>
      </c>
      <c r="BW654" s="47"/>
      <c r="BX654" s="42" t="s">
        <v>16</v>
      </c>
      <c r="BY654" s="43" t="str">
        <f>IF(VLOOKUP(BX654,βοηθητικό!$J$2:$N$354,3,FALSE)="","",VLOOKUP(BX654,βοηθητικό!$J$2:$N$354,3,FALSE))</f>
        <v>_</v>
      </c>
      <c r="BZ654" s="44"/>
      <c r="CA654" s="45" t="s">
        <v>16</v>
      </c>
      <c r="CB654" s="46" t="str">
        <f>IF(VLOOKUP(CA654,βοηθητικό!$J$2:$N$354,3,FALSE)="","",VLOOKUP(CA654,βοηθητικό!$J$2:$N$354,3,FALSE))</f>
        <v>_</v>
      </c>
      <c r="CC654" s="47"/>
      <c r="CD654" s="42" t="s">
        <v>16</v>
      </c>
      <c r="CE654" s="43" t="str">
        <f>IF(VLOOKUP(CD654,βοηθητικό!$J$2:$N$354,3,FALSE)="","",VLOOKUP(CD654,βοηθητικό!$J$2:$N$354,3,FALSE))</f>
        <v>_</v>
      </c>
      <c r="CF654" s="44"/>
      <c r="CG654" s="45" t="s">
        <v>16</v>
      </c>
      <c r="CH654" s="46" t="str">
        <f>IF(VLOOKUP(CG654,βοηθητικό!$J$2:$N$354,3,FALSE)="","",VLOOKUP(CG654,βοηθητικό!$J$2:$N$354,3,FALSE))</f>
        <v>_</v>
      </c>
      <c r="CI654" s="47"/>
      <c r="CJ654" s="42" t="s">
        <v>16</v>
      </c>
      <c r="CK654" s="43" t="str">
        <f>IF(VLOOKUP(CJ654,βοηθητικό!$J$2:$N$354,3,FALSE)="","",VLOOKUP(CJ654,βοηθητικό!$J$2:$N$354,3,FALSE))</f>
        <v>_</v>
      </c>
      <c r="CL654" s="44"/>
      <c r="CM654" s="45" t="s">
        <v>16</v>
      </c>
      <c r="CN654" s="46" t="str">
        <f>IF(VLOOKUP(CM654,βοηθητικό!$J$2:$N$354,3,FALSE)="","",VLOOKUP(CM654,βοηθητικό!$J$2:$N$354,3,FALSE))</f>
        <v>_</v>
      </c>
      <c r="CO654" s="47"/>
      <c r="CP654" s="42" t="s">
        <v>16</v>
      </c>
      <c r="CQ654" s="43" t="str">
        <f>IF(VLOOKUP(CP654,βοηθητικό!$J$2:$N$354,3,FALSE)="","",VLOOKUP(CP654,βοηθητικό!$J$2:$N$354,3,FALSE))</f>
        <v>_</v>
      </c>
      <c r="CR654" s="44"/>
      <c r="CS654" s="45" t="s">
        <v>16</v>
      </c>
      <c r="CT654" s="46" t="str">
        <f>IF(VLOOKUP(CS654,βοηθητικό!$J$2:$N$354,3,FALSE)="","",VLOOKUP(CS654,βοηθητικό!$J$2:$N$354,3,FALSE))</f>
        <v>_</v>
      </c>
      <c r="CU654" s="47"/>
    </row>
    <row r="655" spans="1:99" x14ac:dyDescent="0.25">
      <c r="A655" s="37">
        <f>--SUBTOTAL(3,$B$3:B654)</f>
        <v>198</v>
      </c>
      <c r="B655" s="2"/>
      <c r="C655" s="3"/>
      <c r="D655" s="55" t="s">
        <v>18</v>
      </c>
      <c r="E655" s="38" t="s">
        <v>16</v>
      </c>
      <c r="F655" s="38"/>
      <c r="G655" s="39" t="str">
        <f t="shared" si="32"/>
        <v>__</v>
      </c>
      <c r="H655" s="40" t="str">
        <f t="shared" si="33"/>
        <v>FALSE</v>
      </c>
      <c r="I655" s="41">
        <f t="shared" si="34"/>
        <v>0</v>
      </c>
      <c r="J655" s="4" t="s">
        <v>16</v>
      </c>
      <c r="K655" s="43" t="str">
        <f>IF(VLOOKUP(J655,βοηθητικό!$J$2:$N$354,3,FALSE)="","",VLOOKUP(J655,βοηθητικό!$J$2:$N$354,3,FALSE))</f>
        <v>_</v>
      </c>
      <c r="L655" s="44"/>
      <c r="M655" s="5" t="s">
        <v>16</v>
      </c>
      <c r="N655" s="46" t="str">
        <f>IF(VLOOKUP(M655,βοηθητικό!$J$2:$N$354,3,FALSE)="","",VLOOKUP(M655,βοηθητικό!$J$2:$N$354,3,FALSE))</f>
        <v>_</v>
      </c>
      <c r="O655" s="47"/>
      <c r="P655" s="4" t="s">
        <v>16</v>
      </c>
      <c r="Q655" s="43" t="str">
        <f>IF(VLOOKUP(P655,βοηθητικό!$J$2:$N$354,3,FALSE)="","",VLOOKUP(P655,βοηθητικό!$J$2:$N$354,3,FALSE))</f>
        <v>_</v>
      </c>
      <c r="R655" s="44"/>
      <c r="S655" s="5" t="s">
        <v>16</v>
      </c>
      <c r="T655" s="46" t="str">
        <f>IF(VLOOKUP(S655,βοηθητικό!$J$2:$N$354,3,FALSE)="","",VLOOKUP(S655,βοηθητικό!$J$2:$N$354,3,FALSE))</f>
        <v>_</v>
      </c>
      <c r="U655" s="47"/>
      <c r="V655" s="4" t="s">
        <v>16</v>
      </c>
      <c r="W655" s="43" t="str">
        <f>IF(VLOOKUP(V655,βοηθητικό!$J$2:$N$354,3,FALSE)="","",VLOOKUP(V655,βοηθητικό!$J$2:$N$354,3,FALSE))</f>
        <v>_</v>
      </c>
      <c r="X655" s="44"/>
      <c r="Y655" s="5" t="s">
        <v>16</v>
      </c>
      <c r="Z655" s="46" t="str">
        <f>IF(VLOOKUP(Y655,βοηθητικό!$J$2:$N$354,3,FALSE)="","",VLOOKUP(Y655,βοηθητικό!$J$2:$N$354,3,FALSE))</f>
        <v>_</v>
      </c>
      <c r="AA655" s="47"/>
      <c r="AB655" s="4" t="s">
        <v>16</v>
      </c>
      <c r="AC655" s="43" t="str">
        <f>IF(VLOOKUP(AB655,βοηθητικό!$J$2:$N$354,3,FALSE)="","",VLOOKUP(AB655,βοηθητικό!$J$2:$N$354,3,FALSE))</f>
        <v>_</v>
      </c>
      <c r="AD655" s="44"/>
      <c r="AE655" s="5" t="s">
        <v>16</v>
      </c>
      <c r="AF655" s="46" t="str">
        <f>IF(VLOOKUP(AE655,βοηθητικό!$J$2:$N$354,3,FALSE)="","",VLOOKUP(AE655,βοηθητικό!$J$2:$N$354,3,FALSE))</f>
        <v>_</v>
      </c>
      <c r="AG655" s="47"/>
      <c r="AH655" s="4" t="s">
        <v>16</v>
      </c>
      <c r="AI655" s="43" t="str">
        <f>IF(VLOOKUP(AH655,βοηθητικό!$J$2:$N$354,3,FALSE)="","",VLOOKUP(AH655,βοηθητικό!$J$2:$N$354,3,FALSE))</f>
        <v>_</v>
      </c>
      <c r="AJ655" s="44"/>
      <c r="AK655" s="5" t="s">
        <v>16</v>
      </c>
      <c r="AL655" s="46" t="str">
        <f>IF(VLOOKUP(AK655,βοηθητικό!$J$2:$N$354,3,FALSE)="","",VLOOKUP(AK655,βοηθητικό!$J$2:$N$354,3,FALSE))</f>
        <v>_</v>
      </c>
      <c r="AM655" s="47"/>
      <c r="AN655" s="4" t="s">
        <v>16</v>
      </c>
      <c r="AO655" s="43" t="str">
        <f>IF(VLOOKUP(AN655,βοηθητικό!$J$2:$N$354,3,FALSE)="","",VLOOKUP(AN655,βοηθητικό!$J$2:$N$354,3,FALSE))</f>
        <v>_</v>
      </c>
      <c r="AP655" s="44"/>
      <c r="AQ655" s="5" t="s">
        <v>16</v>
      </c>
      <c r="AR655" s="46" t="str">
        <f>IF(VLOOKUP(AQ655,βοηθητικό!$J$2:$N$354,3,FALSE)="","",VLOOKUP(AQ655,βοηθητικό!$J$2:$N$354,3,FALSE))</f>
        <v>_</v>
      </c>
      <c r="AS655" s="47"/>
      <c r="AT655" s="4" t="s">
        <v>16</v>
      </c>
      <c r="AU655" s="43" t="str">
        <f>IF(VLOOKUP(AT655,βοηθητικό!$J$2:$N$354,3,FALSE)="","",VLOOKUP(AT655,βοηθητικό!$J$2:$N$354,3,FALSE))</f>
        <v>_</v>
      </c>
      <c r="AV655" s="44"/>
      <c r="AW655" s="5" t="s">
        <v>16</v>
      </c>
      <c r="AX655" s="46" t="str">
        <f>IF(VLOOKUP(AW655,βοηθητικό!$J$2:$N$354,3,FALSE)="","",VLOOKUP(AW655,βοηθητικό!$J$2:$N$354,3,FALSE))</f>
        <v>_</v>
      </c>
      <c r="AY655" s="47"/>
      <c r="AZ655" s="4" t="s">
        <v>16</v>
      </c>
      <c r="BA655" s="43" t="str">
        <f>IF(VLOOKUP(AZ655,βοηθητικό!$J$2:$N$354,3,FALSE)="","",VLOOKUP(AZ655,βοηθητικό!$J$2:$N$354,3,FALSE))</f>
        <v>_</v>
      </c>
      <c r="BB655" s="44"/>
      <c r="BC655" s="45" t="s">
        <v>16</v>
      </c>
      <c r="BD655" s="46" t="str">
        <f>IF(VLOOKUP(BC655,βοηθητικό!$J$2:$N$354,3,FALSE)="","",VLOOKUP(BC655,βοηθητικό!$J$2:$N$354,3,FALSE))</f>
        <v>_</v>
      </c>
      <c r="BE655" s="47"/>
      <c r="BF655" s="42" t="s">
        <v>16</v>
      </c>
      <c r="BG655" s="43" t="str">
        <f>IF(VLOOKUP(BF655,βοηθητικό!$J$2:$N$354,3,FALSE)="","",VLOOKUP(BF655,βοηθητικό!$J$2:$N$354,3,FALSE))</f>
        <v>_</v>
      </c>
      <c r="BH655" s="44"/>
      <c r="BI655" s="45" t="s">
        <v>16</v>
      </c>
      <c r="BJ655" s="46" t="str">
        <f>IF(VLOOKUP(BI655,βοηθητικό!$J$2:$N$354,3,FALSE)="","",VLOOKUP(BI655,βοηθητικό!$J$2:$N$354,3,FALSE))</f>
        <v>_</v>
      </c>
      <c r="BK655" s="47"/>
      <c r="BL655" s="42" t="s">
        <v>16</v>
      </c>
      <c r="BM655" s="43" t="str">
        <f>IF(VLOOKUP(BL655,βοηθητικό!$J$2:$N$354,3,FALSE)="","",VLOOKUP(BL655,βοηθητικό!$J$2:$N$354,3,FALSE))</f>
        <v>_</v>
      </c>
      <c r="BN655" s="44"/>
      <c r="BO655" s="45" t="s">
        <v>16</v>
      </c>
      <c r="BP655" s="46" t="str">
        <f>IF(VLOOKUP(BO655,βοηθητικό!$J$2:$N$354,3,FALSE)="","",VLOOKUP(BO655,βοηθητικό!$J$2:$N$354,3,FALSE))</f>
        <v>_</v>
      </c>
      <c r="BQ655" s="47"/>
      <c r="BR655" s="42" t="s">
        <v>16</v>
      </c>
      <c r="BS655" s="43" t="str">
        <f>IF(VLOOKUP(BR655,βοηθητικό!$J$2:$N$354,3,FALSE)="","",VLOOKUP(BR655,βοηθητικό!$J$2:$N$354,3,FALSE))</f>
        <v>_</v>
      </c>
      <c r="BT655" s="44"/>
      <c r="BU655" s="45" t="s">
        <v>16</v>
      </c>
      <c r="BV655" s="46" t="str">
        <f>IF(VLOOKUP(BU655,βοηθητικό!$J$2:$N$354,3,FALSE)="","",VLOOKUP(BU655,βοηθητικό!$J$2:$N$354,3,FALSE))</f>
        <v>_</v>
      </c>
      <c r="BW655" s="47"/>
      <c r="BX655" s="42" t="s">
        <v>16</v>
      </c>
      <c r="BY655" s="43" t="str">
        <f>IF(VLOOKUP(BX655,βοηθητικό!$J$2:$N$354,3,FALSE)="","",VLOOKUP(BX655,βοηθητικό!$J$2:$N$354,3,FALSE))</f>
        <v>_</v>
      </c>
      <c r="BZ655" s="44"/>
      <c r="CA655" s="45" t="s">
        <v>16</v>
      </c>
      <c r="CB655" s="46" t="str">
        <f>IF(VLOOKUP(CA655,βοηθητικό!$J$2:$N$354,3,FALSE)="","",VLOOKUP(CA655,βοηθητικό!$J$2:$N$354,3,FALSE))</f>
        <v>_</v>
      </c>
      <c r="CC655" s="47"/>
      <c r="CD655" s="42" t="s">
        <v>16</v>
      </c>
      <c r="CE655" s="43" t="str">
        <f>IF(VLOOKUP(CD655,βοηθητικό!$J$2:$N$354,3,FALSE)="","",VLOOKUP(CD655,βοηθητικό!$J$2:$N$354,3,FALSE))</f>
        <v>_</v>
      </c>
      <c r="CF655" s="44"/>
      <c r="CG655" s="45" t="s">
        <v>16</v>
      </c>
      <c r="CH655" s="46" t="str">
        <f>IF(VLOOKUP(CG655,βοηθητικό!$J$2:$N$354,3,FALSE)="","",VLOOKUP(CG655,βοηθητικό!$J$2:$N$354,3,FALSE))</f>
        <v>_</v>
      </c>
      <c r="CI655" s="47"/>
      <c r="CJ655" s="42" t="s">
        <v>16</v>
      </c>
      <c r="CK655" s="43" t="str">
        <f>IF(VLOOKUP(CJ655,βοηθητικό!$J$2:$N$354,3,FALSE)="","",VLOOKUP(CJ655,βοηθητικό!$J$2:$N$354,3,FALSE))</f>
        <v>_</v>
      </c>
      <c r="CL655" s="44"/>
      <c r="CM655" s="45" t="s">
        <v>16</v>
      </c>
      <c r="CN655" s="46" t="str">
        <f>IF(VLOOKUP(CM655,βοηθητικό!$J$2:$N$354,3,FALSE)="","",VLOOKUP(CM655,βοηθητικό!$J$2:$N$354,3,FALSE))</f>
        <v>_</v>
      </c>
      <c r="CO655" s="47"/>
      <c r="CP655" s="42" t="s">
        <v>16</v>
      </c>
      <c r="CQ655" s="43" t="str">
        <f>IF(VLOOKUP(CP655,βοηθητικό!$J$2:$N$354,3,FALSE)="","",VLOOKUP(CP655,βοηθητικό!$J$2:$N$354,3,FALSE))</f>
        <v>_</v>
      </c>
      <c r="CR655" s="44"/>
      <c r="CS655" s="45" t="s">
        <v>16</v>
      </c>
      <c r="CT655" s="46" t="str">
        <f>IF(VLOOKUP(CS655,βοηθητικό!$J$2:$N$354,3,FALSE)="","",VLOOKUP(CS655,βοηθητικό!$J$2:$N$354,3,FALSE))</f>
        <v>_</v>
      </c>
      <c r="CU655" s="47"/>
    </row>
    <row r="656" spans="1:99" x14ac:dyDescent="0.25">
      <c r="A656" s="37">
        <f>--SUBTOTAL(3,$B$3:B655)</f>
        <v>198</v>
      </c>
      <c r="B656" s="2"/>
      <c r="C656" s="3"/>
      <c r="D656" s="55" t="s">
        <v>18</v>
      </c>
      <c r="E656" s="38" t="s">
        <v>16</v>
      </c>
      <c r="F656" s="38"/>
      <c r="G656" s="39" t="str">
        <f t="shared" si="32"/>
        <v>__</v>
      </c>
      <c r="H656" s="40" t="str">
        <f t="shared" si="33"/>
        <v>FALSE</v>
      </c>
      <c r="I656" s="41">
        <f t="shared" si="34"/>
        <v>0</v>
      </c>
      <c r="J656" s="4" t="s">
        <v>16</v>
      </c>
      <c r="K656" s="43" t="str">
        <f>IF(VLOOKUP(J656,βοηθητικό!$J$2:$N$354,3,FALSE)="","",VLOOKUP(J656,βοηθητικό!$J$2:$N$354,3,FALSE))</f>
        <v>_</v>
      </c>
      <c r="L656" s="44"/>
      <c r="M656" s="5" t="s">
        <v>16</v>
      </c>
      <c r="N656" s="46" t="str">
        <f>IF(VLOOKUP(M656,βοηθητικό!$J$2:$N$354,3,FALSE)="","",VLOOKUP(M656,βοηθητικό!$J$2:$N$354,3,FALSE))</f>
        <v>_</v>
      </c>
      <c r="O656" s="47"/>
      <c r="P656" s="4" t="s">
        <v>16</v>
      </c>
      <c r="Q656" s="43" t="str">
        <f>IF(VLOOKUP(P656,βοηθητικό!$J$2:$N$354,3,FALSE)="","",VLOOKUP(P656,βοηθητικό!$J$2:$N$354,3,FALSE))</f>
        <v>_</v>
      </c>
      <c r="R656" s="44"/>
      <c r="S656" s="5" t="s">
        <v>16</v>
      </c>
      <c r="T656" s="46" t="str">
        <f>IF(VLOOKUP(S656,βοηθητικό!$J$2:$N$354,3,FALSE)="","",VLOOKUP(S656,βοηθητικό!$J$2:$N$354,3,FALSE))</f>
        <v>_</v>
      </c>
      <c r="U656" s="47"/>
      <c r="V656" s="4" t="s">
        <v>16</v>
      </c>
      <c r="W656" s="43" t="str">
        <f>IF(VLOOKUP(V656,βοηθητικό!$J$2:$N$354,3,FALSE)="","",VLOOKUP(V656,βοηθητικό!$J$2:$N$354,3,FALSE))</f>
        <v>_</v>
      </c>
      <c r="X656" s="44"/>
      <c r="Y656" s="5" t="s">
        <v>16</v>
      </c>
      <c r="Z656" s="46" t="str">
        <f>IF(VLOOKUP(Y656,βοηθητικό!$J$2:$N$354,3,FALSE)="","",VLOOKUP(Y656,βοηθητικό!$J$2:$N$354,3,FALSE))</f>
        <v>_</v>
      </c>
      <c r="AA656" s="47"/>
      <c r="AB656" s="4" t="s">
        <v>16</v>
      </c>
      <c r="AC656" s="43" t="str">
        <f>IF(VLOOKUP(AB656,βοηθητικό!$J$2:$N$354,3,FALSE)="","",VLOOKUP(AB656,βοηθητικό!$J$2:$N$354,3,FALSE))</f>
        <v>_</v>
      </c>
      <c r="AD656" s="44"/>
      <c r="AE656" s="5" t="s">
        <v>16</v>
      </c>
      <c r="AF656" s="46" t="str">
        <f>IF(VLOOKUP(AE656,βοηθητικό!$J$2:$N$354,3,FALSE)="","",VLOOKUP(AE656,βοηθητικό!$J$2:$N$354,3,FALSE))</f>
        <v>_</v>
      </c>
      <c r="AG656" s="47"/>
      <c r="AH656" s="4" t="s">
        <v>16</v>
      </c>
      <c r="AI656" s="43" t="str">
        <f>IF(VLOOKUP(AH656,βοηθητικό!$J$2:$N$354,3,FALSE)="","",VLOOKUP(AH656,βοηθητικό!$J$2:$N$354,3,FALSE))</f>
        <v>_</v>
      </c>
      <c r="AJ656" s="44"/>
      <c r="AK656" s="5" t="s">
        <v>16</v>
      </c>
      <c r="AL656" s="46" t="str">
        <f>IF(VLOOKUP(AK656,βοηθητικό!$J$2:$N$354,3,FALSE)="","",VLOOKUP(AK656,βοηθητικό!$J$2:$N$354,3,FALSE))</f>
        <v>_</v>
      </c>
      <c r="AM656" s="47"/>
      <c r="AN656" s="4" t="s">
        <v>16</v>
      </c>
      <c r="AO656" s="43" t="str">
        <f>IF(VLOOKUP(AN656,βοηθητικό!$J$2:$N$354,3,FALSE)="","",VLOOKUP(AN656,βοηθητικό!$J$2:$N$354,3,FALSE))</f>
        <v>_</v>
      </c>
      <c r="AP656" s="44"/>
      <c r="AQ656" s="5" t="s">
        <v>16</v>
      </c>
      <c r="AR656" s="46" t="str">
        <f>IF(VLOOKUP(AQ656,βοηθητικό!$J$2:$N$354,3,FALSE)="","",VLOOKUP(AQ656,βοηθητικό!$J$2:$N$354,3,FALSE))</f>
        <v>_</v>
      </c>
      <c r="AS656" s="47"/>
      <c r="AT656" s="4" t="s">
        <v>16</v>
      </c>
      <c r="AU656" s="43" t="str">
        <f>IF(VLOOKUP(AT656,βοηθητικό!$J$2:$N$354,3,FALSE)="","",VLOOKUP(AT656,βοηθητικό!$J$2:$N$354,3,FALSE))</f>
        <v>_</v>
      </c>
      <c r="AV656" s="44"/>
      <c r="AW656" s="5" t="s">
        <v>16</v>
      </c>
      <c r="AX656" s="46" t="str">
        <f>IF(VLOOKUP(AW656,βοηθητικό!$J$2:$N$354,3,FALSE)="","",VLOOKUP(AW656,βοηθητικό!$J$2:$N$354,3,FALSE))</f>
        <v>_</v>
      </c>
      <c r="AY656" s="47"/>
      <c r="AZ656" s="4" t="s">
        <v>16</v>
      </c>
      <c r="BA656" s="43" t="str">
        <f>IF(VLOOKUP(AZ656,βοηθητικό!$J$2:$N$354,3,FALSE)="","",VLOOKUP(AZ656,βοηθητικό!$J$2:$N$354,3,FALSE))</f>
        <v>_</v>
      </c>
      <c r="BB656" s="44"/>
      <c r="BC656" s="45" t="s">
        <v>16</v>
      </c>
      <c r="BD656" s="46" t="str">
        <f>IF(VLOOKUP(BC656,βοηθητικό!$J$2:$N$354,3,FALSE)="","",VLOOKUP(BC656,βοηθητικό!$J$2:$N$354,3,FALSE))</f>
        <v>_</v>
      </c>
      <c r="BE656" s="47"/>
      <c r="BF656" s="42" t="s">
        <v>16</v>
      </c>
      <c r="BG656" s="43" t="str">
        <f>IF(VLOOKUP(BF656,βοηθητικό!$J$2:$N$354,3,FALSE)="","",VLOOKUP(BF656,βοηθητικό!$J$2:$N$354,3,FALSE))</f>
        <v>_</v>
      </c>
      <c r="BH656" s="44"/>
      <c r="BI656" s="45" t="s">
        <v>16</v>
      </c>
      <c r="BJ656" s="46" t="str">
        <f>IF(VLOOKUP(BI656,βοηθητικό!$J$2:$N$354,3,FALSE)="","",VLOOKUP(BI656,βοηθητικό!$J$2:$N$354,3,FALSE))</f>
        <v>_</v>
      </c>
      <c r="BK656" s="47"/>
      <c r="BL656" s="42" t="s">
        <v>16</v>
      </c>
      <c r="BM656" s="43" t="str">
        <f>IF(VLOOKUP(BL656,βοηθητικό!$J$2:$N$354,3,FALSE)="","",VLOOKUP(BL656,βοηθητικό!$J$2:$N$354,3,FALSE))</f>
        <v>_</v>
      </c>
      <c r="BN656" s="44"/>
      <c r="BO656" s="45" t="s">
        <v>16</v>
      </c>
      <c r="BP656" s="46" t="str">
        <f>IF(VLOOKUP(BO656,βοηθητικό!$J$2:$N$354,3,FALSE)="","",VLOOKUP(BO656,βοηθητικό!$J$2:$N$354,3,FALSE))</f>
        <v>_</v>
      </c>
      <c r="BQ656" s="47"/>
      <c r="BR656" s="42" t="s">
        <v>16</v>
      </c>
      <c r="BS656" s="43" t="str">
        <f>IF(VLOOKUP(BR656,βοηθητικό!$J$2:$N$354,3,FALSE)="","",VLOOKUP(BR656,βοηθητικό!$J$2:$N$354,3,FALSE))</f>
        <v>_</v>
      </c>
      <c r="BT656" s="44"/>
      <c r="BU656" s="45" t="s">
        <v>16</v>
      </c>
      <c r="BV656" s="46" t="str">
        <f>IF(VLOOKUP(BU656,βοηθητικό!$J$2:$N$354,3,FALSE)="","",VLOOKUP(BU656,βοηθητικό!$J$2:$N$354,3,FALSE))</f>
        <v>_</v>
      </c>
      <c r="BW656" s="47"/>
      <c r="BX656" s="42" t="s">
        <v>16</v>
      </c>
      <c r="BY656" s="43" t="str">
        <f>IF(VLOOKUP(BX656,βοηθητικό!$J$2:$N$354,3,FALSE)="","",VLOOKUP(BX656,βοηθητικό!$J$2:$N$354,3,FALSE))</f>
        <v>_</v>
      </c>
      <c r="BZ656" s="44"/>
      <c r="CA656" s="45" t="s">
        <v>16</v>
      </c>
      <c r="CB656" s="46" t="str">
        <f>IF(VLOOKUP(CA656,βοηθητικό!$J$2:$N$354,3,FALSE)="","",VLOOKUP(CA656,βοηθητικό!$J$2:$N$354,3,FALSE))</f>
        <v>_</v>
      </c>
      <c r="CC656" s="47"/>
      <c r="CD656" s="42" t="s">
        <v>16</v>
      </c>
      <c r="CE656" s="43" t="str">
        <f>IF(VLOOKUP(CD656,βοηθητικό!$J$2:$N$354,3,FALSE)="","",VLOOKUP(CD656,βοηθητικό!$J$2:$N$354,3,FALSE))</f>
        <v>_</v>
      </c>
      <c r="CF656" s="44"/>
      <c r="CG656" s="45" t="s">
        <v>16</v>
      </c>
      <c r="CH656" s="46" t="str">
        <f>IF(VLOOKUP(CG656,βοηθητικό!$J$2:$N$354,3,FALSE)="","",VLOOKUP(CG656,βοηθητικό!$J$2:$N$354,3,FALSE))</f>
        <v>_</v>
      </c>
      <c r="CI656" s="47"/>
      <c r="CJ656" s="42" t="s">
        <v>16</v>
      </c>
      <c r="CK656" s="43" t="str">
        <f>IF(VLOOKUP(CJ656,βοηθητικό!$J$2:$N$354,3,FALSE)="","",VLOOKUP(CJ656,βοηθητικό!$J$2:$N$354,3,FALSE))</f>
        <v>_</v>
      </c>
      <c r="CL656" s="44"/>
      <c r="CM656" s="45" t="s">
        <v>16</v>
      </c>
      <c r="CN656" s="46" t="str">
        <f>IF(VLOOKUP(CM656,βοηθητικό!$J$2:$N$354,3,FALSE)="","",VLOOKUP(CM656,βοηθητικό!$J$2:$N$354,3,FALSE))</f>
        <v>_</v>
      </c>
      <c r="CO656" s="47"/>
      <c r="CP656" s="42" t="s">
        <v>16</v>
      </c>
      <c r="CQ656" s="43" t="str">
        <f>IF(VLOOKUP(CP656,βοηθητικό!$J$2:$N$354,3,FALSE)="","",VLOOKUP(CP656,βοηθητικό!$J$2:$N$354,3,FALSE))</f>
        <v>_</v>
      </c>
      <c r="CR656" s="44"/>
      <c r="CS656" s="45" t="s">
        <v>16</v>
      </c>
      <c r="CT656" s="46" t="str">
        <f>IF(VLOOKUP(CS656,βοηθητικό!$J$2:$N$354,3,FALSE)="","",VLOOKUP(CS656,βοηθητικό!$J$2:$N$354,3,FALSE))</f>
        <v>_</v>
      </c>
      <c r="CU656" s="47"/>
    </row>
    <row r="657" spans="1:99" x14ac:dyDescent="0.25">
      <c r="A657" s="37">
        <f>--SUBTOTAL(3,$B$3:B656)</f>
        <v>198</v>
      </c>
      <c r="B657" s="2"/>
      <c r="C657" s="3"/>
      <c r="D657" s="55" t="s">
        <v>18</v>
      </c>
      <c r="E657" s="38" t="s">
        <v>16</v>
      </c>
      <c r="F657" s="38"/>
      <c r="G657" s="39" t="str">
        <f t="shared" si="32"/>
        <v>__</v>
      </c>
      <c r="H657" s="40" t="str">
        <f t="shared" si="33"/>
        <v>FALSE</v>
      </c>
      <c r="I657" s="41">
        <f t="shared" si="34"/>
        <v>0</v>
      </c>
      <c r="J657" s="4" t="s">
        <v>16</v>
      </c>
      <c r="K657" s="43" t="str">
        <f>IF(VLOOKUP(J657,βοηθητικό!$J$2:$N$354,3,FALSE)="","",VLOOKUP(J657,βοηθητικό!$J$2:$N$354,3,FALSE))</f>
        <v>_</v>
      </c>
      <c r="L657" s="44"/>
      <c r="M657" s="5" t="s">
        <v>16</v>
      </c>
      <c r="N657" s="46" t="str">
        <f>IF(VLOOKUP(M657,βοηθητικό!$J$2:$N$354,3,FALSE)="","",VLOOKUP(M657,βοηθητικό!$J$2:$N$354,3,FALSE))</f>
        <v>_</v>
      </c>
      <c r="O657" s="47"/>
      <c r="P657" s="4" t="s">
        <v>16</v>
      </c>
      <c r="Q657" s="43" t="str">
        <f>IF(VLOOKUP(P657,βοηθητικό!$J$2:$N$354,3,FALSE)="","",VLOOKUP(P657,βοηθητικό!$J$2:$N$354,3,FALSE))</f>
        <v>_</v>
      </c>
      <c r="R657" s="44"/>
      <c r="S657" s="5" t="s">
        <v>16</v>
      </c>
      <c r="T657" s="46" t="str">
        <f>IF(VLOOKUP(S657,βοηθητικό!$J$2:$N$354,3,FALSE)="","",VLOOKUP(S657,βοηθητικό!$J$2:$N$354,3,FALSE))</f>
        <v>_</v>
      </c>
      <c r="U657" s="47"/>
      <c r="V657" s="4" t="s">
        <v>16</v>
      </c>
      <c r="W657" s="43" t="str">
        <f>IF(VLOOKUP(V657,βοηθητικό!$J$2:$N$354,3,FALSE)="","",VLOOKUP(V657,βοηθητικό!$J$2:$N$354,3,FALSE))</f>
        <v>_</v>
      </c>
      <c r="X657" s="44"/>
      <c r="Y657" s="5" t="s">
        <v>16</v>
      </c>
      <c r="Z657" s="46" t="str">
        <f>IF(VLOOKUP(Y657,βοηθητικό!$J$2:$N$354,3,FALSE)="","",VLOOKUP(Y657,βοηθητικό!$J$2:$N$354,3,FALSE))</f>
        <v>_</v>
      </c>
      <c r="AA657" s="47"/>
      <c r="AB657" s="4" t="s">
        <v>16</v>
      </c>
      <c r="AC657" s="43" t="str">
        <f>IF(VLOOKUP(AB657,βοηθητικό!$J$2:$N$354,3,FALSE)="","",VLOOKUP(AB657,βοηθητικό!$J$2:$N$354,3,FALSE))</f>
        <v>_</v>
      </c>
      <c r="AD657" s="44"/>
      <c r="AE657" s="5" t="s">
        <v>16</v>
      </c>
      <c r="AF657" s="46" t="str">
        <f>IF(VLOOKUP(AE657,βοηθητικό!$J$2:$N$354,3,FALSE)="","",VLOOKUP(AE657,βοηθητικό!$J$2:$N$354,3,FALSE))</f>
        <v>_</v>
      </c>
      <c r="AG657" s="47"/>
      <c r="AH657" s="4" t="s">
        <v>16</v>
      </c>
      <c r="AI657" s="43" t="str">
        <f>IF(VLOOKUP(AH657,βοηθητικό!$J$2:$N$354,3,FALSE)="","",VLOOKUP(AH657,βοηθητικό!$J$2:$N$354,3,FALSE))</f>
        <v>_</v>
      </c>
      <c r="AJ657" s="44"/>
      <c r="AK657" s="5" t="s">
        <v>16</v>
      </c>
      <c r="AL657" s="46" t="str">
        <f>IF(VLOOKUP(AK657,βοηθητικό!$J$2:$N$354,3,FALSE)="","",VLOOKUP(AK657,βοηθητικό!$J$2:$N$354,3,FALSE))</f>
        <v>_</v>
      </c>
      <c r="AM657" s="47"/>
      <c r="AN657" s="4" t="s">
        <v>16</v>
      </c>
      <c r="AO657" s="43" t="str">
        <f>IF(VLOOKUP(AN657,βοηθητικό!$J$2:$N$354,3,FALSE)="","",VLOOKUP(AN657,βοηθητικό!$J$2:$N$354,3,FALSE))</f>
        <v>_</v>
      </c>
      <c r="AP657" s="44"/>
      <c r="AQ657" s="5" t="s">
        <v>16</v>
      </c>
      <c r="AR657" s="46" t="str">
        <f>IF(VLOOKUP(AQ657,βοηθητικό!$J$2:$N$354,3,FALSE)="","",VLOOKUP(AQ657,βοηθητικό!$J$2:$N$354,3,FALSE))</f>
        <v>_</v>
      </c>
      <c r="AS657" s="47"/>
      <c r="AT657" s="4" t="s">
        <v>16</v>
      </c>
      <c r="AU657" s="43" t="str">
        <f>IF(VLOOKUP(AT657,βοηθητικό!$J$2:$N$354,3,FALSE)="","",VLOOKUP(AT657,βοηθητικό!$J$2:$N$354,3,FALSE))</f>
        <v>_</v>
      </c>
      <c r="AV657" s="44"/>
      <c r="AW657" s="5" t="s">
        <v>16</v>
      </c>
      <c r="AX657" s="46" t="str">
        <f>IF(VLOOKUP(AW657,βοηθητικό!$J$2:$N$354,3,FALSE)="","",VLOOKUP(AW657,βοηθητικό!$J$2:$N$354,3,FALSE))</f>
        <v>_</v>
      </c>
      <c r="AY657" s="47"/>
      <c r="AZ657" s="4" t="s">
        <v>16</v>
      </c>
      <c r="BA657" s="43" t="str">
        <f>IF(VLOOKUP(AZ657,βοηθητικό!$J$2:$N$354,3,FALSE)="","",VLOOKUP(AZ657,βοηθητικό!$J$2:$N$354,3,FALSE))</f>
        <v>_</v>
      </c>
      <c r="BB657" s="44"/>
      <c r="BC657" s="45" t="s">
        <v>16</v>
      </c>
      <c r="BD657" s="46" t="str">
        <f>IF(VLOOKUP(BC657,βοηθητικό!$J$2:$N$354,3,FALSE)="","",VLOOKUP(BC657,βοηθητικό!$J$2:$N$354,3,FALSE))</f>
        <v>_</v>
      </c>
      <c r="BE657" s="47"/>
      <c r="BF657" s="42" t="s">
        <v>16</v>
      </c>
      <c r="BG657" s="43" t="str">
        <f>IF(VLOOKUP(BF657,βοηθητικό!$J$2:$N$354,3,FALSE)="","",VLOOKUP(BF657,βοηθητικό!$J$2:$N$354,3,FALSE))</f>
        <v>_</v>
      </c>
      <c r="BH657" s="44"/>
      <c r="BI657" s="45" t="s">
        <v>16</v>
      </c>
      <c r="BJ657" s="46" t="str">
        <f>IF(VLOOKUP(BI657,βοηθητικό!$J$2:$N$354,3,FALSE)="","",VLOOKUP(BI657,βοηθητικό!$J$2:$N$354,3,FALSE))</f>
        <v>_</v>
      </c>
      <c r="BK657" s="47"/>
      <c r="BL657" s="42" t="s">
        <v>16</v>
      </c>
      <c r="BM657" s="43" t="str">
        <f>IF(VLOOKUP(BL657,βοηθητικό!$J$2:$N$354,3,FALSE)="","",VLOOKUP(BL657,βοηθητικό!$J$2:$N$354,3,FALSE))</f>
        <v>_</v>
      </c>
      <c r="BN657" s="44"/>
      <c r="BO657" s="45" t="s">
        <v>16</v>
      </c>
      <c r="BP657" s="46" t="str">
        <f>IF(VLOOKUP(BO657,βοηθητικό!$J$2:$N$354,3,FALSE)="","",VLOOKUP(BO657,βοηθητικό!$J$2:$N$354,3,FALSE))</f>
        <v>_</v>
      </c>
      <c r="BQ657" s="47"/>
      <c r="BR657" s="42" t="s">
        <v>16</v>
      </c>
      <c r="BS657" s="43" t="str">
        <f>IF(VLOOKUP(BR657,βοηθητικό!$J$2:$N$354,3,FALSE)="","",VLOOKUP(BR657,βοηθητικό!$J$2:$N$354,3,FALSE))</f>
        <v>_</v>
      </c>
      <c r="BT657" s="44"/>
      <c r="BU657" s="45" t="s">
        <v>16</v>
      </c>
      <c r="BV657" s="46" t="str">
        <f>IF(VLOOKUP(BU657,βοηθητικό!$J$2:$N$354,3,FALSE)="","",VLOOKUP(BU657,βοηθητικό!$J$2:$N$354,3,FALSE))</f>
        <v>_</v>
      </c>
      <c r="BW657" s="47"/>
      <c r="BX657" s="42" t="s">
        <v>16</v>
      </c>
      <c r="BY657" s="43" t="str">
        <f>IF(VLOOKUP(BX657,βοηθητικό!$J$2:$N$354,3,FALSE)="","",VLOOKUP(BX657,βοηθητικό!$J$2:$N$354,3,FALSE))</f>
        <v>_</v>
      </c>
      <c r="BZ657" s="44"/>
      <c r="CA657" s="45" t="s">
        <v>16</v>
      </c>
      <c r="CB657" s="46" t="str">
        <f>IF(VLOOKUP(CA657,βοηθητικό!$J$2:$N$354,3,FALSE)="","",VLOOKUP(CA657,βοηθητικό!$J$2:$N$354,3,FALSE))</f>
        <v>_</v>
      </c>
      <c r="CC657" s="47"/>
      <c r="CD657" s="42" t="s">
        <v>16</v>
      </c>
      <c r="CE657" s="43" t="str">
        <f>IF(VLOOKUP(CD657,βοηθητικό!$J$2:$N$354,3,FALSE)="","",VLOOKUP(CD657,βοηθητικό!$J$2:$N$354,3,FALSE))</f>
        <v>_</v>
      </c>
      <c r="CF657" s="44"/>
      <c r="CG657" s="45" t="s">
        <v>16</v>
      </c>
      <c r="CH657" s="46" t="str">
        <f>IF(VLOOKUP(CG657,βοηθητικό!$J$2:$N$354,3,FALSE)="","",VLOOKUP(CG657,βοηθητικό!$J$2:$N$354,3,FALSE))</f>
        <v>_</v>
      </c>
      <c r="CI657" s="47"/>
      <c r="CJ657" s="42" t="s">
        <v>16</v>
      </c>
      <c r="CK657" s="43" t="str">
        <f>IF(VLOOKUP(CJ657,βοηθητικό!$J$2:$N$354,3,FALSE)="","",VLOOKUP(CJ657,βοηθητικό!$J$2:$N$354,3,FALSE))</f>
        <v>_</v>
      </c>
      <c r="CL657" s="44"/>
      <c r="CM657" s="45" t="s">
        <v>16</v>
      </c>
      <c r="CN657" s="46" t="str">
        <f>IF(VLOOKUP(CM657,βοηθητικό!$J$2:$N$354,3,FALSE)="","",VLOOKUP(CM657,βοηθητικό!$J$2:$N$354,3,FALSE))</f>
        <v>_</v>
      </c>
      <c r="CO657" s="47"/>
      <c r="CP657" s="42" t="s">
        <v>16</v>
      </c>
      <c r="CQ657" s="43" t="str">
        <f>IF(VLOOKUP(CP657,βοηθητικό!$J$2:$N$354,3,FALSE)="","",VLOOKUP(CP657,βοηθητικό!$J$2:$N$354,3,FALSE))</f>
        <v>_</v>
      </c>
      <c r="CR657" s="44"/>
      <c r="CS657" s="45" t="s">
        <v>16</v>
      </c>
      <c r="CT657" s="46" t="str">
        <f>IF(VLOOKUP(CS657,βοηθητικό!$J$2:$N$354,3,FALSE)="","",VLOOKUP(CS657,βοηθητικό!$J$2:$N$354,3,FALSE))</f>
        <v>_</v>
      </c>
      <c r="CU657" s="47"/>
    </row>
    <row r="658" spans="1:99" x14ac:dyDescent="0.25">
      <c r="A658" s="37">
        <f>--SUBTOTAL(3,$B$3:B657)</f>
        <v>198</v>
      </c>
      <c r="B658" s="2"/>
      <c r="C658" s="3"/>
      <c r="D658" s="55" t="s">
        <v>18</v>
      </c>
      <c r="E658" s="38" t="s">
        <v>16</v>
      </c>
      <c r="F658" s="38"/>
      <c r="G658" s="39" t="str">
        <f t="shared" si="32"/>
        <v>__</v>
      </c>
      <c r="H658" s="40" t="str">
        <f t="shared" si="33"/>
        <v>FALSE</v>
      </c>
      <c r="I658" s="41">
        <f t="shared" si="34"/>
        <v>0</v>
      </c>
      <c r="J658" s="4" t="s">
        <v>16</v>
      </c>
      <c r="K658" s="43" t="str">
        <f>IF(VLOOKUP(J658,βοηθητικό!$J$2:$N$354,3,FALSE)="","",VLOOKUP(J658,βοηθητικό!$J$2:$N$354,3,FALSE))</f>
        <v>_</v>
      </c>
      <c r="L658" s="44"/>
      <c r="M658" s="5" t="s">
        <v>16</v>
      </c>
      <c r="N658" s="46" t="str">
        <f>IF(VLOOKUP(M658,βοηθητικό!$J$2:$N$354,3,FALSE)="","",VLOOKUP(M658,βοηθητικό!$J$2:$N$354,3,FALSE))</f>
        <v>_</v>
      </c>
      <c r="O658" s="47"/>
      <c r="P658" s="4" t="s">
        <v>16</v>
      </c>
      <c r="Q658" s="43" t="str">
        <f>IF(VLOOKUP(P658,βοηθητικό!$J$2:$N$354,3,FALSE)="","",VLOOKUP(P658,βοηθητικό!$J$2:$N$354,3,FALSE))</f>
        <v>_</v>
      </c>
      <c r="R658" s="44"/>
      <c r="S658" s="5" t="s">
        <v>16</v>
      </c>
      <c r="T658" s="46" t="str">
        <f>IF(VLOOKUP(S658,βοηθητικό!$J$2:$N$354,3,FALSE)="","",VLOOKUP(S658,βοηθητικό!$J$2:$N$354,3,FALSE))</f>
        <v>_</v>
      </c>
      <c r="U658" s="47"/>
      <c r="V658" s="4" t="s">
        <v>16</v>
      </c>
      <c r="W658" s="43" t="str">
        <f>IF(VLOOKUP(V658,βοηθητικό!$J$2:$N$354,3,FALSE)="","",VLOOKUP(V658,βοηθητικό!$J$2:$N$354,3,FALSE))</f>
        <v>_</v>
      </c>
      <c r="X658" s="44"/>
      <c r="Y658" s="5" t="s">
        <v>16</v>
      </c>
      <c r="Z658" s="46" t="str">
        <f>IF(VLOOKUP(Y658,βοηθητικό!$J$2:$N$354,3,FALSE)="","",VLOOKUP(Y658,βοηθητικό!$J$2:$N$354,3,FALSE))</f>
        <v>_</v>
      </c>
      <c r="AA658" s="47"/>
      <c r="AB658" s="4" t="s">
        <v>16</v>
      </c>
      <c r="AC658" s="43" t="str">
        <f>IF(VLOOKUP(AB658,βοηθητικό!$J$2:$N$354,3,FALSE)="","",VLOOKUP(AB658,βοηθητικό!$J$2:$N$354,3,FALSE))</f>
        <v>_</v>
      </c>
      <c r="AD658" s="44"/>
      <c r="AE658" s="5" t="s">
        <v>16</v>
      </c>
      <c r="AF658" s="46" t="str">
        <f>IF(VLOOKUP(AE658,βοηθητικό!$J$2:$N$354,3,FALSE)="","",VLOOKUP(AE658,βοηθητικό!$J$2:$N$354,3,FALSE))</f>
        <v>_</v>
      </c>
      <c r="AG658" s="47"/>
      <c r="AH658" s="4" t="s">
        <v>16</v>
      </c>
      <c r="AI658" s="43" t="str">
        <f>IF(VLOOKUP(AH658,βοηθητικό!$J$2:$N$354,3,FALSE)="","",VLOOKUP(AH658,βοηθητικό!$J$2:$N$354,3,FALSE))</f>
        <v>_</v>
      </c>
      <c r="AJ658" s="44"/>
      <c r="AK658" s="5" t="s">
        <v>16</v>
      </c>
      <c r="AL658" s="46" t="str">
        <f>IF(VLOOKUP(AK658,βοηθητικό!$J$2:$N$354,3,FALSE)="","",VLOOKUP(AK658,βοηθητικό!$J$2:$N$354,3,FALSE))</f>
        <v>_</v>
      </c>
      <c r="AM658" s="47"/>
      <c r="AN658" s="4" t="s">
        <v>16</v>
      </c>
      <c r="AO658" s="43" t="str">
        <f>IF(VLOOKUP(AN658,βοηθητικό!$J$2:$N$354,3,FALSE)="","",VLOOKUP(AN658,βοηθητικό!$J$2:$N$354,3,FALSE))</f>
        <v>_</v>
      </c>
      <c r="AP658" s="44"/>
      <c r="AQ658" s="5" t="s">
        <v>16</v>
      </c>
      <c r="AR658" s="46" t="str">
        <f>IF(VLOOKUP(AQ658,βοηθητικό!$J$2:$N$354,3,FALSE)="","",VLOOKUP(AQ658,βοηθητικό!$J$2:$N$354,3,FALSE))</f>
        <v>_</v>
      </c>
      <c r="AS658" s="47"/>
      <c r="AT658" s="4" t="s">
        <v>16</v>
      </c>
      <c r="AU658" s="43" t="str">
        <f>IF(VLOOKUP(AT658,βοηθητικό!$J$2:$N$354,3,FALSE)="","",VLOOKUP(AT658,βοηθητικό!$J$2:$N$354,3,FALSE))</f>
        <v>_</v>
      </c>
      <c r="AV658" s="44"/>
      <c r="AW658" s="5" t="s">
        <v>16</v>
      </c>
      <c r="AX658" s="46" t="str">
        <f>IF(VLOOKUP(AW658,βοηθητικό!$J$2:$N$354,3,FALSE)="","",VLOOKUP(AW658,βοηθητικό!$J$2:$N$354,3,FALSE))</f>
        <v>_</v>
      </c>
      <c r="AY658" s="47"/>
      <c r="AZ658" s="4" t="s">
        <v>16</v>
      </c>
      <c r="BA658" s="43" t="str">
        <f>IF(VLOOKUP(AZ658,βοηθητικό!$J$2:$N$354,3,FALSE)="","",VLOOKUP(AZ658,βοηθητικό!$J$2:$N$354,3,FALSE))</f>
        <v>_</v>
      </c>
      <c r="BB658" s="44"/>
      <c r="BC658" s="45" t="s">
        <v>16</v>
      </c>
      <c r="BD658" s="46" t="str">
        <f>IF(VLOOKUP(BC658,βοηθητικό!$J$2:$N$354,3,FALSE)="","",VLOOKUP(BC658,βοηθητικό!$J$2:$N$354,3,FALSE))</f>
        <v>_</v>
      </c>
      <c r="BE658" s="47"/>
      <c r="BF658" s="42" t="s">
        <v>16</v>
      </c>
      <c r="BG658" s="43" t="str">
        <f>IF(VLOOKUP(BF658,βοηθητικό!$J$2:$N$354,3,FALSE)="","",VLOOKUP(BF658,βοηθητικό!$J$2:$N$354,3,FALSE))</f>
        <v>_</v>
      </c>
      <c r="BH658" s="44"/>
      <c r="BI658" s="45" t="s">
        <v>16</v>
      </c>
      <c r="BJ658" s="46" t="str">
        <f>IF(VLOOKUP(BI658,βοηθητικό!$J$2:$N$354,3,FALSE)="","",VLOOKUP(BI658,βοηθητικό!$J$2:$N$354,3,FALSE))</f>
        <v>_</v>
      </c>
      <c r="BK658" s="47"/>
      <c r="BL658" s="42" t="s">
        <v>16</v>
      </c>
      <c r="BM658" s="43" t="str">
        <f>IF(VLOOKUP(BL658,βοηθητικό!$J$2:$N$354,3,FALSE)="","",VLOOKUP(BL658,βοηθητικό!$J$2:$N$354,3,FALSE))</f>
        <v>_</v>
      </c>
      <c r="BN658" s="44"/>
      <c r="BO658" s="45" t="s">
        <v>16</v>
      </c>
      <c r="BP658" s="46" t="str">
        <f>IF(VLOOKUP(BO658,βοηθητικό!$J$2:$N$354,3,FALSE)="","",VLOOKUP(BO658,βοηθητικό!$J$2:$N$354,3,FALSE))</f>
        <v>_</v>
      </c>
      <c r="BQ658" s="47"/>
      <c r="BR658" s="42" t="s">
        <v>16</v>
      </c>
      <c r="BS658" s="43" t="str">
        <f>IF(VLOOKUP(BR658,βοηθητικό!$J$2:$N$354,3,FALSE)="","",VLOOKUP(BR658,βοηθητικό!$J$2:$N$354,3,FALSE))</f>
        <v>_</v>
      </c>
      <c r="BT658" s="44"/>
      <c r="BU658" s="45" t="s">
        <v>16</v>
      </c>
      <c r="BV658" s="46" t="str">
        <f>IF(VLOOKUP(BU658,βοηθητικό!$J$2:$N$354,3,FALSE)="","",VLOOKUP(BU658,βοηθητικό!$J$2:$N$354,3,FALSE))</f>
        <v>_</v>
      </c>
      <c r="BW658" s="47"/>
      <c r="BX658" s="42" t="s">
        <v>16</v>
      </c>
      <c r="BY658" s="43" t="str">
        <f>IF(VLOOKUP(BX658,βοηθητικό!$J$2:$N$354,3,FALSE)="","",VLOOKUP(BX658,βοηθητικό!$J$2:$N$354,3,FALSE))</f>
        <v>_</v>
      </c>
      <c r="BZ658" s="44"/>
      <c r="CA658" s="45" t="s">
        <v>16</v>
      </c>
      <c r="CB658" s="46" t="str">
        <f>IF(VLOOKUP(CA658,βοηθητικό!$J$2:$N$354,3,FALSE)="","",VLOOKUP(CA658,βοηθητικό!$J$2:$N$354,3,FALSE))</f>
        <v>_</v>
      </c>
      <c r="CC658" s="47"/>
      <c r="CD658" s="42" t="s">
        <v>16</v>
      </c>
      <c r="CE658" s="43" t="str">
        <f>IF(VLOOKUP(CD658,βοηθητικό!$J$2:$N$354,3,FALSE)="","",VLOOKUP(CD658,βοηθητικό!$J$2:$N$354,3,FALSE))</f>
        <v>_</v>
      </c>
      <c r="CF658" s="44"/>
      <c r="CG658" s="45" t="s">
        <v>16</v>
      </c>
      <c r="CH658" s="46" t="str">
        <f>IF(VLOOKUP(CG658,βοηθητικό!$J$2:$N$354,3,FALSE)="","",VLOOKUP(CG658,βοηθητικό!$J$2:$N$354,3,FALSE))</f>
        <v>_</v>
      </c>
      <c r="CI658" s="47"/>
      <c r="CJ658" s="42" t="s">
        <v>16</v>
      </c>
      <c r="CK658" s="43" t="str">
        <f>IF(VLOOKUP(CJ658,βοηθητικό!$J$2:$N$354,3,FALSE)="","",VLOOKUP(CJ658,βοηθητικό!$J$2:$N$354,3,FALSE))</f>
        <v>_</v>
      </c>
      <c r="CL658" s="44"/>
      <c r="CM658" s="45" t="s">
        <v>16</v>
      </c>
      <c r="CN658" s="46" t="str">
        <f>IF(VLOOKUP(CM658,βοηθητικό!$J$2:$N$354,3,FALSE)="","",VLOOKUP(CM658,βοηθητικό!$J$2:$N$354,3,FALSE))</f>
        <v>_</v>
      </c>
      <c r="CO658" s="47"/>
      <c r="CP658" s="42" t="s">
        <v>16</v>
      </c>
      <c r="CQ658" s="43" t="str">
        <f>IF(VLOOKUP(CP658,βοηθητικό!$J$2:$N$354,3,FALSE)="","",VLOOKUP(CP658,βοηθητικό!$J$2:$N$354,3,FALSE))</f>
        <v>_</v>
      </c>
      <c r="CR658" s="44"/>
      <c r="CS658" s="45" t="s">
        <v>16</v>
      </c>
      <c r="CT658" s="46" t="str">
        <f>IF(VLOOKUP(CS658,βοηθητικό!$J$2:$N$354,3,FALSE)="","",VLOOKUP(CS658,βοηθητικό!$J$2:$N$354,3,FALSE))</f>
        <v>_</v>
      </c>
      <c r="CU658" s="47"/>
    </row>
    <row r="659" spans="1:99" x14ac:dyDescent="0.25">
      <c r="A659" s="37">
        <f>--SUBTOTAL(3,$B$3:B658)</f>
        <v>198</v>
      </c>
      <c r="B659" s="2"/>
      <c r="C659" s="3"/>
      <c r="D659" s="55" t="s">
        <v>18</v>
      </c>
      <c r="E659" s="38" t="s">
        <v>16</v>
      </c>
      <c r="F659" s="38"/>
      <c r="G659" s="39" t="str">
        <f t="shared" si="32"/>
        <v>__</v>
      </c>
      <c r="H659" s="40" t="str">
        <f t="shared" si="33"/>
        <v>FALSE</v>
      </c>
      <c r="I659" s="41">
        <f t="shared" si="34"/>
        <v>0</v>
      </c>
      <c r="J659" s="4" t="s">
        <v>16</v>
      </c>
      <c r="K659" s="43" t="str">
        <f>IF(VLOOKUP(J659,βοηθητικό!$J$2:$N$354,3,FALSE)="","",VLOOKUP(J659,βοηθητικό!$J$2:$N$354,3,FALSE))</f>
        <v>_</v>
      </c>
      <c r="L659" s="44"/>
      <c r="M659" s="5" t="s">
        <v>16</v>
      </c>
      <c r="N659" s="46" t="str">
        <f>IF(VLOOKUP(M659,βοηθητικό!$J$2:$N$354,3,FALSE)="","",VLOOKUP(M659,βοηθητικό!$J$2:$N$354,3,FALSE))</f>
        <v>_</v>
      </c>
      <c r="O659" s="47"/>
      <c r="P659" s="4" t="s">
        <v>16</v>
      </c>
      <c r="Q659" s="43" t="str">
        <f>IF(VLOOKUP(P659,βοηθητικό!$J$2:$N$354,3,FALSE)="","",VLOOKUP(P659,βοηθητικό!$J$2:$N$354,3,FALSE))</f>
        <v>_</v>
      </c>
      <c r="R659" s="44"/>
      <c r="S659" s="5" t="s">
        <v>16</v>
      </c>
      <c r="T659" s="46" t="str">
        <f>IF(VLOOKUP(S659,βοηθητικό!$J$2:$N$354,3,FALSE)="","",VLOOKUP(S659,βοηθητικό!$J$2:$N$354,3,FALSE))</f>
        <v>_</v>
      </c>
      <c r="U659" s="47"/>
      <c r="V659" s="4" t="s">
        <v>16</v>
      </c>
      <c r="W659" s="43" t="str">
        <f>IF(VLOOKUP(V659,βοηθητικό!$J$2:$N$354,3,FALSE)="","",VLOOKUP(V659,βοηθητικό!$J$2:$N$354,3,FALSE))</f>
        <v>_</v>
      </c>
      <c r="X659" s="44"/>
      <c r="Y659" s="5" t="s">
        <v>16</v>
      </c>
      <c r="Z659" s="46" t="str">
        <f>IF(VLOOKUP(Y659,βοηθητικό!$J$2:$N$354,3,FALSE)="","",VLOOKUP(Y659,βοηθητικό!$J$2:$N$354,3,FALSE))</f>
        <v>_</v>
      </c>
      <c r="AA659" s="47"/>
      <c r="AB659" s="4" t="s">
        <v>16</v>
      </c>
      <c r="AC659" s="43" t="str">
        <f>IF(VLOOKUP(AB659,βοηθητικό!$J$2:$N$354,3,FALSE)="","",VLOOKUP(AB659,βοηθητικό!$J$2:$N$354,3,FALSE))</f>
        <v>_</v>
      </c>
      <c r="AD659" s="44"/>
      <c r="AE659" s="5" t="s">
        <v>16</v>
      </c>
      <c r="AF659" s="46" t="str">
        <f>IF(VLOOKUP(AE659,βοηθητικό!$J$2:$N$354,3,FALSE)="","",VLOOKUP(AE659,βοηθητικό!$J$2:$N$354,3,FALSE))</f>
        <v>_</v>
      </c>
      <c r="AG659" s="47"/>
      <c r="AH659" s="4" t="s">
        <v>16</v>
      </c>
      <c r="AI659" s="43" t="str">
        <f>IF(VLOOKUP(AH659,βοηθητικό!$J$2:$N$354,3,FALSE)="","",VLOOKUP(AH659,βοηθητικό!$J$2:$N$354,3,FALSE))</f>
        <v>_</v>
      </c>
      <c r="AJ659" s="44"/>
      <c r="AK659" s="5" t="s">
        <v>16</v>
      </c>
      <c r="AL659" s="46" t="str">
        <f>IF(VLOOKUP(AK659,βοηθητικό!$J$2:$N$354,3,FALSE)="","",VLOOKUP(AK659,βοηθητικό!$J$2:$N$354,3,FALSE))</f>
        <v>_</v>
      </c>
      <c r="AM659" s="47"/>
      <c r="AN659" s="4" t="s">
        <v>16</v>
      </c>
      <c r="AO659" s="43" t="str">
        <f>IF(VLOOKUP(AN659,βοηθητικό!$J$2:$N$354,3,FALSE)="","",VLOOKUP(AN659,βοηθητικό!$J$2:$N$354,3,FALSE))</f>
        <v>_</v>
      </c>
      <c r="AP659" s="44"/>
      <c r="AQ659" s="5" t="s">
        <v>16</v>
      </c>
      <c r="AR659" s="46" t="str">
        <f>IF(VLOOKUP(AQ659,βοηθητικό!$J$2:$N$354,3,FALSE)="","",VLOOKUP(AQ659,βοηθητικό!$J$2:$N$354,3,FALSE))</f>
        <v>_</v>
      </c>
      <c r="AS659" s="47"/>
      <c r="AT659" s="4" t="s">
        <v>16</v>
      </c>
      <c r="AU659" s="43" t="str">
        <f>IF(VLOOKUP(AT659,βοηθητικό!$J$2:$N$354,3,FALSE)="","",VLOOKUP(AT659,βοηθητικό!$J$2:$N$354,3,FALSE))</f>
        <v>_</v>
      </c>
      <c r="AV659" s="44"/>
      <c r="AW659" s="5" t="s">
        <v>16</v>
      </c>
      <c r="AX659" s="46" t="str">
        <f>IF(VLOOKUP(AW659,βοηθητικό!$J$2:$N$354,3,FALSE)="","",VLOOKUP(AW659,βοηθητικό!$J$2:$N$354,3,FALSE))</f>
        <v>_</v>
      </c>
      <c r="AY659" s="47"/>
      <c r="AZ659" s="4" t="s">
        <v>16</v>
      </c>
      <c r="BA659" s="43" t="str">
        <f>IF(VLOOKUP(AZ659,βοηθητικό!$J$2:$N$354,3,FALSE)="","",VLOOKUP(AZ659,βοηθητικό!$J$2:$N$354,3,FALSE))</f>
        <v>_</v>
      </c>
      <c r="BB659" s="44"/>
      <c r="BC659" s="45" t="s">
        <v>16</v>
      </c>
      <c r="BD659" s="46" t="str">
        <f>IF(VLOOKUP(BC659,βοηθητικό!$J$2:$N$354,3,FALSE)="","",VLOOKUP(BC659,βοηθητικό!$J$2:$N$354,3,FALSE))</f>
        <v>_</v>
      </c>
      <c r="BE659" s="47"/>
      <c r="BF659" s="42" t="s">
        <v>16</v>
      </c>
      <c r="BG659" s="43" t="str">
        <f>IF(VLOOKUP(BF659,βοηθητικό!$J$2:$N$354,3,FALSE)="","",VLOOKUP(BF659,βοηθητικό!$J$2:$N$354,3,FALSE))</f>
        <v>_</v>
      </c>
      <c r="BH659" s="44"/>
      <c r="BI659" s="45" t="s">
        <v>16</v>
      </c>
      <c r="BJ659" s="46" t="str">
        <f>IF(VLOOKUP(BI659,βοηθητικό!$J$2:$N$354,3,FALSE)="","",VLOOKUP(BI659,βοηθητικό!$J$2:$N$354,3,FALSE))</f>
        <v>_</v>
      </c>
      <c r="BK659" s="47"/>
      <c r="BL659" s="42" t="s">
        <v>16</v>
      </c>
      <c r="BM659" s="43" t="str">
        <f>IF(VLOOKUP(BL659,βοηθητικό!$J$2:$N$354,3,FALSE)="","",VLOOKUP(BL659,βοηθητικό!$J$2:$N$354,3,FALSE))</f>
        <v>_</v>
      </c>
      <c r="BN659" s="44"/>
      <c r="BO659" s="45" t="s">
        <v>16</v>
      </c>
      <c r="BP659" s="46" t="str">
        <f>IF(VLOOKUP(BO659,βοηθητικό!$J$2:$N$354,3,FALSE)="","",VLOOKUP(BO659,βοηθητικό!$J$2:$N$354,3,FALSE))</f>
        <v>_</v>
      </c>
      <c r="BQ659" s="47"/>
      <c r="BR659" s="42" t="s">
        <v>16</v>
      </c>
      <c r="BS659" s="43" t="str">
        <f>IF(VLOOKUP(BR659,βοηθητικό!$J$2:$N$354,3,FALSE)="","",VLOOKUP(BR659,βοηθητικό!$J$2:$N$354,3,FALSE))</f>
        <v>_</v>
      </c>
      <c r="BT659" s="44"/>
      <c r="BU659" s="45" t="s">
        <v>16</v>
      </c>
      <c r="BV659" s="46" t="str">
        <f>IF(VLOOKUP(BU659,βοηθητικό!$J$2:$N$354,3,FALSE)="","",VLOOKUP(BU659,βοηθητικό!$J$2:$N$354,3,FALSE))</f>
        <v>_</v>
      </c>
      <c r="BW659" s="47"/>
      <c r="BX659" s="42" t="s">
        <v>16</v>
      </c>
      <c r="BY659" s="43" t="str">
        <f>IF(VLOOKUP(BX659,βοηθητικό!$J$2:$N$354,3,FALSE)="","",VLOOKUP(BX659,βοηθητικό!$J$2:$N$354,3,FALSE))</f>
        <v>_</v>
      </c>
      <c r="BZ659" s="44"/>
      <c r="CA659" s="45" t="s">
        <v>16</v>
      </c>
      <c r="CB659" s="46" t="str">
        <f>IF(VLOOKUP(CA659,βοηθητικό!$J$2:$N$354,3,FALSE)="","",VLOOKUP(CA659,βοηθητικό!$J$2:$N$354,3,FALSE))</f>
        <v>_</v>
      </c>
      <c r="CC659" s="47"/>
      <c r="CD659" s="42" t="s">
        <v>16</v>
      </c>
      <c r="CE659" s="43" t="str">
        <f>IF(VLOOKUP(CD659,βοηθητικό!$J$2:$N$354,3,FALSE)="","",VLOOKUP(CD659,βοηθητικό!$J$2:$N$354,3,FALSE))</f>
        <v>_</v>
      </c>
      <c r="CF659" s="44"/>
      <c r="CG659" s="45" t="s">
        <v>16</v>
      </c>
      <c r="CH659" s="46" t="str">
        <f>IF(VLOOKUP(CG659,βοηθητικό!$J$2:$N$354,3,FALSE)="","",VLOOKUP(CG659,βοηθητικό!$J$2:$N$354,3,FALSE))</f>
        <v>_</v>
      </c>
      <c r="CI659" s="47"/>
      <c r="CJ659" s="42" t="s">
        <v>16</v>
      </c>
      <c r="CK659" s="43" t="str">
        <f>IF(VLOOKUP(CJ659,βοηθητικό!$J$2:$N$354,3,FALSE)="","",VLOOKUP(CJ659,βοηθητικό!$J$2:$N$354,3,FALSE))</f>
        <v>_</v>
      </c>
      <c r="CL659" s="44"/>
      <c r="CM659" s="45" t="s">
        <v>16</v>
      </c>
      <c r="CN659" s="46" t="str">
        <f>IF(VLOOKUP(CM659,βοηθητικό!$J$2:$N$354,3,FALSE)="","",VLOOKUP(CM659,βοηθητικό!$J$2:$N$354,3,FALSE))</f>
        <v>_</v>
      </c>
      <c r="CO659" s="47"/>
      <c r="CP659" s="42" t="s">
        <v>16</v>
      </c>
      <c r="CQ659" s="43" t="str">
        <f>IF(VLOOKUP(CP659,βοηθητικό!$J$2:$N$354,3,FALSE)="","",VLOOKUP(CP659,βοηθητικό!$J$2:$N$354,3,FALSE))</f>
        <v>_</v>
      </c>
      <c r="CR659" s="44"/>
      <c r="CS659" s="45" t="s">
        <v>16</v>
      </c>
      <c r="CT659" s="46" t="str">
        <f>IF(VLOOKUP(CS659,βοηθητικό!$J$2:$N$354,3,FALSE)="","",VLOOKUP(CS659,βοηθητικό!$J$2:$N$354,3,FALSE))</f>
        <v>_</v>
      </c>
      <c r="CU659" s="47"/>
    </row>
    <row r="660" spans="1:99" x14ac:dyDescent="0.25">
      <c r="A660" s="37">
        <f>--SUBTOTAL(3,$B$3:B659)</f>
        <v>198</v>
      </c>
      <c r="B660" s="2"/>
      <c r="C660" s="3"/>
      <c r="D660" s="55" t="s">
        <v>18</v>
      </c>
      <c r="E660" s="38" t="s">
        <v>16</v>
      </c>
      <c r="F660" s="38"/>
      <c r="G660" s="39" t="str">
        <f t="shared" si="32"/>
        <v>__</v>
      </c>
      <c r="H660" s="40" t="str">
        <f t="shared" si="33"/>
        <v>FALSE</v>
      </c>
      <c r="I660" s="41">
        <f t="shared" si="34"/>
        <v>0</v>
      </c>
      <c r="J660" s="4" t="s">
        <v>16</v>
      </c>
      <c r="K660" s="43" t="str">
        <f>IF(VLOOKUP(J660,βοηθητικό!$J$2:$N$354,3,FALSE)="","",VLOOKUP(J660,βοηθητικό!$J$2:$N$354,3,FALSE))</f>
        <v>_</v>
      </c>
      <c r="L660" s="44"/>
      <c r="M660" s="5" t="s">
        <v>16</v>
      </c>
      <c r="N660" s="46" t="str">
        <f>IF(VLOOKUP(M660,βοηθητικό!$J$2:$N$354,3,FALSE)="","",VLOOKUP(M660,βοηθητικό!$J$2:$N$354,3,FALSE))</f>
        <v>_</v>
      </c>
      <c r="O660" s="47"/>
      <c r="P660" s="4" t="s">
        <v>16</v>
      </c>
      <c r="Q660" s="43" t="str">
        <f>IF(VLOOKUP(P660,βοηθητικό!$J$2:$N$354,3,FALSE)="","",VLOOKUP(P660,βοηθητικό!$J$2:$N$354,3,FALSE))</f>
        <v>_</v>
      </c>
      <c r="R660" s="44"/>
      <c r="S660" s="5" t="s">
        <v>16</v>
      </c>
      <c r="T660" s="46" t="str">
        <f>IF(VLOOKUP(S660,βοηθητικό!$J$2:$N$354,3,FALSE)="","",VLOOKUP(S660,βοηθητικό!$J$2:$N$354,3,FALSE))</f>
        <v>_</v>
      </c>
      <c r="U660" s="47"/>
      <c r="V660" s="4" t="s">
        <v>16</v>
      </c>
      <c r="W660" s="43" t="str">
        <f>IF(VLOOKUP(V660,βοηθητικό!$J$2:$N$354,3,FALSE)="","",VLOOKUP(V660,βοηθητικό!$J$2:$N$354,3,FALSE))</f>
        <v>_</v>
      </c>
      <c r="X660" s="44"/>
      <c r="Y660" s="5" t="s">
        <v>16</v>
      </c>
      <c r="Z660" s="46" t="str">
        <f>IF(VLOOKUP(Y660,βοηθητικό!$J$2:$N$354,3,FALSE)="","",VLOOKUP(Y660,βοηθητικό!$J$2:$N$354,3,FALSE))</f>
        <v>_</v>
      </c>
      <c r="AA660" s="47"/>
      <c r="AB660" s="4" t="s">
        <v>16</v>
      </c>
      <c r="AC660" s="43" t="str">
        <f>IF(VLOOKUP(AB660,βοηθητικό!$J$2:$N$354,3,FALSE)="","",VLOOKUP(AB660,βοηθητικό!$J$2:$N$354,3,FALSE))</f>
        <v>_</v>
      </c>
      <c r="AD660" s="44"/>
      <c r="AE660" s="5" t="s">
        <v>16</v>
      </c>
      <c r="AF660" s="46" t="str">
        <f>IF(VLOOKUP(AE660,βοηθητικό!$J$2:$N$354,3,FALSE)="","",VLOOKUP(AE660,βοηθητικό!$J$2:$N$354,3,FALSE))</f>
        <v>_</v>
      </c>
      <c r="AG660" s="47"/>
      <c r="AH660" s="4" t="s">
        <v>16</v>
      </c>
      <c r="AI660" s="43" t="str">
        <f>IF(VLOOKUP(AH660,βοηθητικό!$J$2:$N$354,3,FALSE)="","",VLOOKUP(AH660,βοηθητικό!$J$2:$N$354,3,FALSE))</f>
        <v>_</v>
      </c>
      <c r="AJ660" s="44"/>
      <c r="AK660" s="5" t="s">
        <v>16</v>
      </c>
      <c r="AL660" s="46" t="str">
        <f>IF(VLOOKUP(AK660,βοηθητικό!$J$2:$N$354,3,FALSE)="","",VLOOKUP(AK660,βοηθητικό!$J$2:$N$354,3,FALSE))</f>
        <v>_</v>
      </c>
      <c r="AM660" s="47"/>
      <c r="AN660" s="4" t="s">
        <v>16</v>
      </c>
      <c r="AO660" s="43" t="str">
        <f>IF(VLOOKUP(AN660,βοηθητικό!$J$2:$N$354,3,FALSE)="","",VLOOKUP(AN660,βοηθητικό!$J$2:$N$354,3,FALSE))</f>
        <v>_</v>
      </c>
      <c r="AP660" s="44"/>
      <c r="AQ660" s="5" t="s">
        <v>16</v>
      </c>
      <c r="AR660" s="46" t="str">
        <f>IF(VLOOKUP(AQ660,βοηθητικό!$J$2:$N$354,3,FALSE)="","",VLOOKUP(AQ660,βοηθητικό!$J$2:$N$354,3,FALSE))</f>
        <v>_</v>
      </c>
      <c r="AS660" s="47"/>
      <c r="AT660" s="4" t="s">
        <v>16</v>
      </c>
      <c r="AU660" s="43" t="str">
        <f>IF(VLOOKUP(AT660,βοηθητικό!$J$2:$N$354,3,FALSE)="","",VLOOKUP(AT660,βοηθητικό!$J$2:$N$354,3,FALSE))</f>
        <v>_</v>
      </c>
      <c r="AV660" s="44"/>
      <c r="AW660" s="5" t="s">
        <v>16</v>
      </c>
      <c r="AX660" s="46" t="str">
        <f>IF(VLOOKUP(AW660,βοηθητικό!$J$2:$N$354,3,FALSE)="","",VLOOKUP(AW660,βοηθητικό!$J$2:$N$354,3,FALSE))</f>
        <v>_</v>
      </c>
      <c r="AY660" s="47"/>
      <c r="AZ660" s="4" t="s">
        <v>16</v>
      </c>
      <c r="BA660" s="43" t="str">
        <f>IF(VLOOKUP(AZ660,βοηθητικό!$J$2:$N$354,3,FALSE)="","",VLOOKUP(AZ660,βοηθητικό!$J$2:$N$354,3,FALSE))</f>
        <v>_</v>
      </c>
      <c r="BB660" s="44"/>
      <c r="BC660" s="45" t="s">
        <v>16</v>
      </c>
      <c r="BD660" s="46" t="str">
        <f>IF(VLOOKUP(BC660,βοηθητικό!$J$2:$N$354,3,FALSE)="","",VLOOKUP(BC660,βοηθητικό!$J$2:$N$354,3,FALSE))</f>
        <v>_</v>
      </c>
      <c r="BE660" s="47"/>
      <c r="BF660" s="42" t="s">
        <v>16</v>
      </c>
      <c r="BG660" s="43" t="str">
        <f>IF(VLOOKUP(BF660,βοηθητικό!$J$2:$N$354,3,FALSE)="","",VLOOKUP(BF660,βοηθητικό!$J$2:$N$354,3,FALSE))</f>
        <v>_</v>
      </c>
      <c r="BH660" s="44"/>
      <c r="BI660" s="45" t="s">
        <v>16</v>
      </c>
      <c r="BJ660" s="46" t="str">
        <f>IF(VLOOKUP(BI660,βοηθητικό!$J$2:$N$354,3,FALSE)="","",VLOOKUP(BI660,βοηθητικό!$J$2:$N$354,3,FALSE))</f>
        <v>_</v>
      </c>
      <c r="BK660" s="47"/>
      <c r="BL660" s="42" t="s">
        <v>16</v>
      </c>
      <c r="BM660" s="43" t="str">
        <f>IF(VLOOKUP(BL660,βοηθητικό!$J$2:$N$354,3,FALSE)="","",VLOOKUP(BL660,βοηθητικό!$J$2:$N$354,3,FALSE))</f>
        <v>_</v>
      </c>
      <c r="BN660" s="44"/>
      <c r="BO660" s="45" t="s">
        <v>16</v>
      </c>
      <c r="BP660" s="46" t="str">
        <f>IF(VLOOKUP(BO660,βοηθητικό!$J$2:$N$354,3,FALSE)="","",VLOOKUP(BO660,βοηθητικό!$J$2:$N$354,3,FALSE))</f>
        <v>_</v>
      </c>
      <c r="BQ660" s="47"/>
      <c r="BR660" s="42" t="s">
        <v>16</v>
      </c>
      <c r="BS660" s="43" t="str">
        <f>IF(VLOOKUP(BR660,βοηθητικό!$J$2:$N$354,3,FALSE)="","",VLOOKUP(BR660,βοηθητικό!$J$2:$N$354,3,FALSE))</f>
        <v>_</v>
      </c>
      <c r="BT660" s="44"/>
      <c r="BU660" s="45" t="s">
        <v>16</v>
      </c>
      <c r="BV660" s="46" t="str">
        <f>IF(VLOOKUP(BU660,βοηθητικό!$J$2:$N$354,3,FALSE)="","",VLOOKUP(BU660,βοηθητικό!$J$2:$N$354,3,FALSE))</f>
        <v>_</v>
      </c>
      <c r="BW660" s="47"/>
      <c r="BX660" s="42" t="s">
        <v>16</v>
      </c>
      <c r="BY660" s="43" t="str">
        <f>IF(VLOOKUP(BX660,βοηθητικό!$J$2:$N$354,3,FALSE)="","",VLOOKUP(BX660,βοηθητικό!$J$2:$N$354,3,FALSE))</f>
        <v>_</v>
      </c>
      <c r="BZ660" s="44"/>
      <c r="CA660" s="45" t="s">
        <v>16</v>
      </c>
      <c r="CB660" s="46" t="str">
        <f>IF(VLOOKUP(CA660,βοηθητικό!$J$2:$N$354,3,FALSE)="","",VLOOKUP(CA660,βοηθητικό!$J$2:$N$354,3,FALSE))</f>
        <v>_</v>
      </c>
      <c r="CC660" s="47"/>
      <c r="CD660" s="42" t="s">
        <v>16</v>
      </c>
      <c r="CE660" s="43" t="str">
        <f>IF(VLOOKUP(CD660,βοηθητικό!$J$2:$N$354,3,FALSE)="","",VLOOKUP(CD660,βοηθητικό!$J$2:$N$354,3,FALSE))</f>
        <v>_</v>
      </c>
      <c r="CF660" s="44"/>
      <c r="CG660" s="45" t="s">
        <v>16</v>
      </c>
      <c r="CH660" s="46" t="str">
        <f>IF(VLOOKUP(CG660,βοηθητικό!$J$2:$N$354,3,FALSE)="","",VLOOKUP(CG660,βοηθητικό!$J$2:$N$354,3,FALSE))</f>
        <v>_</v>
      </c>
      <c r="CI660" s="47"/>
      <c r="CJ660" s="42" t="s">
        <v>16</v>
      </c>
      <c r="CK660" s="43" t="str">
        <f>IF(VLOOKUP(CJ660,βοηθητικό!$J$2:$N$354,3,FALSE)="","",VLOOKUP(CJ660,βοηθητικό!$J$2:$N$354,3,FALSE))</f>
        <v>_</v>
      </c>
      <c r="CL660" s="44"/>
      <c r="CM660" s="45" t="s">
        <v>16</v>
      </c>
      <c r="CN660" s="46" t="str">
        <f>IF(VLOOKUP(CM660,βοηθητικό!$J$2:$N$354,3,FALSE)="","",VLOOKUP(CM660,βοηθητικό!$J$2:$N$354,3,FALSE))</f>
        <v>_</v>
      </c>
      <c r="CO660" s="47"/>
      <c r="CP660" s="42" t="s">
        <v>16</v>
      </c>
      <c r="CQ660" s="43" t="str">
        <f>IF(VLOOKUP(CP660,βοηθητικό!$J$2:$N$354,3,FALSE)="","",VLOOKUP(CP660,βοηθητικό!$J$2:$N$354,3,FALSE))</f>
        <v>_</v>
      </c>
      <c r="CR660" s="44"/>
      <c r="CS660" s="45" t="s">
        <v>16</v>
      </c>
      <c r="CT660" s="46" t="str">
        <f>IF(VLOOKUP(CS660,βοηθητικό!$J$2:$N$354,3,FALSE)="","",VLOOKUP(CS660,βοηθητικό!$J$2:$N$354,3,FALSE))</f>
        <v>_</v>
      </c>
      <c r="CU660" s="47"/>
    </row>
    <row r="661" spans="1:99" x14ac:dyDescent="0.25">
      <c r="A661" s="37">
        <f>--SUBTOTAL(3,$B$3:B660)</f>
        <v>198</v>
      </c>
      <c r="B661" s="2"/>
      <c r="C661" s="3"/>
      <c r="D661" s="55" t="s">
        <v>18</v>
      </c>
      <c r="E661" s="38" t="s">
        <v>16</v>
      </c>
      <c r="F661" s="38"/>
      <c r="G661" s="39" t="str">
        <f t="shared" si="32"/>
        <v>__</v>
      </c>
      <c r="H661" s="40" t="str">
        <f t="shared" si="33"/>
        <v>FALSE</v>
      </c>
      <c r="I661" s="41">
        <f t="shared" si="34"/>
        <v>0</v>
      </c>
      <c r="J661" s="4" t="s">
        <v>16</v>
      </c>
      <c r="K661" s="43" t="str">
        <f>IF(VLOOKUP(J661,βοηθητικό!$J$2:$N$354,3,FALSE)="","",VLOOKUP(J661,βοηθητικό!$J$2:$N$354,3,FALSE))</f>
        <v>_</v>
      </c>
      <c r="L661" s="44"/>
      <c r="M661" s="5" t="s">
        <v>16</v>
      </c>
      <c r="N661" s="46" t="str">
        <f>IF(VLOOKUP(M661,βοηθητικό!$J$2:$N$354,3,FALSE)="","",VLOOKUP(M661,βοηθητικό!$J$2:$N$354,3,FALSE))</f>
        <v>_</v>
      </c>
      <c r="O661" s="47"/>
      <c r="P661" s="4" t="s">
        <v>16</v>
      </c>
      <c r="Q661" s="43" t="str">
        <f>IF(VLOOKUP(P661,βοηθητικό!$J$2:$N$354,3,FALSE)="","",VLOOKUP(P661,βοηθητικό!$J$2:$N$354,3,FALSE))</f>
        <v>_</v>
      </c>
      <c r="R661" s="44"/>
      <c r="S661" s="5" t="s">
        <v>16</v>
      </c>
      <c r="T661" s="46" t="str">
        <f>IF(VLOOKUP(S661,βοηθητικό!$J$2:$N$354,3,FALSE)="","",VLOOKUP(S661,βοηθητικό!$J$2:$N$354,3,FALSE))</f>
        <v>_</v>
      </c>
      <c r="U661" s="47"/>
      <c r="V661" s="4" t="s">
        <v>16</v>
      </c>
      <c r="W661" s="43" t="str">
        <f>IF(VLOOKUP(V661,βοηθητικό!$J$2:$N$354,3,FALSE)="","",VLOOKUP(V661,βοηθητικό!$J$2:$N$354,3,FALSE))</f>
        <v>_</v>
      </c>
      <c r="X661" s="44"/>
      <c r="Y661" s="5" t="s">
        <v>16</v>
      </c>
      <c r="Z661" s="46" t="str">
        <f>IF(VLOOKUP(Y661,βοηθητικό!$J$2:$N$354,3,FALSE)="","",VLOOKUP(Y661,βοηθητικό!$J$2:$N$354,3,FALSE))</f>
        <v>_</v>
      </c>
      <c r="AA661" s="47"/>
      <c r="AB661" s="4" t="s">
        <v>16</v>
      </c>
      <c r="AC661" s="43" t="str">
        <f>IF(VLOOKUP(AB661,βοηθητικό!$J$2:$N$354,3,FALSE)="","",VLOOKUP(AB661,βοηθητικό!$J$2:$N$354,3,FALSE))</f>
        <v>_</v>
      </c>
      <c r="AD661" s="44"/>
      <c r="AE661" s="5" t="s">
        <v>16</v>
      </c>
      <c r="AF661" s="46" t="str">
        <f>IF(VLOOKUP(AE661,βοηθητικό!$J$2:$N$354,3,FALSE)="","",VLOOKUP(AE661,βοηθητικό!$J$2:$N$354,3,FALSE))</f>
        <v>_</v>
      </c>
      <c r="AG661" s="47"/>
      <c r="AH661" s="4" t="s">
        <v>16</v>
      </c>
      <c r="AI661" s="43" t="str">
        <f>IF(VLOOKUP(AH661,βοηθητικό!$J$2:$N$354,3,FALSE)="","",VLOOKUP(AH661,βοηθητικό!$J$2:$N$354,3,FALSE))</f>
        <v>_</v>
      </c>
      <c r="AJ661" s="44"/>
      <c r="AK661" s="5" t="s">
        <v>16</v>
      </c>
      <c r="AL661" s="46" t="str">
        <f>IF(VLOOKUP(AK661,βοηθητικό!$J$2:$N$354,3,FALSE)="","",VLOOKUP(AK661,βοηθητικό!$J$2:$N$354,3,FALSE))</f>
        <v>_</v>
      </c>
      <c r="AM661" s="47"/>
      <c r="AN661" s="4" t="s">
        <v>16</v>
      </c>
      <c r="AO661" s="43" t="str">
        <f>IF(VLOOKUP(AN661,βοηθητικό!$J$2:$N$354,3,FALSE)="","",VLOOKUP(AN661,βοηθητικό!$J$2:$N$354,3,FALSE))</f>
        <v>_</v>
      </c>
      <c r="AP661" s="44"/>
      <c r="AQ661" s="5" t="s">
        <v>16</v>
      </c>
      <c r="AR661" s="46" t="str">
        <f>IF(VLOOKUP(AQ661,βοηθητικό!$J$2:$N$354,3,FALSE)="","",VLOOKUP(AQ661,βοηθητικό!$J$2:$N$354,3,FALSE))</f>
        <v>_</v>
      </c>
      <c r="AS661" s="47"/>
      <c r="AT661" s="4" t="s">
        <v>16</v>
      </c>
      <c r="AU661" s="43" t="str">
        <f>IF(VLOOKUP(AT661,βοηθητικό!$J$2:$N$354,3,FALSE)="","",VLOOKUP(AT661,βοηθητικό!$J$2:$N$354,3,FALSE))</f>
        <v>_</v>
      </c>
      <c r="AV661" s="44"/>
      <c r="AW661" s="5" t="s">
        <v>16</v>
      </c>
      <c r="AX661" s="46" t="str">
        <f>IF(VLOOKUP(AW661,βοηθητικό!$J$2:$N$354,3,FALSE)="","",VLOOKUP(AW661,βοηθητικό!$J$2:$N$354,3,FALSE))</f>
        <v>_</v>
      </c>
      <c r="AY661" s="47"/>
      <c r="AZ661" s="4" t="s">
        <v>16</v>
      </c>
      <c r="BA661" s="43" t="str">
        <f>IF(VLOOKUP(AZ661,βοηθητικό!$J$2:$N$354,3,FALSE)="","",VLOOKUP(AZ661,βοηθητικό!$J$2:$N$354,3,FALSE))</f>
        <v>_</v>
      </c>
      <c r="BB661" s="44"/>
      <c r="BC661" s="45" t="s">
        <v>16</v>
      </c>
      <c r="BD661" s="46" t="str">
        <f>IF(VLOOKUP(BC661,βοηθητικό!$J$2:$N$354,3,FALSE)="","",VLOOKUP(BC661,βοηθητικό!$J$2:$N$354,3,FALSE))</f>
        <v>_</v>
      </c>
      <c r="BE661" s="47"/>
      <c r="BF661" s="42" t="s">
        <v>16</v>
      </c>
      <c r="BG661" s="43" t="str">
        <f>IF(VLOOKUP(BF661,βοηθητικό!$J$2:$N$354,3,FALSE)="","",VLOOKUP(BF661,βοηθητικό!$J$2:$N$354,3,FALSE))</f>
        <v>_</v>
      </c>
      <c r="BH661" s="44"/>
      <c r="BI661" s="45" t="s">
        <v>16</v>
      </c>
      <c r="BJ661" s="46" t="str">
        <f>IF(VLOOKUP(BI661,βοηθητικό!$J$2:$N$354,3,FALSE)="","",VLOOKUP(BI661,βοηθητικό!$J$2:$N$354,3,FALSE))</f>
        <v>_</v>
      </c>
      <c r="BK661" s="47"/>
      <c r="BL661" s="42" t="s">
        <v>16</v>
      </c>
      <c r="BM661" s="43" t="str">
        <f>IF(VLOOKUP(BL661,βοηθητικό!$J$2:$N$354,3,FALSE)="","",VLOOKUP(BL661,βοηθητικό!$J$2:$N$354,3,FALSE))</f>
        <v>_</v>
      </c>
      <c r="BN661" s="44"/>
      <c r="BO661" s="45" t="s">
        <v>16</v>
      </c>
      <c r="BP661" s="46" t="str">
        <f>IF(VLOOKUP(BO661,βοηθητικό!$J$2:$N$354,3,FALSE)="","",VLOOKUP(BO661,βοηθητικό!$J$2:$N$354,3,FALSE))</f>
        <v>_</v>
      </c>
      <c r="BQ661" s="47"/>
      <c r="BR661" s="42" t="s">
        <v>16</v>
      </c>
      <c r="BS661" s="43" t="str">
        <f>IF(VLOOKUP(BR661,βοηθητικό!$J$2:$N$354,3,FALSE)="","",VLOOKUP(BR661,βοηθητικό!$J$2:$N$354,3,FALSE))</f>
        <v>_</v>
      </c>
      <c r="BT661" s="44"/>
      <c r="BU661" s="45" t="s">
        <v>16</v>
      </c>
      <c r="BV661" s="46" t="str">
        <f>IF(VLOOKUP(BU661,βοηθητικό!$J$2:$N$354,3,FALSE)="","",VLOOKUP(BU661,βοηθητικό!$J$2:$N$354,3,FALSE))</f>
        <v>_</v>
      </c>
      <c r="BW661" s="47"/>
      <c r="BX661" s="42" t="s">
        <v>16</v>
      </c>
      <c r="BY661" s="43" t="str">
        <f>IF(VLOOKUP(BX661,βοηθητικό!$J$2:$N$354,3,FALSE)="","",VLOOKUP(BX661,βοηθητικό!$J$2:$N$354,3,FALSE))</f>
        <v>_</v>
      </c>
      <c r="BZ661" s="44"/>
      <c r="CA661" s="45" t="s">
        <v>16</v>
      </c>
      <c r="CB661" s="46" t="str">
        <f>IF(VLOOKUP(CA661,βοηθητικό!$J$2:$N$354,3,FALSE)="","",VLOOKUP(CA661,βοηθητικό!$J$2:$N$354,3,FALSE))</f>
        <v>_</v>
      </c>
      <c r="CC661" s="47"/>
      <c r="CD661" s="42" t="s">
        <v>16</v>
      </c>
      <c r="CE661" s="43" t="str">
        <f>IF(VLOOKUP(CD661,βοηθητικό!$J$2:$N$354,3,FALSE)="","",VLOOKUP(CD661,βοηθητικό!$J$2:$N$354,3,FALSE))</f>
        <v>_</v>
      </c>
      <c r="CF661" s="44"/>
      <c r="CG661" s="45" t="s">
        <v>16</v>
      </c>
      <c r="CH661" s="46" t="str">
        <f>IF(VLOOKUP(CG661,βοηθητικό!$J$2:$N$354,3,FALSE)="","",VLOOKUP(CG661,βοηθητικό!$J$2:$N$354,3,FALSE))</f>
        <v>_</v>
      </c>
      <c r="CI661" s="47"/>
      <c r="CJ661" s="42" t="s">
        <v>16</v>
      </c>
      <c r="CK661" s="43" t="str">
        <f>IF(VLOOKUP(CJ661,βοηθητικό!$J$2:$N$354,3,FALSE)="","",VLOOKUP(CJ661,βοηθητικό!$J$2:$N$354,3,FALSE))</f>
        <v>_</v>
      </c>
      <c r="CL661" s="44"/>
      <c r="CM661" s="45" t="s">
        <v>16</v>
      </c>
      <c r="CN661" s="46" t="str">
        <f>IF(VLOOKUP(CM661,βοηθητικό!$J$2:$N$354,3,FALSE)="","",VLOOKUP(CM661,βοηθητικό!$J$2:$N$354,3,FALSE))</f>
        <v>_</v>
      </c>
      <c r="CO661" s="47"/>
      <c r="CP661" s="42" t="s">
        <v>16</v>
      </c>
      <c r="CQ661" s="43" t="str">
        <f>IF(VLOOKUP(CP661,βοηθητικό!$J$2:$N$354,3,FALSE)="","",VLOOKUP(CP661,βοηθητικό!$J$2:$N$354,3,FALSE))</f>
        <v>_</v>
      </c>
      <c r="CR661" s="44"/>
      <c r="CS661" s="45" t="s">
        <v>16</v>
      </c>
      <c r="CT661" s="46" t="str">
        <f>IF(VLOOKUP(CS661,βοηθητικό!$J$2:$N$354,3,FALSE)="","",VLOOKUP(CS661,βοηθητικό!$J$2:$N$354,3,FALSE))</f>
        <v>_</v>
      </c>
      <c r="CU661" s="47"/>
    </row>
    <row r="662" spans="1:99" x14ac:dyDescent="0.25">
      <c r="A662" s="37">
        <f>--SUBTOTAL(3,$B$3:B661)</f>
        <v>198</v>
      </c>
      <c r="B662" s="2"/>
      <c r="C662" s="3"/>
      <c r="D662" s="55" t="s">
        <v>18</v>
      </c>
      <c r="E662" s="38" t="s">
        <v>16</v>
      </c>
      <c r="F662" s="38"/>
      <c r="G662" s="39" t="str">
        <f t="shared" si="32"/>
        <v>__</v>
      </c>
      <c r="H662" s="40" t="str">
        <f t="shared" si="33"/>
        <v>FALSE</v>
      </c>
      <c r="I662" s="41">
        <f t="shared" si="34"/>
        <v>0</v>
      </c>
      <c r="J662" s="4" t="s">
        <v>16</v>
      </c>
      <c r="K662" s="43" t="str">
        <f>IF(VLOOKUP(J662,βοηθητικό!$J$2:$N$354,3,FALSE)="","",VLOOKUP(J662,βοηθητικό!$J$2:$N$354,3,FALSE))</f>
        <v>_</v>
      </c>
      <c r="L662" s="44"/>
      <c r="M662" s="5" t="s">
        <v>16</v>
      </c>
      <c r="N662" s="46" t="str">
        <f>IF(VLOOKUP(M662,βοηθητικό!$J$2:$N$354,3,FALSE)="","",VLOOKUP(M662,βοηθητικό!$J$2:$N$354,3,FALSE))</f>
        <v>_</v>
      </c>
      <c r="O662" s="47"/>
      <c r="P662" s="4" t="s">
        <v>16</v>
      </c>
      <c r="Q662" s="43" t="str">
        <f>IF(VLOOKUP(P662,βοηθητικό!$J$2:$N$354,3,FALSE)="","",VLOOKUP(P662,βοηθητικό!$J$2:$N$354,3,FALSE))</f>
        <v>_</v>
      </c>
      <c r="R662" s="44"/>
      <c r="S662" s="5" t="s">
        <v>16</v>
      </c>
      <c r="T662" s="46" t="str">
        <f>IF(VLOOKUP(S662,βοηθητικό!$J$2:$N$354,3,FALSE)="","",VLOOKUP(S662,βοηθητικό!$J$2:$N$354,3,FALSE))</f>
        <v>_</v>
      </c>
      <c r="U662" s="47"/>
      <c r="V662" s="4" t="s">
        <v>16</v>
      </c>
      <c r="W662" s="43" t="str">
        <f>IF(VLOOKUP(V662,βοηθητικό!$J$2:$N$354,3,FALSE)="","",VLOOKUP(V662,βοηθητικό!$J$2:$N$354,3,FALSE))</f>
        <v>_</v>
      </c>
      <c r="X662" s="44"/>
      <c r="Y662" s="5" t="s">
        <v>16</v>
      </c>
      <c r="Z662" s="46" t="str">
        <f>IF(VLOOKUP(Y662,βοηθητικό!$J$2:$N$354,3,FALSE)="","",VLOOKUP(Y662,βοηθητικό!$J$2:$N$354,3,FALSE))</f>
        <v>_</v>
      </c>
      <c r="AA662" s="47"/>
      <c r="AB662" s="4" t="s">
        <v>16</v>
      </c>
      <c r="AC662" s="43" t="str">
        <f>IF(VLOOKUP(AB662,βοηθητικό!$J$2:$N$354,3,FALSE)="","",VLOOKUP(AB662,βοηθητικό!$J$2:$N$354,3,FALSE))</f>
        <v>_</v>
      </c>
      <c r="AD662" s="44"/>
      <c r="AE662" s="5" t="s">
        <v>16</v>
      </c>
      <c r="AF662" s="46" t="str">
        <f>IF(VLOOKUP(AE662,βοηθητικό!$J$2:$N$354,3,FALSE)="","",VLOOKUP(AE662,βοηθητικό!$J$2:$N$354,3,FALSE))</f>
        <v>_</v>
      </c>
      <c r="AG662" s="47"/>
      <c r="AH662" s="4" t="s">
        <v>16</v>
      </c>
      <c r="AI662" s="43" t="str">
        <f>IF(VLOOKUP(AH662,βοηθητικό!$J$2:$N$354,3,FALSE)="","",VLOOKUP(AH662,βοηθητικό!$J$2:$N$354,3,FALSE))</f>
        <v>_</v>
      </c>
      <c r="AJ662" s="44"/>
      <c r="AK662" s="5" t="s">
        <v>16</v>
      </c>
      <c r="AL662" s="46" t="str">
        <f>IF(VLOOKUP(AK662,βοηθητικό!$J$2:$N$354,3,FALSE)="","",VLOOKUP(AK662,βοηθητικό!$J$2:$N$354,3,FALSE))</f>
        <v>_</v>
      </c>
      <c r="AM662" s="47"/>
      <c r="AN662" s="4" t="s">
        <v>16</v>
      </c>
      <c r="AO662" s="43" t="str">
        <f>IF(VLOOKUP(AN662,βοηθητικό!$J$2:$N$354,3,FALSE)="","",VLOOKUP(AN662,βοηθητικό!$J$2:$N$354,3,FALSE))</f>
        <v>_</v>
      </c>
      <c r="AP662" s="44"/>
      <c r="AQ662" s="5" t="s">
        <v>16</v>
      </c>
      <c r="AR662" s="46" t="str">
        <f>IF(VLOOKUP(AQ662,βοηθητικό!$J$2:$N$354,3,FALSE)="","",VLOOKUP(AQ662,βοηθητικό!$J$2:$N$354,3,FALSE))</f>
        <v>_</v>
      </c>
      <c r="AS662" s="47"/>
      <c r="AT662" s="4" t="s">
        <v>16</v>
      </c>
      <c r="AU662" s="43" t="str">
        <f>IF(VLOOKUP(AT662,βοηθητικό!$J$2:$N$354,3,FALSE)="","",VLOOKUP(AT662,βοηθητικό!$J$2:$N$354,3,FALSE))</f>
        <v>_</v>
      </c>
      <c r="AV662" s="44"/>
      <c r="AW662" s="5" t="s">
        <v>16</v>
      </c>
      <c r="AX662" s="46" t="str">
        <f>IF(VLOOKUP(AW662,βοηθητικό!$J$2:$N$354,3,FALSE)="","",VLOOKUP(AW662,βοηθητικό!$J$2:$N$354,3,FALSE))</f>
        <v>_</v>
      </c>
      <c r="AY662" s="47"/>
      <c r="AZ662" s="4" t="s">
        <v>16</v>
      </c>
      <c r="BA662" s="43" t="str">
        <f>IF(VLOOKUP(AZ662,βοηθητικό!$J$2:$N$354,3,FALSE)="","",VLOOKUP(AZ662,βοηθητικό!$J$2:$N$354,3,FALSE))</f>
        <v>_</v>
      </c>
      <c r="BB662" s="44"/>
      <c r="BC662" s="45" t="s">
        <v>16</v>
      </c>
      <c r="BD662" s="46" t="str">
        <f>IF(VLOOKUP(BC662,βοηθητικό!$J$2:$N$354,3,FALSE)="","",VLOOKUP(BC662,βοηθητικό!$J$2:$N$354,3,FALSE))</f>
        <v>_</v>
      </c>
      <c r="BE662" s="47"/>
      <c r="BF662" s="42" t="s">
        <v>16</v>
      </c>
      <c r="BG662" s="43" t="str">
        <f>IF(VLOOKUP(BF662,βοηθητικό!$J$2:$N$354,3,FALSE)="","",VLOOKUP(BF662,βοηθητικό!$J$2:$N$354,3,FALSE))</f>
        <v>_</v>
      </c>
      <c r="BH662" s="44"/>
      <c r="BI662" s="45" t="s">
        <v>16</v>
      </c>
      <c r="BJ662" s="46" t="str">
        <f>IF(VLOOKUP(BI662,βοηθητικό!$J$2:$N$354,3,FALSE)="","",VLOOKUP(BI662,βοηθητικό!$J$2:$N$354,3,FALSE))</f>
        <v>_</v>
      </c>
      <c r="BK662" s="47"/>
      <c r="BL662" s="42" t="s">
        <v>16</v>
      </c>
      <c r="BM662" s="43" t="str">
        <f>IF(VLOOKUP(BL662,βοηθητικό!$J$2:$N$354,3,FALSE)="","",VLOOKUP(BL662,βοηθητικό!$J$2:$N$354,3,FALSE))</f>
        <v>_</v>
      </c>
      <c r="BN662" s="44"/>
      <c r="BO662" s="45" t="s">
        <v>16</v>
      </c>
      <c r="BP662" s="46" t="str">
        <f>IF(VLOOKUP(BO662,βοηθητικό!$J$2:$N$354,3,FALSE)="","",VLOOKUP(BO662,βοηθητικό!$J$2:$N$354,3,FALSE))</f>
        <v>_</v>
      </c>
      <c r="BQ662" s="47"/>
      <c r="BR662" s="42" t="s">
        <v>16</v>
      </c>
      <c r="BS662" s="43" t="str">
        <f>IF(VLOOKUP(BR662,βοηθητικό!$J$2:$N$354,3,FALSE)="","",VLOOKUP(BR662,βοηθητικό!$J$2:$N$354,3,FALSE))</f>
        <v>_</v>
      </c>
      <c r="BT662" s="44"/>
      <c r="BU662" s="45" t="s">
        <v>16</v>
      </c>
      <c r="BV662" s="46" t="str">
        <f>IF(VLOOKUP(BU662,βοηθητικό!$J$2:$N$354,3,FALSE)="","",VLOOKUP(BU662,βοηθητικό!$J$2:$N$354,3,FALSE))</f>
        <v>_</v>
      </c>
      <c r="BW662" s="47"/>
      <c r="BX662" s="42" t="s">
        <v>16</v>
      </c>
      <c r="BY662" s="43" t="str">
        <f>IF(VLOOKUP(BX662,βοηθητικό!$J$2:$N$354,3,FALSE)="","",VLOOKUP(BX662,βοηθητικό!$J$2:$N$354,3,FALSE))</f>
        <v>_</v>
      </c>
      <c r="BZ662" s="44"/>
      <c r="CA662" s="45" t="s">
        <v>16</v>
      </c>
      <c r="CB662" s="46" t="str">
        <f>IF(VLOOKUP(CA662,βοηθητικό!$J$2:$N$354,3,FALSE)="","",VLOOKUP(CA662,βοηθητικό!$J$2:$N$354,3,FALSE))</f>
        <v>_</v>
      </c>
      <c r="CC662" s="47"/>
      <c r="CD662" s="42" t="s">
        <v>16</v>
      </c>
      <c r="CE662" s="43" t="str">
        <f>IF(VLOOKUP(CD662,βοηθητικό!$J$2:$N$354,3,FALSE)="","",VLOOKUP(CD662,βοηθητικό!$J$2:$N$354,3,FALSE))</f>
        <v>_</v>
      </c>
      <c r="CF662" s="44"/>
      <c r="CG662" s="45" t="s">
        <v>16</v>
      </c>
      <c r="CH662" s="46" t="str">
        <f>IF(VLOOKUP(CG662,βοηθητικό!$J$2:$N$354,3,FALSE)="","",VLOOKUP(CG662,βοηθητικό!$J$2:$N$354,3,FALSE))</f>
        <v>_</v>
      </c>
      <c r="CI662" s="47"/>
      <c r="CJ662" s="42" t="s">
        <v>16</v>
      </c>
      <c r="CK662" s="43" t="str">
        <f>IF(VLOOKUP(CJ662,βοηθητικό!$J$2:$N$354,3,FALSE)="","",VLOOKUP(CJ662,βοηθητικό!$J$2:$N$354,3,FALSE))</f>
        <v>_</v>
      </c>
      <c r="CL662" s="44"/>
      <c r="CM662" s="45" t="s">
        <v>16</v>
      </c>
      <c r="CN662" s="46" t="str">
        <f>IF(VLOOKUP(CM662,βοηθητικό!$J$2:$N$354,3,FALSE)="","",VLOOKUP(CM662,βοηθητικό!$J$2:$N$354,3,FALSE))</f>
        <v>_</v>
      </c>
      <c r="CO662" s="47"/>
      <c r="CP662" s="42" t="s">
        <v>16</v>
      </c>
      <c r="CQ662" s="43" t="str">
        <f>IF(VLOOKUP(CP662,βοηθητικό!$J$2:$N$354,3,FALSE)="","",VLOOKUP(CP662,βοηθητικό!$J$2:$N$354,3,FALSE))</f>
        <v>_</v>
      </c>
      <c r="CR662" s="44"/>
      <c r="CS662" s="45" t="s">
        <v>16</v>
      </c>
      <c r="CT662" s="46" t="str">
        <f>IF(VLOOKUP(CS662,βοηθητικό!$J$2:$N$354,3,FALSE)="","",VLOOKUP(CS662,βοηθητικό!$J$2:$N$354,3,FALSE))</f>
        <v>_</v>
      </c>
      <c r="CU662" s="47"/>
    </row>
    <row r="663" spans="1:99" x14ac:dyDescent="0.25">
      <c r="A663" s="37">
        <f>--SUBTOTAL(3,$B$3:B662)</f>
        <v>198</v>
      </c>
      <c r="B663" s="2"/>
      <c r="C663" s="3"/>
      <c r="D663" s="55" t="s">
        <v>18</v>
      </c>
      <c r="E663" s="38" t="s">
        <v>16</v>
      </c>
      <c r="F663" s="38"/>
      <c r="G663" s="39" t="str">
        <f t="shared" si="32"/>
        <v>__</v>
      </c>
      <c r="H663" s="40" t="str">
        <f t="shared" si="33"/>
        <v>FALSE</v>
      </c>
      <c r="I663" s="41">
        <f t="shared" si="34"/>
        <v>0</v>
      </c>
      <c r="J663" s="4" t="s">
        <v>16</v>
      </c>
      <c r="K663" s="43" t="str">
        <f>IF(VLOOKUP(J663,βοηθητικό!$J$2:$N$354,3,FALSE)="","",VLOOKUP(J663,βοηθητικό!$J$2:$N$354,3,FALSE))</f>
        <v>_</v>
      </c>
      <c r="L663" s="44"/>
      <c r="M663" s="5" t="s">
        <v>16</v>
      </c>
      <c r="N663" s="46" t="str">
        <f>IF(VLOOKUP(M663,βοηθητικό!$J$2:$N$354,3,FALSE)="","",VLOOKUP(M663,βοηθητικό!$J$2:$N$354,3,FALSE))</f>
        <v>_</v>
      </c>
      <c r="O663" s="47"/>
      <c r="P663" s="4" t="s">
        <v>16</v>
      </c>
      <c r="Q663" s="43" t="str">
        <f>IF(VLOOKUP(P663,βοηθητικό!$J$2:$N$354,3,FALSE)="","",VLOOKUP(P663,βοηθητικό!$J$2:$N$354,3,FALSE))</f>
        <v>_</v>
      </c>
      <c r="R663" s="44"/>
      <c r="S663" s="5" t="s">
        <v>16</v>
      </c>
      <c r="T663" s="46" t="str">
        <f>IF(VLOOKUP(S663,βοηθητικό!$J$2:$N$354,3,FALSE)="","",VLOOKUP(S663,βοηθητικό!$J$2:$N$354,3,FALSE))</f>
        <v>_</v>
      </c>
      <c r="U663" s="47"/>
      <c r="V663" s="4" t="s">
        <v>16</v>
      </c>
      <c r="W663" s="43" t="str">
        <f>IF(VLOOKUP(V663,βοηθητικό!$J$2:$N$354,3,FALSE)="","",VLOOKUP(V663,βοηθητικό!$J$2:$N$354,3,FALSE))</f>
        <v>_</v>
      </c>
      <c r="X663" s="44"/>
      <c r="Y663" s="5" t="s">
        <v>16</v>
      </c>
      <c r="Z663" s="46" t="str">
        <f>IF(VLOOKUP(Y663,βοηθητικό!$J$2:$N$354,3,FALSE)="","",VLOOKUP(Y663,βοηθητικό!$J$2:$N$354,3,FALSE))</f>
        <v>_</v>
      </c>
      <c r="AA663" s="47"/>
      <c r="AB663" s="4" t="s">
        <v>16</v>
      </c>
      <c r="AC663" s="43" t="str">
        <f>IF(VLOOKUP(AB663,βοηθητικό!$J$2:$N$354,3,FALSE)="","",VLOOKUP(AB663,βοηθητικό!$J$2:$N$354,3,FALSE))</f>
        <v>_</v>
      </c>
      <c r="AD663" s="44"/>
      <c r="AE663" s="5" t="s">
        <v>16</v>
      </c>
      <c r="AF663" s="46" t="str">
        <f>IF(VLOOKUP(AE663,βοηθητικό!$J$2:$N$354,3,FALSE)="","",VLOOKUP(AE663,βοηθητικό!$J$2:$N$354,3,FALSE))</f>
        <v>_</v>
      </c>
      <c r="AG663" s="47"/>
      <c r="AH663" s="4" t="s">
        <v>16</v>
      </c>
      <c r="AI663" s="43" t="str">
        <f>IF(VLOOKUP(AH663,βοηθητικό!$J$2:$N$354,3,FALSE)="","",VLOOKUP(AH663,βοηθητικό!$J$2:$N$354,3,FALSE))</f>
        <v>_</v>
      </c>
      <c r="AJ663" s="44"/>
      <c r="AK663" s="5" t="s">
        <v>16</v>
      </c>
      <c r="AL663" s="46" t="str">
        <f>IF(VLOOKUP(AK663,βοηθητικό!$J$2:$N$354,3,FALSE)="","",VLOOKUP(AK663,βοηθητικό!$J$2:$N$354,3,FALSE))</f>
        <v>_</v>
      </c>
      <c r="AM663" s="47"/>
      <c r="AN663" s="4" t="s">
        <v>16</v>
      </c>
      <c r="AO663" s="43" t="str">
        <f>IF(VLOOKUP(AN663,βοηθητικό!$J$2:$N$354,3,FALSE)="","",VLOOKUP(AN663,βοηθητικό!$J$2:$N$354,3,FALSE))</f>
        <v>_</v>
      </c>
      <c r="AP663" s="44"/>
      <c r="AQ663" s="5" t="s">
        <v>16</v>
      </c>
      <c r="AR663" s="46" t="str">
        <f>IF(VLOOKUP(AQ663,βοηθητικό!$J$2:$N$354,3,FALSE)="","",VLOOKUP(AQ663,βοηθητικό!$J$2:$N$354,3,FALSE))</f>
        <v>_</v>
      </c>
      <c r="AS663" s="47"/>
      <c r="AT663" s="4" t="s">
        <v>16</v>
      </c>
      <c r="AU663" s="43" t="str">
        <f>IF(VLOOKUP(AT663,βοηθητικό!$J$2:$N$354,3,FALSE)="","",VLOOKUP(AT663,βοηθητικό!$J$2:$N$354,3,FALSE))</f>
        <v>_</v>
      </c>
      <c r="AV663" s="44"/>
      <c r="AW663" s="5" t="s">
        <v>16</v>
      </c>
      <c r="AX663" s="46" t="str">
        <f>IF(VLOOKUP(AW663,βοηθητικό!$J$2:$N$354,3,FALSE)="","",VLOOKUP(AW663,βοηθητικό!$J$2:$N$354,3,FALSE))</f>
        <v>_</v>
      </c>
      <c r="AY663" s="47"/>
      <c r="AZ663" s="4" t="s">
        <v>16</v>
      </c>
      <c r="BA663" s="43" t="str">
        <f>IF(VLOOKUP(AZ663,βοηθητικό!$J$2:$N$354,3,FALSE)="","",VLOOKUP(AZ663,βοηθητικό!$J$2:$N$354,3,FALSE))</f>
        <v>_</v>
      </c>
      <c r="BB663" s="44"/>
      <c r="BC663" s="45" t="s">
        <v>16</v>
      </c>
      <c r="BD663" s="46" t="str">
        <f>IF(VLOOKUP(BC663,βοηθητικό!$J$2:$N$354,3,FALSE)="","",VLOOKUP(BC663,βοηθητικό!$J$2:$N$354,3,FALSE))</f>
        <v>_</v>
      </c>
      <c r="BE663" s="47"/>
      <c r="BF663" s="42" t="s">
        <v>16</v>
      </c>
      <c r="BG663" s="43" t="str">
        <f>IF(VLOOKUP(BF663,βοηθητικό!$J$2:$N$354,3,FALSE)="","",VLOOKUP(BF663,βοηθητικό!$J$2:$N$354,3,FALSE))</f>
        <v>_</v>
      </c>
      <c r="BH663" s="44"/>
      <c r="BI663" s="45" t="s">
        <v>16</v>
      </c>
      <c r="BJ663" s="46" t="str">
        <f>IF(VLOOKUP(BI663,βοηθητικό!$J$2:$N$354,3,FALSE)="","",VLOOKUP(BI663,βοηθητικό!$J$2:$N$354,3,FALSE))</f>
        <v>_</v>
      </c>
      <c r="BK663" s="47"/>
      <c r="BL663" s="42" t="s">
        <v>16</v>
      </c>
      <c r="BM663" s="43" t="str">
        <f>IF(VLOOKUP(BL663,βοηθητικό!$J$2:$N$354,3,FALSE)="","",VLOOKUP(BL663,βοηθητικό!$J$2:$N$354,3,FALSE))</f>
        <v>_</v>
      </c>
      <c r="BN663" s="44"/>
      <c r="BO663" s="45" t="s">
        <v>16</v>
      </c>
      <c r="BP663" s="46" t="str">
        <f>IF(VLOOKUP(BO663,βοηθητικό!$J$2:$N$354,3,FALSE)="","",VLOOKUP(BO663,βοηθητικό!$J$2:$N$354,3,FALSE))</f>
        <v>_</v>
      </c>
      <c r="BQ663" s="47"/>
      <c r="BR663" s="42" t="s">
        <v>16</v>
      </c>
      <c r="BS663" s="43" t="str">
        <f>IF(VLOOKUP(BR663,βοηθητικό!$J$2:$N$354,3,FALSE)="","",VLOOKUP(BR663,βοηθητικό!$J$2:$N$354,3,FALSE))</f>
        <v>_</v>
      </c>
      <c r="BT663" s="44"/>
      <c r="BU663" s="45" t="s">
        <v>16</v>
      </c>
      <c r="BV663" s="46" t="str">
        <f>IF(VLOOKUP(BU663,βοηθητικό!$J$2:$N$354,3,FALSE)="","",VLOOKUP(BU663,βοηθητικό!$J$2:$N$354,3,FALSE))</f>
        <v>_</v>
      </c>
      <c r="BW663" s="47"/>
      <c r="BX663" s="42" t="s">
        <v>16</v>
      </c>
      <c r="BY663" s="43" t="str">
        <f>IF(VLOOKUP(BX663,βοηθητικό!$J$2:$N$354,3,FALSE)="","",VLOOKUP(BX663,βοηθητικό!$J$2:$N$354,3,FALSE))</f>
        <v>_</v>
      </c>
      <c r="BZ663" s="44"/>
      <c r="CA663" s="45" t="s">
        <v>16</v>
      </c>
      <c r="CB663" s="46" t="str">
        <f>IF(VLOOKUP(CA663,βοηθητικό!$J$2:$N$354,3,FALSE)="","",VLOOKUP(CA663,βοηθητικό!$J$2:$N$354,3,FALSE))</f>
        <v>_</v>
      </c>
      <c r="CC663" s="47"/>
      <c r="CD663" s="42" t="s">
        <v>16</v>
      </c>
      <c r="CE663" s="43" t="str">
        <f>IF(VLOOKUP(CD663,βοηθητικό!$J$2:$N$354,3,FALSE)="","",VLOOKUP(CD663,βοηθητικό!$J$2:$N$354,3,FALSE))</f>
        <v>_</v>
      </c>
      <c r="CF663" s="44"/>
      <c r="CG663" s="45" t="s">
        <v>16</v>
      </c>
      <c r="CH663" s="46" t="str">
        <f>IF(VLOOKUP(CG663,βοηθητικό!$J$2:$N$354,3,FALSE)="","",VLOOKUP(CG663,βοηθητικό!$J$2:$N$354,3,FALSE))</f>
        <v>_</v>
      </c>
      <c r="CI663" s="47"/>
      <c r="CJ663" s="42" t="s">
        <v>16</v>
      </c>
      <c r="CK663" s="43" t="str">
        <f>IF(VLOOKUP(CJ663,βοηθητικό!$J$2:$N$354,3,FALSE)="","",VLOOKUP(CJ663,βοηθητικό!$J$2:$N$354,3,FALSE))</f>
        <v>_</v>
      </c>
      <c r="CL663" s="44"/>
      <c r="CM663" s="45" t="s">
        <v>16</v>
      </c>
      <c r="CN663" s="46" t="str">
        <f>IF(VLOOKUP(CM663,βοηθητικό!$J$2:$N$354,3,FALSE)="","",VLOOKUP(CM663,βοηθητικό!$J$2:$N$354,3,FALSE))</f>
        <v>_</v>
      </c>
      <c r="CO663" s="47"/>
      <c r="CP663" s="42" t="s">
        <v>16</v>
      </c>
      <c r="CQ663" s="43" t="str">
        <f>IF(VLOOKUP(CP663,βοηθητικό!$J$2:$N$354,3,FALSE)="","",VLOOKUP(CP663,βοηθητικό!$J$2:$N$354,3,FALSE))</f>
        <v>_</v>
      </c>
      <c r="CR663" s="44"/>
      <c r="CS663" s="45" t="s">
        <v>16</v>
      </c>
      <c r="CT663" s="46" t="str">
        <f>IF(VLOOKUP(CS663,βοηθητικό!$J$2:$N$354,3,FALSE)="","",VLOOKUP(CS663,βοηθητικό!$J$2:$N$354,3,FALSE))</f>
        <v>_</v>
      </c>
      <c r="CU663" s="47"/>
    </row>
    <row r="664" spans="1:99" x14ac:dyDescent="0.25">
      <c r="A664" s="37">
        <f>--SUBTOTAL(3,$B$3:B663)</f>
        <v>198</v>
      </c>
      <c r="B664" s="2"/>
      <c r="C664" s="3"/>
      <c r="D664" s="55" t="s">
        <v>18</v>
      </c>
      <c r="E664" s="38" t="s">
        <v>16</v>
      </c>
      <c r="F664" s="38"/>
      <c r="G664" s="39" t="str">
        <f t="shared" si="32"/>
        <v>__</v>
      </c>
      <c r="H664" s="40" t="str">
        <f t="shared" si="33"/>
        <v>FALSE</v>
      </c>
      <c r="I664" s="41">
        <f t="shared" si="34"/>
        <v>0</v>
      </c>
      <c r="J664" s="4" t="s">
        <v>16</v>
      </c>
      <c r="K664" s="43" t="str">
        <f>IF(VLOOKUP(J664,βοηθητικό!$J$2:$N$354,3,FALSE)="","",VLOOKUP(J664,βοηθητικό!$J$2:$N$354,3,FALSE))</f>
        <v>_</v>
      </c>
      <c r="L664" s="44"/>
      <c r="M664" s="5" t="s">
        <v>16</v>
      </c>
      <c r="N664" s="46" t="str">
        <f>IF(VLOOKUP(M664,βοηθητικό!$J$2:$N$354,3,FALSE)="","",VLOOKUP(M664,βοηθητικό!$J$2:$N$354,3,FALSE))</f>
        <v>_</v>
      </c>
      <c r="O664" s="47"/>
      <c r="P664" s="4" t="s">
        <v>16</v>
      </c>
      <c r="Q664" s="43" t="str">
        <f>IF(VLOOKUP(P664,βοηθητικό!$J$2:$N$354,3,FALSE)="","",VLOOKUP(P664,βοηθητικό!$J$2:$N$354,3,FALSE))</f>
        <v>_</v>
      </c>
      <c r="R664" s="44"/>
      <c r="S664" s="5" t="s">
        <v>16</v>
      </c>
      <c r="T664" s="46" t="str">
        <f>IF(VLOOKUP(S664,βοηθητικό!$J$2:$N$354,3,FALSE)="","",VLOOKUP(S664,βοηθητικό!$J$2:$N$354,3,FALSE))</f>
        <v>_</v>
      </c>
      <c r="U664" s="47"/>
      <c r="V664" s="4" t="s">
        <v>16</v>
      </c>
      <c r="W664" s="43" t="str">
        <f>IF(VLOOKUP(V664,βοηθητικό!$J$2:$N$354,3,FALSE)="","",VLOOKUP(V664,βοηθητικό!$J$2:$N$354,3,FALSE))</f>
        <v>_</v>
      </c>
      <c r="X664" s="44"/>
      <c r="Y664" s="5" t="s">
        <v>16</v>
      </c>
      <c r="Z664" s="46" t="str">
        <f>IF(VLOOKUP(Y664,βοηθητικό!$J$2:$N$354,3,FALSE)="","",VLOOKUP(Y664,βοηθητικό!$J$2:$N$354,3,FALSE))</f>
        <v>_</v>
      </c>
      <c r="AA664" s="47"/>
      <c r="AB664" s="4" t="s">
        <v>16</v>
      </c>
      <c r="AC664" s="43" t="str">
        <f>IF(VLOOKUP(AB664,βοηθητικό!$J$2:$N$354,3,FALSE)="","",VLOOKUP(AB664,βοηθητικό!$J$2:$N$354,3,FALSE))</f>
        <v>_</v>
      </c>
      <c r="AD664" s="44"/>
      <c r="AE664" s="5" t="s">
        <v>16</v>
      </c>
      <c r="AF664" s="46" t="str">
        <f>IF(VLOOKUP(AE664,βοηθητικό!$J$2:$N$354,3,FALSE)="","",VLOOKUP(AE664,βοηθητικό!$J$2:$N$354,3,FALSE))</f>
        <v>_</v>
      </c>
      <c r="AG664" s="47"/>
      <c r="AH664" s="4" t="s">
        <v>16</v>
      </c>
      <c r="AI664" s="43" t="str">
        <f>IF(VLOOKUP(AH664,βοηθητικό!$J$2:$N$354,3,FALSE)="","",VLOOKUP(AH664,βοηθητικό!$J$2:$N$354,3,FALSE))</f>
        <v>_</v>
      </c>
      <c r="AJ664" s="44"/>
      <c r="AK664" s="5" t="s">
        <v>16</v>
      </c>
      <c r="AL664" s="46" t="str">
        <f>IF(VLOOKUP(AK664,βοηθητικό!$J$2:$N$354,3,FALSE)="","",VLOOKUP(AK664,βοηθητικό!$J$2:$N$354,3,FALSE))</f>
        <v>_</v>
      </c>
      <c r="AM664" s="47"/>
      <c r="AN664" s="4" t="s">
        <v>16</v>
      </c>
      <c r="AO664" s="43" t="str">
        <f>IF(VLOOKUP(AN664,βοηθητικό!$J$2:$N$354,3,FALSE)="","",VLOOKUP(AN664,βοηθητικό!$J$2:$N$354,3,FALSE))</f>
        <v>_</v>
      </c>
      <c r="AP664" s="44"/>
      <c r="AQ664" s="5" t="s">
        <v>16</v>
      </c>
      <c r="AR664" s="46" t="str">
        <f>IF(VLOOKUP(AQ664,βοηθητικό!$J$2:$N$354,3,FALSE)="","",VLOOKUP(AQ664,βοηθητικό!$J$2:$N$354,3,FALSE))</f>
        <v>_</v>
      </c>
      <c r="AS664" s="47"/>
      <c r="AT664" s="4" t="s">
        <v>16</v>
      </c>
      <c r="AU664" s="43" t="str">
        <f>IF(VLOOKUP(AT664,βοηθητικό!$J$2:$N$354,3,FALSE)="","",VLOOKUP(AT664,βοηθητικό!$J$2:$N$354,3,FALSE))</f>
        <v>_</v>
      </c>
      <c r="AV664" s="44"/>
      <c r="AW664" s="5" t="s">
        <v>16</v>
      </c>
      <c r="AX664" s="46" t="str">
        <f>IF(VLOOKUP(AW664,βοηθητικό!$J$2:$N$354,3,FALSE)="","",VLOOKUP(AW664,βοηθητικό!$J$2:$N$354,3,FALSE))</f>
        <v>_</v>
      </c>
      <c r="AY664" s="47"/>
      <c r="AZ664" s="4" t="s">
        <v>16</v>
      </c>
      <c r="BA664" s="43" t="str">
        <f>IF(VLOOKUP(AZ664,βοηθητικό!$J$2:$N$354,3,FALSE)="","",VLOOKUP(AZ664,βοηθητικό!$J$2:$N$354,3,FALSE))</f>
        <v>_</v>
      </c>
      <c r="BB664" s="44"/>
      <c r="BC664" s="45" t="s">
        <v>16</v>
      </c>
      <c r="BD664" s="46" t="str">
        <f>IF(VLOOKUP(BC664,βοηθητικό!$J$2:$N$354,3,FALSE)="","",VLOOKUP(BC664,βοηθητικό!$J$2:$N$354,3,FALSE))</f>
        <v>_</v>
      </c>
      <c r="BE664" s="47"/>
      <c r="BF664" s="42" t="s">
        <v>16</v>
      </c>
      <c r="BG664" s="43" t="str">
        <f>IF(VLOOKUP(BF664,βοηθητικό!$J$2:$N$354,3,FALSE)="","",VLOOKUP(BF664,βοηθητικό!$J$2:$N$354,3,FALSE))</f>
        <v>_</v>
      </c>
      <c r="BH664" s="44"/>
      <c r="BI664" s="45" t="s">
        <v>16</v>
      </c>
      <c r="BJ664" s="46" t="str">
        <f>IF(VLOOKUP(BI664,βοηθητικό!$J$2:$N$354,3,FALSE)="","",VLOOKUP(BI664,βοηθητικό!$J$2:$N$354,3,FALSE))</f>
        <v>_</v>
      </c>
      <c r="BK664" s="47"/>
      <c r="BL664" s="42" t="s">
        <v>16</v>
      </c>
      <c r="BM664" s="43" t="str">
        <f>IF(VLOOKUP(BL664,βοηθητικό!$J$2:$N$354,3,FALSE)="","",VLOOKUP(BL664,βοηθητικό!$J$2:$N$354,3,FALSE))</f>
        <v>_</v>
      </c>
      <c r="BN664" s="44"/>
      <c r="BO664" s="45" t="s">
        <v>16</v>
      </c>
      <c r="BP664" s="46" t="str">
        <f>IF(VLOOKUP(BO664,βοηθητικό!$J$2:$N$354,3,FALSE)="","",VLOOKUP(BO664,βοηθητικό!$J$2:$N$354,3,FALSE))</f>
        <v>_</v>
      </c>
      <c r="BQ664" s="47"/>
      <c r="BR664" s="42" t="s">
        <v>16</v>
      </c>
      <c r="BS664" s="43" t="str">
        <f>IF(VLOOKUP(BR664,βοηθητικό!$J$2:$N$354,3,FALSE)="","",VLOOKUP(BR664,βοηθητικό!$J$2:$N$354,3,FALSE))</f>
        <v>_</v>
      </c>
      <c r="BT664" s="44"/>
      <c r="BU664" s="45" t="s">
        <v>16</v>
      </c>
      <c r="BV664" s="46" t="str">
        <f>IF(VLOOKUP(BU664,βοηθητικό!$J$2:$N$354,3,FALSE)="","",VLOOKUP(BU664,βοηθητικό!$J$2:$N$354,3,FALSE))</f>
        <v>_</v>
      </c>
      <c r="BW664" s="47"/>
      <c r="BX664" s="42" t="s">
        <v>16</v>
      </c>
      <c r="BY664" s="43" t="str">
        <f>IF(VLOOKUP(BX664,βοηθητικό!$J$2:$N$354,3,FALSE)="","",VLOOKUP(BX664,βοηθητικό!$J$2:$N$354,3,FALSE))</f>
        <v>_</v>
      </c>
      <c r="BZ664" s="44"/>
      <c r="CA664" s="45" t="s">
        <v>16</v>
      </c>
      <c r="CB664" s="46" t="str">
        <f>IF(VLOOKUP(CA664,βοηθητικό!$J$2:$N$354,3,FALSE)="","",VLOOKUP(CA664,βοηθητικό!$J$2:$N$354,3,FALSE))</f>
        <v>_</v>
      </c>
      <c r="CC664" s="47"/>
      <c r="CD664" s="42" t="s">
        <v>16</v>
      </c>
      <c r="CE664" s="43" t="str">
        <f>IF(VLOOKUP(CD664,βοηθητικό!$J$2:$N$354,3,FALSE)="","",VLOOKUP(CD664,βοηθητικό!$J$2:$N$354,3,FALSE))</f>
        <v>_</v>
      </c>
      <c r="CF664" s="44"/>
      <c r="CG664" s="45" t="s">
        <v>16</v>
      </c>
      <c r="CH664" s="46" t="str">
        <f>IF(VLOOKUP(CG664,βοηθητικό!$J$2:$N$354,3,FALSE)="","",VLOOKUP(CG664,βοηθητικό!$J$2:$N$354,3,FALSE))</f>
        <v>_</v>
      </c>
      <c r="CI664" s="47"/>
      <c r="CJ664" s="42" t="s">
        <v>16</v>
      </c>
      <c r="CK664" s="43" t="str">
        <f>IF(VLOOKUP(CJ664,βοηθητικό!$J$2:$N$354,3,FALSE)="","",VLOOKUP(CJ664,βοηθητικό!$J$2:$N$354,3,FALSE))</f>
        <v>_</v>
      </c>
      <c r="CL664" s="44"/>
      <c r="CM664" s="45" t="s">
        <v>16</v>
      </c>
      <c r="CN664" s="46" t="str">
        <f>IF(VLOOKUP(CM664,βοηθητικό!$J$2:$N$354,3,FALSE)="","",VLOOKUP(CM664,βοηθητικό!$J$2:$N$354,3,FALSE))</f>
        <v>_</v>
      </c>
      <c r="CO664" s="47"/>
      <c r="CP664" s="42" t="s">
        <v>16</v>
      </c>
      <c r="CQ664" s="43" t="str">
        <f>IF(VLOOKUP(CP664,βοηθητικό!$J$2:$N$354,3,FALSE)="","",VLOOKUP(CP664,βοηθητικό!$J$2:$N$354,3,FALSE))</f>
        <v>_</v>
      </c>
      <c r="CR664" s="44"/>
      <c r="CS664" s="45" t="s">
        <v>16</v>
      </c>
      <c r="CT664" s="46" t="str">
        <f>IF(VLOOKUP(CS664,βοηθητικό!$J$2:$N$354,3,FALSE)="","",VLOOKUP(CS664,βοηθητικό!$J$2:$N$354,3,FALSE))</f>
        <v>_</v>
      </c>
      <c r="CU664" s="47"/>
    </row>
    <row r="665" spans="1:99" x14ac:dyDescent="0.25">
      <c r="A665" s="37">
        <f>--SUBTOTAL(3,$B$3:B664)</f>
        <v>198</v>
      </c>
      <c r="B665" s="2"/>
      <c r="C665" s="3"/>
      <c r="D665" s="55" t="s">
        <v>18</v>
      </c>
      <c r="E665" s="38" t="s">
        <v>16</v>
      </c>
      <c r="F665" s="38"/>
      <c r="G665" s="39" t="str">
        <f t="shared" si="32"/>
        <v>__</v>
      </c>
      <c r="H665" s="40" t="str">
        <f t="shared" si="33"/>
        <v>FALSE</v>
      </c>
      <c r="I665" s="41">
        <f t="shared" si="34"/>
        <v>0</v>
      </c>
      <c r="J665" s="4" t="s">
        <v>16</v>
      </c>
      <c r="K665" s="43" t="str">
        <f>IF(VLOOKUP(J665,βοηθητικό!$J$2:$N$354,3,FALSE)="","",VLOOKUP(J665,βοηθητικό!$J$2:$N$354,3,FALSE))</f>
        <v>_</v>
      </c>
      <c r="L665" s="44"/>
      <c r="M665" s="5" t="s">
        <v>16</v>
      </c>
      <c r="N665" s="46" t="str">
        <f>IF(VLOOKUP(M665,βοηθητικό!$J$2:$N$354,3,FALSE)="","",VLOOKUP(M665,βοηθητικό!$J$2:$N$354,3,FALSE))</f>
        <v>_</v>
      </c>
      <c r="O665" s="47"/>
      <c r="P665" s="4" t="s">
        <v>16</v>
      </c>
      <c r="Q665" s="43" t="str">
        <f>IF(VLOOKUP(P665,βοηθητικό!$J$2:$N$354,3,FALSE)="","",VLOOKUP(P665,βοηθητικό!$J$2:$N$354,3,FALSE))</f>
        <v>_</v>
      </c>
      <c r="R665" s="44"/>
      <c r="S665" s="5" t="s">
        <v>16</v>
      </c>
      <c r="T665" s="46" t="str">
        <f>IF(VLOOKUP(S665,βοηθητικό!$J$2:$N$354,3,FALSE)="","",VLOOKUP(S665,βοηθητικό!$J$2:$N$354,3,FALSE))</f>
        <v>_</v>
      </c>
      <c r="U665" s="47"/>
      <c r="V665" s="4" t="s">
        <v>16</v>
      </c>
      <c r="W665" s="43" t="str">
        <f>IF(VLOOKUP(V665,βοηθητικό!$J$2:$N$354,3,FALSE)="","",VLOOKUP(V665,βοηθητικό!$J$2:$N$354,3,FALSE))</f>
        <v>_</v>
      </c>
      <c r="X665" s="44"/>
      <c r="Y665" s="5" t="s">
        <v>16</v>
      </c>
      <c r="Z665" s="46" t="str">
        <f>IF(VLOOKUP(Y665,βοηθητικό!$J$2:$N$354,3,FALSE)="","",VLOOKUP(Y665,βοηθητικό!$J$2:$N$354,3,FALSE))</f>
        <v>_</v>
      </c>
      <c r="AA665" s="47"/>
      <c r="AB665" s="4" t="s">
        <v>16</v>
      </c>
      <c r="AC665" s="43" t="str">
        <f>IF(VLOOKUP(AB665,βοηθητικό!$J$2:$N$354,3,FALSE)="","",VLOOKUP(AB665,βοηθητικό!$J$2:$N$354,3,FALSE))</f>
        <v>_</v>
      </c>
      <c r="AD665" s="44"/>
      <c r="AE665" s="5" t="s">
        <v>16</v>
      </c>
      <c r="AF665" s="46" t="str">
        <f>IF(VLOOKUP(AE665,βοηθητικό!$J$2:$N$354,3,FALSE)="","",VLOOKUP(AE665,βοηθητικό!$J$2:$N$354,3,FALSE))</f>
        <v>_</v>
      </c>
      <c r="AG665" s="47"/>
      <c r="AH665" s="4" t="s">
        <v>16</v>
      </c>
      <c r="AI665" s="43" t="str">
        <f>IF(VLOOKUP(AH665,βοηθητικό!$J$2:$N$354,3,FALSE)="","",VLOOKUP(AH665,βοηθητικό!$J$2:$N$354,3,FALSE))</f>
        <v>_</v>
      </c>
      <c r="AJ665" s="44"/>
      <c r="AK665" s="5" t="s">
        <v>16</v>
      </c>
      <c r="AL665" s="46" t="str">
        <f>IF(VLOOKUP(AK665,βοηθητικό!$J$2:$N$354,3,FALSE)="","",VLOOKUP(AK665,βοηθητικό!$J$2:$N$354,3,FALSE))</f>
        <v>_</v>
      </c>
      <c r="AM665" s="47"/>
      <c r="AN665" s="4" t="s">
        <v>16</v>
      </c>
      <c r="AO665" s="43" t="str">
        <f>IF(VLOOKUP(AN665,βοηθητικό!$J$2:$N$354,3,FALSE)="","",VLOOKUP(AN665,βοηθητικό!$J$2:$N$354,3,FALSE))</f>
        <v>_</v>
      </c>
      <c r="AP665" s="44"/>
      <c r="AQ665" s="5" t="s">
        <v>16</v>
      </c>
      <c r="AR665" s="46" t="str">
        <f>IF(VLOOKUP(AQ665,βοηθητικό!$J$2:$N$354,3,FALSE)="","",VLOOKUP(AQ665,βοηθητικό!$J$2:$N$354,3,FALSE))</f>
        <v>_</v>
      </c>
      <c r="AS665" s="47"/>
      <c r="AT665" s="4" t="s">
        <v>16</v>
      </c>
      <c r="AU665" s="43" t="str">
        <f>IF(VLOOKUP(AT665,βοηθητικό!$J$2:$N$354,3,FALSE)="","",VLOOKUP(AT665,βοηθητικό!$J$2:$N$354,3,FALSE))</f>
        <v>_</v>
      </c>
      <c r="AV665" s="44"/>
      <c r="AW665" s="5" t="s">
        <v>16</v>
      </c>
      <c r="AX665" s="46" t="str">
        <f>IF(VLOOKUP(AW665,βοηθητικό!$J$2:$N$354,3,FALSE)="","",VLOOKUP(AW665,βοηθητικό!$J$2:$N$354,3,FALSE))</f>
        <v>_</v>
      </c>
      <c r="AY665" s="47"/>
      <c r="AZ665" s="4" t="s">
        <v>16</v>
      </c>
      <c r="BA665" s="43" t="str">
        <f>IF(VLOOKUP(AZ665,βοηθητικό!$J$2:$N$354,3,FALSE)="","",VLOOKUP(AZ665,βοηθητικό!$J$2:$N$354,3,FALSE))</f>
        <v>_</v>
      </c>
      <c r="BB665" s="44"/>
      <c r="BC665" s="45" t="s">
        <v>16</v>
      </c>
      <c r="BD665" s="46" t="str">
        <f>IF(VLOOKUP(BC665,βοηθητικό!$J$2:$N$354,3,FALSE)="","",VLOOKUP(BC665,βοηθητικό!$J$2:$N$354,3,FALSE))</f>
        <v>_</v>
      </c>
      <c r="BE665" s="47"/>
      <c r="BF665" s="42" t="s">
        <v>16</v>
      </c>
      <c r="BG665" s="43" t="str">
        <f>IF(VLOOKUP(BF665,βοηθητικό!$J$2:$N$354,3,FALSE)="","",VLOOKUP(BF665,βοηθητικό!$J$2:$N$354,3,FALSE))</f>
        <v>_</v>
      </c>
      <c r="BH665" s="44"/>
      <c r="BI665" s="45" t="s">
        <v>16</v>
      </c>
      <c r="BJ665" s="46" t="str">
        <f>IF(VLOOKUP(BI665,βοηθητικό!$J$2:$N$354,3,FALSE)="","",VLOOKUP(BI665,βοηθητικό!$J$2:$N$354,3,FALSE))</f>
        <v>_</v>
      </c>
      <c r="BK665" s="47"/>
      <c r="BL665" s="42" t="s">
        <v>16</v>
      </c>
      <c r="BM665" s="43" t="str">
        <f>IF(VLOOKUP(BL665,βοηθητικό!$J$2:$N$354,3,FALSE)="","",VLOOKUP(BL665,βοηθητικό!$J$2:$N$354,3,FALSE))</f>
        <v>_</v>
      </c>
      <c r="BN665" s="44"/>
      <c r="BO665" s="45" t="s">
        <v>16</v>
      </c>
      <c r="BP665" s="46" t="str">
        <f>IF(VLOOKUP(BO665,βοηθητικό!$J$2:$N$354,3,FALSE)="","",VLOOKUP(BO665,βοηθητικό!$J$2:$N$354,3,FALSE))</f>
        <v>_</v>
      </c>
      <c r="BQ665" s="47"/>
      <c r="BR665" s="42" t="s">
        <v>16</v>
      </c>
      <c r="BS665" s="43" t="str">
        <f>IF(VLOOKUP(BR665,βοηθητικό!$J$2:$N$354,3,FALSE)="","",VLOOKUP(BR665,βοηθητικό!$J$2:$N$354,3,FALSE))</f>
        <v>_</v>
      </c>
      <c r="BT665" s="44"/>
      <c r="BU665" s="45" t="s">
        <v>16</v>
      </c>
      <c r="BV665" s="46" t="str">
        <f>IF(VLOOKUP(BU665,βοηθητικό!$J$2:$N$354,3,FALSE)="","",VLOOKUP(BU665,βοηθητικό!$J$2:$N$354,3,FALSE))</f>
        <v>_</v>
      </c>
      <c r="BW665" s="47"/>
      <c r="BX665" s="42" t="s">
        <v>16</v>
      </c>
      <c r="BY665" s="43" t="str">
        <f>IF(VLOOKUP(BX665,βοηθητικό!$J$2:$N$354,3,FALSE)="","",VLOOKUP(BX665,βοηθητικό!$J$2:$N$354,3,FALSE))</f>
        <v>_</v>
      </c>
      <c r="BZ665" s="44"/>
      <c r="CA665" s="45" t="s">
        <v>16</v>
      </c>
      <c r="CB665" s="46" t="str">
        <f>IF(VLOOKUP(CA665,βοηθητικό!$J$2:$N$354,3,FALSE)="","",VLOOKUP(CA665,βοηθητικό!$J$2:$N$354,3,FALSE))</f>
        <v>_</v>
      </c>
      <c r="CC665" s="47"/>
      <c r="CD665" s="42" t="s">
        <v>16</v>
      </c>
      <c r="CE665" s="43" t="str">
        <f>IF(VLOOKUP(CD665,βοηθητικό!$J$2:$N$354,3,FALSE)="","",VLOOKUP(CD665,βοηθητικό!$J$2:$N$354,3,FALSE))</f>
        <v>_</v>
      </c>
      <c r="CF665" s="44"/>
      <c r="CG665" s="45" t="s">
        <v>16</v>
      </c>
      <c r="CH665" s="46" t="str">
        <f>IF(VLOOKUP(CG665,βοηθητικό!$J$2:$N$354,3,FALSE)="","",VLOOKUP(CG665,βοηθητικό!$J$2:$N$354,3,FALSE))</f>
        <v>_</v>
      </c>
      <c r="CI665" s="47"/>
      <c r="CJ665" s="42" t="s">
        <v>16</v>
      </c>
      <c r="CK665" s="43" t="str">
        <f>IF(VLOOKUP(CJ665,βοηθητικό!$J$2:$N$354,3,FALSE)="","",VLOOKUP(CJ665,βοηθητικό!$J$2:$N$354,3,FALSE))</f>
        <v>_</v>
      </c>
      <c r="CL665" s="44"/>
      <c r="CM665" s="45" t="s">
        <v>16</v>
      </c>
      <c r="CN665" s="46" t="str">
        <f>IF(VLOOKUP(CM665,βοηθητικό!$J$2:$N$354,3,FALSE)="","",VLOOKUP(CM665,βοηθητικό!$J$2:$N$354,3,FALSE))</f>
        <v>_</v>
      </c>
      <c r="CO665" s="47"/>
      <c r="CP665" s="42" t="s">
        <v>16</v>
      </c>
      <c r="CQ665" s="43" t="str">
        <f>IF(VLOOKUP(CP665,βοηθητικό!$J$2:$N$354,3,FALSE)="","",VLOOKUP(CP665,βοηθητικό!$J$2:$N$354,3,FALSE))</f>
        <v>_</v>
      </c>
      <c r="CR665" s="44"/>
      <c r="CS665" s="45" t="s">
        <v>16</v>
      </c>
      <c r="CT665" s="46" t="str">
        <f>IF(VLOOKUP(CS665,βοηθητικό!$J$2:$N$354,3,FALSE)="","",VLOOKUP(CS665,βοηθητικό!$J$2:$N$354,3,FALSE))</f>
        <v>_</v>
      </c>
      <c r="CU665" s="47"/>
    </row>
    <row r="666" spans="1:99" x14ac:dyDescent="0.25">
      <c r="A666" s="37">
        <f>--SUBTOTAL(3,$B$3:B665)</f>
        <v>198</v>
      </c>
      <c r="B666" s="2"/>
      <c r="C666" s="3"/>
      <c r="D666" s="55" t="s">
        <v>18</v>
      </c>
      <c r="E666" s="38" t="s">
        <v>16</v>
      </c>
      <c r="F666" s="38"/>
      <c r="G666" s="39" t="str">
        <f t="shared" si="32"/>
        <v>__</v>
      </c>
      <c r="H666" s="40" t="str">
        <f t="shared" si="33"/>
        <v>FALSE</v>
      </c>
      <c r="I666" s="41">
        <f t="shared" si="34"/>
        <v>0</v>
      </c>
      <c r="J666" s="4" t="s">
        <v>16</v>
      </c>
      <c r="K666" s="43" t="str">
        <f>IF(VLOOKUP(J666,βοηθητικό!$J$2:$N$354,3,FALSE)="","",VLOOKUP(J666,βοηθητικό!$J$2:$N$354,3,FALSE))</f>
        <v>_</v>
      </c>
      <c r="L666" s="44"/>
      <c r="M666" s="5" t="s">
        <v>16</v>
      </c>
      <c r="N666" s="46" t="str">
        <f>IF(VLOOKUP(M666,βοηθητικό!$J$2:$N$354,3,FALSE)="","",VLOOKUP(M666,βοηθητικό!$J$2:$N$354,3,FALSE))</f>
        <v>_</v>
      </c>
      <c r="O666" s="47"/>
      <c r="P666" s="4" t="s">
        <v>16</v>
      </c>
      <c r="Q666" s="43" t="str">
        <f>IF(VLOOKUP(P666,βοηθητικό!$J$2:$N$354,3,FALSE)="","",VLOOKUP(P666,βοηθητικό!$J$2:$N$354,3,FALSE))</f>
        <v>_</v>
      </c>
      <c r="R666" s="44"/>
      <c r="S666" s="5" t="s">
        <v>16</v>
      </c>
      <c r="T666" s="46" t="str">
        <f>IF(VLOOKUP(S666,βοηθητικό!$J$2:$N$354,3,FALSE)="","",VLOOKUP(S666,βοηθητικό!$J$2:$N$354,3,FALSE))</f>
        <v>_</v>
      </c>
      <c r="U666" s="47"/>
      <c r="V666" s="4" t="s">
        <v>16</v>
      </c>
      <c r="W666" s="43" t="str">
        <f>IF(VLOOKUP(V666,βοηθητικό!$J$2:$N$354,3,FALSE)="","",VLOOKUP(V666,βοηθητικό!$J$2:$N$354,3,FALSE))</f>
        <v>_</v>
      </c>
      <c r="X666" s="44"/>
      <c r="Y666" s="5" t="s">
        <v>16</v>
      </c>
      <c r="Z666" s="46" t="str">
        <f>IF(VLOOKUP(Y666,βοηθητικό!$J$2:$N$354,3,FALSE)="","",VLOOKUP(Y666,βοηθητικό!$J$2:$N$354,3,FALSE))</f>
        <v>_</v>
      </c>
      <c r="AA666" s="47"/>
      <c r="AB666" s="4" t="s">
        <v>16</v>
      </c>
      <c r="AC666" s="43" t="str">
        <f>IF(VLOOKUP(AB666,βοηθητικό!$J$2:$N$354,3,FALSE)="","",VLOOKUP(AB666,βοηθητικό!$J$2:$N$354,3,FALSE))</f>
        <v>_</v>
      </c>
      <c r="AD666" s="44"/>
      <c r="AE666" s="5" t="s">
        <v>16</v>
      </c>
      <c r="AF666" s="46" t="str">
        <f>IF(VLOOKUP(AE666,βοηθητικό!$J$2:$N$354,3,FALSE)="","",VLOOKUP(AE666,βοηθητικό!$J$2:$N$354,3,FALSE))</f>
        <v>_</v>
      </c>
      <c r="AG666" s="47"/>
      <c r="AH666" s="4" t="s">
        <v>16</v>
      </c>
      <c r="AI666" s="43" t="str">
        <f>IF(VLOOKUP(AH666,βοηθητικό!$J$2:$N$354,3,FALSE)="","",VLOOKUP(AH666,βοηθητικό!$J$2:$N$354,3,FALSE))</f>
        <v>_</v>
      </c>
      <c r="AJ666" s="44"/>
      <c r="AK666" s="5" t="s">
        <v>16</v>
      </c>
      <c r="AL666" s="46" t="str">
        <f>IF(VLOOKUP(AK666,βοηθητικό!$J$2:$N$354,3,FALSE)="","",VLOOKUP(AK666,βοηθητικό!$J$2:$N$354,3,FALSE))</f>
        <v>_</v>
      </c>
      <c r="AM666" s="47"/>
      <c r="AN666" s="4" t="s">
        <v>16</v>
      </c>
      <c r="AO666" s="43" t="str">
        <f>IF(VLOOKUP(AN666,βοηθητικό!$J$2:$N$354,3,FALSE)="","",VLOOKUP(AN666,βοηθητικό!$J$2:$N$354,3,FALSE))</f>
        <v>_</v>
      </c>
      <c r="AP666" s="44"/>
      <c r="AQ666" s="5" t="s">
        <v>16</v>
      </c>
      <c r="AR666" s="46" t="str">
        <f>IF(VLOOKUP(AQ666,βοηθητικό!$J$2:$N$354,3,FALSE)="","",VLOOKUP(AQ666,βοηθητικό!$J$2:$N$354,3,FALSE))</f>
        <v>_</v>
      </c>
      <c r="AS666" s="47"/>
      <c r="AT666" s="4" t="s">
        <v>16</v>
      </c>
      <c r="AU666" s="43" t="str">
        <f>IF(VLOOKUP(AT666,βοηθητικό!$J$2:$N$354,3,FALSE)="","",VLOOKUP(AT666,βοηθητικό!$J$2:$N$354,3,FALSE))</f>
        <v>_</v>
      </c>
      <c r="AV666" s="44"/>
      <c r="AW666" s="5" t="s">
        <v>16</v>
      </c>
      <c r="AX666" s="46" t="str">
        <f>IF(VLOOKUP(AW666,βοηθητικό!$J$2:$N$354,3,FALSE)="","",VLOOKUP(AW666,βοηθητικό!$J$2:$N$354,3,FALSE))</f>
        <v>_</v>
      </c>
      <c r="AY666" s="47"/>
      <c r="AZ666" s="4" t="s">
        <v>16</v>
      </c>
      <c r="BA666" s="43" t="str">
        <f>IF(VLOOKUP(AZ666,βοηθητικό!$J$2:$N$354,3,FALSE)="","",VLOOKUP(AZ666,βοηθητικό!$J$2:$N$354,3,FALSE))</f>
        <v>_</v>
      </c>
      <c r="BB666" s="44"/>
      <c r="BC666" s="45" t="s">
        <v>16</v>
      </c>
      <c r="BD666" s="46" t="str">
        <f>IF(VLOOKUP(BC666,βοηθητικό!$J$2:$N$354,3,FALSE)="","",VLOOKUP(BC666,βοηθητικό!$J$2:$N$354,3,FALSE))</f>
        <v>_</v>
      </c>
      <c r="BE666" s="47"/>
      <c r="BF666" s="42" t="s">
        <v>16</v>
      </c>
      <c r="BG666" s="43" t="str">
        <f>IF(VLOOKUP(BF666,βοηθητικό!$J$2:$N$354,3,FALSE)="","",VLOOKUP(BF666,βοηθητικό!$J$2:$N$354,3,FALSE))</f>
        <v>_</v>
      </c>
      <c r="BH666" s="44"/>
      <c r="BI666" s="45" t="s">
        <v>16</v>
      </c>
      <c r="BJ666" s="46" t="str">
        <f>IF(VLOOKUP(BI666,βοηθητικό!$J$2:$N$354,3,FALSE)="","",VLOOKUP(BI666,βοηθητικό!$J$2:$N$354,3,FALSE))</f>
        <v>_</v>
      </c>
      <c r="BK666" s="47"/>
      <c r="BL666" s="42" t="s">
        <v>16</v>
      </c>
      <c r="BM666" s="43" t="str">
        <f>IF(VLOOKUP(BL666,βοηθητικό!$J$2:$N$354,3,FALSE)="","",VLOOKUP(BL666,βοηθητικό!$J$2:$N$354,3,FALSE))</f>
        <v>_</v>
      </c>
      <c r="BN666" s="44"/>
      <c r="BO666" s="45" t="s">
        <v>16</v>
      </c>
      <c r="BP666" s="46" t="str">
        <f>IF(VLOOKUP(BO666,βοηθητικό!$J$2:$N$354,3,FALSE)="","",VLOOKUP(BO666,βοηθητικό!$J$2:$N$354,3,FALSE))</f>
        <v>_</v>
      </c>
      <c r="BQ666" s="47"/>
      <c r="BR666" s="42" t="s">
        <v>16</v>
      </c>
      <c r="BS666" s="43" t="str">
        <f>IF(VLOOKUP(BR666,βοηθητικό!$J$2:$N$354,3,FALSE)="","",VLOOKUP(BR666,βοηθητικό!$J$2:$N$354,3,FALSE))</f>
        <v>_</v>
      </c>
      <c r="BT666" s="44"/>
      <c r="BU666" s="45" t="s">
        <v>16</v>
      </c>
      <c r="BV666" s="46" t="str">
        <f>IF(VLOOKUP(BU666,βοηθητικό!$J$2:$N$354,3,FALSE)="","",VLOOKUP(BU666,βοηθητικό!$J$2:$N$354,3,FALSE))</f>
        <v>_</v>
      </c>
      <c r="BW666" s="47"/>
      <c r="BX666" s="42" t="s">
        <v>16</v>
      </c>
      <c r="BY666" s="43" t="str">
        <f>IF(VLOOKUP(BX666,βοηθητικό!$J$2:$N$354,3,FALSE)="","",VLOOKUP(BX666,βοηθητικό!$J$2:$N$354,3,FALSE))</f>
        <v>_</v>
      </c>
      <c r="BZ666" s="44"/>
      <c r="CA666" s="45" t="s">
        <v>16</v>
      </c>
      <c r="CB666" s="46" t="str">
        <f>IF(VLOOKUP(CA666,βοηθητικό!$J$2:$N$354,3,FALSE)="","",VLOOKUP(CA666,βοηθητικό!$J$2:$N$354,3,FALSE))</f>
        <v>_</v>
      </c>
      <c r="CC666" s="47"/>
      <c r="CD666" s="42" t="s">
        <v>16</v>
      </c>
      <c r="CE666" s="43" t="str">
        <f>IF(VLOOKUP(CD666,βοηθητικό!$J$2:$N$354,3,FALSE)="","",VLOOKUP(CD666,βοηθητικό!$J$2:$N$354,3,FALSE))</f>
        <v>_</v>
      </c>
      <c r="CF666" s="44"/>
      <c r="CG666" s="45" t="s">
        <v>16</v>
      </c>
      <c r="CH666" s="46" t="str">
        <f>IF(VLOOKUP(CG666,βοηθητικό!$J$2:$N$354,3,FALSE)="","",VLOOKUP(CG666,βοηθητικό!$J$2:$N$354,3,FALSE))</f>
        <v>_</v>
      </c>
      <c r="CI666" s="47"/>
      <c r="CJ666" s="42" t="s">
        <v>16</v>
      </c>
      <c r="CK666" s="43" t="str">
        <f>IF(VLOOKUP(CJ666,βοηθητικό!$J$2:$N$354,3,FALSE)="","",VLOOKUP(CJ666,βοηθητικό!$J$2:$N$354,3,FALSE))</f>
        <v>_</v>
      </c>
      <c r="CL666" s="44"/>
      <c r="CM666" s="45" t="s">
        <v>16</v>
      </c>
      <c r="CN666" s="46" t="str">
        <f>IF(VLOOKUP(CM666,βοηθητικό!$J$2:$N$354,3,FALSE)="","",VLOOKUP(CM666,βοηθητικό!$J$2:$N$354,3,FALSE))</f>
        <v>_</v>
      </c>
      <c r="CO666" s="47"/>
      <c r="CP666" s="42" t="s">
        <v>16</v>
      </c>
      <c r="CQ666" s="43" t="str">
        <f>IF(VLOOKUP(CP666,βοηθητικό!$J$2:$N$354,3,FALSE)="","",VLOOKUP(CP666,βοηθητικό!$J$2:$N$354,3,FALSE))</f>
        <v>_</v>
      </c>
      <c r="CR666" s="44"/>
      <c r="CS666" s="45" t="s">
        <v>16</v>
      </c>
      <c r="CT666" s="46" t="str">
        <f>IF(VLOOKUP(CS666,βοηθητικό!$J$2:$N$354,3,FALSE)="","",VLOOKUP(CS666,βοηθητικό!$J$2:$N$354,3,FALSE))</f>
        <v>_</v>
      </c>
      <c r="CU666" s="47"/>
    </row>
    <row r="667" spans="1:99" x14ac:dyDescent="0.25">
      <c r="A667" s="37">
        <f>--SUBTOTAL(3,$B$3:B666)</f>
        <v>198</v>
      </c>
      <c r="B667" s="2"/>
      <c r="C667" s="3"/>
      <c r="D667" s="55" t="s">
        <v>18</v>
      </c>
      <c r="E667" s="38" t="s">
        <v>16</v>
      </c>
      <c r="F667" s="38"/>
      <c r="G667" s="39" t="str">
        <f t="shared" si="32"/>
        <v>__</v>
      </c>
      <c r="H667" s="40" t="str">
        <f t="shared" si="33"/>
        <v>FALSE</v>
      </c>
      <c r="I667" s="41">
        <f t="shared" si="34"/>
        <v>0</v>
      </c>
      <c r="J667" s="4" t="s">
        <v>16</v>
      </c>
      <c r="K667" s="43" t="str">
        <f>IF(VLOOKUP(J667,βοηθητικό!$J$2:$N$354,3,FALSE)="","",VLOOKUP(J667,βοηθητικό!$J$2:$N$354,3,FALSE))</f>
        <v>_</v>
      </c>
      <c r="L667" s="44"/>
      <c r="M667" s="5" t="s">
        <v>16</v>
      </c>
      <c r="N667" s="46" t="str">
        <f>IF(VLOOKUP(M667,βοηθητικό!$J$2:$N$354,3,FALSE)="","",VLOOKUP(M667,βοηθητικό!$J$2:$N$354,3,FALSE))</f>
        <v>_</v>
      </c>
      <c r="O667" s="47"/>
      <c r="P667" s="4" t="s">
        <v>16</v>
      </c>
      <c r="Q667" s="43" t="str">
        <f>IF(VLOOKUP(P667,βοηθητικό!$J$2:$N$354,3,FALSE)="","",VLOOKUP(P667,βοηθητικό!$J$2:$N$354,3,FALSE))</f>
        <v>_</v>
      </c>
      <c r="R667" s="44"/>
      <c r="S667" s="5" t="s">
        <v>16</v>
      </c>
      <c r="T667" s="46" t="str">
        <f>IF(VLOOKUP(S667,βοηθητικό!$J$2:$N$354,3,FALSE)="","",VLOOKUP(S667,βοηθητικό!$J$2:$N$354,3,FALSE))</f>
        <v>_</v>
      </c>
      <c r="U667" s="47"/>
      <c r="V667" s="4" t="s">
        <v>16</v>
      </c>
      <c r="W667" s="43" t="str">
        <f>IF(VLOOKUP(V667,βοηθητικό!$J$2:$N$354,3,FALSE)="","",VLOOKUP(V667,βοηθητικό!$J$2:$N$354,3,FALSE))</f>
        <v>_</v>
      </c>
      <c r="X667" s="44"/>
      <c r="Y667" s="5" t="s">
        <v>16</v>
      </c>
      <c r="Z667" s="46" t="str">
        <f>IF(VLOOKUP(Y667,βοηθητικό!$J$2:$N$354,3,FALSE)="","",VLOOKUP(Y667,βοηθητικό!$J$2:$N$354,3,FALSE))</f>
        <v>_</v>
      </c>
      <c r="AA667" s="47"/>
      <c r="AB667" s="4" t="s">
        <v>16</v>
      </c>
      <c r="AC667" s="43" t="str">
        <f>IF(VLOOKUP(AB667,βοηθητικό!$J$2:$N$354,3,FALSE)="","",VLOOKUP(AB667,βοηθητικό!$J$2:$N$354,3,FALSE))</f>
        <v>_</v>
      </c>
      <c r="AD667" s="44"/>
      <c r="AE667" s="5" t="s">
        <v>16</v>
      </c>
      <c r="AF667" s="46" t="str">
        <f>IF(VLOOKUP(AE667,βοηθητικό!$J$2:$N$354,3,FALSE)="","",VLOOKUP(AE667,βοηθητικό!$J$2:$N$354,3,FALSE))</f>
        <v>_</v>
      </c>
      <c r="AG667" s="47"/>
      <c r="AH667" s="4" t="s">
        <v>16</v>
      </c>
      <c r="AI667" s="43" t="str">
        <f>IF(VLOOKUP(AH667,βοηθητικό!$J$2:$N$354,3,FALSE)="","",VLOOKUP(AH667,βοηθητικό!$J$2:$N$354,3,FALSE))</f>
        <v>_</v>
      </c>
      <c r="AJ667" s="44"/>
      <c r="AK667" s="5" t="s">
        <v>16</v>
      </c>
      <c r="AL667" s="46" t="str">
        <f>IF(VLOOKUP(AK667,βοηθητικό!$J$2:$N$354,3,FALSE)="","",VLOOKUP(AK667,βοηθητικό!$J$2:$N$354,3,FALSE))</f>
        <v>_</v>
      </c>
      <c r="AM667" s="47"/>
      <c r="AN667" s="4" t="s">
        <v>16</v>
      </c>
      <c r="AO667" s="43" t="str">
        <f>IF(VLOOKUP(AN667,βοηθητικό!$J$2:$N$354,3,FALSE)="","",VLOOKUP(AN667,βοηθητικό!$J$2:$N$354,3,FALSE))</f>
        <v>_</v>
      </c>
      <c r="AP667" s="44"/>
      <c r="AQ667" s="5" t="s">
        <v>16</v>
      </c>
      <c r="AR667" s="46" t="str">
        <f>IF(VLOOKUP(AQ667,βοηθητικό!$J$2:$N$354,3,FALSE)="","",VLOOKUP(AQ667,βοηθητικό!$J$2:$N$354,3,FALSE))</f>
        <v>_</v>
      </c>
      <c r="AS667" s="47"/>
      <c r="AT667" s="4" t="s">
        <v>16</v>
      </c>
      <c r="AU667" s="43" t="str">
        <f>IF(VLOOKUP(AT667,βοηθητικό!$J$2:$N$354,3,FALSE)="","",VLOOKUP(AT667,βοηθητικό!$J$2:$N$354,3,FALSE))</f>
        <v>_</v>
      </c>
      <c r="AV667" s="44"/>
      <c r="AW667" s="5" t="s">
        <v>16</v>
      </c>
      <c r="AX667" s="46" t="str">
        <f>IF(VLOOKUP(AW667,βοηθητικό!$J$2:$N$354,3,FALSE)="","",VLOOKUP(AW667,βοηθητικό!$J$2:$N$354,3,FALSE))</f>
        <v>_</v>
      </c>
      <c r="AY667" s="47"/>
      <c r="AZ667" s="4" t="s">
        <v>16</v>
      </c>
      <c r="BA667" s="43" t="str">
        <f>IF(VLOOKUP(AZ667,βοηθητικό!$J$2:$N$354,3,FALSE)="","",VLOOKUP(AZ667,βοηθητικό!$J$2:$N$354,3,FALSE))</f>
        <v>_</v>
      </c>
      <c r="BB667" s="44"/>
      <c r="BC667" s="45" t="s">
        <v>16</v>
      </c>
      <c r="BD667" s="46" t="str">
        <f>IF(VLOOKUP(BC667,βοηθητικό!$J$2:$N$354,3,FALSE)="","",VLOOKUP(BC667,βοηθητικό!$J$2:$N$354,3,FALSE))</f>
        <v>_</v>
      </c>
      <c r="BE667" s="47"/>
      <c r="BF667" s="42" t="s">
        <v>16</v>
      </c>
      <c r="BG667" s="43" t="str">
        <f>IF(VLOOKUP(BF667,βοηθητικό!$J$2:$N$354,3,FALSE)="","",VLOOKUP(BF667,βοηθητικό!$J$2:$N$354,3,FALSE))</f>
        <v>_</v>
      </c>
      <c r="BH667" s="44"/>
      <c r="BI667" s="45" t="s">
        <v>16</v>
      </c>
      <c r="BJ667" s="46" t="str">
        <f>IF(VLOOKUP(BI667,βοηθητικό!$J$2:$N$354,3,FALSE)="","",VLOOKUP(BI667,βοηθητικό!$J$2:$N$354,3,FALSE))</f>
        <v>_</v>
      </c>
      <c r="BK667" s="47"/>
      <c r="BL667" s="42" t="s">
        <v>16</v>
      </c>
      <c r="BM667" s="43" t="str">
        <f>IF(VLOOKUP(BL667,βοηθητικό!$J$2:$N$354,3,FALSE)="","",VLOOKUP(BL667,βοηθητικό!$J$2:$N$354,3,FALSE))</f>
        <v>_</v>
      </c>
      <c r="BN667" s="44"/>
      <c r="BO667" s="45" t="s">
        <v>16</v>
      </c>
      <c r="BP667" s="46" t="str">
        <f>IF(VLOOKUP(BO667,βοηθητικό!$J$2:$N$354,3,FALSE)="","",VLOOKUP(BO667,βοηθητικό!$J$2:$N$354,3,FALSE))</f>
        <v>_</v>
      </c>
      <c r="BQ667" s="47"/>
      <c r="BR667" s="42" t="s">
        <v>16</v>
      </c>
      <c r="BS667" s="43" t="str">
        <f>IF(VLOOKUP(BR667,βοηθητικό!$J$2:$N$354,3,FALSE)="","",VLOOKUP(BR667,βοηθητικό!$J$2:$N$354,3,FALSE))</f>
        <v>_</v>
      </c>
      <c r="BT667" s="44"/>
      <c r="BU667" s="45" t="s">
        <v>16</v>
      </c>
      <c r="BV667" s="46" t="str">
        <f>IF(VLOOKUP(BU667,βοηθητικό!$J$2:$N$354,3,FALSE)="","",VLOOKUP(BU667,βοηθητικό!$J$2:$N$354,3,FALSE))</f>
        <v>_</v>
      </c>
      <c r="BW667" s="47"/>
      <c r="BX667" s="42" t="s">
        <v>16</v>
      </c>
      <c r="BY667" s="43" t="str">
        <f>IF(VLOOKUP(BX667,βοηθητικό!$J$2:$N$354,3,FALSE)="","",VLOOKUP(BX667,βοηθητικό!$J$2:$N$354,3,FALSE))</f>
        <v>_</v>
      </c>
      <c r="BZ667" s="44"/>
      <c r="CA667" s="45" t="s">
        <v>16</v>
      </c>
      <c r="CB667" s="46" t="str">
        <f>IF(VLOOKUP(CA667,βοηθητικό!$J$2:$N$354,3,FALSE)="","",VLOOKUP(CA667,βοηθητικό!$J$2:$N$354,3,FALSE))</f>
        <v>_</v>
      </c>
      <c r="CC667" s="47"/>
      <c r="CD667" s="42" t="s">
        <v>16</v>
      </c>
      <c r="CE667" s="43" t="str">
        <f>IF(VLOOKUP(CD667,βοηθητικό!$J$2:$N$354,3,FALSE)="","",VLOOKUP(CD667,βοηθητικό!$J$2:$N$354,3,FALSE))</f>
        <v>_</v>
      </c>
      <c r="CF667" s="44"/>
      <c r="CG667" s="45" t="s">
        <v>16</v>
      </c>
      <c r="CH667" s="46" t="str">
        <f>IF(VLOOKUP(CG667,βοηθητικό!$J$2:$N$354,3,FALSE)="","",VLOOKUP(CG667,βοηθητικό!$J$2:$N$354,3,FALSE))</f>
        <v>_</v>
      </c>
      <c r="CI667" s="47"/>
      <c r="CJ667" s="42" t="s">
        <v>16</v>
      </c>
      <c r="CK667" s="43" t="str">
        <f>IF(VLOOKUP(CJ667,βοηθητικό!$J$2:$N$354,3,FALSE)="","",VLOOKUP(CJ667,βοηθητικό!$J$2:$N$354,3,FALSE))</f>
        <v>_</v>
      </c>
      <c r="CL667" s="44"/>
      <c r="CM667" s="45" t="s">
        <v>16</v>
      </c>
      <c r="CN667" s="46" t="str">
        <f>IF(VLOOKUP(CM667,βοηθητικό!$J$2:$N$354,3,FALSE)="","",VLOOKUP(CM667,βοηθητικό!$J$2:$N$354,3,FALSE))</f>
        <v>_</v>
      </c>
      <c r="CO667" s="47"/>
      <c r="CP667" s="42" t="s">
        <v>16</v>
      </c>
      <c r="CQ667" s="43" t="str">
        <f>IF(VLOOKUP(CP667,βοηθητικό!$J$2:$N$354,3,FALSE)="","",VLOOKUP(CP667,βοηθητικό!$J$2:$N$354,3,FALSE))</f>
        <v>_</v>
      </c>
      <c r="CR667" s="44"/>
      <c r="CS667" s="45" t="s">
        <v>16</v>
      </c>
      <c r="CT667" s="46" t="str">
        <f>IF(VLOOKUP(CS667,βοηθητικό!$J$2:$N$354,3,FALSE)="","",VLOOKUP(CS667,βοηθητικό!$J$2:$N$354,3,FALSE))</f>
        <v>_</v>
      </c>
      <c r="CU667" s="47"/>
    </row>
    <row r="668" spans="1:99" x14ac:dyDescent="0.25">
      <c r="A668" s="37">
        <f>--SUBTOTAL(3,$B$3:B667)</f>
        <v>198</v>
      </c>
      <c r="B668" s="2"/>
      <c r="C668" s="3"/>
      <c r="D668" s="55" t="s">
        <v>18</v>
      </c>
      <c r="E668" s="38" t="s">
        <v>16</v>
      </c>
      <c r="F668" s="38"/>
      <c r="G668" s="39" t="str">
        <f t="shared" si="32"/>
        <v>__</v>
      </c>
      <c r="H668" s="40" t="str">
        <f t="shared" si="33"/>
        <v>FALSE</v>
      </c>
      <c r="I668" s="41">
        <f t="shared" si="34"/>
        <v>0</v>
      </c>
      <c r="J668" s="4" t="s">
        <v>16</v>
      </c>
      <c r="K668" s="43" t="str">
        <f>IF(VLOOKUP(J668,βοηθητικό!$J$2:$N$354,3,FALSE)="","",VLOOKUP(J668,βοηθητικό!$J$2:$N$354,3,FALSE))</f>
        <v>_</v>
      </c>
      <c r="L668" s="44"/>
      <c r="M668" s="5" t="s">
        <v>16</v>
      </c>
      <c r="N668" s="46" t="str">
        <f>IF(VLOOKUP(M668,βοηθητικό!$J$2:$N$354,3,FALSE)="","",VLOOKUP(M668,βοηθητικό!$J$2:$N$354,3,FALSE))</f>
        <v>_</v>
      </c>
      <c r="O668" s="47"/>
      <c r="P668" s="4" t="s">
        <v>16</v>
      </c>
      <c r="Q668" s="43" t="str">
        <f>IF(VLOOKUP(P668,βοηθητικό!$J$2:$N$354,3,FALSE)="","",VLOOKUP(P668,βοηθητικό!$J$2:$N$354,3,FALSE))</f>
        <v>_</v>
      </c>
      <c r="R668" s="44"/>
      <c r="S668" s="5" t="s">
        <v>16</v>
      </c>
      <c r="T668" s="46" t="str">
        <f>IF(VLOOKUP(S668,βοηθητικό!$J$2:$N$354,3,FALSE)="","",VLOOKUP(S668,βοηθητικό!$J$2:$N$354,3,FALSE))</f>
        <v>_</v>
      </c>
      <c r="U668" s="47"/>
      <c r="V668" s="4" t="s">
        <v>16</v>
      </c>
      <c r="W668" s="43" t="str">
        <f>IF(VLOOKUP(V668,βοηθητικό!$J$2:$N$354,3,FALSE)="","",VLOOKUP(V668,βοηθητικό!$J$2:$N$354,3,FALSE))</f>
        <v>_</v>
      </c>
      <c r="X668" s="44"/>
      <c r="Y668" s="5" t="s">
        <v>16</v>
      </c>
      <c r="Z668" s="46" t="str">
        <f>IF(VLOOKUP(Y668,βοηθητικό!$J$2:$N$354,3,FALSE)="","",VLOOKUP(Y668,βοηθητικό!$J$2:$N$354,3,FALSE))</f>
        <v>_</v>
      </c>
      <c r="AA668" s="47"/>
      <c r="AB668" s="4" t="s">
        <v>16</v>
      </c>
      <c r="AC668" s="43" t="str">
        <f>IF(VLOOKUP(AB668,βοηθητικό!$J$2:$N$354,3,FALSE)="","",VLOOKUP(AB668,βοηθητικό!$J$2:$N$354,3,FALSE))</f>
        <v>_</v>
      </c>
      <c r="AD668" s="44"/>
      <c r="AE668" s="5" t="s">
        <v>16</v>
      </c>
      <c r="AF668" s="46" t="str">
        <f>IF(VLOOKUP(AE668,βοηθητικό!$J$2:$N$354,3,FALSE)="","",VLOOKUP(AE668,βοηθητικό!$J$2:$N$354,3,FALSE))</f>
        <v>_</v>
      </c>
      <c r="AG668" s="47"/>
      <c r="AH668" s="4" t="s">
        <v>16</v>
      </c>
      <c r="AI668" s="43" t="str">
        <f>IF(VLOOKUP(AH668,βοηθητικό!$J$2:$N$354,3,FALSE)="","",VLOOKUP(AH668,βοηθητικό!$J$2:$N$354,3,FALSE))</f>
        <v>_</v>
      </c>
      <c r="AJ668" s="44"/>
      <c r="AK668" s="5" t="s">
        <v>16</v>
      </c>
      <c r="AL668" s="46" t="str">
        <f>IF(VLOOKUP(AK668,βοηθητικό!$J$2:$N$354,3,FALSE)="","",VLOOKUP(AK668,βοηθητικό!$J$2:$N$354,3,FALSE))</f>
        <v>_</v>
      </c>
      <c r="AM668" s="47"/>
      <c r="AN668" s="4" t="s">
        <v>16</v>
      </c>
      <c r="AO668" s="43" t="str">
        <f>IF(VLOOKUP(AN668,βοηθητικό!$J$2:$N$354,3,FALSE)="","",VLOOKUP(AN668,βοηθητικό!$J$2:$N$354,3,FALSE))</f>
        <v>_</v>
      </c>
      <c r="AP668" s="44"/>
      <c r="AQ668" s="5" t="s">
        <v>16</v>
      </c>
      <c r="AR668" s="46" t="str">
        <f>IF(VLOOKUP(AQ668,βοηθητικό!$J$2:$N$354,3,FALSE)="","",VLOOKUP(AQ668,βοηθητικό!$J$2:$N$354,3,FALSE))</f>
        <v>_</v>
      </c>
      <c r="AS668" s="47"/>
      <c r="AT668" s="4" t="s">
        <v>16</v>
      </c>
      <c r="AU668" s="43" t="str">
        <f>IF(VLOOKUP(AT668,βοηθητικό!$J$2:$N$354,3,FALSE)="","",VLOOKUP(AT668,βοηθητικό!$J$2:$N$354,3,FALSE))</f>
        <v>_</v>
      </c>
      <c r="AV668" s="44"/>
      <c r="AW668" s="5" t="s">
        <v>16</v>
      </c>
      <c r="AX668" s="46" t="str">
        <f>IF(VLOOKUP(AW668,βοηθητικό!$J$2:$N$354,3,FALSE)="","",VLOOKUP(AW668,βοηθητικό!$J$2:$N$354,3,FALSE))</f>
        <v>_</v>
      </c>
      <c r="AY668" s="47"/>
      <c r="AZ668" s="4" t="s">
        <v>16</v>
      </c>
      <c r="BA668" s="43" t="str">
        <f>IF(VLOOKUP(AZ668,βοηθητικό!$J$2:$N$354,3,FALSE)="","",VLOOKUP(AZ668,βοηθητικό!$J$2:$N$354,3,FALSE))</f>
        <v>_</v>
      </c>
      <c r="BB668" s="44"/>
      <c r="BC668" s="45" t="s">
        <v>16</v>
      </c>
      <c r="BD668" s="46" t="str">
        <f>IF(VLOOKUP(BC668,βοηθητικό!$J$2:$N$354,3,FALSE)="","",VLOOKUP(BC668,βοηθητικό!$J$2:$N$354,3,FALSE))</f>
        <v>_</v>
      </c>
      <c r="BE668" s="47"/>
      <c r="BF668" s="42" t="s">
        <v>16</v>
      </c>
      <c r="BG668" s="43" t="str">
        <f>IF(VLOOKUP(BF668,βοηθητικό!$J$2:$N$354,3,FALSE)="","",VLOOKUP(BF668,βοηθητικό!$J$2:$N$354,3,FALSE))</f>
        <v>_</v>
      </c>
      <c r="BH668" s="44"/>
      <c r="BI668" s="45" t="s">
        <v>16</v>
      </c>
      <c r="BJ668" s="46" t="str">
        <f>IF(VLOOKUP(BI668,βοηθητικό!$J$2:$N$354,3,FALSE)="","",VLOOKUP(BI668,βοηθητικό!$J$2:$N$354,3,FALSE))</f>
        <v>_</v>
      </c>
      <c r="BK668" s="47"/>
      <c r="BL668" s="42" t="s">
        <v>16</v>
      </c>
      <c r="BM668" s="43" t="str">
        <f>IF(VLOOKUP(BL668,βοηθητικό!$J$2:$N$354,3,FALSE)="","",VLOOKUP(BL668,βοηθητικό!$J$2:$N$354,3,FALSE))</f>
        <v>_</v>
      </c>
      <c r="BN668" s="44"/>
      <c r="BO668" s="45" t="s">
        <v>16</v>
      </c>
      <c r="BP668" s="46" t="str">
        <f>IF(VLOOKUP(BO668,βοηθητικό!$J$2:$N$354,3,FALSE)="","",VLOOKUP(BO668,βοηθητικό!$J$2:$N$354,3,FALSE))</f>
        <v>_</v>
      </c>
      <c r="BQ668" s="47"/>
      <c r="BR668" s="42" t="s">
        <v>16</v>
      </c>
      <c r="BS668" s="43" t="str">
        <f>IF(VLOOKUP(BR668,βοηθητικό!$J$2:$N$354,3,FALSE)="","",VLOOKUP(BR668,βοηθητικό!$J$2:$N$354,3,FALSE))</f>
        <v>_</v>
      </c>
      <c r="BT668" s="44"/>
      <c r="BU668" s="45" t="s">
        <v>16</v>
      </c>
      <c r="BV668" s="46" t="str">
        <f>IF(VLOOKUP(BU668,βοηθητικό!$J$2:$N$354,3,FALSE)="","",VLOOKUP(BU668,βοηθητικό!$J$2:$N$354,3,FALSE))</f>
        <v>_</v>
      </c>
      <c r="BW668" s="47"/>
      <c r="BX668" s="42" t="s">
        <v>16</v>
      </c>
      <c r="BY668" s="43" t="str">
        <f>IF(VLOOKUP(BX668,βοηθητικό!$J$2:$N$354,3,FALSE)="","",VLOOKUP(BX668,βοηθητικό!$J$2:$N$354,3,FALSE))</f>
        <v>_</v>
      </c>
      <c r="BZ668" s="44"/>
      <c r="CA668" s="45" t="s">
        <v>16</v>
      </c>
      <c r="CB668" s="46" t="str">
        <f>IF(VLOOKUP(CA668,βοηθητικό!$J$2:$N$354,3,FALSE)="","",VLOOKUP(CA668,βοηθητικό!$J$2:$N$354,3,FALSE))</f>
        <v>_</v>
      </c>
      <c r="CC668" s="47"/>
      <c r="CD668" s="42" t="s">
        <v>16</v>
      </c>
      <c r="CE668" s="43" t="str">
        <f>IF(VLOOKUP(CD668,βοηθητικό!$J$2:$N$354,3,FALSE)="","",VLOOKUP(CD668,βοηθητικό!$J$2:$N$354,3,FALSE))</f>
        <v>_</v>
      </c>
      <c r="CF668" s="44"/>
      <c r="CG668" s="45" t="s">
        <v>16</v>
      </c>
      <c r="CH668" s="46" t="str">
        <f>IF(VLOOKUP(CG668,βοηθητικό!$J$2:$N$354,3,FALSE)="","",VLOOKUP(CG668,βοηθητικό!$J$2:$N$354,3,FALSE))</f>
        <v>_</v>
      </c>
      <c r="CI668" s="47"/>
      <c r="CJ668" s="42" t="s">
        <v>16</v>
      </c>
      <c r="CK668" s="43" t="str">
        <f>IF(VLOOKUP(CJ668,βοηθητικό!$J$2:$N$354,3,FALSE)="","",VLOOKUP(CJ668,βοηθητικό!$J$2:$N$354,3,FALSE))</f>
        <v>_</v>
      </c>
      <c r="CL668" s="44"/>
      <c r="CM668" s="45" t="s">
        <v>16</v>
      </c>
      <c r="CN668" s="46" t="str">
        <f>IF(VLOOKUP(CM668,βοηθητικό!$J$2:$N$354,3,FALSE)="","",VLOOKUP(CM668,βοηθητικό!$J$2:$N$354,3,FALSE))</f>
        <v>_</v>
      </c>
      <c r="CO668" s="47"/>
      <c r="CP668" s="42" t="s">
        <v>16</v>
      </c>
      <c r="CQ668" s="43" t="str">
        <f>IF(VLOOKUP(CP668,βοηθητικό!$J$2:$N$354,3,FALSE)="","",VLOOKUP(CP668,βοηθητικό!$J$2:$N$354,3,FALSE))</f>
        <v>_</v>
      </c>
      <c r="CR668" s="44"/>
      <c r="CS668" s="45" t="s">
        <v>16</v>
      </c>
      <c r="CT668" s="46" t="str">
        <f>IF(VLOOKUP(CS668,βοηθητικό!$J$2:$N$354,3,FALSE)="","",VLOOKUP(CS668,βοηθητικό!$J$2:$N$354,3,FALSE))</f>
        <v>_</v>
      </c>
      <c r="CU668" s="47"/>
    </row>
    <row r="669" spans="1:99" x14ac:dyDescent="0.25">
      <c r="A669" s="37">
        <f>--SUBTOTAL(3,$B$3:B668)</f>
        <v>198</v>
      </c>
      <c r="B669" s="2"/>
      <c r="C669" s="3"/>
      <c r="D669" s="55" t="s">
        <v>18</v>
      </c>
      <c r="E669" s="38" t="s">
        <v>16</v>
      </c>
      <c r="F669" s="38"/>
      <c r="G669" s="39" t="str">
        <f t="shared" si="32"/>
        <v>__</v>
      </c>
      <c r="H669" s="40" t="str">
        <f t="shared" si="33"/>
        <v>FALSE</v>
      </c>
      <c r="I669" s="41">
        <f t="shared" si="34"/>
        <v>0</v>
      </c>
      <c r="J669" s="4" t="s">
        <v>16</v>
      </c>
      <c r="K669" s="43" t="str">
        <f>IF(VLOOKUP(J669,βοηθητικό!$J$2:$N$354,3,FALSE)="","",VLOOKUP(J669,βοηθητικό!$J$2:$N$354,3,FALSE))</f>
        <v>_</v>
      </c>
      <c r="L669" s="44"/>
      <c r="M669" s="5" t="s">
        <v>16</v>
      </c>
      <c r="N669" s="46" t="str">
        <f>IF(VLOOKUP(M669,βοηθητικό!$J$2:$N$354,3,FALSE)="","",VLOOKUP(M669,βοηθητικό!$J$2:$N$354,3,FALSE))</f>
        <v>_</v>
      </c>
      <c r="O669" s="47"/>
      <c r="P669" s="4" t="s">
        <v>16</v>
      </c>
      <c r="Q669" s="43" t="str">
        <f>IF(VLOOKUP(P669,βοηθητικό!$J$2:$N$354,3,FALSE)="","",VLOOKUP(P669,βοηθητικό!$J$2:$N$354,3,FALSE))</f>
        <v>_</v>
      </c>
      <c r="R669" s="44"/>
      <c r="S669" s="5" t="s">
        <v>16</v>
      </c>
      <c r="T669" s="46" t="str">
        <f>IF(VLOOKUP(S669,βοηθητικό!$J$2:$N$354,3,FALSE)="","",VLOOKUP(S669,βοηθητικό!$J$2:$N$354,3,FALSE))</f>
        <v>_</v>
      </c>
      <c r="U669" s="47"/>
      <c r="V669" s="4" t="s">
        <v>16</v>
      </c>
      <c r="W669" s="43" t="str">
        <f>IF(VLOOKUP(V669,βοηθητικό!$J$2:$N$354,3,FALSE)="","",VLOOKUP(V669,βοηθητικό!$J$2:$N$354,3,FALSE))</f>
        <v>_</v>
      </c>
      <c r="X669" s="44"/>
      <c r="Y669" s="5" t="s">
        <v>16</v>
      </c>
      <c r="Z669" s="46" t="str">
        <f>IF(VLOOKUP(Y669,βοηθητικό!$J$2:$N$354,3,FALSE)="","",VLOOKUP(Y669,βοηθητικό!$J$2:$N$354,3,FALSE))</f>
        <v>_</v>
      </c>
      <c r="AA669" s="47"/>
      <c r="AB669" s="4" t="s">
        <v>16</v>
      </c>
      <c r="AC669" s="43" t="str">
        <f>IF(VLOOKUP(AB669,βοηθητικό!$J$2:$N$354,3,FALSE)="","",VLOOKUP(AB669,βοηθητικό!$J$2:$N$354,3,FALSE))</f>
        <v>_</v>
      </c>
      <c r="AD669" s="44"/>
      <c r="AE669" s="5" t="s">
        <v>16</v>
      </c>
      <c r="AF669" s="46" t="str">
        <f>IF(VLOOKUP(AE669,βοηθητικό!$J$2:$N$354,3,FALSE)="","",VLOOKUP(AE669,βοηθητικό!$J$2:$N$354,3,FALSE))</f>
        <v>_</v>
      </c>
      <c r="AG669" s="47"/>
      <c r="AH669" s="4" t="s">
        <v>16</v>
      </c>
      <c r="AI669" s="43" t="str">
        <f>IF(VLOOKUP(AH669,βοηθητικό!$J$2:$N$354,3,FALSE)="","",VLOOKUP(AH669,βοηθητικό!$J$2:$N$354,3,FALSE))</f>
        <v>_</v>
      </c>
      <c r="AJ669" s="44"/>
      <c r="AK669" s="5" t="s">
        <v>16</v>
      </c>
      <c r="AL669" s="46" t="str">
        <f>IF(VLOOKUP(AK669,βοηθητικό!$J$2:$N$354,3,FALSE)="","",VLOOKUP(AK669,βοηθητικό!$J$2:$N$354,3,FALSE))</f>
        <v>_</v>
      </c>
      <c r="AM669" s="47"/>
      <c r="AN669" s="4" t="s">
        <v>16</v>
      </c>
      <c r="AO669" s="43" t="str">
        <f>IF(VLOOKUP(AN669,βοηθητικό!$J$2:$N$354,3,FALSE)="","",VLOOKUP(AN669,βοηθητικό!$J$2:$N$354,3,FALSE))</f>
        <v>_</v>
      </c>
      <c r="AP669" s="44"/>
      <c r="AQ669" s="5" t="s">
        <v>16</v>
      </c>
      <c r="AR669" s="46" t="str">
        <f>IF(VLOOKUP(AQ669,βοηθητικό!$J$2:$N$354,3,FALSE)="","",VLOOKUP(AQ669,βοηθητικό!$J$2:$N$354,3,FALSE))</f>
        <v>_</v>
      </c>
      <c r="AS669" s="47"/>
      <c r="AT669" s="4" t="s">
        <v>16</v>
      </c>
      <c r="AU669" s="43" t="str">
        <f>IF(VLOOKUP(AT669,βοηθητικό!$J$2:$N$354,3,FALSE)="","",VLOOKUP(AT669,βοηθητικό!$J$2:$N$354,3,FALSE))</f>
        <v>_</v>
      </c>
      <c r="AV669" s="44"/>
      <c r="AW669" s="5" t="s">
        <v>16</v>
      </c>
      <c r="AX669" s="46" t="str">
        <f>IF(VLOOKUP(AW669,βοηθητικό!$J$2:$N$354,3,FALSE)="","",VLOOKUP(AW669,βοηθητικό!$J$2:$N$354,3,FALSE))</f>
        <v>_</v>
      </c>
      <c r="AY669" s="47"/>
      <c r="AZ669" s="4" t="s">
        <v>16</v>
      </c>
      <c r="BA669" s="43" t="str">
        <f>IF(VLOOKUP(AZ669,βοηθητικό!$J$2:$N$354,3,FALSE)="","",VLOOKUP(AZ669,βοηθητικό!$J$2:$N$354,3,FALSE))</f>
        <v>_</v>
      </c>
      <c r="BB669" s="44"/>
      <c r="BC669" s="45" t="s">
        <v>16</v>
      </c>
      <c r="BD669" s="46" t="str">
        <f>IF(VLOOKUP(BC669,βοηθητικό!$J$2:$N$354,3,FALSE)="","",VLOOKUP(BC669,βοηθητικό!$J$2:$N$354,3,FALSE))</f>
        <v>_</v>
      </c>
      <c r="BE669" s="47"/>
      <c r="BF669" s="42" t="s">
        <v>16</v>
      </c>
      <c r="BG669" s="43" t="str">
        <f>IF(VLOOKUP(BF669,βοηθητικό!$J$2:$N$354,3,FALSE)="","",VLOOKUP(BF669,βοηθητικό!$J$2:$N$354,3,FALSE))</f>
        <v>_</v>
      </c>
      <c r="BH669" s="44"/>
      <c r="BI669" s="45" t="s">
        <v>16</v>
      </c>
      <c r="BJ669" s="46" t="str">
        <f>IF(VLOOKUP(BI669,βοηθητικό!$J$2:$N$354,3,FALSE)="","",VLOOKUP(BI669,βοηθητικό!$J$2:$N$354,3,FALSE))</f>
        <v>_</v>
      </c>
      <c r="BK669" s="47"/>
      <c r="BL669" s="42" t="s">
        <v>16</v>
      </c>
      <c r="BM669" s="43" t="str">
        <f>IF(VLOOKUP(BL669,βοηθητικό!$J$2:$N$354,3,FALSE)="","",VLOOKUP(BL669,βοηθητικό!$J$2:$N$354,3,FALSE))</f>
        <v>_</v>
      </c>
      <c r="BN669" s="44"/>
      <c r="BO669" s="45" t="s">
        <v>16</v>
      </c>
      <c r="BP669" s="46" t="str">
        <f>IF(VLOOKUP(BO669,βοηθητικό!$J$2:$N$354,3,FALSE)="","",VLOOKUP(BO669,βοηθητικό!$J$2:$N$354,3,FALSE))</f>
        <v>_</v>
      </c>
      <c r="BQ669" s="47"/>
      <c r="BR669" s="42" t="s">
        <v>16</v>
      </c>
      <c r="BS669" s="43" t="str">
        <f>IF(VLOOKUP(BR669,βοηθητικό!$J$2:$N$354,3,FALSE)="","",VLOOKUP(BR669,βοηθητικό!$J$2:$N$354,3,FALSE))</f>
        <v>_</v>
      </c>
      <c r="BT669" s="44"/>
      <c r="BU669" s="45" t="s">
        <v>16</v>
      </c>
      <c r="BV669" s="46" t="str">
        <f>IF(VLOOKUP(BU669,βοηθητικό!$J$2:$N$354,3,FALSE)="","",VLOOKUP(BU669,βοηθητικό!$J$2:$N$354,3,FALSE))</f>
        <v>_</v>
      </c>
      <c r="BW669" s="47"/>
      <c r="BX669" s="42" t="s">
        <v>16</v>
      </c>
      <c r="BY669" s="43" t="str">
        <f>IF(VLOOKUP(BX669,βοηθητικό!$J$2:$N$354,3,FALSE)="","",VLOOKUP(BX669,βοηθητικό!$J$2:$N$354,3,FALSE))</f>
        <v>_</v>
      </c>
      <c r="BZ669" s="44"/>
      <c r="CA669" s="45" t="s">
        <v>16</v>
      </c>
      <c r="CB669" s="46" t="str">
        <f>IF(VLOOKUP(CA669,βοηθητικό!$J$2:$N$354,3,FALSE)="","",VLOOKUP(CA669,βοηθητικό!$J$2:$N$354,3,FALSE))</f>
        <v>_</v>
      </c>
      <c r="CC669" s="47"/>
      <c r="CD669" s="42" t="s">
        <v>16</v>
      </c>
      <c r="CE669" s="43" t="str">
        <f>IF(VLOOKUP(CD669,βοηθητικό!$J$2:$N$354,3,FALSE)="","",VLOOKUP(CD669,βοηθητικό!$J$2:$N$354,3,FALSE))</f>
        <v>_</v>
      </c>
      <c r="CF669" s="44"/>
      <c r="CG669" s="45" t="s">
        <v>16</v>
      </c>
      <c r="CH669" s="46" t="str">
        <f>IF(VLOOKUP(CG669,βοηθητικό!$J$2:$N$354,3,FALSE)="","",VLOOKUP(CG669,βοηθητικό!$J$2:$N$354,3,FALSE))</f>
        <v>_</v>
      </c>
      <c r="CI669" s="47"/>
      <c r="CJ669" s="42" t="s">
        <v>16</v>
      </c>
      <c r="CK669" s="43" t="str">
        <f>IF(VLOOKUP(CJ669,βοηθητικό!$J$2:$N$354,3,FALSE)="","",VLOOKUP(CJ669,βοηθητικό!$J$2:$N$354,3,FALSE))</f>
        <v>_</v>
      </c>
      <c r="CL669" s="44"/>
      <c r="CM669" s="45" t="s">
        <v>16</v>
      </c>
      <c r="CN669" s="46" t="str">
        <f>IF(VLOOKUP(CM669,βοηθητικό!$J$2:$N$354,3,FALSE)="","",VLOOKUP(CM669,βοηθητικό!$J$2:$N$354,3,FALSE))</f>
        <v>_</v>
      </c>
      <c r="CO669" s="47"/>
      <c r="CP669" s="42" t="s">
        <v>16</v>
      </c>
      <c r="CQ669" s="43" t="str">
        <f>IF(VLOOKUP(CP669,βοηθητικό!$J$2:$N$354,3,FALSE)="","",VLOOKUP(CP669,βοηθητικό!$J$2:$N$354,3,FALSE))</f>
        <v>_</v>
      </c>
      <c r="CR669" s="44"/>
      <c r="CS669" s="45" t="s">
        <v>16</v>
      </c>
      <c r="CT669" s="46" t="str">
        <f>IF(VLOOKUP(CS669,βοηθητικό!$J$2:$N$354,3,FALSE)="","",VLOOKUP(CS669,βοηθητικό!$J$2:$N$354,3,FALSE))</f>
        <v>_</v>
      </c>
      <c r="CU669" s="47"/>
    </row>
    <row r="670" spans="1:99" x14ac:dyDescent="0.25">
      <c r="A670" s="37">
        <f>--SUBTOTAL(3,$B$3:B669)</f>
        <v>198</v>
      </c>
      <c r="B670" s="2"/>
      <c r="C670" s="3"/>
      <c r="D670" s="55" t="s">
        <v>18</v>
      </c>
      <c r="E670" s="38" t="s">
        <v>16</v>
      </c>
      <c r="F670" s="38"/>
      <c r="G670" s="39" t="str">
        <f t="shared" si="32"/>
        <v>__</v>
      </c>
      <c r="H670" s="40" t="str">
        <f t="shared" si="33"/>
        <v>FALSE</v>
      </c>
      <c r="I670" s="41">
        <f t="shared" si="34"/>
        <v>0</v>
      </c>
      <c r="J670" s="4" t="s">
        <v>16</v>
      </c>
      <c r="K670" s="43" t="str">
        <f>IF(VLOOKUP(J670,βοηθητικό!$J$2:$N$354,3,FALSE)="","",VLOOKUP(J670,βοηθητικό!$J$2:$N$354,3,FALSE))</f>
        <v>_</v>
      </c>
      <c r="L670" s="44"/>
      <c r="M670" s="5" t="s">
        <v>16</v>
      </c>
      <c r="N670" s="46" t="str">
        <f>IF(VLOOKUP(M670,βοηθητικό!$J$2:$N$354,3,FALSE)="","",VLOOKUP(M670,βοηθητικό!$J$2:$N$354,3,FALSE))</f>
        <v>_</v>
      </c>
      <c r="O670" s="47"/>
      <c r="P670" s="4" t="s">
        <v>16</v>
      </c>
      <c r="Q670" s="43" t="str">
        <f>IF(VLOOKUP(P670,βοηθητικό!$J$2:$N$354,3,FALSE)="","",VLOOKUP(P670,βοηθητικό!$J$2:$N$354,3,FALSE))</f>
        <v>_</v>
      </c>
      <c r="R670" s="44"/>
      <c r="S670" s="5" t="s">
        <v>16</v>
      </c>
      <c r="T670" s="46" t="str">
        <f>IF(VLOOKUP(S670,βοηθητικό!$J$2:$N$354,3,FALSE)="","",VLOOKUP(S670,βοηθητικό!$J$2:$N$354,3,FALSE))</f>
        <v>_</v>
      </c>
      <c r="U670" s="47"/>
      <c r="V670" s="4" t="s">
        <v>16</v>
      </c>
      <c r="W670" s="43" t="str">
        <f>IF(VLOOKUP(V670,βοηθητικό!$J$2:$N$354,3,FALSE)="","",VLOOKUP(V670,βοηθητικό!$J$2:$N$354,3,FALSE))</f>
        <v>_</v>
      </c>
      <c r="X670" s="44"/>
      <c r="Y670" s="5" t="s">
        <v>16</v>
      </c>
      <c r="Z670" s="46" t="str">
        <f>IF(VLOOKUP(Y670,βοηθητικό!$J$2:$N$354,3,FALSE)="","",VLOOKUP(Y670,βοηθητικό!$J$2:$N$354,3,FALSE))</f>
        <v>_</v>
      </c>
      <c r="AA670" s="47"/>
      <c r="AB670" s="4" t="s">
        <v>16</v>
      </c>
      <c r="AC670" s="43" t="str">
        <f>IF(VLOOKUP(AB670,βοηθητικό!$J$2:$N$354,3,FALSE)="","",VLOOKUP(AB670,βοηθητικό!$J$2:$N$354,3,FALSE))</f>
        <v>_</v>
      </c>
      <c r="AD670" s="44"/>
      <c r="AE670" s="5" t="s">
        <v>16</v>
      </c>
      <c r="AF670" s="46" t="str">
        <f>IF(VLOOKUP(AE670,βοηθητικό!$J$2:$N$354,3,FALSE)="","",VLOOKUP(AE670,βοηθητικό!$J$2:$N$354,3,FALSE))</f>
        <v>_</v>
      </c>
      <c r="AG670" s="47"/>
      <c r="AH670" s="4" t="s">
        <v>16</v>
      </c>
      <c r="AI670" s="43" t="str">
        <f>IF(VLOOKUP(AH670,βοηθητικό!$J$2:$N$354,3,FALSE)="","",VLOOKUP(AH670,βοηθητικό!$J$2:$N$354,3,FALSE))</f>
        <v>_</v>
      </c>
      <c r="AJ670" s="44"/>
      <c r="AK670" s="5" t="s">
        <v>16</v>
      </c>
      <c r="AL670" s="46" t="str">
        <f>IF(VLOOKUP(AK670,βοηθητικό!$J$2:$N$354,3,FALSE)="","",VLOOKUP(AK670,βοηθητικό!$J$2:$N$354,3,FALSE))</f>
        <v>_</v>
      </c>
      <c r="AM670" s="47"/>
      <c r="AN670" s="4" t="s">
        <v>16</v>
      </c>
      <c r="AO670" s="43" t="str">
        <f>IF(VLOOKUP(AN670,βοηθητικό!$J$2:$N$354,3,FALSE)="","",VLOOKUP(AN670,βοηθητικό!$J$2:$N$354,3,FALSE))</f>
        <v>_</v>
      </c>
      <c r="AP670" s="44"/>
      <c r="AQ670" s="5" t="s">
        <v>16</v>
      </c>
      <c r="AR670" s="46" t="str">
        <f>IF(VLOOKUP(AQ670,βοηθητικό!$J$2:$N$354,3,FALSE)="","",VLOOKUP(AQ670,βοηθητικό!$J$2:$N$354,3,FALSE))</f>
        <v>_</v>
      </c>
      <c r="AS670" s="47"/>
      <c r="AT670" s="4" t="s">
        <v>16</v>
      </c>
      <c r="AU670" s="43" t="str">
        <f>IF(VLOOKUP(AT670,βοηθητικό!$J$2:$N$354,3,FALSE)="","",VLOOKUP(AT670,βοηθητικό!$J$2:$N$354,3,FALSE))</f>
        <v>_</v>
      </c>
      <c r="AV670" s="44"/>
      <c r="AW670" s="5" t="s">
        <v>16</v>
      </c>
      <c r="AX670" s="46" t="str">
        <f>IF(VLOOKUP(AW670,βοηθητικό!$J$2:$N$354,3,FALSE)="","",VLOOKUP(AW670,βοηθητικό!$J$2:$N$354,3,FALSE))</f>
        <v>_</v>
      </c>
      <c r="AY670" s="47"/>
      <c r="AZ670" s="4" t="s">
        <v>16</v>
      </c>
      <c r="BA670" s="43" t="str">
        <f>IF(VLOOKUP(AZ670,βοηθητικό!$J$2:$N$354,3,FALSE)="","",VLOOKUP(AZ670,βοηθητικό!$J$2:$N$354,3,FALSE))</f>
        <v>_</v>
      </c>
      <c r="BB670" s="44"/>
      <c r="BC670" s="45" t="s">
        <v>16</v>
      </c>
      <c r="BD670" s="46" t="str">
        <f>IF(VLOOKUP(BC670,βοηθητικό!$J$2:$N$354,3,FALSE)="","",VLOOKUP(BC670,βοηθητικό!$J$2:$N$354,3,FALSE))</f>
        <v>_</v>
      </c>
      <c r="BE670" s="47"/>
      <c r="BF670" s="42" t="s">
        <v>16</v>
      </c>
      <c r="BG670" s="43" t="str">
        <f>IF(VLOOKUP(BF670,βοηθητικό!$J$2:$N$354,3,FALSE)="","",VLOOKUP(BF670,βοηθητικό!$J$2:$N$354,3,FALSE))</f>
        <v>_</v>
      </c>
      <c r="BH670" s="44"/>
      <c r="BI670" s="45" t="s">
        <v>16</v>
      </c>
      <c r="BJ670" s="46" t="str">
        <f>IF(VLOOKUP(BI670,βοηθητικό!$J$2:$N$354,3,FALSE)="","",VLOOKUP(BI670,βοηθητικό!$J$2:$N$354,3,FALSE))</f>
        <v>_</v>
      </c>
      <c r="BK670" s="47"/>
      <c r="BL670" s="42" t="s">
        <v>16</v>
      </c>
      <c r="BM670" s="43" t="str">
        <f>IF(VLOOKUP(BL670,βοηθητικό!$J$2:$N$354,3,FALSE)="","",VLOOKUP(BL670,βοηθητικό!$J$2:$N$354,3,FALSE))</f>
        <v>_</v>
      </c>
      <c r="BN670" s="44"/>
      <c r="BO670" s="45" t="s">
        <v>16</v>
      </c>
      <c r="BP670" s="46" t="str">
        <f>IF(VLOOKUP(BO670,βοηθητικό!$J$2:$N$354,3,FALSE)="","",VLOOKUP(BO670,βοηθητικό!$J$2:$N$354,3,FALSE))</f>
        <v>_</v>
      </c>
      <c r="BQ670" s="47"/>
      <c r="BR670" s="42" t="s">
        <v>16</v>
      </c>
      <c r="BS670" s="43" t="str">
        <f>IF(VLOOKUP(BR670,βοηθητικό!$J$2:$N$354,3,FALSE)="","",VLOOKUP(BR670,βοηθητικό!$J$2:$N$354,3,FALSE))</f>
        <v>_</v>
      </c>
      <c r="BT670" s="44"/>
      <c r="BU670" s="45" t="s">
        <v>16</v>
      </c>
      <c r="BV670" s="46" t="str">
        <f>IF(VLOOKUP(BU670,βοηθητικό!$J$2:$N$354,3,FALSE)="","",VLOOKUP(BU670,βοηθητικό!$J$2:$N$354,3,FALSE))</f>
        <v>_</v>
      </c>
      <c r="BW670" s="47"/>
      <c r="BX670" s="42" t="s">
        <v>16</v>
      </c>
      <c r="BY670" s="43" t="str">
        <f>IF(VLOOKUP(BX670,βοηθητικό!$J$2:$N$354,3,FALSE)="","",VLOOKUP(BX670,βοηθητικό!$J$2:$N$354,3,FALSE))</f>
        <v>_</v>
      </c>
      <c r="BZ670" s="44"/>
      <c r="CA670" s="45" t="s">
        <v>16</v>
      </c>
      <c r="CB670" s="46" t="str">
        <f>IF(VLOOKUP(CA670,βοηθητικό!$J$2:$N$354,3,FALSE)="","",VLOOKUP(CA670,βοηθητικό!$J$2:$N$354,3,FALSE))</f>
        <v>_</v>
      </c>
      <c r="CC670" s="47"/>
      <c r="CD670" s="42" t="s">
        <v>16</v>
      </c>
      <c r="CE670" s="43" t="str">
        <f>IF(VLOOKUP(CD670,βοηθητικό!$J$2:$N$354,3,FALSE)="","",VLOOKUP(CD670,βοηθητικό!$J$2:$N$354,3,FALSE))</f>
        <v>_</v>
      </c>
      <c r="CF670" s="44"/>
      <c r="CG670" s="45" t="s">
        <v>16</v>
      </c>
      <c r="CH670" s="46" t="str">
        <f>IF(VLOOKUP(CG670,βοηθητικό!$J$2:$N$354,3,FALSE)="","",VLOOKUP(CG670,βοηθητικό!$J$2:$N$354,3,FALSE))</f>
        <v>_</v>
      </c>
      <c r="CI670" s="47"/>
      <c r="CJ670" s="42" t="s">
        <v>16</v>
      </c>
      <c r="CK670" s="43" t="str">
        <f>IF(VLOOKUP(CJ670,βοηθητικό!$J$2:$N$354,3,FALSE)="","",VLOOKUP(CJ670,βοηθητικό!$J$2:$N$354,3,FALSE))</f>
        <v>_</v>
      </c>
      <c r="CL670" s="44"/>
      <c r="CM670" s="45" t="s">
        <v>16</v>
      </c>
      <c r="CN670" s="46" t="str">
        <f>IF(VLOOKUP(CM670,βοηθητικό!$J$2:$N$354,3,FALSE)="","",VLOOKUP(CM670,βοηθητικό!$J$2:$N$354,3,FALSE))</f>
        <v>_</v>
      </c>
      <c r="CO670" s="47"/>
      <c r="CP670" s="42" t="s">
        <v>16</v>
      </c>
      <c r="CQ670" s="43" t="str">
        <f>IF(VLOOKUP(CP670,βοηθητικό!$J$2:$N$354,3,FALSE)="","",VLOOKUP(CP670,βοηθητικό!$J$2:$N$354,3,FALSE))</f>
        <v>_</v>
      </c>
      <c r="CR670" s="44"/>
      <c r="CS670" s="45" t="s">
        <v>16</v>
      </c>
      <c r="CT670" s="46" t="str">
        <f>IF(VLOOKUP(CS670,βοηθητικό!$J$2:$N$354,3,FALSE)="","",VLOOKUP(CS670,βοηθητικό!$J$2:$N$354,3,FALSE))</f>
        <v>_</v>
      </c>
      <c r="CU670" s="47"/>
    </row>
    <row r="671" spans="1:99" x14ac:dyDescent="0.25">
      <c r="A671" s="37">
        <f>--SUBTOTAL(3,$B$3:B670)</f>
        <v>198</v>
      </c>
      <c r="B671" s="2"/>
      <c r="C671" s="3"/>
      <c r="D671" s="55" t="s">
        <v>18</v>
      </c>
      <c r="E671" s="38" t="s">
        <v>16</v>
      </c>
      <c r="F671" s="38"/>
      <c r="G671" s="39" t="str">
        <f t="shared" si="32"/>
        <v>__</v>
      </c>
      <c r="H671" s="40" t="str">
        <f t="shared" si="33"/>
        <v>FALSE</v>
      </c>
      <c r="I671" s="41">
        <f t="shared" si="34"/>
        <v>0</v>
      </c>
      <c r="J671" s="4" t="s">
        <v>16</v>
      </c>
      <c r="K671" s="43" t="str">
        <f>IF(VLOOKUP(J671,βοηθητικό!$J$2:$N$354,3,FALSE)="","",VLOOKUP(J671,βοηθητικό!$J$2:$N$354,3,FALSE))</f>
        <v>_</v>
      </c>
      <c r="L671" s="44"/>
      <c r="M671" s="5" t="s">
        <v>16</v>
      </c>
      <c r="N671" s="46" t="str">
        <f>IF(VLOOKUP(M671,βοηθητικό!$J$2:$N$354,3,FALSE)="","",VLOOKUP(M671,βοηθητικό!$J$2:$N$354,3,FALSE))</f>
        <v>_</v>
      </c>
      <c r="O671" s="47"/>
      <c r="P671" s="4" t="s">
        <v>16</v>
      </c>
      <c r="Q671" s="43" t="str">
        <f>IF(VLOOKUP(P671,βοηθητικό!$J$2:$N$354,3,FALSE)="","",VLOOKUP(P671,βοηθητικό!$J$2:$N$354,3,FALSE))</f>
        <v>_</v>
      </c>
      <c r="R671" s="44"/>
      <c r="S671" s="5" t="s">
        <v>16</v>
      </c>
      <c r="T671" s="46" t="str">
        <f>IF(VLOOKUP(S671,βοηθητικό!$J$2:$N$354,3,FALSE)="","",VLOOKUP(S671,βοηθητικό!$J$2:$N$354,3,FALSE))</f>
        <v>_</v>
      </c>
      <c r="U671" s="47"/>
      <c r="V671" s="4" t="s">
        <v>16</v>
      </c>
      <c r="W671" s="43" t="str">
        <f>IF(VLOOKUP(V671,βοηθητικό!$J$2:$N$354,3,FALSE)="","",VLOOKUP(V671,βοηθητικό!$J$2:$N$354,3,FALSE))</f>
        <v>_</v>
      </c>
      <c r="X671" s="44"/>
      <c r="Y671" s="5" t="s">
        <v>16</v>
      </c>
      <c r="Z671" s="46" t="str">
        <f>IF(VLOOKUP(Y671,βοηθητικό!$J$2:$N$354,3,FALSE)="","",VLOOKUP(Y671,βοηθητικό!$J$2:$N$354,3,FALSE))</f>
        <v>_</v>
      </c>
      <c r="AA671" s="47"/>
      <c r="AB671" s="4" t="s">
        <v>16</v>
      </c>
      <c r="AC671" s="43" t="str">
        <f>IF(VLOOKUP(AB671,βοηθητικό!$J$2:$N$354,3,FALSE)="","",VLOOKUP(AB671,βοηθητικό!$J$2:$N$354,3,FALSE))</f>
        <v>_</v>
      </c>
      <c r="AD671" s="44"/>
      <c r="AE671" s="5" t="s">
        <v>16</v>
      </c>
      <c r="AF671" s="46" t="str">
        <f>IF(VLOOKUP(AE671,βοηθητικό!$J$2:$N$354,3,FALSE)="","",VLOOKUP(AE671,βοηθητικό!$J$2:$N$354,3,FALSE))</f>
        <v>_</v>
      </c>
      <c r="AG671" s="47"/>
      <c r="AH671" s="4" t="s">
        <v>16</v>
      </c>
      <c r="AI671" s="43" t="str">
        <f>IF(VLOOKUP(AH671,βοηθητικό!$J$2:$N$354,3,FALSE)="","",VLOOKUP(AH671,βοηθητικό!$J$2:$N$354,3,FALSE))</f>
        <v>_</v>
      </c>
      <c r="AJ671" s="44"/>
      <c r="AK671" s="5" t="s">
        <v>16</v>
      </c>
      <c r="AL671" s="46" t="str">
        <f>IF(VLOOKUP(AK671,βοηθητικό!$J$2:$N$354,3,FALSE)="","",VLOOKUP(AK671,βοηθητικό!$J$2:$N$354,3,FALSE))</f>
        <v>_</v>
      </c>
      <c r="AM671" s="47"/>
      <c r="AN671" s="4" t="s">
        <v>16</v>
      </c>
      <c r="AO671" s="43" t="str">
        <f>IF(VLOOKUP(AN671,βοηθητικό!$J$2:$N$354,3,FALSE)="","",VLOOKUP(AN671,βοηθητικό!$J$2:$N$354,3,FALSE))</f>
        <v>_</v>
      </c>
      <c r="AP671" s="44"/>
      <c r="AQ671" s="5" t="s">
        <v>16</v>
      </c>
      <c r="AR671" s="46" t="str">
        <f>IF(VLOOKUP(AQ671,βοηθητικό!$J$2:$N$354,3,FALSE)="","",VLOOKUP(AQ671,βοηθητικό!$J$2:$N$354,3,FALSE))</f>
        <v>_</v>
      </c>
      <c r="AS671" s="47"/>
      <c r="AT671" s="4" t="s">
        <v>16</v>
      </c>
      <c r="AU671" s="43" t="str">
        <f>IF(VLOOKUP(AT671,βοηθητικό!$J$2:$N$354,3,FALSE)="","",VLOOKUP(AT671,βοηθητικό!$J$2:$N$354,3,FALSE))</f>
        <v>_</v>
      </c>
      <c r="AV671" s="44"/>
      <c r="AW671" s="5" t="s">
        <v>16</v>
      </c>
      <c r="AX671" s="46" t="str">
        <f>IF(VLOOKUP(AW671,βοηθητικό!$J$2:$N$354,3,FALSE)="","",VLOOKUP(AW671,βοηθητικό!$J$2:$N$354,3,FALSE))</f>
        <v>_</v>
      </c>
      <c r="AY671" s="47"/>
      <c r="AZ671" s="4" t="s">
        <v>16</v>
      </c>
      <c r="BA671" s="43" t="str">
        <f>IF(VLOOKUP(AZ671,βοηθητικό!$J$2:$N$354,3,FALSE)="","",VLOOKUP(AZ671,βοηθητικό!$J$2:$N$354,3,FALSE))</f>
        <v>_</v>
      </c>
      <c r="BB671" s="44"/>
      <c r="BC671" s="45" t="s">
        <v>16</v>
      </c>
      <c r="BD671" s="46" t="str">
        <f>IF(VLOOKUP(BC671,βοηθητικό!$J$2:$N$354,3,FALSE)="","",VLOOKUP(BC671,βοηθητικό!$J$2:$N$354,3,FALSE))</f>
        <v>_</v>
      </c>
      <c r="BE671" s="47"/>
      <c r="BF671" s="42" t="s">
        <v>16</v>
      </c>
      <c r="BG671" s="43" t="str">
        <f>IF(VLOOKUP(BF671,βοηθητικό!$J$2:$N$354,3,FALSE)="","",VLOOKUP(BF671,βοηθητικό!$J$2:$N$354,3,FALSE))</f>
        <v>_</v>
      </c>
      <c r="BH671" s="44"/>
      <c r="BI671" s="45" t="s">
        <v>16</v>
      </c>
      <c r="BJ671" s="46" t="str">
        <f>IF(VLOOKUP(BI671,βοηθητικό!$J$2:$N$354,3,FALSE)="","",VLOOKUP(BI671,βοηθητικό!$J$2:$N$354,3,FALSE))</f>
        <v>_</v>
      </c>
      <c r="BK671" s="47"/>
      <c r="BL671" s="42" t="s">
        <v>16</v>
      </c>
      <c r="BM671" s="43" t="str">
        <f>IF(VLOOKUP(BL671,βοηθητικό!$J$2:$N$354,3,FALSE)="","",VLOOKUP(BL671,βοηθητικό!$J$2:$N$354,3,FALSE))</f>
        <v>_</v>
      </c>
      <c r="BN671" s="44"/>
      <c r="BO671" s="45" t="s">
        <v>16</v>
      </c>
      <c r="BP671" s="46" t="str">
        <f>IF(VLOOKUP(BO671,βοηθητικό!$J$2:$N$354,3,FALSE)="","",VLOOKUP(BO671,βοηθητικό!$J$2:$N$354,3,FALSE))</f>
        <v>_</v>
      </c>
      <c r="BQ671" s="47"/>
      <c r="BR671" s="42" t="s">
        <v>16</v>
      </c>
      <c r="BS671" s="43" t="str">
        <f>IF(VLOOKUP(BR671,βοηθητικό!$J$2:$N$354,3,FALSE)="","",VLOOKUP(BR671,βοηθητικό!$J$2:$N$354,3,FALSE))</f>
        <v>_</v>
      </c>
      <c r="BT671" s="44"/>
      <c r="BU671" s="45" t="s">
        <v>16</v>
      </c>
      <c r="BV671" s="46" t="str">
        <f>IF(VLOOKUP(BU671,βοηθητικό!$J$2:$N$354,3,FALSE)="","",VLOOKUP(BU671,βοηθητικό!$J$2:$N$354,3,FALSE))</f>
        <v>_</v>
      </c>
      <c r="BW671" s="47"/>
      <c r="BX671" s="42" t="s">
        <v>16</v>
      </c>
      <c r="BY671" s="43" t="str">
        <f>IF(VLOOKUP(BX671,βοηθητικό!$J$2:$N$354,3,FALSE)="","",VLOOKUP(BX671,βοηθητικό!$J$2:$N$354,3,FALSE))</f>
        <v>_</v>
      </c>
      <c r="BZ671" s="44"/>
      <c r="CA671" s="45" t="s">
        <v>16</v>
      </c>
      <c r="CB671" s="46" t="str">
        <f>IF(VLOOKUP(CA671,βοηθητικό!$J$2:$N$354,3,FALSE)="","",VLOOKUP(CA671,βοηθητικό!$J$2:$N$354,3,FALSE))</f>
        <v>_</v>
      </c>
      <c r="CC671" s="47"/>
      <c r="CD671" s="42" t="s">
        <v>16</v>
      </c>
      <c r="CE671" s="43" t="str">
        <f>IF(VLOOKUP(CD671,βοηθητικό!$J$2:$N$354,3,FALSE)="","",VLOOKUP(CD671,βοηθητικό!$J$2:$N$354,3,FALSE))</f>
        <v>_</v>
      </c>
      <c r="CF671" s="44"/>
      <c r="CG671" s="45" t="s">
        <v>16</v>
      </c>
      <c r="CH671" s="46" t="str">
        <f>IF(VLOOKUP(CG671,βοηθητικό!$J$2:$N$354,3,FALSE)="","",VLOOKUP(CG671,βοηθητικό!$J$2:$N$354,3,FALSE))</f>
        <v>_</v>
      </c>
      <c r="CI671" s="47"/>
      <c r="CJ671" s="42" t="s">
        <v>16</v>
      </c>
      <c r="CK671" s="43" t="str">
        <f>IF(VLOOKUP(CJ671,βοηθητικό!$J$2:$N$354,3,FALSE)="","",VLOOKUP(CJ671,βοηθητικό!$J$2:$N$354,3,FALSE))</f>
        <v>_</v>
      </c>
      <c r="CL671" s="44"/>
      <c r="CM671" s="45" t="s">
        <v>16</v>
      </c>
      <c r="CN671" s="46" t="str">
        <f>IF(VLOOKUP(CM671,βοηθητικό!$J$2:$N$354,3,FALSE)="","",VLOOKUP(CM671,βοηθητικό!$J$2:$N$354,3,FALSE))</f>
        <v>_</v>
      </c>
      <c r="CO671" s="47"/>
      <c r="CP671" s="42" t="s">
        <v>16</v>
      </c>
      <c r="CQ671" s="43" t="str">
        <f>IF(VLOOKUP(CP671,βοηθητικό!$J$2:$N$354,3,FALSE)="","",VLOOKUP(CP671,βοηθητικό!$J$2:$N$354,3,FALSE))</f>
        <v>_</v>
      </c>
      <c r="CR671" s="44"/>
      <c r="CS671" s="45" t="s">
        <v>16</v>
      </c>
      <c r="CT671" s="46" t="str">
        <f>IF(VLOOKUP(CS671,βοηθητικό!$J$2:$N$354,3,FALSE)="","",VLOOKUP(CS671,βοηθητικό!$J$2:$N$354,3,FALSE))</f>
        <v>_</v>
      </c>
      <c r="CU671" s="47"/>
    </row>
    <row r="672" spans="1:99" x14ac:dyDescent="0.25">
      <c r="A672" s="37">
        <f>--SUBTOTAL(3,$B$3:B671)</f>
        <v>198</v>
      </c>
      <c r="B672" s="2"/>
      <c r="C672" s="3"/>
      <c r="D672" s="55" t="s">
        <v>18</v>
      </c>
      <c r="E672" s="38" t="s">
        <v>16</v>
      </c>
      <c r="F672" s="38"/>
      <c r="G672" s="39" t="str">
        <f t="shared" si="32"/>
        <v>__</v>
      </c>
      <c r="H672" s="40" t="str">
        <f t="shared" si="33"/>
        <v>FALSE</v>
      </c>
      <c r="I672" s="41">
        <f t="shared" si="34"/>
        <v>0</v>
      </c>
      <c r="J672" s="4" t="s">
        <v>16</v>
      </c>
      <c r="K672" s="43" t="str">
        <f>IF(VLOOKUP(J672,βοηθητικό!$J$2:$N$354,3,FALSE)="","",VLOOKUP(J672,βοηθητικό!$J$2:$N$354,3,FALSE))</f>
        <v>_</v>
      </c>
      <c r="L672" s="44"/>
      <c r="M672" s="5" t="s">
        <v>16</v>
      </c>
      <c r="N672" s="46" t="str">
        <f>IF(VLOOKUP(M672,βοηθητικό!$J$2:$N$354,3,FALSE)="","",VLOOKUP(M672,βοηθητικό!$J$2:$N$354,3,FALSE))</f>
        <v>_</v>
      </c>
      <c r="O672" s="47"/>
      <c r="P672" s="4" t="s">
        <v>16</v>
      </c>
      <c r="Q672" s="43" t="str">
        <f>IF(VLOOKUP(P672,βοηθητικό!$J$2:$N$354,3,FALSE)="","",VLOOKUP(P672,βοηθητικό!$J$2:$N$354,3,FALSE))</f>
        <v>_</v>
      </c>
      <c r="R672" s="44"/>
      <c r="S672" s="5" t="s">
        <v>16</v>
      </c>
      <c r="T672" s="46" t="str">
        <f>IF(VLOOKUP(S672,βοηθητικό!$J$2:$N$354,3,FALSE)="","",VLOOKUP(S672,βοηθητικό!$J$2:$N$354,3,FALSE))</f>
        <v>_</v>
      </c>
      <c r="U672" s="47"/>
      <c r="V672" s="4" t="s">
        <v>16</v>
      </c>
      <c r="W672" s="43" t="str">
        <f>IF(VLOOKUP(V672,βοηθητικό!$J$2:$N$354,3,FALSE)="","",VLOOKUP(V672,βοηθητικό!$J$2:$N$354,3,FALSE))</f>
        <v>_</v>
      </c>
      <c r="X672" s="44"/>
      <c r="Y672" s="5" t="s">
        <v>16</v>
      </c>
      <c r="Z672" s="46" t="str">
        <f>IF(VLOOKUP(Y672,βοηθητικό!$J$2:$N$354,3,FALSE)="","",VLOOKUP(Y672,βοηθητικό!$J$2:$N$354,3,FALSE))</f>
        <v>_</v>
      </c>
      <c r="AA672" s="47"/>
      <c r="AB672" s="4" t="s">
        <v>16</v>
      </c>
      <c r="AC672" s="43" t="str">
        <f>IF(VLOOKUP(AB672,βοηθητικό!$J$2:$N$354,3,FALSE)="","",VLOOKUP(AB672,βοηθητικό!$J$2:$N$354,3,FALSE))</f>
        <v>_</v>
      </c>
      <c r="AD672" s="44"/>
      <c r="AE672" s="5" t="s">
        <v>16</v>
      </c>
      <c r="AF672" s="46" t="str">
        <f>IF(VLOOKUP(AE672,βοηθητικό!$J$2:$N$354,3,FALSE)="","",VLOOKUP(AE672,βοηθητικό!$J$2:$N$354,3,FALSE))</f>
        <v>_</v>
      </c>
      <c r="AG672" s="47"/>
      <c r="AH672" s="4" t="s">
        <v>16</v>
      </c>
      <c r="AI672" s="43" t="str">
        <f>IF(VLOOKUP(AH672,βοηθητικό!$J$2:$N$354,3,FALSE)="","",VLOOKUP(AH672,βοηθητικό!$J$2:$N$354,3,FALSE))</f>
        <v>_</v>
      </c>
      <c r="AJ672" s="44"/>
      <c r="AK672" s="5" t="s">
        <v>16</v>
      </c>
      <c r="AL672" s="46" t="str">
        <f>IF(VLOOKUP(AK672,βοηθητικό!$J$2:$N$354,3,FALSE)="","",VLOOKUP(AK672,βοηθητικό!$J$2:$N$354,3,FALSE))</f>
        <v>_</v>
      </c>
      <c r="AM672" s="47"/>
      <c r="AN672" s="4" t="s">
        <v>16</v>
      </c>
      <c r="AO672" s="43" t="str">
        <f>IF(VLOOKUP(AN672,βοηθητικό!$J$2:$N$354,3,FALSE)="","",VLOOKUP(AN672,βοηθητικό!$J$2:$N$354,3,FALSE))</f>
        <v>_</v>
      </c>
      <c r="AP672" s="44"/>
      <c r="AQ672" s="5" t="s">
        <v>16</v>
      </c>
      <c r="AR672" s="46" t="str">
        <f>IF(VLOOKUP(AQ672,βοηθητικό!$J$2:$N$354,3,FALSE)="","",VLOOKUP(AQ672,βοηθητικό!$J$2:$N$354,3,FALSE))</f>
        <v>_</v>
      </c>
      <c r="AS672" s="47"/>
      <c r="AT672" s="4" t="s">
        <v>16</v>
      </c>
      <c r="AU672" s="43" t="str">
        <f>IF(VLOOKUP(AT672,βοηθητικό!$J$2:$N$354,3,FALSE)="","",VLOOKUP(AT672,βοηθητικό!$J$2:$N$354,3,FALSE))</f>
        <v>_</v>
      </c>
      <c r="AV672" s="44"/>
      <c r="AW672" s="5" t="s">
        <v>16</v>
      </c>
      <c r="AX672" s="46" t="str">
        <f>IF(VLOOKUP(AW672,βοηθητικό!$J$2:$N$354,3,FALSE)="","",VLOOKUP(AW672,βοηθητικό!$J$2:$N$354,3,FALSE))</f>
        <v>_</v>
      </c>
      <c r="AY672" s="47"/>
      <c r="AZ672" s="4" t="s">
        <v>16</v>
      </c>
      <c r="BA672" s="43" t="str">
        <f>IF(VLOOKUP(AZ672,βοηθητικό!$J$2:$N$354,3,FALSE)="","",VLOOKUP(AZ672,βοηθητικό!$J$2:$N$354,3,FALSE))</f>
        <v>_</v>
      </c>
      <c r="BB672" s="44"/>
      <c r="BC672" s="45" t="s">
        <v>16</v>
      </c>
      <c r="BD672" s="46" t="str">
        <f>IF(VLOOKUP(BC672,βοηθητικό!$J$2:$N$354,3,FALSE)="","",VLOOKUP(BC672,βοηθητικό!$J$2:$N$354,3,FALSE))</f>
        <v>_</v>
      </c>
      <c r="BE672" s="47"/>
      <c r="BF672" s="42" t="s">
        <v>16</v>
      </c>
      <c r="BG672" s="43" t="str">
        <f>IF(VLOOKUP(BF672,βοηθητικό!$J$2:$N$354,3,FALSE)="","",VLOOKUP(BF672,βοηθητικό!$J$2:$N$354,3,FALSE))</f>
        <v>_</v>
      </c>
      <c r="BH672" s="44"/>
      <c r="BI672" s="45" t="s">
        <v>16</v>
      </c>
      <c r="BJ672" s="46" t="str">
        <f>IF(VLOOKUP(BI672,βοηθητικό!$J$2:$N$354,3,FALSE)="","",VLOOKUP(BI672,βοηθητικό!$J$2:$N$354,3,FALSE))</f>
        <v>_</v>
      </c>
      <c r="BK672" s="47"/>
      <c r="BL672" s="42" t="s">
        <v>16</v>
      </c>
      <c r="BM672" s="43" t="str">
        <f>IF(VLOOKUP(BL672,βοηθητικό!$J$2:$N$354,3,FALSE)="","",VLOOKUP(BL672,βοηθητικό!$J$2:$N$354,3,FALSE))</f>
        <v>_</v>
      </c>
      <c r="BN672" s="44"/>
      <c r="BO672" s="45" t="s">
        <v>16</v>
      </c>
      <c r="BP672" s="46" t="str">
        <f>IF(VLOOKUP(BO672,βοηθητικό!$J$2:$N$354,3,FALSE)="","",VLOOKUP(BO672,βοηθητικό!$J$2:$N$354,3,FALSE))</f>
        <v>_</v>
      </c>
      <c r="BQ672" s="47"/>
      <c r="BR672" s="42" t="s">
        <v>16</v>
      </c>
      <c r="BS672" s="43" t="str">
        <f>IF(VLOOKUP(BR672,βοηθητικό!$J$2:$N$354,3,FALSE)="","",VLOOKUP(BR672,βοηθητικό!$J$2:$N$354,3,FALSE))</f>
        <v>_</v>
      </c>
      <c r="BT672" s="44"/>
      <c r="BU672" s="45" t="s">
        <v>16</v>
      </c>
      <c r="BV672" s="46" t="str">
        <f>IF(VLOOKUP(BU672,βοηθητικό!$J$2:$N$354,3,FALSE)="","",VLOOKUP(BU672,βοηθητικό!$J$2:$N$354,3,FALSE))</f>
        <v>_</v>
      </c>
      <c r="BW672" s="47"/>
      <c r="BX672" s="42" t="s">
        <v>16</v>
      </c>
      <c r="BY672" s="43" t="str">
        <f>IF(VLOOKUP(BX672,βοηθητικό!$J$2:$N$354,3,FALSE)="","",VLOOKUP(BX672,βοηθητικό!$J$2:$N$354,3,FALSE))</f>
        <v>_</v>
      </c>
      <c r="BZ672" s="44"/>
      <c r="CA672" s="45" t="s">
        <v>16</v>
      </c>
      <c r="CB672" s="46" t="str">
        <f>IF(VLOOKUP(CA672,βοηθητικό!$J$2:$N$354,3,FALSE)="","",VLOOKUP(CA672,βοηθητικό!$J$2:$N$354,3,FALSE))</f>
        <v>_</v>
      </c>
      <c r="CC672" s="47"/>
      <c r="CD672" s="42" t="s">
        <v>16</v>
      </c>
      <c r="CE672" s="43" t="str">
        <f>IF(VLOOKUP(CD672,βοηθητικό!$J$2:$N$354,3,FALSE)="","",VLOOKUP(CD672,βοηθητικό!$J$2:$N$354,3,FALSE))</f>
        <v>_</v>
      </c>
      <c r="CF672" s="44"/>
      <c r="CG672" s="45" t="s">
        <v>16</v>
      </c>
      <c r="CH672" s="46" t="str">
        <f>IF(VLOOKUP(CG672,βοηθητικό!$J$2:$N$354,3,FALSE)="","",VLOOKUP(CG672,βοηθητικό!$J$2:$N$354,3,FALSE))</f>
        <v>_</v>
      </c>
      <c r="CI672" s="47"/>
      <c r="CJ672" s="42" t="s">
        <v>16</v>
      </c>
      <c r="CK672" s="43" t="str">
        <f>IF(VLOOKUP(CJ672,βοηθητικό!$J$2:$N$354,3,FALSE)="","",VLOOKUP(CJ672,βοηθητικό!$J$2:$N$354,3,FALSE))</f>
        <v>_</v>
      </c>
      <c r="CL672" s="44"/>
      <c r="CM672" s="45" t="s">
        <v>16</v>
      </c>
      <c r="CN672" s="46" t="str">
        <f>IF(VLOOKUP(CM672,βοηθητικό!$J$2:$N$354,3,FALSE)="","",VLOOKUP(CM672,βοηθητικό!$J$2:$N$354,3,FALSE))</f>
        <v>_</v>
      </c>
      <c r="CO672" s="47"/>
      <c r="CP672" s="42" t="s">
        <v>16</v>
      </c>
      <c r="CQ672" s="43" t="str">
        <f>IF(VLOOKUP(CP672,βοηθητικό!$J$2:$N$354,3,FALSE)="","",VLOOKUP(CP672,βοηθητικό!$J$2:$N$354,3,FALSE))</f>
        <v>_</v>
      </c>
      <c r="CR672" s="44"/>
      <c r="CS672" s="45" t="s">
        <v>16</v>
      </c>
      <c r="CT672" s="46" t="str">
        <f>IF(VLOOKUP(CS672,βοηθητικό!$J$2:$N$354,3,FALSE)="","",VLOOKUP(CS672,βοηθητικό!$J$2:$N$354,3,FALSE))</f>
        <v>_</v>
      </c>
      <c r="CU672" s="47"/>
    </row>
    <row r="673" spans="1:99" x14ac:dyDescent="0.25">
      <c r="A673" s="37">
        <f>--SUBTOTAL(3,$B$3:B672)</f>
        <v>198</v>
      </c>
      <c r="B673" s="2"/>
      <c r="C673" s="3"/>
      <c r="D673" s="55" t="s">
        <v>18</v>
      </c>
      <c r="E673" s="38" t="s">
        <v>16</v>
      </c>
      <c r="F673" s="38"/>
      <c r="G673" s="39" t="str">
        <f t="shared" si="32"/>
        <v>__</v>
      </c>
      <c r="H673" s="40" t="str">
        <f t="shared" si="33"/>
        <v>FALSE</v>
      </c>
      <c r="I673" s="41">
        <f t="shared" si="34"/>
        <v>0</v>
      </c>
      <c r="J673" s="4" t="s">
        <v>16</v>
      </c>
      <c r="K673" s="43" t="str">
        <f>IF(VLOOKUP(J673,βοηθητικό!$J$2:$N$354,3,FALSE)="","",VLOOKUP(J673,βοηθητικό!$J$2:$N$354,3,FALSE))</f>
        <v>_</v>
      </c>
      <c r="L673" s="44"/>
      <c r="M673" s="5" t="s">
        <v>16</v>
      </c>
      <c r="N673" s="46" t="str">
        <f>IF(VLOOKUP(M673,βοηθητικό!$J$2:$N$354,3,FALSE)="","",VLOOKUP(M673,βοηθητικό!$J$2:$N$354,3,FALSE))</f>
        <v>_</v>
      </c>
      <c r="O673" s="47"/>
      <c r="P673" s="4" t="s">
        <v>16</v>
      </c>
      <c r="Q673" s="43" t="str">
        <f>IF(VLOOKUP(P673,βοηθητικό!$J$2:$N$354,3,FALSE)="","",VLOOKUP(P673,βοηθητικό!$J$2:$N$354,3,FALSE))</f>
        <v>_</v>
      </c>
      <c r="R673" s="44"/>
      <c r="S673" s="5" t="s">
        <v>16</v>
      </c>
      <c r="T673" s="46" t="str">
        <f>IF(VLOOKUP(S673,βοηθητικό!$J$2:$N$354,3,FALSE)="","",VLOOKUP(S673,βοηθητικό!$J$2:$N$354,3,FALSE))</f>
        <v>_</v>
      </c>
      <c r="U673" s="47"/>
      <c r="V673" s="4" t="s">
        <v>16</v>
      </c>
      <c r="W673" s="43" t="str">
        <f>IF(VLOOKUP(V673,βοηθητικό!$J$2:$N$354,3,FALSE)="","",VLOOKUP(V673,βοηθητικό!$J$2:$N$354,3,FALSE))</f>
        <v>_</v>
      </c>
      <c r="X673" s="44"/>
      <c r="Y673" s="5" t="s">
        <v>16</v>
      </c>
      <c r="Z673" s="46" t="str">
        <f>IF(VLOOKUP(Y673,βοηθητικό!$J$2:$N$354,3,FALSE)="","",VLOOKUP(Y673,βοηθητικό!$J$2:$N$354,3,FALSE))</f>
        <v>_</v>
      </c>
      <c r="AA673" s="47"/>
      <c r="AB673" s="4" t="s">
        <v>16</v>
      </c>
      <c r="AC673" s="43" t="str">
        <f>IF(VLOOKUP(AB673,βοηθητικό!$J$2:$N$354,3,FALSE)="","",VLOOKUP(AB673,βοηθητικό!$J$2:$N$354,3,FALSE))</f>
        <v>_</v>
      </c>
      <c r="AD673" s="44"/>
      <c r="AE673" s="5" t="s">
        <v>16</v>
      </c>
      <c r="AF673" s="46" t="str">
        <f>IF(VLOOKUP(AE673,βοηθητικό!$J$2:$N$354,3,FALSE)="","",VLOOKUP(AE673,βοηθητικό!$J$2:$N$354,3,FALSE))</f>
        <v>_</v>
      </c>
      <c r="AG673" s="47"/>
      <c r="AH673" s="4" t="s">
        <v>16</v>
      </c>
      <c r="AI673" s="43" t="str">
        <f>IF(VLOOKUP(AH673,βοηθητικό!$J$2:$N$354,3,FALSE)="","",VLOOKUP(AH673,βοηθητικό!$J$2:$N$354,3,FALSE))</f>
        <v>_</v>
      </c>
      <c r="AJ673" s="44"/>
      <c r="AK673" s="5" t="s">
        <v>16</v>
      </c>
      <c r="AL673" s="46" t="str">
        <f>IF(VLOOKUP(AK673,βοηθητικό!$J$2:$N$354,3,FALSE)="","",VLOOKUP(AK673,βοηθητικό!$J$2:$N$354,3,FALSE))</f>
        <v>_</v>
      </c>
      <c r="AM673" s="47"/>
      <c r="AN673" s="4" t="s">
        <v>16</v>
      </c>
      <c r="AO673" s="43" t="str">
        <f>IF(VLOOKUP(AN673,βοηθητικό!$J$2:$N$354,3,FALSE)="","",VLOOKUP(AN673,βοηθητικό!$J$2:$N$354,3,FALSE))</f>
        <v>_</v>
      </c>
      <c r="AP673" s="44"/>
      <c r="AQ673" s="5" t="s">
        <v>16</v>
      </c>
      <c r="AR673" s="46" t="str">
        <f>IF(VLOOKUP(AQ673,βοηθητικό!$J$2:$N$354,3,FALSE)="","",VLOOKUP(AQ673,βοηθητικό!$J$2:$N$354,3,FALSE))</f>
        <v>_</v>
      </c>
      <c r="AS673" s="47"/>
      <c r="AT673" s="4" t="s">
        <v>16</v>
      </c>
      <c r="AU673" s="43" t="str">
        <f>IF(VLOOKUP(AT673,βοηθητικό!$J$2:$N$354,3,FALSE)="","",VLOOKUP(AT673,βοηθητικό!$J$2:$N$354,3,FALSE))</f>
        <v>_</v>
      </c>
      <c r="AV673" s="44"/>
      <c r="AW673" s="5" t="s">
        <v>16</v>
      </c>
      <c r="AX673" s="46" t="str">
        <f>IF(VLOOKUP(AW673,βοηθητικό!$J$2:$N$354,3,FALSE)="","",VLOOKUP(AW673,βοηθητικό!$J$2:$N$354,3,FALSE))</f>
        <v>_</v>
      </c>
      <c r="AY673" s="47"/>
      <c r="AZ673" s="4" t="s">
        <v>16</v>
      </c>
      <c r="BA673" s="43" t="str">
        <f>IF(VLOOKUP(AZ673,βοηθητικό!$J$2:$N$354,3,FALSE)="","",VLOOKUP(AZ673,βοηθητικό!$J$2:$N$354,3,FALSE))</f>
        <v>_</v>
      </c>
      <c r="BB673" s="44"/>
      <c r="BC673" s="45" t="s">
        <v>16</v>
      </c>
      <c r="BD673" s="46" t="str">
        <f>IF(VLOOKUP(BC673,βοηθητικό!$J$2:$N$354,3,FALSE)="","",VLOOKUP(BC673,βοηθητικό!$J$2:$N$354,3,FALSE))</f>
        <v>_</v>
      </c>
      <c r="BE673" s="47"/>
      <c r="BF673" s="42" t="s">
        <v>16</v>
      </c>
      <c r="BG673" s="43" t="str">
        <f>IF(VLOOKUP(BF673,βοηθητικό!$J$2:$N$354,3,FALSE)="","",VLOOKUP(BF673,βοηθητικό!$J$2:$N$354,3,FALSE))</f>
        <v>_</v>
      </c>
      <c r="BH673" s="44"/>
      <c r="BI673" s="45" t="s">
        <v>16</v>
      </c>
      <c r="BJ673" s="46" t="str">
        <f>IF(VLOOKUP(BI673,βοηθητικό!$J$2:$N$354,3,FALSE)="","",VLOOKUP(BI673,βοηθητικό!$J$2:$N$354,3,FALSE))</f>
        <v>_</v>
      </c>
      <c r="BK673" s="47"/>
      <c r="BL673" s="42" t="s">
        <v>16</v>
      </c>
      <c r="BM673" s="43" t="str">
        <f>IF(VLOOKUP(BL673,βοηθητικό!$J$2:$N$354,3,FALSE)="","",VLOOKUP(BL673,βοηθητικό!$J$2:$N$354,3,FALSE))</f>
        <v>_</v>
      </c>
      <c r="BN673" s="44"/>
      <c r="BO673" s="45" t="s">
        <v>16</v>
      </c>
      <c r="BP673" s="46" t="str">
        <f>IF(VLOOKUP(BO673,βοηθητικό!$J$2:$N$354,3,FALSE)="","",VLOOKUP(BO673,βοηθητικό!$J$2:$N$354,3,FALSE))</f>
        <v>_</v>
      </c>
      <c r="BQ673" s="47"/>
      <c r="BR673" s="42" t="s">
        <v>16</v>
      </c>
      <c r="BS673" s="43" t="str">
        <f>IF(VLOOKUP(BR673,βοηθητικό!$J$2:$N$354,3,FALSE)="","",VLOOKUP(BR673,βοηθητικό!$J$2:$N$354,3,FALSE))</f>
        <v>_</v>
      </c>
      <c r="BT673" s="44"/>
      <c r="BU673" s="45" t="s">
        <v>16</v>
      </c>
      <c r="BV673" s="46" t="str">
        <f>IF(VLOOKUP(BU673,βοηθητικό!$J$2:$N$354,3,FALSE)="","",VLOOKUP(BU673,βοηθητικό!$J$2:$N$354,3,FALSE))</f>
        <v>_</v>
      </c>
      <c r="BW673" s="47"/>
      <c r="BX673" s="42" t="s">
        <v>16</v>
      </c>
      <c r="BY673" s="43" t="str">
        <f>IF(VLOOKUP(BX673,βοηθητικό!$J$2:$N$354,3,FALSE)="","",VLOOKUP(BX673,βοηθητικό!$J$2:$N$354,3,FALSE))</f>
        <v>_</v>
      </c>
      <c r="BZ673" s="44"/>
      <c r="CA673" s="45" t="s">
        <v>16</v>
      </c>
      <c r="CB673" s="46" t="str">
        <f>IF(VLOOKUP(CA673,βοηθητικό!$J$2:$N$354,3,FALSE)="","",VLOOKUP(CA673,βοηθητικό!$J$2:$N$354,3,FALSE))</f>
        <v>_</v>
      </c>
      <c r="CC673" s="47"/>
      <c r="CD673" s="42" t="s">
        <v>16</v>
      </c>
      <c r="CE673" s="43" t="str">
        <f>IF(VLOOKUP(CD673,βοηθητικό!$J$2:$N$354,3,FALSE)="","",VLOOKUP(CD673,βοηθητικό!$J$2:$N$354,3,FALSE))</f>
        <v>_</v>
      </c>
      <c r="CF673" s="44"/>
      <c r="CG673" s="45" t="s">
        <v>16</v>
      </c>
      <c r="CH673" s="46" t="str">
        <f>IF(VLOOKUP(CG673,βοηθητικό!$J$2:$N$354,3,FALSE)="","",VLOOKUP(CG673,βοηθητικό!$J$2:$N$354,3,FALSE))</f>
        <v>_</v>
      </c>
      <c r="CI673" s="47"/>
      <c r="CJ673" s="42" t="s">
        <v>16</v>
      </c>
      <c r="CK673" s="43" t="str">
        <f>IF(VLOOKUP(CJ673,βοηθητικό!$J$2:$N$354,3,FALSE)="","",VLOOKUP(CJ673,βοηθητικό!$J$2:$N$354,3,FALSE))</f>
        <v>_</v>
      </c>
      <c r="CL673" s="44"/>
      <c r="CM673" s="45" t="s">
        <v>16</v>
      </c>
      <c r="CN673" s="46" t="str">
        <f>IF(VLOOKUP(CM673,βοηθητικό!$J$2:$N$354,3,FALSE)="","",VLOOKUP(CM673,βοηθητικό!$J$2:$N$354,3,FALSE))</f>
        <v>_</v>
      </c>
      <c r="CO673" s="47"/>
      <c r="CP673" s="42" t="s">
        <v>16</v>
      </c>
      <c r="CQ673" s="43" t="str">
        <f>IF(VLOOKUP(CP673,βοηθητικό!$J$2:$N$354,3,FALSE)="","",VLOOKUP(CP673,βοηθητικό!$J$2:$N$354,3,FALSE))</f>
        <v>_</v>
      </c>
      <c r="CR673" s="44"/>
      <c r="CS673" s="45" t="s">
        <v>16</v>
      </c>
      <c r="CT673" s="46" t="str">
        <f>IF(VLOOKUP(CS673,βοηθητικό!$J$2:$N$354,3,FALSE)="","",VLOOKUP(CS673,βοηθητικό!$J$2:$N$354,3,FALSE))</f>
        <v>_</v>
      </c>
      <c r="CU673" s="47"/>
    </row>
    <row r="674" spans="1:99" x14ac:dyDescent="0.25">
      <c r="A674" s="37">
        <f>--SUBTOTAL(3,$B$3:B673)</f>
        <v>198</v>
      </c>
      <c r="B674" s="2"/>
      <c r="C674" s="3"/>
      <c r="D674" s="55" t="s">
        <v>18</v>
      </c>
      <c r="E674" s="38" t="s">
        <v>16</v>
      </c>
      <c r="F674" s="38"/>
      <c r="G674" s="39" t="str">
        <f t="shared" si="32"/>
        <v>__</v>
      </c>
      <c r="H674" s="40" t="str">
        <f t="shared" si="33"/>
        <v>FALSE</v>
      </c>
      <c r="I674" s="41">
        <f t="shared" si="34"/>
        <v>0</v>
      </c>
      <c r="J674" s="4" t="s">
        <v>16</v>
      </c>
      <c r="K674" s="43" t="str">
        <f>IF(VLOOKUP(J674,βοηθητικό!$J$2:$N$354,3,FALSE)="","",VLOOKUP(J674,βοηθητικό!$J$2:$N$354,3,FALSE))</f>
        <v>_</v>
      </c>
      <c r="L674" s="44"/>
      <c r="M674" s="5" t="s">
        <v>16</v>
      </c>
      <c r="N674" s="46" t="str">
        <f>IF(VLOOKUP(M674,βοηθητικό!$J$2:$N$354,3,FALSE)="","",VLOOKUP(M674,βοηθητικό!$J$2:$N$354,3,FALSE))</f>
        <v>_</v>
      </c>
      <c r="O674" s="47"/>
      <c r="P674" s="4" t="s">
        <v>16</v>
      </c>
      <c r="Q674" s="43" t="str">
        <f>IF(VLOOKUP(P674,βοηθητικό!$J$2:$N$354,3,FALSE)="","",VLOOKUP(P674,βοηθητικό!$J$2:$N$354,3,FALSE))</f>
        <v>_</v>
      </c>
      <c r="R674" s="44"/>
      <c r="S674" s="5" t="s">
        <v>16</v>
      </c>
      <c r="T674" s="46" t="str">
        <f>IF(VLOOKUP(S674,βοηθητικό!$J$2:$N$354,3,FALSE)="","",VLOOKUP(S674,βοηθητικό!$J$2:$N$354,3,FALSE))</f>
        <v>_</v>
      </c>
      <c r="U674" s="47"/>
      <c r="V674" s="4" t="s">
        <v>16</v>
      </c>
      <c r="W674" s="43" t="str">
        <f>IF(VLOOKUP(V674,βοηθητικό!$J$2:$N$354,3,FALSE)="","",VLOOKUP(V674,βοηθητικό!$J$2:$N$354,3,FALSE))</f>
        <v>_</v>
      </c>
      <c r="X674" s="44"/>
      <c r="Y674" s="5" t="s">
        <v>16</v>
      </c>
      <c r="Z674" s="46" t="str">
        <f>IF(VLOOKUP(Y674,βοηθητικό!$J$2:$N$354,3,FALSE)="","",VLOOKUP(Y674,βοηθητικό!$J$2:$N$354,3,FALSE))</f>
        <v>_</v>
      </c>
      <c r="AA674" s="47"/>
      <c r="AB674" s="4" t="s">
        <v>16</v>
      </c>
      <c r="AC674" s="43" t="str">
        <f>IF(VLOOKUP(AB674,βοηθητικό!$J$2:$N$354,3,FALSE)="","",VLOOKUP(AB674,βοηθητικό!$J$2:$N$354,3,FALSE))</f>
        <v>_</v>
      </c>
      <c r="AD674" s="44"/>
      <c r="AE674" s="5" t="s">
        <v>16</v>
      </c>
      <c r="AF674" s="46" t="str">
        <f>IF(VLOOKUP(AE674,βοηθητικό!$J$2:$N$354,3,FALSE)="","",VLOOKUP(AE674,βοηθητικό!$J$2:$N$354,3,FALSE))</f>
        <v>_</v>
      </c>
      <c r="AG674" s="47"/>
      <c r="AH674" s="4" t="s">
        <v>16</v>
      </c>
      <c r="AI674" s="43" t="str">
        <f>IF(VLOOKUP(AH674,βοηθητικό!$J$2:$N$354,3,FALSE)="","",VLOOKUP(AH674,βοηθητικό!$J$2:$N$354,3,FALSE))</f>
        <v>_</v>
      </c>
      <c r="AJ674" s="44"/>
      <c r="AK674" s="5" t="s">
        <v>16</v>
      </c>
      <c r="AL674" s="46" t="str">
        <f>IF(VLOOKUP(AK674,βοηθητικό!$J$2:$N$354,3,FALSE)="","",VLOOKUP(AK674,βοηθητικό!$J$2:$N$354,3,FALSE))</f>
        <v>_</v>
      </c>
      <c r="AM674" s="47"/>
      <c r="AN674" s="4" t="s">
        <v>16</v>
      </c>
      <c r="AO674" s="43" t="str">
        <f>IF(VLOOKUP(AN674,βοηθητικό!$J$2:$N$354,3,FALSE)="","",VLOOKUP(AN674,βοηθητικό!$J$2:$N$354,3,FALSE))</f>
        <v>_</v>
      </c>
      <c r="AP674" s="44"/>
      <c r="AQ674" s="5" t="s">
        <v>16</v>
      </c>
      <c r="AR674" s="46" t="str">
        <f>IF(VLOOKUP(AQ674,βοηθητικό!$J$2:$N$354,3,FALSE)="","",VLOOKUP(AQ674,βοηθητικό!$J$2:$N$354,3,FALSE))</f>
        <v>_</v>
      </c>
      <c r="AS674" s="47"/>
      <c r="AT674" s="4" t="s">
        <v>16</v>
      </c>
      <c r="AU674" s="43" t="str">
        <f>IF(VLOOKUP(AT674,βοηθητικό!$J$2:$N$354,3,FALSE)="","",VLOOKUP(AT674,βοηθητικό!$J$2:$N$354,3,FALSE))</f>
        <v>_</v>
      </c>
      <c r="AV674" s="44"/>
      <c r="AW674" s="5" t="s">
        <v>16</v>
      </c>
      <c r="AX674" s="46" t="str">
        <f>IF(VLOOKUP(AW674,βοηθητικό!$J$2:$N$354,3,FALSE)="","",VLOOKUP(AW674,βοηθητικό!$J$2:$N$354,3,FALSE))</f>
        <v>_</v>
      </c>
      <c r="AY674" s="47"/>
      <c r="AZ674" s="4" t="s">
        <v>16</v>
      </c>
      <c r="BA674" s="43" t="str">
        <f>IF(VLOOKUP(AZ674,βοηθητικό!$J$2:$N$354,3,FALSE)="","",VLOOKUP(AZ674,βοηθητικό!$J$2:$N$354,3,FALSE))</f>
        <v>_</v>
      </c>
      <c r="BB674" s="44"/>
      <c r="BC674" s="45" t="s">
        <v>16</v>
      </c>
      <c r="BD674" s="46" t="str">
        <f>IF(VLOOKUP(BC674,βοηθητικό!$J$2:$N$354,3,FALSE)="","",VLOOKUP(BC674,βοηθητικό!$J$2:$N$354,3,FALSE))</f>
        <v>_</v>
      </c>
      <c r="BE674" s="47"/>
      <c r="BF674" s="42" t="s">
        <v>16</v>
      </c>
      <c r="BG674" s="43" t="str">
        <f>IF(VLOOKUP(BF674,βοηθητικό!$J$2:$N$354,3,FALSE)="","",VLOOKUP(BF674,βοηθητικό!$J$2:$N$354,3,FALSE))</f>
        <v>_</v>
      </c>
      <c r="BH674" s="44"/>
      <c r="BI674" s="45" t="s">
        <v>16</v>
      </c>
      <c r="BJ674" s="46" t="str">
        <f>IF(VLOOKUP(BI674,βοηθητικό!$J$2:$N$354,3,FALSE)="","",VLOOKUP(BI674,βοηθητικό!$J$2:$N$354,3,FALSE))</f>
        <v>_</v>
      </c>
      <c r="BK674" s="47"/>
      <c r="BL674" s="42" t="s">
        <v>16</v>
      </c>
      <c r="BM674" s="43" t="str">
        <f>IF(VLOOKUP(BL674,βοηθητικό!$J$2:$N$354,3,FALSE)="","",VLOOKUP(BL674,βοηθητικό!$J$2:$N$354,3,FALSE))</f>
        <v>_</v>
      </c>
      <c r="BN674" s="44"/>
      <c r="BO674" s="45" t="s">
        <v>16</v>
      </c>
      <c r="BP674" s="46" t="str">
        <f>IF(VLOOKUP(BO674,βοηθητικό!$J$2:$N$354,3,FALSE)="","",VLOOKUP(BO674,βοηθητικό!$J$2:$N$354,3,FALSE))</f>
        <v>_</v>
      </c>
      <c r="BQ674" s="47"/>
      <c r="BR674" s="42" t="s">
        <v>16</v>
      </c>
      <c r="BS674" s="43" t="str">
        <f>IF(VLOOKUP(BR674,βοηθητικό!$J$2:$N$354,3,FALSE)="","",VLOOKUP(BR674,βοηθητικό!$J$2:$N$354,3,FALSE))</f>
        <v>_</v>
      </c>
      <c r="BT674" s="44"/>
      <c r="BU674" s="45" t="s">
        <v>16</v>
      </c>
      <c r="BV674" s="46" t="str">
        <f>IF(VLOOKUP(BU674,βοηθητικό!$J$2:$N$354,3,FALSE)="","",VLOOKUP(BU674,βοηθητικό!$J$2:$N$354,3,FALSE))</f>
        <v>_</v>
      </c>
      <c r="BW674" s="47"/>
      <c r="BX674" s="42" t="s">
        <v>16</v>
      </c>
      <c r="BY674" s="43" t="str">
        <f>IF(VLOOKUP(BX674,βοηθητικό!$J$2:$N$354,3,FALSE)="","",VLOOKUP(BX674,βοηθητικό!$J$2:$N$354,3,FALSE))</f>
        <v>_</v>
      </c>
      <c r="BZ674" s="44"/>
      <c r="CA674" s="45" t="s">
        <v>16</v>
      </c>
      <c r="CB674" s="46" t="str">
        <f>IF(VLOOKUP(CA674,βοηθητικό!$J$2:$N$354,3,FALSE)="","",VLOOKUP(CA674,βοηθητικό!$J$2:$N$354,3,FALSE))</f>
        <v>_</v>
      </c>
      <c r="CC674" s="47"/>
      <c r="CD674" s="42" t="s">
        <v>16</v>
      </c>
      <c r="CE674" s="43" t="str">
        <f>IF(VLOOKUP(CD674,βοηθητικό!$J$2:$N$354,3,FALSE)="","",VLOOKUP(CD674,βοηθητικό!$J$2:$N$354,3,FALSE))</f>
        <v>_</v>
      </c>
      <c r="CF674" s="44"/>
      <c r="CG674" s="45" t="s">
        <v>16</v>
      </c>
      <c r="CH674" s="46" t="str">
        <f>IF(VLOOKUP(CG674,βοηθητικό!$J$2:$N$354,3,FALSE)="","",VLOOKUP(CG674,βοηθητικό!$J$2:$N$354,3,FALSE))</f>
        <v>_</v>
      </c>
      <c r="CI674" s="47"/>
      <c r="CJ674" s="42" t="s">
        <v>16</v>
      </c>
      <c r="CK674" s="43" t="str">
        <f>IF(VLOOKUP(CJ674,βοηθητικό!$J$2:$N$354,3,FALSE)="","",VLOOKUP(CJ674,βοηθητικό!$J$2:$N$354,3,FALSE))</f>
        <v>_</v>
      </c>
      <c r="CL674" s="44"/>
      <c r="CM674" s="45" t="s">
        <v>16</v>
      </c>
      <c r="CN674" s="46" t="str">
        <f>IF(VLOOKUP(CM674,βοηθητικό!$J$2:$N$354,3,FALSE)="","",VLOOKUP(CM674,βοηθητικό!$J$2:$N$354,3,FALSE))</f>
        <v>_</v>
      </c>
      <c r="CO674" s="47"/>
      <c r="CP674" s="42" t="s">
        <v>16</v>
      </c>
      <c r="CQ674" s="43" t="str">
        <f>IF(VLOOKUP(CP674,βοηθητικό!$J$2:$N$354,3,FALSE)="","",VLOOKUP(CP674,βοηθητικό!$J$2:$N$354,3,FALSE))</f>
        <v>_</v>
      </c>
      <c r="CR674" s="44"/>
      <c r="CS674" s="45" t="s">
        <v>16</v>
      </c>
      <c r="CT674" s="46" t="str">
        <f>IF(VLOOKUP(CS674,βοηθητικό!$J$2:$N$354,3,FALSE)="","",VLOOKUP(CS674,βοηθητικό!$J$2:$N$354,3,FALSE))</f>
        <v>_</v>
      </c>
      <c r="CU674" s="47"/>
    </row>
    <row r="675" spans="1:99" x14ac:dyDescent="0.25">
      <c r="A675" s="37">
        <f>--SUBTOTAL(3,$B$3:B674)</f>
        <v>198</v>
      </c>
      <c r="B675" s="2"/>
      <c r="C675" s="3"/>
      <c r="D675" s="55" t="s">
        <v>18</v>
      </c>
      <c r="E675" s="38" t="s">
        <v>16</v>
      </c>
      <c r="F675" s="38"/>
      <c r="G675" s="39" t="str">
        <f t="shared" si="32"/>
        <v>__</v>
      </c>
      <c r="H675" s="40" t="str">
        <f t="shared" si="33"/>
        <v>FALSE</v>
      </c>
      <c r="I675" s="41">
        <f t="shared" si="34"/>
        <v>0</v>
      </c>
      <c r="J675" s="4" t="s">
        <v>16</v>
      </c>
      <c r="K675" s="43" t="str">
        <f>IF(VLOOKUP(J675,βοηθητικό!$J$2:$N$354,3,FALSE)="","",VLOOKUP(J675,βοηθητικό!$J$2:$N$354,3,FALSE))</f>
        <v>_</v>
      </c>
      <c r="L675" s="44"/>
      <c r="M675" s="5" t="s">
        <v>16</v>
      </c>
      <c r="N675" s="46" t="str">
        <f>IF(VLOOKUP(M675,βοηθητικό!$J$2:$N$354,3,FALSE)="","",VLOOKUP(M675,βοηθητικό!$J$2:$N$354,3,FALSE))</f>
        <v>_</v>
      </c>
      <c r="O675" s="47"/>
      <c r="P675" s="4" t="s">
        <v>16</v>
      </c>
      <c r="Q675" s="43" t="str">
        <f>IF(VLOOKUP(P675,βοηθητικό!$J$2:$N$354,3,FALSE)="","",VLOOKUP(P675,βοηθητικό!$J$2:$N$354,3,FALSE))</f>
        <v>_</v>
      </c>
      <c r="R675" s="44"/>
      <c r="S675" s="5" t="s">
        <v>16</v>
      </c>
      <c r="T675" s="46" t="str">
        <f>IF(VLOOKUP(S675,βοηθητικό!$J$2:$N$354,3,FALSE)="","",VLOOKUP(S675,βοηθητικό!$J$2:$N$354,3,FALSE))</f>
        <v>_</v>
      </c>
      <c r="U675" s="47"/>
      <c r="V675" s="4" t="s">
        <v>16</v>
      </c>
      <c r="W675" s="43" t="str">
        <f>IF(VLOOKUP(V675,βοηθητικό!$J$2:$N$354,3,FALSE)="","",VLOOKUP(V675,βοηθητικό!$J$2:$N$354,3,FALSE))</f>
        <v>_</v>
      </c>
      <c r="X675" s="44"/>
      <c r="Y675" s="5" t="s">
        <v>16</v>
      </c>
      <c r="Z675" s="46" t="str">
        <f>IF(VLOOKUP(Y675,βοηθητικό!$J$2:$N$354,3,FALSE)="","",VLOOKUP(Y675,βοηθητικό!$J$2:$N$354,3,FALSE))</f>
        <v>_</v>
      </c>
      <c r="AA675" s="47"/>
      <c r="AB675" s="4" t="s">
        <v>16</v>
      </c>
      <c r="AC675" s="43" t="str">
        <f>IF(VLOOKUP(AB675,βοηθητικό!$J$2:$N$354,3,FALSE)="","",VLOOKUP(AB675,βοηθητικό!$J$2:$N$354,3,FALSE))</f>
        <v>_</v>
      </c>
      <c r="AD675" s="44"/>
      <c r="AE675" s="5" t="s">
        <v>16</v>
      </c>
      <c r="AF675" s="46" t="str">
        <f>IF(VLOOKUP(AE675,βοηθητικό!$J$2:$N$354,3,FALSE)="","",VLOOKUP(AE675,βοηθητικό!$J$2:$N$354,3,FALSE))</f>
        <v>_</v>
      </c>
      <c r="AG675" s="47"/>
      <c r="AH675" s="4" t="s">
        <v>16</v>
      </c>
      <c r="AI675" s="43" t="str">
        <f>IF(VLOOKUP(AH675,βοηθητικό!$J$2:$N$354,3,FALSE)="","",VLOOKUP(AH675,βοηθητικό!$J$2:$N$354,3,FALSE))</f>
        <v>_</v>
      </c>
      <c r="AJ675" s="44"/>
      <c r="AK675" s="5" t="s">
        <v>16</v>
      </c>
      <c r="AL675" s="46" t="str">
        <f>IF(VLOOKUP(AK675,βοηθητικό!$J$2:$N$354,3,FALSE)="","",VLOOKUP(AK675,βοηθητικό!$J$2:$N$354,3,FALSE))</f>
        <v>_</v>
      </c>
      <c r="AM675" s="47"/>
      <c r="AN675" s="4" t="s">
        <v>16</v>
      </c>
      <c r="AO675" s="43" t="str">
        <f>IF(VLOOKUP(AN675,βοηθητικό!$J$2:$N$354,3,FALSE)="","",VLOOKUP(AN675,βοηθητικό!$J$2:$N$354,3,FALSE))</f>
        <v>_</v>
      </c>
      <c r="AP675" s="44"/>
      <c r="AQ675" s="5" t="s">
        <v>16</v>
      </c>
      <c r="AR675" s="46" t="str">
        <f>IF(VLOOKUP(AQ675,βοηθητικό!$J$2:$N$354,3,FALSE)="","",VLOOKUP(AQ675,βοηθητικό!$J$2:$N$354,3,FALSE))</f>
        <v>_</v>
      </c>
      <c r="AS675" s="47"/>
      <c r="AT675" s="4" t="s">
        <v>16</v>
      </c>
      <c r="AU675" s="43" t="str">
        <f>IF(VLOOKUP(AT675,βοηθητικό!$J$2:$N$354,3,FALSE)="","",VLOOKUP(AT675,βοηθητικό!$J$2:$N$354,3,FALSE))</f>
        <v>_</v>
      </c>
      <c r="AV675" s="44"/>
      <c r="AW675" s="5" t="s">
        <v>16</v>
      </c>
      <c r="AX675" s="46" t="str">
        <f>IF(VLOOKUP(AW675,βοηθητικό!$J$2:$N$354,3,FALSE)="","",VLOOKUP(AW675,βοηθητικό!$J$2:$N$354,3,FALSE))</f>
        <v>_</v>
      </c>
      <c r="AY675" s="47"/>
      <c r="AZ675" s="4" t="s">
        <v>16</v>
      </c>
      <c r="BA675" s="43" t="str">
        <f>IF(VLOOKUP(AZ675,βοηθητικό!$J$2:$N$354,3,FALSE)="","",VLOOKUP(AZ675,βοηθητικό!$J$2:$N$354,3,FALSE))</f>
        <v>_</v>
      </c>
      <c r="BB675" s="44"/>
      <c r="BC675" s="45" t="s">
        <v>16</v>
      </c>
      <c r="BD675" s="46" t="str">
        <f>IF(VLOOKUP(BC675,βοηθητικό!$J$2:$N$354,3,FALSE)="","",VLOOKUP(BC675,βοηθητικό!$J$2:$N$354,3,FALSE))</f>
        <v>_</v>
      </c>
      <c r="BE675" s="47"/>
      <c r="BF675" s="42" t="s">
        <v>16</v>
      </c>
      <c r="BG675" s="43" t="str">
        <f>IF(VLOOKUP(BF675,βοηθητικό!$J$2:$N$354,3,FALSE)="","",VLOOKUP(BF675,βοηθητικό!$J$2:$N$354,3,FALSE))</f>
        <v>_</v>
      </c>
      <c r="BH675" s="44"/>
      <c r="BI675" s="45" t="s">
        <v>16</v>
      </c>
      <c r="BJ675" s="46" t="str">
        <f>IF(VLOOKUP(BI675,βοηθητικό!$J$2:$N$354,3,FALSE)="","",VLOOKUP(BI675,βοηθητικό!$J$2:$N$354,3,FALSE))</f>
        <v>_</v>
      </c>
      <c r="BK675" s="47"/>
      <c r="BL675" s="42" t="s">
        <v>16</v>
      </c>
      <c r="BM675" s="43" t="str">
        <f>IF(VLOOKUP(BL675,βοηθητικό!$J$2:$N$354,3,FALSE)="","",VLOOKUP(BL675,βοηθητικό!$J$2:$N$354,3,FALSE))</f>
        <v>_</v>
      </c>
      <c r="BN675" s="44"/>
      <c r="BO675" s="45" t="s">
        <v>16</v>
      </c>
      <c r="BP675" s="46" t="str">
        <f>IF(VLOOKUP(BO675,βοηθητικό!$J$2:$N$354,3,FALSE)="","",VLOOKUP(BO675,βοηθητικό!$J$2:$N$354,3,FALSE))</f>
        <v>_</v>
      </c>
      <c r="BQ675" s="47"/>
      <c r="BR675" s="42" t="s">
        <v>16</v>
      </c>
      <c r="BS675" s="43" t="str">
        <f>IF(VLOOKUP(BR675,βοηθητικό!$J$2:$N$354,3,FALSE)="","",VLOOKUP(BR675,βοηθητικό!$J$2:$N$354,3,FALSE))</f>
        <v>_</v>
      </c>
      <c r="BT675" s="44"/>
      <c r="BU675" s="45" t="s">
        <v>16</v>
      </c>
      <c r="BV675" s="46" t="str">
        <f>IF(VLOOKUP(BU675,βοηθητικό!$J$2:$N$354,3,FALSE)="","",VLOOKUP(BU675,βοηθητικό!$J$2:$N$354,3,FALSE))</f>
        <v>_</v>
      </c>
      <c r="BW675" s="47"/>
      <c r="BX675" s="42" t="s">
        <v>16</v>
      </c>
      <c r="BY675" s="43" t="str">
        <f>IF(VLOOKUP(BX675,βοηθητικό!$J$2:$N$354,3,FALSE)="","",VLOOKUP(BX675,βοηθητικό!$J$2:$N$354,3,FALSE))</f>
        <v>_</v>
      </c>
      <c r="BZ675" s="44"/>
      <c r="CA675" s="45" t="s">
        <v>16</v>
      </c>
      <c r="CB675" s="46" t="str">
        <f>IF(VLOOKUP(CA675,βοηθητικό!$J$2:$N$354,3,FALSE)="","",VLOOKUP(CA675,βοηθητικό!$J$2:$N$354,3,FALSE))</f>
        <v>_</v>
      </c>
      <c r="CC675" s="47"/>
      <c r="CD675" s="42" t="s">
        <v>16</v>
      </c>
      <c r="CE675" s="43" t="str">
        <f>IF(VLOOKUP(CD675,βοηθητικό!$J$2:$N$354,3,FALSE)="","",VLOOKUP(CD675,βοηθητικό!$J$2:$N$354,3,FALSE))</f>
        <v>_</v>
      </c>
      <c r="CF675" s="44"/>
      <c r="CG675" s="45" t="s">
        <v>16</v>
      </c>
      <c r="CH675" s="46" t="str">
        <f>IF(VLOOKUP(CG675,βοηθητικό!$J$2:$N$354,3,FALSE)="","",VLOOKUP(CG675,βοηθητικό!$J$2:$N$354,3,FALSE))</f>
        <v>_</v>
      </c>
      <c r="CI675" s="47"/>
      <c r="CJ675" s="42" t="s">
        <v>16</v>
      </c>
      <c r="CK675" s="43" t="str">
        <f>IF(VLOOKUP(CJ675,βοηθητικό!$J$2:$N$354,3,FALSE)="","",VLOOKUP(CJ675,βοηθητικό!$J$2:$N$354,3,FALSE))</f>
        <v>_</v>
      </c>
      <c r="CL675" s="44"/>
      <c r="CM675" s="45" t="s">
        <v>16</v>
      </c>
      <c r="CN675" s="46" t="str">
        <f>IF(VLOOKUP(CM675,βοηθητικό!$J$2:$N$354,3,FALSE)="","",VLOOKUP(CM675,βοηθητικό!$J$2:$N$354,3,FALSE))</f>
        <v>_</v>
      </c>
      <c r="CO675" s="47"/>
      <c r="CP675" s="42" t="s">
        <v>16</v>
      </c>
      <c r="CQ675" s="43" t="str">
        <f>IF(VLOOKUP(CP675,βοηθητικό!$J$2:$N$354,3,FALSE)="","",VLOOKUP(CP675,βοηθητικό!$J$2:$N$354,3,FALSE))</f>
        <v>_</v>
      </c>
      <c r="CR675" s="44"/>
      <c r="CS675" s="45" t="s">
        <v>16</v>
      </c>
      <c r="CT675" s="46" t="str">
        <f>IF(VLOOKUP(CS675,βοηθητικό!$J$2:$N$354,3,FALSE)="","",VLOOKUP(CS675,βοηθητικό!$J$2:$N$354,3,FALSE))</f>
        <v>_</v>
      </c>
      <c r="CU675" s="47"/>
    </row>
    <row r="676" spans="1:99" x14ac:dyDescent="0.25">
      <c r="A676" s="37">
        <f>--SUBTOTAL(3,$B$3:B675)</f>
        <v>198</v>
      </c>
      <c r="B676" s="2"/>
      <c r="C676" s="3"/>
      <c r="D676" s="55" t="s">
        <v>18</v>
      </c>
      <c r="E676" s="38" t="s">
        <v>16</v>
      </c>
      <c r="F676" s="38"/>
      <c r="G676" s="39" t="str">
        <f t="shared" si="32"/>
        <v>__</v>
      </c>
      <c r="H676" s="40" t="str">
        <f t="shared" si="33"/>
        <v>FALSE</v>
      </c>
      <c r="I676" s="41">
        <f t="shared" si="34"/>
        <v>0</v>
      </c>
      <c r="J676" s="4" t="s">
        <v>16</v>
      </c>
      <c r="K676" s="43" t="str">
        <f>IF(VLOOKUP(J676,βοηθητικό!$J$2:$N$354,3,FALSE)="","",VLOOKUP(J676,βοηθητικό!$J$2:$N$354,3,FALSE))</f>
        <v>_</v>
      </c>
      <c r="L676" s="44"/>
      <c r="M676" s="5" t="s">
        <v>16</v>
      </c>
      <c r="N676" s="46" t="str">
        <f>IF(VLOOKUP(M676,βοηθητικό!$J$2:$N$354,3,FALSE)="","",VLOOKUP(M676,βοηθητικό!$J$2:$N$354,3,FALSE))</f>
        <v>_</v>
      </c>
      <c r="O676" s="47"/>
      <c r="P676" s="4" t="s">
        <v>16</v>
      </c>
      <c r="Q676" s="43" t="str">
        <f>IF(VLOOKUP(P676,βοηθητικό!$J$2:$N$354,3,FALSE)="","",VLOOKUP(P676,βοηθητικό!$J$2:$N$354,3,FALSE))</f>
        <v>_</v>
      </c>
      <c r="R676" s="44"/>
      <c r="S676" s="5" t="s">
        <v>16</v>
      </c>
      <c r="T676" s="46" t="str">
        <f>IF(VLOOKUP(S676,βοηθητικό!$J$2:$N$354,3,FALSE)="","",VLOOKUP(S676,βοηθητικό!$J$2:$N$354,3,FALSE))</f>
        <v>_</v>
      </c>
      <c r="U676" s="47"/>
      <c r="V676" s="4" t="s">
        <v>16</v>
      </c>
      <c r="W676" s="43" t="str">
        <f>IF(VLOOKUP(V676,βοηθητικό!$J$2:$N$354,3,FALSE)="","",VLOOKUP(V676,βοηθητικό!$J$2:$N$354,3,FALSE))</f>
        <v>_</v>
      </c>
      <c r="X676" s="44"/>
      <c r="Y676" s="5" t="s">
        <v>16</v>
      </c>
      <c r="Z676" s="46" t="str">
        <f>IF(VLOOKUP(Y676,βοηθητικό!$J$2:$N$354,3,FALSE)="","",VLOOKUP(Y676,βοηθητικό!$J$2:$N$354,3,FALSE))</f>
        <v>_</v>
      </c>
      <c r="AA676" s="47"/>
      <c r="AB676" s="4" t="s">
        <v>16</v>
      </c>
      <c r="AC676" s="43" t="str">
        <f>IF(VLOOKUP(AB676,βοηθητικό!$J$2:$N$354,3,FALSE)="","",VLOOKUP(AB676,βοηθητικό!$J$2:$N$354,3,FALSE))</f>
        <v>_</v>
      </c>
      <c r="AD676" s="44"/>
      <c r="AE676" s="5" t="s">
        <v>16</v>
      </c>
      <c r="AF676" s="46" t="str">
        <f>IF(VLOOKUP(AE676,βοηθητικό!$J$2:$N$354,3,FALSE)="","",VLOOKUP(AE676,βοηθητικό!$J$2:$N$354,3,FALSE))</f>
        <v>_</v>
      </c>
      <c r="AG676" s="47"/>
      <c r="AH676" s="4" t="s">
        <v>16</v>
      </c>
      <c r="AI676" s="43" t="str">
        <f>IF(VLOOKUP(AH676,βοηθητικό!$J$2:$N$354,3,FALSE)="","",VLOOKUP(AH676,βοηθητικό!$J$2:$N$354,3,FALSE))</f>
        <v>_</v>
      </c>
      <c r="AJ676" s="44"/>
      <c r="AK676" s="5" t="s">
        <v>16</v>
      </c>
      <c r="AL676" s="46" t="str">
        <f>IF(VLOOKUP(AK676,βοηθητικό!$J$2:$N$354,3,FALSE)="","",VLOOKUP(AK676,βοηθητικό!$J$2:$N$354,3,FALSE))</f>
        <v>_</v>
      </c>
      <c r="AM676" s="47"/>
      <c r="AN676" s="4" t="s">
        <v>16</v>
      </c>
      <c r="AO676" s="43" t="str">
        <f>IF(VLOOKUP(AN676,βοηθητικό!$J$2:$N$354,3,FALSE)="","",VLOOKUP(AN676,βοηθητικό!$J$2:$N$354,3,FALSE))</f>
        <v>_</v>
      </c>
      <c r="AP676" s="44"/>
      <c r="AQ676" s="5" t="s">
        <v>16</v>
      </c>
      <c r="AR676" s="46" t="str">
        <f>IF(VLOOKUP(AQ676,βοηθητικό!$J$2:$N$354,3,FALSE)="","",VLOOKUP(AQ676,βοηθητικό!$J$2:$N$354,3,FALSE))</f>
        <v>_</v>
      </c>
      <c r="AS676" s="47"/>
      <c r="AT676" s="4" t="s">
        <v>16</v>
      </c>
      <c r="AU676" s="43" t="str">
        <f>IF(VLOOKUP(AT676,βοηθητικό!$J$2:$N$354,3,FALSE)="","",VLOOKUP(AT676,βοηθητικό!$J$2:$N$354,3,FALSE))</f>
        <v>_</v>
      </c>
      <c r="AV676" s="44"/>
      <c r="AW676" s="5" t="s">
        <v>16</v>
      </c>
      <c r="AX676" s="46" t="str">
        <f>IF(VLOOKUP(AW676,βοηθητικό!$J$2:$N$354,3,FALSE)="","",VLOOKUP(AW676,βοηθητικό!$J$2:$N$354,3,FALSE))</f>
        <v>_</v>
      </c>
      <c r="AY676" s="47"/>
      <c r="AZ676" s="4" t="s">
        <v>16</v>
      </c>
      <c r="BA676" s="43" t="str">
        <f>IF(VLOOKUP(AZ676,βοηθητικό!$J$2:$N$354,3,FALSE)="","",VLOOKUP(AZ676,βοηθητικό!$J$2:$N$354,3,FALSE))</f>
        <v>_</v>
      </c>
      <c r="BB676" s="44"/>
      <c r="BC676" s="45" t="s">
        <v>16</v>
      </c>
      <c r="BD676" s="46" t="str">
        <f>IF(VLOOKUP(BC676,βοηθητικό!$J$2:$N$354,3,FALSE)="","",VLOOKUP(BC676,βοηθητικό!$J$2:$N$354,3,FALSE))</f>
        <v>_</v>
      </c>
      <c r="BE676" s="47"/>
      <c r="BF676" s="42" t="s">
        <v>16</v>
      </c>
      <c r="BG676" s="43" t="str">
        <f>IF(VLOOKUP(BF676,βοηθητικό!$J$2:$N$354,3,FALSE)="","",VLOOKUP(BF676,βοηθητικό!$J$2:$N$354,3,FALSE))</f>
        <v>_</v>
      </c>
      <c r="BH676" s="44"/>
      <c r="BI676" s="45" t="s">
        <v>16</v>
      </c>
      <c r="BJ676" s="46" t="str">
        <f>IF(VLOOKUP(BI676,βοηθητικό!$J$2:$N$354,3,FALSE)="","",VLOOKUP(BI676,βοηθητικό!$J$2:$N$354,3,FALSE))</f>
        <v>_</v>
      </c>
      <c r="BK676" s="47"/>
      <c r="BL676" s="42" t="s">
        <v>16</v>
      </c>
      <c r="BM676" s="43" t="str">
        <f>IF(VLOOKUP(BL676,βοηθητικό!$J$2:$N$354,3,FALSE)="","",VLOOKUP(BL676,βοηθητικό!$J$2:$N$354,3,FALSE))</f>
        <v>_</v>
      </c>
      <c r="BN676" s="44"/>
      <c r="BO676" s="45" t="s">
        <v>16</v>
      </c>
      <c r="BP676" s="46" t="str">
        <f>IF(VLOOKUP(BO676,βοηθητικό!$J$2:$N$354,3,FALSE)="","",VLOOKUP(BO676,βοηθητικό!$J$2:$N$354,3,FALSE))</f>
        <v>_</v>
      </c>
      <c r="BQ676" s="47"/>
      <c r="BR676" s="42" t="s">
        <v>16</v>
      </c>
      <c r="BS676" s="43" t="str">
        <f>IF(VLOOKUP(BR676,βοηθητικό!$J$2:$N$354,3,FALSE)="","",VLOOKUP(BR676,βοηθητικό!$J$2:$N$354,3,FALSE))</f>
        <v>_</v>
      </c>
      <c r="BT676" s="44"/>
      <c r="BU676" s="45" t="s">
        <v>16</v>
      </c>
      <c r="BV676" s="46" t="str">
        <f>IF(VLOOKUP(BU676,βοηθητικό!$J$2:$N$354,3,FALSE)="","",VLOOKUP(BU676,βοηθητικό!$J$2:$N$354,3,FALSE))</f>
        <v>_</v>
      </c>
      <c r="BW676" s="47"/>
      <c r="BX676" s="42" t="s">
        <v>16</v>
      </c>
      <c r="BY676" s="43" t="str">
        <f>IF(VLOOKUP(BX676,βοηθητικό!$J$2:$N$354,3,FALSE)="","",VLOOKUP(BX676,βοηθητικό!$J$2:$N$354,3,FALSE))</f>
        <v>_</v>
      </c>
      <c r="BZ676" s="44"/>
      <c r="CA676" s="45" t="s">
        <v>16</v>
      </c>
      <c r="CB676" s="46" t="str">
        <f>IF(VLOOKUP(CA676,βοηθητικό!$J$2:$N$354,3,FALSE)="","",VLOOKUP(CA676,βοηθητικό!$J$2:$N$354,3,FALSE))</f>
        <v>_</v>
      </c>
      <c r="CC676" s="47"/>
      <c r="CD676" s="42" t="s">
        <v>16</v>
      </c>
      <c r="CE676" s="43" t="str">
        <f>IF(VLOOKUP(CD676,βοηθητικό!$J$2:$N$354,3,FALSE)="","",VLOOKUP(CD676,βοηθητικό!$J$2:$N$354,3,FALSE))</f>
        <v>_</v>
      </c>
      <c r="CF676" s="44"/>
      <c r="CG676" s="45" t="s">
        <v>16</v>
      </c>
      <c r="CH676" s="46" t="str">
        <f>IF(VLOOKUP(CG676,βοηθητικό!$J$2:$N$354,3,FALSE)="","",VLOOKUP(CG676,βοηθητικό!$J$2:$N$354,3,FALSE))</f>
        <v>_</v>
      </c>
      <c r="CI676" s="47"/>
      <c r="CJ676" s="42" t="s">
        <v>16</v>
      </c>
      <c r="CK676" s="43" t="str">
        <f>IF(VLOOKUP(CJ676,βοηθητικό!$J$2:$N$354,3,FALSE)="","",VLOOKUP(CJ676,βοηθητικό!$J$2:$N$354,3,FALSE))</f>
        <v>_</v>
      </c>
      <c r="CL676" s="44"/>
      <c r="CM676" s="45" t="s">
        <v>16</v>
      </c>
      <c r="CN676" s="46" t="str">
        <f>IF(VLOOKUP(CM676,βοηθητικό!$J$2:$N$354,3,FALSE)="","",VLOOKUP(CM676,βοηθητικό!$J$2:$N$354,3,FALSE))</f>
        <v>_</v>
      </c>
      <c r="CO676" s="47"/>
      <c r="CP676" s="42" t="s">
        <v>16</v>
      </c>
      <c r="CQ676" s="43" t="str">
        <f>IF(VLOOKUP(CP676,βοηθητικό!$J$2:$N$354,3,FALSE)="","",VLOOKUP(CP676,βοηθητικό!$J$2:$N$354,3,FALSE))</f>
        <v>_</v>
      </c>
      <c r="CR676" s="44"/>
      <c r="CS676" s="45" t="s">
        <v>16</v>
      </c>
      <c r="CT676" s="46" t="str">
        <f>IF(VLOOKUP(CS676,βοηθητικό!$J$2:$N$354,3,FALSE)="","",VLOOKUP(CS676,βοηθητικό!$J$2:$N$354,3,FALSE))</f>
        <v>_</v>
      </c>
      <c r="CU676" s="47"/>
    </row>
    <row r="677" spans="1:99" x14ac:dyDescent="0.25">
      <c r="A677" s="37">
        <f>--SUBTOTAL(3,$B$3:B676)</f>
        <v>198</v>
      </c>
      <c r="B677" s="2"/>
      <c r="C677" s="3"/>
      <c r="D677" s="55" t="s">
        <v>18</v>
      </c>
      <c r="E677" s="38" t="s">
        <v>16</v>
      </c>
      <c r="F677" s="38"/>
      <c r="G677" s="39" t="str">
        <f t="shared" si="32"/>
        <v>__</v>
      </c>
      <c r="H677" s="40" t="str">
        <f t="shared" si="33"/>
        <v>FALSE</v>
      </c>
      <c r="I677" s="41">
        <f t="shared" si="34"/>
        <v>0</v>
      </c>
      <c r="J677" s="4" t="s">
        <v>16</v>
      </c>
      <c r="K677" s="43" t="str">
        <f>IF(VLOOKUP(J677,βοηθητικό!$J$2:$N$354,3,FALSE)="","",VLOOKUP(J677,βοηθητικό!$J$2:$N$354,3,FALSE))</f>
        <v>_</v>
      </c>
      <c r="L677" s="44"/>
      <c r="M677" s="5" t="s">
        <v>16</v>
      </c>
      <c r="N677" s="46" t="str">
        <f>IF(VLOOKUP(M677,βοηθητικό!$J$2:$N$354,3,FALSE)="","",VLOOKUP(M677,βοηθητικό!$J$2:$N$354,3,FALSE))</f>
        <v>_</v>
      </c>
      <c r="O677" s="47"/>
      <c r="P677" s="4" t="s">
        <v>16</v>
      </c>
      <c r="Q677" s="43" t="str">
        <f>IF(VLOOKUP(P677,βοηθητικό!$J$2:$N$354,3,FALSE)="","",VLOOKUP(P677,βοηθητικό!$J$2:$N$354,3,FALSE))</f>
        <v>_</v>
      </c>
      <c r="R677" s="44"/>
      <c r="S677" s="5" t="s">
        <v>16</v>
      </c>
      <c r="T677" s="46" t="str">
        <f>IF(VLOOKUP(S677,βοηθητικό!$J$2:$N$354,3,FALSE)="","",VLOOKUP(S677,βοηθητικό!$J$2:$N$354,3,FALSE))</f>
        <v>_</v>
      </c>
      <c r="U677" s="47"/>
      <c r="V677" s="4" t="s">
        <v>16</v>
      </c>
      <c r="W677" s="43" t="str">
        <f>IF(VLOOKUP(V677,βοηθητικό!$J$2:$N$354,3,FALSE)="","",VLOOKUP(V677,βοηθητικό!$J$2:$N$354,3,FALSE))</f>
        <v>_</v>
      </c>
      <c r="X677" s="44"/>
      <c r="Y677" s="5" t="s">
        <v>16</v>
      </c>
      <c r="Z677" s="46" t="str">
        <f>IF(VLOOKUP(Y677,βοηθητικό!$J$2:$N$354,3,FALSE)="","",VLOOKUP(Y677,βοηθητικό!$J$2:$N$354,3,FALSE))</f>
        <v>_</v>
      </c>
      <c r="AA677" s="47"/>
      <c r="AB677" s="4" t="s">
        <v>16</v>
      </c>
      <c r="AC677" s="43" t="str">
        <f>IF(VLOOKUP(AB677,βοηθητικό!$J$2:$N$354,3,FALSE)="","",VLOOKUP(AB677,βοηθητικό!$J$2:$N$354,3,FALSE))</f>
        <v>_</v>
      </c>
      <c r="AD677" s="44"/>
      <c r="AE677" s="5" t="s">
        <v>16</v>
      </c>
      <c r="AF677" s="46" t="str">
        <f>IF(VLOOKUP(AE677,βοηθητικό!$J$2:$N$354,3,FALSE)="","",VLOOKUP(AE677,βοηθητικό!$J$2:$N$354,3,FALSE))</f>
        <v>_</v>
      </c>
      <c r="AG677" s="47"/>
      <c r="AH677" s="4" t="s">
        <v>16</v>
      </c>
      <c r="AI677" s="43" t="str">
        <f>IF(VLOOKUP(AH677,βοηθητικό!$J$2:$N$354,3,FALSE)="","",VLOOKUP(AH677,βοηθητικό!$J$2:$N$354,3,FALSE))</f>
        <v>_</v>
      </c>
      <c r="AJ677" s="44"/>
      <c r="AK677" s="5" t="s">
        <v>16</v>
      </c>
      <c r="AL677" s="46" t="str">
        <f>IF(VLOOKUP(AK677,βοηθητικό!$J$2:$N$354,3,FALSE)="","",VLOOKUP(AK677,βοηθητικό!$J$2:$N$354,3,FALSE))</f>
        <v>_</v>
      </c>
      <c r="AM677" s="47"/>
      <c r="AN677" s="4" t="s">
        <v>16</v>
      </c>
      <c r="AO677" s="43" t="str">
        <f>IF(VLOOKUP(AN677,βοηθητικό!$J$2:$N$354,3,FALSE)="","",VLOOKUP(AN677,βοηθητικό!$J$2:$N$354,3,FALSE))</f>
        <v>_</v>
      </c>
      <c r="AP677" s="44"/>
      <c r="AQ677" s="5" t="s">
        <v>16</v>
      </c>
      <c r="AR677" s="46" t="str">
        <f>IF(VLOOKUP(AQ677,βοηθητικό!$J$2:$N$354,3,FALSE)="","",VLOOKUP(AQ677,βοηθητικό!$J$2:$N$354,3,FALSE))</f>
        <v>_</v>
      </c>
      <c r="AS677" s="47"/>
      <c r="AT677" s="4" t="s">
        <v>16</v>
      </c>
      <c r="AU677" s="43" t="str">
        <f>IF(VLOOKUP(AT677,βοηθητικό!$J$2:$N$354,3,FALSE)="","",VLOOKUP(AT677,βοηθητικό!$J$2:$N$354,3,FALSE))</f>
        <v>_</v>
      </c>
      <c r="AV677" s="44"/>
      <c r="AW677" s="5" t="s">
        <v>16</v>
      </c>
      <c r="AX677" s="46" t="str">
        <f>IF(VLOOKUP(AW677,βοηθητικό!$J$2:$N$354,3,FALSE)="","",VLOOKUP(AW677,βοηθητικό!$J$2:$N$354,3,FALSE))</f>
        <v>_</v>
      </c>
      <c r="AY677" s="47"/>
      <c r="AZ677" s="4" t="s">
        <v>16</v>
      </c>
      <c r="BA677" s="43" t="str">
        <f>IF(VLOOKUP(AZ677,βοηθητικό!$J$2:$N$354,3,FALSE)="","",VLOOKUP(AZ677,βοηθητικό!$J$2:$N$354,3,FALSE))</f>
        <v>_</v>
      </c>
      <c r="BB677" s="44"/>
      <c r="BC677" s="45" t="s">
        <v>16</v>
      </c>
      <c r="BD677" s="46" t="str">
        <f>IF(VLOOKUP(BC677,βοηθητικό!$J$2:$N$354,3,FALSE)="","",VLOOKUP(BC677,βοηθητικό!$J$2:$N$354,3,FALSE))</f>
        <v>_</v>
      </c>
      <c r="BE677" s="47"/>
      <c r="BF677" s="42" t="s">
        <v>16</v>
      </c>
      <c r="BG677" s="43" t="str">
        <f>IF(VLOOKUP(BF677,βοηθητικό!$J$2:$N$354,3,FALSE)="","",VLOOKUP(BF677,βοηθητικό!$J$2:$N$354,3,FALSE))</f>
        <v>_</v>
      </c>
      <c r="BH677" s="44"/>
      <c r="BI677" s="45" t="s">
        <v>16</v>
      </c>
      <c r="BJ677" s="46" t="str">
        <f>IF(VLOOKUP(BI677,βοηθητικό!$J$2:$N$354,3,FALSE)="","",VLOOKUP(BI677,βοηθητικό!$J$2:$N$354,3,FALSE))</f>
        <v>_</v>
      </c>
      <c r="BK677" s="47"/>
      <c r="BL677" s="42" t="s">
        <v>16</v>
      </c>
      <c r="BM677" s="43" t="str">
        <f>IF(VLOOKUP(BL677,βοηθητικό!$J$2:$N$354,3,FALSE)="","",VLOOKUP(BL677,βοηθητικό!$J$2:$N$354,3,FALSE))</f>
        <v>_</v>
      </c>
      <c r="BN677" s="44"/>
      <c r="BO677" s="45" t="s">
        <v>16</v>
      </c>
      <c r="BP677" s="46" t="str">
        <f>IF(VLOOKUP(BO677,βοηθητικό!$J$2:$N$354,3,FALSE)="","",VLOOKUP(BO677,βοηθητικό!$J$2:$N$354,3,FALSE))</f>
        <v>_</v>
      </c>
      <c r="BQ677" s="47"/>
      <c r="BR677" s="42" t="s">
        <v>16</v>
      </c>
      <c r="BS677" s="43" t="str">
        <f>IF(VLOOKUP(BR677,βοηθητικό!$J$2:$N$354,3,FALSE)="","",VLOOKUP(BR677,βοηθητικό!$J$2:$N$354,3,FALSE))</f>
        <v>_</v>
      </c>
      <c r="BT677" s="44"/>
      <c r="BU677" s="45" t="s">
        <v>16</v>
      </c>
      <c r="BV677" s="46" t="str">
        <f>IF(VLOOKUP(BU677,βοηθητικό!$J$2:$N$354,3,FALSE)="","",VLOOKUP(BU677,βοηθητικό!$J$2:$N$354,3,FALSE))</f>
        <v>_</v>
      </c>
      <c r="BW677" s="47"/>
      <c r="BX677" s="42" t="s">
        <v>16</v>
      </c>
      <c r="BY677" s="43" t="str">
        <f>IF(VLOOKUP(BX677,βοηθητικό!$J$2:$N$354,3,FALSE)="","",VLOOKUP(BX677,βοηθητικό!$J$2:$N$354,3,FALSE))</f>
        <v>_</v>
      </c>
      <c r="BZ677" s="44"/>
      <c r="CA677" s="45" t="s">
        <v>16</v>
      </c>
      <c r="CB677" s="46" t="str">
        <f>IF(VLOOKUP(CA677,βοηθητικό!$J$2:$N$354,3,FALSE)="","",VLOOKUP(CA677,βοηθητικό!$J$2:$N$354,3,FALSE))</f>
        <v>_</v>
      </c>
      <c r="CC677" s="47"/>
      <c r="CD677" s="42" t="s">
        <v>16</v>
      </c>
      <c r="CE677" s="43" t="str">
        <f>IF(VLOOKUP(CD677,βοηθητικό!$J$2:$N$354,3,FALSE)="","",VLOOKUP(CD677,βοηθητικό!$J$2:$N$354,3,FALSE))</f>
        <v>_</v>
      </c>
      <c r="CF677" s="44"/>
      <c r="CG677" s="45" t="s">
        <v>16</v>
      </c>
      <c r="CH677" s="46" t="str">
        <f>IF(VLOOKUP(CG677,βοηθητικό!$J$2:$N$354,3,FALSE)="","",VLOOKUP(CG677,βοηθητικό!$J$2:$N$354,3,FALSE))</f>
        <v>_</v>
      </c>
      <c r="CI677" s="47"/>
      <c r="CJ677" s="42" t="s">
        <v>16</v>
      </c>
      <c r="CK677" s="43" t="str">
        <f>IF(VLOOKUP(CJ677,βοηθητικό!$J$2:$N$354,3,FALSE)="","",VLOOKUP(CJ677,βοηθητικό!$J$2:$N$354,3,FALSE))</f>
        <v>_</v>
      </c>
      <c r="CL677" s="44"/>
      <c r="CM677" s="45" t="s">
        <v>16</v>
      </c>
      <c r="CN677" s="46" t="str">
        <f>IF(VLOOKUP(CM677,βοηθητικό!$J$2:$N$354,3,FALSE)="","",VLOOKUP(CM677,βοηθητικό!$J$2:$N$354,3,FALSE))</f>
        <v>_</v>
      </c>
      <c r="CO677" s="47"/>
      <c r="CP677" s="42" t="s">
        <v>16</v>
      </c>
      <c r="CQ677" s="43" t="str">
        <f>IF(VLOOKUP(CP677,βοηθητικό!$J$2:$N$354,3,FALSE)="","",VLOOKUP(CP677,βοηθητικό!$J$2:$N$354,3,FALSE))</f>
        <v>_</v>
      </c>
      <c r="CR677" s="44"/>
      <c r="CS677" s="45" t="s">
        <v>16</v>
      </c>
      <c r="CT677" s="46" t="str">
        <f>IF(VLOOKUP(CS677,βοηθητικό!$J$2:$N$354,3,FALSE)="","",VLOOKUP(CS677,βοηθητικό!$J$2:$N$354,3,FALSE))</f>
        <v>_</v>
      </c>
      <c r="CU677" s="47"/>
    </row>
    <row r="678" spans="1:99" x14ac:dyDescent="0.25">
      <c r="A678" s="37">
        <f>--SUBTOTAL(3,$B$3:B677)</f>
        <v>198</v>
      </c>
      <c r="B678" s="2"/>
      <c r="C678" s="3"/>
      <c r="D678" s="55" t="s">
        <v>18</v>
      </c>
      <c r="E678" s="38" t="s">
        <v>16</v>
      </c>
      <c r="F678" s="38"/>
      <c r="G678" s="39" t="str">
        <f t="shared" si="32"/>
        <v>__</v>
      </c>
      <c r="H678" s="40" t="str">
        <f t="shared" si="33"/>
        <v>FALSE</v>
      </c>
      <c r="I678" s="41">
        <f t="shared" si="34"/>
        <v>0</v>
      </c>
      <c r="J678" s="4" t="s">
        <v>16</v>
      </c>
      <c r="K678" s="43" t="str">
        <f>IF(VLOOKUP(J678,βοηθητικό!$J$2:$N$354,3,FALSE)="","",VLOOKUP(J678,βοηθητικό!$J$2:$N$354,3,FALSE))</f>
        <v>_</v>
      </c>
      <c r="L678" s="44"/>
      <c r="M678" s="5" t="s">
        <v>16</v>
      </c>
      <c r="N678" s="46" t="str">
        <f>IF(VLOOKUP(M678,βοηθητικό!$J$2:$N$354,3,FALSE)="","",VLOOKUP(M678,βοηθητικό!$J$2:$N$354,3,FALSE))</f>
        <v>_</v>
      </c>
      <c r="O678" s="47"/>
      <c r="P678" s="4" t="s">
        <v>16</v>
      </c>
      <c r="Q678" s="43" t="str">
        <f>IF(VLOOKUP(P678,βοηθητικό!$J$2:$N$354,3,FALSE)="","",VLOOKUP(P678,βοηθητικό!$J$2:$N$354,3,FALSE))</f>
        <v>_</v>
      </c>
      <c r="R678" s="44"/>
      <c r="S678" s="5" t="s">
        <v>16</v>
      </c>
      <c r="T678" s="46" t="str">
        <f>IF(VLOOKUP(S678,βοηθητικό!$J$2:$N$354,3,FALSE)="","",VLOOKUP(S678,βοηθητικό!$J$2:$N$354,3,FALSE))</f>
        <v>_</v>
      </c>
      <c r="U678" s="47"/>
      <c r="V678" s="4" t="s">
        <v>16</v>
      </c>
      <c r="W678" s="43" t="str">
        <f>IF(VLOOKUP(V678,βοηθητικό!$J$2:$N$354,3,FALSE)="","",VLOOKUP(V678,βοηθητικό!$J$2:$N$354,3,FALSE))</f>
        <v>_</v>
      </c>
      <c r="X678" s="44"/>
      <c r="Y678" s="5" t="s">
        <v>16</v>
      </c>
      <c r="Z678" s="46" t="str">
        <f>IF(VLOOKUP(Y678,βοηθητικό!$J$2:$N$354,3,FALSE)="","",VLOOKUP(Y678,βοηθητικό!$J$2:$N$354,3,FALSE))</f>
        <v>_</v>
      </c>
      <c r="AA678" s="47"/>
      <c r="AB678" s="4" t="s">
        <v>16</v>
      </c>
      <c r="AC678" s="43" t="str">
        <f>IF(VLOOKUP(AB678,βοηθητικό!$J$2:$N$354,3,FALSE)="","",VLOOKUP(AB678,βοηθητικό!$J$2:$N$354,3,FALSE))</f>
        <v>_</v>
      </c>
      <c r="AD678" s="44"/>
      <c r="AE678" s="5" t="s">
        <v>16</v>
      </c>
      <c r="AF678" s="46" t="str">
        <f>IF(VLOOKUP(AE678,βοηθητικό!$J$2:$N$354,3,FALSE)="","",VLOOKUP(AE678,βοηθητικό!$J$2:$N$354,3,FALSE))</f>
        <v>_</v>
      </c>
      <c r="AG678" s="47"/>
      <c r="AH678" s="4" t="s">
        <v>16</v>
      </c>
      <c r="AI678" s="43" t="str">
        <f>IF(VLOOKUP(AH678,βοηθητικό!$J$2:$N$354,3,FALSE)="","",VLOOKUP(AH678,βοηθητικό!$J$2:$N$354,3,FALSE))</f>
        <v>_</v>
      </c>
      <c r="AJ678" s="44"/>
      <c r="AK678" s="5" t="s">
        <v>16</v>
      </c>
      <c r="AL678" s="46" t="str">
        <f>IF(VLOOKUP(AK678,βοηθητικό!$J$2:$N$354,3,FALSE)="","",VLOOKUP(AK678,βοηθητικό!$J$2:$N$354,3,FALSE))</f>
        <v>_</v>
      </c>
      <c r="AM678" s="47"/>
      <c r="AN678" s="4" t="s">
        <v>16</v>
      </c>
      <c r="AO678" s="43" t="str">
        <f>IF(VLOOKUP(AN678,βοηθητικό!$J$2:$N$354,3,FALSE)="","",VLOOKUP(AN678,βοηθητικό!$J$2:$N$354,3,FALSE))</f>
        <v>_</v>
      </c>
      <c r="AP678" s="44"/>
      <c r="AQ678" s="5" t="s">
        <v>16</v>
      </c>
      <c r="AR678" s="46" t="str">
        <f>IF(VLOOKUP(AQ678,βοηθητικό!$J$2:$N$354,3,FALSE)="","",VLOOKUP(AQ678,βοηθητικό!$J$2:$N$354,3,FALSE))</f>
        <v>_</v>
      </c>
      <c r="AS678" s="47"/>
      <c r="AT678" s="4" t="s">
        <v>16</v>
      </c>
      <c r="AU678" s="43" t="str">
        <f>IF(VLOOKUP(AT678,βοηθητικό!$J$2:$N$354,3,FALSE)="","",VLOOKUP(AT678,βοηθητικό!$J$2:$N$354,3,FALSE))</f>
        <v>_</v>
      </c>
      <c r="AV678" s="44"/>
      <c r="AW678" s="5" t="s">
        <v>16</v>
      </c>
      <c r="AX678" s="46" t="str">
        <f>IF(VLOOKUP(AW678,βοηθητικό!$J$2:$N$354,3,FALSE)="","",VLOOKUP(AW678,βοηθητικό!$J$2:$N$354,3,FALSE))</f>
        <v>_</v>
      </c>
      <c r="AY678" s="47"/>
      <c r="AZ678" s="4" t="s">
        <v>16</v>
      </c>
      <c r="BA678" s="43" t="str">
        <f>IF(VLOOKUP(AZ678,βοηθητικό!$J$2:$N$354,3,FALSE)="","",VLOOKUP(AZ678,βοηθητικό!$J$2:$N$354,3,FALSE))</f>
        <v>_</v>
      </c>
      <c r="BB678" s="44"/>
      <c r="BC678" s="45" t="s">
        <v>16</v>
      </c>
      <c r="BD678" s="46" t="str">
        <f>IF(VLOOKUP(BC678,βοηθητικό!$J$2:$N$354,3,FALSE)="","",VLOOKUP(BC678,βοηθητικό!$J$2:$N$354,3,FALSE))</f>
        <v>_</v>
      </c>
      <c r="BE678" s="47"/>
      <c r="BF678" s="42" t="s">
        <v>16</v>
      </c>
      <c r="BG678" s="43" t="str">
        <f>IF(VLOOKUP(BF678,βοηθητικό!$J$2:$N$354,3,FALSE)="","",VLOOKUP(BF678,βοηθητικό!$J$2:$N$354,3,FALSE))</f>
        <v>_</v>
      </c>
      <c r="BH678" s="44"/>
      <c r="BI678" s="45" t="s">
        <v>16</v>
      </c>
      <c r="BJ678" s="46" t="str">
        <f>IF(VLOOKUP(BI678,βοηθητικό!$J$2:$N$354,3,FALSE)="","",VLOOKUP(BI678,βοηθητικό!$J$2:$N$354,3,FALSE))</f>
        <v>_</v>
      </c>
      <c r="BK678" s="47"/>
      <c r="BL678" s="42" t="s">
        <v>16</v>
      </c>
      <c r="BM678" s="43" t="str">
        <f>IF(VLOOKUP(BL678,βοηθητικό!$J$2:$N$354,3,FALSE)="","",VLOOKUP(BL678,βοηθητικό!$J$2:$N$354,3,FALSE))</f>
        <v>_</v>
      </c>
      <c r="BN678" s="44"/>
      <c r="BO678" s="45" t="s">
        <v>16</v>
      </c>
      <c r="BP678" s="46" t="str">
        <f>IF(VLOOKUP(BO678,βοηθητικό!$J$2:$N$354,3,FALSE)="","",VLOOKUP(BO678,βοηθητικό!$J$2:$N$354,3,FALSE))</f>
        <v>_</v>
      </c>
      <c r="BQ678" s="47"/>
      <c r="BR678" s="42" t="s">
        <v>16</v>
      </c>
      <c r="BS678" s="43" t="str">
        <f>IF(VLOOKUP(BR678,βοηθητικό!$J$2:$N$354,3,FALSE)="","",VLOOKUP(BR678,βοηθητικό!$J$2:$N$354,3,FALSE))</f>
        <v>_</v>
      </c>
      <c r="BT678" s="44"/>
      <c r="BU678" s="45" t="s">
        <v>16</v>
      </c>
      <c r="BV678" s="46" t="str">
        <f>IF(VLOOKUP(BU678,βοηθητικό!$J$2:$N$354,3,FALSE)="","",VLOOKUP(BU678,βοηθητικό!$J$2:$N$354,3,FALSE))</f>
        <v>_</v>
      </c>
      <c r="BW678" s="47"/>
      <c r="BX678" s="42" t="s">
        <v>16</v>
      </c>
      <c r="BY678" s="43" t="str">
        <f>IF(VLOOKUP(BX678,βοηθητικό!$J$2:$N$354,3,FALSE)="","",VLOOKUP(BX678,βοηθητικό!$J$2:$N$354,3,FALSE))</f>
        <v>_</v>
      </c>
      <c r="BZ678" s="44"/>
      <c r="CA678" s="45" t="s">
        <v>16</v>
      </c>
      <c r="CB678" s="46" t="str">
        <f>IF(VLOOKUP(CA678,βοηθητικό!$J$2:$N$354,3,FALSE)="","",VLOOKUP(CA678,βοηθητικό!$J$2:$N$354,3,FALSE))</f>
        <v>_</v>
      </c>
      <c r="CC678" s="47"/>
      <c r="CD678" s="42" t="s">
        <v>16</v>
      </c>
      <c r="CE678" s="43" t="str">
        <f>IF(VLOOKUP(CD678,βοηθητικό!$J$2:$N$354,3,FALSE)="","",VLOOKUP(CD678,βοηθητικό!$J$2:$N$354,3,FALSE))</f>
        <v>_</v>
      </c>
      <c r="CF678" s="44"/>
      <c r="CG678" s="45" t="s">
        <v>16</v>
      </c>
      <c r="CH678" s="46" t="str">
        <f>IF(VLOOKUP(CG678,βοηθητικό!$J$2:$N$354,3,FALSE)="","",VLOOKUP(CG678,βοηθητικό!$J$2:$N$354,3,FALSE))</f>
        <v>_</v>
      </c>
      <c r="CI678" s="47"/>
      <c r="CJ678" s="42" t="s">
        <v>16</v>
      </c>
      <c r="CK678" s="43" t="str">
        <f>IF(VLOOKUP(CJ678,βοηθητικό!$J$2:$N$354,3,FALSE)="","",VLOOKUP(CJ678,βοηθητικό!$J$2:$N$354,3,FALSE))</f>
        <v>_</v>
      </c>
      <c r="CL678" s="44"/>
      <c r="CM678" s="45" t="s">
        <v>16</v>
      </c>
      <c r="CN678" s="46" t="str">
        <f>IF(VLOOKUP(CM678,βοηθητικό!$J$2:$N$354,3,FALSE)="","",VLOOKUP(CM678,βοηθητικό!$J$2:$N$354,3,FALSE))</f>
        <v>_</v>
      </c>
      <c r="CO678" s="47"/>
      <c r="CP678" s="42" t="s">
        <v>16</v>
      </c>
      <c r="CQ678" s="43" t="str">
        <f>IF(VLOOKUP(CP678,βοηθητικό!$J$2:$N$354,3,FALSE)="","",VLOOKUP(CP678,βοηθητικό!$J$2:$N$354,3,FALSE))</f>
        <v>_</v>
      </c>
      <c r="CR678" s="44"/>
      <c r="CS678" s="45" t="s">
        <v>16</v>
      </c>
      <c r="CT678" s="46" t="str">
        <f>IF(VLOOKUP(CS678,βοηθητικό!$J$2:$N$354,3,FALSE)="","",VLOOKUP(CS678,βοηθητικό!$J$2:$N$354,3,FALSE))</f>
        <v>_</v>
      </c>
      <c r="CU678" s="47"/>
    </row>
    <row r="679" spans="1:99" x14ac:dyDescent="0.25">
      <c r="A679" s="37">
        <f>--SUBTOTAL(3,$B$3:B678)</f>
        <v>198</v>
      </c>
      <c r="B679" s="2"/>
      <c r="C679" s="3"/>
      <c r="D679" s="55" t="s">
        <v>18</v>
      </c>
      <c r="E679" s="38" t="s">
        <v>16</v>
      </c>
      <c r="F679" s="38"/>
      <c r="G679" s="39" t="str">
        <f t="shared" si="32"/>
        <v>__</v>
      </c>
      <c r="H679" s="40" t="str">
        <f t="shared" si="33"/>
        <v>FALSE</v>
      </c>
      <c r="I679" s="41">
        <f t="shared" si="34"/>
        <v>0</v>
      </c>
      <c r="J679" s="4" t="s">
        <v>16</v>
      </c>
      <c r="K679" s="43" t="str">
        <f>IF(VLOOKUP(J679,βοηθητικό!$J$2:$N$354,3,FALSE)="","",VLOOKUP(J679,βοηθητικό!$J$2:$N$354,3,FALSE))</f>
        <v>_</v>
      </c>
      <c r="L679" s="44"/>
      <c r="M679" s="5" t="s">
        <v>16</v>
      </c>
      <c r="N679" s="46" t="str">
        <f>IF(VLOOKUP(M679,βοηθητικό!$J$2:$N$354,3,FALSE)="","",VLOOKUP(M679,βοηθητικό!$J$2:$N$354,3,FALSE))</f>
        <v>_</v>
      </c>
      <c r="O679" s="47"/>
      <c r="P679" s="4" t="s">
        <v>16</v>
      </c>
      <c r="Q679" s="43" t="str">
        <f>IF(VLOOKUP(P679,βοηθητικό!$J$2:$N$354,3,FALSE)="","",VLOOKUP(P679,βοηθητικό!$J$2:$N$354,3,FALSE))</f>
        <v>_</v>
      </c>
      <c r="R679" s="44"/>
      <c r="S679" s="5" t="s">
        <v>16</v>
      </c>
      <c r="T679" s="46" t="str">
        <f>IF(VLOOKUP(S679,βοηθητικό!$J$2:$N$354,3,FALSE)="","",VLOOKUP(S679,βοηθητικό!$J$2:$N$354,3,FALSE))</f>
        <v>_</v>
      </c>
      <c r="U679" s="47"/>
      <c r="V679" s="4" t="s">
        <v>16</v>
      </c>
      <c r="W679" s="43" t="str">
        <f>IF(VLOOKUP(V679,βοηθητικό!$J$2:$N$354,3,FALSE)="","",VLOOKUP(V679,βοηθητικό!$J$2:$N$354,3,FALSE))</f>
        <v>_</v>
      </c>
      <c r="X679" s="44"/>
      <c r="Y679" s="5" t="s">
        <v>16</v>
      </c>
      <c r="Z679" s="46" t="str">
        <f>IF(VLOOKUP(Y679,βοηθητικό!$J$2:$N$354,3,FALSE)="","",VLOOKUP(Y679,βοηθητικό!$J$2:$N$354,3,FALSE))</f>
        <v>_</v>
      </c>
      <c r="AA679" s="47"/>
      <c r="AB679" s="4" t="s">
        <v>16</v>
      </c>
      <c r="AC679" s="43" t="str">
        <f>IF(VLOOKUP(AB679,βοηθητικό!$J$2:$N$354,3,FALSE)="","",VLOOKUP(AB679,βοηθητικό!$J$2:$N$354,3,FALSE))</f>
        <v>_</v>
      </c>
      <c r="AD679" s="44"/>
      <c r="AE679" s="5" t="s">
        <v>16</v>
      </c>
      <c r="AF679" s="46" t="str">
        <f>IF(VLOOKUP(AE679,βοηθητικό!$J$2:$N$354,3,FALSE)="","",VLOOKUP(AE679,βοηθητικό!$J$2:$N$354,3,FALSE))</f>
        <v>_</v>
      </c>
      <c r="AG679" s="47"/>
      <c r="AH679" s="4" t="s">
        <v>16</v>
      </c>
      <c r="AI679" s="43" t="str">
        <f>IF(VLOOKUP(AH679,βοηθητικό!$J$2:$N$354,3,FALSE)="","",VLOOKUP(AH679,βοηθητικό!$J$2:$N$354,3,FALSE))</f>
        <v>_</v>
      </c>
      <c r="AJ679" s="44"/>
      <c r="AK679" s="5" t="s">
        <v>16</v>
      </c>
      <c r="AL679" s="46" t="str">
        <f>IF(VLOOKUP(AK679,βοηθητικό!$J$2:$N$354,3,FALSE)="","",VLOOKUP(AK679,βοηθητικό!$J$2:$N$354,3,FALSE))</f>
        <v>_</v>
      </c>
      <c r="AM679" s="47"/>
      <c r="AN679" s="4" t="s">
        <v>16</v>
      </c>
      <c r="AO679" s="43" t="str">
        <f>IF(VLOOKUP(AN679,βοηθητικό!$J$2:$N$354,3,FALSE)="","",VLOOKUP(AN679,βοηθητικό!$J$2:$N$354,3,FALSE))</f>
        <v>_</v>
      </c>
      <c r="AP679" s="44"/>
      <c r="AQ679" s="5" t="s">
        <v>16</v>
      </c>
      <c r="AR679" s="46" t="str">
        <f>IF(VLOOKUP(AQ679,βοηθητικό!$J$2:$N$354,3,FALSE)="","",VLOOKUP(AQ679,βοηθητικό!$J$2:$N$354,3,FALSE))</f>
        <v>_</v>
      </c>
      <c r="AS679" s="47"/>
      <c r="AT679" s="4" t="s">
        <v>16</v>
      </c>
      <c r="AU679" s="43" t="str">
        <f>IF(VLOOKUP(AT679,βοηθητικό!$J$2:$N$354,3,FALSE)="","",VLOOKUP(AT679,βοηθητικό!$J$2:$N$354,3,FALSE))</f>
        <v>_</v>
      </c>
      <c r="AV679" s="44"/>
      <c r="AW679" s="5" t="s">
        <v>16</v>
      </c>
      <c r="AX679" s="46" t="str">
        <f>IF(VLOOKUP(AW679,βοηθητικό!$J$2:$N$354,3,FALSE)="","",VLOOKUP(AW679,βοηθητικό!$J$2:$N$354,3,FALSE))</f>
        <v>_</v>
      </c>
      <c r="AY679" s="47"/>
      <c r="AZ679" s="4" t="s">
        <v>16</v>
      </c>
      <c r="BA679" s="43" t="str">
        <f>IF(VLOOKUP(AZ679,βοηθητικό!$J$2:$N$354,3,FALSE)="","",VLOOKUP(AZ679,βοηθητικό!$J$2:$N$354,3,FALSE))</f>
        <v>_</v>
      </c>
      <c r="BB679" s="44"/>
      <c r="BC679" s="45" t="s">
        <v>16</v>
      </c>
      <c r="BD679" s="46" t="str">
        <f>IF(VLOOKUP(BC679,βοηθητικό!$J$2:$N$354,3,FALSE)="","",VLOOKUP(BC679,βοηθητικό!$J$2:$N$354,3,FALSE))</f>
        <v>_</v>
      </c>
      <c r="BE679" s="47"/>
      <c r="BF679" s="42" t="s">
        <v>16</v>
      </c>
      <c r="BG679" s="43" t="str">
        <f>IF(VLOOKUP(BF679,βοηθητικό!$J$2:$N$354,3,FALSE)="","",VLOOKUP(BF679,βοηθητικό!$J$2:$N$354,3,FALSE))</f>
        <v>_</v>
      </c>
      <c r="BH679" s="44"/>
      <c r="BI679" s="45" t="s">
        <v>16</v>
      </c>
      <c r="BJ679" s="46" t="str">
        <f>IF(VLOOKUP(BI679,βοηθητικό!$J$2:$N$354,3,FALSE)="","",VLOOKUP(BI679,βοηθητικό!$J$2:$N$354,3,FALSE))</f>
        <v>_</v>
      </c>
      <c r="BK679" s="47"/>
      <c r="BL679" s="42" t="s">
        <v>16</v>
      </c>
      <c r="BM679" s="43" t="str">
        <f>IF(VLOOKUP(BL679,βοηθητικό!$J$2:$N$354,3,FALSE)="","",VLOOKUP(BL679,βοηθητικό!$J$2:$N$354,3,FALSE))</f>
        <v>_</v>
      </c>
      <c r="BN679" s="44"/>
      <c r="BO679" s="45" t="s">
        <v>16</v>
      </c>
      <c r="BP679" s="46" t="str">
        <f>IF(VLOOKUP(BO679,βοηθητικό!$J$2:$N$354,3,FALSE)="","",VLOOKUP(BO679,βοηθητικό!$J$2:$N$354,3,FALSE))</f>
        <v>_</v>
      </c>
      <c r="BQ679" s="47"/>
      <c r="BR679" s="42" t="s">
        <v>16</v>
      </c>
      <c r="BS679" s="43" t="str">
        <f>IF(VLOOKUP(BR679,βοηθητικό!$J$2:$N$354,3,FALSE)="","",VLOOKUP(BR679,βοηθητικό!$J$2:$N$354,3,FALSE))</f>
        <v>_</v>
      </c>
      <c r="BT679" s="44"/>
      <c r="BU679" s="45" t="s">
        <v>16</v>
      </c>
      <c r="BV679" s="46" t="str">
        <f>IF(VLOOKUP(BU679,βοηθητικό!$J$2:$N$354,3,FALSE)="","",VLOOKUP(BU679,βοηθητικό!$J$2:$N$354,3,FALSE))</f>
        <v>_</v>
      </c>
      <c r="BW679" s="47"/>
      <c r="BX679" s="42" t="s">
        <v>16</v>
      </c>
      <c r="BY679" s="43" t="str">
        <f>IF(VLOOKUP(BX679,βοηθητικό!$J$2:$N$354,3,FALSE)="","",VLOOKUP(BX679,βοηθητικό!$J$2:$N$354,3,FALSE))</f>
        <v>_</v>
      </c>
      <c r="BZ679" s="44"/>
      <c r="CA679" s="45" t="s">
        <v>16</v>
      </c>
      <c r="CB679" s="46" t="str">
        <f>IF(VLOOKUP(CA679,βοηθητικό!$J$2:$N$354,3,FALSE)="","",VLOOKUP(CA679,βοηθητικό!$J$2:$N$354,3,FALSE))</f>
        <v>_</v>
      </c>
      <c r="CC679" s="47"/>
      <c r="CD679" s="42" t="s">
        <v>16</v>
      </c>
      <c r="CE679" s="43" t="str">
        <f>IF(VLOOKUP(CD679,βοηθητικό!$J$2:$N$354,3,FALSE)="","",VLOOKUP(CD679,βοηθητικό!$J$2:$N$354,3,FALSE))</f>
        <v>_</v>
      </c>
      <c r="CF679" s="44"/>
      <c r="CG679" s="45" t="s">
        <v>16</v>
      </c>
      <c r="CH679" s="46" t="str">
        <f>IF(VLOOKUP(CG679,βοηθητικό!$J$2:$N$354,3,FALSE)="","",VLOOKUP(CG679,βοηθητικό!$J$2:$N$354,3,FALSE))</f>
        <v>_</v>
      </c>
      <c r="CI679" s="47"/>
      <c r="CJ679" s="42" t="s">
        <v>16</v>
      </c>
      <c r="CK679" s="43" t="str">
        <f>IF(VLOOKUP(CJ679,βοηθητικό!$J$2:$N$354,3,FALSE)="","",VLOOKUP(CJ679,βοηθητικό!$J$2:$N$354,3,FALSE))</f>
        <v>_</v>
      </c>
      <c r="CL679" s="44"/>
      <c r="CM679" s="45" t="s">
        <v>16</v>
      </c>
      <c r="CN679" s="46" t="str">
        <f>IF(VLOOKUP(CM679,βοηθητικό!$J$2:$N$354,3,FALSE)="","",VLOOKUP(CM679,βοηθητικό!$J$2:$N$354,3,FALSE))</f>
        <v>_</v>
      </c>
      <c r="CO679" s="47"/>
      <c r="CP679" s="42" t="s">
        <v>16</v>
      </c>
      <c r="CQ679" s="43" t="str">
        <f>IF(VLOOKUP(CP679,βοηθητικό!$J$2:$N$354,3,FALSE)="","",VLOOKUP(CP679,βοηθητικό!$J$2:$N$354,3,FALSE))</f>
        <v>_</v>
      </c>
      <c r="CR679" s="44"/>
      <c r="CS679" s="45" t="s">
        <v>16</v>
      </c>
      <c r="CT679" s="46" t="str">
        <f>IF(VLOOKUP(CS679,βοηθητικό!$J$2:$N$354,3,FALSE)="","",VLOOKUP(CS679,βοηθητικό!$J$2:$N$354,3,FALSE))</f>
        <v>_</v>
      </c>
      <c r="CU679" s="47"/>
    </row>
    <row r="680" spans="1:99" x14ac:dyDescent="0.25">
      <c r="A680" s="37">
        <f>--SUBTOTAL(3,$B$3:B679)</f>
        <v>198</v>
      </c>
      <c r="B680" s="2"/>
      <c r="C680" s="3"/>
      <c r="D680" s="55" t="s">
        <v>18</v>
      </c>
      <c r="E680" s="38" t="s">
        <v>16</v>
      </c>
      <c r="F680" s="38"/>
      <c r="G680" s="39" t="str">
        <f t="shared" si="32"/>
        <v>__</v>
      </c>
      <c r="H680" s="40" t="str">
        <f t="shared" si="33"/>
        <v>FALSE</v>
      </c>
      <c r="I680" s="41">
        <f t="shared" si="34"/>
        <v>0</v>
      </c>
      <c r="J680" s="4" t="s">
        <v>16</v>
      </c>
      <c r="K680" s="43" t="str">
        <f>IF(VLOOKUP(J680,βοηθητικό!$J$2:$N$354,3,FALSE)="","",VLOOKUP(J680,βοηθητικό!$J$2:$N$354,3,FALSE))</f>
        <v>_</v>
      </c>
      <c r="L680" s="44"/>
      <c r="M680" s="5" t="s">
        <v>16</v>
      </c>
      <c r="N680" s="46" t="str">
        <f>IF(VLOOKUP(M680,βοηθητικό!$J$2:$N$354,3,FALSE)="","",VLOOKUP(M680,βοηθητικό!$J$2:$N$354,3,FALSE))</f>
        <v>_</v>
      </c>
      <c r="O680" s="47"/>
      <c r="P680" s="4" t="s">
        <v>16</v>
      </c>
      <c r="Q680" s="43" t="str">
        <f>IF(VLOOKUP(P680,βοηθητικό!$J$2:$N$354,3,FALSE)="","",VLOOKUP(P680,βοηθητικό!$J$2:$N$354,3,FALSE))</f>
        <v>_</v>
      </c>
      <c r="R680" s="44"/>
      <c r="S680" s="5" t="s">
        <v>16</v>
      </c>
      <c r="T680" s="46" t="str">
        <f>IF(VLOOKUP(S680,βοηθητικό!$J$2:$N$354,3,FALSE)="","",VLOOKUP(S680,βοηθητικό!$J$2:$N$354,3,FALSE))</f>
        <v>_</v>
      </c>
      <c r="U680" s="47"/>
      <c r="V680" s="4" t="s">
        <v>16</v>
      </c>
      <c r="W680" s="43" t="str">
        <f>IF(VLOOKUP(V680,βοηθητικό!$J$2:$N$354,3,FALSE)="","",VLOOKUP(V680,βοηθητικό!$J$2:$N$354,3,FALSE))</f>
        <v>_</v>
      </c>
      <c r="X680" s="44"/>
      <c r="Y680" s="5" t="s">
        <v>16</v>
      </c>
      <c r="Z680" s="46" t="str">
        <f>IF(VLOOKUP(Y680,βοηθητικό!$J$2:$N$354,3,FALSE)="","",VLOOKUP(Y680,βοηθητικό!$J$2:$N$354,3,FALSE))</f>
        <v>_</v>
      </c>
      <c r="AA680" s="47"/>
      <c r="AB680" s="4" t="s">
        <v>16</v>
      </c>
      <c r="AC680" s="43" t="str">
        <f>IF(VLOOKUP(AB680,βοηθητικό!$J$2:$N$354,3,FALSE)="","",VLOOKUP(AB680,βοηθητικό!$J$2:$N$354,3,FALSE))</f>
        <v>_</v>
      </c>
      <c r="AD680" s="44"/>
      <c r="AE680" s="5" t="s">
        <v>16</v>
      </c>
      <c r="AF680" s="46" t="str">
        <f>IF(VLOOKUP(AE680,βοηθητικό!$J$2:$N$354,3,FALSE)="","",VLOOKUP(AE680,βοηθητικό!$J$2:$N$354,3,FALSE))</f>
        <v>_</v>
      </c>
      <c r="AG680" s="47"/>
      <c r="AH680" s="4" t="s">
        <v>16</v>
      </c>
      <c r="AI680" s="43" t="str">
        <f>IF(VLOOKUP(AH680,βοηθητικό!$J$2:$N$354,3,FALSE)="","",VLOOKUP(AH680,βοηθητικό!$J$2:$N$354,3,FALSE))</f>
        <v>_</v>
      </c>
      <c r="AJ680" s="44"/>
      <c r="AK680" s="5" t="s">
        <v>16</v>
      </c>
      <c r="AL680" s="46" t="str">
        <f>IF(VLOOKUP(AK680,βοηθητικό!$J$2:$N$354,3,FALSE)="","",VLOOKUP(AK680,βοηθητικό!$J$2:$N$354,3,FALSE))</f>
        <v>_</v>
      </c>
      <c r="AM680" s="47"/>
      <c r="AN680" s="4" t="s">
        <v>16</v>
      </c>
      <c r="AO680" s="43" t="str">
        <f>IF(VLOOKUP(AN680,βοηθητικό!$J$2:$N$354,3,FALSE)="","",VLOOKUP(AN680,βοηθητικό!$J$2:$N$354,3,FALSE))</f>
        <v>_</v>
      </c>
      <c r="AP680" s="44"/>
      <c r="AQ680" s="5" t="s">
        <v>16</v>
      </c>
      <c r="AR680" s="46" t="str">
        <f>IF(VLOOKUP(AQ680,βοηθητικό!$J$2:$N$354,3,FALSE)="","",VLOOKUP(AQ680,βοηθητικό!$J$2:$N$354,3,FALSE))</f>
        <v>_</v>
      </c>
      <c r="AS680" s="47"/>
      <c r="AT680" s="4" t="s">
        <v>16</v>
      </c>
      <c r="AU680" s="43" t="str">
        <f>IF(VLOOKUP(AT680,βοηθητικό!$J$2:$N$354,3,FALSE)="","",VLOOKUP(AT680,βοηθητικό!$J$2:$N$354,3,FALSE))</f>
        <v>_</v>
      </c>
      <c r="AV680" s="44"/>
      <c r="AW680" s="5" t="s">
        <v>16</v>
      </c>
      <c r="AX680" s="46" t="str">
        <f>IF(VLOOKUP(AW680,βοηθητικό!$J$2:$N$354,3,FALSE)="","",VLOOKUP(AW680,βοηθητικό!$J$2:$N$354,3,FALSE))</f>
        <v>_</v>
      </c>
      <c r="AY680" s="47"/>
      <c r="AZ680" s="4" t="s">
        <v>16</v>
      </c>
      <c r="BA680" s="43" t="str">
        <f>IF(VLOOKUP(AZ680,βοηθητικό!$J$2:$N$354,3,FALSE)="","",VLOOKUP(AZ680,βοηθητικό!$J$2:$N$354,3,FALSE))</f>
        <v>_</v>
      </c>
      <c r="BB680" s="44"/>
      <c r="BC680" s="45" t="s">
        <v>16</v>
      </c>
      <c r="BD680" s="46" t="str">
        <f>IF(VLOOKUP(BC680,βοηθητικό!$J$2:$N$354,3,FALSE)="","",VLOOKUP(BC680,βοηθητικό!$J$2:$N$354,3,FALSE))</f>
        <v>_</v>
      </c>
      <c r="BE680" s="47"/>
      <c r="BF680" s="42" t="s">
        <v>16</v>
      </c>
      <c r="BG680" s="43" t="str">
        <f>IF(VLOOKUP(BF680,βοηθητικό!$J$2:$N$354,3,FALSE)="","",VLOOKUP(BF680,βοηθητικό!$J$2:$N$354,3,FALSE))</f>
        <v>_</v>
      </c>
      <c r="BH680" s="44"/>
      <c r="BI680" s="45" t="s">
        <v>16</v>
      </c>
      <c r="BJ680" s="46" t="str">
        <f>IF(VLOOKUP(BI680,βοηθητικό!$J$2:$N$354,3,FALSE)="","",VLOOKUP(BI680,βοηθητικό!$J$2:$N$354,3,FALSE))</f>
        <v>_</v>
      </c>
      <c r="BK680" s="47"/>
      <c r="BL680" s="42" t="s">
        <v>16</v>
      </c>
      <c r="BM680" s="43" t="str">
        <f>IF(VLOOKUP(BL680,βοηθητικό!$J$2:$N$354,3,FALSE)="","",VLOOKUP(BL680,βοηθητικό!$J$2:$N$354,3,FALSE))</f>
        <v>_</v>
      </c>
      <c r="BN680" s="44"/>
      <c r="BO680" s="45" t="s">
        <v>16</v>
      </c>
      <c r="BP680" s="46" t="str">
        <f>IF(VLOOKUP(BO680,βοηθητικό!$J$2:$N$354,3,FALSE)="","",VLOOKUP(BO680,βοηθητικό!$J$2:$N$354,3,FALSE))</f>
        <v>_</v>
      </c>
      <c r="BQ680" s="47"/>
      <c r="BR680" s="42" t="s">
        <v>16</v>
      </c>
      <c r="BS680" s="43" t="str">
        <f>IF(VLOOKUP(BR680,βοηθητικό!$J$2:$N$354,3,FALSE)="","",VLOOKUP(BR680,βοηθητικό!$J$2:$N$354,3,FALSE))</f>
        <v>_</v>
      </c>
      <c r="BT680" s="44"/>
      <c r="BU680" s="45" t="s">
        <v>16</v>
      </c>
      <c r="BV680" s="46" t="str">
        <f>IF(VLOOKUP(BU680,βοηθητικό!$J$2:$N$354,3,FALSE)="","",VLOOKUP(BU680,βοηθητικό!$J$2:$N$354,3,FALSE))</f>
        <v>_</v>
      </c>
      <c r="BW680" s="47"/>
      <c r="BX680" s="42" t="s">
        <v>16</v>
      </c>
      <c r="BY680" s="43" t="str">
        <f>IF(VLOOKUP(BX680,βοηθητικό!$J$2:$N$354,3,FALSE)="","",VLOOKUP(BX680,βοηθητικό!$J$2:$N$354,3,FALSE))</f>
        <v>_</v>
      </c>
      <c r="BZ680" s="44"/>
      <c r="CA680" s="45" t="s">
        <v>16</v>
      </c>
      <c r="CB680" s="46" t="str">
        <f>IF(VLOOKUP(CA680,βοηθητικό!$J$2:$N$354,3,FALSE)="","",VLOOKUP(CA680,βοηθητικό!$J$2:$N$354,3,FALSE))</f>
        <v>_</v>
      </c>
      <c r="CC680" s="47"/>
      <c r="CD680" s="42" t="s">
        <v>16</v>
      </c>
      <c r="CE680" s="43" t="str">
        <f>IF(VLOOKUP(CD680,βοηθητικό!$J$2:$N$354,3,FALSE)="","",VLOOKUP(CD680,βοηθητικό!$J$2:$N$354,3,FALSE))</f>
        <v>_</v>
      </c>
      <c r="CF680" s="44"/>
      <c r="CG680" s="45" t="s">
        <v>16</v>
      </c>
      <c r="CH680" s="46" t="str">
        <f>IF(VLOOKUP(CG680,βοηθητικό!$J$2:$N$354,3,FALSE)="","",VLOOKUP(CG680,βοηθητικό!$J$2:$N$354,3,FALSE))</f>
        <v>_</v>
      </c>
      <c r="CI680" s="47"/>
      <c r="CJ680" s="42" t="s">
        <v>16</v>
      </c>
      <c r="CK680" s="43" t="str">
        <f>IF(VLOOKUP(CJ680,βοηθητικό!$J$2:$N$354,3,FALSE)="","",VLOOKUP(CJ680,βοηθητικό!$J$2:$N$354,3,FALSE))</f>
        <v>_</v>
      </c>
      <c r="CL680" s="44"/>
      <c r="CM680" s="45" t="s">
        <v>16</v>
      </c>
      <c r="CN680" s="46" t="str">
        <f>IF(VLOOKUP(CM680,βοηθητικό!$J$2:$N$354,3,FALSE)="","",VLOOKUP(CM680,βοηθητικό!$J$2:$N$354,3,FALSE))</f>
        <v>_</v>
      </c>
      <c r="CO680" s="47"/>
      <c r="CP680" s="42" t="s">
        <v>16</v>
      </c>
      <c r="CQ680" s="43" t="str">
        <f>IF(VLOOKUP(CP680,βοηθητικό!$J$2:$N$354,3,FALSE)="","",VLOOKUP(CP680,βοηθητικό!$J$2:$N$354,3,FALSE))</f>
        <v>_</v>
      </c>
      <c r="CR680" s="44"/>
      <c r="CS680" s="45" t="s">
        <v>16</v>
      </c>
      <c r="CT680" s="46" t="str">
        <f>IF(VLOOKUP(CS680,βοηθητικό!$J$2:$N$354,3,FALSE)="","",VLOOKUP(CS680,βοηθητικό!$J$2:$N$354,3,FALSE))</f>
        <v>_</v>
      </c>
      <c r="CU680" s="47"/>
    </row>
    <row r="681" spans="1:99" x14ac:dyDescent="0.25">
      <c r="A681" s="37">
        <f>--SUBTOTAL(3,$B$3:B680)</f>
        <v>198</v>
      </c>
      <c r="B681" s="2"/>
      <c r="C681" s="3"/>
      <c r="D681" s="55" t="s">
        <v>18</v>
      </c>
      <c r="E681" s="38" t="s">
        <v>16</v>
      </c>
      <c r="F681" s="38"/>
      <c r="G681" s="39" t="str">
        <f t="shared" si="32"/>
        <v>__</v>
      </c>
      <c r="H681" s="40" t="str">
        <f t="shared" si="33"/>
        <v>FALSE</v>
      </c>
      <c r="I681" s="41">
        <f t="shared" si="34"/>
        <v>0</v>
      </c>
      <c r="J681" s="4" t="s">
        <v>16</v>
      </c>
      <c r="K681" s="43" t="str">
        <f>IF(VLOOKUP(J681,βοηθητικό!$J$2:$N$354,3,FALSE)="","",VLOOKUP(J681,βοηθητικό!$J$2:$N$354,3,FALSE))</f>
        <v>_</v>
      </c>
      <c r="L681" s="44"/>
      <c r="M681" s="5" t="s">
        <v>16</v>
      </c>
      <c r="N681" s="46" t="str">
        <f>IF(VLOOKUP(M681,βοηθητικό!$J$2:$N$354,3,FALSE)="","",VLOOKUP(M681,βοηθητικό!$J$2:$N$354,3,FALSE))</f>
        <v>_</v>
      </c>
      <c r="O681" s="47"/>
      <c r="P681" s="4" t="s">
        <v>16</v>
      </c>
      <c r="Q681" s="43" t="str">
        <f>IF(VLOOKUP(P681,βοηθητικό!$J$2:$N$354,3,FALSE)="","",VLOOKUP(P681,βοηθητικό!$J$2:$N$354,3,FALSE))</f>
        <v>_</v>
      </c>
      <c r="R681" s="44"/>
      <c r="S681" s="5" t="s">
        <v>16</v>
      </c>
      <c r="T681" s="46" t="str">
        <f>IF(VLOOKUP(S681,βοηθητικό!$J$2:$N$354,3,FALSE)="","",VLOOKUP(S681,βοηθητικό!$J$2:$N$354,3,FALSE))</f>
        <v>_</v>
      </c>
      <c r="U681" s="47"/>
      <c r="V681" s="4" t="s">
        <v>16</v>
      </c>
      <c r="W681" s="43" t="str">
        <f>IF(VLOOKUP(V681,βοηθητικό!$J$2:$N$354,3,FALSE)="","",VLOOKUP(V681,βοηθητικό!$J$2:$N$354,3,FALSE))</f>
        <v>_</v>
      </c>
      <c r="X681" s="44"/>
      <c r="Y681" s="5" t="s">
        <v>16</v>
      </c>
      <c r="Z681" s="46" t="str">
        <f>IF(VLOOKUP(Y681,βοηθητικό!$J$2:$N$354,3,FALSE)="","",VLOOKUP(Y681,βοηθητικό!$J$2:$N$354,3,FALSE))</f>
        <v>_</v>
      </c>
      <c r="AA681" s="47"/>
      <c r="AB681" s="4" t="s">
        <v>16</v>
      </c>
      <c r="AC681" s="43" t="str">
        <f>IF(VLOOKUP(AB681,βοηθητικό!$J$2:$N$354,3,FALSE)="","",VLOOKUP(AB681,βοηθητικό!$J$2:$N$354,3,FALSE))</f>
        <v>_</v>
      </c>
      <c r="AD681" s="44"/>
      <c r="AE681" s="5" t="s">
        <v>16</v>
      </c>
      <c r="AF681" s="46" t="str">
        <f>IF(VLOOKUP(AE681,βοηθητικό!$J$2:$N$354,3,FALSE)="","",VLOOKUP(AE681,βοηθητικό!$J$2:$N$354,3,FALSE))</f>
        <v>_</v>
      </c>
      <c r="AG681" s="47"/>
      <c r="AH681" s="4" t="s">
        <v>16</v>
      </c>
      <c r="AI681" s="43" t="str">
        <f>IF(VLOOKUP(AH681,βοηθητικό!$J$2:$N$354,3,FALSE)="","",VLOOKUP(AH681,βοηθητικό!$J$2:$N$354,3,FALSE))</f>
        <v>_</v>
      </c>
      <c r="AJ681" s="44"/>
      <c r="AK681" s="5" t="s">
        <v>16</v>
      </c>
      <c r="AL681" s="46" t="str">
        <f>IF(VLOOKUP(AK681,βοηθητικό!$J$2:$N$354,3,FALSE)="","",VLOOKUP(AK681,βοηθητικό!$J$2:$N$354,3,FALSE))</f>
        <v>_</v>
      </c>
      <c r="AM681" s="47"/>
      <c r="AN681" s="4" t="s">
        <v>16</v>
      </c>
      <c r="AO681" s="43" t="str">
        <f>IF(VLOOKUP(AN681,βοηθητικό!$J$2:$N$354,3,FALSE)="","",VLOOKUP(AN681,βοηθητικό!$J$2:$N$354,3,FALSE))</f>
        <v>_</v>
      </c>
      <c r="AP681" s="44"/>
      <c r="AQ681" s="5" t="s">
        <v>16</v>
      </c>
      <c r="AR681" s="46" t="str">
        <f>IF(VLOOKUP(AQ681,βοηθητικό!$J$2:$N$354,3,FALSE)="","",VLOOKUP(AQ681,βοηθητικό!$J$2:$N$354,3,FALSE))</f>
        <v>_</v>
      </c>
      <c r="AS681" s="47"/>
      <c r="AT681" s="4" t="s">
        <v>16</v>
      </c>
      <c r="AU681" s="43" t="str">
        <f>IF(VLOOKUP(AT681,βοηθητικό!$J$2:$N$354,3,FALSE)="","",VLOOKUP(AT681,βοηθητικό!$J$2:$N$354,3,FALSE))</f>
        <v>_</v>
      </c>
      <c r="AV681" s="44"/>
      <c r="AW681" s="5" t="s">
        <v>16</v>
      </c>
      <c r="AX681" s="46" t="str">
        <f>IF(VLOOKUP(AW681,βοηθητικό!$J$2:$N$354,3,FALSE)="","",VLOOKUP(AW681,βοηθητικό!$J$2:$N$354,3,FALSE))</f>
        <v>_</v>
      </c>
      <c r="AY681" s="47"/>
      <c r="AZ681" s="4" t="s">
        <v>16</v>
      </c>
      <c r="BA681" s="43" t="str">
        <f>IF(VLOOKUP(AZ681,βοηθητικό!$J$2:$N$354,3,FALSE)="","",VLOOKUP(AZ681,βοηθητικό!$J$2:$N$354,3,FALSE))</f>
        <v>_</v>
      </c>
      <c r="BB681" s="44"/>
      <c r="BC681" s="45" t="s">
        <v>16</v>
      </c>
      <c r="BD681" s="46" t="str">
        <f>IF(VLOOKUP(BC681,βοηθητικό!$J$2:$N$354,3,FALSE)="","",VLOOKUP(BC681,βοηθητικό!$J$2:$N$354,3,FALSE))</f>
        <v>_</v>
      </c>
      <c r="BE681" s="47"/>
      <c r="BF681" s="42" t="s">
        <v>16</v>
      </c>
      <c r="BG681" s="43" t="str">
        <f>IF(VLOOKUP(BF681,βοηθητικό!$J$2:$N$354,3,FALSE)="","",VLOOKUP(BF681,βοηθητικό!$J$2:$N$354,3,FALSE))</f>
        <v>_</v>
      </c>
      <c r="BH681" s="44"/>
      <c r="BI681" s="45" t="s">
        <v>16</v>
      </c>
      <c r="BJ681" s="46" t="str">
        <f>IF(VLOOKUP(BI681,βοηθητικό!$J$2:$N$354,3,FALSE)="","",VLOOKUP(BI681,βοηθητικό!$J$2:$N$354,3,FALSE))</f>
        <v>_</v>
      </c>
      <c r="BK681" s="47"/>
      <c r="BL681" s="42" t="s">
        <v>16</v>
      </c>
      <c r="BM681" s="43" t="str">
        <f>IF(VLOOKUP(BL681,βοηθητικό!$J$2:$N$354,3,FALSE)="","",VLOOKUP(BL681,βοηθητικό!$J$2:$N$354,3,FALSE))</f>
        <v>_</v>
      </c>
      <c r="BN681" s="44"/>
      <c r="BO681" s="45" t="s">
        <v>16</v>
      </c>
      <c r="BP681" s="46" t="str">
        <f>IF(VLOOKUP(BO681,βοηθητικό!$J$2:$N$354,3,FALSE)="","",VLOOKUP(BO681,βοηθητικό!$J$2:$N$354,3,FALSE))</f>
        <v>_</v>
      </c>
      <c r="BQ681" s="47"/>
      <c r="BR681" s="42" t="s">
        <v>16</v>
      </c>
      <c r="BS681" s="43" t="str">
        <f>IF(VLOOKUP(BR681,βοηθητικό!$J$2:$N$354,3,FALSE)="","",VLOOKUP(BR681,βοηθητικό!$J$2:$N$354,3,FALSE))</f>
        <v>_</v>
      </c>
      <c r="BT681" s="44"/>
      <c r="BU681" s="45" t="s">
        <v>16</v>
      </c>
      <c r="BV681" s="46" t="str">
        <f>IF(VLOOKUP(BU681,βοηθητικό!$J$2:$N$354,3,FALSE)="","",VLOOKUP(BU681,βοηθητικό!$J$2:$N$354,3,FALSE))</f>
        <v>_</v>
      </c>
      <c r="BW681" s="47"/>
      <c r="BX681" s="42" t="s">
        <v>16</v>
      </c>
      <c r="BY681" s="43" t="str">
        <f>IF(VLOOKUP(BX681,βοηθητικό!$J$2:$N$354,3,FALSE)="","",VLOOKUP(BX681,βοηθητικό!$J$2:$N$354,3,FALSE))</f>
        <v>_</v>
      </c>
      <c r="BZ681" s="44"/>
      <c r="CA681" s="45" t="s">
        <v>16</v>
      </c>
      <c r="CB681" s="46" t="str">
        <f>IF(VLOOKUP(CA681,βοηθητικό!$J$2:$N$354,3,FALSE)="","",VLOOKUP(CA681,βοηθητικό!$J$2:$N$354,3,FALSE))</f>
        <v>_</v>
      </c>
      <c r="CC681" s="47"/>
      <c r="CD681" s="42" t="s">
        <v>16</v>
      </c>
      <c r="CE681" s="43" t="str">
        <f>IF(VLOOKUP(CD681,βοηθητικό!$J$2:$N$354,3,FALSE)="","",VLOOKUP(CD681,βοηθητικό!$J$2:$N$354,3,FALSE))</f>
        <v>_</v>
      </c>
      <c r="CF681" s="44"/>
      <c r="CG681" s="45" t="s">
        <v>16</v>
      </c>
      <c r="CH681" s="46" t="str">
        <f>IF(VLOOKUP(CG681,βοηθητικό!$J$2:$N$354,3,FALSE)="","",VLOOKUP(CG681,βοηθητικό!$J$2:$N$354,3,FALSE))</f>
        <v>_</v>
      </c>
      <c r="CI681" s="47"/>
      <c r="CJ681" s="42" t="s">
        <v>16</v>
      </c>
      <c r="CK681" s="43" t="str">
        <f>IF(VLOOKUP(CJ681,βοηθητικό!$J$2:$N$354,3,FALSE)="","",VLOOKUP(CJ681,βοηθητικό!$J$2:$N$354,3,FALSE))</f>
        <v>_</v>
      </c>
      <c r="CL681" s="44"/>
      <c r="CM681" s="45" t="s">
        <v>16</v>
      </c>
      <c r="CN681" s="46" t="str">
        <f>IF(VLOOKUP(CM681,βοηθητικό!$J$2:$N$354,3,FALSE)="","",VLOOKUP(CM681,βοηθητικό!$J$2:$N$354,3,FALSE))</f>
        <v>_</v>
      </c>
      <c r="CO681" s="47"/>
      <c r="CP681" s="42" t="s">
        <v>16</v>
      </c>
      <c r="CQ681" s="43" t="str">
        <f>IF(VLOOKUP(CP681,βοηθητικό!$J$2:$N$354,3,FALSE)="","",VLOOKUP(CP681,βοηθητικό!$J$2:$N$354,3,FALSE))</f>
        <v>_</v>
      </c>
      <c r="CR681" s="44"/>
      <c r="CS681" s="45" t="s">
        <v>16</v>
      </c>
      <c r="CT681" s="46" t="str">
        <f>IF(VLOOKUP(CS681,βοηθητικό!$J$2:$N$354,3,FALSE)="","",VLOOKUP(CS681,βοηθητικό!$J$2:$N$354,3,FALSE))</f>
        <v>_</v>
      </c>
      <c r="CU681" s="47"/>
    </row>
    <row r="682" spans="1:99" x14ac:dyDescent="0.25">
      <c r="A682" s="37">
        <f>--SUBTOTAL(3,$B$3:B681)</f>
        <v>198</v>
      </c>
      <c r="B682" s="2"/>
      <c r="C682" s="3"/>
      <c r="D682" s="55" t="s">
        <v>18</v>
      </c>
      <c r="E682" s="38" t="s">
        <v>16</v>
      </c>
      <c r="F682" s="38"/>
      <c r="G682" s="39" t="str">
        <f t="shared" si="32"/>
        <v>__</v>
      </c>
      <c r="H682" s="40" t="str">
        <f t="shared" si="33"/>
        <v>FALSE</v>
      </c>
      <c r="I682" s="41">
        <f t="shared" si="34"/>
        <v>0</v>
      </c>
      <c r="J682" s="4" t="s">
        <v>16</v>
      </c>
      <c r="K682" s="43" t="str">
        <f>IF(VLOOKUP(J682,βοηθητικό!$J$2:$N$354,3,FALSE)="","",VLOOKUP(J682,βοηθητικό!$J$2:$N$354,3,FALSE))</f>
        <v>_</v>
      </c>
      <c r="L682" s="44"/>
      <c r="M682" s="5" t="s">
        <v>16</v>
      </c>
      <c r="N682" s="46" t="str">
        <f>IF(VLOOKUP(M682,βοηθητικό!$J$2:$N$354,3,FALSE)="","",VLOOKUP(M682,βοηθητικό!$J$2:$N$354,3,FALSE))</f>
        <v>_</v>
      </c>
      <c r="O682" s="47"/>
      <c r="P682" s="4" t="s">
        <v>16</v>
      </c>
      <c r="Q682" s="43" t="str">
        <f>IF(VLOOKUP(P682,βοηθητικό!$J$2:$N$354,3,FALSE)="","",VLOOKUP(P682,βοηθητικό!$J$2:$N$354,3,FALSE))</f>
        <v>_</v>
      </c>
      <c r="R682" s="44"/>
      <c r="S682" s="5" t="s">
        <v>16</v>
      </c>
      <c r="T682" s="46" t="str">
        <f>IF(VLOOKUP(S682,βοηθητικό!$J$2:$N$354,3,FALSE)="","",VLOOKUP(S682,βοηθητικό!$J$2:$N$354,3,FALSE))</f>
        <v>_</v>
      </c>
      <c r="U682" s="47"/>
      <c r="V682" s="4" t="s">
        <v>16</v>
      </c>
      <c r="W682" s="43" t="str">
        <f>IF(VLOOKUP(V682,βοηθητικό!$J$2:$N$354,3,FALSE)="","",VLOOKUP(V682,βοηθητικό!$J$2:$N$354,3,FALSE))</f>
        <v>_</v>
      </c>
      <c r="X682" s="44"/>
      <c r="Y682" s="5" t="s">
        <v>16</v>
      </c>
      <c r="Z682" s="46" t="str">
        <f>IF(VLOOKUP(Y682,βοηθητικό!$J$2:$N$354,3,FALSE)="","",VLOOKUP(Y682,βοηθητικό!$J$2:$N$354,3,FALSE))</f>
        <v>_</v>
      </c>
      <c r="AA682" s="47"/>
      <c r="AB682" s="4" t="s">
        <v>16</v>
      </c>
      <c r="AC682" s="43" t="str">
        <f>IF(VLOOKUP(AB682,βοηθητικό!$J$2:$N$354,3,FALSE)="","",VLOOKUP(AB682,βοηθητικό!$J$2:$N$354,3,FALSE))</f>
        <v>_</v>
      </c>
      <c r="AD682" s="44"/>
      <c r="AE682" s="5" t="s">
        <v>16</v>
      </c>
      <c r="AF682" s="46" t="str">
        <f>IF(VLOOKUP(AE682,βοηθητικό!$J$2:$N$354,3,FALSE)="","",VLOOKUP(AE682,βοηθητικό!$J$2:$N$354,3,FALSE))</f>
        <v>_</v>
      </c>
      <c r="AG682" s="47"/>
      <c r="AH682" s="4" t="s">
        <v>16</v>
      </c>
      <c r="AI682" s="43" t="str">
        <f>IF(VLOOKUP(AH682,βοηθητικό!$J$2:$N$354,3,FALSE)="","",VLOOKUP(AH682,βοηθητικό!$J$2:$N$354,3,FALSE))</f>
        <v>_</v>
      </c>
      <c r="AJ682" s="44"/>
      <c r="AK682" s="5" t="s">
        <v>16</v>
      </c>
      <c r="AL682" s="46" t="str">
        <f>IF(VLOOKUP(AK682,βοηθητικό!$J$2:$N$354,3,FALSE)="","",VLOOKUP(AK682,βοηθητικό!$J$2:$N$354,3,FALSE))</f>
        <v>_</v>
      </c>
      <c r="AM682" s="47"/>
      <c r="AN682" s="4" t="s">
        <v>16</v>
      </c>
      <c r="AO682" s="43" t="str">
        <f>IF(VLOOKUP(AN682,βοηθητικό!$J$2:$N$354,3,FALSE)="","",VLOOKUP(AN682,βοηθητικό!$J$2:$N$354,3,FALSE))</f>
        <v>_</v>
      </c>
      <c r="AP682" s="44"/>
      <c r="AQ682" s="5" t="s">
        <v>16</v>
      </c>
      <c r="AR682" s="46" t="str">
        <f>IF(VLOOKUP(AQ682,βοηθητικό!$J$2:$N$354,3,FALSE)="","",VLOOKUP(AQ682,βοηθητικό!$J$2:$N$354,3,FALSE))</f>
        <v>_</v>
      </c>
      <c r="AS682" s="47"/>
      <c r="AT682" s="4" t="s">
        <v>16</v>
      </c>
      <c r="AU682" s="43" t="str">
        <f>IF(VLOOKUP(AT682,βοηθητικό!$J$2:$N$354,3,FALSE)="","",VLOOKUP(AT682,βοηθητικό!$J$2:$N$354,3,FALSE))</f>
        <v>_</v>
      </c>
      <c r="AV682" s="44"/>
      <c r="AW682" s="5" t="s">
        <v>16</v>
      </c>
      <c r="AX682" s="46" t="str">
        <f>IF(VLOOKUP(AW682,βοηθητικό!$J$2:$N$354,3,FALSE)="","",VLOOKUP(AW682,βοηθητικό!$J$2:$N$354,3,FALSE))</f>
        <v>_</v>
      </c>
      <c r="AY682" s="47"/>
      <c r="AZ682" s="4" t="s">
        <v>16</v>
      </c>
      <c r="BA682" s="43" t="str">
        <f>IF(VLOOKUP(AZ682,βοηθητικό!$J$2:$N$354,3,FALSE)="","",VLOOKUP(AZ682,βοηθητικό!$J$2:$N$354,3,FALSE))</f>
        <v>_</v>
      </c>
      <c r="BB682" s="44"/>
      <c r="BC682" s="45" t="s">
        <v>16</v>
      </c>
      <c r="BD682" s="46" t="str">
        <f>IF(VLOOKUP(BC682,βοηθητικό!$J$2:$N$354,3,FALSE)="","",VLOOKUP(BC682,βοηθητικό!$J$2:$N$354,3,FALSE))</f>
        <v>_</v>
      </c>
      <c r="BE682" s="47"/>
      <c r="BF682" s="42" t="s">
        <v>16</v>
      </c>
      <c r="BG682" s="43" t="str">
        <f>IF(VLOOKUP(BF682,βοηθητικό!$J$2:$N$354,3,FALSE)="","",VLOOKUP(BF682,βοηθητικό!$J$2:$N$354,3,FALSE))</f>
        <v>_</v>
      </c>
      <c r="BH682" s="44"/>
      <c r="BI682" s="45" t="s">
        <v>16</v>
      </c>
      <c r="BJ682" s="46" t="str">
        <f>IF(VLOOKUP(BI682,βοηθητικό!$J$2:$N$354,3,FALSE)="","",VLOOKUP(BI682,βοηθητικό!$J$2:$N$354,3,FALSE))</f>
        <v>_</v>
      </c>
      <c r="BK682" s="47"/>
      <c r="BL682" s="42" t="s">
        <v>16</v>
      </c>
      <c r="BM682" s="43" t="str">
        <f>IF(VLOOKUP(BL682,βοηθητικό!$J$2:$N$354,3,FALSE)="","",VLOOKUP(BL682,βοηθητικό!$J$2:$N$354,3,FALSE))</f>
        <v>_</v>
      </c>
      <c r="BN682" s="44"/>
      <c r="BO682" s="45" t="s">
        <v>16</v>
      </c>
      <c r="BP682" s="46" t="str">
        <f>IF(VLOOKUP(BO682,βοηθητικό!$J$2:$N$354,3,FALSE)="","",VLOOKUP(BO682,βοηθητικό!$J$2:$N$354,3,FALSE))</f>
        <v>_</v>
      </c>
      <c r="BQ682" s="47"/>
      <c r="BR682" s="42" t="s">
        <v>16</v>
      </c>
      <c r="BS682" s="43" t="str">
        <f>IF(VLOOKUP(BR682,βοηθητικό!$J$2:$N$354,3,FALSE)="","",VLOOKUP(BR682,βοηθητικό!$J$2:$N$354,3,FALSE))</f>
        <v>_</v>
      </c>
      <c r="BT682" s="44"/>
      <c r="BU682" s="45" t="s">
        <v>16</v>
      </c>
      <c r="BV682" s="46" t="str">
        <f>IF(VLOOKUP(BU682,βοηθητικό!$J$2:$N$354,3,FALSE)="","",VLOOKUP(BU682,βοηθητικό!$J$2:$N$354,3,FALSE))</f>
        <v>_</v>
      </c>
      <c r="BW682" s="47"/>
      <c r="BX682" s="42" t="s">
        <v>16</v>
      </c>
      <c r="BY682" s="43" t="str">
        <f>IF(VLOOKUP(BX682,βοηθητικό!$J$2:$N$354,3,FALSE)="","",VLOOKUP(BX682,βοηθητικό!$J$2:$N$354,3,FALSE))</f>
        <v>_</v>
      </c>
      <c r="BZ682" s="44"/>
      <c r="CA682" s="45" t="s">
        <v>16</v>
      </c>
      <c r="CB682" s="46" t="str">
        <f>IF(VLOOKUP(CA682,βοηθητικό!$J$2:$N$354,3,FALSE)="","",VLOOKUP(CA682,βοηθητικό!$J$2:$N$354,3,FALSE))</f>
        <v>_</v>
      </c>
      <c r="CC682" s="47"/>
      <c r="CD682" s="42" t="s">
        <v>16</v>
      </c>
      <c r="CE682" s="43" t="str">
        <f>IF(VLOOKUP(CD682,βοηθητικό!$J$2:$N$354,3,FALSE)="","",VLOOKUP(CD682,βοηθητικό!$J$2:$N$354,3,FALSE))</f>
        <v>_</v>
      </c>
      <c r="CF682" s="44"/>
      <c r="CG682" s="45" t="s">
        <v>16</v>
      </c>
      <c r="CH682" s="46" t="str">
        <f>IF(VLOOKUP(CG682,βοηθητικό!$J$2:$N$354,3,FALSE)="","",VLOOKUP(CG682,βοηθητικό!$J$2:$N$354,3,FALSE))</f>
        <v>_</v>
      </c>
      <c r="CI682" s="47"/>
      <c r="CJ682" s="42" t="s">
        <v>16</v>
      </c>
      <c r="CK682" s="43" t="str">
        <f>IF(VLOOKUP(CJ682,βοηθητικό!$J$2:$N$354,3,FALSE)="","",VLOOKUP(CJ682,βοηθητικό!$J$2:$N$354,3,FALSE))</f>
        <v>_</v>
      </c>
      <c r="CL682" s="44"/>
      <c r="CM682" s="45" t="s">
        <v>16</v>
      </c>
      <c r="CN682" s="46" t="str">
        <f>IF(VLOOKUP(CM682,βοηθητικό!$J$2:$N$354,3,FALSE)="","",VLOOKUP(CM682,βοηθητικό!$J$2:$N$354,3,FALSE))</f>
        <v>_</v>
      </c>
      <c r="CO682" s="47"/>
      <c r="CP682" s="42" t="s">
        <v>16</v>
      </c>
      <c r="CQ682" s="43" t="str">
        <f>IF(VLOOKUP(CP682,βοηθητικό!$J$2:$N$354,3,FALSE)="","",VLOOKUP(CP682,βοηθητικό!$J$2:$N$354,3,FALSE))</f>
        <v>_</v>
      </c>
      <c r="CR682" s="44"/>
      <c r="CS682" s="45" t="s">
        <v>16</v>
      </c>
      <c r="CT682" s="46" t="str">
        <f>IF(VLOOKUP(CS682,βοηθητικό!$J$2:$N$354,3,FALSE)="","",VLOOKUP(CS682,βοηθητικό!$J$2:$N$354,3,FALSE))</f>
        <v>_</v>
      </c>
      <c r="CU682" s="47"/>
    </row>
    <row r="683" spans="1:99" x14ac:dyDescent="0.25">
      <c r="A683" s="37">
        <f>--SUBTOTAL(3,$B$3:B682)</f>
        <v>198</v>
      </c>
      <c r="B683" s="2"/>
      <c r="C683" s="3"/>
      <c r="D683" s="55" t="s">
        <v>18</v>
      </c>
      <c r="E683" s="38" t="s">
        <v>16</v>
      </c>
      <c r="F683" s="38"/>
      <c r="G683" s="39" t="str">
        <f t="shared" si="32"/>
        <v>__</v>
      </c>
      <c r="H683" s="40" t="str">
        <f t="shared" si="33"/>
        <v>FALSE</v>
      </c>
      <c r="I683" s="41">
        <f t="shared" si="34"/>
        <v>0</v>
      </c>
      <c r="J683" s="4" t="s">
        <v>16</v>
      </c>
      <c r="K683" s="43" t="str">
        <f>IF(VLOOKUP(J683,βοηθητικό!$J$2:$N$354,3,FALSE)="","",VLOOKUP(J683,βοηθητικό!$J$2:$N$354,3,FALSE))</f>
        <v>_</v>
      </c>
      <c r="L683" s="44"/>
      <c r="M683" s="5" t="s">
        <v>16</v>
      </c>
      <c r="N683" s="46" t="str">
        <f>IF(VLOOKUP(M683,βοηθητικό!$J$2:$N$354,3,FALSE)="","",VLOOKUP(M683,βοηθητικό!$J$2:$N$354,3,FALSE))</f>
        <v>_</v>
      </c>
      <c r="O683" s="47"/>
      <c r="P683" s="4" t="s">
        <v>16</v>
      </c>
      <c r="Q683" s="43" t="str">
        <f>IF(VLOOKUP(P683,βοηθητικό!$J$2:$N$354,3,FALSE)="","",VLOOKUP(P683,βοηθητικό!$J$2:$N$354,3,FALSE))</f>
        <v>_</v>
      </c>
      <c r="R683" s="44"/>
      <c r="S683" s="5" t="s">
        <v>16</v>
      </c>
      <c r="T683" s="46" t="str">
        <f>IF(VLOOKUP(S683,βοηθητικό!$J$2:$N$354,3,FALSE)="","",VLOOKUP(S683,βοηθητικό!$J$2:$N$354,3,FALSE))</f>
        <v>_</v>
      </c>
      <c r="U683" s="47"/>
      <c r="V683" s="4" t="s">
        <v>16</v>
      </c>
      <c r="W683" s="43" t="str">
        <f>IF(VLOOKUP(V683,βοηθητικό!$J$2:$N$354,3,FALSE)="","",VLOOKUP(V683,βοηθητικό!$J$2:$N$354,3,FALSE))</f>
        <v>_</v>
      </c>
      <c r="X683" s="44"/>
      <c r="Y683" s="5" t="s">
        <v>16</v>
      </c>
      <c r="Z683" s="46" t="str">
        <f>IF(VLOOKUP(Y683,βοηθητικό!$J$2:$N$354,3,FALSE)="","",VLOOKUP(Y683,βοηθητικό!$J$2:$N$354,3,FALSE))</f>
        <v>_</v>
      </c>
      <c r="AA683" s="47"/>
      <c r="AB683" s="4" t="s">
        <v>16</v>
      </c>
      <c r="AC683" s="43" t="str">
        <f>IF(VLOOKUP(AB683,βοηθητικό!$J$2:$N$354,3,FALSE)="","",VLOOKUP(AB683,βοηθητικό!$J$2:$N$354,3,FALSE))</f>
        <v>_</v>
      </c>
      <c r="AD683" s="44"/>
      <c r="AE683" s="5" t="s">
        <v>16</v>
      </c>
      <c r="AF683" s="46" t="str">
        <f>IF(VLOOKUP(AE683,βοηθητικό!$J$2:$N$354,3,FALSE)="","",VLOOKUP(AE683,βοηθητικό!$J$2:$N$354,3,FALSE))</f>
        <v>_</v>
      </c>
      <c r="AG683" s="47"/>
      <c r="AH683" s="4" t="s">
        <v>16</v>
      </c>
      <c r="AI683" s="43" t="str">
        <f>IF(VLOOKUP(AH683,βοηθητικό!$J$2:$N$354,3,FALSE)="","",VLOOKUP(AH683,βοηθητικό!$J$2:$N$354,3,FALSE))</f>
        <v>_</v>
      </c>
      <c r="AJ683" s="44"/>
      <c r="AK683" s="5" t="s">
        <v>16</v>
      </c>
      <c r="AL683" s="46" t="str">
        <f>IF(VLOOKUP(AK683,βοηθητικό!$J$2:$N$354,3,FALSE)="","",VLOOKUP(AK683,βοηθητικό!$J$2:$N$354,3,FALSE))</f>
        <v>_</v>
      </c>
      <c r="AM683" s="47"/>
      <c r="AN683" s="4" t="s">
        <v>16</v>
      </c>
      <c r="AO683" s="43" t="str">
        <f>IF(VLOOKUP(AN683,βοηθητικό!$J$2:$N$354,3,FALSE)="","",VLOOKUP(AN683,βοηθητικό!$J$2:$N$354,3,FALSE))</f>
        <v>_</v>
      </c>
      <c r="AP683" s="44"/>
      <c r="AQ683" s="5" t="s">
        <v>16</v>
      </c>
      <c r="AR683" s="46" t="str">
        <f>IF(VLOOKUP(AQ683,βοηθητικό!$J$2:$N$354,3,FALSE)="","",VLOOKUP(AQ683,βοηθητικό!$J$2:$N$354,3,FALSE))</f>
        <v>_</v>
      </c>
      <c r="AS683" s="47"/>
      <c r="AT683" s="4" t="s">
        <v>16</v>
      </c>
      <c r="AU683" s="43" t="str">
        <f>IF(VLOOKUP(AT683,βοηθητικό!$J$2:$N$354,3,FALSE)="","",VLOOKUP(AT683,βοηθητικό!$J$2:$N$354,3,FALSE))</f>
        <v>_</v>
      </c>
      <c r="AV683" s="44"/>
      <c r="AW683" s="5" t="s">
        <v>16</v>
      </c>
      <c r="AX683" s="46" t="str">
        <f>IF(VLOOKUP(AW683,βοηθητικό!$J$2:$N$354,3,FALSE)="","",VLOOKUP(AW683,βοηθητικό!$J$2:$N$354,3,FALSE))</f>
        <v>_</v>
      </c>
      <c r="AY683" s="47"/>
      <c r="AZ683" s="4" t="s">
        <v>16</v>
      </c>
      <c r="BA683" s="43" t="str">
        <f>IF(VLOOKUP(AZ683,βοηθητικό!$J$2:$N$354,3,FALSE)="","",VLOOKUP(AZ683,βοηθητικό!$J$2:$N$354,3,FALSE))</f>
        <v>_</v>
      </c>
      <c r="BB683" s="44"/>
      <c r="BC683" s="45" t="s">
        <v>16</v>
      </c>
      <c r="BD683" s="46" t="str">
        <f>IF(VLOOKUP(BC683,βοηθητικό!$J$2:$N$354,3,FALSE)="","",VLOOKUP(BC683,βοηθητικό!$J$2:$N$354,3,FALSE))</f>
        <v>_</v>
      </c>
      <c r="BE683" s="47"/>
      <c r="BF683" s="42" t="s">
        <v>16</v>
      </c>
      <c r="BG683" s="43" t="str">
        <f>IF(VLOOKUP(BF683,βοηθητικό!$J$2:$N$354,3,FALSE)="","",VLOOKUP(BF683,βοηθητικό!$J$2:$N$354,3,FALSE))</f>
        <v>_</v>
      </c>
      <c r="BH683" s="44"/>
      <c r="BI683" s="45" t="s">
        <v>16</v>
      </c>
      <c r="BJ683" s="46" t="str">
        <f>IF(VLOOKUP(BI683,βοηθητικό!$J$2:$N$354,3,FALSE)="","",VLOOKUP(BI683,βοηθητικό!$J$2:$N$354,3,FALSE))</f>
        <v>_</v>
      </c>
      <c r="BK683" s="47"/>
      <c r="BL683" s="42" t="s">
        <v>16</v>
      </c>
      <c r="BM683" s="43" t="str">
        <f>IF(VLOOKUP(BL683,βοηθητικό!$J$2:$N$354,3,FALSE)="","",VLOOKUP(BL683,βοηθητικό!$J$2:$N$354,3,FALSE))</f>
        <v>_</v>
      </c>
      <c r="BN683" s="44"/>
      <c r="BO683" s="45" t="s">
        <v>16</v>
      </c>
      <c r="BP683" s="46" t="str">
        <f>IF(VLOOKUP(BO683,βοηθητικό!$J$2:$N$354,3,FALSE)="","",VLOOKUP(BO683,βοηθητικό!$J$2:$N$354,3,FALSE))</f>
        <v>_</v>
      </c>
      <c r="BQ683" s="47"/>
      <c r="BR683" s="42" t="s">
        <v>16</v>
      </c>
      <c r="BS683" s="43" t="str">
        <f>IF(VLOOKUP(BR683,βοηθητικό!$J$2:$N$354,3,FALSE)="","",VLOOKUP(BR683,βοηθητικό!$J$2:$N$354,3,FALSE))</f>
        <v>_</v>
      </c>
      <c r="BT683" s="44"/>
      <c r="BU683" s="45" t="s">
        <v>16</v>
      </c>
      <c r="BV683" s="46" t="str">
        <f>IF(VLOOKUP(BU683,βοηθητικό!$J$2:$N$354,3,FALSE)="","",VLOOKUP(BU683,βοηθητικό!$J$2:$N$354,3,FALSE))</f>
        <v>_</v>
      </c>
      <c r="BW683" s="47"/>
      <c r="BX683" s="42" t="s">
        <v>16</v>
      </c>
      <c r="BY683" s="43" t="str">
        <f>IF(VLOOKUP(BX683,βοηθητικό!$J$2:$N$354,3,FALSE)="","",VLOOKUP(BX683,βοηθητικό!$J$2:$N$354,3,FALSE))</f>
        <v>_</v>
      </c>
      <c r="BZ683" s="44"/>
      <c r="CA683" s="45" t="s">
        <v>16</v>
      </c>
      <c r="CB683" s="46" t="str">
        <f>IF(VLOOKUP(CA683,βοηθητικό!$J$2:$N$354,3,FALSE)="","",VLOOKUP(CA683,βοηθητικό!$J$2:$N$354,3,FALSE))</f>
        <v>_</v>
      </c>
      <c r="CC683" s="47"/>
      <c r="CD683" s="42" t="s">
        <v>16</v>
      </c>
      <c r="CE683" s="43" t="str">
        <f>IF(VLOOKUP(CD683,βοηθητικό!$J$2:$N$354,3,FALSE)="","",VLOOKUP(CD683,βοηθητικό!$J$2:$N$354,3,FALSE))</f>
        <v>_</v>
      </c>
      <c r="CF683" s="44"/>
      <c r="CG683" s="45" t="s">
        <v>16</v>
      </c>
      <c r="CH683" s="46" t="str">
        <f>IF(VLOOKUP(CG683,βοηθητικό!$J$2:$N$354,3,FALSE)="","",VLOOKUP(CG683,βοηθητικό!$J$2:$N$354,3,FALSE))</f>
        <v>_</v>
      </c>
      <c r="CI683" s="47"/>
      <c r="CJ683" s="42" t="s">
        <v>16</v>
      </c>
      <c r="CK683" s="43" t="str">
        <f>IF(VLOOKUP(CJ683,βοηθητικό!$J$2:$N$354,3,FALSE)="","",VLOOKUP(CJ683,βοηθητικό!$J$2:$N$354,3,FALSE))</f>
        <v>_</v>
      </c>
      <c r="CL683" s="44"/>
      <c r="CM683" s="45" t="s">
        <v>16</v>
      </c>
      <c r="CN683" s="46" t="str">
        <f>IF(VLOOKUP(CM683,βοηθητικό!$J$2:$N$354,3,FALSE)="","",VLOOKUP(CM683,βοηθητικό!$J$2:$N$354,3,FALSE))</f>
        <v>_</v>
      </c>
      <c r="CO683" s="47"/>
      <c r="CP683" s="42" t="s">
        <v>16</v>
      </c>
      <c r="CQ683" s="43" t="str">
        <f>IF(VLOOKUP(CP683,βοηθητικό!$J$2:$N$354,3,FALSE)="","",VLOOKUP(CP683,βοηθητικό!$J$2:$N$354,3,FALSE))</f>
        <v>_</v>
      </c>
      <c r="CR683" s="44"/>
      <c r="CS683" s="45" t="s">
        <v>16</v>
      </c>
      <c r="CT683" s="46" t="str">
        <f>IF(VLOOKUP(CS683,βοηθητικό!$J$2:$N$354,3,FALSE)="","",VLOOKUP(CS683,βοηθητικό!$J$2:$N$354,3,FALSE))</f>
        <v>_</v>
      </c>
      <c r="CU683" s="47"/>
    </row>
    <row r="684" spans="1:99" x14ac:dyDescent="0.25">
      <c r="A684" s="37">
        <f>--SUBTOTAL(3,$B$3:B683)</f>
        <v>198</v>
      </c>
      <c r="B684" s="2"/>
      <c r="C684" s="3"/>
      <c r="D684" s="55" t="s">
        <v>18</v>
      </c>
      <c r="E684" s="38" t="s">
        <v>16</v>
      </c>
      <c r="F684" s="38"/>
      <c r="G684" s="39" t="str">
        <f t="shared" si="32"/>
        <v>__</v>
      </c>
      <c r="H684" s="40" t="str">
        <f t="shared" si="33"/>
        <v>FALSE</v>
      </c>
      <c r="I684" s="41">
        <f t="shared" si="34"/>
        <v>0</v>
      </c>
      <c r="J684" s="4" t="s">
        <v>16</v>
      </c>
      <c r="K684" s="43" t="str">
        <f>IF(VLOOKUP(J684,βοηθητικό!$J$2:$N$354,3,FALSE)="","",VLOOKUP(J684,βοηθητικό!$J$2:$N$354,3,FALSE))</f>
        <v>_</v>
      </c>
      <c r="L684" s="44"/>
      <c r="M684" s="5" t="s">
        <v>16</v>
      </c>
      <c r="N684" s="46" t="str">
        <f>IF(VLOOKUP(M684,βοηθητικό!$J$2:$N$354,3,FALSE)="","",VLOOKUP(M684,βοηθητικό!$J$2:$N$354,3,FALSE))</f>
        <v>_</v>
      </c>
      <c r="O684" s="47"/>
      <c r="P684" s="4" t="s">
        <v>16</v>
      </c>
      <c r="Q684" s="43" t="str">
        <f>IF(VLOOKUP(P684,βοηθητικό!$J$2:$N$354,3,FALSE)="","",VLOOKUP(P684,βοηθητικό!$J$2:$N$354,3,FALSE))</f>
        <v>_</v>
      </c>
      <c r="R684" s="44"/>
      <c r="S684" s="5" t="s">
        <v>16</v>
      </c>
      <c r="T684" s="46" t="str">
        <f>IF(VLOOKUP(S684,βοηθητικό!$J$2:$N$354,3,FALSE)="","",VLOOKUP(S684,βοηθητικό!$J$2:$N$354,3,FALSE))</f>
        <v>_</v>
      </c>
      <c r="U684" s="47"/>
      <c r="V684" s="4" t="s">
        <v>16</v>
      </c>
      <c r="W684" s="43" t="str">
        <f>IF(VLOOKUP(V684,βοηθητικό!$J$2:$N$354,3,FALSE)="","",VLOOKUP(V684,βοηθητικό!$J$2:$N$354,3,FALSE))</f>
        <v>_</v>
      </c>
      <c r="X684" s="44"/>
      <c r="Y684" s="5" t="s">
        <v>16</v>
      </c>
      <c r="Z684" s="46" t="str">
        <f>IF(VLOOKUP(Y684,βοηθητικό!$J$2:$N$354,3,FALSE)="","",VLOOKUP(Y684,βοηθητικό!$J$2:$N$354,3,FALSE))</f>
        <v>_</v>
      </c>
      <c r="AA684" s="47"/>
      <c r="AB684" s="4" t="s">
        <v>16</v>
      </c>
      <c r="AC684" s="43" t="str">
        <f>IF(VLOOKUP(AB684,βοηθητικό!$J$2:$N$354,3,FALSE)="","",VLOOKUP(AB684,βοηθητικό!$J$2:$N$354,3,FALSE))</f>
        <v>_</v>
      </c>
      <c r="AD684" s="44"/>
      <c r="AE684" s="5" t="s">
        <v>16</v>
      </c>
      <c r="AF684" s="46" t="str">
        <f>IF(VLOOKUP(AE684,βοηθητικό!$J$2:$N$354,3,FALSE)="","",VLOOKUP(AE684,βοηθητικό!$J$2:$N$354,3,FALSE))</f>
        <v>_</v>
      </c>
      <c r="AG684" s="47"/>
      <c r="AH684" s="4" t="s">
        <v>16</v>
      </c>
      <c r="AI684" s="43" t="str">
        <f>IF(VLOOKUP(AH684,βοηθητικό!$J$2:$N$354,3,FALSE)="","",VLOOKUP(AH684,βοηθητικό!$J$2:$N$354,3,FALSE))</f>
        <v>_</v>
      </c>
      <c r="AJ684" s="44"/>
      <c r="AK684" s="5" t="s">
        <v>16</v>
      </c>
      <c r="AL684" s="46" t="str">
        <f>IF(VLOOKUP(AK684,βοηθητικό!$J$2:$N$354,3,FALSE)="","",VLOOKUP(AK684,βοηθητικό!$J$2:$N$354,3,FALSE))</f>
        <v>_</v>
      </c>
      <c r="AM684" s="47"/>
      <c r="AN684" s="4" t="s">
        <v>16</v>
      </c>
      <c r="AO684" s="43" t="str">
        <f>IF(VLOOKUP(AN684,βοηθητικό!$J$2:$N$354,3,FALSE)="","",VLOOKUP(AN684,βοηθητικό!$J$2:$N$354,3,FALSE))</f>
        <v>_</v>
      </c>
      <c r="AP684" s="44"/>
      <c r="AQ684" s="5" t="s">
        <v>16</v>
      </c>
      <c r="AR684" s="46" t="str">
        <f>IF(VLOOKUP(AQ684,βοηθητικό!$J$2:$N$354,3,FALSE)="","",VLOOKUP(AQ684,βοηθητικό!$J$2:$N$354,3,FALSE))</f>
        <v>_</v>
      </c>
      <c r="AS684" s="47"/>
      <c r="AT684" s="4" t="s">
        <v>16</v>
      </c>
      <c r="AU684" s="43" t="str">
        <f>IF(VLOOKUP(AT684,βοηθητικό!$J$2:$N$354,3,FALSE)="","",VLOOKUP(AT684,βοηθητικό!$J$2:$N$354,3,FALSE))</f>
        <v>_</v>
      </c>
      <c r="AV684" s="44"/>
      <c r="AW684" s="5" t="s">
        <v>16</v>
      </c>
      <c r="AX684" s="46" t="str">
        <f>IF(VLOOKUP(AW684,βοηθητικό!$J$2:$N$354,3,FALSE)="","",VLOOKUP(AW684,βοηθητικό!$J$2:$N$354,3,FALSE))</f>
        <v>_</v>
      </c>
      <c r="AY684" s="47"/>
      <c r="AZ684" s="4" t="s">
        <v>16</v>
      </c>
      <c r="BA684" s="43" t="str">
        <f>IF(VLOOKUP(AZ684,βοηθητικό!$J$2:$N$354,3,FALSE)="","",VLOOKUP(AZ684,βοηθητικό!$J$2:$N$354,3,FALSE))</f>
        <v>_</v>
      </c>
      <c r="BB684" s="44"/>
      <c r="BC684" s="45" t="s">
        <v>16</v>
      </c>
      <c r="BD684" s="46" t="str">
        <f>IF(VLOOKUP(BC684,βοηθητικό!$J$2:$N$354,3,FALSE)="","",VLOOKUP(BC684,βοηθητικό!$J$2:$N$354,3,FALSE))</f>
        <v>_</v>
      </c>
      <c r="BE684" s="47"/>
      <c r="BF684" s="42" t="s">
        <v>16</v>
      </c>
      <c r="BG684" s="43" t="str">
        <f>IF(VLOOKUP(BF684,βοηθητικό!$J$2:$N$354,3,FALSE)="","",VLOOKUP(BF684,βοηθητικό!$J$2:$N$354,3,FALSE))</f>
        <v>_</v>
      </c>
      <c r="BH684" s="44"/>
      <c r="BI684" s="45" t="s">
        <v>16</v>
      </c>
      <c r="BJ684" s="46" t="str">
        <f>IF(VLOOKUP(BI684,βοηθητικό!$J$2:$N$354,3,FALSE)="","",VLOOKUP(BI684,βοηθητικό!$J$2:$N$354,3,FALSE))</f>
        <v>_</v>
      </c>
      <c r="BK684" s="47"/>
      <c r="BL684" s="42" t="s">
        <v>16</v>
      </c>
      <c r="BM684" s="43" t="str">
        <f>IF(VLOOKUP(BL684,βοηθητικό!$J$2:$N$354,3,FALSE)="","",VLOOKUP(BL684,βοηθητικό!$J$2:$N$354,3,FALSE))</f>
        <v>_</v>
      </c>
      <c r="BN684" s="44"/>
      <c r="BO684" s="45" t="s">
        <v>16</v>
      </c>
      <c r="BP684" s="46" t="str">
        <f>IF(VLOOKUP(BO684,βοηθητικό!$J$2:$N$354,3,FALSE)="","",VLOOKUP(BO684,βοηθητικό!$J$2:$N$354,3,FALSE))</f>
        <v>_</v>
      </c>
      <c r="BQ684" s="47"/>
      <c r="BR684" s="42" t="s">
        <v>16</v>
      </c>
      <c r="BS684" s="43" t="str">
        <f>IF(VLOOKUP(BR684,βοηθητικό!$J$2:$N$354,3,FALSE)="","",VLOOKUP(BR684,βοηθητικό!$J$2:$N$354,3,FALSE))</f>
        <v>_</v>
      </c>
      <c r="BT684" s="44"/>
      <c r="BU684" s="45" t="s">
        <v>16</v>
      </c>
      <c r="BV684" s="46" t="str">
        <f>IF(VLOOKUP(BU684,βοηθητικό!$J$2:$N$354,3,FALSE)="","",VLOOKUP(BU684,βοηθητικό!$J$2:$N$354,3,FALSE))</f>
        <v>_</v>
      </c>
      <c r="BW684" s="47"/>
      <c r="BX684" s="42" t="s">
        <v>16</v>
      </c>
      <c r="BY684" s="43" t="str">
        <f>IF(VLOOKUP(BX684,βοηθητικό!$J$2:$N$354,3,FALSE)="","",VLOOKUP(BX684,βοηθητικό!$J$2:$N$354,3,FALSE))</f>
        <v>_</v>
      </c>
      <c r="BZ684" s="44"/>
      <c r="CA684" s="45" t="s">
        <v>16</v>
      </c>
      <c r="CB684" s="46" t="str">
        <f>IF(VLOOKUP(CA684,βοηθητικό!$J$2:$N$354,3,FALSE)="","",VLOOKUP(CA684,βοηθητικό!$J$2:$N$354,3,FALSE))</f>
        <v>_</v>
      </c>
      <c r="CC684" s="47"/>
      <c r="CD684" s="42" t="s">
        <v>16</v>
      </c>
      <c r="CE684" s="43" t="str">
        <f>IF(VLOOKUP(CD684,βοηθητικό!$J$2:$N$354,3,FALSE)="","",VLOOKUP(CD684,βοηθητικό!$J$2:$N$354,3,FALSE))</f>
        <v>_</v>
      </c>
      <c r="CF684" s="44"/>
      <c r="CG684" s="45" t="s">
        <v>16</v>
      </c>
      <c r="CH684" s="46" t="str">
        <f>IF(VLOOKUP(CG684,βοηθητικό!$J$2:$N$354,3,FALSE)="","",VLOOKUP(CG684,βοηθητικό!$J$2:$N$354,3,FALSE))</f>
        <v>_</v>
      </c>
      <c r="CI684" s="47"/>
      <c r="CJ684" s="42" t="s">
        <v>16</v>
      </c>
      <c r="CK684" s="43" t="str">
        <f>IF(VLOOKUP(CJ684,βοηθητικό!$J$2:$N$354,3,FALSE)="","",VLOOKUP(CJ684,βοηθητικό!$J$2:$N$354,3,FALSE))</f>
        <v>_</v>
      </c>
      <c r="CL684" s="44"/>
      <c r="CM684" s="45" t="s">
        <v>16</v>
      </c>
      <c r="CN684" s="46" t="str">
        <f>IF(VLOOKUP(CM684,βοηθητικό!$J$2:$N$354,3,FALSE)="","",VLOOKUP(CM684,βοηθητικό!$J$2:$N$354,3,FALSE))</f>
        <v>_</v>
      </c>
      <c r="CO684" s="47"/>
      <c r="CP684" s="42" t="s">
        <v>16</v>
      </c>
      <c r="CQ684" s="43" t="str">
        <f>IF(VLOOKUP(CP684,βοηθητικό!$J$2:$N$354,3,FALSE)="","",VLOOKUP(CP684,βοηθητικό!$J$2:$N$354,3,FALSE))</f>
        <v>_</v>
      </c>
      <c r="CR684" s="44"/>
      <c r="CS684" s="45" t="s">
        <v>16</v>
      </c>
      <c r="CT684" s="46" t="str">
        <f>IF(VLOOKUP(CS684,βοηθητικό!$J$2:$N$354,3,FALSE)="","",VLOOKUP(CS684,βοηθητικό!$J$2:$N$354,3,FALSE))</f>
        <v>_</v>
      </c>
      <c r="CU684" s="47"/>
    </row>
    <row r="685" spans="1:99" x14ac:dyDescent="0.25">
      <c r="A685" s="37">
        <f>--SUBTOTAL(3,$B$3:B684)</f>
        <v>198</v>
      </c>
      <c r="B685" s="2"/>
      <c r="C685" s="3"/>
      <c r="D685" s="55" t="s">
        <v>18</v>
      </c>
      <c r="E685" s="38" t="s">
        <v>16</v>
      </c>
      <c r="F685" s="38"/>
      <c r="G685" s="39" t="str">
        <f t="shared" si="32"/>
        <v>__</v>
      </c>
      <c r="H685" s="40" t="str">
        <f t="shared" si="33"/>
        <v>FALSE</v>
      </c>
      <c r="I685" s="41">
        <f t="shared" si="34"/>
        <v>0</v>
      </c>
      <c r="J685" s="4" t="s">
        <v>16</v>
      </c>
      <c r="K685" s="43" t="str">
        <f>IF(VLOOKUP(J685,βοηθητικό!$J$2:$N$354,3,FALSE)="","",VLOOKUP(J685,βοηθητικό!$J$2:$N$354,3,FALSE))</f>
        <v>_</v>
      </c>
      <c r="L685" s="44"/>
      <c r="M685" s="5" t="s">
        <v>16</v>
      </c>
      <c r="N685" s="46" t="str">
        <f>IF(VLOOKUP(M685,βοηθητικό!$J$2:$N$354,3,FALSE)="","",VLOOKUP(M685,βοηθητικό!$J$2:$N$354,3,FALSE))</f>
        <v>_</v>
      </c>
      <c r="O685" s="47"/>
      <c r="P685" s="4" t="s">
        <v>16</v>
      </c>
      <c r="Q685" s="43" t="str">
        <f>IF(VLOOKUP(P685,βοηθητικό!$J$2:$N$354,3,FALSE)="","",VLOOKUP(P685,βοηθητικό!$J$2:$N$354,3,FALSE))</f>
        <v>_</v>
      </c>
      <c r="R685" s="44"/>
      <c r="S685" s="5" t="s">
        <v>16</v>
      </c>
      <c r="T685" s="46" t="str">
        <f>IF(VLOOKUP(S685,βοηθητικό!$J$2:$N$354,3,FALSE)="","",VLOOKUP(S685,βοηθητικό!$J$2:$N$354,3,FALSE))</f>
        <v>_</v>
      </c>
      <c r="U685" s="47"/>
      <c r="V685" s="4" t="s">
        <v>16</v>
      </c>
      <c r="W685" s="43" t="str">
        <f>IF(VLOOKUP(V685,βοηθητικό!$J$2:$N$354,3,FALSE)="","",VLOOKUP(V685,βοηθητικό!$J$2:$N$354,3,FALSE))</f>
        <v>_</v>
      </c>
      <c r="X685" s="44"/>
      <c r="Y685" s="5" t="s">
        <v>16</v>
      </c>
      <c r="Z685" s="46" t="str">
        <f>IF(VLOOKUP(Y685,βοηθητικό!$J$2:$N$354,3,FALSE)="","",VLOOKUP(Y685,βοηθητικό!$J$2:$N$354,3,FALSE))</f>
        <v>_</v>
      </c>
      <c r="AA685" s="47"/>
      <c r="AB685" s="4" t="s">
        <v>16</v>
      </c>
      <c r="AC685" s="43" t="str">
        <f>IF(VLOOKUP(AB685,βοηθητικό!$J$2:$N$354,3,FALSE)="","",VLOOKUP(AB685,βοηθητικό!$J$2:$N$354,3,FALSE))</f>
        <v>_</v>
      </c>
      <c r="AD685" s="44"/>
      <c r="AE685" s="5" t="s">
        <v>16</v>
      </c>
      <c r="AF685" s="46" t="str">
        <f>IF(VLOOKUP(AE685,βοηθητικό!$J$2:$N$354,3,FALSE)="","",VLOOKUP(AE685,βοηθητικό!$J$2:$N$354,3,FALSE))</f>
        <v>_</v>
      </c>
      <c r="AG685" s="47"/>
      <c r="AH685" s="4" t="s">
        <v>16</v>
      </c>
      <c r="AI685" s="43" t="str">
        <f>IF(VLOOKUP(AH685,βοηθητικό!$J$2:$N$354,3,FALSE)="","",VLOOKUP(AH685,βοηθητικό!$J$2:$N$354,3,FALSE))</f>
        <v>_</v>
      </c>
      <c r="AJ685" s="44"/>
      <c r="AK685" s="5" t="s">
        <v>16</v>
      </c>
      <c r="AL685" s="46" t="str">
        <f>IF(VLOOKUP(AK685,βοηθητικό!$J$2:$N$354,3,FALSE)="","",VLOOKUP(AK685,βοηθητικό!$J$2:$N$354,3,FALSE))</f>
        <v>_</v>
      </c>
      <c r="AM685" s="47"/>
      <c r="AN685" s="4" t="s">
        <v>16</v>
      </c>
      <c r="AO685" s="43" t="str">
        <f>IF(VLOOKUP(AN685,βοηθητικό!$J$2:$N$354,3,FALSE)="","",VLOOKUP(AN685,βοηθητικό!$J$2:$N$354,3,FALSE))</f>
        <v>_</v>
      </c>
      <c r="AP685" s="44"/>
      <c r="AQ685" s="5" t="s">
        <v>16</v>
      </c>
      <c r="AR685" s="46" t="str">
        <f>IF(VLOOKUP(AQ685,βοηθητικό!$J$2:$N$354,3,FALSE)="","",VLOOKUP(AQ685,βοηθητικό!$J$2:$N$354,3,FALSE))</f>
        <v>_</v>
      </c>
      <c r="AS685" s="47"/>
      <c r="AT685" s="4" t="s">
        <v>16</v>
      </c>
      <c r="AU685" s="43" t="str">
        <f>IF(VLOOKUP(AT685,βοηθητικό!$J$2:$N$354,3,FALSE)="","",VLOOKUP(AT685,βοηθητικό!$J$2:$N$354,3,FALSE))</f>
        <v>_</v>
      </c>
      <c r="AV685" s="44"/>
      <c r="AW685" s="5" t="s">
        <v>16</v>
      </c>
      <c r="AX685" s="46" t="str">
        <f>IF(VLOOKUP(AW685,βοηθητικό!$J$2:$N$354,3,FALSE)="","",VLOOKUP(AW685,βοηθητικό!$J$2:$N$354,3,FALSE))</f>
        <v>_</v>
      </c>
      <c r="AY685" s="47"/>
      <c r="AZ685" s="4" t="s">
        <v>16</v>
      </c>
      <c r="BA685" s="43" t="str">
        <f>IF(VLOOKUP(AZ685,βοηθητικό!$J$2:$N$354,3,FALSE)="","",VLOOKUP(AZ685,βοηθητικό!$J$2:$N$354,3,FALSE))</f>
        <v>_</v>
      </c>
      <c r="BB685" s="44"/>
      <c r="BC685" s="45" t="s">
        <v>16</v>
      </c>
      <c r="BD685" s="46" t="str">
        <f>IF(VLOOKUP(BC685,βοηθητικό!$J$2:$N$354,3,FALSE)="","",VLOOKUP(BC685,βοηθητικό!$J$2:$N$354,3,FALSE))</f>
        <v>_</v>
      </c>
      <c r="BE685" s="47"/>
      <c r="BF685" s="42" t="s">
        <v>16</v>
      </c>
      <c r="BG685" s="43" t="str">
        <f>IF(VLOOKUP(BF685,βοηθητικό!$J$2:$N$354,3,FALSE)="","",VLOOKUP(BF685,βοηθητικό!$J$2:$N$354,3,FALSE))</f>
        <v>_</v>
      </c>
      <c r="BH685" s="44"/>
      <c r="BI685" s="45" t="s">
        <v>16</v>
      </c>
      <c r="BJ685" s="46" t="str">
        <f>IF(VLOOKUP(BI685,βοηθητικό!$J$2:$N$354,3,FALSE)="","",VLOOKUP(BI685,βοηθητικό!$J$2:$N$354,3,FALSE))</f>
        <v>_</v>
      </c>
      <c r="BK685" s="47"/>
      <c r="BL685" s="42" t="s">
        <v>16</v>
      </c>
      <c r="BM685" s="43" t="str">
        <f>IF(VLOOKUP(BL685,βοηθητικό!$J$2:$N$354,3,FALSE)="","",VLOOKUP(BL685,βοηθητικό!$J$2:$N$354,3,FALSE))</f>
        <v>_</v>
      </c>
      <c r="BN685" s="44"/>
      <c r="BO685" s="45" t="s">
        <v>16</v>
      </c>
      <c r="BP685" s="46" t="str">
        <f>IF(VLOOKUP(BO685,βοηθητικό!$J$2:$N$354,3,FALSE)="","",VLOOKUP(BO685,βοηθητικό!$J$2:$N$354,3,FALSE))</f>
        <v>_</v>
      </c>
      <c r="BQ685" s="47"/>
      <c r="BR685" s="42" t="s">
        <v>16</v>
      </c>
      <c r="BS685" s="43" t="str">
        <f>IF(VLOOKUP(BR685,βοηθητικό!$J$2:$N$354,3,FALSE)="","",VLOOKUP(BR685,βοηθητικό!$J$2:$N$354,3,FALSE))</f>
        <v>_</v>
      </c>
      <c r="BT685" s="44"/>
      <c r="BU685" s="45" t="s">
        <v>16</v>
      </c>
      <c r="BV685" s="46" t="str">
        <f>IF(VLOOKUP(BU685,βοηθητικό!$J$2:$N$354,3,FALSE)="","",VLOOKUP(BU685,βοηθητικό!$J$2:$N$354,3,FALSE))</f>
        <v>_</v>
      </c>
      <c r="BW685" s="47"/>
      <c r="BX685" s="42" t="s">
        <v>16</v>
      </c>
      <c r="BY685" s="43" t="str">
        <f>IF(VLOOKUP(BX685,βοηθητικό!$J$2:$N$354,3,FALSE)="","",VLOOKUP(BX685,βοηθητικό!$J$2:$N$354,3,FALSE))</f>
        <v>_</v>
      </c>
      <c r="BZ685" s="44"/>
      <c r="CA685" s="45" t="s">
        <v>16</v>
      </c>
      <c r="CB685" s="46" t="str">
        <f>IF(VLOOKUP(CA685,βοηθητικό!$J$2:$N$354,3,FALSE)="","",VLOOKUP(CA685,βοηθητικό!$J$2:$N$354,3,FALSE))</f>
        <v>_</v>
      </c>
      <c r="CC685" s="47"/>
      <c r="CD685" s="42" t="s">
        <v>16</v>
      </c>
      <c r="CE685" s="43" t="str">
        <f>IF(VLOOKUP(CD685,βοηθητικό!$J$2:$N$354,3,FALSE)="","",VLOOKUP(CD685,βοηθητικό!$J$2:$N$354,3,FALSE))</f>
        <v>_</v>
      </c>
      <c r="CF685" s="44"/>
      <c r="CG685" s="45" t="s">
        <v>16</v>
      </c>
      <c r="CH685" s="46" t="str">
        <f>IF(VLOOKUP(CG685,βοηθητικό!$J$2:$N$354,3,FALSE)="","",VLOOKUP(CG685,βοηθητικό!$J$2:$N$354,3,FALSE))</f>
        <v>_</v>
      </c>
      <c r="CI685" s="47"/>
      <c r="CJ685" s="42" t="s">
        <v>16</v>
      </c>
      <c r="CK685" s="43" t="str">
        <f>IF(VLOOKUP(CJ685,βοηθητικό!$J$2:$N$354,3,FALSE)="","",VLOOKUP(CJ685,βοηθητικό!$J$2:$N$354,3,FALSE))</f>
        <v>_</v>
      </c>
      <c r="CL685" s="44"/>
      <c r="CM685" s="45" t="s">
        <v>16</v>
      </c>
      <c r="CN685" s="46" t="str">
        <f>IF(VLOOKUP(CM685,βοηθητικό!$J$2:$N$354,3,FALSE)="","",VLOOKUP(CM685,βοηθητικό!$J$2:$N$354,3,FALSE))</f>
        <v>_</v>
      </c>
      <c r="CO685" s="47"/>
      <c r="CP685" s="42" t="s">
        <v>16</v>
      </c>
      <c r="CQ685" s="43" t="str">
        <f>IF(VLOOKUP(CP685,βοηθητικό!$J$2:$N$354,3,FALSE)="","",VLOOKUP(CP685,βοηθητικό!$J$2:$N$354,3,FALSE))</f>
        <v>_</v>
      </c>
      <c r="CR685" s="44"/>
      <c r="CS685" s="45" t="s">
        <v>16</v>
      </c>
      <c r="CT685" s="46" t="str">
        <f>IF(VLOOKUP(CS685,βοηθητικό!$J$2:$N$354,3,FALSE)="","",VLOOKUP(CS685,βοηθητικό!$J$2:$N$354,3,FALSE))</f>
        <v>_</v>
      </c>
      <c r="CU685" s="47"/>
    </row>
    <row r="686" spans="1:99" x14ac:dyDescent="0.25">
      <c r="A686" s="37">
        <f>--SUBTOTAL(3,$B$3:B685)</f>
        <v>198</v>
      </c>
      <c r="B686" s="2"/>
      <c r="C686" s="3"/>
      <c r="D686" s="55" t="s">
        <v>18</v>
      </c>
      <c r="E686" s="38" t="s">
        <v>16</v>
      </c>
      <c r="F686" s="38"/>
      <c r="G686" s="39" t="str">
        <f t="shared" si="32"/>
        <v>__</v>
      </c>
      <c r="H686" s="40" t="str">
        <f t="shared" si="33"/>
        <v>FALSE</v>
      </c>
      <c r="I686" s="41">
        <f t="shared" si="34"/>
        <v>0</v>
      </c>
      <c r="J686" s="4" t="s">
        <v>16</v>
      </c>
      <c r="K686" s="43" t="str">
        <f>IF(VLOOKUP(J686,βοηθητικό!$J$2:$N$354,3,FALSE)="","",VLOOKUP(J686,βοηθητικό!$J$2:$N$354,3,FALSE))</f>
        <v>_</v>
      </c>
      <c r="L686" s="44"/>
      <c r="M686" s="5" t="s">
        <v>16</v>
      </c>
      <c r="N686" s="46" t="str">
        <f>IF(VLOOKUP(M686,βοηθητικό!$J$2:$N$354,3,FALSE)="","",VLOOKUP(M686,βοηθητικό!$J$2:$N$354,3,FALSE))</f>
        <v>_</v>
      </c>
      <c r="O686" s="47"/>
      <c r="P686" s="4" t="s">
        <v>16</v>
      </c>
      <c r="Q686" s="43" t="str">
        <f>IF(VLOOKUP(P686,βοηθητικό!$J$2:$N$354,3,FALSE)="","",VLOOKUP(P686,βοηθητικό!$J$2:$N$354,3,FALSE))</f>
        <v>_</v>
      </c>
      <c r="R686" s="44"/>
      <c r="S686" s="5" t="s">
        <v>16</v>
      </c>
      <c r="T686" s="46" t="str">
        <f>IF(VLOOKUP(S686,βοηθητικό!$J$2:$N$354,3,FALSE)="","",VLOOKUP(S686,βοηθητικό!$J$2:$N$354,3,FALSE))</f>
        <v>_</v>
      </c>
      <c r="U686" s="47"/>
      <c r="V686" s="4" t="s">
        <v>16</v>
      </c>
      <c r="W686" s="43" t="str">
        <f>IF(VLOOKUP(V686,βοηθητικό!$J$2:$N$354,3,FALSE)="","",VLOOKUP(V686,βοηθητικό!$J$2:$N$354,3,FALSE))</f>
        <v>_</v>
      </c>
      <c r="X686" s="44"/>
      <c r="Y686" s="5" t="s">
        <v>16</v>
      </c>
      <c r="Z686" s="46" t="str">
        <f>IF(VLOOKUP(Y686,βοηθητικό!$J$2:$N$354,3,FALSE)="","",VLOOKUP(Y686,βοηθητικό!$J$2:$N$354,3,FALSE))</f>
        <v>_</v>
      </c>
      <c r="AA686" s="47"/>
      <c r="AB686" s="4" t="s">
        <v>16</v>
      </c>
      <c r="AC686" s="43" t="str">
        <f>IF(VLOOKUP(AB686,βοηθητικό!$J$2:$N$354,3,FALSE)="","",VLOOKUP(AB686,βοηθητικό!$J$2:$N$354,3,FALSE))</f>
        <v>_</v>
      </c>
      <c r="AD686" s="44"/>
      <c r="AE686" s="5" t="s">
        <v>16</v>
      </c>
      <c r="AF686" s="46" t="str">
        <f>IF(VLOOKUP(AE686,βοηθητικό!$J$2:$N$354,3,FALSE)="","",VLOOKUP(AE686,βοηθητικό!$J$2:$N$354,3,FALSE))</f>
        <v>_</v>
      </c>
      <c r="AG686" s="47"/>
      <c r="AH686" s="4" t="s">
        <v>16</v>
      </c>
      <c r="AI686" s="43" t="str">
        <f>IF(VLOOKUP(AH686,βοηθητικό!$J$2:$N$354,3,FALSE)="","",VLOOKUP(AH686,βοηθητικό!$J$2:$N$354,3,FALSE))</f>
        <v>_</v>
      </c>
      <c r="AJ686" s="44"/>
      <c r="AK686" s="5" t="s">
        <v>16</v>
      </c>
      <c r="AL686" s="46" t="str">
        <f>IF(VLOOKUP(AK686,βοηθητικό!$J$2:$N$354,3,FALSE)="","",VLOOKUP(AK686,βοηθητικό!$J$2:$N$354,3,FALSE))</f>
        <v>_</v>
      </c>
      <c r="AM686" s="47"/>
      <c r="AN686" s="4" t="s">
        <v>16</v>
      </c>
      <c r="AO686" s="43" t="str">
        <f>IF(VLOOKUP(AN686,βοηθητικό!$J$2:$N$354,3,FALSE)="","",VLOOKUP(AN686,βοηθητικό!$J$2:$N$354,3,FALSE))</f>
        <v>_</v>
      </c>
      <c r="AP686" s="44"/>
      <c r="AQ686" s="5" t="s">
        <v>16</v>
      </c>
      <c r="AR686" s="46" t="str">
        <f>IF(VLOOKUP(AQ686,βοηθητικό!$J$2:$N$354,3,FALSE)="","",VLOOKUP(AQ686,βοηθητικό!$J$2:$N$354,3,FALSE))</f>
        <v>_</v>
      </c>
      <c r="AS686" s="47"/>
      <c r="AT686" s="4" t="s">
        <v>16</v>
      </c>
      <c r="AU686" s="43" t="str">
        <f>IF(VLOOKUP(AT686,βοηθητικό!$J$2:$N$354,3,FALSE)="","",VLOOKUP(AT686,βοηθητικό!$J$2:$N$354,3,FALSE))</f>
        <v>_</v>
      </c>
      <c r="AV686" s="44"/>
      <c r="AW686" s="5" t="s">
        <v>16</v>
      </c>
      <c r="AX686" s="46" t="str">
        <f>IF(VLOOKUP(AW686,βοηθητικό!$J$2:$N$354,3,FALSE)="","",VLOOKUP(AW686,βοηθητικό!$J$2:$N$354,3,FALSE))</f>
        <v>_</v>
      </c>
      <c r="AY686" s="47"/>
      <c r="AZ686" s="4" t="s">
        <v>16</v>
      </c>
      <c r="BA686" s="43" t="str">
        <f>IF(VLOOKUP(AZ686,βοηθητικό!$J$2:$N$354,3,FALSE)="","",VLOOKUP(AZ686,βοηθητικό!$J$2:$N$354,3,FALSE))</f>
        <v>_</v>
      </c>
      <c r="BB686" s="44"/>
      <c r="BC686" s="45" t="s">
        <v>16</v>
      </c>
      <c r="BD686" s="46" t="str">
        <f>IF(VLOOKUP(BC686,βοηθητικό!$J$2:$N$354,3,FALSE)="","",VLOOKUP(BC686,βοηθητικό!$J$2:$N$354,3,FALSE))</f>
        <v>_</v>
      </c>
      <c r="BE686" s="47"/>
      <c r="BF686" s="42" t="s">
        <v>16</v>
      </c>
      <c r="BG686" s="43" t="str">
        <f>IF(VLOOKUP(BF686,βοηθητικό!$J$2:$N$354,3,FALSE)="","",VLOOKUP(BF686,βοηθητικό!$J$2:$N$354,3,FALSE))</f>
        <v>_</v>
      </c>
      <c r="BH686" s="44"/>
      <c r="BI686" s="45" t="s">
        <v>16</v>
      </c>
      <c r="BJ686" s="46" t="str">
        <f>IF(VLOOKUP(BI686,βοηθητικό!$J$2:$N$354,3,FALSE)="","",VLOOKUP(BI686,βοηθητικό!$J$2:$N$354,3,FALSE))</f>
        <v>_</v>
      </c>
      <c r="BK686" s="47"/>
      <c r="BL686" s="42" t="s">
        <v>16</v>
      </c>
      <c r="BM686" s="43" t="str">
        <f>IF(VLOOKUP(BL686,βοηθητικό!$J$2:$N$354,3,FALSE)="","",VLOOKUP(BL686,βοηθητικό!$J$2:$N$354,3,FALSE))</f>
        <v>_</v>
      </c>
      <c r="BN686" s="44"/>
      <c r="BO686" s="45" t="s">
        <v>16</v>
      </c>
      <c r="BP686" s="46" t="str">
        <f>IF(VLOOKUP(BO686,βοηθητικό!$J$2:$N$354,3,FALSE)="","",VLOOKUP(BO686,βοηθητικό!$J$2:$N$354,3,FALSE))</f>
        <v>_</v>
      </c>
      <c r="BQ686" s="47"/>
      <c r="BR686" s="42" t="s">
        <v>16</v>
      </c>
      <c r="BS686" s="43" t="str">
        <f>IF(VLOOKUP(BR686,βοηθητικό!$J$2:$N$354,3,FALSE)="","",VLOOKUP(BR686,βοηθητικό!$J$2:$N$354,3,FALSE))</f>
        <v>_</v>
      </c>
      <c r="BT686" s="44"/>
      <c r="BU686" s="45" t="s">
        <v>16</v>
      </c>
      <c r="BV686" s="46" t="str">
        <f>IF(VLOOKUP(BU686,βοηθητικό!$J$2:$N$354,3,FALSE)="","",VLOOKUP(BU686,βοηθητικό!$J$2:$N$354,3,FALSE))</f>
        <v>_</v>
      </c>
      <c r="BW686" s="47"/>
      <c r="BX686" s="42" t="s">
        <v>16</v>
      </c>
      <c r="BY686" s="43" t="str">
        <f>IF(VLOOKUP(BX686,βοηθητικό!$J$2:$N$354,3,FALSE)="","",VLOOKUP(BX686,βοηθητικό!$J$2:$N$354,3,FALSE))</f>
        <v>_</v>
      </c>
      <c r="BZ686" s="44"/>
      <c r="CA686" s="45" t="s">
        <v>16</v>
      </c>
      <c r="CB686" s="46" t="str">
        <f>IF(VLOOKUP(CA686,βοηθητικό!$J$2:$N$354,3,FALSE)="","",VLOOKUP(CA686,βοηθητικό!$J$2:$N$354,3,FALSE))</f>
        <v>_</v>
      </c>
      <c r="CC686" s="47"/>
      <c r="CD686" s="42" t="s">
        <v>16</v>
      </c>
      <c r="CE686" s="43" t="str">
        <f>IF(VLOOKUP(CD686,βοηθητικό!$J$2:$N$354,3,FALSE)="","",VLOOKUP(CD686,βοηθητικό!$J$2:$N$354,3,FALSE))</f>
        <v>_</v>
      </c>
      <c r="CF686" s="44"/>
      <c r="CG686" s="45" t="s">
        <v>16</v>
      </c>
      <c r="CH686" s="46" t="str">
        <f>IF(VLOOKUP(CG686,βοηθητικό!$J$2:$N$354,3,FALSE)="","",VLOOKUP(CG686,βοηθητικό!$J$2:$N$354,3,FALSE))</f>
        <v>_</v>
      </c>
      <c r="CI686" s="47"/>
      <c r="CJ686" s="42" t="s">
        <v>16</v>
      </c>
      <c r="CK686" s="43" t="str">
        <f>IF(VLOOKUP(CJ686,βοηθητικό!$J$2:$N$354,3,FALSE)="","",VLOOKUP(CJ686,βοηθητικό!$J$2:$N$354,3,FALSE))</f>
        <v>_</v>
      </c>
      <c r="CL686" s="44"/>
      <c r="CM686" s="45" t="s">
        <v>16</v>
      </c>
      <c r="CN686" s="46" t="str">
        <f>IF(VLOOKUP(CM686,βοηθητικό!$J$2:$N$354,3,FALSE)="","",VLOOKUP(CM686,βοηθητικό!$J$2:$N$354,3,FALSE))</f>
        <v>_</v>
      </c>
      <c r="CO686" s="47"/>
      <c r="CP686" s="42" t="s">
        <v>16</v>
      </c>
      <c r="CQ686" s="43" t="str">
        <f>IF(VLOOKUP(CP686,βοηθητικό!$J$2:$N$354,3,FALSE)="","",VLOOKUP(CP686,βοηθητικό!$J$2:$N$354,3,FALSE))</f>
        <v>_</v>
      </c>
      <c r="CR686" s="44"/>
      <c r="CS686" s="45" t="s">
        <v>16</v>
      </c>
      <c r="CT686" s="46" t="str">
        <f>IF(VLOOKUP(CS686,βοηθητικό!$J$2:$N$354,3,FALSE)="","",VLOOKUP(CS686,βοηθητικό!$J$2:$N$354,3,FALSE))</f>
        <v>_</v>
      </c>
      <c r="CU686" s="47"/>
    </row>
    <row r="687" spans="1:99" x14ac:dyDescent="0.25">
      <c r="A687" s="37">
        <f>--SUBTOTAL(3,$B$3:B686)</f>
        <v>198</v>
      </c>
      <c r="B687" s="2"/>
      <c r="C687" s="3"/>
      <c r="D687" s="55" t="s">
        <v>18</v>
      </c>
      <c r="E687" s="38" t="s">
        <v>16</v>
      </c>
      <c r="F687" s="38"/>
      <c r="G687" s="39" t="str">
        <f t="shared" si="32"/>
        <v>__</v>
      </c>
      <c r="H687" s="40" t="str">
        <f t="shared" si="33"/>
        <v>FALSE</v>
      </c>
      <c r="I687" s="41">
        <f t="shared" si="34"/>
        <v>0</v>
      </c>
      <c r="J687" s="4" t="s">
        <v>16</v>
      </c>
      <c r="K687" s="43" t="str">
        <f>IF(VLOOKUP(J687,βοηθητικό!$J$2:$N$354,3,FALSE)="","",VLOOKUP(J687,βοηθητικό!$J$2:$N$354,3,FALSE))</f>
        <v>_</v>
      </c>
      <c r="L687" s="44"/>
      <c r="M687" s="5" t="s">
        <v>16</v>
      </c>
      <c r="N687" s="46" t="str">
        <f>IF(VLOOKUP(M687,βοηθητικό!$J$2:$N$354,3,FALSE)="","",VLOOKUP(M687,βοηθητικό!$J$2:$N$354,3,FALSE))</f>
        <v>_</v>
      </c>
      <c r="O687" s="47"/>
      <c r="P687" s="4" t="s">
        <v>16</v>
      </c>
      <c r="Q687" s="43" t="str">
        <f>IF(VLOOKUP(P687,βοηθητικό!$J$2:$N$354,3,FALSE)="","",VLOOKUP(P687,βοηθητικό!$J$2:$N$354,3,FALSE))</f>
        <v>_</v>
      </c>
      <c r="R687" s="44"/>
      <c r="S687" s="5" t="s">
        <v>16</v>
      </c>
      <c r="T687" s="46" t="str">
        <f>IF(VLOOKUP(S687,βοηθητικό!$J$2:$N$354,3,FALSE)="","",VLOOKUP(S687,βοηθητικό!$J$2:$N$354,3,FALSE))</f>
        <v>_</v>
      </c>
      <c r="U687" s="47"/>
      <c r="V687" s="4" t="s">
        <v>16</v>
      </c>
      <c r="W687" s="43" t="str">
        <f>IF(VLOOKUP(V687,βοηθητικό!$J$2:$N$354,3,FALSE)="","",VLOOKUP(V687,βοηθητικό!$J$2:$N$354,3,FALSE))</f>
        <v>_</v>
      </c>
      <c r="X687" s="44"/>
      <c r="Y687" s="5" t="s">
        <v>16</v>
      </c>
      <c r="Z687" s="46" t="str">
        <f>IF(VLOOKUP(Y687,βοηθητικό!$J$2:$N$354,3,FALSE)="","",VLOOKUP(Y687,βοηθητικό!$J$2:$N$354,3,FALSE))</f>
        <v>_</v>
      </c>
      <c r="AA687" s="47"/>
      <c r="AB687" s="4" t="s">
        <v>16</v>
      </c>
      <c r="AC687" s="43" t="str">
        <f>IF(VLOOKUP(AB687,βοηθητικό!$J$2:$N$354,3,FALSE)="","",VLOOKUP(AB687,βοηθητικό!$J$2:$N$354,3,FALSE))</f>
        <v>_</v>
      </c>
      <c r="AD687" s="44"/>
      <c r="AE687" s="5" t="s">
        <v>16</v>
      </c>
      <c r="AF687" s="46" t="str">
        <f>IF(VLOOKUP(AE687,βοηθητικό!$J$2:$N$354,3,FALSE)="","",VLOOKUP(AE687,βοηθητικό!$J$2:$N$354,3,FALSE))</f>
        <v>_</v>
      </c>
      <c r="AG687" s="47"/>
      <c r="AH687" s="4" t="s">
        <v>16</v>
      </c>
      <c r="AI687" s="43" t="str">
        <f>IF(VLOOKUP(AH687,βοηθητικό!$J$2:$N$354,3,FALSE)="","",VLOOKUP(AH687,βοηθητικό!$J$2:$N$354,3,FALSE))</f>
        <v>_</v>
      </c>
      <c r="AJ687" s="44"/>
      <c r="AK687" s="5" t="s">
        <v>16</v>
      </c>
      <c r="AL687" s="46" t="str">
        <f>IF(VLOOKUP(AK687,βοηθητικό!$J$2:$N$354,3,FALSE)="","",VLOOKUP(AK687,βοηθητικό!$J$2:$N$354,3,FALSE))</f>
        <v>_</v>
      </c>
      <c r="AM687" s="47"/>
      <c r="AN687" s="4" t="s">
        <v>16</v>
      </c>
      <c r="AO687" s="43" t="str">
        <f>IF(VLOOKUP(AN687,βοηθητικό!$J$2:$N$354,3,FALSE)="","",VLOOKUP(AN687,βοηθητικό!$J$2:$N$354,3,FALSE))</f>
        <v>_</v>
      </c>
      <c r="AP687" s="44"/>
      <c r="AQ687" s="5" t="s">
        <v>16</v>
      </c>
      <c r="AR687" s="46" t="str">
        <f>IF(VLOOKUP(AQ687,βοηθητικό!$J$2:$N$354,3,FALSE)="","",VLOOKUP(AQ687,βοηθητικό!$J$2:$N$354,3,FALSE))</f>
        <v>_</v>
      </c>
      <c r="AS687" s="47"/>
      <c r="AT687" s="4" t="s">
        <v>16</v>
      </c>
      <c r="AU687" s="43" t="str">
        <f>IF(VLOOKUP(AT687,βοηθητικό!$J$2:$N$354,3,FALSE)="","",VLOOKUP(AT687,βοηθητικό!$J$2:$N$354,3,FALSE))</f>
        <v>_</v>
      </c>
      <c r="AV687" s="44"/>
      <c r="AW687" s="5" t="s">
        <v>16</v>
      </c>
      <c r="AX687" s="46" t="str">
        <f>IF(VLOOKUP(AW687,βοηθητικό!$J$2:$N$354,3,FALSE)="","",VLOOKUP(AW687,βοηθητικό!$J$2:$N$354,3,FALSE))</f>
        <v>_</v>
      </c>
      <c r="AY687" s="47"/>
      <c r="AZ687" s="4" t="s">
        <v>16</v>
      </c>
      <c r="BA687" s="43" t="str">
        <f>IF(VLOOKUP(AZ687,βοηθητικό!$J$2:$N$354,3,FALSE)="","",VLOOKUP(AZ687,βοηθητικό!$J$2:$N$354,3,FALSE))</f>
        <v>_</v>
      </c>
      <c r="BB687" s="44"/>
      <c r="BC687" s="45" t="s">
        <v>16</v>
      </c>
      <c r="BD687" s="46" t="str">
        <f>IF(VLOOKUP(BC687,βοηθητικό!$J$2:$N$354,3,FALSE)="","",VLOOKUP(BC687,βοηθητικό!$J$2:$N$354,3,FALSE))</f>
        <v>_</v>
      </c>
      <c r="BE687" s="47"/>
      <c r="BF687" s="42" t="s">
        <v>16</v>
      </c>
      <c r="BG687" s="43" t="str">
        <f>IF(VLOOKUP(BF687,βοηθητικό!$J$2:$N$354,3,FALSE)="","",VLOOKUP(BF687,βοηθητικό!$J$2:$N$354,3,FALSE))</f>
        <v>_</v>
      </c>
      <c r="BH687" s="44"/>
      <c r="BI687" s="45" t="s">
        <v>16</v>
      </c>
      <c r="BJ687" s="46" t="str">
        <f>IF(VLOOKUP(BI687,βοηθητικό!$J$2:$N$354,3,FALSE)="","",VLOOKUP(BI687,βοηθητικό!$J$2:$N$354,3,FALSE))</f>
        <v>_</v>
      </c>
      <c r="BK687" s="47"/>
      <c r="BL687" s="42" t="s">
        <v>16</v>
      </c>
      <c r="BM687" s="43" t="str">
        <f>IF(VLOOKUP(BL687,βοηθητικό!$J$2:$N$354,3,FALSE)="","",VLOOKUP(BL687,βοηθητικό!$J$2:$N$354,3,FALSE))</f>
        <v>_</v>
      </c>
      <c r="BN687" s="44"/>
      <c r="BO687" s="45" t="s">
        <v>16</v>
      </c>
      <c r="BP687" s="46" t="str">
        <f>IF(VLOOKUP(BO687,βοηθητικό!$J$2:$N$354,3,FALSE)="","",VLOOKUP(BO687,βοηθητικό!$J$2:$N$354,3,FALSE))</f>
        <v>_</v>
      </c>
      <c r="BQ687" s="47"/>
      <c r="BR687" s="42" t="s">
        <v>16</v>
      </c>
      <c r="BS687" s="43" t="str">
        <f>IF(VLOOKUP(BR687,βοηθητικό!$J$2:$N$354,3,FALSE)="","",VLOOKUP(BR687,βοηθητικό!$J$2:$N$354,3,FALSE))</f>
        <v>_</v>
      </c>
      <c r="BT687" s="44"/>
      <c r="BU687" s="45" t="s">
        <v>16</v>
      </c>
      <c r="BV687" s="46" t="str">
        <f>IF(VLOOKUP(BU687,βοηθητικό!$J$2:$N$354,3,FALSE)="","",VLOOKUP(BU687,βοηθητικό!$J$2:$N$354,3,FALSE))</f>
        <v>_</v>
      </c>
      <c r="BW687" s="47"/>
      <c r="BX687" s="42" t="s">
        <v>16</v>
      </c>
      <c r="BY687" s="43" t="str">
        <f>IF(VLOOKUP(BX687,βοηθητικό!$J$2:$N$354,3,FALSE)="","",VLOOKUP(BX687,βοηθητικό!$J$2:$N$354,3,FALSE))</f>
        <v>_</v>
      </c>
      <c r="BZ687" s="44"/>
      <c r="CA687" s="45" t="s">
        <v>16</v>
      </c>
      <c r="CB687" s="46" t="str">
        <f>IF(VLOOKUP(CA687,βοηθητικό!$J$2:$N$354,3,FALSE)="","",VLOOKUP(CA687,βοηθητικό!$J$2:$N$354,3,FALSE))</f>
        <v>_</v>
      </c>
      <c r="CC687" s="47"/>
      <c r="CD687" s="42" t="s">
        <v>16</v>
      </c>
      <c r="CE687" s="43" t="str">
        <f>IF(VLOOKUP(CD687,βοηθητικό!$J$2:$N$354,3,FALSE)="","",VLOOKUP(CD687,βοηθητικό!$J$2:$N$354,3,FALSE))</f>
        <v>_</v>
      </c>
      <c r="CF687" s="44"/>
      <c r="CG687" s="45" t="s">
        <v>16</v>
      </c>
      <c r="CH687" s="46" t="str">
        <f>IF(VLOOKUP(CG687,βοηθητικό!$J$2:$N$354,3,FALSE)="","",VLOOKUP(CG687,βοηθητικό!$J$2:$N$354,3,FALSE))</f>
        <v>_</v>
      </c>
      <c r="CI687" s="47"/>
      <c r="CJ687" s="42" t="s">
        <v>16</v>
      </c>
      <c r="CK687" s="43" t="str">
        <f>IF(VLOOKUP(CJ687,βοηθητικό!$J$2:$N$354,3,FALSE)="","",VLOOKUP(CJ687,βοηθητικό!$J$2:$N$354,3,FALSE))</f>
        <v>_</v>
      </c>
      <c r="CL687" s="44"/>
      <c r="CM687" s="45" t="s">
        <v>16</v>
      </c>
      <c r="CN687" s="46" t="str">
        <f>IF(VLOOKUP(CM687,βοηθητικό!$J$2:$N$354,3,FALSE)="","",VLOOKUP(CM687,βοηθητικό!$J$2:$N$354,3,FALSE))</f>
        <v>_</v>
      </c>
      <c r="CO687" s="47"/>
      <c r="CP687" s="42" t="s">
        <v>16</v>
      </c>
      <c r="CQ687" s="43" t="str">
        <f>IF(VLOOKUP(CP687,βοηθητικό!$J$2:$N$354,3,FALSE)="","",VLOOKUP(CP687,βοηθητικό!$J$2:$N$354,3,FALSE))</f>
        <v>_</v>
      </c>
      <c r="CR687" s="44"/>
      <c r="CS687" s="45" t="s">
        <v>16</v>
      </c>
      <c r="CT687" s="46" t="str">
        <f>IF(VLOOKUP(CS687,βοηθητικό!$J$2:$N$354,3,FALSE)="","",VLOOKUP(CS687,βοηθητικό!$J$2:$N$354,3,FALSE))</f>
        <v>_</v>
      </c>
      <c r="CU687" s="47"/>
    </row>
    <row r="688" spans="1:99" x14ac:dyDescent="0.25">
      <c r="A688" s="37">
        <f>--SUBTOTAL(3,$B$3:B687)</f>
        <v>198</v>
      </c>
      <c r="B688" s="2"/>
      <c r="C688" s="3"/>
      <c r="D688" s="55" t="s">
        <v>18</v>
      </c>
      <c r="E688" s="38" t="s">
        <v>16</v>
      </c>
      <c r="F688" s="38"/>
      <c r="G688" s="39" t="str">
        <f t="shared" si="32"/>
        <v>__</v>
      </c>
      <c r="H688" s="40" t="str">
        <f t="shared" si="33"/>
        <v>FALSE</v>
      </c>
      <c r="I688" s="41">
        <f t="shared" si="34"/>
        <v>0</v>
      </c>
      <c r="J688" s="4" t="s">
        <v>16</v>
      </c>
      <c r="K688" s="43" t="str">
        <f>IF(VLOOKUP(J688,βοηθητικό!$J$2:$N$354,3,FALSE)="","",VLOOKUP(J688,βοηθητικό!$J$2:$N$354,3,FALSE))</f>
        <v>_</v>
      </c>
      <c r="L688" s="44"/>
      <c r="M688" s="5" t="s">
        <v>16</v>
      </c>
      <c r="N688" s="46" t="str">
        <f>IF(VLOOKUP(M688,βοηθητικό!$J$2:$N$354,3,FALSE)="","",VLOOKUP(M688,βοηθητικό!$J$2:$N$354,3,FALSE))</f>
        <v>_</v>
      </c>
      <c r="O688" s="47"/>
      <c r="P688" s="4" t="s">
        <v>16</v>
      </c>
      <c r="Q688" s="43" t="str">
        <f>IF(VLOOKUP(P688,βοηθητικό!$J$2:$N$354,3,FALSE)="","",VLOOKUP(P688,βοηθητικό!$J$2:$N$354,3,FALSE))</f>
        <v>_</v>
      </c>
      <c r="R688" s="44"/>
      <c r="S688" s="5" t="s">
        <v>16</v>
      </c>
      <c r="T688" s="46" t="str">
        <f>IF(VLOOKUP(S688,βοηθητικό!$J$2:$N$354,3,FALSE)="","",VLOOKUP(S688,βοηθητικό!$J$2:$N$354,3,FALSE))</f>
        <v>_</v>
      </c>
      <c r="U688" s="47"/>
      <c r="V688" s="4" t="s">
        <v>16</v>
      </c>
      <c r="W688" s="43" t="str">
        <f>IF(VLOOKUP(V688,βοηθητικό!$J$2:$N$354,3,FALSE)="","",VLOOKUP(V688,βοηθητικό!$J$2:$N$354,3,FALSE))</f>
        <v>_</v>
      </c>
      <c r="X688" s="44"/>
      <c r="Y688" s="5" t="s">
        <v>16</v>
      </c>
      <c r="Z688" s="46" t="str">
        <f>IF(VLOOKUP(Y688,βοηθητικό!$J$2:$N$354,3,FALSE)="","",VLOOKUP(Y688,βοηθητικό!$J$2:$N$354,3,FALSE))</f>
        <v>_</v>
      </c>
      <c r="AA688" s="47"/>
      <c r="AB688" s="4" t="s">
        <v>16</v>
      </c>
      <c r="AC688" s="43" t="str">
        <f>IF(VLOOKUP(AB688,βοηθητικό!$J$2:$N$354,3,FALSE)="","",VLOOKUP(AB688,βοηθητικό!$J$2:$N$354,3,FALSE))</f>
        <v>_</v>
      </c>
      <c r="AD688" s="44"/>
      <c r="AE688" s="5" t="s">
        <v>16</v>
      </c>
      <c r="AF688" s="46" t="str">
        <f>IF(VLOOKUP(AE688,βοηθητικό!$J$2:$N$354,3,FALSE)="","",VLOOKUP(AE688,βοηθητικό!$J$2:$N$354,3,FALSE))</f>
        <v>_</v>
      </c>
      <c r="AG688" s="47"/>
      <c r="AH688" s="4" t="s">
        <v>16</v>
      </c>
      <c r="AI688" s="43" t="str">
        <f>IF(VLOOKUP(AH688,βοηθητικό!$J$2:$N$354,3,FALSE)="","",VLOOKUP(AH688,βοηθητικό!$J$2:$N$354,3,FALSE))</f>
        <v>_</v>
      </c>
      <c r="AJ688" s="44"/>
      <c r="AK688" s="5" t="s">
        <v>16</v>
      </c>
      <c r="AL688" s="46" t="str">
        <f>IF(VLOOKUP(AK688,βοηθητικό!$J$2:$N$354,3,FALSE)="","",VLOOKUP(AK688,βοηθητικό!$J$2:$N$354,3,FALSE))</f>
        <v>_</v>
      </c>
      <c r="AM688" s="47"/>
      <c r="AN688" s="4" t="s">
        <v>16</v>
      </c>
      <c r="AO688" s="43" t="str">
        <f>IF(VLOOKUP(AN688,βοηθητικό!$J$2:$N$354,3,FALSE)="","",VLOOKUP(AN688,βοηθητικό!$J$2:$N$354,3,FALSE))</f>
        <v>_</v>
      </c>
      <c r="AP688" s="44"/>
      <c r="AQ688" s="5" t="s">
        <v>16</v>
      </c>
      <c r="AR688" s="46" t="str">
        <f>IF(VLOOKUP(AQ688,βοηθητικό!$J$2:$N$354,3,FALSE)="","",VLOOKUP(AQ688,βοηθητικό!$J$2:$N$354,3,FALSE))</f>
        <v>_</v>
      </c>
      <c r="AS688" s="47"/>
      <c r="AT688" s="4" t="s">
        <v>16</v>
      </c>
      <c r="AU688" s="43" t="str">
        <f>IF(VLOOKUP(AT688,βοηθητικό!$J$2:$N$354,3,FALSE)="","",VLOOKUP(AT688,βοηθητικό!$J$2:$N$354,3,FALSE))</f>
        <v>_</v>
      </c>
      <c r="AV688" s="44"/>
      <c r="AW688" s="5" t="s">
        <v>16</v>
      </c>
      <c r="AX688" s="46" t="str">
        <f>IF(VLOOKUP(AW688,βοηθητικό!$J$2:$N$354,3,FALSE)="","",VLOOKUP(AW688,βοηθητικό!$J$2:$N$354,3,FALSE))</f>
        <v>_</v>
      </c>
      <c r="AY688" s="47"/>
      <c r="AZ688" s="4" t="s">
        <v>16</v>
      </c>
      <c r="BA688" s="43" t="str">
        <f>IF(VLOOKUP(AZ688,βοηθητικό!$J$2:$N$354,3,FALSE)="","",VLOOKUP(AZ688,βοηθητικό!$J$2:$N$354,3,FALSE))</f>
        <v>_</v>
      </c>
      <c r="BB688" s="44"/>
      <c r="BC688" s="45" t="s">
        <v>16</v>
      </c>
      <c r="BD688" s="46" t="str">
        <f>IF(VLOOKUP(BC688,βοηθητικό!$J$2:$N$354,3,FALSE)="","",VLOOKUP(BC688,βοηθητικό!$J$2:$N$354,3,FALSE))</f>
        <v>_</v>
      </c>
      <c r="BE688" s="47"/>
      <c r="BF688" s="42" t="s">
        <v>16</v>
      </c>
      <c r="BG688" s="43" t="str">
        <f>IF(VLOOKUP(BF688,βοηθητικό!$J$2:$N$354,3,FALSE)="","",VLOOKUP(BF688,βοηθητικό!$J$2:$N$354,3,FALSE))</f>
        <v>_</v>
      </c>
      <c r="BH688" s="44"/>
      <c r="BI688" s="45" t="s">
        <v>16</v>
      </c>
      <c r="BJ688" s="46" t="str">
        <f>IF(VLOOKUP(BI688,βοηθητικό!$J$2:$N$354,3,FALSE)="","",VLOOKUP(BI688,βοηθητικό!$J$2:$N$354,3,FALSE))</f>
        <v>_</v>
      </c>
      <c r="BK688" s="47"/>
      <c r="BL688" s="42" t="s">
        <v>16</v>
      </c>
      <c r="BM688" s="43" t="str">
        <f>IF(VLOOKUP(BL688,βοηθητικό!$J$2:$N$354,3,FALSE)="","",VLOOKUP(BL688,βοηθητικό!$J$2:$N$354,3,FALSE))</f>
        <v>_</v>
      </c>
      <c r="BN688" s="44"/>
      <c r="BO688" s="45" t="s">
        <v>16</v>
      </c>
      <c r="BP688" s="46" t="str">
        <f>IF(VLOOKUP(BO688,βοηθητικό!$J$2:$N$354,3,FALSE)="","",VLOOKUP(BO688,βοηθητικό!$J$2:$N$354,3,FALSE))</f>
        <v>_</v>
      </c>
      <c r="BQ688" s="47"/>
      <c r="BR688" s="42" t="s">
        <v>16</v>
      </c>
      <c r="BS688" s="43" t="str">
        <f>IF(VLOOKUP(BR688,βοηθητικό!$J$2:$N$354,3,FALSE)="","",VLOOKUP(BR688,βοηθητικό!$J$2:$N$354,3,FALSE))</f>
        <v>_</v>
      </c>
      <c r="BT688" s="44"/>
      <c r="BU688" s="45" t="s">
        <v>16</v>
      </c>
      <c r="BV688" s="46" t="str">
        <f>IF(VLOOKUP(BU688,βοηθητικό!$J$2:$N$354,3,FALSE)="","",VLOOKUP(BU688,βοηθητικό!$J$2:$N$354,3,FALSE))</f>
        <v>_</v>
      </c>
      <c r="BW688" s="47"/>
      <c r="BX688" s="42" t="s">
        <v>16</v>
      </c>
      <c r="BY688" s="43" t="str">
        <f>IF(VLOOKUP(BX688,βοηθητικό!$J$2:$N$354,3,FALSE)="","",VLOOKUP(BX688,βοηθητικό!$J$2:$N$354,3,FALSE))</f>
        <v>_</v>
      </c>
      <c r="BZ688" s="44"/>
      <c r="CA688" s="45" t="s">
        <v>16</v>
      </c>
      <c r="CB688" s="46" t="str">
        <f>IF(VLOOKUP(CA688,βοηθητικό!$J$2:$N$354,3,FALSE)="","",VLOOKUP(CA688,βοηθητικό!$J$2:$N$354,3,FALSE))</f>
        <v>_</v>
      </c>
      <c r="CC688" s="47"/>
      <c r="CD688" s="42" t="s">
        <v>16</v>
      </c>
      <c r="CE688" s="43" t="str">
        <f>IF(VLOOKUP(CD688,βοηθητικό!$J$2:$N$354,3,FALSE)="","",VLOOKUP(CD688,βοηθητικό!$J$2:$N$354,3,FALSE))</f>
        <v>_</v>
      </c>
      <c r="CF688" s="44"/>
      <c r="CG688" s="45" t="s">
        <v>16</v>
      </c>
      <c r="CH688" s="46" t="str">
        <f>IF(VLOOKUP(CG688,βοηθητικό!$J$2:$N$354,3,FALSE)="","",VLOOKUP(CG688,βοηθητικό!$J$2:$N$354,3,FALSE))</f>
        <v>_</v>
      </c>
      <c r="CI688" s="47"/>
      <c r="CJ688" s="42" t="s">
        <v>16</v>
      </c>
      <c r="CK688" s="43" t="str">
        <f>IF(VLOOKUP(CJ688,βοηθητικό!$J$2:$N$354,3,FALSE)="","",VLOOKUP(CJ688,βοηθητικό!$J$2:$N$354,3,FALSE))</f>
        <v>_</v>
      </c>
      <c r="CL688" s="44"/>
      <c r="CM688" s="45" t="s">
        <v>16</v>
      </c>
      <c r="CN688" s="46" t="str">
        <f>IF(VLOOKUP(CM688,βοηθητικό!$J$2:$N$354,3,FALSE)="","",VLOOKUP(CM688,βοηθητικό!$J$2:$N$354,3,FALSE))</f>
        <v>_</v>
      </c>
      <c r="CO688" s="47"/>
      <c r="CP688" s="42" t="s">
        <v>16</v>
      </c>
      <c r="CQ688" s="43" t="str">
        <f>IF(VLOOKUP(CP688,βοηθητικό!$J$2:$N$354,3,FALSE)="","",VLOOKUP(CP688,βοηθητικό!$J$2:$N$354,3,FALSE))</f>
        <v>_</v>
      </c>
      <c r="CR688" s="44"/>
      <c r="CS688" s="45" t="s">
        <v>16</v>
      </c>
      <c r="CT688" s="46" t="str">
        <f>IF(VLOOKUP(CS688,βοηθητικό!$J$2:$N$354,3,FALSE)="","",VLOOKUP(CS688,βοηθητικό!$J$2:$N$354,3,FALSE))</f>
        <v>_</v>
      </c>
      <c r="CU688" s="47"/>
    </row>
    <row r="689" spans="1:99" x14ac:dyDescent="0.25">
      <c r="A689" s="37">
        <f>--SUBTOTAL(3,$B$3:B688)</f>
        <v>198</v>
      </c>
      <c r="B689" s="2"/>
      <c r="C689" s="3"/>
      <c r="D689" s="55" t="s">
        <v>18</v>
      </c>
      <c r="E689" s="38" t="s">
        <v>16</v>
      </c>
      <c r="F689" s="38"/>
      <c r="G689" s="39" t="str">
        <f t="shared" si="32"/>
        <v>__</v>
      </c>
      <c r="H689" s="40" t="str">
        <f t="shared" si="33"/>
        <v>FALSE</v>
      </c>
      <c r="I689" s="41">
        <f t="shared" si="34"/>
        <v>0</v>
      </c>
      <c r="J689" s="4" t="s">
        <v>16</v>
      </c>
      <c r="K689" s="43" t="str">
        <f>IF(VLOOKUP(J689,βοηθητικό!$J$2:$N$354,3,FALSE)="","",VLOOKUP(J689,βοηθητικό!$J$2:$N$354,3,FALSE))</f>
        <v>_</v>
      </c>
      <c r="L689" s="44"/>
      <c r="M689" s="5" t="s">
        <v>16</v>
      </c>
      <c r="N689" s="46" t="str">
        <f>IF(VLOOKUP(M689,βοηθητικό!$J$2:$N$354,3,FALSE)="","",VLOOKUP(M689,βοηθητικό!$J$2:$N$354,3,FALSE))</f>
        <v>_</v>
      </c>
      <c r="O689" s="47"/>
      <c r="P689" s="4" t="s">
        <v>16</v>
      </c>
      <c r="Q689" s="43" t="str">
        <f>IF(VLOOKUP(P689,βοηθητικό!$J$2:$N$354,3,FALSE)="","",VLOOKUP(P689,βοηθητικό!$J$2:$N$354,3,FALSE))</f>
        <v>_</v>
      </c>
      <c r="R689" s="44"/>
      <c r="S689" s="5" t="s">
        <v>16</v>
      </c>
      <c r="T689" s="46" t="str">
        <f>IF(VLOOKUP(S689,βοηθητικό!$J$2:$N$354,3,FALSE)="","",VLOOKUP(S689,βοηθητικό!$J$2:$N$354,3,FALSE))</f>
        <v>_</v>
      </c>
      <c r="U689" s="47"/>
      <c r="V689" s="4" t="s">
        <v>16</v>
      </c>
      <c r="W689" s="43" t="str">
        <f>IF(VLOOKUP(V689,βοηθητικό!$J$2:$N$354,3,FALSE)="","",VLOOKUP(V689,βοηθητικό!$J$2:$N$354,3,FALSE))</f>
        <v>_</v>
      </c>
      <c r="X689" s="44"/>
      <c r="Y689" s="5" t="s">
        <v>16</v>
      </c>
      <c r="Z689" s="46" t="str">
        <f>IF(VLOOKUP(Y689,βοηθητικό!$J$2:$N$354,3,FALSE)="","",VLOOKUP(Y689,βοηθητικό!$J$2:$N$354,3,FALSE))</f>
        <v>_</v>
      </c>
      <c r="AA689" s="47"/>
      <c r="AB689" s="4" t="s">
        <v>16</v>
      </c>
      <c r="AC689" s="43" t="str">
        <f>IF(VLOOKUP(AB689,βοηθητικό!$J$2:$N$354,3,FALSE)="","",VLOOKUP(AB689,βοηθητικό!$J$2:$N$354,3,FALSE))</f>
        <v>_</v>
      </c>
      <c r="AD689" s="44"/>
      <c r="AE689" s="5" t="s">
        <v>16</v>
      </c>
      <c r="AF689" s="46" t="str">
        <f>IF(VLOOKUP(AE689,βοηθητικό!$J$2:$N$354,3,FALSE)="","",VLOOKUP(AE689,βοηθητικό!$J$2:$N$354,3,FALSE))</f>
        <v>_</v>
      </c>
      <c r="AG689" s="47"/>
      <c r="AH689" s="4" t="s">
        <v>16</v>
      </c>
      <c r="AI689" s="43" t="str">
        <f>IF(VLOOKUP(AH689,βοηθητικό!$J$2:$N$354,3,FALSE)="","",VLOOKUP(AH689,βοηθητικό!$J$2:$N$354,3,FALSE))</f>
        <v>_</v>
      </c>
      <c r="AJ689" s="44"/>
      <c r="AK689" s="5" t="s">
        <v>16</v>
      </c>
      <c r="AL689" s="46" t="str">
        <f>IF(VLOOKUP(AK689,βοηθητικό!$J$2:$N$354,3,FALSE)="","",VLOOKUP(AK689,βοηθητικό!$J$2:$N$354,3,FALSE))</f>
        <v>_</v>
      </c>
      <c r="AM689" s="47"/>
      <c r="AN689" s="4" t="s">
        <v>16</v>
      </c>
      <c r="AO689" s="43" t="str">
        <f>IF(VLOOKUP(AN689,βοηθητικό!$J$2:$N$354,3,FALSE)="","",VLOOKUP(AN689,βοηθητικό!$J$2:$N$354,3,FALSE))</f>
        <v>_</v>
      </c>
      <c r="AP689" s="44"/>
      <c r="AQ689" s="5" t="s">
        <v>16</v>
      </c>
      <c r="AR689" s="46" t="str">
        <f>IF(VLOOKUP(AQ689,βοηθητικό!$J$2:$N$354,3,FALSE)="","",VLOOKUP(AQ689,βοηθητικό!$J$2:$N$354,3,FALSE))</f>
        <v>_</v>
      </c>
      <c r="AS689" s="47"/>
      <c r="AT689" s="4" t="s">
        <v>16</v>
      </c>
      <c r="AU689" s="43" t="str">
        <f>IF(VLOOKUP(AT689,βοηθητικό!$J$2:$N$354,3,FALSE)="","",VLOOKUP(AT689,βοηθητικό!$J$2:$N$354,3,FALSE))</f>
        <v>_</v>
      </c>
      <c r="AV689" s="44"/>
      <c r="AW689" s="5" t="s">
        <v>16</v>
      </c>
      <c r="AX689" s="46" t="str">
        <f>IF(VLOOKUP(AW689,βοηθητικό!$J$2:$N$354,3,FALSE)="","",VLOOKUP(AW689,βοηθητικό!$J$2:$N$354,3,FALSE))</f>
        <v>_</v>
      </c>
      <c r="AY689" s="47"/>
      <c r="AZ689" s="4" t="s">
        <v>16</v>
      </c>
      <c r="BA689" s="43" t="str">
        <f>IF(VLOOKUP(AZ689,βοηθητικό!$J$2:$N$354,3,FALSE)="","",VLOOKUP(AZ689,βοηθητικό!$J$2:$N$354,3,FALSE))</f>
        <v>_</v>
      </c>
      <c r="BB689" s="44"/>
      <c r="BC689" s="45" t="s">
        <v>16</v>
      </c>
      <c r="BD689" s="46" t="str">
        <f>IF(VLOOKUP(BC689,βοηθητικό!$J$2:$N$354,3,FALSE)="","",VLOOKUP(BC689,βοηθητικό!$J$2:$N$354,3,FALSE))</f>
        <v>_</v>
      </c>
      <c r="BE689" s="47"/>
      <c r="BF689" s="42" t="s">
        <v>16</v>
      </c>
      <c r="BG689" s="43" t="str">
        <f>IF(VLOOKUP(BF689,βοηθητικό!$J$2:$N$354,3,FALSE)="","",VLOOKUP(BF689,βοηθητικό!$J$2:$N$354,3,FALSE))</f>
        <v>_</v>
      </c>
      <c r="BH689" s="44"/>
      <c r="BI689" s="45" t="s">
        <v>16</v>
      </c>
      <c r="BJ689" s="46" t="str">
        <f>IF(VLOOKUP(BI689,βοηθητικό!$J$2:$N$354,3,FALSE)="","",VLOOKUP(BI689,βοηθητικό!$J$2:$N$354,3,FALSE))</f>
        <v>_</v>
      </c>
      <c r="BK689" s="47"/>
      <c r="BL689" s="42" t="s">
        <v>16</v>
      </c>
      <c r="BM689" s="43" t="str">
        <f>IF(VLOOKUP(BL689,βοηθητικό!$J$2:$N$354,3,FALSE)="","",VLOOKUP(BL689,βοηθητικό!$J$2:$N$354,3,FALSE))</f>
        <v>_</v>
      </c>
      <c r="BN689" s="44"/>
      <c r="BO689" s="45" t="s">
        <v>16</v>
      </c>
      <c r="BP689" s="46" t="str">
        <f>IF(VLOOKUP(BO689,βοηθητικό!$J$2:$N$354,3,FALSE)="","",VLOOKUP(BO689,βοηθητικό!$J$2:$N$354,3,FALSE))</f>
        <v>_</v>
      </c>
      <c r="BQ689" s="47"/>
      <c r="BR689" s="42" t="s">
        <v>16</v>
      </c>
      <c r="BS689" s="43" t="str">
        <f>IF(VLOOKUP(BR689,βοηθητικό!$J$2:$N$354,3,FALSE)="","",VLOOKUP(BR689,βοηθητικό!$J$2:$N$354,3,FALSE))</f>
        <v>_</v>
      </c>
      <c r="BT689" s="44"/>
      <c r="BU689" s="45" t="s">
        <v>16</v>
      </c>
      <c r="BV689" s="46" t="str">
        <f>IF(VLOOKUP(BU689,βοηθητικό!$J$2:$N$354,3,FALSE)="","",VLOOKUP(BU689,βοηθητικό!$J$2:$N$354,3,FALSE))</f>
        <v>_</v>
      </c>
      <c r="BW689" s="47"/>
      <c r="BX689" s="42" t="s">
        <v>16</v>
      </c>
      <c r="BY689" s="43" t="str">
        <f>IF(VLOOKUP(BX689,βοηθητικό!$J$2:$N$354,3,FALSE)="","",VLOOKUP(BX689,βοηθητικό!$J$2:$N$354,3,FALSE))</f>
        <v>_</v>
      </c>
      <c r="BZ689" s="44"/>
      <c r="CA689" s="45" t="s">
        <v>16</v>
      </c>
      <c r="CB689" s="46" t="str">
        <f>IF(VLOOKUP(CA689,βοηθητικό!$J$2:$N$354,3,FALSE)="","",VLOOKUP(CA689,βοηθητικό!$J$2:$N$354,3,FALSE))</f>
        <v>_</v>
      </c>
      <c r="CC689" s="47"/>
      <c r="CD689" s="42" t="s">
        <v>16</v>
      </c>
      <c r="CE689" s="43" t="str">
        <f>IF(VLOOKUP(CD689,βοηθητικό!$J$2:$N$354,3,FALSE)="","",VLOOKUP(CD689,βοηθητικό!$J$2:$N$354,3,FALSE))</f>
        <v>_</v>
      </c>
      <c r="CF689" s="44"/>
      <c r="CG689" s="45" t="s">
        <v>16</v>
      </c>
      <c r="CH689" s="46" t="str">
        <f>IF(VLOOKUP(CG689,βοηθητικό!$J$2:$N$354,3,FALSE)="","",VLOOKUP(CG689,βοηθητικό!$J$2:$N$354,3,FALSE))</f>
        <v>_</v>
      </c>
      <c r="CI689" s="47"/>
      <c r="CJ689" s="42" t="s">
        <v>16</v>
      </c>
      <c r="CK689" s="43" t="str">
        <f>IF(VLOOKUP(CJ689,βοηθητικό!$J$2:$N$354,3,FALSE)="","",VLOOKUP(CJ689,βοηθητικό!$J$2:$N$354,3,FALSE))</f>
        <v>_</v>
      </c>
      <c r="CL689" s="44"/>
      <c r="CM689" s="45" t="s">
        <v>16</v>
      </c>
      <c r="CN689" s="46" t="str">
        <f>IF(VLOOKUP(CM689,βοηθητικό!$J$2:$N$354,3,FALSE)="","",VLOOKUP(CM689,βοηθητικό!$J$2:$N$354,3,FALSE))</f>
        <v>_</v>
      </c>
      <c r="CO689" s="47"/>
      <c r="CP689" s="42" t="s">
        <v>16</v>
      </c>
      <c r="CQ689" s="43" t="str">
        <f>IF(VLOOKUP(CP689,βοηθητικό!$J$2:$N$354,3,FALSE)="","",VLOOKUP(CP689,βοηθητικό!$J$2:$N$354,3,FALSE))</f>
        <v>_</v>
      </c>
      <c r="CR689" s="44"/>
      <c r="CS689" s="45" t="s">
        <v>16</v>
      </c>
      <c r="CT689" s="46" t="str">
        <f>IF(VLOOKUP(CS689,βοηθητικό!$J$2:$N$354,3,FALSE)="","",VLOOKUP(CS689,βοηθητικό!$J$2:$N$354,3,FALSE))</f>
        <v>_</v>
      </c>
      <c r="CU689" s="47"/>
    </row>
    <row r="690" spans="1:99" x14ac:dyDescent="0.25">
      <c r="A690" s="37">
        <f>--SUBTOTAL(3,$B$3:B689)</f>
        <v>198</v>
      </c>
      <c r="B690" s="2"/>
      <c r="C690" s="3"/>
      <c r="D690" s="55" t="s">
        <v>18</v>
      </c>
      <c r="E690" s="38" t="s">
        <v>16</v>
      </c>
      <c r="F690" s="38"/>
      <c r="G690" s="39" t="str">
        <f t="shared" si="32"/>
        <v>__</v>
      </c>
      <c r="H690" s="40" t="str">
        <f t="shared" si="33"/>
        <v>FALSE</v>
      </c>
      <c r="I690" s="41">
        <f t="shared" si="34"/>
        <v>0</v>
      </c>
      <c r="J690" s="4" t="s">
        <v>16</v>
      </c>
      <c r="K690" s="43" t="str">
        <f>IF(VLOOKUP(J690,βοηθητικό!$J$2:$N$354,3,FALSE)="","",VLOOKUP(J690,βοηθητικό!$J$2:$N$354,3,FALSE))</f>
        <v>_</v>
      </c>
      <c r="L690" s="44"/>
      <c r="M690" s="5" t="s">
        <v>16</v>
      </c>
      <c r="N690" s="46" t="str">
        <f>IF(VLOOKUP(M690,βοηθητικό!$J$2:$N$354,3,FALSE)="","",VLOOKUP(M690,βοηθητικό!$J$2:$N$354,3,FALSE))</f>
        <v>_</v>
      </c>
      <c r="O690" s="47"/>
      <c r="P690" s="4" t="s">
        <v>16</v>
      </c>
      <c r="Q690" s="43" t="str">
        <f>IF(VLOOKUP(P690,βοηθητικό!$J$2:$N$354,3,FALSE)="","",VLOOKUP(P690,βοηθητικό!$J$2:$N$354,3,FALSE))</f>
        <v>_</v>
      </c>
      <c r="R690" s="44"/>
      <c r="S690" s="5" t="s">
        <v>16</v>
      </c>
      <c r="T690" s="46" t="str">
        <f>IF(VLOOKUP(S690,βοηθητικό!$J$2:$N$354,3,FALSE)="","",VLOOKUP(S690,βοηθητικό!$J$2:$N$354,3,FALSE))</f>
        <v>_</v>
      </c>
      <c r="U690" s="47"/>
      <c r="V690" s="4" t="s">
        <v>16</v>
      </c>
      <c r="W690" s="43" t="str">
        <f>IF(VLOOKUP(V690,βοηθητικό!$J$2:$N$354,3,FALSE)="","",VLOOKUP(V690,βοηθητικό!$J$2:$N$354,3,FALSE))</f>
        <v>_</v>
      </c>
      <c r="X690" s="44"/>
      <c r="Y690" s="5" t="s">
        <v>16</v>
      </c>
      <c r="Z690" s="46" t="str">
        <f>IF(VLOOKUP(Y690,βοηθητικό!$J$2:$N$354,3,FALSE)="","",VLOOKUP(Y690,βοηθητικό!$J$2:$N$354,3,FALSE))</f>
        <v>_</v>
      </c>
      <c r="AA690" s="47"/>
      <c r="AB690" s="4" t="s">
        <v>16</v>
      </c>
      <c r="AC690" s="43" t="str">
        <f>IF(VLOOKUP(AB690,βοηθητικό!$J$2:$N$354,3,FALSE)="","",VLOOKUP(AB690,βοηθητικό!$J$2:$N$354,3,FALSE))</f>
        <v>_</v>
      </c>
      <c r="AD690" s="44"/>
      <c r="AE690" s="5" t="s">
        <v>16</v>
      </c>
      <c r="AF690" s="46" t="str">
        <f>IF(VLOOKUP(AE690,βοηθητικό!$J$2:$N$354,3,FALSE)="","",VLOOKUP(AE690,βοηθητικό!$J$2:$N$354,3,FALSE))</f>
        <v>_</v>
      </c>
      <c r="AG690" s="47"/>
      <c r="AH690" s="4" t="s">
        <v>16</v>
      </c>
      <c r="AI690" s="43" t="str">
        <f>IF(VLOOKUP(AH690,βοηθητικό!$J$2:$N$354,3,FALSE)="","",VLOOKUP(AH690,βοηθητικό!$J$2:$N$354,3,FALSE))</f>
        <v>_</v>
      </c>
      <c r="AJ690" s="44"/>
      <c r="AK690" s="5" t="s">
        <v>16</v>
      </c>
      <c r="AL690" s="46" t="str">
        <f>IF(VLOOKUP(AK690,βοηθητικό!$J$2:$N$354,3,FALSE)="","",VLOOKUP(AK690,βοηθητικό!$J$2:$N$354,3,FALSE))</f>
        <v>_</v>
      </c>
      <c r="AM690" s="47"/>
      <c r="AN690" s="4" t="s">
        <v>16</v>
      </c>
      <c r="AO690" s="43" t="str">
        <f>IF(VLOOKUP(AN690,βοηθητικό!$J$2:$N$354,3,FALSE)="","",VLOOKUP(AN690,βοηθητικό!$J$2:$N$354,3,FALSE))</f>
        <v>_</v>
      </c>
      <c r="AP690" s="44"/>
      <c r="AQ690" s="5" t="s">
        <v>16</v>
      </c>
      <c r="AR690" s="46" t="str">
        <f>IF(VLOOKUP(AQ690,βοηθητικό!$J$2:$N$354,3,FALSE)="","",VLOOKUP(AQ690,βοηθητικό!$J$2:$N$354,3,FALSE))</f>
        <v>_</v>
      </c>
      <c r="AS690" s="47"/>
      <c r="AT690" s="4" t="s">
        <v>16</v>
      </c>
      <c r="AU690" s="43" t="str">
        <f>IF(VLOOKUP(AT690,βοηθητικό!$J$2:$N$354,3,FALSE)="","",VLOOKUP(AT690,βοηθητικό!$J$2:$N$354,3,FALSE))</f>
        <v>_</v>
      </c>
      <c r="AV690" s="44"/>
      <c r="AW690" s="5" t="s">
        <v>16</v>
      </c>
      <c r="AX690" s="46" t="str">
        <f>IF(VLOOKUP(AW690,βοηθητικό!$J$2:$N$354,3,FALSE)="","",VLOOKUP(AW690,βοηθητικό!$J$2:$N$354,3,FALSE))</f>
        <v>_</v>
      </c>
      <c r="AY690" s="47"/>
      <c r="AZ690" s="4" t="s">
        <v>16</v>
      </c>
      <c r="BA690" s="43" t="str">
        <f>IF(VLOOKUP(AZ690,βοηθητικό!$J$2:$N$354,3,FALSE)="","",VLOOKUP(AZ690,βοηθητικό!$J$2:$N$354,3,FALSE))</f>
        <v>_</v>
      </c>
      <c r="BB690" s="44"/>
      <c r="BC690" s="45" t="s">
        <v>16</v>
      </c>
      <c r="BD690" s="46" t="str">
        <f>IF(VLOOKUP(BC690,βοηθητικό!$J$2:$N$354,3,FALSE)="","",VLOOKUP(BC690,βοηθητικό!$J$2:$N$354,3,FALSE))</f>
        <v>_</v>
      </c>
      <c r="BE690" s="47"/>
      <c r="BF690" s="42" t="s">
        <v>16</v>
      </c>
      <c r="BG690" s="43" t="str">
        <f>IF(VLOOKUP(BF690,βοηθητικό!$J$2:$N$354,3,FALSE)="","",VLOOKUP(BF690,βοηθητικό!$J$2:$N$354,3,FALSE))</f>
        <v>_</v>
      </c>
      <c r="BH690" s="44"/>
      <c r="BI690" s="45" t="s">
        <v>16</v>
      </c>
      <c r="BJ690" s="46" t="str">
        <f>IF(VLOOKUP(BI690,βοηθητικό!$J$2:$N$354,3,FALSE)="","",VLOOKUP(BI690,βοηθητικό!$J$2:$N$354,3,FALSE))</f>
        <v>_</v>
      </c>
      <c r="BK690" s="47"/>
      <c r="BL690" s="42" t="s">
        <v>16</v>
      </c>
      <c r="BM690" s="43" t="str">
        <f>IF(VLOOKUP(BL690,βοηθητικό!$J$2:$N$354,3,FALSE)="","",VLOOKUP(BL690,βοηθητικό!$J$2:$N$354,3,FALSE))</f>
        <v>_</v>
      </c>
      <c r="BN690" s="44"/>
      <c r="BO690" s="45" t="s">
        <v>16</v>
      </c>
      <c r="BP690" s="46" t="str">
        <f>IF(VLOOKUP(BO690,βοηθητικό!$J$2:$N$354,3,FALSE)="","",VLOOKUP(BO690,βοηθητικό!$J$2:$N$354,3,FALSE))</f>
        <v>_</v>
      </c>
      <c r="BQ690" s="47"/>
      <c r="BR690" s="42" t="s">
        <v>16</v>
      </c>
      <c r="BS690" s="43" t="str">
        <f>IF(VLOOKUP(BR690,βοηθητικό!$J$2:$N$354,3,FALSE)="","",VLOOKUP(BR690,βοηθητικό!$J$2:$N$354,3,FALSE))</f>
        <v>_</v>
      </c>
      <c r="BT690" s="44"/>
      <c r="BU690" s="45" t="s">
        <v>16</v>
      </c>
      <c r="BV690" s="46" t="str">
        <f>IF(VLOOKUP(BU690,βοηθητικό!$J$2:$N$354,3,FALSE)="","",VLOOKUP(BU690,βοηθητικό!$J$2:$N$354,3,FALSE))</f>
        <v>_</v>
      </c>
      <c r="BW690" s="47"/>
      <c r="BX690" s="42" t="s">
        <v>16</v>
      </c>
      <c r="BY690" s="43" t="str">
        <f>IF(VLOOKUP(BX690,βοηθητικό!$J$2:$N$354,3,FALSE)="","",VLOOKUP(BX690,βοηθητικό!$J$2:$N$354,3,FALSE))</f>
        <v>_</v>
      </c>
      <c r="BZ690" s="44"/>
      <c r="CA690" s="45" t="s">
        <v>16</v>
      </c>
      <c r="CB690" s="46" t="str">
        <f>IF(VLOOKUP(CA690,βοηθητικό!$J$2:$N$354,3,FALSE)="","",VLOOKUP(CA690,βοηθητικό!$J$2:$N$354,3,FALSE))</f>
        <v>_</v>
      </c>
      <c r="CC690" s="47"/>
      <c r="CD690" s="42" t="s">
        <v>16</v>
      </c>
      <c r="CE690" s="43" t="str">
        <f>IF(VLOOKUP(CD690,βοηθητικό!$J$2:$N$354,3,FALSE)="","",VLOOKUP(CD690,βοηθητικό!$J$2:$N$354,3,FALSE))</f>
        <v>_</v>
      </c>
      <c r="CF690" s="44"/>
      <c r="CG690" s="45" t="s">
        <v>16</v>
      </c>
      <c r="CH690" s="46" t="str">
        <f>IF(VLOOKUP(CG690,βοηθητικό!$J$2:$N$354,3,FALSE)="","",VLOOKUP(CG690,βοηθητικό!$J$2:$N$354,3,FALSE))</f>
        <v>_</v>
      </c>
      <c r="CI690" s="47"/>
      <c r="CJ690" s="42" t="s">
        <v>16</v>
      </c>
      <c r="CK690" s="43" t="str">
        <f>IF(VLOOKUP(CJ690,βοηθητικό!$J$2:$N$354,3,FALSE)="","",VLOOKUP(CJ690,βοηθητικό!$J$2:$N$354,3,FALSE))</f>
        <v>_</v>
      </c>
      <c r="CL690" s="44"/>
      <c r="CM690" s="45" t="s">
        <v>16</v>
      </c>
      <c r="CN690" s="46" t="str">
        <f>IF(VLOOKUP(CM690,βοηθητικό!$J$2:$N$354,3,FALSE)="","",VLOOKUP(CM690,βοηθητικό!$J$2:$N$354,3,FALSE))</f>
        <v>_</v>
      </c>
      <c r="CO690" s="47"/>
      <c r="CP690" s="42" t="s">
        <v>16</v>
      </c>
      <c r="CQ690" s="43" t="str">
        <f>IF(VLOOKUP(CP690,βοηθητικό!$J$2:$N$354,3,FALSE)="","",VLOOKUP(CP690,βοηθητικό!$J$2:$N$354,3,FALSE))</f>
        <v>_</v>
      </c>
      <c r="CR690" s="44"/>
      <c r="CS690" s="45" t="s">
        <v>16</v>
      </c>
      <c r="CT690" s="46" t="str">
        <f>IF(VLOOKUP(CS690,βοηθητικό!$J$2:$N$354,3,FALSE)="","",VLOOKUP(CS690,βοηθητικό!$J$2:$N$354,3,FALSE))</f>
        <v>_</v>
      </c>
      <c r="CU690" s="47"/>
    </row>
    <row r="691" spans="1:99" x14ac:dyDescent="0.25">
      <c r="A691" s="37">
        <f>--SUBTOTAL(3,$B$3:B690)</f>
        <v>198</v>
      </c>
      <c r="B691" s="2"/>
      <c r="C691" s="3"/>
      <c r="D691" s="55" t="s">
        <v>18</v>
      </c>
      <c r="E691" s="38" t="s">
        <v>16</v>
      </c>
      <c r="F691" s="38"/>
      <c r="G691" s="39" t="str">
        <f t="shared" si="32"/>
        <v>__</v>
      </c>
      <c r="H691" s="40" t="str">
        <f t="shared" si="33"/>
        <v>FALSE</v>
      </c>
      <c r="I691" s="41">
        <f t="shared" si="34"/>
        <v>0</v>
      </c>
      <c r="J691" s="4" t="s">
        <v>16</v>
      </c>
      <c r="K691" s="43" t="str">
        <f>IF(VLOOKUP(J691,βοηθητικό!$J$2:$N$354,3,FALSE)="","",VLOOKUP(J691,βοηθητικό!$J$2:$N$354,3,FALSE))</f>
        <v>_</v>
      </c>
      <c r="L691" s="44"/>
      <c r="M691" s="5" t="s">
        <v>16</v>
      </c>
      <c r="N691" s="46" t="str">
        <f>IF(VLOOKUP(M691,βοηθητικό!$J$2:$N$354,3,FALSE)="","",VLOOKUP(M691,βοηθητικό!$J$2:$N$354,3,FALSE))</f>
        <v>_</v>
      </c>
      <c r="O691" s="47"/>
      <c r="P691" s="4" t="s">
        <v>16</v>
      </c>
      <c r="Q691" s="43" t="str">
        <f>IF(VLOOKUP(P691,βοηθητικό!$J$2:$N$354,3,FALSE)="","",VLOOKUP(P691,βοηθητικό!$J$2:$N$354,3,FALSE))</f>
        <v>_</v>
      </c>
      <c r="R691" s="44"/>
      <c r="S691" s="5" t="s">
        <v>16</v>
      </c>
      <c r="T691" s="46" t="str">
        <f>IF(VLOOKUP(S691,βοηθητικό!$J$2:$N$354,3,FALSE)="","",VLOOKUP(S691,βοηθητικό!$J$2:$N$354,3,FALSE))</f>
        <v>_</v>
      </c>
      <c r="U691" s="47"/>
      <c r="V691" s="4" t="s">
        <v>16</v>
      </c>
      <c r="W691" s="43" t="str">
        <f>IF(VLOOKUP(V691,βοηθητικό!$J$2:$N$354,3,FALSE)="","",VLOOKUP(V691,βοηθητικό!$J$2:$N$354,3,FALSE))</f>
        <v>_</v>
      </c>
      <c r="X691" s="44"/>
      <c r="Y691" s="5" t="s">
        <v>16</v>
      </c>
      <c r="Z691" s="46" t="str">
        <f>IF(VLOOKUP(Y691,βοηθητικό!$J$2:$N$354,3,FALSE)="","",VLOOKUP(Y691,βοηθητικό!$J$2:$N$354,3,FALSE))</f>
        <v>_</v>
      </c>
      <c r="AA691" s="47"/>
      <c r="AB691" s="4" t="s">
        <v>16</v>
      </c>
      <c r="AC691" s="43" t="str">
        <f>IF(VLOOKUP(AB691,βοηθητικό!$J$2:$N$354,3,FALSE)="","",VLOOKUP(AB691,βοηθητικό!$J$2:$N$354,3,FALSE))</f>
        <v>_</v>
      </c>
      <c r="AD691" s="44"/>
      <c r="AE691" s="5" t="s">
        <v>16</v>
      </c>
      <c r="AF691" s="46" t="str">
        <f>IF(VLOOKUP(AE691,βοηθητικό!$J$2:$N$354,3,FALSE)="","",VLOOKUP(AE691,βοηθητικό!$J$2:$N$354,3,FALSE))</f>
        <v>_</v>
      </c>
      <c r="AG691" s="47"/>
      <c r="AH691" s="4" t="s">
        <v>16</v>
      </c>
      <c r="AI691" s="43" t="str">
        <f>IF(VLOOKUP(AH691,βοηθητικό!$J$2:$N$354,3,FALSE)="","",VLOOKUP(AH691,βοηθητικό!$J$2:$N$354,3,FALSE))</f>
        <v>_</v>
      </c>
      <c r="AJ691" s="44"/>
      <c r="AK691" s="5" t="s">
        <v>16</v>
      </c>
      <c r="AL691" s="46" t="str">
        <f>IF(VLOOKUP(AK691,βοηθητικό!$J$2:$N$354,3,FALSE)="","",VLOOKUP(AK691,βοηθητικό!$J$2:$N$354,3,FALSE))</f>
        <v>_</v>
      </c>
      <c r="AM691" s="47"/>
      <c r="AN691" s="4" t="s">
        <v>16</v>
      </c>
      <c r="AO691" s="43" t="str">
        <f>IF(VLOOKUP(AN691,βοηθητικό!$J$2:$N$354,3,FALSE)="","",VLOOKUP(AN691,βοηθητικό!$J$2:$N$354,3,FALSE))</f>
        <v>_</v>
      </c>
      <c r="AP691" s="44"/>
      <c r="AQ691" s="5" t="s">
        <v>16</v>
      </c>
      <c r="AR691" s="46" t="str">
        <f>IF(VLOOKUP(AQ691,βοηθητικό!$J$2:$N$354,3,FALSE)="","",VLOOKUP(AQ691,βοηθητικό!$J$2:$N$354,3,FALSE))</f>
        <v>_</v>
      </c>
      <c r="AS691" s="47"/>
      <c r="AT691" s="4" t="s">
        <v>16</v>
      </c>
      <c r="AU691" s="43" t="str">
        <f>IF(VLOOKUP(AT691,βοηθητικό!$J$2:$N$354,3,FALSE)="","",VLOOKUP(AT691,βοηθητικό!$J$2:$N$354,3,FALSE))</f>
        <v>_</v>
      </c>
      <c r="AV691" s="44"/>
      <c r="AW691" s="5" t="s">
        <v>16</v>
      </c>
      <c r="AX691" s="46" t="str">
        <f>IF(VLOOKUP(AW691,βοηθητικό!$J$2:$N$354,3,FALSE)="","",VLOOKUP(AW691,βοηθητικό!$J$2:$N$354,3,FALSE))</f>
        <v>_</v>
      </c>
      <c r="AY691" s="47"/>
      <c r="AZ691" s="4" t="s">
        <v>16</v>
      </c>
      <c r="BA691" s="43" t="str">
        <f>IF(VLOOKUP(AZ691,βοηθητικό!$J$2:$N$354,3,FALSE)="","",VLOOKUP(AZ691,βοηθητικό!$J$2:$N$354,3,FALSE))</f>
        <v>_</v>
      </c>
      <c r="BB691" s="44"/>
      <c r="BC691" s="45" t="s">
        <v>16</v>
      </c>
      <c r="BD691" s="46" t="str">
        <f>IF(VLOOKUP(BC691,βοηθητικό!$J$2:$N$354,3,FALSE)="","",VLOOKUP(BC691,βοηθητικό!$J$2:$N$354,3,FALSE))</f>
        <v>_</v>
      </c>
      <c r="BE691" s="47"/>
      <c r="BF691" s="42" t="s">
        <v>16</v>
      </c>
      <c r="BG691" s="43" t="str">
        <f>IF(VLOOKUP(BF691,βοηθητικό!$J$2:$N$354,3,FALSE)="","",VLOOKUP(BF691,βοηθητικό!$J$2:$N$354,3,FALSE))</f>
        <v>_</v>
      </c>
      <c r="BH691" s="44"/>
      <c r="BI691" s="45" t="s">
        <v>16</v>
      </c>
      <c r="BJ691" s="46" t="str">
        <f>IF(VLOOKUP(BI691,βοηθητικό!$J$2:$N$354,3,FALSE)="","",VLOOKUP(BI691,βοηθητικό!$J$2:$N$354,3,FALSE))</f>
        <v>_</v>
      </c>
      <c r="BK691" s="47"/>
      <c r="BL691" s="42" t="s">
        <v>16</v>
      </c>
      <c r="BM691" s="43" t="str">
        <f>IF(VLOOKUP(BL691,βοηθητικό!$J$2:$N$354,3,FALSE)="","",VLOOKUP(BL691,βοηθητικό!$J$2:$N$354,3,FALSE))</f>
        <v>_</v>
      </c>
      <c r="BN691" s="44"/>
      <c r="BO691" s="45" t="s">
        <v>16</v>
      </c>
      <c r="BP691" s="46" t="str">
        <f>IF(VLOOKUP(BO691,βοηθητικό!$J$2:$N$354,3,FALSE)="","",VLOOKUP(BO691,βοηθητικό!$J$2:$N$354,3,FALSE))</f>
        <v>_</v>
      </c>
      <c r="BQ691" s="47"/>
      <c r="BR691" s="42" t="s">
        <v>16</v>
      </c>
      <c r="BS691" s="43" t="str">
        <f>IF(VLOOKUP(BR691,βοηθητικό!$J$2:$N$354,3,FALSE)="","",VLOOKUP(BR691,βοηθητικό!$J$2:$N$354,3,FALSE))</f>
        <v>_</v>
      </c>
      <c r="BT691" s="44"/>
      <c r="BU691" s="45" t="s">
        <v>16</v>
      </c>
      <c r="BV691" s="46" t="str">
        <f>IF(VLOOKUP(BU691,βοηθητικό!$J$2:$N$354,3,FALSE)="","",VLOOKUP(BU691,βοηθητικό!$J$2:$N$354,3,FALSE))</f>
        <v>_</v>
      </c>
      <c r="BW691" s="47"/>
      <c r="BX691" s="42" t="s">
        <v>16</v>
      </c>
      <c r="BY691" s="43" t="str">
        <f>IF(VLOOKUP(BX691,βοηθητικό!$J$2:$N$354,3,FALSE)="","",VLOOKUP(BX691,βοηθητικό!$J$2:$N$354,3,FALSE))</f>
        <v>_</v>
      </c>
      <c r="BZ691" s="44"/>
      <c r="CA691" s="45" t="s">
        <v>16</v>
      </c>
      <c r="CB691" s="46" t="str">
        <f>IF(VLOOKUP(CA691,βοηθητικό!$J$2:$N$354,3,FALSE)="","",VLOOKUP(CA691,βοηθητικό!$J$2:$N$354,3,FALSE))</f>
        <v>_</v>
      </c>
      <c r="CC691" s="47"/>
      <c r="CD691" s="42" t="s">
        <v>16</v>
      </c>
      <c r="CE691" s="43" t="str">
        <f>IF(VLOOKUP(CD691,βοηθητικό!$J$2:$N$354,3,FALSE)="","",VLOOKUP(CD691,βοηθητικό!$J$2:$N$354,3,FALSE))</f>
        <v>_</v>
      </c>
      <c r="CF691" s="44"/>
      <c r="CG691" s="45" t="s">
        <v>16</v>
      </c>
      <c r="CH691" s="46" t="str">
        <f>IF(VLOOKUP(CG691,βοηθητικό!$J$2:$N$354,3,FALSE)="","",VLOOKUP(CG691,βοηθητικό!$J$2:$N$354,3,FALSE))</f>
        <v>_</v>
      </c>
      <c r="CI691" s="47"/>
      <c r="CJ691" s="42" t="s">
        <v>16</v>
      </c>
      <c r="CK691" s="43" t="str">
        <f>IF(VLOOKUP(CJ691,βοηθητικό!$J$2:$N$354,3,FALSE)="","",VLOOKUP(CJ691,βοηθητικό!$J$2:$N$354,3,FALSE))</f>
        <v>_</v>
      </c>
      <c r="CL691" s="44"/>
      <c r="CM691" s="45" t="s">
        <v>16</v>
      </c>
      <c r="CN691" s="46" t="str">
        <f>IF(VLOOKUP(CM691,βοηθητικό!$J$2:$N$354,3,FALSE)="","",VLOOKUP(CM691,βοηθητικό!$J$2:$N$354,3,FALSE))</f>
        <v>_</v>
      </c>
      <c r="CO691" s="47"/>
      <c r="CP691" s="42" t="s">
        <v>16</v>
      </c>
      <c r="CQ691" s="43" t="str">
        <f>IF(VLOOKUP(CP691,βοηθητικό!$J$2:$N$354,3,FALSE)="","",VLOOKUP(CP691,βοηθητικό!$J$2:$N$354,3,FALSE))</f>
        <v>_</v>
      </c>
      <c r="CR691" s="44"/>
      <c r="CS691" s="45" t="s">
        <v>16</v>
      </c>
      <c r="CT691" s="46" t="str">
        <f>IF(VLOOKUP(CS691,βοηθητικό!$J$2:$N$354,3,FALSE)="","",VLOOKUP(CS691,βοηθητικό!$J$2:$N$354,3,FALSE))</f>
        <v>_</v>
      </c>
      <c r="CU691" s="47"/>
    </row>
    <row r="692" spans="1:99" x14ac:dyDescent="0.25">
      <c r="A692" s="37">
        <f>--SUBTOTAL(3,$B$3:B691)</f>
        <v>198</v>
      </c>
      <c r="B692" s="2"/>
      <c r="C692" s="3"/>
      <c r="D692" s="55" t="s">
        <v>18</v>
      </c>
      <c r="E692" s="38" t="s">
        <v>16</v>
      </c>
      <c r="F692" s="38"/>
      <c r="G692" s="39" t="str">
        <f t="shared" si="32"/>
        <v>__</v>
      </c>
      <c r="H692" s="40" t="str">
        <f t="shared" si="33"/>
        <v>FALSE</v>
      </c>
      <c r="I692" s="41">
        <f t="shared" si="34"/>
        <v>0</v>
      </c>
      <c r="J692" s="4" t="s">
        <v>16</v>
      </c>
      <c r="K692" s="43" t="str">
        <f>IF(VLOOKUP(J692,βοηθητικό!$J$2:$N$354,3,FALSE)="","",VLOOKUP(J692,βοηθητικό!$J$2:$N$354,3,FALSE))</f>
        <v>_</v>
      </c>
      <c r="L692" s="44"/>
      <c r="M692" s="5" t="s">
        <v>16</v>
      </c>
      <c r="N692" s="46" t="str">
        <f>IF(VLOOKUP(M692,βοηθητικό!$J$2:$N$354,3,FALSE)="","",VLOOKUP(M692,βοηθητικό!$J$2:$N$354,3,FALSE))</f>
        <v>_</v>
      </c>
      <c r="O692" s="47"/>
      <c r="P692" s="4" t="s">
        <v>16</v>
      </c>
      <c r="Q692" s="43" t="str">
        <f>IF(VLOOKUP(P692,βοηθητικό!$J$2:$N$354,3,FALSE)="","",VLOOKUP(P692,βοηθητικό!$J$2:$N$354,3,FALSE))</f>
        <v>_</v>
      </c>
      <c r="R692" s="44"/>
      <c r="S692" s="5" t="s">
        <v>16</v>
      </c>
      <c r="T692" s="46" t="str">
        <f>IF(VLOOKUP(S692,βοηθητικό!$J$2:$N$354,3,FALSE)="","",VLOOKUP(S692,βοηθητικό!$J$2:$N$354,3,FALSE))</f>
        <v>_</v>
      </c>
      <c r="U692" s="47"/>
      <c r="V692" s="4" t="s">
        <v>16</v>
      </c>
      <c r="W692" s="43" t="str">
        <f>IF(VLOOKUP(V692,βοηθητικό!$J$2:$N$354,3,FALSE)="","",VLOOKUP(V692,βοηθητικό!$J$2:$N$354,3,FALSE))</f>
        <v>_</v>
      </c>
      <c r="X692" s="44"/>
      <c r="Y692" s="5" t="s">
        <v>16</v>
      </c>
      <c r="Z692" s="46" t="str">
        <f>IF(VLOOKUP(Y692,βοηθητικό!$J$2:$N$354,3,FALSE)="","",VLOOKUP(Y692,βοηθητικό!$J$2:$N$354,3,FALSE))</f>
        <v>_</v>
      </c>
      <c r="AA692" s="47"/>
      <c r="AB692" s="4" t="s">
        <v>16</v>
      </c>
      <c r="AC692" s="43" t="str">
        <f>IF(VLOOKUP(AB692,βοηθητικό!$J$2:$N$354,3,FALSE)="","",VLOOKUP(AB692,βοηθητικό!$J$2:$N$354,3,FALSE))</f>
        <v>_</v>
      </c>
      <c r="AD692" s="44"/>
      <c r="AE692" s="5" t="s">
        <v>16</v>
      </c>
      <c r="AF692" s="46" t="str">
        <f>IF(VLOOKUP(AE692,βοηθητικό!$J$2:$N$354,3,FALSE)="","",VLOOKUP(AE692,βοηθητικό!$J$2:$N$354,3,FALSE))</f>
        <v>_</v>
      </c>
      <c r="AG692" s="47"/>
      <c r="AH692" s="4" t="s">
        <v>16</v>
      </c>
      <c r="AI692" s="43" t="str">
        <f>IF(VLOOKUP(AH692,βοηθητικό!$J$2:$N$354,3,FALSE)="","",VLOOKUP(AH692,βοηθητικό!$J$2:$N$354,3,FALSE))</f>
        <v>_</v>
      </c>
      <c r="AJ692" s="44"/>
      <c r="AK692" s="5" t="s">
        <v>16</v>
      </c>
      <c r="AL692" s="46" t="str">
        <f>IF(VLOOKUP(AK692,βοηθητικό!$J$2:$N$354,3,FALSE)="","",VLOOKUP(AK692,βοηθητικό!$J$2:$N$354,3,FALSE))</f>
        <v>_</v>
      </c>
      <c r="AM692" s="47"/>
      <c r="AN692" s="4" t="s">
        <v>16</v>
      </c>
      <c r="AO692" s="43" t="str">
        <f>IF(VLOOKUP(AN692,βοηθητικό!$J$2:$N$354,3,FALSE)="","",VLOOKUP(AN692,βοηθητικό!$J$2:$N$354,3,FALSE))</f>
        <v>_</v>
      </c>
      <c r="AP692" s="44"/>
      <c r="AQ692" s="5" t="s">
        <v>16</v>
      </c>
      <c r="AR692" s="46" t="str">
        <f>IF(VLOOKUP(AQ692,βοηθητικό!$J$2:$N$354,3,FALSE)="","",VLOOKUP(AQ692,βοηθητικό!$J$2:$N$354,3,FALSE))</f>
        <v>_</v>
      </c>
      <c r="AS692" s="47"/>
      <c r="AT692" s="4" t="s">
        <v>16</v>
      </c>
      <c r="AU692" s="43" t="str">
        <f>IF(VLOOKUP(AT692,βοηθητικό!$J$2:$N$354,3,FALSE)="","",VLOOKUP(AT692,βοηθητικό!$J$2:$N$354,3,FALSE))</f>
        <v>_</v>
      </c>
      <c r="AV692" s="44"/>
      <c r="AW692" s="5" t="s">
        <v>16</v>
      </c>
      <c r="AX692" s="46" t="str">
        <f>IF(VLOOKUP(AW692,βοηθητικό!$J$2:$N$354,3,FALSE)="","",VLOOKUP(AW692,βοηθητικό!$J$2:$N$354,3,FALSE))</f>
        <v>_</v>
      </c>
      <c r="AY692" s="47"/>
      <c r="AZ692" s="4" t="s">
        <v>16</v>
      </c>
      <c r="BA692" s="43" t="str">
        <f>IF(VLOOKUP(AZ692,βοηθητικό!$J$2:$N$354,3,FALSE)="","",VLOOKUP(AZ692,βοηθητικό!$J$2:$N$354,3,FALSE))</f>
        <v>_</v>
      </c>
      <c r="BB692" s="44"/>
      <c r="BC692" s="45" t="s">
        <v>16</v>
      </c>
      <c r="BD692" s="46" t="str">
        <f>IF(VLOOKUP(BC692,βοηθητικό!$J$2:$N$354,3,FALSE)="","",VLOOKUP(BC692,βοηθητικό!$J$2:$N$354,3,FALSE))</f>
        <v>_</v>
      </c>
      <c r="BE692" s="47"/>
      <c r="BF692" s="42" t="s">
        <v>16</v>
      </c>
      <c r="BG692" s="43" t="str">
        <f>IF(VLOOKUP(BF692,βοηθητικό!$J$2:$N$354,3,FALSE)="","",VLOOKUP(BF692,βοηθητικό!$J$2:$N$354,3,FALSE))</f>
        <v>_</v>
      </c>
      <c r="BH692" s="44"/>
      <c r="BI692" s="45" t="s">
        <v>16</v>
      </c>
      <c r="BJ692" s="46" t="str">
        <f>IF(VLOOKUP(BI692,βοηθητικό!$J$2:$N$354,3,FALSE)="","",VLOOKUP(BI692,βοηθητικό!$J$2:$N$354,3,FALSE))</f>
        <v>_</v>
      </c>
      <c r="BK692" s="47"/>
      <c r="BL692" s="42" t="s">
        <v>16</v>
      </c>
      <c r="BM692" s="43" t="str">
        <f>IF(VLOOKUP(BL692,βοηθητικό!$J$2:$N$354,3,FALSE)="","",VLOOKUP(BL692,βοηθητικό!$J$2:$N$354,3,FALSE))</f>
        <v>_</v>
      </c>
      <c r="BN692" s="44"/>
      <c r="BO692" s="45" t="s">
        <v>16</v>
      </c>
      <c r="BP692" s="46" t="str">
        <f>IF(VLOOKUP(BO692,βοηθητικό!$J$2:$N$354,3,FALSE)="","",VLOOKUP(BO692,βοηθητικό!$J$2:$N$354,3,FALSE))</f>
        <v>_</v>
      </c>
      <c r="BQ692" s="47"/>
      <c r="BR692" s="42" t="s">
        <v>16</v>
      </c>
      <c r="BS692" s="43" t="str">
        <f>IF(VLOOKUP(BR692,βοηθητικό!$J$2:$N$354,3,FALSE)="","",VLOOKUP(BR692,βοηθητικό!$J$2:$N$354,3,FALSE))</f>
        <v>_</v>
      </c>
      <c r="BT692" s="44"/>
      <c r="BU692" s="45" t="s">
        <v>16</v>
      </c>
      <c r="BV692" s="46" t="str">
        <f>IF(VLOOKUP(BU692,βοηθητικό!$J$2:$N$354,3,FALSE)="","",VLOOKUP(BU692,βοηθητικό!$J$2:$N$354,3,FALSE))</f>
        <v>_</v>
      </c>
      <c r="BW692" s="47"/>
      <c r="BX692" s="42" t="s">
        <v>16</v>
      </c>
      <c r="BY692" s="43" t="str">
        <f>IF(VLOOKUP(BX692,βοηθητικό!$J$2:$N$354,3,FALSE)="","",VLOOKUP(BX692,βοηθητικό!$J$2:$N$354,3,FALSE))</f>
        <v>_</v>
      </c>
      <c r="BZ692" s="44"/>
      <c r="CA692" s="45" t="s">
        <v>16</v>
      </c>
      <c r="CB692" s="46" t="str">
        <f>IF(VLOOKUP(CA692,βοηθητικό!$J$2:$N$354,3,FALSE)="","",VLOOKUP(CA692,βοηθητικό!$J$2:$N$354,3,FALSE))</f>
        <v>_</v>
      </c>
      <c r="CC692" s="47"/>
      <c r="CD692" s="42" t="s">
        <v>16</v>
      </c>
      <c r="CE692" s="43" t="str">
        <f>IF(VLOOKUP(CD692,βοηθητικό!$J$2:$N$354,3,FALSE)="","",VLOOKUP(CD692,βοηθητικό!$J$2:$N$354,3,FALSE))</f>
        <v>_</v>
      </c>
      <c r="CF692" s="44"/>
      <c r="CG692" s="45" t="s">
        <v>16</v>
      </c>
      <c r="CH692" s="46" t="str">
        <f>IF(VLOOKUP(CG692,βοηθητικό!$J$2:$N$354,3,FALSE)="","",VLOOKUP(CG692,βοηθητικό!$J$2:$N$354,3,FALSE))</f>
        <v>_</v>
      </c>
      <c r="CI692" s="47"/>
      <c r="CJ692" s="42" t="s">
        <v>16</v>
      </c>
      <c r="CK692" s="43" t="str">
        <f>IF(VLOOKUP(CJ692,βοηθητικό!$J$2:$N$354,3,FALSE)="","",VLOOKUP(CJ692,βοηθητικό!$J$2:$N$354,3,FALSE))</f>
        <v>_</v>
      </c>
      <c r="CL692" s="44"/>
      <c r="CM692" s="45" t="s">
        <v>16</v>
      </c>
      <c r="CN692" s="46" t="str">
        <f>IF(VLOOKUP(CM692,βοηθητικό!$J$2:$N$354,3,FALSE)="","",VLOOKUP(CM692,βοηθητικό!$J$2:$N$354,3,FALSE))</f>
        <v>_</v>
      </c>
      <c r="CO692" s="47"/>
      <c r="CP692" s="42" t="s">
        <v>16</v>
      </c>
      <c r="CQ692" s="43" t="str">
        <f>IF(VLOOKUP(CP692,βοηθητικό!$J$2:$N$354,3,FALSE)="","",VLOOKUP(CP692,βοηθητικό!$J$2:$N$354,3,FALSE))</f>
        <v>_</v>
      </c>
      <c r="CR692" s="44"/>
      <c r="CS692" s="45" t="s">
        <v>16</v>
      </c>
      <c r="CT692" s="46" t="str">
        <f>IF(VLOOKUP(CS692,βοηθητικό!$J$2:$N$354,3,FALSE)="","",VLOOKUP(CS692,βοηθητικό!$J$2:$N$354,3,FALSE))</f>
        <v>_</v>
      </c>
      <c r="CU692" s="47"/>
    </row>
    <row r="693" spans="1:99" x14ac:dyDescent="0.25">
      <c r="A693" s="37">
        <f>--SUBTOTAL(3,$B$3:B692)</f>
        <v>198</v>
      </c>
      <c r="B693" s="2"/>
      <c r="C693" s="3"/>
      <c r="D693" s="55" t="s">
        <v>18</v>
      </c>
      <c r="E693" s="38" t="s">
        <v>16</v>
      </c>
      <c r="F693" s="38"/>
      <c r="G693" s="39" t="str">
        <f t="shared" si="32"/>
        <v>__</v>
      </c>
      <c r="H693" s="40" t="str">
        <f t="shared" si="33"/>
        <v>FALSE</v>
      </c>
      <c r="I693" s="41">
        <f t="shared" si="34"/>
        <v>0</v>
      </c>
      <c r="J693" s="4" t="s">
        <v>16</v>
      </c>
      <c r="K693" s="43" t="str">
        <f>IF(VLOOKUP(J693,βοηθητικό!$J$2:$N$354,3,FALSE)="","",VLOOKUP(J693,βοηθητικό!$J$2:$N$354,3,FALSE))</f>
        <v>_</v>
      </c>
      <c r="L693" s="44"/>
      <c r="M693" s="5" t="s">
        <v>16</v>
      </c>
      <c r="N693" s="46" t="str">
        <f>IF(VLOOKUP(M693,βοηθητικό!$J$2:$N$354,3,FALSE)="","",VLOOKUP(M693,βοηθητικό!$J$2:$N$354,3,FALSE))</f>
        <v>_</v>
      </c>
      <c r="O693" s="47"/>
      <c r="P693" s="4" t="s">
        <v>16</v>
      </c>
      <c r="Q693" s="43" t="str">
        <f>IF(VLOOKUP(P693,βοηθητικό!$J$2:$N$354,3,FALSE)="","",VLOOKUP(P693,βοηθητικό!$J$2:$N$354,3,FALSE))</f>
        <v>_</v>
      </c>
      <c r="R693" s="44"/>
      <c r="S693" s="5" t="s">
        <v>16</v>
      </c>
      <c r="T693" s="46" t="str">
        <f>IF(VLOOKUP(S693,βοηθητικό!$J$2:$N$354,3,FALSE)="","",VLOOKUP(S693,βοηθητικό!$J$2:$N$354,3,FALSE))</f>
        <v>_</v>
      </c>
      <c r="U693" s="47"/>
      <c r="V693" s="4" t="s">
        <v>16</v>
      </c>
      <c r="W693" s="43" t="str">
        <f>IF(VLOOKUP(V693,βοηθητικό!$J$2:$N$354,3,FALSE)="","",VLOOKUP(V693,βοηθητικό!$J$2:$N$354,3,FALSE))</f>
        <v>_</v>
      </c>
      <c r="X693" s="44"/>
      <c r="Y693" s="5" t="s">
        <v>16</v>
      </c>
      <c r="Z693" s="46" t="str">
        <f>IF(VLOOKUP(Y693,βοηθητικό!$J$2:$N$354,3,FALSE)="","",VLOOKUP(Y693,βοηθητικό!$J$2:$N$354,3,FALSE))</f>
        <v>_</v>
      </c>
      <c r="AA693" s="47"/>
      <c r="AB693" s="4" t="s">
        <v>16</v>
      </c>
      <c r="AC693" s="43" t="str">
        <f>IF(VLOOKUP(AB693,βοηθητικό!$J$2:$N$354,3,FALSE)="","",VLOOKUP(AB693,βοηθητικό!$J$2:$N$354,3,FALSE))</f>
        <v>_</v>
      </c>
      <c r="AD693" s="44"/>
      <c r="AE693" s="5" t="s">
        <v>16</v>
      </c>
      <c r="AF693" s="46" t="str">
        <f>IF(VLOOKUP(AE693,βοηθητικό!$J$2:$N$354,3,FALSE)="","",VLOOKUP(AE693,βοηθητικό!$J$2:$N$354,3,FALSE))</f>
        <v>_</v>
      </c>
      <c r="AG693" s="47"/>
      <c r="AH693" s="4" t="s">
        <v>16</v>
      </c>
      <c r="AI693" s="43" t="str">
        <f>IF(VLOOKUP(AH693,βοηθητικό!$J$2:$N$354,3,FALSE)="","",VLOOKUP(AH693,βοηθητικό!$J$2:$N$354,3,FALSE))</f>
        <v>_</v>
      </c>
      <c r="AJ693" s="44"/>
      <c r="AK693" s="5" t="s">
        <v>16</v>
      </c>
      <c r="AL693" s="46" t="str">
        <f>IF(VLOOKUP(AK693,βοηθητικό!$J$2:$N$354,3,FALSE)="","",VLOOKUP(AK693,βοηθητικό!$J$2:$N$354,3,FALSE))</f>
        <v>_</v>
      </c>
      <c r="AM693" s="47"/>
      <c r="AN693" s="4" t="s">
        <v>16</v>
      </c>
      <c r="AO693" s="43" t="str">
        <f>IF(VLOOKUP(AN693,βοηθητικό!$J$2:$N$354,3,FALSE)="","",VLOOKUP(AN693,βοηθητικό!$J$2:$N$354,3,FALSE))</f>
        <v>_</v>
      </c>
      <c r="AP693" s="44"/>
      <c r="AQ693" s="5" t="s">
        <v>16</v>
      </c>
      <c r="AR693" s="46" t="str">
        <f>IF(VLOOKUP(AQ693,βοηθητικό!$J$2:$N$354,3,FALSE)="","",VLOOKUP(AQ693,βοηθητικό!$J$2:$N$354,3,FALSE))</f>
        <v>_</v>
      </c>
      <c r="AS693" s="47"/>
      <c r="AT693" s="4" t="s">
        <v>16</v>
      </c>
      <c r="AU693" s="43" t="str">
        <f>IF(VLOOKUP(AT693,βοηθητικό!$J$2:$N$354,3,FALSE)="","",VLOOKUP(AT693,βοηθητικό!$J$2:$N$354,3,FALSE))</f>
        <v>_</v>
      </c>
      <c r="AV693" s="44"/>
      <c r="AW693" s="5" t="s">
        <v>16</v>
      </c>
      <c r="AX693" s="46" t="str">
        <f>IF(VLOOKUP(AW693,βοηθητικό!$J$2:$N$354,3,FALSE)="","",VLOOKUP(AW693,βοηθητικό!$J$2:$N$354,3,FALSE))</f>
        <v>_</v>
      </c>
      <c r="AY693" s="47"/>
      <c r="AZ693" s="4" t="s">
        <v>16</v>
      </c>
      <c r="BA693" s="43" t="str">
        <f>IF(VLOOKUP(AZ693,βοηθητικό!$J$2:$N$354,3,FALSE)="","",VLOOKUP(AZ693,βοηθητικό!$J$2:$N$354,3,FALSE))</f>
        <v>_</v>
      </c>
      <c r="BB693" s="44"/>
      <c r="BC693" s="45" t="s">
        <v>16</v>
      </c>
      <c r="BD693" s="46" t="str">
        <f>IF(VLOOKUP(BC693,βοηθητικό!$J$2:$N$354,3,FALSE)="","",VLOOKUP(BC693,βοηθητικό!$J$2:$N$354,3,FALSE))</f>
        <v>_</v>
      </c>
      <c r="BE693" s="47"/>
      <c r="BF693" s="42" t="s">
        <v>16</v>
      </c>
      <c r="BG693" s="43" t="str">
        <f>IF(VLOOKUP(BF693,βοηθητικό!$J$2:$N$354,3,FALSE)="","",VLOOKUP(BF693,βοηθητικό!$J$2:$N$354,3,FALSE))</f>
        <v>_</v>
      </c>
      <c r="BH693" s="44"/>
      <c r="BI693" s="45" t="s">
        <v>16</v>
      </c>
      <c r="BJ693" s="46" t="str">
        <f>IF(VLOOKUP(BI693,βοηθητικό!$J$2:$N$354,3,FALSE)="","",VLOOKUP(BI693,βοηθητικό!$J$2:$N$354,3,FALSE))</f>
        <v>_</v>
      </c>
      <c r="BK693" s="47"/>
      <c r="BL693" s="42" t="s">
        <v>16</v>
      </c>
      <c r="BM693" s="43" t="str">
        <f>IF(VLOOKUP(BL693,βοηθητικό!$J$2:$N$354,3,FALSE)="","",VLOOKUP(BL693,βοηθητικό!$J$2:$N$354,3,FALSE))</f>
        <v>_</v>
      </c>
      <c r="BN693" s="44"/>
      <c r="BO693" s="45" t="s">
        <v>16</v>
      </c>
      <c r="BP693" s="46" t="str">
        <f>IF(VLOOKUP(BO693,βοηθητικό!$J$2:$N$354,3,FALSE)="","",VLOOKUP(BO693,βοηθητικό!$J$2:$N$354,3,FALSE))</f>
        <v>_</v>
      </c>
      <c r="BQ693" s="47"/>
      <c r="BR693" s="42" t="s">
        <v>16</v>
      </c>
      <c r="BS693" s="43" t="str">
        <f>IF(VLOOKUP(BR693,βοηθητικό!$J$2:$N$354,3,FALSE)="","",VLOOKUP(BR693,βοηθητικό!$J$2:$N$354,3,FALSE))</f>
        <v>_</v>
      </c>
      <c r="BT693" s="44"/>
      <c r="BU693" s="45" t="s">
        <v>16</v>
      </c>
      <c r="BV693" s="46" t="str">
        <f>IF(VLOOKUP(BU693,βοηθητικό!$J$2:$N$354,3,FALSE)="","",VLOOKUP(BU693,βοηθητικό!$J$2:$N$354,3,FALSE))</f>
        <v>_</v>
      </c>
      <c r="BW693" s="47"/>
      <c r="BX693" s="42" t="s">
        <v>16</v>
      </c>
      <c r="BY693" s="43" t="str">
        <f>IF(VLOOKUP(BX693,βοηθητικό!$J$2:$N$354,3,FALSE)="","",VLOOKUP(BX693,βοηθητικό!$J$2:$N$354,3,FALSE))</f>
        <v>_</v>
      </c>
      <c r="BZ693" s="44"/>
      <c r="CA693" s="45" t="s">
        <v>16</v>
      </c>
      <c r="CB693" s="46" t="str">
        <f>IF(VLOOKUP(CA693,βοηθητικό!$J$2:$N$354,3,FALSE)="","",VLOOKUP(CA693,βοηθητικό!$J$2:$N$354,3,FALSE))</f>
        <v>_</v>
      </c>
      <c r="CC693" s="47"/>
      <c r="CD693" s="42" t="s">
        <v>16</v>
      </c>
      <c r="CE693" s="43" t="str">
        <f>IF(VLOOKUP(CD693,βοηθητικό!$J$2:$N$354,3,FALSE)="","",VLOOKUP(CD693,βοηθητικό!$J$2:$N$354,3,FALSE))</f>
        <v>_</v>
      </c>
      <c r="CF693" s="44"/>
      <c r="CG693" s="45" t="s">
        <v>16</v>
      </c>
      <c r="CH693" s="46" t="str">
        <f>IF(VLOOKUP(CG693,βοηθητικό!$J$2:$N$354,3,FALSE)="","",VLOOKUP(CG693,βοηθητικό!$J$2:$N$354,3,FALSE))</f>
        <v>_</v>
      </c>
      <c r="CI693" s="47"/>
      <c r="CJ693" s="42" t="s">
        <v>16</v>
      </c>
      <c r="CK693" s="43" t="str">
        <f>IF(VLOOKUP(CJ693,βοηθητικό!$J$2:$N$354,3,FALSE)="","",VLOOKUP(CJ693,βοηθητικό!$J$2:$N$354,3,FALSE))</f>
        <v>_</v>
      </c>
      <c r="CL693" s="44"/>
      <c r="CM693" s="45" t="s">
        <v>16</v>
      </c>
      <c r="CN693" s="46" t="str">
        <f>IF(VLOOKUP(CM693,βοηθητικό!$J$2:$N$354,3,FALSE)="","",VLOOKUP(CM693,βοηθητικό!$J$2:$N$354,3,FALSE))</f>
        <v>_</v>
      </c>
      <c r="CO693" s="47"/>
      <c r="CP693" s="42" t="s">
        <v>16</v>
      </c>
      <c r="CQ693" s="43" t="str">
        <f>IF(VLOOKUP(CP693,βοηθητικό!$J$2:$N$354,3,FALSE)="","",VLOOKUP(CP693,βοηθητικό!$J$2:$N$354,3,FALSE))</f>
        <v>_</v>
      </c>
      <c r="CR693" s="44"/>
      <c r="CS693" s="45" t="s">
        <v>16</v>
      </c>
      <c r="CT693" s="46" t="str">
        <f>IF(VLOOKUP(CS693,βοηθητικό!$J$2:$N$354,3,FALSE)="","",VLOOKUP(CS693,βοηθητικό!$J$2:$N$354,3,FALSE))</f>
        <v>_</v>
      </c>
      <c r="CU693" s="47"/>
    </row>
    <row r="694" spans="1:99" x14ac:dyDescent="0.25">
      <c r="A694" s="37">
        <f>--SUBTOTAL(3,$B$3:B693)</f>
        <v>198</v>
      </c>
      <c r="B694" s="2"/>
      <c r="C694" s="3"/>
      <c r="D694" s="55" t="s">
        <v>18</v>
      </c>
      <c r="E694" s="38" t="s">
        <v>16</v>
      </c>
      <c r="F694" s="38"/>
      <c r="G694" s="39" t="str">
        <f t="shared" si="32"/>
        <v>__</v>
      </c>
      <c r="H694" s="40" t="str">
        <f t="shared" si="33"/>
        <v>FALSE</v>
      </c>
      <c r="I694" s="41">
        <f t="shared" si="34"/>
        <v>0</v>
      </c>
      <c r="J694" s="4" t="s">
        <v>16</v>
      </c>
      <c r="K694" s="43" t="str">
        <f>IF(VLOOKUP(J694,βοηθητικό!$J$2:$N$354,3,FALSE)="","",VLOOKUP(J694,βοηθητικό!$J$2:$N$354,3,FALSE))</f>
        <v>_</v>
      </c>
      <c r="L694" s="44"/>
      <c r="M694" s="5" t="s">
        <v>16</v>
      </c>
      <c r="N694" s="46" t="str">
        <f>IF(VLOOKUP(M694,βοηθητικό!$J$2:$N$354,3,FALSE)="","",VLOOKUP(M694,βοηθητικό!$J$2:$N$354,3,FALSE))</f>
        <v>_</v>
      </c>
      <c r="O694" s="47"/>
      <c r="P694" s="4" t="s">
        <v>16</v>
      </c>
      <c r="Q694" s="43" t="str">
        <f>IF(VLOOKUP(P694,βοηθητικό!$J$2:$N$354,3,FALSE)="","",VLOOKUP(P694,βοηθητικό!$J$2:$N$354,3,FALSE))</f>
        <v>_</v>
      </c>
      <c r="R694" s="44"/>
      <c r="S694" s="5" t="s">
        <v>16</v>
      </c>
      <c r="T694" s="46" t="str">
        <f>IF(VLOOKUP(S694,βοηθητικό!$J$2:$N$354,3,FALSE)="","",VLOOKUP(S694,βοηθητικό!$J$2:$N$354,3,FALSE))</f>
        <v>_</v>
      </c>
      <c r="U694" s="47"/>
      <c r="V694" s="4" t="s">
        <v>16</v>
      </c>
      <c r="W694" s="43" t="str">
        <f>IF(VLOOKUP(V694,βοηθητικό!$J$2:$N$354,3,FALSE)="","",VLOOKUP(V694,βοηθητικό!$J$2:$N$354,3,FALSE))</f>
        <v>_</v>
      </c>
      <c r="X694" s="44"/>
      <c r="Y694" s="5" t="s">
        <v>16</v>
      </c>
      <c r="Z694" s="46" t="str">
        <f>IF(VLOOKUP(Y694,βοηθητικό!$J$2:$N$354,3,FALSE)="","",VLOOKUP(Y694,βοηθητικό!$J$2:$N$354,3,FALSE))</f>
        <v>_</v>
      </c>
      <c r="AA694" s="47"/>
      <c r="AB694" s="4" t="s">
        <v>16</v>
      </c>
      <c r="AC694" s="43" t="str">
        <f>IF(VLOOKUP(AB694,βοηθητικό!$J$2:$N$354,3,FALSE)="","",VLOOKUP(AB694,βοηθητικό!$J$2:$N$354,3,FALSE))</f>
        <v>_</v>
      </c>
      <c r="AD694" s="44"/>
      <c r="AE694" s="5" t="s">
        <v>16</v>
      </c>
      <c r="AF694" s="46" t="str">
        <f>IF(VLOOKUP(AE694,βοηθητικό!$J$2:$N$354,3,FALSE)="","",VLOOKUP(AE694,βοηθητικό!$J$2:$N$354,3,FALSE))</f>
        <v>_</v>
      </c>
      <c r="AG694" s="47"/>
      <c r="AH694" s="4" t="s">
        <v>16</v>
      </c>
      <c r="AI694" s="43" t="str">
        <f>IF(VLOOKUP(AH694,βοηθητικό!$J$2:$N$354,3,FALSE)="","",VLOOKUP(AH694,βοηθητικό!$J$2:$N$354,3,FALSE))</f>
        <v>_</v>
      </c>
      <c r="AJ694" s="44"/>
      <c r="AK694" s="5" t="s">
        <v>16</v>
      </c>
      <c r="AL694" s="46" t="str">
        <f>IF(VLOOKUP(AK694,βοηθητικό!$J$2:$N$354,3,FALSE)="","",VLOOKUP(AK694,βοηθητικό!$J$2:$N$354,3,FALSE))</f>
        <v>_</v>
      </c>
      <c r="AM694" s="47"/>
      <c r="AN694" s="4" t="s">
        <v>16</v>
      </c>
      <c r="AO694" s="43" t="str">
        <f>IF(VLOOKUP(AN694,βοηθητικό!$J$2:$N$354,3,FALSE)="","",VLOOKUP(AN694,βοηθητικό!$J$2:$N$354,3,FALSE))</f>
        <v>_</v>
      </c>
      <c r="AP694" s="44"/>
      <c r="AQ694" s="5" t="s">
        <v>16</v>
      </c>
      <c r="AR694" s="46" t="str">
        <f>IF(VLOOKUP(AQ694,βοηθητικό!$J$2:$N$354,3,FALSE)="","",VLOOKUP(AQ694,βοηθητικό!$J$2:$N$354,3,FALSE))</f>
        <v>_</v>
      </c>
      <c r="AS694" s="47"/>
      <c r="AT694" s="4" t="s">
        <v>16</v>
      </c>
      <c r="AU694" s="43" t="str">
        <f>IF(VLOOKUP(AT694,βοηθητικό!$J$2:$N$354,3,FALSE)="","",VLOOKUP(AT694,βοηθητικό!$J$2:$N$354,3,FALSE))</f>
        <v>_</v>
      </c>
      <c r="AV694" s="44"/>
      <c r="AW694" s="5" t="s">
        <v>16</v>
      </c>
      <c r="AX694" s="46" t="str">
        <f>IF(VLOOKUP(AW694,βοηθητικό!$J$2:$N$354,3,FALSE)="","",VLOOKUP(AW694,βοηθητικό!$J$2:$N$354,3,FALSE))</f>
        <v>_</v>
      </c>
      <c r="AY694" s="47"/>
      <c r="AZ694" s="4" t="s">
        <v>16</v>
      </c>
      <c r="BA694" s="43" t="str">
        <f>IF(VLOOKUP(AZ694,βοηθητικό!$J$2:$N$354,3,FALSE)="","",VLOOKUP(AZ694,βοηθητικό!$J$2:$N$354,3,FALSE))</f>
        <v>_</v>
      </c>
      <c r="BB694" s="44"/>
      <c r="BC694" s="45" t="s">
        <v>16</v>
      </c>
      <c r="BD694" s="46" t="str">
        <f>IF(VLOOKUP(BC694,βοηθητικό!$J$2:$N$354,3,FALSE)="","",VLOOKUP(BC694,βοηθητικό!$J$2:$N$354,3,FALSE))</f>
        <v>_</v>
      </c>
      <c r="BE694" s="47"/>
      <c r="BF694" s="42" t="s">
        <v>16</v>
      </c>
      <c r="BG694" s="43" t="str">
        <f>IF(VLOOKUP(BF694,βοηθητικό!$J$2:$N$354,3,FALSE)="","",VLOOKUP(BF694,βοηθητικό!$J$2:$N$354,3,FALSE))</f>
        <v>_</v>
      </c>
      <c r="BH694" s="44"/>
      <c r="BI694" s="45" t="s">
        <v>16</v>
      </c>
      <c r="BJ694" s="46" t="str">
        <f>IF(VLOOKUP(BI694,βοηθητικό!$J$2:$N$354,3,FALSE)="","",VLOOKUP(BI694,βοηθητικό!$J$2:$N$354,3,FALSE))</f>
        <v>_</v>
      </c>
      <c r="BK694" s="47"/>
      <c r="BL694" s="42" t="s">
        <v>16</v>
      </c>
      <c r="BM694" s="43" t="str">
        <f>IF(VLOOKUP(BL694,βοηθητικό!$J$2:$N$354,3,FALSE)="","",VLOOKUP(BL694,βοηθητικό!$J$2:$N$354,3,FALSE))</f>
        <v>_</v>
      </c>
      <c r="BN694" s="44"/>
      <c r="BO694" s="45" t="s">
        <v>16</v>
      </c>
      <c r="BP694" s="46" t="str">
        <f>IF(VLOOKUP(BO694,βοηθητικό!$J$2:$N$354,3,FALSE)="","",VLOOKUP(BO694,βοηθητικό!$J$2:$N$354,3,FALSE))</f>
        <v>_</v>
      </c>
      <c r="BQ694" s="47"/>
      <c r="BR694" s="42" t="s">
        <v>16</v>
      </c>
      <c r="BS694" s="43" t="str">
        <f>IF(VLOOKUP(BR694,βοηθητικό!$J$2:$N$354,3,FALSE)="","",VLOOKUP(BR694,βοηθητικό!$J$2:$N$354,3,FALSE))</f>
        <v>_</v>
      </c>
      <c r="BT694" s="44"/>
      <c r="BU694" s="45" t="s">
        <v>16</v>
      </c>
      <c r="BV694" s="46" t="str">
        <f>IF(VLOOKUP(BU694,βοηθητικό!$J$2:$N$354,3,FALSE)="","",VLOOKUP(BU694,βοηθητικό!$J$2:$N$354,3,FALSE))</f>
        <v>_</v>
      </c>
      <c r="BW694" s="47"/>
      <c r="BX694" s="42" t="s">
        <v>16</v>
      </c>
      <c r="BY694" s="43" t="str">
        <f>IF(VLOOKUP(BX694,βοηθητικό!$J$2:$N$354,3,FALSE)="","",VLOOKUP(BX694,βοηθητικό!$J$2:$N$354,3,FALSE))</f>
        <v>_</v>
      </c>
      <c r="BZ694" s="44"/>
      <c r="CA694" s="45" t="s">
        <v>16</v>
      </c>
      <c r="CB694" s="46" t="str">
        <f>IF(VLOOKUP(CA694,βοηθητικό!$J$2:$N$354,3,FALSE)="","",VLOOKUP(CA694,βοηθητικό!$J$2:$N$354,3,FALSE))</f>
        <v>_</v>
      </c>
      <c r="CC694" s="47"/>
      <c r="CD694" s="42" t="s">
        <v>16</v>
      </c>
      <c r="CE694" s="43" t="str">
        <f>IF(VLOOKUP(CD694,βοηθητικό!$J$2:$N$354,3,FALSE)="","",VLOOKUP(CD694,βοηθητικό!$J$2:$N$354,3,FALSE))</f>
        <v>_</v>
      </c>
      <c r="CF694" s="44"/>
      <c r="CG694" s="45" t="s">
        <v>16</v>
      </c>
      <c r="CH694" s="46" t="str">
        <f>IF(VLOOKUP(CG694,βοηθητικό!$J$2:$N$354,3,FALSE)="","",VLOOKUP(CG694,βοηθητικό!$J$2:$N$354,3,FALSE))</f>
        <v>_</v>
      </c>
      <c r="CI694" s="47"/>
      <c r="CJ694" s="42" t="s">
        <v>16</v>
      </c>
      <c r="CK694" s="43" t="str">
        <f>IF(VLOOKUP(CJ694,βοηθητικό!$J$2:$N$354,3,FALSE)="","",VLOOKUP(CJ694,βοηθητικό!$J$2:$N$354,3,FALSE))</f>
        <v>_</v>
      </c>
      <c r="CL694" s="44"/>
      <c r="CM694" s="45" t="s">
        <v>16</v>
      </c>
      <c r="CN694" s="46" t="str">
        <f>IF(VLOOKUP(CM694,βοηθητικό!$J$2:$N$354,3,FALSE)="","",VLOOKUP(CM694,βοηθητικό!$J$2:$N$354,3,FALSE))</f>
        <v>_</v>
      </c>
      <c r="CO694" s="47"/>
      <c r="CP694" s="42" t="s">
        <v>16</v>
      </c>
      <c r="CQ694" s="43" t="str">
        <f>IF(VLOOKUP(CP694,βοηθητικό!$J$2:$N$354,3,FALSE)="","",VLOOKUP(CP694,βοηθητικό!$J$2:$N$354,3,FALSE))</f>
        <v>_</v>
      </c>
      <c r="CR694" s="44"/>
      <c r="CS694" s="45" t="s">
        <v>16</v>
      </c>
      <c r="CT694" s="46" t="str">
        <f>IF(VLOOKUP(CS694,βοηθητικό!$J$2:$N$354,3,FALSE)="","",VLOOKUP(CS694,βοηθητικό!$J$2:$N$354,3,FALSE))</f>
        <v>_</v>
      </c>
      <c r="CU694" s="47"/>
    </row>
    <row r="695" spans="1:99" x14ac:dyDescent="0.25">
      <c r="A695" s="37">
        <f>--SUBTOTAL(3,$B$3:B694)</f>
        <v>198</v>
      </c>
      <c r="B695" s="2"/>
      <c r="C695" s="3"/>
      <c r="D695" s="55" t="s">
        <v>18</v>
      </c>
      <c r="E695" s="38" t="s">
        <v>16</v>
      </c>
      <c r="F695" s="38"/>
      <c r="G695" s="39" t="str">
        <f t="shared" si="32"/>
        <v>__</v>
      </c>
      <c r="H695" s="40" t="str">
        <f t="shared" si="33"/>
        <v>FALSE</v>
      </c>
      <c r="I695" s="41">
        <f t="shared" si="34"/>
        <v>0</v>
      </c>
      <c r="J695" s="4" t="s">
        <v>16</v>
      </c>
      <c r="K695" s="43" t="str">
        <f>IF(VLOOKUP(J695,βοηθητικό!$J$2:$N$354,3,FALSE)="","",VLOOKUP(J695,βοηθητικό!$J$2:$N$354,3,FALSE))</f>
        <v>_</v>
      </c>
      <c r="L695" s="44"/>
      <c r="M695" s="5" t="s">
        <v>16</v>
      </c>
      <c r="N695" s="46" t="str">
        <f>IF(VLOOKUP(M695,βοηθητικό!$J$2:$N$354,3,FALSE)="","",VLOOKUP(M695,βοηθητικό!$J$2:$N$354,3,FALSE))</f>
        <v>_</v>
      </c>
      <c r="O695" s="47"/>
      <c r="P695" s="4" t="s">
        <v>16</v>
      </c>
      <c r="Q695" s="43" t="str">
        <f>IF(VLOOKUP(P695,βοηθητικό!$J$2:$N$354,3,FALSE)="","",VLOOKUP(P695,βοηθητικό!$J$2:$N$354,3,FALSE))</f>
        <v>_</v>
      </c>
      <c r="R695" s="44"/>
      <c r="S695" s="5" t="s">
        <v>16</v>
      </c>
      <c r="T695" s="46" t="str">
        <f>IF(VLOOKUP(S695,βοηθητικό!$J$2:$N$354,3,FALSE)="","",VLOOKUP(S695,βοηθητικό!$J$2:$N$354,3,FALSE))</f>
        <v>_</v>
      </c>
      <c r="U695" s="47"/>
      <c r="V695" s="4" t="s">
        <v>16</v>
      </c>
      <c r="W695" s="43" t="str">
        <f>IF(VLOOKUP(V695,βοηθητικό!$J$2:$N$354,3,FALSE)="","",VLOOKUP(V695,βοηθητικό!$J$2:$N$354,3,FALSE))</f>
        <v>_</v>
      </c>
      <c r="X695" s="44"/>
      <c r="Y695" s="5" t="s">
        <v>16</v>
      </c>
      <c r="Z695" s="46" t="str">
        <f>IF(VLOOKUP(Y695,βοηθητικό!$J$2:$N$354,3,FALSE)="","",VLOOKUP(Y695,βοηθητικό!$J$2:$N$354,3,FALSE))</f>
        <v>_</v>
      </c>
      <c r="AA695" s="47"/>
      <c r="AB695" s="4" t="s">
        <v>16</v>
      </c>
      <c r="AC695" s="43" t="str">
        <f>IF(VLOOKUP(AB695,βοηθητικό!$J$2:$N$354,3,FALSE)="","",VLOOKUP(AB695,βοηθητικό!$J$2:$N$354,3,FALSE))</f>
        <v>_</v>
      </c>
      <c r="AD695" s="44"/>
      <c r="AE695" s="5" t="s">
        <v>16</v>
      </c>
      <c r="AF695" s="46" t="str">
        <f>IF(VLOOKUP(AE695,βοηθητικό!$J$2:$N$354,3,FALSE)="","",VLOOKUP(AE695,βοηθητικό!$J$2:$N$354,3,FALSE))</f>
        <v>_</v>
      </c>
      <c r="AG695" s="47"/>
      <c r="AH695" s="4" t="s">
        <v>16</v>
      </c>
      <c r="AI695" s="43" t="str">
        <f>IF(VLOOKUP(AH695,βοηθητικό!$J$2:$N$354,3,FALSE)="","",VLOOKUP(AH695,βοηθητικό!$J$2:$N$354,3,FALSE))</f>
        <v>_</v>
      </c>
      <c r="AJ695" s="44"/>
      <c r="AK695" s="5" t="s">
        <v>16</v>
      </c>
      <c r="AL695" s="46" t="str">
        <f>IF(VLOOKUP(AK695,βοηθητικό!$J$2:$N$354,3,FALSE)="","",VLOOKUP(AK695,βοηθητικό!$J$2:$N$354,3,FALSE))</f>
        <v>_</v>
      </c>
      <c r="AM695" s="47"/>
      <c r="AN695" s="4" t="s">
        <v>16</v>
      </c>
      <c r="AO695" s="43" t="str">
        <f>IF(VLOOKUP(AN695,βοηθητικό!$J$2:$N$354,3,FALSE)="","",VLOOKUP(AN695,βοηθητικό!$J$2:$N$354,3,FALSE))</f>
        <v>_</v>
      </c>
      <c r="AP695" s="44"/>
      <c r="AQ695" s="5" t="s">
        <v>16</v>
      </c>
      <c r="AR695" s="46" t="str">
        <f>IF(VLOOKUP(AQ695,βοηθητικό!$J$2:$N$354,3,FALSE)="","",VLOOKUP(AQ695,βοηθητικό!$J$2:$N$354,3,FALSE))</f>
        <v>_</v>
      </c>
      <c r="AS695" s="47"/>
      <c r="AT695" s="4" t="s">
        <v>16</v>
      </c>
      <c r="AU695" s="43" t="str">
        <f>IF(VLOOKUP(AT695,βοηθητικό!$J$2:$N$354,3,FALSE)="","",VLOOKUP(AT695,βοηθητικό!$J$2:$N$354,3,FALSE))</f>
        <v>_</v>
      </c>
      <c r="AV695" s="44"/>
      <c r="AW695" s="5" t="s">
        <v>16</v>
      </c>
      <c r="AX695" s="46" t="str">
        <f>IF(VLOOKUP(AW695,βοηθητικό!$J$2:$N$354,3,FALSE)="","",VLOOKUP(AW695,βοηθητικό!$J$2:$N$354,3,FALSE))</f>
        <v>_</v>
      </c>
      <c r="AY695" s="47"/>
      <c r="AZ695" s="4" t="s">
        <v>16</v>
      </c>
      <c r="BA695" s="43" t="str">
        <f>IF(VLOOKUP(AZ695,βοηθητικό!$J$2:$N$354,3,FALSE)="","",VLOOKUP(AZ695,βοηθητικό!$J$2:$N$354,3,FALSE))</f>
        <v>_</v>
      </c>
      <c r="BB695" s="44"/>
      <c r="BC695" s="45" t="s">
        <v>16</v>
      </c>
      <c r="BD695" s="46" t="str">
        <f>IF(VLOOKUP(BC695,βοηθητικό!$J$2:$N$354,3,FALSE)="","",VLOOKUP(BC695,βοηθητικό!$J$2:$N$354,3,FALSE))</f>
        <v>_</v>
      </c>
      <c r="BE695" s="47"/>
      <c r="BF695" s="42" t="s">
        <v>16</v>
      </c>
      <c r="BG695" s="43" t="str">
        <f>IF(VLOOKUP(BF695,βοηθητικό!$J$2:$N$354,3,FALSE)="","",VLOOKUP(BF695,βοηθητικό!$J$2:$N$354,3,FALSE))</f>
        <v>_</v>
      </c>
      <c r="BH695" s="44"/>
      <c r="BI695" s="45" t="s">
        <v>16</v>
      </c>
      <c r="BJ695" s="46" t="str">
        <f>IF(VLOOKUP(BI695,βοηθητικό!$J$2:$N$354,3,FALSE)="","",VLOOKUP(BI695,βοηθητικό!$J$2:$N$354,3,FALSE))</f>
        <v>_</v>
      </c>
      <c r="BK695" s="47"/>
      <c r="BL695" s="42" t="s">
        <v>16</v>
      </c>
      <c r="BM695" s="43" t="str">
        <f>IF(VLOOKUP(BL695,βοηθητικό!$J$2:$N$354,3,FALSE)="","",VLOOKUP(BL695,βοηθητικό!$J$2:$N$354,3,FALSE))</f>
        <v>_</v>
      </c>
      <c r="BN695" s="44"/>
      <c r="BO695" s="45" t="s">
        <v>16</v>
      </c>
      <c r="BP695" s="46" t="str">
        <f>IF(VLOOKUP(BO695,βοηθητικό!$J$2:$N$354,3,FALSE)="","",VLOOKUP(BO695,βοηθητικό!$J$2:$N$354,3,FALSE))</f>
        <v>_</v>
      </c>
      <c r="BQ695" s="47"/>
      <c r="BR695" s="42" t="s">
        <v>16</v>
      </c>
      <c r="BS695" s="43" t="str">
        <f>IF(VLOOKUP(BR695,βοηθητικό!$J$2:$N$354,3,FALSE)="","",VLOOKUP(BR695,βοηθητικό!$J$2:$N$354,3,FALSE))</f>
        <v>_</v>
      </c>
      <c r="BT695" s="44"/>
      <c r="BU695" s="45" t="s">
        <v>16</v>
      </c>
      <c r="BV695" s="46" t="str">
        <f>IF(VLOOKUP(BU695,βοηθητικό!$J$2:$N$354,3,FALSE)="","",VLOOKUP(BU695,βοηθητικό!$J$2:$N$354,3,FALSE))</f>
        <v>_</v>
      </c>
      <c r="BW695" s="47"/>
      <c r="BX695" s="42" t="s">
        <v>16</v>
      </c>
      <c r="BY695" s="43" t="str">
        <f>IF(VLOOKUP(BX695,βοηθητικό!$J$2:$N$354,3,FALSE)="","",VLOOKUP(BX695,βοηθητικό!$J$2:$N$354,3,FALSE))</f>
        <v>_</v>
      </c>
      <c r="BZ695" s="44"/>
      <c r="CA695" s="45" t="s">
        <v>16</v>
      </c>
      <c r="CB695" s="46" t="str">
        <f>IF(VLOOKUP(CA695,βοηθητικό!$J$2:$N$354,3,FALSE)="","",VLOOKUP(CA695,βοηθητικό!$J$2:$N$354,3,FALSE))</f>
        <v>_</v>
      </c>
      <c r="CC695" s="47"/>
      <c r="CD695" s="42" t="s">
        <v>16</v>
      </c>
      <c r="CE695" s="43" t="str">
        <f>IF(VLOOKUP(CD695,βοηθητικό!$J$2:$N$354,3,FALSE)="","",VLOOKUP(CD695,βοηθητικό!$J$2:$N$354,3,FALSE))</f>
        <v>_</v>
      </c>
      <c r="CF695" s="44"/>
      <c r="CG695" s="45" t="s">
        <v>16</v>
      </c>
      <c r="CH695" s="46" t="str">
        <f>IF(VLOOKUP(CG695,βοηθητικό!$J$2:$N$354,3,FALSE)="","",VLOOKUP(CG695,βοηθητικό!$J$2:$N$354,3,FALSE))</f>
        <v>_</v>
      </c>
      <c r="CI695" s="47"/>
      <c r="CJ695" s="42" t="s">
        <v>16</v>
      </c>
      <c r="CK695" s="43" t="str">
        <f>IF(VLOOKUP(CJ695,βοηθητικό!$J$2:$N$354,3,FALSE)="","",VLOOKUP(CJ695,βοηθητικό!$J$2:$N$354,3,FALSE))</f>
        <v>_</v>
      </c>
      <c r="CL695" s="44"/>
      <c r="CM695" s="45" t="s">
        <v>16</v>
      </c>
      <c r="CN695" s="46" t="str">
        <f>IF(VLOOKUP(CM695,βοηθητικό!$J$2:$N$354,3,FALSE)="","",VLOOKUP(CM695,βοηθητικό!$J$2:$N$354,3,FALSE))</f>
        <v>_</v>
      </c>
      <c r="CO695" s="47"/>
      <c r="CP695" s="42" t="s">
        <v>16</v>
      </c>
      <c r="CQ695" s="43" t="str">
        <f>IF(VLOOKUP(CP695,βοηθητικό!$J$2:$N$354,3,FALSE)="","",VLOOKUP(CP695,βοηθητικό!$J$2:$N$354,3,FALSE))</f>
        <v>_</v>
      </c>
      <c r="CR695" s="44"/>
      <c r="CS695" s="45" t="s">
        <v>16</v>
      </c>
      <c r="CT695" s="46" t="str">
        <f>IF(VLOOKUP(CS695,βοηθητικό!$J$2:$N$354,3,FALSE)="","",VLOOKUP(CS695,βοηθητικό!$J$2:$N$354,3,FALSE))</f>
        <v>_</v>
      </c>
      <c r="CU695" s="47"/>
    </row>
    <row r="696" spans="1:99" x14ac:dyDescent="0.25">
      <c r="A696" s="37">
        <f>--SUBTOTAL(3,$B$3:B695)</f>
        <v>198</v>
      </c>
      <c r="B696" s="2"/>
      <c r="C696" s="3"/>
      <c r="D696" s="55" t="s">
        <v>18</v>
      </c>
      <c r="E696" s="38" t="s">
        <v>16</v>
      </c>
      <c r="F696" s="38"/>
      <c r="G696" s="39" t="str">
        <f t="shared" si="32"/>
        <v>__</v>
      </c>
      <c r="H696" s="40" t="str">
        <f t="shared" si="33"/>
        <v>FALSE</v>
      </c>
      <c r="I696" s="41">
        <f t="shared" si="34"/>
        <v>0</v>
      </c>
      <c r="J696" s="4" t="s">
        <v>16</v>
      </c>
      <c r="K696" s="43" t="str">
        <f>IF(VLOOKUP(J696,βοηθητικό!$J$2:$N$354,3,FALSE)="","",VLOOKUP(J696,βοηθητικό!$J$2:$N$354,3,FALSE))</f>
        <v>_</v>
      </c>
      <c r="L696" s="44"/>
      <c r="M696" s="5" t="s">
        <v>16</v>
      </c>
      <c r="N696" s="46" t="str">
        <f>IF(VLOOKUP(M696,βοηθητικό!$J$2:$N$354,3,FALSE)="","",VLOOKUP(M696,βοηθητικό!$J$2:$N$354,3,FALSE))</f>
        <v>_</v>
      </c>
      <c r="O696" s="47"/>
      <c r="P696" s="4" t="s">
        <v>16</v>
      </c>
      <c r="Q696" s="43" t="str">
        <f>IF(VLOOKUP(P696,βοηθητικό!$J$2:$N$354,3,FALSE)="","",VLOOKUP(P696,βοηθητικό!$J$2:$N$354,3,FALSE))</f>
        <v>_</v>
      </c>
      <c r="R696" s="44"/>
      <c r="S696" s="5" t="s">
        <v>16</v>
      </c>
      <c r="T696" s="46" t="str">
        <f>IF(VLOOKUP(S696,βοηθητικό!$J$2:$N$354,3,FALSE)="","",VLOOKUP(S696,βοηθητικό!$J$2:$N$354,3,FALSE))</f>
        <v>_</v>
      </c>
      <c r="U696" s="47"/>
      <c r="V696" s="4" t="s">
        <v>16</v>
      </c>
      <c r="W696" s="43" t="str">
        <f>IF(VLOOKUP(V696,βοηθητικό!$J$2:$N$354,3,FALSE)="","",VLOOKUP(V696,βοηθητικό!$J$2:$N$354,3,FALSE))</f>
        <v>_</v>
      </c>
      <c r="X696" s="44"/>
      <c r="Y696" s="5" t="s">
        <v>16</v>
      </c>
      <c r="Z696" s="46" t="str">
        <f>IF(VLOOKUP(Y696,βοηθητικό!$J$2:$N$354,3,FALSE)="","",VLOOKUP(Y696,βοηθητικό!$J$2:$N$354,3,FALSE))</f>
        <v>_</v>
      </c>
      <c r="AA696" s="47"/>
      <c r="AB696" s="4" t="s">
        <v>16</v>
      </c>
      <c r="AC696" s="43" t="str">
        <f>IF(VLOOKUP(AB696,βοηθητικό!$J$2:$N$354,3,FALSE)="","",VLOOKUP(AB696,βοηθητικό!$J$2:$N$354,3,FALSE))</f>
        <v>_</v>
      </c>
      <c r="AD696" s="44"/>
      <c r="AE696" s="5" t="s">
        <v>16</v>
      </c>
      <c r="AF696" s="46" t="str">
        <f>IF(VLOOKUP(AE696,βοηθητικό!$J$2:$N$354,3,FALSE)="","",VLOOKUP(AE696,βοηθητικό!$J$2:$N$354,3,FALSE))</f>
        <v>_</v>
      </c>
      <c r="AG696" s="47"/>
      <c r="AH696" s="4" t="s">
        <v>16</v>
      </c>
      <c r="AI696" s="43" t="str">
        <f>IF(VLOOKUP(AH696,βοηθητικό!$J$2:$N$354,3,FALSE)="","",VLOOKUP(AH696,βοηθητικό!$J$2:$N$354,3,FALSE))</f>
        <v>_</v>
      </c>
      <c r="AJ696" s="44"/>
      <c r="AK696" s="5" t="s">
        <v>16</v>
      </c>
      <c r="AL696" s="46" t="str">
        <f>IF(VLOOKUP(AK696,βοηθητικό!$J$2:$N$354,3,FALSE)="","",VLOOKUP(AK696,βοηθητικό!$J$2:$N$354,3,FALSE))</f>
        <v>_</v>
      </c>
      <c r="AM696" s="47"/>
      <c r="AN696" s="4" t="s">
        <v>16</v>
      </c>
      <c r="AO696" s="43" t="str">
        <f>IF(VLOOKUP(AN696,βοηθητικό!$J$2:$N$354,3,FALSE)="","",VLOOKUP(AN696,βοηθητικό!$J$2:$N$354,3,FALSE))</f>
        <v>_</v>
      </c>
      <c r="AP696" s="44"/>
      <c r="AQ696" s="5" t="s">
        <v>16</v>
      </c>
      <c r="AR696" s="46" t="str">
        <f>IF(VLOOKUP(AQ696,βοηθητικό!$J$2:$N$354,3,FALSE)="","",VLOOKUP(AQ696,βοηθητικό!$J$2:$N$354,3,FALSE))</f>
        <v>_</v>
      </c>
      <c r="AS696" s="47"/>
      <c r="AT696" s="4" t="s">
        <v>16</v>
      </c>
      <c r="AU696" s="43" t="str">
        <f>IF(VLOOKUP(AT696,βοηθητικό!$J$2:$N$354,3,FALSE)="","",VLOOKUP(AT696,βοηθητικό!$J$2:$N$354,3,FALSE))</f>
        <v>_</v>
      </c>
      <c r="AV696" s="44"/>
      <c r="AW696" s="5" t="s">
        <v>16</v>
      </c>
      <c r="AX696" s="46" t="str">
        <f>IF(VLOOKUP(AW696,βοηθητικό!$J$2:$N$354,3,FALSE)="","",VLOOKUP(AW696,βοηθητικό!$J$2:$N$354,3,FALSE))</f>
        <v>_</v>
      </c>
      <c r="AY696" s="47"/>
      <c r="AZ696" s="4" t="s">
        <v>16</v>
      </c>
      <c r="BA696" s="43" t="str">
        <f>IF(VLOOKUP(AZ696,βοηθητικό!$J$2:$N$354,3,FALSE)="","",VLOOKUP(AZ696,βοηθητικό!$J$2:$N$354,3,FALSE))</f>
        <v>_</v>
      </c>
      <c r="BB696" s="44"/>
      <c r="BC696" s="45" t="s">
        <v>16</v>
      </c>
      <c r="BD696" s="46" t="str">
        <f>IF(VLOOKUP(BC696,βοηθητικό!$J$2:$N$354,3,FALSE)="","",VLOOKUP(BC696,βοηθητικό!$J$2:$N$354,3,FALSE))</f>
        <v>_</v>
      </c>
      <c r="BE696" s="47"/>
      <c r="BF696" s="42" t="s">
        <v>16</v>
      </c>
      <c r="BG696" s="43" t="str">
        <f>IF(VLOOKUP(BF696,βοηθητικό!$J$2:$N$354,3,FALSE)="","",VLOOKUP(BF696,βοηθητικό!$J$2:$N$354,3,FALSE))</f>
        <v>_</v>
      </c>
      <c r="BH696" s="44"/>
      <c r="BI696" s="45" t="s">
        <v>16</v>
      </c>
      <c r="BJ696" s="46" t="str">
        <f>IF(VLOOKUP(BI696,βοηθητικό!$J$2:$N$354,3,FALSE)="","",VLOOKUP(BI696,βοηθητικό!$J$2:$N$354,3,FALSE))</f>
        <v>_</v>
      </c>
      <c r="BK696" s="47"/>
      <c r="BL696" s="42" t="s">
        <v>16</v>
      </c>
      <c r="BM696" s="43" t="str">
        <f>IF(VLOOKUP(BL696,βοηθητικό!$J$2:$N$354,3,FALSE)="","",VLOOKUP(BL696,βοηθητικό!$J$2:$N$354,3,FALSE))</f>
        <v>_</v>
      </c>
      <c r="BN696" s="44"/>
      <c r="BO696" s="45" t="s">
        <v>16</v>
      </c>
      <c r="BP696" s="46" t="str">
        <f>IF(VLOOKUP(BO696,βοηθητικό!$J$2:$N$354,3,FALSE)="","",VLOOKUP(BO696,βοηθητικό!$J$2:$N$354,3,FALSE))</f>
        <v>_</v>
      </c>
      <c r="BQ696" s="47"/>
      <c r="BR696" s="42" t="s">
        <v>16</v>
      </c>
      <c r="BS696" s="43" t="str">
        <f>IF(VLOOKUP(BR696,βοηθητικό!$J$2:$N$354,3,FALSE)="","",VLOOKUP(BR696,βοηθητικό!$J$2:$N$354,3,FALSE))</f>
        <v>_</v>
      </c>
      <c r="BT696" s="44"/>
      <c r="BU696" s="45" t="s">
        <v>16</v>
      </c>
      <c r="BV696" s="46" t="str">
        <f>IF(VLOOKUP(BU696,βοηθητικό!$J$2:$N$354,3,FALSE)="","",VLOOKUP(BU696,βοηθητικό!$J$2:$N$354,3,FALSE))</f>
        <v>_</v>
      </c>
      <c r="BW696" s="47"/>
      <c r="BX696" s="42" t="s">
        <v>16</v>
      </c>
      <c r="BY696" s="43" t="str">
        <f>IF(VLOOKUP(BX696,βοηθητικό!$J$2:$N$354,3,FALSE)="","",VLOOKUP(BX696,βοηθητικό!$J$2:$N$354,3,FALSE))</f>
        <v>_</v>
      </c>
      <c r="BZ696" s="44"/>
      <c r="CA696" s="45" t="s">
        <v>16</v>
      </c>
      <c r="CB696" s="46" t="str">
        <f>IF(VLOOKUP(CA696,βοηθητικό!$J$2:$N$354,3,FALSE)="","",VLOOKUP(CA696,βοηθητικό!$J$2:$N$354,3,FALSE))</f>
        <v>_</v>
      </c>
      <c r="CC696" s="47"/>
      <c r="CD696" s="42" t="s">
        <v>16</v>
      </c>
      <c r="CE696" s="43" t="str">
        <f>IF(VLOOKUP(CD696,βοηθητικό!$J$2:$N$354,3,FALSE)="","",VLOOKUP(CD696,βοηθητικό!$J$2:$N$354,3,FALSE))</f>
        <v>_</v>
      </c>
      <c r="CF696" s="44"/>
      <c r="CG696" s="45" t="s">
        <v>16</v>
      </c>
      <c r="CH696" s="46" t="str">
        <f>IF(VLOOKUP(CG696,βοηθητικό!$J$2:$N$354,3,FALSE)="","",VLOOKUP(CG696,βοηθητικό!$J$2:$N$354,3,FALSE))</f>
        <v>_</v>
      </c>
      <c r="CI696" s="47"/>
      <c r="CJ696" s="42" t="s">
        <v>16</v>
      </c>
      <c r="CK696" s="43" t="str">
        <f>IF(VLOOKUP(CJ696,βοηθητικό!$J$2:$N$354,3,FALSE)="","",VLOOKUP(CJ696,βοηθητικό!$J$2:$N$354,3,FALSE))</f>
        <v>_</v>
      </c>
      <c r="CL696" s="44"/>
      <c r="CM696" s="45" t="s">
        <v>16</v>
      </c>
      <c r="CN696" s="46" t="str">
        <f>IF(VLOOKUP(CM696,βοηθητικό!$J$2:$N$354,3,FALSE)="","",VLOOKUP(CM696,βοηθητικό!$J$2:$N$354,3,FALSE))</f>
        <v>_</v>
      </c>
      <c r="CO696" s="47"/>
      <c r="CP696" s="42" t="s">
        <v>16</v>
      </c>
      <c r="CQ696" s="43" t="str">
        <f>IF(VLOOKUP(CP696,βοηθητικό!$J$2:$N$354,3,FALSE)="","",VLOOKUP(CP696,βοηθητικό!$J$2:$N$354,3,FALSE))</f>
        <v>_</v>
      </c>
      <c r="CR696" s="44"/>
      <c r="CS696" s="45" t="s">
        <v>16</v>
      </c>
      <c r="CT696" s="46" t="str">
        <f>IF(VLOOKUP(CS696,βοηθητικό!$J$2:$N$354,3,FALSE)="","",VLOOKUP(CS696,βοηθητικό!$J$2:$N$354,3,FALSE))</f>
        <v>_</v>
      </c>
      <c r="CU696" s="47"/>
    </row>
    <row r="697" spans="1:99" x14ac:dyDescent="0.25">
      <c r="A697" s="37">
        <f>--SUBTOTAL(3,$B$3:B696)</f>
        <v>198</v>
      </c>
      <c r="B697" s="2"/>
      <c r="C697" s="3"/>
      <c r="D697" s="55" t="s">
        <v>18</v>
      </c>
      <c r="E697" s="38" t="s">
        <v>16</v>
      </c>
      <c r="F697" s="38"/>
      <c r="G697" s="39" t="str">
        <f t="shared" si="32"/>
        <v>__</v>
      </c>
      <c r="H697" s="40" t="str">
        <f t="shared" si="33"/>
        <v>FALSE</v>
      </c>
      <c r="I697" s="41">
        <f t="shared" si="34"/>
        <v>0</v>
      </c>
      <c r="J697" s="4" t="s">
        <v>16</v>
      </c>
      <c r="K697" s="43" t="str">
        <f>IF(VLOOKUP(J697,βοηθητικό!$J$2:$N$354,3,FALSE)="","",VLOOKUP(J697,βοηθητικό!$J$2:$N$354,3,FALSE))</f>
        <v>_</v>
      </c>
      <c r="L697" s="44"/>
      <c r="M697" s="5" t="s">
        <v>16</v>
      </c>
      <c r="N697" s="46" t="str">
        <f>IF(VLOOKUP(M697,βοηθητικό!$J$2:$N$354,3,FALSE)="","",VLOOKUP(M697,βοηθητικό!$J$2:$N$354,3,FALSE))</f>
        <v>_</v>
      </c>
      <c r="O697" s="47"/>
      <c r="P697" s="4" t="s">
        <v>16</v>
      </c>
      <c r="Q697" s="43" t="str">
        <f>IF(VLOOKUP(P697,βοηθητικό!$J$2:$N$354,3,FALSE)="","",VLOOKUP(P697,βοηθητικό!$J$2:$N$354,3,FALSE))</f>
        <v>_</v>
      </c>
      <c r="R697" s="44"/>
      <c r="S697" s="5" t="s">
        <v>16</v>
      </c>
      <c r="T697" s="46" t="str">
        <f>IF(VLOOKUP(S697,βοηθητικό!$J$2:$N$354,3,FALSE)="","",VLOOKUP(S697,βοηθητικό!$J$2:$N$354,3,FALSE))</f>
        <v>_</v>
      </c>
      <c r="U697" s="47"/>
      <c r="V697" s="4" t="s">
        <v>16</v>
      </c>
      <c r="W697" s="43" t="str">
        <f>IF(VLOOKUP(V697,βοηθητικό!$J$2:$N$354,3,FALSE)="","",VLOOKUP(V697,βοηθητικό!$J$2:$N$354,3,FALSE))</f>
        <v>_</v>
      </c>
      <c r="X697" s="44"/>
      <c r="Y697" s="5" t="s">
        <v>16</v>
      </c>
      <c r="Z697" s="46" t="str">
        <f>IF(VLOOKUP(Y697,βοηθητικό!$J$2:$N$354,3,FALSE)="","",VLOOKUP(Y697,βοηθητικό!$J$2:$N$354,3,FALSE))</f>
        <v>_</v>
      </c>
      <c r="AA697" s="47"/>
      <c r="AB697" s="4" t="s">
        <v>16</v>
      </c>
      <c r="AC697" s="43" t="str">
        <f>IF(VLOOKUP(AB697,βοηθητικό!$J$2:$N$354,3,FALSE)="","",VLOOKUP(AB697,βοηθητικό!$J$2:$N$354,3,FALSE))</f>
        <v>_</v>
      </c>
      <c r="AD697" s="44"/>
      <c r="AE697" s="5" t="s">
        <v>16</v>
      </c>
      <c r="AF697" s="46" t="str">
        <f>IF(VLOOKUP(AE697,βοηθητικό!$J$2:$N$354,3,FALSE)="","",VLOOKUP(AE697,βοηθητικό!$J$2:$N$354,3,FALSE))</f>
        <v>_</v>
      </c>
      <c r="AG697" s="47"/>
      <c r="AH697" s="4" t="s">
        <v>16</v>
      </c>
      <c r="AI697" s="43" t="str">
        <f>IF(VLOOKUP(AH697,βοηθητικό!$J$2:$N$354,3,FALSE)="","",VLOOKUP(AH697,βοηθητικό!$J$2:$N$354,3,FALSE))</f>
        <v>_</v>
      </c>
      <c r="AJ697" s="44"/>
      <c r="AK697" s="5" t="s">
        <v>16</v>
      </c>
      <c r="AL697" s="46" t="str">
        <f>IF(VLOOKUP(AK697,βοηθητικό!$J$2:$N$354,3,FALSE)="","",VLOOKUP(AK697,βοηθητικό!$J$2:$N$354,3,FALSE))</f>
        <v>_</v>
      </c>
      <c r="AM697" s="47"/>
      <c r="AN697" s="4" t="s">
        <v>16</v>
      </c>
      <c r="AO697" s="43" t="str">
        <f>IF(VLOOKUP(AN697,βοηθητικό!$J$2:$N$354,3,FALSE)="","",VLOOKUP(AN697,βοηθητικό!$J$2:$N$354,3,FALSE))</f>
        <v>_</v>
      </c>
      <c r="AP697" s="44"/>
      <c r="AQ697" s="5" t="s">
        <v>16</v>
      </c>
      <c r="AR697" s="46" t="str">
        <f>IF(VLOOKUP(AQ697,βοηθητικό!$J$2:$N$354,3,FALSE)="","",VLOOKUP(AQ697,βοηθητικό!$J$2:$N$354,3,FALSE))</f>
        <v>_</v>
      </c>
      <c r="AS697" s="47"/>
      <c r="AT697" s="4" t="s">
        <v>16</v>
      </c>
      <c r="AU697" s="43" t="str">
        <f>IF(VLOOKUP(AT697,βοηθητικό!$J$2:$N$354,3,FALSE)="","",VLOOKUP(AT697,βοηθητικό!$J$2:$N$354,3,FALSE))</f>
        <v>_</v>
      </c>
      <c r="AV697" s="44"/>
      <c r="AW697" s="5" t="s">
        <v>16</v>
      </c>
      <c r="AX697" s="46" t="str">
        <f>IF(VLOOKUP(AW697,βοηθητικό!$J$2:$N$354,3,FALSE)="","",VLOOKUP(AW697,βοηθητικό!$J$2:$N$354,3,FALSE))</f>
        <v>_</v>
      </c>
      <c r="AY697" s="47"/>
      <c r="AZ697" s="4" t="s">
        <v>16</v>
      </c>
      <c r="BA697" s="43" t="str">
        <f>IF(VLOOKUP(AZ697,βοηθητικό!$J$2:$N$354,3,FALSE)="","",VLOOKUP(AZ697,βοηθητικό!$J$2:$N$354,3,FALSE))</f>
        <v>_</v>
      </c>
      <c r="BB697" s="44"/>
      <c r="BC697" s="45" t="s">
        <v>16</v>
      </c>
      <c r="BD697" s="46" t="str">
        <f>IF(VLOOKUP(BC697,βοηθητικό!$J$2:$N$354,3,FALSE)="","",VLOOKUP(BC697,βοηθητικό!$J$2:$N$354,3,FALSE))</f>
        <v>_</v>
      </c>
      <c r="BE697" s="47"/>
      <c r="BF697" s="42" t="s">
        <v>16</v>
      </c>
      <c r="BG697" s="43" t="str">
        <f>IF(VLOOKUP(BF697,βοηθητικό!$J$2:$N$354,3,FALSE)="","",VLOOKUP(BF697,βοηθητικό!$J$2:$N$354,3,FALSE))</f>
        <v>_</v>
      </c>
      <c r="BH697" s="44"/>
      <c r="BI697" s="45" t="s">
        <v>16</v>
      </c>
      <c r="BJ697" s="46" t="str">
        <f>IF(VLOOKUP(BI697,βοηθητικό!$J$2:$N$354,3,FALSE)="","",VLOOKUP(BI697,βοηθητικό!$J$2:$N$354,3,FALSE))</f>
        <v>_</v>
      </c>
      <c r="BK697" s="47"/>
      <c r="BL697" s="42" t="s">
        <v>16</v>
      </c>
      <c r="BM697" s="43" t="str">
        <f>IF(VLOOKUP(BL697,βοηθητικό!$J$2:$N$354,3,FALSE)="","",VLOOKUP(BL697,βοηθητικό!$J$2:$N$354,3,FALSE))</f>
        <v>_</v>
      </c>
      <c r="BN697" s="44"/>
      <c r="BO697" s="45" t="s">
        <v>16</v>
      </c>
      <c r="BP697" s="46" t="str">
        <f>IF(VLOOKUP(BO697,βοηθητικό!$J$2:$N$354,3,FALSE)="","",VLOOKUP(BO697,βοηθητικό!$J$2:$N$354,3,FALSE))</f>
        <v>_</v>
      </c>
      <c r="BQ697" s="47"/>
      <c r="BR697" s="42" t="s">
        <v>16</v>
      </c>
      <c r="BS697" s="43" t="str">
        <f>IF(VLOOKUP(BR697,βοηθητικό!$J$2:$N$354,3,FALSE)="","",VLOOKUP(BR697,βοηθητικό!$J$2:$N$354,3,FALSE))</f>
        <v>_</v>
      </c>
      <c r="BT697" s="44"/>
      <c r="BU697" s="45" t="s">
        <v>16</v>
      </c>
      <c r="BV697" s="46" t="str">
        <f>IF(VLOOKUP(BU697,βοηθητικό!$J$2:$N$354,3,FALSE)="","",VLOOKUP(BU697,βοηθητικό!$J$2:$N$354,3,FALSE))</f>
        <v>_</v>
      </c>
      <c r="BW697" s="47"/>
      <c r="BX697" s="42" t="s">
        <v>16</v>
      </c>
      <c r="BY697" s="43" t="str">
        <f>IF(VLOOKUP(BX697,βοηθητικό!$J$2:$N$354,3,FALSE)="","",VLOOKUP(BX697,βοηθητικό!$J$2:$N$354,3,FALSE))</f>
        <v>_</v>
      </c>
      <c r="BZ697" s="44"/>
      <c r="CA697" s="45" t="s">
        <v>16</v>
      </c>
      <c r="CB697" s="46" t="str">
        <f>IF(VLOOKUP(CA697,βοηθητικό!$J$2:$N$354,3,FALSE)="","",VLOOKUP(CA697,βοηθητικό!$J$2:$N$354,3,FALSE))</f>
        <v>_</v>
      </c>
      <c r="CC697" s="47"/>
      <c r="CD697" s="42" t="s">
        <v>16</v>
      </c>
      <c r="CE697" s="43" t="str">
        <f>IF(VLOOKUP(CD697,βοηθητικό!$J$2:$N$354,3,FALSE)="","",VLOOKUP(CD697,βοηθητικό!$J$2:$N$354,3,FALSE))</f>
        <v>_</v>
      </c>
      <c r="CF697" s="44"/>
      <c r="CG697" s="45" t="s">
        <v>16</v>
      </c>
      <c r="CH697" s="46" t="str">
        <f>IF(VLOOKUP(CG697,βοηθητικό!$J$2:$N$354,3,FALSE)="","",VLOOKUP(CG697,βοηθητικό!$J$2:$N$354,3,FALSE))</f>
        <v>_</v>
      </c>
      <c r="CI697" s="47"/>
      <c r="CJ697" s="42" t="s">
        <v>16</v>
      </c>
      <c r="CK697" s="43" t="str">
        <f>IF(VLOOKUP(CJ697,βοηθητικό!$J$2:$N$354,3,FALSE)="","",VLOOKUP(CJ697,βοηθητικό!$J$2:$N$354,3,FALSE))</f>
        <v>_</v>
      </c>
      <c r="CL697" s="44"/>
      <c r="CM697" s="45" t="s">
        <v>16</v>
      </c>
      <c r="CN697" s="46" t="str">
        <f>IF(VLOOKUP(CM697,βοηθητικό!$J$2:$N$354,3,FALSE)="","",VLOOKUP(CM697,βοηθητικό!$J$2:$N$354,3,FALSE))</f>
        <v>_</v>
      </c>
      <c r="CO697" s="47"/>
      <c r="CP697" s="42" t="s">
        <v>16</v>
      </c>
      <c r="CQ697" s="43" t="str">
        <f>IF(VLOOKUP(CP697,βοηθητικό!$J$2:$N$354,3,FALSE)="","",VLOOKUP(CP697,βοηθητικό!$J$2:$N$354,3,FALSE))</f>
        <v>_</v>
      </c>
      <c r="CR697" s="44"/>
      <c r="CS697" s="45" t="s">
        <v>16</v>
      </c>
      <c r="CT697" s="46" t="str">
        <f>IF(VLOOKUP(CS697,βοηθητικό!$J$2:$N$354,3,FALSE)="","",VLOOKUP(CS697,βοηθητικό!$J$2:$N$354,3,FALSE))</f>
        <v>_</v>
      </c>
      <c r="CU697" s="47"/>
    </row>
    <row r="698" spans="1:99" x14ac:dyDescent="0.25">
      <c r="A698" s="37">
        <f>--SUBTOTAL(3,$B$3:B697)</f>
        <v>198</v>
      </c>
      <c r="B698" s="2"/>
      <c r="C698" s="3"/>
      <c r="D698" s="55" t="s">
        <v>18</v>
      </c>
      <c r="E698" s="38" t="s">
        <v>16</v>
      </c>
      <c r="F698" s="38"/>
      <c r="G698" s="39" t="str">
        <f t="shared" si="32"/>
        <v>__</v>
      </c>
      <c r="H698" s="40" t="str">
        <f t="shared" si="33"/>
        <v>FALSE</v>
      </c>
      <c r="I698" s="41">
        <f t="shared" si="34"/>
        <v>0</v>
      </c>
      <c r="J698" s="4" t="s">
        <v>16</v>
      </c>
      <c r="K698" s="43" t="str">
        <f>IF(VLOOKUP(J698,βοηθητικό!$J$2:$N$354,3,FALSE)="","",VLOOKUP(J698,βοηθητικό!$J$2:$N$354,3,FALSE))</f>
        <v>_</v>
      </c>
      <c r="L698" s="44"/>
      <c r="M698" s="5" t="s">
        <v>16</v>
      </c>
      <c r="N698" s="46" t="str">
        <f>IF(VLOOKUP(M698,βοηθητικό!$J$2:$N$354,3,FALSE)="","",VLOOKUP(M698,βοηθητικό!$J$2:$N$354,3,FALSE))</f>
        <v>_</v>
      </c>
      <c r="O698" s="47"/>
      <c r="P698" s="4" t="s">
        <v>16</v>
      </c>
      <c r="Q698" s="43" t="str">
        <f>IF(VLOOKUP(P698,βοηθητικό!$J$2:$N$354,3,FALSE)="","",VLOOKUP(P698,βοηθητικό!$J$2:$N$354,3,FALSE))</f>
        <v>_</v>
      </c>
      <c r="R698" s="44"/>
      <c r="S698" s="5" t="s">
        <v>16</v>
      </c>
      <c r="T698" s="46" t="str">
        <f>IF(VLOOKUP(S698,βοηθητικό!$J$2:$N$354,3,FALSE)="","",VLOOKUP(S698,βοηθητικό!$J$2:$N$354,3,FALSE))</f>
        <v>_</v>
      </c>
      <c r="U698" s="47"/>
      <c r="V698" s="4" t="s">
        <v>16</v>
      </c>
      <c r="W698" s="43" t="str">
        <f>IF(VLOOKUP(V698,βοηθητικό!$J$2:$N$354,3,FALSE)="","",VLOOKUP(V698,βοηθητικό!$J$2:$N$354,3,FALSE))</f>
        <v>_</v>
      </c>
      <c r="X698" s="44"/>
      <c r="Y698" s="5" t="s">
        <v>16</v>
      </c>
      <c r="Z698" s="46" t="str">
        <f>IF(VLOOKUP(Y698,βοηθητικό!$J$2:$N$354,3,FALSE)="","",VLOOKUP(Y698,βοηθητικό!$J$2:$N$354,3,FALSE))</f>
        <v>_</v>
      </c>
      <c r="AA698" s="47"/>
      <c r="AB698" s="4" t="s">
        <v>16</v>
      </c>
      <c r="AC698" s="43" t="str">
        <f>IF(VLOOKUP(AB698,βοηθητικό!$J$2:$N$354,3,FALSE)="","",VLOOKUP(AB698,βοηθητικό!$J$2:$N$354,3,FALSE))</f>
        <v>_</v>
      </c>
      <c r="AD698" s="44"/>
      <c r="AE698" s="5" t="s">
        <v>16</v>
      </c>
      <c r="AF698" s="46" t="str">
        <f>IF(VLOOKUP(AE698,βοηθητικό!$J$2:$N$354,3,FALSE)="","",VLOOKUP(AE698,βοηθητικό!$J$2:$N$354,3,FALSE))</f>
        <v>_</v>
      </c>
      <c r="AG698" s="47"/>
      <c r="AH698" s="4" t="s">
        <v>16</v>
      </c>
      <c r="AI698" s="43" t="str">
        <f>IF(VLOOKUP(AH698,βοηθητικό!$J$2:$N$354,3,FALSE)="","",VLOOKUP(AH698,βοηθητικό!$J$2:$N$354,3,FALSE))</f>
        <v>_</v>
      </c>
      <c r="AJ698" s="44"/>
      <c r="AK698" s="5" t="s">
        <v>16</v>
      </c>
      <c r="AL698" s="46" t="str">
        <f>IF(VLOOKUP(AK698,βοηθητικό!$J$2:$N$354,3,FALSE)="","",VLOOKUP(AK698,βοηθητικό!$J$2:$N$354,3,FALSE))</f>
        <v>_</v>
      </c>
      <c r="AM698" s="47"/>
      <c r="AN698" s="4" t="s">
        <v>16</v>
      </c>
      <c r="AO698" s="43" t="str">
        <f>IF(VLOOKUP(AN698,βοηθητικό!$J$2:$N$354,3,FALSE)="","",VLOOKUP(AN698,βοηθητικό!$J$2:$N$354,3,FALSE))</f>
        <v>_</v>
      </c>
      <c r="AP698" s="44"/>
      <c r="AQ698" s="5" t="s">
        <v>16</v>
      </c>
      <c r="AR698" s="46" t="str">
        <f>IF(VLOOKUP(AQ698,βοηθητικό!$J$2:$N$354,3,FALSE)="","",VLOOKUP(AQ698,βοηθητικό!$J$2:$N$354,3,FALSE))</f>
        <v>_</v>
      </c>
      <c r="AS698" s="47"/>
      <c r="AT698" s="4" t="s">
        <v>16</v>
      </c>
      <c r="AU698" s="43" t="str">
        <f>IF(VLOOKUP(AT698,βοηθητικό!$J$2:$N$354,3,FALSE)="","",VLOOKUP(AT698,βοηθητικό!$J$2:$N$354,3,FALSE))</f>
        <v>_</v>
      </c>
      <c r="AV698" s="44"/>
      <c r="AW698" s="5" t="s">
        <v>16</v>
      </c>
      <c r="AX698" s="46" t="str">
        <f>IF(VLOOKUP(AW698,βοηθητικό!$J$2:$N$354,3,FALSE)="","",VLOOKUP(AW698,βοηθητικό!$J$2:$N$354,3,FALSE))</f>
        <v>_</v>
      </c>
      <c r="AY698" s="47"/>
      <c r="AZ698" s="4" t="s">
        <v>16</v>
      </c>
      <c r="BA698" s="43" t="str">
        <f>IF(VLOOKUP(AZ698,βοηθητικό!$J$2:$N$354,3,FALSE)="","",VLOOKUP(AZ698,βοηθητικό!$J$2:$N$354,3,FALSE))</f>
        <v>_</v>
      </c>
      <c r="BB698" s="44"/>
      <c r="BC698" s="45" t="s">
        <v>16</v>
      </c>
      <c r="BD698" s="46" t="str">
        <f>IF(VLOOKUP(BC698,βοηθητικό!$J$2:$N$354,3,FALSE)="","",VLOOKUP(BC698,βοηθητικό!$J$2:$N$354,3,FALSE))</f>
        <v>_</v>
      </c>
      <c r="BE698" s="47"/>
      <c r="BF698" s="42" t="s">
        <v>16</v>
      </c>
      <c r="BG698" s="43" t="str">
        <f>IF(VLOOKUP(BF698,βοηθητικό!$J$2:$N$354,3,FALSE)="","",VLOOKUP(BF698,βοηθητικό!$J$2:$N$354,3,FALSE))</f>
        <v>_</v>
      </c>
      <c r="BH698" s="44"/>
      <c r="BI698" s="45" t="s">
        <v>16</v>
      </c>
      <c r="BJ698" s="46" t="str">
        <f>IF(VLOOKUP(BI698,βοηθητικό!$J$2:$N$354,3,FALSE)="","",VLOOKUP(BI698,βοηθητικό!$J$2:$N$354,3,FALSE))</f>
        <v>_</v>
      </c>
      <c r="BK698" s="47"/>
      <c r="BL698" s="42" t="s">
        <v>16</v>
      </c>
      <c r="BM698" s="43" t="str">
        <f>IF(VLOOKUP(BL698,βοηθητικό!$J$2:$N$354,3,FALSE)="","",VLOOKUP(BL698,βοηθητικό!$J$2:$N$354,3,FALSE))</f>
        <v>_</v>
      </c>
      <c r="BN698" s="44"/>
      <c r="BO698" s="45" t="s">
        <v>16</v>
      </c>
      <c r="BP698" s="46" t="str">
        <f>IF(VLOOKUP(BO698,βοηθητικό!$J$2:$N$354,3,FALSE)="","",VLOOKUP(BO698,βοηθητικό!$J$2:$N$354,3,FALSE))</f>
        <v>_</v>
      </c>
      <c r="BQ698" s="47"/>
      <c r="BR698" s="42" t="s">
        <v>16</v>
      </c>
      <c r="BS698" s="43" t="str">
        <f>IF(VLOOKUP(BR698,βοηθητικό!$J$2:$N$354,3,FALSE)="","",VLOOKUP(BR698,βοηθητικό!$J$2:$N$354,3,FALSE))</f>
        <v>_</v>
      </c>
      <c r="BT698" s="44"/>
      <c r="BU698" s="45" t="s">
        <v>16</v>
      </c>
      <c r="BV698" s="46" t="str">
        <f>IF(VLOOKUP(BU698,βοηθητικό!$J$2:$N$354,3,FALSE)="","",VLOOKUP(BU698,βοηθητικό!$J$2:$N$354,3,FALSE))</f>
        <v>_</v>
      </c>
      <c r="BW698" s="47"/>
      <c r="BX698" s="42" t="s">
        <v>16</v>
      </c>
      <c r="BY698" s="43" t="str">
        <f>IF(VLOOKUP(BX698,βοηθητικό!$J$2:$N$354,3,FALSE)="","",VLOOKUP(BX698,βοηθητικό!$J$2:$N$354,3,FALSE))</f>
        <v>_</v>
      </c>
      <c r="BZ698" s="44"/>
      <c r="CA698" s="45" t="s">
        <v>16</v>
      </c>
      <c r="CB698" s="46" t="str">
        <f>IF(VLOOKUP(CA698,βοηθητικό!$J$2:$N$354,3,FALSE)="","",VLOOKUP(CA698,βοηθητικό!$J$2:$N$354,3,FALSE))</f>
        <v>_</v>
      </c>
      <c r="CC698" s="47"/>
      <c r="CD698" s="42" t="s">
        <v>16</v>
      </c>
      <c r="CE698" s="43" t="str">
        <f>IF(VLOOKUP(CD698,βοηθητικό!$J$2:$N$354,3,FALSE)="","",VLOOKUP(CD698,βοηθητικό!$J$2:$N$354,3,FALSE))</f>
        <v>_</v>
      </c>
      <c r="CF698" s="44"/>
      <c r="CG698" s="45" t="s">
        <v>16</v>
      </c>
      <c r="CH698" s="46" t="str">
        <f>IF(VLOOKUP(CG698,βοηθητικό!$J$2:$N$354,3,FALSE)="","",VLOOKUP(CG698,βοηθητικό!$J$2:$N$354,3,FALSE))</f>
        <v>_</v>
      </c>
      <c r="CI698" s="47"/>
      <c r="CJ698" s="42" t="s">
        <v>16</v>
      </c>
      <c r="CK698" s="43" t="str">
        <f>IF(VLOOKUP(CJ698,βοηθητικό!$J$2:$N$354,3,FALSE)="","",VLOOKUP(CJ698,βοηθητικό!$J$2:$N$354,3,FALSE))</f>
        <v>_</v>
      </c>
      <c r="CL698" s="44"/>
      <c r="CM698" s="45" t="s">
        <v>16</v>
      </c>
      <c r="CN698" s="46" t="str">
        <f>IF(VLOOKUP(CM698,βοηθητικό!$J$2:$N$354,3,FALSE)="","",VLOOKUP(CM698,βοηθητικό!$J$2:$N$354,3,FALSE))</f>
        <v>_</v>
      </c>
      <c r="CO698" s="47"/>
      <c r="CP698" s="42" t="s">
        <v>16</v>
      </c>
      <c r="CQ698" s="43" t="str">
        <f>IF(VLOOKUP(CP698,βοηθητικό!$J$2:$N$354,3,FALSE)="","",VLOOKUP(CP698,βοηθητικό!$J$2:$N$354,3,FALSE))</f>
        <v>_</v>
      </c>
      <c r="CR698" s="44"/>
      <c r="CS698" s="45" t="s">
        <v>16</v>
      </c>
      <c r="CT698" s="46" t="str">
        <f>IF(VLOOKUP(CS698,βοηθητικό!$J$2:$N$354,3,FALSE)="","",VLOOKUP(CS698,βοηθητικό!$J$2:$N$354,3,FALSE))</f>
        <v>_</v>
      </c>
      <c r="CU698" s="47"/>
    </row>
    <row r="699" spans="1:99" x14ac:dyDescent="0.25">
      <c r="A699" s="37">
        <f>--SUBTOTAL(3,$B$3:B698)</f>
        <v>198</v>
      </c>
      <c r="B699" s="2"/>
      <c r="C699" s="3"/>
      <c r="D699" s="55" t="s">
        <v>18</v>
      </c>
      <c r="E699" s="38" t="s">
        <v>16</v>
      </c>
      <c r="F699" s="38"/>
      <c r="G699" s="39" t="str">
        <f t="shared" si="32"/>
        <v>__</v>
      </c>
      <c r="H699" s="40" t="str">
        <f t="shared" si="33"/>
        <v>FALSE</v>
      </c>
      <c r="I699" s="41">
        <f t="shared" si="34"/>
        <v>0</v>
      </c>
      <c r="J699" s="4" t="s">
        <v>16</v>
      </c>
      <c r="K699" s="43" t="str">
        <f>IF(VLOOKUP(J699,βοηθητικό!$J$2:$N$354,3,FALSE)="","",VLOOKUP(J699,βοηθητικό!$J$2:$N$354,3,FALSE))</f>
        <v>_</v>
      </c>
      <c r="L699" s="44"/>
      <c r="M699" s="5" t="s">
        <v>16</v>
      </c>
      <c r="N699" s="46" t="str">
        <f>IF(VLOOKUP(M699,βοηθητικό!$J$2:$N$354,3,FALSE)="","",VLOOKUP(M699,βοηθητικό!$J$2:$N$354,3,FALSE))</f>
        <v>_</v>
      </c>
      <c r="O699" s="47"/>
      <c r="P699" s="4" t="s">
        <v>16</v>
      </c>
      <c r="Q699" s="43" t="str">
        <f>IF(VLOOKUP(P699,βοηθητικό!$J$2:$N$354,3,FALSE)="","",VLOOKUP(P699,βοηθητικό!$J$2:$N$354,3,FALSE))</f>
        <v>_</v>
      </c>
      <c r="R699" s="44"/>
      <c r="S699" s="5" t="s">
        <v>16</v>
      </c>
      <c r="T699" s="46" t="str">
        <f>IF(VLOOKUP(S699,βοηθητικό!$J$2:$N$354,3,FALSE)="","",VLOOKUP(S699,βοηθητικό!$J$2:$N$354,3,FALSE))</f>
        <v>_</v>
      </c>
      <c r="U699" s="47"/>
      <c r="V699" s="4" t="s">
        <v>16</v>
      </c>
      <c r="W699" s="43" t="str">
        <f>IF(VLOOKUP(V699,βοηθητικό!$J$2:$N$354,3,FALSE)="","",VLOOKUP(V699,βοηθητικό!$J$2:$N$354,3,FALSE))</f>
        <v>_</v>
      </c>
      <c r="X699" s="44"/>
      <c r="Y699" s="5" t="s">
        <v>16</v>
      </c>
      <c r="Z699" s="46" t="str">
        <f>IF(VLOOKUP(Y699,βοηθητικό!$J$2:$N$354,3,FALSE)="","",VLOOKUP(Y699,βοηθητικό!$J$2:$N$354,3,FALSE))</f>
        <v>_</v>
      </c>
      <c r="AA699" s="47"/>
      <c r="AB699" s="4" t="s">
        <v>16</v>
      </c>
      <c r="AC699" s="43" t="str">
        <f>IF(VLOOKUP(AB699,βοηθητικό!$J$2:$N$354,3,FALSE)="","",VLOOKUP(AB699,βοηθητικό!$J$2:$N$354,3,FALSE))</f>
        <v>_</v>
      </c>
      <c r="AD699" s="44"/>
      <c r="AE699" s="5" t="s">
        <v>16</v>
      </c>
      <c r="AF699" s="46" t="str">
        <f>IF(VLOOKUP(AE699,βοηθητικό!$J$2:$N$354,3,FALSE)="","",VLOOKUP(AE699,βοηθητικό!$J$2:$N$354,3,FALSE))</f>
        <v>_</v>
      </c>
      <c r="AG699" s="47"/>
      <c r="AH699" s="4" t="s">
        <v>16</v>
      </c>
      <c r="AI699" s="43" t="str">
        <f>IF(VLOOKUP(AH699,βοηθητικό!$J$2:$N$354,3,FALSE)="","",VLOOKUP(AH699,βοηθητικό!$J$2:$N$354,3,FALSE))</f>
        <v>_</v>
      </c>
      <c r="AJ699" s="44"/>
      <c r="AK699" s="5" t="s">
        <v>16</v>
      </c>
      <c r="AL699" s="46" t="str">
        <f>IF(VLOOKUP(AK699,βοηθητικό!$J$2:$N$354,3,FALSE)="","",VLOOKUP(AK699,βοηθητικό!$J$2:$N$354,3,FALSE))</f>
        <v>_</v>
      </c>
      <c r="AM699" s="47"/>
      <c r="AN699" s="4" t="s">
        <v>16</v>
      </c>
      <c r="AO699" s="43" t="str">
        <f>IF(VLOOKUP(AN699,βοηθητικό!$J$2:$N$354,3,FALSE)="","",VLOOKUP(AN699,βοηθητικό!$J$2:$N$354,3,FALSE))</f>
        <v>_</v>
      </c>
      <c r="AP699" s="44"/>
      <c r="AQ699" s="5" t="s">
        <v>16</v>
      </c>
      <c r="AR699" s="46" t="str">
        <f>IF(VLOOKUP(AQ699,βοηθητικό!$J$2:$N$354,3,FALSE)="","",VLOOKUP(AQ699,βοηθητικό!$J$2:$N$354,3,FALSE))</f>
        <v>_</v>
      </c>
      <c r="AS699" s="47"/>
      <c r="AT699" s="4" t="s">
        <v>16</v>
      </c>
      <c r="AU699" s="43" t="str">
        <f>IF(VLOOKUP(AT699,βοηθητικό!$J$2:$N$354,3,FALSE)="","",VLOOKUP(AT699,βοηθητικό!$J$2:$N$354,3,FALSE))</f>
        <v>_</v>
      </c>
      <c r="AV699" s="44"/>
      <c r="AW699" s="5" t="s">
        <v>16</v>
      </c>
      <c r="AX699" s="46" t="str">
        <f>IF(VLOOKUP(AW699,βοηθητικό!$J$2:$N$354,3,FALSE)="","",VLOOKUP(AW699,βοηθητικό!$J$2:$N$354,3,FALSE))</f>
        <v>_</v>
      </c>
      <c r="AY699" s="47"/>
      <c r="AZ699" s="4" t="s">
        <v>16</v>
      </c>
      <c r="BA699" s="43" t="str">
        <f>IF(VLOOKUP(AZ699,βοηθητικό!$J$2:$N$354,3,FALSE)="","",VLOOKUP(AZ699,βοηθητικό!$J$2:$N$354,3,FALSE))</f>
        <v>_</v>
      </c>
      <c r="BB699" s="44"/>
      <c r="BC699" s="45" t="s">
        <v>16</v>
      </c>
      <c r="BD699" s="46" t="str">
        <f>IF(VLOOKUP(BC699,βοηθητικό!$J$2:$N$354,3,FALSE)="","",VLOOKUP(BC699,βοηθητικό!$J$2:$N$354,3,FALSE))</f>
        <v>_</v>
      </c>
      <c r="BE699" s="47"/>
      <c r="BF699" s="42" t="s">
        <v>16</v>
      </c>
      <c r="BG699" s="43" t="str">
        <f>IF(VLOOKUP(BF699,βοηθητικό!$J$2:$N$354,3,FALSE)="","",VLOOKUP(BF699,βοηθητικό!$J$2:$N$354,3,FALSE))</f>
        <v>_</v>
      </c>
      <c r="BH699" s="44"/>
      <c r="BI699" s="45" t="s">
        <v>16</v>
      </c>
      <c r="BJ699" s="46" t="str">
        <f>IF(VLOOKUP(BI699,βοηθητικό!$J$2:$N$354,3,FALSE)="","",VLOOKUP(BI699,βοηθητικό!$J$2:$N$354,3,FALSE))</f>
        <v>_</v>
      </c>
      <c r="BK699" s="47"/>
      <c r="BL699" s="42" t="s">
        <v>16</v>
      </c>
      <c r="BM699" s="43" t="str">
        <f>IF(VLOOKUP(BL699,βοηθητικό!$J$2:$N$354,3,FALSE)="","",VLOOKUP(BL699,βοηθητικό!$J$2:$N$354,3,FALSE))</f>
        <v>_</v>
      </c>
      <c r="BN699" s="44"/>
      <c r="BO699" s="45" t="s">
        <v>16</v>
      </c>
      <c r="BP699" s="46" t="str">
        <f>IF(VLOOKUP(BO699,βοηθητικό!$J$2:$N$354,3,FALSE)="","",VLOOKUP(BO699,βοηθητικό!$J$2:$N$354,3,FALSE))</f>
        <v>_</v>
      </c>
      <c r="BQ699" s="47"/>
      <c r="BR699" s="42" t="s">
        <v>16</v>
      </c>
      <c r="BS699" s="43" t="str">
        <f>IF(VLOOKUP(BR699,βοηθητικό!$J$2:$N$354,3,FALSE)="","",VLOOKUP(BR699,βοηθητικό!$J$2:$N$354,3,FALSE))</f>
        <v>_</v>
      </c>
      <c r="BT699" s="44"/>
      <c r="BU699" s="45" t="s">
        <v>16</v>
      </c>
      <c r="BV699" s="46" t="str">
        <f>IF(VLOOKUP(BU699,βοηθητικό!$J$2:$N$354,3,FALSE)="","",VLOOKUP(BU699,βοηθητικό!$J$2:$N$354,3,FALSE))</f>
        <v>_</v>
      </c>
      <c r="BW699" s="47"/>
      <c r="BX699" s="42" t="s">
        <v>16</v>
      </c>
      <c r="BY699" s="43" t="str">
        <f>IF(VLOOKUP(BX699,βοηθητικό!$J$2:$N$354,3,FALSE)="","",VLOOKUP(BX699,βοηθητικό!$J$2:$N$354,3,FALSE))</f>
        <v>_</v>
      </c>
      <c r="BZ699" s="44"/>
      <c r="CA699" s="45" t="s">
        <v>16</v>
      </c>
      <c r="CB699" s="46" t="str">
        <f>IF(VLOOKUP(CA699,βοηθητικό!$J$2:$N$354,3,FALSE)="","",VLOOKUP(CA699,βοηθητικό!$J$2:$N$354,3,FALSE))</f>
        <v>_</v>
      </c>
      <c r="CC699" s="47"/>
      <c r="CD699" s="42" t="s">
        <v>16</v>
      </c>
      <c r="CE699" s="43" t="str">
        <f>IF(VLOOKUP(CD699,βοηθητικό!$J$2:$N$354,3,FALSE)="","",VLOOKUP(CD699,βοηθητικό!$J$2:$N$354,3,FALSE))</f>
        <v>_</v>
      </c>
      <c r="CF699" s="44"/>
      <c r="CG699" s="45" t="s">
        <v>16</v>
      </c>
      <c r="CH699" s="46" t="str">
        <f>IF(VLOOKUP(CG699,βοηθητικό!$J$2:$N$354,3,FALSE)="","",VLOOKUP(CG699,βοηθητικό!$J$2:$N$354,3,FALSE))</f>
        <v>_</v>
      </c>
      <c r="CI699" s="47"/>
      <c r="CJ699" s="42" t="s">
        <v>16</v>
      </c>
      <c r="CK699" s="43" t="str">
        <f>IF(VLOOKUP(CJ699,βοηθητικό!$J$2:$N$354,3,FALSE)="","",VLOOKUP(CJ699,βοηθητικό!$J$2:$N$354,3,FALSE))</f>
        <v>_</v>
      </c>
      <c r="CL699" s="44"/>
      <c r="CM699" s="45" t="s">
        <v>16</v>
      </c>
      <c r="CN699" s="46" t="str">
        <f>IF(VLOOKUP(CM699,βοηθητικό!$J$2:$N$354,3,FALSE)="","",VLOOKUP(CM699,βοηθητικό!$J$2:$N$354,3,FALSE))</f>
        <v>_</v>
      </c>
      <c r="CO699" s="47"/>
      <c r="CP699" s="42" t="s">
        <v>16</v>
      </c>
      <c r="CQ699" s="43" t="str">
        <f>IF(VLOOKUP(CP699,βοηθητικό!$J$2:$N$354,3,FALSE)="","",VLOOKUP(CP699,βοηθητικό!$J$2:$N$354,3,FALSE))</f>
        <v>_</v>
      </c>
      <c r="CR699" s="44"/>
      <c r="CS699" s="45" t="s">
        <v>16</v>
      </c>
      <c r="CT699" s="46" t="str">
        <f>IF(VLOOKUP(CS699,βοηθητικό!$J$2:$N$354,3,FALSE)="","",VLOOKUP(CS699,βοηθητικό!$J$2:$N$354,3,FALSE))</f>
        <v>_</v>
      </c>
      <c r="CU699" s="47"/>
    </row>
    <row r="700" spans="1:99" x14ac:dyDescent="0.25">
      <c r="A700" s="37">
        <f>--SUBTOTAL(3,$B$3:B699)</f>
        <v>198</v>
      </c>
      <c r="B700" s="2"/>
      <c r="C700" s="3"/>
      <c r="D700" s="55" t="s">
        <v>18</v>
      </c>
      <c r="E700" s="38" t="s">
        <v>16</v>
      </c>
      <c r="F700" s="38"/>
      <c r="G700" s="39" t="str">
        <f t="shared" si="32"/>
        <v>__</v>
      </c>
      <c r="H700" s="40" t="str">
        <f t="shared" si="33"/>
        <v>FALSE</v>
      </c>
      <c r="I700" s="41">
        <f t="shared" si="34"/>
        <v>0</v>
      </c>
      <c r="J700" s="4" t="s">
        <v>16</v>
      </c>
      <c r="K700" s="43" t="str">
        <f>IF(VLOOKUP(J700,βοηθητικό!$J$2:$N$354,3,FALSE)="","",VLOOKUP(J700,βοηθητικό!$J$2:$N$354,3,FALSE))</f>
        <v>_</v>
      </c>
      <c r="L700" s="44"/>
      <c r="M700" s="5" t="s">
        <v>16</v>
      </c>
      <c r="N700" s="46" t="str">
        <f>IF(VLOOKUP(M700,βοηθητικό!$J$2:$N$354,3,FALSE)="","",VLOOKUP(M700,βοηθητικό!$J$2:$N$354,3,FALSE))</f>
        <v>_</v>
      </c>
      <c r="O700" s="47"/>
      <c r="P700" s="4" t="s">
        <v>16</v>
      </c>
      <c r="Q700" s="43" t="str">
        <f>IF(VLOOKUP(P700,βοηθητικό!$J$2:$N$354,3,FALSE)="","",VLOOKUP(P700,βοηθητικό!$J$2:$N$354,3,FALSE))</f>
        <v>_</v>
      </c>
      <c r="R700" s="44"/>
      <c r="S700" s="5" t="s">
        <v>16</v>
      </c>
      <c r="T700" s="46" t="str">
        <f>IF(VLOOKUP(S700,βοηθητικό!$J$2:$N$354,3,FALSE)="","",VLOOKUP(S700,βοηθητικό!$J$2:$N$354,3,FALSE))</f>
        <v>_</v>
      </c>
      <c r="U700" s="47"/>
      <c r="V700" s="4" t="s">
        <v>16</v>
      </c>
      <c r="W700" s="43" t="str">
        <f>IF(VLOOKUP(V700,βοηθητικό!$J$2:$N$354,3,FALSE)="","",VLOOKUP(V700,βοηθητικό!$J$2:$N$354,3,FALSE))</f>
        <v>_</v>
      </c>
      <c r="X700" s="44"/>
      <c r="Y700" s="5" t="s">
        <v>16</v>
      </c>
      <c r="Z700" s="46" t="str">
        <f>IF(VLOOKUP(Y700,βοηθητικό!$J$2:$N$354,3,FALSE)="","",VLOOKUP(Y700,βοηθητικό!$J$2:$N$354,3,FALSE))</f>
        <v>_</v>
      </c>
      <c r="AA700" s="47"/>
      <c r="AB700" s="4" t="s">
        <v>16</v>
      </c>
      <c r="AC700" s="43" t="str">
        <f>IF(VLOOKUP(AB700,βοηθητικό!$J$2:$N$354,3,FALSE)="","",VLOOKUP(AB700,βοηθητικό!$J$2:$N$354,3,FALSE))</f>
        <v>_</v>
      </c>
      <c r="AD700" s="44"/>
      <c r="AE700" s="5" t="s">
        <v>16</v>
      </c>
      <c r="AF700" s="46" t="str">
        <f>IF(VLOOKUP(AE700,βοηθητικό!$J$2:$N$354,3,FALSE)="","",VLOOKUP(AE700,βοηθητικό!$J$2:$N$354,3,FALSE))</f>
        <v>_</v>
      </c>
      <c r="AG700" s="47"/>
      <c r="AH700" s="4" t="s">
        <v>16</v>
      </c>
      <c r="AI700" s="43" t="str">
        <f>IF(VLOOKUP(AH700,βοηθητικό!$J$2:$N$354,3,FALSE)="","",VLOOKUP(AH700,βοηθητικό!$J$2:$N$354,3,FALSE))</f>
        <v>_</v>
      </c>
      <c r="AJ700" s="44"/>
      <c r="AK700" s="5" t="s">
        <v>16</v>
      </c>
      <c r="AL700" s="46" t="str">
        <f>IF(VLOOKUP(AK700,βοηθητικό!$J$2:$N$354,3,FALSE)="","",VLOOKUP(AK700,βοηθητικό!$J$2:$N$354,3,FALSE))</f>
        <v>_</v>
      </c>
      <c r="AM700" s="47"/>
      <c r="AN700" s="4" t="s">
        <v>16</v>
      </c>
      <c r="AO700" s="43" t="str">
        <f>IF(VLOOKUP(AN700,βοηθητικό!$J$2:$N$354,3,FALSE)="","",VLOOKUP(AN700,βοηθητικό!$J$2:$N$354,3,FALSE))</f>
        <v>_</v>
      </c>
      <c r="AP700" s="44"/>
      <c r="AQ700" s="5" t="s">
        <v>16</v>
      </c>
      <c r="AR700" s="46" t="str">
        <f>IF(VLOOKUP(AQ700,βοηθητικό!$J$2:$N$354,3,FALSE)="","",VLOOKUP(AQ700,βοηθητικό!$J$2:$N$354,3,FALSE))</f>
        <v>_</v>
      </c>
      <c r="AS700" s="47"/>
      <c r="AT700" s="4" t="s">
        <v>16</v>
      </c>
      <c r="AU700" s="43" t="str">
        <f>IF(VLOOKUP(AT700,βοηθητικό!$J$2:$N$354,3,FALSE)="","",VLOOKUP(AT700,βοηθητικό!$J$2:$N$354,3,FALSE))</f>
        <v>_</v>
      </c>
      <c r="AV700" s="44"/>
      <c r="AW700" s="5" t="s">
        <v>16</v>
      </c>
      <c r="AX700" s="46" t="str">
        <f>IF(VLOOKUP(AW700,βοηθητικό!$J$2:$N$354,3,FALSE)="","",VLOOKUP(AW700,βοηθητικό!$J$2:$N$354,3,FALSE))</f>
        <v>_</v>
      </c>
      <c r="AY700" s="47"/>
      <c r="AZ700" s="4" t="s">
        <v>16</v>
      </c>
      <c r="BA700" s="43" t="str">
        <f>IF(VLOOKUP(AZ700,βοηθητικό!$J$2:$N$354,3,FALSE)="","",VLOOKUP(AZ700,βοηθητικό!$J$2:$N$354,3,FALSE))</f>
        <v>_</v>
      </c>
      <c r="BB700" s="44"/>
      <c r="BC700" s="45" t="s">
        <v>16</v>
      </c>
      <c r="BD700" s="46" t="str">
        <f>IF(VLOOKUP(BC700,βοηθητικό!$J$2:$N$354,3,FALSE)="","",VLOOKUP(BC700,βοηθητικό!$J$2:$N$354,3,FALSE))</f>
        <v>_</v>
      </c>
      <c r="BE700" s="47"/>
      <c r="BF700" s="42" t="s">
        <v>16</v>
      </c>
      <c r="BG700" s="43" t="str">
        <f>IF(VLOOKUP(BF700,βοηθητικό!$J$2:$N$354,3,FALSE)="","",VLOOKUP(BF700,βοηθητικό!$J$2:$N$354,3,FALSE))</f>
        <v>_</v>
      </c>
      <c r="BH700" s="44"/>
      <c r="BI700" s="45" t="s">
        <v>16</v>
      </c>
      <c r="BJ700" s="46" t="str">
        <f>IF(VLOOKUP(BI700,βοηθητικό!$J$2:$N$354,3,FALSE)="","",VLOOKUP(BI700,βοηθητικό!$J$2:$N$354,3,FALSE))</f>
        <v>_</v>
      </c>
      <c r="BK700" s="47"/>
      <c r="BL700" s="42" t="s">
        <v>16</v>
      </c>
      <c r="BM700" s="43" t="str">
        <f>IF(VLOOKUP(BL700,βοηθητικό!$J$2:$N$354,3,FALSE)="","",VLOOKUP(BL700,βοηθητικό!$J$2:$N$354,3,FALSE))</f>
        <v>_</v>
      </c>
      <c r="BN700" s="44"/>
      <c r="BO700" s="45" t="s">
        <v>16</v>
      </c>
      <c r="BP700" s="46" t="str">
        <f>IF(VLOOKUP(BO700,βοηθητικό!$J$2:$N$354,3,FALSE)="","",VLOOKUP(BO700,βοηθητικό!$J$2:$N$354,3,FALSE))</f>
        <v>_</v>
      </c>
      <c r="BQ700" s="47"/>
      <c r="BR700" s="42" t="s">
        <v>16</v>
      </c>
      <c r="BS700" s="43" t="str">
        <f>IF(VLOOKUP(BR700,βοηθητικό!$J$2:$N$354,3,FALSE)="","",VLOOKUP(BR700,βοηθητικό!$J$2:$N$354,3,FALSE))</f>
        <v>_</v>
      </c>
      <c r="BT700" s="44"/>
      <c r="BU700" s="45" t="s">
        <v>16</v>
      </c>
      <c r="BV700" s="46" t="str">
        <f>IF(VLOOKUP(BU700,βοηθητικό!$J$2:$N$354,3,FALSE)="","",VLOOKUP(BU700,βοηθητικό!$J$2:$N$354,3,FALSE))</f>
        <v>_</v>
      </c>
      <c r="BW700" s="47"/>
      <c r="BX700" s="42" t="s">
        <v>16</v>
      </c>
      <c r="BY700" s="43" t="str">
        <f>IF(VLOOKUP(BX700,βοηθητικό!$J$2:$N$354,3,FALSE)="","",VLOOKUP(BX700,βοηθητικό!$J$2:$N$354,3,FALSE))</f>
        <v>_</v>
      </c>
      <c r="BZ700" s="44"/>
      <c r="CA700" s="45" t="s">
        <v>16</v>
      </c>
      <c r="CB700" s="46" t="str">
        <f>IF(VLOOKUP(CA700,βοηθητικό!$J$2:$N$354,3,FALSE)="","",VLOOKUP(CA700,βοηθητικό!$J$2:$N$354,3,FALSE))</f>
        <v>_</v>
      </c>
      <c r="CC700" s="47"/>
      <c r="CD700" s="42" t="s">
        <v>16</v>
      </c>
      <c r="CE700" s="43" t="str">
        <f>IF(VLOOKUP(CD700,βοηθητικό!$J$2:$N$354,3,FALSE)="","",VLOOKUP(CD700,βοηθητικό!$J$2:$N$354,3,FALSE))</f>
        <v>_</v>
      </c>
      <c r="CF700" s="44"/>
      <c r="CG700" s="45" t="s">
        <v>16</v>
      </c>
      <c r="CH700" s="46" t="str">
        <f>IF(VLOOKUP(CG700,βοηθητικό!$J$2:$N$354,3,FALSE)="","",VLOOKUP(CG700,βοηθητικό!$J$2:$N$354,3,FALSE))</f>
        <v>_</v>
      </c>
      <c r="CI700" s="47"/>
      <c r="CJ700" s="42" t="s">
        <v>16</v>
      </c>
      <c r="CK700" s="43" t="str">
        <f>IF(VLOOKUP(CJ700,βοηθητικό!$J$2:$N$354,3,FALSE)="","",VLOOKUP(CJ700,βοηθητικό!$J$2:$N$354,3,FALSE))</f>
        <v>_</v>
      </c>
      <c r="CL700" s="44"/>
      <c r="CM700" s="45" t="s">
        <v>16</v>
      </c>
      <c r="CN700" s="46" t="str">
        <f>IF(VLOOKUP(CM700,βοηθητικό!$J$2:$N$354,3,FALSE)="","",VLOOKUP(CM700,βοηθητικό!$J$2:$N$354,3,FALSE))</f>
        <v>_</v>
      </c>
      <c r="CO700" s="47"/>
      <c r="CP700" s="42" t="s">
        <v>16</v>
      </c>
      <c r="CQ700" s="43" t="str">
        <f>IF(VLOOKUP(CP700,βοηθητικό!$J$2:$N$354,3,FALSE)="","",VLOOKUP(CP700,βοηθητικό!$J$2:$N$354,3,FALSE))</f>
        <v>_</v>
      </c>
      <c r="CR700" s="44"/>
      <c r="CS700" s="45" t="s">
        <v>16</v>
      </c>
      <c r="CT700" s="46" t="str">
        <f>IF(VLOOKUP(CS700,βοηθητικό!$J$2:$N$354,3,FALSE)="","",VLOOKUP(CS700,βοηθητικό!$J$2:$N$354,3,FALSE))</f>
        <v>_</v>
      </c>
      <c r="CU700" s="47"/>
    </row>
    <row r="701" spans="1:99" x14ac:dyDescent="0.25">
      <c r="A701" s="37">
        <f>--SUBTOTAL(3,$B$3:B700)</f>
        <v>198</v>
      </c>
      <c r="B701" s="2"/>
      <c r="C701" s="3"/>
      <c r="D701" s="55" t="s">
        <v>18</v>
      </c>
      <c r="E701" s="38" t="s">
        <v>16</v>
      </c>
      <c r="F701" s="38"/>
      <c r="G701" s="39" t="str">
        <f t="shared" si="32"/>
        <v>__</v>
      </c>
      <c r="H701" s="40" t="str">
        <f t="shared" si="33"/>
        <v>FALSE</v>
      </c>
      <c r="I701" s="41">
        <f t="shared" si="34"/>
        <v>0</v>
      </c>
      <c r="J701" s="4" t="s">
        <v>16</v>
      </c>
      <c r="K701" s="43" t="str">
        <f>IF(VLOOKUP(J701,βοηθητικό!$J$2:$N$354,3,FALSE)="","",VLOOKUP(J701,βοηθητικό!$J$2:$N$354,3,FALSE))</f>
        <v>_</v>
      </c>
      <c r="L701" s="44"/>
      <c r="M701" s="5" t="s">
        <v>16</v>
      </c>
      <c r="N701" s="46" t="str">
        <f>IF(VLOOKUP(M701,βοηθητικό!$J$2:$N$354,3,FALSE)="","",VLOOKUP(M701,βοηθητικό!$J$2:$N$354,3,FALSE))</f>
        <v>_</v>
      </c>
      <c r="O701" s="47"/>
      <c r="P701" s="4" t="s">
        <v>16</v>
      </c>
      <c r="Q701" s="43" t="str">
        <f>IF(VLOOKUP(P701,βοηθητικό!$J$2:$N$354,3,FALSE)="","",VLOOKUP(P701,βοηθητικό!$J$2:$N$354,3,FALSE))</f>
        <v>_</v>
      </c>
      <c r="R701" s="44"/>
      <c r="S701" s="5" t="s">
        <v>16</v>
      </c>
      <c r="T701" s="46" t="str">
        <f>IF(VLOOKUP(S701,βοηθητικό!$J$2:$N$354,3,FALSE)="","",VLOOKUP(S701,βοηθητικό!$J$2:$N$354,3,FALSE))</f>
        <v>_</v>
      </c>
      <c r="U701" s="47"/>
      <c r="V701" s="4" t="s">
        <v>16</v>
      </c>
      <c r="W701" s="43" t="str">
        <f>IF(VLOOKUP(V701,βοηθητικό!$J$2:$N$354,3,FALSE)="","",VLOOKUP(V701,βοηθητικό!$J$2:$N$354,3,FALSE))</f>
        <v>_</v>
      </c>
      <c r="X701" s="44"/>
      <c r="Y701" s="5" t="s">
        <v>16</v>
      </c>
      <c r="Z701" s="46" t="str">
        <f>IF(VLOOKUP(Y701,βοηθητικό!$J$2:$N$354,3,FALSE)="","",VLOOKUP(Y701,βοηθητικό!$J$2:$N$354,3,FALSE))</f>
        <v>_</v>
      </c>
      <c r="AA701" s="47"/>
      <c r="AB701" s="4" t="s">
        <v>16</v>
      </c>
      <c r="AC701" s="43" t="str">
        <f>IF(VLOOKUP(AB701,βοηθητικό!$J$2:$N$354,3,FALSE)="","",VLOOKUP(AB701,βοηθητικό!$J$2:$N$354,3,FALSE))</f>
        <v>_</v>
      </c>
      <c r="AD701" s="44"/>
      <c r="AE701" s="5" t="s">
        <v>16</v>
      </c>
      <c r="AF701" s="46" t="str">
        <f>IF(VLOOKUP(AE701,βοηθητικό!$J$2:$N$354,3,FALSE)="","",VLOOKUP(AE701,βοηθητικό!$J$2:$N$354,3,FALSE))</f>
        <v>_</v>
      </c>
      <c r="AG701" s="47"/>
      <c r="AH701" s="4" t="s">
        <v>16</v>
      </c>
      <c r="AI701" s="43" t="str">
        <f>IF(VLOOKUP(AH701,βοηθητικό!$J$2:$N$354,3,FALSE)="","",VLOOKUP(AH701,βοηθητικό!$J$2:$N$354,3,FALSE))</f>
        <v>_</v>
      </c>
      <c r="AJ701" s="44"/>
      <c r="AK701" s="5" t="s">
        <v>16</v>
      </c>
      <c r="AL701" s="46" t="str">
        <f>IF(VLOOKUP(AK701,βοηθητικό!$J$2:$N$354,3,FALSE)="","",VLOOKUP(AK701,βοηθητικό!$J$2:$N$354,3,FALSE))</f>
        <v>_</v>
      </c>
      <c r="AM701" s="47"/>
      <c r="AN701" s="4" t="s">
        <v>16</v>
      </c>
      <c r="AO701" s="43" t="str">
        <f>IF(VLOOKUP(AN701,βοηθητικό!$J$2:$N$354,3,FALSE)="","",VLOOKUP(AN701,βοηθητικό!$J$2:$N$354,3,FALSE))</f>
        <v>_</v>
      </c>
      <c r="AP701" s="44"/>
      <c r="AQ701" s="5" t="s">
        <v>16</v>
      </c>
      <c r="AR701" s="46" t="str">
        <f>IF(VLOOKUP(AQ701,βοηθητικό!$J$2:$N$354,3,FALSE)="","",VLOOKUP(AQ701,βοηθητικό!$J$2:$N$354,3,FALSE))</f>
        <v>_</v>
      </c>
      <c r="AS701" s="47"/>
      <c r="AT701" s="4" t="s">
        <v>16</v>
      </c>
      <c r="AU701" s="43" t="str">
        <f>IF(VLOOKUP(AT701,βοηθητικό!$J$2:$N$354,3,FALSE)="","",VLOOKUP(AT701,βοηθητικό!$J$2:$N$354,3,FALSE))</f>
        <v>_</v>
      </c>
      <c r="AV701" s="44"/>
      <c r="AW701" s="5" t="s">
        <v>16</v>
      </c>
      <c r="AX701" s="46" t="str">
        <f>IF(VLOOKUP(AW701,βοηθητικό!$J$2:$N$354,3,FALSE)="","",VLOOKUP(AW701,βοηθητικό!$J$2:$N$354,3,FALSE))</f>
        <v>_</v>
      </c>
      <c r="AY701" s="47"/>
      <c r="AZ701" s="4" t="s">
        <v>16</v>
      </c>
      <c r="BA701" s="43" t="str">
        <f>IF(VLOOKUP(AZ701,βοηθητικό!$J$2:$N$354,3,FALSE)="","",VLOOKUP(AZ701,βοηθητικό!$J$2:$N$354,3,FALSE))</f>
        <v>_</v>
      </c>
      <c r="BB701" s="44"/>
      <c r="BC701" s="45" t="s">
        <v>16</v>
      </c>
      <c r="BD701" s="46" t="str">
        <f>IF(VLOOKUP(BC701,βοηθητικό!$J$2:$N$354,3,FALSE)="","",VLOOKUP(BC701,βοηθητικό!$J$2:$N$354,3,FALSE))</f>
        <v>_</v>
      </c>
      <c r="BE701" s="47"/>
      <c r="BF701" s="42" t="s">
        <v>16</v>
      </c>
      <c r="BG701" s="43" t="str">
        <f>IF(VLOOKUP(BF701,βοηθητικό!$J$2:$N$354,3,FALSE)="","",VLOOKUP(BF701,βοηθητικό!$J$2:$N$354,3,FALSE))</f>
        <v>_</v>
      </c>
      <c r="BH701" s="44"/>
      <c r="BI701" s="45" t="s">
        <v>16</v>
      </c>
      <c r="BJ701" s="46" t="str">
        <f>IF(VLOOKUP(BI701,βοηθητικό!$J$2:$N$354,3,FALSE)="","",VLOOKUP(BI701,βοηθητικό!$J$2:$N$354,3,FALSE))</f>
        <v>_</v>
      </c>
      <c r="BK701" s="47"/>
      <c r="BL701" s="42" t="s">
        <v>16</v>
      </c>
      <c r="BM701" s="43" t="str">
        <f>IF(VLOOKUP(BL701,βοηθητικό!$J$2:$N$354,3,FALSE)="","",VLOOKUP(BL701,βοηθητικό!$J$2:$N$354,3,FALSE))</f>
        <v>_</v>
      </c>
      <c r="BN701" s="44"/>
      <c r="BO701" s="45" t="s">
        <v>16</v>
      </c>
      <c r="BP701" s="46" t="str">
        <f>IF(VLOOKUP(BO701,βοηθητικό!$J$2:$N$354,3,FALSE)="","",VLOOKUP(BO701,βοηθητικό!$J$2:$N$354,3,FALSE))</f>
        <v>_</v>
      </c>
      <c r="BQ701" s="47"/>
      <c r="BR701" s="42" t="s">
        <v>16</v>
      </c>
      <c r="BS701" s="43" t="str">
        <f>IF(VLOOKUP(BR701,βοηθητικό!$J$2:$N$354,3,FALSE)="","",VLOOKUP(BR701,βοηθητικό!$J$2:$N$354,3,FALSE))</f>
        <v>_</v>
      </c>
      <c r="BT701" s="44"/>
      <c r="BU701" s="45" t="s">
        <v>16</v>
      </c>
      <c r="BV701" s="46" t="str">
        <f>IF(VLOOKUP(BU701,βοηθητικό!$J$2:$N$354,3,FALSE)="","",VLOOKUP(BU701,βοηθητικό!$J$2:$N$354,3,FALSE))</f>
        <v>_</v>
      </c>
      <c r="BW701" s="47"/>
      <c r="BX701" s="42" t="s">
        <v>16</v>
      </c>
      <c r="BY701" s="43" t="str">
        <f>IF(VLOOKUP(BX701,βοηθητικό!$J$2:$N$354,3,FALSE)="","",VLOOKUP(BX701,βοηθητικό!$J$2:$N$354,3,FALSE))</f>
        <v>_</v>
      </c>
      <c r="BZ701" s="44"/>
      <c r="CA701" s="45" t="s">
        <v>16</v>
      </c>
      <c r="CB701" s="46" t="str">
        <f>IF(VLOOKUP(CA701,βοηθητικό!$J$2:$N$354,3,FALSE)="","",VLOOKUP(CA701,βοηθητικό!$J$2:$N$354,3,FALSE))</f>
        <v>_</v>
      </c>
      <c r="CC701" s="47"/>
      <c r="CD701" s="42" t="s">
        <v>16</v>
      </c>
      <c r="CE701" s="43" t="str">
        <f>IF(VLOOKUP(CD701,βοηθητικό!$J$2:$N$354,3,FALSE)="","",VLOOKUP(CD701,βοηθητικό!$J$2:$N$354,3,FALSE))</f>
        <v>_</v>
      </c>
      <c r="CF701" s="44"/>
      <c r="CG701" s="45" t="s">
        <v>16</v>
      </c>
      <c r="CH701" s="46" t="str">
        <f>IF(VLOOKUP(CG701,βοηθητικό!$J$2:$N$354,3,FALSE)="","",VLOOKUP(CG701,βοηθητικό!$J$2:$N$354,3,FALSE))</f>
        <v>_</v>
      </c>
      <c r="CI701" s="47"/>
      <c r="CJ701" s="42" t="s">
        <v>16</v>
      </c>
      <c r="CK701" s="43" t="str">
        <f>IF(VLOOKUP(CJ701,βοηθητικό!$J$2:$N$354,3,FALSE)="","",VLOOKUP(CJ701,βοηθητικό!$J$2:$N$354,3,FALSE))</f>
        <v>_</v>
      </c>
      <c r="CL701" s="44"/>
      <c r="CM701" s="45" t="s">
        <v>16</v>
      </c>
      <c r="CN701" s="46" t="str">
        <f>IF(VLOOKUP(CM701,βοηθητικό!$J$2:$N$354,3,FALSE)="","",VLOOKUP(CM701,βοηθητικό!$J$2:$N$354,3,FALSE))</f>
        <v>_</v>
      </c>
      <c r="CO701" s="47"/>
      <c r="CP701" s="42" t="s">
        <v>16</v>
      </c>
      <c r="CQ701" s="43" t="str">
        <f>IF(VLOOKUP(CP701,βοηθητικό!$J$2:$N$354,3,FALSE)="","",VLOOKUP(CP701,βοηθητικό!$J$2:$N$354,3,FALSE))</f>
        <v>_</v>
      </c>
      <c r="CR701" s="44"/>
      <c r="CS701" s="45" t="s">
        <v>16</v>
      </c>
      <c r="CT701" s="46" t="str">
        <f>IF(VLOOKUP(CS701,βοηθητικό!$J$2:$N$354,3,FALSE)="","",VLOOKUP(CS701,βοηθητικό!$J$2:$N$354,3,FALSE))</f>
        <v>_</v>
      </c>
      <c r="CU701" s="47"/>
    </row>
    <row r="702" spans="1:99" x14ac:dyDescent="0.25">
      <c r="A702" s="37">
        <f>--SUBTOTAL(3,$B$3:B701)</f>
        <v>198</v>
      </c>
      <c r="B702" s="2"/>
      <c r="C702" s="3"/>
      <c r="D702" s="55" t="s">
        <v>18</v>
      </c>
      <c r="E702" s="38" t="s">
        <v>16</v>
      </c>
      <c r="F702" s="38"/>
      <c r="G702" s="39" t="str">
        <f t="shared" si="32"/>
        <v>__</v>
      </c>
      <c r="H702" s="40" t="str">
        <f t="shared" si="33"/>
        <v>FALSE</v>
      </c>
      <c r="I702" s="41">
        <f t="shared" si="34"/>
        <v>0</v>
      </c>
      <c r="J702" s="4" t="s">
        <v>16</v>
      </c>
      <c r="K702" s="43" t="str">
        <f>IF(VLOOKUP(J702,βοηθητικό!$J$2:$N$354,3,FALSE)="","",VLOOKUP(J702,βοηθητικό!$J$2:$N$354,3,FALSE))</f>
        <v>_</v>
      </c>
      <c r="L702" s="44"/>
      <c r="M702" s="5" t="s">
        <v>16</v>
      </c>
      <c r="N702" s="46" t="str">
        <f>IF(VLOOKUP(M702,βοηθητικό!$J$2:$N$354,3,FALSE)="","",VLOOKUP(M702,βοηθητικό!$J$2:$N$354,3,FALSE))</f>
        <v>_</v>
      </c>
      <c r="O702" s="47"/>
      <c r="P702" s="4" t="s">
        <v>16</v>
      </c>
      <c r="Q702" s="43" t="str">
        <f>IF(VLOOKUP(P702,βοηθητικό!$J$2:$N$354,3,FALSE)="","",VLOOKUP(P702,βοηθητικό!$J$2:$N$354,3,FALSE))</f>
        <v>_</v>
      </c>
      <c r="R702" s="44"/>
      <c r="S702" s="5" t="s">
        <v>16</v>
      </c>
      <c r="T702" s="46" t="str">
        <f>IF(VLOOKUP(S702,βοηθητικό!$J$2:$N$354,3,FALSE)="","",VLOOKUP(S702,βοηθητικό!$J$2:$N$354,3,FALSE))</f>
        <v>_</v>
      </c>
      <c r="U702" s="47"/>
      <c r="V702" s="4" t="s">
        <v>16</v>
      </c>
      <c r="W702" s="43" t="str">
        <f>IF(VLOOKUP(V702,βοηθητικό!$J$2:$N$354,3,FALSE)="","",VLOOKUP(V702,βοηθητικό!$J$2:$N$354,3,FALSE))</f>
        <v>_</v>
      </c>
      <c r="X702" s="44"/>
      <c r="Y702" s="5" t="s">
        <v>16</v>
      </c>
      <c r="Z702" s="46" t="str">
        <f>IF(VLOOKUP(Y702,βοηθητικό!$J$2:$N$354,3,FALSE)="","",VLOOKUP(Y702,βοηθητικό!$J$2:$N$354,3,FALSE))</f>
        <v>_</v>
      </c>
      <c r="AA702" s="47"/>
      <c r="AB702" s="4" t="s">
        <v>16</v>
      </c>
      <c r="AC702" s="43" t="str">
        <f>IF(VLOOKUP(AB702,βοηθητικό!$J$2:$N$354,3,FALSE)="","",VLOOKUP(AB702,βοηθητικό!$J$2:$N$354,3,FALSE))</f>
        <v>_</v>
      </c>
      <c r="AD702" s="44"/>
      <c r="AE702" s="5" t="s">
        <v>16</v>
      </c>
      <c r="AF702" s="46" t="str">
        <f>IF(VLOOKUP(AE702,βοηθητικό!$J$2:$N$354,3,FALSE)="","",VLOOKUP(AE702,βοηθητικό!$J$2:$N$354,3,FALSE))</f>
        <v>_</v>
      </c>
      <c r="AG702" s="47"/>
      <c r="AH702" s="4" t="s">
        <v>16</v>
      </c>
      <c r="AI702" s="43" t="str">
        <f>IF(VLOOKUP(AH702,βοηθητικό!$J$2:$N$354,3,FALSE)="","",VLOOKUP(AH702,βοηθητικό!$J$2:$N$354,3,FALSE))</f>
        <v>_</v>
      </c>
      <c r="AJ702" s="44"/>
      <c r="AK702" s="5" t="s">
        <v>16</v>
      </c>
      <c r="AL702" s="46" t="str">
        <f>IF(VLOOKUP(AK702,βοηθητικό!$J$2:$N$354,3,FALSE)="","",VLOOKUP(AK702,βοηθητικό!$J$2:$N$354,3,FALSE))</f>
        <v>_</v>
      </c>
      <c r="AM702" s="47"/>
      <c r="AN702" s="4" t="s">
        <v>16</v>
      </c>
      <c r="AO702" s="43" t="str">
        <f>IF(VLOOKUP(AN702,βοηθητικό!$J$2:$N$354,3,FALSE)="","",VLOOKUP(AN702,βοηθητικό!$J$2:$N$354,3,FALSE))</f>
        <v>_</v>
      </c>
      <c r="AP702" s="44"/>
      <c r="AQ702" s="5" t="s">
        <v>16</v>
      </c>
      <c r="AR702" s="46" t="str">
        <f>IF(VLOOKUP(AQ702,βοηθητικό!$J$2:$N$354,3,FALSE)="","",VLOOKUP(AQ702,βοηθητικό!$J$2:$N$354,3,FALSE))</f>
        <v>_</v>
      </c>
      <c r="AS702" s="47"/>
      <c r="AT702" s="4" t="s">
        <v>16</v>
      </c>
      <c r="AU702" s="43" t="str">
        <f>IF(VLOOKUP(AT702,βοηθητικό!$J$2:$N$354,3,FALSE)="","",VLOOKUP(AT702,βοηθητικό!$J$2:$N$354,3,FALSE))</f>
        <v>_</v>
      </c>
      <c r="AV702" s="44"/>
      <c r="AW702" s="5" t="s">
        <v>16</v>
      </c>
      <c r="AX702" s="46" t="str">
        <f>IF(VLOOKUP(AW702,βοηθητικό!$J$2:$N$354,3,FALSE)="","",VLOOKUP(AW702,βοηθητικό!$J$2:$N$354,3,FALSE))</f>
        <v>_</v>
      </c>
      <c r="AY702" s="47"/>
      <c r="AZ702" s="4" t="s">
        <v>16</v>
      </c>
      <c r="BA702" s="43" t="str">
        <f>IF(VLOOKUP(AZ702,βοηθητικό!$J$2:$N$354,3,FALSE)="","",VLOOKUP(AZ702,βοηθητικό!$J$2:$N$354,3,FALSE))</f>
        <v>_</v>
      </c>
      <c r="BB702" s="44"/>
      <c r="BC702" s="45" t="s">
        <v>16</v>
      </c>
      <c r="BD702" s="46" t="str">
        <f>IF(VLOOKUP(BC702,βοηθητικό!$J$2:$N$354,3,FALSE)="","",VLOOKUP(BC702,βοηθητικό!$J$2:$N$354,3,FALSE))</f>
        <v>_</v>
      </c>
      <c r="BE702" s="47"/>
      <c r="BF702" s="42" t="s">
        <v>16</v>
      </c>
      <c r="BG702" s="43" t="str">
        <f>IF(VLOOKUP(BF702,βοηθητικό!$J$2:$N$354,3,FALSE)="","",VLOOKUP(BF702,βοηθητικό!$J$2:$N$354,3,FALSE))</f>
        <v>_</v>
      </c>
      <c r="BH702" s="44"/>
      <c r="BI702" s="45" t="s">
        <v>16</v>
      </c>
      <c r="BJ702" s="46" t="str">
        <f>IF(VLOOKUP(BI702,βοηθητικό!$J$2:$N$354,3,FALSE)="","",VLOOKUP(BI702,βοηθητικό!$J$2:$N$354,3,FALSE))</f>
        <v>_</v>
      </c>
      <c r="BK702" s="47"/>
      <c r="BL702" s="42" t="s">
        <v>16</v>
      </c>
      <c r="BM702" s="43" t="str">
        <f>IF(VLOOKUP(BL702,βοηθητικό!$J$2:$N$354,3,FALSE)="","",VLOOKUP(BL702,βοηθητικό!$J$2:$N$354,3,FALSE))</f>
        <v>_</v>
      </c>
      <c r="BN702" s="44"/>
      <c r="BO702" s="45" t="s">
        <v>16</v>
      </c>
      <c r="BP702" s="46" t="str">
        <f>IF(VLOOKUP(BO702,βοηθητικό!$J$2:$N$354,3,FALSE)="","",VLOOKUP(BO702,βοηθητικό!$J$2:$N$354,3,FALSE))</f>
        <v>_</v>
      </c>
      <c r="BQ702" s="47"/>
      <c r="BR702" s="42" t="s">
        <v>16</v>
      </c>
      <c r="BS702" s="43" t="str">
        <f>IF(VLOOKUP(BR702,βοηθητικό!$J$2:$N$354,3,FALSE)="","",VLOOKUP(BR702,βοηθητικό!$J$2:$N$354,3,FALSE))</f>
        <v>_</v>
      </c>
      <c r="BT702" s="44"/>
      <c r="BU702" s="45" t="s">
        <v>16</v>
      </c>
      <c r="BV702" s="46" t="str">
        <f>IF(VLOOKUP(BU702,βοηθητικό!$J$2:$N$354,3,FALSE)="","",VLOOKUP(BU702,βοηθητικό!$J$2:$N$354,3,FALSE))</f>
        <v>_</v>
      </c>
      <c r="BW702" s="47"/>
      <c r="BX702" s="42" t="s">
        <v>16</v>
      </c>
      <c r="BY702" s="43" t="str">
        <f>IF(VLOOKUP(BX702,βοηθητικό!$J$2:$N$354,3,FALSE)="","",VLOOKUP(BX702,βοηθητικό!$J$2:$N$354,3,FALSE))</f>
        <v>_</v>
      </c>
      <c r="BZ702" s="44"/>
      <c r="CA702" s="45" t="s">
        <v>16</v>
      </c>
      <c r="CB702" s="46" t="str">
        <f>IF(VLOOKUP(CA702,βοηθητικό!$J$2:$N$354,3,FALSE)="","",VLOOKUP(CA702,βοηθητικό!$J$2:$N$354,3,FALSE))</f>
        <v>_</v>
      </c>
      <c r="CC702" s="47"/>
      <c r="CD702" s="42" t="s">
        <v>16</v>
      </c>
      <c r="CE702" s="43" t="str">
        <f>IF(VLOOKUP(CD702,βοηθητικό!$J$2:$N$354,3,FALSE)="","",VLOOKUP(CD702,βοηθητικό!$J$2:$N$354,3,FALSE))</f>
        <v>_</v>
      </c>
      <c r="CF702" s="44"/>
      <c r="CG702" s="45" t="s">
        <v>16</v>
      </c>
      <c r="CH702" s="46" t="str">
        <f>IF(VLOOKUP(CG702,βοηθητικό!$J$2:$N$354,3,FALSE)="","",VLOOKUP(CG702,βοηθητικό!$J$2:$N$354,3,FALSE))</f>
        <v>_</v>
      </c>
      <c r="CI702" s="47"/>
      <c r="CJ702" s="42" t="s">
        <v>16</v>
      </c>
      <c r="CK702" s="43" t="str">
        <f>IF(VLOOKUP(CJ702,βοηθητικό!$J$2:$N$354,3,FALSE)="","",VLOOKUP(CJ702,βοηθητικό!$J$2:$N$354,3,FALSE))</f>
        <v>_</v>
      </c>
      <c r="CL702" s="44"/>
      <c r="CM702" s="45" t="s">
        <v>16</v>
      </c>
      <c r="CN702" s="46" t="str">
        <f>IF(VLOOKUP(CM702,βοηθητικό!$J$2:$N$354,3,FALSE)="","",VLOOKUP(CM702,βοηθητικό!$J$2:$N$354,3,FALSE))</f>
        <v>_</v>
      </c>
      <c r="CO702" s="47"/>
      <c r="CP702" s="42" t="s">
        <v>16</v>
      </c>
      <c r="CQ702" s="43" t="str">
        <f>IF(VLOOKUP(CP702,βοηθητικό!$J$2:$N$354,3,FALSE)="","",VLOOKUP(CP702,βοηθητικό!$J$2:$N$354,3,FALSE))</f>
        <v>_</v>
      </c>
      <c r="CR702" s="44"/>
      <c r="CS702" s="45" t="s">
        <v>16</v>
      </c>
      <c r="CT702" s="46" t="str">
        <f>IF(VLOOKUP(CS702,βοηθητικό!$J$2:$N$354,3,FALSE)="","",VLOOKUP(CS702,βοηθητικό!$J$2:$N$354,3,FALSE))</f>
        <v>_</v>
      </c>
      <c r="CU702" s="47"/>
    </row>
    <row r="703" spans="1:99" x14ac:dyDescent="0.25">
      <c r="A703" s="37">
        <f>--SUBTOTAL(3,$B$3:B702)</f>
        <v>198</v>
      </c>
      <c r="B703" s="2"/>
      <c r="C703" s="3"/>
      <c r="D703" s="55" t="s">
        <v>18</v>
      </c>
      <c r="E703" s="38" t="s">
        <v>16</v>
      </c>
      <c r="F703" s="38"/>
      <c r="G703" s="39" t="str">
        <f t="shared" si="32"/>
        <v>__</v>
      </c>
      <c r="H703" s="40" t="str">
        <f t="shared" si="33"/>
        <v>FALSE</v>
      </c>
      <c r="I703" s="41">
        <f t="shared" si="34"/>
        <v>0</v>
      </c>
      <c r="J703" s="4" t="s">
        <v>16</v>
      </c>
      <c r="K703" s="43" t="str">
        <f>IF(VLOOKUP(J703,βοηθητικό!$J$2:$N$354,3,FALSE)="","",VLOOKUP(J703,βοηθητικό!$J$2:$N$354,3,FALSE))</f>
        <v>_</v>
      </c>
      <c r="L703" s="44"/>
      <c r="M703" s="5" t="s">
        <v>16</v>
      </c>
      <c r="N703" s="46" t="str">
        <f>IF(VLOOKUP(M703,βοηθητικό!$J$2:$N$354,3,FALSE)="","",VLOOKUP(M703,βοηθητικό!$J$2:$N$354,3,FALSE))</f>
        <v>_</v>
      </c>
      <c r="O703" s="47"/>
      <c r="P703" s="4" t="s">
        <v>16</v>
      </c>
      <c r="Q703" s="43" t="str">
        <f>IF(VLOOKUP(P703,βοηθητικό!$J$2:$N$354,3,FALSE)="","",VLOOKUP(P703,βοηθητικό!$J$2:$N$354,3,FALSE))</f>
        <v>_</v>
      </c>
      <c r="R703" s="44"/>
      <c r="S703" s="5" t="s">
        <v>16</v>
      </c>
      <c r="T703" s="46" t="str">
        <f>IF(VLOOKUP(S703,βοηθητικό!$J$2:$N$354,3,FALSE)="","",VLOOKUP(S703,βοηθητικό!$J$2:$N$354,3,FALSE))</f>
        <v>_</v>
      </c>
      <c r="U703" s="47"/>
      <c r="V703" s="4" t="s">
        <v>16</v>
      </c>
      <c r="W703" s="43" t="str">
        <f>IF(VLOOKUP(V703,βοηθητικό!$J$2:$N$354,3,FALSE)="","",VLOOKUP(V703,βοηθητικό!$J$2:$N$354,3,FALSE))</f>
        <v>_</v>
      </c>
      <c r="X703" s="44"/>
      <c r="Y703" s="5" t="s">
        <v>16</v>
      </c>
      <c r="Z703" s="46" t="str">
        <f>IF(VLOOKUP(Y703,βοηθητικό!$J$2:$N$354,3,FALSE)="","",VLOOKUP(Y703,βοηθητικό!$J$2:$N$354,3,FALSE))</f>
        <v>_</v>
      </c>
      <c r="AA703" s="47"/>
      <c r="AB703" s="4" t="s">
        <v>16</v>
      </c>
      <c r="AC703" s="43" t="str">
        <f>IF(VLOOKUP(AB703,βοηθητικό!$J$2:$N$354,3,FALSE)="","",VLOOKUP(AB703,βοηθητικό!$J$2:$N$354,3,FALSE))</f>
        <v>_</v>
      </c>
      <c r="AD703" s="44"/>
      <c r="AE703" s="5" t="s">
        <v>16</v>
      </c>
      <c r="AF703" s="46" t="str">
        <f>IF(VLOOKUP(AE703,βοηθητικό!$J$2:$N$354,3,FALSE)="","",VLOOKUP(AE703,βοηθητικό!$J$2:$N$354,3,FALSE))</f>
        <v>_</v>
      </c>
      <c r="AG703" s="47"/>
      <c r="AH703" s="4" t="s">
        <v>16</v>
      </c>
      <c r="AI703" s="43" t="str">
        <f>IF(VLOOKUP(AH703,βοηθητικό!$J$2:$N$354,3,FALSE)="","",VLOOKUP(AH703,βοηθητικό!$J$2:$N$354,3,FALSE))</f>
        <v>_</v>
      </c>
      <c r="AJ703" s="44"/>
      <c r="AK703" s="5" t="s">
        <v>16</v>
      </c>
      <c r="AL703" s="46" t="str">
        <f>IF(VLOOKUP(AK703,βοηθητικό!$J$2:$N$354,3,FALSE)="","",VLOOKUP(AK703,βοηθητικό!$J$2:$N$354,3,FALSE))</f>
        <v>_</v>
      </c>
      <c r="AM703" s="47"/>
      <c r="AN703" s="4" t="s">
        <v>16</v>
      </c>
      <c r="AO703" s="43" t="str">
        <f>IF(VLOOKUP(AN703,βοηθητικό!$J$2:$N$354,3,FALSE)="","",VLOOKUP(AN703,βοηθητικό!$J$2:$N$354,3,FALSE))</f>
        <v>_</v>
      </c>
      <c r="AP703" s="44"/>
      <c r="AQ703" s="5" t="s">
        <v>16</v>
      </c>
      <c r="AR703" s="46" t="str">
        <f>IF(VLOOKUP(AQ703,βοηθητικό!$J$2:$N$354,3,FALSE)="","",VLOOKUP(AQ703,βοηθητικό!$J$2:$N$354,3,FALSE))</f>
        <v>_</v>
      </c>
      <c r="AS703" s="47"/>
      <c r="AT703" s="4" t="s">
        <v>16</v>
      </c>
      <c r="AU703" s="43" t="str">
        <f>IF(VLOOKUP(AT703,βοηθητικό!$J$2:$N$354,3,FALSE)="","",VLOOKUP(AT703,βοηθητικό!$J$2:$N$354,3,FALSE))</f>
        <v>_</v>
      </c>
      <c r="AV703" s="44"/>
      <c r="AW703" s="5" t="s">
        <v>16</v>
      </c>
      <c r="AX703" s="46" t="str">
        <f>IF(VLOOKUP(AW703,βοηθητικό!$J$2:$N$354,3,FALSE)="","",VLOOKUP(AW703,βοηθητικό!$J$2:$N$354,3,FALSE))</f>
        <v>_</v>
      </c>
      <c r="AY703" s="47"/>
      <c r="AZ703" s="4" t="s">
        <v>16</v>
      </c>
      <c r="BA703" s="43" t="str">
        <f>IF(VLOOKUP(AZ703,βοηθητικό!$J$2:$N$354,3,FALSE)="","",VLOOKUP(AZ703,βοηθητικό!$J$2:$N$354,3,FALSE))</f>
        <v>_</v>
      </c>
      <c r="BB703" s="44"/>
      <c r="BC703" s="45" t="s">
        <v>16</v>
      </c>
      <c r="BD703" s="46" t="str">
        <f>IF(VLOOKUP(BC703,βοηθητικό!$J$2:$N$354,3,FALSE)="","",VLOOKUP(BC703,βοηθητικό!$J$2:$N$354,3,FALSE))</f>
        <v>_</v>
      </c>
      <c r="BE703" s="47"/>
      <c r="BF703" s="42" t="s">
        <v>16</v>
      </c>
      <c r="BG703" s="43" t="str">
        <f>IF(VLOOKUP(BF703,βοηθητικό!$J$2:$N$354,3,FALSE)="","",VLOOKUP(BF703,βοηθητικό!$J$2:$N$354,3,FALSE))</f>
        <v>_</v>
      </c>
      <c r="BH703" s="44"/>
      <c r="BI703" s="45" t="s">
        <v>16</v>
      </c>
      <c r="BJ703" s="46" t="str">
        <f>IF(VLOOKUP(BI703,βοηθητικό!$J$2:$N$354,3,FALSE)="","",VLOOKUP(BI703,βοηθητικό!$J$2:$N$354,3,FALSE))</f>
        <v>_</v>
      </c>
      <c r="BK703" s="47"/>
      <c r="BL703" s="42" t="s">
        <v>16</v>
      </c>
      <c r="BM703" s="43" t="str">
        <f>IF(VLOOKUP(BL703,βοηθητικό!$J$2:$N$354,3,FALSE)="","",VLOOKUP(BL703,βοηθητικό!$J$2:$N$354,3,FALSE))</f>
        <v>_</v>
      </c>
      <c r="BN703" s="44"/>
      <c r="BO703" s="45" t="s">
        <v>16</v>
      </c>
      <c r="BP703" s="46" t="str">
        <f>IF(VLOOKUP(BO703,βοηθητικό!$J$2:$N$354,3,FALSE)="","",VLOOKUP(BO703,βοηθητικό!$J$2:$N$354,3,FALSE))</f>
        <v>_</v>
      </c>
      <c r="BQ703" s="47"/>
      <c r="BR703" s="42" t="s">
        <v>16</v>
      </c>
      <c r="BS703" s="43" t="str">
        <f>IF(VLOOKUP(BR703,βοηθητικό!$J$2:$N$354,3,FALSE)="","",VLOOKUP(BR703,βοηθητικό!$J$2:$N$354,3,FALSE))</f>
        <v>_</v>
      </c>
      <c r="BT703" s="44"/>
      <c r="BU703" s="45" t="s">
        <v>16</v>
      </c>
      <c r="BV703" s="46" t="str">
        <f>IF(VLOOKUP(BU703,βοηθητικό!$J$2:$N$354,3,FALSE)="","",VLOOKUP(BU703,βοηθητικό!$J$2:$N$354,3,FALSE))</f>
        <v>_</v>
      </c>
      <c r="BW703" s="47"/>
      <c r="BX703" s="42" t="s">
        <v>16</v>
      </c>
      <c r="BY703" s="43" t="str">
        <f>IF(VLOOKUP(BX703,βοηθητικό!$J$2:$N$354,3,FALSE)="","",VLOOKUP(BX703,βοηθητικό!$J$2:$N$354,3,FALSE))</f>
        <v>_</v>
      </c>
      <c r="BZ703" s="44"/>
      <c r="CA703" s="45" t="s">
        <v>16</v>
      </c>
      <c r="CB703" s="46" t="str">
        <f>IF(VLOOKUP(CA703,βοηθητικό!$J$2:$N$354,3,FALSE)="","",VLOOKUP(CA703,βοηθητικό!$J$2:$N$354,3,FALSE))</f>
        <v>_</v>
      </c>
      <c r="CC703" s="47"/>
      <c r="CD703" s="42" t="s">
        <v>16</v>
      </c>
      <c r="CE703" s="43" t="str">
        <f>IF(VLOOKUP(CD703,βοηθητικό!$J$2:$N$354,3,FALSE)="","",VLOOKUP(CD703,βοηθητικό!$J$2:$N$354,3,FALSE))</f>
        <v>_</v>
      </c>
      <c r="CF703" s="44"/>
      <c r="CG703" s="45" t="s">
        <v>16</v>
      </c>
      <c r="CH703" s="46" t="str">
        <f>IF(VLOOKUP(CG703,βοηθητικό!$J$2:$N$354,3,FALSE)="","",VLOOKUP(CG703,βοηθητικό!$J$2:$N$354,3,FALSE))</f>
        <v>_</v>
      </c>
      <c r="CI703" s="47"/>
      <c r="CJ703" s="42" t="s">
        <v>16</v>
      </c>
      <c r="CK703" s="43" t="str">
        <f>IF(VLOOKUP(CJ703,βοηθητικό!$J$2:$N$354,3,FALSE)="","",VLOOKUP(CJ703,βοηθητικό!$J$2:$N$354,3,FALSE))</f>
        <v>_</v>
      </c>
      <c r="CL703" s="44"/>
      <c r="CM703" s="45" t="s">
        <v>16</v>
      </c>
      <c r="CN703" s="46" t="str">
        <f>IF(VLOOKUP(CM703,βοηθητικό!$J$2:$N$354,3,FALSE)="","",VLOOKUP(CM703,βοηθητικό!$J$2:$N$354,3,FALSE))</f>
        <v>_</v>
      </c>
      <c r="CO703" s="47"/>
      <c r="CP703" s="42" t="s">
        <v>16</v>
      </c>
      <c r="CQ703" s="43" t="str">
        <f>IF(VLOOKUP(CP703,βοηθητικό!$J$2:$N$354,3,FALSE)="","",VLOOKUP(CP703,βοηθητικό!$J$2:$N$354,3,FALSE))</f>
        <v>_</v>
      </c>
      <c r="CR703" s="44"/>
      <c r="CS703" s="45" t="s">
        <v>16</v>
      </c>
      <c r="CT703" s="46" t="str">
        <f>IF(VLOOKUP(CS703,βοηθητικό!$J$2:$N$354,3,FALSE)="","",VLOOKUP(CS703,βοηθητικό!$J$2:$N$354,3,FALSE))</f>
        <v>_</v>
      </c>
      <c r="CU703" s="47"/>
    </row>
    <row r="704" spans="1:99" x14ac:dyDescent="0.25">
      <c r="A704" s="37">
        <f>--SUBTOTAL(3,$B$3:B703)</f>
        <v>198</v>
      </c>
      <c r="B704" s="2"/>
      <c r="C704" s="3"/>
      <c r="D704" s="55" t="s">
        <v>18</v>
      </c>
      <c r="E704" s="38" t="s">
        <v>16</v>
      </c>
      <c r="F704" s="38"/>
      <c r="G704" s="39" t="str">
        <f t="shared" si="32"/>
        <v>__</v>
      </c>
      <c r="H704" s="40" t="str">
        <f t="shared" si="33"/>
        <v>FALSE</v>
      </c>
      <c r="I704" s="41">
        <f t="shared" si="34"/>
        <v>0</v>
      </c>
      <c r="J704" s="4" t="s">
        <v>16</v>
      </c>
      <c r="K704" s="43" t="str">
        <f>IF(VLOOKUP(J704,βοηθητικό!$J$2:$N$354,3,FALSE)="","",VLOOKUP(J704,βοηθητικό!$J$2:$N$354,3,FALSE))</f>
        <v>_</v>
      </c>
      <c r="L704" s="44"/>
      <c r="M704" s="5" t="s">
        <v>16</v>
      </c>
      <c r="N704" s="46" t="str">
        <f>IF(VLOOKUP(M704,βοηθητικό!$J$2:$N$354,3,FALSE)="","",VLOOKUP(M704,βοηθητικό!$J$2:$N$354,3,FALSE))</f>
        <v>_</v>
      </c>
      <c r="O704" s="47"/>
      <c r="P704" s="4" t="s">
        <v>16</v>
      </c>
      <c r="Q704" s="43" t="str">
        <f>IF(VLOOKUP(P704,βοηθητικό!$J$2:$N$354,3,FALSE)="","",VLOOKUP(P704,βοηθητικό!$J$2:$N$354,3,FALSE))</f>
        <v>_</v>
      </c>
      <c r="R704" s="44"/>
      <c r="S704" s="5" t="s">
        <v>16</v>
      </c>
      <c r="T704" s="46" t="str">
        <f>IF(VLOOKUP(S704,βοηθητικό!$J$2:$N$354,3,FALSE)="","",VLOOKUP(S704,βοηθητικό!$J$2:$N$354,3,FALSE))</f>
        <v>_</v>
      </c>
      <c r="U704" s="47"/>
      <c r="V704" s="4" t="s">
        <v>16</v>
      </c>
      <c r="W704" s="43" t="str">
        <f>IF(VLOOKUP(V704,βοηθητικό!$J$2:$N$354,3,FALSE)="","",VLOOKUP(V704,βοηθητικό!$J$2:$N$354,3,FALSE))</f>
        <v>_</v>
      </c>
      <c r="X704" s="44"/>
      <c r="Y704" s="5" t="s">
        <v>16</v>
      </c>
      <c r="Z704" s="46" t="str">
        <f>IF(VLOOKUP(Y704,βοηθητικό!$J$2:$N$354,3,FALSE)="","",VLOOKUP(Y704,βοηθητικό!$J$2:$N$354,3,FALSE))</f>
        <v>_</v>
      </c>
      <c r="AA704" s="47"/>
      <c r="AB704" s="4" t="s">
        <v>16</v>
      </c>
      <c r="AC704" s="43" t="str">
        <f>IF(VLOOKUP(AB704,βοηθητικό!$J$2:$N$354,3,FALSE)="","",VLOOKUP(AB704,βοηθητικό!$J$2:$N$354,3,FALSE))</f>
        <v>_</v>
      </c>
      <c r="AD704" s="44"/>
      <c r="AE704" s="5" t="s">
        <v>16</v>
      </c>
      <c r="AF704" s="46" t="str">
        <f>IF(VLOOKUP(AE704,βοηθητικό!$J$2:$N$354,3,FALSE)="","",VLOOKUP(AE704,βοηθητικό!$J$2:$N$354,3,FALSE))</f>
        <v>_</v>
      </c>
      <c r="AG704" s="47"/>
      <c r="AH704" s="4" t="s">
        <v>16</v>
      </c>
      <c r="AI704" s="43" t="str">
        <f>IF(VLOOKUP(AH704,βοηθητικό!$J$2:$N$354,3,FALSE)="","",VLOOKUP(AH704,βοηθητικό!$J$2:$N$354,3,FALSE))</f>
        <v>_</v>
      </c>
      <c r="AJ704" s="44"/>
      <c r="AK704" s="5" t="s">
        <v>16</v>
      </c>
      <c r="AL704" s="46" t="str">
        <f>IF(VLOOKUP(AK704,βοηθητικό!$J$2:$N$354,3,FALSE)="","",VLOOKUP(AK704,βοηθητικό!$J$2:$N$354,3,FALSE))</f>
        <v>_</v>
      </c>
      <c r="AM704" s="47"/>
      <c r="AN704" s="4" t="s">
        <v>16</v>
      </c>
      <c r="AO704" s="43" t="str">
        <f>IF(VLOOKUP(AN704,βοηθητικό!$J$2:$N$354,3,FALSE)="","",VLOOKUP(AN704,βοηθητικό!$J$2:$N$354,3,FALSE))</f>
        <v>_</v>
      </c>
      <c r="AP704" s="44"/>
      <c r="AQ704" s="5" t="s">
        <v>16</v>
      </c>
      <c r="AR704" s="46" t="str">
        <f>IF(VLOOKUP(AQ704,βοηθητικό!$J$2:$N$354,3,FALSE)="","",VLOOKUP(AQ704,βοηθητικό!$J$2:$N$354,3,FALSE))</f>
        <v>_</v>
      </c>
      <c r="AS704" s="47"/>
      <c r="AT704" s="4" t="s">
        <v>16</v>
      </c>
      <c r="AU704" s="43" t="str">
        <f>IF(VLOOKUP(AT704,βοηθητικό!$J$2:$N$354,3,FALSE)="","",VLOOKUP(AT704,βοηθητικό!$J$2:$N$354,3,FALSE))</f>
        <v>_</v>
      </c>
      <c r="AV704" s="44"/>
      <c r="AW704" s="5" t="s">
        <v>16</v>
      </c>
      <c r="AX704" s="46" t="str">
        <f>IF(VLOOKUP(AW704,βοηθητικό!$J$2:$N$354,3,FALSE)="","",VLOOKUP(AW704,βοηθητικό!$J$2:$N$354,3,FALSE))</f>
        <v>_</v>
      </c>
      <c r="AY704" s="47"/>
      <c r="AZ704" s="4" t="s">
        <v>16</v>
      </c>
      <c r="BA704" s="43" t="str">
        <f>IF(VLOOKUP(AZ704,βοηθητικό!$J$2:$N$354,3,FALSE)="","",VLOOKUP(AZ704,βοηθητικό!$J$2:$N$354,3,FALSE))</f>
        <v>_</v>
      </c>
      <c r="BB704" s="44"/>
      <c r="BC704" s="45" t="s">
        <v>16</v>
      </c>
      <c r="BD704" s="46" t="str">
        <f>IF(VLOOKUP(BC704,βοηθητικό!$J$2:$N$354,3,FALSE)="","",VLOOKUP(BC704,βοηθητικό!$J$2:$N$354,3,FALSE))</f>
        <v>_</v>
      </c>
      <c r="BE704" s="47"/>
      <c r="BF704" s="42" t="s">
        <v>16</v>
      </c>
      <c r="BG704" s="43" t="str">
        <f>IF(VLOOKUP(BF704,βοηθητικό!$J$2:$N$354,3,FALSE)="","",VLOOKUP(BF704,βοηθητικό!$J$2:$N$354,3,FALSE))</f>
        <v>_</v>
      </c>
      <c r="BH704" s="44"/>
      <c r="BI704" s="45" t="s">
        <v>16</v>
      </c>
      <c r="BJ704" s="46" t="str">
        <f>IF(VLOOKUP(BI704,βοηθητικό!$J$2:$N$354,3,FALSE)="","",VLOOKUP(BI704,βοηθητικό!$J$2:$N$354,3,FALSE))</f>
        <v>_</v>
      </c>
      <c r="BK704" s="47"/>
      <c r="BL704" s="42" t="s">
        <v>16</v>
      </c>
      <c r="BM704" s="43" t="str">
        <f>IF(VLOOKUP(BL704,βοηθητικό!$J$2:$N$354,3,FALSE)="","",VLOOKUP(BL704,βοηθητικό!$J$2:$N$354,3,FALSE))</f>
        <v>_</v>
      </c>
      <c r="BN704" s="44"/>
      <c r="BO704" s="45" t="s">
        <v>16</v>
      </c>
      <c r="BP704" s="46" t="str">
        <f>IF(VLOOKUP(BO704,βοηθητικό!$J$2:$N$354,3,FALSE)="","",VLOOKUP(BO704,βοηθητικό!$J$2:$N$354,3,FALSE))</f>
        <v>_</v>
      </c>
      <c r="BQ704" s="47"/>
      <c r="BR704" s="42" t="s">
        <v>16</v>
      </c>
      <c r="BS704" s="43" t="str">
        <f>IF(VLOOKUP(BR704,βοηθητικό!$J$2:$N$354,3,FALSE)="","",VLOOKUP(BR704,βοηθητικό!$J$2:$N$354,3,FALSE))</f>
        <v>_</v>
      </c>
      <c r="BT704" s="44"/>
      <c r="BU704" s="45" t="s">
        <v>16</v>
      </c>
      <c r="BV704" s="46" t="str">
        <f>IF(VLOOKUP(BU704,βοηθητικό!$J$2:$N$354,3,FALSE)="","",VLOOKUP(BU704,βοηθητικό!$J$2:$N$354,3,FALSE))</f>
        <v>_</v>
      </c>
      <c r="BW704" s="47"/>
      <c r="BX704" s="42" t="s">
        <v>16</v>
      </c>
      <c r="BY704" s="43" t="str">
        <f>IF(VLOOKUP(BX704,βοηθητικό!$J$2:$N$354,3,FALSE)="","",VLOOKUP(BX704,βοηθητικό!$J$2:$N$354,3,FALSE))</f>
        <v>_</v>
      </c>
      <c r="BZ704" s="44"/>
      <c r="CA704" s="45" t="s">
        <v>16</v>
      </c>
      <c r="CB704" s="46" t="str">
        <f>IF(VLOOKUP(CA704,βοηθητικό!$J$2:$N$354,3,FALSE)="","",VLOOKUP(CA704,βοηθητικό!$J$2:$N$354,3,FALSE))</f>
        <v>_</v>
      </c>
      <c r="CC704" s="47"/>
      <c r="CD704" s="42" t="s">
        <v>16</v>
      </c>
      <c r="CE704" s="43" t="str">
        <f>IF(VLOOKUP(CD704,βοηθητικό!$J$2:$N$354,3,FALSE)="","",VLOOKUP(CD704,βοηθητικό!$J$2:$N$354,3,FALSE))</f>
        <v>_</v>
      </c>
      <c r="CF704" s="44"/>
      <c r="CG704" s="45" t="s">
        <v>16</v>
      </c>
      <c r="CH704" s="46" t="str">
        <f>IF(VLOOKUP(CG704,βοηθητικό!$J$2:$N$354,3,FALSE)="","",VLOOKUP(CG704,βοηθητικό!$J$2:$N$354,3,FALSE))</f>
        <v>_</v>
      </c>
      <c r="CI704" s="47"/>
      <c r="CJ704" s="42" t="s">
        <v>16</v>
      </c>
      <c r="CK704" s="43" t="str">
        <f>IF(VLOOKUP(CJ704,βοηθητικό!$J$2:$N$354,3,FALSE)="","",VLOOKUP(CJ704,βοηθητικό!$J$2:$N$354,3,FALSE))</f>
        <v>_</v>
      </c>
      <c r="CL704" s="44"/>
      <c r="CM704" s="45" t="s">
        <v>16</v>
      </c>
      <c r="CN704" s="46" t="str">
        <f>IF(VLOOKUP(CM704,βοηθητικό!$J$2:$N$354,3,FALSE)="","",VLOOKUP(CM704,βοηθητικό!$J$2:$N$354,3,FALSE))</f>
        <v>_</v>
      </c>
      <c r="CO704" s="47"/>
      <c r="CP704" s="42" t="s">
        <v>16</v>
      </c>
      <c r="CQ704" s="43" t="str">
        <f>IF(VLOOKUP(CP704,βοηθητικό!$J$2:$N$354,3,FALSE)="","",VLOOKUP(CP704,βοηθητικό!$J$2:$N$354,3,FALSE))</f>
        <v>_</v>
      </c>
      <c r="CR704" s="44"/>
      <c r="CS704" s="45" t="s">
        <v>16</v>
      </c>
      <c r="CT704" s="46" t="str">
        <f>IF(VLOOKUP(CS704,βοηθητικό!$J$2:$N$354,3,FALSE)="","",VLOOKUP(CS704,βοηθητικό!$J$2:$N$354,3,FALSE))</f>
        <v>_</v>
      </c>
      <c r="CU704" s="47"/>
    </row>
    <row r="705" spans="1:99" x14ac:dyDescent="0.25">
      <c r="A705" s="37">
        <f>--SUBTOTAL(3,$B$3:B704)</f>
        <v>198</v>
      </c>
      <c r="B705" s="2"/>
      <c r="C705" s="3"/>
      <c r="D705" s="55" t="s">
        <v>18</v>
      </c>
      <c r="E705" s="38" t="s">
        <v>16</v>
      </c>
      <c r="F705" s="38"/>
      <c r="G705" s="39" t="str">
        <f t="shared" si="32"/>
        <v>__</v>
      </c>
      <c r="H705" s="40" t="str">
        <f t="shared" si="33"/>
        <v>FALSE</v>
      </c>
      <c r="I705" s="41">
        <f t="shared" si="34"/>
        <v>0</v>
      </c>
      <c r="J705" s="4" t="s">
        <v>16</v>
      </c>
      <c r="K705" s="43" t="str">
        <f>IF(VLOOKUP(J705,βοηθητικό!$J$2:$N$354,3,FALSE)="","",VLOOKUP(J705,βοηθητικό!$J$2:$N$354,3,FALSE))</f>
        <v>_</v>
      </c>
      <c r="L705" s="44"/>
      <c r="M705" s="5" t="s">
        <v>16</v>
      </c>
      <c r="N705" s="46" t="str">
        <f>IF(VLOOKUP(M705,βοηθητικό!$J$2:$N$354,3,FALSE)="","",VLOOKUP(M705,βοηθητικό!$J$2:$N$354,3,FALSE))</f>
        <v>_</v>
      </c>
      <c r="O705" s="47"/>
      <c r="P705" s="4" t="s">
        <v>16</v>
      </c>
      <c r="Q705" s="43" t="str">
        <f>IF(VLOOKUP(P705,βοηθητικό!$J$2:$N$354,3,FALSE)="","",VLOOKUP(P705,βοηθητικό!$J$2:$N$354,3,FALSE))</f>
        <v>_</v>
      </c>
      <c r="R705" s="44"/>
      <c r="S705" s="5" t="s">
        <v>16</v>
      </c>
      <c r="T705" s="46" t="str">
        <f>IF(VLOOKUP(S705,βοηθητικό!$J$2:$N$354,3,FALSE)="","",VLOOKUP(S705,βοηθητικό!$J$2:$N$354,3,FALSE))</f>
        <v>_</v>
      </c>
      <c r="U705" s="47"/>
      <c r="V705" s="4" t="s">
        <v>16</v>
      </c>
      <c r="W705" s="43" t="str">
        <f>IF(VLOOKUP(V705,βοηθητικό!$J$2:$N$354,3,FALSE)="","",VLOOKUP(V705,βοηθητικό!$J$2:$N$354,3,FALSE))</f>
        <v>_</v>
      </c>
      <c r="X705" s="44"/>
      <c r="Y705" s="5" t="s">
        <v>16</v>
      </c>
      <c r="Z705" s="46" t="str">
        <f>IF(VLOOKUP(Y705,βοηθητικό!$J$2:$N$354,3,FALSE)="","",VLOOKUP(Y705,βοηθητικό!$J$2:$N$354,3,FALSE))</f>
        <v>_</v>
      </c>
      <c r="AA705" s="47"/>
      <c r="AB705" s="4" t="s">
        <v>16</v>
      </c>
      <c r="AC705" s="43" t="str">
        <f>IF(VLOOKUP(AB705,βοηθητικό!$J$2:$N$354,3,FALSE)="","",VLOOKUP(AB705,βοηθητικό!$J$2:$N$354,3,FALSE))</f>
        <v>_</v>
      </c>
      <c r="AD705" s="44"/>
      <c r="AE705" s="5" t="s">
        <v>16</v>
      </c>
      <c r="AF705" s="46" t="str">
        <f>IF(VLOOKUP(AE705,βοηθητικό!$J$2:$N$354,3,FALSE)="","",VLOOKUP(AE705,βοηθητικό!$J$2:$N$354,3,FALSE))</f>
        <v>_</v>
      </c>
      <c r="AG705" s="47"/>
      <c r="AH705" s="4" t="s">
        <v>16</v>
      </c>
      <c r="AI705" s="43" t="str">
        <f>IF(VLOOKUP(AH705,βοηθητικό!$J$2:$N$354,3,FALSE)="","",VLOOKUP(AH705,βοηθητικό!$J$2:$N$354,3,FALSE))</f>
        <v>_</v>
      </c>
      <c r="AJ705" s="44"/>
      <c r="AK705" s="5" t="s">
        <v>16</v>
      </c>
      <c r="AL705" s="46" t="str">
        <f>IF(VLOOKUP(AK705,βοηθητικό!$J$2:$N$354,3,FALSE)="","",VLOOKUP(AK705,βοηθητικό!$J$2:$N$354,3,FALSE))</f>
        <v>_</v>
      </c>
      <c r="AM705" s="47"/>
      <c r="AN705" s="4" t="s">
        <v>16</v>
      </c>
      <c r="AO705" s="43" t="str">
        <f>IF(VLOOKUP(AN705,βοηθητικό!$J$2:$N$354,3,FALSE)="","",VLOOKUP(AN705,βοηθητικό!$J$2:$N$354,3,FALSE))</f>
        <v>_</v>
      </c>
      <c r="AP705" s="44"/>
      <c r="AQ705" s="5" t="s">
        <v>16</v>
      </c>
      <c r="AR705" s="46" t="str">
        <f>IF(VLOOKUP(AQ705,βοηθητικό!$J$2:$N$354,3,FALSE)="","",VLOOKUP(AQ705,βοηθητικό!$J$2:$N$354,3,FALSE))</f>
        <v>_</v>
      </c>
      <c r="AS705" s="47"/>
      <c r="AT705" s="4" t="s">
        <v>16</v>
      </c>
      <c r="AU705" s="43" t="str">
        <f>IF(VLOOKUP(AT705,βοηθητικό!$J$2:$N$354,3,FALSE)="","",VLOOKUP(AT705,βοηθητικό!$J$2:$N$354,3,FALSE))</f>
        <v>_</v>
      </c>
      <c r="AV705" s="44"/>
      <c r="AW705" s="5" t="s">
        <v>16</v>
      </c>
      <c r="AX705" s="46" t="str">
        <f>IF(VLOOKUP(AW705,βοηθητικό!$J$2:$N$354,3,FALSE)="","",VLOOKUP(AW705,βοηθητικό!$J$2:$N$354,3,FALSE))</f>
        <v>_</v>
      </c>
      <c r="AY705" s="47"/>
      <c r="AZ705" s="4" t="s">
        <v>16</v>
      </c>
      <c r="BA705" s="43" t="str">
        <f>IF(VLOOKUP(AZ705,βοηθητικό!$J$2:$N$354,3,FALSE)="","",VLOOKUP(AZ705,βοηθητικό!$J$2:$N$354,3,FALSE))</f>
        <v>_</v>
      </c>
      <c r="BB705" s="44"/>
      <c r="BC705" s="45" t="s">
        <v>16</v>
      </c>
      <c r="BD705" s="46" t="str">
        <f>IF(VLOOKUP(BC705,βοηθητικό!$J$2:$N$354,3,FALSE)="","",VLOOKUP(BC705,βοηθητικό!$J$2:$N$354,3,FALSE))</f>
        <v>_</v>
      </c>
      <c r="BE705" s="47"/>
      <c r="BF705" s="42" t="s">
        <v>16</v>
      </c>
      <c r="BG705" s="43" t="str">
        <f>IF(VLOOKUP(BF705,βοηθητικό!$J$2:$N$354,3,FALSE)="","",VLOOKUP(BF705,βοηθητικό!$J$2:$N$354,3,FALSE))</f>
        <v>_</v>
      </c>
      <c r="BH705" s="44"/>
      <c r="BI705" s="45" t="s">
        <v>16</v>
      </c>
      <c r="BJ705" s="46" t="str">
        <f>IF(VLOOKUP(BI705,βοηθητικό!$J$2:$N$354,3,FALSE)="","",VLOOKUP(BI705,βοηθητικό!$J$2:$N$354,3,FALSE))</f>
        <v>_</v>
      </c>
      <c r="BK705" s="47"/>
      <c r="BL705" s="42" t="s">
        <v>16</v>
      </c>
      <c r="BM705" s="43" t="str">
        <f>IF(VLOOKUP(BL705,βοηθητικό!$J$2:$N$354,3,FALSE)="","",VLOOKUP(BL705,βοηθητικό!$J$2:$N$354,3,FALSE))</f>
        <v>_</v>
      </c>
      <c r="BN705" s="44"/>
      <c r="BO705" s="45" t="s">
        <v>16</v>
      </c>
      <c r="BP705" s="46" t="str">
        <f>IF(VLOOKUP(BO705,βοηθητικό!$J$2:$N$354,3,FALSE)="","",VLOOKUP(BO705,βοηθητικό!$J$2:$N$354,3,FALSE))</f>
        <v>_</v>
      </c>
      <c r="BQ705" s="47"/>
      <c r="BR705" s="42" t="s">
        <v>16</v>
      </c>
      <c r="BS705" s="43" t="str">
        <f>IF(VLOOKUP(BR705,βοηθητικό!$J$2:$N$354,3,FALSE)="","",VLOOKUP(BR705,βοηθητικό!$J$2:$N$354,3,FALSE))</f>
        <v>_</v>
      </c>
      <c r="BT705" s="44"/>
      <c r="BU705" s="45" t="s">
        <v>16</v>
      </c>
      <c r="BV705" s="46" t="str">
        <f>IF(VLOOKUP(BU705,βοηθητικό!$J$2:$N$354,3,FALSE)="","",VLOOKUP(BU705,βοηθητικό!$J$2:$N$354,3,FALSE))</f>
        <v>_</v>
      </c>
      <c r="BW705" s="47"/>
      <c r="BX705" s="42" t="s">
        <v>16</v>
      </c>
      <c r="BY705" s="43" t="str">
        <f>IF(VLOOKUP(BX705,βοηθητικό!$J$2:$N$354,3,FALSE)="","",VLOOKUP(BX705,βοηθητικό!$J$2:$N$354,3,FALSE))</f>
        <v>_</v>
      </c>
      <c r="BZ705" s="44"/>
      <c r="CA705" s="45" t="s">
        <v>16</v>
      </c>
      <c r="CB705" s="46" t="str">
        <f>IF(VLOOKUP(CA705,βοηθητικό!$J$2:$N$354,3,FALSE)="","",VLOOKUP(CA705,βοηθητικό!$J$2:$N$354,3,FALSE))</f>
        <v>_</v>
      </c>
      <c r="CC705" s="47"/>
      <c r="CD705" s="42" t="s">
        <v>16</v>
      </c>
      <c r="CE705" s="43" t="str">
        <f>IF(VLOOKUP(CD705,βοηθητικό!$J$2:$N$354,3,FALSE)="","",VLOOKUP(CD705,βοηθητικό!$J$2:$N$354,3,FALSE))</f>
        <v>_</v>
      </c>
      <c r="CF705" s="44"/>
      <c r="CG705" s="45" t="s">
        <v>16</v>
      </c>
      <c r="CH705" s="46" t="str">
        <f>IF(VLOOKUP(CG705,βοηθητικό!$J$2:$N$354,3,FALSE)="","",VLOOKUP(CG705,βοηθητικό!$J$2:$N$354,3,FALSE))</f>
        <v>_</v>
      </c>
      <c r="CI705" s="47"/>
      <c r="CJ705" s="42" t="s">
        <v>16</v>
      </c>
      <c r="CK705" s="43" t="str">
        <f>IF(VLOOKUP(CJ705,βοηθητικό!$J$2:$N$354,3,FALSE)="","",VLOOKUP(CJ705,βοηθητικό!$J$2:$N$354,3,FALSE))</f>
        <v>_</v>
      </c>
      <c r="CL705" s="44"/>
      <c r="CM705" s="45" t="s">
        <v>16</v>
      </c>
      <c r="CN705" s="46" t="str">
        <f>IF(VLOOKUP(CM705,βοηθητικό!$J$2:$N$354,3,FALSE)="","",VLOOKUP(CM705,βοηθητικό!$J$2:$N$354,3,FALSE))</f>
        <v>_</v>
      </c>
      <c r="CO705" s="47"/>
      <c r="CP705" s="42" t="s">
        <v>16</v>
      </c>
      <c r="CQ705" s="43" t="str">
        <f>IF(VLOOKUP(CP705,βοηθητικό!$J$2:$N$354,3,FALSE)="","",VLOOKUP(CP705,βοηθητικό!$J$2:$N$354,3,FALSE))</f>
        <v>_</v>
      </c>
      <c r="CR705" s="44"/>
      <c r="CS705" s="45" t="s">
        <v>16</v>
      </c>
      <c r="CT705" s="46" t="str">
        <f>IF(VLOOKUP(CS705,βοηθητικό!$J$2:$N$354,3,FALSE)="","",VLOOKUP(CS705,βοηθητικό!$J$2:$N$354,3,FALSE))</f>
        <v>_</v>
      </c>
      <c r="CU705" s="47"/>
    </row>
    <row r="706" spans="1:99" x14ac:dyDescent="0.25">
      <c r="A706" s="37">
        <f>--SUBTOTAL(3,$B$3:B705)</f>
        <v>198</v>
      </c>
      <c r="B706" s="2"/>
      <c r="C706" s="3"/>
      <c r="D706" s="55" t="s">
        <v>18</v>
      </c>
      <c r="E706" s="38" t="s">
        <v>16</v>
      </c>
      <c r="F706" s="38"/>
      <c r="G706" s="39" t="str">
        <f t="shared" si="32"/>
        <v>__</v>
      </c>
      <c r="H706" s="40" t="str">
        <f t="shared" si="33"/>
        <v>FALSE</v>
      </c>
      <c r="I706" s="41">
        <f t="shared" si="34"/>
        <v>0</v>
      </c>
      <c r="J706" s="4" t="s">
        <v>16</v>
      </c>
      <c r="K706" s="43" t="str">
        <f>IF(VLOOKUP(J706,βοηθητικό!$J$2:$N$354,3,FALSE)="","",VLOOKUP(J706,βοηθητικό!$J$2:$N$354,3,FALSE))</f>
        <v>_</v>
      </c>
      <c r="L706" s="44"/>
      <c r="M706" s="5" t="s">
        <v>16</v>
      </c>
      <c r="N706" s="46" t="str">
        <f>IF(VLOOKUP(M706,βοηθητικό!$J$2:$N$354,3,FALSE)="","",VLOOKUP(M706,βοηθητικό!$J$2:$N$354,3,FALSE))</f>
        <v>_</v>
      </c>
      <c r="O706" s="47"/>
      <c r="P706" s="4" t="s">
        <v>16</v>
      </c>
      <c r="Q706" s="43" t="str">
        <f>IF(VLOOKUP(P706,βοηθητικό!$J$2:$N$354,3,FALSE)="","",VLOOKUP(P706,βοηθητικό!$J$2:$N$354,3,FALSE))</f>
        <v>_</v>
      </c>
      <c r="R706" s="44"/>
      <c r="S706" s="5" t="s">
        <v>16</v>
      </c>
      <c r="T706" s="46" t="str">
        <f>IF(VLOOKUP(S706,βοηθητικό!$J$2:$N$354,3,FALSE)="","",VLOOKUP(S706,βοηθητικό!$J$2:$N$354,3,FALSE))</f>
        <v>_</v>
      </c>
      <c r="U706" s="47"/>
      <c r="V706" s="4" t="s">
        <v>16</v>
      </c>
      <c r="W706" s="43" t="str">
        <f>IF(VLOOKUP(V706,βοηθητικό!$J$2:$N$354,3,FALSE)="","",VLOOKUP(V706,βοηθητικό!$J$2:$N$354,3,FALSE))</f>
        <v>_</v>
      </c>
      <c r="X706" s="44"/>
      <c r="Y706" s="5" t="s">
        <v>16</v>
      </c>
      <c r="Z706" s="46" t="str">
        <f>IF(VLOOKUP(Y706,βοηθητικό!$J$2:$N$354,3,FALSE)="","",VLOOKUP(Y706,βοηθητικό!$J$2:$N$354,3,FALSE))</f>
        <v>_</v>
      </c>
      <c r="AA706" s="47"/>
      <c r="AB706" s="4" t="s">
        <v>16</v>
      </c>
      <c r="AC706" s="43" t="str">
        <f>IF(VLOOKUP(AB706,βοηθητικό!$J$2:$N$354,3,FALSE)="","",VLOOKUP(AB706,βοηθητικό!$J$2:$N$354,3,FALSE))</f>
        <v>_</v>
      </c>
      <c r="AD706" s="44"/>
      <c r="AE706" s="5" t="s">
        <v>16</v>
      </c>
      <c r="AF706" s="46" t="str">
        <f>IF(VLOOKUP(AE706,βοηθητικό!$J$2:$N$354,3,FALSE)="","",VLOOKUP(AE706,βοηθητικό!$J$2:$N$354,3,FALSE))</f>
        <v>_</v>
      </c>
      <c r="AG706" s="47"/>
      <c r="AH706" s="4" t="s">
        <v>16</v>
      </c>
      <c r="AI706" s="43" t="str">
        <f>IF(VLOOKUP(AH706,βοηθητικό!$J$2:$N$354,3,FALSE)="","",VLOOKUP(AH706,βοηθητικό!$J$2:$N$354,3,FALSE))</f>
        <v>_</v>
      </c>
      <c r="AJ706" s="44"/>
      <c r="AK706" s="5" t="s">
        <v>16</v>
      </c>
      <c r="AL706" s="46" t="str">
        <f>IF(VLOOKUP(AK706,βοηθητικό!$J$2:$N$354,3,FALSE)="","",VLOOKUP(AK706,βοηθητικό!$J$2:$N$354,3,FALSE))</f>
        <v>_</v>
      </c>
      <c r="AM706" s="47"/>
      <c r="AN706" s="4" t="s">
        <v>16</v>
      </c>
      <c r="AO706" s="43" t="str">
        <f>IF(VLOOKUP(AN706,βοηθητικό!$J$2:$N$354,3,FALSE)="","",VLOOKUP(AN706,βοηθητικό!$J$2:$N$354,3,FALSE))</f>
        <v>_</v>
      </c>
      <c r="AP706" s="44"/>
      <c r="AQ706" s="5" t="s">
        <v>16</v>
      </c>
      <c r="AR706" s="46" t="str">
        <f>IF(VLOOKUP(AQ706,βοηθητικό!$J$2:$N$354,3,FALSE)="","",VLOOKUP(AQ706,βοηθητικό!$J$2:$N$354,3,FALSE))</f>
        <v>_</v>
      </c>
      <c r="AS706" s="47"/>
      <c r="AT706" s="4" t="s">
        <v>16</v>
      </c>
      <c r="AU706" s="43" t="str">
        <f>IF(VLOOKUP(AT706,βοηθητικό!$J$2:$N$354,3,FALSE)="","",VLOOKUP(AT706,βοηθητικό!$J$2:$N$354,3,FALSE))</f>
        <v>_</v>
      </c>
      <c r="AV706" s="44"/>
      <c r="AW706" s="5" t="s">
        <v>16</v>
      </c>
      <c r="AX706" s="46" t="str">
        <f>IF(VLOOKUP(AW706,βοηθητικό!$J$2:$N$354,3,FALSE)="","",VLOOKUP(AW706,βοηθητικό!$J$2:$N$354,3,FALSE))</f>
        <v>_</v>
      </c>
      <c r="AY706" s="47"/>
      <c r="AZ706" s="4" t="s">
        <v>16</v>
      </c>
      <c r="BA706" s="43" t="str">
        <f>IF(VLOOKUP(AZ706,βοηθητικό!$J$2:$N$354,3,FALSE)="","",VLOOKUP(AZ706,βοηθητικό!$J$2:$N$354,3,FALSE))</f>
        <v>_</v>
      </c>
      <c r="BB706" s="44"/>
      <c r="BC706" s="45" t="s">
        <v>16</v>
      </c>
      <c r="BD706" s="46" t="str">
        <f>IF(VLOOKUP(BC706,βοηθητικό!$J$2:$N$354,3,FALSE)="","",VLOOKUP(BC706,βοηθητικό!$J$2:$N$354,3,FALSE))</f>
        <v>_</v>
      </c>
      <c r="BE706" s="47"/>
      <c r="BF706" s="42" t="s">
        <v>16</v>
      </c>
      <c r="BG706" s="43" t="str">
        <f>IF(VLOOKUP(BF706,βοηθητικό!$J$2:$N$354,3,FALSE)="","",VLOOKUP(BF706,βοηθητικό!$J$2:$N$354,3,FALSE))</f>
        <v>_</v>
      </c>
      <c r="BH706" s="44"/>
      <c r="BI706" s="45" t="s">
        <v>16</v>
      </c>
      <c r="BJ706" s="46" t="str">
        <f>IF(VLOOKUP(BI706,βοηθητικό!$J$2:$N$354,3,FALSE)="","",VLOOKUP(BI706,βοηθητικό!$J$2:$N$354,3,FALSE))</f>
        <v>_</v>
      </c>
      <c r="BK706" s="47"/>
      <c r="BL706" s="42" t="s">
        <v>16</v>
      </c>
      <c r="BM706" s="43" t="str">
        <f>IF(VLOOKUP(BL706,βοηθητικό!$J$2:$N$354,3,FALSE)="","",VLOOKUP(BL706,βοηθητικό!$J$2:$N$354,3,FALSE))</f>
        <v>_</v>
      </c>
      <c r="BN706" s="44"/>
      <c r="BO706" s="45" t="s">
        <v>16</v>
      </c>
      <c r="BP706" s="46" t="str">
        <f>IF(VLOOKUP(BO706,βοηθητικό!$J$2:$N$354,3,FALSE)="","",VLOOKUP(BO706,βοηθητικό!$J$2:$N$354,3,FALSE))</f>
        <v>_</v>
      </c>
      <c r="BQ706" s="47"/>
      <c r="BR706" s="42" t="s">
        <v>16</v>
      </c>
      <c r="BS706" s="43" t="str">
        <f>IF(VLOOKUP(BR706,βοηθητικό!$J$2:$N$354,3,FALSE)="","",VLOOKUP(BR706,βοηθητικό!$J$2:$N$354,3,FALSE))</f>
        <v>_</v>
      </c>
      <c r="BT706" s="44"/>
      <c r="BU706" s="45" t="s">
        <v>16</v>
      </c>
      <c r="BV706" s="46" t="str">
        <f>IF(VLOOKUP(BU706,βοηθητικό!$J$2:$N$354,3,FALSE)="","",VLOOKUP(BU706,βοηθητικό!$J$2:$N$354,3,FALSE))</f>
        <v>_</v>
      </c>
      <c r="BW706" s="47"/>
      <c r="BX706" s="42" t="s">
        <v>16</v>
      </c>
      <c r="BY706" s="43" t="str">
        <f>IF(VLOOKUP(BX706,βοηθητικό!$J$2:$N$354,3,FALSE)="","",VLOOKUP(BX706,βοηθητικό!$J$2:$N$354,3,FALSE))</f>
        <v>_</v>
      </c>
      <c r="BZ706" s="44"/>
      <c r="CA706" s="45" t="s">
        <v>16</v>
      </c>
      <c r="CB706" s="46" t="str">
        <f>IF(VLOOKUP(CA706,βοηθητικό!$J$2:$N$354,3,FALSE)="","",VLOOKUP(CA706,βοηθητικό!$J$2:$N$354,3,FALSE))</f>
        <v>_</v>
      </c>
      <c r="CC706" s="47"/>
      <c r="CD706" s="42" t="s">
        <v>16</v>
      </c>
      <c r="CE706" s="43" t="str">
        <f>IF(VLOOKUP(CD706,βοηθητικό!$J$2:$N$354,3,FALSE)="","",VLOOKUP(CD706,βοηθητικό!$J$2:$N$354,3,FALSE))</f>
        <v>_</v>
      </c>
      <c r="CF706" s="44"/>
      <c r="CG706" s="45" t="s">
        <v>16</v>
      </c>
      <c r="CH706" s="46" t="str">
        <f>IF(VLOOKUP(CG706,βοηθητικό!$J$2:$N$354,3,FALSE)="","",VLOOKUP(CG706,βοηθητικό!$J$2:$N$354,3,FALSE))</f>
        <v>_</v>
      </c>
      <c r="CI706" s="47"/>
      <c r="CJ706" s="42" t="s">
        <v>16</v>
      </c>
      <c r="CK706" s="43" t="str">
        <f>IF(VLOOKUP(CJ706,βοηθητικό!$J$2:$N$354,3,FALSE)="","",VLOOKUP(CJ706,βοηθητικό!$J$2:$N$354,3,FALSE))</f>
        <v>_</v>
      </c>
      <c r="CL706" s="44"/>
      <c r="CM706" s="45" t="s">
        <v>16</v>
      </c>
      <c r="CN706" s="46" t="str">
        <f>IF(VLOOKUP(CM706,βοηθητικό!$J$2:$N$354,3,FALSE)="","",VLOOKUP(CM706,βοηθητικό!$J$2:$N$354,3,FALSE))</f>
        <v>_</v>
      </c>
      <c r="CO706" s="47"/>
      <c r="CP706" s="42" t="s">
        <v>16</v>
      </c>
      <c r="CQ706" s="43" t="str">
        <f>IF(VLOOKUP(CP706,βοηθητικό!$J$2:$N$354,3,FALSE)="","",VLOOKUP(CP706,βοηθητικό!$J$2:$N$354,3,FALSE))</f>
        <v>_</v>
      </c>
      <c r="CR706" s="44"/>
      <c r="CS706" s="45" t="s">
        <v>16</v>
      </c>
      <c r="CT706" s="46" t="str">
        <f>IF(VLOOKUP(CS706,βοηθητικό!$J$2:$N$354,3,FALSE)="","",VLOOKUP(CS706,βοηθητικό!$J$2:$N$354,3,FALSE))</f>
        <v>_</v>
      </c>
      <c r="CU706" s="47"/>
    </row>
    <row r="707" spans="1:99" x14ac:dyDescent="0.25">
      <c r="A707" s="37">
        <f>--SUBTOTAL(3,$B$3:B706)</f>
        <v>198</v>
      </c>
      <c r="B707" s="2"/>
      <c r="C707" s="3"/>
      <c r="D707" s="55" t="s">
        <v>18</v>
      </c>
      <c r="E707" s="38" t="s">
        <v>16</v>
      </c>
      <c r="F707" s="38"/>
      <c r="G707" s="39" t="str">
        <f t="shared" si="32"/>
        <v>__</v>
      </c>
      <c r="H707" s="40" t="str">
        <f t="shared" si="33"/>
        <v>FALSE</v>
      </c>
      <c r="I707" s="41">
        <f t="shared" si="34"/>
        <v>0</v>
      </c>
      <c r="J707" s="4" t="s">
        <v>16</v>
      </c>
      <c r="K707" s="43" t="str">
        <f>IF(VLOOKUP(J707,βοηθητικό!$J$2:$N$354,3,FALSE)="","",VLOOKUP(J707,βοηθητικό!$J$2:$N$354,3,FALSE))</f>
        <v>_</v>
      </c>
      <c r="L707" s="44"/>
      <c r="M707" s="5" t="s">
        <v>16</v>
      </c>
      <c r="N707" s="46" t="str">
        <f>IF(VLOOKUP(M707,βοηθητικό!$J$2:$N$354,3,FALSE)="","",VLOOKUP(M707,βοηθητικό!$J$2:$N$354,3,FALSE))</f>
        <v>_</v>
      </c>
      <c r="O707" s="47"/>
      <c r="P707" s="4" t="s">
        <v>16</v>
      </c>
      <c r="Q707" s="43" t="str">
        <f>IF(VLOOKUP(P707,βοηθητικό!$J$2:$N$354,3,FALSE)="","",VLOOKUP(P707,βοηθητικό!$J$2:$N$354,3,FALSE))</f>
        <v>_</v>
      </c>
      <c r="R707" s="44"/>
      <c r="S707" s="5" t="s">
        <v>16</v>
      </c>
      <c r="T707" s="46" t="str">
        <f>IF(VLOOKUP(S707,βοηθητικό!$J$2:$N$354,3,FALSE)="","",VLOOKUP(S707,βοηθητικό!$J$2:$N$354,3,FALSE))</f>
        <v>_</v>
      </c>
      <c r="U707" s="47"/>
      <c r="V707" s="4" t="s">
        <v>16</v>
      </c>
      <c r="W707" s="43" t="str">
        <f>IF(VLOOKUP(V707,βοηθητικό!$J$2:$N$354,3,FALSE)="","",VLOOKUP(V707,βοηθητικό!$J$2:$N$354,3,FALSE))</f>
        <v>_</v>
      </c>
      <c r="X707" s="44"/>
      <c r="Y707" s="5" t="s">
        <v>16</v>
      </c>
      <c r="Z707" s="46" t="str">
        <f>IF(VLOOKUP(Y707,βοηθητικό!$J$2:$N$354,3,FALSE)="","",VLOOKUP(Y707,βοηθητικό!$J$2:$N$354,3,FALSE))</f>
        <v>_</v>
      </c>
      <c r="AA707" s="47"/>
      <c r="AB707" s="4" t="s">
        <v>16</v>
      </c>
      <c r="AC707" s="43" t="str">
        <f>IF(VLOOKUP(AB707,βοηθητικό!$J$2:$N$354,3,FALSE)="","",VLOOKUP(AB707,βοηθητικό!$J$2:$N$354,3,FALSE))</f>
        <v>_</v>
      </c>
      <c r="AD707" s="44"/>
      <c r="AE707" s="5" t="s">
        <v>16</v>
      </c>
      <c r="AF707" s="46" t="str">
        <f>IF(VLOOKUP(AE707,βοηθητικό!$J$2:$N$354,3,FALSE)="","",VLOOKUP(AE707,βοηθητικό!$J$2:$N$354,3,FALSE))</f>
        <v>_</v>
      </c>
      <c r="AG707" s="47"/>
      <c r="AH707" s="4" t="s">
        <v>16</v>
      </c>
      <c r="AI707" s="43" t="str">
        <f>IF(VLOOKUP(AH707,βοηθητικό!$J$2:$N$354,3,FALSE)="","",VLOOKUP(AH707,βοηθητικό!$J$2:$N$354,3,FALSE))</f>
        <v>_</v>
      </c>
      <c r="AJ707" s="44"/>
      <c r="AK707" s="5" t="s">
        <v>16</v>
      </c>
      <c r="AL707" s="46" t="str">
        <f>IF(VLOOKUP(AK707,βοηθητικό!$J$2:$N$354,3,FALSE)="","",VLOOKUP(AK707,βοηθητικό!$J$2:$N$354,3,FALSE))</f>
        <v>_</v>
      </c>
      <c r="AM707" s="47"/>
      <c r="AN707" s="4" t="s">
        <v>16</v>
      </c>
      <c r="AO707" s="43" t="str">
        <f>IF(VLOOKUP(AN707,βοηθητικό!$J$2:$N$354,3,FALSE)="","",VLOOKUP(AN707,βοηθητικό!$J$2:$N$354,3,FALSE))</f>
        <v>_</v>
      </c>
      <c r="AP707" s="44"/>
      <c r="AQ707" s="5" t="s">
        <v>16</v>
      </c>
      <c r="AR707" s="46" t="str">
        <f>IF(VLOOKUP(AQ707,βοηθητικό!$J$2:$N$354,3,FALSE)="","",VLOOKUP(AQ707,βοηθητικό!$J$2:$N$354,3,FALSE))</f>
        <v>_</v>
      </c>
      <c r="AS707" s="47"/>
      <c r="AT707" s="4" t="s">
        <v>16</v>
      </c>
      <c r="AU707" s="43" t="str">
        <f>IF(VLOOKUP(AT707,βοηθητικό!$J$2:$N$354,3,FALSE)="","",VLOOKUP(AT707,βοηθητικό!$J$2:$N$354,3,FALSE))</f>
        <v>_</v>
      </c>
      <c r="AV707" s="44"/>
      <c r="AW707" s="5" t="s">
        <v>16</v>
      </c>
      <c r="AX707" s="46" t="str">
        <f>IF(VLOOKUP(AW707,βοηθητικό!$J$2:$N$354,3,FALSE)="","",VLOOKUP(AW707,βοηθητικό!$J$2:$N$354,3,FALSE))</f>
        <v>_</v>
      </c>
      <c r="AY707" s="47"/>
      <c r="AZ707" s="4" t="s">
        <v>16</v>
      </c>
      <c r="BA707" s="43" t="str">
        <f>IF(VLOOKUP(AZ707,βοηθητικό!$J$2:$N$354,3,FALSE)="","",VLOOKUP(AZ707,βοηθητικό!$J$2:$N$354,3,FALSE))</f>
        <v>_</v>
      </c>
      <c r="BB707" s="44"/>
      <c r="BC707" s="45" t="s">
        <v>16</v>
      </c>
      <c r="BD707" s="46" t="str">
        <f>IF(VLOOKUP(BC707,βοηθητικό!$J$2:$N$354,3,FALSE)="","",VLOOKUP(BC707,βοηθητικό!$J$2:$N$354,3,FALSE))</f>
        <v>_</v>
      </c>
      <c r="BE707" s="47"/>
      <c r="BF707" s="42" t="s">
        <v>16</v>
      </c>
      <c r="BG707" s="43" t="str">
        <f>IF(VLOOKUP(BF707,βοηθητικό!$J$2:$N$354,3,FALSE)="","",VLOOKUP(BF707,βοηθητικό!$J$2:$N$354,3,FALSE))</f>
        <v>_</v>
      </c>
      <c r="BH707" s="44"/>
      <c r="BI707" s="45" t="s">
        <v>16</v>
      </c>
      <c r="BJ707" s="46" t="str">
        <f>IF(VLOOKUP(BI707,βοηθητικό!$J$2:$N$354,3,FALSE)="","",VLOOKUP(BI707,βοηθητικό!$J$2:$N$354,3,FALSE))</f>
        <v>_</v>
      </c>
      <c r="BK707" s="47"/>
      <c r="BL707" s="42" t="s">
        <v>16</v>
      </c>
      <c r="BM707" s="43" t="str">
        <f>IF(VLOOKUP(BL707,βοηθητικό!$J$2:$N$354,3,FALSE)="","",VLOOKUP(BL707,βοηθητικό!$J$2:$N$354,3,FALSE))</f>
        <v>_</v>
      </c>
      <c r="BN707" s="44"/>
      <c r="BO707" s="45" t="s">
        <v>16</v>
      </c>
      <c r="BP707" s="46" t="str">
        <f>IF(VLOOKUP(BO707,βοηθητικό!$J$2:$N$354,3,FALSE)="","",VLOOKUP(BO707,βοηθητικό!$J$2:$N$354,3,FALSE))</f>
        <v>_</v>
      </c>
      <c r="BQ707" s="47"/>
      <c r="BR707" s="42" t="s">
        <v>16</v>
      </c>
      <c r="BS707" s="43" t="str">
        <f>IF(VLOOKUP(BR707,βοηθητικό!$J$2:$N$354,3,FALSE)="","",VLOOKUP(BR707,βοηθητικό!$J$2:$N$354,3,FALSE))</f>
        <v>_</v>
      </c>
      <c r="BT707" s="44"/>
      <c r="BU707" s="45" t="s">
        <v>16</v>
      </c>
      <c r="BV707" s="46" t="str">
        <f>IF(VLOOKUP(BU707,βοηθητικό!$J$2:$N$354,3,FALSE)="","",VLOOKUP(BU707,βοηθητικό!$J$2:$N$354,3,FALSE))</f>
        <v>_</v>
      </c>
      <c r="BW707" s="47"/>
      <c r="BX707" s="42" t="s">
        <v>16</v>
      </c>
      <c r="BY707" s="43" t="str">
        <f>IF(VLOOKUP(BX707,βοηθητικό!$J$2:$N$354,3,FALSE)="","",VLOOKUP(BX707,βοηθητικό!$J$2:$N$354,3,FALSE))</f>
        <v>_</v>
      </c>
      <c r="BZ707" s="44"/>
      <c r="CA707" s="45" t="s">
        <v>16</v>
      </c>
      <c r="CB707" s="46" t="str">
        <f>IF(VLOOKUP(CA707,βοηθητικό!$J$2:$N$354,3,FALSE)="","",VLOOKUP(CA707,βοηθητικό!$J$2:$N$354,3,FALSE))</f>
        <v>_</v>
      </c>
      <c r="CC707" s="47"/>
      <c r="CD707" s="42" t="s">
        <v>16</v>
      </c>
      <c r="CE707" s="43" t="str">
        <f>IF(VLOOKUP(CD707,βοηθητικό!$J$2:$N$354,3,FALSE)="","",VLOOKUP(CD707,βοηθητικό!$J$2:$N$354,3,FALSE))</f>
        <v>_</v>
      </c>
      <c r="CF707" s="44"/>
      <c r="CG707" s="45" t="s">
        <v>16</v>
      </c>
      <c r="CH707" s="46" t="str">
        <f>IF(VLOOKUP(CG707,βοηθητικό!$J$2:$N$354,3,FALSE)="","",VLOOKUP(CG707,βοηθητικό!$J$2:$N$354,3,FALSE))</f>
        <v>_</v>
      </c>
      <c r="CI707" s="47"/>
      <c r="CJ707" s="42" t="s">
        <v>16</v>
      </c>
      <c r="CK707" s="43" t="str">
        <f>IF(VLOOKUP(CJ707,βοηθητικό!$J$2:$N$354,3,FALSE)="","",VLOOKUP(CJ707,βοηθητικό!$J$2:$N$354,3,FALSE))</f>
        <v>_</v>
      </c>
      <c r="CL707" s="44"/>
      <c r="CM707" s="45" t="s">
        <v>16</v>
      </c>
      <c r="CN707" s="46" t="str">
        <f>IF(VLOOKUP(CM707,βοηθητικό!$J$2:$N$354,3,FALSE)="","",VLOOKUP(CM707,βοηθητικό!$J$2:$N$354,3,FALSE))</f>
        <v>_</v>
      </c>
      <c r="CO707" s="47"/>
      <c r="CP707" s="42" t="s">
        <v>16</v>
      </c>
      <c r="CQ707" s="43" t="str">
        <f>IF(VLOOKUP(CP707,βοηθητικό!$J$2:$N$354,3,FALSE)="","",VLOOKUP(CP707,βοηθητικό!$J$2:$N$354,3,FALSE))</f>
        <v>_</v>
      </c>
      <c r="CR707" s="44"/>
      <c r="CS707" s="45" t="s">
        <v>16</v>
      </c>
      <c r="CT707" s="46" t="str">
        <f>IF(VLOOKUP(CS707,βοηθητικό!$J$2:$N$354,3,FALSE)="","",VLOOKUP(CS707,βοηθητικό!$J$2:$N$354,3,FALSE))</f>
        <v>_</v>
      </c>
      <c r="CU707" s="47"/>
    </row>
    <row r="708" spans="1:99" x14ac:dyDescent="0.25">
      <c r="A708" s="37">
        <f>--SUBTOTAL(3,$B$3:B707)</f>
        <v>198</v>
      </c>
      <c r="B708" s="2"/>
      <c r="C708" s="3"/>
      <c r="D708" s="55" t="s">
        <v>18</v>
      </c>
      <c r="E708" s="38" t="s">
        <v>16</v>
      </c>
      <c r="F708" s="38"/>
      <c r="G708" s="39" t="str">
        <f t="shared" ref="G708:G771" si="35">IF(OR(C708="_",E708="_"),"__",CONCATENATE(C708,E708))</f>
        <v>__</v>
      </c>
      <c r="H708" s="40" t="str">
        <f t="shared" ref="H708:H771" si="36">IF(G708="__","FALSE",COUNTIF(G:G,G708)&gt;1)</f>
        <v>FALSE</v>
      </c>
      <c r="I708" s="41">
        <f t="shared" ref="I708:I771" si="37">SUMPRODUCT((J708:CU708&lt;&gt;"_")*(MOD(COLUMN(J708:CU708)-COLUMN(J708),3)=0))</f>
        <v>0</v>
      </c>
      <c r="J708" s="4" t="s">
        <v>16</v>
      </c>
      <c r="K708" s="43" t="str">
        <f>IF(VLOOKUP(J708,βοηθητικό!$J$2:$N$354,3,FALSE)="","",VLOOKUP(J708,βοηθητικό!$J$2:$N$354,3,FALSE))</f>
        <v>_</v>
      </c>
      <c r="L708" s="44"/>
      <c r="M708" s="5" t="s">
        <v>16</v>
      </c>
      <c r="N708" s="46" t="str">
        <f>IF(VLOOKUP(M708,βοηθητικό!$J$2:$N$354,3,FALSE)="","",VLOOKUP(M708,βοηθητικό!$J$2:$N$354,3,FALSE))</f>
        <v>_</v>
      </c>
      <c r="O708" s="47"/>
      <c r="P708" s="4" t="s">
        <v>16</v>
      </c>
      <c r="Q708" s="43" t="str">
        <f>IF(VLOOKUP(P708,βοηθητικό!$J$2:$N$354,3,FALSE)="","",VLOOKUP(P708,βοηθητικό!$J$2:$N$354,3,FALSE))</f>
        <v>_</v>
      </c>
      <c r="R708" s="44"/>
      <c r="S708" s="5" t="s">
        <v>16</v>
      </c>
      <c r="T708" s="46" t="str">
        <f>IF(VLOOKUP(S708,βοηθητικό!$J$2:$N$354,3,FALSE)="","",VLOOKUP(S708,βοηθητικό!$J$2:$N$354,3,FALSE))</f>
        <v>_</v>
      </c>
      <c r="U708" s="47"/>
      <c r="V708" s="4" t="s">
        <v>16</v>
      </c>
      <c r="W708" s="43" t="str">
        <f>IF(VLOOKUP(V708,βοηθητικό!$J$2:$N$354,3,FALSE)="","",VLOOKUP(V708,βοηθητικό!$J$2:$N$354,3,FALSE))</f>
        <v>_</v>
      </c>
      <c r="X708" s="44"/>
      <c r="Y708" s="5" t="s">
        <v>16</v>
      </c>
      <c r="Z708" s="46" t="str">
        <f>IF(VLOOKUP(Y708,βοηθητικό!$J$2:$N$354,3,FALSE)="","",VLOOKUP(Y708,βοηθητικό!$J$2:$N$354,3,FALSE))</f>
        <v>_</v>
      </c>
      <c r="AA708" s="47"/>
      <c r="AB708" s="4" t="s">
        <v>16</v>
      </c>
      <c r="AC708" s="43" t="str">
        <f>IF(VLOOKUP(AB708,βοηθητικό!$J$2:$N$354,3,FALSE)="","",VLOOKUP(AB708,βοηθητικό!$J$2:$N$354,3,FALSE))</f>
        <v>_</v>
      </c>
      <c r="AD708" s="44"/>
      <c r="AE708" s="5" t="s">
        <v>16</v>
      </c>
      <c r="AF708" s="46" t="str">
        <f>IF(VLOOKUP(AE708,βοηθητικό!$J$2:$N$354,3,FALSE)="","",VLOOKUP(AE708,βοηθητικό!$J$2:$N$354,3,FALSE))</f>
        <v>_</v>
      </c>
      <c r="AG708" s="47"/>
      <c r="AH708" s="4" t="s">
        <v>16</v>
      </c>
      <c r="AI708" s="43" t="str">
        <f>IF(VLOOKUP(AH708,βοηθητικό!$J$2:$N$354,3,FALSE)="","",VLOOKUP(AH708,βοηθητικό!$J$2:$N$354,3,FALSE))</f>
        <v>_</v>
      </c>
      <c r="AJ708" s="44"/>
      <c r="AK708" s="5" t="s">
        <v>16</v>
      </c>
      <c r="AL708" s="46" t="str">
        <f>IF(VLOOKUP(AK708,βοηθητικό!$J$2:$N$354,3,FALSE)="","",VLOOKUP(AK708,βοηθητικό!$J$2:$N$354,3,FALSE))</f>
        <v>_</v>
      </c>
      <c r="AM708" s="47"/>
      <c r="AN708" s="4" t="s">
        <v>16</v>
      </c>
      <c r="AO708" s="43" t="str">
        <f>IF(VLOOKUP(AN708,βοηθητικό!$J$2:$N$354,3,FALSE)="","",VLOOKUP(AN708,βοηθητικό!$J$2:$N$354,3,FALSE))</f>
        <v>_</v>
      </c>
      <c r="AP708" s="44"/>
      <c r="AQ708" s="5" t="s">
        <v>16</v>
      </c>
      <c r="AR708" s="46" t="str">
        <f>IF(VLOOKUP(AQ708,βοηθητικό!$J$2:$N$354,3,FALSE)="","",VLOOKUP(AQ708,βοηθητικό!$J$2:$N$354,3,FALSE))</f>
        <v>_</v>
      </c>
      <c r="AS708" s="47"/>
      <c r="AT708" s="4" t="s">
        <v>16</v>
      </c>
      <c r="AU708" s="43" t="str">
        <f>IF(VLOOKUP(AT708,βοηθητικό!$J$2:$N$354,3,FALSE)="","",VLOOKUP(AT708,βοηθητικό!$J$2:$N$354,3,FALSE))</f>
        <v>_</v>
      </c>
      <c r="AV708" s="44"/>
      <c r="AW708" s="5" t="s">
        <v>16</v>
      </c>
      <c r="AX708" s="46" t="str">
        <f>IF(VLOOKUP(AW708,βοηθητικό!$J$2:$N$354,3,FALSE)="","",VLOOKUP(AW708,βοηθητικό!$J$2:$N$354,3,FALSE))</f>
        <v>_</v>
      </c>
      <c r="AY708" s="47"/>
      <c r="AZ708" s="4" t="s">
        <v>16</v>
      </c>
      <c r="BA708" s="43" t="str">
        <f>IF(VLOOKUP(AZ708,βοηθητικό!$J$2:$N$354,3,FALSE)="","",VLOOKUP(AZ708,βοηθητικό!$J$2:$N$354,3,FALSE))</f>
        <v>_</v>
      </c>
      <c r="BB708" s="44"/>
      <c r="BC708" s="45" t="s">
        <v>16</v>
      </c>
      <c r="BD708" s="46" t="str">
        <f>IF(VLOOKUP(BC708,βοηθητικό!$J$2:$N$354,3,FALSE)="","",VLOOKUP(BC708,βοηθητικό!$J$2:$N$354,3,FALSE))</f>
        <v>_</v>
      </c>
      <c r="BE708" s="47"/>
      <c r="BF708" s="42" t="s">
        <v>16</v>
      </c>
      <c r="BG708" s="43" t="str">
        <f>IF(VLOOKUP(BF708,βοηθητικό!$J$2:$N$354,3,FALSE)="","",VLOOKUP(BF708,βοηθητικό!$J$2:$N$354,3,FALSE))</f>
        <v>_</v>
      </c>
      <c r="BH708" s="44"/>
      <c r="BI708" s="45" t="s">
        <v>16</v>
      </c>
      <c r="BJ708" s="46" t="str">
        <f>IF(VLOOKUP(BI708,βοηθητικό!$J$2:$N$354,3,FALSE)="","",VLOOKUP(BI708,βοηθητικό!$J$2:$N$354,3,FALSE))</f>
        <v>_</v>
      </c>
      <c r="BK708" s="47"/>
      <c r="BL708" s="42" t="s">
        <v>16</v>
      </c>
      <c r="BM708" s="43" t="str">
        <f>IF(VLOOKUP(BL708,βοηθητικό!$J$2:$N$354,3,FALSE)="","",VLOOKUP(BL708,βοηθητικό!$J$2:$N$354,3,FALSE))</f>
        <v>_</v>
      </c>
      <c r="BN708" s="44"/>
      <c r="BO708" s="45" t="s">
        <v>16</v>
      </c>
      <c r="BP708" s="46" t="str">
        <f>IF(VLOOKUP(BO708,βοηθητικό!$J$2:$N$354,3,FALSE)="","",VLOOKUP(BO708,βοηθητικό!$J$2:$N$354,3,FALSE))</f>
        <v>_</v>
      </c>
      <c r="BQ708" s="47"/>
      <c r="BR708" s="42" t="s">
        <v>16</v>
      </c>
      <c r="BS708" s="43" t="str">
        <f>IF(VLOOKUP(BR708,βοηθητικό!$J$2:$N$354,3,FALSE)="","",VLOOKUP(BR708,βοηθητικό!$J$2:$N$354,3,FALSE))</f>
        <v>_</v>
      </c>
      <c r="BT708" s="44"/>
      <c r="BU708" s="45" t="s">
        <v>16</v>
      </c>
      <c r="BV708" s="46" t="str">
        <f>IF(VLOOKUP(BU708,βοηθητικό!$J$2:$N$354,3,FALSE)="","",VLOOKUP(BU708,βοηθητικό!$J$2:$N$354,3,FALSE))</f>
        <v>_</v>
      </c>
      <c r="BW708" s="47"/>
      <c r="BX708" s="42" t="s">
        <v>16</v>
      </c>
      <c r="BY708" s="43" t="str">
        <f>IF(VLOOKUP(BX708,βοηθητικό!$J$2:$N$354,3,FALSE)="","",VLOOKUP(BX708,βοηθητικό!$J$2:$N$354,3,FALSE))</f>
        <v>_</v>
      </c>
      <c r="BZ708" s="44"/>
      <c r="CA708" s="45" t="s">
        <v>16</v>
      </c>
      <c r="CB708" s="46" t="str">
        <f>IF(VLOOKUP(CA708,βοηθητικό!$J$2:$N$354,3,FALSE)="","",VLOOKUP(CA708,βοηθητικό!$J$2:$N$354,3,FALSE))</f>
        <v>_</v>
      </c>
      <c r="CC708" s="47"/>
      <c r="CD708" s="42" t="s">
        <v>16</v>
      </c>
      <c r="CE708" s="43" t="str">
        <f>IF(VLOOKUP(CD708,βοηθητικό!$J$2:$N$354,3,FALSE)="","",VLOOKUP(CD708,βοηθητικό!$J$2:$N$354,3,FALSE))</f>
        <v>_</v>
      </c>
      <c r="CF708" s="44"/>
      <c r="CG708" s="45" t="s">
        <v>16</v>
      </c>
      <c r="CH708" s="46" t="str">
        <f>IF(VLOOKUP(CG708,βοηθητικό!$J$2:$N$354,3,FALSE)="","",VLOOKUP(CG708,βοηθητικό!$J$2:$N$354,3,FALSE))</f>
        <v>_</v>
      </c>
      <c r="CI708" s="47"/>
      <c r="CJ708" s="42" t="s">
        <v>16</v>
      </c>
      <c r="CK708" s="43" t="str">
        <f>IF(VLOOKUP(CJ708,βοηθητικό!$J$2:$N$354,3,FALSE)="","",VLOOKUP(CJ708,βοηθητικό!$J$2:$N$354,3,FALSE))</f>
        <v>_</v>
      </c>
      <c r="CL708" s="44"/>
      <c r="CM708" s="45" t="s">
        <v>16</v>
      </c>
      <c r="CN708" s="46" t="str">
        <f>IF(VLOOKUP(CM708,βοηθητικό!$J$2:$N$354,3,FALSE)="","",VLOOKUP(CM708,βοηθητικό!$J$2:$N$354,3,FALSE))</f>
        <v>_</v>
      </c>
      <c r="CO708" s="47"/>
      <c r="CP708" s="42" t="s">
        <v>16</v>
      </c>
      <c r="CQ708" s="43" t="str">
        <f>IF(VLOOKUP(CP708,βοηθητικό!$J$2:$N$354,3,FALSE)="","",VLOOKUP(CP708,βοηθητικό!$J$2:$N$354,3,FALSE))</f>
        <v>_</v>
      </c>
      <c r="CR708" s="44"/>
      <c r="CS708" s="45" t="s">
        <v>16</v>
      </c>
      <c r="CT708" s="46" t="str">
        <f>IF(VLOOKUP(CS708,βοηθητικό!$J$2:$N$354,3,FALSE)="","",VLOOKUP(CS708,βοηθητικό!$J$2:$N$354,3,FALSE))</f>
        <v>_</v>
      </c>
      <c r="CU708" s="47"/>
    </row>
    <row r="709" spans="1:99" x14ac:dyDescent="0.25">
      <c r="A709" s="37">
        <f>--SUBTOTAL(3,$B$3:B708)</f>
        <v>198</v>
      </c>
      <c r="B709" s="2"/>
      <c r="C709" s="3"/>
      <c r="D709" s="55" t="s">
        <v>18</v>
      </c>
      <c r="E709" s="38" t="s">
        <v>16</v>
      </c>
      <c r="F709" s="38"/>
      <c r="G709" s="39" t="str">
        <f t="shared" si="35"/>
        <v>__</v>
      </c>
      <c r="H709" s="40" t="str">
        <f t="shared" si="36"/>
        <v>FALSE</v>
      </c>
      <c r="I709" s="41">
        <f t="shared" si="37"/>
        <v>0</v>
      </c>
      <c r="J709" s="4" t="s">
        <v>16</v>
      </c>
      <c r="K709" s="43" t="str">
        <f>IF(VLOOKUP(J709,βοηθητικό!$J$2:$N$354,3,FALSE)="","",VLOOKUP(J709,βοηθητικό!$J$2:$N$354,3,FALSE))</f>
        <v>_</v>
      </c>
      <c r="L709" s="44"/>
      <c r="M709" s="5" t="s">
        <v>16</v>
      </c>
      <c r="N709" s="46" t="str">
        <f>IF(VLOOKUP(M709,βοηθητικό!$J$2:$N$354,3,FALSE)="","",VLOOKUP(M709,βοηθητικό!$J$2:$N$354,3,FALSE))</f>
        <v>_</v>
      </c>
      <c r="O709" s="47"/>
      <c r="P709" s="4" t="s">
        <v>16</v>
      </c>
      <c r="Q709" s="43" t="str">
        <f>IF(VLOOKUP(P709,βοηθητικό!$J$2:$N$354,3,FALSE)="","",VLOOKUP(P709,βοηθητικό!$J$2:$N$354,3,FALSE))</f>
        <v>_</v>
      </c>
      <c r="R709" s="44"/>
      <c r="S709" s="5" t="s">
        <v>16</v>
      </c>
      <c r="T709" s="46" t="str">
        <f>IF(VLOOKUP(S709,βοηθητικό!$J$2:$N$354,3,FALSE)="","",VLOOKUP(S709,βοηθητικό!$J$2:$N$354,3,FALSE))</f>
        <v>_</v>
      </c>
      <c r="U709" s="47"/>
      <c r="V709" s="4" t="s">
        <v>16</v>
      </c>
      <c r="W709" s="43" t="str">
        <f>IF(VLOOKUP(V709,βοηθητικό!$J$2:$N$354,3,FALSE)="","",VLOOKUP(V709,βοηθητικό!$J$2:$N$354,3,FALSE))</f>
        <v>_</v>
      </c>
      <c r="X709" s="44"/>
      <c r="Y709" s="5" t="s">
        <v>16</v>
      </c>
      <c r="Z709" s="46" t="str">
        <f>IF(VLOOKUP(Y709,βοηθητικό!$J$2:$N$354,3,FALSE)="","",VLOOKUP(Y709,βοηθητικό!$J$2:$N$354,3,FALSE))</f>
        <v>_</v>
      </c>
      <c r="AA709" s="47"/>
      <c r="AB709" s="4" t="s">
        <v>16</v>
      </c>
      <c r="AC709" s="43" t="str">
        <f>IF(VLOOKUP(AB709,βοηθητικό!$J$2:$N$354,3,FALSE)="","",VLOOKUP(AB709,βοηθητικό!$J$2:$N$354,3,FALSE))</f>
        <v>_</v>
      </c>
      <c r="AD709" s="44"/>
      <c r="AE709" s="5" t="s">
        <v>16</v>
      </c>
      <c r="AF709" s="46" t="str">
        <f>IF(VLOOKUP(AE709,βοηθητικό!$J$2:$N$354,3,FALSE)="","",VLOOKUP(AE709,βοηθητικό!$J$2:$N$354,3,FALSE))</f>
        <v>_</v>
      </c>
      <c r="AG709" s="47"/>
      <c r="AH709" s="4" t="s">
        <v>16</v>
      </c>
      <c r="AI709" s="43" t="str">
        <f>IF(VLOOKUP(AH709,βοηθητικό!$J$2:$N$354,3,FALSE)="","",VLOOKUP(AH709,βοηθητικό!$J$2:$N$354,3,FALSE))</f>
        <v>_</v>
      </c>
      <c r="AJ709" s="44"/>
      <c r="AK709" s="5" t="s">
        <v>16</v>
      </c>
      <c r="AL709" s="46" t="str">
        <f>IF(VLOOKUP(AK709,βοηθητικό!$J$2:$N$354,3,FALSE)="","",VLOOKUP(AK709,βοηθητικό!$J$2:$N$354,3,FALSE))</f>
        <v>_</v>
      </c>
      <c r="AM709" s="47"/>
      <c r="AN709" s="4" t="s">
        <v>16</v>
      </c>
      <c r="AO709" s="43" t="str">
        <f>IF(VLOOKUP(AN709,βοηθητικό!$J$2:$N$354,3,FALSE)="","",VLOOKUP(AN709,βοηθητικό!$J$2:$N$354,3,FALSE))</f>
        <v>_</v>
      </c>
      <c r="AP709" s="44"/>
      <c r="AQ709" s="5" t="s">
        <v>16</v>
      </c>
      <c r="AR709" s="46" t="str">
        <f>IF(VLOOKUP(AQ709,βοηθητικό!$J$2:$N$354,3,FALSE)="","",VLOOKUP(AQ709,βοηθητικό!$J$2:$N$354,3,FALSE))</f>
        <v>_</v>
      </c>
      <c r="AS709" s="47"/>
      <c r="AT709" s="4" t="s">
        <v>16</v>
      </c>
      <c r="AU709" s="43" t="str">
        <f>IF(VLOOKUP(AT709,βοηθητικό!$J$2:$N$354,3,FALSE)="","",VLOOKUP(AT709,βοηθητικό!$J$2:$N$354,3,FALSE))</f>
        <v>_</v>
      </c>
      <c r="AV709" s="44"/>
      <c r="AW709" s="5" t="s">
        <v>16</v>
      </c>
      <c r="AX709" s="46" t="str">
        <f>IF(VLOOKUP(AW709,βοηθητικό!$J$2:$N$354,3,FALSE)="","",VLOOKUP(AW709,βοηθητικό!$J$2:$N$354,3,FALSE))</f>
        <v>_</v>
      </c>
      <c r="AY709" s="47"/>
      <c r="AZ709" s="4" t="s">
        <v>16</v>
      </c>
      <c r="BA709" s="43" t="str">
        <f>IF(VLOOKUP(AZ709,βοηθητικό!$J$2:$N$354,3,FALSE)="","",VLOOKUP(AZ709,βοηθητικό!$J$2:$N$354,3,FALSE))</f>
        <v>_</v>
      </c>
      <c r="BB709" s="44"/>
      <c r="BC709" s="45" t="s">
        <v>16</v>
      </c>
      <c r="BD709" s="46" t="str">
        <f>IF(VLOOKUP(BC709,βοηθητικό!$J$2:$N$354,3,FALSE)="","",VLOOKUP(BC709,βοηθητικό!$J$2:$N$354,3,FALSE))</f>
        <v>_</v>
      </c>
      <c r="BE709" s="47"/>
      <c r="BF709" s="42" t="s">
        <v>16</v>
      </c>
      <c r="BG709" s="43" t="str">
        <f>IF(VLOOKUP(BF709,βοηθητικό!$J$2:$N$354,3,FALSE)="","",VLOOKUP(BF709,βοηθητικό!$J$2:$N$354,3,FALSE))</f>
        <v>_</v>
      </c>
      <c r="BH709" s="44"/>
      <c r="BI709" s="45" t="s">
        <v>16</v>
      </c>
      <c r="BJ709" s="46" t="str">
        <f>IF(VLOOKUP(BI709,βοηθητικό!$J$2:$N$354,3,FALSE)="","",VLOOKUP(BI709,βοηθητικό!$J$2:$N$354,3,FALSE))</f>
        <v>_</v>
      </c>
      <c r="BK709" s="47"/>
      <c r="BL709" s="42" t="s">
        <v>16</v>
      </c>
      <c r="BM709" s="43" t="str">
        <f>IF(VLOOKUP(BL709,βοηθητικό!$J$2:$N$354,3,FALSE)="","",VLOOKUP(BL709,βοηθητικό!$J$2:$N$354,3,FALSE))</f>
        <v>_</v>
      </c>
      <c r="BN709" s="44"/>
      <c r="BO709" s="45" t="s">
        <v>16</v>
      </c>
      <c r="BP709" s="46" t="str">
        <f>IF(VLOOKUP(BO709,βοηθητικό!$J$2:$N$354,3,FALSE)="","",VLOOKUP(BO709,βοηθητικό!$J$2:$N$354,3,FALSE))</f>
        <v>_</v>
      </c>
      <c r="BQ709" s="47"/>
      <c r="BR709" s="42" t="s">
        <v>16</v>
      </c>
      <c r="BS709" s="43" t="str">
        <f>IF(VLOOKUP(BR709,βοηθητικό!$J$2:$N$354,3,FALSE)="","",VLOOKUP(BR709,βοηθητικό!$J$2:$N$354,3,FALSE))</f>
        <v>_</v>
      </c>
      <c r="BT709" s="44"/>
      <c r="BU709" s="45" t="s">
        <v>16</v>
      </c>
      <c r="BV709" s="46" t="str">
        <f>IF(VLOOKUP(BU709,βοηθητικό!$J$2:$N$354,3,FALSE)="","",VLOOKUP(BU709,βοηθητικό!$J$2:$N$354,3,FALSE))</f>
        <v>_</v>
      </c>
      <c r="BW709" s="47"/>
      <c r="BX709" s="42" t="s">
        <v>16</v>
      </c>
      <c r="BY709" s="43" t="str">
        <f>IF(VLOOKUP(BX709,βοηθητικό!$J$2:$N$354,3,FALSE)="","",VLOOKUP(BX709,βοηθητικό!$J$2:$N$354,3,FALSE))</f>
        <v>_</v>
      </c>
      <c r="BZ709" s="44"/>
      <c r="CA709" s="45" t="s">
        <v>16</v>
      </c>
      <c r="CB709" s="46" t="str">
        <f>IF(VLOOKUP(CA709,βοηθητικό!$J$2:$N$354,3,FALSE)="","",VLOOKUP(CA709,βοηθητικό!$J$2:$N$354,3,FALSE))</f>
        <v>_</v>
      </c>
      <c r="CC709" s="47"/>
      <c r="CD709" s="42" t="s">
        <v>16</v>
      </c>
      <c r="CE709" s="43" t="str">
        <f>IF(VLOOKUP(CD709,βοηθητικό!$J$2:$N$354,3,FALSE)="","",VLOOKUP(CD709,βοηθητικό!$J$2:$N$354,3,FALSE))</f>
        <v>_</v>
      </c>
      <c r="CF709" s="44"/>
      <c r="CG709" s="45" t="s">
        <v>16</v>
      </c>
      <c r="CH709" s="46" t="str">
        <f>IF(VLOOKUP(CG709,βοηθητικό!$J$2:$N$354,3,FALSE)="","",VLOOKUP(CG709,βοηθητικό!$J$2:$N$354,3,FALSE))</f>
        <v>_</v>
      </c>
      <c r="CI709" s="47"/>
      <c r="CJ709" s="42" t="s">
        <v>16</v>
      </c>
      <c r="CK709" s="43" t="str">
        <f>IF(VLOOKUP(CJ709,βοηθητικό!$J$2:$N$354,3,FALSE)="","",VLOOKUP(CJ709,βοηθητικό!$J$2:$N$354,3,FALSE))</f>
        <v>_</v>
      </c>
      <c r="CL709" s="44"/>
      <c r="CM709" s="45" t="s">
        <v>16</v>
      </c>
      <c r="CN709" s="46" t="str">
        <f>IF(VLOOKUP(CM709,βοηθητικό!$J$2:$N$354,3,FALSE)="","",VLOOKUP(CM709,βοηθητικό!$J$2:$N$354,3,FALSE))</f>
        <v>_</v>
      </c>
      <c r="CO709" s="47"/>
      <c r="CP709" s="42" t="s">
        <v>16</v>
      </c>
      <c r="CQ709" s="43" t="str">
        <f>IF(VLOOKUP(CP709,βοηθητικό!$J$2:$N$354,3,FALSE)="","",VLOOKUP(CP709,βοηθητικό!$J$2:$N$354,3,FALSE))</f>
        <v>_</v>
      </c>
      <c r="CR709" s="44"/>
      <c r="CS709" s="45" t="s">
        <v>16</v>
      </c>
      <c r="CT709" s="46" t="str">
        <f>IF(VLOOKUP(CS709,βοηθητικό!$J$2:$N$354,3,FALSE)="","",VLOOKUP(CS709,βοηθητικό!$J$2:$N$354,3,FALSE))</f>
        <v>_</v>
      </c>
      <c r="CU709" s="47"/>
    </row>
    <row r="710" spans="1:99" x14ac:dyDescent="0.25">
      <c r="A710" s="37">
        <f>--SUBTOTAL(3,$B$3:B709)</f>
        <v>198</v>
      </c>
      <c r="B710" s="2"/>
      <c r="C710" s="3"/>
      <c r="D710" s="55" t="s">
        <v>18</v>
      </c>
      <c r="E710" s="38" t="s">
        <v>16</v>
      </c>
      <c r="F710" s="38"/>
      <c r="G710" s="39" t="str">
        <f t="shared" si="35"/>
        <v>__</v>
      </c>
      <c r="H710" s="40" t="str">
        <f t="shared" si="36"/>
        <v>FALSE</v>
      </c>
      <c r="I710" s="41">
        <f t="shared" si="37"/>
        <v>0</v>
      </c>
      <c r="J710" s="4" t="s">
        <v>16</v>
      </c>
      <c r="K710" s="43" t="str">
        <f>IF(VLOOKUP(J710,βοηθητικό!$J$2:$N$354,3,FALSE)="","",VLOOKUP(J710,βοηθητικό!$J$2:$N$354,3,FALSE))</f>
        <v>_</v>
      </c>
      <c r="L710" s="44"/>
      <c r="M710" s="5" t="s">
        <v>16</v>
      </c>
      <c r="N710" s="46" t="str">
        <f>IF(VLOOKUP(M710,βοηθητικό!$J$2:$N$354,3,FALSE)="","",VLOOKUP(M710,βοηθητικό!$J$2:$N$354,3,FALSE))</f>
        <v>_</v>
      </c>
      <c r="O710" s="47"/>
      <c r="P710" s="4" t="s">
        <v>16</v>
      </c>
      <c r="Q710" s="43" t="str">
        <f>IF(VLOOKUP(P710,βοηθητικό!$J$2:$N$354,3,FALSE)="","",VLOOKUP(P710,βοηθητικό!$J$2:$N$354,3,FALSE))</f>
        <v>_</v>
      </c>
      <c r="R710" s="44"/>
      <c r="S710" s="5" t="s">
        <v>16</v>
      </c>
      <c r="T710" s="46" t="str">
        <f>IF(VLOOKUP(S710,βοηθητικό!$J$2:$N$354,3,FALSE)="","",VLOOKUP(S710,βοηθητικό!$J$2:$N$354,3,FALSE))</f>
        <v>_</v>
      </c>
      <c r="U710" s="47"/>
      <c r="V710" s="4" t="s">
        <v>16</v>
      </c>
      <c r="W710" s="43" t="str">
        <f>IF(VLOOKUP(V710,βοηθητικό!$J$2:$N$354,3,FALSE)="","",VLOOKUP(V710,βοηθητικό!$J$2:$N$354,3,FALSE))</f>
        <v>_</v>
      </c>
      <c r="X710" s="44"/>
      <c r="Y710" s="5" t="s">
        <v>16</v>
      </c>
      <c r="Z710" s="46" t="str">
        <f>IF(VLOOKUP(Y710,βοηθητικό!$J$2:$N$354,3,FALSE)="","",VLOOKUP(Y710,βοηθητικό!$J$2:$N$354,3,FALSE))</f>
        <v>_</v>
      </c>
      <c r="AA710" s="47"/>
      <c r="AB710" s="4" t="s">
        <v>16</v>
      </c>
      <c r="AC710" s="43" t="str">
        <f>IF(VLOOKUP(AB710,βοηθητικό!$J$2:$N$354,3,FALSE)="","",VLOOKUP(AB710,βοηθητικό!$J$2:$N$354,3,FALSE))</f>
        <v>_</v>
      </c>
      <c r="AD710" s="44"/>
      <c r="AE710" s="5" t="s">
        <v>16</v>
      </c>
      <c r="AF710" s="46" t="str">
        <f>IF(VLOOKUP(AE710,βοηθητικό!$J$2:$N$354,3,FALSE)="","",VLOOKUP(AE710,βοηθητικό!$J$2:$N$354,3,FALSE))</f>
        <v>_</v>
      </c>
      <c r="AG710" s="47"/>
      <c r="AH710" s="4" t="s">
        <v>16</v>
      </c>
      <c r="AI710" s="43" t="str">
        <f>IF(VLOOKUP(AH710,βοηθητικό!$J$2:$N$354,3,FALSE)="","",VLOOKUP(AH710,βοηθητικό!$J$2:$N$354,3,FALSE))</f>
        <v>_</v>
      </c>
      <c r="AJ710" s="44"/>
      <c r="AK710" s="5" t="s">
        <v>16</v>
      </c>
      <c r="AL710" s="46" t="str">
        <f>IF(VLOOKUP(AK710,βοηθητικό!$J$2:$N$354,3,FALSE)="","",VLOOKUP(AK710,βοηθητικό!$J$2:$N$354,3,FALSE))</f>
        <v>_</v>
      </c>
      <c r="AM710" s="47"/>
      <c r="AN710" s="4" t="s">
        <v>16</v>
      </c>
      <c r="AO710" s="43" t="str">
        <f>IF(VLOOKUP(AN710,βοηθητικό!$J$2:$N$354,3,FALSE)="","",VLOOKUP(AN710,βοηθητικό!$J$2:$N$354,3,FALSE))</f>
        <v>_</v>
      </c>
      <c r="AP710" s="44"/>
      <c r="AQ710" s="5" t="s">
        <v>16</v>
      </c>
      <c r="AR710" s="46" t="str">
        <f>IF(VLOOKUP(AQ710,βοηθητικό!$J$2:$N$354,3,FALSE)="","",VLOOKUP(AQ710,βοηθητικό!$J$2:$N$354,3,FALSE))</f>
        <v>_</v>
      </c>
      <c r="AS710" s="47"/>
      <c r="AT710" s="4" t="s">
        <v>16</v>
      </c>
      <c r="AU710" s="43" t="str">
        <f>IF(VLOOKUP(AT710,βοηθητικό!$J$2:$N$354,3,FALSE)="","",VLOOKUP(AT710,βοηθητικό!$J$2:$N$354,3,FALSE))</f>
        <v>_</v>
      </c>
      <c r="AV710" s="44"/>
      <c r="AW710" s="5" t="s">
        <v>16</v>
      </c>
      <c r="AX710" s="46" t="str">
        <f>IF(VLOOKUP(AW710,βοηθητικό!$J$2:$N$354,3,FALSE)="","",VLOOKUP(AW710,βοηθητικό!$J$2:$N$354,3,FALSE))</f>
        <v>_</v>
      </c>
      <c r="AY710" s="47"/>
      <c r="AZ710" s="4" t="s">
        <v>16</v>
      </c>
      <c r="BA710" s="43" t="str">
        <f>IF(VLOOKUP(AZ710,βοηθητικό!$J$2:$N$354,3,FALSE)="","",VLOOKUP(AZ710,βοηθητικό!$J$2:$N$354,3,FALSE))</f>
        <v>_</v>
      </c>
      <c r="BB710" s="44"/>
      <c r="BC710" s="45" t="s">
        <v>16</v>
      </c>
      <c r="BD710" s="46" t="str">
        <f>IF(VLOOKUP(BC710,βοηθητικό!$J$2:$N$354,3,FALSE)="","",VLOOKUP(BC710,βοηθητικό!$J$2:$N$354,3,FALSE))</f>
        <v>_</v>
      </c>
      <c r="BE710" s="47"/>
      <c r="BF710" s="42" t="s">
        <v>16</v>
      </c>
      <c r="BG710" s="43" t="str">
        <f>IF(VLOOKUP(BF710,βοηθητικό!$J$2:$N$354,3,FALSE)="","",VLOOKUP(BF710,βοηθητικό!$J$2:$N$354,3,FALSE))</f>
        <v>_</v>
      </c>
      <c r="BH710" s="44"/>
      <c r="BI710" s="45" t="s">
        <v>16</v>
      </c>
      <c r="BJ710" s="46" t="str">
        <f>IF(VLOOKUP(BI710,βοηθητικό!$J$2:$N$354,3,FALSE)="","",VLOOKUP(BI710,βοηθητικό!$J$2:$N$354,3,FALSE))</f>
        <v>_</v>
      </c>
      <c r="BK710" s="47"/>
      <c r="BL710" s="42" t="s">
        <v>16</v>
      </c>
      <c r="BM710" s="43" t="str">
        <f>IF(VLOOKUP(BL710,βοηθητικό!$J$2:$N$354,3,FALSE)="","",VLOOKUP(BL710,βοηθητικό!$J$2:$N$354,3,FALSE))</f>
        <v>_</v>
      </c>
      <c r="BN710" s="44"/>
      <c r="BO710" s="45" t="s">
        <v>16</v>
      </c>
      <c r="BP710" s="46" t="str">
        <f>IF(VLOOKUP(BO710,βοηθητικό!$J$2:$N$354,3,FALSE)="","",VLOOKUP(BO710,βοηθητικό!$J$2:$N$354,3,FALSE))</f>
        <v>_</v>
      </c>
      <c r="BQ710" s="47"/>
      <c r="BR710" s="42" t="s">
        <v>16</v>
      </c>
      <c r="BS710" s="43" t="str">
        <f>IF(VLOOKUP(BR710,βοηθητικό!$J$2:$N$354,3,FALSE)="","",VLOOKUP(BR710,βοηθητικό!$J$2:$N$354,3,FALSE))</f>
        <v>_</v>
      </c>
      <c r="BT710" s="44"/>
      <c r="BU710" s="45" t="s">
        <v>16</v>
      </c>
      <c r="BV710" s="46" t="str">
        <f>IF(VLOOKUP(BU710,βοηθητικό!$J$2:$N$354,3,FALSE)="","",VLOOKUP(BU710,βοηθητικό!$J$2:$N$354,3,FALSE))</f>
        <v>_</v>
      </c>
      <c r="BW710" s="47"/>
      <c r="BX710" s="42" t="s">
        <v>16</v>
      </c>
      <c r="BY710" s="43" t="str">
        <f>IF(VLOOKUP(BX710,βοηθητικό!$J$2:$N$354,3,FALSE)="","",VLOOKUP(BX710,βοηθητικό!$J$2:$N$354,3,FALSE))</f>
        <v>_</v>
      </c>
      <c r="BZ710" s="44"/>
      <c r="CA710" s="45" t="s">
        <v>16</v>
      </c>
      <c r="CB710" s="46" t="str">
        <f>IF(VLOOKUP(CA710,βοηθητικό!$J$2:$N$354,3,FALSE)="","",VLOOKUP(CA710,βοηθητικό!$J$2:$N$354,3,FALSE))</f>
        <v>_</v>
      </c>
      <c r="CC710" s="47"/>
      <c r="CD710" s="42" t="s">
        <v>16</v>
      </c>
      <c r="CE710" s="43" t="str">
        <f>IF(VLOOKUP(CD710,βοηθητικό!$J$2:$N$354,3,FALSE)="","",VLOOKUP(CD710,βοηθητικό!$J$2:$N$354,3,FALSE))</f>
        <v>_</v>
      </c>
      <c r="CF710" s="44"/>
      <c r="CG710" s="45" t="s">
        <v>16</v>
      </c>
      <c r="CH710" s="46" t="str">
        <f>IF(VLOOKUP(CG710,βοηθητικό!$J$2:$N$354,3,FALSE)="","",VLOOKUP(CG710,βοηθητικό!$J$2:$N$354,3,FALSE))</f>
        <v>_</v>
      </c>
      <c r="CI710" s="47"/>
      <c r="CJ710" s="42" t="s">
        <v>16</v>
      </c>
      <c r="CK710" s="43" t="str">
        <f>IF(VLOOKUP(CJ710,βοηθητικό!$J$2:$N$354,3,FALSE)="","",VLOOKUP(CJ710,βοηθητικό!$J$2:$N$354,3,FALSE))</f>
        <v>_</v>
      </c>
      <c r="CL710" s="44"/>
      <c r="CM710" s="45" t="s">
        <v>16</v>
      </c>
      <c r="CN710" s="46" t="str">
        <f>IF(VLOOKUP(CM710,βοηθητικό!$J$2:$N$354,3,FALSE)="","",VLOOKUP(CM710,βοηθητικό!$J$2:$N$354,3,FALSE))</f>
        <v>_</v>
      </c>
      <c r="CO710" s="47"/>
      <c r="CP710" s="42" t="s">
        <v>16</v>
      </c>
      <c r="CQ710" s="43" t="str">
        <f>IF(VLOOKUP(CP710,βοηθητικό!$J$2:$N$354,3,FALSE)="","",VLOOKUP(CP710,βοηθητικό!$J$2:$N$354,3,FALSE))</f>
        <v>_</v>
      </c>
      <c r="CR710" s="44"/>
      <c r="CS710" s="45" t="s">
        <v>16</v>
      </c>
      <c r="CT710" s="46" t="str">
        <f>IF(VLOOKUP(CS710,βοηθητικό!$J$2:$N$354,3,FALSE)="","",VLOOKUP(CS710,βοηθητικό!$J$2:$N$354,3,FALSE))</f>
        <v>_</v>
      </c>
      <c r="CU710" s="47"/>
    </row>
    <row r="711" spans="1:99" x14ac:dyDescent="0.25">
      <c r="A711" s="37">
        <f>--SUBTOTAL(3,$B$3:B710)</f>
        <v>198</v>
      </c>
      <c r="B711" s="2"/>
      <c r="C711" s="3"/>
      <c r="D711" s="55" t="s">
        <v>18</v>
      </c>
      <c r="E711" s="38" t="s">
        <v>16</v>
      </c>
      <c r="F711" s="38"/>
      <c r="G711" s="39" t="str">
        <f t="shared" si="35"/>
        <v>__</v>
      </c>
      <c r="H711" s="40" t="str">
        <f t="shared" si="36"/>
        <v>FALSE</v>
      </c>
      <c r="I711" s="41">
        <f t="shared" si="37"/>
        <v>0</v>
      </c>
      <c r="J711" s="4" t="s">
        <v>16</v>
      </c>
      <c r="K711" s="43" t="str">
        <f>IF(VLOOKUP(J711,βοηθητικό!$J$2:$N$354,3,FALSE)="","",VLOOKUP(J711,βοηθητικό!$J$2:$N$354,3,FALSE))</f>
        <v>_</v>
      </c>
      <c r="L711" s="44"/>
      <c r="M711" s="5" t="s">
        <v>16</v>
      </c>
      <c r="N711" s="46" t="str">
        <f>IF(VLOOKUP(M711,βοηθητικό!$J$2:$N$354,3,FALSE)="","",VLOOKUP(M711,βοηθητικό!$J$2:$N$354,3,FALSE))</f>
        <v>_</v>
      </c>
      <c r="O711" s="47"/>
      <c r="P711" s="4" t="s">
        <v>16</v>
      </c>
      <c r="Q711" s="43" t="str">
        <f>IF(VLOOKUP(P711,βοηθητικό!$J$2:$N$354,3,FALSE)="","",VLOOKUP(P711,βοηθητικό!$J$2:$N$354,3,FALSE))</f>
        <v>_</v>
      </c>
      <c r="R711" s="44"/>
      <c r="S711" s="5" t="s">
        <v>16</v>
      </c>
      <c r="T711" s="46" t="str">
        <f>IF(VLOOKUP(S711,βοηθητικό!$J$2:$N$354,3,FALSE)="","",VLOOKUP(S711,βοηθητικό!$J$2:$N$354,3,FALSE))</f>
        <v>_</v>
      </c>
      <c r="U711" s="47"/>
      <c r="V711" s="4" t="s">
        <v>16</v>
      </c>
      <c r="W711" s="43" t="str">
        <f>IF(VLOOKUP(V711,βοηθητικό!$J$2:$N$354,3,FALSE)="","",VLOOKUP(V711,βοηθητικό!$J$2:$N$354,3,FALSE))</f>
        <v>_</v>
      </c>
      <c r="X711" s="44"/>
      <c r="Y711" s="5" t="s">
        <v>16</v>
      </c>
      <c r="Z711" s="46" t="str">
        <f>IF(VLOOKUP(Y711,βοηθητικό!$J$2:$N$354,3,FALSE)="","",VLOOKUP(Y711,βοηθητικό!$J$2:$N$354,3,FALSE))</f>
        <v>_</v>
      </c>
      <c r="AA711" s="47"/>
      <c r="AB711" s="4" t="s">
        <v>16</v>
      </c>
      <c r="AC711" s="43" t="str">
        <f>IF(VLOOKUP(AB711,βοηθητικό!$J$2:$N$354,3,FALSE)="","",VLOOKUP(AB711,βοηθητικό!$J$2:$N$354,3,FALSE))</f>
        <v>_</v>
      </c>
      <c r="AD711" s="44"/>
      <c r="AE711" s="5" t="s">
        <v>16</v>
      </c>
      <c r="AF711" s="46" t="str">
        <f>IF(VLOOKUP(AE711,βοηθητικό!$J$2:$N$354,3,FALSE)="","",VLOOKUP(AE711,βοηθητικό!$J$2:$N$354,3,FALSE))</f>
        <v>_</v>
      </c>
      <c r="AG711" s="47"/>
      <c r="AH711" s="4" t="s">
        <v>16</v>
      </c>
      <c r="AI711" s="43" t="str">
        <f>IF(VLOOKUP(AH711,βοηθητικό!$J$2:$N$354,3,FALSE)="","",VLOOKUP(AH711,βοηθητικό!$J$2:$N$354,3,FALSE))</f>
        <v>_</v>
      </c>
      <c r="AJ711" s="44"/>
      <c r="AK711" s="5" t="s">
        <v>16</v>
      </c>
      <c r="AL711" s="46" t="str">
        <f>IF(VLOOKUP(AK711,βοηθητικό!$J$2:$N$354,3,FALSE)="","",VLOOKUP(AK711,βοηθητικό!$J$2:$N$354,3,FALSE))</f>
        <v>_</v>
      </c>
      <c r="AM711" s="47"/>
      <c r="AN711" s="4" t="s">
        <v>16</v>
      </c>
      <c r="AO711" s="43" t="str">
        <f>IF(VLOOKUP(AN711,βοηθητικό!$J$2:$N$354,3,FALSE)="","",VLOOKUP(AN711,βοηθητικό!$J$2:$N$354,3,FALSE))</f>
        <v>_</v>
      </c>
      <c r="AP711" s="44"/>
      <c r="AQ711" s="5" t="s">
        <v>16</v>
      </c>
      <c r="AR711" s="46" t="str">
        <f>IF(VLOOKUP(AQ711,βοηθητικό!$J$2:$N$354,3,FALSE)="","",VLOOKUP(AQ711,βοηθητικό!$J$2:$N$354,3,FALSE))</f>
        <v>_</v>
      </c>
      <c r="AS711" s="47"/>
      <c r="AT711" s="4" t="s">
        <v>16</v>
      </c>
      <c r="AU711" s="43" t="str">
        <f>IF(VLOOKUP(AT711,βοηθητικό!$J$2:$N$354,3,FALSE)="","",VLOOKUP(AT711,βοηθητικό!$J$2:$N$354,3,FALSE))</f>
        <v>_</v>
      </c>
      <c r="AV711" s="44"/>
      <c r="AW711" s="5" t="s">
        <v>16</v>
      </c>
      <c r="AX711" s="46" t="str">
        <f>IF(VLOOKUP(AW711,βοηθητικό!$J$2:$N$354,3,FALSE)="","",VLOOKUP(AW711,βοηθητικό!$J$2:$N$354,3,FALSE))</f>
        <v>_</v>
      </c>
      <c r="AY711" s="47"/>
      <c r="AZ711" s="4" t="s">
        <v>16</v>
      </c>
      <c r="BA711" s="43" t="str">
        <f>IF(VLOOKUP(AZ711,βοηθητικό!$J$2:$N$354,3,FALSE)="","",VLOOKUP(AZ711,βοηθητικό!$J$2:$N$354,3,FALSE))</f>
        <v>_</v>
      </c>
      <c r="BB711" s="44"/>
      <c r="BC711" s="45" t="s">
        <v>16</v>
      </c>
      <c r="BD711" s="46" t="str">
        <f>IF(VLOOKUP(BC711,βοηθητικό!$J$2:$N$354,3,FALSE)="","",VLOOKUP(BC711,βοηθητικό!$J$2:$N$354,3,FALSE))</f>
        <v>_</v>
      </c>
      <c r="BE711" s="47"/>
      <c r="BF711" s="42" t="s">
        <v>16</v>
      </c>
      <c r="BG711" s="43" t="str">
        <f>IF(VLOOKUP(BF711,βοηθητικό!$J$2:$N$354,3,FALSE)="","",VLOOKUP(BF711,βοηθητικό!$J$2:$N$354,3,FALSE))</f>
        <v>_</v>
      </c>
      <c r="BH711" s="44"/>
      <c r="BI711" s="45" t="s">
        <v>16</v>
      </c>
      <c r="BJ711" s="46" t="str">
        <f>IF(VLOOKUP(BI711,βοηθητικό!$J$2:$N$354,3,FALSE)="","",VLOOKUP(BI711,βοηθητικό!$J$2:$N$354,3,FALSE))</f>
        <v>_</v>
      </c>
      <c r="BK711" s="47"/>
      <c r="BL711" s="42" t="s">
        <v>16</v>
      </c>
      <c r="BM711" s="43" t="str">
        <f>IF(VLOOKUP(BL711,βοηθητικό!$J$2:$N$354,3,FALSE)="","",VLOOKUP(BL711,βοηθητικό!$J$2:$N$354,3,FALSE))</f>
        <v>_</v>
      </c>
      <c r="BN711" s="44"/>
      <c r="BO711" s="45" t="s">
        <v>16</v>
      </c>
      <c r="BP711" s="46" t="str">
        <f>IF(VLOOKUP(BO711,βοηθητικό!$J$2:$N$354,3,FALSE)="","",VLOOKUP(BO711,βοηθητικό!$J$2:$N$354,3,FALSE))</f>
        <v>_</v>
      </c>
      <c r="BQ711" s="47"/>
      <c r="BR711" s="42" t="s">
        <v>16</v>
      </c>
      <c r="BS711" s="43" t="str">
        <f>IF(VLOOKUP(BR711,βοηθητικό!$J$2:$N$354,3,FALSE)="","",VLOOKUP(BR711,βοηθητικό!$J$2:$N$354,3,FALSE))</f>
        <v>_</v>
      </c>
      <c r="BT711" s="44"/>
      <c r="BU711" s="45" t="s">
        <v>16</v>
      </c>
      <c r="BV711" s="46" t="str">
        <f>IF(VLOOKUP(BU711,βοηθητικό!$J$2:$N$354,3,FALSE)="","",VLOOKUP(BU711,βοηθητικό!$J$2:$N$354,3,FALSE))</f>
        <v>_</v>
      </c>
      <c r="BW711" s="47"/>
      <c r="BX711" s="42" t="s">
        <v>16</v>
      </c>
      <c r="BY711" s="43" t="str">
        <f>IF(VLOOKUP(BX711,βοηθητικό!$J$2:$N$354,3,FALSE)="","",VLOOKUP(BX711,βοηθητικό!$J$2:$N$354,3,FALSE))</f>
        <v>_</v>
      </c>
      <c r="BZ711" s="44"/>
      <c r="CA711" s="45" t="s">
        <v>16</v>
      </c>
      <c r="CB711" s="46" t="str">
        <f>IF(VLOOKUP(CA711,βοηθητικό!$J$2:$N$354,3,FALSE)="","",VLOOKUP(CA711,βοηθητικό!$J$2:$N$354,3,FALSE))</f>
        <v>_</v>
      </c>
      <c r="CC711" s="47"/>
      <c r="CD711" s="42" t="s">
        <v>16</v>
      </c>
      <c r="CE711" s="43" t="str">
        <f>IF(VLOOKUP(CD711,βοηθητικό!$J$2:$N$354,3,FALSE)="","",VLOOKUP(CD711,βοηθητικό!$J$2:$N$354,3,FALSE))</f>
        <v>_</v>
      </c>
      <c r="CF711" s="44"/>
      <c r="CG711" s="45" t="s">
        <v>16</v>
      </c>
      <c r="CH711" s="46" t="str">
        <f>IF(VLOOKUP(CG711,βοηθητικό!$J$2:$N$354,3,FALSE)="","",VLOOKUP(CG711,βοηθητικό!$J$2:$N$354,3,FALSE))</f>
        <v>_</v>
      </c>
      <c r="CI711" s="47"/>
      <c r="CJ711" s="42" t="s">
        <v>16</v>
      </c>
      <c r="CK711" s="43" t="str">
        <f>IF(VLOOKUP(CJ711,βοηθητικό!$J$2:$N$354,3,FALSE)="","",VLOOKUP(CJ711,βοηθητικό!$J$2:$N$354,3,FALSE))</f>
        <v>_</v>
      </c>
      <c r="CL711" s="44"/>
      <c r="CM711" s="45" t="s">
        <v>16</v>
      </c>
      <c r="CN711" s="46" t="str">
        <f>IF(VLOOKUP(CM711,βοηθητικό!$J$2:$N$354,3,FALSE)="","",VLOOKUP(CM711,βοηθητικό!$J$2:$N$354,3,FALSE))</f>
        <v>_</v>
      </c>
      <c r="CO711" s="47"/>
      <c r="CP711" s="42" t="s">
        <v>16</v>
      </c>
      <c r="CQ711" s="43" t="str">
        <f>IF(VLOOKUP(CP711,βοηθητικό!$J$2:$N$354,3,FALSE)="","",VLOOKUP(CP711,βοηθητικό!$J$2:$N$354,3,FALSE))</f>
        <v>_</v>
      </c>
      <c r="CR711" s="44"/>
      <c r="CS711" s="45" t="s">
        <v>16</v>
      </c>
      <c r="CT711" s="46" t="str">
        <f>IF(VLOOKUP(CS711,βοηθητικό!$J$2:$N$354,3,FALSE)="","",VLOOKUP(CS711,βοηθητικό!$J$2:$N$354,3,FALSE))</f>
        <v>_</v>
      </c>
      <c r="CU711" s="47"/>
    </row>
    <row r="712" spans="1:99" x14ac:dyDescent="0.25">
      <c r="A712" s="37">
        <f>--SUBTOTAL(3,$B$3:B711)</f>
        <v>198</v>
      </c>
      <c r="B712" s="2"/>
      <c r="C712" s="3"/>
      <c r="D712" s="55" t="s">
        <v>18</v>
      </c>
      <c r="E712" s="38" t="s">
        <v>16</v>
      </c>
      <c r="F712" s="38"/>
      <c r="G712" s="39" t="str">
        <f t="shared" si="35"/>
        <v>__</v>
      </c>
      <c r="H712" s="40" t="str">
        <f t="shared" si="36"/>
        <v>FALSE</v>
      </c>
      <c r="I712" s="41">
        <f t="shared" si="37"/>
        <v>0</v>
      </c>
      <c r="J712" s="4" t="s">
        <v>16</v>
      </c>
      <c r="K712" s="43" t="str">
        <f>IF(VLOOKUP(J712,βοηθητικό!$J$2:$N$354,3,FALSE)="","",VLOOKUP(J712,βοηθητικό!$J$2:$N$354,3,FALSE))</f>
        <v>_</v>
      </c>
      <c r="L712" s="44"/>
      <c r="M712" s="5" t="s">
        <v>16</v>
      </c>
      <c r="N712" s="46" t="str">
        <f>IF(VLOOKUP(M712,βοηθητικό!$J$2:$N$354,3,FALSE)="","",VLOOKUP(M712,βοηθητικό!$J$2:$N$354,3,FALSE))</f>
        <v>_</v>
      </c>
      <c r="O712" s="47"/>
      <c r="P712" s="4" t="s">
        <v>16</v>
      </c>
      <c r="Q712" s="43" t="str">
        <f>IF(VLOOKUP(P712,βοηθητικό!$J$2:$N$354,3,FALSE)="","",VLOOKUP(P712,βοηθητικό!$J$2:$N$354,3,FALSE))</f>
        <v>_</v>
      </c>
      <c r="R712" s="44"/>
      <c r="S712" s="5" t="s">
        <v>16</v>
      </c>
      <c r="T712" s="46" t="str">
        <f>IF(VLOOKUP(S712,βοηθητικό!$J$2:$N$354,3,FALSE)="","",VLOOKUP(S712,βοηθητικό!$J$2:$N$354,3,FALSE))</f>
        <v>_</v>
      </c>
      <c r="U712" s="47"/>
      <c r="V712" s="4" t="s">
        <v>16</v>
      </c>
      <c r="W712" s="43" t="str">
        <f>IF(VLOOKUP(V712,βοηθητικό!$J$2:$N$354,3,FALSE)="","",VLOOKUP(V712,βοηθητικό!$J$2:$N$354,3,FALSE))</f>
        <v>_</v>
      </c>
      <c r="X712" s="44"/>
      <c r="Y712" s="5" t="s">
        <v>16</v>
      </c>
      <c r="Z712" s="46" t="str">
        <f>IF(VLOOKUP(Y712,βοηθητικό!$J$2:$N$354,3,FALSE)="","",VLOOKUP(Y712,βοηθητικό!$J$2:$N$354,3,FALSE))</f>
        <v>_</v>
      </c>
      <c r="AA712" s="47"/>
      <c r="AB712" s="4" t="s">
        <v>16</v>
      </c>
      <c r="AC712" s="43" t="str">
        <f>IF(VLOOKUP(AB712,βοηθητικό!$J$2:$N$354,3,FALSE)="","",VLOOKUP(AB712,βοηθητικό!$J$2:$N$354,3,FALSE))</f>
        <v>_</v>
      </c>
      <c r="AD712" s="44"/>
      <c r="AE712" s="5" t="s">
        <v>16</v>
      </c>
      <c r="AF712" s="46" t="str">
        <f>IF(VLOOKUP(AE712,βοηθητικό!$J$2:$N$354,3,FALSE)="","",VLOOKUP(AE712,βοηθητικό!$J$2:$N$354,3,FALSE))</f>
        <v>_</v>
      </c>
      <c r="AG712" s="47"/>
      <c r="AH712" s="4" t="s">
        <v>16</v>
      </c>
      <c r="AI712" s="43" t="str">
        <f>IF(VLOOKUP(AH712,βοηθητικό!$J$2:$N$354,3,FALSE)="","",VLOOKUP(AH712,βοηθητικό!$J$2:$N$354,3,FALSE))</f>
        <v>_</v>
      </c>
      <c r="AJ712" s="44"/>
      <c r="AK712" s="5" t="s">
        <v>16</v>
      </c>
      <c r="AL712" s="46" t="str">
        <f>IF(VLOOKUP(AK712,βοηθητικό!$J$2:$N$354,3,FALSE)="","",VLOOKUP(AK712,βοηθητικό!$J$2:$N$354,3,FALSE))</f>
        <v>_</v>
      </c>
      <c r="AM712" s="47"/>
      <c r="AN712" s="4" t="s">
        <v>16</v>
      </c>
      <c r="AO712" s="43" t="str">
        <f>IF(VLOOKUP(AN712,βοηθητικό!$J$2:$N$354,3,FALSE)="","",VLOOKUP(AN712,βοηθητικό!$J$2:$N$354,3,FALSE))</f>
        <v>_</v>
      </c>
      <c r="AP712" s="44"/>
      <c r="AQ712" s="5" t="s">
        <v>16</v>
      </c>
      <c r="AR712" s="46" t="str">
        <f>IF(VLOOKUP(AQ712,βοηθητικό!$J$2:$N$354,3,FALSE)="","",VLOOKUP(AQ712,βοηθητικό!$J$2:$N$354,3,FALSE))</f>
        <v>_</v>
      </c>
      <c r="AS712" s="47"/>
      <c r="AT712" s="4" t="s">
        <v>16</v>
      </c>
      <c r="AU712" s="43" t="str">
        <f>IF(VLOOKUP(AT712,βοηθητικό!$J$2:$N$354,3,FALSE)="","",VLOOKUP(AT712,βοηθητικό!$J$2:$N$354,3,FALSE))</f>
        <v>_</v>
      </c>
      <c r="AV712" s="44"/>
      <c r="AW712" s="5" t="s">
        <v>16</v>
      </c>
      <c r="AX712" s="46" t="str">
        <f>IF(VLOOKUP(AW712,βοηθητικό!$J$2:$N$354,3,FALSE)="","",VLOOKUP(AW712,βοηθητικό!$J$2:$N$354,3,FALSE))</f>
        <v>_</v>
      </c>
      <c r="AY712" s="47"/>
      <c r="AZ712" s="4" t="s">
        <v>16</v>
      </c>
      <c r="BA712" s="43" t="str">
        <f>IF(VLOOKUP(AZ712,βοηθητικό!$J$2:$N$354,3,FALSE)="","",VLOOKUP(AZ712,βοηθητικό!$J$2:$N$354,3,FALSE))</f>
        <v>_</v>
      </c>
      <c r="BB712" s="44"/>
      <c r="BC712" s="45" t="s">
        <v>16</v>
      </c>
      <c r="BD712" s="46" t="str">
        <f>IF(VLOOKUP(BC712,βοηθητικό!$J$2:$N$354,3,FALSE)="","",VLOOKUP(BC712,βοηθητικό!$J$2:$N$354,3,FALSE))</f>
        <v>_</v>
      </c>
      <c r="BE712" s="47"/>
      <c r="BF712" s="42" t="s">
        <v>16</v>
      </c>
      <c r="BG712" s="43" t="str">
        <f>IF(VLOOKUP(BF712,βοηθητικό!$J$2:$N$354,3,FALSE)="","",VLOOKUP(BF712,βοηθητικό!$J$2:$N$354,3,FALSE))</f>
        <v>_</v>
      </c>
      <c r="BH712" s="44"/>
      <c r="BI712" s="45" t="s">
        <v>16</v>
      </c>
      <c r="BJ712" s="46" t="str">
        <f>IF(VLOOKUP(BI712,βοηθητικό!$J$2:$N$354,3,FALSE)="","",VLOOKUP(BI712,βοηθητικό!$J$2:$N$354,3,FALSE))</f>
        <v>_</v>
      </c>
      <c r="BK712" s="47"/>
      <c r="BL712" s="42" t="s">
        <v>16</v>
      </c>
      <c r="BM712" s="43" t="str">
        <f>IF(VLOOKUP(BL712,βοηθητικό!$J$2:$N$354,3,FALSE)="","",VLOOKUP(BL712,βοηθητικό!$J$2:$N$354,3,FALSE))</f>
        <v>_</v>
      </c>
      <c r="BN712" s="44"/>
      <c r="BO712" s="45" t="s">
        <v>16</v>
      </c>
      <c r="BP712" s="46" t="str">
        <f>IF(VLOOKUP(BO712,βοηθητικό!$J$2:$N$354,3,FALSE)="","",VLOOKUP(BO712,βοηθητικό!$J$2:$N$354,3,FALSE))</f>
        <v>_</v>
      </c>
      <c r="BQ712" s="47"/>
      <c r="BR712" s="42" t="s">
        <v>16</v>
      </c>
      <c r="BS712" s="43" t="str">
        <f>IF(VLOOKUP(BR712,βοηθητικό!$J$2:$N$354,3,FALSE)="","",VLOOKUP(BR712,βοηθητικό!$J$2:$N$354,3,FALSE))</f>
        <v>_</v>
      </c>
      <c r="BT712" s="44"/>
      <c r="BU712" s="45" t="s">
        <v>16</v>
      </c>
      <c r="BV712" s="46" t="str">
        <f>IF(VLOOKUP(BU712,βοηθητικό!$J$2:$N$354,3,FALSE)="","",VLOOKUP(BU712,βοηθητικό!$J$2:$N$354,3,FALSE))</f>
        <v>_</v>
      </c>
      <c r="BW712" s="47"/>
      <c r="BX712" s="42" t="s">
        <v>16</v>
      </c>
      <c r="BY712" s="43" t="str">
        <f>IF(VLOOKUP(BX712,βοηθητικό!$J$2:$N$354,3,FALSE)="","",VLOOKUP(BX712,βοηθητικό!$J$2:$N$354,3,FALSE))</f>
        <v>_</v>
      </c>
      <c r="BZ712" s="44"/>
      <c r="CA712" s="45" t="s">
        <v>16</v>
      </c>
      <c r="CB712" s="46" t="str">
        <f>IF(VLOOKUP(CA712,βοηθητικό!$J$2:$N$354,3,FALSE)="","",VLOOKUP(CA712,βοηθητικό!$J$2:$N$354,3,FALSE))</f>
        <v>_</v>
      </c>
      <c r="CC712" s="47"/>
      <c r="CD712" s="42" t="s">
        <v>16</v>
      </c>
      <c r="CE712" s="43" t="str">
        <f>IF(VLOOKUP(CD712,βοηθητικό!$J$2:$N$354,3,FALSE)="","",VLOOKUP(CD712,βοηθητικό!$J$2:$N$354,3,FALSE))</f>
        <v>_</v>
      </c>
      <c r="CF712" s="44"/>
      <c r="CG712" s="45" t="s">
        <v>16</v>
      </c>
      <c r="CH712" s="46" t="str">
        <f>IF(VLOOKUP(CG712,βοηθητικό!$J$2:$N$354,3,FALSE)="","",VLOOKUP(CG712,βοηθητικό!$J$2:$N$354,3,FALSE))</f>
        <v>_</v>
      </c>
      <c r="CI712" s="47"/>
      <c r="CJ712" s="42" t="s">
        <v>16</v>
      </c>
      <c r="CK712" s="43" t="str">
        <f>IF(VLOOKUP(CJ712,βοηθητικό!$J$2:$N$354,3,FALSE)="","",VLOOKUP(CJ712,βοηθητικό!$J$2:$N$354,3,FALSE))</f>
        <v>_</v>
      </c>
      <c r="CL712" s="44"/>
      <c r="CM712" s="45" t="s">
        <v>16</v>
      </c>
      <c r="CN712" s="46" t="str">
        <f>IF(VLOOKUP(CM712,βοηθητικό!$J$2:$N$354,3,FALSE)="","",VLOOKUP(CM712,βοηθητικό!$J$2:$N$354,3,FALSE))</f>
        <v>_</v>
      </c>
      <c r="CO712" s="47"/>
      <c r="CP712" s="42" t="s">
        <v>16</v>
      </c>
      <c r="CQ712" s="43" t="str">
        <f>IF(VLOOKUP(CP712,βοηθητικό!$J$2:$N$354,3,FALSE)="","",VLOOKUP(CP712,βοηθητικό!$J$2:$N$354,3,FALSE))</f>
        <v>_</v>
      </c>
      <c r="CR712" s="44"/>
      <c r="CS712" s="45" t="s">
        <v>16</v>
      </c>
      <c r="CT712" s="46" t="str">
        <f>IF(VLOOKUP(CS712,βοηθητικό!$J$2:$N$354,3,FALSE)="","",VLOOKUP(CS712,βοηθητικό!$J$2:$N$354,3,FALSE))</f>
        <v>_</v>
      </c>
      <c r="CU712" s="47"/>
    </row>
    <row r="713" spans="1:99" x14ac:dyDescent="0.25">
      <c r="A713" s="37">
        <f>--SUBTOTAL(3,$B$3:B712)</f>
        <v>198</v>
      </c>
      <c r="B713" s="2"/>
      <c r="C713" s="3"/>
      <c r="D713" s="55" t="s">
        <v>18</v>
      </c>
      <c r="E713" s="38" t="s">
        <v>16</v>
      </c>
      <c r="F713" s="38"/>
      <c r="G713" s="39" t="str">
        <f t="shared" si="35"/>
        <v>__</v>
      </c>
      <c r="H713" s="40" t="str">
        <f t="shared" si="36"/>
        <v>FALSE</v>
      </c>
      <c r="I713" s="41">
        <f t="shared" si="37"/>
        <v>0</v>
      </c>
      <c r="J713" s="4" t="s">
        <v>16</v>
      </c>
      <c r="K713" s="43" t="str">
        <f>IF(VLOOKUP(J713,βοηθητικό!$J$2:$N$354,3,FALSE)="","",VLOOKUP(J713,βοηθητικό!$J$2:$N$354,3,FALSE))</f>
        <v>_</v>
      </c>
      <c r="L713" s="44"/>
      <c r="M713" s="5" t="s">
        <v>16</v>
      </c>
      <c r="N713" s="46" t="str">
        <f>IF(VLOOKUP(M713,βοηθητικό!$J$2:$N$354,3,FALSE)="","",VLOOKUP(M713,βοηθητικό!$J$2:$N$354,3,FALSE))</f>
        <v>_</v>
      </c>
      <c r="O713" s="47"/>
      <c r="P713" s="4" t="s">
        <v>16</v>
      </c>
      <c r="Q713" s="43" t="str">
        <f>IF(VLOOKUP(P713,βοηθητικό!$J$2:$N$354,3,FALSE)="","",VLOOKUP(P713,βοηθητικό!$J$2:$N$354,3,FALSE))</f>
        <v>_</v>
      </c>
      <c r="R713" s="44"/>
      <c r="S713" s="5" t="s">
        <v>16</v>
      </c>
      <c r="T713" s="46" t="str">
        <f>IF(VLOOKUP(S713,βοηθητικό!$J$2:$N$354,3,FALSE)="","",VLOOKUP(S713,βοηθητικό!$J$2:$N$354,3,FALSE))</f>
        <v>_</v>
      </c>
      <c r="U713" s="47"/>
      <c r="V713" s="4" t="s">
        <v>16</v>
      </c>
      <c r="W713" s="43" t="str">
        <f>IF(VLOOKUP(V713,βοηθητικό!$J$2:$N$354,3,FALSE)="","",VLOOKUP(V713,βοηθητικό!$J$2:$N$354,3,FALSE))</f>
        <v>_</v>
      </c>
      <c r="X713" s="44"/>
      <c r="Y713" s="5" t="s">
        <v>16</v>
      </c>
      <c r="Z713" s="46" t="str">
        <f>IF(VLOOKUP(Y713,βοηθητικό!$J$2:$N$354,3,FALSE)="","",VLOOKUP(Y713,βοηθητικό!$J$2:$N$354,3,FALSE))</f>
        <v>_</v>
      </c>
      <c r="AA713" s="47"/>
      <c r="AB713" s="4" t="s">
        <v>16</v>
      </c>
      <c r="AC713" s="43" t="str">
        <f>IF(VLOOKUP(AB713,βοηθητικό!$J$2:$N$354,3,FALSE)="","",VLOOKUP(AB713,βοηθητικό!$J$2:$N$354,3,FALSE))</f>
        <v>_</v>
      </c>
      <c r="AD713" s="44"/>
      <c r="AE713" s="5" t="s">
        <v>16</v>
      </c>
      <c r="AF713" s="46" t="str">
        <f>IF(VLOOKUP(AE713,βοηθητικό!$J$2:$N$354,3,FALSE)="","",VLOOKUP(AE713,βοηθητικό!$J$2:$N$354,3,FALSE))</f>
        <v>_</v>
      </c>
      <c r="AG713" s="47"/>
      <c r="AH713" s="4" t="s">
        <v>16</v>
      </c>
      <c r="AI713" s="43" t="str">
        <f>IF(VLOOKUP(AH713,βοηθητικό!$J$2:$N$354,3,FALSE)="","",VLOOKUP(AH713,βοηθητικό!$J$2:$N$354,3,FALSE))</f>
        <v>_</v>
      </c>
      <c r="AJ713" s="44"/>
      <c r="AK713" s="5" t="s">
        <v>16</v>
      </c>
      <c r="AL713" s="46" t="str">
        <f>IF(VLOOKUP(AK713,βοηθητικό!$J$2:$N$354,3,FALSE)="","",VLOOKUP(AK713,βοηθητικό!$J$2:$N$354,3,FALSE))</f>
        <v>_</v>
      </c>
      <c r="AM713" s="47"/>
      <c r="AN713" s="4" t="s">
        <v>16</v>
      </c>
      <c r="AO713" s="43" t="str">
        <f>IF(VLOOKUP(AN713,βοηθητικό!$J$2:$N$354,3,FALSE)="","",VLOOKUP(AN713,βοηθητικό!$J$2:$N$354,3,FALSE))</f>
        <v>_</v>
      </c>
      <c r="AP713" s="44"/>
      <c r="AQ713" s="5" t="s">
        <v>16</v>
      </c>
      <c r="AR713" s="46" t="str">
        <f>IF(VLOOKUP(AQ713,βοηθητικό!$J$2:$N$354,3,FALSE)="","",VLOOKUP(AQ713,βοηθητικό!$J$2:$N$354,3,FALSE))</f>
        <v>_</v>
      </c>
      <c r="AS713" s="47"/>
      <c r="AT713" s="4" t="s">
        <v>16</v>
      </c>
      <c r="AU713" s="43" t="str">
        <f>IF(VLOOKUP(AT713,βοηθητικό!$J$2:$N$354,3,FALSE)="","",VLOOKUP(AT713,βοηθητικό!$J$2:$N$354,3,FALSE))</f>
        <v>_</v>
      </c>
      <c r="AV713" s="44"/>
      <c r="AW713" s="5" t="s">
        <v>16</v>
      </c>
      <c r="AX713" s="46" t="str">
        <f>IF(VLOOKUP(AW713,βοηθητικό!$J$2:$N$354,3,FALSE)="","",VLOOKUP(AW713,βοηθητικό!$J$2:$N$354,3,FALSE))</f>
        <v>_</v>
      </c>
      <c r="AY713" s="47"/>
      <c r="AZ713" s="4" t="s">
        <v>16</v>
      </c>
      <c r="BA713" s="43" t="str">
        <f>IF(VLOOKUP(AZ713,βοηθητικό!$J$2:$N$354,3,FALSE)="","",VLOOKUP(AZ713,βοηθητικό!$J$2:$N$354,3,FALSE))</f>
        <v>_</v>
      </c>
      <c r="BB713" s="44"/>
      <c r="BC713" s="45" t="s">
        <v>16</v>
      </c>
      <c r="BD713" s="46" t="str">
        <f>IF(VLOOKUP(BC713,βοηθητικό!$J$2:$N$354,3,FALSE)="","",VLOOKUP(BC713,βοηθητικό!$J$2:$N$354,3,FALSE))</f>
        <v>_</v>
      </c>
      <c r="BE713" s="47"/>
      <c r="BF713" s="42" t="s">
        <v>16</v>
      </c>
      <c r="BG713" s="43" t="str">
        <f>IF(VLOOKUP(BF713,βοηθητικό!$J$2:$N$354,3,FALSE)="","",VLOOKUP(BF713,βοηθητικό!$J$2:$N$354,3,FALSE))</f>
        <v>_</v>
      </c>
      <c r="BH713" s="44"/>
      <c r="BI713" s="45" t="s">
        <v>16</v>
      </c>
      <c r="BJ713" s="46" t="str">
        <f>IF(VLOOKUP(BI713,βοηθητικό!$J$2:$N$354,3,FALSE)="","",VLOOKUP(BI713,βοηθητικό!$J$2:$N$354,3,FALSE))</f>
        <v>_</v>
      </c>
      <c r="BK713" s="47"/>
      <c r="BL713" s="42" t="s">
        <v>16</v>
      </c>
      <c r="BM713" s="43" t="str">
        <f>IF(VLOOKUP(BL713,βοηθητικό!$J$2:$N$354,3,FALSE)="","",VLOOKUP(BL713,βοηθητικό!$J$2:$N$354,3,FALSE))</f>
        <v>_</v>
      </c>
      <c r="BN713" s="44"/>
      <c r="BO713" s="45" t="s">
        <v>16</v>
      </c>
      <c r="BP713" s="46" t="str">
        <f>IF(VLOOKUP(BO713,βοηθητικό!$J$2:$N$354,3,FALSE)="","",VLOOKUP(BO713,βοηθητικό!$J$2:$N$354,3,FALSE))</f>
        <v>_</v>
      </c>
      <c r="BQ713" s="47"/>
      <c r="BR713" s="42" t="s">
        <v>16</v>
      </c>
      <c r="BS713" s="43" t="str">
        <f>IF(VLOOKUP(BR713,βοηθητικό!$J$2:$N$354,3,FALSE)="","",VLOOKUP(BR713,βοηθητικό!$J$2:$N$354,3,FALSE))</f>
        <v>_</v>
      </c>
      <c r="BT713" s="44"/>
      <c r="BU713" s="45" t="s">
        <v>16</v>
      </c>
      <c r="BV713" s="46" t="str">
        <f>IF(VLOOKUP(BU713,βοηθητικό!$J$2:$N$354,3,FALSE)="","",VLOOKUP(BU713,βοηθητικό!$J$2:$N$354,3,FALSE))</f>
        <v>_</v>
      </c>
      <c r="BW713" s="47"/>
      <c r="BX713" s="42" t="s">
        <v>16</v>
      </c>
      <c r="BY713" s="43" t="str">
        <f>IF(VLOOKUP(BX713,βοηθητικό!$J$2:$N$354,3,FALSE)="","",VLOOKUP(BX713,βοηθητικό!$J$2:$N$354,3,FALSE))</f>
        <v>_</v>
      </c>
      <c r="BZ713" s="44"/>
      <c r="CA713" s="45" t="s">
        <v>16</v>
      </c>
      <c r="CB713" s="46" t="str">
        <f>IF(VLOOKUP(CA713,βοηθητικό!$J$2:$N$354,3,FALSE)="","",VLOOKUP(CA713,βοηθητικό!$J$2:$N$354,3,FALSE))</f>
        <v>_</v>
      </c>
      <c r="CC713" s="47"/>
      <c r="CD713" s="42" t="s">
        <v>16</v>
      </c>
      <c r="CE713" s="43" t="str">
        <f>IF(VLOOKUP(CD713,βοηθητικό!$J$2:$N$354,3,FALSE)="","",VLOOKUP(CD713,βοηθητικό!$J$2:$N$354,3,FALSE))</f>
        <v>_</v>
      </c>
      <c r="CF713" s="44"/>
      <c r="CG713" s="45" t="s">
        <v>16</v>
      </c>
      <c r="CH713" s="46" t="str">
        <f>IF(VLOOKUP(CG713,βοηθητικό!$J$2:$N$354,3,FALSE)="","",VLOOKUP(CG713,βοηθητικό!$J$2:$N$354,3,FALSE))</f>
        <v>_</v>
      </c>
      <c r="CI713" s="47"/>
      <c r="CJ713" s="42" t="s">
        <v>16</v>
      </c>
      <c r="CK713" s="43" t="str">
        <f>IF(VLOOKUP(CJ713,βοηθητικό!$J$2:$N$354,3,FALSE)="","",VLOOKUP(CJ713,βοηθητικό!$J$2:$N$354,3,FALSE))</f>
        <v>_</v>
      </c>
      <c r="CL713" s="44"/>
      <c r="CM713" s="45" t="s">
        <v>16</v>
      </c>
      <c r="CN713" s="46" t="str">
        <f>IF(VLOOKUP(CM713,βοηθητικό!$J$2:$N$354,3,FALSE)="","",VLOOKUP(CM713,βοηθητικό!$J$2:$N$354,3,FALSE))</f>
        <v>_</v>
      </c>
      <c r="CO713" s="47"/>
      <c r="CP713" s="42" t="s">
        <v>16</v>
      </c>
      <c r="CQ713" s="43" t="str">
        <f>IF(VLOOKUP(CP713,βοηθητικό!$J$2:$N$354,3,FALSE)="","",VLOOKUP(CP713,βοηθητικό!$J$2:$N$354,3,FALSE))</f>
        <v>_</v>
      </c>
      <c r="CR713" s="44"/>
      <c r="CS713" s="45" t="s">
        <v>16</v>
      </c>
      <c r="CT713" s="46" t="str">
        <f>IF(VLOOKUP(CS713,βοηθητικό!$J$2:$N$354,3,FALSE)="","",VLOOKUP(CS713,βοηθητικό!$J$2:$N$354,3,FALSE))</f>
        <v>_</v>
      </c>
      <c r="CU713" s="47"/>
    </row>
    <row r="714" spans="1:99" x14ac:dyDescent="0.25">
      <c r="A714" s="37">
        <f>--SUBTOTAL(3,$B$3:B713)</f>
        <v>198</v>
      </c>
      <c r="B714" s="2"/>
      <c r="C714" s="3"/>
      <c r="D714" s="55" t="s">
        <v>18</v>
      </c>
      <c r="E714" s="38" t="s">
        <v>16</v>
      </c>
      <c r="F714" s="38"/>
      <c r="G714" s="39" t="str">
        <f t="shared" si="35"/>
        <v>__</v>
      </c>
      <c r="H714" s="40" t="str">
        <f t="shared" si="36"/>
        <v>FALSE</v>
      </c>
      <c r="I714" s="41">
        <f t="shared" si="37"/>
        <v>0</v>
      </c>
      <c r="J714" s="4" t="s">
        <v>16</v>
      </c>
      <c r="K714" s="43" t="str">
        <f>IF(VLOOKUP(J714,βοηθητικό!$J$2:$N$354,3,FALSE)="","",VLOOKUP(J714,βοηθητικό!$J$2:$N$354,3,FALSE))</f>
        <v>_</v>
      </c>
      <c r="L714" s="44"/>
      <c r="M714" s="5" t="s">
        <v>16</v>
      </c>
      <c r="N714" s="46" t="str">
        <f>IF(VLOOKUP(M714,βοηθητικό!$J$2:$N$354,3,FALSE)="","",VLOOKUP(M714,βοηθητικό!$J$2:$N$354,3,FALSE))</f>
        <v>_</v>
      </c>
      <c r="O714" s="47"/>
      <c r="P714" s="4" t="s">
        <v>16</v>
      </c>
      <c r="Q714" s="43" t="str">
        <f>IF(VLOOKUP(P714,βοηθητικό!$J$2:$N$354,3,FALSE)="","",VLOOKUP(P714,βοηθητικό!$J$2:$N$354,3,FALSE))</f>
        <v>_</v>
      </c>
      <c r="R714" s="44"/>
      <c r="S714" s="5" t="s">
        <v>16</v>
      </c>
      <c r="T714" s="46" t="str">
        <f>IF(VLOOKUP(S714,βοηθητικό!$J$2:$N$354,3,FALSE)="","",VLOOKUP(S714,βοηθητικό!$J$2:$N$354,3,FALSE))</f>
        <v>_</v>
      </c>
      <c r="U714" s="47"/>
      <c r="V714" s="4" t="s">
        <v>16</v>
      </c>
      <c r="W714" s="43" t="str">
        <f>IF(VLOOKUP(V714,βοηθητικό!$J$2:$N$354,3,FALSE)="","",VLOOKUP(V714,βοηθητικό!$J$2:$N$354,3,FALSE))</f>
        <v>_</v>
      </c>
      <c r="X714" s="44"/>
      <c r="Y714" s="5" t="s">
        <v>16</v>
      </c>
      <c r="Z714" s="46" t="str">
        <f>IF(VLOOKUP(Y714,βοηθητικό!$J$2:$N$354,3,FALSE)="","",VLOOKUP(Y714,βοηθητικό!$J$2:$N$354,3,FALSE))</f>
        <v>_</v>
      </c>
      <c r="AA714" s="47"/>
      <c r="AB714" s="4" t="s">
        <v>16</v>
      </c>
      <c r="AC714" s="43" t="str">
        <f>IF(VLOOKUP(AB714,βοηθητικό!$J$2:$N$354,3,FALSE)="","",VLOOKUP(AB714,βοηθητικό!$J$2:$N$354,3,FALSE))</f>
        <v>_</v>
      </c>
      <c r="AD714" s="44"/>
      <c r="AE714" s="5" t="s">
        <v>16</v>
      </c>
      <c r="AF714" s="46" t="str">
        <f>IF(VLOOKUP(AE714,βοηθητικό!$J$2:$N$354,3,FALSE)="","",VLOOKUP(AE714,βοηθητικό!$J$2:$N$354,3,FALSE))</f>
        <v>_</v>
      </c>
      <c r="AG714" s="47"/>
      <c r="AH714" s="4" t="s">
        <v>16</v>
      </c>
      <c r="AI714" s="43" t="str">
        <f>IF(VLOOKUP(AH714,βοηθητικό!$J$2:$N$354,3,FALSE)="","",VLOOKUP(AH714,βοηθητικό!$J$2:$N$354,3,FALSE))</f>
        <v>_</v>
      </c>
      <c r="AJ714" s="44"/>
      <c r="AK714" s="5" t="s">
        <v>16</v>
      </c>
      <c r="AL714" s="46" t="str">
        <f>IF(VLOOKUP(AK714,βοηθητικό!$J$2:$N$354,3,FALSE)="","",VLOOKUP(AK714,βοηθητικό!$J$2:$N$354,3,FALSE))</f>
        <v>_</v>
      </c>
      <c r="AM714" s="47"/>
      <c r="AN714" s="4" t="s">
        <v>16</v>
      </c>
      <c r="AO714" s="43" t="str">
        <f>IF(VLOOKUP(AN714,βοηθητικό!$J$2:$N$354,3,FALSE)="","",VLOOKUP(AN714,βοηθητικό!$J$2:$N$354,3,FALSE))</f>
        <v>_</v>
      </c>
      <c r="AP714" s="44"/>
      <c r="AQ714" s="5" t="s">
        <v>16</v>
      </c>
      <c r="AR714" s="46" t="str">
        <f>IF(VLOOKUP(AQ714,βοηθητικό!$J$2:$N$354,3,FALSE)="","",VLOOKUP(AQ714,βοηθητικό!$J$2:$N$354,3,FALSE))</f>
        <v>_</v>
      </c>
      <c r="AS714" s="47"/>
      <c r="AT714" s="4" t="s">
        <v>16</v>
      </c>
      <c r="AU714" s="43" t="str">
        <f>IF(VLOOKUP(AT714,βοηθητικό!$J$2:$N$354,3,FALSE)="","",VLOOKUP(AT714,βοηθητικό!$J$2:$N$354,3,FALSE))</f>
        <v>_</v>
      </c>
      <c r="AV714" s="44"/>
      <c r="AW714" s="5" t="s">
        <v>16</v>
      </c>
      <c r="AX714" s="46" t="str">
        <f>IF(VLOOKUP(AW714,βοηθητικό!$J$2:$N$354,3,FALSE)="","",VLOOKUP(AW714,βοηθητικό!$J$2:$N$354,3,FALSE))</f>
        <v>_</v>
      </c>
      <c r="AY714" s="47"/>
      <c r="AZ714" s="4" t="s">
        <v>16</v>
      </c>
      <c r="BA714" s="43" t="str">
        <f>IF(VLOOKUP(AZ714,βοηθητικό!$J$2:$N$354,3,FALSE)="","",VLOOKUP(AZ714,βοηθητικό!$J$2:$N$354,3,FALSE))</f>
        <v>_</v>
      </c>
      <c r="BB714" s="44"/>
      <c r="BC714" s="45" t="s">
        <v>16</v>
      </c>
      <c r="BD714" s="46" t="str">
        <f>IF(VLOOKUP(BC714,βοηθητικό!$J$2:$N$354,3,FALSE)="","",VLOOKUP(BC714,βοηθητικό!$J$2:$N$354,3,FALSE))</f>
        <v>_</v>
      </c>
      <c r="BE714" s="47"/>
      <c r="BF714" s="42" t="s">
        <v>16</v>
      </c>
      <c r="BG714" s="43" t="str">
        <f>IF(VLOOKUP(BF714,βοηθητικό!$J$2:$N$354,3,FALSE)="","",VLOOKUP(BF714,βοηθητικό!$J$2:$N$354,3,FALSE))</f>
        <v>_</v>
      </c>
      <c r="BH714" s="44"/>
      <c r="BI714" s="45" t="s">
        <v>16</v>
      </c>
      <c r="BJ714" s="46" t="str">
        <f>IF(VLOOKUP(BI714,βοηθητικό!$J$2:$N$354,3,FALSE)="","",VLOOKUP(BI714,βοηθητικό!$J$2:$N$354,3,FALSE))</f>
        <v>_</v>
      </c>
      <c r="BK714" s="47"/>
      <c r="BL714" s="42" t="s">
        <v>16</v>
      </c>
      <c r="BM714" s="43" t="str">
        <f>IF(VLOOKUP(BL714,βοηθητικό!$J$2:$N$354,3,FALSE)="","",VLOOKUP(BL714,βοηθητικό!$J$2:$N$354,3,FALSE))</f>
        <v>_</v>
      </c>
      <c r="BN714" s="44"/>
      <c r="BO714" s="45" t="s">
        <v>16</v>
      </c>
      <c r="BP714" s="46" t="str">
        <f>IF(VLOOKUP(BO714,βοηθητικό!$J$2:$N$354,3,FALSE)="","",VLOOKUP(BO714,βοηθητικό!$J$2:$N$354,3,FALSE))</f>
        <v>_</v>
      </c>
      <c r="BQ714" s="47"/>
      <c r="BR714" s="42" t="s">
        <v>16</v>
      </c>
      <c r="BS714" s="43" t="str">
        <f>IF(VLOOKUP(BR714,βοηθητικό!$J$2:$N$354,3,FALSE)="","",VLOOKUP(BR714,βοηθητικό!$J$2:$N$354,3,FALSE))</f>
        <v>_</v>
      </c>
      <c r="BT714" s="44"/>
      <c r="BU714" s="45" t="s">
        <v>16</v>
      </c>
      <c r="BV714" s="46" t="str">
        <f>IF(VLOOKUP(BU714,βοηθητικό!$J$2:$N$354,3,FALSE)="","",VLOOKUP(BU714,βοηθητικό!$J$2:$N$354,3,FALSE))</f>
        <v>_</v>
      </c>
      <c r="BW714" s="47"/>
      <c r="BX714" s="42" t="s">
        <v>16</v>
      </c>
      <c r="BY714" s="43" t="str">
        <f>IF(VLOOKUP(BX714,βοηθητικό!$J$2:$N$354,3,FALSE)="","",VLOOKUP(BX714,βοηθητικό!$J$2:$N$354,3,FALSE))</f>
        <v>_</v>
      </c>
      <c r="BZ714" s="44"/>
      <c r="CA714" s="45" t="s">
        <v>16</v>
      </c>
      <c r="CB714" s="46" t="str">
        <f>IF(VLOOKUP(CA714,βοηθητικό!$J$2:$N$354,3,FALSE)="","",VLOOKUP(CA714,βοηθητικό!$J$2:$N$354,3,FALSE))</f>
        <v>_</v>
      </c>
      <c r="CC714" s="47"/>
      <c r="CD714" s="42" t="s">
        <v>16</v>
      </c>
      <c r="CE714" s="43" t="str">
        <f>IF(VLOOKUP(CD714,βοηθητικό!$J$2:$N$354,3,FALSE)="","",VLOOKUP(CD714,βοηθητικό!$J$2:$N$354,3,FALSE))</f>
        <v>_</v>
      </c>
      <c r="CF714" s="44"/>
      <c r="CG714" s="45" t="s">
        <v>16</v>
      </c>
      <c r="CH714" s="46" t="str">
        <f>IF(VLOOKUP(CG714,βοηθητικό!$J$2:$N$354,3,FALSE)="","",VLOOKUP(CG714,βοηθητικό!$J$2:$N$354,3,FALSE))</f>
        <v>_</v>
      </c>
      <c r="CI714" s="47"/>
      <c r="CJ714" s="42" t="s">
        <v>16</v>
      </c>
      <c r="CK714" s="43" t="str">
        <f>IF(VLOOKUP(CJ714,βοηθητικό!$J$2:$N$354,3,FALSE)="","",VLOOKUP(CJ714,βοηθητικό!$J$2:$N$354,3,FALSE))</f>
        <v>_</v>
      </c>
      <c r="CL714" s="44"/>
      <c r="CM714" s="45" t="s">
        <v>16</v>
      </c>
      <c r="CN714" s="46" t="str">
        <f>IF(VLOOKUP(CM714,βοηθητικό!$J$2:$N$354,3,FALSE)="","",VLOOKUP(CM714,βοηθητικό!$J$2:$N$354,3,FALSE))</f>
        <v>_</v>
      </c>
      <c r="CO714" s="47"/>
      <c r="CP714" s="42" t="s">
        <v>16</v>
      </c>
      <c r="CQ714" s="43" t="str">
        <f>IF(VLOOKUP(CP714,βοηθητικό!$J$2:$N$354,3,FALSE)="","",VLOOKUP(CP714,βοηθητικό!$J$2:$N$354,3,FALSE))</f>
        <v>_</v>
      </c>
      <c r="CR714" s="44"/>
      <c r="CS714" s="45" t="s">
        <v>16</v>
      </c>
      <c r="CT714" s="46" t="str">
        <f>IF(VLOOKUP(CS714,βοηθητικό!$J$2:$N$354,3,FALSE)="","",VLOOKUP(CS714,βοηθητικό!$J$2:$N$354,3,FALSE))</f>
        <v>_</v>
      </c>
      <c r="CU714" s="47"/>
    </row>
    <row r="715" spans="1:99" x14ac:dyDescent="0.25">
      <c r="A715" s="37">
        <f>--SUBTOTAL(3,$B$3:B714)</f>
        <v>198</v>
      </c>
      <c r="B715" s="2"/>
      <c r="C715" s="3"/>
      <c r="D715" s="55" t="s">
        <v>18</v>
      </c>
      <c r="E715" s="38" t="s">
        <v>16</v>
      </c>
      <c r="F715" s="38"/>
      <c r="G715" s="39" t="str">
        <f t="shared" si="35"/>
        <v>__</v>
      </c>
      <c r="H715" s="40" t="str">
        <f t="shared" si="36"/>
        <v>FALSE</v>
      </c>
      <c r="I715" s="41">
        <f t="shared" si="37"/>
        <v>0</v>
      </c>
      <c r="J715" s="4" t="s">
        <v>16</v>
      </c>
      <c r="K715" s="43" t="str">
        <f>IF(VLOOKUP(J715,βοηθητικό!$J$2:$N$354,3,FALSE)="","",VLOOKUP(J715,βοηθητικό!$J$2:$N$354,3,FALSE))</f>
        <v>_</v>
      </c>
      <c r="L715" s="44"/>
      <c r="M715" s="5" t="s">
        <v>16</v>
      </c>
      <c r="N715" s="46" t="str">
        <f>IF(VLOOKUP(M715,βοηθητικό!$J$2:$N$354,3,FALSE)="","",VLOOKUP(M715,βοηθητικό!$J$2:$N$354,3,FALSE))</f>
        <v>_</v>
      </c>
      <c r="O715" s="47"/>
      <c r="P715" s="4" t="s">
        <v>16</v>
      </c>
      <c r="Q715" s="43" t="str">
        <f>IF(VLOOKUP(P715,βοηθητικό!$J$2:$N$354,3,FALSE)="","",VLOOKUP(P715,βοηθητικό!$J$2:$N$354,3,FALSE))</f>
        <v>_</v>
      </c>
      <c r="R715" s="44"/>
      <c r="S715" s="5" t="s">
        <v>16</v>
      </c>
      <c r="T715" s="46" t="str">
        <f>IF(VLOOKUP(S715,βοηθητικό!$J$2:$N$354,3,FALSE)="","",VLOOKUP(S715,βοηθητικό!$J$2:$N$354,3,FALSE))</f>
        <v>_</v>
      </c>
      <c r="U715" s="47"/>
      <c r="V715" s="4" t="s">
        <v>16</v>
      </c>
      <c r="W715" s="43" t="str">
        <f>IF(VLOOKUP(V715,βοηθητικό!$J$2:$N$354,3,FALSE)="","",VLOOKUP(V715,βοηθητικό!$J$2:$N$354,3,FALSE))</f>
        <v>_</v>
      </c>
      <c r="X715" s="44"/>
      <c r="Y715" s="5" t="s">
        <v>16</v>
      </c>
      <c r="Z715" s="46" t="str">
        <f>IF(VLOOKUP(Y715,βοηθητικό!$J$2:$N$354,3,FALSE)="","",VLOOKUP(Y715,βοηθητικό!$J$2:$N$354,3,FALSE))</f>
        <v>_</v>
      </c>
      <c r="AA715" s="47"/>
      <c r="AB715" s="4" t="s">
        <v>16</v>
      </c>
      <c r="AC715" s="43" t="str">
        <f>IF(VLOOKUP(AB715,βοηθητικό!$J$2:$N$354,3,FALSE)="","",VLOOKUP(AB715,βοηθητικό!$J$2:$N$354,3,FALSE))</f>
        <v>_</v>
      </c>
      <c r="AD715" s="44"/>
      <c r="AE715" s="5" t="s">
        <v>16</v>
      </c>
      <c r="AF715" s="46" t="str">
        <f>IF(VLOOKUP(AE715,βοηθητικό!$J$2:$N$354,3,FALSE)="","",VLOOKUP(AE715,βοηθητικό!$J$2:$N$354,3,FALSE))</f>
        <v>_</v>
      </c>
      <c r="AG715" s="47"/>
      <c r="AH715" s="4" t="s">
        <v>16</v>
      </c>
      <c r="AI715" s="43" t="str">
        <f>IF(VLOOKUP(AH715,βοηθητικό!$J$2:$N$354,3,FALSE)="","",VLOOKUP(AH715,βοηθητικό!$J$2:$N$354,3,FALSE))</f>
        <v>_</v>
      </c>
      <c r="AJ715" s="44"/>
      <c r="AK715" s="5" t="s">
        <v>16</v>
      </c>
      <c r="AL715" s="46" t="str">
        <f>IF(VLOOKUP(AK715,βοηθητικό!$J$2:$N$354,3,FALSE)="","",VLOOKUP(AK715,βοηθητικό!$J$2:$N$354,3,FALSE))</f>
        <v>_</v>
      </c>
      <c r="AM715" s="47"/>
      <c r="AN715" s="4" t="s">
        <v>16</v>
      </c>
      <c r="AO715" s="43" t="str">
        <f>IF(VLOOKUP(AN715,βοηθητικό!$J$2:$N$354,3,FALSE)="","",VLOOKUP(AN715,βοηθητικό!$J$2:$N$354,3,FALSE))</f>
        <v>_</v>
      </c>
      <c r="AP715" s="44"/>
      <c r="AQ715" s="5" t="s">
        <v>16</v>
      </c>
      <c r="AR715" s="46" t="str">
        <f>IF(VLOOKUP(AQ715,βοηθητικό!$J$2:$N$354,3,FALSE)="","",VLOOKUP(AQ715,βοηθητικό!$J$2:$N$354,3,FALSE))</f>
        <v>_</v>
      </c>
      <c r="AS715" s="47"/>
      <c r="AT715" s="4" t="s">
        <v>16</v>
      </c>
      <c r="AU715" s="43" t="str">
        <f>IF(VLOOKUP(AT715,βοηθητικό!$J$2:$N$354,3,FALSE)="","",VLOOKUP(AT715,βοηθητικό!$J$2:$N$354,3,FALSE))</f>
        <v>_</v>
      </c>
      <c r="AV715" s="44"/>
      <c r="AW715" s="5" t="s">
        <v>16</v>
      </c>
      <c r="AX715" s="46" t="str">
        <f>IF(VLOOKUP(AW715,βοηθητικό!$J$2:$N$354,3,FALSE)="","",VLOOKUP(AW715,βοηθητικό!$J$2:$N$354,3,FALSE))</f>
        <v>_</v>
      </c>
      <c r="AY715" s="47"/>
      <c r="AZ715" s="4" t="s">
        <v>16</v>
      </c>
      <c r="BA715" s="43" t="str">
        <f>IF(VLOOKUP(AZ715,βοηθητικό!$J$2:$N$354,3,FALSE)="","",VLOOKUP(AZ715,βοηθητικό!$J$2:$N$354,3,FALSE))</f>
        <v>_</v>
      </c>
      <c r="BB715" s="44"/>
      <c r="BC715" s="45" t="s">
        <v>16</v>
      </c>
      <c r="BD715" s="46" t="str">
        <f>IF(VLOOKUP(BC715,βοηθητικό!$J$2:$N$354,3,FALSE)="","",VLOOKUP(BC715,βοηθητικό!$J$2:$N$354,3,FALSE))</f>
        <v>_</v>
      </c>
      <c r="BE715" s="47"/>
      <c r="BF715" s="42" t="s">
        <v>16</v>
      </c>
      <c r="BG715" s="43" t="str">
        <f>IF(VLOOKUP(BF715,βοηθητικό!$J$2:$N$354,3,FALSE)="","",VLOOKUP(BF715,βοηθητικό!$J$2:$N$354,3,FALSE))</f>
        <v>_</v>
      </c>
      <c r="BH715" s="44"/>
      <c r="BI715" s="45" t="s">
        <v>16</v>
      </c>
      <c r="BJ715" s="46" t="str">
        <f>IF(VLOOKUP(BI715,βοηθητικό!$J$2:$N$354,3,FALSE)="","",VLOOKUP(BI715,βοηθητικό!$J$2:$N$354,3,FALSE))</f>
        <v>_</v>
      </c>
      <c r="BK715" s="47"/>
      <c r="BL715" s="42" t="s">
        <v>16</v>
      </c>
      <c r="BM715" s="43" t="str">
        <f>IF(VLOOKUP(BL715,βοηθητικό!$J$2:$N$354,3,FALSE)="","",VLOOKUP(BL715,βοηθητικό!$J$2:$N$354,3,FALSE))</f>
        <v>_</v>
      </c>
      <c r="BN715" s="44"/>
      <c r="BO715" s="45" t="s">
        <v>16</v>
      </c>
      <c r="BP715" s="46" t="str">
        <f>IF(VLOOKUP(BO715,βοηθητικό!$J$2:$N$354,3,FALSE)="","",VLOOKUP(BO715,βοηθητικό!$J$2:$N$354,3,FALSE))</f>
        <v>_</v>
      </c>
      <c r="BQ715" s="47"/>
      <c r="BR715" s="42" t="s">
        <v>16</v>
      </c>
      <c r="BS715" s="43" t="str">
        <f>IF(VLOOKUP(BR715,βοηθητικό!$J$2:$N$354,3,FALSE)="","",VLOOKUP(BR715,βοηθητικό!$J$2:$N$354,3,FALSE))</f>
        <v>_</v>
      </c>
      <c r="BT715" s="44"/>
      <c r="BU715" s="45" t="s">
        <v>16</v>
      </c>
      <c r="BV715" s="46" t="str">
        <f>IF(VLOOKUP(BU715,βοηθητικό!$J$2:$N$354,3,FALSE)="","",VLOOKUP(BU715,βοηθητικό!$J$2:$N$354,3,FALSE))</f>
        <v>_</v>
      </c>
      <c r="BW715" s="47"/>
      <c r="BX715" s="42" t="s">
        <v>16</v>
      </c>
      <c r="BY715" s="43" t="str">
        <f>IF(VLOOKUP(BX715,βοηθητικό!$J$2:$N$354,3,FALSE)="","",VLOOKUP(BX715,βοηθητικό!$J$2:$N$354,3,FALSE))</f>
        <v>_</v>
      </c>
      <c r="BZ715" s="44"/>
      <c r="CA715" s="45" t="s">
        <v>16</v>
      </c>
      <c r="CB715" s="46" t="str">
        <f>IF(VLOOKUP(CA715,βοηθητικό!$J$2:$N$354,3,FALSE)="","",VLOOKUP(CA715,βοηθητικό!$J$2:$N$354,3,FALSE))</f>
        <v>_</v>
      </c>
      <c r="CC715" s="47"/>
      <c r="CD715" s="42" t="s">
        <v>16</v>
      </c>
      <c r="CE715" s="43" t="str">
        <f>IF(VLOOKUP(CD715,βοηθητικό!$J$2:$N$354,3,FALSE)="","",VLOOKUP(CD715,βοηθητικό!$J$2:$N$354,3,FALSE))</f>
        <v>_</v>
      </c>
      <c r="CF715" s="44"/>
      <c r="CG715" s="45" t="s">
        <v>16</v>
      </c>
      <c r="CH715" s="46" t="str">
        <f>IF(VLOOKUP(CG715,βοηθητικό!$J$2:$N$354,3,FALSE)="","",VLOOKUP(CG715,βοηθητικό!$J$2:$N$354,3,FALSE))</f>
        <v>_</v>
      </c>
      <c r="CI715" s="47"/>
      <c r="CJ715" s="42" t="s">
        <v>16</v>
      </c>
      <c r="CK715" s="43" t="str">
        <f>IF(VLOOKUP(CJ715,βοηθητικό!$J$2:$N$354,3,FALSE)="","",VLOOKUP(CJ715,βοηθητικό!$J$2:$N$354,3,FALSE))</f>
        <v>_</v>
      </c>
      <c r="CL715" s="44"/>
      <c r="CM715" s="45" t="s">
        <v>16</v>
      </c>
      <c r="CN715" s="46" t="str">
        <f>IF(VLOOKUP(CM715,βοηθητικό!$J$2:$N$354,3,FALSE)="","",VLOOKUP(CM715,βοηθητικό!$J$2:$N$354,3,FALSE))</f>
        <v>_</v>
      </c>
      <c r="CO715" s="47"/>
      <c r="CP715" s="42" t="s">
        <v>16</v>
      </c>
      <c r="CQ715" s="43" t="str">
        <f>IF(VLOOKUP(CP715,βοηθητικό!$J$2:$N$354,3,FALSE)="","",VLOOKUP(CP715,βοηθητικό!$J$2:$N$354,3,FALSE))</f>
        <v>_</v>
      </c>
      <c r="CR715" s="44"/>
      <c r="CS715" s="45" t="s">
        <v>16</v>
      </c>
      <c r="CT715" s="46" t="str">
        <f>IF(VLOOKUP(CS715,βοηθητικό!$J$2:$N$354,3,FALSE)="","",VLOOKUP(CS715,βοηθητικό!$J$2:$N$354,3,FALSE))</f>
        <v>_</v>
      </c>
      <c r="CU715" s="47"/>
    </row>
    <row r="716" spans="1:99" x14ac:dyDescent="0.25">
      <c r="A716" s="37">
        <f>--SUBTOTAL(3,$B$3:B715)</f>
        <v>198</v>
      </c>
      <c r="B716" s="2"/>
      <c r="C716" s="3"/>
      <c r="D716" s="55" t="s">
        <v>18</v>
      </c>
      <c r="E716" s="38" t="s">
        <v>16</v>
      </c>
      <c r="F716" s="38"/>
      <c r="G716" s="39" t="str">
        <f t="shared" si="35"/>
        <v>__</v>
      </c>
      <c r="H716" s="40" t="str">
        <f t="shared" si="36"/>
        <v>FALSE</v>
      </c>
      <c r="I716" s="41">
        <f t="shared" si="37"/>
        <v>0</v>
      </c>
      <c r="J716" s="4" t="s">
        <v>16</v>
      </c>
      <c r="K716" s="43" t="str">
        <f>IF(VLOOKUP(J716,βοηθητικό!$J$2:$N$354,3,FALSE)="","",VLOOKUP(J716,βοηθητικό!$J$2:$N$354,3,FALSE))</f>
        <v>_</v>
      </c>
      <c r="L716" s="44"/>
      <c r="M716" s="5" t="s">
        <v>16</v>
      </c>
      <c r="N716" s="46" t="str">
        <f>IF(VLOOKUP(M716,βοηθητικό!$J$2:$N$354,3,FALSE)="","",VLOOKUP(M716,βοηθητικό!$J$2:$N$354,3,FALSE))</f>
        <v>_</v>
      </c>
      <c r="O716" s="47"/>
      <c r="P716" s="4" t="s">
        <v>16</v>
      </c>
      <c r="Q716" s="43" t="str">
        <f>IF(VLOOKUP(P716,βοηθητικό!$J$2:$N$354,3,FALSE)="","",VLOOKUP(P716,βοηθητικό!$J$2:$N$354,3,FALSE))</f>
        <v>_</v>
      </c>
      <c r="R716" s="44"/>
      <c r="S716" s="5" t="s">
        <v>16</v>
      </c>
      <c r="T716" s="46" t="str">
        <f>IF(VLOOKUP(S716,βοηθητικό!$J$2:$N$354,3,FALSE)="","",VLOOKUP(S716,βοηθητικό!$J$2:$N$354,3,FALSE))</f>
        <v>_</v>
      </c>
      <c r="U716" s="47"/>
      <c r="V716" s="4" t="s">
        <v>16</v>
      </c>
      <c r="W716" s="43" t="str">
        <f>IF(VLOOKUP(V716,βοηθητικό!$J$2:$N$354,3,FALSE)="","",VLOOKUP(V716,βοηθητικό!$J$2:$N$354,3,FALSE))</f>
        <v>_</v>
      </c>
      <c r="X716" s="44"/>
      <c r="Y716" s="5" t="s">
        <v>16</v>
      </c>
      <c r="Z716" s="46" t="str">
        <f>IF(VLOOKUP(Y716,βοηθητικό!$J$2:$N$354,3,FALSE)="","",VLOOKUP(Y716,βοηθητικό!$J$2:$N$354,3,FALSE))</f>
        <v>_</v>
      </c>
      <c r="AA716" s="47"/>
      <c r="AB716" s="4" t="s">
        <v>16</v>
      </c>
      <c r="AC716" s="43" t="str">
        <f>IF(VLOOKUP(AB716,βοηθητικό!$J$2:$N$354,3,FALSE)="","",VLOOKUP(AB716,βοηθητικό!$J$2:$N$354,3,FALSE))</f>
        <v>_</v>
      </c>
      <c r="AD716" s="44"/>
      <c r="AE716" s="5" t="s">
        <v>16</v>
      </c>
      <c r="AF716" s="46" t="str">
        <f>IF(VLOOKUP(AE716,βοηθητικό!$J$2:$N$354,3,FALSE)="","",VLOOKUP(AE716,βοηθητικό!$J$2:$N$354,3,FALSE))</f>
        <v>_</v>
      </c>
      <c r="AG716" s="47"/>
      <c r="AH716" s="4" t="s">
        <v>16</v>
      </c>
      <c r="AI716" s="43" t="str">
        <f>IF(VLOOKUP(AH716,βοηθητικό!$J$2:$N$354,3,FALSE)="","",VLOOKUP(AH716,βοηθητικό!$J$2:$N$354,3,FALSE))</f>
        <v>_</v>
      </c>
      <c r="AJ716" s="44"/>
      <c r="AK716" s="5" t="s">
        <v>16</v>
      </c>
      <c r="AL716" s="46" t="str">
        <f>IF(VLOOKUP(AK716,βοηθητικό!$J$2:$N$354,3,FALSE)="","",VLOOKUP(AK716,βοηθητικό!$J$2:$N$354,3,FALSE))</f>
        <v>_</v>
      </c>
      <c r="AM716" s="47"/>
      <c r="AN716" s="4" t="s">
        <v>16</v>
      </c>
      <c r="AO716" s="43" t="str">
        <f>IF(VLOOKUP(AN716,βοηθητικό!$J$2:$N$354,3,FALSE)="","",VLOOKUP(AN716,βοηθητικό!$J$2:$N$354,3,FALSE))</f>
        <v>_</v>
      </c>
      <c r="AP716" s="44"/>
      <c r="AQ716" s="5" t="s">
        <v>16</v>
      </c>
      <c r="AR716" s="46" t="str">
        <f>IF(VLOOKUP(AQ716,βοηθητικό!$J$2:$N$354,3,FALSE)="","",VLOOKUP(AQ716,βοηθητικό!$J$2:$N$354,3,FALSE))</f>
        <v>_</v>
      </c>
      <c r="AS716" s="47"/>
      <c r="AT716" s="4" t="s">
        <v>16</v>
      </c>
      <c r="AU716" s="43" t="str">
        <f>IF(VLOOKUP(AT716,βοηθητικό!$J$2:$N$354,3,FALSE)="","",VLOOKUP(AT716,βοηθητικό!$J$2:$N$354,3,FALSE))</f>
        <v>_</v>
      </c>
      <c r="AV716" s="44"/>
      <c r="AW716" s="5" t="s">
        <v>16</v>
      </c>
      <c r="AX716" s="46" t="str">
        <f>IF(VLOOKUP(AW716,βοηθητικό!$J$2:$N$354,3,FALSE)="","",VLOOKUP(AW716,βοηθητικό!$J$2:$N$354,3,FALSE))</f>
        <v>_</v>
      </c>
      <c r="AY716" s="47"/>
      <c r="AZ716" s="4" t="s">
        <v>16</v>
      </c>
      <c r="BA716" s="43" t="str">
        <f>IF(VLOOKUP(AZ716,βοηθητικό!$J$2:$N$354,3,FALSE)="","",VLOOKUP(AZ716,βοηθητικό!$J$2:$N$354,3,FALSE))</f>
        <v>_</v>
      </c>
      <c r="BB716" s="44"/>
      <c r="BC716" s="45" t="s">
        <v>16</v>
      </c>
      <c r="BD716" s="46" t="str">
        <f>IF(VLOOKUP(BC716,βοηθητικό!$J$2:$N$354,3,FALSE)="","",VLOOKUP(BC716,βοηθητικό!$J$2:$N$354,3,FALSE))</f>
        <v>_</v>
      </c>
      <c r="BE716" s="47"/>
      <c r="BF716" s="42" t="s">
        <v>16</v>
      </c>
      <c r="BG716" s="43" t="str">
        <f>IF(VLOOKUP(BF716,βοηθητικό!$J$2:$N$354,3,FALSE)="","",VLOOKUP(BF716,βοηθητικό!$J$2:$N$354,3,FALSE))</f>
        <v>_</v>
      </c>
      <c r="BH716" s="44"/>
      <c r="BI716" s="45" t="s">
        <v>16</v>
      </c>
      <c r="BJ716" s="46" t="str">
        <f>IF(VLOOKUP(BI716,βοηθητικό!$J$2:$N$354,3,FALSE)="","",VLOOKUP(BI716,βοηθητικό!$J$2:$N$354,3,FALSE))</f>
        <v>_</v>
      </c>
      <c r="BK716" s="47"/>
      <c r="BL716" s="42" t="s">
        <v>16</v>
      </c>
      <c r="BM716" s="43" t="str">
        <f>IF(VLOOKUP(BL716,βοηθητικό!$J$2:$N$354,3,FALSE)="","",VLOOKUP(BL716,βοηθητικό!$J$2:$N$354,3,FALSE))</f>
        <v>_</v>
      </c>
      <c r="BN716" s="44"/>
      <c r="BO716" s="45" t="s">
        <v>16</v>
      </c>
      <c r="BP716" s="46" t="str">
        <f>IF(VLOOKUP(BO716,βοηθητικό!$J$2:$N$354,3,FALSE)="","",VLOOKUP(BO716,βοηθητικό!$J$2:$N$354,3,FALSE))</f>
        <v>_</v>
      </c>
      <c r="BQ716" s="47"/>
      <c r="BR716" s="42" t="s">
        <v>16</v>
      </c>
      <c r="BS716" s="43" t="str">
        <f>IF(VLOOKUP(BR716,βοηθητικό!$J$2:$N$354,3,FALSE)="","",VLOOKUP(BR716,βοηθητικό!$J$2:$N$354,3,FALSE))</f>
        <v>_</v>
      </c>
      <c r="BT716" s="44"/>
      <c r="BU716" s="45" t="s">
        <v>16</v>
      </c>
      <c r="BV716" s="46" t="str">
        <f>IF(VLOOKUP(BU716,βοηθητικό!$J$2:$N$354,3,FALSE)="","",VLOOKUP(BU716,βοηθητικό!$J$2:$N$354,3,FALSE))</f>
        <v>_</v>
      </c>
      <c r="BW716" s="47"/>
      <c r="BX716" s="42" t="s">
        <v>16</v>
      </c>
      <c r="BY716" s="43" t="str">
        <f>IF(VLOOKUP(BX716,βοηθητικό!$J$2:$N$354,3,FALSE)="","",VLOOKUP(BX716,βοηθητικό!$J$2:$N$354,3,FALSE))</f>
        <v>_</v>
      </c>
      <c r="BZ716" s="44"/>
      <c r="CA716" s="45" t="s">
        <v>16</v>
      </c>
      <c r="CB716" s="46" t="str">
        <f>IF(VLOOKUP(CA716,βοηθητικό!$J$2:$N$354,3,FALSE)="","",VLOOKUP(CA716,βοηθητικό!$J$2:$N$354,3,FALSE))</f>
        <v>_</v>
      </c>
      <c r="CC716" s="47"/>
      <c r="CD716" s="42" t="s">
        <v>16</v>
      </c>
      <c r="CE716" s="43" t="str">
        <f>IF(VLOOKUP(CD716,βοηθητικό!$J$2:$N$354,3,FALSE)="","",VLOOKUP(CD716,βοηθητικό!$J$2:$N$354,3,FALSE))</f>
        <v>_</v>
      </c>
      <c r="CF716" s="44"/>
      <c r="CG716" s="45" t="s">
        <v>16</v>
      </c>
      <c r="CH716" s="46" t="str">
        <f>IF(VLOOKUP(CG716,βοηθητικό!$J$2:$N$354,3,FALSE)="","",VLOOKUP(CG716,βοηθητικό!$J$2:$N$354,3,FALSE))</f>
        <v>_</v>
      </c>
      <c r="CI716" s="47"/>
      <c r="CJ716" s="42" t="s">
        <v>16</v>
      </c>
      <c r="CK716" s="43" t="str">
        <f>IF(VLOOKUP(CJ716,βοηθητικό!$J$2:$N$354,3,FALSE)="","",VLOOKUP(CJ716,βοηθητικό!$J$2:$N$354,3,FALSE))</f>
        <v>_</v>
      </c>
      <c r="CL716" s="44"/>
      <c r="CM716" s="45" t="s">
        <v>16</v>
      </c>
      <c r="CN716" s="46" t="str">
        <f>IF(VLOOKUP(CM716,βοηθητικό!$J$2:$N$354,3,FALSE)="","",VLOOKUP(CM716,βοηθητικό!$J$2:$N$354,3,FALSE))</f>
        <v>_</v>
      </c>
      <c r="CO716" s="47"/>
      <c r="CP716" s="42" t="s">
        <v>16</v>
      </c>
      <c r="CQ716" s="43" t="str">
        <f>IF(VLOOKUP(CP716,βοηθητικό!$J$2:$N$354,3,FALSE)="","",VLOOKUP(CP716,βοηθητικό!$J$2:$N$354,3,FALSE))</f>
        <v>_</v>
      </c>
      <c r="CR716" s="44"/>
      <c r="CS716" s="45" t="s">
        <v>16</v>
      </c>
      <c r="CT716" s="46" t="str">
        <f>IF(VLOOKUP(CS716,βοηθητικό!$J$2:$N$354,3,FALSE)="","",VLOOKUP(CS716,βοηθητικό!$J$2:$N$354,3,FALSE))</f>
        <v>_</v>
      </c>
      <c r="CU716" s="47"/>
    </row>
    <row r="717" spans="1:99" x14ac:dyDescent="0.25">
      <c r="A717" s="37">
        <f>--SUBTOTAL(3,$B$3:B716)</f>
        <v>198</v>
      </c>
      <c r="B717" s="2"/>
      <c r="C717" s="3"/>
      <c r="D717" s="55" t="s">
        <v>18</v>
      </c>
      <c r="E717" s="38" t="s">
        <v>16</v>
      </c>
      <c r="F717" s="38"/>
      <c r="G717" s="39" t="str">
        <f t="shared" si="35"/>
        <v>__</v>
      </c>
      <c r="H717" s="40" t="str">
        <f t="shared" si="36"/>
        <v>FALSE</v>
      </c>
      <c r="I717" s="41">
        <f t="shared" si="37"/>
        <v>0</v>
      </c>
      <c r="J717" s="4" t="s">
        <v>16</v>
      </c>
      <c r="K717" s="43" t="str">
        <f>IF(VLOOKUP(J717,βοηθητικό!$J$2:$N$354,3,FALSE)="","",VLOOKUP(J717,βοηθητικό!$J$2:$N$354,3,FALSE))</f>
        <v>_</v>
      </c>
      <c r="L717" s="44"/>
      <c r="M717" s="5" t="s">
        <v>16</v>
      </c>
      <c r="N717" s="46" t="str">
        <f>IF(VLOOKUP(M717,βοηθητικό!$J$2:$N$354,3,FALSE)="","",VLOOKUP(M717,βοηθητικό!$J$2:$N$354,3,FALSE))</f>
        <v>_</v>
      </c>
      <c r="O717" s="47"/>
      <c r="P717" s="4" t="s">
        <v>16</v>
      </c>
      <c r="Q717" s="43" t="str">
        <f>IF(VLOOKUP(P717,βοηθητικό!$J$2:$N$354,3,FALSE)="","",VLOOKUP(P717,βοηθητικό!$J$2:$N$354,3,FALSE))</f>
        <v>_</v>
      </c>
      <c r="R717" s="44"/>
      <c r="S717" s="5" t="s">
        <v>16</v>
      </c>
      <c r="T717" s="46" t="str">
        <f>IF(VLOOKUP(S717,βοηθητικό!$J$2:$N$354,3,FALSE)="","",VLOOKUP(S717,βοηθητικό!$J$2:$N$354,3,FALSE))</f>
        <v>_</v>
      </c>
      <c r="U717" s="47"/>
      <c r="V717" s="4" t="s">
        <v>16</v>
      </c>
      <c r="W717" s="43" t="str">
        <f>IF(VLOOKUP(V717,βοηθητικό!$J$2:$N$354,3,FALSE)="","",VLOOKUP(V717,βοηθητικό!$J$2:$N$354,3,FALSE))</f>
        <v>_</v>
      </c>
      <c r="X717" s="44"/>
      <c r="Y717" s="5" t="s">
        <v>16</v>
      </c>
      <c r="Z717" s="46" t="str">
        <f>IF(VLOOKUP(Y717,βοηθητικό!$J$2:$N$354,3,FALSE)="","",VLOOKUP(Y717,βοηθητικό!$J$2:$N$354,3,FALSE))</f>
        <v>_</v>
      </c>
      <c r="AA717" s="47"/>
      <c r="AB717" s="4" t="s">
        <v>16</v>
      </c>
      <c r="AC717" s="43" t="str">
        <f>IF(VLOOKUP(AB717,βοηθητικό!$J$2:$N$354,3,FALSE)="","",VLOOKUP(AB717,βοηθητικό!$J$2:$N$354,3,FALSE))</f>
        <v>_</v>
      </c>
      <c r="AD717" s="44"/>
      <c r="AE717" s="5" t="s">
        <v>16</v>
      </c>
      <c r="AF717" s="46" t="str">
        <f>IF(VLOOKUP(AE717,βοηθητικό!$J$2:$N$354,3,FALSE)="","",VLOOKUP(AE717,βοηθητικό!$J$2:$N$354,3,FALSE))</f>
        <v>_</v>
      </c>
      <c r="AG717" s="47"/>
      <c r="AH717" s="4" t="s">
        <v>16</v>
      </c>
      <c r="AI717" s="43" t="str">
        <f>IF(VLOOKUP(AH717,βοηθητικό!$J$2:$N$354,3,FALSE)="","",VLOOKUP(AH717,βοηθητικό!$J$2:$N$354,3,FALSE))</f>
        <v>_</v>
      </c>
      <c r="AJ717" s="44"/>
      <c r="AK717" s="5" t="s">
        <v>16</v>
      </c>
      <c r="AL717" s="46" t="str">
        <f>IF(VLOOKUP(AK717,βοηθητικό!$J$2:$N$354,3,FALSE)="","",VLOOKUP(AK717,βοηθητικό!$J$2:$N$354,3,FALSE))</f>
        <v>_</v>
      </c>
      <c r="AM717" s="47"/>
      <c r="AN717" s="4" t="s">
        <v>16</v>
      </c>
      <c r="AO717" s="43" t="str">
        <f>IF(VLOOKUP(AN717,βοηθητικό!$J$2:$N$354,3,FALSE)="","",VLOOKUP(AN717,βοηθητικό!$J$2:$N$354,3,FALSE))</f>
        <v>_</v>
      </c>
      <c r="AP717" s="44"/>
      <c r="AQ717" s="5" t="s">
        <v>16</v>
      </c>
      <c r="AR717" s="46" t="str">
        <f>IF(VLOOKUP(AQ717,βοηθητικό!$J$2:$N$354,3,FALSE)="","",VLOOKUP(AQ717,βοηθητικό!$J$2:$N$354,3,FALSE))</f>
        <v>_</v>
      </c>
      <c r="AS717" s="47"/>
      <c r="AT717" s="4" t="s">
        <v>16</v>
      </c>
      <c r="AU717" s="43" t="str">
        <f>IF(VLOOKUP(AT717,βοηθητικό!$J$2:$N$354,3,FALSE)="","",VLOOKUP(AT717,βοηθητικό!$J$2:$N$354,3,FALSE))</f>
        <v>_</v>
      </c>
      <c r="AV717" s="44"/>
      <c r="AW717" s="5" t="s">
        <v>16</v>
      </c>
      <c r="AX717" s="46" t="str">
        <f>IF(VLOOKUP(AW717,βοηθητικό!$J$2:$N$354,3,FALSE)="","",VLOOKUP(AW717,βοηθητικό!$J$2:$N$354,3,FALSE))</f>
        <v>_</v>
      </c>
      <c r="AY717" s="47"/>
      <c r="AZ717" s="4" t="s">
        <v>16</v>
      </c>
      <c r="BA717" s="43" t="str">
        <f>IF(VLOOKUP(AZ717,βοηθητικό!$J$2:$N$354,3,FALSE)="","",VLOOKUP(AZ717,βοηθητικό!$J$2:$N$354,3,FALSE))</f>
        <v>_</v>
      </c>
      <c r="BB717" s="44"/>
      <c r="BC717" s="45" t="s">
        <v>16</v>
      </c>
      <c r="BD717" s="46" t="str">
        <f>IF(VLOOKUP(BC717,βοηθητικό!$J$2:$N$354,3,FALSE)="","",VLOOKUP(BC717,βοηθητικό!$J$2:$N$354,3,FALSE))</f>
        <v>_</v>
      </c>
      <c r="BE717" s="47"/>
      <c r="BF717" s="42" t="s">
        <v>16</v>
      </c>
      <c r="BG717" s="43" t="str">
        <f>IF(VLOOKUP(BF717,βοηθητικό!$J$2:$N$354,3,FALSE)="","",VLOOKUP(BF717,βοηθητικό!$J$2:$N$354,3,FALSE))</f>
        <v>_</v>
      </c>
      <c r="BH717" s="44"/>
      <c r="BI717" s="45" t="s">
        <v>16</v>
      </c>
      <c r="BJ717" s="46" t="str">
        <f>IF(VLOOKUP(BI717,βοηθητικό!$J$2:$N$354,3,FALSE)="","",VLOOKUP(BI717,βοηθητικό!$J$2:$N$354,3,FALSE))</f>
        <v>_</v>
      </c>
      <c r="BK717" s="47"/>
      <c r="BL717" s="42" t="s">
        <v>16</v>
      </c>
      <c r="BM717" s="43" t="str">
        <f>IF(VLOOKUP(BL717,βοηθητικό!$J$2:$N$354,3,FALSE)="","",VLOOKUP(BL717,βοηθητικό!$J$2:$N$354,3,FALSE))</f>
        <v>_</v>
      </c>
      <c r="BN717" s="44"/>
      <c r="BO717" s="45" t="s">
        <v>16</v>
      </c>
      <c r="BP717" s="46" t="str">
        <f>IF(VLOOKUP(BO717,βοηθητικό!$J$2:$N$354,3,FALSE)="","",VLOOKUP(BO717,βοηθητικό!$J$2:$N$354,3,FALSE))</f>
        <v>_</v>
      </c>
      <c r="BQ717" s="47"/>
      <c r="BR717" s="42" t="s">
        <v>16</v>
      </c>
      <c r="BS717" s="43" t="str">
        <f>IF(VLOOKUP(BR717,βοηθητικό!$J$2:$N$354,3,FALSE)="","",VLOOKUP(BR717,βοηθητικό!$J$2:$N$354,3,FALSE))</f>
        <v>_</v>
      </c>
      <c r="BT717" s="44"/>
      <c r="BU717" s="45" t="s">
        <v>16</v>
      </c>
      <c r="BV717" s="46" t="str">
        <f>IF(VLOOKUP(BU717,βοηθητικό!$J$2:$N$354,3,FALSE)="","",VLOOKUP(BU717,βοηθητικό!$J$2:$N$354,3,FALSE))</f>
        <v>_</v>
      </c>
      <c r="BW717" s="47"/>
      <c r="BX717" s="42" t="s">
        <v>16</v>
      </c>
      <c r="BY717" s="43" t="str">
        <f>IF(VLOOKUP(BX717,βοηθητικό!$J$2:$N$354,3,FALSE)="","",VLOOKUP(BX717,βοηθητικό!$J$2:$N$354,3,FALSE))</f>
        <v>_</v>
      </c>
      <c r="BZ717" s="44"/>
      <c r="CA717" s="45" t="s">
        <v>16</v>
      </c>
      <c r="CB717" s="46" t="str">
        <f>IF(VLOOKUP(CA717,βοηθητικό!$J$2:$N$354,3,FALSE)="","",VLOOKUP(CA717,βοηθητικό!$J$2:$N$354,3,FALSE))</f>
        <v>_</v>
      </c>
      <c r="CC717" s="47"/>
      <c r="CD717" s="42" t="s">
        <v>16</v>
      </c>
      <c r="CE717" s="43" t="str">
        <f>IF(VLOOKUP(CD717,βοηθητικό!$J$2:$N$354,3,FALSE)="","",VLOOKUP(CD717,βοηθητικό!$J$2:$N$354,3,FALSE))</f>
        <v>_</v>
      </c>
      <c r="CF717" s="44"/>
      <c r="CG717" s="45" t="s">
        <v>16</v>
      </c>
      <c r="CH717" s="46" t="str">
        <f>IF(VLOOKUP(CG717,βοηθητικό!$J$2:$N$354,3,FALSE)="","",VLOOKUP(CG717,βοηθητικό!$J$2:$N$354,3,FALSE))</f>
        <v>_</v>
      </c>
      <c r="CI717" s="47"/>
      <c r="CJ717" s="42" t="s">
        <v>16</v>
      </c>
      <c r="CK717" s="43" t="str">
        <f>IF(VLOOKUP(CJ717,βοηθητικό!$J$2:$N$354,3,FALSE)="","",VLOOKUP(CJ717,βοηθητικό!$J$2:$N$354,3,FALSE))</f>
        <v>_</v>
      </c>
      <c r="CL717" s="44"/>
      <c r="CM717" s="45" t="s">
        <v>16</v>
      </c>
      <c r="CN717" s="46" t="str">
        <f>IF(VLOOKUP(CM717,βοηθητικό!$J$2:$N$354,3,FALSE)="","",VLOOKUP(CM717,βοηθητικό!$J$2:$N$354,3,FALSE))</f>
        <v>_</v>
      </c>
      <c r="CO717" s="47"/>
      <c r="CP717" s="42" t="s">
        <v>16</v>
      </c>
      <c r="CQ717" s="43" t="str">
        <f>IF(VLOOKUP(CP717,βοηθητικό!$J$2:$N$354,3,FALSE)="","",VLOOKUP(CP717,βοηθητικό!$J$2:$N$354,3,FALSE))</f>
        <v>_</v>
      </c>
      <c r="CR717" s="44"/>
      <c r="CS717" s="45" t="s">
        <v>16</v>
      </c>
      <c r="CT717" s="46" t="str">
        <f>IF(VLOOKUP(CS717,βοηθητικό!$J$2:$N$354,3,FALSE)="","",VLOOKUP(CS717,βοηθητικό!$J$2:$N$354,3,FALSE))</f>
        <v>_</v>
      </c>
      <c r="CU717" s="47"/>
    </row>
    <row r="718" spans="1:99" x14ac:dyDescent="0.25">
      <c r="A718" s="37">
        <f>--SUBTOTAL(3,$B$3:B717)</f>
        <v>198</v>
      </c>
      <c r="B718" s="2"/>
      <c r="C718" s="3"/>
      <c r="D718" s="55" t="s">
        <v>18</v>
      </c>
      <c r="E718" s="38" t="s">
        <v>16</v>
      </c>
      <c r="F718" s="38"/>
      <c r="G718" s="39" t="str">
        <f t="shared" si="35"/>
        <v>__</v>
      </c>
      <c r="H718" s="40" t="str">
        <f t="shared" si="36"/>
        <v>FALSE</v>
      </c>
      <c r="I718" s="41">
        <f t="shared" si="37"/>
        <v>0</v>
      </c>
      <c r="J718" s="4" t="s">
        <v>16</v>
      </c>
      <c r="K718" s="43" t="str">
        <f>IF(VLOOKUP(J718,βοηθητικό!$J$2:$N$354,3,FALSE)="","",VLOOKUP(J718,βοηθητικό!$J$2:$N$354,3,FALSE))</f>
        <v>_</v>
      </c>
      <c r="L718" s="44"/>
      <c r="M718" s="5" t="s">
        <v>16</v>
      </c>
      <c r="N718" s="46" t="str">
        <f>IF(VLOOKUP(M718,βοηθητικό!$J$2:$N$354,3,FALSE)="","",VLOOKUP(M718,βοηθητικό!$J$2:$N$354,3,FALSE))</f>
        <v>_</v>
      </c>
      <c r="O718" s="47"/>
      <c r="P718" s="4" t="s">
        <v>16</v>
      </c>
      <c r="Q718" s="43" t="str">
        <f>IF(VLOOKUP(P718,βοηθητικό!$J$2:$N$354,3,FALSE)="","",VLOOKUP(P718,βοηθητικό!$J$2:$N$354,3,FALSE))</f>
        <v>_</v>
      </c>
      <c r="R718" s="44"/>
      <c r="S718" s="5" t="s">
        <v>16</v>
      </c>
      <c r="T718" s="46" t="str">
        <f>IF(VLOOKUP(S718,βοηθητικό!$J$2:$N$354,3,FALSE)="","",VLOOKUP(S718,βοηθητικό!$J$2:$N$354,3,FALSE))</f>
        <v>_</v>
      </c>
      <c r="U718" s="47"/>
      <c r="V718" s="4" t="s">
        <v>16</v>
      </c>
      <c r="W718" s="43" t="str">
        <f>IF(VLOOKUP(V718,βοηθητικό!$J$2:$N$354,3,FALSE)="","",VLOOKUP(V718,βοηθητικό!$J$2:$N$354,3,FALSE))</f>
        <v>_</v>
      </c>
      <c r="X718" s="44"/>
      <c r="Y718" s="5" t="s">
        <v>16</v>
      </c>
      <c r="Z718" s="46" t="str">
        <f>IF(VLOOKUP(Y718,βοηθητικό!$J$2:$N$354,3,FALSE)="","",VLOOKUP(Y718,βοηθητικό!$J$2:$N$354,3,FALSE))</f>
        <v>_</v>
      </c>
      <c r="AA718" s="47"/>
      <c r="AB718" s="4" t="s">
        <v>16</v>
      </c>
      <c r="AC718" s="43" t="str">
        <f>IF(VLOOKUP(AB718,βοηθητικό!$J$2:$N$354,3,FALSE)="","",VLOOKUP(AB718,βοηθητικό!$J$2:$N$354,3,FALSE))</f>
        <v>_</v>
      </c>
      <c r="AD718" s="44"/>
      <c r="AE718" s="5" t="s">
        <v>16</v>
      </c>
      <c r="AF718" s="46" t="str">
        <f>IF(VLOOKUP(AE718,βοηθητικό!$J$2:$N$354,3,FALSE)="","",VLOOKUP(AE718,βοηθητικό!$J$2:$N$354,3,FALSE))</f>
        <v>_</v>
      </c>
      <c r="AG718" s="47"/>
      <c r="AH718" s="4" t="s">
        <v>16</v>
      </c>
      <c r="AI718" s="43" t="str">
        <f>IF(VLOOKUP(AH718,βοηθητικό!$J$2:$N$354,3,FALSE)="","",VLOOKUP(AH718,βοηθητικό!$J$2:$N$354,3,FALSE))</f>
        <v>_</v>
      </c>
      <c r="AJ718" s="44"/>
      <c r="AK718" s="5" t="s">
        <v>16</v>
      </c>
      <c r="AL718" s="46" t="str">
        <f>IF(VLOOKUP(AK718,βοηθητικό!$J$2:$N$354,3,FALSE)="","",VLOOKUP(AK718,βοηθητικό!$J$2:$N$354,3,FALSE))</f>
        <v>_</v>
      </c>
      <c r="AM718" s="47"/>
      <c r="AN718" s="4" t="s">
        <v>16</v>
      </c>
      <c r="AO718" s="43" t="str">
        <f>IF(VLOOKUP(AN718,βοηθητικό!$J$2:$N$354,3,FALSE)="","",VLOOKUP(AN718,βοηθητικό!$J$2:$N$354,3,FALSE))</f>
        <v>_</v>
      </c>
      <c r="AP718" s="44"/>
      <c r="AQ718" s="5" t="s">
        <v>16</v>
      </c>
      <c r="AR718" s="46" t="str">
        <f>IF(VLOOKUP(AQ718,βοηθητικό!$J$2:$N$354,3,FALSE)="","",VLOOKUP(AQ718,βοηθητικό!$J$2:$N$354,3,FALSE))</f>
        <v>_</v>
      </c>
      <c r="AS718" s="47"/>
      <c r="AT718" s="4" t="s">
        <v>16</v>
      </c>
      <c r="AU718" s="43" t="str">
        <f>IF(VLOOKUP(AT718,βοηθητικό!$J$2:$N$354,3,FALSE)="","",VLOOKUP(AT718,βοηθητικό!$J$2:$N$354,3,FALSE))</f>
        <v>_</v>
      </c>
      <c r="AV718" s="44"/>
      <c r="AW718" s="5" t="s">
        <v>16</v>
      </c>
      <c r="AX718" s="46" t="str">
        <f>IF(VLOOKUP(AW718,βοηθητικό!$J$2:$N$354,3,FALSE)="","",VLOOKUP(AW718,βοηθητικό!$J$2:$N$354,3,FALSE))</f>
        <v>_</v>
      </c>
      <c r="AY718" s="47"/>
      <c r="AZ718" s="4" t="s">
        <v>16</v>
      </c>
      <c r="BA718" s="43" t="str">
        <f>IF(VLOOKUP(AZ718,βοηθητικό!$J$2:$N$354,3,FALSE)="","",VLOOKUP(AZ718,βοηθητικό!$J$2:$N$354,3,FALSE))</f>
        <v>_</v>
      </c>
      <c r="BB718" s="44"/>
      <c r="BC718" s="45" t="s">
        <v>16</v>
      </c>
      <c r="BD718" s="46" t="str">
        <f>IF(VLOOKUP(BC718,βοηθητικό!$J$2:$N$354,3,FALSE)="","",VLOOKUP(BC718,βοηθητικό!$J$2:$N$354,3,FALSE))</f>
        <v>_</v>
      </c>
      <c r="BE718" s="47"/>
      <c r="BF718" s="42" t="s">
        <v>16</v>
      </c>
      <c r="BG718" s="43" t="str">
        <f>IF(VLOOKUP(BF718,βοηθητικό!$J$2:$N$354,3,FALSE)="","",VLOOKUP(BF718,βοηθητικό!$J$2:$N$354,3,FALSE))</f>
        <v>_</v>
      </c>
      <c r="BH718" s="44"/>
      <c r="BI718" s="45" t="s">
        <v>16</v>
      </c>
      <c r="BJ718" s="46" t="str">
        <f>IF(VLOOKUP(BI718,βοηθητικό!$J$2:$N$354,3,FALSE)="","",VLOOKUP(BI718,βοηθητικό!$J$2:$N$354,3,FALSE))</f>
        <v>_</v>
      </c>
      <c r="BK718" s="47"/>
      <c r="BL718" s="42" t="s">
        <v>16</v>
      </c>
      <c r="BM718" s="43" t="str">
        <f>IF(VLOOKUP(BL718,βοηθητικό!$J$2:$N$354,3,FALSE)="","",VLOOKUP(BL718,βοηθητικό!$J$2:$N$354,3,FALSE))</f>
        <v>_</v>
      </c>
      <c r="BN718" s="44"/>
      <c r="BO718" s="45" t="s">
        <v>16</v>
      </c>
      <c r="BP718" s="46" t="str">
        <f>IF(VLOOKUP(BO718,βοηθητικό!$J$2:$N$354,3,FALSE)="","",VLOOKUP(BO718,βοηθητικό!$J$2:$N$354,3,FALSE))</f>
        <v>_</v>
      </c>
      <c r="BQ718" s="47"/>
      <c r="BR718" s="42" t="s">
        <v>16</v>
      </c>
      <c r="BS718" s="43" t="str">
        <f>IF(VLOOKUP(BR718,βοηθητικό!$J$2:$N$354,3,FALSE)="","",VLOOKUP(BR718,βοηθητικό!$J$2:$N$354,3,FALSE))</f>
        <v>_</v>
      </c>
      <c r="BT718" s="44"/>
      <c r="BU718" s="45" t="s">
        <v>16</v>
      </c>
      <c r="BV718" s="46" t="str">
        <f>IF(VLOOKUP(BU718,βοηθητικό!$J$2:$N$354,3,FALSE)="","",VLOOKUP(BU718,βοηθητικό!$J$2:$N$354,3,FALSE))</f>
        <v>_</v>
      </c>
      <c r="BW718" s="47"/>
      <c r="BX718" s="42" t="s">
        <v>16</v>
      </c>
      <c r="BY718" s="43" t="str">
        <f>IF(VLOOKUP(BX718,βοηθητικό!$J$2:$N$354,3,FALSE)="","",VLOOKUP(BX718,βοηθητικό!$J$2:$N$354,3,FALSE))</f>
        <v>_</v>
      </c>
      <c r="BZ718" s="44"/>
      <c r="CA718" s="45" t="s">
        <v>16</v>
      </c>
      <c r="CB718" s="46" t="str">
        <f>IF(VLOOKUP(CA718,βοηθητικό!$J$2:$N$354,3,FALSE)="","",VLOOKUP(CA718,βοηθητικό!$J$2:$N$354,3,FALSE))</f>
        <v>_</v>
      </c>
      <c r="CC718" s="47"/>
      <c r="CD718" s="42" t="s">
        <v>16</v>
      </c>
      <c r="CE718" s="43" t="str">
        <f>IF(VLOOKUP(CD718,βοηθητικό!$J$2:$N$354,3,FALSE)="","",VLOOKUP(CD718,βοηθητικό!$J$2:$N$354,3,FALSE))</f>
        <v>_</v>
      </c>
      <c r="CF718" s="44"/>
      <c r="CG718" s="45" t="s">
        <v>16</v>
      </c>
      <c r="CH718" s="46" t="str">
        <f>IF(VLOOKUP(CG718,βοηθητικό!$J$2:$N$354,3,FALSE)="","",VLOOKUP(CG718,βοηθητικό!$J$2:$N$354,3,FALSE))</f>
        <v>_</v>
      </c>
      <c r="CI718" s="47"/>
      <c r="CJ718" s="42" t="s">
        <v>16</v>
      </c>
      <c r="CK718" s="43" t="str">
        <f>IF(VLOOKUP(CJ718,βοηθητικό!$J$2:$N$354,3,FALSE)="","",VLOOKUP(CJ718,βοηθητικό!$J$2:$N$354,3,FALSE))</f>
        <v>_</v>
      </c>
      <c r="CL718" s="44"/>
      <c r="CM718" s="45" t="s">
        <v>16</v>
      </c>
      <c r="CN718" s="46" t="str">
        <f>IF(VLOOKUP(CM718,βοηθητικό!$J$2:$N$354,3,FALSE)="","",VLOOKUP(CM718,βοηθητικό!$J$2:$N$354,3,FALSE))</f>
        <v>_</v>
      </c>
      <c r="CO718" s="47"/>
      <c r="CP718" s="42" t="s">
        <v>16</v>
      </c>
      <c r="CQ718" s="43" t="str">
        <f>IF(VLOOKUP(CP718,βοηθητικό!$J$2:$N$354,3,FALSE)="","",VLOOKUP(CP718,βοηθητικό!$J$2:$N$354,3,FALSE))</f>
        <v>_</v>
      </c>
      <c r="CR718" s="44"/>
      <c r="CS718" s="45" t="s">
        <v>16</v>
      </c>
      <c r="CT718" s="46" t="str">
        <f>IF(VLOOKUP(CS718,βοηθητικό!$J$2:$N$354,3,FALSE)="","",VLOOKUP(CS718,βοηθητικό!$J$2:$N$354,3,FALSE))</f>
        <v>_</v>
      </c>
      <c r="CU718" s="47"/>
    </row>
    <row r="719" spans="1:99" x14ac:dyDescent="0.25">
      <c r="A719" s="37">
        <f>--SUBTOTAL(3,$B$3:B718)</f>
        <v>198</v>
      </c>
      <c r="B719" s="2"/>
      <c r="C719" s="3"/>
      <c r="D719" s="55" t="s">
        <v>18</v>
      </c>
      <c r="E719" s="38" t="s">
        <v>16</v>
      </c>
      <c r="F719" s="38"/>
      <c r="G719" s="39" t="str">
        <f t="shared" si="35"/>
        <v>__</v>
      </c>
      <c r="H719" s="40" t="str">
        <f t="shared" si="36"/>
        <v>FALSE</v>
      </c>
      <c r="I719" s="41">
        <f t="shared" si="37"/>
        <v>0</v>
      </c>
      <c r="J719" s="4" t="s">
        <v>16</v>
      </c>
      <c r="K719" s="43" t="str">
        <f>IF(VLOOKUP(J719,βοηθητικό!$J$2:$N$354,3,FALSE)="","",VLOOKUP(J719,βοηθητικό!$J$2:$N$354,3,FALSE))</f>
        <v>_</v>
      </c>
      <c r="L719" s="44"/>
      <c r="M719" s="5" t="s">
        <v>16</v>
      </c>
      <c r="N719" s="46" t="str">
        <f>IF(VLOOKUP(M719,βοηθητικό!$J$2:$N$354,3,FALSE)="","",VLOOKUP(M719,βοηθητικό!$J$2:$N$354,3,FALSE))</f>
        <v>_</v>
      </c>
      <c r="O719" s="47"/>
      <c r="P719" s="4" t="s">
        <v>16</v>
      </c>
      <c r="Q719" s="43" t="str">
        <f>IF(VLOOKUP(P719,βοηθητικό!$J$2:$N$354,3,FALSE)="","",VLOOKUP(P719,βοηθητικό!$J$2:$N$354,3,FALSE))</f>
        <v>_</v>
      </c>
      <c r="R719" s="44"/>
      <c r="S719" s="5" t="s">
        <v>16</v>
      </c>
      <c r="T719" s="46" t="str">
        <f>IF(VLOOKUP(S719,βοηθητικό!$J$2:$N$354,3,FALSE)="","",VLOOKUP(S719,βοηθητικό!$J$2:$N$354,3,FALSE))</f>
        <v>_</v>
      </c>
      <c r="U719" s="47"/>
      <c r="V719" s="4" t="s">
        <v>16</v>
      </c>
      <c r="W719" s="43" t="str">
        <f>IF(VLOOKUP(V719,βοηθητικό!$J$2:$N$354,3,FALSE)="","",VLOOKUP(V719,βοηθητικό!$J$2:$N$354,3,FALSE))</f>
        <v>_</v>
      </c>
      <c r="X719" s="44"/>
      <c r="Y719" s="5" t="s">
        <v>16</v>
      </c>
      <c r="Z719" s="46" t="str">
        <f>IF(VLOOKUP(Y719,βοηθητικό!$J$2:$N$354,3,FALSE)="","",VLOOKUP(Y719,βοηθητικό!$J$2:$N$354,3,FALSE))</f>
        <v>_</v>
      </c>
      <c r="AA719" s="47"/>
      <c r="AB719" s="4" t="s">
        <v>16</v>
      </c>
      <c r="AC719" s="43" t="str">
        <f>IF(VLOOKUP(AB719,βοηθητικό!$J$2:$N$354,3,FALSE)="","",VLOOKUP(AB719,βοηθητικό!$J$2:$N$354,3,FALSE))</f>
        <v>_</v>
      </c>
      <c r="AD719" s="44"/>
      <c r="AE719" s="5" t="s">
        <v>16</v>
      </c>
      <c r="AF719" s="46" t="str">
        <f>IF(VLOOKUP(AE719,βοηθητικό!$J$2:$N$354,3,FALSE)="","",VLOOKUP(AE719,βοηθητικό!$J$2:$N$354,3,FALSE))</f>
        <v>_</v>
      </c>
      <c r="AG719" s="47"/>
      <c r="AH719" s="4" t="s">
        <v>16</v>
      </c>
      <c r="AI719" s="43" t="str">
        <f>IF(VLOOKUP(AH719,βοηθητικό!$J$2:$N$354,3,FALSE)="","",VLOOKUP(AH719,βοηθητικό!$J$2:$N$354,3,FALSE))</f>
        <v>_</v>
      </c>
      <c r="AJ719" s="44"/>
      <c r="AK719" s="5" t="s">
        <v>16</v>
      </c>
      <c r="AL719" s="46" t="str">
        <f>IF(VLOOKUP(AK719,βοηθητικό!$J$2:$N$354,3,FALSE)="","",VLOOKUP(AK719,βοηθητικό!$J$2:$N$354,3,FALSE))</f>
        <v>_</v>
      </c>
      <c r="AM719" s="47"/>
      <c r="AN719" s="4" t="s">
        <v>16</v>
      </c>
      <c r="AO719" s="43" t="str">
        <f>IF(VLOOKUP(AN719,βοηθητικό!$J$2:$N$354,3,FALSE)="","",VLOOKUP(AN719,βοηθητικό!$J$2:$N$354,3,FALSE))</f>
        <v>_</v>
      </c>
      <c r="AP719" s="44"/>
      <c r="AQ719" s="5" t="s">
        <v>16</v>
      </c>
      <c r="AR719" s="46" t="str">
        <f>IF(VLOOKUP(AQ719,βοηθητικό!$J$2:$N$354,3,FALSE)="","",VLOOKUP(AQ719,βοηθητικό!$J$2:$N$354,3,FALSE))</f>
        <v>_</v>
      </c>
      <c r="AS719" s="47"/>
      <c r="AT719" s="4" t="s">
        <v>16</v>
      </c>
      <c r="AU719" s="43" t="str">
        <f>IF(VLOOKUP(AT719,βοηθητικό!$J$2:$N$354,3,FALSE)="","",VLOOKUP(AT719,βοηθητικό!$J$2:$N$354,3,FALSE))</f>
        <v>_</v>
      </c>
      <c r="AV719" s="44"/>
      <c r="AW719" s="5" t="s">
        <v>16</v>
      </c>
      <c r="AX719" s="46" t="str">
        <f>IF(VLOOKUP(AW719,βοηθητικό!$J$2:$N$354,3,FALSE)="","",VLOOKUP(AW719,βοηθητικό!$J$2:$N$354,3,FALSE))</f>
        <v>_</v>
      </c>
      <c r="AY719" s="47"/>
      <c r="AZ719" s="4" t="s">
        <v>16</v>
      </c>
      <c r="BA719" s="43" t="str">
        <f>IF(VLOOKUP(AZ719,βοηθητικό!$J$2:$N$354,3,FALSE)="","",VLOOKUP(AZ719,βοηθητικό!$J$2:$N$354,3,FALSE))</f>
        <v>_</v>
      </c>
      <c r="BB719" s="44"/>
      <c r="BC719" s="45" t="s">
        <v>16</v>
      </c>
      <c r="BD719" s="46" t="str">
        <f>IF(VLOOKUP(BC719,βοηθητικό!$J$2:$N$354,3,FALSE)="","",VLOOKUP(BC719,βοηθητικό!$J$2:$N$354,3,FALSE))</f>
        <v>_</v>
      </c>
      <c r="BE719" s="47"/>
      <c r="BF719" s="42" t="s">
        <v>16</v>
      </c>
      <c r="BG719" s="43" t="str">
        <f>IF(VLOOKUP(BF719,βοηθητικό!$J$2:$N$354,3,FALSE)="","",VLOOKUP(BF719,βοηθητικό!$J$2:$N$354,3,FALSE))</f>
        <v>_</v>
      </c>
      <c r="BH719" s="44"/>
      <c r="BI719" s="45" t="s">
        <v>16</v>
      </c>
      <c r="BJ719" s="46" t="str">
        <f>IF(VLOOKUP(BI719,βοηθητικό!$J$2:$N$354,3,FALSE)="","",VLOOKUP(BI719,βοηθητικό!$J$2:$N$354,3,FALSE))</f>
        <v>_</v>
      </c>
      <c r="BK719" s="47"/>
      <c r="BL719" s="42" t="s">
        <v>16</v>
      </c>
      <c r="BM719" s="43" t="str">
        <f>IF(VLOOKUP(BL719,βοηθητικό!$J$2:$N$354,3,FALSE)="","",VLOOKUP(BL719,βοηθητικό!$J$2:$N$354,3,FALSE))</f>
        <v>_</v>
      </c>
      <c r="BN719" s="44"/>
      <c r="BO719" s="45" t="s">
        <v>16</v>
      </c>
      <c r="BP719" s="46" t="str">
        <f>IF(VLOOKUP(BO719,βοηθητικό!$J$2:$N$354,3,FALSE)="","",VLOOKUP(BO719,βοηθητικό!$J$2:$N$354,3,FALSE))</f>
        <v>_</v>
      </c>
      <c r="BQ719" s="47"/>
      <c r="BR719" s="42" t="s">
        <v>16</v>
      </c>
      <c r="BS719" s="43" t="str">
        <f>IF(VLOOKUP(BR719,βοηθητικό!$J$2:$N$354,3,FALSE)="","",VLOOKUP(BR719,βοηθητικό!$J$2:$N$354,3,FALSE))</f>
        <v>_</v>
      </c>
      <c r="BT719" s="44"/>
      <c r="BU719" s="45" t="s">
        <v>16</v>
      </c>
      <c r="BV719" s="46" t="str">
        <f>IF(VLOOKUP(BU719,βοηθητικό!$J$2:$N$354,3,FALSE)="","",VLOOKUP(BU719,βοηθητικό!$J$2:$N$354,3,FALSE))</f>
        <v>_</v>
      </c>
      <c r="BW719" s="47"/>
      <c r="BX719" s="42" t="s">
        <v>16</v>
      </c>
      <c r="BY719" s="43" t="str">
        <f>IF(VLOOKUP(BX719,βοηθητικό!$J$2:$N$354,3,FALSE)="","",VLOOKUP(BX719,βοηθητικό!$J$2:$N$354,3,FALSE))</f>
        <v>_</v>
      </c>
      <c r="BZ719" s="44"/>
      <c r="CA719" s="45" t="s">
        <v>16</v>
      </c>
      <c r="CB719" s="46" t="str">
        <f>IF(VLOOKUP(CA719,βοηθητικό!$J$2:$N$354,3,FALSE)="","",VLOOKUP(CA719,βοηθητικό!$J$2:$N$354,3,FALSE))</f>
        <v>_</v>
      </c>
      <c r="CC719" s="47"/>
      <c r="CD719" s="42" t="s">
        <v>16</v>
      </c>
      <c r="CE719" s="43" t="str">
        <f>IF(VLOOKUP(CD719,βοηθητικό!$J$2:$N$354,3,FALSE)="","",VLOOKUP(CD719,βοηθητικό!$J$2:$N$354,3,FALSE))</f>
        <v>_</v>
      </c>
      <c r="CF719" s="44"/>
      <c r="CG719" s="45" t="s">
        <v>16</v>
      </c>
      <c r="CH719" s="46" t="str">
        <f>IF(VLOOKUP(CG719,βοηθητικό!$J$2:$N$354,3,FALSE)="","",VLOOKUP(CG719,βοηθητικό!$J$2:$N$354,3,FALSE))</f>
        <v>_</v>
      </c>
      <c r="CI719" s="47"/>
      <c r="CJ719" s="42" t="s">
        <v>16</v>
      </c>
      <c r="CK719" s="43" t="str">
        <f>IF(VLOOKUP(CJ719,βοηθητικό!$J$2:$N$354,3,FALSE)="","",VLOOKUP(CJ719,βοηθητικό!$J$2:$N$354,3,FALSE))</f>
        <v>_</v>
      </c>
      <c r="CL719" s="44"/>
      <c r="CM719" s="45" t="s">
        <v>16</v>
      </c>
      <c r="CN719" s="46" t="str">
        <f>IF(VLOOKUP(CM719,βοηθητικό!$J$2:$N$354,3,FALSE)="","",VLOOKUP(CM719,βοηθητικό!$J$2:$N$354,3,FALSE))</f>
        <v>_</v>
      </c>
      <c r="CO719" s="47"/>
      <c r="CP719" s="42" t="s">
        <v>16</v>
      </c>
      <c r="CQ719" s="43" t="str">
        <f>IF(VLOOKUP(CP719,βοηθητικό!$J$2:$N$354,3,FALSE)="","",VLOOKUP(CP719,βοηθητικό!$J$2:$N$354,3,FALSE))</f>
        <v>_</v>
      </c>
      <c r="CR719" s="44"/>
      <c r="CS719" s="45" t="s">
        <v>16</v>
      </c>
      <c r="CT719" s="46" t="str">
        <f>IF(VLOOKUP(CS719,βοηθητικό!$J$2:$N$354,3,FALSE)="","",VLOOKUP(CS719,βοηθητικό!$J$2:$N$354,3,FALSE))</f>
        <v>_</v>
      </c>
      <c r="CU719" s="47"/>
    </row>
    <row r="720" spans="1:99" x14ac:dyDescent="0.25">
      <c r="A720" s="37">
        <f>--SUBTOTAL(3,$B$3:B719)</f>
        <v>198</v>
      </c>
      <c r="B720" s="2"/>
      <c r="C720" s="3"/>
      <c r="D720" s="55" t="s">
        <v>18</v>
      </c>
      <c r="E720" s="38" t="s">
        <v>16</v>
      </c>
      <c r="F720" s="38"/>
      <c r="G720" s="39" t="str">
        <f t="shared" si="35"/>
        <v>__</v>
      </c>
      <c r="H720" s="40" t="str">
        <f t="shared" si="36"/>
        <v>FALSE</v>
      </c>
      <c r="I720" s="41">
        <f t="shared" si="37"/>
        <v>0</v>
      </c>
      <c r="J720" s="4" t="s">
        <v>16</v>
      </c>
      <c r="K720" s="43" t="str">
        <f>IF(VLOOKUP(J720,βοηθητικό!$J$2:$N$354,3,FALSE)="","",VLOOKUP(J720,βοηθητικό!$J$2:$N$354,3,FALSE))</f>
        <v>_</v>
      </c>
      <c r="L720" s="44"/>
      <c r="M720" s="5" t="s">
        <v>16</v>
      </c>
      <c r="N720" s="46" t="str">
        <f>IF(VLOOKUP(M720,βοηθητικό!$J$2:$N$354,3,FALSE)="","",VLOOKUP(M720,βοηθητικό!$J$2:$N$354,3,FALSE))</f>
        <v>_</v>
      </c>
      <c r="O720" s="47"/>
      <c r="P720" s="4" t="s">
        <v>16</v>
      </c>
      <c r="Q720" s="43" t="str">
        <f>IF(VLOOKUP(P720,βοηθητικό!$J$2:$N$354,3,FALSE)="","",VLOOKUP(P720,βοηθητικό!$J$2:$N$354,3,FALSE))</f>
        <v>_</v>
      </c>
      <c r="R720" s="44"/>
      <c r="S720" s="5" t="s">
        <v>16</v>
      </c>
      <c r="T720" s="46" t="str">
        <f>IF(VLOOKUP(S720,βοηθητικό!$J$2:$N$354,3,FALSE)="","",VLOOKUP(S720,βοηθητικό!$J$2:$N$354,3,FALSE))</f>
        <v>_</v>
      </c>
      <c r="U720" s="47"/>
      <c r="V720" s="4" t="s">
        <v>16</v>
      </c>
      <c r="W720" s="43" t="str">
        <f>IF(VLOOKUP(V720,βοηθητικό!$J$2:$N$354,3,FALSE)="","",VLOOKUP(V720,βοηθητικό!$J$2:$N$354,3,FALSE))</f>
        <v>_</v>
      </c>
      <c r="X720" s="44"/>
      <c r="Y720" s="5" t="s">
        <v>16</v>
      </c>
      <c r="Z720" s="46" t="str">
        <f>IF(VLOOKUP(Y720,βοηθητικό!$J$2:$N$354,3,FALSE)="","",VLOOKUP(Y720,βοηθητικό!$J$2:$N$354,3,FALSE))</f>
        <v>_</v>
      </c>
      <c r="AA720" s="47"/>
      <c r="AB720" s="4" t="s">
        <v>16</v>
      </c>
      <c r="AC720" s="43" t="str">
        <f>IF(VLOOKUP(AB720,βοηθητικό!$J$2:$N$354,3,FALSE)="","",VLOOKUP(AB720,βοηθητικό!$J$2:$N$354,3,FALSE))</f>
        <v>_</v>
      </c>
      <c r="AD720" s="44"/>
      <c r="AE720" s="5" t="s">
        <v>16</v>
      </c>
      <c r="AF720" s="46" t="str">
        <f>IF(VLOOKUP(AE720,βοηθητικό!$J$2:$N$354,3,FALSE)="","",VLOOKUP(AE720,βοηθητικό!$J$2:$N$354,3,FALSE))</f>
        <v>_</v>
      </c>
      <c r="AG720" s="47"/>
      <c r="AH720" s="4" t="s">
        <v>16</v>
      </c>
      <c r="AI720" s="43" t="str">
        <f>IF(VLOOKUP(AH720,βοηθητικό!$J$2:$N$354,3,FALSE)="","",VLOOKUP(AH720,βοηθητικό!$J$2:$N$354,3,FALSE))</f>
        <v>_</v>
      </c>
      <c r="AJ720" s="44"/>
      <c r="AK720" s="5" t="s">
        <v>16</v>
      </c>
      <c r="AL720" s="46" t="str">
        <f>IF(VLOOKUP(AK720,βοηθητικό!$J$2:$N$354,3,FALSE)="","",VLOOKUP(AK720,βοηθητικό!$J$2:$N$354,3,FALSE))</f>
        <v>_</v>
      </c>
      <c r="AM720" s="47"/>
      <c r="AN720" s="4" t="s">
        <v>16</v>
      </c>
      <c r="AO720" s="43" t="str">
        <f>IF(VLOOKUP(AN720,βοηθητικό!$J$2:$N$354,3,FALSE)="","",VLOOKUP(AN720,βοηθητικό!$J$2:$N$354,3,FALSE))</f>
        <v>_</v>
      </c>
      <c r="AP720" s="44"/>
      <c r="AQ720" s="5" t="s">
        <v>16</v>
      </c>
      <c r="AR720" s="46" t="str">
        <f>IF(VLOOKUP(AQ720,βοηθητικό!$J$2:$N$354,3,FALSE)="","",VLOOKUP(AQ720,βοηθητικό!$J$2:$N$354,3,FALSE))</f>
        <v>_</v>
      </c>
      <c r="AS720" s="47"/>
      <c r="AT720" s="4" t="s">
        <v>16</v>
      </c>
      <c r="AU720" s="43" t="str">
        <f>IF(VLOOKUP(AT720,βοηθητικό!$J$2:$N$354,3,FALSE)="","",VLOOKUP(AT720,βοηθητικό!$J$2:$N$354,3,FALSE))</f>
        <v>_</v>
      </c>
      <c r="AV720" s="44"/>
      <c r="AW720" s="5" t="s">
        <v>16</v>
      </c>
      <c r="AX720" s="46" t="str">
        <f>IF(VLOOKUP(AW720,βοηθητικό!$J$2:$N$354,3,FALSE)="","",VLOOKUP(AW720,βοηθητικό!$J$2:$N$354,3,FALSE))</f>
        <v>_</v>
      </c>
      <c r="AY720" s="47"/>
      <c r="AZ720" s="4" t="s">
        <v>16</v>
      </c>
      <c r="BA720" s="43" t="str">
        <f>IF(VLOOKUP(AZ720,βοηθητικό!$J$2:$N$354,3,FALSE)="","",VLOOKUP(AZ720,βοηθητικό!$J$2:$N$354,3,FALSE))</f>
        <v>_</v>
      </c>
      <c r="BB720" s="44"/>
      <c r="BC720" s="45" t="s">
        <v>16</v>
      </c>
      <c r="BD720" s="46" t="str">
        <f>IF(VLOOKUP(BC720,βοηθητικό!$J$2:$N$354,3,FALSE)="","",VLOOKUP(BC720,βοηθητικό!$J$2:$N$354,3,FALSE))</f>
        <v>_</v>
      </c>
      <c r="BE720" s="47"/>
      <c r="BF720" s="42" t="s">
        <v>16</v>
      </c>
      <c r="BG720" s="43" t="str">
        <f>IF(VLOOKUP(BF720,βοηθητικό!$J$2:$N$354,3,FALSE)="","",VLOOKUP(BF720,βοηθητικό!$J$2:$N$354,3,FALSE))</f>
        <v>_</v>
      </c>
      <c r="BH720" s="44"/>
      <c r="BI720" s="45" t="s">
        <v>16</v>
      </c>
      <c r="BJ720" s="46" t="str">
        <f>IF(VLOOKUP(BI720,βοηθητικό!$J$2:$N$354,3,FALSE)="","",VLOOKUP(BI720,βοηθητικό!$J$2:$N$354,3,FALSE))</f>
        <v>_</v>
      </c>
      <c r="BK720" s="47"/>
      <c r="BL720" s="42" t="s">
        <v>16</v>
      </c>
      <c r="BM720" s="43" t="str">
        <f>IF(VLOOKUP(BL720,βοηθητικό!$J$2:$N$354,3,FALSE)="","",VLOOKUP(BL720,βοηθητικό!$J$2:$N$354,3,FALSE))</f>
        <v>_</v>
      </c>
      <c r="BN720" s="44"/>
      <c r="BO720" s="45" t="s">
        <v>16</v>
      </c>
      <c r="BP720" s="46" t="str">
        <f>IF(VLOOKUP(BO720,βοηθητικό!$J$2:$N$354,3,FALSE)="","",VLOOKUP(BO720,βοηθητικό!$J$2:$N$354,3,FALSE))</f>
        <v>_</v>
      </c>
      <c r="BQ720" s="47"/>
      <c r="BR720" s="42" t="s">
        <v>16</v>
      </c>
      <c r="BS720" s="43" t="str">
        <f>IF(VLOOKUP(BR720,βοηθητικό!$J$2:$N$354,3,FALSE)="","",VLOOKUP(BR720,βοηθητικό!$J$2:$N$354,3,FALSE))</f>
        <v>_</v>
      </c>
      <c r="BT720" s="44"/>
      <c r="BU720" s="45" t="s">
        <v>16</v>
      </c>
      <c r="BV720" s="46" t="str">
        <f>IF(VLOOKUP(BU720,βοηθητικό!$J$2:$N$354,3,FALSE)="","",VLOOKUP(BU720,βοηθητικό!$J$2:$N$354,3,FALSE))</f>
        <v>_</v>
      </c>
      <c r="BW720" s="47"/>
      <c r="BX720" s="42" t="s">
        <v>16</v>
      </c>
      <c r="BY720" s="43" t="str">
        <f>IF(VLOOKUP(BX720,βοηθητικό!$J$2:$N$354,3,FALSE)="","",VLOOKUP(BX720,βοηθητικό!$J$2:$N$354,3,FALSE))</f>
        <v>_</v>
      </c>
      <c r="BZ720" s="44"/>
      <c r="CA720" s="45" t="s">
        <v>16</v>
      </c>
      <c r="CB720" s="46" t="str">
        <f>IF(VLOOKUP(CA720,βοηθητικό!$J$2:$N$354,3,FALSE)="","",VLOOKUP(CA720,βοηθητικό!$J$2:$N$354,3,FALSE))</f>
        <v>_</v>
      </c>
      <c r="CC720" s="47"/>
      <c r="CD720" s="42" t="s">
        <v>16</v>
      </c>
      <c r="CE720" s="43" t="str">
        <f>IF(VLOOKUP(CD720,βοηθητικό!$J$2:$N$354,3,FALSE)="","",VLOOKUP(CD720,βοηθητικό!$J$2:$N$354,3,FALSE))</f>
        <v>_</v>
      </c>
      <c r="CF720" s="44"/>
      <c r="CG720" s="45" t="s">
        <v>16</v>
      </c>
      <c r="CH720" s="46" t="str">
        <f>IF(VLOOKUP(CG720,βοηθητικό!$J$2:$N$354,3,FALSE)="","",VLOOKUP(CG720,βοηθητικό!$J$2:$N$354,3,FALSE))</f>
        <v>_</v>
      </c>
      <c r="CI720" s="47"/>
      <c r="CJ720" s="42" t="s">
        <v>16</v>
      </c>
      <c r="CK720" s="43" t="str">
        <f>IF(VLOOKUP(CJ720,βοηθητικό!$J$2:$N$354,3,FALSE)="","",VLOOKUP(CJ720,βοηθητικό!$J$2:$N$354,3,FALSE))</f>
        <v>_</v>
      </c>
      <c r="CL720" s="44"/>
      <c r="CM720" s="45" t="s">
        <v>16</v>
      </c>
      <c r="CN720" s="46" t="str">
        <f>IF(VLOOKUP(CM720,βοηθητικό!$J$2:$N$354,3,FALSE)="","",VLOOKUP(CM720,βοηθητικό!$J$2:$N$354,3,FALSE))</f>
        <v>_</v>
      </c>
      <c r="CO720" s="47"/>
      <c r="CP720" s="42" t="s">
        <v>16</v>
      </c>
      <c r="CQ720" s="43" t="str">
        <f>IF(VLOOKUP(CP720,βοηθητικό!$J$2:$N$354,3,FALSE)="","",VLOOKUP(CP720,βοηθητικό!$J$2:$N$354,3,FALSE))</f>
        <v>_</v>
      </c>
      <c r="CR720" s="44"/>
      <c r="CS720" s="45" t="s">
        <v>16</v>
      </c>
      <c r="CT720" s="46" t="str">
        <f>IF(VLOOKUP(CS720,βοηθητικό!$J$2:$N$354,3,FALSE)="","",VLOOKUP(CS720,βοηθητικό!$J$2:$N$354,3,FALSE))</f>
        <v>_</v>
      </c>
      <c r="CU720" s="47"/>
    </row>
    <row r="721" spans="1:99" x14ac:dyDescent="0.25">
      <c r="A721" s="37">
        <f>--SUBTOTAL(3,$B$3:B720)</f>
        <v>198</v>
      </c>
      <c r="B721" s="2"/>
      <c r="C721" s="3"/>
      <c r="D721" s="55" t="s">
        <v>18</v>
      </c>
      <c r="E721" s="38" t="s">
        <v>16</v>
      </c>
      <c r="F721" s="38"/>
      <c r="G721" s="39" t="str">
        <f t="shared" si="35"/>
        <v>__</v>
      </c>
      <c r="H721" s="40" t="str">
        <f t="shared" si="36"/>
        <v>FALSE</v>
      </c>
      <c r="I721" s="41">
        <f t="shared" si="37"/>
        <v>0</v>
      </c>
      <c r="J721" s="4" t="s">
        <v>16</v>
      </c>
      <c r="K721" s="43" t="str">
        <f>IF(VLOOKUP(J721,βοηθητικό!$J$2:$N$354,3,FALSE)="","",VLOOKUP(J721,βοηθητικό!$J$2:$N$354,3,FALSE))</f>
        <v>_</v>
      </c>
      <c r="L721" s="44"/>
      <c r="M721" s="5" t="s">
        <v>16</v>
      </c>
      <c r="N721" s="46" t="str">
        <f>IF(VLOOKUP(M721,βοηθητικό!$J$2:$N$354,3,FALSE)="","",VLOOKUP(M721,βοηθητικό!$J$2:$N$354,3,FALSE))</f>
        <v>_</v>
      </c>
      <c r="O721" s="47"/>
      <c r="P721" s="4" t="s">
        <v>16</v>
      </c>
      <c r="Q721" s="43" t="str">
        <f>IF(VLOOKUP(P721,βοηθητικό!$J$2:$N$354,3,FALSE)="","",VLOOKUP(P721,βοηθητικό!$J$2:$N$354,3,FALSE))</f>
        <v>_</v>
      </c>
      <c r="R721" s="44"/>
      <c r="S721" s="5" t="s">
        <v>16</v>
      </c>
      <c r="T721" s="46" t="str">
        <f>IF(VLOOKUP(S721,βοηθητικό!$J$2:$N$354,3,FALSE)="","",VLOOKUP(S721,βοηθητικό!$J$2:$N$354,3,FALSE))</f>
        <v>_</v>
      </c>
      <c r="U721" s="47"/>
      <c r="V721" s="4" t="s">
        <v>16</v>
      </c>
      <c r="W721" s="43" t="str">
        <f>IF(VLOOKUP(V721,βοηθητικό!$J$2:$N$354,3,FALSE)="","",VLOOKUP(V721,βοηθητικό!$J$2:$N$354,3,FALSE))</f>
        <v>_</v>
      </c>
      <c r="X721" s="44"/>
      <c r="Y721" s="5" t="s">
        <v>16</v>
      </c>
      <c r="Z721" s="46" t="str">
        <f>IF(VLOOKUP(Y721,βοηθητικό!$J$2:$N$354,3,FALSE)="","",VLOOKUP(Y721,βοηθητικό!$J$2:$N$354,3,FALSE))</f>
        <v>_</v>
      </c>
      <c r="AA721" s="47"/>
      <c r="AB721" s="4" t="s">
        <v>16</v>
      </c>
      <c r="AC721" s="43" t="str">
        <f>IF(VLOOKUP(AB721,βοηθητικό!$J$2:$N$354,3,FALSE)="","",VLOOKUP(AB721,βοηθητικό!$J$2:$N$354,3,FALSE))</f>
        <v>_</v>
      </c>
      <c r="AD721" s="44"/>
      <c r="AE721" s="5" t="s">
        <v>16</v>
      </c>
      <c r="AF721" s="46" t="str">
        <f>IF(VLOOKUP(AE721,βοηθητικό!$J$2:$N$354,3,FALSE)="","",VLOOKUP(AE721,βοηθητικό!$J$2:$N$354,3,FALSE))</f>
        <v>_</v>
      </c>
      <c r="AG721" s="47"/>
      <c r="AH721" s="4" t="s">
        <v>16</v>
      </c>
      <c r="AI721" s="43" t="str">
        <f>IF(VLOOKUP(AH721,βοηθητικό!$J$2:$N$354,3,FALSE)="","",VLOOKUP(AH721,βοηθητικό!$J$2:$N$354,3,FALSE))</f>
        <v>_</v>
      </c>
      <c r="AJ721" s="44"/>
      <c r="AK721" s="5" t="s">
        <v>16</v>
      </c>
      <c r="AL721" s="46" t="str">
        <f>IF(VLOOKUP(AK721,βοηθητικό!$J$2:$N$354,3,FALSE)="","",VLOOKUP(AK721,βοηθητικό!$J$2:$N$354,3,FALSE))</f>
        <v>_</v>
      </c>
      <c r="AM721" s="47"/>
      <c r="AN721" s="4" t="s">
        <v>16</v>
      </c>
      <c r="AO721" s="43" t="str">
        <f>IF(VLOOKUP(AN721,βοηθητικό!$J$2:$N$354,3,FALSE)="","",VLOOKUP(AN721,βοηθητικό!$J$2:$N$354,3,FALSE))</f>
        <v>_</v>
      </c>
      <c r="AP721" s="44"/>
      <c r="AQ721" s="5" t="s">
        <v>16</v>
      </c>
      <c r="AR721" s="46" t="str">
        <f>IF(VLOOKUP(AQ721,βοηθητικό!$J$2:$N$354,3,FALSE)="","",VLOOKUP(AQ721,βοηθητικό!$J$2:$N$354,3,FALSE))</f>
        <v>_</v>
      </c>
      <c r="AS721" s="47"/>
      <c r="AT721" s="4" t="s">
        <v>16</v>
      </c>
      <c r="AU721" s="43" t="str">
        <f>IF(VLOOKUP(AT721,βοηθητικό!$J$2:$N$354,3,FALSE)="","",VLOOKUP(AT721,βοηθητικό!$J$2:$N$354,3,FALSE))</f>
        <v>_</v>
      </c>
      <c r="AV721" s="44"/>
      <c r="AW721" s="5" t="s">
        <v>16</v>
      </c>
      <c r="AX721" s="46" t="str">
        <f>IF(VLOOKUP(AW721,βοηθητικό!$J$2:$N$354,3,FALSE)="","",VLOOKUP(AW721,βοηθητικό!$J$2:$N$354,3,FALSE))</f>
        <v>_</v>
      </c>
      <c r="AY721" s="47"/>
      <c r="AZ721" s="4" t="s">
        <v>16</v>
      </c>
      <c r="BA721" s="43" t="str">
        <f>IF(VLOOKUP(AZ721,βοηθητικό!$J$2:$N$354,3,FALSE)="","",VLOOKUP(AZ721,βοηθητικό!$J$2:$N$354,3,FALSE))</f>
        <v>_</v>
      </c>
      <c r="BB721" s="44"/>
      <c r="BC721" s="45" t="s">
        <v>16</v>
      </c>
      <c r="BD721" s="46" t="str">
        <f>IF(VLOOKUP(BC721,βοηθητικό!$J$2:$N$354,3,FALSE)="","",VLOOKUP(BC721,βοηθητικό!$J$2:$N$354,3,FALSE))</f>
        <v>_</v>
      </c>
      <c r="BE721" s="47"/>
      <c r="BF721" s="42" t="s">
        <v>16</v>
      </c>
      <c r="BG721" s="43" t="str">
        <f>IF(VLOOKUP(BF721,βοηθητικό!$J$2:$N$354,3,FALSE)="","",VLOOKUP(BF721,βοηθητικό!$J$2:$N$354,3,FALSE))</f>
        <v>_</v>
      </c>
      <c r="BH721" s="44"/>
      <c r="BI721" s="45" t="s">
        <v>16</v>
      </c>
      <c r="BJ721" s="46" t="str">
        <f>IF(VLOOKUP(BI721,βοηθητικό!$J$2:$N$354,3,FALSE)="","",VLOOKUP(BI721,βοηθητικό!$J$2:$N$354,3,FALSE))</f>
        <v>_</v>
      </c>
      <c r="BK721" s="47"/>
      <c r="BL721" s="42" t="s">
        <v>16</v>
      </c>
      <c r="BM721" s="43" t="str">
        <f>IF(VLOOKUP(BL721,βοηθητικό!$J$2:$N$354,3,FALSE)="","",VLOOKUP(BL721,βοηθητικό!$J$2:$N$354,3,FALSE))</f>
        <v>_</v>
      </c>
      <c r="BN721" s="44"/>
      <c r="BO721" s="45" t="s">
        <v>16</v>
      </c>
      <c r="BP721" s="46" t="str">
        <f>IF(VLOOKUP(BO721,βοηθητικό!$J$2:$N$354,3,FALSE)="","",VLOOKUP(BO721,βοηθητικό!$J$2:$N$354,3,FALSE))</f>
        <v>_</v>
      </c>
      <c r="BQ721" s="47"/>
      <c r="BR721" s="42" t="s">
        <v>16</v>
      </c>
      <c r="BS721" s="43" t="str">
        <f>IF(VLOOKUP(BR721,βοηθητικό!$J$2:$N$354,3,FALSE)="","",VLOOKUP(BR721,βοηθητικό!$J$2:$N$354,3,FALSE))</f>
        <v>_</v>
      </c>
      <c r="BT721" s="44"/>
      <c r="BU721" s="45" t="s">
        <v>16</v>
      </c>
      <c r="BV721" s="46" t="str">
        <f>IF(VLOOKUP(BU721,βοηθητικό!$J$2:$N$354,3,FALSE)="","",VLOOKUP(BU721,βοηθητικό!$J$2:$N$354,3,FALSE))</f>
        <v>_</v>
      </c>
      <c r="BW721" s="47"/>
      <c r="BX721" s="42" t="s">
        <v>16</v>
      </c>
      <c r="BY721" s="43" t="str">
        <f>IF(VLOOKUP(BX721,βοηθητικό!$J$2:$N$354,3,FALSE)="","",VLOOKUP(BX721,βοηθητικό!$J$2:$N$354,3,FALSE))</f>
        <v>_</v>
      </c>
      <c r="BZ721" s="44"/>
      <c r="CA721" s="45" t="s">
        <v>16</v>
      </c>
      <c r="CB721" s="46" t="str">
        <f>IF(VLOOKUP(CA721,βοηθητικό!$J$2:$N$354,3,FALSE)="","",VLOOKUP(CA721,βοηθητικό!$J$2:$N$354,3,FALSE))</f>
        <v>_</v>
      </c>
      <c r="CC721" s="47"/>
      <c r="CD721" s="42" t="s">
        <v>16</v>
      </c>
      <c r="CE721" s="43" t="str">
        <f>IF(VLOOKUP(CD721,βοηθητικό!$J$2:$N$354,3,FALSE)="","",VLOOKUP(CD721,βοηθητικό!$J$2:$N$354,3,FALSE))</f>
        <v>_</v>
      </c>
      <c r="CF721" s="44"/>
      <c r="CG721" s="45" t="s">
        <v>16</v>
      </c>
      <c r="CH721" s="46" t="str">
        <f>IF(VLOOKUP(CG721,βοηθητικό!$J$2:$N$354,3,FALSE)="","",VLOOKUP(CG721,βοηθητικό!$J$2:$N$354,3,FALSE))</f>
        <v>_</v>
      </c>
      <c r="CI721" s="47"/>
      <c r="CJ721" s="42" t="s">
        <v>16</v>
      </c>
      <c r="CK721" s="43" t="str">
        <f>IF(VLOOKUP(CJ721,βοηθητικό!$J$2:$N$354,3,FALSE)="","",VLOOKUP(CJ721,βοηθητικό!$J$2:$N$354,3,FALSE))</f>
        <v>_</v>
      </c>
      <c r="CL721" s="44"/>
      <c r="CM721" s="45" t="s">
        <v>16</v>
      </c>
      <c r="CN721" s="46" t="str">
        <f>IF(VLOOKUP(CM721,βοηθητικό!$J$2:$N$354,3,FALSE)="","",VLOOKUP(CM721,βοηθητικό!$J$2:$N$354,3,FALSE))</f>
        <v>_</v>
      </c>
      <c r="CO721" s="47"/>
      <c r="CP721" s="42" t="s">
        <v>16</v>
      </c>
      <c r="CQ721" s="43" t="str">
        <f>IF(VLOOKUP(CP721,βοηθητικό!$J$2:$N$354,3,FALSE)="","",VLOOKUP(CP721,βοηθητικό!$J$2:$N$354,3,FALSE))</f>
        <v>_</v>
      </c>
      <c r="CR721" s="44"/>
      <c r="CS721" s="45" t="s">
        <v>16</v>
      </c>
      <c r="CT721" s="46" t="str">
        <f>IF(VLOOKUP(CS721,βοηθητικό!$J$2:$N$354,3,FALSE)="","",VLOOKUP(CS721,βοηθητικό!$J$2:$N$354,3,FALSE))</f>
        <v>_</v>
      </c>
      <c r="CU721" s="47"/>
    </row>
    <row r="722" spans="1:99" x14ac:dyDescent="0.25">
      <c r="A722" s="37">
        <f>--SUBTOTAL(3,$B$3:B721)</f>
        <v>198</v>
      </c>
      <c r="B722" s="2"/>
      <c r="C722" s="3"/>
      <c r="D722" s="55" t="s">
        <v>18</v>
      </c>
      <c r="E722" s="38" t="s">
        <v>16</v>
      </c>
      <c r="F722" s="38"/>
      <c r="G722" s="39" t="str">
        <f t="shared" si="35"/>
        <v>__</v>
      </c>
      <c r="H722" s="40" t="str">
        <f t="shared" si="36"/>
        <v>FALSE</v>
      </c>
      <c r="I722" s="41">
        <f t="shared" si="37"/>
        <v>0</v>
      </c>
      <c r="J722" s="4" t="s">
        <v>16</v>
      </c>
      <c r="K722" s="43" t="str">
        <f>IF(VLOOKUP(J722,βοηθητικό!$J$2:$N$354,3,FALSE)="","",VLOOKUP(J722,βοηθητικό!$J$2:$N$354,3,FALSE))</f>
        <v>_</v>
      </c>
      <c r="L722" s="44"/>
      <c r="M722" s="5" t="s">
        <v>16</v>
      </c>
      <c r="N722" s="46" t="str">
        <f>IF(VLOOKUP(M722,βοηθητικό!$J$2:$N$354,3,FALSE)="","",VLOOKUP(M722,βοηθητικό!$J$2:$N$354,3,FALSE))</f>
        <v>_</v>
      </c>
      <c r="O722" s="47"/>
      <c r="P722" s="4" t="s">
        <v>16</v>
      </c>
      <c r="Q722" s="43" t="str">
        <f>IF(VLOOKUP(P722,βοηθητικό!$J$2:$N$354,3,FALSE)="","",VLOOKUP(P722,βοηθητικό!$J$2:$N$354,3,FALSE))</f>
        <v>_</v>
      </c>
      <c r="R722" s="44"/>
      <c r="S722" s="5" t="s">
        <v>16</v>
      </c>
      <c r="T722" s="46" t="str">
        <f>IF(VLOOKUP(S722,βοηθητικό!$J$2:$N$354,3,FALSE)="","",VLOOKUP(S722,βοηθητικό!$J$2:$N$354,3,FALSE))</f>
        <v>_</v>
      </c>
      <c r="U722" s="47"/>
      <c r="V722" s="4" t="s">
        <v>16</v>
      </c>
      <c r="W722" s="43" t="str">
        <f>IF(VLOOKUP(V722,βοηθητικό!$J$2:$N$354,3,FALSE)="","",VLOOKUP(V722,βοηθητικό!$J$2:$N$354,3,FALSE))</f>
        <v>_</v>
      </c>
      <c r="X722" s="44"/>
      <c r="Y722" s="5" t="s">
        <v>16</v>
      </c>
      <c r="Z722" s="46" t="str">
        <f>IF(VLOOKUP(Y722,βοηθητικό!$J$2:$N$354,3,FALSE)="","",VLOOKUP(Y722,βοηθητικό!$J$2:$N$354,3,FALSE))</f>
        <v>_</v>
      </c>
      <c r="AA722" s="47"/>
      <c r="AB722" s="4" t="s">
        <v>16</v>
      </c>
      <c r="AC722" s="43" t="str">
        <f>IF(VLOOKUP(AB722,βοηθητικό!$J$2:$N$354,3,FALSE)="","",VLOOKUP(AB722,βοηθητικό!$J$2:$N$354,3,FALSE))</f>
        <v>_</v>
      </c>
      <c r="AD722" s="44"/>
      <c r="AE722" s="5" t="s">
        <v>16</v>
      </c>
      <c r="AF722" s="46" t="str">
        <f>IF(VLOOKUP(AE722,βοηθητικό!$J$2:$N$354,3,FALSE)="","",VLOOKUP(AE722,βοηθητικό!$J$2:$N$354,3,FALSE))</f>
        <v>_</v>
      </c>
      <c r="AG722" s="47"/>
      <c r="AH722" s="4" t="s">
        <v>16</v>
      </c>
      <c r="AI722" s="43" t="str">
        <f>IF(VLOOKUP(AH722,βοηθητικό!$J$2:$N$354,3,FALSE)="","",VLOOKUP(AH722,βοηθητικό!$J$2:$N$354,3,FALSE))</f>
        <v>_</v>
      </c>
      <c r="AJ722" s="44"/>
      <c r="AK722" s="5" t="s">
        <v>16</v>
      </c>
      <c r="AL722" s="46" t="str">
        <f>IF(VLOOKUP(AK722,βοηθητικό!$J$2:$N$354,3,FALSE)="","",VLOOKUP(AK722,βοηθητικό!$J$2:$N$354,3,FALSE))</f>
        <v>_</v>
      </c>
      <c r="AM722" s="47"/>
      <c r="AN722" s="4" t="s">
        <v>16</v>
      </c>
      <c r="AO722" s="43" t="str">
        <f>IF(VLOOKUP(AN722,βοηθητικό!$J$2:$N$354,3,FALSE)="","",VLOOKUP(AN722,βοηθητικό!$J$2:$N$354,3,FALSE))</f>
        <v>_</v>
      </c>
      <c r="AP722" s="44"/>
      <c r="AQ722" s="5" t="s">
        <v>16</v>
      </c>
      <c r="AR722" s="46" t="str">
        <f>IF(VLOOKUP(AQ722,βοηθητικό!$J$2:$N$354,3,FALSE)="","",VLOOKUP(AQ722,βοηθητικό!$J$2:$N$354,3,FALSE))</f>
        <v>_</v>
      </c>
      <c r="AS722" s="47"/>
      <c r="AT722" s="4" t="s">
        <v>16</v>
      </c>
      <c r="AU722" s="43" t="str">
        <f>IF(VLOOKUP(AT722,βοηθητικό!$J$2:$N$354,3,FALSE)="","",VLOOKUP(AT722,βοηθητικό!$J$2:$N$354,3,FALSE))</f>
        <v>_</v>
      </c>
      <c r="AV722" s="44"/>
      <c r="AW722" s="5" t="s">
        <v>16</v>
      </c>
      <c r="AX722" s="46" t="str">
        <f>IF(VLOOKUP(AW722,βοηθητικό!$J$2:$N$354,3,FALSE)="","",VLOOKUP(AW722,βοηθητικό!$J$2:$N$354,3,FALSE))</f>
        <v>_</v>
      </c>
      <c r="AY722" s="47"/>
      <c r="AZ722" s="4" t="s">
        <v>16</v>
      </c>
      <c r="BA722" s="43" t="str">
        <f>IF(VLOOKUP(AZ722,βοηθητικό!$J$2:$N$354,3,FALSE)="","",VLOOKUP(AZ722,βοηθητικό!$J$2:$N$354,3,FALSE))</f>
        <v>_</v>
      </c>
      <c r="BB722" s="44"/>
      <c r="BC722" s="45" t="s">
        <v>16</v>
      </c>
      <c r="BD722" s="46" t="str">
        <f>IF(VLOOKUP(BC722,βοηθητικό!$J$2:$N$354,3,FALSE)="","",VLOOKUP(BC722,βοηθητικό!$J$2:$N$354,3,FALSE))</f>
        <v>_</v>
      </c>
      <c r="BE722" s="47"/>
      <c r="BF722" s="42" t="s">
        <v>16</v>
      </c>
      <c r="BG722" s="43" t="str">
        <f>IF(VLOOKUP(BF722,βοηθητικό!$J$2:$N$354,3,FALSE)="","",VLOOKUP(BF722,βοηθητικό!$J$2:$N$354,3,FALSE))</f>
        <v>_</v>
      </c>
      <c r="BH722" s="44"/>
      <c r="BI722" s="45" t="s">
        <v>16</v>
      </c>
      <c r="BJ722" s="46" t="str">
        <f>IF(VLOOKUP(BI722,βοηθητικό!$J$2:$N$354,3,FALSE)="","",VLOOKUP(BI722,βοηθητικό!$J$2:$N$354,3,FALSE))</f>
        <v>_</v>
      </c>
      <c r="BK722" s="47"/>
      <c r="BL722" s="42" t="s">
        <v>16</v>
      </c>
      <c r="BM722" s="43" t="str">
        <f>IF(VLOOKUP(BL722,βοηθητικό!$J$2:$N$354,3,FALSE)="","",VLOOKUP(BL722,βοηθητικό!$J$2:$N$354,3,FALSE))</f>
        <v>_</v>
      </c>
      <c r="BN722" s="44"/>
      <c r="BO722" s="45" t="s">
        <v>16</v>
      </c>
      <c r="BP722" s="46" t="str">
        <f>IF(VLOOKUP(BO722,βοηθητικό!$J$2:$N$354,3,FALSE)="","",VLOOKUP(BO722,βοηθητικό!$J$2:$N$354,3,FALSE))</f>
        <v>_</v>
      </c>
      <c r="BQ722" s="47"/>
      <c r="BR722" s="42" t="s">
        <v>16</v>
      </c>
      <c r="BS722" s="43" t="str">
        <f>IF(VLOOKUP(BR722,βοηθητικό!$J$2:$N$354,3,FALSE)="","",VLOOKUP(BR722,βοηθητικό!$J$2:$N$354,3,FALSE))</f>
        <v>_</v>
      </c>
      <c r="BT722" s="44"/>
      <c r="BU722" s="45" t="s">
        <v>16</v>
      </c>
      <c r="BV722" s="46" t="str">
        <f>IF(VLOOKUP(BU722,βοηθητικό!$J$2:$N$354,3,FALSE)="","",VLOOKUP(BU722,βοηθητικό!$J$2:$N$354,3,FALSE))</f>
        <v>_</v>
      </c>
      <c r="BW722" s="47"/>
      <c r="BX722" s="42" t="s">
        <v>16</v>
      </c>
      <c r="BY722" s="43" t="str">
        <f>IF(VLOOKUP(BX722,βοηθητικό!$J$2:$N$354,3,FALSE)="","",VLOOKUP(BX722,βοηθητικό!$J$2:$N$354,3,FALSE))</f>
        <v>_</v>
      </c>
      <c r="BZ722" s="44"/>
      <c r="CA722" s="45" t="s">
        <v>16</v>
      </c>
      <c r="CB722" s="46" t="str">
        <f>IF(VLOOKUP(CA722,βοηθητικό!$J$2:$N$354,3,FALSE)="","",VLOOKUP(CA722,βοηθητικό!$J$2:$N$354,3,FALSE))</f>
        <v>_</v>
      </c>
      <c r="CC722" s="47"/>
      <c r="CD722" s="42" t="s">
        <v>16</v>
      </c>
      <c r="CE722" s="43" t="str">
        <f>IF(VLOOKUP(CD722,βοηθητικό!$J$2:$N$354,3,FALSE)="","",VLOOKUP(CD722,βοηθητικό!$J$2:$N$354,3,FALSE))</f>
        <v>_</v>
      </c>
      <c r="CF722" s="44"/>
      <c r="CG722" s="45" t="s">
        <v>16</v>
      </c>
      <c r="CH722" s="46" t="str">
        <f>IF(VLOOKUP(CG722,βοηθητικό!$J$2:$N$354,3,FALSE)="","",VLOOKUP(CG722,βοηθητικό!$J$2:$N$354,3,FALSE))</f>
        <v>_</v>
      </c>
      <c r="CI722" s="47"/>
      <c r="CJ722" s="42" t="s">
        <v>16</v>
      </c>
      <c r="CK722" s="43" t="str">
        <f>IF(VLOOKUP(CJ722,βοηθητικό!$J$2:$N$354,3,FALSE)="","",VLOOKUP(CJ722,βοηθητικό!$J$2:$N$354,3,FALSE))</f>
        <v>_</v>
      </c>
      <c r="CL722" s="44"/>
      <c r="CM722" s="45" t="s">
        <v>16</v>
      </c>
      <c r="CN722" s="46" t="str">
        <f>IF(VLOOKUP(CM722,βοηθητικό!$J$2:$N$354,3,FALSE)="","",VLOOKUP(CM722,βοηθητικό!$J$2:$N$354,3,FALSE))</f>
        <v>_</v>
      </c>
      <c r="CO722" s="47"/>
      <c r="CP722" s="42" t="s">
        <v>16</v>
      </c>
      <c r="CQ722" s="43" t="str">
        <f>IF(VLOOKUP(CP722,βοηθητικό!$J$2:$N$354,3,FALSE)="","",VLOOKUP(CP722,βοηθητικό!$J$2:$N$354,3,FALSE))</f>
        <v>_</v>
      </c>
      <c r="CR722" s="44"/>
      <c r="CS722" s="45" t="s">
        <v>16</v>
      </c>
      <c r="CT722" s="46" t="str">
        <f>IF(VLOOKUP(CS722,βοηθητικό!$J$2:$N$354,3,FALSE)="","",VLOOKUP(CS722,βοηθητικό!$J$2:$N$354,3,FALSE))</f>
        <v>_</v>
      </c>
      <c r="CU722" s="47"/>
    </row>
    <row r="723" spans="1:99" x14ac:dyDescent="0.25">
      <c r="A723" s="37">
        <f>--SUBTOTAL(3,$B$3:B722)</f>
        <v>198</v>
      </c>
      <c r="B723" s="2"/>
      <c r="C723" s="3"/>
      <c r="D723" s="55" t="s">
        <v>18</v>
      </c>
      <c r="E723" s="38" t="s">
        <v>16</v>
      </c>
      <c r="F723" s="38"/>
      <c r="G723" s="39" t="str">
        <f t="shared" si="35"/>
        <v>__</v>
      </c>
      <c r="H723" s="40" t="str">
        <f t="shared" si="36"/>
        <v>FALSE</v>
      </c>
      <c r="I723" s="41">
        <f t="shared" si="37"/>
        <v>0</v>
      </c>
      <c r="J723" s="4" t="s">
        <v>16</v>
      </c>
      <c r="K723" s="43" t="str">
        <f>IF(VLOOKUP(J723,βοηθητικό!$J$2:$N$354,3,FALSE)="","",VLOOKUP(J723,βοηθητικό!$J$2:$N$354,3,FALSE))</f>
        <v>_</v>
      </c>
      <c r="L723" s="44"/>
      <c r="M723" s="5" t="s">
        <v>16</v>
      </c>
      <c r="N723" s="46" t="str">
        <f>IF(VLOOKUP(M723,βοηθητικό!$J$2:$N$354,3,FALSE)="","",VLOOKUP(M723,βοηθητικό!$J$2:$N$354,3,FALSE))</f>
        <v>_</v>
      </c>
      <c r="O723" s="47"/>
      <c r="P723" s="4" t="s">
        <v>16</v>
      </c>
      <c r="Q723" s="43" t="str">
        <f>IF(VLOOKUP(P723,βοηθητικό!$J$2:$N$354,3,FALSE)="","",VLOOKUP(P723,βοηθητικό!$J$2:$N$354,3,FALSE))</f>
        <v>_</v>
      </c>
      <c r="R723" s="44"/>
      <c r="S723" s="5" t="s">
        <v>16</v>
      </c>
      <c r="T723" s="46" t="str">
        <f>IF(VLOOKUP(S723,βοηθητικό!$J$2:$N$354,3,FALSE)="","",VLOOKUP(S723,βοηθητικό!$J$2:$N$354,3,FALSE))</f>
        <v>_</v>
      </c>
      <c r="U723" s="47"/>
      <c r="V723" s="4" t="s">
        <v>16</v>
      </c>
      <c r="W723" s="43" t="str">
        <f>IF(VLOOKUP(V723,βοηθητικό!$J$2:$N$354,3,FALSE)="","",VLOOKUP(V723,βοηθητικό!$J$2:$N$354,3,FALSE))</f>
        <v>_</v>
      </c>
      <c r="X723" s="44"/>
      <c r="Y723" s="5" t="s">
        <v>16</v>
      </c>
      <c r="Z723" s="46" t="str">
        <f>IF(VLOOKUP(Y723,βοηθητικό!$J$2:$N$354,3,FALSE)="","",VLOOKUP(Y723,βοηθητικό!$J$2:$N$354,3,FALSE))</f>
        <v>_</v>
      </c>
      <c r="AA723" s="47"/>
      <c r="AB723" s="4" t="s">
        <v>16</v>
      </c>
      <c r="AC723" s="43" t="str">
        <f>IF(VLOOKUP(AB723,βοηθητικό!$J$2:$N$354,3,FALSE)="","",VLOOKUP(AB723,βοηθητικό!$J$2:$N$354,3,FALSE))</f>
        <v>_</v>
      </c>
      <c r="AD723" s="44"/>
      <c r="AE723" s="5" t="s">
        <v>16</v>
      </c>
      <c r="AF723" s="46" t="str">
        <f>IF(VLOOKUP(AE723,βοηθητικό!$J$2:$N$354,3,FALSE)="","",VLOOKUP(AE723,βοηθητικό!$J$2:$N$354,3,FALSE))</f>
        <v>_</v>
      </c>
      <c r="AG723" s="47"/>
      <c r="AH723" s="4" t="s">
        <v>16</v>
      </c>
      <c r="AI723" s="43" t="str">
        <f>IF(VLOOKUP(AH723,βοηθητικό!$J$2:$N$354,3,FALSE)="","",VLOOKUP(AH723,βοηθητικό!$J$2:$N$354,3,FALSE))</f>
        <v>_</v>
      </c>
      <c r="AJ723" s="44"/>
      <c r="AK723" s="5" t="s">
        <v>16</v>
      </c>
      <c r="AL723" s="46" t="str">
        <f>IF(VLOOKUP(AK723,βοηθητικό!$J$2:$N$354,3,FALSE)="","",VLOOKUP(AK723,βοηθητικό!$J$2:$N$354,3,FALSE))</f>
        <v>_</v>
      </c>
      <c r="AM723" s="47"/>
      <c r="AN723" s="4" t="s">
        <v>16</v>
      </c>
      <c r="AO723" s="43" t="str">
        <f>IF(VLOOKUP(AN723,βοηθητικό!$J$2:$N$354,3,FALSE)="","",VLOOKUP(AN723,βοηθητικό!$J$2:$N$354,3,FALSE))</f>
        <v>_</v>
      </c>
      <c r="AP723" s="44"/>
      <c r="AQ723" s="5" t="s">
        <v>16</v>
      </c>
      <c r="AR723" s="46" t="str">
        <f>IF(VLOOKUP(AQ723,βοηθητικό!$J$2:$N$354,3,FALSE)="","",VLOOKUP(AQ723,βοηθητικό!$J$2:$N$354,3,FALSE))</f>
        <v>_</v>
      </c>
      <c r="AS723" s="47"/>
      <c r="AT723" s="4" t="s">
        <v>16</v>
      </c>
      <c r="AU723" s="43" t="str">
        <f>IF(VLOOKUP(AT723,βοηθητικό!$J$2:$N$354,3,FALSE)="","",VLOOKUP(AT723,βοηθητικό!$J$2:$N$354,3,FALSE))</f>
        <v>_</v>
      </c>
      <c r="AV723" s="44"/>
      <c r="AW723" s="5" t="s">
        <v>16</v>
      </c>
      <c r="AX723" s="46" t="str">
        <f>IF(VLOOKUP(AW723,βοηθητικό!$J$2:$N$354,3,FALSE)="","",VLOOKUP(AW723,βοηθητικό!$J$2:$N$354,3,FALSE))</f>
        <v>_</v>
      </c>
      <c r="AY723" s="47"/>
      <c r="AZ723" s="4" t="s">
        <v>16</v>
      </c>
      <c r="BA723" s="43" t="str">
        <f>IF(VLOOKUP(AZ723,βοηθητικό!$J$2:$N$354,3,FALSE)="","",VLOOKUP(AZ723,βοηθητικό!$J$2:$N$354,3,FALSE))</f>
        <v>_</v>
      </c>
      <c r="BB723" s="44"/>
      <c r="BC723" s="45" t="s">
        <v>16</v>
      </c>
      <c r="BD723" s="46" t="str">
        <f>IF(VLOOKUP(BC723,βοηθητικό!$J$2:$N$354,3,FALSE)="","",VLOOKUP(BC723,βοηθητικό!$J$2:$N$354,3,FALSE))</f>
        <v>_</v>
      </c>
      <c r="BE723" s="47"/>
      <c r="BF723" s="42" t="s">
        <v>16</v>
      </c>
      <c r="BG723" s="43" t="str">
        <f>IF(VLOOKUP(BF723,βοηθητικό!$J$2:$N$354,3,FALSE)="","",VLOOKUP(BF723,βοηθητικό!$J$2:$N$354,3,FALSE))</f>
        <v>_</v>
      </c>
      <c r="BH723" s="44"/>
      <c r="BI723" s="45" t="s">
        <v>16</v>
      </c>
      <c r="BJ723" s="46" t="str">
        <f>IF(VLOOKUP(BI723,βοηθητικό!$J$2:$N$354,3,FALSE)="","",VLOOKUP(BI723,βοηθητικό!$J$2:$N$354,3,FALSE))</f>
        <v>_</v>
      </c>
      <c r="BK723" s="47"/>
      <c r="BL723" s="42" t="s">
        <v>16</v>
      </c>
      <c r="BM723" s="43" t="str">
        <f>IF(VLOOKUP(BL723,βοηθητικό!$J$2:$N$354,3,FALSE)="","",VLOOKUP(BL723,βοηθητικό!$J$2:$N$354,3,FALSE))</f>
        <v>_</v>
      </c>
      <c r="BN723" s="44"/>
      <c r="BO723" s="45" t="s">
        <v>16</v>
      </c>
      <c r="BP723" s="46" t="str">
        <f>IF(VLOOKUP(BO723,βοηθητικό!$J$2:$N$354,3,FALSE)="","",VLOOKUP(BO723,βοηθητικό!$J$2:$N$354,3,FALSE))</f>
        <v>_</v>
      </c>
      <c r="BQ723" s="47"/>
      <c r="BR723" s="42" t="s">
        <v>16</v>
      </c>
      <c r="BS723" s="43" t="str">
        <f>IF(VLOOKUP(BR723,βοηθητικό!$J$2:$N$354,3,FALSE)="","",VLOOKUP(BR723,βοηθητικό!$J$2:$N$354,3,FALSE))</f>
        <v>_</v>
      </c>
      <c r="BT723" s="44"/>
      <c r="BU723" s="45" t="s">
        <v>16</v>
      </c>
      <c r="BV723" s="46" t="str">
        <f>IF(VLOOKUP(BU723,βοηθητικό!$J$2:$N$354,3,FALSE)="","",VLOOKUP(BU723,βοηθητικό!$J$2:$N$354,3,FALSE))</f>
        <v>_</v>
      </c>
      <c r="BW723" s="47"/>
      <c r="BX723" s="42" t="s">
        <v>16</v>
      </c>
      <c r="BY723" s="43" t="str">
        <f>IF(VLOOKUP(BX723,βοηθητικό!$J$2:$N$354,3,FALSE)="","",VLOOKUP(BX723,βοηθητικό!$J$2:$N$354,3,FALSE))</f>
        <v>_</v>
      </c>
      <c r="BZ723" s="44"/>
      <c r="CA723" s="45" t="s">
        <v>16</v>
      </c>
      <c r="CB723" s="46" t="str">
        <f>IF(VLOOKUP(CA723,βοηθητικό!$J$2:$N$354,3,FALSE)="","",VLOOKUP(CA723,βοηθητικό!$J$2:$N$354,3,FALSE))</f>
        <v>_</v>
      </c>
      <c r="CC723" s="47"/>
      <c r="CD723" s="42" t="s">
        <v>16</v>
      </c>
      <c r="CE723" s="43" t="str">
        <f>IF(VLOOKUP(CD723,βοηθητικό!$J$2:$N$354,3,FALSE)="","",VLOOKUP(CD723,βοηθητικό!$J$2:$N$354,3,FALSE))</f>
        <v>_</v>
      </c>
      <c r="CF723" s="44"/>
      <c r="CG723" s="45" t="s">
        <v>16</v>
      </c>
      <c r="CH723" s="46" t="str">
        <f>IF(VLOOKUP(CG723,βοηθητικό!$J$2:$N$354,3,FALSE)="","",VLOOKUP(CG723,βοηθητικό!$J$2:$N$354,3,FALSE))</f>
        <v>_</v>
      </c>
      <c r="CI723" s="47"/>
      <c r="CJ723" s="42" t="s">
        <v>16</v>
      </c>
      <c r="CK723" s="43" t="str">
        <f>IF(VLOOKUP(CJ723,βοηθητικό!$J$2:$N$354,3,FALSE)="","",VLOOKUP(CJ723,βοηθητικό!$J$2:$N$354,3,FALSE))</f>
        <v>_</v>
      </c>
      <c r="CL723" s="44"/>
      <c r="CM723" s="45" t="s">
        <v>16</v>
      </c>
      <c r="CN723" s="46" t="str">
        <f>IF(VLOOKUP(CM723,βοηθητικό!$J$2:$N$354,3,FALSE)="","",VLOOKUP(CM723,βοηθητικό!$J$2:$N$354,3,FALSE))</f>
        <v>_</v>
      </c>
      <c r="CO723" s="47"/>
      <c r="CP723" s="42" t="s">
        <v>16</v>
      </c>
      <c r="CQ723" s="43" t="str">
        <f>IF(VLOOKUP(CP723,βοηθητικό!$J$2:$N$354,3,FALSE)="","",VLOOKUP(CP723,βοηθητικό!$J$2:$N$354,3,FALSE))</f>
        <v>_</v>
      </c>
      <c r="CR723" s="44"/>
      <c r="CS723" s="45" t="s">
        <v>16</v>
      </c>
      <c r="CT723" s="46" t="str">
        <f>IF(VLOOKUP(CS723,βοηθητικό!$J$2:$N$354,3,FALSE)="","",VLOOKUP(CS723,βοηθητικό!$J$2:$N$354,3,FALSE))</f>
        <v>_</v>
      </c>
      <c r="CU723" s="47"/>
    </row>
    <row r="724" spans="1:99" x14ac:dyDescent="0.25">
      <c r="A724" s="37">
        <f>--SUBTOTAL(3,$B$3:B723)</f>
        <v>198</v>
      </c>
      <c r="B724" s="2"/>
      <c r="C724" s="3"/>
      <c r="D724" s="55" t="s">
        <v>18</v>
      </c>
      <c r="E724" s="38" t="s">
        <v>16</v>
      </c>
      <c r="F724" s="38"/>
      <c r="G724" s="39" t="str">
        <f t="shared" si="35"/>
        <v>__</v>
      </c>
      <c r="H724" s="40" t="str">
        <f t="shared" si="36"/>
        <v>FALSE</v>
      </c>
      <c r="I724" s="41">
        <f t="shared" si="37"/>
        <v>0</v>
      </c>
      <c r="J724" s="4" t="s">
        <v>16</v>
      </c>
      <c r="K724" s="43" t="str">
        <f>IF(VLOOKUP(J724,βοηθητικό!$J$2:$N$354,3,FALSE)="","",VLOOKUP(J724,βοηθητικό!$J$2:$N$354,3,FALSE))</f>
        <v>_</v>
      </c>
      <c r="L724" s="44"/>
      <c r="M724" s="5" t="s">
        <v>16</v>
      </c>
      <c r="N724" s="46" t="str">
        <f>IF(VLOOKUP(M724,βοηθητικό!$J$2:$N$354,3,FALSE)="","",VLOOKUP(M724,βοηθητικό!$J$2:$N$354,3,FALSE))</f>
        <v>_</v>
      </c>
      <c r="O724" s="47"/>
      <c r="P724" s="4" t="s">
        <v>16</v>
      </c>
      <c r="Q724" s="43" t="str">
        <f>IF(VLOOKUP(P724,βοηθητικό!$J$2:$N$354,3,FALSE)="","",VLOOKUP(P724,βοηθητικό!$J$2:$N$354,3,FALSE))</f>
        <v>_</v>
      </c>
      <c r="R724" s="44"/>
      <c r="S724" s="5" t="s">
        <v>16</v>
      </c>
      <c r="T724" s="46" t="str">
        <f>IF(VLOOKUP(S724,βοηθητικό!$J$2:$N$354,3,FALSE)="","",VLOOKUP(S724,βοηθητικό!$J$2:$N$354,3,FALSE))</f>
        <v>_</v>
      </c>
      <c r="U724" s="47"/>
      <c r="V724" s="4" t="s">
        <v>16</v>
      </c>
      <c r="W724" s="43" t="str">
        <f>IF(VLOOKUP(V724,βοηθητικό!$J$2:$N$354,3,FALSE)="","",VLOOKUP(V724,βοηθητικό!$J$2:$N$354,3,FALSE))</f>
        <v>_</v>
      </c>
      <c r="X724" s="44"/>
      <c r="Y724" s="5" t="s">
        <v>16</v>
      </c>
      <c r="Z724" s="46" t="str">
        <f>IF(VLOOKUP(Y724,βοηθητικό!$J$2:$N$354,3,FALSE)="","",VLOOKUP(Y724,βοηθητικό!$J$2:$N$354,3,FALSE))</f>
        <v>_</v>
      </c>
      <c r="AA724" s="47"/>
      <c r="AB724" s="4" t="s">
        <v>16</v>
      </c>
      <c r="AC724" s="43" t="str">
        <f>IF(VLOOKUP(AB724,βοηθητικό!$J$2:$N$354,3,FALSE)="","",VLOOKUP(AB724,βοηθητικό!$J$2:$N$354,3,FALSE))</f>
        <v>_</v>
      </c>
      <c r="AD724" s="44"/>
      <c r="AE724" s="5" t="s">
        <v>16</v>
      </c>
      <c r="AF724" s="46" t="str">
        <f>IF(VLOOKUP(AE724,βοηθητικό!$J$2:$N$354,3,FALSE)="","",VLOOKUP(AE724,βοηθητικό!$J$2:$N$354,3,FALSE))</f>
        <v>_</v>
      </c>
      <c r="AG724" s="47"/>
      <c r="AH724" s="4" t="s">
        <v>16</v>
      </c>
      <c r="AI724" s="43" t="str">
        <f>IF(VLOOKUP(AH724,βοηθητικό!$J$2:$N$354,3,FALSE)="","",VLOOKUP(AH724,βοηθητικό!$J$2:$N$354,3,FALSE))</f>
        <v>_</v>
      </c>
      <c r="AJ724" s="44"/>
      <c r="AK724" s="5" t="s">
        <v>16</v>
      </c>
      <c r="AL724" s="46" t="str">
        <f>IF(VLOOKUP(AK724,βοηθητικό!$J$2:$N$354,3,FALSE)="","",VLOOKUP(AK724,βοηθητικό!$J$2:$N$354,3,FALSE))</f>
        <v>_</v>
      </c>
      <c r="AM724" s="47"/>
      <c r="AN724" s="4" t="s">
        <v>16</v>
      </c>
      <c r="AO724" s="43" t="str">
        <f>IF(VLOOKUP(AN724,βοηθητικό!$J$2:$N$354,3,FALSE)="","",VLOOKUP(AN724,βοηθητικό!$J$2:$N$354,3,FALSE))</f>
        <v>_</v>
      </c>
      <c r="AP724" s="44"/>
      <c r="AQ724" s="5" t="s">
        <v>16</v>
      </c>
      <c r="AR724" s="46" t="str">
        <f>IF(VLOOKUP(AQ724,βοηθητικό!$J$2:$N$354,3,FALSE)="","",VLOOKUP(AQ724,βοηθητικό!$J$2:$N$354,3,FALSE))</f>
        <v>_</v>
      </c>
      <c r="AS724" s="47"/>
      <c r="AT724" s="4" t="s">
        <v>16</v>
      </c>
      <c r="AU724" s="43" t="str">
        <f>IF(VLOOKUP(AT724,βοηθητικό!$J$2:$N$354,3,FALSE)="","",VLOOKUP(AT724,βοηθητικό!$J$2:$N$354,3,FALSE))</f>
        <v>_</v>
      </c>
      <c r="AV724" s="44"/>
      <c r="AW724" s="5" t="s">
        <v>16</v>
      </c>
      <c r="AX724" s="46" t="str">
        <f>IF(VLOOKUP(AW724,βοηθητικό!$J$2:$N$354,3,FALSE)="","",VLOOKUP(AW724,βοηθητικό!$J$2:$N$354,3,FALSE))</f>
        <v>_</v>
      </c>
      <c r="AY724" s="47"/>
      <c r="AZ724" s="4" t="s">
        <v>16</v>
      </c>
      <c r="BA724" s="43" t="str">
        <f>IF(VLOOKUP(AZ724,βοηθητικό!$J$2:$N$354,3,FALSE)="","",VLOOKUP(AZ724,βοηθητικό!$J$2:$N$354,3,FALSE))</f>
        <v>_</v>
      </c>
      <c r="BB724" s="44"/>
      <c r="BC724" s="45" t="s">
        <v>16</v>
      </c>
      <c r="BD724" s="46" t="str">
        <f>IF(VLOOKUP(BC724,βοηθητικό!$J$2:$N$354,3,FALSE)="","",VLOOKUP(BC724,βοηθητικό!$J$2:$N$354,3,FALSE))</f>
        <v>_</v>
      </c>
      <c r="BE724" s="47"/>
      <c r="BF724" s="42" t="s">
        <v>16</v>
      </c>
      <c r="BG724" s="43" t="str">
        <f>IF(VLOOKUP(BF724,βοηθητικό!$J$2:$N$354,3,FALSE)="","",VLOOKUP(BF724,βοηθητικό!$J$2:$N$354,3,FALSE))</f>
        <v>_</v>
      </c>
      <c r="BH724" s="44"/>
      <c r="BI724" s="45" t="s">
        <v>16</v>
      </c>
      <c r="BJ724" s="46" t="str">
        <f>IF(VLOOKUP(BI724,βοηθητικό!$J$2:$N$354,3,FALSE)="","",VLOOKUP(BI724,βοηθητικό!$J$2:$N$354,3,FALSE))</f>
        <v>_</v>
      </c>
      <c r="BK724" s="47"/>
      <c r="BL724" s="42" t="s">
        <v>16</v>
      </c>
      <c r="BM724" s="43" t="str">
        <f>IF(VLOOKUP(BL724,βοηθητικό!$J$2:$N$354,3,FALSE)="","",VLOOKUP(BL724,βοηθητικό!$J$2:$N$354,3,FALSE))</f>
        <v>_</v>
      </c>
      <c r="BN724" s="44"/>
      <c r="BO724" s="45" t="s">
        <v>16</v>
      </c>
      <c r="BP724" s="46" t="str">
        <f>IF(VLOOKUP(BO724,βοηθητικό!$J$2:$N$354,3,FALSE)="","",VLOOKUP(BO724,βοηθητικό!$J$2:$N$354,3,FALSE))</f>
        <v>_</v>
      </c>
      <c r="BQ724" s="47"/>
      <c r="BR724" s="42" t="s">
        <v>16</v>
      </c>
      <c r="BS724" s="43" t="str">
        <f>IF(VLOOKUP(BR724,βοηθητικό!$J$2:$N$354,3,FALSE)="","",VLOOKUP(BR724,βοηθητικό!$J$2:$N$354,3,FALSE))</f>
        <v>_</v>
      </c>
      <c r="BT724" s="44"/>
      <c r="BU724" s="45" t="s">
        <v>16</v>
      </c>
      <c r="BV724" s="46" t="str">
        <f>IF(VLOOKUP(BU724,βοηθητικό!$J$2:$N$354,3,FALSE)="","",VLOOKUP(BU724,βοηθητικό!$J$2:$N$354,3,FALSE))</f>
        <v>_</v>
      </c>
      <c r="BW724" s="47"/>
      <c r="BX724" s="42" t="s">
        <v>16</v>
      </c>
      <c r="BY724" s="43" t="str">
        <f>IF(VLOOKUP(BX724,βοηθητικό!$J$2:$N$354,3,FALSE)="","",VLOOKUP(BX724,βοηθητικό!$J$2:$N$354,3,FALSE))</f>
        <v>_</v>
      </c>
      <c r="BZ724" s="44"/>
      <c r="CA724" s="45" t="s">
        <v>16</v>
      </c>
      <c r="CB724" s="46" t="str">
        <f>IF(VLOOKUP(CA724,βοηθητικό!$J$2:$N$354,3,FALSE)="","",VLOOKUP(CA724,βοηθητικό!$J$2:$N$354,3,FALSE))</f>
        <v>_</v>
      </c>
      <c r="CC724" s="47"/>
      <c r="CD724" s="42" t="s">
        <v>16</v>
      </c>
      <c r="CE724" s="43" t="str">
        <f>IF(VLOOKUP(CD724,βοηθητικό!$J$2:$N$354,3,FALSE)="","",VLOOKUP(CD724,βοηθητικό!$J$2:$N$354,3,FALSE))</f>
        <v>_</v>
      </c>
      <c r="CF724" s="44"/>
      <c r="CG724" s="45" t="s">
        <v>16</v>
      </c>
      <c r="CH724" s="46" t="str">
        <f>IF(VLOOKUP(CG724,βοηθητικό!$J$2:$N$354,3,FALSE)="","",VLOOKUP(CG724,βοηθητικό!$J$2:$N$354,3,FALSE))</f>
        <v>_</v>
      </c>
      <c r="CI724" s="47"/>
      <c r="CJ724" s="42" t="s">
        <v>16</v>
      </c>
      <c r="CK724" s="43" t="str">
        <f>IF(VLOOKUP(CJ724,βοηθητικό!$J$2:$N$354,3,FALSE)="","",VLOOKUP(CJ724,βοηθητικό!$J$2:$N$354,3,FALSE))</f>
        <v>_</v>
      </c>
      <c r="CL724" s="44"/>
      <c r="CM724" s="45" t="s">
        <v>16</v>
      </c>
      <c r="CN724" s="46" t="str">
        <f>IF(VLOOKUP(CM724,βοηθητικό!$J$2:$N$354,3,FALSE)="","",VLOOKUP(CM724,βοηθητικό!$J$2:$N$354,3,FALSE))</f>
        <v>_</v>
      </c>
      <c r="CO724" s="47"/>
      <c r="CP724" s="42" t="s">
        <v>16</v>
      </c>
      <c r="CQ724" s="43" t="str">
        <f>IF(VLOOKUP(CP724,βοηθητικό!$J$2:$N$354,3,FALSE)="","",VLOOKUP(CP724,βοηθητικό!$J$2:$N$354,3,FALSE))</f>
        <v>_</v>
      </c>
      <c r="CR724" s="44"/>
      <c r="CS724" s="45" t="s">
        <v>16</v>
      </c>
      <c r="CT724" s="46" t="str">
        <f>IF(VLOOKUP(CS724,βοηθητικό!$J$2:$N$354,3,FALSE)="","",VLOOKUP(CS724,βοηθητικό!$J$2:$N$354,3,FALSE))</f>
        <v>_</v>
      </c>
      <c r="CU724" s="47"/>
    </row>
    <row r="725" spans="1:99" x14ac:dyDescent="0.25">
      <c r="A725" s="37">
        <f>--SUBTOTAL(3,$B$3:B724)</f>
        <v>198</v>
      </c>
      <c r="B725" s="2"/>
      <c r="C725" s="3"/>
      <c r="D725" s="55" t="s">
        <v>18</v>
      </c>
      <c r="E725" s="38" t="s">
        <v>16</v>
      </c>
      <c r="F725" s="38"/>
      <c r="G725" s="39" t="str">
        <f t="shared" si="35"/>
        <v>__</v>
      </c>
      <c r="H725" s="40" t="str">
        <f t="shared" si="36"/>
        <v>FALSE</v>
      </c>
      <c r="I725" s="41">
        <f t="shared" si="37"/>
        <v>0</v>
      </c>
      <c r="J725" s="4" t="s">
        <v>16</v>
      </c>
      <c r="K725" s="43" t="str">
        <f>IF(VLOOKUP(J725,βοηθητικό!$J$2:$N$354,3,FALSE)="","",VLOOKUP(J725,βοηθητικό!$J$2:$N$354,3,FALSE))</f>
        <v>_</v>
      </c>
      <c r="L725" s="44"/>
      <c r="M725" s="5" t="s">
        <v>16</v>
      </c>
      <c r="N725" s="46" t="str">
        <f>IF(VLOOKUP(M725,βοηθητικό!$J$2:$N$354,3,FALSE)="","",VLOOKUP(M725,βοηθητικό!$J$2:$N$354,3,FALSE))</f>
        <v>_</v>
      </c>
      <c r="O725" s="47"/>
      <c r="P725" s="4" t="s">
        <v>16</v>
      </c>
      <c r="Q725" s="43" t="str">
        <f>IF(VLOOKUP(P725,βοηθητικό!$J$2:$N$354,3,FALSE)="","",VLOOKUP(P725,βοηθητικό!$J$2:$N$354,3,FALSE))</f>
        <v>_</v>
      </c>
      <c r="R725" s="44"/>
      <c r="S725" s="5" t="s">
        <v>16</v>
      </c>
      <c r="T725" s="46" t="str">
        <f>IF(VLOOKUP(S725,βοηθητικό!$J$2:$N$354,3,FALSE)="","",VLOOKUP(S725,βοηθητικό!$J$2:$N$354,3,FALSE))</f>
        <v>_</v>
      </c>
      <c r="U725" s="47"/>
      <c r="V725" s="4" t="s">
        <v>16</v>
      </c>
      <c r="W725" s="43" t="str">
        <f>IF(VLOOKUP(V725,βοηθητικό!$J$2:$N$354,3,FALSE)="","",VLOOKUP(V725,βοηθητικό!$J$2:$N$354,3,FALSE))</f>
        <v>_</v>
      </c>
      <c r="X725" s="44"/>
      <c r="Y725" s="5" t="s">
        <v>16</v>
      </c>
      <c r="Z725" s="46" t="str">
        <f>IF(VLOOKUP(Y725,βοηθητικό!$J$2:$N$354,3,FALSE)="","",VLOOKUP(Y725,βοηθητικό!$J$2:$N$354,3,FALSE))</f>
        <v>_</v>
      </c>
      <c r="AA725" s="47"/>
      <c r="AB725" s="4" t="s">
        <v>16</v>
      </c>
      <c r="AC725" s="43" t="str">
        <f>IF(VLOOKUP(AB725,βοηθητικό!$J$2:$N$354,3,FALSE)="","",VLOOKUP(AB725,βοηθητικό!$J$2:$N$354,3,FALSE))</f>
        <v>_</v>
      </c>
      <c r="AD725" s="44"/>
      <c r="AE725" s="5" t="s">
        <v>16</v>
      </c>
      <c r="AF725" s="46" t="str">
        <f>IF(VLOOKUP(AE725,βοηθητικό!$J$2:$N$354,3,FALSE)="","",VLOOKUP(AE725,βοηθητικό!$J$2:$N$354,3,FALSE))</f>
        <v>_</v>
      </c>
      <c r="AG725" s="47"/>
      <c r="AH725" s="4" t="s">
        <v>16</v>
      </c>
      <c r="AI725" s="43" t="str">
        <f>IF(VLOOKUP(AH725,βοηθητικό!$J$2:$N$354,3,FALSE)="","",VLOOKUP(AH725,βοηθητικό!$J$2:$N$354,3,FALSE))</f>
        <v>_</v>
      </c>
      <c r="AJ725" s="44"/>
      <c r="AK725" s="5" t="s">
        <v>16</v>
      </c>
      <c r="AL725" s="46" t="str">
        <f>IF(VLOOKUP(AK725,βοηθητικό!$J$2:$N$354,3,FALSE)="","",VLOOKUP(AK725,βοηθητικό!$J$2:$N$354,3,FALSE))</f>
        <v>_</v>
      </c>
      <c r="AM725" s="47"/>
      <c r="AN725" s="4" t="s">
        <v>16</v>
      </c>
      <c r="AO725" s="43" t="str">
        <f>IF(VLOOKUP(AN725,βοηθητικό!$J$2:$N$354,3,FALSE)="","",VLOOKUP(AN725,βοηθητικό!$J$2:$N$354,3,FALSE))</f>
        <v>_</v>
      </c>
      <c r="AP725" s="44"/>
      <c r="AQ725" s="5" t="s">
        <v>16</v>
      </c>
      <c r="AR725" s="46" t="str">
        <f>IF(VLOOKUP(AQ725,βοηθητικό!$J$2:$N$354,3,FALSE)="","",VLOOKUP(AQ725,βοηθητικό!$J$2:$N$354,3,FALSE))</f>
        <v>_</v>
      </c>
      <c r="AS725" s="47"/>
      <c r="AT725" s="4" t="s">
        <v>16</v>
      </c>
      <c r="AU725" s="43" t="str">
        <f>IF(VLOOKUP(AT725,βοηθητικό!$J$2:$N$354,3,FALSE)="","",VLOOKUP(AT725,βοηθητικό!$J$2:$N$354,3,FALSE))</f>
        <v>_</v>
      </c>
      <c r="AV725" s="44"/>
      <c r="AW725" s="5" t="s">
        <v>16</v>
      </c>
      <c r="AX725" s="46" t="str">
        <f>IF(VLOOKUP(AW725,βοηθητικό!$J$2:$N$354,3,FALSE)="","",VLOOKUP(AW725,βοηθητικό!$J$2:$N$354,3,FALSE))</f>
        <v>_</v>
      </c>
      <c r="AY725" s="47"/>
      <c r="AZ725" s="4" t="s">
        <v>16</v>
      </c>
      <c r="BA725" s="43" t="str">
        <f>IF(VLOOKUP(AZ725,βοηθητικό!$J$2:$N$354,3,FALSE)="","",VLOOKUP(AZ725,βοηθητικό!$J$2:$N$354,3,FALSE))</f>
        <v>_</v>
      </c>
      <c r="BB725" s="44"/>
      <c r="BC725" s="45" t="s">
        <v>16</v>
      </c>
      <c r="BD725" s="46" t="str">
        <f>IF(VLOOKUP(BC725,βοηθητικό!$J$2:$N$354,3,FALSE)="","",VLOOKUP(BC725,βοηθητικό!$J$2:$N$354,3,FALSE))</f>
        <v>_</v>
      </c>
      <c r="BE725" s="47"/>
      <c r="BF725" s="42" t="s">
        <v>16</v>
      </c>
      <c r="BG725" s="43" t="str">
        <f>IF(VLOOKUP(BF725,βοηθητικό!$J$2:$N$354,3,FALSE)="","",VLOOKUP(BF725,βοηθητικό!$J$2:$N$354,3,FALSE))</f>
        <v>_</v>
      </c>
      <c r="BH725" s="44"/>
      <c r="BI725" s="45" t="s">
        <v>16</v>
      </c>
      <c r="BJ725" s="46" t="str">
        <f>IF(VLOOKUP(BI725,βοηθητικό!$J$2:$N$354,3,FALSE)="","",VLOOKUP(BI725,βοηθητικό!$J$2:$N$354,3,FALSE))</f>
        <v>_</v>
      </c>
      <c r="BK725" s="47"/>
      <c r="BL725" s="42" t="s">
        <v>16</v>
      </c>
      <c r="BM725" s="43" t="str">
        <f>IF(VLOOKUP(BL725,βοηθητικό!$J$2:$N$354,3,FALSE)="","",VLOOKUP(BL725,βοηθητικό!$J$2:$N$354,3,FALSE))</f>
        <v>_</v>
      </c>
      <c r="BN725" s="44"/>
      <c r="BO725" s="45" t="s">
        <v>16</v>
      </c>
      <c r="BP725" s="46" t="str">
        <f>IF(VLOOKUP(BO725,βοηθητικό!$J$2:$N$354,3,FALSE)="","",VLOOKUP(BO725,βοηθητικό!$J$2:$N$354,3,FALSE))</f>
        <v>_</v>
      </c>
      <c r="BQ725" s="47"/>
      <c r="BR725" s="42" t="s">
        <v>16</v>
      </c>
      <c r="BS725" s="43" t="str">
        <f>IF(VLOOKUP(BR725,βοηθητικό!$J$2:$N$354,3,FALSE)="","",VLOOKUP(BR725,βοηθητικό!$J$2:$N$354,3,FALSE))</f>
        <v>_</v>
      </c>
      <c r="BT725" s="44"/>
      <c r="BU725" s="45" t="s">
        <v>16</v>
      </c>
      <c r="BV725" s="46" t="str">
        <f>IF(VLOOKUP(BU725,βοηθητικό!$J$2:$N$354,3,FALSE)="","",VLOOKUP(BU725,βοηθητικό!$J$2:$N$354,3,FALSE))</f>
        <v>_</v>
      </c>
      <c r="BW725" s="47"/>
      <c r="BX725" s="42" t="s">
        <v>16</v>
      </c>
      <c r="BY725" s="43" t="str">
        <f>IF(VLOOKUP(BX725,βοηθητικό!$J$2:$N$354,3,FALSE)="","",VLOOKUP(BX725,βοηθητικό!$J$2:$N$354,3,FALSE))</f>
        <v>_</v>
      </c>
      <c r="BZ725" s="44"/>
      <c r="CA725" s="45" t="s">
        <v>16</v>
      </c>
      <c r="CB725" s="46" t="str">
        <f>IF(VLOOKUP(CA725,βοηθητικό!$J$2:$N$354,3,FALSE)="","",VLOOKUP(CA725,βοηθητικό!$J$2:$N$354,3,FALSE))</f>
        <v>_</v>
      </c>
      <c r="CC725" s="47"/>
      <c r="CD725" s="42" t="s">
        <v>16</v>
      </c>
      <c r="CE725" s="43" t="str">
        <f>IF(VLOOKUP(CD725,βοηθητικό!$J$2:$N$354,3,FALSE)="","",VLOOKUP(CD725,βοηθητικό!$J$2:$N$354,3,FALSE))</f>
        <v>_</v>
      </c>
      <c r="CF725" s="44"/>
      <c r="CG725" s="45" t="s">
        <v>16</v>
      </c>
      <c r="CH725" s="46" t="str">
        <f>IF(VLOOKUP(CG725,βοηθητικό!$J$2:$N$354,3,FALSE)="","",VLOOKUP(CG725,βοηθητικό!$J$2:$N$354,3,FALSE))</f>
        <v>_</v>
      </c>
      <c r="CI725" s="47"/>
      <c r="CJ725" s="42" t="s">
        <v>16</v>
      </c>
      <c r="CK725" s="43" t="str">
        <f>IF(VLOOKUP(CJ725,βοηθητικό!$J$2:$N$354,3,FALSE)="","",VLOOKUP(CJ725,βοηθητικό!$J$2:$N$354,3,FALSE))</f>
        <v>_</v>
      </c>
      <c r="CL725" s="44"/>
      <c r="CM725" s="45" t="s">
        <v>16</v>
      </c>
      <c r="CN725" s="46" t="str">
        <f>IF(VLOOKUP(CM725,βοηθητικό!$J$2:$N$354,3,FALSE)="","",VLOOKUP(CM725,βοηθητικό!$J$2:$N$354,3,FALSE))</f>
        <v>_</v>
      </c>
      <c r="CO725" s="47"/>
      <c r="CP725" s="42" t="s">
        <v>16</v>
      </c>
      <c r="CQ725" s="43" t="str">
        <f>IF(VLOOKUP(CP725,βοηθητικό!$J$2:$N$354,3,FALSE)="","",VLOOKUP(CP725,βοηθητικό!$J$2:$N$354,3,FALSE))</f>
        <v>_</v>
      </c>
      <c r="CR725" s="44"/>
      <c r="CS725" s="45" t="s">
        <v>16</v>
      </c>
      <c r="CT725" s="46" t="str">
        <f>IF(VLOOKUP(CS725,βοηθητικό!$J$2:$N$354,3,FALSE)="","",VLOOKUP(CS725,βοηθητικό!$J$2:$N$354,3,FALSE))</f>
        <v>_</v>
      </c>
      <c r="CU725" s="47"/>
    </row>
    <row r="726" spans="1:99" x14ac:dyDescent="0.25">
      <c r="A726" s="37">
        <f>--SUBTOTAL(3,$B$3:B725)</f>
        <v>198</v>
      </c>
      <c r="B726" s="2"/>
      <c r="C726" s="3"/>
      <c r="D726" s="55" t="s">
        <v>18</v>
      </c>
      <c r="E726" s="38" t="s">
        <v>16</v>
      </c>
      <c r="F726" s="38"/>
      <c r="G726" s="39" t="str">
        <f t="shared" si="35"/>
        <v>__</v>
      </c>
      <c r="H726" s="40" t="str">
        <f t="shared" si="36"/>
        <v>FALSE</v>
      </c>
      <c r="I726" s="41">
        <f t="shared" si="37"/>
        <v>0</v>
      </c>
      <c r="J726" s="4" t="s">
        <v>16</v>
      </c>
      <c r="K726" s="43" t="str">
        <f>IF(VLOOKUP(J726,βοηθητικό!$J$2:$N$354,3,FALSE)="","",VLOOKUP(J726,βοηθητικό!$J$2:$N$354,3,FALSE))</f>
        <v>_</v>
      </c>
      <c r="L726" s="44"/>
      <c r="M726" s="5" t="s">
        <v>16</v>
      </c>
      <c r="N726" s="46" t="str">
        <f>IF(VLOOKUP(M726,βοηθητικό!$J$2:$N$354,3,FALSE)="","",VLOOKUP(M726,βοηθητικό!$J$2:$N$354,3,FALSE))</f>
        <v>_</v>
      </c>
      <c r="O726" s="47"/>
      <c r="P726" s="4" t="s">
        <v>16</v>
      </c>
      <c r="Q726" s="43" t="str">
        <f>IF(VLOOKUP(P726,βοηθητικό!$J$2:$N$354,3,FALSE)="","",VLOOKUP(P726,βοηθητικό!$J$2:$N$354,3,FALSE))</f>
        <v>_</v>
      </c>
      <c r="R726" s="44"/>
      <c r="S726" s="5" t="s">
        <v>16</v>
      </c>
      <c r="T726" s="46" t="str">
        <f>IF(VLOOKUP(S726,βοηθητικό!$J$2:$N$354,3,FALSE)="","",VLOOKUP(S726,βοηθητικό!$J$2:$N$354,3,FALSE))</f>
        <v>_</v>
      </c>
      <c r="U726" s="47"/>
      <c r="V726" s="4" t="s">
        <v>16</v>
      </c>
      <c r="W726" s="43" t="str">
        <f>IF(VLOOKUP(V726,βοηθητικό!$J$2:$N$354,3,FALSE)="","",VLOOKUP(V726,βοηθητικό!$J$2:$N$354,3,FALSE))</f>
        <v>_</v>
      </c>
      <c r="X726" s="44"/>
      <c r="Y726" s="5" t="s">
        <v>16</v>
      </c>
      <c r="Z726" s="46" t="str">
        <f>IF(VLOOKUP(Y726,βοηθητικό!$J$2:$N$354,3,FALSE)="","",VLOOKUP(Y726,βοηθητικό!$J$2:$N$354,3,FALSE))</f>
        <v>_</v>
      </c>
      <c r="AA726" s="47"/>
      <c r="AB726" s="4" t="s">
        <v>16</v>
      </c>
      <c r="AC726" s="43" t="str">
        <f>IF(VLOOKUP(AB726,βοηθητικό!$J$2:$N$354,3,FALSE)="","",VLOOKUP(AB726,βοηθητικό!$J$2:$N$354,3,FALSE))</f>
        <v>_</v>
      </c>
      <c r="AD726" s="44"/>
      <c r="AE726" s="5" t="s">
        <v>16</v>
      </c>
      <c r="AF726" s="46" t="str">
        <f>IF(VLOOKUP(AE726,βοηθητικό!$J$2:$N$354,3,FALSE)="","",VLOOKUP(AE726,βοηθητικό!$J$2:$N$354,3,FALSE))</f>
        <v>_</v>
      </c>
      <c r="AG726" s="47"/>
      <c r="AH726" s="4" t="s">
        <v>16</v>
      </c>
      <c r="AI726" s="43" t="str">
        <f>IF(VLOOKUP(AH726,βοηθητικό!$J$2:$N$354,3,FALSE)="","",VLOOKUP(AH726,βοηθητικό!$J$2:$N$354,3,FALSE))</f>
        <v>_</v>
      </c>
      <c r="AJ726" s="44"/>
      <c r="AK726" s="5" t="s">
        <v>16</v>
      </c>
      <c r="AL726" s="46" t="str">
        <f>IF(VLOOKUP(AK726,βοηθητικό!$J$2:$N$354,3,FALSE)="","",VLOOKUP(AK726,βοηθητικό!$J$2:$N$354,3,FALSE))</f>
        <v>_</v>
      </c>
      <c r="AM726" s="47"/>
      <c r="AN726" s="4" t="s">
        <v>16</v>
      </c>
      <c r="AO726" s="43" t="str">
        <f>IF(VLOOKUP(AN726,βοηθητικό!$J$2:$N$354,3,FALSE)="","",VLOOKUP(AN726,βοηθητικό!$J$2:$N$354,3,FALSE))</f>
        <v>_</v>
      </c>
      <c r="AP726" s="44"/>
      <c r="AQ726" s="5" t="s">
        <v>16</v>
      </c>
      <c r="AR726" s="46" t="str">
        <f>IF(VLOOKUP(AQ726,βοηθητικό!$J$2:$N$354,3,FALSE)="","",VLOOKUP(AQ726,βοηθητικό!$J$2:$N$354,3,FALSE))</f>
        <v>_</v>
      </c>
      <c r="AS726" s="47"/>
      <c r="AT726" s="4" t="s">
        <v>16</v>
      </c>
      <c r="AU726" s="43" t="str">
        <f>IF(VLOOKUP(AT726,βοηθητικό!$J$2:$N$354,3,FALSE)="","",VLOOKUP(AT726,βοηθητικό!$J$2:$N$354,3,FALSE))</f>
        <v>_</v>
      </c>
      <c r="AV726" s="44"/>
      <c r="AW726" s="5" t="s">
        <v>16</v>
      </c>
      <c r="AX726" s="46" t="str">
        <f>IF(VLOOKUP(AW726,βοηθητικό!$J$2:$N$354,3,FALSE)="","",VLOOKUP(AW726,βοηθητικό!$J$2:$N$354,3,FALSE))</f>
        <v>_</v>
      </c>
      <c r="AY726" s="47"/>
      <c r="AZ726" s="4" t="s">
        <v>16</v>
      </c>
      <c r="BA726" s="43" t="str">
        <f>IF(VLOOKUP(AZ726,βοηθητικό!$J$2:$N$354,3,FALSE)="","",VLOOKUP(AZ726,βοηθητικό!$J$2:$N$354,3,FALSE))</f>
        <v>_</v>
      </c>
      <c r="BB726" s="44"/>
      <c r="BC726" s="45" t="s">
        <v>16</v>
      </c>
      <c r="BD726" s="46" t="str">
        <f>IF(VLOOKUP(BC726,βοηθητικό!$J$2:$N$354,3,FALSE)="","",VLOOKUP(BC726,βοηθητικό!$J$2:$N$354,3,FALSE))</f>
        <v>_</v>
      </c>
      <c r="BE726" s="47"/>
      <c r="BF726" s="42" t="s">
        <v>16</v>
      </c>
      <c r="BG726" s="43" t="str">
        <f>IF(VLOOKUP(BF726,βοηθητικό!$J$2:$N$354,3,FALSE)="","",VLOOKUP(BF726,βοηθητικό!$J$2:$N$354,3,FALSE))</f>
        <v>_</v>
      </c>
      <c r="BH726" s="44"/>
      <c r="BI726" s="45" t="s">
        <v>16</v>
      </c>
      <c r="BJ726" s="46" t="str">
        <f>IF(VLOOKUP(BI726,βοηθητικό!$J$2:$N$354,3,FALSE)="","",VLOOKUP(BI726,βοηθητικό!$J$2:$N$354,3,FALSE))</f>
        <v>_</v>
      </c>
      <c r="BK726" s="47"/>
      <c r="BL726" s="42" t="s">
        <v>16</v>
      </c>
      <c r="BM726" s="43" t="str">
        <f>IF(VLOOKUP(BL726,βοηθητικό!$J$2:$N$354,3,FALSE)="","",VLOOKUP(BL726,βοηθητικό!$J$2:$N$354,3,FALSE))</f>
        <v>_</v>
      </c>
      <c r="BN726" s="44"/>
      <c r="BO726" s="45" t="s">
        <v>16</v>
      </c>
      <c r="BP726" s="46" t="str">
        <f>IF(VLOOKUP(BO726,βοηθητικό!$J$2:$N$354,3,FALSE)="","",VLOOKUP(BO726,βοηθητικό!$J$2:$N$354,3,FALSE))</f>
        <v>_</v>
      </c>
      <c r="BQ726" s="47"/>
      <c r="BR726" s="42" t="s">
        <v>16</v>
      </c>
      <c r="BS726" s="43" t="str">
        <f>IF(VLOOKUP(BR726,βοηθητικό!$J$2:$N$354,3,FALSE)="","",VLOOKUP(BR726,βοηθητικό!$J$2:$N$354,3,FALSE))</f>
        <v>_</v>
      </c>
      <c r="BT726" s="44"/>
      <c r="BU726" s="45" t="s">
        <v>16</v>
      </c>
      <c r="BV726" s="46" t="str">
        <f>IF(VLOOKUP(BU726,βοηθητικό!$J$2:$N$354,3,FALSE)="","",VLOOKUP(BU726,βοηθητικό!$J$2:$N$354,3,FALSE))</f>
        <v>_</v>
      </c>
      <c r="BW726" s="47"/>
      <c r="BX726" s="42" t="s">
        <v>16</v>
      </c>
      <c r="BY726" s="43" t="str">
        <f>IF(VLOOKUP(BX726,βοηθητικό!$J$2:$N$354,3,FALSE)="","",VLOOKUP(BX726,βοηθητικό!$J$2:$N$354,3,FALSE))</f>
        <v>_</v>
      </c>
      <c r="BZ726" s="44"/>
      <c r="CA726" s="45" t="s">
        <v>16</v>
      </c>
      <c r="CB726" s="46" t="str">
        <f>IF(VLOOKUP(CA726,βοηθητικό!$J$2:$N$354,3,FALSE)="","",VLOOKUP(CA726,βοηθητικό!$J$2:$N$354,3,FALSE))</f>
        <v>_</v>
      </c>
      <c r="CC726" s="47"/>
      <c r="CD726" s="42" t="s">
        <v>16</v>
      </c>
      <c r="CE726" s="43" t="str">
        <f>IF(VLOOKUP(CD726,βοηθητικό!$J$2:$N$354,3,FALSE)="","",VLOOKUP(CD726,βοηθητικό!$J$2:$N$354,3,FALSE))</f>
        <v>_</v>
      </c>
      <c r="CF726" s="44"/>
      <c r="CG726" s="45" t="s">
        <v>16</v>
      </c>
      <c r="CH726" s="46" t="str">
        <f>IF(VLOOKUP(CG726,βοηθητικό!$J$2:$N$354,3,FALSE)="","",VLOOKUP(CG726,βοηθητικό!$J$2:$N$354,3,FALSE))</f>
        <v>_</v>
      </c>
      <c r="CI726" s="47"/>
      <c r="CJ726" s="42" t="s">
        <v>16</v>
      </c>
      <c r="CK726" s="43" t="str">
        <f>IF(VLOOKUP(CJ726,βοηθητικό!$J$2:$N$354,3,FALSE)="","",VLOOKUP(CJ726,βοηθητικό!$J$2:$N$354,3,FALSE))</f>
        <v>_</v>
      </c>
      <c r="CL726" s="44"/>
      <c r="CM726" s="45" t="s">
        <v>16</v>
      </c>
      <c r="CN726" s="46" t="str">
        <f>IF(VLOOKUP(CM726,βοηθητικό!$J$2:$N$354,3,FALSE)="","",VLOOKUP(CM726,βοηθητικό!$J$2:$N$354,3,FALSE))</f>
        <v>_</v>
      </c>
      <c r="CO726" s="47"/>
      <c r="CP726" s="42" t="s">
        <v>16</v>
      </c>
      <c r="CQ726" s="43" t="str">
        <f>IF(VLOOKUP(CP726,βοηθητικό!$J$2:$N$354,3,FALSE)="","",VLOOKUP(CP726,βοηθητικό!$J$2:$N$354,3,FALSE))</f>
        <v>_</v>
      </c>
      <c r="CR726" s="44"/>
      <c r="CS726" s="45" t="s">
        <v>16</v>
      </c>
      <c r="CT726" s="46" t="str">
        <f>IF(VLOOKUP(CS726,βοηθητικό!$J$2:$N$354,3,FALSE)="","",VLOOKUP(CS726,βοηθητικό!$J$2:$N$354,3,FALSE))</f>
        <v>_</v>
      </c>
      <c r="CU726" s="47"/>
    </row>
    <row r="727" spans="1:99" x14ac:dyDescent="0.25">
      <c r="A727" s="37">
        <f>--SUBTOTAL(3,$B$3:B726)</f>
        <v>198</v>
      </c>
      <c r="B727" s="2"/>
      <c r="C727" s="3"/>
      <c r="D727" s="55" t="s">
        <v>18</v>
      </c>
      <c r="E727" s="38" t="s">
        <v>16</v>
      </c>
      <c r="F727" s="38"/>
      <c r="G727" s="39" t="str">
        <f t="shared" si="35"/>
        <v>__</v>
      </c>
      <c r="H727" s="40" t="str">
        <f t="shared" si="36"/>
        <v>FALSE</v>
      </c>
      <c r="I727" s="41">
        <f t="shared" si="37"/>
        <v>0</v>
      </c>
      <c r="J727" s="4" t="s">
        <v>16</v>
      </c>
      <c r="K727" s="43" t="str">
        <f>IF(VLOOKUP(J727,βοηθητικό!$J$2:$N$354,3,FALSE)="","",VLOOKUP(J727,βοηθητικό!$J$2:$N$354,3,FALSE))</f>
        <v>_</v>
      </c>
      <c r="L727" s="44"/>
      <c r="M727" s="5" t="s">
        <v>16</v>
      </c>
      <c r="N727" s="46" t="str">
        <f>IF(VLOOKUP(M727,βοηθητικό!$J$2:$N$354,3,FALSE)="","",VLOOKUP(M727,βοηθητικό!$J$2:$N$354,3,FALSE))</f>
        <v>_</v>
      </c>
      <c r="O727" s="47"/>
      <c r="P727" s="4" t="s">
        <v>16</v>
      </c>
      <c r="Q727" s="43" t="str">
        <f>IF(VLOOKUP(P727,βοηθητικό!$J$2:$N$354,3,FALSE)="","",VLOOKUP(P727,βοηθητικό!$J$2:$N$354,3,FALSE))</f>
        <v>_</v>
      </c>
      <c r="R727" s="44"/>
      <c r="S727" s="5" t="s">
        <v>16</v>
      </c>
      <c r="T727" s="46" t="str">
        <f>IF(VLOOKUP(S727,βοηθητικό!$J$2:$N$354,3,FALSE)="","",VLOOKUP(S727,βοηθητικό!$J$2:$N$354,3,FALSE))</f>
        <v>_</v>
      </c>
      <c r="U727" s="47"/>
      <c r="V727" s="4" t="s">
        <v>16</v>
      </c>
      <c r="W727" s="43" t="str">
        <f>IF(VLOOKUP(V727,βοηθητικό!$J$2:$N$354,3,FALSE)="","",VLOOKUP(V727,βοηθητικό!$J$2:$N$354,3,FALSE))</f>
        <v>_</v>
      </c>
      <c r="X727" s="44"/>
      <c r="Y727" s="5" t="s">
        <v>16</v>
      </c>
      <c r="Z727" s="46" t="str">
        <f>IF(VLOOKUP(Y727,βοηθητικό!$J$2:$N$354,3,FALSE)="","",VLOOKUP(Y727,βοηθητικό!$J$2:$N$354,3,FALSE))</f>
        <v>_</v>
      </c>
      <c r="AA727" s="47"/>
      <c r="AB727" s="4" t="s">
        <v>16</v>
      </c>
      <c r="AC727" s="43" t="str">
        <f>IF(VLOOKUP(AB727,βοηθητικό!$J$2:$N$354,3,FALSE)="","",VLOOKUP(AB727,βοηθητικό!$J$2:$N$354,3,FALSE))</f>
        <v>_</v>
      </c>
      <c r="AD727" s="44"/>
      <c r="AE727" s="5" t="s">
        <v>16</v>
      </c>
      <c r="AF727" s="46" t="str">
        <f>IF(VLOOKUP(AE727,βοηθητικό!$J$2:$N$354,3,FALSE)="","",VLOOKUP(AE727,βοηθητικό!$J$2:$N$354,3,FALSE))</f>
        <v>_</v>
      </c>
      <c r="AG727" s="47"/>
      <c r="AH727" s="4" t="s">
        <v>16</v>
      </c>
      <c r="AI727" s="43" t="str">
        <f>IF(VLOOKUP(AH727,βοηθητικό!$J$2:$N$354,3,FALSE)="","",VLOOKUP(AH727,βοηθητικό!$J$2:$N$354,3,FALSE))</f>
        <v>_</v>
      </c>
      <c r="AJ727" s="44"/>
      <c r="AK727" s="5" t="s">
        <v>16</v>
      </c>
      <c r="AL727" s="46" t="str">
        <f>IF(VLOOKUP(AK727,βοηθητικό!$J$2:$N$354,3,FALSE)="","",VLOOKUP(AK727,βοηθητικό!$J$2:$N$354,3,FALSE))</f>
        <v>_</v>
      </c>
      <c r="AM727" s="47"/>
      <c r="AN727" s="4" t="s">
        <v>16</v>
      </c>
      <c r="AO727" s="43" t="str">
        <f>IF(VLOOKUP(AN727,βοηθητικό!$J$2:$N$354,3,FALSE)="","",VLOOKUP(AN727,βοηθητικό!$J$2:$N$354,3,FALSE))</f>
        <v>_</v>
      </c>
      <c r="AP727" s="44"/>
      <c r="AQ727" s="5" t="s">
        <v>16</v>
      </c>
      <c r="AR727" s="46" t="str">
        <f>IF(VLOOKUP(AQ727,βοηθητικό!$J$2:$N$354,3,FALSE)="","",VLOOKUP(AQ727,βοηθητικό!$J$2:$N$354,3,FALSE))</f>
        <v>_</v>
      </c>
      <c r="AS727" s="47"/>
      <c r="AT727" s="4" t="s">
        <v>16</v>
      </c>
      <c r="AU727" s="43" t="str">
        <f>IF(VLOOKUP(AT727,βοηθητικό!$J$2:$N$354,3,FALSE)="","",VLOOKUP(AT727,βοηθητικό!$J$2:$N$354,3,FALSE))</f>
        <v>_</v>
      </c>
      <c r="AV727" s="44"/>
      <c r="AW727" s="5" t="s">
        <v>16</v>
      </c>
      <c r="AX727" s="46" t="str">
        <f>IF(VLOOKUP(AW727,βοηθητικό!$J$2:$N$354,3,FALSE)="","",VLOOKUP(AW727,βοηθητικό!$J$2:$N$354,3,FALSE))</f>
        <v>_</v>
      </c>
      <c r="AY727" s="47"/>
      <c r="AZ727" s="4" t="s">
        <v>16</v>
      </c>
      <c r="BA727" s="43" t="str">
        <f>IF(VLOOKUP(AZ727,βοηθητικό!$J$2:$N$354,3,FALSE)="","",VLOOKUP(AZ727,βοηθητικό!$J$2:$N$354,3,FALSE))</f>
        <v>_</v>
      </c>
      <c r="BB727" s="44"/>
      <c r="BC727" s="45" t="s">
        <v>16</v>
      </c>
      <c r="BD727" s="46" t="str">
        <f>IF(VLOOKUP(BC727,βοηθητικό!$J$2:$N$354,3,FALSE)="","",VLOOKUP(BC727,βοηθητικό!$J$2:$N$354,3,FALSE))</f>
        <v>_</v>
      </c>
      <c r="BE727" s="47"/>
      <c r="BF727" s="42" t="s">
        <v>16</v>
      </c>
      <c r="BG727" s="43" t="str">
        <f>IF(VLOOKUP(BF727,βοηθητικό!$J$2:$N$354,3,FALSE)="","",VLOOKUP(BF727,βοηθητικό!$J$2:$N$354,3,FALSE))</f>
        <v>_</v>
      </c>
      <c r="BH727" s="44"/>
      <c r="BI727" s="45" t="s">
        <v>16</v>
      </c>
      <c r="BJ727" s="46" t="str">
        <f>IF(VLOOKUP(BI727,βοηθητικό!$J$2:$N$354,3,FALSE)="","",VLOOKUP(BI727,βοηθητικό!$J$2:$N$354,3,FALSE))</f>
        <v>_</v>
      </c>
      <c r="BK727" s="47"/>
      <c r="BL727" s="42" t="s">
        <v>16</v>
      </c>
      <c r="BM727" s="43" t="str">
        <f>IF(VLOOKUP(BL727,βοηθητικό!$J$2:$N$354,3,FALSE)="","",VLOOKUP(BL727,βοηθητικό!$J$2:$N$354,3,FALSE))</f>
        <v>_</v>
      </c>
      <c r="BN727" s="44"/>
      <c r="BO727" s="45" t="s">
        <v>16</v>
      </c>
      <c r="BP727" s="46" t="str">
        <f>IF(VLOOKUP(BO727,βοηθητικό!$J$2:$N$354,3,FALSE)="","",VLOOKUP(BO727,βοηθητικό!$J$2:$N$354,3,FALSE))</f>
        <v>_</v>
      </c>
      <c r="BQ727" s="47"/>
      <c r="BR727" s="42" t="s">
        <v>16</v>
      </c>
      <c r="BS727" s="43" t="str">
        <f>IF(VLOOKUP(BR727,βοηθητικό!$J$2:$N$354,3,FALSE)="","",VLOOKUP(BR727,βοηθητικό!$J$2:$N$354,3,FALSE))</f>
        <v>_</v>
      </c>
      <c r="BT727" s="44"/>
      <c r="BU727" s="45" t="s">
        <v>16</v>
      </c>
      <c r="BV727" s="46" t="str">
        <f>IF(VLOOKUP(BU727,βοηθητικό!$J$2:$N$354,3,FALSE)="","",VLOOKUP(BU727,βοηθητικό!$J$2:$N$354,3,FALSE))</f>
        <v>_</v>
      </c>
      <c r="BW727" s="47"/>
      <c r="BX727" s="42" t="s">
        <v>16</v>
      </c>
      <c r="BY727" s="43" t="str">
        <f>IF(VLOOKUP(BX727,βοηθητικό!$J$2:$N$354,3,FALSE)="","",VLOOKUP(BX727,βοηθητικό!$J$2:$N$354,3,FALSE))</f>
        <v>_</v>
      </c>
      <c r="BZ727" s="44"/>
      <c r="CA727" s="45" t="s">
        <v>16</v>
      </c>
      <c r="CB727" s="46" t="str">
        <f>IF(VLOOKUP(CA727,βοηθητικό!$J$2:$N$354,3,FALSE)="","",VLOOKUP(CA727,βοηθητικό!$J$2:$N$354,3,FALSE))</f>
        <v>_</v>
      </c>
      <c r="CC727" s="47"/>
      <c r="CD727" s="42" t="s">
        <v>16</v>
      </c>
      <c r="CE727" s="43" t="str">
        <f>IF(VLOOKUP(CD727,βοηθητικό!$J$2:$N$354,3,FALSE)="","",VLOOKUP(CD727,βοηθητικό!$J$2:$N$354,3,FALSE))</f>
        <v>_</v>
      </c>
      <c r="CF727" s="44"/>
      <c r="CG727" s="45" t="s">
        <v>16</v>
      </c>
      <c r="CH727" s="46" t="str">
        <f>IF(VLOOKUP(CG727,βοηθητικό!$J$2:$N$354,3,FALSE)="","",VLOOKUP(CG727,βοηθητικό!$J$2:$N$354,3,FALSE))</f>
        <v>_</v>
      </c>
      <c r="CI727" s="47"/>
      <c r="CJ727" s="42" t="s">
        <v>16</v>
      </c>
      <c r="CK727" s="43" t="str">
        <f>IF(VLOOKUP(CJ727,βοηθητικό!$J$2:$N$354,3,FALSE)="","",VLOOKUP(CJ727,βοηθητικό!$J$2:$N$354,3,FALSE))</f>
        <v>_</v>
      </c>
      <c r="CL727" s="44"/>
      <c r="CM727" s="45" t="s">
        <v>16</v>
      </c>
      <c r="CN727" s="46" t="str">
        <f>IF(VLOOKUP(CM727,βοηθητικό!$J$2:$N$354,3,FALSE)="","",VLOOKUP(CM727,βοηθητικό!$J$2:$N$354,3,FALSE))</f>
        <v>_</v>
      </c>
      <c r="CO727" s="47"/>
      <c r="CP727" s="42" t="s">
        <v>16</v>
      </c>
      <c r="CQ727" s="43" t="str">
        <f>IF(VLOOKUP(CP727,βοηθητικό!$J$2:$N$354,3,FALSE)="","",VLOOKUP(CP727,βοηθητικό!$J$2:$N$354,3,FALSE))</f>
        <v>_</v>
      </c>
      <c r="CR727" s="44"/>
      <c r="CS727" s="45" t="s">
        <v>16</v>
      </c>
      <c r="CT727" s="46" t="str">
        <f>IF(VLOOKUP(CS727,βοηθητικό!$J$2:$N$354,3,FALSE)="","",VLOOKUP(CS727,βοηθητικό!$J$2:$N$354,3,FALSE))</f>
        <v>_</v>
      </c>
      <c r="CU727" s="47"/>
    </row>
    <row r="728" spans="1:99" x14ac:dyDescent="0.25">
      <c r="A728" s="37">
        <f>--SUBTOTAL(3,$B$3:B727)</f>
        <v>198</v>
      </c>
      <c r="B728" s="2"/>
      <c r="C728" s="3"/>
      <c r="D728" s="55" t="s">
        <v>18</v>
      </c>
      <c r="E728" s="38" t="s">
        <v>16</v>
      </c>
      <c r="F728" s="38"/>
      <c r="G728" s="39" t="str">
        <f t="shared" si="35"/>
        <v>__</v>
      </c>
      <c r="H728" s="40" t="str">
        <f t="shared" si="36"/>
        <v>FALSE</v>
      </c>
      <c r="I728" s="41">
        <f t="shared" si="37"/>
        <v>0</v>
      </c>
      <c r="J728" s="4" t="s">
        <v>16</v>
      </c>
      <c r="K728" s="43" t="str">
        <f>IF(VLOOKUP(J728,βοηθητικό!$J$2:$N$354,3,FALSE)="","",VLOOKUP(J728,βοηθητικό!$J$2:$N$354,3,FALSE))</f>
        <v>_</v>
      </c>
      <c r="L728" s="44"/>
      <c r="M728" s="5" t="s">
        <v>16</v>
      </c>
      <c r="N728" s="46" t="str">
        <f>IF(VLOOKUP(M728,βοηθητικό!$J$2:$N$354,3,FALSE)="","",VLOOKUP(M728,βοηθητικό!$J$2:$N$354,3,FALSE))</f>
        <v>_</v>
      </c>
      <c r="O728" s="47"/>
      <c r="P728" s="4" t="s">
        <v>16</v>
      </c>
      <c r="Q728" s="43" t="str">
        <f>IF(VLOOKUP(P728,βοηθητικό!$J$2:$N$354,3,FALSE)="","",VLOOKUP(P728,βοηθητικό!$J$2:$N$354,3,FALSE))</f>
        <v>_</v>
      </c>
      <c r="R728" s="44"/>
      <c r="S728" s="5" t="s">
        <v>16</v>
      </c>
      <c r="T728" s="46" t="str">
        <f>IF(VLOOKUP(S728,βοηθητικό!$J$2:$N$354,3,FALSE)="","",VLOOKUP(S728,βοηθητικό!$J$2:$N$354,3,FALSE))</f>
        <v>_</v>
      </c>
      <c r="U728" s="47"/>
      <c r="V728" s="4" t="s">
        <v>16</v>
      </c>
      <c r="W728" s="43" t="str">
        <f>IF(VLOOKUP(V728,βοηθητικό!$J$2:$N$354,3,FALSE)="","",VLOOKUP(V728,βοηθητικό!$J$2:$N$354,3,FALSE))</f>
        <v>_</v>
      </c>
      <c r="X728" s="44"/>
      <c r="Y728" s="5" t="s">
        <v>16</v>
      </c>
      <c r="Z728" s="46" t="str">
        <f>IF(VLOOKUP(Y728,βοηθητικό!$J$2:$N$354,3,FALSE)="","",VLOOKUP(Y728,βοηθητικό!$J$2:$N$354,3,FALSE))</f>
        <v>_</v>
      </c>
      <c r="AA728" s="47"/>
      <c r="AB728" s="4" t="s">
        <v>16</v>
      </c>
      <c r="AC728" s="43" t="str">
        <f>IF(VLOOKUP(AB728,βοηθητικό!$J$2:$N$354,3,FALSE)="","",VLOOKUP(AB728,βοηθητικό!$J$2:$N$354,3,FALSE))</f>
        <v>_</v>
      </c>
      <c r="AD728" s="44"/>
      <c r="AE728" s="5" t="s">
        <v>16</v>
      </c>
      <c r="AF728" s="46" t="str">
        <f>IF(VLOOKUP(AE728,βοηθητικό!$J$2:$N$354,3,FALSE)="","",VLOOKUP(AE728,βοηθητικό!$J$2:$N$354,3,FALSE))</f>
        <v>_</v>
      </c>
      <c r="AG728" s="47"/>
      <c r="AH728" s="4" t="s">
        <v>16</v>
      </c>
      <c r="AI728" s="43" t="str">
        <f>IF(VLOOKUP(AH728,βοηθητικό!$J$2:$N$354,3,FALSE)="","",VLOOKUP(AH728,βοηθητικό!$J$2:$N$354,3,FALSE))</f>
        <v>_</v>
      </c>
      <c r="AJ728" s="44"/>
      <c r="AK728" s="5" t="s">
        <v>16</v>
      </c>
      <c r="AL728" s="46" t="str">
        <f>IF(VLOOKUP(AK728,βοηθητικό!$J$2:$N$354,3,FALSE)="","",VLOOKUP(AK728,βοηθητικό!$J$2:$N$354,3,FALSE))</f>
        <v>_</v>
      </c>
      <c r="AM728" s="47"/>
      <c r="AN728" s="4" t="s">
        <v>16</v>
      </c>
      <c r="AO728" s="43" t="str">
        <f>IF(VLOOKUP(AN728,βοηθητικό!$J$2:$N$354,3,FALSE)="","",VLOOKUP(AN728,βοηθητικό!$J$2:$N$354,3,FALSE))</f>
        <v>_</v>
      </c>
      <c r="AP728" s="44"/>
      <c r="AQ728" s="5" t="s">
        <v>16</v>
      </c>
      <c r="AR728" s="46" t="str">
        <f>IF(VLOOKUP(AQ728,βοηθητικό!$J$2:$N$354,3,FALSE)="","",VLOOKUP(AQ728,βοηθητικό!$J$2:$N$354,3,FALSE))</f>
        <v>_</v>
      </c>
      <c r="AS728" s="47"/>
      <c r="AT728" s="4" t="s">
        <v>16</v>
      </c>
      <c r="AU728" s="43" t="str">
        <f>IF(VLOOKUP(AT728,βοηθητικό!$J$2:$N$354,3,FALSE)="","",VLOOKUP(AT728,βοηθητικό!$J$2:$N$354,3,FALSE))</f>
        <v>_</v>
      </c>
      <c r="AV728" s="44"/>
      <c r="AW728" s="5" t="s">
        <v>16</v>
      </c>
      <c r="AX728" s="46" t="str">
        <f>IF(VLOOKUP(AW728,βοηθητικό!$J$2:$N$354,3,FALSE)="","",VLOOKUP(AW728,βοηθητικό!$J$2:$N$354,3,FALSE))</f>
        <v>_</v>
      </c>
      <c r="AY728" s="47"/>
      <c r="AZ728" s="4" t="s">
        <v>16</v>
      </c>
      <c r="BA728" s="43" t="str">
        <f>IF(VLOOKUP(AZ728,βοηθητικό!$J$2:$N$354,3,FALSE)="","",VLOOKUP(AZ728,βοηθητικό!$J$2:$N$354,3,FALSE))</f>
        <v>_</v>
      </c>
      <c r="BB728" s="44"/>
      <c r="BC728" s="45" t="s">
        <v>16</v>
      </c>
      <c r="BD728" s="46" t="str">
        <f>IF(VLOOKUP(BC728,βοηθητικό!$J$2:$N$354,3,FALSE)="","",VLOOKUP(BC728,βοηθητικό!$J$2:$N$354,3,FALSE))</f>
        <v>_</v>
      </c>
      <c r="BE728" s="47"/>
      <c r="BF728" s="42" t="s">
        <v>16</v>
      </c>
      <c r="BG728" s="43" t="str">
        <f>IF(VLOOKUP(BF728,βοηθητικό!$J$2:$N$354,3,FALSE)="","",VLOOKUP(BF728,βοηθητικό!$J$2:$N$354,3,FALSE))</f>
        <v>_</v>
      </c>
      <c r="BH728" s="44"/>
      <c r="BI728" s="45" t="s">
        <v>16</v>
      </c>
      <c r="BJ728" s="46" t="str">
        <f>IF(VLOOKUP(BI728,βοηθητικό!$J$2:$N$354,3,FALSE)="","",VLOOKUP(BI728,βοηθητικό!$J$2:$N$354,3,FALSE))</f>
        <v>_</v>
      </c>
      <c r="BK728" s="47"/>
      <c r="BL728" s="42" t="s">
        <v>16</v>
      </c>
      <c r="BM728" s="43" t="str">
        <f>IF(VLOOKUP(BL728,βοηθητικό!$J$2:$N$354,3,FALSE)="","",VLOOKUP(BL728,βοηθητικό!$J$2:$N$354,3,FALSE))</f>
        <v>_</v>
      </c>
      <c r="BN728" s="44"/>
      <c r="BO728" s="45" t="s">
        <v>16</v>
      </c>
      <c r="BP728" s="46" t="str">
        <f>IF(VLOOKUP(BO728,βοηθητικό!$J$2:$N$354,3,FALSE)="","",VLOOKUP(BO728,βοηθητικό!$J$2:$N$354,3,FALSE))</f>
        <v>_</v>
      </c>
      <c r="BQ728" s="47"/>
      <c r="BR728" s="42" t="s">
        <v>16</v>
      </c>
      <c r="BS728" s="43" t="str">
        <f>IF(VLOOKUP(BR728,βοηθητικό!$J$2:$N$354,3,FALSE)="","",VLOOKUP(BR728,βοηθητικό!$J$2:$N$354,3,FALSE))</f>
        <v>_</v>
      </c>
      <c r="BT728" s="44"/>
      <c r="BU728" s="45" t="s">
        <v>16</v>
      </c>
      <c r="BV728" s="46" t="str">
        <f>IF(VLOOKUP(BU728,βοηθητικό!$J$2:$N$354,3,FALSE)="","",VLOOKUP(BU728,βοηθητικό!$J$2:$N$354,3,FALSE))</f>
        <v>_</v>
      </c>
      <c r="BW728" s="47"/>
      <c r="BX728" s="42" t="s">
        <v>16</v>
      </c>
      <c r="BY728" s="43" t="str">
        <f>IF(VLOOKUP(BX728,βοηθητικό!$J$2:$N$354,3,FALSE)="","",VLOOKUP(BX728,βοηθητικό!$J$2:$N$354,3,FALSE))</f>
        <v>_</v>
      </c>
      <c r="BZ728" s="44"/>
      <c r="CA728" s="45" t="s">
        <v>16</v>
      </c>
      <c r="CB728" s="46" t="str">
        <f>IF(VLOOKUP(CA728,βοηθητικό!$J$2:$N$354,3,FALSE)="","",VLOOKUP(CA728,βοηθητικό!$J$2:$N$354,3,FALSE))</f>
        <v>_</v>
      </c>
      <c r="CC728" s="47"/>
      <c r="CD728" s="42" t="s">
        <v>16</v>
      </c>
      <c r="CE728" s="43" t="str">
        <f>IF(VLOOKUP(CD728,βοηθητικό!$J$2:$N$354,3,FALSE)="","",VLOOKUP(CD728,βοηθητικό!$J$2:$N$354,3,FALSE))</f>
        <v>_</v>
      </c>
      <c r="CF728" s="44"/>
      <c r="CG728" s="45" t="s">
        <v>16</v>
      </c>
      <c r="CH728" s="46" t="str">
        <f>IF(VLOOKUP(CG728,βοηθητικό!$J$2:$N$354,3,FALSE)="","",VLOOKUP(CG728,βοηθητικό!$J$2:$N$354,3,FALSE))</f>
        <v>_</v>
      </c>
      <c r="CI728" s="47"/>
      <c r="CJ728" s="42" t="s">
        <v>16</v>
      </c>
      <c r="CK728" s="43" t="str">
        <f>IF(VLOOKUP(CJ728,βοηθητικό!$J$2:$N$354,3,FALSE)="","",VLOOKUP(CJ728,βοηθητικό!$J$2:$N$354,3,FALSE))</f>
        <v>_</v>
      </c>
      <c r="CL728" s="44"/>
      <c r="CM728" s="45" t="s">
        <v>16</v>
      </c>
      <c r="CN728" s="46" t="str">
        <f>IF(VLOOKUP(CM728,βοηθητικό!$J$2:$N$354,3,FALSE)="","",VLOOKUP(CM728,βοηθητικό!$J$2:$N$354,3,FALSE))</f>
        <v>_</v>
      </c>
      <c r="CO728" s="47"/>
      <c r="CP728" s="42" t="s">
        <v>16</v>
      </c>
      <c r="CQ728" s="43" t="str">
        <f>IF(VLOOKUP(CP728,βοηθητικό!$J$2:$N$354,3,FALSE)="","",VLOOKUP(CP728,βοηθητικό!$J$2:$N$354,3,FALSE))</f>
        <v>_</v>
      </c>
      <c r="CR728" s="44"/>
      <c r="CS728" s="45" t="s">
        <v>16</v>
      </c>
      <c r="CT728" s="46" t="str">
        <f>IF(VLOOKUP(CS728,βοηθητικό!$J$2:$N$354,3,FALSE)="","",VLOOKUP(CS728,βοηθητικό!$J$2:$N$354,3,FALSE))</f>
        <v>_</v>
      </c>
      <c r="CU728" s="47"/>
    </row>
    <row r="729" spans="1:99" x14ac:dyDescent="0.25">
      <c r="A729" s="37">
        <f>--SUBTOTAL(3,$B$3:B728)</f>
        <v>198</v>
      </c>
      <c r="B729" s="2"/>
      <c r="C729" s="3"/>
      <c r="D729" s="55" t="s">
        <v>18</v>
      </c>
      <c r="E729" s="38" t="s">
        <v>16</v>
      </c>
      <c r="F729" s="38"/>
      <c r="G729" s="39" t="str">
        <f t="shared" si="35"/>
        <v>__</v>
      </c>
      <c r="H729" s="40" t="str">
        <f t="shared" si="36"/>
        <v>FALSE</v>
      </c>
      <c r="I729" s="41">
        <f t="shared" si="37"/>
        <v>0</v>
      </c>
      <c r="J729" s="4" t="s">
        <v>16</v>
      </c>
      <c r="K729" s="43" t="str">
        <f>IF(VLOOKUP(J729,βοηθητικό!$J$2:$N$354,3,FALSE)="","",VLOOKUP(J729,βοηθητικό!$J$2:$N$354,3,FALSE))</f>
        <v>_</v>
      </c>
      <c r="L729" s="44"/>
      <c r="M729" s="5" t="s">
        <v>16</v>
      </c>
      <c r="N729" s="46" t="str">
        <f>IF(VLOOKUP(M729,βοηθητικό!$J$2:$N$354,3,FALSE)="","",VLOOKUP(M729,βοηθητικό!$J$2:$N$354,3,FALSE))</f>
        <v>_</v>
      </c>
      <c r="O729" s="47"/>
      <c r="P729" s="4" t="s">
        <v>16</v>
      </c>
      <c r="Q729" s="43" t="str">
        <f>IF(VLOOKUP(P729,βοηθητικό!$J$2:$N$354,3,FALSE)="","",VLOOKUP(P729,βοηθητικό!$J$2:$N$354,3,FALSE))</f>
        <v>_</v>
      </c>
      <c r="R729" s="44"/>
      <c r="S729" s="5" t="s">
        <v>16</v>
      </c>
      <c r="T729" s="46" t="str">
        <f>IF(VLOOKUP(S729,βοηθητικό!$J$2:$N$354,3,FALSE)="","",VLOOKUP(S729,βοηθητικό!$J$2:$N$354,3,FALSE))</f>
        <v>_</v>
      </c>
      <c r="U729" s="47"/>
      <c r="V729" s="4" t="s">
        <v>16</v>
      </c>
      <c r="W729" s="43" t="str">
        <f>IF(VLOOKUP(V729,βοηθητικό!$J$2:$N$354,3,FALSE)="","",VLOOKUP(V729,βοηθητικό!$J$2:$N$354,3,FALSE))</f>
        <v>_</v>
      </c>
      <c r="X729" s="44"/>
      <c r="Y729" s="5" t="s">
        <v>16</v>
      </c>
      <c r="Z729" s="46" t="str">
        <f>IF(VLOOKUP(Y729,βοηθητικό!$J$2:$N$354,3,FALSE)="","",VLOOKUP(Y729,βοηθητικό!$J$2:$N$354,3,FALSE))</f>
        <v>_</v>
      </c>
      <c r="AA729" s="47"/>
      <c r="AB729" s="4" t="s">
        <v>16</v>
      </c>
      <c r="AC729" s="43" t="str">
        <f>IF(VLOOKUP(AB729,βοηθητικό!$J$2:$N$354,3,FALSE)="","",VLOOKUP(AB729,βοηθητικό!$J$2:$N$354,3,FALSE))</f>
        <v>_</v>
      </c>
      <c r="AD729" s="44"/>
      <c r="AE729" s="5" t="s">
        <v>16</v>
      </c>
      <c r="AF729" s="46" t="str">
        <f>IF(VLOOKUP(AE729,βοηθητικό!$J$2:$N$354,3,FALSE)="","",VLOOKUP(AE729,βοηθητικό!$J$2:$N$354,3,FALSE))</f>
        <v>_</v>
      </c>
      <c r="AG729" s="47"/>
      <c r="AH729" s="4" t="s">
        <v>16</v>
      </c>
      <c r="AI729" s="43" t="str">
        <f>IF(VLOOKUP(AH729,βοηθητικό!$J$2:$N$354,3,FALSE)="","",VLOOKUP(AH729,βοηθητικό!$J$2:$N$354,3,FALSE))</f>
        <v>_</v>
      </c>
      <c r="AJ729" s="44"/>
      <c r="AK729" s="5" t="s">
        <v>16</v>
      </c>
      <c r="AL729" s="46" t="str">
        <f>IF(VLOOKUP(AK729,βοηθητικό!$J$2:$N$354,3,FALSE)="","",VLOOKUP(AK729,βοηθητικό!$J$2:$N$354,3,FALSE))</f>
        <v>_</v>
      </c>
      <c r="AM729" s="47"/>
      <c r="AN729" s="4" t="s">
        <v>16</v>
      </c>
      <c r="AO729" s="43" t="str">
        <f>IF(VLOOKUP(AN729,βοηθητικό!$J$2:$N$354,3,FALSE)="","",VLOOKUP(AN729,βοηθητικό!$J$2:$N$354,3,FALSE))</f>
        <v>_</v>
      </c>
      <c r="AP729" s="44"/>
      <c r="AQ729" s="5" t="s">
        <v>16</v>
      </c>
      <c r="AR729" s="46" t="str">
        <f>IF(VLOOKUP(AQ729,βοηθητικό!$J$2:$N$354,3,FALSE)="","",VLOOKUP(AQ729,βοηθητικό!$J$2:$N$354,3,FALSE))</f>
        <v>_</v>
      </c>
      <c r="AS729" s="47"/>
      <c r="AT729" s="4" t="s">
        <v>16</v>
      </c>
      <c r="AU729" s="43" t="str">
        <f>IF(VLOOKUP(AT729,βοηθητικό!$J$2:$N$354,3,FALSE)="","",VLOOKUP(AT729,βοηθητικό!$J$2:$N$354,3,FALSE))</f>
        <v>_</v>
      </c>
      <c r="AV729" s="44"/>
      <c r="AW729" s="5" t="s">
        <v>16</v>
      </c>
      <c r="AX729" s="46" t="str">
        <f>IF(VLOOKUP(AW729,βοηθητικό!$J$2:$N$354,3,FALSE)="","",VLOOKUP(AW729,βοηθητικό!$J$2:$N$354,3,FALSE))</f>
        <v>_</v>
      </c>
      <c r="AY729" s="47"/>
      <c r="AZ729" s="4" t="s">
        <v>16</v>
      </c>
      <c r="BA729" s="43" t="str">
        <f>IF(VLOOKUP(AZ729,βοηθητικό!$J$2:$N$354,3,FALSE)="","",VLOOKUP(AZ729,βοηθητικό!$J$2:$N$354,3,FALSE))</f>
        <v>_</v>
      </c>
      <c r="BB729" s="44"/>
      <c r="BC729" s="45" t="s">
        <v>16</v>
      </c>
      <c r="BD729" s="46" t="str">
        <f>IF(VLOOKUP(BC729,βοηθητικό!$J$2:$N$354,3,FALSE)="","",VLOOKUP(BC729,βοηθητικό!$J$2:$N$354,3,FALSE))</f>
        <v>_</v>
      </c>
      <c r="BE729" s="47"/>
      <c r="BF729" s="42" t="s">
        <v>16</v>
      </c>
      <c r="BG729" s="43" t="str">
        <f>IF(VLOOKUP(BF729,βοηθητικό!$J$2:$N$354,3,FALSE)="","",VLOOKUP(BF729,βοηθητικό!$J$2:$N$354,3,FALSE))</f>
        <v>_</v>
      </c>
      <c r="BH729" s="44"/>
      <c r="BI729" s="45" t="s">
        <v>16</v>
      </c>
      <c r="BJ729" s="46" t="str">
        <f>IF(VLOOKUP(BI729,βοηθητικό!$J$2:$N$354,3,FALSE)="","",VLOOKUP(BI729,βοηθητικό!$J$2:$N$354,3,FALSE))</f>
        <v>_</v>
      </c>
      <c r="BK729" s="47"/>
      <c r="BL729" s="42" t="s">
        <v>16</v>
      </c>
      <c r="BM729" s="43" t="str">
        <f>IF(VLOOKUP(BL729,βοηθητικό!$J$2:$N$354,3,FALSE)="","",VLOOKUP(BL729,βοηθητικό!$J$2:$N$354,3,FALSE))</f>
        <v>_</v>
      </c>
      <c r="BN729" s="44"/>
      <c r="BO729" s="45" t="s">
        <v>16</v>
      </c>
      <c r="BP729" s="46" t="str">
        <f>IF(VLOOKUP(BO729,βοηθητικό!$J$2:$N$354,3,FALSE)="","",VLOOKUP(BO729,βοηθητικό!$J$2:$N$354,3,FALSE))</f>
        <v>_</v>
      </c>
      <c r="BQ729" s="47"/>
      <c r="BR729" s="42" t="s">
        <v>16</v>
      </c>
      <c r="BS729" s="43" t="str">
        <f>IF(VLOOKUP(BR729,βοηθητικό!$J$2:$N$354,3,FALSE)="","",VLOOKUP(BR729,βοηθητικό!$J$2:$N$354,3,FALSE))</f>
        <v>_</v>
      </c>
      <c r="BT729" s="44"/>
      <c r="BU729" s="45" t="s">
        <v>16</v>
      </c>
      <c r="BV729" s="46" t="str">
        <f>IF(VLOOKUP(BU729,βοηθητικό!$J$2:$N$354,3,FALSE)="","",VLOOKUP(BU729,βοηθητικό!$J$2:$N$354,3,FALSE))</f>
        <v>_</v>
      </c>
      <c r="BW729" s="47"/>
      <c r="BX729" s="42" t="s">
        <v>16</v>
      </c>
      <c r="BY729" s="43" t="str">
        <f>IF(VLOOKUP(BX729,βοηθητικό!$J$2:$N$354,3,FALSE)="","",VLOOKUP(BX729,βοηθητικό!$J$2:$N$354,3,FALSE))</f>
        <v>_</v>
      </c>
      <c r="BZ729" s="44"/>
      <c r="CA729" s="45" t="s">
        <v>16</v>
      </c>
      <c r="CB729" s="46" t="str">
        <f>IF(VLOOKUP(CA729,βοηθητικό!$J$2:$N$354,3,FALSE)="","",VLOOKUP(CA729,βοηθητικό!$J$2:$N$354,3,FALSE))</f>
        <v>_</v>
      </c>
      <c r="CC729" s="47"/>
      <c r="CD729" s="42" t="s">
        <v>16</v>
      </c>
      <c r="CE729" s="43" t="str">
        <f>IF(VLOOKUP(CD729,βοηθητικό!$J$2:$N$354,3,FALSE)="","",VLOOKUP(CD729,βοηθητικό!$J$2:$N$354,3,FALSE))</f>
        <v>_</v>
      </c>
      <c r="CF729" s="44"/>
      <c r="CG729" s="45" t="s">
        <v>16</v>
      </c>
      <c r="CH729" s="46" t="str">
        <f>IF(VLOOKUP(CG729,βοηθητικό!$J$2:$N$354,3,FALSE)="","",VLOOKUP(CG729,βοηθητικό!$J$2:$N$354,3,FALSE))</f>
        <v>_</v>
      </c>
      <c r="CI729" s="47"/>
      <c r="CJ729" s="42" t="s">
        <v>16</v>
      </c>
      <c r="CK729" s="43" t="str">
        <f>IF(VLOOKUP(CJ729,βοηθητικό!$J$2:$N$354,3,FALSE)="","",VLOOKUP(CJ729,βοηθητικό!$J$2:$N$354,3,FALSE))</f>
        <v>_</v>
      </c>
      <c r="CL729" s="44"/>
      <c r="CM729" s="45" t="s">
        <v>16</v>
      </c>
      <c r="CN729" s="46" t="str">
        <f>IF(VLOOKUP(CM729,βοηθητικό!$J$2:$N$354,3,FALSE)="","",VLOOKUP(CM729,βοηθητικό!$J$2:$N$354,3,FALSE))</f>
        <v>_</v>
      </c>
      <c r="CO729" s="47"/>
      <c r="CP729" s="42" t="s">
        <v>16</v>
      </c>
      <c r="CQ729" s="43" t="str">
        <f>IF(VLOOKUP(CP729,βοηθητικό!$J$2:$N$354,3,FALSE)="","",VLOOKUP(CP729,βοηθητικό!$J$2:$N$354,3,FALSE))</f>
        <v>_</v>
      </c>
      <c r="CR729" s="44"/>
      <c r="CS729" s="45" t="s">
        <v>16</v>
      </c>
      <c r="CT729" s="46" t="str">
        <f>IF(VLOOKUP(CS729,βοηθητικό!$J$2:$N$354,3,FALSE)="","",VLOOKUP(CS729,βοηθητικό!$J$2:$N$354,3,FALSE))</f>
        <v>_</v>
      </c>
      <c r="CU729" s="47"/>
    </row>
    <row r="730" spans="1:99" x14ac:dyDescent="0.25">
      <c r="A730" s="37">
        <f>--SUBTOTAL(3,$B$3:B729)</f>
        <v>198</v>
      </c>
      <c r="B730" s="2"/>
      <c r="C730" s="3"/>
      <c r="D730" s="55" t="s">
        <v>18</v>
      </c>
      <c r="E730" s="38" t="s">
        <v>16</v>
      </c>
      <c r="F730" s="38"/>
      <c r="G730" s="39" t="str">
        <f t="shared" si="35"/>
        <v>__</v>
      </c>
      <c r="H730" s="40" t="str">
        <f t="shared" si="36"/>
        <v>FALSE</v>
      </c>
      <c r="I730" s="41">
        <f t="shared" si="37"/>
        <v>0</v>
      </c>
      <c r="J730" s="4" t="s">
        <v>16</v>
      </c>
      <c r="K730" s="43" t="str">
        <f>IF(VLOOKUP(J730,βοηθητικό!$J$2:$N$354,3,FALSE)="","",VLOOKUP(J730,βοηθητικό!$J$2:$N$354,3,FALSE))</f>
        <v>_</v>
      </c>
      <c r="L730" s="44"/>
      <c r="M730" s="5" t="s">
        <v>16</v>
      </c>
      <c r="N730" s="46" t="str">
        <f>IF(VLOOKUP(M730,βοηθητικό!$J$2:$N$354,3,FALSE)="","",VLOOKUP(M730,βοηθητικό!$J$2:$N$354,3,FALSE))</f>
        <v>_</v>
      </c>
      <c r="O730" s="47"/>
      <c r="P730" s="4" t="s">
        <v>16</v>
      </c>
      <c r="Q730" s="43" t="str">
        <f>IF(VLOOKUP(P730,βοηθητικό!$J$2:$N$354,3,FALSE)="","",VLOOKUP(P730,βοηθητικό!$J$2:$N$354,3,FALSE))</f>
        <v>_</v>
      </c>
      <c r="R730" s="44"/>
      <c r="S730" s="5" t="s">
        <v>16</v>
      </c>
      <c r="T730" s="46" t="str">
        <f>IF(VLOOKUP(S730,βοηθητικό!$J$2:$N$354,3,FALSE)="","",VLOOKUP(S730,βοηθητικό!$J$2:$N$354,3,FALSE))</f>
        <v>_</v>
      </c>
      <c r="U730" s="47"/>
      <c r="V730" s="4" t="s">
        <v>16</v>
      </c>
      <c r="W730" s="43" t="str">
        <f>IF(VLOOKUP(V730,βοηθητικό!$J$2:$N$354,3,FALSE)="","",VLOOKUP(V730,βοηθητικό!$J$2:$N$354,3,FALSE))</f>
        <v>_</v>
      </c>
      <c r="X730" s="44"/>
      <c r="Y730" s="5" t="s">
        <v>16</v>
      </c>
      <c r="Z730" s="46" t="str">
        <f>IF(VLOOKUP(Y730,βοηθητικό!$J$2:$N$354,3,FALSE)="","",VLOOKUP(Y730,βοηθητικό!$J$2:$N$354,3,FALSE))</f>
        <v>_</v>
      </c>
      <c r="AA730" s="47"/>
      <c r="AB730" s="4" t="s">
        <v>16</v>
      </c>
      <c r="AC730" s="43" t="str">
        <f>IF(VLOOKUP(AB730,βοηθητικό!$J$2:$N$354,3,FALSE)="","",VLOOKUP(AB730,βοηθητικό!$J$2:$N$354,3,FALSE))</f>
        <v>_</v>
      </c>
      <c r="AD730" s="44"/>
      <c r="AE730" s="5" t="s">
        <v>16</v>
      </c>
      <c r="AF730" s="46" t="str">
        <f>IF(VLOOKUP(AE730,βοηθητικό!$J$2:$N$354,3,FALSE)="","",VLOOKUP(AE730,βοηθητικό!$J$2:$N$354,3,FALSE))</f>
        <v>_</v>
      </c>
      <c r="AG730" s="47"/>
      <c r="AH730" s="4" t="s">
        <v>16</v>
      </c>
      <c r="AI730" s="43" t="str">
        <f>IF(VLOOKUP(AH730,βοηθητικό!$J$2:$N$354,3,FALSE)="","",VLOOKUP(AH730,βοηθητικό!$J$2:$N$354,3,FALSE))</f>
        <v>_</v>
      </c>
      <c r="AJ730" s="44"/>
      <c r="AK730" s="5" t="s">
        <v>16</v>
      </c>
      <c r="AL730" s="46" t="str">
        <f>IF(VLOOKUP(AK730,βοηθητικό!$J$2:$N$354,3,FALSE)="","",VLOOKUP(AK730,βοηθητικό!$J$2:$N$354,3,FALSE))</f>
        <v>_</v>
      </c>
      <c r="AM730" s="47"/>
      <c r="AN730" s="4" t="s">
        <v>16</v>
      </c>
      <c r="AO730" s="43" t="str">
        <f>IF(VLOOKUP(AN730,βοηθητικό!$J$2:$N$354,3,FALSE)="","",VLOOKUP(AN730,βοηθητικό!$J$2:$N$354,3,FALSE))</f>
        <v>_</v>
      </c>
      <c r="AP730" s="44"/>
      <c r="AQ730" s="5" t="s">
        <v>16</v>
      </c>
      <c r="AR730" s="46" t="str">
        <f>IF(VLOOKUP(AQ730,βοηθητικό!$J$2:$N$354,3,FALSE)="","",VLOOKUP(AQ730,βοηθητικό!$J$2:$N$354,3,FALSE))</f>
        <v>_</v>
      </c>
      <c r="AS730" s="47"/>
      <c r="AT730" s="4" t="s">
        <v>16</v>
      </c>
      <c r="AU730" s="43" t="str">
        <f>IF(VLOOKUP(AT730,βοηθητικό!$J$2:$N$354,3,FALSE)="","",VLOOKUP(AT730,βοηθητικό!$J$2:$N$354,3,FALSE))</f>
        <v>_</v>
      </c>
      <c r="AV730" s="44"/>
      <c r="AW730" s="5" t="s">
        <v>16</v>
      </c>
      <c r="AX730" s="46" t="str">
        <f>IF(VLOOKUP(AW730,βοηθητικό!$J$2:$N$354,3,FALSE)="","",VLOOKUP(AW730,βοηθητικό!$J$2:$N$354,3,FALSE))</f>
        <v>_</v>
      </c>
      <c r="AY730" s="47"/>
      <c r="AZ730" s="4" t="s">
        <v>16</v>
      </c>
      <c r="BA730" s="43" t="str">
        <f>IF(VLOOKUP(AZ730,βοηθητικό!$J$2:$N$354,3,FALSE)="","",VLOOKUP(AZ730,βοηθητικό!$J$2:$N$354,3,FALSE))</f>
        <v>_</v>
      </c>
      <c r="BB730" s="44"/>
      <c r="BC730" s="45" t="s">
        <v>16</v>
      </c>
      <c r="BD730" s="46" t="str">
        <f>IF(VLOOKUP(BC730,βοηθητικό!$J$2:$N$354,3,FALSE)="","",VLOOKUP(BC730,βοηθητικό!$J$2:$N$354,3,FALSE))</f>
        <v>_</v>
      </c>
      <c r="BE730" s="47"/>
      <c r="BF730" s="42" t="s">
        <v>16</v>
      </c>
      <c r="BG730" s="43" t="str">
        <f>IF(VLOOKUP(BF730,βοηθητικό!$J$2:$N$354,3,FALSE)="","",VLOOKUP(BF730,βοηθητικό!$J$2:$N$354,3,FALSE))</f>
        <v>_</v>
      </c>
      <c r="BH730" s="44"/>
      <c r="BI730" s="45" t="s">
        <v>16</v>
      </c>
      <c r="BJ730" s="46" t="str">
        <f>IF(VLOOKUP(BI730,βοηθητικό!$J$2:$N$354,3,FALSE)="","",VLOOKUP(BI730,βοηθητικό!$J$2:$N$354,3,FALSE))</f>
        <v>_</v>
      </c>
      <c r="BK730" s="47"/>
      <c r="BL730" s="42" t="s">
        <v>16</v>
      </c>
      <c r="BM730" s="43" t="str">
        <f>IF(VLOOKUP(BL730,βοηθητικό!$J$2:$N$354,3,FALSE)="","",VLOOKUP(BL730,βοηθητικό!$J$2:$N$354,3,FALSE))</f>
        <v>_</v>
      </c>
      <c r="BN730" s="44"/>
      <c r="BO730" s="45" t="s">
        <v>16</v>
      </c>
      <c r="BP730" s="46" t="str">
        <f>IF(VLOOKUP(BO730,βοηθητικό!$J$2:$N$354,3,FALSE)="","",VLOOKUP(BO730,βοηθητικό!$J$2:$N$354,3,FALSE))</f>
        <v>_</v>
      </c>
      <c r="BQ730" s="47"/>
      <c r="BR730" s="42" t="s">
        <v>16</v>
      </c>
      <c r="BS730" s="43" t="str">
        <f>IF(VLOOKUP(BR730,βοηθητικό!$J$2:$N$354,3,FALSE)="","",VLOOKUP(BR730,βοηθητικό!$J$2:$N$354,3,FALSE))</f>
        <v>_</v>
      </c>
      <c r="BT730" s="44"/>
      <c r="BU730" s="45" t="s">
        <v>16</v>
      </c>
      <c r="BV730" s="46" t="str">
        <f>IF(VLOOKUP(BU730,βοηθητικό!$J$2:$N$354,3,FALSE)="","",VLOOKUP(BU730,βοηθητικό!$J$2:$N$354,3,FALSE))</f>
        <v>_</v>
      </c>
      <c r="BW730" s="47"/>
      <c r="BX730" s="42" t="s">
        <v>16</v>
      </c>
      <c r="BY730" s="43" t="str">
        <f>IF(VLOOKUP(BX730,βοηθητικό!$J$2:$N$354,3,FALSE)="","",VLOOKUP(BX730,βοηθητικό!$J$2:$N$354,3,FALSE))</f>
        <v>_</v>
      </c>
      <c r="BZ730" s="44"/>
      <c r="CA730" s="45" t="s">
        <v>16</v>
      </c>
      <c r="CB730" s="46" t="str">
        <f>IF(VLOOKUP(CA730,βοηθητικό!$J$2:$N$354,3,FALSE)="","",VLOOKUP(CA730,βοηθητικό!$J$2:$N$354,3,FALSE))</f>
        <v>_</v>
      </c>
      <c r="CC730" s="47"/>
      <c r="CD730" s="42" t="s">
        <v>16</v>
      </c>
      <c r="CE730" s="43" t="str">
        <f>IF(VLOOKUP(CD730,βοηθητικό!$J$2:$N$354,3,FALSE)="","",VLOOKUP(CD730,βοηθητικό!$J$2:$N$354,3,FALSE))</f>
        <v>_</v>
      </c>
      <c r="CF730" s="44"/>
      <c r="CG730" s="45" t="s">
        <v>16</v>
      </c>
      <c r="CH730" s="46" t="str">
        <f>IF(VLOOKUP(CG730,βοηθητικό!$J$2:$N$354,3,FALSE)="","",VLOOKUP(CG730,βοηθητικό!$J$2:$N$354,3,FALSE))</f>
        <v>_</v>
      </c>
      <c r="CI730" s="47"/>
      <c r="CJ730" s="42" t="s">
        <v>16</v>
      </c>
      <c r="CK730" s="43" t="str">
        <f>IF(VLOOKUP(CJ730,βοηθητικό!$J$2:$N$354,3,FALSE)="","",VLOOKUP(CJ730,βοηθητικό!$J$2:$N$354,3,FALSE))</f>
        <v>_</v>
      </c>
      <c r="CL730" s="44"/>
      <c r="CM730" s="45" t="s">
        <v>16</v>
      </c>
      <c r="CN730" s="46" t="str">
        <f>IF(VLOOKUP(CM730,βοηθητικό!$J$2:$N$354,3,FALSE)="","",VLOOKUP(CM730,βοηθητικό!$J$2:$N$354,3,FALSE))</f>
        <v>_</v>
      </c>
      <c r="CO730" s="47"/>
      <c r="CP730" s="42" t="s">
        <v>16</v>
      </c>
      <c r="CQ730" s="43" t="str">
        <f>IF(VLOOKUP(CP730,βοηθητικό!$J$2:$N$354,3,FALSE)="","",VLOOKUP(CP730,βοηθητικό!$J$2:$N$354,3,FALSE))</f>
        <v>_</v>
      </c>
      <c r="CR730" s="44"/>
      <c r="CS730" s="45" t="s">
        <v>16</v>
      </c>
      <c r="CT730" s="46" t="str">
        <f>IF(VLOOKUP(CS730,βοηθητικό!$J$2:$N$354,3,FALSE)="","",VLOOKUP(CS730,βοηθητικό!$J$2:$N$354,3,FALSE))</f>
        <v>_</v>
      </c>
      <c r="CU730" s="47"/>
    </row>
    <row r="731" spans="1:99" x14ac:dyDescent="0.25">
      <c r="A731" s="37">
        <f>--SUBTOTAL(3,$B$3:B730)</f>
        <v>198</v>
      </c>
      <c r="B731" s="2"/>
      <c r="C731" s="3"/>
      <c r="D731" s="55" t="s">
        <v>18</v>
      </c>
      <c r="E731" s="38" t="s">
        <v>16</v>
      </c>
      <c r="F731" s="38"/>
      <c r="G731" s="39" t="str">
        <f t="shared" si="35"/>
        <v>__</v>
      </c>
      <c r="H731" s="40" t="str">
        <f t="shared" si="36"/>
        <v>FALSE</v>
      </c>
      <c r="I731" s="41">
        <f t="shared" si="37"/>
        <v>0</v>
      </c>
      <c r="J731" s="4" t="s">
        <v>16</v>
      </c>
      <c r="K731" s="43" t="str">
        <f>IF(VLOOKUP(J731,βοηθητικό!$J$2:$N$354,3,FALSE)="","",VLOOKUP(J731,βοηθητικό!$J$2:$N$354,3,FALSE))</f>
        <v>_</v>
      </c>
      <c r="L731" s="44"/>
      <c r="M731" s="5" t="s">
        <v>16</v>
      </c>
      <c r="N731" s="46" t="str">
        <f>IF(VLOOKUP(M731,βοηθητικό!$J$2:$N$354,3,FALSE)="","",VLOOKUP(M731,βοηθητικό!$J$2:$N$354,3,FALSE))</f>
        <v>_</v>
      </c>
      <c r="O731" s="47"/>
      <c r="P731" s="4" t="s">
        <v>16</v>
      </c>
      <c r="Q731" s="43" t="str">
        <f>IF(VLOOKUP(P731,βοηθητικό!$J$2:$N$354,3,FALSE)="","",VLOOKUP(P731,βοηθητικό!$J$2:$N$354,3,FALSE))</f>
        <v>_</v>
      </c>
      <c r="R731" s="44"/>
      <c r="S731" s="5" t="s">
        <v>16</v>
      </c>
      <c r="T731" s="46" t="str">
        <f>IF(VLOOKUP(S731,βοηθητικό!$J$2:$N$354,3,FALSE)="","",VLOOKUP(S731,βοηθητικό!$J$2:$N$354,3,FALSE))</f>
        <v>_</v>
      </c>
      <c r="U731" s="47"/>
      <c r="V731" s="4" t="s">
        <v>16</v>
      </c>
      <c r="W731" s="43" t="str">
        <f>IF(VLOOKUP(V731,βοηθητικό!$J$2:$N$354,3,FALSE)="","",VLOOKUP(V731,βοηθητικό!$J$2:$N$354,3,FALSE))</f>
        <v>_</v>
      </c>
      <c r="X731" s="44"/>
      <c r="Y731" s="5" t="s">
        <v>16</v>
      </c>
      <c r="Z731" s="46" t="str">
        <f>IF(VLOOKUP(Y731,βοηθητικό!$J$2:$N$354,3,FALSE)="","",VLOOKUP(Y731,βοηθητικό!$J$2:$N$354,3,FALSE))</f>
        <v>_</v>
      </c>
      <c r="AA731" s="47"/>
      <c r="AB731" s="4" t="s">
        <v>16</v>
      </c>
      <c r="AC731" s="43" t="str">
        <f>IF(VLOOKUP(AB731,βοηθητικό!$J$2:$N$354,3,FALSE)="","",VLOOKUP(AB731,βοηθητικό!$J$2:$N$354,3,FALSE))</f>
        <v>_</v>
      </c>
      <c r="AD731" s="44"/>
      <c r="AE731" s="5" t="s">
        <v>16</v>
      </c>
      <c r="AF731" s="46" t="str">
        <f>IF(VLOOKUP(AE731,βοηθητικό!$J$2:$N$354,3,FALSE)="","",VLOOKUP(AE731,βοηθητικό!$J$2:$N$354,3,FALSE))</f>
        <v>_</v>
      </c>
      <c r="AG731" s="47"/>
      <c r="AH731" s="4" t="s">
        <v>16</v>
      </c>
      <c r="AI731" s="43" t="str">
        <f>IF(VLOOKUP(AH731,βοηθητικό!$J$2:$N$354,3,FALSE)="","",VLOOKUP(AH731,βοηθητικό!$J$2:$N$354,3,FALSE))</f>
        <v>_</v>
      </c>
      <c r="AJ731" s="44"/>
      <c r="AK731" s="5" t="s">
        <v>16</v>
      </c>
      <c r="AL731" s="46" t="str">
        <f>IF(VLOOKUP(AK731,βοηθητικό!$J$2:$N$354,3,FALSE)="","",VLOOKUP(AK731,βοηθητικό!$J$2:$N$354,3,FALSE))</f>
        <v>_</v>
      </c>
      <c r="AM731" s="47"/>
      <c r="AN731" s="4" t="s">
        <v>16</v>
      </c>
      <c r="AO731" s="43" t="str">
        <f>IF(VLOOKUP(AN731,βοηθητικό!$J$2:$N$354,3,FALSE)="","",VLOOKUP(AN731,βοηθητικό!$J$2:$N$354,3,FALSE))</f>
        <v>_</v>
      </c>
      <c r="AP731" s="44"/>
      <c r="AQ731" s="5" t="s">
        <v>16</v>
      </c>
      <c r="AR731" s="46" t="str">
        <f>IF(VLOOKUP(AQ731,βοηθητικό!$J$2:$N$354,3,FALSE)="","",VLOOKUP(AQ731,βοηθητικό!$J$2:$N$354,3,FALSE))</f>
        <v>_</v>
      </c>
      <c r="AS731" s="47"/>
      <c r="AT731" s="4" t="s">
        <v>16</v>
      </c>
      <c r="AU731" s="43" t="str">
        <f>IF(VLOOKUP(AT731,βοηθητικό!$J$2:$N$354,3,FALSE)="","",VLOOKUP(AT731,βοηθητικό!$J$2:$N$354,3,FALSE))</f>
        <v>_</v>
      </c>
      <c r="AV731" s="44"/>
      <c r="AW731" s="5" t="s">
        <v>16</v>
      </c>
      <c r="AX731" s="46" t="str">
        <f>IF(VLOOKUP(AW731,βοηθητικό!$J$2:$N$354,3,FALSE)="","",VLOOKUP(AW731,βοηθητικό!$J$2:$N$354,3,FALSE))</f>
        <v>_</v>
      </c>
      <c r="AY731" s="47"/>
      <c r="AZ731" s="4" t="s">
        <v>16</v>
      </c>
      <c r="BA731" s="43" t="str">
        <f>IF(VLOOKUP(AZ731,βοηθητικό!$J$2:$N$354,3,FALSE)="","",VLOOKUP(AZ731,βοηθητικό!$J$2:$N$354,3,FALSE))</f>
        <v>_</v>
      </c>
      <c r="BB731" s="44"/>
      <c r="BC731" s="45" t="s">
        <v>16</v>
      </c>
      <c r="BD731" s="46" t="str">
        <f>IF(VLOOKUP(BC731,βοηθητικό!$J$2:$N$354,3,FALSE)="","",VLOOKUP(BC731,βοηθητικό!$J$2:$N$354,3,FALSE))</f>
        <v>_</v>
      </c>
      <c r="BE731" s="47"/>
      <c r="BF731" s="42" t="s">
        <v>16</v>
      </c>
      <c r="BG731" s="43" t="str">
        <f>IF(VLOOKUP(BF731,βοηθητικό!$J$2:$N$354,3,FALSE)="","",VLOOKUP(BF731,βοηθητικό!$J$2:$N$354,3,FALSE))</f>
        <v>_</v>
      </c>
      <c r="BH731" s="44"/>
      <c r="BI731" s="45" t="s">
        <v>16</v>
      </c>
      <c r="BJ731" s="46" t="str">
        <f>IF(VLOOKUP(BI731,βοηθητικό!$J$2:$N$354,3,FALSE)="","",VLOOKUP(BI731,βοηθητικό!$J$2:$N$354,3,FALSE))</f>
        <v>_</v>
      </c>
      <c r="BK731" s="47"/>
      <c r="BL731" s="42" t="s">
        <v>16</v>
      </c>
      <c r="BM731" s="43" t="str">
        <f>IF(VLOOKUP(BL731,βοηθητικό!$J$2:$N$354,3,FALSE)="","",VLOOKUP(BL731,βοηθητικό!$J$2:$N$354,3,FALSE))</f>
        <v>_</v>
      </c>
      <c r="BN731" s="44"/>
      <c r="BO731" s="45" t="s">
        <v>16</v>
      </c>
      <c r="BP731" s="46" t="str">
        <f>IF(VLOOKUP(BO731,βοηθητικό!$J$2:$N$354,3,FALSE)="","",VLOOKUP(BO731,βοηθητικό!$J$2:$N$354,3,FALSE))</f>
        <v>_</v>
      </c>
      <c r="BQ731" s="47"/>
      <c r="BR731" s="42" t="s">
        <v>16</v>
      </c>
      <c r="BS731" s="43" t="str">
        <f>IF(VLOOKUP(BR731,βοηθητικό!$J$2:$N$354,3,FALSE)="","",VLOOKUP(BR731,βοηθητικό!$J$2:$N$354,3,FALSE))</f>
        <v>_</v>
      </c>
      <c r="BT731" s="44"/>
      <c r="BU731" s="45" t="s">
        <v>16</v>
      </c>
      <c r="BV731" s="46" t="str">
        <f>IF(VLOOKUP(BU731,βοηθητικό!$J$2:$N$354,3,FALSE)="","",VLOOKUP(BU731,βοηθητικό!$J$2:$N$354,3,FALSE))</f>
        <v>_</v>
      </c>
      <c r="BW731" s="47"/>
      <c r="BX731" s="42" t="s">
        <v>16</v>
      </c>
      <c r="BY731" s="43" t="str">
        <f>IF(VLOOKUP(BX731,βοηθητικό!$J$2:$N$354,3,FALSE)="","",VLOOKUP(BX731,βοηθητικό!$J$2:$N$354,3,FALSE))</f>
        <v>_</v>
      </c>
      <c r="BZ731" s="44"/>
      <c r="CA731" s="45" t="s">
        <v>16</v>
      </c>
      <c r="CB731" s="46" t="str">
        <f>IF(VLOOKUP(CA731,βοηθητικό!$J$2:$N$354,3,FALSE)="","",VLOOKUP(CA731,βοηθητικό!$J$2:$N$354,3,FALSE))</f>
        <v>_</v>
      </c>
      <c r="CC731" s="47"/>
      <c r="CD731" s="42" t="s">
        <v>16</v>
      </c>
      <c r="CE731" s="43" t="str">
        <f>IF(VLOOKUP(CD731,βοηθητικό!$J$2:$N$354,3,FALSE)="","",VLOOKUP(CD731,βοηθητικό!$J$2:$N$354,3,FALSE))</f>
        <v>_</v>
      </c>
      <c r="CF731" s="44"/>
      <c r="CG731" s="45" t="s">
        <v>16</v>
      </c>
      <c r="CH731" s="46" t="str">
        <f>IF(VLOOKUP(CG731,βοηθητικό!$J$2:$N$354,3,FALSE)="","",VLOOKUP(CG731,βοηθητικό!$J$2:$N$354,3,FALSE))</f>
        <v>_</v>
      </c>
      <c r="CI731" s="47"/>
      <c r="CJ731" s="42" t="s">
        <v>16</v>
      </c>
      <c r="CK731" s="43" t="str">
        <f>IF(VLOOKUP(CJ731,βοηθητικό!$J$2:$N$354,3,FALSE)="","",VLOOKUP(CJ731,βοηθητικό!$J$2:$N$354,3,FALSE))</f>
        <v>_</v>
      </c>
      <c r="CL731" s="44"/>
      <c r="CM731" s="45" t="s">
        <v>16</v>
      </c>
      <c r="CN731" s="46" t="str">
        <f>IF(VLOOKUP(CM731,βοηθητικό!$J$2:$N$354,3,FALSE)="","",VLOOKUP(CM731,βοηθητικό!$J$2:$N$354,3,FALSE))</f>
        <v>_</v>
      </c>
      <c r="CO731" s="47"/>
      <c r="CP731" s="42" t="s">
        <v>16</v>
      </c>
      <c r="CQ731" s="43" t="str">
        <f>IF(VLOOKUP(CP731,βοηθητικό!$J$2:$N$354,3,FALSE)="","",VLOOKUP(CP731,βοηθητικό!$J$2:$N$354,3,FALSE))</f>
        <v>_</v>
      </c>
      <c r="CR731" s="44"/>
      <c r="CS731" s="45" t="s">
        <v>16</v>
      </c>
      <c r="CT731" s="46" t="str">
        <f>IF(VLOOKUP(CS731,βοηθητικό!$J$2:$N$354,3,FALSE)="","",VLOOKUP(CS731,βοηθητικό!$J$2:$N$354,3,FALSE))</f>
        <v>_</v>
      </c>
      <c r="CU731" s="47"/>
    </row>
    <row r="732" spans="1:99" x14ac:dyDescent="0.25">
      <c r="A732" s="37">
        <f>--SUBTOTAL(3,$B$3:B731)</f>
        <v>198</v>
      </c>
      <c r="B732" s="2"/>
      <c r="C732" s="3"/>
      <c r="D732" s="55" t="s">
        <v>18</v>
      </c>
      <c r="E732" s="38" t="s">
        <v>16</v>
      </c>
      <c r="F732" s="38"/>
      <c r="G732" s="39" t="str">
        <f t="shared" si="35"/>
        <v>__</v>
      </c>
      <c r="H732" s="40" t="str">
        <f t="shared" si="36"/>
        <v>FALSE</v>
      </c>
      <c r="I732" s="41">
        <f t="shared" si="37"/>
        <v>0</v>
      </c>
      <c r="J732" s="4" t="s">
        <v>16</v>
      </c>
      <c r="K732" s="43" t="str">
        <f>IF(VLOOKUP(J732,βοηθητικό!$J$2:$N$354,3,FALSE)="","",VLOOKUP(J732,βοηθητικό!$J$2:$N$354,3,FALSE))</f>
        <v>_</v>
      </c>
      <c r="L732" s="44"/>
      <c r="M732" s="5" t="s">
        <v>16</v>
      </c>
      <c r="N732" s="46" t="str">
        <f>IF(VLOOKUP(M732,βοηθητικό!$J$2:$N$354,3,FALSE)="","",VLOOKUP(M732,βοηθητικό!$J$2:$N$354,3,FALSE))</f>
        <v>_</v>
      </c>
      <c r="O732" s="47"/>
      <c r="P732" s="4" t="s">
        <v>16</v>
      </c>
      <c r="Q732" s="43" t="str">
        <f>IF(VLOOKUP(P732,βοηθητικό!$J$2:$N$354,3,FALSE)="","",VLOOKUP(P732,βοηθητικό!$J$2:$N$354,3,FALSE))</f>
        <v>_</v>
      </c>
      <c r="R732" s="44"/>
      <c r="S732" s="5" t="s">
        <v>16</v>
      </c>
      <c r="T732" s="46" t="str">
        <f>IF(VLOOKUP(S732,βοηθητικό!$J$2:$N$354,3,FALSE)="","",VLOOKUP(S732,βοηθητικό!$J$2:$N$354,3,FALSE))</f>
        <v>_</v>
      </c>
      <c r="U732" s="47"/>
      <c r="V732" s="4" t="s">
        <v>16</v>
      </c>
      <c r="W732" s="43" t="str">
        <f>IF(VLOOKUP(V732,βοηθητικό!$J$2:$N$354,3,FALSE)="","",VLOOKUP(V732,βοηθητικό!$J$2:$N$354,3,FALSE))</f>
        <v>_</v>
      </c>
      <c r="X732" s="44"/>
      <c r="Y732" s="5" t="s">
        <v>16</v>
      </c>
      <c r="Z732" s="46" t="str">
        <f>IF(VLOOKUP(Y732,βοηθητικό!$J$2:$N$354,3,FALSE)="","",VLOOKUP(Y732,βοηθητικό!$J$2:$N$354,3,FALSE))</f>
        <v>_</v>
      </c>
      <c r="AA732" s="47"/>
      <c r="AB732" s="4" t="s">
        <v>16</v>
      </c>
      <c r="AC732" s="43" t="str">
        <f>IF(VLOOKUP(AB732,βοηθητικό!$J$2:$N$354,3,FALSE)="","",VLOOKUP(AB732,βοηθητικό!$J$2:$N$354,3,FALSE))</f>
        <v>_</v>
      </c>
      <c r="AD732" s="44"/>
      <c r="AE732" s="5" t="s">
        <v>16</v>
      </c>
      <c r="AF732" s="46" t="str">
        <f>IF(VLOOKUP(AE732,βοηθητικό!$J$2:$N$354,3,FALSE)="","",VLOOKUP(AE732,βοηθητικό!$J$2:$N$354,3,FALSE))</f>
        <v>_</v>
      </c>
      <c r="AG732" s="47"/>
      <c r="AH732" s="4" t="s">
        <v>16</v>
      </c>
      <c r="AI732" s="43" t="str">
        <f>IF(VLOOKUP(AH732,βοηθητικό!$J$2:$N$354,3,FALSE)="","",VLOOKUP(AH732,βοηθητικό!$J$2:$N$354,3,FALSE))</f>
        <v>_</v>
      </c>
      <c r="AJ732" s="44"/>
      <c r="AK732" s="5" t="s">
        <v>16</v>
      </c>
      <c r="AL732" s="46" t="str">
        <f>IF(VLOOKUP(AK732,βοηθητικό!$J$2:$N$354,3,FALSE)="","",VLOOKUP(AK732,βοηθητικό!$J$2:$N$354,3,FALSE))</f>
        <v>_</v>
      </c>
      <c r="AM732" s="47"/>
      <c r="AN732" s="4" t="s">
        <v>16</v>
      </c>
      <c r="AO732" s="43" t="str">
        <f>IF(VLOOKUP(AN732,βοηθητικό!$J$2:$N$354,3,FALSE)="","",VLOOKUP(AN732,βοηθητικό!$J$2:$N$354,3,FALSE))</f>
        <v>_</v>
      </c>
      <c r="AP732" s="44"/>
      <c r="AQ732" s="5" t="s">
        <v>16</v>
      </c>
      <c r="AR732" s="46" t="str">
        <f>IF(VLOOKUP(AQ732,βοηθητικό!$J$2:$N$354,3,FALSE)="","",VLOOKUP(AQ732,βοηθητικό!$J$2:$N$354,3,FALSE))</f>
        <v>_</v>
      </c>
      <c r="AS732" s="47"/>
      <c r="AT732" s="4" t="s">
        <v>16</v>
      </c>
      <c r="AU732" s="43" t="str">
        <f>IF(VLOOKUP(AT732,βοηθητικό!$J$2:$N$354,3,FALSE)="","",VLOOKUP(AT732,βοηθητικό!$J$2:$N$354,3,FALSE))</f>
        <v>_</v>
      </c>
      <c r="AV732" s="44"/>
      <c r="AW732" s="5" t="s">
        <v>16</v>
      </c>
      <c r="AX732" s="46" t="str">
        <f>IF(VLOOKUP(AW732,βοηθητικό!$J$2:$N$354,3,FALSE)="","",VLOOKUP(AW732,βοηθητικό!$J$2:$N$354,3,FALSE))</f>
        <v>_</v>
      </c>
      <c r="AY732" s="47"/>
      <c r="AZ732" s="4" t="s">
        <v>16</v>
      </c>
      <c r="BA732" s="43" t="str">
        <f>IF(VLOOKUP(AZ732,βοηθητικό!$J$2:$N$354,3,FALSE)="","",VLOOKUP(AZ732,βοηθητικό!$J$2:$N$354,3,FALSE))</f>
        <v>_</v>
      </c>
      <c r="BB732" s="44"/>
      <c r="BC732" s="45" t="s">
        <v>16</v>
      </c>
      <c r="BD732" s="46" t="str">
        <f>IF(VLOOKUP(BC732,βοηθητικό!$J$2:$N$354,3,FALSE)="","",VLOOKUP(BC732,βοηθητικό!$J$2:$N$354,3,FALSE))</f>
        <v>_</v>
      </c>
      <c r="BE732" s="47"/>
      <c r="BF732" s="42" t="s">
        <v>16</v>
      </c>
      <c r="BG732" s="43" t="str">
        <f>IF(VLOOKUP(BF732,βοηθητικό!$J$2:$N$354,3,FALSE)="","",VLOOKUP(BF732,βοηθητικό!$J$2:$N$354,3,FALSE))</f>
        <v>_</v>
      </c>
      <c r="BH732" s="44"/>
      <c r="BI732" s="45" t="s">
        <v>16</v>
      </c>
      <c r="BJ732" s="46" t="str">
        <f>IF(VLOOKUP(BI732,βοηθητικό!$J$2:$N$354,3,FALSE)="","",VLOOKUP(BI732,βοηθητικό!$J$2:$N$354,3,FALSE))</f>
        <v>_</v>
      </c>
      <c r="BK732" s="47"/>
      <c r="BL732" s="42" t="s">
        <v>16</v>
      </c>
      <c r="BM732" s="43" t="str">
        <f>IF(VLOOKUP(BL732,βοηθητικό!$J$2:$N$354,3,FALSE)="","",VLOOKUP(BL732,βοηθητικό!$J$2:$N$354,3,FALSE))</f>
        <v>_</v>
      </c>
      <c r="BN732" s="44"/>
      <c r="BO732" s="45" t="s">
        <v>16</v>
      </c>
      <c r="BP732" s="46" t="str">
        <f>IF(VLOOKUP(BO732,βοηθητικό!$J$2:$N$354,3,FALSE)="","",VLOOKUP(BO732,βοηθητικό!$J$2:$N$354,3,FALSE))</f>
        <v>_</v>
      </c>
      <c r="BQ732" s="47"/>
      <c r="BR732" s="42" t="s">
        <v>16</v>
      </c>
      <c r="BS732" s="43" t="str">
        <f>IF(VLOOKUP(BR732,βοηθητικό!$J$2:$N$354,3,FALSE)="","",VLOOKUP(BR732,βοηθητικό!$J$2:$N$354,3,FALSE))</f>
        <v>_</v>
      </c>
      <c r="BT732" s="44"/>
      <c r="BU732" s="45" t="s">
        <v>16</v>
      </c>
      <c r="BV732" s="46" t="str">
        <f>IF(VLOOKUP(BU732,βοηθητικό!$J$2:$N$354,3,FALSE)="","",VLOOKUP(BU732,βοηθητικό!$J$2:$N$354,3,FALSE))</f>
        <v>_</v>
      </c>
      <c r="BW732" s="47"/>
      <c r="BX732" s="42" t="s">
        <v>16</v>
      </c>
      <c r="BY732" s="43" t="str">
        <f>IF(VLOOKUP(BX732,βοηθητικό!$J$2:$N$354,3,FALSE)="","",VLOOKUP(BX732,βοηθητικό!$J$2:$N$354,3,FALSE))</f>
        <v>_</v>
      </c>
      <c r="BZ732" s="44"/>
      <c r="CA732" s="45" t="s">
        <v>16</v>
      </c>
      <c r="CB732" s="46" t="str">
        <f>IF(VLOOKUP(CA732,βοηθητικό!$J$2:$N$354,3,FALSE)="","",VLOOKUP(CA732,βοηθητικό!$J$2:$N$354,3,FALSE))</f>
        <v>_</v>
      </c>
      <c r="CC732" s="47"/>
      <c r="CD732" s="42" t="s">
        <v>16</v>
      </c>
      <c r="CE732" s="43" t="str">
        <f>IF(VLOOKUP(CD732,βοηθητικό!$J$2:$N$354,3,FALSE)="","",VLOOKUP(CD732,βοηθητικό!$J$2:$N$354,3,FALSE))</f>
        <v>_</v>
      </c>
      <c r="CF732" s="44"/>
      <c r="CG732" s="45" t="s">
        <v>16</v>
      </c>
      <c r="CH732" s="46" t="str">
        <f>IF(VLOOKUP(CG732,βοηθητικό!$J$2:$N$354,3,FALSE)="","",VLOOKUP(CG732,βοηθητικό!$J$2:$N$354,3,FALSE))</f>
        <v>_</v>
      </c>
      <c r="CI732" s="47"/>
      <c r="CJ732" s="42" t="s">
        <v>16</v>
      </c>
      <c r="CK732" s="43" t="str">
        <f>IF(VLOOKUP(CJ732,βοηθητικό!$J$2:$N$354,3,FALSE)="","",VLOOKUP(CJ732,βοηθητικό!$J$2:$N$354,3,FALSE))</f>
        <v>_</v>
      </c>
      <c r="CL732" s="44"/>
      <c r="CM732" s="45" t="s">
        <v>16</v>
      </c>
      <c r="CN732" s="46" t="str">
        <f>IF(VLOOKUP(CM732,βοηθητικό!$J$2:$N$354,3,FALSE)="","",VLOOKUP(CM732,βοηθητικό!$J$2:$N$354,3,FALSE))</f>
        <v>_</v>
      </c>
      <c r="CO732" s="47"/>
      <c r="CP732" s="42" t="s">
        <v>16</v>
      </c>
      <c r="CQ732" s="43" t="str">
        <f>IF(VLOOKUP(CP732,βοηθητικό!$J$2:$N$354,3,FALSE)="","",VLOOKUP(CP732,βοηθητικό!$J$2:$N$354,3,FALSE))</f>
        <v>_</v>
      </c>
      <c r="CR732" s="44"/>
      <c r="CS732" s="45" t="s">
        <v>16</v>
      </c>
      <c r="CT732" s="46" t="str">
        <f>IF(VLOOKUP(CS732,βοηθητικό!$J$2:$N$354,3,FALSE)="","",VLOOKUP(CS732,βοηθητικό!$J$2:$N$354,3,FALSE))</f>
        <v>_</v>
      </c>
      <c r="CU732" s="47"/>
    </row>
    <row r="733" spans="1:99" x14ac:dyDescent="0.25">
      <c r="A733" s="37">
        <f>--SUBTOTAL(3,$B$3:B732)</f>
        <v>198</v>
      </c>
      <c r="B733" s="2"/>
      <c r="C733" s="3"/>
      <c r="D733" s="55" t="s">
        <v>18</v>
      </c>
      <c r="E733" s="38" t="s">
        <v>16</v>
      </c>
      <c r="F733" s="38"/>
      <c r="G733" s="39" t="str">
        <f t="shared" si="35"/>
        <v>__</v>
      </c>
      <c r="H733" s="40" t="str">
        <f t="shared" si="36"/>
        <v>FALSE</v>
      </c>
      <c r="I733" s="41">
        <f t="shared" si="37"/>
        <v>0</v>
      </c>
      <c r="J733" s="4" t="s">
        <v>16</v>
      </c>
      <c r="K733" s="43" t="str">
        <f>IF(VLOOKUP(J733,βοηθητικό!$J$2:$N$354,3,FALSE)="","",VLOOKUP(J733,βοηθητικό!$J$2:$N$354,3,FALSE))</f>
        <v>_</v>
      </c>
      <c r="L733" s="44"/>
      <c r="M733" s="5" t="s">
        <v>16</v>
      </c>
      <c r="N733" s="46" t="str">
        <f>IF(VLOOKUP(M733,βοηθητικό!$J$2:$N$354,3,FALSE)="","",VLOOKUP(M733,βοηθητικό!$J$2:$N$354,3,FALSE))</f>
        <v>_</v>
      </c>
      <c r="O733" s="47"/>
      <c r="P733" s="4" t="s">
        <v>16</v>
      </c>
      <c r="Q733" s="43" t="str">
        <f>IF(VLOOKUP(P733,βοηθητικό!$J$2:$N$354,3,FALSE)="","",VLOOKUP(P733,βοηθητικό!$J$2:$N$354,3,FALSE))</f>
        <v>_</v>
      </c>
      <c r="R733" s="44"/>
      <c r="S733" s="5" t="s">
        <v>16</v>
      </c>
      <c r="T733" s="46" t="str">
        <f>IF(VLOOKUP(S733,βοηθητικό!$J$2:$N$354,3,FALSE)="","",VLOOKUP(S733,βοηθητικό!$J$2:$N$354,3,FALSE))</f>
        <v>_</v>
      </c>
      <c r="U733" s="47"/>
      <c r="V733" s="4" t="s">
        <v>16</v>
      </c>
      <c r="W733" s="43" t="str">
        <f>IF(VLOOKUP(V733,βοηθητικό!$J$2:$N$354,3,FALSE)="","",VLOOKUP(V733,βοηθητικό!$J$2:$N$354,3,FALSE))</f>
        <v>_</v>
      </c>
      <c r="X733" s="44"/>
      <c r="Y733" s="5" t="s">
        <v>16</v>
      </c>
      <c r="Z733" s="46" t="str">
        <f>IF(VLOOKUP(Y733,βοηθητικό!$J$2:$N$354,3,FALSE)="","",VLOOKUP(Y733,βοηθητικό!$J$2:$N$354,3,FALSE))</f>
        <v>_</v>
      </c>
      <c r="AA733" s="47"/>
      <c r="AB733" s="4" t="s">
        <v>16</v>
      </c>
      <c r="AC733" s="43" t="str">
        <f>IF(VLOOKUP(AB733,βοηθητικό!$J$2:$N$354,3,FALSE)="","",VLOOKUP(AB733,βοηθητικό!$J$2:$N$354,3,FALSE))</f>
        <v>_</v>
      </c>
      <c r="AD733" s="44"/>
      <c r="AE733" s="5" t="s">
        <v>16</v>
      </c>
      <c r="AF733" s="46" t="str">
        <f>IF(VLOOKUP(AE733,βοηθητικό!$J$2:$N$354,3,FALSE)="","",VLOOKUP(AE733,βοηθητικό!$J$2:$N$354,3,FALSE))</f>
        <v>_</v>
      </c>
      <c r="AG733" s="47"/>
      <c r="AH733" s="4" t="s">
        <v>16</v>
      </c>
      <c r="AI733" s="43" t="str">
        <f>IF(VLOOKUP(AH733,βοηθητικό!$J$2:$N$354,3,FALSE)="","",VLOOKUP(AH733,βοηθητικό!$J$2:$N$354,3,FALSE))</f>
        <v>_</v>
      </c>
      <c r="AJ733" s="44"/>
      <c r="AK733" s="5" t="s">
        <v>16</v>
      </c>
      <c r="AL733" s="46" t="str">
        <f>IF(VLOOKUP(AK733,βοηθητικό!$J$2:$N$354,3,FALSE)="","",VLOOKUP(AK733,βοηθητικό!$J$2:$N$354,3,FALSE))</f>
        <v>_</v>
      </c>
      <c r="AM733" s="47"/>
      <c r="AN733" s="4" t="s">
        <v>16</v>
      </c>
      <c r="AO733" s="43" t="str">
        <f>IF(VLOOKUP(AN733,βοηθητικό!$J$2:$N$354,3,FALSE)="","",VLOOKUP(AN733,βοηθητικό!$J$2:$N$354,3,FALSE))</f>
        <v>_</v>
      </c>
      <c r="AP733" s="44"/>
      <c r="AQ733" s="5" t="s">
        <v>16</v>
      </c>
      <c r="AR733" s="46" t="str">
        <f>IF(VLOOKUP(AQ733,βοηθητικό!$J$2:$N$354,3,FALSE)="","",VLOOKUP(AQ733,βοηθητικό!$J$2:$N$354,3,FALSE))</f>
        <v>_</v>
      </c>
      <c r="AS733" s="47"/>
      <c r="AT733" s="4" t="s">
        <v>16</v>
      </c>
      <c r="AU733" s="43" t="str">
        <f>IF(VLOOKUP(AT733,βοηθητικό!$J$2:$N$354,3,FALSE)="","",VLOOKUP(AT733,βοηθητικό!$J$2:$N$354,3,FALSE))</f>
        <v>_</v>
      </c>
      <c r="AV733" s="44"/>
      <c r="AW733" s="5" t="s">
        <v>16</v>
      </c>
      <c r="AX733" s="46" t="str">
        <f>IF(VLOOKUP(AW733,βοηθητικό!$J$2:$N$354,3,FALSE)="","",VLOOKUP(AW733,βοηθητικό!$J$2:$N$354,3,FALSE))</f>
        <v>_</v>
      </c>
      <c r="AY733" s="47"/>
      <c r="AZ733" s="4" t="s">
        <v>16</v>
      </c>
      <c r="BA733" s="43" t="str">
        <f>IF(VLOOKUP(AZ733,βοηθητικό!$J$2:$N$354,3,FALSE)="","",VLOOKUP(AZ733,βοηθητικό!$J$2:$N$354,3,FALSE))</f>
        <v>_</v>
      </c>
      <c r="BB733" s="44"/>
      <c r="BC733" s="45" t="s">
        <v>16</v>
      </c>
      <c r="BD733" s="46" t="str">
        <f>IF(VLOOKUP(BC733,βοηθητικό!$J$2:$N$354,3,FALSE)="","",VLOOKUP(BC733,βοηθητικό!$J$2:$N$354,3,FALSE))</f>
        <v>_</v>
      </c>
      <c r="BE733" s="47"/>
      <c r="BF733" s="42" t="s">
        <v>16</v>
      </c>
      <c r="BG733" s="43" t="str">
        <f>IF(VLOOKUP(BF733,βοηθητικό!$J$2:$N$354,3,FALSE)="","",VLOOKUP(BF733,βοηθητικό!$J$2:$N$354,3,FALSE))</f>
        <v>_</v>
      </c>
      <c r="BH733" s="44"/>
      <c r="BI733" s="45" t="s">
        <v>16</v>
      </c>
      <c r="BJ733" s="46" t="str">
        <f>IF(VLOOKUP(BI733,βοηθητικό!$J$2:$N$354,3,FALSE)="","",VLOOKUP(BI733,βοηθητικό!$J$2:$N$354,3,FALSE))</f>
        <v>_</v>
      </c>
      <c r="BK733" s="47"/>
      <c r="BL733" s="42" t="s">
        <v>16</v>
      </c>
      <c r="BM733" s="43" t="str">
        <f>IF(VLOOKUP(BL733,βοηθητικό!$J$2:$N$354,3,FALSE)="","",VLOOKUP(BL733,βοηθητικό!$J$2:$N$354,3,FALSE))</f>
        <v>_</v>
      </c>
      <c r="BN733" s="44"/>
      <c r="BO733" s="45" t="s">
        <v>16</v>
      </c>
      <c r="BP733" s="46" t="str">
        <f>IF(VLOOKUP(BO733,βοηθητικό!$J$2:$N$354,3,FALSE)="","",VLOOKUP(BO733,βοηθητικό!$J$2:$N$354,3,FALSE))</f>
        <v>_</v>
      </c>
      <c r="BQ733" s="47"/>
      <c r="BR733" s="42" t="s">
        <v>16</v>
      </c>
      <c r="BS733" s="43" t="str">
        <f>IF(VLOOKUP(BR733,βοηθητικό!$J$2:$N$354,3,FALSE)="","",VLOOKUP(BR733,βοηθητικό!$J$2:$N$354,3,FALSE))</f>
        <v>_</v>
      </c>
      <c r="BT733" s="44"/>
      <c r="BU733" s="45" t="s">
        <v>16</v>
      </c>
      <c r="BV733" s="46" t="str">
        <f>IF(VLOOKUP(BU733,βοηθητικό!$J$2:$N$354,3,FALSE)="","",VLOOKUP(BU733,βοηθητικό!$J$2:$N$354,3,FALSE))</f>
        <v>_</v>
      </c>
      <c r="BW733" s="47"/>
      <c r="BX733" s="42" t="s">
        <v>16</v>
      </c>
      <c r="BY733" s="43" t="str">
        <f>IF(VLOOKUP(BX733,βοηθητικό!$J$2:$N$354,3,FALSE)="","",VLOOKUP(BX733,βοηθητικό!$J$2:$N$354,3,FALSE))</f>
        <v>_</v>
      </c>
      <c r="BZ733" s="44"/>
      <c r="CA733" s="45" t="s">
        <v>16</v>
      </c>
      <c r="CB733" s="46" t="str">
        <f>IF(VLOOKUP(CA733,βοηθητικό!$J$2:$N$354,3,FALSE)="","",VLOOKUP(CA733,βοηθητικό!$J$2:$N$354,3,FALSE))</f>
        <v>_</v>
      </c>
      <c r="CC733" s="47"/>
      <c r="CD733" s="42" t="s">
        <v>16</v>
      </c>
      <c r="CE733" s="43" t="str">
        <f>IF(VLOOKUP(CD733,βοηθητικό!$J$2:$N$354,3,FALSE)="","",VLOOKUP(CD733,βοηθητικό!$J$2:$N$354,3,FALSE))</f>
        <v>_</v>
      </c>
      <c r="CF733" s="44"/>
      <c r="CG733" s="45" t="s">
        <v>16</v>
      </c>
      <c r="CH733" s="46" t="str">
        <f>IF(VLOOKUP(CG733,βοηθητικό!$J$2:$N$354,3,FALSE)="","",VLOOKUP(CG733,βοηθητικό!$J$2:$N$354,3,FALSE))</f>
        <v>_</v>
      </c>
      <c r="CI733" s="47"/>
      <c r="CJ733" s="42" t="s">
        <v>16</v>
      </c>
      <c r="CK733" s="43" t="str">
        <f>IF(VLOOKUP(CJ733,βοηθητικό!$J$2:$N$354,3,FALSE)="","",VLOOKUP(CJ733,βοηθητικό!$J$2:$N$354,3,FALSE))</f>
        <v>_</v>
      </c>
      <c r="CL733" s="44"/>
      <c r="CM733" s="45" t="s">
        <v>16</v>
      </c>
      <c r="CN733" s="46" t="str">
        <f>IF(VLOOKUP(CM733,βοηθητικό!$J$2:$N$354,3,FALSE)="","",VLOOKUP(CM733,βοηθητικό!$J$2:$N$354,3,FALSE))</f>
        <v>_</v>
      </c>
      <c r="CO733" s="47"/>
      <c r="CP733" s="42" t="s">
        <v>16</v>
      </c>
      <c r="CQ733" s="43" t="str">
        <f>IF(VLOOKUP(CP733,βοηθητικό!$J$2:$N$354,3,FALSE)="","",VLOOKUP(CP733,βοηθητικό!$J$2:$N$354,3,FALSE))</f>
        <v>_</v>
      </c>
      <c r="CR733" s="44"/>
      <c r="CS733" s="45" t="s">
        <v>16</v>
      </c>
      <c r="CT733" s="46" t="str">
        <f>IF(VLOOKUP(CS733,βοηθητικό!$J$2:$N$354,3,FALSE)="","",VLOOKUP(CS733,βοηθητικό!$J$2:$N$354,3,FALSE))</f>
        <v>_</v>
      </c>
      <c r="CU733" s="47"/>
    </row>
    <row r="734" spans="1:99" x14ac:dyDescent="0.25">
      <c r="A734" s="37">
        <f>--SUBTOTAL(3,$B$3:B733)</f>
        <v>198</v>
      </c>
      <c r="B734" s="2"/>
      <c r="C734" s="3"/>
      <c r="D734" s="55" t="s">
        <v>18</v>
      </c>
      <c r="E734" s="38" t="s">
        <v>16</v>
      </c>
      <c r="F734" s="38"/>
      <c r="G734" s="39" t="str">
        <f t="shared" si="35"/>
        <v>__</v>
      </c>
      <c r="H734" s="40" t="str">
        <f t="shared" si="36"/>
        <v>FALSE</v>
      </c>
      <c r="I734" s="41">
        <f t="shared" si="37"/>
        <v>0</v>
      </c>
      <c r="J734" s="4" t="s">
        <v>16</v>
      </c>
      <c r="K734" s="43" t="str">
        <f>IF(VLOOKUP(J734,βοηθητικό!$J$2:$N$354,3,FALSE)="","",VLOOKUP(J734,βοηθητικό!$J$2:$N$354,3,FALSE))</f>
        <v>_</v>
      </c>
      <c r="L734" s="44"/>
      <c r="M734" s="5" t="s">
        <v>16</v>
      </c>
      <c r="N734" s="46" t="str">
        <f>IF(VLOOKUP(M734,βοηθητικό!$J$2:$N$354,3,FALSE)="","",VLOOKUP(M734,βοηθητικό!$J$2:$N$354,3,FALSE))</f>
        <v>_</v>
      </c>
      <c r="O734" s="47"/>
      <c r="P734" s="4" t="s">
        <v>16</v>
      </c>
      <c r="Q734" s="43" t="str">
        <f>IF(VLOOKUP(P734,βοηθητικό!$J$2:$N$354,3,FALSE)="","",VLOOKUP(P734,βοηθητικό!$J$2:$N$354,3,FALSE))</f>
        <v>_</v>
      </c>
      <c r="R734" s="44"/>
      <c r="S734" s="5" t="s">
        <v>16</v>
      </c>
      <c r="T734" s="46" t="str">
        <f>IF(VLOOKUP(S734,βοηθητικό!$J$2:$N$354,3,FALSE)="","",VLOOKUP(S734,βοηθητικό!$J$2:$N$354,3,FALSE))</f>
        <v>_</v>
      </c>
      <c r="U734" s="47"/>
      <c r="V734" s="4" t="s">
        <v>16</v>
      </c>
      <c r="W734" s="43" t="str">
        <f>IF(VLOOKUP(V734,βοηθητικό!$J$2:$N$354,3,FALSE)="","",VLOOKUP(V734,βοηθητικό!$J$2:$N$354,3,FALSE))</f>
        <v>_</v>
      </c>
      <c r="X734" s="44"/>
      <c r="Y734" s="5" t="s">
        <v>16</v>
      </c>
      <c r="Z734" s="46" t="str">
        <f>IF(VLOOKUP(Y734,βοηθητικό!$J$2:$N$354,3,FALSE)="","",VLOOKUP(Y734,βοηθητικό!$J$2:$N$354,3,FALSE))</f>
        <v>_</v>
      </c>
      <c r="AA734" s="47"/>
      <c r="AB734" s="4" t="s">
        <v>16</v>
      </c>
      <c r="AC734" s="43" t="str">
        <f>IF(VLOOKUP(AB734,βοηθητικό!$J$2:$N$354,3,FALSE)="","",VLOOKUP(AB734,βοηθητικό!$J$2:$N$354,3,FALSE))</f>
        <v>_</v>
      </c>
      <c r="AD734" s="44"/>
      <c r="AE734" s="5" t="s">
        <v>16</v>
      </c>
      <c r="AF734" s="46" t="str">
        <f>IF(VLOOKUP(AE734,βοηθητικό!$J$2:$N$354,3,FALSE)="","",VLOOKUP(AE734,βοηθητικό!$J$2:$N$354,3,FALSE))</f>
        <v>_</v>
      </c>
      <c r="AG734" s="47"/>
      <c r="AH734" s="4" t="s">
        <v>16</v>
      </c>
      <c r="AI734" s="43" t="str">
        <f>IF(VLOOKUP(AH734,βοηθητικό!$J$2:$N$354,3,FALSE)="","",VLOOKUP(AH734,βοηθητικό!$J$2:$N$354,3,FALSE))</f>
        <v>_</v>
      </c>
      <c r="AJ734" s="44"/>
      <c r="AK734" s="5" t="s">
        <v>16</v>
      </c>
      <c r="AL734" s="46" t="str">
        <f>IF(VLOOKUP(AK734,βοηθητικό!$J$2:$N$354,3,FALSE)="","",VLOOKUP(AK734,βοηθητικό!$J$2:$N$354,3,FALSE))</f>
        <v>_</v>
      </c>
      <c r="AM734" s="47"/>
      <c r="AN734" s="4" t="s">
        <v>16</v>
      </c>
      <c r="AO734" s="43" t="str">
        <f>IF(VLOOKUP(AN734,βοηθητικό!$J$2:$N$354,3,FALSE)="","",VLOOKUP(AN734,βοηθητικό!$J$2:$N$354,3,FALSE))</f>
        <v>_</v>
      </c>
      <c r="AP734" s="44"/>
      <c r="AQ734" s="5" t="s">
        <v>16</v>
      </c>
      <c r="AR734" s="46" t="str">
        <f>IF(VLOOKUP(AQ734,βοηθητικό!$J$2:$N$354,3,FALSE)="","",VLOOKUP(AQ734,βοηθητικό!$J$2:$N$354,3,FALSE))</f>
        <v>_</v>
      </c>
      <c r="AS734" s="47"/>
      <c r="AT734" s="4" t="s">
        <v>16</v>
      </c>
      <c r="AU734" s="43" t="str">
        <f>IF(VLOOKUP(AT734,βοηθητικό!$J$2:$N$354,3,FALSE)="","",VLOOKUP(AT734,βοηθητικό!$J$2:$N$354,3,FALSE))</f>
        <v>_</v>
      </c>
      <c r="AV734" s="44"/>
      <c r="AW734" s="5" t="s">
        <v>16</v>
      </c>
      <c r="AX734" s="46" t="str">
        <f>IF(VLOOKUP(AW734,βοηθητικό!$J$2:$N$354,3,FALSE)="","",VLOOKUP(AW734,βοηθητικό!$J$2:$N$354,3,FALSE))</f>
        <v>_</v>
      </c>
      <c r="AY734" s="47"/>
      <c r="AZ734" s="4" t="s">
        <v>16</v>
      </c>
      <c r="BA734" s="43" t="str">
        <f>IF(VLOOKUP(AZ734,βοηθητικό!$J$2:$N$354,3,FALSE)="","",VLOOKUP(AZ734,βοηθητικό!$J$2:$N$354,3,FALSE))</f>
        <v>_</v>
      </c>
      <c r="BB734" s="44"/>
      <c r="BC734" s="45" t="s">
        <v>16</v>
      </c>
      <c r="BD734" s="46" t="str">
        <f>IF(VLOOKUP(BC734,βοηθητικό!$J$2:$N$354,3,FALSE)="","",VLOOKUP(BC734,βοηθητικό!$J$2:$N$354,3,FALSE))</f>
        <v>_</v>
      </c>
      <c r="BE734" s="47"/>
      <c r="BF734" s="42" t="s">
        <v>16</v>
      </c>
      <c r="BG734" s="43" t="str">
        <f>IF(VLOOKUP(BF734,βοηθητικό!$J$2:$N$354,3,FALSE)="","",VLOOKUP(BF734,βοηθητικό!$J$2:$N$354,3,FALSE))</f>
        <v>_</v>
      </c>
      <c r="BH734" s="44"/>
      <c r="BI734" s="45" t="s">
        <v>16</v>
      </c>
      <c r="BJ734" s="46" t="str">
        <f>IF(VLOOKUP(BI734,βοηθητικό!$J$2:$N$354,3,FALSE)="","",VLOOKUP(BI734,βοηθητικό!$J$2:$N$354,3,FALSE))</f>
        <v>_</v>
      </c>
      <c r="BK734" s="47"/>
      <c r="BL734" s="42" t="s">
        <v>16</v>
      </c>
      <c r="BM734" s="43" t="str">
        <f>IF(VLOOKUP(BL734,βοηθητικό!$J$2:$N$354,3,FALSE)="","",VLOOKUP(BL734,βοηθητικό!$J$2:$N$354,3,FALSE))</f>
        <v>_</v>
      </c>
      <c r="BN734" s="44"/>
      <c r="BO734" s="45" t="s">
        <v>16</v>
      </c>
      <c r="BP734" s="46" t="str">
        <f>IF(VLOOKUP(BO734,βοηθητικό!$J$2:$N$354,3,FALSE)="","",VLOOKUP(BO734,βοηθητικό!$J$2:$N$354,3,FALSE))</f>
        <v>_</v>
      </c>
      <c r="BQ734" s="47"/>
      <c r="BR734" s="42" t="s">
        <v>16</v>
      </c>
      <c r="BS734" s="43" t="str">
        <f>IF(VLOOKUP(BR734,βοηθητικό!$J$2:$N$354,3,FALSE)="","",VLOOKUP(BR734,βοηθητικό!$J$2:$N$354,3,FALSE))</f>
        <v>_</v>
      </c>
      <c r="BT734" s="44"/>
      <c r="BU734" s="45" t="s">
        <v>16</v>
      </c>
      <c r="BV734" s="46" t="str">
        <f>IF(VLOOKUP(BU734,βοηθητικό!$J$2:$N$354,3,FALSE)="","",VLOOKUP(BU734,βοηθητικό!$J$2:$N$354,3,FALSE))</f>
        <v>_</v>
      </c>
      <c r="BW734" s="47"/>
      <c r="BX734" s="42" t="s">
        <v>16</v>
      </c>
      <c r="BY734" s="43" t="str">
        <f>IF(VLOOKUP(BX734,βοηθητικό!$J$2:$N$354,3,FALSE)="","",VLOOKUP(BX734,βοηθητικό!$J$2:$N$354,3,FALSE))</f>
        <v>_</v>
      </c>
      <c r="BZ734" s="44"/>
      <c r="CA734" s="45" t="s">
        <v>16</v>
      </c>
      <c r="CB734" s="46" t="str">
        <f>IF(VLOOKUP(CA734,βοηθητικό!$J$2:$N$354,3,FALSE)="","",VLOOKUP(CA734,βοηθητικό!$J$2:$N$354,3,FALSE))</f>
        <v>_</v>
      </c>
      <c r="CC734" s="47"/>
      <c r="CD734" s="42" t="s">
        <v>16</v>
      </c>
      <c r="CE734" s="43" t="str">
        <f>IF(VLOOKUP(CD734,βοηθητικό!$J$2:$N$354,3,FALSE)="","",VLOOKUP(CD734,βοηθητικό!$J$2:$N$354,3,FALSE))</f>
        <v>_</v>
      </c>
      <c r="CF734" s="44"/>
      <c r="CG734" s="45" t="s">
        <v>16</v>
      </c>
      <c r="CH734" s="46" t="str">
        <f>IF(VLOOKUP(CG734,βοηθητικό!$J$2:$N$354,3,FALSE)="","",VLOOKUP(CG734,βοηθητικό!$J$2:$N$354,3,FALSE))</f>
        <v>_</v>
      </c>
      <c r="CI734" s="47"/>
      <c r="CJ734" s="42" t="s">
        <v>16</v>
      </c>
      <c r="CK734" s="43" t="str">
        <f>IF(VLOOKUP(CJ734,βοηθητικό!$J$2:$N$354,3,FALSE)="","",VLOOKUP(CJ734,βοηθητικό!$J$2:$N$354,3,FALSE))</f>
        <v>_</v>
      </c>
      <c r="CL734" s="44"/>
      <c r="CM734" s="45" t="s">
        <v>16</v>
      </c>
      <c r="CN734" s="46" t="str">
        <f>IF(VLOOKUP(CM734,βοηθητικό!$J$2:$N$354,3,FALSE)="","",VLOOKUP(CM734,βοηθητικό!$J$2:$N$354,3,FALSE))</f>
        <v>_</v>
      </c>
      <c r="CO734" s="47"/>
      <c r="CP734" s="42" t="s">
        <v>16</v>
      </c>
      <c r="CQ734" s="43" t="str">
        <f>IF(VLOOKUP(CP734,βοηθητικό!$J$2:$N$354,3,FALSE)="","",VLOOKUP(CP734,βοηθητικό!$J$2:$N$354,3,FALSE))</f>
        <v>_</v>
      </c>
      <c r="CR734" s="44"/>
      <c r="CS734" s="45" t="s">
        <v>16</v>
      </c>
      <c r="CT734" s="46" t="str">
        <f>IF(VLOOKUP(CS734,βοηθητικό!$J$2:$N$354,3,FALSE)="","",VLOOKUP(CS734,βοηθητικό!$J$2:$N$354,3,FALSE))</f>
        <v>_</v>
      </c>
      <c r="CU734" s="47"/>
    </row>
    <row r="735" spans="1:99" x14ac:dyDescent="0.25">
      <c r="A735" s="37">
        <f>--SUBTOTAL(3,$B$3:B734)</f>
        <v>198</v>
      </c>
      <c r="B735" s="2"/>
      <c r="C735" s="3"/>
      <c r="D735" s="55" t="s">
        <v>18</v>
      </c>
      <c r="E735" s="38" t="s">
        <v>16</v>
      </c>
      <c r="F735" s="38"/>
      <c r="G735" s="39" t="str">
        <f t="shared" si="35"/>
        <v>__</v>
      </c>
      <c r="H735" s="40" t="str">
        <f t="shared" si="36"/>
        <v>FALSE</v>
      </c>
      <c r="I735" s="41">
        <f t="shared" si="37"/>
        <v>0</v>
      </c>
      <c r="J735" s="4" t="s">
        <v>16</v>
      </c>
      <c r="K735" s="43" t="str">
        <f>IF(VLOOKUP(J735,βοηθητικό!$J$2:$N$354,3,FALSE)="","",VLOOKUP(J735,βοηθητικό!$J$2:$N$354,3,FALSE))</f>
        <v>_</v>
      </c>
      <c r="L735" s="44"/>
      <c r="M735" s="5" t="s">
        <v>16</v>
      </c>
      <c r="N735" s="46" t="str">
        <f>IF(VLOOKUP(M735,βοηθητικό!$J$2:$N$354,3,FALSE)="","",VLOOKUP(M735,βοηθητικό!$J$2:$N$354,3,FALSE))</f>
        <v>_</v>
      </c>
      <c r="O735" s="47"/>
      <c r="P735" s="4" t="s">
        <v>16</v>
      </c>
      <c r="Q735" s="43" t="str">
        <f>IF(VLOOKUP(P735,βοηθητικό!$J$2:$N$354,3,FALSE)="","",VLOOKUP(P735,βοηθητικό!$J$2:$N$354,3,FALSE))</f>
        <v>_</v>
      </c>
      <c r="R735" s="44"/>
      <c r="S735" s="5" t="s">
        <v>16</v>
      </c>
      <c r="T735" s="46" t="str">
        <f>IF(VLOOKUP(S735,βοηθητικό!$J$2:$N$354,3,FALSE)="","",VLOOKUP(S735,βοηθητικό!$J$2:$N$354,3,FALSE))</f>
        <v>_</v>
      </c>
      <c r="U735" s="47"/>
      <c r="V735" s="4" t="s">
        <v>16</v>
      </c>
      <c r="W735" s="43" t="str">
        <f>IF(VLOOKUP(V735,βοηθητικό!$J$2:$N$354,3,FALSE)="","",VLOOKUP(V735,βοηθητικό!$J$2:$N$354,3,FALSE))</f>
        <v>_</v>
      </c>
      <c r="X735" s="44"/>
      <c r="Y735" s="5" t="s">
        <v>16</v>
      </c>
      <c r="Z735" s="46" t="str">
        <f>IF(VLOOKUP(Y735,βοηθητικό!$J$2:$N$354,3,FALSE)="","",VLOOKUP(Y735,βοηθητικό!$J$2:$N$354,3,FALSE))</f>
        <v>_</v>
      </c>
      <c r="AA735" s="47"/>
      <c r="AB735" s="4" t="s">
        <v>16</v>
      </c>
      <c r="AC735" s="43" t="str">
        <f>IF(VLOOKUP(AB735,βοηθητικό!$J$2:$N$354,3,FALSE)="","",VLOOKUP(AB735,βοηθητικό!$J$2:$N$354,3,FALSE))</f>
        <v>_</v>
      </c>
      <c r="AD735" s="44"/>
      <c r="AE735" s="5" t="s">
        <v>16</v>
      </c>
      <c r="AF735" s="46" t="str">
        <f>IF(VLOOKUP(AE735,βοηθητικό!$J$2:$N$354,3,FALSE)="","",VLOOKUP(AE735,βοηθητικό!$J$2:$N$354,3,FALSE))</f>
        <v>_</v>
      </c>
      <c r="AG735" s="47"/>
      <c r="AH735" s="4" t="s">
        <v>16</v>
      </c>
      <c r="AI735" s="43" t="str">
        <f>IF(VLOOKUP(AH735,βοηθητικό!$J$2:$N$354,3,FALSE)="","",VLOOKUP(AH735,βοηθητικό!$J$2:$N$354,3,FALSE))</f>
        <v>_</v>
      </c>
      <c r="AJ735" s="44"/>
      <c r="AK735" s="5" t="s">
        <v>16</v>
      </c>
      <c r="AL735" s="46" t="str">
        <f>IF(VLOOKUP(AK735,βοηθητικό!$J$2:$N$354,3,FALSE)="","",VLOOKUP(AK735,βοηθητικό!$J$2:$N$354,3,FALSE))</f>
        <v>_</v>
      </c>
      <c r="AM735" s="47"/>
      <c r="AN735" s="4" t="s">
        <v>16</v>
      </c>
      <c r="AO735" s="43" t="str">
        <f>IF(VLOOKUP(AN735,βοηθητικό!$J$2:$N$354,3,FALSE)="","",VLOOKUP(AN735,βοηθητικό!$J$2:$N$354,3,FALSE))</f>
        <v>_</v>
      </c>
      <c r="AP735" s="44"/>
      <c r="AQ735" s="5" t="s">
        <v>16</v>
      </c>
      <c r="AR735" s="46" t="str">
        <f>IF(VLOOKUP(AQ735,βοηθητικό!$J$2:$N$354,3,FALSE)="","",VLOOKUP(AQ735,βοηθητικό!$J$2:$N$354,3,FALSE))</f>
        <v>_</v>
      </c>
      <c r="AS735" s="47"/>
      <c r="AT735" s="4" t="s">
        <v>16</v>
      </c>
      <c r="AU735" s="43" t="str">
        <f>IF(VLOOKUP(AT735,βοηθητικό!$J$2:$N$354,3,FALSE)="","",VLOOKUP(AT735,βοηθητικό!$J$2:$N$354,3,FALSE))</f>
        <v>_</v>
      </c>
      <c r="AV735" s="44"/>
      <c r="AW735" s="5" t="s">
        <v>16</v>
      </c>
      <c r="AX735" s="46" t="str">
        <f>IF(VLOOKUP(AW735,βοηθητικό!$J$2:$N$354,3,FALSE)="","",VLOOKUP(AW735,βοηθητικό!$J$2:$N$354,3,FALSE))</f>
        <v>_</v>
      </c>
      <c r="AY735" s="47"/>
      <c r="AZ735" s="4" t="s">
        <v>16</v>
      </c>
      <c r="BA735" s="43" t="str">
        <f>IF(VLOOKUP(AZ735,βοηθητικό!$J$2:$N$354,3,FALSE)="","",VLOOKUP(AZ735,βοηθητικό!$J$2:$N$354,3,FALSE))</f>
        <v>_</v>
      </c>
      <c r="BB735" s="44"/>
      <c r="BC735" s="45" t="s">
        <v>16</v>
      </c>
      <c r="BD735" s="46" t="str">
        <f>IF(VLOOKUP(BC735,βοηθητικό!$J$2:$N$354,3,FALSE)="","",VLOOKUP(BC735,βοηθητικό!$J$2:$N$354,3,FALSE))</f>
        <v>_</v>
      </c>
      <c r="BE735" s="47"/>
      <c r="BF735" s="42" t="s">
        <v>16</v>
      </c>
      <c r="BG735" s="43" t="str">
        <f>IF(VLOOKUP(BF735,βοηθητικό!$J$2:$N$354,3,FALSE)="","",VLOOKUP(BF735,βοηθητικό!$J$2:$N$354,3,FALSE))</f>
        <v>_</v>
      </c>
      <c r="BH735" s="44"/>
      <c r="BI735" s="45" t="s">
        <v>16</v>
      </c>
      <c r="BJ735" s="46" t="str">
        <f>IF(VLOOKUP(BI735,βοηθητικό!$J$2:$N$354,3,FALSE)="","",VLOOKUP(BI735,βοηθητικό!$J$2:$N$354,3,FALSE))</f>
        <v>_</v>
      </c>
      <c r="BK735" s="47"/>
      <c r="BL735" s="42" t="s">
        <v>16</v>
      </c>
      <c r="BM735" s="43" t="str">
        <f>IF(VLOOKUP(BL735,βοηθητικό!$J$2:$N$354,3,FALSE)="","",VLOOKUP(BL735,βοηθητικό!$J$2:$N$354,3,FALSE))</f>
        <v>_</v>
      </c>
      <c r="BN735" s="44"/>
      <c r="BO735" s="45" t="s">
        <v>16</v>
      </c>
      <c r="BP735" s="46" t="str">
        <f>IF(VLOOKUP(BO735,βοηθητικό!$J$2:$N$354,3,FALSE)="","",VLOOKUP(BO735,βοηθητικό!$J$2:$N$354,3,FALSE))</f>
        <v>_</v>
      </c>
      <c r="BQ735" s="47"/>
      <c r="BR735" s="42" t="s">
        <v>16</v>
      </c>
      <c r="BS735" s="43" t="str">
        <f>IF(VLOOKUP(BR735,βοηθητικό!$J$2:$N$354,3,FALSE)="","",VLOOKUP(BR735,βοηθητικό!$J$2:$N$354,3,FALSE))</f>
        <v>_</v>
      </c>
      <c r="BT735" s="44"/>
      <c r="BU735" s="45" t="s">
        <v>16</v>
      </c>
      <c r="BV735" s="46" t="str">
        <f>IF(VLOOKUP(BU735,βοηθητικό!$J$2:$N$354,3,FALSE)="","",VLOOKUP(BU735,βοηθητικό!$J$2:$N$354,3,FALSE))</f>
        <v>_</v>
      </c>
      <c r="BW735" s="47"/>
      <c r="BX735" s="42" t="s">
        <v>16</v>
      </c>
      <c r="BY735" s="43" t="str">
        <f>IF(VLOOKUP(BX735,βοηθητικό!$J$2:$N$354,3,FALSE)="","",VLOOKUP(BX735,βοηθητικό!$J$2:$N$354,3,FALSE))</f>
        <v>_</v>
      </c>
      <c r="BZ735" s="44"/>
      <c r="CA735" s="45" t="s">
        <v>16</v>
      </c>
      <c r="CB735" s="46" t="str">
        <f>IF(VLOOKUP(CA735,βοηθητικό!$J$2:$N$354,3,FALSE)="","",VLOOKUP(CA735,βοηθητικό!$J$2:$N$354,3,FALSE))</f>
        <v>_</v>
      </c>
      <c r="CC735" s="47"/>
      <c r="CD735" s="42" t="s">
        <v>16</v>
      </c>
      <c r="CE735" s="43" t="str">
        <f>IF(VLOOKUP(CD735,βοηθητικό!$J$2:$N$354,3,FALSE)="","",VLOOKUP(CD735,βοηθητικό!$J$2:$N$354,3,FALSE))</f>
        <v>_</v>
      </c>
      <c r="CF735" s="44"/>
      <c r="CG735" s="45" t="s">
        <v>16</v>
      </c>
      <c r="CH735" s="46" t="str">
        <f>IF(VLOOKUP(CG735,βοηθητικό!$J$2:$N$354,3,FALSE)="","",VLOOKUP(CG735,βοηθητικό!$J$2:$N$354,3,FALSE))</f>
        <v>_</v>
      </c>
      <c r="CI735" s="47"/>
      <c r="CJ735" s="42" t="s">
        <v>16</v>
      </c>
      <c r="CK735" s="43" t="str">
        <f>IF(VLOOKUP(CJ735,βοηθητικό!$J$2:$N$354,3,FALSE)="","",VLOOKUP(CJ735,βοηθητικό!$J$2:$N$354,3,FALSE))</f>
        <v>_</v>
      </c>
      <c r="CL735" s="44"/>
      <c r="CM735" s="45" t="s">
        <v>16</v>
      </c>
      <c r="CN735" s="46" t="str">
        <f>IF(VLOOKUP(CM735,βοηθητικό!$J$2:$N$354,3,FALSE)="","",VLOOKUP(CM735,βοηθητικό!$J$2:$N$354,3,FALSE))</f>
        <v>_</v>
      </c>
      <c r="CO735" s="47"/>
      <c r="CP735" s="42" t="s">
        <v>16</v>
      </c>
      <c r="CQ735" s="43" t="str">
        <f>IF(VLOOKUP(CP735,βοηθητικό!$J$2:$N$354,3,FALSE)="","",VLOOKUP(CP735,βοηθητικό!$J$2:$N$354,3,FALSE))</f>
        <v>_</v>
      </c>
      <c r="CR735" s="44"/>
      <c r="CS735" s="45" t="s">
        <v>16</v>
      </c>
      <c r="CT735" s="46" t="str">
        <f>IF(VLOOKUP(CS735,βοηθητικό!$J$2:$N$354,3,FALSE)="","",VLOOKUP(CS735,βοηθητικό!$J$2:$N$354,3,FALSE))</f>
        <v>_</v>
      </c>
      <c r="CU735" s="47"/>
    </row>
    <row r="736" spans="1:99" x14ac:dyDescent="0.25">
      <c r="A736" s="37">
        <f>--SUBTOTAL(3,$B$3:B735)</f>
        <v>198</v>
      </c>
      <c r="B736" s="2"/>
      <c r="C736" s="3"/>
      <c r="D736" s="55" t="s">
        <v>18</v>
      </c>
      <c r="E736" s="38" t="s">
        <v>16</v>
      </c>
      <c r="F736" s="38"/>
      <c r="G736" s="39" t="str">
        <f t="shared" si="35"/>
        <v>__</v>
      </c>
      <c r="H736" s="40" t="str">
        <f t="shared" si="36"/>
        <v>FALSE</v>
      </c>
      <c r="I736" s="41">
        <f t="shared" si="37"/>
        <v>0</v>
      </c>
      <c r="J736" s="4" t="s">
        <v>16</v>
      </c>
      <c r="K736" s="43" t="str">
        <f>IF(VLOOKUP(J736,βοηθητικό!$J$2:$N$354,3,FALSE)="","",VLOOKUP(J736,βοηθητικό!$J$2:$N$354,3,FALSE))</f>
        <v>_</v>
      </c>
      <c r="L736" s="44"/>
      <c r="M736" s="5" t="s">
        <v>16</v>
      </c>
      <c r="N736" s="46" t="str">
        <f>IF(VLOOKUP(M736,βοηθητικό!$J$2:$N$354,3,FALSE)="","",VLOOKUP(M736,βοηθητικό!$J$2:$N$354,3,FALSE))</f>
        <v>_</v>
      </c>
      <c r="O736" s="47"/>
      <c r="P736" s="4" t="s">
        <v>16</v>
      </c>
      <c r="Q736" s="43" t="str">
        <f>IF(VLOOKUP(P736,βοηθητικό!$J$2:$N$354,3,FALSE)="","",VLOOKUP(P736,βοηθητικό!$J$2:$N$354,3,FALSE))</f>
        <v>_</v>
      </c>
      <c r="R736" s="44"/>
      <c r="S736" s="5" t="s">
        <v>16</v>
      </c>
      <c r="T736" s="46" t="str">
        <f>IF(VLOOKUP(S736,βοηθητικό!$J$2:$N$354,3,FALSE)="","",VLOOKUP(S736,βοηθητικό!$J$2:$N$354,3,FALSE))</f>
        <v>_</v>
      </c>
      <c r="U736" s="47"/>
      <c r="V736" s="4" t="s">
        <v>16</v>
      </c>
      <c r="W736" s="43" t="str">
        <f>IF(VLOOKUP(V736,βοηθητικό!$J$2:$N$354,3,FALSE)="","",VLOOKUP(V736,βοηθητικό!$J$2:$N$354,3,FALSE))</f>
        <v>_</v>
      </c>
      <c r="X736" s="44"/>
      <c r="Y736" s="5" t="s">
        <v>16</v>
      </c>
      <c r="Z736" s="46" t="str">
        <f>IF(VLOOKUP(Y736,βοηθητικό!$J$2:$N$354,3,FALSE)="","",VLOOKUP(Y736,βοηθητικό!$J$2:$N$354,3,FALSE))</f>
        <v>_</v>
      </c>
      <c r="AA736" s="47"/>
      <c r="AB736" s="4" t="s">
        <v>16</v>
      </c>
      <c r="AC736" s="43" t="str">
        <f>IF(VLOOKUP(AB736,βοηθητικό!$J$2:$N$354,3,FALSE)="","",VLOOKUP(AB736,βοηθητικό!$J$2:$N$354,3,FALSE))</f>
        <v>_</v>
      </c>
      <c r="AD736" s="44"/>
      <c r="AE736" s="5" t="s">
        <v>16</v>
      </c>
      <c r="AF736" s="46" t="str">
        <f>IF(VLOOKUP(AE736,βοηθητικό!$J$2:$N$354,3,FALSE)="","",VLOOKUP(AE736,βοηθητικό!$J$2:$N$354,3,FALSE))</f>
        <v>_</v>
      </c>
      <c r="AG736" s="47"/>
      <c r="AH736" s="4" t="s">
        <v>16</v>
      </c>
      <c r="AI736" s="43" t="str">
        <f>IF(VLOOKUP(AH736,βοηθητικό!$J$2:$N$354,3,FALSE)="","",VLOOKUP(AH736,βοηθητικό!$J$2:$N$354,3,FALSE))</f>
        <v>_</v>
      </c>
      <c r="AJ736" s="44"/>
      <c r="AK736" s="5" t="s">
        <v>16</v>
      </c>
      <c r="AL736" s="46" t="str">
        <f>IF(VLOOKUP(AK736,βοηθητικό!$J$2:$N$354,3,FALSE)="","",VLOOKUP(AK736,βοηθητικό!$J$2:$N$354,3,FALSE))</f>
        <v>_</v>
      </c>
      <c r="AM736" s="47"/>
      <c r="AN736" s="4" t="s">
        <v>16</v>
      </c>
      <c r="AO736" s="43" t="str">
        <f>IF(VLOOKUP(AN736,βοηθητικό!$J$2:$N$354,3,FALSE)="","",VLOOKUP(AN736,βοηθητικό!$J$2:$N$354,3,FALSE))</f>
        <v>_</v>
      </c>
      <c r="AP736" s="44"/>
      <c r="AQ736" s="5" t="s">
        <v>16</v>
      </c>
      <c r="AR736" s="46" t="str">
        <f>IF(VLOOKUP(AQ736,βοηθητικό!$J$2:$N$354,3,FALSE)="","",VLOOKUP(AQ736,βοηθητικό!$J$2:$N$354,3,FALSE))</f>
        <v>_</v>
      </c>
      <c r="AS736" s="47"/>
      <c r="AT736" s="4" t="s">
        <v>16</v>
      </c>
      <c r="AU736" s="43" t="str">
        <f>IF(VLOOKUP(AT736,βοηθητικό!$J$2:$N$354,3,FALSE)="","",VLOOKUP(AT736,βοηθητικό!$J$2:$N$354,3,FALSE))</f>
        <v>_</v>
      </c>
      <c r="AV736" s="44"/>
      <c r="AW736" s="5" t="s">
        <v>16</v>
      </c>
      <c r="AX736" s="46" t="str">
        <f>IF(VLOOKUP(AW736,βοηθητικό!$J$2:$N$354,3,FALSE)="","",VLOOKUP(AW736,βοηθητικό!$J$2:$N$354,3,FALSE))</f>
        <v>_</v>
      </c>
      <c r="AY736" s="47"/>
      <c r="AZ736" s="4" t="s">
        <v>16</v>
      </c>
      <c r="BA736" s="43" t="str">
        <f>IF(VLOOKUP(AZ736,βοηθητικό!$J$2:$N$354,3,FALSE)="","",VLOOKUP(AZ736,βοηθητικό!$J$2:$N$354,3,FALSE))</f>
        <v>_</v>
      </c>
      <c r="BB736" s="44"/>
      <c r="BC736" s="45" t="s">
        <v>16</v>
      </c>
      <c r="BD736" s="46" t="str">
        <f>IF(VLOOKUP(BC736,βοηθητικό!$J$2:$N$354,3,FALSE)="","",VLOOKUP(BC736,βοηθητικό!$J$2:$N$354,3,FALSE))</f>
        <v>_</v>
      </c>
      <c r="BE736" s="47"/>
      <c r="BF736" s="42" t="s">
        <v>16</v>
      </c>
      <c r="BG736" s="43" t="str">
        <f>IF(VLOOKUP(BF736,βοηθητικό!$J$2:$N$354,3,FALSE)="","",VLOOKUP(BF736,βοηθητικό!$J$2:$N$354,3,FALSE))</f>
        <v>_</v>
      </c>
      <c r="BH736" s="44"/>
      <c r="BI736" s="45" t="s">
        <v>16</v>
      </c>
      <c r="BJ736" s="46" t="str">
        <f>IF(VLOOKUP(BI736,βοηθητικό!$J$2:$N$354,3,FALSE)="","",VLOOKUP(BI736,βοηθητικό!$J$2:$N$354,3,FALSE))</f>
        <v>_</v>
      </c>
      <c r="BK736" s="47"/>
      <c r="BL736" s="42" t="s">
        <v>16</v>
      </c>
      <c r="BM736" s="43" t="str">
        <f>IF(VLOOKUP(BL736,βοηθητικό!$J$2:$N$354,3,FALSE)="","",VLOOKUP(BL736,βοηθητικό!$J$2:$N$354,3,FALSE))</f>
        <v>_</v>
      </c>
      <c r="BN736" s="44"/>
      <c r="BO736" s="45" t="s">
        <v>16</v>
      </c>
      <c r="BP736" s="46" t="str">
        <f>IF(VLOOKUP(BO736,βοηθητικό!$J$2:$N$354,3,FALSE)="","",VLOOKUP(BO736,βοηθητικό!$J$2:$N$354,3,FALSE))</f>
        <v>_</v>
      </c>
      <c r="BQ736" s="47"/>
      <c r="BR736" s="42" t="s">
        <v>16</v>
      </c>
      <c r="BS736" s="43" t="str">
        <f>IF(VLOOKUP(BR736,βοηθητικό!$J$2:$N$354,3,FALSE)="","",VLOOKUP(BR736,βοηθητικό!$J$2:$N$354,3,FALSE))</f>
        <v>_</v>
      </c>
      <c r="BT736" s="44"/>
      <c r="BU736" s="45" t="s">
        <v>16</v>
      </c>
      <c r="BV736" s="46" t="str">
        <f>IF(VLOOKUP(BU736,βοηθητικό!$J$2:$N$354,3,FALSE)="","",VLOOKUP(BU736,βοηθητικό!$J$2:$N$354,3,FALSE))</f>
        <v>_</v>
      </c>
      <c r="BW736" s="47"/>
      <c r="BX736" s="42" t="s">
        <v>16</v>
      </c>
      <c r="BY736" s="43" t="str">
        <f>IF(VLOOKUP(BX736,βοηθητικό!$J$2:$N$354,3,FALSE)="","",VLOOKUP(BX736,βοηθητικό!$J$2:$N$354,3,FALSE))</f>
        <v>_</v>
      </c>
      <c r="BZ736" s="44"/>
      <c r="CA736" s="45" t="s">
        <v>16</v>
      </c>
      <c r="CB736" s="46" t="str">
        <f>IF(VLOOKUP(CA736,βοηθητικό!$J$2:$N$354,3,FALSE)="","",VLOOKUP(CA736,βοηθητικό!$J$2:$N$354,3,FALSE))</f>
        <v>_</v>
      </c>
      <c r="CC736" s="47"/>
      <c r="CD736" s="42" t="s">
        <v>16</v>
      </c>
      <c r="CE736" s="43" t="str">
        <f>IF(VLOOKUP(CD736,βοηθητικό!$J$2:$N$354,3,FALSE)="","",VLOOKUP(CD736,βοηθητικό!$J$2:$N$354,3,FALSE))</f>
        <v>_</v>
      </c>
      <c r="CF736" s="44"/>
      <c r="CG736" s="45" t="s">
        <v>16</v>
      </c>
      <c r="CH736" s="46" t="str">
        <f>IF(VLOOKUP(CG736,βοηθητικό!$J$2:$N$354,3,FALSE)="","",VLOOKUP(CG736,βοηθητικό!$J$2:$N$354,3,FALSE))</f>
        <v>_</v>
      </c>
      <c r="CI736" s="47"/>
      <c r="CJ736" s="42" t="s">
        <v>16</v>
      </c>
      <c r="CK736" s="43" t="str">
        <f>IF(VLOOKUP(CJ736,βοηθητικό!$J$2:$N$354,3,FALSE)="","",VLOOKUP(CJ736,βοηθητικό!$J$2:$N$354,3,FALSE))</f>
        <v>_</v>
      </c>
      <c r="CL736" s="44"/>
      <c r="CM736" s="45" t="s">
        <v>16</v>
      </c>
      <c r="CN736" s="46" t="str">
        <f>IF(VLOOKUP(CM736,βοηθητικό!$J$2:$N$354,3,FALSE)="","",VLOOKUP(CM736,βοηθητικό!$J$2:$N$354,3,FALSE))</f>
        <v>_</v>
      </c>
      <c r="CO736" s="47"/>
      <c r="CP736" s="42" t="s">
        <v>16</v>
      </c>
      <c r="CQ736" s="43" t="str">
        <f>IF(VLOOKUP(CP736,βοηθητικό!$J$2:$N$354,3,FALSE)="","",VLOOKUP(CP736,βοηθητικό!$J$2:$N$354,3,FALSE))</f>
        <v>_</v>
      </c>
      <c r="CR736" s="44"/>
      <c r="CS736" s="45" t="s">
        <v>16</v>
      </c>
      <c r="CT736" s="46" t="str">
        <f>IF(VLOOKUP(CS736,βοηθητικό!$J$2:$N$354,3,FALSE)="","",VLOOKUP(CS736,βοηθητικό!$J$2:$N$354,3,FALSE))</f>
        <v>_</v>
      </c>
      <c r="CU736" s="47"/>
    </row>
    <row r="737" spans="1:99" x14ac:dyDescent="0.25">
      <c r="A737" s="37">
        <f>--SUBTOTAL(3,$B$3:B736)</f>
        <v>198</v>
      </c>
      <c r="B737" s="2"/>
      <c r="C737" s="3"/>
      <c r="D737" s="55" t="s">
        <v>18</v>
      </c>
      <c r="E737" s="38" t="s">
        <v>16</v>
      </c>
      <c r="F737" s="38"/>
      <c r="G737" s="39" t="str">
        <f t="shared" si="35"/>
        <v>__</v>
      </c>
      <c r="H737" s="40" t="str">
        <f t="shared" si="36"/>
        <v>FALSE</v>
      </c>
      <c r="I737" s="41">
        <f t="shared" si="37"/>
        <v>0</v>
      </c>
      <c r="J737" s="4" t="s">
        <v>16</v>
      </c>
      <c r="K737" s="43" t="str">
        <f>IF(VLOOKUP(J737,βοηθητικό!$J$2:$N$354,3,FALSE)="","",VLOOKUP(J737,βοηθητικό!$J$2:$N$354,3,FALSE))</f>
        <v>_</v>
      </c>
      <c r="L737" s="44"/>
      <c r="M737" s="5" t="s">
        <v>16</v>
      </c>
      <c r="N737" s="46" t="str">
        <f>IF(VLOOKUP(M737,βοηθητικό!$J$2:$N$354,3,FALSE)="","",VLOOKUP(M737,βοηθητικό!$J$2:$N$354,3,FALSE))</f>
        <v>_</v>
      </c>
      <c r="O737" s="47"/>
      <c r="P737" s="4" t="s">
        <v>16</v>
      </c>
      <c r="Q737" s="43" t="str">
        <f>IF(VLOOKUP(P737,βοηθητικό!$J$2:$N$354,3,FALSE)="","",VLOOKUP(P737,βοηθητικό!$J$2:$N$354,3,FALSE))</f>
        <v>_</v>
      </c>
      <c r="R737" s="44"/>
      <c r="S737" s="5" t="s">
        <v>16</v>
      </c>
      <c r="T737" s="46" t="str">
        <f>IF(VLOOKUP(S737,βοηθητικό!$J$2:$N$354,3,FALSE)="","",VLOOKUP(S737,βοηθητικό!$J$2:$N$354,3,FALSE))</f>
        <v>_</v>
      </c>
      <c r="U737" s="47"/>
      <c r="V737" s="4" t="s">
        <v>16</v>
      </c>
      <c r="W737" s="43" t="str">
        <f>IF(VLOOKUP(V737,βοηθητικό!$J$2:$N$354,3,FALSE)="","",VLOOKUP(V737,βοηθητικό!$J$2:$N$354,3,FALSE))</f>
        <v>_</v>
      </c>
      <c r="X737" s="44"/>
      <c r="Y737" s="5" t="s">
        <v>16</v>
      </c>
      <c r="Z737" s="46" t="str">
        <f>IF(VLOOKUP(Y737,βοηθητικό!$J$2:$N$354,3,FALSE)="","",VLOOKUP(Y737,βοηθητικό!$J$2:$N$354,3,FALSE))</f>
        <v>_</v>
      </c>
      <c r="AA737" s="47"/>
      <c r="AB737" s="4" t="s">
        <v>16</v>
      </c>
      <c r="AC737" s="43" t="str">
        <f>IF(VLOOKUP(AB737,βοηθητικό!$J$2:$N$354,3,FALSE)="","",VLOOKUP(AB737,βοηθητικό!$J$2:$N$354,3,FALSE))</f>
        <v>_</v>
      </c>
      <c r="AD737" s="44"/>
      <c r="AE737" s="5" t="s">
        <v>16</v>
      </c>
      <c r="AF737" s="46" t="str">
        <f>IF(VLOOKUP(AE737,βοηθητικό!$J$2:$N$354,3,FALSE)="","",VLOOKUP(AE737,βοηθητικό!$J$2:$N$354,3,FALSE))</f>
        <v>_</v>
      </c>
      <c r="AG737" s="47"/>
      <c r="AH737" s="4" t="s">
        <v>16</v>
      </c>
      <c r="AI737" s="43" t="str">
        <f>IF(VLOOKUP(AH737,βοηθητικό!$J$2:$N$354,3,FALSE)="","",VLOOKUP(AH737,βοηθητικό!$J$2:$N$354,3,FALSE))</f>
        <v>_</v>
      </c>
      <c r="AJ737" s="44"/>
      <c r="AK737" s="5" t="s">
        <v>16</v>
      </c>
      <c r="AL737" s="46" t="str">
        <f>IF(VLOOKUP(AK737,βοηθητικό!$J$2:$N$354,3,FALSE)="","",VLOOKUP(AK737,βοηθητικό!$J$2:$N$354,3,FALSE))</f>
        <v>_</v>
      </c>
      <c r="AM737" s="47"/>
      <c r="AN737" s="4" t="s">
        <v>16</v>
      </c>
      <c r="AO737" s="43" t="str">
        <f>IF(VLOOKUP(AN737,βοηθητικό!$J$2:$N$354,3,FALSE)="","",VLOOKUP(AN737,βοηθητικό!$J$2:$N$354,3,FALSE))</f>
        <v>_</v>
      </c>
      <c r="AP737" s="44"/>
      <c r="AQ737" s="5" t="s">
        <v>16</v>
      </c>
      <c r="AR737" s="46" t="str">
        <f>IF(VLOOKUP(AQ737,βοηθητικό!$J$2:$N$354,3,FALSE)="","",VLOOKUP(AQ737,βοηθητικό!$J$2:$N$354,3,FALSE))</f>
        <v>_</v>
      </c>
      <c r="AS737" s="47"/>
      <c r="AT737" s="4" t="s">
        <v>16</v>
      </c>
      <c r="AU737" s="43" t="str">
        <f>IF(VLOOKUP(AT737,βοηθητικό!$J$2:$N$354,3,FALSE)="","",VLOOKUP(AT737,βοηθητικό!$J$2:$N$354,3,FALSE))</f>
        <v>_</v>
      </c>
      <c r="AV737" s="44"/>
      <c r="AW737" s="5" t="s">
        <v>16</v>
      </c>
      <c r="AX737" s="46" t="str">
        <f>IF(VLOOKUP(AW737,βοηθητικό!$J$2:$N$354,3,FALSE)="","",VLOOKUP(AW737,βοηθητικό!$J$2:$N$354,3,FALSE))</f>
        <v>_</v>
      </c>
      <c r="AY737" s="47"/>
      <c r="AZ737" s="4" t="s">
        <v>16</v>
      </c>
      <c r="BA737" s="43" t="str">
        <f>IF(VLOOKUP(AZ737,βοηθητικό!$J$2:$N$354,3,FALSE)="","",VLOOKUP(AZ737,βοηθητικό!$J$2:$N$354,3,FALSE))</f>
        <v>_</v>
      </c>
      <c r="BB737" s="44"/>
      <c r="BC737" s="45" t="s">
        <v>16</v>
      </c>
      <c r="BD737" s="46" t="str">
        <f>IF(VLOOKUP(BC737,βοηθητικό!$J$2:$N$354,3,FALSE)="","",VLOOKUP(BC737,βοηθητικό!$J$2:$N$354,3,FALSE))</f>
        <v>_</v>
      </c>
      <c r="BE737" s="47"/>
      <c r="BF737" s="42" t="s">
        <v>16</v>
      </c>
      <c r="BG737" s="43" t="str">
        <f>IF(VLOOKUP(BF737,βοηθητικό!$J$2:$N$354,3,FALSE)="","",VLOOKUP(BF737,βοηθητικό!$J$2:$N$354,3,FALSE))</f>
        <v>_</v>
      </c>
      <c r="BH737" s="44"/>
      <c r="BI737" s="45" t="s">
        <v>16</v>
      </c>
      <c r="BJ737" s="46" t="str">
        <f>IF(VLOOKUP(BI737,βοηθητικό!$J$2:$N$354,3,FALSE)="","",VLOOKUP(BI737,βοηθητικό!$J$2:$N$354,3,FALSE))</f>
        <v>_</v>
      </c>
      <c r="BK737" s="47"/>
      <c r="BL737" s="42" t="s">
        <v>16</v>
      </c>
      <c r="BM737" s="43" t="str">
        <f>IF(VLOOKUP(BL737,βοηθητικό!$J$2:$N$354,3,FALSE)="","",VLOOKUP(BL737,βοηθητικό!$J$2:$N$354,3,FALSE))</f>
        <v>_</v>
      </c>
      <c r="BN737" s="44"/>
      <c r="BO737" s="45" t="s">
        <v>16</v>
      </c>
      <c r="BP737" s="46" t="str">
        <f>IF(VLOOKUP(BO737,βοηθητικό!$J$2:$N$354,3,FALSE)="","",VLOOKUP(BO737,βοηθητικό!$J$2:$N$354,3,FALSE))</f>
        <v>_</v>
      </c>
      <c r="BQ737" s="47"/>
      <c r="BR737" s="42" t="s">
        <v>16</v>
      </c>
      <c r="BS737" s="43" t="str">
        <f>IF(VLOOKUP(BR737,βοηθητικό!$J$2:$N$354,3,FALSE)="","",VLOOKUP(BR737,βοηθητικό!$J$2:$N$354,3,FALSE))</f>
        <v>_</v>
      </c>
      <c r="BT737" s="44"/>
      <c r="BU737" s="45" t="s">
        <v>16</v>
      </c>
      <c r="BV737" s="46" t="str">
        <f>IF(VLOOKUP(BU737,βοηθητικό!$J$2:$N$354,3,FALSE)="","",VLOOKUP(BU737,βοηθητικό!$J$2:$N$354,3,FALSE))</f>
        <v>_</v>
      </c>
      <c r="BW737" s="47"/>
      <c r="BX737" s="42" t="s">
        <v>16</v>
      </c>
      <c r="BY737" s="43" t="str">
        <f>IF(VLOOKUP(BX737,βοηθητικό!$J$2:$N$354,3,FALSE)="","",VLOOKUP(BX737,βοηθητικό!$J$2:$N$354,3,FALSE))</f>
        <v>_</v>
      </c>
      <c r="BZ737" s="44"/>
      <c r="CA737" s="45" t="s">
        <v>16</v>
      </c>
      <c r="CB737" s="46" t="str">
        <f>IF(VLOOKUP(CA737,βοηθητικό!$J$2:$N$354,3,FALSE)="","",VLOOKUP(CA737,βοηθητικό!$J$2:$N$354,3,FALSE))</f>
        <v>_</v>
      </c>
      <c r="CC737" s="47"/>
      <c r="CD737" s="42" t="s">
        <v>16</v>
      </c>
      <c r="CE737" s="43" t="str">
        <f>IF(VLOOKUP(CD737,βοηθητικό!$J$2:$N$354,3,FALSE)="","",VLOOKUP(CD737,βοηθητικό!$J$2:$N$354,3,FALSE))</f>
        <v>_</v>
      </c>
      <c r="CF737" s="44"/>
      <c r="CG737" s="45" t="s">
        <v>16</v>
      </c>
      <c r="CH737" s="46" t="str">
        <f>IF(VLOOKUP(CG737,βοηθητικό!$J$2:$N$354,3,FALSE)="","",VLOOKUP(CG737,βοηθητικό!$J$2:$N$354,3,FALSE))</f>
        <v>_</v>
      </c>
      <c r="CI737" s="47"/>
      <c r="CJ737" s="42" t="s">
        <v>16</v>
      </c>
      <c r="CK737" s="43" t="str">
        <f>IF(VLOOKUP(CJ737,βοηθητικό!$J$2:$N$354,3,FALSE)="","",VLOOKUP(CJ737,βοηθητικό!$J$2:$N$354,3,FALSE))</f>
        <v>_</v>
      </c>
      <c r="CL737" s="44"/>
      <c r="CM737" s="45" t="s">
        <v>16</v>
      </c>
      <c r="CN737" s="46" t="str">
        <f>IF(VLOOKUP(CM737,βοηθητικό!$J$2:$N$354,3,FALSE)="","",VLOOKUP(CM737,βοηθητικό!$J$2:$N$354,3,FALSE))</f>
        <v>_</v>
      </c>
      <c r="CO737" s="47"/>
      <c r="CP737" s="42" t="s">
        <v>16</v>
      </c>
      <c r="CQ737" s="43" t="str">
        <f>IF(VLOOKUP(CP737,βοηθητικό!$J$2:$N$354,3,FALSE)="","",VLOOKUP(CP737,βοηθητικό!$J$2:$N$354,3,FALSE))</f>
        <v>_</v>
      </c>
      <c r="CR737" s="44"/>
      <c r="CS737" s="45" t="s">
        <v>16</v>
      </c>
      <c r="CT737" s="46" t="str">
        <f>IF(VLOOKUP(CS737,βοηθητικό!$J$2:$N$354,3,FALSE)="","",VLOOKUP(CS737,βοηθητικό!$J$2:$N$354,3,FALSE))</f>
        <v>_</v>
      </c>
      <c r="CU737" s="47"/>
    </row>
    <row r="738" spans="1:99" x14ac:dyDescent="0.25">
      <c r="A738" s="37">
        <f>--SUBTOTAL(3,$B$3:B737)</f>
        <v>198</v>
      </c>
      <c r="B738" s="2"/>
      <c r="C738" s="3"/>
      <c r="D738" s="55" t="s">
        <v>18</v>
      </c>
      <c r="E738" s="38" t="s">
        <v>16</v>
      </c>
      <c r="F738" s="38"/>
      <c r="G738" s="39" t="str">
        <f t="shared" si="35"/>
        <v>__</v>
      </c>
      <c r="H738" s="40" t="str">
        <f t="shared" si="36"/>
        <v>FALSE</v>
      </c>
      <c r="I738" s="41">
        <f t="shared" si="37"/>
        <v>0</v>
      </c>
      <c r="J738" s="4" t="s">
        <v>16</v>
      </c>
      <c r="K738" s="43" t="str">
        <f>IF(VLOOKUP(J738,βοηθητικό!$J$2:$N$354,3,FALSE)="","",VLOOKUP(J738,βοηθητικό!$J$2:$N$354,3,FALSE))</f>
        <v>_</v>
      </c>
      <c r="L738" s="44"/>
      <c r="M738" s="5" t="s">
        <v>16</v>
      </c>
      <c r="N738" s="46" t="str">
        <f>IF(VLOOKUP(M738,βοηθητικό!$J$2:$N$354,3,FALSE)="","",VLOOKUP(M738,βοηθητικό!$J$2:$N$354,3,FALSE))</f>
        <v>_</v>
      </c>
      <c r="O738" s="47"/>
      <c r="P738" s="4" t="s">
        <v>16</v>
      </c>
      <c r="Q738" s="43" t="str">
        <f>IF(VLOOKUP(P738,βοηθητικό!$J$2:$N$354,3,FALSE)="","",VLOOKUP(P738,βοηθητικό!$J$2:$N$354,3,FALSE))</f>
        <v>_</v>
      </c>
      <c r="R738" s="44"/>
      <c r="S738" s="5" t="s">
        <v>16</v>
      </c>
      <c r="T738" s="46" t="str">
        <f>IF(VLOOKUP(S738,βοηθητικό!$J$2:$N$354,3,FALSE)="","",VLOOKUP(S738,βοηθητικό!$J$2:$N$354,3,FALSE))</f>
        <v>_</v>
      </c>
      <c r="U738" s="47"/>
      <c r="V738" s="4" t="s">
        <v>16</v>
      </c>
      <c r="W738" s="43" t="str">
        <f>IF(VLOOKUP(V738,βοηθητικό!$J$2:$N$354,3,FALSE)="","",VLOOKUP(V738,βοηθητικό!$J$2:$N$354,3,FALSE))</f>
        <v>_</v>
      </c>
      <c r="X738" s="44"/>
      <c r="Y738" s="5" t="s">
        <v>16</v>
      </c>
      <c r="Z738" s="46" t="str">
        <f>IF(VLOOKUP(Y738,βοηθητικό!$J$2:$N$354,3,FALSE)="","",VLOOKUP(Y738,βοηθητικό!$J$2:$N$354,3,FALSE))</f>
        <v>_</v>
      </c>
      <c r="AA738" s="47"/>
      <c r="AB738" s="4" t="s">
        <v>16</v>
      </c>
      <c r="AC738" s="43" t="str">
        <f>IF(VLOOKUP(AB738,βοηθητικό!$J$2:$N$354,3,FALSE)="","",VLOOKUP(AB738,βοηθητικό!$J$2:$N$354,3,FALSE))</f>
        <v>_</v>
      </c>
      <c r="AD738" s="44"/>
      <c r="AE738" s="5" t="s">
        <v>16</v>
      </c>
      <c r="AF738" s="46" t="str">
        <f>IF(VLOOKUP(AE738,βοηθητικό!$J$2:$N$354,3,FALSE)="","",VLOOKUP(AE738,βοηθητικό!$J$2:$N$354,3,FALSE))</f>
        <v>_</v>
      </c>
      <c r="AG738" s="47"/>
      <c r="AH738" s="4" t="s">
        <v>16</v>
      </c>
      <c r="AI738" s="43" t="str">
        <f>IF(VLOOKUP(AH738,βοηθητικό!$J$2:$N$354,3,FALSE)="","",VLOOKUP(AH738,βοηθητικό!$J$2:$N$354,3,FALSE))</f>
        <v>_</v>
      </c>
      <c r="AJ738" s="44"/>
      <c r="AK738" s="5" t="s">
        <v>16</v>
      </c>
      <c r="AL738" s="46" t="str">
        <f>IF(VLOOKUP(AK738,βοηθητικό!$J$2:$N$354,3,FALSE)="","",VLOOKUP(AK738,βοηθητικό!$J$2:$N$354,3,FALSE))</f>
        <v>_</v>
      </c>
      <c r="AM738" s="47"/>
      <c r="AN738" s="4" t="s">
        <v>16</v>
      </c>
      <c r="AO738" s="43" t="str">
        <f>IF(VLOOKUP(AN738,βοηθητικό!$J$2:$N$354,3,FALSE)="","",VLOOKUP(AN738,βοηθητικό!$J$2:$N$354,3,FALSE))</f>
        <v>_</v>
      </c>
      <c r="AP738" s="44"/>
      <c r="AQ738" s="5" t="s">
        <v>16</v>
      </c>
      <c r="AR738" s="46" t="str">
        <f>IF(VLOOKUP(AQ738,βοηθητικό!$J$2:$N$354,3,FALSE)="","",VLOOKUP(AQ738,βοηθητικό!$J$2:$N$354,3,FALSE))</f>
        <v>_</v>
      </c>
      <c r="AS738" s="47"/>
      <c r="AT738" s="4" t="s">
        <v>16</v>
      </c>
      <c r="AU738" s="43" t="str">
        <f>IF(VLOOKUP(AT738,βοηθητικό!$J$2:$N$354,3,FALSE)="","",VLOOKUP(AT738,βοηθητικό!$J$2:$N$354,3,FALSE))</f>
        <v>_</v>
      </c>
      <c r="AV738" s="44"/>
      <c r="AW738" s="5" t="s">
        <v>16</v>
      </c>
      <c r="AX738" s="46" t="str">
        <f>IF(VLOOKUP(AW738,βοηθητικό!$J$2:$N$354,3,FALSE)="","",VLOOKUP(AW738,βοηθητικό!$J$2:$N$354,3,FALSE))</f>
        <v>_</v>
      </c>
      <c r="AY738" s="47"/>
      <c r="AZ738" s="4" t="s">
        <v>16</v>
      </c>
      <c r="BA738" s="43" t="str">
        <f>IF(VLOOKUP(AZ738,βοηθητικό!$J$2:$N$354,3,FALSE)="","",VLOOKUP(AZ738,βοηθητικό!$J$2:$N$354,3,FALSE))</f>
        <v>_</v>
      </c>
      <c r="BB738" s="44"/>
      <c r="BC738" s="45" t="s">
        <v>16</v>
      </c>
      <c r="BD738" s="46" t="str">
        <f>IF(VLOOKUP(BC738,βοηθητικό!$J$2:$N$354,3,FALSE)="","",VLOOKUP(BC738,βοηθητικό!$J$2:$N$354,3,FALSE))</f>
        <v>_</v>
      </c>
      <c r="BE738" s="47"/>
      <c r="BF738" s="42" t="s">
        <v>16</v>
      </c>
      <c r="BG738" s="43" t="str">
        <f>IF(VLOOKUP(BF738,βοηθητικό!$J$2:$N$354,3,FALSE)="","",VLOOKUP(BF738,βοηθητικό!$J$2:$N$354,3,FALSE))</f>
        <v>_</v>
      </c>
      <c r="BH738" s="44"/>
      <c r="BI738" s="45" t="s">
        <v>16</v>
      </c>
      <c r="BJ738" s="46" t="str">
        <f>IF(VLOOKUP(BI738,βοηθητικό!$J$2:$N$354,3,FALSE)="","",VLOOKUP(BI738,βοηθητικό!$J$2:$N$354,3,FALSE))</f>
        <v>_</v>
      </c>
      <c r="BK738" s="47"/>
      <c r="BL738" s="42" t="s">
        <v>16</v>
      </c>
      <c r="BM738" s="43" t="str">
        <f>IF(VLOOKUP(BL738,βοηθητικό!$J$2:$N$354,3,FALSE)="","",VLOOKUP(BL738,βοηθητικό!$J$2:$N$354,3,FALSE))</f>
        <v>_</v>
      </c>
      <c r="BN738" s="44"/>
      <c r="BO738" s="45" t="s">
        <v>16</v>
      </c>
      <c r="BP738" s="46" t="str">
        <f>IF(VLOOKUP(BO738,βοηθητικό!$J$2:$N$354,3,FALSE)="","",VLOOKUP(BO738,βοηθητικό!$J$2:$N$354,3,FALSE))</f>
        <v>_</v>
      </c>
      <c r="BQ738" s="47"/>
      <c r="BR738" s="42" t="s">
        <v>16</v>
      </c>
      <c r="BS738" s="43" t="str">
        <f>IF(VLOOKUP(BR738,βοηθητικό!$J$2:$N$354,3,FALSE)="","",VLOOKUP(BR738,βοηθητικό!$J$2:$N$354,3,FALSE))</f>
        <v>_</v>
      </c>
      <c r="BT738" s="44"/>
      <c r="BU738" s="45" t="s">
        <v>16</v>
      </c>
      <c r="BV738" s="46" t="str">
        <f>IF(VLOOKUP(BU738,βοηθητικό!$J$2:$N$354,3,FALSE)="","",VLOOKUP(BU738,βοηθητικό!$J$2:$N$354,3,FALSE))</f>
        <v>_</v>
      </c>
      <c r="BW738" s="47"/>
      <c r="BX738" s="42" t="s">
        <v>16</v>
      </c>
      <c r="BY738" s="43" t="str">
        <f>IF(VLOOKUP(BX738,βοηθητικό!$J$2:$N$354,3,FALSE)="","",VLOOKUP(BX738,βοηθητικό!$J$2:$N$354,3,FALSE))</f>
        <v>_</v>
      </c>
      <c r="BZ738" s="44"/>
      <c r="CA738" s="45" t="s">
        <v>16</v>
      </c>
      <c r="CB738" s="46" t="str">
        <f>IF(VLOOKUP(CA738,βοηθητικό!$J$2:$N$354,3,FALSE)="","",VLOOKUP(CA738,βοηθητικό!$J$2:$N$354,3,FALSE))</f>
        <v>_</v>
      </c>
      <c r="CC738" s="47"/>
      <c r="CD738" s="42" t="s">
        <v>16</v>
      </c>
      <c r="CE738" s="43" t="str">
        <f>IF(VLOOKUP(CD738,βοηθητικό!$J$2:$N$354,3,FALSE)="","",VLOOKUP(CD738,βοηθητικό!$J$2:$N$354,3,FALSE))</f>
        <v>_</v>
      </c>
      <c r="CF738" s="44"/>
      <c r="CG738" s="45" t="s">
        <v>16</v>
      </c>
      <c r="CH738" s="46" t="str">
        <f>IF(VLOOKUP(CG738,βοηθητικό!$J$2:$N$354,3,FALSE)="","",VLOOKUP(CG738,βοηθητικό!$J$2:$N$354,3,FALSE))</f>
        <v>_</v>
      </c>
      <c r="CI738" s="47"/>
      <c r="CJ738" s="42" t="s">
        <v>16</v>
      </c>
      <c r="CK738" s="43" t="str">
        <f>IF(VLOOKUP(CJ738,βοηθητικό!$J$2:$N$354,3,FALSE)="","",VLOOKUP(CJ738,βοηθητικό!$J$2:$N$354,3,FALSE))</f>
        <v>_</v>
      </c>
      <c r="CL738" s="44"/>
      <c r="CM738" s="45" t="s">
        <v>16</v>
      </c>
      <c r="CN738" s="46" t="str">
        <f>IF(VLOOKUP(CM738,βοηθητικό!$J$2:$N$354,3,FALSE)="","",VLOOKUP(CM738,βοηθητικό!$J$2:$N$354,3,FALSE))</f>
        <v>_</v>
      </c>
      <c r="CO738" s="47"/>
      <c r="CP738" s="42" t="s">
        <v>16</v>
      </c>
      <c r="CQ738" s="43" t="str">
        <f>IF(VLOOKUP(CP738,βοηθητικό!$J$2:$N$354,3,FALSE)="","",VLOOKUP(CP738,βοηθητικό!$J$2:$N$354,3,FALSE))</f>
        <v>_</v>
      </c>
      <c r="CR738" s="44"/>
      <c r="CS738" s="45" t="s">
        <v>16</v>
      </c>
      <c r="CT738" s="46" t="str">
        <f>IF(VLOOKUP(CS738,βοηθητικό!$J$2:$N$354,3,FALSE)="","",VLOOKUP(CS738,βοηθητικό!$J$2:$N$354,3,FALSE))</f>
        <v>_</v>
      </c>
      <c r="CU738" s="47"/>
    </row>
    <row r="739" spans="1:99" x14ac:dyDescent="0.25">
      <c r="A739" s="37">
        <f>--SUBTOTAL(3,$B$3:B738)</f>
        <v>198</v>
      </c>
      <c r="B739" s="2"/>
      <c r="C739" s="3"/>
      <c r="D739" s="55" t="s">
        <v>18</v>
      </c>
      <c r="E739" s="38" t="s">
        <v>16</v>
      </c>
      <c r="F739" s="38"/>
      <c r="G739" s="39" t="str">
        <f t="shared" si="35"/>
        <v>__</v>
      </c>
      <c r="H739" s="40" t="str">
        <f t="shared" si="36"/>
        <v>FALSE</v>
      </c>
      <c r="I739" s="41">
        <f t="shared" si="37"/>
        <v>0</v>
      </c>
      <c r="J739" s="4" t="s">
        <v>16</v>
      </c>
      <c r="K739" s="43" t="str">
        <f>IF(VLOOKUP(J739,βοηθητικό!$J$2:$N$354,3,FALSE)="","",VLOOKUP(J739,βοηθητικό!$J$2:$N$354,3,FALSE))</f>
        <v>_</v>
      </c>
      <c r="L739" s="44"/>
      <c r="M739" s="5" t="s">
        <v>16</v>
      </c>
      <c r="N739" s="46" t="str">
        <f>IF(VLOOKUP(M739,βοηθητικό!$J$2:$N$354,3,FALSE)="","",VLOOKUP(M739,βοηθητικό!$J$2:$N$354,3,FALSE))</f>
        <v>_</v>
      </c>
      <c r="O739" s="47"/>
      <c r="P739" s="4" t="s">
        <v>16</v>
      </c>
      <c r="Q739" s="43" t="str">
        <f>IF(VLOOKUP(P739,βοηθητικό!$J$2:$N$354,3,FALSE)="","",VLOOKUP(P739,βοηθητικό!$J$2:$N$354,3,FALSE))</f>
        <v>_</v>
      </c>
      <c r="R739" s="44"/>
      <c r="S739" s="5" t="s">
        <v>16</v>
      </c>
      <c r="T739" s="46" t="str">
        <f>IF(VLOOKUP(S739,βοηθητικό!$J$2:$N$354,3,FALSE)="","",VLOOKUP(S739,βοηθητικό!$J$2:$N$354,3,FALSE))</f>
        <v>_</v>
      </c>
      <c r="U739" s="47"/>
      <c r="V739" s="4" t="s">
        <v>16</v>
      </c>
      <c r="W739" s="43" t="str">
        <f>IF(VLOOKUP(V739,βοηθητικό!$J$2:$N$354,3,FALSE)="","",VLOOKUP(V739,βοηθητικό!$J$2:$N$354,3,FALSE))</f>
        <v>_</v>
      </c>
      <c r="X739" s="44"/>
      <c r="Y739" s="5" t="s">
        <v>16</v>
      </c>
      <c r="Z739" s="46" t="str">
        <f>IF(VLOOKUP(Y739,βοηθητικό!$J$2:$N$354,3,FALSE)="","",VLOOKUP(Y739,βοηθητικό!$J$2:$N$354,3,FALSE))</f>
        <v>_</v>
      </c>
      <c r="AA739" s="47"/>
      <c r="AB739" s="4" t="s">
        <v>16</v>
      </c>
      <c r="AC739" s="43" t="str">
        <f>IF(VLOOKUP(AB739,βοηθητικό!$J$2:$N$354,3,FALSE)="","",VLOOKUP(AB739,βοηθητικό!$J$2:$N$354,3,FALSE))</f>
        <v>_</v>
      </c>
      <c r="AD739" s="44"/>
      <c r="AE739" s="5" t="s">
        <v>16</v>
      </c>
      <c r="AF739" s="46" t="str">
        <f>IF(VLOOKUP(AE739,βοηθητικό!$J$2:$N$354,3,FALSE)="","",VLOOKUP(AE739,βοηθητικό!$J$2:$N$354,3,FALSE))</f>
        <v>_</v>
      </c>
      <c r="AG739" s="47"/>
      <c r="AH739" s="4" t="s">
        <v>16</v>
      </c>
      <c r="AI739" s="43" t="str">
        <f>IF(VLOOKUP(AH739,βοηθητικό!$J$2:$N$354,3,FALSE)="","",VLOOKUP(AH739,βοηθητικό!$J$2:$N$354,3,FALSE))</f>
        <v>_</v>
      </c>
      <c r="AJ739" s="44"/>
      <c r="AK739" s="5" t="s">
        <v>16</v>
      </c>
      <c r="AL739" s="46" t="str">
        <f>IF(VLOOKUP(AK739,βοηθητικό!$J$2:$N$354,3,FALSE)="","",VLOOKUP(AK739,βοηθητικό!$J$2:$N$354,3,FALSE))</f>
        <v>_</v>
      </c>
      <c r="AM739" s="47"/>
      <c r="AN739" s="4" t="s">
        <v>16</v>
      </c>
      <c r="AO739" s="43" t="str">
        <f>IF(VLOOKUP(AN739,βοηθητικό!$J$2:$N$354,3,FALSE)="","",VLOOKUP(AN739,βοηθητικό!$J$2:$N$354,3,FALSE))</f>
        <v>_</v>
      </c>
      <c r="AP739" s="44"/>
      <c r="AQ739" s="5" t="s">
        <v>16</v>
      </c>
      <c r="AR739" s="46" t="str">
        <f>IF(VLOOKUP(AQ739,βοηθητικό!$J$2:$N$354,3,FALSE)="","",VLOOKUP(AQ739,βοηθητικό!$J$2:$N$354,3,FALSE))</f>
        <v>_</v>
      </c>
      <c r="AS739" s="47"/>
      <c r="AT739" s="4" t="s">
        <v>16</v>
      </c>
      <c r="AU739" s="43" t="str">
        <f>IF(VLOOKUP(AT739,βοηθητικό!$J$2:$N$354,3,FALSE)="","",VLOOKUP(AT739,βοηθητικό!$J$2:$N$354,3,FALSE))</f>
        <v>_</v>
      </c>
      <c r="AV739" s="44"/>
      <c r="AW739" s="5" t="s">
        <v>16</v>
      </c>
      <c r="AX739" s="46" t="str">
        <f>IF(VLOOKUP(AW739,βοηθητικό!$J$2:$N$354,3,FALSE)="","",VLOOKUP(AW739,βοηθητικό!$J$2:$N$354,3,FALSE))</f>
        <v>_</v>
      </c>
      <c r="AY739" s="47"/>
      <c r="AZ739" s="4" t="s">
        <v>16</v>
      </c>
      <c r="BA739" s="43" t="str">
        <f>IF(VLOOKUP(AZ739,βοηθητικό!$J$2:$N$354,3,FALSE)="","",VLOOKUP(AZ739,βοηθητικό!$J$2:$N$354,3,FALSE))</f>
        <v>_</v>
      </c>
      <c r="BB739" s="44"/>
      <c r="BC739" s="45" t="s">
        <v>16</v>
      </c>
      <c r="BD739" s="46" t="str">
        <f>IF(VLOOKUP(BC739,βοηθητικό!$J$2:$N$354,3,FALSE)="","",VLOOKUP(BC739,βοηθητικό!$J$2:$N$354,3,FALSE))</f>
        <v>_</v>
      </c>
      <c r="BE739" s="47"/>
      <c r="BF739" s="42" t="s">
        <v>16</v>
      </c>
      <c r="BG739" s="43" t="str">
        <f>IF(VLOOKUP(BF739,βοηθητικό!$J$2:$N$354,3,FALSE)="","",VLOOKUP(BF739,βοηθητικό!$J$2:$N$354,3,FALSE))</f>
        <v>_</v>
      </c>
      <c r="BH739" s="44"/>
      <c r="BI739" s="45" t="s">
        <v>16</v>
      </c>
      <c r="BJ739" s="46" t="str">
        <f>IF(VLOOKUP(BI739,βοηθητικό!$J$2:$N$354,3,FALSE)="","",VLOOKUP(BI739,βοηθητικό!$J$2:$N$354,3,FALSE))</f>
        <v>_</v>
      </c>
      <c r="BK739" s="47"/>
      <c r="BL739" s="42" t="s">
        <v>16</v>
      </c>
      <c r="BM739" s="43" t="str">
        <f>IF(VLOOKUP(BL739,βοηθητικό!$J$2:$N$354,3,FALSE)="","",VLOOKUP(BL739,βοηθητικό!$J$2:$N$354,3,FALSE))</f>
        <v>_</v>
      </c>
      <c r="BN739" s="44"/>
      <c r="BO739" s="45" t="s">
        <v>16</v>
      </c>
      <c r="BP739" s="46" t="str">
        <f>IF(VLOOKUP(BO739,βοηθητικό!$J$2:$N$354,3,FALSE)="","",VLOOKUP(BO739,βοηθητικό!$J$2:$N$354,3,FALSE))</f>
        <v>_</v>
      </c>
      <c r="BQ739" s="47"/>
      <c r="BR739" s="42" t="s">
        <v>16</v>
      </c>
      <c r="BS739" s="43" t="str">
        <f>IF(VLOOKUP(BR739,βοηθητικό!$J$2:$N$354,3,FALSE)="","",VLOOKUP(BR739,βοηθητικό!$J$2:$N$354,3,FALSE))</f>
        <v>_</v>
      </c>
      <c r="BT739" s="44"/>
      <c r="BU739" s="45" t="s">
        <v>16</v>
      </c>
      <c r="BV739" s="46" t="str">
        <f>IF(VLOOKUP(BU739,βοηθητικό!$J$2:$N$354,3,FALSE)="","",VLOOKUP(BU739,βοηθητικό!$J$2:$N$354,3,FALSE))</f>
        <v>_</v>
      </c>
      <c r="BW739" s="47"/>
      <c r="BX739" s="42" t="s">
        <v>16</v>
      </c>
      <c r="BY739" s="43" t="str">
        <f>IF(VLOOKUP(BX739,βοηθητικό!$J$2:$N$354,3,FALSE)="","",VLOOKUP(BX739,βοηθητικό!$J$2:$N$354,3,FALSE))</f>
        <v>_</v>
      </c>
      <c r="BZ739" s="44"/>
      <c r="CA739" s="45" t="s">
        <v>16</v>
      </c>
      <c r="CB739" s="46" t="str">
        <f>IF(VLOOKUP(CA739,βοηθητικό!$J$2:$N$354,3,FALSE)="","",VLOOKUP(CA739,βοηθητικό!$J$2:$N$354,3,FALSE))</f>
        <v>_</v>
      </c>
      <c r="CC739" s="47"/>
      <c r="CD739" s="42" t="s">
        <v>16</v>
      </c>
      <c r="CE739" s="43" t="str">
        <f>IF(VLOOKUP(CD739,βοηθητικό!$J$2:$N$354,3,FALSE)="","",VLOOKUP(CD739,βοηθητικό!$J$2:$N$354,3,FALSE))</f>
        <v>_</v>
      </c>
      <c r="CF739" s="44"/>
      <c r="CG739" s="45" t="s">
        <v>16</v>
      </c>
      <c r="CH739" s="46" t="str">
        <f>IF(VLOOKUP(CG739,βοηθητικό!$J$2:$N$354,3,FALSE)="","",VLOOKUP(CG739,βοηθητικό!$J$2:$N$354,3,FALSE))</f>
        <v>_</v>
      </c>
      <c r="CI739" s="47"/>
      <c r="CJ739" s="42" t="s">
        <v>16</v>
      </c>
      <c r="CK739" s="43" t="str">
        <f>IF(VLOOKUP(CJ739,βοηθητικό!$J$2:$N$354,3,FALSE)="","",VLOOKUP(CJ739,βοηθητικό!$J$2:$N$354,3,FALSE))</f>
        <v>_</v>
      </c>
      <c r="CL739" s="44"/>
      <c r="CM739" s="45" t="s">
        <v>16</v>
      </c>
      <c r="CN739" s="46" t="str">
        <f>IF(VLOOKUP(CM739,βοηθητικό!$J$2:$N$354,3,FALSE)="","",VLOOKUP(CM739,βοηθητικό!$J$2:$N$354,3,FALSE))</f>
        <v>_</v>
      </c>
      <c r="CO739" s="47"/>
      <c r="CP739" s="42" t="s">
        <v>16</v>
      </c>
      <c r="CQ739" s="43" t="str">
        <f>IF(VLOOKUP(CP739,βοηθητικό!$J$2:$N$354,3,FALSE)="","",VLOOKUP(CP739,βοηθητικό!$J$2:$N$354,3,FALSE))</f>
        <v>_</v>
      </c>
      <c r="CR739" s="44"/>
      <c r="CS739" s="45" t="s">
        <v>16</v>
      </c>
      <c r="CT739" s="46" t="str">
        <f>IF(VLOOKUP(CS739,βοηθητικό!$J$2:$N$354,3,FALSE)="","",VLOOKUP(CS739,βοηθητικό!$J$2:$N$354,3,FALSE))</f>
        <v>_</v>
      </c>
      <c r="CU739" s="47"/>
    </row>
    <row r="740" spans="1:99" x14ac:dyDescent="0.25">
      <c r="A740" s="37">
        <f>--SUBTOTAL(3,$B$3:B739)</f>
        <v>198</v>
      </c>
      <c r="B740" s="2"/>
      <c r="C740" s="3"/>
      <c r="D740" s="55" t="s">
        <v>18</v>
      </c>
      <c r="E740" s="38" t="s">
        <v>16</v>
      </c>
      <c r="F740" s="38"/>
      <c r="G740" s="39" t="str">
        <f t="shared" si="35"/>
        <v>__</v>
      </c>
      <c r="H740" s="40" t="str">
        <f t="shared" si="36"/>
        <v>FALSE</v>
      </c>
      <c r="I740" s="41">
        <f t="shared" si="37"/>
        <v>0</v>
      </c>
      <c r="J740" s="4" t="s">
        <v>16</v>
      </c>
      <c r="K740" s="43" t="str">
        <f>IF(VLOOKUP(J740,βοηθητικό!$J$2:$N$354,3,FALSE)="","",VLOOKUP(J740,βοηθητικό!$J$2:$N$354,3,FALSE))</f>
        <v>_</v>
      </c>
      <c r="L740" s="44"/>
      <c r="M740" s="5" t="s">
        <v>16</v>
      </c>
      <c r="N740" s="46" t="str">
        <f>IF(VLOOKUP(M740,βοηθητικό!$J$2:$N$354,3,FALSE)="","",VLOOKUP(M740,βοηθητικό!$J$2:$N$354,3,FALSE))</f>
        <v>_</v>
      </c>
      <c r="O740" s="47"/>
      <c r="P740" s="4" t="s">
        <v>16</v>
      </c>
      <c r="Q740" s="43" t="str">
        <f>IF(VLOOKUP(P740,βοηθητικό!$J$2:$N$354,3,FALSE)="","",VLOOKUP(P740,βοηθητικό!$J$2:$N$354,3,FALSE))</f>
        <v>_</v>
      </c>
      <c r="R740" s="44"/>
      <c r="S740" s="5" t="s">
        <v>16</v>
      </c>
      <c r="T740" s="46" t="str">
        <f>IF(VLOOKUP(S740,βοηθητικό!$J$2:$N$354,3,FALSE)="","",VLOOKUP(S740,βοηθητικό!$J$2:$N$354,3,FALSE))</f>
        <v>_</v>
      </c>
      <c r="U740" s="47"/>
      <c r="V740" s="4" t="s">
        <v>16</v>
      </c>
      <c r="W740" s="43" t="str">
        <f>IF(VLOOKUP(V740,βοηθητικό!$J$2:$N$354,3,FALSE)="","",VLOOKUP(V740,βοηθητικό!$J$2:$N$354,3,FALSE))</f>
        <v>_</v>
      </c>
      <c r="X740" s="44"/>
      <c r="Y740" s="5" t="s">
        <v>16</v>
      </c>
      <c r="Z740" s="46" t="str">
        <f>IF(VLOOKUP(Y740,βοηθητικό!$J$2:$N$354,3,FALSE)="","",VLOOKUP(Y740,βοηθητικό!$J$2:$N$354,3,FALSE))</f>
        <v>_</v>
      </c>
      <c r="AA740" s="47"/>
      <c r="AB740" s="4" t="s">
        <v>16</v>
      </c>
      <c r="AC740" s="43" t="str">
        <f>IF(VLOOKUP(AB740,βοηθητικό!$J$2:$N$354,3,FALSE)="","",VLOOKUP(AB740,βοηθητικό!$J$2:$N$354,3,FALSE))</f>
        <v>_</v>
      </c>
      <c r="AD740" s="44"/>
      <c r="AE740" s="5" t="s">
        <v>16</v>
      </c>
      <c r="AF740" s="46" t="str">
        <f>IF(VLOOKUP(AE740,βοηθητικό!$J$2:$N$354,3,FALSE)="","",VLOOKUP(AE740,βοηθητικό!$J$2:$N$354,3,FALSE))</f>
        <v>_</v>
      </c>
      <c r="AG740" s="47"/>
      <c r="AH740" s="4" t="s">
        <v>16</v>
      </c>
      <c r="AI740" s="43" t="str">
        <f>IF(VLOOKUP(AH740,βοηθητικό!$J$2:$N$354,3,FALSE)="","",VLOOKUP(AH740,βοηθητικό!$J$2:$N$354,3,FALSE))</f>
        <v>_</v>
      </c>
      <c r="AJ740" s="44"/>
      <c r="AK740" s="5" t="s">
        <v>16</v>
      </c>
      <c r="AL740" s="46" t="str">
        <f>IF(VLOOKUP(AK740,βοηθητικό!$J$2:$N$354,3,FALSE)="","",VLOOKUP(AK740,βοηθητικό!$J$2:$N$354,3,FALSE))</f>
        <v>_</v>
      </c>
      <c r="AM740" s="47"/>
      <c r="AN740" s="4" t="s">
        <v>16</v>
      </c>
      <c r="AO740" s="43" t="str">
        <f>IF(VLOOKUP(AN740,βοηθητικό!$J$2:$N$354,3,FALSE)="","",VLOOKUP(AN740,βοηθητικό!$J$2:$N$354,3,FALSE))</f>
        <v>_</v>
      </c>
      <c r="AP740" s="44"/>
      <c r="AQ740" s="5" t="s">
        <v>16</v>
      </c>
      <c r="AR740" s="46" t="str">
        <f>IF(VLOOKUP(AQ740,βοηθητικό!$J$2:$N$354,3,FALSE)="","",VLOOKUP(AQ740,βοηθητικό!$J$2:$N$354,3,FALSE))</f>
        <v>_</v>
      </c>
      <c r="AS740" s="47"/>
      <c r="AT740" s="4" t="s">
        <v>16</v>
      </c>
      <c r="AU740" s="43" t="str">
        <f>IF(VLOOKUP(AT740,βοηθητικό!$J$2:$N$354,3,FALSE)="","",VLOOKUP(AT740,βοηθητικό!$J$2:$N$354,3,FALSE))</f>
        <v>_</v>
      </c>
      <c r="AV740" s="44"/>
      <c r="AW740" s="5" t="s">
        <v>16</v>
      </c>
      <c r="AX740" s="46" t="str">
        <f>IF(VLOOKUP(AW740,βοηθητικό!$J$2:$N$354,3,FALSE)="","",VLOOKUP(AW740,βοηθητικό!$J$2:$N$354,3,FALSE))</f>
        <v>_</v>
      </c>
      <c r="AY740" s="47"/>
      <c r="AZ740" s="4" t="s">
        <v>16</v>
      </c>
      <c r="BA740" s="43" t="str">
        <f>IF(VLOOKUP(AZ740,βοηθητικό!$J$2:$N$354,3,FALSE)="","",VLOOKUP(AZ740,βοηθητικό!$J$2:$N$354,3,FALSE))</f>
        <v>_</v>
      </c>
      <c r="BB740" s="44"/>
      <c r="BC740" s="45" t="s">
        <v>16</v>
      </c>
      <c r="BD740" s="46" t="str">
        <f>IF(VLOOKUP(BC740,βοηθητικό!$J$2:$N$354,3,FALSE)="","",VLOOKUP(BC740,βοηθητικό!$J$2:$N$354,3,FALSE))</f>
        <v>_</v>
      </c>
      <c r="BE740" s="47"/>
      <c r="BF740" s="42" t="s">
        <v>16</v>
      </c>
      <c r="BG740" s="43" t="str">
        <f>IF(VLOOKUP(BF740,βοηθητικό!$J$2:$N$354,3,FALSE)="","",VLOOKUP(BF740,βοηθητικό!$J$2:$N$354,3,FALSE))</f>
        <v>_</v>
      </c>
      <c r="BH740" s="44"/>
      <c r="BI740" s="45" t="s">
        <v>16</v>
      </c>
      <c r="BJ740" s="46" t="str">
        <f>IF(VLOOKUP(BI740,βοηθητικό!$J$2:$N$354,3,FALSE)="","",VLOOKUP(BI740,βοηθητικό!$J$2:$N$354,3,FALSE))</f>
        <v>_</v>
      </c>
      <c r="BK740" s="47"/>
      <c r="BL740" s="42" t="s">
        <v>16</v>
      </c>
      <c r="BM740" s="43" t="str">
        <f>IF(VLOOKUP(BL740,βοηθητικό!$J$2:$N$354,3,FALSE)="","",VLOOKUP(BL740,βοηθητικό!$J$2:$N$354,3,FALSE))</f>
        <v>_</v>
      </c>
      <c r="BN740" s="44"/>
      <c r="BO740" s="45" t="s">
        <v>16</v>
      </c>
      <c r="BP740" s="46" t="str">
        <f>IF(VLOOKUP(BO740,βοηθητικό!$J$2:$N$354,3,FALSE)="","",VLOOKUP(BO740,βοηθητικό!$J$2:$N$354,3,FALSE))</f>
        <v>_</v>
      </c>
      <c r="BQ740" s="47"/>
      <c r="BR740" s="42" t="s">
        <v>16</v>
      </c>
      <c r="BS740" s="43" t="str">
        <f>IF(VLOOKUP(BR740,βοηθητικό!$J$2:$N$354,3,FALSE)="","",VLOOKUP(BR740,βοηθητικό!$J$2:$N$354,3,FALSE))</f>
        <v>_</v>
      </c>
      <c r="BT740" s="44"/>
      <c r="BU740" s="45" t="s">
        <v>16</v>
      </c>
      <c r="BV740" s="46" t="str">
        <f>IF(VLOOKUP(BU740,βοηθητικό!$J$2:$N$354,3,FALSE)="","",VLOOKUP(BU740,βοηθητικό!$J$2:$N$354,3,FALSE))</f>
        <v>_</v>
      </c>
      <c r="BW740" s="47"/>
      <c r="BX740" s="42" t="s">
        <v>16</v>
      </c>
      <c r="BY740" s="43" t="str">
        <f>IF(VLOOKUP(BX740,βοηθητικό!$J$2:$N$354,3,FALSE)="","",VLOOKUP(BX740,βοηθητικό!$J$2:$N$354,3,FALSE))</f>
        <v>_</v>
      </c>
      <c r="BZ740" s="44"/>
      <c r="CA740" s="45" t="s">
        <v>16</v>
      </c>
      <c r="CB740" s="46" t="str">
        <f>IF(VLOOKUP(CA740,βοηθητικό!$J$2:$N$354,3,FALSE)="","",VLOOKUP(CA740,βοηθητικό!$J$2:$N$354,3,FALSE))</f>
        <v>_</v>
      </c>
      <c r="CC740" s="47"/>
      <c r="CD740" s="42" t="s">
        <v>16</v>
      </c>
      <c r="CE740" s="43" t="str">
        <f>IF(VLOOKUP(CD740,βοηθητικό!$J$2:$N$354,3,FALSE)="","",VLOOKUP(CD740,βοηθητικό!$J$2:$N$354,3,FALSE))</f>
        <v>_</v>
      </c>
      <c r="CF740" s="44"/>
      <c r="CG740" s="45" t="s">
        <v>16</v>
      </c>
      <c r="CH740" s="46" t="str">
        <f>IF(VLOOKUP(CG740,βοηθητικό!$J$2:$N$354,3,FALSE)="","",VLOOKUP(CG740,βοηθητικό!$J$2:$N$354,3,FALSE))</f>
        <v>_</v>
      </c>
      <c r="CI740" s="47"/>
      <c r="CJ740" s="42" t="s">
        <v>16</v>
      </c>
      <c r="CK740" s="43" t="str">
        <f>IF(VLOOKUP(CJ740,βοηθητικό!$J$2:$N$354,3,FALSE)="","",VLOOKUP(CJ740,βοηθητικό!$J$2:$N$354,3,FALSE))</f>
        <v>_</v>
      </c>
      <c r="CL740" s="44"/>
      <c r="CM740" s="45" t="s">
        <v>16</v>
      </c>
      <c r="CN740" s="46" t="str">
        <f>IF(VLOOKUP(CM740,βοηθητικό!$J$2:$N$354,3,FALSE)="","",VLOOKUP(CM740,βοηθητικό!$J$2:$N$354,3,FALSE))</f>
        <v>_</v>
      </c>
      <c r="CO740" s="47"/>
      <c r="CP740" s="42" t="s">
        <v>16</v>
      </c>
      <c r="CQ740" s="43" t="str">
        <f>IF(VLOOKUP(CP740,βοηθητικό!$J$2:$N$354,3,FALSE)="","",VLOOKUP(CP740,βοηθητικό!$J$2:$N$354,3,FALSE))</f>
        <v>_</v>
      </c>
      <c r="CR740" s="44"/>
      <c r="CS740" s="45" t="s">
        <v>16</v>
      </c>
      <c r="CT740" s="46" t="str">
        <f>IF(VLOOKUP(CS740,βοηθητικό!$J$2:$N$354,3,FALSE)="","",VLOOKUP(CS740,βοηθητικό!$J$2:$N$354,3,FALSE))</f>
        <v>_</v>
      </c>
      <c r="CU740" s="47"/>
    </row>
    <row r="741" spans="1:99" x14ac:dyDescent="0.25">
      <c r="A741" s="37">
        <f>--SUBTOTAL(3,$B$3:B740)</f>
        <v>198</v>
      </c>
      <c r="B741" s="2"/>
      <c r="C741" s="3"/>
      <c r="D741" s="55" t="s">
        <v>18</v>
      </c>
      <c r="E741" s="38" t="s">
        <v>16</v>
      </c>
      <c r="F741" s="38"/>
      <c r="G741" s="39" t="str">
        <f t="shared" si="35"/>
        <v>__</v>
      </c>
      <c r="H741" s="40" t="str">
        <f t="shared" si="36"/>
        <v>FALSE</v>
      </c>
      <c r="I741" s="41">
        <f t="shared" si="37"/>
        <v>0</v>
      </c>
      <c r="J741" s="4" t="s">
        <v>16</v>
      </c>
      <c r="K741" s="43" t="str">
        <f>IF(VLOOKUP(J741,βοηθητικό!$J$2:$N$354,3,FALSE)="","",VLOOKUP(J741,βοηθητικό!$J$2:$N$354,3,FALSE))</f>
        <v>_</v>
      </c>
      <c r="L741" s="44"/>
      <c r="M741" s="5" t="s">
        <v>16</v>
      </c>
      <c r="N741" s="46" t="str">
        <f>IF(VLOOKUP(M741,βοηθητικό!$J$2:$N$354,3,FALSE)="","",VLOOKUP(M741,βοηθητικό!$J$2:$N$354,3,FALSE))</f>
        <v>_</v>
      </c>
      <c r="O741" s="47"/>
      <c r="P741" s="4" t="s">
        <v>16</v>
      </c>
      <c r="Q741" s="43" t="str">
        <f>IF(VLOOKUP(P741,βοηθητικό!$J$2:$N$354,3,FALSE)="","",VLOOKUP(P741,βοηθητικό!$J$2:$N$354,3,FALSE))</f>
        <v>_</v>
      </c>
      <c r="R741" s="44"/>
      <c r="S741" s="5" t="s">
        <v>16</v>
      </c>
      <c r="T741" s="46" t="str">
        <f>IF(VLOOKUP(S741,βοηθητικό!$J$2:$N$354,3,FALSE)="","",VLOOKUP(S741,βοηθητικό!$J$2:$N$354,3,FALSE))</f>
        <v>_</v>
      </c>
      <c r="U741" s="47"/>
      <c r="V741" s="4" t="s">
        <v>16</v>
      </c>
      <c r="W741" s="43" t="str">
        <f>IF(VLOOKUP(V741,βοηθητικό!$J$2:$N$354,3,FALSE)="","",VLOOKUP(V741,βοηθητικό!$J$2:$N$354,3,FALSE))</f>
        <v>_</v>
      </c>
      <c r="X741" s="44"/>
      <c r="Y741" s="5" t="s">
        <v>16</v>
      </c>
      <c r="Z741" s="46" t="str">
        <f>IF(VLOOKUP(Y741,βοηθητικό!$J$2:$N$354,3,FALSE)="","",VLOOKUP(Y741,βοηθητικό!$J$2:$N$354,3,FALSE))</f>
        <v>_</v>
      </c>
      <c r="AA741" s="47"/>
      <c r="AB741" s="4" t="s">
        <v>16</v>
      </c>
      <c r="AC741" s="43" t="str">
        <f>IF(VLOOKUP(AB741,βοηθητικό!$J$2:$N$354,3,FALSE)="","",VLOOKUP(AB741,βοηθητικό!$J$2:$N$354,3,FALSE))</f>
        <v>_</v>
      </c>
      <c r="AD741" s="44"/>
      <c r="AE741" s="5" t="s">
        <v>16</v>
      </c>
      <c r="AF741" s="46" t="str">
        <f>IF(VLOOKUP(AE741,βοηθητικό!$J$2:$N$354,3,FALSE)="","",VLOOKUP(AE741,βοηθητικό!$J$2:$N$354,3,FALSE))</f>
        <v>_</v>
      </c>
      <c r="AG741" s="47"/>
      <c r="AH741" s="4" t="s">
        <v>16</v>
      </c>
      <c r="AI741" s="43" t="str">
        <f>IF(VLOOKUP(AH741,βοηθητικό!$J$2:$N$354,3,FALSE)="","",VLOOKUP(AH741,βοηθητικό!$J$2:$N$354,3,FALSE))</f>
        <v>_</v>
      </c>
      <c r="AJ741" s="44"/>
      <c r="AK741" s="5" t="s">
        <v>16</v>
      </c>
      <c r="AL741" s="46" t="str">
        <f>IF(VLOOKUP(AK741,βοηθητικό!$J$2:$N$354,3,FALSE)="","",VLOOKUP(AK741,βοηθητικό!$J$2:$N$354,3,FALSE))</f>
        <v>_</v>
      </c>
      <c r="AM741" s="47"/>
      <c r="AN741" s="4" t="s">
        <v>16</v>
      </c>
      <c r="AO741" s="43" t="str">
        <f>IF(VLOOKUP(AN741,βοηθητικό!$J$2:$N$354,3,FALSE)="","",VLOOKUP(AN741,βοηθητικό!$J$2:$N$354,3,FALSE))</f>
        <v>_</v>
      </c>
      <c r="AP741" s="44"/>
      <c r="AQ741" s="5" t="s">
        <v>16</v>
      </c>
      <c r="AR741" s="46" t="str">
        <f>IF(VLOOKUP(AQ741,βοηθητικό!$J$2:$N$354,3,FALSE)="","",VLOOKUP(AQ741,βοηθητικό!$J$2:$N$354,3,FALSE))</f>
        <v>_</v>
      </c>
      <c r="AS741" s="47"/>
      <c r="AT741" s="4" t="s">
        <v>16</v>
      </c>
      <c r="AU741" s="43" t="str">
        <f>IF(VLOOKUP(AT741,βοηθητικό!$J$2:$N$354,3,FALSE)="","",VLOOKUP(AT741,βοηθητικό!$J$2:$N$354,3,FALSE))</f>
        <v>_</v>
      </c>
      <c r="AV741" s="44"/>
      <c r="AW741" s="5" t="s">
        <v>16</v>
      </c>
      <c r="AX741" s="46" t="str">
        <f>IF(VLOOKUP(AW741,βοηθητικό!$J$2:$N$354,3,FALSE)="","",VLOOKUP(AW741,βοηθητικό!$J$2:$N$354,3,FALSE))</f>
        <v>_</v>
      </c>
      <c r="AY741" s="47"/>
      <c r="AZ741" s="4" t="s">
        <v>16</v>
      </c>
      <c r="BA741" s="43" t="str">
        <f>IF(VLOOKUP(AZ741,βοηθητικό!$J$2:$N$354,3,FALSE)="","",VLOOKUP(AZ741,βοηθητικό!$J$2:$N$354,3,FALSE))</f>
        <v>_</v>
      </c>
      <c r="BB741" s="44"/>
      <c r="BC741" s="45" t="s">
        <v>16</v>
      </c>
      <c r="BD741" s="46" t="str">
        <f>IF(VLOOKUP(BC741,βοηθητικό!$J$2:$N$354,3,FALSE)="","",VLOOKUP(BC741,βοηθητικό!$J$2:$N$354,3,FALSE))</f>
        <v>_</v>
      </c>
      <c r="BE741" s="47"/>
      <c r="BF741" s="42" t="s">
        <v>16</v>
      </c>
      <c r="BG741" s="43" t="str">
        <f>IF(VLOOKUP(BF741,βοηθητικό!$J$2:$N$354,3,FALSE)="","",VLOOKUP(BF741,βοηθητικό!$J$2:$N$354,3,FALSE))</f>
        <v>_</v>
      </c>
      <c r="BH741" s="44"/>
      <c r="BI741" s="45" t="s">
        <v>16</v>
      </c>
      <c r="BJ741" s="46" t="str">
        <f>IF(VLOOKUP(BI741,βοηθητικό!$J$2:$N$354,3,FALSE)="","",VLOOKUP(BI741,βοηθητικό!$J$2:$N$354,3,FALSE))</f>
        <v>_</v>
      </c>
      <c r="BK741" s="47"/>
      <c r="BL741" s="42" t="s">
        <v>16</v>
      </c>
      <c r="BM741" s="43" t="str">
        <f>IF(VLOOKUP(BL741,βοηθητικό!$J$2:$N$354,3,FALSE)="","",VLOOKUP(BL741,βοηθητικό!$J$2:$N$354,3,FALSE))</f>
        <v>_</v>
      </c>
      <c r="BN741" s="44"/>
      <c r="BO741" s="45" t="s">
        <v>16</v>
      </c>
      <c r="BP741" s="46" t="str">
        <f>IF(VLOOKUP(BO741,βοηθητικό!$J$2:$N$354,3,FALSE)="","",VLOOKUP(BO741,βοηθητικό!$J$2:$N$354,3,FALSE))</f>
        <v>_</v>
      </c>
      <c r="BQ741" s="47"/>
      <c r="BR741" s="42" t="s">
        <v>16</v>
      </c>
      <c r="BS741" s="43" t="str">
        <f>IF(VLOOKUP(BR741,βοηθητικό!$J$2:$N$354,3,FALSE)="","",VLOOKUP(BR741,βοηθητικό!$J$2:$N$354,3,FALSE))</f>
        <v>_</v>
      </c>
      <c r="BT741" s="44"/>
      <c r="BU741" s="45" t="s">
        <v>16</v>
      </c>
      <c r="BV741" s="46" t="str">
        <f>IF(VLOOKUP(BU741,βοηθητικό!$J$2:$N$354,3,FALSE)="","",VLOOKUP(BU741,βοηθητικό!$J$2:$N$354,3,FALSE))</f>
        <v>_</v>
      </c>
      <c r="BW741" s="47"/>
      <c r="BX741" s="42" t="s">
        <v>16</v>
      </c>
      <c r="BY741" s="43" t="str">
        <f>IF(VLOOKUP(BX741,βοηθητικό!$J$2:$N$354,3,FALSE)="","",VLOOKUP(BX741,βοηθητικό!$J$2:$N$354,3,FALSE))</f>
        <v>_</v>
      </c>
      <c r="BZ741" s="44"/>
      <c r="CA741" s="45" t="s">
        <v>16</v>
      </c>
      <c r="CB741" s="46" t="str">
        <f>IF(VLOOKUP(CA741,βοηθητικό!$J$2:$N$354,3,FALSE)="","",VLOOKUP(CA741,βοηθητικό!$J$2:$N$354,3,FALSE))</f>
        <v>_</v>
      </c>
      <c r="CC741" s="47"/>
      <c r="CD741" s="42" t="s">
        <v>16</v>
      </c>
      <c r="CE741" s="43" t="str">
        <f>IF(VLOOKUP(CD741,βοηθητικό!$J$2:$N$354,3,FALSE)="","",VLOOKUP(CD741,βοηθητικό!$J$2:$N$354,3,FALSE))</f>
        <v>_</v>
      </c>
      <c r="CF741" s="44"/>
      <c r="CG741" s="45" t="s">
        <v>16</v>
      </c>
      <c r="CH741" s="46" t="str">
        <f>IF(VLOOKUP(CG741,βοηθητικό!$J$2:$N$354,3,FALSE)="","",VLOOKUP(CG741,βοηθητικό!$J$2:$N$354,3,FALSE))</f>
        <v>_</v>
      </c>
      <c r="CI741" s="47"/>
      <c r="CJ741" s="42" t="s">
        <v>16</v>
      </c>
      <c r="CK741" s="43" t="str">
        <f>IF(VLOOKUP(CJ741,βοηθητικό!$J$2:$N$354,3,FALSE)="","",VLOOKUP(CJ741,βοηθητικό!$J$2:$N$354,3,FALSE))</f>
        <v>_</v>
      </c>
      <c r="CL741" s="44"/>
      <c r="CM741" s="45" t="s">
        <v>16</v>
      </c>
      <c r="CN741" s="46" t="str">
        <f>IF(VLOOKUP(CM741,βοηθητικό!$J$2:$N$354,3,FALSE)="","",VLOOKUP(CM741,βοηθητικό!$J$2:$N$354,3,FALSE))</f>
        <v>_</v>
      </c>
      <c r="CO741" s="47"/>
      <c r="CP741" s="42" t="s">
        <v>16</v>
      </c>
      <c r="CQ741" s="43" t="str">
        <f>IF(VLOOKUP(CP741,βοηθητικό!$J$2:$N$354,3,FALSE)="","",VLOOKUP(CP741,βοηθητικό!$J$2:$N$354,3,FALSE))</f>
        <v>_</v>
      </c>
      <c r="CR741" s="44"/>
      <c r="CS741" s="45" t="s">
        <v>16</v>
      </c>
      <c r="CT741" s="46" t="str">
        <f>IF(VLOOKUP(CS741,βοηθητικό!$J$2:$N$354,3,FALSE)="","",VLOOKUP(CS741,βοηθητικό!$J$2:$N$354,3,FALSE))</f>
        <v>_</v>
      </c>
      <c r="CU741" s="47"/>
    </row>
    <row r="742" spans="1:99" x14ac:dyDescent="0.25">
      <c r="A742" s="37">
        <f>--SUBTOTAL(3,$B$3:B741)</f>
        <v>198</v>
      </c>
      <c r="B742" s="2"/>
      <c r="C742" s="3"/>
      <c r="D742" s="55" t="s">
        <v>18</v>
      </c>
      <c r="E742" s="38" t="s">
        <v>16</v>
      </c>
      <c r="F742" s="38"/>
      <c r="G742" s="39" t="str">
        <f t="shared" si="35"/>
        <v>__</v>
      </c>
      <c r="H742" s="40" t="str">
        <f t="shared" si="36"/>
        <v>FALSE</v>
      </c>
      <c r="I742" s="41">
        <f t="shared" si="37"/>
        <v>0</v>
      </c>
      <c r="J742" s="4" t="s">
        <v>16</v>
      </c>
      <c r="K742" s="43" t="str">
        <f>IF(VLOOKUP(J742,βοηθητικό!$J$2:$N$354,3,FALSE)="","",VLOOKUP(J742,βοηθητικό!$J$2:$N$354,3,FALSE))</f>
        <v>_</v>
      </c>
      <c r="L742" s="44"/>
      <c r="M742" s="5" t="s">
        <v>16</v>
      </c>
      <c r="N742" s="46" t="str">
        <f>IF(VLOOKUP(M742,βοηθητικό!$J$2:$N$354,3,FALSE)="","",VLOOKUP(M742,βοηθητικό!$J$2:$N$354,3,FALSE))</f>
        <v>_</v>
      </c>
      <c r="O742" s="47"/>
      <c r="P742" s="4" t="s">
        <v>16</v>
      </c>
      <c r="Q742" s="43" t="str">
        <f>IF(VLOOKUP(P742,βοηθητικό!$J$2:$N$354,3,FALSE)="","",VLOOKUP(P742,βοηθητικό!$J$2:$N$354,3,FALSE))</f>
        <v>_</v>
      </c>
      <c r="R742" s="44"/>
      <c r="S742" s="5" t="s">
        <v>16</v>
      </c>
      <c r="T742" s="46" t="str">
        <f>IF(VLOOKUP(S742,βοηθητικό!$J$2:$N$354,3,FALSE)="","",VLOOKUP(S742,βοηθητικό!$J$2:$N$354,3,FALSE))</f>
        <v>_</v>
      </c>
      <c r="U742" s="47"/>
      <c r="V742" s="4" t="s">
        <v>16</v>
      </c>
      <c r="W742" s="43" t="str">
        <f>IF(VLOOKUP(V742,βοηθητικό!$J$2:$N$354,3,FALSE)="","",VLOOKUP(V742,βοηθητικό!$J$2:$N$354,3,FALSE))</f>
        <v>_</v>
      </c>
      <c r="X742" s="44"/>
      <c r="Y742" s="5" t="s">
        <v>16</v>
      </c>
      <c r="Z742" s="46" t="str">
        <f>IF(VLOOKUP(Y742,βοηθητικό!$J$2:$N$354,3,FALSE)="","",VLOOKUP(Y742,βοηθητικό!$J$2:$N$354,3,FALSE))</f>
        <v>_</v>
      </c>
      <c r="AA742" s="47"/>
      <c r="AB742" s="4" t="s">
        <v>16</v>
      </c>
      <c r="AC742" s="43" t="str">
        <f>IF(VLOOKUP(AB742,βοηθητικό!$J$2:$N$354,3,FALSE)="","",VLOOKUP(AB742,βοηθητικό!$J$2:$N$354,3,FALSE))</f>
        <v>_</v>
      </c>
      <c r="AD742" s="44"/>
      <c r="AE742" s="5" t="s">
        <v>16</v>
      </c>
      <c r="AF742" s="46" t="str">
        <f>IF(VLOOKUP(AE742,βοηθητικό!$J$2:$N$354,3,FALSE)="","",VLOOKUP(AE742,βοηθητικό!$J$2:$N$354,3,FALSE))</f>
        <v>_</v>
      </c>
      <c r="AG742" s="47"/>
      <c r="AH742" s="4" t="s">
        <v>16</v>
      </c>
      <c r="AI742" s="43" t="str">
        <f>IF(VLOOKUP(AH742,βοηθητικό!$J$2:$N$354,3,FALSE)="","",VLOOKUP(AH742,βοηθητικό!$J$2:$N$354,3,FALSE))</f>
        <v>_</v>
      </c>
      <c r="AJ742" s="44"/>
      <c r="AK742" s="5" t="s">
        <v>16</v>
      </c>
      <c r="AL742" s="46" t="str">
        <f>IF(VLOOKUP(AK742,βοηθητικό!$J$2:$N$354,3,FALSE)="","",VLOOKUP(AK742,βοηθητικό!$J$2:$N$354,3,FALSE))</f>
        <v>_</v>
      </c>
      <c r="AM742" s="47"/>
      <c r="AN742" s="4" t="s">
        <v>16</v>
      </c>
      <c r="AO742" s="43" t="str">
        <f>IF(VLOOKUP(AN742,βοηθητικό!$J$2:$N$354,3,FALSE)="","",VLOOKUP(AN742,βοηθητικό!$J$2:$N$354,3,FALSE))</f>
        <v>_</v>
      </c>
      <c r="AP742" s="44"/>
      <c r="AQ742" s="5" t="s">
        <v>16</v>
      </c>
      <c r="AR742" s="46" t="str">
        <f>IF(VLOOKUP(AQ742,βοηθητικό!$J$2:$N$354,3,FALSE)="","",VLOOKUP(AQ742,βοηθητικό!$J$2:$N$354,3,FALSE))</f>
        <v>_</v>
      </c>
      <c r="AS742" s="47"/>
      <c r="AT742" s="4" t="s">
        <v>16</v>
      </c>
      <c r="AU742" s="43" t="str">
        <f>IF(VLOOKUP(AT742,βοηθητικό!$J$2:$N$354,3,FALSE)="","",VLOOKUP(AT742,βοηθητικό!$J$2:$N$354,3,FALSE))</f>
        <v>_</v>
      </c>
      <c r="AV742" s="44"/>
      <c r="AW742" s="5" t="s">
        <v>16</v>
      </c>
      <c r="AX742" s="46" t="str">
        <f>IF(VLOOKUP(AW742,βοηθητικό!$J$2:$N$354,3,FALSE)="","",VLOOKUP(AW742,βοηθητικό!$J$2:$N$354,3,FALSE))</f>
        <v>_</v>
      </c>
      <c r="AY742" s="47"/>
      <c r="AZ742" s="4" t="s">
        <v>16</v>
      </c>
      <c r="BA742" s="43" t="str">
        <f>IF(VLOOKUP(AZ742,βοηθητικό!$J$2:$N$354,3,FALSE)="","",VLOOKUP(AZ742,βοηθητικό!$J$2:$N$354,3,FALSE))</f>
        <v>_</v>
      </c>
      <c r="BB742" s="44"/>
      <c r="BC742" s="45" t="s">
        <v>16</v>
      </c>
      <c r="BD742" s="46" t="str">
        <f>IF(VLOOKUP(BC742,βοηθητικό!$J$2:$N$354,3,FALSE)="","",VLOOKUP(BC742,βοηθητικό!$J$2:$N$354,3,FALSE))</f>
        <v>_</v>
      </c>
      <c r="BE742" s="47"/>
      <c r="BF742" s="42" t="s">
        <v>16</v>
      </c>
      <c r="BG742" s="43" t="str">
        <f>IF(VLOOKUP(BF742,βοηθητικό!$J$2:$N$354,3,FALSE)="","",VLOOKUP(BF742,βοηθητικό!$J$2:$N$354,3,FALSE))</f>
        <v>_</v>
      </c>
      <c r="BH742" s="44"/>
      <c r="BI742" s="45" t="s">
        <v>16</v>
      </c>
      <c r="BJ742" s="46" t="str">
        <f>IF(VLOOKUP(BI742,βοηθητικό!$J$2:$N$354,3,FALSE)="","",VLOOKUP(BI742,βοηθητικό!$J$2:$N$354,3,FALSE))</f>
        <v>_</v>
      </c>
      <c r="BK742" s="47"/>
      <c r="BL742" s="42" t="s">
        <v>16</v>
      </c>
      <c r="BM742" s="43" t="str">
        <f>IF(VLOOKUP(BL742,βοηθητικό!$J$2:$N$354,3,FALSE)="","",VLOOKUP(BL742,βοηθητικό!$J$2:$N$354,3,FALSE))</f>
        <v>_</v>
      </c>
      <c r="BN742" s="44"/>
      <c r="BO742" s="45" t="s">
        <v>16</v>
      </c>
      <c r="BP742" s="46" t="str">
        <f>IF(VLOOKUP(BO742,βοηθητικό!$J$2:$N$354,3,FALSE)="","",VLOOKUP(BO742,βοηθητικό!$J$2:$N$354,3,FALSE))</f>
        <v>_</v>
      </c>
      <c r="BQ742" s="47"/>
      <c r="BR742" s="42" t="s">
        <v>16</v>
      </c>
      <c r="BS742" s="43" t="str">
        <f>IF(VLOOKUP(BR742,βοηθητικό!$J$2:$N$354,3,FALSE)="","",VLOOKUP(BR742,βοηθητικό!$J$2:$N$354,3,FALSE))</f>
        <v>_</v>
      </c>
      <c r="BT742" s="44"/>
      <c r="BU742" s="45" t="s">
        <v>16</v>
      </c>
      <c r="BV742" s="46" t="str">
        <f>IF(VLOOKUP(BU742,βοηθητικό!$J$2:$N$354,3,FALSE)="","",VLOOKUP(BU742,βοηθητικό!$J$2:$N$354,3,FALSE))</f>
        <v>_</v>
      </c>
      <c r="BW742" s="47"/>
      <c r="BX742" s="42" t="s">
        <v>16</v>
      </c>
      <c r="BY742" s="43" t="str">
        <f>IF(VLOOKUP(BX742,βοηθητικό!$J$2:$N$354,3,FALSE)="","",VLOOKUP(BX742,βοηθητικό!$J$2:$N$354,3,FALSE))</f>
        <v>_</v>
      </c>
      <c r="BZ742" s="44"/>
      <c r="CA742" s="45" t="s">
        <v>16</v>
      </c>
      <c r="CB742" s="46" t="str">
        <f>IF(VLOOKUP(CA742,βοηθητικό!$J$2:$N$354,3,FALSE)="","",VLOOKUP(CA742,βοηθητικό!$J$2:$N$354,3,FALSE))</f>
        <v>_</v>
      </c>
      <c r="CC742" s="47"/>
      <c r="CD742" s="42" t="s">
        <v>16</v>
      </c>
      <c r="CE742" s="43" t="str">
        <f>IF(VLOOKUP(CD742,βοηθητικό!$J$2:$N$354,3,FALSE)="","",VLOOKUP(CD742,βοηθητικό!$J$2:$N$354,3,FALSE))</f>
        <v>_</v>
      </c>
      <c r="CF742" s="44"/>
      <c r="CG742" s="45" t="s">
        <v>16</v>
      </c>
      <c r="CH742" s="46" t="str">
        <f>IF(VLOOKUP(CG742,βοηθητικό!$J$2:$N$354,3,FALSE)="","",VLOOKUP(CG742,βοηθητικό!$J$2:$N$354,3,FALSE))</f>
        <v>_</v>
      </c>
      <c r="CI742" s="47"/>
      <c r="CJ742" s="42" t="s">
        <v>16</v>
      </c>
      <c r="CK742" s="43" t="str">
        <f>IF(VLOOKUP(CJ742,βοηθητικό!$J$2:$N$354,3,FALSE)="","",VLOOKUP(CJ742,βοηθητικό!$J$2:$N$354,3,FALSE))</f>
        <v>_</v>
      </c>
      <c r="CL742" s="44"/>
      <c r="CM742" s="45" t="s">
        <v>16</v>
      </c>
      <c r="CN742" s="46" t="str">
        <f>IF(VLOOKUP(CM742,βοηθητικό!$J$2:$N$354,3,FALSE)="","",VLOOKUP(CM742,βοηθητικό!$J$2:$N$354,3,FALSE))</f>
        <v>_</v>
      </c>
      <c r="CO742" s="47"/>
      <c r="CP742" s="42" t="s">
        <v>16</v>
      </c>
      <c r="CQ742" s="43" t="str">
        <f>IF(VLOOKUP(CP742,βοηθητικό!$J$2:$N$354,3,FALSE)="","",VLOOKUP(CP742,βοηθητικό!$J$2:$N$354,3,FALSE))</f>
        <v>_</v>
      </c>
      <c r="CR742" s="44"/>
      <c r="CS742" s="45" t="s">
        <v>16</v>
      </c>
      <c r="CT742" s="46" t="str">
        <f>IF(VLOOKUP(CS742,βοηθητικό!$J$2:$N$354,3,FALSE)="","",VLOOKUP(CS742,βοηθητικό!$J$2:$N$354,3,FALSE))</f>
        <v>_</v>
      </c>
      <c r="CU742" s="47"/>
    </row>
    <row r="743" spans="1:99" x14ac:dyDescent="0.25">
      <c r="A743" s="37">
        <f>--SUBTOTAL(3,$B$3:B742)</f>
        <v>198</v>
      </c>
      <c r="B743" s="2"/>
      <c r="C743" s="3"/>
      <c r="D743" s="55" t="s">
        <v>18</v>
      </c>
      <c r="E743" s="38" t="s">
        <v>16</v>
      </c>
      <c r="F743" s="38"/>
      <c r="G743" s="39" t="str">
        <f t="shared" si="35"/>
        <v>__</v>
      </c>
      <c r="H743" s="40" t="str">
        <f t="shared" si="36"/>
        <v>FALSE</v>
      </c>
      <c r="I743" s="41">
        <f t="shared" si="37"/>
        <v>0</v>
      </c>
      <c r="J743" s="4" t="s">
        <v>16</v>
      </c>
      <c r="K743" s="43" t="str">
        <f>IF(VLOOKUP(J743,βοηθητικό!$J$2:$N$354,3,FALSE)="","",VLOOKUP(J743,βοηθητικό!$J$2:$N$354,3,FALSE))</f>
        <v>_</v>
      </c>
      <c r="L743" s="44"/>
      <c r="M743" s="5" t="s">
        <v>16</v>
      </c>
      <c r="N743" s="46" t="str">
        <f>IF(VLOOKUP(M743,βοηθητικό!$J$2:$N$354,3,FALSE)="","",VLOOKUP(M743,βοηθητικό!$J$2:$N$354,3,FALSE))</f>
        <v>_</v>
      </c>
      <c r="O743" s="47"/>
      <c r="P743" s="4" t="s">
        <v>16</v>
      </c>
      <c r="Q743" s="43" t="str">
        <f>IF(VLOOKUP(P743,βοηθητικό!$J$2:$N$354,3,FALSE)="","",VLOOKUP(P743,βοηθητικό!$J$2:$N$354,3,FALSE))</f>
        <v>_</v>
      </c>
      <c r="R743" s="44"/>
      <c r="S743" s="5" t="s">
        <v>16</v>
      </c>
      <c r="T743" s="46" t="str">
        <f>IF(VLOOKUP(S743,βοηθητικό!$J$2:$N$354,3,FALSE)="","",VLOOKUP(S743,βοηθητικό!$J$2:$N$354,3,FALSE))</f>
        <v>_</v>
      </c>
      <c r="U743" s="47"/>
      <c r="V743" s="4" t="s">
        <v>16</v>
      </c>
      <c r="W743" s="43" t="str">
        <f>IF(VLOOKUP(V743,βοηθητικό!$J$2:$N$354,3,FALSE)="","",VLOOKUP(V743,βοηθητικό!$J$2:$N$354,3,FALSE))</f>
        <v>_</v>
      </c>
      <c r="X743" s="44"/>
      <c r="Y743" s="5" t="s">
        <v>16</v>
      </c>
      <c r="Z743" s="46" t="str">
        <f>IF(VLOOKUP(Y743,βοηθητικό!$J$2:$N$354,3,FALSE)="","",VLOOKUP(Y743,βοηθητικό!$J$2:$N$354,3,FALSE))</f>
        <v>_</v>
      </c>
      <c r="AA743" s="47"/>
      <c r="AB743" s="4" t="s">
        <v>16</v>
      </c>
      <c r="AC743" s="43" t="str">
        <f>IF(VLOOKUP(AB743,βοηθητικό!$J$2:$N$354,3,FALSE)="","",VLOOKUP(AB743,βοηθητικό!$J$2:$N$354,3,FALSE))</f>
        <v>_</v>
      </c>
      <c r="AD743" s="44"/>
      <c r="AE743" s="5" t="s">
        <v>16</v>
      </c>
      <c r="AF743" s="46" t="str">
        <f>IF(VLOOKUP(AE743,βοηθητικό!$J$2:$N$354,3,FALSE)="","",VLOOKUP(AE743,βοηθητικό!$J$2:$N$354,3,FALSE))</f>
        <v>_</v>
      </c>
      <c r="AG743" s="47"/>
      <c r="AH743" s="4" t="s">
        <v>16</v>
      </c>
      <c r="AI743" s="43" t="str">
        <f>IF(VLOOKUP(AH743,βοηθητικό!$J$2:$N$354,3,FALSE)="","",VLOOKUP(AH743,βοηθητικό!$J$2:$N$354,3,FALSE))</f>
        <v>_</v>
      </c>
      <c r="AJ743" s="44"/>
      <c r="AK743" s="5" t="s">
        <v>16</v>
      </c>
      <c r="AL743" s="46" t="str">
        <f>IF(VLOOKUP(AK743,βοηθητικό!$J$2:$N$354,3,FALSE)="","",VLOOKUP(AK743,βοηθητικό!$J$2:$N$354,3,FALSE))</f>
        <v>_</v>
      </c>
      <c r="AM743" s="47"/>
      <c r="AN743" s="4" t="s">
        <v>16</v>
      </c>
      <c r="AO743" s="43" t="str">
        <f>IF(VLOOKUP(AN743,βοηθητικό!$J$2:$N$354,3,FALSE)="","",VLOOKUP(AN743,βοηθητικό!$J$2:$N$354,3,FALSE))</f>
        <v>_</v>
      </c>
      <c r="AP743" s="44"/>
      <c r="AQ743" s="5" t="s">
        <v>16</v>
      </c>
      <c r="AR743" s="46" t="str">
        <f>IF(VLOOKUP(AQ743,βοηθητικό!$J$2:$N$354,3,FALSE)="","",VLOOKUP(AQ743,βοηθητικό!$J$2:$N$354,3,FALSE))</f>
        <v>_</v>
      </c>
      <c r="AS743" s="47"/>
      <c r="AT743" s="4" t="s">
        <v>16</v>
      </c>
      <c r="AU743" s="43" t="str">
        <f>IF(VLOOKUP(AT743,βοηθητικό!$J$2:$N$354,3,FALSE)="","",VLOOKUP(AT743,βοηθητικό!$J$2:$N$354,3,FALSE))</f>
        <v>_</v>
      </c>
      <c r="AV743" s="44"/>
      <c r="AW743" s="5" t="s">
        <v>16</v>
      </c>
      <c r="AX743" s="46" t="str">
        <f>IF(VLOOKUP(AW743,βοηθητικό!$J$2:$N$354,3,FALSE)="","",VLOOKUP(AW743,βοηθητικό!$J$2:$N$354,3,FALSE))</f>
        <v>_</v>
      </c>
      <c r="AY743" s="47"/>
      <c r="AZ743" s="4" t="s">
        <v>16</v>
      </c>
      <c r="BA743" s="43" t="str">
        <f>IF(VLOOKUP(AZ743,βοηθητικό!$J$2:$N$354,3,FALSE)="","",VLOOKUP(AZ743,βοηθητικό!$J$2:$N$354,3,FALSE))</f>
        <v>_</v>
      </c>
      <c r="BB743" s="44"/>
      <c r="BC743" s="45" t="s">
        <v>16</v>
      </c>
      <c r="BD743" s="46" t="str">
        <f>IF(VLOOKUP(BC743,βοηθητικό!$J$2:$N$354,3,FALSE)="","",VLOOKUP(BC743,βοηθητικό!$J$2:$N$354,3,FALSE))</f>
        <v>_</v>
      </c>
      <c r="BE743" s="47"/>
      <c r="BF743" s="42" t="s">
        <v>16</v>
      </c>
      <c r="BG743" s="43" t="str">
        <f>IF(VLOOKUP(BF743,βοηθητικό!$J$2:$N$354,3,FALSE)="","",VLOOKUP(BF743,βοηθητικό!$J$2:$N$354,3,FALSE))</f>
        <v>_</v>
      </c>
      <c r="BH743" s="44"/>
      <c r="BI743" s="45" t="s">
        <v>16</v>
      </c>
      <c r="BJ743" s="46" t="str">
        <f>IF(VLOOKUP(BI743,βοηθητικό!$J$2:$N$354,3,FALSE)="","",VLOOKUP(BI743,βοηθητικό!$J$2:$N$354,3,FALSE))</f>
        <v>_</v>
      </c>
      <c r="BK743" s="47"/>
      <c r="BL743" s="42" t="s">
        <v>16</v>
      </c>
      <c r="BM743" s="43" t="str">
        <f>IF(VLOOKUP(BL743,βοηθητικό!$J$2:$N$354,3,FALSE)="","",VLOOKUP(BL743,βοηθητικό!$J$2:$N$354,3,FALSE))</f>
        <v>_</v>
      </c>
      <c r="BN743" s="44"/>
      <c r="BO743" s="45" t="s">
        <v>16</v>
      </c>
      <c r="BP743" s="46" t="str">
        <f>IF(VLOOKUP(BO743,βοηθητικό!$J$2:$N$354,3,FALSE)="","",VLOOKUP(BO743,βοηθητικό!$J$2:$N$354,3,FALSE))</f>
        <v>_</v>
      </c>
      <c r="BQ743" s="47"/>
      <c r="BR743" s="42" t="s">
        <v>16</v>
      </c>
      <c r="BS743" s="43" t="str">
        <f>IF(VLOOKUP(BR743,βοηθητικό!$J$2:$N$354,3,FALSE)="","",VLOOKUP(BR743,βοηθητικό!$J$2:$N$354,3,FALSE))</f>
        <v>_</v>
      </c>
      <c r="BT743" s="44"/>
      <c r="BU743" s="45" t="s">
        <v>16</v>
      </c>
      <c r="BV743" s="46" t="str">
        <f>IF(VLOOKUP(BU743,βοηθητικό!$J$2:$N$354,3,FALSE)="","",VLOOKUP(BU743,βοηθητικό!$J$2:$N$354,3,FALSE))</f>
        <v>_</v>
      </c>
      <c r="BW743" s="47"/>
      <c r="BX743" s="42" t="s">
        <v>16</v>
      </c>
      <c r="BY743" s="43" t="str">
        <f>IF(VLOOKUP(BX743,βοηθητικό!$J$2:$N$354,3,FALSE)="","",VLOOKUP(BX743,βοηθητικό!$J$2:$N$354,3,FALSE))</f>
        <v>_</v>
      </c>
      <c r="BZ743" s="44"/>
      <c r="CA743" s="45" t="s">
        <v>16</v>
      </c>
      <c r="CB743" s="46" t="str">
        <f>IF(VLOOKUP(CA743,βοηθητικό!$J$2:$N$354,3,FALSE)="","",VLOOKUP(CA743,βοηθητικό!$J$2:$N$354,3,FALSE))</f>
        <v>_</v>
      </c>
      <c r="CC743" s="47"/>
      <c r="CD743" s="42" t="s">
        <v>16</v>
      </c>
      <c r="CE743" s="43" t="str">
        <f>IF(VLOOKUP(CD743,βοηθητικό!$J$2:$N$354,3,FALSE)="","",VLOOKUP(CD743,βοηθητικό!$J$2:$N$354,3,FALSE))</f>
        <v>_</v>
      </c>
      <c r="CF743" s="44"/>
      <c r="CG743" s="45" t="s">
        <v>16</v>
      </c>
      <c r="CH743" s="46" t="str">
        <f>IF(VLOOKUP(CG743,βοηθητικό!$J$2:$N$354,3,FALSE)="","",VLOOKUP(CG743,βοηθητικό!$J$2:$N$354,3,FALSE))</f>
        <v>_</v>
      </c>
      <c r="CI743" s="47"/>
      <c r="CJ743" s="42" t="s">
        <v>16</v>
      </c>
      <c r="CK743" s="43" t="str">
        <f>IF(VLOOKUP(CJ743,βοηθητικό!$J$2:$N$354,3,FALSE)="","",VLOOKUP(CJ743,βοηθητικό!$J$2:$N$354,3,FALSE))</f>
        <v>_</v>
      </c>
      <c r="CL743" s="44"/>
      <c r="CM743" s="45" t="s">
        <v>16</v>
      </c>
      <c r="CN743" s="46" t="str">
        <f>IF(VLOOKUP(CM743,βοηθητικό!$J$2:$N$354,3,FALSE)="","",VLOOKUP(CM743,βοηθητικό!$J$2:$N$354,3,FALSE))</f>
        <v>_</v>
      </c>
      <c r="CO743" s="47"/>
      <c r="CP743" s="42" t="s">
        <v>16</v>
      </c>
      <c r="CQ743" s="43" t="str">
        <f>IF(VLOOKUP(CP743,βοηθητικό!$J$2:$N$354,3,FALSE)="","",VLOOKUP(CP743,βοηθητικό!$J$2:$N$354,3,FALSE))</f>
        <v>_</v>
      </c>
      <c r="CR743" s="44"/>
      <c r="CS743" s="45" t="s">
        <v>16</v>
      </c>
      <c r="CT743" s="46" t="str">
        <f>IF(VLOOKUP(CS743,βοηθητικό!$J$2:$N$354,3,FALSE)="","",VLOOKUP(CS743,βοηθητικό!$J$2:$N$354,3,FALSE))</f>
        <v>_</v>
      </c>
      <c r="CU743" s="47"/>
    </row>
    <row r="744" spans="1:99" x14ac:dyDescent="0.25">
      <c r="A744" s="37">
        <f>--SUBTOTAL(3,$B$3:B743)</f>
        <v>198</v>
      </c>
      <c r="B744" s="2"/>
      <c r="C744" s="3"/>
      <c r="D744" s="55" t="s">
        <v>18</v>
      </c>
      <c r="E744" s="38" t="s">
        <v>16</v>
      </c>
      <c r="F744" s="38"/>
      <c r="G744" s="39" t="str">
        <f t="shared" si="35"/>
        <v>__</v>
      </c>
      <c r="H744" s="40" t="str">
        <f t="shared" si="36"/>
        <v>FALSE</v>
      </c>
      <c r="I744" s="41">
        <f t="shared" si="37"/>
        <v>0</v>
      </c>
      <c r="J744" s="4" t="s">
        <v>16</v>
      </c>
      <c r="K744" s="43" t="str">
        <f>IF(VLOOKUP(J744,βοηθητικό!$J$2:$N$354,3,FALSE)="","",VLOOKUP(J744,βοηθητικό!$J$2:$N$354,3,FALSE))</f>
        <v>_</v>
      </c>
      <c r="L744" s="44"/>
      <c r="M744" s="5" t="s">
        <v>16</v>
      </c>
      <c r="N744" s="46" t="str">
        <f>IF(VLOOKUP(M744,βοηθητικό!$J$2:$N$354,3,FALSE)="","",VLOOKUP(M744,βοηθητικό!$J$2:$N$354,3,FALSE))</f>
        <v>_</v>
      </c>
      <c r="O744" s="47"/>
      <c r="P744" s="4" t="s">
        <v>16</v>
      </c>
      <c r="Q744" s="43" t="str">
        <f>IF(VLOOKUP(P744,βοηθητικό!$J$2:$N$354,3,FALSE)="","",VLOOKUP(P744,βοηθητικό!$J$2:$N$354,3,FALSE))</f>
        <v>_</v>
      </c>
      <c r="R744" s="44"/>
      <c r="S744" s="5" t="s">
        <v>16</v>
      </c>
      <c r="T744" s="46" t="str">
        <f>IF(VLOOKUP(S744,βοηθητικό!$J$2:$N$354,3,FALSE)="","",VLOOKUP(S744,βοηθητικό!$J$2:$N$354,3,FALSE))</f>
        <v>_</v>
      </c>
      <c r="U744" s="47"/>
      <c r="V744" s="4" t="s">
        <v>16</v>
      </c>
      <c r="W744" s="43" t="str">
        <f>IF(VLOOKUP(V744,βοηθητικό!$J$2:$N$354,3,FALSE)="","",VLOOKUP(V744,βοηθητικό!$J$2:$N$354,3,FALSE))</f>
        <v>_</v>
      </c>
      <c r="X744" s="44"/>
      <c r="Y744" s="5" t="s">
        <v>16</v>
      </c>
      <c r="Z744" s="46" t="str">
        <f>IF(VLOOKUP(Y744,βοηθητικό!$J$2:$N$354,3,FALSE)="","",VLOOKUP(Y744,βοηθητικό!$J$2:$N$354,3,FALSE))</f>
        <v>_</v>
      </c>
      <c r="AA744" s="47"/>
      <c r="AB744" s="4" t="s">
        <v>16</v>
      </c>
      <c r="AC744" s="43" t="str">
        <f>IF(VLOOKUP(AB744,βοηθητικό!$J$2:$N$354,3,FALSE)="","",VLOOKUP(AB744,βοηθητικό!$J$2:$N$354,3,FALSE))</f>
        <v>_</v>
      </c>
      <c r="AD744" s="44"/>
      <c r="AE744" s="5" t="s">
        <v>16</v>
      </c>
      <c r="AF744" s="46" t="str">
        <f>IF(VLOOKUP(AE744,βοηθητικό!$J$2:$N$354,3,FALSE)="","",VLOOKUP(AE744,βοηθητικό!$J$2:$N$354,3,FALSE))</f>
        <v>_</v>
      </c>
      <c r="AG744" s="47"/>
      <c r="AH744" s="4" t="s">
        <v>16</v>
      </c>
      <c r="AI744" s="43" t="str">
        <f>IF(VLOOKUP(AH744,βοηθητικό!$J$2:$N$354,3,FALSE)="","",VLOOKUP(AH744,βοηθητικό!$J$2:$N$354,3,FALSE))</f>
        <v>_</v>
      </c>
      <c r="AJ744" s="44"/>
      <c r="AK744" s="5" t="s">
        <v>16</v>
      </c>
      <c r="AL744" s="46" t="str">
        <f>IF(VLOOKUP(AK744,βοηθητικό!$J$2:$N$354,3,FALSE)="","",VLOOKUP(AK744,βοηθητικό!$J$2:$N$354,3,FALSE))</f>
        <v>_</v>
      </c>
      <c r="AM744" s="47"/>
      <c r="AN744" s="4" t="s">
        <v>16</v>
      </c>
      <c r="AO744" s="43" t="str">
        <f>IF(VLOOKUP(AN744,βοηθητικό!$J$2:$N$354,3,FALSE)="","",VLOOKUP(AN744,βοηθητικό!$J$2:$N$354,3,FALSE))</f>
        <v>_</v>
      </c>
      <c r="AP744" s="44"/>
      <c r="AQ744" s="5" t="s">
        <v>16</v>
      </c>
      <c r="AR744" s="46" t="str">
        <f>IF(VLOOKUP(AQ744,βοηθητικό!$J$2:$N$354,3,FALSE)="","",VLOOKUP(AQ744,βοηθητικό!$J$2:$N$354,3,FALSE))</f>
        <v>_</v>
      </c>
      <c r="AS744" s="47"/>
      <c r="AT744" s="4" t="s">
        <v>16</v>
      </c>
      <c r="AU744" s="43" t="str">
        <f>IF(VLOOKUP(AT744,βοηθητικό!$J$2:$N$354,3,FALSE)="","",VLOOKUP(AT744,βοηθητικό!$J$2:$N$354,3,FALSE))</f>
        <v>_</v>
      </c>
      <c r="AV744" s="44"/>
      <c r="AW744" s="5" t="s">
        <v>16</v>
      </c>
      <c r="AX744" s="46" t="str">
        <f>IF(VLOOKUP(AW744,βοηθητικό!$J$2:$N$354,3,FALSE)="","",VLOOKUP(AW744,βοηθητικό!$J$2:$N$354,3,FALSE))</f>
        <v>_</v>
      </c>
      <c r="AY744" s="47"/>
      <c r="AZ744" s="4" t="s">
        <v>16</v>
      </c>
      <c r="BA744" s="43" t="str">
        <f>IF(VLOOKUP(AZ744,βοηθητικό!$J$2:$N$354,3,FALSE)="","",VLOOKUP(AZ744,βοηθητικό!$J$2:$N$354,3,FALSE))</f>
        <v>_</v>
      </c>
      <c r="BB744" s="44"/>
      <c r="BC744" s="45" t="s">
        <v>16</v>
      </c>
      <c r="BD744" s="46" t="str">
        <f>IF(VLOOKUP(BC744,βοηθητικό!$J$2:$N$354,3,FALSE)="","",VLOOKUP(BC744,βοηθητικό!$J$2:$N$354,3,FALSE))</f>
        <v>_</v>
      </c>
      <c r="BE744" s="47"/>
      <c r="BF744" s="42" t="s">
        <v>16</v>
      </c>
      <c r="BG744" s="43" t="str">
        <f>IF(VLOOKUP(BF744,βοηθητικό!$J$2:$N$354,3,FALSE)="","",VLOOKUP(BF744,βοηθητικό!$J$2:$N$354,3,FALSE))</f>
        <v>_</v>
      </c>
      <c r="BH744" s="44"/>
      <c r="BI744" s="45" t="s">
        <v>16</v>
      </c>
      <c r="BJ744" s="46" t="str">
        <f>IF(VLOOKUP(BI744,βοηθητικό!$J$2:$N$354,3,FALSE)="","",VLOOKUP(BI744,βοηθητικό!$J$2:$N$354,3,FALSE))</f>
        <v>_</v>
      </c>
      <c r="BK744" s="47"/>
      <c r="BL744" s="42" t="s">
        <v>16</v>
      </c>
      <c r="BM744" s="43" t="str">
        <f>IF(VLOOKUP(BL744,βοηθητικό!$J$2:$N$354,3,FALSE)="","",VLOOKUP(BL744,βοηθητικό!$J$2:$N$354,3,FALSE))</f>
        <v>_</v>
      </c>
      <c r="BN744" s="44"/>
      <c r="BO744" s="45" t="s">
        <v>16</v>
      </c>
      <c r="BP744" s="46" t="str">
        <f>IF(VLOOKUP(BO744,βοηθητικό!$J$2:$N$354,3,FALSE)="","",VLOOKUP(BO744,βοηθητικό!$J$2:$N$354,3,FALSE))</f>
        <v>_</v>
      </c>
      <c r="BQ744" s="47"/>
      <c r="BR744" s="42" t="s">
        <v>16</v>
      </c>
      <c r="BS744" s="43" t="str">
        <f>IF(VLOOKUP(BR744,βοηθητικό!$J$2:$N$354,3,FALSE)="","",VLOOKUP(BR744,βοηθητικό!$J$2:$N$354,3,FALSE))</f>
        <v>_</v>
      </c>
      <c r="BT744" s="44"/>
      <c r="BU744" s="45" t="s">
        <v>16</v>
      </c>
      <c r="BV744" s="46" t="str">
        <f>IF(VLOOKUP(BU744,βοηθητικό!$J$2:$N$354,3,FALSE)="","",VLOOKUP(BU744,βοηθητικό!$J$2:$N$354,3,FALSE))</f>
        <v>_</v>
      </c>
      <c r="BW744" s="47"/>
      <c r="BX744" s="42" t="s">
        <v>16</v>
      </c>
      <c r="BY744" s="43" t="str">
        <f>IF(VLOOKUP(BX744,βοηθητικό!$J$2:$N$354,3,FALSE)="","",VLOOKUP(BX744,βοηθητικό!$J$2:$N$354,3,FALSE))</f>
        <v>_</v>
      </c>
      <c r="BZ744" s="44"/>
      <c r="CA744" s="45" t="s">
        <v>16</v>
      </c>
      <c r="CB744" s="46" t="str">
        <f>IF(VLOOKUP(CA744,βοηθητικό!$J$2:$N$354,3,FALSE)="","",VLOOKUP(CA744,βοηθητικό!$J$2:$N$354,3,FALSE))</f>
        <v>_</v>
      </c>
      <c r="CC744" s="47"/>
      <c r="CD744" s="42" t="s">
        <v>16</v>
      </c>
      <c r="CE744" s="43" t="str">
        <f>IF(VLOOKUP(CD744,βοηθητικό!$J$2:$N$354,3,FALSE)="","",VLOOKUP(CD744,βοηθητικό!$J$2:$N$354,3,FALSE))</f>
        <v>_</v>
      </c>
      <c r="CF744" s="44"/>
      <c r="CG744" s="45" t="s">
        <v>16</v>
      </c>
      <c r="CH744" s="46" t="str">
        <f>IF(VLOOKUP(CG744,βοηθητικό!$J$2:$N$354,3,FALSE)="","",VLOOKUP(CG744,βοηθητικό!$J$2:$N$354,3,FALSE))</f>
        <v>_</v>
      </c>
      <c r="CI744" s="47"/>
      <c r="CJ744" s="42" t="s">
        <v>16</v>
      </c>
      <c r="CK744" s="43" t="str">
        <f>IF(VLOOKUP(CJ744,βοηθητικό!$J$2:$N$354,3,FALSE)="","",VLOOKUP(CJ744,βοηθητικό!$J$2:$N$354,3,FALSE))</f>
        <v>_</v>
      </c>
      <c r="CL744" s="44"/>
      <c r="CM744" s="45" t="s">
        <v>16</v>
      </c>
      <c r="CN744" s="46" t="str">
        <f>IF(VLOOKUP(CM744,βοηθητικό!$J$2:$N$354,3,FALSE)="","",VLOOKUP(CM744,βοηθητικό!$J$2:$N$354,3,FALSE))</f>
        <v>_</v>
      </c>
      <c r="CO744" s="47"/>
      <c r="CP744" s="42" t="s">
        <v>16</v>
      </c>
      <c r="CQ744" s="43" t="str">
        <f>IF(VLOOKUP(CP744,βοηθητικό!$J$2:$N$354,3,FALSE)="","",VLOOKUP(CP744,βοηθητικό!$J$2:$N$354,3,FALSE))</f>
        <v>_</v>
      </c>
      <c r="CR744" s="44"/>
      <c r="CS744" s="45" t="s">
        <v>16</v>
      </c>
      <c r="CT744" s="46" t="str">
        <f>IF(VLOOKUP(CS744,βοηθητικό!$J$2:$N$354,3,FALSE)="","",VLOOKUP(CS744,βοηθητικό!$J$2:$N$354,3,FALSE))</f>
        <v>_</v>
      </c>
      <c r="CU744" s="47"/>
    </row>
    <row r="745" spans="1:99" x14ac:dyDescent="0.25">
      <c r="A745" s="37">
        <f>--SUBTOTAL(3,$B$3:B744)</f>
        <v>198</v>
      </c>
      <c r="B745" s="2"/>
      <c r="C745" s="3"/>
      <c r="D745" s="55" t="s">
        <v>18</v>
      </c>
      <c r="E745" s="38" t="s">
        <v>16</v>
      </c>
      <c r="F745" s="38"/>
      <c r="G745" s="39" t="str">
        <f t="shared" si="35"/>
        <v>__</v>
      </c>
      <c r="H745" s="40" t="str">
        <f t="shared" si="36"/>
        <v>FALSE</v>
      </c>
      <c r="I745" s="41">
        <f t="shared" si="37"/>
        <v>0</v>
      </c>
      <c r="J745" s="4" t="s">
        <v>16</v>
      </c>
      <c r="K745" s="43" t="str">
        <f>IF(VLOOKUP(J745,βοηθητικό!$J$2:$N$354,3,FALSE)="","",VLOOKUP(J745,βοηθητικό!$J$2:$N$354,3,FALSE))</f>
        <v>_</v>
      </c>
      <c r="L745" s="44"/>
      <c r="M745" s="5" t="s">
        <v>16</v>
      </c>
      <c r="N745" s="46" t="str">
        <f>IF(VLOOKUP(M745,βοηθητικό!$J$2:$N$354,3,FALSE)="","",VLOOKUP(M745,βοηθητικό!$J$2:$N$354,3,FALSE))</f>
        <v>_</v>
      </c>
      <c r="O745" s="47"/>
      <c r="P745" s="4" t="s">
        <v>16</v>
      </c>
      <c r="Q745" s="43" t="str">
        <f>IF(VLOOKUP(P745,βοηθητικό!$J$2:$N$354,3,FALSE)="","",VLOOKUP(P745,βοηθητικό!$J$2:$N$354,3,FALSE))</f>
        <v>_</v>
      </c>
      <c r="R745" s="44"/>
      <c r="S745" s="5" t="s">
        <v>16</v>
      </c>
      <c r="T745" s="46" t="str">
        <f>IF(VLOOKUP(S745,βοηθητικό!$J$2:$N$354,3,FALSE)="","",VLOOKUP(S745,βοηθητικό!$J$2:$N$354,3,FALSE))</f>
        <v>_</v>
      </c>
      <c r="U745" s="47"/>
      <c r="V745" s="4" t="s">
        <v>16</v>
      </c>
      <c r="W745" s="43" t="str">
        <f>IF(VLOOKUP(V745,βοηθητικό!$J$2:$N$354,3,FALSE)="","",VLOOKUP(V745,βοηθητικό!$J$2:$N$354,3,FALSE))</f>
        <v>_</v>
      </c>
      <c r="X745" s="44"/>
      <c r="Y745" s="5" t="s">
        <v>16</v>
      </c>
      <c r="Z745" s="46" t="str">
        <f>IF(VLOOKUP(Y745,βοηθητικό!$J$2:$N$354,3,FALSE)="","",VLOOKUP(Y745,βοηθητικό!$J$2:$N$354,3,FALSE))</f>
        <v>_</v>
      </c>
      <c r="AA745" s="47"/>
      <c r="AB745" s="4" t="s">
        <v>16</v>
      </c>
      <c r="AC745" s="43" t="str">
        <f>IF(VLOOKUP(AB745,βοηθητικό!$J$2:$N$354,3,FALSE)="","",VLOOKUP(AB745,βοηθητικό!$J$2:$N$354,3,FALSE))</f>
        <v>_</v>
      </c>
      <c r="AD745" s="44"/>
      <c r="AE745" s="5" t="s">
        <v>16</v>
      </c>
      <c r="AF745" s="46" t="str">
        <f>IF(VLOOKUP(AE745,βοηθητικό!$J$2:$N$354,3,FALSE)="","",VLOOKUP(AE745,βοηθητικό!$J$2:$N$354,3,FALSE))</f>
        <v>_</v>
      </c>
      <c r="AG745" s="47"/>
      <c r="AH745" s="4" t="s">
        <v>16</v>
      </c>
      <c r="AI745" s="43" t="str">
        <f>IF(VLOOKUP(AH745,βοηθητικό!$J$2:$N$354,3,FALSE)="","",VLOOKUP(AH745,βοηθητικό!$J$2:$N$354,3,FALSE))</f>
        <v>_</v>
      </c>
      <c r="AJ745" s="44"/>
      <c r="AK745" s="5" t="s">
        <v>16</v>
      </c>
      <c r="AL745" s="46" t="str">
        <f>IF(VLOOKUP(AK745,βοηθητικό!$J$2:$N$354,3,FALSE)="","",VLOOKUP(AK745,βοηθητικό!$J$2:$N$354,3,FALSE))</f>
        <v>_</v>
      </c>
      <c r="AM745" s="47"/>
      <c r="AN745" s="4" t="s">
        <v>16</v>
      </c>
      <c r="AO745" s="43" t="str">
        <f>IF(VLOOKUP(AN745,βοηθητικό!$J$2:$N$354,3,FALSE)="","",VLOOKUP(AN745,βοηθητικό!$J$2:$N$354,3,FALSE))</f>
        <v>_</v>
      </c>
      <c r="AP745" s="44"/>
      <c r="AQ745" s="5" t="s">
        <v>16</v>
      </c>
      <c r="AR745" s="46" t="str">
        <f>IF(VLOOKUP(AQ745,βοηθητικό!$J$2:$N$354,3,FALSE)="","",VLOOKUP(AQ745,βοηθητικό!$J$2:$N$354,3,FALSE))</f>
        <v>_</v>
      </c>
      <c r="AS745" s="47"/>
      <c r="AT745" s="4" t="s">
        <v>16</v>
      </c>
      <c r="AU745" s="43" t="str">
        <f>IF(VLOOKUP(AT745,βοηθητικό!$J$2:$N$354,3,FALSE)="","",VLOOKUP(AT745,βοηθητικό!$J$2:$N$354,3,FALSE))</f>
        <v>_</v>
      </c>
      <c r="AV745" s="44"/>
      <c r="AW745" s="5" t="s">
        <v>16</v>
      </c>
      <c r="AX745" s="46" t="str">
        <f>IF(VLOOKUP(AW745,βοηθητικό!$J$2:$N$354,3,FALSE)="","",VLOOKUP(AW745,βοηθητικό!$J$2:$N$354,3,FALSE))</f>
        <v>_</v>
      </c>
      <c r="AY745" s="47"/>
      <c r="AZ745" s="4" t="s">
        <v>16</v>
      </c>
      <c r="BA745" s="43" t="str">
        <f>IF(VLOOKUP(AZ745,βοηθητικό!$J$2:$N$354,3,FALSE)="","",VLOOKUP(AZ745,βοηθητικό!$J$2:$N$354,3,FALSE))</f>
        <v>_</v>
      </c>
      <c r="BB745" s="44"/>
      <c r="BC745" s="45" t="s">
        <v>16</v>
      </c>
      <c r="BD745" s="46" t="str">
        <f>IF(VLOOKUP(BC745,βοηθητικό!$J$2:$N$354,3,FALSE)="","",VLOOKUP(BC745,βοηθητικό!$J$2:$N$354,3,FALSE))</f>
        <v>_</v>
      </c>
      <c r="BE745" s="47"/>
      <c r="BF745" s="42" t="s">
        <v>16</v>
      </c>
      <c r="BG745" s="43" t="str">
        <f>IF(VLOOKUP(BF745,βοηθητικό!$J$2:$N$354,3,FALSE)="","",VLOOKUP(BF745,βοηθητικό!$J$2:$N$354,3,FALSE))</f>
        <v>_</v>
      </c>
      <c r="BH745" s="44"/>
      <c r="BI745" s="45" t="s">
        <v>16</v>
      </c>
      <c r="BJ745" s="46" t="str">
        <f>IF(VLOOKUP(BI745,βοηθητικό!$J$2:$N$354,3,FALSE)="","",VLOOKUP(BI745,βοηθητικό!$J$2:$N$354,3,FALSE))</f>
        <v>_</v>
      </c>
      <c r="BK745" s="47"/>
      <c r="BL745" s="42" t="s">
        <v>16</v>
      </c>
      <c r="BM745" s="43" t="str">
        <f>IF(VLOOKUP(BL745,βοηθητικό!$J$2:$N$354,3,FALSE)="","",VLOOKUP(BL745,βοηθητικό!$J$2:$N$354,3,FALSE))</f>
        <v>_</v>
      </c>
      <c r="BN745" s="44"/>
      <c r="BO745" s="45" t="s">
        <v>16</v>
      </c>
      <c r="BP745" s="46" t="str">
        <f>IF(VLOOKUP(BO745,βοηθητικό!$J$2:$N$354,3,FALSE)="","",VLOOKUP(BO745,βοηθητικό!$J$2:$N$354,3,FALSE))</f>
        <v>_</v>
      </c>
      <c r="BQ745" s="47"/>
      <c r="BR745" s="42" t="s">
        <v>16</v>
      </c>
      <c r="BS745" s="43" t="str">
        <f>IF(VLOOKUP(BR745,βοηθητικό!$J$2:$N$354,3,FALSE)="","",VLOOKUP(BR745,βοηθητικό!$J$2:$N$354,3,FALSE))</f>
        <v>_</v>
      </c>
      <c r="BT745" s="44"/>
      <c r="BU745" s="45" t="s">
        <v>16</v>
      </c>
      <c r="BV745" s="46" t="str">
        <f>IF(VLOOKUP(BU745,βοηθητικό!$J$2:$N$354,3,FALSE)="","",VLOOKUP(BU745,βοηθητικό!$J$2:$N$354,3,FALSE))</f>
        <v>_</v>
      </c>
      <c r="BW745" s="47"/>
      <c r="BX745" s="42" t="s">
        <v>16</v>
      </c>
      <c r="BY745" s="43" t="str">
        <f>IF(VLOOKUP(BX745,βοηθητικό!$J$2:$N$354,3,FALSE)="","",VLOOKUP(BX745,βοηθητικό!$J$2:$N$354,3,FALSE))</f>
        <v>_</v>
      </c>
      <c r="BZ745" s="44"/>
      <c r="CA745" s="45" t="s">
        <v>16</v>
      </c>
      <c r="CB745" s="46" t="str">
        <f>IF(VLOOKUP(CA745,βοηθητικό!$J$2:$N$354,3,FALSE)="","",VLOOKUP(CA745,βοηθητικό!$J$2:$N$354,3,FALSE))</f>
        <v>_</v>
      </c>
      <c r="CC745" s="47"/>
      <c r="CD745" s="42" t="s">
        <v>16</v>
      </c>
      <c r="CE745" s="43" t="str">
        <f>IF(VLOOKUP(CD745,βοηθητικό!$J$2:$N$354,3,FALSE)="","",VLOOKUP(CD745,βοηθητικό!$J$2:$N$354,3,FALSE))</f>
        <v>_</v>
      </c>
      <c r="CF745" s="44"/>
      <c r="CG745" s="45" t="s">
        <v>16</v>
      </c>
      <c r="CH745" s="46" t="str">
        <f>IF(VLOOKUP(CG745,βοηθητικό!$J$2:$N$354,3,FALSE)="","",VLOOKUP(CG745,βοηθητικό!$J$2:$N$354,3,FALSE))</f>
        <v>_</v>
      </c>
      <c r="CI745" s="47"/>
      <c r="CJ745" s="42" t="s">
        <v>16</v>
      </c>
      <c r="CK745" s="43" t="str">
        <f>IF(VLOOKUP(CJ745,βοηθητικό!$J$2:$N$354,3,FALSE)="","",VLOOKUP(CJ745,βοηθητικό!$J$2:$N$354,3,FALSE))</f>
        <v>_</v>
      </c>
      <c r="CL745" s="44"/>
      <c r="CM745" s="45" t="s">
        <v>16</v>
      </c>
      <c r="CN745" s="46" t="str">
        <f>IF(VLOOKUP(CM745,βοηθητικό!$J$2:$N$354,3,FALSE)="","",VLOOKUP(CM745,βοηθητικό!$J$2:$N$354,3,FALSE))</f>
        <v>_</v>
      </c>
      <c r="CO745" s="47"/>
      <c r="CP745" s="42" t="s">
        <v>16</v>
      </c>
      <c r="CQ745" s="43" t="str">
        <f>IF(VLOOKUP(CP745,βοηθητικό!$J$2:$N$354,3,FALSE)="","",VLOOKUP(CP745,βοηθητικό!$J$2:$N$354,3,FALSE))</f>
        <v>_</v>
      </c>
      <c r="CR745" s="44"/>
      <c r="CS745" s="45" t="s">
        <v>16</v>
      </c>
      <c r="CT745" s="46" t="str">
        <f>IF(VLOOKUP(CS745,βοηθητικό!$J$2:$N$354,3,FALSE)="","",VLOOKUP(CS745,βοηθητικό!$J$2:$N$354,3,FALSE))</f>
        <v>_</v>
      </c>
      <c r="CU745" s="47"/>
    </row>
    <row r="746" spans="1:99" x14ac:dyDescent="0.25">
      <c r="A746" s="37">
        <f>--SUBTOTAL(3,$B$3:B745)</f>
        <v>198</v>
      </c>
      <c r="B746" s="2"/>
      <c r="C746" s="3"/>
      <c r="D746" s="55" t="s">
        <v>18</v>
      </c>
      <c r="E746" s="38" t="s">
        <v>16</v>
      </c>
      <c r="F746" s="38"/>
      <c r="G746" s="39" t="str">
        <f t="shared" si="35"/>
        <v>__</v>
      </c>
      <c r="H746" s="40" t="str">
        <f t="shared" si="36"/>
        <v>FALSE</v>
      </c>
      <c r="I746" s="41">
        <f t="shared" si="37"/>
        <v>0</v>
      </c>
      <c r="J746" s="4" t="s">
        <v>16</v>
      </c>
      <c r="K746" s="43" t="str">
        <f>IF(VLOOKUP(J746,βοηθητικό!$J$2:$N$354,3,FALSE)="","",VLOOKUP(J746,βοηθητικό!$J$2:$N$354,3,FALSE))</f>
        <v>_</v>
      </c>
      <c r="L746" s="44"/>
      <c r="M746" s="5" t="s">
        <v>16</v>
      </c>
      <c r="N746" s="46" t="str">
        <f>IF(VLOOKUP(M746,βοηθητικό!$J$2:$N$354,3,FALSE)="","",VLOOKUP(M746,βοηθητικό!$J$2:$N$354,3,FALSE))</f>
        <v>_</v>
      </c>
      <c r="O746" s="47"/>
      <c r="P746" s="4" t="s">
        <v>16</v>
      </c>
      <c r="Q746" s="43" t="str">
        <f>IF(VLOOKUP(P746,βοηθητικό!$J$2:$N$354,3,FALSE)="","",VLOOKUP(P746,βοηθητικό!$J$2:$N$354,3,FALSE))</f>
        <v>_</v>
      </c>
      <c r="R746" s="44"/>
      <c r="S746" s="5" t="s">
        <v>16</v>
      </c>
      <c r="T746" s="46" t="str">
        <f>IF(VLOOKUP(S746,βοηθητικό!$J$2:$N$354,3,FALSE)="","",VLOOKUP(S746,βοηθητικό!$J$2:$N$354,3,FALSE))</f>
        <v>_</v>
      </c>
      <c r="U746" s="47"/>
      <c r="V746" s="4" t="s">
        <v>16</v>
      </c>
      <c r="W746" s="43" t="str">
        <f>IF(VLOOKUP(V746,βοηθητικό!$J$2:$N$354,3,FALSE)="","",VLOOKUP(V746,βοηθητικό!$J$2:$N$354,3,FALSE))</f>
        <v>_</v>
      </c>
      <c r="X746" s="44"/>
      <c r="Y746" s="5" t="s">
        <v>16</v>
      </c>
      <c r="Z746" s="46" t="str">
        <f>IF(VLOOKUP(Y746,βοηθητικό!$J$2:$N$354,3,FALSE)="","",VLOOKUP(Y746,βοηθητικό!$J$2:$N$354,3,FALSE))</f>
        <v>_</v>
      </c>
      <c r="AA746" s="47"/>
      <c r="AB746" s="4" t="s">
        <v>16</v>
      </c>
      <c r="AC746" s="43" t="str">
        <f>IF(VLOOKUP(AB746,βοηθητικό!$J$2:$N$354,3,FALSE)="","",VLOOKUP(AB746,βοηθητικό!$J$2:$N$354,3,FALSE))</f>
        <v>_</v>
      </c>
      <c r="AD746" s="44"/>
      <c r="AE746" s="5" t="s">
        <v>16</v>
      </c>
      <c r="AF746" s="46" t="str">
        <f>IF(VLOOKUP(AE746,βοηθητικό!$J$2:$N$354,3,FALSE)="","",VLOOKUP(AE746,βοηθητικό!$J$2:$N$354,3,FALSE))</f>
        <v>_</v>
      </c>
      <c r="AG746" s="47"/>
      <c r="AH746" s="4" t="s">
        <v>16</v>
      </c>
      <c r="AI746" s="43" t="str">
        <f>IF(VLOOKUP(AH746,βοηθητικό!$J$2:$N$354,3,FALSE)="","",VLOOKUP(AH746,βοηθητικό!$J$2:$N$354,3,FALSE))</f>
        <v>_</v>
      </c>
      <c r="AJ746" s="44"/>
      <c r="AK746" s="5" t="s">
        <v>16</v>
      </c>
      <c r="AL746" s="46" t="str">
        <f>IF(VLOOKUP(AK746,βοηθητικό!$J$2:$N$354,3,FALSE)="","",VLOOKUP(AK746,βοηθητικό!$J$2:$N$354,3,FALSE))</f>
        <v>_</v>
      </c>
      <c r="AM746" s="47"/>
      <c r="AN746" s="4" t="s">
        <v>16</v>
      </c>
      <c r="AO746" s="43" t="str">
        <f>IF(VLOOKUP(AN746,βοηθητικό!$J$2:$N$354,3,FALSE)="","",VLOOKUP(AN746,βοηθητικό!$J$2:$N$354,3,FALSE))</f>
        <v>_</v>
      </c>
      <c r="AP746" s="44"/>
      <c r="AQ746" s="5" t="s">
        <v>16</v>
      </c>
      <c r="AR746" s="46" t="str">
        <f>IF(VLOOKUP(AQ746,βοηθητικό!$J$2:$N$354,3,FALSE)="","",VLOOKUP(AQ746,βοηθητικό!$J$2:$N$354,3,FALSE))</f>
        <v>_</v>
      </c>
      <c r="AS746" s="47"/>
      <c r="AT746" s="4" t="s">
        <v>16</v>
      </c>
      <c r="AU746" s="43" t="str">
        <f>IF(VLOOKUP(AT746,βοηθητικό!$J$2:$N$354,3,FALSE)="","",VLOOKUP(AT746,βοηθητικό!$J$2:$N$354,3,FALSE))</f>
        <v>_</v>
      </c>
      <c r="AV746" s="44"/>
      <c r="AW746" s="5" t="s">
        <v>16</v>
      </c>
      <c r="AX746" s="46" t="str">
        <f>IF(VLOOKUP(AW746,βοηθητικό!$J$2:$N$354,3,FALSE)="","",VLOOKUP(AW746,βοηθητικό!$J$2:$N$354,3,FALSE))</f>
        <v>_</v>
      </c>
      <c r="AY746" s="47"/>
      <c r="AZ746" s="4" t="s">
        <v>16</v>
      </c>
      <c r="BA746" s="43" t="str">
        <f>IF(VLOOKUP(AZ746,βοηθητικό!$J$2:$N$354,3,FALSE)="","",VLOOKUP(AZ746,βοηθητικό!$J$2:$N$354,3,FALSE))</f>
        <v>_</v>
      </c>
      <c r="BB746" s="44"/>
      <c r="BC746" s="45" t="s">
        <v>16</v>
      </c>
      <c r="BD746" s="46" t="str">
        <f>IF(VLOOKUP(BC746,βοηθητικό!$J$2:$N$354,3,FALSE)="","",VLOOKUP(BC746,βοηθητικό!$J$2:$N$354,3,FALSE))</f>
        <v>_</v>
      </c>
      <c r="BE746" s="47"/>
      <c r="BF746" s="42" t="s">
        <v>16</v>
      </c>
      <c r="BG746" s="43" t="str">
        <f>IF(VLOOKUP(BF746,βοηθητικό!$J$2:$N$354,3,FALSE)="","",VLOOKUP(BF746,βοηθητικό!$J$2:$N$354,3,FALSE))</f>
        <v>_</v>
      </c>
      <c r="BH746" s="44"/>
      <c r="BI746" s="45" t="s">
        <v>16</v>
      </c>
      <c r="BJ746" s="46" t="str">
        <f>IF(VLOOKUP(BI746,βοηθητικό!$J$2:$N$354,3,FALSE)="","",VLOOKUP(BI746,βοηθητικό!$J$2:$N$354,3,FALSE))</f>
        <v>_</v>
      </c>
      <c r="BK746" s="47"/>
      <c r="BL746" s="42" t="s">
        <v>16</v>
      </c>
      <c r="BM746" s="43" t="str">
        <f>IF(VLOOKUP(BL746,βοηθητικό!$J$2:$N$354,3,FALSE)="","",VLOOKUP(BL746,βοηθητικό!$J$2:$N$354,3,FALSE))</f>
        <v>_</v>
      </c>
      <c r="BN746" s="44"/>
      <c r="BO746" s="45" t="s">
        <v>16</v>
      </c>
      <c r="BP746" s="46" t="str">
        <f>IF(VLOOKUP(BO746,βοηθητικό!$J$2:$N$354,3,FALSE)="","",VLOOKUP(BO746,βοηθητικό!$J$2:$N$354,3,FALSE))</f>
        <v>_</v>
      </c>
      <c r="BQ746" s="47"/>
      <c r="BR746" s="42" t="s">
        <v>16</v>
      </c>
      <c r="BS746" s="43" t="str">
        <f>IF(VLOOKUP(BR746,βοηθητικό!$J$2:$N$354,3,FALSE)="","",VLOOKUP(BR746,βοηθητικό!$J$2:$N$354,3,FALSE))</f>
        <v>_</v>
      </c>
      <c r="BT746" s="44"/>
      <c r="BU746" s="45" t="s">
        <v>16</v>
      </c>
      <c r="BV746" s="46" t="str">
        <f>IF(VLOOKUP(BU746,βοηθητικό!$J$2:$N$354,3,FALSE)="","",VLOOKUP(BU746,βοηθητικό!$J$2:$N$354,3,FALSE))</f>
        <v>_</v>
      </c>
      <c r="BW746" s="47"/>
      <c r="BX746" s="42" t="s">
        <v>16</v>
      </c>
      <c r="BY746" s="43" t="str">
        <f>IF(VLOOKUP(BX746,βοηθητικό!$J$2:$N$354,3,FALSE)="","",VLOOKUP(BX746,βοηθητικό!$J$2:$N$354,3,FALSE))</f>
        <v>_</v>
      </c>
      <c r="BZ746" s="44"/>
      <c r="CA746" s="45" t="s">
        <v>16</v>
      </c>
      <c r="CB746" s="46" t="str">
        <f>IF(VLOOKUP(CA746,βοηθητικό!$J$2:$N$354,3,FALSE)="","",VLOOKUP(CA746,βοηθητικό!$J$2:$N$354,3,FALSE))</f>
        <v>_</v>
      </c>
      <c r="CC746" s="47"/>
      <c r="CD746" s="42" t="s">
        <v>16</v>
      </c>
      <c r="CE746" s="43" t="str">
        <f>IF(VLOOKUP(CD746,βοηθητικό!$J$2:$N$354,3,FALSE)="","",VLOOKUP(CD746,βοηθητικό!$J$2:$N$354,3,FALSE))</f>
        <v>_</v>
      </c>
      <c r="CF746" s="44"/>
      <c r="CG746" s="45" t="s">
        <v>16</v>
      </c>
      <c r="CH746" s="46" t="str">
        <f>IF(VLOOKUP(CG746,βοηθητικό!$J$2:$N$354,3,FALSE)="","",VLOOKUP(CG746,βοηθητικό!$J$2:$N$354,3,FALSE))</f>
        <v>_</v>
      </c>
      <c r="CI746" s="47"/>
      <c r="CJ746" s="42" t="s">
        <v>16</v>
      </c>
      <c r="CK746" s="43" t="str">
        <f>IF(VLOOKUP(CJ746,βοηθητικό!$J$2:$N$354,3,FALSE)="","",VLOOKUP(CJ746,βοηθητικό!$J$2:$N$354,3,FALSE))</f>
        <v>_</v>
      </c>
      <c r="CL746" s="44"/>
      <c r="CM746" s="45" t="s">
        <v>16</v>
      </c>
      <c r="CN746" s="46" t="str">
        <f>IF(VLOOKUP(CM746,βοηθητικό!$J$2:$N$354,3,FALSE)="","",VLOOKUP(CM746,βοηθητικό!$J$2:$N$354,3,FALSE))</f>
        <v>_</v>
      </c>
      <c r="CO746" s="47"/>
      <c r="CP746" s="42" t="s">
        <v>16</v>
      </c>
      <c r="CQ746" s="43" t="str">
        <f>IF(VLOOKUP(CP746,βοηθητικό!$J$2:$N$354,3,FALSE)="","",VLOOKUP(CP746,βοηθητικό!$J$2:$N$354,3,FALSE))</f>
        <v>_</v>
      </c>
      <c r="CR746" s="44"/>
      <c r="CS746" s="45" t="s">
        <v>16</v>
      </c>
      <c r="CT746" s="46" t="str">
        <f>IF(VLOOKUP(CS746,βοηθητικό!$J$2:$N$354,3,FALSE)="","",VLOOKUP(CS746,βοηθητικό!$J$2:$N$354,3,FALSE))</f>
        <v>_</v>
      </c>
      <c r="CU746" s="47"/>
    </row>
    <row r="747" spans="1:99" x14ac:dyDescent="0.25">
      <c r="A747" s="37">
        <f>--SUBTOTAL(3,$B$3:B746)</f>
        <v>198</v>
      </c>
      <c r="B747" s="2"/>
      <c r="C747" s="3"/>
      <c r="D747" s="55" t="s">
        <v>18</v>
      </c>
      <c r="E747" s="38" t="s">
        <v>16</v>
      </c>
      <c r="F747" s="38"/>
      <c r="G747" s="39" t="str">
        <f t="shared" si="35"/>
        <v>__</v>
      </c>
      <c r="H747" s="40" t="str">
        <f t="shared" si="36"/>
        <v>FALSE</v>
      </c>
      <c r="I747" s="41">
        <f t="shared" si="37"/>
        <v>0</v>
      </c>
      <c r="J747" s="4" t="s">
        <v>16</v>
      </c>
      <c r="K747" s="43" t="str">
        <f>IF(VLOOKUP(J747,βοηθητικό!$J$2:$N$354,3,FALSE)="","",VLOOKUP(J747,βοηθητικό!$J$2:$N$354,3,FALSE))</f>
        <v>_</v>
      </c>
      <c r="L747" s="44"/>
      <c r="M747" s="5" t="s">
        <v>16</v>
      </c>
      <c r="N747" s="46" t="str">
        <f>IF(VLOOKUP(M747,βοηθητικό!$J$2:$N$354,3,FALSE)="","",VLOOKUP(M747,βοηθητικό!$J$2:$N$354,3,FALSE))</f>
        <v>_</v>
      </c>
      <c r="O747" s="47"/>
      <c r="P747" s="4" t="s">
        <v>16</v>
      </c>
      <c r="Q747" s="43" t="str">
        <f>IF(VLOOKUP(P747,βοηθητικό!$J$2:$N$354,3,FALSE)="","",VLOOKUP(P747,βοηθητικό!$J$2:$N$354,3,FALSE))</f>
        <v>_</v>
      </c>
      <c r="R747" s="44"/>
      <c r="S747" s="5" t="s">
        <v>16</v>
      </c>
      <c r="T747" s="46" t="str">
        <f>IF(VLOOKUP(S747,βοηθητικό!$J$2:$N$354,3,FALSE)="","",VLOOKUP(S747,βοηθητικό!$J$2:$N$354,3,FALSE))</f>
        <v>_</v>
      </c>
      <c r="U747" s="47"/>
      <c r="V747" s="4" t="s">
        <v>16</v>
      </c>
      <c r="W747" s="43" t="str">
        <f>IF(VLOOKUP(V747,βοηθητικό!$J$2:$N$354,3,FALSE)="","",VLOOKUP(V747,βοηθητικό!$J$2:$N$354,3,FALSE))</f>
        <v>_</v>
      </c>
      <c r="X747" s="44"/>
      <c r="Y747" s="5" t="s">
        <v>16</v>
      </c>
      <c r="Z747" s="46" t="str">
        <f>IF(VLOOKUP(Y747,βοηθητικό!$J$2:$N$354,3,FALSE)="","",VLOOKUP(Y747,βοηθητικό!$J$2:$N$354,3,FALSE))</f>
        <v>_</v>
      </c>
      <c r="AA747" s="47"/>
      <c r="AB747" s="4" t="s">
        <v>16</v>
      </c>
      <c r="AC747" s="43" t="str">
        <f>IF(VLOOKUP(AB747,βοηθητικό!$J$2:$N$354,3,FALSE)="","",VLOOKUP(AB747,βοηθητικό!$J$2:$N$354,3,FALSE))</f>
        <v>_</v>
      </c>
      <c r="AD747" s="44"/>
      <c r="AE747" s="5" t="s">
        <v>16</v>
      </c>
      <c r="AF747" s="46" t="str">
        <f>IF(VLOOKUP(AE747,βοηθητικό!$J$2:$N$354,3,FALSE)="","",VLOOKUP(AE747,βοηθητικό!$J$2:$N$354,3,FALSE))</f>
        <v>_</v>
      </c>
      <c r="AG747" s="47"/>
      <c r="AH747" s="4" t="s">
        <v>16</v>
      </c>
      <c r="AI747" s="43" t="str">
        <f>IF(VLOOKUP(AH747,βοηθητικό!$J$2:$N$354,3,FALSE)="","",VLOOKUP(AH747,βοηθητικό!$J$2:$N$354,3,FALSE))</f>
        <v>_</v>
      </c>
      <c r="AJ747" s="44"/>
      <c r="AK747" s="5" t="s">
        <v>16</v>
      </c>
      <c r="AL747" s="46" t="str">
        <f>IF(VLOOKUP(AK747,βοηθητικό!$J$2:$N$354,3,FALSE)="","",VLOOKUP(AK747,βοηθητικό!$J$2:$N$354,3,FALSE))</f>
        <v>_</v>
      </c>
      <c r="AM747" s="47"/>
      <c r="AN747" s="4" t="s">
        <v>16</v>
      </c>
      <c r="AO747" s="43" t="str">
        <f>IF(VLOOKUP(AN747,βοηθητικό!$J$2:$N$354,3,FALSE)="","",VLOOKUP(AN747,βοηθητικό!$J$2:$N$354,3,FALSE))</f>
        <v>_</v>
      </c>
      <c r="AP747" s="44"/>
      <c r="AQ747" s="5" t="s">
        <v>16</v>
      </c>
      <c r="AR747" s="46" t="str">
        <f>IF(VLOOKUP(AQ747,βοηθητικό!$J$2:$N$354,3,FALSE)="","",VLOOKUP(AQ747,βοηθητικό!$J$2:$N$354,3,FALSE))</f>
        <v>_</v>
      </c>
      <c r="AS747" s="47"/>
      <c r="AT747" s="4" t="s">
        <v>16</v>
      </c>
      <c r="AU747" s="43" t="str">
        <f>IF(VLOOKUP(AT747,βοηθητικό!$J$2:$N$354,3,FALSE)="","",VLOOKUP(AT747,βοηθητικό!$J$2:$N$354,3,FALSE))</f>
        <v>_</v>
      </c>
      <c r="AV747" s="44"/>
      <c r="AW747" s="5" t="s">
        <v>16</v>
      </c>
      <c r="AX747" s="46" t="str">
        <f>IF(VLOOKUP(AW747,βοηθητικό!$J$2:$N$354,3,FALSE)="","",VLOOKUP(AW747,βοηθητικό!$J$2:$N$354,3,FALSE))</f>
        <v>_</v>
      </c>
      <c r="AY747" s="47"/>
      <c r="AZ747" s="4" t="s">
        <v>16</v>
      </c>
      <c r="BA747" s="43" t="str">
        <f>IF(VLOOKUP(AZ747,βοηθητικό!$J$2:$N$354,3,FALSE)="","",VLOOKUP(AZ747,βοηθητικό!$J$2:$N$354,3,FALSE))</f>
        <v>_</v>
      </c>
      <c r="BB747" s="44"/>
      <c r="BC747" s="45" t="s">
        <v>16</v>
      </c>
      <c r="BD747" s="46" t="str">
        <f>IF(VLOOKUP(BC747,βοηθητικό!$J$2:$N$354,3,FALSE)="","",VLOOKUP(BC747,βοηθητικό!$J$2:$N$354,3,FALSE))</f>
        <v>_</v>
      </c>
      <c r="BE747" s="47"/>
      <c r="BF747" s="42" t="s">
        <v>16</v>
      </c>
      <c r="BG747" s="43" t="str">
        <f>IF(VLOOKUP(BF747,βοηθητικό!$J$2:$N$354,3,FALSE)="","",VLOOKUP(BF747,βοηθητικό!$J$2:$N$354,3,FALSE))</f>
        <v>_</v>
      </c>
      <c r="BH747" s="44"/>
      <c r="BI747" s="45" t="s">
        <v>16</v>
      </c>
      <c r="BJ747" s="46" t="str">
        <f>IF(VLOOKUP(BI747,βοηθητικό!$J$2:$N$354,3,FALSE)="","",VLOOKUP(BI747,βοηθητικό!$J$2:$N$354,3,FALSE))</f>
        <v>_</v>
      </c>
      <c r="BK747" s="47"/>
      <c r="BL747" s="42" t="s">
        <v>16</v>
      </c>
      <c r="BM747" s="43" t="str">
        <f>IF(VLOOKUP(BL747,βοηθητικό!$J$2:$N$354,3,FALSE)="","",VLOOKUP(BL747,βοηθητικό!$J$2:$N$354,3,FALSE))</f>
        <v>_</v>
      </c>
      <c r="BN747" s="44"/>
      <c r="BO747" s="45" t="s">
        <v>16</v>
      </c>
      <c r="BP747" s="46" t="str">
        <f>IF(VLOOKUP(BO747,βοηθητικό!$J$2:$N$354,3,FALSE)="","",VLOOKUP(BO747,βοηθητικό!$J$2:$N$354,3,FALSE))</f>
        <v>_</v>
      </c>
      <c r="BQ747" s="47"/>
      <c r="BR747" s="42" t="s">
        <v>16</v>
      </c>
      <c r="BS747" s="43" t="str">
        <f>IF(VLOOKUP(BR747,βοηθητικό!$J$2:$N$354,3,FALSE)="","",VLOOKUP(BR747,βοηθητικό!$J$2:$N$354,3,FALSE))</f>
        <v>_</v>
      </c>
      <c r="BT747" s="44"/>
      <c r="BU747" s="45" t="s">
        <v>16</v>
      </c>
      <c r="BV747" s="46" t="str">
        <f>IF(VLOOKUP(BU747,βοηθητικό!$J$2:$N$354,3,FALSE)="","",VLOOKUP(BU747,βοηθητικό!$J$2:$N$354,3,FALSE))</f>
        <v>_</v>
      </c>
      <c r="BW747" s="47"/>
      <c r="BX747" s="42" t="s">
        <v>16</v>
      </c>
      <c r="BY747" s="43" t="str">
        <f>IF(VLOOKUP(BX747,βοηθητικό!$J$2:$N$354,3,FALSE)="","",VLOOKUP(BX747,βοηθητικό!$J$2:$N$354,3,FALSE))</f>
        <v>_</v>
      </c>
      <c r="BZ747" s="44"/>
      <c r="CA747" s="45" t="s">
        <v>16</v>
      </c>
      <c r="CB747" s="46" t="str">
        <f>IF(VLOOKUP(CA747,βοηθητικό!$J$2:$N$354,3,FALSE)="","",VLOOKUP(CA747,βοηθητικό!$J$2:$N$354,3,FALSE))</f>
        <v>_</v>
      </c>
      <c r="CC747" s="47"/>
      <c r="CD747" s="42" t="s">
        <v>16</v>
      </c>
      <c r="CE747" s="43" t="str">
        <f>IF(VLOOKUP(CD747,βοηθητικό!$J$2:$N$354,3,FALSE)="","",VLOOKUP(CD747,βοηθητικό!$J$2:$N$354,3,FALSE))</f>
        <v>_</v>
      </c>
      <c r="CF747" s="44"/>
      <c r="CG747" s="45" t="s">
        <v>16</v>
      </c>
      <c r="CH747" s="46" t="str">
        <f>IF(VLOOKUP(CG747,βοηθητικό!$J$2:$N$354,3,FALSE)="","",VLOOKUP(CG747,βοηθητικό!$J$2:$N$354,3,FALSE))</f>
        <v>_</v>
      </c>
      <c r="CI747" s="47"/>
      <c r="CJ747" s="42" t="s">
        <v>16</v>
      </c>
      <c r="CK747" s="43" t="str">
        <f>IF(VLOOKUP(CJ747,βοηθητικό!$J$2:$N$354,3,FALSE)="","",VLOOKUP(CJ747,βοηθητικό!$J$2:$N$354,3,FALSE))</f>
        <v>_</v>
      </c>
      <c r="CL747" s="44"/>
      <c r="CM747" s="45" t="s">
        <v>16</v>
      </c>
      <c r="CN747" s="46" t="str">
        <f>IF(VLOOKUP(CM747,βοηθητικό!$J$2:$N$354,3,FALSE)="","",VLOOKUP(CM747,βοηθητικό!$J$2:$N$354,3,FALSE))</f>
        <v>_</v>
      </c>
      <c r="CO747" s="47"/>
      <c r="CP747" s="42" t="s">
        <v>16</v>
      </c>
      <c r="CQ747" s="43" t="str">
        <f>IF(VLOOKUP(CP747,βοηθητικό!$J$2:$N$354,3,FALSE)="","",VLOOKUP(CP747,βοηθητικό!$J$2:$N$354,3,FALSE))</f>
        <v>_</v>
      </c>
      <c r="CR747" s="44"/>
      <c r="CS747" s="45" t="s">
        <v>16</v>
      </c>
      <c r="CT747" s="46" t="str">
        <f>IF(VLOOKUP(CS747,βοηθητικό!$J$2:$N$354,3,FALSE)="","",VLOOKUP(CS747,βοηθητικό!$J$2:$N$354,3,FALSE))</f>
        <v>_</v>
      </c>
      <c r="CU747" s="47"/>
    </row>
    <row r="748" spans="1:99" x14ac:dyDescent="0.25">
      <c r="A748" s="37">
        <f>--SUBTOTAL(3,$B$3:B747)</f>
        <v>198</v>
      </c>
      <c r="B748" s="2"/>
      <c r="C748" s="3"/>
      <c r="D748" s="55" t="s">
        <v>18</v>
      </c>
      <c r="E748" s="38" t="s">
        <v>16</v>
      </c>
      <c r="F748" s="38"/>
      <c r="G748" s="39" t="str">
        <f t="shared" si="35"/>
        <v>__</v>
      </c>
      <c r="H748" s="40" t="str">
        <f t="shared" si="36"/>
        <v>FALSE</v>
      </c>
      <c r="I748" s="41">
        <f t="shared" si="37"/>
        <v>0</v>
      </c>
      <c r="J748" s="4" t="s">
        <v>16</v>
      </c>
      <c r="K748" s="43" t="str">
        <f>IF(VLOOKUP(J748,βοηθητικό!$J$2:$N$354,3,FALSE)="","",VLOOKUP(J748,βοηθητικό!$J$2:$N$354,3,FALSE))</f>
        <v>_</v>
      </c>
      <c r="L748" s="44"/>
      <c r="M748" s="5" t="s">
        <v>16</v>
      </c>
      <c r="N748" s="46" t="str">
        <f>IF(VLOOKUP(M748,βοηθητικό!$J$2:$N$354,3,FALSE)="","",VLOOKUP(M748,βοηθητικό!$J$2:$N$354,3,FALSE))</f>
        <v>_</v>
      </c>
      <c r="O748" s="47"/>
      <c r="P748" s="4" t="s">
        <v>16</v>
      </c>
      <c r="Q748" s="43" t="str">
        <f>IF(VLOOKUP(P748,βοηθητικό!$J$2:$N$354,3,FALSE)="","",VLOOKUP(P748,βοηθητικό!$J$2:$N$354,3,FALSE))</f>
        <v>_</v>
      </c>
      <c r="R748" s="44"/>
      <c r="S748" s="5" t="s">
        <v>16</v>
      </c>
      <c r="T748" s="46" t="str">
        <f>IF(VLOOKUP(S748,βοηθητικό!$J$2:$N$354,3,FALSE)="","",VLOOKUP(S748,βοηθητικό!$J$2:$N$354,3,FALSE))</f>
        <v>_</v>
      </c>
      <c r="U748" s="47"/>
      <c r="V748" s="4" t="s">
        <v>16</v>
      </c>
      <c r="W748" s="43" t="str">
        <f>IF(VLOOKUP(V748,βοηθητικό!$J$2:$N$354,3,FALSE)="","",VLOOKUP(V748,βοηθητικό!$J$2:$N$354,3,FALSE))</f>
        <v>_</v>
      </c>
      <c r="X748" s="44"/>
      <c r="Y748" s="5" t="s">
        <v>16</v>
      </c>
      <c r="Z748" s="46" t="str">
        <f>IF(VLOOKUP(Y748,βοηθητικό!$J$2:$N$354,3,FALSE)="","",VLOOKUP(Y748,βοηθητικό!$J$2:$N$354,3,FALSE))</f>
        <v>_</v>
      </c>
      <c r="AA748" s="47"/>
      <c r="AB748" s="4" t="s">
        <v>16</v>
      </c>
      <c r="AC748" s="43" t="str">
        <f>IF(VLOOKUP(AB748,βοηθητικό!$J$2:$N$354,3,FALSE)="","",VLOOKUP(AB748,βοηθητικό!$J$2:$N$354,3,FALSE))</f>
        <v>_</v>
      </c>
      <c r="AD748" s="44"/>
      <c r="AE748" s="5" t="s">
        <v>16</v>
      </c>
      <c r="AF748" s="46" t="str">
        <f>IF(VLOOKUP(AE748,βοηθητικό!$J$2:$N$354,3,FALSE)="","",VLOOKUP(AE748,βοηθητικό!$J$2:$N$354,3,FALSE))</f>
        <v>_</v>
      </c>
      <c r="AG748" s="47"/>
      <c r="AH748" s="4" t="s">
        <v>16</v>
      </c>
      <c r="AI748" s="43" t="str">
        <f>IF(VLOOKUP(AH748,βοηθητικό!$J$2:$N$354,3,FALSE)="","",VLOOKUP(AH748,βοηθητικό!$J$2:$N$354,3,FALSE))</f>
        <v>_</v>
      </c>
      <c r="AJ748" s="44"/>
      <c r="AK748" s="5" t="s">
        <v>16</v>
      </c>
      <c r="AL748" s="46" t="str">
        <f>IF(VLOOKUP(AK748,βοηθητικό!$J$2:$N$354,3,FALSE)="","",VLOOKUP(AK748,βοηθητικό!$J$2:$N$354,3,FALSE))</f>
        <v>_</v>
      </c>
      <c r="AM748" s="47"/>
      <c r="AN748" s="4" t="s">
        <v>16</v>
      </c>
      <c r="AO748" s="43" t="str">
        <f>IF(VLOOKUP(AN748,βοηθητικό!$J$2:$N$354,3,FALSE)="","",VLOOKUP(AN748,βοηθητικό!$J$2:$N$354,3,FALSE))</f>
        <v>_</v>
      </c>
      <c r="AP748" s="44"/>
      <c r="AQ748" s="5" t="s">
        <v>16</v>
      </c>
      <c r="AR748" s="46" t="str">
        <f>IF(VLOOKUP(AQ748,βοηθητικό!$J$2:$N$354,3,FALSE)="","",VLOOKUP(AQ748,βοηθητικό!$J$2:$N$354,3,FALSE))</f>
        <v>_</v>
      </c>
      <c r="AS748" s="47"/>
      <c r="AT748" s="4" t="s">
        <v>16</v>
      </c>
      <c r="AU748" s="43" t="str">
        <f>IF(VLOOKUP(AT748,βοηθητικό!$J$2:$N$354,3,FALSE)="","",VLOOKUP(AT748,βοηθητικό!$J$2:$N$354,3,FALSE))</f>
        <v>_</v>
      </c>
      <c r="AV748" s="44"/>
      <c r="AW748" s="5" t="s">
        <v>16</v>
      </c>
      <c r="AX748" s="46" t="str">
        <f>IF(VLOOKUP(AW748,βοηθητικό!$J$2:$N$354,3,FALSE)="","",VLOOKUP(AW748,βοηθητικό!$J$2:$N$354,3,FALSE))</f>
        <v>_</v>
      </c>
      <c r="AY748" s="47"/>
      <c r="AZ748" s="4" t="s">
        <v>16</v>
      </c>
      <c r="BA748" s="43" t="str">
        <f>IF(VLOOKUP(AZ748,βοηθητικό!$J$2:$N$354,3,FALSE)="","",VLOOKUP(AZ748,βοηθητικό!$J$2:$N$354,3,FALSE))</f>
        <v>_</v>
      </c>
      <c r="BB748" s="44"/>
      <c r="BC748" s="45" t="s">
        <v>16</v>
      </c>
      <c r="BD748" s="46" t="str">
        <f>IF(VLOOKUP(BC748,βοηθητικό!$J$2:$N$354,3,FALSE)="","",VLOOKUP(BC748,βοηθητικό!$J$2:$N$354,3,FALSE))</f>
        <v>_</v>
      </c>
      <c r="BE748" s="47"/>
      <c r="BF748" s="42" t="s">
        <v>16</v>
      </c>
      <c r="BG748" s="43" t="str">
        <f>IF(VLOOKUP(BF748,βοηθητικό!$J$2:$N$354,3,FALSE)="","",VLOOKUP(BF748,βοηθητικό!$J$2:$N$354,3,FALSE))</f>
        <v>_</v>
      </c>
      <c r="BH748" s="44"/>
      <c r="BI748" s="45" t="s">
        <v>16</v>
      </c>
      <c r="BJ748" s="46" t="str">
        <f>IF(VLOOKUP(BI748,βοηθητικό!$J$2:$N$354,3,FALSE)="","",VLOOKUP(BI748,βοηθητικό!$J$2:$N$354,3,FALSE))</f>
        <v>_</v>
      </c>
      <c r="BK748" s="47"/>
      <c r="BL748" s="42" t="s">
        <v>16</v>
      </c>
      <c r="BM748" s="43" t="str">
        <f>IF(VLOOKUP(BL748,βοηθητικό!$J$2:$N$354,3,FALSE)="","",VLOOKUP(BL748,βοηθητικό!$J$2:$N$354,3,FALSE))</f>
        <v>_</v>
      </c>
      <c r="BN748" s="44"/>
      <c r="BO748" s="45" t="s">
        <v>16</v>
      </c>
      <c r="BP748" s="46" t="str">
        <f>IF(VLOOKUP(BO748,βοηθητικό!$J$2:$N$354,3,FALSE)="","",VLOOKUP(BO748,βοηθητικό!$J$2:$N$354,3,FALSE))</f>
        <v>_</v>
      </c>
      <c r="BQ748" s="47"/>
      <c r="BR748" s="42" t="s">
        <v>16</v>
      </c>
      <c r="BS748" s="43" t="str">
        <f>IF(VLOOKUP(BR748,βοηθητικό!$J$2:$N$354,3,FALSE)="","",VLOOKUP(BR748,βοηθητικό!$J$2:$N$354,3,FALSE))</f>
        <v>_</v>
      </c>
      <c r="BT748" s="44"/>
      <c r="BU748" s="45" t="s">
        <v>16</v>
      </c>
      <c r="BV748" s="46" t="str">
        <f>IF(VLOOKUP(BU748,βοηθητικό!$J$2:$N$354,3,FALSE)="","",VLOOKUP(BU748,βοηθητικό!$J$2:$N$354,3,FALSE))</f>
        <v>_</v>
      </c>
      <c r="BW748" s="47"/>
      <c r="BX748" s="42" t="s">
        <v>16</v>
      </c>
      <c r="BY748" s="43" t="str">
        <f>IF(VLOOKUP(BX748,βοηθητικό!$J$2:$N$354,3,FALSE)="","",VLOOKUP(BX748,βοηθητικό!$J$2:$N$354,3,FALSE))</f>
        <v>_</v>
      </c>
      <c r="BZ748" s="44"/>
      <c r="CA748" s="45" t="s">
        <v>16</v>
      </c>
      <c r="CB748" s="46" t="str">
        <f>IF(VLOOKUP(CA748,βοηθητικό!$J$2:$N$354,3,FALSE)="","",VLOOKUP(CA748,βοηθητικό!$J$2:$N$354,3,FALSE))</f>
        <v>_</v>
      </c>
      <c r="CC748" s="47"/>
      <c r="CD748" s="42" t="s">
        <v>16</v>
      </c>
      <c r="CE748" s="43" t="str">
        <f>IF(VLOOKUP(CD748,βοηθητικό!$J$2:$N$354,3,FALSE)="","",VLOOKUP(CD748,βοηθητικό!$J$2:$N$354,3,FALSE))</f>
        <v>_</v>
      </c>
      <c r="CF748" s="44"/>
      <c r="CG748" s="45" t="s">
        <v>16</v>
      </c>
      <c r="CH748" s="46" t="str">
        <f>IF(VLOOKUP(CG748,βοηθητικό!$J$2:$N$354,3,FALSE)="","",VLOOKUP(CG748,βοηθητικό!$J$2:$N$354,3,FALSE))</f>
        <v>_</v>
      </c>
      <c r="CI748" s="47"/>
      <c r="CJ748" s="42" t="s">
        <v>16</v>
      </c>
      <c r="CK748" s="43" t="str">
        <f>IF(VLOOKUP(CJ748,βοηθητικό!$J$2:$N$354,3,FALSE)="","",VLOOKUP(CJ748,βοηθητικό!$J$2:$N$354,3,FALSE))</f>
        <v>_</v>
      </c>
      <c r="CL748" s="44"/>
      <c r="CM748" s="45" t="s">
        <v>16</v>
      </c>
      <c r="CN748" s="46" t="str">
        <f>IF(VLOOKUP(CM748,βοηθητικό!$J$2:$N$354,3,FALSE)="","",VLOOKUP(CM748,βοηθητικό!$J$2:$N$354,3,FALSE))</f>
        <v>_</v>
      </c>
      <c r="CO748" s="47"/>
      <c r="CP748" s="42" t="s">
        <v>16</v>
      </c>
      <c r="CQ748" s="43" t="str">
        <f>IF(VLOOKUP(CP748,βοηθητικό!$J$2:$N$354,3,FALSE)="","",VLOOKUP(CP748,βοηθητικό!$J$2:$N$354,3,FALSE))</f>
        <v>_</v>
      </c>
      <c r="CR748" s="44"/>
      <c r="CS748" s="45" t="s">
        <v>16</v>
      </c>
      <c r="CT748" s="46" t="str">
        <f>IF(VLOOKUP(CS748,βοηθητικό!$J$2:$N$354,3,FALSE)="","",VLOOKUP(CS748,βοηθητικό!$J$2:$N$354,3,FALSE))</f>
        <v>_</v>
      </c>
      <c r="CU748" s="47"/>
    </row>
    <row r="749" spans="1:99" x14ac:dyDescent="0.25">
      <c r="A749" s="37">
        <f>--SUBTOTAL(3,$B$3:B748)</f>
        <v>198</v>
      </c>
      <c r="B749" s="2"/>
      <c r="C749" s="3"/>
      <c r="D749" s="55" t="s">
        <v>18</v>
      </c>
      <c r="E749" s="38" t="s">
        <v>16</v>
      </c>
      <c r="F749" s="38"/>
      <c r="G749" s="39" t="str">
        <f t="shared" si="35"/>
        <v>__</v>
      </c>
      <c r="H749" s="40" t="str">
        <f t="shared" si="36"/>
        <v>FALSE</v>
      </c>
      <c r="I749" s="41">
        <f t="shared" si="37"/>
        <v>0</v>
      </c>
      <c r="J749" s="4" t="s">
        <v>16</v>
      </c>
      <c r="K749" s="43" t="str">
        <f>IF(VLOOKUP(J749,βοηθητικό!$J$2:$N$354,3,FALSE)="","",VLOOKUP(J749,βοηθητικό!$J$2:$N$354,3,FALSE))</f>
        <v>_</v>
      </c>
      <c r="L749" s="44"/>
      <c r="M749" s="5" t="s">
        <v>16</v>
      </c>
      <c r="N749" s="46" t="str">
        <f>IF(VLOOKUP(M749,βοηθητικό!$J$2:$N$354,3,FALSE)="","",VLOOKUP(M749,βοηθητικό!$J$2:$N$354,3,FALSE))</f>
        <v>_</v>
      </c>
      <c r="O749" s="47"/>
      <c r="P749" s="4" t="s">
        <v>16</v>
      </c>
      <c r="Q749" s="43" t="str">
        <f>IF(VLOOKUP(P749,βοηθητικό!$J$2:$N$354,3,FALSE)="","",VLOOKUP(P749,βοηθητικό!$J$2:$N$354,3,FALSE))</f>
        <v>_</v>
      </c>
      <c r="R749" s="44"/>
      <c r="S749" s="5" t="s">
        <v>16</v>
      </c>
      <c r="T749" s="46" t="str">
        <f>IF(VLOOKUP(S749,βοηθητικό!$J$2:$N$354,3,FALSE)="","",VLOOKUP(S749,βοηθητικό!$J$2:$N$354,3,FALSE))</f>
        <v>_</v>
      </c>
      <c r="U749" s="47"/>
      <c r="V749" s="4" t="s">
        <v>16</v>
      </c>
      <c r="W749" s="43" t="str">
        <f>IF(VLOOKUP(V749,βοηθητικό!$J$2:$N$354,3,FALSE)="","",VLOOKUP(V749,βοηθητικό!$J$2:$N$354,3,FALSE))</f>
        <v>_</v>
      </c>
      <c r="X749" s="44"/>
      <c r="Y749" s="5" t="s">
        <v>16</v>
      </c>
      <c r="Z749" s="46" t="str">
        <f>IF(VLOOKUP(Y749,βοηθητικό!$J$2:$N$354,3,FALSE)="","",VLOOKUP(Y749,βοηθητικό!$J$2:$N$354,3,FALSE))</f>
        <v>_</v>
      </c>
      <c r="AA749" s="47"/>
      <c r="AB749" s="4" t="s">
        <v>16</v>
      </c>
      <c r="AC749" s="43" t="str">
        <f>IF(VLOOKUP(AB749,βοηθητικό!$J$2:$N$354,3,FALSE)="","",VLOOKUP(AB749,βοηθητικό!$J$2:$N$354,3,FALSE))</f>
        <v>_</v>
      </c>
      <c r="AD749" s="44"/>
      <c r="AE749" s="5" t="s">
        <v>16</v>
      </c>
      <c r="AF749" s="46" t="str">
        <f>IF(VLOOKUP(AE749,βοηθητικό!$J$2:$N$354,3,FALSE)="","",VLOOKUP(AE749,βοηθητικό!$J$2:$N$354,3,FALSE))</f>
        <v>_</v>
      </c>
      <c r="AG749" s="47"/>
      <c r="AH749" s="4" t="s">
        <v>16</v>
      </c>
      <c r="AI749" s="43" t="str">
        <f>IF(VLOOKUP(AH749,βοηθητικό!$J$2:$N$354,3,FALSE)="","",VLOOKUP(AH749,βοηθητικό!$J$2:$N$354,3,FALSE))</f>
        <v>_</v>
      </c>
      <c r="AJ749" s="44"/>
      <c r="AK749" s="5" t="s">
        <v>16</v>
      </c>
      <c r="AL749" s="46" t="str">
        <f>IF(VLOOKUP(AK749,βοηθητικό!$J$2:$N$354,3,FALSE)="","",VLOOKUP(AK749,βοηθητικό!$J$2:$N$354,3,FALSE))</f>
        <v>_</v>
      </c>
      <c r="AM749" s="47"/>
      <c r="AN749" s="4" t="s">
        <v>16</v>
      </c>
      <c r="AO749" s="43" t="str">
        <f>IF(VLOOKUP(AN749,βοηθητικό!$J$2:$N$354,3,FALSE)="","",VLOOKUP(AN749,βοηθητικό!$J$2:$N$354,3,FALSE))</f>
        <v>_</v>
      </c>
      <c r="AP749" s="44"/>
      <c r="AQ749" s="5" t="s">
        <v>16</v>
      </c>
      <c r="AR749" s="46" t="str">
        <f>IF(VLOOKUP(AQ749,βοηθητικό!$J$2:$N$354,3,FALSE)="","",VLOOKUP(AQ749,βοηθητικό!$J$2:$N$354,3,FALSE))</f>
        <v>_</v>
      </c>
      <c r="AS749" s="47"/>
      <c r="AT749" s="4" t="s">
        <v>16</v>
      </c>
      <c r="AU749" s="43" t="str">
        <f>IF(VLOOKUP(AT749,βοηθητικό!$J$2:$N$354,3,FALSE)="","",VLOOKUP(AT749,βοηθητικό!$J$2:$N$354,3,FALSE))</f>
        <v>_</v>
      </c>
      <c r="AV749" s="44"/>
      <c r="AW749" s="5" t="s">
        <v>16</v>
      </c>
      <c r="AX749" s="46" t="str">
        <f>IF(VLOOKUP(AW749,βοηθητικό!$J$2:$N$354,3,FALSE)="","",VLOOKUP(AW749,βοηθητικό!$J$2:$N$354,3,FALSE))</f>
        <v>_</v>
      </c>
      <c r="AY749" s="47"/>
      <c r="AZ749" s="4" t="s">
        <v>16</v>
      </c>
      <c r="BA749" s="43" t="str">
        <f>IF(VLOOKUP(AZ749,βοηθητικό!$J$2:$N$354,3,FALSE)="","",VLOOKUP(AZ749,βοηθητικό!$J$2:$N$354,3,FALSE))</f>
        <v>_</v>
      </c>
      <c r="BB749" s="44"/>
      <c r="BC749" s="45" t="s">
        <v>16</v>
      </c>
      <c r="BD749" s="46" t="str">
        <f>IF(VLOOKUP(BC749,βοηθητικό!$J$2:$N$354,3,FALSE)="","",VLOOKUP(BC749,βοηθητικό!$J$2:$N$354,3,FALSE))</f>
        <v>_</v>
      </c>
      <c r="BE749" s="47"/>
      <c r="BF749" s="42" t="s">
        <v>16</v>
      </c>
      <c r="BG749" s="43" t="str">
        <f>IF(VLOOKUP(BF749,βοηθητικό!$J$2:$N$354,3,FALSE)="","",VLOOKUP(BF749,βοηθητικό!$J$2:$N$354,3,FALSE))</f>
        <v>_</v>
      </c>
      <c r="BH749" s="44"/>
      <c r="BI749" s="45" t="s">
        <v>16</v>
      </c>
      <c r="BJ749" s="46" t="str">
        <f>IF(VLOOKUP(BI749,βοηθητικό!$J$2:$N$354,3,FALSE)="","",VLOOKUP(BI749,βοηθητικό!$J$2:$N$354,3,FALSE))</f>
        <v>_</v>
      </c>
      <c r="BK749" s="47"/>
      <c r="BL749" s="42" t="s">
        <v>16</v>
      </c>
      <c r="BM749" s="43" t="str">
        <f>IF(VLOOKUP(BL749,βοηθητικό!$J$2:$N$354,3,FALSE)="","",VLOOKUP(BL749,βοηθητικό!$J$2:$N$354,3,FALSE))</f>
        <v>_</v>
      </c>
      <c r="BN749" s="44"/>
      <c r="BO749" s="45" t="s">
        <v>16</v>
      </c>
      <c r="BP749" s="46" t="str">
        <f>IF(VLOOKUP(BO749,βοηθητικό!$J$2:$N$354,3,FALSE)="","",VLOOKUP(BO749,βοηθητικό!$J$2:$N$354,3,FALSE))</f>
        <v>_</v>
      </c>
      <c r="BQ749" s="47"/>
      <c r="BR749" s="42" t="s">
        <v>16</v>
      </c>
      <c r="BS749" s="43" t="str">
        <f>IF(VLOOKUP(BR749,βοηθητικό!$J$2:$N$354,3,FALSE)="","",VLOOKUP(BR749,βοηθητικό!$J$2:$N$354,3,FALSE))</f>
        <v>_</v>
      </c>
      <c r="BT749" s="44"/>
      <c r="BU749" s="45" t="s">
        <v>16</v>
      </c>
      <c r="BV749" s="46" t="str">
        <f>IF(VLOOKUP(BU749,βοηθητικό!$J$2:$N$354,3,FALSE)="","",VLOOKUP(BU749,βοηθητικό!$J$2:$N$354,3,FALSE))</f>
        <v>_</v>
      </c>
      <c r="BW749" s="47"/>
      <c r="BX749" s="42" t="s">
        <v>16</v>
      </c>
      <c r="BY749" s="43" t="str">
        <f>IF(VLOOKUP(BX749,βοηθητικό!$J$2:$N$354,3,FALSE)="","",VLOOKUP(BX749,βοηθητικό!$J$2:$N$354,3,FALSE))</f>
        <v>_</v>
      </c>
      <c r="BZ749" s="44"/>
      <c r="CA749" s="45" t="s">
        <v>16</v>
      </c>
      <c r="CB749" s="46" t="str">
        <f>IF(VLOOKUP(CA749,βοηθητικό!$J$2:$N$354,3,FALSE)="","",VLOOKUP(CA749,βοηθητικό!$J$2:$N$354,3,FALSE))</f>
        <v>_</v>
      </c>
      <c r="CC749" s="47"/>
      <c r="CD749" s="42" t="s">
        <v>16</v>
      </c>
      <c r="CE749" s="43" t="str">
        <f>IF(VLOOKUP(CD749,βοηθητικό!$J$2:$N$354,3,FALSE)="","",VLOOKUP(CD749,βοηθητικό!$J$2:$N$354,3,FALSE))</f>
        <v>_</v>
      </c>
      <c r="CF749" s="44"/>
      <c r="CG749" s="45" t="s">
        <v>16</v>
      </c>
      <c r="CH749" s="46" t="str">
        <f>IF(VLOOKUP(CG749,βοηθητικό!$J$2:$N$354,3,FALSE)="","",VLOOKUP(CG749,βοηθητικό!$J$2:$N$354,3,FALSE))</f>
        <v>_</v>
      </c>
      <c r="CI749" s="47"/>
      <c r="CJ749" s="42" t="s">
        <v>16</v>
      </c>
      <c r="CK749" s="43" t="str">
        <f>IF(VLOOKUP(CJ749,βοηθητικό!$J$2:$N$354,3,FALSE)="","",VLOOKUP(CJ749,βοηθητικό!$J$2:$N$354,3,FALSE))</f>
        <v>_</v>
      </c>
      <c r="CL749" s="44"/>
      <c r="CM749" s="45" t="s">
        <v>16</v>
      </c>
      <c r="CN749" s="46" t="str">
        <f>IF(VLOOKUP(CM749,βοηθητικό!$J$2:$N$354,3,FALSE)="","",VLOOKUP(CM749,βοηθητικό!$J$2:$N$354,3,FALSE))</f>
        <v>_</v>
      </c>
      <c r="CO749" s="47"/>
      <c r="CP749" s="42" t="s">
        <v>16</v>
      </c>
      <c r="CQ749" s="43" t="str">
        <f>IF(VLOOKUP(CP749,βοηθητικό!$J$2:$N$354,3,FALSE)="","",VLOOKUP(CP749,βοηθητικό!$J$2:$N$354,3,FALSE))</f>
        <v>_</v>
      </c>
      <c r="CR749" s="44"/>
      <c r="CS749" s="45" t="s">
        <v>16</v>
      </c>
      <c r="CT749" s="46" t="str">
        <f>IF(VLOOKUP(CS749,βοηθητικό!$J$2:$N$354,3,FALSE)="","",VLOOKUP(CS749,βοηθητικό!$J$2:$N$354,3,FALSE))</f>
        <v>_</v>
      </c>
      <c r="CU749" s="47"/>
    </row>
    <row r="750" spans="1:99" x14ac:dyDescent="0.25">
      <c r="A750" s="37">
        <f>--SUBTOTAL(3,$B$3:B749)</f>
        <v>198</v>
      </c>
      <c r="B750" s="2"/>
      <c r="C750" s="3"/>
      <c r="D750" s="55" t="s">
        <v>18</v>
      </c>
      <c r="E750" s="38" t="s">
        <v>16</v>
      </c>
      <c r="F750" s="38"/>
      <c r="G750" s="39" t="str">
        <f t="shared" si="35"/>
        <v>__</v>
      </c>
      <c r="H750" s="40" t="str">
        <f t="shared" si="36"/>
        <v>FALSE</v>
      </c>
      <c r="I750" s="41">
        <f t="shared" si="37"/>
        <v>0</v>
      </c>
      <c r="J750" s="4" t="s">
        <v>16</v>
      </c>
      <c r="K750" s="43" t="str">
        <f>IF(VLOOKUP(J750,βοηθητικό!$J$2:$N$354,3,FALSE)="","",VLOOKUP(J750,βοηθητικό!$J$2:$N$354,3,FALSE))</f>
        <v>_</v>
      </c>
      <c r="L750" s="44"/>
      <c r="M750" s="5" t="s">
        <v>16</v>
      </c>
      <c r="N750" s="46" t="str">
        <f>IF(VLOOKUP(M750,βοηθητικό!$J$2:$N$354,3,FALSE)="","",VLOOKUP(M750,βοηθητικό!$J$2:$N$354,3,FALSE))</f>
        <v>_</v>
      </c>
      <c r="O750" s="47"/>
      <c r="P750" s="4" t="s">
        <v>16</v>
      </c>
      <c r="Q750" s="43" t="str">
        <f>IF(VLOOKUP(P750,βοηθητικό!$J$2:$N$354,3,FALSE)="","",VLOOKUP(P750,βοηθητικό!$J$2:$N$354,3,FALSE))</f>
        <v>_</v>
      </c>
      <c r="R750" s="44"/>
      <c r="S750" s="5" t="s">
        <v>16</v>
      </c>
      <c r="T750" s="46" t="str">
        <f>IF(VLOOKUP(S750,βοηθητικό!$J$2:$N$354,3,FALSE)="","",VLOOKUP(S750,βοηθητικό!$J$2:$N$354,3,FALSE))</f>
        <v>_</v>
      </c>
      <c r="U750" s="47"/>
      <c r="V750" s="4" t="s">
        <v>16</v>
      </c>
      <c r="W750" s="43" t="str">
        <f>IF(VLOOKUP(V750,βοηθητικό!$J$2:$N$354,3,FALSE)="","",VLOOKUP(V750,βοηθητικό!$J$2:$N$354,3,FALSE))</f>
        <v>_</v>
      </c>
      <c r="X750" s="44"/>
      <c r="Y750" s="5" t="s">
        <v>16</v>
      </c>
      <c r="Z750" s="46" t="str">
        <f>IF(VLOOKUP(Y750,βοηθητικό!$J$2:$N$354,3,FALSE)="","",VLOOKUP(Y750,βοηθητικό!$J$2:$N$354,3,FALSE))</f>
        <v>_</v>
      </c>
      <c r="AA750" s="47"/>
      <c r="AB750" s="4" t="s">
        <v>16</v>
      </c>
      <c r="AC750" s="43" t="str">
        <f>IF(VLOOKUP(AB750,βοηθητικό!$J$2:$N$354,3,FALSE)="","",VLOOKUP(AB750,βοηθητικό!$J$2:$N$354,3,FALSE))</f>
        <v>_</v>
      </c>
      <c r="AD750" s="44"/>
      <c r="AE750" s="5" t="s">
        <v>16</v>
      </c>
      <c r="AF750" s="46" t="str">
        <f>IF(VLOOKUP(AE750,βοηθητικό!$J$2:$N$354,3,FALSE)="","",VLOOKUP(AE750,βοηθητικό!$J$2:$N$354,3,FALSE))</f>
        <v>_</v>
      </c>
      <c r="AG750" s="47"/>
      <c r="AH750" s="4" t="s">
        <v>16</v>
      </c>
      <c r="AI750" s="43" t="str">
        <f>IF(VLOOKUP(AH750,βοηθητικό!$J$2:$N$354,3,FALSE)="","",VLOOKUP(AH750,βοηθητικό!$J$2:$N$354,3,FALSE))</f>
        <v>_</v>
      </c>
      <c r="AJ750" s="44"/>
      <c r="AK750" s="5" t="s">
        <v>16</v>
      </c>
      <c r="AL750" s="46" t="str">
        <f>IF(VLOOKUP(AK750,βοηθητικό!$J$2:$N$354,3,FALSE)="","",VLOOKUP(AK750,βοηθητικό!$J$2:$N$354,3,FALSE))</f>
        <v>_</v>
      </c>
      <c r="AM750" s="47"/>
      <c r="AN750" s="4" t="s">
        <v>16</v>
      </c>
      <c r="AO750" s="43" t="str">
        <f>IF(VLOOKUP(AN750,βοηθητικό!$J$2:$N$354,3,FALSE)="","",VLOOKUP(AN750,βοηθητικό!$J$2:$N$354,3,FALSE))</f>
        <v>_</v>
      </c>
      <c r="AP750" s="44"/>
      <c r="AQ750" s="5" t="s">
        <v>16</v>
      </c>
      <c r="AR750" s="46" t="str">
        <f>IF(VLOOKUP(AQ750,βοηθητικό!$J$2:$N$354,3,FALSE)="","",VLOOKUP(AQ750,βοηθητικό!$J$2:$N$354,3,FALSE))</f>
        <v>_</v>
      </c>
      <c r="AS750" s="47"/>
      <c r="AT750" s="4" t="s">
        <v>16</v>
      </c>
      <c r="AU750" s="43" t="str">
        <f>IF(VLOOKUP(AT750,βοηθητικό!$J$2:$N$354,3,FALSE)="","",VLOOKUP(AT750,βοηθητικό!$J$2:$N$354,3,FALSE))</f>
        <v>_</v>
      </c>
      <c r="AV750" s="44"/>
      <c r="AW750" s="5" t="s">
        <v>16</v>
      </c>
      <c r="AX750" s="46" t="str">
        <f>IF(VLOOKUP(AW750,βοηθητικό!$J$2:$N$354,3,FALSE)="","",VLOOKUP(AW750,βοηθητικό!$J$2:$N$354,3,FALSE))</f>
        <v>_</v>
      </c>
      <c r="AY750" s="47"/>
      <c r="AZ750" s="4" t="s">
        <v>16</v>
      </c>
      <c r="BA750" s="43" t="str">
        <f>IF(VLOOKUP(AZ750,βοηθητικό!$J$2:$N$354,3,FALSE)="","",VLOOKUP(AZ750,βοηθητικό!$J$2:$N$354,3,FALSE))</f>
        <v>_</v>
      </c>
      <c r="BB750" s="44"/>
      <c r="BC750" s="45" t="s">
        <v>16</v>
      </c>
      <c r="BD750" s="46" t="str">
        <f>IF(VLOOKUP(BC750,βοηθητικό!$J$2:$N$354,3,FALSE)="","",VLOOKUP(BC750,βοηθητικό!$J$2:$N$354,3,FALSE))</f>
        <v>_</v>
      </c>
      <c r="BE750" s="47"/>
      <c r="BF750" s="42" t="s">
        <v>16</v>
      </c>
      <c r="BG750" s="43" t="str">
        <f>IF(VLOOKUP(BF750,βοηθητικό!$J$2:$N$354,3,FALSE)="","",VLOOKUP(BF750,βοηθητικό!$J$2:$N$354,3,FALSE))</f>
        <v>_</v>
      </c>
      <c r="BH750" s="44"/>
      <c r="BI750" s="45" t="s">
        <v>16</v>
      </c>
      <c r="BJ750" s="46" t="str">
        <f>IF(VLOOKUP(BI750,βοηθητικό!$J$2:$N$354,3,FALSE)="","",VLOOKUP(BI750,βοηθητικό!$J$2:$N$354,3,FALSE))</f>
        <v>_</v>
      </c>
      <c r="BK750" s="47"/>
      <c r="BL750" s="42" t="s">
        <v>16</v>
      </c>
      <c r="BM750" s="43" t="str">
        <f>IF(VLOOKUP(BL750,βοηθητικό!$J$2:$N$354,3,FALSE)="","",VLOOKUP(BL750,βοηθητικό!$J$2:$N$354,3,FALSE))</f>
        <v>_</v>
      </c>
      <c r="BN750" s="44"/>
      <c r="BO750" s="45" t="s">
        <v>16</v>
      </c>
      <c r="BP750" s="46" t="str">
        <f>IF(VLOOKUP(BO750,βοηθητικό!$J$2:$N$354,3,FALSE)="","",VLOOKUP(BO750,βοηθητικό!$J$2:$N$354,3,FALSE))</f>
        <v>_</v>
      </c>
      <c r="BQ750" s="47"/>
      <c r="BR750" s="42" t="s">
        <v>16</v>
      </c>
      <c r="BS750" s="43" t="str">
        <f>IF(VLOOKUP(BR750,βοηθητικό!$J$2:$N$354,3,FALSE)="","",VLOOKUP(BR750,βοηθητικό!$J$2:$N$354,3,FALSE))</f>
        <v>_</v>
      </c>
      <c r="BT750" s="44"/>
      <c r="BU750" s="45" t="s">
        <v>16</v>
      </c>
      <c r="BV750" s="46" t="str">
        <f>IF(VLOOKUP(BU750,βοηθητικό!$J$2:$N$354,3,FALSE)="","",VLOOKUP(BU750,βοηθητικό!$J$2:$N$354,3,FALSE))</f>
        <v>_</v>
      </c>
      <c r="BW750" s="47"/>
      <c r="BX750" s="42" t="s">
        <v>16</v>
      </c>
      <c r="BY750" s="43" t="str">
        <f>IF(VLOOKUP(BX750,βοηθητικό!$J$2:$N$354,3,FALSE)="","",VLOOKUP(BX750,βοηθητικό!$J$2:$N$354,3,FALSE))</f>
        <v>_</v>
      </c>
      <c r="BZ750" s="44"/>
      <c r="CA750" s="45" t="s">
        <v>16</v>
      </c>
      <c r="CB750" s="46" t="str">
        <f>IF(VLOOKUP(CA750,βοηθητικό!$J$2:$N$354,3,FALSE)="","",VLOOKUP(CA750,βοηθητικό!$J$2:$N$354,3,FALSE))</f>
        <v>_</v>
      </c>
      <c r="CC750" s="47"/>
      <c r="CD750" s="42" t="s">
        <v>16</v>
      </c>
      <c r="CE750" s="43" t="str">
        <f>IF(VLOOKUP(CD750,βοηθητικό!$J$2:$N$354,3,FALSE)="","",VLOOKUP(CD750,βοηθητικό!$J$2:$N$354,3,FALSE))</f>
        <v>_</v>
      </c>
      <c r="CF750" s="44"/>
      <c r="CG750" s="45" t="s">
        <v>16</v>
      </c>
      <c r="CH750" s="46" t="str">
        <f>IF(VLOOKUP(CG750,βοηθητικό!$J$2:$N$354,3,FALSE)="","",VLOOKUP(CG750,βοηθητικό!$J$2:$N$354,3,FALSE))</f>
        <v>_</v>
      </c>
      <c r="CI750" s="47"/>
      <c r="CJ750" s="42" t="s">
        <v>16</v>
      </c>
      <c r="CK750" s="43" t="str">
        <f>IF(VLOOKUP(CJ750,βοηθητικό!$J$2:$N$354,3,FALSE)="","",VLOOKUP(CJ750,βοηθητικό!$J$2:$N$354,3,FALSE))</f>
        <v>_</v>
      </c>
      <c r="CL750" s="44"/>
      <c r="CM750" s="45" t="s">
        <v>16</v>
      </c>
      <c r="CN750" s="46" t="str">
        <f>IF(VLOOKUP(CM750,βοηθητικό!$J$2:$N$354,3,FALSE)="","",VLOOKUP(CM750,βοηθητικό!$J$2:$N$354,3,FALSE))</f>
        <v>_</v>
      </c>
      <c r="CO750" s="47"/>
      <c r="CP750" s="42" t="s">
        <v>16</v>
      </c>
      <c r="CQ750" s="43" t="str">
        <f>IF(VLOOKUP(CP750,βοηθητικό!$J$2:$N$354,3,FALSE)="","",VLOOKUP(CP750,βοηθητικό!$J$2:$N$354,3,FALSE))</f>
        <v>_</v>
      </c>
      <c r="CR750" s="44"/>
      <c r="CS750" s="45" t="s">
        <v>16</v>
      </c>
      <c r="CT750" s="46" t="str">
        <f>IF(VLOOKUP(CS750,βοηθητικό!$J$2:$N$354,3,FALSE)="","",VLOOKUP(CS750,βοηθητικό!$J$2:$N$354,3,FALSE))</f>
        <v>_</v>
      </c>
      <c r="CU750" s="47"/>
    </row>
    <row r="751" spans="1:99" x14ac:dyDescent="0.25">
      <c r="A751" s="37">
        <f>--SUBTOTAL(3,$B$3:B750)</f>
        <v>198</v>
      </c>
      <c r="B751" s="2"/>
      <c r="C751" s="3"/>
      <c r="D751" s="55" t="s">
        <v>18</v>
      </c>
      <c r="E751" s="38" t="s">
        <v>16</v>
      </c>
      <c r="F751" s="38"/>
      <c r="G751" s="39" t="str">
        <f t="shared" si="35"/>
        <v>__</v>
      </c>
      <c r="H751" s="40" t="str">
        <f t="shared" si="36"/>
        <v>FALSE</v>
      </c>
      <c r="I751" s="41">
        <f t="shared" si="37"/>
        <v>0</v>
      </c>
      <c r="J751" s="4" t="s">
        <v>16</v>
      </c>
      <c r="K751" s="43" t="str">
        <f>IF(VLOOKUP(J751,βοηθητικό!$J$2:$N$354,3,FALSE)="","",VLOOKUP(J751,βοηθητικό!$J$2:$N$354,3,FALSE))</f>
        <v>_</v>
      </c>
      <c r="L751" s="44"/>
      <c r="M751" s="5" t="s">
        <v>16</v>
      </c>
      <c r="N751" s="46" t="str">
        <f>IF(VLOOKUP(M751,βοηθητικό!$J$2:$N$354,3,FALSE)="","",VLOOKUP(M751,βοηθητικό!$J$2:$N$354,3,FALSE))</f>
        <v>_</v>
      </c>
      <c r="O751" s="47"/>
      <c r="P751" s="4" t="s">
        <v>16</v>
      </c>
      <c r="Q751" s="43" t="str">
        <f>IF(VLOOKUP(P751,βοηθητικό!$J$2:$N$354,3,FALSE)="","",VLOOKUP(P751,βοηθητικό!$J$2:$N$354,3,FALSE))</f>
        <v>_</v>
      </c>
      <c r="R751" s="44"/>
      <c r="S751" s="5" t="s">
        <v>16</v>
      </c>
      <c r="T751" s="46" t="str">
        <f>IF(VLOOKUP(S751,βοηθητικό!$J$2:$N$354,3,FALSE)="","",VLOOKUP(S751,βοηθητικό!$J$2:$N$354,3,FALSE))</f>
        <v>_</v>
      </c>
      <c r="U751" s="47"/>
      <c r="V751" s="4" t="s">
        <v>16</v>
      </c>
      <c r="W751" s="43" t="str">
        <f>IF(VLOOKUP(V751,βοηθητικό!$J$2:$N$354,3,FALSE)="","",VLOOKUP(V751,βοηθητικό!$J$2:$N$354,3,FALSE))</f>
        <v>_</v>
      </c>
      <c r="X751" s="44"/>
      <c r="Y751" s="5" t="s">
        <v>16</v>
      </c>
      <c r="Z751" s="46" t="str">
        <f>IF(VLOOKUP(Y751,βοηθητικό!$J$2:$N$354,3,FALSE)="","",VLOOKUP(Y751,βοηθητικό!$J$2:$N$354,3,FALSE))</f>
        <v>_</v>
      </c>
      <c r="AA751" s="47"/>
      <c r="AB751" s="4" t="s">
        <v>16</v>
      </c>
      <c r="AC751" s="43" t="str">
        <f>IF(VLOOKUP(AB751,βοηθητικό!$J$2:$N$354,3,FALSE)="","",VLOOKUP(AB751,βοηθητικό!$J$2:$N$354,3,FALSE))</f>
        <v>_</v>
      </c>
      <c r="AD751" s="44"/>
      <c r="AE751" s="5" t="s">
        <v>16</v>
      </c>
      <c r="AF751" s="46" t="str">
        <f>IF(VLOOKUP(AE751,βοηθητικό!$J$2:$N$354,3,FALSE)="","",VLOOKUP(AE751,βοηθητικό!$J$2:$N$354,3,FALSE))</f>
        <v>_</v>
      </c>
      <c r="AG751" s="47"/>
      <c r="AH751" s="4" t="s">
        <v>16</v>
      </c>
      <c r="AI751" s="43" t="str">
        <f>IF(VLOOKUP(AH751,βοηθητικό!$J$2:$N$354,3,FALSE)="","",VLOOKUP(AH751,βοηθητικό!$J$2:$N$354,3,FALSE))</f>
        <v>_</v>
      </c>
      <c r="AJ751" s="44"/>
      <c r="AK751" s="5" t="s">
        <v>16</v>
      </c>
      <c r="AL751" s="46" t="str">
        <f>IF(VLOOKUP(AK751,βοηθητικό!$J$2:$N$354,3,FALSE)="","",VLOOKUP(AK751,βοηθητικό!$J$2:$N$354,3,FALSE))</f>
        <v>_</v>
      </c>
      <c r="AM751" s="47"/>
      <c r="AN751" s="4" t="s">
        <v>16</v>
      </c>
      <c r="AO751" s="43" t="str">
        <f>IF(VLOOKUP(AN751,βοηθητικό!$J$2:$N$354,3,FALSE)="","",VLOOKUP(AN751,βοηθητικό!$J$2:$N$354,3,FALSE))</f>
        <v>_</v>
      </c>
      <c r="AP751" s="44"/>
      <c r="AQ751" s="5" t="s">
        <v>16</v>
      </c>
      <c r="AR751" s="46" t="str">
        <f>IF(VLOOKUP(AQ751,βοηθητικό!$J$2:$N$354,3,FALSE)="","",VLOOKUP(AQ751,βοηθητικό!$J$2:$N$354,3,FALSE))</f>
        <v>_</v>
      </c>
      <c r="AS751" s="47"/>
      <c r="AT751" s="4" t="s">
        <v>16</v>
      </c>
      <c r="AU751" s="43" t="str">
        <f>IF(VLOOKUP(AT751,βοηθητικό!$J$2:$N$354,3,FALSE)="","",VLOOKUP(AT751,βοηθητικό!$J$2:$N$354,3,FALSE))</f>
        <v>_</v>
      </c>
      <c r="AV751" s="44"/>
      <c r="AW751" s="5" t="s">
        <v>16</v>
      </c>
      <c r="AX751" s="46" t="str">
        <f>IF(VLOOKUP(AW751,βοηθητικό!$J$2:$N$354,3,FALSE)="","",VLOOKUP(AW751,βοηθητικό!$J$2:$N$354,3,FALSE))</f>
        <v>_</v>
      </c>
      <c r="AY751" s="47"/>
      <c r="AZ751" s="4" t="s">
        <v>16</v>
      </c>
      <c r="BA751" s="43" t="str">
        <f>IF(VLOOKUP(AZ751,βοηθητικό!$J$2:$N$354,3,FALSE)="","",VLOOKUP(AZ751,βοηθητικό!$J$2:$N$354,3,FALSE))</f>
        <v>_</v>
      </c>
      <c r="BB751" s="44"/>
      <c r="BC751" s="45" t="s">
        <v>16</v>
      </c>
      <c r="BD751" s="46" t="str">
        <f>IF(VLOOKUP(BC751,βοηθητικό!$J$2:$N$354,3,FALSE)="","",VLOOKUP(BC751,βοηθητικό!$J$2:$N$354,3,FALSE))</f>
        <v>_</v>
      </c>
      <c r="BE751" s="47"/>
      <c r="BF751" s="42" t="s">
        <v>16</v>
      </c>
      <c r="BG751" s="43" t="str">
        <f>IF(VLOOKUP(BF751,βοηθητικό!$J$2:$N$354,3,FALSE)="","",VLOOKUP(BF751,βοηθητικό!$J$2:$N$354,3,FALSE))</f>
        <v>_</v>
      </c>
      <c r="BH751" s="44"/>
      <c r="BI751" s="45" t="s">
        <v>16</v>
      </c>
      <c r="BJ751" s="46" t="str">
        <f>IF(VLOOKUP(BI751,βοηθητικό!$J$2:$N$354,3,FALSE)="","",VLOOKUP(BI751,βοηθητικό!$J$2:$N$354,3,FALSE))</f>
        <v>_</v>
      </c>
      <c r="BK751" s="47"/>
      <c r="BL751" s="42" t="s">
        <v>16</v>
      </c>
      <c r="BM751" s="43" t="str">
        <f>IF(VLOOKUP(BL751,βοηθητικό!$J$2:$N$354,3,FALSE)="","",VLOOKUP(BL751,βοηθητικό!$J$2:$N$354,3,FALSE))</f>
        <v>_</v>
      </c>
      <c r="BN751" s="44"/>
      <c r="BO751" s="45" t="s">
        <v>16</v>
      </c>
      <c r="BP751" s="46" t="str">
        <f>IF(VLOOKUP(BO751,βοηθητικό!$J$2:$N$354,3,FALSE)="","",VLOOKUP(BO751,βοηθητικό!$J$2:$N$354,3,FALSE))</f>
        <v>_</v>
      </c>
      <c r="BQ751" s="47"/>
      <c r="BR751" s="42" t="s">
        <v>16</v>
      </c>
      <c r="BS751" s="43" t="str">
        <f>IF(VLOOKUP(BR751,βοηθητικό!$J$2:$N$354,3,FALSE)="","",VLOOKUP(BR751,βοηθητικό!$J$2:$N$354,3,FALSE))</f>
        <v>_</v>
      </c>
      <c r="BT751" s="44"/>
      <c r="BU751" s="45" t="s">
        <v>16</v>
      </c>
      <c r="BV751" s="46" t="str">
        <f>IF(VLOOKUP(BU751,βοηθητικό!$J$2:$N$354,3,FALSE)="","",VLOOKUP(BU751,βοηθητικό!$J$2:$N$354,3,FALSE))</f>
        <v>_</v>
      </c>
      <c r="BW751" s="47"/>
      <c r="BX751" s="42" t="s">
        <v>16</v>
      </c>
      <c r="BY751" s="43" t="str">
        <f>IF(VLOOKUP(BX751,βοηθητικό!$J$2:$N$354,3,FALSE)="","",VLOOKUP(BX751,βοηθητικό!$J$2:$N$354,3,FALSE))</f>
        <v>_</v>
      </c>
      <c r="BZ751" s="44"/>
      <c r="CA751" s="45" t="s">
        <v>16</v>
      </c>
      <c r="CB751" s="46" t="str">
        <f>IF(VLOOKUP(CA751,βοηθητικό!$J$2:$N$354,3,FALSE)="","",VLOOKUP(CA751,βοηθητικό!$J$2:$N$354,3,FALSE))</f>
        <v>_</v>
      </c>
      <c r="CC751" s="47"/>
      <c r="CD751" s="42" t="s">
        <v>16</v>
      </c>
      <c r="CE751" s="43" t="str">
        <f>IF(VLOOKUP(CD751,βοηθητικό!$J$2:$N$354,3,FALSE)="","",VLOOKUP(CD751,βοηθητικό!$J$2:$N$354,3,FALSE))</f>
        <v>_</v>
      </c>
      <c r="CF751" s="44"/>
      <c r="CG751" s="45" t="s">
        <v>16</v>
      </c>
      <c r="CH751" s="46" t="str">
        <f>IF(VLOOKUP(CG751,βοηθητικό!$J$2:$N$354,3,FALSE)="","",VLOOKUP(CG751,βοηθητικό!$J$2:$N$354,3,FALSE))</f>
        <v>_</v>
      </c>
      <c r="CI751" s="47"/>
      <c r="CJ751" s="42" t="s">
        <v>16</v>
      </c>
      <c r="CK751" s="43" t="str">
        <f>IF(VLOOKUP(CJ751,βοηθητικό!$J$2:$N$354,3,FALSE)="","",VLOOKUP(CJ751,βοηθητικό!$J$2:$N$354,3,FALSE))</f>
        <v>_</v>
      </c>
      <c r="CL751" s="44"/>
      <c r="CM751" s="45" t="s">
        <v>16</v>
      </c>
      <c r="CN751" s="46" t="str">
        <f>IF(VLOOKUP(CM751,βοηθητικό!$J$2:$N$354,3,FALSE)="","",VLOOKUP(CM751,βοηθητικό!$J$2:$N$354,3,FALSE))</f>
        <v>_</v>
      </c>
      <c r="CO751" s="47"/>
      <c r="CP751" s="42" t="s">
        <v>16</v>
      </c>
      <c r="CQ751" s="43" t="str">
        <f>IF(VLOOKUP(CP751,βοηθητικό!$J$2:$N$354,3,FALSE)="","",VLOOKUP(CP751,βοηθητικό!$J$2:$N$354,3,FALSE))</f>
        <v>_</v>
      </c>
      <c r="CR751" s="44"/>
      <c r="CS751" s="45" t="s">
        <v>16</v>
      </c>
      <c r="CT751" s="46" t="str">
        <f>IF(VLOOKUP(CS751,βοηθητικό!$J$2:$N$354,3,FALSE)="","",VLOOKUP(CS751,βοηθητικό!$J$2:$N$354,3,FALSE))</f>
        <v>_</v>
      </c>
      <c r="CU751" s="47"/>
    </row>
    <row r="752" spans="1:99" x14ac:dyDescent="0.25">
      <c r="A752" s="37">
        <f>--SUBTOTAL(3,$B$3:B751)</f>
        <v>198</v>
      </c>
      <c r="B752" s="2"/>
      <c r="C752" s="3"/>
      <c r="D752" s="55" t="s">
        <v>18</v>
      </c>
      <c r="E752" s="38" t="s">
        <v>16</v>
      </c>
      <c r="F752" s="38"/>
      <c r="G752" s="39" t="str">
        <f t="shared" si="35"/>
        <v>__</v>
      </c>
      <c r="H752" s="40" t="str">
        <f t="shared" si="36"/>
        <v>FALSE</v>
      </c>
      <c r="I752" s="41">
        <f t="shared" si="37"/>
        <v>0</v>
      </c>
      <c r="J752" s="4" t="s">
        <v>16</v>
      </c>
      <c r="K752" s="43" t="str">
        <f>IF(VLOOKUP(J752,βοηθητικό!$J$2:$N$354,3,FALSE)="","",VLOOKUP(J752,βοηθητικό!$J$2:$N$354,3,FALSE))</f>
        <v>_</v>
      </c>
      <c r="L752" s="44"/>
      <c r="M752" s="5" t="s">
        <v>16</v>
      </c>
      <c r="N752" s="46" t="str">
        <f>IF(VLOOKUP(M752,βοηθητικό!$J$2:$N$354,3,FALSE)="","",VLOOKUP(M752,βοηθητικό!$J$2:$N$354,3,FALSE))</f>
        <v>_</v>
      </c>
      <c r="O752" s="47"/>
      <c r="P752" s="4" t="s">
        <v>16</v>
      </c>
      <c r="Q752" s="43" t="str">
        <f>IF(VLOOKUP(P752,βοηθητικό!$J$2:$N$354,3,FALSE)="","",VLOOKUP(P752,βοηθητικό!$J$2:$N$354,3,FALSE))</f>
        <v>_</v>
      </c>
      <c r="R752" s="44"/>
      <c r="S752" s="5" t="s">
        <v>16</v>
      </c>
      <c r="T752" s="46" t="str">
        <f>IF(VLOOKUP(S752,βοηθητικό!$J$2:$N$354,3,FALSE)="","",VLOOKUP(S752,βοηθητικό!$J$2:$N$354,3,FALSE))</f>
        <v>_</v>
      </c>
      <c r="U752" s="47"/>
      <c r="V752" s="4" t="s">
        <v>16</v>
      </c>
      <c r="W752" s="43" t="str">
        <f>IF(VLOOKUP(V752,βοηθητικό!$J$2:$N$354,3,FALSE)="","",VLOOKUP(V752,βοηθητικό!$J$2:$N$354,3,FALSE))</f>
        <v>_</v>
      </c>
      <c r="X752" s="44"/>
      <c r="Y752" s="5" t="s">
        <v>16</v>
      </c>
      <c r="Z752" s="46" t="str">
        <f>IF(VLOOKUP(Y752,βοηθητικό!$J$2:$N$354,3,FALSE)="","",VLOOKUP(Y752,βοηθητικό!$J$2:$N$354,3,FALSE))</f>
        <v>_</v>
      </c>
      <c r="AA752" s="47"/>
      <c r="AB752" s="4" t="s">
        <v>16</v>
      </c>
      <c r="AC752" s="43" t="str">
        <f>IF(VLOOKUP(AB752,βοηθητικό!$J$2:$N$354,3,FALSE)="","",VLOOKUP(AB752,βοηθητικό!$J$2:$N$354,3,FALSE))</f>
        <v>_</v>
      </c>
      <c r="AD752" s="44"/>
      <c r="AE752" s="5" t="s">
        <v>16</v>
      </c>
      <c r="AF752" s="46" t="str">
        <f>IF(VLOOKUP(AE752,βοηθητικό!$J$2:$N$354,3,FALSE)="","",VLOOKUP(AE752,βοηθητικό!$J$2:$N$354,3,FALSE))</f>
        <v>_</v>
      </c>
      <c r="AG752" s="47"/>
      <c r="AH752" s="4" t="s">
        <v>16</v>
      </c>
      <c r="AI752" s="43" t="str">
        <f>IF(VLOOKUP(AH752,βοηθητικό!$J$2:$N$354,3,FALSE)="","",VLOOKUP(AH752,βοηθητικό!$J$2:$N$354,3,FALSE))</f>
        <v>_</v>
      </c>
      <c r="AJ752" s="44"/>
      <c r="AK752" s="5" t="s">
        <v>16</v>
      </c>
      <c r="AL752" s="46" t="str">
        <f>IF(VLOOKUP(AK752,βοηθητικό!$J$2:$N$354,3,FALSE)="","",VLOOKUP(AK752,βοηθητικό!$J$2:$N$354,3,FALSE))</f>
        <v>_</v>
      </c>
      <c r="AM752" s="47"/>
      <c r="AN752" s="4" t="s">
        <v>16</v>
      </c>
      <c r="AO752" s="43" t="str">
        <f>IF(VLOOKUP(AN752,βοηθητικό!$J$2:$N$354,3,FALSE)="","",VLOOKUP(AN752,βοηθητικό!$J$2:$N$354,3,FALSE))</f>
        <v>_</v>
      </c>
      <c r="AP752" s="44"/>
      <c r="AQ752" s="5" t="s">
        <v>16</v>
      </c>
      <c r="AR752" s="46" t="str">
        <f>IF(VLOOKUP(AQ752,βοηθητικό!$J$2:$N$354,3,FALSE)="","",VLOOKUP(AQ752,βοηθητικό!$J$2:$N$354,3,FALSE))</f>
        <v>_</v>
      </c>
      <c r="AS752" s="47"/>
      <c r="AT752" s="4" t="s">
        <v>16</v>
      </c>
      <c r="AU752" s="43" t="str">
        <f>IF(VLOOKUP(AT752,βοηθητικό!$J$2:$N$354,3,FALSE)="","",VLOOKUP(AT752,βοηθητικό!$J$2:$N$354,3,FALSE))</f>
        <v>_</v>
      </c>
      <c r="AV752" s="44"/>
      <c r="AW752" s="5" t="s">
        <v>16</v>
      </c>
      <c r="AX752" s="46" t="str">
        <f>IF(VLOOKUP(AW752,βοηθητικό!$J$2:$N$354,3,FALSE)="","",VLOOKUP(AW752,βοηθητικό!$J$2:$N$354,3,FALSE))</f>
        <v>_</v>
      </c>
      <c r="AY752" s="47"/>
      <c r="AZ752" s="4" t="s">
        <v>16</v>
      </c>
      <c r="BA752" s="43" t="str">
        <f>IF(VLOOKUP(AZ752,βοηθητικό!$J$2:$N$354,3,FALSE)="","",VLOOKUP(AZ752,βοηθητικό!$J$2:$N$354,3,FALSE))</f>
        <v>_</v>
      </c>
      <c r="BB752" s="44"/>
      <c r="BC752" s="45" t="s">
        <v>16</v>
      </c>
      <c r="BD752" s="46" t="str">
        <f>IF(VLOOKUP(BC752,βοηθητικό!$J$2:$N$354,3,FALSE)="","",VLOOKUP(BC752,βοηθητικό!$J$2:$N$354,3,FALSE))</f>
        <v>_</v>
      </c>
      <c r="BE752" s="47"/>
      <c r="BF752" s="42" t="s">
        <v>16</v>
      </c>
      <c r="BG752" s="43" t="str">
        <f>IF(VLOOKUP(BF752,βοηθητικό!$J$2:$N$354,3,FALSE)="","",VLOOKUP(BF752,βοηθητικό!$J$2:$N$354,3,FALSE))</f>
        <v>_</v>
      </c>
      <c r="BH752" s="44"/>
      <c r="BI752" s="45" t="s">
        <v>16</v>
      </c>
      <c r="BJ752" s="46" t="str">
        <f>IF(VLOOKUP(BI752,βοηθητικό!$J$2:$N$354,3,FALSE)="","",VLOOKUP(BI752,βοηθητικό!$J$2:$N$354,3,FALSE))</f>
        <v>_</v>
      </c>
      <c r="BK752" s="47"/>
      <c r="BL752" s="42" t="s">
        <v>16</v>
      </c>
      <c r="BM752" s="43" t="str">
        <f>IF(VLOOKUP(BL752,βοηθητικό!$J$2:$N$354,3,FALSE)="","",VLOOKUP(BL752,βοηθητικό!$J$2:$N$354,3,FALSE))</f>
        <v>_</v>
      </c>
      <c r="BN752" s="44"/>
      <c r="BO752" s="45" t="s">
        <v>16</v>
      </c>
      <c r="BP752" s="46" t="str">
        <f>IF(VLOOKUP(BO752,βοηθητικό!$J$2:$N$354,3,FALSE)="","",VLOOKUP(BO752,βοηθητικό!$J$2:$N$354,3,FALSE))</f>
        <v>_</v>
      </c>
      <c r="BQ752" s="47"/>
      <c r="BR752" s="42" t="s">
        <v>16</v>
      </c>
      <c r="BS752" s="43" t="str">
        <f>IF(VLOOKUP(BR752,βοηθητικό!$J$2:$N$354,3,FALSE)="","",VLOOKUP(BR752,βοηθητικό!$J$2:$N$354,3,FALSE))</f>
        <v>_</v>
      </c>
      <c r="BT752" s="44"/>
      <c r="BU752" s="45" t="s">
        <v>16</v>
      </c>
      <c r="BV752" s="46" t="str">
        <f>IF(VLOOKUP(BU752,βοηθητικό!$J$2:$N$354,3,FALSE)="","",VLOOKUP(BU752,βοηθητικό!$J$2:$N$354,3,FALSE))</f>
        <v>_</v>
      </c>
      <c r="BW752" s="47"/>
      <c r="BX752" s="42" t="s">
        <v>16</v>
      </c>
      <c r="BY752" s="43" t="str">
        <f>IF(VLOOKUP(BX752,βοηθητικό!$J$2:$N$354,3,FALSE)="","",VLOOKUP(BX752,βοηθητικό!$J$2:$N$354,3,FALSE))</f>
        <v>_</v>
      </c>
      <c r="BZ752" s="44"/>
      <c r="CA752" s="45" t="s">
        <v>16</v>
      </c>
      <c r="CB752" s="46" t="str">
        <f>IF(VLOOKUP(CA752,βοηθητικό!$J$2:$N$354,3,FALSE)="","",VLOOKUP(CA752,βοηθητικό!$J$2:$N$354,3,FALSE))</f>
        <v>_</v>
      </c>
      <c r="CC752" s="47"/>
      <c r="CD752" s="42" t="s">
        <v>16</v>
      </c>
      <c r="CE752" s="43" t="str">
        <f>IF(VLOOKUP(CD752,βοηθητικό!$J$2:$N$354,3,FALSE)="","",VLOOKUP(CD752,βοηθητικό!$J$2:$N$354,3,FALSE))</f>
        <v>_</v>
      </c>
      <c r="CF752" s="44"/>
      <c r="CG752" s="45" t="s">
        <v>16</v>
      </c>
      <c r="CH752" s="46" t="str">
        <f>IF(VLOOKUP(CG752,βοηθητικό!$J$2:$N$354,3,FALSE)="","",VLOOKUP(CG752,βοηθητικό!$J$2:$N$354,3,FALSE))</f>
        <v>_</v>
      </c>
      <c r="CI752" s="47"/>
      <c r="CJ752" s="42" t="s">
        <v>16</v>
      </c>
      <c r="CK752" s="43" t="str">
        <f>IF(VLOOKUP(CJ752,βοηθητικό!$J$2:$N$354,3,FALSE)="","",VLOOKUP(CJ752,βοηθητικό!$J$2:$N$354,3,FALSE))</f>
        <v>_</v>
      </c>
      <c r="CL752" s="44"/>
      <c r="CM752" s="45" t="s">
        <v>16</v>
      </c>
      <c r="CN752" s="46" t="str">
        <f>IF(VLOOKUP(CM752,βοηθητικό!$J$2:$N$354,3,FALSE)="","",VLOOKUP(CM752,βοηθητικό!$J$2:$N$354,3,FALSE))</f>
        <v>_</v>
      </c>
      <c r="CO752" s="47"/>
      <c r="CP752" s="42" t="s">
        <v>16</v>
      </c>
      <c r="CQ752" s="43" t="str">
        <f>IF(VLOOKUP(CP752,βοηθητικό!$J$2:$N$354,3,FALSE)="","",VLOOKUP(CP752,βοηθητικό!$J$2:$N$354,3,FALSE))</f>
        <v>_</v>
      </c>
      <c r="CR752" s="44"/>
      <c r="CS752" s="45" t="s">
        <v>16</v>
      </c>
      <c r="CT752" s="46" t="str">
        <f>IF(VLOOKUP(CS752,βοηθητικό!$J$2:$N$354,3,FALSE)="","",VLOOKUP(CS752,βοηθητικό!$J$2:$N$354,3,FALSE))</f>
        <v>_</v>
      </c>
      <c r="CU752" s="47"/>
    </row>
    <row r="753" spans="1:99" x14ac:dyDescent="0.25">
      <c r="A753" s="37">
        <f>--SUBTOTAL(3,$B$3:B752)</f>
        <v>198</v>
      </c>
      <c r="B753" s="2"/>
      <c r="C753" s="3"/>
      <c r="D753" s="55" t="s">
        <v>18</v>
      </c>
      <c r="E753" s="38" t="s">
        <v>16</v>
      </c>
      <c r="F753" s="38"/>
      <c r="G753" s="39" t="str">
        <f t="shared" si="35"/>
        <v>__</v>
      </c>
      <c r="H753" s="40" t="str">
        <f t="shared" si="36"/>
        <v>FALSE</v>
      </c>
      <c r="I753" s="41">
        <f t="shared" si="37"/>
        <v>0</v>
      </c>
      <c r="J753" s="4" t="s">
        <v>16</v>
      </c>
      <c r="K753" s="43" t="str">
        <f>IF(VLOOKUP(J753,βοηθητικό!$J$2:$N$354,3,FALSE)="","",VLOOKUP(J753,βοηθητικό!$J$2:$N$354,3,FALSE))</f>
        <v>_</v>
      </c>
      <c r="L753" s="44"/>
      <c r="M753" s="5" t="s">
        <v>16</v>
      </c>
      <c r="N753" s="46" t="str">
        <f>IF(VLOOKUP(M753,βοηθητικό!$J$2:$N$354,3,FALSE)="","",VLOOKUP(M753,βοηθητικό!$J$2:$N$354,3,FALSE))</f>
        <v>_</v>
      </c>
      <c r="O753" s="47"/>
      <c r="P753" s="4" t="s">
        <v>16</v>
      </c>
      <c r="Q753" s="43" t="str">
        <f>IF(VLOOKUP(P753,βοηθητικό!$J$2:$N$354,3,FALSE)="","",VLOOKUP(P753,βοηθητικό!$J$2:$N$354,3,FALSE))</f>
        <v>_</v>
      </c>
      <c r="R753" s="44"/>
      <c r="S753" s="5" t="s">
        <v>16</v>
      </c>
      <c r="T753" s="46" t="str">
        <f>IF(VLOOKUP(S753,βοηθητικό!$J$2:$N$354,3,FALSE)="","",VLOOKUP(S753,βοηθητικό!$J$2:$N$354,3,FALSE))</f>
        <v>_</v>
      </c>
      <c r="U753" s="47"/>
      <c r="V753" s="4" t="s">
        <v>16</v>
      </c>
      <c r="W753" s="43" t="str">
        <f>IF(VLOOKUP(V753,βοηθητικό!$J$2:$N$354,3,FALSE)="","",VLOOKUP(V753,βοηθητικό!$J$2:$N$354,3,FALSE))</f>
        <v>_</v>
      </c>
      <c r="X753" s="44"/>
      <c r="Y753" s="5" t="s">
        <v>16</v>
      </c>
      <c r="Z753" s="46" t="str">
        <f>IF(VLOOKUP(Y753,βοηθητικό!$J$2:$N$354,3,FALSE)="","",VLOOKUP(Y753,βοηθητικό!$J$2:$N$354,3,FALSE))</f>
        <v>_</v>
      </c>
      <c r="AA753" s="47"/>
      <c r="AB753" s="4" t="s">
        <v>16</v>
      </c>
      <c r="AC753" s="43" t="str">
        <f>IF(VLOOKUP(AB753,βοηθητικό!$J$2:$N$354,3,FALSE)="","",VLOOKUP(AB753,βοηθητικό!$J$2:$N$354,3,FALSE))</f>
        <v>_</v>
      </c>
      <c r="AD753" s="44"/>
      <c r="AE753" s="5" t="s">
        <v>16</v>
      </c>
      <c r="AF753" s="46" t="str">
        <f>IF(VLOOKUP(AE753,βοηθητικό!$J$2:$N$354,3,FALSE)="","",VLOOKUP(AE753,βοηθητικό!$J$2:$N$354,3,FALSE))</f>
        <v>_</v>
      </c>
      <c r="AG753" s="47"/>
      <c r="AH753" s="4" t="s">
        <v>16</v>
      </c>
      <c r="AI753" s="43" t="str">
        <f>IF(VLOOKUP(AH753,βοηθητικό!$J$2:$N$354,3,FALSE)="","",VLOOKUP(AH753,βοηθητικό!$J$2:$N$354,3,FALSE))</f>
        <v>_</v>
      </c>
      <c r="AJ753" s="44"/>
      <c r="AK753" s="5" t="s">
        <v>16</v>
      </c>
      <c r="AL753" s="46" t="str">
        <f>IF(VLOOKUP(AK753,βοηθητικό!$J$2:$N$354,3,FALSE)="","",VLOOKUP(AK753,βοηθητικό!$J$2:$N$354,3,FALSE))</f>
        <v>_</v>
      </c>
      <c r="AM753" s="47"/>
      <c r="AN753" s="4" t="s">
        <v>16</v>
      </c>
      <c r="AO753" s="43" t="str">
        <f>IF(VLOOKUP(AN753,βοηθητικό!$J$2:$N$354,3,FALSE)="","",VLOOKUP(AN753,βοηθητικό!$J$2:$N$354,3,FALSE))</f>
        <v>_</v>
      </c>
      <c r="AP753" s="44"/>
      <c r="AQ753" s="5" t="s">
        <v>16</v>
      </c>
      <c r="AR753" s="46" t="str">
        <f>IF(VLOOKUP(AQ753,βοηθητικό!$J$2:$N$354,3,FALSE)="","",VLOOKUP(AQ753,βοηθητικό!$J$2:$N$354,3,FALSE))</f>
        <v>_</v>
      </c>
      <c r="AS753" s="47"/>
      <c r="AT753" s="4" t="s">
        <v>16</v>
      </c>
      <c r="AU753" s="43" t="str">
        <f>IF(VLOOKUP(AT753,βοηθητικό!$J$2:$N$354,3,FALSE)="","",VLOOKUP(AT753,βοηθητικό!$J$2:$N$354,3,FALSE))</f>
        <v>_</v>
      </c>
      <c r="AV753" s="44"/>
      <c r="AW753" s="5" t="s">
        <v>16</v>
      </c>
      <c r="AX753" s="46" t="str">
        <f>IF(VLOOKUP(AW753,βοηθητικό!$J$2:$N$354,3,FALSE)="","",VLOOKUP(AW753,βοηθητικό!$J$2:$N$354,3,FALSE))</f>
        <v>_</v>
      </c>
      <c r="AY753" s="47"/>
      <c r="AZ753" s="4" t="s">
        <v>16</v>
      </c>
      <c r="BA753" s="43" t="str">
        <f>IF(VLOOKUP(AZ753,βοηθητικό!$J$2:$N$354,3,FALSE)="","",VLOOKUP(AZ753,βοηθητικό!$J$2:$N$354,3,FALSE))</f>
        <v>_</v>
      </c>
      <c r="BB753" s="44"/>
      <c r="BC753" s="45" t="s">
        <v>16</v>
      </c>
      <c r="BD753" s="46" t="str">
        <f>IF(VLOOKUP(BC753,βοηθητικό!$J$2:$N$354,3,FALSE)="","",VLOOKUP(BC753,βοηθητικό!$J$2:$N$354,3,FALSE))</f>
        <v>_</v>
      </c>
      <c r="BE753" s="47"/>
      <c r="BF753" s="42" t="s">
        <v>16</v>
      </c>
      <c r="BG753" s="43" t="str">
        <f>IF(VLOOKUP(BF753,βοηθητικό!$J$2:$N$354,3,FALSE)="","",VLOOKUP(BF753,βοηθητικό!$J$2:$N$354,3,FALSE))</f>
        <v>_</v>
      </c>
      <c r="BH753" s="44"/>
      <c r="BI753" s="45" t="s">
        <v>16</v>
      </c>
      <c r="BJ753" s="46" t="str">
        <f>IF(VLOOKUP(BI753,βοηθητικό!$J$2:$N$354,3,FALSE)="","",VLOOKUP(BI753,βοηθητικό!$J$2:$N$354,3,FALSE))</f>
        <v>_</v>
      </c>
      <c r="BK753" s="47"/>
      <c r="BL753" s="42" t="s">
        <v>16</v>
      </c>
      <c r="BM753" s="43" t="str">
        <f>IF(VLOOKUP(BL753,βοηθητικό!$J$2:$N$354,3,FALSE)="","",VLOOKUP(BL753,βοηθητικό!$J$2:$N$354,3,FALSE))</f>
        <v>_</v>
      </c>
      <c r="BN753" s="44"/>
      <c r="BO753" s="45" t="s">
        <v>16</v>
      </c>
      <c r="BP753" s="46" t="str">
        <f>IF(VLOOKUP(BO753,βοηθητικό!$J$2:$N$354,3,FALSE)="","",VLOOKUP(BO753,βοηθητικό!$J$2:$N$354,3,FALSE))</f>
        <v>_</v>
      </c>
      <c r="BQ753" s="47"/>
      <c r="BR753" s="42" t="s">
        <v>16</v>
      </c>
      <c r="BS753" s="43" t="str">
        <f>IF(VLOOKUP(BR753,βοηθητικό!$J$2:$N$354,3,FALSE)="","",VLOOKUP(BR753,βοηθητικό!$J$2:$N$354,3,FALSE))</f>
        <v>_</v>
      </c>
      <c r="BT753" s="44"/>
      <c r="BU753" s="45" t="s">
        <v>16</v>
      </c>
      <c r="BV753" s="46" t="str">
        <f>IF(VLOOKUP(BU753,βοηθητικό!$J$2:$N$354,3,FALSE)="","",VLOOKUP(BU753,βοηθητικό!$J$2:$N$354,3,FALSE))</f>
        <v>_</v>
      </c>
      <c r="BW753" s="47"/>
      <c r="BX753" s="42" t="s">
        <v>16</v>
      </c>
      <c r="BY753" s="43" t="str">
        <f>IF(VLOOKUP(BX753,βοηθητικό!$J$2:$N$354,3,FALSE)="","",VLOOKUP(BX753,βοηθητικό!$J$2:$N$354,3,FALSE))</f>
        <v>_</v>
      </c>
      <c r="BZ753" s="44"/>
      <c r="CA753" s="45" t="s">
        <v>16</v>
      </c>
      <c r="CB753" s="46" t="str">
        <f>IF(VLOOKUP(CA753,βοηθητικό!$J$2:$N$354,3,FALSE)="","",VLOOKUP(CA753,βοηθητικό!$J$2:$N$354,3,FALSE))</f>
        <v>_</v>
      </c>
      <c r="CC753" s="47"/>
      <c r="CD753" s="42" t="s">
        <v>16</v>
      </c>
      <c r="CE753" s="43" t="str">
        <f>IF(VLOOKUP(CD753,βοηθητικό!$J$2:$N$354,3,FALSE)="","",VLOOKUP(CD753,βοηθητικό!$J$2:$N$354,3,FALSE))</f>
        <v>_</v>
      </c>
      <c r="CF753" s="44"/>
      <c r="CG753" s="45" t="s">
        <v>16</v>
      </c>
      <c r="CH753" s="46" t="str">
        <f>IF(VLOOKUP(CG753,βοηθητικό!$J$2:$N$354,3,FALSE)="","",VLOOKUP(CG753,βοηθητικό!$J$2:$N$354,3,FALSE))</f>
        <v>_</v>
      </c>
      <c r="CI753" s="47"/>
      <c r="CJ753" s="42" t="s">
        <v>16</v>
      </c>
      <c r="CK753" s="43" t="str">
        <f>IF(VLOOKUP(CJ753,βοηθητικό!$J$2:$N$354,3,FALSE)="","",VLOOKUP(CJ753,βοηθητικό!$J$2:$N$354,3,FALSE))</f>
        <v>_</v>
      </c>
      <c r="CL753" s="44"/>
      <c r="CM753" s="45" t="s">
        <v>16</v>
      </c>
      <c r="CN753" s="46" t="str">
        <f>IF(VLOOKUP(CM753,βοηθητικό!$J$2:$N$354,3,FALSE)="","",VLOOKUP(CM753,βοηθητικό!$J$2:$N$354,3,FALSE))</f>
        <v>_</v>
      </c>
      <c r="CO753" s="47"/>
      <c r="CP753" s="42" t="s">
        <v>16</v>
      </c>
      <c r="CQ753" s="43" t="str">
        <f>IF(VLOOKUP(CP753,βοηθητικό!$J$2:$N$354,3,FALSE)="","",VLOOKUP(CP753,βοηθητικό!$J$2:$N$354,3,FALSE))</f>
        <v>_</v>
      </c>
      <c r="CR753" s="44"/>
      <c r="CS753" s="45" t="s">
        <v>16</v>
      </c>
      <c r="CT753" s="46" t="str">
        <f>IF(VLOOKUP(CS753,βοηθητικό!$J$2:$N$354,3,FALSE)="","",VLOOKUP(CS753,βοηθητικό!$J$2:$N$354,3,FALSE))</f>
        <v>_</v>
      </c>
      <c r="CU753" s="47"/>
    </row>
    <row r="754" spans="1:99" x14ac:dyDescent="0.25">
      <c r="A754" s="37">
        <f>--SUBTOTAL(3,$B$3:B753)</f>
        <v>198</v>
      </c>
      <c r="B754" s="2"/>
      <c r="C754" s="3"/>
      <c r="D754" s="55" t="s">
        <v>18</v>
      </c>
      <c r="E754" s="38" t="s">
        <v>16</v>
      </c>
      <c r="F754" s="38"/>
      <c r="G754" s="39" t="str">
        <f t="shared" si="35"/>
        <v>__</v>
      </c>
      <c r="H754" s="40" t="str">
        <f t="shared" si="36"/>
        <v>FALSE</v>
      </c>
      <c r="I754" s="41">
        <f t="shared" si="37"/>
        <v>0</v>
      </c>
      <c r="J754" s="4" t="s">
        <v>16</v>
      </c>
      <c r="K754" s="43" t="str">
        <f>IF(VLOOKUP(J754,βοηθητικό!$J$2:$N$354,3,FALSE)="","",VLOOKUP(J754,βοηθητικό!$J$2:$N$354,3,FALSE))</f>
        <v>_</v>
      </c>
      <c r="L754" s="44"/>
      <c r="M754" s="5" t="s">
        <v>16</v>
      </c>
      <c r="N754" s="46" t="str">
        <f>IF(VLOOKUP(M754,βοηθητικό!$J$2:$N$354,3,FALSE)="","",VLOOKUP(M754,βοηθητικό!$J$2:$N$354,3,FALSE))</f>
        <v>_</v>
      </c>
      <c r="O754" s="47"/>
      <c r="P754" s="4" t="s">
        <v>16</v>
      </c>
      <c r="Q754" s="43" t="str">
        <f>IF(VLOOKUP(P754,βοηθητικό!$J$2:$N$354,3,FALSE)="","",VLOOKUP(P754,βοηθητικό!$J$2:$N$354,3,FALSE))</f>
        <v>_</v>
      </c>
      <c r="R754" s="44"/>
      <c r="S754" s="5" t="s">
        <v>16</v>
      </c>
      <c r="T754" s="46" t="str">
        <f>IF(VLOOKUP(S754,βοηθητικό!$J$2:$N$354,3,FALSE)="","",VLOOKUP(S754,βοηθητικό!$J$2:$N$354,3,FALSE))</f>
        <v>_</v>
      </c>
      <c r="U754" s="47"/>
      <c r="V754" s="4" t="s">
        <v>16</v>
      </c>
      <c r="W754" s="43" t="str">
        <f>IF(VLOOKUP(V754,βοηθητικό!$J$2:$N$354,3,FALSE)="","",VLOOKUP(V754,βοηθητικό!$J$2:$N$354,3,FALSE))</f>
        <v>_</v>
      </c>
      <c r="X754" s="44"/>
      <c r="Y754" s="5" t="s">
        <v>16</v>
      </c>
      <c r="Z754" s="46" t="str">
        <f>IF(VLOOKUP(Y754,βοηθητικό!$J$2:$N$354,3,FALSE)="","",VLOOKUP(Y754,βοηθητικό!$J$2:$N$354,3,FALSE))</f>
        <v>_</v>
      </c>
      <c r="AA754" s="47"/>
      <c r="AB754" s="4" t="s">
        <v>16</v>
      </c>
      <c r="AC754" s="43" t="str">
        <f>IF(VLOOKUP(AB754,βοηθητικό!$J$2:$N$354,3,FALSE)="","",VLOOKUP(AB754,βοηθητικό!$J$2:$N$354,3,FALSE))</f>
        <v>_</v>
      </c>
      <c r="AD754" s="44"/>
      <c r="AE754" s="5" t="s">
        <v>16</v>
      </c>
      <c r="AF754" s="46" t="str">
        <f>IF(VLOOKUP(AE754,βοηθητικό!$J$2:$N$354,3,FALSE)="","",VLOOKUP(AE754,βοηθητικό!$J$2:$N$354,3,FALSE))</f>
        <v>_</v>
      </c>
      <c r="AG754" s="47"/>
      <c r="AH754" s="4" t="s">
        <v>16</v>
      </c>
      <c r="AI754" s="43" t="str">
        <f>IF(VLOOKUP(AH754,βοηθητικό!$J$2:$N$354,3,FALSE)="","",VLOOKUP(AH754,βοηθητικό!$J$2:$N$354,3,FALSE))</f>
        <v>_</v>
      </c>
      <c r="AJ754" s="44"/>
      <c r="AK754" s="5" t="s">
        <v>16</v>
      </c>
      <c r="AL754" s="46" t="str">
        <f>IF(VLOOKUP(AK754,βοηθητικό!$J$2:$N$354,3,FALSE)="","",VLOOKUP(AK754,βοηθητικό!$J$2:$N$354,3,FALSE))</f>
        <v>_</v>
      </c>
      <c r="AM754" s="47"/>
      <c r="AN754" s="4" t="s">
        <v>16</v>
      </c>
      <c r="AO754" s="43" t="str">
        <f>IF(VLOOKUP(AN754,βοηθητικό!$J$2:$N$354,3,FALSE)="","",VLOOKUP(AN754,βοηθητικό!$J$2:$N$354,3,FALSE))</f>
        <v>_</v>
      </c>
      <c r="AP754" s="44"/>
      <c r="AQ754" s="5" t="s">
        <v>16</v>
      </c>
      <c r="AR754" s="46" t="str">
        <f>IF(VLOOKUP(AQ754,βοηθητικό!$J$2:$N$354,3,FALSE)="","",VLOOKUP(AQ754,βοηθητικό!$J$2:$N$354,3,FALSE))</f>
        <v>_</v>
      </c>
      <c r="AS754" s="47"/>
      <c r="AT754" s="4" t="s">
        <v>16</v>
      </c>
      <c r="AU754" s="43" t="str">
        <f>IF(VLOOKUP(AT754,βοηθητικό!$J$2:$N$354,3,FALSE)="","",VLOOKUP(AT754,βοηθητικό!$J$2:$N$354,3,FALSE))</f>
        <v>_</v>
      </c>
      <c r="AV754" s="44"/>
      <c r="AW754" s="5" t="s">
        <v>16</v>
      </c>
      <c r="AX754" s="46" t="str">
        <f>IF(VLOOKUP(AW754,βοηθητικό!$J$2:$N$354,3,FALSE)="","",VLOOKUP(AW754,βοηθητικό!$J$2:$N$354,3,FALSE))</f>
        <v>_</v>
      </c>
      <c r="AY754" s="47"/>
      <c r="AZ754" s="4" t="s">
        <v>16</v>
      </c>
      <c r="BA754" s="43" t="str">
        <f>IF(VLOOKUP(AZ754,βοηθητικό!$J$2:$N$354,3,FALSE)="","",VLOOKUP(AZ754,βοηθητικό!$J$2:$N$354,3,FALSE))</f>
        <v>_</v>
      </c>
      <c r="BB754" s="44"/>
      <c r="BC754" s="45" t="s">
        <v>16</v>
      </c>
      <c r="BD754" s="46" t="str">
        <f>IF(VLOOKUP(BC754,βοηθητικό!$J$2:$N$354,3,FALSE)="","",VLOOKUP(BC754,βοηθητικό!$J$2:$N$354,3,FALSE))</f>
        <v>_</v>
      </c>
      <c r="BE754" s="47"/>
      <c r="BF754" s="42" t="s">
        <v>16</v>
      </c>
      <c r="BG754" s="43" t="str">
        <f>IF(VLOOKUP(BF754,βοηθητικό!$J$2:$N$354,3,FALSE)="","",VLOOKUP(BF754,βοηθητικό!$J$2:$N$354,3,FALSE))</f>
        <v>_</v>
      </c>
      <c r="BH754" s="44"/>
      <c r="BI754" s="45" t="s">
        <v>16</v>
      </c>
      <c r="BJ754" s="46" t="str">
        <f>IF(VLOOKUP(BI754,βοηθητικό!$J$2:$N$354,3,FALSE)="","",VLOOKUP(BI754,βοηθητικό!$J$2:$N$354,3,FALSE))</f>
        <v>_</v>
      </c>
      <c r="BK754" s="47"/>
      <c r="BL754" s="42" t="s">
        <v>16</v>
      </c>
      <c r="BM754" s="43" t="str">
        <f>IF(VLOOKUP(BL754,βοηθητικό!$J$2:$N$354,3,FALSE)="","",VLOOKUP(BL754,βοηθητικό!$J$2:$N$354,3,FALSE))</f>
        <v>_</v>
      </c>
      <c r="BN754" s="44"/>
      <c r="BO754" s="45" t="s">
        <v>16</v>
      </c>
      <c r="BP754" s="46" t="str">
        <f>IF(VLOOKUP(BO754,βοηθητικό!$J$2:$N$354,3,FALSE)="","",VLOOKUP(BO754,βοηθητικό!$J$2:$N$354,3,FALSE))</f>
        <v>_</v>
      </c>
      <c r="BQ754" s="47"/>
      <c r="BR754" s="42" t="s">
        <v>16</v>
      </c>
      <c r="BS754" s="43" t="str">
        <f>IF(VLOOKUP(BR754,βοηθητικό!$J$2:$N$354,3,FALSE)="","",VLOOKUP(BR754,βοηθητικό!$J$2:$N$354,3,FALSE))</f>
        <v>_</v>
      </c>
      <c r="BT754" s="44"/>
      <c r="BU754" s="45" t="s">
        <v>16</v>
      </c>
      <c r="BV754" s="46" t="str">
        <f>IF(VLOOKUP(BU754,βοηθητικό!$J$2:$N$354,3,FALSE)="","",VLOOKUP(BU754,βοηθητικό!$J$2:$N$354,3,FALSE))</f>
        <v>_</v>
      </c>
      <c r="BW754" s="47"/>
      <c r="BX754" s="42" t="s">
        <v>16</v>
      </c>
      <c r="BY754" s="43" t="str">
        <f>IF(VLOOKUP(BX754,βοηθητικό!$J$2:$N$354,3,FALSE)="","",VLOOKUP(BX754,βοηθητικό!$J$2:$N$354,3,FALSE))</f>
        <v>_</v>
      </c>
      <c r="BZ754" s="44"/>
      <c r="CA754" s="45" t="s">
        <v>16</v>
      </c>
      <c r="CB754" s="46" t="str">
        <f>IF(VLOOKUP(CA754,βοηθητικό!$J$2:$N$354,3,FALSE)="","",VLOOKUP(CA754,βοηθητικό!$J$2:$N$354,3,FALSE))</f>
        <v>_</v>
      </c>
      <c r="CC754" s="47"/>
      <c r="CD754" s="42" t="s">
        <v>16</v>
      </c>
      <c r="CE754" s="43" t="str">
        <f>IF(VLOOKUP(CD754,βοηθητικό!$J$2:$N$354,3,FALSE)="","",VLOOKUP(CD754,βοηθητικό!$J$2:$N$354,3,FALSE))</f>
        <v>_</v>
      </c>
      <c r="CF754" s="44"/>
      <c r="CG754" s="45" t="s">
        <v>16</v>
      </c>
      <c r="CH754" s="46" t="str">
        <f>IF(VLOOKUP(CG754,βοηθητικό!$J$2:$N$354,3,FALSE)="","",VLOOKUP(CG754,βοηθητικό!$J$2:$N$354,3,FALSE))</f>
        <v>_</v>
      </c>
      <c r="CI754" s="47"/>
      <c r="CJ754" s="42" t="s">
        <v>16</v>
      </c>
      <c r="CK754" s="43" t="str">
        <f>IF(VLOOKUP(CJ754,βοηθητικό!$J$2:$N$354,3,FALSE)="","",VLOOKUP(CJ754,βοηθητικό!$J$2:$N$354,3,FALSE))</f>
        <v>_</v>
      </c>
      <c r="CL754" s="44"/>
      <c r="CM754" s="45" t="s">
        <v>16</v>
      </c>
      <c r="CN754" s="46" t="str">
        <f>IF(VLOOKUP(CM754,βοηθητικό!$J$2:$N$354,3,FALSE)="","",VLOOKUP(CM754,βοηθητικό!$J$2:$N$354,3,FALSE))</f>
        <v>_</v>
      </c>
      <c r="CO754" s="47"/>
      <c r="CP754" s="42" t="s">
        <v>16</v>
      </c>
      <c r="CQ754" s="43" t="str">
        <f>IF(VLOOKUP(CP754,βοηθητικό!$J$2:$N$354,3,FALSE)="","",VLOOKUP(CP754,βοηθητικό!$J$2:$N$354,3,FALSE))</f>
        <v>_</v>
      </c>
      <c r="CR754" s="44"/>
      <c r="CS754" s="45" t="s">
        <v>16</v>
      </c>
      <c r="CT754" s="46" t="str">
        <f>IF(VLOOKUP(CS754,βοηθητικό!$J$2:$N$354,3,FALSE)="","",VLOOKUP(CS754,βοηθητικό!$J$2:$N$354,3,FALSE))</f>
        <v>_</v>
      </c>
      <c r="CU754" s="47"/>
    </row>
    <row r="755" spans="1:99" x14ac:dyDescent="0.25">
      <c r="A755" s="37">
        <f>--SUBTOTAL(3,$B$3:B754)</f>
        <v>198</v>
      </c>
      <c r="B755" s="2"/>
      <c r="C755" s="3"/>
      <c r="D755" s="55" t="s">
        <v>18</v>
      </c>
      <c r="E755" s="38" t="s">
        <v>16</v>
      </c>
      <c r="F755" s="38"/>
      <c r="G755" s="39" t="str">
        <f t="shared" si="35"/>
        <v>__</v>
      </c>
      <c r="H755" s="40" t="str">
        <f t="shared" si="36"/>
        <v>FALSE</v>
      </c>
      <c r="I755" s="41">
        <f t="shared" si="37"/>
        <v>0</v>
      </c>
      <c r="J755" s="4" t="s">
        <v>16</v>
      </c>
      <c r="K755" s="43" t="str">
        <f>IF(VLOOKUP(J755,βοηθητικό!$J$2:$N$354,3,FALSE)="","",VLOOKUP(J755,βοηθητικό!$J$2:$N$354,3,FALSE))</f>
        <v>_</v>
      </c>
      <c r="L755" s="44"/>
      <c r="M755" s="5" t="s">
        <v>16</v>
      </c>
      <c r="N755" s="46" t="str">
        <f>IF(VLOOKUP(M755,βοηθητικό!$J$2:$N$354,3,FALSE)="","",VLOOKUP(M755,βοηθητικό!$J$2:$N$354,3,FALSE))</f>
        <v>_</v>
      </c>
      <c r="O755" s="47"/>
      <c r="P755" s="4" t="s">
        <v>16</v>
      </c>
      <c r="Q755" s="43" t="str">
        <f>IF(VLOOKUP(P755,βοηθητικό!$J$2:$N$354,3,FALSE)="","",VLOOKUP(P755,βοηθητικό!$J$2:$N$354,3,FALSE))</f>
        <v>_</v>
      </c>
      <c r="R755" s="44"/>
      <c r="S755" s="5" t="s">
        <v>16</v>
      </c>
      <c r="T755" s="46" t="str">
        <f>IF(VLOOKUP(S755,βοηθητικό!$J$2:$N$354,3,FALSE)="","",VLOOKUP(S755,βοηθητικό!$J$2:$N$354,3,FALSE))</f>
        <v>_</v>
      </c>
      <c r="U755" s="47"/>
      <c r="V755" s="4" t="s">
        <v>16</v>
      </c>
      <c r="W755" s="43" t="str">
        <f>IF(VLOOKUP(V755,βοηθητικό!$J$2:$N$354,3,FALSE)="","",VLOOKUP(V755,βοηθητικό!$J$2:$N$354,3,FALSE))</f>
        <v>_</v>
      </c>
      <c r="X755" s="44"/>
      <c r="Y755" s="5" t="s">
        <v>16</v>
      </c>
      <c r="Z755" s="46" t="str">
        <f>IF(VLOOKUP(Y755,βοηθητικό!$J$2:$N$354,3,FALSE)="","",VLOOKUP(Y755,βοηθητικό!$J$2:$N$354,3,FALSE))</f>
        <v>_</v>
      </c>
      <c r="AA755" s="47"/>
      <c r="AB755" s="4" t="s">
        <v>16</v>
      </c>
      <c r="AC755" s="43" t="str">
        <f>IF(VLOOKUP(AB755,βοηθητικό!$J$2:$N$354,3,FALSE)="","",VLOOKUP(AB755,βοηθητικό!$J$2:$N$354,3,FALSE))</f>
        <v>_</v>
      </c>
      <c r="AD755" s="44"/>
      <c r="AE755" s="5" t="s">
        <v>16</v>
      </c>
      <c r="AF755" s="46" t="str">
        <f>IF(VLOOKUP(AE755,βοηθητικό!$J$2:$N$354,3,FALSE)="","",VLOOKUP(AE755,βοηθητικό!$J$2:$N$354,3,FALSE))</f>
        <v>_</v>
      </c>
      <c r="AG755" s="47"/>
      <c r="AH755" s="4" t="s">
        <v>16</v>
      </c>
      <c r="AI755" s="43" t="str">
        <f>IF(VLOOKUP(AH755,βοηθητικό!$J$2:$N$354,3,FALSE)="","",VLOOKUP(AH755,βοηθητικό!$J$2:$N$354,3,FALSE))</f>
        <v>_</v>
      </c>
      <c r="AJ755" s="44"/>
      <c r="AK755" s="5" t="s">
        <v>16</v>
      </c>
      <c r="AL755" s="46" t="str">
        <f>IF(VLOOKUP(AK755,βοηθητικό!$J$2:$N$354,3,FALSE)="","",VLOOKUP(AK755,βοηθητικό!$J$2:$N$354,3,FALSE))</f>
        <v>_</v>
      </c>
      <c r="AM755" s="47"/>
      <c r="AN755" s="4" t="s">
        <v>16</v>
      </c>
      <c r="AO755" s="43" t="str">
        <f>IF(VLOOKUP(AN755,βοηθητικό!$J$2:$N$354,3,FALSE)="","",VLOOKUP(AN755,βοηθητικό!$J$2:$N$354,3,FALSE))</f>
        <v>_</v>
      </c>
      <c r="AP755" s="44"/>
      <c r="AQ755" s="5" t="s">
        <v>16</v>
      </c>
      <c r="AR755" s="46" t="str">
        <f>IF(VLOOKUP(AQ755,βοηθητικό!$J$2:$N$354,3,FALSE)="","",VLOOKUP(AQ755,βοηθητικό!$J$2:$N$354,3,FALSE))</f>
        <v>_</v>
      </c>
      <c r="AS755" s="47"/>
      <c r="AT755" s="4" t="s">
        <v>16</v>
      </c>
      <c r="AU755" s="43" t="str">
        <f>IF(VLOOKUP(AT755,βοηθητικό!$J$2:$N$354,3,FALSE)="","",VLOOKUP(AT755,βοηθητικό!$J$2:$N$354,3,FALSE))</f>
        <v>_</v>
      </c>
      <c r="AV755" s="44"/>
      <c r="AW755" s="5" t="s">
        <v>16</v>
      </c>
      <c r="AX755" s="46" t="str">
        <f>IF(VLOOKUP(AW755,βοηθητικό!$J$2:$N$354,3,FALSE)="","",VLOOKUP(AW755,βοηθητικό!$J$2:$N$354,3,FALSE))</f>
        <v>_</v>
      </c>
      <c r="AY755" s="47"/>
      <c r="AZ755" s="4" t="s">
        <v>16</v>
      </c>
      <c r="BA755" s="43" t="str">
        <f>IF(VLOOKUP(AZ755,βοηθητικό!$J$2:$N$354,3,FALSE)="","",VLOOKUP(AZ755,βοηθητικό!$J$2:$N$354,3,FALSE))</f>
        <v>_</v>
      </c>
      <c r="BB755" s="44"/>
      <c r="BC755" s="45" t="s">
        <v>16</v>
      </c>
      <c r="BD755" s="46" t="str">
        <f>IF(VLOOKUP(BC755,βοηθητικό!$J$2:$N$354,3,FALSE)="","",VLOOKUP(BC755,βοηθητικό!$J$2:$N$354,3,FALSE))</f>
        <v>_</v>
      </c>
      <c r="BE755" s="47"/>
      <c r="BF755" s="42" t="s">
        <v>16</v>
      </c>
      <c r="BG755" s="43" t="str">
        <f>IF(VLOOKUP(BF755,βοηθητικό!$J$2:$N$354,3,FALSE)="","",VLOOKUP(BF755,βοηθητικό!$J$2:$N$354,3,FALSE))</f>
        <v>_</v>
      </c>
      <c r="BH755" s="44"/>
      <c r="BI755" s="45" t="s">
        <v>16</v>
      </c>
      <c r="BJ755" s="46" t="str">
        <f>IF(VLOOKUP(BI755,βοηθητικό!$J$2:$N$354,3,FALSE)="","",VLOOKUP(BI755,βοηθητικό!$J$2:$N$354,3,FALSE))</f>
        <v>_</v>
      </c>
      <c r="BK755" s="47"/>
      <c r="BL755" s="42" t="s">
        <v>16</v>
      </c>
      <c r="BM755" s="43" t="str">
        <f>IF(VLOOKUP(BL755,βοηθητικό!$J$2:$N$354,3,FALSE)="","",VLOOKUP(BL755,βοηθητικό!$J$2:$N$354,3,FALSE))</f>
        <v>_</v>
      </c>
      <c r="BN755" s="44"/>
      <c r="BO755" s="45" t="s">
        <v>16</v>
      </c>
      <c r="BP755" s="46" t="str">
        <f>IF(VLOOKUP(BO755,βοηθητικό!$J$2:$N$354,3,FALSE)="","",VLOOKUP(BO755,βοηθητικό!$J$2:$N$354,3,FALSE))</f>
        <v>_</v>
      </c>
      <c r="BQ755" s="47"/>
      <c r="BR755" s="42" t="s">
        <v>16</v>
      </c>
      <c r="BS755" s="43" t="str">
        <f>IF(VLOOKUP(BR755,βοηθητικό!$J$2:$N$354,3,FALSE)="","",VLOOKUP(BR755,βοηθητικό!$J$2:$N$354,3,FALSE))</f>
        <v>_</v>
      </c>
      <c r="BT755" s="44"/>
      <c r="BU755" s="45" t="s">
        <v>16</v>
      </c>
      <c r="BV755" s="46" t="str">
        <f>IF(VLOOKUP(BU755,βοηθητικό!$J$2:$N$354,3,FALSE)="","",VLOOKUP(BU755,βοηθητικό!$J$2:$N$354,3,FALSE))</f>
        <v>_</v>
      </c>
      <c r="BW755" s="47"/>
      <c r="BX755" s="42" t="s">
        <v>16</v>
      </c>
      <c r="BY755" s="43" t="str">
        <f>IF(VLOOKUP(BX755,βοηθητικό!$J$2:$N$354,3,FALSE)="","",VLOOKUP(BX755,βοηθητικό!$J$2:$N$354,3,FALSE))</f>
        <v>_</v>
      </c>
      <c r="BZ755" s="44"/>
      <c r="CA755" s="45" t="s">
        <v>16</v>
      </c>
      <c r="CB755" s="46" t="str">
        <f>IF(VLOOKUP(CA755,βοηθητικό!$J$2:$N$354,3,FALSE)="","",VLOOKUP(CA755,βοηθητικό!$J$2:$N$354,3,FALSE))</f>
        <v>_</v>
      </c>
      <c r="CC755" s="47"/>
      <c r="CD755" s="42" t="s">
        <v>16</v>
      </c>
      <c r="CE755" s="43" t="str">
        <f>IF(VLOOKUP(CD755,βοηθητικό!$J$2:$N$354,3,FALSE)="","",VLOOKUP(CD755,βοηθητικό!$J$2:$N$354,3,FALSE))</f>
        <v>_</v>
      </c>
      <c r="CF755" s="44"/>
      <c r="CG755" s="45" t="s">
        <v>16</v>
      </c>
      <c r="CH755" s="46" t="str">
        <f>IF(VLOOKUP(CG755,βοηθητικό!$J$2:$N$354,3,FALSE)="","",VLOOKUP(CG755,βοηθητικό!$J$2:$N$354,3,FALSE))</f>
        <v>_</v>
      </c>
      <c r="CI755" s="47"/>
      <c r="CJ755" s="42" t="s">
        <v>16</v>
      </c>
      <c r="CK755" s="43" t="str">
        <f>IF(VLOOKUP(CJ755,βοηθητικό!$J$2:$N$354,3,FALSE)="","",VLOOKUP(CJ755,βοηθητικό!$J$2:$N$354,3,FALSE))</f>
        <v>_</v>
      </c>
      <c r="CL755" s="44"/>
      <c r="CM755" s="45" t="s">
        <v>16</v>
      </c>
      <c r="CN755" s="46" t="str">
        <f>IF(VLOOKUP(CM755,βοηθητικό!$J$2:$N$354,3,FALSE)="","",VLOOKUP(CM755,βοηθητικό!$J$2:$N$354,3,FALSE))</f>
        <v>_</v>
      </c>
      <c r="CO755" s="47"/>
      <c r="CP755" s="42" t="s">
        <v>16</v>
      </c>
      <c r="CQ755" s="43" t="str">
        <f>IF(VLOOKUP(CP755,βοηθητικό!$J$2:$N$354,3,FALSE)="","",VLOOKUP(CP755,βοηθητικό!$J$2:$N$354,3,FALSE))</f>
        <v>_</v>
      </c>
      <c r="CR755" s="44"/>
      <c r="CS755" s="45" t="s">
        <v>16</v>
      </c>
      <c r="CT755" s="46" t="str">
        <f>IF(VLOOKUP(CS755,βοηθητικό!$J$2:$N$354,3,FALSE)="","",VLOOKUP(CS755,βοηθητικό!$J$2:$N$354,3,FALSE))</f>
        <v>_</v>
      </c>
      <c r="CU755" s="47"/>
    </row>
    <row r="756" spans="1:99" x14ac:dyDescent="0.25">
      <c r="A756" s="37">
        <f>--SUBTOTAL(3,$B$3:B755)</f>
        <v>198</v>
      </c>
      <c r="B756" s="2"/>
      <c r="C756" s="3"/>
      <c r="D756" s="55" t="s">
        <v>18</v>
      </c>
      <c r="E756" s="38" t="s">
        <v>16</v>
      </c>
      <c r="F756" s="38"/>
      <c r="G756" s="39" t="str">
        <f t="shared" si="35"/>
        <v>__</v>
      </c>
      <c r="H756" s="40" t="str">
        <f t="shared" si="36"/>
        <v>FALSE</v>
      </c>
      <c r="I756" s="41">
        <f t="shared" si="37"/>
        <v>0</v>
      </c>
      <c r="J756" s="4" t="s">
        <v>16</v>
      </c>
      <c r="K756" s="43" t="str">
        <f>IF(VLOOKUP(J756,βοηθητικό!$J$2:$N$354,3,FALSE)="","",VLOOKUP(J756,βοηθητικό!$J$2:$N$354,3,FALSE))</f>
        <v>_</v>
      </c>
      <c r="L756" s="44"/>
      <c r="M756" s="5" t="s">
        <v>16</v>
      </c>
      <c r="N756" s="46" t="str">
        <f>IF(VLOOKUP(M756,βοηθητικό!$J$2:$N$354,3,FALSE)="","",VLOOKUP(M756,βοηθητικό!$J$2:$N$354,3,FALSE))</f>
        <v>_</v>
      </c>
      <c r="O756" s="47"/>
      <c r="P756" s="4" t="s">
        <v>16</v>
      </c>
      <c r="Q756" s="43" t="str">
        <f>IF(VLOOKUP(P756,βοηθητικό!$J$2:$N$354,3,FALSE)="","",VLOOKUP(P756,βοηθητικό!$J$2:$N$354,3,FALSE))</f>
        <v>_</v>
      </c>
      <c r="R756" s="44"/>
      <c r="S756" s="5" t="s">
        <v>16</v>
      </c>
      <c r="T756" s="46" t="str">
        <f>IF(VLOOKUP(S756,βοηθητικό!$J$2:$N$354,3,FALSE)="","",VLOOKUP(S756,βοηθητικό!$J$2:$N$354,3,FALSE))</f>
        <v>_</v>
      </c>
      <c r="U756" s="47"/>
      <c r="V756" s="4" t="s">
        <v>16</v>
      </c>
      <c r="W756" s="43" t="str">
        <f>IF(VLOOKUP(V756,βοηθητικό!$J$2:$N$354,3,FALSE)="","",VLOOKUP(V756,βοηθητικό!$J$2:$N$354,3,FALSE))</f>
        <v>_</v>
      </c>
      <c r="X756" s="44"/>
      <c r="Y756" s="5" t="s">
        <v>16</v>
      </c>
      <c r="Z756" s="46" t="str">
        <f>IF(VLOOKUP(Y756,βοηθητικό!$J$2:$N$354,3,FALSE)="","",VLOOKUP(Y756,βοηθητικό!$J$2:$N$354,3,FALSE))</f>
        <v>_</v>
      </c>
      <c r="AA756" s="47"/>
      <c r="AB756" s="4" t="s">
        <v>16</v>
      </c>
      <c r="AC756" s="43" t="str">
        <f>IF(VLOOKUP(AB756,βοηθητικό!$J$2:$N$354,3,FALSE)="","",VLOOKUP(AB756,βοηθητικό!$J$2:$N$354,3,FALSE))</f>
        <v>_</v>
      </c>
      <c r="AD756" s="44"/>
      <c r="AE756" s="5" t="s">
        <v>16</v>
      </c>
      <c r="AF756" s="46" t="str">
        <f>IF(VLOOKUP(AE756,βοηθητικό!$J$2:$N$354,3,FALSE)="","",VLOOKUP(AE756,βοηθητικό!$J$2:$N$354,3,FALSE))</f>
        <v>_</v>
      </c>
      <c r="AG756" s="47"/>
      <c r="AH756" s="4" t="s">
        <v>16</v>
      </c>
      <c r="AI756" s="43" t="str">
        <f>IF(VLOOKUP(AH756,βοηθητικό!$J$2:$N$354,3,FALSE)="","",VLOOKUP(AH756,βοηθητικό!$J$2:$N$354,3,FALSE))</f>
        <v>_</v>
      </c>
      <c r="AJ756" s="44"/>
      <c r="AK756" s="5" t="s">
        <v>16</v>
      </c>
      <c r="AL756" s="46" t="str">
        <f>IF(VLOOKUP(AK756,βοηθητικό!$J$2:$N$354,3,FALSE)="","",VLOOKUP(AK756,βοηθητικό!$J$2:$N$354,3,FALSE))</f>
        <v>_</v>
      </c>
      <c r="AM756" s="47"/>
      <c r="AN756" s="4" t="s">
        <v>16</v>
      </c>
      <c r="AO756" s="43" t="str">
        <f>IF(VLOOKUP(AN756,βοηθητικό!$J$2:$N$354,3,FALSE)="","",VLOOKUP(AN756,βοηθητικό!$J$2:$N$354,3,FALSE))</f>
        <v>_</v>
      </c>
      <c r="AP756" s="44"/>
      <c r="AQ756" s="5" t="s">
        <v>16</v>
      </c>
      <c r="AR756" s="46" t="str">
        <f>IF(VLOOKUP(AQ756,βοηθητικό!$J$2:$N$354,3,FALSE)="","",VLOOKUP(AQ756,βοηθητικό!$J$2:$N$354,3,FALSE))</f>
        <v>_</v>
      </c>
      <c r="AS756" s="47"/>
      <c r="AT756" s="4" t="s">
        <v>16</v>
      </c>
      <c r="AU756" s="43" t="str">
        <f>IF(VLOOKUP(AT756,βοηθητικό!$J$2:$N$354,3,FALSE)="","",VLOOKUP(AT756,βοηθητικό!$J$2:$N$354,3,FALSE))</f>
        <v>_</v>
      </c>
      <c r="AV756" s="44"/>
      <c r="AW756" s="5" t="s">
        <v>16</v>
      </c>
      <c r="AX756" s="46" t="str">
        <f>IF(VLOOKUP(AW756,βοηθητικό!$J$2:$N$354,3,FALSE)="","",VLOOKUP(AW756,βοηθητικό!$J$2:$N$354,3,FALSE))</f>
        <v>_</v>
      </c>
      <c r="AY756" s="47"/>
      <c r="AZ756" s="4" t="s">
        <v>16</v>
      </c>
      <c r="BA756" s="43" t="str">
        <f>IF(VLOOKUP(AZ756,βοηθητικό!$J$2:$N$354,3,FALSE)="","",VLOOKUP(AZ756,βοηθητικό!$J$2:$N$354,3,FALSE))</f>
        <v>_</v>
      </c>
      <c r="BB756" s="44"/>
      <c r="BC756" s="45" t="s">
        <v>16</v>
      </c>
      <c r="BD756" s="46" t="str">
        <f>IF(VLOOKUP(BC756,βοηθητικό!$J$2:$N$354,3,FALSE)="","",VLOOKUP(BC756,βοηθητικό!$J$2:$N$354,3,FALSE))</f>
        <v>_</v>
      </c>
      <c r="BE756" s="47"/>
      <c r="BF756" s="42" t="s">
        <v>16</v>
      </c>
      <c r="BG756" s="43" t="str">
        <f>IF(VLOOKUP(BF756,βοηθητικό!$J$2:$N$354,3,FALSE)="","",VLOOKUP(BF756,βοηθητικό!$J$2:$N$354,3,FALSE))</f>
        <v>_</v>
      </c>
      <c r="BH756" s="44"/>
      <c r="BI756" s="45" t="s">
        <v>16</v>
      </c>
      <c r="BJ756" s="46" t="str">
        <f>IF(VLOOKUP(BI756,βοηθητικό!$J$2:$N$354,3,FALSE)="","",VLOOKUP(BI756,βοηθητικό!$J$2:$N$354,3,FALSE))</f>
        <v>_</v>
      </c>
      <c r="BK756" s="47"/>
      <c r="BL756" s="42" t="s">
        <v>16</v>
      </c>
      <c r="BM756" s="43" t="str">
        <f>IF(VLOOKUP(BL756,βοηθητικό!$J$2:$N$354,3,FALSE)="","",VLOOKUP(BL756,βοηθητικό!$J$2:$N$354,3,FALSE))</f>
        <v>_</v>
      </c>
      <c r="BN756" s="44"/>
      <c r="BO756" s="45" t="s">
        <v>16</v>
      </c>
      <c r="BP756" s="46" t="str">
        <f>IF(VLOOKUP(BO756,βοηθητικό!$J$2:$N$354,3,FALSE)="","",VLOOKUP(BO756,βοηθητικό!$J$2:$N$354,3,FALSE))</f>
        <v>_</v>
      </c>
      <c r="BQ756" s="47"/>
      <c r="BR756" s="42" t="s">
        <v>16</v>
      </c>
      <c r="BS756" s="43" t="str">
        <f>IF(VLOOKUP(BR756,βοηθητικό!$J$2:$N$354,3,FALSE)="","",VLOOKUP(BR756,βοηθητικό!$J$2:$N$354,3,FALSE))</f>
        <v>_</v>
      </c>
      <c r="BT756" s="44"/>
      <c r="BU756" s="45" t="s">
        <v>16</v>
      </c>
      <c r="BV756" s="46" t="str">
        <f>IF(VLOOKUP(BU756,βοηθητικό!$J$2:$N$354,3,FALSE)="","",VLOOKUP(BU756,βοηθητικό!$J$2:$N$354,3,FALSE))</f>
        <v>_</v>
      </c>
      <c r="BW756" s="47"/>
      <c r="BX756" s="42" t="s">
        <v>16</v>
      </c>
      <c r="BY756" s="43" t="str">
        <f>IF(VLOOKUP(BX756,βοηθητικό!$J$2:$N$354,3,FALSE)="","",VLOOKUP(BX756,βοηθητικό!$J$2:$N$354,3,FALSE))</f>
        <v>_</v>
      </c>
      <c r="BZ756" s="44"/>
      <c r="CA756" s="45" t="s">
        <v>16</v>
      </c>
      <c r="CB756" s="46" t="str">
        <f>IF(VLOOKUP(CA756,βοηθητικό!$J$2:$N$354,3,FALSE)="","",VLOOKUP(CA756,βοηθητικό!$J$2:$N$354,3,FALSE))</f>
        <v>_</v>
      </c>
      <c r="CC756" s="47"/>
      <c r="CD756" s="42" t="s">
        <v>16</v>
      </c>
      <c r="CE756" s="43" t="str">
        <f>IF(VLOOKUP(CD756,βοηθητικό!$J$2:$N$354,3,FALSE)="","",VLOOKUP(CD756,βοηθητικό!$J$2:$N$354,3,FALSE))</f>
        <v>_</v>
      </c>
      <c r="CF756" s="44"/>
      <c r="CG756" s="45" t="s">
        <v>16</v>
      </c>
      <c r="CH756" s="46" t="str">
        <f>IF(VLOOKUP(CG756,βοηθητικό!$J$2:$N$354,3,FALSE)="","",VLOOKUP(CG756,βοηθητικό!$J$2:$N$354,3,FALSE))</f>
        <v>_</v>
      </c>
      <c r="CI756" s="47"/>
      <c r="CJ756" s="42" t="s">
        <v>16</v>
      </c>
      <c r="CK756" s="43" t="str">
        <f>IF(VLOOKUP(CJ756,βοηθητικό!$J$2:$N$354,3,FALSE)="","",VLOOKUP(CJ756,βοηθητικό!$J$2:$N$354,3,FALSE))</f>
        <v>_</v>
      </c>
      <c r="CL756" s="44"/>
      <c r="CM756" s="45" t="s">
        <v>16</v>
      </c>
      <c r="CN756" s="46" t="str">
        <f>IF(VLOOKUP(CM756,βοηθητικό!$J$2:$N$354,3,FALSE)="","",VLOOKUP(CM756,βοηθητικό!$J$2:$N$354,3,FALSE))</f>
        <v>_</v>
      </c>
      <c r="CO756" s="47"/>
      <c r="CP756" s="42" t="s">
        <v>16</v>
      </c>
      <c r="CQ756" s="43" t="str">
        <f>IF(VLOOKUP(CP756,βοηθητικό!$J$2:$N$354,3,FALSE)="","",VLOOKUP(CP756,βοηθητικό!$J$2:$N$354,3,FALSE))</f>
        <v>_</v>
      </c>
      <c r="CR756" s="44"/>
      <c r="CS756" s="45" t="s">
        <v>16</v>
      </c>
      <c r="CT756" s="46" t="str">
        <f>IF(VLOOKUP(CS756,βοηθητικό!$J$2:$N$354,3,FALSE)="","",VLOOKUP(CS756,βοηθητικό!$J$2:$N$354,3,FALSE))</f>
        <v>_</v>
      </c>
      <c r="CU756" s="47"/>
    </row>
    <row r="757" spans="1:99" x14ac:dyDescent="0.25">
      <c r="A757" s="37">
        <f>--SUBTOTAL(3,$B$3:B756)</f>
        <v>198</v>
      </c>
      <c r="B757" s="2"/>
      <c r="C757" s="3"/>
      <c r="D757" s="55" t="s">
        <v>18</v>
      </c>
      <c r="E757" s="38" t="s">
        <v>16</v>
      </c>
      <c r="F757" s="38"/>
      <c r="G757" s="39" t="str">
        <f t="shared" si="35"/>
        <v>__</v>
      </c>
      <c r="H757" s="40" t="str">
        <f t="shared" si="36"/>
        <v>FALSE</v>
      </c>
      <c r="I757" s="41">
        <f t="shared" si="37"/>
        <v>0</v>
      </c>
      <c r="J757" s="4" t="s">
        <v>16</v>
      </c>
      <c r="K757" s="43" t="str">
        <f>IF(VLOOKUP(J757,βοηθητικό!$J$2:$N$354,3,FALSE)="","",VLOOKUP(J757,βοηθητικό!$J$2:$N$354,3,FALSE))</f>
        <v>_</v>
      </c>
      <c r="L757" s="44"/>
      <c r="M757" s="5" t="s">
        <v>16</v>
      </c>
      <c r="N757" s="46" t="str">
        <f>IF(VLOOKUP(M757,βοηθητικό!$J$2:$N$354,3,FALSE)="","",VLOOKUP(M757,βοηθητικό!$J$2:$N$354,3,FALSE))</f>
        <v>_</v>
      </c>
      <c r="O757" s="47"/>
      <c r="P757" s="4" t="s">
        <v>16</v>
      </c>
      <c r="Q757" s="43" t="str">
        <f>IF(VLOOKUP(P757,βοηθητικό!$J$2:$N$354,3,FALSE)="","",VLOOKUP(P757,βοηθητικό!$J$2:$N$354,3,FALSE))</f>
        <v>_</v>
      </c>
      <c r="R757" s="44"/>
      <c r="S757" s="5" t="s">
        <v>16</v>
      </c>
      <c r="T757" s="46" t="str">
        <f>IF(VLOOKUP(S757,βοηθητικό!$J$2:$N$354,3,FALSE)="","",VLOOKUP(S757,βοηθητικό!$J$2:$N$354,3,FALSE))</f>
        <v>_</v>
      </c>
      <c r="U757" s="47"/>
      <c r="V757" s="4" t="s">
        <v>16</v>
      </c>
      <c r="W757" s="43" t="str">
        <f>IF(VLOOKUP(V757,βοηθητικό!$J$2:$N$354,3,FALSE)="","",VLOOKUP(V757,βοηθητικό!$J$2:$N$354,3,FALSE))</f>
        <v>_</v>
      </c>
      <c r="X757" s="44"/>
      <c r="Y757" s="5" t="s">
        <v>16</v>
      </c>
      <c r="Z757" s="46" t="str">
        <f>IF(VLOOKUP(Y757,βοηθητικό!$J$2:$N$354,3,FALSE)="","",VLOOKUP(Y757,βοηθητικό!$J$2:$N$354,3,FALSE))</f>
        <v>_</v>
      </c>
      <c r="AA757" s="47"/>
      <c r="AB757" s="4" t="s">
        <v>16</v>
      </c>
      <c r="AC757" s="43" t="str">
        <f>IF(VLOOKUP(AB757,βοηθητικό!$J$2:$N$354,3,FALSE)="","",VLOOKUP(AB757,βοηθητικό!$J$2:$N$354,3,FALSE))</f>
        <v>_</v>
      </c>
      <c r="AD757" s="44"/>
      <c r="AE757" s="5" t="s">
        <v>16</v>
      </c>
      <c r="AF757" s="46" t="str">
        <f>IF(VLOOKUP(AE757,βοηθητικό!$J$2:$N$354,3,FALSE)="","",VLOOKUP(AE757,βοηθητικό!$J$2:$N$354,3,FALSE))</f>
        <v>_</v>
      </c>
      <c r="AG757" s="47"/>
      <c r="AH757" s="4" t="s">
        <v>16</v>
      </c>
      <c r="AI757" s="43" t="str">
        <f>IF(VLOOKUP(AH757,βοηθητικό!$J$2:$N$354,3,FALSE)="","",VLOOKUP(AH757,βοηθητικό!$J$2:$N$354,3,FALSE))</f>
        <v>_</v>
      </c>
      <c r="AJ757" s="44"/>
      <c r="AK757" s="5" t="s">
        <v>16</v>
      </c>
      <c r="AL757" s="46" t="str">
        <f>IF(VLOOKUP(AK757,βοηθητικό!$J$2:$N$354,3,FALSE)="","",VLOOKUP(AK757,βοηθητικό!$J$2:$N$354,3,FALSE))</f>
        <v>_</v>
      </c>
      <c r="AM757" s="47"/>
      <c r="AN757" s="4" t="s">
        <v>16</v>
      </c>
      <c r="AO757" s="43" t="str">
        <f>IF(VLOOKUP(AN757,βοηθητικό!$J$2:$N$354,3,FALSE)="","",VLOOKUP(AN757,βοηθητικό!$J$2:$N$354,3,FALSE))</f>
        <v>_</v>
      </c>
      <c r="AP757" s="44"/>
      <c r="AQ757" s="5" t="s">
        <v>16</v>
      </c>
      <c r="AR757" s="46" t="str">
        <f>IF(VLOOKUP(AQ757,βοηθητικό!$J$2:$N$354,3,FALSE)="","",VLOOKUP(AQ757,βοηθητικό!$J$2:$N$354,3,FALSE))</f>
        <v>_</v>
      </c>
      <c r="AS757" s="47"/>
      <c r="AT757" s="4" t="s">
        <v>16</v>
      </c>
      <c r="AU757" s="43" t="str">
        <f>IF(VLOOKUP(AT757,βοηθητικό!$J$2:$N$354,3,FALSE)="","",VLOOKUP(AT757,βοηθητικό!$J$2:$N$354,3,FALSE))</f>
        <v>_</v>
      </c>
      <c r="AV757" s="44"/>
      <c r="AW757" s="5" t="s">
        <v>16</v>
      </c>
      <c r="AX757" s="46" t="str">
        <f>IF(VLOOKUP(AW757,βοηθητικό!$J$2:$N$354,3,FALSE)="","",VLOOKUP(AW757,βοηθητικό!$J$2:$N$354,3,FALSE))</f>
        <v>_</v>
      </c>
      <c r="AY757" s="47"/>
      <c r="AZ757" s="4" t="s">
        <v>16</v>
      </c>
      <c r="BA757" s="43" t="str">
        <f>IF(VLOOKUP(AZ757,βοηθητικό!$J$2:$N$354,3,FALSE)="","",VLOOKUP(AZ757,βοηθητικό!$J$2:$N$354,3,FALSE))</f>
        <v>_</v>
      </c>
      <c r="BB757" s="44"/>
      <c r="BC757" s="45" t="s">
        <v>16</v>
      </c>
      <c r="BD757" s="46" t="str">
        <f>IF(VLOOKUP(BC757,βοηθητικό!$J$2:$N$354,3,FALSE)="","",VLOOKUP(BC757,βοηθητικό!$J$2:$N$354,3,FALSE))</f>
        <v>_</v>
      </c>
      <c r="BE757" s="47"/>
      <c r="BF757" s="42" t="s">
        <v>16</v>
      </c>
      <c r="BG757" s="43" t="str">
        <f>IF(VLOOKUP(BF757,βοηθητικό!$J$2:$N$354,3,FALSE)="","",VLOOKUP(BF757,βοηθητικό!$J$2:$N$354,3,FALSE))</f>
        <v>_</v>
      </c>
      <c r="BH757" s="44"/>
      <c r="BI757" s="45" t="s">
        <v>16</v>
      </c>
      <c r="BJ757" s="46" t="str">
        <f>IF(VLOOKUP(BI757,βοηθητικό!$J$2:$N$354,3,FALSE)="","",VLOOKUP(BI757,βοηθητικό!$J$2:$N$354,3,FALSE))</f>
        <v>_</v>
      </c>
      <c r="BK757" s="47"/>
      <c r="BL757" s="42" t="s">
        <v>16</v>
      </c>
      <c r="BM757" s="43" t="str">
        <f>IF(VLOOKUP(BL757,βοηθητικό!$J$2:$N$354,3,FALSE)="","",VLOOKUP(BL757,βοηθητικό!$J$2:$N$354,3,FALSE))</f>
        <v>_</v>
      </c>
      <c r="BN757" s="44"/>
      <c r="BO757" s="45" t="s">
        <v>16</v>
      </c>
      <c r="BP757" s="46" t="str">
        <f>IF(VLOOKUP(BO757,βοηθητικό!$J$2:$N$354,3,FALSE)="","",VLOOKUP(BO757,βοηθητικό!$J$2:$N$354,3,FALSE))</f>
        <v>_</v>
      </c>
      <c r="BQ757" s="47"/>
      <c r="BR757" s="42" t="s">
        <v>16</v>
      </c>
      <c r="BS757" s="43" t="str">
        <f>IF(VLOOKUP(BR757,βοηθητικό!$J$2:$N$354,3,FALSE)="","",VLOOKUP(BR757,βοηθητικό!$J$2:$N$354,3,FALSE))</f>
        <v>_</v>
      </c>
      <c r="BT757" s="44"/>
      <c r="BU757" s="45" t="s">
        <v>16</v>
      </c>
      <c r="BV757" s="46" t="str">
        <f>IF(VLOOKUP(BU757,βοηθητικό!$J$2:$N$354,3,FALSE)="","",VLOOKUP(BU757,βοηθητικό!$J$2:$N$354,3,FALSE))</f>
        <v>_</v>
      </c>
      <c r="BW757" s="47"/>
      <c r="BX757" s="42" t="s">
        <v>16</v>
      </c>
      <c r="BY757" s="43" t="str">
        <f>IF(VLOOKUP(BX757,βοηθητικό!$J$2:$N$354,3,FALSE)="","",VLOOKUP(BX757,βοηθητικό!$J$2:$N$354,3,FALSE))</f>
        <v>_</v>
      </c>
      <c r="BZ757" s="44"/>
      <c r="CA757" s="45" t="s">
        <v>16</v>
      </c>
      <c r="CB757" s="46" t="str">
        <f>IF(VLOOKUP(CA757,βοηθητικό!$J$2:$N$354,3,FALSE)="","",VLOOKUP(CA757,βοηθητικό!$J$2:$N$354,3,FALSE))</f>
        <v>_</v>
      </c>
      <c r="CC757" s="47"/>
      <c r="CD757" s="42" t="s">
        <v>16</v>
      </c>
      <c r="CE757" s="43" t="str">
        <f>IF(VLOOKUP(CD757,βοηθητικό!$J$2:$N$354,3,FALSE)="","",VLOOKUP(CD757,βοηθητικό!$J$2:$N$354,3,FALSE))</f>
        <v>_</v>
      </c>
      <c r="CF757" s="44"/>
      <c r="CG757" s="45" t="s">
        <v>16</v>
      </c>
      <c r="CH757" s="46" t="str">
        <f>IF(VLOOKUP(CG757,βοηθητικό!$J$2:$N$354,3,FALSE)="","",VLOOKUP(CG757,βοηθητικό!$J$2:$N$354,3,FALSE))</f>
        <v>_</v>
      </c>
      <c r="CI757" s="47"/>
      <c r="CJ757" s="42" t="s">
        <v>16</v>
      </c>
      <c r="CK757" s="43" t="str">
        <f>IF(VLOOKUP(CJ757,βοηθητικό!$J$2:$N$354,3,FALSE)="","",VLOOKUP(CJ757,βοηθητικό!$J$2:$N$354,3,FALSE))</f>
        <v>_</v>
      </c>
      <c r="CL757" s="44"/>
      <c r="CM757" s="45" t="s">
        <v>16</v>
      </c>
      <c r="CN757" s="46" t="str">
        <f>IF(VLOOKUP(CM757,βοηθητικό!$J$2:$N$354,3,FALSE)="","",VLOOKUP(CM757,βοηθητικό!$J$2:$N$354,3,FALSE))</f>
        <v>_</v>
      </c>
      <c r="CO757" s="47"/>
      <c r="CP757" s="42" t="s">
        <v>16</v>
      </c>
      <c r="CQ757" s="43" t="str">
        <f>IF(VLOOKUP(CP757,βοηθητικό!$J$2:$N$354,3,FALSE)="","",VLOOKUP(CP757,βοηθητικό!$J$2:$N$354,3,FALSE))</f>
        <v>_</v>
      </c>
      <c r="CR757" s="44"/>
      <c r="CS757" s="45" t="s">
        <v>16</v>
      </c>
      <c r="CT757" s="46" t="str">
        <f>IF(VLOOKUP(CS757,βοηθητικό!$J$2:$N$354,3,FALSE)="","",VLOOKUP(CS757,βοηθητικό!$J$2:$N$354,3,FALSE))</f>
        <v>_</v>
      </c>
      <c r="CU757" s="47"/>
    </row>
    <row r="758" spans="1:99" x14ac:dyDescent="0.25">
      <c r="A758" s="37">
        <f>--SUBTOTAL(3,$B$3:B757)</f>
        <v>198</v>
      </c>
      <c r="B758" s="2"/>
      <c r="C758" s="3"/>
      <c r="D758" s="55" t="s">
        <v>18</v>
      </c>
      <c r="E758" s="38" t="s">
        <v>16</v>
      </c>
      <c r="F758" s="38"/>
      <c r="G758" s="39" t="str">
        <f t="shared" si="35"/>
        <v>__</v>
      </c>
      <c r="H758" s="40" t="str">
        <f t="shared" si="36"/>
        <v>FALSE</v>
      </c>
      <c r="I758" s="41">
        <f t="shared" si="37"/>
        <v>0</v>
      </c>
      <c r="J758" s="4" t="s">
        <v>16</v>
      </c>
      <c r="K758" s="43" t="str">
        <f>IF(VLOOKUP(J758,βοηθητικό!$J$2:$N$354,3,FALSE)="","",VLOOKUP(J758,βοηθητικό!$J$2:$N$354,3,FALSE))</f>
        <v>_</v>
      </c>
      <c r="L758" s="44"/>
      <c r="M758" s="5" t="s">
        <v>16</v>
      </c>
      <c r="N758" s="46" t="str">
        <f>IF(VLOOKUP(M758,βοηθητικό!$J$2:$N$354,3,FALSE)="","",VLOOKUP(M758,βοηθητικό!$J$2:$N$354,3,FALSE))</f>
        <v>_</v>
      </c>
      <c r="O758" s="47"/>
      <c r="P758" s="4" t="s">
        <v>16</v>
      </c>
      <c r="Q758" s="43" t="str">
        <f>IF(VLOOKUP(P758,βοηθητικό!$J$2:$N$354,3,FALSE)="","",VLOOKUP(P758,βοηθητικό!$J$2:$N$354,3,FALSE))</f>
        <v>_</v>
      </c>
      <c r="R758" s="44"/>
      <c r="S758" s="5" t="s">
        <v>16</v>
      </c>
      <c r="T758" s="46" t="str">
        <f>IF(VLOOKUP(S758,βοηθητικό!$J$2:$N$354,3,FALSE)="","",VLOOKUP(S758,βοηθητικό!$J$2:$N$354,3,FALSE))</f>
        <v>_</v>
      </c>
      <c r="U758" s="47"/>
      <c r="V758" s="4" t="s">
        <v>16</v>
      </c>
      <c r="W758" s="43" t="str">
        <f>IF(VLOOKUP(V758,βοηθητικό!$J$2:$N$354,3,FALSE)="","",VLOOKUP(V758,βοηθητικό!$J$2:$N$354,3,FALSE))</f>
        <v>_</v>
      </c>
      <c r="X758" s="44"/>
      <c r="Y758" s="5" t="s">
        <v>16</v>
      </c>
      <c r="Z758" s="46" t="str">
        <f>IF(VLOOKUP(Y758,βοηθητικό!$J$2:$N$354,3,FALSE)="","",VLOOKUP(Y758,βοηθητικό!$J$2:$N$354,3,FALSE))</f>
        <v>_</v>
      </c>
      <c r="AA758" s="47"/>
      <c r="AB758" s="4" t="s">
        <v>16</v>
      </c>
      <c r="AC758" s="43" t="str">
        <f>IF(VLOOKUP(AB758,βοηθητικό!$J$2:$N$354,3,FALSE)="","",VLOOKUP(AB758,βοηθητικό!$J$2:$N$354,3,FALSE))</f>
        <v>_</v>
      </c>
      <c r="AD758" s="44"/>
      <c r="AE758" s="5" t="s">
        <v>16</v>
      </c>
      <c r="AF758" s="46" t="str">
        <f>IF(VLOOKUP(AE758,βοηθητικό!$J$2:$N$354,3,FALSE)="","",VLOOKUP(AE758,βοηθητικό!$J$2:$N$354,3,FALSE))</f>
        <v>_</v>
      </c>
      <c r="AG758" s="47"/>
      <c r="AH758" s="4" t="s">
        <v>16</v>
      </c>
      <c r="AI758" s="43" t="str">
        <f>IF(VLOOKUP(AH758,βοηθητικό!$J$2:$N$354,3,FALSE)="","",VLOOKUP(AH758,βοηθητικό!$J$2:$N$354,3,FALSE))</f>
        <v>_</v>
      </c>
      <c r="AJ758" s="44"/>
      <c r="AK758" s="5" t="s">
        <v>16</v>
      </c>
      <c r="AL758" s="46" t="str">
        <f>IF(VLOOKUP(AK758,βοηθητικό!$J$2:$N$354,3,FALSE)="","",VLOOKUP(AK758,βοηθητικό!$J$2:$N$354,3,FALSE))</f>
        <v>_</v>
      </c>
      <c r="AM758" s="47"/>
      <c r="AN758" s="4" t="s">
        <v>16</v>
      </c>
      <c r="AO758" s="43" t="str">
        <f>IF(VLOOKUP(AN758,βοηθητικό!$J$2:$N$354,3,FALSE)="","",VLOOKUP(AN758,βοηθητικό!$J$2:$N$354,3,FALSE))</f>
        <v>_</v>
      </c>
      <c r="AP758" s="44"/>
      <c r="AQ758" s="5" t="s">
        <v>16</v>
      </c>
      <c r="AR758" s="46" t="str">
        <f>IF(VLOOKUP(AQ758,βοηθητικό!$J$2:$N$354,3,FALSE)="","",VLOOKUP(AQ758,βοηθητικό!$J$2:$N$354,3,FALSE))</f>
        <v>_</v>
      </c>
      <c r="AS758" s="47"/>
      <c r="AT758" s="4" t="s">
        <v>16</v>
      </c>
      <c r="AU758" s="43" t="str">
        <f>IF(VLOOKUP(AT758,βοηθητικό!$J$2:$N$354,3,FALSE)="","",VLOOKUP(AT758,βοηθητικό!$J$2:$N$354,3,FALSE))</f>
        <v>_</v>
      </c>
      <c r="AV758" s="44"/>
      <c r="AW758" s="5" t="s">
        <v>16</v>
      </c>
      <c r="AX758" s="46" t="str">
        <f>IF(VLOOKUP(AW758,βοηθητικό!$J$2:$N$354,3,FALSE)="","",VLOOKUP(AW758,βοηθητικό!$J$2:$N$354,3,FALSE))</f>
        <v>_</v>
      </c>
      <c r="AY758" s="47"/>
      <c r="AZ758" s="4" t="s">
        <v>16</v>
      </c>
      <c r="BA758" s="43" t="str">
        <f>IF(VLOOKUP(AZ758,βοηθητικό!$J$2:$N$354,3,FALSE)="","",VLOOKUP(AZ758,βοηθητικό!$J$2:$N$354,3,FALSE))</f>
        <v>_</v>
      </c>
      <c r="BB758" s="44"/>
      <c r="BC758" s="45" t="s">
        <v>16</v>
      </c>
      <c r="BD758" s="46" t="str">
        <f>IF(VLOOKUP(BC758,βοηθητικό!$J$2:$N$354,3,FALSE)="","",VLOOKUP(BC758,βοηθητικό!$J$2:$N$354,3,FALSE))</f>
        <v>_</v>
      </c>
      <c r="BE758" s="47"/>
      <c r="BF758" s="42" t="s">
        <v>16</v>
      </c>
      <c r="BG758" s="43" t="str">
        <f>IF(VLOOKUP(BF758,βοηθητικό!$J$2:$N$354,3,FALSE)="","",VLOOKUP(BF758,βοηθητικό!$J$2:$N$354,3,FALSE))</f>
        <v>_</v>
      </c>
      <c r="BH758" s="44"/>
      <c r="BI758" s="45" t="s">
        <v>16</v>
      </c>
      <c r="BJ758" s="46" t="str">
        <f>IF(VLOOKUP(BI758,βοηθητικό!$J$2:$N$354,3,FALSE)="","",VLOOKUP(BI758,βοηθητικό!$J$2:$N$354,3,FALSE))</f>
        <v>_</v>
      </c>
      <c r="BK758" s="47"/>
      <c r="BL758" s="42" t="s">
        <v>16</v>
      </c>
      <c r="BM758" s="43" t="str">
        <f>IF(VLOOKUP(BL758,βοηθητικό!$J$2:$N$354,3,FALSE)="","",VLOOKUP(BL758,βοηθητικό!$J$2:$N$354,3,FALSE))</f>
        <v>_</v>
      </c>
      <c r="BN758" s="44"/>
      <c r="BO758" s="45" t="s">
        <v>16</v>
      </c>
      <c r="BP758" s="46" t="str">
        <f>IF(VLOOKUP(BO758,βοηθητικό!$J$2:$N$354,3,FALSE)="","",VLOOKUP(BO758,βοηθητικό!$J$2:$N$354,3,FALSE))</f>
        <v>_</v>
      </c>
      <c r="BQ758" s="47"/>
      <c r="BR758" s="42" t="s">
        <v>16</v>
      </c>
      <c r="BS758" s="43" t="str">
        <f>IF(VLOOKUP(BR758,βοηθητικό!$J$2:$N$354,3,FALSE)="","",VLOOKUP(BR758,βοηθητικό!$J$2:$N$354,3,FALSE))</f>
        <v>_</v>
      </c>
      <c r="BT758" s="44"/>
      <c r="BU758" s="45" t="s">
        <v>16</v>
      </c>
      <c r="BV758" s="46" t="str">
        <f>IF(VLOOKUP(BU758,βοηθητικό!$J$2:$N$354,3,FALSE)="","",VLOOKUP(BU758,βοηθητικό!$J$2:$N$354,3,FALSE))</f>
        <v>_</v>
      </c>
      <c r="BW758" s="47"/>
      <c r="BX758" s="42" t="s">
        <v>16</v>
      </c>
      <c r="BY758" s="43" t="str">
        <f>IF(VLOOKUP(BX758,βοηθητικό!$J$2:$N$354,3,FALSE)="","",VLOOKUP(BX758,βοηθητικό!$J$2:$N$354,3,FALSE))</f>
        <v>_</v>
      </c>
      <c r="BZ758" s="44"/>
      <c r="CA758" s="45" t="s">
        <v>16</v>
      </c>
      <c r="CB758" s="46" t="str">
        <f>IF(VLOOKUP(CA758,βοηθητικό!$J$2:$N$354,3,FALSE)="","",VLOOKUP(CA758,βοηθητικό!$J$2:$N$354,3,FALSE))</f>
        <v>_</v>
      </c>
      <c r="CC758" s="47"/>
      <c r="CD758" s="42" t="s">
        <v>16</v>
      </c>
      <c r="CE758" s="43" t="str">
        <f>IF(VLOOKUP(CD758,βοηθητικό!$J$2:$N$354,3,FALSE)="","",VLOOKUP(CD758,βοηθητικό!$J$2:$N$354,3,FALSE))</f>
        <v>_</v>
      </c>
      <c r="CF758" s="44"/>
      <c r="CG758" s="45" t="s">
        <v>16</v>
      </c>
      <c r="CH758" s="46" t="str">
        <f>IF(VLOOKUP(CG758,βοηθητικό!$J$2:$N$354,3,FALSE)="","",VLOOKUP(CG758,βοηθητικό!$J$2:$N$354,3,FALSE))</f>
        <v>_</v>
      </c>
      <c r="CI758" s="47"/>
      <c r="CJ758" s="42" t="s">
        <v>16</v>
      </c>
      <c r="CK758" s="43" t="str">
        <f>IF(VLOOKUP(CJ758,βοηθητικό!$J$2:$N$354,3,FALSE)="","",VLOOKUP(CJ758,βοηθητικό!$J$2:$N$354,3,FALSE))</f>
        <v>_</v>
      </c>
      <c r="CL758" s="44"/>
      <c r="CM758" s="45" t="s">
        <v>16</v>
      </c>
      <c r="CN758" s="46" t="str">
        <f>IF(VLOOKUP(CM758,βοηθητικό!$J$2:$N$354,3,FALSE)="","",VLOOKUP(CM758,βοηθητικό!$J$2:$N$354,3,FALSE))</f>
        <v>_</v>
      </c>
      <c r="CO758" s="47"/>
      <c r="CP758" s="42" t="s">
        <v>16</v>
      </c>
      <c r="CQ758" s="43" t="str">
        <f>IF(VLOOKUP(CP758,βοηθητικό!$J$2:$N$354,3,FALSE)="","",VLOOKUP(CP758,βοηθητικό!$J$2:$N$354,3,FALSE))</f>
        <v>_</v>
      </c>
      <c r="CR758" s="44"/>
      <c r="CS758" s="45" t="s">
        <v>16</v>
      </c>
      <c r="CT758" s="46" t="str">
        <f>IF(VLOOKUP(CS758,βοηθητικό!$J$2:$N$354,3,FALSE)="","",VLOOKUP(CS758,βοηθητικό!$J$2:$N$354,3,FALSE))</f>
        <v>_</v>
      </c>
      <c r="CU758" s="47"/>
    </row>
    <row r="759" spans="1:99" x14ac:dyDescent="0.25">
      <c r="A759" s="37">
        <f>--SUBTOTAL(3,$B$3:B758)</f>
        <v>198</v>
      </c>
      <c r="B759" s="2"/>
      <c r="C759" s="3"/>
      <c r="D759" s="55" t="s">
        <v>18</v>
      </c>
      <c r="E759" s="38" t="s">
        <v>16</v>
      </c>
      <c r="F759" s="38"/>
      <c r="G759" s="39" t="str">
        <f t="shared" si="35"/>
        <v>__</v>
      </c>
      <c r="H759" s="40" t="str">
        <f t="shared" si="36"/>
        <v>FALSE</v>
      </c>
      <c r="I759" s="41">
        <f t="shared" si="37"/>
        <v>0</v>
      </c>
      <c r="J759" s="4" t="s">
        <v>16</v>
      </c>
      <c r="K759" s="43" t="str">
        <f>IF(VLOOKUP(J759,βοηθητικό!$J$2:$N$354,3,FALSE)="","",VLOOKUP(J759,βοηθητικό!$J$2:$N$354,3,FALSE))</f>
        <v>_</v>
      </c>
      <c r="L759" s="44"/>
      <c r="M759" s="5" t="s">
        <v>16</v>
      </c>
      <c r="N759" s="46" t="str">
        <f>IF(VLOOKUP(M759,βοηθητικό!$J$2:$N$354,3,FALSE)="","",VLOOKUP(M759,βοηθητικό!$J$2:$N$354,3,FALSE))</f>
        <v>_</v>
      </c>
      <c r="O759" s="47"/>
      <c r="P759" s="4" t="s">
        <v>16</v>
      </c>
      <c r="Q759" s="43" t="str">
        <f>IF(VLOOKUP(P759,βοηθητικό!$J$2:$N$354,3,FALSE)="","",VLOOKUP(P759,βοηθητικό!$J$2:$N$354,3,FALSE))</f>
        <v>_</v>
      </c>
      <c r="R759" s="44"/>
      <c r="S759" s="5" t="s">
        <v>16</v>
      </c>
      <c r="T759" s="46" t="str">
        <f>IF(VLOOKUP(S759,βοηθητικό!$J$2:$N$354,3,FALSE)="","",VLOOKUP(S759,βοηθητικό!$J$2:$N$354,3,FALSE))</f>
        <v>_</v>
      </c>
      <c r="U759" s="47"/>
      <c r="V759" s="4" t="s">
        <v>16</v>
      </c>
      <c r="W759" s="43" t="str">
        <f>IF(VLOOKUP(V759,βοηθητικό!$J$2:$N$354,3,FALSE)="","",VLOOKUP(V759,βοηθητικό!$J$2:$N$354,3,FALSE))</f>
        <v>_</v>
      </c>
      <c r="X759" s="44"/>
      <c r="Y759" s="5" t="s">
        <v>16</v>
      </c>
      <c r="Z759" s="46" t="str">
        <f>IF(VLOOKUP(Y759,βοηθητικό!$J$2:$N$354,3,FALSE)="","",VLOOKUP(Y759,βοηθητικό!$J$2:$N$354,3,FALSE))</f>
        <v>_</v>
      </c>
      <c r="AA759" s="47"/>
      <c r="AB759" s="4" t="s">
        <v>16</v>
      </c>
      <c r="AC759" s="43" t="str">
        <f>IF(VLOOKUP(AB759,βοηθητικό!$J$2:$N$354,3,FALSE)="","",VLOOKUP(AB759,βοηθητικό!$J$2:$N$354,3,FALSE))</f>
        <v>_</v>
      </c>
      <c r="AD759" s="44"/>
      <c r="AE759" s="5" t="s">
        <v>16</v>
      </c>
      <c r="AF759" s="46" t="str">
        <f>IF(VLOOKUP(AE759,βοηθητικό!$J$2:$N$354,3,FALSE)="","",VLOOKUP(AE759,βοηθητικό!$J$2:$N$354,3,FALSE))</f>
        <v>_</v>
      </c>
      <c r="AG759" s="47"/>
      <c r="AH759" s="4" t="s">
        <v>16</v>
      </c>
      <c r="AI759" s="43" t="str">
        <f>IF(VLOOKUP(AH759,βοηθητικό!$J$2:$N$354,3,FALSE)="","",VLOOKUP(AH759,βοηθητικό!$J$2:$N$354,3,FALSE))</f>
        <v>_</v>
      </c>
      <c r="AJ759" s="44"/>
      <c r="AK759" s="5" t="s">
        <v>16</v>
      </c>
      <c r="AL759" s="46" t="str">
        <f>IF(VLOOKUP(AK759,βοηθητικό!$J$2:$N$354,3,FALSE)="","",VLOOKUP(AK759,βοηθητικό!$J$2:$N$354,3,FALSE))</f>
        <v>_</v>
      </c>
      <c r="AM759" s="47"/>
      <c r="AN759" s="4" t="s">
        <v>16</v>
      </c>
      <c r="AO759" s="43" t="str">
        <f>IF(VLOOKUP(AN759,βοηθητικό!$J$2:$N$354,3,FALSE)="","",VLOOKUP(AN759,βοηθητικό!$J$2:$N$354,3,FALSE))</f>
        <v>_</v>
      </c>
      <c r="AP759" s="44"/>
      <c r="AQ759" s="5" t="s">
        <v>16</v>
      </c>
      <c r="AR759" s="46" t="str">
        <f>IF(VLOOKUP(AQ759,βοηθητικό!$J$2:$N$354,3,FALSE)="","",VLOOKUP(AQ759,βοηθητικό!$J$2:$N$354,3,FALSE))</f>
        <v>_</v>
      </c>
      <c r="AS759" s="47"/>
      <c r="AT759" s="4" t="s">
        <v>16</v>
      </c>
      <c r="AU759" s="43" t="str">
        <f>IF(VLOOKUP(AT759,βοηθητικό!$J$2:$N$354,3,FALSE)="","",VLOOKUP(AT759,βοηθητικό!$J$2:$N$354,3,FALSE))</f>
        <v>_</v>
      </c>
      <c r="AV759" s="44"/>
      <c r="AW759" s="5" t="s">
        <v>16</v>
      </c>
      <c r="AX759" s="46" t="str">
        <f>IF(VLOOKUP(AW759,βοηθητικό!$J$2:$N$354,3,FALSE)="","",VLOOKUP(AW759,βοηθητικό!$J$2:$N$354,3,FALSE))</f>
        <v>_</v>
      </c>
      <c r="AY759" s="47"/>
      <c r="AZ759" s="4" t="s">
        <v>16</v>
      </c>
      <c r="BA759" s="43" t="str">
        <f>IF(VLOOKUP(AZ759,βοηθητικό!$J$2:$N$354,3,FALSE)="","",VLOOKUP(AZ759,βοηθητικό!$J$2:$N$354,3,FALSE))</f>
        <v>_</v>
      </c>
      <c r="BB759" s="44"/>
      <c r="BC759" s="45" t="s">
        <v>16</v>
      </c>
      <c r="BD759" s="46" t="str">
        <f>IF(VLOOKUP(BC759,βοηθητικό!$J$2:$N$354,3,FALSE)="","",VLOOKUP(BC759,βοηθητικό!$J$2:$N$354,3,FALSE))</f>
        <v>_</v>
      </c>
      <c r="BE759" s="47"/>
      <c r="BF759" s="42" t="s">
        <v>16</v>
      </c>
      <c r="BG759" s="43" t="str">
        <f>IF(VLOOKUP(BF759,βοηθητικό!$J$2:$N$354,3,FALSE)="","",VLOOKUP(BF759,βοηθητικό!$J$2:$N$354,3,FALSE))</f>
        <v>_</v>
      </c>
      <c r="BH759" s="44"/>
      <c r="BI759" s="45" t="s">
        <v>16</v>
      </c>
      <c r="BJ759" s="46" t="str">
        <f>IF(VLOOKUP(BI759,βοηθητικό!$J$2:$N$354,3,FALSE)="","",VLOOKUP(BI759,βοηθητικό!$J$2:$N$354,3,FALSE))</f>
        <v>_</v>
      </c>
      <c r="BK759" s="47"/>
      <c r="BL759" s="42" t="s">
        <v>16</v>
      </c>
      <c r="BM759" s="43" t="str">
        <f>IF(VLOOKUP(BL759,βοηθητικό!$J$2:$N$354,3,FALSE)="","",VLOOKUP(BL759,βοηθητικό!$J$2:$N$354,3,FALSE))</f>
        <v>_</v>
      </c>
      <c r="BN759" s="44"/>
      <c r="BO759" s="45" t="s">
        <v>16</v>
      </c>
      <c r="BP759" s="46" t="str">
        <f>IF(VLOOKUP(BO759,βοηθητικό!$J$2:$N$354,3,FALSE)="","",VLOOKUP(BO759,βοηθητικό!$J$2:$N$354,3,FALSE))</f>
        <v>_</v>
      </c>
      <c r="BQ759" s="47"/>
      <c r="BR759" s="42" t="s">
        <v>16</v>
      </c>
      <c r="BS759" s="43" t="str">
        <f>IF(VLOOKUP(BR759,βοηθητικό!$J$2:$N$354,3,FALSE)="","",VLOOKUP(BR759,βοηθητικό!$J$2:$N$354,3,FALSE))</f>
        <v>_</v>
      </c>
      <c r="BT759" s="44"/>
      <c r="BU759" s="45" t="s">
        <v>16</v>
      </c>
      <c r="BV759" s="46" t="str">
        <f>IF(VLOOKUP(BU759,βοηθητικό!$J$2:$N$354,3,FALSE)="","",VLOOKUP(BU759,βοηθητικό!$J$2:$N$354,3,FALSE))</f>
        <v>_</v>
      </c>
      <c r="BW759" s="47"/>
      <c r="BX759" s="42" t="s">
        <v>16</v>
      </c>
      <c r="BY759" s="43" t="str">
        <f>IF(VLOOKUP(BX759,βοηθητικό!$J$2:$N$354,3,FALSE)="","",VLOOKUP(BX759,βοηθητικό!$J$2:$N$354,3,FALSE))</f>
        <v>_</v>
      </c>
      <c r="BZ759" s="44"/>
      <c r="CA759" s="45" t="s">
        <v>16</v>
      </c>
      <c r="CB759" s="46" t="str">
        <f>IF(VLOOKUP(CA759,βοηθητικό!$J$2:$N$354,3,FALSE)="","",VLOOKUP(CA759,βοηθητικό!$J$2:$N$354,3,FALSE))</f>
        <v>_</v>
      </c>
      <c r="CC759" s="47"/>
      <c r="CD759" s="42" t="s">
        <v>16</v>
      </c>
      <c r="CE759" s="43" t="str">
        <f>IF(VLOOKUP(CD759,βοηθητικό!$J$2:$N$354,3,FALSE)="","",VLOOKUP(CD759,βοηθητικό!$J$2:$N$354,3,FALSE))</f>
        <v>_</v>
      </c>
      <c r="CF759" s="44"/>
      <c r="CG759" s="45" t="s">
        <v>16</v>
      </c>
      <c r="CH759" s="46" t="str">
        <f>IF(VLOOKUP(CG759,βοηθητικό!$J$2:$N$354,3,FALSE)="","",VLOOKUP(CG759,βοηθητικό!$J$2:$N$354,3,FALSE))</f>
        <v>_</v>
      </c>
      <c r="CI759" s="47"/>
      <c r="CJ759" s="42" t="s">
        <v>16</v>
      </c>
      <c r="CK759" s="43" t="str">
        <f>IF(VLOOKUP(CJ759,βοηθητικό!$J$2:$N$354,3,FALSE)="","",VLOOKUP(CJ759,βοηθητικό!$J$2:$N$354,3,FALSE))</f>
        <v>_</v>
      </c>
      <c r="CL759" s="44"/>
      <c r="CM759" s="45" t="s">
        <v>16</v>
      </c>
      <c r="CN759" s="46" t="str">
        <f>IF(VLOOKUP(CM759,βοηθητικό!$J$2:$N$354,3,FALSE)="","",VLOOKUP(CM759,βοηθητικό!$J$2:$N$354,3,FALSE))</f>
        <v>_</v>
      </c>
      <c r="CO759" s="47"/>
      <c r="CP759" s="42" t="s">
        <v>16</v>
      </c>
      <c r="CQ759" s="43" t="str">
        <f>IF(VLOOKUP(CP759,βοηθητικό!$J$2:$N$354,3,FALSE)="","",VLOOKUP(CP759,βοηθητικό!$J$2:$N$354,3,FALSE))</f>
        <v>_</v>
      </c>
      <c r="CR759" s="44"/>
      <c r="CS759" s="45" t="s">
        <v>16</v>
      </c>
      <c r="CT759" s="46" t="str">
        <f>IF(VLOOKUP(CS759,βοηθητικό!$J$2:$N$354,3,FALSE)="","",VLOOKUP(CS759,βοηθητικό!$J$2:$N$354,3,FALSE))</f>
        <v>_</v>
      </c>
      <c r="CU759" s="47"/>
    </row>
    <row r="760" spans="1:99" x14ac:dyDescent="0.25">
      <c r="A760" s="37">
        <f>--SUBTOTAL(3,$B$3:B759)</f>
        <v>198</v>
      </c>
      <c r="B760" s="2"/>
      <c r="C760" s="3"/>
      <c r="D760" s="55" t="s">
        <v>18</v>
      </c>
      <c r="E760" s="38" t="s">
        <v>16</v>
      </c>
      <c r="F760" s="38"/>
      <c r="G760" s="39" t="str">
        <f t="shared" si="35"/>
        <v>__</v>
      </c>
      <c r="H760" s="40" t="str">
        <f t="shared" si="36"/>
        <v>FALSE</v>
      </c>
      <c r="I760" s="41">
        <f t="shared" si="37"/>
        <v>0</v>
      </c>
      <c r="J760" s="4" t="s">
        <v>16</v>
      </c>
      <c r="K760" s="43" t="str">
        <f>IF(VLOOKUP(J760,βοηθητικό!$J$2:$N$354,3,FALSE)="","",VLOOKUP(J760,βοηθητικό!$J$2:$N$354,3,FALSE))</f>
        <v>_</v>
      </c>
      <c r="L760" s="44"/>
      <c r="M760" s="5" t="s">
        <v>16</v>
      </c>
      <c r="N760" s="46" t="str">
        <f>IF(VLOOKUP(M760,βοηθητικό!$J$2:$N$354,3,FALSE)="","",VLOOKUP(M760,βοηθητικό!$J$2:$N$354,3,FALSE))</f>
        <v>_</v>
      </c>
      <c r="O760" s="47"/>
      <c r="P760" s="4" t="s">
        <v>16</v>
      </c>
      <c r="Q760" s="43" t="str">
        <f>IF(VLOOKUP(P760,βοηθητικό!$J$2:$N$354,3,FALSE)="","",VLOOKUP(P760,βοηθητικό!$J$2:$N$354,3,FALSE))</f>
        <v>_</v>
      </c>
      <c r="R760" s="44"/>
      <c r="S760" s="5" t="s">
        <v>16</v>
      </c>
      <c r="T760" s="46" t="str">
        <f>IF(VLOOKUP(S760,βοηθητικό!$J$2:$N$354,3,FALSE)="","",VLOOKUP(S760,βοηθητικό!$J$2:$N$354,3,FALSE))</f>
        <v>_</v>
      </c>
      <c r="U760" s="47"/>
      <c r="V760" s="4" t="s">
        <v>16</v>
      </c>
      <c r="W760" s="43" t="str">
        <f>IF(VLOOKUP(V760,βοηθητικό!$J$2:$N$354,3,FALSE)="","",VLOOKUP(V760,βοηθητικό!$J$2:$N$354,3,FALSE))</f>
        <v>_</v>
      </c>
      <c r="X760" s="44"/>
      <c r="Y760" s="5" t="s">
        <v>16</v>
      </c>
      <c r="Z760" s="46" t="str">
        <f>IF(VLOOKUP(Y760,βοηθητικό!$J$2:$N$354,3,FALSE)="","",VLOOKUP(Y760,βοηθητικό!$J$2:$N$354,3,FALSE))</f>
        <v>_</v>
      </c>
      <c r="AA760" s="47"/>
      <c r="AB760" s="4" t="s">
        <v>16</v>
      </c>
      <c r="AC760" s="43" t="str">
        <f>IF(VLOOKUP(AB760,βοηθητικό!$J$2:$N$354,3,FALSE)="","",VLOOKUP(AB760,βοηθητικό!$J$2:$N$354,3,FALSE))</f>
        <v>_</v>
      </c>
      <c r="AD760" s="44"/>
      <c r="AE760" s="5" t="s">
        <v>16</v>
      </c>
      <c r="AF760" s="46" t="str">
        <f>IF(VLOOKUP(AE760,βοηθητικό!$J$2:$N$354,3,FALSE)="","",VLOOKUP(AE760,βοηθητικό!$J$2:$N$354,3,FALSE))</f>
        <v>_</v>
      </c>
      <c r="AG760" s="47"/>
      <c r="AH760" s="4" t="s">
        <v>16</v>
      </c>
      <c r="AI760" s="43" t="str">
        <f>IF(VLOOKUP(AH760,βοηθητικό!$J$2:$N$354,3,FALSE)="","",VLOOKUP(AH760,βοηθητικό!$J$2:$N$354,3,FALSE))</f>
        <v>_</v>
      </c>
      <c r="AJ760" s="44"/>
      <c r="AK760" s="5" t="s">
        <v>16</v>
      </c>
      <c r="AL760" s="46" t="str">
        <f>IF(VLOOKUP(AK760,βοηθητικό!$J$2:$N$354,3,FALSE)="","",VLOOKUP(AK760,βοηθητικό!$J$2:$N$354,3,FALSE))</f>
        <v>_</v>
      </c>
      <c r="AM760" s="47"/>
      <c r="AN760" s="4" t="s">
        <v>16</v>
      </c>
      <c r="AO760" s="43" t="str">
        <f>IF(VLOOKUP(AN760,βοηθητικό!$J$2:$N$354,3,FALSE)="","",VLOOKUP(AN760,βοηθητικό!$J$2:$N$354,3,FALSE))</f>
        <v>_</v>
      </c>
      <c r="AP760" s="44"/>
      <c r="AQ760" s="5" t="s">
        <v>16</v>
      </c>
      <c r="AR760" s="46" t="str">
        <f>IF(VLOOKUP(AQ760,βοηθητικό!$J$2:$N$354,3,FALSE)="","",VLOOKUP(AQ760,βοηθητικό!$J$2:$N$354,3,FALSE))</f>
        <v>_</v>
      </c>
      <c r="AS760" s="47"/>
      <c r="AT760" s="4" t="s">
        <v>16</v>
      </c>
      <c r="AU760" s="43" t="str">
        <f>IF(VLOOKUP(AT760,βοηθητικό!$J$2:$N$354,3,FALSE)="","",VLOOKUP(AT760,βοηθητικό!$J$2:$N$354,3,FALSE))</f>
        <v>_</v>
      </c>
      <c r="AV760" s="44"/>
      <c r="AW760" s="5" t="s">
        <v>16</v>
      </c>
      <c r="AX760" s="46" t="str">
        <f>IF(VLOOKUP(AW760,βοηθητικό!$J$2:$N$354,3,FALSE)="","",VLOOKUP(AW760,βοηθητικό!$J$2:$N$354,3,FALSE))</f>
        <v>_</v>
      </c>
      <c r="AY760" s="47"/>
      <c r="AZ760" s="4" t="s">
        <v>16</v>
      </c>
      <c r="BA760" s="43" t="str">
        <f>IF(VLOOKUP(AZ760,βοηθητικό!$J$2:$N$354,3,FALSE)="","",VLOOKUP(AZ760,βοηθητικό!$J$2:$N$354,3,FALSE))</f>
        <v>_</v>
      </c>
      <c r="BB760" s="44"/>
      <c r="BC760" s="45" t="s">
        <v>16</v>
      </c>
      <c r="BD760" s="46" t="str">
        <f>IF(VLOOKUP(BC760,βοηθητικό!$J$2:$N$354,3,FALSE)="","",VLOOKUP(BC760,βοηθητικό!$J$2:$N$354,3,FALSE))</f>
        <v>_</v>
      </c>
      <c r="BE760" s="47"/>
      <c r="BF760" s="42" t="s">
        <v>16</v>
      </c>
      <c r="BG760" s="43" t="str">
        <f>IF(VLOOKUP(BF760,βοηθητικό!$J$2:$N$354,3,FALSE)="","",VLOOKUP(BF760,βοηθητικό!$J$2:$N$354,3,FALSE))</f>
        <v>_</v>
      </c>
      <c r="BH760" s="44"/>
      <c r="BI760" s="45" t="s">
        <v>16</v>
      </c>
      <c r="BJ760" s="46" t="str">
        <f>IF(VLOOKUP(BI760,βοηθητικό!$J$2:$N$354,3,FALSE)="","",VLOOKUP(BI760,βοηθητικό!$J$2:$N$354,3,FALSE))</f>
        <v>_</v>
      </c>
      <c r="BK760" s="47"/>
      <c r="BL760" s="42" t="s">
        <v>16</v>
      </c>
      <c r="BM760" s="43" t="str">
        <f>IF(VLOOKUP(BL760,βοηθητικό!$J$2:$N$354,3,FALSE)="","",VLOOKUP(BL760,βοηθητικό!$J$2:$N$354,3,FALSE))</f>
        <v>_</v>
      </c>
      <c r="BN760" s="44"/>
      <c r="BO760" s="45" t="s">
        <v>16</v>
      </c>
      <c r="BP760" s="46" t="str">
        <f>IF(VLOOKUP(BO760,βοηθητικό!$J$2:$N$354,3,FALSE)="","",VLOOKUP(BO760,βοηθητικό!$J$2:$N$354,3,FALSE))</f>
        <v>_</v>
      </c>
      <c r="BQ760" s="47"/>
      <c r="BR760" s="42" t="s">
        <v>16</v>
      </c>
      <c r="BS760" s="43" t="str">
        <f>IF(VLOOKUP(BR760,βοηθητικό!$J$2:$N$354,3,FALSE)="","",VLOOKUP(BR760,βοηθητικό!$J$2:$N$354,3,FALSE))</f>
        <v>_</v>
      </c>
      <c r="BT760" s="44"/>
      <c r="BU760" s="45" t="s">
        <v>16</v>
      </c>
      <c r="BV760" s="46" t="str">
        <f>IF(VLOOKUP(BU760,βοηθητικό!$J$2:$N$354,3,FALSE)="","",VLOOKUP(BU760,βοηθητικό!$J$2:$N$354,3,FALSE))</f>
        <v>_</v>
      </c>
      <c r="BW760" s="47"/>
      <c r="BX760" s="42" t="s">
        <v>16</v>
      </c>
      <c r="BY760" s="43" t="str">
        <f>IF(VLOOKUP(BX760,βοηθητικό!$J$2:$N$354,3,FALSE)="","",VLOOKUP(BX760,βοηθητικό!$J$2:$N$354,3,FALSE))</f>
        <v>_</v>
      </c>
      <c r="BZ760" s="44"/>
      <c r="CA760" s="45" t="s">
        <v>16</v>
      </c>
      <c r="CB760" s="46" t="str">
        <f>IF(VLOOKUP(CA760,βοηθητικό!$J$2:$N$354,3,FALSE)="","",VLOOKUP(CA760,βοηθητικό!$J$2:$N$354,3,FALSE))</f>
        <v>_</v>
      </c>
      <c r="CC760" s="47"/>
      <c r="CD760" s="42" t="s">
        <v>16</v>
      </c>
      <c r="CE760" s="43" t="str">
        <f>IF(VLOOKUP(CD760,βοηθητικό!$J$2:$N$354,3,FALSE)="","",VLOOKUP(CD760,βοηθητικό!$J$2:$N$354,3,FALSE))</f>
        <v>_</v>
      </c>
      <c r="CF760" s="44"/>
      <c r="CG760" s="45" t="s">
        <v>16</v>
      </c>
      <c r="CH760" s="46" t="str">
        <f>IF(VLOOKUP(CG760,βοηθητικό!$J$2:$N$354,3,FALSE)="","",VLOOKUP(CG760,βοηθητικό!$J$2:$N$354,3,FALSE))</f>
        <v>_</v>
      </c>
      <c r="CI760" s="47"/>
      <c r="CJ760" s="42" t="s">
        <v>16</v>
      </c>
      <c r="CK760" s="43" t="str">
        <f>IF(VLOOKUP(CJ760,βοηθητικό!$J$2:$N$354,3,FALSE)="","",VLOOKUP(CJ760,βοηθητικό!$J$2:$N$354,3,FALSE))</f>
        <v>_</v>
      </c>
      <c r="CL760" s="44"/>
      <c r="CM760" s="45" t="s">
        <v>16</v>
      </c>
      <c r="CN760" s="46" t="str">
        <f>IF(VLOOKUP(CM760,βοηθητικό!$J$2:$N$354,3,FALSE)="","",VLOOKUP(CM760,βοηθητικό!$J$2:$N$354,3,FALSE))</f>
        <v>_</v>
      </c>
      <c r="CO760" s="47"/>
      <c r="CP760" s="42" t="s">
        <v>16</v>
      </c>
      <c r="CQ760" s="43" t="str">
        <f>IF(VLOOKUP(CP760,βοηθητικό!$J$2:$N$354,3,FALSE)="","",VLOOKUP(CP760,βοηθητικό!$J$2:$N$354,3,FALSE))</f>
        <v>_</v>
      </c>
      <c r="CR760" s="44"/>
      <c r="CS760" s="45" t="s">
        <v>16</v>
      </c>
      <c r="CT760" s="46" t="str">
        <f>IF(VLOOKUP(CS760,βοηθητικό!$J$2:$N$354,3,FALSE)="","",VLOOKUP(CS760,βοηθητικό!$J$2:$N$354,3,FALSE))</f>
        <v>_</v>
      </c>
      <c r="CU760" s="47"/>
    </row>
    <row r="761" spans="1:99" x14ac:dyDescent="0.25">
      <c r="A761" s="37">
        <f>--SUBTOTAL(3,$B$3:B760)</f>
        <v>198</v>
      </c>
      <c r="B761" s="2"/>
      <c r="C761" s="3"/>
      <c r="D761" s="55" t="s">
        <v>18</v>
      </c>
      <c r="E761" s="38" t="s">
        <v>16</v>
      </c>
      <c r="F761" s="38"/>
      <c r="G761" s="39" t="str">
        <f t="shared" si="35"/>
        <v>__</v>
      </c>
      <c r="H761" s="40" t="str">
        <f t="shared" si="36"/>
        <v>FALSE</v>
      </c>
      <c r="I761" s="41">
        <f t="shared" si="37"/>
        <v>0</v>
      </c>
      <c r="J761" s="4" t="s">
        <v>16</v>
      </c>
      <c r="K761" s="43" t="str">
        <f>IF(VLOOKUP(J761,βοηθητικό!$J$2:$N$354,3,FALSE)="","",VLOOKUP(J761,βοηθητικό!$J$2:$N$354,3,FALSE))</f>
        <v>_</v>
      </c>
      <c r="L761" s="44"/>
      <c r="M761" s="5" t="s">
        <v>16</v>
      </c>
      <c r="N761" s="46" t="str">
        <f>IF(VLOOKUP(M761,βοηθητικό!$J$2:$N$354,3,FALSE)="","",VLOOKUP(M761,βοηθητικό!$J$2:$N$354,3,FALSE))</f>
        <v>_</v>
      </c>
      <c r="O761" s="47"/>
      <c r="P761" s="4" t="s">
        <v>16</v>
      </c>
      <c r="Q761" s="43" t="str">
        <f>IF(VLOOKUP(P761,βοηθητικό!$J$2:$N$354,3,FALSE)="","",VLOOKUP(P761,βοηθητικό!$J$2:$N$354,3,FALSE))</f>
        <v>_</v>
      </c>
      <c r="R761" s="44"/>
      <c r="S761" s="5" t="s">
        <v>16</v>
      </c>
      <c r="T761" s="46" t="str">
        <f>IF(VLOOKUP(S761,βοηθητικό!$J$2:$N$354,3,FALSE)="","",VLOOKUP(S761,βοηθητικό!$J$2:$N$354,3,FALSE))</f>
        <v>_</v>
      </c>
      <c r="U761" s="47"/>
      <c r="V761" s="4" t="s">
        <v>16</v>
      </c>
      <c r="W761" s="43" t="str">
        <f>IF(VLOOKUP(V761,βοηθητικό!$J$2:$N$354,3,FALSE)="","",VLOOKUP(V761,βοηθητικό!$J$2:$N$354,3,FALSE))</f>
        <v>_</v>
      </c>
      <c r="X761" s="44"/>
      <c r="Y761" s="5" t="s">
        <v>16</v>
      </c>
      <c r="Z761" s="46" t="str">
        <f>IF(VLOOKUP(Y761,βοηθητικό!$J$2:$N$354,3,FALSE)="","",VLOOKUP(Y761,βοηθητικό!$J$2:$N$354,3,FALSE))</f>
        <v>_</v>
      </c>
      <c r="AA761" s="47"/>
      <c r="AB761" s="4" t="s">
        <v>16</v>
      </c>
      <c r="AC761" s="43" t="str">
        <f>IF(VLOOKUP(AB761,βοηθητικό!$J$2:$N$354,3,FALSE)="","",VLOOKUP(AB761,βοηθητικό!$J$2:$N$354,3,FALSE))</f>
        <v>_</v>
      </c>
      <c r="AD761" s="44"/>
      <c r="AE761" s="5" t="s">
        <v>16</v>
      </c>
      <c r="AF761" s="46" t="str">
        <f>IF(VLOOKUP(AE761,βοηθητικό!$J$2:$N$354,3,FALSE)="","",VLOOKUP(AE761,βοηθητικό!$J$2:$N$354,3,FALSE))</f>
        <v>_</v>
      </c>
      <c r="AG761" s="47"/>
      <c r="AH761" s="4" t="s">
        <v>16</v>
      </c>
      <c r="AI761" s="43" t="str">
        <f>IF(VLOOKUP(AH761,βοηθητικό!$J$2:$N$354,3,FALSE)="","",VLOOKUP(AH761,βοηθητικό!$J$2:$N$354,3,FALSE))</f>
        <v>_</v>
      </c>
      <c r="AJ761" s="44"/>
      <c r="AK761" s="5" t="s">
        <v>16</v>
      </c>
      <c r="AL761" s="46" t="str">
        <f>IF(VLOOKUP(AK761,βοηθητικό!$J$2:$N$354,3,FALSE)="","",VLOOKUP(AK761,βοηθητικό!$J$2:$N$354,3,FALSE))</f>
        <v>_</v>
      </c>
      <c r="AM761" s="47"/>
      <c r="AN761" s="4" t="s">
        <v>16</v>
      </c>
      <c r="AO761" s="43" t="str">
        <f>IF(VLOOKUP(AN761,βοηθητικό!$J$2:$N$354,3,FALSE)="","",VLOOKUP(AN761,βοηθητικό!$J$2:$N$354,3,FALSE))</f>
        <v>_</v>
      </c>
      <c r="AP761" s="44"/>
      <c r="AQ761" s="5" t="s">
        <v>16</v>
      </c>
      <c r="AR761" s="46" t="str">
        <f>IF(VLOOKUP(AQ761,βοηθητικό!$J$2:$N$354,3,FALSE)="","",VLOOKUP(AQ761,βοηθητικό!$J$2:$N$354,3,FALSE))</f>
        <v>_</v>
      </c>
      <c r="AS761" s="47"/>
      <c r="AT761" s="4" t="s">
        <v>16</v>
      </c>
      <c r="AU761" s="43" t="str">
        <f>IF(VLOOKUP(AT761,βοηθητικό!$J$2:$N$354,3,FALSE)="","",VLOOKUP(AT761,βοηθητικό!$J$2:$N$354,3,FALSE))</f>
        <v>_</v>
      </c>
      <c r="AV761" s="44"/>
      <c r="AW761" s="5" t="s">
        <v>16</v>
      </c>
      <c r="AX761" s="46" t="str">
        <f>IF(VLOOKUP(AW761,βοηθητικό!$J$2:$N$354,3,FALSE)="","",VLOOKUP(AW761,βοηθητικό!$J$2:$N$354,3,FALSE))</f>
        <v>_</v>
      </c>
      <c r="AY761" s="47"/>
      <c r="AZ761" s="4" t="s">
        <v>16</v>
      </c>
      <c r="BA761" s="43" t="str">
        <f>IF(VLOOKUP(AZ761,βοηθητικό!$J$2:$N$354,3,FALSE)="","",VLOOKUP(AZ761,βοηθητικό!$J$2:$N$354,3,FALSE))</f>
        <v>_</v>
      </c>
      <c r="BB761" s="44"/>
      <c r="BC761" s="45" t="s">
        <v>16</v>
      </c>
      <c r="BD761" s="46" t="str">
        <f>IF(VLOOKUP(BC761,βοηθητικό!$J$2:$N$354,3,FALSE)="","",VLOOKUP(BC761,βοηθητικό!$J$2:$N$354,3,FALSE))</f>
        <v>_</v>
      </c>
      <c r="BE761" s="47"/>
      <c r="BF761" s="42" t="s">
        <v>16</v>
      </c>
      <c r="BG761" s="43" t="str">
        <f>IF(VLOOKUP(BF761,βοηθητικό!$J$2:$N$354,3,FALSE)="","",VLOOKUP(BF761,βοηθητικό!$J$2:$N$354,3,FALSE))</f>
        <v>_</v>
      </c>
      <c r="BH761" s="44"/>
      <c r="BI761" s="45" t="s">
        <v>16</v>
      </c>
      <c r="BJ761" s="46" t="str">
        <f>IF(VLOOKUP(BI761,βοηθητικό!$J$2:$N$354,3,FALSE)="","",VLOOKUP(BI761,βοηθητικό!$J$2:$N$354,3,FALSE))</f>
        <v>_</v>
      </c>
      <c r="BK761" s="47"/>
      <c r="BL761" s="42" t="s">
        <v>16</v>
      </c>
      <c r="BM761" s="43" t="str">
        <f>IF(VLOOKUP(BL761,βοηθητικό!$J$2:$N$354,3,FALSE)="","",VLOOKUP(BL761,βοηθητικό!$J$2:$N$354,3,FALSE))</f>
        <v>_</v>
      </c>
      <c r="BN761" s="44"/>
      <c r="BO761" s="45" t="s">
        <v>16</v>
      </c>
      <c r="BP761" s="46" t="str">
        <f>IF(VLOOKUP(BO761,βοηθητικό!$J$2:$N$354,3,FALSE)="","",VLOOKUP(BO761,βοηθητικό!$J$2:$N$354,3,FALSE))</f>
        <v>_</v>
      </c>
      <c r="BQ761" s="47"/>
      <c r="BR761" s="42" t="s">
        <v>16</v>
      </c>
      <c r="BS761" s="43" t="str">
        <f>IF(VLOOKUP(BR761,βοηθητικό!$J$2:$N$354,3,FALSE)="","",VLOOKUP(BR761,βοηθητικό!$J$2:$N$354,3,FALSE))</f>
        <v>_</v>
      </c>
      <c r="BT761" s="44"/>
      <c r="BU761" s="45" t="s">
        <v>16</v>
      </c>
      <c r="BV761" s="46" t="str">
        <f>IF(VLOOKUP(BU761,βοηθητικό!$J$2:$N$354,3,FALSE)="","",VLOOKUP(BU761,βοηθητικό!$J$2:$N$354,3,FALSE))</f>
        <v>_</v>
      </c>
      <c r="BW761" s="47"/>
      <c r="BX761" s="42" t="s">
        <v>16</v>
      </c>
      <c r="BY761" s="43" t="str">
        <f>IF(VLOOKUP(BX761,βοηθητικό!$J$2:$N$354,3,FALSE)="","",VLOOKUP(BX761,βοηθητικό!$J$2:$N$354,3,FALSE))</f>
        <v>_</v>
      </c>
      <c r="BZ761" s="44"/>
      <c r="CA761" s="45" t="s">
        <v>16</v>
      </c>
      <c r="CB761" s="46" t="str">
        <f>IF(VLOOKUP(CA761,βοηθητικό!$J$2:$N$354,3,FALSE)="","",VLOOKUP(CA761,βοηθητικό!$J$2:$N$354,3,FALSE))</f>
        <v>_</v>
      </c>
      <c r="CC761" s="47"/>
      <c r="CD761" s="42" t="s">
        <v>16</v>
      </c>
      <c r="CE761" s="43" t="str">
        <f>IF(VLOOKUP(CD761,βοηθητικό!$J$2:$N$354,3,FALSE)="","",VLOOKUP(CD761,βοηθητικό!$J$2:$N$354,3,FALSE))</f>
        <v>_</v>
      </c>
      <c r="CF761" s="44"/>
      <c r="CG761" s="45" t="s">
        <v>16</v>
      </c>
      <c r="CH761" s="46" t="str">
        <f>IF(VLOOKUP(CG761,βοηθητικό!$J$2:$N$354,3,FALSE)="","",VLOOKUP(CG761,βοηθητικό!$J$2:$N$354,3,FALSE))</f>
        <v>_</v>
      </c>
      <c r="CI761" s="47"/>
      <c r="CJ761" s="42" t="s">
        <v>16</v>
      </c>
      <c r="CK761" s="43" t="str">
        <f>IF(VLOOKUP(CJ761,βοηθητικό!$J$2:$N$354,3,FALSE)="","",VLOOKUP(CJ761,βοηθητικό!$J$2:$N$354,3,FALSE))</f>
        <v>_</v>
      </c>
      <c r="CL761" s="44"/>
      <c r="CM761" s="45" t="s">
        <v>16</v>
      </c>
      <c r="CN761" s="46" t="str">
        <f>IF(VLOOKUP(CM761,βοηθητικό!$J$2:$N$354,3,FALSE)="","",VLOOKUP(CM761,βοηθητικό!$J$2:$N$354,3,FALSE))</f>
        <v>_</v>
      </c>
      <c r="CO761" s="47"/>
      <c r="CP761" s="42" t="s">
        <v>16</v>
      </c>
      <c r="CQ761" s="43" t="str">
        <f>IF(VLOOKUP(CP761,βοηθητικό!$J$2:$N$354,3,FALSE)="","",VLOOKUP(CP761,βοηθητικό!$J$2:$N$354,3,FALSE))</f>
        <v>_</v>
      </c>
      <c r="CR761" s="44"/>
      <c r="CS761" s="45" t="s">
        <v>16</v>
      </c>
      <c r="CT761" s="46" t="str">
        <f>IF(VLOOKUP(CS761,βοηθητικό!$J$2:$N$354,3,FALSE)="","",VLOOKUP(CS761,βοηθητικό!$J$2:$N$354,3,FALSE))</f>
        <v>_</v>
      </c>
      <c r="CU761" s="47"/>
    </row>
    <row r="762" spans="1:99" x14ac:dyDescent="0.25">
      <c r="A762" s="37">
        <f>--SUBTOTAL(3,$B$3:B761)</f>
        <v>198</v>
      </c>
      <c r="B762" s="2"/>
      <c r="C762" s="3"/>
      <c r="D762" s="55" t="s">
        <v>18</v>
      </c>
      <c r="E762" s="38" t="s">
        <v>16</v>
      </c>
      <c r="F762" s="38"/>
      <c r="G762" s="39" t="str">
        <f t="shared" si="35"/>
        <v>__</v>
      </c>
      <c r="H762" s="40" t="str">
        <f t="shared" si="36"/>
        <v>FALSE</v>
      </c>
      <c r="I762" s="41">
        <f t="shared" si="37"/>
        <v>0</v>
      </c>
      <c r="J762" s="4" t="s">
        <v>16</v>
      </c>
      <c r="K762" s="43" t="str">
        <f>IF(VLOOKUP(J762,βοηθητικό!$J$2:$N$354,3,FALSE)="","",VLOOKUP(J762,βοηθητικό!$J$2:$N$354,3,FALSE))</f>
        <v>_</v>
      </c>
      <c r="L762" s="44"/>
      <c r="M762" s="5" t="s">
        <v>16</v>
      </c>
      <c r="N762" s="46" t="str">
        <f>IF(VLOOKUP(M762,βοηθητικό!$J$2:$N$354,3,FALSE)="","",VLOOKUP(M762,βοηθητικό!$J$2:$N$354,3,FALSE))</f>
        <v>_</v>
      </c>
      <c r="O762" s="47"/>
      <c r="P762" s="4" t="s">
        <v>16</v>
      </c>
      <c r="Q762" s="43" t="str">
        <f>IF(VLOOKUP(P762,βοηθητικό!$J$2:$N$354,3,FALSE)="","",VLOOKUP(P762,βοηθητικό!$J$2:$N$354,3,FALSE))</f>
        <v>_</v>
      </c>
      <c r="R762" s="44"/>
      <c r="S762" s="5" t="s">
        <v>16</v>
      </c>
      <c r="T762" s="46" t="str">
        <f>IF(VLOOKUP(S762,βοηθητικό!$J$2:$N$354,3,FALSE)="","",VLOOKUP(S762,βοηθητικό!$J$2:$N$354,3,FALSE))</f>
        <v>_</v>
      </c>
      <c r="U762" s="47"/>
      <c r="V762" s="4" t="s">
        <v>16</v>
      </c>
      <c r="W762" s="43" t="str">
        <f>IF(VLOOKUP(V762,βοηθητικό!$J$2:$N$354,3,FALSE)="","",VLOOKUP(V762,βοηθητικό!$J$2:$N$354,3,FALSE))</f>
        <v>_</v>
      </c>
      <c r="X762" s="44"/>
      <c r="Y762" s="5" t="s">
        <v>16</v>
      </c>
      <c r="Z762" s="46" t="str">
        <f>IF(VLOOKUP(Y762,βοηθητικό!$J$2:$N$354,3,FALSE)="","",VLOOKUP(Y762,βοηθητικό!$J$2:$N$354,3,FALSE))</f>
        <v>_</v>
      </c>
      <c r="AA762" s="47"/>
      <c r="AB762" s="4" t="s">
        <v>16</v>
      </c>
      <c r="AC762" s="43" t="str">
        <f>IF(VLOOKUP(AB762,βοηθητικό!$J$2:$N$354,3,FALSE)="","",VLOOKUP(AB762,βοηθητικό!$J$2:$N$354,3,FALSE))</f>
        <v>_</v>
      </c>
      <c r="AD762" s="44"/>
      <c r="AE762" s="5" t="s">
        <v>16</v>
      </c>
      <c r="AF762" s="46" t="str">
        <f>IF(VLOOKUP(AE762,βοηθητικό!$J$2:$N$354,3,FALSE)="","",VLOOKUP(AE762,βοηθητικό!$J$2:$N$354,3,FALSE))</f>
        <v>_</v>
      </c>
      <c r="AG762" s="47"/>
      <c r="AH762" s="4" t="s">
        <v>16</v>
      </c>
      <c r="AI762" s="43" t="str">
        <f>IF(VLOOKUP(AH762,βοηθητικό!$J$2:$N$354,3,FALSE)="","",VLOOKUP(AH762,βοηθητικό!$J$2:$N$354,3,FALSE))</f>
        <v>_</v>
      </c>
      <c r="AJ762" s="44"/>
      <c r="AK762" s="5" t="s">
        <v>16</v>
      </c>
      <c r="AL762" s="46" t="str">
        <f>IF(VLOOKUP(AK762,βοηθητικό!$J$2:$N$354,3,FALSE)="","",VLOOKUP(AK762,βοηθητικό!$J$2:$N$354,3,FALSE))</f>
        <v>_</v>
      </c>
      <c r="AM762" s="47"/>
      <c r="AN762" s="4" t="s">
        <v>16</v>
      </c>
      <c r="AO762" s="43" t="str">
        <f>IF(VLOOKUP(AN762,βοηθητικό!$J$2:$N$354,3,FALSE)="","",VLOOKUP(AN762,βοηθητικό!$J$2:$N$354,3,FALSE))</f>
        <v>_</v>
      </c>
      <c r="AP762" s="44"/>
      <c r="AQ762" s="5" t="s">
        <v>16</v>
      </c>
      <c r="AR762" s="46" t="str">
        <f>IF(VLOOKUP(AQ762,βοηθητικό!$J$2:$N$354,3,FALSE)="","",VLOOKUP(AQ762,βοηθητικό!$J$2:$N$354,3,FALSE))</f>
        <v>_</v>
      </c>
      <c r="AS762" s="47"/>
      <c r="AT762" s="4" t="s">
        <v>16</v>
      </c>
      <c r="AU762" s="43" t="str">
        <f>IF(VLOOKUP(AT762,βοηθητικό!$J$2:$N$354,3,FALSE)="","",VLOOKUP(AT762,βοηθητικό!$J$2:$N$354,3,FALSE))</f>
        <v>_</v>
      </c>
      <c r="AV762" s="44"/>
      <c r="AW762" s="5" t="s">
        <v>16</v>
      </c>
      <c r="AX762" s="46" t="str">
        <f>IF(VLOOKUP(AW762,βοηθητικό!$J$2:$N$354,3,FALSE)="","",VLOOKUP(AW762,βοηθητικό!$J$2:$N$354,3,FALSE))</f>
        <v>_</v>
      </c>
      <c r="AY762" s="47"/>
      <c r="AZ762" s="4" t="s">
        <v>16</v>
      </c>
      <c r="BA762" s="43" t="str">
        <f>IF(VLOOKUP(AZ762,βοηθητικό!$J$2:$N$354,3,FALSE)="","",VLOOKUP(AZ762,βοηθητικό!$J$2:$N$354,3,FALSE))</f>
        <v>_</v>
      </c>
      <c r="BB762" s="44"/>
      <c r="BC762" s="45" t="s">
        <v>16</v>
      </c>
      <c r="BD762" s="46" t="str">
        <f>IF(VLOOKUP(BC762,βοηθητικό!$J$2:$N$354,3,FALSE)="","",VLOOKUP(BC762,βοηθητικό!$J$2:$N$354,3,FALSE))</f>
        <v>_</v>
      </c>
      <c r="BE762" s="47"/>
      <c r="BF762" s="42" t="s">
        <v>16</v>
      </c>
      <c r="BG762" s="43" t="str">
        <f>IF(VLOOKUP(BF762,βοηθητικό!$J$2:$N$354,3,FALSE)="","",VLOOKUP(BF762,βοηθητικό!$J$2:$N$354,3,FALSE))</f>
        <v>_</v>
      </c>
      <c r="BH762" s="44"/>
      <c r="BI762" s="45" t="s">
        <v>16</v>
      </c>
      <c r="BJ762" s="46" t="str">
        <f>IF(VLOOKUP(BI762,βοηθητικό!$J$2:$N$354,3,FALSE)="","",VLOOKUP(BI762,βοηθητικό!$J$2:$N$354,3,FALSE))</f>
        <v>_</v>
      </c>
      <c r="BK762" s="47"/>
      <c r="BL762" s="42" t="s">
        <v>16</v>
      </c>
      <c r="BM762" s="43" t="str">
        <f>IF(VLOOKUP(BL762,βοηθητικό!$J$2:$N$354,3,FALSE)="","",VLOOKUP(BL762,βοηθητικό!$J$2:$N$354,3,FALSE))</f>
        <v>_</v>
      </c>
      <c r="BN762" s="44"/>
      <c r="BO762" s="45" t="s">
        <v>16</v>
      </c>
      <c r="BP762" s="46" t="str">
        <f>IF(VLOOKUP(BO762,βοηθητικό!$J$2:$N$354,3,FALSE)="","",VLOOKUP(BO762,βοηθητικό!$J$2:$N$354,3,FALSE))</f>
        <v>_</v>
      </c>
      <c r="BQ762" s="47"/>
      <c r="BR762" s="42" t="s">
        <v>16</v>
      </c>
      <c r="BS762" s="43" t="str">
        <f>IF(VLOOKUP(BR762,βοηθητικό!$J$2:$N$354,3,FALSE)="","",VLOOKUP(BR762,βοηθητικό!$J$2:$N$354,3,FALSE))</f>
        <v>_</v>
      </c>
      <c r="BT762" s="44"/>
      <c r="BU762" s="45" t="s">
        <v>16</v>
      </c>
      <c r="BV762" s="46" t="str">
        <f>IF(VLOOKUP(BU762,βοηθητικό!$J$2:$N$354,3,FALSE)="","",VLOOKUP(BU762,βοηθητικό!$J$2:$N$354,3,FALSE))</f>
        <v>_</v>
      </c>
      <c r="BW762" s="47"/>
      <c r="BX762" s="42" t="s">
        <v>16</v>
      </c>
      <c r="BY762" s="43" t="str">
        <f>IF(VLOOKUP(BX762,βοηθητικό!$J$2:$N$354,3,FALSE)="","",VLOOKUP(BX762,βοηθητικό!$J$2:$N$354,3,FALSE))</f>
        <v>_</v>
      </c>
      <c r="BZ762" s="44"/>
      <c r="CA762" s="45" t="s">
        <v>16</v>
      </c>
      <c r="CB762" s="46" t="str">
        <f>IF(VLOOKUP(CA762,βοηθητικό!$J$2:$N$354,3,FALSE)="","",VLOOKUP(CA762,βοηθητικό!$J$2:$N$354,3,FALSE))</f>
        <v>_</v>
      </c>
      <c r="CC762" s="47"/>
      <c r="CD762" s="42" t="s">
        <v>16</v>
      </c>
      <c r="CE762" s="43" t="str">
        <f>IF(VLOOKUP(CD762,βοηθητικό!$J$2:$N$354,3,FALSE)="","",VLOOKUP(CD762,βοηθητικό!$J$2:$N$354,3,FALSE))</f>
        <v>_</v>
      </c>
      <c r="CF762" s="44"/>
      <c r="CG762" s="45" t="s">
        <v>16</v>
      </c>
      <c r="CH762" s="46" t="str">
        <f>IF(VLOOKUP(CG762,βοηθητικό!$J$2:$N$354,3,FALSE)="","",VLOOKUP(CG762,βοηθητικό!$J$2:$N$354,3,FALSE))</f>
        <v>_</v>
      </c>
      <c r="CI762" s="47"/>
      <c r="CJ762" s="42" t="s">
        <v>16</v>
      </c>
      <c r="CK762" s="43" t="str">
        <f>IF(VLOOKUP(CJ762,βοηθητικό!$J$2:$N$354,3,FALSE)="","",VLOOKUP(CJ762,βοηθητικό!$J$2:$N$354,3,FALSE))</f>
        <v>_</v>
      </c>
      <c r="CL762" s="44"/>
      <c r="CM762" s="45" t="s">
        <v>16</v>
      </c>
      <c r="CN762" s="46" t="str">
        <f>IF(VLOOKUP(CM762,βοηθητικό!$J$2:$N$354,3,FALSE)="","",VLOOKUP(CM762,βοηθητικό!$J$2:$N$354,3,FALSE))</f>
        <v>_</v>
      </c>
      <c r="CO762" s="47"/>
      <c r="CP762" s="42" t="s">
        <v>16</v>
      </c>
      <c r="CQ762" s="43" t="str">
        <f>IF(VLOOKUP(CP762,βοηθητικό!$J$2:$N$354,3,FALSE)="","",VLOOKUP(CP762,βοηθητικό!$J$2:$N$354,3,FALSE))</f>
        <v>_</v>
      </c>
      <c r="CR762" s="44"/>
      <c r="CS762" s="45" t="s">
        <v>16</v>
      </c>
      <c r="CT762" s="46" t="str">
        <f>IF(VLOOKUP(CS762,βοηθητικό!$J$2:$N$354,3,FALSE)="","",VLOOKUP(CS762,βοηθητικό!$J$2:$N$354,3,FALSE))</f>
        <v>_</v>
      </c>
      <c r="CU762" s="47"/>
    </row>
    <row r="763" spans="1:99" x14ac:dyDescent="0.25">
      <c r="A763" s="37">
        <f>--SUBTOTAL(3,$B$3:B762)</f>
        <v>198</v>
      </c>
      <c r="B763" s="2"/>
      <c r="C763" s="3"/>
      <c r="D763" s="55" t="s">
        <v>18</v>
      </c>
      <c r="E763" s="38" t="s">
        <v>16</v>
      </c>
      <c r="F763" s="38"/>
      <c r="G763" s="39" t="str">
        <f t="shared" si="35"/>
        <v>__</v>
      </c>
      <c r="H763" s="40" t="str">
        <f t="shared" si="36"/>
        <v>FALSE</v>
      </c>
      <c r="I763" s="41">
        <f t="shared" si="37"/>
        <v>0</v>
      </c>
      <c r="J763" s="4" t="s">
        <v>16</v>
      </c>
      <c r="K763" s="43" t="str">
        <f>IF(VLOOKUP(J763,βοηθητικό!$J$2:$N$354,3,FALSE)="","",VLOOKUP(J763,βοηθητικό!$J$2:$N$354,3,FALSE))</f>
        <v>_</v>
      </c>
      <c r="L763" s="44"/>
      <c r="M763" s="5" t="s">
        <v>16</v>
      </c>
      <c r="N763" s="46" t="str">
        <f>IF(VLOOKUP(M763,βοηθητικό!$J$2:$N$354,3,FALSE)="","",VLOOKUP(M763,βοηθητικό!$J$2:$N$354,3,FALSE))</f>
        <v>_</v>
      </c>
      <c r="O763" s="47"/>
      <c r="P763" s="4" t="s">
        <v>16</v>
      </c>
      <c r="Q763" s="43" t="str">
        <f>IF(VLOOKUP(P763,βοηθητικό!$J$2:$N$354,3,FALSE)="","",VLOOKUP(P763,βοηθητικό!$J$2:$N$354,3,FALSE))</f>
        <v>_</v>
      </c>
      <c r="R763" s="44"/>
      <c r="S763" s="5" t="s">
        <v>16</v>
      </c>
      <c r="T763" s="46" t="str">
        <f>IF(VLOOKUP(S763,βοηθητικό!$J$2:$N$354,3,FALSE)="","",VLOOKUP(S763,βοηθητικό!$J$2:$N$354,3,FALSE))</f>
        <v>_</v>
      </c>
      <c r="U763" s="47"/>
      <c r="V763" s="4" t="s">
        <v>16</v>
      </c>
      <c r="W763" s="43" t="str">
        <f>IF(VLOOKUP(V763,βοηθητικό!$J$2:$N$354,3,FALSE)="","",VLOOKUP(V763,βοηθητικό!$J$2:$N$354,3,FALSE))</f>
        <v>_</v>
      </c>
      <c r="X763" s="44"/>
      <c r="Y763" s="5" t="s">
        <v>16</v>
      </c>
      <c r="Z763" s="46" t="str">
        <f>IF(VLOOKUP(Y763,βοηθητικό!$J$2:$N$354,3,FALSE)="","",VLOOKUP(Y763,βοηθητικό!$J$2:$N$354,3,FALSE))</f>
        <v>_</v>
      </c>
      <c r="AA763" s="47"/>
      <c r="AB763" s="4" t="s">
        <v>16</v>
      </c>
      <c r="AC763" s="43" t="str">
        <f>IF(VLOOKUP(AB763,βοηθητικό!$J$2:$N$354,3,FALSE)="","",VLOOKUP(AB763,βοηθητικό!$J$2:$N$354,3,FALSE))</f>
        <v>_</v>
      </c>
      <c r="AD763" s="44"/>
      <c r="AE763" s="5" t="s">
        <v>16</v>
      </c>
      <c r="AF763" s="46" t="str">
        <f>IF(VLOOKUP(AE763,βοηθητικό!$J$2:$N$354,3,FALSE)="","",VLOOKUP(AE763,βοηθητικό!$J$2:$N$354,3,FALSE))</f>
        <v>_</v>
      </c>
      <c r="AG763" s="47"/>
      <c r="AH763" s="4" t="s">
        <v>16</v>
      </c>
      <c r="AI763" s="43" t="str">
        <f>IF(VLOOKUP(AH763,βοηθητικό!$J$2:$N$354,3,FALSE)="","",VLOOKUP(AH763,βοηθητικό!$J$2:$N$354,3,FALSE))</f>
        <v>_</v>
      </c>
      <c r="AJ763" s="44"/>
      <c r="AK763" s="5" t="s">
        <v>16</v>
      </c>
      <c r="AL763" s="46" t="str">
        <f>IF(VLOOKUP(AK763,βοηθητικό!$J$2:$N$354,3,FALSE)="","",VLOOKUP(AK763,βοηθητικό!$J$2:$N$354,3,FALSE))</f>
        <v>_</v>
      </c>
      <c r="AM763" s="47"/>
      <c r="AN763" s="4" t="s">
        <v>16</v>
      </c>
      <c r="AO763" s="43" t="str">
        <f>IF(VLOOKUP(AN763,βοηθητικό!$J$2:$N$354,3,FALSE)="","",VLOOKUP(AN763,βοηθητικό!$J$2:$N$354,3,FALSE))</f>
        <v>_</v>
      </c>
      <c r="AP763" s="44"/>
      <c r="AQ763" s="5" t="s">
        <v>16</v>
      </c>
      <c r="AR763" s="46" t="str">
        <f>IF(VLOOKUP(AQ763,βοηθητικό!$J$2:$N$354,3,FALSE)="","",VLOOKUP(AQ763,βοηθητικό!$J$2:$N$354,3,FALSE))</f>
        <v>_</v>
      </c>
      <c r="AS763" s="47"/>
      <c r="AT763" s="4" t="s">
        <v>16</v>
      </c>
      <c r="AU763" s="43" t="str">
        <f>IF(VLOOKUP(AT763,βοηθητικό!$J$2:$N$354,3,FALSE)="","",VLOOKUP(AT763,βοηθητικό!$J$2:$N$354,3,FALSE))</f>
        <v>_</v>
      </c>
      <c r="AV763" s="44"/>
      <c r="AW763" s="5" t="s">
        <v>16</v>
      </c>
      <c r="AX763" s="46" t="str">
        <f>IF(VLOOKUP(AW763,βοηθητικό!$J$2:$N$354,3,FALSE)="","",VLOOKUP(AW763,βοηθητικό!$J$2:$N$354,3,FALSE))</f>
        <v>_</v>
      </c>
      <c r="AY763" s="47"/>
      <c r="AZ763" s="4" t="s">
        <v>16</v>
      </c>
      <c r="BA763" s="43" t="str">
        <f>IF(VLOOKUP(AZ763,βοηθητικό!$J$2:$N$354,3,FALSE)="","",VLOOKUP(AZ763,βοηθητικό!$J$2:$N$354,3,FALSE))</f>
        <v>_</v>
      </c>
      <c r="BB763" s="44"/>
      <c r="BC763" s="45" t="s">
        <v>16</v>
      </c>
      <c r="BD763" s="46" t="str">
        <f>IF(VLOOKUP(BC763,βοηθητικό!$J$2:$N$354,3,FALSE)="","",VLOOKUP(BC763,βοηθητικό!$J$2:$N$354,3,FALSE))</f>
        <v>_</v>
      </c>
      <c r="BE763" s="47"/>
      <c r="BF763" s="42" t="s">
        <v>16</v>
      </c>
      <c r="BG763" s="43" t="str">
        <f>IF(VLOOKUP(BF763,βοηθητικό!$J$2:$N$354,3,FALSE)="","",VLOOKUP(BF763,βοηθητικό!$J$2:$N$354,3,FALSE))</f>
        <v>_</v>
      </c>
      <c r="BH763" s="44"/>
      <c r="BI763" s="45" t="s">
        <v>16</v>
      </c>
      <c r="BJ763" s="46" t="str">
        <f>IF(VLOOKUP(BI763,βοηθητικό!$J$2:$N$354,3,FALSE)="","",VLOOKUP(BI763,βοηθητικό!$J$2:$N$354,3,FALSE))</f>
        <v>_</v>
      </c>
      <c r="BK763" s="47"/>
      <c r="BL763" s="42" t="s">
        <v>16</v>
      </c>
      <c r="BM763" s="43" t="str">
        <f>IF(VLOOKUP(BL763,βοηθητικό!$J$2:$N$354,3,FALSE)="","",VLOOKUP(BL763,βοηθητικό!$J$2:$N$354,3,FALSE))</f>
        <v>_</v>
      </c>
      <c r="BN763" s="44"/>
      <c r="BO763" s="45" t="s">
        <v>16</v>
      </c>
      <c r="BP763" s="46" t="str">
        <f>IF(VLOOKUP(BO763,βοηθητικό!$J$2:$N$354,3,FALSE)="","",VLOOKUP(BO763,βοηθητικό!$J$2:$N$354,3,FALSE))</f>
        <v>_</v>
      </c>
      <c r="BQ763" s="47"/>
      <c r="BR763" s="42" t="s">
        <v>16</v>
      </c>
      <c r="BS763" s="43" t="str">
        <f>IF(VLOOKUP(BR763,βοηθητικό!$J$2:$N$354,3,FALSE)="","",VLOOKUP(BR763,βοηθητικό!$J$2:$N$354,3,FALSE))</f>
        <v>_</v>
      </c>
      <c r="BT763" s="44"/>
      <c r="BU763" s="45" t="s">
        <v>16</v>
      </c>
      <c r="BV763" s="46" t="str">
        <f>IF(VLOOKUP(BU763,βοηθητικό!$J$2:$N$354,3,FALSE)="","",VLOOKUP(BU763,βοηθητικό!$J$2:$N$354,3,FALSE))</f>
        <v>_</v>
      </c>
      <c r="BW763" s="47"/>
      <c r="BX763" s="42" t="s">
        <v>16</v>
      </c>
      <c r="BY763" s="43" t="str">
        <f>IF(VLOOKUP(BX763,βοηθητικό!$J$2:$N$354,3,FALSE)="","",VLOOKUP(BX763,βοηθητικό!$J$2:$N$354,3,FALSE))</f>
        <v>_</v>
      </c>
      <c r="BZ763" s="44"/>
      <c r="CA763" s="45" t="s">
        <v>16</v>
      </c>
      <c r="CB763" s="46" t="str">
        <f>IF(VLOOKUP(CA763,βοηθητικό!$J$2:$N$354,3,FALSE)="","",VLOOKUP(CA763,βοηθητικό!$J$2:$N$354,3,FALSE))</f>
        <v>_</v>
      </c>
      <c r="CC763" s="47"/>
      <c r="CD763" s="42" t="s">
        <v>16</v>
      </c>
      <c r="CE763" s="43" t="str">
        <f>IF(VLOOKUP(CD763,βοηθητικό!$J$2:$N$354,3,FALSE)="","",VLOOKUP(CD763,βοηθητικό!$J$2:$N$354,3,FALSE))</f>
        <v>_</v>
      </c>
      <c r="CF763" s="44"/>
      <c r="CG763" s="45" t="s">
        <v>16</v>
      </c>
      <c r="CH763" s="46" t="str">
        <f>IF(VLOOKUP(CG763,βοηθητικό!$J$2:$N$354,3,FALSE)="","",VLOOKUP(CG763,βοηθητικό!$J$2:$N$354,3,FALSE))</f>
        <v>_</v>
      </c>
      <c r="CI763" s="47"/>
      <c r="CJ763" s="42" t="s">
        <v>16</v>
      </c>
      <c r="CK763" s="43" t="str">
        <f>IF(VLOOKUP(CJ763,βοηθητικό!$J$2:$N$354,3,FALSE)="","",VLOOKUP(CJ763,βοηθητικό!$J$2:$N$354,3,FALSE))</f>
        <v>_</v>
      </c>
      <c r="CL763" s="44"/>
      <c r="CM763" s="45" t="s">
        <v>16</v>
      </c>
      <c r="CN763" s="46" t="str">
        <f>IF(VLOOKUP(CM763,βοηθητικό!$J$2:$N$354,3,FALSE)="","",VLOOKUP(CM763,βοηθητικό!$J$2:$N$354,3,FALSE))</f>
        <v>_</v>
      </c>
      <c r="CO763" s="47"/>
      <c r="CP763" s="42" t="s">
        <v>16</v>
      </c>
      <c r="CQ763" s="43" t="str">
        <f>IF(VLOOKUP(CP763,βοηθητικό!$J$2:$N$354,3,FALSE)="","",VLOOKUP(CP763,βοηθητικό!$J$2:$N$354,3,FALSE))</f>
        <v>_</v>
      </c>
      <c r="CR763" s="44"/>
      <c r="CS763" s="45" t="s">
        <v>16</v>
      </c>
      <c r="CT763" s="46" t="str">
        <f>IF(VLOOKUP(CS763,βοηθητικό!$J$2:$N$354,3,FALSE)="","",VLOOKUP(CS763,βοηθητικό!$J$2:$N$354,3,FALSE))</f>
        <v>_</v>
      </c>
      <c r="CU763" s="47"/>
    </row>
    <row r="764" spans="1:99" x14ac:dyDescent="0.25">
      <c r="A764" s="37">
        <f>--SUBTOTAL(3,$B$3:B763)</f>
        <v>198</v>
      </c>
      <c r="B764" s="2"/>
      <c r="C764" s="3"/>
      <c r="D764" s="55" t="s">
        <v>18</v>
      </c>
      <c r="E764" s="38" t="s">
        <v>16</v>
      </c>
      <c r="F764" s="38"/>
      <c r="G764" s="39" t="str">
        <f t="shared" si="35"/>
        <v>__</v>
      </c>
      <c r="H764" s="40" t="str">
        <f t="shared" si="36"/>
        <v>FALSE</v>
      </c>
      <c r="I764" s="41">
        <f t="shared" si="37"/>
        <v>0</v>
      </c>
      <c r="J764" s="4" t="s">
        <v>16</v>
      </c>
      <c r="K764" s="43" t="str">
        <f>IF(VLOOKUP(J764,βοηθητικό!$J$2:$N$354,3,FALSE)="","",VLOOKUP(J764,βοηθητικό!$J$2:$N$354,3,FALSE))</f>
        <v>_</v>
      </c>
      <c r="L764" s="44"/>
      <c r="M764" s="5" t="s">
        <v>16</v>
      </c>
      <c r="N764" s="46" t="str">
        <f>IF(VLOOKUP(M764,βοηθητικό!$J$2:$N$354,3,FALSE)="","",VLOOKUP(M764,βοηθητικό!$J$2:$N$354,3,FALSE))</f>
        <v>_</v>
      </c>
      <c r="O764" s="47"/>
      <c r="P764" s="4" t="s">
        <v>16</v>
      </c>
      <c r="Q764" s="43" t="str">
        <f>IF(VLOOKUP(P764,βοηθητικό!$J$2:$N$354,3,FALSE)="","",VLOOKUP(P764,βοηθητικό!$J$2:$N$354,3,FALSE))</f>
        <v>_</v>
      </c>
      <c r="R764" s="44"/>
      <c r="S764" s="5" t="s">
        <v>16</v>
      </c>
      <c r="T764" s="46" t="str">
        <f>IF(VLOOKUP(S764,βοηθητικό!$J$2:$N$354,3,FALSE)="","",VLOOKUP(S764,βοηθητικό!$J$2:$N$354,3,FALSE))</f>
        <v>_</v>
      </c>
      <c r="U764" s="47"/>
      <c r="V764" s="4" t="s">
        <v>16</v>
      </c>
      <c r="W764" s="43" t="str">
        <f>IF(VLOOKUP(V764,βοηθητικό!$J$2:$N$354,3,FALSE)="","",VLOOKUP(V764,βοηθητικό!$J$2:$N$354,3,FALSE))</f>
        <v>_</v>
      </c>
      <c r="X764" s="44"/>
      <c r="Y764" s="5" t="s">
        <v>16</v>
      </c>
      <c r="Z764" s="46" t="str">
        <f>IF(VLOOKUP(Y764,βοηθητικό!$J$2:$N$354,3,FALSE)="","",VLOOKUP(Y764,βοηθητικό!$J$2:$N$354,3,FALSE))</f>
        <v>_</v>
      </c>
      <c r="AA764" s="47"/>
      <c r="AB764" s="4" t="s">
        <v>16</v>
      </c>
      <c r="AC764" s="43" t="str">
        <f>IF(VLOOKUP(AB764,βοηθητικό!$J$2:$N$354,3,FALSE)="","",VLOOKUP(AB764,βοηθητικό!$J$2:$N$354,3,FALSE))</f>
        <v>_</v>
      </c>
      <c r="AD764" s="44"/>
      <c r="AE764" s="5" t="s">
        <v>16</v>
      </c>
      <c r="AF764" s="46" t="str">
        <f>IF(VLOOKUP(AE764,βοηθητικό!$J$2:$N$354,3,FALSE)="","",VLOOKUP(AE764,βοηθητικό!$J$2:$N$354,3,FALSE))</f>
        <v>_</v>
      </c>
      <c r="AG764" s="47"/>
      <c r="AH764" s="4" t="s">
        <v>16</v>
      </c>
      <c r="AI764" s="43" t="str">
        <f>IF(VLOOKUP(AH764,βοηθητικό!$J$2:$N$354,3,FALSE)="","",VLOOKUP(AH764,βοηθητικό!$J$2:$N$354,3,FALSE))</f>
        <v>_</v>
      </c>
      <c r="AJ764" s="44"/>
      <c r="AK764" s="5" t="s">
        <v>16</v>
      </c>
      <c r="AL764" s="46" t="str">
        <f>IF(VLOOKUP(AK764,βοηθητικό!$J$2:$N$354,3,FALSE)="","",VLOOKUP(AK764,βοηθητικό!$J$2:$N$354,3,FALSE))</f>
        <v>_</v>
      </c>
      <c r="AM764" s="47"/>
      <c r="AN764" s="4" t="s">
        <v>16</v>
      </c>
      <c r="AO764" s="43" t="str">
        <f>IF(VLOOKUP(AN764,βοηθητικό!$J$2:$N$354,3,FALSE)="","",VLOOKUP(AN764,βοηθητικό!$J$2:$N$354,3,FALSE))</f>
        <v>_</v>
      </c>
      <c r="AP764" s="44"/>
      <c r="AQ764" s="5" t="s">
        <v>16</v>
      </c>
      <c r="AR764" s="46" t="str">
        <f>IF(VLOOKUP(AQ764,βοηθητικό!$J$2:$N$354,3,FALSE)="","",VLOOKUP(AQ764,βοηθητικό!$J$2:$N$354,3,FALSE))</f>
        <v>_</v>
      </c>
      <c r="AS764" s="47"/>
      <c r="AT764" s="4" t="s">
        <v>16</v>
      </c>
      <c r="AU764" s="43" t="str">
        <f>IF(VLOOKUP(AT764,βοηθητικό!$J$2:$N$354,3,FALSE)="","",VLOOKUP(AT764,βοηθητικό!$J$2:$N$354,3,FALSE))</f>
        <v>_</v>
      </c>
      <c r="AV764" s="44"/>
      <c r="AW764" s="5" t="s">
        <v>16</v>
      </c>
      <c r="AX764" s="46" t="str">
        <f>IF(VLOOKUP(AW764,βοηθητικό!$J$2:$N$354,3,FALSE)="","",VLOOKUP(AW764,βοηθητικό!$J$2:$N$354,3,FALSE))</f>
        <v>_</v>
      </c>
      <c r="AY764" s="47"/>
      <c r="AZ764" s="4" t="s">
        <v>16</v>
      </c>
      <c r="BA764" s="43" t="str">
        <f>IF(VLOOKUP(AZ764,βοηθητικό!$J$2:$N$354,3,FALSE)="","",VLOOKUP(AZ764,βοηθητικό!$J$2:$N$354,3,FALSE))</f>
        <v>_</v>
      </c>
      <c r="BB764" s="44"/>
      <c r="BC764" s="45" t="s">
        <v>16</v>
      </c>
      <c r="BD764" s="46" t="str">
        <f>IF(VLOOKUP(BC764,βοηθητικό!$J$2:$N$354,3,FALSE)="","",VLOOKUP(BC764,βοηθητικό!$J$2:$N$354,3,FALSE))</f>
        <v>_</v>
      </c>
      <c r="BE764" s="47"/>
      <c r="BF764" s="42" t="s">
        <v>16</v>
      </c>
      <c r="BG764" s="43" t="str">
        <f>IF(VLOOKUP(BF764,βοηθητικό!$J$2:$N$354,3,FALSE)="","",VLOOKUP(BF764,βοηθητικό!$J$2:$N$354,3,FALSE))</f>
        <v>_</v>
      </c>
      <c r="BH764" s="44"/>
      <c r="BI764" s="45" t="s">
        <v>16</v>
      </c>
      <c r="BJ764" s="46" t="str">
        <f>IF(VLOOKUP(BI764,βοηθητικό!$J$2:$N$354,3,FALSE)="","",VLOOKUP(BI764,βοηθητικό!$J$2:$N$354,3,FALSE))</f>
        <v>_</v>
      </c>
      <c r="BK764" s="47"/>
      <c r="BL764" s="42" t="s">
        <v>16</v>
      </c>
      <c r="BM764" s="43" t="str">
        <f>IF(VLOOKUP(BL764,βοηθητικό!$J$2:$N$354,3,FALSE)="","",VLOOKUP(BL764,βοηθητικό!$J$2:$N$354,3,FALSE))</f>
        <v>_</v>
      </c>
      <c r="BN764" s="44"/>
      <c r="BO764" s="45" t="s">
        <v>16</v>
      </c>
      <c r="BP764" s="46" t="str">
        <f>IF(VLOOKUP(BO764,βοηθητικό!$J$2:$N$354,3,FALSE)="","",VLOOKUP(BO764,βοηθητικό!$J$2:$N$354,3,FALSE))</f>
        <v>_</v>
      </c>
      <c r="BQ764" s="47"/>
      <c r="BR764" s="42" t="s">
        <v>16</v>
      </c>
      <c r="BS764" s="43" t="str">
        <f>IF(VLOOKUP(BR764,βοηθητικό!$J$2:$N$354,3,FALSE)="","",VLOOKUP(BR764,βοηθητικό!$J$2:$N$354,3,FALSE))</f>
        <v>_</v>
      </c>
      <c r="BT764" s="44"/>
      <c r="BU764" s="45" t="s">
        <v>16</v>
      </c>
      <c r="BV764" s="46" t="str">
        <f>IF(VLOOKUP(BU764,βοηθητικό!$J$2:$N$354,3,FALSE)="","",VLOOKUP(BU764,βοηθητικό!$J$2:$N$354,3,FALSE))</f>
        <v>_</v>
      </c>
      <c r="BW764" s="47"/>
      <c r="BX764" s="42" t="s">
        <v>16</v>
      </c>
      <c r="BY764" s="43" t="str">
        <f>IF(VLOOKUP(BX764,βοηθητικό!$J$2:$N$354,3,FALSE)="","",VLOOKUP(BX764,βοηθητικό!$J$2:$N$354,3,FALSE))</f>
        <v>_</v>
      </c>
      <c r="BZ764" s="44"/>
      <c r="CA764" s="45" t="s">
        <v>16</v>
      </c>
      <c r="CB764" s="46" t="str">
        <f>IF(VLOOKUP(CA764,βοηθητικό!$J$2:$N$354,3,FALSE)="","",VLOOKUP(CA764,βοηθητικό!$J$2:$N$354,3,FALSE))</f>
        <v>_</v>
      </c>
      <c r="CC764" s="47"/>
      <c r="CD764" s="42" t="s">
        <v>16</v>
      </c>
      <c r="CE764" s="43" t="str">
        <f>IF(VLOOKUP(CD764,βοηθητικό!$J$2:$N$354,3,FALSE)="","",VLOOKUP(CD764,βοηθητικό!$J$2:$N$354,3,FALSE))</f>
        <v>_</v>
      </c>
      <c r="CF764" s="44"/>
      <c r="CG764" s="45" t="s">
        <v>16</v>
      </c>
      <c r="CH764" s="46" t="str">
        <f>IF(VLOOKUP(CG764,βοηθητικό!$J$2:$N$354,3,FALSE)="","",VLOOKUP(CG764,βοηθητικό!$J$2:$N$354,3,FALSE))</f>
        <v>_</v>
      </c>
      <c r="CI764" s="47"/>
      <c r="CJ764" s="42" t="s">
        <v>16</v>
      </c>
      <c r="CK764" s="43" t="str">
        <f>IF(VLOOKUP(CJ764,βοηθητικό!$J$2:$N$354,3,FALSE)="","",VLOOKUP(CJ764,βοηθητικό!$J$2:$N$354,3,FALSE))</f>
        <v>_</v>
      </c>
      <c r="CL764" s="44"/>
      <c r="CM764" s="45" t="s">
        <v>16</v>
      </c>
      <c r="CN764" s="46" t="str">
        <f>IF(VLOOKUP(CM764,βοηθητικό!$J$2:$N$354,3,FALSE)="","",VLOOKUP(CM764,βοηθητικό!$J$2:$N$354,3,FALSE))</f>
        <v>_</v>
      </c>
      <c r="CO764" s="47"/>
      <c r="CP764" s="42" t="s">
        <v>16</v>
      </c>
      <c r="CQ764" s="43" t="str">
        <f>IF(VLOOKUP(CP764,βοηθητικό!$J$2:$N$354,3,FALSE)="","",VLOOKUP(CP764,βοηθητικό!$J$2:$N$354,3,FALSE))</f>
        <v>_</v>
      </c>
      <c r="CR764" s="44"/>
      <c r="CS764" s="45" t="s">
        <v>16</v>
      </c>
      <c r="CT764" s="46" t="str">
        <f>IF(VLOOKUP(CS764,βοηθητικό!$J$2:$N$354,3,FALSE)="","",VLOOKUP(CS764,βοηθητικό!$J$2:$N$354,3,FALSE))</f>
        <v>_</v>
      </c>
      <c r="CU764" s="47"/>
    </row>
    <row r="765" spans="1:99" x14ac:dyDescent="0.25">
      <c r="A765" s="37">
        <f>--SUBTOTAL(3,$B$3:B764)</f>
        <v>198</v>
      </c>
      <c r="B765" s="2"/>
      <c r="C765" s="3"/>
      <c r="D765" s="55" t="s">
        <v>18</v>
      </c>
      <c r="E765" s="38" t="s">
        <v>16</v>
      </c>
      <c r="F765" s="38"/>
      <c r="G765" s="39" t="str">
        <f t="shared" si="35"/>
        <v>__</v>
      </c>
      <c r="H765" s="40" t="str">
        <f t="shared" si="36"/>
        <v>FALSE</v>
      </c>
      <c r="I765" s="41">
        <f t="shared" si="37"/>
        <v>0</v>
      </c>
      <c r="J765" s="4" t="s">
        <v>16</v>
      </c>
      <c r="K765" s="43" t="str">
        <f>IF(VLOOKUP(J765,βοηθητικό!$J$2:$N$354,3,FALSE)="","",VLOOKUP(J765,βοηθητικό!$J$2:$N$354,3,FALSE))</f>
        <v>_</v>
      </c>
      <c r="L765" s="44"/>
      <c r="M765" s="5" t="s">
        <v>16</v>
      </c>
      <c r="N765" s="46" t="str">
        <f>IF(VLOOKUP(M765,βοηθητικό!$J$2:$N$354,3,FALSE)="","",VLOOKUP(M765,βοηθητικό!$J$2:$N$354,3,FALSE))</f>
        <v>_</v>
      </c>
      <c r="O765" s="47"/>
      <c r="P765" s="4" t="s">
        <v>16</v>
      </c>
      <c r="Q765" s="43" t="str">
        <f>IF(VLOOKUP(P765,βοηθητικό!$J$2:$N$354,3,FALSE)="","",VLOOKUP(P765,βοηθητικό!$J$2:$N$354,3,FALSE))</f>
        <v>_</v>
      </c>
      <c r="R765" s="44"/>
      <c r="S765" s="5" t="s">
        <v>16</v>
      </c>
      <c r="T765" s="46" t="str">
        <f>IF(VLOOKUP(S765,βοηθητικό!$J$2:$N$354,3,FALSE)="","",VLOOKUP(S765,βοηθητικό!$J$2:$N$354,3,FALSE))</f>
        <v>_</v>
      </c>
      <c r="U765" s="47"/>
      <c r="V765" s="4" t="s">
        <v>16</v>
      </c>
      <c r="W765" s="43" t="str">
        <f>IF(VLOOKUP(V765,βοηθητικό!$J$2:$N$354,3,FALSE)="","",VLOOKUP(V765,βοηθητικό!$J$2:$N$354,3,FALSE))</f>
        <v>_</v>
      </c>
      <c r="X765" s="44"/>
      <c r="Y765" s="5" t="s">
        <v>16</v>
      </c>
      <c r="Z765" s="46" t="str">
        <f>IF(VLOOKUP(Y765,βοηθητικό!$J$2:$N$354,3,FALSE)="","",VLOOKUP(Y765,βοηθητικό!$J$2:$N$354,3,FALSE))</f>
        <v>_</v>
      </c>
      <c r="AA765" s="47"/>
      <c r="AB765" s="4" t="s">
        <v>16</v>
      </c>
      <c r="AC765" s="43" t="str">
        <f>IF(VLOOKUP(AB765,βοηθητικό!$J$2:$N$354,3,FALSE)="","",VLOOKUP(AB765,βοηθητικό!$J$2:$N$354,3,FALSE))</f>
        <v>_</v>
      </c>
      <c r="AD765" s="44"/>
      <c r="AE765" s="5" t="s">
        <v>16</v>
      </c>
      <c r="AF765" s="46" t="str">
        <f>IF(VLOOKUP(AE765,βοηθητικό!$J$2:$N$354,3,FALSE)="","",VLOOKUP(AE765,βοηθητικό!$J$2:$N$354,3,FALSE))</f>
        <v>_</v>
      </c>
      <c r="AG765" s="47"/>
      <c r="AH765" s="4" t="s">
        <v>16</v>
      </c>
      <c r="AI765" s="43" t="str">
        <f>IF(VLOOKUP(AH765,βοηθητικό!$J$2:$N$354,3,FALSE)="","",VLOOKUP(AH765,βοηθητικό!$J$2:$N$354,3,FALSE))</f>
        <v>_</v>
      </c>
      <c r="AJ765" s="44"/>
      <c r="AK765" s="5" t="s">
        <v>16</v>
      </c>
      <c r="AL765" s="46" t="str">
        <f>IF(VLOOKUP(AK765,βοηθητικό!$J$2:$N$354,3,FALSE)="","",VLOOKUP(AK765,βοηθητικό!$J$2:$N$354,3,FALSE))</f>
        <v>_</v>
      </c>
      <c r="AM765" s="47"/>
      <c r="AN765" s="4" t="s">
        <v>16</v>
      </c>
      <c r="AO765" s="43" t="str">
        <f>IF(VLOOKUP(AN765,βοηθητικό!$J$2:$N$354,3,FALSE)="","",VLOOKUP(AN765,βοηθητικό!$J$2:$N$354,3,FALSE))</f>
        <v>_</v>
      </c>
      <c r="AP765" s="44"/>
      <c r="AQ765" s="5" t="s">
        <v>16</v>
      </c>
      <c r="AR765" s="46" t="str">
        <f>IF(VLOOKUP(AQ765,βοηθητικό!$J$2:$N$354,3,FALSE)="","",VLOOKUP(AQ765,βοηθητικό!$J$2:$N$354,3,FALSE))</f>
        <v>_</v>
      </c>
      <c r="AS765" s="47"/>
      <c r="AT765" s="4" t="s">
        <v>16</v>
      </c>
      <c r="AU765" s="43" t="str">
        <f>IF(VLOOKUP(AT765,βοηθητικό!$J$2:$N$354,3,FALSE)="","",VLOOKUP(AT765,βοηθητικό!$J$2:$N$354,3,FALSE))</f>
        <v>_</v>
      </c>
      <c r="AV765" s="44"/>
      <c r="AW765" s="5" t="s">
        <v>16</v>
      </c>
      <c r="AX765" s="46" t="str">
        <f>IF(VLOOKUP(AW765,βοηθητικό!$J$2:$N$354,3,FALSE)="","",VLOOKUP(AW765,βοηθητικό!$J$2:$N$354,3,FALSE))</f>
        <v>_</v>
      </c>
      <c r="AY765" s="47"/>
      <c r="AZ765" s="4" t="s">
        <v>16</v>
      </c>
      <c r="BA765" s="43" t="str">
        <f>IF(VLOOKUP(AZ765,βοηθητικό!$J$2:$N$354,3,FALSE)="","",VLOOKUP(AZ765,βοηθητικό!$J$2:$N$354,3,FALSE))</f>
        <v>_</v>
      </c>
      <c r="BB765" s="44"/>
      <c r="BC765" s="45" t="s">
        <v>16</v>
      </c>
      <c r="BD765" s="46" t="str">
        <f>IF(VLOOKUP(BC765,βοηθητικό!$J$2:$N$354,3,FALSE)="","",VLOOKUP(BC765,βοηθητικό!$J$2:$N$354,3,FALSE))</f>
        <v>_</v>
      </c>
      <c r="BE765" s="47"/>
      <c r="BF765" s="42" t="s">
        <v>16</v>
      </c>
      <c r="BG765" s="43" t="str">
        <f>IF(VLOOKUP(BF765,βοηθητικό!$J$2:$N$354,3,FALSE)="","",VLOOKUP(BF765,βοηθητικό!$J$2:$N$354,3,FALSE))</f>
        <v>_</v>
      </c>
      <c r="BH765" s="44"/>
      <c r="BI765" s="45" t="s">
        <v>16</v>
      </c>
      <c r="BJ765" s="46" t="str">
        <f>IF(VLOOKUP(BI765,βοηθητικό!$J$2:$N$354,3,FALSE)="","",VLOOKUP(BI765,βοηθητικό!$J$2:$N$354,3,FALSE))</f>
        <v>_</v>
      </c>
      <c r="BK765" s="47"/>
      <c r="BL765" s="42" t="s">
        <v>16</v>
      </c>
      <c r="BM765" s="43" t="str">
        <f>IF(VLOOKUP(BL765,βοηθητικό!$J$2:$N$354,3,FALSE)="","",VLOOKUP(BL765,βοηθητικό!$J$2:$N$354,3,FALSE))</f>
        <v>_</v>
      </c>
      <c r="BN765" s="44"/>
      <c r="BO765" s="45" t="s">
        <v>16</v>
      </c>
      <c r="BP765" s="46" t="str">
        <f>IF(VLOOKUP(BO765,βοηθητικό!$J$2:$N$354,3,FALSE)="","",VLOOKUP(BO765,βοηθητικό!$J$2:$N$354,3,FALSE))</f>
        <v>_</v>
      </c>
      <c r="BQ765" s="47"/>
      <c r="BR765" s="42" t="s">
        <v>16</v>
      </c>
      <c r="BS765" s="43" t="str">
        <f>IF(VLOOKUP(BR765,βοηθητικό!$J$2:$N$354,3,FALSE)="","",VLOOKUP(BR765,βοηθητικό!$J$2:$N$354,3,FALSE))</f>
        <v>_</v>
      </c>
      <c r="BT765" s="44"/>
      <c r="BU765" s="45" t="s">
        <v>16</v>
      </c>
      <c r="BV765" s="46" t="str">
        <f>IF(VLOOKUP(BU765,βοηθητικό!$J$2:$N$354,3,FALSE)="","",VLOOKUP(BU765,βοηθητικό!$J$2:$N$354,3,FALSE))</f>
        <v>_</v>
      </c>
      <c r="BW765" s="47"/>
      <c r="BX765" s="42" t="s">
        <v>16</v>
      </c>
      <c r="BY765" s="43" t="str">
        <f>IF(VLOOKUP(BX765,βοηθητικό!$J$2:$N$354,3,FALSE)="","",VLOOKUP(BX765,βοηθητικό!$J$2:$N$354,3,FALSE))</f>
        <v>_</v>
      </c>
      <c r="BZ765" s="44"/>
      <c r="CA765" s="45" t="s">
        <v>16</v>
      </c>
      <c r="CB765" s="46" t="str">
        <f>IF(VLOOKUP(CA765,βοηθητικό!$J$2:$N$354,3,FALSE)="","",VLOOKUP(CA765,βοηθητικό!$J$2:$N$354,3,FALSE))</f>
        <v>_</v>
      </c>
      <c r="CC765" s="47"/>
      <c r="CD765" s="42" t="s">
        <v>16</v>
      </c>
      <c r="CE765" s="43" t="str">
        <f>IF(VLOOKUP(CD765,βοηθητικό!$J$2:$N$354,3,FALSE)="","",VLOOKUP(CD765,βοηθητικό!$J$2:$N$354,3,FALSE))</f>
        <v>_</v>
      </c>
      <c r="CF765" s="44"/>
      <c r="CG765" s="45" t="s">
        <v>16</v>
      </c>
      <c r="CH765" s="46" t="str">
        <f>IF(VLOOKUP(CG765,βοηθητικό!$J$2:$N$354,3,FALSE)="","",VLOOKUP(CG765,βοηθητικό!$J$2:$N$354,3,FALSE))</f>
        <v>_</v>
      </c>
      <c r="CI765" s="47"/>
      <c r="CJ765" s="42" t="s">
        <v>16</v>
      </c>
      <c r="CK765" s="43" t="str">
        <f>IF(VLOOKUP(CJ765,βοηθητικό!$J$2:$N$354,3,FALSE)="","",VLOOKUP(CJ765,βοηθητικό!$J$2:$N$354,3,FALSE))</f>
        <v>_</v>
      </c>
      <c r="CL765" s="44"/>
      <c r="CM765" s="45" t="s">
        <v>16</v>
      </c>
      <c r="CN765" s="46" t="str">
        <f>IF(VLOOKUP(CM765,βοηθητικό!$J$2:$N$354,3,FALSE)="","",VLOOKUP(CM765,βοηθητικό!$J$2:$N$354,3,FALSE))</f>
        <v>_</v>
      </c>
      <c r="CO765" s="47"/>
      <c r="CP765" s="42" t="s">
        <v>16</v>
      </c>
      <c r="CQ765" s="43" t="str">
        <f>IF(VLOOKUP(CP765,βοηθητικό!$J$2:$N$354,3,FALSE)="","",VLOOKUP(CP765,βοηθητικό!$J$2:$N$354,3,FALSE))</f>
        <v>_</v>
      </c>
      <c r="CR765" s="44"/>
      <c r="CS765" s="45" t="s">
        <v>16</v>
      </c>
      <c r="CT765" s="46" t="str">
        <f>IF(VLOOKUP(CS765,βοηθητικό!$J$2:$N$354,3,FALSE)="","",VLOOKUP(CS765,βοηθητικό!$J$2:$N$354,3,FALSE))</f>
        <v>_</v>
      </c>
      <c r="CU765" s="47"/>
    </row>
    <row r="766" spans="1:99" x14ac:dyDescent="0.25">
      <c r="A766" s="37">
        <f>--SUBTOTAL(3,$B$3:B765)</f>
        <v>198</v>
      </c>
      <c r="B766" s="2"/>
      <c r="C766" s="3"/>
      <c r="D766" s="55" t="s">
        <v>18</v>
      </c>
      <c r="E766" s="38" t="s">
        <v>16</v>
      </c>
      <c r="F766" s="38"/>
      <c r="G766" s="39" t="str">
        <f t="shared" si="35"/>
        <v>__</v>
      </c>
      <c r="H766" s="40" t="str">
        <f t="shared" si="36"/>
        <v>FALSE</v>
      </c>
      <c r="I766" s="41">
        <f t="shared" si="37"/>
        <v>0</v>
      </c>
      <c r="J766" s="4" t="s">
        <v>16</v>
      </c>
      <c r="K766" s="43" t="str">
        <f>IF(VLOOKUP(J766,βοηθητικό!$J$2:$N$354,3,FALSE)="","",VLOOKUP(J766,βοηθητικό!$J$2:$N$354,3,FALSE))</f>
        <v>_</v>
      </c>
      <c r="L766" s="44"/>
      <c r="M766" s="5" t="s">
        <v>16</v>
      </c>
      <c r="N766" s="46" t="str">
        <f>IF(VLOOKUP(M766,βοηθητικό!$J$2:$N$354,3,FALSE)="","",VLOOKUP(M766,βοηθητικό!$J$2:$N$354,3,FALSE))</f>
        <v>_</v>
      </c>
      <c r="O766" s="47"/>
      <c r="P766" s="4" t="s">
        <v>16</v>
      </c>
      <c r="Q766" s="43" t="str">
        <f>IF(VLOOKUP(P766,βοηθητικό!$J$2:$N$354,3,FALSE)="","",VLOOKUP(P766,βοηθητικό!$J$2:$N$354,3,FALSE))</f>
        <v>_</v>
      </c>
      <c r="R766" s="44"/>
      <c r="S766" s="5" t="s">
        <v>16</v>
      </c>
      <c r="T766" s="46" t="str">
        <f>IF(VLOOKUP(S766,βοηθητικό!$J$2:$N$354,3,FALSE)="","",VLOOKUP(S766,βοηθητικό!$J$2:$N$354,3,FALSE))</f>
        <v>_</v>
      </c>
      <c r="U766" s="47"/>
      <c r="V766" s="4" t="s">
        <v>16</v>
      </c>
      <c r="W766" s="43" t="str">
        <f>IF(VLOOKUP(V766,βοηθητικό!$J$2:$N$354,3,FALSE)="","",VLOOKUP(V766,βοηθητικό!$J$2:$N$354,3,FALSE))</f>
        <v>_</v>
      </c>
      <c r="X766" s="44"/>
      <c r="Y766" s="5" t="s">
        <v>16</v>
      </c>
      <c r="Z766" s="46" t="str">
        <f>IF(VLOOKUP(Y766,βοηθητικό!$J$2:$N$354,3,FALSE)="","",VLOOKUP(Y766,βοηθητικό!$J$2:$N$354,3,FALSE))</f>
        <v>_</v>
      </c>
      <c r="AA766" s="47"/>
      <c r="AB766" s="4" t="s">
        <v>16</v>
      </c>
      <c r="AC766" s="43" t="str">
        <f>IF(VLOOKUP(AB766,βοηθητικό!$J$2:$N$354,3,FALSE)="","",VLOOKUP(AB766,βοηθητικό!$J$2:$N$354,3,FALSE))</f>
        <v>_</v>
      </c>
      <c r="AD766" s="44"/>
      <c r="AE766" s="5" t="s">
        <v>16</v>
      </c>
      <c r="AF766" s="46" t="str">
        <f>IF(VLOOKUP(AE766,βοηθητικό!$J$2:$N$354,3,FALSE)="","",VLOOKUP(AE766,βοηθητικό!$J$2:$N$354,3,FALSE))</f>
        <v>_</v>
      </c>
      <c r="AG766" s="47"/>
      <c r="AH766" s="4" t="s">
        <v>16</v>
      </c>
      <c r="AI766" s="43" t="str">
        <f>IF(VLOOKUP(AH766,βοηθητικό!$J$2:$N$354,3,FALSE)="","",VLOOKUP(AH766,βοηθητικό!$J$2:$N$354,3,FALSE))</f>
        <v>_</v>
      </c>
      <c r="AJ766" s="44"/>
      <c r="AK766" s="5" t="s">
        <v>16</v>
      </c>
      <c r="AL766" s="46" t="str">
        <f>IF(VLOOKUP(AK766,βοηθητικό!$J$2:$N$354,3,FALSE)="","",VLOOKUP(AK766,βοηθητικό!$J$2:$N$354,3,FALSE))</f>
        <v>_</v>
      </c>
      <c r="AM766" s="47"/>
      <c r="AN766" s="4" t="s">
        <v>16</v>
      </c>
      <c r="AO766" s="43" t="str">
        <f>IF(VLOOKUP(AN766,βοηθητικό!$J$2:$N$354,3,FALSE)="","",VLOOKUP(AN766,βοηθητικό!$J$2:$N$354,3,FALSE))</f>
        <v>_</v>
      </c>
      <c r="AP766" s="44"/>
      <c r="AQ766" s="5" t="s">
        <v>16</v>
      </c>
      <c r="AR766" s="46" t="str">
        <f>IF(VLOOKUP(AQ766,βοηθητικό!$J$2:$N$354,3,FALSE)="","",VLOOKUP(AQ766,βοηθητικό!$J$2:$N$354,3,FALSE))</f>
        <v>_</v>
      </c>
      <c r="AS766" s="47"/>
      <c r="AT766" s="4" t="s">
        <v>16</v>
      </c>
      <c r="AU766" s="43" t="str">
        <f>IF(VLOOKUP(AT766,βοηθητικό!$J$2:$N$354,3,FALSE)="","",VLOOKUP(AT766,βοηθητικό!$J$2:$N$354,3,FALSE))</f>
        <v>_</v>
      </c>
      <c r="AV766" s="44"/>
      <c r="AW766" s="5" t="s">
        <v>16</v>
      </c>
      <c r="AX766" s="46" t="str">
        <f>IF(VLOOKUP(AW766,βοηθητικό!$J$2:$N$354,3,FALSE)="","",VLOOKUP(AW766,βοηθητικό!$J$2:$N$354,3,FALSE))</f>
        <v>_</v>
      </c>
      <c r="AY766" s="47"/>
      <c r="AZ766" s="4" t="s">
        <v>16</v>
      </c>
      <c r="BA766" s="43" t="str">
        <f>IF(VLOOKUP(AZ766,βοηθητικό!$J$2:$N$354,3,FALSE)="","",VLOOKUP(AZ766,βοηθητικό!$J$2:$N$354,3,FALSE))</f>
        <v>_</v>
      </c>
      <c r="BB766" s="44"/>
      <c r="BC766" s="45" t="s">
        <v>16</v>
      </c>
      <c r="BD766" s="46" t="str">
        <f>IF(VLOOKUP(BC766,βοηθητικό!$J$2:$N$354,3,FALSE)="","",VLOOKUP(BC766,βοηθητικό!$J$2:$N$354,3,FALSE))</f>
        <v>_</v>
      </c>
      <c r="BE766" s="47"/>
      <c r="BF766" s="42" t="s">
        <v>16</v>
      </c>
      <c r="BG766" s="43" t="str">
        <f>IF(VLOOKUP(BF766,βοηθητικό!$J$2:$N$354,3,FALSE)="","",VLOOKUP(BF766,βοηθητικό!$J$2:$N$354,3,FALSE))</f>
        <v>_</v>
      </c>
      <c r="BH766" s="44"/>
      <c r="BI766" s="45" t="s">
        <v>16</v>
      </c>
      <c r="BJ766" s="46" t="str">
        <f>IF(VLOOKUP(BI766,βοηθητικό!$J$2:$N$354,3,FALSE)="","",VLOOKUP(BI766,βοηθητικό!$J$2:$N$354,3,FALSE))</f>
        <v>_</v>
      </c>
      <c r="BK766" s="47"/>
      <c r="BL766" s="42" t="s">
        <v>16</v>
      </c>
      <c r="BM766" s="43" t="str">
        <f>IF(VLOOKUP(BL766,βοηθητικό!$J$2:$N$354,3,FALSE)="","",VLOOKUP(BL766,βοηθητικό!$J$2:$N$354,3,FALSE))</f>
        <v>_</v>
      </c>
      <c r="BN766" s="44"/>
      <c r="BO766" s="45" t="s">
        <v>16</v>
      </c>
      <c r="BP766" s="46" t="str">
        <f>IF(VLOOKUP(BO766,βοηθητικό!$J$2:$N$354,3,FALSE)="","",VLOOKUP(BO766,βοηθητικό!$J$2:$N$354,3,FALSE))</f>
        <v>_</v>
      </c>
      <c r="BQ766" s="47"/>
      <c r="BR766" s="42" t="s">
        <v>16</v>
      </c>
      <c r="BS766" s="43" t="str">
        <f>IF(VLOOKUP(BR766,βοηθητικό!$J$2:$N$354,3,FALSE)="","",VLOOKUP(BR766,βοηθητικό!$J$2:$N$354,3,FALSE))</f>
        <v>_</v>
      </c>
      <c r="BT766" s="44"/>
      <c r="BU766" s="45" t="s">
        <v>16</v>
      </c>
      <c r="BV766" s="46" t="str">
        <f>IF(VLOOKUP(BU766,βοηθητικό!$J$2:$N$354,3,FALSE)="","",VLOOKUP(BU766,βοηθητικό!$J$2:$N$354,3,FALSE))</f>
        <v>_</v>
      </c>
      <c r="BW766" s="47"/>
      <c r="BX766" s="42" t="s">
        <v>16</v>
      </c>
      <c r="BY766" s="43" t="str">
        <f>IF(VLOOKUP(BX766,βοηθητικό!$J$2:$N$354,3,FALSE)="","",VLOOKUP(BX766,βοηθητικό!$J$2:$N$354,3,FALSE))</f>
        <v>_</v>
      </c>
      <c r="BZ766" s="44"/>
      <c r="CA766" s="45" t="s">
        <v>16</v>
      </c>
      <c r="CB766" s="46" t="str">
        <f>IF(VLOOKUP(CA766,βοηθητικό!$J$2:$N$354,3,FALSE)="","",VLOOKUP(CA766,βοηθητικό!$J$2:$N$354,3,FALSE))</f>
        <v>_</v>
      </c>
      <c r="CC766" s="47"/>
      <c r="CD766" s="42" t="s">
        <v>16</v>
      </c>
      <c r="CE766" s="43" t="str">
        <f>IF(VLOOKUP(CD766,βοηθητικό!$J$2:$N$354,3,FALSE)="","",VLOOKUP(CD766,βοηθητικό!$J$2:$N$354,3,FALSE))</f>
        <v>_</v>
      </c>
      <c r="CF766" s="44"/>
      <c r="CG766" s="45" t="s">
        <v>16</v>
      </c>
      <c r="CH766" s="46" t="str">
        <f>IF(VLOOKUP(CG766,βοηθητικό!$J$2:$N$354,3,FALSE)="","",VLOOKUP(CG766,βοηθητικό!$J$2:$N$354,3,FALSE))</f>
        <v>_</v>
      </c>
      <c r="CI766" s="47"/>
      <c r="CJ766" s="42" t="s">
        <v>16</v>
      </c>
      <c r="CK766" s="43" t="str">
        <f>IF(VLOOKUP(CJ766,βοηθητικό!$J$2:$N$354,3,FALSE)="","",VLOOKUP(CJ766,βοηθητικό!$J$2:$N$354,3,FALSE))</f>
        <v>_</v>
      </c>
      <c r="CL766" s="44"/>
      <c r="CM766" s="45" t="s">
        <v>16</v>
      </c>
      <c r="CN766" s="46" t="str">
        <f>IF(VLOOKUP(CM766,βοηθητικό!$J$2:$N$354,3,FALSE)="","",VLOOKUP(CM766,βοηθητικό!$J$2:$N$354,3,FALSE))</f>
        <v>_</v>
      </c>
      <c r="CO766" s="47"/>
      <c r="CP766" s="42" t="s">
        <v>16</v>
      </c>
      <c r="CQ766" s="43" t="str">
        <f>IF(VLOOKUP(CP766,βοηθητικό!$J$2:$N$354,3,FALSE)="","",VLOOKUP(CP766,βοηθητικό!$J$2:$N$354,3,FALSE))</f>
        <v>_</v>
      </c>
      <c r="CR766" s="44"/>
      <c r="CS766" s="45" t="s">
        <v>16</v>
      </c>
      <c r="CT766" s="46" t="str">
        <f>IF(VLOOKUP(CS766,βοηθητικό!$J$2:$N$354,3,FALSE)="","",VLOOKUP(CS766,βοηθητικό!$J$2:$N$354,3,FALSE))</f>
        <v>_</v>
      </c>
      <c r="CU766" s="47"/>
    </row>
    <row r="767" spans="1:99" x14ac:dyDescent="0.25">
      <c r="A767" s="37">
        <f>--SUBTOTAL(3,$B$3:B766)</f>
        <v>198</v>
      </c>
      <c r="B767" s="2"/>
      <c r="C767" s="3"/>
      <c r="D767" s="55" t="s">
        <v>18</v>
      </c>
      <c r="E767" s="38" t="s">
        <v>16</v>
      </c>
      <c r="F767" s="38"/>
      <c r="G767" s="39" t="str">
        <f t="shared" si="35"/>
        <v>__</v>
      </c>
      <c r="H767" s="40" t="str">
        <f t="shared" si="36"/>
        <v>FALSE</v>
      </c>
      <c r="I767" s="41">
        <f t="shared" si="37"/>
        <v>0</v>
      </c>
      <c r="J767" s="4" t="s">
        <v>16</v>
      </c>
      <c r="K767" s="43" t="str">
        <f>IF(VLOOKUP(J767,βοηθητικό!$J$2:$N$354,3,FALSE)="","",VLOOKUP(J767,βοηθητικό!$J$2:$N$354,3,FALSE))</f>
        <v>_</v>
      </c>
      <c r="L767" s="44"/>
      <c r="M767" s="5" t="s">
        <v>16</v>
      </c>
      <c r="N767" s="46" t="str">
        <f>IF(VLOOKUP(M767,βοηθητικό!$J$2:$N$354,3,FALSE)="","",VLOOKUP(M767,βοηθητικό!$J$2:$N$354,3,FALSE))</f>
        <v>_</v>
      </c>
      <c r="O767" s="47"/>
      <c r="P767" s="4" t="s">
        <v>16</v>
      </c>
      <c r="Q767" s="43" t="str">
        <f>IF(VLOOKUP(P767,βοηθητικό!$J$2:$N$354,3,FALSE)="","",VLOOKUP(P767,βοηθητικό!$J$2:$N$354,3,FALSE))</f>
        <v>_</v>
      </c>
      <c r="R767" s="44"/>
      <c r="S767" s="5" t="s">
        <v>16</v>
      </c>
      <c r="T767" s="46" t="str">
        <f>IF(VLOOKUP(S767,βοηθητικό!$J$2:$N$354,3,FALSE)="","",VLOOKUP(S767,βοηθητικό!$J$2:$N$354,3,FALSE))</f>
        <v>_</v>
      </c>
      <c r="U767" s="47"/>
      <c r="V767" s="4" t="s">
        <v>16</v>
      </c>
      <c r="W767" s="43" t="str">
        <f>IF(VLOOKUP(V767,βοηθητικό!$J$2:$N$354,3,FALSE)="","",VLOOKUP(V767,βοηθητικό!$J$2:$N$354,3,FALSE))</f>
        <v>_</v>
      </c>
      <c r="X767" s="44"/>
      <c r="Y767" s="5" t="s">
        <v>16</v>
      </c>
      <c r="Z767" s="46" t="str">
        <f>IF(VLOOKUP(Y767,βοηθητικό!$J$2:$N$354,3,FALSE)="","",VLOOKUP(Y767,βοηθητικό!$J$2:$N$354,3,FALSE))</f>
        <v>_</v>
      </c>
      <c r="AA767" s="47"/>
      <c r="AB767" s="4" t="s">
        <v>16</v>
      </c>
      <c r="AC767" s="43" t="str">
        <f>IF(VLOOKUP(AB767,βοηθητικό!$J$2:$N$354,3,FALSE)="","",VLOOKUP(AB767,βοηθητικό!$J$2:$N$354,3,FALSE))</f>
        <v>_</v>
      </c>
      <c r="AD767" s="44"/>
      <c r="AE767" s="5" t="s">
        <v>16</v>
      </c>
      <c r="AF767" s="46" t="str">
        <f>IF(VLOOKUP(AE767,βοηθητικό!$J$2:$N$354,3,FALSE)="","",VLOOKUP(AE767,βοηθητικό!$J$2:$N$354,3,FALSE))</f>
        <v>_</v>
      </c>
      <c r="AG767" s="47"/>
      <c r="AH767" s="4" t="s">
        <v>16</v>
      </c>
      <c r="AI767" s="43" t="str">
        <f>IF(VLOOKUP(AH767,βοηθητικό!$J$2:$N$354,3,FALSE)="","",VLOOKUP(AH767,βοηθητικό!$J$2:$N$354,3,FALSE))</f>
        <v>_</v>
      </c>
      <c r="AJ767" s="44"/>
      <c r="AK767" s="5" t="s">
        <v>16</v>
      </c>
      <c r="AL767" s="46" t="str">
        <f>IF(VLOOKUP(AK767,βοηθητικό!$J$2:$N$354,3,FALSE)="","",VLOOKUP(AK767,βοηθητικό!$J$2:$N$354,3,FALSE))</f>
        <v>_</v>
      </c>
      <c r="AM767" s="47"/>
      <c r="AN767" s="4" t="s">
        <v>16</v>
      </c>
      <c r="AO767" s="43" t="str">
        <f>IF(VLOOKUP(AN767,βοηθητικό!$J$2:$N$354,3,FALSE)="","",VLOOKUP(AN767,βοηθητικό!$J$2:$N$354,3,FALSE))</f>
        <v>_</v>
      </c>
      <c r="AP767" s="44"/>
      <c r="AQ767" s="5" t="s">
        <v>16</v>
      </c>
      <c r="AR767" s="46" t="str">
        <f>IF(VLOOKUP(AQ767,βοηθητικό!$J$2:$N$354,3,FALSE)="","",VLOOKUP(AQ767,βοηθητικό!$J$2:$N$354,3,FALSE))</f>
        <v>_</v>
      </c>
      <c r="AS767" s="47"/>
      <c r="AT767" s="4" t="s">
        <v>16</v>
      </c>
      <c r="AU767" s="43" t="str">
        <f>IF(VLOOKUP(AT767,βοηθητικό!$J$2:$N$354,3,FALSE)="","",VLOOKUP(AT767,βοηθητικό!$J$2:$N$354,3,FALSE))</f>
        <v>_</v>
      </c>
      <c r="AV767" s="44"/>
      <c r="AW767" s="5" t="s">
        <v>16</v>
      </c>
      <c r="AX767" s="46" t="str">
        <f>IF(VLOOKUP(AW767,βοηθητικό!$J$2:$N$354,3,FALSE)="","",VLOOKUP(AW767,βοηθητικό!$J$2:$N$354,3,FALSE))</f>
        <v>_</v>
      </c>
      <c r="AY767" s="47"/>
      <c r="AZ767" s="4" t="s">
        <v>16</v>
      </c>
      <c r="BA767" s="43" t="str">
        <f>IF(VLOOKUP(AZ767,βοηθητικό!$J$2:$N$354,3,FALSE)="","",VLOOKUP(AZ767,βοηθητικό!$J$2:$N$354,3,FALSE))</f>
        <v>_</v>
      </c>
      <c r="BB767" s="44"/>
      <c r="BC767" s="45" t="s">
        <v>16</v>
      </c>
      <c r="BD767" s="46" t="str">
        <f>IF(VLOOKUP(BC767,βοηθητικό!$J$2:$N$354,3,FALSE)="","",VLOOKUP(BC767,βοηθητικό!$J$2:$N$354,3,FALSE))</f>
        <v>_</v>
      </c>
      <c r="BE767" s="47"/>
      <c r="BF767" s="42" t="s">
        <v>16</v>
      </c>
      <c r="BG767" s="43" t="str">
        <f>IF(VLOOKUP(BF767,βοηθητικό!$J$2:$N$354,3,FALSE)="","",VLOOKUP(BF767,βοηθητικό!$J$2:$N$354,3,FALSE))</f>
        <v>_</v>
      </c>
      <c r="BH767" s="44"/>
      <c r="BI767" s="45" t="s">
        <v>16</v>
      </c>
      <c r="BJ767" s="46" t="str">
        <f>IF(VLOOKUP(BI767,βοηθητικό!$J$2:$N$354,3,FALSE)="","",VLOOKUP(BI767,βοηθητικό!$J$2:$N$354,3,FALSE))</f>
        <v>_</v>
      </c>
      <c r="BK767" s="47"/>
      <c r="BL767" s="42" t="s">
        <v>16</v>
      </c>
      <c r="BM767" s="43" t="str">
        <f>IF(VLOOKUP(BL767,βοηθητικό!$J$2:$N$354,3,FALSE)="","",VLOOKUP(BL767,βοηθητικό!$J$2:$N$354,3,FALSE))</f>
        <v>_</v>
      </c>
      <c r="BN767" s="44"/>
      <c r="BO767" s="45" t="s">
        <v>16</v>
      </c>
      <c r="BP767" s="46" t="str">
        <f>IF(VLOOKUP(BO767,βοηθητικό!$J$2:$N$354,3,FALSE)="","",VLOOKUP(BO767,βοηθητικό!$J$2:$N$354,3,FALSE))</f>
        <v>_</v>
      </c>
      <c r="BQ767" s="47"/>
      <c r="BR767" s="42" t="s">
        <v>16</v>
      </c>
      <c r="BS767" s="43" t="str">
        <f>IF(VLOOKUP(BR767,βοηθητικό!$J$2:$N$354,3,FALSE)="","",VLOOKUP(BR767,βοηθητικό!$J$2:$N$354,3,FALSE))</f>
        <v>_</v>
      </c>
      <c r="BT767" s="44"/>
      <c r="BU767" s="45" t="s">
        <v>16</v>
      </c>
      <c r="BV767" s="46" t="str">
        <f>IF(VLOOKUP(BU767,βοηθητικό!$J$2:$N$354,3,FALSE)="","",VLOOKUP(BU767,βοηθητικό!$J$2:$N$354,3,FALSE))</f>
        <v>_</v>
      </c>
      <c r="BW767" s="47"/>
      <c r="BX767" s="42" t="s">
        <v>16</v>
      </c>
      <c r="BY767" s="43" t="str">
        <f>IF(VLOOKUP(BX767,βοηθητικό!$J$2:$N$354,3,FALSE)="","",VLOOKUP(BX767,βοηθητικό!$J$2:$N$354,3,FALSE))</f>
        <v>_</v>
      </c>
      <c r="BZ767" s="44"/>
      <c r="CA767" s="45" t="s">
        <v>16</v>
      </c>
      <c r="CB767" s="46" t="str">
        <f>IF(VLOOKUP(CA767,βοηθητικό!$J$2:$N$354,3,FALSE)="","",VLOOKUP(CA767,βοηθητικό!$J$2:$N$354,3,FALSE))</f>
        <v>_</v>
      </c>
      <c r="CC767" s="47"/>
      <c r="CD767" s="42" t="s">
        <v>16</v>
      </c>
      <c r="CE767" s="43" t="str">
        <f>IF(VLOOKUP(CD767,βοηθητικό!$J$2:$N$354,3,FALSE)="","",VLOOKUP(CD767,βοηθητικό!$J$2:$N$354,3,FALSE))</f>
        <v>_</v>
      </c>
      <c r="CF767" s="44"/>
      <c r="CG767" s="45" t="s">
        <v>16</v>
      </c>
      <c r="CH767" s="46" t="str">
        <f>IF(VLOOKUP(CG767,βοηθητικό!$J$2:$N$354,3,FALSE)="","",VLOOKUP(CG767,βοηθητικό!$J$2:$N$354,3,FALSE))</f>
        <v>_</v>
      </c>
      <c r="CI767" s="47"/>
      <c r="CJ767" s="42" t="s">
        <v>16</v>
      </c>
      <c r="CK767" s="43" t="str">
        <f>IF(VLOOKUP(CJ767,βοηθητικό!$J$2:$N$354,3,FALSE)="","",VLOOKUP(CJ767,βοηθητικό!$J$2:$N$354,3,FALSE))</f>
        <v>_</v>
      </c>
      <c r="CL767" s="44"/>
      <c r="CM767" s="45" t="s">
        <v>16</v>
      </c>
      <c r="CN767" s="46" t="str">
        <f>IF(VLOOKUP(CM767,βοηθητικό!$J$2:$N$354,3,FALSE)="","",VLOOKUP(CM767,βοηθητικό!$J$2:$N$354,3,FALSE))</f>
        <v>_</v>
      </c>
      <c r="CO767" s="47"/>
      <c r="CP767" s="42" t="s">
        <v>16</v>
      </c>
      <c r="CQ767" s="43" t="str">
        <f>IF(VLOOKUP(CP767,βοηθητικό!$J$2:$N$354,3,FALSE)="","",VLOOKUP(CP767,βοηθητικό!$J$2:$N$354,3,FALSE))</f>
        <v>_</v>
      </c>
      <c r="CR767" s="44"/>
      <c r="CS767" s="45" t="s">
        <v>16</v>
      </c>
      <c r="CT767" s="46" t="str">
        <f>IF(VLOOKUP(CS767,βοηθητικό!$J$2:$N$354,3,FALSE)="","",VLOOKUP(CS767,βοηθητικό!$J$2:$N$354,3,FALSE))</f>
        <v>_</v>
      </c>
      <c r="CU767" s="47"/>
    </row>
    <row r="768" spans="1:99" x14ac:dyDescent="0.25">
      <c r="A768" s="37">
        <f>--SUBTOTAL(3,$B$3:B767)</f>
        <v>198</v>
      </c>
      <c r="B768" s="2"/>
      <c r="C768" s="3"/>
      <c r="D768" s="55" t="s">
        <v>18</v>
      </c>
      <c r="E768" s="38" t="s">
        <v>16</v>
      </c>
      <c r="F768" s="38"/>
      <c r="G768" s="39" t="str">
        <f t="shared" si="35"/>
        <v>__</v>
      </c>
      <c r="H768" s="40" t="str">
        <f t="shared" si="36"/>
        <v>FALSE</v>
      </c>
      <c r="I768" s="41">
        <f t="shared" si="37"/>
        <v>0</v>
      </c>
      <c r="J768" s="4" t="s">
        <v>16</v>
      </c>
      <c r="K768" s="43" t="str">
        <f>IF(VLOOKUP(J768,βοηθητικό!$J$2:$N$354,3,FALSE)="","",VLOOKUP(J768,βοηθητικό!$J$2:$N$354,3,FALSE))</f>
        <v>_</v>
      </c>
      <c r="L768" s="44"/>
      <c r="M768" s="5" t="s">
        <v>16</v>
      </c>
      <c r="N768" s="46" t="str">
        <f>IF(VLOOKUP(M768,βοηθητικό!$J$2:$N$354,3,FALSE)="","",VLOOKUP(M768,βοηθητικό!$J$2:$N$354,3,FALSE))</f>
        <v>_</v>
      </c>
      <c r="O768" s="47"/>
      <c r="P768" s="4" t="s">
        <v>16</v>
      </c>
      <c r="Q768" s="43" t="str">
        <f>IF(VLOOKUP(P768,βοηθητικό!$J$2:$N$354,3,FALSE)="","",VLOOKUP(P768,βοηθητικό!$J$2:$N$354,3,FALSE))</f>
        <v>_</v>
      </c>
      <c r="R768" s="44"/>
      <c r="S768" s="5" t="s">
        <v>16</v>
      </c>
      <c r="T768" s="46" t="str">
        <f>IF(VLOOKUP(S768,βοηθητικό!$J$2:$N$354,3,FALSE)="","",VLOOKUP(S768,βοηθητικό!$J$2:$N$354,3,FALSE))</f>
        <v>_</v>
      </c>
      <c r="U768" s="47"/>
      <c r="V768" s="4" t="s">
        <v>16</v>
      </c>
      <c r="W768" s="43" t="str">
        <f>IF(VLOOKUP(V768,βοηθητικό!$J$2:$N$354,3,FALSE)="","",VLOOKUP(V768,βοηθητικό!$J$2:$N$354,3,FALSE))</f>
        <v>_</v>
      </c>
      <c r="X768" s="44"/>
      <c r="Y768" s="5" t="s">
        <v>16</v>
      </c>
      <c r="Z768" s="46" t="str">
        <f>IF(VLOOKUP(Y768,βοηθητικό!$J$2:$N$354,3,FALSE)="","",VLOOKUP(Y768,βοηθητικό!$J$2:$N$354,3,FALSE))</f>
        <v>_</v>
      </c>
      <c r="AA768" s="47"/>
      <c r="AB768" s="4" t="s">
        <v>16</v>
      </c>
      <c r="AC768" s="43" t="str">
        <f>IF(VLOOKUP(AB768,βοηθητικό!$J$2:$N$354,3,FALSE)="","",VLOOKUP(AB768,βοηθητικό!$J$2:$N$354,3,FALSE))</f>
        <v>_</v>
      </c>
      <c r="AD768" s="44"/>
      <c r="AE768" s="5" t="s">
        <v>16</v>
      </c>
      <c r="AF768" s="46" t="str">
        <f>IF(VLOOKUP(AE768,βοηθητικό!$J$2:$N$354,3,FALSE)="","",VLOOKUP(AE768,βοηθητικό!$J$2:$N$354,3,FALSE))</f>
        <v>_</v>
      </c>
      <c r="AG768" s="47"/>
      <c r="AH768" s="4" t="s">
        <v>16</v>
      </c>
      <c r="AI768" s="43" t="str">
        <f>IF(VLOOKUP(AH768,βοηθητικό!$J$2:$N$354,3,FALSE)="","",VLOOKUP(AH768,βοηθητικό!$J$2:$N$354,3,FALSE))</f>
        <v>_</v>
      </c>
      <c r="AJ768" s="44"/>
      <c r="AK768" s="5" t="s">
        <v>16</v>
      </c>
      <c r="AL768" s="46" t="str">
        <f>IF(VLOOKUP(AK768,βοηθητικό!$J$2:$N$354,3,FALSE)="","",VLOOKUP(AK768,βοηθητικό!$J$2:$N$354,3,FALSE))</f>
        <v>_</v>
      </c>
      <c r="AM768" s="47"/>
      <c r="AN768" s="4" t="s">
        <v>16</v>
      </c>
      <c r="AO768" s="43" t="str">
        <f>IF(VLOOKUP(AN768,βοηθητικό!$J$2:$N$354,3,FALSE)="","",VLOOKUP(AN768,βοηθητικό!$J$2:$N$354,3,FALSE))</f>
        <v>_</v>
      </c>
      <c r="AP768" s="44"/>
      <c r="AQ768" s="5" t="s">
        <v>16</v>
      </c>
      <c r="AR768" s="46" t="str">
        <f>IF(VLOOKUP(AQ768,βοηθητικό!$J$2:$N$354,3,FALSE)="","",VLOOKUP(AQ768,βοηθητικό!$J$2:$N$354,3,FALSE))</f>
        <v>_</v>
      </c>
      <c r="AS768" s="47"/>
      <c r="AT768" s="4" t="s">
        <v>16</v>
      </c>
      <c r="AU768" s="43" t="str">
        <f>IF(VLOOKUP(AT768,βοηθητικό!$J$2:$N$354,3,FALSE)="","",VLOOKUP(AT768,βοηθητικό!$J$2:$N$354,3,FALSE))</f>
        <v>_</v>
      </c>
      <c r="AV768" s="44"/>
      <c r="AW768" s="5" t="s">
        <v>16</v>
      </c>
      <c r="AX768" s="46" t="str">
        <f>IF(VLOOKUP(AW768,βοηθητικό!$J$2:$N$354,3,FALSE)="","",VLOOKUP(AW768,βοηθητικό!$J$2:$N$354,3,FALSE))</f>
        <v>_</v>
      </c>
      <c r="AY768" s="47"/>
      <c r="AZ768" s="4" t="s">
        <v>16</v>
      </c>
      <c r="BA768" s="43" t="str">
        <f>IF(VLOOKUP(AZ768,βοηθητικό!$J$2:$N$354,3,FALSE)="","",VLOOKUP(AZ768,βοηθητικό!$J$2:$N$354,3,FALSE))</f>
        <v>_</v>
      </c>
      <c r="BB768" s="44"/>
      <c r="BC768" s="45" t="s">
        <v>16</v>
      </c>
      <c r="BD768" s="46" t="str">
        <f>IF(VLOOKUP(BC768,βοηθητικό!$J$2:$N$354,3,FALSE)="","",VLOOKUP(BC768,βοηθητικό!$J$2:$N$354,3,FALSE))</f>
        <v>_</v>
      </c>
      <c r="BE768" s="47"/>
      <c r="BF768" s="42" t="s">
        <v>16</v>
      </c>
      <c r="BG768" s="43" t="str">
        <f>IF(VLOOKUP(BF768,βοηθητικό!$J$2:$N$354,3,FALSE)="","",VLOOKUP(BF768,βοηθητικό!$J$2:$N$354,3,FALSE))</f>
        <v>_</v>
      </c>
      <c r="BH768" s="44"/>
      <c r="BI768" s="45" t="s">
        <v>16</v>
      </c>
      <c r="BJ768" s="46" t="str">
        <f>IF(VLOOKUP(BI768,βοηθητικό!$J$2:$N$354,3,FALSE)="","",VLOOKUP(BI768,βοηθητικό!$J$2:$N$354,3,FALSE))</f>
        <v>_</v>
      </c>
      <c r="BK768" s="47"/>
      <c r="BL768" s="42" t="s">
        <v>16</v>
      </c>
      <c r="BM768" s="43" t="str">
        <f>IF(VLOOKUP(BL768,βοηθητικό!$J$2:$N$354,3,FALSE)="","",VLOOKUP(BL768,βοηθητικό!$J$2:$N$354,3,FALSE))</f>
        <v>_</v>
      </c>
      <c r="BN768" s="44"/>
      <c r="BO768" s="45" t="s">
        <v>16</v>
      </c>
      <c r="BP768" s="46" t="str">
        <f>IF(VLOOKUP(BO768,βοηθητικό!$J$2:$N$354,3,FALSE)="","",VLOOKUP(BO768,βοηθητικό!$J$2:$N$354,3,FALSE))</f>
        <v>_</v>
      </c>
      <c r="BQ768" s="47"/>
      <c r="BR768" s="42" t="s">
        <v>16</v>
      </c>
      <c r="BS768" s="43" t="str">
        <f>IF(VLOOKUP(BR768,βοηθητικό!$J$2:$N$354,3,FALSE)="","",VLOOKUP(BR768,βοηθητικό!$J$2:$N$354,3,FALSE))</f>
        <v>_</v>
      </c>
      <c r="BT768" s="44"/>
      <c r="BU768" s="45" t="s">
        <v>16</v>
      </c>
      <c r="BV768" s="46" t="str">
        <f>IF(VLOOKUP(BU768,βοηθητικό!$J$2:$N$354,3,FALSE)="","",VLOOKUP(BU768,βοηθητικό!$J$2:$N$354,3,FALSE))</f>
        <v>_</v>
      </c>
      <c r="BW768" s="47"/>
      <c r="BX768" s="42" t="s">
        <v>16</v>
      </c>
      <c r="BY768" s="43" t="str">
        <f>IF(VLOOKUP(BX768,βοηθητικό!$J$2:$N$354,3,FALSE)="","",VLOOKUP(BX768,βοηθητικό!$J$2:$N$354,3,FALSE))</f>
        <v>_</v>
      </c>
      <c r="BZ768" s="44"/>
      <c r="CA768" s="45" t="s">
        <v>16</v>
      </c>
      <c r="CB768" s="46" t="str">
        <f>IF(VLOOKUP(CA768,βοηθητικό!$J$2:$N$354,3,FALSE)="","",VLOOKUP(CA768,βοηθητικό!$J$2:$N$354,3,FALSE))</f>
        <v>_</v>
      </c>
      <c r="CC768" s="47"/>
      <c r="CD768" s="42" t="s">
        <v>16</v>
      </c>
      <c r="CE768" s="43" t="str">
        <f>IF(VLOOKUP(CD768,βοηθητικό!$J$2:$N$354,3,FALSE)="","",VLOOKUP(CD768,βοηθητικό!$J$2:$N$354,3,FALSE))</f>
        <v>_</v>
      </c>
      <c r="CF768" s="44"/>
      <c r="CG768" s="45" t="s">
        <v>16</v>
      </c>
      <c r="CH768" s="46" t="str">
        <f>IF(VLOOKUP(CG768,βοηθητικό!$J$2:$N$354,3,FALSE)="","",VLOOKUP(CG768,βοηθητικό!$J$2:$N$354,3,FALSE))</f>
        <v>_</v>
      </c>
      <c r="CI768" s="47"/>
      <c r="CJ768" s="42" t="s">
        <v>16</v>
      </c>
      <c r="CK768" s="43" t="str">
        <f>IF(VLOOKUP(CJ768,βοηθητικό!$J$2:$N$354,3,FALSE)="","",VLOOKUP(CJ768,βοηθητικό!$J$2:$N$354,3,FALSE))</f>
        <v>_</v>
      </c>
      <c r="CL768" s="44"/>
      <c r="CM768" s="45" t="s">
        <v>16</v>
      </c>
      <c r="CN768" s="46" t="str">
        <f>IF(VLOOKUP(CM768,βοηθητικό!$J$2:$N$354,3,FALSE)="","",VLOOKUP(CM768,βοηθητικό!$J$2:$N$354,3,FALSE))</f>
        <v>_</v>
      </c>
      <c r="CO768" s="47"/>
      <c r="CP768" s="42" t="s">
        <v>16</v>
      </c>
      <c r="CQ768" s="43" t="str">
        <f>IF(VLOOKUP(CP768,βοηθητικό!$J$2:$N$354,3,FALSE)="","",VLOOKUP(CP768,βοηθητικό!$J$2:$N$354,3,FALSE))</f>
        <v>_</v>
      </c>
      <c r="CR768" s="44"/>
      <c r="CS768" s="45" t="s">
        <v>16</v>
      </c>
      <c r="CT768" s="46" t="str">
        <f>IF(VLOOKUP(CS768,βοηθητικό!$J$2:$N$354,3,FALSE)="","",VLOOKUP(CS768,βοηθητικό!$J$2:$N$354,3,FALSE))</f>
        <v>_</v>
      </c>
      <c r="CU768" s="47"/>
    </row>
    <row r="769" spans="1:99" x14ac:dyDescent="0.25">
      <c r="A769" s="37">
        <f>--SUBTOTAL(3,$B$3:B768)</f>
        <v>198</v>
      </c>
      <c r="B769" s="2"/>
      <c r="C769" s="3"/>
      <c r="D769" s="55" t="s">
        <v>18</v>
      </c>
      <c r="E769" s="38" t="s">
        <v>16</v>
      </c>
      <c r="F769" s="38"/>
      <c r="G769" s="39" t="str">
        <f t="shared" si="35"/>
        <v>__</v>
      </c>
      <c r="H769" s="40" t="str">
        <f t="shared" si="36"/>
        <v>FALSE</v>
      </c>
      <c r="I769" s="41">
        <f t="shared" si="37"/>
        <v>0</v>
      </c>
      <c r="J769" s="4" t="s">
        <v>16</v>
      </c>
      <c r="K769" s="43" t="str">
        <f>IF(VLOOKUP(J769,βοηθητικό!$J$2:$N$354,3,FALSE)="","",VLOOKUP(J769,βοηθητικό!$J$2:$N$354,3,FALSE))</f>
        <v>_</v>
      </c>
      <c r="L769" s="44"/>
      <c r="M769" s="5" t="s">
        <v>16</v>
      </c>
      <c r="N769" s="46" t="str">
        <f>IF(VLOOKUP(M769,βοηθητικό!$J$2:$N$354,3,FALSE)="","",VLOOKUP(M769,βοηθητικό!$J$2:$N$354,3,FALSE))</f>
        <v>_</v>
      </c>
      <c r="O769" s="47"/>
      <c r="P769" s="4" t="s">
        <v>16</v>
      </c>
      <c r="Q769" s="43" t="str">
        <f>IF(VLOOKUP(P769,βοηθητικό!$J$2:$N$354,3,FALSE)="","",VLOOKUP(P769,βοηθητικό!$J$2:$N$354,3,FALSE))</f>
        <v>_</v>
      </c>
      <c r="R769" s="44"/>
      <c r="S769" s="5" t="s">
        <v>16</v>
      </c>
      <c r="T769" s="46" t="str">
        <f>IF(VLOOKUP(S769,βοηθητικό!$J$2:$N$354,3,FALSE)="","",VLOOKUP(S769,βοηθητικό!$J$2:$N$354,3,FALSE))</f>
        <v>_</v>
      </c>
      <c r="U769" s="47"/>
      <c r="V769" s="4" t="s">
        <v>16</v>
      </c>
      <c r="W769" s="43" t="str">
        <f>IF(VLOOKUP(V769,βοηθητικό!$J$2:$N$354,3,FALSE)="","",VLOOKUP(V769,βοηθητικό!$J$2:$N$354,3,FALSE))</f>
        <v>_</v>
      </c>
      <c r="X769" s="44"/>
      <c r="Y769" s="5" t="s">
        <v>16</v>
      </c>
      <c r="Z769" s="46" t="str">
        <f>IF(VLOOKUP(Y769,βοηθητικό!$J$2:$N$354,3,FALSE)="","",VLOOKUP(Y769,βοηθητικό!$J$2:$N$354,3,FALSE))</f>
        <v>_</v>
      </c>
      <c r="AA769" s="47"/>
      <c r="AB769" s="4" t="s">
        <v>16</v>
      </c>
      <c r="AC769" s="43" t="str">
        <f>IF(VLOOKUP(AB769,βοηθητικό!$J$2:$N$354,3,FALSE)="","",VLOOKUP(AB769,βοηθητικό!$J$2:$N$354,3,FALSE))</f>
        <v>_</v>
      </c>
      <c r="AD769" s="44"/>
      <c r="AE769" s="5" t="s">
        <v>16</v>
      </c>
      <c r="AF769" s="46" t="str">
        <f>IF(VLOOKUP(AE769,βοηθητικό!$J$2:$N$354,3,FALSE)="","",VLOOKUP(AE769,βοηθητικό!$J$2:$N$354,3,FALSE))</f>
        <v>_</v>
      </c>
      <c r="AG769" s="47"/>
      <c r="AH769" s="4" t="s">
        <v>16</v>
      </c>
      <c r="AI769" s="43" t="str">
        <f>IF(VLOOKUP(AH769,βοηθητικό!$J$2:$N$354,3,FALSE)="","",VLOOKUP(AH769,βοηθητικό!$J$2:$N$354,3,FALSE))</f>
        <v>_</v>
      </c>
      <c r="AJ769" s="44"/>
      <c r="AK769" s="5" t="s">
        <v>16</v>
      </c>
      <c r="AL769" s="46" t="str">
        <f>IF(VLOOKUP(AK769,βοηθητικό!$J$2:$N$354,3,FALSE)="","",VLOOKUP(AK769,βοηθητικό!$J$2:$N$354,3,FALSE))</f>
        <v>_</v>
      </c>
      <c r="AM769" s="47"/>
      <c r="AN769" s="4" t="s">
        <v>16</v>
      </c>
      <c r="AO769" s="43" t="str">
        <f>IF(VLOOKUP(AN769,βοηθητικό!$J$2:$N$354,3,FALSE)="","",VLOOKUP(AN769,βοηθητικό!$J$2:$N$354,3,FALSE))</f>
        <v>_</v>
      </c>
      <c r="AP769" s="44"/>
      <c r="AQ769" s="5" t="s">
        <v>16</v>
      </c>
      <c r="AR769" s="46" t="str">
        <f>IF(VLOOKUP(AQ769,βοηθητικό!$J$2:$N$354,3,FALSE)="","",VLOOKUP(AQ769,βοηθητικό!$J$2:$N$354,3,FALSE))</f>
        <v>_</v>
      </c>
      <c r="AS769" s="47"/>
      <c r="AT769" s="4" t="s">
        <v>16</v>
      </c>
      <c r="AU769" s="43" t="str">
        <f>IF(VLOOKUP(AT769,βοηθητικό!$J$2:$N$354,3,FALSE)="","",VLOOKUP(AT769,βοηθητικό!$J$2:$N$354,3,FALSE))</f>
        <v>_</v>
      </c>
      <c r="AV769" s="44"/>
      <c r="AW769" s="5" t="s">
        <v>16</v>
      </c>
      <c r="AX769" s="46" t="str">
        <f>IF(VLOOKUP(AW769,βοηθητικό!$J$2:$N$354,3,FALSE)="","",VLOOKUP(AW769,βοηθητικό!$J$2:$N$354,3,FALSE))</f>
        <v>_</v>
      </c>
      <c r="AY769" s="47"/>
      <c r="AZ769" s="4" t="s">
        <v>16</v>
      </c>
      <c r="BA769" s="43" t="str">
        <f>IF(VLOOKUP(AZ769,βοηθητικό!$J$2:$N$354,3,FALSE)="","",VLOOKUP(AZ769,βοηθητικό!$J$2:$N$354,3,FALSE))</f>
        <v>_</v>
      </c>
      <c r="BB769" s="44"/>
      <c r="BC769" s="45" t="s">
        <v>16</v>
      </c>
      <c r="BD769" s="46" t="str">
        <f>IF(VLOOKUP(BC769,βοηθητικό!$J$2:$N$354,3,FALSE)="","",VLOOKUP(BC769,βοηθητικό!$J$2:$N$354,3,FALSE))</f>
        <v>_</v>
      </c>
      <c r="BE769" s="47"/>
      <c r="BF769" s="42" t="s">
        <v>16</v>
      </c>
      <c r="BG769" s="43" t="str">
        <f>IF(VLOOKUP(BF769,βοηθητικό!$J$2:$N$354,3,FALSE)="","",VLOOKUP(BF769,βοηθητικό!$J$2:$N$354,3,FALSE))</f>
        <v>_</v>
      </c>
      <c r="BH769" s="44"/>
      <c r="BI769" s="45" t="s">
        <v>16</v>
      </c>
      <c r="BJ769" s="46" t="str">
        <f>IF(VLOOKUP(BI769,βοηθητικό!$J$2:$N$354,3,FALSE)="","",VLOOKUP(BI769,βοηθητικό!$J$2:$N$354,3,FALSE))</f>
        <v>_</v>
      </c>
      <c r="BK769" s="47"/>
      <c r="BL769" s="42" t="s">
        <v>16</v>
      </c>
      <c r="BM769" s="43" t="str">
        <f>IF(VLOOKUP(BL769,βοηθητικό!$J$2:$N$354,3,FALSE)="","",VLOOKUP(BL769,βοηθητικό!$J$2:$N$354,3,FALSE))</f>
        <v>_</v>
      </c>
      <c r="BN769" s="44"/>
      <c r="BO769" s="45" t="s">
        <v>16</v>
      </c>
      <c r="BP769" s="46" t="str">
        <f>IF(VLOOKUP(BO769,βοηθητικό!$J$2:$N$354,3,FALSE)="","",VLOOKUP(BO769,βοηθητικό!$J$2:$N$354,3,FALSE))</f>
        <v>_</v>
      </c>
      <c r="BQ769" s="47"/>
      <c r="BR769" s="42" t="s">
        <v>16</v>
      </c>
      <c r="BS769" s="43" t="str">
        <f>IF(VLOOKUP(BR769,βοηθητικό!$J$2:$N$354,3,FALSE)="","",VLOOKUP(BR769,βοηθητικό!$J$2:$N$354,3,FALSE))</f>
        <v>_</v>
      </c>
      <c r="BT769" s="44"/>
      <c r="BU769" s="45" t="s">
        <v>16</v>
      </c>
      <c r="BV769" s="46" t="str">
        <f>IF(VLOOKUP(BU769,βοηθητικό!$J$2:$N$354,3,FALSE)="","",VLOOKUP(BU769,βοηθητικό!$J$2:$N$354,3,FALSE))</f>
        <v>_</v>
      </c>
      <c r="BW769" s="47"/>
      <c r="BX769" s="42" t="s">
        <v>16</v>
      </c>
      <c r="BY769" s="43" t="str">
        <f>IF(VLOOKUP(BX769,βοηθητικό!$J$2:$N$354,3,FALSE)="","",VLOOKUP(BX769,βοηθητικό!$J$2:$N$354,3,FALSE))</f>
        <v>_</v>
      </c>
      <c r="BZ769" s="44"/>
      <c r="CA769" s="45" t="s">
        <v>16</v>
      </c>
      <c r="CB769" s="46" t="str">
        <f>IF(VLOOKUP(CA769,βοηθητικό!$J$2:$N$354,3,FALSE)="","",VLOOKUP(CA769,βοηθητικό!$J$2:$N$354,3,FALSE))</f>
        <v>_</v>
      </c>
      <c r="CC769" s="47"/>
      <c r="CD769" s="42" t="s">
        <v>16</v>
      </c>
      <c r="CE769" s="43" t="str">
        <f>IF(VLOOKUP(CD769,βοηθητικό!$J$2:$N$354,3,FALSE)="","",VLOOKUP(CD769,βοηθητικό!$J$2:$N$354,3,FALSE))</f>
        <v>_</v>
      </c>
      <c r="CF769" s="44"/>
      <c r="CG769" s="45" t="s">
        <v>16</v>
      </c>
      <c r="CH769" s="46" t="str">
        <f>IF(VLOOKUP(CG769,βοηθητικό!$J$2:$N$354,3,FALSE)="","",VLOOKUP(CG769,βοηθητικό!$J$2:$N$354,3,FALSE))</f>
        <v>_</v>
      </c>
      <c r="CI769" s="47"/>
      <c r="CJ769" s="42" t="s">
        <v>16</v>
      </c>
      <c r="CK769" s="43" t="str">
        <f>IF(VLOOKUP(CJ769,βοηθητικό!$J$2:$N$354,3,FALSE)="","",VLOOKUP(CJ769,βοηθητικό!$J$2:$N$354,3,FALSE))</f>
        <v>_</v>
      </c>
      <c r="CL769" s="44"/>
      <c r="CM769" s="45" t="s">
        <v>16</v>
      </c>
      <c r="CN769" s="46" t="str">
        <f>IF(VLOOKUP(CM769,βοηθητικό!$J$2:$N$354,3,FALSE)="","",VLOOKUP(CM769,βοηθητικό!$J$2:$N$354,3,FALSE))</f>
        <v>_</v>
      </c>
      <c r="CO769" s="47"/>
      <c r="CP769" s="42" t="s">
        <v>16</v>
      </c>
      <c r="CQ769" s="43" t="str">
        <f>IF(VLOOKUP(CP769,βοηθητικό!$J$2:$N$354,3,FALSE)="","",VLOOKUP(CP769,βοηθητικό!$J$2:$N$354,3,FALSE))</f>
        <v>_</v>
      </c>
      <c r="CR769" s="44"/>
      <c r="CS769" s="45" t="s">
        <v>16</v>
      </c>
      <c r="CT769" s="46" t="str">
        <f>IF(VLOOKUP(CS769,βοηθητικό!$J$2:$N$354,3,FALSE)="","",VLOOKUP(CS769,βοηθητικό!$J$2:$N$354,3,FALSE))</f>
        <v>_</v>
      </c>
      <c r="CU769" s="47"/>
    </row>
    <row r="770" spans="1:99" x14ac:dyDescent="0.25">
      <c r="A770" s="37">
        <f>--SUBTOTAL(3,$B$3:B769)</f>
        <v>198</v>
      </c>
      <c r="B770" s="2"/>
      <c r="C770" s="3"/>
      <c r="D770" s="55" t="s">
        <v>18</v>
      </c>
      <c r="E770" s="38" t="s">
        <v>16</v>
      </c>
      <c r="F770" s="38"/>
      <c r="G770" s="39" t="str">
        <f t="shared" si="35"/>
        <v>__</v>
      </c>
      <c r="H770" s="40" t="str">
        <f t="shared" si="36"/>
        <v>FALSE</v>
      </c>
      <c r="I770" s="41">
        <f t="shared" si="37"/>
        <v>0</v>
      </c>
      <c r="J770" s="4" t="s">
        <v>16</v>
      </c>
      <c r="K770" s="43" t="str">
        <f>IF(VLOOKUP(J770,βοηθητικό!$J$2:$N$354,3,FALSE)="","",VLOOKUP(J770,βοηθητικό!$J$2:$N$354,3,FALSE))</f>
        <v>_</v>
      </c>
      <c r="L770" s="44"/>
      <c r="M770" s="5" t="s">
        <v>16</v>
      </c>
      <c r="N770" s="46" t="str">
        <f>IF(VLOOKUP(M770,βοηθητικό!$J$2:$N$354,3,FALSE)="","",VLOOKUP(M770,βοηθητικό!$J$2:$N$354,3,FALSE))</f>
        <v>_</v>
      </c>
      <c r="O770" s="47"/>
      <c r="P770" s="4" t="s">
        <v>16</v>
      </c>
      <c r="Q770" s="43" t="str">
        <f>IF(VLOOKUP(P770,βοηθητικό!$J$2:$N$354,3,FALSE)="","",VLOOKUP(P770,βοηθητικό!$J$2:$N$354,3,FALSE))</f>
        <v>_</v>
      </c>
      <c r="R770" s="44"/>
      <c r="S770" s="5" t="s">
        <v>16</v>
      </c>
      <c r="T770" s="46" t="str">
        <f>IF(VLOOKUP(S770,βοηθητικό!$J$2:$N$354,3,FALSE)="","",VLOOKUP(S770,βοηθητικό!$J$2:$N$354,3,FALSE))</f>
        <v>_</v>
      </c>
      <c r="U770" s="47"/>
      <c r="V770" s="4" t="s">
        <v>16</v>
      </c>
      <c r="W770" s="43" t="str">
        <f>IF(VLOOKUP(V770,βοηθητικό!$J$2:$N$354,3,FALSE)="","",VLOOKUP(V770,βοηθητικό!$J$2:$N$354,3,FALSE))</f>
        <v>_</v>
      </c>
      <c r="X770" s="44"/>
      <c r="Y770" s="5" t="s">
        <v>16</v>
      </c>
      <c r="Z770" s="46" t="str">
        <f>IF(VLOOKUP(Y770,βοηθητικό!$J$2:$N$354,3,FALSE)="","",VLOOKUP(Y770,βοηθητικό!$J$2:$N$354,3,FALSE))</f>
        <v>_</v>
      </c>
      <c r="AA770" s="47"/>
      <c r="AB770" s="4" t="s">
        <v>16</v>
      </c>
      <c r="AC770" s="43" t="str">
        <f>IF(VLOOKUP(AB770,βοηθητικό!$J$2:$N$354,3,FALSE)="","",VLOOKUP(AB770,βοηθητικό!$J$2:$N$354,3,FALSE))</f>
        <v>_</v>
      </c>
      <c r="AD770" s="44"/>
      <c r="AE770" s="5" t="s">
        <v>16</v>
      </c>
      <c r="AF770" s="46" t="str">
        <f>IF(VLOOKUP(AE770,βοηθητικό!$J$2:$N$354,3,FALSE)="","",VLOOKUP(AE770,βοηθητικό!$J$2:$N$354,3,FALSE))</f>
        <v>_</v>
      </c>
      <c r="AG770" s="47"/>
      <c r="AH770" s="4" t="s">
        <v>16</v>
      </c>
      <c r="AI770" s="43" t="str">
        <f>IF(VLOOKUP(AH770,βοηθητικό!$J$2:$N$354,3,FALSE)="","",VLOOKUP(AH770,βοηθητικό!$J$2:$N$354,3,FALSE))</f>
        <v>_</v>
      </c>
      <c r="AJ770" s="44"/>
      <c r="AK770" s="5" t="s">
        <v>16</v>
      </c>
      <c r="AL770" s="46" t="str">
        <f>IF(VLOOKUP(AK770,βοηθητικό!$J$2:$N$354,3,FALSE)="","",VLOOKUP(AK770,βοηθητικό!$J$2:$N$354,3,FALSE))</f>
        <v>_</v>
      </c>
      <c r="AM770" s="47"/>
      <c r="AN770" s="4" t="s">
        <v>16</v>
      </c>
      <c r="AO770" s="43" t="str">
        <f>IF(VLOOKUP(AN770,βοηθητικό!$J$2:$N$354,3,FALSE)="","",VLOOKUP(AN770,βοηθητικό!$J$2:$N$354,3,FALSE))</f>
        <v>_</v>
      </c>
      <c r="AP770" s="44"/>
      <c r="AQ770" s="5" t="s">
        <v>16</v>
      </c>
      <c r="AR770" s="46" t="str">
        <f>IF(VLOOKUP(AQ770,βοηθητικό!$J$2:$N$354,3,FALSE)="","",VLOOKUP(AQ770,βοηθητικό!$J$2:$N$354,3,FALSE))</f>
        <v>_</v>
      </c>
      <c r="AS770" s="47"/>
      <c r="AT770" s="4" t="s">
        <v>16</v>
      </c>
      <c r="AU770" s="43" t="str">
        <f>IF(VLOOKUP(AT770,βοηθητικό!$J$2:$N$354,3,FALSE)="","",VLOOKUP(AT770,βοηθητικό!$J$2:$N$354,3,FALSE))</f>
        <v>_</v>
      </c>
      <c r="AV770" s="44"/>
      <c r="AW770" s="5" t="s">
        <v>16</v>
      </c>
      <c r="AX770" s="46" t="str">
        <f>IF(VLOOKUP(AW770,βοηθητικό!$J$2:$N$354,3,FALSE)="","",VLOOKUP(AW770,βοηθητικό!$J$2:$N$354,3,FALSE))</f>
        <v>_</v>
      </c>
      <c r="AY770" s="47"/>
      <c r="AZ770" s="4" t="s">
        <v>16</v>
      </c>
      <c r="BA770" s="43" t="str">
        <f>IF(VLOOKUP(AZ770,βοηθητικό!$J$2:$N$354,3,FALSE)="","",VLOOKUP(AZ770,βοηθητικό!$J$2:$N$354,3,FALSE))</f>
        <v>_</v>
      </c>
      <c r="BB770" s="44"/>
      <c r="BC770" s="45" t="s">
        <v>16</v>
      </c>
      <c r="BD770" s="46" t="str">
        <f>IF(VLOOKUP(BC770,βοηθητικό!$J$2:$N$354,3,FALSE)="","",VLOOKUP(BC770,βοηθητικό!$J$2:$N$354,3,FALSE))</f>
        <v>_</v>
      </c>
      <c r="BE770" s="47"/>
      <c r="BF770" s="42" t="s">
        <v>16</v>
      </c>
      <c r="BG770" s="43" t="str">
        <f>IF(VLOOKUP(BF770,βοηθητικό!$J$2:$N$354,3,FALSE)="","",VLOOKUP(BF770,βοηθητικό!$J$2:$N$354,3,FALSE))</f>
        <v>_</v>
      </c>
      <c r="BH770" s="44"/>
      <c r="BI770" s="45" t="s">
        <v>16</v>
      </c>
      <c r="BJ770" s="46" t="str">
        <f>IF(VLOOKUP(BI770,βοηθητικό!$J$2:$N$354,3,FALSE)="","",VLOOKUP(BI770,βοηθητικό!$J$2:$N$354,3,FALSE))</f>
        <v>_</v>
      </c>
      <c r="BK770" s="47"/>
      <c r="BL770" s="42" t="s">
        <v>16</v>
      </c>
      <c r="BM770" s="43" t="str">
        <f>IF(VLOOKUP(BL770,βοηθητικό!$J$2:$N$354,3,FALSE)="","",VLOOKUP(BL770,βοηθητικό!$J$2:$N$354,3,FALSE))</f>
        <v>_</v>
      </c>
      <c r="BN770" s="44"/>
      <c r="BO770" s="45" t="s">
        <v>16</v>
      </c>
      <c r="BP770" s="46" t="str">
        <f>IF(VLOOKUP(BO770,βοηθητικό!$J$2:$N$354,3,FALSE)="","",VLOOKUP(BO770,βοηθητικό!$J$2:$N$354,3,FALSE))</f>
        <v>_</v>
      </c>
      <c r="BQ770" s="47"/>
      <c r="BR770" s="42" t="s">
        <v>16</v>
      </c>
      <c r="BS770" s="43" t="str">
        <f>IF(VLOOKUP(BR770,βοηθητικό!$J$2:$N$354,3,FALSE)="","",VLOOKUP(BR770,βοηθητικό!$J$2:$N$354,3,FALSE))</f>
        <v>_</v>
      </c>
      <c r="BT770" s="44"/>
      <c r="BU770" s="45" t="s">
        <v>16</v>
      </c>
      <c r="BV770" s="46" t="str">
        <f>IF(VLOOKUP(BU770,βοηθητικό!$J$2:$N$354,3,FALSE)="","",VLOOKUP(BU770,βοηθητικό!$J$2:$N$354,3,FALSE))</f>
        <v>_</v>
      </c>
      <c r="BW770" s="47"/>
      <c r="BX770" s="42" t="s">
        <v>16</v>
      </c>
      <c r="BY770" s="43" t="str">
        <f>IF(VLOOKUP(BX770,βοηθητικό!$J$2:$N$354,3,FALSE)="","",VLOOKUP(BX770,βοηθητικό!$J$2:$N$354,3,FALSE))</f>
        <v>_</v>
      </c>
      <c r="BZ770" s="44"/>
      <c r="CA770" s="45" t="s">
        <v>16</v>
      </c>
      <c r="CB770" s="46" t="str">
        <f>IF(VLOOKUP(CA770,βοηθητικό!$J$2:$N$354,3,FALSE)="","",VLOOKUP(CA770,βοηθητικό!$J$2:$N$354,3,FALSE))</f>
        <v>_</v>
      </c>
      <c r="CC770" s="47"/>
      <c r="CD770" s="42" t="s">
        <v>16</v>
      </c>
      <c r="CE770" s="43" t="str">
        <f>IF(VLOOKUP(CD770,βοηθητικό!$J$2:$N$354,3,FALSE)="","",VLOOKUP(CD770,βοηθητικό!$J$2:$N$354,3,FALSE))</f>
        <v>_</v>
      </c>
      <c r="CF770" s="44"/>
      <c r="CG770" s="45" t="s">
        <v>16</v>
      </c>
      <c r="CH770" s="46" t="str">
        <f>IF(VLOOKUP(CG770,βοηθητικό!$J$2:$N$354,3,FALSE)="","",VLOOKUP(CG770,βοηθητικό!$J$2:$N$354,3,FALSE))</f>
        <v>_</v>
      </c>
      <c r="CI770" s="47"/>
      <c r="CJ770" s="42" t="s">
        <v>16</v>
      </c>
      <c r="CK770" s="43" t="str">
        <f>IF(VLOOKUP(CJ770,βοηθητικό!$J$2:$N$354,3,FALSE)="","",VLOOKUP(CJ770,βοηθητικό!$J$2:$N$354,3,FALSE))</f>
        <v>_</v>
      </c>
      <c r="CL770" s="44"/>
      <c r="CM770" s="45" t="s">
        <v>16</v>
      </c>
      <c r="CN770" s="46" t="str">
        <f>IF(VLOOKUP(CM770,βοηθητικό!$J$2:$N$354,3,FALSE)="","",VLOOKUP(CM770,βοηθητικό!$J$2:$N$354,3,FALSE))</f>
        <v>_</v>
      </c>
      <c r="CO770" s="47"/>
      <c r="CP770" s="42" t="s">
        <v>16</v>
      </c>
      <c r="CQ770" s="43" t="str">
        <f>IF(VLOOKUP(CP770,βοηθητικό!$J$2:$N$354,3,FALSE)="","",VLOOKUP(CP770,βοηθητικό!$J$2:$N$354,3,FALSE))</f>
        <v>_</v>
      </c>
      <c r="CR770" s="44"/>
      <c r="CS770" s="45" t="s">
        <v>16</v>
      </c>
      <c r="CT770" s="46" t="str">
        <f>IF(VLOOKUP(CS770,βοηθητικό!$J$2:$N$354,3,FALSE)="","",VLOOKUP(CS770,βοηθητικό!$J$2:$N$354,3,FALSE))</f>
        <v>_</v>
      </c>
      <c r="CU770" s="47"/>
    </row>
    <row r="771" spans="1:99" x14ac:dyDescent="0.25">
      <c r="A771" s="37">
        <f>--SUBTOTAL(3,$B$3:B770)</f>
        <v>198</v>
      </c>
      <c r="B771" s="2"/>
      <c r="C771" s="3"/>
      <c r="D771" s="55" t="s">
        <v>18</v>
      </c>
      <c r="E771" s="38" t="s">
        <v>16</v>
      </c>
      <c r="F771" s="38"/>
      <c r="G771" s="39" t="str">
        <f t="shared" si="35"/>
        <v>__</v>
      </c>
      <c r="H771" s="40" t="str">
        <f t="shared" si="36"/>
        <v>FALSE</v>
      </c>
      <c r="I771" s="41">
        <f t="shared" si="37"/>
        <v>0</v>
      </c>
      <c r="J771" s="4" t="s">
        <v>16</v>
      </c>
      <c r="K771" s="43" t="str">
        <f>IF(VLOOKUP(J771,βοηθητικό!$J$2:$N$354,3,FALSE)="","",VLOOKUP(J771,βοηθητικό!$J$2:$N$354,3,FALSE))</f>
        <v>_</v>
      </c>
      <c r="L771" s="44"/>
      <c r="M771" s="5" t="s">
        <v>16</v>
      </c>
      <c r="N771" s="46" t="str">
        <f>IF(VLOOKUP(M771,βοηθητικό!$J$2:$N$354,3,FALSE)="","",VLOOKUP(M771,βοηθητικό!$J$2:$N$354,3,FALSE))</f>
        <v>_</v>
      </c>
      <c r="O771" s="47"/>
      <c r="P771" s="4" t="s">
        <v>16</v>
      </c>
      <c r="Q771" s="43" t="str">
        <f>IF(VLOOKUP(P771,βοηθητικό!$J$2:$N$354,3,FALSE)="","",VLOOKUP(P771,βοηθητικό!$J$2:$N$354,3,FALSE))</f>
        <v>_</v>
      </c>
      <c r="R771" s="44"/>
      <c r="S771" s="5" t="s">
        <v>16</v>
      </c>
      <c r="T771" s="46" t="str">
        <f>IF(VLOOKUP(S771,βοηθητικό!$J$2:$N$354,3,FALSE)="","",VLOOKUP(S771,βοηθητικό!$J$2:$N$354,3,FALSE))</f>
        <v>_</v>
      </c>
      <c r="U771" s="47"/>
      <c r="V771" s="4" t="s">
        <v>16</v>
      </c>
      <c r="W771" s="43" t="str">
        <f>IF(VLOOKUP(V771,βοηθητικό!$J$2:$N$354,3,FALSE)="","",VLOOKUP(V771,βοηθητικό!$J$2:$N$354,3,FALSE))</f>
        <v>_</v>
      </c>
      <c r="X771" s="44"/>
      <c r="Y771" s="5" t="s">
        <v>16</v>
      </c>
      <c r="Z771" s="46" t="str">
        <f>IF(VLOOKUP(Y771,βοηθητικό!$J$2:$N$354,3,FALSE)="","",VLOOKUP(Y771,βοηθητικό!$J$2:$N$354,3,FALSE))</f>
        <v>_</v>
      </c>
      <c r="AA771" s="47"/>
      <c r="AB771" s="4" t="s">
        <v>16</v>
      </c>
      <c r="AC771" s="43" t="str">
        <f>IF(VLOOKUP(AB771,βοηθητικό!$J$2:$N$354,3,FALSE)="","",VLOOKUP(AB771,βοηθητικό!$J$2:$N$354,3,FALSE))</f>
        <v>_</v>
      </c>
      <c r="AD771" s="44"/>
      <c r="AE771" s="5" t="s">
        <v>16</v>
      </c>
      <c r="AF771" s="46" t="str">
        <f>IF(VLOOKUP(AE771,βοηθητικό!$J$2:$N$354,3,FALSE)="","",VLOOKUP(AE771,βοηθητικό!$J$2:$N$354,3,FALSE))</f>
        <v>_</v>
      </c>
      <c r="AG771" s="47"/>
      <c r="AH771" s="4" t="s">
        <v>16</v>
      </c>
      <c r="AI771" s="43" t="str">
        <f>IF(VLOOKUP(AH771,βοηθητικό!$J$2:$N$354,3,FALSE)="","",VLOOKUP(AH771,βοηθητικό!$J$2:$N$354,3,FALSE))</f>
        <v>_</v>
      </c>
      <c r="AJ771" s="44"/>
      <c r="AK771" s="5" t="s">
        <v>16</v>
      </c>
      <c r="AL771" s="46" t="str">
        <f>IF(VLOOKUP(AK771,βοηθητικό!$J$2:$N$354,3,FALSE)="","",VLOOKUP(AK771,βοηθητικό!$J$2:$N$354,3,FALSE))</f>
        <v>_</v>
      </c>
      <c r="AM771" s="47"/>
      <c r="AN771" s="4" t="s">
        <v>16</v>
      </c>
      <c r="AO771" s="43" t="str">
        <f>IF(VLOOKUP(AN771,βοηθητικό!$J$2:$N$354,3,FALSE)="","",VLOOKUP(AN771,βοηθητικό!$J$2:$N$354,3,FALSE))</f>
        <v>_</v>
      </c>
      <c r="AP771" s="44"/>
      <c r="AQ771" s="5" t="s">
        <v>16</v>
      </c>
      <c r="AR771" s="46" t="str">
        <f>IF(VLOOKUP(AQ771,βοηθητικό!$J$2:$N$354,3,FALSE)="","",VLOOKUP(AQ771,βοηθητικό!$J$2:$N$354,3,FALSE))</f>
        <v>_</v>
      </c>
      <c r="AS771" s="47"/>
      <c r="AT771" s="4" t="s">
        <v>16</v>
      </c>
      <c r="AU771" s="43" t="str">
        <f>IF(VLOOKUP(AT771,βοηθητικό!$J$2:$N$354,3,FALSE)="","",VLOOKUP(AT771,βοηθητικό!$J$2:$N$354,3,FALSE))</f>
        <v>_</v>
      </c>
      <c r="AV771" s="44"/>
      <c r="AW771" s="5" t="s">
        <v>16</v>
      </c>
      <c r="AX771" s="46" t="str">
        <f>IF(VLOOKUP(AW771,βοηθητικό!$J$2:$N$354,3,FALSE)="","",VLOOKUP(AW771,βοηθητικό!$J$2:$N$354,3,FALSE))</f>
        <v>_</v>
      </c>
      <c r="AY771" s="47"/>
      <c r="AZ771" s="4" t="s">
        <v>16</v>
      </c>
      <c r="BA771" s="43" t="str">
        <f>IF(VLOOKUP(AZ771,βοηθητικό!$J$2:$N$354,3,FALSE)="","",VLOOKUP(AZ771,βοηθητικό!$J$2:$N$354,3,FALSE))</f>
        <v>_</v>
      </c>
      <c r="BB771" s="44"/>
      <c r="BC771" s="45" t="s">
        <v>16</v>
      </c>
      <c r="BD771" s="46" t="str">
        <f>IF(VLOOKUP(BC771,βοηθητικό!$J$2:$N$354,3,FALSE)="","",VLOOKUP(BC771,βοηθητικό!$J$2:$N$354,3,FALSE))</f>
        <v>_</v>
      </c>
      <c r="BE771" s="47"/>
      <c r="BF771" s="42" t="s">
        <v>16</v>
      </c>
      <c r="BG771" s="43" t="str">
        <f>IF(VLOOKUP(BF771,βοηθητικό!$J$2:$N$354,3,FALSE)="","",VLOOKUP(BF771,βοηθητικό!$J$2:$N$354,3,FALSE))</f>
        <v>_</v>
      </c>
      <c r="BH771" s="44"/>
      <c r="BI771" s="45" t="s">
        <v>16</v>
      </c>
      <c r="BJ771" s="46" t="str">
        <f>IF(VLOOKUP(BI771,βοηθητικό!$J$2:$N$354,3,FALSE)="","",VLOOKUP(BI771,βοηθητικό!$J$2:$N$354,3,FALSE))</f>
        <v>_</v>
      </c>
      <c r="BK771" s="47"/>
      <c r="BL771" s="42" t="s">
        <v>16</v>
      </c>
      <c r="BM771" s="43" t="str">
        <f>IF(VLOOKUP(BL771,βοηθητικό!$J$2:$N$354,3,FALSE)="","",VLOOKUP(BL771,βοηθητικό!$J$2:$N$354,3,FALSE))</f>
        <v>_</v>
      </c>
      <c r="BN771" s="44"/>
      <c r="BO771" s="45" t="s">
        <v>16</v>
      </c>
      <c r="BP771" s="46" t="str">
        <f>IF(VLOOKUP(BO771,βοηθητικό!$J$2:$N$354,3,FALSE)="","",VLOOKUP(BO771,βοηθητικό!$J$2:$N$354,3,FALSE))</f>
        <v>_</v>
      </c>
      <c r="BQ771" s="47"/>
      <c r="BR771" s="42" t="s">
        <v>16</v>
      </c>
      <c r="BS771" s="43" t="str">
        <f>IF(VLOOKUP(BR771,βοηθητικό!$J$2:$N$354,3,FALSE)="","",VLOOKUP(BR771,βοηθητικό!$J$2:$N$354,3,FALSE))</f>
        <v>_</v>
      </c>
      <c r="BT771" s="44"/>
      <c r="BU771" s="45" t="s">
        <v>16</v>
      </c>
      <c r="BV771" s="46" t="str">
        <f>IF(VLOOKUP(BU771,βοηθητικό!$J$2:$N$354,3,FALSE)="","",VLOOKUP(BU771,βοηθητικό!$J$2:$N$354,3,FALSE))</f>
        <v>_</v>
      </c>
      <c r="BW771" s="47"/>
      <c r="BX771" s="42" t="s">
        <v>16</v>
      </c>
      <c r="BY771" s="43" t="str">
        <f>IF(VLOOKUP(BX771,βοηθητικό!$J$2:$N$354,3,FALSE)="","",VLOOKUP(BX771,βοηθητικό!$J$2:$N$354,3,FALSE))</f>
        <v>_</v>
      </c>
      <c r="BZ771" s="44"/>
      <c r="CA771" s="45" t="s">
        <v>16</v>
      </c>
      <c r="CB771" s="46" t="str">
        <f>IF(VLOOKUP(CA771,βοηθητικό!$J$2:$N$354,3,FALSE)="","",VLOOKUP(CA771,βοηθητικό!$J$2:$N$354,3,FALSE))</f>
        <v>_</v>
      </c>
      <c r="CC771" s="47"/>
      <c r="CD771" s="42" t="s">
        <v>16</v>
      </c>
      <c r="CE771" s="43" t="str">
        <f>IF(VLOOKUP(CD771,βοηθητικό!$J$2:$N$354,3,FALSE)="","",VLOOKUP(CD771,βοηθητικό!$J$2:$N$354,3,FALSE))</f>
        <v>_</v>
      </c>
      <c r="CF771" s="44"/>
      <c r="CG771" s="45" t="s">
        <v>16</v>
      </c>
      <c r="CH771" s="46" t="str">
        <f>IF(VLOOKUP(CG771,βοηθητικό!$J$2:$N$354,3,FALSE)="","",VLOOKUP(CG771,βοηθητικό!$J$2:$N$354,3,FALSE))</f>
        <v>_</v>
      </c>
      <c r="CI771" s="47"/>
      <c r="CJ771" s="42" t="s">
        <v>16</v>
      </c>
      <c r="CK771" s="43" t="str">
        <f>IF(VLOOKUP(CJ771,βοηθητικό!$J$2:$N$354,3,FALSE)="","",VLOOKUP(CJ771,βοηθητικό!$J$2:$N$354,3,FALSE))</f>
        <v>_</v>
      </c>
      <c r="CL771" s="44"/>
      <c r="CM771" s="45" t="s">
        <v>16</v>
      </c>
      <c r="CN771" s="46" t="str">
        <f>IF(VLOOKUP(CM771,βοηθητικό!$J$2:$N$354,3,FALSE)="","",VLOOKUP(CM771,βοηθητικό!$J$2:$N$354,3,FALSE))</f>
        <v>_</v>
      </c>
      <c r="CO771" s="47"/>
      <c r="CP771" s="42" t="s">
        <v>16</v>
      </c>
      <c r="CQ771" s="43" t="str">
        <f>IF(VLOOKUP(CP771,βοηθητικό!$J$2:$N$354,3,FALSE)="","",VLOOKUP(CP771,βοηθητικό!$J$2:$N$354,3,FALSE))</f>
        <v>_</v>
      </c>
      <c r="CR771" s="44"/>
      <c r="CS771" s="45" t="s">
        <v>16</v>
      </c>
      <c r="CT771" s="46" t="str">
        <f>IF(VLOOKUP(CS771,βοηθητικό!$J$2:$N$354,3,FALSE)="","",VLOOKUP(CS771,βοηθητικό!$J$2:$N$354,3,FALSE))</f>
        <v>_</v>
      </c>
      <c r="CU771" s="47"/>
    </row>
    <row r="772" spans="1:99" x14ac:dyDescent="0.25">
      <c r="A772" s="37">
        <f>--SUBTOTAL(3,$B$3:B771)</f>
        <v>198</v>
      </c>
      <c r="B772" s="2"/>
      <c r="C772" s="3"/>
      <c r="D772" s="55" t="s">
        <v>18</v>
      </c>
      <c r="E772" s="38" t="s">
        <v>16</v>
      </c>
      <c r="F772" s="38"/>
      <c r="G772" s="39" t="str">
        <f t="shared" ref="G772:G835" si="38">IF(OR(C772="_",E772="_"),"__",CONCATENATE(C772,E772))</f>
        <v>__</v>
      </c>
      <c r="H772" s="40" t="str">
        <f t="shared" ref="H772:H835" si="39">IF(G772="__","FALSE",COUNTIF(G:G,G772)&gt;1)</f>
        <v>FALSE</v>
      </c>
      <c r="I772" s="41">
        <f t="shared" ref="I772:I835" si="40">SUMPRODUCT((J772:CU772&lt;&gt;"_")*(MOD(COLUMN(J772:CU772)-COLUMN(J772),3)=0))</f>
        <v>0</v>
      </c>
      <c r="J772" s="4" t="s">
        <v>16</v>
      </c>
      <c r="K772" s="43" t="str">
        <f>IF(VLOOKUP(J772,βοηθητικό!$J$2:$N$354,3,FALSE)="","",VLOOKUP(J772,βοηθητικό!$J$2:$N$354,3,FALSE))</f>
        <v>_</v>
      </c>
      <c r="L772" s="44"/>
      <c r="M772" s="5" t="s">
        <v>16</v>
      </c>
      <c r="N772" s="46" t="str">
        <f>IF(VLOOKUP(M772,βοηθητικό!$J$2:$N$354,3,FALSE)="","",VLOOKUP(M772,βοηθητικό!$J$2:$N$354,3,FALSE))</f>
        <v>_</v>
      </c>
      <c r="O772" s="47"/>
      <c r="P772" s="4" t="s">
        <v>16</v>
      </c>
      <c r="Q772" s="43" t="str">
        <f>IF(VLOOKUP(P772,βοηθητικό!$J$2:$N$354,3,FALSE)="","",VLOOKUP(P772,βοηθητικό!$J$2:$N$354,3,FALSE))</f>
        <v>_</v>
      </c>
      <c r="R772" s="44"/>
      <c r="S772" s="5" t="s">
        <v>16</v>
      </c>
      <c r="T772" s="46" t="str">
        <f>IF(VLOOKUP(S772,βοηθητικό!$J$2:$N$354,3,FALSE)="","",VLOOKUP(S772,βοηθητικό!$J$2:$N$354,3,FALSE))</f>
        <v>_</v>
      </c>
      <c r="U772" s="47"/>
      <c r="V772" s="4" t="s">
        <v>16</v>
      </c>
      <c r="W772" s="43" t="str">
        <f>IF(VLOOKUP(V772,βοηθητικό!$J$2:$N$354,3,FALSE)="","",VLOOKUP(V772,βοηθητικό!$J$2:$N$354,3,FALSE))</f>
        <v>_</v>
      </c>
      <c r="X772" s="44"/>
      <c r="Y772" s="5" t="s">
        <v>16</v>
      </c>
      <c r="Z772" s="46" t="str">
        <f>IF(VLOOKUP(Y772,βοηθητικό!$J$2:$N$354,3,FALSE)="","",VLOOKUP(Y772,βοηθητικό!$J$2:$N$354,3,FALSE))</f>
        <v>_</v>
      </c>
      <c r="AA772" s="47"/>
      <c r="AB772" s="4" t="s">
        <v>16</v>
      </c>
      <c r="AC772" s="43" t="str">
        <f>IF(VLOOKUP(AB772,βοηθητικό!$J$2:$N$354,3,FALSE)="","",VLOOKUP(AB772,βοηθητικό!$J$2:$N$354,3,FALSE))</f>
        <v>_</v>
      </c>
      <c r="AD772" s="44"/>
      <c r="AE772" s="5" t="s">
        <v>16</v>
      </c>
      <c r="AF772" s="46" t="str">
        <f>IF(VLOOKUP(AE772,βοηθητικό!$J$2:$N$354,3,FALSE)="","",VLOOKUP(AE772,βοηθητικό!$J$2:$N$354,3,FALSE))</f>
        <v>_</v>
      </c>
      <c r="AG772" s="47"/>
      <c r="AH772" s="4" t="s">
        <v>16</v>
      </c>
      <c r="AI772" s="43" t="str">
        <f>IF(VLOOKUP(AH772,βοηθητικό!$J$2:$N$354,3,FALSE)="","",VLOOKUP(AH772,βοηθητικό!$J$2:$N$354,3,FALSE))</f>
        <v>_</v>
      </c>
      <c r="AJ772" s="44"/>
      <c r="AK772" s="5" t="s">
        <v>16</v>
      </c>
      <c r="AL772" s="46" t="str">
        <f>IF(VLOOKUP(AK772,βοηθητικό!$J$2:$N$354,3,FALSE)="","",VLOOKUP(AK772,βοηθητικό!$J$2:$N$354,3,FALSE))</f>
        <v>_</v>
      </c>
      <c r="AM772" s="47"/>
      <c r="AN772" s="4" t="s">
        <v>16</v>
      </c>
      <c r="AO772" s="43" t="str">
        <f>IF(VLOOKUP(AN772,βοηθητικό!$J$2:$N$354,3,FALSE)="","",VLOOKUP(AN772,βοηθητικό!$J$2:$N$354,3,FALSE))</f>
        <v>_</v>
      </c>
      <c r="AP772" s="44"/>
      <c r="AQ772" s="5" t="s">
        <v>16</v>
      </c>
      <c r="AR772" s="46" t="str">
        <f>IF(VLOOKUP(AQ772,βοηθητικό!$J$2:$N$354,3,FALSE)="","",VLOOKUP(AQ772,βοηθητικό!$J$2:$N$354,3,FALSE))</f>
        <v>_</v>
      </c>
      <c r="AS772" s="47"/>
      <c r="AT772" s="4" t="s">
        <v>16</v>
      </c>
      <c r="AU772" s="43" t="str">
        <f>IF(VLOOKUP(AT772,βοηθητικό!$J$2:$N$354,3,FALSE)="","",VLOOKUP(AT772,βοηθητικό!$J$2:$N$354,3,FALSE))</f>
        <v>_</v>
      </c>
      <c r="AV772" s="44"/>
      <c r="AW772" s="5" t="s">
        <v>16</v>
      </c>
      <c r="AX772" s="46" t="str">
        <f>IF(VLOOKUP(AW772,βοηθητικό!$J$2:$N$354,3,FALSE)="","",VLOOKUP(AW772,βοηθητικό!$J$2:$N$354,3,FALSE))</f>
        <v>_</v>
      </c>
      <c r="AY772" s="47"/>
      <c r="AZ772" s="4" t="s">
        <v>16</v>
      </c>
      <c r="BA772" s="43" t="str">
        <f>IF(VLOOKUP(AZ772,βοηθητικό!$J$2:$N$354,3,FALSE)="","",VLOOKUP(AZ772,βοηθητικό!$J$2:$N$354,3,FALSE))</f>
        <v>_</v>
      </c>
      <c r="BB772" s="44"/>
      <c r="BC772" s="45" t="s">
        <v>16</v>
      </c>
      <c r="BD772" s="46" t="str">
        <f>IF(VLOOKUP(BC772,βοηθητικό!$J$2:$N$354,3,FALSE)="","",VLOOKUP(BC772,βοηθητικό!$J$2:$N$354,3,FALSE))</f>
        <v>_</v>
      </c>
      <c r="BE772" s="47"/>
      <c r="BF772" s="42" t="s">
        <v>16</v>
      </c>
      <c r="BG772" s="43" t="str">
        <f>IF(VLOOKUP(BF772,βοηθητικό!$J$2:$N$354,3,FALSE)="","",VLOOKUP(BF772,βοηθητικό!$J$2:$N$354,3,FALSE))</f>
        <v>_</v>
      </c>
      <c r="BH772" s="44"/>
      <c r="BI772" s="45" t="s">
        <v>16</v>
      </c>
      <c r="BJ772" s="46" t="str">
        <f>IF(VLOOKUP(BI772,βοηθητικό!$J$2:$N$354,3,FALSE)="","",VLOOKUP(BI772,βοηθητικό!$J$2:$N$354,3,FALSE))</f>
        <v>_</v>
      </c>
      <c r="BK772" s="47"/>
      <c r="BL772" s="42" t="s">
        <v>16</v>
      </c>
      <c r="BM772" s="43" t="str">
        <f>IF(VLOOKUP(BL772,βοηθητικό!$J$2:$N$354,3,FALSE)="","",VLOOKUP(BL772,βοηθητικό!$J$2:$N$354,3,FALSE))</f>
        <v>_</v>
      </c>
      <c r="BN772" s="44"/>
      <c r="BO772" s="45" t="s">
        <v>16</v>
      </c>
      <c r="BP772" s="46" t="str">
        <f>IF(VLOOKUP(BO772,βοηθητικό!$J$2:$N$354,3,FALSE)="","",VLOOKUP(BO772,βοηθητικό!$J$2:$N$354,3,FALSE))</f>
        <v>_</v>
      </c>
      <c r="BQ772" s="47"/>
      <c r="BR772" s="42" t="s">
        <v>16</v>
      </c>
      <c r="BS772" s="43" t="str">
        <f>IF(VLOOKUP(BR772,βοηθητικό!$J$2:$N$354,3,FALSE)="","",VLOOKUP(BR772,βοηθητικό!$J$2:$N$354,3,FALSE))</f>
        <v>_</v>
      </c>
      <c r="BT772" s="44"/>
      <c r="BU772" s="45" t="s">
        <v>16</v>
      </c>
      <c r="BV772" s="46" t="str">
        <f>IF(VLOOKUP(BU772,βοηθητικό!$J$2:$N$354,3,FALSE)="","",VLOOKUP(BU772,βοηθητικό!$J$2:$N$354,3,FALSE))</f>
        <v>_</v>
      </c>
      <c r="BW772" s="47"/>
      <c r="BX772" s="42" t="s">
        <v>16</v>
      </c>
      <c r="BY772" s="43" t="str">
        <f>IF(VLOOKUP(BX772,βοηθητικό!$J$2:$N$354,3,FALSE)="","",VLOOKUP(BX772,βοηθητικό!$J$2:$N$354,3,FALSE))</f>
        <v>_</v>
      </c>
      <c r="BZ772" s="44"/>
      <c r="CA772" s="45" t="s">
        <v>16</v>
      </c>
      <c r="CB772" s="46" t="str">
        <f>IF(VLOOKUP(CA772,βοηθητικό!$J$2:$N$354,3,FALSE)="","",VLOOKUP(CA772,βοηθητικό!$J$2:$N$354,3,FALSE))</f>
        <v>_</v>
      </c>
      <c r="CC772" s="47"/>
      <c r="CD772" s="42" t="s">
        <v>16</v>
      </c>
      <c r="CE772" s="43" t="str">
        <f>IF(VLOOKUP(CD772,βοηθητικό!$J$2:$N$354,3,FALSE)="","",VLOOKUP(CD772,βοηθητικό!$J$2:$N$354,3,FALSE))</f>
        <v>_</v>
      </c>
      <c r="CF772" s="44"/>
      <c r="CG772" s="45" t="s">
        <v>16</v>
      </c>
      <c r="CH772" s="46" t="str">
        <f>IF(VLOOKUP(CG772,βοηθητικό!$J$2:$N$354,3,FALSE)="","",VLOOKUP(CG772,βοηθητικό!$J$2:$N$354,3,FALSE))</f>
        <v>_</v>
      </c>
      <c r="CI772" s="47"/>
      <c r="CJ772" s="42" t="s">
        <v>16</v>
      </c>
      <c r="CK772" s="43" t="str">
        <f>IF(VLOOKUP(CJ772,βοηθητικό!$J$2:$N$354,3,FALSE)="","",VLOOKUP(CJ772,βοηθητικό!$J$2:$N$354,3,FALSE))</f>
        <v>_</v>
      </c>
      <c r="CL772" s="44"/>
      <c r="CM772" s="45" t="s">
        <v>16</v>
      </c>
      <c r="CN772" s="46" t="str">
        <f>IF(VLOOKUP(CM772,βοηθητικό!$J$2:$N$354,3,FALSE)="","",VLOOKUP(CM772,βοηθητικό!$J$2:$N$354,3,FALSE))</f>
        <v>_</v>
      </c>
      <c r="CO772" s="47"/>
      <c r="CP772" s="42" t="s">
        <v>16</v>
      </c>
      <c r="CQ772" s="43" t="str">
        <f>IF(VLOOKUP(CP772,βοηθητικό!$J$2:$N$354,3,FALSE)="","",VLOOKUP(CP772,βοηθητικό!$J$2:$N$354,3,FALSE))</f>
        <v>_</v>
      </c>
      <c r="CR772" s="44"/>
      <c r="CS772" s="45" t="s">
        <v>16</v>
      </c>
      <c r="CT772" s="46" t="str">
        <f>IF(VLOOKUP(CS772,βοηθητικό!$J$2:$N$354,3,FALSE)="","",VLOOKUP(CS772,βοηθητικό!$J$2:$N$354,3,FALSE))</f>
        <v>_</v>
      </c>
      <c r="CU772" s="47"/>
    </row>
    <row r="773" spans="1:99" x14ac:dyDescent="0.25">
      <c r="A773" s="37">
        <f>--SUBTOTAL(3,$B$3:B772)</f>
        <v>198</v>
      </c>
      <c r="B773" s="2"/>
      <c r="C773" s="3"/>
      <c r="D773" s="55" t="s">
        <v>18</v>
      </c>
      <c r="E773" s="38" t="s">
        <v>16</v>
      </c>
      <c r="F773" s="38"/>
      <c r="G773" s="39" t="str">
        <f t="shared" si="38"/>
        <v>__</v>
      </c>
      <c r="H773" s="40" t="str">
        <f t="shared" si="39"/>
        <v>FALSE</v>
      </c>
      <c r="I773" s="41">
        <f t="shared" si="40"/>
        <v>0</v>
      </c>
      <c r="J773" s="4" t="s">
        <v>16</v>
      </c>
      <c r="K773" s="43" t="str">
        <f>IF(VLOOKUP(J773,βοηθητικό!$J$2:$N$354,3,FALSE)="","",VLOOKUP(J773,βοηθητικό!$J$2:$N$354,3,FALSE))</f>
        <v>_</v>
      </c>
      <c r="L773" s="44"/>
      <c r="M773" s="5" t="s">
        <v>16</v>
      </c>
      <c r="N773" s="46" t="str">
        <f>IF(VLOOKUP(M773,βοηθητικό!$J$2:$N$354,3,FALSE)="","",VLOOKUP(M773,βοηθητικό!$J$2:$N$354,3,FALSE))</f>
        <v>_</v>
      </c>
      <c r="O773" s="47"/>
      <c r="P773" s="4" t="s">
        <v>16</v>
      </c>
      <c r="Q773" s="43" t="str">
        <f>IF(VLOOKUP(P773,βοηθητικό!$J$2:$N$354,3,FALSE)="","",VLOOKUP(P773,βοηθητικό!$J$2:$N$354,3,FALSE))</f>
        <v>_</v>
      </c>
      <c r="R773" s="44"/>
      <c r="S773" s="5" t="s">
        <v>16</v>
      </c>
      <c r="T773" s="46" t="str">
        <f>IF(VLOOKUP(S773,βοηθητικό!$J$2:$N$354,3,FALSE)="","",VLOOKUP(S773,βοηθητικό!$J$2:$N$354,3,FALSE))</f>
        <v>_</v>
      </c>
      <c r="U773" s="47"/>
      <c r="V773" s="4" t="s">
        <v>16</v>
      </c>
      <c r="W773" s="43" t="str">
        <f>IF(VLOOKUP(V773,βοηθητικό!$J$2:$N$354,3,FALSE)="","",VLOOKUP(V773,βοηθητικό!$J$2:$N$354,3,FALSE))</f>
        <v>_</v>
      </c>
      <c r="X773" s="44"/>
      <c r="Y773" s="5" t="s">
        <v>16</v>
      </c>
      <c r="Z773" s="46" t="str">
        <f>IF(VLOOKUP(Y773,βοηθητικό!$J$2:$N$354,3,FALSE)="","",VLOOKUP(Y773,βοηθητικό!$J$2:$N$354,3,FALSE))</f>
        <v>_</v>
      </c>
      <c r="AA773" s="47"/>
      <c r="AB773" s="4" t="s">
        <v>16</v>
      </c>
      <c r="AC773" s="43" t="str">
        <f>IF(VLOOKUP(AB773,βοηθητικό!$J$2:$N$354,3,FALSE)="","",VLOOKUP(AB773,βοηθητικό!$J$2:$N$354,3,FALSE))</f>
        <v>_</v>
      </c>
      <c r="AD773" s="44"/>
      <c r="AE773" s="5" t="s">
        <v>16</v>
      </c>
      <c r="AF773" s="46" t="str">
        <f>IF(VLOOKUP(AE773,βοηθητικό!$J$2:$N$354,3,FALSE)="","",VLOOKUP(AE773,βοηθητικό!$J$2:$N$354,3,FALSE))</f>
        <v>_</v>
      </c>
      <c r="AG773" s="47"/>
      <c r="AH773" s="4" t="s">
        <v>16</v>
      </c>
      <c r="AI773" s="43" t="str">
        <f>IF(VLOOKUP(AH773,βοηθητικό!$J$2:$N$354,3,FALSE)="","",VLOOKUP(AH773,βοηθητικό!$J$2:$N$354,3,FALSE))</f>
        <v>_</v>
      </c>
      <c r="AJ773" s="44"/>
      <c r="AK773" s="5" t="s">
        <v>16</v>
      </c>
      <c r="AL773" s="46" t="str">
        <f>IF(VLOOKUP(AK773,βοηθητικό!$J$2:$N$354,3,FALSE)="","",VLOOKUP(AK773,βοηθητικό!$J$2:$N$354,3,FALSE))</f>
        <v>_</v>
      </c>
      <c r="AM773" s="47"/>
      <c r="AN773" s="4" t="s">
        <v>16</v>
      </c>
      <c r="AO773" s="43" t="str">
        <f>IF(VLOOKUP(AN773,βοηθητικό!$J$2:$N$354,3,FALSE)="","",VLOOKUP(AN773,βοηθητικό!$J$2:$N$354,3,FALSE))</f>
        <v>_</v>
      </c>
      <c r="AP773" s="44"/>
      <c r="AQ773" s="5" t="s">
        <v>16</v>
      </c>
      <c r="AR773" s="46" t="str">
        <f>IF(VLOOKUP(AQ773,βοηθητικό!$J$2:$N$354,3,FALSE)="","",VLOOKUP(AQ773,βοηθητικό!$J$2:$N$354,3,FALSE))</f>
        <v>_</v>
      </c>
      <c r="AS773" s="47"/>
      <c r="AT773" s="4" t="s">
        <v>16</v>
      </c>
      <c r="AU773" s="43" t="str">
        <f>IF(VLOOKUP(AT773,βοηθητικό!$J$2:$N$354,3,FALSE)="","",VLOOKUP(AT773,βοηθητικό!$J$2:$N$354,3,FALSE))</f>
        <v>_</v>
      </c>
      <c r="AV773" s="44"/>
      <c r="AW773" s="5" t="s">
        <v>16</v>
      </c>
      <c r="AX773" s="46" t="str">
        <f>IF(VLOOKUP(AW773,βοηθητικό!$J$2:$N$354,3,FALSE)="","",VLOOKUP(AW773,βοηθητικό!$J$2:$N$354,3,FALSE))</f>
        <v>_</v>
      </c>
      <c r="AY773" s="47"/>
      <c r="AZ773" s="4" t="s">
        <v>16</v>
      </c>
      <c r="BA773" s="43" t="str">
        <f>IF(VLOOKUP(AZ773,βοηθητικό!$J$2:$N$354,3,FALSE)="","",VLOOKUP(AZ773,βοηθητικό!$J$2:$N$354,3,FALSE))</f>
        <v>_</v>
      </c>
      <c r="BB773" s="44"/>
      <c r="BC773" s="45" t="s">
        <v>16</v>
      </c>
      <c r="BD773" s="46" t="str">
        <f>IF(VLOOKUP(BC773,βοηθητικό!$J$2:$N$354,3,FALSE)="","",VLOOKUP(BC773,βοηθητικό!$J$2:$N$354,3,FALSE))</f>
        <v>_</v>
      </c>
      <c r="BE773" s="47"/>
      <c r="BF773" s="42" t="s">
        <v>16</v>
      </c>
      <c r="BG773" s="43" t="str">
        <f>IF(VLOOKUP(BF773,βοηθητικό!$J$2:$N$354,3,FALSE)="","",VLOOKUP(BF773,βοηθητικό!$J$2:$N$354,3,FALSE))</f>
        <v>_</v>
      </c>
      <c r="BH773" s="44"/>
      <c r="BI773" s="45" t="s">
        <v>16</v>
      </c>
      <c r="BJ773" s="46" t="str">
        <f>IF(VLOOKUP(BI773,βοηθητικό!$J$2:$N$354,3,FALSE)="","",VLOOKUP(BI773,βοηθητικό!$J$2:$N$354,3,FALSE))</f>
        <v>_</v>
      </c>
      <c r="BK773" s="47"/>
      <c r="BL773" s="42" t="s">
        <v>16</v>
      </c>
      <c r="BM773" s="43" t="str">
        <f>IF(VLOOKUP(BL773,βοηθητικό!$J$2:$N$354,3,FALSE)="","",VLOOKUP(BL773,βοηθητικό!$J$2:$N$354,3,FALSE))</f>
        <v>_</v>
      </c>
      <c r="BN773" s="44"/>
      <c r="BO773" s="45" t="s">
        <v>16</v>
      </c>
      <c r="BP773" s="46" t="str">
        <f>IF(VLOOKUP(BO773,βοηθητικό!$J$2:$N$354,3,FALSE)="","",VLOOKUP(BO773,βοηθητικό!$J$2:$N$354,3,FALSE))</f>
        <v>_</v>
      </c>
      <c r="BQ773" s="47"/>
      <c r="BR773" s="42" t="s">
        <v>16</v>
      </c>
      <c r="BS773" s="43" t="str">
        <f>IF(VLOOKUP(BR773,βοηθητικό!$J$2:$N$354,3,FALSE)="","",VLOOKUP(BR773,βοηθητικό!$J$2:$N$354,3,FALSE))</f>
        <v>_</v>
      </c>
      <c r="BT773" s="44"/>
      <c r="BU773" s="45" t="s">
        <v>16</v>
      </c>
      <c r="BV773" s="46" t="str">
        <f>IF(VLOOKUP(BU773,βοηθητικό!$J$2:$N$354,3,FALSE)="","",VLOOKUP(BU773,βοηθητικό!$J$2:$N$354,3,FALSE))</f>
        <v>_</v>
      </c>
      <c r="BW773" s="47"/>
      <c r="BX773" s="42" t="s">
        <v>16</v>
      </c>
      <c r="BY773" s="43" t="str">
        <f>IF(VLOOKUP(BX773,βοηθητικό!$J$2:$N$354,3,FALSE)="","",VLOOKUP(BX773,βοηθητικό!$J$2:$N$354,3,FALSE))</f>
        <v>_</v>
      </c>
      <c r="BZ773" s="44"/>
      <c r="CA773" s="45" t="s">
        <v>16</v>
      </c>
      <c r="CB773" s="46" t="str">
        <f>IF(VLOOKUP(CA773,βοηθητικό!$J$2:$N$354,3,FALSE)="","",VLOOKUP(CA773,βοηθητικό!$J$2:$N$354,3,FALSE))</f>
        <v>_</v>
      </c>
      <c r="CC773" s="47"/>
      <c r="CD773" s="42" t="s">
        <v>16</v>
      </c>
      <c r="CE773" s="43" t="str">
        <f>IF(VLOOKUP(CD773,βοηθητικό!$J$2:$N$354,3,FALSE)="","",VLOOKUP(CD773,βοηθητικό!$J$2:$N$354,3,FALSE))</f>
        <v>_</v>
      </c>
      <c r="CF773" s="44"/>
      <c r="CG773" s="45" t="s">
        <v>16</v>
      </c>
      <c r="CH773" s="46" t="str">
        <f>IF(VLOOKUP(CG773,βοηθητικό!$J$2:$N$354,3,FALSE)="","",VLOOKUP(CG773,βοηθητικό!$J$2:$N$354,3,FALSE))</f>
        <v>_</v>
      </c>
      <c r="CI773" s="47"/>
      <c r="CJ773" s="42" t="s">
        <v>16</v>
      </c>
      <c r="CK773" s="43" t="str">
        <f>IF(VLOOKUP(CJ773,βοηθητικό!$J$2:$N$354,3,FALSE)="","",VLOOKUP(CJ773,βοηθητικό!$J$2:$N$354,3,FALSE))</f>
        <v>_</v>
      </c>
      <c r="CL773" s="44"/>
      <c r="CM773" s="45" t="s">
        <v>16</v>
      </c>
      <c r="CN773" s="46" t="str">
        <f>IF(VLOOKUP(CM773,βοηθητικό!$J$2:$N$354,3,FALSE)="","",VLOOKUP(CM773,βοηθητικό!$J$2:$N$354,3,FALSE))</f>
        <v>_</v>
      </c>
      <c r="CO773" s="47"/>
      <c r="CP773" s="42" t="s">
        <v>16</v>
      </c>
      <c r="CQ773" s="43" t="str">
        <f>IF(VLOOKUP(CP773,βοηθητικό!$J$2:$N$354,3,FALSE)="","",VLOOKUP(CP773,βοηθητικό!$J$2:$N$354,3,FALSE))</f>
        <v>_</v>
      </c>
      <c r="CR773" s="44"/>
      <c r="CS773" s="45" t="s">
        <v>16</v>
      </c>
      <c r="CT773" s="46" t="str">
        <f>IF(VLOOKUP(CS773,βοηθητικό!$J$2:$N$354,3,FALSE)="","",VLOOKUP(CS773,βοηθητικό!$J$2:$N$354,3,FALSE))</f>
        <v>_</v>
      </c>
      <c r="CU773" s="47"/>
    </row>
    <row r="774" spans="1:99" x14ac:dyDescent="0.25">
      <c r="A774" s="37">
        <f>--SUBTOTAL(3,$B$3:B773)</f>
        <v>198</v>
      </c>
      <c r="B774" s="2"/>
      <c r="C774" s="3"/>
      <c r="D774" s="55" t="s">
        <v>18</v>
      </c>
      <c r="E774" s="38" t="s">
        <v>16</v>
      </c>
      <c r="F774" s="38"/>
      <c r="G774" s="39" t="str">
        <f t="shared" si="38"/>
        <v>__</v>
      </c>
      <c r="H774" s="40" t="str">
        <f t="shared" si="39"/>
        <v>FALSE</v>
      </c>
      <c r="I774" s="41">
        <f t="shared" si="40"/>
        <v>0</v>
      </c>
      <c r="J774" s="4" t="s">
        <v>16</v>
      </c>
      <c r="K774" s="43" t="str">
        <f>IF(VLOOKUP(J774,βοηθητικό!$J$2:$N$354,3,FALSE)="","",VLOOKUP(J774,βοηθητικό!$J$2:$N$354,3,FALSE))</f>
        <v>_</v>
      </c>
      <c r="L774" s="44"/>
      <c r="M774" s="5" t="s">
        <v>16</v>
      </c>
      <c r="N774" s="46" t="str">
        <f>IF(VLOOKUP(M774,βοηθητικό!$J$2:$N$354,3,FALSE)="","",VLOOKUP(M774,βοηθητικό!$J$2:$N$354,3,FALSE))</f>
        <v>_</v>
      </c>
      <c r="O774" s="47"/>
      <c r="P774" s="4" t="s">
        <v>16</v>
      </c>
      <c r="Q774" s="43" t="str">
        <f>IF(VLOOKUP(P774,βοηθητικό!$J$2:$N$354,3,FALSE)="","",VLOOKUP(P774,βοηθητικό!$J$2:$N$354,3,FALSE))</f>
        <v>_</v>
      </c>
      <c r="R774" s="44"/>
      <c r="S774" s="5" t="s">
        <v>16</v>
      </c>
      <c r="T774" s="46" t="str">
        <f>IF(VLOOKUP(S774,βοηθητικό!$J$2:$N$354,3,FALSE)="","",VLOOKUP(S774,βοηθητικό!$J$2:$N$354,3,FALSE))</f>
        <v>_</v>
      </c>
      <c r="U774" s="47"/>
      <c r="V774" s="4" t="s">
        <v>16</v>
      </c>
      <c r="W774" s="43" t="str">
        <f>IF(VLOOKUP(V774,βοηθητικό!$J$2:$N$354,3,FALSE)="","",VLOOKUP(V774,βοηθητικό!$J$2:$N$354,3,FALSE))</f>
        <v>_</v>
      </c>
      <c r="X774" s="44"/>
      <c r="Y774" s="5" t="s">
        <v>16</v>
      </c>
      <c r="Z774" s="46" t="str">
        <f>IF(VLOOKUP(Y774,βοηθητικό!$J$2:$N$354,3,FALSE)="","",VLOOKUP(Y774,βοηθητικό!$J$2:$N$354,3,FALSE))</f>
        <v>_</v>
      </c>
      <c r="AA774" s="47"/>
      <c r="AB774" s="4" t="s">
        <v>16</v>
      </c>
      <c r="AC774" s="43" t="str">
        <f>IF(VLOOKUP(AB774,βοηθητικό!$J$2:$N$354,3,FALSE)="","",VLOOKUP(AB774,βοηθητικό!$J$2:$N$354,3,FALSE))</f>
        <v>_</v>
      </c>
      <c r="AD774" s="44"/>
      <c r="AE774" s="5" t="s">
        <v>16</v>
      </c>
      <c r="AF774" s="46" t="str">
        <f>IF(VLOOKUP(AE774,βοηθητικό!$J$2:$N$354,3,FALSE)="","",VLOOKUP(AE774,βοηθητικό!$J$2:$N$354,3,FALSE))</f>
        <v>_</v>
      </c>
      <c r="AG774" s="47"/>
      <c r="AH774" s="4" t="s">
        <v>16</v>
      </c>
      <c r="AI774" s="43" t="str">
        <f>IF(VLOOKUP(AH774,βοηθητικό!$J$2:$N$354,3,FALSE)="","",VLOOKUP(AH774,βοηθητικό!$J$2:$N$354,3,FALSE))</f>
        <v>_</v>
      </c>
      <c r="AJ774" s="44"/>
      <c r="AK774" s="5" t="s">
        <v>16</v>
      </c>
      <c r="AL774" s="46" t="str">
        <f>IF(VLOOKUP(AK774,βοηθητικό!$J$2:$N$354,3,FALSE)="","",VLOOKUP(AK774,βοηθητικό!$J$2:$N$354,3,FALSE))</f>
        <v>_</v>
      </c>
      <c r="AM774" s="47"/>
      <c r="AN774" s="4" t="s">
        <v>16</v>
      </c>
      <c r="AO774" s="43" t="str">
        <f>IF(VLOOKUP(AN774,βοηθητικό!$J$2:$N$354,3,FALSE)="","",VLOOKUP(AN774,βοηθητικό!$J$2:$N$354,3,FALSE))</f>
        <v>_</v>
      </c>
      <c r="AP774" s="44"/>
      <c r="AQ774" s="5" t="s">
        <v>16</v>
      </c>
      <c r="AR774" s="46" t="str">
        <f>IF(VLOOKUP(AQ774,βοηθητικό!$J$2:$N$354,3,FALSE)="","",VLOOKUP(AQ774,βοηθητικό!$J$2:$N$354,3,FALSE))</f>
        <v>_</v>
      </c>
      <c r="AS774" s="47"/>
      <c r="AT774" s="4" t="s">
        <v>16</v>
      </c>
      <c r="AU774" s="43" t="str">
        <f>IF(VLOOKUP(AT774,βοηθητικό!$J$2:$N$354,3,FALSE)="","",VLOOKUP(AT774,βοηθητικό!$J$2:$N$354,3,FALSE))</f>
        <v>_</v>
      </c>
      <c r="AV774" s="44"/>
      <c r="AW774" s="5" t="s">
        <v>16</v>
      </c>
      <c r="AX774" s="46" t="str">
        <f>IF(VLOOKUP(AW774,βοηθητικό!$J$2:$N$354,3,FALSE)="","",VLOOKUP(AW774,βοηθητικό!$J$2:$N$354,3,FALSE))</f>
        <v>_</v>
      </c>
      <c r="AY774" s="47"/>
      <c r="AZ774" s="4" t="s">
        <v>16</v>
      </c>
      <c r="BA774" s="43" t="str">
        <f>IF(VLOOKUP(AZ774,βοηθητικό!$J$2:$N$354,3,FALSE)="","",VLOOKUP(AZ774,βοηθητικό!$J$2:$N$354,3,FALSE))</f>
        <v>_</v>
      </c>
      <c r="BB774" s="44"/>
      <c r="BC774" s="45" t="s">
        <v>16</v>
      </c>
      <c r="BD774" s="46" t="str">
        <f>IF(VLOOKUP(BC774,βοηθητικό!$J$2:$N$354,3,FALSE)="","",VLOOKUP(BC774,βοηθητικό!$J$2:$N$354,3,FALSE))</f>
        <v>_</v>
      </c>
      <c r="BE774" s="47"/>
      <c r="BF774" s="42" t="s">
        <v>16</v>
      </c>
      <c r="BG774" s="43" t="str">
        <f>IF(VLOOKUP(BF774,βοηθητικό!$J$2:$N$354,3,FALSE)="","",VLOOKUP(BF774,βοηθητικό!$J$2:$N$354,3,FALSE))</f>
        <v>_</v>
      </c>
      <c r="BH774" s="44"/>
      <c r="BI774" s="45" t="s">
        <v>16</v>
      </c>
      <c r="BJ774" s="46" t="str">
        <f>IF(VLOOKUP(BI774,βοηθητικό!$J$2:$N$354,3,FALSE)="","",VLOOKUP(BI774,βοηθητικό!$J$2:$N$354,3,FALSE))</f>
        <v>_</v>
      </c>
      <c r="BK774" s="47"/>
      <c r="BL774" s="42" t="s">
        <v>16</v>
      </c>
      <c r="BM774" s="43" t="str">
        <f>IF(VLOOKUP(BL774,βοηθητικό!$J$2:$N$354,3,FALSE)="","",VLOOKUP(BL774,βοηθητικό!$J$2:$N$354,3,FALSE))</f>
        <v>_</v>
      </c>
      <c r="BN774" s="44"/>
      <c r="BO774" s="45" t="s">
        <v>16</v>
      </c>
      <c r="BP774" s="46" t="str">
        <f>IF(VLOOKUP(BO774,βοηθητικό!$J$2:$N$354,3,FALSE)="","",VLOOKUP(BO774,βοηθητικό!$J$2:$N$354,3,FALSE))</f>
        <v>_</v>
      </c>
      <c r="BQ774" s="47"/>
      <c r="BR774" s="42" t="s">
        <v>16</v>
      </c>
      <c r="BS774" s="43" t="str">
        <f>IF(VLOOKUP(BR774,βοηθητικό!$J$2:$N$354,3,FALSE)="","",VLOOKUP(BR774,βοηθητικό!$J$2:$N$354,3,FALSE))</f>
        <v>_</v>
      </c>
      <c r="BT774" s="44"/>
      <c r="BU774" s="45" t="s">
        <v>16</v>
      </c>
      <c r="BV774" s="46" t="str">
        <f>IF(VLOOKUP(BU774,βοηθητικό!$J$2:$N$354,3,FALSE)="","",VLOOKUP(BU774,βοηθητικό!$J$2:$N$354,3,FALSE))</f>
        <v>_</v>
      </c>
      <c r="BW774" s="47"/>
      <c r="BX774" s="42" t="s">
        <v>16</v>
      </c>
      <c r="BY774" s="43" t="str">
        <f>IF(VLOOKUP(BX774,βοηθητικό!$J$2:$N$354,3,FALSE)="","",VLOOKUP(BX774,βοηθητικό!$J$2:$N$354,3,FALSE))</f>
        <v>_</v>
      </c>
      <c r="BZ774" s="44"/>
      <c r="CA774" s="45" t="s">
        <v>16</v>
      </c>
      <c r="CB774" s="46" t="str">
        <f>IF(VLOOKUP(CA774,βοηθητικό!$J$2:$N$354,3,FALSE)="","",VLOOKUP(CA774,βοηθητικό!$J$2:$N$354,3,FALSE))</f>
        <v>_</v>
      </c>
      <c r="CC774" s="47"/>
      <c r="CD774" s="42" t="s">
        <v>16</v>
      </c>
      <c r="CE774" s="43" t="str">
        <f>IF(VLOOKUP(CD774,βοηθητικό!$J$2:$N$354,3,FALSE)="","",VLOOKUP(CD774,βοηθητικό!$J$2:$N$354,3,FALSE))</f>
        <v>_</v>
      </c>
      <c r="CF774" s="44"/>
      <c r="CG774" s="45" t="s">
        <v>16</v>
      </c>
      <c r="CH774" s="46" t="str">
        <f>IF(VLOOKUP(CG774,βοηθητικό!$J$2:$N$354,3,FALSE)="","",VLOOKUP(CG774,βοηθητικό!$J$2:$N$354,3,FALSE))</f>
        <v>_</v>
      </c>
      <c r="CI774" s="47"/>
      <c r="CJ774" s="42" t="s">
        <v>16</v>
      </c>
      <c r="CK774" s="43" t="str">
        <f>IF(VLOOKUP(CJ774,βοηθητικό!$J$2:$N$354,3,FALSE)="","",VLOOKUP(CJ774,βοηθητικό!$J$2:$N$354,3,FALSE))</f>
        <v>_</v>
      </c>
      <c r="CL774" s="44"/>
      <c r="CM774" s="45" t="s">
        <v>16</v>
      </c>
      <c r="CN774" s="46" t="str">
        <f>IF(VLOOKUP(CM774,βοηθητικό!$J$2:$N$354,3,FALSE)="","",VLOOKUP(CM774,βοηθητικό!$J$2:$N$354,3,FALSE))</f>
        <v>_</v>
      </c>
      <c r="CO774" s="47"/>
      <c r="CP774" s="42" t="s">
        <v>16</v>
      </c>
      <c r="CQ774" s="43" t="str">
        <f>IF(VLOOKUP(CP774,βοηθητικό!$J$2:$N$354,3,FALSE)="","",VLOOKUP(CP774,βοηθητικό!$J$2:$N$354,3,FALSE))</f>
        <v>_</v>
      </c>
      <c r="CR774" s="44"/>
      <c r="CS774" s="45" t="s">
        <v>16</v>
      </c>
      <c r="CT774" s="46" t="str">
        <f>IF(VLOOKUP(CS774,βοηθητικό!$J$2:$N$354,3,FALSE)="","",VLOOKUP(CS774,βοηθητικό!$J$2:$N$354,3,FALSE))</f>
        <v>_</v>
      </c>
      <c r="CU774" s="47"/>
    </row>
    <row r="775" spans="1:99" x14ac:dyDescent="0.25">
      <c r="A775" s="37">
        <f>--SUBTOTAL(3,$B$3:B774)</f>
        <v>198</v>
      </c>
      <c r="B775" s="2"/>
      <c r="C775" s="3"/>
      <c r="D775" s="55" t="s">
        <v>18</v>
      </c>
      <c r="E775" s="38" t="s">
        <v>16</v>
      </c>
      <c r="F775" s="38"/>
      <c r="G775" s="39" t="str">
        <f t="shared" si="38"/>
        <v>__</v>
      </c>
      <c r="H775" s="40" t="str">
        <f t="shared" si="39"/>
        <v>FALSE</v>
      </c>
      <c r="I775" s="41">
        <f t="shared" si="40"/>
        <v>0</v>
      </c>
      <c r="J775" s="4" t="s">
        <v>16</v>
      </c>
      <c r="K775" s="43" t="str">
        <f>IF(VLOOKUP(J775,βοηθητικό!$J$2:$N$354,3,FALSE)="","",VLOOKUP(J775,βοηθητικό!$J$2:$N$354,3,FALSE))</f>
        <v>_</v>
      </c>
      <c r="L775" s="44"/>
      <c r="M775" s="5" t="s">
        <v>16</v>
      </c>
      <c r="N775" s="46" t="str">
        <f>IF(VLOOKUP(M775,βοηθητικό!$J$2:$N$354,3,FALSE)="","",VLOOKUP(M775,βοηθητικό!$J$2:$N$354,3,FALSE))</f>
        <v>_</v>
      </c>
      <c r="O775" s="47"/>
      <c r="P775" s="4" t="s">
        <v>16</v>
      </c>
      <c r="Q775" s="43" t="str">
        <f>IF(VLOOKUP(P775,βοηθητικό!$J$2:$N$354,3,FALSE)="","",VLOOKUP(P775,βοηθητικό!$J$2:$N$354,3,FALSE))</f>
        <v>_</v>
      </c>
      <c r="R775" s="44"/>
      <c r="S775" s="5" t="s">
        <v>16</v>
      </c>
      <c r="T775" s="46" t="str">
        <f>IF(VLOOKUP(S775,βοηθητικό!$J$2:$N$354,3,FALSE)="","",VLOOKUP(S775,βοηθητικό!$J$2:$N$354,3,FALSE))</f>
        <v>_</v>
      </c>
      <c r="U775" s="47"/>
      <c r="V775" s="4" t="s">
        <v>16</v>
      </c>
      <c r="W775" s="43" t="str">
        <f>IF(VLOOKUP(V775,βοηθητικό!$J$2:$N$354,3,FALSE)="","",VLOOKUP(V775,βοηθητικό!$J$2:$N$354,3,FALSE))</f>
        <v>_</v>
      </c>
      <c r="X775" s="44"/>
      <c r="Y775" s="5" t="s">
        <v>16</v>
      </c>
      <c r="Z775" s="46" t="str">
        <f>IF(VLOOKUP(Y775,βοηθητικό!$J$2:$N$354,3,FALSE)="","",VLOOKUP(Y775,βοηθητικό!$J$2:$N$354,3,FALSE))</f>
        <v>_</v>
      </c>
      <c r="AA775" s="47"/>
      <c r="AB775" s="4" t="s">
        <v>16</v>
      </c>
      <c r="AC775" s="43" t="str">
        <f>IF(VLOOKUP(AB775,βοηθητικό!$J$2:$N$354,3,FALSE)="","",VLOOKUP(AB775,βοηθητικό!$J$2:$N$354,3,FALSE))</f>
        <v>_</v>
      </c>
      <c r="AD775" s="44"/>
      <c r="AE775" s="5" t="s">
        <v>16</v>
      </c>
      <c r="AF775" s="46" t="str">
        <f>IF(VLOOKUP(AE775,βοηθητικό!$J$2:$N$354,3,FALSE)="","",VLOOKUP(AE775,βοηθητικό!$J$2:$N$354,3,FALSE))</f>
        <v>_</v>
      </c>
      <c r="AG775" s="47"/>
      <c r="AH775" s="4" t="s">
        <v>16</v>
      </c>
      <c r="AI775" s="43" t="str">
        <f>IF(VLOOKUP(AH775,βοηθητικό!$J$2:$N$354,3,FALSE)="","",VLOOKUP(AH775,βοηθητικό!$J$2:$N$354,3,FALSE))</f>
        <v>_</v>
      </c>
      <c r="AJ775" s="44"/>
      <c r="AK775" s="5" t="s">
        <v>16</v>
      </c>
      <c r="AL775" s="46" t="str">
        <f>IF(VLOOKUP(AK775,βοηθητικό!$J$2:$N$354,3,FALSE)="","",VLOOKUP(AK775,βοηθητικό!$J$2:$N$354,3,FALSE))</f>
        <v>_</v>
      </c>
      <c r="AM775" s="47"/>
      <c r="AN775" s="4" t="s">
        <v>16</v>
      </c>
      <c r="AO775" s="43" t="str">
        <f>IF(VLOOKUP(AN775,βοηθητικό!$J$2:$N$354,3,FALSE)="","",VLOOKUP(AN775,βοηθητικό!$J$2:$N$354,3,FALSE))</f>
        <v>_</v>
      </c>
      <c r="AP775" s="44"/>
      <c r="AQ775" s="5" t="s">
        <v>16</v>
      </c>
      <c r="AR775" s="46" t="str">
        <f>IF(VLOOKUP(AQ775,βοηθητικό!$J$2:$N$354,3,FALSE)="","",VLOOKUP(AQ775,βοηθητικό!$J$2:$N$354,3,FALSE))</f>
        <v>_</v>
      </c>
      <c r="AS775" s="47"/>
      <c r="AT775" s="4" t="s">
        <v>16</v>
      </c>
      <c r="AU775" s="43" t="str">
        <f>IF(VLOOKUP(AT775,βοηθητικό!$J$2:$N$354,3,FALSE)="","",VLOOKUP(AT775,βοηθητικό!$J$2:$N$354,3,FALSE))</f>
        <v>_</v>
      </c>
      <c r="AV775" s="44"/>
      <c r="AW775" s="5" t="s">
        <v>16</v>
      </c>
      <c r="AX775" s="46" t="str">
        <f>IF(VLOOKUP(AW775,βοηθητικό!$J$2:$N$354,3,FALSE)="","",VLOOKUP(AW775,βοηθητικό!$J$2:$N$354,3,FALSE))</f>
        <v>_</v>
      </c>
      <c r="AY775" s="47"/>
      <c r="AZ775" s="4" t="s">
        <v>16</v>
      </c>
      <c r="BA775" s="43" t="str">
        <f>IF(VLOOKUP(AZ775,βοηθητικό!$J$2:$N$354,3,FALSE)="","",VLOOKUP(AZ775,βοηθητικό!$J$2:$N$354,3,FALSE))</f>
        <v>_</v>
      </c>
      <c r="BB775" s="44"/>
      <c r="BC775" s="45" t="s">
        <v>16</v>
      </c>
      <c r="BD775" s="46" t="str">
        <f>IF(VLOOKUP(BC775,βοηθητικό!$J$2:$N$354,3,FALSE)="","",VLOOKUP(BC775,βοηθητικό!$J$2:$N$354,3,FALSE))</f>
        <v>_</v>
      </c>
      <c r="BE775" s="47"/>
      <c r="BF775" s="42" t="s">
        <v>16</v>
      </c>
      <c r="BG775" s="43" t="str">
        <f>IF(VLOOKUP(BF775,βοηθητικό!$J$2:$N$354,3,FALSE)="","",VLOOKUP(BF775,βοηθητικό!$J$2:$N$354,3,FALSE))</f>
        <v>_</v>
      </c>
      <c r="BH775" s="44"/>
      <c r="BI775" s="45" t="s">
        <v>16</v>
      </c>
      <c r="BJ775" s="46" t="str">
        <f>IF(VLOOKUP(BI775,βοηθητικό!$J$2:$N$354,3,FALSE)="","",VLOOKUP(BI775,βοηθητικό!$J$2:$N$354,3,FALSE))</f>
        <v>_</v>
      </c>
      <c r="BK775" s="47"/>
      <c r="BL775" s="42" t="s">
        <v>16</v>
      </c>
      <c r="BM775" s="43" t="str">
        <f>IF(VLOOKUP(BL775,βοηθητικό!$J$2:$N$354,3,FALSE)="","",VLOOKUP(BL775,βοηθητικό!$J$2:$N$354,3,FALSE))</f>
        <v>_</v>
      </c>
      <c r="BN775" s="44"/>
      <c r="BO775" s="45" t="s">
        <v>16</v>
      </c>
      <c r="BP775" s="46" t="str">
        <f>IF(VLOOKUP(BO775,βοηθητικό!$J$2:$N$354,3,FALSE)="","",VLOOKUP(BO775,βοηθητικό!$J$2:$N$354,3,FALSE))</f>
        <v>_</v>
      </c>
      <c r="BQ775" s="47"/>
      <c r="BR775" s="42" t="s">
        <v>16</v>
      </c>
      <c r="BS775" s="43" t="str">
        <f>IF(VLOOKUP(BR775,βοηθητικό!$J$2:$N$354,3,FALSE)="","",VLOOKUP(BR775,βοηθητικό!$J$2:$N$354,3,FALSE))</f>
        <v>_</v>
      </c>
      <c r="BT775" s="44"/>
      <c r="BU775" s="45" t="s">
        <v>16</v>
      </c>
      <c r="BV775" s="46" t="str">
        <f>IF(VLOOKUP(BU775,βοηθητικό!$J$2:$N$354,3,FALSE)="","",VLOOKUP(BU775,βοηθητικό!$J$2:$N$354,3,FALSE))</f>
        <v>_</v>
      </c>
      <c r="BW775" s="47"/>
      <c r="BX775" s="42" t="s">
        <v>16</v>
      </c>
      <c r="BY775" s="43" t="str">
        <f>IF(VLOOKUP(BX775,βοηθητικό!$J$2:$N$354,3,FALSE)="","",VLOOKUP(BX775,βοηθητικό!$J$2:$N$354,3,FALSE))</f>
        <v>_</v>
      </c>
      <c r="BZ775" s="44"/>
      <c r="CA775" s="45" t="s">
        <v>16</v>
      </c>
      <c r="CB775" s="46" t="str">
        <f>IF(VLOOKUP(CA775,βοηθητικό!$J$2:$N$354,3,FALSE)="","",VLOOKUP(CA775,βοηθητικό!$J$2:$N$354,3,FALSE))</f>
        <v>_</v>
      </c>
      <c r="CC775" s="47"/>
      <c r="CD775" s="42" t="s">
        <v>16</v>
      </c>
      <c r="CE775" s="43" t="str">
        <f>IF(VLOOKUP(CD775,βοηθητικό!$J$2:$N$354,3,FALSE)="","",VLOOKUP(CD775,βοηθητικό!$J$2:$N$354,3,FALSE))</f>
        <v>_</v>
      </c>
      <c r="CF775" s="44"/>
      <c r="CG775" s="45" t="s">
        <v>16</v>
      </c>
      <c r="CH775" s="46" t="str">
        <f>IF(VLOOKUP(CG775,βοηθητικό!$J$2:$N$354,3,FALSE)="","",VLOOKUP(CG775,βοηθητικό!$J$2:$N$354,3,FALSE))</f>
        <v>_</v>
      </c>
      <c r="CI775" s="47"/>
      <c r="CJ775" s="42" t="s">
        <v>16</v>
      </c>
      <c r="CK775" s="43" t="str">
        <f>IF(VLOOKUP(CJ775,βοηθητικό!$J$2:$N$354,3,FALSE)="","",VLOOKUP(CJ775,βοηθητικό!$J$2:$N$354,3,FALSE))</f>
        <v>_</v>
      </c>
      <c r="CL775" s="44"/>
      <c r="CM775" s="45" t="s">
        <v>16</v>
      </c>
      <c r="CN775" s="46" t="str">
        <f>IF(VLOOKUP(CM775,βοηθητικό!$J$2:$N$354,3,FALSE)="","",VLOOKUP(CM775,βοηθητικό!$J$2:$N$354,3,FALSE))</f>
        <v>_</v>
      </c>
      <c r="CO775" s="47"/>
      <c r="CP775" s="42" t="s">
        <v>16</v>
      </c>
      <c r="CQ775" s="43" t="str">
        <f>IF(VLOOKUP(CP775,βοηθητικό!$J$2:$N$354,3,FALSE)="","",VLOOKUP(CP775,βοηθητικό!$J$2:$N$354,3,FALSE))</f>
        <v>_</v>
      </c>
      <c r="CR775" s="44"/>
      <c r="CS775" s="45" t="s">
        <v>16</v>
      </c>
      <c r="CT775" s="46" t="str">
        <f>IF(VLOOKUP(CS775,βοηθητικό!$J$2:$N$354,3,FALSE)="","",VLOOKUP(CS775,βοηθητικό!$J$2:$N$354,3,FALSE))</f>
        <v>_</v>
      </c>
      <c r="CU775" s="47"/>
    </row>
    <row r="776" spans="1:99" x14ac:dyDescent="0.25">
      <c r="A776" s="37">
        <f>--SUBTOTAL(3,$B$3:B775)</f>
        <v>198</v>
      </c>
      <c r="B776" s="2"/>
      <c r="C776" s="3"/>
      <c r="D776" s="55" t="s">
        <v>18</v>
      </c>
      <c r="E776" s="38" t="s">
        <v>16</v>
      </c>
      <c r="F776" s="38"/>
      <c r="G776" s="39" t="str">
        <f t="shared" si="38"/>
        <v>__</v>
      </c>
      <c r="H776" s="40" t="str">
        <f t="shared" si="39"/>
        <v>FALSE</v>
      </c>
      <c r="I776" s="41">
        <f t="shared" si="40"/>
        <v>0</v>
      </c>
      <c r="J776" s="4" t="s">
        <v>16</v>
      </c>
      <c r="K776" s="43" t="str">
        <f>IF(VLOOKUP(J776,βοηθητικό!$J$2:$N$354,3,FALSE)="","",VLOOKUP(J776,βοηθητικό!$J$2:$N$354,3,FALSE))</f>
        <v>_</v>
      </c>
      <c r="L776" s="44"/>
      <c r="M776" s="5" t="s">
        <v>16</v>
      </c>
      <c r="N776" s="46" t="str">
        <f>IF(VLOOKUP(M776,βοηθητικό!$J$2:$N$354,3,FALSE)="","",VLOOKUP(M776,βοηθητικό!$J$2:$N$354,3,FALSE))</f>
        <v>_</v>
      </c>
      <c r="O776" s="47"/>
      <c r="P776" s="4" t="s">
        <v>16</v>
      </c>
      <c r="Q776" s="43" t="str">
        <f>IF(VLOOKUP(P776,βοηθητικό!$J$2:$N$354,3,FALSE)="","",VLOOKUP(P776,βοηθητικό!$J$2:$N$354,3,FALSE))</f>
        <v>_</v>
      </c>
      <c r="R776" s="44"/>
      <c r="S776" s="5" t="s">
        <v>16</v>
      </c>
      <c r="T776" s="46" t="str">
        <f>IF(VLOOKUP(S776,βοηθητικό!$J$2:$N$354,3,FALSE)="","",VLOOKUP(S776,βοηθητικό!$J$2:$N$354,3,FALSE))</f>
        <v>_</v>
      </c>
      <c r="U776" s="47"/>
      <c r="V776" s="4" t="s">
        <v>16</v>
      </c>
      <c r="W776" s="43" t="str">
        <f>IF(VLOOKUP(V776,βοηθητικό!$J$2:$N$354,3,FALSE)="","",VLOOKUP(V776,βοηθητικό!$J$2:$N$354,3,FALSE))</f>
        <v>_</v>
      </c>
      <c r="X776" s="44"/>
      <c r="Y776" s="5" t="s">
        <v>16</v>
      </c>
      <c r="Z776" s="46" t="str">
        <f>IF(VLOOKUP(Y776,βοηθητικό!$J$2:$N$354,3,FALSE)="","",VLOOKUP(Y776,βοηθητικό!$J$2:$N$354,3,FALSE))</f>
        <v>_</v>
      </c>
      <c r="AA776" s="47"/>
      <c r="AB776" s="4" t="s">
        <v>16</v>
      </c>
      <c r="AC776" s="43" t="str">
        <f>IF(VLOOKUP(AB776,βοηθητικό!$J$2:$N$354,3,FALSE)="","",VLOOKUP(AB776,βοηθητικό!$J$2:$N$354,3,FALSE))</f>
        <v>_</v>
      </c>
      <c r="AD776" s="44"/>
      <c r="AE776" s="5" t="s">
        <v>16</v>
      </c>
      <c r="AF776" s="46" t="str">
        <f>IF(VLOOKUP(AE776,βοηθητικό!$J$2:$N$354,3,FALSE)="","",VLOOKUP(AE776,βοηθητικό!$J$2:$N$354,3,FALSE))</f>
        <v>_</v>
      </c>
      <c r="AG776" s="47"/>
      <c r="AH776" s="4" t="s">
        <v>16</v>
      </c>
      <c r="AI776" s="43" t="str">
        <f>IF(VLOOKUP(AH776,βοηθητικό!$J$2:$N$354,3,FALSE)="","",VLOOKUP(AH776,βοηθητικό!$J$2:$N$354,3,FALSE))</f>
        <v>_</v>
      </c>
      <c r="AJ776" s="44"/>
      <c r="AK776" s="5" t="s">
        <v>16</v>
      </c>
      <c r="AL776" s="46" t="str">
        <f>IF(VLOOKUP(AK776,βοηθητικό!$J$2:$N$354,3,FALSE)="","",VLOOKUP(AK776,βοηθητικό!$J$2:$N$354,3,FALSE))</f>
        <v>_</v>
      </c>
      <c r="AM776" s="47"/>
      <c r="AN776" s="4" t="s">
        <v>16</v>
      </c>
      <c r="AO776" s="43" t="str">
        <f>IF(VLOOKUP(AN776,βοηθητικό!$J$2:$N$354,3,FALSE)="","",VLOOKUP(AN776,βοηθητικό!$J$2:$N$354,3,FALSE))</f>
        <v>_</v>
      </c>
      <c r="AP776" s="44"/>
      <c r="AQ776" s="5" t="s">
        <v>16</v>
      </c>
      <c r="AR776" s="46" t="str">
        <f>IF(VLOOKUP(AQ776,βοηθητικό!$J$2:$N$354,3,FALSE)="","",VLOOKUP(AQ776,βοηθητικό!$J$2:$N$354,3,FALSE))</f>
        <v>_</v>
      </c>
      <c r="AS776" s="47"/>
      <c r="AT776" s="4" t="s">
        <v>16</v>
      </c>
      <c r="AU776" s="43" t="str">
        <f>IF(VLOOKUP(AT776,βοηθητικό!$J$2:$N$354,3,FALSE)="","",VLOOKUP(AT776,βοηθητικό!$J$2:$N$354,3,FALSE))</f>
        <v>_</v>
      </c>
      <c r="AV776" s="44"/>
      <c r="AW776" s="5" t="s">
        <v>16</v>
      </c>
      <c r="AX776" s="46" t="str">
        <f>IF(VLOOKUP(AW776,βοηθητικό!$J$2:$N$354,3,FALSE)="","",VLOOKUP(AW776,βοηθητικό!$J$2:$N$354,3,FALSE))</f>
        <v>_</v>
      </c>
      <c r="AY776" s="47"/>
      <c r="AZ776" s="4" t="s">
        <v>16</v>
      </c>
      <c r="BA776" s="43" t="str">
        <f>IF(VLOOKUP(AZ776,βοηθητικό!$J$2:$N$354,3,FALSE)="","",VLOOKUP(AZ776,βοηθητικό!$J$2:$N$354,3,FALSE))</f>
        <v>_</v>
      </c>
      <c r="BB776" s="44"/>
      <c r="BC776" s="45" t="s">
        <v>16</v>
      </c>
      <c r="BD776" s="46" t="str">
        <f>IF(VLOOKUP(BC776,βοηθητικό!$J$2:$N$354,3,FALSE)="","",VLOOKUP(BC776,βοηθητικό!$J$2:$N$354,3,FALSE))</f>
        <v>_</v>
      </c>
      <c r="BE776" s="47"/>
      <c r="BF776" s="42" t="s">
        <v>16</v>
      </c>
      <c r="BG776" s="43" t="str">
        <f>IF(VLOOKUP(BF776,βοηθητικό!$J$2:$N$354,3,FALSE)="","",VLOOKUP(BF776,βοηθητικό!$J$2:$N$354,3,FALSE))</f>
        <v>_</v>
      </c>
      <c r="BH776" s="44"/>
      <c r="BI776" s="45" t="s">
        <v>16</v>
      </c>
      <c r="BJ776" s="46" t="str">
        <f>IF(VLOOKUP(BI776,βοηθητικό!$J$2:$N$354,3,FALSE)="","",VLOOKUP(BI776,βοηθητικό!$J$2:$N$354,3,FALSE))</f>
        <v>_</v>
      </c>
      <c r="BK776" s="47"/>
      <c r="BL776" s="42" t="s">
        <v>16</v>
      </c>
      <c r="BM776" s="43" t="str">
        <f>IF(VLOOKUP(BL776,βοηθητικό!$J$2:$N$354,3,FALSE)="","",VLOOKUP(BL776,βοηθητικό!$J$2:$N$354,3,FALSE))</f>
        <v>_</v>
      </c>
      <c r="BN776" s="44"/>
      <c r="BO776" s="45" t="s">
        <v>16</v>
      </c>
      <c r="BP776" s="46" t="str">
        <f>IF(VLOOKUP(BO776,βοηθητικό!$J$2:$N$354,3,FALSE)="","",VLOOKUP(BO776,βοηθητικό!$J$2:$N$354,3,FALSE))</f>
        <v>_</v>
      </c>
      <c r="BQ776" s="47"/>
      <c r="BR776" s="42" t="s">
        <v>16</v>
      </c>
      <c r="BS776" s="43" t="str">
        <f>IF(VLOOKUP(BR776,βοηθητικό!$J$2:$N$354,3,FALSE)="","",VLOOKUP(BR776,βοηθητικό!$J$2:$N$354,3,FALSE))</f>
        <v>_</v>
      </c>
      <c r="BT776" s="44"/>
      <c r="BU776" s="45" t="s">
        <v>16</v>
      </c>
      <c r="BV776" s="46" t="str">
        <f>IF(VLOOKUP(BU776,βοηθητικό!$J$2:$N$354,3,FALSE)="","",VLOOKUP(BU776,βοηθητικό!$J$2:$N$354,3,FALSE))</f>
        <v>_</v>
      </c>
      <c r="BW776" s="47"/>
      <c r="BX776" s="42" t="s">
        <v>16</v>
      </c>
      <c r="BY776" s="43" t="str">
        <f>IF(VLOOKUP(BX776,βοηθητικό!$J$2:$N$354,3,FALSE)="","",VLOOKUP(BX776,βοηθητικό!$J$2:$N$354,3,FALSE))</f>
        <v>_</v>
      </c>
      <c r="BZ776" s="44"/>
      <c r="CA776" s="45" t="s">
        <v>16</v>
      </c>
      <c r="CB776" s="46" t="str">
        <f>IF(VLOOKUP(CA776,βοηθητικό!$J$2:$N$354,3,FALSE)="","",VLOOKUP(CA776,βοηθητικό!$J$2:$N$354,3,FALSE))</f>
        <v>_</v>
      </c>
      <c r="CC776" s="47"/>
      <c r="CD776" s="42" t="s">
        <v>16</v>
      </c>
      <c r="CE776" s="43" t="str">
        <f>IF(VLOOKUP(CD776,βοηθητικό!$J$2:$N$354,3,FALSE)="","",VLOOKUP(CD776,βοηθητικό!$J$2:$N$354,3,FALSE))</f>
        <v>_</v>
      </c>
      <c r="CF776" s="44"/>
      <c r="CG776" s="45" t="s">
        <v>16</v>
      </c>
      <c r="CH776" s="46" t="str">
        <f>IF(VLOOKUP(CG776,βοηθητικό!$J$2:$N$354,3,FALSE)="","",VLOOKUP(CG776,βοηθητικό!$J$2:$N$354,3,FALSE))</f>
        <v>_</v>
      </c>
      <c r="CI776" s="47"/>
      <c r="CJ776" s="42" t="s">
        <v>16</v>
      </c>
      <c r="CK776" s="43" t="str">
        <f>IF(VLOOKUP(CJ776,βοηθητικό!$J$2:$N$354,3,FALSE)="","",VLOOKUP(CJ776,βοηθητικό!$J$2:$N$354,3,FALSE))</f>
        <v>_</v>
      </c>
      <c r="CL776" s="44"/>
      <c r="CM776" s="45" t="s">
        <v>16</v>
      </c>
      <c r="CN776" s="46" t="str">
        <f>IF(VLOOKUP(CM776,βοηθητικό!$J$2:$N$354,3,FALSE)="","",VLOOKUP(CM776,βοηθητικό!$J$2:$N$354,3,FALSE))</f>
        <v>_</v>
      </c>
      <c r="CO776" s="47"/>
      <c r="CP776" s="42" t="s">
        <v>16</v>
      </c>
      <c r="CQ776" s="43" t="str">
        <f>IF(VLOOKUP(CP776,βοηθητικό!$J$2:$N$354,3,FALSE)="","",VLOOKUP(CP776,βοηθητικό!$J$2:$N$354,3,FALSE))</f>
        <v>_</v>
      </c>
      <c r="CR776" s="44"/>
      <c r="CS776" s="45" t="s">
        <v>16</v>
      </c>
      <c r="CT776" s="46" t="str">
        <f>IF(VLOOKUP(CS776,βοηθητικό!$J$2:$N$354,3,FALSE)="","",VLOOKUP(CS776,βοηθητικό!$J$2:$N$354,3,FALSE))</f>
        <v>_</v>
      </c>
      <c r="CU776" s="47"/>
    </row>
    <row r="777" spans="1:99" x14ac:dyDescent="0.25">
      <c r="A777" s="37">
        <f>--SUBTOTAL(3,$B$3:B776)</f>
        <v>198</v>
      </c>
      <c r="B777" s="2"/>
      <c r="C777" s="3"/>
      <c r="D777" s="55" t="s">
        <v>18</v>
      </c>
      <c r="E777" s="38" t="s">
        <v>16</v>
      </c>
      <c r="F777" s="38"/>
      <c r="G777" s="39" t="str">
        <f t="shared" si="38"/>
        <v>__</v>
      </c>
      <c r="H777" s="40" t="str">
        <f t="shared" si="39"/>
        <v>FALSE</v>
      </c>
      <c r="I777" s="41">
        <f t="shared" si="40"/>
        <v>0</v>
      </c>
      <c r="J777" s="4" t="s">
        <v>16</v>
      </c>
      <c r="K777" s="43" t="str">
        <f>IF(VLOOKUP(J777,βοηθητικό!$J$2:$N$354,3,FALSE)="","",VLOOKUP(J777,βοηθητικό!$J$2:$N$354,3,FALSE))</f>
        <v>_</v>
      </c>
      <c r="L777" s="44"/>
      <c r="M777" s="5" t="s">
        <v>16</v>
      </c>
      <c r="N777" s="46" t="str">
        <f>IF(VLOOKUP(M777,βοηθητικό!$J$2:$N$354,3,FALSE)="","",VLOOKUP(M777,βοηθητικό!$J$2:$N$354,3,FALSE))</f>
        <v>_</v>
      </c>
      <c r="O777" s="47"/>
      <c r="P777" s="4" t="s">
        <v>16</v>
      </c>
      <c r="Q777" s="43" t="str">
        <f>IF(VLOOKUP(P777,βοηθητικό!$J$2:$N$354,3,FALSE)="","",VLOOKUP(P777,βοηθητικό!$J$2:$N$354,3,FALSE))</f>
        <v>_</v>
      </c>
      <c r="R777" s="44"/>
      <c r="S777" s="5" t="s">
        <v>16</v>
      </c>
      <c r="T777" s="46" t="str">
        <f>IF(VLOOKUP(S777,βοηθητικό!$J$2:$N$354,3,FALSE)="","",VLOOKUP(S777,βοηθητικό!$J$2:$N$354,3,FALSE))</f>
        <v>_</v>
      </c>
      <c r="U777" s="47"/>
      <c r="V777" s="4" t="s">
        <v>16</v>
      </c>
      <c r="W777" s="43" t="str">
        <f>IF(VLOOKUP(V777,βοηθητικό!$J$2:$N$354,3,FALSE)="","",VLOOKUP(V777,βοηθητικό!$J$2:$N$354,3,FALSE))</f>
        <v>_</v>
      </c>
      <c r="X777" s="44"/>
      <c r="Y777" s="5" t="s">
        <v>16</v>
      </c>
      <c r="Z777" s="46" t="str">
        <f>IF(VLOOKUP(Y777,βοηθητικό!$J$2:$N$354,3,FALSE)="","",VLOOKUP(Y777,βοηθητικό!$J$2:$N$354,3,FALSE))</f>
        <v>_</v>
      </c>
      <c r="AA777" s="47"/>
      <c r="AB777" s="4" t="s">
        <v>16</v>
      </c>
      <c r="AC777" s="43" t="str">
        <f>IF(VLOOKUP(AB777,βοηθητικό!$J$2:$N$354,3,FALSE)="","",VLOOKUP(AB777,βοηθητικό!$J$2:$N$354,3,FALSE))</f>
        <v>_</v>
      </c>
      <c r="AD777" s="44"/>
      <c r="AE777" s="5" t="s">
        <v>16</v>
      </c>
      <c r="AF777" s="46" t="str">
        <f>IF(VLOOKUP(AE777,βοηθητικό!$J$2:$N$354,3,FALSE)="","",VLOOKUP(AE777,βοηθητικό!$J$2:$N$354,3,FALSE))</f>
        <v>_</v>
      </c>
      <c r="AG777" s="47"/>
      <c r="AH777" s="4" t="s">
        <v>16</v>
      </c>
      <c r="AI777" s="43" t="str">
        <f>IF(VLOOKUP(AH777,βοηθητικό!$J$2:$N$354,3,FALSE)="","",VLOOKUP(AH777,βοηθητικό!$J$2:$N$354,3,FALSE))</f>
        <v>_</v>
      </c>
      <c r="AJ777" s="44"/>
      <c r="AK777" s="5" t="s">
        <v>16</v>
      </c>
      <c r="AL777" s="46" t="str">
        <f>IF(VLOOKUP(AK777,βοηθητικό!$J$2:$N$354,3,FALSE)="","",VLOOKUP(AK777,βοηθητικό!$J$2:$N$354,3,FALSE))</f>
        <v>_</v>
      </c>
      <c r="AM777" s="47"/>
      <c r="AN777" s="4" t="s">
        <v>16</v>
      </c>
      <c r="AO777" s="43" t="str">
        <f>IF(VLOOKUP(AN777,βοηθητικό!$J$2:$N$354,3,FALSE)="","",VLOOKUP(AN777,βοηθητικό!$J$2:$N$354,3,FALSE))</f>
        <v>_</v>
      </c>
      <c r="AP777" s="44"/>
      <c r="AQ777" s="5" t="s">
        <v>16</v>
      </c>
      <c r="AR777" s="46" t="str">
        <f>IF(VLOOKUP(AQ777,βοηθητικό!$J$2:$N$354,3,FALSE)="","",VLOOKUP(AQ777,βοηθητικό!$J$2:$N$354,3,FALSE))</f>
        <v>_</v>
      </c>
      <c r="AS777" s="47"/>
      <c r="AT777" s="4" t="s">
        <v>16</v>
      </c>
      <c r="AU777" s="43" t="str">
        <f>IF(VLOOKUP(AT777,βοηθητικό!$J$2:$N$354,3,FALSE)="","",VLOOKUP(AT777,βοηθητικό!$J$2:$N$354,3,FALSE))</f>
        <v>_</v>
      </c>
      <c r="AV777" s="44"/>
      <c r="AW777" s="5" t="s">
        <v>16</v>
      </c>
      <c r="AX777" s="46" t="str">
        <f>IF(VLOOKUP(AW777,βοηθητικό!$J$2:$N$354,3,FALSE)="","",VLOOKUP(AW777,βοηθητικό!$J$2:$N$354,3,FALSE))</f>
        <v>_</v>
      </c>
      <c r="AY777" s="47"/>
      <c r="AZ777" s="4" t="s">
        <v>16</v>
      </c>
      <c r="BA777" s="43" t="str">
        <f>IF(VLOOKUP(AZ777,βοηθητικό!$J$2:$N$354,3,FALSE)="","",VLOOKUP(AZ777,βοηθητικό!$J$2:$N$354,3,FALSE))</f>
        <v>_</v>
      </c>
      <c r="BB777" s="44"/>
      <c r="BC777" s="45" t="s">
        <v>16</v>
      </c>
      <c r="BD777" s="46" t="str">
        <f>IF(VLOOKUP(BC777,βοηθητικό!$J$2:$N$354,3,FALSE)="","",VLOOKUP(BC777,βοηθητικό!$J$2:$N$354,3,FALSE))</f>
        <v>_</v>
      </c>
      <c r="BE777" s="47"/>
      <c r="BF777" s="42" t="s">
        <v>16</v>
      </c>
      <c r="BG777" s="43" t="str">
        <f>IF(VLOOKUP(BF777,βοηθητικό!$J$2:$N$354,3,FALSE)="","",VLOOKUP(BF777,βοηθητικό!$J$2:$N$354,3,FALSE))</f>
        <v>_</v>
      </c>
      <c r="BH777" s="44"/>
      <c r="BI777" s="45" t="s">
        <v>16</v>
      </c>
      <c r="BJ777" s="46" t="str">
        <f>IF(VLOOKUP(BI777,βοηθητικό!$J$2:$N$354,3,FALSE)="","",VLOOKUP(BI777,βοηθητικό!$J$2:$N$354,3,FALSE))</f>
        <v>_</v>
      </c>
      <c r="BK777" s="47"/>
      <c r="BL777" s="42" t="s">
        <v>16</v>
      </c>
      <c r="BM777" s="43" t="str">
        <f>IF(VLOOKUP(BL777,βοηθητικό!$J$2:$N$354,3,FALSE)="","",VLOOKUP(BL777,βοηθητικό!$J$2:$N$354,3,FALSE))</f>
        <v>_</v>
      </c>
      <c r="BN777" s="44"/>
      <c r="BO777" s="45" t="s">
        <v>16</v>
      </c>
      <c r="BP777" s="46" t="str">
        <f>IF(VLOOKUP(BO777,βοηθητικό!$J$2:$N$354,3,FALSE)="","",VLOOKUP(BO777,βοηθητικό!$J$2:$N$354,3,FALSE))</f>
        <v>_</v>
      </c>
      <c r="BQ777" s="47"/>
      <c r="BR777" s="42" t="s">
        <v>16</v>
      </c>
      <c r="BS777" s="43" t="str">
        <f>IF(VLOOKUP(BR777,βοηθητικό!$J$2:$N$354,3,FALSE)="","",VLOOKUP(BR777,βοηθητικό!$J$2:$N$354,3,FALSE))</f>
        <v>_</v>
      </c>
      <c r="BT777" s="44"/>
      <c r="BU777" s="45" t="s">
        <v>16</v>
      </c>
      <c r="BV777" s="46" t="str">
        <f>IF(VLOOKUP(BU777,βοηθητικό!$J$2:$N$354,3,FALSE)="","",VLOOKUP(BU777,βοηθητικό!$J$2:$N$354,3,FALSE))</f>
        <v>_</v>
      </c>
      <c r="BW777" s="47"/>
      <c r="BX777" s="42" t="s">
        <v>16</v>
      </c>
      <c r="BY777" s="43" t="str">
        <f>IF(VLOOKUP(BX777,βοηθητικό!$J$2:$N$354,3,FALSE)="","",VLOOKUP(BX777,βοηθητικό!$J$2:$N$354,3,FALSE))</f>
        <v>_</v>
      </c>
      <c r="BZ777" s="44"/>
      <c r="CA777" s="45" t="s">
        <v>16</v>
      </c>
      <c r="CB777" s="46" t="str">
        <f>IF(VLOOKUP(CA777,βοηθητικό!$J$2:$N$354,3,FALSE)="","",VLOOKUP(CA777,βοηθητικό!$J$2:$N$354,3,FALSE))</f>
        <v>_</v>
      </c>
      <c r="CC777" s="47"/>
      <c r="CD777" s="42" t="s">
        <v>16</v>
      </c>
      <c r="CE777" s="43" t="str">
        <f>IF(VLOOKUP(CD777,βοηθητικό!$J$2:$N$354,3,FALSE)="","",VLOOKUP(CD777,βοηθητικό!$J$2:$N$354,3,FALSE))</f>
        <v>_</v>
      </c>
      <c r="CF777" s="44"/>
      <c r="CG777" s="45" t="s">
        <v>16</v>
      </c>
      <c r="CH777" s="46" t="str">
        <f>IF(VLOOKUP(CG777,βοηθητικό!$J$2:$N$354,3,FALSE)="","",VLOOKUP(CG777,βοηθητικό!$J$2:$N$354,3,FALSE))</f>
        <v>_</v>
      </c>
      <c r="CI777" s="47"/>
      <c r="CJ777" s="42" t="s">
        <v>16</v>
      </c>
      <c r="CK777" s="43" t="str">
        <f>IF(VLOOKUP(CJ777,βοηθητικό!$J$2:$N$354,3,FALSE)="","",VLOOKUP(CJ777,βοηθητικό!$J$2:$N$354,3,FALSE))</f>
        <v>_</v>
      </c>
      <c r="CL777" s="44"/>
      <c r="CM777" s="45" t="s">
        <v>16</v>
      </c>
      <c r="CN777" s="46" t="str">
        <f>IF(VLOOKUP(CM777,βοηθητικό!$J$2:$N$354,3,FALSE)="","",VLOOKUP(CM777,βοηθητικό!$J$2:$N$354,3,FALSE))</f>
        <v>_</v>
      </c>
      <c r="CO777" s="47"/>
      <c r="CP777" s="42" t="s">
        <v>16</v>
      </c>
      <c r="CQ777" s="43" t="str">
        <f>IF(VLOOKUP(CP777,βοηθητικό!$J$2:$N$354,3,FALSE)="","",VLOOKUP(CP777,βοηθητικό!$J$2:$N$354,3,FALSE))</f>
        <v>_</v>
      </c>
      <c r="CR777" s="44"/>
      <c r="CS777" s="45" t="s">
        <v>16</v>
      </c>
      <c r="CT777" s="46" t="str">
        <f>IF(VLOOKUP(CS777,βοηθητικό!$J$2:$N$354,3,FALSE)="","",VLOOKUP(CS777,βοηθητικό!$J$2:$N$354,3,FALSE))</f>
        <v>_</v>
      </c>
      <c r="CU777" s="47"/>
    </row>
    <row r="778" spans="1:99" x14ac:dyDescent="0.25">
      <c r="A778" s="37">
        <f>--SUBTOTAL(3,$B$3:B777)</f>
        <v>198</v>
      </c>
      <c r="B778" s="2"/>
      <c r="C778" s="3"/>
      <c r="D778" s="55" t="s">
        <v>18</v>
      </c>
      <c r="E778" s="38" t="s">
        <v>16</v>
      </c>
      <c r="F778" s="38"/>
      <c r="G778" s="39" t="str">
        <f t="shared" si="38"/>
        <v>__</v>
      </c>
      <c r="H778" s="40" t="str">
        <f t="shared" si="39"/>
        <v>FALSE</v>
      </c>
      <c r="I778" s="41">
        <f t="shared" si="40"/>
        <v>0</v>
      </c>
      <c r="J778" s="4" t="s">
        <v>16</v>
      </c>
      <c r="K778" s="43" t="str">
        <f>IF(VLOOKUP(J778,βοηθητικό!$J$2:$N$354,3,FALSE)="","",VLOOKUP(J778,βοηθητικό!$J$2:$N$354,3,FALSE))</f>
        <v>_</v>
      </c>
      <c r="L778" s="44"/>
      <c r="M778" s="5" t="s">
        <v>16</v>
      </c>
      <c r="N778" s="46" t="str">
        <f>IF(VLOOKUP(M778,βοηθητικό!$J$2:$N$354,3,FALSE)="","",VLOOKUP(M778,βοηθητικό!$J$2:$N$354,3,FALSE))</f>
        <v>_</v>
      </c>
      <c r="O778" s="47"/>
      <c r="P778" s="4" t="s">
        <v>16</v>
      </c>
      <c r="Q778" s="43" t="str">
        <f>IF(VLOOKUP(P778,βοηθητικό!$J$2:$N$354,3,FALSE)="","",VLOOKUP(P778,βοηθητικό!$J$2:$N$354,3,FALSE))</f>
        <v>_</v>
      </c>
      <c r="R778" s="44"/>
      <c r="S778" s="5" t="s">
        <v>16</v>
      </c>
      <c r="T778" s="46" t="str">
        <f>IF(VLOOKUP(S778,βοηθητικό!$J$2:$N$354,3,FALSE)="","",VLOOKUP(S778,βοηθητικό!$J$2:$N$354,3,FALSE))</f>
        <v>_</v>
      </c>
      <c r="U778" s="47"/>
      <c r="V778" s="4" t="s">
        <v>16</v>
      </c>
      <c r="W778" s="43" t="str">
        <f>IF(VLOOKUP(V778,βοηθητικό!$J$2:$N$354,3,FALSE)="","",VLOOKUP(V778,βοηθητικό!$J$2:$N$354,3,FALSE))</f>
        <v>_</v>
      </c>
      <c r="X778" s="44"/>
      <c r="Y778" s="5" t="s">
        <v>16</v>
      </c>
      <c r="Z778" s="46" t="str">
        <f>IF(VLOOKUP(Y778,βοηθητικό!$J$2:$N$354,3,FALSE)="","",VLOOKUP(Y778,βοηθητικό!$J$2:$N$354,3,FALSE))</f>
        <v>_</v>
      </c>
      <c r="AA778" s="47"/>
      <c r="AB778" s="4" t="s">
        <v>16</v>
      </c>
      <c r="AC778" s="43" t="str">
        <f>IF(VLOOKUP(AB778,βοηθητικό!$J$2:$N$354,3,FALSE)="","",VLOOKUP(AB778,βοηθητικό!$J$2:$N$354,3,FALSE))</f>
        <v>_</v>
      </c>
      <c r="AD778" s="44"/>
      <c r="AE778" s="5" t="s">
        <v>16</v>
      </c>
      <c r="AF778" s="46" t="str">
        <f>IF(VLOOKUP(AE778,βοηθητικό!$J$2:$N$354,3,FALSE)="","",VLOOKUP(AE778,βοηθητικό!$J$2:$N$354,3,FALSE))</f>
        <v>_</v>
      </c>
      <c r="AG778" s="47"/>
      <c r="AH778" s="4" t="s">
        <v>16</v>
      </c>
      <c r="AI778" s="43" t="str">
        <f>IF(VLOOKUP(AH778,βοηθητικό!$J$2:$N$354,3,FALSE)="","",VLOOKUP(AH778,βοηθητικό!$J$2:$N$354,3,FALSE))</f>
        <v>_</v>
      </c>
      <c r="AJ778" s="44"/>
      <c r="AK778" s="5" t="s">
        <v>16</v>
      </c>
      <c r="AL778" s="46" t="str">
        <f>IF(VLOOKUP(AK778,βοηθητικό!$J$2:$N$354,3,FALSE)="","",VLOOKUP(AK778,βοηθητικό!$J$2:$N$354,3,FALSE))</f>
        <v>_</v>
      </c>
      <c r="AM778" s="47"/>
      <c r="AN778" s="4" t="s">
        <v>16</v>
      </c>
      <c r="AO778" s="43" t="str">
        <f>IF(VLOOKUP(AN778,βοηθητικό!$J$2:$N$354,3,FALSE)="","",VLOOKUP(AN778,βοηθητικό!$J$2:$N$354,3,FALSE))</f>
        <v>_</v>
      </c>
      <c r="AP778" s="44"/>
      <c r="AQ778" s="5" t="s">
        <v>16</v>
      </c>
      <c r="AR778" s="46" t="str">
        <f>IF(VLOOKUP(AQ778,βοηθητικό!$J$2:$N$354,3,FALSE)="","",VLOOKUP(AQ778,βοηθητικό!$J$2:$N$354,3,FALSE))</f>
        <v>_</v>
      </c>
      <c r="AS778" s="47"/>
      <c r="AT778" s="4" t="s">
        <v>16</v>
      </c>
      <c r="AU778" s="43" t="str">
        <f>IF(VLOOKUP(AT778,βοηθητικό!$J$2:$N$354,3,FALSE)="","",VLOOKUP(AT778,βοηθητικό!$J$2:$N$354,3,FALSE))</f>
        <v>_</v>
      </c>
      <c r="AV778" s="44"/>
      <c r="AW778" s="5" t="s">
        <v>16</v>
      </c>
      <c r="AX778" s="46" t="str">
        <f>IF(VLOOKUP(AW778,βοηθητικό!$J$2:$N$354,3,FALSE)="","",VLOOKUP(AW778,βοηθητικό!$J$2:$N$354,3,FALSE))</f>
        <v>_</v>
      </c>
      <c r="AY778" s="47"/>
      <c r="AZ778" s="4" t="s">
        <v>16</v>
      </c>
      <c r="BA778" s="43" t="str">
        <f>IF(VLOOKUP(AZ778,βοηθητικό!$J$2:$N$354,3,FALSE)="","",VLOOKUP(AZ778,βοηθητικό!$J$2:$N$354,3,FALSE))</f>
        <v>_</v>
      </c>
      <c r="BB778" s="44"/>
      <c r="BC778" s="45" t="s">
        <v>16</v>
      </c>
      <c r="BD778" s="46" t="str">
        <f>IF(VLOOKUP(BC778,βοηθητικό!$J$2:$N$354,3,FALSE)="","",VLOOKUP(BC778,βοηθητικό!$J$2:$N$354,3,FALSE))</f>
        <v>_</v>
      </c>
      <c r="BE778" s="47"/>
      <c r="BF778" s="42" t="s">
        <v>16</v>
      </c>
      <c r="BG778" s="43" t="str">
        <f>IF(VLOOKUP(BF778,βοηθητικό!$J$2:$N$354,3,FALSE)="","",VLOOKUP(BF778,βοηθητικό!$J$2:$N$354,3,FALSE))</f>
        <v>_</v>
      </c>
      <c r="BH778" s="44"/>
      <c r="BI778" s="45" t="s">
        <v>16</v>
      </c>
      <c r="BJ778" s="46" t="str">
        <f>IF(VLOOKUP(BI778,βοηθητικό!$J$2:$N$354,3,FALSE)="","",VLOOKUP(BI778,βοηθητικό!$J$2:$N$354,3,FALSE))</f>
        <v>_</v>
      </c>
      <c r="BK778" s="47"/>
      <c r="BL778" s="42" t="s">
        <v>16</v>
      </c>
      <c r="BM778" s="43" t="str">
        <f>IF(VLOOKUP(BL778,βοηθητικό!$J$2:$N$354,3,FALSE)="","",VLOOKUP(BL778,βοηθητικό!$J$2:$N$354,3,FALSE))</f>
        <v>_</v>
      </c>
      <c r="BN778" s="44"/>
      <c r="BO778" s="45" t="s">
        <v>16</v>
      </c>
      <c r="BP778" s="46" t="str">
        <f>IF(VLOOKUP(BO778,βοηθητικό!$J$2:$N$354,3,FALSE)="","",VLOOKUP(BO778,βοηθητικό!$J$2:$N$354,3,FALSE))</f>
        <v>_</v>
      </c>
      <c r="BQ778" s="47"/>
      <c r="BR778" s="42" t="s">
        <v>16</v>
      </c>
      <c r="BS778" s="43" t="str">
        <f>IF(VLOOKUP(BR778,βοηθητικό!$J$2:$N$354,3,FALSE)="","",VLOOKUP(BR778,βοηθητικό!$J$2:$N$354,3,FALSE))</f>
        <v>_</v>
      </c>
      <c r="BT778" s="44"/>
      <c r="BU778" s="45" t="s">
        <v>16</v>
      </c>
      <c r="BV778" s="46" t="str">
        <f>IF(VLOOKUP(BU778,βοηθητικό!$J$2:$N$354,3,FALSE)="","",VLOOKUP(BU778,βοηθητικό!$J$2:$N$354,3,FALSE))</f>
        <v>_</v>
      </c>
      <c r="BW778" s="47"/>
      <c r="BX778" s="42" t="s">
        <v>16</v>
      </c>
      <c r="BY778" s="43" t="str">
        <f>IF(VLOOKUP(BX778,βοηθητικό!$J$2:$N$354,3,FALSE)="","",VLOOKUP(BX778,βοηθητικό!$J$2:$N$354,3,FALSE))</f>
        <v>_</v>
      </c>
      <c r="BZ778" s="44"/>
      <c r="CA778" s="45" t="s">
        <v>16</v>
      </c>
      <c r="CB778" s="46" t="str">
        <f>IF(VLOOKUP(CA778,βοηθητικό!$J$2:$N$354,3,FALSE)="","",VLOOKUP(CA778,βοηθητικό!$J$2:$N$354,3,FALSE))</f>
        <v>_</v>
      </c>
      <c r="CC778" s="47"/>
      <c r="CD778" s="42" t="s">
        <v>16</v>
      </c>
      <c r="CE778" s="43" t="str">
        <f>IF(VLOOKUP(CD778,βοηθητικό!$J$2:$N$354,3,FALSE)="","",VLOOKUP(CD778,βοηθητικό!$J$2:$N$354,3,FALSE))</f>
        <v>_</v>
      </c>
      <c r="CF778" s="44"/>
      <c r="CG778" s="45" t="s">
        <v>16</v>
      </c>
      <c r="CH778" s="46" t="str">
        <f>IF(VLOOKUP(CG778,βοηθητικό!$J$2:$N$354,3,FALSE)="","",VLOOKUP(CG778,βοηθητικό!$J$2:$N$354,3,FALSE))</f>
        <v>_</v>
      </c>
      <c r="CI778" s="47"/>
      <c r="CJ778" s="42" t="s">
        <v>16</v>
      </c>
      <c r="CK778" s="43" t="str">
        <f>IF(VLOOKUP(CJ778,βοηθητικό!$J$2:$N$354,3,FALSE)="","",VLOOKUP(CJ778,βοηθητικό!$J$2:$N$354,3,FALSE))</f>
        <v>_</v>
      </c>
      <c r="CL778" s="44"/>
      <c r="CM778" s="45" t="s">
        <v>16</v>
      </c>
      <c r="CN778" s="46" t="str">
        <f>IF(VLOOKUP(CM778,βοηθητικό!$J$2:$N$354,3,FALSE)="","",VLOOKUP(CM778,βοηθητικό!$J$2:$N$354,3,FALSE))</f>
        <v>_</v>
      </c>
      <c r="CO778" s="47"/>
      <c r="CP778" s="42" t="s">
        <v>16</v>
      </c>
      <c r="CQ778" s="43" t="str">
        <f>IF(VLOOKUP(CP778,βοηθητικό!$J$2:$N$354,3,FALSE)="","",VLOOKUP(CP778,βοηθητικό!$J$2:$N$354,3,FALSE))</f>
        <v>_</v>
      </c>
      <c r="CR778" s="44"/>
      <c r="CS778" s="45" t="s">
        <v>16</v>
      </c>
      <c r="CT778" s="46" t="str">
        <f>IF(VLOOKUP(CS778,βοηθητικό!$J$2:$N$354,3,FALSE)="","",VLOOKUP(CS778,βοηθητικό!$J$2:$N$354,3,FALSE))</f>
        <v>_</v>
      </c>
      <c r="CU778" s="47"/>
    </row>
    <row r="779" spans="1:99" x14ac:dyDescent="0.25">
      <c r="A779" s="37">
        <f>--SUBTOTAL(3,$B$3:B778)</f>
        <v>198</v>
      </c>
      <c r="B779" s="2"/>
      <c r="C779" s="3"/>
      <c r="D779" s="55" t="s">
        <v>18</v>
      </c>
      <c r="E779" s="38" t="s">
        <v>16</v>
      </c>
      <c r="F779" s="38"/>
      <c r="G779" s="39" t="str">
        <f t="shared" si="38"/>
        <v>__</v>
      </c>
      <c r="H779" s="40" t="str">
        <f t="shared" si="39"/>
        <v>FALSE</v>
      </c>
      <c r="I779" s="41">
        <f t="shared" si="40"/>
        <v>0</v>
      </c>
      <c r="J779" s="4" t="s">
        <v>16</v>
      </c>
      <c r="K779" s="43" t="str">
        <f>IF(VLOOKUP(J779,βοηθητικό!$J$2:$N$354,3,FALSE)="","",VLOOKUP(J779,βοηθητικό!$J$2:$N$354,3,FALSE))</f>
        <v>_</v>
      </c>
      <c r="L779" s="44"/>
      <c r="M779" s="5" t="s">
        <v>16</v>
      </c>
      <c r="N779" s="46" t="str">
        <f>IF(VLOOKUP(M779,βοηθητικό!$J$2:$N$354,3,FALSE)="","",VLOOKUP(M779,βοηθητικό!$J$2:$N$354,3,FALSE))</f>
        <v>_</v>
      </c>
      <c r="O779" s="47"/>
      <c r="P779" s="4" t="s">
        <v>16</v>
      </c>
      <c r="Q779" s="43" t="str">
        <f>IF(VLOOKUP(P779,βοηθητικό!$J$2:$N$354,3,FALSE)="","",VLOOKUP(P779,βοηθητικό!$J$2:$N$354,3,FALSE))</f>
        <v>_</v>
      </c>
      <c r="R779" s="44"/>
      <c r="S779" s="5" t="s">
        <v>16</v>
      </c>
      <c r="T779" s="46" t="str">
        <f>IF(VLOOKUP(S779,βοηθητικό!$J$2:$N$354,3,FALSE)="","",VLOOKUP(S779,βοηθητικό!$J$2:$N$354,3,FALSE))</f>
        <v>_</v>
      </c>
      <c r="U779" s="47"/>
      <c r="V779" s="4" t="s">
        <v>16</v>
      </c>
      <c r="W779" s="43" t="str">
        <f>IF(VLOOKUP(V779,βοηθητικό!$J$2:$N$354,3,FALSE)="","",VLOOKUP(V779,βοηθητικό!$J$2:$N$354,3,FALSE))</f>
        <v>_</v>
      </c>
      <c r="X779" s="44"/>
      <c r="Y779" s="5" t="s">
        <v>16</v>
      </c>
      <c r="Z779" s="46" t="str">
        <f>IF(VLOOKUP(Y779,βοηθητικό!$J$2:$N$354,3,FALSE)="","",VLOOKUP(Y779,βοηθητικό!$J$2:$N$354,3,FALSE))</f>
        <v>_</v>
      </c>
      <c r="AA779" s="47"/>
      <c r="AB779" s="4" t="s">
        <v>16</v>
      </c>
      <c r="AC779" s="43" t="str">
        <f>IF(VLOOKUP(AB779,βοηθητικό!$J$2:$N$354,3,FALSE)="","",VLOOKUP(AB779,βοηθητικό!$J$2:$N$354,3,FALSE))</f>
        <v>_</v>
      </c>
      <c r="AD779" s="44"/>
      <c r="AE779" s="5" t="s">
        <v>16</v>
      </c>
      <c r="AF779" s="46" t="str">
        <f>IF(VLOOKUP(AE779,βοηθητικό!$J$2:$N$354,3,FALSE)="","",VLOOKUP(AE779,βοηθητικό!$J$2:$N$354,3,FALSE))</f>
        <v>_</v>
      </c>
      <c r="AG779" s="47"/>
      <c r="AH779" s="4" t="s">
        <v>16</v>
      </c>
      <c r="AI779" s="43" t="str">
        <f>IF(VLOOKUP(AH779,βοηθητικό!$J$2:$N$354,3,FALSE)="","",VLOOKUP(AH779,βοηθητικό!$J$2:$N$354,3,FALSE))</f>
        <v>_</v>
      </c>
      <c r="AJ779" s="44"/>
      <c r="AK779" s="5" t="s">
        <v>16</v>
      </c>
      <c r="AL779" s="46" t="str">
        <f>IF(VLOOKUP(AK779,βοηθητικό!$J$2:$N$354,3,FALSE)="","",VLOOKUP(AK779,βοηθητικό!$J$2:$N$354,3,FALSE))</f>
        <v>_</v>
      </c>
      <c r="AM779" s="47"/>
      <c r="AN779" s="4" t="s">
        <v>16</v>
      </c>
      <c r="AO779" s="43" t="str">
        <f>IF(VLOOKUP(AN779,βοηθητικό!$J$2:$N$354,3,FALSE)="","",VLOOKUP(AN779,βοηθητικό!$J$2:$N$354,3,FALSE))</f>
        <v>_</v>
      </c>
      <c r="AP779" s="44"/>
      <c r="AQ779" s="5" t="s">
        <v>16</v>
      </c>
      <c r="AR779" s="46" t="str">
        <f>IF(VLOOKUP(AQ779,βοηθητικό!$J$2:$N$354,3,FALSE)="","",VLOOKUP(AQ779,βοηθητικό!$J$2:$N$354,3,FALSE))</f>
        <v>_</v>
      </c>
      <c r="AS779" s="47"/>
      <c r="AT779" s="4" t="s">
        <v>16</v>
      </c>
      <c r="AU779" s="43" t="str">
        <f>IF(VLOOKUP(AT779,βοηθητικό!$J$2:$N$354,3,FALSE)="","",VLOOKUP(AT779,βοηθητικό!$J$2:$N$354,3,FALSE))</f>
        <v>_</v>
      </c>
      <c r="AV779" s="44"/>
      <c r="AW779" s="5" t="s">
        <v>16</v>
      </c>
      <c r="AX779" s="46" t="str">
        <f>IF(VLOOKUP(AW779,βοηθητικό!$J$2:$N$354,3,FALSE)="","",VLOOKUP(AW779,βοηθητικό!$J$2:$N$354,3,FALSE))</f>
        <v>_</v>
      </c>
      <c r="AY779" s="47"/>
      <c r="AZ779" s="4" t="s">
        <v>16</v>
      </c>
      <c r="BA779" s="43" t="str">
        <f>IF(VLOOKUP(AZ779,βοηθητικό!$J$2:$N$354,3,FALSE)="","",VLOOKUP(AZ779,βοηθητικό!$J$2:$N$354,3,FALSE))</f>
        <v>_</v>
      </c>
      <c r="BB779" s="44"/>
      <c r="BC779" s="45" t="s">
        <v>16</v>
      </c>
      <c r="BD779" s="46" t="str">
        <f>IF(VLOOKUP(BC779,βοηθητικό!$J$2:$N$354,3,FALSE)="","",VLOOKUP(BC779,βοηθητικό!$J$2:$N$354,3,FALSE))</f>
        <v>_</v>
      </c>
      <c r="BE779" s="47"/>
      <c r="BF779" s="42" t="s">
        <v>16</v>
      </c>
      <c r="BG779" s="43" t="str">
        <f>IF(VLOOKUP(BF779,βοηθητικό!$J$2:$N$354,3,FALSE)="","",VLOOKUP(BF779,βοηθητικό!$J$2:$N$354,3,FALSE))</f>
        <v>_</v>
      </c>
      <c r="BH779" s="44"/>
      <c r="BI779" s="45" t="s">
        <v>16</v>
      </c>
      <c r="BJ779" s="46" t="str">
        <f>IF(VLOOKUP(BI779,βοηθητικό!$J$2:$N$354,3,FALSE)="","",VLOOKUP(BI779,βοηθητικό!$J$2:$N$354,3,FALSE))</f>
        <v>_</v>
      </c>
      <c r="BK779" s="47"/>
      <c r="BL779" s="42" t="s">
        <v>16</v>
      </c>
      <c r="BM779" s="43" t="str">
        <f>IF(VLOOKUP(BL779,βοηθητικό!$J$2:$N$354,3,FALSE)="","",VLOOKUP(BL779,βοηθητικό!$J$2:$N$354,3,FALSE))</f>
        <v>_</v>
      </c>
      <c r="BN779" s="44"/>
      <c r="BO779" s="45" t="s">
        <v>16</v>
      </c>
      <c r="BP779" s="46" t="str">
        <f>IF(VLOOKUP(BO779,βοηθητικό!$J$2:$N$354,3,FALSE)="","",VLOOKUP(BO779,βοηθητικό!$J$2:$N$354,3,FALSE))</f>
        <v>_</v>
      </c>
      <c r="BQ779" s="47"/>
      <c r="BR779" s="42" t="s">
        <v>16</v>
      </c>
      <c r="BS779" s="43" t="str">
        <f>IF(VLOOKUP(BR779,βοηθητικό!$J$2:$N$354,3,FALSE)="","",VLOOKUP(BR779,βοηθητικό!$J$2:$N$354,3,FALSE))</f>
        <v>_</v>
      </c>
      <c r="BT779" s="44"/>
      <c r="BU779" s="45" t="s">
        <v>16</v>
      </c>
      <c r="BV779" s="46" t="str">
        <f>IF(VLOOKUP(BU779,βοηθητικό!$J$2:$N$354,3,FALSE)="","",VLOOKUP(BU779,βοηθητικό!$J$2:$N$354,3,FALSE))</f>
        <v>_</v>
      </c>
      <c r="BW779" s="47"/>
      <c r="BX779" s="42" t="s">
        <v>16</v>
      </c>
      <c r="BY779" s="43" t="str">
        <f>IF(VLOOKUP(BX779,βοηθητικό!$J$2:$N$354,3,FALSE)="","",VLOOKUP(BX779,βοηθητικό!$J$2:$N$354,3,FALSE))</f>
        <v>_</v>
      </c>
      <c r="BZ779" s="44"/>
      <c r="CA779" s="45" t="s">
        <v>16</v>
      </c>
      <c r="CB779" s="46" t="str">
        <f>IF(VLOOKUP(CA779,βοηθητικό!$J$2:$N$354,3,FALSE)="","",VLOOKUP(CA779,βοηθητικό!$J$2:$N$354,3,FALSE))</f>
        <v>_</v>
      </c>
      <c r="CC779" s="47"/>
      <c r="CD779" s="42" t="s">
        <v>16</v>
      </c>
      <c r="CE779" s="43" t="str">
        <f>IF(VLOOKUP(CD779,βοηθητικό!$J$2:$N$354,3,FALSE)="","",VLOOKUP(CD779,βοηθητικό!$J$2:$N$354,3,FALSE))</f>
        <v>_</v>
      </c>
      <c r="CF779" s="44"/>
      <c r="CG779" s="45" t="s">
        <v>16</v>
      </c>
      <c r="CH779" s="46" t="str">
        <f>IF(VLOOKUP(CG779,βοηθητικό!$J$2:$N$354,3,FALSE)="","",VLOOKUP(CG779,βοηθητικό!$J$2:$N$354,3,FALSE))</f>
        <v>_</v>
      </c>
      <c r="CI779" s="47"/>
      <c r="CJ779" s="42" t="s">
        <v>16</v>
      </c>
      <c r="CK779" s="43" t="str">
        <f>IF(VLOOKUP(CJ779,βοηθητικό!$J$2:$N$354,3,FALSE)="","",VLOOKUP(CJ779,βοηθητικό!$J$2:$N$354,3,FALSE))</f>
        <v>_</v>
      </c>
      <c r="CL779" s="44"/>
      <c r="CM779" s="45" t="s">
        <v>16</v>
      </c>
      <c r="CN779" s="46" t="str">
        <f>IF(VLOOKUP(CM779,βοηθητικό!$J$2:$N$354,3,FALSE)="","",VLOOKUP(CM779,βοηθητικό!$J$2:$N$354,3,FALSE))</f>
        <v>_</v>
      </c>
      <c r="CO779" s="47"/>
      <c r="CP779" s="42" t="s">
        <v>16</v>
      </c>
      <c r="CQ779" s="43" t="str">
        <f>IF(VLOOKUP(CP779,βοηθητικό!$J$2:$N$354,3,FALSE)="","",VLOOKUP(CP779,βοηθητικό!$J$2:$N$354,3,FALSE))</f>
        <v>_</v>
      </c>
      <c r="CR779" s="44"/>
      <c r="CS779" s="45" t="s">
        <v>16</v>
      </c>
      <c r="CT779" s="46" t="str">
        <f>IF(VLOOKUP(CS779,βοηθητικό!$J$2:$N$354,3,FALSE)="","",VLOOKUP(CS779,βοηθητικό!$J$2:$N$354,3,FALSE))</f>
        <v>_</v>
      </c>
      <c r="CU779" s="47"/>
    </row>
    <row r="780" spans="1:99" x14ac:dyDescent="0.25">
      <c r="A780" s="37">
        <f>--SUBTOTAL(3,$B$3:B779)</f>
        <v>198</v>
      </c>
      <c r="B780" s="2"/>
      <c r="C780" s="3"/>
      <c r="D780" s="55" t="s">
        <v>18</v>
      </c>
      <c r="E780" s="38" t="s">
        <v>16</v>
      </c>
      <c r="F780" s="38"/>
      <c r="G780" s="39" t="str">
        <f t="shared" si="38"/>
        <v>__</v>
      </c>
      <c r="H780" s="40" t="str">
        <f t="shared" si="39"/>
        <v>FALSE</v>
      </c>
      <c r="I780" s="41">
        <f t="shared" si="40"/>
        <v>0</v>
      </c>
      <c r="J780" s="4" t="s">
        <v>16</v>
      </c>
      <c r="K780" s="43" t="str">
        <f>IF(VLOOKUP(J780,βοηθητικό!$J$2:$N$354,3,FALSE)="","",VLOOKUP(J780,βοηθητικό!$J$2:$N$354,3,FALSE))</f>
        <v>_</v>
      </c>
      <c r="L780" s="44"/>
      <c r="M780" s="5" t="s">
        <v>16</v>
      </c>
      <c r="N780" s="46" t="str">
        <f>IF(VLOOKUP(M780,βοηθητικό!$J$2:$N$354,3,FALSE)="","",VLOOKUP(M780,βοηθητικό!$J$2:$N$354,3,FALSE))</f>
        <v>_</v>
      </c>
      <c r="O780" s="47"/>
      <c r="P780" s="4" t="s">
        <v>16</v>
      </c>
      <c r="Q780" s="43" t="str">
        <f>IF(VLOOKUP(P780,βοηθητικό!$J$2:$N$354,3,FALSE)="","",VLOOKUP(P780,βοηθητικό!$J$2:$N$354,3,FALSE))</f>
        <v>_</v>
      </c>
      <c r="R780" s="44"/>
      <c r="S780" s="5" t="s">
        <v>16</v>
      </c>
      <c r="T780" s="46" t="str">
        <f>IF(VLOOKUP(S780,βοηθητικό!$J$2:$N$354,3,FALSE)="","",VLOOKUP(S780,βοηθητικό!$J$2:$N$354,3,FALSE))</f>
        <v>_</v>
      </c>
      <c r="U780" s="47"/>
      <c r="V780" s="4" t="s">
        <v>16</v>
      </c>
      <c r="W780" s="43" t="str">
        <f>IF(VLOOKUP(V780,βοηθητικό!$J$2:$N$354,3,FALSE)="","",VLOOKUP(V780,βοηθητικό!$J$2:$N$354,3,FALSE))</f>
        <v>_</v>
      </c>
      <c r="X780" s="44"/>
      <c r="Y780" s="5" t="s">
        <v>16</v>
      </c>
      <c r="Z780" s="46" t="str">
        <f>IF(VLOOKUP(Y780,βοηθητικό!$J$2:$N$354,3,FALSE)="","",VLOOKUP(Y780,βοηθητικό!$J$2:$N$354,3,FALSE))</f>
        <v>_</v>
      </c>
      <c r="AA780" s="47"/>
      <c r="AB780" s="4" t="s">
        <v>16</v>
      </c>
      <c r="AC780" s="43" t="str">
        <f>IF(VLOOKUP(AB780,βοηθητικό!$J$2:$N$354,3,FALSE)="","",VLOOKUP(AB780,βοηθητικό!$J$2:$N$354,3,FALSE))</f>
        <v>_</v>
      </c>
      <c r="AD780" s="44"/>
      <c r="AE780" s="5" t="s">
        <v>16</v>
      </c>
      <c r="AF780" s="46" t="str">
        <f>IF(VLOOKUP(AE780,βοηθητικό!$J$2:$N$354,3,FALSE)="","",VLOOKUP(AE780,βοηθητικό!$J$2:$N$354,3,FALSE))</f>
        <v>_</v>
      </c>
      <c r="AG780" s="47"/>
      <c r="AH780" s="4" t="s">
        <v>16</v>
      </c>
      <c r="AI780" s="43" t="str">
        <f>IF(VLOOKUP(AH780,βοηθητικό!$J$2:$N$354,3,FALSE)="","",VLOOKUP(AH780,βοηθητικό!$J$2:$N$354,3,FALSE))</f>
        <v>_</v>
      </c>
      <c r="AJ780" s="44"/>
      <c r="AK780" s="5" t="s">
        <v>16</v>
      </c>
      <c r="AL780" s="46" t="str">
        <f>IF(VLOOKUP(AK780,βοηθητικό!$J$2:$N$354,3,FALSE)="","",VLOOKUP(AK780,βοηθητικό!$J$2:$N$354,3,FALSE))</f>
        <v>_</v>
      </c>
      <c r="AM780" s="47"/>
      <c r="AN780" s="4" t="s">
        <v>16</v>
      </c>
      <c r="AO780" s="43" t="str">
        <f>IF(VLOOKUP(AN780,βοηθητικό!$J$2:$N$354,3,FALSE)="","",VLOOKUP(AN780,βοηθητικό!$J$2:$N$354,3,FALSE))</f>
        <v>_</v>
      </c>
      <c r="AP780" s="44"/>
      <c r="AQ780" s="5" t="s">
        <v>16</v>
      </c>
      <c r="AR780" s="46" t="str">
        <f>IF(VLOOKUP(AQ780,βοηθητικό!$J$2:$N$354,3,FALSE)="","",VLOOKUP(AQ780,βοηθητικό!$J$2:$N$354,3,FALSE))</f>
        <v>_</v>
      </c>
      <c r="AS780" s="47"/>
      <c r="AT780" s="4" t="s">
        <v>16</v>
      </c>
      <c r="AU780" s="43" t="str">
        <f>IF(VLOOKUP(AT780,βοηθητικό!$J$2:$N$354,3,FALSE)="","",VLOOKUP(AT780,βοηθητικό!$J$2:$N$354,3,FALSE))</f>
        <v>_</v>
      </c>
      <c r="AV780" s="44"/>
      <c r="AW780" s="5" t="s">
        <v>16</v>
      </c>
      <c r="AX780" s="46" t="str">
        <f>IF(VLOOKUP(AW780,βοηθητικό!$J$2:$N$354,3,FALSE)="","",VLOOKUP(AW780,βοηθητικό!$J$2:$N$354,3,FALSE))</f>
        <v>_</v>
      </c>
      <c r="AY780" s="47"/>
      <c r="AZ780" s="4" t="s">
        <v>16</v>
      </c>
      <c r="BA780" s="43" t="str">
        <f>IF(VLOOKUP(AZ780,βοηθητικό!$J$2:$N$354,3,FALSE)="","",VLOOKUP(AZ780,βοηθητικό!$J$2:$N$354,3,FALSE))</f>
        <v>_</v>
      </c>
      <c r="BB780" s="44"/>
      <c r="BC780" s="45" t="s">
        <v>16</v>
      </c>
      <c r="BD780" s="46" t="str">
        <f>IF(VLOOKUP(BC780,βοηθητικό!$J$2:$N$354,3,FALSE)="","",VLOOKUP(BC780,βοηθητικό!$J$2:$N$354,3,FALSE))</f>
        <v>_</v>
      </c>
      <c r="BE780" s="47"/>
      <c r="BF780" s="42" t="s">
        <v>16</v>
      </c>
      <c r="BG780" s="43" t="str">
        <f>IF(VLOOKUP(BF780,βοηθητικό!$J$2:$N$354,3,FALSE)="","",VLOOKUP(BF780,βοηθητικό!$J$2:$N$354,3,FALSE))</f>
        <v>_</v>
      </c>
      <c r="BH780" s="44"/>
      <c r="BI780" s="45" t="s">
        <v>16</v>
      </c>
      <c r="BJ780" s="46" t="str">
        <f>IF(VLOOKUP(BI780,βοηθητικό!$J$2:$N$354,3,FALSE)="","",VLOOKUP(BI780,βοηθητικό!$J$2:$N$354,3,FALSE))</f>
        <v>_</v>
      </c>
      <c r="BK780" s="47"/>
      <c r="BL780" s="42" t="s">
        <v>16</v>
      </c>
      <c r="BM780" s="43" t="str">
        <f>IF(VLOOKUP(BL780,βοηθητικό!$J$2:$N$354,3,FALSE)="","",VLOOKUP(BL780,βοηθητικό!$J$2:$N$354,3,FALSE))</f>
        <v>_</v>
      </c>
      <c r="BN780" s="44"/>
      <c r="BO780" s="45" t="s">
        <v>16</v>
      </c>
      <c r="BP780" s="46" t="str">
        <f>IF(VLOOKUP(BO780,βοηθητικό!$J$2:$N$354,3,FALSE)="","",VLOOKUP(BO780,βοηθητικό!$J$2:$N$354,3,FALSE))</f>
        <v>_</v>
      </c>
      <c r="BQ780" s="47"/>
      <c r="BR780" s="42" t="s">
        <v>16</v>
      </c>
      <c r="BS780" s="43" t="str">
        <f>IF(VLOOKUP(BR780,βοηθητικό!$J$2:$N$354,3,FALSE)="","",VLOOKUP(BR780,βοηθητικό!$J$2:$N$354,3,FALSE))</f>
        <v>_</v>
      </c>
      <c r="BT780" s="44"/>
      <c r="BU780" s="45" t="s">
        <v>16</v>
      </c>
      <c r="BV780" s="46" t="str">
        <f>IF(VLOOKUP(BU780,βοηθητικό!$J$2:$N$354,3,FALSE)="","",VLOOKUP(BU780,βοηθητικό!$J$2:$N$354,3,FALSE))</f>
        <v>_</v>
      </c>
      <c r="BW780" s="47"/>
      <c r="BX780" s="42" t="s">
        <v>16</v>
      </c>
      <c r="BY780" s="43" t="str">
        <f>IF(VLOOKUP(BX780,βοηθητικό!$J$2:$N$354,3,FALSE)="","",VLOOKUP(BX780,βοηθητικό!$J$2:$N$354,3,FALSE))</f>
        <v>_</v>
      </c>
      <c r="BZ780" s="44"/>
      <c r="CA780" s="45" t="s">
        <v>16</v>
      </c>
      <c r="CB780" s="46" t="str">
        <f>IF(VLOOKUP(CA780,βοηθητικό!$J$2:$N$354,3,FALSE)="","",VLOOKUP(CA780,βοηθητικό!$J$2:$N$354,3,FALSE))</f>
        <v>_</v>
      </c>
      <c r="CC780" s="47"/>
      <c r="CD780" s="42" t="s">
        <v>16</v>
      </c>
      <c r="CE780" s="43" t="str">
        <f>IF(VLOOKUP(CD780,βοηθητικό!$J$2:$N$354,3,FALSE)="","",VLOOKUP(CD780,βοηθητικό!$J$2:$N$354,3,FALSE))</f>
        <v>_</v>
      </c>
      <c r="CF780" s="44"/>
      <c r="CG780" s="45" t="s">
        <v>16</v>
      </c>
      <c r="CH780" s="46" t="str">
        <f>IF(VLOOKUP(CG780,βοηθητικό!$J$2:$N$354,3,FALSE)="","",VLOOKUP(CG780,βοηθητικό!$J$2:$N$354,3,FALSE))</f>
        <v>_</v>
      </c>
      <c r="CI780" s="47"/>
      <c r="CJ780" s="42" t="s">
        <v>16</v>
      </c>
      <c r="CK780" s="43" t="str">
        <f>IF(VLOOKUP(CJ780,βοηθητικό!$J$2:$N$354,3,FALSE)="","",VLOOKUP(CJ780,βοηθητικό!$J$2:$N$354,3,FALSE))</f>
        <v>_</v>
      </c>
      <c r="CL780" s="44"/>
      <c r="CM780" s="45" t="s">
        <v>16</v>
      </c>
      <c r="CN780" s="46" t="str">
        <f>IF(VLOOKUP(CM780,βοηθητικό!$J$2:$N$354,3,FALSE)="","",VLOOKUP(CM780,βοηθητικό!$J$2:$N$354,3,FALSE))</f>
        <v>_</v>
      </c>
      <c r="CO780" s="47"/>
      <c r="CP780" s="42" t="s">
        <v>16</v>
      </c>
      <c r="CQ780" s="43" t="str">
        <f>IF(VLOOKUP(CP780,βοηθητικό!$J$2:$N$354,3,FALSE)="","",VLOOKUP(CP780,βοηθητικό!$J$2:$N$354,3,FALSE))</f>
        <v>_</v>
      </c>
      <c r="CR780" s="44"/>
      <c r="CS780" s="45" t="s">
        <v>16</v>
      </c>
      <c r="CT780" s="46" t="str">
        <f>IF(VLOOKUP(CS780,βοηθητικό!$J$2:$N$354,3,FALSE)="","",VLOOKUP(CS780,βοηθητικό!$J$2:$N$354,3,FALSE))</f>
        <v>_</v>
      </c>
      <c r="CU780" s="47"/>
    </row>
    <row r="781" spans="1:99" x14ac:dyDescent="0.25">
      <c r="A781" s="37">
        <f>--SUBTOTAL(3,$B$3:B780)</f>
        <v>198</v>
      </c>
      <c r="B781" s="2"/>
      <c r="C781" s="3"/>
      <c r="D781" s="55" t="s">
        <v>18</v>
      </c>
      <c r="E781" s="38" t="s">
        <v>16</v>
      </c>
      <c r="F781" s="38"/>
      <c r="G781" s="39" t="str">
        <f t="shared" si="38"/>
        <v>__</v>
      </c>
      <c r="H781" s="40" t="str">
        <f t="shared" si="39"/>
        <v>FALSE</v>
      </c>
      <c r="I781" s="41">
        <f t="shared" si="40"/>
        <v>0</v>
      </c>
      <c r="J781" s="4" t="s">
        <v>16</v>
      </c>
      <c r="K781" s="43" t="str">
        <f>IF(VLOOKUP(J781,βοηθητικό!$J$2:$N$354,3,FALSE)="","",VLOOKUP(J781,βοηθητικό!$J$2:$N$354,3,FALSE))</f>
        <v>_</v>
      </c>
      <c r="L781" s="44"/>
      <c r="M781" s="5" t="s">
        <v>16</v>
      </c>
      <c r="N781" s="46" t="str">
        <f>IF(VLOOKUP(M781,βοηθητικό!$J$2:$N$354,3,FALSE)="","",VLOOKUP(M781,βοηθητικό!$J$2:$N$354,3,FALSE))</f>
        <v>_</v>
      </c>
      <c r="O781" s="47"/>
      <c r="P781" s="4" t="s">
        <v>16</v>
      </c>
      <c r="Q781" s="43" t="str">
        <f>IF(VLOOKUP(P781,βοηθητικό!$J$2:$N$354,3,FALSE)="","",VLOOKUP(P781,βοηθητικό!$J$2:$N$354,3,FALSE))</f>
        <v>_</v>
      </c>
      <c r="R781" s="44"/>
      <c r="S781" s="5" t="s">
        <v>16</v>
      </c>
      <c r="T781" s="46" t="str">
        <f>IF(VLOOKUP(S781,βοηθητικό!$J$2:$N$354,3,FALSE)="","",VLOOKUP(S781,βοηθητικό!$J$2:$N$354,3,FALSE))</f>
        <v>_</v>
      </c>
      <c r="U781" s="47"/>
      <c r="V781" s="4" t="s">
        <v>16</v>
      </c>
      <c r="W781" s="43" t="str">
        <f>IF(VLOOKUP(V781,βοηθητικό!$J$2:$N$354,3,FALSE)="","",VLOOKUP(V781,βοηθητικό!$J$2:$N$354,3,FALSE))</f>
        <v>_</v>
      </c>
      <c r="X781" s="44"/>
      <c r="Y781" s="5" t="s">
        <v>16</v>
      </c>
      <c r="Z781" s="46" t="str">
        <f>IF(VLOOKUP(Y781,βοηθητικό!$J$2:$N$354,3,FALSE)="","",VLOOKUP(Y781,βοηθητικό!$J$2:$N$354,3,FALSE))</f>
        <v>_</v>
      </c>
      <c r="AA781" s="47"/>
      <c r="AB781" s="4" t="s">
        <v>16</v>
      </c>
      <c r="AC781" s="43" t="str">
        <f>IF(VLOOKUP(AB781,βοηθητικό!$J$2:$N$354,3,FALSE)="","",VLOOKUP(AB781,βοηθητικό!$J$2:$N$354,3,FALSE))</f>
        <v>_</v>
      </c>
      <c r="AD781" s="44"/>
      <c r="AE781" s="5" t="s">
        <v>16</v>
      </c>
      <c r="AF781" s="46" t="str">
        <f>IF(VLOOKUP(AE781,βοηθητικό!$J$2:$N$354,3,FALSE)="","",VLOOKUP(AE781,βοηθητικό!$J$2:$N$354,3,FALSE))</f>
        <v>_</v>
      </c>
      <c r="AG781" s="47"/>
      <c r="AH781" s="4" t="s">
        <v>16</v>
      </c>
      <c r="AI781" s="43" t="str">
        <f>IF(VLOOKUP(AH781,βοηθητικό!$J$2:$N$354,3,FALSE)="","",VLOOKUP(AH781,βοηθητικό!$J$2:$N$354,3,FALSE))</f>
        <v>_</v>
      </c>
      <c r="AJ781" s="44"/>
      <c r="AK781" s="5" t="s">
        <v>16</v>
      </c>
      <c r="AL781" s="46" t="str">
        <f>IF(VLOOKUP(AK781,βοηθητικό!$J$2:$N$354,3,FALSE)="","",VLOOKUP(AK781,βοηθητικό!$J$2:$N$354,3,FALSE))</f>
        <v>_</v>
      </c>
      <c r="AM781" s="47"/>
      <c r="AN781" s="4" t="s">
        <v>16</v>
      </c>
      <c r="AO781" s="43" t="str">
        <f>IF(VLOOKUP(AN781,βοηθητικό!$J$2:$N$354,3,FALSE)="","",VLOOKUP(AN781,βοηθητικό!$J$2:$N$354,3,FALSE))</f>
        <v>_</v>
      </c>
      <c r="AP781" s="44"/>
      <c r="AQ781" s="5" t="s">
        <v>16</v>
      </c>
      <c r="AR781" s="46" t="str">
        <f>IF(VLOOKUP(AQ781,βοηθητικό!$J$2:$N$354,3,FALSE)="","",VLOOKUP(AQ781,βοηθητικό!$J$2:$N$354,3,FALSE))</f>
        <v>_</v>
      </c>
      <c r="AS781" s="47"/>
      <c r="AT781" s="4" t="s">
        <v>16</v>
      </c>
      <c r="AU781" s="43" t="str">
        <f>IF(VLOOKUP(AT781,βοηθητικό!$J$2:$N$354,3,FALSE)="","",VLOOKUP(AT781,βοηθητικό!$J$2:$N$354,3,FALSE))</f>
        <v>_</v>
      </c>
      <c r="AV781" s="44"/>
      <c r="AW781" s="5" t="s">
        <v>16</v>
      </c>
      <c r="AX781" s="46" t="str">
        <f>IF(VLOOKUP(AW781,βοηθητικό!$J$2:$N$354,3,FALSE)="","",VLOOKUP(AW781,βοηθητικό!$J$2:$N$354,3,FALSE))</f>
        <v>_</v>
      </c>
      <c r="AY781" s="47"/>
      <c r="AZ781" s="4" t="s">
        <v>16</v>
      </c>
      <c r="BA781" s="43" t="str">
        <f>IF(VLOOKUP(AZ781,βοηθητικό!$J$2:$N$354,3,FALSE)="","",VLOOKUP(AZ781,βοηθητικό!$J$2:$N$354,3,FALSE))</f>
        <v>_</v>
      </c>
      <c r="BB781" s="44"/>
      <c r="BC781" s="45" t="s">
        <v>16</v>
      </c>
      <c r="BD781" s="46" t="str">
        <f>IF(VLOOKUP(BC781,βοηθητικό!$J$2:$N$354,3,FALSE)="","",VLOOKUP(BC781,βοηθητικό!$J$2:$N$354,3,FALSE))</f>
        <v>_</v>
      </c>
      <c r="BE781" s="47"/>
      <c r="BF781" s="42" t="s">
        <v>16</v>
      </c>
      <c r="BG781" s="43" t="str">
        <f>IF(VLOOKUP(BF781,βοηθητικό!$J$2:$N$354,3,FALSE)="","",VLOOKUP(BF781,βοηθητικό!$J$2:$N$354,3,FALSE))</f>
        <v>_</v>
      </c>
      <c r="BH781" s="44"/>
      <c r="BI781" s="45" t="s">
        <v>16</v>
      </c>
      <c r="BJ781" s="46" t="str">
        <f>IF(VLOOKUP(BI781,βοηθητικό!$J$2:$N$354,3,FALSE)="","",VLOOKUP(BI781,βοηθητικό!$J$2:$N$354,3,FALSE))</f>
        <v>_</v>
      </c>
      <c r="BK781" s="47"/>
      <c r="BL781" s="42" t="s">
        <v>16</v>
      </c>
      <c r="BM781" s="43" t="str">
        <f>IF(VLOOKUP(BL781,βοηθητικό!$J$2:$N$354,3,FALSE)="","",VLOOKUP(BL781,βοηθητικό!$J$2:$N$354,3,FALSE))</f>
        <v>_</v>
      </c>
      <c r="BN781" s="44"/>
      <c r="BO781" s="45" t="s">
        <v>16</v>
      </c>
      <c r="BP781" s="46" t="str">
        <f>IF(VLOOKUP(BO781,βοηθητικό!$J$2:$N$354,3,FALSE)="","",VLOOKUP(BO781,βοηθητικό!$J$2:$N$354,3,FALSE))</f>
        <v>_</v>
      </c>
      <c r="BQ781" s="47"/>
      <c r="BR781" s="42" t="s">
        <v>16</v>
      </c>
      <c r="BS781" s="43" t="str">
        <f>IF(VLOOKUP(BR781,βοηθητικό!$J$2:$N$354,3,FALSE)="","",VLOOKUP(BR781,βοηθητικό!$J$2:$N$354,3,FALSE))</f>
        <v>_</v>
      </c>
      <c r="BT781" s="44"/>
      <c r="BU781" s="45" t="s">
        <v>16</v>
      </c>
      <c r="BV781" s="46" t="str">
        <f>IF(VLOOKUP(BU781,βοηθητικό!$J$2:$N$354,3,FALSE)="","",VLOOKUP(BU781,βοηθητικό!$J$2:$N$354,3,FALSE))</f>
        <v>_</v>
      </c>
      <c r="BW781" s="47"/>
      <c r="BX781" s="42" t="s">
        <v>16</v>
      </c>
      <c r="BY781" s="43" t="str">
        <f>IF(VLOOKUP(BX781,βοηθητικό!$J$2:$N$354,3,FALSE)="","",VLOOKUP(BX781,βοηθητικό!$J$2:$N$354,3,FALSE))</f>
        <v>_</v>
      </c>
      <c r="BZ781" s="44"/>
      <c r="CA781" s="45" t="s">
        <v>16</v>
      </c>
      <c r="CB781" s="46" t="str">
        <f>IF(VLOOKUP(CA781,βοηθητικό!$J$2:$N$354,3,FALSE)="","",VLOOKUP(CA781,βοηθητικό!$J$2:$N$354,3,FALSE))</f>
        <v>_</v>
      </c>
      <c r="CC781" s="47"/>
      <c r="CD781" s="42" t="s">
        <v>16</v>
      </c>
      <c r="CE781" s="43" t="str">
        <f>IF(VLOOKUP(CD781,βοηθητικό!$J$2:$N$354,3,FALSE)="","",VLOOKUP(CD781,βοηθητικό!$J$2:$N$354,3,FALSE))</f>
        <v>_</v>
      </c>
      <c r="CF781" s="44"/>
      <c r="CG781" s="45" t="s">
        <v>16</v>
      </c>
      <c r="CH781" s="46" t="str">
        <f>IF(VLOOKUP(CG781,βοηθητικό!$J$2:$N$354,3,FALSE)="","",VLOOKUP(CG781,βοηθητικό!$J$2:$N$354,3,FALSE))</f>
        <v>_</v>
      </c>
      <c r="CI781" s="47"/>
      <c r="CJ781" s="42" t="s">
        <v>16</v>
      </c>
      <c r="CK781" s="43" t="str">
        <f>IF(VLOOKUP(CJ781,βοηθητικό!$J$2:$N$354,3,FALSE)="","",VLOOKUP(CJ781,βοηθητικό!$J$2:$N$354,3,FALSE))</f>
        <v>_</v>
      </c>
      <c r="CL781" s="44"/>
      <c r="CM781" s="45" t="s">
        <v>16</v>
      </c>
      <c r="CN781" s="46" t="str">
        <f>IF(VLOOKUP(CM781,βοηθητικό!$J$2:$N$354,3,FALSE)="","",VLOOKUP(CM781,βοηθητικό!$J$2:$N$354,3,FALSE))</f>
        <v>_</v>
      </c>
      <c r="CO781" s="47"/>
      <c r="CP781" s="42" t="s">
        <v>16</v>
      </c>
      <c r="CQ781" s="43" t="str">
        <f>IF(VLOOKUP(CP781,βοηθητικό!$J$2:$N$354,3,FALSE)="","",VLOOKUP(CP781,βοηθητικό!$J$2:$N$354,3,FALSE))</f>
        <v>_</v>
      </c>
      <c r="CR781" s="44"/>
      <c r="CS781" s="45" t="s">
        <v>16</v>
      </c>
      <c r="CT781" s="46" t="str">
        <f>IF(VLOOKUP(CS781,βοηθητικό!$J$2:$N$354,3,FALSE)="","",VLOOKUP(CS781,βοηθητικό!$J$2:$N$354,3,FALSE))</f>
        <v>_</v>
      </c>
      <c r="CU781" s="47"/>
    </row>
    <row r="782" spans="1:99" x14ac:dyDescent="0.25">
      <c r="A782" s="37">
        <f>--SUBTOTAL(3,$B$3:B781)</f>
        <v>198</v>
      </c>
      <c r="B782" s="2"/>
      <c r="C782" s="3"/>
      <c r="D782" s="55" t="s">
        <v>18</v>
      </c>
      <c r="E782" s="38" t="s">
        <v>16</v>
      </c>
      <c r="F782" s="38"/>
      <c r="G782" s="39" t="str">
        <f t="shared" si="38"/>
        <v>__</v>
      </c>
      <c r="H782" s="40" t="str">
        <f t="shared" si="39"/>
        <v>FALSE</v>
      </c>
      <c r="I782" s="41">
        <f t="shared" si="40"/>
        <v>0</v>
      </c>
      <c r="J782" s="4" t="s">
        <v>16</v>
      </c>
      <c r="K782" s="43" t="str">
        <f>IF(VLOOKUP(J782,βοηθητικό!$J$2:$N$354,3,FALSE)="","",VLOOKUP(J782,βοηθητικό!$J$2:$N$354,3,FALSE))</f>
        <v>_</v>
      </c>
      <c r="L782" s="44"/>
      <c r="M782" s="5" t="s">
        <v>16</v>
      </c>
      <c r="N782" s="46" t="str">
        <f>IF(VLOOKUP(M782,βοηθητικό!$J$2:$N$354,3,FALSE)="","",VLOOKUP(M782,βοηθητικό!$J$2:$N$354,3,FALSE))</f>
        <v>_</v>
      </c>
      <c r="O782" s="47"/>
      <c r="P782" s="4" t="s">
        <v>16</v>
      </c>
      <c r="Q782" s="43" t="str">
        <f>IF(VLOOKUP(P782,βοηθητικό!$J$2:$N$354,3,FALSE)="","",VLOOKUP(P782,βοηθητικό!$J$2:$N$354,3,FALSE))</f>
        <v>_</v>
      </c>
      <c r="R782" s="44"/>
      <c r="S782" s="5" t="s">
        <v>16</v>
      </c>
      <c r="T782" s="46" t="str">
        <f>IF(VLOOKUP(S782,βοηθητικό!$J$2:$N$354,3,FALSE)="","",VLOOKUP(S782,βοηθητικό!$J$2:$N$354,3,FALSE))</f>
        <v>_</v>
      </c>
      <c r="U782" s="47"/>
      <c r="V782" s="4" t="s">
        <v>16</v>
      </c>
      <c r="W782" s="43" t="str">
        <f>IF(VLOOKUP(V782,βοηθητικό!$J$2:$N$354,3,FALSE)="","",VLOOKUP(V782,βοηθητικό!$J$2:$N$354,3,FALSE))</f>
        <v>_</v>
      </c>
      <c r="X782" s="44"/>
      <c r="Y782" s="5" t="s">
        <v>16</v>
      </c>
      <c r="Z782" s="46" t="str">
        <f>IF(VLOOKUP(Y782,βοηθητικό!$J$2:$N$354,3,FALSE)="","",VLOOKUP(Y782,βοηθητικό!$J$2:$N$354,3,FALSE))</f>
        <v>_</v>
      </c>
      <c r="AA782" s="47"/>
      <c r="AB782" s="4" t="s">
        <v>16</v>
      </c>
      <c r="AC782" s="43" t="str">
        <f>IF(VLOOKUP(AB782,βοηθητικό!$J$2:$N$354,3,FALSE)="","",VLOOKUP(AB782,βοηθητικό!$J$2:$N$354,3,FALSE))</f>
        <v>_</v>
      </c>
      <c r="AD782" s="44"/>
      <c r="AE782" s="5" t="s">
        <v>16</v>
      </c>
      <c r="AF782" s="46" t="str">
        <f>IF(VLOOKUP(AE782,βοηθητικό!$J$2:$N$354,3,FALSE)="","",VLOOKUP(AE782,βοηθητικό!$J$2:$N$354,3,FALSE))</f>
        <v>_</v>
      </c>
      <c r="AG782" s="47"/>
      <c r="AH782" s="4" t="s">
        <v>16</v>
      </c>
      <c r="AI782" s="43" t="str">
        <f>IF(VLOOKUP(AH782,βοηθητικό!$J$2:$N$354,3,FALSE)="","",VLOOKUP(AH782,βοηθητικό!$J$2:$N$354,3,FALSE))</f>
        <v>_</v>
      </c>
      <c r="AJ782" s="44"/>
      <c r="AK782" s="5" t="s">
        <v>16</v>
      </c>
      <c r="AL782" s="46" t="str">
        <f>IF(VLOOKUP(AK782,βοηθητικό!$J$2:$N$354,3,FALSE)="","",VLOOKUP(AK782,βοηθητικό!$J$2:$N$354,3,FALSE))</f>
        <v>_</v>
      </c>
      <c r="AM782" s="47"/>
      <c r="AN782" s="4" t="s">
        <v>16</v>
      </c>
      <c r="AO782" s="43" t="str">
        <f>IF(VLOOKUP(AN782,βοηθητικό!$J$2:$N$354,3,FALSE)="","",VLOOKUP(AN782,βοηθητικό!$J$2:$N$354,3,FALSE))</f>
        <v>_</v>
      </c>
      <c r="AP782" s="44"/>
      <c r="AQ782" s="5" t="s">
        <v>16</v>
      </c>
      <c r="AR782" s="46" t="str">
        <f>IF(VLOOKUP(AQ782,βοηθητικό!$J$2:$N$354,3,FALSE)="","",VLOOKUP(AQ782,βοηθητικό!$J$2:$N$354,3,FALSE))</f>
        <v>_</v>
      </c>
      <c r="AS782" s="47"/>
      <c r="AT782" s="4" t="s">
        <v>16</v>
      </c>
      <c r="AU782" s="43" t="str">
        <f>IF(VLOOKUP(AT782,βοηθητικό!$J$2:$N$354,3,FALSE)="","",VLOOKUP(AT782,βοηθητικό!$J$2:$N$354,3,FALSE))</f>
        <v>_</v>
      </c>
      <c r="AV782" s="44"/>
      <c r="AW782" s="5" t="s">
        <v>16</v>
      </c>
      <c r="AX782" s="46" t="str">
        <f>IF(VLOOKUP(AW782,βοηθητικό!$J$2:$N$354,3,FALSE)="","",VLOOKUP(AW782,βοηθητικό!$J$2:$N$354,3,FALSE))</f>
        <v>_</v>
      </c>
      <c r="AY782" s="47"/>
      <c r="AZ782" s="4" t="s">
        <v>16</v>
      </c>
      <c r="BA782" s="43" t="str">
        <f>IF(VLOOKUP(AZ782,βοηθητικό!$J$2:$N$354,3,FALSE)="","",VLOOKUP(AZ782,βοηθητικό!$J$2:$N$354,3,FALSE))</f>
        <v>_</v>
      </c>
      <c r="BB782" s="44"/>
      <c r="BC782" s="45" t="s">
        <v>16</v>
      </c>
      <c r="BD782" s="46" t="str">
        <f>IF(VLOOKUP(BC782,βοηθητικό!$J$2:$N$354,3,FALSE)="","",VLOOKUP(BC782,βοηθητικό!$J$2:$N$354,3,FALSE))</f>
        <v>_</v>
      </c>
      <c r="BE782" s="47"/>
      <c r="BF782" s="42" t="s">
        <v>16</v>
      </c>
      <c r="BG782" s="43" t="str">
        <f>IF(VLOOKUP(BF782,βοηθητικό!$J$2:$N$354,3,FALSE)="","",VLOOKUP(BF782,βοηθητικό!$J$2:$N$354,3,FALSE))</f>
        <v>_</v>
      </c>
      <c r="BH782" s="44"/>
      <c r="BI782" s="45" t="s">
        <v>16</v>
      </c>
      <c r="BJ782" s="46" t="str">
        <f>IF(VLOOKUP(BI782,βοηθητικό!$J$2:$N$354,3,FALSE)="","",VLOOKUP(BI782,βοηθητικό!$J$2:$N$354,3,FALSE))</f>
        <v>_</v>
      </c>
      <c r="BK782" s="47"/>
      <c r="BL782" s="42" t="s">
        <v>16</v>
      </c>
      <c r="BM782" s="43" t="str">
        <f>IF(VLOOKUP(BL782,βοηθητικό!$J$2:$N$354,3,FALSE)="","",VLOOKUP(BL782,βοηθητικό!$J$2:$N$354,3,FALSE))</f>
        <v>_</v>
      </c>
      <c r="BN782" s="44"/>
      <c r="BO782" s="45" t="s">
        <v>16</v>
      </c>
      <c r="BP782" s="46" t="str">
        <f>IF(VLOOKUP(BO782,βοηθητικό!$J$2:$N$354,3,FALSE)="","",VLOOKUP(BO782,βοηθητικό!$J$2:$N$354,3,FALSE))</f>
        <v>_</v>
      </c>
      <c r="BQ782" s="47"/>
      <c r="BR782" s="42" t="s">
        <v>16</v>
      </c>
      <c r="BS782" s="43" t="str">
        <f>IF(VLOOKUP(BR782,βοηθητικό!$J$2:$N$354,3,FALSE)="","",VLOOKUP(BR782,βοηθητικό!$J$2:$N$354,3,FALSE))</f>
        <v>_</v>
      </c>
      <c r="BT782" s="44"/>
      <c r="BU782" s="45" t="s">
        <v>16</v>
      </c>
      <c r="BV782" s="46" t="str">
        <f>IF(VLOOKUP(BU782,βοηθητικό!$J$2:$N$354,3,FALSE)="","",VLOOKUP(BU782,βοηθητικό!$J$2:$N$354,3,FALSE))</f>
        <v>_</v>
      </c>
      <c r="BW782" s="47"/>
      <c r="BX782" s="42" t="s">
        <v>16</v>
      </c>
      <c r="BY782" s="43" t="str">
        <f>IF(VLOOKUP(BX782,βοηθητικό!$J$2:$N$354,3,FALSE)="","",VLOOKUP(BX782,βοηθητικό!$J$2:$N$354,3,FALSE))</f>
        <v>_</v>
      </c>
      <c r="BZ782" s="44"/>
      <c r="CA782" s="45" t="s">
        <v>16</v>
      </c>
      <c r="CB782" s="46" t="str">
        <f>IF(VLOOKUP(CA782,βοηθητικό!$J$2:$N$354,3,FALSE)="","",VLOOKUP(CA782,βοηθητικό!$J$2:$N$354,3,FALSE))</f>
        <v>_</v>
      </c>
      <c r="CC782" s="47"/>
      <c r="CD782" s="42" t="s">
        <v>16</v>
      </c>
      <c r="CE782" s="43" t="str">
        <f>IF(VLOOKUP(CD782,βοηθητικό!$J$2:$N$354,3,FALSE)="","",VLOOKUP(CD782,βοηθητικό!$J$2:$N$354,3,FALSE))</f>
        <v>_</v>
      </c>
      <c r="CF782" s="44"/>
      <c r="CG782" s="45" t="s">
        <v>16</v>
      </c>
      <c r="CH782" s="46" t="str">
        <f>IF(VLOOKUP(CG782,βοηθητικό!$J$2:$N$354,3,FALSE)="","",VLOOKUP(CG782,βοηθητικό!$J$2:$N$354,3,FALSE))</f>
        <v>_</v>
      </c>
      <c r="CI782" s="47"/>
      <c r="CJ782" s="42" t="s">
        <v>16</v>
      </c>
      <c r="CK782" s="43" t="str">
        <f>IF(VLOOKUP(CJ782,βοηθητικό!$J$2:$N$354,3,FALSE)="","",VLOOKUP(CJ782,βοηθητικό!$J$2:$N$354,3,FALSE))</f>
        <v>_</v>
      </c>
      <c r="CL782" s="44"/>
      <c r="CM782" s="45" t="s">
        <v>16</v>
      </c>
      <c r="CN782" s="46" t="str">
        <f>IF(VLOOKUP(CM782,βοηθητικό!$J$2:$N$354,3,FALSE)="","",VLOOKUP(CM782,βοηθητικό!$J$2:$N$354,3,FALSE))</f>
        <v>_</v>
      </c>
      <c r="CO782" s="47"/>
      <c r="CP782" s="42" t="s">
        <v>16</v>
      </c>
      <c r="CQ782" s="43" t="str">
        <f>IF(VLOOKUP(CP782,βοηθητικό!$J$2:$N$354,3,FALSE)="","",VLOOKUP(CP782,βοηθητικό!$J$2:$N$354,3,FALSE))</f>
        <v>_</v>
      </c>
      <c r="CR782" s="44"/>
      <c r="CS782" s="45" t="s">
        <v>16</v>
      </c>
      <c r="CT782" s="46" t="str">
        <f>IF(VLOOKUP(CS782,βοηθητικό!$J$2:$N$354,3,FALSE)="","",VLOOKUP(CS782,βοηθητικό!$J$2:$N$354,3,FALSE))</f>
        <v>_</v>
      </c>
      <c r="CU782" s="47"/>
    </row>
    <row r="783" spans="1:99" x14ac:dyDescent="0.25">
      <c r="A783" s="37">
        <f>--SUBTOTAL(3,$B$3:B782)</f>
        <v>198</v>
      </c>
      <c r="B783" s="2"/>
      <c r="C783" s="3"/>
      <c r="D783" s="55" t="s">
        <v>18</v>
      </c>
      <c r="E783" s="38" t="s">
        <v>16</v>
      </c>
      <c r="F783" s="38"/>
      <c r="G783" s="39" t="str">
        <f t="shared" si="38"/>
        <v>__</v>
      </c>
      <c r="H783" s="40" t="str">
        <f t="shared" si="39"/>
        <v>FALSE</v>
      </c>
      <c r="I783" s="41">
        <f t="shared" si="40"/>
        <v>0</v>
      </c>
      <c r="J783" s="4" t="s">
        <v>16</v>
      </c>
      <c r="K783" s="43" t="str">
        <f>IF(VLOOKUP(J783,βοηθητικό!$J$2:$N$354,3,FALSE)="","",VLOOKUP(J783,βοηθητικό!$J$2:$N$354,3,FALSE))</f>
        <v>_</v>
      </c>
      <c r="L783" s="44"/>
      <c r="M783" s="5" t="s">
        <v>16</v>
      </c>
      <c r="N783" s="46" t="str">
        <f>IF(VLOOKUP(M783,βοηθητικό!$J$2:$N$354,3,FALSE)="","",VLOOKUP(M783,βοηθητικό!$J$2:$N$354,3,FALSE))</f>
        <v>_</v>
      </c>
      <c r="O783" s="47"/>
      <c r="P783" s="4" t="s">
        <v>16</v>
      </c>
      <c r="Q783" s="43" t="str">
        <f>IF(VLOOKUP(P783,βοηθητικό!$J$2:$N$354,3,FALSE)="","",VLOOKUP(P783,βοηθητικό!$J$2:$N$354,3,FALSE))</f>
        <v>_</v>
      </c>
      <c r="R783" s="44"/>
      <c r="S783" s="5" t="s">
        <v>16</v>
      </c>
      <c r="T783" s="46" t="str">
        <f>IF(VLOOKUP(S783,βοηθητικό!$J$2:$N$354,3,FALSE)="","",VLOOKUP(S783,βοηθητικό!$J$2:$N$354,3,FALSE))</f>
        <v>_</v>
      </c>
      <c r="U783" s="47"/>
      <c r="V783" s="4" t="s">
        <v>16</v>
      </c>
      <c r="W783" s="43" t="str">
        <f>IF(VLOOKUP(V783,βοηθητικό!$J$2:$N$354,3,FALSE)="","",VLOOKUP(V783,βοηθητικό!$J$2:$N$354,3,FALSE))</f>
        <v>_</v>
      </c>
      <c r="X783" s="44"/>
      <c r="Y783" s="5" t="s">
        <v>16</v>
      </c>
      <c r="Z783" s="46" t="str">
        <f>IF(VLOOKUP(Y783,βοηθητικό!$J$2:$N$354,3,FALSE)="","",VLOOKUP(Y783,βοηθητικό!$J$2:$N$354,3,FALSE))</f>
        <v>_</v>
      </c>
      <c r="AA783" s="47"/>
      <c r="AB783" s="4" t="s">
        <v>16</v>
      </c>
      <c r="AC783" s="43" t="str">
        <f>IF(VLOOKUP(AB783,βοηθητικό!$J$2:$N$354,3,FALSE)="","",VLOOKUP(AB783,βοηθητικό!$J$2:$N$354,3,FALSE))</f>
        <v>_</v>
      </c>
      <c r="AD783" s="44"/>
      <c r="AE783" s="5" t="s">
        <v>16</v>
      </c>
      <c r="AF783" s="46" t="str">
        <f>IF(VLOOKUP(AE783,βοηθητικό!$J$2:$N$354,3,FALSE)="","",VLOOKUP(AE783,βοηθητικό!$J$2:$N$354,3,FALSE))</f>
        <v>_</v>
      </c>
      <c r="AG783" s="47"/>
      <c r="AH783" s="4" t="s">
        <v>16</v>
      </c>
      <c r="AI783" s="43" t="str">
        <f>IF(VLOOKUP(AH783,βοηθητικό!$J$2:$N$354,3,FALSE)="","",VLOOKUP(AH783,βοηθητικό!$J$2:$N$354,3,FALSE))</f>
        <v>_</v>
      </c>
      <c r="AJ783" s="44"/>
      <c r="AK783" s="5" t="s">
        <v>16</v>
      </c>
      <c r="AL783" s="46" t="str">
        <f>IF(VLOOKUP(AK783,βοηθητικό!$J$2:$N$354,3,FALSE)="","",VLOOKUP(AK783,βοηθητικό!$J$2:$N$354,3,FALSE))</f>
        <v>_</v>
      </c>
      <c r="AM783" s="47"/>
      <c r="AN783" s="4" t="s">
        <v>16</v>
      </c>
      <c r="AO783" s="43" t="str">
        <f>IF(VLOOKUP(AN783,βοηθητικό!$J$2:$N$354,3,FALSE)="","",VLOOKUP(AN783,βοηθητικό!$J$2:$N$354,3,FALSE))</f>
        <v>_</v>
      </c>
      <c r="AP783" s="44"/>
      <c r="AQ783" s="5" t="s">
        <v>16</v>
      </c>
      <c r="AR783" s="46" t="str">
        <f>IF(VLOOKUP(AQ783,βοηθητικό!$J$2:$N$354,3,FALSE)="","",VLOOKUP(AQ783,βοηθητικό!$J$2:$N$354,3,FALSE))</f>
        <v>_</v>
      </c>
      <c r="AS783" s="47"/>
      <c r="AT783" s="4" t="s">
        <v>16</v>
      </c>
      <c r="AU783" s="43" t="str">
        <f>IF(VLOOKUP(AT783,βοηθητικό!$J$2:$N$354,3,FALSE)="","",VLOOKUP(AT783,βοηθητικό!$J$2:$N$354,3,FALSE))</f>
        <v>_</v>
      </c>
      <c r="AV783" s="44"/>
      <c r="AW783" s="5" t="s">
        <v>16</v>
      </c>
      <c r="AX783" s="46" t="str">
        <f>IF(VLOOKUP(AW783,βοηθητικό!$J$2:$N$354,3,FALSE)="","",VLOOKUP(AW783,βοηθητικό!$J$2:$N$354,3,FALSE))</f>
        <v>_</v>
      </c>
      <c r="AY783" s="47"/>
      <c r="AZ783" s="4" t="s">
        <v>16</v>
      </c>
      <c r="BA783" s="43" t="str">
        <f>IF(VLOOKUP(AZ783,βοηθητικό!$J$2:$N$354,3,FALSE)="","",VLOOKUP(AZ783,βοηθητικό!$J$2:$N$354,3,FALSE))</f>
        <v>_</v>
      </c>
      <c r="BB783" s="44"/>
      <c r="BC783" s="45" t="s">
        <v>16</v>
      </c>
      <c r="BD783" s="46" t="str">
        <f>IF(VLOOKUP(BC783,βοηθητικό!$J$2:$N$354,3,FALSE)="","",VLOOKUP(BC783,βοηθητικό!$J$2:$N$354,3,FALSE))</f>
        <v>_</v>
      </c>
      <c r="BE783" s="47"/>
      <c r="BF783" s="42" t="s">
        <v>16</v>
      </c>
      <c r="BG783" s="43" t="str">
        <f>IF(VLOOKUP(BF783,βοηθητικό!$J$2:$N$354,3,FALSE)="","",VLOOKUP(BF783,βοηθητικό!$J$2:$N$354,3,FALSE))</f>
        <v>_</v>
      </c>
      <c r="BH783" s="44"/>
      <c r="BI783" s="45" t="s">
        <v>16</v>
      </c>
      <c r="BJ783" s="46" t="str">
        <f>IF(VLOOKUP(BI783,βοηθητικό!$J$2:$N$354,3,FALSE)="","",VLOOKUP(BI783,βοηθητικό!$J$2:$N$354,3,FALSE))</f>
        <v>_</v>
      </c>
      <c r="BK783" s="47"/>
      <c r="BL783" s="42" t="s">
        <v>16</v>
      </c>
      <c r="BM783" s="43" t="str">
        <f>IF(VLOOKUP(BL783,βοηθητικό!$J$2:$N$354,3,FALSE)="","",VLOOKUP(BL783,βοηθητικό!$J$2:$N$354,3,FALSE))</f>
        <v>_</v>
      </c>
      <c r="BN783" s="44"/>
      <c r="BO783" s="45" t="s">
        <v>16</v>
      </c>
      <c r="BP783" s="46" t="str">
        <f>IF(VLOOKUP(BO783,βοηθητικό!$J$2:$N$354,3,FALSE)="","",VLOOKUP(BO783,βοηθητικό!$J$2:$N$354,3,FALSE))</f>
        <v>_</v>
      </c>
      <c r="BQ783" s="47"/>
      <c r="BR783" s="42" t="s">
        <v>16</v>
      </c>
      <c r="BS783" s="43" t="str">
        <f>IF(VLOOKUP(BR783,βοηθητικό!$J$2:$N$354,3,FALSE)="","",VLOOKUP(BR783,βοηθητικό!$J$2:$N$354,3,FALSE))</f>
        <v>_</v>
      </c>
      <c r="BT783" s="44"/>
      <c r="BU783" s="45" t="s">
        <v>16</v>
      </c>
      <c r="BV783" s="46" t="str">
        <f>IF(VLOOKUP(BU783,βοηθητικό!$J$2:$N$354,3,FALSE)="","",VLOOKUP(BU783,βοηθητικό!$J$2:$N$354,3,FALSE))</f>
        <v>_</v>
      </c>
      <c r="BW783" s="47"/>
      <c r="BX783" s="42" t="s">
        <v>16</v>
      </c>
      <c r="BY783" s="43" t="str">
        <f>IF(VLOOKUP(BX783,βοηθητικό!$J$2:$N$354,3,FALSE)="","",VLOOKUP(BX783,βοηθητικό!$J$2:$N$354,3,FALSE))</f>
        <v>_</v>
      </c>
      <c r="BZ783" s="44"/>
      <c r="CA783" s="45" t="s">
        <v>16</v>
      </c>
      <c r="CB783" s="46" t="str">
        <f>IF(VLOOKUP(CA783,βοηθητικό!$J$2:$N$354,3,FALSE)="","",VLOOKUP(CA783,βοηθητικό!$J$2:$N$354,3,FALSE))</f>
        <v>_</v>
      </c>
      <c r="CC783" s="47"/>
      <c r="CD783" s="42" t="s">
        <v>16</v>
      </c>
      <c r="CE783" s="43" t="str">
        <f>IF(VLOOKUP(CD783,βοηθητικό!$J$2:$N$354,3,FALSE)="","",VLOOKUP(CD783,βοηθητικό!$J$2:$N$354,3,FALSE))</f>
        <v>_</v>
      </c>
      <c r="CF783" s="44"/>
      <c r="CG783" s="45" t="s">
        <v>16</v>
      </c>
      <c r="CH783" s="46" t="str">
        <f>IF(VLOOKUP(CG783,βοηθητικό!$J$2:$N$354,3,FALSE)="","",VLOOKUP(CG783,βοηθητικό!$J$2:$N$354,3,FALSE))</f>
        <v>_</v>
      </c>
      <c r="CI783" s="47"/>
      <c r="CJ783" s="42" t="s">
        <v>16</v>
      </c>
      <c r="CK783" s="43" t="str">
        <f>IF(VLOOKUP(CJ783,βοηθητικό!$J$2:$N$354,3,FALSE)="","",VLOOKUP(CJ783,βοηθητικό!$J$2:$N$354,3,FALSE))</f>
        <v>_</v>
      </c>
      <c r="CL783" s="44"/>
      <c r="CM783" s="45" t="s">
        <v>16</v>
      </c>
      <c r="CN783" s="46" t="str">
        <f>IF(VLOOKUP(CM783,βοηθητικό!$J$2:$N$354,3,FALSE)="","",VLOOKUP(CM783,βοηθητικό!$J$2:$N$354,3,FALSE))</f>
        <v>_</v>
      </c>
      <c r="CO783" s="47"/>
      <c r="CP783" s="42" t="s">
        <v>16</v>
      </c>
      <c r="CQ783" s="43" t="str">
        <f>IF(VLOOKUP(CP783,βοηθητικό!$J$2:$N$354,3,FALSE)="","",VLOOKUP(CP783,βοηθητικό!$J$2:$N$354,3,FALSE))</f>
        <v>_</v>
      </c>
      <c r="CR783" s="44"/>
      <c r="CS783" s="45" t="s">
        <v>16</v>
      </c>
      <c r="CT783" s="46" t="str">
        <f>IF(VLOOKUP(CS783,βοηθητικό!$J$2:$N$354,3,FALSE)="","",VLOOKUP(CS783,βοηθητικό!$J$2:$N$354,3,FALSE))</f>
        <v>_</v>
      </c>
      <c r="CU783" s="47"/>
    </row>
    <row r="784" spans="1:99" x14ac:dyDescent="0.25">
      <c r="A784" s="37">
        <f>--SUBTOTAL(3,$B$3:B783)</f>
        <v>198</v>
      </c>
      <c r="B784" s="2"/>
      <c r="C784" s="3"/>
      <c r="D784" s="55" t="s">
        <v>18</v>
      </c>
      <c r="E784" s="38" t="s">
        <v>16</v>
      </c>
      <c r="F784" s="38"/>
      <c r="G784" s="39" t="str">
        <f t="shared" si="38"/>
        <v>__</v>
      </c>
      <c r="H784" s="40" t="str">
        <f t="shared" si="39"/>
        <v>FALSE</v>
      </c>
      <c r="I784" s="41">
        <f t="shared" si="40"/>
        <v>0</v>
      </c>
      <c r="J784" s="4" t="s">
        <v>16</v>
      </c>
      <c r="K784" s="43" t="str">
        <f>IF(VLOOKUP(J784,βοηθητικό!$J$2:$N$354,3,FALSE)="","",VLOOKUP(J784,βοηθητικό!$J$2:$N$354,3,FALSE))</f>
        <v>_</v>
      </c>
      <c r="L784" s="44"/>
      <c r="M784" s="5" t="s">
        <v>16</v>
      </c>
      <c r="N784" s="46" t="str">
        <f>IF(VLOOKUP(M784,βοηθητικό!$J$2:$N$354,3,FALSE)="","",VLOOKUP(M784,βοηθητικό!$J$2:$N$354,3,FALSE))</f>
        <v>_</v>
      </c>
      <c r="O784" s="47"/>
      <c r="P784" s="4" t="s">
        <v>16</v>
      </c>
      <c r="Q784" s="43" t="str">
        <f>IF(VLOOKUP(P784,βοηθητικό!$J$2:$N$354,3,FALSE)="","",VLOOKUP(P784,βοηθητικό!$J$2:$N$354,3,FALSE))</f>
        <v>_</v>
      </c>
      <c r="R784" s="44"/>
      <c r="S784" s="5" t="s">
        <v>16</v>
      </c>
      <c r="T784" s="46" t="str">
        <f>IF(VLOOKUP(S784,βοηθητικό!$J$2:$N$354,3,FALSE)="","",VLOOKUP(S784,βοηθητικό!$J$2:$N$354,3,FALSE))</f>
        <v>_</v>
      </c>
      <c r="U784" s="47"/>
      <c r="V784" s="4" t="s">
        <v>16</v>
      </c>
      <c r="W784" s="43" t="str">
        <f>IF(VLOOKUP(V784,βοηθητικό!$J$2:$N$354,3,FALSE)="","",VLOOKUP(V784,βοηθητικό!$J$2:$N$354,3,FALSE))</f>
        <v>_</v>
      </c>
      <c r="X784" s="44"/>
      <c r="Y784" s="5" t="s">
        <v>16</v>
      </c>
      <c r="Z784" s="46" t="str">
        <f>IF(VLOOKUP(Y784,βοηθητικό!$J$2:$N$354,3,FALSE)="","",VLOOKUP(Y784,βοηθητικό!$J$2:$N$354,3,FALSE))</f>
        <v>_</v>
      </c>
      <c r="AA784" s="47"/>
      <c r="AB784" s="4" t="s">
        <v>16</v>
      </c>
      <c r="AC784" s="43" t="str">
        <f>IF(VLOOKUP(AB784,βοηθητικό!$J$2:$N$354,3,FALSE)="","",VLOOKUP(AB784,βοηθητικό!$J$2:$N$354,3,FALSE))</f>
        <v>_</v>
      </c>
      <c r="AD784" s="44"/>
      <c r="AE784" s="5" t="s">
        <v>16</v>
      </c>
      <c r="AF784" s="46" t="str">
        <f>IF(VLOOKUP(AE784,βοηθητικό!$J$2:$N$354,3,FALSE)="","",VLOOKUP(AE784,βοηθητικό!$J$2:$N$354,3,FALSE))</f>
        <v>_</v>
      </c>
      <c r="AG784" s="47"/>
      <c r="AH784" s="4" t="s">
        <v>16</v>
      </c>
      <c r="AI784" s="43" t="str">
        <f>IF(VLOOKUP(AH784,βοηθητικό!$J$2:$N$354,3,FALSE)="","",VLOOKUP(AH784,βοηθητικό!$J$2:$N$354,3,FALSE))</f>
        <v>_</v>
      </c>
      <c r="AJ784" s="44"/>
      <c r="AK784" s="5" t="s">
        <v>16</v>
      </c>
      <c r="AL784" s="46" t="str">
        <f>IF(VLOOKUP(AK784,βοηθητικό!$J$2:$N$354,3,FALSE)="","",VLOOKUP(AK784,βοηθητικό!$J$2:$N$354,3,FALSE))</f>
        <v>_</v>
      </c>
      <c r="AM784" s="47"/>
      <c r="AN784" s="4" t="s">
        <v>16</v>
      </c>
      <c r="AO784" s="43" t="str">
        <f>IF(VLOOKUP(AN784,βοηθητικό!$J$2:$N$354,3,FALSE)="","",VLOOKUP(AN784,βοηθητικό!$J$2:$N$354,3,FALSE))</f>
        <v>_</v>
      </c>
      <c r="AP784" s="44"/>
      <c r="AQ784" s="5" t="s">
        <v>16</v>
      </c>
      <c r="AR784" s="46" t="str">
        <f>IF(VLOOKUP(AQ784,βοηθητικό!$J$2:$N$354,3,FALSE)="","",VLOOKUP(AQ784,βοηθητικό!$J$2:$N$354,3,FALSE))</f>
        <v>_</v>
      </c>
      <c r="AS784" s="47"/>
      <c r="AT784" s="4" t="s">
        <v>16</v>
      </c>
      <c r="AU784" s="43" t="str">
        <f>IF(VLOOKUP(AT784,βοηθητικό!$J$2:$N$354,3,FALSE)="","",VLOOKUP(AT784,βοηθητικό!$J$2:$N$354,3,FALSE))</f>
        <v>_</v>
      </c>
      <c r="AV784" s="44"/>
      <c r="AW784" s="5" t="s">
        <v>16</v>
      </c>
      <c r="AX784" s="46" t="str">
        <f>IF(VLOOKUP(AW784,βοηθητικό!$J$2:$N$354,3,FALSE)="","",VLOOKUP(AW784,βοηθητικό!$J$2:$N$354,3,FALSE))</f>
        <v>_</v>
      </c>
      <c r="AY784" s="47"/>
      <c r="AZ784" s="4" t="s">
        <v>16</v>
      </c>
      <c r="BA784" s="43" t="str">
        <f>IF(VLOOKUP(AZ784,βοηθητικό!$J$2:$N$354,3,FALSE)="","",VLOOKUP(AZ784,βοηθητικό!$J$2:$N$354,3,FALSE))</f>
        <v>_</v>
      </c>
      <c r="BB784" s="44"/>
      <c r="BC784" s="45" t="s">
        <v>16</v>
      </c>
      <c r="BD784" s="46" t="str">
        <f>IF(VLOOKUP(BC784,βοηθητικό!$J$2:$N$354,3,FALSE)="","",VLOOKUP(BC784,βοηθητικό!$J$2:$N$354,3,FALSE))</f>
        <v>_</v>
      </c>
      <c r="BE784" s="47"/>
      <c r="BF784" s="42" t="s">
        <v>16</v>
      </c>
      <c r="BG784" s="43" t="str">
        <f>IF(VLOOKUP(BF784,βοηθητικό!$J$2:$N$354,3,FALSE)="","",VLOOKUP(BF784,βοηθητικό!$J$2:$N$354,3,FALSE))</f>
        <v>_</v>
      </c>
      <c r="BH784" s="44"/>
      <c r="BI784" s="45" t="s">
        <v>16</v>
      </c>
      <c r="BJ784" s="46" t="str">
        <f>IF(VLOOKUP(BI784,βοηθητικό!$J$2:$N$354,3,FALSE)="","",VLOOKUP(BI784,βοηθητικό!$J$2:$N$354,3,FALSE))</f>
        <v>_</v>
      </c>
      <c r="BK784" s="47"/>
      <c r="BL784" s="42" t="s">
        <v>16</v>
      </c>
      <c r="BM784" s="43" t="str">
        <f>IF(VLOOKUP(BL784,βοηθητικό!$J$2:$N$354,3,FALSE)="","",VLOOKUP(BL784,βοηθητικό!$J$2:$N$354,3,FALSE))</f>
        <v>_</v>
      </c>
      <c r="BN784" s="44"/>
      <c r="BO784" s="45" t="s">
        <v>16</v>
      </c>
      <c r="BP784" s="46" t="str">
        <f>IF(VLOOKUP(BO784,βοηθητικό!$J$2:$N$354,3,FALSE)="","",VLOOKUP(BO784,βοηθητικό!$J$2:$N$354,3,FALSE))</f>
        <v>_</v>
      </c>
      <c r="BQ784" s="47"/>
      <c r="BR784" s="42" t="s">
        <v>16</v>
      </c>
      <c r="BS784" s="43" t="str">
        <f>IF(VLOOKUP(BR784,βοηθητικό!$J$2:$N$354,3,FALSE)="","",VLOOKUP(BR784,βοηθητικό!$J$2:$N$354,3,FALSE))</f>
        <v>_</v>
      </c>
      <c r="BT784" s="44"/>
      <c r="BU784" s="45" t="s">
        <v>16</v>
      </c>
      <c r="BV784" s="46" t="str">
        <f>IF(VLOOKUP(BU784,βοηθητικό!$J$2:$N$354,3,FALSE)="","",VLOOKUP(BU784,βοηθητικό!$J$2:$N$354,3,FALSE))</f>
        <v>_</v>
      </c>
      <c r="BW784" s="47"/>
      <c r="BX784" s="42" t="s">
        <v>16</v>
      </c>
      <c r="BY784" s="43" t="str">
        <f>IF(VLOOKUP(BX784,βοηθητικό!$J$2:$N$354,3,FALSE)="","",VLOOKUP(BX784,βοηθητικό!$J$2:$N$354,3,FALSE))</f>
        <v>_</v>
      </c>
      <c r="BZ784" s="44"/>
      <c r="CA784" s="45" t="s">
        <v>16</v>
      </c>
      <c r="CB784" s="46" t="str">
        <f>IF(VLOOKUP(CA784,βοηθητικό!$J$2:$N$354,3,FALSE)="","",VLOOKUP(CA784,βοηθητικό!$J$2:$N$354,3,FALSE))</f>
        <v>_</v>
      </c>
      <c r="CC784" s="47"/>
      <c r="CD784" s="42" t="s">
        <v>16</v>
      </c>
      <c r="CE784" s="43" t="str">
        <f>IF(VLOOKUP(CD784,βοηθητικό!$J$2:$N$354,3,FALSE)="","",VLOOKUP(CD784,βοηθητικό!$J$2:$N$354,3,FALSE))</f>
        <v>_</v>
      </c>
      <c r="CF784" s="44"/>
      <c r="CG784" s="45" t="s">
        <v>16</v>
      </c>
      <c r="CH784" s="46" t="str">
        <f>IF(VLOOKUP(CG784,βοηθητικό!$J$2:$N$354,3,FALSE)="","",VLOOKUP(CG784,βοηθητικό!$J$2:$N$354,3,FALSE))</f>
        <v>_</v>
      </c>
      <c r="CI784" s="47"/>
      <c r="CJ784" s="42" t="s">
        <v>16</v>
      </c>
      <c r="CK784" s="43" t="str">
        <f>IF(VLOOKUP(CJ784,βοηθητικό!$J$2:$N$354,3,FALSE)="","",VLOOKUP(CJ784,βοηθητικό!$J$2:$N$354,3,FALSE))</f>
        <v>_</v>
      </c>
      <c r="CL784" s="44"/>
      <c r="CM784" s="45" t="s">
        <v>16</v>
      </c>
      <c r="CN784" s="46" t="str">
        <f>IF(VLOOKUP(CM784,βοηθητικό!$J$2:$N$354,3,FALSE)="","",VLOOKUP(CM784,βοηθητικό!$J$2:$N$354,3,FALSE))</f>
        <v>_</v>
      </c>
      <c r="CO784" s="47"/>
      <c r="CP784" s="42" t="s">
        <v>16</v>
      </c>
      <c r="CQ784" s="43" t="str">
        <f>IF(VLOOKUP(CP784,βοηθητικό!$J$2:$N$354,3,FALSE)="","",VLOOKUP(CP784,βοηθητικό!$J$2:$N$354,3,FALSE))</f>
        <v>_</v>
      </c>
      <c r="CR784" s="44"/>
      <c r="CS784" s="45" t="s">
        <v>16</v>
      </c>
      <c r="CT784" s="46" t="str">
        <f>IF(VLOOKUP(CS784,βοηθητικό!$J$2:$N$354,3,FALSE)="","",VLOOKUP(CS784,βοηθητικό!$J$2:$N$354,3,FALSE))</f>
        <v>_</v>
      </c>
      <c r="CU784" s="47"/>
    </row>
    <row r="785" spans="1:99" x14ac:dyDescent="0.25">
      <c r="A785" s="37">
        <f>--SUBTOTAL(3,$B$3:B784)</f>
        <v>198</v>
      </c>
      <c r="B785" s="2"/>
      <c r="C785" s="3"/>
      <c r="D785" s="55" t="s">
        <v>18</v>
      </c>
      <c r="E785" s="38" t="s">
        <v>16</v>
      </c>
      <c r="F785" s="38"/>
      <c r="G785" s="39" t="str">
        <f t="shared" si="38"/>
        <v>__</v>
      </c>
      <c r="H785" s="40" t="str">
        <f t="shared" si="39"/>
        <v>FALSE</v>
      </c>
      <c r="I785" s="41">
        <f t="shared" si="40"/>
        <v>0</v>
      </c>
      <c r="J785" s="4" t="s">
        <v>16</v>
      </c>
      <c r="K785" s="43" t="str">
        <f>IF(VLOOKUP(J785,βοηθητικό!$J$2:$N$354,3,FALSE)="","",VLOOKUP(J785,βοηθητικό!$J$2:$N$354,3,FALSE))</f>
        <v>_</v>
      </c>
      <c r="L785" s="44"/>
      <c r="M785" s="5" t="s">
        <v>16</v>
      </c>
      <c r="N785" s="46" t="str">
        <f>IF(VLOOKUP(M785,βοηθητικό!$J$2:$N$354,3,FALSE)="","",VLOOKUP(M785,βοηθητικό!$J$2:$N$354,3,FALSE))</f>
        <v>_</v>
      </c>
      <c r="O785" s="47"/>
      <c r="P785" s="4" t="s">
        <v>16</v>
      </c>
      <c r="Q785" s="43" t="str">
        <f>IF(VLOOKUP(P785,βοηθητικό!$J$2:$N$354,3,FALSE)="","",VLOOKUP(P785,βοηθητικό!$J$2:$N$354,3,FALSE))</f>
        <v>_</v>
      </c>
      <c r="R785" s="44"/>
      <c r="S785" s="5" t="s">
        <v>16</v>
      </c>
      <c r="T785" s="46" t="str">
        <f>IF(VLOOKUP(S785,βοηθητικό!$J$2:$N$354,3,FALSE)="","",VLOOKUP(S785,βοηθητικό!$J$2:$N$354,3,FALSE))</f>
        <v>_</v>
      </c>
      <c r="U785" s="47"/>
      <c r="V785" s="4" t="s">
        <v>16</v>
      </c>
      <c r="W785" s="43" t="str">
        <f>IF(VLOOKUP(V785,βοηθητικό!$J$2:$N$354,3,FALSE)="","",VLOOKUP(V785,βοηθητικό!$J$2:$N$354,3,FALSE))</f>
        <v>_</v>
      </c>
      <c r="X785" s="44"/>
      <c r="Y785" s="5" t="s">
        <v>16</v>
      </c>
      <c r="Z785" s="46" t="str">
        <f>IF(VLOOKUP(Y785,βοηθητικό!$J$2:$N$354,3,FALSE)="","",VLOOKUP(Y785,βοηθητικό!$J$2:$N$354,3,FALSE))</f>
        <v>_</v>
      </c>
      <c r="AA785" s="47"/>
      <c r="AB785" s="4" t="s">
        <v>16</v>
      </c>
      <c r="AC785" s="43" t="str">
        <f>IF(VLOOKUP(AB785,βοηθητικό!$J$2:$N$354,3,FALSE)="","",VLOOKUP(AB785,βοηθητικό!$J$2:$N$354,3,FALSE))</f>
        <v>_</v>
      </c>
      <c r="AD785" s="44"/>
      <c r="AE785" s="5" t="s">
        <v>16</v>
      </c>
      <c r="AF785" s="46" t="str">
        <f>IF(VLOOKUP(AE785,βοηθητικό!$J$2:$N$354,3,FALSE)="","",VLOOKUP(AE785,βοηθητικό!$J$2:$N$354,3,FALSE))</f>
        <v>_</v>
      </c>
      <c r="AG785" s="47"/>
      <c r="AH785" s="4" t="s">
        <v>16</v>
      </c>
      <c r="AI785" s="43" t="str">
        <f>IF(VLOOKUP(AH785,βοηθητικό!$J$2:$N$354,3,FALSE)="","",VLOOKUP(AH785,βοηθητικό!$J$2:$N$354,3,FALSE))</f>
        <v>_</v>
      </c>
      <c r="AJ785" s="44"/>
      <c r="AK785" s="5" t="s">
        <v>16</v>
      </c>
      <c r="AL785" s="46" t="str">
        <f>IF(VLOOKUP(AK785,βοηθητικό!$J$2:$N$354,3,FALSE)="","",VLOOKUP(AK785,βοηθητικό!$J$2:$N$354,3,FALSE))</f>
        <v>_</v>
      </c>
      <c r="AM785" s="47"/>
      <c r="AN785" s="4" t="s">
        <v>16</v>
      </c>
      <c r="AO785" s="43" t="str">
        <f>IF(VLOOKUP(AN785,βοηθητικό!$J$2:$N$354,3,FALSE)="","",VLOOKUP(AN785,βοηθητικό!$J$2:$N$354,3,FALSE))</f>
        <v>_</v>
      </c>
      <c r="AP785" s="44"/>
      <c r="AQ785" s="5" t="s">
        <v>16</v>
      </c>
      <c r="AR785" s="46" t="str">
        <f>IF(VLOOKUP(AQ785,βοηθητικό!$J$2:$N$354,3,FALSE)="","",VLOOKUP(AQ785,βοηθητικό!$J$2:$N$354,3,FALSE))</f>
        <v>_</v>
      </c>
      <c r="AS785" s="47"/>
      <c r="AT785" s="4" t="s">
        <v>16</v>
      </c>
      <c r="AU785" s="43" t="str">
        <f>IF(VLOOKUP(AT785,βοηθητικό!$J$2:$N$354,3,FALSE)="","",VLOOKUP(AT785,βοηθητικό!$J$2:$N$354,3,FALSE))</f>
        <v>_</v>
      </c>
      <c r="AV785" s="44"/>
      <c r="AW785" s="5" t="s">
        <v>16</v>
      </c>
      <c r="AX785" s="46" t="str">
        <f>IF(VLOOKUP(AW785,βοηθητικό!$J$2:$N$354,3,FALSE)="","",VLOOKUP(AW785,βοηθητικό!$J$2:$N$354,3,FALSE))</f>
        <v>_</v>
      </c>
      <c r="AY785" s="47"/>
      <c r="AZ785" s="4" t="s">
        <v>16</v>
      </c>
      <c r="BA785" s="43" t="str">
        <f>IF(VLOOKUP(AZ785,βοηθητικό!$J$2:$N$354,3,FALSE)="","",VLOOKUP(AZ785,βοηθητικό!$J$2:$N$354,3,FALSE))</f>
        <v>_</v>
      </c>
      <c r="BB785" s="44"/>
      <c r="BC785" s="45" t="s">
        <v>16</v>
      </c>
      <c r="BD785" s="46" t="str">
        <f>IF(VLOOKUP(BC785,βοηθητικό!$J$2:$N$354,3,FALSE)="","",VLOOKUP(BC785,βοηθητικό!$J$2:$N$354,3,FALSE))</f>
        <v>_</v>
      </c>
      <c r="BE785" s="47"/>
      <c r="BF785" s="42" t="s">
        <v>16</v>
      </c>
      <c r="BG785" s="43" t="str">
        <f>IF(VLOOKUP(BF785,βοηθητικό!$J$2:$N$354,3,FALSE)="","",VLOOKUP(BF785,βοηθητικό!$J$2:$N$354,3,FALSE))</f>
        <v>_</v>
      </c>
      <c r="BH785" s="44"/>
      <c r="BI785" s="45" t="s">
        <v>16</v>
      </c>
      <c r="BJ785" s="46" t="str">
        <f>IF(VLOOKUP(BI785,βοηθητικό!$J$2:$N$354,3,FALSE)="","",VLOOKUP(BI785,βοηθητικό!$J$2:$N$354,3,FALSE))</f>
        <v>_</v>
      </c>
      <c r="BK785" s="47"/>
      <c r="BL785" s="42" t="s">
        <v>16</v>
      </c>
      <c r="BM785" s="43" t="str">
        <f>IF(VLOOKUP(BL785,βοηθητικό!$J$2:$N$354,3,FALSE)="","",VLOOKUP(BL785,βοηθητικό!$J$2:$N$354,3,FALSE))</f>
        <v>_</v>
      </c>
      <c r="BN785" s="44"/>
      <c r="BO785" s="45" t="s">
        <v>16</v>
      </c>
      <c r="BP785" s="46" t="str">
        <f>IF(VLOOKUP(BO785,βοηθητικό!$J$2:$N$354,3,FALSE)="","",VLOOKUP(BO785,βοηθητικό!$J$2:$N$354,3,FALSE))</f>
        <v>_</v>
      </c>
      <c r="BQ785" s="47"/>
      <c r="BR785" s="42" t="s">
        <v>16</v>
      </c>
      <c r="BS785" s="43" t="str">
        <f>IF(VLOOKUP(BR785,βοηθητικό!$J$2:$N$354,3,FALSE)="","",VLOOKUP(BR785,βοηθητικό!$J$2:$N$354,3,FALSE))</f>
        <v>_</v>
      </c>
      <c r="BT785" s="44"/>
      <c r="BU785" s="45" t="s">
        <v>16</v>
      </c>
      <c r="BV785" s="46" t="str">
        <f>IF(VLOOKUP(BU785,βοηθητικό!$J$2:$N$354,3,FALSE)="","",VLOOKUP(BU785,βοηθητικό!$J$2:$N$354,3,FALSE))</f>
        <v>_</v>
      </c>
      <c r="BW785" s="47"/>
      <c r="BX785" s="42" t="s">
        <v>16</v>
      </c>
      <c r="BY785" s="43" t="str">
        <f>IF(VLOOKUP(BX785,βοηθητικό!$J$2:$N$354,3,FALSE)="","",VLOOKUP(BX785,βοηθητικό!$J$2:$N$354,3,FALSE))</f>
        <v>_</v>
      </c>
      <c r="BZ785" s="44"/>
      <c r="CA785" s="45" t="s">
        <v>16</v>
      </c>
      <c r="CB785" s="46" t="str">
        <f>IF(VLOOKUP(CA785,βοηθητικό!$J$2:$N$354,3,FALSE)="","",VLOOKUP(CA785,βοηθητικό!$J$2:$N$354,3,FALSE))</f>
        <v>_</v>
      </c>
      <c r="CC785" s="47"/>
      <c r="CD785" s="42" t="s">
        <v>16</v>
      </c>
      <c r="CE785" s="43" t="str">
        <f>IF(VLOOKUP(CD785,βοηθητικό!$J$2:$N$354,3,FALSE)="","",VLOOKUP(CD785,βοηθητικό!$J$2:$N$354,3,FALSE))</f>
        <v>_</v>
      </c>
      <c r="CF785" s="44"/>
      <c r="CG785" s="45" t="s">
        <v>16</v>
      </c>
      <c r="CH785" s="46" t="str">
        <f>IF(VLOOKUP(CG785,βοηθητικό!$J$2:$N$354,3,FALSE)="","",VLOOKUP(CG785,βοηθητικό!$J$2:$N$354,3,FALSE))</f>
        <v>_</v>
      </c>
      <c r="CI785" s="47"/>
      <c r="CJ785" s="42" t="s">
        <v>16</v>
      </c>
      <c r="CK785" s="43" t="str">
        <f>IF(VLOOKUP(CJ785,βοηθητικό!$J$2:$N$354,3,FALSE)="","",VLOOKUP(CJ785,βοηθητικό!$J$2:$N$354,3,FALSE))</f>
        <v>_</v>
      </c>
      <c r="CL785" s="44"/>
      <c r="CM785" s="45" t="s">
        <v>16</v>
      </c>
      <c r="CN785" s="46" t="str">
        <f>IF(VLOOKUP(CM785,βοηθητικό!$J$2:$N$354,3,FALSE)="","",VLOOKUP(CM785,βοηθητικό!$J$2:$N$354,3,FALSE))</f>
        <v>_</v>
      </c>
      <c r="CO785" s="47"/>
      <c r="CP785" s="42" t="s">
        <v>16</v>
      </c>
      <c r="CQ785" s="43" t="str">
        <f>IF(VLOOKUP(CP785,βοηθητικό!$J$2:$N$354,3,FALSE)="","",VLOOKUP(CP785,βοηθητικό!$J$2:$N$354,3,FALSE))</f>
        <v>_</v>
      </c>
      <c r="CR785" s="44"/>
      <c r="CS785" s="45" t="s">
        <v>16</v>
      </c>
      <c r="CT785" s="46" t="str">
        <f>IF(VLOOKUP(CS785,βοηθητικό!$J$2:$N$354,3,FALSE)="","",VLOOKUP(CS785,βοηθητικό!$J$2:$N$354,3,FALSE))</f>
        <v>_</v>
      </c>
      <c r="CU785" s="47"/>
    </row>
    <row r="786" spans="1:99" x14ac:dyDescent="0.25">
      <c r="A786" s="37">
        <f>--SUBTOTAL(3,$B$3:B785)</f>
        <v>198</v>
      </c>
      <c r="B786" s="2"/>
      <c r="C786" s="3"/>
      <c r="D786" s="55" t="s">
        <v>18</v>
      </c>
      <c r="E786" s="38" t="s">
        <v>16</v>
      </c>
      <c r="F786" s="38"/>
      <c r="G786" s="39" t="str">
        <f t="shared" si="38"/>
        <v>__</v>
      </c>
      <c r="H786" s="40" t="str">
        <f t="shared" si="39"/>
        <v>FALSE</v>
      </c>
      <c r="I786" s="41">
        <f t="shared" si="40"/>
        <v>0</v>
      </c>
      <c r="J786" s="4" t="s">
        <v>16</v>
      </c>
      <c r="K786" s="43" t="str">
        <f>IF(VLOOKUP(J786,βοηθητικό!$J$2:$N$354,3,FALSE)="","",VLOOKUP(J786,βοηθητικό!$J$2:$N$354,3,FALSE))</f>
        <v>_</v>
      </c>
      <c r="L786" s="44"/>
      <c r="M786" s="5" t="s">
        <v>16</v>
      </c>
      <c r="N786" s="46" t="str">
        <f>IF(VLOOKUP(M786,βοηθητικό!$J$2:$N$354,3,FALSE)="","",VLOOKUP(M786,βοηθητικό!$J$2:$N$354,3,FALSE))</f>
        <v>_</v>
      </c>
      <c r="O786" s="47"/>
      <c r="P786" s="4" t="s">
        <v>16</v>
      </c>
      <c r="Q786" s="43" t="str">
        <f>IF(VLOOKUP(P786,βοηθητικό!$J$2:$N$354,3,FALSE)="","",VLOOKUP(P786,βοηθητικό!$J$2:$N$354,3,FALSE))</f>
        <v>_</v>
      </c>
      <c r="R786" s="44"/>
      <c r="S786" s="5" t="s">
        <v>16</v>
      </c>
      <c r="T786" s="46" t="str">
        <f>IF(VLOOKUP(S786,βοηθητικό!$J$2:$N$354,3,FALSE)="","",VLOOKUP(S786,βοηθητικό!$J$2:$N$354,3,FALSE))</f>
        <v>_</v>
      </c>
      <c r="U786" s="47"/>
      <c r="V786" s="4" t="s">
        <v>16</v>
      </c>
      <c r="W786" s="43" t="str">
        <f>IF(VLOOKUP(V786,βοηθητικό!$J$2:$N$354,3,FALSE)="","",VLOOKUP(V786,βοηθητικό!$J$2:$N$354,3,FALSE))</f>
        <v>_</v>
      </c>
      <c r="X786" s="44"/>
      <c r="Y786" s="5" t="s">
        <v>16</v>
      </c>
      <c r="Z786" s="46" t="str">
        <f>IF(VLOOKUP(Y786,βοηθητικό!$J$2:$N$354,3,FALSE)="","",VLOOKUP(Y786,βοηθητικό!$J$2:$N$354,3,FALSE))</f>
        <v>_</v>
      </c>
      <c r="AA786" s="47"/>
      <c r="AB786" s="4" t="s">
        <v>16</v>
      </c>
      <c r="AC786" s="43" t="str">
        <f>IF(VLOOKUP(AB786,βοηθητικό!$J$2:$N$354,3,FALSE)="","",VLOOKUP(AB786,βοηθητικό!$J$2:$N$354,3,FALSE))</f>
        <v>_</v>
      </c>
      <c r="AD786" s="44"/>
      <c r="AE786" s="5" t="s">
        <v>16</v>
      </c>
      <c r="AF786" s="46" t="str">
        <f>IF(VLOOKUP(AE786,βοηθητικό!$J$2:$N$354,3,FALSE)="","",VLOOKUP(AE786,βοηθητικό!$J$2:$N$354,3,FALSE))</f>
        <v>_</v>
      </c>
      <c r="AG786" s="47"/>
      <c r="AH786" s="4" t="s">
        <v>16</v>
      </c>
      <c r="AI786" s="43" t="str">
        <f>IF(VLOOKUP(AH786,βοηθητικό!$J$2:$N$354,3,FALSE)="","",VLOOKUP(AH786,βοηθητικό!$J$2:$N$354,3,FALSE))</f>
        <v>_</v>
      </c>
      <c r="AJ786" s="44"/>
      <c r="AK786" s="5" t="s">
        <v>16</v>
      </c>
      <c r="AL786" s="46" t="str">
        <f>IF(VLOOKUP(AK786,βοηθητικό!$J$2:$N$354,3,FALSE)="","",VLOOKUP(AK786,βοηθητικό!$J$2:$N$354,3,FALSE))</f>
        <v>_</v>
      </c>
      <c r="AM786" s="47"/>
      <c r="AN786" s="4" t="s">
        <v>16</v>
      </c>
      <c r="AO786" s="43" t="str">
        <f>IF(VLOOKUP(AN786,βοηθητικό!$J$2:$N$354,3,FALSE)="","",VLOOKUP(AN786,βοηθητικό!$J$2:$N$354,3,FALSE))</f>
        <v>_</v>
      </c>
      <c r="AP786" s="44"/>
      <c r="AQ786" s="5" t="s">
        <v>16</v>
      </c>
      <c r="AR786" s="46" t="str">
        <f>IF(VLOOKUP(AQ786,βοηθητικό!$J$2:$N$354,3,FALSE)="","",VLOOKUP(AQ786,βοηθητικό!$J$2:$N$354,3,FALSE))</f>
        <v>_</v>
      </c>
      <c r="AS786" s="47"/>
      <c r="AT786" s="4" t="s">
        <v>16</v>
      </c>
      <c r="AU786" s="43" t="str">
        <f>IF(VLOOKUP(AT786,βοηθητικό!$J$2:$N$354,3,FALSE)="","",VLOOKUP(AT786,βοηθητικό!$J$2:$N$354,3,FALSE))</f>
        <v>_</v>
      </c>
      <c r="AV786" s="44"/>
      <c r="AW786" s="5" t="s">
        <v>16</v>
      </c>
      <c r="AX786" s="46" t="str">
        <f>IF(VLOOKUP(AW786,βοηθητικό!$J$2:$N$354,3,FALSE)="","",VLOOKUP(AW786,βοηθητικό!$J$2:$N$354,3,FALSE))</f>
        <v>_</v>
      </c>
      <c r="AY786" s="47"/>
      <c r="AZ786" s="4" t="s">
        <v>16</v>
      </c>
      <c r="BA786" s="43" t="str">
        <f>IF(VLOOKUP(AZ786,βοηθητικό!$J$2:$N$354,3,FALSE)="","",VLOOKUP(AZ786,βοηθητικό!$J$2:$N$354,3,FALSE))</f>
        <v>_</v>
      </c>
      <c r="BB786" s="44"/>
      <c r="BC786" s="45" t="s">
        <v>16</v>
      </c>
      <c r="BD786" s="46" t="str">
        <f>IF(VLOOKUP(BC786,βοηθητικό!$J$2:$N$354,3,FALSE)="","",VLOOKUP(BC786,βοηθητικό!$J$2:$N$354,3,FALSE))</f>
        <v>_</v>
      </c>
      <c r="BE786" s="47"/>
      <c r="BF786" s="42" t="s">
        <v>16</v>
      </c>
      <c r="BG786" s="43" t="str">
        <f>IF(VLOOKUP(BF786,βοηθητικό!$J$2:$N$354,3,FALSE)="","",VLOOKUP(BF786,βοηθητικό!$J$2:$N$354,3,FALSE))</f>
        <v>_</v>
      </c>
      <c r="BH786" s="44"/>
      <c r="BI786" s="45" t="s">
        <v>16</v>
      </c>
      <c r="BJ786" s="46" t="str">
        <f>IF(VLOOKUP(BI786,βοηθητικό!$J$2:$N$354,3,FALSE)="","",VLOOKUP(BI786,βοηθητικό!$J$2:$N$354,3,FALSE))</f>
        <v>_</v>
      </c>
      <c r="BK786" s="47"/>
      <c r="BL786" s="42" t="s">
        <v>16</v>
      </c>
      <c r="BM786" s="43" t="str">
        <f>IF(VLOOKUP(BL786,βοηθητικό!$J$2:$N$354,3,FALSE)="","",VLOOKUP(BL786,βοηθητικό!$J$2:$N$354,3,FALSE))</f>
        <v>_</v>
      </c>
      <c r="BN786" s="44"/>
      <c r="BO786" s="45" t="s">
        <v>16</v>
      </c>
      <c r="BP786" s="46" t="str">
        <f>IF(VLOOKUP(BO786,βοηθητικό!$J$2:$N$354,3,FALSE)="","",VLOOKUP(BO786,βοηθητικό!$J$2:$N$354,3,FALSE))</f>
        <v>_</v>
      </c>
      <c r="BQ786" s="47"/>
      <c r="BR786" s="42" t="s">
        <v>16</v>
      </c>
      <c r="BS786" s="43" t="str">
        <f>IF(VLOOKUP(BR786,βοηθητικό!$J$2:$N$354,3,FALSE)="","",VLOOKUP(BR786,βοηθητικό!$J$2:$N$354,3,FALSE))</f>
        <v>_</v>
      </c>
      <c r="BT786" s="44"/>
      <c r="BU786" s="45" t="s">
        <v>16</v>
      </c>
      <c r="BV786" s="46" t="str">
        <f>IF(VLOOKUP(BU786,βοηθητικό!$J$2:$N$354,3,FALSE)="","",VLOOKUP(BU786,βοηθητικό!$J$2:$N$354,3,FALSE))</f>
        <v>_</v>
      </c>
      <c r="BW786" s="47"/>
      <c r="BX786" s="42" t="s">
        <v>16</v>
      </c>
      <c r="BY786" s="43" t="str">
        <f>IF(VLOOKUP(BX786,βοηθητικό!$J$2:$N$354,3,FALSE)="","",VLOOKUP(BX786,βοηθητικό!$J$2:$N$354,3,FALSE))</f>
        <v>_</v>
      </c>
      <c r="BZ786" s="44"/>
      <c r="CA786" s="45" t="s">
        <v>16</v>
      </c>
      <c r="CB786" s="46" t="str">
        <f>IF(VLOOKUP(CA786,βοηθητικό!$J$2:$N$354,3,FALSE)="","",VLOOKUP(CA786,βοηθητικό!$J$2:$N$354,3,FALSE))</f>
        <v>_</v>
      </c>
      <c r="CC786" s="47"/>
      <c r="CD786" s="42" t="s">
        <v>16</v>
      </c>
      <c r="CE786" s="43" t="str">
        <f>IF(VLOOKUP(CD786,βοηθητικό!$J$2:$N$354,3,FALSE)="","",VLOOKUP(CD786,βοηθητικό!$J$2:$N$354,3,FALSE))</f>
        <v>_</v>
      </c>
      <c r="CF786" s="44"/>
      <c r="CG786" s="45" t="s">
        <v>16</v>
      </c>
      <c r="CH786" s="46" t="str">
        <f>IF(VLOOKUP(CG786,βοηθητικό!$J$2:$N$354,3,FALSE)="","",VLOOKUP(CG786,βοηθητικό!$J$2:$N$354,3,FALSE))</f>
        <v>_</v>
      </c>
      <c r="CI786" s="47"/>
      <c r="CJ786" s="42" t="s">
        <v>16</v>
      </c>
      <c r="CK786" s="43" t="str">
        <f>IF(VLOOKUP(CJ786,βοηθητικό!$J$2:$N$354,3,FALSE)="","",VLOOKUP(CJ786,βοηθητικό!$J$2:$N$354,3,FALSE))</f>
        <v>_</v>
      </c>
      <c r="CL786" s="44"/>
      <c r="CM786" s="45" t="s">
        <v>16</v>
      </c>
      <c r="CN786" s="46" t="str">
        <f>IF(VLOOKUP(CM786,βοηθητικό!$J$2:$N$354,3,FALSE)="","",VLOOKUP(CM786,βοηθητικό!$J$2:$N$354,3,FALSE))</f>
        <v>_</v>
      </c>
      <c r="CO786" s="47"/>
      <c r="CP786" s="42" t="s">
        <v>16</v>
      </c>
      <c r="CQ786" s="43" t="str">
        <f>IF(VLOOKUP(CP786,βοηθητικό!$J$2:$N$354,3,FALSE)="","",VLOOKUP(CP786,βοηθητικό!$J$2:$N$354,3,FALSE))</f>
        <v>_</v>
      </c>
      <c r="CR786" s="44"/>
      <c r="CS786" s="45" t="s">
        <v>16</v>
      </c>
      <c r="CT786" s="46" t="str">
        <f>IF(VLOOKUP(CS786,βοηθητικό!$J$2:$N$354,3,FALSE)="","",VLOOKUP(CS786,βοηθητικό!$J$2:$N$354,3,FALSE))</f>
        <v>_</v>
      </c>
      <c r="CU786" s="47"/>
    </row>
    <row r="787" spans="1:99" x14ac:dyDescent="0.25">
      <c r="A787" s="37">
        <f>--SUBTOTAL(3,$B$3:B786)</f>
        <v>198</v>
      </c>
      <c r="B787" s="2"/>
      <c r="C787" s="3"/>
      <c r="D787" s="55" t="s">
        <v>18</v>
      </c>
      <c r="E787" s="38" t="s">
        <v>16</v>
      </c>
      <c r="F787" s="38"/>
      <c r="G787" s="39" t="str">
        <f t="shared" si="38"/>
        <v>__</v>
      </c>
      <c r="H787" s="40" t="str">
        <f t="shared" si="39"/>
        <v>FALSE</v>
      </c>
      <c r="I787" s="41">
        <f t="shared" si="40"/>
        <v>0</v>
      </c>
      <c r="J787" s="4" t="s">
        <v>16</v>
      </c>
      <c r="K787" s="43" t="str">
        <f>IF(VLOOKUP(J787,βοηθητικό!$J$2:$N$354,3,FALSE)="","",VLOOKUP(J787,βοηθητικό!$J$2:$N$354,3,FALSE))</f>
        <v>_</v>
      </c>
      <c r="L787" s="44"/>
      <c r="M787" s="5" t="s">
        <v>16</v>
      </c>
      <c r="N787" s="46" t="str">
        <f>IF(VLOOKUP(M787,βοηθητικό!$J$2:$N$354,3,FALSE)="","",VLOOKUP(M787,βοηθητικό!$J$2:$N$354,3,FALSE))</f>
        <v>_</v>
      </c>
      <c r="O787" s="47"/>
      <c r="P787" s="4" t="s">
        <v>16</v>
      </c>
      <c r="Q787" s="43" t="str">
        <f>IF(VLOOKUP(P787,βοηθητικό!$J$2:$N$354,3,FALSE)="","",VLOOKUP(P787,βοηθητικό!$J$2:$N$354,3,FALSE))</f>
        <v>_</v>
      </c>
      <c r="R787" s="44"/>
      <c r="S787" s="5" t="s">
        <v>16</v>
      </c>
      <c r="T787" s="46" t="str">
        <f>IF(VLOOKUP(S787,βοηθητικό!$J$2:$N$354,3,FALSE)="","",VLOOKUP(S787,βοηθητικό!$J$2:$N$354,3,FALSE))</f>
        <v>_</v>
      </c>
      <c r="U787" s="47"/>
      <c r="V787" s="4" t="s">
        <v>16</v>
      </c>
      <c r="W787" s="43" t="str">
        <f>IF(VLOOKUP(V787,βοηθητικό!$J$2:$N$354,3,FALSE)="","",VLOOKUP(V787,βοηθητικό!$J$2:$N$354,3,FALSE))</f>
        <v>_</v>
      </c>
      <c r="X787" s="44"/>
      <c r="Y787" s="5" t="s">
        <v>16</v>
      </c>
      <c r="Z787" s="46" t="str">
        <f>IF(VLOOKUP(Y787,βοηθητικό!$J$2:$N$354,3,FALSE)="","",VLOOKUP(Y787,βοηθητικό!$J$2:$N$354,3,FALSE))</f>
        <v>_</v>
      </c>
      <c r="AA787" s="47"/>
      <c r="AB787" s="4" t="s">
        <v>16</v>
      </c>
      <c r="AC787" s="43" t="str">
        <f>IF(VLOOKUP(AB787,βοηθητικό!$J$2:$N$354,3,FALSE)="","",VLOOKUP(AB787,βοηθητικό!$J$2:$N$354,3,FALSE))</f>
        <v>_</v>
      </c>
      <c r="AD787" s="44"/>
      <c r="AE787" s="5" t="s">
        <v>16</v>
      </c>
      <c r="AF787" s="46" t="str">
        <f>IF(VLOOKUP(AE787,βοηθητικό!$J$2:$N$354,3,FALSE)="","",VLOOKUP(AE787,βοηθητικό!$J$2:$N$354,3,FALSE))</f>
        <v>_</v>
      </c>
      <c r="AG787" s="47"/>
      <c r="AH787" s="4" t="s">
        <v>16</v>
      </c>
      <c r="AI787" s="43" t="str">
        <f>IF(VLOOKUP(AH787,βοηθητικό!$J$2:$N$354,3,FALSE)="","",VLOOKUP(AH787,βοηθητικό!$J$2:$N$354,3,FALSE))</f>
        <v>_</v>
      </c>
      <c r="AJ787" s="44"/>
      <c r="AK787" s="5" t="s">
        <v>16</v>
      </c>
      <c r="AL787" s="46" t="str">
        <f>IF(VLOOKUP(AK787,βοηθητικό!$J$2:$N$354,3,FALSE)="","",VLOOKUP(AK787,βοηθητικό!$J$2:$N$354,3,FALSE))</f>
        <v>_</v>
      </c>
      <c r="AM787" s="47"/>
      <c r="AN787" s="4" t="s">
        <v>16</v>
      </c>
      <c r="AO787" s="43" t="str">
        <f>IF(VLOOKUP(AN787,βοηθητικό!$J$2:$N$354,3,FALSE)="","",VLOOKUP(AN787,βοηθητικό!$J$2:$N$354,3,FALSE))</f>
        <v>_</v>
      </c>
      <c r="AP787" s="44"/>
      <c r="AQ787" s="5" t="s">
        <v>16</v>
      </c>
      <c r="AR787" s="46" t="str">
        <f>IF(VLOOKUP(AQ787,βοηθητικό!$J$2:$N$354,3,FALSE)="","",VLOOKUP(AQ787,βοηθητικό!$J$2:$N$354,3,FALSE))</f>
        <v>_</v>
      </c>
      <c r="AS787" s="47"/>
      <c r="AT787" s="4" t="s">
        <v>16</v>
      </c>
      <c r="AU787" s="43" t="str">
        <f>IF(VLOOKUP(AT787,βοηθητικό!$J$2:$N$354,3,FALSE)="","",VLOOKUP(AT787,βοηθητικό!$J$2:$N$354,3,FALSE))</f>
        <v>_</v>
      </c>
      <c r="AV787" s="44"/>
      <c r="AW787" s="5" t="s">
        <v>16</v>
      </c>
      <c r="AX787" s="46" t="str">
        <f>IF(VLOOKUP(AW787,βοηθητικό!$J$2:$N$354,3,FALSE)="","",VLOOKUP(AW787,βοηθητικό!$J$2:$N$354,3,FALSE))</f>
        <v>_</v>
      </c>
      <c r="AY787" s="47"/>
      <c r="AZ787" s="4" t="s">
        <v>16</v>
      </c>
      <c r="BA787" s="43" t="str">
        <f>IF(VLOOKUP(AZ787,βοηθητικό!$J$2:$N$354,3,FALSE)="","",VLOOKUP(AZ787,βοηθητικό!$J$2:$N$354,3,FALSE))</f>
        <v>_</v>
      </c>
      <c r="BB787" s="44"/>
      <c r="BC787" s="45" t="s">
        <v>16</v>
      </c>
      <c r="BD787" s="46" t="str">
        <f>IF(VLOOKUP(BC787,βοηθητικό!$J$2:$N$354,3,FALSE)="","",VLOOKUP(BC787,βοηθητικό!$J$2:$N$354,3,FALSE))</f>
        <v>_</v>
      </c>
      <c r="BE787" s="47"/>
      <c r="BF787" s="42" t="s">
        <v>16</v>
      </c>
      <c r="BG787" s="43" t="str">
        <f>IF(VLOOKUP(BF787,βοηθητικό!$J$2:$N$354,3,FALSE)="","",VLOOKUP(BF787,βοηθητικό!$J$2:$N$354,3,FALSE))</f>
        <v>_</v>
      </c>
      <c r="BH787" s="44"/>
      <c r="BI787" s="45" t="s">
        <v>16</v>
      </c>
      <c r="BJ787" s="46" t="str">
        <f>IF(VLOOKUP(BI787,βοηθητικό!$J$2:$N$354,3,FALSE)="","",VLOOKUP(BI787,βοηθητικό!$J$2:$N$354,3,FALSE))</f>
        <v>_</v>
      </c>
      <c r="BK787" s="47"/>
      <c r="BL787" s="42" t="s">
        <v>16</v>
      </c>
      <c r="BM787" s="43" t="str">
        <f>IF(VLOOKUP(BL787,βοηθητικό!$J$2:$N$354,3,FALSE)="","",VLOOKUP(BL787,βοηθητικό!$J$2:$N$354,3,FALSE))</f>
        <v>_</v>
      </c>
      <c r="BN787" s="44"/>
      <c r="BO787" s="45" t="s">
        <v>16</v>
      </c>
      <c r="BP787" s="46" t="str">
        <f>IF(VLOOKUP(BO787,βοηθητικό!$J$2:$N$354,3,FALSE)="","",VLOOKUP(BO787,βοηθητικό!$J$2:$N$354,3,FALSE))</f>
        <v>_</v>
      </c>
      <c r="BQ787" s="47"/>
      <c r="BR787" s="42" t="s">
        <v>16</v>
      </c>
      <c r="BS787" s="43" t="str">
        <f>IF(VLOOKUP(BR787,βοηθητικό!$J$2:$N$354,3,FALSE)="","",VLOOKUP(BR787,βοηθητικό!$J$2:$N$354,3,FALSE))</f>
        <v>_</v>
      </c>
      <c r="BT787" s="44"/>
      <c r="BU787" s="45" t="s">
        <v>16</v>
      </c>
      <c r="BV787" s="46" t="str">
        <f>IF(VLOOKUP(BU787,βοηθητικό!$J$2:$N$354,3,FALSE)="","",VLOOKUP(BU787,βοηθητικό!$J$2:$N$354,3,FALSE))</f>
        <v>_</v>
      </c>
      <c r="BW787" s="47"/>
      <c r="BX787" s="42" t="s">
        <v>16</v>
      </c>
      <c r="BY787" s="43" t="str">
        <f>IF(VLOOKUP(BX787,βοηθητικό!$J$2:$N$354,3,FALSE)="","",VLOOKUP(BX787,βοηθητικό!$J$2:$N$354,3,FALSE))</f>
        <v>_</v>
      </c>
      <c r="BZ787" s="44"/>
      <c r="CA787" s="45" t="s">
        <v>16</v>
      </c>
      <c r="CB787" s="46" t="str">
        <f>IF(VLOOKUP(CA787,βοηθητικό!$J$2:$N$354,3,FALSE)="","",VLOOKUP(CA787,βοηθητικό!$J$2:$N$354,3,FALSE))</f>
        <v>_</v>
      </c>
      <c r="CC787" s="47"/>
      <c r="CD787" s="42" t="s">
        <v>16</v>
      </c>
      <c r="CE787" s="43" t="str">
        <f>IF(VLOOKUP(CD787,βοηθητικό!$J$2:$N$354,3,FALSE)="","",VLOOKUP(CD787,βοηθητικό!$J$2:$N$354,3,FALSE))</f>
        <v>_</v>
      </c>
      <c r="CF787" s="44"/>
      <c r="CG787" s="45" t="s">
        <v>16</v>
      </c>
      <c r="CH787" s="46" t="str">
        <f>IF(VLOOKUP(CG787,βοηθητικό!$J$2:$N$354,3,FALSE)="","",VLOOKUP(CG787,βοηθητικό!$J$2:$N$354,3,FALSE))</f>
        <v>_</v>
      </c>
      <c r="CI787" s="47"/>
      <c r="CJ787" s="42" t="s">
        <v>16</v>
      </c>
      <c r="CK787" s="43" t="str">
        <f>IF(VLOOKUP(CJ787,βοηθητικό!$J$2:$N$354,3,FALSE)="","",VLOOKUP(CJ787,βοηθητικό!$J$2:$N$354,3,FALSE))</f>
        <v>_</v>
      </c>
      <c r="CL787" s="44"/>
      <c r="CM787" s="45" t="s">
        <v>16</v>
      </c>
      <c r="CN787" s="46" t="str">
        <f>IF(VLOOKUP(CM787,βοηθητικό!$J$2:$N$354,3,FALSE)="","",VLOOKUP(CM787,βοηθητικό!$J$2:$N$354,3,FALSE))</f>
        <v>_</v>
      </c>
      <c r="CO787" s="47"/>
      <c r="CP787" s="42" t="s">
        <v>16</v>
      </c>
      <c r="CQ787" s="43" t="str">
        <f>IF(VLOOKUP(CP787,βοηθητικό!$J$2:$N$354,3,FALSE)="","",VLOOKUP(CP787,βοηθητικό!$J$2:$N$354,3,FALSE))</f>
        <v>_</v>
      </c>
      <c r="CR787" s="44"/>
      <c r="CS787" s="45" t="s">
        <v>16</v>
      </c>
      <c r="CT787" s="46" t="str">
        <f>IF(VLOOKUP(CS787,βοηθητικό!$J$2:$N$354,3,FALSE)="","",VLOOKUP(CS787,βοηθητικό!$J$2:$N$354,3,FALSE))</f>
        <v>_</v>
      </c>
      <c r="CU787" s="47"/>
    </row>
    <row r="788" spans="1:99" x14ac:dyDescent="0.25">
      <c r="A788" s="37">
        <f>--SUBTOTAL(3,$B$3:B787)</f>
        <v>198</v>
      </c>
      <c r="B788" s="2"/>
      <c r="C788" s="3"/>
      <c r="D788" s="55" t="s">
        <v>18</v>
      </c>
      <c r="E788" s="38" t="s">
        <v>16</v>
      </c>
      <c r="F788" s="38"/>
      <c r="G788" s="39" t="str">
        <f t="shared" si="38"/>
        <v>__</v>
      </c>
      <c r="H788" s="40" t="str">
        <f t="shared" si="39"/>
        <v>FALSE</v>
      </c>
      <c r="I788" s="41">
        <f t="shared" si="40"/>
        <v>0</v>
      </c>
      <c r="J788" s="4" t="s">
        <v>16</v>
      </c>
      <c r="K788" s="43" t="str">
        <f>IF(VLOOKUP(J788,βοηθητικό!$J$2:$N$354,3,FALSE)="","",VLOOKUP(J788,βοηθητικό!$J$2:$N$354,3,FALSE))</f>
        <v>_</v>
      </c>
      <c r="L788" s="44"/>
      <c r="M788" s="5" t="s">
        <v>16</v>
      </c>
      <c r="N788" s="46" t="str">
        <f>IF(VLOOKUP(M788,βοηθητικό!$J$2:$N$354,3,FALSE)="","",VLOOKUP(M788,βοηθητικό!$J$2:$N$354,3,FALSE))</f>
        <v>_</v>
      </c>
      <c r="O788" s="47"/>
      <c r="P788" s="4" t="s">
        <v>16</v>
      </c>
      <c r="Q788" s="43" t="str">
        <f>IF(VLOOKUP(P788,βοηθητικό!$J$2:$N$354,3,FALSE)="","",VLOOKUP(P788,βοηθητικό!$J$2:$N$354,3,FALSE))</f>
        <v>_</v>
      </c>
      <c r="R788" s="44"/>
      <c r="S788" s="5" t="s">
        <v>16</v>
      </c>
      <c r="T788" s="46" t="str">
        <f>IF(VLOOKUP(S788,βοηθητικό!$J$2:$N$354,3,FALSE)="","",VLOOKUP(S788,βοηθητικό!$J$2:$N$354,3,FALSE))</f>
        <v>_</v>
      </c>
      <c r="U788" s="47"/>
      <c r="V788" s="4" t="s">
        <v>16</v>
      </c>
      <c r="W788" s="43" t="str">
        <f>IF(VLOOKUP(V788,βοηθητικό!$J$2:$N$354,3,FALSE)="","",VLOOKUP(V788,βοηθητικό!$J$2:$N$354,3,FALSE))</f>
        <v>_</v>
      </c>
      <c r="X788" s="44"/>
      <c r="Y788" s="5" t="s">
        <v>16</v>
      </c>
      <c r="Z788" s="46" t="str">
        <f>IF(VLOOKUP(Y788,βοηθητικό!$J$2:$N$354,3,FALSE)="","",VLOOKUP(Y788,βοηθητικό!$J$2:$N$354,3,FALSE))</f>
        <v>_</v>
      </c>
      <c r="AA788" s="47"/>
      <c r="AB788" s="4" t="s">
        <v>16</v>
      </c>
      <c r="AC788" s="43" t="str">
        <f>IF(VLOOKUP(AB788,βοηθητικό!$J$2:$N$354,3,FALSE)="","",VLOOKUP(AB788,βοηθητικό!$J$2:$N$354,3,FALSE))</f>
        <v>_</v>
      </c>
      <c r="AD788" s="44"/>
      <c r="AE788" s="5" t="s">
        <v>16</v>
      </c>
      <c r="AF788" s="46" t="str">
        <f>IF(VLOOKUP(AE788,βοηθητικό!$J$2:$N$354,3,FALSE)="","",VLOOKUP(AE788,βοηθητικό!$J$2:$N$354,3,FALSE))</f>
        <v>_</v>
      </c>
      <c r="AG788" s="47"/>
      <c r="AH788" s="4" t="s">
        <v>16</v>
      </c>
      <c r="AI788" s="43" t="str">
        <f>IF(VLOOKUP(AH788,βοηθητικό!$J$2:$N$354,3,FALSE)="","",VLOOKUP(AH788,βοηθητικό!$J$2:$N$354,3,FALSE))</f>
        <v>_</v>
      </c>
      <c r="AJ788" s="44"/>
      <c r="AK788" s="5" t="s">
        <v>16</v>
      </c>
      <c r="AL788" s="46" t="str">
        <f>IF(VLOOKUP(AK788,βοηθητικό!$J$2:$N$354,3,FALSE)="","",VLOOKUP(AK788,βοηθητικό!$J$2:$N$354,3,FALSE))</f>
        <v>_</v>
      </c>
      <c r="AM788" s="47"/>
      <c r="AN788" s="4" t="s">
        <v>16</v>
      </c>
      <c r="AO788" s="43" t="str">
        <f>IF(VLOOKUP(AN788,βοηθητικό!$J$2:$N$354,3,FALSE)="","",VLOOKUP(AN788,βοηθητικό!$J$2:$N$354,3,FALSE))</f>
        <v>_</v>
      </c>
      <c r="AP788" s="44"/>
      <c r="AQ788" s="5" t="s">
        <v>16</v>
      </c>
      <c r="AR788" s="46" t="str">
        <f>IF(VLOOKUP(AQ788,βοηθητικό!$J$2:$N$354,3,FALSE)="","",VLOOKUP(AQ788,βοηθητικό!$J$2:$N$354,3,FALSE))</f>
        <v>_</v>
      </c>
      <c r="AS788" s="47"/>
      <c r="AT788" s="4" t="s">
        <v>16</v>
      </c>
      <c r="AU788" s="43" t="str">
        <f>IF(VLOOKUP(AT788,βοηθητικό!$J$2:$N$354,3,FALSE)="","",VLOOKUP(AT788,βοηθητικό!$J$2:$N$354,3,FALSE))</f>
        <v>_</v>
      </c>
      <c r="AV788" s="44"/>
      <c r="AW788" s="5" t="s">
        <v>16</v>
      </c>
      <c r="AX788" s="46" t="str">
        <f>IF(VLOOKUP(AW788,βοηθητικό!$J$2:$N$354,3,FALSE)="","",VLOOKUP(AW788,βοηθητικό!$J$2:$N$354,3,FALSE))</f>
        <v>_</v>
      </c>
      <c r="AY788" s="47"/>
      <c r="AZ788" s="4" t="s">
        <v>16</v>
      </c>
      <c r="BA788" s="43" t="str">
        <f>IF(VLOOKUP(AZ788,βοηθητικό!$J$2:$N$354,3,FALSE)="","",VLOOKUP(AZ788,βοηθητικό!$J$2:$N$354,3,FALSE))</f>
        <v>_</v>
      </c>
      <c r="BB788" s="44"/>
      <c r="BC788" s="45" t="s">
        <v>16</v>
      </c>
      <c r="BD788" s="46" t="str">
        <f>IF(VLOOKUP(BC788,βοηθητικό!$J$2:$N$354,3,FALSE)="","",VLOOKUP(BC788,βοηθητικό!$J$2:$N$354,3,FALSE))</f>
        <v>_</v>
      </c>
      <c r="BE788" s="47"/>
      <c r="BF788" s="42" t="s">
        <v>16</v>
      </c>
      <c r="BG788" s="43" t="str">
        <f>IF(VLOOKUP(BF788,βοηθητικό!$J$2:$N$354,3,FALSE)="","",VLOOKUP(BF788,βοηθητικό!$J$2:$N$354,3,FALSE))</f>
        <v>_</v>
      </c>
      <c r="BH788" s="44"/>
      <c r="BI788" s="45" t="s">
        <v>16</v>
      </c>
      <c r="BJ788" s="46" t="str">
        <f>IF(VLOOKUP(BI788,βοηθητικό!$J$2:$N$354,3,FALSE)="","",VLOOKUP(BI788,βοηθητικό!$J$2:$N$354,3,FALSE))</f>
        <v>_</v>
      </c>
      <c r="BK788" s="47"/>
      <c r="BL788" s="42" t="s">
        <v>16</v>
      </c>
      <c r="BM788" s="43" t="str">
        <f>IF(VLOOKUP(BL788,βοηθητικό!$J$2:$N$354,3,FALSE)="","",VLOOKUP(BL788,βοηθητικό!$J$2:$N$354,3,FALSE))</f>
        <v>_</v>
      </c>
      <c r="BN788" s="44"/>
      <c r="BO788" s="45" t="s">
        <v>16</v>
      </c>
      <c r="BP788" s="46" t="str">
        <f>IF(VLOOKUP(BO788,βοηθητικό!$J$2:$N$354,3,FALSE)="","",VLOOKUP(BO788,βοηθητικό!$J$2:$N$354,3,FALSE))</f>
        <v>_</v>
      </c>
      <c r="BQ788" s="47"/>
      <c r="BR788" s="42" t="s">
        <v>16</v>
      </c>
      <c r="BS788" s="43" t="str">
        <f>IF(VLOOKUP(BR788,βοηθητικό!$J$2:$N$354,3,FALSE)="","",VLOOKUP(BR788,βοηθητικό!$J$2:$N$354,3,FALSE))</f>
        <v>_</v>
      </c>
      <c r="BT788" s="44"/>
      <c r="BU788" s="45" t="s">
        <v>16</v>
      </c>
      <c r="BV788" s="46" t="str">
        <f>IF(VLOOKUP(BU788,βοηθητικό!$J$2:$N$354,3,FALSE)="","",VLOOKUP(BU788,βοηθητικό!$J$2:$N$354,3,FALSE))</f>
        <v>_</v>
      </c>
      <c r="BW788" s="47"/>
      <c r="BX788" s="42" t="s">
        <v>16</v>
      </c>
      <c r="BY788" s="43" t="str">
        <f>IF(VLOOKUP(BX788,βοηθητικό!$J$2:$N$354,3,FALSE)="","",VLOOKUP(BX788,βοηθητικό!$J$2:$N$354,3,FALSE))</f>
        <v>_</v>
      </c>
      <c r="BZ788" s="44"/>
      <c r="CA788" s="45" t="s">
        <v>16</v>
      </c>
      <c r="CB788" s="46" t="str">
        <f>IF(VLOOKUP(CA788,βοηθητικό!$J$2:$N$354,3,FALSE)="","",VLOOKUP(CA788,βοηθητικό!$J$2:$N$354,3,FALSE))</f>
        <v>_</v>
      </c>
      <c r="CC788" s="47"/>
      <c r="CD788" s="42" t="s">
        <v>16</v>
      </c>
      <c r="CE788" s="43" t="str">
        <f>IF(VLOOKUP(CD788,βοηθητικό!$J$2:$N$354,3,FALSE)="","",VLOOKUP(CD788,βοηθητικό!$J$2:$N$354,3,FALSE))</f>
        <v>_</v>
      </c>
      <c r="CF788" s="44"/>
      <c r="CG788" s="45" t="s">
        <v>16</v>
      </c>
      <c r="CH788" s="46" t="str">
        <f>IF(VLOOKUP(CG788,βοηθητικό!$J$2:$N$354,3,FALSE)="","",VLOOKUP(CG788,βοηθητικό!$J$2:$N$354,3,FALSE))</f>
        <v>_</v>
      </c>
      <c r="CI788" s="47"/>
      <c r="CJ788" s="42" t="s">
        <v>16</v>
      </c>
      <c r="CK788" s="43" t="str">
        <f>IF(VLOOKUP(CJ788,βοηθητικό!$J$2:$N$354,3,FALSE)="","",VLOOKUP(CJ788,βοηθητικό!$J$2:$N$354,3,FALSE))</f>
        <v>_</v>
      </c>
      <c r="CL788" s="44"/>
      <c r="CM788" s="45" t="s">
        <v>16</v>
      </c>
      <c r="CN788" s="46" t="str">
        <f>IF(VLOOKUP(CM788,βοηθητικό!$J$2:$N$354,3,FALSE)="","",VLOOKUP(CM788,βοηθητικό!$J$2:$N$354,3,FALSE))</f>
        <v>_</v>
      </c>
      <c r="CO788" s="47"/>
      <c r="CP788" s="42" t="s">
        <v>16</v>
      </c>
      <c r="CQ788" s="43" t="str">
        <f>IF(VLOOKUP(CP788,βοηθητικό!$J$2:$N$354,3,FALSE)="","",VLOOKUP(CP788,βοηθητικό!$J$2:$N$354,3,FALSE))</f>
        <v>_</v>
      </c>
      <c r="CR788" s="44"/>
      <c r="CS788" s="45" t="s">
        <v>16</v>
      </c>
      <c r="CT788" s="46" t="str">
        <f>IF(VLOOKUP(CS788,βοηθητικό!$J$2:$N$354,3,FALSE)="","",VLOOKUP(CS788,βοηθητικό!$J$2:$N$354,3,FALSE))</f>
        <v>_</v>
      </c>
      <c r="CU788" s="47"/>
    </row>
    <row r="789" spans="1:99" x14ac:dyDescent="0.25">
      <c r="A789" s="37">
        <f>--SUBTOTAL(3,$B$3:B788)</f>
        <v>198</v>
      </c>
      <c r="B789" s="2"/>
      <c r="C789" s="3"/>
      <c r="D789" s="55" t="s">
        <v>18</v>
      </c>
      <c r="E789" s="38" t="s">
        <v>16</v>
      </c>
      <c r="F789" s="38"/>
      <c r="G789" s="39" t="str">
        <f t="shared" si="38"/>
        <v>__</v>
      </c>
      <c r="H789" s="40" t="str">
        <f t="shared" si="39"/>
        <v>FALSE</v>
      </c>
      <c r="I789" s="41">
        <f t="shared" si="40"/>
        <v>0</v>
      </c>
      <c r="J789" s="4" t="s">
        <v>16</v>
      </c>
      <c r="K789" s="43" t="str">
        <f>IF(VLOOKUP(J789,βοηθητικό!$J$2:$N$354,3,FALSE)="","",VLOOKUP(J789,βοηθητικό!$J$2:$N$354,3,FALSE))</f>
        <v>_</v>
      </c>
      <c r="L789" s="44"/>
      <c r="M789" s="5" t="s">
        <v>16</v>
      </c>
      <c r="N789" s="46" t="str">
        <f>IF(VLOOKUP(M789,βοηθητικό!$J$2:$N$354,3,FALSE)="","",VLOOKUP(M789,βοηθητικό!$J$2:$N$354,3,FALSE))</f>
        <v>_</v>
      </c>
      <c r="O789" s="47"/>
      <c r="P789" s="4" t="s">
        <v>16</v>
      </c>
      <c r="Q789" s="43" t="str">
        <f>IF(VLOOKUP(P789,βοηθητικό!$J$2:$N$354,3,FALSE)="","",VLOOKUP(P789,βοηθητικό!$J$2:$N$354,3,FALSE))</f>
        <v>_</v>
      </c>
      <c r="R789" s="44"/>
      <c r="S789" s="5" t="s">
        <v>16</v>
      </c>
      <c r="T789" s="46" t="str">
        <f>IF(VLOOKUP(S789,βοηθητικό!$J$2:$N$354,3,FALSE)="","",VLOOKUP(S789,βοηθητικό!$J$2:$N$354,3,FALSE))</f>
        <v>_</v>
      </c>
      <c r="U789" s="47"/>
      <c r="V789" s="4" t="s">
        <v>16</v>
      </c>
      <c r="W789" s="43" t="str">
        <f>IF(VLOOKUP(V789,βοηθητικό!$J$2:$N$354,3,FALSE)="","",VLOOKUP(V789,βοηθητικό!$J$2:$N$354,3,FALSE))</f>
        <v>_</v>
      </c>
      <c r="X789" s="44"/>
      <c r="Y789" s="5" t="s">
        <v>16</v>
      </c>
      <c r="Z789" s="46" t="str">
        <f>IF(VLOOKUP(Y789,βοηθητικό!$J$2:$N$354,3,FALSE)="","",VLOOKUP(Y789,βοηθητικό!$J$2:$N$354,3,FALSE))</f>
        <v>_</v>
      </c>
      <c r="AA789" s="47"/>
      <c r="AB789" s="4" t="s">
        <v>16</v>
      </c>
      <c r="AC789" s="43" t="str">
        <f>IF(VLOOKUP(AB789,βοηθητικό!$J$2:$N$354,3,FALSE)="","",VLOOKUP(AB789,βοηθητικό!$J$2:$N$354,3,FALSE))</f>
        <v>_</v>
      </c>
      <c r="AD789" s="44"/>
      <c r="AE789" s="5" t="s">
        <v>16</v>
      </c>
      <c r="AF789" s="46" t="str">
        <f>IF(VLOOKUP(AE789,βοηθητικό!$J$2:$N$354,3,FALSE)="","",VLOOKUP(AE789,βοηθητικό!$J$2:$N$354,3,FALSE))</f>
        <v>_</v>
      </c>
      <c r="AG789" s="47"/>
      <c r="AH789" s="4" t="s">
        <v>16</v>
      </c>
      <c r="AI789" s="43" t="str">
        <f>IF(VLOOKUP(AH789,βοηθητικό!$J$2:$N$354,3,FALSE)="","",VLOOKUP(AH789,βοηθητικό!$J$2:$N$354,3,FALSE))</f>
        <v>_</v>
      </c>
      <c r="AJ789" s="44"/>
      <c r="AK789" s="5" t="s">
        <v>16</v>
      </c>
      <c r="AL789" s="46" t="str">
        <f>IF(VLOOKUP(AK789,βοηθητικό!$J$2:$N$354,3,FALSE)="","",VLOOKUP(AK789,βοηθητικό!$J$2:$N$354,3,FALSE))</f>
        <v>_</v>
      </c>
      <c r="AM789" s="47"/>
      <c r="AN789" s="4" t="s">
        <v>16</v>
      </c>
      <c r="AO789" s="43" t="str">
        <f>IF(VLOOKUP(AN789,βοηθητικό!$J$2:$N$354,3,FALSE)="","",VLOOKUP(AN789,βοηθητικό!$J$2:$N$354,3,FALSE))</f>
        <v>_</v>
      </c>
      <c r="AP789" s="44"/>
      <c r="AQ789" s="5" t="s">
        <v>16</v>
      </c>
      <c r="AR789" s="46" t="str">
        <f>IF(VLOOKUP(AQ789,βοηθητικό!$J$2:$N$354,3,FALSE)="","",VLOOKUP(AQ789,βοηθητικό!$J$2:$N$354,3,FALSE))</f>
        <v>_</v>
      </c>
      <c r="AS789" s="47"/>
      <c r="AT789" s="4" t="s">
        <v>16</v>
      </c>
      <c r="AU789" s="43" t="str">
        <f>IF(VLOOKUP(AT789,βοηθητικό!$J$2:$N$354,3,FALSE)="","",VLOOKUP(AT789,βοηθητικό!$J$2:$N$354,3,FALSE))</f>
        <v>_</v>
      </c>
      <c r="AV789" s="44"/>
      <c r="AW789" s="5" t="s">
        <v>16</v>
      </c>
      <c r="AX789" s="46" t="str">
        <f>IF(VLOOKUP(AW789,βοηθητικό!$J$2:$N$354,3,FALSE)="","",VLOOKUP(AW789,βοηθητικό!$J$2:$N$354,3,FALSE))</f>
        <v>_</v>
      </c>
      <c r="AY789" s="47"/>
      <c r="AZ789" s="4" t="s">
        <v>16</v>
      </c>
      <c r="BA789" s="43" t="str">
        <f>IF(VLOOKUP(AZ789,βοηθητικό!$J$2:$N$354,3,FALSE)="","",VLOOKUP(AZ789,βοηθητικό!$J$2:$N$354,3,FALSE))</f>
        <v>_</v>
      </c>
      <c r="BB789" s="44"/>
      <c r="BC789" s="45" t="s">
        <v>16</v>
      </c>
      <c r="BD789" s="46" t="str">
        <f>IF(VLOOKUP(BC789,βοηθητικό!$J$2:$N$354,3,FALSE)="","",VLOOKUP(BC789,βοηθητικό!$J$2:$N$354,3,FALSE))</f>
        <v>_</v>
      </c>
      <c r="BE789" s="47"/>
      <c r="BF789" s="42" t="s">
        <v>16</v>
      </c>
      <c r="BG789" s="43" t="str">
        <f>IF(VLOOKUP(BF789,βοηθητικό!$J$2:$N$354,3,FALSE)="","",VLOOKUP(BF789,βοηθητικό!$J$2:$N$354,3,FALSE))</f>
        <v>_</v>
      </c>
      <c r="BH789" s="44"/>
      <c r="BI789" s="45" t="s">
        <v>16</v>
      </c>
      <c r="BJ789" s="46" t="str">
        <f>IF(VLOOKUP(BI789,βοηθητικό!$J$2:$N$354,3,FALSE)="","",VLOOKUP(BI789,βοηθητικό!$J$2:$N$354,3,FALSE))</f>
        <v>_</v>
      </c>
      <c r="BK789" s="47"/>
      <c r="BL789" s="42" t="s">
        <v>16</v>
      </c>
      <c r="BM789" s="43" t="str">
        <f>IF(VLOOKUP(BL789,βοηθητικό!$J$2:$N$354,3,FALSE)="","",VLOOKUP(BL789,βοηθητικό!$J$2:$N$354,3,FALSE))</f>
        <v>_</v>
      </c>
      <c r="BN789" s="44"/>
      <c r="BO789" s="45" t="s">
        <v>16</v>
      </c>
      <c r="BP789" s="46" t="str">
        <f>IF(VLOOKUP(BO789,βοηθητικό!$J$2:$N$354,3,FALSE)="","",VLOOKUP(BO789,βοηθητικό!$J$2:$N$354,3,FALSE))</f>
        <v>_</v>
      </c>
      <c r="BQ789" s="47"/>
      <c r="BR789" s="42" t="s">
        <v>16</v>
      </c>
      <c r="BS789" s="43" t="str">
        <f>IF(VLOOKUP(BR789,βοηθητικό!$J$2:$N$354,3,FALSE)="","",VLOOKUP(BR789,βοηθητικό!$J$2:$N$354,3,FALSE))</f>
        <v>_</v>
      </c>
      <c r="BT789" s="44"/>
      <c r="BU789" s="45" t="s">
        <v>16</v>
      </c>
      <c r="BV789" s="46" t="str">
        <f>IF(VLOOKUP(BU789,βοηθητικό!$J$2:$N$354,3,FALSE)="","",VLOOKUP(BU789,βοηθητικό!$J$2:$N$354,3,FALSE))</f>
        <v>_</v>
      </c>
      <c r="BW789" s="47"/>
      <c r="BX789" s="42" t="s">
        <v>16</v>
      </c>
      <c r="BY789" s="43" t="str">
        <f>IF(VLOOKUP(BX789,βοηθητικό!$J$2:$N$354,3,FALSE)="","",VLOOKUP(BX789,βοηθητικό!$J$2:$N$354,3,FALSE))</f>
        <v>_</v>
      </c>
      <c r="BZ789" s="44"/>
      <c r="CA789" s="45" t="s">
        <v>16</v>
      </c>
      <c r="CB789" s="46" t="str">
        <f>IF(VLOOKUP(CA789,βοηθητικό!$J$2:$N$354,3,FALSE)="","",VLOOKUP(CA789,βοηθητικό!$J$2:$N$354,3,FALSE))</f>
        <v>_</v>
      </c>
      <c r="CC789" s="47"/>
      <c r="CD789" s="42" t="s">
        <v>16</v>
      </c>
      <c r="CE789" s="43" t="str">
        <f>IF(VLOOKUP(CD789,βοηθητικό!$J$2:$N$354,3,FALSE)="","",VLOOKUP(CD789,βοηθητικό!$J$2:$N$354,3,FALSE))</f>
        <v>_</v>
      </c>
      <c r="CF789" s="44"/>
      <c r="CG789" s="45" t="s">
        <v>16</v>
      </c>
      <c r="CH789" s="46" t="str">
        <f>IF(VLOOKUP(CG789,βοηθητικό!$J$2:$N$354,3,FALSE)="","",VLOOKUP(CG789,βοηθητικό!$J$2:$N$354,3,FALSE))</f>
        <v>_</v>
      </c>
      <c r="CI789" s="47"/>
      <c r="CJ789" s="42" t="s">
        <v>16</v>
      </c>
      <c r="CK789" s="43" t="str">
        <f>IF(VLOOKUP(CJ789,βοηθητικό!$J$2:$N$354,3,FALSE)="","",VLOOKUP(CJ789,βοηθητικό!$J$2:$N$354,3,FALSE))</f>
        <v>_</v>
      </c>
      <c r="CL789" s="44"/>
      <c r="CM789" s="45" t="s">
        <v>16</v>
      </c>
      <c r="CN789" s="46" t="str">
        <f>IF(VLOOKUP(CM789,βοηθητικό!$J$2:$N$354,3,FALSE)="","",VLOOKUP(CM789,βοηθητικό!$J$2:$N$354,3,FALSE))</f>
        <v>_</v>
      </c>
      <c r="CO789" s="47"/>
      <c r="CP789" s="42" t="s">
        <v>16</v>
      </c>
      <c r="CQ789" s="43" t="str">
        <f>IF(VLOOKUP(CP789,βοηθητικό!$J$2:$N$354,3,FALSE)="","",VLOOKUP(CP789,βοηθητικό!$J$2:$N$354,3,FALSE))</f>
        <v>_</v>
      </c>
      <c r="CR789" s="44"/>
      <c r="CS789" s="45" t="s">
        <v>16</v>
      </c>
      <c r="CT789" s="46" t="str">
        <f>IF(VLOOKUP(CS789,βοηθητικό!$J$2:$N$354,3,FALSE)="","",VLOOKUP(CS789,βοηθητικό!$J$2:$N$354,3,FALSE))</f>
        <v>_</v>
      </c>
      <c r="CU789" s="47"/>
    </row>
    <row r="790" spans="1:99" x14ac:dyDescent="0.25">
      <c r="A790" s="37">
        <f>--SUBTOTAL(3,$B$3:B789)</f>
        <v>198</v>
      </c>
      <c r="B790" s="2"/>
      <c r="C790" s="3"/>
      <c r="D790" s="55" t="s">
        <v>18</v>
      </c>
      <c r="E790" s="38" t="s">
        <v>16</v>
      </c>
      <c r="F790" s="38"/>
      <c r="G790" s="39" t="str">
        <f t="shared" si="38"/>
        <v>__</v>
      </c>
      <c r="H790" s="40" t="str">
        <f t="shared" si="39"/>
        <v>FALSE</v>
      </c>
      <c r="I790" s="41">
        <f t="shared" si="40"/>
        <v>0</v>
      </c>
      <c r="J790" s="4" t="s">
        <v>16</v>
      </c>
      <c r="K790" s="43" t="str">
        <f>IF(VLOOKUP(J790,βοηθητικό!$J$2:$N$354,3,FALSE)="","",VLOOKUP(J790,βοηθητικό!$J$2:$N$354,3,FALSE))</f>
        <v>_</v>
      </c>
      <c r="L790" s="44"/>
      <c r="M790" s="5" t="s">
        <v>16</v>
      </c>
      <c r="N790" s="46" t="str">
        <f>IF(VLOOKUP(M790,βοηθητικό!$J$2:$N$354,3,FALSE)="","",VLOOKUP(M790,βοηθητικό!$J$2:$N$354,3,FALSE))</f>
        <v>_</v>
      </c>
      <c r="O790" s="47"/>
      <c r="P790" s="4" t="s">
        <v>16</v>
      </c>
      <c r="Q790" s="43" t="str">
        <f>IF(VLOOKUP(P790,βοηθητικό!$J$2:$N$354,3,FALSE)="","",VLOOKUP(P790,βοηθητικό!$J$2:$N$354,3,FALSE))</f>
        <v>_</v>
      </c>
      <c r="R790" s="44"/>
      <c r="S790" s="5" t="s">
        <v>16</v>
      </c>
      <c r="T790" s="46" t="str">
        <f>IF(VLOOKUP(S790,βοηθητικό!$J$2:$N$354,3,FALSE)="","",VLOOKUP(S790,βοηθητικό!$J$2:$N$354,3,FALSE))</f>
        <v>_</v>
      </c>
      <c r="U790" s="47"/>
      <c r="V790" s="4" t="s">
        <v>16</v>
      </c>
      <c r="W790" s="43" t="str">
        <f>IF(VLOOKUP(V790,βοηθητικό!$J$2:$N$354,3,FALSE)="","",VLOOKUP(V790,βοηθητικό!$J$2:$N$354,3,FALSE))</f>
        <v>_</v>
      </c>
      <c r="X790" s="44"/>
      <c r="Y790" s="5" t="s">
        <v>16</v>
      </c>
      <c r="Z790" s="46" t="str">
        <f>IF(VLOOKUP(Y790,βοηθητικό!$J$2:$N$354,3,FALSE)="","",VLOOKUP(Y790,βοηθητικό!$J$2:$N$354,3,FALSE))</f>
        <v>_</v>
      </c>
      <c r="AA790" s="47"/>
      <c r="AB790" s="4" t="s">
        <v>16</v>
      </c>
      <c r="AC790" s="43" t="str">
        <f>IF(VLOOKUP(AB790,βοηθητικό!$J$2:$N$354,3,FALSE)="","",VLOOKUP(AB790,βοηθητικό!$J$2:$N$354,3,FALSE))</f>
        <v>_</v>
      </c>
      <c r="AD790" s="44"/>
      <c r="AE790" s="5" t="s">
        <v>16</v>
      </c>
      <c r="AF790" s="46" t="str">
        <f>IF(VLOOKUP(AE790,βοηθητικό!$J$2:$N$354,3,FALSE)="","",VLOOKUP(AE790,βοηθητικό!$J$2:$N$354,3,FALSE))</f>
        <v>_</v>
      </c>
      <c r="AG790" s="47"/>
      <c r="AH790" s="4" t="s">
        <v>16</v>
      </c>
      <c r="AI790" s="43" t="str">
        <f>IF(VLOOKUP(AH790,βοηθητικό!$J$2:$N$354,3,FALSE)="","",VLOOKUP(AH790,βοηθητικό!$J$2:$N$354,3,FALSE))</f>
        <v>_</v>
      </c>
      <c r="AJ790" s="44"/>
      <c r="AK790" s="5" t="s">
        <v>16</v>
      </c>
      <c r="AL790" s="46" t="str">
        <f>IF(VLOOKUP(AK790,βοηθητικό!$J$2:$N$354,3,FALSE)="","",VLOOKUP(AK790,βοηθητικό!$J$2:$N$354,3,FALSE))</f>
        <v>_</v>
      </c>
      <c r="AM790" s="47"/>
      <c r="AN790" s="4" t="s">
        <v>16</v>
      </c>
      <c r="AO790" s="43" t="str">
        <f>IF(VLOOKUP(AN790,βοηθητικό!$J$2:$N$354,3,FALSE)="","",VLOOKUP(AN790,βοηθητικό!$J$2:$N$354,3,FALSE))</f>
        <v>_</v>
      </c>
      <c r="AP790" s="44"/>
      <c r="AQ790" s="5" t="s">
        <v>16</v>
      </c>
      <c r="AR790" s="46" t="str">
        <f>IF(VLOOKUP(AQ790,βοηθητικό!$J$2:$N$354,3,FALSE)="","",VLOOKUP(AQ790,βοηθητικό!$J$2:$N$354,3,FALSE))</f>
        <v>_</v>
      </c>
      <c r="AS790" s="47"/>
      <c r="AT790" s="4" t="s">
        <v>16</v>
      </c>
      <c r="AU790" s="43" t="str">
        <f>IF(VLOOKUP(AT790,βοηθητικό!$J$2:$N$354,3,FALSE)="","",VLOOKUP(AT790,βοηθητικό!$J$2:$N$354,3,FALSE))</f>
        <v>_</v>
      </c>
      <c r="AV790" s="44"/>
      <c r="AW790" s="5" t="s">
        <v>16</v>
      </c>
      <c r="AX790" s="46" t="str">
        <f>IF(VLOOKUP(AW790,βοηθητικό!$J$2:$N$354,3,FALSE)="","",VLOOKUP(AW790,βοηθητικό!$J$2:$N$354,3,FALSE))</f>
        <v>_</v>
      </c>
      <c r="AY790" s="47"/>
      <c r="AZ790" s="4" t="s">
        <v>16</v>
      </c>
      <c r="BA790" s="43" t="str">
        <f>IF(VLOOKUP(AZ790,βοηθητικό!$J$2:$N$354,3,FALSE)="","",VLOOKUP(AZ790,βοηθητικό!$J$2:$N$354,3,FALSE))</f>
        <v>_</v>
      </c>
      <c r="BB790" s="44"/>
      <c r="BC790" s="45" t="s">
        <v>16</v>
      </c>
      <c r="BD790" s="46" t="str">
        <f>IF(VLOOKUP(BC790,βοηθητικό!$J$2:$N$354,3,FALSE)="","",VLOOKUP(BC790,βοηθητικό!$J$2:$N$354,3,FALSE))</f>
        <v>_</v>
      </c>
      <c r="BE790" s="47"/>
      <c r="BF790" s="42" t="s">
        <v>16</v>
      </c>
      <c r="BG790" s="43" t="str">
        <f>IF(VLOOKUP(BF790,βοηθητικό!$J$2:$N$354,3,FALSE)="","",VLOOKUP(BF790,βοηθητικό!$J$2:$N$354,3,FALSE))</f>
        <v>_</v>
      </c>
      <c r="BH790" s="44"/>
      <c r="BI790" s="45" t="s">
        <v>16</v>
      </c>
      <c r="BJ790" s="46" t="str">
        <f>IF(VLOOKUP(BI790,βοηθητικό!$J$2:$N$354,3,FALSE)="","",VLOOKUP(BI790,βοηθητικό!$J$2:$N$354,3,FALSE))</f>
        <v>_</v>
      </c>
      <c r="BK790" s="47"/>
      <c r="BL790" s="42" t="s">
        <v>16</v>
      </c>
      <c r="BM790" s="43" t="str">
        <f>IF(VLOOKUP(BL790,βοηθητικό!$J$2:$N$354,3,FALSE)="","",VLOOKUP(BL790,βοηθητικό!$J$2:$N$354,3,FALSE))</f>
        <v>_</v>
      </c>
      <c r="BN790" s="44"/>
      <c r="BO790" s="45" t="s">
        <v>16</v>
      </c>
      <c r="BP790" s="46" t="str">
        <f>IF(VLOOKUP(BO790,βοηθητικό!$J$2:$N$354,3,FALSE)="","",VLOOKUP(BO790,βοηθητικό!$J$2:$N$354,3,FALSE))</f>
        <v>_</v>
      </c>
      <c r="BQ790" s="47"/>
      <c r="BR790" s="42" t="s">
        <v>16</v>
      </c>
      <c r="BS790" s="43" t="str">
        <f>IF(VLOOKUP(BR790,βοηθητικό!$J$2:$N$354,3,FALSE)="","",VLOOKUP(BR790,βοηθητικό!$J$2:$N$354,3,FALSE))</f>
        <v>_</v>
      </c>
      <c r="BT790" s="44"/>
      <c r="BU790" s="45" t="s">
        <v>16</v>
      </c>
      <c r="BV790" s="46" t="str">
        <f>IF(VLOOKUP(BU790,βοηθητικό!$J$2:$N$354,3,FALSE)="","",VLOOKUP(BU790,βοηθητικό!$J$2:$N$354,3,FALSE))</f>
        <v>_</v>
      </c>
      <c r="BW790" s="47"/>
      <c r="BX790" s="42" t="s">
        <v>16</v>
      </c>
      <c r="BY790" s="43" t="str">
        <f>IF(VLOOKUP(BX790,βοηθητικό!$J$2:$N$354,3,FALSE)="","",VLOOKUP(BX790,βοηθητικό!$J$2:$N$354,3,FALSE))</f>
        <v>_</v>
      </c>
      <c r="BZ790" s="44"/>
      <c r="CA790" s="45" t="s">
        <v>16</v>
      </c>
      <c r="CB790" s="46" t="str">
        <f>IF(VLOOKUP(CA790,βοηθητικό!$J$2:$N$354,3,FALSE)="","",VLOOKUP(CA790,βοηθητικό!$J$2:$N$354,3,FALSE))</f>
        <v>_</v>
      </c>
      <c r="CC790" s="47"/>
      <c r="CD790" s="42" t="s">
        <v>16</v>
      </c>
      <c r="CE790" s="43" t="str">
        <f>IF(VLOOKUP(CD790,βοηθητικό!$J$2:$N$354,3,FALSE)="","",VLOOKUP(CD790,βοηθητικό!$J$2:$N$354,3,FALSE))</f>
        <v>_</v>
      </c>
      <c r="CF790" s="44"/>
      <c r="CG790" s="45" t="s">
        <v>16</v>
      </c>
      <c r="CH790" s="46" t="str">
        <f>IF(VLOOKUP(CG790,βοηθητικό!$J$2:$N$354,3,FALSE)="","",VLOOKUP(CG790,βοηθητικό!$J$2:$N$354,3,FALSE))</f>
        <v>_</v>
      </c>
      <c r="CI790" s="47"/>
      <c r="CJ790" s="42" t="s">
        <v>16</v>
      </c>
      <c r="CK790" s="43" t="str">
        <f>IF(VLOOKUP(CJ790,βοηθητικό!$J$2:$N$354,3,FALSE)="","",VLOOKUP(CJ790,βοηθητικό!$J$2:$N$354,3,FALSE))</f>
        <v>_</v>
      </c>
      <c r="CL790" s="44"/>
      <c r="CM790" s="45" t="s">
        <v>16</v>
      </c>
      <c r="CN790" s="46" t="str">
        <f>IF(VLOOKUP(CM790,βοηθητικό!$J$2:$N$354,3,FALSE)="","",VLOOKUP(CM790,βοηθητικό!$J$2:$N$354,3,FALSE))</f>
        <v>_</v>
      </c>
      <c r="CO790" s="47"/>
      <c r="CP790" s="42" t="s">
        <v>16</v>
      </c>
      <c r="CQ790" s="43" t="str">
        <f>IF(VLOOKUP(CP790,βοηθητικό!$J$2:$N$354,3,FALSE)="","",VLOOKUP(CP790,βοηθητικό!$J$2:$N$354,3,FALSE))</f>
        <v>_</v>
      </c>
      <c r="CR790" s="44"/>
      <c r="CS790" s="45" t="s">
        <v>16</v>
      </c>
      <c r="CT790" s="46" t="str">
        <f>IF(VLOOKUP(CS790,βοηθητικό!$J$2:$N$354,3,FALSE)="","",VLOOKUP(CS790,βοηθητικό!$J$2:$N$354,3,FALSE))</f>
        <v>_</v>
      </c>
      <c r="CU790" s="47"/>
    </row>
    <row r="791" spans="1:99" x14ac:dyDescent="0.25">
      <c r="A791" s="37">
        <f>--SUBTOTAL(3,$B$3:B790)</f>
        <v>198</v>
      </c>
      <c r="B791" s="2"/>
      <c r="C791" s="3"/>
      <c r="D791" s="55" t="s">
        <v>18</v>
      </c>
      <c r="E791" s="38" t="s">
        <v>16</v>
      </c>
      <c r="F791" s="38"/>
      <c r="G791" s="39" t="str">
        <f t="shared" si="38"/>
        <v>__</v>
      </c>
      <c r="H791" s="40" t="str">
        <f t="shared" si="39"/>
        <v>FALSE</v>
      </c>
      <c r="I791" s="41">
        <f t="shared" si="40"/>
        <v>0</v>
      </c>
      <c r="J791" s="4" t="s">
        <v>16</v>
      </c>
      <c r="K791" s="43" t="str">
        <f>IF(VLOOKUP(J791,βοηθητικό!$J$2:$N$354,3,FALSE)="","",VLOOKUP(J791,βοηθητικό!$J$2:$N$354,3,FALSE))</f>
        <v>_</v>
      </c>
      <c r="L791" s="44"/>
      <c r="M791" s="5" t="s">
        <v>16</v>
      </c>
      <c r="N791" s="46" t="str">
        <f>IF(VLOOKUP(M791,βοηθητικό!$J$2:$N$354,3,FALSE)="","",VLOOKUP(M791,βοηθητικό!$J$2:$N$354,3,FALSE))</f>
        <v>_</v>
      </c>
      <c r="O791" s="47"/>
      <c r="P791" s="4" t="s">
        <v>16</v>
      </c>
      <c r="Q791" s="43" t="str">
        <f>IF(VLOOKUP(P791,βοηθητικό!$J$2:$N$354,3,FALSE)="","",VLOOKUP(P791,βοηθητικό!$J$2:$N$354,3,FALSE))</f>
        <v>_</v>
      </c>
      <c r="R791" s="44"/>
      <c r="S791" s="5" t="s">
        <v>16</v>
      </c>
      <c r="T791" s="46" t="str">
        <f>IF(VLOOKUP(S791,βοηθητικό!$J$2:$N$354,3,FALSE)="","",VLOOKUP(S791,βοηθητικό!$J$2:$N$354,3,FALSE))</f>
        <v>_</v>
      </c>
      <c r="U791" s="47"/>
      <c r="V791" s="4" t="s">
        <v>16</v>
      </c>
      <c r="W791" s="43" t="str">
        <f>IF(VLOOKUP(V791,βοηθητικό!$J$2:$N$354,3,FALSE)="","",VLOOKUP(V791,βοηθητικό!$J$2:$N$354,3,FALSE))</f>
        <v>_</v>
      </c>
      <c r="X791" s="44"/>
      <c r="Y791" s="5" t="s">
        <v>16</v>
      </c>
      <c r="Z791" s="46" t="str">
        <f>IF(VLOOKUP(Y791,βοηθητικό!$J$2:$N$354,3,FALSE)="","",VLOOKUP(Y791,βοηθητικό!$J$2:$N$354,3,FALSE))</f>
        <v>_</v>
      </c>
      <c r="AA791" s="47"/>
      <c r="AB791" s="4" t="s">
        <v>16</v>
      </c>
      <c r="AC791" s="43" t="str">
        <f>IF(VLOOKUP(AB791,βοηθητικό!$J$2:$N$354,3,FALSE)="","",VLOOKUP(AB791,βοηθητικό!$J$2:$N$354,3,FALSE))</f>
        <v>_</v>
      </c>
      <c r="AD791" s="44"/>
      <c r="AE791" s="5" t="s">
        <v>16</v>
      </c>
      <c r="AF791" s="46" t="str">
        <f>IF(VLOOKUP(AE791,βοηθητικό!$J$2:$N$354,3,FALSE)="","",VLOOKUP(AE791,βοηθητικό!$J$2:$N$354,3,FALSE))</f>
        <v>_</v>
      </c>
      <c r="AG791" s="47"/>
      <c r="AH791" s="4" t="s">
        <v>16</v>
      </c>
      <c r="AI791" s="43" t="str">
        <f>IF(VLOOKUP(AH791,βοηθητικό!$J$2:$N$354,3,FALSE)="","",VLOOKUP(AH791,βοηθητικό!$J$2:$N$354,3,FALSE))</f>
        <v>_</v>
      </c>
      <c r="AJ791" s="44"/>
      <c r="AK791" s="5" t="s">
        <v>16</v>
      </c>
      <c r="AL791" s="46" t="str">
        <f>IF(VLOOKUP(AK791,βοηθητικό!$J$2:$N$354,3,FALSE)="","",VLOOKUP(AK791,βοηθητικό!$J$2:$N$354,3,FALSE))</f>
        <v>_</v>
      </c>
      <c r="AM791" s="47"/>
      <c r="AN791" s="4" t="s">
        <v>16</v>
      </c>
      <c r="AO791" s="43" t="str">
        <f>IF(VLOOKUP(AN791,βοηθητικό!$J$2:$N$354,3,FALSE)="","",VLOOKUP(AN791,βοηθητικό!$J$2:$N$354,3,FALSE))</f>
        <v>_</v>
      </c>
      <c r="AP791" s="44"/>
      <c r="AQ791" s="5" t="s">
        <v>16</v>
      </c>
      <c r="AR791" s="46" t="str">
        <f>IF(VLOOKUP(AQ791,βοηθητικό!$J$2:$N$354,3,FALSE)="","",VLOOKUP(AQ791,βοηθητικό!$J$2:$N$354,3,FALSE))</f>
        <v>_</v>
      </c>
      <c r="AS791" s="47"/>
      <c r="AT791" s="4" t="s">
        <v>16</v>
      </c>
      <c r="AU791" s="43" t="str">
        <f>IF(VLOOKUP(AT791,βοηθητικό!$J$2:$N$354,3,FALSE)="","",VLOOKUP(AT791,βοηθητικό!$J$2:$N$354,3,FALSE))</f>
        <v>_</v>
      </c>
      <c r="AV791" s="44"/>
      <c r="AW791" s="5" t="s">
        <v>16</v>
      </c>
      <c r="AX791" s="46" t="str">
        <f>IF(VLOOKUP(AW791,βοηθητικό!$J$2:$N$354,3,FALSE)="","",VLOOKUP(AW791,βοηθητικό!$J$2:$N$354,3,FALSE))</f>
        <v>_</v>
      </c>
      <c r="AY791" s="47"/>
      <c r="AZ791" s="4" t="s">
        <v>16</v>
      </c>
      <c r="BA791" s="43" t="str">
        <f>IF(VLOOKUP(AZ791,βοηθητικό!$J$2:$N$354,3,FALSE)="","",VLOOKUP(AZ791,βοηθητικό!$J$2:$N$354,3,FALSE))</f>
        <v>_</v>
      </c>
      <c r="BB791" s="44"/>
      <c r="BC791" s="45" t="s">
        <v>16</v>
      </c>
      <c r="BD791" s="46" t="str">
        <f>IF(VLOOKUP(BC791,βοηθητικό!$J$2:$N$354,3,FALSE)="","",VLOOKUP(BC791,βοηθητικό!$J$2:$N$354,3,FALSE))</f>
        <v>_</v>
      </c>
      <c r="BE791" s="47"/>
      <c r="BF791" s="42" t="s">
        <v>16</v>
      </c>
      <c r="BG791" s="43" t="str">
        <f>IF(VLOOKUP(BF791,βοηθητικό!$J$2:$N$354,3,FALSE)="","",VLOOKUP(BF791,βοηθητικό!$J$2:$N$354,3,FALSE))</f>
        <v>_</v>
      </c>
      <c r="BH791" s="44"/>
      <c r="BI791" s="45" t="s">
        <v>16</v>
      </c>
      <c r="BJ791" s="46" t="str">
        <f>IF(VLOOKUP(BI791,βοηθητικό!$J$2:$N$354,3,FALSE)="","",VLOOKUP(BI791,βοηθητικό!$J$2:$N$354,3,FALSE))</f>
        <v>_</v>
      </c>
      <c r="BK791" s="47"/>
      <c r="BL791" s="42" t="s">
        <v>16</v>
      </c>
      <c r="BM791" s="43" t="str">
        <f>IF(VLOOKUP(BL791,βοηθητικό!$J$2:$N$354,3,FALSE)="","",VLOOKUP(BL791,βοηθητικό!$J$2:$N$354,3,FALSE))</f>
        <v>_</v>
      </c>
      <c r="BN791" s="44"/>
      <c r="BO791" s="45" t="s">
        <v>16</v>
      </c>
      <c r="BP791" s="46" t="str">
        <f>IF(VLOOKUP(BO791,βοηθητικό!$J$2:$N$354,3,FALSE)="","",VLOOKUP(BO791,βοηθητικό!$J$2:$N$354,3,FALSE))</f>
        <v>_</v>
      </c>
      <c r="BQ791" s="47"/>
      <c r="BR791" s="42" t="s">
        <v>16</v>
      </c>
      <c r="BS791" s="43" t="str">
        <f>IF(VLOOKUP(BR791,βοηθητικό!$J$2:$N$354,3,FALSE)="","",VLOOKUP(BR791,βοηθητικό!$J$2:$N$354,3,FALSE))</f>
        <v>_</v>
      </c>
      <c r="BT791" s="44"/>
      <c r="BU791" s="45" t="s">
        <v>16</v>
      </c>
      <c r="BV791" s="46" t="str">
        <f>IF(VLOOKUP(BU791,βοηθητικό!$J$2:$N$354,3,FALSE)="","",VLOOKUP(BU791,βοηθητικό!$J$2:$N$354,3,FALSE))</f>
        <v>_</v>
      </c>
      <c r="BW791" s="47"/>
      <c r="BX791" s="42" t="s">
        <v>16</v>
      </c>
      <c r="BY791" s="43" t="str">
        <f>IF(VLOOKUP(BX791,βοηθητικό!$J$2:$N$354,3,FALSE)="","",VLOOKUP(BX791,βοηθητικό!$J$2:$N$354,3,FALSE))</f>
        <v>_</v>
      </c>
      <c r="BZ791" s="44"/>
      <c r="CA791" s="45" t="s">
        <v>16</v>
      </c>
      <c r="CB791" s="46" t="str">
        <f>IF(VLOOKUP(CA791,βοηθητικό!$J$2:$N$354,3,FALSE)="","",VLOOKUP(CA791,βοηθητικό!$J$2:$N$354,3,FALSE))</f>
        <v>_</v>
      </c>
      <c r="CC791" s="47"/>
      <c r="CD791" s="42" t="s">
        <v>16</v>
      </c>
      <c r="CE791" s="43" t="str">
        <f>IF(VLOOKUP(CD791,βοηθητικό!$J$2:$N$354,3,FALSE)="","",VLOOKUP(CD791,βοηθητικό!$J$2:$N$354,3,FALSE))</f>
        <v>_</v>
      </c>
      <c r="CF791" s="44"/>
      <c r="CG791" s="45" t="s">
        <v>16</v>
      </c>
      <c r="CH791" s="46" t="str">
        <f>IF(VLOOKUP(CG791,βοηθητικό!$J$2:$N$354,3,FALSE)="","",VLOOKUP(CG791,βοηθητικό!$J$2:$N$354,3,FALSE))</f>
        <v>_</v>
      </c>
      <c r="CI791" s="47"/>
      <c r="CJ791" s="42" t="s">
        <v>16</v>
      </c>
      <c r="CK791" s="43" t="str">
        <f>IF(VLOOKUP(CJ791,βοηθητικό!$J$2:$N$354,3,FALSE)="","",VLOOKUP(CJ791,βοηθητικό!$J$2:$N$354,3,FALSE))</f>
        <v>_</v>
      </c>
      <c r="CL791" s="44"/>
      <c r="CM791" s="45" t="s">
        <v>16</v>
      </c>
      <c r="CN791" s="46" t="str">
        <f>IF(VLOOKUP(CM791,βοηθητικό!$J$2:$N$354,3,FALSE)="","",VLOOKUP(CM791,βοηθητικό!$J$2:$N$354,3,FALSE))</f>
        <v>_</v>
      </c>
      <c r="CO791" s="47"/>
      <c r="CP791" s="42" t="s">
        <v>16</v>
      </c>
      <c r="CQ791" s="43" t="str">
        <f>IF(VLOOKUP(CP791,βοηθητικό!$J$2:$N$354,3,FALSE)="","",VLOOKUP(CP791,βοηθητικό!$J$2:$N$354,3,FALSE))</f>
        <v>_</v>
      </c>
      <c r="CR791" s="44"/>
      <c r="CS791" s="45" t="s">
        <v>16</v>
      </c>
      <c r="CT791" s="46" t="str">
        <f>IF(VLOOKUP(CS791,βοηθητικό!$J$2:$N$354,3,FALSE)="","",VLOOKUP(CS791,βοηθητικό!$J$2:$N$354,3,FALSE))</f>
        <v>_</v>
      </c>
      <c r="CU791" s="47"/>
    </row>
    <row r="792" spans="1:99" x14ac:dyDescent="0.25">
      <c r="A792" s="37">
        <f>--SUBTOTAL(3,$B$3:B791)</f>
        <v>198</v>
      </c>
      <c r="B792" s="2"/>
      <c r="C792" s="3"/>
      <c r="D792" s="55" t="s">
        <v>18</v>
      </c>
      <c r="E792" s="38" t="s">
        <v>16</v>
      </c>
      <c r="F792" s="38"/>
      <c r="G792" s="39" t="str">
        <f t="shared" si="38"/>
        <v>__</v>
      </c>
      <c r="H792" s="40" t="str">
        <f t="shared" si="39"/>
        <v>FALSE</v>
      </c>
      <c r="I792" s="41">
        <f t="shared" si="40"/>
        <v>0</v>
      </c>
      <c r="J792" s="4" t="s">
        <v>16</v>
      </c>
      <c r="K792" s="43" t="str">
        <f>IF(VLOOKUP(J792,βοηθητικό!$J$2:$N$354,3,FALSE)="","",VLOOKUP(J792,βοηθητικό!$J$2:$N$354,3,FALSE))</f>
        <v>_</v>
      </c>
      <c r="L792" s="44"/>
      <c r="M792" s="5" t="s">
        <v>16</v>
      </c>
      <c r="N792" s="46" t="str">
        <f>IF(VLOOKUP(M792,βοηθητικό!$J$2:$N$354,3,FALSE)="","",VLOOKUP(M792,βοηθητικό!$J$2:$N$354,3,FALSE))</f>
        <v>_</v>
      </c>
      <c r="O792" s="47"/>
      <c r="P792" s="4" t="s">
        <v>16</v>
      </c>
      <c r="Q792" s="43" t="str">
        <f>IF(VLOOKUP(P792,βοηθητικό!$J$2:$N$354,3,FALSE)="","",VLOOKUP(P792,βοηθητικό!$J$2:$N$354,3,FALSE))</f>
        <v>_</v>
      </c>
      <c r="R792" s="44"/>
      <c r="S792" s="5" t="s">
        <v>16</v>
      </c>
      <c r="T792" s="46" t="str">
        <f>IF(VLOOKUP(S792,βοηθητικό!$J$2:$N$354,3,FALSE)="","",VLOOKUP(S792,βοηθητικό!$J$2:$N$354,3,FALSE))</f>
        <v>_</v>
      </c>
      <c r="U792" s="47"/>
      <c r="V792" s="4" t="s">
        <v>16</v>
      </c>
      <c r="W792" s="43" t="str">
        <f>IF(VLOOKUP(V792,βοηθητικό!$J$2:$N$354,3,FALSE)="","",VLOOKUP(V792,βοηθητικό!$J$2:$N$354,3,FALSE))</f>
        <v>_</v>
      </c>
      <c r="X792" s="44"/>
      <c r="Y792" s="5" t="s">
        <v>16</v>
      </c>
      <c r="Z792" s="46" t="str">
        <f>IF(VLOOKUP(Y792,βοηθητικό!$J$2:$N$354,3,FALSE)="","",VLOOKUP(Y792,βοηθητικό!$J$2:$N$354,3,FALSE))</f>
        <v>_</v>
      </c>
      <c r="AA792" s="47"/>
      <c r="AB792" s="4" t="s">
        <v>16</v>
      </c>
      <c r="AC792" s="43" t="str">
        <f>IF(VLOOKUP(AB792,βοηθητικό!$J$2:$N$354,3,FALSE)="","",VLOOKUP(AB792,βοηθητικό!$J$2:$N$354,3,FALSE))</f>
        <v>_</v>
      </c>
      <c r="AD792" s="44"/>
      <c r="AE792" s="5" t="s">
        <v>16</v>
      </c>
      <c r="AF792" s="46" t="str">
        <f>IF(VLOOKUP(AE792,βοηθητικό!$J$2:$N$354,3,FALSE)="","",VLOOKUP(AE792,βοηθητικό!$J$2:$N$354,3,FALSE))</f>
        <v>_</v>
      </c>
      <c r="AG792" s="47"/>
      <c r="AH792" s="4" t="s">
        <v>16</v>
      </c>
      <c r="AI792" s="43" t="str">
        <f>IF(VLOOKUP(AH792,βοηθητικό!$J$2:$N$354,3,FALSE)="","",VLOOKUP(AH792,βοηθητικό!$J$2:$N$354,3,FALSE))</f>
        <v>_</v>
      </c>
      <c r="AJ792" s="44"/>
      <c r="AK792" s="5" t="s">
        <v>16</v>
      </c>
      <c r="AL792" s="46" t="str">
        <f>IF(VLOOKUP(AK792,βοηθητικό!$J$2:$N$354,3,FALSE)="","",VLOOKUP(AK792,βοηθητικό!$J$2:$N$354,3,FALSE))</f>
        <v>_</v>
      </c>
      <c r="AM792" s="47"/>
      <c r="AN792" s="4" t="s">
        <v>16</v>
      </c>
      <c r="AO792" s="43" t="str">
        <f>IF(VLOOKUP(AN792,βοηθητικό!$J$2:$N$354,3,FALSE)="","",VLOOKUP(AN792,βοηθητικό!$J$2:$N$354,3,FALSE))</f>
        <v>_</v>
      </c>
      <c r="AP792" s="44"/>
      <c r="AQ792" s="5" t="s">
        <v>16</v>
      </c>
      <c r="AR792" s="46" t="str">
        <f>IF(VLOOKUP(AQ792,βοηθητικό!$J$2:$N$354,3,FALSE)="","",VLOOKUP(AQ792,βοηθητικό!$J$2:$N$354,3,FALSE))</f>
        <v>_</v>
      </c>
      <c r="AS792" s="47"/>
      <c r="AT792" s="4" t="s">
        <v>16</v>
      </c>
      <c r="AU792" s="43" t="str">
        <f>IF(VLOOKUP(AT792,βοηθητικό!$J$2:$N$354,3,FALSE)="","",VLOOKUP(AT792,βοηθητικό!$J$2:$N$354,3,FALSE))</f>
        <v>_</v>
      </c>
      <c r="AV792" s="44"/>
      <c r="AW792" s="5" t="s">
        <v>16</v>
      </c>
      <c r="AX792" s="46" t="str">
        <f>IF(VLOOKUP(AW792,βοηθητικό!$J$2:$N$354,3,FALSE)="","",VLOOKUP(AW792,βοηθητικό!$J$2:$N$354,3,FALSE))</f>
        <v>_</v>
      </c>
      <c r="AY792" s="47"/>
      <c r="AZ792" s="4" t="s">
        <v>16</v>
      </c>
      <c r="BA792" s="43" t="str">
        <f>IF(VLOOKUP(AZ792,βοηθητικό!$J$2:$N$354,3,FALSE)="","",VLOOKUP(AZ792,βοηθητικό!$J$2:$N$354,3,FALSE))</f>
        <v>_</v>
      </c>
      <c r="BB792" s="44"/>
      <c r="BC792" s="45" t="s">
        <v>16</v>
      </c>
      <c r="BD792" s="46" t="str">
        <f>IF(VLOOKUP(BC792,βοηθητικό!$J$2:$N$354,3,FALSE)="","",VLOOKUP(BC792,βοηθητικό!$J$2:$N$354,3,FALSE))</f>
        <v>_</v>
      </c>
      <c r="BE792" s="47"/>
      <c r="BF792" s="42" t="s">
        <v>16</v>
      </c>
      <c r="BG792" s="43" t="str">
        <f>IF(VLOOKUP(BF792,βοηθητικό!$J$2:$N$354,3,FALSE)="","",VLOOKUP(BF792,βοηθητικό!$J$2:$N$354,3,FALSE))</f>
        <v>_</v>
      </c>
      <c r="BH792" s="44"/>
      <c r="BI792" s="45" t="s">
        <v>16</v>
      </c>
      <c r="BJ792" s="46" t="str">
        <f>IF(VLOOKUP(BI792,βοηθητικό!$J$2:$N$354,3,FALSE)="","",VLOOKUP(BI792,βοηθητικό!$J$2:$N$354,3,FALSE))</f>
        <v>_</v>
      </c>
      <c r="BK792" s="47"/>
      <c r="BL792" s="42" t="s">
        <v>16</v>
      </c>
      <c r="BM792" s="43" t="str">
        <f>IF(VLOOKUP(BL792,βοηθητικό!$J$2:$N$354,3,FALSE)="","",VLOOKUP(BL792,βοηθητικό!$J$2:$N$354,3,FALSE))</f>
        <v>_</v>
      </c>
      <c r="BN792" s="44"/>
      <c r="BO792" s="45" t="s">
        <v>16</v>
      </c>
      <c r="BP792" s="46" t="str">
        <f>IF(VLOOKUP(BO792,βοηθητικό!$J$2:$N$354,3,FALSE)="","",VLOOKUP(BO792,βοηθητικό!$J$2:$N$354,3,FALSE))</f>
        <v>_</v>
      </c>
      <c r="BQ792" s="47"/>
      <c r="BR792" s="42" t="s">
        <v>16</v>
      </c>
      <c r="BS792" s="43" t="str">
        <f>IF(VLOOKUP(BR792,βοηθητικό!$J$2:$N$354,3,FALSE)="","",VLOOKUP(BR792,βοηθητικό!$J$2:$N$354,3,FALSE))</f>
        <v>_</v>
      </c>
      <c r="BT792" s="44"/>
      <c r="BU792" s="45" t="s">
        <v>16</v>
      </c>
      <c r="BV792" s="46" t="str">
        <f>IF(VLOOKUP(BU792,βοηθητικό!$J$2:$N$354,3,FALSE)="","",VLOOKUP(BU792,βοηθητικό!$J$2:$N$354,3,FALSE))</f>
        <v>_</v>
      </c>
      <c r="BW792" s="47"/>
      <c r="BX792" s="42" t="s">
        <v>16</v>
      </c>
      <c r="BY792" s="43" t="str">
        <f>IF(VLOOKUP(BX792,βοηθητικό!$J$2:$N$354,3,FALSE)="","",VLOOKUP(BX792,βοηθητικό!$J$2:$N$354,3,FALSE))</f>
        <v>_</v>
      </c>
      <c r="BZ792" s="44"/>
      <c r="CA792" s="45" t="s">
        <v>16</v>
      </c>
      <c r="CB792" s="46" t="str">
        <f>IF(VLOOKUP(CA792,βοηθητικό!$J$2:$N$354,3,FALSE)="","",VLOOKUP(CA792,βοηθητικό!$J$2:$N$354,3,FALSE))</f>
        <v>_</v>
      </c>
      <c r="CC792" s="47"/>
      <c r="CD792" s="42" t="s">
        <v>16</v>
      </c>
      <c r="CE792" s="43" t="str">
        <f>IF(VLOOKUP(CD792,βοηθητικό!$J$2:$N$354,3,FALSE)="","",VLOOKUP(CD792,βοηθητικό!$J$2:$N$354,3,FALSE))</f>
        <v>_</v>
      </c>
      <c r="CF792" s="44"/>
      <c r="CG792" s="45" t="s">
        <v>16</v>
      </c>
      <c r="CH792" s="46" t="str">
        <f>IF(VLOOKUP(CG792,βοηθητικό!$J$2:$N$354,3,FALSE)="","",VLOOKUP(CG792,βοηθητικό!$J$2:$N$354,3,FALSE))</f>
        <v>_</v>
      </c>
      <c r="CI792" s="47"/>
      <c r="CJ792" s="42" t="s">
        <v>16</v>
      </c>
      <c r="CK792" s="43" t="str">
        <f>IF(VLOOKUP(CJ792,βοηθητικό!$J$2:$N$354,3,FALSE)="","",VLOOKUP(CJ792,βοηθητικό!$J$2:$N$354,3,FALSE))</f>
        <v>_</v>
      </c>
      <c r="CL792" s="44"/>
      <c r="CM792" s="45" t="s">
        <v>16</v>
      </c>
      <c r="CN792" s="46" t="str">
        <f>IF(VLOOKUP(CM792,βοηθητικό!$J$2:$N$354,3,FALSE)="","",VLOOKUP(CM792,βοηθητικό!$J$2:$N$354,3,FALSE))</f>
        <v>_</v>
      </c>
      <c r="CO792" s="47"/>
      <c r="CP792" s="42" t="s">
        <v>16</v>
      </c>
      <c r="CQ792" s="43" t="str">
        <f>IF(VLOOKUP(CP792,βοηθητικό!$J$2:$N$354,3,FALSE)="","",VLOOKUP(CP792,βοηθητικό!$J$2:$N$354,3,FALSE))</f>
        <v>_</v>
      </c>
      <c r="CR792" s="44"/>
      <c r="CS792" s="45" t="s">
        <v>16</v>
      </c>
      <c r="CT792" s="46" t="str">
        <f>IF(VLOOKUP(CS792,βοηθητικό!$J$2:$N$354,3,FALSE)="","",VLOOKUP(CS792,βοηθητικό!$J$2:$N$354,3,FALSE))</f>
        <v>_</v>
      </c>
      <c r="CU792" s="47"/>
    </row>
    <row r="793" spans="1:99" x14ac:dyDescent="0.25">
      <c r="A793" s="37">
        <f>--SUBTOTAL(3,$B$3:B792)</f>
        <v>198</v>
      </c>
      <c r="B793" s="2"/>
      <c r="C793" s="3"/>
      <c r="D793" s="55" t="s">
        <v>18</v>
      </c>
      <c r="E793" s="38" t="s">
        <v>16</v>
      </c>
      <c r="F793" s="38"/>
      <c r="G793" s="39" t="str">
        <f t="shared" si="38"/>
        <v>__</v>
      </c>
      <c r="H793" s="40" t="str">
        <f t="shared" si="39"/>
        <v>FALSE</v>
      </c>
      <c r="I793" s="41">
        <f t="shared" si="40"/>
        <v>0</v>
      </c>
      <c r="J793" s="4" t="s">
        <v>16</v>
      </c>
      <c r="K793" s="43" t="str">
        <f>IF(VLOOKUP(J793,βοηθητικό!$J$2:$N$354,3,FALSE)="","",VLOOKUP(J793,βοηθητικό!$J$2:$N$354,3,FALSE))</f>
        <v>_</v>
      </c>
      <c r="L793" s="44"/>
      <c r="M793" s="5" t="s">
        <v>16</v>
      </c>
      <c r="N793" s="46" t="str">
        <f>IF(VLOOKUP(M793,βοηθητικό!$J$2:$N$354,3,FALSE)="","",VLOOKUP(M793,βοηθητικό!$J$2:$N$354,3,FALSE))</f>
        <v>_</v>
      </c>
      <c r="O793" s="47"/>
      <c r="P793" s="4" t="s">
        <v>16</v>
      </c>
      <c r="Q793" s="43" t="str">
        <f>IF(VLOOKUP(P793,βοηθητικό!$J$2:$N$354,3,FALSE)="","",VLOOKUP(P793,βοηθητικό!$J$2:$N$354,3,FALSE))</f>
        <v>_</v>
      </c>
      <c r="R793" s="44"/>
      <c r="S793" s="5" t="s">
        <v>16</v>
      </c>
      <c r="T793" s="46" t="str">
        <f>IF(VLOOKUP(S793,βοηθητικό!$J$2:$N$354,3,FALSE)="","",VLOOKUP(S793,βοηθητικό!$J$2:$N$354,3,FALSE))</f>
        <v>_</v>
      </c>
      <c r="U793" s="47"/>
      <c r="V793" s="4" t="s">
        <v>16</v>
      </c>
      <c r="W793" s="43" t="str">
        <f>IF(VLOOKUP(V793,βοηθητικό!$J$2:$N$354,3,FALSE)="","",VLOOKUP(V793,βοηθητικό!$J$2:$N$354,3,FALSE))</f>
        <v>_</v>
      </c>
      <c r="X793" s="44"/>
      <c r="Y793" s="5" t="s">
        <v>16</v>
      </c>
      <c r="Z793" s="46" t="str">
        <f>IF(VLOOKUP(Y793,βοηθητικό!$J$2:$N$354,3,FALSE)="","",VLOOKUP(Y793,βοηθητικό!$J$2:$N$354,3,FALSE))</f>
        <v>_</v>
      </c>
      <c r="AA793" s="47"/>
      <c r="AB793" s="4" t="s">
        <v>16</v>
      </c>
      <c r="AC793" s="43" t="str">
        <f>IF(VLOOKUP(AB793,βοηθητικό!$J$2:$N$354,3,FALSE)="","",VLOOKUP(AB793,βοηθητικό!$J$2:$N$354,3,FALSE))</f>
        <v>_</v>
      </c>
      <c r="AD793" s="44"/>
      <c r="AE793" s="5" t="s">
        <v>16</v>
      </c>
      <c r="AF793" s="46" t="str">
        <f>IF(VLOOKUP(AE793,βοηθητικό!$J$2:$N$354,3,FALSE)="","",VLOOKUP(AE793,βοηθητικό!$J$2:$N$354,3,FALSE))</f>
        <v>_</v>
      </c>
      <c r="AG793" s="47"/>
      <c r="AH793" s="4" t="s">
        <v>16</v>
      </c>
      <c r="AI793" s="43" t="str">
        <f>IF(VLOOKUP(AH793,βοηθητικό!$J$2:$N$354,3,FALSE)="","",VLOOKUP(AH793,βοηθητικό!$J$2:$N$354,3,FALSE))</f>
        <v>_</v>
      </c>
      <c r="AJ793" s="44"/>
      <c r="AK793" s="5" t="s">
        <v>16</v>
      </c>
      <c r="AL793" s="46" t="str">
        <f>IF(VLOOKUP(AK793,βοηθητικό!$J$2:$N$354,3,FALSE)="","",VLOOKUP(AK793,βοηθητικό!$J$2:$N$354,3,FALSE))</f>
        <v>_</v>
      </c>
      <c r="AM793" s="47"/>
      <c r="AN793" s="4" t="s">
        <v>16</v>
      </c>
      <c r="AO793" s="43" t="str">
        <f>IF(VLOOKUP(AN793,βοηθητικό!$J$2:$N$354,3,FALSE)="","",VLOOKUP(AN793,βοηθητικό!$J$2:$N$354,3,FALSE))</f>
        <v>_</v>
      </c>
      <c r="AP793" s="44"/>
      <c r="AQ793" s="5" t="s">
        <v>16</v>
      </c>
      <c r="AR793" s="46" t="str">
        <f>IF(VLOOKUP(AQ793,βοηθητικό!$J$2:$N$354,3,FALSE)="","",VLOOKUP(AQ793,βοηθητικό!$J$2:$N$354,3,FALSE))</f>
        <v>_</v>
      </c>
      <c r="AS793" s="47"/>
      <c r="AT793" s="4" t="s">
        <v>16</v>
      </c>
      <c r="AU793" s="43" t="str">
        <f>IF(VLOOKUP(AT793,βοηθητικό!$J$2:$N$354,3,FALSE)="","",VLOOKUP(AT793,βοηθητικό!$J$2:$N$354,3,FALSE))</f>
        <v>_</v>
      </c>
      <c r="AV793" s="44"/>
      <c r="AW793" s="5" t="s">
        <v>16</v>
      </c>
      <c r="AX793" s="46" t="str">
        <f>IF(VLOOKUP(AW793,βοηθητικό!$J$2:$N$354,3,FALSE)="","",VLOOKUP(AW793,βοηθητικό!$J$2:$N$354,3,FALSE))</f>
        <v>_</v>
      </c>
      <c r="AY793" s="47"/>
      <c r="AZ793" s="4" t="s">
        <v>16</v>
      </c>
      <c r="BA793" s="43" t="str">
        <f>IF(VLOOKUP(AZ793,βοηθητικό!$J$2:$N$354,3,FALSE)="","",VLOOKUP(AZ793,βοηθητικό!$J$2:$N$354,3,FALSE))</f>
        <v>_</v>
      </c>
      <c r="BB793" s="44"/>
      <c r="BC793" s="45" t="s">
        <v>16</v>
      </c>
      <c r="BD793" s="46" t="str">
        <f>IF(VLOOKUP(BC793,βοηθητικό!$J$2:$N$354,3,FALSE)="","",VLOOKUP(BC793,βοηθητικό!$J$2:$N$354,3,FALSE))</f>
        <v>_</v>
      </c>
      <c r="BE793" s="47"/>
      <c r="BF793" s="42" t="s">
        <v>16</v>
      </c>
      <c r="BG793" s="43" t="str">
        <f>IF(VLOOKUP(BF793,βοηθητικό!$J$2:$N$354,3,FALSE)="","",VLOOKUP(BF793,βοηθητικό!$J$2:$N$354,3,FALSE))</f>
        <v>_</v>
      </c>
      <c r="BH793" s="44"/>
      <c r="BI793" s="45" t="s">
        <v>16</v>
      </c>
      <c r="BJ793" s="46" t="str">
        <f>IF(VLOOKUP(BI793,βοηθητικό!$J$2:$N$354,3,FALSE)="","",VLOOKUP(BI793,βοηθητικό!$J$2:$N$354,3,FALSE))</f>
        <v>_</v>
      </c>
      <c r="BK793" s="47"/>
      <c r="BL793" s="42" t="s">
        <v>16</v>
      </c>
      <c r="BM793" s="43" t="str">
        <f>IF(VLOOKUP(BL793,βοηθητικό!$J$2:$N$354,3,FALSE)="","",VLOOKUP(BL793,βοηθητικό!$J$2:$N$354,3,FALSE))</f>
        <v>_</v>
      </c>
      <c r="BN793" s="44"/>
      <c r="BO793" s="45" t="s">
        <v>16</v>
      </c>
      <c r="BP793" s="46" t="str">
        <f>IF(VLOOKUP(BO793,βοηθητικό!$J$2:$N$354,3,FALSE)="","",VLOOKUP(BO793,βοηθητικό!$J$2:$N$354,3,FALSE))</f>
        <v>_</v>
      </c>
      <c r="BQ793" s="47"/>
      <c r="BR793" s="42" t="s">
        <v>16</v>
      </c>
      <c r="BS793" s="43" t="str">
        <f>IF(VLOOKUP(BR793,βοηθητικό!$J$2:$N$354,3,FALSE)="","",VLOOKUP(BR793,βοηθητικό!$J$2:$N$354,3,FALSE))</f>
        <v>_</v>
      </c>
      <c r="BT793" s="44"/>
      <c r="BU793" s="45" t="s">
        <v>16</v>
      </c>
      <c r="BV793" s="46" t="str">
        <f>IF(VLOOKUP(BU793,βοηθητικό!$J$2:$N$354,3,FALSE)="","",VLOOKUP(BU793,βοηθητικό!$J$2:$N$354,3,FALSE))</f>
        <v>_</v>
      </c>
      <c r="BW793" s="47"/>
      <c r="BX793" s="42" t="s">
        <v>16</v>
      </c>
      <c r="BY793" s="43" t="str">
        <f>IF(VLOOKUP(BX793,βοηθητικό!$J$2:$N$354,3,FALSE)="","",VLOOKUP(BX793,βοηθητικό!$J$2:$N$354,3,FALSE))</f>
        <v>_</v>
      </c>
      <c r="BZ793" s="44"/>
      <c r="CA793" s="45" t="s">
        <v>16</v>
      </c>
      <c r="CB793" s="46" t="str">
        <f>IF(VLOOKUP(CA793,βοηθητικό!$J$2:$N$354,3,FALSE)="","",VLOOKUP(CA793,βοηθητικό!$J$2:$N$354,3,FALSE))</f>
        <v>_</v>
      </c>
      <c r="CC793" s="47"/>
      <c r="CD793" s="42" t="s">
        <v>16</v>
      </c>
      <c r="CE793" s="43" t="str">
        <f>IF(VLOOKUP(CD793,βοηθητικό!$J$2:$N$354,3,FALSE)="","",VLOOKUP(CD793,βοηθητικό!$J$2:$N$354,3,FALSE))</f>
        <v>_</v>
      </c>
      <c r="CF793" s="44"/>
      <c r="CG793" s="45" t="s">
        <v>16</v>
      </c>
      <c r="CH793" s="46" t="str">
        <f>IF(VLOOKUP(CG793,βοηθητικό!$J$2:$N$354,3,FALSE)="","",VLOOKUP(CG793,βοηθητικό!$J$2:$N$354,3,FALSE))</f>
        <v>_</v>
      </c>
      <c r="CI793" s="47"/>
      <c r="CJ793" s="42" t="s">
        <v>16</v>
      </c>
      <c r="CK793" s="43" t="str">
        <f>IF(VLOOKUP(CJ793,βοηθητικό!$J$2:$N$354,3,FALSE)="","",VLOOKUP(CJ793,βοηθητικό!$J$2:$N$354,3,FALSE))</f>
        <v>_</v>
      </c>
      <c r="CL793" s="44"/>
      <c r="CM793" s="45" t="s">
        <v>16</v>
      </c>
      <c r="CN793" s="46" t="str">
        <f>IF(VLOOKUP(CM793,βοηθητικό!$J$2:$N$354,3,FALSE)="","",VLOOKUP(CM793,βοηθητικό!$J$2:$N$354,3,FALSE))</f>
        <v>_</v>
      </c>
      <c r="CO793" s="47"/>
      <c r="CP793" s="42" t="s">
        <v>16</v>
      </c>
      <c r="CQ793" s="43" t="str">
        <f>IF(VLOOKUP(CP793,βοηθητικό!$J$2:$N$354,3,FALSE)="","",VLOOKUP(CP793,βοηθητικό!$J$2:$N$354,3,FALSE))</f>
        <v>_</v>
      </c>
      <c r="CR793" s="44"/>
      <c r="CS793" s="45" t="s">
        <v>16</v>
      </c>
      <c r="CT793" s="46" t="str">
        <f>IF(VLOOKUP(CS793,βοηθητικό!$J$2:$N$354,3,FALSE)="","",VLOOKUP(CS793,βοηθητικό!$J$2:$N$354,3,FALSE))</f>
        <v>_</v>
      </c>
      <c r="CU793" s="47"/>
    </row>
    <row r="794" spans="1:99" x14ac:dyDescent="0.25">
      <c r="A794" s="37">
        <f>--SUBTOTAL(3,$B$3:B793)</f>
        <v>198</v>
      </c>
      <c r="B794" s="2"/>
      <c r="C794" s="3"/>
      <c r="D794" s="55" t="s">
        <v>18</v>
      </c>
      <c r="E794" s="38" t="s">
        <v>16</v>
      </c>
      <c r="F794" s="38"/>
      <c r="G794" s="39" t="str">
        <f t="shared" si="38"/>
        <v>__</v>
      </c>
      <c r="H794" s="40" t="str">
        <f t="shared" si="39"/>
        <v>FALSE</v>
      </c>
      <c r="I794" s="41">
        <f t="shared" si="40"/>
        <v>0</v>
      </c>
      <c r="J794" s="4" t="s">
        <v>16</v>
      </c>
      <c r="K794" s="43" t="str">
        <f>IF(VLOOKUP(J794,βοηθητικό!$J$2:$N$354,3,FALSE)="","",VLOOKUP(J794,βοηθητικό!$J$2:$N$354,3,FALSE))</f>
        <v>_</v>
      </c>
      <c r="L794" s="44"/>
      <c r="M794" s="5" t="s">
        <v>16</v>
      </c>
      <c r="N794" s="46" t="str">
        <f>IF(VLOOKUP(M794,βοηθητικό!$J$2:$N$354,3,FALSE)="","",VLOOKUP(M794,βοηθητικό!$J$2:$N$354,3,FALSE))</f>
        <v>_</v>
      </c>
      <c r="O794" s="47"/>
      <c r="P794" s="4" t="s">
        <v>16</v>
      </c>
      <c r="Q794" s="43" t="str">
        <f>IF(VLOOKUP(P794,βοηθητικό!$J$2:$N$354,3,FALSE)="","",VLOOKUP(P794,βοηθητικό!$J$2:$N$354,3,FALSE))</f>
        <v>_</v>
      </c>
      <c r="R794" s="44"/>
      <c r="S794" s="5" t="s">
        <v>16</v>
      </c>
      <c r="T794" s="46" t="str">
        <f>IF(VLOOKUP(S794,βοηθητικό!$J$2:$N$354,3,FALSE)="","",VLOOKUP(S794,βοηθητικό!$J$2:$N$354,3,FALSE))</f>
        <v>_</v>
      </c>
      <c r="U794" s="47"/>
      <c r="V794" s="4" t="s">
        <v>16</v>
      </c>
      <c r="W794" s="43" t="str">
        <f>IF(VLOOKUP(V794,βοηθητικό!$J$2:$N$354,3,FALSE)="","",VLOOKUP(V794,βοηθητικό!$J$2:$N$354,3,FALSE))</f>
        <v>_</v>
      </c>
      <c r="X794" s="44"/>
      <c r="Y794" s="5" t="s">
        <v>16</v>
      </c>
      <c r="Z794" s="46" t="str">
        <f>IF(VLOOKUP(Y794,βοηθητικό!$J$2:$N$354,3,FALSE)="","",VLOOKUP(Y794,βοηθητικό!$J$2:$N$354,3,FALSE))</f>
        <v>_</v>
      </c>
      <c r="AA794" s="47"/>
      <c r="AB794" s="4" t="s">
        <v>16</v>
      </c>
      <c r="AC794" s="43" t="str">
        <f>IF(VLOOKUP(AB794,βοηθητικό!$J$2:$N$354,3,FALSE)="","",VLOOKUP(AB794,βοηθητικό!$J$2:$N$354,3,FALSE))</f>
        <v>_</v>
      </c>
      <c r="AD794" s="44"/>
      <c r="AE794" s="5" t="s">
        <v>16</v>
      </c>
      <c r="AF794" s="46" t="str">
        <f>IF(VLOOKUP(AE794,βοηθητικό!$J$2:$N$354,3,FALSE)="","",VLOOKUP(AE794,βοηθητικό!$J$2:$N$354,3,FALSE))</f>
        <v>_</v>
      </c>
      <c r="AG794" s="47"/>
      <c r="AH794" s="4" t="s">
        <v>16</v>
      </c>
      <c r="AI794" s="43" t="str">
        <f>IF(VLOOKUP(AH794,βοηθητικό!$J$2:$N$354,3,FALSE)="","",VLOOKUP(AH794,βοηθητικό!$J$2:$N$354,3,FALSE))</f>
        <v>_</v>
      </c>
      <c r="AJ794" s="44"/>
      <c r="AK794" s="5" t="s">
        <v>16</v>
      </c>
      <c r="AL794" s="46" t="str">
        <f>IF(VLOOKUP(AK794,βοηθητικό!$J$2:$N$354,3,FALSE)="","",VLOOKUP(AK794,βοηθητικό!$J$2:$N$354,3,FALSE))</f>
        <v>_</v>
      </c>
      <c r="AM794" s="47"/>
      <c r="AN794" s="4" t="s">
        <v>16</v>
      </c>
      <c r="AO794" s="43" t="str">
        <f>IF(VLOOKUP(AN794,βοηθητικό!$J$2:$N$354,3,FALSE)="","",VLOOKUP(AN794,βοηθητικό!$J$2:$N$354,3,FALSE))</f>
        <v>_</v>
      </c>
      <c r="AP794" s="44"/>
      <c r="AQ794" s="5" t="s">
        <v>16</v>
      </c>
      <c r="AR794" s="46" t="str">
        <f>IF(VLOOKUP(AQ794,βοηθητικό!$J$2:$N$354,3,FALSE)="","",VLOOKUP(AQ794,βοηθητικό!$J$2:$N$354,3,FALSE))</f>
        <v>_</v>
      </c>
      <c r="AS794" s="47"/>
      <c r="AT794" s="4" t="s">
        <v>16</v>
      </c>
      <c r="AU794" s="43" t="str">
        <f>IF(VLOOKUP(AT794,βοηθητικό!$J$2:$N$354,3,FALSE)="","",VLOOKUP(AT794,βοηθητικό!$J$2:$N$354,3,FALSE))</f>
        <v>_</v>
      </c>
      <c r="AV794" s="44"/>
      <c r="AW794" s="5" t="s">
        <v>16</v>
      </c>
      <c r="AX794" s="46" t="str">
        <f>IF(VLOOKUP(AW794,βοηθητικό!$J$2:$N$354,3,FALSE)="","",VLOOKUP(AW794,βοηθητικό!$J$2:$N$354,3,FALSE))</f>
        <v>_</v>
      </c>
      <c r="AY794" s="47"/>
      <c r="AZ794" s="4" t="s">
        <v>16</v>
      </c>
      <c r="BA794" s="43" t="str">
        <f>IF(VLOOKUP(AZ794,βοηθητικό!$J$2:$N$354,3,FALSE)="","",VLOOKUP(AZ794,βοηθητικό!$J$2:$N$354,3,FALSE))</f>
        <v>_</v>
      </c>
      <c r="BB794" s="44"/>
      <c r="BC794" s="45" t="s">
        <v>16</v>
      </c>
      <c r="BD794" s="46" t="str">
        <f>IF(VLOOKUP(BC794,βοηθητικό!$J$2:$N$354,3,FALSE)="","",VLOOKUP(BC794,βοηθητικό!$J$2:$N$354,3,FALSE))</f>
        <v>_</v>
      </c>
      <c r="BE794" s="47"/>
      <c r="BF794" s="42" t="s">
        <v>16</v>
      </c>
      <c r="BG794" s="43" t="str">
        <f>IF(VLOOKUP(BF794,βοηθητικό!$J$2:$N$354,3,FALSE)="","",VLOOKUP(BF794,βοηθητικό!$J$2:$N$354,3,FALSE))</f>
        <v>_</v>
      </c>
      <c r="BH794" s="44"/>
      <c r="BI794" s="45" t="s">
        <v>16</v>
      </c>
      <c r="BJ794" s="46" t="str">
        <f>IF(VLOOKUP(BI794,βοηθητικό!$J$2:$N$354,3,FALSE)="","",VLOOKUP(BI794,βοηθητικό!$J$2:$N$354,3,FALSE))</f>
        <v>_</v>
      </c>
      <c r="BK794" s="47"/>
      <c r="BL794" s="42" t="s">
        <v>16</v>
      </c>
      <c r="BM794" s="43" t="str">
        <f>IF(VLOOKUP(BL794,βοηθητικό!$J$2:$N$354,3,FALSE)="","",VLOOKUP(BL794,βοηθητικό!$J$2:$N$354,3,FALSE))</f>
        <v>_</v>
      </c>
      <c r="BN794" s="44"/>
      <c r="BO794" s="45" t="s">
        <v>16</v>
      </c>
      <c r="BP794" s="46" t="str">
        <f>IF(VLOOKUP(BO794,βοηθητικό!$J$2:$N$354,3,FALSE)="","",VLOOKUP(BO794,βοηθητικό!$J$2:$N$354,3,FALSE))</f>
        <v>_</v>
      </c>
      <c r="BQ794" s="47"/>
      <c r="BR794" s="42" t="s">
        <v>16</v>
      </c>
      <c r="BS794" s="43" t="str">
        <f>IF(VLOOKUP(BR794,βοηθητικό!$J$2:$N$354,3,FALSE)="","",VLOOKUP(BR794,βοηθητικό!$J$2:$N$354,3,FALSE))</f>
        <v>_</v>
      </c>
      <c r="BT794" s="44"/>
      <c r="BU794" s="45" t="s">
        <v>16</v>
      </c>
      <c r="BV794" s="46" t="str">
        <f>IF(VLOOKUP(BU794,βοηθητικό!$J$2:$N$354,3,FALSE)="","",VLOOKUP(BU794,βοηθητικό!$J$2:$N$354,3,FALSE))</f>
        <v>_</v>
      </c>
      <c r="BW794" s="47"/>
      <c r="BX794" s="42" t="s">
        <v>16</v>
      </c>
      <c r="BY794" s="43" t="str">
        <f>IF(VLOOKUP(BX794,βοηθητικό!$J$2:$N$354,3,FALSE)="","",VLOOKUP(BX794,βοηθητικό!$J$2:$N$354,3,FALSE))</f>
        <v>_</v>
      </c>
      <c r="BZ794" s="44"/>
      <c r="CA794" s="45" t="s">
        <v>16</v>
      </c>
      <c r="CB794" s="46" t="str">
        <f>IF(VLOOKUP(CA794,βοηθητικό!$J$2:$N$354,3,FALSE)="","",VLOOKUP(CA794,βοηθητικό!$J$2:$N$354,3,FALSE))</f>
        <v>_</v>
      </c>
      <c r="CC794" s="47"/>
      <c r="CD794" s="42" t="s">
        <v>16</v>
      </c>
      <c r="CE794" s="43" t="str">
        <f>IF(VLOOKUP(CD794,βοηθητικό!$J$2:$N$354,3,FALSE)="","",VLOOKUP(CD794,βοηθητικό!$J$2:$N$354,3,FALSE))</f>
        <v>_</v>
      </c>
      <c r="CF794" s="44"/>
      <c r="CG794" s="45" t="s">
        <v>16</v>
      </c>
      <c r="CH794" s="46" t="str">
        <f>IF(VLOOKUP(CG794,βοηθητικό!$J$2:$N$354,3,FALSE)="","",VLOOKUP(CG794,βοηθητικό!$J$2:$N$354,3,FALSE))</f>
        <v>_</v>
      </c>
      <c r="CI794" s="47"/>
      <c r="CJ794" s="42" t="s">
        <v>16</v>
      </c>
      <c r="CK794" s="43" t="str">
        <f>IF(VLOOKUP(CJ794,βοηθητικό!$J$2:$N$354,3,FALSE)="","",VLOOKUP(CJ794,βοηθητικό!$J$2:$N$354,3,FALSE))</f>
        <v>_</v>
      </c>
      <c r="CL794" s="44"/>
      <c r="CM794" s="45" t="s">
        <v>16</v>
      </c>
      <c r="CN794" s="46" t="str">
        <f>IF(VLOOKUP(CM794,βοηθητικό!$J$2:$N$354,3,FALSE)="","",VLOOKUP(CM794,βοηθητικό!$J$2:$N$354,3,FALSE))</f>
        <v>_</v>
      </c>
      <c r="CO794" s="47"/>
      <c r="CP794" s="42" t="s">
        <v>16</v>
      </c>
      <c r="CQ794" s="43" t="str">
        <f>IF(VLOOKUP(CP794,βοηθητικό!$J$2:$N$354,3,FALSE)="","",VLOOKUP(CP794,βοηθητικό!$J$2:$N$354,3,FALSE))</f>
        <v>_</v>
      </c>
      <c r="CR794" s="44"/>
      <c r="CS794" s="45" t="s">
        <v>16</v>
      </c>
      <c r="CT794" s="46" t="str">
        <f>IF(VLOOKUP(CS794,βοηθητικό!$J$2:$N$354,3,FALSE)="","",VLOOKUP(CS794,βοηθητικό!$J$2:$N$354,3,FALSE))</f>
        <v>_</v>
      </c>
      <c r="CU794" s="47"/>
    </row>
    <row r="795" spans="1:99" x14ac:dyDescent="0.25">
      <c r="A795" s="37">
        <f>--SUBTOTAL(3,$B$3:B794)</f>
        <v>198</v>
      </c>
      <c r="B795" s="2"/>
      <c r="C795" s="3"/>
      <c r="D795" s="55" t="s">
        <v>18</v>
      </c>
      <c r="E795" s="38" t="s">
        <v>16</v>
      </c>
      <c r="F795" s="38"/>
      <c r="G795" s="39" t="str">
        <f t="shared" si="38"/>
        <v>__</v>
      </c>
      <c r="H795" s="40" t="str">
        <f t="shared" si="39"/>
        <v>FALSE</v>
      </c>
      <c r="I795" s="41">
        <f t="shared" si="40"/>
        <v>0</v>
      </c>
      <c r="J795" s="4" t="s">
        <v>16</v>
      </c>
      <c r="K795" s="43" t="str">
        <f>IF(VLOOKUP(J795,βοηθητικό!$J$2:$N$354,3,FALSE)="","",VLOOKUP(J795,βοηθητικό!$J$2:$N$354,3,FALSE))</f>
        <v>_</v>
      </c>
      <c r="L795" s="44"/>
      <c r="M795" s="5" t="s">
        <v>16</v>
      </c>
      <c r="N795" s="46" t="str">
        <f>IF(VLOOKUP(M795,βοηθητικό!$J$2:$N$354,3,FALSE)="","",VLOOKUP(M795,βοηθητικό!$J$2:$N$354,3,FALSE))</f>
        <v>_</v>
      </c>
      <c r="O795" s="47"/>
      <c r="P795" s="4" t="s">
        <v>16</v>
      </c>
      <c r="Q795" s="43" t="str">
        <f>IF(VLOOKUP(P795,βοηθητικό!$J$2:$N$354,3,FALSE)="","",VLOOKUP(P795,βοηθητικό!$J$2:$N$354,3,FALSE))</f>
        <v>_</v>
      </c>
      <c r="R795" s="44"/>
      <c r="S795" s="5" t="s">
        <v>16</v>
      </c>
      <c r="T795" s="46" t="str">
        <f>IF(VLOOKUP(S795,βοηθητικό!$J$2:$N$354,3,FALSE)="","",VLOOKUP(S795,βοηθητικό!$J$2:$N$354,3,FALSE))</f>
        <v>_</v>
      </c>
      <c r="U795" s="47"/>
      <c r="V795" s="4" t="s">
        <v>16</v>
      </c>
      <c r="W795" s="43" t="str">
        <f>IF(VLOOKUP(V795,βοηθητικό!$J$2:$N$354,3,FALSE)="","",VLOOKUP(V795,βοηθητικό!$J$2:$N$354,3,FALSE))</f>
        <v>_</v>
      </c>
      <c r="X795" s="44"/>
      <c r="Y795" s="5" t="s">
        <v>16</v>
      </c>
      <c r="Z795" s="46" t="str">
        <f>IF(VLOOKUP(Y795,βοηθητικό!$J$2:$N$354,3,FALSE)="","",VLOOKUP(Y795,βοηθητικό!$J$2:$N$354,3,FALSE))</f>
        <v>_</v>
      </c>
      <c r="AA795" s="47"/>
      <c r="AB795" s="4" t="s">
        <v>16</v>
      </c>
      <c r="AC795" s="43" t="str">
        <f>IF(VLOOKUP(AB795,βοηθητικό!$J$2:$N$354,3,FALSE)="","",VLOOKUP(AB795,βοηθητικό!$J$2:$N$354,3,FALSE))</f>
        <v>_</v>
      </c>
      <c r="AD795" s="44"/>
      <c r="AE795" s="5" t="s">
        <v>16</v>
      </c>
      <c r="AF795" s="46" t="str">
        <f>IF(VLOOKUP(AE795,βοηθητικό!$J$2:$N$354,3,FALSE)="","",VLOOKUP(AE795,βοηθητικό!$J$2:$N$354,3,FALSE))</f>
        <v>_</v>
      </c>
      <c r="AG795" s="47"/>
      <c r="AH795" s="4" t="s">
        <v>16</v>
      </c>
      <c r="AI795" s="43" t="str">
        <f>IF(VLOOKUP(AH795,βοηθητικό!$J$2:$N$354,3,FALSE)="","",VLOOKUP(AH795,βοηθητικό!$J$2:$N$354,3,FALSE))</f>
        <v>_</v>
      </c>
      <c r="AJ795" s="44"/>
      <c r="AK795" s="5" t="s">
        <v>16</v>
      </c>
      <c r="AL795" s="46" t="str">
        <f>IF(VLOOKUP(AK795,βοηθητικό!$J$2:$N$354,3,FALSE)="","",VLOOKUP(AK795,βοηθητικό!$J$2:$N$354,3,FALSE))</f>
        <v>_</v>
      </c>
      <c r="AM795" s="47"/>
      <c r="AN795" s="4" t="s">
        <v>16</v>
      </c>
      <c r="AO795" s="43" t="str">
        <f>IF(VLOOKUP(AN795,βοηθητικό!$J$2:$N$354,3,FALSE)="","",VLOOKUP(AN795,βοηθητικό!$J$2:$N$354,3,FALSE))</f>
        <v>_</v>
      </c>
      <c r="AP795" s="44"/>
      <c r="AQ795" s="5" t="s">
        <v>16</v>
      </c>
      <c r="AR795" s="46" t="str">
        <f>IF(VLOOKUP(AQ795,βοηθητικό!$J$2:$N$354,3,FALSE)="","",VLOOKUP(AQ795,βοηθητικό!$J$2:$N$354,3,FALSE))</f>
        <v>_</v>
      </c>
      <c r="AS795" s="47"/>
      <c r="AT795" s="4" t="s">
        <v>16</v>
      </c>
      <c r="AU795" s="43" t="str">
        <f>IF(VLOOKUP(AT795,βοηθητικό!$J$2:$N$354,3,FALSE)="","",VLOOKUP(AT795,βοηθητικό!$J$2:$N$354,3,FALSE))</f>
        <v>_</v>
      </c>
      <c r="AV795" s="44"/>
      <c r="AW795" s="5" t="s">
        <v>16</v>
      </c>
      <c r="AX795" s="46" t="str">
        <f>IF(VLOOKUP(AW795,βοηθητικό!$J$2:$N$354,3,FALSE)="","",VLOOKUP(AW795,βοηθητικό!$J$2:$N$354,3,FALSE))</f>
        <v>_</v>
      </c>
      <c r="AY795" s="47"/>
      <c r="AZ795" s="4" t="s">
        <v>16</v>
      </c>
      <c r="BA795" s="43" t="str">
        <f>IF(VLOOKUP(AZ795,βοηθητικό!$J$2:$N$354,3,FALSE)="","",VLOOKUP(AZ795,βοηθητικό!$J$2:$N$354,3,FALSE))</f>
        <v>_</v>
      </c>
      <c r="BB795" s="44"/>
      <c r="BC795" s="45" t="s">
        <v>16</v>
      </c>
      <c r="BD795" s="46" t="str">
        <f>IF(VLOOKUP(BC795,βοηθητικό!$J$2:$N$354,3,FALSE)="","",VLOOKUP(BC795,βοηθητικό!$J$2:$N$354,3,FALSE))</f>
        <v>_</v>
      </c>
      <c r="BE795" s="47"/>
      <c r="BF795" s="42" t="s">
        <v>16</v>
      </c>
      <c r="BG795" s="43" t="str">
        <f>IF(VLOOKUP(BF795,βοηθητικό!$J$2:$N$354,3,FALSE)="","",VLOOKUP(BF795,βοηθητικό!$J$2:$N$354,3,FALSE))</f>
        <v>_</v>
      </c>
      <c r="BH795" s="44"/>
      <c r="BI795" s="45" t="s">
        <v>16</v>
      </c>
      <c r="BJ795" s="46" t="str">
        <f>IF(VLOOKUP(BI795,βοηθητικό!$J$2:$N$354,3,FALSE)="","",VLOOKUP(BI795,βοηθητικό!$J$2:$N$354,3,FALSE))</f>
        <v>_</v>
      </c>
      <c r="BK795" s="47"/>
      <c r="BL795" s="42" t="s">
        <v>16</v>
      </c>
      <c r="BM795" s="43" t="str">
        <f>IF(VLOOKUP(BL795,βοηθητικό!$J$2:$N$354,3,FALSE)="","",VLOOKUP(BL795,βοηθητικό!$J$2:$N$354,3,FALSE))</f>
        <v>_</v>
      </c>
      <c r="BN795" s="44"/>
      <c r="BO795" s="45" t="s">
        <v>16</v>
      </c>
      <c r="BP795" s="46" t="str">
        <f>IF(VLOOKUP(BO795,βοηθητικό!$J$2:$N$354,3,FALSE)="","",VLOOKUP(BO795,βοηθητικό!$J$2:$N$354,3,FALSE))</f>
        <v>_</v>
      </c>
      <c r="BQ795" s="47"/>
      <c r="BR795" s="42" t="s">
        <v>16</v>
      </c>
      <c r="BS795" s="43" t="str">
        <f>IF(VLOOKUP(BR795,βοηθητικό!$J$2:$N$354,3,FALSE)="","",VLOOKUP(BR795,βοηθητικό!$J$2:$N$354,3,FALSE))</f>
        <v>_</v>
      </c>
      <c r="BT795" s="44"/>
      <c r="BU795" s="45" t="s">
        <v>16</v>
      </c>
      <c r="BV795" s="46" t="str">
        <f>IF(VLOOKUP(BU795,βοηθητικό!$J$2:$N$354,3,FALSE)="","",VLOOKUP(BU795,βοηθητικό!$J$2:$N$354,3,FALSE))</f>
        <v>_</v>
      </c>
      <c r="BW795" s="47"/>
      <c r="BX795" s="42" t="s">
        <v>16</v>
      </c>
      <c r="BY795" s="43" t="str">
        <f>IF(VLOOKUP(BX795,βοηθητικό!$J$2:$N$354,3,FALSE)="","",VLOOKUP(BX795,βοηθητικό!$J$2:$N$354,3,FALSE))</f>
        <v>_</v>
      </c>
      <c r="BZ795" s="44"/>
      <c r="CA795" s="45" t="s">
        <v>16</v>
      </c>
      <c r="CB795" s="46" t="str">
        <f>IF(VLOOKUP(CA795,βοηθητικό!$J$2:$N$354,3,FALSE)="","",VLOOKUP(CA795,βοηθητικό!$J$2:$N$354,3,FALSE))</f>
        <v>_</v>
      </c>
      <c r="CC795" s="47"/>
      <c r="CD795" s="42" t="s">
        <v>16</v>
      </c>
      <c r="CE795" s="43" t="str">
        <f>IF(VLOOKUP(CD795,βοηθητικό!$J$2:$N$354,3,FALSE)="","",VLOOKUP(CD795,βοηθητικό!$J$2:$N$354,3,FALSE))</f>
        <v>_</v>
      </c>
      <c r="CF795" s="44"/>
      <c r="CG795" s="45" t="s">
        <v>16</v>
      </c>
      <c r="CH795" s="46" t="str">
        <f>IF(VLOOKUP(CG795,βοηθητικό!$J$2:$N$354,3,FALSE)="","",VLOOKUP(CG795,βοηθητικό!$J$2:$N$354,3,FALSE))</f>
        <v>_</v>
      </c>
      <c r="CI795" s="47"/>
      <c r="CJ795" s="42" t="s">
        <v>16</v>
      </c>
      <c r="CK795" s="43" t="str">
        <f>IF(VLOOKUP(CJ795,βοηθητικό!$J$2:$N$354,3,FALSE)="","",VLOOKUP(CJ795,βοηθητικό!$J$2:$N$354,3,FALSE))</f>
        <v>_</v>
      </c>
      <c r="CL795" s="44"/>
      <c r="CM795" s="45" t="s">
        <v>16</v>
      </c>
      <c r="CN795" s="46" t="str">
        <f>IF(VLOOKUP(CM795,βοηθητικό!$J$2:$N$354,3,FALSE)="","",VLOOKUP(CM795,βοηθητικό!$J$2:$N$354,3,FALSE))</f>
        <v>_</v>
      </c>
      <c r="CO795" s="47"/>
      <c r="CP795" s="42" t="s">
        <v>16</v>
      </c>
      <c r="CQ795" s="43" t="str">
        <f>IF(VLOOKUP(CP795,βοηθητικό!$J$2:$N$354,3,FALSE)="","",VLOOKUP(CP795,βοηθητικό!$J$2:$N$354,3,FALSE))</f>
        <v>_</v>
      </c>
      <c r="CR795" s="44"/>
      <c r="CS795" s="45" t="s">
        <v>16</v>
      </c>
      <c r="CT795" s="46" t="str">
        <f>IF(VLOOKUP(CS795,βοηθητικό!$J$2:$N$354,3,FALSE)="","",VLOOKUP(CS795,βοηθητικό!$J$2:$N$354,3,FALSE))</f>
        <v>_</v>
      </c>
      <c r="CU795" s="47"/>
    </row>
    <row r="796" spans="1:99" x14ac:dyDescent="0.25">
      <c r="A796" s="37">
        <f>--SUBTOTAL(3,$B$3:B795)</f>
        <v>198</v>
      </c>
      <c r="B796" s="2"/>
      <c r="C796" s="3"/>
      <c r="D796" s="55" t="s">
        <v>18</v>
      </c>
      <c r="E796" s="38" t="s">
        <v>16</v>
      </c>
      <c r="F796" s="38"/>
      <c r="G796" s="39" t="str">
        <f t="shared" si="38"/>
        <v>__</v>
      </c>
      <c r="H796" s="40" t="str">
        <f t="shared" si="39"/>
        <v>FALSE</v>
      </c>
      <c r="I796" s="41">
        <f t="shared" si="40"/>
        <v>0</v>
      </c>
      <c r="J796" s="4" t="s">
        <v>16</v>
      </c>
      <c r="K796" s="43" t="str">
        <f>IF(VLOOKUP(J796,βοηθητικό!$J$2:$N$354,3,FALSE)="","",VLOOKUP(J796,βοηθητικό!$J$2:$N$354,3,FALSE))</f>
        <v>_</v>
      </c>
      <c r="L796" s="44"/>
      <c r="M796" s="5" t="s">
        <v>16</v>
      </c>
      <c r="N796" s="46" t="str">
        <f>IF(VLOOKUP(M796,βοηθητικό!$J$2:$N$354,3,FALSE)="","",VLOOKUP(M796,βοηθητικό!$J$2:$N$354,3,FALSE))</f>
        <v>_</v>
      </c>
      <c r="O796" s="47"/>
      <c r="P796" s="4" t="s">
        <v>16</v>
      </c>
      <c r="Q796" s="43" t="str">
        <f>IF(VLOOKUP(P796,βοηθητικό!$J$2:$N$354,3,FALSE)="","",VLOOKUP(P796,βοηθητικό!$J$2:$N$354,3,FALSE))</f>
        <v>_</v>
      </c>
      <c r="R796" s="44"/>
      <c r="S796" s="5" t="s">
        <v>16</v>
      </c>
      <c r="T796" s="46" t="str">
        <f>IF(VLOOKUP(S796,βοηθητικό!$J$2:$N$354,3,FALSE)="","",VLOOKUP(S796,βοηθητικό!$J$2:$N$354,3,FALSE))</f>
        <v>_</v>
      </c>
      <c r="U796" s="47"/>
      <c r="V796" s="4" t="s">
        <v>16</v>
      </c>
      <c r="W796" s="43" t="str">
        <f>IF(VLOOKUP(V796,βοηθητικό!$J$2:$N$354,3,FALSE)="","",VLOOKUP(V796,βοηθητικό!$J$2:$N$354,3,FALSE))</f>
        <v>_</v>
      </c>
      <c r="X796" s="44"/>
      <c r="Y796" s="5" t="s">
        <v>16</v>
      </c>
      <c r="Z796" s="46" t="str">
        <f>IF(VLOOKUP(Y796,βοηθητικό!$J$2:$N$354,3,FALSE)="","",VLOOKUP(Y796,βοηθητικό!$J$2:$N$354,3,FALSE))</f>
        <v>_</v>
      </c>
      <c r="AA796" s="47"/>
      <c r="AB796" s="4" t="s">
        <v>16</v>
      </c>
      <c r="AC796" s="43" t="str">
        <f>IF(VLOOKUP(AB796,βοηθητικό!$J$2:$N$354,3,FALSE)="","",VLOOKUP(AB796,βοηθητικό!$J$2:$N$354,3,FALSE))</f>
        <v>_</v>
      </c>
      <c r="AD796" s="44"/>
      <c r="AE796" s="5" t="s">
        <v>16</v>
      </c>
      <c r="AF796" s="46" t="str">
        <f>IF(VLOOKUP(AE796,βοηθητικό!$J$2:$N$354,3,FALSE)="","",VLOOKUP(AE796,βοηθητικό!$J$2:$N$354,3,FALSE))</f>
        <v>_</v>
      </c>
      <c r="AG796" s="47"/>
      <c r="AH796" s="4" t="s">
        <v>16</v>
      </c>
      <c r="AI796" s="43" t="str">
        <f>IF(VLOOKUP(AH796,βοηθητικό!$J$2:$N$354,3,FALSE)="","",VLOOKUP(AH796,βοηθητικό!$J$2:$N$354,3,FALSE))</f>
        <v>_</v>
      </c>
      <c r="AJ796" s="44"/>
      <c r="AK796" s="5" t="s">
        <v>16</v>
      </c>
      <c r="AL796" s="46" t="str">
        <f>IF(VLOOKUP(AK796,βοηθητικό!$J$2:$N$354,3,FALSE)="","",VLOOKUP(AK796,βοηθητικό!$J$2:$N$354,3,FALSE))</f>
        <v>_</v>
      </c>
      <c r="AM796" s="47"/>
      <c r="AN796" s="4" t="s">
        <v>16</v>
      </c>
      <c r="AO796" s="43" t="str">
        <f>IF(VLOOKUP(AN796,βοηθητικό!$J$2:$N$354,3,FALSE)="","",VLOOKUP(AN796,βοηθητικό!$J$2:$N$354,3,FALSE))</f>
        <v>_</v>
      </c>
      <c r="AP796" s="44"/>
      <c r="AQ796" s="5" t="s">
        <v>16</v>
      </c>
      <c r="AR796" s="46" t="str">
        <f>IF(VLOOKUP(AQ796,βοηθητικό!$J$2:$N$354,3,FALSE)="","",VLOOKUP(AQ796,βοηθητικό!$J$2:$N$354,3,FALSE))</f>
        <v>_</v>
      </c>
      <c r="AS796" s="47"/>
      <c r="AT796" s="4" t="s">
        <v>16</v>
      </c>
      <c r="AU796" s="43" t="str">
        <f>IF(VLOOKUP(AT796,βοηθητικό!$J$2:$N$354,3,FALSE)="","",VLOOKUP(AT796,βοηθητικό!$J$2:$N$354,3,FALSE))</f>
        <v>_</v>
      </c>
      <c r="AV796" s="44"/>
      <c r="AW796" s="5" t="s">
        <v>16</v>
      </c>
      <c r="AX796" s="46" t="str">
        <f>IF(VLOOKUP(AW796,βοηθητικό!$J$2:$N$354,3,FALSE)="","",VLOOKUP(AW796,βοηθητικό!$J$2:$N$354,3,FALSE))</f>
        <v>_</v>
      </c>
      <c r="AY796" s="47"/>
      <c r="AZ796" s="4" t="s">
        <v>16</v>
      </c>
      <c r="BA796" s="43" t="str">
        <f>IF(VLOOKUP(AZ796,βοηθητικό!$J$2:$N$354,3,FALSE)="","",VLOOKUP(AZ796,βοηθητικό!$J$2:$N$354,3,FALSE))</f>
        <v>_</v>
      </c>
      <c r="BB796" s="44"/>
      <c r="BC796" s="45" t="s">
        <v>16</v>
      </c>
      <c r="BD796" s="46" t="str">
        <f>IF(VLOOKUP(BC796,βοηθητικό!$J$2:$N$354,3,FALSE)="","",VLOOKUP(BC796,βοηθητικό!$J$2:$N$354,3,FALSE))</f>
        <v>_</v>
      </c>
      <c r="BE796" s="47"/>
      <c r="BF796" s="42" t="s">
        <v>16</v>
      </c>
      <c r="BG796" s="43" t="str">
        <f>IF(VLOOKUP(BF796,βοηθητικό!$J$2:$N$354,3,FALSE)="","",VLOOKUP(BF796,βοηθητικό!$J$2:$N$354,3,FALSE))</f>
        <v>_</v>
      </c>
      <c r="BH796" s="44"/>
      <c r="BI796" s="45" t="s">
        <v>16</v>
      </c>
      <c r="BJ796" s="46" t="str">
        <f>IF(VLOOKUP(BI796,βοηθητικό!$J$2:$N$354,3,FALSE)="","",VLOOKUP(BI796,βοηθητικό!$J$2:$N$354,3,FALSE))</f>
        <v>_</v>
      </c>
      <c r="BK796" s="47"/>
      <c r="BL796" s="42" t="s">
        <v>16</v>
      </c>
      <c r="BM796" s="43" t="str">
        <f>IF(VLOOKUP(BL796,βοηθητικό!$J$2:$N$354,3,FALSE)="","",VLOOKUP(BL796,βοηθητικό!$J$2:$N$354,3,FALSE))</f>
        <v>_</v>
      </c>
      <c r="BN796" s="44"/>
      <c r="BO796" s="45" t="s">
        <v>16</v>
      </c>
      <c r="BP796" s="46" t="str">
        <f>IF(VLOOKUP(BO796,βοηθητικό!$J$2:$N$354,3,FALSE)="","",VLOOKUP(BO796,βοηθητικό!$J$2:$N$354,3,FALSE))</f>
        <v>_</v>
      </c>
      <c r="BQ796" s="47"/>
      <c r="BR796" s="42" t="s">
        <v>16</v>
      </c>
      <c r="BS796" s="43" t="str">
        <f>IF(VLOOKUP(BR796,βοηθητικό!$J$2:$N$354,3,FALSE)="","",VLOOKUP(BR796,βοηθητικό!$J$2:$N$354,3,FALSE))</f>
        <v>_</v>
      </c>
      <c r="BT796" s="44"/>
      <c r="BU796" s="45" t="s">
        <v>16</v>
      </c>
      <c r="BV796" s="46" t="str">
        <f>IF(VLOOKUP(BU796,βοηθητικό!$J$2:$N$354,3,FALSE)="","",VLOOKUP(BU796,βοηθητικό!$J$2:$N$354,3,FALSE))</f>
        <v>_</v>
      </c>
      <c r="BW796" s="47"/>
      <c r="BX796" s="42" t="s">
        <v>16</v>
      </c>
      <c r="BY796" s="43" t="str">
        <f>IF(VLOOKUP(BX796,βοηθητικό!$J$2:$N$354,3,FALSE)="","",VLOOKUP(BX796,βοηθητικό!$J$2:$N$354,3,FALSE))</f>
        <v>_</v>
      </c>
      <c r="BZ796" s="44"/>
      <c r="CA796" s="45" t="s">
        <v>16</v>
      </c>
      <c r="CB796" s="46" t="str">
        <f>IF(VLOOKUP(CA796,βοηθητικό!$J$2:$N$354,3,FALSE)="","",VLOOKUP(CA796,βοηθητικό!$J$2:$N$354,3,FALSE))</f>
        <v>_</v>
      </c>
      <c r="CC796" s="47"/>
      <c r="CD796" s="42" t="s">
        <v>16</v>
      </c>
      <c r="CE796" s="43" t="str">
        <f>IF(VLOOKUP(CD796,βοηθητικό!$J$2:$N$354,3,FALSE)="","",VLOOKUP(CD796,βοηθητικό!$J$2:$N$354,3,FALSE))</f>
        <v>_</v>
      </c>
      <c r="CF796" s="44"/>
      <c r="CG796" s="45" t="s">
        <v>16</v>
      </c>
      <c r="CH796" s="46" t="str">
        <f>IF(VLOOKUP(CG796,βοηθητικό!$J$2:$N$354,3,FALSE)="","",VLOOKUP(CG796,βοηθητικό!$J$2:$N$354,3,FALSE))</f>
        <v>_</v>
      </c>
      <c r="CI796" s="47"/>
      <c r="CJ796" s="42" t="s">
        <v>16</v>
      </c>
      <c r="CK796" s="43" t="str">
        <f>IF(VLOOKUP(CJ796,βοηθητικό!$J$2:$N$354,3,FALSE)="","",VLOOKUP(CJ796,βοηθητικό!$J$2:$N$354,3,FALSE))</f>
        <v>_</v>
      </c>
      <c r="CL796" s="44"/>
      <c r="CM796" s="45" t="s">
        <v>16</v>
      </c>
      <c r="CN796" s="46" t="str">
        <f>IF(VLOOKUP(CM796,βοηθητικό!$J$2:$N$354,3,FALSE)="","",VLOOKUP(CM796,βοηθητικό!$J$2:$N$354,3,FALSE))</f>
        <v>_</v>
      </c>
      <c r="CO796" s="47"/>
      <c r="CP796" s="42" t="s">
        <v>16</v>
      </c>
      <c r="CQ796" s="43" t="str">
        <f>IF(VLOOKUP(CP796,βοηθητικό!$J$2:$N$354,3,FALSE)="","",VLOOKUP(CP796,βοηθητικό!$J$2:$N$354,3,FALSE))</f>
        <v>_</v>
      </c>
      <c r="CR796" s="44"/>
      <c r="CS796" s="45" t="s">
        <v>16</v>
      </c>
      <c r="CT796" s="46" t="str">
        <f>IF(VLOOKUP(CS796,βοηθητικό!$J$2:$N$354,3,FALSE)="","",VLOOKUP(CS796,βοηθητικό!$J$2:$N$354,3,FALSE))</f>
        <v>_</v>
      </c>
      <c r="CU796" s="47"/>
    </row>
    <row r="797" spans="1:99" x14ac:dyDescent="0.25">
      <c r="A797" s="37">
        <f>--SUBTOTAL(3,$B$3:B796)</f>
        <v>198</v>
      </c>
      <c r="B797" s="2"/>
      <c r="C797" s="3"/>
      <c r="D797" s="55" t="s">
        <v>18</v>
      </c>
      <c r="E797" s="38" t="s">
        <v>16</v>
      </c>
      <c r="F797" s="38"/>
      <c r="G797" s="39" t="str">
        <f t="shared" si="38"/>
        <v>__</v>
      </c>
      <c r="H797" s="40" t="str">
        <f t="shared" si="39"/>
        <v>FALSE</v>
      </c>
      <c r="I797" s="41">
        <f t="shared" si="40"/>
        <v>0</v>
      </c>
      <c r="J797" s="4" t="s">
        <v>16</v>
      </c>
      <c r="K797" s="43" t="str">
        <f>IF(VLOOKUP(J797,βοηθητικό!$J$2:$N$354,3,FALSE)="","",VLOOKUP(J797,βοηθητικό!$J$2:$N$354,3,FALSE))</f>
        <v>_</v>
      </c>
      <c r="L797" s="44"/>
      <c r="M797" s="5" t="s">
        <v>16</v>
      </c>
      <c r="N797" s="46" t="str">
        <f>IF(VLOOKUP(M797,βοηθητικό!$J$2:$N$354,3,FALSE)="","",VLOOKUP(M797,βοηθητικό!$J$2:$N$354,3,FALSE))</f>
        <v>_</v>
      </c>
      <c r="O797" s="47"/>
      <c r="P797" s="4" t="s">
        <v>16</v>
      </c>
      <c r="Q797" s="43" t="str">
        <f>IF(VLOOKUP(P797,βοηθητικό!$J$2:$N$354,3,FALSE)="","",VLOOKUP(P797,βοηθητικό!$J$2:$N$354,3,FALSE))</f>
        <v>_</v>
      </c>
      <c r="R797" s="44"/>
      <c r="S797" s="5" t="s">
        <v>16</v>
      </c>
      <c r="T797" s="46" t="str">
        <f>IF(VLOOKUP(S797,βοηθητικό!$J$2:$N$354,3,FALSE)="","",VLOOKUP(S797,βοηθητικό!$J$2:$N$354,3,FALSE))</f>
        <v>_</v>
      </c>
      <c r="U797" s="47"/>
      <c r="V797" s="4" t="s">
        <v>16</v>
      </c>
      <c r="W797" s="43" t="str">
        <f>IF(VLOOKUP(V797,βοηθητικό!$J$2:$N$354,3,FALSE)="","",VLOOKUP(V797,βοηθητικό!$J$2:$N$354,3,FALSE))</f>
        <v>_</v>
      </c>
      <c r="X797" s="44"/>
      <c r="Y797" s="5" t="s">
        <v>16</v>
      </c>
      <c r="Z797" s="46" t="str">
        <f>IF(VLOOKUP(Y797,βοηθητικό!$J$2:$N$354,3,FALSE)="","",VLOOKUP(Y797,βοηθητικό!$J$2:$N$354,3,FALSE))</f>
        <v>_</v>
      </c>
      <c r="AA797" s="47"/>
      <c r="AB797" s="4" t="s">
        <v>16</v>
      </c>
      <c r="AC797" s="43" t="str">
        <f>IF(VLOOKUP(AB797,βοηθητικό!$J$2:$N$354,3,FALSE)="","",VLOOKUP(AB797,βοηθητικό!$J$2:$N$354,3,FALSE))</f>
        <v>_</v>
      </c>
      <c r="AD797" s="44"/>
      <c r="AE797" s="5" t="s">
        <v>16</v>
      </c>
      <c r="AF797" s="46" t="str">
        <f>IF(VLOOKUP(AE797,βοηθητικό!$J$2:$N$354,3,FALSE)="","",VLOOKUP(AE797,βοηθητικό!$J$2:$N$354,3,FALSE))</f>
        <v>_</v>
      </c>
      <c r="AG797" s="47"/>
      <c r="AH797" s="4" t="s">
        <v>16</v>
      </c>
      <c r="AI797" s="43" t="str">
        <f>IF(VLOOKUP(AH797,βοηθητικό!$J$2:$N$354,3,FALSE)="","",VLOOKUP(AH797,βοηθητικό!$J$2:$N$354,3,FALSE))</f>
        <v>_</v>
      </c>
      <c r="AJ797" s="44"/>
      <c r="AK797" s="5" t="s">
        <v>16</v>
      </c>
      <c r="AL797" s="46" t="str">
        <f>IF(VLOOKUP(AK797,βοηθητικό!$J$2:$N$354,3,FALSE)="","",VLOOKUP(AK797,βοηθητικό!$J$2:$N$354,3,FALSE))</f>
        <v>_</v>
      </c>
      <c r="AM797" s="47"/>
      <c r="AN797" s="4" t="s">
        <v>16</v>
      </c>
      <c r="AO797" s="43" t="str">
        <f>IF(VLOOKUP(AN797,βοηθητικό!$J$2:$N$354,3,FALSE)="","",VLOOKUP(AN797,βοηθητικό!$J$2:$N$354,3,FALSE))</f>
        <v>_</v>
      </c>
      <c r="AP797" s="44"/>
      <c r="AQ797" s="5" t="s">
        <v>16</v>
      </c>
      <c r="AR797" s="46" t="str">
        <f>IF(VLOOKUP(AQ797,βοηθητικό!$J$2:$N$354,3,FALSE)="","",VLOOKUP(AQ797,βοηθητικό!$J$2:$N$354,3,FALSE))</f>
        <v>_</v>
      </c>
      <c r="AS797" s="47"/>
      <c r="AT797" s="4" t="s">
        <v>16</v>
      </c>
      <c r="AU797" s="43" t="str">
        <f>IF(VLOOKUP(AT797,βοηθητικό!$J$2:$N$354,3,FALSE)="","",VLOOKUP(AT797,βοηθητικό!$J$2:$N$354,3,FALSE))</f>
        <v>_</v>
      </c>
      <c r="AV797" s="44"/>
      <c r="AW797" s="5" t="s">
        <v>16</v>
      </c>
      <c r="AX797" s="46" t="str">
        <f>IF(VLOOKUP(AW797,βοηθητικό!$J$2:$N$354,3,FALSE)="","",VLOOKUP(AW797,βοηθητικό!$J$2:$N$354,3,FALSE))</f>
        <v>_</v>
      </c>
      <c r="AY797" s="47"/>
      <c r="AZ797" s="4" t="s">
        <v>16</v>
      </c>
      <c r="BA797" s="43" t="str">
        <f>IF(VLOOKUP(AZ797,βοηθητικό!$J$2:$N$354,3,FALSE)="","",VLOOKUP(AZ797,βοηθητικό!$J$2:$N$354,3,FALSE))</f>
        <v>_</v>
      </c>
      <c r="BB797" s="44"/>
      <c r="BC797" s="45" t="s">
        <v>16</v>
      </c>
      <c r="BD797" s="46" t="str">
        <f>IF(VLOOKUP(BC797,βοηθητικό!$J$2:$N$354,3,FALSE)="","",VLOOKUP(BC797,βοηθητικό!$J$2:$N$354,3,FALSE))</f>
        <v>_</v>
      </c>
      <c r="BE797" s="47"/>
      <c r="BF797" s="42" t="s">
        <v>16</v>
      </c>
      <c r="BG797" s="43" t="str">
        <f>IF(VLOOKUP(BF797,βοηθητικό!$J$2:$N$354,3,FALSE)="","",VLOOKUP(BF797,βοηθητικό!$J$2:$N$354,3,FALSE))</f>
        <v>_</v>
      </c>
      <c r="BH797" s="44"/>
      <c r="BI797" s="45" t="s">
        <v>16</v>
      </c>
      <c r="BJ797" s="46" t="str">
        <f>IF(VLOOKUP(BI797,βοηθητικό!$J$2:$N$354,3,FALSE)="","",VLOOKUP(BI797,βοηθητικό!$J$2:$N$354,3,FALSE))</f>
        <v>_</v>
      </c>
      <c r="BK797" s="47"/>
      <c r="BL797" s="42" t="s">
        <v>16</v>
      </c>
      <c r="BM797" s="43" t="str">
        <f>IF(VLOOKUP(BL797,βοηθητικό!$J$2:$N$354,3,FALSE)="","",VLOOKUP(BL797,βοηθητικό!$J$2:$N$354,3,FALSE))</f>
        <v>_</v>
      </c>
      <c r="BN797" s="44"/>
      <c r="BO797" s="45" t="s">
        <v>16</v>
      </c>
      <c r="BP797" s="46" t="str">
        <f>IF(VLOOKUP(BO797,βοηθητικό!$J$2:$N$354,3,FALSE)="","",VLOOKUP(BO797,βοηθητικό!$J$2:$N$354,3,FALSE))</f>
        <v>_</v>
      </c>
      <c r="BQ797" s="47"/>
      <c r="BR797" s="42" t="s">
        <v>16</v>
      </c>
      <c r="BS797" s="43" t="str">
        <f>IF(VLOOKUP(BR797,βοηθητικό!$J$2:$N$354,3,FALSE)="","",VLOOKUP(BR797,βοηθητικό!$J$2:$N$354,3,FALSE))</f>
        <v>_</v>
      </c>
      <c r="BT797" s="44"/>
      <c r="BU797" s="45" t="s">
        <v>16</v>
      </c>
      <c r="BV797" s="46" t="str">
        <f>IF(VLOOKUP(BU797,βοηθητικό!$J$2:$N$354,3,FALSE)="","",VLOOKUP(BU797,βοηθητικό!$J$2:$N$354,3,FALSE))</f>
        <v>_</v>
      </c>
      <c r="BW797" s="47"/>
      <c r="BX797" s="42" t="s">
        <v>16</v>
      </c>
      <c r="BY797" s="43" t="str">
        <f>IF(VLOOKUP(BX797,βοηθητικό!$J$2:$N$354,3,FALSE)="","",VLOOKUP(BX797,βοηθητικό!$J$2:$N$354,3,FALSE))</f>
        <v>_</v>
      </c>
      <c r="BZ797" s="44"/>
      <c r="CA797" s="45" t="s">
        <v>16</v>
      </c>
      <c r="CB797" s="46" t="str">
        <f>IF(VLOOKUP(CA797,βοηθητικό!$J$2:$N$354,3,FALSE)="","",VLOOKUP(CA797,βοηθητικό!$J$2:$N$354,3,FALSE))</f>
        <v>_</v>
      </c>
      <c r="CC797" s="47"/>
      <c r="CD797" s="42" t="s">
        <v>16</v>
      </c>
      <c r="CE797" s="43" t="str">
        <f>IF(VLOOKUP(CD797,βοηθητικό!$J$2:$N$354,3,FALSE)="","",VLOOKUP(CD797,βοηθητικό!$J$2:$N$354,3,FALSE))</f>
        <v>_</v>
      </c>
      <c r="CF797" s="44"/>
      <c r="CG797" s="45" t="s">
        <v>16</v>
      </c>
      <c r="CH797" s="46" t="str">
        <f>IF(VLOOKUP(CG797,βοηθητικό!$J$2:$N$354,3,FALSE)="","",VLOOKUP(CG797,βοηθητικό!$J$2:$N$354,3,FALSE))</f>
        <v>_</v>
      </c>
      <c r="CI797" s="47"/>
      <c r="CJ797" s="42" t="s">
        <v>16</v>
      </c>
      <c r="CK797" s="43" t="str">
        <f>IF(VLOOKUP(CJ797,βοηθητικό!$J$2:$N$354,3,FALSE)="","",VLOOKUP(CJ797,βοηθητικό!$J$2:$N$354,3,FALSE))</f>
        <v>_</v>
      </c>
      <c r="CL797" s="44"/>
      <c r="CM797" s="45" t="s">
        <v>16</v>
      </c>
      <c r="CN797" s="46" t="str">
        <f>IF(VLOOKUP(CM797,βοηθητικό!$J$2:$N$354,3,FALSE)="","",VLOOKUP(CM797,βοηθητικό!$J$2:$N$354,3,FALSE))</f>
        <v>_</v>
      </c>
      <c r="CO797" s="47"/>
      <c r="CP797" s="42" t="s">
        <v>16</v>
      </c>
      <c r="CQ797" s="43" t="str">
        <f>IF(VLOOKUP(CP797,βοηθητικό!$J$2:$N$354,3,FALSE)="","",VLOOKUP(CP797,βοηθητικό!$J$2:$N$354,3,FALSE))</f>
        <v>_</v>
      </c>
      <c r="CR797" s="44"/>
      <c r="CS797" s="45" t="s">
        <v>16</v>
      </c>
      <c r="CT797" s="46" t="str">
        <f>IF(VLOOKUP(CS797,βοηθητικό!$J$2:$N$354,3,FALSE)="","",VLOOKUP(CS797,βοηθητικό!$J$2:$N$354,3,FALSE))</f>
        <v>_</v>
      </c>
      <c r="CU797" s="47"/>
    </row>
    <row r="798" spans="1:99" x14ac:dyDescent="0.25">
      <c r="A798" s="37">
        <f>--SUBTOTAL(3,$B$3:B797)</f>
        <v>198</v>
      </c>
      <c r="B798" s="2"/>
      <c r="C798" s="3"/>
      <c r="D798" s="55" t="s">
        <v>18</v>
      </c>
      <c r="E798" s="38" t="s">
        <v>16</v>
      </c>
      <c r="F798" s="38"/>
      <c r="G798" s="39" t="str">
        <f t="shared" si="38"/>
        <v>__</v>
      </c>
      <c r="H798" s="40" t="str">
        <f t="shared" si="39"/>
        <v>FALSE</v>
      </c>
      <c r="I798" s="41">
        <f t="shared" si="40"/>
        <v>0</v>
      </c>
      <c r="J798" s="4" t="s">
        <v>16</v>
      </c>
      <c r="K798" s="43" t="str">
        <f>IF(VLOOKUP(J798,βοηθητικό!$J$2:$N$354,3,FALSE)="","",VLOOKUP(J798,βοηθητικό!$J$2:$N$354,3,FALSE))</f>
        <v>_</v>
      </c>
      <c r="L798" s="44"/>
      <c r="M798" s="5" t="s">
        <v>16</v>
      </c>
      <c r="N798" s="46" t="str">
        <f>IF(VLOOKUP(M798,βοηθητικό!$J$2:$N$354,3,FALSE)="","",VLOOKUP(M798,βοηθητικό!$J$2:$N$354,3,FALSE))</f>
        <v>_</v>
      </c>
      <c r="O798" s="47"/>
      <c r="P798" s="4" t="s">
        <v>16</v>
      </c>
      <c r="Q798" s="43" t="str">
        <f>IF(VLOOKUP(P798,βοηθητικό!$J$2:$N$354,3,FALSE)="","",VLOOKUP(P798,βοηθητικό!$J$2:$N$354,3,FALSE))</f>
        <v>_</v>
      </c>
      <c r="R798" s="44"/>
      <c r="S798" s="5" t="s">
        <v>16</v>
      </c>
      <c r="T798" s="46" t="str">
        <f>IF(VLOOKUP(S798,βοηθητικό!$J$2:$N$354,3,FALSE)="","",VLOOKUP(S798,βοηθητικό!$J$2:$N$354,3,FALSE))</f>
        <v>_</v>
      </c>
      <c r="U798" s="47"/>
      <c r="V798" s="4" t="s">
        <v>16</v>
      </c>
      <c r="W798" s="43" t="str">
        <f>IF(VLOOKUP(V798,βοηθητικό!$J$2:$N$354,3,FALSE)="","",VLOOKUP(V798,βοηθητικό!$J$2:$N$354,3,FALSE))</f>
        <v>_</v>
      </c>
      <c r="X798" s="44"/>
      <c r="Y798" s="5" t="s">
        <v>16</v>
      </c>
      <c r="Z798" s="46" t="str">
        <f>IF(VLOOKUP(Y798,βοηθητικό!$J$2:$N$354,3,FALSE)="","",VLOOKUP(Y798,βοηθητικό!$J$2:$N$354,3,FALSE))</f>
        <v>_</v>
      </c>
      <c r="AA798" s="47"/>
      <c r="AB798" s="4" t="s">
        <v>16</v>
      </c>
      <c r="AC798" s="43" t="str">
        <f>IF(VLOOKUP(AB798,βοηθητικό!$J$2:$N$354,3,FALSE)="","",VLOOKUP(AB798,βοηθητικό!$J$2:$N$354,3,FALSE))</f>
        <v>_</v>
      </c>
      <c r="AD798" s="44"/>
      <c r="AE798" s="5" t="s">
        <v>16</v>
      </c>
      <c r="AF798" s="46" t="str">
        <f>IF(VLOOKUP(AE798,βοηθητικό!$J$2:$N$354,3,FALSE)="","",VLOOKUP(AE798,βοηθητικό!$J$2:$N$354,3,FALSE))</f>
        <v>_</v>
      </c>
      <c r="AG798" s="47"/>
      <c r="AH798" s="4" t="s">
        <v>16</v>
      </c>
      <c r="AI798" s="43" t="str">
        <f>IF(VLOOKUP(AH798,βοηθητικό!$J$2:$N$354,3,FALSE)="","",VLOOKUP(AH798,βοηθητικό!$J$2:$N$354,3,FALSE))</f>
        <v>_</v>
      </c>
      <c r="AJ798" s="44"/>
      <c r="AK798" s="5" t="s">
        <v>16</v>
      </c>
      <c r="AL798" s="46" t="str">
        <f>IF(VLOOKUP(AK798,βοηθητικό!$J$2:$N$354,3,FALSE)="","",VLOOKUP(AK798,βοηθητικό!$J$2:$N$354,3,FALSE))</f>
        <v>_</v>
      </c>
      <c r="AM798" s="47"/>
      <c r="AN798" s="4" t="s">
        <v>16</v>
      </c>
      <c r="AO798" s="43" t="str">
        <f>IF(VLOOKUP(AN798,βοηθητικό!$J$2:$N$354,3,FALSE)="","",VLOOKUP(AN798,βοηθητικό!$J$2:$N$354,3,FALSE))</f>
        <v>_</v>
      </c>
      <c r="AP798" s="44"/>
      <c r="AQ798" s="5" t="s">
        <v>16</v>
      </c>
      <c r="AR798" s="46" t="str">
        <f>IF(VLOOKUP(AQ798,βοηθητικό!$J$2:$N$354,3,FALSE)="","",VLOOKUP(AQ798,βοηθητικό!$J$2:$N$354,3,FALSE))</f>
        <v>_</v>
      </c>
      <c r="AS798" s="47"/>
      <c r="AT798" s="4" t="s">
        <v>16</v>
      </c>
      <c r="AU798" s="43" t="str">
        <f>IF(VLOOKUP(AT798,βοηθητικό!$J$2:$N$354,3,FALSE)="","",VLOOKUP(AT798,βοηθητικό!$J$2:$N$354,3,FALSE))</f>
        <v>_</v>
      </c>
      <c r="AV798" s="44"/>
      <c r="AW798" s="5" t="s">
        <v>16</v>
      </c>
      <c r="AX798" s="46" t="str">
        <f>IF(VLOOKUP(AW798,βοηθητικό!$J$2:$N$354,3,FALSE)="","",VLOOKUP(AW798,βοηθητικό!$J$2:$N$354,3,FALSE))</f>
        <v>_</v>
      </c>
      <c r="AY798" s="47"/>
      <c r="AZ798" s="4" t="s">
        <v>16</v>
      </c>
      <c r="BA798" s="43" t="str">
        <f>IF(VLOOKUP(AZ798,βοηθητικό!$J$2:$N$354,3,FALSE)="","",VLOOKUP(AZ798,βοηθητικό!$J$2:$N$354,3,FALSE))</f>
        <v>_</v>
      </c>
      <c r="BB798" s="44"/>
      <c r="BC798" s="45" t="s">
        <v>16</v>
      </c>
      <c r="BD798" s="46" t="str">
        <f>IF(VLOOKUP(BC798,βοηθητικό!$J$2:$N$354,3,FALSE)="","",VLOOKUP(BC798,βοηθητικό!$J$2:$N$354,3,FALSE))</f>
        <v>_</v>
      </c>
      <c r="BE798" s="47"/>
      <c r="BF798" s="42" t="s">
        <v>16</v>
      </c>
      <c r="BG798" s="43" t="str">
        <f>IF(VLOOKUP(BF798,βοηθητικό!$J$2:$N$354,3,FALSE)="","",VLOOKUP(BF798,βοηθητικό!$J$2:$N$354,3,FALSE))</f>
        <v>_</v>
      </c>
      <c r="BH798" s="44"/>
      <c r="BI798" s="45" t="s">
        <v>16</v>
      </c>
      <c r="BJ798" s="46" t="str">
        <f>IF(VLOOKUP(BI798,βοηθητικό!$J$2:$N$354,3,FALSE)="","",VLOOKUP(BI798,βοηθητικό!$J$2:$N$354,3,FALSE))</f>
        <v>_</v>
      </c>
      <c r="BK798" s="47"/>
      <c r="BL798" s="42" t="s">
        <v>16</v>
      </c>
      <c r="BM798" s="43" t="str">
        <f>IF(VLOOKUP(BL798,βοηθητικό!$J$2:$N$354,3,FALSE)="","",VLOOKUP(BL798,βοηθητικό!$J$2:$N$354,3,FALSE))</f>
        <v>_</v>
      </c>
      <c r="BN798" s="44"/>
      <c r="BO798" s="45" t="s">
        <v>16</v>
      </c>
      <c r="BP798" s="46" t="str">
        <f>IF(VLOOKUP(BO798,βοηθητικό!$J$2:$N$354,3,FALSE)="","",VLOOKUP(BO798,βοηθητικό!$J$2:$N$354,3,FALSE))</f>
        <v>_</v>
      </c>
      <c r="BQ798" s="47"/>
      <c r="BR798" s="42" t="s">
        <v>16</v>
      </c>
      <c r="BS798" s="43" t="str">
        <f>IF(VLOOKUP(BR798,βοηθητικό!$J$2:$N$354,3,FALSE)="","",VLOOKUP(BR798,βοηθητικό!$J$2:$N$354,3,FALSE))</f>
        <v>_</v>
      </c>
      <c r="BT798" s="44"/>
      <c r="BU798" s="45" t="s">
        <v>16</v>
      </c>
      <c r="BV798" s="46" t="str">
        <f>IF(VLOOKUP(BU798,βοηθητικό!$J$2:$N$354,3,FALSE)="","",VLOOKUP(BU798,βοηθητικό!$J$2:$N$354,3,FALSE))</f>
        <v>_</v>
      </c>
      <c r="BW798" s="47"/>
      <c r="BX798" s="42" t="s">
        <v>16</v>
      </c>
      <c r="BY798" s="43" t="str">
        <f>IF(VLOOKUP(BX798,βοηθητικό!$J$2:$N$354,3,FALSE)="","",VLOOKUP(BX798,βοηθητικό!$J$2:$N$354,3,FALSE))</f>
        <v>_</v>
      </c>
      <c r="BZ798" s="44"/>
      <c r="CA798" s="45" t="s">
        <v>16</v>
      </c>
      <c r="CB798" s="46" t="str">
        <f>IF(VLOOKUP(CA798,βοηθητικό!$J$2:$N$354,3,FALSE)="","",VLOOKUP(CA798,βοηθητικό!$J$2:$N$354,3,FALSE))</f>
        <v>_</v>
      </c>
      <c r="CC798" s="47"/>
      <c r="CD798" s="42" t="s">
        <v>16</v>
      </c>
      <c r="CE798" s="43" t="str">
        <f>IF(VLOOKUP(CD798,βοηθητικό!$J$2:$N$354,3,FALSE)="","",VLOOKUP(CD798,βοηθητικό!$J$2:$N$354,3,FALSE))</f>
        <v>_</v>
      </c>
      <c r="CF798" s="44"/>
      <c r="CG798" s="45" t="s">
        <v>16</v>
      </c>
      <c r="CH798" s="46" t="str">
        <f>IF(VLOOKUP(CG798,βοηθητικό!$J$2:$N$354,3,FALSE)="","",VLOOKUP(CG798,βοηθητικό!$J$2:$N$354,3,FALSE))</f>
        <v>_</v>
      </c>
      <c r="CI798" s="47"/>
      <c r="CJ798" s="42" t="s">
        <v>16</v>
      </c>
      <c r="CK798" s="43" t="str">
        <f>IF(VLOOKUP(CJ798,βοηθητικό!$J$2:$N$354,3,FALSE)="","",VLOOKUP(CJ798,βοηθητικό!$J$2:$N$354,3,FALSE))</f>
        <v>_</v>
      </c>
      <c r="CL798" s="44"/>
      <c r="CM798" s="45" t="s">
        <v>16</v>
      </c>
      <c r="CN798" s="46" t="str">
        <f>IF(VLOOKUP(CM798,βοηθητικό!$J$2:$N$354,3,FALSE)="","",VLOOKUP(CM798,βοηθητικό!$J$2:$N$354,3,FALSE))</f>
        <v>_</v>
      </c>
      <c r="CO798" s="47"/>
      <c r="CP798" s="42" t="s">
        <v>16</v>
      </c>
      <c r="CQ798" s="43" t="str">
        <f>IF(VLOOKUP(CP798,βοηθητικό!$J$2:$N$354,3,FALSE)="","",VLOOKUP(CP798,βοηθητικό!$J$2:$N$354,3,FALSE))</f>
        <v>_</v>
      </c>
      <c r="CR798" s="44"/>
      <c r="CS798" s="45" t="s">
        <v>16</v>
      </c>
      <c r="CT798" s="46" t="str">
        <f>IF(VLOOKUP(CS798,βοηθητικό!$J$2:$N$354,3,FALSE)="","",VLOOKUP(CS798,βοηθητικό!$J$2:$N$354,3,FALSE))</f>
        <v>_</v>
      </c>
      <c r="CU798" s="47"/>
    </row>
    <row r="799" spans="1:99" x14ac:dyDescent="0.25">
      <c r="A799" s="37">
        <f>--SUBTOTAL(3,$B$3:B798)</f>
        <v>198</v>
      </c>
      <c r="B799" s="2"/>
      <c r="C799" s="3"/>
      <c r="D799" s="55" t="s">
        <v>18</v>
      </c>
      <c r="E799" s="38" t="s">
        <v>16</v>
      </c>
      <c r="F799" s="38"/>
      <c r="G799" s="39" t="str">
        <f t="shared" si="38"/>
        <v>__</v>
      </c>
      <c r="H799" s="40" t="str">
        <f t="shared" si="39"/>
        <v>FALSE</v>
      </c>
      <c r="I799" s="41">
        <f t="shared" si="40"/>
        <v>0</v>
      </c>
      <c r="J799" s="4" t="s">
        <v>16</v>
      </c>
      <c r="K799" s="43" t="str">
        <f>IF(VLOOKUP(J799,βοηθητικό!$J$2:$N$354,3,FALSE)="","",VLOOKUP(J799,βοηθητικό!$J$2:$N$354,3,FALSE))</f>
        <v>_</v>
      </c>
      <c r="L799" s="44"/>
      <c r="M799" s="5" t="s">
        <v>16</v>
      </c>
      <c r="N799" s="46" t="str">
        <f>IF(VLOOKUP(M799,βοηθητικό!$J$2:$N$354,3,FALSE)="","",VLOOKUP(M799,βοηθητικό!$J$2:$N$354,3,FALSE))</f>
        <v>_</v>
      </c>
      <c r="O799" s="47"/>
      <c r="P799" s="4" t="s">
        <v>16</v>
      </c>
      <c r="Q799" s="43" t="str">
        <f>IF(VLOOKUP(P799,βοηθητικό!$J$2:$N$354,3,FALSE)="","",VLOOKUP(P799,βοηθητικό!$J$2:$N$354,3,FALSE))</f>
        <v>_</v>
      </c>
      <c r="R799" s="44"/>
      <c r="S799" s="5" t="s">
        <v>16</v>
      </c>
      <c r="T799" s="46" t="str">
        <f>IF(VLOOKUP(S799,βοηθητικό!$J$2:$N$354,3,FALSE)="","",VLOOKUP(S799,βοηθητικό!$J$2:$N$354,3,FALSE))</f>
        <v>_</v>
      </c>
      <c r="U799" s="47"/>
      <c r="V799" s="4" t="s">
        <v>16</v>
      </c>
      <c r="W799" s="43" t="str">
        <f>IF(VLOOKUP(V799,βοηθητικό!$J$2:$N$354,3,FALSE)="","",VLOOKUP(V799,βοηθητικό!$J$2:$N$354,3,FALSE))</f>
        <v>_</v>
      </c>
      <c r="X799" s="44"/>
      <c r="Y799" s="5" t="s">
        <v>16</v>
      </c>
      <c r="Z799" s="46" t="str">
        <f>IF(VLOOKUP(Y799,βοηθητικό!$J$2:$N$354,3,FALSE)="","",VLOOKUP(Y799,βοηθητικό!$J$2:$N$354,3,FALSE))</f>
        <v>_</v>
      </c>
      <c r="AA799" s="47"/>
      <c r="AB799" s="4" t="s">
        <v>16</v>
      </c>
      <c r="AC799" s="43" t="str">
        <f>IF(VLOOKUP(AB799,βοηθητικό!$J$2:$N$354,3,FALSE)="","",VLOOKUP(AB799,βοηθητικό!$J$2:$N$354,3,FALSE))</f>
        <v>_</v>
      </c>
      <c r="AD799" s="44"/>
      <c r="AE799" s="5" t="s">
        <v>16</v>
      </c>
      <c r="AF799" s="46" t="str">
        <f>IF(VLOOKUP(AE799,βοηθητικό!$J$2:$N$354,3,FALSE)="","",VLOOKUP(AE799,βοηθητικό!$J$2:$N$354,3,FALSE))</f>
        <v>_</v>
      </c>
      <c r="AG799" s="47"/>
      <c r="AH799" s="4" t="s">
        <v>16</v>
      </c>
      <c r="AI799" s="43" t="str">
        <f>IF(VLOOKUP(AH799,βοηθητικό!$J$2:$N$354,3,FALSE)="","",VLOOKUP(AH799,βοηθητικό!$J$2:$N$354,3,FALSE))</f>
        <v>_</v>
      </c>
      <c r="AJ799" s="44"/>
      <c r="AK799" s="5" t="s">
        <v>16</v>
      </c>
      <c r="AL799" s="46" t="str">
        <f>IF(VLOOKUP(AK799,βοηθητικό!$J$2:$N$354,3,FALSE)="","",VLOOKUP(AK799,βοηθητικό!$J$2:$N$354,3,FALSE))</f>
        <v>_</v>
      </c>
      <c r="AM799" s="47"/>
      <c r="AN799" s="4" t="s">
        <v>16</v>
      </c>
      <c r="AO799" s="43" t="str">
        <f>IF(VLOOKUP(AN799,βοηθητικό!$J$2:$N$354,3,FALSE)="","",VLOOKUP(AN799,βοηθητικό!$J$2:$N$354,3,FALSE))</f>
        <v>_</v>
      </c>
      <c r="AP799" s="44"/>
      <c r="AQ799" s="5" t="s">
        <v>16</v>
      </c>
      <c r="AR799" s="46" t="str">
        <f>IF(VLOOKUP(AQ799,βοηθητικό!$J$2:$N$354,3,FALSE)="","",VLOOKUP(AQ799,βοηθητικό!$J$2:$N$354,3,FALSE))</f>
        <v>_</v>
      </c>
      <c r="AS799" s="47"/>
      <c r="AT799" s="4" t="s">
        <v>16</v>
      </c>
      <c r="AU799" s="43" t="str">
        <f>IF(VLOOKUP(AT799,βοηθητικό!$J$2:$N$354,3,FALSE)="","",VLOOKUP(AT799,βοηθητικό!$J$2:$N$354,3,FALSE))</f>
        <v>_</v>
      </c>
      <c r="AV799" s="44"/>
      <c r="AW799" s="5" t="s">
        <v>16</v>
      </c>
      <c r="AX799" s="46" t="str">
        <f>IF(VLOOKUP(AW799,βοηθητικό!$J$2:$N$354,3,FALSE)="","",VLOOKUP(AW799,βοηθητικό!$J$2:$N$354,3,FALSE))</f>
        <v>_</v>
      </c>
      <c r="AY799" s="47"/>
      <c r="AZ799" s="4" t="s">
        <v>16</v>
      </c>
      <c r="BA799" s="43" t="str">
        <f>IF(VLOOKUP(AZ799,βοηθητικό!$J$2:$N$354,3,FALSE)="","",VLOOKUP(AZ799,βοηθητικό!$J$2:$N$354,3,FALSE))</f>
        <v>_</v>
      </c>
      <c r="BB799" s="44"/>
      <c r="BC799" s="45" t="s">
        <v>16</v>
      </c>
      <c r="BD799" s="46" t="str">
        <f>IF(VLOOKUP(BC799,βοηθητικό!$J$2:$N$354,3,FALSE)="","",VLOOKUP(BC799,βοηθητικό!$J$2:$N$354,3,FALSE))</f>
        <v>_</v>
      </c>
      <c r="BE799" s="47"/>
      <c r="BF799" s="42" t="s">
        <v>16</v>
      </c>
      <c r="BG799" s="43" t="str">
        <f>IF(VLOOKUP(BF799,βοηθητικό!$J$2:$N$354,3,FALSE)="","",VLOOKUP(BF799,βοηθητικό!$J$2:$N$354,3,FALSE))</f>
        <v>_</v>
      </c>
      <c r="BH799" s="44"/>
      <c r="BI799" s="45" t="s">
        <v>16</v>
      </c>
      <c r="BJ799" s="46" t="str">
        <f>IF(VLOOKUP(BI799,βοηθητικό!$J$2:$N$354,3,FALSE)="","",VLOOKUP(BI799,βοηθητικό!$J$2:$N$354,3,FALSE))</f>
        <v>_</v>
      </c>
      <c r="BK799" s="47"/>
      <c r="BL799" s="42" t="s">
        <v>16</v>
      </c>
      <c r="BM799" s="43" t="str">
        <f>IF(VLOOKUP(BL799,βοηθητικό!$J$2:$N$354,3,FALSE)="","",VLOOKUP(BL799,βοηθητικό!$J$2:$N$354,3,FALSE))</f>
        <v>_</v>
      </c>
      <c r="BN799" s="44"/>
      <c r="BO799" s="45" t="s">
        <v>16</v>
      </c>
      <c r="BP799" s="46" t="str">
        <f>IF(VLOOKUP(BO799,βοηθητικό!$J$2:$N$354,3,FALSE)="","",VLOOKUP(BO799,βοηθητικό!$J$2:$N$354,3,FALSE))</f>
        <v>_</v>
      </c>
      <c r="BQ799" s="47"/>
      <c r="BR799" s="42" t="s">
        <v>16</v>
      </c>
      <c r="BS799" s="43" t="str">
        <f>IF(VLOOKUP(BR799,βοηθητικό!$J$2:$N$354,3,FALSE)="","",VLOOKUP(BR799,βοηθητικό!$J$2:$N$354,3,FALSE))</f>
        <v>_</v>
      </c>
      <c r="BT799" s="44"/>
      <c r="BU799" s="45" t="s">
        <v>16</v>
      </c>
      <c r="BV799" s="46" t="str">
        <f>IF(VLOOKUP(BU799,βοηθητικό!$J$2:$N$354,3,FALSE)="","",VLOOKUP(BU799,βοηθητικό!$J$2:$N$354,3,FALSE))</f>
        <v>_</v>
      </c>
      <c r="BW799" s="47"/>
      <c r="BX799" s="42" t="s">
        <v>16</v>
      </c>
      <c r="BY799" s="43" t="str">
        <f>IF(VLOOKUP(BX799,βοηθητικό!$J$2:$N$354,3,FALSE)="","",VLOOKUP(BX799,βοηθητικό!$J$2:$N$354,3,FALSE))</f>
        <v>_</v>
      </c>
      <c r="BZ799" s="44"/>
      <c r="CA799" s="45" t="s">
        <v>16</v>
      </c>
      <c r="CB799" s="46" t="str">
        <f>IF(VLOOKUP(CA799,βοηθητικό!$J$2:$N$354,3,FALSE)="","",VLOOKUP(CA799,βοηθητικό!$J$2:$N$354,3,FALSE))</f>
        <v>_</v>
      </c>
      <c r="CC799" s="47"/>
      <c r="CD799" s="42" t="s">
        <v>16</v>
      </c>
      <c r="CE799" s="43" t="str">
        <f>IF(VLOOKUP(CD799,βοηθητικό!$J$2:$N$354,3,FALSE)="","",VLOOKUP(CD799,βοηθητικό!$J$2:$N$354,3,FALSE))</f>
        <v>_</v>
      </c>
      <c r="CF799" s="44"/>
      <c r="CG799" s="45" t="s">
        <v>16</v>
      </c>
      <c r="CH799" s="46" t="str">
        <f>IF(VLOOKUP(CG799,βοηθητικό!$J$2:$N$354,3,FALSE)="","",VLOOKUP(CG799,βοηθητικό!$J$2:$N$354,3,FALSE))</f>
        <v>_</v>
      </c>
      <c r="CI799" s="47"/>
      <c r="CJ799" s="42" t="s">
        <v>16</v>
      </c>
      <c r="CK799" s="43" t="str">
        <f>IF(VLOOKUP(CJ799,βοηθητικό!$J$2:$N$354,3,FALSE)="","",VLOOKUP(CJ799,βοηθητικό!$J$2:$N$354,3,FALSE))</f>
        <v>_</v>
      </c>
      <c r="CL799" s="44"/>
      <c r="CM799" s="45" t="s">
        <v>16</v>
      </c>
      <c r="CN799" s="46" t="str">
        <f>IF(VLOOKUP(CM799,βοηθητικό!$J$2:$N$354,3,FALSE)="","",VLOOKUP(CM799,βοηθητικό!$J$2:$N$354,3,FALSE))</f>
        <v>_</v>
      </c>
      <c r="CO799" s="47"/>
      <c r="CP799" s="42" t="s">
        <v>16</v>
      </c>
      <c r="CQ799" s="43" t="str">
        <f>IF(VLOOKUP(CP799,βοηθητικό!$J$2:$N$354,3,FALSE)="","",VLOOKUP(CP799,βοηθητικό!$J$2:$N$354,3,FALSE))</f>
        <v>_</v>
      </c>
      <c r="CR799" s="44"/>
      <c r="CS799" s="45" t="s">
        <v>16</v>
      </c>
      <c r="CT799" s="46" t="str">
        <f>IF(VLOOKUP(CS799,βοηθητικό!$J$2:$N$354,3,FALSE)="","",VLOOKUP(CS799,βοηθητικό!$J$2:$N$354,3,FALSE))</f>
        <v>_</v>
      </c>
      <c r="CU799" s="47"/>
    </row>
    <row r="800" spans="1:99" x14ac:dyDescent="0.25">
      <c r="A800" s="37">
        <f>--SUBTOTAL(3,$B$3:B799)</f>
        <v>198</v>
      </c>
      <c r="B800" s="2"/>
      <c r="C800" s="3"/>
      <c r="D800" s="55" t="s">
        <v>18</v>
      </c>
      <c r="E800" s="38" t="s">
        <v>16</v>
      </c>
      <c r="F800" s="38"/>
      <c r="G800" s="39" t="str">
        <f t="shared" si="38"/>
        <v>__</v>
      </c>
      <c r="H800" s="40" t="str">
        <f t="shared" si="39"/>
        <v>FALSE</v>
      </c>
      <c r="I800" s="41">
        <f t="shared" si="40"/>
        <v>0</v>
      </c>
      <c r="J800" s="4" t="s">
        <v>16</v>
      </c>
      <c r="K800" s="43" t="str">
        <f>IF(VLOOKUP(J800,βοηθητικό!$J$2:$N$354,3,FALSE)="","",VLOOKUP(J800,βοηθητικό!$J$2:$N$354,3,FALSE))</f>
        <v>_</v>
      </c>
      <c r="L800" s="44"/>
      <c r="M800" s="5" t="s">
        <v>16</v>
      </c>
      <c r="N800" s="46" t="str">
        <f>IF(VLOOKUP(M800,βοηθητικό!$J$2:$N$354,3,FALSE)="","",VLOOKUP(M800,βοηθητικό!$J$2:$N$354,3,FALSE))</f>
        <v>_</v>
      </c>
      <c r="O800" s="47"/>
      <c r="P800" s="4" t="s">
        <v>16</v>
      </c>
      <c r="Q800" s="43" t="str">
        <f>IF(VLOOKUP(P800,βοηθητικό!$J$2:$N$354,3,FALSE)="","",VLOOKUP(P800,βοηθητικό!$J$2:$N$354,3,FALSE))</f>
        <v>_</v>
      </c>
      <c r="R800" s="44"/>
      <c r="S800" s="5" t="s">
        <v>16</v>
      </c>
      <c r="T800" s="46" t="str">
        <f>IF(VLOOKUP(S800,βοηθητικό!$J$2:$N$354,3,FALSE)="","",VLOOKUP(S800,βοηθητικό!$J$2:$N$354,3,FALSE))</f>
        <v>_</v>
      </c>
      <c r="U800" s="47"/>
      <c r="V800" s="4" t="s">
        <v>16</v>
      </c>
      <c r="W800" s="43" t="str">
        <f>IF(VLOOKUP(V800,βοηθητικό!$J$2:$N$354,3,FALSE)="","",VLOOKUP(V800,βοηθητικό!$J$2:$N$354,3,FALSE))</f>
        <v>_</v>
      </c>
      <c r="X800" s="44"/>
      <c r="Y800" s="5" t="s">
        <v>16</v>
      </c>
      <c r="Z800" s="46" t="str">
        <f>IF(VLOOKUP(Y800,βοηθητικό!$J$2:$N$354,3,FALSE)="","",VLOOKUP(Y800,βοηθητικό!$J$2:$N$354,3,FALSE))</f>
        <v>_</v>
      </c>
      <c r="AA800" s="47"/>
      <c r="AB800" s="4" t="s">
        <v>16</v>
      </c>
      <c r="AC800" s="43" t="str">
        <f>IF(VLOOKUP(AB800,βοηθητικό!$J$2:$N$354,3,FALSE)="","",VLOOKUP(AB800,βοηθητικό!$J$2:$N$354,3,FALSE))</f>
        <v>_</v>
      </c>
      <c r="AD800" s="44"/>
      <c r="AE800" s="5" t="s">
        <v>16</v>
      </c>
      <c r="AF800" s="46" t="str">
        <f>IF(VLOOKUP(AE800,βοηθητικό!$J$2:$N$354,3,FALSE)="","",VLOOKUP(AE800,βοηθητικό!$J$2:$N$354,3,FALSE))</f>
        <v>_</v>
      </c>
      <c r="AG800" s="47"/>
      <c r="AH800" s="4" t="s">
        <v>16</v>
      </c>
      <c r="AI800" s="43" t="str">
        <f>IF(VLOOKUP(AH800,βοηθητικό!$J$2:$N$354,3,FALSE)="","",VLOOKUP(AH800,βοηθητικό!$J$2:$N$354,3,FALSE))</f>
        <v>_</v>
      </c>
      <c r="AJ800" s="44"/>
      <c r="AK800" s="5" t="s">
        <v>16</v>
      </c>
      <c r="AL800" s="46" t="str">
        <f>IF(VLOOKUP(AK800,βοηθητικό!$J$2:$N$354,3,FALSE)="","",VLOOKUP(AK800,βοηθητικό!$J$2:$N$354,3,FALSE))</f>
        <v>_</v>
      </c>
      <c r="AM800" s="47"/>
      <c r="AN800" s="4" t="s">
        <v>16</v>
      </c>
      <c r="AO800" s="43" t="str">
        <f>IF(VLOOKUP(AN800,βοηθητικό!$J$2:$N$354,3,FALSE)="","",VLOOKUP(AN800,βοηθητικό!$J$2:$N$354,3,FALSE))</f>
        <v>_</v>
      </c>
      <c r="AP800" s="44"/>
      <c r="AQ800" s="5" t="s">
        <v>16</v>
      </c>
      <c r="AR800" s="46" t="str">
        <f>IF(VLOOKUP(AQ800,βοηθητικό!$J$2:$N$354,3,FALSE)="","",VLOOKUP(AQ800,βοηθητικό!$J$2:$N$354,3,FALSE))</f>
        <v>_</v>
      </c>
      <c r="AS800" s="47"/>
      <c r="AT800" s="4" t="s">
        <v>16</v>
      </c>
      <c r="AU800" s="43" t="str">
        <f>IF(VLOOKUP(AT800,βοηθητικό!$J$2:$N$354,3,FALSE)="","",VLOOKUP(AT800,βοηθητικό!$J$2:$N$354,3,FALSE))</f>
        <v>_</v>
      </c>
      <c r="AV800" s="44"/>
      <c r="AW800" s="5" t="s">
        <v>16</v>
      </c>
      <c r="AX800" s="46" t="str">
        <f>IF(VLOOKUP(AW800,βοηθητικό!$J$2:$N$354,3,FALSE)="","",VLOOKUP(AW800,βοηθητικό!$J$2:$N$354,3,FALSE))</f>
        <v>_</v>
      </c>
      <c r="AY800" s="47"/>
      <c r="AZ800" s="4" t="s">
        <v>16</v>
      </c>
      <c r="BA800" s="43" t="str">
        <f>IF(VLOOKUP(AZ800,βοηθητικό!$J$2:$N$354,3,FALSE)="","",VLOOKUP(AZ800,βοηθητικό!$J$2:$N$354,3,FALSE))</f>
        <v>_</v>
      </c>
      <c r="BB800" s="44"/>
      <c r="BC800" s="45" t="s">
        <v>16</v>
      </c>
      <c r="BD800" s="46" t="str">
        <f>IF(VLOOKUP(BC800,βοηθητικό!$J$2:$N$354,3,FALSE)="","",VLOOKUP(BC800,βοηθητικό!$J$2:$N$354,3,FALSE))</f>
        <v>_</v>
      </c>
      <c r="BE800" s="47"/>
      <c r="BF800" s="42" t="s">
        <v>16</v>
      </c>
      <c r="BG800" s="43" t="str">
        <f>IF(VLOOKUP(BF800,βοηθητικό!$J$2:$N$354,3,FALSE)="","",VLOOKUP(BF800,βοηθητικό!$J$2:$N$354,3,FALSE))</f>
        <v>_</v>
      </c>
      <c r="BH800" s="44"/>
      <c r="BI800" s="45" t="s">
        <v>16</v>
      </c>
      <c r="BJ800" s="46" t="str">
        <f>IF(VLOOKUP(BI800,βοηθητικό!$J$2:$N$354,3,FALSE)="","",VLOOKUP(BI800,βοηθητικό!$J$2:$N$354,3,FALSE))</f>
        <v>_</v>
      </c>
      <c r="BK800" s="47"/>
      <c r="BL800" s="42" t="s">
        <v>16</v>
      </c>
      <c r="BM800" s="43" t="str">
        <f>IF(VLOOKUP(BL800,βοηθητικό!$J$2:$N$354,3,FALSE)="","",VLOOKUP(BL800,βοηθητικό!$J$2:$N$354,3,FALSE))</f>
        <v>_</v>
      </c>
      <c r="BN800" s="44"/>
      <c r="BO800" s="45" t="s">
        <v>16</v>
      </c>
      <c r="BP800" s="46" t="str">
        <f>IF(VLOOKUP(BO800,βοηθητικό!$J$2:$N$354,3,FALSE)="","",VLOOKUP(BO800,βοηθητικό!$J$2:$N$354,3,FALSE))</f>
        <v>_</v>
      </c>
      <c r="BQ800" s="47"/>
      <c r="BR800" s="42" t="s">
        <v>16</v>
      </c>
      <c r="BS800" s="43" t="str">
        <f>IF(VLOOKUP(BR800,βοηθητικό!$J$2:$N$354,3,FALSE)="","",VLOOKUP(BR800,βοηθητικό!$J$2:$N$354,3,FALSE))</f>
        <v>_</v>
      </c>
      <c r="BT800" s="44"/>
      <c r="BU800" s="45" t="s">
        <v>16</v>
      </c>
      <c r="BV800" s="46" t="str">
        <f>IF(VLOOKUP(BU800,βοηθητικό!$J$2:$N$354,3,FALSE)="","",VLOOKUP(BU800,βοηθητικό!$J$2:$N$354,3,FALSE))</f>
        <v>_</v>
      </c>
      <c r="BW800" s="47"/>
      <c r="BX800" s="42" t="s">
        <v>16</v>
      </c>
      <c r="BY800" s="43" t="str">
        <f>IF(VLOOKUP(BX800,βοηθητικό!$J$2:$N$354,3,FALSE)="","",VLOOKUP(BX800,βοηθητικό!$J$2:$N$354,3,FALSE))</f>
        <v>_</v>
      </c>
      <c r="BZ800" s="44"/>
      <c r="CA800" s="45" t="s">
        <v>16</v>
      </c>
      <c r="CB800" s="46" t="str">
        <f>IF(VLOOKUP(CA800,βοηθητικό!$J$2:$N$354,3,FALSE)="","",VLOOKUP(CA800,βοηθητικό!$J$2:$N$354,3,FALSE))</f>
        <v>_</v>
      </c>
      <c r="CC800" s="47"/>
      <c r="CD800" s="42" t="s">
        <v>16</v>
      </c>
      <c r="CE800" s="43" t="str">
        <f>IF(VLOOKUP(CD800,βοηθητικό!$J$2:$N$354,3,FALSE)="","",VLOOKUP(CD800,βοηθητικό!$J$2:$N$354,3,FALSE))</f>
        <v>_</v>
      </c>
      <c r="CF800" s="44"/>
      <c r="CG800" s="45" t="s">
        <v>16</v>
      </c>
      <c r="CH800" s="46" t="str">
        <f>IF(VLOOKUP(CG800,βοηθητικό!$J$2:$N$354,3,FALSE)="","",VLOOKUP(CG800,βοηθητικό!$J$2:$N$354,3,FALSE))</f>
        <v>_</v>
      </c>
      <c r="CI800" s="47"/>
      <c r="CJ800" s="42" t="s">
        <v>16</v>
      </c>
      <c r="CK800" s="43" t="str">
        <f>IF(VLOOKUP(CJ800,βοηθητικό!$J$2:$N$354,3,FALSE)="","",VLOOKUP(CJ800,βοηθητικό!$J$2:$N$354,3,FALSE))</f>
        <v>_</v>
      </c>
      <c r="CL800" s="44"/>
      <c r="CM800" s="45" t="s">
        <v>16</v>
      </c>
      <c r="CN800" s="46" t="str">
        <f>IF(VLOOKUP(CM800,βοηθητικό!$J$2:$N$354,3,FALSE)="","",VLOOKUP(CM800,βοηθητικό!$J$2:$N$354,3,FALSE))</f>
        <v>_</v>
      </c>
      <c r="CO800" s="47"/>
      <c r="CP800" s="42" t="s">
        <v>16</v>
      </c>
      <c r="CQ800" s="43" t="str">
        <f>IF(VLOOKUP(CP800,βοηθητικό!$J$2:$N$354,3,FALSE)="","",VLOOKUP(CP800,βοηθητικό!$J$2:$N$354,3,FALSE))</f>
        <v>_</v>
      </c>
      <c r="CR800" s="44"/>
      <c r="CS800" s="45" t="s">
        <v>16</v>
      </c>
      <c r="CT800" s="46" t="str">
        <f>IF(VLOOKUP(CS800,βοηθητικό!$J$2:$N$354,3,FALSE)="","",VLOOKUP(CS800,βοηθητικό!$J$2:$N$354,3,FALSE))</f>
        <v>_</v>
      </c>
      <c r="CU800" s="47"/>
    </row>
    <row r="801" spans="1:99" x14ac:dyDescent="0.25">
      <c r="A801" s="37">
        <f>--SUBTOTAL(3,$B$3:B800)</f>
        <v>198</v>
      </c>
      <c r="B801" s="2"/>
      <c r="C801" s="3"/>
      <c r="D801" s="55" t="s">
        <v>18</v>
      </c>
      <c r="E801" s="38" t="s">
        <v>16</v>
      </c>
      <c r="F801" s="38"/>
      <c r="G801" s="39" t="str">
        <f t="shared" si="38"/>
        <v>__</v>
      </c>
      <c r="H801" s="40" t="str">
        <f t="shared" si="39"/>
        <v>FALSE</v>
      </c>
      <c r="I801" s="41">
        <f t="shared" si="40"/>
        <v>0</v>
      </c>
      <c r="J801" s="4" t="s">
        <v>16</v>
      </c>
      <c r="K801" s="43" t="str">
        <f>IF(VLOOKUP(J801,βοηθητικό!$J$2:$N$354,3,FALSE)="","",VLOOKUP(J801,βοηθητικό!$J$2:$N$354,3,FALSE))</f>
        <v>_</v>
      </c>
      <c r="L801" s="44"/>
      <c r="M801" s="5" t="s">
        <v>16</v>
      </c>
      <c r="N801" s="46" t="str">
        <f>IF(VLOOKUP(M801,βοηθητικό!$J$2:$N$354,3,FALSE)="","",VLOOKUP(M801,βοηθητικό!$J$2:$N$354,3,FALSE))</f>
        <v>_</v>
      </c>
      <c r="O801" s="47"/>
      <c r="P801" s="4" t="s">
        <v>16</v>
      </c>
      <c r="Q801" s="43" t="str">
        <f>IF(VLOOKUP(P801,βοηθητικό!$J$2:$N$354,3,FALSE)="","",VLOOKUP(P801,βοηθητικό!$J$2:$N$354,3,FALSE))</f>
        <v>_</v>
      </c>
      <c r="R801" s="44"/>
      <c r="S801" s="5" t="s">
        <v>16</v>
      </c>
      <c r="T801" s="46" t="str">
        <f>IF(VLOOKUP(S801,βοηθητικό!$J$2:$N$354,3,FALSE)="","",VLOOKUP(S801,βοηθητικό!$J$2:$N$354,3,FALSE))</f>
        <v>_</v>
      </c>
      <c r="U801" s="47"/>
      <c r="V801" s="4" t="s">
        <v>16</v>
      </c>
      <c r="W801" s="43" t="str">
        <f>IF(VLOOKUP(V801,βοηθητικό!$J$2:$N$354,3,FALSE)="","",VLOOKUP(V801,βοηθητικό!$J$2:$N$354,3,FALSE))</f>
        <v>_</v>
      </c>
      <c r="X801" s="44"/>
      <c r="Y801" s="5" t="s">
        <v>16</v>
      </c>
      <c r="Z801" s="46" t="str">
        <f>IF(VLOOKUP(Y801,βοηθητικό!$J$2:$N$354,3,FALSE)="","",VLOOKUP(Y801,βοηθητικό!$J$2:$N$354,3,FALSE))</f>
        <v>_</v>
      </c>
      <c r="AA801" s="47"/>
      <c r="AB801" s="4" t="s">
        <v>16</v>
      </c>
      <c r="AC801" s="43" t="str">
        <f>IF(VLOOKUP(AB801,βοηθητικό!$J$2:$N$354,3,FALSE)="","",VLOOKUP(AB801,βοηθητικό!$J$2:$N$354,3,FALSE))</f>
        <v>_</v>
      </c>
      <c r="AD801" s="44"/>
      <c r="AE801" s="5" t="s">
        <v>16</v>
      </c>
      <c r="AF801" s="46" t="str">
        <f>IF(VLOOKUP(AE801,βοηθητικό!$J$2:$N$354,3,FALSE)="","",VLOOKUP(AE801,βοηθητικό!$J$2:$N$354,3,FALSE))</f>
        <v>_</v>
      </c>
      <c r="AG801" s="47"/>
      <c r="AH801" s="4" t="s">
        <v>16</v>
      </c>
      <c r="AI801" s="43" t="str">
        <f>IF(VLOOKUP(AH801,βοηθητικό!$J$2:$N$354,3,FALSE)="","",VLOOKUP(AH801,βοηθητικό!$J$2:$N$354,3,FALSE))</f>
        <v>_</v>
      </c>
      <c r="AJ801" s="44"/>
      <c r="AK801" s="5" t="s">
        <v>16</v>
      </c>
      <c r="AL801" s="46" t="str">
        <f>IF(VLOOKUP(AK801,βοηθητικό!$J$2:$N$354,3,FALSE)="","",VLOOKUP(AK801,βοηθητικό!$J$2:$N$354,3,FALSE))</f>
        <v>_</v>
      </c>
      <c r="AM801" s="47"/>
      <c r="AN801" s="4" t="s">
        <v>16</v>
      </c>
      <c r="AO801" s="43" t="str">
        <f>IF(VLOOKUP(AN801,βοηθητικό!$J$2:$N$354,3,FALSE)="","",VLOOKUP(AN801,βοηθητικό!$J$2:$N$354,3,FALSE))</f>
        <v>_</v>
      </c>
      <c r="AP801" s="44"/>
      <c r="AQ801" s="5" t="s">
        <v>16</v>
      </c>
      <c r="AR801" s="46" t="str">
        <f>IF(VLOOKUP(AQ801,βοηθητικό!$J$2:$N$354,3,FALSE)="","",VLOOKUP(AQ801,βοηθητικό!$J$2:$N$354,3,FALSE))</f>
        <v>_</v>
      </c>
      <c r="AS801" s="47"/>
      <c r="AT801" s="4" t="s">
        <v>16</v>
      </c>
      <c r="AU801" s="43" t="str">
        <f>IF(VLOOKUP(AT801,βοηθητικό!$J$2:$N$354,3,FALSE)="","",VLOOKUP(AT801,βοηθητικό!$J$2:$N$354,3,FALSE))</f>
        <v>_</v>
      </c>
      <c r="AV801" s="44"/>
      <c r="AW801" s="5" t="s">
        <v>16</v>
      </c>
      <c r="AX801" s="46" t="str">
        <f>IF(VLOOKUP(AW801,βοηθητικό!$J$2:$N$354,3,FALSE)="","",VLOOKUP(AW801,βοηθητικό!$J$2:$N$354,3,FALSE))</f>
        <v>_</v>
      </c>
      <c r="AY801" s="47"/>
      <c r="AZ801" s="4" t="s">
        <v>16</v>
      </c>
      <c r="BA801" s="43" t="str">
        <f>IF(VLOOKUP(AZ801,βοηθητικό!$J$2:$N$354,3,FALSE)="","",VLOOKUP(AZ801,βοηθητικό!$J$2:$N$354,3,FALSE))</f>
        <v>_</v>
      </c>
      <c r="BB801" s="44"/>
      <c r="BC801" s="45" t="s">
        <v>16</v>
      </c>
      <c r="BD801" s="46" t="str">
        <f>IF(VLOOKUP(BC801,βοηθητικό!$J$2:$N$354,3,FALSE)="","",VLOOKUP(BC801,βοηθητικό!$J$2:$N$354,3,FALSE))</f>
        <v>_</v>
      </c>
      <c r="BE801" s="47"/>
      <c r="BF801" s="42" t="s">
        <v>16</v>
      </c>
      <c r="BG801" s="43" t="str">
        <f>IF(VLOOKUP(BF801,βοηθητικό!$J$2:$N$354,3,FALSE)="","",VLOOKUP(BF801,βοηθητικό!$J$2:$N$354,3,FALSE))</f>
        <v>_</v>
      </c>
      <c r="BH801" s="44"/>
      <c r="BI801" s="45" t="s">
        <v>16</v>
      </c>
      <c r="BJ801" s="46" t="str">
        <f>IF(VLOOKUP(BI801,βοηθητικό!$J$2:$N$354,3,FALSE)="","",VLOOKUP(BI801,βοηθητικό!$J$2:$N$354,3,FALSE))</f>
        <v>_</v>
      </c>
      <c r="BK801" s="47"/>
      <c r="BL801" s="42" t="s">
        <v>16</v>
      </c>
      <c r="BM801" s="43" t="str">
        <f>IF(VLOOKUP(BL801,βοηθητικό!$J$2:$N$354,3,FALSE)="","",VLOOKUP(BL801,βοηθητικό!$J$2:$N$354,3,FALSE))</f>
        <v>_</v>
      </c>
      <c r="BN801" s="44"/>
      <c r="BO801" s="45" t="s">
        <v>16</v>
      </c>
      <c r="BP801" s="46" t="str">
        <f>IF(VLOOKUP(BO801,βοηθητικό!$J$2:$N$354,3,FALSE)="","",VLOOKUP(BO801,βοηθητικό!$J$2:$N$354,3,FALSE))</f>
        <v>_</v>
      </c>
      <c r="BQ801" s="47"/>
      <c r="BR801" s="42" t="s">
        <v>16</v>
      </c>
      <c r="BS801" s="43" t="str">
        <f>IF(VLOOKUP(BR801,βοηθητικό!$J$2:$N$354,3,FALSE)="","",VLOOKUP(BR801,βοηθητικό!$J$2:$N$354,3,FALSE))</f>
        <v>_</v>
      </c>
      <c r="BT801" s="44"/>
      <c r="BU801" s="45" t="s">
        <v>16</v>
      </c>
      <c r="BV801" s="46" t="str">
        <f>IF(VLOOKUP(BU801,βοηθητικό!$J$2:$N$354,3,FALSE)="","",VLOOKUP(BU801,βοηθητικό!$J$2:$N$354,3,FALSE))</f>
        <v>_</v>
      </c>
      <c r="BW801" s="47"/>
      <c r="BX801" s="42" t="s">
        <v>16</v>
      </c>
      <c r="BY801" s="43" t="str">
        <f>IF(VLOOKUP(BX801,βοηθητικό!$J$2:$N$354,3,FALSE)="","",VLOOKUP(BX801,βοηθητικό!$J$2:$N$354,3,FALSE))</f>
        <v>_</v>
      </c>
      <c r="BZ801" s="44"/>
      <c r="CA801" s="45" t="s">
        <v>16</v>
      </c>
      <c r="CB801" s="46" t="str">
        <f>IF(VLOOKUP(CA801,βοηθητικό!$J$2:$N$354,3,FALSE)="","",VLOOKUP(CA801,βοηθητικό!$J$2:$N$354,3,FALSE))</f>
        <v>_</v>
      </c>
      <c r="CC801" s="47"/>
      <c r="CD801" s="42" t="s">
        <v>16</v>
      </c>
      <c r="CE801" s="43" t="str">
        <f>IF(VLOOKUP(CD801,βοηθητικό!$J$2:$N$354,3,FALSE)="","",VLOOKUP(CD801,βοηθητικό!$J$2:$N$354,3,FALSE))</f>
        <v>_</v>
      </c>
      <c r="CF801" s="44"/>
      <c r="CG801" s="45" t="s">
        <v>16</v>
      </c>
      <c r="CH801" s="46" t="str">
        <f>IF(VLOOKUP(CG801,βοηθητικό!$J$2:$N$354,3,FALSE)="","",VLOOKUP(CG801,βοηθητικό!$J$2:$N$354,3,FALSE))</f>
        <v>_</v>
      </c>
      <c r="CI801" s="47"/>
      <c r="CJ801" s="42" t="s">
        <v>16</v>
      </c>
      <c r="CK801" s="43" t="str">
        <f>IF(VLOOKUP(CJ801,βοηθητικό!$J$2:$N$354,3,FALSE)="","",VLOOKUP(CJ801,βοηθητικό!$J$2:$N$354,3,FALSE))</f>
        <v>_</v>
      </c>
      <c r="CL801" s="44"/>
      <c r="CM801" s="45" t="s">
        <v>16</v>
      </c>
      <c r="CN801" s="46" t="str">
        <f>IF(VLOOKUP(CM801,βοηθητικό!$J$2:$N$354,3,FALSE)="","",VLOOKUP(CM801,βοηθητικό!$J$2:$N$354,3,FALSE))</f>
        <v>_</v>
      </c>
      <c r="CO801" s="47"/>
      <c r="CP801" s="42" t="s">
        <v>16</v>
      </c>
      <c r="CQ801" s="43" t="str">
        <f>IF(VLOOKUP(CP801,βοηθητικό!$J$2:$N$354,3,FALSE)="","",VLOOKUP(CP801,βοηθητικό!$J$2:$N$354,3,FALSE))</f>
        <v>_</v>
      </c>
      <c r="CR801" s="44"/>
      <c r="CS801" s="45" t="s">
        <v>16</v>
      </c>
      <c r="CT801" s="46" t="str">
        <f>IF(VLOOKUP(CS801,βοηθητικό!$J$2:$N$354,3,FALSE)="","",VLOOKUP(CS801,βοηθητικό!$J$2:$N$354,3,FALSE))</f>
        <v>_</v>
      </c>
      <c r="CU801" s="47"/>
    </row>
    <row r="802" spans="1:99" x14ac:dyDescent="0.25">
      <c r="A802" s="37">
        <f>--SUBTOTAL(3,$B$3:B801)</f>
        <v>198</v>
      </c>
      <c r="B802" s="2"/>
      <c r="C802" s="3"/>
      <c r="D802" s="55" t="s">
        <v>18</v>
      </c>
      <c r="E802" s="38" t="s">
        <v>16</v>
      </c>
      <c r="F802" s="38"/>
      <c r="G802" s="39" t="str">
        <f t="shared" si="38"/>
        <v>__</v>
      </c>
      <c r="H802" s="40" t="str">
        <f t="shared" si="39"/>
        <v>FALSE</v>
      </c>
      <c r="I802" s="41">
        <f t="shared" si="40"/>
        <v>0</v>
      </c>
      <c r="J802" s="4" t="s">
        <v>16</v>
      </c>
      <c r="K802" s="43" t="str">
        <f>IF(VLOOKUP(J802,βοηθητικό!$J$2:$N$354,3,FALSE)="","",VLOOKUP(J802,βοηθητικό!$J$2:$N$354,3,FALSE))</f>
        <v>_</v>
      </c>
      <c r="L802" s="44"/>
      <c r="M802" s="5" t="s">
        <v>16</v>
      </c>
      <c r="N802" s="46" t="str">
        <f>IF(VLOOKUP(M802,βοηθητικό!$J$2:$N$354,3,FALSE)="","",VLOOKUP(M802,βοηθητικό!$J$2:$N$354,3,FALSE))</f>
        <v>_</v>
      </c>
      <c r="O802" s="47"/>
      <c r="P802" s="4" t="s">
        <v>16</v>
      </c>
      <c r="Q802" s="43" t="str">
        <f>IF(VLOOKUP(P802,βοηθητικό!$J$2:$N$354,3,FALSE)="","",VLOOKUP(P802,βοηθητικό!$J$2:$N$354,3,FALSE))</f>
        <v>_</v>
      </c>
      <c r="R802" s="44"/>
      <c r="S802" s="5" t="s">
        <v>16</v>
      </c>
      <c r="T802" s="46" t="str">
        <f>IF(VLOOKUP(S802,βοηθητικό!$J$2:$N$354,3,FALSE)="","",VLOOKUP(S802,βοηθητικό!$J$2:$N$354,3,FALSE))</f>
        <v>_</v>
      </c>
      <c r="U802" s="47"/>
      <c r="V802" s="4" t="s">
        <v>16</v>
      </c>
      <c r="W802" s="43" t="str">
        <f>IF(VLOOKUP(V802,βοηθητικό!$J$2:$N$354,3,FALSE)="","",VLOOKUP(V802,βοηθητικό!$J$2:$N$354,3,FALSE))</f>
        <v>_</v>
      </c>
      <c r="X802" s="44"/>
      <c r="Y802" s="5" t="s">
        <v>16</v>
      </c>
      <c r="Z802" s="46" t="str">
        <f>IF(VLOOKUP(Y802,βοηθητικό!$J$2:$N$354,3,FALSE)="","",VLOOKUP(Y802,βοηθητικό!$J$2:$N$354,3,FALSE))</f>
        <v>_</v>
      </c>
      <c r="AA802" s="47"/>
      <c r="AB802" s="4" t="s">
        <v>16</v>
      </c>
      <c r="AC802" s="43" t="str">
        <f>IF(VLOOKUP(AB802,βοηθητικό!$J$2:$N$354,3,FALSE)="","",VLOOKUP(AB802,βοηθητικό!$J$2:$N$354,3,FALSE))</f>
        <v>_</v>
      </c>
      <c r="AD802" s="44"/>
      <c r="AE802" s="5" t="s">
        <v>16</v>
      </c>
      <c r="AF802" s="46" t="str">
        <f>IF(VLOOKUP(AE802,βοηθητικό!$J$2:$N$354,3,FALSE)="","",VLOOKUP(AE802,βοηθητικό!$J$2:$N$354,3,FALSE))</f>
        <v>_</v>
      </c>
      <c r="AG802" s="47"/>
      <c r="AH802" s="4" t="s">
        <v>16</v>
      </c>
      <c r="AI802" s="43" t="str">
        <f>IF(VLOOKUP(AH802,βοηθητικό!$J$2:$N$354,3,FALSE)="","",VLOOKUP(AH802,βοηθητικό!$J$2:$N$354,3,FALSE))</f>
        <v>_</v>
      </c>
      <c r="AJ802" s="44"/>
      <c r="AK802" s="5" t="s">
        <v>16</v>
      </c>
      <c r="AL802" s="46" t="str">
        <f>IF(VLOOKUP(AK802,βοηθητικό!$J$2:$N$354,3,FALSE)="","",VLOOKUP(AK802,βοηθητικό!$J$2:$N$354,3,FALSE))</f>
        <v>_</v>
      </c>
      <c r="AM802" s="47"/>
      <c r="AN802" s="4" t="s">
        <v>16</v>
      </c>
      <c r="AO802" s="43" t="str">
        <f>IF(VLOOKUP(AN802,βοηθητικό!$J$2:$N$354,3,FALSE)="","",VLOOKUP(AN802,βοηθητικό!$J$2:$N$354,3,FALSE))</f>
        <v>_</v>
      </c>
      <c r="AP802" s="44"/>
      <c r="AQ802" s="5" t="s">
        <v>16</v>
      </c>
      <c r="AR802" s="46" t="str">
        <f>IF(VLOOKUP(AQ802,βοηθητικό!$J$2:$N$354,3,FALSE)="","",VLOOKUP(AQ802,βοηθητικό!$J$2:$N$354,3,FALSE))</f>
        <v>_</v>
      </c>
      <c r="AS802" s="47"/>
      <c r="AT802" s="4" t="s">
        <v>16</v>
      </c>
      <c r="AU802" s="43" t="str">
        <f>IF(VLOOKUP(AT802,βοηθητικό!$J$2:$N$354,3,FALSE)="","",VLOOKUP(AT802,βοηθητικό!$J$2:$N$354,3,FALSE))</f>
        <v>_</v>
      </c>
      <c r="AV802" s="44"/>
      <c r="AW802" s="5" t="s">
        <v>16</v>
      </c>
      <c r="AX802" s="46" t="str">
        <f>IF(VLOOKUP(AW802,βοηθητικό!$J$2:$N$354,3,FALSE)="","",VLOOKUP(AW802,βοηθητικό!$J$2:$N$354,3,FALSE))</f>
        <v>_</v>
      </c>
      <c r="AY802" s="47"/>
      <c r="AZ802" s="4" t="s">
        <v>16</v>
      </c>
      <c r="BA802" s="43" t="str">
        <f>IF(VLOOKUP(AZ802,βοηθητικό!$J$2:$N$354,3,FALSE)="","",VLOOKUP(AZ802,βοηθητικό!$J$2:$N$354,3,FALSE))</f>
        <v>_</v>
      </c>
      <c r="BB802" s="44"/>
      <c r="BC802" s="45" t="s">
        <v>16</v>
      </c>
      <c r="BD802" s="46" t="str">
        <f>IF(VLOOKUP(BC802,βοηθητικό!$J$2:$N$354,3,FALSE)="","",VLOOKUP(BC802,βοηθητικό!$J$2:$N$354,3,FALSE))</f>
        <v>_</v>
      </c>
      <c r="BE802" s="47"/>
      <c r="BF802" s="42" t="s">
        <v>16</v>
      </c>
      <c r="BG802" s="43" t="str">
        <f>IF(VLOOKUP(BF802,βοηθητικό!$J$2:$N$354,3,FALSE)="","",VLOOKUP(BF802,βοηθητικό!$J$2:$N$354,3,FALSE))</f>
        <v>_</v>
      </c>
      <c r="BH802" s="44"/>
      <c r="BI802" s="45" t="s">
        <v>16</v>
      </c>
      <c r="BJ802" s="46" t="str">
        <f>IF(VLOOKUP(BI802,βοηθητικό!$J$2:$N$354,3,FALSE)="","",VLOOKUP(BI802,βοηθητικό!$J$2:$N$354,3,FALSE))</f>
        <v>_</v>
      </c>
      <c r="BK802" s="47"/>
      <c r="BL802" s="42" t="s">
        <v>16</v>
      </c>
      <c r="BM802" s="43" t="str">
        <f>IF(VLOOKUP(BL802,βοηθητικό!$J$2:$N$354,3,FALSE)="","",VLOOKUP(BL802,βοηθητικό!$J$2:$N$354,3,FALSE))</f>
        <v>_</v>
      </c>
      <c r="BN802" s="44"/>
      <c r="BO802" s="45" t="s">
        <v>16</v>
      </c>
      <c r="BP802" s="46" t="str">
        <f>IF(VLOOKUP(BO802,βοηθητικό!$J$2:$N$354,3,FALSE)="","",VLOOKUP(BO802,βοηθητικό!$J$2:$N$354,3,FALSE))</f>
        <v>_</v>
      </c>
      <c r="BQ802" s="47"/>
      <c r="BR802" s="42" t="s">
        <v>16</v>
      </c>
      <c r="BS802" s="43" t="str">
        <f>IF(VLOOKUP(BR802,βοηθητικό!$J$2:$N$354,3,FALSE)="","",VLOOKUP(BR802,βοηθητικό!$J$2:$N$354,3,FALSE))</f>
        <v>_</v>
      </c>
      <c r="BT802" s="44"/>
      <c r="BU802" s="45" t="s">
        <v>16</v>
      </c>
      <c r="BV802" s="46" t="str">
        <f>IF(VLOOKUP(BU802,βοηθητικό!$J$2:$N$354,3,FALSE)="","",VLOOKUP(BU802,βοηθητικό!$J$2:$N$354,3,FALSE))</f>
        <v>_</v>
      </c>
      <c r="BW802" s="47"/>
      <c r="BX802" s="42" t="s">
        <v>16</v>
      </c>
      <c r="BY802" s="43" t="str">
        <f>IF(VLOOKUP(BX802,βοηθητικό!$J$2:$N$354,3,FALSE)="","",VLOOKUP(BX802,βοηθητικό!$J$2:$N$354,3,FALSE))</f>
        <v>_</v>
      </c>
      <c r="BZ802" s="44"/>
      <c r="CA802" s="45" t="s">
        <v>16</v>
      </c>
      <c r="CB802" s="46" t="str">
        <f>IF(VLOOKUP(CA802,βοηθητικό!$J$2:$N$354,3,FALSE)="","",VLOOKUP(CA802,βοηθητικό!$J$2:$N$354,3,FALSE))</f>
        <v>_</v>
      </c>
      <c r="CC802" s="47"/>
      <c r="CD802" s="42" t="s">
        <v>16</v>
      </c>
      <c r="CE802" s="43" t="str">
        <f>IF(VLOOKUP(CD802,βοηθητικό!$J$2:$N$354,3,FALSE)="","",VLOOKUP(CD802,βοηθητικό!$J$2:$N$354,3,FALSE))</f>
        <v>_</v>
      </c>
      <c r="CF802" s="44"/>
      <c r="CG802" s="45" t="s">
        <v>16</v>
      </c>
      <c r="CH802" s="46" t="str">
        <f>IF(VLOOKUP(CG802,βοηθητικό!$J$2:$N$354,3,FALSE)="","",VLOOKUP(CG802,βοηθητικό!$J$2:$N$354,3,FALSE))</f>
        <v>_</v>
      </c>
      <c r="CI802" s="47"/>
      <c r="CJ802" s="42" t="s">
        <v>16</v>
      </c>
      <c r="CK802" s="43" t="str">
        <f>IF(VLOOKUP(CJ802,βοηθητικό!$J$2:$N$354,3,FALSE)="","",VLOOKUP(CJ802,βοηθητικό!$J$2:$N$354,3,FALSE))</f>
        <v>_</v>
      </c>
      <c r="CL802" s="44"/>
      <c r="CM802" s="45" t="s">
        <v>16</v>
      </c>
      <c r="CN802" s="46" t="str">
        <f>IF(VLOOKUP(CM802,βοηθητικό!$J$2:$N$354,3,FALSE)="","",VLOOKUP(CM802,βοηθητικό!$J$2:$N$354,3,FALSE))</f>
        <v>_</v>
      </c>
      <c r="CO802" s="47"/>
      <c r="CP802" s="42" t="s">
        <v>16</v>
      </c>
      <c r="CQ802" s="43" t="str">
        <f>IF(VLOOKUP(CP802,βοηθητικό!$J$2:$N$354,3,FALSE)="","",VLOOKUP(CP802,βοηθητικό!$J$2:$N$354,3,FALSE))</f>
        <v>_</v>
      </c>
      <c r="CR802" s="44"/>
      <c r="CS802" s="45" t="s">
        <v>16</v>
      </c>
      <c r="CT802" s="46" t="str">
        <f>IF(VLOOKUP(CS802,βοηθητικό!$J$2:$N$354,3,FALSE)="","",VLOOKUP(CS802,βοηθητικό!$J$2:$N$354,3,FALSE))</f>
        <v>_</v>
      </c>
      <c r="CU802" s="47"/>
    </row>
    <row r="803" spans="1:99" x14ac:dyDescent="0.25">
      <c r="A803" s="37">
        <f>--SUBTOTAL(3,$B$3:B802)</f>
        <v>198</v>
      </c>
      <c r="B803" s="2"/>
      <c r="C803" s="3"/>
      <c r="D803" s="55" t="s">
        <v>18</v>
      </c>
      <c r="E803" s="38" t="s">
        <v>16</v>
      </c>
      <c r="F803" s="38"/>
      <c r="G803" s="39" t="str">
        <f t="shared" si="38"/>
        <v>__</v>
      </c>
      <c r="H803" s="40" t="str">
        <f t="shared" si="39"/>
        <v>FALSE</v>
      </c>
      <c r="I803" s="41">
        <f t="shared" si="40"/>
        <v>0</v>
      </c>
      <c r="J803" s="4" t="s">
        <v>16</v>
      </c>
      <c r="K803" s="43" t="str">
        <f>IF(VLOOKUP(J803,βοηθητικό!$J$2:$N$354,3,FALSE)="","",VLOOKUP(J803,βοηθητικό!$J$2:$N$354,3,FALSE))</f>
        <v>_</v>
      </c>
      <c r="L803" s="44"/>
      <c r="M803" s="5" t="s">
        <v>16</v>
      </c>
      <c r="N803" s="46" t="str">
        <f>IF(VLOOKUP(M803,βοηθητικό!$J$2:$N$354,3,FALSE)="","",VLOOKUP(M803,βοηθητικό!$J$2:$N$354,3,FALSE))</f>
        <v>_</v>
      </c>
      <c r="O803" s="47"/>
      <c r="P803" s="4" t="s">
        <v>16</v>
      </c>
      <c r="Q803" s="43" t="str">
        <f>IF(VLOOKUP(P803,βοηθητικό!$J$2:$N$354,3,FALSE)="","",VLOOKUP(P803,βοηθητικό!$J$2:$N$354,3,FALSE))</f>
        <v>_</v>
      </c>
      <c r="R803" s="44"/>
      <c r="S803" s="5" t="s">
        <v>16</v>
      </c>
      <c r="T803" s="46" t="str">
        <f>IF(VLOOKUP(S803,βοηθητικό!$J$2:$N$354,3,FALSE)="","",VLOOKUP(S803,βοηθητικό!$J$2:$N$354,3,FALSE))</f>
        <v>_</v>
      </c>
      <c r="U803" s="47"/>
      <c r="V803" s="4" t="s">
        <v>16</v>
      </c>
      <c r="W803" s="43" t="str">
        <f>IF(VLOOKUP(V803,βοηθητικό!$J$2:$N$354,3,FALSE)="","",VLOOKUP(V803,βοηθητικό!$J$2:$N$354,3,FALSE))</f>
        <v>_</v>
      </c>
      <c r="X803" s="44"/>
      <c r="Y803" s="5" t="s">
        <v>16</v>
      </c>
      <c r="Z803" s="46" t="str">
        <f>IF(VLOOKUP(Y803,βοηθητικό!$J$2:$N$354,3,FALSE)="","",VLOOKUP(Y803,βοηθητικό!$J$2:$N$354,3,FALSE))</f>
        <v>_</v>
      </c>
      <c r="AA803" s="47"/>
      <c r="AB803" s="4" t="s">
        <v>16</v>
      </c>
      <c r="AC803" s="43" t="str">
        <f>IF(VLOOKUP(AB803,βοηθητικό!$J$2:$N$354,3,FALSE)="","",VLOOKUP(AB803,βοηθητικό!$J$2:$N$354,3,FALSE))</f>
        <v>_</v>
      </c>
      <c r="AD803" s="44"/>
      <c r="AE803" s="5" t="s">
        <v>16</v>
      </c>
      <c r="AF803" s="46" t="str">
        <f>IF(VLOOKUP(AE803,βοηθητικό!$J$2:$N$354,3,FALSE)="","",VLOOKUP(AE803,βοηθητικό!$J$2:$N$354,3,FALSE))</f>
        <v>_</v>
      </c>
      <c r="AG803" s="47"/>
      <c r="AH803" s="4" t="s">
        <v>16</v>
      </c>
      <c r="AI803" s="43" t="str">
        <f>IF(VLOOKUP(AH803,βοηθητικό!$J$2:$N$354,3,FALSE)="","",VLOOKUP(AH803,βοηθητικό!$J$2:$N$354,3,FALSE))</f>
        <v>_</v>
      </c>
      <c r="AJ803" s="44"/>
      <c r="AK803" s="5" t="s">
        <v>16</v>
      </c>
      <c r="AL803" s="46" t="str">
        <f>IF(VLOOKUP(AK803,βοηθητικό!$J$2:$N$354,3,FALSE)="","",VLOOKUP(AK803,βοηθητικό!$J$2:$N$354,3,FALSE))</f>
        <v>_</v>
      </c>
      <c r="AM803" s="47"/>
      <c r="AN803" s="4" t="s">
        <v>16</v>
      </c>
      <c r="AO803" s="43" t="str">
        <f>IF(VLOOKUP(AN803,βοηθητικό!$J$2:$N$354,3,FALSE)="","",VLOOKUP(AN803,βοηθητικό!$J$2:$N$354,3,FALSE))</f>
        <v>_</v>
      </c>
      <c r="AP803" s="44"/>
      <c r="AQ803" s="5" t="s">
        <v>16</v>
      </c>
      <c r="AR803" s="46" t="str">
        <f>IF(VLOOKUP(AQ803,βοηθητικό!$J$2:$N$354,3,FALSE)="","",VLOOKUP(AQ803,βοηθητικό!$J$2:$N$354,3,FALSE))</f>
        <v>_</v>
      </c>
      <c r="AS803" s="47"/>
      <c r="AT803" s="4" t="s">
        <v>16</v>
      </c>
      <c r="AU803" s="43" t="str">
        <f>IF(VLOOKUP(AT803,βοηθητικό!$J$2:$N$354,3,FALSE)="","",VLOOKUP(AT803,βοηθητικό!$J$2:$N$354,3,FALSE))</f>
        <v>_</v>
      </c>
      <c r="AV803" s="44"/>
      <c r="AW803" s="5" t="s">
        <v>16</v>
      </c>
      <c r="AX803" s="46" t="str">
        <f>IF(VLOOKUP(AW803,βοηθητικό!$J$2:$N$354,3,FALSE)="","",VLOOKUP(AW803,βοηθητικό!$J$2:$N$354,3,FALSE))</f>
        <v>_</v>
      </c>
      <c r="AY803" s="47"/>
      <c r="AZ803" s="4" t="s">
        <v>16</v>
      </c>
      <c r="BA803" s="43" t="str">
        <f>IF(VLOOKUP(AZ803,βοηθητικό!$J$2:$N$354,3,FALSE)="","",VLOOKUP(AZ803,βοηθητικό!$J$2:$N$354,3,FALSE))</f>
        <v>_</v>
      </c>
      <c r="BB803" s="44"/>
      <c r="BC803" s="45" t="s">
        <v>16</v>
      </c>
      <c r="BD803" s="46" t="str">
        <f>IF(VLOOKUP(BC803,βοηθητικό!$J$2:$N$354,3,FALSE)="","",VLOOKUP(BC803,βοηθητικό!$J$2:$N$354,3,FALSE))</f>
        <v>_</v>
      </c>
      <c r="BE803" s="47"/>
      <c r="BF803" s="42" t="s">
        <v>16</v>
      </c>
      <c r="BG803" s="43" t="str">
        <f>IF(VLOOKUP(BF803,βοηθητικό!$J$2:$N$354,3,FALSE)="","",VLOOKUP(BF803,βοηθητικό!$J$2:$N$354,3,FALSE))</f>
        <v>_</v>
      </c>
      <c r="BH803" s="44"/>
      <c r="BI803" s="45" t="s">
        <v>16</v>
      </c>
      <c r="BJ803" s="46" t="str">
        <f>IF(VLOOKUP(BI803,βοηθητικό!$J$2:$N$354,3,FALSE)="","",VLOOKUP(BI803,βοηθητικό!$J$2:$N$354,3,FALSE))</f>
        <v>_</v>
      </c>
      <c r="BK803" s="47"/>
      <c r="BL803" s="42" t="s">
        <v>16</v>
      </c>
      <c r="BM803" s="43" t="str">
        <f>IF(VLOOKUP(BL803,βοηθητικό!$J$2:$N$354,3,FALSE)="","",VLOOKUP(BL803,βοηθητικό!$J$2:$N$354,3,FALSE))</f>
        <v>_</v>
      </c>
      <c r="BN803" s="44"/>
      <c r="BO803" s="45" t="s">
        <v>16</v>
      </c>
      <c r="BP803" s="46" t="str">
        <f>IF(VLOOKUP(BO803,βοηθητικό!$J$2:$N$354,3,FALSE)="","",VLOOKUP(BO803,βοηθητικό!$J$2:$N$354,3,FALSE))</f>
        <v>_</v>
      </c>
      <c r="BQ803" s="47"/>
      <c r="BR803" s="42" t="s">
        <v>16</v>
      </c>
      <c r="BS803" s="43" t="str">
        <f>IF(VLOOKUP(BR803,βοηθητικό!$J$2:$N$354,3,FALSE)="","",VLOOKUP(BR803,βοηθητικό!$J$2:$N$354,3,FALSE))</f>
        <v>_</v>
      </c>
      <c r="BT803" s="44"/>
      <c r="BU803" s="45" t="s">
        <v>16</v>
      </c>
      <c r="BV803" s="46" t="str">
        <f>IF(VLOOKUP(BU803,βοηθητικό!$J$2:$N$354,3,FALSE)="","",VLOOKUP(BU803,βοηθητικό!$J$2:$N$354,3,FALSE))</f>
        <v>_</v>
      </c>
      <c r="BW803" s="47"/>
      <c r="BX803" s="42" t="s">
        <v>16</v>
      </c>
      <c r="BY803" s="43" t="str">
        <f>IF(VLOOKUP(BX803,βοηθητικό!$J$2:$N$354,3,FALSE)="","",VLOOKUP(BX803,βοηθητικό!$J$2:$N$354,3,FALSE))</f>
        <v>_</v>
      </c>
      <c r="BZ803" s="44"/>
      <c r="CA803" s="45" t="s">
        <v>16</v>
      </c>
      <c r="CB803" s="46" t="str">
        <f>IF(VLOOKUP(CA803,βοηθητικό!$J$2:$N$354,3,FALSE)="","",VLOOKUP(CA803,βοηθητικό!$J$2:$N$354,3,FALSE))</f>
        <v>_</v>
      </c>
      <c r="CC803" s="47"/>
      <c r="CD803" s="42" t="s">
        <v>16</v>
      </c>
      <c r="CE803" s="43" t="str">
        <f>IF(VLOOKUP(CD803,βοηθητικό!$J$2:$N$354,3,FALSE)="","",VLOOKUP(CD803,βοηθητικό!$J$2:$N$354,3,FALSE))</f>
        <v>_</v>
      </c>
      <c r="CF803" s="44"/>
      <c r="CG803" s="45" t="s">
        <v>16</v>
      </c>
      <c r="CH803" s="46" t="str">
        <f>IF(VLOOKUP(CG803,βοηθητικό!$J$2:$N$354,3,FALSE)="","",VLOOKUP(CG803,βοηθητικό!$J$2:$N$354,3,FALSE))</f>
        <v>_</v>
      </c>
      <c r="CI803" s="47"/>
      <c r="CJ803" s="42" t="s">
        <v>16</v>
      </c>
      <c r="CK803" s="43" t="str">
        <f>IF(VLOOKUP(CJ803,βοηθητικό!$J$2:$N$354,3,FALSE)="","",VLOOKUP(CJ803,βοηθητικό!$J$2:$N$354,3,FALSE))</f>
        <v>_</v>
      </c>
      <c r="CL803" s="44"/>
      <c r="CM803" s="45" t="s">
        <v>16</v>
      </c>
      <c r="CN803" s="46" t="str">
        <f>IF(VLOOKUP(CM803,βοηθητικό!$J$2:$N$354,3,FALSE)="","",VLOOKUP(CM803,βοηθητικό!$J$2:$N$354,3,FALSE))</f>
        <v>_</v>
      </c>
      <c r="CO803" s="47"/>
      <c r="CP803" s="42" t="s">
        <v>16</v>
      </c>
      <c r="CQ803" s="43" t="str">
        <f>IF(VLOOKUP(CP803,βοηθητικό!$J$2:$N$354,3,FALSE)="","",VLOOKUP(CP803,βοηθητικό!$J$2:$N$354,3,FALSE))</f>
        <v>_</v>
      </c>
      <c r="CR803" s="44"/>
      <c r="CS803" s="45" t="s">
        <v>16</v>
      </c>
      <c r="CT803" s="46" t="str">
        <f>IF(VLOOKUP(CS803,βοηθητικό!$J$2:$N$354,3,FALSE)="","",VLOOKUP(CS803,βοηθητικό!$J$2:$N$354,3,FALSE))</f>
        <v>_</v>
      </c>
      <c r="CU803" s="47"/>
    </row>
    <row r="804" spans="1:99" x14ac:dyDescent="0.25">
      <c r="A804" s="37">
        <f>--SUBTOTAL(3,$B$3:B803)</f>
        <v>198</v>
      </c>
      <c r="B804" s="2"/>
      <c r="C804" s="3"/>
      <c r="D804" s="55" t="s">
        <v>18</v>
      </c>
      <c r="E804" s="38" t="s">
        <v>16</v>
      </c>
      <c r="F804" s="38"/>
      <c r="G804" s="39" t="str">
        <f t="shared" si="38"/>
        <v>__</v>
      </c>
      <c r="H804" s="40" t="str">
        <f t="shared" si="39"/>
        <v>FALSE</v>
      </c>
      <c r="I804" s="41">
        <f t="shared" si="40"/>
        <v>0</v>
      </c>
      <c r="J804" s="4" t="s">
        <v>16</v>
      </c>
      <c r="K804" s="43" t="str">
        <f>IF(VLOOKUP(J804,βοηθητικό!$J$2:$N$354,3,FALSE)="","",VLOOKUP(J804,βοηθητικό!$J$2:$N$354,3,FALSE))</f>
        <v>_</v>
      </c>
      <c r="L804" s="44"/>
      <c r="M804" s="5" t="s">
        <v>16</v>
      </c>
      <c r="N804" s="46" t="str">
        <f>IF(VLOOKUP(M804,βοηθητικό!$J$2:$N$354,3,FALSE)="","",VLOOKUP(M804,βοηθητικό!$J$2:$N$354,3,FALSE))</f>
        <v>_</v>
      </c>
      <c r="O804" s="47"/>
      <c r="P804" s="4" t="s">
        <v>16</v>
      </c>
      <c r="Q804" s="43" t="str">
        <f>IF(VLOOKUP(P804,βοηθητικό!$J$2:$N$354,3,FALSE)="","",VLOOKUP(P804,βοηθητικό!$J$2:$N$354,3,FALSE))</f>
        <v>_</v>
      </c>
      <c r="R804" s="44"/>
      <c r="S804" s="5" t="s">
        <v>16</v>
      </c>
      <c r="T804" s="46" t="str">
        <f>IF(VLOOKUP(S804,βοηθητικό!$J$2:$N$354,3,FALSE)="","",VLOOKUP(S804,βοηθητικό!$J$2:$N$354,3,FALSE))</f>
        <v>_</v>
      </c>
      <c r="U804" s="47"/>
      <c r="V804" s="4" t="s">
        <v>16</v>
      </c>
      <c r="W804" s="43" t="str">
        <f>IF(VLOOKUP(V804,βοηθητικό!$J$2:$N$354,3,FALSE)="","",VLOOKUP(V804,βοηθητικό!$J$2:$N$354,3,FALSE))</f>
        <v>_</v>
      </c>
      <c r="X804" s="44"/>
      <c r="Y804" s="5" t="s">
        <v>16</v>
      </c>
      <c r="Z804" s="46" t="str">
        <f>IF(VLOOKUP(Y804,βοηθητικό!$J$2:$N$354,3,FALSE)="","",VLOOKUP(Y804,βοηθητικό!$J$2:$N$354,3,FALSE))</f>
        <v>_</v>
      </c>
      <c r="AA804" s="47"/>
      <c r="AB804" s="4" t="s">
        <v>16</v>
      </c>
      <c r="AC804" s="43" t="str">
        <f>IF(VLOOKUP(AB804,βοηθητικό!$J$2:$N$354,3,FALSE)="","",VLOOKUP(AB804,βοηθητικό!$J$2:$N$354,3,FALSE))</f>
        <v>_</v>
      </c>
      <c r="AD804" s="44"/>
      <c r="AE804" s="5" t="s">
        <v>16</v>
      </c>
      <c r="AF804" s="46" t="str">
        <f>IF(VLOOKUP(AE804,βοηθητικό!$J$2:$N$354,3,FALSE)="","",VLOOKUP(AE804,βοηθητικό!$J$2:$N$354,3,FALSE))</f>
        <v>_</v>
      </c>
      <c r="AG804" s="47"/>
      <c r="AH804" s="4" t="s">
        <v>16</v>
      </c>
      <c r="AI804" s="43" t="str">
        <f>IF(VLOOKUP(AH804,βοηθητικό!$J$2:$N$354,3,FALSE)="","",VLOOKUP(AH804,βοηθητικό!$J$2:$N$354,3,FALSE))</f>
        <v>_</v>
      </c>
      <c r="AJ804" s="44"/>
      <c r="AK804" s="5" t="s">
        <v>16</v>
      </c>
      <c r="AL804" s="46" t="str">
        <f>IF(VLOOKUP(AK804,βοηθητικό!$J$2:$N$354,3,FALSE)="","",VLOOKUP(AK804,βοηθητικό!$J$2:$N$354,3,FALSE))</f>
        <v>_</v>
      </c>
      <c r="AM804" s="47"/>
      <c r="AN804" s="4" t="s">
        <v>16</v>
      </c>
      <c r="AO804" s="43" t="str">
        <f>IF(VLOOKUP(AN804,βοηθητικό!$J$2:$N$354,3,FALSE)="","",VLOOKUP(AN804,βοηθητικό!$J$2:$N$354,3,FALSE))</f>
        <v>_</v>
      </c>
      <c r="AP804" s="44"/>
      <c r="AQ804" s="5" t="s">
        <v>16</v>
      </c>
      <c r="AR804" s="46" t="str">
        <f>IF(VLOOKUP(AQ804,βοηθητικό!$J$2:$N$354,3,FALSE)="","",VLOOKUP(AQ804,βοηθητικό!$J$2:$N$354,3,FALSE))</f>
        <v>_</v>
      </c>
      <c r="AS804" s="47"/>
      <c r="AT804" s="4" t="s">
        <v>16</v>
      </c>
      <c r="AU804" s="43" t="str">
        <f>IF(VLOOKUP(AT804,βοηθητικό!$J$2:$N$354,3,FALSE)="","",VLOOKUP(AT804,βοηθητικό!$J$2:$N$354,3,FALSE))</f>
        <v>_</v>
      </c>
      <c r="AV804" s="44"/>
      <c r="AW804" s="5" t="s">
        <v>16</v>
      </c>
      <c r="AX804" s="46" t="str">
        <f>IF(VLOOKUP(AW804,βοηθητικό!$J$2:$N$354,3,FALSE)="","",VLOOKUP(AW804,βοηθητικό!$J$2:$N$354,3,FALSE))</f>
        <v>_</v>
      </c>
      <c r="AY804" s="47"/>
      <c r="AZ804" s="4" t="s">
        <v>16</v>
      </c>
      <c r="BA804" s="43" t="str">
        <f>IF(VLOOKUP(AZ804,βοηθητικό!$J$2:$N$354,3,FALSE)="","",VLOOKUP(AZ804,βοηθητικό!$J$2:$N$354,3,FALSE))</f>
        <v>_</v>
      </c>
      <c r="BB804" s="44"/>
      <c r="BC804" s="45" t="s">
        <v>16</v>
      </c>
      <c r="BD804" s="46" t="str">
        <f>IF(VLOOKUP(BC804,βοηθητικό!$J$2:$N$354,3,FALSE)="","",VLOOKUP(BC804,βοηθητικό!$J$2:$N$354,3,FALSE))</f>
        <v>_</v>
      </c>
      <c r="BE804" s="47"/>
      <c r="BF804" s="42" t="s">
        <v>16</v>
      </c>
      <c r="BG804" s="43" t="str">
        <f>IF(VLOOKUP(BF804,βοηθητικό!$J$2:$N$354,3,FALSE)="","",VLOOKUP(BF804,βοηθητικό!$J$2:$N$354,3,FALSE))</f>
        <v>_</v>
      </c>
      <c r="BH804" s="44"/>
      <c r="BI804" s="45" t="s">
        <v>16</v>
      </c>
      <c r="BJ804" s="46" t="str">
        <f>IF(VLOOKUP(BI804,βοηθητικό!$J$2:$N$354,3,FALSE)="","",VLOOKUP(BI804,βοηθητικό!$J$2:$N$354,3,FALSE))</f>
        <v>_</v>
      </c>
      <c r="BK804" s="47"/>
      <c r="BL804" s="42" t="s">
        <v>16</v>
      </c>
      <c r="BM804" s="43" t="str">
        <f>IF(VLOOKUP(BL804,βοηθητικό!$J$2:$N$354,3,FALSE)="","",VLOOKUP(BL804,βοηθητικό!$J$2:$N$354,3,FALSE))</f>
        <v>_</v>
      </c>
      <c r="BN804" s="44"/>
      <c r="BO804" s="45" t="s">
        <v>16</v>
      </c>
      <c r="BP804" s="46" t="str">
        <f>IF(VLOOKUP(BO804,βοηθητικό!$J$2:$N$354,3,FALSE)="","",VLOOKUP(BO804,βοηθητικό!$J$2:$N$354,3,FALSE))</f>
        <v>_</v>
      </c>
      <c r="BQ804" s="47"/>
      <c r="BR804" s="42" t="s">
        <v>16</v>
      </c>
      <c r="BS804" s="43" t="str">
        <f>IF(VLOOKUP(BR804,βοηθητικό!$J$2:$N$354,3,FALSE)="","",VLOOKUP(BR804,βοηθητικό!$J$2:$N$354,3,FALSE))</f>
        <v>_</v>
      </c>
      <c r="BT804" s="44"/>
      <c r="BU804" s="45" t="s">
        <v>16</v>
      </c>
      <c r="BV804" s="46" t="str">
        <f>IF(VLOOKUP(BU804,βοηθητικό!$J$2:$N$354,3,FALSE)="","",VLOOKUP(BU804,βοηθητικό!$J$2:$N$354,3,FALSE))</f>
        <v>_</v>
      </c>
      <c r="BW804" s="47"/>
      <c r="BX804" s="42" t="s">
        <v>16</v>
      </c>
      <c r="BY804" s="43" t="str">
        <f>IF(VLOOKUP(BX804,βοηθητικό!$J$2:$N$354,3,FALSE)="","",VLOOKUP(BX804,βοηθητικό!$J$2:$N$354,3,FALSE))</f>
        <v>_</v>
      </c>
      <c r="BZ804" s="44"/>
      <c r="CA804" s="45" t="s">
        <v>16</v>
      </c>
      <c r="CB804" s="46" t="str">
        <f>IF(VLOOKUP(CA804,βοηθητικό!$J$2:$N$354,3,FALSE)="","",VLOOKUP(CA804,βοηθητικό!$J$2:$N$354,3,FALSE))</f>
        <v>_</v>
      </c>
      <c r="CC804" s="47"/>
      <c r="CD804" s="42" t="s">
        <v>16</v>
      </c>
      <c r="CE804" s="43" t="str">
        <f>IF(VLOOKUP(CD804,βοηθητικό!$J$2:$N$354,3,FALSE)="","",VLOOKUP(CD804,βοηθητικό!$J$2:$N$354,3,FALSE))</f>
        <v>_</v>
      </c>
      <c r="CF804" s="44"/>
      <c r="CG804" s="45" t="s">
        <v>16</v>
      </c>
      <c r="CH804" s="46" t="str">
        <f>IF(VLOOKUP(CG804,βοηθητικό!$J$2:$N$354,3,FALSE)="","",VLOOKUP(CG804,βοηθητικό!$J$2:$N$354,3,FALSE))</f>
        <v>_</v>
      </c>
      <c r="CI804" s="47"/>
      <c r="CJ804" s="42" t="s">
        <v>16</v>
      </c>
      <c r="CK804" s="43" t="str">
        <f>IF(VLOOKUP(CJ804,βοηθητικό!$J$2:$N$354,3,FALSE)="","",VLOOKUP(CJ804,βοηθητικό!$J$2:$N$354,3,FALSE))</f>
        <v>_</v>
      </c>
      <c r="CL804" s="44"/>
      <c r="CM804" s="45" t="s">
        <v>16</v>
      </c>
      <c r="CN804" s="46" t="str">
        <f>IF(VLOOKUP(CM804,βοηθητικό!$J$2:$N$354,3,FALSE)="","",VLOOKUP(CM804,βοηθητικό!$J$2:$N$354,3,FALSE))</f>
        <v>_</v>
      </c>
      <c r="CO804" s="47"/>
      <c r="CP804" s="42" t="s">
        <v>16</v>
      </c>
      <c r="CQ804" s="43" t="str">
        <f>IF(VLOOKUP(CP804,βοηθητικό!$J$2:$N$354,3,FALSE)="","",VLOOKUP(CP804,βοηθητικό!$J$2:$N$354,3,FALSE))</f>
        <v>_</v>
      </c>
      <c r="CR804" s="44"/>
      <c r="CS804" s="45" t="s">
        <v>16</v>
      </c>
      <c r="CT804" s="46" t="str">
        <f>IF(VLOOKUP(CS804,βοηθητικό!$J$2:$N$354,3,FALSE)="","",VLOOKUP(CS804,βοηθητικό!$J$2:$N$354,3,FALSE))</f>
        <v>_</v>
      </c>
      <c r="CU804" s="47"/>
    </row>
    <row r="805" spans="1:99" x14ac:dyDescent="0.25">
      <c r="A805" s="37">
        <f>--SUBTOTAL(3,$B$3:B804)</f>
        <v>198</v>
      </c>
      <c r="B805" s="2"/>
      <c r="C805" s="3"/>
      <c r="D805" s="55" t="s">
        <v>18</v>
      </c>
      <c r="E805" s="38" t="s">
        <v>16</v>
      </c>
      <c r="F805" s="38"/>
      <c r="G805" s="39" t="str">
        <f t="shared" si="38"/>
        <v>__</v>
      </c>
      <c r="H805" s="40" t="str">
        <f t="shared" si="39"/>
        <v>FALSE</v>
      </c>
      <c r="I805" s="41">
        <f t="shared" si="40"/>
        <v>0</v>
      </c>
      <c r="J805" s="4" t="s">
        <v>16</v>
      </c>
      <c r="K805" s="43" t="str">
        <f>IF(VLOOKUP(J805,βοηθητικό!$J$2:$N$354,3,FALSE)="","",VLOOKUP(J805,βοηθητικό!$J$2:$N$354,3,FALSE))</f>
        <v>_</v>
      </c>
      <c r="L805" s="44"/>
      <c r="M805" s="5" t="s">
        <v>16</v>
      </c>
      <c r="N805" s="46" t="str">
        <f>IF(VLOOKUP(M805,βοηθητικό!$J$2:$N$354,3,FALSE)="","",VLOOKUP(M805,βοηθητικό!$J$2:$N$354,3,FALSE))</f>
        <v>_</v>
      </c>
      <c r="O805" s="47"/>
      <c r="P805" s="4" t="s">
        <v>16</v>
      </c>
      <c r="Q805" s="43" t="str">
        <f>IF(VLOOKUP(P805,βοηθητικό!$J$2:$N$354,3,FALSE)="","",VLOOKUP(P805,βοηθητικό!$J$2:$N$354,3,FALSE))</f>
        <v>_</v>
      </c>
      <c r="R805" s="44"/>
      <c r="S805" s="5" t="s">
        <v>16</v>
      </c>
      <c r="T805" s="46" t="str">
        <f>IF(VLOOKUP(S805,βοηθητικό!$J$2:$N$354,3,FALSE)="","",VLOOKUP(S805,βοηθητικό!$J$2:$N$354,3,FALSE))</f>
        <v>_</v>
      </c>
      <c r="U805" s="47"/>
      <c r="V805" s="4" t="s">
        <v>16</v>
      </c>
      <c r="W805" s="43" t="str">
        <f>IF(VLOOKUP(V805,βοηθητικό!$J$2:$N$354,3,FALSE)="","",VLOOKUP(V805,βοηθητικό!$J$2:$N$354,3,FALSE))</f>
        <v>_</v>
      </c>
      <c r="X805" s="44"/>
      <c r="Y805" s="5" t="s">
        <v>16</v>
      </c>
      <c r="Z805" s="46" t="str">
        <f>IF(VLOOKUP(Y805,βοηθητικό!$J$2:$N$354,3,FALSE)="","",VLOOKUP(Y805,βοηθητικό!$J$2:$N$354,3,FALSE))</f>
        <v>_</v>
      </c>
      <c r="AA805" s="47"/>
      <c r="AB805" s="4" t="s">
        <v>16</v>
      </c>
      <c r="AC805" s="43" t="str">
        <f>IF(VLOOKUP(AB805,βοηθητικό!$J$2:$N$354,3,FALSE)="","",VLOOKUP(AB805,βοηθητικό!$J$2:$N$354,3,FALSE))</f>
        <v>_</v>
      </c>
      <c r="AD805" s="44"/>
      <c r="AE805" s="5" t="s">
        <v>16</v>
      </c>
      <c r="AF805" s="46" t="str">
        <f>IF(VLOOKUP(AE805,βοηθητικό!$J$2:$N$354,3,FALSE)="","",VLOOKUP(AE805,βοηθητικό!$J$2:$N$354,3,FALSE))</f>
        <v>_</v>
      </c>
      <c r="AG805" s="47"/>
      <c r="AH805" s="4" t="s">
        <v>16</v>
      </c>
      <c r="AI805" s="43" t="str">
        <f>IF(VLOOKUP(AH805,βοηθητικό!$J$2:$N$354,3,FALSE)="","",VLOOKUP(AH805,βοηθητικό!$J$2:$N$354,3,FALSE))</f>
        <v>_</v>
      </c>
      <c r="AJ805" s="44"/>
      <c r="AK805" s="5" t="s">
        <v>16</v>
      </c>
      <c r="AL805" s="46" t="str">
        <f>IF(VLOOKUP(AK805,βοηθητικό!$J$2:$N$354,3,FALSE)="","",VLOOKUP(AK805,βοηθητικό!$J$2:$N$354,3,FALSE))</f>
        <v>_</v>
      </c>
      <c r="AM805" s="47"/>
      <c r="AN805" s="4" t="s">
        <v>16</v>
      </c>
      <c r="AO805" s="43" t="str">
        <f>IF(VLOOKUP(AN805,βοηθητικό!$J$2:$N$354,3,FALSE)="","",VLOOKUP(AN805,βοηθητικό!$J$2:$N$354,3,FALSE))</f>
        <v>_</v>
      </c>
      <c r="AP805" s="44"/>
      <c r="AQ805" s="5" t="s">
        <v>16</v>
      </c>
      <c r="AR805" s="46" t="str">
        <f>IF(VLOOKUP(AQ805,βοηθητικό!$J$2:$N$354,3,FALSE)="","",VLOOKUP(AQ805,βοηθητικό!$J$2:$N$354,3,FALSE))</f>
        <v>_</v>
      </c>
      <c r="AS805" s="47"/>
      <c r="AT805" s="4" t="s">
        <v>16</v>
      </c>
      <c r="AU805" s="43" t="str">
        <f>IF(VLOOKUP(AT805,βοηθητικό!$J$2:$N$354,3,FALSE)="","",VLOOKUP(AT805,βοηθητικό!$J$2:$N$354,3,FALSE))</f>
        <v>_</v>
      </c>
      <c r="AV805" s="44"/>
      <c r="AW805" s="5" t="s">
        <v>16</v>
      </c>
      <c r="AX805" s="46" t="str">
        <f>IF(VLOOKUP(AW805,βοηθητικό!$J$2:$N$354,3,FALSE)="","",VLOOKUP(AW805,βοηθητικό!$J$2:$N$354,3,FALSE))</f>
        <v>_</v>
      </c>
      <c r="AY805" s="47"/>
      <c r="AZ805" s="4" t="s">
        <v>16</v>
      </c>
      <c r="BA805" s="43" t="str">
        <f>IF(VLOOKUP(AZ805,βοηθητικό!$J$2:$N$354,3,FALSE)="","",VLOOKUP(AZ805,βοηθητικό!$J$2:$N$354,3,FALSE))</f>
        <v>_</v>
      </c>
      <c r="BB805" s="44"/>
      <c r="BC805" s="45" t="s">
        <v>16</v>
      </c>
      <c r="BD805" s="46" t="str">
        <f>IF(VLOOKUP(BC805,βοηθητικό!$J$2:$N$354,3,FALSE)="","",VLOOKUP(BC805,βοηθητικό!$J$2:$N$354,3,FALSE))</f>
        <v>_</v>
      </c>
      <c r="BE805" s="47"/>
      <c r="BF805" s="42" t="s">
        <v>16</v>
      </c>
      <c r="BG805" s="43" t="str">
        <f>IF(VLOOKUP(BF805,βοηθητικό!$J$2:$N$354,3,FALSE)="","",VLOOKUP(BF805,βοηθητικό!$J$2:$N$354,3,FALSE))</f>
        <v>_</v>
      </c>
      <c r="BH805" s="44"/>
      <c r="BI805" s="45" t="s">
        <v>16</v>
      </c>
      <c r="BJ805" s="46" t="str">
        <f>IF(VLOOKUP(BI805,βοηθητικό!$J$2:$N$354,3,FALSE)="","",VLOOKUP(BI805,βοηθητικό!$J$2:$N$354,3,FALSE))</f>
        <v>_</v>
      </c>
      <c r="BK805" s="47"/>
      <c r="BL805" s="42" t="s">
        <v>16</v>
      </c>
      <c r="BM805" s="43" t="str">
        <f>IF(VLOOKUP(BL805,βοηθητικό!$J$2:$N$354,3,FALSE)="","",VLOOKUP(BL805,βοηθητικό!$J$2:$N$354,3,FALSE))</f>
        <v>_</v>
      </c>
      <c r="BN805" s="44"/>
      <c r="BO805" s="45" t="s">
        <v>16</v>
      </c>
      <c r="BP805" s="46" t="str">
        <f>IF(VLOOKUP(BO805,βοηθητικό!$J$2:$N$354,3,FALSE)="","",VLOOKUP(BO805,βοηθητικό!$J$2:$N$354,3,FALSE))</f>
        <v>_</v>
      </c>
      <c r="BQ805" s="47"/>
      <c r="BR805" s="42" t="s">
        <v>16</v>
      </c>
      <c r="BS805" s="43" t="str">
        <f>IF(VLOOKUP(BR805,βοηθητικό!$J$2:$N$354,3,FALSE)="","",VLOOKUP(BR805,βοηθητικό!$J$2:$N$354,3,FALSE))</f>
        <v>_</v>
      </c>
      <c r="BT805" s="44"/>
      <c r="BU805" s="45" t="s">
        <v>16</v>
      </c>
      <c r="BV805" s="46" t="str">
        <f>IF(VLOOKUP(BU805,βοηθητικό!$J$2:$N$354,3,FALSE)="","",VLOOKUP(BU805,βοηθητικό!$J$2:$N$354,3,FALSE))</f>
        <v>_</v>
      </c>
      <c r="BW805" s="47"/>
      <c r="BX805" s="42" t="s">
        <v>16</v>
      </c>
      <c r="BY805" s="43" t="str">
        <f>IF(VLOOKUP(BX805,βοηθητικό!$J$2:$N$354,3,FALSE)="","",VLOOKUP(BX805,βοηθητικό!$J$2:$N$354,3,FALSE))</f>
        <v>_</v>
      </c>
      <c r="BZ805" s="44"/>
      <c r="CA805" s="45" t="s">
        <v>16</v>
      </c>
      <c r="CB805" s="46" t="str">
        <f>IF(VLOOKUP(CA805,βοηθητικό!$J$2:$N$354,3,FALSE)="","",VLOOKUP(CA805,βοηθητικό!$J$2:$N$354,3,FALSE))</f>
        <v>_</v>
      </c>
      <c r="CC805" s="47"/>
      <c r="CD805" s="42" t="s">
        <v>16</v>
      </c>
      <c r="CE805" s="43" t="str">
        <f>IF(VLOOKUP(CD805,βοηθητικό!$J$2:$N$354,3,FALSE)="","",VLOOKUP(CD805,βοηθητικό!$J$2:$N$354,3,FALSE))</f>
        <v>_</v>
      </c>
      <c r="CF805" s="44"/>
      <c r="CG805" s="45" t="s">
        <v>16</v>
      </c>
      <c r="CH805" s="46" t="str">
        <f>IF(VLOOKUP(CG805,βοηθητικό!$J$2:$N$354,3,FALSE)="","",VLOOKUP(CG805,βοηθητικό!$J$2:$N$354,3,FALSE))</f>
        <v>_</v>
      </c>
      <c r="CI805" s="47"/>
      <c r="CJ805" s="42" t="s">
        <v>16</v>
      </c>
      <c r="CK805" s="43" t="str">
        <f>IF(VLOOKUP(CJ805,βοηθητικό!$J$2:$N$354,3,FALSE)="","",VLOOKUP(CJ805,βοηθητικό!$J$2:$N$354,3,FALSE))</f>
        <v>_</v>
      </c>
      <c r="CL805" s="44"/>
      <c r="CM805" s="45" t="s">
        <v>16</v>
      </c>
      <c r="CN805" s="46" t="str">
        <f>IF(VLOOKUP(CM805,βοηθητικό!$J$2:$N$354,3,FALSE)="","",VLOOKUP(CM805,βοηθητικό!$J$2:$N$354,3,FALSE))</f>
        <v>_</v>
      </c>
      <c r="CO805" s="47"/>
      <c r="CP805" s="42" t="s">
        <v>16</v>
      </c>
      <c r="CQ805" s="43" t="str">
        <f>IF(VLOOKUP(CP805,βοηθητικό!$J$2:$N$354,3,FALSE)="","",VLOOKUP(CP805,βοηθητικό!$J$2:$N$354,3,FALSE))</f>
        <v>_</v>
      </c>
      <c r="CR805" s="44"/>
      <c r="CS805" s="45" t="s">
        <v>16</v>
      </c>
      <c r="CT805" s="46" t="str">
        <f>IF(VLOOKUP(CS805,βοηθητικό!$J$2:$N$354,3,FALSE)="","",VLOOKUP(CS805,βοηθητικό!$J$2:$N$354,3,FALSE))</f>
        <v>_</v>
      </c>
      <c r="CU805" s="47"/>
    </row>
    <row r="806" spans="1:99" x14ac:dyDescent="0.25">
      <c r="A806" s="37">
        <f>--SUBTOTAL(3,$B$3:B805)</f>
        <v>198</v>
      </c>
      <c r="B806" s="2"/>
      <c r="C806" s="3"/>
      <c r="D806" s="55" t="s">
        <v>18</v>
      </c>
      <c r="E806" s="38" t="s">
        <v>16</v>
      </c>
      <c r="F806" s="38"/>
      <c r="G806" s="39" t="str">
        <f t="shared" si="38"/>
        <v>__</v>
      </c>
      <c r="H806" s="40" t="str">
        <f t="shared" si="39"/>
        <v>FALSE</v>
      </c>
      <c r="I806" s="41">
        <f t="shared" si="40"/>
        <v>0</v>
      </c>
      <c r="J806" s="4" t="s">
        <v>16</v>
      </c>
      <c r="K806" s="43" t="str">
        <f>IF(VLOOKUP(J806,βοηθητικό!$J$2:$N$354,3,FALSE)="","",VLOOKUP(J806,βοηθητικό!$J$2:$N$354,3,FALSE))</f>
        <v>_</v>
      </c>
      <c r="L806" s="44"/>
      <c r="M806" s="5" t="s">
        <v>16</v>
      </c>
      <c r="N806" s="46" t="str">
        <f>IF(VLOOKUP(M806,βοηθητικό!$J$2:$N$354,3,FALSE)="","",VLOOKUP(M806,βοηθητικό!$J$2:$N$354,3,FALSE))</f>
        <v>_</v>
      </c>
      <c r="O806" s="47"/>
      <c r="P806" s="4" t="s">
        <v>16</v>
      </c>
      <c r="Q806" s="43" t="str">
        <f>IF(VLOOKUP(P806,βοηθητικό!$J$2:$N$354,3,FALSE)="","",VLOOKUP(P806,βοηθητικό!$J$2:$N$354,3,FALSE))</f>
        <v>_</v>
      </c>
      <c r="R806" s="44"/>
      <c r="S806" s="5" t="s">
        <v>16</v>
      </c>
      <c r="T806" s="46" t="str">
        <f>IF(VLOOKUP(S806,βοηθητικό!$J$2:$N$354,3,FALSE)="","",VLOOKUP(S806,βοηθητικό!$J$2:$N$354,3,FALSE))</f>
        <v>_</v>
      </c>
      <c r="U806" s="47"/>
      <c r="V806" s="4" t="s">
        <v>16</v>
      </c>
      <c r="W806" s="43" t="str">
        <f>IF(VLOOKUP(V806,βοηθητικό!$J$2:$N$354,3,FALSE)="","",VLOOKUP(V806,βοηθητικό!$J$2:$N$354,3,FALSE))</f>
        <v>_</v>
      </c>
      <c r="X806" s="44"/>
      <c r="Y806" s="5" t="s">
        <v>16</v>
      </c>
      <c r="Z806" s="46" t="str">
        <f>IF(VLOOKUP(Y806,βοηθητικό!$J$2:$N$354,3,FALSE)="","",VLOOKUP(Y806,βοηθητικό!$J$2:$N$354,3,FALSE))</f>
        <v>_</v>
      </c>
      <c r="AA806" s="47"/>
      <c r="AB806" s="4" t="s">
        <v>16</v>
      </c>
      <c r="AC806" s="43" t="str">
        <f>IF(VLOOKUP(AB806,βοηθητικό!$J$2:$N$354,3,FALSE)="","",VLOOKUP(AB806,βοηθητικό!$J$2:$N$354,3,FALSE))</f>
        <v>_</v>
      </c>
      <c r="AD806" s="44"/>
      <c r="AE806" s="5" t="s">
        <v>16</v>
      </c>
      <c r="AF806" s="46" t="str">
        <f>IF(VLOOKUP(AE806,βοηθητικό!$J$2:$N$354,3,FALSE)="","",VLOOKUP(AE806,βοηθητικό!$J$2:$N$354,3,FALSE))</f>
        <v>_</v>
      </c>
      <c r="AG806" s="47"/>
      <c r="AH806" s="4" t="s">
        <v>16</v>
      </c>
      <c r="AI806" s="43" t="str">
        <f>IF(VLOOKUP(AH806,βοηθητικό!$J$2:$N$354,3,FALSE)="","",VLOOKUP(AH806,βοηθητικό!$J$2:$N$354,3,FALSE))</f>
        <v>_</v>
      </c>
      <c r="AJ806" s="44"/>
      <c r="AK806" s="5" t="s">
        <v>16</v>
      </c>
      <c r="AL806" s="46" t="str">
        <f>IF(VLOOKUP(AK806,βοηθητικό!$J$2:$N$354,3,FALSE)="","",VLOOKUP(AK806,βοηθητικό!$J$2:$N$354,3,FALSE))</f>
        <v>_</v>
      </c>
      <c r="AM806" s="47"/>
      <c r="AN806" s="4" t="s">
        <v>16</v>
      </c>
      <c r="AO806" s="43" t="str">
        <f>IF(VLOOKUP(AN806,βοηθητικό!$J$2:$N$354,3,FALSE)="","",VLOOKUP(AN806,βοηθητικό!$J$2:$N$354,3,FALSE))</f>
        <v>_</v>
      </c>
      <c r="AP806" s="44"/>
      <c r="AQ806" s="5" t="s">
        <v>16</v>
      </c>
      <c r="AR806" s="46" t="str">
        <f>IF(VLOOKUP(AQ806,βοηθητικό!$J$2:$N$354,3,FALSE)="","",VLOOKUP(AQ806,βοηθητικό!$J$2:$N$354,3,FALSE))</f>
        <v>_</v>
      </c>
      <c r="AS806" s="47"/>
      <c r="AT806" s="4" t="s">
        <v>16</v>
      </c>
      <c r="AU806" s="43" t="str">
        <f>IF(VLOOKUP(AT806,βοηθητικό!$J$2:$N$354,3,FALSE)="","",VLOOKUP(AT806,βοηθητικό!$J$2:$N$354,3,FALSE))</f>
        <v>_</v>
      </c>
      <c r="AV806" s="44"/>
      <c r="AW806" s="5" t="s">
        <v>16</v>
      </c>
      <c r="AX806" s="46" t="str">
        <f>IF(VLOOKUP(AW806,βοηθητικό!$J$2:$N$354,3,FALSE)="","",VLOOKUP(AW806,βοηθητικό!$J$2:$N$354,3,FALSE))</f>
        <v>_</v>
      </c>
      <c r="AY806" s="47"/>
      <c r="AZ806" s="4" t="s">
        <v>16</v>
      </c>
      <c r="BA806" s="43" t="str">
        <f>IF(VLOOKUP(AZ806,βοηθητικό!$J$2:$N$354,3,FALSE)="","",VLOOKUP(AZ806,βοηθητικό!$J$2:$N$354,3,FALSE))</f>
        <v>_</v>
      </c>
      <c r="BB806" s="44"/>
      <c r="BC806" s="45" t="s">
        <v>16</v>
      </c>
      <c r="BD806" s="46" t="str">
        <f>IF(VLOOKUP(BC806,βοηθητικό!$J$2:$N$354,3,FALSE)="","",VLOOKUP(BC806,βοηθητικό!$J$2:$N$354,3,FALSE))</f>
        <v>_</v>
      </c>
      <c r="BE806" s="47"/>
      <c r="BF806" s="42" t="s">
        <v>16</v>
      </c>
      <c r="BG806" s="43" t="str">
        <f>IF(VLOOKUP(BF806,βοηθητικό!$J$2:$N$354,3,FALSE)="","",VLOOKUP(BF806,βοηθητικό!$J$2:$N$354,3,FALSE))</f>
        <v>_</v>
      </c>
      <c r="BH806" s="44"/>
      <c r="BI806" s="45" t="s">
        <v>16</v>
      </c>
      <c r="BJ806" s="46" t="str">
        <f>IF(VLOOKUP(BI806,βοηθητικό!$J$2:$N$354,3,FALSE)="","",VLOOKUP(BI806,βοηθητικό!$J$2:$N$354,3,FALSE))</f>
        <v>_</v>
      </c>
      <c r="BK806" s="47"/>
      <c r="BL806" s="42" t="s">
        <v>16</v>
      </c>
      <c r="BM806" s="43" t="str">
        <f>IF(VLOOKUP(BL806,βοηθητικό!$J$2:$N$354,3,FALSE)="","",VLOOKUP(BL806,βοηθητικό!$J$2:$N$354,3,FALSE))</f>
        <v>_</v>
      </c>
      <c r="BN806" s="44"/>
      <c r="BO806" s="45" t="s">
        <v>16</v>
      </c>
      <c r="BP806" s="46" t="str">
        <f>IF(VLOOKUP(BO806,βοηθητικό!$J$2:$N$354,3,FALSE)="","",VLOOKUP(BO806,βοηθητικό!$J$2:$N$354,3,FALSE))</f>
        <v>_</v>
      </c>
      <c r="BQ806" s="47"/>
      <c r="BR806" s="42" t="s">
        <v>16</v>
      </c>
      <c r="BS806" s="43" t="str">
        <f>IF(VLOOKUP(BR806,βοηθητικό!$J$2:$N$354,3,FALSE)="","",VLOOKUP(BR806,βοηθητικό!$J$2:$N$354,3,FALSE))</f>
        <v>_</v>
      </c>
      <c r="BT806" s="44"/>
      <c r="BU806" s="45" t="s">
        <v>16</v>
      </c>
      <c r="BV806" s="46" t="str">
        <f>IF(VLOOKUP(BU806,βοηθητικό!$J$2:$N$354,3,FALSE)="","",VLOOKUP(BU806,βοηθητικό!$J$2:$N$354,3,FALSE))</f>
        <v>_</v>
      </c>
      <c r="BW806" s="47"/>
      <c r="BX806" s="42" t="s">
        <v>16</v>
      </c>
      <c r="BY806" s="43" t="str">
        <f>IF(VLOOKUP(BX806,βοηθητικό!$J$2:$N$354,3,FALSE)="","",VLOOKUP(BX806,βοηθητικό!$J$2:$N$354,3,FALSE))</f>
        <v>_</v>
      </c>
      <c r="BZ806" s="44"/>
      <c r="CA806" s="45" t="s">
        <v>16</v>
      </c>
      <c r="CB806" s="46" t="str">
        <f>IF(VLOOKUP(CA806,βοηθητικό!$J$2:$N$354,3,FALSE)="","",VLOOKUP(CA806,βοηθητικό!$J$2:$N$354,3,FALSE))</f>
        <v>_</v>
      </c>
      <c r="CC806" s="47"/>
      <c r="CD806" s="42" t="s">
        <v>16</v>
      </c>
      <c r="CE806" s="43" t="str">
        <f>IF(VLOOKUP(CD806,βοηθητικό!$J$2:$N$354,3,FALSE)="","",VLOOKUP(CD806,βοηθητικό!$J$2:$N$354,3,FALSE))</f>
        <v>_</v>
      </c>
      <c r="CF806" s="44"/>
      <c r="CG806" s="45" t="s">
        <v>16</v>
      </c>
      <c r="CH806" s="46" t="str">
        <f>IF(VLOOKUP(CG806,βοηθητικό!$J$2:$N$354,3,FALSE)="","",VLOOKUP(CG806,βοηθητικό!$J$2:$N$354,3,FALSE))</f>
        <v>_</v>
      </c>
      <c r="CI806" s="47"/>
      <c r="CJ806" s="42" t="s">
        <v>16</v>
      </c>
      <c r="CK806" s="43" t="str">
        <f>IF(VLOOKUP(CJ806,βοηθητικό!$J$2:$N$354,3,FALSE)="","",VLOOKUP(CJ806,βοηθητικό!$J$2:$N$354,3,FALSE))</f>
        <v>_</v>
      </c>
      <c r="CL806" s="44"/>
      <c r="CM806" s="45" t="s">
        <v>16</v>
      </c>
      <c r="CN806" s="46" t="str">
        <f>IF(VLOOKUP(CM806,βοηθητικό!$J$2:$N$354,3,FALSE)="","",VLOOKUP(CM806,βοηθητικό!$J$2:$N$354,3,FALSE))</f>
        <v>_</v>
      </c>
      <c r="CO806" s="47"/>
      <c r="CP806" s="42" t="s">
        <v>16</v>
      </c>
      <c r="CQ806" s="43" t="str">
        <f>IF(VLOOKUP(CP806,βοηθητικό!$J$2:$N$354,3,FALSE)="","",VLOOKUP(CP806,βοηθητικό!$J$2:$N$354,3,FALSE))</f>
        <v>_</v>
      </c>
      <c r="CR806" s="44"/>
      <c r="CS806" s="45" t="s">
        <v>16</v>
      </c>
      <c r="CT806" s="46" t="str">
        <f>IF(VLOOKUP(CS806,βοηθητικό!$J$2:$N$354,3,FALSE)="","",VLOOKUP(CS806,βοηθητικό!$J$2:$N$354,3,FALSE))</f>
        <v>_</v>
      </c>
      <c r="CU806" s="47"/>
    </row>
    <row r="807" spans="1:99" x14ac:dyDescent="0.25">
      <c r="A807" s="37">
        <f>--SUBTOTAL(3,$B$3:B806)</f>
        <v>198</v>
      </c>
      <c r="B807" s="2"/>
      <c r="C807" s="3"/>
      <c r="D807" s="55" t="s">
        <v>18</v>
      </c>
      <c r="E807" s="38" t="s">
        <v>16</v>
      </c>
      <c r="F807" s="38"/>
      <c r="G807" s="39" t="str">
        <f t="shared" si="38"/>
        <v>__</v>
      </c>
      <c r="H807" s="40" t="str">
        <f t="shared" si="39"/>
        <v>FALSE</v>
      </c>
      <c r="I807" s="41">
        <f t="shared" si="40"/>
        <v>0</v>
      </c>
      <c r="J807" s="4" t="s">
        <v>16</v>
      </c>
      <c r="K807" s="43" t="str">
        <f>IF(VLOOKUP(J807,βοηθητικό!$J$2:$N$354,3,FALSE)="","",VLOOKUP(J807,βοηθητικό!$J$2:$N$354,3,FALSE))</f>
        <v>_</v>
      </c>
      <c r="L807" s="44"/>
      <c r="M807" s="5" t="s">
        <v>16</v>
      </c>
      <c r="N807" s="46" t="str">
        <f>IF(VLOOKUP(M807,βοηθητικό!$J$2:$N$354,3,FALSE)="","",VLOOKUP(M807,βοηθητικό!$J$2:$N$354,3,FALSE))</f>
        <v>_</v>
      </c>
      <c r="O807" s="47"/>
      <c r="P807" s="4" t="s">
        <v>16</v>
      </c>
      <c r="Q807" s="43" t="str">
        <f>IF(VLOOKUP(P807,βοηθητικό!$J$2:$N$354,3,FALSE)="","",VLOOKUP(P807,βοηθητικό!$J$2:$N$354,3,FALSE))</f>
        <v>_</v>
      </c>
      <c r="R807" s="44"/>
      <c r="S807" s="5" t="s">
        <v>16</v>
      </c>
      <c r="T807" s="46" t="str">
        <f>IF(VLOOKUP(S807,βοηθητικό!$J$2:$N$354,3,FALSE)="","",VLOOKUP(S807,βοηθητικό!$J$2:$N$354,3,FALSE))</f>
        <v>_</v>
      </c>
      <c r="U807" s="47"/>
      <c r="V807" s="4" t="s">
        <v>16</v>
      </c>
      <c r="W807" s="43" t="str">
        <f>IF(VLOOKUP(V807,βοηθητικό!$J$2:$N$354,3,FALSE)="","",VLOOKUP(V807,βοηθητικό!$J$2:$N$354,3,FALSE))</f>
        <v>_</v>
      </c>
      <c r="X807" s="44"/>
      <c r="Y807" s="5" t="s">
        <v>16</v>
      </c>
      <c r="Z807" s="46" t="str">
        <f>IF(VLOOKUP(Y807,βοηθητικό!$J$2:$N$354,3,FALSE)="","",VLOOKUP(Y807,βοηθητικό!$J$2:$N$354,3,FALSE))</f>
        <v>_</v>
      </c>
      <c r="AA807" s="47"/>
      <c r="AB807" s="4" t="s">
        <v>16</v>
      </c>
      <c r="AC807" s="43" t="str">
        <f>IF(VLOOKUP(AB807,βοηθητικό!$J$2:$N$354,3,FALSE)="","",VLOOKUP(AB807,βοηθητικό!$J$2:$N$354,3,FALSE))</f>
        <v>_</v>
      </c>
      <c r="AD807" s="44"/>
      <c r="AE807" s="5" t="s">
        <v>16</v>
      </c>
      <c r="AF807" s="46" t="str">
        <f>IF(VLOOKUP(AE807,βοηθητικό!$J$2:$N$354,3,FALSE)="","",VLOOKUP(AE807,βοηθητικό!$J$2:$N$354,3,FALSE))</f>
        <v>_</v>
      </c>
      <c r="AG807" s="47"/>
      <c r="AH807" s="4" t="s">
        <v>16</v>
      </c>
      <c r="AI807" s="43" t="str">
        <f>IF(VLOOKUP(AH807,βοηθητικό!$J$2:$N$354,3,FALSE)="","",VLOOKUP(AH807,βοηθητικό!$J$2:$N$354,3,FALSE))</f>
        <v>_</v>
      </c>
      <c r="AJ807" s="44"/>
      <c r="AK807" s="5" t="s">
        <v>16</v>
      </c>
      <c r="AL807" s="46" t="str">
        <f>IF(VLOOKUP(AK807,βοηθητικό!$J$2:$N$354,3,FALSE)="","",VLOOKUP(AK807,βοηθητικό!$J$2:$N$354,3,FALSE))</f>
        <v>_</v>
      </c>
      <c r="AM807" s="47"/>
      <c r="AN807" s="4" t="s">
        <v>16</v>
      </c>
      <c r="AO807" s="43" t="str">
        <f>IF(VLOOKUP(AN807,βοηθητικό!$J$2:$N$354,3,FALSE)="","",VLOOKUP(AN807,βοηθητικό!$J$2:$N$354,3,FALSE))</f>
        <v>_</v>
      </c>
      <c r="AP807" s="44"/>
      <c r="AQ807" s="5" t="s">
        <v>16</v>
      </c>
      <c r="AR807" s="46" t="str">
        <f>IF(VLOOKUP(AQ807,βοηθητικό!$J$2:$N$354,3,FALSE)="","",VLOOKUP(AQ807,βοηθητικό!$J$2:$N$354,3,FALSE))</f>
        <v>_</v>
      </c>
      <c r="AS807" s="47"/>
      <c r="AT807" s="4" t="s">
        <v>16</v>
      </c>
      <c r="AU807" s="43" t="str">
        <f>IF(VLOOKUP(AT807,βοηθητικό!$J$2:$N$354,3,FALSE)="","",VLOOKUP(AT807,βοηθητικό!$J$2:$N$354,3,FALSE))</f>
        <v>_</v>
      </c>
      <c r="AV807" s="44"/>
      <c r="AW807" s="5" t="s">
        <v>16</v>
      </c>
      <c r="AX807" s="46" t="str">
        <f>IF(VLOOKUP(AW807,βοηθητικό!$J$2:$N$354,3,FALSE)="","",VLOOKUP(AW807,βοηθητικό!$J$2:$N$354,3,FALSE))</f>
        <v>_</v>
      </c>
      <c r="AY807" s="47"/>
      <c r="AZ807" s="4" t="s">
        <v>16</v>
      </c>
      <c r="BA807" s="43" t="str">
        <f>IF(VLOOKUP(AZ807,βοηθητικό!$J$2:$N$354,3,FALSE)="","",VLOOKUP(AZ807,βοηθητικό!$J$2:$N$354,3,FALSE))</f>
        <v>_</v>
      </c>
      <c r="BB807" s="44"/>
      <c r="BC807" s="45" t="s">
        <v>16</v>
      </c>
      <c r="BD807" s="46" t="str">
        <f>IF(VLOOKUP(BC807,βοηθητικό!$J$2:$N$354,3,FALSE)="","",VLOOKUP(BC807,βοηθητικό!$J$2:$N$354,3,FALSE))</f>
        <v>_</v>
      </c>
      <c r="BE807" s="47"/>
      <c r="BF807" s="42" t="s">
        <v>16</v>
      </c>
      <c r="BG807" s="43" t="str">
        <f>IF(VLOOKUP(BF807,βοηθητικό!$J$2:$N$354,3,FALSE)="","",VLOOKUP(BF807,βοηθητικό!$J$2:$N$354,3,FALSE))</f>
        <v>_</v>
      </c>
      <c r="BH807" s="44"/>
      <c r="BI807" s="45" t="s">
        <v>16</v>
      </c>
      <c r="BJ807" s="46" t="str">
        <f>IF(VLOOKUP(BI807,βοηθητικό!$J$2:$N$354,3,FALSE)="","",VLOOKUP(BI807,βοηθητικό!$J$2:$N$354,3,FALSE))</f>
        <v>_</v>
      </c>
      <c r="BK807" s="47"/>
      <c r="BL807" s="42" t="s">
        <v>16</v>
      </c>
      <c r="BM807" s="43" t="str">
        <f>IF(VLOOKUP(BL807,βοηθητικό!$J$2:$N$354,3,FALSE)="","",VLOOKUP(BL807,βοηθητικό!$J$2:$N$354,3,FALSE))</f>
        <v>_</v>
      </c>
      <c r="BN807" s="44"/>
      <c r="BO807" s="45" t="s">
        <v>16</v>
      </c>
      <c r="BP807" s="46" t="str">
        <f>IF(VLOOKUP(BO807,βοηθητικό!$J$2:$N$354,3,FALSE)="","",VLOOKUP(BO807,βοηθητικό!$J$2:$N$354,3,FALSE))</f>
        <v>_</v>
      </c>
      <c r="BQ807" s="47"/>
      <c r="BR807" s="42" t="s">
        <v>16</v>
      </c>
      <c r="BS807" s="43" t="str">
        <f>IF(VLOOKUP(BR807,βοηθητικό!$J$2:$N$354,3,FALSE)="","",VLOOKUP(BR807,βοηθητικό!$J$2:$N$354,3,FALSE))</f>
        <v>_</v>
      </c>
      <c r="BT807" s="44"/>
      <c r="BU807" s="45" t="s">
        <v>16</v>
      </c>
      <c r="BV807" s="46" t="str">
        <f>IF(VLOOKUP(BU807,βοηθητικό!$J$2:$N$354,3,FALSE)="","",VLOOKUP(BU807,βοηθητικό!$J$2:$N$354,3,FALSE))</f>
        <v>_</v>
      </c>
      <c r="BW807" s="47"/>
      <c r="BX807" s="42" t="s">
        <v>16</v>
      </c>
      <c r="BY807" s="43" t="str">
        <f>IF(VLOOKUP(BX807,βοηθητικό!$J$2:$N$354,3,FALSE)="","",VLOOKUP(BX807,βοηθητικό!$J$2:$N$354,3,FALSE))</f>
        <v>_</v>
      </c>
      <c r="BZ807" s="44"/>
      <c r="CA807" s="45" t="s">
        <v>16</v>
      </c>
      <c r="CB807" s="46" t="str">
        <f>IF(VLOOKUP(CA807,βοηθητικό!$J$2:$N$354,3,FALSE)="","",VLOOKUP(CA807,βοηθητικό!$J$2:$N$354,3,FALSE))</f>
        <v>_</v>
      </c>
      <c r="CC807" s="47"/>
      <c r="CD807" s="42" t="s">
        <v>16</v>
      </c>
      <c r="CE807" s="43" t="str">
        <f>IF(VLOOKUP(CD807,βοηθητικό!$J$2:$N$354,3,FALSE)="","",VLOOKUP(CD807,βοηθητικό!$J$2:$N$354,3,FALSE))</f>
        <v>_</v>
      </c>
      <c r="CF807" s="44"/>
      <c r="CG807" s="45" t="s">
        <v>16</v>
      </c>
      <c r="CH807" s="46" t="str">
        <f>IF(VLOOKUP(CG807,βοηθητικό!$J$2:$N$354,3,FALSE)="","",VLOOKUP(CG807,βοηθητικό!$J$2:$N$354,3,FALSE))</f>
        <v>_</v>
      </c>
      <c r="CI807" s="47"/>
      <c r="CJ807" s="42" t="s">
        <v>16</v>
      </c>
      <c r="CK807" s="43" t="str">
        <f>IF(VLOOKUP(CJ807,βοηθητικό!$J$2:$N$354,3,FALSE)="","",VLOOKUP(CJ807,βοηθητικό!$J$2:$N$354,3,FALSE))</f>
        <v>_</v>
      </c>
      <c r="CL807" s="44"/>
      <c r="CM807" s="45" t="s">
        <v>16</v>
      </c>
      <c r="CN807" s="46" t="str">
        <f>IF(VLOOKUP(CM807,βοηθητικό!$J$2:$N$354,3,FALSE)="","",VLOOKUP(CM807,βοηθητικό!$J$2:$N$354,3,FALSE))</f>
        <v>_</v>
      </c>
      <c r="CO807" s="47"/>
      <c r="CP807" s="42" t="s">
        <v>16</v>
      </c>
      <c r="CQ807" s="43" t="str">
        <f>IF(VLOOKUP(CP807,βοηθητικό!$J$2:$N$354,3,FALSE)="","",VLOOKUP(CP807,βοηθητικό!$J$2:$N$354,3,FALSE))</f>
        <v>_</v>
      </c>
      <c r="CR807" s="44"/>
      <c r="CS807" s="45" t="s">
        <v>16</v>
      </c>
      <c r="CT807" s="46" t="str">
        <f>IF(VLOOKUP(CS807,βοηθητικό!$J$2:$N$354,3,FALSE)="","",VLOOKUP(CS807,βοηθητικό!$J$2:$N$354,3,FALSE))</f>
        <v>_</v>
      </c>
      <c r="CU807" s="47"/>
    </row>
    <row r="808" spans="1:99" x14ac:dyDescent="0.25">
      <c r="A808" s="37">
        <f>--SUBTOTAL(3,$B$3:B807)</f>
        <v>198</v>
      </c>
      <c r="B808" s="2"/>
      <c r="C808" s="3"/>
      <c r="D808" s="55" t="s">
        <v>18</v>
      </c>
      <c r="E808" s="38" t="s">
        <v>16</v>
      </c>
      <c r="F808" s="38"/>
      <c r="G808" s="39" t="str">
        <f t="shared" si="38"/>
        <v>__</v>
      </c>
      <c r="H808" s="40" t="str">
        <f t="shared" si="39"/>
        <v>FALSE</v>
      </c>
      <c r="I808" s="41">
        <f t="shared" si="40"/>
        <v>0</v>
      </c>
      <c r="J808" s="4" t="s">
        <v>16</v>
      </c>
      <c r="K808" s="43" t="str">
        <f>IF(VLOOKUP(J808,βοηθητικό!$J$2:$N$354,3,FALSE)="","",VLOOKUP(J808,βοηθητικό!$J$2:$N$354,3,FALSE))</f>
        <v>_</v>
      </c>
      <c r="L808" s="44"/>
      <c r="M808" s="5" t="s">
        <v>16</v>
      </c>
      <c r="N808" s="46" t="str">
        <f>IF(VLOOKUP(M808,βοηθητικό!$J$2:$N$354,3,FALSE)="","",VLOOKUP(M808,βοηθητικό!$J$2:$N$354,3,FALSE))</f>
        <v>_</v>
      </c>
      <c r="O808" s="47"/>
      <c r="P808" s="4" t="s">
        <v>16</v>
      </c>
      <c r="Q808" s="43" t="str">
        <f>IF(VLOOKUP(P808,βοηθητικό!$J$2:$N$354,3,FALSE)="","",VLOOKUP(P808,βοηθητικό!$J$2:$N$354,3,FALSE))</f>
        <v>_</v>
      </c>
      <c r="R808" s="44"/>
      <c r="S808" s="5" t="s">
        <v>16</v>
      </c>
      <c r="T808" s="46" t="str">
        <f>IF(VLOOKUP(S808,βοηθητικό!$J$2:$N$354,3,FALSE)="","",VLOOKUP(S808,βοηθητικό!$J$2:$N$354,3,FALSE))</f>
        <v>_</v>
      </c>
      <c r="U808" s="47"/>
      <c r="V808" s="4" t="s">
        <v>16</v>
      </c>
      <c r="W808" s="43" t="str">
        <f>IF(VLOOKUP(V808,βοηθητικό!$J$2:$N$354,3,FALSE)="","",VLOOKUP(V808,βοηθητικό!$J$2:$N$354,3,FALSE))</f>
        <v>_</v>
      </c>
      <c r="X808" s="44"/>
      <c r="Y808" s="5" t="s">
        <v>16</v>
      </c>
      <c r="Z808" s="46" t="str">
        <f>IF(VLOOKUP(Y808,βοηθητικό!$J$2:$N$354,3,FALSE)="","",VLOOKUP(Y808,βοηθητικό!$J$2:$N$354,3,FALSE))</f>
        <v>_</v>
      </c>
      <c r="AA808" s="47"/>
      <c r="AB808" s="4" t="s">
        <v>16</v>
      </c>
      <c r="AC808" s="43" t="str">
        <f>IF(VLOOKUP(AB808,βοηθητικό!$J$2:$N$354,3,FALSE)="","",VLOOKUP(AB808,βοηθητικό!$J$2:$N$354,3,FALSE))</f>
        <v>_</v>
      </c>
      <c r="AD808" s="44"/>
      <c r="AE808" s="5" t="s">
        <v>16</v>
      </c>
      <c r="AF808" s="46" t="str">
        <f>IF(VLOOKUP(AE808,βοηθητικό!$J$2:$N$354,3,FALSE)="","",VLOOKUP(AE808,βοηθητικό!$J$2:$N$354,3,FALSE))</f>
        <v>_</v>
      </c>
      <c r="AG808" s="47"/>
      <c r="AH808" s="4" t="s">
        <v>16</v>
      </c>
      <c r="AI808" s="43" t="str">
        <f>IF(VLOOKUP(AH808,βοηθητικό!$J$2:$N$354,3,FALSE)="","",VLOOKUP(AH808,βοηθητικό!$J$2:$N$354,3,FALSE))</f>
        <v>_</v>
      </c>
      <c r="AJ808" s="44"/>
      <c r="AK808" s="5" t="s">
        <v>16</v>
      </c>
      <c r="AL808" s="46" t="str">
        <f>IF(VLOOKUP(AK808,βοηθητικό!$J$2:$N$354,3,FALSE)="","",VLOOKUP(AK808,βοηθητικό!$J$2:$N$354,3,FALSE))</f>
        <v>_</v>
      </c>
      <c r="AM808" s="47"/>
      <c r="AN808" s="4" t="s">
        <v>16</v>
      </c>
      <c r="AO808" s="43" t="str">
        <f>IF(VLOOKUP(AN808,βοηθητικό!$J$2:$N$354,3,FALSE)="","",VLOOKUP(AN808,βοηθητικό!$J$2:$N$354,3,FALSE))</f>
        <v>_</v>
      </c>
      <c r="AP808" s="44"/>
      <c r="AQ808" s="5" t="s">
        <v>16</v>
      </c>
      <c r="AR808" s="46" t="str">
        <f>IF(VLOOKUP(AQ808,βοηθητικό!$J$2:$N$354,3,FALSE)="","",VLOOKUP(AQ808,βοηθητικό!$J$2:$N$354,3,FALSE))</f>
        <v>_</v>
      </c>
      <c r="AS808" s="47"/>
      <c r="AT808" s="4" t="s">
        <v>16</v>
      </c>
      <c r="AU808" s="43" t="str">
        <f>IF(VLOOKUP(AT808,βοηθητικό!$J$2:$N$354,3,FALSE)="","",VLOOKUP(AT808,βοηθητικό!$J$2:$N$354,3,FALSE))</f>
        <v>_</v>
      </c>
      <c r="AV808" s="44"/>
      <c r="AW808" s="5" t="s">
        <v>16</v>
      </c>
      <c r="AX808" s="46" t="str">
        <f>IF(VLOOKUP(AW808,βοηθητικό!$J$2:$N$354,3,FALSE)="","",VLOOKUP(AW808,βοηθητικό!$J$2:$N$354,3,FALSE))</f>
        <v>_</v>
      </c>
      <c r="AY808" s="47"/>
      <c r="AZ808" s="4" t="s">
        <v>16</v>
      </c>
      <c r="BA808" s="43" t="str">
        <f>IF(VLOOKUP(AZ808,βοηθητικό!$J$2:$N$354,3,FALSE)="","",VLOOKUP(AZ808,βοηθητικό!$J$2:$N$354,3,FALSE))</f>
        <v>_</v>
      </c>
      <c r="BB808" s="44"/>
      <c r="BC808" s="45" t="s">
        <v>16</v>
      </c>
      <c r="BD808" s="46" t="str">
        <f>IF(VLOOKUP(BC808,βοηθητικό!$J$2:$N$354,3,FALSE)="","",VLOOKUP(BC808,βοηθητικό!$J$2:$N$354,3,FALSE))</f>
        <v>_</v>
      </c>
      <c r="BE808" s="47"/>
      <c r="BF808" s="42" t="s">
        <v>16</v>
      </c>
      <c r="BG808" s="43" t="str">
        <f>IF(VLOOKUP(BF808,βοηθητικό!$J$2:$N$354,3,FALSE)="","",VLOOKUP(BF808,βοηθητικό!$J$2:$N$354,3,FALSE))</f>
        <v>_</v>
      </c>
      <c r="BH808" s="44"/>
      <c r="BI808" s="45" t="s">
        <v>16</v>
      </c>
      <c r="BJ808" s="46" t="str">
        <f>IF(VLOOKUP(BI808,βοηθητικό!$J$2:$N$354,3,FALSE)="","",VLOOKUP(BI808,βοηθητικό!$J$2:$N$354,3,FALSE))</f>
        <v>_</v>
      </c>
      <c r="BK808" s="47"/>
      <c r="BL808" s="42" t="s">
        <v>16</v>
      </c>
      <c r="BM808" s="43" t="str">
        <f>IF(VLOOKUP(BL808,βοηθητικό!$J$2:$N$354,3,FALSE)="","",VLOOKUP(BL808,βοηθητικό!$J$2:$N$354,3,FALSE))</f>
        <v>_</v>
      </c>
      <c r="BN808" s="44"/>
      <c r="BO808" s="45" t="s">
        <v>16</v>
      </c>
      <c r="BP808" s="46" t="str">
        <f>IF(VLOOKUP(BO808,βοηθητικό!$J$2:$N$354,3,FALSE)="","",VLOOKUP(BO808,βοηθητικό!$J$2:$N$354,3,FALSE))</f>
        <v>_</v>
      </c>
      <c r="BQ808" s="47"/>
      <c r="BR808" s="42" t="s">
        <v>16</v>
      </c>
      <c r="BS808" s="43" t="str">
        <f>IF(VLOOKUP(BR808,βοηθητικό!$J$2:$N$354,3,FALSE)="","",VLOOKUP(BR808,βοηθητικό!$J$2:$N$354,3,FALSE))</f>
        <v>_</v>
      </c>
      <c r="BT808" s="44"/>
      <c r="BU808" s="45" t="s">
        <v>16</v>
      </c>
      <c r="BV808" s="46" t="str">
        <f>IF(VLOOKUP(BU808,βοηθητικό!$J$2:$N$354,3,FALSE)="","",VLOOKUP(BU808,βοηθητικό!$J$2:$N$354,3,FALSE))</f>
        <v>_</v>
      </c>
      <c r="BW808" s="47"/>
      <c r="BX808" s="42" t="s">
        <v>16</v>
      </c>
      <c r="BY808" s="43" t="str">
        <f>IF(VLOOKUP(BX808,βοηθητικό!$J$2:$N$354,3,FALSE)="","",VLOOKUP(BX808,βοηθητικό!$J$2:$N$354,3,FALSE))</f>
        <v>_</v>
      </c>
      <c r="BZ808" s="44"/>
      <c r="CA808" s="45" t="s">
        <v>16</v>
      </c>
      <c r="CB808" s="46" t="str">
        <f>IF(VLOOKUP(CA808,βοηθητικό!$J$2:$N$354,3,FALSE)="","",VLOOKUP(CA808,βοηθητικό!$J$2:$N$354,3,FALSE))</f>
        <v>_</v>
      </c>
      <c r="CC808" s="47"/>
      <c r="CD808" s="42" t="s">
        <v>16</v>
      </c>
      <c r="CE808" s="43" t="str">
        <f>IF(VLOOKUP(CD808,βοηθητικό!$J$2:$N$354,3,FALSE)="","",VLOOKUP(CD808,βοηθητικό!$J$2:$N$354,3,FALSE))</f>
        <v>_</v>
      </c>
      <c r="CF808" s="44"/>
      <c r="CG808" s="45" t="s">
        <v>16</v>
      </c>
      <c r="CH808" s="46" t="str">
        <f>IF(VLOOKUP(CG808,βοηθητικό!$J$2:$N$354,3,FALSE)="","",VLOOKUP(CG808,βοηθητικό!$J$2:$N$354,3,FALSE))</f>
        <v>_</v>
      </c>
      <c r="CI808" s="47"/>
      <c r="CJ808" s="42" t="s">
        <v>16</v>
      </c>
      <c r="CK808" s="43" t="str">
        <f>IF(VLOOKUP(CJ808,βοηθητικό!$J$2:$N$354,3,FALSE)="","",VLOOKUP(CJ808,βοηθητικό!$J$2:$N$354,3,FALSE))</f>
        <v>_</v>
      </c>
      <c r="CL808" s="44"/>
      <c r="CM808" s="45" t="s">
        <v>16</v>
      </c>
      <c r="CN808" s="46" t="str">
        <f>IF(VLOOKUP(CM808,βοηθητικό!$J$2:$N$354,3,FALSE)="","",VLOOKUP(CM808,βοηθητικό!$J$2:$N$354,3,FALSE))</f>
        <v>_</v>
      </c>
      <c r="CO808" s="47"/>
      <c r="CP808" s="42" t="s">
        <v>16</v>
      </c>
      <c r="CQ808" s="43" t="str">
        <f>IF(VLOOKUP(CP808,βοηθητικό!$J$2:$N$354,3,FALSE)="","",VLOOKUP(CP808,βοηθητικό!$J$2:$N$354,3,FALSE))</f>
        <v>_</v>
      </c>
      <c r="CR808" s="44"/>
      <c r="CS808" s="45" t="s">
        <v>16</v>
      </c>
      <c r="CT808" s="46" t="str">
        <f>IF(VLOOKUP(CS808,βοηθητικό!$J$2:$N$354,3,FALSE)="","",VLOOKUP(CS808,βοηθητικό!$J$2:$N$354,3,FALSE))</f>
        <v>_</v>
      </c>
      <c r="CU808" s="47"/>
    </row>
    <row r="809" spans="1:99" x14ac:dyDescent="0.25">
      <c r="A809" s="37">
        <f>--SUBTOTAL(3,$B$3:B808)</f>
        <v>198</v>
      </c>
      <c r="B809" s="2"/>
      <c r="C809" s="3"/>
      <c r="D809" s="55" t="s">
        <v>18</v>
      </c>
      <c r="E809" s="38" t="s">
        <v>16</v>
      </c>
      <c r="F809" s="38"/>
      <c r="G809" s="39" t="str">
        <f t="shared" si="38"/>
        <v>__</v>
      </c>
      <c r="H809" s="40" t="str">
        <f t="shared" si="39"/>
        <v>FALSE</v>
      </c>
      <c r="I809" s="41">
        <f t="shared" si="40"/>
        <v>0</v>
      </c>
      <c r="J809" s="4" t="s">
        <v>16</v>
      </c>
      <c r="K809" s="43" t="str">
        <f>IF(VLOOKUP(J809,βοηθητικό!$J$2:$N$354,3,FALSE)="","",VLOOKUP(J809,βοηθητικό!$J$2:$N$354,3,FALSE))</f>
        <v>_</v>
      </c>
      <c r="L809" s="44"/>
      <c r="M809" s="5" t="s">
        <v>16</v>
      </c>
      <c r="N809" s="46" t="str">
        <f>IF(VLOOKUP(M809,βοηθητικό!$J$2:$N$354,3,FALSE)="","",VLOOKUP(M809,βοηθητικό!$J$2:$N$354,3,FALSE))</f>
        <v>_</v>
      </c>
      <c r="O809" s="47"/>
      <c r="P809" s="4" t="s">
        <v>16</v>
      </c>
      <c r="Q809" s="43" t="str">
        <f>IF(VLOOKUP(P809,βοηθητικό!$J$2:$N$354,3,FALSE)="","",VLOOKUP(P809,βοηθητικό!$J$2:$N$354,3,FALSE))</f>
        <v>_</v>
      </c>
      <c r="R809" s="44"/>
      <c r="S809" s="5" t="s">
        <v>16</v>
      </c>
      <c r="T809" s="46" t="str">
        <f>IF(VLOOKUP(S809,βοηθητικό!$J$2:$N$354,3,FALSE)="","",VLOOKUP(S809,βοηθητικό!$J$2:$N$354,3,FALSE))</f>
        <v>_</v>
      </c>
      <c r="U809" s="47"/>
      <c r="V809" s="4" t="s">
        <v>16</v>
      </c>
      <c r="W809" s="43" t="str">
        <f>IF(VLOOKUP(V809,βοηθητικό!$J$2:$N$354,3,FALSE)="","",VLOOKUP(V809,βοηθητικό!$J$2:$N$354,3,FALSE))</f>
        <v>_</v>
      </c>
      <c r="X809" s="44"/>
      <c r="Y809" s="5" t="s">
        <v>16</v>
      </c>
      <c r="Z809" s="46" t="str">
        <f>IF(VLOOKUP(Y809,βοηθητικό!$J$2:$N$354,3,FALSE)="","",VLOOKUP(Y809,βοηθητικό!$J$2:$N$354,3,FALSE))</f>
        <v>_</v>
      </c>
      <c r="AA809" s="47"/>
      <c r="AB809" s="4" t="s">
        <v>16</v>
      </c>
      <c r="AC809" s="43" t="str">
        <f>IF(VLOOKUP(AB809,βοηθητικό!$J$2:$N$354,3,FALSE)="","",VLOOKUP(AB809,βοηθητικό!$J$2:$N$354,3,FALSE))</f>
        <v>_</v>
      </c>
      <c r="AD809" s="44"/>
      <c r="AE809" s="5" t="s">
        <v>16</v>
      </c>
      <c r="AF809" s="46" t="str">
        <f>IF(VLOOKUP(AE809,βοηθητικό!$J$2:$N$354,3,FALSE)="","",VLOOKUP(AE809,βοηθητικό!$J$2:$N$354,3,FALSE))</f>
        <v>_</v>
      </c>
      <c r="AG809" s="47"/>
      <c r="AH809" s="4" t="s">
        <v>16</v>
      </c>
      <c r="AI809" s="43" t="str">
        <f>IF(VLOOKUP(AH809,βοηθητικό!$J$2:$N$354,3,FALSE)="","",VLOOKUP(AH809,βοηθητικό!$J$2:$N$354,3,FALSE))</f>
        <v>_</v>
      </c>
      <c r="AJ809" s="44"/>
      <c r="AK809" s="5" t="s">
        <v>16</v>
      </c>
      <c r="AL809" s="46" t="str">
        <f>IF(VLOOKUP(AK809,βοηθητικό!$J$2:$N$354,3,FALSE)="","",VLOOKUP(AK809,βοηθητικό!$J$2:$N$354,3,FALSE))</f>
        <v>_</v>
      </c>
      <c r="AM809" s="47"/>
      <c r="AN809" s="4" t="s">
        <v>16</v>
      </c>
      <c r="AO809" s="43" t="str">
        <f>IF(VLOOKUP(AN809,βοηθητικό!$J$2:$N$354,3,FALSE)="","",VLOOKUP(AN809,βοηθητικό!$J$2:$N$354,3,FALSE))</f>
        <v>_</v>
      </c>
      <c r="AP809" s="44"/>
      <c r="AQ809" s="5" t="s">
        <v>16</v>
      </c>
      <c r="AR809" s="46" t="str">
        <f>IF(VLOOKUP(AQ809,βοηθητικό!$J$2:$N$354,3,FALSE)="","",VLOOKUP(AQ809,βοηθητικό!$J$2:$N$354,3,FALSE))</f>
        <v>_</v>
      </c>
      <c r="AS809" s="47"/>
      <c r="AT809" s="4" t="s">
        <v>16</v>
      </c>
      <c r="AU809" s="43" t="str">
        <f>IF(VLOOKUP(AT809,βοηθητικό!$J$2:$N$354,3,FALSE)="","",VLOOKUP(AT809,βοηθητικό!$J$2:$N$354,3,FALSE))</f>
        <v>_</v>
      </c>
      <c r="AV809" s="44"/>
      <c r="AW809" s="5" t="s">
        <v>16</v>
      </c>
      <c r="AX809" s="46" t="str">
        <f>IF(VLOOKUP(AW809,βοηθητικό!$J$2:$N$354,3,FALSE)="","",VLOOKUP(AW809,βοηθητικό!$J$2:$N$354,3,FALSE))</f>
        <v>_</v>
      </c>
      <c r="AY809" s="47"/>
      <c r="AZ809" s="4" t="s">
        <v>16</v>
      </c>
      <c r="BA809" s="43" t="str">
        <f>IF(VLOOKUP(AZ809,βοηθητικό!$J$2:$N$354,3,FALSE)="","",VLOOKUP(AZ809,βοηθητικό!$J$2:$N$354,3,FALSE))</f>
        <v>_</v>
      </c>
      <c r="BB809" s="44"/>
      <c r="BC809" s="45" t="s">
        <v>16</v>
      </c>
      <c r="BD809" s="46" t="str">
        <f>IF(VLOOKUP(BC809,βοηθητικό!$J$2:$N$354,3,FALSE)="","",VLOOKUP(BC809,βοηθητικό!$J$2:$N$354,3,FALSE))</f>
        <v>_</v>
      </c>
      <c r="BE809" s="47"/>
      <c r="BF809" s="42" t="s">
        <v>16</v>
      </c>
      <c r="BG809" s="43" t="str">
        <f>IF(VLOOKUP(BF809,βοηθητικό!$J$2:$N$354,3,FALSE)="","",VLOOKUP(BF809,βοηθητικό!$J$2:$N$354,3,FALSE))</f>
        <v>_</v>
      </c>
      <c r="BH809" s="44"/>
      <c r="BI809" s="45" t="s">
        <v>16</v>
      </c>
      <c r="BJ809" s="46" t="str">
        <f>IF(VLOOKUP(BI809,βοηθητικό!$J$2:$N$354,3,FALSE)="","",VLOOKUP(BI809,βοηθητικό!$J$2:$N$354,3,FALSE))</f>
        <v>_</v>
      </c>
      <c r="BK809" s="47"/>
      <c r="BL809" s="42" t="s">
        <v>16</v>
      </c>
      <c r="BM809" s="43" t="str">
        <f>IF(VLOOKUP(BL809,βοηθητικό!$J$2:$N$354,3,FALSE)="","",VLOOKUP(BL809,βοηθητικό!$J$2:$N$354,3,FALSE))</f>
        <v>_</v>
      </c>
      <c r="BN809" s="44"/>
      <c r="BO809" s="45" t="s">
        <v>16</v>
      </c>
      <c r="BP809" s="46" t="str">
        <f>IF(VLOOKUP(BO809,βοηθητικό!$J$2:$N$354,3,FALSE)="","",VLOOKUP(BO809,βοηθητικό!$J$2:$N$354,3,FALSE))</f>
        <v>_</v>
      </c>
      <c r="BQ809" s="47"/>
      <c r="BR809" s="42" t="s">
        <v>16</v>
      </c>
      <c r="BS809" s="43" t="str">
        <f>IF(VLOOKUP(BR809,βοηθητικό!$J$2:$N$354,3,FALSE)="","",VLOOKUP(BR809,βοηθητικό!$J$2:$N$354,3,FALSE))</f>
        <v>_</v>
      </c>
      <c r="BT809" s="44"/>
      <c r="BU809" s="45" t="s">
        <v>16</v>
      </c>
      <c r="BV809" s="46" t="str">
        <f>IF(VLOOKUP(BU809,βοηθητικό!$J$2:$N$354,3,FALSE)="","",VLOOKUP(BU809,βοηθητικό!$J$2:$N$354,3,FALSE))</f>
        <v>_</v>
      </c>
      <c r="BW809" s="47"/>
      <c r="BX809" s="42" t="s">
        <v>16</v>
      </c>
      <c r="BY809" s="43" t="str">
        <f>IF(VLOOKUP(BX809,βοηθητικό!$J$2:$N$354,3,FALSE)="","",VLOOKUP(BX809,βοηθητικό!$J$2:$N$354,3,FALSE))</f>
        <v>_</v>
      </c>
      <c r="BZ809" s="44"/>
      <c r="CA809" s="45" t="s">
        <v>16</v>
      </c>
      <c r="CB809" s="46" t="str">
        <f>IF(VLOOKUP(CA809,βοηθητικό!$J$2:$N$354,3,FALSE)="","",VLOOKUP(CA809,βοηθητικό!$J$2:$N$354,3,FALSE))</f>
        <v>_</v>
      </c>
      <c r="CC809" s="47"/>
      <c r="CD809" s="42" t="s">
        <v>16</v>
      </c>
      <c r="CE809" s="43" t="str">
        <f>IF(VLOOKUP(CD809,βοηθητικό!$J$2:$N$354,3,FALSE)="","",VLOOKUP(CD809,βοηθητικό!$J$2:$N$354,3,FALSE))</f>
        <v>_</v>
      </c>
      <c r="CF809" s="44"/>
      <c r="CG809" s="45" t="s">
        <v>16</v>
      </c>
      <c r="CH809" s="46" t="str">
        <f>IF(VLOOKUP(CG809,βοηθητικό!$J$2:$N$354,3,FALSE)="","",VLOOKUP(CG809,βοηθητικό!$J$2:$N$354,3,FALSE))</f>
        <v>_</v>
      </c>
      <c r="CI809" s="47"/>
      <c r="CJ809" s="42" t="s">
        <v>16</v>
      </c>
      <c r="CK809" s="43" t="str">
        <f>IF(VLOOKUP(CJ809,βοηθητικό!$J$2:$N$354,3,FALSE)="","",VLOOKUP(CJ809,βοηθητικό!$J$2:$N$354,3,FALSE))</f>
        <v>_</v>
      </c>
      <c r="CL809" s="44"/>
      <c r="CM809" s="45" t="s">
        <v>16</v>
      </c>
      <c r="CN809" s="46" t="str">
        <f>IF(VLOOKUP(CM809,βοηθητικό!$J$2:$N$354,3,FALSE)="","",VLOOKUP(CM809,βοηθητικό!$J$2:$N$354,3,FALSE))</f>
        <v>_</v>
      </c>
      <c r="CO809" s="47"/>
      <c r="CP809" s="42" t="s">
        <v>16</v>
      </c>
      <c r="CQ809" s="43" t="str">
        <f>IF(VLOOKUP(CP809,βοηθητικό!$J$2:$N$354,3,FALSE)="","",VLOOKUP(CP809,βοηθητικό!$J$2:$N$354,3,FALSE))</f>
        <v>_</v>
      </c>
      <c r="CR809" s="44"/>
      <c r="CS809" s="45" t="s">
        <v>16</v>
      </c>
      <c r="CT809" s="46" t="str">
        <f>IF(VLOOKUP(CS809,βοηθητικό!$J$2:$N$354,3,FALSE)="","",VLOOKUP(CS809,βοηθητικό!$J$2:$N$354,3,FALSE))</f>
        <v>_</v>
      </c>
      <c r="CU809" s="47"/>
    </row>
    <row r="810" spans="1:99" x14ac:dyDescent="0.25">
      <c r="A810" s="37">
        <f>--SUBTOTAL(3,$B$3:B809)</f>
        <v>198</v>
      </c>
      <c r="B810" s="2"/>
      <c r="C810" s="3"/>
      <c r="D810" s="55" t="s">
        <v>18</v>
      </c>
      <c r="E810" s="38" t="s">
        <v>16</v>
      </c>
      <c r="F810" s="38"/>
      <c r="G810" s="39" t="str">
        <f t="shared" si="38"/>
        <v>__</v>
      </c>
      <c r="H810" s="40" t="str">
        <f t="shared" si="39"/>
        <v>FALSE</v>
      </c>
      <c r="I810" s="41">
        <f t="shared" si="40"/>
        <v>0</v>
      </c>
      <c r="J810" s="4" t="s">
        <v>16</v>
      </c>
      <c r="K810" s="43" t="str">
        <f>IF(VLOOKUP(J810,βοηθητικό!$J$2:$N$354,3,FALSE)="","",VLOOKUP(J810,βοηθητικό!$J$2:$N$354,3,FALSE))</f>
        <v>_</v>
      </c>
      <c r="L810" s="44"/>
      <c r="M810" s="5" t="s">
        <v>16</v>
      </c>
      <c r="N810" s="46" t="str">
        <f>IF(VLOOKUP(M810,βοηθητικό!$J$2:$N$354,3,FALSE)="","",VLOOKUP(M810,βοηθητικό!$J$2:$N$354,3,FALSE))</f>
        <v>_</v>
      </c>
      <c r="O810" s="47"/>
      <c r="P810" s="4" t="s">
        <v>16</v>
      </c>
      <c r="Q810" s="43" t="str">
        <f>IF(VLOOKUP(P810,βοηθητικό!$J$2:$N$354,3,FALSE)="","",VLOOKUP(P810,βοηθητικό!$J$2:$N$354,3,FALSE))</f>
        <v>_</v>
      </c>
      <c r="R810" s="44"/>
      <c r="S810" s="5" t="s">
        <v>16</v>
      </c>
      <c r="T810" s="46" t="str">
        <f>IF(VLOOKUP(S810,βοηθητικό!$J$2:$N$354,3,FALSE)="","",VLOOKUP(S810,βοηθητικό!$J$2:$N$354,3,FALSE))</f>
        <v>_</v>
      </c>
      <c r="U810" s="47"/>
      <c r="V810" s="4" t="s">
        <v>16</v>
      </c>
      <c r="W810" s="43" t="str">
        <f>IF(VLOOKUP(V810,βοηθητικό!$J$2:$N$354,3,FALSE)="","",VLOOKUP(V810,βοηθητικό!$J$2:$N$354,3,FALSE))</f>
        <v>_</v>
      </c>
      <c r="X810" s="44"/>
      <c r="Y810" s="5" t="s">
        <v>16</v>
      </c>
      <c r="Z810" s="46" t="str">
        <f>IF(VLOOKUP(Y810,βοηθητικό!$J$2:$N$354,3,FALSE)="","",VLOOKUP(Y810,βοηθητικό!$J$2:$N$354,3,FALSE))</f>
        <v>_</v>
      </c>
      <c r="AA810" s="47"/>
      <c r="AB810" s="4" t="s">
        <v>16</v>
      </c>
      <c r="AC810" s="43" t="str">
        <f>IF(VLOOKUP(AB810,βοηθητικό!$J$2:$N$354,3,FALSE)="","",VLOOKUP(AB810,βοηθητικό!$J$2:$N$354,3,FALSE))</f>
        <v>_</v>
      </c>
      <c r="AD810" s="44"/>
      <c r="AE810" s="5" t="s">
        <v>16</v>
      </c>
      <c r="AF810" s="46" t="str">
        <f>IF(VLOOKUP(AE810,βοηθητικό!$J$2:$N$354,3,FALSE)="","",VLOOKUP(AE810,βοηθητικό!$J$2:$N$354,3,FALSE))</f>
        <v>_</v>
      </c>
      <c r="AG810" s="47"/>
      <c r="AH810" s="4" t="s">
        <v>16</v>
      </c>
      <c r="AI810" s="43" t="str">
        <f>IF(VLOOKUP(AH810,βοηθητικό!$J$2:$N$354,3,FALSE)="","",VLOOKUP(AH810,βοηθητικό!$J$2:$N$354,3,FALSE))</f>
        <v>_</v>
      </c>
      <c r="AJ810" s="44"/>
      <c r="AK810" s="5" t="s">
        <v>16</v>
      </c>
      <c r="AL810" s="46" t="str">
        <f>IF(VLOOKUP(AK810,βοηθητικό!$J$2:$N$354,3,FALSE)="","",VLOOKUP(AK810,βοηθητικό!$J$2:$N$354,3,FALSE))</f>
        <v>_</v>
      </c>
      <c r="AM810" s="47"/>
      <c r="AN810" s="4" t="s">
        <v>16</v>
      </c>
      <c r="AO810" s="43" t="str">
        <f>IF(VLOOKUP(AN810,βοηθητικό!$J$2:$N$354,3,FALSE)="","",VLOOKUP(AN810,βοηθητικό!$J$2:$N$354,3,FALSE))</f>
        <v>_</v>
      </c>
      <c r="AP810" s="44"/>
      <c r="AQ810" s="5" t="s">
        <v>16</v>
      </c>
      <c r="AR810" s="46" t="str">
        <f>IF(VLOOKUP(AQ810,βοηθητικό!$J$2:$N$354,3,FALSE)="","",VLOOKUP(AQ810,βοηθητικό!$J$2:$N$354,3,FALSE))</f>
        <v>_</v>
      </c>
      <c r="AS810" s="47"/>
      <c r="AT810" s="4" t="s">
        <v>16</v>
      </c>
      <c r="AU810" s="43" t="str">
        <f>IF(VLOOKUP(AT810,βοηθητικό!$J$2:$N$354,3,FALSE)="","",VLOOKUP(AT810,βοηθητικό!$J$2:$N$354,3,FALSE))</f>
        <v>_</v>
      </c>
      <c r="AV810" s="44"/>
      <c r="AW810" s="5" t="s">
        <v>16</v>
      </c>
      <c r="AX810" s="46" t="str">
        <f>IF(VLOOKUP(AW810,βοηθητικό!$J$2:$N$354,3,FALSE)="","",VLOOKUP(AW810,βοηθητικό!$J$2:$N$354,3,FALSE))</f>
        <v>_</v>
      </c>
      <c r="AY810" s="47"/>
      <c r="AZ810" s="4" t="s">
        <v>16</v>
      </c>
      <c r="BA810" s="43" t="str">
        <f>IF(VLOOKUP(AZ810,βοηθητικό!$J$2:$N$354,3,FALSE)="","",VLOOKUP(AZ810,βοηθητικό!$J$2:$N$354,3,FALSE))</f>
        <v>_</v>
      </c>
      <c r="BB810" s="44"/>
      <c r="BC810" s="45" t="s">
        <v>16</v>
      </c>
      <c r="BD810" s="46" t="str">
        <f>IF(VLOOKUP(BC810,βοηθητικό!$J$2:$N$354,3,FALSE)="","",VLOOKUP(BC810,βοηθητικό!$J$2:$N$354,3,FALSE))</f>
        <v>_</v>
      </c>
      <c r="BE810" s="47"/>
      <c r="BF810" s="42" t="s">
        <v>16</v>
      </c>
      <c r="BG810" s="43" t="str">
        <f>IF(VLOOKUP(BF810,βοηθητικό!$J$2:$N$354,3,FALSE)="","",VLOOKUP(BF810,βοηθητικό!$J$2:$N$354,3,FALSE))</f>
        <v>_</v>
      </c>
      <c r="BH810" s="44"/>
      <c r="BI810" s="45" t="s">
        <v>16</v>
      </c>
      <c r="BJ810" s="46" t="str">
        <f>IF(VLOOKUP(BI810,βοηθητικό!$J$2:$N$354,3,FALSE)="","",VLOOKUP(BI810,βοηθητικό!$J$2:$N$354,3,FALSE))</f>
        <v>_</v>
      </c>
      <c r="BK810" s="47"/>
      <c r="BL810" s="42" t="s">
        <v>16</v>
      </c>
      <c r="BM810" s="43" t="str">
        <f>IF(VLOOKUP(BL810,βοηθητικό!$J$2:$N$354,3,FALSE)="","",VLOOKUP(BL810,βοηθητικό!$J$2:$N$354,3,FALSE))</f>
        <v>_</v>
      </c>
      <c r="BN810" s="44"/>
      <c r="BO810" s="45" t="s">
        <v>16</v>
      </c>
      <c r="BP810" s="46" t="str">
        <f>IF(VLOOKUP(BO810,βοηθητικό!$J$2:$N$354,3,FALSE)="","",VLOOKUP(BO810,βοηθητικό!$J$2:$N$354,3,FALSE))</f>
        <v>_</v>
      </c>
      <c r="BQ810" s="47"/>
      <c r="BR810" s="42" t="s">
        <v>16</v>
      </c>
      <c r="BS810" s="43" t="str">
        <f>IF(VLOOKUP(BR810,βοηθητικό!$J$2:$N$354,3,FALSE)="","",VLOOKUP(BR810,βοηθητικό!$J$2:$N$354,3,FALSE))</f>
        <v>_</v>
      </c>
      <c r="BT810" s="44"/>
      <c r="BU810" s="45" t="s">
        <v>16</v>
      </c>
      <c r="BV810" s="46" t="str">
        <f>IF(VLOOKUP(BU810,βοηθητικό!$J$2:$N$354,3,FALSE)="","",VLOOKUP(BU810,βοηθητικό!$J$2:$N$354,3,FALSE))</f>
        <v>_</v>
      </c>
      <c r="BW810" s="47"/>
      <c r="BX810" s="42" t="s">
        <v>16</v>
      </c>
      <c r="BY810" s="43" t="str">
        <f>IF(VLOOKUP(BX810,βοηθητικό!$J$2:$N$354,3,FALSE)="","",VLOOKUP(BX810,βοηθητικό!$J$2:$N$354,3,FALSE))</f>
        <v>_</v>
      </c>
      <c r="BZ810" s="44"/>
      <c r="CA810" s="45" t="s">
        <v>16</v>
      </c>
      <c r="CB810" s="46" t="str">
        <f>IF(VLOOKUP(CA810,βοηθητικό!$J$2:$N$354,3,FALSE)="","",VLOOKUP(CA810,βοηθητικό!$J$2:$N$354,3,FALSE))</f>
        <v>_</v>
      </c>
      <c r="CC810" s="47"/>
      <c r="CD810" s="42" t="s">
        <v>16</v>
      </c>
      <c r="CE810" s="43" t="str">
        <f>IF(VLOOKUP(CD810,βοηθητικό!$J$2:$N$354,3,FALSE)="","",VLOOKUP(CD810,βοηθητικό!$J$2:$N$354,3,FALSE))</f>
        <v>_</v>
      </c>
      <c r="CF810" s="44"/>
      <c r="CG810" s="45" t="s">
        <v>16</v>
      </c>
      <c r="CH810" s="46" t="str">
        <f>IF(VLOOKUP(CG810,βοηθητικό!$J$2:$N$354,3,FALSE)="","",VLOOKUP(CG810,βοηθητικό!$J$2:$N$354,3,FALSE))</f>
        <v>_</v>
      </c>
      <c r="CI810" s="47"/>
      <c r="CJ810" s="42" t="s">
        <v>16</v>
      </c>
      <c r="CK810" s="43" t="str">
        <f>IF(VLOOKUP(CJ810,βοηθητικό!$J$2:$N$354,3,FALSE)="","",VLOOKUP(CJ810,βοηθητικό!$J$2:$N$354,3,FALSE))</f>
        <v>_</v>
      </c>
      <c r="CL810" s="44"/>
      <c r="CM810" s="45" t="s">
        <v>16</v>
      </c>
      <c r="CN810" s="46" t="str">
        <f>IF(VLOOKUP(CM810,βοηθητικό!$J$2:$N$354,3,FALSE)="","",VLOOKUP(CM810,βοηθητικό!$J$2:$N$354,3,FALSE))</f>
        <v>_</v>
      </c>
      <c r="CO810" s="47"/>
      <c r="CP810" s="42" t="s">
        <v>16</v>
      </c>
      <c r="CQ810" s="43" t="str">
        <f>IF(VLOOKUP(CP810,βοηθητικό!$J$2:$N$354,3,FALSE)="","",VLOOKUP(CP810,βοηθητικό!$J$2:$N$354,3,FALSE))</f>
        <v>_</v>
      </c>
      <c r="CR810" s="44"/>
      <c r="CS810" s="45" t="s">
        <v>16</v>
      </c>
      <c r="CT810" s="46" t="str">
        <f>IF(VLOOKUP(CS810,βοηθητικό!$J$2:$N$354,3,FALSE)="","",VLOOKUP(CS810,βοηθητικό!$J$2:$N$354,3,FALSE))</f>
        <v>_</v>
      </c>
      <c r="CU810" s="47"/>
    </row>
    <row r="811" spans="1:99" x14ac:dyDescent="0.25">
      <c r="A811" s="37">
        <f>--SUBTOTAL(3,$B$3:B810)</f>
        <v>198</v>
      </c>
      <c r="B811" s="2"/>
      <c r="C811" s="3"/>
      <c r="D811" s="55" t="s">
        <v>18</v>
      </c>
      <c r="E811" s="38" t="s">
        <v>16</v>
      </c>
      <c r="F811" s="38"/>
      <c r="G811" s="39" t="str">
        <f t="shared" si="38"/>
        <v>__</v>
      </c>
      <c r="H811" s="40" t="str">
        <f t="shared" si="39"/>
        <v>FALSE</v>
      </c>
      <c r="I811" s="41">
        <f t="shared" si="40"/>
        <v>0</v>
      </c>
      <c r="J811" s="4" t="s">
        <v>16</v>
      </c>
      <c r="K811" s="43" t="str">
        <f>IF(VLOOKUP(J811,βοηθητικό!$J$2:$N$354,3,FALSE)="","",VLOOKUP(J811,βοηθητικό!$J$2:$N$354,3,FALSE))</f>
        <v>_</v>
      </c>
      <c r="L811" s="44"/>
      <c r="M811" s="5" t="s">
        <v>16</v>
      </c>
      <c r="N811" s="46" t="str">
        <f>IF(VLOOKUP(M811,βοηθητικό!$J$2:$N$354,3,FALSE)="","",VLOOKUP(M811,βοηθητικό!$J$2:$N$354,3,FALSE))</f>
        <v>_</v>
      </c>
      <c r="O811" s="47"/>
      <c r="P811" s="4" t="s">
        <v>16</v>
      </c>
      <c r="Q811" s="43" t="str">
        <f>IF(VLOOKUP(P811,βοηθητικό!$J$2:$N$354,3,FALSE)="","",VLOOKUP(P811,βοηθητικό!$J$2:$N$354,3,FALSE))</f>
        <v>_</v>
      </c>
      <c r="R811" s="44"/>
      <c r="S811" s="5" t="s">
        <v>16</v>
      </c>
      <c r="T811" s="46" t="str">
        <f>IF(VLOOKUP(S811,βοηθητικό!$J$2:$N$354,3,FALSE)="","",VLOOKUP(S811,βοηθητικό!$J$2:$N$354,3,FALSE))</f>
        <v>_</v>
      </c>
      <c r="U811" s="47"/>
      <c r="V811" s="4" t="s">
        <v>16</v>
      </c>
      <c r="W811" s="43" t="str">
        <f>IF(VLOOKUP(V811,βοηθητικό!$J$2:$N$354,3,FALSE)="","",VLOOKUP(V811,βοηθητικό!$J$2:$N$354,3,FALSE))</f>
        <v>_</v>
      </c>
      <c r="X811" s="44"/>
      <c r="Y811" s="5" t="s">
        <v>16</v>
      </c>
      <c r="Z811" s="46" t="str">
        <f>IF(VLOOKUP(Y811,βοηθητικό!$J$2:$N$354,3,FALSE)="","",VLOOKUP(Y811,βοηθητικό!$J$2:$N$354,3,FALSE))</f>
        <v>_</v>
      </c>
      <c r="AA811" s="47"/>
      <c r="AB811" s="4" t="s">
        <v>16</v>
      </c>
      <c r="AC811" s="43" t="str">
        <f>IF(VLOOKUP(AB811,βοηθητικό!$J$2:$N$354,3,FALSE)="","",VLOOKUP(AB811,βοηθητικό!$J$2:$N$354,3,FALSE))</f>
        <v>_</v>
      </c>
      <c r="AD811" s="44"/>
      <c r="AE811" s="5" t="s">
        <v>16</v>
      </c>
      <c r="AF811" s="46" t="str">
        <f>IF(VLOOKUP(AE811,βοηθητικό!$J$2:$N$354,3,FALSE)="","",VLOOKUP(AE811,βοηθητικό!$J$2:$N$354,3,FALSE))</f>
        <v>_</v>
      </c>
      <c r="AG811" s="47"/>
      <c r="AH811" s="4" t="s">
        <v>16</v>
      </c>
      <c r="AI811" s="43" t="str">
        <f>IF(VLOOKUP(AH811,βοηθητικό!$J$2:$N$354,3,FALSE)="","",VLOOKUP(AH811,βοηθητικό!$J$2:$N$354,3,FALSE))</f>
        <v>_</v>
      </c>
      <c r="AJ811" s="44"/>
      <c r="AK811" s="5" t="s">
        <v>16</v>
      </c>
      <c r="AL811" s="46" t="str">
        <f>IF(VLOOKUP(AK811,βοηθητικό!$J$2:$N$354,3,FALSE)="","",VLOOKUP(AK811,βοηθητικό!$J$2:$N$354,3,FALSE))</f>
        <v>_</v>
      </c>
      <c r="AM811" s="47"/>
      <c r="AN811" s="4" t="s">
        <v>16</v>
      </c>
      <c r="AO811" s="43" t="str">
        <f>IF(VLOOKUP(AN811,βοηθητικό!$J$2:$N$354,3,FALSE)="","",VLOOKUP(AN811,βοηθητικό!$J$2:$N$354,3,FALSE))</f>
        <v>_</v>
      </c>
      <c r="AP811" s="44"/>
      <c r="AQ811" s="5" t="s">
        <v>16</v>
      </c>
      <c r="AR811" s="46" t="str">
        <f>IF(VLOOKUP(AQ811,βοηθητικό!$J$2:$N$354,3,FALSE)="","",VLOOKUP(AQ811,βοηθητικό!$J$2:$N$354,3,FALSE))</f>
        <v>_</v>
      </c>
      <c r="AS811" s="47"/>
      <c r="AT811" s="4" t="s">
        <v>16</v>
      </c>
      <c r="AU811" s="43" t="str">
        <f>IF(VLOOKUP(AT811,βοηθητικό!$J$2:$N$354,3,FALSE)="","",VLOOKUP(AT811,βοηθητικό!$J$2:$N$354,3,FALSE))</f>
        <v>_</v>
      </c>
      <c r="AV811" s="44"/>
      <c r="AW811" s="5" t="s">
        <v>16</v>
      </c>
      <c r="AX811" s="46" t="str">
        <f>IF(VLOOKUP(AW811,βοηθητικό!$J$2:$N$354,3,FALSE)="","",VLOOKUP(AW811,βοηθητικό!$J$2:$N$354,3,FALSE))</f>
        <v>_</v>
      </c>
      <c r="AY811" s="47"/>
      <c r="AZ811" s="4" t="s">
        <v>16</v>
      </c>
      <c r="BA811" s="43" t="str">
        <f>IF(VLOOKUP(AZ811,βοηθητικό!$J$2:$N$354,3,FALSE)="","",VLOOKUP(AZ811,βοηθητικό!$J$2:$N$354,3,FALSE))</f>
        <v>_</v>
      </c>
      <c r="BB811" s="44"/>
      <c r="BC811" s="45" t="s">
        <v>16</v>
      </c>
      <c r="BD811" s="46" t="str">
        <f>IF(VLOOKUP(BC811,βοηθητικό!$J$2:$N$354,3,FALSE)="","",VLOOKUP(BC811,βοηθητικό!$J$2:$N$354,3,FALSE))</f>
        <v>_</v>
      </c>
      <c r="BE811" s="47"/>
      <c r="BF811" s="42" t="s">
        <v>16</v>
      </c>
      <c r="BG811" s="43" t="str">
        <f>IF(VLOOKUP(BF811,βοηθητικό!$J$2:$N$354,3,FALSE)="","",VLOOKUP(BF811,βοηθητικό!$J$2:$N$354,3,FALSE))</f>
        <v>_</v>
      </c>
      <c r="BH811" s="44"/>
      <c r="BI811" s="45" t="s">
        <v>16</v>
      </c>
      <c r="BJ811" s="46" t="str">
        <f>IF(VLOOKUP(BI811,βοηθητικό!$J$2:$N$354,3,FALSE)="","",VLOOKUP(BI811,βοηθητικό!$J$2:$N$354,3,FALSE))</f>
        <v>_</v>
      </c>
      <c r="BK811" s="47"/>
      <c r="BL811" s="42" t="s">
        <v>16</v>
      </c>
      <c r="BM811" s="43" t="str">
        <f>IF(VLOOKUP(BL811,βοηθητικό!$J$2:$N$354,3,FALSE)="","",VLOOKUP(BL811,βοηθητικό!$J$2:$N$354,3,FALSE))</f>
        <v>_</v>
      </c>
      <c r="BN811" s="44"/>
      <c r="BO811" s="45" t="s">
        <v>16</v>
      </c>
      <c r="BP811" s="46" t="str">
        <f>IF(VLOOKUP(BO811,βοηθητικό!$J$2:$N$354,3,FALSE)="","",VLOOKUP(BO811,βοηθητικό!$J$2:$N$354,3,FALSE))</f>
        <v>_</v>
      </c>
      <c r="BQ811" s="47"/>
      <c r="BR811" s="42" t="s">
        <v>16</v>
      </c>
      <c r="BS811" s="43" t="str">
        <f>IF(VLOOKUP(BR811,βοηθητικό!$J$2:$N$354,3,FALSE)="","",VLOOKUP(BR811,βοηθητικό!$J$2:$N$354,3,FALSE))</f>
        <v>_</v>
      </c>
      <c r="BT811" s="44"/>
      <c r="BU811" s="45" t="s">
        <v>16</v>
      </c>
      <c r="BV811" s="46" t="str">
        <f>IF(VLOOKUP(BU811,βοηθητικό!$J$2:$N$354,3,FALSE)="","",VLOOKUP(BU811,βοηθητικό!$J$2:$N$354,3,FALSE))</f>
        <v>_</v>
      </c>
      <c r="BW811" s="47"/>
      <c r="BX811" s="42" t="s">
        <v>16</v>
      </c>
      <c r="BY811" s="43" t="str">
        <f>IF(VLOOKUP(BX811,βοηθητικό!$J$2:$N$354,3,FALSE)="","",VLOOKUP(BX811,βοηθητικό!$J$2:$N$354,3,FALSE))</f>
        <v>_</v>
      </c>
      <c r="BZ811" s="44"/>
      <c r="CA811" s="45" t="s">
        <v>16</v>
      </c>
      <c r="CB811" s="46" t="str">
        <f>IF(VLOOKUP(CA811,βοηθητικό!$J$2:$N$354,3,FALSE)="","",VLOOKUP(CA811,βοηθητικό!$J$2:$N$354,3,FALSE))</f>
        <v>_</v>
      </c>
      <c r="CC811" s="47"/>
      <c r="CD811" s="42" t="s">
        <v>16</v>
      </c>
      <c r="CE811" s="43" t="str">
        <f>IF(VLOOKUP(CD811,βοηθητικό!$J$2:$N$354,3,FALSE)="","",VLOOKUP(CD811,βοηθητικό!$J$2:$N$354,3,FALSE))</f>
        <v>_</v>
      </c>
      <c r="CF811" s="44"/>
      <c r="CG811" s="45" t="s">
        <v>16</v>
      </c>
      <c r="CH811" s="46" t="str">
        <f>IF(VLOOKUP(CG811,βοηθητικό!$J$2:$N$354,3,FALSE)="","",VLOOKUP(CG811,βοηθητικό!$J$2:$N$354,3,FALSE))</f>
        <v>_</v>
      </c>
      <c r="CI811" s="47"/>
      <c r="CJ811" s="42" t="s">
        <v>16</v>
      </c>
      <c r="CK811" s="43" t="str">
        <f>IF(VLOOKUP(CJ811,βοηθητικό!$J$2:$N$354,3,FALSE)="","",VLOOKUP(CJ811,βοηθητικό!$J$2:$N$354,3,FALSE))</f>
        <v>_</v>
      </c>
      <c r="CL811" s="44"/>
      <c r="CM811" s="45" t="s">
        <v>16</v>
      </c>
      <c r="CN811" s="46" t="str">
        <f>IF(VLOOKUP(CM811,βοηθητικό!$J$2:$N$354,3,FALSE)="","",VLOOKUP(CM811,βοηθητικό!$J$2:$N$354,3,FALSE))</f>
        <v>_</v>
      </c>
      <c r="CO811" s="47"/>
      <c r="CP811" s="42" t="s">
        <v>16</v>
      </c>
      <c r="CQ811" s="43" t="str">
        <f>IF(VLOOKUP(CP811,βοηθητικό!$J$2:$N$354,3,FALSE)="","",VLOOKUP(CP811,βοηθητικό!$J$2:$N$354,3,FALSE))</f>
        <v>_</v>
      </c>
      <c r="CR811" s="44"/>
      <c r="CS811" s="45" t="s">
        <v>16</v>
      </c>
      <c r="CT811" s="46" t="str">
        <f>IF(VLOOKUP(CS811,βοηθητικό!$J$2:$N$354,3,FALSE)="","",VLOOKUP(CS811,βοηθητικό!$J$2:$N$354,3,FALSE))</f>
        <v>_</v>
      </c>
      <c r="CU811" s="47"/>
    </row>
    <row r="812" spans="1:99" x14ac:dyDescent="0.25">
      <c r="A812" s="37">
        <f>--SUBTOTAL(3,$B$3:B811)</f>
        <v>198</v>
      </c>
      <c r="B812" s="2"/>
      <c r="C812" s="3"/>
      <c r="D812" s="55" t="s">
        <v>18</v>
      </c>
      <c r="E812" s="38" t="s">
        <v>16</v>
      </c>
      <c r="F812" s="38"/>
      <c r="G812" s="39" t="str">
        <f t="shared" si="38"/>
        <v>__</v>
      </c>
      <c r="H812" s="40" t="str">
        <f t="shared" si="39"/>
        <v>FALSE</v>
      </c>
      <c r="I812" s="41">
        <f t="shared" si="40"/>
        <v>0</v>
      </c>
      <c r="J812" s="4" t="s">
        <v>16</v>
      </c>
      <c r="K812" s="43" t="str">
        <f>IF(VLOOKUP(J812,βοηθητικό!$J$2:$N$354,3,FALSE)="","",VLOOKUP(J812,βοηθητικό!$J$2:$N$354,3,FALSE))</f>
        <v>_</v>
      </c>
      <c r="L812" s="44"/>
      <c r="M812" s="5" t="s">
        <v>16</v>
      </c>
      <c r="N812" s="46" t="str">
        <f>IF(VLOOKUP(M812,βοηθητικό!$J$2:$N$354,3,FALSE)="","",VLOOKUP(M812,βοηθητικό!$J$2:$N$354,3,FALSE))</f>
        <v>_</v>
      </c>
      <c r="O812" s="47"/>
      <c r="P812" s="4" t="s">
        <v>16</v>
      </c>
      <c r="Q812" s="43" t="str">
        <f>IF(VLOOKUP(P812,βοηθητικό!$J$2:$N$354,3,FALSE)="","",VLOOKUP(P812,βοηθητικό!$J$2:$N$354,3,FALSE))</f>
        <v>_</v>
      </c>
      <c r="R812" s="44"/>
      <c r="S812" s="5" t="s">
        <v>16</v>
      </c>
      <c r="T812" s="46" t="str">
        <f>IF(VLOOKUP(S812,βοηθητικό!$J$2:$N$354,3,FALSE)="","",VLOOKUP(S812,βοηθητικό!$J$2:$N$354,3,FALSE))</f>
        <v>_</v>
      </c>
      <c r="U812" s="47"/>
      <c r="V812" s="4" t="s">
        <v>16</v>
      </c>
      <c r="W812" s="43" t="str">
        <f>IF(VLOOKUP(V812,βοηθητικό!$J$2:$N$354,3,FALSE)="","",VLOOKUP(V812,βοηθητικό!$J$2:$N$354,3,FALSE))</f>
        <v>_</v>
      </c>
      <c r="X812" s="44"/>
      <c r="Y812" s="5" t="s">
        <v>16</v>
      </c>
      <c r="Z812" s="46" t="str">
        <f>IF(VLOOKUP(Y812,βοηθητικό!$J$2:$N$354,3,FALSE)="","",VLOOKUP(Y812,βοηθητικό!$J$2:$N$354,3,FALSE))</f>
        <v>_</v>
      </c>
      <c r="AA812" s="47"/>
      <c r="AB812" s="4" t="s">
        <v>16</v>
      </c>
      <c r="AC812" s="43" t="str">
        <f>IF(VLOOKUP(AB812,βοηθητικό!$J$2:$N$354,3,FALSE)="","",VLOOKUP(AB812,βοηθητικό!$J$2:$N$354,3,FALSE))</f>
        <v>_</v>
      </c>
      <c r="AD812" s="44"/>
      <c r="AE812" s="5" t="s">
        <v>16</v>
      </c>
      <c r="AF812" s="46" t="str">
        <f>IF(VLOOKUP(AE812,βοηθητικό!$J$2:$N$354,3,FALSE)="","",VLOOKUP(AE812,βοηθητικό!$J$2:$N$354,3,FALSE))</f>
        <v>_</v>
      </c>
      <c r="AG812" s="47"/>
      <c r="AH812" s="4" t="s">
        <v>16</v>
      </c>
      <c r="AI812" s="43" t="str">
        <f>IF(VLOOKUP(AH812,βοηθητικό!$J$2:$N$354,3,FALSE)="","",VLOOKUP(AH812,βοηθητικό!$J$2:$N$354,3,FALSE))</f>
        <v>_</v>
      </c>
      <c r="AJ812" s="44"/>
      <c r="AK812" s="5" t="s">
        <v>16</v>
      </c>
      <c r="AL812" s="46" t="str">
        <f>IF(VLOOKUP(AK812,βοηθητικό!$J$2:$N$354,3,FALSE)="","",VLOOKUP(AK812,βοηθητικό!$J$2:$N$354,3,FALSE))</f>
        <v>_</v>
      </c>
      <c r="AM812" s="47"/>
      <c r="AN812" s="4" t="s">
        <v>16</v>
      </c>
      <c r="AO812" s="43" t="str">
        <f>IF(VLOOKUP(AN812,βοηθητικό!$J$2:$N$354,3,FALSE)="","",VLOOKUP(AN812,βοηθητικό!$J$2:$N$354,3,FALSE))</f>
        <v>_</v>
      </c>
      <c r="AP812" s="44"/>
      <c r="AQ812" s="5" t="s">
        <v>16</v>
      </c>
      <c r="AR812" s="46" t="str">
        <f>IF(VLOOKUP(AQ812,βοηθητικό!$J$2:$N$354,3,FALSE)="","",VLOOKUP(AQ812,βοηθητικό!$J$2:$N$354,3,FALSE))</f>
        <v>_</v>
      </c>
      <c r="AS812" s="47"/>
      <c r="AT812" s="4" t="s">
        <v>16</v>
      </c>
      <c r="AU812" s="43" t="str">
        <f>IF(VLOOKUP(AT812,βοηθητικό!$J$2:$N$354,3,FALSE)="","",VLOOKUP(AT812,βοηθητικό!$J$2:$N$354,3,FALSE))</f>
        <v>_</v>
      </c>
      <c r="AV812" s="44"/>
      <c r="AW812" s="5" t="s">
        <v>16</v>
      </c>
      <c r="AX812" s="46" t="str">
        <f>IF(VLOOKUP(AW812,βοηθητικό!$J$2:$N$354,3,FALSE)="","",VLOOKUP(AW812,βοηθητικό!$J$2:$N$354,3,FALSE))</f>
        <v>_</v>
      </c>
      <c r="AY812" s="47"/>
      <c r="AZ812" s="4" t="s">
        <v>16</v>
      </c>
      <c r="BA812" s="43" t="str">
        <f>IF(VLOOKUP(AZ812,βοηθητικό!$J$2:$N$354,3,FALSE)="","",VLOOKUP(AZ812,βοηθητικό!$J$2:$N$354,3,FALSE))</f>
        <v>_</v>
      </c>
      <c r="BB812" s="44"/>
      <c r="BC812" s="45" t="s">
        <v>16</v>
      </c>
      <c r="BD812" s="46" t="str">
        <f>IF(VLOOKUP(BC812,βοηθητικό!$J$2:$N$354,3,FALSE)="","",VLOOKUP(BC812,βοηθητικό!$J$2:$N$354,3,FALSE))</f>
        <v>_</v>
      </c>
      <c r="BE812" s="47"/>
      <c r="BF812" s="42" t="s">
        <v>16</v>
      </c>
      <c r="BG812" s="43" t="str">
        <f>IF(VLOOKUP(BF812,βοηθητικό!$J$2:$N$354,3,FALSE)="","",VLOOKUP(BF812,βοηθητικό!$J$2:$N$354,3,FALSE))</f>
        <v>_</v>
      </c>
      <c r="BH812" s="44"/>
      <c r="BI812" s="45" t="s">
        <v>16</v>
      </c>
      <c r="BJ812" s="46" t="str">
        <f>IF(VLOOKUP(BI812,βοηθητικό!$J$2:$N$354,3,FALSE)="","",VLOOKUP(BI812,βοηθητικό!$J$2:$N$354,3,FALSE))</f>
        <v>_</v>
      </c>
      <c r="BK812" s="47"/>
      <c r="BL812" s="42" t="s">
        <v>16</v>
      </c>
      <c r="BM812" s="43" t="str">
        <f>IF(VLOOKUP(BL812,βοηθητικό!$J$2:$N$354,3,FALSE)="","",VLOOKUP(BL812,βοηθητικό!$J$2:$N$354,3,FALSE))</f>
        <v>_</v>
      </c>
      <c r="BN812" s="44"/>
      <c r="BO812" s="45" t="s">
        <v>16</v>
      </c>
      <c r="BP812" s="46" t="str">
        <f>IF(VLOOKUP(BO812,βοηθητικό!$J$2:$N$354,3,FALSE)="","",VLOOKUP(BO812,βοηθητικό!$J$2:$N$354,3,FALSE))</f>
        <v>_</v>
      </c>
      <c r="BQ812" s="47"/>
      <c r="BR812" s="42" t="s">
        <v>16</v>
      </c>
      <c r="BS812" s="43" t="str">
        <f>IF(VLOOKUP(BR812,βοηθητικό!$J$2:$N$354,3,FALSE)="","",VLOOKUP(BR812,βοηθητικό!$J$2:$N$354,3,FALSE))</f>
        <v>_</v>
      </c>
      <c r="BT812" s="44"/>
      <c r="BU812" s="45" t="s">
        <v>16</v>
      </c>
      <c r="BV812" s="46" t="str">
        <f>IF(VLOOKUP(BU812,βοηθητικό!$J$2:$N$354,3,FALSE)="","",VLOOKUP(BU812,βοηθητικό!$J$2:$N$354,3,FALSE))</f>
        <v>_</v>
      </c>
      <c r="BW812" s="47"/>
      <c r="BX812" s="42" t="s">
        <v>16</v>
      </c>
      <c r="BY812" s="43" t="str">
        <f>IF(VLOOKUP(BX812,βοηθητικό!$J$2:$N$354,3,FALSE)="","",VLOOKUP(BX812,βοηθητικό!$J$2:$N$354,3,FALSE))</f>
        <v>_</v>
      </c>
      <c r="BZ812" s="44"/>
      <c r="CA812" s="45" t="s">
        <v>16</v>
      </c>
      <c r="CB812" s="46" t="str">
        <f>IF(VLOOKUP(CA812,βοηθητικό!$J$2:$N$354,3,FALSE)="","",VLOOKUP(CA812,βοηθητικό!$J$2:$N$354,3,FALSE))</f>
        <v>_</v>
      </c>
      <c r="CC812" s="47"/>
      <c r="CD812" s="42" t="s">
        <v>16</v>
      </c>
      <c r="CE812" s="43" t="str">
        <f>IF(VLOOKUP(CD812,βοηθητικό!$J$2:$N$354,3,FALSE)="","",VLOOKUP(CD812,βοηθητικό!$J$2:$N$354,3,FALSE))</f>
        <v>_</v>
      </c>
      <c r="CF812" s="44"/>
      <c r="CG812" s="45" t="s">
        <v>16</v>
      </c>
      <c r="CH812" s="46" t="str">
        <f>IF(VLOOKUP(CG812,βοηθητικό!$J$2:$N$354,3,FALSE)="","",VLOOKUP(CG812,βοηθητικό!$J$2:$N$354,3,FALSE))</f>
        <v>_</v>
      </c>
      <c r="CI812" s="47"/>
      <c r="CJ812" s="42" t="s">
        <v>16</v>
      </c>
      <c r="CK812" s="43" t="str">
        <f>IF(VLOOKUP(CJ812,βοηθητικό!$J$2:$N$354,3,FALSE)="","",VLOOKUP(CJ812,βοηθητικό!$J$2:$N$354,3,FALSE))</f>
        <v>_</v>
      </c>
      <c r="CL812" s="44"/>
      <c r="CM812" s="45" t="s">
        <v>16</v>
      </c>
      <c r="CN812" s="46" t="str">
        <f>IF(VLOOKUP(CM812,βοηθητικό!$J$2:$N$354,3,FALSE)="","",VLOOKUP(CM812,βοηθητικό!$J$2:$N$354,3,FALSE))</f>
        <v>_</v>
      </c>
      <c r="CO812" s="47"/>
      <c r="CP812" s="42" t="s">
        <v>16</v>
      </c>
      <c r="CQ812" s="43" t="str">
        <f>IF(VLOOKUP(CP812,βοηθητικό!$J$2:$N$354,3,FALSE)="","",VLOOKUP(CP812,βοηθητικό!$J$2:$N$354,3,FALSE))</f>
        <v>_</v>
      </c>
      <c r="CR812" s="44"/>
      <c r="CS812" s="45" t="s">
        <v>16</v>
      </c>
      <c r="CT812" s="46" t="str">
        <f>IF(VLOOKUP(CS812,βοηθητικό!$J$2:$N$354,3,FALSE)="","",VLOOKUP(CS812,βοηθητικό!$J$2:$N$354,3,FALSE))</f>
        <v>_</v>
      </c>
      <c r="CU812" s="47"/>
    </row>
    <row r="813" spans="1:99" x14ac:dyDescent="0.25">
      <c r="A813" s="37">
        <f>--SUBTOTAL(3,$B$3:B812)</f>
        <v>198</v>
      </c>
      <c r="B813" s="2"/>
      <c r="C813" s="3"/>
      <c r="D813" s="55" t="s">
        <v>18</v>
      </c>
      <c r="E813" s="38" t="s">
        <v>16</v>
      </c>
      <c r="F813" s="38"/>
      <c r="G813" s="39" t="str">
        <f t="shared" si="38"/>
        <v>__</v>
      </c>
      <c r="H813" s="40" t="str">
        <f t="shared" si="39"/>
        <v>FALSE</v>
      </c>
      <c r="I813" s="41">
        <f t="shared" si="40"/>
        <v>0</v>
      </c>
      <c r="J813" s="4" t="s">
        <v>16</v>
      </c>
      <c r="K813" s="43" t="str">
        <f>IF(VLOOKUP(J813,βοηθητικό!$J$2:$N$354,3,FALSE)="","",VLOOKUP(J813,βοηθητικό!$J$2:$N$354,3,FALSE))</f>
        <v>_</v>
      </c>
      <c r="L813" s="44"/>
      <c r="M813" s="5" t="s">
        <v>16</v>
      </c>
      <c r="N813" s="46" t="str">
        <f>IF(VLOOKUP(M813,βοηθητικό!$J$2:$N$354,3,FALSE)="","",VLOOKUP(M813,βοηθητικό!$J$2:$N$354,3,FALSE))</f>
        <v>_</v>
      </c>
      <c r="O813" s="47"/>
      <c r="P813" s="4" t="s">
        <v>16</v>
      </c>
      <c r="Q813" s="43" t="str">
        <f>IF(VLOOKUP(P813,βοηθητικό!$J$2:$N$354,3,FALSE)="","",VLOOKUP(P813,βοηθητικό!$J$2:$N$354,3,FALSE))</f>
        <v>_</v>
      </c>
      <c r="R813" s="44"/>
      <c r="S813" s="5" t="s">
        <v>16</v>
      </c>
      <c r="T813" s="46" t="str">
        <f>IF(VLOOKUP(S813,βοηθητικό!$J$2:$N$354,3,FALSE)="","",VLOOKUP(S813,βοηθητικό!$J$2:$N$354,3,FALSE))</f>
        <v>_</v>
      </c>
      <c r="U813" s="47"/>
      <c r="V813" s="4" t="s">
        <v>16</v>
      </c>
      <c r="W813" s="43" t="str">
        <f>IF(VLOOKUP(V813,βοηθητικό!$J$2:$N$354,3,FALSE)="","",VLOOKUP(V813,βοηθητικό!$J$2:$N$354,3,FALSE))</f>
        <v>_</v>
      </c>
      <c r="X813" s="44"/>
      <c r="Y813" s="5" t="s">
        <v>16</v>
      </c>
      <c r="Z813" s="46" t="str">
        <f>IF(VLOOKUP(Y813,βοηθητικό!$J$2:$N$354,3,FALSE)="","",VLOOKUP(Y813,βοηθητικό!$J$2:$N$354,3,FALSE))</f>
        <v>_</v>
      </c>
      <c r="AA813" s="47"/>
      <c r="AB813" s="4" t="s">
        <v>16</v>
      </c>
      <c r="AC813" s="43" t="str">
        <f>IF(VLOOKUP(AB813,βοηθητικό!$J$2:$N$354,3,FALSE)="","",VLOOKUP(AB813,βοηθητικό!$J$2:$N$354,3,FALSE))</f>
        <v>_</v>
      </c>
      <c r="AD813" s="44"/>
      <c r="AE813" s="5" t="s">
        <v>16</v>
      </c>
      <c r="AF813" s="46" t="str">
        <f>IF(VLOOKUP(AE813,βοηθητικό!$J$2:$N$354,3,FALSE)="","",VLOOKUP(AE813,βοηθητικό!$J$2:$N$354,3,FALSE))</f>
        <v>_</v>
      </c>
      <c r="AG813" s="47"/>
      <c r="AH813" s="4" t="s">
        <v>16</v>
      </c>
      <c r="AI813" s="43" t="str">
        <f>IF(VLOOKUP(AH813,βοηθητικό!$J$2:$N$354,3,FALSE)="","",VLOOKUP(AH813,βοηθητικό!$J$2:$N$354,3,FALSE))</f>
        <v>_</v>
      </c>
      <c r="AJ813" s="44"/>
      <c r="AK813" s="5" t="s">
        <v>16</v>
      </c>
      <c r="AL813" s="46" t="str">
        <f>IF(VLOOKUP(AK813,βοηθητικό!$J$2:$N$354,3,FALSE)="","",VLOOKUP(AK813,βοηθητικό!$J$2:$N$354,3,FALSE))</f>
        <v>_</v>
      </c>
      <c r="AM813" s="47"/>
      <c r="AN813" s="4" t="s">
        <v>16</v>
      </c>
      <c r="AO813" s="43" t="str">
        <f>IF(VLOOKUP(AN813,βοηθητικό!$J$2:$N$354,3,FALSE)="","",VLOOKUP(AN813,βοηθητικό!$J$2:$N$354,3,FALSE))</f>
        <v>_</v>
      </c>
      <c r="AP813" s="44"/>
      <c r="AQ813" s="5" t="s">
        <v>16</v>
      </c>
      <c r="AR813" s="46" t="str">
        <f>IF(VLOOKUP(AQ813,βοηθητικό!$J$2:$N$354,3,FALSE)="","",VLOOKUP(AQ813,βοηθητικό!$J$2:$N$354,3,FALSE))</f>
        <v>_</v>
      </c>
      <c r="AS813" s="47"/>
      <c r="AT813" s="4" t="s">
        <v>16</v>
      </c>
      <c r="AU813" s="43" t="str">
        <f>IF(VLOOKUP(AT813,βοηθητικό!$J$2:$N$354,3,FALSE)="","",VLOOKUP(AT813,βοηθητικό!$J$2:$N$354,3,FALSE))</f>
        <v>_</v>
      </c>
      <c r="AV813" s="44"/>
      <c r="AW813" s="5" t="s">
        <v>16</v>
      </c>
      <c r="AX813" s="46" t="str">
        <f>IF(VLOOKUP(AW813,βοηθητικό!$J$2:$N$354,3,FALSE)="","",VLOOKUP(AW813,βοηθητικό!$J$2:$N$354,3,FALSE))</f>
        <v>_</v>
      </c>
      <c r="AY813" s="47"/>
      <c r="AZ813" s="4" t="s">
        <v>16</v>
      </c>
      <c r="BA813" s="43" t="str">
        <f>IF(VLOOKUP(AZ813,βοηθητικό!$J$2:$N$354,3,FALSE)="","",VLOOKUP(AZ813,βοηθητικό!$J$2:$N$354,3,FALSE))</f>
        <v>_</v>
      </c>
      <c r="BB813" s="44"/>
      <c r="BC813" s="45" t="s">
        <v>16</v>
      </c>
      <c r="BD813" s="46" t="str">
        <f>IF(VLOOKUP(BC813,βοηθητικό!$J$2:$N$354,3,FALSE)="","",VLOOKUP(BC813,βοηθητικό!$J$2:$N$354,3,FALSE))</f>
        <v>_</v>
      </c>
      <c r="BE813" s="47"/>
      <c r="BF813" s="42" t="s">
        <v>16</v>
      </c>
      <c r="BG813" s="43" t="str">
        <f>IF(VLOOKUP(BF813,βοηθητικό!$J$2:$N$354,3,FALSE)="","",VLOOKUP(BF813,βοηθητικό!$J$2:$N$354,3,FALSE))</f>
        <v>_</v>
      </c>
      <c r="BH813" s="44"/>
      <c r="BI813" s="45" t="s">
        <v>16</v>
      </c>
      <c r="BJ813" s="46" t="str">
        <f>IF(VLOOKUP(BI813,βοηθητικό!$J$2:$N$354,3,FALSE)="","",VLOOKUP(BI813,βοηθητικό!$J$2:$N$354,3,FALSE))</f>
        <v>_</v>
      </c>
      <c r="BK813" s="47"/>
      <c r="BL813" s="42" t="s">
        <v>16</v>
      </c>
      <c r="BM813" s="43" t="str">
        <f>IF(VLOOKUP(BL813,βοηθητικό!$J$2:$N$354,3,FALSE)="","",VLOOKUP(BL813,βοηθητικό!$J$2:$N$354,3,FALSE))</f>
        <v>_</v>
      </c>
      <c r="BN813" s="44"/>
      <c r="BO813" s="45" t="s">
        <v>16</v>
      </c>
      <c r="BP813" s="46" t="str">
        <f>IF(VLOOKUP(BO813,βοηθητικό!$J$2:$N$354,3,FALSE)="","",VLOOKUP(BO813,βοηθητικό!$J$2:$N$354,3,FALSE))</f>
        <v>_</v>
      </c>
      <c r="BQ813" s="47"/>
      <c r="BR813" s="42" t="s">
        <v>16</v>
      </c>
      <c r="BS813" s="43" t="str">
        <f>IF(VLOOKUP(BR813,βοηθητικό!$J$2:$N$354,3,FALSE)="","",VLOOKUP(BR813,βοηθητικό!$J$2:$N$354,3,FALSE))</f>
        <v>_</v>
      </c>
      <c r="BT813" s="44"/>
      <c r="BU813" s="45" t="s">
        <v>16</v>
      </c>
      <c r="BV813" s="46" t="str">
        <f>IF(VLOOKUP(BU813,βοηθητικό!$J$2:$N$354,3,FALSE)="","",VLOOKUP(BU813,βοηθητικό!$J$2:$N$354,3,FALSE))</f>
        <v>_</v>
      </c>
      <c r="BW813" s="47"/>
      <c r="BX813" s="42" t="s">
        <v>16</v>
      </c>
      <c r="BY813" s="43" t="str">
        <f>IF(VLOOKUP(BX813,βοηθητικό!$J$2:$N$354,3,FALSE)="","",VLOOKUP(BX813,βοηθητικό!$J$2:$N$354,3,FALSE))</f>
        <v>_</v>
      </c>
      <c r="BZ813" s="44"/>
      <c r="CA813" s="45" t="s">
        <v>16</v>
      </c>
      <c r="CB813" s="46" t="str">
        <f>IF(VLOOKUP(CA813,βοηθητικό!$J$2:$N$354,3,FALSE)="","",VLOOKUP(CA813,βοηθητικό!$J$2:$N$354,3,FALSE))</f>
        <v>_</v>
      </c>
      <c r="CC813" s="47"/>
      <c r="CD813" s="42" t="s">
        <v>16</v>
      </c>
      <c r="CE813" s="43" t="str">
        <f>IF(VLOOKUP(CD813,βοηθητικό!$J$2:$N$354,3,FALSE)="","",VLOOKUP(CD813,βοηθητικό!$J$2:$N$354,3,FALSE))</f>
        <v>_</v>
      </c>
      <c r="CF813" s="44"/>
      <c r="CG813" s="45" t="s">
        <v>16</v>
      </c>
      <c r="CH813" s="46" t="str">
        <f>IF(VLOOKUP(CG813,βοηθητικό!$J$2:$N$354,3,FALSE)="","",VLOOKUP(CG813,βοηθητικό!$J$2:$N$354,3,FALSE))</f>
        <v>_</v>
      </c>
      <c r="CI813" s="47"/>
      <c r="CJ813" s="42" t="s">
        <v>16</v>
      </c>
      <c r="CK813" s="43" t="str">
        <f>IF(VLOOKUP(CJ813,βοηθητικό!$J$2:$N$354,3,FALSE)="","",VLOOKUP(CJ813,βοηθητικό!$J$2:$N$354,3,FALSE))</f>
        <v>_</v>
      </c>
      <c r="CL813" s="44"/>
      <c r="CM813" s="45" t="s">
        <v>16</v>
      </c>
      <c r="CN813" s="46" t="str">
        <f>IF(VLOOKUP(CM813,βοηθητικό!$J$2:$N$354,3,FALSE)="","",VLOOKUP(CM813,βοηθητικό!$J$2:$N$354,3,FALSE))</f>
        <v>_</v>
      </c>
      <c r="CO813" s="47"/>
      <c r="CP813" s="42" t="s">
        <v>16</v>
      </c>
      <c r="CQ813" s="43" t="str">
        <f>IF(VLOOKUP(CP813,βοηθητικό!$J$2:$N$354,3,FALSE)="","",VLOOKUP(CP813,βοηθητικό!$J$2:$N$354,3,FALSE))</f>
        <v>_</v>
      </c>
      <c r="CR813" s="44"/>
      <c r="CS813" s="45" t="s">
        <v>16</v>
      </c>
      <c r="CT813" s="46" t="str">
        <f>IF(VLOOKUP(CS813,βοηθητικό!$J$2:$N$354,3,FALSE)="","",VLOOKUP(CS813,βοηθητικό!$J$2:$N$354,3,FALSE))</f>
        <v>_</v>
      </c>
      <c r="CU813" s="47"/>
    </row>
    <row r="814" spans="1:99" x14ac:dyDescent="0.25">
      <c r="A814" s="37">
        <f>--SUBTOTAL(3,$B$3:B813)</f>
        <v>198</v>
      </c>
      <c r="B814" s="2"/>
      <c r="C814" s="3"/>
      <c r="D814" s="55" t="s">
        <v>18</v>
      </c>
      <c r="E814" s="38" t="s">
        <v>16</v>
      </c>
      <c r="F814" s="38"/>
      <c r="G814" s="39" t="str">
        <f t="shared" si="38"/>
        <v>__</v>
      </c>
      <c r="H814" s="40" t="str">
        <f t="shared" si="39"/>
        <v>FALSE</v>
      </c>
      <c r="I814" s="41">
        <f t="shared" si="40"/>
        <v>0</v>
      </c>
      <c r="J814" s="4" t="s">
        <v>16</v>
      </c>
      <c r="K814" s="43" t="str">
        <f>IF(VLOOKUP(J814,βοηθητικό!$J$2:$N$354,3,FALSE)="","",VLOOKUP(J814,βοηθητικό!$J$2:$N$354,3,FALSE))</f>
        <v>_</v>
      </c>
      <c r="L814" s="44"/>
      <c r="M814" s="5" t="s">
        <v>16</v>
      </c>
      <c r="N814" s="46" t="str">
        <f>IF(VLOOKUP(M814,βοηθητικό!$J$2:$N$354,3,FALSE)="","",VLOOKUP(M814,βοηθητικό!$J$2:$N$354,3,FALSE))</f>
        <v>_</v>
      </c>
      <c r="O814" s="47"/>
      <c r="P814" s="4" t="s">
        <v>16</v>
      </c>
      <c r="Q814" s="43" t="str">
        <f>IF(VLOOKUP(P814,βοηθητικό!$J$2:$N$354,3,FALSE)="","",VLOOKUP(P814,βοηθητικό!$J$2:$N$354,3,FALSE))</f>
        <v>_</v>
      </c>
      <c r="R814" s="44"/>
      <c r="S814" s="5" t="s">
        <v>16</v>
      </c>
      <c r="T814" s="46" t="str">
        <f>IF(VLOOKUP(S814,βοηθητικό!$J$2:$N$354,3,FALSE)="","",VLOOKUP(S814,βοηθητικό!$J$2:$N$354,3,FALSE))</f>
        <v>_</v>
      </c>
      <c r="U814" s="47"/>
      <c r="V814" s="4" t="s">
        <v>16</v>
      </c>
      <c r="W814" s="43" t="str">
        <f>IF(VLOOKUP(V814,βοηθητικό!$J$2:$N$354,3,FALSE)="","",VLOOKUP(V814,βοηθητικό!$J$2:$N$354,3,FALSE))</f>
        <v>_</v>
      </c>
      <c r="X814" s="44"/>
      <c r="Y814" s="5" t="s">
        <v>16</v>
      </c>
      <c r="Z814" s="46" t="str">
        <f>IF(VLOOKUP(Y814,βοηθητικό!$J$2:$N$354,3,FALSE)="","",VLOOKUP(Y814,βοηθητικό!$J$2:$N$354,3,FALSE))</f>
        <v>_</v>
      </c>
      <c r="AA814" s="47"/>
      <c r="AB814" s="4" t="s">
        <v>16</v>
      </c>
      <c r="AC814" s="43" t="str">
        <f>IF(VLOOKUP(AB814,βοηθητικό!$J$2:$N$354,3,FALSE)="","",VLOOKUP(AB814,βοηθητικό!$J$2:$N$354,3,FALSE))</f>
        <v>_</v>
      </c>
      <c r="AD814" s="44"/>
      <c r="AE814" s="5" t="s">
        <v>16</v>
      </c>
      <c r="AF814" s="46" t="str">
        <f>IF(VLOOKUP(AE814,βοηθητικό!$J$2:$N$354,3,FALSE)="","",VLOOKUP(AE814,βοηθητικό!$J$2:$N$354,3,FALSE))</f>
        <v>_</v>
      </c>
      <c r="AG814" s="47"/>
      <c r="AH814" s="4" t="s">
        <v>16</v>
      </c>
      <c r="AI814" s="43" t="str">
        <f>IF(VLOOKUP(AH814,βοηθητικό!$J$2:$N$354,3,FALSE)="","",VLOOKUP(AH814,βοηθητικό!$J$2:$N$354,3,FALSE))</f>
        <v>_</v>
      </c>
      <c r="AJ814" s="44"/>
      <c r="AK814" s="5" t="s">
        <v>16</v>
      </c>
      <c r="AL814" s="46" t="str">
        <f>IF(VLOOKUP(AK814,βοηθητικό!$J$2:$N$354,3,FALSE)="","",VLOOKUP(AK814,βοηθητικό!$J$2:$N$354,3,FALSE))</f>
        <v>_</v>
      </c>
      <c r="AM814" s="47"/>
      <c r="AN814" s="4" t="s">
        <v>16</v>
      </c>
      <c r="AO814" s="43" t="str">
        <f>IF(VLOOKUP(AN814,βοηθητικό!$J$2:$N$354,3,FALSE)="","",VLOOKUP(AN814,βοηθητικό!$J$2:$N$354,3,FALSE))</f>
        <v>_</v>
      </c>
      <c r="AP814" s="44"/>
      <c r="AQ814" s="5" t="s">
        <v>16</v>
      </c>
      <c r="AR814" s="46" t="str">
        <f>IF(VLOOKUP(AQ814,βοηθητικό!$J$2:$N$354,3,FALSE)="","",VLOOKUP(AQ814,βοηθητικό!$J$2:$N$354,3,FALSE))</f>
        <v>_</v>
      </c>
      <c r="AS814" s="47"/>
      <c r="AT814" s="4" t="s">
        <v>16</v>
      </c>
      <c r="AU814" s="43" t="str">
        <f>IF(VLOOKUP(AT814,βοηθητικό!$J$2:$N$354,3,FALSE)="","",VLOOKUP(AT814,βοηθητικό!$J$2:$N$354,3,FALSE))</f>
        <v>_</v>
      </c>
      <c r="AV814" s="44"/>
      <c r="AW814" s="5" t="s">
        <v>16</v>
      </c>
      <c r="AX814" s="46" t="str">
        <f>IF(VLOOKUP(AW814,βοηθητικό!$J$2:$N$354,3,FALSE)="","",VLOOKUP(AW814,βοηθητικό!$J$2:$N$354,3,FALSE))</f>
        <v>_</v>
      </c>
      <c r="AY814" s="47"/>
      <c r="AZ814" s="4" t="s">
        <v>16</v>
      </c>
      <c r="BA814" s="43" t="str">
        <f>IF(VLOOKUP(AZ814,βοηθητικό!$J$2:$N$354,3,FALSE)="","",VLOOKUP(AZ814,βοηθητικό!$J$2:$N$354,3,FALSE))</f>
        <v>_</v>
      </c>
      <c r="BB814" s="44"/>
      <c r="BC814" s="45" t="s">
        <v>16</v>
      </c>
      <c r="BD814" s="46" t="str">
        <f>IF(VLOOKUP(BC814,βοηθητικό!$J$2:$N$354,3,FALSE)="","",VLOOKUP(BC814,βοηθητικό!$J$2:$N$354,3,FALSE))</f>
        <v>_</v>
      </c>
      <c r="BE814" s="47"/>
      <c r="BF814" s="42" t="s">
        <v>16</v>
      </c>
      <c r="BG814" s="43" t="str">
        <f>IF(VLOOKUP(BF814,βοηθητικό!$J$2:$N$354,3,FALSE)="","",VLOOKUP(BF814,βοηθητικό!$J$2:$N$354,3,FALSE))</f>
        <v>_</v>
      </c>
      <c r="BH814" s="44"/>
      <c r="BI814" s="45" t="s">
        <v>16</v>
      </c>
      <c r="BJ814" s="46" t="str">
        <f>IF(VLOOKUP(BI814,βοηθητικό!$J$2:$N$354,3,FALSE)="","",VLOOKUP(BI814,βοηθητικό!$J$2:$N$354,3,FALSE))</f>
        <v>_</v>
      </c>
      <c r="BK814" s="47"/>
      <c r="BL814" s="42" t="s">
        <v>16</v>
      </c>
      <c r="BM814" s="43" t="str">
        <f>IF(VLOOKUP(BL814,βοηθητικό!$J$2:$N$354,3,FALSE)="","",VLOOKUP(BL814,βοηθητικό!$J$2:$N$354,3,FALSE))</f>
        <v>_</v>
      </c>
      <c r="BN814" s="44"/>
      <c r="BO814" s="45" t="s">
        <v>16</v>
      </c>
      <c r="BP814" s="46" t="str">
        <f>IF(VLOOKUP(BO814,βοηθητικό!$J$2:$N$354,3,FALSE)="","",VLOOKUP(BO814,βοηθητικό!$J$2:$N$354,3,FALSE))</f>
        <v>_</v>
      </c>
      <c r="BQ814" s="47"/>
      <c r="BR814" s="42" t="s">
        <v>16</v>
      </c>
      <c r="BS814" s="43" t="str">
        <f>IF(VLOOKUP(BR814,βοηθητικό!$J$2:$N$354,3,FALSE)="","",VLOOKUP(BR814,βοηθητικό!$J$2:$N$354,3,FALSE))</f>
        <v>_</v>
      </c>
      <c r="BT814" s="44"/>
      <c r="BU814" s="45" t="s">
        <v>16</v>
      </c>
      <c r="BV814" s="46" t="str">
        <f>IF(VLOOKUP(BU814,βοηθητικό!$J$2:$N$354,3,FALSE)="","",VLOOKUP(BU814,βοηθητικό!$J$2:$N$354,3,FALSE))</f>
        <v>_</v>
      </c>
      <c r="BW814" s="47"/>
      <c r="BX814" s="42" t="s">
        <v>16</v>
      </c>
      <c r="BY814" s="43" t="str">
        <f>IF(VLOOKUP(BX814,βοηθητικό!$J$2:$N$354,3,FALSE)="","",VLOOKUP(BX814,βοηθητικό!$J$2:$N$354,3,FALSE))</f>
        <v>_</v>
      </c>
      <c r="BZ814" s="44"/>
      <c r="CA814" s="45" t="s">
        <v>16</v>
      </c>
      <c r="CB814" s="46" t="str">
        <f>IF(VLOOKUP(CA814,βοηθητικό!$J$2:$N$354,3,FALSE)="","",VLOOKUP(CA814,βοηθητικό!$J$2:$N$354,3,FALSE))</f>
        <v>_</v>
      </c>
      <c r="CC814" s="47"/>
      <c r="CD814" s="42" t="s">
        <v>16</v>
      </c>
      <c r="CE814" s="43" t="str">
        <f>IF(VLOOKUP(CD814,βοηθητικό!$J$2:$N$354,3,FALSE)="","",VLOOKUP(CD814,βοηθητικό!$J$2:$N$354,3,FALSE))</f>
        <v>_</v>
      </c>
      <c r="CF814" s="44"/>
      <c r="CG814" s="45" t="s">
        <v>16</v>
      </c>
      <c r="CH814" s="46" t="str">
        <f>IF(VLOOKUP(CG814,βοηθητικό!$J$2:$N$354,3,FALSE)="","",VLOOKUP(CG814,βοηθητικό!$J$2:$N$354,3,FALSE))</f>
        <v>_</v>
      </c>
      <c r="CI814" s="47"/>
      <c r="CJ814" s="42" t="s">
        <v>16</v>
      </c>
      <c r="CK814" s="43" t="str">
        <f>IF(VLOOKUP(CJ814,βοηθητικό!$J$2:$N$354,3,FALSE)="","",VLOOKUP(CJ814,βοηθητικό!$J$2:$N$354,3,FALSE))</f>
        <v>_</v>
      </c>
      <c r="CL814" s="44"/>
      <c r="CM814" s="45" t="s">
        <v>16</v>
      </c>
      <c r="CN814" s="46" t="str">
        <f>IF(VLOOKUP(CM814,βοηθητικό!$J$2:$N$354,3,FALSE)="","",VLOOKUP(CM814,βοηθητικό!$J$2:$N$354,3,FALSE))</f>
        <v>_</v>
      </c>
      <c r="CO814" s="47"/>
      <c r="CP814" s="42" t="s">
        <v>16</v>
      </c>
      <c r="CQ814" s="43" t="str">
        <f>IF(VLOOKUP(CP814,βοηθητικό!$J$2:$N$354,3,FALSE)="","",VLOOKUP(CP814,βοηθητικό!$J$2:$N$354,3,FALSE))</f>
        <v>_</v>
      </c>
      <c r="CR814" s="44"/>
      <c r="CS814" s="45" t="s">
        <v>16</v>
      </c>
      <c r="CT814" s="46" t="str">
        <f>IF(VLOOKUP(CS814,βοηθητικό!$J$2:$N$354,3,FALSE)="","",VLOOKUP(CS814,βοηθητικό!$J$2:$N$354,3,FALSE))</f>
        <v>_</v>
      </c>
      <c r="CU814" s="47"/>
    </row>
    <row r="815" spans="1:99" x14ac:dyDescent="0.25">
      <c r="A815" s="37">
        <f>--SUBTOTAL(3,$B$3:B814)</f>
        <v>198</v>
      </c>
      <c r="B815" s="2"/>
      <c r="C815" s="3"/>
      <c r="D815" s="55" t="s">
        <v>18</v>
      </c>
      <c r="E815" s="38" t="s">
        <v>16</v>
      </c>
      <c r="F815" s="38"/>
      <c r="G815" s="39" t="str">
        <f t="shared" si="38"/>
        <v>__</v>
      </c>
      <c r="H815" s="40" t="str">
        <f t="shared" si="39"/>
        <v>FALSE</v>
      </c>
      <c r="I815" s="41">
        <f t="shared" si="40"/>
        <v>0</v>
      </c>
      <c r="J815" s="4" t="s">
        <v>16</v>
      </c>
      <c r="K815" s="43" t="str">
        <f>IF(VLOOKUP(J815,βοηθητικό!$J$2:$N$354,3,FALSE)="","",VLOOKUP(J815,βοηθητικό!$J$2:$N$354,3,FALSE))</f>
        <v>_</v>
      </c>
      <c r="L815" s="44"/>
      <c r="M815" s="5" t="s">
        <v>16</v>
      </c>
      <c r="N815" s="46" t="str">
        <f>IF(VLOOKUP(M815,βοηθητικό!$J$2:$N$354,3,FALSE)="","",VLOOKUP(M815,βοηθητικό!$J$2:$N$354,3,FALSE))</f>
        <v>_</v>
      </c>
      <c r="O815" s="47"/>
      <c r="P815" s="4" t="s">
        <v>16</v>
      </c>
      <c r="Q815" s="43" t="str">
        <f>IF(VLOOKUP(P815,βοηθητικό!$J$2:$N$354,3,FALSE)="","",VLOOKUP(P815,βοηθητικό!$J$2:$N$354,3,FALSE))</f>
        <v>_</v>
      </c>
      <c r="R815" s="44"/>
      <c r="S815" s="5" t="s">
        <v>16</v>
      </c>
      <c r="T815" s="46" t="str">
        <f>IF(VLOOKUP(S815,βοηθητικό!$J$2:$N$354,3,FALSE)="","",VLOOKUP(S815,βοηθητικό!$J$2:$N$354,3,FALSE))</f>
        <v>_</v>
      </c>
      <c r="U815" s="47"/>
      <c r="V815" s="4" t="s">
        <v>16</v>
      </c>
      <c r="W815" s="43" t="str">
        <f>IF(VLOOKUP(V815,βοηθητικό!$J$2:$N$354,3,FALSE)="","",VLOOKUP(V815,βοηθητικό!$J$2:$N$354,3,FALSE))</f>
        <v>_</v>
      </c>
      <c r="X815" s="44"/>
      <c r="Y815" s="5" t="s">
        <v>16</v>
      </c>
      <c r="Z815" s="46" t="str">
        <f>IF(VLOOKUP(Y815,βοηθητικό!$J$2:$N$354,3,FALSE)="","",VLOOKUP(Y815,βοηθητικό!$J$2:$N$354,3,FALSE))</f>
        <v>_</v>
      </c>
      <c r="AA815" s="47"/>
      <c r="AB815" s="4" t="s">
        <v>16</v>
      </c>
      <c r="AC815" s="43" t="str">
        <f>IF(VLOOKUP(AB815,βοηθητικό!$J$2:$N$354,3,FALSE)="","",VLOOKUP(AB815,βοηθητικό!$J$2:$N$354,3,FALSE))</f>
        <v>_</v>
      </c>
      <c r="AD815" s="44"/>
      <c r="AE815" s="5" t="s">
        <v>16</v>
      </c>
      <c r="AF815" s="46" t="str">
        <f>IF(VLOOKUP(AE815,βοηθητικό!$J$2:$N$354,3,FALSE)="","",VLOOKUP(AE815,βοηθητικό!$J$2:$N$354,3,FALSE))</f>
        <v>_</v>
      </c>
      <c r="AG815" s="47"/>
      <c r="AH815" s="4" t="s">
        <v>16</v>
      </c>
      <c r="AI815" s="43" t="str">
        <f>IF(VLOOKUP(AH815,βοηθητικό!$J$2:$N$354,3,FALSE)="","",VLOOKUP(AH815,βοηθητικό!$J$2:$N$354,3,FALSE))</f>
        <v>_</v>
      </c>
      <c r="AJ815" s="44"/>
      <c r="AK815" s="5" t="s">
        <v>16</v>
      </c>
      <c r="AL815" s="46" t="str">
        <f>IF(VLOOKUP(AK815,βοηθητικό!$J$2:$N$354,3,FALSE)="","",VLOOKUP(AK815,βοηθητικό!$J$2:$N$354,3,FALSE))</f>
        <v>_</v>
      </c>
      <c r="AM815" s="47"/>
      <c r="AN815" s="4" t="s">
        <v>16</v>
      </c>
      <c r="AO815" s="43" t="str">
        <f>IF(VLOOKUP(AN815,βοηθητικό!$J$2:$N$354,3,FALSE)="","",VLOOKUP(AN815,βοηθητικό!$J$2:$N$354,3,FALSE))</f>
        <v>_</v>
      </c>
      <c r="AP815" s="44"/>
      <c r="AQ815" s="5" t="s">
        <v>16</v>
      </c>
      <c r="AR815" s="46" t="str">
        <f>IF(VLOOKUP(AQ815,βοηθητικό!$J$2:$N$354,3,FALSE)="","",VLOOKUP(AQ815,βοηθητικό!$J$2:$N$354,3,FALSE))</f>
        <v>_</v>
      </c>
      <c r="AS815" s="47"/>
      <c r="AT815" s="4" t="s">
        <v>16</v>
      </c>
      <c r="AU815" s="43" t="str">
        <f>IF(VLOOKUP(AT815,βοηθητικό!$J$2:$N$354,3,FALSE)="","",VLOOKUP(AT815,βοηθητικό!$J$2:$N$354,3,FALSE))</f>
        <v>_</v>
      </c>
      <c r="AV815" s="44"/>
      <c r="AW815" s="5" t="s">
        <v>16</v>
      </c>
      <c r="AX815" s="46" t="str">
        <f>IF(VLOOKUP(AW815,βοηθητικό!$J$2:$N$354,3,FALSE)="","",VLOOKUP(AW815,βοηθητικό!$J$2:$N$354,3,FALSE))</f>
        <v>_</v>
      </c>
      <c r="AY815" s="47"/>
      <c r="AZ815" s="4" t="s">
        <v>16</v>
      </c>
      <c r="BA815" s="43" t="str">
        <f>IF(VLOOKUP(AZ815,βοηθητικό!$J$2:$N$354,3,FALSE)="","",VLOOKUP(AZ815,βοηθητικό!$J$2:$N$354,3,FALSE))</f>
        <v>_</v>
      </c>
      <c r="BB815" s="44"/>
      <c r="BC815" s="45" t="s">
        <v>16</v>
      </c>
      <c r="BD815" s="46" t="str">
        <f>IF(VLOOKUP(BC815,βοηθητικό!$J$2:$N$354,3,FALSE)="","",VLOOKUP(BC815,βοηθητικό!$J$2:$N$354,3,FALSE))</f>
        <v>_</v>
      </c>
      <c r="BE815" s="47"/>
      <c r="BF815" s="42" t="s">
        <v>16</v>
      </c>
      <c r="BG815" s="43" t="str">
        <f>IF(VLOOKUP(BF815,βοηθητικό!$J$2:$N$354,3,FALSE)="","",VLOOKUP(BF815,βοηθητικό!$J$2:$N$354,3,FALSE))</f>
        <v>_</v>
      </c>
      <c r="BH815" s="44"/>
      <c r="BI815" s="45" t="s">
        <v>16</v>
      </c>
      <c r="BJ815" s="46" t="str">
        <f>IF(VLOOKUP(BI815,βοηθητικό!$J$2:$N$354,3,FALSE)="","",VLOOKUP(BI815,βοηθητικό!$J$2:$N$354,3,FALSE))</f>
        <v>_</v>
      </c>
      <c r="BK815" s="47"/>
      <c r="BL815" s="42" t="s">
        <v>16</v>
      </c>
      <c r="BM815" s="43" t="str">
        <f>IF(VLOOKUP(BL815,βοηθητικό!$J$2:$N$354,3,FALSE)="","",VLOOKUP(BL815,βοηθητικό!$J$2:$N$354,3,FALSE))</f>
        <v>_</v>
      </c>
      <c r="BN815" s="44"/>
      <c r="BO815" s="45" t="s">
        <v>16</v>
      </c>
      <c r="BP815" s="46" t="str">
        <f>IF(VLOOKUP(BO815,βοηθητικό!$J$2:$N$354,3,FALSE)="","",VLOOKUP(BO815,βοηθητικό!$J$2:$N$354,3,FALSE))</f>
        <v>_</v>
      </c>
      <c r="BQ815" s="47"/>
      <c r="BR815" s="42" t="s">
        <v>16</v>
      </c>
      <c r="BS815" s="43" t="str">
        <f>IF(VLOOKUP(BR815,βοηθητικό!$J$2:$N$354,3,FALSE)="","",VLOOKUP(BR815,βοηθητικό!$J$2:$N$354,3,FALSE))</f>
        <v>_</v>
      </c>
      <c r="BT815" s="44"/>
      <c r="BU815" s="45" t="s">
        <v>16</v>
      </c>
      <c r="BV815" s="46" t="str">
        <f>IF(VLOOKUP(BU815,βοηθητικό!$J$2:$N$354,3,FALSE)="","",VLOOKUP(BU815,βοηθητικό!$J$2:$N$354,3,FALSE))</f>
        <v>_</v>
      </c>
      <c r="BW815" s="47"/>
      <c r="BX815" s="42" t="s">
        <v>16</v>
      </c>
      <c r="BY815" s="43" t="str">
        <f>IF(VLOOKUP(BX815,βοηθητικό!$J$2:$N$354,3,FALSE)="","",VLOOKUP(BX815,βοηθητικό!$J$2:$N$354,3,FALSE))</f>
        <v>_</v>
      </c>
      <c r="BZ815" s="44"/>
      <c r="CA815" s="45" t="s">
        <v>16</v>
      </c>
      <c r="CB815" s="46" t="str">
        <f>IF(VLOOKUP(CA815,βοηθητικό!$J$2:$N$354,3,FALSE)="","",VLOOKUP(CA815,βοηθητικό!$J$2:$N$354,3,FALSE))</f>
        <v>_</v>
      </c>
      <c r="CC815" s="47"/>
      <c r="CD815" s="42" t="s">
        <v>16</v>
      </c>
      <c r="CE815" s="43" t="str">
        <f>IF(VLOOKUP(CD815,βοηθητικό!$J$2:$N$354,3,FALSE)="","",VLOOKUP(CD815,βοηθητικό!$J$2:$N$354,3,FALSE))</f>
        <v>_</v>
      </c>
      <c r="CF815" s="44"/>
      <c r="CG815" s="45" t="s">
        <v>16</v>
      </c>
      <c r="CH815" s="46" t="str">
        <f>IF(VLOOKUP(CG815,βοηθητικό!$J$2:$N$354,3,FALSE)="","",VLOOKUP(CG815,βοηθητικό!$J$2:$N$354,3,FALSE))</f>
        <v>_</v>
      </c>
      <c r="CI815" s="47"/>
      <c r="CJ815" s="42" t="s">
        <v>16</v>
      </c>
      <c r="CK815" s="43" t="str">
        <f>IF(VLOOKUP(CJ815,βοηθητικό!$J$2:$N$354,3,FALSE)="","",VLOOKUP(CJ815,βοηθητικό!$J$2:$N$354,3,FALSE))</f>
        <v>_</v>
      </c>
      <c r="CL815" s="44"/>
      <c r="CM815" s="45" t="s">
        <v>16</v>
      </c>
      <c r="CN815" s="46" t="str">
        <f>IF(VLOOKUP(CM815,βοηθητικό!$J$2:$N$354,3,FALSE)="","",VLOOKUP(CM815,βοηθητικό!$J$2:$N$354,3,FALSE))</f>
        <v>_</v>
      </c>
      <c r="CO815" s="47"/>
      <c r="CP815" s="42" t="s">
        <v>16</v>
      </c>
      <c r="CQ815" s="43" t="str">
        <f>IF(VLOOKUP(CP815,βοηθητικό!$J$2:$N$354,3,FALSE)="","",VLOOKUP(CP815,βοηθητικό!$J$2:$N$354,3,FALSE))</f>
        <v>_</v>
      </c>
      <c r="CR815" s="44"/>
      <c r="CS815" s="45" t="s">
        <v>16</v>
      </c>
      <c r="CT815" s="46" t="str">
        <f>IF(VLOOKUP(CS815,βοηθητικό!$J$2:$N$354,3,FALSE)="","",VLOOKUP(CS815,βοηθητικό!$J$2:$N$354,3,FALSE))</f>
        <v>_</v>
      </c>
      <c r="CU815" s="47"/>
    </row>
    <row r="816" spans="1:99" x14ac:dyDescent="0.25">
      <c r="A816" s="37">
        <f>--SUBTOTAL(3,$B$3:B815)</f>
        <v>198</v>
      </c>
      <c r="B816" s="2"/>
      <c r="C816" s="3"/>
      <c r="D816" s="55" t="s">
        <v>18</v>
      </c>
      <c r="E816" s="38" t="s">
        <v>16</v>
      </c>
      <c r="F816" s="38"/>
      <c r="G816" s="39" t="str">
        <f t="shared" si="38"/>
        <v>__</v>
      </c>
      <c r="H816" s="40" t="str">
        <f t="shared" si="39"/>
        <v>FALSE</v>
      </c>
      <c r="I816" s="41">
        <f t="shared" si="40"/>
        <v>0</v>
      </c>
      <c r="J816" s="4" t="s">
        <v>16</v>
      </c>
      <c r="K816" s="43" t="str">
        <f>IF(VLOOKUP(J816,βοηθητικό!$J$2:$N$354,3,FALSE)="","",VLOOKUP(J816,βοηθητικό!$J$2:$N$354,3,FALSE))</f>
        <v>_</v>
      </c>
      <c r="L816" s="44"/>
      <c r="M816" s="5" t="s">
        <v>16</v>
      </c>
      <c r="N816" s="46" t="str">
        <f>IF(VLOOKUP(M816,βοηθητικό!$J$2:$N$354,3,FALSE)="","",VLOOKUP(M816,βοηθητικό!$J$2:$N$354,3,FALSE))</f>
        <v>_</v>
      </c>
      <c r="O816" s="47"/>
      <c r="P816" s="4" t="s">
        <v>16</v>
      </c>
      <c r="Q816" s="43" t="str">
        <f>IF(VLOOKUP(P816,βοηθητικό!$J$2:$N$354,3,FALSE)="","",VLOOKUP(P816,βοηθητικό!$J$2:$N$354,3,FALSE))</f>
        <v>_</v>
      </c>
      <c r="R816" s="44"/>
      <c r="S816" s="5" t="s">
        <v>16</v>
      </c>
      <c r="T816" s="46" t="str">
        <f>IF(VLOOKUP(S816,βοηθητικό!$J$2:$N$354,3,FALSE)="","",VLOOKUP(S816,βοηθητικό!$J$2:$N$354,3,FALSE))</f>
        <v>_</v>
      </c>
      <c r="U816" s="47"/>
      <c r="V816" s="4" t="s">
        <v>16</v>
      </c>
      <c r="W816" s="43" t="str">
        <f>IF(VLOOKUP(V816,βοηθητικό!$J$2:$N$354,3,FALSE)="","",VLOOKUP(V816,βοηθητικό!$J$2:$N$354,3,FALSE))</f>
        <v>_</v>
      </c>
      <c r="X816" s="44"/>
      <c r="Y816" s="5" t="s">
        <v>16</v>
      </c>
      <c r="Z816" s="46" t="str">
        <f>IF(VLOOKUP(Y816,βοηθητικό!$J$2:$N$354,3,FALSE)="","",VLOOKUP(Y816,βοηθητικό!$J$2:$N$354,3,FALSE))</f>
        <v>_</v>
      </c>
      <c r="AA816" s="47"/>
      <c r="AB816" s="4" t="s">
        <v>16</v>
      </c>
      <c r="AC816" s="43" t="str">
        <f>IF(VLOOKUP(AB816,βοηθητικό!$J$2:$N$354,3,FALSE)="","",VLOOKUP(AB816,βοηθητικό!$J$2:$N$354,3,FALSE))</f>
        <v>_</v>
      </c>
      <c r="AD816" s="44"/>
      <c r="AE816" s="5" t="s">
        <v>16</v>
      </c>
      <c r="AF816" s="46" t="str">
        <f>IF(VLOOKUP(AE816,βοηθητικό!$J$2:$N$354,3,FALSE)="","",VLOOKUP(AE816,βοηθητικό!$J$2:$N$354,3,FALSE))</f>
        <v>_</v>
      </c>
      <c r="AG816" s="47"/>
      <c r="AH816" s="4" t="s">
        <v>16</v>
      </c>
      <c r="AI816" s="43" t="str">
        <f>IF(VLOOKUP(AH816,βοηθητικό!$J$2:$N$354,3,FALSE)="","",VLOOKUP(AH816,βοηθητικό!$J$2:$N$354,3,FALSE))</f>
        <v>_</v>
      </c>
      <c r="AJ816" s="44"/>
      <c r="AK816" s="5" t="s">
        <v>16</v>
      </c>
      <c r="AL816" s="46" t="str">
        <f>IF(VLOOKUP(AK816,βοηθητικό!$J$2:$N$354,3,FALSE)="","",VLOOKUP(AK816,βοηθητικό!$J$2:$N$354,3,FALSE))</f>
        <v>_</v>
      </c>
      <c r="AM816" s="47"/>
      <c r="AN816" s="4" t="s">
        <v>16</v>
      </c>
      <c r="AO816" s="43" t="str">
        <f>IF(VLOOKUP(AN816,βοηθητικό!$J$2:$N$354,3,FALSE)="","",VLOOKUP(AN816,βοηθητικό!$J$2:$N$354,3,FALSE))</f>
        <v>_</v>
      </c>
      <c r="AP816" s="44"/>
      <c r="AQ816" s="5" t="s">
        <v>16</v>
      </c>
      <c r="AR816" s="46" t="str">
        <f>IF(VLOOKUP(AQ816,βοηθητικό!$J$2:$N$354,3,FALSE)="","",VLOOKUP(AQ816,βοηθητικό!$J$2:$N$354,3,FALSE))</f>
        <v>_</v>
      </c>
      <c r="AS816" s="47"/>
      <c r="AT816" s="4" t="s">
        <v>16</v>
      </c>
      <c r="AU816" s="43" t="str">
        <f>IF(VLOOKUP(AT816,βοηθητικό!$J$2:$N$354,3,FALSE)="","",VLOOKUP(AT816,βοηθητικό!$J$2:$N$354,3,FALSE))</f>
        <v>_</v>
      </c>
      <c r="AV816" s="44"/>
      <c r="AW816" s="5" t="s">
        <v>16</v>
      </c>
      <c r="AX816" s="46" t="str">
        <f>IF(VLOOKUP(AW816,βοηθητικό!$J$2:$N$354,3,FALSE)="","",VLOOKUP(AW816,βοηθητικό!$J$2:$N$354,3,FALSE))</f>
        <v>_</v>
      </c>
      <c r="AY816" s="47"/>
      <c r="AZ816" s="4" t="s">
        <v>16</v>
      </c>
      <c r="BA816" s="43" t="str">
        <f>IF(VLOOKUP(AZ816,βοηθητικό!$J$2:$N$354,3,FALSE)="","",VLOOKUP(AZ816,βοηθητικό!$J$2:$N$354,3,FALSE))</f>
        <v>_</v>
      </c>
      <c r="BB816" s="44"/>
      <c r="BC816" s="45" t="s">
        <v>16</v>
      </c>
      <c r="BD816" s="46" t="str">
        <f>IF(VLOOKUP(BC816,βοηθητικό!$J$2:$N$354,3,FALSE)="","",VLOOKUP(BC816,βοηθητικό!$J$2:$N$354,3,FALSE))</f>
        <v>_</v>
      </c>
      <c r="BE816" s="47"/>
      <c r="BF816" s="42" t="s">
        <v>16</v>
      </c>
      <c r="BG816" s="43" t="str">
        <f>IF(VLOOKUP(BF816,βοηθητικό!$J$2:$N$354,3,FALSE)="","",VLOOKUP(BF816,βοηθητικό!$J$2:$N$354,3,FALSE))</f>
        <v>_</v>
      </c>
      <c r="BH816" s="44"/>
      <c r="BI816" s="45" t="s">
        <v>16</v>
      </c>
      <c r="BJ816" s="46" t="str">
        <f>IF(VLOOKUP(BI816,βοηθητικό!$J$2:$N$354,3,FALSE)="","",VLOOKUP(BI816,βοηθητικό!$J$2:$N$354,3,FALSE))</f>
        <v>_</v>
      </c>
      <c r="BK816" s="47"/>
      <c r="BL816" s="42" t="s">
        <v>16</v>
      </c>
      <c r="BM816" s="43" t="str">
        <f>IF(VLOOKUP(BL816,βοηθητικό!$J$2:$N$354,3,FALSE)="","",VLOOKUP(BL816,βοηθητικό!$J$2:$N$354,3,FALSE))</f>
        <v>_</v>
      </c>
      <c r="BN816" s="44"/>
      <c r="BO816" s="45" t="s">
        <v>16</v>
      </c>
      <c r="BP816" s="46" t="str">
        <f>IF(VLOOKUP(BO816,βοηθητικό!$J$2:$N$354,3,FALSE)="","",VLOOKUP(BO816,βοηθητικό!$J$2:$N$354,3,FALSE))</f>
        <v>_</v>
      </c>
      <c r="BQ816" s="47"/>
      <c r="BR816" s="42" t="s">
        <v>16</v>
      </c>
      <c r="BS816" s="43" t="str">
        <f>IF(VLOOKUP(BR816,βοηθητικό!$J$2:$N$354,3,FALSE)="","",VLOOKUP(BR816,βοηθητικό!$J$2:$N$354,3,FALSE))</f>
        <v>_</v>
      </c>
      <c r="BT816" s="44"/>
      <c r="BU816" s="45" t="s">
        <v>16</v>
      </c>
      <c r="BV816" s="46" t="str">
        <f>IF(VLOOKUP(BU816,βοηθητικό!$J$2:$N$354,3,FALSE)="","",VLOOKUP(BU816,βοηθητικό!$J$2:$N$354,3,FALSE))</f>
        <v>_</v>
      </c>
      <c r="BW816" s="47"/>
      <c r="BX816" s="42" t="s">
        <v>16</v>
      </c>
      <c r="BY816" s="43" t="str">
        <f>IF(VLOOKUP(BX816,βοηθητικό!$J$2:$N$354,3,FALSE)="","",VLOOKUP(BX816,βοηθητικό!$J$2:$N$354,3,FALSE))</f>
        <v>_</v>
      </c>
      <c r="BZ816" s="44"/>
      <c r="CA816" s="45" t="s">
        <v>16</v>
      </c>
      <c r="CB816" s="46" t="str">
        <f>IF(VLOOKUP(CA816,βοηθητικό!$J$2:$N$354,3,FALSE)="","",VLOOKUP(CA816,βοηθητικό!$J$2:$N$354,3,FALSE))</f>
        <v>_</v>
      </c>
      <c r="CC816" s="47"/>
      <c r="CD816" s="42" t="s">
        <v>16</v>
      </c>
      <c r="CE816" s="43" t="str">
        <f>IF(VLOOKUP(CD816,βοηθητικό!$J$2:$N$354,3,FALSE)="","",VLOOKUP(CD816,βοηθητικό!$J$2:$N$354,3,FALSE))</f>
        <v>_</v>
      </c>
      <c r="CF816" s="44"/>
      <c r="CG816" s="45" t="s">
        <v>16</v>
      </c>
      <c r="CH816" s="46" t="str">
        <f>IF(VLOOKUP(CG816,βοηθητικό!$J$2:$N$354,3,FALSE)="","",VLOOKUP(CG816,βοηθητικό!$J$2:$N$354,3,FALSE))</f>
        <v>_</v>
      </c>
      <c r="CI816" s="47"/>
      <c r="CJ816" s="42" t="s">
        <v>16</v>
      </c>
      <c r="CK816" s="43" t="str">
        <f>IF(VLOOKUP(CJ816,βοηθητικό!$J$2:$N$354,3,FALSE)="","",VLOOKUP(CJ816,βοηθητικό!$J$2:$N$354,3,FALSE))</f>
        <v>_</v>
      </c>
      <c r="CL816" s="44"/>
      <c r="CM816" s="45" t="s">
        <v>16</v>
      </c>
      <c r="CN816" s="46" t="str">
        <f>IF(VLOOKUP(CM816,βοηθητικό!$J$2:$N$354,3,FALSE)="","",VLOOKUP(CM816,βοηθητικό!$J$2:$N$354,3,FALSE))</f>
        <v>_</v>
      </c>
      <c r="CO816" s="47"/>
      <c r="CP816" s="42" t="s">
        <v>16</v>
      </c>
      <c r="CQ816" s="43" t="str">
        <f>IF(VLOOKUP(CP816,βοηθητικό!$J$2:$N$354,3,FALSE)="","",VLOOKUP(CP816,βοηθητικό!$J$2:$N$354,3,FALSE))</f>
        <v>_</v>
      </c>
      <c r="CR816" s="44"/>
      <c r="CS816" s="45" t="s">
        <v>16</v>
      </c>
      <c r="CT816" s="46" t="str">
        <f>IF(VLOOKUP(CS816,βοηθητικό!$J$2:$N$354,3,FALSE)="","",VLOOKUP(CS816,βοηθητικό!$J$2:$N$354,3,FALSE))</f>
        <v>_</v>
      </c>
      <c r="CU816" s="47"/>
    </row>
    <row r="817" spans="1:99" x14ac:dyDescent="0.25">
      <c r="A817" s="37">
        <f>--SUBTOTAL(3,$B$3:B816)</f>
        <v>198</v>
      </c>
      <c r="B817" s="2"/>
      <c r="C817" s="3"/>
      <c r="D817" s="55" t="s">
        <v>18</v>
      </c>
      <c r="E817" s="38" t="s">
        <v>16</v>
      </c>
      <c r="F817" s="38"/>
      <c r="G817" s="39" t="str">
        <f t="shared" si="38"/>
        <v>__</v>
      </c>
      <c r="H817" s="40" t="str">
        <f t="shared" si="39"/>
        <v>FALSE</v>
      </c>
      <c r="I817" s="41">
        <f t="shared" si="40"/>
        <v>0</v>
      </c>
      <c r="J817" s="4" t="s">
        <v>16</v>
      </c>
      <c r="K817" s="43" t="str">
        <f>IF(VLOOKUP(J817,βοηθητικό!$J$2:$N$354,3,FALSE)="","",VLOOKUP(J817,βοηθητικό!$J$2:$N$354,3,FALSE))</f>
        <v>_</v>
      </c>
      <c r="L817" s="44"/>
      <c r="M817" s="5" t="s">
        <v>16</v>
      </c>
      <c r="N817" s="46" t="str">
        <f>IF(VLOOKUP(M817,βοηθητικό!$J$2:$N$354,3,FALSE)="","",VLOOKUP(M817,βοηθητικό!$J$2:$N$354,3,FALSE))</f>
        <v>_</v>
      </c>
      <c r="O817" s="47"/>
      <c r="P817" s="4" t="s">
        <v>16</v>
      </c>
      <c r="Q817" s="43" t="str">
        <f>IF(VLOOKUP(P817,βοηθητικό!$J$2:$N$354,3,FALSE)="","",VLOOKUP(P817,βοηθητικό!$J$2:$N$354,3,FALSE))</f>
        <v>_</v>
      </c>
      <c r="R817" s="44"/>
      <c r="S817" s="5" t="s">
        <v>16</v>
      </c>
      <c r="T817" s="46" t="str">
        <f>IF(VLOOKUP(S817,βοηθητικό!$J$2:$N$354,3,FALSE)="","",VLOOKUP(S817,βοηθητικό!$J$2:$N$354,3,FALSE))</f>
        <v>_</v>
      </c>
      <c r="U817" s="47"/>
      <c r="V817" s="4" t="s">
        <v>16</v>
      </c>
      <c r="W817" s="43" t="str">
        <f>IF(VLOOKUP(V817,βοηθητικό!$J$2:$N$354,3,FALSE)="","",VLOOKUP(V817,βοηθητικό!$J$2:$N$354,3,FALSE))</f>
        <v>_</v>
      </c>
      <c r="X817" s="44"/>
      <c r="Y817" s="5" t="s">
        <v>16</v>
      </c>
      <c r="Z817" s="46" t="str">
        <f>IF(VLOOKUP(Y817,βοηθητικό!$J$2:$N$354,3,FALSE)="","",VLOOKUP(Y817,βοηθητικό!$J$2:$N$354,3,FALSE))</f>
        <v>_</v>
      </c>
      <c r="AA817" s="47"/>
      <c r="AB817" s="4" t="s">
        <v>16</v>
      </c>
      <c r="AC817" s="43" t="str">
        <f>IF(VLOOKUP(AB817,βοηθητικό!$J$2:$N$354,3,FALSE)="","",VLOOKUP(AB817,βοηθητικό!$J$2:$N$354,3,FALSE))</f>
        <v>_</v>
      </c>
      <c r="AD817" s="44"/>
      <c r="AE817" s="5" t="s">
        <v>16</v>
      </c>
      <c r="AF817" s="46" t="str">
        <f>IF(VLOOKUP(AE817,βοηθητικό!$J$2:$N$354,3,FALSE)="","",VLOOKUP(AE817,βοηθητικό!$J$2:$N$354,3,FALSE))</f>
        <v>_</v>
      </c>
      <c r="AG817" s="47"/>
      <c r="AH817" s="4" t="s">
        <v>16</v>
      </c>
      <c r="AI817" s="43" t="str">
        <f>IF(VLOOKUP(AH817,βοηθητικό!$J$2:$N$354,3,FALSE)="","",VLOOKUP(AH817,βοηθητικό!$J$2:$N$354,3,FALSE))</f>
        <v>_</v>
      </c>
      <c r="AJ817" s="44"/>
      <c r="AK817" s="5" t="s">
        <v>16</v>
      </c>
      <c r="AL817" s="46" t="str">
        <f>IF(VLOOKUP(AK817,βοηθητικό!$J$2:$N$354,3,FALSE)="","",VLOOKUP(AK817,βοηθητικό!$J$2:$N$354,3,FALSE))</f>
        <v>_</v>
      </c>
      <c r="AM817" s="47"/>
      <c r="AN817" s="4" t="s">
        <v>16</v>
      </c>
      <c r="AO817" s="43" t="str">
        <f>IF(VLOOKUP(AN817,βοηθητικό!$J$2:$N$354,3,FALSE)="","",VLOOKUP(AN817,βοηθητικό!$J$2:$N$354,3,FALSE))</f>
        <v>_</v>
      </c>
      <c r="AP817" s="44"/>
      <c r="AQ817" s="5" t="s">
        <v>16</v>
      </c>
      <c r="AR817" s="46" t="str">
        <f>IF(VLOOKUP(AQ817,βοηθητικό!$J$2:$N$354,3,FALSE)="","",VLOOKUP(AQ817,βοηθητικό!$J$2:$N$354,3,FALSE))</f>
        <v>_</v>
      </c>
      <c r="AS817" s="47"/>
      <c r="AT817" s="4" t="s">
        <v>16</v>
      </c>
      <c r="AU817" s="43" t="str">
        <f>IF(VLOOKUP(AT817,βοηθητικό!$J$2:$N$354,3,FALSE)="","",VLOOKUP(AT817,βοηθητικό!$J$2:$N$354,3,FALSE))</f>
        <v>_</v>
      </c>
      <c r="AV817" s="44"/>
      <c r="AW817" s="5" t="s">
        <v>16</v>
      </c>
      <c r="AX817" s="46" t="str">
        <f>IF(VLOOKUP(AW817,βοηθητικό!$J$2:$N$354,3,FALSE)="","",VLOOKUP(AW817,βοηθητικό!$J$2:$N$354,3,FALSE))</f>
        <v>_</v>
      </c>
      <c r="AY817" s="47"/>
      <c r="AZ817" s="4" t="s">
        <v>16</v>
      </c>
      <c r="BA817" s="43" t="str">
        <f>IF(VLOOKUP(AZ817,βοηθητικό!$J$2:$N$354,3,FALSE)="","",VLOOKUP(AZ817,βοηθητικό!$J$2:$N$354,3,FALSE))</f>
        <v>_</v>
      </c>
      <c r="BB817" s="44"/>
      <c r="BC817" s="45" t="s">
        <v>16</v>
      </c>
      <c r="BD817" s="46" t="str">
        <f>IF(VLOOKUP(BC817,βοηθητικό!$J$2:$N$354,3,FALSE)="","",VLOOKUP(BC817,βοηθητικό!$J$2:$N$354,3,FALSE))</f>
        <v>_</v>
      </c>
      <c r="BE817" s="47"/>
      <c r="BF817" s="42" t="s">
        <v>16</v>
      </c>
      <c r="BG817" s="43" t="str">
        <f>IF(VLOOKUP(BF817,βοηθητικό!$J$2:$N$354,3,FALSE)="","",VLOOKUP(BF817,βοηθητικό!$J$2:$N$354,3,FALSE))</f>
        <v>_</v>
      </c>
      <c r="BH817" s="44"/>
      <c r="BI817" s="45" t="s">
        <v>16</v>
      </c>
      <c r="BJ817" s="46" t="str">
        <f>IF(VLOOKUP(BI817,βοηθητικό!$J$2:$N$354,3,FALSE)="","",VLOOKUP(BI817,βοηθητικό!$J$2:$N$354,3,FALSE))</f>
        <v>_</v>
      </c>
      <c r="BK817" s="47"/>
      <c r="BL817" s="42" t="s">
        <v>16</v>
      </c>
      <c r="BM817" s="43" t="str">
        <f>IF(VLOOKUP(BL817,βοηθητικό!$J$2:$N$354,3,FALSE)="","",VLOOKUP(BL817,βοηθητικό!$J$2:$N$354,3,FALSE))</f>
        <v>_</v>
      </c>
      <c r="BN817" s="44"/>
      <c r="BO817" s="45" t="s">
        <v>16</v>
      </c>
      <c r="BP817" s="46" t="str">
        <f>IF(VLOOKUP(BO817,βοηθητικό!$J$2:$N$354,3,FALSE)="","",VLOOKUP(BO817,βοηθητικό!$J$2:$N$354,3,FALSE))</f>
        <v>_</v>
      </c>
      <c r="BQ817" s="47"/>
      <c r="BR817" s="42" t="s">
        <v>16</v>
      </c>
      <c r="BS817" s="43" t="str">
        <f>IF(VLOOKUP(BR817,βοηθητικό!$J$2:$N$354,3,FALSE)="","",VLOOKUP(BR817,βοηθητικό!$J$2:$N$354,3,FALSE))</f>
        <v>_</v>
      </c>
      <c r="BT817" s="44"/>
      <c r="BU817" s="45" t="s">
        <v>16</v>
      </c>
      <c r="BV817" s="46" t="str">
        <f>IF(VLOOKUP(BU817,βοηθητικό!$J$2:$N$354,3,FALSE)="","",VLOOKUP(BU817,βοηθητικό!$J$2:$N$354,3,FALSE))</f>
        <v>_</v>
      </c>
      <c r="BW817" s="47"/>
      <c r="BX817" s="42" t="s">
        <v>16</v>
      </c>
      <c r="BY817" s="43" t="str">
        <f>IF(VLOOKUP(BX817,βοηθητικό!$J$2:$N$354,3,FALSE)="","",VLOOKUP(BX817,βοηθητικό!$J$2:$N$354,3,FALSE))</f>
        <v>_</v>
      </c>
      <c r="BZ817" s="44"/>
      <c r="CA817" s="45" t="s">
        <v>16</v>
      </c>
      <c r="CB817" s="46" t="str">
        <f>IF(VLOOKUP(CA817,βοηθητικό!$J$2:$N$354,3,FALSE)="","",VLOOKUP(CA817,βοηθητικό!$J$2:$N$354,3,FALSE))</f>
        <v>_</v>
      </c>
      <c r="CC817" s="47"/>
      <c r="CD817" s="42" t="s">
        <v>16</v>
      </c>
      <c r="CE817" s="43" t="str">
        <f>IF(VLOOKUP(CD817,βοηθητικό!$J$2:$N$354,3,FALSE)="","",VLOOKUP(CD817,βοηθητικό!$J$2:$N$354,3,FALSE))</f>
        <v>_</v>
      </c>
      <c r="CF817" s="44"/>
      <c r="CG817" s="45" t="s">
        <v>16</v>
      </c>
      <c r="CH817" s="46" t="str">
        <f>IF(VLOOKUP(CG817,βοηθητικό!$J$2:$N$354,3,FALSE)="","",VLOOKUP(CG817,βοηθητικό!$J$2:$N$354,3,FALSE))</f>
        <v>_</v>
      </c>
      <c r="CI817" s="47"/>
      <c r="CJ817" s="42" t="s">
        <v>16</v>
      </c>
      <c r="CK817" s="43" t="str">
        <f>IF(VLOOKUP(CJ817,βοηθητικό!$J$2:$N$354,3,FALSE)="","",VLOOKUP(CJ817,βοηθητικό!$J$2:$N$354,3,FALSE))</f>
        <v>_</v>
      </c>
      <c r="CL817" s="44"/>
      <c r="CM817" s="45" t="s">
        <v>16</v>
      </c>
      <c r="CN817" s="46" t="str">
        <f>IF(VLOOKUP(CM817,βοηθητικό!$J$2:$N$354,3,FALSE)="","",VLOOKUP(CM817,βοηθητικό!$J$2:$N$354,3,FALSE))</f>
        <v>_</v>
      </c>
      <c r="CO817" s="47"/>
      <c r="CP817" s="42" t="s">
        <v>16</v>
      </c>
      <c r="CQ817" s="43" t="str">
        <f>IF(VLOOKUP(CP817,βοηθητικό!$J$2:$N$354,3,FALSE)="","",VLOOKUP(CP817,βοηθητικό!$J$2:$N$354,3,FALSE))</f>
        <v>_</v>
      </c>
      <c r="CR817" s="44"/>
      <c r="CS817" s="45" t="s">
        <v>16</v>
      </c>
      <c r="CT817" s="46" t="str">
        <f>IF(VLOOKUP(CS817,βοηθητικό!$J$2:$N$354,3,FALSE)="","",VLOOKUP(CS817,βοηθητικό!$J$2:$N$354,3,FALSE))</f>
        <v>_</v>
      </c>
      <c r="CU817" s="47"/>
    </row>
    <row r="818" spans="1:99" x14ac:dyDescent="0.25">
      <c r="A818" s="37">
        <f>--SUBTOTAL(3,$B$3:B817)</f>
        <v>198</v>
      </c>
      <c r="B818" s="2"/>
      <c r="C818" s="3"/>
      <c r="D818" s="55" t="s">
        <v>18</v>
      </c>
      <c r="E818" s="38" t="s">
        <v>16</v>
      </c>
      <c r="F818" s="38"/>
      <c r="G818" s="39" t="str">
        <f t="shared" si="38"/>
        <v>__</v>
      </c>
      <c r="H818" s="40" t="str">
        <f t="shared" si="39"/>
        <v>FALSE</v>
      </c>
      <c r="I818" s="41">
        <f t="shared" si="40"/>
        <v>0</v>
      </c>
      <c r="J818" s="4" t="s">
        <v>16</v>
      </c>
      <c r="K818" s="43" t="str">
        <f>IF(VLOOKUP(J818,βοηθητικό!$J$2:$N$354,3,FALSE)="","",VLOOKUP(J818,βοηθητικό!$J$2:$N$354,3,FALSE))</f>
        <v>_</v>
      </c>
      <c r="L818" s="44"/>
      <c r="M818" s="5" t="s">
        <v>16</v>
      </c>
      <c r="N818" s="46" t="str">
        <f>IF(VLOOKUP(M818,βοηθητικό!$J$2:$N$354,3,FALSE)="","",VLOOKUP(M818,βοηθητικό!$J$2:$N$354,3,FALSE))</f>
        <v>_</v>
      </c>
      <c r="O818" s="47"/>
      <c r="P818" s="4" t="s">
        <v>16</v>
      </c>
      <c r="Q818" s="43" t="str">
        <f>IF(VLOOKUP(P818,βοηθητικό!$J$2:$N$354,3,FALSE)="","",VLOOKUP(P818,βοηθητικό!$J$2:$N$354,3,FALSE))</f>
        <v>_</v>
      </c>
      <c r="R818" s="44"/>
      <c r="S818" s="5" t="s">
        <v>16</v>
      </c>
      <c r="T818" s="46" t="str">
        <f>IF(VLOOKUP(S818,βοηθητικό!$J$2:$N$354,3,FALSE)="","",VLOOKUP(S818,βοηθητικό!$J$2:$N$354,3,FALSE))</f>
        <v>_</v>
      </c>
      <c r="U818" s="47"/>
      <c r="V818" s="4" t="s">
        <v>16</v>
      </c>
      <c r="W818" s="43" t="str">
        <f>IF(VLOOKUP(V818,βοηθητικό!$J$2:$N$354,3,FALSE)="","",VLOOKUP(V818,βοηθητικό!$J$2:$N$354,3,FALSE))</f>
        <v>_</v>
      </c>
      <c r="X818" s="44"/>
      <c r="Y818" s="5" t="s">
        <v>16</v>
      </c>
      <c r="Z818" s="46" t="str">
        <f>IF(VLOOKUP(Y818,βοηθητικό!$J$2:$N$354,3,FALSE)="","",VLOOKUP(Y818,βοηθητικό!$J$2:$N$354,3,FALSE))</f>
        <v>_</v>
      </c>
      <c r="AA818" s="47"/>
      <c r="AB818" s="4" t="s">
        <v>16</v>
      </c>
      <c r="AC818" s="43" t="str">
        <f>IF(VLOOKUP(AB818,βοηθητικό!$J$2:$N$354,3,FALSE)="","",VLOOKUP(AB818,βοηθητικό!$J$2:$N$354,3,FALSE))</f>
        <v>_</v>
      </c>
      <c r="AD818" s="44"/>
      <c r="AE818" s="5" t="s">
        <v>16</v>
      </c>
      <c r="AF818" s="46" t="str">
        <f>IF(VLOOKUP(AE818,βοηθητικό!$J$2:$N$354,3,FALSE)="","",VLOOKUP(AE818,βοηθητικό!$J$2:$N$354,3,FALSE))</f>
        <v>_</v>
      </c>
      <c r="AG818" s="47"/>
      <c r="AH818" s="4" t="s">
        <v>16</v>
      </c>
      <c r="AI818" s="43" t="str">
        <f>IF(VLOOKUP(AH818,βοηθητικό!$J$2:$N$354,3,FALSE)="","",VLOOKUP(AH818,βοηθητικό!$J$2:$N$354,3,FALSE))</f>
        <v>_</v>
      </c>
      <c r="AJ818" s="44"/>
      <c r="AK818" s="5" t="s">
        <v>16</v>
      </c>
      <c r="AL818" s="46" t="str">
        <f>IF(VLOOKUP(AK818,βοηθητικό!$J$2:$N$354,3,FALSE)="","",VLOOKUP(AK818,βοηθητικό!$J$2:$N$354,3,FALSE))</f>
        <v>_</v>
      </c>
      <c r="AM818" s="47"/>
      <c r="AN818" s="4" t="s">
        <v>16</v>
      </c>
      <c r="AO818" s="43" t="str">
        <f>IF(VLOOKUP(AN818,βοηθητικό!$J$2:$N$354,3,FALSE)="","",VLOOKUP(AN818,βοηθητικό!$J$2:$N$354,3,FALSE))</f>
        <v>_</v>
      </c>
      <c r="AP818" s="44"/>
      <c r="AQ818" s="5" t="s">
        <v>16</v>
      </c>
      <c r="AR818" s="46" t="str">
        <f>IF(VLOOKUP(AQ818,βοηθητικό!$J$2:$N$354,3,FALSE)="","",VLOOKUP(AQ818,βοηθητικό!$J$2:$N$354,3,FALSE))</f>
        <v>_</v>
      </c>
      <c r="AS818" s="47"/>
      <c r="AT818" s="4" t="s">
        <v>16</v>
      </c>
      <c r="AU818" s="43" t="str">
        <f>IF(VLOOKUP(AT818,βοηθητικό!$J$2:$N$354,3,FALSE)="","",VLOOKUP(AT818,βοηθητικό!$J$2:$N$354,3,FALSE))</f>
        <v>_</v>
      </c>
      <c r="AV818" s="44"/>
      <c r="AW818" s="5" t="s">
        <v>16</v>
      </c>
      <c r="AX818" s="46" t="str">
        <f>IF(VLOOKUP(AW818,βοηθητικό!$J$2:$N$354,3,FALSE)="","",VLOOKUP(AW818,βοηθητικό!$J$2:$N$354,3,FALSE))</f>
        <v>_</v>
      </c>
      <c r="AY818" s="47"/>
      <c r="AZ818" s="4" t="s">
        <v>16</v>
      </c>
      <c r="BA818" s="43" t="str">
        <f>IF(VLOOKUP(AZ818,βοηθητικό!$J$2:$N$354,3,FALSE)="","",VLOOKUP(AZ818,βοηθητικό!$J$2:$N$354,3,FALSE))</f>
        <v>_</v>
      </c>
      <c r="BB818" s="44"/>
      <c r="BC818" s="45" t="s">
        <v>16</v>
      </c>
      <c r="BD818" s="46" t="str">
        <f>IF(VLOOKUP(BC818,βοηθητικό!$J$2:$N$354,3,FALSE)="","",VLOOKUP(BC818,βοηθητικό!$J$2:$N$354,3,FALSE))</f>
        <v>_</v>
      </c>
      <c r="BE818" s="47"/>
      <c r="BF818" s="42" t="s">
        <v>16</v>
      </c>
      <c r="BG818" s="43" t="str">
        <f>IF(VLOOKUP(BF818,βοηθητικό!$J$2:$N$354,3,FALSE)="","",VLOOKUP(BF818,βοηθητικό!$J$2:$N$354,3,FALSE))</f>
        <v>_</v>
      </c>
      <c r="BH818" s="44"/>
      <c r="BI818" s="45" t="s">
        <v>16</v>
      </c>
      <c r="BJ818" s="46" t="str">
        <f>IF(VLOOKUP(BI818,βοηθητικό!$J$2:$N$354,3,FALSE)="","",VLOOKUP(BI818,βοηθητικό!$J$2:$N$354,3,FALSE))</f>
        <v>_</v>
      </c>
      <c r="BK818" s="47"/>
      <c r="BL818" s="42" t="s">
        <v>16</v>
      </c>
      <c r="BM818" s="43" t="str">
        <f>IF(VLOOKUP(BL818,βοηθητικό!$J$2:$N$354,3,FALSE)="","",VLOOKUP(BL818,βοηθητικό!$J$2:$N$354,3,FALSE))</f>
        <v>_</v>
      </c>
      <c r="BN818" s="44"/>
      <c r="BO818" s="45" t="s">
        <v>16</v>
      </c>
      <c r="BP818" s="46" t="str">
        <f>IF(VLOOKUP(BO818,βοηθητικό!$J$2:$N$354,3,FALSE)="","",VLOOKUP(BO818,βοηθητικό!$J$2:$N$354,3,FALSE))</f>
        <v>_</v>
      </c>
      <c r="BQ818" s="47"/>
      <c r="BR818" s="42" t="s">
        <v>16</v>
      </c>
      <c r="BS818" s="43" t="str">
        <f>IF(VLOOKUP(BR818,βοηθητικό!$J$2:$N$354,3,FALSE)="","",VLOOKUP(BR818,βοηθητικό!$J$2:$N$354,3,FALSE))</f>
        <v>_</v>
      </c>
      <c r="BT818" s="44"/>
      <c r="BU818" s="45" t="s">
        <v>16</v>
      </c>
      <c r="BV818" s="46" t="str">
        <f>IF(VLOOKUP(BU818,βοηθητικό!$J$2:$N$354,3,FALSE)="","",VLOOKUP(BU818,βοηθητικό!$J$2:$N$354,3,FALSE))</f>
        <v>_</v>
      </c>
      <c r="BW818" s="47"/>
      <c r="BX818" s="42" t="s">
        <v>16</v>
      </c>
      <c r="BY818" s="43" t="str">
        <f>IF(VLOOKUP(BX818,βοηθητικό!$J$2:$N$354,3,FALSE)="","",VLOOKUP(BX818,βοηθητικό!$J$2:$N$354,3,FALSE))</f>
        <v>_</v>
      </c>
      <c r="BZ818" s="44"/>
      <c r="CA818" s="45" t="s">
        <v>16</v>
      </c>
      <c r="CB818" s="46" t="str">
        <f>IF(VLOOKUP(CA818,βοηθητικό!$J$2:$N$354,3,FALSE)="","",VLOOKUP(CA818,βοηθητικό!$J$2:$N$354,3,FALSE))</f>
        <v>_</v>
      </c>
      <c r="CC818" s="47"/>
      <c r="CD818" s="42" t="s">
        <v>16</v>
      </c>
      <c r="CE818" s="43" t="str">
        <f>IF(VLOOKUP(CD818,βοηθητικό!$J$2:$N$354,3,FALSE)="","",VLOOKUP(CD818,βοηθητικό!$J$2:$N$354,3,FALSE))</f>
        <v>_</v>
      </c>
      <c r="CF818" s="44"/>
      <c r="CG818" s="45" t="s">
        <v>16</v>
      </c>
      <c r="CH818" s="46" t="str">
        <f>IF(VLOOKUP(CG818,βοηθητικό!$J$2:$N$354,3,FALSE)="","",VLOOKUP(CG818,βοηθητικό!$J$2:$N$354,3,FALSE))</f>
        <v>_</v>
      </c>
      <c r="CI818" s="47"/>
      <c r="CJ818" s="42" t="s">
        <v>16</v>
      </c>
      <c r="CK818" s="43" t="str">
        <f>IF(VLOOKUP(CJ818,βοηθητικό!$J$2:$N$354,3,FALSE)="","",VLOOKUP(CJ818,βοηθητικό!$J$2:$N$354,3,FALSE))</f>
        <v>_</v>
      </c>
      <c r="CL818" s="44"/>
      <c r="CM818" s="45" t="s">
        <v>16</v>
      </c>
      <c r="CN818" s="46" t="str">
        <f>IF(VLOOKUP(CM818,βοηθητικό!$J$2:$N$354,3,FALSE)="","",VLOOKUP(CM818,βοηθητικό!$J$2:$N$354,3,FALSE))</f>
        <v>_</v>
      </c>
      <c r="CO818" s="47"/>
      <c r="CP818" s="42" t="s">
        <v>16</v>
      </c>
      <c r="CQ818" s="43" t="str">
        <f>IF(VLOOKUP(CP818,βοηθητικό!$J$2:$N$354,3,FALSE)="","",VLOOKUP(CP818,βοηθητικό!$J$2:$N$354,3,FALSE))</f>
        <v>_</v>
      </c>
      <c r="CR818" s="44"/>
      <c r="CS818" s="45" t="s">
        <v>16</v>
      </c>
      <c r="CT818" s="46" t="str">
        <f>IF(VLOOKUP(CS818,βοηθητικό!$J$2:$N$354,3,FALSE)="","",VLOOKUP(CS818,βοηθητικό!$J$2:$N$354,3,FALSE))</f>
        <v>_</v>
      </c>
      <c r="CU818" s="47"/>
    </row>
    <row r="819" spans="1:99" x14ac:dyDescent="0.25">
      <c r="A819" s="37">
        <f>--SUBTOTAL(3,$B$3:B818)</f>
        <v>198</v>
      </c>
      <c r="B819" s="2"/>
      <c r="C819" s="3"/>
      <c r="D819" s="55" t="s">
        <v>18</v>
      </c>
      <c r="E819" s="38" t="s">
        <v>16</v>
      </c>
      <c r="F819" s="38"/>
      <c r="G819" s="39" t="str">
        <f t="shared" si="38"/>
        <v>__</v>
      </c>
      <c r="H819" s="40" t="str">
        <f t="shared" si="39"/>
        <v>FALSE</v>
      </c>
      <c r="I819" s="41">
        <f t="shared" si="40"/>
        <v>0</v>
      </c>
      <c r="J819" s="4" t="s">
        <v>16</v>
      </c>
      <c r="K819" s="43" t="str">
        <f>IF(VLOOKUP(J819,βοηθητικό!$J$2:$N$354,3,FALSE)="","",VLOOKUP(J819,βοηθητικό!$J$2:$N$354,3,FALSE))</f>
        <v>_</v>
      </c>
      <c r="L819" s="44"/>
      <c r="M819" s="5" t="s">
        <v>16</v>
      </c>
      <c r="N819" s="46" t="str">
        <f>IF(VLOOKUP(M819,βοηθητικό!$J$2:$N$354,3,FALSE)="","",VLOOKUP(M819,βοηθητικό!$J$2:$N$354,3,FALSE))</f>
        <v>_</v>
      </c>
      <c r="O819" s="47"/>
      <c r="P819" s="4" t="s">
        <v>16</v>
      </c>
      <c r="Q819" s="43" t="str">
        <f>IF(VLOOKUP(P819,βοηθητικό!$J$2:$N$354,3,FALSE)="","",VLOOKUP(P819,βοηθητικό!$J$2:$N$354,3,FALSE))</f>
        <v>_</v>
      </c>
      <c r="R819" s="44"/>
      <c r="S819" s="5" t="s">
        <v>16</v>
      </c>
      <c r="T819" s="46" t="str">
        <f>IF(VLOOKUP(S819,βοηθητικό!$J$2:$N$354,3,FALSE)="","",VLOOKUP(S819,βοηθητικό!$J$2:$N$354,3,FALSE))</f>
        <v>_</v>
      </c>
      <c r="U819" s="47"/>
      <c r="V819" s="4" t="s">
        <v>16</v>
      </c>
      <c r="W819" s="43" t="str">
        <f>IF(VLOOKUP(V819,βοηθητικό!$J$2:$N$354,3,FALSE)="","",VLOOKUP(V819,βοηθητικό!$J$2:$N$354,3,FALSE))</f>
        <v>_</v>
      </c>
      <c r="X819" s="44"/>
      <c r="Y819" s="5" t="s">
        <v>16</v>
      </c>
      <c r="Z819" s="46" t="str">
        <f>IF(VLOOKUP(Y819,βοηθητικό!$J$2:$N$354,3,FALSE)="","",VLOOKUP(Y819,βοηθητικό!$J$2:$N$354,3,FALSE))</f>
        <v>_</v>
      </c>
      <c r="AA819" s="47"/>
      <c r="AB819" s="4" t="s">
        <v>16</v>
      </c>
      <c r="AC819" s="43" t="str">
        <f>IF(VLOOKUP(AB819,βοηθητικό!$J$2:$N$354,3,FALSE)="","",VLOOKUP(AB819,βοηθητικό!$J$2:$N$354,3,FALSE))</f>
        <v>_</v>
      </c>
      <c r="AD819" s="44"/>
      <c r="AE819" s="5" t="s">
        <v>16</v>
      </c>
      <c r="AF819" s="46" t="str">
        <f>IF(VLOOKUP(AE819,βοηθητικό!$J$2:$N$354,3,FALSE)="","",VLOOKUP(AE819,βοηθητικό!$J$2:$N$354,3,FALSE))</f>
        <v>_</v>
      </c>
      <c r="AG819" s="47"/>
      <c r="AH819" s="4" t="s">
        <v>16</v>
      </c>
      <c r="AI819" s="43" t="str">
        <f>IF(VLOOKUP(AH819,βοηθητικό!$J$2:$N$354,3,FALSE)="","",VLOOKUP(AH819,βοηθητικό!$J$2:$N$354,3,FALSE))</f>
        <v>_</v>
      </c>
      <c r="AJ819" s="44"/>
      <c r="AK819" s="5" t="s">
        <v>16</v>
      </c>
      <c r="AL819" s="46" t="str">
        <f>IF(VLOOKUP(AK819,βοηθητικό!$J$2:$N$354,3,FALSE)="","",VLOOKUP(AK819,βοηθητικό!$J$2:$N$354,3,FALSE))</f>
        <v>_</v>
      </c>
      <c r="AM819" s="47"/>
      <c r="AN819" s="4" t="s">
        <v>16</v>
      </c>
      <c r="AO819" s="43" t="str">
        <f>IF(VLOOKUP(AN819,βοηθητικό!$J$2:$N$354,3,FALSE)="","",VLOOKUP(AN819,βοηθητικό!$J$2:$N$354,3,FALSE))</f>
        <v>_</v>
      </c>
      <c r="AP819" s="44"/>
      <c r="AQ819" s="5" t="s">
        <v>16</v>
      </c>
      <c r="AR819" s="46" t="str">
        <f>IF(VLOOKUP(AQ819,βοηθητικό!$J$2:$N$354,3,FALSE)="","",VLOOKUP(AQ819,βοηθητικό!$J$2:$N$354,3,FALSE))</f>
        <v>_</v>
      </c>
      <c r="AS819" s="47"/>
      <c r="AT819" s="4" t="s">
        <v>16</v>
      </c>
      <c r="AU819" s="43" t="str">
        <f>IF(VLOOKUP(AT819,βοηθητικό!$J$2:$N$354,3,FALSE)="","",VLOOKUP(AT819,βοηθητικό!$J$2:$N$354,3,FALSE))</f>
        <v>_</v>
      </c>
      <c r="AV819" s="44"/>
      <c r="AW819" s="5" t="s">
        <v>16</v>
      </c>
      <c r="AX819" s="46" t="str">
        <f>IF(VLOOKUP(AW819,βοηθητικό!$J$2:$N$354,3,FALSE)="","",VLOOKUP(AW819,βοηθητικό!$J$2:$N$354,3,FALSE))</f>
        <v>_</v>
      </c>
      <c r="AY819" s="47"/>
      <c r="AZ819" s="4" t="s">
        <v>16</v>
      </c>
      <c r="BA819" s="43" t="str">
        <f>IF(VLOOKUP(AZ819,βοηθητικό!$J$2:$N$354,3,FALSE)="","",VLOOKUP(AZ819,βοηθητικό!$J$2:$N$354,3,FALSE))</f>
        <v>_</v>
      </c>
      <c r="BB819" s="44"/>
      <c r="BC819" s="45" t="s">
        <v>16</v>
      </c>
      <c r="BD819" s="46" t="str">
        <f>IF(VLOOKUP(BC819,βοηθητικό!$J$2:$N$354,3,FALSE)="","",VLOOKUP(BC819,βοηθητικό!$J$2:$N$354,3,FALSE))</f>
        <v>_</v>
      </c>
      <c r="BE819" s="47"/>
      <c r="BF819" s="42" t="s">
        <v>16</v>
      </c>
      <c r="BG819" s="43" t="str">
        <f>IF(VLOOKUP(BF819,βοηθητικό!$J$2:$N$354,3,FALSE)="","",VLOOKUP(BF819,βοηθητικό!$J$2:$N$354,3,FALSE))</f>
        <v>_</v>
      </c>
      <c r="BH819" s="44"/>
      <c r="BI819" s="45" t="s">
        <v>16</v>
      </c>
      <c r="BJ819" s="46" t="str">
        <f>IF(VLOOKUP(BI819,βοηθητικό!$J$2:$N$354,3,FALSE)="","",VLOOKUP(BI819,βοηθητικό!$J$2:$N$354,3,FALSE))</f>
        <v>_</v>
      </c>
      <c r="BK819" s="47"/>
      <c r="BL819" s="42" t="s">
        <v>16</v>
      </c>
      <c r="BM819" s="43" t="str">
        <f>IF(VLOOKUP(BL819,βοηθητικό!$J$2:$N$354,3,FALSE)="","",VLOOKUP(BL819,βοηθητικό!$J$2:$N$354,3,FALSE))</f>
        <v>_</v>
      </c>
      <c r="BN819" s="44"/>
      <c r="BO819" s="45" t="s">
        <v>16</v>
      </c>
      <c r="BP819" s="46" t="str">
        <f>IF(VLOOKUP(BO819,βοηθητικό!$J$2:$N$354,3,FALSE)="","",VLOOKUP(BO819,βοηθητικό!$J$2:$N$354,3,FALSE))</f>
        <v>_</v>
      </c>
      <c r="BQ819" s="47"/>
      <c r="BR819" s="42" t="s">
        <v>16</v>
      </c>
      <c r="BS819" s="43" t="str">
        <f>IF(VLOOKUP(BR819,βοηθητικό!$J$2:$N$354,3,FALSE)="","",VLOOKUP(BR819,βοηθητικό!$J$2:$N$354,3,FALSE))</f>
        <v>_</v>
      </c>
      <c r="BT819" s="44"/>
      <c r="BU819" s="45" t="s">
        <v>16</v>
      </c>
      <c r="BV819" s="46" t="str">
        <f>IF(VLOOKUP(BU819,βοηθητικό!$J$2:$N$354,3,FALSE)="","",VLOOKUP(BU819,βοηθητικό!$J$2:$N$354,3,FALSE))</f>
        <v>_</v>
      </c>
      <c r="BW819" s="47"/>
      <c r="BX819" s="42" t="s">
        <v>16</v>
      </c>
      <c r="BY819" s="43" t="str">
        <f>IF(VLOOKUP(BX819,βοηθητικό!$J$2:$N$354,3,FALSE)="","",VLOOKUP(BX819,βοηθητικό!$J$2:$N$354,3,FALSE))</f>
        <v>_</v>
      </c>
      <c r="BZ819" s="44"/>
      <c r="CA819" s="45" t="s">
        <v>16</v>
      </c>
      <c r="CB819" s="46" t="str">
        <f>IF(VLOOKUP(CA819,βοηθητικό!$J$2:$N$354,3,FALSE)="","",VLOOKUP(CA819,βοηθητικό!$J$2:$N$354,3,FALSE))</f>
        <v>_</v>
      </c>
      <c r="CC819" s="47"/>
      <c r="CD819" s="42" t="s">
        <v>16</v>
      </c>
      <c r="CE819" s="43" t="str">
        <f>IF(VLOOKUP(CD819,βοηθητικό!$J$2:$N$354,3,FALSE)="","",VLOOKUP(CD819,βοηθητικό!$J$2:$N$354,3,FALSE))</f>
        <v>_</v>
      </c>
      <c r="CF819" s="44"/>
      <c r="CG819" s="45" t="s">
        <v>16</v>
      </c>
      <c r="CH819" s="46" t="str">
        <f>IF(VLOOKUP(CG819,βοηθητικό!$J$2:$N$354,3,FALSE)="","",VLOOKUP(CG819,βοηθητικό!$J$2:$N$354,3,FALSE))</f>
        <v>_</v>
      </c>
      <c r="CI819" s="47"/>
      <c r="CJ819" s="42" t="s">
        <v>16</v>
      </c>
      <c r="CK819" s="43" t="str">
        <f>IF(VLOOKUP(CJ819,βοηθητικό!$J$2:$N$354,3,FALSE)="","",VLOOKUP(CJ819,βοηθητικό!$J$2:$N$354,3,FALSE))</f>
        <v>_</v>
      </c>
      <c r="CL819" s="44"/>
      <c r="CM819" s="45" t="s">
        <v>16</v>
      </c>
      <c r="CN819" s="46" t="str">
        <f>IF(VLOOKUP(CM819,βοηθητικό!$J$2:$N$354,3,FALSE)="","",VLOOKUP(CM819,βοηθητικό!$J$2:$N$354,3,FALSE))</f>
        <v>_</v>
      </c>
      <c r="CO819" s="47"/>
      <c r="CP819" s="42" t="s">
        <v>16</v>
      </c>
      <c r="CQ819" s="43" t="str">
        <f>IF(VLOOKUP(CP819,βοηθητικό!$J$2:$N$354,3,FALSE)="","",VLOOKUP(CP819,βοηθητικό!$J$2:$N$354,3,FALSE))</f>
        <v>_</v>
      </c>
      <c r="CR819" s="44"/>
      <c r="CS819" s="45" t="s">
        <v>16</v>
      </c>
      <c r="CT819" s="46" t="str">
        <f>IF(VLOOKUP(CS819,βοηθητικό!$J$2:$N$354,3,FALSE)="","",VLOOKUP(CS819,βοηθητικό!$J$2:$N$354,3,FALSE))</f>
        <v>_</v>
      </c>
      <c r="CU819" s="47"/>
    </row>
    <row r="820" spans="1:99" x14ac:dyDescent="0.25">
      <c r="A820" s="37">
        <f>--SUBTOTAL(3,$B$3:B819)</f>
        <v>198</v>
      </c>
      <c r="B820" s="2"/>
      <c r="C820" s="3"/>
      <c r="D820" s="55" t="s">
        <v>18</v>
      </c>
      <c r="E820" s="38" t="s">
        <v>16</v>
      </c>
      <c r="F820" s="38"/>
      <c r="G820" s="39" t="str">
        <f t="shared" si="38"/>
        <v>__</v>
      </c>
      <c r="H820" s="40" t="str">
        <f t="shared" si="39"/>
        <v>FALSE</v>
      </c>
      <c r="I820" s="41">
        <f t="shared" si="40"/>
        <v>0</v>
      </c>
      <c r="J820" s="4" t="s">
        <v>16</v>
      </c>
      <c r="K820" s="43" t="str">
        <f>IF(VLOOKUP(J820,βοηθητικό!$J$2:$N$354,3,FALSE)="","",VLOOKUP(J820,βοηθητικό!$J$2:$N$354,3,FALSE))</f>
        <v>_</v>
      </c>
      <c r="L820" s="44"/>
      <c r="M820" s="5" t="s">
        <v>16</v>
      </c>
      <c r="N820" s="46" t="str">
        <f>IF(VLOOKUP(M820,βοηθητικό!$J$2:$N$354,3,FALSE)="","",VLOOKUP(M820,βοηθητικό!$J$2:$N$354,3,FALSE))</f>
        <v>_</v>
      </c>
      <c r="O820" s="47"/>
      <c r="P820" s="4" t="s">
        <v>16</v>
      </c>
      <c r="Q820" s="43" t="str">
        <f>IF(VLOOKUP(P820,βοηθητικό!$J$2:$N$354,3,FALSE)="","",VLOOKUP(P820,βοηθητικό!$J$2:$N$354,3,FALSE))</f>
        <v>_</v>
      </c>
      <c r="R820" s="44"/>
      <c r="S820" s="5" t="s">
        <v>16</v>
      </c>
      <c r="T820" s="46" t="str">
        <f>IF(VLOOKUP(S820,βοηθητικό!$J$2:$N$354,3,FALSE)="","",VLOOKUP(S820,βοηθητικό!$J$2:$N$354,3,FALSE))</f>
        <v>_</v>
      </c>
      <c r="U820" s="47"/>
      <c r="V820" s="4" t="s">
        <v>16</v>
      </c>
      <c r="W820" s="43" t="str">
        <f>IF(VLOOKUP(V820,βοηθητικό!$J$2:$N$354,3,FALSE)="","",VLOOKUP(V820,βοηθητικό!$J$2:$N$354,3,FALSE))</f>
        <v>_</v>
      </c>
      <c r="X820" s="44"/>
      <c r="Y820" s="5" t="s">
        <v>16</v>
      </c>
      <c r="Z820" s="46" t="str">
        <f>IF(VLOOKUP(Y820,βοηθητικό!$J$2:$N$354,3,FALSE)="","",VLOOKUP(Y820,βοηθητικό!$J$2:$N$354,3,FALSE))</f>
        <v>_</v>
      </c>
      <c r="AA820" s="47"/>
      <c r="AB820" s="4" t="s">
        <v>16</v>
      </c>
      <c r="AC820" s="43" t="str">
        <f>IF(VLOOKUP(AB820,βοηθητικό!$J$2:$N$354,3,FALSE)="","",VLOOKUP(AB820,βοηθητικό!$J$2:$N$354,3,FALSE))</f>
        <v>_</v>
      </c>
      <c r="AD820" s="44"/>
      <c r="AE820" s="5" t="s">
        <v>16</v>
      </c>
      <c r="AF820" s="46" t="str">
        <f>IF(VLOOKUP(AE820,βοηθητικό!$J$2:$N$354,3,FALSE)="","",VLOOKUP(AE820,βοηθητικό!$J$2:$N$354,3,FALSE))</f>
        <v>_</v>
      </c>
      <c r="AG820" s="47"/>
      <c r="AH820" s="4" t="s">
        <v>16</v>
      </c>
      <c r="AI820" s="43" t="str">
        <f>IF(VLOOKUP(AH820,βοηθητικό!$J$2:$N$354,3,FALSE)="","",VLOOKUP(AH820,βοηθητικό!$J$2:$N$354,3,FALSE))</f>
        <v>_</v>
      </c>
      <c r="AJ820" s="44"/>
      <c r="AK820" s="5" t="s">
        <v>16</v>
      </c>
      <c r="AL820" s="46" t="str">
        <f>IF(VLOOKUP(AK820,βοηθητικό!$J$2:$N$354,3,FALSE)="","",VLOOKUP(AK820,βοηθητικό!$J$2:$N$354,3,FALSE))</f>
        <v>_</v>
      </c>
      <c r="AM820" s="47"/>
      <c r="AN820" s="4" t="s">
        <v>16</v>
      </c>
      <c r="AO820" s="43" t="str">
        <f>IF(VLOOKUP(AN820,βοηθητικό!$J$2:$N$354,3,FALSE)="","",VLOOKUP(AN820,βοηθητικό!$J$2:$N$354,3,FALSE))</f>
        <v>_</v>
      </c>
      <c r="AP820" s="44"/>
      <c r="AQ820" s="5" t="s">
        <v>16</v>
      </c>
      <c r="AR820" s="46" t="str">
        <f>IF(VLOOKUP(AQ820,βοηθητικό!$J$2:$N$354,3,FALSE)="","",VLOOKUP(AQ820,βοηθητικό!$J$2:$N$354,3,FALSE))</f>
        <v>_</v>
      </c>
      <c r="AS820" s="47"/>
      <c r="AT820" s="4" t="s">
        <v>16</v>
      </c>
      <c r="AU820" s="43" t="str">
        <f>IF(VLOOKUP(AT820,βοηθητικό!$J$2:$N$354,3,FALSE)="","",VLOOKUP(AT820,βοηθητικό!$J$2:$N$354,3,FALSE))</f>
        <v>_</v>
      </c>
      <c r="AV820" s="44"/>
      <c r="AW820" s="5" t="s">
        <v>16</v>
      </c>
      <c r="AX820" s="46" t="str">
        <f>IF(VLOOKUP(AW820,βοηθητικό!$J$2:$N$354,3,FALSE)="","",VLOOKUP(AW820,βοηθητικό!$J$2:$N$354,3,FALSE))</f>
        <v>_</v>
      </c>
      <c r="AY820" s="47"/>
      <c r="AZ820" s="4" t="s">
        <v>16</v>
      </c>
      <c r="BA820" s="43" t="str">
        <f>IF(VLOOKUP(AZ820,βοηθητικό!$J$2:$N$354,3,FALSE)="","",VLOOKUP(AZ820,βοηθητικό!$J$2:$N$354,3,FALSE))</f>
        <v>_</v>
      </c>
      <c r="BB820" s="44"/>
      <c r="BC820" s="45" t="s">
        <v>16</v>
      </c>
      <c r="BD820" s="46" t="str">
        <f>IF(VLOOKUP(BC820,βοηθητικό!$J$2:$N$354,3,FALSE)="","",VLOOKUP(BC820,βοηθητικό!$J$2:$N$354,3,FALSE))</f>
        <v>_</v>
      </c>
      <c r="BE820" s="47"/>
      <c r="BF820" s="42" t="s">
        <v>16</v>
      </c>
      <c r="BG820" s="43" t="str">
        <f>IF(VLOOKUP(BF820,βοηθητικό!$J$2:$N$354,3,FALSE)="","",VLOOKUP(BF820,βοηθητικό!$J$2:$N$354,3,FALSE))</f>
        <v>_</v>
      </c>
      <c r="BH820" s="44"/>
      <c r="BI820" s="45" t="s">
        <v>16</v>
      </c>
      <c r="BJ820" s="46" t="str">
        <f>IF(VLOOKUP(BI820,βοηθητικό!$J$2:$N$354,3,FALSE)="","",VLOOKUP(BI820,βοηθητικό!$J$2:$N$354,3,FALSE))</f>
        <v>_</v>
      </c>
      <c r="BK820" s="47"/>
      <c r="BL820" s="42" t="s">
        <v>16</v>
      </c>
      <c r="BM820" s="43" t="str">
        <f>IF(VLOOKUP(BL820,βοηθητικό!$J$2:$N$354,3,FALSE)="","",VLOOKUP(BL820,βοηθητικό!$J$2:$N$354,3,FALSE))</f>
        <v>_</v>
      </c>
      <c r="BN820" s="44"/>
      <c r="BO820" s="45" t="s">
        <v>16</v>
      </c>
      <c r="BP820" s="46" t="str">
        <f>IF(VLOOKUP(BO820,βοηθητικό!$J$2:$N$354,3,FALSE)="","",VLOOKUP(BO820,βοηθητικό!$J$2:$N$354,3,FALSE))</f>
        <v>_</v>
      </c>
      <c r="BQ820" s="47"/>
      <c r="BR820" s="42" t="s">
        <v>16</v>
      </c>
      <c r="BS820" s="43" t="str">
        <f>IF(VLOOKUP(BR820,βοηθητικό!$J$2:$N$354,3,FALSE)="","",VLOOKUP(BR820,βοηθητικό!$J$2:$N$354,3,FALSE))</f>
        <v>_</v>
      </c>
      <c r="BT820" s="44"/>
      <c r="BU820" s="45" t="s">
        <v>16</v>
      </c>
      <c r="BV820" s="46" t="str">
        <f>IF(VLOOKUP(BU820,βοηθητικό!$J$2:$N$354,3,FALSE)="","",VLOOKUP(BU820,βοηθητικό!$J$2:$N$354,3,FALSE))</f>
        <v>_</v>
      </c>
      <c r="BW820" s="47"/>
      <c r="BX820" s="42" t="s">
        <v>16</v>
      </c>
      <c r="BY820" s="43" t="str">
        <f>IF(VLOOKUP(BX820,βοηθητικό!$J$2:$N$354,3,FALSE)="","",VLOOKUP(BX820,βοηθητικό!$J$2:$N$354,3,FALSE))</f>
        <v>_</v>
      </c>
      <c r="BZ820" s="44"/>
      <c r="CA820" s="45" t="s">
        <v>16</v>
      </c>
      <c r="CB820" s="46" t="str">
        <f>IF(VLOOKUP(CA820,βοηθητικό!$J$2:$N$354,3,FALSE)="","",VLOOKUP(CA820,βοηθητικό!$J$2:$N$354,3,FALSE))</f>
        <v>_</v>
      </c>
      <c r="CC820" s="47"/>
      <c r="CD820" s="42" t="s">
        <v>16</v>
      </c>
      <c r="CE820" s="43" t="str">
        <f>IF(VLOOKUP(CD820,βοηθητικό!$J$2:$N$354,3,FALSE)="","",VLOOKUP(CD820,βοηθητικό!$J$2:$N$354,3,FALSE))</f>
        <v>_</v>
      </c>
      <c r="CF820" s="44"/>
      <c r="CG820" s="45" t="s">
        <v>16</v>
      </c>
      <c r="CH820" s="46" t="str">
        <f>IF(VLOOKUP(CG820,βοηθητικό!$J$2:$N$354,3,FALSE)="","",VLOOKUP(CG820,βοηθητικό!$J$2:$N$354,3,FALSE))</f>
        <v>_</v>
      </c>
      <c r="CI820" s="47"/>
      <c r="CJ820" s="42" t="s">
        <v>16</v>
      </c>
      <c r="CK820" s="43" t="str">
        <f>IF(VLOOKUP(CJ820,βοηθητικό!$J$2:$N$354,3,FALSE)="","",VLOOKUP(CJ820,βοηθητικό!$J$2:$N$354,3,FALSE))</f>
        <v>_</v>
      </c>
      <c r="CL820" s="44"/>
      <c r="CM820" s="45" t="s">
        <v>16</v>
      </c>
      <c r="CN820" s="46" t="str">
        <f>IF(VLOOKUP(CM820,βοηθητικό!$J$2:$N$354,3,FALSE)="","",VLOOKUP(CM820,βοηθητικό!$J$2:$N$354,3,FALSE))</f>
        <v>_</v>
      </c>
      <c r="CO820" s="47"/>
      <c r="CP820" s="42" t="s">
        <v>16</v>
      </c>
      <c r="CQ820" s="43" t="str">
        <f>IF(VLOOKUP(CP820,βοηθητικό!$J$2:$N$354,3,FALSE)="","",VLOOKUP(CP820,βοηθητικό!$J$2:$N$354,3,FALSE))</f>
        <v>_</v>
      </c>
      <c r="CR820" s="44"/>
      <c r="CS820" s="45" t="s">
        <v>16</v>
      </c>
      <c r="CT820" s="46" t="str">
        <f>IF(VLOOKUP(CS820,βοηθητικό!$J$2:$N$354,3,FALSE)="","",VLOOKUP(CS820,βοηθητικό!$J$2:$N$354,3,FALSE))</f>
        <v>_</v>
      </c>
      <c r="CU820" s="47"/>
    </row>
    <row r="821" spans="1:99" x14ac:dyDescent="0.25">
      <c r="A821" s="37">
        <f>--SUBTOTAL(3,$B$3:B820)</f>
        <v>198</v>
      </c>
      <c r="B821" s="2"/>
      <c r="C821" s="3"/>
      <c r="D821" s="55" t="s">
        <v>18</v>
      </c>
      <c r="E821" s="38" t="s">
        <v>16</v>
      </c>
      <c r="F821" s="38"/>
      <c r="G821" s="39" t="str">
        <f t="shared" si="38"/>
        <v>__</v>
      </c>
      <c r="H821" s="40" t="str">
        <f t="shared" si="39"/>
        <v>FALSE</v>
      </c>
      <c r="I821" s="41">
        <f t="shared" si="40"/>
        <v>0</v>
      </c>
      <c r="J821" s="4" t="s">
        <v>16</v>
      </c>
      <c r="K821" s="43" t="str">
        <f>IF(VLOOKUP(J821,βοηθητικό!$J$2:$N$354,3,FALSE)="","",VLOOKUP(J821,βοηθητικό!$J$2:$N$354,3,FALSE))</f>
        <v>_</v>
      </c>
      <c r="L821" s="44"/>
      <c r="M821" s="5" t="s">
        <v>16</v>
      </c>
      <c r="N821" s="46" t="str">
        <f>IF(VLOOKUP(M821,βοηθητικό!$J$2:$N$354,3,FALSE)="","",VLOOKUP(M821,βοηθητικό!$J$2:$N$354,3,FALSE))</f>
        <v>_</v>
      </c>
      <c r="O821" s="47"/>
      <c r="P821" s="4" t="s">
        <v>16</v>
      </c>
      <c r="Q821" s="43" t="str">
        <f>IF(VLOOKUP(P821,βοηθητικό!$J$2:$N$354,3,FALSE)="","",VLOOKUP(P821,βοηθητικό!$J$2:$N$354,3,FALSE))</f>
        <v>_</v>
      </c>
      <c r="R821" s="44"/>
      <c r="S821" s="5" t="s">
        <v>16</v>
      </c>
      <c r="T821" s="46" t="str">
        <f>IF(VLOOKUP(S821,βοηθητικό!$J$2:$N$354,3,FALSE)="","",VLOOKUP(S821,βοηθητικό!$J$2:$N$354,3,FALSE))</f>
        <v>_</v>
      </c>
      <c r="U821" s="47"/>
      <c r="V821" s="4" t="s">
        <v>16</v>
      </c>
      <c r="W821" s="43" t="str">
        <f>IF(VLOOKUP(V821,βοηθητικό!$J$2:$N$354,3,FALSE)="","",VLOOKUP(V821,βοηθητικό!$J$2:$N$354,3,FALSE))</f>
        <v>_</v>
      </c>
      <c r="X821" s="44"/>
      <c r="Y821" s="5" t="s">
        <v>16</v>
      </c>
      <c r="Z821" s="46" t="str">
        <f>IF(VLOOKUP(Y821,βοηθητικό!$J$2:$N$354,3,FALSE)="","",VLOOKUP(Y821,βοηθητικό!$J$2:$N$354,3,FALSE))</f>
        <v>_</v>
      </c>
      <c r="AA821" s="47"/>
      <c r="AB821" s="4" t="s">
        <v>16</v>
      </c>
      <c r="AC821" s="43" t="str">
        <f>IF(VLOOKUP(AB821,βοηθητικό!$J$2:$N$354,3,FALSE)="","",VLOOKUP(AB821,βοηθητικό!$J$2:$N$354,3,FALSE))</f>
        <v>_</v>
      </c>
      <c r="AD821" s="44"/>
      <c r="AE821" s="5" t="s">
        <v>16</v>
      </c>
      <c r="AF821" s="46" t="str">
        <f>IF(VLOOKUP(AE821,βοηθητικό!$J$2:$N$354,3,FALSE)="","",VLOOKUP(AE821,βοηθητικό!$J$2:$N$354,3,FALSE))</f>
        <v>_</v>
      </c>
      <c r="AG821" s="47"/>
      <c r="AH821" s="4" t="s">
        <v>16</v>
      </c>
      <c r="AI821" s="43" t="str">
        <f>IF(VLOOKUP(AH821,βοηθητικό!$J$2:$N$354,3,FALSE)="","",VLOOKUP(AH821,βοηθητικό!$J$2:$N$354,3,FALSE))</f>
        <v>_</v>
      </c>
      <c r="AJ821" s="44"/>
      <c r="AK821" s="5" t="s">
        <v>16</v>
      </c>
      <c r="AL821" s="46" t="str">
        <f>IF(VLOOKUP(AK821,βοηθητικό!$J$2:$N$354,3,FALSE)="","",VLOOKUP(AK821,βοηθητικό!$J$2:$N$354,3,FALSE))</f>
        <v>_</v>
      </c>
      <c r="AM821" s="47"/>
      <c r="AN821" s="4" t="s">
        <v>16</v>
      </c>
      <c r="AO821" s="43" t="str">
        <f>IF(VLOOKUP(AN821,βοηθητικό!$J$2:$N$354,3,FALSE)="","",VLOOKUP(AN821,βοηθητικό!$J$2:$N$354,3,FALSE))</f>
        <v>_</v>
      </c>
      <c r="AP821" s="44"/>
      <c r="AQ821" s="5" t="s">
        <v>16</v>
      </c>
      <c r="AR821" s="46" t="str">
        <f>IF(VLOOKUP(AQ821,βοηθητικό!$J$2:$N$354,3,FALSE)="","",VLOOKUP(AQ821,βοηθητικό!$J$2:$N$354,3,FALSE))</f>
        <v>_</v>
      </c>
      <c r="AS821" s="47"/>
      <c r="AT821" s="4" t="s">
        <v>16</v>
      </c>
      <c r="AU821" s="43" t="str">
        <f>IF(VLOOKUP(AT821,βοηθητικό!$J$2:$N$354,3,FALSE)="","",VLOOKUP(AT821,βοηθητικό!$J$2:$N$354,3,FALSE))</f>
        <v>_</v>
      </c>
      <c r="AV821" s="44"/>
      <c r="AW821" s="5" t="s">
        <v>16</v>
      </c>
      <c r="AX821" s="46" t="str">
        <f>IF(VLOOKUP(AW821,βοηθητικό!$J$2:$N$354,3,FALSE)="","",VLOOKUP(AW821,βοηθητικό!$J$2:$N$354,3,FALSE))</f>
        <v>_</v>
      </c>
      <c r="AY821" s="47"/>
      <c r="AZ821" s="4" t="s">
        <v>16</v>
      </c>
      <c r="BA821" s="43" t="str">
        <f>IF(VLOOKUP(AZ821,βοηθητικό!$J$2:$N$354,3,FALSE)="","",VLOOKUP(AZ821,βοηθητικό!$J$2:$N$354,3,FALSE))</f>
        <v>_</v>
      </c>
      <c r="BB821" s="44"/>
      <c r="BC821" s="45" t="s">
        <v>16</v>
      </c>
      <c r="BD821" s="46" t="str">
        <f>IF(VLOOKUP(BC821,βοηθητικό!$J$2:$N$354,3,FALSE)="","",VLOOKUP(BC821,βοηθητικό!$J$2:$N$354,3,FALSE))</f>
        <v>_</v>
      </c>
      <c r="BE821" s="47"/>
      <c r="BF821" s="42" t="s">
        <v>16</v>
      </c>
      <c r="BG821" s="43" t="str">
        <f>IF(VLOOKUP(BF821,βοηθητικό!$J$2:$N$354,3,FALSE)="","",VLOOKUP(BF821,βοηθητικό!$J$2:$N$354,3,FALSE))</f>
        <v>_</v>
      </c>
      <c r="BH821" s="44"/>
      <c r="BI821" s="45" t="s">
        <v>16</v>
      </c>
      <c r="BJ821" s="46" t="str">
        <f>IF(VLOOKUP(BI821,βοηθητικό!$J$2:$N$354,3,FALSE)="","",VLOOKUP(BI821,βοηθητικό!$J$2:$N$354,3,FALSE))</f>
        <v>_</v>
      </c>
      <c r="BK821" s="47"/>
      <c r="BL821" s="42" t="s">
        <v>16</v>
      </c>
      <c r="BM821" s="43" t="str">
        <f>IF(VLOOKUP(BL821,βοηθητικό!$J$2:$N$354,3,FALSE)="","",VLOOKUP(BL821,βοηθητικό!$J$2:$N$354,3,FALSE))</f>
        <v>_</v>
      </c>
      <c r="BN821" s="44"/>
      <c r="BO821" s="45" t="s">
        <v>16</v>
      </c>
      <c r="BP821" s="46" t="str">
        <f>IF(VLOOKUP(BO821,βοηθητικό!$J$2:$N$354,3,FALSE)="","",VLOOKUP(BO821,βοηθητικό!$J$2:$N$354,3,FALSE))</f>
        <v>_</v>
      </c>
      <c r="BQ821" s="47"/>
      <c r="BR821" s="42" t="s">
        <v>16</v>
      </c>
      <c r="BS821" s="43" t="str">
        <f>IF(VLOOKUP(BR821,βοηθητικό!$J$2:$N$354,3,FALSE)="","",VLOOKUP(BR821,βοηθητικό!$J$2:$N$354,3,FALSE))</f>
        <v>_</v>
      </c>
      <c r="BT821" s="44"/>
      <c r="BU821" s="45" t="s">
        <v>16</v>
      </c>
      <c r="BV821" s="46" t="str">
        <f>IF(VLOOKUP(BU821,βοηθητικό!$J$2:$N$354,3,FALSE)="","",VLOOKUP(BU821,βοηθητικό!$J$2:$N$354,3,FALSE))</f>
        <v>_</v>
      </c>
      <c r="BW821" s="47"/>
      <c r="BX821" s="42" t="s">
        <v>16</v>
      </c>
      <c r="BY821" s="43" t="str">
        <f>IF(VLOOKUP(BX821,βοηθητικό!$J$2:$N$354,3,FALSE)="","",VLOOKUP(BX821,βοηθητικό!$J$2:$N$354,3,FALSE))</f>
        <v>_</v>
      </c>
      <c r="BZ821" s="44"/>
      <c r="CA821" s="45" t="s">
        <v>16</v>
      </c>
      <c r="CB821" s="46" t="str">
        <f>IF(VLOOKUP(CA821,βοηθητικό!$J$2:$N$354,3,FALSE)="","",VLOOKUP(CA821,βοηθητικό!$J$2:$N$354,3,FALSE))</f>
        <v>_</v>
      </c>
      <c r="CC821" s="47"/>
      <c r="CD821" s="42" t="s">
        <v>16</v>
      </c>
      <c r="CE821" s="43" t="str">
        <f>IF(VLOOKUP(CD821,βοηθητικό!$J$2:$N$354,3,FALSE)="","",VLOOKUP(CD821,βοηθητικό!$J$2:$N$354,3,FALSE))</f>
        <v>_</v>
      </c>
      <c r="CF821" s="44"/>
      <c r="CG821" s="45" t="s">
        <v>16</v>
      </c>
      <c r="CH821" s="46" t="str">
        <f>IF(VLOOKUP(CG821,βοηθητικό!$J$2:$N$354,3,FALSE)="","",VLOOKUP(CG821,βοηθητικό!$J$2:$N$354,3,FALSE))</f>
        <v>_</v>
      </c>
      <c r="CI821" s="47"/>
      <c r="CJ821" s="42" t="s">
        <v>16</v>
      </c>
      <c r="CK821" s="43" t="str">
        <f>IF(VLOOKUP(CJ821,βοηθητικό!$J$2:$N$354,3,FALSE)="","",VLOOKUP(CJ821,βοηθητικό!$J$2:$N$354,3,FALSE))</f>
        <v>_</v>
      </c>
      <c r="CL821" s="44"/>
      <c r="CM821" s="45" t="s">
        <v>16</v>
      </c>
      <c r="CN821" s="46" t="str">
        <f>IF(VLOOKUP(CM821,βοηθητικό!$J$2:$N$354,3,FALSE)="","",VLOOKUP(CM821,βοηθητικό!$J$2:$N$354,3,FALSE))</f>
        <v>_</v>
      </c>
      <c r="CO821" s="47"/>
      <c r="CP821" s="42" t="s">
        <v>16</v>
      </c>
      <c r="CQ821" s="43" t="str">
        <f>IF(VLOOKUP(CP821,βοηθητικό!$J$2:$N$354,3,FALSE)="","",VLOOKUP(CP821,βοηθητικό!$J$2:$N$354,3,FALSE))</f>
        <v>_</v>
      </c>
      <c r="CR821" s="44"/>
      <c r="CS821" s="45" t="s">
        <v>16</v>
      </c>
      <c r="CT821" s="46" t="str">
        <f>IF(VLOOKUP(CS821,βοηθητικό!$J$2:$N$354,3,FALSE)="","",VLOOKUP(CS821,βοηθητικό!$J$2:$N$354,3,FALSE))</f>
        <v>_</v>
      </c>
      <c r="CU821" s="47"/>
    </row>
    <row r="822" spans="1:99" x14ac:dyDescent="0.25">
      <c r="A822" s="37">
        <f>--SUBTOTAL(3,$B$3:B821)</f>
        <v>198</v>
      </c>
      <c r="B822" s="2"/>
      <c r="C822" s="3"/>
      <c r="D822" s="55" t="s">
        <v>18</v>
      </c>
      <c r="E822" s="38" t="s">
        <v>16</v>
      </c>
      <c r="F822" s="38"/>
      <c r="G822" s="39" t="str">
        <f t="shared" si="38"/>
        <v>__</v>
      </c>
      <c r="H822" s="40" t="str">
        <f t="shared" si="39"/>
        <v>FALSE</v>
      </c>
      <c r="I822" s="41">
        <f t="shared" si="40"/>
        <v>0</v>
      </c>
      <c r="J822" s="4" t="s">
        <v>16</v>
      </c>
      <c r="K822" s="43" t="str">
        <f>IF(VLOOKUP(J822,βοηθητικό!$J$2:$N$354,3,FALSE)="","",VLOOKUP(J822,βοηθητικό!$J$2:$N$354,3,FALSE))</f>
        <v>_</v>
      </c>
      <c r="L822" s="44"/>
      <c r="M822" s="5" t="s">
        <v>16</v>
      </c>
      <c r="N822" s="46" t="str">
        <f>IF(VLOOKUP(M822,βοηθητικό!$J$2:$N$354,3,FALSE)="","",VLOOKUP(M822,βοηθητικό!$J$2:$N$354,3,FALSE))</f>
        <v>_</v>
      </c>
      <c r="O822" s="47"/>
      <c r="P822" s="4" t="s">
        <v>16</v>
      </c>
      <c r="Q822" s="43" t="str">
        <f>IF(VLOOKUP(P822,βοηθητικό!$J$2:$N$354,3,FALSE)="","",VLOOKUP(P822,βοηθητικό!$J$2:$N$354,3,FALSE))</f>
        <v>_</v>
      </c>
      <c r="R822" s="44"/>
      <c r="S822" s="5" t="s">
        <v>16</v>
      </c>
      <c r="T822" s="46" t="str">
        <f>IF(VLOOKUP(S822,βοηθητικό!$J$2:$N$354,3,FALSE)="","",VLOOKUP(S822,βοηθητικό!$J$2:$N$354,3,FALSE))</f>
        <v>_</v>
      </c>
      <c r="U822" s="47"/>
      <c r="V822" s="4" t="s">
        <v>16</v>
      </c>
      <c r="W822" s="43" t="str">
        <f>IF(VLOOKUP(V822,βοηθητικό!$J$2:$N$354,3,FALSE)="","",VLOOKUP(V822,βοηθητικό!$J$2:$N$354,3,FALSE))</f>
        <v>_</v>
      </c>
      <c r="X822" s="44"/>
      <c r="Y822" s="5" t="s">
        <v>16</v>
      </c>
      <c r="Z822" s="46" t="str">
        <f>IF(VLOOKUP(Y822,βοηθητικό!$J$2:$N$354,3,FALSE)="","",VLOOKUP(Y822,βοηθητικό!$J$2:$N$354,3,FALSE))</f>
        <v>_</v>
      </c>
      <c r="AA822" s="47"/>
      <c r="AB822" s="4" t="s">
        <v>16</v>
      </c>
      <c r="AC822" s="43" t="str">
        <f>IF(VLOOKUP(AB822,βοηθητικό!$J$2:$N$354,3,FALSE)="","",VLOOKUP(AB822,βοηθητικό!$J$2:$N$354,3,FALSE))</f>
        <v>_</v>
      </c>
      <c r="AD822" s="44"/>
      <c r="AE822" s="5" t="s">
        <v>16</v>
      </c>
      <c r="AF822" s="46" t="str">
        <f>IF(VLOOKUP(AE822,βοηθητικό!$J$2:$N$354,3,FALSE)="","",VLOOKUP(AE822,βοηθητικό!$J$2:$N$354,3,FALSE))</f>
        <v>_</v>
      </c>
      <c r="AG822" s="47"/>
      <c r="AH822" s="4" t="s">
        <v>16</v>
      </c>
      <c r="AI822" s="43" t="str">
        <f>IF(VLOOKUP(AH822,βοηθητικό!$J$2:$N$354,3,FALSE)="","",VLOOKUP(AH822,βοηθητικό!$J$2:$N$354,3,FALSE))</f>
        <v>_</v>
      </c>
      <c r="AJ822" s="44"/>
      <c r="AK822" s="5" t="s">
        <v>16</v>
      </c>
      <c r="AL822" s="46" t="str">
        <f>IF(VLOOKUP(AK822,βοηθητικό!$J$2:$N$354,3,FALSE)="","",VLOOKUP(AK822,βοηθητικό!$J$2:$N$354,3,FALSE))</f>
        <v>_</v>
      </c>
      <c r="AM822" s="47"/>
      <c r="AN822" s="4" t="s">
        <v>16</v>
      </c>
      <c r="AO822" s="43" t="str">
        <f>IF(VLOOKUP(AN822,βοηθητικό!$J$2:$N$354,3,FALSE)="","",VLOOKUP(AN822,βοηθητικό!$J$2:$N$354,3,FALSE))</f>
        <v>_</v>
      </c>
      <c r="AP822" s="44"/>
      <c r="AQ822" s="5" t="s">
        <v>16</v>
      </c>
      <c r="AR822" s="46" t="str">
        <f>IF(VLOOKUP(AQ822,βοηθητικό!$J$2:$N$354,3,FALSE)="","",VLOOKUP(AQ822,βοηθητικό!$J$2:$N$354,3,FALSE))</f>
        <v>_</v>
      </c>
      <c r="AS822" s="47"/>
      <c r="AT822" s="4" t="s">
        <v>16</v>
      </c>
      <c r="AU822" s="43" t="str">
        <f>IF(VLOOKUP(AT822,βοηθητικό!$J$2:$N$354,3,FALSE)="","",VLOOKUP(AT822,βοηθητικό!$J$2:$N$354,3,FALSE))</f>
        <v>_</v>
      </c>
      <c r="AV822" s="44"/>
      <c r="AW822" s="5" t="s">
        <v>16</v>
      </c>
      <c r="AX822" s="46" t="str">
        <f>IF(VLOOKUP(AW822,βοηθητικό!$J$2:$N$354,3,FALSE)="","",VLOOKUP(AW822,βοηθητικό!$J$2:$N$354,3,FALSE))</f>
        <v>_</v>
      </c>
      <c r="AY822" s="47"/>
      <c r="AZ822" s="4" t="s">
        <v>16</v>
      </c>
      <c r="BA822" s="43" t="str">
        <f>IF(VLOOKUP(AZ822,βοηθητικό!$J$2:$N$354,3,FALSE)="","",VLOOKUP(AZ822,βοηθητικό!$J$2:$N$354,3,FALSE))</f>
        <v>_</v>
      </c>
      <c r="BB822" s="44"/>
      <c r="BC822" s="45" t="s">
        <v>16</v>
      </c>
      <c r="BD822" s="46" t="str">
        <f>IF(VLOOKUP(BC822,βοηθητικό!$J$2:$N$354,3,FALSE)="","",VLOOKUP(BC822,βοηθητικό!$J$2:$N$354,3,FALSE))</f>
        <v>_</v>
      </c>
      <c r="BE822" s="47"/>
      <c r="BF822" s="42" t="s">
        <v>16</v>
      </c>
      <c r="BG822" s="43" t="str">
        <f>IF(VLOOKUP(BF822,βοηθητικό!$J$2:$N$354,3,FALSE)="","",VLOOKUP(BF822,βοηθητικό!$J$2:$N$354,3,FALSE))</f>
        <v>_</v>
      </c>
      <c r="BH822" s="44"/>
      <c r="BI822" s="45" t="s">
        <v>16</v>
      </c>
      <c r="BJ822" s="46" t="str">
        <f>IF(VLOOKUP(BI822,βοηθητικό!$J$2:$N$354,3,FALSE)="","",VLOOKUP(BI822,βοηθητικό!$J$2:$N$354,3,FALSE))</f>
        <v>_</v>
      </c>
      <c r="BK822" s="47"/>
      <c r="BL822" s="42" t="s">
        <v>16</v>
      </c>
      <c r="BM822" s="43" t="str">
        <f>IF(VLOOKUP(BL822,βοηθητικό!$J$2:$N$354,3,FALSE)="","",VLOOKUP(BL822,βοηθητικό!$J$2:$N$354,3,FALSE))</f>
        <v>_</v>
      </c>
      <c r="BN822" s="44"/>
      <c r="BO822" s="45" t="s">
        <v>16</v>
      </c>
      <c r="BP822" s="46" t="str">
        <f>IF(VLOOKUP(BO822,βοηθητικό!$J$2:$N$354,3,FALSE)="","",VLOOKUP(BO822,βοηθητικό!$J$2:$N$354,3,FALSE))</f>
        <v>_</v>
      </c>
      <c r="BQ822" s="47"/>
      <c r="BR822" s="42" t="s">
        <v>16</v>
      </c>
      <c r="BS822" s="43" t="str">
        <f>IF(VLOOKUP(BR822,βοηθητικό!$J$2:$N$354,3,FALSE)="","",VLOOKUP(BR822,βοηθητικό!$J$2:$N$354,3,FALSE))</f>
        <v>_</v>
      </c>
      <c r="BT822" s="44"/>
      <c r="BU822" s="45" t="s">
        <v>16</v>
      </c>
      <c r="BV822" s="46" t="str">
        <f>IF(VLOOKUP(BU822,βοηθητικό!$J$2:$N$354,3,FALSE)="","",VLOOKUP(BU822,βοηθητικό!$J$2:$N$354,3,FALSE))</f>
        <v>_</v>
      </c>
      <c r="BW822" s="47"/>
      <c r="BX822" s="42" t="s">
        <v>16</v>
      </c>
      <c r="BY822" s="43" t="str">
        <f>IF(VLOOKUP(BX822,βοηθητικό!$J$2:$N$354,3,FALSE)="","",VLOOKUP(BX822,βοηθητικό!$J$2:$N$354,3,FALSE))</f>
        <v>_</v>
      </c>
      <c r="BZ822" s="44"/>
      <c r="CA822" s="45" t="s">
        <v>16</v>
      </c>
      <c r="CB822" s="46" t="str">
        <f>IF(VLOOKUP(CA822,βοηθητικό!$J$2:$N$354,3,FALSE)="","",VLOOKUP(CA822,βοηθητικό!$J$2:$N$354,3,FALSE))</f>
        <v>_</v>
      </c>
      <c r="CC822" s="47"/>
      <c r="CD822" s="42" t="s">
        <v>16</v>
      </c>
      <c r="CE822" s="43" t="str">
        <f>IF(VLOOKUP(CD822,βοηθητικό!$J$2:$N$354,3,FALSE)="","",VLOOKUP(CD822,βοηθητικό!$J$2:$N$354,3,FALSE))</f>
        <v>_</v>
      </c>
      <c r="CF822" s="44"/>
      <c r="CG822" s="45" t="s">
        <v>16</v>
      </c>
      <c r="CH822" s="46" t="str">
        <f>IF(VLOOKUP(CG822,βοηθητικό!$J$2:$N$354,3,FALSE)="","",VLOOKUP(CG822,βοηθητικό!$J$2:$N$354,3,FALSE))</f>
        <v>_</v>
      </c>
      <c r="CI822" s="47"/>
      <c r="CJ822" s="42" t="s">
        <v>16</v>
      </c>
      <c r="CK822" s="43" t="str">
        <f>IF(VLOOKUP(CJ822,βοηθητικό!$J$2:$N$354,3,FALSE)="","",VLOOKUP(CJ822,βοηθητικό!$J$2:$N$354,3,FALSE))</f>
        <v>_</v>
      </c>
      <c r="CL822" s="44"/>
      <c r="CM822" s="45" t="s">
        <v>16</v>
      </c>
      <c r="CN822" s="46" t="str">
        <f>IF(VLOOKUP(CM822,βοηθητικό!$J$2:$N$354,3,FALSE)="","",VLOOKUP(CM822,βοηθητικό!$J$2:$N$354,3,FALSE))</f>
        <v>_</v>
      </c>
      <c r="CO822" s="47"/>
      <c r="CP822" s="42" t="s">
        <v>16</v>
      </c>
      <c r="CQ822" s="43" t="str">
        <f>IF(VLOOKUP(CP822,βοηθητικό!$J$2:$N$354,3,FALSE)="","",VLOOKUP(CP822,βοηθητικό!$J$2:$N$354,3,FALSE))</f>
        <v>_</v>
      </c>
      <c r="CR822" s="44"/>
      <c r="CS822" s="45" t="s">
        <v>16</v>
      </c>
      <c r="CT822" s="46" t="str">
        <f>IF(VLOOKUP(CS822,βοηθητικό!$J$2:$N$354,3,FALSE)="","",VLOOKUP(CS822,βοηθητικό!$J$2:$N$354,3,FALSE))</f>
        <v>_</v>
      </c>
      <c r="CU822" s="47"/>
    </row>
    <row r="823" spans="1:99" x14ac:dyDescent="0.25">
      <c r="A823" s="37">
        <f>--SUBTOTAL(3,$B$3:B822)</f>
        <v>198</v>
      </c>
      <c r="B823" s="2"/>
      <c r="C823" s="3"/>
      <c r="D823" s="55" t="s">
        <v>18</v>
      </c>
      <c r="E823" s="38" t="s">
        <v>16</v>
      </c>
      <c r="F823" s="38"/>
      <c r="G823" s="39" t="str">
        <f t="shared" si="38"/>
        <v>__</v>
      </c>
      <c r="H823" s="40" t="str">
        <f t="shared" si="39"/>
        <v>FALSE</v>
      </c>
      <c r="I823" s="41">
        <f t="shared" si="40"/>
        <v>0</v>
      </c>
      <c r="J823" s="4" t="s">
        <v>16</v>
      </c>
      <c r="K823" s="43" t="str">
        <f>IF(VLOOKUP(J823,βοηθητικό!$J$2:$N$354,3,FALSE)="","",VLOOKUP(J823,βοηθητικό!$J$2:$N$354,3,FALSE))</f>
        <v>_</v>
      </c>
      <c r="L823" s="44"/>
      <c r="M823" s="5" t="s">
        <v>16</v>
      </c>
      <c r="N823" s="46" t="str">
        <f>IF(VLOOKUP(M823,βοηθητικό!$J$2:$N$354,3,FALSE)="","",VLOOKUP(M823,βοηθητικό!$J$2:$N$354,3,FALSE))</f>
        <v>_</v>
      </c>
      <c r="O823" s="47"/>
      <c r="P823" s="4" t="s">
        <v>16</v>
      </c>
      <c r="Q823" s="43" t="str">
        <f>IF(VLOOKUP(P823,βοηθητικό!$J$2:$N$354,3,FALSE)="","",VLOOKUP(P823,βοηθητικό!$J$2:$N$354,3,FALSE))</f>
        <v>_</v>
      </c>
      <c r="R823" s="44"/>
      <c r="S823" s="5" t="s">
        <v>16</v>
      </c>
      <c r="T823" s="46" t="str">
        <f>IF(VLOOKUP(S823,βοηθητικό!$J$2:$N$354,3,FALSE)="","",VLOOKUP(S823,βοηθητικό!$J$2:$N$354,3,FALSE))</f>
        <v>_</v>
      </c>
      <c r="U823" s="47"/>
      <c r="V823" s="4" t="s">
        <v>16</v>
      </c>
      <c r="W823" s="43" t="str">
        <f>IF(VLOOKUP(V823,βοηθητικό!$J$2:$N$354,3,FALSE)="","",VLOOKUP(V823,βοηθητικό!$J$2:$N$354,3,FALSE))</f>
        <v>_</v>
      </c>
      <c r="X823" s="44"/>
      <c r="Y823" s="5" t="s">
        <v>16</v>
      </c>
      <c r="Z823" s="46" t="str">
        <f>IF(VLOOKUP(Y823,βοηθητικό!$J$2:$N$354,3,FALSE)="","",VLOOKUP(Y823,βοηθητικό!$J$2:$N$354,3,FALSE))</f>
        <v>_</v>
      </c>
      <c r="AA823" s="47"/>
      <c r="AB823" s="4" t="s">
        <v>16</v>
      </c>
      <c r="AC823" s="43" t="str">
        <f>IF(VLOOKUP(AB823,βοηθητικό!$J$2:$N$354,3,FALSE)="","",VLOOKUP(AB823,βοηθητικό!$J$2:$N$354,3,FALSE))</f>
        <v>_</v>
      </c>
      <c r="AD823" s="44"/>
      <c r="AE823" s="5" t="s">
        <v>16</v>
      </c>
      <c r="AF823" s="46" t="str">
        <f>IF(VLOOKUP(AE823,βοηθητικό!$J$2:$N$354,3,FALSE)="","",VLOOKUP(AE823,βοηθητικό!$J$2:$N$354,3,FALSE))</f>
        <v>_</v>
      </c>
      <c r="AG823" s="47"/>
      <c r="AH823" s="4" t="s">
        <v>16</v>
      </c>
      <c r="AI823" s="43" t="str">
        <f>IF(VLOOKUP(AH823,βοηθητικό!$J$2:$N$354,3,FALSE)="","",VLOOKUP(AH823,βοηθητικό!$J$2:$N$354,3,FALSE))</f>
        <v>_</v>
      </c>
      <c r="AJ823" s="44"/>
      <c r="AK823" s="5" t="s">
        <v>16</v>
      </c>
      <c r="AL823" s="46" t="str">
        <f>IF(VLOOKUP(AK823,βοηθητικό!$J$2:$N$354,3,FALSE)="","",VLOOKUP(AK823,βοηθητικό!$J$2:$N$354,3,FALSE))</f>
        <v>_</v>
      </c>
      <c r="AM823" s="47"/>
      <c r="AN823" s="4" t="s">
        <v>16</v>
      </c>
      <c r="AO823" s="43" t="str">
        <f>IF(VLOOKUP(AN823,βοηθητικό!$J$2:$N$354,3,FALSE)="","",VLOOKUP(AN823,βοηθητικό!$J$2:$N$354,3,FALSE))</f>
        <v>_</v>
      </c>
      <c r="AP823" s="44"/>
      <c r="AQ823" s="5" t="s">
        <v>16</v>
      </c>
      <c r="AR823" s="46" t="str">
        <f>IF(VLOOKUP(AQ823,βοηθητικό!$J$2:$N$354,3,FALSE)="","",VLOOKUP(AQ823,βοηθητικό!$J$2:$N$354,3,FALSE))</f>
        <v>_</v>
      </c>
      <c r="AS823" s="47"/>
      <c r="AT823" s="4" t="s">
        <v>16</v>
      </c>
      <c r="AU823" s="43" t="str">
        <f>IF(VLOOKUP(AT823,βοηθητικό!$J$2:$N$354,3,FALSE)="","",VLOOKUP(AT823,βοηθητικό!$J$2:$N$354,3,FALSE))</f>
        <v>_</v>
      </c>
      <c r="AV823" s="44"/>
      <c r="AW823" s="5" t="s">
        <v>16</v>
      </c>
      <c r="AX823" s="46" t="str">
        <f>IF(VLOOKUP(AW823,βοηθητικό!$J$2:$N$354,3,FALSE)="","",VLOOKUP(AW823,βοηθητικό!$J$2:$N$354,3,FALSE))</f>
        <v>_</v>
      </c>
      <c r="AY823" s="47"/>
      <c r="AZ823" s="4" t="s">
        <v>16</v>
      </c>
      <c r="BA823" s="43" t="str">
        <f>IF(VLOOKUP(AZ823,βοηθητικό!$J$2:$N$354,3,FALSE)="","",VLOOKUP(AZ823,βοηθητικό!$J$2:$N$354,3,FALSE))</f>
        <v>_</v>
      </c>
      <c r="BB823" s="44"/>
      <c r="BC823" s="45" t="s">
        <v>16</v>
      </c>
      <c r="BD823" s="46" t="str">
        <f>IF(VLOOKUP(BC823,βοηθητικό!$J$2:$N$354,3,FALSE)="","",VLOOKUP(BC823,βοηθητικό!$J$2:$N$354,3,FALSE))</f>
        <v>_</v>
      </c>
      <c r="BE823" s="47"/>
      <c r="BF823" s="42" t="s">
        <v>16</v>
      </c>
      <c r="BG823" s="43" t="str">
        <f>IF(VLOOKUP(BF823,βοηθητικό!$J$2:$N$354,3,FALSE)="","",VLOOKUP(BF823,βοηθητικό!$J$2:$N$354,3,FALSE))</f>
        <v>_</v>
      </c>
      <c r="BH823" s="44"/>
      <c r="BI823" s="45" t="s">
        <v>16</v>
      </c>
      <c r="BJ823" s="46" t="str">
        <f>IF(VLOOKUP(BI823,βοηθητικό!$J$2:$N$354,3,FALSE)="","",VLOOKUP(BI823,βοηθητικό!$J$2:$N$354,3,FALSE))</f>
        <v>_</v>
      </c>
      <c r="BK823" s="47"/>
      <c r="BL823" s="42" t="s">
        <v>16</v>
      </c>
      <c r="BM823" s="43" t="str">
        <f>IF(VLOOKUP(BL823,βοηθητικό!$J$2:$N$354,3,FALSE)="","",VLOOKUP(BL823,βοηθητικό!$J$2:$N$354,3,FALSE))</f>
        <v>_</v>
      </c>
      <c r="BN823" s="44"/>
      <c r="BO823" s="45" t="s">
        <v>16</v>
      </c>
      <c r="BP823" s="46" t="str">
        <f>IF(VLOOKUP(BO823,βοηθητικό!$J$2:$N$354,3,FALSE)="","",VLOOKUP(BO823,βοηθητικό!$J$2:$N$354,3,FALSE))</f>
        <v>_</v>
      </c>
      <c r="BQ823" s="47"/>
      <c r="BR823" s="42" t="s">
        <v>16</v>
      </c>
      <c r="BS823" s="43" t="str">
        <f>IF(VLOOKUP(BR823,βοηθητικό!$J$2:$N$354,3,FALSE)="","",VLOOKUP(BR823,βοηθητικό!$J$2:$N$354,3,FALSE))</f>
        <v>_</v>
      </c>
      <c r="BT823" s="44"/>
      <c r="BU823" s="45" t="s">
        <v>16</v>
      </c>
      <c r="BV823" s="46" t="str">
        <f>IF(VLOOKUP(BU823,βοηθητικό!$J$2:$N$354,3,FALSE)="","",VLOOKUP(BU823,βοηθητικό!$J$2:$N$354,3,FALSE))</f>
        <v>_</v>
      </c>
      <c r="BW823" s="47"/>
      <c r="BX823" s="42" t="s">
        <v>16</v>
      </c>
      <c r="BY823" s="43" t="str">
        <f>IF(VLOOKUP(BX823,βοηθητικό!$J$2:$N$354,3,FALSE)="","",VLOOKUP(BX823,βοηθητικό!$J$2:$N$354,3,FALSE))</f>
        <v>_</v>
      </c>
      <c r="BZ823" s="44"/>
      <c r="CA823" s="45" t="s">
        <v>16</v>
      </c>
      <c r="CB823" s="46" t="str">
        <f>IF(VLOOKUP(CA823,βοηθητικό!$J$2:$N$354,3,FALSE)="","",VLOOKUP(CA823,βοηθητικό!$J$2:$N$354,3,FALSE))</f>
        <v>_</v>
      </c>
      <c r="CC823" s="47"/>
      <c r="CD823" s="42" t="s">
        <v>16</v>
      </c>
      <c r="CE823" s="43" t="str">
        <f>IF(VLOOKUP(CD823,βοηθητικό!$J$2:$N$354,3,FALSE)="","",VLOOKUP(CD823,βοηθητικό!$J$2:$N$354,3,FALSE))</f>
        <v>_</v>
      </c>
      <c r="CF823" s="44"/>
      <c r="CG823" s="45" t="s">
        <v>16</v>
      </c>
      <c r="CH823" s="46" t="str">
        <f>IF(VLOOKUP(CG823,βοηθητικό!$J$2:$N$354,3,FALSE)="","",VLOOKUP(CG823,βοηθητικό!$J$2:$N$354,3,FALSE))</f>
        <v>_</v>
      </c>
      <c r="CI823" s="47"/>
      <c r="CJ823" s="42" t="s">
        <v>16</v>
      </c>
      <c r="CK823" s="43" t="str">
        <f>IF(VLOOKUP(CJ823,βοηθητικό!$J$2:$N$354,3,FALSE)="","",VLOOKUP(CJ823,βοηθητικό!$J$2:$N$354,3,FALSE))</f>
        <v>_</v>
      </c>
      <c r="CL823" s="44"/>
      <c r="CM823" s="45" t="s">
        <v>16</v>
      </c>
      <c r="CN823" s="46" t="str">
        <f>IF(VLOOKUP(CM823,βοηθητικό!$J$2:$N$354,3,FALSE)="","",VLOOKUP(CM823,βοηθητικό!$J$2:$N$354,3,FALSE))</f>
        <v>_</v>
      </c>
      <c r="CO823" s="47"/>
      <c r="CP823" s="42" t="s">
        <v>16</v>
      </c>
      <c r="CQ823" s="43" t="str">
        <f>IF(VLOOKUP(CP823,βοηθητικό!$J$2:$N$354,3,FALSE)="","",VLOOKUP(CP823,βοηθητικό!$J$2:$N$354,3,FALSE))</f>
        <v>_</v>
      </c>
      <c r="CR823" s="44"/>
      <c r="CS823" s="45" t="s">
        <v>16</v>
      </c>
      <c r="CT823" s="46" t="str">
        <f>IF(VLOOKUP(CS823,βοηθητικό!$J$2:$N$354,3,FALSE)="","",VLOOKUP(CS823,βοηθητικό!$J$2:$N$354,3,FALSE))</f>
        <v>_</v>
      </c>
      <c r="CU823" s="47"/>
    </row>
    <row r="824" spans="1:99" x14ac:dyDescent="0.25">
      <c r="A824" s="37">
        <f>--SUBTOTAL(3,$B$3:B823)</f>
        <v>198</v>
      </c>
      <c r="B824" s="2"/>
      <c r="C824" s="3"/>
      <c r="D824" s="55" t="s">
        <v>18</v>
      </c>
      <c r="E824" s="38" t="s">
        <v>16</v>
      </c>
      <c r="F824" s="38"/>
      <c r="G824" s="39" t="str">
        <f t="shared" si="38"/>
        <v>__</v>
      </c>
      <c r="H824" s="40" t="str">
        <f t="shared" si="39"/>
        <v>FALSE</v>
      </c>
      <c r="I824" s="41">
        <f t="shared" si="40"/>
        <v>0</v>
      </c>
      <c r="J824" s="4" t="s">
        <v>16</v>
      </c>
      <c r="K824" s="43" t="str">
        <f>IF(VLOOKUP(J824,βοηθητικό!$J$2:$N$354,3,FALSE)="","",VLOOKUP(J824,βοηθητικό!$J$2:$N$354,3,FALSE))</f>
        <v>_</v>
      </c>
      <c r="L824" s="44"/>
      <c r="M824" s="5" t="s">
        <v>16</v>
      </c>
      <c r="N824" s="46" t="str">
        <f>IF(VLOOKUP(M824,βοηθητικό!$J$2:$N$354,3,FALSE)="","",VLOOKUP(M824,βοηθητικό!$J$2:$N$354,3,FALSE))</f>
        <v>_</v>
      </c>
      <c r="O824" s="47"/>
      <c r="P824" s="4" t="s">
        <v>16</v>
      </c>
      <c r="Q824" s="43" t="str">
        <f>IF(VLOOKUP(P824,βοηθητικό!$J$2:$N$354,3,FALSE)="","",VLOOKUP(P824,βοηθητικό!$J$2:$N$354,3,FALSE))</f>
        <v>_</v>
      </c>
      <c r="R824" s="44"/>
      <c r="S824" s="5" t="s">
        <v>16</v>
      </c>
      <c r="T824" s="46" t="str">
        <f>IF(VLOOKUP(S824,βοηθητικό!$J$2:$N$354,3,FALSE)="","",VLOOKUP(S824,βοηθητικό!$J$2:$N$354,3,FALSE))</f>
        <v>_</v>
      </c>
      <c r="U824" s="47"/>
      <c r="V824" s="4" t="s">
        <v>16</v>
      </c>
      <c r="W824" s="43" t="str">
        <f>IF(VLOOKUP(V824,βοηθητικό!$J$2:$N$354,3,FALSE)="","",VLOOKUP(V824,βοηθητικό!$J$2:$N$354,3,FALSE))</f>
        <v>_</v>
      </c>
      <c r="X824" s="44"/>
      <c r="Y824" s="5" t="s">
        <v>16</v>
      </c>
      <c r="Z824" s="46" t="str">
        <f>IF(VLOOKUP(Y824,βοηθητικό!$J$2:$N$354,3,FALSE)="","",VLOOKUP(Y824,βοηθητικό!$J$2:$N$354,3,FALSE))</f>
        <v>_</v>
      </c>
      <c r="AA824" s="47"/>
      <c r="AB824" s="4" t="s">
        <v>16</v>
      </c>
      <c r="AC824" s="43" t="str">
        <f>IF(VLOOKUP(AB824,βοηθητικό!$J$2:$N$354,3,FALSE)="","",VLOOKUP(AB824,βοηθητικό!$J$2:$N$354,3,FALSE))</f>
        <v>_</v>
      </c>
      <c r="AD824" s="44"/>
      <c r="AE824" s="5" t="s">
        <v>16</v>
      </c>
      <c r="AF824" s="46" t="str">
        <f>IF(VLOOKUP(AE824,βοηθητικό!$J$2:$N$354,3,FALSE)="","",VLOOKUP(AE824,βοηθητικό!$J$2:$N$354,3,FALSE))</f>
        <v>_</v>
      </c>
      <c r="AG824" s="47"/>
      <c r="AH824" s="4" t="s">
        <v>16</v>
      </c>
      <c r="AI824" s="43" t="str">
        <f>IF(VLOOKUP(AH824,βοηθητικό!$J$2:$N$354,3,FALSE)="","",VLOOKUP(AH824,βοηθητικό!$J$2:$N$354,3,FALSE))</f>
        <v>_</v>
      </c>
      <c r="AJ824" s="44"/>
      <c r="AK824" s="5" t="s">
        <v>16</v>
      </c>
      <c r="AL824" s="46" t="str">
        <f>IF(VLOOKUP(AK824,βοηθητικό!$J$2:$N$354,3,FALSE)="","",VLOOKUP(AK824,βοηθητικό!$J$2:$N$354,3,FALSE))</f>
        <v>_</v>
      </c>
      <c r="AM824" s="47"/>
      <c r="AN824" s="4" t="s">
        <v>16</v>
      </c>
      <c r="AO824" s="43" t="str">
        <f>IF(VLOOKUP(AN824,βοηθητικό!$J$2:$N$354,3,FALSE)="","",VLOOKUP(AN824,βοηθητικό!$J$2:$N$354,3,FALSE))</f>
        <v>_</v>
      </c>
      <c r="AP824" s="44"/>
      <c r="AQ824" s="5" t="s">
        <v>16</v>
      </c>
      <c r="AR824" s="46" t="str">
        <f>IF(VLOOKUP(AQ824,βοηθητικό!$J$2:$N$354,3,FALSE)="","",VLOOKUP(AQ824,βοηθητικό!$J$2:$N$354,3,FALSE))</f>
        <v>_</v>
      </c>
      <c r="AS824" s="47"/>
      <c r="AT824" s="4" t="s">
        <v>16</v>
      </c>
      <c r="AU824" s="43" t="str">
        <f>IF(VLOOKUP(AT824,βοηθητικό!$J$2:$N$354,3,FALSE)="","",VLOOKUP(AT824,βοηθητικό!$J$2:$N$354,3,FALSE))</f>
        <v>_</v>
      </c>
      <c r="AV824" s="44"/>
      <c r="AW824" s="5" t="s">
        <v>16</v>
      </c>
      <c r="AX824" s="46" t="str">
        <f>IF(VLOOKUP(AW824,βοηθητικό!$J$2:$N$354,3,FALSE)="","",VLOOKUP(AW824,βοηθητικό!$J$2:$N$354,3,FALSE))</f>
        <v>_</v>
      </c>
      <c r="AY824" s="47"/>
      <c r="AZ824" s="4" t="s">
        <v>16</v>
      </c>
      <c r="BA824" s="43" t="str">
        <f>IF(VLOOKUP(AZ824,βοηθητικό!$J$2:$N$354,3,FALSE)="","",VLOOKUP(AZ824,βοηθητικό!$J$2:$N$354,3,FALSE))</f>
        <v>_</v>
      </c>
      <c r="BB824" s="44"/>
      <c r="BC824" s="45" t="s">
        <v>16</v>
      </c>
      <c r="BD824" s="46" t="str">
        <f>IF(VLOOKUP(BC824,βοηθητικό!$J$2:$N$354,3,FALSE)="","",VLOOKUP(BC824,βοηθητικό!$J$2:$N$354,3,FALSE))</f>
        <v>_</v>
      </c>
      <c r="BE824" s="47"/>
      <c r="BF824" s="42" t="s">
        <v>16</v>
      </c>
      <c r="BG824" s="43" t="str">
        <f>IF(VLOOKUP(BF824,βοηθητικό!$J$2:$N$354,3,FALSE)="","",VLOOKUP(BF824,βοηθητικό!$J$2:$N$354,3,FALSE))</f>
        <v>_</v>
      </c>
      <c r="BH824" s="44"/>
      <c r="BI824" s="45" t="s">
        <v>16</v>
      </c>
      <c r="BJ824" s="46" t="str">
        <f>IF(VLOOKUP(BI824,βοηθητικό!$J$2:$N$354,3,FALSE)="","",VLOOKUP(BI824,βοηθητικό!$J$2:$N$354,3,FALSE))</f>
        <v>_</v>
      </c>
      <c r="BK824" s="47"/>
      <c r="BL824" s="42" t="s">
        <v>16</v>
      </c>
      <c r="BM824" s="43" t="str">
        <f>IF(VLOOKUP(BL824,βοηθητικό!$J$2:$N$354,3,FALSE)="","",VLOOKUP(BL824,βοηθητικό!$J$2:$N$354,3,FALSE))</f>
        <v>_</v>
      </c>
      <c r="BN824" s="44"/>
      <c r="BO824" s="45" t="s">
        <v>16</v>
      </c>
      <c r="BP824" s="46" t="str">
        <f>IF(VLOOKUP(BO824,βοηθητικό!$J$2:$N$354,3,FALSE)="","",VLOOKUP(BO824,βοηθητικό!$J$2:$N$354,3,FALSE))</f>
        <v>_</v>
      </c>
      <c r="BQ824" s="47"/>
      <c r="BR824" s="42" t="s">
        <v>16</v>
      </c>
      <c r="BS824" s="43" t="str">
        <f>IF(VLOOKUP(BR824,βοηθητικό!$J$2:$N$354,3,FALSE)="","",VLOOKUP(BR824,βοηθητικό!$J$2:$N$354,3,FALSE))</f>
        <v>_</v>
      </c>
      <c r="BT824" s="44"/>
      <c r="BU824" s="45" t="s">
        <v>16</v>
      </c>
      <c r="BV824" s="46" t="str">
        <f>IF(VLOOKUP(BU824,βοηθητικό!$J$2:$N$354,3,FALSE)="","",VLOOKUP(BU824,βοηθητικό!$J$2:$N$354,3,FALSE))</f>
        <v>_</v>
      </c>
      <c r="BW824" s="47"/>
      <c r="BX824" s="42" t="s">
        <v>16</v>
      </c>
      <c r="BY824" s="43" t="str">
        <f>IF(VLOOKUP(BX824,βοηθητικό!$J$2:$N$354,3,FALSE)="","",VLOOKUP(BX824,βοηθητικό!$J$2:$N$354,3,FALSE))</f>
        <v>_</v>
      </c>
      <c r="BZ824" s="44"/>
      <c r="CA824" s="45" t="s">
        <v>16</v>
      </c>
      <c r="CB824" s="46" t="str">
        <f>IF(VLOOKUP(CA824,βοηθητικό!$J$2:$N$354,3,FALSE)="","",VLOOKUP(CA824,βοηθητικό!$J$2:$N$354,3,FALSE))</f>
        <v>_</v>
      </c>
      <c r="CC824" s="47"/>
      <c r="CD824" s="42" t="s">
        <v>16</v>
      </c>
      <c r="CE824" s="43" t="str">
        <f>IF(VLOOKUP(CD824,βοηθητικό!$J$2:$N$354,3,FALSE)="","",VLOOKUP(CD824,βοηθητικό!$J$2:$N$354,3,FALSE))</f>
        <v>_</v>
      </c>
      <c r="CF824" s="44"/>
      <c r="CG824" s="45" t="s">
        <v>16</v>
      </c>
      <c r="CH824" s="46" t="str">
        <f>IF(VLOOKUP(CG824,βοηθητικό!$J$2:$N$354,3,FALSE)="","",VLOOKUP(CG824,βοηθητικό!$J$2:$N$354,3,FALSE))</f>
        <v>_</v>
      </c>
      <c r="CI824" s="47"/>
      <c r="CJ824" s="42" t="s">
        <v>16</v>
      </c>
      <c r="CK824" s="43" t="str">
        <f>IF(VLOOKUP(CJ824,βοηθητικό!$J$2:$N$354,3,FALSE)="","",VLOOKUP(CJ824,βοηθητικό!$J$2:$N$354,3,FALSE))</f>
        <v>_</v>
      </c>
      <c r="CL824" s="44"/>
      <c r="CM824" s="45" t="s">
        <v>16</v>
      </c>
      <c r="CN824" s="46" t="str">
        <f>IF(VLOOKUP(CM824,βοηθητικό!$J$2:$N$354,3,FALSE)="","",VLOOKUP(CM824,βοηθητικό!$J$2:$N$354,3,FALSE))</f>
        <v>_</v>
      </c>
      <c r="CO824" s="47"/>
      <c r="CP824" s="42" t="s">
        <v>16</v>
      </c>
      <c r="CQ824" s="43" t="str">
        <f>IF(VLOOKUP(CP824,βοηθητικό!$J$2:$N$354,3,FALSE)="","",VLOOKUP(CP824,βοηθητικό!$J$2:$N$354,3,FALSE))</f>
        <v>_</v>
      </c>
      <c r="CR824" s="44"/>
      <c r="CS824" s="45" t="s">
        <v>16</v>
      </c>
      <c r="CT824" s="46" t="str">
        <f>IF(VLOOKUP(CS824,βοηθητικό!$J$2:$N$354,3,FALSE)="","",VLOOKUP(CS824,βοηθητικό!$J$2:$N$354,3,FALSE))</f>
        <v>_</v>
      </c>
      <c r="CU824" s="47"/>
    </row>
    <row r="825" spans="1:99" x14ac:dyDescent="0.25">
      <c r="A825" s="37">
        <f>--SUBTOTAL(3,$B$3:B824)</f>
        <v>198</v>
      </c>
      <c r="B825" s="2"/>
      <c r="C825" s="3"/>
      <c r="D825" s="55" t="s">
        <v>18</v>
      </c>
      <c r="E825" s="38" t="s">
        <v>16</v>
      </c>
      <c r="F825" s="38"/>
      <c r="G825" s="39" t="str">
        <f t="shared" si="38"/>
        <v>__</v>
      </c>
      <c r="H825" s="40" t="str">
        <f t="shared" si="39"/>
        <v>FALSE</v>
      </c>
      <c r="I825" s="41">
        <f t="shared" si="40"/>
        <v>0</v>
      </c>
      <c r="J825" s="4" t="s">
        <v>16</v>
      </c>
      <c r="K825" s="43" t="str">
        <f>IF(VLOOKUP(J825,βοηθητικό!$J$2:$N$354,3,FALSE)="","",VLOOKUP(J825,βοηθητικό!$J$2:$N$354,3,FALSE))</f>
        <v>_</v>
      </c>
      <c r="L825" s="44"/>
      <c r="M825" s="5" t="s">
        <v>16</v>
      </c>
      <c r="N825" s="46" t="str">
        <f>IF(VLOOKUP(M825,βοηθητικό!$J$2:$N$354,3,FALSE)="","",VLOOKUP(M825,βοηθητικό!$J$2:$N$354,3,FALSE))</f>
        <v>_</v>
      </c>
      <c r="O825" s="47"/>
      <c r="P825" s="4" t="s">
        <v>16</v>
      </c>
      <c r="Q825" s="43" t="str">
        <f>IF(VLOOKUP(P825,βοηθητικό!$J$2:$N$354,3,FALSE)="","",VLOOKUP(P825,βοηθητικό!$J$2:$N$354,3,FALSE))</f>
        <v>_</v>
      </c>
      <c r="R825" s="44"/>
      <c r="S825" s="5" t="s">
        <v>16</v>
      </c>
      <c r="T825" s="46" t="str">
        <f>IF(VLOOKUP(S825,βοηθητικό!$J$2:$N$354,3,FALSE)="","",VLOOKUP(S825,βοηθητικό!$J$2:$N$354,3,FALSE))</f>
        <v>_</v>
      </c>
      <c r="U825" s="47"/>
      <c r="V825" s="4" t="s">
        <v>16</v>
      </c>
      <c r="W825" s="43" t="str">
        <f>IF(VLOOKUP(V825,βοηθητικό!$J$2:$N$354,3,FALSE)="","",VLOOKUP(V825,βοηθητικό!$J$2:$N$354,3,FALSE))</f>
        <v>_</v>
      </c>
      <c r="X825" s="44"/>
      <c r="Y825" s="5" t="s">
        <v>16</v>
      </c>
      <c r="Z825" s="46" t="str">
        <f>IF(VLOOKUP(Y825,βοηθητικό!$J$2:$N$354,3,FALSE)="","",VLOOKUP(Y825,βοηθητικό!$J$2:$N$354,3,FALSE))</f>
        <v>_</v>
      </c>
      <c r="AA825" s="47"/>
      <c r="AB825" s="4" t="s">
        <v>16</v>
      </c>
      <c r="AC825" s="43" t="str">
        <f>IF(VLOOKUP(AB825,βοηθητικό!$J$2:$N$354,3,FALSE)="","",VLOOKUP(AB825,βοηθητικό!$J$2:$N$354,3,FALSE))</f>
        <v>_</v>
      </c>
      <c r="AD825" s="44"/>
      <c r="AE825" s="5" t="s">
        <v>16</v>
      </c>
      <c r="AF825" s="46" t="str">
        <f>IF(VLOOKUP(AE825,βοηθητικό!$J$2:$N$354,3,FALSE)="","",VLOOKUP(AE825,βοηθητικό!$J$2:$N$354,3,FALSE))</f>
        <v>_</v>
      </c>
      <c r="AG825" s="47"/>
      <c r="AH825" s="4" t="s">
        <v>16</v>
      </c>
      <c r="AI825" s="43" t="str">
        <f>IF(VLOOKUP(AH825,βοηθητικό!$J$2:$N$354,3,FALSE)="","",VLOOKUP(AH825,βοηθητικό!$J$2:$N$354,3,FALSE))</f>
        <v>_</v>
      </c>
      <c r="AJ825" s="44"/>
      <c r="AK825" s="5" t="s">
        <v>16</v>
      </c>
      <c r="AL825" s="46" t="str">
        <f>IF(VLOOKUP(AK825,βοηθητικό!$J$2:$N$354,3,FALSE)="","",VLOOKUP(AK825,βοηθητικό!$J$2:$N$354,3,FALSE))</f>
        <v>_</v>
      </c>
      <c r="AM825" s="47"/>
      <c r="AN825" s="4" t="s">
        <v>16</v>
      </c>
      <c r="AO825" s="43" t="str">
        <f>IF(VLOOKUP(AN825,βοηθητικό!$J$2:$N$354,3,FALSE)="","",VLOOKUP(AN825,βοηθητικό!$J$2:$N$354,3,FALSE))</f>
        <v>_</v>
      </c>
      <c r="AP825" s="44"/>
      <c r="AQ825" s="5" t="s">
        <v>16</v>
      </c>
      <c r="AR825" s="46" t="str">
        <f>IF(VLOOKUP(AQ825,βοηθητικό!$J$2:$N$354,3,FALSE)="","",VLOOKUP(AQ825,βοηθητικό!$J$2:$N$354,3,FALSE))</f>
        <v>_</v>
      </c>
      <c r="AS825" s="47"/>
      <c r="AT825" s="4" t="s">
        <v>16</v>
      </c>
      <c r="AU825" s="43" t="str">
        <f>IF(VLOOKUP(AT825,βοηθητικό!$J$2:$N$354,3,FALSE)="","",VLOOKUP(AT825,βοηθητικό!$J$2:$N$354,3,FALSE))</f>
        <v>_</v>
      </c>
      <c r="AV825" s="44"/>
      <c r="AW825" s="5" t="s">
        <v>16</v>
      </c>
      <c r="AX825" s="46" t="str">
        <f>IF(VLOOKUP(AW825,βοηθητικό!$J$2:$N$354,3,FALSE)="","",VLOOKUP(AW825,βοηθητικό!$J$2:$N$354,3,FALSE))</f>
        <v>_</v>
      </c>
      <c r="AY825" s="47"/>
      <c r="AZ825" s="4" t="s">
        <v>16</v>
      </c>
      <c r="BA825" s="43" t="str">
        <f>IF(VLOOKUP(AZ825,βοηθητικό!$J$2:$N$354,3,FALSE)="","",VLOOKUP(AZ825,βοηθητικό!$J$2:$N$354,3,FALSE))</f>
        <v>_</v>
      </c>
      <c r="BB825" s="44"/>
      <c r="BC825" s="45" t="s">
        <v>16</v>
      </c>
      <c r="BD825" s="46" t="str">
        <f>IF(VLOOKUP(BC825,βοηθητικό!$J$2:$N$354,3,FALSE)="","",VLOOKUP(BC825,βοηθητικό!$J$2:$N$354,3,FALSE))</f>
        <v>_</v>
      </c>
      <c r="BE825" s="47"/>
      <c r="BF825" s="42" t="s">
        <v>16</v>
      </c>
      <c r="BG825" s="43" t="str">
        <f>IF(VLOOKUP(BF825,βοηθητικό!$J$2:$N$354,3,FALSE)="","",VLOOKUP(BF825,βοηθητικό!$J$2:$N$354,3,FALSE))</f>
        <v>_</v>
      </c>
      <c r="BH825" s="44"/>
      <c r="BI825" s="45" t="s">
        <v>16</v>
      </c>
      <c r="BJ825" s="46" t="str">
        <f>IF(VLOOKUP(BI825,βοηθητικό!$J$2:$N$354,3,FALSE)="","",VLOOKUP(BI825,βοηθητικό!$J$2:$N$354,3,FALSE))</f>
        <v>_</v>
      </c>
      <c r="BK825" s="47"/>
      <c r="BL825" s="42" t="s">
        <v>16</v>
      </c>
      <c r="BM825" s="43" t="str">
        <f>IF(VLOOKUP(BL825,βοηθητικό!$J$2:$N$354,3,FALSE)="","",VLOOKUP(BL825,βοηθητικό!$J$2:$N$354,3,FALSE))</f>
        <v>_</v>
      </c>
      <c r="BN825" s="44"/>
      <c r="BO825" s="45" t="s">
        <v>16</v>
      </c>
      <c r="BP825" s="46" t="str">
        <f>IF(VLOOKUP(BO825,βοηθητικό!$J$2:$N$354,3,FALSE)="","",VLOOKUP(BO825,βοηθητικό!$J$2:$N$354,3,FALSE))</f>
        <v>_</v>
      </c>
      <c r="BQ825" s="47"/>
      <c r="BR825" s="42" t="s">
        <v>16</v>
      </c>
      <c r="BS825" s="43" t="str">
        <f>IF(VLOOKUP(BR825,βοηθητικό!$J$2:$N$354,3,FALSE)="","",VLOOKUP(BR825,βοηθητικό!$J$2:$N$354,3,FALSE))</f>
        <v>_</v>
      </c>
      <c r="BT825" s="44"/>
      <c r="BU825" s="45" t="s">
        <v>16</v>
      </c>
      <c r="BV825" s="46" t="str">
        <f>IF(VLOOKUP(BU825,βοηθητικό!$J$2:$N$354,3,FALSE)="","",VLOOKUP(BU825,βοηθητικό!$J$2:$N$354,3,FALSE))</f>
        <v>_</v>
      </c>
      <c r="BW825" s="47"/>
      <c r="BX825" s="42" t="s">
        <v>16</v>
      </c>
      <c r="BY825" s="43" t="str">
        <f>IF(VLOOKUP(BX825,βοηθητικό!$J$2:$N$354,3,FALSE)="","",VLOOKUP(BX825,βοηθητικό!$J$2:$N$354,3,FALSE))</f>
        <v>_</v>
      </c>
      <c r="BZ825" s="44"/>
      <c r="CA825" s="45" t="s">
        <v>16</v>
      </c>
      <c r="CB825" s="46" t="str">
        <f>IF(VLOOKUP(CA825,βοηθητικό!$J$2:$N$354,3,FALSE)="","",VLOOKUP(CA825,βοηθητικό!$J$2:$N$354,3,FALSE))</f>
        <v>_</v>
      </c>
      <c r="CC825" s="47"/>
      <c r="CD825" s="42" t="s">
        <v>16</v>
      </c>
      <c r="CE825" s="43" t="str">
        <f>IF(VLOOKUP(CD825,βοηθητικό!$J$2:$N$354,3,FALSE)="","",VLOOKUP(CD825,βοηθητικό!$J$2:$N$354,3,FALSE))</f>
        <v>_</v>
      </c>
      <c r="CF825" s="44"/>
      <c r="CG825" s="45" t="s">
        <v>16</v>
      </c>
      <c r="CH825" s="46" t="str">
        <f>IF(VLOOKUP(CG825,βοηθητικό!$J$2:$N$354,3,FALSE)="","",VLOOKUP(CG825,βοηθητικό!$J$2:$N$354,3,FALSE))</f>
        <v>_</v>
      </c>
      <c r="CI825" s="47"/>
      <c r="CJ825" s="42" t="s">
        <v>16</v>
      </c>
      <c r="CK825" s="43" t="str">
        <f>IF(VLOOKUP(CJ825,βοηθητικό!$J$2:$N$354,3,FALSE)="","",VLOOKUP(CJ825,βοηθητικό!$J$2:$N$354,3,FALSE))</f>
        <v>_</v>
      </c>
      <c r="CL825" s="44"/>
      <c r="CM825" s="45" t="s">
        <v>16</v>
      </c>
      <c r="CN825" s="46" t="str">
        <f>IF(VLOOKUP(CM825,βοηθητικό!$J$2:$N$354,3,FALSE)="","",VLOOKUP(CM825,βοηθητικό!$J$2:$N$354,3,FALSE))</f>
        <v>_</v>
      </c>
      <c r="CO825" s="47"/>
      <c r="CP825" s="42" t="s">
        <v>16</v>
      </c>
      <c r="CQ825" s="43" t="str">
        <f>IF(VLOOKUP(CP825,βοηθητικό!$J$2:$N$354,3,FALSE)="","",VLOOKUP(CP825,βοηθητικό!$J$2:$N$354,3,FALSE))</f>
        <v>_</v>
      </c>
      <c r="CR825" s="44"/>
      <c r="CS825" s="45" t="s">
        <v>16</v>
      </c>
      <c r="CT825" s="46" t="str">
        <f>IF(VLOOKUP(CS825,βοηθητικό!$J$2:$N$354,3,FALSE)="","",VLOOKUP(CS825,βοηθητικό!$J$2:$N$354,3,FALSE))</f>
        <v>_</v>
      </c>
      <c r="CU825" s="47"/>
    </row>
    <row r="826" spans="1:99" x14ac:dyDescent="0.25">
      <c r="A826" s="37">
        <f>--SUBTOTAL(3,$B$3:B825)</f>
        <v>198</v>
      </c>
      <c r="B826" s="2"/>
      <c r="C826" s="3"/>
      <c r="D826" s="55" t="s">
        <v>18</v>
      </c>
      <c r="E826" s="38" t="s">
        <v>16</v>
      </c>
      <c r="F826" s="38"/>
      <c r="G826" s="39" t="str">
        <f t="shared" si="38"/>
        <v>__</v>
      </c>
      <c r="H826" s="40" t="str">
        <f t="shared" si="39"/>
        <v>FALSE</v>
      </c>
      <c r="I826" s="41">
        <f t="shared" si="40"/>
        <v>0</v>
      </c>
      <c r="J826" s="4" t="s">
        <v>16</v>
      </c>
      <c r="K826" s="43" t="str">
        <f>IF(VLOOKUP(J826,βοηθητικό!$J$2:$N$354,3,FALSE)="","",VLOOKUP(J826,βοηθητικό!$J$2:$N$354,3,FALSE))</f>
        <v>_</v>
      </c>
      <c r="L826" s="44"/>
      <c r="M826" s="5" t="s">
        <v>16</v>
      </c>
      <c r="N826" s="46" t="str">
        <f>IF(VLOOKUP(M826,βοηθητικό!$J$2:$N$354,3,FALSE)="","",VLOOKUP(M826,βοηθητικό!$J$2:$N$354,3,FALSE))</f>
        <v>_</v>
      </c>
      <c r="O826" s="47"/>
      <c r="P826" s="4" t="s">
        <v>16</v>
      </c>
      <c r="Q826" s="43" t="str">
        <f>IF(VLOOKUP(P826,βοηθητικό!$J$2:$N$354,3,FALSE)="","",VLOOKUP(P826,βοηθητικό!$J$2:$N$354,3,FALSE))</f>
        <v>_</v>
      </c>
      <c r="R826" s="44"/>
      <c r="S826" s="5" t="s">
        <v>16</v>
      </c>
      <c r="T826" s="46" t="str">
        <f>IF(VLOOKUP(S826,βοηθητικό!$J$2:$N$354,3,FALSE)="","",VLOOKUP(S826,βοηθητικό!$J$2:$N$354,3,FALSE))</f>
        <v>_</v>
      </c>
      <c r="U826" s="47"/>
      <c r="V826" s="4" t="s">
        <v>16</v>
      </c>
      <c r="W826" s="43" t="str">
        <f>IF(VLOOKUP(V826,βοηθητικό!$J$2:$N$354,3,FALSE)="","",VLOOKUP(V826,βοηθητικό!$J$2:$N$354,3,FALSE))</f>
        <v>_</v>
      </c>
      <c r="X826" s="44"/>
      <c r="Y826" s="5" t="s">
        <v>16</v>
      </c>
      <c r="Z826" s="46" t="str">
        <f>IF(VLOOKUP(Y826,βοηθητικό!$J$2:$N$354,3,FALSE)="","",VLOOKUP(Y826,βοηθητικό!$J$2:$N$354,3,FALSE))</f>
        <v>_</v>
      </c>
      <c r="AA826" s="47"/>
      <c r="AB826" s="4" t="s">
        <v>16</v>
      </c>
      <c r="AC826" s="43" t="str">
        <f>IF(VLOOKUP(AB826,βοηθητικό!$J$2:$N$354,3,FALSE)="","",VLOOKUP(AB826,βοηθητικό!$J$2:$N$354,3,FALSE))</f>
        <v>_</v>
      </c>
      <c r="AD826" s="44"/>
      <c r="AE826" s="5" t="s">
        <v>16</v>
      </c>
      <c r="AF826" s="46" t="str">
        <f>IF(VLOOKUP(AE826,βοηθητικό!$J$2:$N$354,3,FALSE)="","",VLOOKUP(AE826,βοηθητικό!$J$2:$N$354,3,FALSE))</f>
        <v>_</v>
      </c>
      <c r="AG826" s="47"/>
      <c r="AH826" s="4" t="s">
        <v>16</v>
      </c>
      <c r="AI826" s="43" t="str">
        <f>IF(VLOOKUP(AH826,βοηθητικό!$J$2:$N$354,3,FALSE)="","",VLOOKUP(AH826,βοηθητικό!$J$2:$N$354,3,FALSE))</f>
        <v>_</v>
      </c>
      <c r="AJ826" s="44"/>
      <c r="AK826" s="5" t="s">
        <v>16</v>
      </c>
      <c r="AL826" s="46" t="str">
        <f>IF(VLOOKUP(AK826,βοηθητικό!$J$2:$N$354,3,FALSE)="","",VLOOKUP(AK826,βοηθητικό!$J$2:$N$354,3,FALSE))</f>
        <v>_</v>
      </c>
      <c r="AM826" s="47"/>
      <c r="AN826" s="4" t="s">
        <v>16</v>
      </c>
      <c r="AO826" s="43" t="str">
        <f>IF(VLOOKUP(AN826,βοηθητικό!$J$2:$N$354,3,FALSE)="","",VLOOKUP(AN826,βοηθητικό!$J$2:$N$354,3,FALSE))</f>
        <v>_</v>
      </c>
      <c r="AP826" s="44"/>
      <c r="AQ826" s="5" t="s">
        <v>16</v>
      </c>
      <c r="AR826" s="46" t="str">
        <f>IF(VLOOKUP(AQ826,βοηθητικό!$J$2:$N$354,3,FALSE)="","",VLOOKUP(AQ826,βοηθητικό!$J$2:$N$354,3,FALSE))</f>
        <v>_</v>
      </c>
      <c r="AS826" s="47"/>
      <c r="AT826" s="4" t="s">
        <v>16</v>
      </c>
      <c r="AU826" s="43" t="str">
        <f>IF(VLOOKUP(AT826,βοηθητικό!$J$2:$N$354,3,FALSE)="","",VLOOKUP(AT826,βοηθητικό!$J$2:$N$354,3,FALSE))</f>
        <v>_</v>
      </c>
      <c r="AV826" s="44"/>
      <c r="AW826" s="5" t="s">
        <v>16</v>
      </c>
      <c r="AX826" s="46" t="str">
        <f>IF(VLOOKUP(AW826,βοηθητικό!$J$2:$N$354,3,FALSE)="","",VLOOKUP(AW826,βοηθητικό!$J$2:$N$354,3,FALSE))</f>
        <v>_</v>
      </c>
      <c r="AY826" s="47"/>
      <c r="AZ826" s="4" t="s">
        <v>16</v>
      </c>
      <c r="BA826" s="43" t="str">
        <f>IF(VLOOKUP(AZ826,βοηθητικό!$J$2:$N$354,3,FALSE)="","",VLOOKUP(AZ826,βοηθητικό!$J$2:$N$354,3,FALSE))</f>
        <v>_</v>
      </c>
      <c r="BB826" s="44"/>
      <c r="BC826" s="45" t="s">
        <v>16</v>
      </c>
      <c r="BD826" s="46" t="str">
        <f>IF(VLOOKUP(BC826,βοηθητικό!$J$2:$N$354,3,FALSE)="","",VLOOKUP(BC826,βοηθητικό!$J$2:$N$354,3,FALSE))</f>
        <v>_</v>
      </c>
      <c r="BE826" s="47"/>
      <c r="BF826" s="42" t="s">
        <v>16</v>
      </c>
      <c r="BG826" s="43" t="str">
        <f>IF(VLOOKUP(BF826,βοηθητικό!$J$2:$N$354,3,FALSE)="","",VLOOKUP(BF826,βοηθητικό!$J$2:$N$354,3,FALSE))</f>
        <v>_</v>
      </c>
      <c r="BH826" s="44"/>
      <c r="BI826" s="45" t="s">
        <v>16</v>
      </c>
      <c r="BJ826" s="46" t="str">
        <f>IF(VLOOKUP(BI826,βοηθητικό!$J$2:$N$354,3,FALSE)="","",VLOOKUP(BI826,βοηθητικό!$J$2:$N$354,3,FALSE))</f>
        <v>_</v>
      </c>
      <c r="BK826" s="47"/>
      <c r="BL826" s="42" t="s">
        <v>16</v>
      </c>
      <c r="BM826" s="43" t="str">
        <f>IF(VLOOKUP(BL826,βοηθητικό!$J$2:$N$354,3,FALSE)="","",VLOOKUP(BL826,βοηθητικό!$J$2:$N$354,3,FALSE))</f>
        <v>_</v>
      </c>
      <c r="BN826" s="44"/>
      <c r="BO826" s="45" t="s">
        <v>16</v>
      </c>
      <c r="BP826" s="46" t="str">
        <f>IF(VLOOKUP(BO826,βοηθητικό!$J$2:$N$354,3,FALSE)="","",VLOOKUP(BO826,βοηθητικό!$J$2:$N$354,3,FALSE))</f>
        <v>_</v>
      </c>
      <c r="BQ826" s="47"/>
      <c r="BR826" s="42" t="s">
        <v>16</v>
      </c>
      <c r="BS826" s="43" t="str">
        <f>IF(VLOOKUP(BR826,βοηθητικό!$J$2:$N$354,3,FALSE)="","",VLOOKUP(BR826,βοηθητικό!$J$2:$N$354,3,FALSE))</f>
        <v>_</v>
      </c>
      <c r="BT826" s="44"/>
      <c r="BU826" s="45" t="s">
        <v>16</v>
      </c>
      <c r="BV826" s="46" t="str">
        <f>IF(VLOOKUP(BU826,βοηθητικό!$J$2:$N$354,3,FALSE)="","",VLOOKUP(BU826,βοηθητικό!$J$2:$N$354,3,FALSE))</f>
        <v>_</v>
      </c>
      <c r="BW826" s="47"/>
      <c r="BX826" s="42" t="s">
        <v>16</v>
      </c>
      <c r="BY826" s="43" t="str">
        <f>IF(VLOOKUP(BX826,βοηθητικό!$J$2:$N$354,3,FALSE)="","",VLOOKUP(BX826,βοηθητικό!$J$2:$N$354,3,FALSE))</f>
        <v>_</v>
      </c>
      <c r="BZ826" s="44"/>
      <c r="CA826" s="45" t="s">
        <v>16</v>
      </c>
      <c r="CB826" s="46" t="str">
        <f>IF(VLOOKUP(CA826,βοηθητικό!$J$2:$N$354,3,FALSE)="","",VLOOKUP(CA826,βοηθητικό!$J$2:$N$354,3,FALSE))</f>
        <v>_</v>
      </c>
      <c r="CC826" s="47"/>
      <c r="CD826" s="42" t="s">
        <v>16</v>
      </c>
      <c r="CE826" s="43" t="str">
        <f>IF(VLOOKUP(CD826,βοηθητικό!$J$2:$N$354,3,FALSE)="","",VLOOKUP(CD826,βοηθητικό!$J$2:$N$354,3,FALSE))</f>
        <v>_</v>
      </c>
      <c r="CF826" s="44"/>
      <c r="CG826" s="45" t="s">
        <v>16</v>
      </c>
      <c r="CH826" s="46" t="str">
        <f>IF(VLOOKUP(CG826,βοηθητικό!$J$2:$N$354,3,FALSE)="","",VLOOKUP(CG826,βοηθητικό!$J$2:$N$354,3,FALSE))</f>
        <v>_</v>
      </c>
      <c r="CI826" s="47"/>
      <c r="CJ826" s="42" t="s">
        <v>16</v>
      </c>
      <c r="CK826" s="43" t="str">
        <f>IF(VLOOKUP(CJ826,βοηθητικό!$J$2:$N$354,3,FALSE)="","",VLOOKUP(CJ826,βοηθητικό!$J$2:$N$354,3,FALSE))</f>
        <v>_</v>
      </c>
      <c r="CL826" s="44"/>
      <c r="CM826" s="45" t="s">
        <v>16</v>
      </c>
      <c r="CN826" s="46" t="str">
        <f>IF(VLOOKUP(CM826,βοηθητικό!$J$2:$N$354,3,FALSE)="","",VLOOKUP(CM826,βοηθητικό!$J$2:$N$354,3,FALSE))</f>
        <v>_</v>
      </c>
      <c r="CO826" s="47"/>
      <c r="CP826" s="42" t="s">
        <v>16</v>
      </c>
      <c r="CQ826" s="43" t="str">
        <f>IF(VLOOKUP(CP826,βοηθητικό!$J$2:$N$354,3,FALSE)="","",VLOOKUP(CP826,βοηθητικό!$J$2:$N$354,3,FALSE))</f>
        <v>_</v>
      </c>
      <c r="CR826" s="44"/>
      <c r="CS826" s="45" t="s">
        <v>16</v>
      </c>
      <c r="CT826" s="46" t="str">
        <f>IF(VLOOKUP(CS826,βοηθητικό!$J$2:$N$354,3,FALSE)="","",VLOOKUP(CS826,βοηθητικό!$J$2:$N$354,3,FALSE))</f>
        <v>_</v>
      </c>
      <c r="CU826" s="47"/>
    </row>
    <row r="827" spans="1:99" x14ac:dyDescent="0.25">
      <c r="A827" s="37">
        <f>--SUBTOTAL(3,$B$3:B826)</f>
        <v>198</v>
      </c>
      <c r="B827" s="2"/>
      <c r="C827" s="3"/>
      <c r="D827" s="55" t="s">
        <v>18</v>
      </c>
      <c r="E827" s="38" t="s">
        <v>16</v>
      </c>
      <c r="F827" s="38"/>
      <c r="G827" s="39" t="str">
        <f t="shared" si="38"/>
        <v>__</v>
      </c>
      <c r="H827" s="40" t="str">
        <f t="shared" si="39"/>
        <v>FALSE</v>
      </c>
      <c r="I827" s="41">
        <f t="shared" si="40"/>
        <v>0</v>
      </c>
      <c r="J827" s="4" t="s">
        <v>16</v>
      </c>
      <c r="K827" s="43" t="str">
        <f>IF(VLOOKUP(J827,βοηθητικό!$J$2:$N$354,3,FALSE)="","",VLOOKUP(J827,βοηθητικό!$J$2:$N$354,3,FALSE))</f>
        <v>_</v>
      </c>
      <c r="L827" s="44"/>
      <c r="M827" s="5" t="s">
        <v>16</v>
      </c>
      <c r="N827" s="46" t="str">
        <f>IF(VLOOKUP(M827,βοηθητικό!$J$2:$N$354,3,FALSE)="","",VLOOKUP(M827,βοηθητικό!$J$2:$N$354,3,FALSE))</f>
        <v>_</v>
      </c>
      <c r="O827" s="47"/>
      <c r="P827" s="4" t="s">
        <v>16</v>
      </c>
      <c r="Q827" s="43" t="str">
        <f>IF(VLOOKUP(P827,βοηθητικό!$J$2:$N$354,3,FALSE)="","",VLOOKUP(P827,βοηθητικό!$J$2:$N$354,3,FALSE))</f>
        <v>_</v>
      </c>
      <c r="R827" s="44"/>
      <c r="S827" s="5" t="s">
        <v>16</v>
      </c>
      <c r="T827" s="46" t="str">
        <f>IF(VLOOKUP(S827,βοηθητικό!$J$2:$N$354,3,FALSE)="","",VLOOKUP(S827,βοηθητικό!$J$2:$N$354,3,FALSE))</f>
        <v>_</v>
      </c>
      <c r="U827" s="47"/>
      <c r="V827" s="4" t="s">
        <v>16</v>
      </c>
      <c r="W827" s="43" t="str">
        <f>IF(VLOOKUP(V827,βοηθητικό!$J$2:$N$354,3,FALSE)="","",VLOOKUP(V827,βοηθητικό!$J$2:$N$354,3,FALSE))</f>
        <v>_</v>
      </c>
      <c r="X827" s="44"/>
      <c r="Y827" s="5" t="s">
        <v>16</v>
      </c>
      <c r="Z827" s="46" t="str">
        <f>IF(VLOOKUP(Y827,βοηθητικό!$J$2:$N$354,3,FALSE)="","",VLOOKUP(Y827,βοηθητικό!$J$2:$N$354,3,FALSE))</f>
        <v>_</v>
      </c>
      <c r="AA827" s="47"/>
      <c r="AB827" s="4" t="s">
        <v>16</v>
      </c>
      <c r="AC827" s="43" t="str">
        <f>IF(VLOOKUP(AB827,βοηθητικό!$J$2:$N$354,3,FALSE)="","",VLOOKUP(AB827,βοηθητικό!$J$2:$N$354,3,FALSE))</f>
        <v>_</v>
      </c>
      <c r="AD827" s="44"/>
      <c r="AE827" s="5" t="s">
        <v>16</v>
      </c>
      <c r="AF827" s="46" t="str">
        <f>IF(VLOOKUP(AE827,βοηθητικό!$J$2:$N$354,3,FALSE)="","",VLOOKUP(AE827,βοηθητικό!$J$2:$N$354,3,FALSE))</f>
        <v>_</v>
      </c>
      <c r="AG827" s="47"/>
      <c r="AH827" s="4" t="s">
        <v>16</v>
      </c>
      <c r="AI827" s="43" t="str">
        <f>IF(VLOOKUP(AH827,βοηθητικό!$J$2:$N$354,3,FALSE)="","",VLOOKUP(AH827,βοηθητικό!$J$2:$N$354,3,FALSE))</f>
        <v>_</v>
      </c>
      <c r="AJ827" s="44"/>
      <c r="AK827" s="5" t="s">
        <v>16</v>
      </c>
      <c r="AL827" s="46" t="str">
        <f>IF(VLOOKUP(AK827,βοηθητικό!$J$2:$N$354,3,FALSE)="","",VLOOKUP(AK827,βοηθητικό!$J$2:$N$354,3,FALSE))</f>
        <v>_</v>
      </c>
      <c r="AM827" s="47"/>
      <c r="AN827" s="4" t="s">
        <v>16</v>
      </c>
      <c r="AO827" s="43" t="str">
        <f>IF(VLOOKUP(AN827,βοηθητικό!$J$2:$N$354,3,FALSE)="","",VLOOKUP(AN827,βοηθητικό!$J$2:$N$354,3,FALSE))</f>
        <v>_</v>
      </c>
      <c r="AP827" s="44"/>
      <c r="AQ827" s="5" t="s">
        <v>16</v>
      </c>
      <c r="AR827" s="46" t="str">
        <f>IF(VLOOKUP(AQ827,βοηθητικό!$J$2:$N$354,3,FALSE)="","",VLOOKUP(AQ827,βοηθητικό!$J$2:$N$354,3,FALSE))</f>
        <v>_</v>
      </c>
      <c r="AS827" s="47"/>
      <c r="AT827" s="4" t="s">
        <v>16</v>
      </c>
      <c r="AU827" s="43" t="str">
        <f>IF(VLOOKUP(AT827,βοηθητικό!$J$2:$N$354,3,FALSE)="","",VLOOKUP(AT827,βοηθητικό!$J$2:$N$354,3,FALSE))</f>
        <v>_</v>
      </c>
      <c r="AV827" s="44"/>
      <c r="AW827" s="5" t="s">
        <v>16</v>
      </c>
      <c r="AX827" s="46" t="str">
        <f>IF(VLOOKUP(AW827,βοηθητικό!$J$2:$N$354,3,FALSE)="","",VLOOKUP(AW827,βοηθητικό!$J$2:$N$354,3,FALSE))</f>
        <v>_</v>
      </c>
      <c r="AY827" s="47"/>
      <c r="AZ827" s="4" t="s">
        <v>16</v>
      </c>
      <c r="BA827" s="43" t="str">
        <f>IF(VLOOKUP(AZ827,βοηθητικό!$J$2:$N$354,3,FALSE)="","",VLOOKUP(AZ827,βοηθητικό!$J$2:$N$354,3,FALSE))</f>
        <v>_</v>
      </c>
      <c r="BB827" s="44"/>
      <c r="BC827" s="45" t="s">
        <v>16</v>
      </c>
      <c r="BD827" s="46" t="str">
        <f>IF(VLOOKUP(BC827,βοηθητικό!$J$2:$N$354,3,FALSE)="","",VLOOKUP(BC827,βοηθητικό!$J$2:$N$354,3,FALSE))</f>
        <v>_</v>
      </c>
      <c r="BE827" s="47"/>
      <c r="BF827" s="42" t="s">
        <v>16</v>
      </c>
      <c r="BG827" s="43" t="str">
        <f>IF(VLOOKUP(BF827,βοηθητικό!$J$2:$N$354,3,FALSE)="","",VLOOKUP(BF827,βοηθητικό!$J$2:$N$354,3,FALSE))</f>
        <v>_</v>
      </c>
      <c r="BH827" s="44"/>
      <c r="BI827" s="45" t="s">
        <v>16</v>
      </c>
      <c r="BJ827" s="46" t="str">
        <f>IF(VLOOKUP(BI827,βοηθητικό!$J$2:$N$354,3,FALSE)="","",VLOOKUP(BI827,βοηθητικό!$J$2:$N$354,3,FALSE))</f>
        <v>_</v>
      </c>
      <c r="BK827" s="47"/>
      <c r="BL827" s="42" t="s">
        <v>16</v>
      </c>
      <c r="BM827" s="43" t="str">
        <f>IF(VLOOKUP(BL827,βοηθητικό!$J$2:$N$354,3,FALSE)="","",VLOOKUP(BL827,βοηθητικό!$J$2:$N$354,3,FALSE))</f>
        <v>_</v>
      </c>
      <c r="BN827" s="44"/>
      <c r="BO827" s="45" t="s">
        <v>16</v>
      </c>
      <c r="BP827" s="46" t="str">
        <f>IF(VLOOKUP(BO827,βοηθητικό!$J$2:$N$354,3,FALSE)="","",VLOOKUP(BO827,βοηθητικό!$J$2:$N$354,3,FALSE))</f>
        <v>_</v>
      </c>
      <c r="BQ827" s="47"/>
      <c r="BR827" s="42" t="s">
        <v>16</v>
      </c>
      <c r="BS827" s="43" t="str">
        <f>IF(VLOOKUP(BR827,βοηθητικό!$J$2:$N$354,3,FALSE)="","",VLOOKUP(BR827,βοηθητικό!$J$2:$N$354,3,FALSE))</f>
        <v>_</v>
      </c>
      <c r="BT827" s="44"/>
      <c r="BU827" s="45" t="s">
        <v>16</v>
      </c>
      <c r="BV827" s="46" t="str">
        <f>IF(VLOOKUP(BU827,βοηθητικό!$J$2:$N$354,3,FALSE)="","",VLOOKUP(BU827,βοηθητικό!$J$2:$N$354,3,FALSE))</f>
        <v>_</v>
      </c>
      <c r="BW827" s="47"/>
      <c r="BX827" s="42" t="s">
        <v>16</v>
      </c>
      <c r="BY827" s="43" t="str">
        <f>IF(VLOOKUP(BX827,βοηθητικό!$J$2:$N$354,3,FALSE)="","",VLOOKUP(BX827,βοηθητικό!$J$2:$N$354,3,FALSE))</f>
        <v>_</v>
      </c>
      <c r="BZ827" s="44"/>
      <c r="CA827" s="45" t="s">
        <v>16</v>
      </c>
      <c r="CB827" s="46" t="str">
        <f>IF(VLOOKUP(CA827,βοηθητικό!$J$2:$N$354,3,FALSE)="","",VLOOKUP(CA827,βοηθητικό!$J$2:$N$354,3,FALSE))</f>
        <v>_</v>
      </c>
      <c r="CC827" s="47"/>
      <c r="CD827" s="42" t="s">
        <v>16</v>
      </c>
      <c r="CE827" s="43" t="str">
        <f>IF(VLOOKUP(CD827,βοηθητικό!$J$2:$N$354,3,FALSE)="","",VLOOKUP(CD827,βοηθητικό!$J$2:$N$354,3,FALSE))</f>
        <v>_</v>
      </c>
      <c r="CF827" s="44"/>
      <c r="CG827" s="45" t="s">
        <v>16</v>
      </c>
      <c r="CH827" s="46" t="str">
        <f>IF(VLOOKUP(CG827,βοηθητικό!$J$2:$N$354,3,FALSE)="","",VLOOKUP(CG827,βοηθητικό!$J$2:$N$354,3,FALSE))</f>
        <v>_</v>
      </c>
      <c r="CI827" s="47"/>
      <c r="CJ827" s="42" t="s">
        <v>16</v>
      </c>
      <c r="CK827" s="43" t="str">
        <f>IF(VLOOKUP(CJ827,βοηθητικό!$J$2:$N$354,3,FALSE)="","",VLOOKUP(CJ827,βοηθητικό!$J$2:$N$354,3,FALSE))</f>
        <v>_</v>
      </c>
      <c r="CL827" s="44"/>
      <c r="CM827" s="45" t="s">
        <v>16</v>
      </c>
      <c r="CN827" s="46" t="str">
        <f>IF(VLOOKUP(CM827,βοηθητικό!$J$2:$N$354,3,FALSE)="","",VLOOKUP(CM827,βοηθητικό!$J$2:$N$354,3,FALSE))</f>
        <v>_</v>
      </c>
      <c r="CO827" s="47"/>
      <c r="CP827" s="42" t="s">
        <v>16</v>
      </c>
      <c r="CQ827" s="43" t="str">
        <f>IF(VLOOKUP(CP827,βοηθητικό!$J$2:$N$354,3,FALSE)="","",VLOOKUP(CP827,βοηθητικό!$J$2:$N$354,3,FALSE))</f>
        <v>_</v>
      </c>
      <c r="CR827" s="44"/>
      <c r="CS827" s="45" t="s">
        <v>16</v>
      </c>
      <c r="CT827" s="46" t="str">
        <f>IF(VLOOKUP(CS827,βοηθητικό!$J$2:$N$354,3,FALSE)="","",VLOOKUP(CS827,βοηθητικό!$J$2:$N$354,3,FALSE))</f>
        <v>_</v>
      </c>
      <c r="CU827" s="47"/>
    </row>
    <row r="828" spans="1:99" x14ac:dyDescent="0.25">
      <c r="A828" s="37">
        <f>--SUBTOTAL(3,$B$3:B827)</f>
        <v>198</v>
      </c>
      <c r="B828" s="2"/>
      <c r="C828" s="3"/>
      <c r="D828" s="55" t="s">
        <v>18</v>
      </c>
      <c r="E828" s="38" t="s">
        <v>16</v>
      </c>
      <c r="F828" s="38"/>
      <c r="G828" s="39" t="str">
        <f t="shared" si="38"/>
        <v>__</v>
      </c>
      <c r="H828" s="40" t="str">
        <f t="shared" si="39"/>
        <v>FALSE</v>
      </c>
      <c r="I828" s="41">
        <f t="shared" si="40"/>
        <v>0</v>
      </c>
      <c r="J828" s="4" t="s">
        <v>16</v>
      </c>
      <c r="K828" s="43" t="str">
        <f>IF(VLOOKUP(J828,βοηθητικό!$J$2:$N$354,3,FALSE)="","",VLOOKUP(J828,βοηθητικό!$J$2:$N$354,3,FALSE))</f>
        <v>_</v>
      </c>
      <c r="L828" s="44"/>
      <c r="M828" s="5" t="s">
        <v>16</v>
      </c>
      <c r="N828" s="46" t="str">
        <f>IF(VLOOKUP(M828,βοηθητικό!$J$2:$N$354,3,FALSE)="","",VLOOKUP(M828,βοηθητικό!$J$2:$N$354,3,FALSE))</f>
        <v>_</v>
      </c>
      <c r="O828" s="47"/>
      <c r="P828" s="4" t="s">
        <v>16</v>
      </c>
      <c r="Q828" s="43" t="str">
        <f>IF(VLOOKUP(P828,βοηθητικό!$J$2:$N$354,3,FALSE)="","",VLOOKUP(P828,βοηθητικό!$J$2:$N$354,3,FALSE))</f>
        <v>_</v>
      </c>
      <c r="R828" s="44"/>
      <c r="S828" s="5" t="s">
        <v>16</v>
      </c>
      <c r="T828" s="46" t="str">
        <f>IF(VLOOKUP(S828,βοηθητικό!$J$2:$N$354,3,FALSE)="","",VLOOKUP(S828,βοηθητικό!$J$2:$N$354,3,FALSE))</f>
        <v>_</v>
      </c>
      <c r="U828" s="47"/>
      <c r="V828" s="4" t="s">
        <v>16</v>
      </c>
      <c r="W828" s="43" t="str">
        <f>IF(VLOOKUP(V828,βοηθητικό!$J$2:$N$354,3,FALSE)="","",VLOOKUP(V828,βοηθητικό!$J$2:$N$354,3,FALSE))</f>
        <v>_</v>
      </c>
      <c r="X828" s="44"/>
      <c r="Y828" s="5" t="s">
        <v>16</v>
      </c>
      <c r="Z828" s="46" t="str">
        <f>IF(VLOOKUP(Y828,βοηθητικό!$J$2:$N$354,3,FALSE)="","",VLOOKUP(Y828,βοηθητικό!$J$2:$N$354,3,FALSE))</f>
        <v>_</v>
      </c>
      <c r="AA828" s="47"/>
      <c r="AB828" s="4" t="s">
        <v>16</v>
      </c>
      <c r="AC828" s="43" t="str">
        <f>IF(VLOOKUP(AB828,βοηθητικό!$J$2:$N$354,3,FALSE)="","",VLOOKUP(AB828,βοηθητικό!$J$2:$N$354,3,FALSE))</f>
        <v>_</v>
      </c>
      <c r="AD828" s="44"/>
      <c r="AE828" s="5" t="s">
        <v>16</v>
      </c>
      <c r="AF828" s="46" t="str">
        <f>IF(VLOOKUP(AE828,βοηθητικό!$J$2:$N$354,3,FALSE)="","",VLOOKUP(AE828,βοηθητικό!$J$2:$N$354,3,FALSE))</f>
        <v>_</v>
      </c>
      <c r="AG828" s="47"/>
      <c r="AH828" s="4" t="s">
        <v>16</v>
      </c>
      <c r="AI828" s="43" t="str">
        <f>IF(VLOOKUP(AH828,βοηθητικό!$J$2:$N$354,3,FALSE)="","",VLOOKUP(AH828,βοηθητικό!$J$2:$N$354,3,FALSE))</f>
        <v>_</v>
      </c>
      <c r="AJ828" s="44"/>
      <c r="AK828" s="5" t="s">
        <v>16</v>
      </c>
      <c r="AL828" s="46" t="str">
        <f>IF(VLOOKUP(AK828,βοηθητικό!$J$2:$N$354,3,FALSE)="","",VLOOKUP(AK828,βοηθητικό!$J$2:$N$354,3,FALSE))</f>
        <v>_</v>
      </c>
      <c r="AM828" s="47"/>
      <c r="AN828" s="4" t="s">
        <v>16</v>
      </c>
      <c r="AO828" s="43" t="str">
        <f>IF(VLOOKUP(AN828,βοηθητικό!$J$2:$N$354,3,FALSE)="","",VLOOKUP(AN828,βοηθητικό!$J$2:$N$354,3,FALSE))</f>
        <v>_</v>
      </c>
      <c r="AP828" s="44"/>
      <c r="AQ828" s="5" t="s">
        <v>16</v>
      </c>
      <c r="AR828" s="46" t="str">
        <f>IF(VLOOKUP(AQ828,βοηθητικό!$J$2:$N$354,3,FALSE)="","",VLOOKUP(AQ828,βοηθητικό!$J$2:$N$354,3,FALSE))</f>
        <v>_</v>
      </c>
      <c r="AS828" s="47"/>
      <c r="AT828" s="4" t="s">
        <v>16</v>
      </c>
      <c r="AU828" s="43" t="str">
        <f>IF(VLOOKUP(AT828,βοηθητικό!$J$2:$N$354,3,FALSE)="","",VLOOKUP(AT828,βοηθητικό!$J$2:$N$354,3,FALSE))</f>
        <v>_</v>
      </c>
      <c r="AV828" s="44"/>
      <c r="AW828" s="5" t="s">
        <v>16</v>
      </c>
      <c r="AX828" s="46" t="str">
        <f>IF(VLOOKUP(AW828,βοηθητικό!$J$2:$N$354,3,FALSE)="","",VLOOKUP(AW828,βοηθητικό!$J$2:$N$354,3,FALSE))</f>
        <v>_</v>
      </c>
      <c r="AY828" s="47"/>
      <c r="AZ828" s="4" t="s">
        <v>16</v>
      </c>
      <c r="BA828" s="43" t="str">
        <f>IF(VLOOKUP(AZ828,βοηθητικό!$J$2:$N$354,3,FALSE)="","",VLOOKUP(AZ828,βοηθητικό!$J$2:$N$354,3,FALSE))</f>
        <v>_</v>
      </c>
      <c r="BB828" s="44"/>
      <c r="BC828" s="45" t="s">
        <v>16</v>
      </c>
      <c r="BD828" s="46" t="str">
        <f>IF(VLOOKUP(BC828,βοηθητικό!$J$2:$N$354,3,FALSE)="","",VLOOKUP(BC828,βοηθητικό!$J$2:$N$354,3,FALSE))</f>
        <v>_</v>
      </c>
      <c r="BE828" s="47"/>
      <c r="BF828" s="42" t="s">
        <v>16</v>
      </c>
      <c r="BG828" s="43" t="str">
        <f>IF(VLOOKUP(BF828,βοηθητικό!$J$2:$N$354,3,FALSE)="","",VLOOKUP(BF828,βοηθητικό!$J$2:$N$354,3,FALSE))</f>
        <v>_</v>
      </c>
      <c r="BH828" s="44"/>
      <c r="BI828" s="45" t="s">
        <v>16</v>
      </c>
      <c r="BJ828" s="46" t="str">
        <f>IF(VLOOKUP(BI828,βοηθητικό!$J$2:$N$354,3,FALSE)="","",VLOOKUP(BI828,βοηθητικό!$J$2:$N$354,3,FALSE))</f>
        <v>_</v>
      </c>
      <c r="BK828" s="47"/>
      <c r="BL828" s="42" t="s">
        <v>16</v>
      </c>
      <c r="BM828" s="43" t="str">
        <f>IF(VLOOKUP(BL828,βοηθητικό!$J$2:$N$354,3,FALSE)="","",VLOOKUP(BL828,βοηθητικό!$J$2:$N$354,3,FALSE))</f>
        <v>_</v>
      </c>
      <c r="BN828" s="44"/>
      <c r="BO828" s="45" t="s">
        <v>16</v>
      </c>
      <c r="BP828" s="46" t="str">
        <f>IF(VLOOKUP(BO828,βοηθητικό!$J$2:$N$354,3,FALSE)="","",VLOOKUP(BO828,βοηθητικό!$J$2:$N$354,3,FALSE))</f>
        <v>_</v>
      </c>
      <c r="BQ828" s="47"/>
      <c r="BR828" s="42" t="s">
        <v>16</v>
      </c>
      <c r="BS828" s="43" t="str">
        <f>IF(VLOOKUP(BR828,βοηθητικό!$J$2:$N$354,3,FALSE)="","",VLOOKUP(BR828,βοηθητικό!$J$2:$N$354,3,FALSE))</f>
        <v>_</v>
      </c>
      <c r="BT828" s="44"/>
      <c r="BU828" s="45" t="s">
        <v>16</v>
      </c>
      <c r="BV828" s="46" t="str">
        <f>IF(VLOOKUP(BU828,βοηθητικό!$J$2:$N$354,3,FALSE)="","",VLOOKUP(BU828,βοηθητικό!$J$2:$N$354,3,FALSE))</f>
        <v>_</v>
      </c>
      <c r="BW828" s="47"/>
      <c r="BX828" s="42" t="s">
        <v>16</v>
      </c>
      <c r="BY828" s="43" t="str">
        <f>IF(VLOOKUP(BX828,βοηθητικό!$J$2:$N$354,3,FALSE)="","",VLOOKUP(BX828,βοηθητικό!$J$2:$N$354,3,FALSE))</f>
        <v>_</v>
      </c>
      <c r="BZ828" s="44"/>
      <c r="CA828" s="45" t="s">
        <v>16</v>
      </c>
      <c r="CB828" s="46" t="str">
        <f>IF(VLOOKUP(CA828,βοηθητικό!$J$2:$N$354,3,FALSE)="","",VLOOKUP(CA828,βοηθητικό!$J$2:$N$354,3,FALSE))</f>
        <v>_</v>
      </c>
      <c r="CC828" s="47"/>
      <c r="CD828" s="42" t="s">
        <v>16</v>
      </c>
      <c r="CE828" s="43" t="str">
        <f>IF(VLOOKUP(CD828,βοηθητικό!$J$2:$N$354,3,FALSE)="","",VLOOKUP(CD828,βοηθητικό!$J$2:$N$354,3,FALSE))</f>
        <v>_</v>
      </c>
      <c r="CF828" s="44"/>
      <c r="CG828" s="45" t="s">
        <v>16</v>
      </c>
      <c r="CH828" s="46" t="str">
        <f>IF(VLOOKUP(CG828,βοηθητικό!$J$2:$N$354,3,FALSE)="","",VLOOKUP(CG828,βοηθητικό!$J$2:$N$354,3,FALSE))</f>
        <v>_</v>
      </c>
      <c r="CI828" s="47"/>
      <c r="CJ828" s="42" t="s">
        <v>16</v>
      </c>
      <c r="CK828" s="43" t="str">
        <f>IF(VLOOKUP(CJ828,βοηθητικό!$J$2:$N$354,3,FALSE)="","",VLOOKUP(CJ828,βοηθητικό!$J$2:$N$354,3,FALSE))</f>
        <v>_</v>
      </c>
      <c r="CL828" s="44"/>
      <c r="CM828" s="45" t="s">
        <v>16</v>
      </c>
      <c r="CN828" s="46" t="str">
        <f>IF(VLOOKUP(CM828,βοηθητικό!$J$2:$N$354,3,FALSE)="","",VLOOKUP(CM828,βοηθητικό!$J$2:$N$354,3,FALSE))</f>
        <v>_</v>
      </c>
      <c r="CO828" s="47"/>
      <c r="CP828" s="42" t="s">
        <v>16</v>
      </c>
      <c r="CQ828" s="43" t="str">
        <f>IF(VLOOKUP(CP828,βοηθητικό!$J$2:$N$354,3,FALSE)="","",VLOOKUP(CP828,βοηθητικό!$J$2:$N$354,3,FALSE))</f>
        <v>_</v>
      </c>
      <c r="CR828" s="44"/>
      <c r="CS828" s="45" t="s">
        <v>16</v>
      </c>
      <c r="CT828" s="46" t="str">
        <f>IF(VLOOKUP(CS828,βοηθητικό!$J$2:$N$354,3,FALSE)="","",VLOOKUP(CS828,βοηθητικό!$J$2:$N$354,3,FALSE))</f>
        <v>_</v>
      </c>
      <c r="CU828" s="47"/>
    </row>
    <row r="829" spans="1:99" x14ac:dyDescent="0.25">
      <c r="A829" s="37">
        <f>--SUBTOTAL(3,$B$3:B828)</f>
        <v>198</v>
      </c>
      <c r="B829" s="2"/>
      <c r="C829" s="3"/>
      <c r="D829" s="55" t="s">
        <v>18</v>
      </c>
      <c r="E829" s="38" t="s">
        <v>16</v>
      </c>
      <c r="F829" s="38"/>
      <c r="G829" s="39" t="str">
        <f t="shared" si="38"/>
        <v>__</v>
      </c>
      <c r="H829" s="40" t="str">
        <f t="shared" si="39"/>
        <v>FALSE</v>
      </c>
      <c r="I829" s="41">
        <f t="shared" si="40"/>
        <v>0</v>
      </c>
      <c r="J829" s="4" t="s">
        <v>16</v>
      </c>
      <c r="K829" s="43" t="str">
        <f>IF(VLOOKUP(J829,βοηθητικό!$J$2:$N$354,3,FALSE)="","",VLOOKUP(J829,βοηθητικό!$J$2:$N$354,3,FALSE))</f>
        <v>_</v>
      </c>
      <c r="L829" s="44"/>
      <c r="M829" s="5" t="s">
        <v>16</v>
      </c>
      <c r="N829" s="46" t="str">
        <f>IF(VLOOKUP(M829,βοηθητικό!$J$2:$N$354,3,FALSE)="","",VLOOKUP(M829,βοηθητικό!$J$2:$N$354,3,FALSE))</f>
        <v>_</v>
      </c>
      <c r="O829" s="47"/>
      <c r="P829" s="4" t="s">
        <v>16</v>
      </c>
      <c r="Q829" s="43" t="str">
        <f>IF(VLOOKUP(P829,βοηθητικό!$J$2:$N$354,3,FALSE)="","",VLOOKUP(P829,βοηθητικό!$J$2:$N$354,3,FALSE))</f>
        <v>_</v>
      </c>
      <c r="R829" s="44"/>
      <c r="S829" s="5" t="s">
        <v>16</v>
      </c>
      <c r="T829" s="46" t="str">
        <f>IF(VLOOKUP(S829,βοηθητικό!$J$2:$N$354,3,FALSE)="","",VLOOKUP(S829,βοηθητικό!$J$2:$N$354,3,FALSE))</f>
        <v>_</v>
      </c>
      <c r="U829" s="47"/>
      <c r="V829" s="4" t="s">
        <v>16</v>
      </c>
      <c r="W829" s="43" t="str">
        <f>IF(VLOOKUP(V829,βοηθητικό!$J$2:$N$354,3,FALSE)="","",VLOOKUP(V829,βοηθητικό!$J$2:$N$354,3,FALSE))</f>
        <v>_</v>
      </c>
      <c r="X829" s="44"/>
      <c r="Y829" s="5" t="s">
        <v>16</v>
      </c>
      <c r="Z829" s="46" t="str">
        <f>IF(VLOOKUP(Y829,βοηθητικό!$J$2:$N$354,3,FALSE)="","",VLOOKUP(Y829,βοηθητικό!$J$2:$N$354,3,FALSE))</f>
        <v>_</v>
      </c>
      <c r="AA829" s="47"/>
      <c r="AB829" s="4" t="s">
        <v>16</v>
      </c>
      <c r="AC829" s="43" t="str">
        <f>IF(VLOOKUP(AB829,βοηθητικό!$J$2:$N$354,3,FALSE)="","",VLOOKUP(AB829,βοηθητικό!$J$2:$N$354,3,FALSE))</f>
        <v>_</v>
      </c>
      <c r="AD829" s="44"/>
      <c r="AE829" s="5" t="s">
        <v>16</v>
      </c>
      <c r="AF829" s="46" t="str">
        <f>IF(VLOOKUP(AE829,βοηθητικό!$J$2:$N$354,3,FALSE)="","",VLOOKUP(AE829,βοηθητικό!$J$2:$N$354,3,FALSE))</f>
        <v>_</v>
      </c>
      <c r="AG829" s="47"/>
      <c r="AH829" s="4" t="s">
        <v>16</v>
      </c>
      <c r="AI829" s="43" t="str">
        <f>IF(VLOOKUP(AH829,βοηθητικό!$J$2:$N$354,3,FALSE)="","",VLOOKUP(AH829,βοηθητικό!$J$2:$N$354,3,FALSE))</f>
        <v>_</v>
      </c>
      <c r="AJ829" s="44"/>
      <c r="AK829" s="5" t="s">
        <v>16</v>
      </c>
      <c r="AL829" s="46" t="str">
        <f>IF(VLOOKUP(AK829,βοηθητικό!$J$2:$N$354,3,FALSE)="","",VLOOKUP(AK829,βοηθητικό!$J$2:$N$354,3,FALSE))</f>
        <v>_</v>
      </c>
      <c r="AM829" s="47"/>
      <c r="AN829" s="4" t="s">
        <v>16</v>
      </c>
      <c r="AO829" s="43" t="str">
        <f>IF(VLOOKUP(AN829,βοηθητικό!$J$2:$N$354,3,FALSE)="","",VLOOKUP(AN829,βοηθητικό!$J$2:$N$354,3,FALSE))</f>
        <v>_</v>
      </c>
      <c r="AP829" s="44"/>
      <c r="AQ829" s="5" t="s">
        <v>16</v>
      </c>
      <c r="AR829" s="46" t="str">
        <f>IF(VLOOKUP(AQ829,βοηθητικό!$J$2:$N$354,3,FALSE)="","",VLOOKUP(AQ829,βοηθητικό!$J$2:$N$354,3,FALSE))</f>
        <v>_</v>
      </c>
      <c r="AS829" s="47"/>
      <c r="AT829" s="4" t="s">
        <v>16</v>
      </c>
      <c r="AU829" s="43" t="str">
        <f>IF(VLOOKUP(AT829,βοηθητικό!$J$2:$N$354,3,FALSE)="","",VLOOKUP(AT829,βοηθητικό!$J$2:$N$354,3,FALSE))</f>
        <v>_</v>
      </c>
      <c r="AV829" s="44"/>
      <c r="AW829" s="5" t="s">
        <v>16</v>
      </c>
      <c r="AX829" s="46" t="str">
        <f>IF(VLOOKUP(AW829,βοηθητικό!$J$2:$N$354,3,FALSE)="","",VLOOKUP(AW829,βοηθητικό!$J$2:$N$354,3,FALSE))</f>
        <v>_</v>
      </c>
      <c r="AY829" s="47"/>
      <c r="AZ829" s="4" t="s">
        <v>16</v>
      </c>
      <c r="BA829" s="43" t="str">
        <f>IF(VLOOKUP(AZ829,βοηθητικό!$J$2:$N$354,3,FALSE)="","",VLOOKUP(AZ829,βοηθητικό!$J$2:$N$354,3,FALSE))</f>
        <v>_</v>
      </c>
      <c r="BB829" s="44"/>
      <c r="BC829" s="45" t="s">
        <v>16</v>
      </c>
      <c r="BD829" s="46" t="str">
        <f>IF(VLOOKUP(BC829,βοηθητικό!$J$2:$N$354,3,FALSE)="","",VLOOKUP(BC829,βοηθητικό!$J$2:$N$354,3,FALSE))</f>
        <v>_</v>
      </c>
      <c r="BE829" s="47"/>
      <c r="BF829" s="42" t="s">
        <v>16</v>
      </c>
      <c r="BG829" s="43" t="str">
        <f>IF(VLOOKUP(BF829,βοηθητικό!$J$2:$N$354,3,FALSE)="","",VLOOKUP(BF829,βοηθητικό!$J$2:$N$354,3,FALSE))</f>
        <v>_</v>
      </c>
      <c r="BH829" s="44"/>
      <c r="BI829" s="45" t="s">
        <v>16</v>
      </c>
      <c r="BJ829" s="46" t="str">
        <f>IF(VLOOKUP(BI829,βοηθητικό!$J$2:$N$354,3,FALSE)="","",VLOOKUP(BI829,βοηθητικό!$J$2:$N$354,3,FALSE))</f>
        <v>_</v>
      </c>
      <c r="BK829" s="47"/>
      <c r="BL829" s="42" t="s">
        <v>16</v>
      </c>
      <c r="BM829" s="43" t="str">
        <f>IF(VLOOKUP(BL829,βοηθητικό!$J$2:$N$354,3,FALSE)="","",VLOOKUP(BL829,βοηθητικό!$J$2:$N$354,3,FALSE))</f>
        <v>_</v>
      </c>
      <c r="BN829" s="44"/>
      <c r="BO829" s="45" t="s">
        <v>16</v>
      </c>
      <c r="BP829" s="46" t="str">
        <f>IF(VLOOKUP(BO829,βοηθητικό!$J$2:$N$354,3,FALSE)="","",VLOOKUP(BO829,βοηθητικό!$J$2:$N$354,3,FALSE))</f>
        <v>_</v>
      </c>
      <c r="BQ829" s="47"/>
      <c r="BR829" s="42" t="s">
        <v>16</v>
      </c>
      <c r="BS829" s="43" t="str">
        <f>IF(VLOOKUP(BR829,βοηθητικό!$J$2:$N$354,3,FALSE)="","",VLOOKUP(BR829,βοηθητικό!$J$2:$N$354,3,FALSE))</f>
        <v>_</v>
      </c>
      <c r="BT829" s="44"/>
      <c r="BU829" s="45" t="s">
        <v>16</v>
      </c>
      <c r="BV829" s="46" t="str">
        <f>IF(VLOOKUP(BU829,βοηθητικό!$J$2:$N$354,3,FALSE)="","",VLOOKUP(BU829,βοηθητικό!$J$2:$N$354,3,FALSE))</f>
        <v>_</v>
      </c>
      <c r="BW829" s="47"/>
      <c r="BX829" s="42" t="s">
        <v>16</v>
      </c>
      <c r="BY829" s="43" t="str">
        <f>IF(VLOOKUP(BX829,βοηθητικό!$J$2:$N$354,3,FALSE)="","",VLOOKUP(BX829,βοηθητικό!$J$2:$N$354,3,FALSE))</f>
        <v>_</v>
      </c>
      <c r="BZ829" s="44"/>
      <c r="CA829" s="45" t="s">
        <v>16</v>
      </c>
      <c r="CB829" s="46" t="str">
        <f>IF(VLOOKUP(CA829,βοηθητικό!$J$2:$N$354,3,FALSE)="","",VLOOKUP(CA829,βοηθητικό!$J$2:$N$354,3,FALSE))</f>
        <v>_</v>
      </c>
      <c r="CC829" s="47"/>
      <c r="CD829" s="42" t="s">
        <v>16</v>
      </c>
      <c r="CE829" s="43" t="str">
        <f>IF(VLOOKUP(CD829,βοηθητικό!$J$2:$N$354,3,FALSE)="","",VLOOKUP(CD829,βοηθητικό!$J$2:$N$354,3,FALSE))</f>
        <v>_</v>
      </c>
      <c r="CF829" s="44"/>
      <c r="CG829" s="45" t="s">
        <v>16</v>
      </c>
      <c r="CH829" s="46" t="str">
        <f>IF(VLOOKUP(CG829,βοηθητικό!$J$2:$N$354,3,FALSE)="","",VLOOKUP(CG829,βοηθητικό!$J$2:$N$354,3,FALSE))</f>
        <v>_</v>
      </c>
      <c r="CI829" s="47"/>
      <c r="CJ829" s="42" t="s">
        <v>16</v>
      </c>
      <c r="CK829" s="43" t="str">
        <f>IF(VLOOKUP(CJ829,βοηθητικό!$J$2:$N$354,3,FALSE)="","",VLOOKUP(CJ829,βοηθητικό!$J$2:$N$354,3,FALSE))</f>
        <v>_</v>
      </c>
      <c r="CL829" s="44"/>
      <c r="CM829" s="45" t="s">
        <v>16</v>
      </c>
      <c r="CN829" s="46" t="str">
        <f>IF(VLOOKUP(CM829,βοηθητικό!$J$2:$N$354,3,FALSE)="","",VLOOKUP(CM829,βοηθητικό!$J$2:$N$354,3,FALSE))</f>
        <v>_</v>
      </c>
      <c r="CO829" s="47"/>
      <c r="CP829" s="42" t="s">
        <v>16</v>
      </c>
      <c r="CQ829" s="43" t="str">
        <f>IF(VLOOKUP(CP829,βοηθητικό!$J$2:$N$354,3,FALSE)="","",VLOOKUP(CP829,βοηθητικό!$J$2:$N$354,3,FALSE))</f>
        <v>_</v>
      </c>
      <c r="CR829" s="44"/>
      <c r="CS829" s="45" t="s">
        <v>16</v>
      </c>
      <c r="CT829" s="46" t="str">
        <f>IF(VLOOKUP(CS829,βοηθητικό!$J$2:$N$354,3,FALSE)="","",VLOOKUP(CS829,βοηθητικό!$J$2:$N$354,3,FALSE))</f>
        <v>_</v>
      </c>
      <c r="CU829" s="47"/>
    </row>
    <row r="830" spans="1:99" x14ac:dyDescent="0.25">
      <c r="A830" s="37">
        <f>--SUBTOTAL(3,$B$3:B829)</f>
        <v>198</v>
      </c>
      <c r="B830" s="2"/>
      <c r="C830" s="3"/>
      <c r="D830" s="55" t="s">
        <v>18</v>
      </c>
      <c r="E830" s="38" t="s">
        <v>16</v>
      </c>
      <c r="F830" s="38"/>
      <c r="G830" s="39" t="str">
        <f t="shared" si="38"/>
        <v>__</v>
      </c>
      <c r="H830" s="40" t="str">
        <f t="shared" si="39"/>
        <v>FALSE</v>
      </c>
      <c r="I830" s="41">
        <f t="shared" si="40"/>
        <v>0</v>
      </c>
      <c r="J830" s="4" t="s">
        <v>16</v>
      </c>
      <c r="K830" s="43" t="str">
        <f>IF(VLOOKUP(J830,βοηθητικό!$J$2:$N$354,3,FALSE)="","",VLOOKUP(J830,βοηθητικό!$J$2:$N$354,3,FALSE))</f>
        <v>_</v>
      </c>
      <c r="L830" s="44"/>
      <c r="M830" s="5" t="s">
        <v>16</v>
      </c>
      <c r="N830" s="46" t="str">
        <f>IF(VLOOKUP(M830,βοηθητικό!$J$2:$N$354,3,FALSE)="","",VLOOKUP(M830,βοηθητικό!$J$2:$N$354,3,FALSE))</f>
        <v>_</v>
      </c>
      <c r="O830" s="47"/>
      <c r="P830" s="4" t="s">
        <v>16</v>
      </c>
      <c r="Q830" s="43" t="str">
        <f>IF(VLOOKUP(P830,βοηθητικό!$J$2:$N$354,3,FALSE)="","",VLOOKUP(P830,βοηθητικό!$J$2:$N$354,3,FALSE))</f>
        <v>_</v>
      </c>
      <c r="R830" s="44"/>
      <c r="S830" s="5" t="s">
        <v>16</v>
      </c>
      <c r="T830" s="46" t="str">
        <f>IF(VLOOKUP(S830,βοηθητικό!$J$2:$N$354,3,FALSE)="","",VLOOKUP(S830,βοηθητικό!$J$2:$N$354,3,FALSE))</f>
        <v>_</v>
      </c>
      <c r="U830" s="47"/>
      <c r="V830" s="4" t="s">
        <v>16</v>
      </c>
      <c r="W830" s="43" t="str">
        <f>IF(VLOOKUP(V830,βοηθητικό!$J$2:$N$354,3,FALSE)="","",VLOOKUP(V830,βοηθητικό!$J$2:$N$354,3,FALSE))</f>
        <v>_</v>
      </c>
      <c r="X830" s="44"/>
      <c r="Y830" s="5" t="s">
        <v>16</v>
      </c>
      <c r="Z830" s="46" t="str">
        <f>IF(VLOOKUP(Y830,βοηθητικό!$J$2:$N$354,3,FALSE)="","",VLOOKUP(Y830,βοηθητικό!$J$2:$N$354,3,FALSE))</f>
        <v>_</v>
      </c>
      <c r="AA830" s="47"/>
      <c r="AB830" s="4" t="s">
        <v>16</v>
      </c>
      <c r="AC830" s="43" t="str">
        <f>IF(VLOOKUP(AB830,βοηθητικό!$J$2:$N$354,3,FALSE)="","",VLOOKUP(AB830,βοηθητικό!$J$2:$N$354,3,FALSE))</f>
        <v>_</v>
      </c>
      <c r="AD830" s="44"/>
      <c r="AE830" s="5" t="s">
        <v>16</v>
      </c>
      <c r="AF830" s="46" t="str">
        <f>IF(VLOOKUP(AE830,βοηθητικό!$J$2:$N$354,3,FALSE)="","",VLOOKUP(AE830,βοηθητικό!$J$2:$N$354,3,FALSE))</f>
        <v>_</v>
      </c>
      <c r="AG830" s="47"/>
      <c r="AH830" s="4" t="s">
        <v>16</v>
      </c>
      <c r="AI830" s="43" t="str">
        <f>IF(VLOOKUP(AH830,βοηθητικό!$J$2:$N$354,3,FALSE)="","",VLOOKUP(AH830,βοηθητικό!$J$2:$N$354,3,FALSE))</f>
        <v>_</v>
      </c>
      <c r="AJ830" s="44"/>
      <c r="AK830" s="5" t="s">
        <v>16</v>
      </c>
      <c r="AL830" s="46" t="str">
        <f>IF(VLOOKUP(AK830,βοηθητικό!$J$2:$N$354,3,FALSE)="","",VLOOKUP(AK830,βοηθητικό!$J$2:$N$354,3,FALSE))</f>
        <v>_</v>
      </c>
      <c r="AM830" s="47"/>
      <c r="AN830" s="4" t="s">
        <v>16</v>
      </c>
      <c r="AO830" s="43" t="str">
        <f>IF(VLOOKUP(AN830,βοηθητικό!$J$2:$N$354,3,FALSE)="","",VLOOKUP(AN830,βοηθητικό!$J$2:$N$354,3,FALSE))</f>
        <v>_</v>
      </c>
      <c r="AP830" s="44"/>
      <c r="AQ830" s="5" t="s">
        <v>16</v>
      </c>
      <c r="AR830" s="46" t="str">
        <f>IF(VLOOKUP(AQ830,βοηθητικό!$J$2:$N$354,3,FALSE)="","",VLOOKUP(AQ830,βοηθητικό!$J$2:$N$354,3,FALSE))</f>
        <v>_</v>
      </c>
      <c r="AS830" s="47"/>
      <c r="AT830" s="4" t="s">
        <v>16</v>
      </c>
      <c r="AU830" s="43" t="str">
        <f>IF(VLOOKUP(AT830,βοηθητικό!$J$2:$N$354,3,FALSE)="","",VLOOKUP(AT830,βοηθητικό!$J$2:$N$354,3,FALSE))</f>
        <v>_</v>
      </c>
      <c r="AV830" s="44"/>
      <c r="AW830" s="5" t="s">
        <v>16</v>
      </c>
      <c r="AX830" s="46" t="str">
        <f>IF(VLOOKUP(AW830,βοηθητικό!$J$2:$N$354,3,FALSE)="","",VLOOKUP(AW830,βοηθητικό!$J$2:$N$354,3,FALSE))</f>
        <v>_</v>
      </c>
      <c r="AY830" s="47"/>
      <c r="AZ830" s="4" t="s">
        <v>16</v>
      </c>
      <c r="BA830" s="43" t="str">
        <f>IF(VLOOKUP(AZ830,βοηθητικό!$J$2:$N$354,3,FALSE)="","",VLOOKUP(AZ830,βοηθητικό!$J$2:$N$354,3,FALSE))</f>
        <v>_</v>
      </c>
      <c r="BB830" s="44"/>
      <c r="BC830" s="45" t="s">
        <v>16</v>
      </c>
      <c r="BD830" s="46" t="str">
        <f>IF(VLOOKUP(BC830,βοηθητικό!$J$2:$N$354,3,FALSE)="","",VLOOKUP(BC830,βοηθητικό!$J$2:$N$354,3,FALSE))</f>
        <v>_</v>
      </c>
      <c r="BE830" s="47"/>
      <c r="BF830" s="42" t="s">
        <v>16</v>
      </c>
      <c r="BG830" s="43" t="str">
        <f>IF(VLOOKUP(BF830,βοηθητικό!$J$2:$N$354,3,FALSE)="","",VLOOKUP(BF830,βοηθητικό!$J$2:$N$354,3,FALSE))</f>
        <v>_</v>
      </c>
      <c r="BH830" s="44"/>
      <c r="BI830" s="45" t="s">
        <v>16</v>
      </c>
      <c r="BJ830" s="46" t="str">
        <f>IF(VLOOKUP(BI830,βοηθητικό!$J$2:$N$354,3,FALSE)="","",VLOOKUP(BI830,βοηθητικό!$J$2:$N$354,3,FALSE))</f>
        <v>_</v>
      </c>
      <c r="BK830" s="47"/>
      <c r="BL830" s="42" t="s">
        <v>16</v>
      </c>
      <c r="BM830" s="43" t="str">
        <f>IF(VLOOKUP(BL830,βοηθητικό!$J$2:$N$354,3,FALSE)="","",VLOOKUP(BL830,βοηθητικό!$J$2:$N$354,3,FALSE))</f>
        <v>_</v>
      </c>
      <c r="BN830" s="44"/>
      <c r="BO830" s="45" t="s">
        <v>16</v>
      </c>
      <c r="BP830" s="46" t="str">
        <f>IF(VLOOKUP(BO830,βοηθητικό!$J$2:$N$354,3,FALSE)="","",VLOOKUP(BO830,βοηθητικό!$J$2:$N$354,3,FALSE))</f>
        <v>_</v>
      </c>
      <c r="BQ830" s="47"/>
      <c r="BR830" s="42" t="s">
        <v>16</v>
      </c>
      <c r="BS830" s="43" t="str">
        <f>IF(VLOOKUP(BR830,βοηθητικό!$J$2:$N$354,3,FALSE)="","",VLOOKUP(BR830,βοηθητικό!$J$2:$N$354,3,FALSE))</f>
        <v>_</v>
      </c>
      <c r="BT830" s="44"/>
      <c r="BU830" s="45" t="s">
        <v>16</v>
      </c>
      <c r="BV830" s="46" t="str">
        <f>IF(VLOOKUP(BU830,βοηθητικό!$J$2:$N$354,3,FALSE)="","",VLOOKUP(BU830,βοηθητικό!$J$2:$N$354,3,FALSE))</f>
        <v>_</v>
      </c>
      <c r="BW830" s="47"/>
      <c r="BX830" s="42" t="s">
        <v>16</v>
      </c>
      <c r="BY830" s="43" t="str">
        <f>IF(VLOOKUP(BX830,βοηθητικό!$J$2:$N$354,3,FALSE)="","",VLOOKUP(BX830,βοηθητικό!$J$2:$N$354,3,FALSE))</f>
        <v>_</v>
      </c>
      <c r="BZ830" s="44"/>
      <c r="CA830" s="45" t="s">
        <v>16</v>
      </c>
      <c r="CB830" s="46" t="str">
        <f>IF(VLOOKUP(CA830,βοηθητικό!$J$2:$N$354,3,FALSE)="","",VLOOKUP(CA830,βοηθητικό!$J$2:$N$354,3,FALSE))</f>
        <v>_</v>
      </c>
      <c r="CC830" s="47"/>
      <c r="CD830" s="42" t="s">
        <v>16</v>
      </c>
      <c r="CE830" s="43" t="str">
        <f>IF(VLOOKUP(CD830,βοηθητικό!$J$2:$N$354,3,FALSE)="","",VLOOKUP(CD830,βοηθητικό!$J$2:$N$354,3,FALSE))</f>
        <v>_</v>
      </c>
      <c r="CF830" s="44"/>
      <c r="CG830" s="45" t="s">
        <v>16</v>
      </c>
      <c r="CH830" s="46" t="str">
        <f>IF(VLOOKUP(CG830,βοηθητικό!$J$2:$N$354,3,FALSE)="","",VLOOKUP(CG830,βοηθητικό!$J$2:$N$354,3,FALSE))</f>
        <v>_</v>
      </c>
      <c r="CI830" s="47"/>
      <c r="CJ830" s="42" t="s">
        <v>16</v>
      </c>
      <c r="CK830" s="43" t="str">
        <f>IF(VLOOKUP(CJ830,βοηθητικό!$J$2:$N$354,3,FALSE)="","",VLOOKUP(CJ830,βοηθητικό!$J$2:$N$354,3,FALSE))</f>
        <v>_</v>
      </c>
      <c r="CL830" s="44"/>
      <c r="CM830" s="45" t="s">
        <v>16</v>
      </c>
      <c r="CN830" s="46" t="str">
        <f>IF(VLOOKUP(CM830,βοηθητικό!$J$2:$N$354,3,FALSE)="","",VLOOKUP(CM830,βοηθητικό!$J$2:$N$354,3,FALSE))</f>
        <v>_</v>
      </c>
      <c r="CO830" s="47"/>
      <c r="CP830" s="42" t="s">
        <v>16</v>
      </c>
      <c r="CQ830" s="43" t="str">
        <f>IF(VLOOKUP(CP830,βοηθητικό!$J$2:$N$354,3,FALSE)="","",VLOOKUP(CP830,βοηθητικό!$J$2:$N$354,3,FALSE))</f>
        <v>_</v>
      </c>
      <c r="CR830" s="44"/>
      <c r="CS830" s="45" t="s">
        <v>16</v>
      </c>
      <c r="CT830" s="46" t="str">
        <f>IF(VLOOKUP(CS830,βοηθητικό!$J$2:$N$354,3,FALSE)="","",VLOOKUP(CS830,βοηθητικό!$J$2:$N$354,3,FALSE))</f>
        <v>_</v>
      </c>
      <c r="CU830" s="47"/>
    </row>
    <row r="831" spans="1:99" x14ac:dyDescent="0.25">
      <c r="A831" s="37">
        <f>--SUBTOTAL(3,$B$3:B830)</f>
        <v>198</v>
      </c>
      <c r="B831" s="2"/>
      <c r="C831" s="3"/>
      <c r="D831" s="55" t="s">
        <v>18</v>
      </c>
      <c r="E831" s="38" t="s">
        <v>16</v>
      </c>
      <c r="F831" s="38"/>
      <c r="G831" s="39" t="str">
        <f t="shared" si="38"/>
        <v>__</v>
      </c>
      <c r="H831" s="40" t="str">
        <f t="shared" si="39"/>
        <v>FALSE</v>
      </c>
      <c r="I831" s="41">
        <f t="shared" si="40"/>
        <v>0</v>
      </c>
      <c r="J831" s="4" t="s">
        <v>16</v>
      </c>
      <c r="K831" s="43" t="str">
        <f>IF(VLOOKUP(J831,βοηθητικό!$J$2:$N$354,3,FALSE)="","",VLOOKUP(J831,βοηθητικό!$J$2:$N$354,3,FALSE))</f>
        <v>_</v>
      </c>
      <c r="L831" s="44"/>
      <c r="M831" s="5" t="s">
        <v>16</v>
      </c>
      <c r="N831" s="46" t="str">
        <f>IF(VLOOKUP(M831,βοηθητικό!$J$2:$N$354,3,FALSE)="","",VLOOKUP(M831,βοηθητικό!$J$2:$N$354,3,FALSE))</f>
        <v>_</v>
      </c>
      <c r="O831" s="47"/>
      <c r="P831" s="4" t="s">
        <v>16</v>
      </c>
      <c r="Q831" s="43" t="str">
        <f>IF(VLOOKUP(P831,βοηθητικό!$J$2:$N$354,3,FALSE)="","",VLOOKUP(P831,βοηθητικό!$J$2:$N$354,3,FALSE))</f>
        <v>_</v>
      </c>
      <c r="R831" s="44"/>
      <c r="S831" s="5" t="s">
        <v>16</v>
      </c>
      <c r="T831" s="46" t="str">
        <f>IF(VLOOKUP(S831,βοηθητικό!$J$2:$N$354,3,FALSE)="","",VLOOKUP(S831,βοηθητικό!$J$2:$N$354,3,FALSE))</f>
        <v>_</v>
      </c>
      <c r="U831" s="47"/>
      <c r="V831" s="4" t="s">
        <v>16</v>
      </c>
      <c r="W831" s="43" t="str">
        <f>IF(VLOOKUP(V831,βοηθητικό!$J$2:$N$354,3,FALSE)="","",VLOOKUP(V831,βοηθητικό!$J$2:$N$354,3,FALSE))</f>
        <v>_</v>
      </c>
      <c r="X831" s="44"/>
      <c r="Y831" s="5" t="s">
        <v>16</v>
      </c>
      <c r="Z831" s="46" t="str">
        <f>IF(VLOOKUP(Y831,βοηθητικό!$J$2:$N$354,3,FALSE)="","",VLOOKUP(Y831,βοηθητικό!$J$2:$N$354,3,FALSE))</f>
        <v>_</v>
      </c>
      <c r="AA831" s="47"/>
      <c r="AB831" s="4" t="s">
        <v>16</v>
      </c>
      <c r="AC831" s="43" t="str">
        <f>IF(VLOOKUP(AB831,βοηθητικό!$J$2:$N$354,3,FALSE)="","",VLOOKUP(AB831,βοηθητικό!$J$2:$N$354,3,FALSE))</f>
        <v>_</v>
      </c>
      <c r="AD831" s="44"/>
      <c r="AE831" s="5" t="s">
        <v>16</v>
      </c>
      <c r="AF831" s="46" t="str">
        <f>IF(VLOOKUP(AE831,βοηθητικό!$J$2:$N$354,3,FALSE)="","",VLOOKUP(AE831,βοηθητικό!$J$2:$N$354,3,FALSE))</f>
        <v>_</v>
      </c>
      <c r="AG831" s="47"/>
      <c r="AH831" s="4" t="s">
        <v>16</v>
      </c>
      <c r="AI831" s="43" t="str">
        <f>IF(VLOOKUP(AH831,βοηθητικό!$J$2:$N$354,3,FALSE)="","",VLOOKUP(AH831,βοηθητικό!$J$2:$N$354,3,FALSE))</f>
        <v>_</v>
      </c>
      <c r="AJ831" s="44"/>
      <c r="AK831" s="5" t="s">
        <v>16</v>
      </c>
      <c r="AL831" s="46" t="str">
        <f>IF(VLOOKUP(AK831,βοηθητικό!$J$2:$N$354,3,FALSE)="","",VLOOKUP(AK831,βοηθητικό!$J$2:$N$354,3,FALSE))</f>
        <v>_</v>
      </c>
      <c r="AM831" s="47"/>
      <c r="AN831" s="4" t="s">
        <v>16</v>
      </c>
      <c r="AO831" s="43" t="str">
        <f>IF(VLOOKUP(AN831,βοηθητικό!$J$2:$N$354,3,FALSE)="","",VLOOKUP(AN831,βοηθητικό!$J$2:$N$354,3,FALSE))</f>
        <v>_</v>
      </c>
      <c r="AP831" s="44"/>
      <c r="AQ831" s="5" t="s">
        <v>16</v>
      </c>
      <c r="AR831" s="46" t="str">
        <f>IF(VLOOKUP(AQ831,βοηθητικό!$J$2:$N$354,3,FALSE)="","",VLOOKUP(AQ831,βοηθητικό!$J$2:$N$354,3,FALSE))</f>
        <v>_</v>
      </c>
      <c r="AS831" s="47"/>
      <c r="AT831" s="4" t="s">
        <v>16</v>
      </c>
      <c r="AU831" s="43" t="str">
        <f>IF(VLOOKUP(AT831,βοηθητικό!$J$2:$N$354,3,FALSE)="","",VLOOKUP(AT831,βοηθητικό!$J$2:$N$354,3,FALSE))</f>
        <v>_</v>
      </c>
      <c r="AV831" s="44"/>
      <c r="AW831" s="5" t="s">
        <v>16</v>
      </c>
      <c r="AX831" s="46" t="str">
        <f>IF(VLOOKUP(AW831,βοηθητικό!$J$2:$N$354,3,FALSE)="","",VLOOKUP(AW831,βοηθητικό!$J$2:$N$354,3,FALSE))</f>
        <v>_</v>
      </c>
      <c r="AY831" s="47"/>
      <c r="AZ831" s="4" t="s">
        <v>16</v>
      </c>
      <c r="BA831" s="43" t="str">
        <f>IF(VLOOKUP(AZ831,βοηθητικό!$J$2:$N$354,3,FALSE)="","",VLOOKUP(AZ831,βοηθητικό!$J$2:$N$354,3,FALSE))</f>
        <v>_</v>
      </c>
      <c r="BB831" s="44"/>
      <c r="BC831" s="45" t="s">
        <v>16</v>
      </c>
      <c r="BD831" s="46" t="str">
        <f>IF(VLOOKUP(BC831,βοηθητικό!$J$2:$N$354,3,FALSE)="","",VLOOKUP(BC831,βοηθητικό!$J$2:$N$354,3,FALSE))</f>
        <v>_</v>
      </c>
      <c r="BE831" s="47"/>
      <c r="BF831" s="42" t="s">
        <v>16</v>
      </c>
      <c r="BG831" s="43" t="str">
        <f>IF(VLOOKUP(BF831,βοηθητικό!$J$2:$N$354,3,FALSE)="","",VLOOKUP(BF831,βοηθητικό!$J$2:$N$354,3,FALSE))</f>
        <v>_</v>
      </c>
      <c r="BH831" s="44"/>
      <c r="BI831" s="45" t="s">
        <v>16</v>
      </c>
      <c r="BJ831" s="46" t="str">
        <f>IF(VLOOKUP(BI831,βοηθητικό!$J$2:$N$354,3,FALSE)="","",VLOOKUP(BI831,βοηθητικό!$J$2:$N$354,3,FALSE))</f>
        <v>_</v>
      </c>
      <c r="BK831" s="47"/>
      <c r="BL831" s="42" t="s">
        <v>16</v>
      </c>
      <c r="BM831" s="43" t="str">
        <f>IF(VLOOKUP(BL831,βοηθητικό!$J$2:$N$354,3,FALSE)="","",VLOOKUP(BL831,βοηθητικό!$J$2:$N$354,3,FALSE))</f>
        <v>_</v>
      </c>
      <c r="BN831" s="44"/>
      <c r="BO831" s="45" t="s">
        <v>16</v>
      </c>
      <c r="BP831" s="46" t="str">
        <f>IF(VLOOKUP(BO831,βοηθητικό!$J$2:$N$354,3,FALSE)="","",VLOOKUP(BO831,βοηθητικό!$J$2:$N$354,3,FALSE))</f>
        <v>_</v>
      </c>
      <c r="BQ831" s="47"/>
      <c r="BR831" s="42" t="s">
        <v>16</v>
      </c>
      <c r="BS831" s="43" t="str">
        <f>IF(VLOOKUP(BR831,βοηθητικό!$J$2:$N$354,3,FALSE)="","",VLOOKUP(BR831,βοηθητικό!$J$2:$N$354,3,FALSE))</f>
        <v>_</v>
      </c>
      <c r="BT831" s="44"/>
      <c r="BU831" s="45" t="s">
        <v>16</v>
      </c>
      <c r="BV831" s="46" t="str">
        <f>IF(VLOOKUP(BU831,βοηθητικό!$J$2:$N$354,3,FALSE)="","",VLOOKUP(BU831,βοηθητικό!$J$2:$N$354,3,FALSE))</f>
        <v>_</v>
      </c>
      <c r="BW831" s="47"/>
      <c r="BX831" s="42" t="s">
        <v>16</v>
      </c>
      <c r="BY831" s="43" t="str">
        <f>IF(VLOOKUP(BX831,βοηθητικό!$J$2:$N$354,3,FALSE)="","",VLOOKUP(BX831,βοηθητικό!$J$2:$N$354,3,FALSE))</f>
        <v>_</v>
      </c>
      <c r="BZ831" s="44"/>
      <c r="CA831" s="45" t="s">
        <v>16</v>
      </c>
      <c r="CB831" s="46" t="str">
        <f>IF(VLOOKUP(CA831,βοηθητικό!$J$2:$N$354,3,FALSE)="","",VLOOKUP(CA831,βοηθητικό!$J$2:$N$354,3,FALSE))</f>
        <v>_</v>
      </c>
      <c r="CC831" s="47"/>
      <c r="CD831" s="42" t="s">
        <v>16</v>
      </c>
      <c r="CE831" s="43" t="str">
        <f>IF(VLOOKUP(CD831,βοηθητικό!$J$2:$N$354,3,FALSE)="","",VLOOKUP(CD831,βοηθητικό!$J$2:$N$354,3,FALSE))</f>
        <v>_</v>
      </c>
      <c r="CF831" s="44"/>
      <c r="CG831" s="45" t="s">
        <v>16</v>
      </c>
      <c r="CH831" s="46" t="str">
        <f>IF(VLOOKUP(CG831,βοηθητικό!$J$2:$N$354,3,FALSE)="","",VLOOKUP(CG831,βοηθητικό!$J$2:$N$354,3,FALSE))</f>
        <v>_</v>
      </c>
      <c r="CI831" s="47"/>
      <c r="CJ831" s="42" t="s">
        <v>16</v>
      </c>
      <c r="CK831" s="43" t="str">
        <f>IF(VLOOKUP(CJ831,βοηθητικό!$J$2:$N$354,3,FALSE)="","",VLOOKUP(CJ831,βοηθητικό!$J$2:$N$354,3,FALSE))</f>
        <v>_</v>
      </c>
      <c r="CL831" s="44"/>
      <c r="CM831" s="45" t="s">
        <v>16</v>
      </c>
      <c r="CN831" s="46" t="str">
        <f>IF(VLOOKUP(CM831,βοηθητικό!$J$2:$N$354,3,FALSE)="","",VLOOKUP(CM831,βοηθητικό!$J$2:$N$354,3,FALSE))</f>
        <v>_</v>
      </c>
      <c r="CO831" s="47"/>
      <c r="CP831" s="42" t="s">
        <v>16</v>
      </c>
      <c r="CQ831" s="43" t="str">
        <f>IF(VLOOKUP(CP831,βοηθητικό!$J$2:$N$354,3,FALSE)="","",VLOOKUP(CP831,βοηθητικό!$J$2:$N$354,3,FALSE))</f>
        <v>_</v>
      </c>
      <c r="CR831" s="44"/>
      <c r="CS831" s="45" t="s">
        <v>16</v>
      </c>
      <c r="CT831" s="46" t="str">
        <f>IF(VLOOKUP(CS831,βοηθητικό!$J$2:$N$354,3,FALSE)="","",VLOOKUP(CS831,βοηθητικό!$J$2:$N$354,3,FALSE))</f>
        <v>_</v>
      </c>
      <c r="CU831" s="47"/>
    </row>
    <row r="832" spans="1:99" x14ac:dyDescent="0.25">
      <c r="A832" s="37">
        <f>--SUBTOTAL(3,$B$3:B831)</f>
        <v>198</v>
      </c>
      <c r="B832" s="2"/>
      <c r="C832" s="3"/>
      <c r="D832" s="55" t="s">
        <v>18</v>
      </c>
      <c r="E832" s="38" t="s">
        <v>16</v>
      </c>
      <c r="F832" s="38"/>
      <c r="G832" s="39" t="str">
        <f t="shared" si="38"/>
        <v>__</v>
      </c>
      <c r="H832" s="40" t="str">
        <f t="shared" si="39"/>
        <v>FALSE</v>
      </c>
      <c r="I832" s="41">
        <f t="shared" si="40"/>
        <v>0</v>
      </c>
      <c r="J832" s="4" t="s">
        <v>16</v>
      </c>
      <c r="K832" s="43" t="str">
        <f>IF(VLOOKUP(J832,βοηθητικό!$J$2:$N$354,3,FALSE)="","",VLOOKUP(J832,βοηθητικό!$J$2:$N$354,3,FALSE))</f>
        <v>_</v>
      </c>
      <c r="L832" s="44"/>
      <c r="M832" s="5" t="s">
        <v>16</v>
      </c>
      <c r="N832" s="46" t="str">
        <f>IF(VLOOKUP(M832,βοηθητικό!$J$2:$N$354,3,FALSE)="","",VLOOKUP(M832,βοηθητικό!$J$2:$N$354,3,FALSE))</f>
        <v>_</v>
      </c>
      <c r="O832" s="47"/>
      <c r="P832" s="4" t="s">
        <v>16</v>
      </c>
      <c r="Q832" s="43" t="str">
        <f>IF(VLOOKUP(P832,βοηθητικό!$J$2:$N$354,3,FALSE)="","",VLOOKUP(P832,βοηθητικό!$J$2:$N$354,3,FALSE))</f>
        <v>_</v>
      </c>
      <c r="R832" s="44"/>
      <c r="S832" s="5" t="s">
        <v>16</v>
      </c>
      <c r="T832" s="46" t="str">
        <f>IF(VLOOKUP(S832,βοηθητικό!$J$2:$N$354,3,FALSE)="","",VLOOKUP(S832,βοηθητικό!$J$2:$N$354,3,FALSE))</f>
        <v>_</v>
      </c>
      <c r="U832" s="47"/>
      <c r="V832" s="4" t="s">
        <v>16</v>
      </c>
      <c r="W832" s="43" t="str">
        <f>IF(VLOOKUP(V832,βοηθητικό!$J$2:$N$354,3,FALSE)="","",VLOOKUP(V832,βοηθητικό!$J$2:$N$354,3,FALSE))</f>
        <v>_</v>
      </c>
      <c r="X832" s="44"/>
      <c r="Y832" s="5" t="s">
        <v>16</v>
      </c>
      <c r="Z832" s="46" t="str">
        <f>IF(VLOOKUP(Y832,βοηθητικό!$J$2:$N$354,3,FALSE)="","",VLOOKUP(Y832,βοηθητικό!$J$2:$N$354,3,FALSE))</f>
        <v>_</v>
      </c>
      <c r="AA832" s="47"/>
      <c r="AB832" s="4" t="s">
        <v>16</v>
      </c>
      <c r="AC832" s="43" t="str">
        <f>IF(VLOOKUP(AB832,βοηθητικό!$J$2:$N$354,3,FALSE)="","",VLOOKUP(AB832,βοηθητικό!$J$2:$N$354,3,FALSE))</f>
        <v>_</v>
      </c>
      <c r="AD832" s="44"/>
      <c r="AE832" s="5" t="s">
        <v>16</v>
      </c>
      <c r="AF832" s="46" t="str">
        <f>IF(VLOOKUP(AE832,βοηθητικό!$J$2:$N$354,3,FALSE)="","",VLOOKUP(AE832,βοηθητικό!$J$2:$N$354,3,FALSE))</f>
        <v>_</v>
      </c>
      <c r="AG832" s="47"/>
      <c r="AH832" s="4" t="s">
        <v>16</v>
      </c>
      <c r="AI832" s="43" t="str">
        <f>IF(VLOOKUP(AH832,βοηθητικό!$J$2:$N$354,3,FALSE)="","",VLOOKUP(AH832,βοηθητικό!$J$2:$N$354,3,FALSE))</f>
        <v>_</v>
      </c>
      <c r="AJ832" s="44"/>
      <c r="AK832" s="5" t="s">
        <v>16</v>
      </c>
      <c r="AL832" s="46" t="str">
        <f>IF(VLOOKUP(AK832,βοηθητικό!$J$2:$N$354,3,FALSE)="","",VLOOKUP(AK832,βοηθητικό!$J$2:$N$354,3,FALSE))</f>
        <v>_</v>
      </c>
      <c r="AM832" s="47"/>
      <c r="AN832" s="4" t="s">
        <v>16</v>
      </c>
      <c r="AO832" s="43" t="str">
        <f>IF(VLOOKUP(AN832,βοηθητικό!$J$2:$N$354,3,FALSE)="","",VLOOKUP(AN832,βοηθητικό!$J$2:$N$354,3,FALSE))</f>
        <v>_</v>
      </c>
      <c r="AP832" s="44"/>
      <c r="AQ832" s="5" t="s">
        <v>16</v>
      </c>
      <c r="AR832" s="46" t="str">
        <f>IF(VLOOKUP(AQ832,βοηθητικό!$J$2:$N$354,3,FALSE)="","",VLOOKUP(AQ832,βοηθητικό!$J$2:$N$354,3,FALSE))</f>
        <v>_</v>
      </c>
      <c r="AS832" s="47"/>
      <c r="AT832" s="4" t="s">
        <v>16</v>
      </c>
      <c r="AU832" s="43" t="str">
        <f>IF(VLOOKUP(AT832,βοηθητικό!$J$2:$N$354,3,FALSE)="","",VLOOKUP(AT832,βοηθητικό!$J$2:$N$354,3,FALSE))</f>
        <v>_</v>
      </c>
      <c r="AV832" s="44"/>
      <c r="AW832" s="5" t="s">
        <v>16</v>
      </c>
      <c r="AX832" s="46" t="str">
        <f>IF(VLOOKUP(AW832,βοηθητικό!$J$2:$N$354,3,FALSE)="","",VLOOKUP(AW832,βοηθητικό!$J$2:$N$354,3,FALSE))</f>
        <v>_</v>
      </c>
      <c r="AY832" s="47"/>
      <c r="AZ832" s="4" t="s">
        <v>16</v>
      </c>
      <c r="BA832" s="43" t="str">
        <f>IF(VLOOKUP(AZ832,βοηθητικό!$J$2:$N$354,3,FALSE)="","",VLOOKUP(AZ832,βοηθητικό!$J$2:$N$354,3,FALSE))</f>
        <v>_</v>
      </c>
      <c r="BB832" s="44"/>
      <c r="BC832" s="45" t="s">
        <v>16</v>
      </c>
      <c r="BD832" s="46" t="str">
        <f>IF(VLOOKUP(BC832,βοηθητικό!$J$2:$N$354,3,FALSE)="","",VLOOKUP(BC832,βοηθητικό!$J$2:$N$354,3,FALSE))</f>
        <v>_</v>
      </c>
      <c r="BE832" s="47"/>
      <c r="BF832" s="42" t="s">
        <v>16</v>
      </c>
      <c r="BG832" s="43" t="str">
        <f>IF(VLOOKUP(BF832,βοηθητικό!$J$2:$N$354,3,FALSE)="","",VLOOKUP(BF832,βοηθητικό!$J$2:$N$354,3,FALSE))</f>
        <v>_</v>
      </c>
      <c r="BH832" s="44"/>
      <c r="BI832" s="45" t="s">
        <v>16</v>
      </c>
      <c r="BJ832" s="46" t="str">
        <f>IF(VLOOKUP(BI832,βοηθητικό!$J$2:$N$354,3,FALSE)="","",VLOOKUP(BI832,βοηθητικό!$J$2:$N$354,3,FALSE))</f>
        <v>_</v>
      </c>
      <c r="BK832" s="47"/>
      <c r="BL832" s="42" t="s">
        <v>16</v>
      </c>
      <c r="BM832" s="43" t="str">
        <f>IF(VLOOKUP(BL832,βοηθητικό!$J$2:$N$354,3,FALSE)="","",VLOOKUP(BL832,βοηθητικό!$J$2:$N$354,3,FALSE))</f>
        <v>_</v>
      </c>
      <c r="BN832" s="44"/>
      <c r="BO832" s="45" t="s">
        <v>16</v>
      </c>
      <c r="BP832" s="46" t="str">
        <f>IF(VLOOKUP(BO832,βοηθητικό!$J$2:$N$354,3,FALSE)="","",VLOOKUP(BO832,βοηθητικό!$J$2:$N$354,3,FALSE))</f>
        <v>_</v>
      </c>
      <c r="BQ832" s="47"/>
      <c r="BR832" s="42" t="s">
        <v>16</v>
      </c>
      <c r="BS832" s="43" t="str">
        <f>IF(VLOOKUP(BR832,βοηθητικό!$J$2:$N$354,3,FALSE)="","",VLOOKUP(BR832,βοηθητικό!$J$2:$N$354,3,FALSE))</f>
        <v>_</v>
      </c>
      <c r="BT832" s="44"/>
      <c r="BU832" s="45" t="s">
        <v>16</v>
      </c>
      <c r="BV832" s="46" t="str">
        <f>IF(VLOOKUP(BU832,βοηθητικό!$J$2:$N$354,3,FALSE)="","",VLOOKUP(BU832,βοηθητικό!$J$2:$N$354,3,FALSE))</f>
        <v>_</v>
      </c>
      <c r="BW832" s="47"/>
      <c r="BX832" s="42" t="s">
        <v>16</v>
      </c>
      <c r="BY832" s="43" t="str">
        <f>IF(VLOOKUP(BX832,βοηθητικό!$J$2:$N$354,3,FALSE)="","",VLOOKUP(BX832,βοηθητικό!$J$2:$N$354,3,FALSE))</f>
        <v>_</v>
      </c>
      <c r="BZ832" s="44"/>
      <c r="CA832" s="45" t="s">
        <v>16</v>
      </c>
      <c r="CB832" s="46" t="str">
        <f>IF(VLOOKUP(CA832,βοηθητικό!$J$2:$N$354,3,FALSE)="","",VLOOKUP(CA832,βοηθητικό!$J$2:$N$354,3,FALSE))</f>
        <v>_</v>
      </c>
      <c r="CC832" s="47"/>
      <c r="CD832" s="42" t="s">
        <v>16</v>
      </c>
      <c r="CE832" s="43" t="str">
        <f>IF(VLOOKUP(CD832,βοηθητικό!$J$2:$N$354,3,FALSE)="","",VLOOKUP(CD832,βοηθητικό!$J$2:$N$354,3,FALSE))</f>
        <v>_</v>
      </c>
      <c r="CF832" s="44"/>
      <c r="CG832" s="45" t="s">
        <v>16</v>
      </c>
      <c r="CH832" s="46" t="str">
        <f>IF(VLOOKUP(CG832,βοηθητικό!$J$2:$N$354,3,FALSE)="","",VLOOKUP(CG832,βοηθητικό!$J$2:$N$354,3,FALSE))</f>
        <v>_</v>
      </c>
      <c r="CI832" s="47"/>
      <c r="CJ832" s="42" t="s">
        <v>16</v>
      </c>
      <c r="CK832" s="43" t="str">
        <f>IF(VLOOKUP(CJ832,βοηθητικό!$J$2:$N$354,3,FALSE)="","",VLOOKUP(CJ832,βοηθητικό!$J$2:$N$354,3,FALSE))</f>
        <v>_</v>
      </c>
      <c r="CL832" s="44"/>
      <c r="CM832" s="45" t="s">
        <v>16</v>
      </c>
      <c r="CN832" s="46" t="str">
        <f>IF(VLOOKUP(CM832,βοηθητικό!$J$2:$N$354,3,FALSE)="","",VLOOKUP(CM832,βοηθητικό!$J$2:$N$354,3,FALSE))</f>
        <v>_</v>
      </c>
      <c r="CO832" s="47"/>
      <c r="CP832" s="42" t="s">
        <v>16</v>
      </c>
      <c r="CQ832" s="43" t="str">
        <f>IF(VLOOKUP(CP832,βοηθητικό!$J$2:$N$354,3,FALSE)="","",VLOOKUP(CP832,βοηθητικό!$J$2:$N$354,3,FALSE))</f>
        <v>_</v>
      </c>
      <c r="CR832" s="44"/>
      <c r="CS832" s="45" t="s">
        <v>16</v>
      </c>
      <c r="CT832" s="46" t="str">
        <f>IF(VLOOKUP(CS832,βοηθητικό!$J$2:$N$354,3,FALSE)="","",VLOOKUP(CS832,βοηθητικό!$J$2:$N$354,3,FALSE))</f>
        <v>_</v>
      </c>
      <c r="CU832" s="47"/>
    </row>
    <row r="833" spans="1:99" x14ac:dyDescent="0.25">
      <c r="A833" s="37">
        <f>--SUBTOTAL(3,$B$3:B832)</f>
        <v>198</v>
      </c>
      <c r="B833" s="2"/>
      <c r="C833" s="3"/>
      <c r="D833" s="55" t="s">
        <v>18</v>
      </c>
      <c r="E833" s="38" t="s">
        <v>16</v>
      </c>
      <c r="F833" s="38"/>
      <c r="G833" s="39" t="str">
        <f t="shared" si="38"/>
        <v>__</v>
      </c>
      <c r="H833" s="40" t="str">
        <f t="shared" si="39"/>
        <v>FALSE</v>
      </c>
      <c r="I833" s="41">
        <f t="shared" si="40"/>
        <v>0</v>
      </c>
      <c r="J833" s="4" t="s">
        <v>16</v>
      </c>
      <c r="K833" s="43" t="str">
        <f>IF(VLOOKUP(J833,βοηθητικό!$J$2:$N$354,3,FALSE)="","",VLOOKUP(J833,βοηθητικό!$J$2:$N$354,3,FALSE))</f>
        <v>_</v>
      </c>
      <c r="L833" s="44"/>
      <c r="M833" s="5" t="s">
        <v>16</v>
      </c>
      <c r="N833" s="46" t="str">
        <f>IF(VLOOKUP(M833,βοηθητικό!$J$2:$N$354,3,FALSE)="","",VLOOKUP(M833,βοηθητικό!$J$2:$N$354,3,FALSE))</f>
        <v>_</v>
      </c>
      <c r="O833" s="47"/>
      <c r="P833" s="4" t="s">
        <v>16</v>
      </c>
      <c r="Q833" s="43" t="str">
        <f>IF(VLOOKUP(P833,βοηθητικό!$J$2:$N$354,3,FALSE)="","",VLOOKUP(P833,βοηθητικό!$J$2:$N$354,3,FALSE))</f>
        <v>_</v>
      </c>
      <c r="R833" s="44"/>
      <c r="S833" s="5" t="s">
        <v>16</v>
      </c>
      <c r="T833" s="46" t="str">
        <f>IF(VLOOKUP(S833,βοηθητικό!$J$2:$N$354,3,FALSE)="","",VLOOKUP(S833,βοηθητικό!$J$2:$N$354,3,FALSE))</f>
        <v>_</v>
      </c>
      <c r="U833" s="47"/>
      <c r="V833" s="4" t="s">
        <v>16</v>
      </c>
      <c r="W833" s="43" t="str">
        <f>IF(VLOOKUP(V833,βοηθητικό!$J$2:$N$354,3,FALSE)="","",VLOOKUP(V833,βοηθητικό!$J$2:$N$354,3,FALSE))</f>
        <v>_</v>
      </c>
      <c r="X833" s="44"/>
      <c r="Y833" s="5" t="s">
        <v>16</v>
      </c>
      <c r="Z833" s="46" t="str">
        <f>IF(VLOOKUP(Y833,βοηθητικό!$J$2:$N$354,3,FALSE)="","",VLOOKUP(Y833,βοηθητικό!$J$2:$N$354,3,FALSE))</f>
        <v>_</v>
      </c>
      <c r="AA833" s="47"/>
      <c r="AB833" s="4" t="s">
        <v>16</v>
      </c>
      <c r="AC833" s="43" t="str">
        <f>IF(VLOOKUP(AB833,βοηθητικό!$J$2:$N$354,3,FALSE)="","",VLOOKUP(AB833,βοηθητικό!$J$2:$N$354,3,FALSE))</f>
        <v>_</v>
      </c>
      <c r="AD833" s="44"/>
      <c r="AE833" s="5" t="s">
        <v>16</v>
      </c>
      <c r="AF833" s="46" t="str">
        <f>IF(VLOOKUP(AE833,βοηθητικό!$J$2:$N$354,3,FALSE)="","",VLOOKUP(AE833,βοηθητικό!$J$2:$N$354,3,FALSE))</f>
        <v>_</v>
      </c>
      <c r="AG833" s="47"/>
      <c r="AH833" s="4" t="s">
        <v>16</v>
      </c>
      <c r="AI833" s="43" t="str">
        <f>IF(VLOOKUP(AH833,βοηθητικό!$J$2:$N$354,3,FALSE)="","",VLOOKUP(AH833,βοηθητικό!$J$2:$N$354,3,FALSE))</f>
        <v>_</v>
      </c>
      <c r="AJ833" s="44"/>
      <c r="AK833" s="5" t="s">
        <v>16</v>
      </c>
      <c r="AL833" s="46" t="str">
        <f>IF(VLOOKUP(AK833,βοηθητικό!$J$2:$N$354,3,FALSE)="","",VLOOKUP(AK833,βοηθητικό!$J$2:$N$354,3,FALSE))</f>
        <v>_</v>
      </c>
      <c r="AM833" s="47"/>
      <c r="AN833" s="4" t="s">
        <v>16</v>
      </c>
      <c r="AO833" s="43" t="str">
        <f>IF(VLOOKUP(AN833,βοηθητικό!$J$2:$N$354,3,FALSE)="","",VLOOKUP(AN833,βοηθητικό!$J$2:$N$354,3,FALSE))</f>
        <v>_</v>
      </c>
      <c r="AP833" s="44"/>
      <c r="AQ833" s="5" t="s">
        <v>16</v>
      </c>
      <c r="AR833" s="46" t="str">
        <f>IF(VLOOKUP(AQ833,βοηθητικό!$J$2:$N$354,3,FALSE)="","",VLOOKUP(AQ833,βοηθητικό!$J$2:$N$354,3,FALSE))</f>
        <v>_</v>
      </c>
      <c r="AS833" s="47"/>
      <c r="AT833" s="4" t="s">
        <v>16</v>
      </c>
      <c r="AU833" s="43" t="str">
        <f>IF(VLOOKUP(AT833,βοηθητικό!$J$2:$N$354,3,FALSE)="","",VLOOKUP(AT833,βοηθητικό!$J$2:$N$354,3,FALSE))</f>
        <v>_</v>
      </c>
      <c r="AV833" s="44"/>
      <c r="AW833" s="5" t="s">
        <v>16</v>
      </c>
      <c r="AX833" s="46" t="str">
        <f>IF(VLOOKUP(AW833,βοηθητικό!$J$2:$N$354,3,FALSE)="","",VLOOKUP(AW833,βοηθητικό!$J$2:$N$354,3,FALSE))</f>
        <v>_</v>
      </c>
      <c r="AY833" s="47"/>
      <c r="AZ833" s="4" t="s">
        <v>16</v>
      </c>
      <c r="BA833" s="43" t="str">
        <f>IF(VLOOKUP(AZ833,βοηθητικό!$J$2:$N$354,3,FALSE)="","",VLOOKUP(AZ833,βοηθητικό!$J$2:$N$354,3,FALSE))</f>
        <v>_</v>
      </c>
      <c r="BB833" s="44"/>
      <c r="BC833" s="45" t="s">
        <v>16</v>
      </c>
      <c r="BD833" s="46" t="str">
        <f>IF(VLOOKUP(BC833,βοηθητικό!$J$2:$N$354,3,FALSE)="","",VLOOKUP(BC833,βοηθητικό!$J$2:$N$354,3,FALSE))</f>
        <v>_</v>
      </c>
      <c r="BE833" s="47"/>
      <c r="BF833" s="42" t="s">
        <v>16</v>
      </c>
      <c r="BG833" s="43" t="str">
        <f>IF(VLOOKUP(BF833,βοηθητικό!$J$2:$N$354,3,FALSE)="","",VLOOKUP(BF833,βοηθητικό!$J$2:$N$354,3,FALSE))</f>
        <v>_</v>
      </c>
      <c r="BH833" s="44"/>
      <c r="BI833" s="45" t="s">
        <v>16</v>
      </c>
      <c r="BJ833" s="46" t="str">
        <f>IF(VLOOKUP(BI833,βοηθητικό!$J$2:$N$354,3,FALSE)="","",VLOOKUP(BI833,βοηθητικό!$J$2:$N$354,3,FALSE))</f>
        <v>_</v>
      </c>
      <c r="BK833" s="47"/>
      <c r="BL833" s="42" t="s">
        <v>16</v>
      </c>
      <c r="BM833" s="43" t="str">
        <f>IF(VLOOKUP(BL833,βοηθητικό!$J$2:$N$354,3,FALSE)="","",VLOOKUP(BL833,βοηθητικό!$J$2:$N$354,3,FALSE))</f>
        <v>_</v>
      </c>
      <c r="BN833" s="44"/>
      <c r="BO833" s="45" t="s">
        <v>16</v>
      </c>
      <c r="BP833" s="46" t="str">
        <f>IF(VLOOKUP(BO833,βοηθητικό!$J$2:$N$354,3,FALSE)="","",VLOOKUP(BO833,βοηθητικό!$J$2:$N$354,3,FALSE))</f>
        <v>_</v>
      </c>
      <c r="BQ833" s="47"/>
      <c r="BR833" s="42" t="s">
        <v>16</v>
      </c>
      <c r="BS833" s="43" t="str">
        <f>IF(VLOOKUP(BR833,βοηθητικό!$J$2:$N$354,3,FALSE)="","",VLOOKUP(BR833,βοηθητικό!$J$2:$N$354,3,FALSE))</f>
        <v>_</v>
      </c>
      <c r="BT833" s="44"/>
      <c r="BU833" s="45" t="s">
        <v>16</v>
      </c>
      <c r="BV833" s="46" t="str">
        <f>IF(VLOOKUP(BU833,βοηθητικό!$J$2:$N$354,3,FALSE)="","",VLOOKUP(BU833,βοηθητικό!$J$2:$N$354,3,FALSE))</f>
        <v>_</v>
      </c>
      <c r="BW833" s="47"/>
      <c r="BX833" s="42" t="s">
        <v>16</v>
      </c>
      <c r="BY833" s="43" t="str">
        <f>IF(VLOOKUP(BX833,βοηθητικό!$J$2:$N$354,3,FALSE)="","",VLOOKUP(BX833,βοηθητικό!$J$2:$N$354,3,FALSE))</f>
        <v>_</v>
      </c>
      <c r="BZ833" s="44"/>
      <c r="CA833" s="45" t="s">
        <v>16</v>
      </c>
      <c r="CB833" s="46" t="str">
        <f>IF(VLOOKUP(CA833,βοηθητικό!$J$2:$N$354,3,FALSE)="","",VLOOKUP(CA833,βοηθητικό!$J$2:$N$354,3,FALSE))</f>
        <v>_</v>
      </c>
      <c r="CC833" s="47"/>
      <c r="CD833" s="42" t="s">
        <v>16</v>
      </c>
      <c r="CE833" s="43" t="str">
        <f>IF(VLOOKUP(CD833,βοηθητικό!$J$2:$N$354,3,FALSE)="","",VLOOKUP(CD833,βοηθητικό!$J$2:$N$354,3,FALSE))</f>
        <v>_</v>
      </c>
      <c r="CF833" s="44"/>
      <c r="CG833" s="45" t="s">
        <v>16</v>
      </c>
      <c r="CH833" s="46" t="str">
        <f>IF(VLOOKUP(CG833,βοηθητικό!$J$2:$N$354,3,FALSE)="","",VLOOKUP(CG833,βοηθητικό!$J$2:$N$354,3,FALSE))</f>
        <v>_</v>
      </c>
      <c r="CI833" s="47"/>
      <c r="CJ833" s="42" t="s">
        <v>16</v>
      </c>
      <c r="CK833" s="43" t="str">
        <f>IF(VLOOKUP(CJ833,βοηθητικό!$J$2:$N$354,3,FALSE)="","",VLOOKUP(CJ833,βοηθητικό!$J$2:$N$354,3,FALSE))</f>
        <v>_</v>
      </c>
      <c r="CL833" s="44"/>
      <c r="CM833" s="45" t="s">
        <v>16</v>
      </c>
      <c r="CN833" s="46" t="str">
        <f>IF(VLOOKUP(CM833,βοηθητικό!$J$2:$N$354,3,FALSE)="","",VLOOKUP(CM833,βοηθητικό!$J$2:$N$354,3,FALSE))</f>
        <v>_</v>
      </c>
      <c r="CO833" s="47"/>
      <c r="CP833" s="42" t="s">
        <v>16</v>
      </c>
      <c r="CQ833" s="43" t="str">
        <f>IF(VLOOKUP(CP833,βοηθητικό!$J$2:$N$354,3,FALSE)="","",VLOOKUP(CP833,βοηθητικό!$J$2:$N$354,3,FALSE))</f>
        <v>_</v>
      </c>
      <c r="CR833" s="44"/>
      <c r="CS833" s="45" t="s">
        <v>16</v>
      </c>
      <c r="CT833" s="46" t="str">
        <f>IF(VLOOKUP(CS833,βοηθητικό!$J$2:$N$354,3,FALSE)="","",VLOOKUP(CS833,βοηθητικό!$J$2:$N$354,3,FALSE))</f>
        <v>_</v>
      </c>
      <c r="CU833" s="47"/>
    </row>
    <row r="834" spans="1:99" x14ac:dyDescent="0.25">
      <c r="A834" s="37">
        <f>--SUBTOTAL(3,$B$3:B833)</f>
        <v>198</v>
      </c>
      <c r="B834" s="2"/>
      <c r="C834" s="3"/>
      <c r="D834" s="55" t="s">
        <v>18</v>
      </c>
      <c r="E834" s="38" t="s">
        <v>16</v>
      </c>
      <c r="F834" s="38"/>
      <c r="G834" s="39" t="str">
        <f t="shared" si="38"/>
        <v>__</v>
      </c>
      <c r="H834" s="40" t="str">
        <f t="shared" si="39"/>
        <v>FALSE</v>
      </c>
      <c r="I834" s="41">
        <f t="shared" si="40"/>
        <v>0</v>
      </c>
      <c r="J834" s="4" t="s">
        <v>16</v>
      </c>
      <c r="K834" s="43" t="str">
        <f>IF(VLOOKUP(J834,βοηθητικό!$J$2:$N$354,3,FALSE)="","",VLOOKUP(J834,βοηθητικό!$J$2:$N$354,3,FALSE))</f>
        <v>_</v>
      </c>
      <c r="L834" s="44"/>
      <c r="M834" s="5" t="s">
        <v>16</v>
      </c>
      <c r="N834" s="46" t="str">
        <f>IF(VLOOKUP(M834,βοηθητικό!$J$2:$N$354,3,FALSE)="","",VLOOKUP(M834,βοηθητικό!$J$2:$N$354,3,FALSE))</f>
        <v>_</v>
      </c>
      <c r="O834" s="47"/>
      <c r="P834" s="4" t="s">
        <v>16</v>
      </c>
      <c r="Q834" s="43" t="str">
        <f>IF(VLOOKUP(P834,βοηθητικό!$J$2:$N$354,3,FALSE)="","",VLOOKUP(P834,βοηθητικό!$J$2:$N$354,3,FALSE))</f>
        <v>_</v>
      </c>
      <c r="R834" s="44"/>
      <c r="S834" s="5" t="s">
        <v>16</v>
      </c>
      <c r="T834" s="46" t="str">
        <f>IF(VLOOKUP(S834,βοηθητικό!$J$2:$N$354,3,FALSE)="","",VLOOKUP(S834,βοηθητικό!$J$2:$N$354,3,FALSE))</f>
        <v>_</v>
      </c>
      <c r="U834" s="47"/>
      <c r="V834" s="4" t="s">
        <v>16</v>
      </c>
      <c r="W834" s="43" t="str">
        <f>IF(VLOOKUP(V834,βοηθητικό!$J$2:$N$354,3,FALSE)="","",VLOOKUP(V834,βοηθητικό!$J$2:$N$354,3,FALSE))</f>
        <v>_</v>
      </c>
      <c r="X834" s="44"/>
      <c r="Y834" s="5" t="s">
        <v>16</v>
      </c>
      <c r="Z834" s="46" t="str">
        <f>IF(VLOOKUP(Y834,βοηθητικό!$J$2:$N$354,3,FALSE)="","",VLOOKUP(Y834,βοηθητικό!$J$2:$N$354,3,FALSE))</f>
        <v>_</v>
      </c>
      <c r="AA834" s="47"/>
      <c r="AB834" s="4" t="s">
        <v>16</v>
      </c>
      <c r="AC834" s="43" t="str">
        <f>IF(VLOOKUP(AB834,βοηθητικό!$J$2:$N$354,3,FALSE)="","",VLOOKUP(AB834,βοηθητικό!$J$2:$N$354,3,FALSE))</f>
        <v>_</v>
      </c>
      <c r="AD834" s="44"/>
      <c r="AE834" s="5" t="s">
        <v>16</v>
      </c>
      <c r="AF834" s="46" t="str">
        <f>IF(VLOOKUP(AE834,βοηθητικό!$J$2:$N$354,3,FALSE)="","",VLOOKUP(AE834,βοηθητικό!$J$2:$N$354,3,FALSE))</f>
        <v>_</v>
      </c>
      <c r="AG834" s="47"/>
      <c r="AH834" s="4" t="s">
        <v>16</v>
      </c>
      <c r="AI834" s="43" t="str">
        <f>IF(VLOOKUP(AH834,βοηθητικό!$J$2:$N$354,3,FALSE)="","",VLOOKUP(AH834,βοηθητικό!$J$2:$N$354,3,FALSE))</f>
        <v>_</v>
      </c>
      <c r="AJ834" s="44"/>
      <c r="AK834" s="5" t="s">
        <v>16</v>
      </c>
      <c r="AL834" s="46" t="str">
        <f>IF(VLOOKUP(AK834,βοηθητικό!$J$2:$N$354,3,FALSE)="","",VLOOKUP(AK834,βοηθητικό!$J$2:$N$354,3,FALSE))</f>
        <v>_</v>
      </c>
      <c r="AM834" s="47"/>
      <c r="AN834" s="4" t="s">
        <v>16</v>
      </c>
      <c r="AO834" s="43" t="str">
        <f>IF(VLOOKUP(AN834,βοηθητικό!$J$2:$N$354,3,FALSE)="","",VLOOKUP(AN834,βοηθητικό!$J$2:$N$354,3,FALSE))</f>
        <v>_</v>
      </c>
      <c r="AP834" s="44"/>
      <c r="AQ834" s="5" t="s">
        <v>16</v>
      </c>
      <c r="AR834" s="46" t="str">
        <f>IF(VLOOKUP(AQ834,βοηθητικό!$J$2:$N$354,3,FALSE)="","",VLOOKUP(AQ834,βοηθητικό!$J$2:$N$354,3,FALSE))</f>
        <v>_</v>
      </c>
      <c r="AS834" s="47"/>
      <c r="AT834" s="4" t="s">
        <v>16</v>
      </c>
      <c r="AU834" s="43" t="str">
        <f>IF(VLOOKUP(AT834,βοηθητικό!$J$2:$N$354,3,FALSE)="","",VLOOKUP(AT834,βοηθητικό!$J$2:$N$354,3,FALSE))</f>
        <v>_</v>
      </c>
      <c r="AV834" s="44"/>
      <c r="AW834" s="5" t="s">
        <v>16</v>
      </c>
      <c r="AX834" s="46" t="str">
        <f>IF(VLOOKUP(AW834,βοηθητικό!$J$2:$N$354,3,FALSE)="","",VLOOKUP(AW834,βοηθητικό!$J$2:$N$354,3,FALSE))</f>
        <v>_</v>
      </c>
      <c r="AY834" s="47"/>
      <c r="AZ834" s="4" t="s">
        <v>16</v>
      </c>
      <c r="BA834" s="43" t="str">
        <f>IF(VLOOKUP(AZ834,βοηθητικό!$J$2:$N$354,3,FALSE)="","",VLOOKUP(AZ834,βοηθητικό!$J$2:$N$354,3,FALSE))</f>
        <v>_</v>
      </c>
      <c r="BB834" s="44"/>
      <c r="BC834" s="45" t="s">
        <v>16</v>
      </c>
      <c r="BD834" s="46" t="str">
        <f>IF(VLOOKUP(BC834,βοηθητικό!$J$2:$N$354,3,FALSE)="","",VLOOKUP(BC834,βοηθητικό!$J$2:$N$354,3,FALSE))</f>
        <v>_</v>
      </c>
      <c r="BE834" s="47"/>
      <c r="BF834" s="42" t="s">
        <v>16</v>
      </c>
      <c r="BG834" s="43" t="str">
        <f>IF(VLOOKUP(BF834,βοηθητικό!$J$2:$N$354,3,FALSE)="","",VLOOKUP(BF834,βοηθητικό!$J$2:$N$354,3,FALSE))</f>
        <v>_</v>
      </c>
      <c r="BH834" s="44"/>
      <c r="BI834" s="45" t="s">
        <v>16</v>
      </c>
      <c r="BJ834" s="46" t="str">
        <f>IF(VLOOKUP(BI834,βοηθητικό!$J$2:$N$354,3,FALSE)="","",VLOOKUP(BI834,βοηθητικό!$J$2:$N$354,3,FALSE))</f>
        <v>_</v>
      </c>
      <c r="BK834" s="47"/>
      <c r="BL834" s="42" t="s">
        <v>16</v>
      </c>
      <c r="BM834" s="43" t="str">
        <f>IF(VLOOKUP(BL834,βοηθητικό!$J$2:$N$354,3,FALSE)="","",VLOOKUP(BL834,βοηθητικό!$J$2:$N$354,3,FALSE))</f>
        <v>_</v>
      </c>
      <c r="BN834" s="44"/>
      <c r="BO834" s="45" t="s">
        <v>16</v>
      </c>
      <c r="BP834" s="46" t="str">
        <f>IF(VLOOKUP(BO834,βοηθητικό!$J$2:$N$354,3,FALSE)="","",VLOOKUP(BO834,βοηθητικό!$J$2:$N$354,3,FALSE))</f>
        <v>_</v>
      </c>
      <c r="BQ834" s="47"/>
      <c r="BR834" s="42" t="s">
        <v>16</v>
      </c>
      <c r="BS834" s="43" t="str">
        <f>IF(VLOOKUP(BR834,βοηθητικό!$J$2:$N$354,3,FALSE)="","",VLOOKUP(BR834,βοηθητικό!$J$2:$N$354,3,FALSE))</f>
        <v>_</v>
      </c>
      <c r="BT834" s="44"/>
      <c r="BU834" s="45" t="s">
        <v>16</v>
      </c>
      <c r="BV834" s="46" t="str">
        <f>IF(VLOOKUP(BU834,βοηθητικό!$J$2:$N$354,3,FALSE)="","",VLOOKUP(BU834,βοηθητικό!$J$2:$N$354,3,FALSE))</f>
        <v>_</v>
      </c>
      <c r="BW834" s="47"/>
      <c r="BX834" s="42" t="s">
        <v>16</v>
      </c>
      <c r="BY834" s="43" t="str">
        <f>IF(VLOOKUP(BX834,βοηθητικό!$J$2:$N$354,3,FALSE)="","",VLOOKUP(BX834,βοηθητικό!$J$2:$N$354,3,FALSE))</f>
        <v>_</v>
      </c>
      <c r="BZ834" s="44"/>
      <c r="CA834" s="45" t="s">
        <v>16</v>
      </c>
      <c r="CB834" s="46" t="str">
        <f>IF(VLOOKUP(CA834,βοηθητικό!$J$2:$N$354,3,FALSE)="","",VLOOKUP(CA834,βοηθητικό!$J$2:$N$354,3,FALSE))</f>
        <v>_</v>
      </c>
      <c r="CC834" s="47"/>
      <c r="CD834" s="42" t="s">
        <v>16</v>
      </c>
      <c r="CE834" s="43" t="str">
        <f>IF(VLOOKUP(CD834,βοηθητικό!$J$2:$N$354,3,FALSE)="","",VLOOKUP(CD834,βοηθητικό!$J$2:$N$354,3,FALSE))</f>
        <v>_</v>
      </c>
      <c r="CF834" s="44"/>
      <c r="CG834" s="45" t="s">
        <v>16</v>
      </c>
      <c r="CH834" s="46" t="str">
        <f>IF(VLOOKUP(CG834,βοηθητικό!$J$2:$N$354,3,FALSE)="","",VLOOKUP(CG834,βοηθητικό!$J$2:$N$354,3,FALSE))</f>
        <v>_</v>
      </c>
      <c r="CI834" s="47"/>
      <c r="CJ834" s="42" t="s">
        <v>16</v>
      </c>
      <c r="CK834" s="43" t="str">
        <f>IF(VLOOKUP(CJ834,βοηθητικό!$J$2:$N$354,3,FALSE)="","",VLOOKUP(CJ834,βοηθητικό!$J$2:$N$354,3,FALSE))</f>
        <v>_</v>
      </c>
      <c r="CL834" s="44"/>
      <c r="CM834" s="45" t="s">
        <v>16</v>
      </c>
      <c r="CN834" s="46" t="str">
        <f>IF(VLOOKUP(CM834,βοηθητικό!$J$2:$N$354,3,FALSE)="","",VLOOKUP(CM834,βοηθητικό!$J$2:$N$354,3,FALSE))</f>
        <v>_</v>
      </c>
      <c r="CO834" s="47"/>
      <c r="CP834" s="42" t="s">
        <v>16</v>
      </c>
      <c r="CQ834" s="43" t="str">
        <f>IF(VLOOKUP(CP834,βοηθητικό!$J$2:$N$354,3,FALSE)="","",VLOOKUP(CP834,βοηθητικό!$J$2:$N$354,3,FALSE))</f>
        <v>_</v>
      </c>
      <c r="CR834" s="44"/>
      <c r="CS834" s="45" t="s">
        <v>16</v>
      </c>
      <c r="CT834" s="46" t="str">
        <f>IF(VLOOKUP(CS834,βοηθητικό!$J$2:$N$354,3,FALSE)="","",VLOOKUP(CS834,βοηθητικό!$J$2:$N$354,3,FALSE))</f>
        <v>_</v>
      </c>
      <c r="CU834" s="47"/>
    </row>
    <row r="835" spans="1:99" x14ac:dyDescent="0.25">
      <c r="A835" s="37">
        <f>--SUBTOTAL(3,$B$3:B834)</f>
        <v>198</v>
      </c>
      <c r="B835" s="2"/>
      <c r="C835" s="3"/>
      <c r="D835" s="55" t="s">
        <v>18</v>
      </c>
      <c r="E835" s="38" t="s">
        <v>16</v>
      </c>
      <c r="F835" s="38"/>
      <c r="G835" s="39" t="str">
        <f t="shared" si="38"/>
        <v>__</v>
      </c>
      <c r="H835" s="40" t="str">
        <f t="shared" si="39"/>
        <v>FALSE</v>
      </c>
      <c r="I835" s="41">
        <f t="shared" si="40"/>
        <v>0</v>
      </c>
      <c r="J835" s="4" t="s">
        <v>16</v>
      </c>
      <c r="K835" s="43" t="str">
        <f>IF(VLOOKUP(J835,βοηθητικό!$J$2:$N$354,3,FALSE)="","",VLOOKUP(J835,βοηθητικό!$J$2:$N$354,3,FALSE))</f>
        <v>_</v>
      </c>
      <c r="L835" s="44"/>
      <c r="M835" s="5" t="s">
        <v>16</v>
      </c>
      <c r="N835" s="46" t="str">
        <f>IF(VLOOKUP(M835,βοηθητικό!$J$2:$N$354,3,FALSE)="","",VLOOKUP(M835,βοηθητικό!$J$2:$N$354,3,FALSE))</f>
        <v>_</v>
      </c>
      <c r="O835" s="47"/>
      <c r="P835" s="4" t="s">
        <v>16</v>
      </c>
      <c r="Q835" s="43" t="str">
        <f>IF(VLOOKUP(P835,βοηθητικό!$J$2:$N$354,3,FALSE)="","",VLOOKUP(P835,βοηθητικό!$J$2:$N$354,3,FALSE))</f>
        <v>_</v>
      </c>
      <c r="R835" s="44"/>
      <c r="S835" s="5" t="s">
        <v>16</v>
      </c>
      <c r="T835" s="46" t="str">
        <f>IF(VLOOKUP(S835,βοηθητικό!$J$2:$N$354,3,FALSE)="","",VLOOKUP(S835,βοηθητικό!$J$2:$N$354,3,FALSE))</f>
        <v>_</v>
      </c>
      <c r="U835" s="47"/>
      <c r="V835" s="4" t="s">
        <v>16</v>
      </c>
      <c r="W835" s="43" t="str">
        <f>IF(VLOOKUP(V835,βοηθητικό!$J$2:$N$354,3,FALSE)="","",VLOOKUP(V835,βοηθητικό!$J$2:$N$354,3,FALSE))</f>
        <v>_</v>
      </c>
      <c r="X835" s="44"/>
      <c r="Y835" s="5" t="s">
        <v>16</v>
      </c>
      <c r="Z835" s="46" t="str">
        <f>IF(VLOOKUP(Y835,βοηθητικό!$J$2:$N$354,3,FALSE)="","",VLOOKUP(Y835,βοηθητικό!$J$2:$N$354,3,FALSE))</f>
        <v>_</v>
      </c>
      <c r="AA835" s="47"/>
      <c r="AB835" s="4" t="s">
        <v>16</v>
      </c>
      <c r="AC835" s="43" t="str">
        <f>IF(VLOOKUP(AB835,βοηθητικό!$J$2:$N$354,3,FALSE)="","",VLOOKUP(AB835,βοηθητικό!$J$2:$N$354,3,FALSE))</f>
        <v>_</v>
      </c>
      <c r="AD835" s="44"/>
      <c r="AE835" s="5" t="s">
        <v>16</v>
      </c>
      <c r="AF835" s="46" t="str">
        <f>IF(VLOOKUP(AE835,βοηθητικό!$J$2:$N$354,3,FALSE)="","",VLOOKUP(AE835,βοηθητικό!$J$2:$N$354,3,FALSE))</f>
        <v>_</v>
      </c>
      <c r="AG835" s="47"/>
      <c r="AH835" s="4" t="s">
        <v>16</v>
      </c>
      <c r="AI835" s="43" t="str">
        <f>IF(VLOOKUP(AH835,βοηθητικό!$J$2:$N$354,3,FALSE)="","",VLOOKUP(AH835,βοηθητικό!$J$2:$N$354,3,FALSE))</f>
        <v>_</v>
      </c>
      <c r="AJ835" s="44"/>
      <c r="AK835" s="5" t="s">
        <v>16</v>
      </c>
      <c r="AL835" s="46" t="str">
        <f>IF(VLOOKUP(AK835,βοηθητικό!$J$2:$N$354,3,FALSE)="","",VLOOKUP(AK835,βοηθητικό!$J$2:$N$354,3,FALSE))</f>
        <v>_</v>
      </c>
      <c r="AM835" s="47"/>
      <c r="AN835" s="4" t="s">
        <v>16</v>
      </c>
      <c r="AO835" s="43" t="str">
        <f>IF(VLOOKUP(AN835,βοηθητικό!$J$2:$N$354,3,FALSE)="","",VLOOKUP(AN835,βοηθητικό!$J$2:$N$354,3,FALSE))</f>
        <v>_</v>
      </c>
      <c r="AP835" s="44"/>
      <c r="AQ835" s="5" t="s">
        <v>16</v>
      </c>
      <c r="AR835" s="46" t="str">
        <f>IF(VLOOKUP(AQ835,βοηθητικό!$J$2:$N$354,3,FALSE)="","",VLOOKUP(AQ835,βοηθητικό!$J$2:$N$354,3,FALSE))</f>
        <v>_</v>
      </c>
      <c r="AS835" s="47"/>
      <c r="AT835" s="4" t="s">
        <v>16</v>
      </c>
      <c r="AU835" s="43" t="str">
        <f>IF(VLOOKUP(AT835,βοηθητικό!$J$2:$N$354,3,FALSE)="","",VLOOKUP(AT835,βοηθητικό!$J$2:$N$354,3,FALSE))</f>
        <v>_</v>
      </c>
      <c r="AV835" s="44"/>
      <c r="AW835" s="5" t="s">
        <v>16</v>
      </c>
      <c r="AX835" s="46" t="str">
        <f>IF(VLOOKUP(AW835,βοηθητικό!$J$2:$N$354,3,FALSE)="","",VLOOKUP(AW835,βοηθητικό!$J$2:$N$354,3,FALSE))</f>
        <v>_</v>
      </c>
      <c r="AY835" s="47"/>
      <c r="AZ835" s="4" t="s">
        <v>16</v>
      </c>
      <c r="BA835" s="43" t="str">
        <f>IF(VLOOKUP(AZ835,βοηθητικό!$J$2:$N$354,3,FALSE)="","",VLOOKUP(AZ835,βοηθητικό!$J$2:$N$354,3,FALSE))</f>
        <v>_</v>
      </c>
      <c r="BB835" s="44"/>
      <c r="BC835" s="45" t="s">
        <v>16</v>
      </c>
      <c r="BD835" s="46" t="str">
        <f>IF(VLOOKUP(BC835,βοηθητικό!$J$2:$N$354,3,FALSE)="","",VLOOKUP(BC835,βοηθητικό!$J$2:$N$354,3,FALSE))</f>
        <v>_</v>
      </c>
      <c r="BE835" s="47"/>
      <c r="BF835" s="42" t="s">
        <v>16</v>
      </c>
      <c r="BG835" s="43" t="str">
        <f>IF(VLOOKUP(BF835,βοηθητικό!$J$2:$N$354,3,FALSE)="","",VLOOKUP(BF835,βοηθητικό!$J$2:$N$354,3,FALSE))</f>
        <v>_</v>
      </c>
      <c r="BH835" s="44"/>
      <c r="BI835" s="45" t="s">
        <v>16</v>
      </c>
      <c r="BJ835" s="46" t="str">
        <f>IF(VLOOKUP(BI835,βοηθητικό!$J$2:$N$354,3,FALSE)="","",VLOOKUP(BI835,βοηθητικό!$J$2:$N$354,3,FALSE))</f>
        <v>_</v>
      </c>
      <c r="BK835" s="47"/>
      <c r="BL835" s="42" t="s">
        <v>16</v>
      </c>
      <c r="BM835" s="43" t="str">
        <f>IF(VLOOKUP(BL835,βοηθητικό!$J$2:$N$354,3,FALSE)="","",VLOOKUP(BL835,βοηθητικό!$J$2:$N$354,3,FALSE))</f>
        <v>_</v>
      </c>
      <c r="BN835" s="44"/>
      <c r="BO835" s="45" t="s">
        <v>16</v>
      </c>
      <c r="BP835" s="46" t="str">
        <f>IF(VLOOKUP(BO835,βοηθητικό!$J$2:$N$354,3,FALSE)="","",VLOOKUP(BO835,βοηθητικό!$J$2:$N$354,3,FALSE))</f>
        <v>_</v>
      </c>
      <c r="BQ835" s="47"/>
      <c r="BR835" s="42" t="s">
        <v>16</v>
      </c>
      <c r="BS835" s="43" t="str">
        <f>IF(VLOOKUP(BR835,βοηθητικό!$J$2:$N$354,3,FALSE)="","",VLOOKUP(BR835,βοηθητικό!$J$2:$N$354,3,FALSE))</f>
        <v>_</v>
      </c>
      <c r="BT835" s="44"/>
      <c r="BU835" s="45" t="s">
        <v>16</v>
      </c>
      <c r="BV835" s="46" t="str">
        <f>IF(VLOOKUP(BU835,βοηθητικό!$J$2:$N$354,3,FALSE)="","",VLOOKUP(BU835,βοηθητικό!$J$2:$N$354,3,FALSE))</f>
        <v>_</v>
      </c>
      <c r="BW835" s="47"/>
      <c r="BX835" s="42" t="s">
        <v>16</v>
      </c>
      <c r="BY835" s="43" t="str">
        <f>IF(VLOOKUP(BX835,βοηθητικό!$J$2:$N$354,3,FALSE)="","",VLOOKUP(BX835,βοηθητικό!$J$2:$N$354,3,FALSE))</f>
        <v>_</v>
      </c>
      <c r="BZ835" s="44"/>
      <c r="CA835" s="45" t="s">
        <v>16</v>
      </c>
      <c r="CB835" s="46" t="str">
        <f>IF(VLOOKUP(CA835,βοηθητικό!$J$2:$N$354,3,FALSE)="","",VLOOKUP(CA835,βοηθητικό!$J$2:$N$354,3,FALSE))</f>
        <v>_</v>
      </c>
      <c r="CC835" s="47"/>
      <c r="CD835" s="42" t="s">
        <v>16</v>
      </c>
      <c r="CE835" s="43" t="str">
        <f>IF(VLOOKUP(CD835,βοηθητικό!$J$2:$N$354,3,FALSE)="","",VLOOKUP(CD835,βοηθητικό!$J$2:$N$354,3,FALSE))</f>
        <v>_</v>
      </c>
      <c r="CF835" s="44"/>
      <c r="CG835" s="45" t="s">
        <v>16</v>
      </c>
      <c r="CH835" s="46" t="str">
        <f>IF(VLOOKUP(CG835,βοηθητικό!$J$2:$N$354,3,FALSE)="","",VLOOKUP(CG835,βοηθητικό!$J$2:$N$354,3,FALSE))</f>
        <v>_</v>
      </c>
      <c r="CI835" s="47"/>
      <c r="CJ835" s="42" t="s">
        <v>16</v>
      </c>
      <c r="CK835" s="43" t="str">
        <f>IF(VLOOKUP(CJ835,βοηθητικό!$J$2:$N$354,3,FALSE)="","",VLOOKUP(CJ835,βοηθητικό!$J$2:$N$354,3,FALSE))</f>
        <v>_</v>
      </c>
      <c r="CL835" s="44"/>
      <c r="CM835" s="45" t="s">
        <v>16</v>
      </c>
      <c r="CN835" s="46" t="str">
        <f>IF(VLOOKUP(CM835,βοηθητικό!$J$2:$N$354,3,FALSE)="","",VLOOKUP(CM835,βοηθητικό!$J$2:$N$354,3,FALSE))</f>
        <v>_</v>
      </c>
      <c r="CO835" s="47"/>
      <c r="CP835" s="42" t="s">
        <v>16</v>
      </c>
      <c r="CQ835" s="43" t="str">
        <f>IF(VLOOKUP(CP835,βοηθητικό!$J$2:$N$354,3,FALSE)="","",VLOOKUP(CP835,βοηθητικό!$J$2:$N$354,3,FALSE))</f>
        <v>_</v>
      </c>
      <c r="CR835" s="44"/>
      <c r="CS835" s="45" t="s">
        <v>16</v>
      </c>
      <c r="CT835" s="46" t="str">
        <f>IF(VLOOKUP(CS835,βοηθητικό!$J$2:$N$354,3,FALSE)="","",VLOOKUP(CS835,βοηθητικό!$J$2:$N$354,3,FALSE))</f>
        <v>_</v>
      </c>
      <c r="CU835" s="47"/>
    </row>
    <row r="836" spans="1:99" x14ac:dyDescent="0.25">
      <c r="A836" s="37">
        <f>--SUBTOTAL(3,$B$3:B835)</f>
        <v>198</v>
      </c>
      <c r="B836" s="2"/>
      <c r="C836" s="3"/>
      <c r="D836" s="55" t="s">
        <v>18</v>
      </c>
      <c r="E836" s="38" t="s">
        <v>16</v>
      </c>
      <c r="F836" s="38"/>
      <c r="G836" s="39" t="str">
        <f t="shared" ref="G836:G899" si="41">IF(OR(C836="_",E836="_"),"__",CONCATENATE(C836,E836))</f>
        <v>__</v>
      </c>
      <c r="H836" s="40" t="str">
        <f t="shared" ref="H836:H899" si="42">IF(G836="__","FALSE",COUNTIF(G:G,G836)&gt;1)</f>
        <v>FALSE</v>
      </c>
      <c r="I836" s="41">
        <f t="shared" ref="I836:I899" si="43">SUMPRODUCT((J836:CU836&lt;&gt;"_")*(MOD(COLUMN(J836:CU836)-COLUMN(J836),3)=0))</f>
        <v>0</v>
      </c>
      <c r="J836" s="4" t="s">
        <v>16</v>
      </c>
      <c r="K836" s="43" t="str">
        <f>IF(VLOOKUP(J836,βοηθητικό!$J$2:$N$354,3,FALSE)="","",VLOOKUP(J836,βοηθητικό!$J$2:$N$354,3,FALSE))</f>
        <v>_</v>
      </c>
      <c r="L836" s="44"/>
      <c r="M836" s="5" t="s">
        <v>16</v>
      </c>
      <c r="N836" s="46" t="str">
        <f>IF(VLOOKUP(M836,βοηθητικό!$J$2:$N$354,3,FALSE)="","",VLOOKUP(M836,βοηθητικό!$J$2:$N$354,3,FALSE))</f>
        <v>_</v>
      </c>
      <c r="O836" s="47"/>
      <c r="P836" s="4" t="s">
        <v>16</v>
      </c>
      <c r="Q836" s="43" t="str">
        <f>IF(VLOOKUP(P836,βοηθητικό!$J$2:$N$354,3,FALSE)="","",VLOOKUP(P836,βοηθητικό!$J$2:$N$354,3,FALSE))</f>
        <v>_</v>
      </c>
      <c r="R836" s="44"/>
      <c r="S836" s="5" t="s">
        <v>16</v>
      </c>
      <c r="T836" s="46" t="str">
        <f>IF(VLOOKUP(S836,βοηθητικό!$J$2:$N$354,3,FALSE)="","",VLOOKUP(S836,βοηθητικό!$J$2:$N$354,3,FALSE))</f>
        <v>_</v>
      </c>
      <c r="U836" s="47"/>
      <c r="V836" s="4" t="s">
        <v>16</v>
      </c>
      <c r="W836" s="43" t="str">
        <f>IF(VLOOKUP(V836,βοηθητικό!$J$2:$N$354,3,FALSE)="","",VLOOKUP(V836,βοηθητικό!$J$2:$N$354,3,FALSE))</f>
        <v>_</v>
      </c>
      <c r="X836" s="44"/>
      <c r="Y836" s="5" t="s">
        <v>16</v>
      </c>
      <c r="Z836" s="46" t="str">
        <f>IF(VLOOKUP(Y836,βοηθητικό!$J$2:$N$354,3,FALSE)="","",VLOOKUP(Y836,βοηθητικό!$J$2:$N$354,3,FALSE))</f>
        <v>_</v>
      </c>
      <c r="AA836" s="47"/>
      <c r="AB836" s="4" t="s">
        <v>16</v>
      </c>
      <c r="AC836" s="43" t="str">
        <f>IF(VLOOKUP(AB836,βοηθητικό!$J$2:$N$354,3,FALSE)="","",VLOOKUP(AB836,βοηθητικό!$J$2:$N$354,3,FALSE))</f>
        <v>_</v>
      </c>
      <c r="AD836" s="44"/>
      <c r="AE836" s="5" t="s">
        <v>16</v>
      </c>
      <c r="AF836" s="46" t="str">
        <f>IF(VLOOKUP(AE836,βοηθητικό!$J$2:$N$354,3,FALSE)="","",VLOOKUP(AE836,βοηθητικό!$J$2:$N$354,3,FALSE))</f>
        <v>_</v>
      </c>
      <c r="AG836" s="47"/>
      <c r="AH836" s="4" t="s">
        <v>16</v>
      </c>
      <c r="AI836" s="43" t="str">
        <f>IF(VLOOKUP(AH836,βοηθητικό!$J$2:$N$354,3,FALSE)="","",VLOOKUP(AH836,βοηθητικό!$J$2:$N$354,3,FALSE))</f>
        <v>_</v>
      </c>
      <c r="AJ836" s="44"/>
      <c r="AK836" s="5" t="s">
        <v>16</v>
      </c>
      <c r="AL836" s="46" t="str">
        <f>IF(VLOOKUP(AK836,βοηθητικό!$J$2:$N$354,3,FALSE)="","",VLOOKUP(AK836,βοηθητικό!$J$2:$N$354,3,FALSE))</f>
        <v>_</v>
      </c>
      <c r="AM836" s="47"/>
      <c r="AN836" s="4" t="s">
        <v>16</v>
      </c>
      <c r="AO836" s="43" t="str">
        <f>IF(VLOOKUP(AN836,βοηθητικό!$J$2:$N$354,3,FALSE)="","",VLOOKUP(AN836,βοηθητικό!$J$2:$N$354,3,FALSE))</f>
        <v>_</v>
      </c>
      <c r="AP836" s="44"/>
      <c r="AQ836" s="5" t="s">
        <v>16</v>
      </c>
      <c r="AR836" s="46" t="str">
        <f>IF(VLOOKUP(AQ836,βοηθητικό!$J$2:$N$354,3,FALSE)="","",VLOOKUP(AQ836,βοηθητικό!$J$2:$N$354,3,FALSE))</f>
        <v>_</v>
      </c>
      <c r="AS836" s="47"/>
      <c r="AT836" s="4" t="s">
        <v>16</v>
      </c>
      <c r="AU836" s="43" t="str">
        <f>IF(VLOOKUP(AT836,βοηθητικό!$J$2:$N$354,3,FALSE)="","",VLOOKUP(AT836,βοηθητικό!$J$2:$N$354,3,FALSE))</f>
        <v>_</v>
      </c>
      <c r="AV836" s="44"/>
      <c r="AW836" s="5" t="s">
        <v>16</v>
      </c>
      <c r="AX836" s="46" t="str">
        <f>IF(VLOOKUP(AW836,βοηθητικό!$J$2:$N$354,3,FALSE)="","",VLOOKUP(AW836,βοηθητικό!$J$2:$N$354,3,FALSE))</f>
        <v>_</v>
      </c>
      <c r="AY836" s="47"/>
      <c r="AZ836" s="4" t="s">
        <v>16</v>
      </c>
      <c r="BA836" s="43" t="str">
        <f>IF(VLOOKUP(AZ836,βοηθητικό!$J$2:$N$354,3,FALSE)="","",VLOOKUP(AZ836,βοηθητικό!$J$2:$N$354,3,FALSE))</f>
        <v>_</v>
      </c>
      <c r="BB836" s="44"/>
      <c r="BC836" s="45" t="s">
        <v>16</v>
      </c>
      <c r="BD836" s="46" t="str">
        <f>IF(VLOOKUP(BC836,βοηθητικό!$J$2:$N$354,3,FALSE)="","",VLOOKUP(BC836,βοηθητικό!$J$2:$N$354,3,FALSE))</f>
        <v>_</v>
      </c>
      <c r="BE836" s="47"/>
      <c r="BF836" s="42" t="s">
        <v>16</v>
      </c>
      <c r="BG836" s="43" t="str">
        <f>IF(VLOOKUP(BF836,βοηθητικό!$J$2:$N$354,3,FALSE)="","",VLOOKUP(BF836,βοηθητικό!$J$2:$N$354,3,FALSE))</f>
        <v>_</v>
      </c>
      <c r="BH836" s="44"/>
      <c r="BI836" s="45" t="s">
        <v>16</v>
      </c>
      <c r="BJ836" s="46" t="str">
        <f>IF(VLOOKUP(BI836,βοηθητικό!$J$2:$N$354,3,FALSE)="","",VLOOKUP(BI836,βοηθητικό!$J$2:$N$354,3,FALSE))</f>
        <v>_</v>
      </c>
      <c r="BK836" s="47"/>
      <c r="BL836" s="42" t="s">
        <v>16</v>
      </c>
      <c r="BM836" s="43" t="str">
        <f>IF(VLOOKUP(BL836,βοηθητικό!$J$2:$N$354,3,FALSE)="","",VLOOKUP(BL836,βοηθητικό!$J$2:$N$354,3,FALSE))</f>
        <v>_</v>
      </c>
      <c r="BN836" s="44"/>
      <c r="BO836" s="45" t="s">
        <v>16</v>
      </c>
      <c r="BP836" s="46" t="str">
        <f>IF(VLOOKUP(BO836,βοηθητικό!$J$2:$N$354,3,FALSE)="","",VLOOKUP(BO836,βοηθητικό!$J$2:$N$354,3,FALSE))</f>
        <v>_</v>
      </c>
      <c r="BQ836" s="47"/>
      <c r="BR836" s="42" t="s">
        <v>16</v>
      </c>
      <c r="BS836" s="43" t="str">
        <f>IF(VLOOKUP(BR836,βοηθητικό!$J$2:$N$354,3,FALSE)="","",VLOOKUP(BR836,βοηθητικό!$J$2:$N$354,3,FALSE))</f>
        <v>_</v>
      </c>
      <c r="BT836" s="44"/>
      <c r="BU836" s="45" t="s">
        <v>16</v>
      </c>
      <c r="BV836" s="46" t="str">
        <f>IF(VLOOKUP(BU836,βοηθητικό!$J$2:$N$354,3,FALSE)="","",VLOOKUP(BU836,βοηθητικό!$J$2:$N$354,3,FALSE))</f>
        <v>_</v>
      </c>
      <c r="BW836" s="47"/>
      <c r="BX836" s="42" t="s">
        <v>16</v>
      </c>
      <c r="BY836" s="43" t="str">
        <f>IF(VLOOKUP(BX836,βοηθητικό!$J$2:$N$354,3,FALSE)="","",VLOOKUP(BX836,βοηθητικό!$J$2:$N$354,3,FALSE))</f>
        <v>_</v>
      </c>
      <c r="BZ836" s="44"/>
      <c r="CA836" s="45" t="s">
        <v>16</v>
      </c>
      <c r="CB836" s="46" t="str">
        <f>IF(VLOOKUP(CA836,βοηθητικό!$J$2:$N$354,3,FALSE)="","",VLOOKUP(CA836,βοηθητικό!$J$2:$N$354,3,FALSE))</f>
        <v>_</v>
      </c>
      <c r="CC836" s="47"/>
      <c r="CD836" s="42" t="s">
        <v>16</v>
      </c>
      <c r="CE836" s="43" t="str">
        <f>IF(VLOOKUP(CD836,βοηθητικό!$J$2:$N$354,3,FALSE)="","",VLOOKUP(CD836,βοηθητικό!$J$2:$N$354,3,FALSE))</f>
        <v>_</v>
      </c>
      <c r="CF836" s="44"/>
      <c r="CG836" s="45" t="s">
        <v>16</v>
      </c>
      <c r="CH836" s="46" t="str">
        <f>IF(VLOOKUP(CG836,βοηθητικό!$J$2:$N$354,3,FALSE)="","",VLOOKUP(CG836,βοηθητικό!$J$2:$N$354,3,FALSE))</f>
        <v>_</v>
      </c>
      <c r="CI836" s="47"/>
      <c r="CJ836" s="42" t="s">
        <v>16</v>
      </c>
      <c r="CK836" s="43" t="str">
        <f>IF(VLOOKUP(CJ836,βοηθητικό!$J$2:$N$354,3,FALSE)="","",VLOOKUP(CJ836,βοηθητικό!$J$2:$N$354,3,FALSE))</f>
        <v>_</v>
      </c>
      <c r="CL836" s="44"/>
      <c r="CM836" s="45" t="s">
        <v>16</v>
      </c>
      <c r="CN836" s="46" t="str">
        <f>IF(VLOOKUP(CM836,βοηθητικό!$J$2:$N$354,3,FALSE)="","",VLOOKUP(CM836,βοηθητικό!$J$2:$N$354,3,FALSE))</f>
        <v>_</v>
      </c>
      <c r="CO836" s="47"/>
      <c r="CP836" s="42" t="s">
        <v>16</v>
      </c>
      <c r="CQ836" s="43" t="str">
        <f>IF(VLOOKUP(CP836,βοηθητικό!$J$2:$N$354,3,FALSE)="","",VLOOKUP(CP836,βοηθητικό!$J$2:$N$354,3,FALSE))</f>
        <v>_</v>
      </c>
      <c r="CR836" s="44"/>
      <c r="CS836" s="45" t="s">
        <v>16</v>
      </c>
      <c r="CT836" s="46" t="str">
        <f>IF(VLOOKUP(CS836,βοηθητικό!$J$2:$N$354,3,FALSE)="","",VLOOKUP(CS836,βοηθητικό!$J$2:$N$354,3,FALSE))</f>
        <v>_</v>
      </c>
      <c r="CU836" s="47"/>
    </row>
    <row r="837" spans="1:99" x14ac:dyDescent="0.25">
      <c r="A837" s="37">
        <f>--SUBTOTAL(3,$B$3:B836)</f>
        <v>198</v>
      </c>
      <c r="B837" s="2"/>
      <c r="C837" s="3"/>
      <c r="D837" s="55" t="s">
        <v>18</v>
      </c>
      <c r="E837" s="38" t="s">
        <v>16</v>
      </c>
      <c r="F837" s="38"/>
      <c r="G837" s="39" t="str">
        <f t="shared" si="41"/>
        <v>__</v>
      </c>
      <c r="H837" s="40" t="str">
        <f t="shared" si="42"/>
        <v>FALSE</v>
      </c>
      <c r="I837" s="41">
        <f t="shared" si="43"/>
        <v>0</v>
      </c>
      <c r="J837" s="4" t="s">
        <v>16</v>
      </c>
      <c r="K837" s="43" t="str">
        <f>IF(VLOOKUP(J837,βοηθητικό!$J$2:$N$354,3,FALSE)="","",VLOOKUP(J837,βοηθητικό!$J$2:$N$354,3,FALSE))</f>
        <v>_</v>
      </c>
      <c r="L837" s="44"/>
      <c r="M837" s="5" t="s">
        <v>16</v>
      </c>
      <c r="N837" s="46" t="str">
        <f>IF(VLOOKUP(M837,βοηθητικό!$J$2:$N$354,3,FALSE)="","",VLOOKUP(M837,βοηθητικό!$J$2:$N$354,3,FALSE))</f>
        <v>_</v>
      </c>
      <c r="O837" s="47"/>
      <c r="P837" s="4" t="s">
        <v>16</v>
      </c>
      <c r="Q837" s="43" t="str">
        <f>IF(VLOOKUP(P837,βοηθητικό!$J$2:$N$354,3,FALSE)="","",VLOOKUP(P837,βοηθητικό!$J$2:$N$354,3,FALSE))</f>
        <v>_</v>
      </c>
      <c r="R837" s="44"/>
      <c r="S837" s="5" t="s">
        <v>16</v>
      </c>
      <c r="T837" s="46" t="str">
        <f>IF(VLOOKUP(S837,βοηθητικό!$J$2:$N$354,3,FALSE)="","",VLOOKUP(S837,βοηθητικό!$J$2:$N$354,3,FALSE))</f>
        <v>_</v>
      </c>
      <c r="U837" s="47"/>
      <c r="V837" s="4" t="s">
        <v>16</v>
      </c>
      <c r="W837" s="43" t="str">
        <f>IF(VLOOKUP(V837,βοηθητικό!$J$2:$N$354,3,FALSE)="","",VLOOKUP(V837,βοηθητικό!$J$2:$N$354,3,FALSE))</f>
        <v>_</v>
      </c>
      <c r="X837" s="44"/>
      <c r="Y837" s="5" t="s">
        <v>16</v>
      </c>
      <c r="Z837" s="46" t="str">
        <f>IF(VLOOKUP(Y837,βοηθητικό!$J$2:$N$354,3,FALSE)="","",VLOOKUP(Y837,βοηθητικό!$J$2:$N$354,3,FALSE))</f>
        <v>_</v>
      </c>
      <c r="AA837" s="47"/>
      <c r="AB837" s="4" t="s">
        <v>16</v>
      </c>
      <c r="AC837" s="43" t="str">
        <f>IF(VLOOKUP(AB837,βοηθητικό!$J$2:$N$354,3,FALSE)="","",VLOOKUP(AB837,βοηθητικό!$J$2:$N$354,3,FALSE))</f>
        <v>_</v>
      </c>
      <c r="AD837" s="44"/>
      <c r="AE837" s="5" t="s">
        <v>16</v>
      </c>
      <c r="AF837" s="46" t="str">
        <f>IF(VLOOKUP(AE837,βοηθητικό!$J$2:$N$354,3,FALSE)="","",VLOOKUP(AE837,βοηθητικό!$J$2:$N$354,3,FALSE))</f>
        <v>_</v>
      </c>
      <c r="AG837" s="47"/>
      <c r="AH837" s="4" t="s">
        <v>16</v>
      </c>
      <c r="AI837" s="43" t="str">
        <f>IF(VLOOKUP(AH837,βοηθητικό!$J$2:$N$354,3,FALSE)="","",VLOOKUP(AH837,βοηθητικό!$J$2:$N$354,3,FALSE))</f>
        <v>_</v>
      </c>
      <c r="AJ837" s="44"/>
      <c r="AK837" s="5" t="s">
        <v>16</v>
      </c>
      <c r="AL837" s="46" t="str">
        <f>IF(VLOOKUP(AK837,βοηθητικό!$J$2:$N$354,3,FALSE)="","",VLOOKUP(AK837,βοηθητικό!$J$2:$N$354,3,FALSE))</f>
        <v>_</v>
      </c>
      <c r="AM837" s="47"/>
      <c r="AN837" s="4" t="s">
        <v>16</v>
      </c>
      <c r="AO837" s="43" t="str">
        <f>IF(VLOOKUP(AN837,βοηθητικό!$J$2:$N$354,3,FALSE)="","",VLOOKUP(AN837,βοηθητικό!$J$2:$N$354,3,FALSE))</f>
        <v>_</v>
      </c>
      <c r="AP837" s="44"/>
      <c r="AQ837" s="5" t="s">
        <v>16</v>
      </c>
      <c r="AR837" s="46" t="str">
        <f>IF(VLOOKUP(AQ837,βοηθητικό!$J$2:$N$354,3,FALSE)="","",VLOOKUP(AQ837,βοηθητικό!$J$2:$N$354,3,FALSE))</f>
        <v>_</v>
      </c>
      <c r="AS837" s="47"/>
      <c r="AT837" s="4" t="s">
        <v>16</v>
      </c>
      <c r="AU837" s="43" t="str">
        <f>IF(VLOOKUP(AT837,βοηθητικό!$J$2:$N$354,3,FALSE)="","",VLOOKUP(AT837,βοηθητικό!$J$2:$N$354,3,FALSE))</f>
        <v>_</v>
      </c>
      <c r="AV837" s="44"/>
      <c r="AW837" s="5" t="s">
        <v>16</v>
      </c>
      <c r="AX837" s="46" t="str">
        <f>IF(VLOOKUP(AW837,βοηθητικό!$J$2:$N$354,3,FALSE)="","",VLOOKUP(AW837,βοηθητικό!$J$2:$N$354,3,FALSE))</f>
        <v>_</v>
      </c>
      <c r="AY837" s="47"/>
      <c r="AZ837" s="4" t="s">
        <v>16</v>
      </c>
      <c r="BA837" s="43" t="str">
        <f>IF(VLOOKUP(AZ837,βοηθητικό!$J$2:$N$354,3,FALSE)="","",VLOOKUP(AZ837,βοηθητικό!$J$2:$N$354,3,FALSE))</f>
        <v>_</v>
      </c>
      <c r="BB837" s="44"/>
      <c r="BC837" s="45" t="s">
        <v>16</v>
      </c>
      <c r="BD837" s="46" t="str">
        <f>IF(VLOOKUP(BC837,βοηθητικό!$J$2:$N$354,3,FALSE)="","",VLOOKUP(BC837,βοηθητικό!$J$2:$N$354,3,FALSE))</f>
        <v>_</v>
      </c>
      <c r="BE837" s="47"/>
      <c r="BF837" s="42" t="s">
        <v>16</v>
      </c>
      <c r="BG837" s="43" t="str">
        <f>IF(VLOOKUP(BF837,βοηθητικό!$J$2:$N$354,3,FALSE)="","",VLOOKUP(BF837,βοηθητικό!$J$2:$N$354,3,FALSE))</f>
        <v>_</v>
      </c>
      <c r="BH837" s="44"/>
      <c r="BI837" s="45" t="s">
        <v>16</v>
      </c>
      <c r="BJ837" s="46" t="str">
        <f>IF(VLOOKUP(BI837,βοηθητικό!$J$2:$N$354,3,FALSE)="","",VLOOKUP(BI837,βοηθητικό!$J$2:$N$354,3,FALSE))</f>
        <v>_</v>
      </c>
      <c r="BK837" s="47"/>
      <c r="BL837" s="42" t="s">
        <v>16</v>
      </c>
      <c r="BM837" s="43" t="str">
        <f>IF(VLOOKUP(BL837,βοηθητικό!$J$2:$N$354,3,FALSE)="","",VLOOKUP(BL837,βοηθητικό!$J$2:$N$354,3,FALSE))</f>
        <v>_</v>
      </c>
      <c r="BN837" s="44"/>
      <c r="BO837" s="45" t="s">
        <v>16</v>
      </c>
      <c r="BP837" s="46" t="str">
        <f>IF(VLOOKUP(BO837,βοηθητικό!$J$2:$N$354,3,FALSE)="","",VLOOKUP(BO837,βοηθητικό!$J$2:$N$354,3,FALSE))</f>
        <v>_</v>
      </c>
      <c r="BQ837" s="47"/>
      <c r="BR837" s="42" t="s">
        <v>16</v>
      </c>
      <c r="BS837" s="43" t="str">
        <f>IF(VLOOKUP(BR837,βοηθητικό!$J$2:$N$354,3,FALSE)="","",VLOOKUP(BR837,βοηθητικό!$J$2:$N$354,3,FALSE))</f>
        <v>_</v>
      </c>
      <c r="BT837" s="44"/>
      <c r="BU837" s="45" t="s">
        <v>16</v>
      </c>
      <c r="BV837" s="46" t="str">
        <f>IF(VLOOKUP(BU837,βοηθητικό!$J$2:$N$354,3,FALSE)="","",VLOOKUP(BU837,βοηθητικό!$J$2:$N$354,3,FALSE))</f>
        <v>_</v>
      </c>
      <c r="BW837" s="47"/>
      <c r="BX837" s="42" t="s">
        <v>16</v>
      </c>
      <c r="BY837" s="43" t="str">
        <f>IF(VLOOKUP(BX837,βοηθητικό!$J$2:$N$354,3,FALSE)="","",VLOOKUP(BX837,βοηθητικό!$J$2:$N$354,3,FALSE))</f>
        <v>_</v>
      </c>
      <c r="BZ837" s="44"/>
      <c r="CA837" s="45" t="s">
        <v>16</v>
      </c>
      <c r="CB837" s="46" t="str">
        <f>IF(VLOOKUP(CA837,βοηθητικό!$J$2:$N$354,3,FALSE)="","",VLOOKUP(CA837,βοηθητικό!$J$2:$N$354,3,FALSE))</f>
        <v>_</v>
      </c>
      <c r="CC837" s="47"/>
      <c r="CD837" s="42" t="s">
        <v>16</v>
      </c>
      <c r="CE837" s="43" t="str">
        <f>IF(VLOOKUP(CD837,βοηθητικό!$J$2:$N$354,3,FALSE)="","",VLOOKUP(CD837,βοηθητικό!$J$2:$N$354,3,FALSE))</f>
        <v>_</v>
      </c>
      <c r="CF837" s="44"/>
      <c r="CG837" s="45" t="s">
        <v>16</v>
      </c>
      <c r="CH837" s="46" t="str">
        <f>IF(VLOOKUP(CG837,βοηθητικό!$J$2:$N$354,3,FALSE)="","",VLOOKUP(CG837,βοηθητικό!$J$2:$N$354,3,FALSE))</f>
        <v>_</v>
      </c>
      <c r="CI837" s="47"/>
      <c r="CJ837" s="42" t="s">
        <v>16</v>
      </c>
      <c r="CK837" s="43" t="str">
        <f>IF(VLOOKUP(CJ837,βοηθητικό!$J$2:$N$354,3,FALSE)="","",VLOOKUP(CJ837,βοηθητικό!$J$2:$N$354,3,FALSE))</f>
        <v>_</v>
      </c>
      <c r="CL837" s="44"/>
      <c r="CM837" s="45" t="s">
        <v>16</v>
      </c>
      <c r="CN837" s="46" t="str">
        <f>IF(VLOOKUP(CM837,βοηθητικό!$J$2:$N$354,3,FALSE)="","",VLOOKUP(CM837,βοηθητικό!$J$2:$N$354,3,FALSE))</f>
        <v>_</v>
      </c>
      <c r="CO837" s="47"/>
      <c r="CP837" s="42" t="s">
        <v>16</v>
      </c>
      <c r="CQ837" s="43" t="str">
        <f>IF(VLOOKUP(CP837,βοηθητικό!$J$2:$N$354,3,FALSE)="","",VLOOKUP(CP837,βοηθητικό!$J$2:$N$354,3,FALSE))</f>
        <v>_</v>
      </c>
      <c r="CR837" s="44"/>
      <c r="CS837" s="45" t="s">
        <v>16</v>
      </c>
      <c r="CT837" s="46" t="str">
        <f>IF(VLOOKUP(CS837,βοηθητικό!$J$2:$N$354,3,FALSE)="","",VLOOKUP(CS837,βοηθητικό!$J$2:$N$354,3,FALSE))</f>
        <v>_</v>
      </c>
      <c r="CU837" s="47"/>
    </row>
    <row r="838" spans="1:99" x14ac:dyDescent="0.25">
      <c r="A838" s="37">
        <f>--SUBTOTAL(3,$B$3:B837)</f>
        <v>198</v>
      </c>
      <c r="B838" s="2"/>
      <c r="C838" s="3"/>
      <c r="D838" s="55" t="s">
        <v>18</v>
      </c>
      <c r="E838" s="38" t="s">
        <v>16</v>
      </c>
      <c r="F838" s="38"/>
      <c r="G838" s="39" t="str">
        <f t="shared" si="41"/>
        <v>__</v>
      </c>
      <c r="H838" s="40" t="str">
        <f t="shared" si="42"/>
        <v>FALSE</v>
      </c>
      <c r="I838" s="41">
        <f t="shared" si="43"/>
        <v>0</v>
      </c>
      <c r="J838" s="4" t="s">
        <v>16</v>
      </c>
      <c r="K838" s="43" t="str">
        <f>IF(VLOOKUP(J838,βοηθητικό!$J$2:$N$354,3,FALSE)="","",VLOOKUP(J838,βοηθητικό!$J$2:$N$354,3,FALSE))</f>
        <v>_</v>
      </c>
      <c r="L838" s="44"/>
      <c r="M838" s="5" t="s">
        <v>16</v>
      </c>
      <c r="N838" s="46" t="str">
        <f>IF(VLOOKUP(M838,βοηθητικό!$J$2:$N$354,3,FALSE)="","",VLOOKUP(M838,βοηθητικό!$J$2:$N$354,3,FALSE))</f>
        <v>_</v>
      </c>
      <c r="O838" s="47"/>
      <c r="P838" s="4" t="s">
        <v>16</v>
      </c>
      <c r="Q838" s="43" t="str">
        <f>IF(VLOOKUP(P838,βοηθητικό!$J$2:$N$354,3,FALSE)="","",VLOOKUP(P838,βοηθητικό!$J$2:$N$354,3,FALSE))</f>
        <v>_</v>
      </c>
      <c r="R838" s="44"/>
      <c r="S838" s="5" t="s">
        <v>16</v>
      </c>
      <c r="T838" s="46" t="str">
        <f>IF(VLOOKUP(S838,βοηθητικό!$J$2:$N$354,3,FALSE)="","",VLOOKUP(S838,βοηθητικό!$J$2:$N$354,3,FALSE))</f>
        <v>_</v>
      </c>
      <c r="U838" s="47"/>
      <c r="V838" s="4" t="s">
        <v>16</v>
      </c>
      <c r="W838" s="43" t="str">
        <f>IF(VLOOKUP(V838,βοηθητικό!$J$2:$N$354,3,FALSE)="","",VLOOKUP(V838,βοηθητικό!$J$2:$N$354,3,FALSE))</f>
        <v>_</v>
      </c>
      <c r="X838" s="44"/>
      <c r="Y838" s="5" t="s">
        <v>16</v>
      </c>
      <c r="Z838" s="46" t="str">
        <f>IF(VLOOKUP(Y838,βοηθητικό!$J$2:$N$354,3,FALSE)="","",VLOOKUP(Y838,βοηθητικό!$J$2:$N$354,3,FALSE))</f>
        <v>_</v>
      </c>
      <c r="AA838" s="47"/>
      <c r="AB838" s="4" t="s">
        <v>16</v>
      </c>
      <c r="AC838" s="43" t="str">
        <f>IF(VLOOKUP(AB838,βοηθητικό!$J$2:$N$354,3,FALSE)="","",VLOOKUP(AB838,βοηθητικό!$J$2:$N$354,3,FALSE))</f>
        <v>_</v>
      </c>
      <c r="AD838" s="44"/>
      <c r="AE838" s="5" t="s">
        <v>16</v>
      </c>
      <c r="AF838" s="46" t="str">
        <f>IF(VLOOKUP(AE838,βοηθητικό!$J$2:$N$354,3,FALSE)="","",VLOOKUP(AE838,βοηθητικό!$J$2:$N$354,3,FALSE))</f>
        <v>_</v>
      </c>
      <c r="AG838" s="47"/>
      <c r="AH838" s="4" t="s">
        <v>16</v>
      </c>
      <c r="AI838" s="43" t="str">
        <f>IF(VLOOKUP(AH838,βοηθητικό!$J$2:$N$354,3,FALSE)="","",VLOOKUP(AH838,βοηθητικό!$J$2:$N$354,3,FALSE))</f>
        <v>_</v>
      </c>
      <c r="AJ838" s="44"/>
      <c r="AK838" s="5" t="s">
        <v>16</v>
      </c>
      <c r="AL838" s="46" t="str">
        <f>IF(VLOOKUP(AK838,βοηθητικό!$J$2:$N$354,3,FALSE)="","",VLOOKUP(AK838,βοηθητικό!$J$2:$N$354,3,FALSE))</f>
        <v>_</v>
      </c>
      <c r="AM838" s="47"/>
      <c r="AN838" s="4" t="s">
        <v>16</v>
      </c>
      <c r="AO838" s="43" t="str">
        <f>IF(VLOOKUP(AN838,βοηθητικό!$J$2:$N$354,3,FALSE)="","",VLOOKUP(AN838,βοηθητικό!$J$2:$N$354,3,FALSE))</f>
        <v>_</v>
      </c>
      <c r="AP838" s="44"/>
      <c r="AQ838" s="5" t="s">
        <v>16</v>
      </c>
      <c r="AR838" s="46" t="str">
        <f>IF(VLOOKUP(AQ838,βοηθητικό!$J$2:$N$354,3,FALSE)="","",VLOOKUP(AQ838,βοηθητικό!$J$2:$N$354,3,FALSE))</f>
        <v>_</v>
      </c>
      <c r="AS838" s="47"/>
      <c r="AT838" s="4" t="s">
        <v>16</v>
      </c>
      <c r="AU838" s="43" t="str">
        <f>IF(VLOOKUP(AT838,βοηθητικό!$J$2:$N$354,3,FALSE)="","",VLOOKUP(AT838,βοηθητικό!$J$2:$N$354,3,FALSE))</f>
        <v>_</v>
      </c>
      <c r="AV838" s="44"/>
      <c r="AW838" s="5" t="s">
        <v>16</v>
      </c>
      <c r="AX838" s="46" t="str">
        <f>IF(VLOOKUP(AW838,βοηθητικό!$J$2:$N$354,3,FALSE)="","",VLOOKUP(AW838,βοηθητικό!$J$2:$N$354,3,FALSE))</f>
        <v>_</v>
      </c>
      <c r="AY838" s="47"/>
      <c r="AZ838" s="4" t="s">
        <v>16</v>
      </c>
      <c r="BA838" s="43" t="str">
        <f>IF(VLOOKUP(AZ838,βοηθητικό!$J$2:$N$354,3,FALSE)="","",VLOOKUP(AZ838,βοηθητικό!$J$2:$N$354,3,FALSE))</f>
        <v>_</v>
      </c>
      <c r="BB838" s="44"/>
      <c r="BC838" s="45" t="s">
        <v>16</v>
      </c>
      <c r="BD838" s="46" t="str">
        <f>IF(VLOOKUP(BC838,βοηθητικό!$J$2:$N$354,3,FALSE)="","",VLOOKUP(BC838,βοηθητικό!$J$2:$N$354,3,FALSE))</f>
        <v>_</v>
      </c>
      <c r="BE838" s="47"/>
      <c r="BF838" s="42" t="s">
        <v>16</v>
      </c>
      <c r="BG838" s="43" t="str">
        <f>IF(VLOOKUP(BF838,βοηθητικό!$J$2:$N$354,3,FALSE)="","",VLOOKUP(BF838,βοηθητικό!$J$2:$N$354,3,FALSE))</f>
        <v>_</v>
      </c>
      <c r="BH838" s="44"/>
      <c r="BI838" s="45" t="s">
        <v>16</v>
      </c>
      <c r="BJ838" s="46" t="str">
        <f>IF(VLOOKUP(BI838,βοηθητικό!$J$2:$N$354,3,FALSE)="","",VLOOKUP(BI838,βοηθητικό!$J$2:$N$354,3,FALSE))</f>
        <v>_</v>
      </c>
      <c r="BK838" s="47"/>
      <c r="BL838" s="42" t="s">
        <v>16</v>
      </c>
      <c r="BM838" s="43" t="str">
        <f>IF(VLOOKUP(BL838,βοηθητικό!$J$2:$N$354,3,FALSE)="","",VLOOKUP(BL838,βοηθητικό!$J$2:$N$354,3,FALSE))</f>
        <v>_</v>
      </c>
      <c r="BN838" s="44"/>
      <c r="BO838" s="45" t="s">
        <v>16</v>
      </c>
      <c r="BP838" s="46" t="str">
        <f>IF(VLOOKUP(BO838,βοηθητικό!$J$2:$N$354,3,FALSE)="","",VLOOKUP(BO838,βοηθητικό!$J$2:$N$354,3,FALSE))</f>
        <v>_</v>
      </c>
      <c r="BQ838" s="47"/>
      <c r="BR838" s="42" t="s">
        <v>16</v>
      </c>
      <c r="BS838" s="43" t="str">
        <f>IF(VLOOKUP(BR838,βοηθητικό!$J$2:$N$354,3,FALSE)="","",VLOOKUP(BR838,βοηθητικό!$J$2:$N$354,3,FALSE))</f>
        <v>_</v>
      </c>
      <c r="BT838" s="44"/>
      <c r="BU838" s="45" t="s">
        <v>16</v>
      </c>
      <c r="BV838" s="46" t="str">
        <f>IF(VLOOKUP(BU838,βοηθητικό!$J$2:$N$354,3,FALSE)="","",VLOOKUP(BU838,βοηθητικό!$J$2:$N$354,3,FALSE))</f>
        <v>_</v>
      </c>
      <c r="BW838" s="47"/>
      <c r="BX838" s="42" t="s">
        <v>16</v>
      </c>
      <c r="BY838" s="43" t="str">
        <f>IF(VLOOKUP(BX838,βοηθητικό!$J$2:$N$354,3,FALSE)="","",VLOOKUP(BX838,βοηθητικό!$J$2:$N$354,3,FALSE))</f>
        <v>_</v>
      </c>
      <c r="BZ838" s="44"/>
      <c r="CA838" s="45" t="s">
        <v>16</v>
      </c>
      <c r="CB838" s="46" t="str">
        <f>IF(VLOOKUP(CA838,βοηθητικό!$J$2:$N$354,3,FALSE)="","",VLOOKUP(CA838,βοηθητικό!$J$2:$N$354,3,FALSE))</f>
        <v>_</v>
      </c>
      <c r="CC838" s="47"/>
      <c r="CD838" s="42" t="s">
        <v>16</v>
      </c>
      <c r="CE838" s="43" t="str">
        <f>IF(VLOOKUP(CD838,βοηθητικό!$J$2:$N$354,3,FALSE)="","",VLOOKUP(CD838,βοηθητικό!$J$2:$N$354,3,FALSE))</f>
        <v>_</v>
      </c>
      <c r="CF838" s="44"/>
      <c r="CG838" s="45" t="s">
        <v>16</v>
      </c>
      <c r="CH838" s="46" t="str">
        <f>IF(VLOOKUP(CG838,βοηθητικό!$J$2:$N$354,3,FALSE)="","",VLOOKUP(CG838,βοηθητικό!$J$2:$N$354,3,FALSE))</f>
        <v>_</v>
      </c>
      <c r="CI838" s="47"/>
      <c r="CJ838" s="42" t="s">
        <v>16</v>
      </c>
      <c r="CK838" s="43" t="str">
        <f>IF(VLOOKUP(CJ838,βοηθητικό!$J$2:$N$354,3,FALSE)="","",VLOOKUP(CJ838,βοηθητικό!$J$2:$N$354,3,FALSE))</f>
        <v>_</v>
      </c>
      <c r="CL838" s="44"/>
      <c r="CM838" s="45" t="s">
        <v>16</v>
      </c>
      <c r="CN838" s="46" t="str">
        <f>IF(VLOOKUP(CM838,βοηθητικό!$J$2:$N$354,3,FALSE)="","",VLOOKUP(CM838,βοηθητικό!$J$2:$N$354,3,FALSE))</f>
        <v>_</v>
      </c>
      <c r="CO838" s="47"/>
      <c r="CP838" s="42" t="s">
        <v>16</v>
      </c>
      <c r="CQ838" s="43" t="str">
        <f>IF(VLOOKUP(CP838,βοηθητικό!$J$2:$N$354,3,FALSE)="","",VLOOKUP(CP838,βοηθητικό!$J$2:$N$354,3,FALSE))</f>
        <v>_</v>
      </c>
      <c r="CR838" s="44"/>
      <c r="CS838" s="45" t="s">
        <v>16</v>
      </c>
      <c r="CT838" s="46" t="str">
        <f>IF(VLOOKUP(CS838,βοηθητικό!$J$2:$N$354,3,FALSE)="","",VLOOKUP(CS838,βοηθητικό!$J$2:$N$354,3,FALSE))</f>
        <v>_</v>
      </c>
      <c r="CU838" s="47"/>
    </row>
    <row r="839" spans="1:99" x14ac:dyDescent="0.25">
      <c r="A839" s="37">
        <f>--SUBTOTAL(3,$B$3:B838)</f>
        <v>198</v>
      </c>
      <c r="B839" s="2"/>
      <c r="C839" s="3"/>
      <c r="D839" s="55" t="s">
        <v>18</v>
      </c>
      <c r="E839" s="38" t="s">
        <v>16</v>
      </c>
      <c r="F839" s="38"/>
      <c r="G839" s="39" t="str">
        <f t="shared" si="41"/>
        <v>__</v>
      </c>
      <c r="H839" s="40" t="str">
        <f t="shared" si="42"/>
        <v>FALSE</v>
      </c>
      <c r="I839" s="41">
        <f t="shared" si="43"/>
        <v>0</v>
      </c>
      <c r="J839" s="4" t="s">
        <v>16</v>
      </c>
      <c r="K839" s="43" t="str">
        <f>IF(VLOOKUP(J839,βοηθητικό!$J$2:$N$354,3,FALSE)="","",VLOOKUP(J839,βοηθητικό!$J$2:$N$354,3,FALSE))</f>
        <v>_</v>
      </c>
      <c r="L839" s="44"/>
      <c r="M839" s="5" t="s">
        <v>16</v>
      </c>
      <c r="N839" s="46" t="str">
        <f>IF(VLOOKUP(M839,βοηθητικό!$J$2:$N$354,3,FALSE)="","",VLOOKUP(M839,βοηθητικό!$J$2:$N$354,3,FALSE))</f>
        <v>_</v>
      </c>
      <c r="O839" s="47"/>
      <c r="P839" s="4" t="s">
        <v>16</v>
      </c>
      <c r="Q839" s="43" t="str">
        <f>IF(VLOOKUP(P839,βοηθητικό!$J$2:$N$354,3,FALSE)="","",VLOOKUP(P839,βοηθητικό!$J$2:$N$354,3,FALSE))</f>
        <v>_</v>
      </c>
      <c r="R839" s="44"/>
      <c r="S839" s="5" t="s">
        <v>16</v>
      </c>
      <c r="T839" s="46" t="str">
        <f>IF(VLOOKUP(S839,βοηθητικό!$J$2:$N$354,3,FALSE)="","",VLOOKUP(S839,βοηθητικό!$J$2:$N$354,3,FALSE))</f>
        <v>_</v>
      </c>
      <c r="U839" s="47"/>
      <c r="V839" s="4" t="s">
        <v>16</v>
      </c>
      <c r="W839" s="43" t="str">
        <f>IF(VLOOKUP(V839,βοηθητικό!$J$2:$N$354,3,FALSE)="","",VLOOKUP(V839,βοηθητικό!$J$2:$N$354,3,FALSE))</f>
        <v>_</v>
      </c>
      <c r="X839" s="44"/>
      <c r="Y839" s="5" t="s">
        <v>16</v>
      </c>
      <c r="Z839" s="46" t="str">
        <f>IF(VLOOKUP(Y839,βοηθητικό!$J$2:$N$354,3,FALSE)="","",VLOOKUP(Y839,βοηθητικό!$J$2:$N$354,3,FALSE))</f>
        <v>_</v>
      </c>
      <c r="AA839" s="47"/>
      <c r="AB839" s="4" t="s">
        <v>16</v>
      </c>
      <c r="AC839" s="43" t="str">
        <f>IF(VLOOKUP(AB839,βοηθητικό!$J$2:$N$354,3,FALSE)="","",VLOOKUP(AB839,βοηθητικό!$J$2:$N$354,3,FALSE))</f>
        <v>_</v>
      </c>
      <c r="AD839" s="44"/>
      <c r="AE839" s="5" t="s">
        <v>16</v>
      </c>
      <c r="AF839" s="46" t="str">
        <f>IF(VLOOKUP(AE839,βοηθητικό!$J$2:$N$354,3,FALSE)="","",VLOOKUP(AE839,βοηθητικό!$J$2:$N$354,3,FALSE))</f>
        <v>_</v>
      </c>
      <c r="AG839" s="47"/>
      <c r="AH839" s="4" t="s">
        <v>16</v>
      </c>
      <c r="AI839" s="43" t="str">
        <f>IF(VLOOKUP(AH839,βοηθητικό!$J$2:$N$354,3,FALSE)="","",VLOOKUP(AH839,βοηθητικό!$J$2:$N$354,3,FALSE))</f>
        <v>_</v>
      </c>
      <c r="AJ839" s="44"/>
      <c r="AK839" s="5" t="s">
        <v>16</v>
      </c>
      <c r="AL839" s="46" t="str">
        <f>IF(VLOOKUP(AK839,βοηθητικό!$J$2:$N$354,3,FALSE)="","",VLOOKUP(AK839,βοηθητικό!$J$2:$N$354,3,FALSE))</f>
        <v>_</v>
      </c>
      <c r="AM839" s="47"/>
      <c r="AN839" s="4" t="s">
        <v>16</v>
      </c>
      <c r="AO839" s="43" t="str">
        <f>IF(VLOOKUP(AN839,βοηθητικό!$J$2:$N$354,3,FALSE)="","",VLOOKUP(AN839,βοηθητικό!$J$2:$N$354,3,FALSE))</f>
        <v>_</v>
      </c>
      <c r="AP839" s="44"/>
      <c r="AQ839" s="5" t="s">
        <v>16</v>
      </c>
      <c r="AR839" s="46" t="str">
        <f>IF(VLOOKUP(AQ839,βοηθητικό!$J$2:$N$354,3,FALSE)="","",VLOOKUP(AQ839,βοηθητικό!$J$2:$N$354,3,FALSE))</f>
        <v>_</v>
      </c>
      <c r="AS839" s="47"/>
      <c r="AT839" s="4" t="s">
        <v>16</v>
      </c>
      <c r="AU839" s="43" t="str">
        <f>IF(VLOOKUP(AT839,βοηθητικό!$J$2:$N$354,3,FALSE)="","",VLOOKUP(AT839,βοηθητικό!$J$2:$N$354,3,FALSE))</f>
        <v>_</v>
      </c>
      <c r="AV839" s="44"/>
      <c r="AW839" s="5" t="s">
        <v>16</v>
      </c>
      <c r="AX839" s="46" t="str">
        <f>IF(VLOOKUP(AW839,βοηθητικό!$J$2:$N$354,3,FALSE)="","",VLOOKUP(AW839,βοηθητικό!$J$2:$N$354,3,FALSE))</f>
        <v>_</v>
      </c>
      <c r="AY839" s="47"/>
      <c r="AZ839" s="4" t="s">
        <v>16</v>
      </c>
      <c r="BA839" s="43" t="str">
        <f>IF(VLOOKUP(AZ839,βοηθητικό!$J$2:$N$354,3,FALSE)="","",VLOOKUP(AZ839,βοηθητικό!$J$2:$N$354,3,FALSE))</f>
        <v>_</v>
      </c>
      <c r="BB839" s="44"/>
      <c r="BC839" s="45" t="s">
        <v>16</v>
      </c>
      <c r="BD839" s="46" t="str">
        <f>IF(VLOOKUP(BC839,βοηθητικό!$J$2:$N$354,3,FALSE)="","",VLOOKUP(BC839,βοηθητικό!$J$2:$N$354,3,FALSE))</f>
        <v>_</v>
      </c>
      <c r="BE839" s="47"/>
      <c r="BF839" s="42" t="s">
        <v>16</v>
      </c>
      <c r="BG839" s="43" t="str">
        <f>IF(VLOOKUP(BF839,βοηθητικό!$J$2:$N$354,3,FALSE)="","",VLOOKUP(BF839,βοηθητικό!$J$2:$N$354,3,FALSE))</f>
        <v>_</v>
      </c>
      <c r="BH839" s="44"/>
      <c r="BI839" s="45" t="s">
        <v>16</v>
      </c>
      <c r="BJ839" s="46" t="str">
        <f>IF(VLOOKUP(BI839,βοηθητικό!$J$2:$N$354,3,FALSE)="","",VLOOKUP(BI839,βοηθητικό!$J$2:$N$354,3,FALSE))</f>
        <v>_</v>
      </c>
      <c r="BK839" s="47"/>
      <c r="BL839" s="42" t="s">
        <v>16</v>
      </c>
      <c r="BM839" s="43" t="str">
        <f>IF(VLOOKUP(BL839,βοηθητικό!$J$2:$N$354,3,FALSE)="","",VLOOKUP(BL839,βοηθητικό!$J$2:$N$354,3,FALSE))</f>
        <v>_</v>
      </c>
      <c r="BN839" s="44"/>
      <c r="BO839" s="45" t="s">
        <v>16</v>
      </c>
      <c r="BP839" s="46" t="str">
        <f>IF(VLOOKUP(BO839,βοηθητικό!$J$2:$N$354,3,FALSE)="","",VLOOKUP(BO839,βοηθητικό!$J$2:$N$354,3,FALSE))</f>
        <v>_</v>
      </c>
      <c r="BQ839" s="47"/>
      <c r="BR839" s="42" t="s">
        <v>16</v>
      </c>
      <c r="BS839" s="43" t="str">
        <f>IF(VLOOKUP(BR839,βοηθητικό!$J$2:$N$354,3,FALSE)="","",VLOOKUP(BR839,βοηθητικό!$J$2:$N$354,3,FALSE))</f>
        <v>_</v>
      </c>
      <c r="BT839" s="44"/>
      <c r="BU839" s="45" t="s">
        <v>16</v>
      </c>
      <c r="BV839" s="46" t="str">
        <f>IF(VLOOKUP(BU839,βοηθητικό!$J$2:$N$354,3,FALSE)="","",VLOOKUP(BU839,βοηθητικό!$J$2:$N$354,3,FALSE))</f>
        <v>_</v>
      </c>
      <c r="BW839" s="47"/>
      <c r="BX839" s="42" t="s">
        <v>16</v>
      </c>
      <c r="BY839" s="43" t="str">
        <f>IF(VLOOKUP(BX839,βοηθητικό!$J$2:$N$354,3,FALSE)="","",VLOOKUP(BX839,βοηθητικό!$J$2:$N$354,3,FALSE))</f>
        <v>_</v>
      </c>
      <c r="BZ839" s="44"/>
      <c r="CA839" s="45" t="s">
        <v>16</v>
      </c>
      <c r="CB839" s="46" t="str">
        <f>IF(VLOOKUP(CA839,βοηθητικό!$J$2:$N$354,3,FALSE)="","",VLOOKUP(CA839,βοηθητικό!$J$2:$N$354,3,FALSE))</f>
        <v>_</v>
      </c>
      <c r="CC839" s="47"/>
      <c r="CD839" s="42" t="s">
        <v>16</v>
      </c>
      <c r="CE839" s="43" t="str">
        <f>IF(VLOOKUP(CD839,βοηθητικό!$J$2:$N$354,3,FALSE)="","",VLOOKUP(CD839,βοηθητικό!$J$2:$N$354,3,FALSE))</f>
        <v>_</v>
      </c>
      <c r="CF839" s="44"/>
      <c r="CG839" s="45" t="s">
        <v>16</v>
      </c>
      <c r="CH839" s="46" t="str">
        <f>IF(VLOOKUP(CG839,βοηθητικό!$J$2:$N$354,3,FALSE)="","",VLOOKUP(CG839,βοηθητικό!$J$2:$N$354,3,FALSE))</f>
        <v>_</v>
      </c>
      <c r="CI839" s="47"/>
      <c r="CJ839" s="42" t="s">
        <v>16</v>
      </c>
      <c r="CK839" s="43" t="str">
        <f>IF(VLOOKUP(CJ839,βοηθητικό!$J$2:$N$354,3,FALSE)="","",VLOOKUP(CJ839,βοηθητικό!$J$2:$N$354,3,FALSE))</f>
        <v>_</v>
      </c>
      <c r="CL839" s="44"/>
      <c r="CM839" s="45" t="s">
        <v>16</v>
      </c>
      <c r="CN839" s="46" t="str">
        <f>IF(VLOOKUP(CM839,βοηθητικό!$J$2:$N$354,3,FALSE)="","",VLOOKUP(CM839,βοηθητικό!$J$2:$N$354,3,FALSE))</f>
        <v>_</v>
      </c>
      <c r="CO839" s="47"/>
      <c r="CP839" s="42" t="s">
        <v>16</v>
      </c>
      <c r="CQ839" s="43" t="str">
        <f>IF(VLOOKUP(CP839,βοηθητικό!$J$2:$N$354,3,FALSE)="","",VLOOKUP(CP839,βοηθητικό!$J$2:$N$354,3,FALSE))</f>
        <v>_</v>
      </c>
      <c r="CR839" s="44"/>
      <c r="CS839" s="45" t="s">
        <v>16</v>
      </c>
      <c r="CT839" s="46" t="str">
        <f>IF(VLOOKUP(CS839,βοηθητικό!$J$2:$N$354,3,FALSE)="","",VLOOKUP(CS839,βοηθητικό!$J$2:$N$354,3,FALSE))</f>
        <v>_</v>
      </c>
      <c r="CU839" s="47"/>
    </row>
    <row r="840" spans="1:99" x14ac:dyDescent="0.25">
      <c r="A840" s="37">
        <f>--SUBTOTAL(3,$B$3:B839)</f>
        <v>198</v>
      </c>
      <c r="B840" s="2"/>
      <c r="C840" s="3"/>
      <c r="D840" s="55" t="s">
        <v>18</v>
      </c>
      <c r="E840" s="38" t="s">
        <v>16</v>
      </c>
      <c r="F840" s="38"/>
      <c r="G840" s="39" t="str">
        <f t="shared" si="41"/>
        <v>__</v>
      </c>
      <c r="H840" s="40" t="str">
        <f t="shared" si="42"/>
        <v>FALSE</v>
      </c>
      <c r="I840" s="41">
        <f t="shared" si="43"/>
        <v>0</v>
      </c>
      <c r="J840" s="4" t="s">
        <v>16</v>
      </c>
      <c r="K840" s="43" t="str">
        <f>IF(VLOOKUP(J840,βοηθητικό!$J$2:$N$354,3,FALSE)="","",VLOOKUP(J840,βοηθητικό!$J$2:$N$354,3,FALSE))</f>
        <v>_</v>
      </c>
      <c r="L840" s="44"/>
      <c r="M840" s="5" t="s">
        <v>16</v>
      </c>
      <c r="N840" s="46" t="str">
        <f>IF(VLOOKUP(M840,βοηθητικό!$J$2:$N$354,3,FALSE)="","",VLOOKUP(M840,βοηθητικό!$J$2:$N$354,3,FALSE))</f>
        <v>_</v>
      </c>
      <c r="O840" s="47"/>
      <c r="P840" s="4" t="s">
        <v>16</v>
      </c>
      <c r="Q840" s="43" t="str">
        <f>IF(VLOOKUP(P840,βοηθητικό!$J$2:$N$354,3,FALSE)="","",VLOOKUP(P840,βοηθητικό!$J$2:$N$354,3,FALSE))</f>
        <v>_</v>
      </c>
      <c r="R840" s="44"/>
      <c r="S840" s="5" t="s">
        <v>16</v>
      </c>
      <c r="T840" s="46" t="str">
        <f>IF(VLOOKUP(S840,βοηθητικό!$J$2:$N$354,3,FALSE)="","",VLOOKUP(S840,βοηθητικό!$J$2:$N$354,3,FALSE))</f>
        <v>_</v>
      </c>
      <c r="U840" s="47"/>
      <c r="V840" s="4" t="s">
        <v>16</v>
      </c>
      <c r="W840" s="43" t="str">
        <f>IF(VLOOKUP(V840,βοηθητικό!$J$2:$N$354,3,FALSE)="","",VLOOKUP(V840,βοηθητικό!$J$2:$N$354,3,FALSE))</f>
        <v>_</v>
      </c>
      <c r="X840" s="44"/>
      <c r="Y840" s="5" t="s">
        <v>16</v>
      </c>
      <c r="Z840" s="46" t="str">
        <f>IF(VLOOKUP(Y840,βοηθητικό!$J$2:$N$354,3,FALSE)="","",VLOOKUP(Y840,βοηθητικό!$J$2:$N$354,3,FALSE))</f>
        <v>_</v>
      </c>
      <c r="AA840" s="47"/>
      <c r="AB840" s="4" t="s">
        <v>16</v>
      </c>
      <c r="AC840" s="43" t="str">
        <f>IF(VLOOKUP(AB840,βοηθητικό!$J$2:$N$354,3,FALSE)="","",VLOOKUP(AB840,βοηθητικό!$J$2:$N$354,3,FALSE))</f>
        <v>_</v>
      </c>
      <c r="AD840" s="44"/>
      <c r="AE840" s="5" t="s">
        <v>16</v>
      </c>
      <c r="AF840" s="46" t="str">
        <f>IF(VLOOKUP(AE840,βοηθητικό!$J$2:$N$354,3,FALSE)="","",VLOOKUP(AE840,βοηθητικό!$J$2:$N$354,3,FALSE))</f>
        <v>_</v>
      </c>
      <c r="AG840" s="47"/>
      <c r="AH840" s="4" t="s">
        <v>16</v>
      </c>
      <c r="AI840" s="43" t="str">
        <f>IF(VLOOKUP(AH840,βοηθητικό!$J$2:$N$354,3,FALSE)="","",VLOOKUP(AH840,βοηθητικό!$J$2:$N$354,3,FALSE))</f>
        <v>_</v>
      </c>
      <c r="AJ840" s="44"/>
      <c r="AK840" s="5" t="s">
        <v>16</v>
      </c>
      <c r="AL840" s="46" t="str">
        <f>IF(VLOOKUP(AK840,βοηθητικό!$J$2:$N$354,3,FALSE)="","",VLOOKUP(AK840,βοηθητικό!$J$2:$N$354,3,FALSE))</f>
        <v>_</v>
      </c>
      <c r="AM840" s="47"/>
      <c r="AN840" s="4" t="s">
        <v>16</v>
      </c>
      <c r="AO840" s="43" t="str">
        <f>IF(VLOOKUP(AN840,βοηθητικό!$J$2:$N$354,3,FALSE)="","",VLOOKUP(AN840,βοηθητικό!$J$2:$N$354,3,FALSE))</f>
        <v>_</v>
      </c>
      <c r="AP840" s="44"/>
      <c r="AQ840" s="5" t="s">
        <v>16</v>
      </c>
      <c r="AR840" s="46" t="str">
        <f>IF(VLOOKUP(AQ840,βοηθητικό!$J$2:$N$354,3,FALSE)="","",VLOOKUP(AQ840,βοηθητικό!$J$2:$N$354,3,FALSE))</f>
        <v>_</v>
      </c>
      <c r="AS840" s="47"/>
      <c r="AT840" s="4" t="s">
        <v>16</v>
      </c>
      <c r="AU840" s="43" t="str">
        <f>IF(VLOOKUP(AT840,βοηθητικό!$J$2:$N$354,3,FALSE)="","",VLOOKUP(AT840,βοηθητικό!$J$2:$N$354,3,FALSE))</f>
        <v>_</v>
      </c>
      <c r="AV840" s="44"/>
      <c r="AW840" s="5" t="s">
        <v>16</v>
      </c>
      <c r="AX840" s="46" t="str">
        <f>IF(VLOOKUP(AW840,βοηθητικό!$J$2:$N$354,3,FALSE)="","",VLOOKUP(AW840,βοηθητικό!$J$2:$N$354,3,FALSE))</f>
        <v>_</v>
      </c>
      <c r="AY840" s="47"/>
      <c r="AZ840" s="4" t="s">
        <v>16</v>
      </c>
      <c r="BA840" s="43" t="str">
        <f>IF(VLOOKUP(AZ840,βοηθητικό!$J$2:$N$354,3,FALSE)="","",VLOOKUP(AZ840,βοηθητικό!$J$2:$N$354,3,FALSE))</f>
        <v>_</v>
      </c>
      <c r="BB840" s="44"/>
      <c r="BC840" s="45" t="s">
        <v>16</v>
      </c>
      <c r="BD840" s="46" t="str">
        <f>IF(VLOOKUP(BC840,βοηθητικό!$J$2:$N$354,3,FALSE)="","",VLOOKUP(BC840,βοηθητικό!$J$2:$N$354,3,FALSE))</f>
        <v>_</v>
      </c>
      <c r="BE840" s="47"/>
      <c r="BF840" s="42" t="s">
        <v>16</v>
      </c>
      <c r="BG840" s="43" t="str">
        <f>IF(VLOOKUP(BF840,βοηθητικό!$J$2:$N$354,3,FALSE)="","",VLOOKUP(BF840,βοηθητικό!$J$2:$N$354,3,FALSE))</f>
        <v>_</v>
      </c>
      <c r="BH840" s="44"/>
      <c r="BI840" s="45" t="s">
        <v>16</v>
      </c>
      <c r="BJ840" s="46" t="str">
        <f>IF(VLOOKUP(BI840,βοηθητικό!$J$2:$N$354,3,FALSE)="","",VLOOKUP(BI840,βοηθητικό!$J$2:$N$354,3,FALSE))</f>
        <v>_</v>
      </c>
      <c r="BK840" s="47"/>
      <c r="BL840" s="42" t="s">
        <v>16</v>
      </c>
      <c r="BM840" s="43" t="str">
        <f>IF(VLOOKUP(BL840,βοηθητικό!$J$2:$N$354,3,FALSE)="","",VLOOKUP(BL840,βοηθητικό!$J$2:$N$354,3,FALSE))</f>
        <v>_</v>
      </c>
      <c r="BN840" s="44"/>
      <c r="BO840" s="45" t="s">
        <v>16</v>
      </c>
      <c r="BP840" s="46" t="str">
        <f>IF(VLOOKUP(BO840,βοηθητικό!$J$2:$N$354,3,FALSE)="","",VLOOKUP(BO840,βοηθητικό!$J$2:$N$354,3,FALSE))</f>
        <v>_</v>
      </c>
      <c r="BQ840" s="47"/>
      <c r="BR840" s="42" t="s">
        <v>16</v>
      </c>
      <c r="BS840" s="43" t="str">
        <f>IF(VLOOKUP(BR840,βοηθητικό!$J$2:$N$354,3,FALSE)="","",VLOOKUP(BR840,βοηθητικό!$J$2:$N$354,3,FALSE))</f>
        <v>_</v>
      </c>
      <c r="BT840" s="44"/>
      <c r="BU840" s="45" t="s">
        <v>16</v>
      </c>
      <c r="BV840" s="46" t="str">
        <f>IF(VLOOKUP(BU840,βοηθητικό!$J$2:$N$354,3,FALSE)="","",VLOOKUP(BU840,βοηθητικό!$J$2:$N$354,3,FALSE))</f>
        <v>_</v>
      </c>
      <c r="BW840" s="47"/>
      <c r="BX840" s="42" t="s">
        <v>16</v>
      </c>
      <c r="BY840" s="43" t="str">
        <f>IF(VLOOKUP(BX840,βοηθητικό!$J$2:$N$354,3,FALSE)="","",VLOOKUP(BX840,βοηθητικό!$J$2:$N$354,3,FALSE))</f>
        <v>_</v>
      </c>
      <c r="BZ840" s="44"/>
      <c r="CA840" s="45" t="s">
        <v>16</v>
      </c>
      <c r="CB840" s="46" t="str">
        <f>IF(VLOOKUP(CA840,βοηθητικό!$J$2:$N$354,3,FALSE)="","",VLOOKUP(CA840,βοηθητικό!$J$2:$N$354,3,FALSE))</f>
        <v>_</v>
      </c>
      <c r="CC840" s="47"/>
      <c r="CD840" s="42" t="s">
        <v>16</v>
      </c>
      <c r="CE840" s="43" t="str">
        <f>IF(VLOOKUP(CD840,βοηθητικό!$J$2:$N$354,3,FALSE)="","",VLOOKUP(CD840,βοηθητικό!$J$2:$N$354,3,FALSE))</f>
        <v>_</v>
      </c>
      <c r="CF840" s="44"/>
      <c r="CG840" s="45" t="s">
        <v>16</v>
      </c>
      <c r="CH840" s="46" t="str">
        <f>IF(VLOOKUP(CG840,βοηθητικό!$J$2:$N$354,3,FALSE)="","",VLOOKUP(CG840,βοηθητικό!$J$2:$N$354,3,FALSE))</f>
        <v>_</v>
      </c>
      <c r="CI840" s="47"/>
      <c r="CJ840" s="42" t="s">
        <v>16</v>
      </c>
      <c r="CK840" s="43" t="str">
        <f>IF(VLOOKUP(CJ840,βοηθητικό!$J$2:$N$354,3,FALSE)="","",VLOOKUP(CJ840,βοηθητικό!$J$2:$N$354,3,FALSE))</f>
        <v>_</v>
      </c>
      <c r="CL840" s="44"/>
      <c r="CM840" s="45" t="s">
        <v>16</v>
      </c>
      <c r="CN840" s="46" t="str">
        <f>IF(VLOOKUP(CM840,βοηθητικό!$J$2:$N$354,3,FALSE)="","",VLOOKUP(CM840,βοηθητικό!$J$2:$N$354,3,FALSE))</f>
        <v>_</v>
      </c>
      <c r="CO840" s="47"/>
      <c r="CP840" s="42" t="s">
        <v>16</v>
      </c>
      <c r="CQ840" s="43" t="str">
        <f>IF(VLOOKUP(CP840,βοηθητικό!$J$2:$N$354,3,FALSE)="","",VLOOKUP(CP840,βοηθητικό!$J$2:$N$354,3,FALSE))</f>
        <v>_</v>
      </c>
      <c r="CR840" s="44"/>
      <c r="CS840" s="45" t="s">
        <v>16</v>
      </c>
      <c r="CT840" s="46" t="str">
        <f>IF(VLOOKUP(CS840,βοηθητικό!$J$2:$N$354,3,FALSE)="","",VLOOKUP(CS840,βοηθητικό!$J$2:$N$354,3,FALSE))</f>
        <v>_</v>
      </c>
      <c r="CU840" s="47"/>
    </row>
    <row r="841" spans="1:99" x14ac:dyDescent="0.25">
      <c r="A841" s="37">
        <f>--SUBTOTAL(3,$B$3:B840)</f>
        <v>198</v>
      </c>
      <c r="B841" s="2"/>
      <c r="C841" s="3"/>
      <c r="D841" s="55" t="s">
        <v>18</v>
      </c>
      <c r="E841" s="38" t="s">
        <v>16</v>
      </c>
      <c r="F841" s="38"/>
      <c r="G841" s="39" t="str">
        <f t="shared" si="41"/>
        <v>__</v>
      </c>
      <c r="H841" s="40" t="str">
        <f t="shared" si="42"/>
        <v>FALSE</v>
      </c>
      <c r="I841" s="41">
        <f t="shared" si="43"/>
        <v>0</v>
      </c>
      <c r="J841" s="4" t="s">
        <v>16</v>
      </c>
      <c r="K841" s="43" t="str">
        <f>IF(VLOOKUP(J841,βοηθητικό!$J$2:$N$354,3,FALSE)="","",VLOOKUP(J841,βοηθητικό!$J$2:$N$354,3,FALSE))</f>
        <v>_</v>
      </c>
      <c r="L841" s="44"/>
      <c r="M841" s="5" t="s">
        <v>16</v>
      </c>
      <c r="N841" s="46" t="str">
        <f>IF(VLOOKUP(M841,βοηθητικό!$J$2:$N$354,3,FALSE)="","",VLOOKUP(M841,βοηθητικό!$J$2:$N$354,3,FALSE))</f>
        <v>_</v>
      </c>
      <c r="O841" s="47"/>
      <c r="P841" s="4" t="s">
        <v>16</v>
      </c>
      <c r="Q841" s="43" t="str">
        <f>IF(VLOOKUP(P841,βοηθητικό!$J$2:$N$354,3,FALSE)="","",VLOOKUP(P841,βοηθητικό!$J$2:$N$354,3,FALSE))</f>
        <v>_</v>
      </c>
      <c r="R841" s="44"/>
      <c r="S841" s="5" t="s">
        <v>16</v>
      </c>
      <c r="T841" s="46" t="str">
        <f>IF(VLOOKUP(S841,βοηθητικό!$J$2:$N$354,3,FALSE)="","",VLOOKUP(S841,βοηθητικό!$J$2:$N$354,3,FALSE))</f>
        <v>_</v>
      </c>
      <c r="U841" s="47"/>
      <c r="V841" s="4" t="s">
        <v>16</v>
      </c>
      <c r="W841" s="43" t="str">
        <f>IF(VLOOKUP(V841,βοηθητικό!$J$2:$N$354,3,FALSE)="","",VLOOKUP(V841,βοηθητικό!$J$2:$N$354,3,FALSE))</f>
        <v>_</v>
      </c>
      <c r="X841" s="44"/>
      <c r="Y841" s="5" t="s">
        <v>16</v>
      </c>
      <c r="Z841" s="46" t="str">
        <f>IF(VLOOKUP(Y841,βοηθητικό!$J$2:$N$354,3,FALSE)="","",VLOOKUP(Y841,βοηθητικό!$J$2:$N$354,3,FALSE))</f>
        <v>_</v>
      </c>
      <c r="AA841" s="47"/>
      <c r="AB841" s="4" t="s">
        <v>16</v>
      </c>
      <c r="AC841" s="43" t="str">
        <f>IF(VLOOKUP(AB841,βοηθητικό!$J$2:$N$354,3,FALSE)="","",VLOOKUP(AB841,βοηθητικό!$J$2:$N$354,3,FALSE))</f>
        <v>_</v>
      </c>
      <c r="AD841" s="44"/>
      <c r="AE841" s="5" t="s">
        <v>16</v>
      </c>
      <c r="AF841" s="46" t="str">
        <f>IF(VLOOKUP(AE841,βοηθητικό!$J$2:$N$354,3,FALSE)="","",VLOOKUP(AE841,βοηθητικό!$J$2:$N$354,3,FALSE))</f>
        <v>_</v>
      </c>
      <c r="AG841" s="47"/>
      <c r="AH841" s="4" t="s">
        <v>16</v>
      </c>
      <c r="AI841" s="43" t="str">
        <f>IF(VLOOKUP(AH841,βοηθητικό!$J$2:$N$354,3,FALSE)="","",VLOOKUP(AH841,βοηθητικό!$J$2:$N$354,3,FALSE))</f>
        <v>_</v>
      </c>
      <c r="AJ841" s="44"/>
      <c r="AK841" s="5" t="s">
        <v>16</v>
      </c>
      <c r="AL841" s="46" t="str">
        <f>IF(VLOOKUP(AK841,βοηθητικό!$J$2:$N$354,3,FALSE)="","",VLOOKUP(AK841,βοηθητικό!$J$2:$N$354,3,FALSE))</f>
        <v>_</v>
      </c>
      <c r="AM841" s="47"/>
      <c r="AN841" s="4" t="s">
        <v>16</v>
      </c>
      <c r="AO841" s="43" t="str">
        <f>IF(VLOOKUP(AN841,βοηθητικό!$J$2:$N$354,3,FALSE)="","",VLOOKUP(AN841,βοηθητικό!$J$2:$N$354,3,FALSE))</f>
        <v>_</v>
      </c>
      <c r="AP841" s="44"/>
      <c r="AQ841" s="5" t="s">
        <v>16</v>
      </c>
      <c r="AR841" s="46" t="str">
        <f>IF(VLOOKUP(AQ841,βοηθητικό!$J$2:$N$354,3,FALSE)="","",VLOOKUP(AQ841,βοηθητικό!$J$2:$N$354,3,FALSE))</f>
        <v>_</v>
      </c>
      <c r="AS841" s="47"/>
      <c r="AT841" s="4" t="s">
        <v>16</v>
      </c>
      <c r="AU841" s="43" t="str">
        <f>IF(VLOOKUP(AT841,βοηθητικό!$J$2:$N$354,3,FALSE)="","",VLOOKUP(AT841,βοηθητικό!$J$2:$N$354,3,FALSE))</f>
        <v>_</v>
      </c>
      <c r="AV841" s="44"/>
      <c r="AW841" s="5" t="s">
        <v>16</v>
      </c>
      <c r="AX841" s="46" t="str">
        <f>IF(VLOOKUP(AW841,βοηθητικό!$J$2:$N$354,3,FALSE)="","",VLOOKUP(AW841,βοηθητικό!$J$2:$N$354,3,FALSE))</f>
        <v>_</v>
      </c>
      <c r="AY841" s="47"/>
      <c r="AZ841" s="4" t="s">
        <v>16</v>
      </c>
      <c r="BA841" s="43" t="str">
        <f>IF(VLOOKUP(AZ841,βοηθητικό!$J$2:$N$354,3,FALSE)="","",VLOOKUP(AZ841,βοηθητικό!$J$2:$N$354,3,FALSE))</f>
        <v>_</v>
      </c>
      <c r="BB841" s="44"/>
      <c r="BC841" s="45" t="s">
        <v>16</v>
      </c>
      <c r="BD841" s="46" t="str">
        <f>IF(VLOOKUP(BC841,βοηθητικό!$J$2:$N$354,3,FALSE)="","",VLOOKUP(BC841,βοηθητικό!$J$2:$N$354,3,FALSE))</f>
        <v>_</v>
      </c>
      <c r="BE841" s="47"/>
      <c r="BF841" s="42" t="s">
        <v>16</v>
      </c>
      <c r="BG841" s="43" t="str">
        <f>IF(VLOOKUP(BF841,βοηθητικό!$J$2:$N$354,3,FALSE)="","",VLOOKUP(BF841,βοηθητικό!$J$2:$N$354,3,FALSE))</f>
        <v>_</v>
      </c>
      <c r="BH841" s="44"/>
      <c r="BI841" s="45" t="s">
        <v>16</v>
      </c>
      <c r="BJ841" s="46" t="str">
        <f>IF(VLOOKUP(BI841,βοηθητικό!$J$2:$N$354,3,FALSE)="","",VLOOKUP(BI841,βοηθητικό!$J$2:$N$354,3,FALSE))</f>
        <v>_</v>
      </c>
      <c r="BK841" s="47"/>
      <c r="BL841" s="42" t="s">
        <v>16</v>
      </c>
      <c r="BM841" s="43" t="str">
        <f>IF(VLOOKUP(BL841,βοηθητικό!$J$2:$N$354,3,FALSE)="","",VLOOKUP(BL841,βοηθητικό!$J$2:$N$354,3,FALSE))</f>
        <v>_</v>
      </c>
      <c r="BN841" s="44"/>
      <c r="BO841" s="45" t="s">
        <v>16</v>
      </c>
      <c r="BP841" s="46" t="str">
        <f>IF(VLOOKUP(BO841,βοηθητικό!$J$2:$N$354,3,FALSE)="","",VLOOKUP(BO841,βοηθητικό!$J$2:$N$354,3,FALSE))</f>
        <v>_</v>
      </c>
      <c r="BQ841" s="47"/>
      <c r="BR841" s="42" t="s">
        <v>16</v>
      </c>
      <c r="BS841" s="43" t="str">
        <f>IF(VLOOKUP(BR841,βοηθητικό!$J$2:$N$354,3,FALSE)="","",VLOOKUP(BR841,βοηθητικό!$J$2:$N$354,3,FALSE))</f>
        <v>_</v>
      </c>
      <c r="BT841" s="44"/>
      <c r="BU841" s="45" t="s">
        <v>16</v>
      </c>
      <c r="BV841" s="46" t="str">
        <f>IF(VLOOKUP(BU841,βοηθητικό!$J$2:$N$354,3,FALSE)="","",VLOOKUP(BU841,βοηθητικό!$J$2:$N$354,3,FALSE))</f>
        <v>_</v>
      </c>
      <c r="BW841" s="47"/>
      <c r="BX841" s="42" t="s">
        <v>16</v>
      </c>
      <c r="BY841" s="43" t="str">
        <f>IF(VLOOKUP(BX841,βοηθητικό!$J$2:$N$354,3,FALSE)="","",VLOOKUP(BX841,βοηθητικό!$J$2:$N$354,3,FALSE))</f>
        <v>_</v>
      </c>
      <c r="BZ841" s="44"/>
      <c r="CA841" s="45" t="s">
        <v>16</v>
      </c>
      <c r="CB841" s="46" t="str">
        <f>IF(VLOOKUP(CA841,βοηθητικό!$J$2:$N$354,3,FALSE)="","",VLOOKUP(CA841,βοηθητικό!$J$2:$N$354,3,FALSE))</f>
        <v>_</v>
      </c>
      <c r="CC841" s="47"/>
      <c r="CD841" s="42" t="s">
        <v>16</v>
      </c>
      <c r="CE841" s="43" t="str">
        <f>IF(VLOOKUP(CD841,βοηθητικό!$J$2:$N$354,3,FALSE)="","",VLOOKUP(CD841,βοηθητικό!$J$2:$N$354,3,FALSE))</f>
        <v>_</v>
      </c>
      <c r="CF841" s="44"/>
      <c r="CG841" s="45" t="s">
        <v>16</v>
      </c>
      <c r="CH841" s="46" t="str">
        <f>IF(VLOOKUP(CG841,βοηθητικό!$J$2:$N$354,3,FALSE)="","",VLOOKUP(CG841,βοηθητικό!$J$2:$N$354,3,FALSE))</f>
        <v>_</v>
      </c>
      <c r="CI841" s="47"/>
      <c r="CJ841" s="42" t="s">
        <v>16</v>
      </c>
      <c r="CK841" s="43" t="str">
        <f>IF(VLOOKUP(CJ841,βοηθητικό!$J$2:$N$354,3,FALSE)="","",VLOOKUP(CJ841,βοηθητικό!$J$2:$N$354,3,FALSE))</f>
        <v>_</v>
      </c>
      <c r="CL841" s="44"/>
      <c r="CM841" s="45" t="s">
        <v>16</v>
      </c>
      <c r="CN841" s="46" t="str">
        <f>IF(VLOOKUP(CM841,βοηθητικό!$J$2:$N$354,3,FALSE)="","",VLOOKUP(CM841,βοηθητικό!$J$2:$N$354,3,FALSE))</f>
        <v>_</v>
      </c>
      <c r="CO841" s="47"/>
      <c r="CP841" s="42" t="s">
        <v>16</v>
      </c>
      <c r="CQ841" s="43" t="str">
        <f>IF(VLOOKUP(CP841,βοηθητικό!$J$2:$N$354,3,FALSE)="","",VLOOKUP(CP841,βοηθητικό!$J$2:$N$354,3,FALSE))</f>
        <v>_</v>
      </c>
      <c r="CR841" s="44"/>
      <c r="CS841" s="45" t="s">
        <v>16</v>
      </c>
      <c r="CT841" s="46" t="str">
        <f>IF(VLOOKUP(CS841,βοηθητικό!$J$2:$N$354,3,FALSE)="","",VLOOKUP(CS841,βοηθητικό!$J$2:$N$354,3,FALSE))</f>
        <v>_</v>
      </c>
      <c r="CU841" s="47"/>
    </row>
    <row r="842" spans="1:99" x14ac:dyDescent="0.25">
      <c r="A842" s="37">
        <f>--SUBTOTAL(3,$B$3:B841)</f>
        <v>198</v>
      </c>
      <c r="B842" s="2"/>
      <c r="C842" s="3"/>
      <c r="D842" s="55" t="s">
        <v>18</v>
      </c>
      <c r="E842" s="38" t="s">
        <v>16</v>
      </c>
      <c r="F842" s="38"/>
      <c r="G842" s="39" t="str">
        <f t="shared" si="41"/>
        <v>__</v>
      </c>
      <c r="H842" s="40" t="str">
        <f t="shared" si="42"/>
        <v>FALSE</v>
      </c>
      <c r="I842" s="41">
        <f t="shared" si="43"/>
        <v>0</v>
      </c>
      <c r="J842" s="4" t="s">
        <v>16</v>
      </c>
      <c r="K842" s="43" t="str">
        <f>IF(VLOOKUP(J842,βοηθητικό!$J$2:$N$354,3,FALSE)="","",VLOOKUP(J842,βοηθητικό!$J$2:$N$354,3,FALSE))</f>
        <v>_</v>
      </c>
      <c r="L842" s="44"/>
      <c r="M842" s="5" t="s">
        <v>16</v>
      </c>
      <c r="N842" s="46" t="str">
        <f>IF(VLOOKUP(M842,βοηθητικό!$J$2:$N$354,3,FALSE)="","",VLOOKUP(M842,βοηθητικό!$J$2:$N$354,3,FALSE))</f>
        <v>_</v>
      </c>
      <c r="O842" s="47"/>
      <c r="P842" s="4" t="s">
        <v>16</v>
      </c>
      <c r="Q842" s="43" t="str">
        <f>IF(VLOOKUP(P842,βοηθητικό!$J$2:$N$354,3,FALSE)="","",VLOOKUP(P842,βοηθητικό!$J$2:$N$354,3,FALSE))</f>
        <v>_</v>
      </c>
      <c r="R842" s="44"/>
      <c r="S842" s="5" t="s">
        <v>16</v>
      </c>
      <c r="T842" s="46" t="str">
        <f>IF(VLOOKUP(S842,βοηθητικό!$J$2:$N$354,3,FALSE)="","",VLOOKUP(S842,βοηθητικό!$J$2:$N$354,3,FALSE))</f>
        <v>_</v>
      </c>
      <c r="U842" s="47"/>
      <c r="V842" s="4" t="s">
        <v>16</v>
      </c>
      <c r="W842" s="43" t="str">
        <f>IF(VLOOKUP(V842,βοηθητικό!$J$2:$N$354,3,FALSE)="","",VLOOKUP(V842,βοηθητικό!$J$2:$N$354,3,FALSE))</f>
        <v>_</v>
      </c>
      <c r="X842" s="44"/>
      <c r="Y842" s="5" t="s">
        <v>16</v>
      </c>
      <c r="Z842" s="46" t="str">
        <f>IF(VLOOKUP(Y842,βοηθητικό!$J$2:$N$354,3,FALSE)="","",VLOOKUP(Y842,βοηθητικό!$J$2:$N$354,3,FALSE))</f>
        <v>_</v>
      </c>
      <c r="AA842" s="47"/>
      <c r="AB842" s="4" t="s">
        <v>16</v>
      </c>
      <c r="AC842" s="43" t="str">
        <f>IF(VLOOKUP(AB842,βοηθητικό!$J$2:$N$354,3,FALSE)="","",VLOOKUP(AB842,βοηθητικό!$J$2:$N$354,3,FALSE))</f>
        <v>_</v>
      </c>
      <c r="AD842" s="44"/>
      <c r="AE842" s="5" t="s">
        <v>16</v>
      </c>
      <c r="AF842" s="46" t="str">
        <f>IF(VLOOKUP(AE842,βοηθητικό!$J$2:$N$354,3,FALSE)="","",VLOOKUP(AE842,βοηθητικό!$J$2:$N$354,3,FALSE))</f>
        <v>_</v>
      </c>
      <c r="AG842" s="47"/>
      <c r="AH842" s="4" t="s">
        <v>16</v>
      </c>
      <c r="AI842" s="43" t="str">
        <f>IF(VLOOKUP(AH842,βοηθητικό!$J$2:$N$354,3,FALSE)="","",VLOOKUP(AH842,βοηθητικό!$J$2:$N$354,3,FALSE))</f>
        <v>_</v>
      </c>
      <c r="AJ842" s="44"/>
      <c r="AK842" s="5" t="s">
        <v>16</v>
      </c>
      <c r="AL842" s="46" t="str">
        <f>IF(VLOOKUP(AK842,βοηθητικό!$J$2:$N$354,3,FALSE)="","",VLOOKUP(AK842,βοηθητικό!$J$2:$N$354,3,FALSE))</f>
        <v>_</v>
      </c>
      <c r="AM842" s="47"/>
      <c r="AN842" s="4" t="s">
        <v>16</v>
      </c>
      <c r="AO842" s="43" t="str">
        <f>IF(VLOOKUP(AN842,βοηθητικό!$J$2:$N$354,3,FALSE)="","",VLOOKUP(AN842,βοηθητικό!$J$2:$N$354,3,FALSE))</f>
        <v>_</v>
      </c>
      <c r="AP842" s="44"/>
      <c r="AQ842" s="5" t="s">
        <v>16</v>
      </c>
      <c r="AR842" s="46" t="str">
        <f>IF(VLOOKUP(AQ842,βοηθητικό!$J$2:$N$354,3,FALSE)="","",VLOOKUP(AQ842,βοηθητικό!$J$2:$N$354,3,FALSE))</f>
        <v>_</v>
      </c>
      <c r="AS842" s="47"/>
      <c r="AT842" s="4" t="s">
        <v>16</v>
      </c>
      <c r="AU842" s="43" t="str">
        <f>IF(VLOOKUP(AT842,βοηθητικό!$J$2:$N$354,3,FALSE)="","",VLOOKUP(AT842,βοηθητικό!$J$2:$N$354,3,FALSE))</f>
        <v>_</v>
      </c>
      <c r="AV842" s="44"/>
      <c r="AW842" s="5" t="s">
        <v>16</v>
      </c>
      <c r="AX842" s="46" t="str">
        <f>IF(VLOOKUP(AW842,βοηθητικό!$J$2:$N$354,3,FALSE)="","",VLOOKUP(AW842,βοηθητικό!$J$2:$N$354,3,FALSE))</f>
        <v>_</v>
      </c>
      <c r="AY842" s="47"/>
      <c r="AZ842" s="4" t="s">
        <v>16</v>
      </c>
      <c r="BA842" s="43" t="str">
        <f>IF(VLOOKUP(AZ842,βοηθητικό!$J$2:$N$354,3,FALSE)="","",VLOOKUP(AZ842,βοηθητικό!$J$2:$N$354,3,FALSE))</f>
        <v>_</v>
      </c>
      <c r="BB842" s="44"/>
      <c r="BC842" s="45" t="s">
        <v>16</v>
      </c>
      <c r="BD842" s="46" t="str">
        <f>IF(VLOOKUP(BC842,βοηθητικό!$J$2:$N$354,3,FALSE)="","",VLOOKUP(BC842,βοηθητικό!$J$2:$N$354,3,FALSE))</f>
        <v>_</v>
      </c>
      <c r="BE842" s="47"/>
      <c r="BF842" s="42" t="s">
        <v>16</v>
      </c>
      <c r="BG842" s="43" t="str">
        <f>IF(VLOOKUP(BF842,βοηθητικό!$J$2:$N$354,3,FALSE)="","",VLOOKUP(BF842,βοηθητικό!$J$2:$N$354,3,FALSE))</f>
        <v>_</v>
      </c>
      <c r="BH842" s="44"/>
      <c r="BI842" s="45" t="s">
        <v>16</v>
      </c>
      <c r="BJ842" s="46" t="str">
        <f>IF(VLOOKUP(BI842,βοηθητικό!$J$2:$N$354,3,FALSE)="","",VLOOKUP(BI842,βοηθητικό!$J$2:$N$354,3,FALSE))</f>
        <v>_</v>
      </c>
      <c r="BK842" s="47"/>
      <c r="BL842" s="42" t="s">
        <v>16</v>
      </c>
      <c r="BM842" s="43" t="str">
        <f>IF(VLOOKUP(BL842,βοηθητικό!$J$2:$N$354,3,FALSE)="","",VLOOKUP(BL842,βοηθητικό!$J$2:$N$354,3,FALSE))</f>
        <v>_</v>
      </c>
      <c r="BN842" s="44"/>
      <c r="BO842" s="45" t="s">
        <v>16</v>
      </c>
      <c r="BP842" s="46" t="str">
        <f>IF(VLOOKUP(BO842,βοηθητικό!$J$2:$N$354,3,FALSE)="","",VLOOKUP(BO842,βοηθητικό!$J$2:$N$354,3,FALSE))</f>
        <v>_</v>
      </c>
      <c r="BQ842" s="47"/>
      <c r="BR842" s="42" t="s">
        <v>16</v>
      </c>
      <c r="BS842" s="43" t="str">
        <f>IF(VLOOKUP(BR842,βοηθητικό!$J$2:$N$354,3,FALSE)="","",VLOOKUP(BR842,βοηθητικό!$J$2:$N$354,3,FALSE))</f>
        <v>_</v>
      </c>
      <c r="BT842" s="44"/>
      <c r="BU842" s="45" t="s">
        <v>16</v>
      </c>
      <c r="BV842" s="46" t="str">
        <f>IF(VLOOKUP(BU842,βοηθητικό!$J$2:$N$354,3,FALSE)="","",VLOOKUP(BU842,βοηθητικό!$J$2:$N$354,3,FALSE))</f>
        <v>_</v>
      </c>
      <c r="BW842" s="47"/>
      <c r="BX842" s="42" t="s">
        <v>16</v>
      </c>
      <c r="BY842" s="43" t="str">
        <f>IF(VLOOKUP(BX842,βοηθητικό!$J$2:$N$354,3,FALSE)="","",VLOOKUP(BX842,βοηθητικό!$J$2:$N$354,3,FALSE))</f>
        <v>_</v>
      </c>
      <c r="BZ842" s="44"/>
      <c r="CA842" s="45" t="s">
        <v>16</v>
      </c>
      <c r="CB842" s="46" t="str">
        <f>IF(VLOOKUP(CA842,βοηθητικό!$J$2:$N$354,3,FALSE)="","",VLOOKUP(CA842,βοηθητικό!$J$2:$N$354,3,FALSE))</f>
        <v>_</v>
      </c>
      <c r="CC842" s="47"/>
      <c r="CD842" s="42" t="s">
        <v>16</v>
      </c>
      <c r="CE842" s="43" t="str">
        <f>IF(VLOOKUP(CD842,βοηθητικό!$J$2:$N$354,3,FALSE)="","",VLOOKUP(CD842,βοηθητικό!$J$2:$N$354,3,FALSE))</f>
        <v>_</v>
      </c>
      <c r="CF842" s="44"/>
      <c r="CG842" s="45" t="s">
        <v>16</v>
      </c>
      <c r="CH842" s="46" t="str">
        <f>IF(VLOOKUP(CG842,βοηθητικό!$J$2:$N$354,3,FALSE)="","",VLOOKUP(CG842,βοηθητικό!$J$2:$N$354,3,FALSE))</f>
        <v>_</v>
      </c>
      <c r="CI842" s="47"/>
      <c r="CJ842" s="42" t="s">
        <v>16</v>
      </c>
      <c r="CK842" s="43" t="str">
        <f>IF(VLOOKUP(CJ842,βοηθητικό!$J$2:$N$354,3,FALSE)="","",VLOOKUP(CJ842,βοηθητικό!$J$2:$N$354,3,FALSE))</f>
        <v>_</v>
      </c>
      <c r="CL842" s="44"/>
      <c r="CM842" s="45" t="s">
        <v>16</v>
      </c>
      <c r="CN842" s="46" t="str">
        <f>IF(VLOOKUP(CM842,βοηθητικό!$J$2:$N$354,3,FALSE)="","",VLOOKUP(CM842,βοηθητικό!$J$2:$N$354,3,FALSE))</f>
        <v>_</v>
      </c>
      <c r="CO842" s="47"/>
      <c r="CP842" s="42" t="s">
        <v>16</v>
      </c>
      <c r="CQ842" s="43" t="str">
        <f>IF(VLOOKUP(CP842,βοηθητικό!$J$2:$N$354,3,FALSE)="","",VLOOKUP(CP842,βοηθητικό!$J$2:$N$354,3,FALSE))</f>
        <v>_</v>
      </c>
      <c r="CR842" s="44"/>
      <c r="CS842" s="45" t="s">
        <v>16</v>
      </c>
      <c r="CT842" s="46" t="str">
        <f>IF(VLOOKUP(CS842,βοηθητικό!$J$2:$N$354,3,FALSE)="","",VLOOKUP(CS842,βοηθητικό!$J$2:$N$354,3,FALSE))</f>
        <v>_</v>
      </c>
      <c r="CU842" s="47"/>
    </row>
    <row r="843" spans="1:99" x14ac:dyDescent="0.25">
      <c r="A843" s="37">
        <f>--SUBTOTAL(3,$B$3:B842)</f>
        <v>198</v>
      </c>
      <c r="B843" s="2"/>
      <c r="C843" s="3"/>
      <c r="D843" s="55" t="s">
        <v>18</v>
      </c>
      <c r="E843" s="38" t="s">
        <v>16</v>
      </c>
      <c r="F843" s="38"/>
      <c r="G843" s="39" t="str">
        <f t="shared" si="41"/>
        <v>__</v>
      </c>
      <c r="H843" s="40" t="str">
        <f t="shared" si="42"/>
        <v>FALSE</v>
      </c>
      <c r="I843" s="41">
        <f t="shared" si="43"/>
        <v>0</v>
      </c>
      <c r="J843" s="4" t="s">
        <v>16</v>
      </c>
      <c r="K843" s="43" t="str">
        <f>IF(VLOOKUP(J843,βοηθητικό!$J$2:$N$354,3,FALSE)="","",VLOOKUP(J843,βοηθητικό!$J$2:$N$354,3,FALSE))</f>
        <v>_</v>
      </c>
      <c r="L843" s="44"/>
      <c r="M843" s="5" t="s">
        <v>16</v>
      </c>
      <c r="N843" s="46" t="str">
        <f>IF(VLOOKUP(M843,βοηθητικό!$J$2:$N$354,3,FALSE)="","",VLOOKUP(M843,βοηθητικό!$J$2:$N$354,3,FALSE))</f>
        <v>_</v>
      </c>
      <c r="O843" s="47"/>
      <c r="P843" s="4" t="s">
        <v>16</v>
      </c>
      <c r="Q843" s="43" t="str">
        <f>IF(VLOOKUP(P843,βοηθητικό!$J$2:$N$354,3,FALSE)="","",VLOOKUP(P843,βοηθητικό!$J$2:$N$354,3,FALSE))</f>
        <v>_</v>
      </c>
      <c r="R843" s="44"/>
      <c r="S843" s="5" t="s">
        <v>16</v>
      </c>
      <c r="T843" s="46" t="str">
        <f>IF(VLOOKUP(S843,βοηθητικό!$J$2:$N$354,3,FALSE)="","",VLOOKUP(S843,βοηθητικό!$J$2:$N$354,3,FALSE))</f>
        <v>_</v>
      </c>
      <c r="U843" s="47"/>
      <c r="V843" s="4" t="s">
        <v>16</v>
      </c>
      <c r="W843" s="43" t="str">
        <f>IF(VLOOKUP(V843,βοηθητικό!$J$2:$N$354,3,FALSE)="","",VLOOKUP(V843,βοηθητικό!$J$2:$N$354,3,FALSE))</f>
        <v>_</v>
      </c>
      <c r="X843" s="44"/>
      <c r="Y843" s="5" t="s">
        <v>16</v>
      </c>
      <c r="Z843" s="46" t="str">
        <f>IF(VLOOKUP(Y843,βοηθητικό!$J$2:$N$354,3,FALSE)="","",VLOOKUP(Y843,βοηθητικό!$J$2:$N$354,3,FALSE))</f>
        <v>_</v>
      </c>
      <c r="AA843" s="47"/>
      <c r="AB843" s="4" t="s">
        <v>16</v>
      </c>
      <c r="AC843" s="43" t="str">
        <f>IF(VLOOKUP(AB843,βοηθητικό!$J$2:$N$354,3,FALSE)="","",VLOOKUP(AB843,βοηθητικό!$J$2:$N$354,3,FALSE))</f>
        <v>_</v>
      </c>
      <c r="AD843" s="44"/>
      <c r="AE843" s="5" t="s">
        <v>16</v>
      </c>
      <c r="AF843" s="46" t="str">
        <f>IF(VLOOKUP(AE843,βοηθητικό!$J$2:$N$354,3,FALSE)="","",VLOOKUP(AE843,βοηθητικό!$J$2:$N$354,3,FALSE))</f>
        <v>_</v>
      </c>
      <c r="AG843" s="47"/>
      <c r="AH843" s="4" t="s">
        <v>16</v>
      </c>
      <c r="AI843" s="43" t="str">
        <f>IF(VLOOKUP(AH843,βοηθητικό!$J$2:$N$354,3,FALSE)="","",VLOOKUP(AH843,βοηθητικό!$J$2:$N$354,3,FALSE))</f>
        <v>_</v>
      </c>
      <c r="AJ843" s="44"/>
      <c r="AK843" s="5" t="s">
        <v>16</v>
      </c>
      <c r="AL843" s="46" t="str">
        <f>IF(VLOOKUP(AK843,βοηθητικό!$J$2:$N$354,3,FALSE)="","",VLOOKUP(AK843,βοηθητικό!$J$2:$N$354,3,FALSE))</f>
        <v>_</v>
      </c>
      <c r="AM843" s="47"/>
      <c r="AN843" s="4" t="s">
        <v>16</v>
      </c>
      <c r="AO843" s="43" t="str">
        <f>IF(VLOOKUP(AN843,βοηθητικό!$J$2:$N$354,3,FALSE)="","",VLOOKUP(AN843,βοηθητικό!$J$2:$N$354,3,FALSE))</f>
        <v>_</v>
      </c>
      <c r="AP843" s="44"/>
      <c r="AQ843" s="5" t="s">
        <v>16</v>
      </c>
      <c r="AR843" s="46" t="str">
        <f>IF(VLOOKUP(AQ843,βοηθητικό!$J$2:$N$354,3,FALSE)="","",VLOOKUP(AQ843,βοηθητικό!$J$2:$N$354,3,FALSE))</f>
        <v>_</v>
      </c>
      <c r="AS843" s="47"/>
      <c r="AT843" s="4" t="s">
        <v>16</v>
      </c>
      <c r="AU843" s="43" t="str">
        <f>IF(VLOOKUP(AT843,βοηθητικό!$J$2:$N$354,3,FALSE)="","",VLOOKUP(AT843,βοηθητικό!$J$2:$N$354,3,FALSE))</f>
        <v>_</v>
      </c>
      <c r="AV843" s="44"/>
      <c r="AW843" s="5" t="s">
        <v>16</v>
      </c>
      <c r="AX843" s="46" t="str">
        <f>IF(VLOOKUP(AW843,βοηθητικό!$J$2:$N$354,3,FALSE)="","",VLOOKUP(AW843,βοηθητικό!$J$2:$N$354,3,FALSE))</f>
        <v>_</v>
      </c>
      <c r="AY843" s="47"/>
      <c r="AZ843" s="4" t="s">
        <v>16</v>
      </c>
      <c r="BA843" s="43" t="str">
        <f>IF(VLOOKUP(AZ843,βοηθητικό!$J$2:$N$354,3,FALSE)="","",VLOOKUP(AZ843,βοηθητικό!$J$2:$N$354,3,FALSE))</f>
        <v>_</v>
      </c>
      <c r="BB843" s="44"/>
      <c r="BC843" s="45" t="s">
        <v>16</v>
      </c>
      <c r="BD843" s="46" t="str">
        <f>IF(VLOOKUP(BC843,βοηθητικό!$J$2:$N$354,3,FALSE)="","",VLOOKUP(BC843,βοηθητικό!$J$2:$N$354,3,FALSE))</f>
        <v>_</v>
      </c>
      <c r="BE843" s="47"/>
      <c r="BF843" s="42" t="s">
        <v>16</v>
      </c>
      <c r="BG843" s="43" t="str">
        <f>IF(VLOOKUP(BF843,βοηθητικό!$J$2:$N$354,3,FALSE)="","",VLOOKUP(BF843,βοηθητικό!$J$2:$N$354,3,FALSE))</f>
        <v>_</v>
      </c>
      <c r="BH843" s="44"/>
      <c r="BI843" s="45" t="s">
        <v>16</v>
      </c>
      <c r="BJ843" s="46" t="str">
        <f>IF(VLOOKUP(BI843,βοηθητικό!$J$2:$N$354,3,FALSE)="","",VLOOKUP(BI843,βοηθητικό!$J$2:$N$354,3,FALSE))</f>
        <v>_</v>
      </c>
      <c r="BK843" s="47"/>
      <c r="BL843" s="42" t="s">
        <v>16</v>
      </c>
      <c r="BM843" s="43" t="str">
        <f>IF(VLOOKUP(BL843,βοηθητικό!$J$2:$N$354,3,FALSE)="","",VLOOKUP(BL843,βοηθητικό!$J$2:$N$354,3,FALSE))</f>
        <v>_</v>
      </c>
      <c r="BN843" s="44"/>
      <c r="BO843" s="45" t="s">
        <v>16</v>
      </c>
      <c r="BP843" s="46" t="str">
        <f>IF(VLOOKUP(BO843,βοηθητικό!$J$2:$N$354,3,FALSE)="","",VLOOKUP(BO843,βοηθητικό!$J$2:$N$354,3,FALSE))</f>
        <v>_</v>
      </c>
      <c r="BQ843" s="47"/>
      <c r="BR843" s="42" t="s">
        <v>16</v>
      </c>
      <c r="BS843" s="43" t="str">
        <f>IF(VLOOKUP(BR843,βοηθητικό!$J$2:$N$354,3,FALSE)="","",VLOOKUP(BR843,βοηθητικό!$J$2:$N$354,3,FALSE))</f>
        <v>_</v>
      </c>
      <c r="BT843" s="44"/>
      <c r="BU843" s="45" t="s">
        <v>16</v>
      </c>
      <c r="BV843" s="46" t="str">
        <f>IF(VLOOKUP(BU843,βοηθητικό!$J$2:$N$354,3,FALSE)="","",VLOOKUP(BU843,βοηθητικό!$J$2:$N$354,3,FALSE))</f>
        <v>_</v>
      </c>
      <c r="BW843" s="47"/>
      <c r="BX843" s="42" t="s">
        <v>16</v>
      </c>
      <c r="BY843" s="43" t="str">
        <f>IF(VLOOKUP(BX843,βοηθητικό!$J$2:$N$354,3,FALSE)="","",VLOOKUP(BX843,βοηθητικό!$J$2:$N$354,3,FALSE))</f>
        <v>_</v>
      </c>
      <c r="BZ843" s="44"/>
      <c r="CA843" s="45" t="s">
        <v>16</v>
      </c>
      <c r="CB843" s="46" t="str">
        <f>IF(VLOOKUP(CA843,βοηθητικό!$J$2:$N$354,3,FALSE)="","",VLOOKUP(CA843,βοηθητικό!$J$2:$N$354,3,FALSE))</f>
        <v>_</v>
      </c>
      <c r="CC843" s="47"/>
      <c r="CD843" s="42" t="s">
        <v>16</v>
      </c>
      <c r="CE843" s="43" t="str">
        <f>IF(VLOOKUP(CD843,βοηθητικό!$J$2:$N$354,3,FALSE)="","",VLOOKUP(CD843,βοηθητικό!$J$2:$N$354,3,FALSE))</f>
        <v>_</v>
      </c>
      <c r="CF843" s="44"/>
      <c r="CG843" s="45" t="s">
        <v>16</v>
      </c>
      <c r="CH843" s="46" t="str">
        <f>IF(VLOOKUP(CG843,βοηθητικό!$J$2:$N$354,3,FALSE)="","",VLOOKUP(CG843,βοηθητικό!$J$2:$N$354,3,FALSE))</f>
        <v>_</v>
      </c>
      <c r="CI843" s="47"/>
      <c r="CJ843" s="42" t="s">
        <v>16</v>
      </c>
      <c r="CK843" s="43" t="str">
        <f>IF(VLOOKUP(CJ843,βοηθητικό!$J$2:$N$354,3,FALSE)="","",VLOOKUP(CJ843,βοηθητικό!$J$2:$N$354,3,FALSE))</f>
        <v>_</v>
      </c>
      <c r="CL843" s="44"/>
      <c r="CM843" s="45" t="s">
        <v>16</v>
      </c>
      <c r="CN843" s="46" t="str">
        <f>IF(VLOOKUP(CM843,βοηθητικό!$J$2:$N$354,3,FALSE)="","",VLOOKUP(CM843,βοηθητικό!$J$2:$N$354,3,FALSE))</f>
        <v>_</v>
      </c>
      <c r="CO843" s="47"/>
      <c r="CP843" s="42" t="s">
        <v>16</v>
      </c>
      <c r="CQ843" s="43" t="str">
        <f>IF(VLOOKUP(CP843,βοηθητικό!$J$2:$N$354,3,FALSE)="","",VLOOKUP(CP843,βοηθητικό!$J$2:$N$354,3,FALSE))</f>
        <v>_</v>
      </c>
      <c r="CR843" s="44"/>
      <c r="CS843" s="45" t="s">
        <v>16</v>
      </c>
      <c r="CT843" s="46" t="str">
        <f>IF(VLOOKUP(CS843,βοηθητικό!$J$2:$N$354,3,FALSE)="","",VLOOKUP(CS843,βοηθητικό!$J$2:$N$354,3,FALSE))</f>
        <v>_</v>
      </c>
      <c r="CU843" s="47"/>
    </row>
    <row r="844" spans="1:99" x14ac:dyDescent="0.25">
      <c r="A844" s="37">
        <f>--SUBTOTAL(3,$B$3:B843)</f>
        <v>198</v>
      </c>
      <c r="B844" s="2"/>
      <c r="C844" s="3"/>
      <c r="D844" s="55" t="s">
        <v>18</v>
      </c>
      <c r="E844" s="38" t="s">
        <v>16</v>
      </c>
      <c r="F844" s="38"/>
      <c r="G844" s="39" t="str">
        <f t="shared" si="41"/>
        <v>__</v>
      </c>
      <c r="H844" s="40" t="str">
        <f t="shared" si="42"/>
        <v>FALSE</v>
      </c>
      <c r="I844" s="41">
        <f t="shared" si="43"/>
        <v>0</v>
      </c>
      <c r="J844" s="4" t="s">
        <v>16</v>
      </c>
      <c r="K844" s="43" t="str">
        <f>IF(VLOOKUP(J844,βοηθητικό!$J$2:$N$354,3,FALSE)="","",VLOOKUP(J844,βοηθητικό!$J$2:$N$354,3,FALSE))</f>
        <v>_</v>
      </c>
      <c r="L844" s="44"/>
      <c r="M844" s="5" t="s">
        <v>16</v>
      </c>
      <c r="N844" s="46" t="str">
        <f>IF(VLOOKUP(M844,βοηθητικό!$J$2:$N$354,3,FALSE)="","",VLOOKUP(M844,βοηθητικό!$J$2:$N$354,3,FALSE))</f>
        <v>_</v>
      </c>
      <c r="O844" s="47"/>
      <c r="P844" s="4" t="s">
        <v>16</v>
      </c>
      <c r="Q844" s="43" t="str">
        <f>IF(VLOOKUP(P844,βοηθητικό!$J$2:$N$354,3,FALSE)="","",VLOOKUP(P844,βοηθητικό!$J$2:$N$354,3,FALSE))</f>
        <v>_</v>
      </c>
      <c r="R844" s="44"/>
      <c r="S844" s="5" t="s">
        <v>16</v>
      </c>
      <c r="T844" s="46" t="str">
        <f>IF(VLOOKUP(S844,βοηθητικό!$J$2:$N$354,3,FALSE)="","",VLOOKUP(S844,βοηθητικό!$J$2:$N$354,3,FALSE))</f>
        <v>_</v>
      </c>
      <c r="U844" s="47"/>
      <c r="V844" s="4" t="s">
        <v>16</v>
      </c>
      <c r="W844" s="43" t="str">
        <f>IF(VLOOKUP(V844,βοηθητικό!$J$2:$N$354,3,FALSE)="","",VLOOKUP(V844,βοηθητικό!$J$2:$N$354,3,FALSE))</f>
        <v>_</v>
      </c>
      <c r="X844" s="44"/>
      <c r="Y844" s="5" t="s">
        <v>16</v>
      </c>
      <c r="Z844" s="46" t="str">
        <f>IF(VLOOKUP(Y844,βοηθητικό!$J$2:$N$354,3,FALSE)="","",VLOOKUP(Y844,βοηθητικό!$J$2:$N$354,3,FALSE))</f>
        <v>_</v>
      </c>
      <c r="AA844" s="47"/>
      <c r="AB844" s="4" t="s">
        <v>16</v>
      </c>
      <c r="AC844" s="43" t="str">
        <f>IF(VLOOKUP(AB844,βοηθητικό!$J$2:$N$354,3,FALSE)="","",VLOOKUP(AB844,βοηθητικό!$J$2:$N$354,3,FALSE))</f>
        <v>_</v>
      </c>
      <c r="AD844" s="44"/>
      <c r="AE844" s="5" t="s">
        <v>16</v>
      </c>
      <c r="AF844" s="46" t="str">
        <f>IF(VLOOKUP(AE844,βοηθητικό!$J$2:$N$354,3,FALSE)="","",VLOOKUP(AE844,βοηθητικό!$J$2:$N$354,3,FALSE))</f>
        <v>_</v>
      </c>
      <c r="AG844" s="47"/>
      <c r="AH844" s="4" t="s">
        <v>16</v>
      </c>
      <c r="AI844" s="43" t="str">
        <f>IF(VLOOKUP(AH844,βοηθητικό!$J$2:$N$354,3,FALSE)="","",VLOOKUP(AH844,βοηθητικό!$J$2:$N$354,3,FALSE))</f>
        <v>_</v>
      </c>
      <c r="AJ844" s="44"/>
      <c r="AK844" s="5" t="s">
        <v>16</v>
      </c>
      <c r="AL844" s="46" t="str">
        <f>IF(VLOOKUP(AK844,βοηθητικό!$J$2:$N$354,3,FALSE)="","",VLOOKUP(AK844,βοηθητικό!$J$2:$N$354,3,FALSE))</f>
        <v>_</v>
      </c>
      <c r="AM844" s="47"/>
      <c r="AN844" s="4" t="s">
        <v>16</v>
      </c>
      <c r="AO844" s="43" t="str">
        <f>IF(VLOOKUP(AN844,βοηθητικό!$J$2:$N$354,3,FALSE)="","",VLOOKUP(AN844,βοηθητικό!$J$2:$N$354,3,FALSE))</f>
        <v>_</v>
      </c>
      <c r="AP844" s="44"/>
      <c r="AQ844" s="5" t="s">
        <v>16</v>
      </c>
      <c r="AR844" s="46" t="str">
        <f>IF(VLOOKUP(AQ844,βοηθητικό!$J$2:$N$354,3,FALSE)="","",VLOOKUP(AQ844,βοηθητικό!$J$2:$N$354,3,FALSE))</f>
        <v>_</v>
      </c>
      <c r="AS844" s="47"/>
      <c r="AT844" s="4" t="s">
        <v>16</v>
      </c>
      <c r="AU844" s="43" t="str">
        <f>IF(VLOOKUP(AT844,βοηθητικό!$J$2:$N$354,3,FALSE)="","",VLOOKUP(AT844,βοηθητικό!$J$2:$N$354,3,FALSE))</f>
        <v>_</v>
      </c>
      <c r="AV844" s="44"/>
      <c r="AW844" s="5" t="s">
        <v>16</v>
      </c>
      <c r="AX844" s="46" t="str">
        <f>IF(VLOOKUP(AW844,βοηθητικό!$J$2:$N$354,3,FALSE)="","",VLOOKUP(AW844,βοηθητικό!$J$2:$N$354,3,FALSE))</f>
        <v>_</v>
      </c>
      <c r="AY844" s="47"/>
      <c r="AZ844" s="4" t="s">
        <v>16</v>
      </c>
      <c r="BA844" s="43" t="str">
        <f>IF(VLOOKUP(AZ844,βοηθητικό!$J$2:$N$354,3,FALSE)="","",VLOOKUP(AZ844,βοηθητικό!$J$2:$N$354,3,FALSE))</f>
        <v>_</v>
      </c>
      <c r="BB844" s="44"/>
      <c r="BC844" s="45" t="s">
        <v>16</v>
      </c>
      <c r="BD844" s="46" t="str">
        <f>IF(VLOOKUP(BC844,βοηθητικό!$J$2:$N$354,3,FALSE)="","",VLOOKUP(BC844,βοηθητικό!$J$2:$N$354,3,FALSE))</f>
        <v>_</v>
      </c>
      <c r="BE844" s="47"/>
      <c r="BF844" s="42" t="s">
        <v>16</v>
      </c>
      <c r="BG844" s="43" t="str">
        <f>IF(VLOOKUP(BF844,βοηθητικό!$J$2:$N$354,3,FALSE)="","",VLOOKUP(BF844,βοηθητικό!$J$2:$N$354,3,FALSE))</f>
        <v>_</v>
      </c>
      <c r="BH844" s="44"/>
      <c r="BI844" s="45" t="s">
        <v>16</v>
      </c>
      <c r="BJ844" s="46" t="str">
        <f>IF(VLOOKUP(BI844,βοηθητικό!$J$2:$N$354,3,FALSE)="","",VLOOKUP(BI844,βοηθητικό!$J$2:$N$354,3,FALSE))</f>
        <v>_</v>
      </c>
      <c r="BK844" s="47"/>
      <c r="BL844" s="42" t="s">
        <v>16</v>
      </c>
      <c r="BM844" s="43" t="str">
        <f>IF(VLOOKUP(BL844,βοηθητικό!$J$2:$N$354,3,FALSE)="","",VLOOKUP(BL844,βοηθητικό!$J$2:$N$354,3,FALSE))</f>
        <v>_</v>
      </c>
      <c r="BN844" s="44"/>
      <c r="BO844" s="45" t="s">
        <v>16</v>
      </c>
      <c r="BP844" s="46" t="str">
        <f>IF(VLOOKUP(BO844,βοηθητικό!$J$2:$N$354,3,FALSE)="","",VLOOKUP(BO844,βοηθητικό!$J$2:$N$354,3,FALSE))</f>
        <v>_</v>
      </c>
      <c r="BQ844" s="47"/>
      <c r="BR844" s="42" t="s">
        <v>16</v>
      </c>
      <c r="BS844" s="43" t="str">
        <f>IF(VLOOKUP(BR844,βοηθητικό!$J$2:$N$354,3,FALSE)="","",VLOOKUP(BR844,βοηθητικό!$J$2:$N$354,3,FALSE))</f>
        <v>_</v>
      </c>
      <c r="BT844" s="44"/>
      <c r="BU844" s="45" t="s">
        <v>16</v>
      </c>
      <c r="BV844" s="46" t="str">
        <f>IF(VLOOKUP(BU844,βοηθητικό!$J$2:$N$354,3,FALSE)="","",VLOOKUP(BU844,βοηθητικό!$J$2:$N$354,3,FALSE))</f>
        <v>_</v>
      </c>
      <c r="BW844" s="47"/>
      <c r="BX844" s="42" t="s">
        <v>16</v>
      </c>
      <c r="BY844" s="43" t="str">
        <f>IF(VLOOKUP(BX844,βοηθητικό!$J$2:$N$354,3,FALSE)="","",VLOOKUP(BX844,βοηθητικό!$J$2:$N$354,3,FALSE))</f>
        <v>_</v>
      </c>
      <c r="BZ844" s="44"/>
      <c r="CA844" s="45" t="s">
        <v>16</v>
      </c>
      <c r="CB844" s="46" t="str">
        <f>IF(VLOOKUP(CA844,βοηθητικό!$J$2:$N$354,3,FALSE)="","",VLOOKUP(CA844,βοηθητικό!$J$2:$N$354,3,FALSE))</f>
        <v>_</v>
      </c>
      <c r="CC844" s="47"/>
      <c r="CD844" s="42" t="s">
        <v>16</v>
      </c>
      <c r="CE844" s="43" t="str">
        <f>IF(VLOOKUP(CD844,βοηθητικό!$J$2:$N$354,3,FALSE)="","",VLOOKUP(CD844,βοηθητικό!$J$2:$N$354,3,FALSE))</f>
        <v>_</v>
      </c>
      <c r="CF844" s="44"/>
      <c r="CG844" s="45" t="s">
        <v>16</v>
      </c>
      <c r="CH844" s="46" t="str">
        <f>IF(VLOOKUP(CG844,βοηθητικό!$J$2:$N$354,3,FALSE)="","",VLOOKUP(CG844,βοηθητικό!$J$2:$N$354,3,FALSE))</f>
        <v>_</v>
      </c>
      <c r="CI844" s="47"/>
      <c r="CJ844" s="42" t="s">
        <v>16</v>
      </c>
      <c r="CK844" s="43" t="str">
        <f>IF(VLOOKUP(CJ844,βοηθητικό!$J$2:$N$354,3,FALSE)="","",VLOOKUP(CJ844,βοηθητικό!$J$2:$N$354,3,FALSE))</f>
        <v>_</v>
      </c>
      <c r="CL844" s="44"/>
      <c r="CM844" s="45" t="s">
        <v>16</v>
      </c>
      <c r="CN844" s="46" t="str">
        <f>IF(VLOOKUP(CM844,βοηθητικό!$J$2:$N$354,3,FALSE)="","",VLOOKUP(CM844,βοηθητικό!$J$2:$N$354,3,FALSE))</f>
        <v>_</v>
      </c>
      <c r="CO844" s="47"/>
      <c r="CP844" s="42" t="s">
        <v>16</v>
      </c>
      <c r="CQ844" s="43" t="str">
        <f>IF(VLOOKUP(CP844,βοηθητικό!$J$2:$N$354,3,FALSE)="","",VLOOKUP(CP844,βοηθητικό!$J$2:$N$354,3,FALSE))</f>
        <v>_</v>
      </c>
      <c r="CR844" s="44"/>
      <c r="CS844" s="45" t="s">
        <v>16</v>
      </c>
      <c r="CT844" s="46" t="str">
        <f>IF(VLOOKUP(CS844,βοηθητικό!$J$2:$N$354,3,FALSE)="","",VLOOKUP(CS844,βοηθητικό!$J$2:$N$354,3,FALSE))</f>
        <v>_</v>
      </c>
      <c r="CU844" s="47"/>
    </row>
    <row r="845" spans="1:99" x14ac:dyDescent="0.25">
      <c r="A845" s="37">
        <f>--SUBTOTAL(3,$B$3:B844)</f>
        <v>198</v>
      </c>
      <c r="B845" s="2"/>
      <c r="C845" s="3"/>
      <c r="D845" s="55" t="s">
        <v>18</v>
      </c>
      <c r="E845" s="38" t="s">
        <v>16</v>
      </c>
      <c r="F845" s="38"/>
      <c r="G845" s="39" t="str">
        <f t="shared" si="41"/>
        <v>__</v>
      </c>
      <c r="H845" s="40" t="str">
        <f t="shared" si="42"/>
        <v>FALSE</v>
      </c>
      <c r="I845" s="41">
        <f t="shared" si="43"/>
        <v>0</v>
      </c>
      <c r="J845" s="4" t="s">
        <v>16</v>
      </c>
      <c r="K845" s="43" t="str">
        <f>IF(VLOOKUP(J845,βοηθητικό!$J$2:$N$354,3,FALSE)="","",VLOOKUP(J845,βοηθητικό!$J$2:$N$354,3,FALSE))</f>
        <v>_</v>
      </c>
      <c r="L845" s="44"/>
      <c r="M845" s="5" t="s">
        <v>16</v>
      </c>
      <c r="N845" s="46" t="str">
        <f>IF(VLOOKUP(M845,βοηθητικό!$J$2:$N$354,3,FALSE)="","",VLOOKUP(M845,βοηθητικό!$J$2:$N$354,3,FALSE))</f>
        <v>_</v>
      </c>
      <c r="O845" s="47"/>
      <c r="P845" s="4" t="s">
        <v>16</v>
      </c>
      <c r="Q845" s="43" t="str">
        <f>IF(VLOOKUP(P845,βοηθητικό!$J$2:$N$354,3,FALSE)="","",VLOOKUP(P845,βοηθητικό!$J$2:$N$354,3,FALSE))</f>
        <v>_</v>
      </c>
      <c r="R845" s="44"/>
      <c r="S845" s="5" t="s">
        <v>16</v>
      </c>
      <c r="T845" s="46" t="str">
        <f>IF(VLOOKUP(S845,βοηθητικό!$J$2:$N$354,3,FALSE)="","",VLOOKUP(S845,βοηθητικό!$J$2:$N$354,3,FALSE))</f>
        <v>_</v>
      </c>
      <c r="U845" s="47"/>
      <c r="V845" s="4" t="s">
        <v>16</v>
      </c>
      <c r="W845" s="43" t="str">
        <f>IF(VLOOKUP(V845,βοηθητικό!$J$2:$N$354,3,FALSE)="","",VLOOKUP(V845,βοηθητικό!$J$2:$N$354,3,FALSE))</f>
        <v>_</v>
      </c>
      <c r="X845" s="44"/>
      <c r="Y845" s="5" t="s">
        <v>16</v>
      </c>
      <c r="Z845" s="46" t="str">
        <f>IF(VLOOKUP(Y845,βοηθητικό!$J$2:$N$354,3,FALSE)="","",VLOOKUP(Y845,βοηθητικό!$J$2:$N$354,3,FALSE))</f>
        <v>_</v>
      </c>
      <c r="AA845" s="47"/>
      <c r="AB845" s="4" t="s">
        <v>16</v>
      </c>
      <c r="AC845" s="43" t="str">
        <f>IF(VLOOKUP(AB845,βοηθητικό!$J$2:$N$354,3,FALSE)="","",VLOOKUP(AB845,βοηθητικό!$J$2:$N$354,3,FALSE))</f>
        <v>_</v>
      </c>
      <c r="AD845" s="44"/>
      <c r="AE845" s="5" t="s">
        <v>16</v>
      </c>
      <c r="AF845" s="46" t="str">
        <f>IF(VLOOKUP(AE845,βοηθητικό!$J$2:$N$354,3,FALSE)="","",VLOOKUP(AE845,βοηθητικό!$J$2:$N$354,3,FALSE))</f>
        <v>_</v>
      </c>
      <c r="AG845" s="47"/>
      <c r="AH845" s="4" t="s">
        <v>16</v>
      </c>
      <c r="AI845" s="43" t="str">
        <f>IF(VLOOKUP(AH845,βοηθητικό!$J$2:$N$354,3,FALSE)="","",VLOOKUP(AH845,βοηθητικό!$J$2:$N$354,3,FALSE))</f>
        <v>_</v>
      </c>
      <c r="AJ845" s="44"/>
      <c r="AK845" s="5" t="s">
        <v>16</v>
      </c>
      <c r="AL845" s="46" t="str">
        <f>IF(VLOOKUP(AK845,βοηθητικό!$J$2:$N$354,3,FALSE)="","",VLOOKUP(AK845,βοηθητικό!$J$2:$N$354,3,FALSE))</f>
        <v>_</v>
      </c>
      <c r="AM845" s="47"/>
      <c r="AN845" s="4" t="s">
        <v>16</v>
      </c>
      <c r="AO845" s="43" t="str">
        <f>IF(VLOOKUP(AN845,βοηθητικό!$J$2:$N$354,3,FALSE)="","",VLOOKUP(AN845,βοηθητικό!$J$2:$N$354,3,FALSE))</f>
        <v>_</v>
      </c>
      <c r="AP845" s="44"/>
      <c r="AQ845" s="5" t="s">
        <v>16</v>
      </c>
      <c r="AR845" s="46" t="str">
        <f>IF(VLOOKUP(AQ845,βοηθητικό!$J$2:$N$354,3,FALSE)="","",VLOOKUP(AQ845,βοηθητικό!$J$2:$N$354,3,FALSE))</f>
        <v>_</v>
      </c>
      <c r="AS845" s="47"/>
      <c r="AT845" s="4" t="s">
        <v>16</v>
      </c>
      <c r="AU845" s="43" t="str">
        <f>IF(VLOOKUP(AT845,βοηθητικό!$J$2:$N$354,3,FALSE)="","",VLOOKUP(AT845,βοηθητικό!$J$2:$N$354,3,FALSE))</f>
        <v>_</v>
      </c>
      <c r="AV845" s="44"/>
      <c r="AW845" s="5" t="s">
        <v>16</v>
      </c>
      <c r="AX845" s="46" t="str">
        <f>IF(VLOOKUP(AW845,βοηθητικό!$J$2:$N$354,3,FALSE)="","",VLOOKUP(AW845,βοηθητικό!$J$2:$N$354,3,FALSE))</f>
        <v>_</v>
      </c>
      <c r="AY845" s="47"/>
      <c r="AZ845" s="4" t="s">
        <v>16</v>
      </c>
      <c r="BA845" s="43" t="str">
        <f>IF(VLOOKUP(AZ845,βοηθητικό!$J$2:$N$354,3,FALSE)="","",VLOOKUP(AZ845,βοηθητικό!$J$2:$N$354,3,FALSE))</f>
        <v>_</v>
      </c>
      <c r="BB845" s="44"/>
      <c r="BC845" s="45" t="s">
        <v>16</v>
      </c>
      <c r="BD845" s="46" t="str">
        <f>IF(VLOOKUP(BC845,βοηθητικό!$J$2:$N$354,3,FALSE)="","",VLOOKUP(BC845,βοηθητικό!$J$2:$N$354,3,FALSE))</f>
        <v>_</v>
      </c>
      <c r="BE845" s="47"/>
      <c r="BF845" s="42" t="s">
        <v>16</v>
      </c>
      <c r="BG845" s="43" t="str">
        <f>IF(VLOOKUP(BF845,βοηθητικό!$J$2:$N$354,3,FALSE)="","",VLOOKUP(BF845,βοηθητικό!$J$2:$N$354,3,FALSE))</f>
        <v>_</v>
      </c>
      <c r="BH845" s="44"/>
      <c r="BI845" s="45" t="s">
        <v>16</v>
      </c>
      <c r="BJ845" s="46" t="str">
        <f>IF(VLOOKUP(BI845,βοηθητικό!$J$2:$N$354,3,FALSE)="","",VLOOKUP(BI845,βοηθητικό!$J$2:$N$354,3,FALSE))</f>
        <v>_</v>
      </c>
      <c r="BK845" s="47"/>
      <c r="BL845" s="42" t="s">
        <v>16</v>
      </c>
      <c r="BM845" s="43" t="str">
        <f>IF(VLOOKUP(BL845,βοηθητικό!$J$2:$N$354,3,FALSE)="","",VLOOKUP(BL845,βοηθητικό!$J$2:$N$354,3,FALSE))</f>
        <v>_</v>
      </c>
      <c r="BN845" s="44"/>
      <c r="BO845" s="45" t="s">
        <v>16</v>
      </c>
      <c r="BP845" s="46" t="str">
        <f>IF(VLOOKUP(BO845,βοηθητικό!$J$2:$N$354,3,FALSE)="","",VLOOKUP(BO845,βοηθητικό!$J$2:$N$354,3,FALSE))</f>
        <v>_</v>
      </c>
      <c r="BQ845" s="47"/>
      <c r="BR845" s="42" t="s">
        <v>16</v>
      </c>
      <c r="BS845" s="43" t="str">
        <f>IF(VLOOKUP(BR845,βοηθητικό!$J$2:$N$354,3,FALSE)="","",VLOOKUP(BR845,βοηθητικό!$J$2:$N$354,3,FALSE))</f>
        <v>_</v>
      </c>
      <c r="BT845" s="44"/>
      <c r="BU845" s="45" t="s">
        <v>16</v>
      </c>
      <c r="BV845" s="46" t="str">
        <f>IF(VLOOKUP(BU845,βοηθητικό!$J$2:$N$354,3,FALSE)="","",VLOOKUP(BU845,βοηθητικό!$J$2:$N$354,3,FALSE))</f>
        <v>_</v>
      </c>
      <c r="BW845" s="47"/>
      <c r="BX845" s="42" t="s">
        <v>16</v>
      </c>
      <c r="BY845" s="43" t="str">
        <f>IF(VLOOKUP(BX845,βοηθητικό!$J$2:$N$354,3,FALSE)="","",VLOOKUP(BX845,βοηθητικό!$J$2:$N$354,3,FALSE))</f>
        <v>_</v>
      </c>
      <c r="BZ845" s="44"/>
      <c r="CA845" s="45" t="s">
        <v>16</v>
      </c>
      <c r="CB845" s="46" t="str">
        <f>IF(VLOOKUP(CA845,βοηθητικό!$J$2:$N$354,3,FALSE)="","",VLOOKUP(CA845,βοηθητικό!$J$2:$N$354,3,FALSE))</f>
        <v>_</v>
      </c>
      <c r="CC845" s="47"/>
      <c r="CD845" s="42" t="s">
        <v>16</v>
      </c>
      <c r="CE845" s="43" t="str">
        <f>IF(VLOOKUP(CD845,βοηθητικό!$J$2:$N$354,3,FALSE)="","",VLOOKUP(CD845,βοηθητικό!$J$2:$N$354,3,FALSE))</f>
        <v>_</v>
      </c>
      <c r="CF845" s="44"/>
      <c r="CG845" s="45" t="s">
        <v>16</v>
      </c>
      <c r="CH845" s="46" t="str">
        <f>IF(VLOOKUP(CG845,βοηθητικό!$J$2:$N$354,3,FALSE)="","",VLOOKUP(CG845,βοηθητικό!$J$2:$N$354,3,FALSE))</f>
        <v>_</v>
      </c>
      <c r="CI845" s="47"/>
      <c r="CJ845" s="42" t="s">
        <v>16</v>
      </c>
      <c r="CK845" s="43" t="str">
        <f>IF(VLOOKUP(CJ845,βοηθητικό!$J$2:$N$354,3,FALSE)="","",VLOOKUP(CJ845,βοηθητικό!$J$2:$N$354,3,FALSE))</f>
        <v>_</v>
      </c>
      <c r="CL845" s="44"/>
      <c r="CM845" s="45" t="s">
        <v>16</v>
      </c>
      <c r="CN845" s="46" t="str">
        <f>IF(VLOOKUP(CM845,βοηθητικό!$J$2:$N$354,3,FALSE)="","",VLOOKUP(CM845,βοηθητικό!$J$2:$N$354,3,FALSE))</f>
        <v>_</v>
      </c>
      <c r="CO845" s="47"/>
      <c r="CP845" s="42" t="s">
        <v>16</v>
      </c>
      <c r="CQ845" s="43" t="str">
        <f>IF(VLOOKUP(CP845,βοηθητικό!$J$2:$N$354,3,FALSE)="","",VLOOKUP(CP845,βοηθητικό!$J$2:$N$354,3,FALSE))</f>
        <v>_</v>
      </c>
      <c r="CR845" s="44"/>
      <c r="CS845" s="45" t="s">
        <v>16</v>
      </c>
      <c r="CT845" s="46" t="str">
        <f>IF(VLOOKUP(CS845,βοηθητικό!$J$2:$N$354,3,FALSE)="","",VLOOKUP(CS845,βοηθητικό!$J$2:$N$354,3,FALSE))</f>
        <v>_</v>
      </c>
      <c r="CU845" s="47"/>
    </row>
    <row r="846" spans="1:99" x14ac:dyDescent="0.25">
      <c r="A846" s="37">
        <f>--SUBTOTAL(3,$B$3:B845)</f>
        <v>198</v>
      </c>
      <c r="B846" s="2"/>
      <c r="C846" s="3"/>
      <c r="D846" s="55" t="s">
        <v>18</v>
      </c>
      <c r="E846" s="38" t="s">
        <v>16</v>
      </c>
      <c r="F846" s="38"/>
      <c r="G846" s="39" t="str">
        <f t="shared" si="41"/>
        <v>__</v>
      </c>
      <c r="H846" s="40" t="str">
        <f t="shared" si="42"/>
        <v>FALSE</v>
      </c>
      <c r="I846" s="41">
        <f t="shared" si="43"/>
        <v>0</v>
      </c>
      <c r="J846" s="4" t="s">
        <v>16</v>
      </c>
      <c r="K846" s="43" t="str">
        <f>IF(VLOOKUP(J846,βοηθητικό!$J$2:$N$354,3,FALSE)="","",VLOOKUP(J846,βοηθητικό!$J$2:$N$354,3,FALSE))</f>
        <v>_</v>
      </c>
      <c r="L846" s="44"/>
      <c r="M846" s="5" t="s">
        <v>16</v>
      </c>
      <c r="N846" s="46" t="str">
        <f>IF(VLOOKUP(M846,βοηθητικό!$J$2:$N$354,3,FALSE)="","",VLOOKUP(M846,βοηθητικό!$J$2:$N$354,3,FALSE))</f>
        <v>_</v>
      </c>
      <c r="O846" s="47"/>
      <c r="P846" s="4" t="s">
        <v>16</v>
      </c>
      <c r="Q846" s="43" t="str">
        <f>IF(VLOOKUP(P846,βοηθητικό!$J$2:$N$354,3,FALSE)="","",VLOOKUP(P846,βοηθητικό!$J$2:$N$354,3,FALSE))</f>
        <v>_</v>
      </c>
      <c r="R846" s="44"/>
      <c r="S846" s="5" t="s">
        <v>16</v>
      </c>
      <c r="T846" s="46" t="str">
        <f>IF(VLOOKUP(S846,βοηθητικό!$J$2:$N$354,3,FALSE)="","",VLOOKUP(S846,βοηθητικό!$J$2:$N$354,3,FALSE))</f>
        <v>_</v>
      </c>
      <c r="U846" s="47"/>
      <c r="V846" s="4" t="s">
        <v>16</v>
      </c>
      <c r="W846" s="43" t="str">
        <f>IF(VLOOKUP(V846,βοηθητικό!$J$2:$N$354,3,FALSE)="","",VLOOKUP(V846,βοηθητικό!$J$2:$N$354,3,FALSE))</f>
        <v>_</v>
      </c>
      <c r="X846" s="44"/>
      <c r="Y846" s="5" t="s">
        <v>16</v>
      </c>
      <c r="Z846" s="46" t="str">
        <f>IF(VLOOKUP(Y846,βοηθητικό!$J$2:$N$354,3,FALSE)="","",VLOOKUP(Y846,βοηθητικό!$J$2:$N$354,3,FALSE))</f>
        <v>_</v>
      </c>
      <c r="AA846" s="47"/>
      <c r="AB846" s="4" t="s">
        <v>16</v>
      </c>
      <c r="AC846" s="43" t="str">
        <f>IF(VLOOKUP(AB846,βοηθητικό!$J$2:$N$354,3,FALSE)="","",VLOOKUP(AB846,βοηθητικό!$J$2:$N$354,3,FALSE))</f>
        <v>_</v>
      </c>
      <c r="AD846" s="44"/>
      <c r="AE846" s="5" t="s">
        <v>16</v>
      </c>
      <c r="AF846" s="46" t="str">
        <f>IF(VLOOKUP(AE846,βοηθητικό!$J$2:$N$354,3,FALSE)="","",VLOOKUP(AE846,βοηθητικό!$J$2:$N$354,3,FALSE))</f>
        <v>_</v>
      </c>
      <c r="AG846" s="47"/>
      <c r="AH846" s="4" t="s">
        <v>16</v>
      </c>
      <c r="AI846" s="43" t="str">
        <f>IF(VLOOKUP(AH846,βοηθητικό!$J$2:$N$354,3,FALSE)="","",VLOOKUP(AH846,βοηθητικό!$J$2:$N$354,3,FALSE))</f>
        <v>_</v>
      </c>
      <c r="AJ846" s="44"/>
      <c r="AK846" s="5" t="s">
        <v>16</v>
      </c>
      <c r="AL846" s="46" t="str">
        <f>IF(VLOOKUP(AK846,βοηθητικό!$J$2:$N$354,3,FALSE)="","",VLOOKUP(AK846,βοηθητικό!$J$2:$N$354,3,FALSE))</f>
        <v>_</v>
      </c>
      <c r="AM846" s="47"/>
      <c r="AN846" s="4" t="s">
        <v>16</v>
      </c>
      <c r="AO846" s="43" t="str">
        <f>IF(VLOOKUP(AN846,βοηθητικό!$J$2:$N$354,3,FALSE)="","",VLOOKUP(AN846,βοηθητικό!$J$2:$N$354,3,FALSE))</f>
        <v>_</v>
      </c>
      <c r="AP846" s="44"/>
      <c r="AQ846" s="5" t="s">
        <v>16</v>
      </c>
      <c r="AR846" s="46" t="str">
        <f>IF(VLOOKUP(AQ846,βοηθητικό!$J$2:$N$354,3,FALSE)="","",VLOOKUP(AQ846,βοηθητικό!$J$2:$N$354,3,FALSE))</f>
        <v>_</v>
      </c>
      <c r="AS846" s="47"/>
      <c r="AT846" s="4" t="s">
        <v>16</v>
      </c>
      <c r="AU846" s="43" t="str">
        <f>IF(VLOOKUP(AT846,βοηθητικό!$J$2:$N$354,3,FALSE)="","",VLOOKUP(AT846,βοηθητικό!$J$2:$N$354,3,FALSE))</f>
        <v>_</v>
      </c>
      <c r="AV846" s="44"/>
      <c r="AW846" s="5" t="s">
        <v>16</v>
      </c>
      <c r="AX846" s="46" t="str">
        <f>IF(VLOOKUP(AW846,βοηθητικό!$J$2:$N$354,3,FALSE)="","",VLOOKUP(AW846,βοηθητικό!$J$2:$N$354,3,FALSE))</f>
        <v>_</v>
      </c>
      <c r="AY846" s="47"/>
      <c r="AZ846" s="4" t="s">
        <v>16</v>
      </c>
      <c r="BA846" s="43" t="str">
        <f>IF(VLOOKUP(AZ846,βοηθητικό!$J$2:$N$354,3,FALSE)="","",VLOOKUP(AZ846,βοηθητικό!$J$2:$N$354,3,FALSE))</f>
        <v>_</v>
      </c>
      <c r="BB846" s="44"/>
      <c r="BC846" s="45" t="s">
        <v>16</v>
      </c>
      <c r="BD846" s="46" t="str">
        <f>IF(VLOOKUP(BC846,βοηθητικό!$J$2:$N$354,3,FALSE)="","",VLOOKUP(BC846,βοηθητικό!$J$2:$N$354,3,FALSE))</f>
        <v>_</v>
      </c>
      <c r="BE846" s="47"/>
      <c r="BF846" s="42" t="s">
        <v>16</v>
      </c>
      <c r="BG846" s="43" t="str">
        <f>IF(VLOOKUP(BF846,βοηθητικό!$J$2:$N$354,3,FALSE)="","",VLOOKUP(BF846,βοηθητικό!$J$2:$N$354,3,FALSE))</f>
        <v>_</v>
      </c>
      <c r="BH846" s="44"/>
      <c r="BI846" s="45" t="s">
        <v>16</v>
      </c>
      <c r="BJ846" s="46" t="str">
        <f>IF(VLOOKUP(BI846,βοηθητικό!$J$2:$N$354,3,FALSE)="","",VLOOKUP(BI846,βοηθητικό!$J$2:$N$354,3,FALSE))</f>
        <v>_</v>
      </c>
      <c r="BK846" s="47"/>
      <c r="BL846" s="42" t="s">
        <v>16</v>
      </c>
      <c r="BM846" s="43" t="str">
        <f>IF(VLOOKUP(BL846,βοηθητικό!$J$2:$N$354,3,FALSE)="","",VLOOKUP(BL846,βοηθητικό!$J$2:$N$354,3,FALSE))</f>
        <v>_</v>
      </c>
      <c r="BN846" s="44"/>
      <c r="BO846" s="45" t="s">
        <v>16</v>
      </c>
      <c r="BP846" s="46" t="str">
        <f>IF(VLOOKUP(BO846,βοηθητικό!$J$2:$N$354,3,FALSE)="","",VLOOKUP(BO846,βοηθητικό!$J$2:$N$354,3,FALSE))</f>
        <v>_</v>
      </c>
      <c r="BQ846" s="47"/>
      <c r="BR846" s="42" t="s">
        <v>16</v>
      </c>
      <c r="BS846" s="43" t="str">
        <f>IF(VLOOKUP(BR846,βοηθητικό!$J$2:$N$354,3,FALSE)="","",VLOOKUP(BR846,βοηθητικό!$J$2:$N$354,3,FALSE))</f>
        <v>_</v>
      </c>
      <c r="BT846" s="44"/>
      <c r="BU846" s="45" t="s">
        <v>16</v>
      </c>
      <c r="BV846" s="46" t="str">
        <f>IF(VLOOKUP(BU846,βοηθητικό!$J$2:$N$354,3,FALSE)="","",VLOOKUP(BU846,βοηθητικό!$J$2:$N$354,3,FALSE))</f>
        <v>_</v>
      </c>
      <c r="BW846" s="47"/>
      <c r="BX846" s="42" t="s">
        <v>16</v>
      </c>
      <c r="BY846" s="43" t="str">
        <f>IF(VLOOKUP(BX846,βοηθητικό!$J$2:$N$354,3,FALSE)="","",VLOOKUP(BX846,βοηθητικό!$J$2:$N$354,3,FALSE))</f>
        <v>_</v>
      </c>
      <c r="BZ846" s="44"/>
      <c r="CA846" s="45" t="s">
        <v>16</v>
      </c>
      <c r="CB846" s="46" t="str">
        <f>IF(VLOOKUP(CA846,βοηθητικό!$J$2:$N$354,3,FALSE)="","",VLOOKUP(CA846,βοηθητικό!$J$2:$N$354,3,FALSE))</f>
        <v>_</v>
      </c>
      <c r="CC846" s="47"/>
      <c r="CD846" s="42" t="s">
        <v>16</v>
      </c>
      <c r="CE846" s="43" t="str">
        <f>IF(VLOOKUP(CD846,βοηθητικό!$J$2:$N$354,3,FALSE)="","",VLOOKUP(CD846,βοηθητικό!$J$2:$N$354,3,FALSE))</f>
        <v>_</v>
      </c>
      <c r="CF846" s="44"/>
      <c r="CG846" s="45" t="s">
        <v>16</v>
      </c>
      <c r="CH846" s="46" t="str">
        <f>IF(VLOOKUP(CG846,βοηθητικό!$J$2:$N$354,3,FALSE)="","",VLOOKUP(CG846,βοηθητικό!$J$2:$N$354,3,FALSE))</f>
        <v>_</v>
      </c>
      <c r="CI846" s="47"/>
      <c r="CJ846" s="42" t="s">
        <v>16</v>
      </c>
      <c r="CK846" s="43" t="str">
        <f>IF(VLOOKUP(CJ846,βοηθητικό!$J$2:$N$354,3,FALSE)="","",VLOOKUP(CJ846,βοηθητικό!$J$2:$N$354,3,FALSE))</f>
        <v>_</v>
      </c>
      <c r="CL846" s="44"/>
      <c r="CM846" s="45" t="s">
        <v>16</v>
      </c>
      <c r="CN846" s="46" t="str">
        <f>IF(VLOOKUP(CM846,βοηθητικό!$J$2:$N$354,3,FALSE)="","",VLOOKUP(CM846,βοηθητικό!$J$2:$N$354,3,FALSE))</f>
        <v>_</v>
      </c>
      <c r="CO846" s="47"/>
      <c r="CP846" s="42" t="s">
        <v>16</v>
      </c>
      <c r="CQ846" s="43" t="str">
        <f>IF(VLOOKUP(CP846,βοηθητικό!$J$2:$N$354,3,FALSE)="","",VLOOKUP(CP846,βοηθητικό!$J$2:$N$354,3,FALSE))</f>
        <v>_</v>
      </c>
      <c r="CR846" s="44"/>
      <c r="CS846" s="45" t="s">
        <v>16</v>
      </c>
      <c r="CT846" s="46" t="str">
        <f>IF(VLOOKUP(CS846,βοηθητικό!$J$2:$N$354,3,FALSE)="","",VLOOKUP(CS846,βοηθητικό!$J$2:$N$354,3,FALSE))</f>
        <v>_</v>
      </c>
      <c r="CU846" s="47"/>
    </row>
    <row r="847" spans="1:99" x14ac:dyDescent="0.25">
      <c r="A847" s="37">
        <f>--SUBTOTAL(3,$B$3:B846)</f>
        <v>198</v>
      </c>
      <c r="B847" s="2"/>
      <c r="C847" s="3"/>
      <c r="D847" s="55" t="s">
        <v>18</v>
      </c>
      <c r="E847" s="38" t="s">
        <v>16</v>
      </c>
      <c r="F847" s="38"/>
      <c r="G847" s="39" t="str">
        <f t="shared" si="41"/>
        <v>__</v>
      </c>
      <c r="H847" s="40" t="str">
        <f t="shared" si="42"/>
        <v>FALSE</v>
      </c>
      <c r="I847" s="41">
        <f t="shared" si="43"/>
        <v>0</v>
      </c>
      <c r="J847" s="4" t="s">
        <v>16</v>
      </c>
      <c r="K847" s="43" t="str">
        <f>IF(VLOOKUP(J847,βοηθητικό!$J$2:$N$354,3,FALSE)="","",VLOOKUP(J847,βοηθητικό!$J$2:$N$354,3,FALSE))</f>
        <v>_</v>
      </c>
      <c r="L847" s="44"/>
      <c r="M847" s="5" t="s">
        <v>16</v>
      </c>
      <c r="N847" s="46" t="str">
        <f>IF(VLOOKUP(M847,βοηθητικό!$J$2:$N$354,3,FALSE)="","",VLOOKUP(M847,βοηθητικό!$J$2:$N$354,3,FALSE))</f>
        <v>_</v>
      </c>
      <c r="O847" s="47"/>
      <c r="P847" s="4" t="s">
        <v>16</v>
      </c>
      <c r="Q847" s="43" t="str">
        <f>IF(VLOOKUP(P847,βοηθητικό!$J$2:$N$354,3,FALSE)="","",VLOOKUP(P847,βοηθητικό!$J$2:$N$354,3,FALSE))</f>
        <v>_</v>
      </c>
      <c r="R847" s="44"/>
      <c r="S847" s="5" t="s">
        <v>16</v>
      </c>
      <c r="T847" s="46" t="str">
        <f>IF(VLOOKUP(S847,βοηθητικό!$J$2:$N$354,3,FALSE)="","",VLOOKUP(S847,βοηθητικό!$J$2:$N$354,3,FALSE))</f>
        <v>_</v>
      </c>
      <c r="U847" s="47"/>
      <c r="V847" s="4" t="s">
        <v>16</v>
      </c>
      <c r="W847" s="43" t="str">
        <f>IF(VLOOKUP(V847,βοηθητικό!$J$2:$N$354,3,FALSE)="","",VLOOKUP(V847,βοηθητικό!$J$2:$N$354,3,FALSE))</f>
        <v>_</v>
      </c>
      <c r="X847" s="44"/>
      <c r="Y847" s="5" t="s">
        <v>16</v>
      </c>
      <c r="Z847" s="46" t="str">
        <f>IF(VLOOKUP(Y847,βοηθητικό!$J$2:$N$354,3,FALSE)="","",VLOOKUP(Y847,βοηθητικό!$J$2:$N$354,3,FALSE))</f>
        <v>_</v>
      </c>
      <c r="AA847" s="47"/>
      <c r="AB847" s="4" t="s">
        <v>16</v>
      </c>
      <c r="AC847" s="43" t="str">
        <f>IF(VLOOKUP(AB847,βοηθητικό!$J$2:$N$354,3,FALSE)="","",VLOOKUP(AB847,βοηθητικό!$J$2:$N$354,3,FALSE))</f>
        <v>_</v>
      </c>
      <c r="AD847" s="44"/>
      <c r="AE847" s="5" t="s">
        <v>16</v>
      </c>
      <c r="AF847" s="46" t="str">
        <f>IF(VLOOKUP(AE847,βοηθητικό!$J$2:$N$354,3,FALSE)="","",VLOOKUP(AE847,βοηθητικό!$J$2:$N$354,3,FALSE))</f>
        <v>_</v>
      </c>
      <c r="AG847" s="47"/>
      <c r="AH847" s="4" t="s">
        <v>16</v>
      </c>
      <c r="AI847" s="43" t="str">
        <f>IF(VLOOKUP(AH847,βοηθητικό!$J$2:$N$354,3,FALSE)="","",VLOOKUP(AH847,βοηθητικό!$J$2:$N$354,3,FALSE))</f>
        <v>_</v>
      </c>
      <c r="AJ847" s="44"/>
      <c r="AK847" s="5" t="s">
        <v>16</v>
      </c>
      <c r="AL847" s="46" t="str">
        <f>IF(VLOOKUP(AK847,βοηθητικό!$J$2:$N$354,3,FALSE)="","",VLOOKUP(AK847,βοηθητικό!$J$2:$N$354,3,FALSE))</f>
        <v>_</v>
      </c>
      <c r="AM847" s="47"/>
      <c r="AN847" s="4" t="s">
        <v>16</v>
      </c>
      <c r="AO847" s="43" t="str">
        <f>IF(VLOOKUP(AN847,βοηθητικό!$J$2:$N$354,3,FALSE)="","",VLOOKUP(AN847,βοηθητικό!$J$2:$N$354,3,FALSE))</f>
        <v>_</v>
      </c>
      <c r="AP847" s="44"/>
      <c r="AQ847" s="5" t="s">
        <v>16</v>
      </c>
      <c r="AR847" s="46" t="str">
        <f>IF(VLOOKUP(AQ847,βοηθητικό!$J$2:$N$354,3,FALSE)="","",VLOOKUP(AQ847,βοηθητικό!$J$2:$N$354,3,FALSE))</f>
        <v>_</v>
      </c>
      <c r="AS847" s="47"/>
      <c r="AT847" s="4" t="s">
        <v>16</v>
      </c>
      <c r="AU847" s="43" t="str">
        <f>IF(VLOOKUP(AT847,βοηθητικό!$J$2:$N$354,3,FALSE)="","",VLOOKUP(AT847,βοηθητικό!$J$2:$N$354,3,FALSE))</f>
        <v>_</v>
      </c>
      <c r="AV847" s="44"/>
      <c r="AW847" s="5" t="s">
        <v>16</v>
      </c>
      <c r="AX847" s="46" t="str">
        <f>IF(VLOOKUP(AW847,βοηθητικό!$J$2:$N$354,3,FALSE)="","",VLOOKUP(AW847,βοηθητικό!$J$2:$N$354,3,FALSE))</f>
        <v>_</v>
      </c>
      <c r="AY847" s="47"/>
      <c r="AZ847" s="4" t="s">
        <v>16</v>
      </c>
      <c r="BA847" s="43" t="str">
        <f>IF(VLOOKUP(AZ847,βοηθητικό!$J$2:$N$354,3,FALSE)="","",VLOOKUP(AZ847,βοηθητικό!$J$2:$N$354,3,FALSE))</f>
        <v>_</v>
      </c>
      <c r="BB847" s="44"/>
      <c r="BC847" s="45" t="s">
        <v>16</v>
      </c>
      <c r="BD847" s="46" t="str">
        <f>IF(VLOOKUP(BC847,βοηθητικό!$J$2:$N$354,3,FALSE)="","",VLOOKUP(BC847,βοηθητικό!$J$2:$N$354,3,FALSE))</f>
        <v>_</v>
      </c>
      <c r="BE847" s="47"/>
      <c r="BF847" s="42" t="s">
        <v>16</v>
      </c>
      <c r="BG847" s="43" t="str">
        <f>IF(VLOOKUP(BF847,βοηθητικό!$J$2:$N$354,3,FALSE)="","",VLOOKUP(BF847,βοηθητικό!$J$2:$N$354,3,FALSE))</f>
        <v>_</v>
      </c>
      <c r="BH847" s="44"/>
      <c r="BI847" s="45" t="s">
        <v>16</v>
      </c>
      <c r="BJ847" s="46" t="str">
        <f>IF(VLOOKUP(BI847,βοηθητικό!$J$2:$N$354,3,FALSE)="","",VLOOKUP(BI847,βοηθητικό!$J$2:$N$354,3,FALSE))</f>
        <v>_</v>
      </c>
      <c r="BK847" s="47"/>
      <c r="BL847" s="42" t="s">
        <v>16</v>
      </c>
      <c r="BM847" s="43" t="str">
        <f>IF(VLOOKUP(BL847,βοηθητικό!$J$2:$N$354,3,FALSE)="","",VLOOKUP(BL847,βοηθητικό!$J$2:$N$354,3,FALSE))</f>
        <v>_</v>
      </c>
      <c r="BN847" s="44"/>
      <c r="BO847" s="45" t="s">
        <v>16</v>
      </c>
      <c r="BP847" s="46" t="str">
        <f>IF(VLOOKUP(BO847,βοηθητικό!$J$2:$N$354,3,FALSE)="","",VLOOKUP(BO847,βοηθητικό!$J$2:$N$354,3,FALSE))</f>
        <v>_</v>
      </c>
      <c r="BQ847" s="47"/>
      <c r="BR847" s="42" t="s">
        <v>16</v>
      </c>
      <c r="BS847" s="43" t="str">
        <f>IF(VLOOKUP(BR847,βοηθητικό!$J$2:$N$354,3,FALSE)="","",VLOOKUP(BR847,βοηθητικό!$J$2:$N$354,3,FALSE))</f>
        <v>_</v>
      </c>
      <c r="BT847" s="44"/>
      <c r="BU847" s="45" t="s">
        <v>16</v>
      </c>
      <c r="BV847" s="46" t="str">
        <f>IF(VLOOKUP(BU847,βοηθητικό!$J$2:$N$354,3,FALSE)="","",VLOOKUP(BU847,βοηθητικό!$J$2:$N$354,3,FALSE))</f>
        <v>_</v>
      </c>
      <c r="BW847" s="47"/>
      <c r="BX847" s="42" t="s">
        <v>16</v>
      </c>
      <c r="BY847" s="43" t="str">
        <f>IF(VLOOKUP(BX847,βοηθητικό!$J$2:$N$354,3,FALSE)="","",VLOOKUP(BX847,βοηθητικό!$J$2:$N$354,3,FALSE))</f>
        <v>_</v>
      </c>
      <c r="BZ847" s="44"/>
      <c r="CA847" s="45" t="s">
        <v>16</v>
      </c>
      <c r="CB847" s="46" t="str">
        <f>IF(VLOOKUP(CA847,βοηθητικό!$J$2:$N$354,3,FALSE)="","",VLOOKUP(CA847,βοηθητικό!$J$2:$N$354,3,FALSE))</f>
        <v>_</v>
      </c>
      <c r="CC847" s="47"/>
      <c r="CD847" s="42" t="s">
        <v>16</v>
      </c>
      <c r="CE847" s="43" t="str">
        <f>IF(VLOOKUP(CD847,βοηθητικό!$J$2:$N$354,3,FALSE)="","",VLOOKUP(CD847,βοηθητικό!$J$2:$N$354,3,FALSE))</f>
        <v>_</v>
      </c>
      <c r="CF847" s="44"/>
      <c r="CG847" s="45" t="s">
        <v>16</v>
      </c>
      <c r="CH847" s="46" t="str">
        <f>IF(VLOOKUP(CG847,βοηθητικό!$J$2:$N$354,3,FALSE)="","",VLOOKUP(CG847,βοηθητικό!$J$2:$N$354,3,FALSE))</f>
        <v>_</v>
      </c>
      <c r="CI847" s="47"/>
      <c r="CJ847" s="42" t="s">
        <v>16</v>
      </c>
      <c r="CK847" s="43" t="str">
        <f>IF(VLOOKUP(CJ847,βοηθητικό!$J$2:$N$354,3,FALSE)="","",VLOOKUP(CJ847,βοηθητικό!$J$2:$N$354,3,FALSE))</f>
        <v>_</v>
      </c>
      <c r="CL847" s="44"/>
      <c r="CM847" s="45" t="s">
        <v>16</v>
      </c>
      <c r="CN847" s="46" t="str">
        <f>IF(VLOOKUP(CM847,βοηθητικό!$J$2:$N$354,3,FALSE)="","",VLOOKUP(CM847,βοηθητικό!$J$2:$N$354,3,FALSE))</f>
        <v>_</v>
      </c>
      <c r="CO847" s="47"/>
      <c r="CP847" s="42" t="s">
        <v>16</v>
      </c>
      <c r="CQ847" s="43" t="str">
        <f>IF(VLOOKUP(CP847,βοηθητικό!$J$2:$N$354,3,FALSE)="","",VLOOKUP(CP847,βοηθητικό!$J$2:$N$354,3,FALSE))</f>
        <v>_</v>
      </c>
      <c r="CR847" s="44"/>
      <c r="CS847" s="45" t="s">
        <v>16</v>
      </c>
      <c r="CT847" s="46" t="str">
        <f>IF(VLOOKUP(CS847,βοηθητικό!$J$2:$N$354,3,FALSE)="","",VLOOKUP(CS847,βοηθητικό!$J$2:$N$354,3,FALSE))</f>
        <v>_</v>
      </c>
      <c r="CU847" s="47"/>
    </row>
    <row r="848" spans="1:99" x14ac:dyDescent="0.25">
      <c r="A848" s="37">
        <f>--SUBTOTAL(3,$B$3:B847)</f>
        <v>198</v>
      </c>
      <c r="B848" s="2"/>
      <c r="C848" s="3"/>
      <c r="D848" s="55" t="s">
        <v>18</v>
      </c>
      <c r="E848" s="38" t="s">
        <v>16</v>
      </c>
      <c r="F848" s="38"/>
      <c r="G848" s="39" t="str">
        <f t="shared" si="41"/>
        <v>__</v>
      </c>
      <c r="H848" s="40" t="str">
        <f t="shared" si="42"/>
        <v>FALSE</v>
      </c>
      <c r="I848" s="41">
        <f t="shared" si="43"/>
        <v>0</v>
      </c>
      <c r="J848" s="4" t="s">
        <v>16</v>
      </c>
      <c r="K848" s="43" t="str">
        <f>IF(VLOOKUP(J848,βοηθητικό!$J$2:$N$354,3,FALSE)="","",VLOOKUP(J848,βοηθητικό!$J$2:$N$354,3,FALSE))</f>
        <v>_</v>
      </c>
      <c r="L848" s="44"/>
      <c r="M848" s="5" t="s">
        <v>16</v>
      </c>
      <c r="N848" s="46" t="str">
        <f>IF(VLOOKUP(M848,βοηθητικό!$J$2:$N$354,3,FALSE)="","",VLOOKUP(M848,βοηθητικό!$J$2:$N$354,3,FALSE))</f>
        <v>_</v>
      </c>
      <c r="O848" s="47"/>
      <c r="P848" s="4" t="s">
        <v>16</v>
      </c>
      <c r="Q848" s="43" t="str">
        <f>IF(VLOOKUP(P848,βοηθητικό!$J$2:$N$354,3,FALSE)="","",VLOOKUP(P848,βοηθητικό!$J$2:$N$354,3,FALSE))</f>
        <v>_</v>
      </c>
      <c r="R848" s="44"/>
      <c r="S848" s="5" t="s">
        <v>16</v>
      </c>
      <c r="T848" s="46" t="str">
        <f>IF(VLOOKUP(S848,βοηθητικό!$J$2:$N$354,3,FALSE)="","",VLOOKUP(S848,βοηθητικό!$J$2:$N$354,3,FALSE))</f>
        <v>_</v>
      </c>
      <c r="U848" s="47"/>
      <c r="V848" s="4" t="s">
        <v>16</v>
      </c>
      <c r="W848" s="43" t="str">
        <f>IF(VLOOKUP(V848,βοηθητικό!$J$2:$N$354,3,FALSE)="","",VLOOKUP(V848,βοηθητικό!$J$2:$N$354,3,FALSE))</f>
        <v>_</v>
      </c>
      <c r="X848" s="44"/>
      <c r="Y848" s="5" t="s">
        <v>16</v>
      </c>
      <c r="Z848" s="46" t="str">
        <f>IF(VLOOKUP(Y848,βοηθητικό!$J$2:$N$354,3,FALSE)="","",VLOOKUP(Y848,βοηθητικό!$J$2:$N$354,3,FALSE))</f>
        <v>_</v>
      </c>
      <c r="AA848" s="47"/>
      <c r="AB848" s="4" t="s">
        <v>16</v>
      </c>
      <c r="AC848" s="43" t="str">
        <f>IF(VLOOKUP(AB848,βοηθητικό!$J$2:$N$354,3,FALSE)="","",VLOOKUP(AB848,βοηθητικό!$J$2:$N$354,3,FALSE))</f>
        <v>_</v>
      </c>
      <c r="AD848" s="44"/>
      <c r="AE848" s="5" t="s">
        <v>16</v>
      </c>
      <c r="AF848" s="46" t="str">
        <f>IF(VLOOKUP(AE848,βοηθητικό!$J$2:$N$354,3,FALSE)="","",VLOOKUP(AE848,βοηθητικό!$J$2:$N$354,3,FALSE))</f>
        <v>_</v>
      </c>
      <c r="AG848" s="47"/>
      <c r="AH848" s="4" t="s">
        <v>16</v>
      </c>
      <c r="AI848" s="43" t="str">
        <f>IF(VLOOKUP(AH848,βοηθητικό!$J$2:$N$354,3,FALSE)="","",VLOOKUP(AH848,βοηθητικό!$J$2:$N$354,3,FALSE))</f>
        <v>_</v>
      </c>
      <c r="AJ848" s="44"/>
      <c r="AK848" s="5" t="s">
        <v>16</v>
      </c>
      <c r="AL848" s="46" t="str">
        <f>IF(VLOOKUP(AK848,βοηθητικό!$J$2:$N$354,3,FALSE)="","",VLOOKUP(AK848,βοηθητικό!$J$2:$N$354,3,FALSE))</f>
        <v>_</v>
      </c>
      <c r="AM848" s="47"/>
      <c r="AN848" s="4" t="s">
        <v>16</v>
      </c>
      <c r="AO848" s="43" t="str">
        <f>IF(VLOOKUP(AN848,βοηθητικό!$J$2:$N$354,3,FALSE)="","",VLOOKUP(AN848,βοηθητικό!$J$2:$N$354,3,FALSE))</f>
        <v>_</v>
      </c>
      <c r="AP848" s="44"/>
      <c r="AQ848" s="5" t="s">
        <v>16</v>
      </c>
      <c r="AR848" s="46" t="str">
        <f>IF(VLOOKUP(AQ848,βοηθητικό!$J$2:$N$354,3,FALSE)="","",VLOOKUP(AQ848,βοηθητικό!$J$2:$N$354,3,FALSE))</f>
        <v>_</v>
      </c>
      <c r="AS848" s="47"/>
      <c r="AT848" s="4" t="s">
        <v>16</v>
      </c>
      <c r="AU848" s="43" t="str">
        <f>IF(VLOOKUP(AT848,βοηθητικό!$J$2:$N$354,3,FALSE)="","",VLOOKUP(AT848,βοηθητικό!$J$2:$N$354,3,FALSE))</f>
        <v>_</v>
      </c>
      <c r="AV848" s="44"/>
      <c r="AW848" s="5" t="s">
        <v>16</v>
      </c>
      <c r="AX848" s="46" t="str">
        <f>IF(VLOOKUP(AW848,βοηθητικό!$J$2:$N$354,3,FALSE)="","",VLOOKUP(AW848,βοηθητικό!$J$2:$N$354,3,FALSE))</f>
        <v>_</v>
      </c>
      <c r="AY848" s="47"/>
      <c r="AZ848" s="4" t="s">
        <v>16</v>
      </c>
      <c r="BA848" s="43" t="str">
        <f>IF(VLOOKUP(AZ848,βοηθητικό!$J$2:$N$354,3,FALSE)="","",VLOOKUP(AZ848,βοηθητικό!$J$2:$N$354,3,FALSE))</f>
        <v>_</v>
      </c>
      <c r="BB848" s="44"/>
      <c r="BC848" s="45" t="s">
        <v>16</v>
      </c>
      <c r="BD848" s="46" t="str">
        <f>IF(VLOOKUP(BC848,βοηθητικό!$J$2:$N$354,3,FALSE)="","",VLOOKUP(BC848,βοηθητικό!$J$2:$N$354,3,FALSE))</f>
        <v>_</v>
      </c>
      <c r="BE848" s="47"/>
      <c r="BF848" s="42" t="s">
        <v>16</v>
      </c>
      <c r="BG848" s="43" t="str">
        <f>IF(VLOOKUP(BF848,βοηθητικό!$J$2:$N$354,3,FALSE)="","",VLOOKUP(BF848,βοηθητικό!$J$2:$N$354,3,FALSE))</f>
        <v>_</v>
      </c>
      <c r="BH848" s="44"/>
      <c r="BI848" s="45" t="s">
        <v>16</v>
      </c>
      <c r="BJ848" s="46" t="str">
        <f>IF(VLOOKUP(BI848,βοηθητικό!$J$2:$N$354,3,FALSE)="","",VLOOKUP(BI848,βοηθητικό!$J$2:$N$354,3,FALSE))</f>
        <v>_</v>
      </c>
      <c r="BK848" s="47"/>
      <c r="BL848" s="42" t="s">
        <v>16</v>
      </c>
      <c r="BM848" s="43" t="str">
        <f>IF(VLOOKUP(BL848,βοηθητικό!$J$2:$N$354,3,FALSE)="","",VLOOKUP(BL848,βοηθητικό!$J$2:$N$354,3,FALSE))</f>
        <v>_</v>
      </c>
      <c r="BN848" s="44"/>
      <c r="BO848" s="45" t="s">
        <v>16</v>
      </c>
      <c r="BP848" s="46" t="str">
        <f>IF(VLOOKUP(BO848,βοηθητικό!$J$2:$N$354,3,FALSE)="","",VLOOKUP(BO848,βοηθητικό!$J$2:$N$354,3,FALSE))</f>
        <v>_</v>
      </c>
      <c r="BQ848" s="47"/>
      <c r="BR848" s="42" t="s">
        <v>16</v>
      </c>
      <c r="BS848" s="43" t="str">
        <f>IF(VLOOKUP(BR848,βοηθητικό!$J$2:$N$354,3,FALSE)="","",VLOOKUP(BR848,βοηθητικό!$J$2:$N$354,3,FALSE))</f>
        <v>_</v>
      </c>
      <c r="BT848" s="44"/>
      <c r="BU848" s="45" t="s">
        <v>16</v>
      </c>
      <c r="BV848" s="46" t="str">
        <f>IF(VLOOKUP(BU848,βοηθητικό!$J$2:$N$354,3,FALSE)="","",VLOOKUP(BU848,βοηθητικό!$J$2:$N$354,3,FALSE))</f>
        <v>_</v>
      </c>
      <c r="BW848" s="47"/>
      <c r="BX848" s="42" t="s">
        <v>16</v>
      </c>
      <c r="BY848" s="43" t="str">
        <f>IF(VLOOKUP(BX848,βοηθητικό!$J$2:$N$354,3,FALSE)="","",VLOOKUP(BX848,βοηθητικό!$J$2:$N$354,3,FALSE))</f>
        <v>_</v>
      </c>
      <c r="BZ848" s="44"/>
      <c r="CA848" s="45" t="s">
        <v>16</v>
      </c>
      <c r="CB848" s="46" t="str">
        <f>IF(VLOOKUP(CA848,βοηθητικό!$J$2:$N$354,3,FALSE)="","",VLOOKUP(CA848,βοηθητικό!$J$2:$N$354,3,FALSE))</f>
        <v>_</v>
      </c>
      <c r="CC848" s="47"/>
      <c r="CD848" s="42" t="s">
        <v>16</v>
      </c>
      <c r="CE848" s="43" t="str">
        <f>IF(VLOOKUP(CD848,βοηθητικό!$J$2:$N$354,3,FALSE)="","",VLOOKUP(CD848,βοηθητικό!$J$2:$N$354,3,FALSE))</f>
        <v>_</v>
      </c>
      <c r="CF848" s="44"/>
      <c r="CG848" s="45" t="s">
        <v>16</v>
      </c>
      <c r="CH848" s="46" t="str">
        <f>IF(VLOOKUP(CG848,βοηθητικό!$J$2:$N$354,3,FALSE)="","",VLOOKUP(CG848,βοηθητικό!$J$2:$N$354,3,FALSE))</f>
        <v>_</v>
      </c>
      <c r="CI848" s="47"/>
      <c r="CJ848" s="42" t="s">
        <v>16</v>
      </c>
      <c r="CK848" s="43" t="str">
        <f>IF(VLOOKUP(CJ848,βοηθητικό!$J$2:$N$354,3,FALSE)="","",VLOOKUP(CJ848,βοηθητικό!$J$2:$N$354,3,FALSE))</f>
        <v>_</v>
      </c>
      <c r="CL848" s="44"/>
      <c r="CM848" s="45" t="s">
        <v>16</v>
      </c>
      <c r="CN848" s="46" t="str">
        <f>IF(VLOOKUP(CM848,βοηθητικό!$J$2:$N$354,3,FALSE)="","",VLOOKUP(CM848,βοηθητικό!$J$2:$N$354,3,FALSE))</f>
        <v>_</v>
      </c>
      <c r="CO848" s="47"/>
      <c r="CP848" s="42" t="s">
        <v>16</v>
      </c>
      <c r="CQ848" s="43" t="str">
        <f>IF(VLOOKUP(CP848,βοηθητικό!$J$2:$N$354,3,FALSE)="","",VLOOKUP(CP848,βοηθητικό!$J$2:$N$354,3,FALSE))</f>
        <v>_</v>
      </c>
      <c r="CR848" s="44"/>
      <c r="CS848" s="45" t="s">
        <v>16</v>
      </c>
      <c r="CT848" s="46" t="str">
        <f>IF(VLOOKUP(CS848,βοηθητικό!$J$2:$N$354,3,FALSE)="","",VLOOKUP(CS848,βοηθητικό!$J$2:$N$354,3,FALSE))</f>
        <v>_</v>
      </c>
      <c r="CU848" s="47"/>
    </row>
    <row r="849" spans="1:99" x14ac:dyDescent="0.25">
      <c r="A849" s="37">
        <f>--SUBTOTAL(3,$B$3:B848)</f>
        <v>198</v>
      </c>
      <c r="B849" s="2"/>
      <c r="C849" s="3"/>
      <c r="D849" s="55" t="s">
        <v>18</v>
      </c>
      <c r="E849" s="38" t="s">
        <v>16</v>
      </c>
      <c r="F849" s="38"/>
      <c r="G849" s="39" t="str">
        <f t="shared" si="41"/>
        <v>__</v>
      </c>
      <c r="H849" s="40" t="str">
        <f t="shared" si="42"/>
        <v>FALSE</v>
      </c>
      <c r="I849" s="41">
        <f t="shared" si="43"/>
        <v>0</v>
      </c>
      <c r="J849" s="4" t="s">
        <v>16</v>
      </c>
      <c r="K849" s="43" t="str">
        <f>IF(VLOOKUP(J849,βοηθητικό!$J$2:$N$354,3,FALSE)="","",VLOOKUP(J849,βοηθητικό!$J$2:$N$354,3,FALSE))</f>
        <v>_</v>
      </c>
      <c r="L849" s="44"/>
      <c r="M849" s="5" t="s">
        <v>16</v>
      </c>
      <c r="N849" s="46" t="str">
        <f>IF(VLOOKUP(M849,βοηθητικό!$J$2:$N$354,3,FALSE)="","",VLOOKUP(M849,βοηθητικό!$J$2:$N$354,3,FALSE))</f>
        <v>_</v>
      </c>
      <c r="O849" s="47"/>
      <c r="P849" s="4" t="s">
        <v>16</v>
      </c>
      <c r="Q849" s="43" t="str">
        <f>IF(VLOOKUP(P849,βοηθητικό!$J$2:$N$354,3,FALSE)="","",VLOOKUP(P849,βοηθητικό!$J$2:$N$354,3,FALSE))</f>
        <v>_</v>
      </c>
      <c r="R849" s="44"/>
      <c r="S849" s="5" t="s">
        <v>16</v>
      </c>
      <c r="T849" s="46" t="str">
        <f>IF(VLOOKUP(S849,βοηθητικό!$J$2:$N$354,3,FALSE)="","",VLOOKUP(S849,βοηθητικό!$J$2:$N$354,3,FALSE))</f>
        <v>_</v>
      </c>
      <c r="U849" s="47"/>
      <c r="V849" s="4" t="s">
        <v>16</v>
      </c>
      <c r="W849" s="43" t="str">
        <f>IF(VLOOKUP(V849,βοηθητικό!$J$2:$N$354,3,FALSE)="","",VLOOKUP(V849,βοηθητικό!$J$2:$N$354,3,FALSE))</f>
        <v>_</v>
      </c>
      <c r="X849" s="44"/>
      <c r="Y849" s="5" t="s">
        <v>16</v>
      </c>
      <c r="Z849" s="46" t="str">
        <f>IF(VLOOKUP(Y849,βοηθητικό!$J$2:$N$354,3,FALSE)="","",VLOOKUP(Y849,βοηθητικό!$J$2:$N$354,3,FALSE))</f>
        <v>_</v>
      </c>
      <c r="AA849" s="47"/>
      <c r="AB849" s="4" t="s">
        <v>16</v>
      </c>
      <c r="AC849" s="43" t="str">
        <f>IF(VLOOKUP(AB849,βοηθητικό!$J$2:$N$354,3,FALSE)="","",VLOOKUP(AB849,βοηθητικό!$J$2:$N$354,3,FALSE))</f>
        <v>_</v>
      </c>
      <c r="AD849" s="44"/>
      <c r="AE849" s="5" t="s">
        <v>16</v>
      </c>
      <c r="AF849" s="46" t="str">
        <f>IF(VLOOKUP(AE849,βοηθητικό!$J$2:$N$354,3,FALSE)="","",VLOOKUP(AE849,βοηθητικό!$J$2:$N$354,3,FALSE))</f>
        <v>_</v>
      </c>
      <c r="AG849" s="47"/>
      <c r="AH849" s="4" t="s">
        <v>16</v>
      </c>
      <c r="AI849" s="43" t="str">
        <f>IF(VLOOKUP(AH849,βοηθητικό!$J$2:$N$354,3,FALSE)="","",VLOOKUP(AH849,βοηθητικό!$J$2:$N$354,3,FALSE))</f>
        <v>_</v>
      </c>
      <c r="AJ849" s="44"/>
      <c r="AK849" s="5" t="s">
        <v>16</v>
      </c>
      <c r="AL849" s="46" t="str">
        <f>IF(VLOOKUP(AK849,βοηθητικό!$J$2:$N$354,3,FALSE)="","",VLOOKUP(AK849,βοηθητικό!$J$2:$N$354,3,FALSE))</f>
        <v>_</v>
      </c>
      <c r="AM849" s="47"/>
      <c r="AN849" s="4" t="s">
        <v>16</v>
      </c>
      <c r="AO849" s="43" t="str">
        <f>IF(VLOOKUP(AN849,βοηθητικό!$J$2:$N$354,3,FALSE)="","",VLOOKUP(AN849,βοηθητικό!$J$2:$N$354,3,FALSE))</f>
        <v>_</v>
      </c>
      <c r="AP849" s="44"/>
      <c r="AQ849" s="5" t="s">
        <v>16</v>
      </c>
      <c r="AR849" s="46" t="str">
        <f>IF(VLOOKUP(AQ849,βοηθητικό!$J$2:$N$354,3,FALSE)="","",VLOOKUP(AQ849,βοηθητικό!$J$2:$N$354,3,FALSE))</f>
        <v>_</v>
      </c>
      <c r="AS849" s="47"/>
      <c r="AT849" s="4" t="s">
        <v>16</v>
      </c>
      <c r="AU849" s="43" t="str">
        <f>IF(VLOOKUP(AT849,βοηθητικό!$J$2:$N$354,3,FALSE)="","",VLOOKUP(AT849,βοηθητικό!$J$2:$N$354,3,FALSE))</f>
        <v>_</v>
      </c>
      <c r="AV849" s="44"/>
      <c r="AW849" s="5" t="s">
        <v>16</v>
      </c>
      <c r="AX849" s="46" t="str">
        <f>IF(VLOOKUP(AW849,βοηθητικό!$J$2:$N$354,3,FALSE)="","",VLOOKUP(AW849,βοηθητικό!$J$2:$N$354,3,FALSE))</f>
        <v>_</v>
      </c>
      <c r="AY849" s="47"/>
      <c r="AZ849" s="4" t="s">
        <v>16</v>
      </c>
      <c r="BA849" s="43" t="str">
        <f>IF(VLOOKUP(AZ849,βοηθητικό!$J$2:$N$354,3,FALSE)="","",VLOOKUP(AZ849,βοηθητικό!$J$2:$N$354,3,FALSE))</f>
        <v>_</v>
      </c>
      <c r="BB849" s="44"/>
      <c r="BC849" s="45" t="s">
        <v>16</v>
      </c>
      <c r="BD849" s="46" t="str">
        <f>IF(VLOOKUP(BC849,βοηθητικό!$J$2:$N$354,3,FALSE)="","",VLOOKUP(BC849,βοηθητικό!$J$2:$N$354,3,FALSE))</f>
        <v>_</v>
      </c>
      <c r="BE849" s="47"/>
      <c r="BF849" s="42" t="s">
        <v>16</v>
      </c>
      <c r="BG849" s="43" t="str">
        <f>IF(VLOOKUP(BF849,βοηθητικό!$J$2:$N$354,3,FALSE)="","",VLOOKUP(BF849,βοηθητικό!$J$2:$N$354,3,FALSE))</f>
        <v>_</v>
      </c>
      <c r="BH849" s="44"/>
      <c r="BI849" s="45" t="s">
        <v>16</v>
      </c>
      <c r="BJ849" s="46" t="str">
        <f>IF(VLOOKUP(BI849,βοηθητικό!$J$2:$N$354,3,FALSE)="","",VLOOKUP(BI849,βοηθητικό!$J$2:$N$354,3,FALSE))</f>
        <v>_</v>
      </c>
      <c r="BK849" s="47"/>
      <c r="BL849" s="42" t="s">
        <v>16</v>
      </c>
      <c r="BM849" s="43" t="str">
        <f>IF(VLOOKUP(BL849,βοηθητικό!$J$2:$N$354,3,FALSE)="","",VLOOKUP(BL849,βοηθητικό!$J$2:$N$354,3,FALSE))</f>
        <v>_</v>
      </c>
      <c r="BN849" s="44"/>
      <c r="BO849" s="45" t="s">
        <v>16</v>
      </c>
      <c r="BP849" s="46" t="str">
        <f>IF(VLOOKUP(BO849,βοηθητικό!$J$2:$N$354,3,FALSE)="","",VLOOKUP(BO849,βοηθητικό!$J$2:$N$354,3,FALSE))</f>
        <v>_</v>
      </c>
      <c r="BQ849" s="47"/>
      <c r="BR849" s="42" t="s">
        <v>16</v>
      </c>
      <c r="BS849" s="43" t="str">
        <f>IF(VLOOKUP(BR849,βοηθητικό!$J$2:$N$354,3,FALSE)="","",VLOOKUP(BR849,βοηθητικό!$J$2:$N$354,3,FALSE))</f>
        <v>_</v>
      </c>
      <c r="BT849" s="44"/>
      <c r="BU849" s="45" t="s">
        <v>16</v>
      </c>
      <c r="BV849" s="46" t="str">
        <f>IF(VLOOKUP(BU849,βοηθητικό!$J$2:$N$354,3,FALSE)="","",VLOOKUP(BU849,βοηθητικό!$J$2:$N$354,3,FALSE))</f>
        <v>_</v>
      </c>
      <c r="BW849" s="47"/>
      <c r="BX849" s="42" t="s">
        <v>16</v>
      </c>
      <c r="BY849" s="43" t="str">
        <f>IF(VLOOKUP(BX849,βοηθητικό!$J$2:$N$354,3,FALSE)="","",VLOOKUP(BX849,βοηθητικό!$J$2:$N$354,3,FALSE))</f>
        <v>_</v>
      </c>
      <c r="BZ849" s="44"/>
      <c r="CA849" s="45" t="s">
        <v>16</v>
      </c>
      <c r="CB849" s="46" t="str">
        <f>IF(VLOOKUP(CA849,βοηθητικό!$J$2:$N$354,3,FALSE)="","",VLOOKUP(CA849,βοηθητικό!$J$2:$N$354,3,FALSE))</f>
        <v>_</v>
      </c>
      <c r="CC849" s="47"/>
      <c r="CD849" s="42" t="s">
        <v>16</v>
      </c>
      <c r="CE849" s="43" t="str">
        <f>IF(VLOOKUP(CD849,βοηθητικό!$J$2:$N$354,3,FALSE)="","",VLOOKUP(CD849,βοηθητικό!$J$2:$N$354,3,FALSE))</f>
        <v>_</v>
      </c>
      <c r="CF849" s="44"/>
      <c r="CG849" s="45" t="s">
        <v>16</v>
      </c>
      <c r="CH849" s="46" t="str">
        <f>IF(VLOOKUP(CG849,βοηθητικό!$J$2:$N$354,3,FALSE)="","",VLOOKUP(CG849,βοηθητικό!$J$2:$N$354,3,FALSE))</f>
        <v>_</v>
      </c>
      <c r="CI849" s="47"/>
      <c r="CJ849" s="42" t="s">
        <v>16</v>
      </c>
      <c r="CK849" s="43" t="str">
        <f>IF(VLOOKUP(CJ849,βοηθητικό!$J$2:$N$354,3,FALSE)="","",VLOOKUP(CJ849,βοηθητικό!$J$2:$N$354,3,FALSE))</f>
        <v>_</v>
      </c>
      <c r="CL849" s="44"/>
      <c r="CM849" s="45" t="s">
        <v>16</v>
      </c>
      <c r="CN849" s="46" t="str">
        <f>IF(VLOOKUP(CM849,βοηθητικό!$J$2:$N$354,3,FALSE)="","",VLOOKUP(CM849,βοηθητικό!$J$2:$N$354,3,FALSE))</f>
        <v>_</v>
      </c>
      <c r="CO849" s="47"/>
      <c r="CP849" s="42" t="s">
        <v>16</v>
      </c>
      <c r="CQ849" s="43" t="str">
        <f>IF(VLOOKUP(CP849,βοηθητικό!$J$2:$N$354,3,FALSE)="","",VLOOKUP(CP849,βοηθητικό!$J$2:$N$354,3,FALSE))</f>
        <v>_</v>
      </c>
      <c r="CR849" s="44"/>
      <c r="CS849" s="45" t="s">
        <v>16</v>
      </c>
      <c r="CT849" s="46" t="str">
        <f>IF(VLOOKUP(CS849,βοηθητικό!$J$2:$N$354,3,FALSE)="","",VLOOKUP(CS849,βοηθητικό!$J$2:$N$354,3,FALSE))</f>
        <v>_</v>
      </c>
      <c r="CU849" s="47"/>
    </row>
    <row r="850" spans="1:99" x14ac:dyDescent="0.25">
      <c r="A850" s="37">
        <f>--SUBTOTAL(3,$B$3:B849)</f>
        <v>198</v>
      </c>
      <c r="B850" s="2"/>
      <c r="C850" s="3"/>
      <c r="D850" s="55" t="s">
        <v>18</v>
      </c>
      <c r="E850" s="38" t="s">
        <v>16</v>
      </c>
      <c r="F850" s="38"/>
      <c r="G850" s="39" t="str">
        <f t="shared" si="41"/>
        <v>__</v>
      </c>
      <c r="H850" s="40" t="str">
        <f t="shared" si="42"/>
        <v>FALSE</v>
      </c>
      <c r="I850" s="41">
        <f t="shared" si="43"/>
        <v>0</v>
      </c>
      <c r="J850" s="4" t="s">
        <v>16</v>
      </c>
      <c r="K850" s="43" t="str">
        <f>IF(VLOOKUP(J850,βοηθητικό!$J$2:$N$354,3,FALSE)="","",VLOOKUP(J850,βοηθητικό!$J$2:$N$354,3,FALSE))</f>
        <v>_</v>
      </c>
      <c r="L850" s="44"/>
      <c r="M850" s="5" t="s">
        <v>16</v>
      </c>
      <c r="N850" s="46" t="str">
        <f>IF(VLOOKUP(M850,βοηθητικό!$J$2:$N$354,3,FALSE)="","",VLOOKUP(M850,βοηθητικό!$J$2:$N$354,3,FALSE))</f>
        <v>_</v>
      </c>
      <c r="O850" s="47"/>
      <c r="P850" s="4" t="s">
        <v>16</v>
      </c>
      <c r="Q850" s="43" t="str">
        <f>IF(VLOOKUP(P850,βοηθητικό!$J$2:$N$354,3,FALSE)="","",VLOOKUP(P850,βοηθητικό!$J$2:$N$354,3,FALSE))</f>
        <v>_</v>
      </c>
      <c r="R850" s="44"/>
      <c r="S850" s="5" t="s">
        <v>16</v>
      </c>
      <c r="T850" s="46" t="str">
        <f>IF(VLOOKUP(S850,βοηθητικό!$J$2:$N$354,3,FALSE)="","",VLOOKUP(S850,βοηθητικό!$J$2:$N$354,3,FALSE))</f>
        <v>_</v>
      </c>
      <c r="U850" s="47"/>
      <c r="V850" s="4" t="s">
        <v>16</v>
      </c>
      <c r="W850" s="43" t="str">
        <f>IF(VLOOKUP(V850,βοηθητικό!$J$2:$N$354,3,FALSE)="","",VLOOKUP(V850,βοηθητικό!$J$2:$N$354,3,FALSE))</f>
        <v>_</v>
      </c>
      <c r="X850" s="44"/>
      <c r="Y850" s="5" t="s">
        <v>16</v>
      </c>
      <c r="Z850" s="46" t="str">
        <f>IF(VLOOKUP(Y850,βοηθητικό!$J$2:$N$354,3,FALSE)="","",VLOOKUP(Y850,βοηθητικό!$J$2:$N$354,3,FALSE))</f>
        <v>_</v>
      </c>
      <c r="AA850" s="47"/>
      <c r="AB850" s="4" t="s">
        <v>16</v>
      </c>
      <c r="AC850" s="43" t="str">
        <f>IF(VLOOKUP(AB850,βοηθητικό!$J$2:$N$354,3,FALSE)="","",VLOOKUP(AB850,βοηθητικό!$J$2:$N$354,3,FALSE))</f>
        <v>_</v>
      </c>
      <c r="AD850" s="44"/>
      <c r="AE850" s="5" t="s">
        <v>16</v>
      </c>
      <c r="AF850" s="46" t="str">
        <f>IF(VLOOKUP(AE850,βοηθητικό!$J$2:$N$354,3,FALSE)="","",VLOOKUP(AE850,βοηθητικό!$J$2:$N$354,3,FALSE))</f>
        <v>_</v>
      </c>
      <c r="AG850" s="47"/>
      <c r="AH850" s="4" t="s">
        <v>16</v>
      </c>
      <c r="AI850" s="43" t="str">
        <f>IF(VLOOKUP(AH850,βοηθητικό!$J$2:$N$354,3,FALSE)="","",VLOOKUP(AH850,βοηθητικό!$J$2:$N$354,3,FALSE))</f>
        <v>_</v>
      </c>
      <c r="AJ850" s="44"/>
      <c r="AK850" s="5" t="s">
        <v>16</v>
      </c>
      <c r="AL850" s="46" t="str">
        <f>IF(VLOOKUP(AK850,βοηθητικό!$J$2:$N$354,3,FALSE)="","",VLOOKUP(AK850,βοηθητικό!$J$2:$N$354,3,FALSE))</f>
        <v>_</v>
      </c>
      <c r="AM850" s="47"/>
      <c r="AN850" s="4" t="s">
        <v>16</v>
      </c>
      <c r="AO850" s="43" t="str">
        <f>IF(VLOOKUP(AN850,βοηθητικό!$J$2:$N$354,3,FALSE)="","",VLOOKUP(AN850,βοηθητικό!$J$2:$N$354,3,FALSE))</f>
        <v>_</v>
      </c>
      <c r="AP850" s="44"/>
      <c r="AQ850" s="5" t="s">
        <v>16</v>
      </c>
      <c r="AR850" s="46" t="str">
        <f>IF(VLOOKUP(AQ850,βοηθητικό!$J$2:$N$354,3,FALSE)="","",VLOOKUP(AQ850,βοηθητικό!$J$2:$N$354,3,FALSE))</f>
        <v>_</v>
      </c>
      <c r="AS850" s="47"/>
      <c r="AT850" s="4" t="s">
        <v>16</v>
      </c>
      <c r="AU850" s="43" t="str">
        <f>IF(VLOOKUP(AT850,βοηθητικό!$J$2:$N$354,3,FALSE)="","",VLOOKUP(AT850,βοηθητικό!$J$2:$N$354,3,FALSE))</f>
        <v>_</v>
      </c>
      <c r="AV850" s="44"/>
      <c r="AW850" s="5" t="s">
        <v>16</v>
      </c>
      <c r="AX850" s="46" t="str">
        <f>IF(VLOOKUP(AW850,βοηθητικό!$J$2:$N$354,3,FALSE)="","",VLOOKUP(AW850,βοηθητικό!$J$2:$N$354,3,FALSE))</f>
        <v>_</v>
      </c>
      <c r="AY850" s="47"/>
      <c r="AZ850" s="4" t="s">
        <v>16</v>
      </c>
      <c r="BA850" s="43" t="str">
        <f>IF(VLOOKUP(AZ850,βοηθητικό!$J$2:$N$354,3,FALSE)="","",VLOOKUP(AZ850,βοηθητικό!$J$2:$N$354,3,FALSE))</f>
        <v>_</v>
      </c>
      <c r="BB850" s="44"/>
      <c r="BC850" s="45" t="s">
        <v>16</v>
      </c>
      <c r="BD850" s="46" t="str">
        <f>IF(VLOOKUP(BC850,βοηθητικό!$J$2:$N$354,3,FALSE)="","",VLOOKUP(BC850,βοηθητικό!$J$2:$N$354,3,FALSE))</f>
        <v>_</v>
      </c>
      <c r="BE850" s="47"/>
      <c r="BF850" s="42" t="s">
        <v>16</v>
      </c>
      <c r="BG850" s="43" t="str">
        <f>IF(VLOOKUP(BF850,βοηθητικό!$J$2:$N$354,3,FALSE)="","",VLOOKUP(BF850,βοηθητικό!$J$2:$N$354,3,FALSE))</f>
        <v>_</v>
      </c>
      <c r="BH850" s="44"/>
      <c r="BI850" s="45" t="s">
        <v>16</v>
      </c>
      <c r="BJ850" s="46" t="str">
        <f>IF(VLOOKUP(BI850,βοηθητικό!$J$2:$N$354,3,FALSE)="","",VLOOKUP(BI850,βοηθητικό!$J$2:$N$354,3,FALSE))</f>
        <v>_</v>
      </c>
      <c r="BK850" s="47"/>
      <c r="BL850" s="42" t="s">
        <v>16</v>
      </c>
      <c r="BM850" s="43" t="str">
        <f>IF(VLOOKUP(BL850,βοηθητικό!$J$2:$N$354,3,FALSE)="","",VLOOKUP(BL850,βοηθητικό!$J$2:$N$354,3,FALSE))</f>
        <v>_</v>
      </c>
      <c r="BN850" s="44"/>
      <c r="BO850" s="45" t="s">
        <v>16</v>
      </c>
      <c r="BP850" s="46" t="str">
        <f>IF(VLOOKUP(BO850,βοηθητικό!$J$2:$N$354,3,FALSE)="","",VLOOKUP(BO850,βοηθητικό!$J$2:$N$354,3,FALSE))</f>
        <v>_</v>
      </c>
      <c r="BQ850" s="47"/>
      <c r="BR850" s="42" t="s">
        <v>16</v>
      </c>
      <c r="BS850" s="43" t="str">
        <f>IF(VLOOKUP(BR850,βοηθητικό!$J$2:$N$354,3,FALSE)="","",VLOOKUP(BR850,βοηθητικό!$J$2:$N$354,3,FALSE))</f>
        <v>_</v>
      </c>
      <c r="BT850" s="44"/>
      <c r="BU850" s="45" t="s">
        <v>16</v>
      </c>
      <c r="BV850" s="46" t="str">
        <f>IF(VLOOKUP(BU850,βοηθητικό!$J$2:$N$354,3,FALSE)="","",VLOOKUP(BU850,βοηθητικό!$J$2:$N$354,3,FALSE))</f>
        <v>_</v>
      </c>
      <c r="BW850" s="47"/>
      <c r="BX850" s="42" t="s">
        <v>16</v>
      </c>
      <c r="BY850" s="43" t="str">
        <f>IF(VLOOKUP(BX850,βοηθητικό!$J$2:$N$354,3,FALSE)="","",VLOOKUP(BX850,βοηθητικό!$J$2:$N$354,3,FALSE))</f>
        <v>_</v>
      </c>
      <c r="BZ850" s="44"/>
      <c r="CA850" s="45" t="s">
        <v>16</v>
      </c>
      <c r="CB850" s="46" t="str">
        <f>IF(VLOOKUP(CA850,βοηθητικό!$J$2:$N$354,3,FALSE)="","",VLOOKUP(CA850,βοηθητικό!$J$2:$N$354,3,FALSE))</f>
        <v>_</v>
      </c>
      <c r="CC850" s="47"/>
      <c r="CD850" s="42" t="s">
        <v>16</v>
      </c>
      <c r="CE850" s="43" t="str">
        <f>IF(VLOOKUP(CD850,βοηθητικό!$J$2:$N$354,3,FALSE)="","",VLOOKUP(CD850,βοηθητικό!$J$2:$N$354,3,FALSE))</f>
        <v>_</v>
      </c>
      <c r="CF850" s="44"/>
      <c r="CG850" s="45" t="s">
        <v>16</v>
      </c>
      <c r="CH850" s="46" t="str">
        <f>IF(VLOOKUP(CG850,βοηθητικό!$J$2:$N$354,3,FALSE)="","",VLOOKUP(CG850,βοηθητικό!$J$2:$N$354,3,FALSE))</f>
        <v>_</v>
      </c>
      <c r="CI850" s="47"/>
      <c r="CJ850" s="42" t="s">
        <v>16</v>
      </c>
      <c r="CK850" s="43" t="str">
        <f>IF(VLOOKUP(CJ850,βοηθητικό!$J$2:$N$354,3,FALSE)="","",VLOOKUP(CJ850,βοηθητικό!$J$2:$N$354,3,FALSE))</f>
        <v>_</v>
      </c>
      <c r="CL850" s="44"/>
      <c r="CM850" s="45" t="s">
        <v>16</v>
      </c>
      <c r="CN850" s="46" t="str">
        <f>IF(VLOOKUP(CM850,βοηθητικό!$J$2:$N$354,3,FALSE)="","",VLOOKUP(CM850,βοηθητικό!$J$2:$N$354,3,FALSE))</f>
        <v>_</v>
      </c>
      <c r="CO850" s="47"/>
      <c r="CP850" s="42" t="s">
        <v>16</v>
      </c>
      <c r="CQ850" s="43" t="str">
        <f>IF(VLOOKUP(CP850,βοηθητικό!$J$2:$N$354,3,FALSE)="","",VLOOKUP(CP850,βοηθητικό!$J$2:$N$354,3,FALSE))</f>
        <v>_</v>
      </c>
      <c r="CR850" s="44"/>
      <c r="CS850" s="45" t="s">
        <v>16</v>
      </c>
      <c r="CT850" s="46" t="str">
        <f>IF(VLOOKUP(CS850,βοηθητικό!$J$2:$N$354,3,FALSE)="","",VLOOKUP(CS850,βοηθητικό!$J$2:$N$354,3,FALSE))</f>
        <v>_</v>
      </c>
      <c r="CU850" s="47"/>
    </row>
    <row r="851" spans="1:99" x14ac:dyDescent="0.25">
      <c r="A851" s="37">
        <f>--SUBTOTAL(3,$B$3:B850)</f>
        <v>198</v>
      </c>
      <c r="B851" s="2"/>
      <c r="C851" s="3"/>
      <c r="D851" s="55" t="s">
        <v>18</v>
      </c>
      <c r="E851" s="38" t="s">
        <v>16</v>
      </c>
      <c r="F851" s="38"/>
      <c r="G851" s="39" t="str">
        <f t="shared" si="41"/>
        <v>__</v>
      </c>
      <c r="H851" s="40" t="str">
        <f t="shared" si="42"/>
        <v>FALSE</v>
      </c>
      <c r="I851" s="41">
        <f t="shared" si="43"/>
        <v>0</v>
      </c>
      <c r="J851" s="4" t="s">
        <v>16</v>
      </c>
      <c r="K851" s="43" t="str">
        <f>IF(VLOOKUP(J851,βοηθητικό!$J$2:$N$354,3,FALSE)="","",VLOOKUP(J851,βοηθητικό!$J$2:$N$354,3,FALSE))</f>
        <v>_</v>
      </c>
      <c r="L851" s="44"/>
      <c r="M851" s="5" t="s">
        <v>16</v>
      </c>
      <c r="N851" s="46" t="str">
        <f>IF(VLOOKUP(M851,βοηθητικό!$J$2:$N$354,3,FALSE)="","",VLOOKUP(M851,βοηθητικό!$J$2:$N$354,3,FALSE))</f>
        <v>_</v>
      </c>
      <c r="O851" s="47"/>
      <c r="P851" s="4" t="s">
        <v>16</v>
      </c>
      <c r="Q851" s="43" t="str">
        <f>IF(VLOOKUP(P851,βοηθητικό!$J$2:$N$354,3,FALSE)="","",VLOOKUP(P851,βοηθητικό!$J$2:$N$354,3,FALSE))</f>
        <v>_</v>
      </c>
      <c r="R851" s="44"/>
      <c r="S851" s="5" t="s">
        <v>16</v>
      </c>
      <c r="T851" s="46" t="str">
        <f>IF(VLOOKUP(S851,βοηθητικό!$J$2:$N$354,3,FALSE)="","",VLOOKUP(S851,βοηθητικό!$J$2:$N$354,3,FALSE))</f>
        <v>_</v>
      </c>
      <c r="U851" s="47"/>
      <c r="V851" s="4" t="s">
        <v>16</v>
      </c>
      <c r="W851" s="43" t="str">
        <f>IF(VLOOKUP(V851,βοηθητικό!$J$2:$N$354,3,FALSE)="","",VLOOKUP(V851,βοηθητικό!$J$2:$N$354,3,FALSE))</f>
        <v>_</v>
      </c>
      <c r="X851" s="44"/>
      <c r="Y851" s="5" t="s">
        <v>16</v>
      </c>
      <c r="Z851" s="46" t="str">
        <f>IF(VLOOKUP(Y851,βοηθητικό!$J$2:$N$354,3,FALSE)="","",VLOOKUP(Y851,βοηθητικό!$J$2:$N$354,3,FALSE))</f>
        <v>_</v>
      </c>
      <c r="AA851" s="47"/>
      <c r="AB851" s="4" t="s">
        <v>16</v>
      </c>
      <c r="AC851" s="43" t="str">
        <f>IF(VLOOKUP(AB851,βοηθητικό!$J$2:$N$354,3,FALSE)="","",VLOOKUP(AB851,βοηθητικό!$J$2:$N$354,3,FALSE))</f>
        <v>_</v>
      </c>
      <c r="AD851" s="44"/>
      <c r="AE851" s="5" t="s">
        <v>16</v>
      </c>
      <c r="AF851" s="46" t="str">
        <f>IF(VLOOKUP(AE851,βοηθητικό!$J$2:$N$354,3,FALSE)="","",VLOOKUP(AE851,βοηθητικό!$J$2:$N$354,3,FALSE))</f>
        <v>_</v>
      </c>
      <c r="AG851" s="47"/>
      <c r="AH851" s="4" t="s">
        <v>16</v>
      </c>
      <c r="AI851" s="43" t="str">
        <f>IF(VLOOKUP(AH851,βοηθητικό!$J$2:$N$354,3,FALSE)="","",VLOOKUP(AH851,βοηθητικό!$J$2:$N$354,3,FALSE))</f>
        <v>_</v>
      </c>
      <c r="AJ851" s="44"/>
      <c r="AK851" s="5" t="s">
        <v>16</v>
      </c>
      <c r="AL851" s="46" t="str">
        <f>IF(VLOOKUP(AK851,βοηθητικό!$J$2:$N$354,3,FALSE)="","",VLOOKUP(AK851,βοηθητικό!$J$2:$N$354,3,FALSE))</f>
        <v>_</v>
      </c>
      <c r="AM851" s="47"/>
      <c r="AN851" s="4" t="s">
        <v>16</v>
      </c>
      <c r="AO851" s="43" t="str">
        <f>IF(VLOOKUP(AN851,βοηθητικό!$J$2:$N$354,3,FALSE)="","",VLOOKUP(AN851,βοηθητικό!$J$2:$N$354,3,FALSE))</f>
        <v>_</v>
      </c>
      <c r="AP851" s="44"/>
      <c r="AQ851" s="5" t="s">
        <v>16</v>
      </c>
      <c r="AR851" s="46" t="str">
        <f>IF(VLOOKUP(AQ851,βοηθητικό!$J$2:$N$354,3,FALSE)="","",VLOOKUP(AQ851,βοηθητικό!$J$2:$N$354,3,FALSE))</f>
        <v>_</v>
      </c>
      <c r="AS851" s="47"/>
      <c r="AT851" s="4" t="s">
        <v>16</v>
      </c>
      <c r="AU851" s="43" t="str">
        <f>IF(VLOOKUP(AT851,βοηθητικό!$J$2:$N$354,3,FALSE)="","",VLOOKUP(AT851,βοηθητικό!$J$2:$N$354,3,FALSE))</f>
        <v>_</v>
      </c>
      <c r="AV851" s="44"/>
      <c r="AW851" s="5" t="s">
        <v>16</v>
      </c>
      <c r="AX851" s="46" t="str">
        <f>IF(VLOOKUP(AW851,βοηθητικό!$J$2:$N$354,3,FALSE)="","",VLOOKUP(AW851,βοηθητικό!$J$2:$N$354,3,FALSE))</f>
        <v>_</v>
      </c>
      <c r="AY851" s="47"/>
      <c r="AZ851" s="4" t="s">
        <v>16</v>
      </c>
      <c r="BA851" s="43" t="str">
        <f>IF(VLOOKUP(AZ851,βοηθητικό!$J$2:$N$354,3,FALSE)="","",VLOOKUP(AZ851,βοηθητικό!$J$2:$N$354,3,FALSE))</f>
        <v>_</v>
      </c>
      <c r="BB851" s="44"/>
      <c r="BC851" s="45" t="s">
        <v>16</v>
      </c>
      <c r="BD851" s="46" t="str">
        <f>IF(VLOOKUP(BC851,βοηθητικό!$J$2:$N$354,3,FALSE)="","",VLOOKUP(BC851,βοηθητικό!$J$2:$N$354,3,FALSE))</f>
        <v>_</v>
      </c>
      <c r="BE851" s="47"/>
      <c r="BF851" s="42" t="s">
        <v>16</v>
      </c>
      <c r="BG851" s="43" t="str">
        <f>IF(VLOOKUP(BF851,βοηθητικό!$J$2:$N$354,3,FALSE)="","",VLOOKUP(BF851,βοηθητικό!$J$2:$N$354,3,FALSE))</f>
        <v>_</v>
      </c>
      <c r="BH851" s="44"/>
      <c r="BI851" s="45" t="s">
        <v>16</v>
      </c>
      <c r="BJ851" s="46" t="str">
        <f>IF(VLOOKUP(BI851,βοηθητικό!$J$2:$N$354,3,FALSE)="","",VLOOKUP(BI851,βοηθητικό!$J$2:$N$354,3,FALSE))</f>
        <v>_</v>
      </c>
      <c r="BK851" s="47"/>
      <c r="BL851" s="42" t="s">
        <v>16</v>
      </c>
      <c r="BM851" s="43" t="str">
        <f>IF(VLOOKUP(BL851,βοηθητικό!$J$2:$N$354,3,FALSE)="","",VLOOKUP(BL851,βοηθητικό!$J$2:$N$354,3,FALSE))</f>
        <v>_</v>
      </c>
      <c r="BN851" s="44"/>
      <c r="BO851" s="45" t="s">
        <v>16</v>
      </c>
      <c r="BP851" s="46" t="str">
        <f>IF(VLOOKUP(BO851,βοηθητικό!$J$2:$N$354,3,FALSE)="","",VLOOKUP(BO851,βοηθητικό!$J$2:$N$354,3,FALSE))</f>
        <v>_</v>
      </c>
      <c r="BQ851" s="47"/>
      <c r="BR851" s="42" t="s">
        <v>16</v>
      </c>
      <c r="BS851" s="43" t="str">
        <f>IF(VLOOKUP(BR851,βοηθητικό!$J$2:$N$354,3,FALSE)="","",VLOOKUP(BR851,βοηθητικό!$J$2:$N$354,3,FALSE))</f>
        <v>_</v>
      </c>
      <c r="BT851" s="44"/>
      <c r="BU851" s="45" t="s">
        <v>16</v>
      </c>
      <c r="BV851" s="46" t="str">
        <f>IF(VLOOKUP(BU851,βοηθητικό!$J$2:$N$354,3,FALSE)="","",VLOOKUP(BU851,βοηθητικό!$J$2:$N$354,3,FALSE))</f>
        <v>_</v>
      </c>
      <c r="BW851" s="47"/>
      <c r="BX851" s="42" t="s">
        <v>16</v>
      </c>
      <c r="BY851" s="43" t="str">
        <f>IF(VLOOKUP(BX851,βοηθητικό!$J$2:$N$354,3,FALSE)="","",VLOOKUP(BX851,βοηθητικό!$J$2:$N$354,3,FALSE))</f>
        <v>_</v>
      </c>
      <c r="BZ851" s="44"/>
      <c r="CA851" s="45" t="s">
        <v>16</v>
      </c>
      <c r="CB851" s="46" t="str">
        <f>IF(VLOOKUP(CA851,βοηθητικό!$J$2:$N$354,3,FALSE)="","",VLOOKUP(CA851,βοηθητικό!$J$2:$N$354,3,FALSE))</f>
        <v>_</v>
      </c>
      <c r="CC851" s="47"/>
      <c r="CD851" s="42" t="s">
        <v>16</v>
      </c>
      <c r="CE851" s="43" t="str">
        <f>IF(VLOOKUP(CD851,βοηθητικό!$J$2:$N$354,3,FALSE)="","",VLOOKUP(CD851,βοηθητικό!$J$2:$N$354,3,FALSE))</f>
        <v>_</v>
      </c>
      <c r="CF851" s="44"/>
      <c r="CG851" s="45" t="s">
        <v>16</v>
      </c>
      <c r="CH851" s="46" t="str">
        <f>IF(VLOOKUP(CG851,βοηθητικό!$J$2:$N$354,3,FALSE)="","",VLOOKUP(CG851,βοηθητικό!$J$2:$N$354,3,FALSE))</f>
        <v>_</v>
      </c>
      <c r="CI851" s="47"/>
      <c r="CJ851" s="42" t="s">
        <v>16</v>
      </c>
      <c r="CK851" s="43" t="str">
        <f>IF(VLOOKUP(CJ851,βοηθητικό!$J$2:$N$354,3,FALSE)="","",VLOOKUP(CJ851,βοηθητικό!$J$2:$N$354,3,FALSE))</f>
        <v>_</v>
      </c>
      <c r="CL851" s="44"/>
      <c r="CM851" s="45" t="s">
        <v>16</v>
      </c>
      <c r="CN851" s="46" t="str">
        <f>IF(VLOOKUP(CM851,βοηθητικό!$J$2:$N$354,3,FALSE)="","",VLOOKUP(CM851,βοηθητικό!$J$2:$N$354,3,FALSE))</f>
        <v>_</v>
      </c>
      <c r="CO851" s="47"/>
      <c r="CP851" s="42" t="s">
        <v>16</v>
      </c>
      <c r="CQ851" s="43" t="str">
        <f>IF(VLOOKUP(CP851,βοηθητικό!$J$2:$N$354,3,FALSE)="","",VLOOKUP(CP851,βοηθητικό!$J$2:$N$354,3,FALSE))</f>
        <v>_</v>
      </c>
      <c r="CR851" s="44"/>
      <c r="CS851" s="45" t="s">
        <v>16</v>
      </c>
      <c r="CT851" s="46" t="str">
        <f>IF(VLOOKUP(CS851,βοηθητικό!$J$2:$N$354,3,FALSE)="","",VLOOKUP(CS851,βοηθητικό!$J$2:$N$354,3,FALSE))</f>
        <v>_</v>
      </c>
      <c r="CU851" s="47"/>
    </row>
    <row r="852" spans="1:99" x14ac:dyDescent="0.25">
      <c r="A852" s="37">
        <f>--SUBTOTAL(3,$B$3:B851)</f>
        <v>198</v>
      </c>
      <c r="B852" s="2"/>
      <c r="C852" s="3"/>
      <c r="D852" s="55" t="s">
        <v>18</v>
      </c>
      <c r="E852" s="38" t="s">
        <v>16</v>
      </c>
      <c r="F852" s="38"/>
      <c r="G852" s="39" t="str">
        <f t="shared" si="41"/>
        <v>__</v>
      </c>
      <c r="H852" s="40" t="str">
        <f t="shared" si="42"/>
        <v>FALSE</v>
      </c>
      <c r="I852" s="41">
        <f t="shared" si="43"/>
        <v>0</v>
      </c>
      <c r="J852" s="4" t="s">
        <v>16</v>
      </c>
      <c r="K852" s="43" t="str">
        <f>IF(VLOOKUP(J852,βοηθητικό!$J$2:$N$354,3,FALSE)="","",VLOOKUP(J852,βοηθητικό!$J$2:$N$354,3,FALSE))</f>
        <v>_</v>
      </c>
      <c r="L852" s="44"/>
      <c r="M852" s="5" t="s">
        <v>16</v>
      </c>
      <c r="N852" s="46" t="str">
        <f>IF(VLOOKUP(M852,βοηθητικό!$J$2:$N$354,3,FALSE)="","",VLOOKUP(M852,βοηθητικό!$J$2:$N$354,3,FALSE))</f>
        <v>_</v>
      </c>
      <c r="O852" s="47"/>
      <c r="P852" s="4" t="s">
        <v>16</v>
      </c>
      <c r="Q852" s="43" t="str">
        <f>IF(VLOOKUP(P852,βοηθητικό!$J$2:$N$354,3,FALSE)="","",VLOOKUP(P852,βοηθητικό!$J$2:$N$354,3,FALSE))</f>
        <v>_</v>
      </c>
      <c r="R852" s="44"/>
      <c r="S852" s="5" t="s">
        <v>16</v>
      </c>
      <c r="T852" s="46" t="str">
        <f>IF(VLOOKUP(S852,βοηθητικό!$J$2:$N$354,3,FALSE)="","",VLOOKUP(S852,βοηθητικό!$J$2:$N$354,3,FALSE))</f>
        <v>_</v>
      </c>
      <c r="U852" s="47"/>
      <c r="V852" s="4" t="s">
        <v>16</v>
      </c>
      <c r="W852" s="43" t="str">
        <f>IF(VLOOKUP(V852,βοηθητικό!$J$2:$N$354,3,FALSE)="","",VLOOKUP(V852,βοηθητικό!$J$2:$N$354,3,FALSE))</f>
        <v>_</v>
      </c>
      <c r="X852" s="44"/>
      <c r="Y852" s="5" t="s">
        <v>16</v>
      </c>
      <c r="Z852" s="46" t="str">
        <f>IF(VLOOKUP(Y852,βοηθητικό!$J$2:$N$354,3,FALSE)="","",VLOOKUP(Y852,βοηθητικό!$J$2:$N$354,3,FALSE))</f>
        <v>_</v>
      </c>
      <c r="AA852" s="47"/>
      <c r="AB852" s="4" t="s">
        <v>16</v>
      </c>
      <c r="AC852" s="43" t="str">
        <f>IF(VLOOKUP(AB852,βοηθητικό!$J$2:$N$354,3,FALSE)="","",VLOOKUP(AB852,βοηθητικό!$J$2:$N$354,3,FALSE))</f>
        <v>_</v>
      </c>
      <c r="AD852" s="44"/>
      <c r="AE852" s="5" t="s">
        <v>16</v>
      </c>
      <c r="AF852" s="46" t="str">
        <f>IF(VLOOKUP(AE852,βοηθητικό!$J$2:$N$354,3,FALSE)="","",VLOOKUP(AE852,βοηθητικό!$J$2:$N$354,3,FALSE))</f>
        <v>_</v>
      </c>
      <c r="AG852" s="47"/>
      <c r="AH852" s="4" t="s">
        <v>16</v>
      </c>
      <c r="AI852" s="43" t="str">
        <f>IF(VLOOKUP(AH852,βοηθητικό!$J$2:$N$354,3,FALSE)="","",VLOOKUP(AH852,βοηθητικό!$J$2:$N$354,3,FALSE))</f>
        <v>_</v>
      </c>
      <c r="AJ852" s="44"/>
      <c r="AK852" s="5" t="s">
        <v>16</v>
      </c>
      <c r="AL852" s="46" t="str">
        <f>IF(VLOOKUP(AK852,βοηθητικό!$J$2:$N$354,3,FALSE)="","",VLOOKUP(AK852,βοηθητικό!$J$2:$N$354,3,FALSE))</f>
        <v>_</v>
      </c>
      <c r="AM852" s="47"/>
      <c r="AN852" s="4" t="s">
        <v>16</v>
      </c>
      <c r="AO852" s="43" t="str">
        <f>IF(VLOOKUP(AN852,βοηθητικό!$J$2:$N$354,3,FALSE)="","",VLOOKUP(AN852,βοηθητικό!$J$2:$N$354,3,FALSE))</f>
        <v>_</v>
      </c>
      <c r="AP852" s="44"/>
      <c r="AQ852" s="5" t="s">
        <v>16</v>
      </c>
      <c r="AR852" s="46" t="str">
        <f>IF(VLOOKUP(AQ852,βοηθητικό!$J$2:$N$354,3,FALSE)="","",VLOOKUP(AQ852,βοηθητικό!$J$2:$N$354,3,FALSE))</f>
        <v>_</v>
      </c>
      <c r="AS852" s="47"/>
      <c r="AT852" s="4" t="s">
        <v>16</v>
      </c>
      <c r="AU852" s="43" t="str">
        <f>IF(VLOOKUP(AT852,βοηθητικό!$J$2:$N$354,3,FALSE)="","",VLOOKUP(AT852,βοηθητικό!$J$2:$N$354,3,FALSE))</f>
        <v>_</v>
      </c>
      <c r="AV852" s="44"/>
      <c r="AW852" s="5" t="s">
        <v>16</v>
      </c>
      <c r="AX852" s="46" t="str">
        <f>IF(VLOOKUP(AW852,βοηθητικό!$J$2:$N$354,3,FALSE)="","",VLOOKUP(AW852,βοηθητικό!$J$2:$N$354,3,FALSE))</f>
        <v>_</v>
      </c>
      <c r="AY852" s="47"/>
      <c r="AZ852" s="4" t="s">
        <v>16</v>
      </c>
      <c r="BA852" s="43" t="str">
        <f>IF(VLOOKUP(AZ852,βοηθητικό!$J$2:$N$354,3,FALSE)="","",VLOOKUP(AZ852,βοηθητικό!$J$2:$N$354,3,FALSE))</f>
        <v>_</v>
      </c>
      <c r="BB852" s="44"/>
      <c r="BC852" s="45" t="s">
        <v>16</v>
      </c>
      <c r="BD852" s="46" t="str">
        <f>IF(VLOOKUP(BC852,βοηθητικό!$J$2:$N$354,3,FALSE)="","",VLOOKUP(BC852,βοηθητικό!$J$2:$N$354,3,FALSE))</f>
        <v>_</v>
      </c>
      <c r="BE852" s="47"/>
      <c r="BF852" s="42" t="s">
        <v>16</v>
      </c>
      <c r="BG852" s="43" t="str">
        <f>IF(VLOOKUP(BF852,βοηθητικό!$J$2:$N$354,3,FALSE)="","",VLOOKUP(BF852,βοηθητικό!$J$2:$N$354,3,FALSE))</f>
        <v>_</v>
      </c>
      <c r="BH852" s="44"/>
      <c r="BI852" s="45" t="s">
        <v>16</v>
      </c>
      <c r="BJ852" s="46" t="str">
        <f>IF(VLOOKUP(BI852,βοηθητικό!$J$2:$N$354,3,FALSE)="","",VLOOKUP(BI852,βοηθητικό!$J$2:$N$354,3,FALSE))</f>
        <v>_</v>
      </c>
      <c r="BK852" s="47"/>
      <c r="BL852" s="42" t="s">
        <v>16</v>
      </c>
      <c r="BM852" s="43" t="str">
        <f>IF(VLOOKUP(BL852,βοηθητικό!$J$2:$N$354,3,FALSE)="","",VLOOKUP(BL852,βοηθητικό!$J$2:$N$354,3,FALSE))</f>
        <v>_</v>
      </c>
      <c r="BN852" s="44"/>
      <c r="BO852" s="45" t="s">
        <v>16</v>
      </c>
      <c r="BP852" s="46" t="str">
        <f>IF(VLOOKUP(BO852,βοηθητικό!$J$2:$N$354,3,FALSE)="","",VLOOKUP(BO852,βοηθητικό!$J$2:$N$354,3,FALSE))</f>
        <v>_</v>
      </c>
      <c r="BQ852" s="47"/>
      <c r="BR852" s="42" t="s">
        <v>16</v>
      </c>
      <c r="BS852" s="43" t="str">
        <f>IF(VLOOKUP(BR852,βοηθητικό!$J$2:$N$354,3,FALSE)="","",VLOOKUP(BR852,βοηθητικό!$J$2:$N$354,3,FALSE))</f>
        <v>_</v>
      </c>
      <c r="BT852" s="44"/>
      <c r="BU852" s="45" t="s">
        <v>16</v>
      </c>
      <c r="BV852" s="46" t="str">
        <f>IF(VLOOKUP(BU852,βοηθητικό!$J$2:$N$354,3,FALSE)="","",VLOOKUP(BU852,βοηθητικό!$J$2:$N$354,3,FALSE))</f>
        <v>_</v>
      </c>
      <c r="BW852" s="47"/>
      <c r="BX852" s="42" t="s">
        <v>16</v>
      </c>
      <c r="BY852" s="43" t="str">
        <f>IF(VLOOKUP(BX852,βοηθητικό!$J$2:$N$354,3,FALSE)="","",VLOOKUP(BX852,βοηθητικό!$J$2:$N$354,3,FALSE))</f>
        <v>_</v>
      </c>
      <c r="BZ852" s="44"/>
      <c r="CA852" s="45" t="s">
        <v>16</v>
      </c>
      <c r="CB852" s="46" t="str">
        <f>IF(VLOOKUP(CA852,βοηθητικό!$J$2:$N$354,3,FALSE)="","",VLOOKUP(CA852,βοηθητικό!$J$2:$N$354,3,FALSE))</f>
        <v>_</v>
      </c>
      <c r="CC852" s="47"/>
      <c r="CD852" s="42" t="s">
        <v>16</v>
      </c>
      <c r="CE852" s="43" t="str">
        <f>IF(VLOOKUP(CD852,βοηθητικό!$J$2:$N$354,3,FALSE)="","",VLOOKUP(CD852,βοηθητικό!$J$2:$N$354,3,FALSE))</f>
        <v>_</v>
      </c>
      <c r="CF852" s="44"/>
      <c r="CG852" s="45" t="s">
        <v>16</v>
      </c>
      <c r="CH852" s="46" t="str">
        <f>IF(VLOOKUP(CG852,βοηθητικό!$J$2:$N$354,3,FALSE)="","",VLOOKUP(CG852,βοηθητικό!$J$2:$N$354,3,FALSE))</f>
        <v>_</v>
      </c>
      <c r="CI852" s="47"/>
      <c r="CJ852" s="42" t="s">
        <v>16</v>
      </c>
      <c r="CK852" s="43" t="str">
        <f>IF(VLOOKUP(CJ852,βοηθητικό!$J$2:$N$354,3,FALSE)="","",VLOOKUP(CJ852,βοηθητικό!$J$2:$N$354,3,FALSE))</f>
        <v>_</v>
      </c>
      <c r="CL852" s="44"/>
      <c r="CM852" s="45" t="s">
        <v>16</v>
      </c>
      <c r="CN852" s="46" t="str">
        <f>IF(VLOOKUP(CM852,βοηθητικό!$J$2:$N$354,3,FALSE)="","",VLOOKUP(CM852,βοηθητικό!$J$2:$N$354,3,FALSE))</f>
        <v>_</v>
      </c>
      <c r="CO852" s="47"/>
      <c r="CP852" s="42" t="s">
        <v>16</v>
      </c>
      <c r="CQ852" s="43" t="str">
        <f>IF(VLOOKUP(CP852,βοηθητικό!$J$2:$N$354,3,FALSE)="","",VLOOKUP(CP852,βοηθητικό!$J$2:$N$354,3,FALSE))</f>
        <v>_</v>
      </c>
      <c r="CR852" s="44"/>
      <c r="CS852" s="45" t="s">
        <v>16</v>
      </c>
      <c r="CT852" s="46" t="str">
        <f>IF(VLOOKUP(CS852,βοηθητικό!$J$2:$N$354,3,FALSE)="","",VLOOKUP(CS852,βοηθητικό!$J$2:$N$354,3,FALSE))</f>
        <v>_</v>
      </c>
      <c r="CU852" s="47"/>
    </row>
    <row r="853" spans="1:99" x14ac:dyDescent="0.25">
      <c r="A853" s="37">
        <f>--SUBTOTAL(3,$B$3:B852)</f>
        <v>198</v>
      </c>
      <c r="B853" s="2"/>
      <c r="C853" s="3"/>
      <c r="D853" s="55" t="s">
        <v>18</v>
      </c>
      <c r="E853" s="38" t="s">
        <v>16</v>
      </c>
      <c r="F853" s="38"/>
      <c r="G853" s="39" t="str">
        <f t="shared" si="41"/>
        <v>__</v>
      </c>
      <c r="H853" s="40" t="str">
        <f t="shared" si="42"/>
        <v>FALSE</v>
      </c>
      <c r="I853" s="41">
        <f t="shared" si="43"/>
        <v>0</v>
      </c>
      <c r="J853" s="4" t="s">
        <v>16</v>
      </c>
      <c r="K853" s="43" t="str">
        <f>IF(VLOOKUP(J853,βοηθητικό!$J$2:$N$354,3,FALSE)="","",VLOOKUP(J853,βοηθητικό!$J$2:$N$354,3,FALSE))</f>
        <v>_</v>
      </c>
      <c r="L853" s="44"/>
      <c r="M853" s="5" t="s">
        <v>16</v>
      </c>
      <c r="N853" s="46" t="str">
        <f>IF(VLOOKUP(M853,βοηθητικό!$J$2:$N$354,3,FALSE)="","",VLOOKUP(M853,βοηθητικό!$J$2:$N$354,3,FALSE))</f>
        <v>_</v>
      </c>
      <c r="O853" s="47"/>
      <c r="P853" s="4" t="s">
        <v>16</v>
      </c>
      <c r="Q853" s="43" t="str">
        <f>IF(VLOOKUP(P853,βοηθητικό!$J$2:$N$354,3,FALSE)="","",VLOOKUP(P853,βοηθητικό!$J$2:$N$354,3,FALSE))</f>
        <v>_</v>
      </c>
      <c r="R853" s="44"/>
      <c r="S853" s="5" t="s">
        <v>16</v>
      </c>
      <c r="T853" s="46" t="str">
        <f>IF(VLOOKUP(S853,βοηθητικό!$J$2:$N$354,3,FALSE)="","",VLOOKUP(S853,βοηθητικό!$J$2:$N$354,3,FALSE))</f>
        <v>_</v>
      </c>
      <c r="U853" s="47"/>
      <c r="V853" s="4" t="s">
        <v>16</v>
      </c>
      <c r="W853" s="43" t="str">
        <f>IF(VLOOKUP(V853,βοηθητικό!$J$2:$N$354,3,FALSE)="","",VLOOKUP(V853,βοηθητικό!$J$2:$N$354,3,FALSE))</f>
        <v>_</v>
      </c>
      <c r="X853" s="44"/>
      <c r="Y853" s="5" t="s">
        <v>16</v>
      </c>
      <c r="Z853" s="46" t="str">
        <f>IF(VLOOKUP(Y853,βοηθητικό!$J$2:$N$354,3,FALSE)="","",VLOOKUP(Y853,βοηθητικό!$J$2:$N$354,3,FALSE))</f>
        <v>_</v>
      </c>
      <c r="AA853" s="47"/>
      <c r="AB853" s="4" t="s">
        <v>16</v>
      </c>
      <c r="AC853" s="43" t="str">
        <f>IF(VLOOKUP(AB853,βοηθητικό!$J$2:$N$354,3,FALSE)="","",VLOOKUP(AB853,βοηθητικό!$J$2:$N$354,3,FALSE))</f>
        <v>_</v>
      </c>
      <c r="AD853" s="44"/>
      <c r="AE853" s="5" t="s">
        <v>16</v>
      </c>
      <c r="AF853" s="46" t="str">
        <f>IF(VLOOKUP(AE853,βοηθητικό!$J$2:$N$354,3,FALSE)="","",VLOOKUP(AE853,βοηθητικό!$J$2:$N$354,3,FALSE))</f>
        <v>_</v>
      </c>
      <c r="AG853" s="47"/>
      <c r="AH853" s="4" t="s">
        <v>16</v>
      </c>
      <c r="AI853" s="43" t="str">
        <f>IF(VLOOKUP(AH853,βοηθητικό!$J$2:$N$354,3,FALSE)="","",VLOOKUP(AH853,βοηθητικό!$J$2:$N$354,3,FALSE))</f>
        <v>_</v>
      </c>
      <c r="AJ853" s="44"/>
      <c r="AK853" s="5" t="s">
        <v>16</v>
      </c>
      <c r="AL853" s="46" t="str">
        <f>IF(VLOOKUP(AK853,βοηθητικό!$J$2:$N$354,3,FALSE)="","",VLOOKUP(AK853,βοηθητικό!$J$2:$N$354,3,FALSE))</f>
        <v>_</v>
      </c>
      <c r="AM853" s="47"/>
      <c r="AN853" s="4" t="s">
        <v>16</v>
      </c>
      <c r="AO853" s="43" t="str">
        <f>IF(VLOOKUP(AN853,βοηθητικό!$J$2:$N$354,3,FALSE)="","",VLOOKUP(AN853,βοηθητικό!$J$2:$N$354,3,FALSE))</f>
        <v>_</v>
      </c>
      <c r="AP853" s="44"/>
      <c r="AQ853" s="5" t="s">
        <v>16</v>
      </c>
      <c r="AR853" s="46" t="str">
        <f>IF(VLOOKUP(AQ853,βοηθητικό!$J$2:$N$354,3,FALSE)="","",VLOOKUP(AQ853,βοηθητικό!$J$2:$N$354,3,FALSE))</f>
        <v>_</v>
      </c>
      <c r="AS853" s="47"/>
      <c r="AT853" s="4" t="s">
        <v>16</v>
      </c>
      <c r="AU853" s="43" t="str">
        <f>IF(VLOOKUP(AT853,βοηθητικό!$J$2:$N$354,3,FALSE)="","",VLOOKUP(AT853,βοηθητικό!$J$2:$N$354,3,FALSE))</f>
        <v>_</v>
      </c>
      <c r="AV853" s="44"/>
      <c r="AW853" s="5" t="s">
        <v>16</v>
      </c>
      <c r="AX853" s="46" t="str">
        <f>IF(VLOOKUP(AW853,βοηθητικό!$J$2:$N$354,3,FALSE)="","",VLOOKUP(AW853,βοηθητικό!$J$2:$N$354,3,FALSE))</f>
        <v>_</v>
      </c>
      <c r="AY853" s="47"/>
      <c r="AZ853" s="4" t="s">
        <v>16</v>
      </c>
      <c r="BA853" s="43" t="str">
        <f>IF(VLOOKUP(AZ853,βοηθητικό!$J$2:$N$354,3,FALSE)="","",VLOOKUP(AZ853,βοηθητικό!$J$2:$N$354,3,FALSE))</f>
        <v>_</v>
      </c>
      <c r="BB853" s="44"/>
      <c r="BC853" s="45" t="s">
        <v>16</v>
      </c>
      <c r="BD853" s="46" t="str">
        <f>IF(VLOOKUP(BC853,βοηθητικό!$J$2:$N$354,3,FALSE)="","",VLOOKUP(BC853,βοηθητικό!$J$2:$N$354,3,FALSE))</f>
        <v>_</v>
      </c>
      <c r="BE853" s="47"/>
      <c r="BF853" s="42" t="s">
        <v>16</v>
      </c>
      <c r="BG853" s="43" t="str">
        <f>IF(VLOOKUP(BF853,βοηθητικό!$J$2:$N$354,3,FALSE)="","",VLOOKUP(BF853,βοηθητικό!$J$2:$N$354,3,FALSE))</f>
        <v>_</v>
      </c>
      <c r="BH853" s="44"/>
      <c r="BI853" s="45" t="s">
        <v>16</v>
      </c>
      <c r="BJ853" s="46" t="str">
        <f>IF(VLOOKUP(BI853,βοηθητικό!$J$2:$N$354,3,FALSE)="","",VLOOKUP(BI853,βοηθητικό!$J$2:$N$354,3,FALSE))</f>
        <v>_</v>
      </c>
      <c r="BK853" s="47"/>
      <c r="BL853" s="42" t="s">
        <v>16</v>
      </c>
      <c r="BM853" s="43" t="str">
        <f>IF(VLOOKUP(BL853,βοηθητικό!$J$2:$N$354,3,FALSE)="","",VLOOKUP(BL853,βοηθητικό!$J$2:$N$354,3,FALSE))</f>
        <v>_</v>
      </c>
      <c r="BN853" s="44"/>
      <c r="BO853" s="45" t="s">
        <v>16</v>
      </c>
      <c r="BP853" s="46" t="str">
        <f>IF(VLOOKUP(BO853,βοηθητικό!$J$2:$N$354,3,FALSE)="","",VLOOKUP(BO853,βοηθητικό!$J$2:$N$354,3,FALSE))</f>
        <v>_</v>
      </c>
      <c r="BQ853" s="47"/>
      <c r="BR853" s="42" t="s">
        <v>16</v>
      </c>
      <c r="BS853" s="43" t="str">
        <f>IF(VLOOKUP(BR853,βοηθητικό!$J$2:$N$354,3,FALSE)="","",VLOOKUP(BR853,βοηθητικό!$J$2:$N$354,3,FALSE))</f>
        <v>_</v>
      </c>
      <c r="BT853" s="44"/>
      <c r="BU853" s="45" t="s">
        <v>16</v>
      </c>
      <c r="BV853" s="46" t="str">
        <f>IF(VLOOKUP(BU853,βοηθητικό!$J$2:$N$354,3,FALSE)="","",VLOOKUP(BU853,βοηθητικό!$J$2:$N$354,3,FALSE))</f>
        <v>_</v>
      </c>
      <c r="BW853" s="47"/>
      <c r="BX853" s="42" t="s">
        <v>16</v>
      </c>
      <c r="BY853" s="43" t="str">
        <f>IF(VLOOKUP(BX853,βοηθητικό!$J$2:$N$354,3,FALSE)="","",VLOOKUP(BX853,βοηθητικό!$J$2:$N$354,3,FALSE))</f>
        <v>_</v>
      </c>
      <c r="BZ853" s="44"/>
      <c r="CA853" s="45" t="s">
        <v>16</v>
      </c>
      <c r="CB853" s="46" t="str">
        <f>IF(VLOOKUP(CA853,βοηθητικό!$J$2:$N$354,3,FALSE)="","",VLOOKUP(CA853,βοηθητικό!$J$2:$N$354,3,FALSE))</f>
        <v>_</v>
      </c>
      <c r="CC853" s="47"/>
      <c r="CD853" s="42" t="s">
        <v>16</v>
      </c>
      <c r="CE853" s="43" t="str">
        <f>IF(VLOOKUP(CD853,βοηθητικό!$J$2:$N$354,3,FALSE)="","",VLOOKUP(CD853,βοηθητικό!$J$2:$N$354,3,FALSE))</f>
        <v>_</v>
      </c>
      <c r="CF853" s="44"/>
      <c r="CG853" s="45" t="s">
        <v>16</v>
      </c>
      <c r="CH853" s="46" t="str">
        <f>IF(VLOOKUP(CG853,βοηθητικό!$J$2:$N$354,3,FALSE)="","",VLOOKUP(CG853,βοηθητικό!$J$2:$N$354,3,FALSE))</f>
        <v>_</v>
      </c>
      <c r="CI853" s="47"/>
      <c r="CJ853" s="42" t="s">
        <v>16</v>
      </c>
      <c r="CK853" s="43" t="str">
        <f>IF(VLOOKUP(CJ853,βοηθητικό!$J$2:$N$354,3,FALSE)="","",VLOOKUP(CJ853,βοηθητικό!$J$2:$N$354,3,FALSE))</f>
        <v>_</v>
      </c>
      <c r="CL853" s="44"/>
      <c r="CM853" s="45" t="s">
        <v>16</v>
      </c>
      <c r="CN853" s="46" t="str">
        <f>IF(VLOOKUP(CM853,βοηθητικό!$J$2:$N$354,3,FALSE)="","",VLOOKUP(CM853,βοηθητικό!$J$2:$N$354,3,FALSE))</f>
        <v>_</v>
      </c>
      <c r="CO853" s="47"/>
      <c r="CP853" s="42" t="s">
        <v>16</v>
      </c>
      <c r="CQ853" s="43" t="str">
        <f>IF(VLOOKUP(CP853,βοηθητικό!$J$2:$N$354,3,FALSE)="","",VLOOKUP(CP853,βοηθητικό!$J$2:$N$354,3,FALSE))</f>
        <v>_</v>
      </c>
      <c r="CR853" s="44"/>
      <c r="CS853" s="45" t="s">
        <v>16</v>
      </c>
      <c r="CT853" s="46" t="str">
        <f>IF(VLOOKUP(CS853,βοηθητικό!$J$2:$N$354,3,FALSE)="","",VLOOKUP(CS853,βοηθητικό!$J$2:$N$354,3,FALSE))</f>
        <v>_</v>
      </c>
      <c r="CU853" s="47"/>
    </row>
    <row r="854" spans="1:99" x14ac:dyDescent="0.25">
      <c r="A854" s="37">
        <f>--SUBTOTAL(3,$B$3:B853)</f>
        <v>198</v>
      </c>
      <c r="B854" s="2"/>
      <c r="C854" s="3"/>
      <c r="D854" s="55" t="s">
        <v>18</v>
      </c>
      <c r="E854" s="38" t="s">
        <v>16</v>
      </c>
      <c r="F854" s="38"/>
      <c r="G854" s="39" t="str">
        <f t="shared" si="41"/>
        <v>__</v>
      </c>
      <c r="H854" s="40" t="str">
        <f t="shared" si="42"/>
        <v>FALSE</v>
      </c>
      <c r="I854" s="41">
        <f t="shared" si="43"/>
        <v>0</v>
      </c>
      <c r="J854" s="4" t="s">
        <v>16</v>
      </c>
      <c r="K854" s="43" t="str">
        <f>IF(VLOOKUP(J854,βοηθητικό!$J$2:$N$354,3,FALSE)="","",VLOOKUP(J854,βοηθητικό!$J$2:$N$354,3,FALSE))</f>
        <v>_</v>
      </c>
      <c r="L854" s="44"/>
      <c r="M854" s="5" t="s">
        <v>16</v>
      </c>
      <c r="N854" s="46" t="str">
        <f>IF(VLOOKUP(M854,βοηθητικό!$J$2:$N$354,3,FALSE)="","",VLOOKUP(M854,βοηθητικό!$J$2:$N$354,3,FALSE))</f>
        <v>_</v>
      </c>
      <c r="O854" s="47"/>
      <c r="P854" s="4" t="s">
        <v>16</v>
      </c>
      <c r="Q854" s="43" t="str">
        <f>IF(VLOOKUP(P854,βοηθητικό!$J$2:$N$354,3,FALSE)="","",VLOOKUP(P854,βοηθητικό!$J$2:$N$354,3,FALSE))</f>
        <v>_</v>
      </c>
      <c r="R854" s="44"/>
      <c r="S854" s="5" t="s">
        <v>16</v>
      </c>
      <c r="T854" s="46" t="str">
        <f>IF(VLOOKUP(S854,βοηθητικό!$J$2:$N$354,3,FALSE)="","",VLOOKUP(S854,βοηθητικό!$J$2:$N$354,3,FALSE))</f>
        <v>_</v>
      </c>
      <c r="U854" s="47"/>
      <c r="V854" s="4" t="s">
        <v>16</v>
      </c>
      <c r="W854" s="43" t="str">
        <f>IF(VLOOKUP(V854,βοηθητικό!$J$2:$N$354,3,FALSE)="","",VLOOKUP(V854,βοηθητικό!$J$2:$N$354,3,FALSE))</f>
        <v>_</v>
      </c>
      <c r="X854" s="44"/>
      <c r="Y854" s="5" t="s">
        <v>16</v>
      </c>
      <c r="Z854" s="46" t="str">
        <f>IF(VLOOKUP(Y854,βοηθητικό!$J$2:$N$354,3,FALSE)="","",VLOOKUP(Y854,βοηθητικό!$J$2:$N$354,3,FALSE))</f>
        <v>_</v>
      </c>
      <c r="AA854" s="47"/>
      <c r="AB854" s="4" t="s">
        <v>16</v>
      </c>
      <c r="AC854" s="43" t="str">
        <f>IF(VLOOKUP(AB854,βοηθητικό!$J$2:$N$354,3,FALSE)="","",VLOOKUP(AB854,βοηθητικό!$J$2:$N$354,3,FALSE))</f>
        <v>_</v>
      </c>
      <c r="AD854" s="44"/>
      <c r="AE854" s="5" t="s">
        <v>16</v>
      </c>
      <c r="AF854" s="46" t="str">
        <f>IF(VLOOKUP(AE854,βοηθητικό!$J$2:$N$354,3,FALSE)="","",VLOOKUP(AE854,βοηθητικό!$J$2:$N$354,3,FALSE))</f>
        <v>_</v>
      </c>
      <c r="AG854" s="47"/>
      <c r="AH854" s="4" t="s">
        <v>16</v>
      </c>
      <c r="AI854" s="43" t="str">
        <f>IF(VLOOKUP(AH854,βοηθητικό!$J$2:$N$354,3,FALSE)="","",VLOOKUP(AH854,βοηθητικό!$J$2:$N$354,3,FALSE))</f>
        <v>_</v>
      </c>
      <c r="AJ854" s="44"/>
      <c r="AK854" s="5" t="s">
        <v>16</v>
      </c>
      <c r="AL854" s="46" t="str">
        <f>IF(VLOOKUP(AK854,βοηθητικό!$J$2:$N$354,3,FALSE)="","",VLOOKUP(AK854,βοηθητικό!$J$2:$N$354,3,FALSE))</f>
        <v>_</v>
      </c>
      <c r="AM854" s="47"/>
      <c r="AN854" s="4" t="s">
        <v>16</v>
      </c>
      <c r="AO854" s="43" t="str">
        <f>IF(VLOOKUP(AN854,βοηθητικό!$J$2:$N$354,3,FALSE)="","",VLOOKUP(AN854,βοηθητικό!$J$2:$N$354,3,FALSE))</f>
        <v>_</v>
      </c>
      <c r="AP854" s="44"/>
      <c r="AQ854" s="5" t="s">
        <v>16</v>
      </c>
      <c r="AR854" s="46" t="str">
        <f>IF(VLOOKUP(AQ854,βοηθητικό!$J$2:$N$354,3,FALSE)="","",VLOOKUP(AQ854,βοηθητικό!$J$2:$N$354,3,FALSE))</f>
        <v>_</v>
      </c>
      <c r="AS854" s="47"/>
      <c r="AT854" s="4" t="s">
        <v>16</v>
      </c>
      <c r="AU854" s="43" t="str">
        <f>IF(VLOOKUP(AT854,βοηθητικό!$J$2:$N$354,3,FALSE)="","",VLOOKUP(AT854,βοηθητικό!$J$2:$N$354,3,FALSE))</f>
        <v>_</v>
      </c>
      <c r="AV854" s="44"/>
      <c r="AW854" s="5" t="s">
        <v>16</v>
      </c>
      <c r="AX854" s="46" t="str">
        <f>IF(VLOOKUP(AW854,βοηθητικό!$J$2:$N$354,3,FALSE)="","",VLOOKUP(AW854,βοηθητικό!$J$2:$N$354,3,FALSE))</f>
        <v>_</v>
      </c>
      <c r="AY854" s="47"/>
      <c r="AZ854" s="4" t="s">
        <v>16</v>
      </c>
      <c r="BA854" s="43" t="str">
        <f>IF(VLOOKUP(AZ854,βοηθητικό!$J$2:$N$354,3,FALSE)="","",VLOOKUP(AZ854,βοηθητικό!$J$2:$N$354,3,FALSE))</f>
        <v>_</v>
      </c>
      <c r="BB854" s="44"/>
      <c r="BC854" s="45" t="s">
        <v>16</v>
      </c>
      <c r="BD854" s="46" t="str">
        <f>IF(VLOOKUP(BC854,βοηθητικό!$J$2:$N$354,3,FALSE)="","",VLOOKUP(BC854,βοηθητικό!$J$2:$N$354,3,FALSE))</f>
        <v>_</v>
      </c>
      <c r="BE854" s="47"/>
      <c r="BF854" s="42" t="s">
        <v>16</v>
      </c>
      <c r="BG854" s="43" t="str">
        <f>IF(VLOOKUP(BF854,βοηθητικό!$J$2:$N$354,3,FALSE)="","",VLOOKUP(BF854,βοηθητικό!$J$2:$N$354,3,FALSE))</f>
        <v>_</v>
      </c>
      <c r="BH854" s="44"/>
      <c r="BI854" s="45" t="s">
        <v>16</v>
      </c>
      <c r="BJ854" s="46" t="str">
        <f>IF(VLOOKUP(BI854,βοηθητικό!$J$2:$N$354,3,FALSE)="","",VLOOKUP(BI854,βοηθητικό!$J$2:$N$354,3,FALSE))</f>
        <v>_</v>
      </c>
      <c r="BK854" s="47"/>
      <c r="BL854" s="42" t="s">
        <v>16</v>
      </c>
      <c r="BM854" s="43" t="str">
        <f>IF(VLOOKUP(BL854,βοηθητικό!$J$2:$N$354,3,FALSE)="","",VLOOKUP(BL854,βοηθητικό!$J$2:$N$354,3,FALSE))</f>
        <v>_</v>
      </c>
      <c r="BN854" s="44"/>
      <c r="BO854" s="45" t="s">
        <v>16</v>
      </c>
      <c r="BP854" s="46" t="str">
        <f>IF(VLOOKUP(BO854,βοηθητικό!$J$2:$N$354,3,FALSE)="","",VLOOKUP(BO854,βοηθητικό!$J$2:$N$354,3,FALSE))</f>
        <v>_</v>
      </c>
      <c r="BQ854" s="47"/>
      <c r="BR854" s="42" t="s">
        <v>16</v>
      </c>
      <c r="BS854" s="43" t="str">
        <f>IF(VLOOKUP(BR854,βοηθητικό!$J$2:$N$354,3,FALSE)="","",VLOOKUP(BR854,βοηθητικό!$J$2:$N$354,3,FALSE))</f>
        <v>_</v>
      </c>
      <c r="BT854" s="44"/>
      <c r="BU854" s="45" t="s">
        <v>16</v>
      </c>
      <c r="BV854" s="46" t="str">
        <f>IF(VLOOKUP(BU854,βοηθητικό!$J$2:$N$354,3,FALSE)="","",VLOOKUP(BU854,βοηθητικό!$J$2:$N$354,3,FALSE))</f>
        <v>_</v>
      </c>
      <c r="BW854" s="47"/>
      <c r="BX854" s="42" t="s">
        <v>16</v>
      </c>
      <c r="BY854" s="43" t="str">
        <f>IF(VLOOKUP(BX854,βοηθητικό!$J$2:$N$354,3,FALSE)="","",VLOOKUP(BX854,βοηθητικό!$J$2:$N$354,3,FALSE))</f>
        <v>_</v>
      </c>
      <c r="BZ854" s="44"/>
      <c r="CA854" s="45" t="s">
        <v>16</v>
      </c>
      <c r="CB854" s="46" t="str">
        <f>IF(VLOOKUP(CA854,βοηθητικό!$J$2:$N$354,3,FALSE)="","",VLOOKUP(CA854,βοηθητικό!$J$2:$N$354,3,FALSE))</f>
        <v>_</v>
      </c>
      <c r="CC854" s="47"/>
      <c r="CD854" s="42" t="s">
        <v>16</v>
      </c>
      <c r="CE854" s="43" t="str">
        <f>IF(VLOOKUP(CD854,βοηθητικό!$J$2:$N$354,3,FALSE)="","",VLOOKUP(CD854,βοηθητικό!$J$2:$N$354,3,FALSE))</f>
        <v>_</v>
      </c>
      <c r="CF854" s="44"/>
      <c r="CG854" s="45" t="s">
        <v>16</v>
      </c>
      <c r="CH854" s="46" t="str">
        <f>IF(VLOOKUP(CG854,βοηθητικό!$J$2:$N$354,3,FALSE)="","",VLOOKUP(CG854,βοηθητικό!$J$2:$N$354,3,FALSE))</f>
        <v>_</v>
      </c>
      <c r="CI854" s="47"/>
      <c r="CJ854" s="42" t="s">
        <v>16</v>
      </c>
      <c r="CK854" s="43" t="str">
        <f>IF(VLOOKUP(CJ854,βοηθητικό!$J$2:$N$354,3,FALSE)="","",VLOOKUP(CJ854,βοηθητικό!$J$2:$N$354,3,FALSE))</f>
        <v>_</v>
      </c>
      <c r="CL854" s="44"/>
      <c r="CM854" s="45" t="s">
        <v>16</v>
      </c>
      <c r="CN854" s="46" t="str">
        <f>IF(VLOOKUP(CM854,βοηθητικό!$J$2:$N$354,3,FALSE)="","",VLOOKUP(CM854,βοηθητικό!$J$2:$N$354,3,FALSE))</f>
        <v>_</v>
      </c>
      <c r="CO854" s="47"/>
      <c r="CP854" s="42" t="s">
        <v>16</v>
      </c>
      <c r="CQ854" s="43" t="str">
        <f>IF(VLOOKUP(CP854,βοηθητικό!$J$2:$N$354,3,FALSE)="","",VLOOKUP(CP854,βοηθητικό!$J$2:$N$354,3,FALSE))</f>
        <v>_</v>
      </c>
      <c r="CR854" s="44"/>
      <c r="CS854" s="45" t="s">
        <v>16</v>
      </c>
      <c r="CT854" s="46" t="str">
        <f>IF(VLOOKUP(CS854,βοηθητικό!$J$2:$N$354,3,FALSE)="","",VLOOKUP(CS854,βοηθητικό!$J$2:$N$354,3,FALSE))</f>
        <v>_</v>
      </c>
      <c r="CU854" s="47"/>
    </row>
    <row r="855" spans="1:99" x14ac:dyDescent="0.25">
      <c r="A855" s="37">
        <f>--SUBTOTAL(3,$B$3:B854)</f>
        <v>198</v>
      </c>
      <c r="B855" s="2"/>
      <c r="C855" s="3"/>
      <c r="D855" s="55" t="s">
        <v>18</v>
      </c>
      <c r="E855" s="38" t="s">
        <v>16</v>
      </c>
      <c r="F855" s="38"/>
      <c r="G855" s="39" t="str">
        <f t="shared" si="41"/>
        <v>__</v>
      </c>
      <c r="H855" s="40" t="str">
        <f t="shared" si="42"/>
        <v>FALSE</v>
      </c>
      <c r="I855" s="41">
        <f t="shared" si="43"/>
        <v>0</v>
      </c>
      <c r="J855" s="4" t="s">
        <v>16</v>
      </c>
      <c r="K855" s="43" t="str">
        <f>IF(VLOOKUP(J855,βοηθητικό!$J$2:$N$354,3,FALSE)="","",VLOOKUP(J855,βοηθητικό!$J$2:$N$354,3,FALSE))</f>
        <v>_</v>
      </c>
      <c r="L855" s="44"/>
      <c r="M855" s="5" t="s">
        <v>16</v>
      </c>
      <c r="N855" s="46" t="str">
        <f>IF(VLOOKUP(M855,βοηθητικό!$J$2:$N$354,3,FALSE)="","",VLOOKUP(M855,βοηθητικό!$J$2:$N$354,3,FALSE))</f>
        <v>_</v>
      </c>
      <c r="O855" s="47"/>
      <c r="P855" s="4" t="s">
        <v>16</v>
      </c>
      <c r="Q855" s="43" t="str">
        <f>IF(VLOOKUP(P855,βοηθητικό!$J$2:$N$354,3,FALSE)="","",VLOOKUP(P855,βοηθητικό!$J$2:$N$354,3,FALSE))</f>
        <v>_</v>
      </c>
      <c r="R855" s="44"/>
      <c r="S855" s="5" t="s">
        <v>16</v>
      </c>
      <c r="T855" s="46" t="str">
        <f>IF(VLOOKUP(S855,βοηθητικό!$J$2:$N$354,3,FALSE)="","",VLOOKUP(S855,βοηθητικό!$J$2:$N$354,3,FALSE))</f>
        <v>_</v>
      </c>
      <c r="U855" s="47"/>
      <c r="V855" s="4" t="s">
        <v>16</v>
      </c>
      <c r="W855" s="43" t="str">
        <f>IF(VLOOKUP(V855,βοηθητικό!$J$2:$N$354,3,FALSE)="","",VLOOKUP(V855,βοηθητικό!$J$2:$N$354,3,FALSE))</f>
        <v>_</v>
      </c>
      <c r="X855" s="44"/>
      <c r="Y855" s="5" t="s">
        <v>16</v>
      </c>
      <c r="Z855" s="46" t="str">
        <f>IF(VLOOKUP(Y855,βοηθητικό!$J$2:$N$354,3,FALSE)="","",VLOOKUP(Y855,βοηθητικό!$J$2:$N$354,3,FALSE))</f>
        <v>_</v>
      </c>
      <c r="AA855" s="47"/>
      <c r="AB855" s="4" t="s">
        <v>16</v>
      </c>
      <c r="AC855" s="43" t="str">
        <f>IF(VLOOKUP(AB855,βοηθητικό!$J$2:$N$354,3,FALSE)="","",VLOOKUP(AB855,βοηθητικό!$J$2:$N$354,3,FALSE))</f>
        <v>_</v>
      </c>
      <c r="AD855" s="44"/>
      <c r="AE855" s="5" t="s">
        <v>16</v>
      </c>
      <c r="AF855" s="46" t="str">
        <f>IF(VLOOKUP(AE855,βοηθητικό!$J$2:$N$354,3,FALSE)="","",VLOOKUP(AE855,βοηθητικό!$J$2:$N$354,3,FALSE))</f>
        <v>_</v>
      </c>
      <c r="AG855" s="47"/>
      <c r="AH855" s="4" t="s">
        <v>16</v>
      </c>
      <c r="AI855" s="43" t="str">
        <f>IF(VLOOKUP(AH855,βοηθητικό!$J$2:$N$354,3,FALSE)="","",VLOOKUP(AH855,βοηθητικό!$J$2:$N$354,3,FALSE))</f>
        <v>_</v>
      </c>
      <c r="AJ855" s="44"/>
      <c r="AK855" s="5" t="s">
        <v>16</v>
      </c>
      <c r="AL855" s="46" t="str">
        <f>IF(VLOOKUP(AK855,βοηθητικό!$J$2:$N$354,3,FALSE)="","",VLOOKUP(AK855,βοηθητικό!$J$2:$N$354,3,FALSE))</f>
        <v>_</v>
      </c>
      <c r="AM855" s="47"/>
      <c r="AN855" s="4" t="s">
        <v>16</v>
      </c>
      <c r="AO855" s="43" t="str">
        <f>IF(VLOOKUP(AN855,βοηθητικό!$J$2:$N$354,3,FALSE)="","",VLOOKUP(AN855,βοηθητικό!$J$2:$N$354,3,FALSE))</f>
        <v>_</v>
      </c>
      <c r="AP855" s="44"/>
      <c r="AQ855" s="5" t="s">
        <v>16</v>
      </c>
      <c r="AR855" s="46" t="str">
        <f>IF(VLOOKUP(AQ855,βοηθητικό!$J$2:$N$354,3,FALSE)="","",VLOOKUP(AQ855,βοηθητικό!$J$2:$N$354,3,FALSE))</f>
        <v>_</v>
      </c>
      <c r="AS855" s="47"/>
      <c r="AT855" s="4" t="s">
        <v>16</v>
      </c>
      <c r="AU855" s="43" t="str">
        <f>IF(VLOOKUP(AT855,βοηθητικό!$J$2:$N$354,3,FALSE)="","",VLOOKUP(AT855,βοηθητικό!$J$2:$N$354,3,FALSE))</f>
        <v>_</v>
      </c>
      <c r="AV855" s="44"/>
      <c r="AW855" s="5" t="s">
        <v>16</v>
      </c>
      <c r="AX855" s="46" t="str">
        <f>IF(VLOOKUP(AW855,βοηθητικό!$J$2:$N$354,3,FALSE)="","",VLOOKUP(AW855,βοηθητικό!$J$2:$N$354,3,FALSE))</f>
        <v>_</v>
      </c>
      <c r="AY855" s="47"/>
      <c r="AZ855" s="4" t="s">
        <v>16</v>
      </c>
      <c r="BA855" s="43" t="str">
        <f>IF(VLOOKUP(AZ855,βοηθητικό!$J$2:$N$354,3,FALSE)="","",VLOOKUP(AZ855,βοηθητικό!$J$2:$N$354,3,FALSE))</f>
        <v>_</v>
      </c>
      <c r="BB855" s="44"/>
      <c r="BC855" s="45" t="s">
        <v>16</v>
      </c>
      <c r="BD855" s="46" t="str">
        <f>IF(VLOOKUP(BC855,βοηθητικό!$J$2:$N$354,3,FALSE)="","",VLOOKUP(BC855,βοηθητικό!$J$2:$N$354,3,FALSE))</f>
        <v>_</v>
      </c>
      <c r="BE855" s="47"/>
      <c r="BF855" s="42" t="s">
        <v>16</v>
      </c>
      <c r="BG855" s="43" t="str">
        <f>IF(VLOOKUP(BF855,βοηθητικό!$J$2:$N$354,3,FALSE)="","",VLOOKUP(BF855,βοηθητικό!$J$2:$N$354,3,FALSE))</f>
        <v>_</v>
      </c>
      <c r="BH855" s="44"/>
      <c r="BI855" s="45" t="s">
        <v>16</v>
      </c>
      <c r="BJ855" s="46" t="str">
        <f>IF(VLOOKUP(BI855,βοηθητικό!$J$2:$N$354,3,FALSE)="","",VLOOKUP(BI855,βοηθητικό!$J$2:$N$354,3,FALSE))</f>
        <v>_</v>
      </c>
      <c r="BK855" s="47"/>
      <c r="BL855" s="42" t="s">
        <v>16</v>
      </c>
      <c r="BM855" s="43" t="str">
        <f>IF(VLOOKUP(BL855,βοηθητικό!$J$2:$N$354,3,FALSE)="","",VLOOKUP(BL855,βοηθητικό!$J$2:$N$354,3,FALSE))</f>
        <v>_</v>
      </c>
      <c r="BN855" s="44"/>
      <c r="BO855" s="45" t="s">
        <v>16</v>
      </c>
      <c r="BP855" s="46" t="str">
        <f>IF(VLOOKUP(BO855,βοηθητικό!$J$2:$N$354,3,FALSE)="","",VLOOKUP(BO855,βοηθητικό!$J$2:$N$354,3,FALSE))</f>
        <v>_</v>
      </c>
      <c r="BQ855" s="47"/>
      <c r="BR855" s="42" t="s">
        <v>16</v>
      </c>
      <c r="BS855" s="43" t="str">
        <f>IF(VLOOKUP(BR855,βοηθητικό!$J$2:$N$354,3,FALSE)="","",VLOOKUP(BR855,βοηθητικό!$J$2:$N$354,3,FALSE))</f>
        <v>_</v>
      </c>
      <c r="BT855" s="44"/>
      <c r="BU855" s="45" t="s">
        <v>16</v>
      </c>
      <c r="BV855" s="46" t="str">
        <f>IF(VLOOKUP(BU855,βοηθητικό!$J$2:$N$354,3,FALSE)="","",VLOOKUP(BU855,βοηθητικό!$J$2:$N$354,3,FALSE))</f>
        <v>_</v>
      </c>
      <c r="BW855" s="47"/>
      <c r="BX855" s="42" t="s">
        <v>16</v>
      </c>
      <c r="BY855" s="43" t="str">
        <f>IF(VLOOKUP(BX855,βοηθητικό!$J$2:$N$354,3,FALSE)="","",VLOOKUP(BX855,βοηθητικό!$J$2:$N$354,3,FALSE))</f>
        <v>_</v>
      </c>
      <c r="BZ855" s="44"/>
      <c r="CA855" s="45" t="s">
        <v>16</v>
      </c>
      <c r="CB855" s="46" t="str">
        <f>IF(VLOOKUP(CA855,βοηθητικό!$J$2:$N$354,3,FALSE)="","",VLOOKUP(CA855,βοηθητικό!$J$2:$N$354,3,FALSE))</f>
        <v>_</v>
      </c>
      <c r="CC855" s="47"/>
      <c r="CD855" s="42" t="s">
        <v>16</v>
      </c>
      <c r="CE855" s="43" t="str">
        <f>IF(VLOOKUP(CD855,βοηθητικό!$J$2:$N$354,3,FALSE)="","",VLOOKUP(CD855,βοηθητικό!$J$2:$N$354,3,FALSE))</f>
        <v>_</v>
      </c>
      <c r="CF855" s="44"/>
      <c r="CG855" s="45" t="s">
        <v>16</v>
      </c>
      <c r="CH855" s="46" t="str">
        <f>IF(VLOOKUP(CG855,βοηθητικό!$J$2:$N$354,3,FALSE)="","",VLOOKUP(CG855,βοηθητικό!$J$2:$N$354,3,FALSE))</f>
        <v>_</v>
      </c>
      <c r="CI855" s="47"/>
      <c r="CJ855" s="42" t="s">
        <v>16</v>
      </c>
      <c r="CK855" s="43" t="str">
        <f>IF(VLOOKUP(CJ855,βοηθητικό!$J$2:$N$354,3,FALSE)="","",VLOOKUP(CJ855,βοηθητικό!$J$2:$N$354,3,FALSE))</f>
        <v>_</v>
      </c>
      <c r="CL855" s="44"/>
      <c r="CM855" s="45" t="s">
        <v>16</v>
      </c>
      <c r="CN855" s="46" t="str">
        <f>IF(VLOOKUP(CM855,βοηθητικό!$J$2:$N$354,3,FALSE)="","",VLOOKUP(CM855,βοηθητικό!$J$2:$N$354,3,FALSE))</f>
        <v>_</v>
      </c>
      <c r="CO855" s="47"/>
      <c r="CP855" s="42" t="s">
        <v>16</v>
      </c>
      <c r="CQ855" s="43" t="str">
        <f>IF(VLOOKUP(CP855,βοηθητικό!$J$2:$N$354,3,FALSE)="","",VLOOKUP(CP855,βοηθητικό!$J$2:$N$354,3,FALSE))</f>
        <v>_</v>
      </c>
      <c r="CR855" s="44"/>
      <c r="CS855" s="45" t="s">
        <v>16</v>
      </c>
      <c r="CT855" s="46" t="str">
        <f>IF(VLOOKUP(CS855,βοηθητικό!$J$2:$N$354,3,FALSE)="","",VLOOKUP(CS855,βοηθητικό!$J$2:$N$354,3,FALSE))</f>
        <v>_</v>
      </c>
      <c r="CU855" s="47"/>
    </row>
    <row r="856" spans="1:99" x14ac:dyDescent="0.25">
      <c r="A856" s="37">
        <f>--SUBTOTAL(3,$B$3:B855)</f>
        <v>198</v>
      </c>
      <c r="B856" s="2"/>
      <c r="C856" s="3"/>
      <c r="D856" s="55" t="s">
        <v>18</v>
      </c>
      <c r="E856" s="38" t="s">
        <v>16</v>
      </c>
      <c r="F856" s="38"/>
      <c r="G856" s="39" t="str">
        <f t="shared" si="41"/>
        <v>__</v>
      </c>
      <c r="H856" s="40" t="str">
        <f t="shared" si="42"/>
        <v>FALSE</v>
      </c>
      <c r="I856" s="41">
        <f t="shared" si="43"/>
        <v>0</v>
      </c>
      <c r="J856" s="4" t="s">
        <v>16</v>
      </c>
      <c r="K856" s="43" t="str">
        <f>IF(VLOOKUP(J856,βοηθητικό!$J$2:$N$354,3,FALSE)="","",VLOOKUP(J856,βοηθητικό!$J$2:$N$354,3,FALSE))</f>
        <v>_</v>
      </c>
      <c r="L856" s="44"/>
      <c r="M856" s="5" t="s">
        <v>16</v>
      </c>
      <c r="N856" s="46" t="str">
        <f>IF(VLOOKUP(M856,βοηθητικό!$J$2:$N$354,3,FALSE)="","",VLOOKUP(M856,βοηθητικό!$J$2:$N$354,3,FALSE))</f>
        <v>_</v>
      </c>
      <c r="O856" s="47"/>
      <c r="P856" s="4" t="s">
        <v>16</v>
      </c>
      <c r="Q856" s="43" t="str">
        <f>IF(VLOOKUP(P856,βοηθητικό!$J$2:$N$354,3,FALSE)="","",VLOOKUP(P856,βοηθητικό!$J$2:$N$354,3,FALSE))</f>
        <v>_</v>
      </c>
      <c r="R856" s="44"/>
      <c r="S856" s="5" t="s">
        <v>16</v>
      </c>
      <c r="T856" s="46" t="str">
        <f>IF(VLOOKUP(S856,βοηθητικό!$J$2:$N$354,3,FALSE)="","",VLOOKUP(S856,βοηθητικό!$J$2:$N$354,3,FALSE))</f>
        <v>_</v>
      </c>
      <c r="U856" s="47"/>
      <c r="V856" s="4" t="s">
        <v>16</v>
      </c>
      <c r="W856" s="43" t="str">
        <f>IF(VLOOKUP(V856,βοηθητικό!$J$2:$N$354,3,FALSE)="","",VLOOKUP(V856,βοηθητικό!$J$2:$N$354,3,FALSE))</f>
        <v>_</v>
      </c>
      <c r="X856" s="44"/>
      <c r="Y856" s="5" t="s">
        <v>16</v>
      </c>
      <c r="Z856" s="46" t="str">
        <f>IF(VLOOKUP(Y856,βοηθητικό!$J$2:$N$354,3,FALSE)="","",VLOOKUP(Y856,βοηθητικό!$J$2:$N$354,3,FALSE))</f>
        <v>_</v>
      </c>
      <c r="AA856" s="47"/>
      <c r="AB856" s="4" t="s">
        <v>16</v>
      </c>
      <c r="AC856" s="43" t="str">
        <f>IF(VLOOKUP(AB856,βοηθητικό!$J$2:$N$354,3,FALSE)="","",VLOOKUP(AB856,βοηθητικό!$J$2:$N$354,3,FALSE))</f>
        <v>_</v>
      </c>
      <c r="AD856" s="44"/>
      <c r="AE856" s="5" t="s">
        <v>16</v>
      </c>
      <c r="AF856" s="46" t="str">
        <f>IF(VLOOKUP(AE856,βοηθητικό!$J$2:$N$354,3,FALSE)="","",VLOOKUP(AE856,βοηθητικό!$J$2:$N$354,3,FALSE))</f>
        <v>_</v>
      </c>
      <c r="AG856" s="47"/>
      <c r="AH856" s="4" t="s">
        <v>16</v>
      </c>
      <c r="AI856" s="43" t="str">
        <f>IF(VLOOKUP(AH856,βοηθητικό!$J$2:$N$354,3,FALSE)="","",VLOOKUP(AH856,βοηθητικό!$J$2:$N$354,3,FALSE))</f>
        <v>_</v>
      </c>
      <c r="AJ856" s="44"/>
      <c r="AK856" s="5" t="s">
        <v>16</v>
      </c>
      <c r="AL856" s="46" t="str">
        <f>IF(VLOOKUP(AK856,βοηθητικό!$J$2:$N$354,3,FALSE)="","",VLOOKUP(AK856,βοηθητικό!$J$2:$N$354,3,FALSE))</f>
        <v>_</v>
      </c>
      <c r="AM856" s="47"/>
      <c r="AN856" s="4" t="s">
        <v>16</v>
      </c>
      <c r="AO856" s="43" t="str">
        <f>IF(VLOOKUP(AN856,βοηθητικό!$J$2:$N$354,3,FALSE)="","",VLOOKUP(AN856,βοηθητικό!$J$2:$N$354,3,FALSE))</f>
        <v>_</v>
      </c>
      <c r="AP856" s="44"/>
      <c r="AQ856" s="5" t="s">
        <v>16</v>
      </c>
      <c r="AR856" s="46" t="str">
        <f>IF(VLOOKUP(AQ856,βοηθητικό!$J$2:$N$354,3,FALSE)="","",VLOOKUP(AQ856,βοηθητικό!$J$2:$N$354,3,FALSE))</f>
        <v>_</v>
      </c>
      <c r="AS856" s="47"/>
      <c r="AT856" s="4" t="s">
        <v>16</v>
      </c>
      <c r="AU856" s="43" t="str">
        <f>IF(VLOOKUP(AT856,βοηθητικό!$J$2:$N$354,3,FALSE)="","",VLOOKUP(AT856,βοηθητικό!$J$2:$N$354,3,FALSE))</f>
        <v>_</v>
      </c>
      <c r="AV856" s="44"/>
      <c r="AW856" s="5" t="s">
        <v>16</v>
      </c>
      <c r="AX856" s="46" t="str">
        <f>IF(VLOOKUP(AW856,βοηθητικό!$J$2:$N$354,3,FALSE)="","",VLOOKUP(AW856,βοηθητικό!$J$2:$N$354,3,FALSE))</f>
        <v>_</v>
      </c>
      <c r="AY856" s="47"/>
      <c r="AZ856" s="4" t="s">
        <v>16</v>
      </c>
      <c r="BA856" s="43" t="str">
        <f>IF(VLOOKUP(AZ856,βοηθητικό!$J$2:$N$354,3,FALSE)="","",VLOOKUP(AZ856,βοηθητικό!$J$2:$N$354,3,FALSE))</f>
        <v>_</v>
      </c>
      <c r="BB856" s="44"/>
      <c r="BC856" s="45" t="s">
        <v>16</v>
      </c>
      <c r="BD856" s="46" t="str">
        <f>IF(VLOOKUP(BC856,βοηθητικό!$J$2:$N$354,3,FALSE)="","",VLOOKUP(BC856,βοηθητικό!$J$2:$N$354,3,FALSE))</f>
        <v>_</v>
      </c>
      <c r="BE856" s="47"/>
      <c r="BF856" s="42" t="s">
        <v>16</v>
      </c>
      <c r="BG856" s="43" t="str">
        <f>IF(VLOOKUP(BF856,βοηθητικό!$J$2:$N$354,3,FALSE)="","",VLOOKUP(BF856,βοηθητικό!$J$2:$N$354,3,FALSE))</f>
        <v>_</v>
      </c>
      <c r="BH856" s="44"/>
      <c r="BI856" s="45" t="s">
        <v>16</v>
      </c>
      <c r="BJ856" s="46" t="str">
        <f>IF(VLOOKUP(BI856,βοηθητικό!$J$2:$N$354,3,FALSE)="","",VLOOKUP(BI856,βοηθητικό!$J$2:$N$354,3,FALSE))</f>
        <v>_</v>
      </c>
      <c r="BK856" s="47"/>
      <c r="BL856" s="42" t="s">
        <v>16</v>
      </c>
      <c r="BM856" s="43" t="str">
        <f>IF(VLOOKUP(BL856,βοηθητικό!$J$2:$N$354,3,FALSE)="","",VLOOKUP(BL856,βοηθητικό!$J$2:$N$354,3,FALSE))</f>
        <v>_</v>
      </c>
      <c r="BN856" s="44"/>
      <c r="BO856" s="45" t="s">
        <v>16</v>
      </c>
      <c r="BP856" s="46" t="str">
        <f>IF(VLOOKUP(BO856,βοηθητικό!$J$2:$N$354,3,FALSE)="","",VLOOKUP(BO856,βοηθητικό!$J$2:$N$354,3,FALSE))</f>
        <v>_</v>
      </c>
      <c r="BQ856" s="47"/>
      <c r="BR856" s="42" t="s">
        <v>16</v>
      </c>
      <c r="BS856" s="43" t="str">
        <f>IF(VLOOKUP(BR856,βοηθητικό!$J$2:$N$354,3,FALSE)="","",VLOOKUP(BR856,βοηθητικό!$J$2:$N$354,3,FALSE))</f>
        <v>_</v>
      </c>
      <c r="BT856" s="44"/>
      <c r="BU856" s="45" t="s">
        <v>16</v>
      </c>
      <c r="BV856" s="46" t="str">
        <f>IF(VLOOKUP(BU856,βοηθητικό!$J$2:$N$354,3,FALSE)="","",VLOOKUP(BU856,βοηθητικό!$J$2:$N$354,3,FALSE))</f>
        <v>_</v>
      </c>
      <c r="BW856" s="47"/>
      <c r="BX856" s="42" t="s">
        <v>16</v>
      </c>
      <c r="BY856" s="43" t="str">
        <f>IF(VLOOKUP(BX856,βοηθητικό!$J$2:$N$354,3,FALSE)="","",VLOOKUP(BX856,βοηθητικό!$J$2:$N$354,3,FALSE))</f>
        <v>_</v>
      </c>
      <c r="BZ856" s="44"/>
      <c r="CA856" s="45" t="s">
        <v>16</v>
      </c>
      <c r="CB856" s="46" t="str">
        <f>IF(VLOOKUP(CA856,βοηθητικό!$J$2:$N$354,3,FALSE)="","",VLOOKUP(CA856,βοηθητικό!$J$2:$N$354,3,FALSE))</f>
        <v>_</v>
      </c>
      <c r="CC856" s="47"/>
      <c r="CD856" s="42" t="s">
        <v>16</v>
      </c>
      <c r="CE856" s="43" t="str">
        <f>IF(VLOOKUP(CD856,βοηθητικό!$J$2:$N$354,3,FALSE)="","",VLOOKUP(CD856,βοηθητικό!$J$2:$N$354,3,FALSE))</f>
        <v>_</v>
      </c>
      <c r="CF856" s="44"/>
      <c r="CG856" s="45" t="s">
        <v>16</v>
      </c>
      <c r="CH856" s="46" t="str">
        <f>IF(VLOOKUP(CG856,βοηθητικό!$J$2:$N$354,3,FALSE)="","",VLOOKUP(CG856,βοηθητικό!$J$2:$N$354,3,FALSE))</f>
        <v>_</v>
      </c>
      <c r="CI856" s="47"/>
      <c r="CJ856" s="42" t="s">
        <v>16</v>
      </c>
      <c r="CK856" s="43" t="str">
        <f>IF(VLOOKUP(CJ856,βοηθητικό!$J$2:$N$354,3,FALSE)="","",VLOOKUP(CJ856,βοηθητικό!$J$2:$N$354,3,FALSE))</f>
        <v>_</v>
      </c>
      <c r="CL856" s="44"/>
      <c r="CM856" s="45" t="s">
        <v>16</v>
      </c>
      <c r="CN856" s="46" t="str">
        <f>IF(VLOOKUP(CM856,βοηθητικό!$J$2:$N$354,3,FALSE)="","",VLOOKUP(CM856,βοηθητικό!$J$2:$N$354,3,FALSE))</f>
        <v>_</v>
      </c>
      <c r="CO856" s="47"/>
      <c r="CP856" s="42" t="s">
        <v>16</v>
      </c>
      <c r="CQ856" s="43" t="str">
        <f>IF(VLOOKUP(CP856,βοηθητικό!$J$2:$N$354,3,FALSE)="","",VLOOKUP(CP856,βοηθητικό!$J$2:$N$354,3,FALSE))</f>
        <v>_</v>
      </c>
      <c r="CR856" s="44"/>
      <c r="CS856" s="45" t="s">
        <v>16</v>
      </c>
      <c r="CT856" s="46" t="str">
        <f>IF(VLOOKUP(CS856,βοηθητικό!$J$2:$N$354,3,FALSE)="","",VLOOKUP(CS856,βοηθητικό!$J$2:$N$354,3,FALSE))</f>
        <v>_</v>
      </c>
      <c r="CU856" s="47"/>
    </row>
    <row r="857" spans="1:99" x14ac:dyDescent="0.25">
      <c r="A857" s="37">
        <f>--SUBTOTAL(3,$B$3:B856)</f>
        <v>198</v>
      </c>
      <c r="B857" s="2"/>
      <c r="C857" s="3"/>
      <c r="D857" s="55" t="s">
        <v>18</v>
      </c>
      <c r="E857" s="38" t="s">
        <v>16</v>
      </c>
      <c r="F857" s="38"/>
      <c r="G857" s="39" t="str">
        <f t="shared" si="41"/>
        <v>__</v>
      </c>
      <c r="H857" s="40" t="str">
        <f t="shared" si="42"/>
        <v>FALSE</v>
      </c>
      <c r="I857" s="41">
        <f t="shared" si="43"/>
        <v>0</v>
      </c>
      <c r="J857" s="4" t="s">
        <v>16</v>
      </c>
      <c r="K857" s="43" t="str">
        <f>IF(VLOOKUP(J857,βοηθητικό!$J$2:$N$354,3,FALSE)="","",VLOOKUP(J857,βοηθητικό!$J$2:$N$354,3,FALSE))</f>
        <v>_</v>
      </c>
      <c r="L857" s="44"/>
      <c r="M857" s="5" t="s">
        <v>16</v>
      </c>
      <c r="N857" s="46" t="str">
        <f>IF(VLOOKUP(M857,βοηθητικό!$J$2:$N$354,3,FALSE)="","",VLOOKUP(M857,βοηθητικό!$J$2:$N$354,3,FALSE))</f>
        <v>_</v>
      </c>
      <c r="O857" s="47"/>
      <c r="P857" s="4" t="s">
        <v>16</v>
      </c>
      <c r="Q857" s="43" t="str">
        <f>IF(VLOOKUP(P857,βοηθητικό!$J$2:$N$354,3,FALSE)="","",VLOOKUP(P857,βοηθητικό!$J$2:$N$354,3,FALSE))</f>
        <v>_</v>
      </c>
      <c r="R857" s="44"/>
      <c r="S857" s="5" t="s">
        <v>16</v>
      </c>
      <c r="T857" s="46" t="str">
        <f>IF(VLOOKUP(S857,βοηθητικό!$J$2:$N$354,3,FALSE)="","",VLOOKUP(S857,βοηθητικό!$J$2:$N$354,3,FALSE))</f>
        <v>_</v>
      </c>
      <c r="U857" s="47"/>
      <c r="V857" s="4" t="s">
        <v>16</v>
      </c>
      <c r="W857" s="43" t="str">
        <f>IF(VLOOKUP(V857,βοηθητικό!$J$2:$N$354,3,FALSE)="","",VLOOKUP(V857,βοηθητικό!$J$2:$N$354,3,FALSE))</f>
        <v>_</v>
      </c>
      <c r="X857" s="44"/>
      <c r="Y857" s="5" t="s">
        <v>16</v>
      </c>
      <c r="Z857" s="46" t="str">
        <f>IF(VLOOKUP(Y857,βοηθητικό!$J$2:$N$354,3,FALSE)="","",VLOOKUP(Y857,βοηθητικό!$J$2:$N$354,3,FALSE))</f>
        <v>_</v>
      </c>
      <c r="AA857" s="47"/>
      <c r="AB857" s="4" t="s">
        <v>16</v>
      </c>
      <c r="AC857" s="43" t="str">
        <f>IF(VLOOKUP(AB857,βοηθητικό!$J$2:$N$354,3,FALSE)="","",VLOOKUP(AB857,βοηθητικό!$J$2:$N$354,3,FALSE))</f>
        <v>_</v>
      </c>
      <c r="AD857" s="44"/>
      <c r="AE857" s="5" t="s">
        <v>16</v>
      </c>
      <c r="AF857" s="46" t="str">
        <f>IF(VLOOKUP(AE857,βοηθητικό!$J$2:$N$354,3,FALSE)="","",VLOOKUP(AE857,βοηθητικό!$J$2:$N$354,3,FALSE))</f>
        <v>_</v>
      </c>
      <c r="AG857" s="47"/>
      <c r="AH857" s="4" t="s">
        <v>16</v>
      </c>
      <c r="AI857" s="43" t="str">
        <f>IF(VLOOKUP(AH857,βοηθητικό!$J$2:$N$354,3,FALSE)="","",VLOOKUP(AH857,βοηθητικό!$J$2:$N$354,3,FALSE))</f>
        <v>_</v>
      </c>
      <c r="AJ857" s="44"/>
      <c r="AK857" s="5" t="s">
        <v>16</v>
      </c>
      <c r="AL857" s="46" t="str">
        <f>IF(VLOOKUP(AK857,βοηθητικό!$J$2:$N$354,3,FALSE)="","",VLOOKUP(AK857,βοηθητικό!$J$2:$N$354,3,FALSE))</f>
        <v>_</v>
      </c>
      <c r="AM857" s="47"/>
      <c r="AN857" s="4" t="s">
        <v>16</v>
      </c>
      <c r="AO857" s="43" t="str">
        <f>IF(VLOOKUP(AN857,βοηθητικό!$J$2:$N$354,3,FALSE)="","",VLOOKUP(AN857,βοηθητικό!$J$2:$N$354,3,FALSE))</f>
        <v>_</v>
      </c>
      <c r="AP857" s="44"/>
      <c r="AQ857" s="5" t="s">
        <v>16</v>
      </c>
      <c r="AR857" s="46" t="str">
        <f>IF(VLOOKUP(AQ857,βοηθητικό!$J$2:$N$354,3,FALSE)="","",VLOOKUP(AQ857,βοηθητικό!$J$2:$N$354,3,FALSE))</f>
        <v>_</v>
      </c>
      <c r="AS857" s="47"/>
      <c r="AT857" s="4" t="s">
        <v>16</v>
      </c>
      <c r="AU857" s="43" t="str">
        <f>IF(VLOOKUP(AT857,βοηθητικό!$J$2:$N$354,3,FALSE)="","",VLOOKUP(AT857,βοηθητικό!$J$2:$N$354,3,FALSE))</f>
        <v>_</v>
      </c>
      <c r="AV857" s="44"/>
      <c r="AW857" s="5" t="s">
        <v>16</v>
      </c>
      <c r="AX857" s="46" t="str">
        <f>IF(VLOOKUP(AW857,βοηθητικό!$J$2:$N$354,3,FALSE)="","",VLOOKUP(AW857,βοηθητικό!$J$2:$N$354,3,FALSE))</f>
        <v>_</v>
      </c>
      <c r="AY857" s="47"/>
      <c r="AZ857" s="4" t="s">
        <v>16</v>
      </c>
      <c r="BA857" s="43" t="str">
        <f>IF(VLOOKUP(AZ857,βοηθητικό!$J$2:$N$354,3,FALSE)="","",VLOOKUP(AZ857,βοηθητικό!$J$2:$N$354,3,FALSE))</f>
        <v>_</v>
      </c>
      <c r="BB857" s="44"/>
      <c r="BC857" s="45" t="s">
        <v>16</v>
      </c>
      <c r="BD857" s="46" t="str">
        <f>IF(VLOOKUP(BC857,βοηθητικό!$J$2:$N$354,3,FALSE)="","",VLOOKUP(BC857,βοηθητικό!$J$2:$N$354,3,FALSE))</f>
        <v>_</v>
      </c>
      <c r="BE857" s="47"/>
      <c r="BF857" s="42" t="s">
        <v>16</v>
      </c>
      <c r="BG857" s="43" t="str">
        <f>IF(VLOOKUP(BF857,βοηθητικό!$J$2:$N$354,3,FALSE)="","",VLOOKUP(BF857,βοηθητικό!$J$2:$N$354,3,FALSE))</f>
        <v>_</v>
      </c>
      <c r="BH857" s="44"/>
      <c r="BI857" s="45" t="s">
        <v>16</v>
      </c>
      <c r="BJ857" s="46" t="str">
        <f>IF(VLOOKUP(BI857,βοηθητικό!$J$2:$N$354,3,FALSE)="","",VLOOKUP(BI857,βοηθητικό!$J$2:$N$354,3,FALSE))</f>
        <v>_</v>
      </c>
      <c r="BK857" s="47"/>
      <c r="BL857" s="42" t="s">
        <v>16</v>
      </c>
      <c r="BM857" s="43" t="str">
        <f>IF(VLOOKUP(BL857,βοηθητικό!$J$2:$N$354,3,FALSE)="","",VLOOKUP(BL857,βοηθητικό!$J$2:$N$354,3,FALSE))</f>
        <v>_</v>
      </c>
      <c r="BN857" s="44"/>
      <c r="BO857" s="45" t="s">
        <v>16</v>
      </c>
      <c r="BP857" s="46" t="str">
        <f>IF(VLOOKUP(BO857,βοηθητικό!$J$2:$N$354,3,FALSE)="","",VLOOKUP(BO857,βοηθητικό!$J$2:$N$354,3,FALSE))</f>
        <v>_</v>
      </c>
      <c r="BQ857" s="47"/>
      <c r="BR857" s="42" t="s">
        <v>16</v>
      </c>
      <c r="BS857" s="43" t="str">
        <f>IF(VLOOKUP(BR857,βοηθητικό!$J$2:$N$354,3,FALSE)="","",VLOOKUP(BR857,βοηθητικό!$J$2:$N$354,3,FALSE))</f>
        <v>_</v>
      </c>
      <c r="BT857" s="44"/>
      <c r="BU857" s="45" t="s">
        <v>16</v>
      </c>
      <c r="BV857" s="46" t="str">
        <f>IF(VLOOKUP(BU857,βοηθητικό!$J$2:$N$354,3,FALSE)="","",VLOOKUP(BU857,βοηθητικό!$J$2:$N$354,3,FALSE))</f>
        <v>_</v>
      </c>
      <c r="BW857" s="47"/>
      <c r="BX857" s="42" t="s">
        <v>16</v>
      </c>
      <c r="BY857" s="43" t="str">
        <f>IF(VLOOKUP(BX857,βοηθητικό!$J$2:$N$354,3,FALSE)="","",VLOOKUP(BX857,βοηθητικό!$J$2:$N$354,3,FALSE))</f>
        <v>_</v>
      </c>
      <c r="BZ857" s="44"/>
      <c r="CA857" s="45" t="s">
        <v>16</v>
      </c>
      <c r="CB857" s="46" t="str">
        <f>IF(VLOOKUP(CA857,βοηθητικό!$J$2:$N$354,3,FALSE)="","",VLOOKUP(CA857,βοηθητικό!$J$2:$N$354,3,FALSE))</f>
        <v>_</v>
      </c>
      <c r="CC857" s="47"/>
      <c r="CD857" s="42" t="s">
        <v>16</v>
      </c>
      <c r="CE857" s="43" t="str">
        <f>IF(VLOOKUP(CD857,βοηθητικό!$J$2:$N$354,3,FALSE)="","",VLOOKUP(CD857,βοηθητικό!$J$2:$N$354,3,FALSE))</f>
        <v>_</v>
      </c>
      <c r="CF857" s="44"/>
      <c r="CG857" s="45" t="s">
        <v>16</v>
      </c>
      <c r="CH857" s="46" t="str">
        <f>IF(VLOOKUP(CG857,βοηθητικό!$J$2:$N$354,3,FALSE)="","",VLOOKUP(CG857,βοηθητικό!$J$2:$N$354,3,FALSE))</f>
        <v>_</v>
      </c>
      <c r="CI857" s="47"/>
      <c r="CJ857" s="42" t="s">
        <v>16</v>
      </c>
      <c r="CK857" s="43" t="str">
        <f>IF(VLOOKUP(CJ857,βοηθητικό!$J$2:$N$354,3,FALSE)="","",VLOOKUP(CJ857,βοηθητικό!$J$2:$N$354,3,FALSE))</f>
        <v>_</v>
      </c>
      <c r="CL857" s="44"/>
      <c r="CM857" s="45" t="s">
        <v>16</v>
      </c>
      <c r="CN857" s="46" t="str">
        <f>IF(VLOOKUP(CM857,βοηθητικό!$J$2:$N$354,3,FALSE)="","",VLOOKUP(CM857,βοηθητικό!$J$2:$N$354,3,FALSE))</f>
        <v>_</v>
      </c>
      <c r="CO857" s="47"/>
      <c r="CP857" s="42" t="s">
        <v>16</v>
      </c>
      <c r="CQ857" s="43" t="str">
        <f>IF(VLOOKUP(CP857,βοηθητικό!$J$2:$N$354,3,FALSE)="","",VLOOKUP(CP857,βοηθητικό!$J$2:$N$354,3,FALSE))</f>
        <v>_</v>
      </c>
      <c r="CR857" s="44"/>
      <c r="CS857" s="45" t="s">
        <v>16</v>
      </c>
      <c r="CT857" s="46" t="str">
        <f>IF(VLOOKUP(CS857,βοηθητικό!$J$2:$N$354,3,FALSE)="","",VLOOKUP(CS857,βοηθητικό!$J$2:$N$354,3,FALSE))</f>
        <v>_</v>
      </c>
      <c r="CU857" s="47"/>
    </row>
    <row r="858" spans="1:99" x14ac:dyDescent="0.25">
      <c r="A858" s="37">
        <f>--SUBTOTAL(3,$B$3:B857)</f>
        <v>198</v>
      </c>
      <c r="B858" s="2"/>
      <c r="C858" s="3"/>
      <c r="D858" s="55" t="s">
        <v>18</v>
      </c>
      <c r="E858" s="38" t="s">
        <v>16</v>
      </c>
      <c r="F858" s="38"/>
      <c r="G858" s="39" t="str">
        <f t="shared" si="41"/>
        <v>__</v>
      </c>
      <c r="H858" s="40" t="str">
        <f t="shared" si="42"/>
        <v>FALSE</v>
      </c>
      <c r="I858" s="41">
        <f t="shared" si="43"/>
        <v>0</v>
      </c>
      <c r="J858" s="4" t="s">
        <v>16</v>
      </c>
      <c r="K858" s="43" t="str">
        <f>IF(VLOOKUP(J858,βοηθητικό!$J$2:$N$354,3,FALSE)="","",VLOOKUP(J858,βοηθητικό!$J$2:$N$354,3,FALSE))</f>
        <v>_</v>
      </c>
      <c r="L858" s="44"/>
      <c r="M858" s="5" t="s">
        <v>16</v>
      </c>
      <c r="N858" s="46" t="str">
        <f>IF(VLOOKUP(M858,βοηθητικό!$J$2:$N$354,3,FALSE)="","",VLOOKUP(M858,βοηθητικό!$J$2:$N$354,3,FALSE))</f>
        <v>_</v>
      </c>
      <c r="O858" s="47"/>
      <c r="P858" s="4" t="s">
        <v>16</v>
      </c>
      <c r="Q858" s="43" t="str">
        <f>IF(VLOOKUP(P858,βοηθητικό!$J$2:$N$354,3,FALSE)="","",VLOOKUP(P858,βοηθητικό!$J$2:$N$354,3,FALSE))</f>
        <v>_</v>
      </c>
      <c r="R858" s="44"/>
      <c r="S858" s="5" t="s">
        <v>16</v>
      </c>
      <c r="T858" s="46" t="str">
        <f>IF(VLOOKUP(S858,βοηθητικό!$J$2:$N$354,3,FALSE)="","",VLOOKUP(S858,βοηθητικό!$J$2:$N$354,3,FALSE))</f>
        <v>_</v>
      </c>
      <c r="U858" s="47"/>
      <c r="V858" s="4" t="s">
        <v>16</v>
      </c>
      <c r="W858" s="43" t="str">
        <f>IF(VLOOKUP(V858,βοηθητικό!$J$2:$N$354,3,FALSE)="","",VLOOKUP(V858,βοηθητικό!$J$2:$N$354,3,FALSE))</f>
        <v>_</v>
      </c>
      <c r="X858" s="44"/>
      <c r="Y858" s="5" t="s">
        <v>16</v>
      </c>
      <c r="Z858" s="46" t="str">
        <f>IF(VLOOKUP(Y858,βοηθητικό!$J$2:$N$354,3,FALSE)="","",VLOOKUP(Y858,βοηθητικό!$J$2:$N$354,3,FALSE))</f>
        <v>_</v>
      </c>
      <c r="AA858" s="47"/>
      <c r="AB858" s="4" t="s">
        <v>16</v>
      </c>
      <c r="AC858" s="43" t="str">
        <f>IF(VLOOKUP(AB858,βοηθητικό!$J$2:$N$354,3,FALSE)="","",VLOOKUP(AB858,βοηθητικό!$J$2:$N$354,3,FALSE))</f>
        <v>_</v>
      </c>
      <c r="AD858" s="44"/>
      <c r="AE858" s="5" t="s">
        <v>16</v>
      </c>
      <c r="AF858" s="46" t="str">
        <f>IF(VLOOKUP(AE858,βοηθητικό!$J$2:$N$354,3,FALSE)="","",VLOOKUP(AE858,βοηθητικό!$J$2:$N$354,3,FALSE))</f>
        <v>_</v>
      </c>
      <c r="AG858" s="47"/>
      <c r="AH858" s="4" t="s">
        <v>16</v>
      </c>
      <c r="AI858" s="43" t="str">
        <f>IF(VLOOKUP(AH858,βοηθητικό!$J$2:$N$354,3,FALSE)="","",VLOOKUP(AH858,βοηθητικό!$J$2:$N$354,3,FALSE))</f>
        <v>_</v>
      </c>
      <c r="AJ858" s="44"/>
      <c r="AK858" s="5" t="s">
        <v>16</v>
      </c>
      <c r="AL858" s="46" t="str">
        <f>IF(VLOOKUP(AK858,βοηθητικό!$J$2:$N$354,3,FALSE)="","",VLOOKUP(AK858,βοηθητικό!$J$2:$N$354,3,FALSE))</f>
        <v>_</v>
      </c>
      <c r="AM858" s="47"/>
      <c r="AN858" s="4" t="s">
        <v>16</v>
      </c>
      <c r="AO858" s="43" t="str">
        <f>IF(VLOOKUP(AN858,βοηθητικό!$J$2:$N$354,3,FALSE)="","",VLOOKUP(AN858,βοηθητικό!$J$2:$N$354,3,FALSE))</f>
        <v>_</v>
      </c>
      <c r="AP858" s="44"/>
      <c r="AQ858" s="5" t="s">
        <v>16</v>
      </c>
      <c r="AR858" s="46" t="str">
        <f>IF(VLOOKUP(AQ858,βοηθητικό!$J$2:$N$354,3,FALSE)="","",VLOOKUP(AQ858,βοηθητικό!$J$2:$N$354,3,FALSE))</f>
        <v>_</v>
      </c>
      <c r="AS858" s="47"/>
      <c r="AT858" s="4" t="s">
        <v>16</v>
      </c>
      <c r="AU858" s="43" t="str">
        <f>IF(VLOOKUP(AT858,βοηθητικό!$J$2:$N$354,3,FALSE)="","",VLOOKUP(AT858,βοηθητικό!$J$2:$N$354,3,FALSE))</f>
        <v>_</v>
      </c>
      <c r="AV858" s="44"/>
      <c r="AW858" s="5" t="s">
        <v>16</v>
      </c>
      <c r="AX858" s="46" t="str">
        <f>IF(VLOOKUP(AW858,βοηθητικό!$J$2:$N$354,3,FALSE)="","",VLOOKUP(AW858,βοηθητικό!$J$2:$N$354,3,FALSE))</f>
        <v>_</v>
      </c>
      <c r="AY858" s="47"/>
      <c r="AZ858" s="4" t="s">
        <v>16</v>
      </c>
      <c r="BA858" s="43" t="str">
        <f>IF(VLOOKUP(AZ858,βοηθητικό!$J$2:$N$354,3,FALSE)="","",VLOOKUP(AZ858,βοηθητικό!$J$2:$N$354,3,FALSE))</f>
        <v>_</v>
      </c>
      <c r="BB858" s="44"/>
      <c r="BC858" s="45" t="s">
        <v>16</v>
      </c>
      <c r="BD858" s="46" t="str">
        <f>IF(VLOOKUP(BC858,βοηθητικό!$J$2:$N$354,3,FALSE)="","",VLOOKUP(BC858,βοηθητικό!$J$2:$N$354,3,FALSE))</f>
        <v>_</v>
      </c>
      <c r="BE858" s="47"/>
      <c r="BF858" s="42" t="s">
        <v>16</v>
      </c>
      <c r="BG858" s="43" t="str">
        <f>IF(VLOOKUP(BF858,βοηθητικό!$J$2:$N$354,3,FALSE)="","",VLOOKUP(BF858,βοηθητικό!$J$2:$N$354,3,FALSE))</f>
        <v>_</v>
      </c>
      <c r="BH858" s="44"/>
      <c r="BI858" s="45" t="s">
        <v>16</v>
      </c>
      <c r="BJ858" s="46" t="str">
        <f>IF(VLOOKUP(BI858,βοηθητικό!$J$2:$N$354,3,FALSE)="","",VLOOKUP(BI858,βοηθητικό!$J$2:$N$354,3,FALSE))</f>
        <v>_</v>
      </c>
      <c r="BK858" s="47"/>
      <c r="BL858" s="42" t="s">
        <v>16</v>
      </c>
      <c r="BM858" s="43" t="str">
        <f>IF(VLOOKUP(BL858,βοηθητικό!$J$2:$N$354,3,FALSE)="","",VLOOKUP(BL858,βοηθητικό!$J$2:$N$354,3,FALSE))</f>
        <v>_</v>
      </c>
      <c r="BN858" s="44"/>
      <c r="BO858" s="45" t="s">
        <v>16</v>
      </c>
      <c r="BP858" s="46" t="str">
        <f>IF(VLOOKUP(BO858,βοηθητικό!$J$2:$N$354,3,FALSE)="","",VLOOKUP(BO858,βοηθητικό!$J$2:$N$354,3,FALSE))</f>
        <v>_</v>
      </c>
      <c r="BQ858" s="47"/>
      <c r="BR858" s="42" t="s">
        <v>16</v>
      </c>
      <c r="BS858" s="43" t="str">
        <f>IF(VLOOKUP(BR858,βοηθητικό!$J$2:$N$354,3,FALSE)="","",VLOOKUP(BR858,βοηθητικό!$J$2:$N$354,3,FALSE))</f>
        <v>_</v>
      </c>
      <c r="BT858" s="44"/>
      <c r="BU858" s="45" t="s">
        <v>16</v>
      </c>
      <c r="BV858" s="46" t="str">
        <f>IF(VLOOKUP(BU858,βοηθητικό!$J$2:$N$354,3,FALSE)="","",VLOOKUP(BU858,βοηθητικό!$J$2:$N$354,3,FALSE))</f>
        <v>_</v>
      </c>
      <c r="BW858" s="47"/>
      <c r="BX858" s="42" t="s">
        <v>16</v>
      </c>
      <c r="BY858" s="43" t="str">
        <f>IF(VLOOKUP(BX858,βοηθητικό!$J$2:$N$354,3,FALSE)="","",VLOOKUP(BX858,βοηθητικό!$J$2:$N$354,3,FALSE))</f>
        <v>_</v>
      </c>
      <c r="BZ858" s="44"/>
      <c r="CA858" s="45" t="s">
        <v>16</v>
      </c>
      <c r="CB858" s="46" t="str">
        <f>IF(VLOOKUP(CA858,βοηθητικό!$J$2:$N$354,3,FALSE)="","",VLOOKUP(CA858,βοηθητικό!$J$2:$N$354,3,FALSE))</f>
        <v>_</v>
      </c>
      <c r="CC858" s="47"/>
      <c r="CD858" s="42" t="s">
        <v>16</v>
      </c>
      <c r="CE858" s="43" t="str">
        <f>IF(VLOOKUP(CD858,βοηθητικό!$J$2:$N$354,3,FALSE)="","",VLOOKUP(CD858,βοηθητικό!$J$2:$N$354,3,FALSE))</f>
        <v>_</v>
      </c>
      <c r="CF858" s="44"/>
      <c r="CG858" s="45" t="s">
        <v>16</v>
      </c>
      <c r="CH858" s="46" t="str">
        <f>IF(VLOOKUP(CG858,βοηθητικό!$J$2:$N$354,3,FALSE)="","",VLOOKUP(CG858,βοηθητικό!$J$2:$N$354,3,FALSE))</f>
        <v>_</v>
      </c>
      <c r="CI858" s="47"/>
      <c r="CJ858" s="42" t="s">
        <v>16</v>
      </c>
      <c r="CK858" s="43" t="str">
        <f>IF(VLOOKUP(CJ858,βοηθητικό!$J$2:$N$354,3,FALSE)="","",VLOOKUP(CJ858,βοηθητικό!$J$2:$N$354,3,FALSE))</f>
        <v>_</v>
      </c>
      <c r="CL858" s="44"/>
      <c r="CM858" s="45" t="s">
        <v>16</v>
      </c>
      <c r="CN858" s="46" t="str">
        <f>IF(VLOOKUP(CM858,βοηθητικό!$J$2:$N$354,3,FALSE)="","",VLOOKUP(CM858,βοηθητικό!$J$2:$N$354,3,FALSE))</f>
        <v>_</v>
      </c>
      <c r="CO858" s="47"/>
      <c r="CP858" s="42" t="s">
        <v>16</v>
      </c>
      <c r="CQ858" s="43" t="str">
        <f>IF(VLOOKUP(CP858,βοηθητικό!$J$2:$N$354,3,FALSE)="","",VLOOKUP(CP858,βοηθητικό!$J$2:$N$354,3,FALSE))</f>
        <v>_</v>
      </c>
      <c r="CR858" s="44"/>
      <c r="CS858" s="45" t="s">
        <v>16</v>
      </c>
      <c r="CT858" s="46" t="str">
        <f>IF(VLOOKUP(CS858,βοηθητικό!$J$2:$N$354,3,FALSE)="","",VLOOKUP(CS858,βοηθητικό!$J$2:$N$354,3,FALSE))</f>
        <v>_</v>
      </c>
      <c r="CU858" s="47"/>
    </row>
    <row r="859" spans="1:99" x14ac:dyDescent="0.25">
      <c r="A859" s="37">
        <f>--SUBTOTAL(3,$B$3:B858)</f>
        <v>198</v>
      </c>
      <c r="B859" s="2"/>
      <c r="C859" s="3"/>
      <c r="D859" s="55" t="s">
        <v>18</v>
      </c>
      <c r="E859" s="38" t="s">
        <v>16</v>
      </c>
      <c r="F859" s="38"/>
      <c r="G859" s="39" t="str">
        <f t="shared" si="41"/>
        <v>__</v>
      </c>
      <c r="H859" s="40" t="str">
        <f t="shared" si="42"/>
        <v>FALSE</v>
      </c>
      <c r="I859" s="41">
        <f t="shared" si="43"/>
        <v>0</v>
      </c>
      <c r="J859" s="4" t="s">
        <v>16</v>
      </c>
      <c r="K859" s="43" t="str">
        <f>IF(VLOOKUP(J859,βοηθητικό!$J$2:$N$354,3,FALSE)="","",VLOOKUP(J859,βοηθητικό!$J$2:$N$354,3,FALSE))</f>
        <v>_</v>
      </c>
      <c r="L859" s="44"/>
      <c r="M859" s="5" t="s">
        <v>16</v>
      </c>
      <c r="N859" s="46" t="str">
        <f>IF(VLOOKUP(M859,βοηθητικό!$J$2:$N$354,3,FALSE)="","",VLOOKUP(M859,βοηθητικό!$J$2:$N$354,3,FALSE))</f>
        <v>_</v>
      </c>
      <c r="O859" s="47"/>
      <c r="P859" s="4" t="s">
        <v>16</v>
      </c>
      <c r="Q859" s="43" t="str">
        <f>IF(VLOOKUP(P859,βοηθητικό!$J$2:$N$354,3,FALSE)="","",VLOOKUP(P859,βοηθητικό!$J$2:$N$354,3,FALSE))</f>
        <v>_</v>
      </c>
      <c r="R859" s="44"/>
      <c r="S859" s="5" t="s">
        <v>16</v>
      </c>
      <c r="T859" s="46" t="str">
        <f>IF(VLOOKUP(S859,βοηθητικό!$J$2:$N$354,3,FALSE)="","",VLOOKUP(S859,βοηθητικό!$J$2:$N$354,3,FALSE))</f>
        <v>_</v>
      </c>
      <c r="U859" s="47"/>
      <c r="V859" s="4" t="s">
        <v>16</v>
      </c>
      <c r="W859" s="43" t="str">
        <f>IF(VLOOKUP(V859,βοηθητικό!$J$2:$N$354,3,FALSE)="","",VLOOKUP(V859,βοηθητικό!$J$2:$N$354,3,FALSE))</f>
        <v>_</v>
      </c>
      <c r="X859" s="44"/>
      <c r="Y859" s="5" t="s">
        <v>16</v>
      </c>
      <c r="Z859" s="46" t="str">
        <f>IF(VLOOKUP(Y859,βοηθητικό!$J$2:$N$354,3,FALSE)="","",VLOOKUP(Y859,βοηθητικό!$J$2:$N$354,3,FALSE))</f>
        <v>_</v>
      </c>
      <c r="AA859" s="47"/>
      <c r="AB859" s="4" t="s">
        <v>16</v>
      </c>
      <c r="AC859" s="43" t="str">
        <f>IF(VLOOKUP(AB859,βοηθητικό!$J$2:$N$354,3,FALSE)="","",VLOOKUP(AB859,βοηθητικό!$J$2:$N$354,3,FALSE))</f>
        <v>_</v>
      </c>
      <c r="AD859" s="44"/>
      <c r="AE859" s="5" t="s">
        <v>16</v>
      </c>
      <c r="AF859" s="46" t="str">
        <f>IF(VLOOKUP(AE859,βοηθητικό!$J$2:$N$354,3,FALSE)="","",VLOOKUP(AE859,βοηθητικό!$J$2:$N$354,3,FALSE))</f>
        <v>_</v>
      </c>
      <c r="AG859" s="47"/>
      <c r="AH859" s="4" t="s">
        <v>16</v>
      </c>
      <c r="AI859" s="43" t="str">
        <f>IF(VLOOKUP(AH859,βοηθητικό!$J$2:$N$354,3,FALSE)="","",VLOOKUP(AH859,βοηθητικό!$J$2:$N$354,3,FALSE))</f>
        <v>_</v>
      </c>
      <c r="AJ859" s="44"/>
      <c r="AK859" s="5" t="s">
        <v>16</v>
      </c>
      <c r="AL859" s="46" t="str">
        <f>IF(VLOOKUP(AK859,βοηθητικό!$J$2:$N$354,3,FALSE)="","",VLOOKUP(AK859,βοηθητικό!$J$2:$N$354,3,FALSE))</f>
        <v>_</v>
      </c>
      <c r="AM859" s="47"/>
      <c r="AN859" s="4" t="s">
        <v>16</v>
      </c>
      <c r="AO859" s="43" t="str">
        <f>IF(VLOOKUP(AN859,βοηθητικό!$J$2:$N$354,3,FALSE)="","",VLOOKUP(AN859,βοηθητικό!$J$2:$N$354,3,FALSE))</f>
        <v>_</v>
      </c>
      <c r="AP859" s="44"/>
      <c r="AQ859" s="5" t="s">
        <v>16</v>
      </c>
      <c r="AR859" s="46" t="str">
        <f>IF(VLOOKUP(AQ859,βοηθητικό!$J$2:$N$354,3,FALSE)="","",VLOOKUP(AQ859,βοηθητικό!$J$2:$N$354,3,FALSE))</f>
        <v>_</v>
      </c>
      <c r="AS859" s="47"/>
      <c r="AT859" s="4" t="s">
        <v>16</v>
      </c>
      <c r="AU859" s="43" t="str">
        <f>IF(VLOOKUP(AT859,βοηθητικό!$J$2:$N$354,3,FALSE)="","",VLOOKUP(AT859,βοηθητικό!$J$2:$N$354,3,FALSE))</f>
        <v>_</v>
      </c>
      <c r="AV859" s="44"/>
      <c r="AW859" s="5" t="s">
        <v>16</v>
      </c>
      <c r="AX859" s="46" t="str">
        <f>IF(VLOOKUP(AW859,βοηθητικό!$J$2:$N$354,3,FALSE)="","",VLOOKUP(AW859,βοηθητικό!$J$2:$N$354,3,FALSE))</f>
        <v>_</v>
      </c>
      <c r="AY859" s="47"/>
      <c r="AZ859" s="4" t="s">
        <v>16</v>
      </c>
      <c r="BA859" s="43" t="str">
        <f>IF(VLOOKUP(AZ859,βοηθητικό!$J$2:$N$354,3,FALSE)="","",VLOOKUP(AZ859,βοηθητικό!$J$2:$N$354,3,FALSE))</f>
        <v>_</v>
      </c>
      <c r="BB859" s="44"/>
      <c r="BC859" s="45" t="s">
        <v>16</v>
      </c>
      <c r="BD859" s="46" t="str">
        <f>IF(VLOOKUP(BC859,βοηθητικό!$J$2:$N$354,3,FALSE)="","",VLOOKUP(BC859,βοηθητικό!$J$2:$N$354,3,FALSE))</f>
        <v>_</v>
      </c>
      <c r="BE859" s="47"/>
      <c r="BF859" s="42" t="s">
        <v>16</v>
      </c>
      <c r="BG859" s="43" t="str">
        <f>IF(VLOOKUP(BF859,βοηθητικό!$J$2:$N$354,3,FALSE)="","",VLOOKUP(BF859,βοηθητικό!$J$2:$N$354,3,FALSE))</f>
        <v>_</v>
      </c>
      <c r="BH859" s="44"/>
      <c r="BI859" s="45" t="s">
        <v>16</v>
      </c>
      <c r="BJ859" s="46" t="str">
        <f>IF(VLOOKUP(BI859,βοηθητικό!$J$2:$N$354,3,FALSE)="","",VLOOKUP(BI859,βοηθητικό!$J$2:$N$354,3,FALSE))</f>
        <v>_</v>
      </c>
      <c r="BK859" s="47"/>
      <c r="BL859" s="42" t="s">
        <v>16</v>
      </c>
      <c r="BM859" s="43" t="str">
        <f>IF(VLOOKUP(BL859,βοηθητικό!$J$2:$N$354,3,FALSE)="","",VLOOKUP(BL859,βοηθητικό!$J$2:$N$354,3,FALSE))</f>
        <v>_</v>
      </c>
      <c r="BN859" s="44"/>
      <c r="BO859" s="45" t="s">
        <v>16</v>
      </c>
      <c r="BP859" s="46" t="str">
        <f>IF(VLOOKUP(BO859,βοηθητικό!$J$2:$N$354,3,FALSE)="","",VLOOKUP(BO859,βοηθητικό!$J$2:$N$354,3,FALSE))</f>
        <v>_</v>
      </c>
      <c r="BQ859" s="47"/>
      <c r="BR859" s="42" t="s">
        <v>16</v>
      </c>
      <c r="BS859" s="43" t="str">
        <f>IF(VLOOKUP(BR859,βοηθητικό!$J$2:$N$354,3,FALSE)="","",VLOOKUP(BR859,βοηθητικό!$J$2:$N$354,3,FALSE))</f>
        <v>_</v>
      </c>
      <c r="BT859" s="44"/>
      <c r="BU859" s="45" t="s">
        <v>16</v>
      </c>
      <c r="BV859" s="46" t="str">
        <f>IF(VLOOKUP(BU859,βοηθητικό!$J$2:$N$354,3,FALSE)="","",VLOOKUP(BU859,βοηθητικό!$J$2:$N$354,3,FALSE))</f>
        <v>_</v>
      </c>
      <c r="BW859" s="47"/>
      <c r="BX859" s="42" t="s">
        <v>16</v>
      </c>
      <c r="BY859" s="43" t="str">
        <f>IF(VLOOKUP(BX859,βοηθητικό!$J$2:$N$354,3,FALSE)="","",VLOOKUP(BX859,βοηθητικό!$J$2:$N$354,3,FALSE))</f>
        <v>_</v>
      </c>
      <c r="BZ859" s="44"/>
      <c r="CA859" s="45" t="s">
        <v>16</v>
      </c>
      <c r="CB859" s="46" t="str">
        <f>IF(VLOOKUP(CA859,βοηθητικό!$J$2:$N$354,3,FALSE)="","",VLOOKUP(CA859,βοηθητικό!$J$2:$N$354,3,FALSE))</f>
        <v>_</v>
      </c>
      <c r="CC859" s="47"/>
      <c r="CD859" s="42" t="s">
        <v>16</v>
      </c>
      <c r="CE859" s="43" t="str">
        <f>IF(VLOOKUP(CD859,βοηθητικό!$J$2:$N$354,3,FALSE)="","",VLOOKUP(CD859,βοηθητικό!$J$2:$N$354,3,FALSE))</f>
        <v>_</v>
      </c>
      <c r="CF859" s="44"/>
      <c r="CG859" s="45" t="s">
        <v>16</v>
      </c>
      <c r="CH859" s="46" t="str">
        <f>IF(VLOOKUP(CG859,βοηθητικό!$J$2:$N$354,3,FALSE)="","",VLOOKUP(CG859,βοηθητικό!$J$2:$N$354,3,FALSE))</f>
        <v>_</v>
      </c>
      <c r="CI859" s="47"/>
      <c r="CJ859" s="42" t="s">
        <v>16</v>
      </c>
      <c r="CK859" s="43" t="str">
        <f>IF(VLOOKUP(CJ859,βοηθητικό!$J$2:$N$354,3,FALSE)="","",VLOOKUP(CJ859,βοηθητικό!$J$2:$N$354,3,FALSE))</f>
        <v>_</v>
      </c>
      <c r="CL859" s="44"/>
      <c r="CM859" s="45" t="s">
        <v>16</v>
      </c>
      <c r="CN859" s="46" t="str">
        <f>IF(VLOOKUP(CM859,βοηθητικό!$J$2:$N$354,3,FALSE)="","",VLOOKUP(CM859,βοηθητικό!$J$2:$N$354,3,FALSE))</f>
        <v>_</v>
      </c>
      <c r="CO859" s="47"/>
      <c r="CP859" s="42" t="s">
        <v>16</v>
      </c>
      <c r="CQ859" s="43" t="str">
        <f>IF(VLOOKUP(CP859,βοηθητικό!$J$2:$N$354,3,FALSE)="","",VLOOKUP(CP859,βοηθητικό!$J$2:$N$354,3,FALSE))</f>
        <v>_</v>
      </c>
      <c r="CR859" s="44"/>
      <c r="CS859" s="45" t="s">
        <v>16</v>
      </c>
      <c r="CT859" s="46" t="str">
        <f>IF(VLOOKUP(CS859,βοηθητικό!$J$2:$N$354,3,FALSE)="","",VLOOKUP(CS859,βοηθητικό!$J$2:$N$354,3,FALSE))</f>
        <v>_</v>
      </c>
      <c r="CU859" s="47"/>
    </row>
    <row r="860" spans="1:99" x14ac:dyDescent="0.25">
      <c r="A860" s="37">
        <f>--SUBTOTAL(3,$B$3:B859)</f>
        <v>198</v>
      </c>
      <c r="B860" s="2"/>
      <c r="C860" s="3"/>
      <c r="D860" s="55" t="s">
        <v>18</v>
      </c>
      <c r="E860" s="38" t="s">
        <v>16</v>
      </c>
      <c r="F860" s="38"/>
      <c r="G860" s="39" t="str">
        <f t="shared" si="41"/>
        <v>__</v>
      </c>
      <c r="H860" s="40" t="str">
        <f t="shared" si="42"/>
        <v>FALSE</v>
      </c>
      <c r="I860" s="41">
        <f t="shared" si="43"/>
        <v>0</v>
      </c>
      <c r="J860" s="4" t="s">
        <v>16</v>
      </c>
      <c r="K860" s="43" t="str">
        <f>IF(VLOOKUP(J860,βοηθητικό!$J$2:$N$354,3,FALSE)="","",VLOOKUP(J860,βοηθητικό!$J$2:$N$354,3,FALSE))</f>
        <v>_</v>
      </c>
      <c r="L860" s="44"/>
      <c r="M860" s="5" t="s">
        <v>16</v>
      </c>
      <c r="N860" s="46" t="str">
        <f>IF(VLOOKUP(M860,βοηθητικό!$J$2:$N$354,3,FALSE)="","",VLOOKUP(M860,βοηθητικό!$J$2:$N$354,3,FALSE))</f>
        <v>_</v>
      </c>
      <c r="O860" s="47"/>
      <c r="P860" s="4" t="s">
        <v>16</v>
      </c>
      <c r="Q860" s="43" t="str">
        <f>IF(VLOOKUP(P860,βοηθητικό!$J$2:$N$354,3,FALSE)="","",VLOOKUP(P860,βοηθητικό!$J$2:$N$354,3,FALSE))</f>
        <v>_</v>
      </c>
      <c r="R860" s="44"/>
      <c r="S860" s="5" t="s">
        <v>16</v>
      </c>
      <c r="T860" s="46" t="str">
        <f>IF(VLOOKUP(S860,βοηθητικό!$J$2:$N$354,3,FALSE)="","",VLOOKUP(S860,βοηθητικό!$J$2:$N$354,3,FALSE))</f>
        <v>_</v>
      </c>
      <c r="U860" s="47"/>
      <c r="V860" s="4" t="s">
        <v>16</v>
      </c>
      <c r="W860" s="43" t="str">
        <f>IF(VLOOKUP(V860,βοηθητικό!$J$2:$N$354,3,FALSE)="","",VLOOKUP(V860,βοηθητικό!$J$2:$N$354,3,FALSE))</f>
        <v>_</v>
      </c>
      <c r="X860" s="44"/>
      <c r="Y860" s="5" t="s">
        <v>16</v>
      </c>
      <c r="Z860" s="46" t="str">
        <f>IF(VLOOKUP(Y860,βοηθητικό!$J$2:$N$354,3,FALSE)="","",VLOOKUP(Y860,βοηθητικό!$J$2:$N$354,3,FALSE))</f>
        <v>_</v>
      </c>
      <c r="AA860" s="47"/>
      <c r="AB860" s="4" t="s">
        <v>16</v>
      </c>
      <c r="AC860" s="43" t="str">
        <f>IF(VLOOKUP(AB860,βοηθητικό!$J$2:$N$354,3,FALSE)="","",VLOOKUP(AB860,βοηθητικό!$J$2:$N$354,3,FALSE))</f>
        <v>_</v>
      </c>
      <c r="AD860" s="44"/>
      <c r="AE860" s="5" t="s">
        <v>16</v>
      </c>
      <c r="AF860" s="46" t="str">
        <f>IF(VLOOKUP(AE860,βοηθητικό!$J$2:$N$354,3,FALSE)="","",VLOOKUP(AE860,βοηθητικό!$J$2:$N$354,3,FALSE))</f>
        <v>_</v>
      </c>
      <c r="AG860" s="47"/>
      <c r="AH860" s="4" t="s">
        <v>16</v>
      </c>
      <c r="AI860" s="43" t="str">
        <f>IF(VLOOKUP(AH860,βοηθητικό!$J$2:$N$354,3,FALSE)="","",VLOOKUP(AH860,βοηθητικό!$J$2:$N$354,3,FALSE))</f>
        <v>_</v>
      </c>
      <c r="AJ860" s="44"/>
      <c r="AK860" s="5" t="s">
        <v>16</v>
      </c>
      <c r="AL860" s="46" t="str">
        <f>IF(VLOOKUP(AK860,βοηθητικό!$J$2:$N$354,3,FALSE)="","",VLOOKUP(AK860,βοηθητικό!$J$2:$N$354,3,FALSE))</f>
        <v>_</v>
      </c>
      <c r="AM860" s="47"/>
      <c r="AN860" s="4" t="s">
        <v>16</v>
      </c>
      <c r="AO860" s="43" t="str">
        <f>IF(VLOOKUP(AN860,βοηθητικό!$J$2:$N$354,3,FALSE)="","",VLOOKUP(AN860,βοηθητικό!$J$2:$N$354,3,FALSE))</f>
        <v>_</v>
      </c>
      <c r="AP860" s="44"/>
      <c r="AQ860" s="5" t="s">
        <v>16</v>
      </c>
      <c r="AR860" s="46" t="str">
        <f>IF(VLOOKUP(AQ860,βοηθητικό!$J$2:$N$354,3,FALSE)="","",VLOOKUP(AQ860,βοηθητικό!$J$2:$N$354,3,FALSE))</f>
        <v>_</v>
      </c>
      <c r="AS860" s="47"/>
      <c r="AT860" s="4" t="s">
        <v>16</v>
      </c>
      <c r="AU860" s="43" t="str">
        <f>IF(VLOOKUP(AT860,βοηθητικό!$J$2:$N$354,3,FALSE)="","",VLOOKUP(AT860,βοηθητικό!$J$2:$N$354,3,FALSE))</f>
        <v>_</v>
      </c>
      <c r="AV860" s="44"/>
      <c r="AW860" s="5" t="s">
        <v>16</v>
      </c>
      <c r="AX860" s="46" t="str">
        <f>IF(VLOOKUP(AW860,βοηθητικό!$J$2:$N$354,3,FALSE)="","",VLOOKUP(AW860,βοηθητικό!$J$2:$N$354,3,FALSE))</f>
        <v>_</v>
      </c>
      <c r="AY860" s="47"/>
      <c r="AZ860" s="4" t="s">
        <v>16</v>
      </c>
      <c r="BA860" s="43" t="str">
        <f>IF(VLOOKUP(AZ860,βοηθητικό!$J$2:$N$354,3,FALSE)="","",VLOOKUP(AZ860,βοηθητικό!$J$2:$N$354,3,FALSE))</f>
        <v>_</v>
      </c>
      <c r="BB860" s="44"/>
      <c r="BC860" s="45" t="s">
        <v>16</v>
      </c>
      <c r="BD860" s="46" t="str">
        <f>IF(VLOOKUP(BC860,βοηθητικό!$J$2:$N$354,3,FALSE)="","",VLOOKUP(BC860,βοηθητικό!$J$2:$N$354,3,FALSE))</f>
        <v>_</v>
      </c>
      <c r="BE860" s="47"/>
      <c r="BF860" s="42" t="s">
        <v>16</v>
      </c>
      <c r="BG860" s="43" t="str">
        <f>IF(VLOOKUP(BF860,βοηθητικό!$J$2:$N$354,3,FALSE)="","",VLOOKUP(BF860,βοηθητικό!$J$2:$N$354,3,FALSE))</f>
        <v>_</v>
      </c>
      <c r="BH860" s="44"/>
      <c r="BI860" s="45" t="s">
        <v>16</v>
      </c>
      <c r="BJ860" s="46" t="str">
        <f>IF(VLOOKUP(BI860,βοηθητικό!$J$2:$N$354,3,FALSE)="","",VLOOKUP(BI860,βοηθητικό!$J$2:$N$354,3,FALSE))</f>
        <v>_</v>
      </c>
      <c r="BK860" s="47"/>
      <c r="BL860" s="42" t="s">
        <v>16</v>
      </c>
      <c r="BM860" s="43" t="str">
        <f>IF(VLOOKUP(BL860,βοηθητικό!$J$2:$N$354,3,FALSE)="","",VLOOKUP(BL860,βοηθητικό!$J$2:$N$354,3,FALSE))</f>
        <v>_</v>
      </c>
      <c r="BN860" s="44"/>
      <c r="BO860" s="45" t="s">
        <v>16</v>
      </c>
      <c r="BP860" s="46" t="str">
        <f>IF(VLOOKUP(BO860,βοηθητικό!$J$2:$N$354,3,FALSE)="","",VLOOKUP(BO860,βοηθητικό!$J$2:$N$354,3,FALSE))</f>
        <v>_</v>
      </c>
      <c r="BQ860" s="47"/>
      <c r="BR860" s="42" t="s">
        <v>16</v>
      </c>
      <c r="BS860" s="43" t="str">
        <f>IF(VLOOKUP(BR860,βοηθητικό!$J$2:$N$354,3,FALSE)="","",VLOOKUP(BR860,βοηθητικό!$J$2:$N$354,3,FALSE))</f>
        <v>_</v>
      </c>
      <c r="BT860" s="44"/>
      <c r="BU860" s="45" t="s">
        <v>16</v>
      </c>
      <c r="BV860" s="46" t="str">
        <f>IF(VLOOKUP(BU860,βοηθητικό!$J$2:$N$354,3,FALSE)="","",VLOOKUP(BU860,βοηθητικό!$J$2:$N$354,3,FALSE))</f>
        <v>_</v>
      </c>
      <c r="BW860" s="47"/>
      <c r="BX860" s="42" t="s">
        <v>16</v>
      </c>
      <c r="BY860" s="43" t="str">
        <f>IF(VLOOKUP(BX860,βοηθητικό!$J$2:$N$354,3,FALSE)="","",VLOOKUP(BX860,βοηθητικό!$J$2:$N$354,3,FALSE))</f>
        <v>_</v>
      </c>
      <c r="BZ860" s="44"/>
      <c r="CA860" s="45" t="s">
        <v>16</v>
      </c>
      <c r="CB860" s="46" t="str">
        <f>IF(VLOOKUP(CA860,βοηθητικό!$J$2:$N$354,3,FALSE)="","",VLOOKUP(CA860,βοηθητικό!$J$2:$N$354,3,FALSE))</f>
        <v>_</v>
      </c>
      <c r="CC860" s="47"/>
      <c r="CD860" s="42" t="s">
        <v>16</v>
      </c>
      <c r="CE860" s="43" t="str">
        <f>IF(VLOOKUP(CD860,βοηθητικό!$J$2:$N$354,3,FALSE)="","",VLOOKUP(CD860,βοηθητικό!$J$2:$N$354,3,FALSE))</f>
        <v>_</v>
      </c>
      <c r="CF860" s="44"/>
      <c r="CG860" s="45" t="s">
        <v>16</v>
      </c>
      <c r="CH860" s="46" t="str">
        <f>IF(VLOOKUP(CG860,βοηθητικό!$J$2:$N$354,3,FALSE)="","",VLOOKUP(CG860,βοηθητικό!$J$2:$N$354,3,FALSE))</f>
        <v>_</v>
      </c>
      <c r="CI860" s="47"/>
      <c r="CJ860" s="42" t="s">
        <v>16</v>
      </c>
      <c r="CK860" s="43" t="str">
        <f>IF(VLOOKUP(CJ860,βοηθητικό!$J$2:$N$354,3,FALSE)="","",VLOOKUP(CJ860,βοηθητικό!$J$2:$N$354,3,FALSE))</f>
        <v>_</v>
      </c>
      <c r="CL860" s="44"/>
      <c r="CM860" s="45" t="s">
        <v>16</v>
      </c>
      <c r="CN860" s="46" t="str">
        <f>IF(VLOOKUP(CM860,βοηθητικό!$J$2:$N$354,3,FALSE)="","",VLOOKUP(CM860,βοηθητικό!$J$2:$N$354,3,FALSE))</f>
        <v>_</v>
      </c>
      <c r="CO860" s="47"/>
      <c r="CP860" s="42" t="s">
        <v>16</v>
      </c>
      <c r="CQ860" s="43" t="str">
        <f>IF(VLOOKUP(CP860,βοηθητικό!$J$2:$N$354,3,FALSE)="","",VLOOKUP(CP860,βοηθητικό!$J$2:$N$354,3,FALSE))</f>
        <v>_</v>
      </c>
      <c r="CR860" s="44"/>
      <c r="CS860" s="45" t="s">
        <v>16</v>
      </c>
      <c r="CT860" s="46" t="str">
        <f>IF(VLOOKUP(CS860,βοηθητικό!$J$2:$N$354,3,FALSE)="","",VLOOKUP(CS860,βοηθητικό!$J$2:$N$354,3,FALSE))</f>
        <v>_</v>
      </c>
      <c r="CU860" s="47"/>
    </row>
    <row r="861" spans="1:99" x14ac:dyDescent="0.25">
      <c r="A861" s="37">
        <f>--SUBTOTAL(3,$B$3:B860)</f>
        <v>198</v>
      </c>
      <c r="B861" s="2"/>
      <c r="C861" s="3"/>
      <c r="D861" s="55" t="s">
        <v>18</v>
      </c>
      <c r="E861" s="38" t="s">
        <v>16</v>
      </c>
      <c r="F861" s="38"/>
      <c r="G861" s="39" t="str">
        <f t="shared" si="41"/>
        <v>__</v>
      </c>
      <c r="H861" s="40" t="str">
        <f t="shared" si="42"/>
        <v>FALSE</v>
      </c>
      <c r="I861" s="41">
        <f t="shared" si="43"/>
        <v>0</v>
      </c>
      <c r="J861" s="4" t="s">
        <v>16</v>
      </c>
      <c r="K861" s="43" t="str">
        <f>IF(VLOOKUP(J861,βοηθητικό!$J$2:$N$354,3,FALSE)="","",VLOOKUP(J861,βοηθητικό!$J$2:$N$354,3,FALSE))</f>
        <v>_</v>
      </c>
      <c r="L861" s="44"/>
      <c r="M861" s="5" t="s">
        <v>16</v>
      </c>
      <c r="N861" s="46" t="str">
        <f>IF(VLOOKUP(M861,βοηθητικό!$J$2:$N$354,3,FALSE)="","",VLOOKUP(M861,βοηθητικό!$J$2:$N$354,3,FALSE))</f>
        <v>_</v>
      </c>
      <c r="O861" s="47"/>
      <c r="P861" s="4" t="s">
        <v>16</v>
      </c>
      <c r="Q861" s="43" t="str">
        <f>IF(VLOOKUP(P861,βοηθητικό!$J$2:$N$354,3,FALSE)="","",VLOOKUP(P861,βοηθητικό!$J$2:$N$354,3,FALSE))</f>
        <v>_</v>
      </c>
      <c r="R861" s="44"/>
      <c r="S861" s="5" t="s">
        <v>16</v>
      </c>
      <c r="T861" s="46" t="str">
        <f>IF(VLOOKUP(S861,βοηθητικό!$J$2:$N$354,3,FALSE)="","",VLOOKUP(S861,βοηθητικό!$J$2:$N$354,3,FALSE))</f>
        <v>_</v>
      </c>
      <c r="U861" s="47"/>
      <c r="V861" s="4" t="s">
        <v>16</v>
      </c>
      <c r="W861" s="43" t="str">
        <f>IF(VLOOKUP(V861,βοηθητικό!$J$2:$N$354,3,FALSE)="","",VLOOKUP(V861,βοηθητικό!$J$2:$N$354,3,FALSE))</f>
        <v>_</v>
      </c>
      <c r="X861" s="44"/>
      <c r="Y861" s="5" t="s">
        <v>16</v>
      </c>
      <c r="Z861" s="46" t="str">
        <f>IF(VLOOKUP(Y861,βοηθητικό!$J$2:$N$354,3,FALSE)="","",VLOOKUP(Y861,βοηθητικό!$J$2:$N$354,3,FALSE))</f>
        <v>_</v>
      </c>
      <c r="AA861" s="47"/>
      <c r="AB861" s="4" t="s">
        <v>16</v>
      </c>
      <c r="AC861" s="43" t="str">
        <f>IF(VLOOKUP(AB861,βοηθητικό!$J$2:$N$354,3,FALSE)="","",VLOOKUP(AB861,βοηθητικό!$J$2:$N$354,3,FALSE))</f>
        <v>_</v>
      </c>
      <c r="AD861" s="44"/>
      <c r="AE861" s="5" t="s">
        <v>16</v>
      </c>
      <c r="AF861" s="46" t="str">
        <f>IF(VLOOKUP(AE861,βοηθητικό!$J$2:$N$354,3,FALSE)="","",VLOOKUP(AE861,βοηθητικό!$J$2:$N$354,3,FALSE))</f>
        <v>_</v>
      </c>
      <c r="AG861" s="47"/>
      <c r="AH861" s="4" t="s">
        <v>16</v>
      </c>
      <c r="AI861" s="43" t="str">
        <f>IF(VLOOKUP(AH861,βοηθητικό!$J$2:$N$354,3,FALSE)="","",VLOOKUP(AH861,βοηθητικό!$J$2:$N$354,3,FALSE))</f>
        <v>_</v>
      </c>
      <c r="AJ861" s="44"/>
      <c r="AK861" s="5" t="s">
        <v>16</v>
      </c>
      <c r="AL861" s="46" t="str">
        <f>IF(VLOOKUP(AK861,βοηθητικό!$J$2:$N$354,3,FALSE)="","",VLOOKUP(AK861,βοηθητικό!$J$2:$N$354,3,FALSE))</f>
        <v>_</v>
      </c>
      <c r="AM861" s="47"/>
      <c r="AN861" s="4" t="s">
        <v>16</v>
      </c>
      <c r="AO861" s="43" t="str">
        <f>IF(VLOOKUP(AN861,βοηθητικό!$J$2:$N$354,3,FALSE)="","",VLOOKUP(AN861,βοηθητικό!$J$2:$N$354,3,FALSE))</f>
        <v>_</v>
      </c>
      <c r="AP861" s="44"/>
      <c r="AQ861" s="5" t="s">
        <v>16</v>
      </c>
      <c r="AR861" s="46" t="str">
        <f>IF(VLOOKUP(AQ861,βοηθητικό!$J$2:$N$354,3,FALSE)="","",VLOOKUP(AQ861,βοηθητικό!$J$2:$N$354,3,FALSE))</f>
        <v>_</v>
      </c>
      <c r="AS861" s="47"/>
      <c r="AT861" s="4" t="s">
        <v>16</v>
      </c>
      <c r="AU861" s="43" t="str">
        <f>IF(VLOOKUP(AT861,βοηθητικό!$J$2:$N$354,3,FALSE)="","",VLOOKUP(AT861,βοηθητικό!$J$2:$N$354,3,FALSE))</f>
        <v>_</v>
      </c>
      <c r="AV861" s="44"/>
      <c r="AW861" s="5" t="s">
        <v>16</v>
      </c>
      <c r="AX861" s="46" t="str">
        <f>IF(VLOOKUP(AW861,βοηθητικό!$J$2:$N$354,3,FALSE)="","",VLOOKUP(AW861,βοηθητικό!$J$2:$N$354,3,FALSE))</f>
        <v>_</v>
      </c>
      <c r="AY861" s="47"/>
      <c r="AZ861" s="4" t="s">
        <v>16</v>
      </c>
      <c r="BA861" s="43" t="str">
        <f>IF(VLOOKUP(AZ861,βοηθητικό!$J$2:$N$354,3,FALSE)="","",VLOOKUP(AZ861,βοηθητικό!$J$2:$N$354,3,FALSE))</f>
        <v>_</v>
      </c>
      <c r="BB861" s="44"/>
      <c r="BC861" s="45" t="s">
        <v>16</v>
      </c>
      <c r="BD861" s="46" t="str">
        <f>IF(VLOOKUP(BC861,βοηθητικό!$J$2:$N$354,3,FALSE)="","",VLOOKUP(BC861,βοηθητικό!$J$2:$N$354,3,FALSE))</f>
        <v>_</v>
      </c>
      <c r="BE861" s="47"/>
      <c r="BF861" s="42" t="s">
        <v>16</v>
      </c>
      <c r="BG861" s="43" t="str">
        <f>IF(VLOOKUP(BF861,βοηθητικό!$J$2:$N$354,3,FALSE)="","",VLOOKUP(BF861,βοηθητικό!$J$2:$N$354,3,FALSE))</f>
        <v>_</v>
      </c>
      <c r="BH861" s="44"/>
      <c r="BI861" s="45" t="s">
        <v>16</v>
      </c>
      <c r="BJ861" s="46" t="str">
        <f>IF(VLOOKUP(BI861,βοηθητικό!$J$2:$N$354,3,FALSE)="","",VLOOKUP(BI861,βοηθητικό!$J$2:$N$354,3,FALSE))</f>
        <v>_</v>
      </c>
      <c r="BK861" s="47"/>
      <c r="BL861" s="42" t="s">
        <v>16</v>
      </c>
      <c r="BM861" s="43" t="str">
        <f>IF(VLOOKUP(BL861,βοηθητικό!$J$2:$N$354,3,FALSE)="","",VLOOKUP(BL861,βοηθητικό!$J$2:$N$354,3,FALSE))</f>
        <v>_</v>
      </c>
      <c r="BN861" s="44"/>
      <c r="BO861" s="45" t="s">
        <v>16</v>
      </c>
      <c r="BP861" s="46" t="str">
        <f>IF(VLOOKUP(BO861,βοηθητικό!$J$2:$N$354,3,FALSE)="","",VLOOKUP(BO861,βοηθητικό!$J$2:$N$354,3,FALSE))</f>
        <v>_</v>
      </c>
      <c r="BQ861" s="47"/>
      <c r="BR861" s="42" t="s">
        <v>16</v>
      </c>
      <c r="BS861" s="43" t="str">
        <f>IF(VLOOKUP(BR861,βοηθητικό!$J$2:$N$354,3,FALSE)="","",VLOOKUP(BR861,βοηθητικό!$J$2:$N$354,3,FALSE))</f>
        <v>_</v>
      </c>
      <c r="BT861" s="44"/>
      <c r="BU861" s="45" t="s">
        <v>16</v>
      </c>
      <c r="BV861" s="46" t="str">
        <f>IF(VLOOKUP(BU861,βοηθητικό!$J$2:$N$354,3,FALSE)="","",VLOOKUP(BU861,βοηθητικό!$J$2:$N$354,3,FALSE))</f>
        <v>_</v>
      </c>
      <c r="BW861" s="47"/>
      <c r="BX861" s="42" t="s">
        <v>16</v>
      </c>
      <c r="BY861" s="43" t="str">
        <f>IF(VLOOKUP(BX861,βοηθητικό!$J$2:$N$354,3,FALSE)="","",VLOOKUP(BX861,βοηθητικό!$J$2:$N$354,3,FALSE))</f>
        <v>_</v>
      </c>
      <c r="BZ861" s="44"/>
      <c r="CA861" s="45" t="s">
        <v>16</v>
      </c>
      <c r="CB861" s="46" t="str">
        <f>IF(VLOOKUP(CA861,βοηθητικό!$J$2:$N$354,3,FALSE)="","",VLOOKUP(CA861,βοηθητικό!$J$2:$N$354,3,FALSE))</f>
        <v>_</v>
      </c>
      <c r="CC861" s="47"/>
      <c r="CD861" s="42" t="s">
        <v>16</v>
      </c>
      <c r="CE861" s="43" t="str">
        <f>IF(VLOOKUP(CD861,βοηθητικό!$J$2:$N$354,3,FALSE)="","",VLOOKUP(CD861,βοηθητικό!$J$2:$N$354,3,FALSE))</f>
        <v>_</v>
      </c>
      <c r="CF861" s="44"/>
      <c r="CG861" s="45" t="s">
        <v>16</v>
      </c>
      <c r="CH861" s="46" t="str">
        <f>IF(VLOOKUP(CG861,βοηθητικό!$J$2:$N$354,3,FALSE)="","",VLOOKUP(CG861,βοηθητικό!$J$2:$N$354,3,FALSE))</f>
        <v>_</v>
      </c>
      <c r="CI861" s="47"/>
      <c r="CJ861" s="42" t="s">
        <v>16</v>
      </c>
      <c r="CK861" s="43" t="str">
        <f>IF(VLOOKUP(CJ861,βοηθητικό!$J$2:$N$354,3,FALSE)="","",VLOOKUP(CJ861,βοηθητικό!$J$2:$N$354,3,FALSE))</f>
        <v>_</v>
      </c>
      <c r="CL861" s="44"/>
      <c r="CM861" s="45" t="s">
        <v>16</v>
      </c>
      <c r="CN861" s="46" t="str">
        <f>IF(VLOOKUP(CM861,βοηθητικό!$J$2:$N$354,3,FALSE)="","",VLOOKUP(CM861,βοηθητικό!$J$2:$N$354,3,FALSE))</f>
        <v>_</v>
      </c>
      <c r="CO861" s="47"/>
      <c r="CP861" s="42" t="s">
        <v>16</v>
      </c>
      <c r="CQ861" s="43" t="str">
        <f>IF(VLOOKUP(CP861,βοηθητικό!$J$2:$N$354,3,FALSE)="","",VLOOKUP(CP861,βοηθητικό!$J$2:$N$354,3,FALSE))</f>
        <v>_</v>
      </c>
      <c r="CR861" s="44"/>
      <c r="CS861" s="45" t="s">
        <v>16</v>
      </c>
      <c r="CT861" s="46" t="str">
        <f>IF(VLOOKUP(CS861,βοηθητικό!$J$2:$N$354,3,FALSE)="","",VLOOKUP(CS861,βοηθητικό!$J$2:$N$354,3,FALSE))</f>
        <v>_</v>
      </c>
      <c r="CU861" s="47"/>
    </row>
    <row r="862" spans="1:99" x14ac:dyDescent="0.25">
      <c r="A862" s="37">
        <f>--SUBTOTAL(3,$B$3:B861)</f>
        <v>198</v>
      </c>
      <c r="B862" s="2"/>
      <c r="C862" s="3"/>
      <c r="D862" s="55" t="s">
        <v>18</v>
      </c>
      <c r="E862" s="38" t="s">
        <v>16</v>
      </c>
      <c r="F862" s="38"/>
      <c r="G862" s="39" t="str">
        <f t="shared" si="41"/>
        <v>__</v>
      </c>
      <c r="H862" s="40" t="str">
        <f t="shared" si="42"/>
        <v>FALSE</v>
      </c>
      <c r="I862" s="41">
        <f t="shared" si="43"/>
        <v>0</v>
      </c>
      <c r="J862" s="4" t="s">
        <v>16</v>
      </c>
      <c r="K862" s="43" t="str">
        <f>IF(VLOOKUP(J862,βοηθητικό!$J$2:$N$354,3,FALSE)="","",VLOOKUP(J862,βοηθητικό!$J$2:$N$354,3,FALSE))</f>
        <v>_</v>
      </c>
      <c r="L862" s="44"/>
      <c r="M862" s="5" t="s">
        <v>16</v>
      </c>
      <c r="N862" s="46" t="str">
        <f>IF(VLOOKUP(M862,βοηθητικό!$J$2:$N$354,3,FALSE)="","",VLOOKUP(M862,βοηθητικό!$J$2:$N$354,3,FALSE))</f>
        <v>_</v>
      </c>
      <c r="O862" s="47"/>
      <c r="P862" s="4" t="s">
        <v>16</v>
      </c>
      <c r="Q862" s="43" t="str">
        <f>IF(VLOOKUP(P862,βοηθητικό!$J$2:$N$354,3,FALSE)="","",VLOOKUP(P862,βοηθητικό!$J$2:$N$354,3,FALSE))</f>
        <v>_</v>
      </c>
      <c r="R862" s="44"/>
      <c r="S862" s="5" t="s">
        <v>16</v>
      </c>
      <c r="T862" s="46" t="str">
        <f>IF(VLOOKUP(S862,βοηθητικό!$J$2:$N$354,3,FALSE)="","",VLOOKUP(S862,βοηθητικό!$J$2:$N$354,3,FALSE))</f>
        <v>_</v>
      </c>
      <c r="U862" s="47"/>
      <c r="V862" s="4" t="s">
        <v>16</v>
      </c>
      <c r="W862" s="43" t="str">
        <f>IF(VLOOKUP(V862,βοηθητικό!$J$2:$N$354,3,FALSE)="","",VLOOKUP(V862,βοηθητικό!$J$2:$N$354,3,FALSE))</f>
        <v>_</v>
      </c>
      <c r="X862" s="44"/>
      <c r="Y862" s="5" t="s">
        <v>16</v>
      </c>
      <c r="Z862" s="46" t="str">
        <f>IF(VLOOKUP(Y862,βοηθητικό!$J$2:$N$354,3,FALSE)="","",VLOOKUP(Y862,βοηθητικό!$J$2:$N$354,3,FALSE))</f>
        <v>_</v>
      </c>
      <c r="AA862" s="47"/>
      <c r="AB862" s="4" t="s">
        <v>16</v>
      </c>
      <c r="AC862" s="43" t="str">
        <f>IF(VLOOKUP(AB862,βοηθητικό!$J$2:$N$354,3,FALSE)="","",VLOOKUP(AB862,βοηθητικό!$J$2:$N$354,3,FALSE))</f>
        <v>_</v>
      </c>
      <c r="AD862" s="44"/>
      <c r="AE862" s="5" t="s">
        <v>16</v>
      </c>
      <c r="AF862" s="46" t="str">
        <f>IF(VLOOKUP(AE862,βοηθητικό!$J$2:$N$354,3,FALSE)="","",VLOOKUP(AE862,βοηθητικό!$J$2:$N$354,3,FALSE))</f>
        <v>_</v>
      </c>
      <c r="AG862" s="47"/>
      <c r="AH862" s="4" t="s">
        <v>16</v>
      </c>
      <c r="AI862" s="43" t="str">
        <f>IF(VLOOKUP(AH862,βοηθητικό!$J$2:$N$354,3,FALSE)="","",VLOOKUP(AH862,βοηθητικό!$J$2:$N$354,3,FALSE))</f>
        <v>_</v>
      </c>
      <c r="AJ862" s="44"/>
      <c r="AK862" s="5" t="s">
        <v>16</v>
      </c>
      <c r="AL862" s="46" t="str">
        <f>IF(VLOOKUP(AK862,βοηθητικό!$J$2:$N$354,3,FALSE)="","",VLOOKUP(AK862,βοηθητικό!$J$2:$N$354,3,FALSE))</f>
        <v>_</v>
      </c>
      <c r="AM862" s="47"/>
      <c r="AN862" s="4" t="s">
        <v>16</v>
      </c>
      <c r="AO862" s="43" t="str">
        <f>IF(VLOOKUP(AN862,βοηθητικό!$J$2:$N$354,3,FALSE)="","",VLOOKUP(AN862,βοηθητικό!$J$2:$N$354,3,FALSE))</f>
        <v>_</v>
      </c>
      <c r="AP862" s="44"/>
      <c r="AQ862" s="5" t="s">
        <v>16</v>
      </c>
      <c r="AR862" s="46" t="str">
        <f>IF(VLOOKUP(AQ862,βοηθητικό!$J$2:$N$354,3,FALSE)="","",VLOOKUP(AQ862,βοηθητικό!$J$2:$N$354,3,FALSE))</f>
        <v>_</v>
      </c>
      <c r="AS862" s="47"/>
      <c r="AT862" s="4" t="s">
        <v>16</v>
      </c>
      <c r="AU862" s="43" t="str">
        <f>IF(VLOOKUP(AT862,βοηθητικό!$J$2:$N$354,3,FALSE)="","",VLOOKUP(AT862,βοηθητικό!$J$2:$N$354,3,FALSE))</f>
        <v>_</v>
      </c>
      <c r="AV862" s="44"/>
      <c r="AW862" s="5" t="s">
        <v>16</v>
      </c>
      <c r="AX862" s="46" t="str">
        <f>IF(VLOOKUP(AW862,βοηθητικό!$J$2:$N$354,3,FALSE)="","",VLOOKUP(AW862,βοηθητικό!$J$2:$N$354,3,FALSE))</f>
        <v>_</v>
      </c>
      <c r="AY862" s="47"/>
      <c r="AZ862" s="4" t="s">
        <v>16</v>
      </c>
      <c r="BA862" s="43" t="str">
        <f>IF(VLOOKUP(AZ862,βοηθητικό!$J$2:$N$354,3,FALSE)="","",VLOOKUP(AZ862,βοηθητικό!$J$2:$N$354,3,FALSE))</f>
        <v>_</v>
      </c>
      <c r="BB862" s="44"/>
      <c r="BC862" s="45" t="s">
        <v>16</v>
      </c>
      <c r="BD862" s="46" t="str">
        <f>IF(VLOOKUP(BC862,βοηθητικό!$J$2:$N$354,3,FALSE)="","",VLOOKUP(BC862,βοηθητικό!$J$2:$N$354,3,FALSE))</f>
        <v>_</v>
      </c>
      <c r="BE862" s="47"/>
      <c r="BF862" s="42" t="s">
        <v>16</v>
      </c>
      <c r="BG862" s="43" t="str">
        <f>IF(VLOOKUP(BF862,βοηθητικό!$J$2:$N$354,3,FALSE)="","",VLOOKUP(BF862,βοηθητικό!$J$2:$N$354,3,FALSE))</f>
        <v>_</v>
      </c>
      <c r="BH862" s="44"/>
      <c r="BI862" s="45" t="s">
        <v>16</v>
      </c>
      <c r="BJ862" s="46" t="str">
        <f>IF(VLOOKUP(BI862,βοηθητικό!$J$2:$N$354,3,FALSE)="","",VLOOKUP(BI862,βοηθητικό!$J$2:$N$354,3,FALSE))</f>
        <v>_</v>
      </c>
      <c r="BK862" s="47"/>
      <c r="BL862" s="42" t="s">
        <v>16</v>
      </c>
      <c r="BM862" s="43" t="str">
        <f>IF(VLOOKUP(BL862,βοηθητικό!$J$2:$N$354,3,FALSE)="","",VLOOKUP(BL862,βοηθητικό!$J$2:$N$354,3,FALSE))</f>
        <v>_</v>
      </c>
      <c r="BN862" s="44"/>
      <c r="BO862" s="45" t="s">
        <v>16</v>
      </c>
      <c r="BP862" s="46" t="str">
        <f>IF(VLOOKUP(BO862,βοηθητικό!$J$2:$N$354,3,FALSE)="","",VLOOKUP(BO862,βοηθητικό!$J$2:$N$354,3,FALSE))</f>
        <v>_</v>
      </c>
      <c r="BQ862" s="47"/>
      <c r="BR862" s="42" t="s">
        <v>16</v>
      </c>
      <c r="BS862" s="43" t="str">
        <f>IF(VLOOKUP(BR862,βοηθητικό!$J$2:$N$354,3,FALSE)="","",VLOOKUP(BR862,βοηθητικό!$J$2:$N$354,3,FALSE))</f>
        <v>_</v>
      </c>
      <c r="BT862" s="44"/>
      <c r="BU862" s="45" t="s">
        <v>16</v>
      </c>
      <c r="BV862" s="46" t="str">
        <f>IF(VLOOKUP(BU862,βοηθητικό!$J$2:$N$354,3,FALSE)="","",VLOOKUP(BU862,βοηθητικό!$J$2:$N$354,3,FALSE))</f>
        <v>_</v>
      </c>
      <c r="BW862" s="47"/>
      <c r="BX862" s="42" t="s">
        <v>16</v>
      </c>
      <c r="BY862" s="43" t="str">
        <f>IF(VLOOKUP(BX862,βοηθητικό!$J$2:$N$354,3,FALSE)="","",VLOOKUP(BX862,βοηθητικό!$J$2:$N$354,3,FALSE))</f>
        <v>_</v>
      </c>
      <c r="BZ862" s="44"/>
      <c r="CA862" s="45" t="s">
        <v>16</v>
      </c>
      <c r="CB862" s="46" t="str">
        <f>IF(VLOOKUP(CA862,βοηθητικό!$J$2:$N$354,3,FALSE)="","",VLOOKUP(CA862,βοηθητικό!$J$2:$N$354,3,FALSE))</f>
        <v>_</v>
      </c>
      <c r="CC862" s="47"/>
      <c r="CD862" s="42" t="s">
        <v>16</v>
      </c>
      <c r="CE862" s="43" t="str">
        <f>IF(VLOOKUP(CD862,βοηθητικό!$J$2:$N$354,3,FALSE)="","",VLOOKUP(CD862,βοηθητικό!$J$2:$N$354,3,FALSE))</f>
        <v>_</v>
      </c>
      <c r="CF862" s="44"/>
      <c r="CG862" s="45" t="s">
        <v>16</v>
      </c>
      <c r="CH862" s="46" t="str">
        <f>IF(VLOOKUP(CG862,βοηθητικό!$J$2:$N$354,3,FALSE)="","",VLOOKUP(CG862,βοηθητικό!$J$2:$N$354,3,FALSE))</f>
        <v>_</v>
      </c>
      <c r="CI862" s="47"/>
      <c r="CJ862" s="42" t="s">
        <v>16</v>
      </c>
      <c r="CK862" s="43" t="str">
        <f>IF(VLOOKUP(CJ862,βοηθητικό!$J$2:$N$354,3,FALSE)="","",VLOOKUP(CJ862,βοηθητικό!$J$2:$N$354,3,FALSE))</f>
        <v>_</v>
      </c>
      <c r="CL862" s="44"/>
      <c r="CM862" s="45" t="s">
        <v>16</v>
      </c>
      <c r="CN862" s="46" t="str">
        <f>IF(VLOOKUP(CM862,βοηθητικό!$J$2:$N$354,3,FALSE)="","",VLOOKUP(CM862,βοηθητικό!$J$2:$N$354,3,FALSE))</f>
        <v>_</v>
      </c>
      <c r="CO862" s="47"/>
      <c r="CP862" s="42" t="s">
        <v>16</v>
      </c>
      <c r="CQ862" s="43" t="str">
        <f>IF(VLOOKUP(CP862,βοηθητικό!$J$2:$N$354,3,FALSE)="","",VLOOKUP(CP862,βοηθητικό!$J$2:$N$354,3,FALSE))</f>
        <v>_</v>
      </c>
      <c r="CR862" s="44"/>
      <c r="CS862" s="45" t="s">
        <v>16</v>
      </c>
      <c r="CT862" s="46" t="str">
        <f>IF(VLOOKUP(CS862,βοηθητικό!$J$2:$N$354,3,FALSE)="","",VLOOKUP(CS862,βοηθητικό!$J$2:$N$354,3,FALSE))</f>
        <v>_</v>
      </c>
      <c r="CU862" s="47"/>
    </row>
    <row r="863" spans="1:99" x14ac:dyDescent="0.25">
      <c r="A863" s="37">
        <f>--SUBTOTAL(3,$B$3:B862)</f>
        <v>198</v>
      </c>
      <c r="B863" s="2"/>
      <c r="C863" s="3"/>
      <c r="D863" s="55" t="s">
        <v>18</v>
      </c>
      <c r="E863" s="38" t="s">
        <v>16</v>
      </c>
      <c r="F863" s="38"/>
      <c r="G863" s="39" t="str">
        <f t="shared" si="41"/>
        <v>__</v>
      </c>
      <c r="H863" s="40" t="str">
        <f t="shared" si="42"/>
        <v>FALSE</v>
      </c>
      <c r="I863" s="41">
        <f t="shared" si="43"/>
        <v>0</v>
      </c>
      <c r="J863" s="4" t="s">
        <v>16</v>
      </c>
      <c r="K863" s="43" t="str">
        <f>IF(VLOOKUP(J863,βοηθητικό!$J$2:$N$354,3,FALSE)="","",VLOOKUP(J863,βοηθητικό!$J$2:$N$354,3,FALSE))</f>
        <v>_</v>
      </c>
      <c r="L863" s="44"/>
      <c r="M863" s="5" t="s">
        <v>16</v>
      </c>
      <c r="N863" s="46" t="str">
        <f>IF(VLOOKUP(M863,βοηθητικό!$J$2:$N$354,3,FALSE)="","",VLOOKUP(M863,βοηθητικό!$J$2:$N$354,3,FALSE))</f>
        <v>_</v>
      </c>
      <c r="O863" s="47"/>
      <c r="P863" s="4" t="s">
        <v>16</v>
      </c>
      <c r="Q863" s="43" t="str">
        <f>IF(VLOOKUP(P863,βοηθητικό!$J$2:$N$354,3,FALSE)="","",VLOOKUP(P863,βοηθητικό!$J$2:$N$354,3,FALSE))</f>
        <v>_</v>
      </c>
      <c r="R863" s="44"/>
      <c r="S863" s="5" t="s">
        <v>16</v>
      </c>
      <c r="T863" s="46" t="str">
        <f>IF(VLOOKUP(S863,βοηθητικό!$J$2:$N$354,3,FALSE)="","",VLOOKUP(S863,βοηθητικό!$J$2:$N$354,3,FALSE))</f>
        <v>_</v>
      </c>
      <c r="U863" s="47"/>
      <c r="V863" s="4" t="s">
        <v>16</v>
      </c>
      <c r="W863" s="43" t="str">
        <f>IF(VLOOKUP(V863,βοηθητικό!$J$2:$N$354,3,FALSE)="","",VLOOKUP(V863,βοηθητικό!$J$2:$N$354,3,FALSE))</f>
        <v>_</v>
      </c>
      <c r="X863" s="44"/>
      <c r="Y863" s="5" t="s">
        <v>16</v>
      </c>
      <c r="Z863" s="46" t="str">
        <f>IF(VLOOKUP(Y863,βοηθητικό!$J$2:$N$354,3,FALSE)="","",VLOOKUP(Y863,βοηθητικό!$J$2:$N$354,3,FALSE))</f>
        <v>_</v>
      </c>
      <c r="AA863" s="47"/>
      <c r="AB863" s="4" t="s">
        <v>16</v>
      </c>
      <c r="AC863" s="43" t="str">
        <f>IF(VLOOKUP(AB863,βοηθητικό!$J$2:$N$354,3,FALSE)="","",VLOOKUP(AB863,βοηθητικό!$J$2:$N$354,3,FALSE))</f>
        <v>_</v>
      </c>
      <c r="AD863" s="44"/>
      <c r="AE863" s="5" t="s">
        <v>16</v>
      </c>
      <c r="AF863" s="46" t="str">
        <f>IF(VLOOKUP(AE863,βοηθητικό!$J$2:$N$354,3,FALSE)="","",VLOOKUP(AE863,βοηθητικό!$J$2:$N$354,3,FALSE))</f>
        <v>_</v>
      </c>
      <c r="AG863" s="47"/>
      <c r="AH863" s="4" t="s">
        <v>16</v>
      </c>
      <c r="AI863" s="43" t="str">
        <f>IF(VLOOKUP(AH863,βοηθητικό!$J$2:$N$354,3,FALSE)="","",VLOOKUP(AH863,βοηθητικό!$J$2:$N$354,3,FALSE))</f>
        <v>_</v>
      </c>
      <c r="AJ863" s="44"/>
      <c r="AK863" s="5" t="s">
        <v>16</v>
      </c>
      <c r="AL863" s="46" t="str">
        <f>IF(VLOOKUP(AK863,βοηθητικό!$J$2:$N$354,3,FALSE)="","",VLOOKUP(AK863,βοηθητικό!$J$2:$N$354,3,FALSE))</f>
        <v>_</v>
      </c>
      <c r="AM863" s="47"/>
      <c r="AN863" s="4" t="s">
        <v>16</v>
      </c>
      <c r="AO863" s="43" t="str">
        <f>IF(VLOOKUP(AN863,βοηθητικό!$J$2:$N$354,3,FALSE)="","",VLOOKUP(AN863,βοηθητικό!$J$2:$N$354,3,FALSE))</f>
        <v>_</v>
      </c>
      <c r="AP863" s="44"/>
      <c r="AQ863" s="5" t="s">
        <v>16</v>
      </c>
      <c r="AR863" s="46" t="str">
        <f>IF(VLOOKUP(AQ863,βοηθητικό!$J$2:$N$354,3,FALSE)="","",VLOOKUP(AQ863,βοηθητικό!$J$2:$N$354,3,FALSE))</f>
        <v>_</v>
      </c>
      <c r="AS863" s="47"/>
      <c r="AT863" s="4" t="s">
        <v>16</v>
      </c>
      <c r="AU863" s="43" t="str">
        <f>IF(VLOOKUP(AT863,βοηθητικό!$J$2:$N$354,3,FALSE)="","",VLOOKUP(AT863,βοηθητικό!$J$2:$N$354,3,FALSE))</f>
        <v>_</v>
      </c>
      <c r="AV863" s="44"/>
      <c r="AW863" s="5" t="s">
        <v>16</v>
      </c>
      <c r="AX863" s="46" t="str">
        <f>IF(VLOOKUP(AW863,βοηθητικό!$J$2:$N$354,3,FALSE)="","",VLOOKUP(AW863,βοηθητικό!$J$2:$N$354,3,FALSE))</f>
        <v>_</v>
      </c>
      <c r="AY863" s="47"/>
      <c r="AZ863" s="4" t="s">
        <v>16</v>
      </c>
      <c r="BA863" s="43" t="str">
        <f>IF(VLOOKUP(AZ863,βοηθητικό!$J$2:$N$354,3,FALSE)="","",VLOOKUP(AZ863,βοηθητικό!$J$2:$N$354,3,FALSE))</f>
        <v>_</v>
      </c>
      <c r="BB863" s="44"/>
      <c r="BC863" s="45" t="s">
        <v>16</v>
      </c>
      <c r="BD863" s="46" t="str">
        <f>IF(VLOOKUP(BC863,βοηθητικό!$J$2:$N$354,3,FALSE)="","",VLOOKUP(BC863,βοηθητικό!$J$2:$N$354,3,FALSE))</f>
        <v>_</v>
      </c>
      <c r="BE863" s="47"/>
      <c r="BF863" s="42" t="s">
        <v>16</v>
      </c>
      <c r="BG863" s="43" t="str">
        <f>IF(VLOOKUP(BF863,βοηθητικό!$J$2:$N$354,3,FALSE)="","",VLOOKUP(BF863,βοηθητικό!$J$2:$N$354,3,FALSE))</f>
        <v>_</v>
      </c>
      <c r="BH863" s="44"/>
      <c r="BI863" s="45" t="s">
        <v>16</v>
      </c>
      <c r="BJ863" s="46" t="str">
        <f>IF(VLOOKUP(BI863,βοηθητικό!$J$2:$N$354,3,FALSE)="","",VLOOKUP(BI863,βοηθητικό!$J$2:$N$354,3,FALSE))</f>
        <v>_</v>
      </c>
      <c r="BK863" s="47"/>
      <c r="BL863" s="42" t="s">
        <v>16</v>
      </c>
      <c r="BM863" s="43" t="str">
        <f>IF(VLOOKUP(BL863,βοηθητικό!$J$2:$N$354,3,FALSE)="","",VLOOKUP(BL863,βοηθητικό!$J$2:$N$354,3,FALSE))</f>
        <v>_</v>
      </c>
      <c r="BN863" s="44"/>
      <c r="BO863" s="45" t="s">
        <v>16</v>
      </c>
      <c r="BP863" s="46" t="str">
        <f>IF(VLOOKUP(BO863,βοηθητικό!$J$2:$N$354,3,FALSE)="","",VLOOKUP(BO863,βοηθητικό!$J$2:$N$354,3,FALSE))</f>
        <v>_</v>
      </c>
      <c r="BQ863" s="47"/>
      <c r="BR863" s="42" t="s">
        <v>16</v>
      </c>
      <c r="BS863" s="43" t="str">
        <f>IF(VLOOKUP(BR863,βοηθητικό!$J$2:$N$354,3,FALSE)="","",VLOOKUP(BR863,βοηθητικό!$J$2:$N$354,3,FALSE))</f>
        <v>_</v>
      </c>
      <c r="BT863" s="44"/>
      <c r="BU863" s="45" t="s">
        <v>16</v>
      </c>
      <c r="BV863" s="46" t="str">
        <f>IF(VLOOKUP(BU863,βοηθητικό!$J$2:$N$354,3,FALSE)="","",VLOOKUP(BU863,βοηθητικό!$J$2:$N$354,3,FALSE))</f>
        <v>_</v>
      </c>
      <c r="BW863" s="47"/>
      <c r="BX863" s="42" t="s">
        <v>16</v>
      </c>
      <c r="BY863" s="43" t="str">
        <f>IF(VLOOKUP(BX863,βοηθητικό!$J$2:$N$354,3,FALSE)="","",VLOOKUP(BX863,βοηθητικό!$J$2:$N$354,3,FALSE))</f>
        <v>_</v>
      </c>
      <c r="BZ863" s="44"/>
      <c r="CA863" s="45" t="s">
        <v>16</v>
      </c>
      <c r="CB863" s="46" t="str">
        <f>IF(VLOOKUP(CA863,βοηθητικό!$J$2:$N$354,3,FALSE)="","",VLOOKUP(CA863,βοηθητικό!$J$2:$N$354,3,FALSE))</f>
        <v>_</v>
      </c>
      <c r="CC863" s="47"/>
      <c r="CD863" s="42" t="s">
        <v>16</v>
      </c>
      <c r="CE863" s="43" t="str">
        <f>IF(VLOOKUP(CD863,βοηθητικό!$J$2:$N$354,3,FALSE)="","",VLOOKUP(CD863,βοηθητικό!$J$2:$N$354,3,FALSE))</f>
        <v>_</v>
      </c>
      <c r="CF863" s="44"/>
      <c r="CG863" s="45" t="s">
        <v>16</v>
      </c>
      <c r="CH863" s="46" t="str">
        <f>IF(VLOOKUP(CG863,βοηθητικό!$J$2:$N$354,3,FALSE)="","",VLOOKUP(CG863,βοηθητικό!$J$2:$N$354,3,FALSE))</f>
        <v>_</v>
      </c>
      <c r="CI863" s="47"/>
      <c r="CJ863" s="42" t="s">
        <v>16</v>
      </c>
      <c r="CK863" s="43" t="str">
        <f>IF(VLOOKUP(CJ863,βοηθητικό!$J$2:$N$354,3,FALSE)="","",VLOOKUP(CJ863,βοηθητικό!$J$2:$N$354,3,FALSE))</f>
        <v>_</v>
      </c>
      <c r="CL863" s="44"/>
      <c r="CM863" s="45" t="s">
        <v>16</v>
      </c>
      <c r="CN863" s="46" t="str">
        <f>IF(VLOOKUP(CM863,βοηθητικό!$J$2:$N$354,3,FALSE)="","",VLOOKUP(CM863,βοηθητικό!$J$2:$N$354,3,FALSE))</f>
        <v>_</v>
      </c>
      <c r="CO863" s="47"/>
      <c r="CP863" s="42" t="s">
        <v>16</v>
      </c>
      <c r="CQ863" s="43" t="str">
        <f>IF(VLOOKUP(CP863,βοηθητικό!$J$2:$N$354,3,FALSE)="","",VLOOKUP(CP863,βοηθητικό!$J$2:$N$354,3,FALSE))</f>
        <v>_</v>
      </c>
      <c r="CR863" s="44"/>
      <c r="CS863" s="45" t="s">
        <v>16</v>
      </c>
      <c r="CT863" s="46" t="str">
        <f>IF(VLOOKUP(CS863,βοηθητικό!$J$2:$N$354,3,FALSE)="","",VLOOKUP(CS863,βοηθητικό!$J$2:$N$354,3,FALSE))</f>
        <v>_</v>
      </c>
      <c r="CU863" s="47"/>
    </row>
    <row r="864" spans="1:99" x14ac:dyDescent="0.25">
      <c r="A864" s="37">
        <f>--SUBTOTAL(3,$B$3:B863)</f>
        <v>198</v>
      </c>
      <c r="B864" s="2"/>
      <c r="C864" s="3"/>
      <c r="D864" s="55" t="s">
        <v>18</v>
      </c>
      <c r="E864" s="38" t="s">
        <v>16</v>
      </c>
      <c r="F864" s="38"/>
      <c r="G864" s="39" t="str">
        <f t="shared" si="41"/>
        <v>__</v>
      </c>
      <c r="H864" s="40" t="str">
        <f t="shared" si="42"/>
        <v>FALSE</v>
      </c>
      <c r="I864" s="41">
        <f t="shared" si="43"/>
        <v>0</v>
      </c>
      <c r="J864" s="4" t="s">
        <v>16</v>
      </c>
      <c r="K864" s="43" t="str">
        <f>IF(VLOOKUP(J864,βοηθητικό!$J$2:$N$354,3,FALSE)="","",VLOOKUP(J864,βοηθητικό!$J$2:$N$354,3,FALSE))</f>
        <v>_</v>
      </c>
      <c r="L864" s="44"/>
      <c r="M864" s="5" t="s">
        <v>16</v>
      </c>
      <c r="N864" s="46" t="str">
        <f>IF(VLOOKUP(M864,βοηθητικό!$J$2:$N$354,3,FALSE)="","",VLOOKUP(M864,βοηθητικό!$J$2:$N$354,3,FALSE))</f>
        <v>_</v>
      </c>
      <c r="O864" s="47"/>
      <c r="P864" s="4" t="s">
        <v>16</v>
      </c>
      <c r="Q864" s="43" t="str">
        <f>IF(VLOOKUP(P864,βοηθητικό!$J$2:$N$354,3,FALSE)="","",VLOOKUP(P864,βοηθητικό!$J$2:$N$354,3,FALSE))</f>
        <v>_</v>
      </c>
      <c r="R864" s="44"/>
      <c r="S864" s="5" t="s">
        <v>16</v>
      </c>
      <c r="T864" s="46" t="str">
        <f>IF(VLOOKUP(S864,βοηθητικό!$J$2:$N$354,3,FALSE)="","",VLOOKUP(S864,βοηθητικό!$J$2:$N$354,3,FALSE))</f>
        <v>_</v>
      </c>
      <c r="U864" s="47"/>
      <c r="V864" s="4" t="s">
        <v>16</v>
      </c>
      <c r="W864" s="43" t="str">
        <f>IF(VLOOKUP(V864,βοηθητικό!$J$2:$N$354,3,FALSE)="","",VLOOKUP(V864,βοηθητικό!$J$2:$N$354,3,FALSE))</f>
        <v>_</v>
      </c>
      <c r="X864" s="44"/>
      <c r="Y864" s="5" t="s">
        <v>16</v>
      </c>
      <c r="Z864" s="46" t="str">
        <f>IF(VLOOKUP(Y864,βοηθητικό!$J$2:$N$354,3,FALSE)="","",VLOOKUP(Y864,βοηθητικό!$J$2:$N$354,3,FALSE))</f>
        <v>_</v>
      </c>
      <c r="AA864" s="47"/>
      <c r="AB864" s="4" t="s">
        <v>16</v>
      </c>
      <c r="AC864" s="43" t="str">
        <f>IF(VLOOKUP(AB864,βοηθητικό!$J$2:$N$354,3,FALSE)="","",VLOOKUP(AB864,βοηθητικό!$J$2:$N$354,3,FALSE))</f>
        <v>_</v>
      </c>
      <c r="AD864" s="44"/>
      <c r="AE864" s="5" t="s">
        <v>16</v>
      </c>
      <c r="AF864" s="46" t="str">
        <f>IF(VLOOKUP(AE864,βοηθητικό!$J$2:$N$354,3,FALSE)="","",VLOOKUP(AE864,βοηθητικό!$J$2:$N$354,3,FALSE))</f>
        <v>_</v>
      </c>
      <c r="AG864" s="47"/>
      <c r="AH864" s="4" t="s">
        <v>16</v>
      </c>
      <c r="AI864" s="43" t="str">
        <f>IF(VLOOKUP(AH864,βοηθητικό!$J$2:$N$354,3,FALSE)="","",VLOOKUP(AH864,βοηθητικό!$J$2:$N$354,3,FALSE))</f>
        <v>_</v>
      </c>
      <c r="AJ864" s="44"/>
      <c r="AK864" s="5" t="s">
        <v>16</v>
      </c>
      <c r="AL864" s="46" t="str">
        <f>IF(VLOOKUP(AK864,βοηθητικό!$J$2:$N$354,3,FALSE)="","",VLOOKUP(AK864,βοηθητικό!$J$2:$N$354,3,FALSE))</f>
        <v>_</v>
      </c>
      <c r="AM864" s="47"/>
      <c r="AN864" s="4" t="s">
        <v>16</v>
      </c>
      <c r="AO864" s="43" t="str">
        <f>IF(VLOOKUP(AN864,βοηθητικό!$J$2:$N$354,3,FALSE)="","",VLOOKUP(AN864,βοηθητικό!$J$2:$N$354,3,FALSE))</f>
        <v>_</v>
      </c>
      <c r="AP864" s="44"/>
      <c r="AQ864" s="5" t="s">
        <v>16</v>
      </c>
      <c r="AR864" s="46" t="str">
        <f>IF(VLOOKUP(AQ864,βοηθητικό!$J$2:$N$354,3,FALSE)="","",VLOOKUP(AQ864,βοηθητικό!$J$2:$N$354,3,FALSE))</f>
        <v>_</v>
      </c>
      <c r="AS864" s="47"/>
      <c r="AT864" s="4" t="s">
        <v>16</v>
      </c>
      <c r="AU864" s="43" t="str">
        <f>IF(VLOOKUP(AT864,βοηθητικό!$J$2:$N$354,3,FALSE)="","",VLOOKUP(AT864,βοηθητικό!$J$2:$N$354,3,FALSE))</f>
        <v>_</v>
      </c>
      <c r="AV864" s="44"/>
      <c r="AW864" s="5" t="s">
        <v>16</v>
      </c>
      <c r="AX864" s="46" t="str">
        <f>IF(VLOOKUP(AW864,βοηθητικό!$J$2:$N$354,3,FALSE)="","",VLOOKUP(AW864,βοηθητικό!$J$2:$N$354,3,FALSE))</f>
        <v>_</v>
      </c>
      <c r="AY864" s="47"/>
      <c r="AZ864" s="4" t="s">
        <v>16</v>
      </c>
      <c r="BA864" s="43" t="str">
        <f>IF(VLOOKUP(AZ864,βοηθητικό!$J$2:$N$354,3,FALSE)="","",VLOOKUP(AZ864,βοηθητικό!$J$2:$N$354,3,FALSE))</f>
        <v>_</v>
      </c>
      <c r="BB864" s="44"/>
      <c r="BC864" s="45" t="s">
        <v>16</v>
      </c>
      <c r="BD864" s="46" t="str">
        <f>IF(VLOOKUP(BC864,βοηθητικό!$J$2:$N$354,3,FALSE)="","",VLOOKUP(BC864,βοηθητικό!$J$2:$N$354,3,FALSE))</f>
        <v>_</v>
      </c>
      <c r="BE864" s="47"/>
      <c r="BF864" s="42" t="s">
        <v>16</v>
      </c>
      <c r="BG864" s="43" t="str">
        <f>IF(VLOOKUP(BF864,βοηθητικό!$J$2:$N$354,3,FALSE)="","",VLOOKUP(BF864,βοηθητικό!$J$2:$N$354,3,FALSE))</f>
        <v>_</v>
      </c>
      <c r="BH864" s="44"/>
      <c r="BI864" s="45" t="s">
        <v>16</v>
      </c>
      <c r="BJ864" s="46" t="str">
        <f>IF(VLOOKUP(BI864,βοηθητικό!$J$2:$N$354,3,FALSE)="","",VLOOKUP(BI864,βοηθητικό!$J$2:$N$354,3,FALSE))</f>
        <v>_</v>
      </c>
      <c r="BK864" s="47"/>
      <c r="BL864" s="42" t="s">
        <v>16</v>
      </c>
      <c r="BM864" s="43" t="str">
        <f>IF(VLOOKUP(BL864,βοηθητικό!$J$2:$N$354,3,FALSE)="","",VLOOKUP(BL864,βοηθητικό!$J$2:$N$354,3,FALSE))</f>
        <v>_</v>
      </c>
      <c r="BN864" s="44"/>
      <c r="BO864" s="45" t="s">
        <v>16</v>
      </c>
      <c r="BP864" s="46" t="str">
        <f>IF(VLOOKUP(BO864,βοηθητικό!$J$2:$N$354,3,FALSE)="","",VLOOKUP(BO864,βοηθητικό!$J$2:$N$354,3,FALSE))</f>
        <v>_</v>
      </c>
      <c r="BQ864" s="47"/>
      <c r="BR864" s="42" t="s">
        <v>16</v>
      </c>
      <c r="BS864" s="43" t="str">
        <f>IF(VLOOKUP(BR864,βοηθητικό!$J$2:$N$354,3,FALSE)="","",VLOOKUP(BR864,βοηθητικό!$J$2:$N$354,3,FALSE))</f>
        <v>_</v>
      </c>
      <c r="BT864" s="44"/>
      <c r="BU864" s="45" t="s">
        <v>16</v>
      </c>
      <c r="BV864" s="46" t="str">
        <f>IF(VLOOKUP(BU864,βοηθητικό!$J$2:$N$354,3,FALSE)="","",VLOOKUP(BU864,βοηθητικό!$J$2:$N$354,3,FALSE))</f>
        <v>_</v>
      </c>
      <c r="BW864" s="47"/>
      <c r="BX864" s="42" t="s">
        <v>16</v>
      </c>
      <c r="BY864" s="43" t="str">
        <f>IF(VLOOKUP(BX864,βοηθητικό!$J$2:$N$354,3,FALSE)="","",VLOOKUP(BX864,βοηθητικό!$J$2:$N$354,3,FALSE))</f>
        <v>_</v>
      </c>
      <c r="BZ864" s="44"/>
      <c r="CA864" s="45" t="s">
        <v>16</v>
      </c>
      <c r="CB864" s="46" t="str">
        <f>IF(VLOOKUP(CA864,βοηθητικό!$J$2:$N$354,3,FALSE)="","",VLOOKUP(CA864,βοηθητικό!$J$2:$N$354,3,FALSE))</f>
        <v>_</v>
      </c>
      <c r="CC864" s="47"/>
      <c r="CD864" s="42" t="s">
        <v>16</v>
      </c>
      <c r="CE864" s="43" t="str">
        <f>IF(VLOOKUP(CD864,βοηθητικό!$J$2:$N$354,3,FALSE)="","",VLOOKUP(CD864,βοηθητικό!$J$2:$N$354,3,FALSE))</f>
        <v>_</v>
      </c>
      <c r="CF864" s="44"/>
      <c r="CG864" s="45" t="s">
        <v>16</v>
      </c>
      <c r="CH864" s="46" t="str">
        <f>IF(VLOOKUP(CG864,βοηθητικό!$J$2:$N$354,3,FALSE)="","",VLOOKUP(CG864,βοηθητικό!$J$2:$N$354,3,FALSE))</f>
        <v>_</v>
      </c>
      <c r="CI864" s="47"/>
      <c r="CJ864" s="42" t="s">
        <v>16</v>
      </c>
      <c r="CK864" s="43" t="str">
        <f>IF(VLOOKUP(CJ864,βοηθητικό!$J$2:$N$354,3,FALSE)="","",VLOOKUP(CJ864,βοηθητικό!$J$2:$N$354,3,FALSE))</f>
        <v>_</v>
      </c>
      <c r="CL864" s="44"/>
      <c r="CM864" s="45" t="s">
        <v>16</v>
      </c>
      <c r="CN864" s="46" t="str">
        <f>IF(VLOOKUP(CM864,βοηθητικό!$J$2:$N$354,3,FALSE)="","",VLOOKUP(CM864,βοηθητικό!$J$2:$N$354,3,FALSE))</f>
        <v>_</v>
      </c>
      <c r="CO864" s="47"/>
      <c r="CP864" s="42" t="s">
        <v>16</v>
      </c>
      <c r="CQ864" s="43" t="str">
        <f>IF(VLOOKUP(CP864,βοηθητικό!$J$2:$N$354,3,FALSE)="","",VLOOKUP(CP864,βοηθητικό!$J$2:$N$354,3,FALSE))</f>
        <v>_</v>
      </c>
      <c r="CR864" s="44"/>
      <c r="CS864" s="45" t="s">
        <v>16</v>
      </c>
      <c r="CT864" s="46" t="str">
        <f>IF(VLOOKUP(CS864,βοηθητικό!$J$2:$N$354,3,FALSE)="","",VLOOKUP(CS864,βοηθητικό!$J$2:$N$354,3,FALSE))</f>
        <v>_</v>
      </c>
      <c r="CU864" s="47"/>
    </row>
    <row r="865" spans="1:99" x14ac:dyDescent="0.25">
      <c r="A865" s="37">
        <f>--SUBTOTAL(3,$B$3:B864)</f>
        <v>198</v>
      </c>
      <c r="B865" s="2"/>
      <c r="C865" s="3"/>
      <c r="D865" s="55" t="s">
        <v>18</v>
      </c>
      <c r="E865" s="38" t="s">
        <v>16</v>
      </c>
      <c r="F865" s="38"/>
      <c r="G865" s="39" t="str">
        <f t="shared" si="41"/>
        <v>__</v>
      </c>
      <c r="H865" s="40" t="str">
        <f t="shared" si="42"/>
        <v>FALSE</v>
      </c>
      <c r="I865" s="41">
        <f t="shared" si="43"/>
        <v>0</v>
      </c>
      <c r="J865" s="4" t="s">
        <v>16</v>
      </c>
      <c r="K865" s="43" t="str">
        <f>IF(VLOOKUP(J865,βοηθητικό!$J$2:$N$354,3,FALSE)="","",VLOOKUP(J865,βοηθητικό!$J$2:$N$354,3,FALSE))</f>
        <v>_</v>
      </c>
      <c r="L865" s="44"/>
      <c r="M865" s="5" t="s">
        <v>16</v>
      </c>
      <c r="N865" s="46" t="str">
        <f>IF(VLOOKUP(M865,βοηθητικό!$J$2:$N$354,3,FALSE)="","",VLOOKUP(M865,βοηθητικό!$J$2:$N$354,3,FALSE))</f>
        <v>_</v>
      </c>
      <c r="O865" s="47"/>
      <c r="P865" s="4" t="s">
        <v>16</v>
      </c>
      <c r="Q865" s="43" t="str">
        <f>IF(VLOOKUP(P865,βοηθητικό!$J$2:$N$354,3,FALSE)="","",VLOOKUP(P865,βοηθητικό!$J$2:$N$354,3,FALSE))</f>
        <v>_</v>
      </c>
      <c r="R865" s="44"/>
      <c r="S865" s="5" t="s">
        <v>16</v>
      </c>
      <c r="T865" s="46" t="str">
        <f>IF(VLOOKUP(S865,βοηθητικό!$J$2:$N$354,3,FALSE)="","",VLOOKUP(S865,βοηθητικό!$J$2:$N$354,3,FALSE))</f>
        <v>_</v>
      </c>
      <c r="U865" s="47"/>
      <c r="V865" s="4" t="s">
        <v>16</v>
      </c>
      <c r="W865" s="43" t="str">
        <f>IF(VLOOKUP(V865,βοηθητικό!$J$2:$N$354,3,FALSE)="","",VLOOKUP(V865,βοηθητικό!$J$2:$N$354,3,FALSE))</f>
        <v>_</v>
      </c>
      <c r="X865" s="44"/>
      <c r="Y865" s="5" t="s">
        <v>16</v>
      </c>
      <c r="Z865" s="46" t="str">
        <f>IF(VLOOKUP(Y865,βοηθητικό!$J$2:$N$354,3,FALSE)="","",VLOOKUP(Y865,βοηθητικό!$J$2:$N$354,3,FALSE))</f>
        <v>_</v>
      </c>
      <c r="AA865" s="47"/>
      <c r="AB865" s="4" t="s">
        <v>16</v>
      </c>
      <c r="AC865" s="43" t="str">
        <f>IF(VLOOKUP(AB865,βοηθητικό!$J$2:$N$354,3,FALSE)="","",VLOOKUP(AB865,βοηθητικό!$J$2:$N$354,3,FALSE))</f>
        <v>_</v>
      </c>
      <c r="AD865" s="44"/>
      <c r="AE865" s="5" t="s">
        <v>16</v>
      </c>
      <c r="AF865" s="46" t="str">
        <f>IF(VLOOKUP(AE865,βοηθητικό!$J$2:$N$354,3,FALSE)="","",VLOOKUP(AE865,βοηθητικό!$J$2:$N$354,3,FALSE))</f>
        <v>_</v>
      </c>
      <c r="AG865" s="47"/>
      <c r="AH865" s="4" t="s">
        <v>16</v>
      </c>
      <c r="AI865" s="43" t="str">
        <f>IF(VLOOKUP(AH865,βοηθητικό!$J$2:$N$354,3,FALSE)="","",VLOOKUP(AH865,βοηθητικό!$J$2:$N$354,3,FALSE))</f>
        <v>_</v>
      </c>
      <c r="AJ865" s="44"/>
      <c r="AK865" s="5" t="s">
        <v>16</v>
      </c>
      <c r="AL865" s="46" t="str">
        <f>IF(VLOOKUP(AK865,βοηθητικό!$J$2:$N$354,3,FALSE)="","",VLOOKUP(AK865,βοηθητικό!$J$2:$N$354,3,FALSE))</f>
        <v>_</v>
      </c>
      <c r="AM865" s="47"/>
      <c r="AN865" s="4" t="s">
        <v>16</v>
      </c>
      <c r="AO865" s="43" t="str">
        <f>IF(VLOOKUP(AN865,βοηθητικό!$J$2:$N$354,3,FALSE)="","",VLOOKUP(AN865,βοηθητικό!$J$2:$N$354,3,FALSE))</f>
        <v>_</v>
      </c>
      <c r="AP865" s="44"/>
      <c r="AQ865" s="5" t="s">
        <v>16</v>
      </c>
      <c r="AR865" s="46" t="str">
        <f>IF(VLOOKUP(AQ865,βοηθητικό!$J$2:$N$354,3,FALSE)="","",VLOOKUP(AQ865,βοηθητικό!$J$2:$N$354,3,FALSE))</f>
        <v>_</v>
      </c>
      <c r="AS865" s="47"/>
      <c r="AT865" s="4" t="s">
        <v>16</v>
      </c>
      <c r="AU865" s="43" t="str">
        <f>IF(VLOOKUP(AT865,βοηθητικό!$J$2:$N$354,3,FALSE)="","",VLOOKUP(AT865,βοηθητικό!$J$2:$N$354,3,FALSE))</f>
        <v>_</v>
      </c>
      <c r="AV865" s="44"/>
      <c r="AW865" s="5" t="s">
        <v>16</v>
      </c>
      <c r="AX865" s="46" t="str">
        <f>IF(VLOOKUP(AW865,βοηθητικό!$J$2:$N$354,3,FALSE)="","",VLOOKUP(AW865,βοηθητικό!$J$2:$N$354,3,FALSE))</f>
        <v>_</v>
      </c>
      <c r="AY865" s="47"/>
      <c r="AZ865" s="4" t="s">
        <v>16</v>
      </c>
      <c r="BA865" s="43" t="str">
        <f>IF(VLOOKUP(AZ865,βοηθητικό!$J$2:$N$354,3,FALSE)="","",VLOOKUP(AZ865,βοηθητικό!$J$2:$N$354,3,FALSE))</f>
        <v>_</v>
      </c>
      <c r="BB865" s="44"/>
      <c r="BC865" s="45" t="s">
        <v>16</v>
      </c>
      <c r="BD865" s="46" t="str">
        <f>IF(VLOOKUP(BC865,βοηθητικό!$J$2:$N$354,3,FALSE)="","",VLOOKUP(BC865,βοηθητικό!$J$2:$N$354,3,FALSE))</f>
        <v>_</v>
      </c>
      <c r="BE865" s="47"/>
      <c r="BF865" s="42" t="s">
        <v>16</v>
      </c>
      <c r="BG865" s="43" t="str">
        <f>IF(VLOOKUP(BF865,βοηθητικό!$J$2:$N$354,3,FALSE)="","",VLOOKUP(BF865,βοηθητικό!$J$2:$N$354,3,FALSE))</f>
        <v>_</v>
      </c>
      <c r="BH865" s="44"/>
      <c r="BI865" s="45" t="s">
        <v>16</v>
      </c>
      <c r="BJ865" s="46" t="str">
        <f>IF(VLOOKUP(BI865,βοηθητικό!$J$2:$N$354,3,FALSE)="","",VLOOKUP(BI865,βοηθητικό!$J$2:$N$354,3,FALSE))</f>
        <v>_</v>
      </c>
      <c r="BK865" s="47"/>
      <c r="BL865" s="42" t="s">
        <v>16</v>
      </c>
      <c r="BM865" s="43" t="str">
        <f>IF(VLOOKUP(BL865,βοηθητικό!$J$2:$N$354,3,FALSE)="","",VLOOKUP(BL865,βοηθητικό!$J$2:$N$354,3,FALSE))</f>
        <v>_</v>
      </c>
      <c r="BN865" s="44"/>
      <c r="BO865" s="45" t="s">
        <v>16</v>
      </c>
      <c r="BP865" s="46" t="str">
        <f>IF(VLOOKUP(BO865,βοηθητικό!$J$2:$N$354,3,FALSE)="","",VLOOKUP(BO865,βοηθητικό!$J$2:$N$354,3,FALSE))</f>
        <v>_</v>
      </c>
      <c r="BQ865" s="47"/>
      <c r="BR865" s="42" t="s">
        <v>16</v>
      </c>
      <c r="BS865" s="43" t="str">
        <f>IF(VLOOKUP(BR865,βοηθητικό!$J$2:$N$354,3,FALSE)="","",VLOOKUP(BR865,βοηθητικό!$J$2:$N$354,3,FALSE))</f>
        <v>_</v>
      </c>
      <c r="BT865" s="44"/>
      <c r="BU865" s="45" t="s">
        <v>16</v>
      </c>
      <c r="BV865" s="46" t="str">
        <f>IF(VLOOKUP(BU865,βοηθητικό!$J$2:$N$354,3,FALSE)="","",VLOOKUP(BU865,βοηθητικό!$J$2:$N$354,3,FALSE))</f>
        <v>_</v>
      </c>
      <c r="BW865" s="47"/>
      <c r="BX865" s="42" t="s">
        <v>16</v>
      </c>
      <c r="BY865" s="43" t="str">
        <f>IF(VLOOKUP(BX865,βοηθητικό!$J$2:$N$354,3,FALSE)="","",VLOOKUP(BX865,βοηθητικό!$J$2:$N$354,3,FALSE))</f>
        <v>_</v>
      </c>
      <c r="BZ865" s="44"/>
      <c r="CA865" s="45" t="s">
        <v>16</v>
      </c>
      <c r="CB865" s="46" t="str">
        <f>IF(VLOOKUP(CA865,βοηθητικό!$J$2:$N$354,3,FALSE)="","",VLOOKUP(CA865,βοηθητικό!$J$2:$N$354,3,FALSE))</f>
        <v>_</v>
      </c>
      <c r="CC865" s="47"/>
      <c r="CD865" s="42" t="s">
        <v>16</v>
      </c>
      <c r="CE865" s="43" t="str">
        <f>IF(VLOOKUP(CD865,βοηθητικό!$J$2:$N$354,3,FALSE)="","",VLOOKUP(CD865,βοηθητικό!$J$2:$N$354,3,FALSE))</f>
        <v>_</v>
      </c>
      <c r="CF865" s="44"/>
      <c r="CG865" s="45" t="s">
        <v>16</v>
      </c>
      <c r="CH865" s="46" t="str">
        <f>IF(VLOOKUP(CG865,βοηθητικό!$J$2:$N$354,3,FALSE)="","",VLOOKUP(CG865,βοηθητικό!$J$2:$N$354,3,FALSE))</f>
        <v>_</v>
      </c>
      <c r="CI865" s="47"/>
      <c r="CJ865" s="42" t="s">
        <v>16</v>
      </c>
      <c r="CK865" s="43" t="str">
        <f>IF(VLOOKUP(CJ865,βοηθητικό!$J$2:$N$354,3,FALSE)="","",VLOOKUP(CJ865,βοηθητικό!$J$2:$N$354,3,FALSE))</f>
        <v>_</v>
      </c>
      <c r="CL865" s="44"/>
      <c r="CM865" s="45" t="s">
        <v>16</v>
      </c>
      <c r="CN865" s="46" t="str">
        <f>IF(VLOOKUP(CM865,βοηθητικό!$J$2:$N$354,3,FALSE)="","",VLOOKUP(CM865,βοηθητικό!$J$2:$N$354,3,FALSE))</f>
        <v>_</v>
      </c>
      <c r="CO865" s="47"/>
      <c r="CP865" s="42" t="s">
        <v>16</v>
      </c>
      <c r="CQ865" s="43" t="str">
        <f>IF(VLOOKUP(CP865,βοηθητικό!$J$2:$N$354,3,FALSE)="","",VLOOKUP(CP865,βοηθητικό!$J$2:$N$354,3,FALSE))</f>
        <v>_</v>
      </c>
      <c r="CR865" s="44"/>
      <c r="CS865" s="45" t="s">
        <v>16</v>
      </c>
      <c r="CT865" s="46" t="str">
        <f>IF(VLOOKUP(CS865,βοηθητικό!$J$2:$N$354,3,FALSE)="","",VLOOKUP(CS865,βοηθητικό!$J$2:$N$354,3,FALSE))</f>
        <v>_</v>
      </c>
      <c r="CU865" s="47"/>
    </row>
    <row r="866" spans="1:99" x14ac:dyDescent="0.25">
      <c r="A866" s="37">
        <f>--SUBTOTAL(3,$B$3:B865)</f>
        <v>198</v>
      </c>
      <c r="B866" s="2"/>
      <c r="C866" s="3"/>
      <c r="D866" s="55" t="s">
        <v>18</v>
      </c>
      <c r="E866" s="38" t="s">
        <v>16</v>
      </c>
      <c r="F866" s="38"/>
      <c r="G866" s="39" t="str">
        <f t="shared" si="41"/>
        <v>__</v>
      </c>
      <c r="H866" s="40" t="str">
        <f t="shared" si="42"/>
        <v>FALSE</v>
      </c>
      <c r="I866" s="41">
        <f t="shared" si="43"/>
        <v>0</v>
      </c>
      <c r="J866" s="4" t="s">
        <v>16</v>
      </c>
      <c r="K866" s="43" t="str">
        <f>IF(VLOOKUP(J866,βοηθητικό!$J$2:$N$354,3,FALSE)="","",VLOOKUP(J866,βοηθητικό!$J$2:$N$354,3,FALSE))</f>
        <v>_</v>
      </c>
      <c r="L866" s="44"/>
      <c r="M866" s="5" t="s">
        <v>16</v>
      </c>
      <c r="N866" s="46" t="str">
        <f>IF(VLOOKUP(M866,βοηθητικό!$J$2:$N$354,3,FALSE)="","",VLOOKUP(M866,βοηθητικό!$J$2:$N$354,3,FALSE))</f>
        <v>_</v>
      </c>
      <c r="O866" s="47"/>
      <c r="P866" s="4" t="s">
        <v>16</v>
      </c>
      <c r="Q866" s="43" t="str">
        <f>IF(VLOOKUP(P866,βοηθητικό!$J$2:$N$354,3,FALSE)="","",VLOOKUP(P866,βοηθητικό!$J$2:$N$354,3,FALSE))</f>
        <v>_</v>
      </c>
      <c r="R866" s="44"/>
      <c r="S866" s="5" t="s">
        <v>16</v>
      </c>
      <c r="T866" s="46" t="str">
        <f>IF(VLOOKUP(S866,βοηθητικό!$J$2:$N$354,3,FALSE)="","",VLOOKUP(S866,βοηθητικό!$J$2:$N$354,3,FALSE))</f>
        <v>_</v>
      </c>
      <c r="U866" s="47"/>
      <c r="V866" s="4" t="s">
        <v>16</v>
      </c>
      <c r="W866" s="43" t="str">
        <f>IF(VLOOKUP(V866,βοηθητικό!$J$2:$N$354,3,FALSE)="","",VLOOKUP(V866,βοηθητικό!$J$2:$N$354,3,FALSE))</f>
        <v>_</v>
      </c>
      <c r="X866" s="44"/>
      <c r="Y866" s="5" t="s">
        <v>16</v>
      </c>
      <c r="Z866" s="46" t="str">
        <f>IF(VLOOKUP(Y866,βοηθητικό!$J$2:$N$354,3,FALSE)="","",VLOOKUP(Y866,βοηθητικό!$J$2:$N$354,3,FALSE))</f>
        <v>_</v>
      </c>
      <c r="AA866" s="47"/>
      <c r="AB866" s="4" t="s">
        <v>16</v>
      </c>
      <c r="AC866" s="43" t="str">
        <f>IF(VLOOKUP(AB866,βοηθητικό!$J$2:$N$354,3,FALSE)="","",VLOOKUP(AB866,βοηθητικό!$J$2:$N$354,3,FALSE))</f>
        <v>_</v>
      </c>
      <c r="AD866" s="44"/>
      <c r="AE866" s="5" t="s">
        <v>16</v>
      </c>
      <c r="AF866" s="46" t="str">
        <f>IF(VLOOKUP(AE866,βοηθητικό!$J$2:$N$354,3,FALSE)="","",VLOOKUP(AE866,βοηθητικό!$J$2:$N$354,3,FALSE))</f>
        <v>_</v>
      </c>
      <c r="AG866" s="47"/>
      <c r="AH866" s="4" t="s">
        <v>16</v>
      </c>
      <c r="AI866" s="43" t="str">
        <f>IF(VLOOKUP(AH866,βοηθητικό!$J$2:$N$354,3,FALSE)="","",VLOOKUP(AH866,βοηθητικό!$J$2:$N$354,3,FALSE))</f>
        <v>_</v>
      </c>
      <c r="AJ866" s="44"/>
      <c r="AK866" s="5" t="s">
        <v>16</v>
      </c>
      <c r="AL866" s="46" t="str">
        <f>IF(VLOOKUP(AK866,βοηθητικό!$J$2:$N$354,3,FALSE)="","",VLOOKUP(AK866,βοηθητικό!$J$2:$N$354,3,FALSE))</f>
        <v>_</v>
      </c>
      <c r="AM866" s="47"/>
      <c r="AN866" s="4" t="s">
        <v>16</v>
      </c>
      <c r="AO866" s="43" t="str">
        <f>IF(VLOOKUP(AN866,βοηθητικό!$J$2:$N$354,3,FALSE)="","",VLOOKUP(AN866,βοηθητικό!$J$2:$N$354,3,FALSE))</f>
        <v>_</v>
      </c>
      <c r="AP866" s="44"/>
      <c r="AQ866" s="5" t="s">
        <v>16</v>
      </c>
      <c r="AR866" s="46" t="str">
        <f>IF(VLOOKUP(AQ866,βοηθητικό!$J$2:$N$354,3,FALSE)="","",VLOOKUP(AQ866,βοηθητικό!$J$2:$N$354,3,FALSE))</f>
        <v>_</v>
      </c>
      <c r="AS866" s="47"/>
      <c r="AT866" s="4" t="s">
        <v>16</v>
      </c>
      <c r="AU866" s="43" t="str">
        <f>IF(VLOOKUP(AT866,βοηθητικό!$J$2:$N$354,3,FALSE)="","",VLOOKUP(AT866,βοηθητικό!$J$2:$N$354,3,FALSE))</f>
        <v>_</v>
      </c>
      <c r="AV866" s="44"/>
      <c r="AW866" s="5" t="s">
        <v>16</v>
      </c>
      <c r="AX866" s="46" t="str">
        <f>IF(VLOOKUP(AW866,βοηθητικό!$J$2:$N$354,3,FALSE)="","",VLOOKUP(AW866,βοηθητικό!$J$2:$N$354,3,FALSE))</f>
        <v>_</v>
      </c>
      <c r="AY866" s="47"/>
      <c r="AZ866" s="4" t="s">
        <v>16</v>
      </c>
      <c r="BA866" s="43" t="str">
        <f>IF(VLOOKUP(AZ866,βοηθητικό!$J$2:$N$354,3,FALSE)="","",VLOOKUP(AZ866,βοηθητικό!$J$2:$N$354,3,FALSE))</f>
        <v>_</v>
      </c>
      <c r="BB866" s="44"/>
      <c r="BC866" s="45" t="s">
        <v>16</v>
      </c>
      <c r="BD866" s="46" t="str">
        <f>IF(VLOOKUP(BC866,βοηθητικό!$J$2:$N$354,3,FALSE)="","",VLOOKUP(BC866,βοηθητικό!$J$2:$N$354,3,FALSE))</f>
        <v>_</v>
      </c>
      <c r="BE866" s="47"/>
      <c r="BF866" s="42" t="s">
        <v>16</v>
      </c>
      <c r="BG866" s="43" t="str">
        <f>IF(VLOOKUP(BF866,βοηθητικό!$J$2:$N$354,3,FALSE)="","",VLOOKUP(BF866,βοηθητικό!$J$2:$N$354,3,FALSE))</f>
        <v>_</v>
      </c>
      <c r="BH866" s="44"/>
      <c r="BI866" s="45" t="s">
        <v>16</v>
      </c>
      <c r="BJ866" s="46" t="str">
        <f>IF(VLOOKUP(BI866,βοηθητικό!$J$2:$N$354,3,FALSE)="","",VLOOKUP(BI866,βοηθητικό!$J$2:$N$354,3,FALSE))</f>
        <v>_</v>
      </c>
      <c r="BK866" s="47"/>
      <c r="BL866" s="42" t="s">
        <v>16</v>
      </c>
      <c r="BM866" s="43" t="str">
        <f>IF(VLOOKUP(BL866,βοηθητικό!$J$2:$N$354,3,FALSE)="","",VLOOKUP(BL866,βοηθητικό!$J$2:$N$354,3,FALSE))</f>
        <v>_</v>
      </c>
      <c r="BN866" s="44"/>
      <c r="BO866" s="45" t="s">
        <v>16</v>
      </c>
      <c r="BP866" s="46" t="str">
        <f>IF(VLOOKUP(BO866,βοηθητικό!$J$2:$N$354,3,FALSE)="","",VLOOKUP(BO866,βοηθητικό!$J$2:$N$354,3,FALSE))</f>
        <v>_</v>
      </c>
      <c r="BQ866" s="47"/>
      <c r="BR866" s="42" t="s">
        <v>16</v>
      </c>
      <c r="BS866" s="43" t="str">
        <f>IF(VLOOKUP(BR866,βοηθητικό!$J$2:$N$354,3,FALSE)="","",VLOOKUP(BR866,βοηθητικό!$J$2:$N$354,3,FALSE))</f>
        <v>_</v>
      </c>
      <c r="BT866" s="44"/>
      <c r="BU866" s="45" t="s">
        <v>16</v>
      </c>
      <c r="BV866" s="46" t="str">
        <f>IF(VLOOKUP(BU866,βοηθητικό!$J$2:$N$354,3,FALSE)="","",VLOOKUP(BU866,βοηθητικό!$J$2:$N$354,3,FALSE))</f>
        <v>_</v>
      </c>
      <c r="BW866" s="47"/>
      <c r="BX866" s="42" t="s">
        <v>16</v>
      </c>
      <c r="BY866" s="43" t="str">
        <f>IF(VLOOKUP(BX866,βοηθητικό!$J$2:$N$354,3,FALSE)="","",VLOOKUP(BX866,βοηθητικό!$J$2:$N$354,3,FALSE))</f>
        <v>_</v>
      </c>
      <c r="BZ866" s="44"/>
      <c r="CA866" s="45" t="s">
        <v>16</v>
      </c>
      <c r="CB866" s="46" t="str">
        <f>IF(VLOOKUP(CA866,βοηθητικό!$J$2:$N$354,3,FALSE)="","",VLOOKUP(CA866,βοηθητικό!$J$2:$N$354,3,FALSE))</f>
        <v>_</v>
      </c>
      <c r="CC866" s="47"/>
      <c r="CD866" s="42" t="s">
        <v>16</v>
      </c>
      <c r="CE866" s="43" t="str">
        <f>IF(VLOOKUP(CD866,βοηθητικό!$J$2:$N$354,3,FALSE)="","",VLOOKUP(CD866,βοηθητικό!$J$2:$N$354,3,FALSE))</f>
        <v>_</v>
      </c>
      <c r="CF866" s="44"/>
      <c r="CG866" s="45" t="s">
        <v>16</v>
      </c>
      <c r="CH866" s="46" t="str">
        <f>IF(VLOOKUP(CG866,βοηθητικό!$J$2:$N$354,3,FALSE)="","",VLOOKUP(CG866,βοηθητικό!$J$2:$N$354,3,FALSE))</f>
        <v>_</v>
      </c>
      <c r="CI866" s="47"/>
      <c r="CJ866" s="42" t="s">
        <v>16</v>
      </c>
      <c r="CK866" s="43" t="str">
        <f>IF(VLOOKUP(CJ866,βοηθητικό!$J$2:$N$354,3,FALSE)="","",VLOOKUP(CJ866,βοηθητικό!$J$2:$N$354,3,FALSE))</f>
        <v>_</v>
      </c>
      <c r="CL866" s="44"/>
      <c r="CM866" s="45" t="s">
        <v>16</v>
      </c>
      <c r="CN866" s="46" t="str">
        <f>IF(VLOOKUP(CM866,βοηθητικό!$J$2:$N$354,3,FALSE)="","",VLOOKUP(CM866,βοηθητικό!$J$2:$N$354,3,FALSE))</f>
        <v>_</v>
      </c>
      <c r="CO866" s="47"/>
      <c r="CP866" s="42" t="s">
        <v>16</v>
      </c>
      <c r="CQ866" s="43" t="str">
        <f>IF(VLOOKUP(CP866,βοηθητικό!$J$2:$N$354,3,FALSE)="","",VLOOKUP(CP866,βοηθητικό!$J$2:$N$354,3,FALSE))</f>
        <v>_</v>
      </c>
      <c r="CR866" s="44"/>
      <c r="CS866" s="45" t="s">
        <v>16</v>
      </c>
      <c r="CT866" s="46" t="str">
        <f>IF(VLOOKUP(CS866,βοηθητικό!$J$2:$N$354,3,FALSE)="","",VLOOKUP(CS866,βοηθητικό!$J$2:$N$354,3,FALSE))</f>
        <v>_</v>
      </c>
      <c r="CU866" s="47"/>
    </row>
    <row r="867" spans="1:99" x14ac:dyDescent="0.25">
      <c r="A867" s="37">
        <f>--SUBTOTAL(3,$B$3:B866)</f>
        <v>198</v>
      </c>
      <c r="B867" s="2"/>
      <c r="C867" s="3"/>
      <c r="D867" s="55" t="s">
        <v>18</v>
      </c>
      <c r="E867" s="38" t="s">
        <v>16</v>
      </c>
      <c r="F867" s="38"/>
      <c r="G867" s="39" t="str">
        <f t="shared" si="41"/>
        <v>__</v>
      </c>
      <c r="H867" s="40" t="str">
        <f t="shared" si="42"/>
        <v>FALSE</v>
      </c>
      <c r="I867" s="41">
        <f t="shared" si="43"/>
        <v>0</v>
      </c>
      <c r="J867" s="4" t="s">
        <v>16</v>
      </c>
      <c r="K867" s="43" t="str">
        <f>IF(VLOOKUP(J867,βοηθητικό!$J$2:$N$354,3,FALSE)="","",VLOOKUP(J867,βοηθητικό!$J$2:$N$354,3,FALSE))</f>
        <v>_</v>
      </c>
      <c r="L867" s="44"/>
      <c r="M867" s="5" t="s">
        <v>16</v>
      </c>
      <c r="N867" s="46" t="str">
        <f>IF(VLOOKUP(M867,βοηθητικό!$J$2:$N$354,3,FALSE)="","",VLOOKUP(M867,βοηθητικό!$J$2:$N$354,3,FALSE))</f>
        <v>_</v>
      </c>
      <c r="O867" s="47"/>
      <c r="P867" s="4" t="s">
        <v>16</v>
      </c>
      <c r="Q867" s="43" t="str">
        <f>IF(VLOOKUP(P867,βοηθητικό!$J$2:$N$354,3,FALSE)="","",VLOOKUP(P867,βοηθητικό!$J$2:$N$354,3,FALSE))</f>
        <v>_</v>
      </c>
      <c r="R867" s="44"/>
      <c r="S867" s="5" t="s">
        <v>16</v>
      </c>
      <c r="T867" s="46" t="str">
        <f>IF(VLOOKUP(S867,βοηθητικό!$J$2:$N$354,3,FALSE)="","",VLOOKUP(S867,βοηθητικό!$J$2:$N$354,3,FALSE))</f>
        <v>_</v>
      </c>
      <c r="U867" s="47"/>
      <c r="V867" s="4" t="s">
        <v>16</v>
      </c>
      <c r="W867" s="43" t="str">
        <f>IF(VLOOKUP(V867,βοηθητικό!$J$2:$N$354,3,FALSE)="","",VLOOKUP(V867,βοηθητικό!$J$2:$N$354,3,FALSE))</f>
        <v>_</v>
      </c>
      <c r="X867" s="44"/>
      <c r="Y867" s="5" t="s">
        <v>16</v>
      </c>
      <c r="Z867" s="46" t="str">
        <f>IF(VLOOKUP(Y867,βοηθητικό!$J$2:$N$354,3,FALSE)="","",VLOOKUP(Y867,βοηθητικό!$J$2:$N$354,3,FALSE))</f>
        <v>_</v>
      </c>
      <c r="AA867" s="47"/>
      <c r="AB867" s="4" t="s">
        <v>16</v>
      </c>
      <c r="AC867" s="43" t="str">
        <f>IF(VLOOKUP(AB867,βοηθητικό!$J$2:$N$354,3,FALSE)="","",VLOOKUP(AB867,βοηθητικό!$J$2:$N$354,3,FALSE))</f>
        <v>_</v>
      </c>
      <c r="AD867" s="44"/>
      <c r="AE867" s="5" t="s">
        <v>16</v>
      </c>
      <c r="AF867" s="46" t="str">
        <f>IF(VLOOKUP(AE867,βοηθητικό!$J$2:$N$354,3,FALSE)="","",VLOOKUP(AE867,βοηθητικό!$J$2:$N$354,3,FALSE))</f>
        <v>_</v>
      </c>
      <c r="AG867" s="47"/>
      <c r="AH867" s="4" t="s">
        <v>16</v>
      </c>
      <c r="AI867" s="43" t="str">
        <f>IF(VLOOKUP(AH867,βοηθητικό!$J$2:$N$354,3,FALSE)="","",VLOOKUP(AH867,βοηθητικό!$J$2:$N$354,3,FALSE))</f>
        <v>_</v>
      </c>
      <c r="AJ867" s="44"/>
      <c r="AK867" s="5" t="s">
        <v>16</v>
      </c>
      <c r="AL867" s="46" t="str">
        <f>IF(VLOOKUP(AK867,βοηθητικό!$J$2:$N$354,3,FALSE)="","",VLOOKUP(AK867,βοηθητικό!$J$2:$N$354,3,FALSE))</f>
        <v>_</v>
      </c>
      <c r="AM867" s="47"/>
      <c r="AN867" s="4" t="s">
        <v>16</v>
      </c>
      <c r="AO867" s="43" t="str">
        <f>IF(VLOOKUP(AN867,βοηθητικό!$J$2:$N$354,3,FALSE)="","",VLOOKUP(AN867,βοηθητικό!$J$2:$N$354,3,FALSE))</f>
        <v>_</v>
      </c>
      <c r="AP867" s="44"/>
      <c r="AQ867" s="5" t="s">
        <v>16</v>
      </c>
      <c r="AR867" s="46" t="str">
        <f>IF(VLOOKUP(AQ867,βοηθητικό!$J$2:$N$354,3,FALSE)="","",VLOOKUP(AQ867,βοηθητικό!$J$2:$N$354,3,FALSE))</f>
        <v>_</v>
      </c>
      <c r="AS867" s="47"/>
      <c r="AT867" s="4" t="s">
        <v>16</v>
      </c>
      <c r="AU867" s="43" t="str">
        <f>IF(VLOOKUP(AT867,βοηθητικό!$J$2:$N$354,3,FALSE)="","",VLOOKUP(AT867,βοηθητικό!$J$2:$N$354,3,FALSE))</f>
        <v>_</v>
      </c>
      <c r="AV867" s="44"/>
      <c r="AW867" s="5" t="s">
        <v>16</v>
      </c>
      <c r="AX867" s="46" t="str">
        <f>IF(VLOOKUP(AW867,βοηθητικό!$J$2:$N$354,3,FALSE)="","",VLOOKUP(AW867,βοηθητικό!$J$2:$N$354,3,FALSE))</f>
        <v>_</v>
      </c>
      <c r="AY867" s="47"/>
      <c r="AZ867" s="4" t="s">
        <v>16</v>
      </c>
      <c r="BA867" s="43" t="str">
        <f>IF(VLOOKUP(AZ867,βοηθητικό!$J$2:$N$354,3,FALSE)="","",VLOOKUP(AZ867,βοηθητικό!$J$2:$N$354,3,FALSE))</f>
        <v>_</v>
      </c>
      <c r="BB867" s="44"/>
      <c r="BC867" s="45" t="s">
        <v>16</v>
      </c>
      <c r="BD867" s="46" t="str">
        <f>IF(VLOOKUP(BC867,βοηθητικό!$J$2:$N$354,3,FALSE)="","",VLOOKUP(BC867,βοηθητικό!$J$2:$N$354,3,FALSE))</f>
        <v>_</v>
      </c>
      <c r="BE867" s="47"/>
      <c r="BF867" s="42" t="s">
        <v>16</v>
      </c>
      <c r="BG867" s="43" t="str">
        <f>IF(VLOOKUP(BF867,βοηθητικό!$J$2:$N$354,3,FALSE)="","",VLOOKUP(BF867,βοηθητικό!$J$2:$N$354,3,FALSE))</f>
        <v>_</v>
      </c>
      <c r="BH867" s="44"/>
      <c r="BI867" s="45" t="s">
        <v>16</v>
      </c>
      <c r="BJ867" s="46" t="str">
        <f>IF(VLOOKUP(BI867,βοηθητικό!$J$2:$N$354,3,FALSE)="","",VLOOKUP(BI867,βοηθητικό!$J$2:$N$354,3,FALSE))</f>
        <v>_</v>
      </c>
      <c r="BK867" s="47"/>
      <c r="BL867" s="42" t="s">
        <v>16</v>
      </c>
      <c r="BM867" s="43" t="str">
        <f>IF(VLOOKUP(BL867,βοηθητικό!$J$2:$N$354,3,FALSE)="","",VLOOKUP(BL867,βοηθητικό!$J$2:$N$354,3,FALSE))</f>
        <v>_</v>
      </c>
      <c r="BN867" s="44"/>
      <c r="BO867" s="45" t="s">
        <v>16</v>
      </c>
      <c r="BP867" s="46" t="str">
        <f>IF(VLOOKUP(BO867,βοηθητικό!$J$2:$N$354,3,FALSE)="","",VLOOKUP(BO867,βοηθητικό!$J$2:$N$354,3,FALSE))</f>
        <v>_</v>
      </c>
      <c r="BQ867" s="47"/>
      <c r="BR867" s="42" t="s">
        <v>16</v>
      </c>
      <c r="BS867" s="43" t="str">
        <f>IF(VLOOKUP(BR867,βοηθητικό!$J$2:$N$354,3,FALSE)="","",VLOOKUP(BR867,βοηθητικό!$J$2:$N$354,3,FALSE))</f>
        <v>_</v>
      </c>
      <c r="BT867" s="44"/>
      <c r="BU867" s="45" t="s">
        <v>16</v>
      </c>
      <c r="BV867" s="46" t="str">
        <f>IF(VLOOKUP(BU867,βοηθητικό!$J$2:$N$354,3,FALSE)="","",VLOOKUP(BU867,βοηθητικό!$J$2:$N$354,3,FALSE))</f>
        <v>_</v>
      </c>
      <c r="BW867" s="47"/>
      <c r="BX867" s="42" t="s">
        <v>16</v>
      </c>
      <c r="BY867" s="43" t="str">
        <f>IF(VLOOKUP(BX867,βοηθητικό!$J$2:$N$354,3,FALSE)="","",VLOOKUP(BX867,βοηθητικό!$J$2:$N$354,3,FALSE))</f>
        <v>_</v>
      </c>
      <c r="BZ867" s="44"/>
      <c r="CA867" s="45" t="s">
        <v>16</v>
      </c>
      <c r="CB867" s="46" t="str">
        <f>IF(VLOOKUP(CA867,βοηθητικό!$J$2:$N$354,3,FALSE)="","",VLOOKUP(CA867,βοηθητικό!$J$2:$N$354,3,FALSE))</f>
        <v>_</v>
      </c>
      <c r="CC867" s="47"/>
      <c r="CD867" s="42" t="s">
        <v>16</v>
      </c>
      <c r="CE867" s="43" t="str">
        <f>IF(VLOOKUP(CD867,βοηθητικό!$J$2:$N$354,3,FALSE)="","",VLOOKUP(CD867,βοηθητικό!$J$2:$N$354,3,FALSE))</f>
        <v>_</v>
      </c>
      <c r="CF867" s="44"/>
      <c r="CG867" s="45" t="s">
        <v>16</v>
      </c>
      <c r="CH867" s="46" t="str">
        <f>IF(VLOOKUP(CG867,βοηθητικό!$J$2:$N$354,3,FALSE)="","",VLOOKUP(CG867,βοηθητικό!$J$2:$N$354,3,FALSE))</f>
        <v>_</v>
      </c>
      <c r="CI867" s="47"/>
      <c r="CJ867" s="42" t="s">
        <v>16</v>
      </c>
      <c r="CK867" s="43" t="str">
        <f>IF(VLOOKUP(CJ867,βοηθητικό!$J$2:$N$354,3,FALSE)="","",VLOOKUP(CJ867,βοηθητικό!$J$2:$N$354,3,FALSE))</f>
        <v>_</v>
      </c>
      <c r="CL867" s="44"/>
      <c r="CM867" s="45" t="s">
        <v>16</v>
      </c>
      <c r="CN867" s="46" t="str">
        <f>IF(VLOOKUP(CM867,βοηθητικό!$J$2:$N$354,3,FALSE)="","",VLOOKUP(CM867,βοηθητικό!$J$2:$N$354,3,FALSE))</f>
        <v>_</v>
      </c>
      <c r="CO867" s="47"/>
      <c r="CP867" s="42" t="s">
        <v>16</v>
      </c>
      <c r="CQ867" s="43" t="str">
        <f>IF(VLOOKUP(CP867,βοηθητικό!$J$2:$N$354,3,FALSE)="","",VLOOKUP(CP867,βοηθητικό!$J$2:$N$354,3,FALSE))</f>
        <v>_</v>
      </c>
      <c r="CR867" s="44"/>
      <c r="CS867" s="45" t="s">
        <v>16</v>
      </c>
      <c r="CT867" s="46" t="str">
        <f>IF(VLOOKUP(CS867,βοηθητικό!$J$2:$N$354,3,FALSE)="","",VLOOKUP(CS867,βοηθητικό!$J$2:$N$354,3,FALSE))</f>
        <v>_</v>
      </c>
      <c r="CU867" s="47"/>
    </row>
    <row r="868" spans="1:99" x14ac:dyDescent="0.25">
      <c r="A868" s="37">
        <f>--SUBTOTAL(3,$B$3:B867)</f>
        <v>198</v>
      </c>
      <c r="B868" s="2"/>
      <c r="C868" s="3"/>
      <c r="D868" s="55" t="s">
        <v>18</v>
      </c>
      <c r="E868" s="38" t="s">
        <v>16</v>
      </c>
      <c r="F868" s="38"/>
      <c r="G868" s="39" t="str">
        <f t="shared" si="41"/>
        <v>__</v>
      </c>
      <c r="H868" s="40" t="str">
        <f t="shared" si="42"/>
        <v>FALSE</v>
      </c>
      <c r="I868" s="41">
        <f t="shared" si="43"/>
        <v>0</v>
      </c>
      <c r="J868" s="4" t="s">
        <v>16</v>
      </c>
      <c r="K868" s="43" t="str">
        <f>IF(VLOOKUP(J868,βοηθητικό!$J$2:$N$354,3,FALSE)="","",VLOOKUP(J868,βοηθητικό!$J$2:$N$354,3,FALSE))</f>
        <v>_</v>
      </c>
      <c r="L868" s="44"/>
      <c r="M868" s="5" t="s">
        <v>16</v>
      </c>
      <c r="N868" s="46" t="str">
        <f>IF(VLOOKUP(M868,βοηθητικό!$J$2:$N$354,3,FALSE)="","",VLOOKUP(M868,βοηθητικό!$J$2:$N$354,3,FALSE))</f>
        <v>_</v>
      </c>
      <c r="O868" s="47"/>
      <c r="P868" s="4" t="s">
        <v>16</v>
      </c>
      <c r="Q868" s="43" t="str">
        <f>IF(VLOOKUP(P868,βοηθητικό!$J$2:$N$354,3,FALSE)="","",VLOOKUP(P868,βοηθητικό!$J$2:$N$354,3,FALSE))</f>
        <v>_</v>
      </c>
      <c r="R868" s="44"/>
      <c r="S868" s="5" t="s">
        <v>16</v>
      </c>
      <c r="T868" s="46" t="str">
        <f>IF(VLOOKUP(S868,βοηθητικό!$J$2:$N$354,3,FALSE)="","",VLOOKUP(S868,βοηθητικό!$J$2:$N$354,3,FALSE))</f>
        <v>_</v>
      </c>
      <c r="U868" s="47"/>
      <c r="V868" s="4" t="s">
        <v>16</v>
      </c>
      <c r="W868" s="43" t="str">
        <f>IF(VLOOKUP(V868,βοηθητικό!$J$2:$N$354,3,FALSE)="","",VLOOKUP(V868,βοηθητικό!$J$2:$N$354,3,FALSE))</f>
        <v>_</v>
      </c>
      <c r="X868" s="44"/>
      <c r="Y868" s="5" t="s">
        <v>16</v>
      </c>
      <c r="Z868" s="46" t="str">
        <f>IF(VLOOKUP(Y868,βοηθητικό!$J$2:$N$354,3,FALSE)="","",VLOOKUP(Y868,βοηθητικό!$J$2:$N$354,3,FALSE))</f>
        <v>_</v>
      </c>
      <c r="AA868" s="47"/>
      <c r="AB868" s="4" t="s">
        <v>16</v>
      </c>
      <c r="AC868" s="43" t="str">
        <f>IF(VLOOKUP(AB868,βοηθητικό!$J$2:$N$354,3,FALSE)="","",VLOOKUP(AB868,βοηθητικό!$J$2:$N$354,3,FALSE))</f>
        <v>_</v>
      </c>
      <c r="AD868" s="44"/>
      <c r="AE868" s="5" t="s">
        <v>16</v>
      </c>
      <c r="AF868" s="46" t="str">
        <f>IF(VLOOKUP(AE868,βοηθητικό!$J$2:$N$354,3,FALSE)="","",VLOOKUP(AE868,βοηθητικό!$J$2:$N$354,3,FALSE))</f>
        <v>_</v>
      </c>
      <c r="AG868" s="47"/>
      <c r="AH868" s="4" t="s">
        <v>16</v>
      </c>
      <c r="AI868" s="43" t="str">
        <f>IF(VLOOKUP(AH868,βοηθητικό!$J$2:$N$354,3,FALSE)="","",VLOOKUP(AH868,βοηθητικό!$J$2:$N$354,3,FALSE))</f>
        <v>_</v>
      </c>
      <c r="AJ868" s="44"/>
      <c r="AK868" s="5" t="s">
        <v>16</v>
      </c>
      <c r="AL868" s="46" t="str">
        <f>IF(VLOOKUP(AK868,βοηθητικό!$J$2:$N$354,3,FALSE)="","",VLOOKUP(AK868,βοηθητικό!$J$2:$N$354,3,FALSE))</f>
        <v>_</v>
      </c>
      <c r="AM868" s="47"/>
      <c r="AN868" s="4" t="s">
        <v>16</v>
      </c>
      <c r="AO868" s="43" t="str">
        <f>IF(VLOOKUP(AN868,βοηθητικό!$J$2:$N$354,3,FALSE)="","",VLOOKUP(AN868,βοηθητικό!$J$2:$N$354,3,FALSE))</f>
        <v>_</v>
      </c>
      <c r="AP868" s="44"/>
      <c r="AQ868" s="5" t="s">
        <v>16</v>
      </c>
      <c r="AR868" s="46" t="str">
        <f>IF(VLOOKUP(AQ868,βοηθητικό!$J$2:$N$354,3,FALSE)="","",VLOOKUP(AQ868,βοηθητικό!$J$2:$N$354,3,FALSE))</f>
        <v>_</v>
      </c>
      <c r="AS868" s="47"/>
      <c r="AT868" s="4" t="s">
        <v>16</v>
      </c>
      <c r="AU868" s="43" t="str">
        <f>IF(VLOOKUP(AT868,βοηθητικό!$J$2:$N$354,3,FALSE)="","",VLOOKUP(AT868,βοηθητικό!$J$2:$N$354,3,FALSE))</f>
        <v>_</v>
      </c>
      <c r="AV868" s="44"/>
      <c r="AW868" s="5" t="s">
        <v>16</v>
      </c>
      <c r="AX868" s="46" t="str">
        <f>IF(VLOOKUP(AW868,βοηθητικό!$J$2:$N$354,3,FALSE)="","",VLOOKUP(AW868,βοηθητικό!$J$2:$N$354,3,FALSE))</f>
        <v>_</v>
      </c>
      <c r="AY868" s="47"/>
      <c r="AZ868" s="4" t="s">
        <v>16</v>
      </c>
      <c r="BA868" s="43" t="str">
        <f>IF(VLOOKUP(AZ868,βοηθητικό!$J$2:$N$354,3,FALSE)="","",VLOOKUP(AZ868,βοηθητικό!$J$2:$N$354,3,FALSE))</f>
        <v>_</v>
      </c>
      <c r="BB868" s="44"/>
      <c r="BC868" s="45" t="s">
        <v>16</v>
      </c>
      <c r="BD868" s="46" t="str">
        <f>IF(VLOOKUP(BC868,βοηθητικό!$J$2:$N$354,3,FALSE)="","",VLOOKUP(BC868,βοηθητικό!$J$2:$N$354,3,FALSE))</f>
        <v>_</v>
      </c>
      <c r="BE868" s="47"/>
      <c r="BF868" s="42" t="s">
        <v>16</v>
      </c>
      <c r="BG868" s="43" t="str">
        <f>IF(VLOOKUP(BF868,βοηθητικό!$J$2:$N$354,3,FALSE)="","",VLOOKUP(BF868,βοηθητικό!$J$2:$N$354,3,FALSE))</f>
        <v>_</v>
      </c>
      <c r="BH868" s="44"/>
      <c r="BI868" s="45" t="s">
        <v>16</v>
      </c>
      <c r="BJ868" s="46" t="str">
        <f>IF(VLOOKUP(BI868,βοηθητικό!$J$2:$N$354,3,FALSE)="","",VLOOKUP(BI868,βοηθητικό!$J$2:$N$354,3,FALSE))</f>
        <v>_</v>
      </c>
      <c r="BK868" s="47"/>
      <c r="BL868" s="42" t="s">
        <v>16</v>
      </c>
      <c r="BM868" s="43" t="str">
        <f>IF(VLOOKUP(BL868,βοηθητικό!$J$2:$N$354,3,FALSE)="","",VLOOKUP(BL868,βοηθητικό!$J$2:$N$354,3,FALSE))</f>
        <v>_</v>
      </c>
      <c r="BN868" s="44"/>
      <c r="BO868" s="45" t="s">
        <v>16</v>
      </c>
      <c r="BP868" s="46" t="str">
        <f>IF(VLOOKUP(BO868,βοηθητικό!$J$2:$N$354,3,FALSE)="","",VLOOKUP(BO868,βοηθητικό!$J$2:$N$354,3,FALSE))</f>
        <v>_</v>
      </c>
      <c r="BQ868" s="47"/>
      <c r="BR868" s="42" t="s">
        <v>16</v>
      </c>
      <c r="BS868" s="43" t="str">
        <f>IF(VLOOKUP(BR868,βοηθητικό!$J$2:$N$354,3,FALSE)="","",VLOOKUP(BR868,βοηθητικό!$J$2:$N$354,3,FALSE))</f>
        <v>_</v>
      </c>
      <c r="BT868" s="44"/>
      <c r="BU868" s="45" t="s">
        <v>16</v>
      </c>
      <c r="BV868" s="46" t="str">
        <f>IF(VLOOKUP(BU868,βοηθητικό!$J$2:$N$354,3,FALSE)="","",VLOOKUP(BU868,βοηθητικό!$J$2:$N$354,3,FALSE))</f>
        <v>_</v>
      </c>
      <c r="BW868" s="47"/>
      <c r="BX868" s="42" t="s">
        <v>16</v>
      </c>
      <c r="BY868" s="43" t="str">
        <f>IF(VLOOKUP(BX868,βοηθητικό!$J$2:$N$354,3,FALSE)="","",VLOOKUP(BX868,βοηθητικό!$J$2:$N$354,3,FALSE))</f>
        <v>_</v>
      </c>
      <c r="BZ868" s="44"/>
      <c r="CA868" s="45" t="s">
        <v>16</v>
      </c>
      <c r="CB868" s="46" t="str">
        <f>IF(VLOOKUP(CA868,βοηθητικό!$J$2:$N$354,3,FALSE)="","",VLOOKUP(CA868,βοηθητικό!$J$2:$N$354,3,FALSE))</f>
        <v>_</v>
      </c>
      <c r="CC868" s="47"/>
      <c r="CD868" s="42" t="s">
        <v>16</v>
      </c>
      <c r="CE868" s="43" t="str">
        <f>IF(VLOOKUP(CD868,βοηθητικό!$J$2:$N$354,3,FALSE)="","",VLOOKUP(CD868,βοηθητικό!$J$2:$N$354,3,FALSE))</f>
        <v>_</v>
      </c>
      <c r="CF868" s="44"/>
      <c r="CG868" s="45" t="s">
        <v>16</v>
      </c>
      <c r="CH868" s="46" t="str">
        <f>IF(VLOOKUP(CG868,βοηθητικό!$J$2:$N$354,3,FALSE)="","",VLOOKUP(CG868,βοηθητικό!$J$2:$N$354,3,FALSE))</f>
        <v>_</v>
      </c>
      <c r="CI868" s="47"/>
      <c r="CJ868" s="42" t="s">
        <v>16</v>
      </c>
      <c r="CK868" s="43" t="str">
        <f>IF(VLOOKUP(CJ868,βοηθητικό!$J$2:$N$354,3,FALSE)="","",VLOOKUP(CJ868,βοηθητικό!$J$2:$N$354,3,FALSE))</f>
        <v>_</v>
      </c>
      <c r="CL868" s="44"/>
      <c r="CM868" s="45" t="s">
        <v>16</v>
      </c>
      <c r="CN868" s="46" t="str">
        <f>IF(VLOOKUP(CM868,βοηθητικό!$J$2:$N$354,3,FALSE)="","",VLOOKUP(CM868,βοηθητικό!$J$2:$N$354,3,FALSE))</f>
        <v>_</v>
      </c>
      <c r="CO868" s="47"/>
      <c r="CP868" s="42" t="s">
        <v>16</v>
      </c>
      <c r="CQ868" s="43" t="str">
        <f>IF(VLOOKUP(CP868,βοηθητικό!$J$2:$N$354,3,FALSE)="","",VLOOKUP(CP868,βοηθητικό!$J$2:$N$354,3,FALSE))</f>
        <v>_</v>
      </c>
      <c r="CR868" s="44"/>
      <c r="CS868" s="45" t="s">
        <v>16</v>
      </c>
      <c r="CT868" s="46" t="str">
        <f>IF(VLOOKUP(CS868,βοηθητικό!$J$2:$N$354,3,FALSE)="","",VLOOKUP(CS868,βοηθητικό!$J$2:$N$354,3,FALSE))</f>
        <v>_</v>
      </c>
      <c r="CU868" s="47"/>
    </row>
    <row r="869" spans="1:99" x14ac:dyDescent="0.25">
      <c r="A869" s="37">
        <f>--SUBTOTAL(3,$B$3:B868)</f>
        <v>198</v>
      </c>
      <c r="B869" s="2"/>
      <c r="C869" s="3"/>
      <c r="D869" s="55" t="s">
        <v>18</v>
      </c>
      <c r="E869" s="38" t="s">
        <v>16</v>
      </c>
      <c r="F869" s="38"/>
      <c r="G869" s="39" t="str">
        <f t="shared" si="41"/>
        <v>__</v>
      </c>
      <c r="H869" s="40" t="str">
        <f t="shared" si="42"/>
        <v>FALSE</v>
      </c>
      <c r="I869" s="41">
        <f t="shared" si="43"/>
        <v>0</v>
      </c>
      <c r="J869" s="4" t="s">
        <v>16</v>
      </c>
      <c r="K869" s="43" t="str">
        <f>IF(VLOOKUP(J869,βοηθητικό!$J$2:$N$354,3,FALSE)="","",VLOOKUP(J869,βοηθητικό!$J$2:$N$354,3,FALSE))</f>
        <v>_</v>
      </c>
      <c r="L869" s="44"/>
      <c r="M869" s="5" t="s">
        <v>16</v>
      </c>
      <c r="N869" s="46" t="str">
        <f>IF(VLOOKUP(M869,βοηθητικό!$J$2:$N$354,3,FALSE)="","",VLOOKUP(M869,βοηθητικό!$J$2:$N$354,3,FALSE))</f>
        <v>_</v>
      </c>
      <c r="O869" s="47"/>
      <c r="P869" s="4" t="s">
        <v>16</v>
      </c>
      <c r="Q869" s="43" t="str">
        <f>IF(VLOOKUP(P869,βοηθητικό!$J$2:$N$354,3,FALSE)="","",VLOOKUP(P869,βοηθητικό!$J$2:$N$354,3,FALSE))</f>
        <v>_</v>
      </c>
      <c r="R869" s="44"/>
      <c r="S869" s="5" t="s">
        <v>16</v>
      </c>
      <c r="T869" s="46" t="str">
        <f>IF(VLOOKUP(S869,βοηθητικό!$J$2:$N$354,3,FALSE)="","",VLOOKUP(S869,βοηθητικό!$J$2:$N$354,3,FALSE))</f>
        <v>_</v>
      </c>
      <c r="U869" s="47"/>
      <c r="V869" s="4" t="s">
        <v>16</v>
      </c>
      <c r="W869" s="43" t="str">
        <f>IF(VLOOKUP(V869,βοηθητικό!$J$2:$N$354,3,FALSE)="","",VLOOKUP(V869,βοηθητικό!$J$2:$N$354,3,FALSE))</f>
        <v>_</v>
      </c>
      <c r="X869" s="44"/>
      <c r="Y869" s="5" t="s">
        <v>16</v>
      </c>
      <c r="Z869" s="46" t="str">
        <f>IF(VLOOKUP(Y869,βοηθητικό!$J$2:$N$354,3,FALSE)="","",VLOOKUP(Y869,βοηθητικό!$J$2:$N$354,3,FALSE))</f>
        <v>_</v>
      </c>
      <c r="AA869" s="47"/>
      <c r="AB869" s="4" t="s">
        <v>16</v>
      </c>
      <c r="AC869" s="43" t="str">
        <f>IF(VLOOKUP(AB869,βοηθητικό!$J$2:$N$354,3,FALSE)="","",VLOOKUP(AB869,βοηθητικό!$J$2:$N$354,3,FALSE))</f>
        <v>_</v>
      </c>
      <c r="AD869" s="44"/>
      <c r="AE869" s="5" t="s">
        <v>16</v>
      </c>
      <c r="AF869" s="46" t="str">
        <f>IF(VLOOKUP(AE869,βοηθητικό!$J$2:$N$354,3,FALSE)="","",VLOOKUP(AE869,βοηθητικό!$J$2:$N$354,3,FALSE))</f>
        <v>_</v>
      </c>
      <c r="AG869" s="47"/>
      <c r="AH869" s="4" t="s">
        <v>16</v>
      </c>
      <c r="AI869" s="43" t="str">
        <f>IF(VLOOKUP(AH869,βοηθητικό!$J$2:$N$354,3,FALSE)="","",VLOOKUP(AH869,βοηθητικό!$J$2:$N$354,3,FALSE))</f>
        <v>_</v>
      </c>
      <c r="AJ869" s="44"/>
      <c r="AK869" s="5" t="s">
        <v>16</v>
      </c>
      <c r="AL869" s="46" t="str">
        <f>IF(VLOOKUP(AK869,βοηθητικό!$J$2:$N$354,3,FALSE)="","",VLOOKUP(AK869,βοηθητικό!$J$2:$N$354,3,FALSE))</f>
        <v>_</v>
      </c>
      <c r="AM869" s="47"/>
      <c r="AN869" s="4" t="s">
        <v>16</v>
      </c>
      <c r="AO869" s="43" t="str">
        <f>IF(VLOOKUP(AN869,βοηθητικό!$J$2:$N$354,3,FALSE)="","",VLOOKUP(AN869,βοηθητικό!$J$2:$N$354,3,FALSE))</f>
        <v>_</v>
      </c>
      <c r="AP869" s="44"/>
      <c r="AQ869" s="5" t="s">
        <v>16</v>
      </c>
      <c r="AR869" s="46" t="str">
        <f>IF(VLOOKUP(AQ869,βοηθητικό!$J$2:$N$354,3,FALSE)="","",VLOOKUP(AQ869,βοηθητικό!$J$2:$N$354,3,FALSE))</f>
        <v>_</v>
      </c>
      <c r="AS869" s="47"/>
      <c r="AT869" s="4" t="s">
        <v>16</v>
      </c>
      <c r="AU869" s="43" t="str">
        <f>IF(VLOOKUP(AT869,βοηθητικό!$J$2:$N$354,3,FALSE)="","",VLOOKUP(AT869,βοηθητικό!$J$2:$N$354,3,FALSE))</f>
        <v>_</v>
      </c>
      <c r="AV869" s="44"/>
      <c r="AW869" s="5" t="s">
        <v>16</v>
      </c>
      <c r="AX869" s="46" t="str">
        <f>IF(VLOOKUP(AW869,βοηθητικό!$J$2:$N$354,3,FALSE)="","",VLOOKUP(AW869,βοηθητικό!$J$2:$N$354,3,FALSE))</f>
        <v>_</v>
      </c>
      <c r="AY869" s="47"/>
      <c r="AZ869" s="4" t="s">
        <v>16</v>
      </c>
      <c r="BA869" s="43" t="str">
        <f>IF(VLOOKUP(AZ869,βοηθητικό!$J$2:$N$354,3,FALSE)="","",VLOOKUP(AZ869,βοηθητικό!$J$2:$N$354,3,FALSE))</f>
        <v>_</v>
      </c>
      <c r="BB869" s="44"/>
      <c r="BC869" s="45" t="s">
        <v>16</v>
      </c>
      <c r="BD869" s="46" t="str">
        <f>IF(VLOOKUP(BC869,βοηθητικό!$J$2:$N$354,3,FALSE)="","",VLOOKUP(BC869,βοηθητικό!$J$2:$N$354,3,FALSE))</f>
        <v>_</v>
      </c>
      <c r="BE869" s="47"/>
      <c r="BF869" s="42" t="s">
        <v>16</v>
      </c>
      <c r="BG869" s="43" t="str">
        <f>IF(VLOOKUP(BF869,βοηθητικό!$J$2:$N$354,3,FALSE)="","",VLOOKUP(BF869,βοηθητικό!$J$2:$N$354,3,FALSE))</f>
        <v>_</v>
      </c>
      <c r="BH869" s="44"/>
      <c r="BI869" s="45" t="s">
        <v>16</v>
      </c>
      <c r="BJ869" s="46" t="str">
        <f>IF(VLOOKUP(BI869,βοηθητικό!$J$2:$N$354,3,FALSE)="","",VLOOKUP(BI869,βοηθητικό!$J$2:$N$354,3,FALSE))</f>
        <v>_</v>
      </c>
      <c r="BK869" s="47"/>
      <c r="BL869" s="42" t="s">
        <v>16</v>
      </c>
      <c r="BM869" s="43" t="str">
        <f>IF(VLOOKUP(BL869,βοηθητικό!$J$2:$N$354,3,FALSE)="","",VLOOKUP(BL869,βοηθητικό!$J$2:$N$354,3,FALSE))</f>
        <v>_</v>
      </c>
      <c r="BN869" s="44"/>
      <c r="BO869" s="45" t="s">
        <v>16</v>
      </c>
      <c r="BP869" s="46" t="str">
        <f>IF(VLOOKUP(BO869,βοηθητικό!$J$2:$N$354,3,FALSE)="","",VLOOKUP(BO869,βοηθητικό!$J$2:$N$354,3,FALSE))</f>
        <v>_</v>
      </c>
      <c r="BQ869" s="47"/>
      <c r="BR869" s="42" t="s">
        <v>16</v>
      </c>
      <c r="BS869" s="43" t="str">
        <f>IF(VLOOKUP(BR869,βοηθητικό!$J$2:$N$354,3,FALSE)="","",VLOOKUP(BR869,βοηθητικό!$J$2:$N$354,3,FALSE))</f>
        <v>_</v>
      </c>
      <c r="BT869" s="44"/>
      <c r="BU869" s="45" t="s">
        <v>16</v>
      </c>
      <c r="BV869" s="46" t="str">
        <f>IF(VLOOKUP(BU869,βοηθητικό!$J$2:$N$354,3,FALSE)="","",VLOOKUP(BU869,βοηθητικό!$J$2:$N$354,3,FALSE))</f>
        <v>_</v>
      </c>
      <c r="BW869" s="47"/>
      <c r="BX869" s="42" t="s">
        <v>16</v>
      </c>
      <c r="BY869" s="43" t="str">
        <f>IF(VLOOKUP(BX869,βοηθητικό!$J$2:$N$354,3,FALSE)="","",VLOOKUP(BX869,βοηθητικό!$J$2:$N$354,3,FALSE))</f>
        <v>_</v>
      </c>
      <c r="BZ869" s="44"/>
      <c r="CA869" s="45" t="s">
        <v>16</v>
      </c>
      <c r="CB869" s="46" t="str">
        <f>IF(VLOOKUP(CA869,βοηθητικό!$J$2:$N$354,3,FALSE)="","",VLOOKUP(CA869,βοηθητικό!$J$2:$N$354,3,FALSE))</f>
        <v>_</v>
      </c>
      <c r="CC869" s="47"/>
      <c r="CD869" s="42" t="s">
        <v>16</v>
      </c>
      <c r="CE869" s="43" t="str">
        <f>IF(VLOOKUP(CD869,βοηθητικό!$J$2:$N$354,3,FALSE)="","",VLOOKUP(CD869,βοηθητικό!$J$2:$N$354,3,FALSE))</f>
        <v>_</v>
      </c>
      <c r="CF869" s="44"/>
      <c r="CG869" s="45" t="s">
        <v>16</v>
      </c>
      <c r="CH869" s="46" t="str">
        <f>IF(VLOOKUP(CG869,βοηθητικό!$J$2:$N$354,3,FALSE)="","",VLOOKUP(CG869,βοηθητικό!$J$2:$N$354,3,FALSE))</f>
        <v>_</v>
      </c>
      <c r="CI869" s="47"/>
      <c r="CJ869" s="42" t="s">
        <v>16</v>
      </c>
      <c r="CK869" s="43" t="str">
        <f>IF(VLOOKUP(CJ869,βοηθητικό!$J$2:$N$354,3,FALSE)="","",VLOOKUP(CJ869,βοηθητικό!$J$2:$N$354,3,FALSE))</f>
        <v>_</v>
      </c>
      <c r="CL869" s="44"/>
      <c r="CM869" s="45" t="s">
        <v>16</v>
      </c>
      <c r="CN869" s="46" t="str">
        <f>IF(VLOOKUP(CM869,βοηθητικό!$J$2:$N$354,3,FALSE)="","",VLOOKUP(CM869,βοηθητικό!$J$2:$N$354,3,FALSE))</f>
        <v>_</v>
      </c>
      <c r="CO869" s="47"/>
      <c r="CP869" s="42" t="s">
        <v>16</v>
      </c>
      <c r="CQ869" s="43" t="str">
        <f>IF(VLOOKUP(CP869,βοηθητικό!$J$2:$N$354,3,FALSE)="","",VLOOKUP(CP869,βοηθητικό!$J$2:$N$354,3,FALSE))</f>
        <v>_</v>
      </c>
      <c r="CR869" s="44"/>
      <c r="CS869" s="45" t="s">
        <v>16</v>
      </c>
      <c r="CT869" s="46" t="str">
        <f>IF(VLOOKUP(CS869,βοηθητικό!$J$2:$N$354,3,FALSE)="","",VLOOKUP(CS869,βοηθητικό!$J$2:$N$354,3,FALSE))</f>
        <v>_</v>
      </c>
      <c r="CU869" s="47"/>
    </row>
    <row r="870" spans="1:99" x14ac:dyDescent="0.25">
      <c r="A870" s="37">
        <f>--SUBTOTAL(3,$B$3:B869)</f>
        <v>198</v>
      </c>
      <c r="B870" s="2"/>
      <c r="C870" s="3"/>
      <c r="D870" s="55" t="s">
        <v>18</v>
      </c>
      <c r="E870" s="38" t="s">
        <v>16</v>
      </c>
      <c r="F870" s="38"/>
      <c r="G870" s="39" t="str">
        <f t="shared" si="41"/>
        <v>__</v>
      </c>
      <c r="H870" s="40" t="str">
        <f t="shared" si="42"/>
        <v>FALSE</v>
      </c>
      <c r="I870" s="41">
        <f t="shared" si="43"/>
        <v>0</v>
      </c>
      <c r="J870" s="4" t="s">
        <v>16</v>
      </c>
      <c r="K870" s="43" t="str">
        <f>IF(VLOOKUP(J870,βοηθητικό!$J$2:$N$354,3,FALSE)="","",VLOOKUP(J870,βοηθητικό!$J$2:$N$354,3,FALSE))</f>
        <v>_</v>
      </c>
      <c r="L870" s="44"/>
      <c r="M870" s="5" t="s">
        <v>16</v>
      </c>
      <c r="N870" s="46" t="str">
        <f>IF(VLOOKUP(M870,βοηθητικό!$J$2:$N$354,3,FALSE)="","",VLOOKUP(M870,βοηθητικό!$J$2:$N$354,3,FALSE))</f>
        <v>_</v>
      </c>
      <c r="O870" s="47"/>
      <c r="P870" s="4" t="s">
        <v>16</v>
      </c>
      <c r="Q870" s="43" t="str">
        <f>IF(VLOOKUP(P870,βοηθητικό!$J$2:$N$354,3,FALSE)="","",VLOOKUP(P870,βοηθητικό!$J$2:$N$354,3,FALSE))</f>
        <v>_</v>
      </c>
      <c r="R870" s="44"/>
      <c r="S870" s="5" t="s">
        <v>16</v>
      </c>
      <c r="T870" s="46" t="str">
        <f>IF(VLOOKUP(S870,βοηθητικό!$J$2:$N$354,3,FALSE)="","",VLOOKUP(S870,βοηθητικό!$J$2:$N$354,3,FALSE))</f>
        <v>_</v>
      </c>
      <c r="U870" s="47"/>
      <c r="V870" s="4" t="s">
        <v>16</v>
      </c>
      <c r="W870" s="43" t="str">
        <f>IF(VLOOKUP(V870,βοηθητικό!$J$2:$N$354,3,FALSE)="","",VLOOKUP(V870,βοηθητικό!$J$2:$N$354,3,FALSE))</f>
        <v>_</v>
      </c>
      <c r="X870" s="44"/>
      <c r="Y870" s="5" t="s">
        <v>16</v>
      </c>
      <c r="Z870" s="46" t="str">
        <f>IF(VLOOKUP(Y870,βοηθητικό!$J$2:$N$354,3,FALSE)="","",VLOOKUP(Y870,βοηθητικό!$J$2:$N$354,3,FALSE))</f>
        <v>_</v>
      </c>
      <c r="AA870" s="47"/>
      <c r="AB870" s="4" t="s">
        <v>16</v>
      </c>
      <c r="AC870" s="43" t="str">
        <f>IF(VLOOKUP(AB870,βοηθητικό!$J$2:$N$354,3,FALSE)="","",VLOOKUP(AB870,βοηθητικό!$J$2:$N$354,3,FALSE))</f>
        <v>_</v>
      </c>
      <c r="AD870" s="44"/>
      <c r="AE870" s="5" t="s">
        <v>16</v>
      </c>
      <c r="AF870" s="46" t="str">
        <f>IF(VLOOKUP(AE870,βοηθητικό!$J$2:$N$354,3,FALSE)="","",VLOOKUP(AE870,βοηθητικό!$J$2:$N$354,3,FALSE))</f>
        <v>_</v>
      </c>
      <c r="AG870" s="47"/>
      <c r="AH870" s="4" t="s">
        <v>16</v>
      </c>
      <c r="AI870" s="43" t="str">
        <f>IF(VLOOKUP(AH870,βοηθητικό!$J$2:$N$354,3,FALSE)="","",VLOOKUP(AH870,βοηθητικό!$J$2:$N$354,3,FALSE))</f>
        <v>_</v>
      </c>
      <c r="AJ870" s="44"/>
      <c r="AK870" s="5" t="s">
        <v>16</v>
      </c>
      <c r="AL870" s="46" t="str">
        <f>IF(VLOOKUP(AK870,βοηθητικό!$J$2:$N$354,3,FALSE)="","",VLOOKUP(AK870,βοηθητικό!$J$2:$N$354,3,FALSE))</f>
        <v>_</v>
      </c>
      <c r="AM870" s="47"/>
      <c r="AN870" s="4" t="s">
        <v>16</v>
      </c>
      <c r="AO870" s="43" t="str">
        <f>IF(VLOOKUP(AN870,βοηθητικό!$J$2:$N$354,3,FALSE)="","",VLOOKUP(AN870,βοηθητικό!$J$2:$N$354,3,FALSE))</f>
        <v>_</v>
      </c>
      <c r="AP870" s="44"/>
      <c r="AQ870" s="5" t="s">
        <v>16</v>
      </c>
      <c r="AR870" s="46" t="str">
        <f>IF(VLOOKUP(AQ870,βοηθητικό!$J$2:$N$354,3,FALSE)="","",VLOOKUP(AQ870,βοηθητικό!$J$2:$N$354,3,FALSE))</f>
        <v>_</v>
      </c>
      <c r="AS870" s="47"/>
      <c r="AT870" s="4" t="s">
        <v>16</v>
      </c>
      <c r="AU870" s="43" t="str">
        <f>IF(VLOOKUP(AT870,βοηθητικό!$J$2:$N$354,3,FALSE)="","",VLOOKUP(AT870,βοηθητικό!$J$2:$N$354,3,FALSE))</f>
        <v>_</v>
      </c>
      <c r="AV870" s="44"/>
      <c r="AW870" s="5" t="s">
        <v>16</v>
      </c>
      <c r="AX870" s="46" t="str">
        <f>IF(VLOOKUP(AW870,βοηθητικό!$J$2:$N$354,3,FALSE)="","",VLOOKUP(AW870,βοηθητικό!$J$2:$N$354,3,FALSE))</f>
        <v>_</v>
      </c>
      <c r="AY870" s="47"/>
      <c r="AZ870" s="4" t="s">
        <v>16</v>
      </c>
      <c r="BA870" s="43" t="str">
        <f>IF(VLOOKUP(AZ870,βοηθητικό!$J$2:$N$354,3,FALSE)="","",VLOOKUP(AZ870,βοηθητικό!$J$2:$N$354,3,FALSE))</f>
        <v>_</v>
      </c>
      <c r="BB870" s="44"/>
      <c r="BC870" s="45" t="s">
        <v>16</v>
      </c>
      <c r="BD870" s="46" t="str">
        <f>IF(VLOOKUP(BC870,βοηθητικό!$J$2:$N$354,3,FALSE)="","",VLOOKUP(BC870,βοηθητικό!$J$2:$N$354,3,FALSE))</f>
        <v>_</v>
      </c>
      <c r="BE870" s="47"/>
      <c r="BF870" s="42" t="s">
        <v>16</v>
      </c>
      <c r="BG870" s="43" t="str">
        <f>IF(VLOOKUP(BF870,βοηθητικό!$J$2:$N$354,3,FALSE)="","",VLOOKUP(BF870,βοηθητικό!$J$2:$N$354,3,FALSE))</f>
        <v>_</v>
      </c>
      <c r="BH870" s="44"/>
      <c r="BI870" s="45" t="s">
        <v>16</v>
      </c>
      <c r="BJ870" s="46" t="str">
        <f>IF(VLOOKUP(BI870,βοηθητικό!$J$2:$N$354,3,FALSE)="","",VLOOKUP(BI870,βοηθητικό!$J$2:$N$354,3,FALSE))</f>
        <v>_</v>
      </c>
      <c r="BK870" s="47"/>
      <c r="BL870" s="42" t="s">
        <v>16</v>
      </c>
      <c r="BM870" s="43" t="str">
        <f>IF(VLOOKUP(BL870,βοηθητικό!$J$2:$N$354,3,FALSE)="","",VLOOKUP(BL870,βοηθητικό!$J$2:$N$354,3,FALSE))</f>
        <v>_</v>
      </c>
      <c r="BN870" s="44"/>
      <c r="BO870" s="45" t="s">
        <v>16</v>
      </c>
      <c r="BP870" s="46" t="str">
        <f>IF(VLOOKUP(BO870,βοηθητικό!$J$2:$N$354,3,FALSE)="","",VLOOKUP(BO870,βοηθητικό!$J$2:$N$354,3,FALSE))</f>
        <v>_</v>
      </c>
      <c r="BQ870" s="47"/>
      <c r="BR870" s="42" t="s">
        <v>16</v>
      </c>
      <c r="BS870" s="43" t="str">
        <f>IF(VLOOKUP(BR870,βοηθητικό!$J$2:$N$354,3,FALSE)="","",VLOOKUP(BR870,βοηθητικό!$J$2:$N$354,3,FALSE))</f>
        <v>_</v>
      </c>
      <c r="BT870" s="44"/>
      <c r="BU870" s="45" t="s">
        <v>16</v>
      </c>
      <c r="BV870" s="46" t="str">
        <f>IF(VLOOKUP(BU870,βοηθητικό!$J$2:$N$354,3,FALSE)="","",VLOOKUP(BU870,βοηθητικό!$J$2:$N$354,3,FALSE))</f>
        <v>_</v>
      </c>
      <c r="BW870" s="47"/>
      <c r="BX870" s="42" t="s">
        <v>16</v>
      </c>
      <c r="BY870" s="43" t="str">
        <f>IF(VLOOKUP(BX870,βοηθητικό!$J$2:$N$354,3,FALSE)="","",VLOOKUP(BX870,βοηθητικό!$J$2:$N$354,3,FALSE))</f>
        <v>_</v>
      </c>
      <c r="BZ870" s="44"/>
      <c r="CA870" s="45" t="s">
        <v>16</v>
      </c>
      <c r="CB870" s="46" t="str">
        <f>IF(VLOOKUP(CA870,βοηθητικό!$J$2:$N$354,3,FALSE)="","",VLOOKUP(CA870,βοηθητικό!$J$2:$N$354,3,FALSE))</f>
        <v>_</v>
      </c>
      <c r="CC870" s="47"/>
      <c r="CD870" s="42" t="s">
        <v>16</v>
      </c>
      <c r="CE870" s="43" t="str">
        <f>IF(VLOOKUP(CD870,βοηθητικό!$J$2:$N$354,3,FALSE)="","",VLOOKUP(CD870,βοηθητικό!$J$2:$N$354,3,FALSE))</f>
        <v>_</v>
      </c>
      <c r="CF870" s="44"/>
      <c r="CG870" s="45" t="s">
        <v>16</v>
      </c>
      <c r="CH870" s="46" t="str">
        <f>IF(VLOOKUP(CG870,βοηθητικό!$J$2:$N$354,3,FALSE)="","",VLOOKUP(CG870,βοηθητικό!$J$2:$N$354,3,FALSE))</f>
        <v>_</v>
      </c>
      <c r="CI870" s="47"/>
      <c r="CJ870" s="42" t="s">
        <v>16</v>
      </c>
      <c r="CK870" s="43" t="str">
        <f>IF(VLOOKUP(CJ870,βοηθητικό!$J$2:$N$354,3,FALSE)="","",VLOOKUP(CJ870,βοηθητικό!$J$2:$N$354,3,FALSE))</f>
        <v>_</v>
      </c>
      <c r="CL870" s="44"/>
      <c r="CM870" s="45" t="s">
        <v>16</v>
      </c>
      <c r="CN870" s="46" t="str">
        <f>IF(VLOOKUP(CM870,βοηθητικό!$J$2:$N$354,3,FALSE)="","",VLOOKUP(CM870,βοηθητικό!$J$2:$N$354,3,FALSE))</f>
        <v>_</v>
      </c>
      <c r="CO870" s="47"/>
      <c r="CP870" s="42" t="s">
        <v>16</v>
      </c>
      <c r="CQ870" s="43" t="str">
        <f>IF(VLOOKUP(CP870,βοηθητικό!$J$2:$N$354,3,FALSE)="","",VLOOKUP(CP870,βοηθητικό!$J$2:$N$354,3,FALSE))</f>
        <v>_</v>
      </c>
      <c r="CR870" s="44"/>
      <c r="CS870" s="45" t="s">
        <v>16</v>
      </c>
      <c r="CT870" s="46" t="str">
        <f>IF(VLOOKUP(CS870,βοηθητικό!$J$2:$N$354,3,FALSE)="","",VLOOKUP(CS870,βοηθητικό!$J$2:$N$354,3,FALSE))</f>
        <v>_</v>
      </c>
      <c r="CU870" s="47"/>
    </row>
    <row r="871" spans="1:99" x14ac:dyDescent="0.25">
      <c r="A871" s="37">
        <f>--SUBTOTAL(3,$B$3:B870)</f>
        <v>198</v>
      </c>
      <c r="B871" s="2"/>
      <c r="C871" s="3"/>
      <c r="D871" s="55" t="s">
        <v>18</v>
      </c>
      <c r="E871" s="38" t="s">
        <v>16</v>
      </c>
      <c r="F871" s="38"/>
      <c r="G871" s="39" t="str">
        <f t="shared" si="41"/>
        <v>__</v>
      </c>
      <c r="H871" s="40" t="str">
        <f t="shared" si="42"/>
        <v>FALSE</v>
      </c>
      <c r="I871" s="41">
        <f t="shared" si="43"/>
        <v>0</v>
      </c>
      <c r="J871" s="4" t="s">
        <v>16</v>
      </c>
      <c r="K871" s="43" t="str">
        <f>IF(VLOOKUP(J871,βοηθητικό!$J$2:$N$354,3,FALSE)="","",VLOOKUP(J871,βοηθητικό!$J$2:$N$354,3,FALSE))</f>
        <v>_</v>
      </c>
      <c r="L871" s="44"/>
      <c r="M871" s="5" t="s">
        <v>16</v>
      </c>
      <c r="N871" s="46" t="str">
        <f>IF(VLOOKUP(M871,βοηθητικό!$J$2:$N$354,3,FALSE)="","",VLOOKUP(M871,βοηθητικό!$J$2:$N$354,3,FALSE))</f>
        <v>_</v>
      </c>
      <c r="O871" s="47"/>
      <c r="P871" s="4" t="s">
        <v>16</v>
      </c>
      <c r="Q871" s="43" t="str">
        <f>IF(VLOOKUP(P871,βοηθητικό!$J$2:$N$354,3,FALSE)="","",VLOOKUP(P871,βοηθητικό!$J$2:$N$354,3,FALSE))</f>
        <v>_</v>
      </c>
      <c r="R871" s="44"/>
      <c r="S871" s="5" t="s">
        <v>16</v>
      </c>
      <c r="T871" s="46" t="str">
        <f>IF(VLOOKUP(S871,βοηθητικό!$J$2:$N$354,3,FALSE)="","",VLOOKUP(S871,βοηθητικό!$J$2:$N$354,3,FALSE))</f>
        <v>_</v>
      </c>
      <c r="U871" s="47"/>
      <c r="V871" s="4" t="s">
        <v>16</v>
      </c>
      <c r="W871" s="43" t="str">
        <f>IF(VLOOKUP(V871,βοηθητικό!$J$2:$N$354,3,FALSE)="","",VLOOKUP(V871,βοηθητικό!$J$2:$N$354,3,FALSE))</f>
        <v>_</v>
      </c>
      <c r="X871" s="44"/>
      <c r="Y871" s="5" t="s">
        <v>16</v>
      </c>
      <c r="Z871" s="46" t="str">
        <f>IF(VLOOKUP(Y871,βοηθητικό!$J$2:$N$354,3,FALSE)="","",VLOOKUP(Y871,βοηθητικό!$J$2:$N$354,3,FALSE))</f>
        <v>_</v>
      </c>
      <c r="AA871" s="47"/>
      <c r="AB871" s="4" t="s">
        <v>16</v>
      </c>
      <c r="AC871" s="43" t="str">
        <f>IF(VLOOKUP(AB871,βοηθητικό!$J$2:$N$354,3,FALSE)="","",VLOOKUP(AB871,βοηθητικό!$J$2:$N$354,3,FALSE))</f>
        <v>_</v>
      </c>
      <c r="AD871" s="44"/>
      <c r="AE871" s="5" t="s">
        <v>16</v>
      </c>
      <c r="AF871" s="46" t="str">
        <f>IF(VLOOKUP(AE871,βοηθητικό!$J$2:$N$354,3,FALSE)="","",VLOOKUP(AE871,βοηθητικό!$J$2:$N$354,3,FALSE))</f>
        <v>_</v>
      </c>
      <c r="AG871" s="47"/>
      <c r="AH871" s="4" t="s">
        <v>16</v>
      </c>
      <c r="AI871" s="43" t="str">
        <f>IF(VLOOKUP(AH871,βοηθητικό!$J$2:$N$354,3,FALSE)="","",VLOOKUP(AH871,βοηθητικό!$J$2:$N$354,3,FALSE))</f>
        <v>_</v>
      </c>
      <c r="AJ871" s="44"/>
      <c r="AK871" s="5" t="s">
        <v>16</v>
      </c>
      <c r="AL871" s="46" t="str">
        <f>IF(VLOOKUP(AK871,βοηθητικό!$J$2:$N$354,3,FALSE)="","",VLOOKUP(AK871,βοηθητικό!$J$2:$N$354,3,FALSE))</f>
        <v>_</v>
      </c>
      <c r="AM871" s="47"/>
      <c r="AN871" s="4" t="s">
        <v>16</v>
      </c>
      <c r="AO871" s="43" t="str">
        <f>IF(VLOOKUP(AN871,βοηθητικό!$J$2:$N$354,3,FALSE)="","",VLOOKUP(AN871,βοηθητικό!$J$2:$N$354,3,FALSE))</f>
        <v>_</v>
      </c>
      <c r="AP871" s="44"/>
      <c r="AQ871" s="5" t="s">
        <v>16</v>
      </c>
      <c r="AR871" s="46" t="str">
        <f>IF(VLOOKUP(AQ871,βοηθητικό!$J$2:$N$354,3,FALSE)="","",VLOOKUP(AQ871,βοηθητικό!$J$2:$N$354,3,FALSE))</f>
        <v>_</v>
      </c>
      <c r="AS871" s="47"/>
      <c r="AT871" s="4" t="s">
        <v>16</v>
      </c>
      <c r="AU871" s="43" t="str">
        <f>IF(VLOOKUP(AT871,βοηθητικό!$J$2:$N$354,3,FALSE)="","",VLOOKUP(AT871,βοηθητικό!$J$2:$N$354,3,FALSE))</f>
        <v>_</v>
      </c>
      <c r="AV871" s="44"/>
      <c r="AW871" s="5" t="s">
        <v>16</v>
      </c>
      <c r="AX871" s="46" t="str">
        <f>IF(VLOOKUP(AW871,βοηθητικό!$J$2:$N$354,3,FALSE)="","",VLOOKUP(AW871,βοηθητικό!$J$2:$N$354,3,FALSE))</f>
        <v>_</v>
      </c>
      <c r="AY871" s="47"/>
      <c r="AZ871" s="4" t="s">
        <v>16</v>
      </c>
      <c r="BA871" s="43" t="str">
        <f>IF(VLOOKUP(AZ871,βοηθητικό!$J$2:$N$354,3,FALSE)="","",VLOOKUP(AZ871,βοηθητικό!$J$2:$N$354,3,FALSE))</f>
        <v>_</v>
      </c>
      <c r="BB871" s="44"/>
      <c r="BC871" s="45" t="s">
        <v>16</v>
      </c>
      <c r="BD871" s="46" t="str">
        <f>IF(VLOOKUP(BC871,βοηθητικό!$J$2:$N$354,3,FALSE)="","",VLOOKUP(BC871,βοηθητικό!$J$2:$N$354,3,FALSE))</f>
        <v>_</v>
      </c>
      <c r="BE871" s="47"/>
      <c r="BF871" s="42" t="s">
        <v>16</v>
      </c>
      <c r="BG871" s="43" t="str">
        <f>IF(VLOOKUP(BF871,βοηθητικό!$J$2:$N$354,3,FALSE)="","",VLOOKUP(BF871,βοηθητικό!$J$2:$N$354,3,FALSE))</f>
        <v>_</v>
      </c>
      <c r="BH871" s="44"/>
      <c r="BI871" s="45" t="s">
        <v>16</v>
      </c>
      <c r="BJ871" s="46" t="str">
        <f>IF(VLOOKUP(BI871,βοηθητικό!$J$2:$N$354,3,FALSE)="","",VLOOKUP(BI871,βοηθητικό!$J$2:$N$354,3,FALSE))</f>
        <v>_</v>
      </c>
      <c r="BK871" s="47"/>
      <c r="BL871" s="42" t="s">
        <v>16</v>
      </c>
      <c r="BM871" s="43" t="str">
        <f>IF(VLOOKUP(BL871,βοηθητικό!$J$2:$N$354,3,FALSE)="","",VLOOKUP(BL871,βοηθητικό!$J$2:$N$354,3,FALSE))</f>
        <v>_</v>
      </c>
      <c r="BN871" s="44"/>
      <c r="BO871" s="45" t="s">
        <v>16</v>
      </c>
      <c r="BP871" s="46" t="str">
        <f>IF(VLOOKUP(BO871,βοηθητικό!$J$2:$N$354,3,FALSE)="","",VLOOKUP(BO871,βοηθητικό!$J$2:$N$354,3,FALSE))</f>
        <v>_</v>
      </c>
      <c r="BQ871" s="47"/>
      <c r="BR871" s="42" t="s">
        <v>16</v>
      </c>
      <c r="BS871" s="43" t="str">
        <f>IF(VLOOKUP(BR871,βοηθητικό!$J$2:$N$354,3,FALSE)="","",VLOOKUP(BR871,βοηθητικό!$J$2:$N$354,3,FALSE))</f>
        <v>_</v>
      </c>
      <c r="BT871" s="44"/>
      <c r="BU871" s="45" t="s">
        <v>16</v>
      </c>
      <c r="BV871" s="46" t="str">
        <f>IF(VLOOKUP(BU871,βοηθητικό!$J$2:$N$354,3,FALSE)="","",VLOOKUP(BU871,βοηθητικό!$J$2:$N$354,3,FALSE))</f>
        <v>_</v>
      </c>
      <c r="BW871" s="47"/>
      <c r="BX871" s="42" t="s">
        <v>16</v>
      </c>
      <c r="BY871" s="43" t="str">
        <f>IF(VLOOKUP(BX871,βοηθητικό!$J$2:$N$354,3,FALSE)="","",VLOOKUP(BX871,βοηθητικό!$J$2:$N$354,3,FALSE))</f>
        <v>_</v>
      </c>
      <c r="BZ871" s="44"/>
      <c r="CA871" s="45" t="s">
        <v>16</v>
      </c>
      <c r="CB871" s="46" t="str">
        <f>IF(VLOOKUP(CA871,βοηθητικό!$J$2:$N$354,3,FALSE)="","",VLOOKUP(CA871,βοηθητικό!$J$2:$N$354,3,FALSE))</f>
        <v>_</v>
      </c>
      <c r="CC871" s="47"/>
      <c r="CD871" s="42" t="s">
        <v>16</v>
      </c>
      <c r="CE871" s="43" t="str">
        <f>IF(VLOOKUP(CD871,βοηθητικό!$J$2:$N$354,3,FALSE)="","",VLOOKUP(CD871,βοηθητικό!$J$2:$N$354,3,FALSE))</f>
        <v>_</v>
      </c>
      <c r="CF871" s="44"/>
      <c r="CG871" s="45" t="s">
        <v>16</v>
      </c>
      <c r="CH871" s="46" t="str">
        <f>IF(VLOOKUP(CG871,βοηθητικό!$J$2:$N$354,3,FALSE)="","",VLOOKUP(CG871,βοηθητικό!$J$2:$N$354,3,FALSE))</f>
        <v>_</v>
      </c>
      <c r="CI871" s="47"/>
      <c r="CJ871" s="42" t="s">
        <v>16</v>
      </c>
      <c r="CK871" s="43" t="str">
        <f>IF(VLOOKUP(CJ871,βοηθητικό!$J$2:$N$354,3,FALSE)="","",VLOOKUP(CJ871,βοηθητικό!$J$2:$N$354,3,FALSE))</f>
        <v>_</v>
      </c>
      <c r="CL871" s="44"/>
      <c r="CM871" s="45" t="s">
        <v>16</v>
      </c>
      <c r="CN871" s="46" t="str">
        <f>IF(VLOOKUP(CM871,βοηθητικό!$J$2:$N$354,3,FALSE)="","",VLOOKUP(CM871,βοηθητικό!$J$2:$N$354,3,FALSE))</f>
        <v>_</v>
      </c>
      <c r="CO871" s="47"/>
      <c r="CP871" s="42" t="s">
        <v>16</v>
      </c>
      <c r="CQ871" s="43" t="str">
        <f>IF(VLOOKUP(CP871,βοηθητικό!$J$2:$N$354,3,FALSE)="","",VLOOKUP(CP871,βοηθητικό!$J$2:$N$354,3,FALSE))</f>
        <v>_</v>
      </c>
      <c r="CR871" s="44"/>
      <c r="CS871" s="45" t="s">
        <v>16</v>
      </c>
      <c r="CT871" s="46" t="str">
        <f>IF(VLOOKUP(CS871,βοηθητικό!$J$2:$N$354,3,FALSE)="","",VLOOKUP(CS871,βοηθητικό!$J$2:$N$354,3,FALSE))</f>
        <v>_</v>
      </c>
      <c r="CU871" s="47"/>
    </row>
    <row r="872" spans="1:99" x14ac:dyDescent="0.25">
      <c r="A872" s="37">
        <f>--SUBTOTAL(3,$B$3:B871)</f>
        <v>198</v>
      </c>
      <c r="B872" s="2"/>
      <c r="C872" s="3"/>
      <c r="D872" s="55" t="s">
        <v>18</v>
      </c>
      <c r="E872" s="38" t="s">
        <v>16</v>
      </c>
      <c r="F872" s="38"/>
      <c r="G872" s="39" t="str">
        <f t="shared" si="41"/>
        <v>__</v>
      </c>
      <c r="H872" s="40" t="str">
        <f t="shared" si="42"/>
        <v>FALSE</v>
      </c>
      <c r="I872" s="41">
        <f t="shared" si="43"/>
        <v>0</v>
      </c>
      <c r="J872" s="4" t="s">
        <v>16</v>
      </c>
      <c r="K872" s="43" t="str">
        <f>IF(VLOOKUP(J872,βοηθητικό!$J$2:$N$354,3,FALSE)="","",VLOOKUP(J872,βοηθητικό!$J$2:$N$354,3,FALSE))</f>
        <v>_</v>
      </c>
      <c r="L872" s="44"/>
      <c r="M872" s="5" t="s">
        <v>16</v>
      </c>
      <c r="N872" s="46" t="str">
        <f>IF(VLOOKUP(M872,βοηθητικό!$J$2:$N$354,3,FALSE)="","",VLOOKUP(M872,βοηθητικό!$J$2:$N$354,3,FALSE))</f>
        <v>_</v>
      </c>
      <c r="O872" s="47"/>
      <c r="P872" s="4" t="s">
        <v>16</v>
      </c>
      <c r="Q872" s="43" t="str">
        <f>IF(VLOOKUP(P872,βοηθητικό!$J$2:$N$354,3,FALSE)="","",VLOOKUP(P872,βοηθητικό!$J$2:$N$354,3,FALSE))</f>
        <v>_</v>
      </c>
      <c r="R872" s="44"/>
      <c r="S872" s="5" t="s">
        <v>16</v>
      </c>
      <c r="T872" s="46" t="str">
        <f>IF(VLOOKUP(S872,βοηθητικό!$J$2:$N$354,3,FALSE)="","",VLOOKUP(S872,βοηθητικό!$J$2:$N$354,3,FALSE))</f>
        <v>_</v>
      </c>
      <c r="U872" s="47"/>
      <c r="V872" s="4" t="s">
        <v>16</v>
      </c>
      <c r="W872" s="43" t="str">
        <f>IF(VLOOKUP(V872,βοηθητικό!$J$2:$N$354,3,FALSE)="","",VLOOKUP(V872,βοηθητικό!$J$2:$N$354,3,FALSE))</f>
        <v>_</v>
      </c>
      <c r="X872" s="44"/>
      <c r="Y872" s="5" t="s">
        <v>16</v>
      </c>
      <c r="Z872" s="46" t="str">
        <f>IF(VLOOKUP(Y872,βοηθητικό!$J$2:$N$354,3,FALSE)="","",VLOOKUP(Y872,βοηθητικό!$J$2:$N$354,3,FALSE))</f>
        <v>_</v>
      </c>
      <c r="AA872" s="47"/>
      <c r="AB872" s="4" t="s">
        <v>16</v>
      </c>
      <c r="AC872" s="43" t="str">
        <f>IF(VLOOKUP(AB872,βοηθητικό!$J$2:$N$354,3,FALSE)="","",VLOOKUP(AB872,βοηθητικό!$J$2:$N$354,3,FALSE))</f>
        <v>_</v>
      </c>
      <c r="AD872" s="44"/>
      <c r="AE872" s="5" t="s">
        <v>16</v>
      </c>
      <c r="AF872" s="46" t="str">
        <f>IF(VLOOKUP(AE872,βοηθητικό!$J$2:$N$354,3,FALSE)="","",VLOOKUP(AE872,βοηθητικό!$J$2:$N$354,3,FALSE))</f>
        <v>_</v>
      </c>
      <c r="AG872" s="47"/>
      <c r="AH872" s="4" t="s">
        <v>16</v>
      </c>
      <c r="AI872" s="43" t="str">
        <f>IF(VLOOKUP(AH872,βοηθητικό!$J$2:$N$354,3,FALSE)="","",VLOOKUP(AH872,βοηθητικό!$J$2:$N$354,3,FALSE))</f>
        <v>_</v>
      </c>
      <c r="AJ872" s="44"/>
      <c r="AK872" s="5" t="s">
        <v>16</v>
      </c>
      <c r="AL872" s="46" t="str">
        <f>IF(VLOOKUP(AK872,βοηθητικό!$J$2:$N$354,3,FALSE)="","",VLOOKUP(AK872,βοηθητικό!$J$2:$N$354,3,FALSE))</f>
        <v>_</v>
      </c>
      <c r="AM872" s="47"/>
      <c r="AN872" s="4" t="s">
        <v>16</v>
      </c>
      <c r="AO872" s="43" t="str">
        <f>IF(VLOOKUP(AN872,βοηθητικό!$J$2:$N$354,3,FALSE)="","",VLOOKUP(AN872,βοηθητικό!$J$2:$N$354,3,FALSE))</f>
        <v>_</v>
      </c>
      <c r="AP872" s="44"/>
      <c r="AQ872" s="5" t="s">
        <v>16</v>
      </c>
      <c r="AR872" s="46" t="str">
        <f>IF(VLOOKUP(AQ872,βοηθητικό!$J$2:$N$354,3,FALSE)="","",VLOOKUP(AQ872,βοηθητικό!$J$2:$N$354,3,FALSE))</f>
        <v>_</v>
      </c>
      <c r="AS872" s="47"/>
      <c r="AT872" s="4" t="s">
        <v>16</v>
      </c>
      <c r="AU872" s="43" t="str">
        <f>IF(VLOOKUP(AT872,βοηθητικό!$J$2:$N$354,3,FALSE)="","",VLOOKUP(AT872,βοηθητικό!$J$2:$N$354,3,FALSE))</f>
        <v>_</v>
      </c>
      <c r="AV872" s="44"/>
      <c r="AW872" s="5" t="s">
        <v>16</v>
      </c>
      <c r="AX872" s="46" t="str">
        <f>IF(VLOOKUP(AW872,βοηθητικό!$J$2:$N$354,3,FALSE)="","",VLOOKUP(AW872,βοηθητικό!$J$2:$N$354,3,FALSE))</f>
        <v>_</v>
      </c>
      <c r="AY872" s="47"/>
      <c r="AZ872" s="4" t="s">
        <v>16</v>
      </c>
      <c r="BA872" s="43" t="str">
        <f>IF(VLOOKUP(AZ872,βοηθητικό!$J$2:$N$354,3,FALSE)="","",VLOOKUP(AZ872,βοηθητικό!$J$2:$N$354,3,FALSE))</f>
        <v>_</v>
      </c>
      <c r="BB872" s="44"/>
      <c r="BC872" s="45" t="s">
        <v>16</v>
      </c>
      <c r="BD872" s="46" t="str">
        <f>IF(VLOOKUP(BC872,βοηθητικό!$J$2:$N$354,3,FALSE)="","",VLOOKUP(BC872,βοηθητικό!$J$2:$N$354,3,FALSE))</f>
        <v>_</v>
      </c>
      <c r="BE872" s="47"/>
      <c r="BF872" s="42" t="s">
        <v>16</v>
      </c>
      <c r="BG872" s="43" t="str">
        <f>IF(VLOOKUP(BF872,βοηθητικό!$J$2:$N$354,3,FALSE)="","",VLOOKUP(BF872,βοηθητικό!$J$2:$N$354,3,FALSE))</f>
        <v>_</v>
      </c>
      <c r="BH872" s="44"/>
      <c r="BI872" s="45" t="s">
        <v>16</v>
      </c>
      <c r="BJ872" s="46" t="str">
        <f>IF(VLOOKUP(BI872,βοηθητικό!$J$2:$N$354,3,FALSE)="","",VLOOKUP(BI872,βοηθητικό!$J$2:$N$354,3,FALSE))</f>
        <v>_</v>
      </c>
      <c r="BK872" s="47"/>
      <c r="BL872" s="42" t="s">
        <v>16</v>
      </c>
      <c r="BM872" s="43" t="str">
        <f>IF(VLOOKUP(BL872,βοηθητικό!$J$2:$N$354,3,FALSE)="","",VLOOKUP(BL872,βοηθητικό!$J$2:$N$354,3,FALSE))</f>
        <v>_</v>
      </c>
      <c r="BN872" s="44"/>
      <c r="BO872" s="45" t="s">
        <v>16</v>
      </c>
      <c r="BP872" s="46" t="str">
        <f>IF(VLOOKUP(BO872,βοηθητικό!$J$2:$N$354,3,FALSE)="","",VLOOKUP(BO872,βοηθητικό!$J$2:$N$354,3,FALSE))</f>
        <v>_</v>
      </c>
      <c r="BQ872" s="47"/>
      <c r="BR872" s="42" t="s">
        <v>16</v>
      </c>
      <c r="BS872" s="43" t="str">
        <f>IF(VLOOKUP(BR872,βοηθητικό!$J$2:$N$354,3,FALSE)="","",VLOOKUP(BR872,βοηθητικό!$J$2:$N$354,3,FALSE))</f>
        <v>_</v>
      </c>
      <c r="BT872" s="44"/>
      <c r="BU872" s="45" t="s">
        <v>16</v>
      </c>
      <c r="BV872" s="46" t="str">
        <f>IF(VLOOKUP(BU872,βοηθητικό!$J$2:$N$354,3,FALSE)="","",VLOOKUP(BU872,βοηθητικό!$J$2:$N$354,3,FALSE))</f>
        <v>_</v>
      </c>
      <c r="BW872" s="47"/>
      <c r="BX872" s="42" t="s">
        <v>16</v>
      </c>
      <c r="BY872" s="43" t="str">
        <f>IF(VLOOKUP(BX872,βοηθητικό!$J$2:$N$354,3,FALSE)="","",VLOOKUP(BX872,βοηθητικό!$J$2:$N$354,3,FALSE))</f>
        <v>_</v>
      </c>
      <c r="BZ872" s="44"/>
      <c r="CA872" s="45" t="s">
        <v>16</v>
      </c>
      <c r="CB872" s="46" t="str">
        <f>IF(VLOOKUP(CA872,βοηθητικό!$J$2:$N$354,3,FALSE)="","",VLOOKUP(CA872,βοηθητικό!$J$2:$N$354,3,FALSE))</f>
        <v>_</v>
      </c>
      <c r="CC872" s="47"/>
      <c r="CD872" s="42" t="s">
        <v>16</v>
      </c>
      <c r="CE872" s="43" t="str">
        <f>IF(VLOOKUP(CD872,βοηθητικό!$J$2:$N$354,3,FALSE)="","",VLOOKUP(CD872,βοηθητικό!$J$2:$N$354,3,FALSE))</f>
        <v>_</v>
      </c>
      <c r="CF872" s="44"/>
      <c r="CG872" s="45" t="s">
        <v>16</v>
      </c>
      <c r="CH872" s="46" t="str">
        <f>IF(VLOOKUP(CG872,βοηθητικό!$J$2:$N$354,3,FALSE)="","",VLOOKUP(CG872,βοηθητικό!$J$2:$N$354,3,FALSE))</f>
        <v>_</v>
      </c>
      <c r="CI872" s="47"/>
      <c r="CJ872" s="42" t="s">
        <v>16</v>
      </c>
      <c r="CK872" s="43" t="str">
        <f>IF(VLOOKUP(CJ872,βοηθητικό!$J$2:$N$354,3,FALSE)="","",VLOOKUP(CJ872,βοηθητικό!$J$2:$N$354,3,FALSE))</f>
        <v>_</v>
      </c>
      <c r="CL872" s="44"/>
      <c r="CM872" s="45" t="s">
        <v>16</v>
      </c>
      <c r="CN872" s="46" t="str">
        <f>IF(VLOOKUP(CM872,βοηθητικό!$J$2:$N$354,3,FALSE)="","",VLOOKUP(CM872,βοηθητικό!$J$2:$N$354,3,FALSE))</f>
        <v>_</v>
      </c>
      <c r="CO872" s="47"/>
      <c r="CP872" s="42" t="s">
        <v>16</v>
      </c>
      <c r="CQ872" s="43" t="str">
        <f>IF(VLOOKUP(CP872,βοηθητικό!$J$2:$N$354,3,FALSE)="","",VLOOKUP(CP872,βοηθητικό!$J$2:$N$354,3,FALSE))</f>
        <v>_</v>
      </c>
      <c r="CR872" s="44"/>
      <c r="CS872" s="45" t="s">
        <v>16</v>
      </c>
      <c r="CT872" s="46" t="str">
        <f>IF(VLOOKUP(CS872,βοηθητικό!$J$2:$N$354,3,FALSE)="","",VLOOKUP(CS872,βοηθητικό!$J$2:$N$354,3,FALSE))</f>
        <v>_</v>
      </c>
      <c r="CU872" s="47"/>
    </row>
    <row r="873" spans="1:99" x14ac:dyDescent="0.25">
      <c r="A873" s="37">
        <f>--SUBTOTAL(3,$B$3:B872)</f>
        <v>198</v>
      </c>
      <c r="B873" s="2"/>
      <c r="C873" s="3"/>
      <c r="D873" s="55" t="s">
        <v>18</v>
      </c>
      <c r="E873" s="38" t="s">
        <v>16</v>
      </c>
      <c r="F873" s="38"/>
      <c r="G873" s="39" t="str">
        <f t="shared" si="41"/>
        <v>__</v>
      </c>
      <c r="H873" s="40" t="str">
        <f t="shared" si="42"/>
        <v>FALSE</v>
      </c>
      <c r="I873" s="41">
        <f t="shared" si="43"/>
        <v>0</v>
      </c>
      <c r="J873" s="4" t="s">
        <v>16</v>
      </c>
      <c r="K873" s="43" t="str">
        <f>IF(VLOOKUP(J873,βοηθητικό!$J$2:$N$354,3,FALSE)="","",VLOOKUP(J873,βοηθητικό!$J$2:$N$354,3,FALSE))</f>
        <v>_</v>
      </c>
      <c r="L873" s="44"/>
      <c r="M873" s="5" t="s">
        <v>16</v>
      </c>
      <c r="N873" s="46" t="str">
        <f>IF(VLOOKUP(M873,βοηθητικό!$J$2:$N$354,3,FALSE)="","",VLOOKUP(M873,βοηθητικό!$J$2:$N$354,3,FALSE))</f>
        <v>_</v>
      </c>
      <c r="O873" s="47"/>
      <c r="P873" s="4" t="s">
        <v>16</v>
      </c>
      <c r="Q873" s="43" t="str">
        <f>IF(VLOOKUP(P873,βοηθητικό!$J$2:$N$354,3,FALSE)="","",VLOOKUP(P873,βοηθητικό!$J$2:$N$354,3,FALSE))</f>
        <v>_</v>
      </c>
      <c r="R873" s="44"/>
      <c r="S873" s="5" t="s">
        <v>16</v>
      </c>
      <c r="T873" s="46" t="str">
        <f>IF(VLOOKUP(S873,βοηθητικό!$J$2:$N$354,3,FALSE)="","",VLOOKUP(S873,βοηθητικό!$J$2:$N$354,3,FALSE))</f>
        <v>_</v>
      </c>
      <c r="U873" s="47"/>
      <c r="V873" s="4" t="s">
        <v>16</v>
      </c>
      <c r="W873" s="43" t="str">
        <f>IF(VLOOKUP(V873,βοηθητικό!$J$2:$N$354,3,FALSE)="","",VLOOKUP(V873,βοηθητικό!$J$2:$N$354,3,FALSE))</f>
        <v>_</v>
      </c>
      <c r="X873" s="44"/>
      <c r="Y873" s="5" t="s">
        <v>16</v>
      </c>
      <c r="Z873" s="46" t="str">
        <f>IF(VLOOKUP(Y873,βοηθητικό!$J$2:$N$354,3,FALSE)="","",VLOOKUP(Y873,βοηθητικό!$J$2:$N$354,3,FALSE))</f>
        <v>_</v>
      </c>
      <c r="AA873" s="47"/>
      <c r="AB873" s="4" t="s">
        <v>16</v>
      </c>
      <c r="AC873" s="43" t="str">
        <f>IF(VLOOKUP(AB873,βοηθητικό!$J$2:$N$354,3,FALSE)="","",VLOOKUP(AB873,βοηθητικό!$J$2:$N$354,3,FALSE))</f>
        <v>_</v>
      </c>
      <c r="AD873" s="44"/>
      <c r="AE873" s="5" t="s">
        <v>16</v>
      </c>
      <c r="AF873" s="46" t="str">
        <f>IF(VLOOKUP(AE873,βοηθητικό!$J$2:$N$354,3,FALSE)="","",VLOOKUP(AE873,βοηθητικό!$J$2:$N$354,3,FALSE))</f>
        <v>_</v>
      </c>
      <c r="AG873" s="47"/>
      <c r="AH873" s="4" t="s">
        <v>16</v>
      </c>
      <c r="AI873" s="43" t="str">
        <f>IF(VLOOKUP(AH873,βοηθητικό!$J$2:$N$354,3,FALSE)="","",VLOOKUP(AH873,βοηθητικό!$J$2:$N$354,3,FALSE))</f>
        <v>_</v>
      </c>
      <c r="AJ873" s="44"/>
      <c r="AK873" s="5" t="s">
        <v>16</v>
      </c>
      <c r="AL873" s="46" t="str">
        <f>IF(VLOOKUP(AK873,βοηθητικό!$J$2:$N$354,3,FALSE)="","",VLOOKUP(AK873,βοηθητικό!$J$2:$N$354,3,FALSE))</f>
        <v>_</v>
      </c>
      <c r="AM873" s="47"/>
      <c r="AN873" s="4" t="s">
        <v>16</v>
      </c>
      <c r="AO873" s="43" t="str">
        <f>IF(VLOOKUP(AN873,βοηθητικό!$J$2:$N$354,3,FALSE)="","",VLOOKUP(AN873,βοηθητικό!$J$2:$N$354,3,FALSE))</f>
        <v>_</v>
      </c>
      <c r="AP873" s="44"/>
      <c r="AQ873" s="5" t="s">
        <v>16</v>
      </c>
      <c r="AR873" s="46" t="str">
        <f>IF(VLOOKUP(AQ873,βοηθητικό!$J$2:$N$354,3,FALSE)="","",VLOOKUP(AQ873,βοηθητικό!$J$2:$N$354,3,FALSE))</f>
        <v>_</v>
      </c>
      <c r="AS873" s="47"/>
      <c r="AT873" s="4" t="s">
        <v>16</v>
      </c>
      <c r="AU873" s="43" t="str">
        <f>IF(VLOOKUP(AT873,βοηθητικό!$J$2:$N$354,3,FALSE)="","",VLOOKUP(AT873,βοηθητικό!$J$2:$N$354,3,FALSE))</f>
        <v>_</v>
      </c>
      <c r="AV873" s="44"/>
      <c r="AW873" s="5" t="s">
        <v>16</v>
      </c>
      <c r="AX873" s="46" t="str">
        <f>IF(VLOOKUP(AW873,βοηθητικό!$J$2:$N$354,3,FALSE)="","",VLOOKUP(AW873,βοηθητικό!$J$2:$N$354,3,FALSE))</f>
        <v>_</v>
      </c>
      <c r="AY873" s="47"/>
      <c r="AZ873" s="4" t="s">
        <v>16</v>
      </c>
      <c r="BA873" s="43" t="str">
        <f>IF(VLOOKUP(AZ873,βοηθητικό!$J$2:$N$354,3,FALSE)="","",VLOOKUP(AZ873,βοηθητικό!$J$2:$N$354,3,FALSE))</f>
        <v>_</v>
      </c>
      <c r="BB873" s="44"/>
      <c r="BC873" s="45" t="s">
        <v>16</v>
      </c>
      <c r="BD873" s="46" t="str">
        <f>IF(VLOOKUP(BC873,βοηθητικό!$J$2:$N$354,3,FALSE)="","",VLOOKUP(BC873,βοηθητικό!$J$2:$N$354,3,FALSE))</f>
        <v>_</v>
      </c>
      <c r="BE873" s="47"/>
      <c r="BF873" s="42" t="s">
        <v>16</v>
      </c>
      <c r="BG873" s="43" t="str">
        <f>IF(VLOOKUP(BF873,βοηθητικό!$J$2:$N$354,3,FALSE)="","",VLOOKUP(BF873,βοηθητικό!$J$2:$N$354,3,FALSE))</f>
        <v>_</v>
      </c>
      <c r="BH873" s="44"/>
      <c r="BI873" s="45" t="s">
        <v>16</v>
      </c>
      <c r="BJ873" s="46" t="str">
        <f>IF(VLOOKUP(BI873,βοηθητικό!$J$2:$N$354,3,FALSE)="","",VLOOKUP(BI873,βοηθητικό!$J$2:$N$354,3,FALSE))</f>
        <v>_</v>
      </c>
      <c r="BK873" s="47"/>
      <c r="BL873" s="42" t="s">
        <v>16</v>
      </c>
      <c r="BM873" s="43" t="str">
        <f>IF(VLOOKUP(BL873,βοηθητικό!$J$2:$N$354,3,FALSE)="","",VLOOKUP(BL873,βοηθητικό!$J$2:$N$354,3,FALSE))</f>
        <v>_</v>
      </c>
      <c r="BN873" s="44"/>
      <c r="BO873" s="45" t="s">
        <v>16</v>
      </c>
      <c r="BP873" s="46" t="str">
        <f>IF(VLOOKUP(BO873,βοηθητικό!$J$2:$N$354,3,FALSE)="","",VLOOKUP(BO873,βοηθητικό!$J$2:$N$354,3,FALSE))</f>
        <v>_</v>
      </c>
      <c r="BQ873" s="47"/>
      <c r="BR873" s="42" t="s">
        <v>16</v>
      </c>
      <c r="BS873" s="43" t="str">
        <f>IF(VLOOKUP(BR873,βοηθητικό!$J$2:$N$354,3,FALSE)="","",VLOOKUP(BR873,βοηθητικό!$J$2:$N$354,3,FALSE))</f>
        <v>_</v>
      </c>
      <c r="BT873" s="44"/>
      <c r="BU873" s="45" t="s">
        <v>16</v>
      </c>
      <c r="BV873" s="46" t="str">
        <f>IF(VLOOKUP(BU873,βοηθητικό!$J$2:$N$354,3,FALSE)="","",VLOOKUP(BU873,βοηθητικό!$J$2:$N$354,3,FALSE))</f>
        <v>_</v>
      </c>
      <c r="BW873" s="47"/>
      <c r="BX873" s="42" t="s">
        <v>16</v>
      </c>
      <c r="BY873" s="43" t="str">
        <f>IF(VLOOKUP(BX873,βοηθητικό!$J$2:$N$354,3,FALSE)="","",VLOOKUP(BX873,βοηθητικό!$J$2:$N$354,3,FALSE))</f>
        <v>_</v>
      </c>
      <c r="BZ873" s="44"/>
      <c r="CA873" s="45" t="s">
        <v>16</v>
      </c>
      <c r="CB873" s="46" t="str">
        <f>IF(VLOOKUP(CA873,βοηθητικό!$J$2:$N$354,3,FALSE)="","",VLOOKUP(CA873,βοηθητικό!$J$2:$N$354,3,FALSE))</f>
        <v>_</v>
      </c>
      <c r="CC873" s="47"/>
      <c r="CD873" s="42" t="s">
        <v>16</v>
      </c>
      <c r="CE873" s="43" t="str">
        <f>IF(VLOOKUP(CD873,βοηθητικό!$J$2:$N$354,3,FALSE)="","",VLOOKUP(CD873,βοηθητικό!$J$2:$N$354,3,FALSE))</f>
        <v>_</v>
      </c>
      <c r="CF873" s="44"/>
      <c r="CG873" s="45" t="s">
        <v>16</v>
      </c>
      <c r="CH873" s="46" t="str">
        <f>IF(VLOOKUP(CG873,βοηθητικό!$J$2:$N$354,3,FALSE)="","",VLOOKUP(CG873,βοηθητικό!$J$2:$N$354,3,FALSE))</f>
        <v>_</v>
      </c>
      <c r="CI873" s="47"/>
      <c r="CJ873" s="42" t="s">
        <v>16</v>
      </c>
      <c r="CK873" s="43" t="str">
        <f>IF(VLOOKUP(CJ873,βοηθητικό!$J$2:$N$354,3,FALSE)="","",VLOOKUP(CJ873,βοηθητικό!$J$2:$N$354,3,FALSE))</f>
        <v>_</v>
      </c>
      <c r="CL873" s="44"/>
      <c r="CM873" s="45" t="s">
        <v>16</v>
      </c>
      <c r="CN873" s="46" t="str">
        <f>IF(VLOOKUP(CM873,βοηθητικό!$J$2:$N$354,3,FALSE)="","",VLOOKUP(CM873,βοηθητικό!$J$2:$N$354,3,FALSE))</f>
        <v>_</v>
      </c>
      <c r="CO873" s="47"/>
      <c r="CP873" s="42" t="s">
        <v>16</v>
      </c>
      <c r="CQ873" s="43" t="str">
        <f>IF(VLOOKUP(CP873,βοηθητικό!$J$2:$N$354,3,FALSE)="","",VLOOKUP(CP873,βοηθητικό!$J$2:$N$354,3,FALSE))</f>
        <v>_</v>
      </c>
      <c r="CR873" s="44"/>
      <c r="CS873" s="45" t="s">
        <v>16</v>
      </c>
      <c r="CT873" s="46" t="str">
        <f>IF(VLOOKUP(CS873,βοηθητικό!$J$2:$N$354,3,FALSE)="","",VLOOKUP(CS873,βοηθητικό!$J$2:$N$354,3,FALSE))</f>
        <v>_</v>
      </c>
      <c r="CU873" s="47"/>
    </row>
    <row r="874" spans="1:99" x14ac:dyDescent="0.25">
      <c r="A874" s="37">
        <f>--SUBTOTAL(3,$B$3:B873)</f>
        <v>198</v>
      </c>
      <c r="B874" s="2"/>
      <c r="C874" s="3"/>
      <c r="D874" s="55" t="s">
        <v>18</v>
      </c>
      <c r="E874" s="38" t="s">
        <v>16</v>
      </c>
      <c r="F874" s="38"/>
      <c r="G874" s="39" t="str">
        <f t="shared" si="41"/>
        <v>__</v>
      </c>
      <c r="H874" s="40" t="str">
        <f t="shared" si="42"/>
        <v>FALSE</v>
      </c>
      <c r="I874" s="41">
        <f t="shared" si="43"/>
        <v>0</v>
      </c>
      <c r="J874" s="4" t="s">
        <v>16</v>
      </c>
      <c r="K874" s="43" t="str">
        <f>IF(VLOOKUP(J874,βοηθητικό!$J$2:$N$354,3,FALSE)="","",VLOOKUP(J874,βοηθητικό!$J$2:$N$354,3,FALSE))</f>
        <v>_</v>
      </c>
      <c r="L874" s="44"/>
      <c r="M874" s="5" t="s">
        <v>16</v>
      </c>
      <c r="N874" s="46" t="str">
        <f>IF(VLOOKUP(M874,βοηθητικό!$J$2:$N$354,3,FALSE)="","",VLOOKUP(M874,βοηθητικό!$J$2:$N$354,3,FALSE))</f>
        <v>_</v>
      </c>
      <c r="O874" s="47"/>
      <c r="P874" s="4" t="s">
        <v>16</v>
      </c>
      <c r="Q874" s="43" t="str">
        <f>IF(VLOOKUP(P874,βοηθητικό!$J$2:$N$354,3,FALSE)="","",VLOOKUP(P874,βοηθητικό!$J$2:$N$354,3,FALSE))</f>
        <v>_</v>
      </c>
      <c r="R874" s="44"/>
      <c r="S874" s="5" t="s">
        <v>16</v>
      </c>
      <c r="T874" s="46" t="str">
        <f>IF(VLOOKUP(S874,βοηθητικό!$J$2:$N$354,3,FALSE)="","",VLOOKUP(S874,βοηθητικό!$J$2:$N$354,3,FALSE))</f>
        <v>_</v>
      </c>
      <c r="U874" s="47"/>
      <c r="V874" s="4" t="s">
        <v>16</v>
      </c>
      <c r="W874" s="43" t="str">
        <f>IF(VLOOKUP(V874,βοηθητικό!$J$2:$N$354,3,FALSE)="","",VLOOKUP(V874,βοηθητικό!$J$2:$N$354,3,FALSE))</f>
        <v>_</v>
      </c>
      <c r="X874" s="44"/>
      <c r="Y874" s="5" t="s">
        <v>16</v>
      </c>
      <c r="Z874" s="46" t="str">
        <f>IF(VLOOKUP(Y874,βοηθητικό!$J$2:$N$354,3,FALSE)="","",VLOOKUP(Y874,βοηθητικό!$J$2:$N$354,3,FALSE))</f>
        <v>_</v>
      </c>
      <c r="AA874" s="47"/>
      <c r="AB874" s="4" t="s">
        <v>16</v>
      </c>
      <c r="AC874" s="43" t="str">
        <f>IF(VLOOKUP(AB874,βοηθητικό!$J$2:$N$354,3,FALSE)="","",VLOOKUP(AB874,βοηθητικό!$J$2:$N$354,3,FALSE))</f>
        <v>_</v>
      </c>
      <c r="AD874" s="44"/>
      <c r="AE874" s="5" t="s">
        <v>16</v>
      </c>
      <c r="AF874" s="46" t="str">
        <f>IF(VLOOKUP(AE874,βοηθητικό!$J$2:$N$354,3,FALSE)="","",VLOOKUP(AE874,βοηθητικό!$J$2:$N$354,3,FALSE))</f>
        <v>_</v>
      </c>
      <c r="AG874" s="47"/>
      <c r="AH874" s="4" t="s">
        <v>16</v>
      </c>
      <c r="AI874" s="43" t="str">
        <f>IF(VLOOKUP(AH874,βοηθητικό!$J$2:$N$354,3,FALSE)="","",VLOOKUP(AH874,βοηθητικό!$J$2:$N$354,3,FALSE))</f>
        <v>_</v>
      </c>
      <c r="AJ874" s="44"/>
      <c r="AK874" s="5" t="s">
        <v>16</v>
      </c>
      <c r="AL874" s="46" t="str">
        <f>IF(VLOOKUP(AK874,βοηθητικό!$J$2:$N$354,3,FALSE)="","",VLOOKUP(AK874,βοηθητικό!$J$2:$N$354,3,FALSE))</f>
        <v>_</v>
      </c>
      <c r="AM874" s="47"/>
      <c r="AN874" s="4" t="s">
        <v>16</v>
      </c>
      <c r="AO874" s="43" t="str">
        <f>IF(VLOOKUP(AN874,βοηθητικό!$J$2:$N$354,3,FALSE)="","",VLOOKUP(AN874,βοηθητικό!$J$2:$N$354,3,FALSE))</f>
        <v>_</v>
      </c>
      <c r="AP874" s="44"/>
      <c r="AQ874" s="5" t="s">
        <v>16</v>
      </c>
      <c r="AR874" s="46" t="str">
        <f>IF(VLOOKUP(AQ874,βοηθητικό!$J$2:$N$354,3,FALSE)="","",VLOOKUP(AQ874,βοηθητικό!$J$2:$N$354,3,FALSE))</f>
        <v>_</v>
      </c>
      <c r="AS874" s="47"/>
      <c r="AT874" s="4" t="s">
        <v>16</v>
      </c>
      <c r="AU874" s="43" t="str">
        <f>IF(VLOOKUP(AT874,βοηθητικό!$J$2:$N$354,3,FALSE)="","",VLOOKUP(AT874,βοηθητικό!$J$2:$N$354,3,FALSE))</f>
        <v>_</v>
      </c>
      <c r="AV874" s="44"/>
      <c r="AW874" s="5" t="s">
        <v>16</v>
      </c>
      <c r="AX874" s="46" t="str">
        <f>IF(VLOOKUP(AW874,βοηθητικό!$J$2:$N$354,3,FALSE)="","",VLOOKUP(AW874,βοηθητικό!$J$2:$N$354,3,FALSE))</f>
        <v>_</v>
      </c>
      <c r="AY874" s="47"/>
      <c r="AZ874" s="4" t="s">
        <v>16</v>
      </c>
      <c r="BA874" s="43" t="str">
        <f>IF(VLOOKUP(AZ874,βοηθητικό!$J$2:$N$354,3,FALSE)="","",VLOOKUP(AZ874,βοηθητικό!$J$2:$N$354,3,FALSE))</f>
        <v>_</v>
      </c>
      <c r="BB874" s="44"/>
      <c r="BC874" s="45" t="s">
        <v>16</v>
      </c>
      <c r="BD874" s="46" t="str">
        <f>IF(VLOOKUP(BC874,βοηθητικό!$J$2:$N$354,3,FALSE)="","",VLOOKUP(BC874,βοηθητικό!$J$2:$N$354,3,FALSE))</f>
        <v>_</v>
      </c>
      <c r="BE874" s="47"/>
      <c r="BF874" s="42" t="s">
        <v>16</v>
      </c>
      <c r="BG874" s="43" t="str">
        <f>IF(VLOOKUP(BF874,βοηθητικό!$J$2:$N$354,3,FALSE)="","",VLOOKUP(BF874,βοηθητικό!$J$2:$N$354,3,FALSE))</f>
        <v>_</v>
      </c>
      <c r="BH874" s="44"/>
      <c r="BI874" s="45" t="s">
        <v>16</v>
      </c>
      <c r="BJ874" s="46" t="str">
        <f>IF(VLOOKUP(BI874,βοηθητικό!$J$2:$N$354,3,FALSE)="","",VLOOKUP(BI874,βοηθητικό!$J$2:$N$354,3,FALSE))</f>
        <v>_</v>
      </c>
      <c r="BK874" s="47"/>
      <c r="BL874" s="42" t="s">
        <v>16</v>
      </c>
      <c r="BM874" s="43" t="str">
        <f>IF(VLOOKUP(BL874,βοηθητικό!$J$2:$N$354,3,FALSE)="","",VLOOKUP(BL874,βοηθητικό!$J$2:$N$354,3,FALSE))</f>
        <v>_</v>
      </c>
      <c r="BN874" s="44"/>
      <c r="BO874" s="45" t="s">
        <v>16</v>
      </c>
      <c r="BP874" s="46" t="str">
        <f>IF(VLOOKUP(BO874,βοηθητικό!$J$2:$N$354,3,FALSE)="","",VLOOKUP(BO874,βοηθητικό!$J$2:$N$354,3,FALSE))</f>
        <v>_</v>
      </c>
      <c r="BQ874" s="47"/>
      <c r="BR874" s="42" t="s">
        <v>16</v>
      </c>
      <c r="BS874" s="43" t="str">
        <f>IF(VLOOKUP(BR874,βοηθητικό!$J$2:$N$354,3,FALSE)="","",VLOOKUP(BR874,βοηθητικό!$J$2:$N$354,3,FALSE))</f>
        <v>_</v>
      </c>
      <c r="BT874" s="44"/>
      <c r="BU874" s="45" t="s">
        <v>16</v>
      </c>
      <c r="BV874" s="46" t="str">
        <f>IF(VLOOKUP(BU874,βοηθητικό!$J$2:$N$354,3,FALSE)="","",VLOOKUP(BU874,βοηθητικό!$J$2:$N$354,3,FALSE))</f>
        <v>_</v>
      </c>
      <c r="BW874" s="47"/>
      <c r="BX874" s="42" t="s">
        <v>16</v>
      </c>
      <c r="BY874" s="43" t="str">
        <f>IF(VLOOKUP(BX874,βοηθητικό!$J$2:$N$354,3,FALSE)="","",VLOOKUP(BX874,βοηθητικό!$J$2:$N$354,3,FALSE))</f>
        <v>_</v>
      </c>
      <c r="BZ874" s="44"/>
      <c r="CA874" s="45" t="s">
        <v>16</v>
      </c>
      <c r="CB874" s="46" t="str">
        <f>IF(VLOOKUP(CA874,βοηθητικό!$J$2:$N$354,3,FALSE)="","",VLOOKUP(CA874,βοηθητικό!$J$2:$N$354,3,FALSE))</f>
        <v>_</v>
      </c>
      <c r="CC874" s="47"/>
      <c r="CD874" s="42" t="s">
        <v>16</v>
      </c>
      <c r="CE874" s="43" t="str">
        <f>IF(VLOOKUP(CD874,βοηθητικό!$J$2:$N$354,3,FALSE)="","",VLOOKUP(CD874,βοηθητικό!$J$2:$N$354,3,FALSE))</f>
        <v>_</v>
      </c>
      <c r="CF874" s="44"/>
      <c r="CG874" s="45" t="s">
        <v>16</v>
      </c>
      <c r="CH874" s="46" t="str">
        <f>IF(VLOOKUP(CG874,βοηθητικό!$J$2:$N$354,3,FALSE)="","",VLOOKUP(CG874,βοηθητικό!$J$2:$N$354,3,FALSE))</f>
        <v>_</v>
      </c>
      <c r="CI874" s="47"/>
      <c r="CJ874" s="42" t="s">
        <v>16</v>
      </c>
      <c r="CK874" s="43" t="str">
        <f>IF(VLOOKUP(CJ874,βοηθητικό!$J$2:$N$354,3,FALSE)="","",VLOOKUP(CJ874,βοηθητικό!$J$2:$N$354,3,FALSE))</f>
        <v>_</v>
      </c>
      <c r="CL874" s="44"/>
      <c r="CM874" s="45" t="s">
        <v>16</v>
      </c>
      <c r="CN874" s="46" t="str">
        <f>IF(VLOOKUP(CM874,βοηθητικό!$J$2:$N$354,3,FALSE)="","",VLOOKUP(CM874,βοηθητικό!$J$2:$N$354,3,FALSE))</f>
        <v>_</v>
      </c>
      <c r="CO874" s="47"/>
      <c r="CP874" s="42" t="s">
        <v>16</v>
      </c>
      <c r="CQ874" s="43" t="str">
        <f>IF(VLOOKUP(CP874,βοηθητικό!$J$2:$N$354,3,FALSE)="","",VLOOKUP(CP874,βοηθητικό!$J$2:$N$354,3,FALSE))</f>
        <v>_</v>
      </c>
      <c r="CR874" s="44"/>
      <c r="CS874" s="45" t="s">
        <v>16</v>
      </c>
      <c r="CT874" s="46" t="str">
        <f>IF(VLOOKUP(CS874,βοηθητικό!$J$2:$N$354,3,FALSE)="","",VLOOKUP(CS874,βοηθητικό!$J$2:$N$354,3,FALSE))</f>
        <v>_</v>
      </c>
      <c r="CU874" s="47"/>
    </row>
    <row r="875" spans="1:99" x14ac:dyDescent="0.25">
      <c r="A875" s="37">
        <f>--SUBTOTAL(3,$B$3:B874)</f>
        <v>198</v>
      </c>
      <c r="B875" s="2"/>
      <c r="C875" s="3"/>
      <c r="D875" s="55" t="s">
        <v>18</v>
      </c>
      <c r="E875" s="38" t="s">
        <v>16</v>
      </c>
      <c r="F875" s="38"/>
      <c r="G875" s="39" t="str">
        <f t="shared" si="41"/>
        <v>__</v>
      </c>
      <c r="H875" s="40" t="str">
        <f t="shared" si="42"/>
        <v>FALSE</v>
      </c>
      <c r="I875" s="41">
        <f t="shared" si="43"/>
        <v>0</v>
      </c>
      <c r="J875" s="4" t="s">
        <v>16</v>
      </c>
      <c r="K875" s="43" t="str">
        <f>IF(VLOOKUP(J875,βοηθητικό!$J$2:$N$354,3,FALSE)="","",VLOOKUP(J875,βοηθητικό!$J$2:$N$354,3,FALSE))</f>
        <v>_</v>
      </c>
      <c r="L875" s="44"/>
      <c r="M875" s="5" t="s">
        <v>16</v>
      </c>
      <c r="N875" s="46" t="str">
        <f>IF(VLOOKUP(M875,βοηθητικό!$J$2:$N$354,3,FALSE)="","",VLOOKUP(M875,βοηθητικό!$J$2:$N$354,3,FALSE))</f>
        <v>_</v>
      </c>
      <c r="O875" s="47"/>
      <c r="P875" s="4" t="s">
        <v>16</v>
      </c>
      <c r="Q875" s="43" t="str">
        <f>IF(VLOOKUP(P875,βοηθητικό!$J$2:$N$354,3,FALSE)="","",VLOOKUP(P875,βοηθητικό!$J$2:$N$354,3,FALSE))</f>
        <v>_</v>
      </c>
      <c r="R875" s="44"/>
      <c r="S875" s="5" t="s">
        <v>16</v>
      </c>
      <c r="T875" s="46" t="str">
        <f>IF(VLOOKUP(S875,βοηθητικό!$J$2:$N$354,3,FALSE)="","",VLOOKUP(S875,βοηθητικό!$J$2:$N$354,3,FALSE))</f>
        <v>_</v>
      </c>
      <c r="U875" s="47"/>
      <c r="V875" s="4" t="s">
        <v>16</v>
      </c>
      <c r="W875" s="43" t="str">
        <f>IF(VLOOKUP(V875,βοηθητικό!$J$2:$N$354,3,FALSE)="","",VLOOKUP(V875,βοηθητικό!$J$2:$N$354,3,FALSE))</f>
        <v>_</v>
      </c>
      <c r="X875" s="44"/>
      <c r="Y875" s="5" t="s">
        <v>16</v>
      </c>
      <c r="Z875" s="46" t="str">
        <f>IF(VLOOKUP(Y875,βοηθητικό!$J$2:$N$354,3,FALSE)="","",VLOOKUP(Y875,βοηθητικό!$J$2:$N$354,3,FALSE))</f>
        <v>_</v>
      </c>
      <c r="AA875" s="47"/>
      <c r="AB875" s="4" t="s">
        <v>16</v>
      </c>
      <c r="AC875" s="43" t="str">
        <f>IF(VLOOKUP(AB875,βοηθητικό!$J$2:$N$354,3,FALSE)="","",VLOOKUP(AB875,βοηθητικό!$J$2:$N$354,3,FALSE))</f>
        <v>_</v>
      </c>
      <c r="AD875" s="44"/>
      <c r="AE875" s="5" t="s">
        <v>16</v>
      </c>
      <c r="AF875" s="46" t="str">
        <f>IF(VLOOKUP(AE875,βοηθητικό!$J$2:$N$354,3,FALSE)="","",VLOOKUP(AE875,βοηθητικό!$J$2:$N$354,3,FALSE))</f>
        <v>_</v>
      </c>
      <c r="AG875" s="47"/>
      <c r="AH875" s="4" t="s">
        <v>16</v>
      </c>
      <c r="AI875" s="43" t="str">
        <f>IF(VLOOKUP(AH875,βοηθητικό!$J$2:$N$354,3,FALSE)="","",VLOOKUP(AH875,βοηθητικό!$J$2:$N$354,3,FALSE))</f>
        <v>_</v>
      </c>
      <c r="AJ875" s="44"/>
      <c r="AK875" s="5" t="s">
        <v>16</v>
      </c>
      <c r="AL875" s="46" t="str">
        <f>IF(VLOOKUP(AK875,βοηθητικό!$J$2:$N$354,3,FALSE)="","",VLOOKUP(AK875,βοηθητικό!$J$2:$N$354,3,FALSE))</f>
        <v>_</v>
      </c>
      <c r="AM875" s="47"/>
      <c r="AN875" s="4" t="s">
        <v>16</v>
      </c>
      <c r="AO875" s="43" t="str">
        <f>IF(VLOOKUP(AN875,βοηθητικό!$J$2:$N$354,3,FALSE)="","",VLOOKUP(AN875,βοηθητικό!$J$2:$N$354,3,FALSE))</f>
        <v>_</v>
      </c>
      <c r="AP875" s="44"/>
      <c r="AQ875" s="5" t="s">
        <v>16</v>
      </c>
      <c r="AR875" s="46" t="str">
        <f>IF(VLOOKUP(AQ875,βοηθητικό!$J$2:$N$354,3,FALSE)="","",VLOOKUP(AQ875,βοηθητικό!$J$2:$N$354,3,FALSE))</f>
        <v>_</v>
      </c>
      <c r="AS875" s="47"/>
      <c r="AT875" s="4" t="s">
        <v>16</v>
      </c>
      <c r="AU875" s="43" t="str">
        <f>IF(VLOOKUP(AT875,βοηθητικό!$J$2:$N$354,3,FALSE)="","",VLOOKUP(AT875,βοηθητικό!$J$2:$N$354,3,FALSE))</f>
        <v>_</v>
      </c>
      <c r="AV875" s="44"/>
      <c r="AW875" s="5" t="s">
        <v>16</v>
      </c>
      <c r="AX875" s="46" t="str">
        <f>IF(VLOOKUP(AW875,βοηθητικό!$J$2:$N$354,3,FALSE)="","",VLOOKUP(AW875,βοηθητικό!$J$2:$N$354,3,FALSE))</f>
        <v>_</v>
      </c>
      <c r="AY875" s="47"/>
      <c r="AZ875" s="4" t="s">
        <v>16</v>
      </c>
      <c r="BA875" s="43" t="str">
        <f>IF(VLOOKUP(AZ875,βοηθητικό!$J$2:$N$354,3,FALSE)="","",VLOOKUP(AZ875,βοηθητικό!$J$2:$N$354,3,FALSE))</f>
        <v>_</v>
      </c>
      <c r="BB875" s="44"/>
      <c r="BC875" s="45" t="s">
        <v>16</v>
      </c>
      <c r="BD875" s="46" t="str">
        <f>IF(VLOOKUP(BC875,βοηθητικό!$J$2:$N$354,3,FALSE)="","",VLOOKUP(BC875,βοηθητικό!$J$2:$N$354,3,FALSE))</f>
        <v>_</v>
      </c>
      <c r="BE875" s="47"/>
      <c r="BF875" s="42" t="s">
        <v>16</v>
      </c>
      <c r="BG875" s="43" t="str">
        <f>IF(VLOOKUP(BF875,βοηθητικό!$J$2:$N$354,3,FALSE)="","",VLOOKUP(BF875,βοηθητικό!$J$2:$N$354,3,FALSE))</f>
        <v>_</v>
      </c>
      <c r="BH875" s="44"/>
      <c r="BI875" s="45" t="s">
        <v>16</v>
      </c>
      <c r="BJ875" s="46" t="str">
        <f>IF(VLOOKUP(BI875,βοηθητικό!$J$2:$N$354,3,FALSE)="","",VLOOKUP(BI875,βοηθητικό!$J$2:$N$354,3,FALSE))</f>
        <v>_</v>
      </c>
      <c r="BK875" s="47"/>
      <c r="BL875" s="42" t="s">
        <v>16</v>
      </c>
      <c r="BM875" s="43" t="str">
        <f>IF(VLOOKUP(BL875,βοηθητικό!$J$2:$N$354,3,FALSE)="","",VLOOKUP(BL875,βοηθητικό!$J$2:$N$354,3,FALSE))</f>
        <v>_</v>
      </c>
      <c r="BN875" s="44"/>
      <c r="BO875" s="45" t="s">
        <v>16</v>
      </c>
      <c r="BP875" s="46" t="str">
        <f>IF(VLOOKUP(BO875,βοηθητικό!$J$2:$N$354,3,FALSE)="","",VLOOKUP(BO875,βοηθητικό!$J$2:$N$354,3,FALSE))</f>
        <v>_</v>
      </c>
      <c r="BQ875" s="47"/>
      <c r="BR875" s="42" t="s">
        <v>16</v>
      </c>
      <c r="BS875" s="43" t="str">
        <f>IF(VLOOKUP(BR875,βοηθητικό!$J$2:$N$354,3,FALSE)="","",VLOOKUP(BR875,βοηθητικό!$J$2:$N$354,3,FALSE))</f>
        <v>_</v>
      </c>
      <c r="BT875" s="44"/>
      <c r="BU875" s="45" t="s">
        <v>16</v>
      </c>
      <c r="BV875" s="46" t="str">
        <f>IF(VLOOKUP(BU875,βοηθητικό!$J$2:$N$354,3,FALSE)="","",VLOOKUP(BU875,βοηθητικό!$J$2:$N$354,3,FALSE))</f>
        <v>_</v>
      </c>
      <c r="BW875" s="47"/>
      <c r="BX875" s="42" t="s">
        <v>16</v>
      </c>
      <c r="BY875" s="43" t="str">
        <f>IF(VLOOKUP(BX875,βοηθητικό!$J$2:$N$354,3,FALSE)="","",VLOOKUP(BX875,βοηθητικό!$J$2:$N$354,3,FALSE))</f>
        <v>_</v>
      </c>
      <c r="BZ875" s="44"/>
      <c r="CA875" s="45" t="s">
        <v>16</v>
      </c>
      <c r="CB875" s="46" t="str">
        <f>IF(VLOOKUP(CA875,βοηθητικό!$J$2:$N$354,3,FALSE)="","",VLOOKUP(CA875,βοηθητικό!$J$2:$N$354,3,FALSE))</f>
        <v>_</v>
      </c>
      <c r="CC875" s="47"/>
      <c r="CD875" s="42" t="s">
        <v>16</v>
      </c>
      <c r="CE875" s="43" t="str">
        <f>IF(VLOOKUP(CD875,βοηθητικό!$J$2:$N$354,3,FALSE)="","",VLOOKUP(CD875,βοηθητικό!$J$2:$N$354,3,FALSE))</f>
        <v>_</v>
      </c>
      <c r="CF875" s="44"/>
      <c r="CG875" s="45" t="s">
        <v>16</v>
      </c>
      <c r="CH875" s="46" t="str">
        <f>IF(VLOOKUP(CG875,βοηθητικό!$J$2:$N$354,3,FALSE)="","",VLOOKUP(CG875,βοηθητικό!$J$2:$N$354,3,FALSE))</f>
        <v>_</v>
      </c>
      <c r="CI875" s="47"/>
      <c r="CJ875" s="42" t="s">
        <v>16</v>
      </c>
      <c r="CK875" s="43" t="str">
        <f>IF(VLOOKUP(CJ875,βοηθητικό!$J$2:$N$354,3,FALSE)="","",VLOOKUP(CJ875,βοηθητικό!$J$2:$N$354,3,FALSE))</f>
        <v>_</v>
      </c>
      <c r="CL875" s="44"/>
      <c r="CM875" s="45" t="s">
        <v>16</v>
      </c>
      <c r="CN875" s="46" t="str">
        <f>IF(VLOOKUP(CM875,βοηθητικό!$J$2:$N$354,3,FALSE)="","",VLOOKUP(CM875,βοηθητικό!$J$2:$N$354,3,FALSE))</f>
        <v>_</v>
      </c>
      <c r="CO875" s="47"/>
      <c r="CP875" s="42" t="s">
        <v>16</v>
      </c>
      <c r="CQ875" s="43" t="str">
        <f>IF(VLOOKUP(CP875,βοηθητικό!$J$2:$N$354,3,FALSE)="","",VLOOKUP(CP875,βοηθητικό!$J$2:$N$354,3,FALSE))</f>
        <v>_</v>
      </c>
      <c r="CR875" s="44"/>
      <c r="CS875" s="45" t="s">
        <v>16</v>
      </c>
      <c r="CT875" s="46" t="str">
        <f>IF(VLOOKUP(CS875,βοηθητικό!$J$2:$N$354,3,FALSE)="","",VLOOKUP(CS875,βοηθητικό!$J$2:$N$354,3,FALSE))</f>
        <v>_</v>
      </c>
      <c r="CU875" s="47"/>
    </row>
    <row r="876" spans="1:99" x14ac:dyDescent="0.25">
      <c r="A876" s="37">
        <f>--SUBTOTAL(3,$B$3:B875)</f>
        <v>198</v>
      </c>
      <c r="B876" s="2"/>
      <c r="C876" s="3"/>
      <c r="D876" s="55" t="s">
        <v>18</v>
      </c>
      <c r="E876" s="38" t="s">
        <v>16</v>
      </c>
      <c r="F876" s="38"/>
      <c r="G876" s="39" t="str">
        <f t="shared" si="41"/>
        <v>__</v>
      </c>
      <c r="H876" s="40" t="str">
        <f t="shared" si="42"/>
        <v>FALSE</v>
      </c>
      <c r="I876" s="41">
        <f t="shared" si="43"/>
        <v>0</v>
      </c>
      <c r="J876" s="4" t="s">
        <v>16</v>
      </c>
      <c r="K876" s="43" t="str">
        <f>IF(VLOOKUP(J876,βοηθητικό!$J$2:$N$354,3,FALSE)="","",VLOOKUP(J876,βοηθητικό!$J$2:$N$354,3,FALSE))</f>
        <v>_</v>
      </c>
      <c r="L876" s="44"/>
      <c r="M876" s="5" t="s">
        <v>16</v>
      </c>
      <c r="N876" s="46" t="str">
        <f>IF(VLOOKUP(M876,βοηθητικό!$J$2:$N$354,3,FALSE)="","",VLOOKUP(M876,βοηθητικό!$J$2:$N$354,3,FALSE))</f>
        <v>_</v>
      </c>
      <c r="O876" s="47"/>
      <c r="P876" s="4" t="s">
        <v>16</v>
      </c>
      <c r="Q876" s="43" t="str">
        <f>IF(VLOOKUP(P876,βοηθητικό!$J$2:$N$354,3,FALSE)="","",VLOOKUP(P876,βοηθητικό!$J$2:$N$354,3,FALSE))</f>
        <v>_</v>
      </c>
      <c r="R876" s="44"/>
      <c r="S876" s="5" t="s">
        <v>16</v>
      </c>
      <c r="T876" s="46" t="str">
        <f>IF(VLOOKUP(S876,βοηθητικό!$J$2:$N$354,3,FALSE)="","",VLOOKUP(S876,βοηθητικό!$J$2:$N$354,3,FALSE))</f>
        <v>_</v>
      </c>
      <c r="U876" s="47"/>
      <c r="V876" s="4" t="s">
        <v>16</v>
      </c>
      <c r="W876" s="43" t="str">
        <f>IF(VLOOKUP(V876,βοηθητικό!$J$2:$N$354,3,FALSE)="","",VLOOKUP(V876,βοηθητικό!$J$2:$N$354,3,FALSE))</f>
        <v>_</v>
      </c>
      <c r="X876" s="44"/>
      <c r="Y876" s="5" t="s">
        <v>16</v>
      </c>
      <c r="Z876" s="46" t="str">
        <f>IF(VLOOKUP(Y876,βοηθητικό!$J$2:$N$354,3,FALSE)="","",VLOOKUP(Y876,βοηθητικό!$J$2:$N$354,3,FALSE))</f>
        <v>_</v>
      </c>
      <c r="AA876" s="47"/>
      <c r="AB876" s="4" t="s">
        <v>16</v>
      </c>
      <c r="AC876" s="43" t="str">
        <f>IF(VLOOKUP(AB876,βοηθητικό!$J$2:$N$354,3,FALSE)="","",VLOOKUP(AB876,βοηθητικό!$J$2:$N$354,3,FALSE))</f>
        <v>_</v>
      </c>
      <c r="AD876" s="44"/>
      <c r="AE876" s="5" t="s">
        <v>16</v>
      </c>
      <c r="AF876" s="46" t="str">
        <f>IF(VLOOKUP(AE876,βοηθητικό!$J$2:$N$354,3,FALSE)="","",VLOOKUP(AE876,βοηθητικό!$J$2:$N$354,3,FALSE))</f>
        <v>_</v>
      </c>
      <c r="AG876" s="47"/>
      <c r="AH876" s="4" t="s">
        <v>16</v>
      </c>
      <c r="AI876" s="43" t="str">
        <f>IF(VLOOKUP(AH876,βοηθητικό!$J$2:$N$354,3,FALSE)="","",VLOOKUP(AH876,βοηθητικό!$J$2:$N$354,3,FALSE))</f>
        <v>_</v>
      </c>
      <c r="AJ876" s="44"/>
      <c r="AK876" s="5" t="s">
        <v>16</v>
      </c>
      <c r="AL876" s="46" t="str">
        <f>IF(VLOOKUP(AK876,βοηθητικό!$J$2:$N$354,3,FALSE)="","",VLOOKUP(AK876,βοηθητικό!$J$2:$N$354,3,FALSE))</f>
        <v>_</v>
      </c>
      <c r="AM876" s="47"/>
      <c r="AN876" s="4" t="s">
        <v>16</v>
      </c>
      <c r="AO876" s="43" t="str">
        <f>IF(VLOOKUP(AN876,βοηθητικό!$J$2:$N$354,3,FALSE)="","",VLOOKUP(AN876,βοηθητικό!$J$2:$N$354,3,FALSE))</f>
        <v>_</v>
      </c>
      <c r="AP876" s="44"/>
      <c r="AQ876" s="5" t="s">
        <v>16</v>
      </c>
      <c r="AR876" s="46" t="str">
        <f>IF(VLOOKUP(AQ876,βοηθητικό!$J$2:$N$354,3,FALSE)="","",VLOOKUP(AQ876,βοηθητικό!$J$2:$N$354,3,FALSE))</f>
        <v>_</v>
      </c>
      <c r="AS876" s="47"/>
      <c r="AT876" s="4" t="s">
        <v>16</v>
      </c>
      <c r="AU876" s="43" t="str">
        <f>IF(VLOOKUP(AT876,βοηθητικό!$J$2:$N$354,3,FALSE)="","",VLOOKUP(AT876,βοηθητικό!$J$2:$N$354,3,FALSE))</f>
        <v>_</v>
      </c>
      <c r="AV876" s="44"/>
      <c r="AW876" s="5" t="s">
        <v>16</v>
      </c>
      <c r="AX876" s="46" t="str">
        <f>IF(VLOOKUP(AW876,βοηθητικό!$J$2:$N$354,3,FALSE)="","",VLOOKUP(AW876,βοηθητικό!$J$2:$N$354,3,FALSE))</f>
        <v>_</v>
      </c>
      <c r="AY876" s="47"/>
      <c r="AZ876" s="4" t="s">
        <v>16</v>
      </c>
      <c r="BA876" s="43" t="str">
        <f>IF(VLOOKUP(AZ876,βοηθητικό!$J$2:$N$354,3,FALSE)="","",VLOOKUP(AZ876,βοηθητικό!$J$2:$N$354,3,FALSE))</f>
        <v>_</v>
      </c>
      <c r="BB876" s="44"/>
      <c r="BC876" s="45" t="s">
        <v>16</v>
      </c>
      <c r="BD876" s="46" t="str">
        <f>IF(VLOOKUP(BC876,βοηθητικό!$J$2:$N$354,3,FALSE)="","",VLOOKUP(BC876,βοηθητικό!$J$2:$N$354,3,FALSE))</f>
        <v>_</v>
      </c>
      <c r="BE876" s="47"/>
      <c r="BF876" s="42" t="s">
        <v>16</v>
      </c>
      <c r="BG876" s="43" t="str">
        <f>IF(VLOOKUP(BF876,βοηθητικό!$J$2:$N$354,3,FALSE)="","",VLOOKUP(BF876,βοηθητικό!$J$2:$N$354,3,FALSE))</f>
        <v>_</v>
      </c>
      <c r="BH876" s="44"/>
      <c r="BI876" s="45" t="s">
        <v>16</v>
      </c>
      <c r="BJ876" s="46" t="str">
        <f>IF(VLOOKUP(BI876,βοηθητικό!$J$2:$N$354,3,FALSE)="","",VLOOKUP(BI876,βοηθητικό!$J$2:$N$354,3,FALSE))</f>
        <v>_</v>
      </c>
      <c r="BK876" s="47"/>
      <c r="BL876" s="42" t="s">
        <v>16</v>
      </c>
      <c r="BM876" s="43" t="str">
        <f>IF(VLOOKUP(BL876,βοηθητικό!$J$2:$N$354,3,FALSE)="","",VLOOKUP(BL876,βοηθητικό!$J$2:$N$354,3,FALSE))</f>
        <v>_</v>
      </c>
      <c r="BN876" s="44"/>
      <c r="BO876" s="45" t="s">
        <v>16</v>
      </c>
      <c r="BP876" s="46" t="str">
        <f>IF(VLOOKUP(BO876,βοηθητικό!$J$2:$N$354,3,FALSE)="","",VLOOKUP(BO876,βοηθητικό!$J$2:$N$354,3,FALSE))</f>
        <v>_</v>
      </c>
      <c r="BQ876" s="47"/>
      <c r="BR876" s="42" t="s">
        <v>16</v>
      </c>
      <c r="BS876" s="43" t="str">
        <f>IF(VLOOKUP(BR876,βοηθητικό!$J$2:$N$354,3,FALSE)="","",VLOOKUP(BR876,βοηθητικό!$J$2:$N$354,3,FALSE))</f>
        <v>_</v>
      </c>
      <c r="BT876" s="44"/>
      <c r="BU876" s="45" t="s">
        <v>16</v>
      </c>
      <c r="BV876" s="46" t="str">
        <f>IF(VLOOKUP(BU876,βοηθητικό!$J$2:$N$354,3,FALSE)="","",VLOOKUP(BU876,βοηθητικό!$J$2:$N$354,3,FALSE))</f>
        <v>_</v>
      </c>
      <c r="BW876" s="47"/>
      <c r="BX876" s="42" t="s">
        <v>16</v>
      </c>
      <c r="BY876" s="43" t="str">
        <f>IF(VLOOKUP(BX876,βοηθητικό!$J$2:$N$354,3,FALSE)="","",VLOOKUP(BX876,βοηθητικό!$J$2:$N$354,3,FALSE))</f>
        <v>_</v>
      </c>
      <c r="BZ876" s="44"/>
      <c r="CA876" s="45" t="s">
        <v>16</v>
      </c>
      <c r="CB876" s="46" t="str">
        <f>IF(VLOOKUP(CA876,βοηθητικό!$J$2:$N$354,3,FALSE)="","",VLOOKUP(CA876,βοηθητικό!$J$2:$N$354,3,FALSE))</f>
        <v>_</v>
      </c>
      <c r="CC876" s="47"/>
      <c r="CD876" s="42" t="s">
        <v>16</v>
      </c>
      <c r="CE876" s="43" t="str">
        <f>IF(VLOOKUP(CD876,βοηθητικό!$J$2:$N$354,3,FALSE)="","",VLOOKUP(CD876,βοηθητικό!$J$2:$N$354,3,FALSE))</f>
        <v>_</v>
      </c>
      <c r="CF876" s="44"/>
      <c r="CG876" s="45" t="s">
        <v>16</v>
      </c>
      <c r="CH876" s="46" t="str">
        <f>IF(VLOOKUP(CG876,βοηθητικό!$J$2:$N$354,3,FALSE)="","",VLOOKUP(CG876,βοηθητικό!$J$2:$N$354,3,FALSE))</f>
        <v>_</v>
      </c>
      <c r="CI876" s="47"/>
      <c r="CJ876" s="42" t="s">
        <v>16</v>
      </c>
      <c r="CK876" s="43" t="str">
        <f>IF(VLOOKUP(CJ876,βοηθητικό!$J$2:$N$354,3,FALSE)="","",VLOOKUP(CJ876,βοηθητικό!$J$2:$N$354,3,FALSE))</f>
        <v>_</v>
      </c>
      <c r="CL876" s="44"/>
      <c r="CM876" s="45" t="s">
        <v>16</v>
      </c>
      <c r="CN876" s="46" t="str">
        <f>IF(VLOOKUP(CM876,βοηθητικό!$J$2:$N$354,3,FALSE)="","",VLOOKUP(CM876,βοηθητικό!$J$2:$N$354,3,FALSE))</f>
        <v>_</v>
      </c>
      <c r="CO876" s="47"/>
      <c r="CP876" s="42" t="s">
        <v>16</v>
      </c>
      <c r="CQ876" s="43" t="str">
        <f>IF(VLOOKUP(CP876,βοηθητικό!$J$2:$N$354,3,FALSE)="","",VLOOKUP(CP876,βοηθητικό!$J$2:$N$354,3,FALSE))</f>
        <v>_</v>
      </c>
      <c r="CR876" s="44"/>
      <c r="CS876" s="45" t="s">
        <v>16</v>
      </c>
      <c r="CT876" s="46" t="str">
        <f>IF(VLOOKUP(CS876,βοηθητικό!$J$2:$N$354,3,FALSE)="","",VLOOKUP(CS876,βοηθητικό!$J$2:$N$354,3,FALSE))</f>
        <v>_</v>
      </c>
      <c r="CU876" s="47"/>
    </row>
    <row r="877" spans="1:99" x14ac:dyDescent="0.25">
      <c r="A877" s="37">
        <f>--SUBTOTAL(3,$B$3:B876)</f>
        <v>198</v>
      </c>
      <c r="B877" s="2"/>
      <c r="C877" s="3"/>
      <c r="D877" s="55" t="s">
        <v>18</v>
      </c>
      <c r="E877" s="38" t="s">
        <v>16</v>
      </c>
      <c r="F877" s="38"/>
      <c r="G877" s="39" t="str">
        <f t="shared" si="41"/>
        <v>__</v>
      </c>
      <c r="H877" s="40" t="str">
        <f t="shared" si="42"/>
        <v>FALSE</v>
      </c>
      <c r="I877" s="41">
        <f t="shared" si="43"/>
        <v>0</v>
      </c>
      <c r="J877" s="4" t="s">
        <v>16</v>
      </c>
      <c r="K877" s="43" t="str">
        <f>IF(VLOOKUP(J877,βοηθητικό!$J$2:$N$354,3,FALSE)="","",VLOOKUP(J877,βοηθητικό!$J$2:$N$354,3,FALSE))</f>
        <v>_</v>
      </c>
      <c r="L877" s="44"/>
      <c r="M877" s="5" t="s">
        <v>16</v>
      </c>
      <c r="N877" s="46" t="str">
        <f>IF(VLOOKUP(M877,βοηθητικό!$J$2:$N$354,3,FALSE)="","",VLOOKUP(M877,βοηθητικό!$J$2:$N$354,3,FALSE))</f>
        <v>_</v>
      </c>
      <c r="O877" s="47"/>
      <c r="P877" s="4" t="s">
        <v>16</v>
      </c>
      <c r="Q877" s="43" t="str">
        <f>IF(VLOOKUP(P877,βοηθητικό!$J$2:$N$354,3,FALSE)="","",VLOOKUP(P877,βοηθητικό!$J$2:$N$354,3,FALSE))</f>
        <v>_</v>
      </c>
      <c r="R877" s="44"/>
      <c r="S877" s="5" t="s">
        <v>16</v>
      </c>
      <c r="T877" s="46" t="str">
        <f>IF(VLOOKUP(S877,βοηθητικό!$J$2:$N$354,3,FALSE)="","",VLOOKUP(S877,βοηθητικό!$J$2:$N$354,3,FALSE))</f>
        <v>_</v>
      </c>
      <c r="U877" s="47"/>
      <c r="V877" s="4" t="s">
        <v>16</v>
      </c>
      <c r="W877" s="43" t="str">
        <f>IF(VLOOKUP(V877,βοηθητικό!$J$2:$N$354,3,FALSE)="","",VLOOKUP(V877,βοηθητικό!$J$2:$N$354,3,FALSE))</f>
        <v>_</v>
      </c>
      <c r="X877" s="44"/>
      <c r="Y877" s="5" t="s">
        <v>16</v>
      </c>
      <c r="Z877" s="46" t="str">
        <f>IF(VLOOKUP(Y877,βοηθητικό!$J$2:$N$354,3,FALSE)="","",VLOOKUP(Y877,βοηθητικό!$J$2:$N$354,3,FALSE))</f>
        <v>_</v>
      </c>
      <c r="AA877" s="47"/>
      <c r="AB877" s="4" t="s">
        <v>16</v>
      </c>
      <c r="AC877" s="43" t="str">
        <f>IF(VLOOKUP(AB877,βοηθητικό!$J$2:$N$354,3,FALSE)="","",VLOOKUP(AB877,βοηθητικό!$J$2:$N$354,3,FALSE))</f>
        <v>_</v>
      </c>
      <c r="AD877" s="44"/>
      <c r="AE877" s="5" t="s">
        <v>16</v>
      </c>
      <c r="AF877" s="46" t="str">
        <f>IF(VLOOKUP(AE877,βοηθητικό!$J$2:$N$354,3,FALSE)="","",VLOOKUP(AE877,βοηθητικό!$J$2:$N$354,3,FALSE))</f>
        <v>_</v>
      </c>
      <c r="AG877" s="47"/>
      <c r="AH877" s="4" t="s">
        <v>16</v>
      </c>
      <c r="AI877" s="43" t="str">
        <f>IF(VLOOKUP(AH877,βοηθητικό!$J$2:$N$354,3,FALSE)="","",VLOOKUP(AH877,βοηθητικό!$J$2:$N$354,3,FALSE))</f>
        <v>_</v>
      </c>
      <c r="AJ877" s="44"/>
      <c r="AK877" s="5" t="s">
        <v>16</v>
      </c>
      <c r="AL877" s="46" t="str">
        <f>IF(VLOOKUP(AK877,βοηθητικό!$J$2:$N$354,3,FALSE)="","",VLOOKUP(AK877,βοηθητικό!$J$2:$N$354,3,FALSE))</f>
        <v>_</v>
      </c>
      <c r="AM877" s="47"/>
      <c r="AN877" s="4" t="s">
        <v>16</v>
      </c>
      <c r="AO877" s="43" t="str">
        <f>IF(VLOOKUP(AN877,βοηθητικό!$J$2:$N$354,3,FALSE)="","",VLOOKUP(AN877,βοηθητικό!$J$2:$N$354,3,FALSE))</f>
        <v>_</v>
      </c>
      <c r="AP877" s="44"/>
      <c r="AQ877" s="5" t="s">
        <v>16</v>
      </c>
      <c r="AR877" s="46" t="str">
        <f>IF(VLOOKUP(AQ877,βοηθητικό!$J$2:$N$354,3,FALSE)="","",VLOOKUP(AQ877,βοηθητικό!$J$2:$N$354,3,FALSE))</f>
        <v>_</v>
      </c>
      <c r="AS877" s="47"/>
      <c r="AT877" s="4" t="s">
        <v>16</v>
      </c>
      <c r="AU877" s="43" t="str">
        <f>IF(VLOOKUP(AT877,βοηθητικό!$J$2:$N$354,3,FALSE)="","",VLOOKUP(AT877,βοηθητικό!$J$2:$N$354,3,FALSE))</f>
        <v>_</v>
      </c>
      <c r="AV877" s="44"/>
      <c r="AW877" s="5" t="s">
        <v>16</v>
      </c>
      <c r="AX877" s="46" t="str">
        <f>IF(VLOOKUP(AW877,βοηθητικό!$J$2:$N$354,3,FALSE)="","",VLOOKUP(AW877,βοηθητικό!$J$2:$N$354,3,FALSE))</f>
        <v>_</v>
      </c>
      <c r="AY877" s="47"/>
      <c r="AZ877" s="4" t="s">
        <v>16</v>
      </c>
      <c r="BA877" s="43" t="str">
        <f>IF(VLOOKUP(AZ877,βοηθητικό!$J$2:$N$354,3,FALSE)="","",VLOOKUP(AZ877,βοηθητικό!$J$2:$N$354,3,FALSE))</f>
        <v>_</v>
      </c>
      <c r="BB877" s="44"/>
      <c r="BC877" s="45" t="s">
        <v>16</v>
      </c>
      <c r="BD877" s="46" t="str">
        <f>IF(VLOOKUP(BC877,βοηθητικό!$J$2:$N$354,3,FALSE)="","",VLOOKUP(BC877,βοηθητικό!$J$2:$N$354,3,FALSE))</f>
        <v>_</v>
      </c>
      <c r="BE877" s="47"/>
      <c r="BF877" s="42" t="s">
        <v>16</v>
      </c>
      <c r="BG877" s="43" t="str">
        <f>IF(VLOOKUP(BF877,βοηθητικό!$J$2:$N$354,3,FALSE)="","",VLOOKUP(BF877,βοηθητικό!$J$2:$N$354,3,FALSE))</f>
        <v>_</v>
      </c>
      <c r="BH877" s="44"/>
      <c r="BI877" s="45" t="s">
        <v>16</v>
      </c>
      <c r="BJ877" s="46" t="str">
        <f>IF(VLOOKUP(BI877,βοηθητικό!$J$2:$N$354,3,FALSE)="","",VLOOKUP(BI877,βοηθητικό!$J$2:$N$354,3,FALSE))</f>
        <v>_</v>
      </c>
      <c r="BK877" s="47"/>
      <c r="BL877" s="42" t="s">
        <v>16</v>
      </c>
      <c r="BM877" s="43" t="str">
        <f>IF(VLOOKUP(BL877,βοηθητικό!$J$2:$N$354,3,FALSE)="","",VLOOKUP(BL877,βοηθητικό!$J$2:$N$354,3,FALSE))</f>
        <v>_</v>
      </c>
      <c r="BN877" s="44"/>
      <c r="BO877" s="45" t="s">
        <v>16</v>
      </c>
      <c r="BP877" s="46" t="str">
        <f>IF(VLOOKUP(BO877,βοηθητικό!$J$2:$N$354,3,FALSE)="","",VLOOKUP(BO877,βοηθητικό!$J$2:$N$354,3,FALSE))</f>
        <v>_</v>
      </c>
      <c r="BQ877" s="47"/>
      <c r="BR877" s="42" t="s">
        <v>16</v>
      </c>
      <c r="BS877" s="43" t="str">
        <f>IF(VLOOKUP(BR877,βοηθητικό!$J$2:$N$354,3,FALSE)="","",VLOOKUP(BR877,βοηθητικό!$J$2:$N$354,3,FALSE))</f>
        <v>_</v>
      </c>
      <c r="BT877" s="44"/>
      <c r="BU877" s="45" t="s">
        <v>16</v>
      </c>
      <c r="BV877" s="46" t="str">
        <f>IF(VLOOKUP(BU877,βοηθητικό!$J$2:$N$354,3,FALSE)="","",VLOOKUP(BU877,βοηθητικό!$J$2:$N$354,3,FALSE))</f>
        <v>_</v>
      </c>
      <c r="BW877" s="47"/>
      <c r="BX877" s="42" t="s">
        <v>16</v>
      </c>
      <c r="BY877" s="43" t="str">
        <f>IF(VLOOKUP(BX877,βοηθητικό!$J$2:$N$354,3,FALSE)="","",VLOOKUP(BX877,βοηθητικό!$J$2:$N$354,3,FALSE))</f>
        <v>_</v>
      </c>
      <c r="BZ877" s="44"/>
      <c r="CA877" s="45" t="s">
        <v>16</v>
      </c>
      <c r="CB877" s="46" t="str">
        <f>IF(VLOOKUP(CA877,βοηθητικό!$J$2:$N$354,3,FALSE)="","",VLOOKUP(CA877,βοηθητικό!$J$2:$N$354,3,FALSE))</f>
        <v>_</v>
      </c>
      <c r="CC877" s="47"/>
      <c r="CD877" s="42" t="s">
        <v>16</v>
      </c>
      <c r="CE877" s="43" t="str">
        <f>IF(VLOOKUP(CD877,βοηθητικό!$J$2:$N$354,3,FALSE)="","",VLOOKUP(CD877,βοηθητικό!$J$2:$N$354,3,FALSE))</f>
        <v>_</v>
      </c>
      <c r="CF877" s="44"/>
      <c r="CG877" s="45" t="s">
        <v>16</v>
      </c>
      <c r="CH877" s="46" t="str">
        <f>IF(VLOOKUP(CG877,βοηθητικό!$J$2:$N$354,3,FALSE)="","",VLOOKUP(CG877,βοηθητικό!$J$2:$N$354,3,FALSE))</f>
        <v>_</v>
      </c>
      <c r="CI877" s="47"/>
      <c r="CJ877" s="42" t="s">
        <v>16</v>
      </c>
      <c r="CK877" s="43" t="str">
        <f>IF(VLOOKUP(CJ877,βοηθητικό!$J$2:$N$354,3,FALSE)="","",VLOOKUP(CJ877,βοηθητικό!$J$2:$N$354,3,FALSE))</f>
        <v>_</v>
      </c>
      <c r="CL877" s="44"/>
      <c r="CM877" s="45" t="s">
        <v>16</v>
      </c>
      <c r="CN877" s="46" t="str">
        <f>IF(VLOOKUP(CM877,βοηθητικό!$J$2:$N$354,3,FALSE)="","",VLOOKUP(CM877,βοηθητικό!$J$2:$N$354,3,FALSE))</f>
        <v>_</v>
      </c>
      <c r="CO877" s="47"/>
      <c r="CP877" s="42" t="s">
        <v>16</v>
      </c>
      <c r="CQ877" s="43" t="str">
        <f>IF(VLOOKUP(CP877,βοηθητικό!$J$2:$N$354,3,FALSE)="","",VLOOKUP(CP877,βοηθητικό!$J$2:$N$354,3,FALSE))</f>
        <v>_</v>
      </c>
      <c r="CR877" s="44"/>
      <c r="CS877" s="45" t="s">
        <v>16</v>
      </c>
      <c r="CT877" s="46" t="str">
        <f>IF(VLOOKUP(CS877,βοηθητικό!$J$2:$N$354,3,FALSE)="","",VLOOKUP(CS877,βοηθητικό!$J$2:$N$354,3,FALSE))</f>
        <v>_</v>
      </c>
      <c r="CU877" s="47"/>
    </row>
    <row r="878" spans="1:99" x14ac:dyDescent="0.25">
      <c r="A878" s="37">
        <f>--SUBTOTAL(3,$B$3:B877)</f>
        <v>198</v>
      </c>
      <c r="B878" s="2"/>
      <c r="C878" s="3"/>
      <c r="D878" s="55" t="s">
        <v>18</v>
      </c>
      <c r="E878" s="38" t="s">
        <v>16</v>
      </c>
      <c r="F878" s="38"/>
      <c r="G878" s="39" t="str">
        <f t="shared" si="41"/>
        <v>__</v>
      </c>
      <c r="H878" s="40" t="str">
        <f t="shared" si="42"/>
        <v>FALSE</v>
      </c>
      <c r="I878" s="41">
        <f t="shared" si="43"/>
        <v>0</v>
      </c>
      <c r="J878" s="4" t="s">
        <v>16</v>
      </c>
      <c r="K878" s="43" t="str">
        <f>IF(VLOOKUP(J878,βοηθητικό!$J$2:$N$354,3,FALSE)="","",VLOOKUP(J878,βοηθητικό!$J$2:$N$354,3,FALSE))</f>
        <v>_</v>
      </c>
      <c r="L878" s="44"/>
      <c r="M878" s="5" t="s">
        <v>16</v>
      </c>
      <c r="N878" s="46" t="str">
        <f>IF(VLOOKUP(M878,βοηθητικό!$J$2:$N$354,3,FALSE)="","",VLOOKUP(M878,βοηθητικό!$J$2:$N$354,3,FALSE))</f>
        <v>_</v>
      </c>
      <c r="O878" s="47"/>
      <c r="P878" s="4" t="s">
        <v>16</v>
      </c>
      <c r="Q878" s="43" t="str">
        <f>IF(VLOOKUP(P878,βοηθητικό!$J$2:$N$354,3,FALSE)="","",VLOOKUP(P878,βοηθητικό!$J$2:$N$354,3,FALSE))</f>
        <v>_</v>
      </c>
      <c r="R878" s="44"/>
      <c r="S878" s="5" t="s">
        <v>16</v>
      </c>
      <c r="T878" s="46" t="str">
        <f>IF(VLOOKUP(S878,βοηθητικό!$J$2:$N$354,3,FALSE)="","",VLOOKUP(S878,βοηθητικό!$J$2:$N$354,3,FALSE))</f>
        <v>_</v>
      </c>
      <c r="U878" s="47"/>
      <c r="V878" s="4" t="s">
        <v>16</v>
      </c>
      <c r="W878" s="43" t="str">
        <f>IF(VLOOKUP(V878,βοηθητικό!$J$2:$N$354,3,FALSE)="","",VLOOKUP(V878,βοηθητικό!$J$2:$N$354,3,FALSE))</f>
        <v>_</v>
      </c>
      <c r="X878" s="44"/>
      <c r="Y878" s="5" t="s">
        <v>16</v>
      </c>
      <c r="Z878" s="46" t="str">
        <f>IF(VLOOKUP(Y878,βοηθητικό!$J$2:$N$354,3,FALSE)="","",VLOOKUP(Y878,βοηθητικό!$J$2:$N$354,3,FALSE))</f>
        <v>_</v>
      </c>
      <c r="AA878" s="47"/>
      <c r="AB878" s="4" t="s">
        <v>16</v>
      </c>
      <c r="AC878" s="43" t="str">
        <f>IF(VLOOKUP(AB878,βοηθητικό!$J$2:$N$354,3,FALSE)="","",VLOOKUP(AB878,βοηθητικό!$J$2:$N$354,3,FALSE))</f>
        <v>_</v>
      </c>
      <c r="AD878" s="44"/>
      <c r="AE878" s="5" t="s">
        <v>16</v>
      </c>
      <c r="AF878" s="46" t="str">
        <f>IF(VLOOKUP(AE878,βοηθητικό!$J$2:$N$354,3,FALSE)="","",VLOOKUP(AE878,βοηθητικό!$J$2:$N$354,3,FALSE))</f>
        <v>_</v>
      </c>
      <c r="AG878" s="47"/>
      <c r="AH878" s="4" t="s">
        <v>16</v>
      </c>
      <c r="AI878" s="43" t="str">
        <f>IF(VLOOKUP(AH878,βοηθητικό!$J$2:$N$354,3,FALSE)="","",VLOOKUP(AH878,βοηθητικό!$J$2:$N$354,3,FALSE))</f>
        <v>_</v>
      </c>
      <c r="AJ878" s="44"/>
      <c r="AK878" s="5" t="s">
        <v>16</v>
      </c>
      <c r="AL878" s="46" t="str">
        <f>IF(VLOOKUP(AK878,βοηθητικό!$J$2:$N$354,3,FALSE)="","",VLOOKUP(AK878,βοηθητικό!$J$2:$N$354,3,FALSE))</f>
        <v>_</v>
      </c>
      <c r="AM878" s="47"/>
      <c r="AN878" s="4" t="s">
        <v>16</v>
      </c>
      <c r="AO878" s="43" t="str">
        <f>IF(VLOOKUP(AN878,βοηθητικό!$J$2:$N$354,3,FALSE)="","",VLOOKUP(AN878,βοηθητικό!$J$2:$N$354,3,FALSE))</f>
        <v>_</v>
      </c>
      <c r="AP878" s="44"/>
      <c r="AQ878" s="5" t="s">
        <v>16</v>
      </c>
      <c r="AR878" s="46" t="str">
        <f>IF(VLOOKUP(AQ878,βοηθητικό!$J$2:$N$354,3,FALSE)="","",VLOOKUP(AQ878,βοηθητικό!$J$2:$N$354,3,FALSE))</f>
        <v>_</v>
      </c>
      <c r="AS878" s="47"/>
      <c r="AT878" s="4" t="s">
        <v>16</v>
      </c>
      <c r="AU878" s="43" t="str">
        <f>IF(VLOOKUP(AT878,βοηθητικό!$J$2:$N$354,3,FALSE)="","",VLOOKUP(AT878,βοηθητικό!$J$2:$N$354,3,FALSE))</f>
        <v>_</v>
      </c>
      <c r="AV878" s="44"/>
      <c r="AW878" s="5" t="s">
        <v>16</v>
      </c>
      <c r="AX878" s="46" t="str">
        <f>IF(VLOOKUP(AW878,βοηθητικό!$J$2:$N$354,3,FALSE)="","",VLOOKUP(AW878,βοηθητικό!$J$2:$N$354,3,FALSE))</f>
        <v>_</v>
      </c>
      <c r="AY878" s="47"/>
      <c r="AZ878" s="4" t="s">
        <v>16</v>
      </c>
      <c r="BA878" s="43" t="str">
        <f>IF(VLOOKUP(AZ878,βοηθητικό!$J$2:$N$354,3,FALSE)="","",VLOOKUP(AZ878,βοηθητικό!$J$2:$N$354,3,FALSE))</f>
        <v>_</v>
      </c>
      <c r="BB878" s="44"/>
      <c r="BC878" s="45" t="s">
        <v>16</v>
      </c>
      <c r="BD878" s="46" t="str">
        <f>IF(VLOOKUP(BC878,βοηθητικό!$J$2:$N$354,3,FALSE)="","",VLOOKUP(BC878,βοηθητικό!$J$2:$N$354,3,FALSE))</f>
        <v>_</v>
      </c>
      <c r="BE878" s="47"/>
      <c r="BF878" s="42" t="s">
        <v>16</v>
      </c>
      <c r="BG878" s="43" t="str">
        <f>IF(VLOOKUP(BF878,βοηθητικό!$J$2:$N$354,3,FALSE)="","",VLOOKUP(BF878,βοηθητικό!$J$2:$N$354,3,FALSE))</f>
        <v>_</v>
      </c>
      <c r="BH878" s="44"/>
      <c r="BI878" s="45" t="s">
        <v>16</v>
      </c>
      <c r="BJ878" s="46" t="str">
        <f>IF(VLOOKUP(BI878,βοηθητικό!$J$2:$N$354,3,FALSE)="","",VLOOKUP(BI878,βοηθητικό!$J$2:$N$354,3,FALSE))</f>
        <v>_</v>
      </c>
      <c r="BK878" s="47"/>
      <c r="BL878" s="42" t="s">
        <v>16</v>
      </c>
      <c r="BM878" s="43" t="str">
        <f>IF(VLOOKUP(BL878,βοηθητικό!$J$2:$N$354,3,FALSE)="","",VLOOKUP(BL878,βοηθητικό!$J$2:$N$354,3,FALSE))</f>
        <v>_</v>
      </c>
      <c r="BN878" s="44"/>
      <c r="BO878" s="45" t="s">
        <v>16</v>
      </c>
      <c r="BP878" s="46" t="str">
        <f>IF(VLOOKUP(BO878,βοηθητικό!$J$2:$N$354,3,FALSE)="","",VLOOKUP(BO878,βοηθητικό!$J$2:$N$354,3,FALSE))</f>
        <v>_</v>
      </c>
      <c r="BQ878" s="47"/>
      <c r="BR878" s="42" t="s">
        <v>16</v>
      </c>
      <c r="BS878" s="43" t="str">
        <f>IF(VLOOKUP(BR878,βοηθητικό!$J$2:$N$354,3,FALSE)="","",VLOOKUP(BR878,βοηθητικό!$J$2:$N$354,3,FALSE))</f>
        <v>_</v>
      </c>
      <c r="BT878" s="44"/>
      <c r="BU878" s="45" t="s">
        <v>16</v>
      </c>
      <c r="BV878" s="46" t="str">
        <f>IF(VLOOKUP(BU878,βοηθητικό!$J$2:$N$354,3,FALSE)="","",VLOOKUP(BU878,βοηθητικό!$J$2:$N$354,3,FALSE))</f>
        <v>_</v>
      </c>
      <c r="BW878" s="47"/>
      <c r="BX878" s="42" t="s">
        <v>16</v>
      </c>
      <c r="BY878" s="43" t="str">
        <f>IF(VLOOKUP(BX878,βοηθητικό!$J$2:$N$354,3,FALSE)="","",VLOOKUP(BX878,βοηθητικό!$J$2:$N$354,3,FALSE))</f>
        <v>_</v>
      </c>
      <c r="BZ878" s="44"/>
      <c r="CA878" s="45" t="s">
        <v>16</v>
      </c>
      <c r="CB878" s="46" t="str">
        <f>IF(VLOOKUP(CA878,βοηθητικό!$J$2:$N$354,3,FALSE)="","",VLOOKUP(CA878,βοηθητικό!$J$2:$N$354,3,FALSE))</f>
        <v>_</v>
      </c>
      <c r="CC878" s="47"/>
      <c r="CD878" s="42" t="s">
        <v>16</v>
      </c>
      <c r="CE878" s="43" t="str">
        <f>IF(VLOOKUP(CD878,βοηθητικό!$J$2:$N$354,3,FALSE)="","",VLOOKUP(CD878,βοηθητικό!$J$2:$N$354,3,FALSE))</f>
        <v>_</v>
      </c>
      <c r="CF878" s="44"/>
      <c r="CG878" s="45" t="s">
        <v>16</v>
      </c>
      <c r="CH878" s="46" t="str">
        <f>IF(VLOOKUP(CG878,βοηθητικό!$J$2:$N$354,3,FALSE)="","",VLOOKUP(CG878,βοηθητικό!$J$2:$N$354,3,FALSE))</f>
        <v>_</v>
      </c>
      <c r="CI878" s="47"/>
      <c r="CJ878" s="42" t="s">
        <v>16</v>
      </c>
      <c r="CK878" s="43" t="str">
        <f>IF(VLOOKUP(CJ878,βοηθητικό!$J$2:$N$354,3,FALSE)="","",VLOOKUP(CJ878,βοηθητικό!$J$2:$N$354,3,FALSE))</f>
        <v>_</v>
      </c>
      <c r="CL878" s="44"/>
      <c r="CM878" s="45" t="s">
        <v>16</v>
      </c>
      <c r="CN878" s="46" t="str">
        <f>IF(VLOOKUP(CM878,βοηθητικό!$J$2:$N$354,3,FALSE)="","",VLOOKUP(CM878,βοηθητικό!$J$2:$N$354,3,FALSE))</f>
        <v>_</v>
      </c>
      <c r="CO878" s="47"/>
      <c r="CP878" s="42" t="s">
        <v>16</v>
      </c>
      <c r="CQ878" s="43" t="str">
        <f>IF(VLOOKUP(CP878,βοηθητικό!$J$2:$N$354,3,FALSE)="","",VLOOKUP(CP878,βοηθητικό!$J$2:$N$354,3,FALSE))</f>
        <v>_</v>
      </c>
      <c r="CR878" s="44"/>
      <c r="CS878" s="45" t="s">
        <v>16</v>
      </c>
      <c r="CT878" s="46" t="str">
        <f>IF(VLOOKUP(CS878,βοηθητικό!$J$2:$N$354,3,FALSE)="","",VLOOKUP(CS878,βοηθητικό!$J$2:$N$354,3,FALSE))</f>
        <v>_</v>
      </c>
      <c r="CU878" s="47"/>
    </row>
    <row r="879" spans="1:99" x14ac:dyDescent="0.25">
      <c r="A879" s="37">
        <f>--SUBTOTAL(3,$B$3:B878)</f>
        <v>198</v>
      </c>
      <c r="B879" s="2"/>
      <c r="C879" s="3"/>
      <c r="D879" s="55" t="s">
        <v>18</v>
      </c>
      <c r="E879" s="38" t="s">
        <v>16</v>
      </c>
      <c r="F879" s="38"/>
      <c r="G879" s="39" t="str">
        <f t="shared" si="41"/>
        <v>__</v>
      </c>
      <c r="H879" s="40" t="str">
        <f t="shared" si="42"/>
        <v>FALSE</v>
      </c>
      <c r="I879" s="41">
        <f t="shared" si="43"/>
        <v>0</v>
      </c>
      <c r="J879" s="4" t="s">
        <v>16</v>
      </c>
      <c r="K879" s="43" t="str">
        <f>IF(VLOOKUP(J879,βοηθητικό!$J$2:$N$354,3,FALSE)="","",VLOOKUP(J879,βοηθητικό!$J$2:$N$354,3,FALSE))</f>
        <v>_</v>
      </c>
      <c r="L879" s="44"/>
      <c r="M879" s="5" t="s">
        <v>16</v>
      </c>
      <c r="N879" s="46" t="str">
        <f>IF(VLOOKUP(M879,βοηθητικό!$J$2:$N$354,3,FALSE)="","",VLOOKUP(M879,βοηθητικό!$J$2:$N$354,3,FALSE))</f>
        <v>_</v>
      </c>
      <c r="O879" s="47"/>
      <c r="P879" s="4" t="s">
        <v>16</v>
      </c>
      <c r="Q879" s="43" t="str">
        <f>IF(VLOOKUP(P879,βοηθητικό!$J$2:$N$354,3,FALSE)="","",VLOOKUP(P879,βοηθητικό!$J$2:$N$354,3,FALSE))</f>
        <v>_</v>
      </c>
      <c r="R879" s="44"/>
      <c r="S879" s="5" t="s">
        <v>16</v>
      </c>
      <c r="T879" s="46" t="str">
        <f>IF(VLOOKUP(S879,βοηθητικό!$J$2:$N$354,3,FALSE)="","",VLOOKUP(S879,βοηθητικό!$J$2:$N$354,3,FALSE))</f>
        <v>_</v>
      </c>
      <c r="U879" s="47"/>
      <c r="V879" s="4" t="s">
        <v>16</v>
      </c>
      <c r="W879" s="43" t="str">
        <f>IF(VLOOKUP(V879,βοηθητικό!$J$2:$N$354,3,FALSE)="","",VLOOKUP(V879,βοηθητικό!$J$2:$N$354,3,FALSE))</f>
        <v>_</v>
      </c>
      <c r="X879" s="44"/>
      <c r="Y879" s="5" t="s">
        <v>16</v>
      </c>
      <c r="Z879" s="46" t="str">
        <f>IF(VLOOKUP(Y879,βοηθητικό!$J$2:$N$354,3,FALSE)="","",VLOOKUP(Y879,βοηθητικό!$J$2:$N$354,3,FALSE))</f>
        <v>_</v>
      </c>
      <c r="AA879" s="47"/>
      <c r="AB879" s="4" t="s">
        <v>16</v>
      </c>
      <c r="AC879" s="43" t="str">
        <f>IF(VLOOKUP(AB879,βοηθητικό!$J$2:$N$354,3,FALSE)="","",VLOOKUP(AB879,βοηθητικό!$J$2:$N$354,3,FALSE))</f>
        <v>_</v>
      </c>
      <c r="AD879" s="44"/>
      <c r="AE879" s="5" t="s">
        <v>16</v>
      </c>
      <c r="AF879" s="46" t="str">
        <f>IF(VLOOKUP(AE879,βοηθητικό!$J$2:$N$354,3,FALSE)="","",VLOOKUP(AE879,βοηθητικό!$J$2:$N$354,3,FALSE))</f>
        <v>_</v>
      </c>
      <c r="AG879" s="47"/>
      <c r="AH879" s="4" t="s">
        <v>16</v>
      </c>
      <c r="AI879" s="43" t="str">
        <f>IF(VLOOKUP(AH879,βοηθητικό!$J$2:$N$354,3,FALSE)="","",VLOOKUP(AH879,βοηθητικό!$J$2:$N$354,3,FALSE))</f>
        <v>_</v>
      </c>
      <c r="AJ879" s="44"/>
      <c r="AK879" s="5" t="s">
        <v>16</v>
      </c>
      <c r="AL879" s="46" t="str">
        <f>IF(VLOOKUP(AK879,βοηθητικό!$J$2:$N$354,3,FALSE)="","",VLOOKUP(AK879,βοηθητικό!$J$2:$N$354,3,FALSE))</f>
        <v>_</v>
      </c>
      <c r="AM879" s="47"/>
      <c r="AN879" s="4" t="s">
        <v>16</v>
      </c>
      <c r="AO879" s="43" t="str">
        <f>IF(VLOOKUP(AN879,βοηθητικό!$J$2:$N$354,3,FALSE)="","",VLOOKUP(AN879,βοηθητικό!$J$2:$N$354,3,FALSE))</f>
        <v>_</v>
      </c>
      <c r="AP879" s="44"/>
      <c r="AQ879" s="5" t="s">
        <v>16</v>
      </c>
      <c r="AR879" s="46" t="str">
        <f>IF(VLOOKUP(AQ879,βοηθητικό!$J$2:$N$354,3,FALSE)="","",VLOOKUP(AQ879,βοηθητικό!$J$2:$N$354,3,FALSE))</f>
        <v>_</v>
      </c>
      <c r="AS879" s="47"/>
      <c r="AT879" s="4" t="s">
        <v>16</v>
      </c>
      <c r="AU879" s="43" t="str">
        <f>IF(VLOOKUP(AT879,βοηθητικό!$J$2:$N$354,3,FALSE)="","",VLOOKUP(AT879,βοηθητικό!$J$2:$N$354,3,FALSE))</f>
        <v>_</v>
      </c>
      <c r="AV879" s="44"/>
      <c r="AW879" s="5" t="s">
        <v>16</v>
      </c>
      <c r="AX879" s="46" t="str">
        <f>IF(VLOOKUP(AW879,βοηθητικό!$J$2:$N$354,3,FALSE)="","",VLOOKUP(AW879,βοηθητικό!$J$2:$N$354,3,FALSE))</f>
        <v>_</v>
      </c>
      <c r="AY879" s="47"/>
      <c r="AZ879" s="4" t="s">
        <v>16</v>
      </c>
      <c r="BA879" s="43" t="str">
        <f>IF(VLOOKUP(AZ879,βοηθητικό!$J$2:$N$354,3,FALSE)="","",VLOOKUP(AZ879,βοηθητικό!$J$2:$N$354,3,FALSE))</f>
        <v>_</v>
      </c>
      <c r="BB879" s="44"/>
      <c r="BC879" s="45" t="s">
        <v>16</v>
      </c>
      <c r="BD879" s="46" t="str">
        <f>IF(VLOOKUP(BC879,βοηθητικό!$J$2:$N$354,3,FALSE)="","",VLOOKUP(BC879,βοηθητικό!$J$2:$N$354,3,FALSE))</f>
        <v>_</v>
      </c>
      <c r="BE879" s="47"/>
      <c r="BF879" s="42" t="s">
        <v>16</v>
      </c>
      <c r="BG879" s="43" t="str">
        <f>IF(VLOOKUP(BF879,βοηθητικό!$J$2:$N$354,3,FALSE)="","",VLOOKUP(BF879,βοηθητικό!$J$2:$N$354,3,FALSE))</f>
        <v>_</v>
      </c>
      <c r="BH879" s="44"/>
      <c r="BI879" s="45" t="s">
        <v>16</v>
      </c>
      <c r="BJ879" s="46" t="str">
        <f>IF(VLOOKUP(BI879,βοηθητικό!$J$2:$N$354,3,FALSE)="","",VLOOKUP(BI879,βοηθητικό!$J$2:$N$354,3,FALSE))</f>
        <v>_</v>
      </c>
      <c r="BK879" s="47"/>
      <c r="BL879" s="42" t="s">
        <v>16</v>
      </c>
      <c r="BM879" s="43" t="str">
        <f>IF(VLOOKUP(BL879,βοηθητικό!$J$2:$N$354,3,FALSE)="","",VLOOKUP(BL879,βοηθητικό!$J$2:$N$354,3,FALSE))</f>
        <v>_</v>
      </c>
      <c r="BN879" s="44"/>
      <c r="BO879" s="45" t="s">
        <v>16</v>
      </c>
      <c r="BP879" s="46" t="str">
        <f>IF(VLOOKUP(BO879,βοηθητικό!$J$2:$N$354,3,FALSE)="","",VLOOKUP(BO879,βοηθητικό!$J$2:$N$354,3,FALSE))</f>
        <v>_</v>
      </c>
      <c r="BQ879" s="47"/>
      <c r="BR879" s="42" t="s">
        <v>16</v>
      </c>
      <c r="BS879" s="43" t="str">
        <f>IF(VLOOKUP(BR879,βοηθητικό!$J$2:$N$354,3,FALSE)="","",VLOOKUP(BR879,βοηθητικό!$J$2:$N$354,3,FALSE))</f>
        <v>_</v>
      </c>
      <c r="BT879" s="44"/>
      <c r="BU879" s="45" t="s">
        <v>16</v>
      </c>
      <c r="BV879" s="46" t="str">
        <f>IF(VLOOKUP(BU879,βοηθητικό!$J$2:$N$354,3,FALSE)="","",VLOOKUP(BU879,βοηθητικό!$J$2:$N$354,3,FALSE))</f>
        <v>_</v>
      </c>
      <c r="BW879" s="47"/>
      <c r="BX879" s="42" t="s">
        <v>16</v>
      </c>
      <c r="BY879" s="43" t="str">
        <f>IF(VLOOKUP(BX879,βοηθητικό!$J$2:$N$354,3,FALSE)="","",VLOOKUP(BX879,βοηθητικό!$J$2:$N$354,3,FALSE))</f>
        <v>_</v>
      </c>
      <c r="BZ879" s="44"/>
      <c r="CA879" s="45" t="s">
        <v>16</v>
      </c>
      <c r="CB879" s="46" t="str">
        <f>IF(VLOOKUP(CA879,βοηθητικό!$J$2:$N$354,3,FALSE)="","",VLOOKUP(CA879,βοηθητικό!$J$2:$N$354,3,FALSE))</f>
        <v>_</v>
      </c>
      <c r="CC879" s="47"/>
      <c r="CD879" s="42" t="s">
        <v>16</v>
      </c>
      <c r="CE879" s="43" t="str">
        <f>IF(VLOOKUP(CD879,βοηθητικό!$J$2:$N$354,3,FALSE)="","",VLOOKUP(CD879,βοηθητικό!$J$2:$N$354,3,FALSE))</f>
        <v>_</v>
      </c>
      <c r="CF879" s="44"/>
      <c r="CG879" s="45" t="s">
        <v>16</v>
      </c>
      <c r="CH879" s="46" t="str">
        <f>IF(VLOOKUP(CG879,βοηθητικό!$J$2:$N$354,3,FALSE)="","",VLOOKUP(CG879,βοηθητικό!$J$2:$N$354,3,FALSE))</f>
        <v>_</v>
      </c>
      <c r="CI879" s="47"/>
      <c r="CJ879" s="42" t="s">
        <v>16</v>
      </c>
      <c r="CK879" s="43" t="str">
        <f>IF(VLOOKUP(CJ879,βοηθητικό!$J$2:$N$354,3,FALSE)="","",VLOOKUP(CJ879,βοηθητικό!$J$2:$N$354,3,FALSE))</f>
        <v>_</v>
      </c>
      <c r="CL879" s="44"/>
      <c r="CM879" s="45" t="s">
        <v>16</v>
      </c>
      <c r="CN879" s="46" t="str">
        <f>IF(VLOOKUP(CM879,βοηθητικό!$J$2:$N$354,3,FALSE)="","",VLOOKUP(CM879,βοηθητικό!$J$2:$N$354,3,FALSE))</f>
        <v>_</v>
      </c>
      <c r="CO879" s="47"/>
      <c r="CP879" s="42" t="s">
        <v>16</v>
      </c>
      <c r="CQ879" s="43" t="str">
        <f>IF(VLOOKUP(CP879,βοηθητικό!$J$2:$N$354,3,FALSE)="","",VLOOKUP(CP879,βοηθητικό!$J$2:$N$354,3,FALSE))</f>
        <v>_</v>
      </c>
      <c r="CR879" s="44"/>
      <c r="CS879" s="45" t="s">
        <v>16</v>
      </c>
      <c r="CT879" s="46" t="str">
        <f>IF(VLOOKUP(CS879,βοηθητικό!$J$2:$N$354,3,FALSE)="","",VLOOKUP(CS879,βοηθητικό!$J$2:$N$354,3,FALSE))</f>
        <v>_</v>
      </c>
      <c r="CU879" s="47"/>
    </row>
    <row r="880" spans="1:99" x14ac:dyDescent="0.25">
      <c r="A880" s="37">
        <f>--SUBTOTAL(3,$B$3:B879)</f>
        <v>198</v>
      </c>
      <c r="B880" s="2"/>
      <c r="C880" s="3"/>
      <c r="D880" s="55" t="s">
        <v>18</v>
      </c>
      <c r="E880" s="38" t="s">
        <v>16</v>
      </c>
      <c r="F880" s="38"/>
      <c r="G880" s="39" t="str">
        <f t="shared" si="41"/>
        <v>__</v>
      </c>
      <c r="H880" s="40" t="str">
        <f t="shared" si="42"/>
        <v>FALSE</v>
      </c>
      <c r="I880" s="41">
        <f t="shared" si="43"/>
        <v>0</v>
      </c>
      <c r="J880" s="4" t="s">
        <v>16</v>
      </c>
      <c r="K880" s="43" t="str">
        <f>IF(VLOOKUP(J880,βοηθητικό!$J$2:$N$354,3,FALSE)="","",VLOOKUP(J880,βοηθητικό!$J$2:$N$354,3,FALSE))</f>
        <v>_</v>
      </c>
      <c r="L880" s="44"/>
      <c r="M880" s="5" t="s">
        <v>16</v>
      </c>
      <c r="N880" s="46" t="str">
        <f>IF(VLOOKUP(M880,βοηθητικό!$J$2:$N$354,3,FALSE)="","",VLOOKUP(M880,βοηθητικό!$J$2:$N$354,3,FALSE))</f>
        <v>_</v>
      </c>
      <c r="O880" s="47"/>
      <c r="P880" s="4" t="s">
        <v>16</v>
      </c>
      <c r="Q880" s="43" t="str">
        <f>IF(VLOOKUP(P880,βοηθητικό!$J$2:$N$354,3,FALSE)="","",VLOOKUP(P880,βοηθητικό!$J$2:$N$354,3,FALSE))</f>
        <v>_</v>
      </c>
      <c r="R880" s="44"/>
      <c r="S880" s="5" t="s">
        <v>16</v>
      </c>
      <c r="T880" s="46" t="str">
        <f>IF(VLOOKUP(S880,βοηθητικό!$J$2:$N$354,3,FALSE)="","",VLOOKUP(S880,βοηθητικό!$J$2:$N$354,3,FALSE))</f>
        <v>_</v>
      </c>
      <c r="U880" s="47"/>
      <c r="V880" s="4" t="s">
        <v>16</v>
      </c>
      <c r="W880" s="43" t="str">
        <f>IF(VLOOKUP(V880,βοηθητικό!$J$2:$N$354,3,FALSE)="","",VLOOKUP(V880,βοηθητικό!$J$2:$N$354,3,FALSE))</f>
        <v>_</v>
      </c>
      <c r="X880" s="44"/>
      <c r="Y880" s="5" t="s">
        <v>16</v>
      </c>
      <c r="Z880" s="46" t="str">
        <f>IF(VLOOKUP(Y880,βοηθητικό!$J$2:$N$354,3,FALSE)="","",VLOOKUP(Y880,βοηθητικό!$J$2:$N$354,3,FALSE))</f>
        <v>_</v>
      </c>
      <c r="AA880" s="47"/>
      <c r="AB880" s="4" t="s">
        <v>16</v>
      </c>
      <c r="AC880" s="43" t="str">
        <f>IF(VLOOKUP(AB880,βοηθητικό!$J$2:$N$354,3,FALSE)="","",VLOOKUP(AB880,βοηθητικό!$J$2:$N$354,3,FALSE))</f>
        <v>_</v>
      </c>
      <c r="AD880" s="44"/>
      <c r="AE880" s="5" t="s">
        <v>16</v>
      </c>
      <c r="AF880" s="46" t="str">
        <f>IF(VLOOKUP(AE880,βοηθητικό!$J$2:$N$354,3,FALSE)="","",VLOOKUP(AE880,βοηθητικό!$J$2:$N$354,3,FALSE))</f>
        <v>_</v>
      </c>
      <c r="AG880" s="47"/>
      <c r="AH880" s="4" t="s">
        <v>16</v>
      </c>
      <c r="AI880" s="43" t="str">
        <f>IF(VLOOKUP(AH880,βοηθητικό!$J$2:$N$354,3,FALSE)="","",VLOOKUP(AH880,βοηθητικό!$J$2:$N$354,3,FALSE))</f>
        <v>_</v>
      </c>
      <c r="AJ880" s="44"/>
      <c r="AK880" s="5" t="s">
        <v>16</v>
      </c>
      <c r="AL880" s="46" t="str">
        <f>IF(VLOOKUP(AK880,βοηθητικό!$J$2:$N$354,3,FALSE)="","",VLOOKUP(AK880,βοηθητικό!$J$2:$N$354,3,FALSE))</f>
        <v>_</v>
      </c>
      <c r="AM880" s="47"/>
      <c r="AN880" s="4" t="s">
        <v>16</v>
      </c>
      <c r="AO880" s="43" t="str">
        <f>IF(VLOOKUP(AN880,βοηθητικό!$J$2:$N$354,3,FALSE)="","",VLOOKUP(AN880,βοηθητικό!$J$2:$N$354,3,FALSE))</f>
        <v>_</v>
      </c>
      <c r="AP880" s="44"/>
      <c r="AQ880" s="5" t="s">
        <v>16</v>
      </c>
      <c r="AR880" s="46" t="str">
        <f>IF(VLOOKUP(AQ880,βοηθητικό!$J$2:$N$354,3,FALSE)="","",VLOOKUP(AQ880,βοηθητικό!$J$2:$N$354,3,FALSE))</f>
        <v>_</v>
      </c>
      <c r="AS880" s="47"/>
      <c r="AT880" s="4" t="s">
        <v>16</v>
      </c>
      <c r="AU880" s="43" t="str">
        <f>IF(VLOOKUP(AT880,βοηθητικό!$J$2:$N$354,3,FALSE)="","",VLOOKUP(AT880,βοηθητικό!$J$2:$N$354,3,FALSE))</f>
        <v>_</v>
      </c>
      <c r="AV880" s="44"/>
      <c r="AW880" s="5" t="s">
        <v>16</v>
      </c>
      <c r="AX880" s="46" t="str">
        <f>IF(VLOOKUP(AW880,βοηθητικό!$J$2:$N$354,3,FALSE)="","",VLOOKUP(AW880,βοηθητικό!$J$2:$N$354,3,FALSE))</f>
        <v>_</v>
      </c>
      <c r="AY880" s="47"/>
      <c r="AZ880" s="4" t="s">
        <v>16</v>
      </c>
      <c r="BA880" s="43" t="str">
        <f>IF(VLOOKUP(AZ880,βοηθητικό!$J$2:$N$354,3,FALSE)="","",VLOOKUP(AZ880,βοηθητικό!$J$2:$N$354,3,FALSE))</f>
        <v>_</v>
      </c>
      <c r="BB880" s="44"/>
      <c r="BC880" s="45" t="s">
        <v>16</v>
      </c>
      <c r="BD880" s="46" t="str">
        <f>IF(VLOOKUP(BC880,βοηθητικό!$J$2:$N$354,3,FALSE)="","",VLOOKUP(BC880,βοηθητικό!$J$2:$N$354,3,FALSE))</f>
        <v>_</v>
      </c>
      <c r="BE880" s="47"/>
      <c r="BF880" s="42" t="s">
        <v>16</v>
      </c>
      <c r="BG880" s="43" t="str">
        <f>IF(VLOOKUP(BF880,βοηθητικό!$J$2:$N$354,3,FALSE)="","",VLOOKUP(BF880,βοηθητικό!$J$2:$N$354,3,FALSE))</f>
        <v>_</v>
      </c>
      <c r="BH880" s="44"/>
      <c r="BI880" s="45" t="s">
        <v>16</v>
      </c>
      <c r="BJ880" s="46" t="str">
        <f>IF(VLOOKUP(BI880,βοηθητικό!$J$2:$N$354,3,FALSE)="","",VLOOKUP(BI880,βοηθητικό!$J$2:$N$354,3,FALSE))</f>
        <v>_</v>
      </c>
      <c r="BK880" s="47"/>
      <c r="BL880" s="42" t="s">
        <v>16</v>
      </c>
      <c r="BM880" s="43" t="str">
        <f>IF(VLOOKUP(BL880,βοηθητικό!$J$2:$N$354,3,FALSE)="","",VLOOKUP(BL880,βοηθητικό!$J$2:$N$354,3,FALSE))</f>
        <v>_</v>
      </c>
      <c r="BN880" s="44"/>
      <c r="BO880" s="45" t="s">
        <v>16</v>
      </c>
      <c r="BP880" s="46" t="str">
        <f>IF(VLOOKUP(BO880,βοηθητικό!$J$2:$N$354,3,FALSE)="","",VLOOKUP(BO880,βοηθητικό!$J$2:$N$354,3,FALSE))</f>
        <v>_</v>
      </c>
      <c r="BQ880" s="47"/>
      <c r="BR880" s="42" t="s">
        <v>16</v>
      </c>
      <c r="BS880" s="43" t="str">
        <f>IF(VLOOKUP(BR880,βοηθητικό!$J$2:$N$354,3,FALSE)="","",VLOOKUP(BR880,βοηθητικό!$J$2:$N$354,3,FALSE))</f>
        <v>_</v>
      </c>
      <c r="BT880" s="44"/>
      <c r="BU880" s="45" t="s">
        <v>16</v>
      </c>
      <c r="BV880" s="46" t="str">
        <f>IF(VLOOKUP(BU880,βοηθητικό!$J$2:$N$354,3,FALSE)="","",VLOOKUP(BU880,βοηθητικό!$J$2:$N$354,3,FALSE))</f>
        <v>_</v>
      </c>
      <c r="BW880" s="47"/>
      <c r="BX880" s="42" t="s">
        <v>16</v>
      </c>
      <c r="BY880" s="43" t="str">
        <f>IF(VLOOKUP(BX880,βοηθητικό!$J$2:$N$354,3,FALSE)="","",VLOOKUP(BX880,βοηθητικό!$J$2:$N$354,3,FALSE))</f>
        <v>_</v>
      </c>
      <c r="BZ880" s="44"/>
      <c r="CA880" s="45" t="s">
        <v>16</v>
      </c>
      <c r="CB880" s="46" t="str">
        <f>IF(VLOOKUP(CA880,βοηθητικό!$J$2:$N$354,3,FALSE)="","",VLOOKUP(CA880,βοηθητικό!$J$2:$N$354,3,FALSE))</f>
        <v>_</v>
      </c>
      <c r="CC880" s="47"/>
      <c r="CD880" s="42" t="s">
        <v>16</v>
      </c>
      <c r="CE880" s="43" t="str">
        <f>IF(VLOOKUP(CD880,βοηθητικό!$J$2:$N$354,3,FALSE)="","",VLOOKUP(CD880,βοηθητικό!$J$2:$N$354,3,FALSE))</f>
        <v>_</v>
      </c>
      <c r="CF880" s="44"/>
      <c r="CG880" s="45" t="s">
        <v>16</v>
      </c>
      <c r="CH880" s="46" t="str">
        <f>IF(VLOOKUP(CG880,βοηθητικό!$J$2:$N$354,3,FALSE)="","",VLOOKUP(CG880,βοηθητικό!$J$2:$N$354,3,FALSE))</f>
        <v>_</v>
      </c>
      <c r="CI880" s="47"/>
      <c r="CJ880" s="42" t="s">
        <v>16</v>
      </c>
      <c r="CK880" s="43" t="str">
        <f>IF(VLOOKUP(CJ880,βοηθητικό!$J$2:$N$354,3,FALSE)="","",VLOOKUP(CJ880,βοηθητικό!$J$2:$N$354,3,FALSE))</f>
        <v>_</v>
      </c>
      <c r="CL880" s="44"/>
      <c r="CM880" s="45" t="s">
        <v>16</v>
      </c>
      <c r="CN880" s="46" t="str">
        <f>IF(VLOOKUP(CM880,βοηθητικό!$J$2:$N$354,3,FALSE)="","",VLOOKUP(CM880,βοηθητικό!$J$2:$N$354,3,FALSE))</f>
        <v>_</v>
      </c>
      <c r="CO880" s="47"/>
      <c r="CP880" s="42" t="s">
        <v>16</v>
      </c>
      <c r="CQ880" s="43" t="str">
        <f>IF(VLOOKUP(CP880,βοηθητικό!$J$2:$N$354,3,FALSE)="","",VLOOKUP(CP880,βοηθητικό!$J$2:$N$354,3,FALSE))</f>
        <v>_</v>
      </c>
      <c r="CR880" s="44"/>
      <c r="CS880" s="45" t="s">
        <v>16</v>
      </c>
      <c r="CT880" s="46" t="str">
        <f>IF(VLOOKUP(CS880,βοηθητικό!$J$2:$N$354,3,FALSE)="","",VLOOKUP(CS880,βοηθητικό!$J$2:$N$354,3,FALSE))</f>
        <v>_</v>
      </c>
      <c r="CU880" s="47"/>
    </row>
    <row r="881" spans="1:99" x14ac:dyDescent="0.25">
      <c r="A881" s="37">
        <f>--SUBTOTAL(3,$B$3:B880)</f>
        <v>198</v>
      </c>
      <c r="B881" s="2"/>
      <c r="C881" s="3"/>
      <c r="D881" s="55" t="s">
        <v>18</v>
      </c>
      <c r="E881" s="38" t="s">
        <v>16</v>
      </c>
      <c r="F881" s="38"/>
      <c r="G881" s="39" t="str">
        <f t="shared" si="41"/>
        <v>__</v>
      </c>
      <c r="H881" s="40" t="str">
        <f t="shared" si="42"/>
        <v>FALSE</v>
      </c>
      <c r="I881" s="41">
        <f t="shared" si="43"/>
        <v>0</v>
      </c>
      <c r="J881" s="4" t="s">
        <v>16</v>
      </c>
      <c r="K881" s="43" t="str">
        <f>IF(VLOOKUP(J881,βοηθητικό!$J$2:$N$354,3,FALSE)="","",VLOOKUP(J881,βοηθητικό!$J$2:$N$354,3,FALSE))</f>
        <v>_</v>
      </c>
      <c r="L881" s="44"/>
      <c r="M881" s="5" t="s">
        <v>16</v>
      </c>
      <c r="N881" s="46" t="str">
        <f>IF(VLOOKUP(M881,βοηθητικό!$J$2:$N$354,3,FALSE)="","",VLOOKUP(M881,βοηθητικό!$J$2:$N$354,3,FALSE))</f>
        <v>_</v>
      </c>
      <c r="O881" s="47"/>
      <c r="P881" s="4" t="s">
        <v>16</v>
      </c>
      <c r="Q881" s="43" t="str">
        <f>IF(VLOOKUP(P881,βοηθητικό!$J$2:$N$354,3,FALSE)="","",VLOOKUP(P881,βοηθητικό!$J$2:$N$354,3,FALSE))</f>
        <v>_</v>
      </c>
      <c r="R881" s="44"/>
      <c r="S881" s="5" t="s">
        <v>16</v>
      </c>
      <c r="T881" s="46" t="str">
        <f>IF(VLOOKUP(S881,βοηθητικό!$J$2:$N$354,3,FALSE)="","",VLOOKUP(S881,βοηθητικό!$J$2:$N$354,3,FALSE))</f>
        <v>_</v>
      </c>
      <c r="U881" s="47"/>
      <c r="V881" s="4" t="s">
        <v>16</v>
      </c>
      <c r="W881" s="43" t="str">
        <f>IF(VLOOKUP(V881,βοηθητικό!$J$2:$N$354,3,FALSE)="","",VLOOKUP(V881,βοηθητικό!$J$2:$N$354,3,FALSE))</f>
        <v>_</v>
      </c>
      <c r="X881" s="44"/>
      <c r="Y881" s="5" t="s">
        <v>16</v>
      </c>
      <c r="Z881" s="46" t="str">
        <f>IF(VLOOKUP(Y881,βοηθητικό!$J$2:$N$354,3,FALSE)="","",VLOOKUP(Y881,βοηθητικό!$J$2:$N$354,3,FALSE))</f>
        <v>_</v>
      </c>
      <c r="AA881" s="47"/>
      <c r="AB881" s="4" t="s">
        <v>16</v>
      </c>
      <c r="AC881" s="43" t="str">
        <f>IF(VLOOKUP(AB881,βοηθητικό!$J$2:$N$354,3,FALSE)="","",VLOOKUP(AB881,βοηθητικό!$J$2:$N$354,3,FALSE))</f>
        <v>_</v>
      </c>
      <c r="AD881" s="44"/>
      <c r="AE881" s="5" t="s">
        <v>16</v>
      </c>
      <c r="AF881" s="46" t="str">
        <f>IF(VLOOKUP(AE881,βοηθητικό!$J$2:$N$354,3,FALSE)="","",VLOOKUP(AE881,βοηθητικό!$J$2:$N$354,3,FALSE))</f>
        <v>_</v>
      </c>
      <c r="AG881" s="47"/>
      <c r="AH881" s="4" t="s">
        <v>16</v>
      </c>
      <c r="AI881" s="43" t="str">
        <f>IF(VLOOKUP(AH881,βοηθητικό!$J$2:$N$354,3,FALSE)="","",VLOOKUP(AH881,βοηθητικό!$J$2:$N$354,3,FALSE))</f>
        <v>_</v>
      </c>
      <c r="AJ881" s="44"/>
      <c r="AK881" s="5" t="s">
        <v>16</v>
      </c>
      <c r="AL881" s="46" t="str">
        <f>IF(VLOOKUP(AK881,βοηθητικό!$J$2:$N$354,3,FALSE)="","",VLOOKUP(AK881,βοηθητικό!$J$2:$N$354,3,FALSE))</f>
        <v>_</v>
      </c>
      <c r="AM881" s="47"/>
      <c r="AN881" s="4" t="s">
        <v>16</v>
      </c>
      <c r="AO881" s="43" t="str">
        <f>IF(VLOOKUP(AN881,βοηθητικό!$J$2:$N$354,3,FALSE)="","",VLOOKUP(AN881,βοηθητικό!$J$2:$N$354,3,FALSE))</f>
        <v>_</v>
      </c>
      <c r="AP881" s="44"/>
      <c r="AQ881" s="5" t="s">
        <v>16</v>
      </c>
      <c r="AR881" s="46" t="str">
        <f>IF(VLOOKUP(AQ881,βοηθητικό!$J$2:$N$354,3,FALSE)="","",VLOOKUP(AQ881,βοηθητικό!$J$2:$N$354,3,FALSE))</f>
        <v>_</v>
      </c>
      <c r="AS881" s="47"/>
      <c r="AT881" s="4" t="s">
        <v>16</v>
      </c>
      <c r="AU881" s="43" t="str">
        <f>IF(VLOOKUP(AT881,βοηθητικό!$J$2:$N$354,3,FALSE)="","",VLOOKUP(AT881,βοηθητικό!$J$2:$N$354,3,FALSE))</f>
        <v>_</v>
      </c>
      <c r="AV881" s="44"/>
      <c r="AW881" s="5" t="s">
        <v>16</v>
      </c>
      <c r="AX881" s="46" t="str">
        <f>IF(VLOOKUP(AW881,βοηθητικό!$J$2:$N$354,3,FALSE)="","",VLOOKUP(AW881,βοηθητικό!$J$2:$N$354,3,FALSE))</f>
        <v>_</v>
      </c>
      <c r="AY881" s="47"/>
      <c r="AZ881" s="4" t="s">
        <v>16</v>
      </c>
      <c r="BA881" s="43" t="str">
        <f>IF(VLOOKUP(AZ881,βοηθητικό!$J$2:$N$354,3,FALSE)="","",VLOOKUP(AZ881,βοηθητικό!$J$2:$N$354,3,FALSE))</f>
        <v>_</v>
      </c>
      <c r="BB881" s="44"/>
      <c r="BC881" s="45" t="s">
        <v>16</v>
      </c>
      <c r="BD881" s="46" t="str">
        <f>IF(VLOOKUP(BC881,βοηθητικό!$J$2:$N$354,3,FALSE)="","",VLOOKUP(BC881,βοηθητικό!$J$2:$N$354,3,FALSE))</f>
        <v>_</v>
      </c>
      <c r="BE881" s="47"/>
      <c r="BF881" s="42" t="s">
        <v>16</v>
      </c>
      <c r="BG881" s="43" t="str">
        <f>IF(VLOOKUP(BF881,βοηθητικό!$J$2:$N$354,3,FALSE)="","",VLOOKUP(BF881,βοηθητικό!$J$2:$N$354,3,FALSE))</f>
        <v>_</v>
      </c>
      <c r="BH881" s="44"/>
      <c r="BI881" s="45" t="s">
        <v>16</v>
      </c>
      <c r="BJ881" s="46" t="str">
        <f>IF(VLOOKUP(BI881,βοηθητικό!$J$2:$N$354,3,FALSE)="","",VLOOKUP(BI881,βοηθητικό!$J$2:$N$354,3,FALSE))</f>
        <v>_</v>
      </c>
      <c r="BK881" s="47"/>
      <c r="BL881" s="42" t="s">
        <v>16</v>
      </c>
      <c r="BM881" s="43" t="str">
        <f>IF(VLOOKUP(BL881,βοηθητικό!$J$2:$N$354,3,FALSE)="","",VLOOKUP(BL881,βοηθητικό!$J$2:$N$354,3,FALSE))</f>
        <v>_</v>
      </c>
      <c r="BN881" s="44"/>
      <c r="BO881" s="45" t="s">
        <v>16</v>
      </c>
      <c r="BP881" s="46" t="str">
        <f>IF(VLOOKUP(BO881,βοηθητικό!$J$2:$N$354,3,FALSE)="","",VLOOKUP(BO881,βοηθητικό!$J$2:$N$354,3,FALSE))</f>
        <v>_</v>
      </c>
      <c r="BQ881" s="47"/>
      <c r="BR881" s="42" t="s">
        <v>16</v>
      </c>
      <c r="BS881" s="43" t="str">
        <f>IF(VLOOKUP(BR881,βοηθητικό!$J$2:$N$354,3,FALSE)="","",VLOOKUP(BR881,βοηθητικό!$J$2:$N$354,3,FALSE))</f>
        <v>_</v>
      </c>
      <c r="BT881" s="44"/>
      <c r="BU881" s="45" t="s">
        <v>16</v>
      </c>
      <c r="BV881" s="46" t="str">
        <f>IF(VLOOKUP(BU881,βοηθητικό!$J$2:$N$354,3,FALSE)="","",VLOOKUP(BU881,βοηθητικό!$J$2:$N$354,3,FALSE))</f>
        <v>_</v>
      </c>
      <c r="BW881" s="47"/>
      <c r="BX881" s="42" t="s">
        <v>16</v>
      </c>
      <c r="BY881" s="43" t="str">
        <f>IF(VLOOKUP(BX881,βοηθητικό!$J$2:$N$354,3,FALSE)="","",VLOOKUP(BX881,βοηθητικό!$J$2:$N$354,3,FALSE))</f>
        <v>_</v>
      </c>
      <c r="BZ881" s="44"/>
      <c r="CA881" s="45" t="s">
        <v>16</v>
      </c>
      <c r="CB881" s="46" t="str">
        <f>IF(VLOOKUP(CA881,βοηθητικό!$J$2:$N$354,3,FALSE)="","",VLOOKUP(CA881,βοηθητικό!$J$2:$N$354,3,FALSE))</f>
        <v>_</v>
      </c>
      <c r="CC881" s="47"/>
      <c r="CD881" s="42" t="s">
        <v>16</v>
      </c>
      <c r="CE881" s="43" t="str">
        <f>IF(VLOOKUP(CD881,βοηθητικό!$J$2:$N$354,3,FALSE)="","",VLOOKUP(CD881,βοηθητικό!$J$2:$N$354,3,FALSE))</f>
        <v>_</v>
      </c>
      <c r="CF881" s="44"/>
      <c r="CG881" s="45" t="s">
        <v>16</v>
      </c>
      <c r="CH881" s="46" t="str">
        <f>IF(VLOOKUP(CG881,βοηθητικό!$J$2:$N$354,3,FALSE)="","",VLOOKUP(CG881,βοηθητικό!$J$2:$N$354,3,FALSE))</f>
        <v>_</v>
      </c>
      <c r="CI881" s="47"/>
      <c r="CJ881" s="42" t="s">
        <v>16</v>
      </c>
      <c r="CK881" s="43" t="str">
        <f>IF(VLOOKUP(CJ881,βοηθητικό!$J$2:$N$354,3,FALSE)="","",VLOOKUP(CJ881,βοηθητικό!$J$2:$N$354,3,FALSE))</f>
        <v>_</v>
      </c>
      <c r="CL881" s="44"/>
      <c r="CM881" s="45" t="s">
        <v>16</v>
      </c>
      <c r="CN881" s="46" t="str">
        <f>IF(VLOOKUP(CM881,βοηθητικό!$J$2:$N$354,3,FALSE)="","",VLOOKUP(CM881,βοηθητικό!$J$2:$N$354,3,FALSE))</f>
        <v>_</v>
      </c>
      <c r="CO881" s="47"/>
      <c r="CP881" s="42" t="s">
        <v>16</v>
      </c>
      <c r="CQ881" s="43" t="str">
        <f>IF(VLOOKUP(CP881,βοηθητικό!$J$2:$N$354,3,FALSE)="","",VLOOKUP(CP881,βοηθητικό!$J$2:$N$354,3,FALSE))</f>
        <v>_</v>
      </c>
      <c r="CR881" s="44"/>
      <c r="CS881" s="45" t="s">
        <v>16</v>
      </c>
      <c r="CT881" s="46" t="str">
        <f>IF(VLOOKUP(CS881,βοηθητικό!$J$2:$N$354,3,FALSE)="","",VLOOKUP(CS881,βοηθητικό!$J$2:$N$354,3,FALSE))</f>
        <v>_</v>
      </c>
      <c r="CU881" s="47"/>
    </row>
    <row r="882" spans="1:99" x14ac:dyDescent="0.25">
      <c r="A882" s="37">
        <f>--SUBTOTAL(3,$B$3:B881)</f>
        <v>198</v>
      </c>
      <c r="B882" s="2"/>
      <c r="C882" s="3"/>
      <c r="D882" s="55" t="s">
        <v>18</v>
      </c>
      <c r="E882" s="38" t="s">
        <v>16</v>
      </c>
      <c r="F882" s="38"/>
      <c r="G882" s="39" t="str">
        <f t="shared" si="41"/>
        <v>__</v>
      </c>
      <c r="H882" s="40" t="str">
        <f t="shared" si="42"/>
        <v>FALSE</v>
      </c>
      <c r="I882" s="41">
        <f t="shared" si="43"/>
        <v>0</v>
      </c>
      <c r="J882" s="4" t="s">
        <v>16</v>
      </c>
      <c r="K882" s="43" t="str">
        <f>IF(VLOOKUP(J882,βοηθητικό!$J$2:$N$354,3,FALSE)="","",VLOOKUP(J882,βοηθητικό!$J$2:$N$354,3,FALSE))</f>
        <v>_</v>
      </c>
      <c r="L882" s="44"/>
      <c r="M882" s="5" t="s">
        <v>16</v>
      </c>
      <c r="N882" s="46" t="str">
        <f>IF(VLOOKUP(M882,βοηθητικό!$J$2:$N$354,3,FALSE)="","",VLOOKUP(M882,βοηθητικό!$J$2:$N$354,3,FALSE))</f>
        <v>_</v>
      </c>
      <c r="O882" s="47"/>
      <c r="P882" s="4" t="s">
        <v>16</v>
      </c>
      <c r="Q882" s="43" t="str">
        <f>IF(VLOOKUP(P882,βοηθητικό!$J$2:$N$354,3,FALSE)="","",VLOOKUP(P882,βοηθητικό!$J$2:$N$354,3,FALSE))</f>
        <v>_</v>
      </c>
      <c r="R882" s="44"/>
      <c r="S882" s="5" t="s">
        <v>16</v>
      </c>
      <c r="T882" s="46" t="str">
        <f>IF(VLOOKUP(S882,βοηθητικό!$J$2:$N$354,3,FALSE)="","",VLOOKUP(S882,βοηθητικό!$J$2:$N$354,3,FALSE))</f>
        <v>_</v>
      </c>
      <c r="U882" s="47"/>
      <c r="V882" s="4" t="s">
        <v>16</v>
      </c>
      <c r="W882" s="43" t="str">
        <f>IF(VLOOKUP(V882,βοηθητικό!$J$2:$N$354,3,FALSE)="","",VLOOKUP(V882,βοηθητικό!$J$2:$N$354,3,FALSE))</f>
        <v>_</v>
      </c>
      <c r="X882" s="44"/>
      <c r="Y882" s="5" t="s">
        <v>16</v>
      </c>
      <c r="Z882" s="46" t="str">
        <f>IF(VLOOKUP(Y882,βοηθητικό!$J$2:$N$354,3,FALSE)="","",VLOOKUP(Y882,βοηθητικό!$J$2:$N$354,3,FALSE))</f>
        <v>_</v>
      </c>
      <c r="AA882" s="47"/>
      <c r="AB882" s="4" t="s">
        <v>16</v>
      </c>
      <c r="AC882" s="43" t="str">
        <f>IF(VLOOKUP(AB882,βοηθητικό!$J$2:$N$354,3,FALSE)="","",VLOOKUP(AB882,βοηθητικό!$J$2:$N$354,3,FALSE))</f>
        <v>_</v>
      </c>
      <c r="AD882" s="44"/>
      <c r="AE882" s="5" t="s">
        <v>16</v>
      </c>
      <c r="AF882" s="46" t="str">
        <f>IF(VLOOKUP(AE882,βοηθητικό!$J$2:$N$354,3,FALSE)="","",VLOOKUP(AE882,βοηθητικό!$J$2:$N$354,3,FALSE))</f>
        <v>_</v>
      </c>
      <c r="AG882" s="47"/>
      <c r="AH882" s="4" t="s">
        <v>16</v>
      </c>
      <c r="AI882" s="43" t="str">
        <f>IF(VLOOKUP(AH882,βοηθητικό!$J$2:$N$354,3,FALSE)="","",VLOOKUP(AH882,βοηθητικό!$J$2:$N$354,3,FALSE))</f>
        <v>_</v>
      </c>
      <c r="AJ882" s="44"/>
      <c r="AK882" s="5" t="s">
        <v>16</v>
      </c>
      <c r="AL882" s="46" t="str">
        <f>IF(VLOOKUP(AK882,βοηθητικό!$J$2:$N$354,3,FALSE)="","",VLOOKUP(AK882,βοηθητικό!$J$2:$N$354,3,FALSE))</f>
        <v>_</v>
      </c>
      <c r="AM882" s="47"/>
      <c r="AN882" s="4" t="s">
        <v>16</v>
      </c>
      <c r="AO882" s="43" t="str">
        <f>IF(VLOOKUP(AN882,βοηθητικό!$J$2:$N$354,3,FALSE)="","",VLOOKUP(AN882,βοηθητικό!$J$2:$N$354,3,FALSE))</f>
        <v>_</v>
      </c>
      <c r="AP882" s="44"/>
      <c r="AQ882" s="5" t="s">
        <v>16</v>
      </c>
      <c r="AR882" s="46" t="str">
        <f>IF(VLOOKUP(AQ882,βοηθητικό!$J$2:$N$354,3,FALSE)="","",VLOOKUP(AQ882,βοηθητικό!$J$2:$N$354,3,FALSE))</f>
        <v>_</v>
      </c>
      <c r="AS882" s="47"/>
      <c r="AT882" s="4" t="s">
        <v>16</v>
      </c>
      <c r="AU882" s="43" t="str">
        <f>IF(VLOOKUP(AT882,βοηθητικό!$J$2:$N$354,3,FALSE)="","",VLOOKUP(AT882,βοηθητικό!$J$2:$N$354,3,FALSE))</f>
        <v>_</v>
      </c>
      <c r="AV882" s="44"/>
      <c r="AW882" s="5" t="s">
        <v>16</v>
      </c>
      <c r="AX882" s="46" t="str">
        <f>IF(VLOOKUP(AW882,βοηθητικό!$J$2:$N$354,3,FALSE)="","",VLOOKUP(AW882,βοηθητικό!$J$2:$N$354,3,FALSE))</f>
        <v>_</v>
      </c>
      <c r="AY882" s="47"/>
      <c r="AZ882" s="4" t="s">
        <v>16</v>
      </c>
      <c r="BA882" s="43" t="str">
        <f>IF(VLOOKUP(AZ882,βοηθητικό!$J$2:$N$354,3,FALSE)="","",VLOOKUP(AZ882,βοηθητικό!$J$2:$N$354,3,FALSE))</f>
        <v>_</v>
      </c>
      <c r="BB882" s="44"/>
      <c r="BC882" s="45" t="s">
        <v>16</v>
      </c>
      <c r="BD882" s="46" t="str">
        <f>IF(VLOOKUP(BC882,βοηθητικό!$J$2:$N$354,3,FALSE)="","",VLOOKUP(BC882,βοηθητικό!$J$2:$N$354,3,FALSE))</f>
        <v>_</v>
      </c>
      <c r="BE882" s="47"/>
      <c r="BF882" s="42" t="s">
        <v>16</v>
      </c>
      <c r="BG882" s="43" t="str">
        <f>IF(VLOOKUP(BF882,βοηθητικό!$J$2:$N$354,3,FALSE)="","",VLOOKUP(BF882,βοηθητικό!$J$2:$N$354,3,FALSE))</f>
        <v>_</v>
      </c>
      <c r="BH882" s="44"/>
      <c r="BI882" s="45" t="s">
        <v>16</v>
      </c>
      <c r="BJ882" s="46" t="str">
        <f>IF(VLOOKUP(BI882,βοηθητικό!$J$2:$N$354,3,FALSE)="","",VLOOKUP(BI882,βοηθητικό!$J$2:$N$354,3,FALSE))</f>
        <v>_</v>
      </c>
      <c r="BK882" s="47"/>
      <c r="BL882" s="42" t="s">
        <v>16</v>
      </c>
      <c r="BM882" s="43" t="str">
        <f>IF(VLOOKUP(BL882,βοηθητικό!$J$2:$N$354,3,FALSE)="","",VLOOKUP(BL882,βοηθητικό!$J$2:$N$354,3,FALSE))</f>
        <v>_</v>
      </c>
      <c r="BN882" s="44"/>
      <c r="BO882" s="45" t="s">
        <v>16</v>
      </c>
      <c r="BP882" s="46" t="str">
        <f>IF(VLOOKUP(BO882,βοηθητικό!$J$2:$N$354,3,FALSE)="","",VLOOKUP(BO882,βοηθητικό!$J$2:$N$354,3,FALSE))</f>
        <v>_</v>
      </c>
      <c r="BQ882" s="47"/>
      <c r="BR882" s="42" t="s">
        <v>16</v>
      </c>
      <c r="BS882" s="43" t="str">
        <f>IF(VLOOKUP(BR882,βοηθητικό!$J$2:$N$354,3,FALSE)="","",VLOOKUP(BR882,βοηθητικό!$J$2:$N$354,3,FALSE))</f>
        <v>_</v>
      </c>
      <c r="BT882" s="44"/>
      <c r="BU882" s="45" t="s">
        <v>16</v>
      </c>
      <c r="BV882" s="46" t="str">
        <f>IF(VLOOKUP(BU882,βοηθητικό!$J$2:$N$354,3,FALSE)="","",VLOOKUP(BU882,βοηθητικό!$J$2:$N$354,3,FALSE))</f>
        <v>_</v>
      </c>
      <c r="BW882" s="47"/>
      <c r="BX882" s="42" t="s">
        <v>16</v>
      </c>
      <c r="BY882" s="43" t="str">
        <f>IF(VLOOKUP(BX882,βοηθητικό!$J$2:$N$354,3,FALSE)="","",VLOOKUP(BX882,βοηθητικό!$J$2:$N$354,3,FALSE))</f>
        <v>_</v>
      </c>
      <c r="BZ882" s="44"/>
      <c r="CA882" s="45" t="s">
        <v>16</v>
      </c>
      <c r="CB882" s="46" t="str">
        <f>IF(VLOOKUP(CA882,βοηθητικό!$J$2:$N$354,3,FALSE)="","",VLOOKUP(CA882,βοηθητικό!$J$2:$N$354,3,FALSE))</f>
        <v>_</v>
      </c>
      <c r="CC882" s="47"/>
      <c r="CD882" s="42" t="s">
        <v>16</v>
      </c>
      <c r="CE882" s="43" t="str">
        <f>IF(VLOOKUP(CD882,βοηθητικό!$J$2:$N$354,3,FALSE)="","",VLOOKUP(CD882,βοηθητικό!$J$2:$N$354,3,FALSE))</f>
        <v>_</v>
      </c>
      <c r="CF882" s="44"/>
      <c r="CG882" s="45" t="s">
        <v>16</v>
      </c>
      <c r="CH882" s="46" t="str">
        <f>IF(VLOOKUP(CG882,βοηθητικό!$J$2:$N$354,3,FALSE)="","",VLOOKUP(CG882,βοηθητικό!$J$2:$N$354,3,FALSE))</f>
        <v>_</v>
      </c>
      <c r="CI882" s="47"/>
      <c r="CJ882" s="42" t="s">
        <v>16</v>
      </c>
      <c r="CK882" s="43" t="str">
        <f>IF(VLOOKUP(CJ882,βοηθητικό!$J$2:$N$354,3,FALSE)="","",VLOOKUP(CJ882,βοηθητικό!$J$2:$N$354,3,FALSE))</f>
        <v>_</v>
      </c>
      <c r="CL882" s="44"/>
      <c r="CM882" s="45" t="s">
        <v>16</v>
      </c>
      <c r="CN882" s="46" t="str">
        <f>IF(VLOOKUP(CM882,βοηθητικό!$J$2:$N$354,3,FALSE)="","",VLOOKUP(CM882,βοηθητικό!$J$2:$N$354,3,FALSE))</f>
        <v>_</v>
      </c>
      <c r="CO882" s="47"/>
      <c r="CP882" s="42" t="s">
        <v>16</v>
      </c>
      <c r="CQ882" s="43" t="str">
        <f>IF(VLOOKUP(CP882,βοηθητικό!$J$2:$N$354,3,FALSE)="","",VLOOKUP(CP882,βοηθητικό!$J$2:$N$354,3,FALSE))</f>
        <v>_</v>
      </c>
      <c r="CR882" s="44"/>
      <c r="CS882" s="45" t="s">
        <v>16</v>
      </c>
      <c r="CT882" s="46" t="str">
        <f>IF(VLOOKUP(CS882,βοηθητικό!$J$2:$N$354,3,FALSE)="","",VLOOKUP(CS882,βοηθητικό!$J$2:$N$354,3,FALSE))</f>
        <v>_</v>
      </c>
      <c r="CU882" s="47"/>
    </row>
    <row r="883" spans="1:99" x14ac:dyDescent="0.25">
      <c r="A883" s="37">
        <f>--SUBTOTAL(3,$B$3:B882)</f>
        <v>198</v>
      </c>
      <c r="B883" s="2"/>
      <c r="C883" s="3"/>
      <c r="D883" s="55" t="s">
        <v>18</v>
      </c>
      <c r="E883" s="38" t="s">
        <v>16</v>
      </c>
      <c r="F883" s="38"/>
      <c r="G883" s="39" t="str">
        <f t="shared" si="41"/>
        <v>__</v>
      </c>
      <c r="H883" s="40" t="str">
        <f t="shared" si="42"/>
        <v>FALSE</v>
      </c>
      <c r="I883" s="41">
        <f t="shared" si="43"/>
        <v>0</v>
      </c>
      <c r="J883" s="4" t="s">
        <v>16</v>
      </c>
      <c r="K883" s="43" t="str">
        <f>IF(VLOOKUP(J883,βοηθητικό!$J$2:$N$354,3,FALSE)="","",VLOOKUP(J883,βοηθητικό!$J$2:$N$354,3,FALSE))</f>
        <v>_</v>
      </c>
      <c r="L883" s="44"/>
      <c r="M883" s="5" t="s">
        <v>16</v>
      </c>
      <c r="N883" s="46" t="str">
        <f>IF(VLOOKUP(M883,βοηθητικό!$J$2:$N$354,3,FALSE)="","",VLOOKUP(M883,βοηθητικό!$J$2:$N$354,3,FALSE))</f>
        <v>_</v>
      </c>
      <c r="O883" s="47"/>
      <c r="P883" s="4" t="s">
        <v>16</v>
      </c>
      <c r="Q883" s="43" t="str">
        <f>IF(VLOOKUP(P883,βοηθητικό!$J$2:$N$354,3,FALSE)="","",VLOOKUP(P883,βοηθητικό!$J$2:$N$354,3,FALSE))</f>
        <v>_</v>
      </c>
      <c r="R883" s="44"/>
      <c r="S883" s="5" t="s">
        <v>16</v>
      </c>
      <c r="T883" s="46" t="str">
        <f>IF(VLOOKUP(S883,βοηθητικό!$J$2:$N$354,3,FALSE)="","",VLOOKUP(S883,βοηθητικό!$J$2:$N$354,3,FALSE))</f>
        <v>_</v>
      </c>
      <c r="U883" s="47"/>
      <c r="V883" s="4" t="s">
        <v>16</v>
      </c>
      <c r="W883" s="43" t="str">
        <f>IF(VLOOKUP(V883,βοηθητικό!$J$2:$N$354,3,FALSE)="","",VLOOKUP(V883,βοηθητικό!$J$2:$N$354,3,FALSE))</f>
        <v>_</v>
      </c>
      <c r="X883" s="44"/>
      <c r="Y883" s="5" t="s">
        <v>16</v>
      </c>
      <c r="Z883" s="46" t="str">
        <f>IF(VLOOKUP(Y883,βοηθητικό!$J$2:$N$354,3,FALSE)="","",VLOOKUP(Y883,βοηθητικό!$J$2:$N$354,3,FALSE))</f>
        <v>_</v>
      </c>
      <c r="AA883" s="47"/>
      <c r="AB883" s="4" t="s">
        <v>16</v>
      </c>
      <c r="AC883" s="43" t="str">
        <f>IF(VLOOKUP(AB883,βοηθητικό!$J$2:$N$354,3,FALSE)="","",VLOOKUP(AB883,βοηθητικό!$J$2:$N$354,3,FALSE))</f>
        <v>_</v>
      </c>
      <c r="AD883" s="44"/>
      <c r="AE883" s="5" t="s">
        <v>16</v>
      </c>
      <c r="AF883" s="46" t="str">
        <f>IF(VLOOKUP(AE883,βοηθητικό!$J$2:$N$354,3,FALSE)="","",VLOOKUP(AE883,βοηθητικό!$J$2:$N$354,3,FALSE))</f>
        <v>_</v>
      </c>
      <c r="AG883" s="47"/>
      <c r="AH883" s="4" t="s">
        <v>16</v>
      </c>
      <c r="AI883" s="43" t="str">
        <f>IF(VLOOKUP(AH883,βοηθητικό!$J$2:$N$354,3,FALSE)="","",VLOOKUP(AH883,βοηθητικό!$J$2:$N$354,3,FALSE))</f>
        <v>_</v>
      </c>
      <c r="AJ883" s="44"/>
      <c r="AK883" s="5" t="s">
        <v>16</v>
      </c>
      <c r="AL883" s="46" t="str">
        <f>IF(VLOOKUP(AK883,βοηθητικό!$J$2:$N$354,3,FALSE)="","",VLOOKUP(AK883,βοηθητικό!$J$2:$N$354,3,FALSE))</f>
        <v>_</v>
      </c>
      <c r="AM883" s="47"/>
      <c r="AN883" s="4" t="s">
        <v>16</v>
      </c>
      <c r="AO883" s="43" t="str">
        <f>IF(VLOOKUP(AN883,βοηθητικό!$J$2:$N$354,3,FALSE)="","",VLOOKUP(AN883,βοηθητικό!$J$2:$N$354,3,FALSE))</f>
        <v>_</v>
      </c>
      <c r="AP883" s="44"/>
      <c r="AQ883" s="5" t="s">
        <v>16</v>
      </c>
      <c r="AR883" s="46" t="str">
        <f>IF(VLOOKUP(AQ883,βοηθητικό!$J$2:$N$354,3,FALSE)="","",VLOOKUP(AQ883,βοηθητικό!$J$2:$N$354,3,FALSE))</f>
        <v>_</v>
      </c>
      <c r="AS883" s="47"/>
      <c r="AT883" s="4" t="s">
        <v>16</v>
      </c>
      <c r="AU883" s="43" t="str">
        <f>IF(VLOOKUP(AT883,βοηθητικό!$J$2:$N$354,3,FALSE)="","",VLOOKUP(AT883,βοηθητικό!$J$2:$N$354,3,FALSE))</f>
        <v>_</v>
      </c>
      <c r="AV883" s="44"/>
      <c r="AW883" s="5" t="s">
        <v>16</v>
      </c>
      <c r="AX883" s="46" t="str">
        <f>IF(VLOOKUP(AW883,βοηθητικό!$J$2:$N$354,3,FALSE)="","",VLOOKUP(AW883,βοηθητικό!$J$2:$N$354,3,FALSE))</f>
        <v>_</v>
      </c>
      <c r="AY883" s="47"/>
      <c r="AZ883" s="4" t="s">
        <v>16</v>
      </c>
      <c r="BA883" s="43" t="str">
        <f>IF(VLOOKUP(AZ883,βοηθητικό!$J$2:$N$354,3,FALSE)="","",VLOOKUP(AZ883,βοηθητικό!$J$2:$N$354,3,FALSE))</f>
        <v>_</v>
      </c>
      <c r="BB883" s="44"/>
      <c r="BC883" s="45" t="s">
        <v>16</v>
      </c>
      <c r="BD883" s="46" t="str">
        <f>IF(VLOOKUP(BC883,βοηθητικό!$J$2:$N$354,3,FALSE)="","",VLOOKUP(BC883,βοηθητικό!$J$2:$N$354,3,FALSE))</f>
        <v>_</v>
      </c>
      <c r="BE883" s="47"/>
      <c r="BF883" s="42" t="s">
        <v>16</v>
      </c>
      <c r="BG883" s="43" t="str">
        <f>IF(VLOOKUP(BF883,βοηθητικό!$J$2:$N$354,3,FALSE)="","",VLOOKUP(BF883,βοηθητικό!$J$2:$N$354,3,FALSE))</f>
        <v>_</v>
      </c>
      <c r="BH883" s="44"/>
      <c r="BI883" s="45" t="s">
        <v>16</v>
      </c>
      <c r="BJ883" s="46" t="str">
        <f>IF(VLOOKUP(BI883,βοηθητικό!$J$2:$N$354,3,FALSE)="","",VLOOKUP(BI883,βοηθητικό!$J$2:$N$354,3,FALSE))</f>
        <v>_</v>
      </c>
      <c r="BK883" s="47"/>
      <c r="BL883" s="42" t="s">
        <v>16</v>
      </c>
      <c r="BM883" s="43" t="str">
        <f>IF(VLOOKUP(BL883,βοηθητικό!$J$2:$N$354,3,FALSE)="","",VLOOKUP(BL883,βοηθητικό!$J$2:$N$354,3,FALSE))</f>
        <v>_</v>
      </c>
      <c r="BN883" s="44"/>
      <c r="BO883" s="45" t="s">
        <v>16</v>
      </c>
      <c r="BP883" s="46" t="str">
        <f>IF(VLOOKUP(BO883,βοηθητικό!$J$2:$N$354,3,FALSE)="","",VLOOKUP(BO883,βοηθητικό!$J$2:$N$354,3,FALSE))</f>
        <v>_</v>
      </c>
      <c r="BQ883" s="47"/>
      <c r="BR883" s="42" t="s">
        <v>16</v>
      </c>
      <c r="BS883" s="43" t="str">
        <f>IF(VLOOKUP(BR883,βοηθητικό!$J$2:$N$354,3,FALSE)="","",VLOOKUP(BR883,βοηθητικό!$J$2:$N$354,3,FALSE))</f>
        <v>_</v>
      </c>
      <c r="BT883" s="44"/>
      <c r="BU883" s="45" t="s">
        <v>16</v>
      </c>
      <c r="BV883" s="46" t="str">
        <f>IF(VLOOKUP(BU883,βοηθητικό!$J$2:$N$354,3,FALSE)="","",VLOOKUP(BU883,βοηθητικό!$J$2:$N$354,3,FALSE))</f>
        <v>_</v>
      </c>
      <c r="BW883" s="47"/>
      <c r="BX883" s="42" t="s">
        <v>16</v>
      </c>
      <c r="BY883" s="43" t="str">
        <f>IF(VLOOKUP(BX883,βοηθητικό!$J$2:$N$354,3,FALSE)="","",VLOOKUP(BX883,βοηθητικό!$J$2:$N$354,3,FALSE))</f>
        <v>_</v>
      </c>
      <c r="BZ883" s="44"/>
      <c r="CA883" s="45" t="s">
        <v>16</v>
      </c>
      <c r="CB883" s="46" t="str">
        <f>IF(VLOOKUP(CA883,βοηθητικό!$J$2:$N$354,3,FALSE)="","",VLOOKUP(CA883,βοηθητικό!$J$2:$N$354,3,FALSE))</f>
        <v>_</v>
      </c>
      <c r="CC883" s="47"/>
      <c r="CD883" s="42" t="s">
        <v>16</v>
      </c>
      <c r="CE883" s="43" t="str">
        <f>IF(VLOOKUP(CD883,βοηθητικό!$J$2:$N$354,3,FALSE)="","",VLOOKUP(CD883,βοηθητικό!$J$2:$N$354,3,FALSE))</f>
        <v>_</v>
      </c>
      <c r="CF883" s="44"/>
      <c r="CG883" s="45" t="s">
        <v>16</v>
      </c>
      <c r="CH883" s="46" t="str">
        <f>IF(VLOOKUP(CG883,βοηθητικό!$J$2:$N$354,3,FALSE)="","",VLOOKUP(CG883,βοηθητικό!$J$2:$N$354,3,FALSE))</f>
        <v>_</v>
      </c>
      <c r="CI883" s="47"/>
      <c r="CJ883" s="42" t="s">
        <v>16</v>
      </c>
      <c r="CK883" s="43" t="str">
        <f>IF(VLOOKUP(CJ883,βοηθητικό!$J$2:$N$354,3,FALSE)="","",VLOOKUP(CJ883,βοηθητικό!$J$2:$N$354,3,FALSE))</f>
        <v>_</v>
      </c>
      <c r="CL883" s="44"/>
      <c r="CM883" s="45" t="s">
        <v>16</v>
      </c>
      <c r="CN883" s="46" t="str">
        <f>IF(VLOOKUP(CM883,βοηθητικό!$J$2:$N$354,3,FALSE)="","",VLOOKUP(CM883,βοηθητικό!$J$2:$N$354,3,FALSE))</f>
        <v>_</v>
      </c>
      <c r="CO883" s="47"/>
      <c r="CP883" s="42" t="s">
        <v>16</v>
      </c>
      <c r="CQ883" s="43" t="str">
        <f>IF(VLOOKUP(CP883,βοηθητικό!$J$2:$N$354,3,FALSE)="","",VLOOKUP(CP883,βοηθητικό!$J$2:$N$354,3,FALSE))</f>
        <v>_</v>
      </c>
      <c r="CR883" s="44"/>
      <c r="CS883" s="45" t="s">
        <v>16</v>
      </c>
      <c r="CT883" s="46" t="str">
        <f>IF(VLOOKUP(CS883,βοηθητικό!$J$2:$N$354,3,FALSE)="","",VLOOKUP(CS883,βοηθητικό!$J$2:$N$354,3,FALSE))</f>
        <v>_</v>
      </c>
      <c r="CU883" s="47"/>
    </row>
    <row r="884" spans="1:99" x14ac:dyDescent="0.25">
      <c r="A884" s="37">
        <f>--SUBTOTAL(3,$B$3:B883)</f>
        <v>198</v>
      </c>
      <c r="B884" s="2"/>
      <c r="C884" s="3"/>
      <c r="D884" s="55" t="s">
        <v>18</v>
      </c>
      <c r="E884" s="38" t="s">
        <v>16</v>
      </c>
      <c r="F884" s="38"/>
      <c r="G884" s="39" t="str">
        <f t="shared" si="41"/>
        <v>__</v>
      </c>
      <c r="H884" s="40" t="str">
        <f t="shared" si="42"/>
        <v>FALSE</v>
      </c>
      <c r="I884" s="41">
        <f t="shared" si="43"/>
        <v>0</v>
      </c>
      <c r="J884" s="4" t="s">
        <v>16</v>
      </c>
      <c r="K884" s="43" t="str">
        <f>IF(VLOOKUP(J884,βοηθητικό!$J$2:$N$354,3,FALSE)="","",VLOOKUP(J884,βοηθητικό!$J$2:$N$354,3,FALSE))</f>
        <v>_</v>
      </c>
      <c r="L884" s="44"/>
      <c r="M884" s="5" t="s">
        <v>16</v>
      </c>
      <c r="N884" s="46" t="str">
        <f>IF(VLOOKUP(M884,βοηθητικό!$J$2:$N$354,3,FALSE)="","",VLOOKUP(M884,βοηθητικό!$J$2:$N$354,3,FALSE))</f>
        <v>_</v>
      </c>
      <c r="O884" s="47"/>
      <c r="P884" s="4" t="s">
        <v>16</v>
      </c>
      <c r="Q884" s="43" t="str">
        <f>IF(VLOOKUP(P884,βοηθητικό!$J$2:$N$354,3,FALSE)="","",VLOOKUP(P884,βοηθητικό!$J$2:$N$354,3,FALSE))</f>
        <v>_</v>
      </c>
      <c r="R884" s="44"/>
      <c r="S884" s="5" t="s">
        <v>16</v>
      </c>
      <c r="T884" s="46" t="str">
        <f>IF(VLOOKUP(S884,βοηθητικό!$J$2:$N$354,3,FALSE)="","",VLOOKUP(S884,βοηθητικό!$J$2:$N$354,3,FALSE))</f>
        <v>_</v>
      </c>
      <c r="U884" s="47"/>
      <c r="V884" s="4" t="s">
        <v>16</v>
      </c>
      <c r="W884" s="43" t="str">
        <f>IF(VLOOKUP(V884,βοηθητικό!$J$2:$N$354,3,FALSE)="","",VLOOKUP(V884,βοηθητικό!$J$2:$N$354,3,FALSE))</f>
        <v>_</v>
      </c>
      <c r="X884" s="44"/>
      <c r="Y884" s="5" t="s">
        <v>16</v>
      </c>
      <c r="Z884" s="46" t="str">
        <f>IF(VLOOKUP(Y884,βοηθητικό!$J$2:$N$354,3,FALSE)="","",VLOOKUP(Y884,βοηθητικό!$J$2:$N$354,3,FALSE))</f>
        <v>_</v>
      </c>
      <c r="AA884" s="47"/>
      <c r="AB884" s="4" t="s">
        <v>16</v>
      </c>
      <c r="AC884" s="43" t="str">
        <f>IF(VLOOKUP(AB884,βοηθητικό!$J$2:$N$354,3,FALSE)="","",VLOOKUP(AB884,βοηθητικό!$J$2:$N$354,3,FALSE))</f>
        <v>_</v>
      </c>
      <c r="AD884" s="44"/>
      <c r="AE884" s="5" t="s">
        <v>16</v>
      </c>
      <c r="AF884" s="46" t="str">
        <f>IF(VLOOKUP(AE884,βοηθητικό!$J$2:$N$354,3,FALSE)="","",VLOOKUP(AE884,βοηθητικό!$J$2:$N$354,3,FALSE))</f>
        <v>_</v>
      </c>
      <c r="AG884" s="47"/>
      <c r="AH884" s="4" t="s">
        <v>16</v>
      </c>
      <c r="AI884" s="43" t="str">
        <f>IF(VLOOKUP(AH884,βοηθητικό!$J$2:$N$354,3,FALSE)="","",VLOOKUP(AH884,βοηθητικό!$J$2:$N$354,3,FALSE))</f>
        <v>_</v>
      </c>
      <c r="AJ884" s="44"/>
      <c r="AK884" s="5" t="s">
        <v>16</v>
      </c>
      <c r="AL884" s="46" t="str">
        <f>IF(VLOOKUP(AK884,βοηθητικό!$J$2:$N$354,3,FALSE)="","",VLOOKUP(AK884,βοηθητικό!$J$2:$N$354,3,FALSE))</f>
        <v>_</v>
      </c>
      <c r="AM884" s="47"/>
      <c r="AN884" s="4" t="s">
        <v>16</v>
      </c>
      <c r="AO884" s="43" t="str">
        <f>IF(VLOOKUP(AN884,βοηθητικό!$J$2:$N$354,3,FALSE)="","",VLOOKUP(AN884,βοηθητικό!$J$2:$N$354,3,FALSE))</f>
        <v>_</v>
      </c>
      <c r="AP884" s="44"/>
      <c r="AQ884" s="5" t="s">
        <v>16</v>
      </c>
      <c r="AR884" s="46" t="str">
        <f>IF(VLOOKUP(AQ884,βοηθητικό!$J$2:$N$354,3,FALSE)="","",VLOOKUP(AQ884,βοηθητικό!$J$2:$N$354,3,FALSE))</f>
        <v>_</v>
      </c>
      <c r="AS884" s="47"/>
      <c r="AT884" s="4" t="s">
        <v>16</v>
      </c>
      <c r="AU884" s="43" t="str">
        <f>IF(VLOOKUP(AT884,βοηθητικό!$J$2:$N$354,3,FALSE)="","",VLOOKUP(AT884,βοηθητικό!$J$2:$N$354,3,FALSE))</f>
        <v>_</v>
      </c>
      <c r="AV884" s="44"/>
      <c r="AW884" s="5" t="s">
        <v>16</v>
      </c>
      <c r="AX884" s="46" t="str">
        <f>IF(VLOOKUP(AW884,βοηθητικό!$J$2:$N$354,3,FALSE)="","",VLOOKUP(AW884,βοηθητικό!$J$2:$N$354,3,FALSE))</f>
        <v>_</v>
      </c>
      <c r="AY884" s="47"/>
      <c r="AZ884" s="4" t="s">
        <v>16</v>
      </c>
      <c r="BA884" s="43" t="str">
        <f>IF(VLOOKUP(AZ884,βοηθητικό!$J$2:$N$354,3,FALSE)="","",VLOOKUP(AZ884,βοηθητικό!$J$2:$N$354,3,FALSE))</f>
        <v>_</v>
      </c>
      <c r="BB884" s="44"/>
      <c r="BC884" s="45" t="s">
        <v>16</v>
      </c>
      <c r="BD884" s="46" t="str">
        <f>IF(VLOOKUP(BC884,βοηθητικό!$J$2:$N$354,3,FALSE)="","",VLOOKUP(BC884,βοηθητικό!$J$2:$N$354,3,FALSE))</f>
        <v>_</v>
      </c>
      <c r="BE884" s="47"/>
      <c r="BF884" s="42" t="s">
        <v>16</v>
      </c>
      <c r="BG884" s="43" t="str">
        <f>IF(VLOOKUP(BF884,βοηθητικό!$J$2:$N$354,3,FALSE)="","",VLOOKUP(BF884,βοηθητικό!$J$2:$N$354,3,FALSE))</f>
        <v>_</v>
      </c>
      <c r="BH884" s="44"/>
      <c r="BI884" s="45" t="s">
        <v>16</v>
      </c>
      <c r="BJ884" s="46" t="str">
        <f>IF(VLOOKUP(BI884,βοηθητικό!$J$2:$N$354,3,FALSE)="","",VLOOKUP(BI884,βοηθητικό!$J$2:$N$354,3,FALSE))</f>
        <v>_</v>
      </c>
      <c r="BK884" s="47"/>
      <c r="BL884" s="42" t="s">
        <v>16</v>
      </c>
      <c r="BM884" s="43" t="str">
        <f>IF(VLOOKUP(BL884,βοηθητικό!$J$2:$N$354,3,FALSE)="","",VLOOKUP(BL884,βοηθητικό!$J$2:$N$354,3,FALSE))</f>
        <v>_</v>
      </c>
      <c r="BN884" s="44"/>
      <c r="BO884" s="45" t="s">
        <v>16</v>
      </c>
      <c r="BP884" s="46" t="str">
        <f>IF(VLOOKUP(BO884,βοηθητικό!$J$2:$N$354,3,FALSE)="","",VLOOKUP(BO884,βοηθητικό!$J$2:$N$354,3,FALSE))</f>
        <v>_</v>
      </c>
      <c r="BQ884" s="47"/>
      <c r="BR884" s="42" t="s">
        <v>16</v>
      </c>
      <c r="BS884" s="43" t="str">
        <f>IF(VLOOKUP(BR884,βοηθητικό!$J$2:$N$354,3,FALSE)="","",VLOOKUP(BR884,βοηθητικό!$J$2:$N$354,3,FALSE))</f>
        <v>_</v>
      </c>
      <c r="BT884" s="44"/>
      <c r="BU884" s="45" t="s">
        <v>16</v>
      </c>
      <c r="BV884" s="46" t="str">
        <f>IF(VLOOKUP(BU884,βοηθητικό!$J$2:$N$354,3,FALSE)="","",VLOOKUP(BU884,βοηθητικό!$J$2:$N$354,3,FALSE))</f>
        <v>_</v>
      </c>
      <c r="BW884" s="47"/>
      <c r="BX884" s="42" t="s">
        <v>16</v>
      </c>
      <c r="BY884" s="43" t="str">
        <f>IF(VLOOKUP(BX884,βοηθητικό!$J$2:$N$354,3,FALSE)="","",VLOOKUP(BX884,βοηθητικό!$J$2:$N$354,3,FALSE))</f>
        <v>_</v>
      </c>
      <c r="BZ884" s="44"/>
      <c r="CA884" s="45" t="s">
        <v>16</v>
      </c>
      <c r="CB884" s="46" t="str">
        <f>IF(VLOOKUP(CA884,βοηθητικό!$J$2:$N$354,3,FALSE)="","",VLOOKUP(CA884,βοηθητικό!$J$2:$N$354,3,FALSE))</f>
        <v>_</v>
      </c>
      <c r="CC884" s="47"/>
      <c r="CD884" s="42" t="s">
        <v>16</v>
      </c>
      <c r="CE884" s="43" t="str">
        <f>IF(VLOOKUP(CD884,βοηθητικό!$J$2:$N$354,3,FALSE)="","",VLOOKUP(CD884,βοηθητικό!$J$2:$N$354,3,FALSE))</f>
        <v>_</v>
      </c>
      <c r="CF884" s="44"/>
      <c r="CG884" s="45" t="s">
        <v>16</v>
      </c>
      <c r="CH884" s="46" t="str">
        <f>IF(VLOOKUP(CG884,βοηθητικό!$J$2:$N$354,3,FALSE)="","",VLOOKUP(CG884,βοηθητικό!$J$2:$N$354,3,FALSE))</f>
        <v>_</v>
      </c>
      <c r="CI884" s="47"/>
      <c r="CJ884" s="42" t="s">
        <v>16</v>
      </c>
      <c r="CK884" s="43" t="str">
        <f>IF(VLOOKUP(CJ884,βοηθητικό!$J$2:$N$354,3,FALSE)="","",VLOOKUP(CJ884,βοηθητικό!$J$2:$N$354,3,FALSE))</f>
        <v>_</v>
      </c>
      <c r="CL884" s="44"/>
      <c r="CM884" s="45" t="s">
        <v>16</v>
      </c>
      <c r="CN884" s="46" t="str">
        <f>IF(VLOOKUP(CM884,βοηθητικό!$J$2:$N$354,3,FALSE)="","",VLOOKUP(CM884,βοηθητικό!$J$2:$N$354,3,FALSE))</f>
        <v>_</v>
      </c>
      <c r="CO884" s="47"/>
      <c r="CP884" s="42" t="s">
        <v>16</v>
      </c>
      <c r="CQ884" s="43" t="str">
        <f>IF(VLOOKUP(CP884,βοηθητικό!$J$2:$N$354,3,FALSE)="","",VLOOKUP(CP884,βοηθητικό!$J$2:$N$354,3,FALSE))</f>
        <v>_</v>
      </c>
      <c r="CR884" s="44"/>
      <c r="CS884" s="45" t="s">
        <v>16</v>
      </c>
      <c r="CT884" s="46" t="str">
        <f>IF(VLOOKUP(CS884,βοηθητικό!$J$2:$N$354,3,FALSE)="","",VLOOKUP(CS884,βοηθητικό!$J$2:$N$354,3,FALSE))</f>
        <v>_</v>
      </c>
      <c r="CU884" s="47"/>
    </row>
    <row r="885" spans="1:99" x14ac:dyDescent="0.25">
      <c r="A885" s="37">
        <f>--SUBTOTAL(3,$B$3:B884)</f>
        <v>198</v>
      </c>
      <c r="B885" s="2"/>
      <c r="C885" s="3"/>
      <c r="D885" s="55" t="s">
        <v>18</v>
      </c>
      <c r="E885" s="38" t="s">
        <v>16</v>
      </c>
      <c r="F885" s="38"/>
      <c r="G885" s="39" t="str">
        <f t="shared" si="41"/>
        <v>__</v>
      </c>
      <c r="H885" s="40" t="str">
        <f t="shared" si="42"/>
        <v>FALSE</v>
      </c>
      <c r="I885" s="41">
        <f t="shared" si="43"/>
        <v>0</v>
      </c>
      <c r="J885" s="4" t="s">
        <v>16</v>
      </c>
      <c r="K885" s="43" t="str">
        <f>IF(VLOOKUP(J885,βοηθητικό!$J$2:$N$354,3,FALSE)="","",VLOOKUP(J885,βοηθητικό!$J$2:$N$354,3,FALSE))</f>
        <v>_</v>
      </c>
      <c r="L885" s="44"/>
      <c r="M885" s="5" t="s">
        <v>16</v>
      </c>
      <c r="N885" s="46" t="str">
        <f>IF(VLOOKUP(M885,βοηθητικό!$J$2:$N$354,3,FALSE)="","",VLOOKUP(M885,βοηθητικό!$J$2:$N$354,3,FALSE))</f>
        <v>_</v>
      </c>
      <c r="O885" s="47"/>
      <c r="P885" s="4" t="s">
        <v>16</v>
      </c>
      <c r="Q885" s="43" t="str">
        <f>IF(VLOOKUP(P885,βοηθητικό!$J$2:$N$354,3,FALSE)="","",VLOOKUP(P885,βοηθητικό!$J$2:$N$354,3,FALSE))</f>
        <v>_</v>
      </c>
      <c r="R885" s="44"/>
      <c r="S885" s="5" t="s">
        <v>16</v>
      </c>
      <c r="T885" s="46" t="str">
        <f>IF(VLOOKUP(S885,βοηθητικό!$J$2:$N$354,3,FALSE)="","",VLOOKUP(S885,βοηθητικό!$J$2:$N$354,3,FALSE))</f>
        <v>_</v>
      </c>
      <c r="U885" s="47"/>
      <c r="V885" s="4" t="s">
        <v>16</v>
      </c>
      <c r="W885" s="43" t="str">
        <f>IF(VLOOKUP(V885,βοηθητικό!$J$2:$N$354,3,FALSE)="","",VLOOKUP(V885,βοηθητικό!$J$2:$N$354,3,FALSE))</f>
        <v>_</v>
      </c>
      <c r="X885" s="44"/>
      <c r="Y885" s="5" t="s">
        <v>16</v>
      </c>
      <c r="Z885" s="46" t="str">
        <f>IF(VLOOKUP(Y885,βοηθητικό!$J$2:$N$354,3,FALSE)="","",VLOOKUP(Y885,βοηθητικό!$J$2:$N$354,3,FALSE))</f>
        <v>_</v>
      </c>
      <c r="AA885" s="47"/>
      <c r="AB885" s="4" t="s">
        <v>16</v>
      </c>
      <c r="AC885" s="43" t="str">
        <f>IF(VLOOKUP(AB885,βοηθητικό!$J$2:$N$354,3,FALSE)="","",VLOOKUP(AB885,βοηθητικό!$J$2:$N$354,3,FALSE))</f>
        <v>_</v>
      </c>
      <c r="AD885" s="44"/>
      <c r="AE885" s="5" t="s">
        <v>16</v>
      </c>
      <c r="AF885" s="46" t="str">
        <f>IF(VLOOKUP(AE885,βοηθητικό!$J$2:$N$354,3,FALSE)="","",VLOOKUP(AE885,βοηθητικό!$J$2:$N$354,3,FALSE))</f>
        <v>_</v>
      </c>
      <c r="AG885" s="47"/>
      <c r="AH885" s="4" t="s">
        <v>16</v>
      </c>
      <c r="AI885" s="43" t="str">
        <f>IF(VLOOKUP(AH885,βοηθητικό!$J$2:$N$354,3,FALSE)="","",VLOOKUP(AH885,βοηθητικό!$J$2:$N$354,3,FALSE))</f>
        <v>_</v>
      </c>
      <c r="AJ885" s="44"/>
      <c r="AK885" s="5" t="s">
        <v>16</v>
      </c>
      <c r="AL885" s="46" t="str">
        <f>IF(VLOOKUP(AK885,βοηθητικό!$J$2:$N$354,3,FALSE)="","",VLOOKUP(AK885,βοηθητικό!$J$2:$N$354,3,FALSE))</f>
        <v>_</v>
      </c>
      <c r="AM885" s="47"/>
      <c r="AN885" s="4" t="s">
        <v>16</v>
      </c>
      <c r="AO885" s="43" t="str">
        <f>IF(VLOOKUP(AN885,βοηθητικό!$J$2:$N$354,3,FALSE)="","",VLOOKUP(AN885,βοηθητικό!$J$2:$N$354,3,FALSE))</f>
        <v>_</v>
      </c>
      <c r="AP885" s="44"/>
      <c r="AQ885" s="5" t="s">
        <v>16</v>
      </c>
      <c r="AR885" s="46" t="str">
        <f>IF(VLOOKUP(AQ885,βοηθητικό!$J$2:$N$354,3,FALSE)="","",VLOOKUP(AQ885,βοηθητικό!$J$2:$N$354,3,FALSE))</f>
        <v>_</v>
      </c>
      <c r="AS885" s="47"/>
      <c r="AT885" s="4" t="s">
        <v>16</v>
      </c>
      <c r="AU885" s="43" t="str">
        <f>IF(VLOOKUP(AT885,βοηθητικό!$J$2:$N$354,3,FALSE)="","",VLOOKUP(AT885,βοηθητικό!$J$2:$N$354,3,FALSE))</f>
        <v>_</v>
      </c>
      <c r="AV885" s="44"/>
      <c r="AW885" s="5" t="s">
        <v>16</v>
      </c>
      <c r="AX885" s="46" t="str">
        <f>IF(VLOOKUP(AW885,βοηθητικό!$J$2:$N$354,3,FALSE)="","",VLOOKUP(AW885,βοηθητικό!$J$2:$N$354,3,FALSE))</f>
        <v>_</v>
      </c>
      <c r="AY885" s="47"/>
      <c r="AZ885" s="4" t="s">
        <v>16</v>
      </c>
      <c r="BA885" s="43" t="str">
        <f>IF(VLOOKUP(AZ885,βοηθητικό!$J$2:$N$354,3,FALSE)="","",VLOOKUP(AZ885,βοηθητικό!$J$2:$N$354,3,FALSE))</f>
        <v>_</v>
      </c>
      <c r="BB885" s="44"/>
      <c r="BC885" s="45" t="s">
        <v>16</v>
      </c>
      <c r="BD885" s="46" t="str">
        <f>IF(VLOOKUP(BC885,βοηθητικό!$J$2:$N$354,3,FALSE)="","",VLOOKUP(BC885,βοηθητικό!$J$2:$N$354,3,FALSE))</f>
        <v>_</v>
      </c>
      <c r="BE885" s="47"/>
      <c r="BF885" s="42" t="s">
        <v>16</v>
      </c>
      <c r="BG885" s="43" t="str">
        <f>IF(VLOOKUP(BF885,βοηθητικό!$J$2:$N$354,3,FALSE)="","",VLOOKUP(BF885,βοηθητικό!$J$2:$N$354,3,FALSE))</f>
        <v>_</v>
      </c>
      <c r="BH885" s="44"/>
      <c r="BI885" s="45" t="s">
        <v>16</v>
      </c>
      <c r="BJ885" s="46" t="str">
        <f>IF(VLOOKUP(BI885,βοηθητικό!$J$2:$N$354,3,FALSE)="","",VLOOKUP(BI885,βοηθητικό!$J$2:$N$354,3,FALSE))</f>
        <v>_</v>
      </c>
      <c r="BK885" s="47"/>
      <c r="BL885" s="42" t="s">
        <v>16</v>
      </c>
      <c r="BM885" s="43" t="str">
        <f>IF(VLOOKUP(BL885,βοηθητικό!$J$2:$N$354,3,FALSE)="","",VLOOKUP(BL885,βοηθητικό!$J$2:$N$354,3,FALSE))</f>
        <v>_</v>
      </c>
      <c r="BN885" s="44"/>
      <c r="BO885" s="45" t="s">
        <v>16</v>
      </c>
      <c r="BP885" s="46" t="str">
        <f>IF(VLOOKUP(BO885,βοηθητικό!$J$2:$N$354,3,FALSE)="","",VLOOKUP(BO885,βοηθητικό!$J$2:$N$354,3,FALSE))</f>
        <v>_</v>
      </c>
      <c r="BQ885" s="47"/>
      <c r="BR885" s="42" t="s">
        <v>16</v>
      </c>
      <c r="BS885" s="43" t="str">
        <f>IF(VLOOKUP(BR885,βοηθητικό!$J$2:$N$354,3,FALSE)="","",VLOOKUP(BR885,βοηθητικό!$J$2:$N$354,3,FALSE))</f>
        <v>_</v>
      </c>
      <c r="BT885" s="44"/>
      <c r="BU885" s="45" t="s">
        <v>16</v>
      </c>
      <c r="BV885" s="46" t="str">
        <f>IF(VLOOKUP(BU885,βοηθητικό!$J$2:$N$354,3,FALSE)="","",VLOOKUP(BU885,βοηθητικό!$J$2:$N$354,3,FALSE))</f>
        <v>_</v>
      </c>
      <c r="BW885" s="47"/>
      <c r="BX885" s="42" t="s">
        <v>16</v>
      </c>
      <c r="BY885" s="43" t="str">
        <f>IF(VLOOKUP(BX885,βοηθητικό!$J$2:$N$354,3,FALSE)="","",VLOOKUP(BX885,βοηθητικό!$J$2:$N$354,3,FALSE))</f>
        <v>_</v>
      </c>
      <c r="BZ885" s="44"/>
      <c r="CA885" s="45" t="s">
        <v>16</v>
      </c>
      <c r="CB885" s="46" t="str">
        <f>IF(VLOOKUP(CA885,βοηθητικό!$J$2:$N$354,3,FALSE)="","",VLOOKUP(CA885,βοηθητικό!$J$2:$N$354,3,FALSE))</f>
        <v>_</v>
      </c>
      <c r="CC885" s="47"/>
      <c r="CD885" s="42" t="s">
        <v>16</v>
      </c>
      <c r="CE885" s="43" t="str">
        <f>IF(VLOOKUP(CD885,βοηθητικό!$J$2:$N$354,3,FALSE)="","",VLOOKUP(CD885,βοηθητικό!$J$2:$N$354,3,FALSE))</f>
        <v>_</v>
      </c>
      <c r="CF885" s="44"/>
      <c r="CG885" s="45" t="s">
        <v>16</v>
      </c>
      <c r="CH885" s="46" t="str">
        <f>IF(VLOOKUP(CG885,βοηθητικό!$J$2:$N$354,3,FALSE)="","",VLOOKUP(CG885,βοηθητικό!$J$2:$N$354,3,FALSE))</f>
        <v>_</v>
      </c>
      <c r="CI885" s="47"/>
      <c r="CJ885" s="42" t="s">
        <v>16</v>
      </c>
      <c r="CK885" s="43" t="str">
        <f>IF(VLOOKUP(CJ885,βοηθητικό!$J$2:$N$354,3,FALSE)="","",VLOOKUP(CJ885,βοηθητικό!$J$2:$N$354,3,FALSE))</f>
        <v>_</v>
      </c>
      <c r="CL885" s="44"/>
      <c r="CM885" s="45" t="s">
        <v>16</v>
      </c>
      <c r="CN885" s="46" t="str">
        <f>IF(VLOOKUP(CM885,βοηθητικό!$J$2:$N$354,3,FALSE)="","",VLOOKUP(CM885,βοηθητικό!$J$2:$N$354,3,FALSE))</f>
        <v>_</v>
      </c>
      <c r="CO885" s="47"/>
      <c r="CP885" s="42" t="s">
        <v>16</v>
      </c>
      <c r="CQ885" s="43" t="str">
        <f>IF(VLOOKUP(CP885,βοηθητικό!$J$2:$N$354,3,FALSE)="","",VLOOKUP(CP885,βοηθητικό!$J$2:$N$354,3,FALSE))</f>
        <v>_</v>
      </c>
      <c r="CR885" s="44"/>
      <c r="CS885" s="45" t="s">
        <v>16</v>
      </c>
      <c r="CT885" s="46" t="str">
        <f>IF(VLOOKUP(CS885,βοηθητικό!$J$2:$N$354,3,FALSE)="","",VLOOKUP(CS885,βοηθητικό!$J$2:$N$354,3,FALSE))</f>
        <v>_</v>
      </c>
      <c r="CU885" s="47"/>
    </row>
    <row r="886" spans="1:99" x14ac:dyDescent="0.25">
      <c r="A886" s="37">
        <f>--SUBTOTAL(3,$B$3:B885)</f>
        <v>198</v>
      </c>
      <c r="B886" s="2"/>
      <c r="C886" s="3"/>
      <c r="D886" s="55" t="s">
        <v>18</v>
      </c>
      <c r="E886" s="38" t="s">
        <v>16</v>
      </c>
      <c r="F886" s="38"/>
      <c r="G886" s="39" t="str">
        <f t="shared" si="41"/>
        <v>__</v>
      </c>
      <c r="H886" s="40" t="str">
        <f t="shared" si="42"/>
        <v>FALSE</v>
      </c>
      <c r="I886" s="41">
        <f t="shared" si="43"/>
        <v>0</v>
      </c>
      <c r="J886" s="4" t="s">
        <v>16</v>
      </c>
      <c r="K886" s="43" t="str">
        <f>IF(VLOOKUP(J886,βοηθητικό!$J$2:$N$354,3,FALSE)="","",VLOOKUP(J886,βοηθητικό!$J$2:$N$354,3,FALSE))</f>
        <v>_</v>
      </c>
      <c r="L886" s="44"/>
      <c r="M886" s="5" t="s">
        <v>16</v>
      </c>
      <c r="N886" s="46" t="str">
        <f>IF(VLOOKUP(M886,βοηθητικό!$J$2:$N$354,3,FALSE)="","",VLOOKUP(M886,βοηθητικό!$J$2:$N$354,3,FALSE))</f>
        <v>_</v>
      </c>
      <c r="O886" s="47"/>
      <c r="P886" s="4" t="s">
        <v>16</v>
      </c>
      <c r="Q886" s="43" t="str">
        <f>IF(VLOOKUP(P886,βοηθητικό!$J$2:$N$354,3,FALSE)="","",VLOOKUP(P886,βοηθητικό!$J$2:$N$354,3,FALSE))</f>
        <v>_</v>
      </c>
      <c r="R886" s="44"/>
      <c r="S886" s="5" t="s">
        <v>16</v>
      </c>
      <c r="T886" s="46" t="str">
        <f>IF(VLOOKUP(S886,βοηθητικό!$J$2:$N$354,3,FALSE)="","",VLOOKUP(S886,βοηθητικό!$J$2:$N$354,3,FALSE))</f>
        <v>_</v>
      </c>
      <c r="U886" s="47"/>
      <c r="V886" s="4" t="s">
        <v>16</v>
      </c>
      <c r="W886" s="43" t="str">
        <f>IF(VLOOKUP(V886,βοηθητικό!$J$2:$N$354,3,FALSE)="","",VLOOKUP(V886,βοηθητικό!$J$2:$N$354,3,FALSE))</f>
        <v>_</v>
      </c>
      <c r="X886" s="44"/>
      <c r="Y886" s="5" t="s">
        <v>16</v>
      </c>
      <c r="Z886" s="46" t="str">
        <f>IF(VLOOKUP(Y886,βοηθητικό!$J$2:$N$354,3,FALSE)="","",VLOOKUP(Y886,βοηθητικό!$J$2:$N$354,3,FALSE))</f>
        <v>_</v>
      </c>
      <c r="AA886" s="47"/>
      <c r="AB886" s="4" t="s">
        <v>16</v>
      </c>
      <c r="AC886" s="43" t="str">
        <f>IF(VLOOKUP(AB886,βοηθητικό!$J$2:$N$354,3,FALSE)="","",VLOOKUP(AB886,βοηθητικό!$J$2:$N$354,3,FALSE))</f>
        <v>_</v>
      </c>
      <c r="AD886" s="44"/>
      <c r="AE886" s="5" t="s">
        <v>16</v>
      </c>
      <c r="AF886" s="46" t="str">
        <f>IF(VLOOKUP(AE886,βοηθητικό!$J$2:$N$354,3,FALSE)="","",VLOOKUP(AE886,βοηθητικό!$J$2:$N$354,3,FALSE))</f>
        <v>_</v>
      </c>
      <c r="AG886" s="47"/>
      <c r="AH886" s="4" t="s">
        <v>16</v>
      </c>
      <c r="AI886" s="43" t="str">
        <f>IF(VLOOKUP(AH886,βοηθητικό!$J$2:$N$354,3,FALSE)="","",VLOOKUP(AH886,βοηθητικό!$J$2:$N$354,3,FALSE))</f>
        <v>_</v>
      </c>
      <c r="AJ886" s="44"/>
      <c r="AK886" s="5" t="s">
        <v>16</v>
      </c>
      <c r="AL886" s="46" t="str">
        <f>IF(VLOOKUP(AK886,βοηθητικό!$J$2:$N$354,3,FALSE)="","",VLOOKUP(AK886,βοηθητικό!$J$2:$N$354,3,FALSE))</f>
        <v>_</v>
      </c>
      <c r="AM886" s="47"/>
      <c r="AN886" s="4" t="s">
        <v>16</v>
      </c>
      <c r="AO886" s="43" t="str">
        <f>IF(VLOOKUP(AN886,βοηθητικό!$J$2:$N$354,3,FALSE)="","",VLOOKUP(AN886,βοηθητικό!$J$2:$N$354,3,FALSE))</f>
        <v>_</v>
      </c>
      <c r="AP886" s="44"/>
      <c r="AQ886" s="5" t="s">
        <v>16</v>
      </c>
      <c r="AR886" s="46" t="str">
        <f>IF(VLOOKUP(AQ886,βοηθητικό!$J$2:$N$354,3,FALSE)="","",VLOOKUP(AQ886,βοηθητικό!$J$2:$N$354,3,FALSE))</f>
        <v>_</v>
      </c>
      <c r="AS886" s="47"/>
      <c r="AT886" s="4" t="s">
        <v>16</v>
      </c>
      <c r="AU886" s="43" t="str">
        <f>IF(VLOOKUP(AT886,βοηθητικό!$J$2:$N$354,3,FALSE)="","",VLOOKUP(AT886,βοηθητικό!$J$2:$N$354,3,FALSE))</f>
        <v>_</v>
      </c>
      <c r="AV886" s="44"/>
      <c r="AW886" s="5" t="s">
        <v>16</v>
      </c>
      <c r="AX886" s="46" t="str">
        <f>IF(VLOOKUP(AW886,βοηθητικό!$J$2:$N$354,3,FALSE)="","",VLOOKUP(AW886,βοηθητικό!$J$2:$N$354,3,FALSE))</f>
        <v>_</v>
      </c>
      <c r="AY886" s="47"/>
      <c r="AZ886" s="4" t="s">
        <v>16</v>
      </c>
      <c r="BA886" s="43" t="str">
        <f>IF(VLOOKUP(AZ886,βοηθητικό!$J$2:$N$354,3,FALSE)="","",VLOOKUP(AZ886,βοηθητικό!$J$2:$N$354,3,FALSE))</f>
        <v>_</v>
      </c>
      <c r="BB886" s="44"/>
      <c r="BC886" s="45" t="s">
        <v>16</v>
      </c>
      <c r="BD886" s="46" t="str">
        <f>IF(VLOOKUP(BC886,βοηθητικό!$J$2:$N$354,3,FALSE)="","",VLOOKUP(BC886,βοηθητικό!$J$2:$N$354,3,FALSE))</f>
        <v>_</v>
      </c>
      <c r="BE886" s="47"/>
      <c r="BF886" s="42" t="s">
        <v>16</v>
      </c>
      <c r="BG886" s="43" t="str">
        <f>IF(VLOOKUP(BF886,βοηθητικό!$J$2:$N$354,3,FALSE)="","",VLOOKUP(BF886,βοηθητικό!$J$2:$N$354,3,FALSE))</f>
        <v>_</v>
      </c>
      <c r="BH886" s="44"/>
      <c r="BI886" s="45" t="s">
        <v>16</v>
      </c>
      <c r="BJ886" s="46" t="str">
        <f>IF(VLOOKUP(BI886,βοηθητικό!$J$2:$N$354,3,FALSE)="","",VLOOKUP(BI886,βοηθητικό!$J$2:$N$354,3,FALSE))</f>
        <v>_</v>
      </c>
      <c r="BK886" s="47"/>
      <c r="BL886" s="42" t="s">
        <v>16</v>
      </c>
      <c r="BM886" s="43" t="str">
        <f>IF(VLOOKUP(BL886,βοηθητικό!$J$2:$N$354,3,FALSE)="","",VLOOKUP(BL886,βοηθητικό!$J$2:$N$354,3,FALSE))</f>
        <v>_</v>
      </c>
      <c r="BN886" s="44"/>
      <c r="BO886" s="45" t="s">
        <v>16</v>
      </c>
      <c r="BP886" s="46" t="str">
        <f>IF(VLOOKUP(BO886,βοηθητικό!$J$2:$N$354,3,FALSE)="","",VLOOKUP(BO886,βοηθητικό!$J$2:$N$354,3,FALSE))</f>
        <v>_</v>
      </c>
      <c r="BQ886" s="47"/>
      <c r="BR886" s="42" t="s">
        <v>16</v>
      </c>
      <c r="BS886" s="43" t="str">
        <f>IF(VLOOKUP(BR886,βοηθητικό!$J$2:$N$354,3,FALSE)="","",VLOOKUP(BR886,βοηθητικό!$J$2:$N$354,3,FALSE))</f>
        <v>_</v>
      </c>
      <c r="BT886" s="44"/>
      <c r="BU886" s="45" t="s">
        <v>16</v>
      </c>
      <c r="BV886" s="46" t="str">
        <f>IF(VLOOKUP(BU886,βοηθητικό!$J$2:$N$354,3,FALSE)="","",VLOOKUP(BU886,βοηθητικό!$J$2:$N$354,3,FALSE))</f>
        <v>_</v>
      </c>
      <c r="BW886" s="47"/>
      <c r="BX886" s="42" t="s">
        <v>16</v>
      </c>
      <c r="BY886" s="43" t="str">
        <f>IF(VLOOKUP(BX886,βοηθητικό!$J$2:$N$354,3,FALSE)="","",VLOOKUP(BX886,βοηθητικό!$J$2:$N$354,3,FALSE))</f>
        <v>_</v>
      </c>
      <c r="BZ886" s="44"/>
      <c r="CA886" s="45" t="s">
        <v>16</v>
      </c>
      <c r="CB886" s="46" t="str">
        <f>IF(VLOOKUP(CA886,βοηθητικό!$J$2:$N$354,3,FALSE)="","",VLOOKUP(CA886,βοηθητικό!$J$2:$N$354,3,FALSE))</f>
        <v>_</v>
      </c>
      <c r="CC886" s="47"/>
      <c r="CD886" s="42" t="s">
        <v>16</v>
      </c>
      <c r="CE886" s="43" t="str">
        <f>IF(VLOOKUP(CD886,βοηθητικό!$J$2:$N$354,3,FALSE)="","",VLOOKUP(CD886,βοηθητικό!$J$2:$N$354,3,FALSE))</f>
        <v>_</v>
      </c>
      <c r="CF886" s="44"/>
      <c r="CG886" s="45" t="s">
        <v>16</v>
      </c>
      <c r="CH886" s="46" t="str">
        <f>IF(VLOOKUP(CG886,βοηθητικό!$J$2:$N$354,3,FALSE)="","",VLOOKUP(CG886,βοηθητικό!$J$2:$N$354,3,FALSE))</f>
        <v>_</v>
      </c>
      <c r="CI886" s="47"/>
      <c r="CJ886" s="42" t="s">
        <v>16</v>
      </c>
      <c r="CK886" s="43" t="str">
        <f>IF(VLOOKUP(CJ886,βοηθητικό!$J$2:$N$354,3,FALSE)="","",VLOOKUP(CJ886,βοηθητικό!$J$2:$N$354,3,FALSE))</f>
        <v>_</v>
      </c>
      <c r="CL886" s="44"/>
      <c r="CM886" s="45" t="s">
        <v>16</v>
      </c>
      <c r="CN886" s="46" t="str">
        <f>IF(VLOOKUP(CM886,βοηθητικό!$J$2:$N$354,3,FALSE)="","",VLOOKUP(CM886,βοηθητικό!$J$2:$N$354,3,FALSE))</f>
        <v>_</v>
      </c>
      <c r="CO886" s="47"/>
      <c r="CP886" s="42" t="s">
        <v>16</v>
      </c>
      <c r="CQ886" s="43" t="str">
        <f>IF(VLOOKUP(CP886,βοηθητικό!$J$2:$N$354,3,FALSE)="","",VLOOKUP(CP886,βοηθητικό!$J$2:$N$354,3,FALSE))</f>
        <v>_</v>
      </c>
      <c r="CR886" s="44"/>
      <c r="CS886" s="45" t="s">
        <v>16</v>
      </c>
      <c r="CT886" s="46" t="str">
        <f>IF(VLOOKUP(CS886,βοηθητικό!$J$2:$N$354,3,FALSE)="","",VLOOKUP(CS886,βοηθητικό!$J$2:$N$354,3,FALSE))</f>
        <v>_</v>
      </c>
      <c r="CU886" s="47"/>
    </row>
    <row r="887" spans="1:99" x14ac:dyDescent="0.25">
      <c r="A887" s="37">
        <f>--SUBTOTAL(3,$B$3:B886)</f>
        <v>198</v>
      </c>
      <c r="B887" s="2"/>
      <c r="C887" s="3"/>
      <c r="D887" s="55" t="s">
        <v>18</v>
      </c>
      <c r="E887" s="38" t="s">
        <v>16</v>
      </c>
      <c r="F887" s="38"/>
      <c r="G887" s="39" t="str">
        <f t="shared" si="41"/>
        <v>__</v>
      </c>
      <c r="H887" s="40" t="str">
        <f t="shared" si="42"/>
        <v>FALSE</v>
      </c>
      <c r="I887" s="41">
        <f t="shared" si="43"/>
        <v>0</v>
      </c>
      <c r="J887" s="4" t="s">
        <v>16</v>
      </c>
      <c r="K887" s="43" t="str">
        <f>IF(VLOOKUP(J887,βοηθητικό!$J$2:$N$354,3,FALSE)="","",VLOOKUP(J887,βοηθητικό!$J$2:$N$354,3,FALSE))</f>
        <v>_</v>
      </c>
      <c r="L887" s="44"/>
      <c r="M887" s="5" t="s">
        <v>16</v>
      </c>
      <c r="N887" s="46" t="str">
        <f>IF(VLOOKUP(M887,βοηθητικό!$J$2:$N$354,3,FALSE)="","",VLOOKUP(M887,βοηθητικό!$J$2:$N$354,3,FALSE))</f>
        <v>_</v>
      </c>
      <c r="O887" s="47"/>
      <c r="P887" s="4" t="s">
        <v>16</v>
      </c>
      <c r="Q887" s="43" t="str">
        <f>IF(VLOOKUP(P887,βοηθητικό!$J$2:$N$354,3,FALSE)="","",VLOOKUP(P887,βοηθητικό!$J$2:$N$354,3,FALSE))</f>
        <v>_</v>
      </c>
      <c r="R887" s="44"/>
      <c r="S887" s="5" t="s">
        <v>16</v>
      </c>
      <c r="T887" s="46" t="str">
        <f>IF(VLOOKUP(S887,βοηθητικό!$J$2:$N$354,3,FALSE)="","",VLOOKUP(S887,βοηθητικό!$J$2:$N$354,3,FALSE))</f>
        <v>_</v>
      </c>
      <c r="U887" s="47"/>
      <c r="V887" s="4" t="s">
        <v>16</v>
      </c>
      <c r="W887" s="43" t="str">
        <f>IF(VLOOKUP(V887,βοηθητικό!$J$2:$N$354,3,FALSE)="","",VLOOKUP(V887,βοηθητικό!$J$2:$N$354,3,FALSE))</f>
        <v>_</v>
      </c>
      <c r="X887" s="44"/>
      <c r="Y887" s="5" t="s">
        <v>16</v>
      </c>
      <c r="Z887" s="46" t="str">
        <f>IF(VLOOKUP(Y887,βοηθητικό!$J$2:$N$354,3,FALSE)="","",VLOOKUP(Y887,βοηθητικό!$J$2:$N$354,3,FALSE))</f>
        <v>_</v>
      </c>
      <c r="AA887" s="47"/>
      <c r="AB887" s="4" t="s">
        <v>16</v>
      </c>
      <c r="AC887" s="43" t="str">
        <f>IF(VLOOKUP(AB887,βοηθητικό!$J$2:$N$354,3,FALSE)="","",VLOOKUP(AB887,βοηθητικό!$J$2:$N$354,3,FALSE))</f>
        <v>_</v>
      </c>
      <c r="AD887" s="44"/>
      <c r="AE887" s="5" t="s">
        <v>16</v>
      </c>
      <c r="AF887" s="46" t="str">
        <f>IF(VLOOKUP(AE887,βοηθητικό!$J$2:$N$354,3,FALSE)="","",VLOOKUP(AE887,βοηθητικό!$J$2:$N$354,3,FALSE))</f>
        <v>_</v>
      </c>
      <c r="AG887" s="47"/>
      <c r="AH887" s="4" t="s">
        <v>16</v>
      </c>
      <c r="AI887" s="43" t="str">
        <f>IF(VLOOKUP(AH887,βοηθητικό!$J$2:$N$354,3,FALSE)="","",VLOOKUP(AH887,βοηθητικό!$J$2:$N$354,3,FALSE))</f>
        <v>_</v>
      </c>
      <c r="AJ887" s="44"/>
      <c r="AK887" s="5" t="s">
        <v>16</v>
      </c>
      <c r="AL887" s="46" t="str">
        <f>IF(VLOOKUP(AK887,βοηθητικό!$J$2:$N$354,3,FALSE)="","",VLOOKUP(AK887,βοηθητικό!$J$2:$N$354,3,FALSE))</f>
        <v>_</v>
      </c>
      <c r="AM887" s="47"/>
      <c r="AN887" s="4" t="s">
        <v>16</v>
      </c>
      <c r="AO887" s="43" t="str">
        <f>IF(VLOOKUP(AN887,βοηθητικό!$J$2:$N$354,3,FALSE)="","",VLOOKUP(AN887,βοηθητικό!$J$2:$N$354,3,FALSE))</f>
        <v>_</v>
      </c>
      <c r="AP887" s="44"/>
      <c r="AQ887" s="5" t="s">
        <v>16</v>
      </c>
      <c r="AR887" s="46" t="str">
        <f>IF(VLOOKUP(AQ887,βοηθητικό!$J$2:$N$354,3,FALSE)="","",VLOOKUP(AQ887,βοηθητικό!$J$2:$N$354,3,FALSE))</f>
        <v>_</v>
      </c>
      <c r="AS887" s="47"/>
      <c r="AT887" s="4" t="s">
        <v>16</v>
      </c>
      <c r="AU887" s="43" t="str">
        <f>IF(VLOOKUP(AT887,βοηθητικό!$J$2:$N$354,3,FALSE)="","",VLOOKUP(AT887,βοηθητικό!$J$2:$N$354,3,FALSE))</f>
        <v>_</v>
      </c>
      <c r="AV887" s="44"/>
      <c r="AW887" s="5" t="s">
        <v>16</v>
      </c>
      <c r="AX887" s="46" t="str">
        <f>IF(VLOOKUP(AW887,βοηθητικό!$J$2:$N$354,3,FALSE)="","",VLOOKUP(AW887,βοηθητικό!$J$2:$N$354,3,FALSE))</f>
        <v>_</v>
      </c>
      <c r="AY887" s="47"/>
      <c r="AZ887" s="4" t="s">
        <v>16</v>
      </c>
      <c r="BA887" s="43" t="str">
        <f>IF(VLOOKUP(AZ887,βοηθητικό!$J$2:$N$354,3,FALSE)="","",VLOOKUP(AZ887,βοηθητικό!$J$2:$N$354,3,FALSE))</f>
        <v>_</v>
      </c>
      <c r="BB887" s="44"/>
      <c r="BC887" s="45" t="s">
        <v>16</v>
      </c>
      <c r="BD887" s="46" t="str">
        <f>IF(VLOOKUP(BC887,βοηθητικό!$J$2:$N$354,3,FALSE)="","",VLOOKUP(BC887,βοηθητικό!$J$2:$N$354,3,FALSE))</f>
        <v>_</v>
      </c>
      <c r="BE887" s="47"/>
      <c r="BF887" s="42" t="s">
        <v>16</v>
      </c>
      <c r="BG887" s="43" t="str">
        <f>IF(VLOOKUP(BF887,βοηθητικό!$J$2:$N$354,3,FALSE)="","",VLOOKUP(BF887,βοηθητικό!$J$2:$N$354,3,FALSE))</f>
        <v>_</v>
      </c>
      <c r="BH887" s="44"/>
      <c r="BI887" s="45" t="s">
        <v>16</v>
      </c>
      <c r="BJ887" s="46" t="str">
        <f>IF(VLOOKUP(BI887,βοηθητικό!$J$2:$N$354,3,FALSE)="","",VLOOKUP(BI887,βοηθητικό!$J$2:$N$354,3,FALSE))</f>
        <v>_</v>
      </c>
      <c r="BK887" s="47"/>
      <c r="BL887" s="42" t="s">
        <v>16</v>
      </c>
      <c r="BM887" s="43" t="str">
        <f>IF(VLOOKUP(BL887,βοηθητικό!$J$2:$N$354,3,FALSE)="","",VLOOKUP(BL887,βοηθητικό!$J$2:$N$354,3,FALSE))</f>
        <v>_</v>
      </c>
      <c r="BN887" s="44"/>
      <c r="BO887" s="45" t="s">
        <v>16</v>
      </c>
      <c r="BP887" s="46" t="str">
        <f>IF(VLOOKUP(BO887,βοηθητικό!$J$2:$N$354,3,FALSE)="","",VLOOKUP(BO887,βοηθητικό!$J$2:$N$354,3,FALSE))</f>
        <v>_</v>
      </c>
      <c r="BQ887" s="47"/>
      <c r="BR887" s="42" t="s">
        <v>16</v>
      </c>
      <c r="BS887" s="43" t="str">
        <f>IF(VLOOKUP(BR887,βοηθητικό!$J$2:$N$354,3,FALSE)="","",VLOOKUP(BR887,βοηθητικό!$J$2:$N$354,3,FALSE))</f>
        <v>_</v>
      </c>
      <c r="BT887" s="44"/>
      <c r="BU887" s="45" t="s">
        <v>16</v>
      </c>
      <c r="BV887" s="46" t="str">
        <f>IF(VLOOKUP(BU887,βοηθητικό!$J$2:$N$354,3,FALSE)="","",VLOOKUP(BU887,βοηθητικό!$J$2:$N$354,3,FALSE))</f>
        <v>_</v>
      </c>
      <c r="BW887" s="47"/>
      <c r="BX887" s="42" t="s">
        <v>16</v>
      </c>
      <c r="BY887" s="43" t="str">
        <f>IF(VLOOKUP(BX887,βοηθητικό!$J$2:$N$354,3,FALSE)="","",VLOOKUP(BX887,βοηθητικό!$J$2:$N$354,3,FALSE))</f>
        <v>_</v>
      </c>
      <c r="BZ887" s="44"/>
      <c r="CA887" s="45" t="s">
        <v>16</v>
      </c>
      <c r="CB887" s="46" t="str">
        <f>IF(VLOOKUP(CA887,βοηθητικό!$J$2:$N$354,3,FALSE)="","",VLOOKUP(CA887,βοηθητικό!$J$2:$N$354,3,FALSE))</f>
        <v>_</v>
      </c>
      <c r="CC887" s="47"/>
      <c r="CD887" s="42" t="s">
        <v>16</v>
      </c>
      <c r="CE887" s="43" t="str">
        <f>IF(VLOOKUP(CD887,βοηθητικό!$J$2:$N$354,3,FALSE)="","",VLOOKUP(CD887,βοηθητικό!$J$2:$N$354,3,FALSE))</f>
        <v>_</v>
      </c>
      <c r="CF887" s="44"/>
      <c r="CG887" s="45" t="s">
        <v>16</v>
      </c>
      <c r="CH887" s="46" t="str">
        <f>IF(VLOOKUP(CG887,βοηθητικό!$J$2:$N$354,3,FALSE)="","",VLOOKUP(CG887,βοηθητικό!$J$2:$N$354,3,FALSE))</f>
        <v>_</v>
      </c>
      <c r="CI887" s="47"/>
      <c r="CJ887" s="42" t="s">
        <v>16</v>
      </c>
      <c r="CK887" s="43" t="str">
        <f>IF(VLOOKUP(CJ887,βοηθητικό!$J$2:$N$354,3,FALSE)="","",VLOOKUP(CJ887,βοηθητικό!$J$2:$N$354,3,FALSE))</f>
        <v>_</v>
      </c>
      <c r="CL887" s="44"/>
      <c r="CM887" s="45" t="s">
        <v>16</v>
      </c>
      <c r="CN887" s="46" t="str">
        <f>IF(VLOOKUP(CM887,βοηθητικό!$J$2:$N$354,3,FALSE)="","",VLOOKUP(CM887,βοηθητικό!$J$2:$N$354,3,FALSE))</f>
        <v>_</v>
      </c>
      <c r="CO887" s="47"/>
      <c r="CP887" s="42" t="s">
        <v>16</v>
      </c>
      <c r="CQ887" s="43" t="str">
        <f>IF(VLOOKUP(CP887,βοηθητικό!$J$2:$N$354,3,FALSE)="","",VLOOKUP(CP887,βοηθητικό!$J$2:$N$354,3,FALSE))</f>
        <v>_</v>
      </c>
      <c r="CR887" s="44"/>
      <c r="CS887" s="45" t="s">
        <v>16</v>
      </c>
      <c r="CT887" s="46" t="str">
        <f>IF(VLOOKUP(CS887,βοηθητικό!$J$2:$N$354,3,FALSE)="","",VLOOKUP(CS887,βοηθητικό!$J$2:$N$354,3,FALSE))</f>
        <v>_</v>
      </c>
      <c r="CU887" s="47"/>
    </row>
    <row r="888" spans="1:99" x14ac:dyDescent="0.25">
      <c r="A888" s="37">
        <f>--SUBTOTAL(3,$B$3:B887)</f>
        <v>198</v>
      </c>
      <c r="B888" s="2"/>
      <c r="C888" s="3"/>
      <c r="D888" s="55" t="s">
        <v>18</v>
      </c>
      <c r="E888" s="38" t="s">
        <v>16</v>
      </c>
      <c r="F888" s="38"/>
      <c r="G888" s="39" t="str">
        <f t="shared" si="41"/>
        <v>__</v>
      </c>
      <c r="H888" s="40" t="str">
        <f t="shared" si="42"/>
        <v>FALSE</v>
      </c>
      <c r="I888" s="41">
        <f t="shared" si="43"/>
        <v>0</v>
      </c>
      <c r="J888" s="4" t="s">
        <v>16</v>
      </c>
      <c r="K888" s="43" t="str">
        <f>IF(VLOOKUP(J888,βοηθητικό!$J$2:$N$354,3,FALSE)="","",VLOOKUP(J888,βοηθητικό!$J$2:$N$354,3,FALSE))</f>
        <v>_</v>
      </c>
      <c r="L888" s="44"/>
      <c r="M888" s="5" t="s">
        <v>16</v>
      </c>
      <c r="N888" s="46" t="str">
        <f>IF(VLOOKUP(M888,βοηθητικό!$J$2:$N$354,3,FALSE)="","",VLOOKUP(M888,βοηθητικό!$J$2:$N$354,3,FALSE))</f>
        <v>_</v>
      </c>
      <c r="O888" s="47"/>
      <c r="P888" s="4" t="s">
        <v>16</v>
      </c>
      <c r="Q888" s="43" t="str">
        <f>IF(VLOOKUP(P888,βοηθητικό!$J$2:$N$354,3,FALSE)="","",VLOOKUP(P888,βοηθητικό!$J$2:$N$354,3,FALSE))</f>
        <v>_</v>
      </c>
      <c r="R888" s="44"/>
      <c r="S888" s="5" t="s">
        <v>16</v>
      </c>
      <c r="T888" s="46" t="str">
        <f>IF(VLOOKUP(S888,βοηθητικό!$J$2:$N$354,3,FALSE)="","",VLOOKUP(S888,βοηθητικό!$J$2:$N$354,3,FALSE))</f>
        <v>_</v>
      </c>
      <c r="U888" s="47"/>
      <c r="V888" s="4" t="s">
        <v>16</v>
      </c>
      <c r="W888" s="43" t="str">
        <f>IF(VLOOKUP(V888,βοηθητικό!$J$2:$N$354,3,FALSE)="","",VLOOKUP(V888,βοηθητικό!$J$2:$N$354,3,FALSE))</f>
        <v>_</v>
      </c>
      <c r="X888" s="44"/>
      <c r="Y888" s="5" t="s">
        <v>16</v>
      </c>
      <c r="Z888" s="46" t="str">
        <f>IF(VLOOKUP(Y888,βοηθητικό!$J$2:$N$354,3,FALSE)="","",VLOOKUP(Y888,βοηθητικό!$J$2:$N$354,3,FALSE))</f>
        <v>_</v>
      </c>
      <c r="AA888" s="47"/>
      <c r="AB888" s="4" t="s">
        <v>16</v>
      </c>
      <c r="AC888" s="43" t="str">
        <f>IF(VLOOKUP(AB888,βοηθητικό!$J$2:$N$354,3,FALSE)="","",VLOOKUP(AB888,βοηθητικό!$J$2:$N$354,3,FALSE))</f>
        <v>_</v>
      </c>
      <c r="AD888" s="44"/>
      <c r="AE888" s="5" t="s">
        <v>16</v>
      </c>
      <c r="AF888" s="46" t="str">
        <f>IF(VLOOKUP(AE888,βοηθητικό!$J$2:$N$354,3,FALSE)="","",VLOOKUP(AE888,βοηθητικό!$J$2:$N$354,3,FALSE))</f>
        <v>_</v>
      </c>
      <c r="AG888" s="47"/>
      <c r="AH888" s="4" t="s">
        <v>16</v>
      </c>
      <c r="AI888" s="43" t="str">
        <f>IF(VLOOKUP(AH888,βοηθητικό!$J$2:$N$354,3,FALSE)="","",VLOOKUP(AH888,βοηθητικό!$J$2:$N$354,3,FALSE))</f>
        <v>_</v>
      </c>
      <c r="AJ888" s="44"/>
      <c r="AK888" s="5" t="s">
        <v>16</v>
      </c>
      <c r="AL888" s="46" t="str">
        <f>IF(VLOOKUP(AK888,βοηθητικό!$J$2:$N$354,3,FALSE)="","",VLOOKUP(AK888,βοηθητικό!$J$2:$N$354,3,FALSE))</f>
        <v>_</v>
      </c>
      <c r="AM888" s="47"/>
      <c r="AN888" s="4" t="s">
        <v>16</v>
      </c>
      <c r="AO888" s="43" t="str">
        <f>IF(VLOOKUP(AN888,βοηθητικό!$J$2:$N$354,3,FALSE)="","",VLOOKUP(AN888,βοηθητικό!$J$2:$N$354,3,FALSE))</f>
        <v>_</v>
      </c>
      <c r="AP888" s="44"/>
      <c r="AQ888" s="5" t="s">
        <v>16</v>
      </c>
      <c r="AR888" s="46" t="str">
        <f>IF(VLOOKUP(AQ888,βοηθητικό!$J$2:$N$354,3,FALSE)="","",VLOOKUP(AQ888,βοηθητικό!$J$2:$N$354,3,FALSE))</f>
        <v>_</v>
      </c>
      <c r="AS888" s="47"/>
      <c r="AT888" s="4" t="s">
        <v>16</v>
      </c>
      <c r="AU888" s="43" t="str">
        <f>IF(VLOOKUP(AT888,βοηθητικό!$J$2:$N$354,3,FALSE)="","",VLOOKUP(AT888,βοηθητικό!$J$2:$N$354,3,FALSE))</f>
        <v>_</v>
      </c>
      <c r="AV888" s="44"/>
      <c r="AW888" s="5" t="s">
        <v>16</v>
      </c>
      <c r="AX888" s="46" t="str">
        <f>IF(VLOOKUP(AW888,βοηθητικό!$J$2:$N$354,3,FALSE)="","",VLOOKUP(AW888,βοηθητικό!$J$2:$N$354,3,FALSE))</f>
        <v>_</v>
      </c>
      <c r="AY888" s="47"/>
      <c r="AZ888" s="4" t="s">
        <v>16</v>
      </c>
      <c r="BA888" s="43" t="str">
        <f>IF(VLOOKUP(AZ888,βοηθητικό!$J$2:$N$354,3,FALSE)="","",VLOOKUP(AZ888,βοηθητικό!$J$2:$N$354,3,FALSE))</f>
        <v>_</v>
      </c>
      <c r="BB888" s="44"/>
      <c r="BC888" s="45" t="s">
        <v>16</v>
      </c>
      <c r="BD888" s="46" t="str">
        <f>IF(VLOOKUP(BC888,βοηθητικό!$J$2:$N$354,3,FALSE)="","",VLOOKUP(BC888,βοηθητικό!$J$2:$N$354,3,FALSE))</f>
        <v>_</v>
      </c>
      <c r="BE888" s="47"/>
      <c r="BF888" s="42" t="s">
        <v>16</v>
      </c>
      <c r="BG888" s="43" t="str">
        <f>IF(VLOOKUP(BF888,βοηθητικό!$J$2:$N$354,3,FALSE)="","",VLOOKUP(BF888,βοηθητικό!$J$2:$N$354,3,FALSE))</f>
        <v>_</v>
      </c>
      <c r="BH888" s="44"/>
      <c r="BI888" s="45" t="s">
        <v>16</v>
      </c>
      <c r="BJ888" s="46" t="str">
        <f>IF(VLOOKUP(BI888,βοηθητικό!$J$2:$N$354,3,FALSE)="","",VLOOKUP(BI888,βοηθητικό!$J$2:$N$354,3,FALSE))</f>
        <v>_</v>
      </c>
      <c r="BK888" s="47"/>
      <c r="BL888" s="42" t="s">
        <v>16</v>
      </c>
      <c r="BM888" s="43" t="str">
        <f>IF(VLOOKUP(BL888,βοηθητικό!$J$2:$N$354,3,FALSE)="","",VLOOKUP(BL888,βοηθητικό!$J$2:$N$354,3,FALSE))</f>
        <v>_</v>
      </c>
      <c r="BN888" s="44"/>
      <c r="BO888" s="45" t="s">
        <v>16</v>
      </c>
      <c r="BP888" s="46" t="str">
        <f>IF(VLOOKUP(BO888,βοηθητικό!$J$2:$N$354,3,FALSE)="","",VLOOKUP(BO888,βοηθητικό!$J$2:$N$354,3,FALSE))</f>
        <v>_</v>
      </c>
      <c r="BQ888" s="47"/>
      <c r="BR888" s="42" t="s">
        <v>16</v>
      </c>
      <c r="BS888" s="43" t="str">
        <f>IF(VLOOKUP(BR888,βοηθητικό!$J$2:$N$354,3,FALSE)="","",VLOOKUP(BR888,βοηθητικό!$J$2:$N$354,3,FALSE))</f>
        <v>_</v>
      </c>
      <c r="BT888" s="44"/>
      <c r="BU888" s="45" t="s">
        <v>16</v>
      </c>
      <c r="BV888" s="46" t="str">
        <f>IF(VLOOKUP(BU888,βοηθητικό!$J$2:$N$354,3,FALSE)="","",VLOOKUP(BU888,βοηθητικό!$J$2:$N$354,3,FALSE))</f>
        <v>_</v>
      </c>
      <c r="BW888" s="47"/>
      <c r="BX888" s="42" t="s">
        <v>16</v>
      </c>
      <c r="BY888" s="43" t="str">
        <f>IF(VLOOKUP(BX888,βοηθητικό!$J$2:$N$354,3,FALSE)="","",VLOOKUP(BX888,βοηθητικό!$J$2:$N$354,3,FALSE))</f>
        <v>_</v>
      </c>
      <c r="BZ888" s="44"/>
      <c r="CA888" s="45" t="s">
        <v>16</v>
      </c>
      <c r="CB888" s="46" t="str">
        <f>IF(VLOOKUP(CA888,βοηθητικό!$J$2:$N$354,3,FALSE)="","",VLOOKUP(CA888,βοηθητικό!$J$2:$N$354,3,FALSE))</f>
        <v>_</v>
      </c>
      <c r="CC888" s="47"/>
      <c r="CD888" s="42" t="s">
        <v>16</v>
      </c>
      <c r="CE888" s="43" t="str">
        <f>IF(VLOOKUP(CD888,βοηθητικό!$J$2:$N$354,3,FALSE)="","",VLOOKUP(CD888,βοηθητικό!$J$2:$N$354,3,FALSE))</f>
        <v>_</v>
      </c>
      <c r="CF888" s="44"/>
      <c r="CG888" s="45" t="s">
        <v>16</v>
      </c>
      <c r="CH888" s="46" t="str">
        <f>IF(VLOOKUP(CG888,βοηθητικό!$J$2:$N$354,3,FALSE)="","",VLOOKUP(CG888,βοηθητικό!$J$2:$N$354,3,FALSE))</f>
        <v>_</v>
      </c>
      <c r="CI888" s="47"/>
      <c r="CJ888" s="42" t="s">
        <v>16</v>
      </c>
      <c r="CK888" s="43" t="str">
        <f>IF(VLOOKUP(CJ888,βοηθητικό!$J$2:$N$354,3,FALSE)="","",VLOOKUP(CJ888,βοηθητικό!$J$2:$N$354,3,FALSE))</f>
        <v>_</v>
      </c>
      <c r="CL888" s="44"/>
      <c r="CM888" s="45" t="s">
        <v>16</v>
      </c>
      <c r="CN888" s="46" t="str">
        <f>IF(VLOOKUP(CM888,βοηθητικό!$J$2:$N$354,3,FALSE)="","",VLOOKUP(CM888,βοηθητικό!$J$2:$N$354,3,FALSE))</f>
        <v>_</v>
      </c>
      <c r="CO888" s="47"/>
      <c r="CP888" s="42" t="s">
        <v>16</v>
      </c>
      <c r="CQ888" s="43" t="str">
        <f>IF(VLOOKUP(CP888,βοηθητικό!$J$2:$N$354,3,FALSE)="","",VLOOKUP(CP888,βοηθητικό!$J$2:$N$354,3,FALSE))</f>
        <v>_</v>
      </c>
      <c r="CR888" s="44"/>
      <c r="CS888" s="45" t="s">
        <v>16</v>
      </c>
      <c r="CT888" s="46" t="str">
        <f>IF(VLOOKUP(CS888,βοηθητικό!$J$2:$N$354,3,FALSE)="","",VLOOKUP(CS888,βοηθητικό!$J$2:$N$354,3,FALSE))</f>
        <v>_</v>
      </c>
      <c r="CU888" s="47"/>
    </row>
    <row r="889" spans="1:99" x14ac:dyDescent="0.25">
      <c r="A889" s="37">
        <f>--SUBTOTAL(3,$B$3:B888)</f>
        <v>198</v>
      </c>
      <c r="B889" s="2"/>
      <c r="C889" s="3"/>
      <c r="D889" s="55" t="s">
        <v>18</v>
      </c>
      <c r="E889" s="38" t="s">
        <v>16</v>
      </c>
      <c r="F889" s="38"/>
      <c r="G889" s="39" t="str">
        <f t="shared" si="41"/>
        <v>__</v>
      </c>
      <c r="H889" s="40" t="str">
        <f t="shared" si="42"/>
        <v>FALSE</v>
      </c>
      <c r="I889" s="41">
        <f t="shared" si="43"/>
        <v>0</v>
      </c>
      <c r="J889" s="4" t="s">
        <v>16</v>
      </c>
      <c r="K889" s="43" t="str">
        <f>IF(VLOOKUP(J889,βοηθητικό!$J$2:$N$354,3,FALSE)="","",VLOOKUP(J889,βοηθητικό!$J$2:$N$354,3,FALSE))</f>
        <v>_</v>
      </c>
      <c r="L889" s="44"/>
      <c r="M889" s="5" t="s">
        <v>16</v>
      </c>
      <c r="N889" s="46" t="str">
        <f>IF(VLOOKUP(M889,βοηθητικό!$J$2:$N$354,3,FALSE)="","",VLOOKUP(M889,βοηθητικό!$J$2:$N$354,3,FALSE))</f>
        <v>_</v>
      </c>
      <c r="O889" s="47"/>
      <c r="P889" s="4" t="s">
        <v>16</v>
      </c>
      <c r="Q889" s="43" t="str">
        <f>IF(VLOOKUP(P889,βοηθητικό!$J$2:$N$354,3,FALSE)="","",VLOOKUP(P889,βοηθητικό!$J$2:$N$354,3,FALSE))</f>
        <v>_</v>
      </c>
      <c r="R889" s="44"/>
      <c r="S889" s="5" t="s">
        <v>16</v>
      </c>
      <c r="T889" s="46" t="str">
        <f>IF(VLOOKUP(S889,βοηθητικό!$J$2:$N$354,3,FALSE)="","",VLOOKUP(S889,βοηθητικό!$J$2:$N$354,3,FALSE))</f>
        <v>_</v>
      </c>
      <c r="U889" s="47"/>
      <c r="V889" s="4" t="s">
        <v>16</v>
      </c>
      <c r="W889" s="43" t="str">
        <f>IF(VLOOKUP(V889,βοηθητικό!$J$2:$N$354,3,FALSE)="","",VLOOKUP(V889,βοηθητικό!$J$2:$N$354,3,FALSE))</f>
        <v>_</v>
      </c>
      <c r="X889" s="44"/>
      <c r="Y889" s="5" t="s">
        <v>16</v>
      </c>
      <c r="Z889" s="46" t="str">
        <f>IF(VLOOKUP(Y889,βοηθητικό!$J$2:$N$354,3,FALSE)="","",VLOOKUP(Y889,βοηθητικό!$J$2:$N$354,3,FALSE))</f>
        <v>_</v>
      </c>
      <c r="AA889" s="47"/>
      <c r="AB889" s="4" t="s">
        <v>16</v>
      </c>
      <c r="AC889" s="43" t="str">
        <f>IF(VLOOKUP(AB889,βοηθητικό!$J$2:$N$354,3,FALSE)="","",VLOOKUP(AB889,βοηθητικό!$J$2:$N$354,3,FALSE))</f>
        <v>_</v>
      </c>
      <c r="AD889" s="44"/>
      <c r="AE889" s="5" t="s">
        <v>16</v>
      </c>
      <c r="AF889" s="46" t="str">
        <f>IF(VLOOKUP(AE889,βοηθητικό!$J$2:$N$354,3,FALSE)="","",VLOOKUP(AE889,βοηθητικό!$J$2:$N$354,3,FALSE))</f>
        <v>_</v>
      </c>
      <c r="AG889" s="47"/>
      <c r="AH889" s="4" t="s">
        <v>16</v>
      </c>
      <c r="AI889" s="43" t="str">
        <f>IF(VLOOKUP(AH889,βοηθητικό!$J$2:$N$354,3,FALSE)="","",VLOOKUP(AH889,βοηθητικό!$J$2:$N$354,3,FALSE))</f>
        <v>_</v>
      </c>
      <c r="AJ889" s="44"/>
      <c r="AK889" s="5" t="s">
        <v>16</v>
      </c>
      <c r="AL889" s="46" t="str">
        <f>IF(VLOOKUP(AK889,βοηθητικό!$J$2:$N$354,3,FALSE)="","",VLOOKUP(AK889,βοηθητικό!$J$2:$N$354,3,FALSE))</f>
        <v>_</v>
      </c>
      <c r="AM889" s="47"/>
      <c r="AN889" s="4" t="s">
        <v>16</v>
      </c>
      <c r="AO889" s="43" t="str">
        <f>IF(VLOOKUP(AN889,βοηθητικό!$J$2:$N$354,3,FALSE)="","",VLOOKUP(AN889,βοηθητικό!$J$2:$N$354,3,FALSE))</f>
        <v>_</v>
      </c>
      <c r="AP889" s="44"/>
      <c r="AQ889" s="5" t="s">
        <v>16</v>
      </c>
      <c r="AR889" s="46" t="str">
        <f>IF(VLOOKUP(AQ889,βοηθητικό!$J$2:$N$354,3,FALSE)="","",VLOOKUP(AQ889,βοηθητικό!$J$2:$N$354,3,FALSE))</f>
        <v>_</v>
      </c>
      <c r="AS889" s="47"/>
      <c r="AT889" s="4" t="s">
        <v>16</v>
      </c>
      <c r="AU889" s="43" t="str">
        <f>IF(VLOOKUP(AT889,βοηθητικό!$J$2:$N$354,3,FALSE)="","",VLOOKUP(AT889,βοηθητικό!$J$2:$N$354,3,FALSE))</f>
        <v>_</v>
      </c>
      <c r="AV889" s="44"/>
      <c r="AW889" s="5" t="s">
        <v>16</v>
      </c>
      <c r="AX889" s="46" t="str">
        <f>IF(VLOOKUP(AW889,βοηθητικό!$J$2:$N$354,3,FALSE)="","",VLOOKUP(AW889,βοηθητικό!$J$2:$N$354,3,FALSE))</f>
        <v>_</v>
      </c>
      <c r="AY889" s="47"/>
      <c r="AZ889" s="4" t="s">
        <v>16</v>
      </c>
      <c r="BA889" s="43" t="str">
        <f>IF(VLOOKUP(AZ889,βοηθητικό!$J$2:$N$354,3,FALSE)="","",VLOOKUP(AZ889,βοηθητικό!$J$2:$N$354,3,FALSE))</f>
        <v>_</v>
      </c>
      <c r="BB889" s="44"/>
      <c r="BC889" s="45" t="s">
        <v>16</v>
      </c>
      <c r="BD889" s="46" t="str">
        <f>IF(VLOOKUP(BC889,βοηθητικό!$J$2:$N$354,3,FALSE)="","",VLOOKUP(BC889,βοηθητικό!$J$2:$N$354,3,FALSE))</f>
        <v>_</v>
      </c>
      <c r="BE889" s="47"/>
      <c r="BF889" s="42" t="s">
        <v>16</v>
      </c>
      <c r="BG889" s="43" t="str">
        <f>IF(VLOOKUP(BF889,βοηθητικό!$J$2:$N$354,3,FALSE)="","",VLOOKUP(BF889,βοηθητικό!$J$2:$N$354,3,FALSE))</f>
        <v>_</v>
      </c>
      <c r="BH889" s="44"/>
      <c r="BI889" s="45" t="s">
        <v>16</v>
      </c>
      <c r="BJ889" s="46" t="str">
        <f>IF(VLOOKUP(BI889,βοηθητικό!$J$2:$N$354,3,FALSE)="","",VLOOKUP(BI889,βοηθητικό!$J$2:$N$354,3,FALSE))</f>
        <v>_</v>
      </c>
      <c r="BK889" s="47"/>
      <c r="BL889" s="42" t="s">
        <v>16</v>
      </c>
      <c r="BM889" s="43" t="str">
        <f>IF(VLOOKUP(BL889,βοηθητικό!$J$2:$N$354,3,FALSE)="","",VLOOKUP(BL889,βοηθητικό!$J$2:$N$354,3,FALSE))</f>
        <v>_</v>
      </c>
      <c r="BN889" s="44"/>
      <c r="BO889" s="45" t="s">
        <v>16</v>
      </c>
      <c r="BP889" s="46" t="str">
        <f>IF(VLOOKUP(BO889,βοηθητικό!$J$2:$N$354,3,FALSE)="","",VLOOKUP(BO889,βοηθητικό!$J$2:$N$354,3,FALSE))</f>
        <v>_</v>
      </c>
      <c r="BQ889" s="47"/>
      <c r="BR889" s="42" t="s">
        <v>16</v>
      </c>
      <c r="BS889" s="43" t="str">
        <f>IF(VLOOKUP(BR889,βοηθητικό!$J$2:$N$354,3,FALSE)="","",VLOOKUP(BR889,βοηθητικό!$J$2:$N$354,3,FALSE))</f>
        <v>_</v>
      </c>
      <c r="BT889" s="44"/>
      <c r="BU889" s="45" t="s">
        <v>16</v>
      </c>
      <c r="BV889" s="46" t="str">
        <f>IF(VLOOKUP(BU889,βοηθητικό!$J$2:$N$354,3,FALSE)="","",VLOOKUP(BU889,βοηθητικό!$J$2:$N$354,3,FALSE))</f>
        <v>_</v>
      </c>
      <c r="BW889" s="47"/>
      <c r="BX889" s="42" t="s">
        <v>16</v>
      </c>
      <c r="BY889" s="43" t="str">
        <f>IF(VLOOKUP(BX889,βοηθητικό!$J$2:$N$354,3,FALSE)="","",VLOOKUP(BX889,βοηθητικό!$J$2:$N$354,3,FALSE))</f>
        <v>_</v>
      </c>
      <c r="BZ889" s="44"/>
      <c r="CA889" s="45" t="s">
        <v>16</v>
      </c>
      <c r="CB889" s="46" t="str">
        <f>IF(VLOOKUP(CA889,βοηθητικό!$J$2:$N$354,3,FALSE)="","",VLOOKUP(CA889,βοηθητικό!$J$2:$N$354,3,FALSE))</f>
        <v>_</v>
      </c>
      <c r="CC889" s="47"/>
      <c r="CD889" s="42" t="s">
        <v>16</v>
      </c>
      <c r="CE889" s="43" t="str">
        <f>IF(VLOOKUP(CD889,βοηθητικό!$J$2:$N$354,3,FALSE)="","",VLOOKUP(CD889,βοηθητικό!$J$2:$N$354,3,FALSE))</f>
        <v>_</v>
      </c>
      <c r="CF889" s="44"/>
      <c r="CG889" s="45" t="s">
        <v>16</v>
      </c>
      <c r="CH889" s="46" t="str">
        <f>IF(VLOOKUP(CG889,βοηθητικό!$J$2:$N$354,3,FALSE)="","",VLOOKUP(CG889,βοηθητικό!$J$2:$N$354,3,FALSE))</f>
        <v>_</v>
      </c>
      <c r="CI889" s="47"/>
      <c r="CJ889" s="42" t="s">
        <v>16</v>
      </c>
      <c r="CK889" s="43" t="str">
        <f>IF(VLOOKUP(CJ889,βοηθητικό!$J$2:$N$354,3,FALSE)="","",VLOOKUP(CJ889,βοηθητικό!$J$2:$N$354,3,FALSE))</f>
        <v>_</v>
      </c>
      <c r="CL889" s="44"/>
      <c r="CM889" s="45" t="s">
        <v>16</v>
      </c>
      <c r="CN889" s="46" t="str">
        <f>IF(VLOOKUP(CM889,βοηθητικό!$J$2:$N$354,3,FALSE)="","",VLOOKUP(CM889,βοηθητικό!$J$2:$N$354,3,FALSE))</f>
        <v>_</v>
      </c>
      <c r="CO889" s="47"/>
      <c r="CP889" s="42" t="s">
        <v>16</v>
      </c>
      <c r="CQ889" s="43" t="str">
        <f>IF(VLOOKUP(CP889,βοηθητικό!$J$2:$N$354,3,FALSE)="","",VLOOKUP(CP889,βοηθητικό!$J$2:$N$354,3,FALSE))</f>
        <v>_</v>
      </c>
      <c r="CR889" s="44"/>
      <c r="CS889" s="45" t="s">
        <v>16</v>
      </c>
      <c r="CT889" s="46" t="str">
        <f>IF(VLOOKUP(CS889,βοηθητικό!$J$2:$N$354,3,FALSE)="","",VLOOKUP(CS889,βοηθητικό!$J$2:$N$354,3,FALSE))</f>
        <v>_</v>
      </c>
      <c r="CU889" s="47"/>
    </row>
    <row r="890" spans="1:99" x14ac:dyDescent="0.25">
      <c r="A890" s="37">
        <f>--SUBTOTAL(3,$B$3:B889)</f>
        <v>198</v>
      </c>
      <c r="B890" s="2"/>
      <c r="C890" s="3"/>
      <c r="D890" s="55" t="s">
        <v>18</v>
      </c>
      <c r="E890" s="38" t="s">
        <v>16</v>
      </c>
      <c r="F890" s="38"/>
      <c r="G890" s="39" t="str">
        <f t="shared" si="41"/>
        <v>__</v>
      </c>
      <c r="H890" s="40" t="str">
        <f t="shared" si="42"/>
        <v>FALSE</v>
      </c>
      <c r="I890" s="41">
        <f t="shared" si="43"/>
        <v>0</v>
      </c>
      <c r="J890" s="4" t="s">
        <v>16</v>
      </c>
      <c r="K890" s="43" t="str">
        <f>IF(VLOOKUP(J890,βοηθητικό!$J$2:$N$354,3,FALSE)="","",VLOOKUP(J890,βοηθητικό!$J$2:$N$354,3,FALSE))</f>
        <v>_</v>
      </c>
      <c r="L890" s="44"/>
      <c r="M890" s="5" t="s">
        <v>16</v>
      </c>
      <c r="N890" s="46" t="str">
        <f>IF(VLOOKUP(M890,βοηθητικό!$J$2:$N$354,3,FALSE)="","",VLOOKUP(M890,βοηθητικό!$J$2:$N$354,3,FALSE))</f>
        <v>_</v>
      </c>
      <c r="O890" s="47"/>
      <c r="P890" s="4" t="s">
        <v>16</v>
      </c>
      <c r="Q890" s="43" t="str">
        <f>IF(VLOOKUP(P890,βοηθητικό!$J$2:$N$354,3,FALSE)="","",VLOOKUP(P890,βοηθητικό!$J$2:$N$354,3,FALSE))</f>
        <v>_</v>
      </c>
      <c r="R890" s="44"/>
      <c r="S890" s="5" t="s">
        <v>16</v>
      </c>
      <c r="T890" s="46" t="str">
        <f>IF(VLOOKUP(S890,βοηθητικό!$J$2:$N$354,3,FALSE)="","",VLOOKUP(S890,βοηθητικό!$J$2:$N$354,3,FALSE))</f>
        <v>_</v>
      </c>
      <c r="U890" s="47"/>
      <c r="V890" s="4" t="s">
        <v>16</v>
      </c>
      <c r="W890" s="43" t="str">
        <f>IF(VLOOKUP(V890,βοηθητικό!$J$2:$N$354,3,FALSE)="","",VLOOKUP(V890,βοηθητικό!$J$2:$N$354,3,FALSE))</f>
        <v>_</v>
      </c>
      <c r="X890" s="44"/>
      <c r="Y890" s="5" t="s">
        <v>16</v>
      </c>
      <c r="Z890" s="46" t="str">
        <f>IF(VLOOKUP(Y890,βοηθητικό!$J$2:$N$354,3,FALSE)="","",VLOOKUP(Y890,βοηθητικό!$J$2:$N$354,3,FALSE))</f>
        <v>_</v>
      </c>
      <c r="AA890" s="47"/>
      <c r="AB890" s="4" t="s">
        <v>16</v>
      </c>
      <c r="AC890" s="43" t="str">
        <f>IF(VLOOKUP(AB890,βοηθητικό!$J$2:$N$354,3,FALSE)="","",VLOOKUP(AB890,βοηθητικό!$J$2:$N$354,3,FALSE))</f>
        <v>_</v>
      </c>
      <c r="AD890" s="44"/>
      <c r="AE890" s="5" t="s">
        <v>16</v>
      </c>
      <c r="AF890" s="46" t="str">
        <f>IF(VLOOKUP(AE890,βοηθητικό!$J$2:$N$354,3,FALSE)="","",VLOOKUP(AE890,βοηθητικό!$J$2:$N$354,3,FALSE))</f>
        <v>_</v>
      </c>
      <c r="AG890" s="47"/>
      <c r="AH890" s="4" t="s">
        <v>16</v>
      </c>
      <c r="AI890" s="43" t="str">
        <f>IF(VLOOKUP(AH890,βοηθητικό!$J$2:$N$354,3,FALSE)="","",VLOOKUP(AH890,βοηθητικό!$J$2:$N$354,3,FALSE))</f>
        <v>_</v>
      </c>
      <c r="AJ890" s="44"/>
      <c r="AK890" s="5" t="s">
        <v>16</v>
      </c>
      <c r="AL890" s="46" t="str">
        <f>IF(VLOOKUP(AK890,βοηθητικό!$J$2:$N$354,3,FALSE)="","",VLOOKUP(AK890,βοηθητικό!$J$2:$N$354,3,FALSE))</f>
        <v>_</v>
      </c>
      <c r="AM890" s="47"/>
      <c r="AN890" s="4" t="s">
        <v>16</v>
      </c>
      <c r="AO890" s="43" t="str">
        <f>IF(VLOOKUP(AN890,βοηθητικό!$J$2:$N$354,3,FALSE)="","",VLOOKUP(AN890,βοηθητικό!$J$2:$N$354,3,FALSE))</f>
        <v>_</v>
      </c>
      <c r="AP890" s="44"/>
      <c r="AQ890" s="5" t="s">
        <v>16</v>
      </c>
      <c r="AR890" s="46" t="str">
        <f>IF(VLOOKUP(AQ890,βοηθητικό!$J$2:$N$354,3,FALSE)="","",VLOOKUP(AQ890,βοηθητικό!$J$2:$N$354,3,FALSE))</f>
        <v>_</v>
      </c>
      <c r="AS890" s="47"/>
      <c r="AT890" s="4" t="s">
        <v>16</v>
      </c>
      <c r="AU890" s="43" t="str">
        <f>IF(VLOOKUP(AT890,βοηθητικό!$J$2:$N$354,3,FALSE)="","",VLOOKUP(AT890,βοηθητικό!$J$2:$N$354,3,FALSE))</f>
        <v>_</v>
      </c>
      <c r="AV890" s="44"/>
      <c r="AW890" s="5" t="s">
        <v>16</v>
      </c>
      <c r="AX890" s="46" t="str">
        <f>IF(VLOOKUP(AW890,βοηθητικό!$J$2:$N$354,3,FALSE)="","",VLOOKUP(AW890,βοηθητικό!$J$2:$N$354,3,FALSE))</f>
        <v>_</v>
      </c>
      <c r="AY890" s="47"/>
      <c r="AZ890" s="4" t="s">
        <v>16</v>
      </c>
      <c r="BA890" s="43" t="str">
        <f>IF(VLOOKUP(AZ890,βοηθητικό!$J$2:$N$354,3,FALSE)="","",VLOOKUP(AZ890,βοηθητικό!$J$2:$N$354,3,FALSE))</f>
        <v>_</v>
      </c>
      <c r="BB890" s="44"/>
      <c r="BC890" s="45" t="s">
        <v>16</v>
      </c>
      <c r="BD890" s="46" t="str">
        <f>IF(VLOOKUP(BC890,βοηθητικό!$J$2:$N$354,3,FALSE)="","",VLOOKUP(BC890,βοηθητικό!$J$2:$N$354,3,FALSE))</f>
        <v>_</v>
      </c>
      <c r="BE890" s="47"/>
      <c r="BF890" s="42" t="s">
        <v>16</v>
      </c>
      <c r="BG890" s="43" t="str">
        <f>IF(VLOOKUP(BF890,βοηθητικό!$J$2:$N$354,3,FALSE)="","",VLOOKUP(BF890,βοηθητικό!$J$2:$N$354,3,FALSE))</f>
        <v>_</v>
      </c>
      <c r="BH890" s="44"/>
      <c r="BI890" s="45" t="s">
        <v>16</v>
      </c>
      <c r="BJ890" s="46" t="str">
        <f>IF(VLOOKUP(BI890,βοηθητικό!$J$2:$N$354,3,FALSE)="","",VLOOKUP(BI890,βοηθητικό!$J$2:$N$354,3,FALSE))</f>
        <v>_</v>
      </c>
      <c r="BK890" s="47"/>
      <c r="BL890" s="42" t="s">
        <v>16</v>
      </c>
      <c r="BM890" s="43" t="str">
        <f>IF(VLOOKUP(BL890,βοηθητικό!$J$2:$N$354,3,FALSE)="","",VLOOKUP(BL890,βοηθητικό!$J$2:$N$354,3,FALSE))</f>
        <v>_</v>
      </c>
      <c r="BN890" s="44"/>
      <c r="BO890" s="45" t="s">
        <v>16</v>
      </c>
      <c r="BP890" s="46" t="str">
        <f>IF(VLOOKUP(BO890,βοηθητικό!$J$2:$N$354,3,FALSE)="","",VLOOKUP(BO890,βοηθητικό!$J$2:$N$354,3,FALSE))</f>
        <v>_</v>
      </c>
      <c r="BQ890" s="47"/>
      <c r="BR890" s="42" t="s">
        <v>16</v>
      </c>
      <c r="BS890" s="43" t="str">
        <f>IF(VLOOKUP(BR890,βοηθητικό!$J$2:$N$354,3,FALSE)="","",VLOOKUP(BR890,βοηθητικό!$J$2:$N$354,3,FALSE))</f>
        <v>_</v>
      </c>
      <c r="BT890" s="44"/>
      <c r="BU890" s="45" t="s">
        <v>16</v>
      </c>
      <c r="BV890" s="46" t="str">
        <f>IF(VLOOKUP(BU890,βοηθητικό!$J$2:$N$354,3,FALSE)="","",VLOOKUP(BU890,βοηθητικό!$J$2:$N$354,3,FALSE))</f>
        <v>_</v>
      </c>
      <c r="BW890" s="47"/>
      <c r="BX890" s="42" t="s">
        <v>16</v>
      </c>
      <c r="BY890" s="43" t="str">
        <f>IF(VLOOKUP(BX890,βοηθητικό!$J$2:$N$354,3,FALSE)="","",VLOOKUP(BX890,βοηθητικό!$J$2:$N$354,3,FALSE))</f>
        <v>_</v>
      </c>
      <c r="BZ890" s="44"/>
      <c r="CA890" s="45" t="s">
        <v>16</v>
      </c>
      <c r="CB890" s="46" t="str">
        <f>IF(VLOOKUP(CA890,βοηθητικό!$J$2:$N$354,3,FALSE)="","",VLOOKUP(CA890,βοηθητικό!$J$2:$N$354,3,FALSE))</f>
        <v>_</v>
      </c>
      <c r="CC890" s="47"/>
      <c r="CD890" s="42" t="s">
        <v>16</v>
      </c>
      <c r="CE890" s="43" t="str">
        <f>IF(VLOOKUP(CD890,βοηθητικό!$J$2:$N$354,3,FALSE)="","",VLOOKUP(CD890,βοηθητικό!$J$2:$N$354,3,FALSE))</f>
        <v>_</v>
      </c>
      <c r="CF890" s="44"/>
      <c r="CG890" s="45" t="s">
        <v>16</v>
      </c>
      <c r="CH890" s="46" t="str">
        <f>IF(VLOOKUP(CG890,βοηθητικό!$J$2:$N$354,3,FALSE)="","",VLOOKUP(CG890,βοηθητικό!$J$2:$N$354,3,FALSE))</f>
        <v>_</v>
      </c>
      <c r="CI890" s="47"/>
      <c r="CJ890" s="42" t="s">
        <v>16</v>
      </c>
      <c r="CK890" s="43" t="str">
        <f>IF(VLOOKUP(CJ890,βοηθητικό!$J$2:$N$354,3,FALSE)="","",VLOOKUP(CJ890,βοηθητικό!$J$2:$N$354,3,FALSE))</f>
        <v>_</v>
      </c>
      <c r="CL890" s="44"/>
      <c r="CM890" s="45" t="s">
        <v>16</v>
      </c>
      <c r="CN890" s="46" t="str">
        <f>IF(VLOOKUP(CM890,βοηθητικό!$J$2:$N$354,3,FALSE)="","",VLOOKUP(CM890,βοηθητικό!$J$2:$N$354,3,FALSE))</f>
        <v>_</v>
      </c>
      <c r="CO890" s="47"/>
      <c r="CP890" s="42" t="s">
        <v>16</v>
      </c>
      <c r="CQ890" s="43" t="str">
        <f>IF(VLOOKUP(CP890,βοηθητικό!$J$2:$N$354,3,FALSE)="","",VLOOKUP(CP890,βοηθητικό!$J$2:$N$354,3,FALSE))</f>
        <v>_</v>
      </c>
      <c r="CR890" s="44"/>
      <c r="CS890" s="45" t="s">
        <v>16</v>
      </c>
      <c r="CT890" s="46" t="str">
        <f>IF(VLOOKUP(CS890,βοηθητικό!$J$2:$N$354,3,FALSE)="","",VLOOKUP(CS890,βοηθητικό!$J$2:$N$354,3,FALSE))</f>
        <v>_</v>
      </c>
      <c r="CU890" s="47"/>
    </row>
    <row r="891" spans="1:99" x14ac:dyDescent="0.25">
      <c r="A891" s="37">
        <f>--SUBTOTAL(3,$B$3:B890)</f>
        <v>198</v>
      </c>
      <c r="B891" s="2"/>
      <c r="C891" s="3"/>
      <c r="D891" s="55" t="s">
        <v>18</v>
      </c>
      <c r="E891" s="38" t="s">
        <v>16</v>
      </c>
      <c r="F891" s="38"/>
      <c r="G891" s="39" t="str">
        <f t="shared" si="41"/>
        <v>__</v>
      </c>
      <c r="H891" s="40" t="str">
        <f t="shared" si="42"/>
        <v>FALSE</v>
      </c>
      <c r="I891" s="41">
        <f t="shared" si="43"/>
        <v>0</v>
      </c>
      <c r="J891" s="4" t="s">
        <v>16</v>
      </c>
      <c r="K891" s="43" t="str">
        <f>IF(VLOOKUP(J891,βοηθητικό!$J$2:$N$354,3,FALSE)="","",VLOOKUP(J891,βοηθητικό!$J$2:$N$354,3,FALSE))</f>
        <v>_</v>
      </c>
      <c r="L891" s="44"/>
      <c r="M891" s="5" t="s">
        <v>16</v>
      </c>
      <c r="N891" s="46" t="str">
        <f>IF(VLOOKUP(M891,βοηθητικό!$J$2:$N$354,3,FALSE)="","",VLOOKUP(M891,βοηθητικό!$J$2:$N$354,3,FALSE))</f>
        <v>_</v>
      </c>
      <c r="O891" s="47"/>
      <c r="P891" s="4" t="s">
        <v>16</v>
      </c>
      <c r="Q891" s="43" t="str">
        <f>IF(VLOOKUP(P891,βοηθητικό!$J$2:$N$354,3,FALSE)="","",VLOOKUP(P891,βοηθητικό!$J$2:$N$354,3,FALSE))</f>
        <v>_</v>
      </c>
      <c r="R891" s="44"/>
      <c r="S891" s="5" t="s">
        <v>16</v>
      </c>
      <c r="T891" s="46" t="str">
        <f>IF(VLOOKUP(S891,βοηθητικό!$J$2:$N$354,3,FALSE)="","",VLOOKUP(S891,βοηθητικό!$J$2:$N$354,3,FALSE))</f>
        <v>_</v>
      </c>
      <c r="U891" s="47"/>
      <c r="V891" s="4" t="s">
        <v>16</v>
      </c>
      <c r="W891" s="43" t="str">
        <f>IF(VLOOKUP(V891,βοηθητικό!$J$2:$N$354,3,FALSE)="","",VLOOKUP(V891,βοηθητικό!$J$2:$N$354,3,FALSE))</f>
        <v>_</v>
      </c>
      <c r="X891" s="44"/>
      <c r="Y891" s="5" t="s">
        <v>16</v>
      </c>
      <c r="Z891" s="46" t="str">
        <f>IF(VLOOKUP(Y891,βοηθητικό!$J$2:$N$354,3,FALSE)="","",VLOOKUP(Y891,βοηθητικό!$J$2:$N$354,3,FALSE))</f>
        <v>_</v>
      </c>
      <c r="AA891" s="47"/>
      <c r="AB891" s="4" t="s">
        <v>16</v>
      </c>
      <c r="AC891" s="43" t="str">
        <f>IF(VLOOKUP(AB891,βοηθητικό!$J$2:$N$354,3,FALSE)="","",VLOOKUP(AB891,βοηθητικό!$J$2:$N$354,3,FALSE))</f>
        <v>_</v>
      </c>
      <c r="AD891" s="44"/>
      <c r="AE891" s="5" t="s">
        <v>16</v>
      </c>
      <c r="AF891" s="46" t="str">
        <f>IF(VLOOKUP(AE891,βοηθητικό!$J$2:$N$354,3,FALSE)="","",VLOOKUP(AE891,βοηθητικό!$J$2:$N$354,3,FALSE))</f>
        <v>_</v>
      </c>
      <c r="AG891" s="47"/>
      <c r="AH891" s="4" t="s">
        <v>16</v>
      </c>
      <c r="AI891" s="43" t="str">
        <f>IF(VLOOKUP(AH891,βοηθητικό!$J$2:$N$354,3,FALSE)="","",VLOOKUP(AH891,βοηθητικό!$J$2:$N$354,3,FALSE))</f>
        <v>_</v>
      </c>
      <c r="AJ891" s="44"/>
      <c r="AK891" s="5" t="s">
        <v>16</v>
      </c>
      <c r="AL891" s="46" t="str">
        <f>IF(VLOOKUP(AK891,βοηθητικό!$J$2:$N$354,3,FALSE)="","",VLOOKUP(AK891,βοηθητικό!$J$2:$N$354,3,FALSE))</f>
        <v>_</v>
      </c>
      <c r="AM891" s="47"/>
      <c r="AN891" s="4" t="s">
        <v>16</v>
      </c>
      <c r="AO891" s="43" t="str">
        <f>IF(VLOOKUP(AN891,βοηθητικό!$J$2:$N$354,3,FALSE)="","",VLOOKUP(AN891,βοηθητικό!$J$2:$N$354,3,FALSE))</f>
        <v>_</v>
      </c>
      <c r="AP891" s="44"/>
      <c r="AQ891" s="5" t="s">
        <v>16</v>
      </c>
      <c r="AR891" s="46" t="str">
        <f>IF(VLOOKUP(AQ891,βοηθητικό!$J$2:$N$354,3,FALSE)="","",VLOOKUP(AQ891,βοηθητικό!$J$2:$N$354,3,FALSE))</f>
        <v>_</v>
      </c>
      <c r="AS891" s="47"/>
      <c r="AT891" s="4" t="s">
        <v>16</v>
      </c>
      <c r="AU891" s="43" t="str">
        <f>IF(VLOOKUP(AT891,βοηθητικό!$J$2:$N$354,3,FALSE)="","",VLOOKUP(AT891,βοηθητικό!$J$2:$N$354,3,FALSE))</f>
        <v>_</v>
      </c>
      <c r="AV891" s="44"/>
      <c r="AW891" s="5" t="s">
        <v>16</v>
      </c>
      <c r="AX891" s="46" t="str">
        <f>IF(VLOOKUP(AW891,βοηθητικό!$J$2:$N$354,3,FALSE)="","",VLOOKUP(AW891,βοηθητικό!$J$2:$N$354,3,FALSE))</f>
        <v>_</v>
      </c>
      <c r="AY891" s="47"/>
      <c r="AZ891" s="4" t="s">
        <v>16</v>
      </c>
      <c r="BA891" s="43" t="str">
        <f>IF(VLOOKUP(AZ891,βοηθητικό!$J$2:$N$354,3,FALSE)="","",VLOOKUP(AZ891,βοηθητικό!$J$2:$N$354,3,FALSE))</f>
        <v>_</v>
      </c>
      <c r="BB891" s="44"/>
      <c r="BC891" s="45" t="s">
        <v>16</v>
      </c>
      <c r="BD891" s="46" t="str">
        <f>IF(VLOOKUP(BC891,βοηθητικό!$J$2:$N$354,3,FALSE)="","",VLOOKUP(BC891,βοηθητικό!$J$2:$N$354,3,FALSE))</f>
        <v>_</v>
      </c>
      <c r="BE891" s="47"/>
      <c r="BF891" s="42" t="s">
        <v>16</v>
      </c>
      <c r="BG891" s="43" t="str">
        <f>IF(VLOOKUP(BF891,βοηθητικό!$J$2:$N$354,3,FALSE)="","",VLOOKUP(BF891,βοηθητικό!$J$2:$N$354,3,FALSE))</f>
        <v>_</v>
      </c>
      <c r="BH891" s="44"/>
      <c r="BI891" s="45" t="s">
        <v>16</v>
      </c>
      <c r="BJ891" s="46" t="str">
        <f>IF(VLOOKUP(BI891,βοηθητικό!$J$2:$N$354,3,FALSE)="","",VLOOKUP(BI891,βοηθητικό!$J$2:$N$354,3,FALSE))</f>
        <v>_</v>
      </c>
      <c r="BK891" s="47"/>
      <c r="BL891" s="42" t="s">
        <v>16</v>
      </c>
      <c r="BM891" s="43" t="str">
        <f>IF(VLOOKUP(BL891,βοηθητικό!$J$2:$N$354,3,FALSE)="","",VLOOKUP(BL891,βοηθητικό!$J$2:$N$354,3,FALSE))</f>
        <v>_</v>
      </c>
      <c r="BN891" s="44"/>
      <c r="BO891" s="45" t="s">
        <v>16</v>
      </c>
      <c r="BP891" s="46" t="str">
        <f>IF(VLOOKUP(BO891,βοηθητικό!$J$2:$N$354,3,FALSE)="","",VLOOKUP(BO891,βοηθητικό!$J$2:$N$354,3,FALSE))</f>
        <v>_</v>
      </c>
      <c r="BQ891" s="47"/>
      <c r="BR891" s="42" t="s">
        <v>16</v>
      </c>
      <c r="BS891" s="43" t="str">
        <f>IF(VLOOKUP(BR891,βοηθητικό!$J$2:$N$354,3,FALSE)="","",VLOOKUP(BR891,βοηθητικό!$J$2:$N$354,3,FALSE))</f>
        <v>_</v>
      </c>
      <c r="BT891" s="44"/>
      <c r="BU891" s="45" t="s">
        <v>16</v>
      </c>
      <c r="BV891" s="46" t="str">
        <f>IF(VLOOKUP(BU891,βοηθητικό!$J$2:$N$354,3,FALSE)="","",VLOOKUP(BU891,βοηθητικό!$J$2:$N$354,3,FALSE))</f>
        <v>_</v>
      </c>
      <c r="BW891" s="47"/>
      <c r="BX891" s="42" t="s">
        <v>16</v>
      </c>
      <c r="BY891" s="43" t="str">
        <f>IF(VLOOKUP(BX891,βοηθητικό!$J$2:$N$354,3,FALSE)="","",VLOOKUP(BX891,βοηθητικό!$J$2:$N$354,3,FALSE))</f>
        <v>_</v>
      </c>
      <c r="BZ891" s="44"/>
      <c r="CA891" s="45" t="s">
        <v>16</v>
      </c>
      <c r="CB891" s="46" t="str">
        <f>IF(VLOOKUP(CA891,βοηθητικό!$J$2:$N$354,3,FALSE)="","",VLOOKUP(CA891,βοηθητικό!$J$2:$N$354,3,FALSE))</f>
        <v>_</v>
      </c>
      <c r="CC891" s="47"/>
      <c r="CD891" s="42" t="s">
        <v>16</v>
      </c>
      <c r="CE891" s="43" t="str">
        <f>IF(VLOOKUP(CD891,βοηθητικό!$J$2:$N$354,3,FALSE)="","",VLOOKUP(CD891,βοηθητικό!$J$2:$N$354,3,FALSE))</f>
        <v>_</v>
      </c>
      <c r="CF891" s="44"/>
      <c r="CG891" s="45" t="s">
        <v>16</v>
      </c>
      <c r="CH891" s="46" t="str">
        <f>IF(VLOOKUP(CG891,βοηθητικό!$J$2:$N$354,3,FALSE)="","",VLOOKUP(CG891,βοηθητικό!$J$2:$N$354,3,FALSE))</f>
        <v>_</v>
      </c>
      <c r="CI891" s="47"/>
      <c r="CJ891" s="42" t="s">
        <v>16</v>
      </c>
      <c r="CK891" s="43" t="str">
        <f>IF(VLOOKUP(CJ891,βοηθητικό!$J$2:$N$354,3,FALSE)="","",VLOOKUP(CJ891,βοηθητικό!$J$2:$N$354,3,FALSE))</f>
        <v>_</v>
      </c>
      <c r="CL891" s="44"/>
      <c r="CM891" s="45" t="s">
        <v>16</v>
      </c>
      <c r="CN891" s="46" t="str">
        <f>IF(VLOOKUP(CM891,βοηθητικό!$J$2:$N$354,3,FALSE)="","",VLOOKUP(CM891,βοηθητικό!$J$2:$N$354,3,FALSE))</f>
        <v>_</v>
      </c>
      <c r="CO891" s="47"/>
      <c r="CP891" s="42" t="s">
        <v>16</v>
      </c>
      <c r="CQ891" s="43" t="str">
        <f>IF(VLOOKUP(CP891,βοηθητικό!$J$2:$N$354,3,FALSE)="","",VLOOKUP(CP891,βοηθητικό!$J$2:$N$354,3,FALSE))</f>
        <v>_</v>
      </c>
      <c r="CR891" s="44"/>
      <c r="CS891" s="45" t="s">
        <v>16</v>
      </c>
      <c r="CT891" s="46" t="str">
        <f>IF(VLOOKUP(CS891,βοηθητικό!$J$2:$N$354,3,FALSE)="","",VLOOKUP(CS891,βοηθητικό!$J$2:$N$354,3,FALSE))</f>
        <v>_</v>
      </c>
      <c r="CU891" s="47"/>
    </row>
    <row r="892" spans="1:99" x14ac:dyDescent="0.25">
      <c r="A892" s="37">
        <f>--SUBTOTAL(3,$B$3:B891)</f>
        <v>198</v>
      </c>
      <c r="B892" s="2"/>
      <c r="C892" s="3"/>
      <c r="D892" s="55" t="s">
        <v>18</v>
      </c>
      <c r="E892" s="38" t="s">
        <v>16</v>
      </c>
      <c r="F892" s="38"/>
      <c r="G892" s="39" t="str">
        <f t="shared" si="41"/>
        <v>__</v>
      </c>
      <c r="H892" s="40" t="str">
        <f t="shared" si="42"/>
        <v>FALSE</v>
      </c>
      <c r="I892" s="41">
        <f t="shared" si="43"/>
        <v>0</v>
      </c>
      <c r="J892" s="4" t="s">
        <v>16</v>
      </c>
      <c r="K892" s="43" t="str">
        <f>IF(VLOOKUP(J892,βοηθητικό!$J$2:$N$354,3,FALSE)="","",VLOOKUP(J892,βοηθητικό!$J$2:$N$354,3,FALSE))</f>
        <v>_</v>
      </c>
      <c r="L892" s="44"/>
      <c r="M892" s="5" t="s">
        <v>16</v>
      </c>
      <c r="N892" s="46" t="str">
        <f>IF(VLOOKUP(M892,βοηθητικό!$J$2:$N$354,3,FALSE)="","",VLOOKUP(M892,βοηθητικό!$J$2:$N$354,3,FALSE))</f>
        <v>_</v>
      </c>
      <c r="O892" s="47"/>
      <c r="P892" s="4" t="s">
        <v>16</v>
      </c>
      <c r="Q892" s="43" t="str">
        <f>IF(VLOOKUP(P892,βοηθητικό!$J$2:$N$354,3,FALSE)="","",VLOOKUP(P892,βοηθητικό!$J$2:$N$354,3,FALSE))</f>
        <v>_</v>
      </c>
      <c r="R892" s="44"/>
      <c r="S892" s="5" t="s">
        <v>16</v>
      </c>
      <c r="T892" s="46" t="str">
        <f>IF(VLOOKUP(S892,βοηθητικό!$J$2:$N$354,3,FALSE)="","",VLOOKUP(S892,βοηθητικό!$J$2:$N$354,3,FALSE))</f>
        <v>_</v>
      </c>
      <c r="U892" s="47"/>
      <c r="V892" s="4" t="s">
        <v>16</v>
      </c>
      <c r="W892" s="43" t="str">
        <f>IF(VLOOKUP(V892,βοηθητικό!$J$2:$N$354,3,FALSE)="","",VLOOKUP(V892,βοηθητικό!$J$2:$N$354,3,FALSE))</f>
        <v>_</v>
      </c>
      <c r="X892" s="44"/>
      <c r="Y892" s="5" t="s">
        <v>16</v>
      </c>
      <c r="Z892" s="46" t="str">
        <f>IF(VLOOKUP(Y892,βοηθητικό!$J$2:$N$354,3,FALSE)="","",VLOOKUP(Y892,βοηθητικό!$J$2:$N$354,3,FALSE))</f>
        <v>_</v>
      </c>
      <c r="AA892" s="47"/>
      <c r="AB892" s="4" t="s">
        <v>16</v>
      </c>
      <c r="AC892" s="43" t="str">
        <f>IF(VLOOKUP(AB892,βοηθητικό!$J$2:$N$354,3,FALSE)="","",VLOOKUP(AB892,βοηθητικό!$J$2:$N$354,3,FALSE))</f>
        <v>_</v>
      </c>
      <c r="AD892" s="44"/>
      <c r="AE892" s="5" t="s">
        <v>16</v>
      </c>
      <c r="AF892" s="46" t="str">
        <f>IF(VLOOKUP(AE892,βοηθητικό!$J$2:$N$354,3,FALSE)="","",VLOOKUP(AE892,βοηθητικό!$J$2:$N$354,3,FALSE))</f>
        <v>_</v>
      </c>
      <c r="AG892" s="47"/>
      <c r="AH892" s="4" t="s">
        <v>16</v>
      </c>
      <c r="AI892" s="43" t="str">
        <f>IF(VLOOKUP(AH892,βοηθητικό!$J$2:$N$354,3,FALSE)="","",VLOOKUP(AH892,βοηθητικό!$J$2:$N$354,3,FALSE))</f>
        <v>_</v>
      </c>
      <c r="AJ892" s="44"/>
      <c r="AK892" s="5" t="s">
        <v>16</v>
      </c>
      <c r="AL892" s="46" t="str">
        <f>IF(VLOOKUP(AK892,βοηθητικό!$J$2:$N$354,3,FALSE)="","",VLOOKUP(AK892,βοηθητικό!$J$2:$N$354,3,FALSE))</f>
        <v>_</v>
      </c>
      <c r="AM892" s="47"/>
      <c r="AN892" s="4" t="s">
        <v>16</v>
      </c>
      <c r="AO892" s="43" t="str">
        <f>IF(VLOOKUP(AN892,βοηθητικό!$J$2:$N$354,3,FALSE)="","",VLOOKUP(AN892,βοηθητικό!$J$2:$N$354,3,FALSE))</f>
        <v>_</v>
      </c>
      <c r="AP892" s="44"/>
      <c r="AQ892" s="5" t="s">
        <v>16</v>
      </c>
      <c r="AR892" s="46" t="str">
        <f>IF(VLOOKUP(AQ892,βοηθητικό!$J$2:$N$354,3,FALSE)="","",VLOOKUP(AQ892,βοηθητικό!$J$2:$N$354,3,FALSE))</f>
        <v>_</v>
      </c>
      <c r="AS892" s="47"/>
      <c r="AT892" s="4" t="s">
        <v>16</v>
      </c>
      <c r="AU892" s="43" t="str">
        <f>IF(VLOOKUP(AT892,βοηθητικό!$J$2:$N$354,3,FALSE)="","",VLOOKUP(AT892,βοηθητικό!$J$2:$N$354,3,FALSE))</f>
        <v>_</v>
      </c>
      <c r="AV892" s="44"/>
      <c r="AW892" s="5" t="s">
        <v>16</v>
      </c>
      <c r="AX892" s="46" t="str">
        <f>IF(VLOOKUP(AW892,βοηθητικό!$J$2:$N$354,3,FALSE)="","",VLOOKUP(AW892,βοηθητικό!$J$2:$N$354,3,FALSE))</f>
        <v>_</v>
      </c>
      <c r="AY892" s="47"/>
      <c r="AZ892" s="4" t="s">
        <v>16</v>
      </c>
      <c r="BA892" s="43" t="str">
        <f>IF(VLOOKUP(AZ892,βοηθητικό!$J$2:$N$354,3,FALSE)="","",VLOOKUP(AZ892,βοηθητικό!$J$2:$N$354,3,FALSE))</f>
        <v>_</v>
      </c>
      <c r="BB892" s="44"/>
      <c r="BC892" s="45" t="s">
        <v>16</v>
      </c>
      <c r="BD892" s="46" t="str">
        <f>IF(VLOOKUP(BC892,βοηθητικό!$J$2:$N$354,3,FALSE)="","",VLOOKUP(BC892,βοηθητικό!$J$2:$N$354,3,FALSE))</f>
        <v>_</v>
      </c>
      <c r="BE892" s="47"/>
      <c r="BF892" s="42" t="s">
        <v>16</v>
      </c>
      <c r="BG892" s="43" t="str">
        <f>IF(VLOOKUP(BF892,βοηθητικό!$J$2:$N$354,3,FALSE)="","",VLOOKUP(BF892,βοηθητικό!$J$2:$N$354,3,FALSE))</f>
        <v>_</v>
      </c>
      <c r="BH892" s="44"/>
      <c r="BI892" s="45" t="s">
        <v>16</v>
      </c>
      <c r="BJ892" s="46" t="str">
        <f>IF(VLOOKUP(BI892,βοηθητικό!$J$2:$N$354,3,FALSE)="","",VLOOKUP(BI892,βοηθητικό!$J$2:$N$354,3,FALSE))</f>
        <v>_</v>
      </c>
      <c r="BK892" s="47"/>
      <c r="BL892" s="42" t="s">
        <v>16</v>
      </c>
      <c r="BM892" s="43" t="str">
        <f>IF(VLOOKUP(BL892,βοηθητικό!$J$2:$N$354,3,FALSE)="","",VLOOKUP(BL892,βοηθητικό!$J$2:$N$354,3,FALSE))</f>
        <v>_</v>
      </c>
      <c r="BN892" s="44"/>
      <c r="BO892" s="45" t="s">
        <v>16</v>
      </c>
      <c r="BP892" s="46" t="str">
        <f>IF(VLOOKUP(BO892,βοηθητικό!$J$2:$N$354,3,FALSE)="","",VLOOKUP(BO892,βοηθητικό!$J$2:$N$354,3,FALSE))</f>
        <v>_</v>
      </c>
      <c r="BQ892" s="47"/>
      <c r="BR892" s="42" t="s">
        <v>16</v>
      </c>
      <c r="BS892" s="43" t="str">
        <f>IF(VLOOKUP(BR892,βοηθητικό!$J$2:$N$354,3,FALSE)="","",VLOOKUP(BR892,βοηθητικό!$J$2:$N$354,3,FALSE))</f>
        <v>_</v>
      </c>
      <c r="BT892" s="44"/>
      <c r="BU892" s="45" t="s">
        <v>16</v>
      </c>
      <c r="BV892" s="46" t="str">
        <f>IF(VLOOKUP(BU892,βοηθητικό!$J$2:$N$354,3,FALSE)="","",VLOOKUP(BU892,βοηθητικό!$J$2:$N$354,3,FALSE))</f>
        <v>_</v>
      </c>
      <c r="BW892" s="47"/>
      <c r="BX892" s="42" t="s">
        <v>16</v>
      </c>
      <c r="BY892" s="43" t="str">
        <f>IF(VLOOKUP(BX892,βοηθητικό!$J$2:$N$354,3,FALSE)="","",VLOOKUP(BX892,βοηθητικό!$J$2:$N$354,3,FALSE))</f>
        <v>_</v>
      </c>
      <c r="BZ892" s="44"/>
      <c r="CA892" s="45" t="s">
        <v>16</v>
      </c>
      <c r="CB892" s="46" t="str">
        <f>IF(VLOOKUP(CA892,βοηθητικό!$J$2:$N$354,3,FALSE)="","",VLOOKUP(CA892,βοηθητικό!$J$2:$N$354,3,FALSE))</f>
        <v>_</v>
      </c>
      <c r="CC892" s="47"/>
      <c r="CD892" s="42" t="s">
        <v>16</v>
      </c>
      <c r="CE892" s="43" t="str">
        <f>IF(VLOOKUP(CD892,βοηθητικό!$J$2:$N$354,3,FALSE)="","",VLOOKUP(CD892,βοηθητικό!$J$2:$N$354,3,FALSE))</f>
        <v>_</v>
      </c>
      <c r="CF892" s="44"/>
      <c r="CG892" s="45" t="s">
        <v>16</v>
      </c>
      <c r="CH892" s="46" t="str">
        <f>IF(VLOOKUP(CG892,βοηθητικό!$J$2:$N$354,3,FALSE)="","",VLOOKUP(CG892,βοηθητικό!$J$2:$N$354,3,FALSE))</f>
        <v>_</v>
      </c>
      <c r="CI892" s="47"/>
      <c r="CJ892" s="42" t="s">
        <v>16</v>
      </c>
      <c r="CK892" s="43" t="str">
        <f>IF(VLOOKUP(CJ892,βοηθητικό!$J$2:$N$354,3,FALSE)="","",VLOOKUP(CJ892,βοηθητικό!$J$2:$N$354,3,FALSE))</f>
        <v>_</v>
      </c>
      <c r="CL892" s="44"/>
      <c r="CM892" s="45" t="s">
        <v>16</v>
      </c>
      <c r="CN892" s="46" t="str">
        <f>IF(VLOOKUP(CM892,βοηθητικό!$J$2:$N$354,3,FALSE)="","",VLOOKUP(CM892,βοηθητικό!$J$2:$N$354,3,FALSE))</f>
        <v>_</v>
      </c>
      <c r="CO892" s="47"/>
      <c r="CP892" s="42" t="s">
        <v>16</v>
      </c>
      <c r="CQ892" s="43" t="str">
        <f>IF(VLOOKUP(CP892,βοηθητικό!$J$2:$N$354,3,FALSE)="","",VLOOKUP(CP892,βοηθητικό!$J$2:$N$354,3,FALSE))</f>
        <v>_</v>
      </c>
      <c r="CR892" s="44"/>
      <c r="CS892" s="45" t="s">
        <v>16</v>
      </c>
      <c r="CT892" s="46" t="str">
        <f>IF(VLOOKUP(CS892,βοηθητικό!$J$2:$N$354,3,FALSE)="","",VLOOKUP(CS892,βοηθητικό!$J$2:$N$354,3,FALSE))</f>
        <v>_</v>
      </c>
      <c r="CU892" s="47"/>
    </row>
    <row r="893" spans="1:99" x14ac:dyDescent="0.25">
      <c r="A893" s="37">
        <f>--SUBTOTAL(3,$B$3:B892)</f>
        <v>198</v>
      </c>
      <c r="B893" s="2"/>
      <c r="C893" s="3"/>
      <c r="D893" s="55" t="s">
        <v>18</v>
      </c>
      <c r="E893" s="38" t="s">
        <v>16</v>
      </c>
      <c r="F893" s="38"/>
      <c r="G893" s="39" t="str">
        <f t="shared" si="41"/>
        <v>__</v>
      </c>
      <c r="H893" s="40" t="str">
        <f t="shared" si="42"/>
        <v>FALSE</v>
      </c>
      <c r="I893" s="41">
        <f t="shared" si="43"/>
        <v>0</v>
      </c>
      <c r="J893" s="4" t="s">
        <v>16</v>
      </c>
      <c r="K893" s="43" t="str">
        <f>IF(VLOOKUP(J893,βοηθητικό!$J$2:$N$354,3,FALSE)="","",VLOOKUP(J893,βοηθητικό!$J$2:$N$354,3,FALSE))</f>
        <v>_</v>
      </c>
      <c r="L893" s="44"/>
      <c r="M893" s="5" t="s">
        <v>16</v>
      </c>
      <c r="N893" s="46" t="str">
        <f>IF(VLOOKUP(M893,βοηθητικό!$J$2:$N$354,3,FALSE)="","",VLOOKUP(M893,βοηθητικό!$J$2:$N$354,3,FALSE))</f>
        <v>_</v>
      </c>
      <c r="O893" s="47"/>
      <c r="P893" s="4" t="s">
        <v>16</v>
      </c>
      <c r="Q893" s="43" t="str">
        <f>IF(VLOOKUP(P893,βοηθητικό!$J$2:$N$354,3,FALSE)="","",VLOOKUP(P893,βοηθητικό!$J$2:$N$354,3,FALSE))</f>
        <v>_</v>
      </c>
      <c r="R893" s="44"/>
      <c r="S893" s="5" t="s">
        <v>16</v>
      </c>
      <c r="T893" s="46" t="str">
        <f>IF(VLOOKUP(S893,βοηθητικό!$J$2:$N$354,3,FALSE)="","",VLOOKUP(S893,βοηθητικό!$J$2:$N$354,3,FALSE))</f>
        <v>_</v>
      </c>
      <c r="U893" s="47"/>
      <c r="V893" s="4" t="s">
        <v>16</v>
      </c>
      <c r="W893" s="43" t="str">
        <f>IF(VLOOKUP(V893,βοηθητικό!$J$2:$N$354,3,FALSE)="","",VLOOKUP(V893,βοηθητικό!$J$2:$N$354,3,FALSE))</f>
        <v>_</v>
      </c>
      <c r="X893" s="44"/>
      <c r="Y893" s="5" t="s">
        <v>16</v>
      </c>
      <c r="Z893" s="46" t="str">
        <f>IF(VLOOKUP(Y893,βοηθητικό!$J$2:$N$354,3,FALSE)="","",VLOOKUP(Y893,βοηθητικό!$J$2:$N$354,3,FALSE))</f>
        <v>_</v>
      </c>
      <c r="AA893" s="47"/>
      <c r="AB893" s="4" t="s">
        <v>16</v>
      </c>
      <c r="AC893" s="43" t="str">
        <f>IF(VLOOKUP(AB893,βοηθητικό!$J$2:$N$354,3,FALSE)="","",VLOOKUP(AB893,βοηθητικό!$J$2:$N$354,3,FALSE))</f>
        <v>_</v>
      </c>
      <c r="AD893" s="44"/>
      <c r="AE893" s="5" t="s">
        <v>16</v>
      </c>
      <c r="AF893" s="46" t="str">
        <f>IF(VLOOKUP(AE893,βοηθητικό!$J$2:$N$354,3,FALSE)="","",VLOOKUP(AE893,βοηθητικό!$J$2:$N$354,3,FALSE))</f>
        <v>_</v>
      </c>
      <c r="AG893" s="47"/>
      <c r="AH893" s="4" t="s">
        <v>16</v>
      </c>
      <c r="AI893" s="43" t="str">
        <f>IF(VLOOKUP(AH893,βοηθητικό!$J$2:$N$354,3,FALSE)="","",VLOOKUP(AH893,βοηθητικό!$J$2:$N$354,3,FALSE))</f>
        <v>_</v>
      </c>
      <c r="AJ893" s="44"/>
      <c r="AK893" s="5" t="s">
        <v>16</v>
      </c>
      <c r="AL893" s="46" t="str">
        <f>IF(VLOOKUP(AK893,βοηθητικό!$J$2:$N$354,3,FALSE)="","",VLOOKUP(AK893,βοηθητικό!$J$2:$N$354,3,FALSE))</f>
        <v>_</v>
      </c>
      <c r="AM893" s="47"/>
      <c r="AN893" s="4" t="s">
        <v>16</v>
      </c>
      <c r="AO893" s="43" t="str">
        <f>IF(VLOOKUP(AN893,βοηθητικό!$J$2:$N$354,3,FALSE)="","",VLOOKUP(AN893,βοηθητικό!$J$2:$N$354,3,FALSE))</f>
        <v>_</v>
      </c>
      <c r="AP893" s="44"/>
      <c r="AQ893" s="5" t="s">
        <v>16</v>
      </c>
      <c r="AR893" s="46" t="str">
        <f>IF(VLOOKUP(AQ893,βοηθητικό!$J$2:$N$354,3,FALSE)="","",VLOOKUP(AQ893,βοηθητικό!$J$2:$N$354,3,FALSE))</f>
        <v>_</v>
      </c>
      <c r="AS893" s="47"/>
      <c r="AT893" s="4" t="s">
        <v>16</v>
      </c>
      <c r="AU893" s="43" t="str">
        <f>IF(VLOOKUP(AT893,βοηθητικό!$J$2:$N$354,3,FALSE)="","",VLOOKUP(AT893,βοηθητικό!$J$2:$N$354,3,FALSE))</f>
        <v>_</v>
      </c>
      <c r="AV893" s="44"/>
      <c r="AW893" s="5" t="s">
        <v>16</v>
      </c>
      <c r="AX893" s="46" t="str">
        <f>IF(VLOOKUP(AW893,βοηθητικό!$J$2:$N$354,3,FALSE)="","",VLOOKUP(AW893,βοηθητικό!$J$2:$N$354,3,FALSE))</f>
        <v>_</v>
      </c>
      <c r="AY893" s="47"/>
      <c r="AZ893" s="4" t="s">
        <v>16</v>
      </c>
      <c r="BA893" s="43" t="str">
        <f>IF(VLOOKUP(AZ893,βοηθητικό!$J$2:$N$354,3,FALSE)="","",VLOOKUP(AZ893,βοηθητικό!$J$2:$N$354,3,FALSE))</f>
        <v>_</v>
      </c>
      <c r="BB893" s="44"/>
      <c r="BC893" s="45" t="s">
        <v>16</v>
      </c>
      <c r="BD893" s="46" t="str">
        <f>IF(VLOOKUP(BC893,βοηθητικό!$J$2:$N$354,3,FALSE)="","",VLOOKUP(BC893,βοηθητικό!$J$2:$N$354,3,FALSE))</f>
        <v>_</v>
      </c>
      <c r="BE893" s="47"/>
      <c r="BF893" s="42" t="s">
        <v>16</v>
      </c>
      <c r="BG893" s="43" t="str">
        <f>IF(VLOOKUP(BF893,βοηθητικό!$J$2:$N$354,3,FALSE)="","",VLOOKUP(BF893,βοηθητικό!$J$2:$N$354,3,FALSE))</f>
        <v>_</v>
      </c>
      <c r="BH893" s="44"/>
      <c r="BI893" s="45" t="s">
        <v>16</v>
      </c>
      <c r="BJ893" s="46" t="str">
        <f>IF(VLOOKUP(BI893,βοηθητικό!$J$2:$N$354,3,FALSE)="","",VLOOKUP(BI893,βοηθητικό!$J$2:$N$354,3,FALSE))</f>
        <v>_</v>
      </c>
      <c r="BK893" s="47"/>
      <c r="BL893" s="42" t="s">
        <v>16</v>
      </c>
      <c r="BM893" s="43" t="str">
        <f>IF(VLOOKUP(BL893,βοηθητικό!$J$2:$N$354,3,FALSE)="","",VLOOKUP(BL893,βοηθητικό!$J$2:$N$354,3,FALSE))</f>
        <v>_</v>
      </c>
      <c r="BN893" s="44"/>
      <c r="BO893" s="45" t="s">
        <v>16</v>
      </c>
      <c r="BP893" s="46" t="str">
        <f>IF(VLOOKUP(BO893,βοηθητικό!$J$2:$N$354,3,FALSE)="","",VLOOKUP(BO893,βοηθητικό!$J$2:$N$354,3,FALSE))</f>
        <v>_</v>
      </c>
      <c r="BQ893" s="47"/>
      <c r="BR893" s="42" t="s">
        <v>16</v>
      </c>
      <c r="BS893" s="43" t="str">
        <f>IF(VLOOKUP(BR893,βοηθητικό!$J$2:$N$354,3,FALSE)="","",VLOOKUP(BR893,βοηθητικό!$J$2:$N$354,3,FALSE))</f>
        <v>_</v>
      </c>
      <c r="BT893" s="44"/>
      <c r="BU893" s="45" t="s">
        <v>16</v>
      </c>
      <c r="BV893" s="46" t="str">
        <f>IF(VLOOKUP(BU893,βοηθητικό!$J$2:$N$354,3,FALSE)="","",VLOOKUP(BU893,βοηθητικό!$J$2:$N$354,3,FALSE))</f>
        <v>_</v>
      </c>
      <c r="BW893" s="47"/>
      <c r="BX893" s="42" t="s">
        <v>16</v>
      </c>
      <c r="BY893" s="43" t="str">
        <f>IF(VLOOKUP(BX893,βοηθητικό!$J$2:$N$354,3,FALSE)="","",VLOOKUP(BX893,βοηθητικό!$J$2:$N$354,3,FALSE))</f>
        <v>_</v>
      </c>
      <c r="BZ893" s="44"/>
      <c r="CA893" s="45" t="s">
        <v>16</v>
      </c>
      <c r="CB893" s="46" t="str">
        <f>IF(VLOOKUP(CA893,βοηθητικό!$J$2:$N$354,3,FALSE)="","",VLOOKUP(CA893,βοηθητικό!$J$2:$N$354,3,FALSE))</f>
        <v>_</v>
      </c>
      <c r="CC893" s="47"/>
      <c r="CD893" s="42" t="s">
        <v>16</v>
      </c>
      <c r="CE893" s="43" t="str">
        <f>IF(VLOOKUP(CD893,βοηθητικό!$J$2:$N$354,3,FALSE)="","",VLOOKUP(CD893,βοηθητικό!$J$2:$N$354,3,FALSE))</f>
        <v>_</v>
      </c>
      <c r="CF893" s="44"/>
      <c r="CG893" s="45" t="s">
        <v>16</v>
      </c>
      <c r="CH893" s="46" t="str">
        <f>IF(VLOOKUP(CG893,βοηθητικό!$J$2:$N$354,3,FALSE)="","",VLOOKUP(CG893,βοηθητικό!$J$2:$N$354,3,FALSE))</f>
        <v>_</v>
      </c>
      <c r="CI893" s="47"/>
      <c r="CJ893" s="42" t="s">
        <v>16</v>
      </c>
      <c r="CK893" s="43" t="str">
        <f>IF(VLOOKUP(CJ893,βοηθητικό!$J$2:$N$354,3,FALSE)="","",VLOOKUP(CJ893,βοηθητικό!$J$2:$N$354,3,FALSE))</f>
        <v>_</v>
      </c>
      <c r="CL893" s="44"/>
      <c r="CM893" s="45" t="s">
        <v>16</v>
      </c>
      <c r="CN893" s="46" t="str">
        <f>IF(VLOOKUP(CM893,βοηθητικό!$J$2:$N$354,3,FALSE)="","",VLOOKUP(CM893,βοηθητικό!$J$2:$N$354,3,FALSE))</f>
        <v>_</v>
      </c>
      <c r="CO893" s="47"/>
      <c r="CP893" s="42" t="s">
        <v>16</v>
      </c>
      <c r="CQ893" s="43" t="str">
        <f>IF(VLOOKUP(CP893,βοηθητικό!$J$2:$N$354,3,FALSE)="","",VLOOKUP(CP893,βοηθητικό!$J$2:$N$354,3,FALSE))</f>
        <v>_</v>
      </c>
      <c r="CR893" s="44"/>
      <c r="CS893" s="45" t="s">
        <v>16</v>
      </c>
      <c r="CT893" s="46" t="str">
        <f>IF(VLOOKUP(CS893,βοηθητικό!$J$2:$N$354,3,FALSE)="","",VLOOKUP(CS893,βοηθητικό!$J$2:$N$354,3,FALSE))</f>
        <v>_</v>
      </c>
      <c r="CU893" s="47"/>
    </row>
    <row r="894" spans="1:99" x14ac:dyDescent="0.25">
      <c r="A894" s="37">
        <f>--SUBTOTAL(3,$B$3:B893)</f>
        <v>198</v>
      </c>
      <c r="B894" s="2"/>
      <c r="C894" s="3"/>
      <c r="D894" s="55" t="s">
        <v>18</v>
      </c>
      <c r="E894" s="38" t="s">
        <v>16</v>
      </c>
      <c r="F894" s="38"/>
      <c r="G894" s="39" t="str">
        <f t="shared" si="41"/>
        <v>__</v>
      </c>
      <c r="H894" s="40" t="str">
        <f t="shared" si="42"/>
        <v>FALSE</v>
      </c>
      <c r="I894" s="41">
        <f t="shared" si="43"/>
        <v>0</v>
      </c>
      <c r="J894" s="4" t="s">
        <v>16</v>
      </c>
      <c r="K894" s="43" t="str">
        <f>IF(VLOOKUP(J894,βοηθητικό!$J$2:$N$354,3,FALSE)="","",VLOOKUP(J894,βοηθητικό!$J$2:$N$354,3,FALSE))</f>
        <v>_</v>
      </c>
      <c r="L894" s="44"/>
      <c r="M894" s="5" t="s">
        <v>16</v>
      </c>
      <c r="N894" s="46" t="str">
        <f>IF(VLOOKUP(M894,βοηθητικό!$J$2:$N$354,3,FALSE)="","",VLOOKUP(M894,βοηθητικό!$J$2:$N$354,3,FALSE))</f>
        <v>_</v>
      </c>
      <c r="O894" s="47"/>
      <c r="P894" s="4" t="s">
        <v>16</v>
      </c>
      <c r="Q894" s="43" t="str">
        <f>IF(VLOOKUP(P894,βοηθητικό!$J$2:$N$354,3,FALSE)="","",VLOOKUP(P894,βοηθητικό!$J$2:$N$354,3,FALSE))</f>
        <v>_</v>
      </c>
      <c r="R894" s="44"/>
      <c r="S894" s="5" t="s">
        <v>16</v>
      </c>
      <c r="T894" s="46" t="str">
        <f>IF(VLOOKUP(S894,βοηθητικό!$J$2:$N$354,3,FALSE)="","",VLOOKUP(S894,βοηθητικό!$J$2:$N$354,3,FALSE))</f>
        <v>_</v>
      </c>
      <c r="U894" s="47"/>
      <c r="V894" s="4" t="s">
        <v>16</v>
      </c>
      <c r="W894" s="43" t="str">
        <f>IF(VLOOKUP(V894,βοηθητικό!$J$2:$N$354,3,FALSE)="","",VLOOKUP(V894,βοηθητικό!$J$2:$N$354,3,FALSE))</f>
        <v>_</v>
      </c>
      <c r="X894" s="44"/>
      <c r="Y894" s="5" t="s">
        <v>16</v>
      </c>
      <c r="Z894" s="46" t="str">
        <f>IF(VLOOKUP(Y894,βοηθητικό!$J$2:$N$354,3,FALSE)="","",VLOOKUP(Y894,βοηθητικό!$J$2:$N$354,3,FALSE))</f>
        <v>_</v>
      </c>
      <c r="AA894" s="47"/>
      <c r="AB894" s="4" t="s">
        <v>16</v>
      </c>
      <c r="AC894" s="43" t="str">
        <f>IF(VLOOKUP(AB894,βοηθητικό!$J$2:$N$354,3,FALSE)="","",VLOOKUP(AB894,βοηθητικό!$J$2:$N$354,3,FALSE))</f>
        <v>_</v>
      </c>
      <c r="AD894" s="44"/>
      <c r="AE894" s="5" t="s">
        <v>16</v>
      </c>
      <c r="AF894" s="46" t="str">
        <f>IF(VLOOKUP(AE894,βοηθητικό!$J$2:$N$354,3,FALSE)="","",VLOOKUP(AE894,βοηθητικό!$J$2:$N$354,3,FALSE))</f>
        <v>_</v>
      </c>
      <c r="AG894" s="47"/>
      <c r="AH894" s="4" t="s">
        <v>16</v>
      </c>
      <c r="AI894" s="43" t="str">
        <f>IF(VLOOKUP(AH894,βοηθητικό!$J$2:$N$354,3,FALSE)="","",VLOOKUP(AH894,βοηθητικό!$J$2:$N$354,3,FALSE))</f>
        <v>_</v>
      </c>
      <c r="AJ894" s="44"/>
      <c r="AK894" s="5" t="s">
        <v>16</v>
      </c>
      <c r="AL894" s="46" t="str">
        <f>IF(VLOOKUP(AK894,βοηθητικό!$J$2:$N$354,3,FALSE)="","",VLOOKUP(AK894,βοηθητικό!$J$2:$N$354,3,FALSE))</f>
        <v>_</v>
      </c>
      <c r="AM894" s="47"/>
      <c r="AN894" s="4" t="s">
        <v>16</v>
      </c>
      <c r="AO894" s="43" t="str">
        <f>IF(VLOOKUP(AN894,βοηθητικό!$J$2:$N$354,3,FALSE)="","",VLOOKUP(AN894,βοηθητικό!$J$2:$N$354,3,FALSE))</f>
        <v>_</v>
      </c>
      <c r="AP894" s="44"/>
      <c r="AQ894" s="5" t="s">
        <v>16</v>
      </c>
      <c r="AR894" s="46" t="str">
        <f>IF(VLOOKUP(AQ894,βοηθητικό!$J$2:$N$354,3,FALSE)="","",VLOOKUP(AQ894,βοηθητικό!$J$2:$N$354,3,FALSE))</f>
        <v>_</v>
      </c>
      <c r="AS894" s="47"/>
      <c r="AT894" s="4" t="s">
        <v>16</v>
      </c>
      <c r="AU894" s="43" t="str">
        <f>IF(VLOOKUP(AT894,βοηθητικό!$J$2:$N$354,3,FALSE)="","",VLOOKUP(AT894,βοηθητικό!$J$2:$N$354,3,FALSE))</f>
        <v>_</v>
      </c>
      <c r="AV894" s="44"/>
      <c r="AW894" s="5" t="s">
        <v>16</v>
      </c>
      <c r="AX894" s="46" t="str">
        <f>IF(VLOOKUP(AW894,βοηθητικό!$J$2:$N$354,3,FALSE)="","",VLOOKUP(AW894,βοηθητικό!$J$2:$N$354,3,FALSE))</f>
        <v>_</v>
      </c>
      <c r="AY894" s="47"/>
      <c r="AZ894" s="4" t="s">
        <v>16</v>
      </c>
      <c r="BA894" s="43" t="str">
        <f>IF(VLOOKUP(AZ894,βοηθητικό!$J$2:$N$354,3,FALSE)="","",VLOOKUP(AZ894,βοηθητικό!$J$2:$N$354,3,FALSE))</f>
        <v>_</v>
      </c>
      <c r="BB894" s="44"/>
      <c r="BC894" s="45" t="s">
        <v>16</v>
      </c>
      <c r="BD894" s="46" t="str">
        <f>IF(VLOOKUP(BC894,βοηθητικό!$J$2:$N$354,3,FALSE)="","",VLOOKUP(BC894,βοηθητικό!$J$2:$N$354,3,FALSE))</f>
        <v>_</v>
      </c>
      <c r="BE894" s="47"/>
      <c r="BF894" s="42" t="s">
        <v>16</v>
      </c>
      <c r="BG894" s="43" t="str">
        <f>IF(VLOOKUP(BF894,βοηθητικό!$J$2:$N$354,3,FALSE)="","",VLOOKUP(BF894,βοηθητικό!$J$2:$N$354,3,FALSE))</f>
        <v>_</v>
      </c>
      <c r="BH894" s="44"/>
      <c r="BI894" s="45" t="s">
        <v>16</v>
      </c>
      <c r="BJ894" s="46" t="str">
        <f>IF(VLOOKUP(BI894,βοηθητικό!$J$2:$N$354,3,FALSE)="","",VLOOKUP(BI894,βοηθητικό!$J$2:$N$354,3,FALSE))</f>
        <v>_</v>
      </c>
      <c r="BK894" s="47"/>
      <c r="BL894" s="42" t="s">
        <v>16</v>
      </c>
      <c r="BM894" s="43" t="str">
        <f>IF(VLOOKUP(BL894,βοηθητικό!$J$2:$N$354,3,FALSE)="","",VLOOKUP(BL894,βοηθητικό!$J$2:$N$354,3,FALSE))</f>
        <v>_</v>
      </c>
      <c r="BN894" s="44"/>
      <c r="BO894" s="45" t="s">
        <v>16</v>
      </c>
      <c r="BP894" s="46" t="str">
        <f>IF(VLOOKUP(BO894,βοηθητικό!$J$2:$N$354,3,FALSE)="","",VLOOKUP(BO894,βοηθητικό!$J$2:$N$354,3,FALSE))</f>
        <v>_</v>
      </c>
      <c r="BQ894" s="47"/>
      <c r="BR894" s="42" t="s">
        <v>16</v>
      </c>
      <c r="BS894" s="43" t="str">
        <f>IF(VLOOKUP(BR894,βοηθητικό!$J$2:$N$354,3,FALSE)="","",VLOOKUP(BR894,βοηθητικό!$J$2:$N$354,3,FALSE))</f>
        <v>_</v>
      </c>
      <c r="BT894" s="44"/>
      <c r="BU894" s="45" t="s">
        <v>16</v>
      </c>
      <c r="BV894" s="46" t="str">
        <f>IF(VLOOKUP(BU894,βοηθητικό!$J$2:$N$354,3,FALSE)="","",VLOOKUP(BU894,βοηθητικό!$J$2:$N$354,3,FALSE))</f>
        <v>_</v>
      </c>
      <c r="BW894" s="47"/>
      <c r="BX894" s="42" t="s">
        <v>16</v>
      </c>
      <c r="BY894" s="43" t="str">
        <f>IF(VLOOKUP(BX894,βοηθητικό!$J$2:$N$354,3,FALSE)="","",VLOOKUP(BX894,βοηθητικό!$J$2:$N$354,3,FALSE))</f>
        <v>_</v>
      </c>
      <c r="BZ894" s="44"/>
      <c r="CA894" s="45" t="s">
        <v>16</v>
      </c>
      <c r="CB894" s="46" t="str">
        <f>IF(VLOOKUP(CA894,βοηθητικό!$J$2:$N$354,3,FALSE)="","",VLOOKUP(CA894,βοηθητικό!$J$2:$N$354,3,FALSE))</f>
        <v>_</v>
      </c>
      <c r="CC894" s="47"/>
      <c r="CD894" s="42" t="s">
        <v>16</v>
      </c>
      <c r="CE894" s="43" t="str">
        <f>IF(VLOOKUP(CD894,βοηθητικό!$J$2:$N$354,3,FALSE)="","",VLOOKUP(CD894,βοηθητικό!$J$2:$N$354,3,FALSE))</f>
        <v>_</v>
      </c>
      <c r="CF894" s="44"/>
      <c r="CG894" s="45" t="s">
        <v>16</v>
      </c>
      <c r="CH894" s="46" t="str">
        <f>IF(VLOOKUP(CG894,βοηθητικό!$J$2:$N$354,3,FALSE)="","",VLOOKUP(CG894,βοηθητικό!$J$2:$N$354,3,FALSE))</f>
        <v>_</v>
      </c>
      <c r="CI894" s="47"/>
      <c r="CJ894" s="42" t="s">
        <v>16</v>
      </c>
      <c r="CK894" s="43" t="str">
        <f>IF(VLOOKUP(CJ894,βοηθητικό!$J$2:$N$354,3,FALSE)="","",VLOOKUP(CJ894,βοηθητικό!$J$2:$N$354,3,FALSE))</f>
        <v>_</v>
      </c>
      <c r="CL894" s="44"/>
      <c r="CM894" s="45" t="s">
        <v>16</v>
      </c>
      <c r="CN894" s="46" t="str">
        <f>IF(VLOOKUP(CM894,βοηθητικό!$J$2:$N$354,3,FALSE)="","",VLOOKUP(CM894,βοηθητικό!$J$2:$N$354,3,FALSE))</f>
        <v>_</v>
      </c>
      <c r="CO894" s="47"/>
      <c r="CP894" s="42" t="s">
        <v>16</v>
      </c>
      <c r="CQ894" s="43" t="str">
        <f>IF(VLOOKUP(CP894,βοηθητικό!$J$2:$N$354,3,FALSE)="","",VLOOKUP(CP894,βοηθητικό!$J$2:$N$354,3,FALSE))</f>
        <v>_</v>
      </c>
      <c r="CR894" s="44"/>
      <c r="CS894" s="45" t="s">
        <v>16</v>
      </c>
      <c r="CT894" s="46" t="str">
        <f>IF(VLOOKUP(CS894,βοηθητικό!$J$2:$N$354,3,FALSE)="","",VLOOKUP(CS894,βοηθητικό!$J$2:$N$354,3,FALSE))</f>
        <v>_</v>
      </c>
      <c r="CU894" s="47"/>
    </row>
    <row r="895" spans="1:99" x14ac:dyDescent="0.25">
      <c r="A895" s="37">
        <f>--SUBTOTAL(3,$B$3:B894)</f>
        <v>198</v>
      </c>
      <c r="B895" s="2"/>
      <c r="C895" s="3"/>
      <c r="D895" s="55" t="s">
        <v>18</v>
      </c>
      <c r="E895" s="38" t="s">
        <v>16</v>
      </c>
      <c r="F895" s="38"/>
      <c r="G895" s="39" t="str">
        <f t="shared" si="41"/>
        <v>__</v>
      </c>
      <c r="H895" s="40" t="str">
        <f t="shared" si="42"/>
        <v>FALSE</v>
      </c>
      <c r="I895" s="41">
        <f t="shared" si="43"/>
        <v>0</v>
      </c>
      <c r="J895" s="4" t="s">
        <v>16</v>
      </c>
      <c r="K895" s="43" t="str">
        <f>IF(VLOOKUP(J895,βοηθητικό!$J$2:$N$354,3,FALSE)="","",VLOOKUP(J895,βοηθητικό!$J$2:$N$354,3,FALSE))</f>
        <v>_</v>
      </c>
      <c r="L895" s="44"/>
      <c r="M895" s="5" t="s">
        <v>16</v>
      </c>
      <c r="N895" s="46" t="str">
        <f>IF(VLOOKUP(M895,βοηθητικό!$J$2:$N$354,3,FALSE)="","",VLOOKUP(M895,βοηθητικό!$J$2:$N$354,3,FALSE))</f>
        <v>_</v>
      </c>
      <c r="O895" s="47"/>
      <c r="P895" s="4" t="s">
        <v>16</v>
      </c>
      <c r="Q895" s="43" t="str">
        <f>IF(VLOOKUP(P895,βοηθητικό!$J$2:$N$354,3,FALSE)="","",VLOOKUP(P895,βοηθητικό!$J$2:$N$354,3,FALSE))</f>
        <v>_</v>
      </c>
      <c r="R895" s="44"/>
      <c r="S895" s="5" t="s">
        <v>16</v>
      </c>
      <c r="T895" s="46" t="str">
        <f>IF(VLOOKUP(S895,βοηθητικό!$J$2:$N$354,3,FALSE)="","",VLOOKUP(S895,βοηθητικό!$J$2:$N$354,3,FALSE))</f>
        <v>_</v>
      </c>
      <c r="U895" s="47"/>
      <c r="V895" s="4" t="s">
        <v>16</v>
      </c>
      <c r="W895" s="43" t="str">
        <f>IF(VLOOKUP(V895,βοηθητικό!$J$2:$N$354,3,FALSE)="","",VLOOKUP(V895,βοηθητικό!$J$2:$N$354,3,FALSE))</f>
        <v>_</v>
      </c>
      <c r="X895" s="44"/>
      <c r="Y895" s="5" t="s">
        <v>16</v>
      </c>
      <c r="Z895" s="46" t="str">
        <f>IF(VLOOKUP(Y895,βοηθητικό!$J$2:$N$354,3,FALSE)="","",VLOOKUP(Y895,βοηθητικό!$J$2:$N$354,3,FALSE))</f>
        <v>_</v>
      </c>
      <c r="AA895" s="47"/>
      <c r="AB895" s="4" t="s">
        <v>16</v>
      </c>
      <c r="AC895" s="43" t="str">
        <f>IF(VLOOKUP(AB895,βοηθητικό!$J$2:$N$354,3,FALSE)="","",VLOOKUP(AB895,βοηθητικό!$J$2:$N$354,3,FALSE))</f>
        <v>_</v>
      </c>
      <c r="AD895" s="44"/>
      <c r="AE895" s="5" t="s">
        <v>16</v>
      </c>
      <c r="AF895" s="46" t="str">
        <f>IF(VLOOKUP(AE895,βοηθητικό!$J$2:$N$354,3,FALSE)="","",VLOOKUP(AE895,βοηθητικό!$J$2:$N$354,3,FALSE))</f>
        <v>_</v>
      </c>
      <c r="AG895" s="47"/>
      <c r="AH895" s="4" t="s">
        <v>16</v>
      </c>
      <c r="AI895" s="43" t="str">
        <f>IF(VLOOKUP(AH895,βοηθητικό!$J$2:$N$354,3,FALSE)="","",VLOOKUP(AH895,βοηθητικό!$J$2:$N$354,3,FALSE))</f>
        <v>_</v>
      </c>
      <c r="AJ895" s="44"/>
      <c r="AK895" s="5" t="s">
        <v>16</v>
      </c>
      <c r="AL895" s="46" t="str">
        <f>IF(VLOOKUP(AK895,βοηθητικό!$J$2:$N$354,3,FALSE)="","",VLOOKUP(AK895,βοηθητικό!$J$2:$N$354,3,FALSE))</f>
        <v>_</v>
      </c>
      <c r="AM895" s="47"/>
      <c r="AN895" s="4" t="s">
        <v>16</v>
      </c>
      <c r="AO895" s="43" t="str">
        <f>IF(VLOOKUP(AN895,βοηθητικό!$J$2:$N$354,3,FALSE)="","",VLOOKUP(AN895,βοηθητικό!$J$2:$N$354,3,FALSE))</f>
        <v>_</v>
      </c>
      <c r="AP895" s="44"/>
      <c r="AQ895" s="5" t="s">
        <v>16</v>
      </c>
      <c r="AR895" s="46" t="str">
        <f>IF(VLOOKUP(AQ895,βοηθητικό!$J$2:$N$354,3,FALSE)="","",VLOOKUP(AQ895,βοηθητικό!$J$2:$N$354,3,FALSE))</f>
        <v>_</v>
      </c>
      <c r="AS895" s="47"/>
      <c r="AT895" s="4" t="s">
        <v>16</v>
      </c>
      <c r="AU895" s="43" t="str">
        <f>IF(VLOOKUP(AT895,βοηθητικό!$J$2:$N$354,3,FALSE)="","",VLOOKUP(AT895,βοηθητικό!$J$2:$N$354,3,FALSE))</f>
        <v>_</v>
      </c>
      <c r="AV895" s="44"/>
      <c r="AW895" s="5" t="s">
        <v>16</v>
      </c>
      <c r="AX895" s="46" t="str">
        <f>IF(VLOOKUP(AW895,βοηθητικό!$J$2:$N$354,3,FALSE)="","",VLOOKUP(AW895,βοηθητικό!$J$2:$N$354,3,FALSE))</f>
        <v>_</v>
      </c>
      <c r="AY895" s="47"/>
      <c r="AZ895" s="4" t="s">
        <v>16</v>
      </c>
      <c r="BA895" s="43" t="str">
        <f>IF(VLOOKUP(AZ895,βοηθητικό!$J$2:$N$354,3,FALSE)="","",VLOOKUP(AZ895,βοηθητικό!$J$2:$N$354,3,FALSE))</f>
        <v>_</v>
      </c>
      <c r="BB895" s="44"/>
      <c r="BC895" s="45" t="s">
        <v>16</v>
      </c>
      <c r="BD895" s="46" t="str">
        <f>IF(VLOOKUP(BC895,βοηθητικό!$J$2:$N$354,3,FALSE)="","",VLOOKUP(BC895,βοηθητικό!$J$2:$N$354,3,FALSE))</f>
        <v>_</v>
      </c>
      <c r="BE895" s="47"/>
      <c r="BF895" s="42" t="s">
        <v>16</v>
      </c>
      <c r="BG895" s="43" t="str">
        <f>IF(VLOOKUP(BF895,βοηθητικό!$J$2:$N$354,3,FALSE)="","",VLOOKUP(BF895,βοηθητικό!$J$2:$N$354,3,FALSE))</f>
        <v>_</v>
      </c>
      <c r="BH895" s="44"/>
      <c r="BI895" s="45" t="s">
        <v>16</v>
      </c>
      <c r="BJ895" s="46" t="str">
        <f>IF(VLOOKUP(BI895,βοηθητικό!$J$2:$N$354,3,FALSE)="","",VLOOKUP(BI895,βοηθητικό!$J$2:$N$354,3,FALSE))</f>
        <v>_</v>
      </c>
      <c r="BK895" s="47"/>
      <c r="BL895" s="42" t="s">
        <v>16</v>
      </c>
      <c r="BM895" s="43" t="str">
        <f>IF(VLOOKUP(BL895,βοηθητικό!$J$2:$N$354,3,FALSE)="","",VLOOKUP(BL895,βοηθητικό!$J$2:$N$354,3,FALSE))</f>
        <v>_</v>
      </c>
      <c r="BN895" s="44"/>
      <c r="BO895" s="45" t="s">
        <v>16</v>
      </c>
      <c r="BP895" s="46" t="str">
        <f>IF(VLOOKUP(BO895,βοηθητικό!$J$2:$N$354,3,FALSE)="","",VLOOKUP(BO895,βοηθητικό!$J$2:$N$354,3,FALSE))</f>
        <v>_</v>
      </c>
      <c r="BQ895" s="47"/>
      <c r="BR895" s="42" t="s">
        <v>16</v>
      </c>
      <c r="BS895" s="43" t="str">
        <f>IF(VLOOKUP(BR895,βοηθητικό!$J$2:$N$354,3,FALSE)="","",VLOOKUP(BR895,βοηθητικό!$J$2:$N$354,3,FALSE))</f>
        <v>_</v>
      </c>
      <c r="BT895" s="44"/>
      <c r="BU895" s="45" t="s">
        <v>16</v>
      </c>
      <c r="BV895" s="46" t="str">
        <f>IF(VLOOKUP(BU895,βοηθητικό!$J$2:$N$354,3,FALSE)="","",VLOOKUP(BU895,βοηθητικό!$J$2:$N$354,3,FALSE))</f>
        <v>_</v>
      </c>
      <c r="BW895" s="47"/>
      <c r="BX895" s="42" t="s">
        <v>16</v>
      </c>
      <c r="BY895" s="43" t="str">
        <f>IF(VLOOKUP(BX895,βοηθητικό!$J$2:$N$354,3,FALSE)="","",VLOOKUP(BX895,βοηθητικό!$J$2:$N$354,3,FALSE))</f>
        <v>_</v>
      </c>
      <c r="BZ895" s="44"/>
      <c r="CA895" s="45" t="s">
        <v>16</v>
      </c>
      <c r="CB895" s="46" t="str">
        <f>IF(VLOOKUP(CA895,βοηθητικό!$J$2:$N$354,3,FALSE)="","",VLOOKUP(CA895,βοηθητικό!$J$2:$N$354,3,FALSE))</f>
        <v>_</v>
      </c>
      <c r="CC895" s="47"/>
      <c r="CD895" s="42" t="s">
        <v>16</v>
      </c>
      <c r="CE895" s="43" t="str">
        <f>IF(VLOOKUP(CD895,βοηθητικό!$J$2:$N$354,3,FALSE)="","",VLOOKUP(CD895,βοηθητικό!$J$2:$N$354,3,FALSE))</f>
        <v>_</v>
      </c>
      <c r="CF895" s="44"/>
      <c r="CG895" s="45" t="s">
        <v>16</v>
      </c>
      <c r="CH895" s="46" t="str">
        <f>IF(VLOOKUP(CG895,βοηθητικό!$J$2:$N$354,3,FALSE)="","",VLOOKUP(CG895,βοηθητικό!$J$2:$N$354,3,FALSE))</f>
        <v>_</v>
      </c>
      <c r="CI895" s="47"/>
      <c r="CJ895" s="42" t="s">
        <v>16</v>
      </c>
      <c r="CK895" s="43" t="str">
        <f>IF(VLOOKUP(CJ895,βοηθητικό!$J$2:$N$354,3,FALSE)="","",VLOOKUP(CJ895,βοηθητικό!$J$2:$N$354,3,FALSE))</f>
        <v>_</v>
      </c>
      <c r="CL895" s="44"/>
      <c r="CM895" s="45" t="s">
        <v>16</v>
      </c>
      <c r="CN895" s="46" t="str">
        <f>IF(VLOOKUP(CM895,βοηθητικό!$J$2:$N$354,3,FALSE)="","",VLOOKUP(CM895,βοηθητικό!$J$2:$N$354,3,FALSE))</f>
        <v>_</v>
      </c>
      <c r="CO895" s="47"/>
      <c r="CP895" s="42" t="s">
        <v>16</v>
      </c>
      <c r="CQ895" s="43" t="str">
        <f>IF(VLOOKUP(CP895,βοηθητικό!$J$2:$N$354,3,FALSE)="","",VLOOKUP(CP895,βοηθητικό!$J$2:$N$354,3,FALSE))</f>
        <v>_</v>
      </c>
      <c r="CR895" s="44"/>
      <c r="CS895" s="45" t="s">
        <v>16</v>
      </c>
      <c r="CT895" s="46" t="str">
        <f>IF(VLOOKUP(CS895,βοηθητικό!$J$2:$N$354,3,FALSE)="","",VLOOKUP(CS895,βοηθητικό!$J$2:$N$354,3,FALSE))</f>
        <v>_</v>
      </c>
      <c r="CU895" s="47"/>
    </row>
    <row r="896" spans="1:99" x14ac:dyDescent="0.25">
      <c r="A896" s="37">
        <f>--SUBTOTAL(3,$B$3:B895)</f>
        <v>198</v>
      </c>
      <c r="B896" s="2"/>
      <c r="C896" s="3"/>
      <c r="D896" s="55" t="s">
        <v>18</v>
      </c>
      <c r="E896" s="38" t="s">
        <v>16</v>
      </c>
      <c r="F896" s="38"/>
      <c r="G896" s="39" t="str">
        <f t="shared" si="41"/>
        <v>__</v>
      </c>
      <c r="H896" s="40" t="str">
        <f t="shared" si="42"/>
        <v>FALSE</v>
      </c>
      <c r="I896" s="41">
        <f t="shared" si="43"/>
        <v>0</v>
      </c>
      <c r="J896" s="4" t="s">
        <v>16</v>
      </c>
      <c r="K896" s="43" t="str">
        <f>IF(VLOOKUP(J896,βοηθητικό!$J$2:$N$354,3,FALSE)="","",VLOOKUP(J896,βοηθητικό!$J$2:$N$354,3,FALSE))</f>
        <v>_</v>
      </c>
      <c r="L896" s="44"/>
      <c r="M896" s="5" t="s">
        <v>16</v>
      </c>
      <c r="N896" s="46" t="str">
        <f>IF(VLOOKUP(M896,βοηθητικό!$J$2:$N$354,3,FALSE)="","",VLOOKUP(M896,βοηθητικό!$J$2:$N$354,3,FALSE))</f>
        <v>_</v>
      </c>
      <c r="O896" s="47"/>
      <c r="P896" s="4" t="s">
        <v>16</v>
      </c>
      <c r="Q896" s="43" t="str">
        <f>IF(VLOOKUP(P896,βοηθητικό!$J$2:$N$354,3,FALSE)="","",VLOOKUP(P896,βοηθητικό!$J$2:$N$354,3,FALSE))</f>
        <v>_</v>
      </c>
      <c r="R896" s="44"/>
      <c r="S896" s="5" t="s">
        <v>16</v>
      </c>
      <c r="T896" s="46" t="str">
        <f>IF(VLOOKUP(S896,βοηθητικό!$J$2:$N$354,3,FALSE)="","",VLOOKUP(S896,βοηθητικό!$J$2:$N$354,3,FALSE))</f>
        <v>_</v>
      </c>
      <c r="U896" s="47"/>
      <c r="V896" s="4" t="s">
        <v>16</v>
      </c>
      <c r="W896" s="43" t="str">
        <f>IF(VLOOKUP(V896,βοηθητικό!$J$2:$N$354,3,FALSE)="","",VLOOKUP(V896,βοηθητικό!$J$2:$N$354,3,FALSE))</f>
        <v>_</v>
      </c>
      <c r="X896" s="44"/>
      <c r="Y896" s="5" t="s">
        <v>16</v>
      </c>
      <c r="Z896" s="46" t="str">
        <f>IF(VLOOKUP(Y896,βοηθητικό!$J$2:$N$354,3,FALSE)="","",VLOOKUP(Y896,βοηθητικό!$J$2:$N$354,3,FALSE))</f>
        <v>_</v>
      </c>
      <c r="AA896" s="47"/>
      <c r="AB896" s="4" t="s">
        <v>16</v>
      </c>
      <c r="AC896" s="43" t="str">
        <f>IF(VLOOKUP(AB896,βοηθητικό!$J$2:$N$354,3,FALSE)="","",VLOOKUP(AB896,βοηθητικό!$J$2:$N$354,3,FALSE))</f>
        <v>_</v>
      </c>
      <c r="AD896" s="44"/>
      <c r="AE896" s="5" t="s">
        <v>16</v>
      </c>
      <c r="AF896" s="46" t="str">
        <f>IF(VLOOKUP(AE896,βοηθητικό!$J$2:$N$354,3,FALSE)="","",VLOOKUP(AE896,βοηθητικό!$J$2:$N$354,3,FALSE))</f>
        <v>_</v>
      </c>
      <c r="AG896" s="47"/>
      <c r="AH896" s="4" t="s">
        <v>16</v>
      </c>
      <c r="AI896" s="43" t="str">
        <f>IF(VLOOKUP(AH896,βοηθητικό!$J$2:$N$354,3,FALSE)="","",VLOOKUP(AH896,βοηθητικό!$J$2:$N$354,3,FALSE))</f>
        <v>_</v>
      </c>
      <c r="AJ896" s="44"/>
      <c r="AK896" s="5" t="s">
        <v>16</v>
      </c>
      <c r="AL896" s="46" t="str">
        <f>IF(VLOOKUP(AK896,βοηθητικό!$J$2:$N$354,3,FALSE)="","",VLOOKUP(AK896,βοηθητικό!$J$2:$N$354,3,FALSE))</f>
        <v>_</v>
      </c>
      <c r="AM896" s="47"/>
      <c r="AN896" s="4" t="s">
        <v>16</v>
      </c>
      <c r="AO896" s="43" t="str">
        <f>IF(VLOOKUP(AN896,βοηθητικό!$J$2:$N$354,3,FALSE)="","",VLOOKUP(AN896,βοηθητικό!$J$2:$N$354,3,FALSE))</f>
        <v>_</v>
      </c>
      <c r="AP896" s="44"/>
      <c r="AQ896" s="5" t="s">
        <v>16</v>
      </c>
      <c r="AR896" s="46" t="str">
        <f>IF(VLOOKUP(AQ896,βοηθητικό!$J$2:$N$354,3,FALSE)="","",VLOOKUP(AQ896,βοηθητικό!$J$2:$N$354,3,FALSE))</f>
        <v>_</v>
      </c>
      <c r="AS896" s="47"/>
      <c r="AT896" s="4" t="s">
        <v>16</v>
      </c>
      <c r="AU896" s="43" t="str">
        <f>IF(VLOOKUP(AT896,βοηθητικό!$J$2:$N$354,3,FALSE)="","",VLOOKUP(AT896,βοηθητικό!$J$2:$N$354,3,FALSE))</f>
        <v>_</v>
      </c>
      <c r="AV896" s="44"/>
      <c r="AW896" s="5" t="s">
        <v>16</v>
      </c>
      <c r="AX896" s="46" t="str">
        <f>IF(VLOOKUP(AW896,βοηθητικό!$J$2:$N$354,3,FALSE)="","",VLOOKUP(AW896,βοηθητικό!$J$2:$N$354,3,FALSE))</f>
        <v>_</v>
      </c>
      <c r="AY896" s="47"/>
      <c r="AZ896" s="4" t="s">
        <v>16</v>
      </c>
      <c r="BA896" s="43" t="str">
        <f>IF(VLOOKUP(AZ896,βοηθητικό!$J$2:$N$354,3,FALSE)="","",VLOOKUP(AZ896,βοηθητικό!$J$2:$N$354,3,FALSE))</f>
        <v>_</v>
      </c>
      <c r="BB896" s="44"/>
      <c r="BC896" s="45" t="s">
        <v>16</v>
      </c>
      <c r="BD896" s="46" t="str">
        <f>IF(VLOOKUP(BC896,βοηθητικό!$J$2:$N$354,3,FALSE)="","",VLOOKUP(BC896,βοηθητικό!$J$2:$N$354,3,FALSE))</f>
        <v>_</v>
      </c>
      <c r="BE896" s="47"/>
      <c r="BF896" s="42" t="s">
        <v>16</v>
      </c>
      <c r="BG896" s="43" t="str">
        <f>IF(VLOOKUP(BF896,βοηθητικό!$J$2:$N$354,3,FALSE)="","",VLOOKUP(BF896,βοηθητικό!$J$2:$N$354,3,FALSE))</f>
        <v>_</v>
      </c>
      <c r="BH896" s="44"/>
      <c r="BI896" s="45" t="s">
        <v>16</v>
      </c>
      <c r="BJ896" s="46" t="str">
        <f>IF(VLOOKUP(BI896,βοηθητικό!$J$2:$N$354,3,FALSE)="","",VLOOKUP(BI896,βοηθητικό!$J$2:$N$354,3,FALSE))</f>
        <v>_</v>
      </c>
      <c r="BK896" s="47"/>
      <c r="BL896" s="42" t="s">
        <v>16</v>
      </c>
      <c r="BM896" s="43" t="str">
        <f>IF(VLOOKUP(BL896,βοηθητικό!$J$2:$N$354,3,FALSE)="","",VLOOKUP(BL896,βοηθητικό!$J$2:$N$354,3,FALSE))</f>
        <v>_</v>
      </c>
      <c r="BN896" s="44"/>
      <c r="BO896" s="45" t="s">
        <v>16</v>
      </c>
      <c r="BP896" s="46" t="str">
        <f>IF(VLOOKUP(BO896,βοηθητικό!$J$2:$N$354,3,FALSE)="","",VLOOKUP(BO896,βοηθητικό!$J$2:$N$354,3,FALSE))</f>
        <v>_</v>
      </c>
      <c r="BQ896" s="47"/>
      <c r="BR896" s="42" t="s">
        <v>16</v>
      </c>
      <c r="BS896" s="43" t="str">
        <f>IF(VLOOKUP(BR896,βοηθητικό!$J$2:$N$354,3,FALSE)="","",VLOOKUP(BR896,βοηθητικό!$J$2:$N$354,3,FALSE))</f>
        <v>_</v>
      </c>
      <c r="BT896" s="44"/>
      <c r="BU896" s="45" t="s">
        <v>16</v>
      </c>
      <c r="BV896" s="46" t="str">
        <f>IF(VLOOKUP(BU896,βοηθητικό!$J$2:$N$354,3,FALSE)="","",VLOOKUP(BU896,βοηθητικό!$J$2:$N$354,3,FALSE))</f>
        <v>_</v>
      </c>
      <c r="BW896" s="47"/>
      <c r="BX896" s="42" t="s">
        <v>16</v>
      </c>
      <c r="BY896" s="43" t="str">
        <f>IF(VLOOKUP(BX896,βοηθητικό!$J$2:$N$354,3,FALSE)="","",VLOOKUP(BX896,βοηθητικό!$J$2:$N$354,3,FALSE))</f>
        <v>_</v>
      </c>
      <c r="BZ896" s="44"/>
      <c r="CA896" s="45" t="s">
        <v>16</v>
      </c>
      <c r="CB896" s="46" t="str">
        <f>IF(VLOOKUP(CA896,βοηθητικό!$J$2:$N$354,3,FALSE)="","",VLOOKUP(CA896,βοηθητικό!$J$2:$N$354,3,FALSE))</f>
        <v>_</v>
      </c>
      <c r="CC896" s="47"/>
      <c r="CD896" s="42" t="s">
        <v>16</v>
      </c>
      <c r="CE896" s="43" t="str">
        <f>IF(VLOOKUP(CD896,βοηθητικό!$J$2:$N$354,3,FALSE)="","",VLOOKUP(CD896,βοηθητικό!$J$2:$N$354,3,FALSE))</f>
        <v>_</v>
      </c>
      <c r="CF896" s="44"/>
      <c r="CG896" s="45" t="s">
        <v>16</v>
      </c>
      <c r="CH896" s="46" t="str">
        <f>IF(VLOOKUP(CG896,βοηθητικό!$J$2:$N$354,3,FALSE)="","",VLOOKUP(CG896,βοηθητικό!$J$2:$N$354,3,FALSE))</f>
        <v>_</v>
      </c>
      <c r="CI896" s="47"/>
      <c r="CJ896" s="42" t="s">
        <v>16</v>
      </c>
      <c r="CK896" s="43" t="str">
        <f>IF(VLOOKUP(CJ896,βοηθητικό!$J$2:$N$354,3,FALSE)="","",VLOOKUP(CJ896,βοηθητικό!$J$2:$N$354,3,FALSE))</f>
        <v>_</v>
      </c>
      <c r="CL896" s="44"/>
      <c r="CM896" s="45" t="s">
        <v>16</v>
      </c>
      <c r="CN896" s="46" t="str">
        <f>IF(VLOOKUP(CM896,βοηθητικό!$J$2:$N$354,3,FALSE)="","",VLOOKUP(CM896,βοηθητικό!$J$2:$N$354,3,FALSE))</f>
        <v>_</v>
      </c>
      <c r="CO896" s="47"/>
      <c r="CP896" s="42" t="s">
        <v>16</v>
      </c>
      <c r="CQ896" s="43" t="str">
        <f>IF(VLOOKUP(CP896,βοηθητικό!$J$2:$N$354,3,FALSE)="","",VLOOKUP(CP896,βοηθητικό!$J$2:$N$354,3,FALSE))</f>
        <v>_</v>
      </c>
      <c r="CR896" s="44"/>
      <c r="CS896" s="45" t="s">
        <v>16</v>
      </c>
      <c r="CT896" s="46" t="str">
        <f>IF(VLOOKUP(CS896,βοηθητικό!$J$2:$N$354,3,FALSE)="","",VLOOKUP(CS896,βοηθητικό!$J$2:$N$354,3,FALSE))</f>
        <v>_</v>
      </c>
      <c r="CU896" s="47"/>
    </row>
    <row r="897" spans="1:99" x14ac:dyDescent="0.25">
      <c r="A897" s="37">
        <f>--SUBTOTAL(3,$B$3:B896)</f>
        <v>198</v>
      </c>
      <c r="B897" s="2"/>
      <c r="C897" s="3"/>
      <c r="D897" s="55" t="s">
        <v>18</v>
      </c>
      <c r="E897" s="38" t="s">
        <v>16</v>
      </c>
      <c r="F897" s="38"/>
      <c r="G897" s="39" t="str">
        <f t="shared" si="41"/>
        <v>__</v>
      </c>
      <c r="H897" s="40" t="str">
        <f t="shared" si="42"/>
        <v>FALSE</v>
      </c>
      <c r="I897" s="41">
        <f t="shared" si="43"/>
        <v>0</v>
      </c>
      <c r="J897" s="4" t="s">
        <v>16</v>
      </c>
      <c r="K897" s="43" t="str">
        <f>IF(VLOOKUP(J897,βοηθητικό!$J$2:$N$354,3,FALSE)="","",VLOOKUP(J897,βοηθητικό!$J$2:$N$354,3,FALSE))</f>
        <v>_</v>
      </c>
      <c r="L897" s="44"/>
      <c r="M897" s="5" t="s">
        <v>16</v>
      </c>
      <c r="N897" s="46" t="str">
        <f>IF(VLOOKUP(M897,βοηθητικό!$J$2:$N$354,3,FALSE)="","",VLOOKUP(M897,βοηθητικό!$J$2:$N$354,3,FALSE))</f>
        <v>_</v>
      </c>
      <c r="O897" s="47"/>
      <c r="P897" s="4" t="s">
        <v>16</v>
      </c>
      <c r="Q897" s="43" t="str">
        <f>IF(VLOOKUP(P897,βοηθητικό!$J$2:$N$354,3,FALSE)="","",VLOOKUP(P897,βοηθητικό!$J$2:$N$354,3,FALSE))</f>
        <v>_</v>
      </c>
      <c r="R897" s="44"/>
      <c r="S897" s="5" t="s">
        <v>16</v>
      </c>
      <c r="T897" s="46" t="str">
        <f>IF(VLOOKUP(S897,βοηθητικό!$J$2:$N$354,3,FALSE)="","",VLOOKUP(S897,βοηθητικό!$J$2:$N$354,3,FALSE))</f>
        <v>_</v>
      </c>
      <c r="U897" s="47"/>
      <c r="V897" s="4" t="s">
        <v>16</v>
      </c>
      <c r="W897" s="43" t="str">
        <f>IF(VLOOKUP(V897,βοηθητικό!$J$2:$N$354,3,FALSE)="","",VLOOKUP(V897,βοηθητικό!$J$2:$N$354,3,FALSE))</f>
        <v>_</v>
      </c>
      <c r="X897" s="44"/>
      <c r="Y897" s="5" t="s">
        <v>16</v>
      </c>
      <c r="Z897" s="46" t="str">
        <f>IF(VLOOKUP(Y897,βοηθητικό!$J$2:$N$354,3,FALSE)="","",VLOOKUP(Y897,βοηθητικό!$J$2:$N$354,3,FALSE))</f>
        <v>_</v>
      </c>
      <c r="AA897" s="47"/>
      <c r="AB897" s="4" t="s">
        <v>16</v>
      </c>
      <c r="AC897" s="43" t="str">
        <f>IF(VLOOKUP(AB897,βοηθητικό!$J$2:$N$354,3,FALSE)="","",VLOOKUP(AB897,βοηθητικό!$J$2:$N$354,3,FALSE))</f>
        <v>_</v>
      </c>
      <c r="AD897" s="44"/>
      <c r="AE897" s="5" t="s">
        <v>16</v>
      </c>
      <c r="AF897" s="46" t="str">
        <f>IF(VLOOKUP(AE897,βοηθητικό!$J$2:$N$354,3,FALSE)="","",VLOOKUP(AE897,βοηθητικό!$J$2:$N$354,3,FALSE))</f>
        <v>_</v>
      </c>
      <c r="AG897" s="47"/>
      <c r="AH897" s="4" t="s">
        <v>16</v>
      </c>
      <c r="AI897" s="43" t="str">
        <f>IF(VLOOKUP(AH897,βοηθητικό!$J$2:$N$354,3,FALSE)="","",VLOOKUP(AH897,βοηθητικό!$J$2:$N$354,3,FALSE))</f>
        <v>_</v>
      </c>
      <c r="AJ897" s="44"/>
      <c r="AK897" s="5" t="s">
        <v>16</v>
      </c>
      <c r="AL897" s="46" t="str">
        <f>IF(VLOOKUP(AK897,βοηθητικό!$J$2:$N$354,3,FALSE)="","",VLOOKUP(AK897,βοηθητικό!$J$2:$N$354,3,FALSE))</f>
        <v>_</v>
      </c>
      <c r="AM897" s="47"/>
      <c r="AN897" s="4" t="s">
        <v>16</v>
      </c>
      <c r="AO897" s="43" t="str">
        <f>IF(VLOOKUP(AN897,βοηθητικό!$J$2:$N$354,3,FALSE)="","",VLOOKUP(AN897,βοηθητικό!$J$2:$N$354,3,FALSE))</f>
        <v>_</v>
      </c>
      <c r="AP897" s="44"/>
      <c r="AQ897" s="5" t="s">
        <v>16</v>
      </c>
      <c r="AR897" s="46" t="str">
        <f>IF(VLOOKUP(AQ897,βοηθητικό!$J$2:$N$354,3,FALSE)="","",VLOOKUP(AQ897,βοηθητικό!$J$2:$N$354,3,FALSE))</f>
        <v>_</v>
      </c>
      <c r="AS897" s="47"/>
      <c r="AT897" s="4" t="s">
        <v>16</v>
      </c>
      <c r="AU897" s="43" t="str">
        <f>IF(VLOOKUP(AT897,βοηθητικό!$J$2:$N$354,3,FALSE)="","",VLOOKUP(AT897,βοηθητικό!$J$2:$N$354,3,FALSE))</f>
        <v>_</v>
      </c>
      <c r="AV897" s="44"/>
      <c r="AW897" s="5" t="s">
        <v>16</v>
      </c>
      <c r="AX897" s="46" t="str">
        <f>IF(VLOOKUP(AW897,βοηθητικό!$J$2:$N$354,3,FALSE)="","",VLOOKUP(AW897,βοηθητικό!$J$2:$N$354,3,FALSE))</f>
        <v>_</v>
      </c>
      <c r="AY897" s="47"/>
      <c r="AZ897" s="4" t="s">
        <v>16</v>
      </c>
      <c r="BA897" s="43" t="str">
        <f>IF(VLOOKUP(AZ897,βοηθητικό!$J$2:$N$354,3,FALSE)="","",VLOOKUP(AZ897,βοηθητικό!$J$2:$N$354,3,FALSE))</f>
        <v>_</v>
      </c>
      <c r="BB897" s="44"/>
      <c r="BC897" s="45" t="s">
        <v>16</v>
      </c>
      <c r="BD897" s="46" t="str">
        <f>IF(VLOOKUP(BC897,βοηθητικό!$J$2:$N$354,3,FALSE)="","",VLOOKUP(BC897,βοηθητικό!$J$2:$N$354,3,FALSE))</f>
        <v>_</v>
      </c>
      <c r="BE897" s="47"/>
      <c r="BF897" s="42" t="s">
        <v>16</v>
      </c>
      <c r="BG897" s="43" t="str">
        <f>IF(VLOOKUP(BF897,βοηθητικό!$J$2:$N$354,3,FALSE)="","",VLOOKUP(BF897,βοηθητικό!$J$2:$N$354,3,FALSE))</f>
        <v>_</v>
      </c>
      <c r="BH897" s="44"/>
      <c r="BI897" s="45" t="s">
        <v>16</v>
      </c>
      <c r="BJ897" s="46" t="str">
        <f>IF(VLOOKUP(BI897,βοηθητικό!$J$2:$N$354,3,FALSE)="","",VLOOKUP(BI897,βοηθητικό!$J$2:$N$354,3,FALSE))</f>
        <v>_</v>
      </c>
      <c r="BK897" s="47"/>
      <c r="BL897" s="42" t="s">
        <v>16</v>
      </c>
      <c r="BM897" s="43" t="str">
        <f>IF(VLOOKUP(BL897,βοηθητικό!$J$2:$N$354,3,FALSE)="","",VLOOKUP(BL897,βοηθητικό!$J$2:$N$354,3,FALSE))</f>
        <v>_</v>
      </c>
      <c r="BN897" s="44"/>
      <c r="BO897" s="45" t="s">
        <v>16</v>
      </c>
      <c r="BP897" s="46" t="str">
        <f>IF(VLOOKUP(BO897,βοηθητικό!$J$2:$N$354,3,FALSE)="","",VLOOKUP(BO897,βοηθητικό!$J$2:$N$354,3,FALSE))</f>
        <v>_</v>
      </c>
      <c r="BQ897" s="47"/>
      <c r="BR897" s="42" t="s">
        <v>16</v>
      </c>
      <c r="BS897" s="43" t="str">
        <f>IF(VLOOKUP(BR897,βοηθητικό!$J$2:$N$354,3,FALSE)="","",VLOOKUP(BR897,βοηθητικό!$J$2:$N$354,3,FALSE))</f>
        <v>_</v>
      </c>
      <c r="BT897" s="44"/>
      <c r="BU897" s="45" t="s">
        <v>16</v>
      </c>
      <c r="BV897" s="46" t="str">
        <f>IF(VLOOKUP(BU897,βοηθητικό!$J$2:$N$354,3,FALSE)="","",VLOOKUP(BU897,βοηθητικό!$J$2:$N$354,3,FALSE))</f>
        <v>_</v>
      </c>
      <c r="BW897" s="47"/>
      <c r="BX897" s="42" t="s">
        <v>16</v>
      </c>
      <c r="BY897" s="43" t="str">
        <f>IF(VLOOKUP(BX897,βοηθητικό!$J$2:$N$354,3,FALSE)="","",VLOOKUP(BX897,βοηθητικό!$J$2:$N$354,3,FALSE))</f>
        <v>_</v>
      </c>
      <c r="BZ897" s="44"/>
      <c r="CA897" s="45" t="s">
        <v>16</v>
      </c>
      <c r="CB897" s="46" t="str">
        <f>IF(VLOOKUP(CA897,βοηθητικό!$J$2:$N$354,3,FALSE)="","",VLOOKUP(CA897,βοηθητικό!$J$2:$N$354,3,FALSE))</f>
        <v>_</v>
      </c>
      <c r="CC897" s="47"/>
      <c r="CD897" s="42" t="s">
        <v>16</v>
      </c>
      <c r="CE897" s="43" t="str">
        <f>IF(VLOOKUP(CD897,βοηθητικό!$J$2:$N$354,3,FALSE)="","",VLOOKUP(CD897,βοηθητικό!$J$2:$N$354,3,FALSE))</f>
        <v>_</v>
      </c>
      <c r="CF897" s="44"/>
      <c r="CG897" s="45" t="s">
        <v>16</v>
      </c>
      <c r="CH897" s="46" t="str">
        <f>IF(VLOOKUP(CG897,βοηθητικό!$J$2:$N$354,3,FALSE)="","",VLOOKUP(CG897,βοηθητικό!$J$2:$N$354,3,FALSE))</f>
        <v>_</v>
      </c>
      <c r="CI897" s="47"/>
      <c r="CJ897" s="42" t="s">
        <v>16</v>
      </c>
      <c r="CK897" s="43" t="str">
        <f>IF(VLOOKUP(CJ897,βοηθητικό!$J$2:$N$354,3,FALSE)="","",VLOOKUP(CJ897,βοηθητικό!$J$2:$N$354,3,FALSE))</f>
        <v>_</v>
      </c>
      <c r="CL897" s="44"/>
      <c r="CM897" s="45" t="s">
        <v>16</v>
      </c>
      <c r="CN897" s="46" t="str">
        <f>IF(VLOOKUP(CM897,βοηθητικό!$J$2:$N$354,3,FALSE)="","",VLOOKUP(CM897,βοηθητικό!$J$2:$N$354,3,FALSE))</f>
        <v>_</v>
      </c>
      <c r="CO897" s="47"/>
      <c r="CP897" s="42" t="s">
        <v>16</v>
      </c>
      <c r="CQ897" s="43" t="str">
        <f>IF(VLOOKUP(CP897,βοηθητικό!$J$2:$N$354,3,FALSE)="","",VLOOKUP(CP897,βοηθητικό!$J$2:$N$354,3,FALSE))</f>
        <v>_</v>
      </c>
      <c r="CR897" s="44"/>
      <c r="CS897" s="45" t="s">
        <v>16</v>
      </c>
      <c r="CT897" s="46" t="str">
        <f>IF(VLOOKUP(CS897,βοηθητικό!$J$2:$N$354,3,FALSE)="","",VLOOKUP(CS897,βοηθητικό!$J$2:$N$354,3,FALSE))</f>
        <v>_</v>
      </c>
      <c r="CU897" s="47"/>
    </row>
    <row r="898" spans="1:99" x14ac:dyDescent="0.25">
      <c r="A898" s="37">
        <f>--SUBTOTAL(3,$B$3:B897)</f>
        <v>198</v>
      </c>
      <c r="B898" s="2"/>
      <c r="C898" s="3"/>
      <c r="D898" s="55" t="s">
        <v>18</v>
      </c>
      <c r="E898" s="38" t="s">
        <v>16</v>
      </c>
      <c r="F898" s="38"/>
      <c r="G898" s="39" t="str">
        <f t="shared" si="41"/>
        <v>__</v>
      </c>
      <c r="H898" s="40" t="str">
        <f t="shared" si="42"/>
        <v>FALSE</v>
      </c>
      <c r="I898" s="41">
        <f t="shared" si="43"/>
        <v>0</v>
      </c>
      <c r="J898" s="4" t="s">
        <v>16</v>
      </c>
      <c r="K898" s="43" t="str">
        <f>IF(VLOOKUP(J898,βοηθητικό!$J$2:$N$354,3,FALSE)="","",VLOOKUP(J898,βοηθητικό!$J$2:$N$354,3,FALSE))</f>
        <v>_</v>
      </c>
      <c r="L898" s="44"/>
      <c r="M898" s="5" t="s">
        <v>16</v>
      </c>
      <c r="N898" s="46" t="str">
        <f>IF(VLOOKUP(M898,βοηθητικό!$J$2:$N$354,3,FALSE)="","",VLOOKUP(M898,βοηθητικό!$J$2:$N$354,3,FALSE))</f>
        <v>_</v>
      </c>
      <c r="O898" s="47"/>
      <c r="P898" s="4" t="s">
        <v>16</v>
      </c>
      <c r="Q898" s="43" t="str">
        <f>IF(VLOOKUP(P898,βοηθητικό!$J$2:$N$354,3,FALSE)="","",VLOOKUP(P898,βοηθητικό!$J$2:$N$354,3,FALSE))</f>
        <v>_</v>
      </c>
      <c r="R898" s="44"/>
      <c r="S898" s="5" t="s">
        <v>16</v>
      </c>
      <c r="T898" s="46" t="str">
        <f>IF(VLOOKUP(S898,βοηθητικό!$J$2:$N$354,3,FALSE)="","",VLOOKUP(S898,βοηθητικό!$J$2:$N$354,3,FALSE))</f>
        <v>_</v>
      </c>
      <c r="U898" s="47"/>
      <c r="V898" s="4" t="s">
        <v>16</v>
      </c>
      <c r="W898" s="43" t="str">
        <f>IF(VLOOKUP(V898,βοηθητικό!$J$2:$N$354,3,FALSE)="","",VLOOKUP(V898,βοηθητικό!$J$2:$N$354,3,FALSE))</f>
        <v>_</v>
      </c>
      <c r="X898" s="44"/>
      <c r="Y898" s="5" t="s">
        <v>16</v>
      </c>
      <c r="Z898" s="46" t="str">
        <f>IF(VLOOKUP(Y898,βοηθητικό!$J$2:$N$354,3,FALSE)="","",VLOOKUP(Y898,βοηθητικό!$J$2:$N$354,3,FALSE))</f>
        <v>_</v>
      </c>
      <c r="AA898" s="47"/>
      <c r="AB898" s="4" t="s">
        <v>16</v>
      </c>
      <c r="AC898" s="43" t="str">
        <f>IF(VLOOKUP(AB898,βοηθητικό!$J$2:$N$354,3,FALSE)="","",VLOOKUP(AB898,βοηθητικό!$J$2:$N$354,3,FALSE))</f>
        <v>_</v>
      </c>
      <c r="AD898" s="44"/>
      <c r="AE898" s="5" t="s">
        <v>16</v>
      </c>
      <c r="AF898" s="46" t="str">
        <f>IF(VLOOKUP(AE898,βοηθητικό!$J$2:$N$354,3,FALSE)="","",VLOOKUP(AE898,βοηθητικό!$J$2:$N$354,3,FALSE))</f>
        <v>_</v>
      </c>
      <c r="AG898" s="47"/>
      <c r="AH898" s="4" t="s">
        <v>16</v>
      </c>
      <c r="AI898" s="43" t="str">
        <f>IF(VLOOKUP(AH898,βοηθητικό!$J$2:$N$354,3,FALSE)="","",VLOOKUP(AH898,βοηθητικό!$J$2:$N$354,3,FALSE))</f>
        <v>_</v>
      </c>
      <c r="AJ898" s="44"/>
      <c r="AK898" s="5" t="s">
        <v>16</v>
      </c>
      <c r="AL898" s="46" t="str">
        <f>IF(VLOOKUP(AK898,βοηθητικό!$J$2:$N$354,3,FALSE)="","",VLOOKUP(AK898,βοηθητικό!$J$2:$N$354,3,FALSE))</f>
        <v>_</v>
      </c>
      <c r="AM898" s="47"/>
      <c r="AN898" s="4" t="s">
        <v>16</v>
      </c>
      <c r="AO898" s="43" t="str">
        <f>IF(VLOOKUP(AN898,βοηθητικό!$J$2:$N$354,3,FALSE)="","",VLOOKUP(AN898,βοηθητικό!$J$2:$N$354,3,FALSE))</f>
        <v>_</v>
      </c>
      <c r="AP898" s="44"/>
      <c r="AQ898" s="5" t="s">
        <v>16</v>
      </c>
      <c r="AR898" s="46" t="str">
        <f>IF(VLOOKUP(AQ898,βοηθητικό!$J$2:$N$354,3,FALSE)="","",VLOOKUP(AQ898,βοηθητικό!$J$2:$N$354,3,FALSE))</f>
        <v>_</v>
      </c>
      <c r="AS898" s="47"/>
      <c r="AT898" s="4" t="s">
        <v>16</v>
      </c>
      <c r="AU898" s="43" t="str">
        <f>IF(VLOOKUP(AT898,βοηθητικό!$J$2:$N$354,3,FALSE)="","",VLOOKUP(AT898,βοηθητικό!$J$2:$N$354,3,FALSE))</f>
        <v>_</v>
      </c>
      <c r="AV898" s="44"/>
      <c r="AW898" s="5" t="s">
        <v>16</v>
      </c>
      <c r="AX898" s="46" t="str">
        <f>IF(VLOOKUP(AW898,βοηθητικό!$J$2:$N$354,3,FALSE)="","",VLOOKUP(AW898,βοηθητικό!$J$2:$N$354,3,FALSE))</f>
        <v>_</v>
      </c>
      <c r="AY898" s="47"/>
      <c r="AZ898" s="4" t="s">
        <v>16</v>
      </c>
      <c r="BA898" s="43" t="str">
        <f>IF(VLOOKUP(AZ898,βοηθητικό!$J$2:$N$354,3,FALSE)="","",VLOOKUP(AZ898,βοηθητικό!$J$2:$N$354,3,FALSE))</f>
        <v>_</v>
      </c>
      <c r="BB898" s="44"/>
      <c r="BC898" s="45" t="s">
        <v>16</v>
      </c>
      <c r="BD898" s="46" t="str">
        <f>IF(VLOOKUP(BC898,βοηθητικό!$J$2:$N$354,3,FALSE)="","",VLOOKUP(BC898,βοηθητικό!$J$2:$N$354,3,FALSE))</f>
        <v>_</v>
      </c>
      <c r="BE898" s="47"/>
      <c r="BF898" s="42" t="s">
        <v>16</v>
      </c>
      <c r="BG898" s="43" t="str">
        <f>IF(VLOOKUP(BF898,βοηθητικό!$J$2:$N$354,3,FALSE)="","",VLOOKUP(BF898,βοηθητικό!$J$2:$N$354,3,FALSE))</f>
        <v>_</v>
      </c>
      <c r="BH898" s="44"/>
      <c r="BI898" s="45" t="s">
        <v>16</v>
      </c>
      <c r="BJ898" s="46" t="str">
        <f>IF(VLOOKUP(BI898,βοηθητικό!$J$2:$N$354,3,FALSE)="","",VLOOKUP(BI898,βοηθητικό!$J$2:$N$354,3,FALSE))</f>
        <v>_</v>
      </c>
      <c r="BK898" s="47"/>
      <c r="BL898" s="42" t="s">
        <v>16</v>
      </c>
      <c r="BM898" s="43" t="str">
        <f>IF(VLOOKUP(BL898,βοηθητικό!$J$2:$N$354,3,FALSE)="","",VLOOKUP(BL898,βοηθητικό!$J$2:$N$354,3,FALSE))</f>
        <v>_</v>
      </c>
      <c r="BN898" s="44"/>
      <c r="BO898" s="45" t="s">
        <v>16</v>
      </c>
      <c r="BP898" s="46" t="str">
        <f>IF(VLOOKUP(BO898,βοηθητικό!$J$2:$N$354,3,FALSE)="","",VLOOKUP(BO898,βοηθητικό!$J$2:$N$354,3,FALSE))</f>
        <v>_</v>
      </c>
      <c r="BQ898" s="47"/>
      <c r="BR898" s="42" t="s">
        <v>16</v>
      </c>
      <c r="BS898" s="43" t="str">
        <f>IF(VLOOKUP(BR898,βοηθητικό!$J$2:$N$354,3,FALSE)="","",VLOOKUP(BR898,βοηθητικό!$J$2:$N$354,3,FALSE))</f>
        <v>_</v>
      </c>
      <c r="BT898" s="44"/>
      <c r="BU898" s="45" t="s">
        <v>16</v>
      </c>
      <c r="BV898" s="46" t="str">
        <f>IF(VLOOKUP(BU898,βοηθητικό!$J$2:$N$354,3,FALSE)="","",VLOOKUP(BU898,βοηθητικό!$J$2:$N$354,3,FALSE))</f>
        <v>_</v>
      </c>
      <c r="BW898" s="47"/>
      <c r="BX898" s="42" t="s">
        <v>16</v>
      </c>
      <c r="BY898" s="43" t="str">
        <f>IF(VLOOKUP(BX898,βοηθητικό!$J$2:$N$354,3,FALSE)="","",VLOOKUP(BX898,βοηθητικό!$J$2:$N$354,3,FALSE))</f>
        <v>_</v>
      </c>
      <c r="BZ898" s="44"/>
      <c r="CA898" s="45" t="s">
        <v>16</v>
      </c>
      <c r="CB898" s="46" t="str">
        <f>IF(VLOOKUP(CA898,βοηθητικό!$J$2:$N$354,3,FALSE)="","",VLOOKUP(CA898,βοηθητικό!$J$2:$N$354,3,FALSE))</f>
        <v>_</v>
      </c>
      <c r="CC898" s="47"/>
      <c r="CD898" s="42" t="s">
        <v>16</v>
      </c>
      <c r="CE898" s="43" t="str">
        <f>IF(VLOOKUP(CD898,βοηθητικό!$J$2:$N$354,3,FALSE)="","",VLOOKUP(CD898,βοηθητικό!$J$2:$N$354,3,FALSE))</f>
        <v>_</v>
      </c>
      <c r="CF898" s="44"/>
      <c r="CG898" s="45" t="s">
        <v>16</v>
      </c>
      <c r="CH898" s="46" t="str">
        <f>IF(VLOOKUP(CG898,βοηθητικό!$J$2:$N$354,3,FALSE)="","",VLOOKUP(CG898,βοηθητικό!$J$2:$N$354,3,FALSE))</f>
        <v>_</v>
      </c>
      <c r="CI898" s="47"/>
      <c r="CJ898" s="42" t="s">
        <v>16</v>
      </c>
      <c r="CK898" s="43" t="str">
        <f>IF(VLOOKUP(CJ898,βοηθητικό!$J$2:$N$354,3,FALSE)="","",VLOOKUP(CJ898,βοηθητικό!$J$2:$N$354,3,FALSE))</f>
        <v>_</v>
      </c>
      <c r="CL898" s="44"/>
      <c r="CM898" s="45" t="s">
        <v>16</v>
      </c>
      <c r="CN898" s="46" t="str">
        <f>IF(VLOOKUP(CM898,βοηθητικό!$J$2:$N$354,3,FALSE)="","",VLOOKUP(CM898,βοηθητικό!$J$2:$N$354,3,FALSE))</f>
        <v>_</v>
      </c>
      <c r="CO898" s="47"/>
      <c r="CP898" s="42" t="s">
        <v>16</v>
      </c>
      <c r="CQ898" s="43" t="str">
        <f>IF(VLOOKUP(CP898,βοηθητικό!$J$2:$N$354,3,FALSE)="","",VLOOKUP(CP898,βοηθητικό!$J$2:$N$354,3,FALSE))</f>
        <v>_</v>
      </c>
      <c r="CR898" s="44"/>
      <c r="CS898" s="45" t="s">
        <v>16</v>
      </c>
      <c r="CT898" s="46" t="str">
        <f>IF(VLOOKUP(CS898,βοηθητικό!$J$2:$N$354,3,FALSE)="","",VLOOKUP(CS898,βοηθητικό!$J$2:$N$354,3,FALSE))</f>
        <v>_</v>
      </c>
      <c r="CU898" s="47"/>
    </row>
    <row r="899" spans="1:99" x14ac:dyDescent="0.25">
      <c r="A899" s="37">
        <f>--SUBTOTAL(3,$B$3:B898)</f>
        <v>198</v>
      </c>
      <c r="B899" s="2"/>
      <c r="C899" s="3"/>
      <c r="D899" s="55" t="s">
        <v>18</v>
      </c>
      <c r="E899" s="38" t="s">
        <v>16</v>
      </c>
      <c r="F899" s="38"/>
      <c r="G899" s="39" t="str">
        <f t="shared" si="41"/>
        <v>__</v>
      </c>
      <c r="H899" s="40" t="str">
        <f t="shared" si="42"/>
        <v>FALSE</v>
      </c>
      <c r="I899" s="41">
        <f t="shared" si="43"/>
        <v>0</v>
      </c>
      <c r="J899" s="4" t="s">
        <v>16</v>
      </c>
      <c r="K899" s="43" t="str">
        <f>IF(VLOOKUP(J899,βοηθητικό!$J$2:$N$354,3,FALSE)="","",VLOOKUP(J899,βοηθητικό!$J$2:$N$354,3,FALSE))</f>
        <v>_</v>
      </c>
      <c r="L899" s="44"/>
      <c r="M899" s="5" t="s">
        <v>16</v>
      </c>
      <c r="N899" s="46" t="str">
        <f>IF(VLOOKUP(M899,βοηθητικό!$J$2:$N$354,3,FALSE)="","",VLOOKUP(M899,βοηθητικό!$J$2:$N$354,3,FALSE))</f>
        <v>_</v>
      </c>
      <c r="O899" s="47"/>
      <c r="P899" s="4" t="s">
        <v>16</v>
      </c>
      <c r="Q899" s="43" t="str">
        <f>IF(VLOOKUP(P899,βοηθητικό!$J$2:$N$354,3,FALSE)="","",VLOOKUP(P899,βοηθητικό!$J$2:$N$354,3,FALSE))</f>
        <v>_</v>
      </c>
      <c r="R899" s="44"/>
      <c r="S899" s="5" t="s">
        <v>16</v>
      </c>
      <c r="T899" s="46" t="str">
        <f>IF(VLOOKUP(S899,βοηθητικό!$J$2:$N$354,3,FALSE)="","",VLOOKUP(S899,βοηθητικό!$J$2:$N$354,3,FALSE))</f>
        <v>_</v>
      </c>
      <c r="U899" s="47"/>
      <c r="V899" s="4" t="s">
        <v>16</v>
      </c>
      <c r="W899" s="43" t="str">
        <f>IF(VLOOKUP(V899,βοηθητικό!$J$2:$N$354,3,FALSE)="","",VLOOKUP(V899,βοηθητικό!$J$2:$N$354,3,FALSE))</f>
        <v>_</v>
      </c>
      <c r="X899" s="44"/>
      <c r="Y899" s="5" t="s">
        <v>16</v>
      </c>
      <c r="Z899" s="46" t="str">
        <f>IF(VLOOKUP(Y899,βοηθητικό!$J$2:$N$354,3,FALSE)="","",VLOOKUP(Y899,βοηθητικό!$J$2:$N$354,3,FALSE))</f>
        <v>_</v>
      </c>
      <c r="AA899" s="47"/>
      <c r="AB899" s="4" t="s">
        <v>16</v>
      </c>
      <c r="AC899" s="43" t="str">
        <f>IF(VLOOKUP(AB899,βοηθητικό!$J$2:$N$354,3,FALSE)="","",VLOOKUP(AB899,βοηθητικό!$J$2:$N$354,3,FALSE))</f>
        <v>_</v>
      </c>
      <c r="AD899" s="44"/>
      <c r="AE899" s="5" t="s">
        <v>16</v>
      </c>
      <c r="AF899" s="46" t="str">
        <f>IF(VLOOKUP(AE899,βοηθητικό!$J$2:$N$354,3,FALSE)="","",VLOOKUP(AE899,βοηθητικό!$J$2:$N$354,3,FALSE))</f>
        <v>_</v>
      </c>
      <c r="AG899" s="47"/>
      <c r="AH899" s="4" t="s">
        <v>16</v>
      </c>
      <c r="AI899" s="43" t="str">
        <f>IF(VLOOKUP(AH899,βοηθητικό!$J$2:$N$354,3,FALSE)="","",VLOOKUP(AH899,βοηθητικό!$J$2:$N$354,3,FALSE))</f>
        <v>_</v>
      </c>
      <c r="AJ899" s="44"/>
      <c r="AK899" s="5" t="s">
        <v>16</v>
      </c>
      <c r="AL899" s="46" t="str">
        <f>IF(VLOOKUP(AK899,βοηθητικό!$J$2:$N$354,3,FALSE)="","",VLOOKUP(AK899,βοηθητικό!$J$2:$N$354,3,FALSE))</f>
        <v>_</v>
      </c>
      <c r="AM899" s="47"/>
      <c r="AN899" s="4" t="s">
        <v>16</v>
      </c>
      <c r="AO899" s="43" t="str">
        <f>IF(VLOOKUP(AN899,βοηθητικό!$J$2:$N$354,3,FALSE)="","",VLOOKUP(AN899,βοηθητικό!$J$2:$N$354,3,FALSE))</f>
        <v>_</v>
      </c>
      <c r="AP899" s="44"/>
      <c r="AQ899" s="5" t="s">
        <v>16</v>
      </c>
      <c r="AR899" s="46" t="str">
        <f>IF(VLOOKUP(AQ899,βοηθητικό!$J$2:$N$354,3,FALSE)="","",VLOOKUP(AQ899,βοηθητικό!$J$2:$N$354,3,FALSE))</f>
        <v>_</v>
      </c>
      <c r="AS899" s="47"/>
      <c r="AT899" s="4" t="s">
        <v>16</v>
      </c>
      <c r="AU899" s="43" t="str">
        <f>IF(VLOOKUP(AT899,βοηθητικό!$J$2:$N$354,3,FALSE)="","",VLOOKUP(AT899,βοηθητικό!$J$2:$N$354,3,FALSE))</f>
        <v>_</v>
      </c>
      <c r="AV899" s="44"/>
      <c r="AW899" s="5" t="s">
        <v>16</v>
      </c>
      <c r="AX899" s="46" t="str">
        <f>IF(VLOOKUP(AW899,βοηθητικό!$J$2:$N$354,3,FALSE)="","",VLOOKUP(AW899,βοηθητικό!$J$2:$N$354,3,FALSE))</f>
        <v>_</v>
      </c>
      <c r="AY899" s="47"/>
      <c r="AZ899" s="4" t="s">
        <v>16</v>
      </c>
      <c r="BA899" s="43" t="str">
        <f>IF(VLOOKUP(AZ899,βοηθητικό!$J$2:$N$354,3,FALSE)="","",VLOOKUP(AZ899,βοηθητικό!$J$2:$N$354,3,FALSE))</f>
        <v>_</v>
      </c>
      <c r="BB899" s="44"/>
      <c r="BC899" s="45" t="s">
        <v>16</v>
      </c>
      <c r="BD899" s="46" t="str">
        <f>IF(VLOOKUP(BC899,βοηθητικό!$J$2:$N$354,3,FALSE)="","",VLOOKUP(BC899,βοηθητικό!$J$2:$N$354,3,FALSE))</f>
        <v>_</v>
      </c>
      <c r="BE899" s="47"/>
      <c r="BF899" s="42" t="s">
        <v>16</v>
      </c>
      <c r="BG899" s="43" t="str">
        <f>IF(VLOOKUP(BF899,βοηθητικό!$J$2:$N$354,3,FALSE)="","",VLOOKUP(BF899,βοηθητικό!$J$2:$N$354,3,FALSE))</f>
        <v>_</v>
      </c>
      <c r="BH899" s="44"/>
      <c r="BI899" s="45" t="s">
        <v>16</v>
      </c>
      <c r="BJ899" s="46" t="str">
        <f>IF(VLOOKUP(BI899,βοηθητικό!$J$2:$N$354,3,FALSE)="","",VLOOKUP(BI899,βοηθητικό!$J$2:$N$354,3,FALSE))</f>
        <v>_</v>
      </c>
      <c r="BK899" s="47"/>
      <c r="BL899" s="42" t="s">
        <v>16</v>
      </c>
      <c r="BM899" s="43" t="str">
        <f>IF(VLOOKUP(BL899,βοηθητικό!$J$2:$N$354,3,FALSE)="","",VLOOKUP(BL899,βοηθητικό!$J$2:$N$354,3,FALSE))</f>
        <v>_</v>
      </c>
      <c r="BN899" s="44"/>
      <c r="BO899" s="45" t="s">
        <v>16</v>
      </c>
      <c r="BP899" s="46" t="str">
        <f>IF(VLOOKUP(BO899,βοηθητικό!$J$2:$N$354,3,FALSE)="","",VLOOKUP(BO899,βοηθητικό!$J$2:$N$354,3,FALSE))</f>
        <v>_</v>
      </c>
      <c r="BQ899" s="47"/>
      <c r="BR899" s="42" t="s">
        <v>16</v>
      </c>
      <c r="BS899" s="43" t="str">
        <f>IF(VLOOKUP(BR899,βοηθητικό!$J$2:$N$354,3,FALSE)="","",VLOOKUP(BR899,βοηθητικό!$J$2:$N$354,3,FALSE))</f>
        <v>_</v>
      </c>
      <c r="BT899" s="44"/>
      <c r="BU899" s="45" t="s">
        <v>16</v>
      </c>
      <c r="BV899" s="46" t="str">
        <f>IF(VLOOKUP(BU899,βοηθητικό!$J$2:$N$354,3,FALSE)="","",VLOOKUP(BU899,βοηθητικό!$J$2:$N$354,3,FALSE))</f>
        <v>_</v>
      </c>
      <c r="BW899" s="47"/>
      <c r="BX899" s="42" t="s">
        <v>16</v>
      </c>
      <c r="BY899" s="43" t="str">
        <f>IF(VLOOKUP(BX899,βοηθητικό!$J$2:$N$354,3,FALSE)="","",VLOOKUP(BX899,βοηθητικό!$J$2:$N$354,3,FALSE))</f>
        <v>_</v>
      </c>
      <c r="BZ899" s="44"/>
      <c r="CA899" s="45" t="s">
        <v>16</v>
      </c>
      <c r="CB899" s="46" t="str">
        <f>IF(VLOOKUP(CA899,βοηθητικό!$J$2:$N$354,3,FALSE)="","",VLOOKUP(CA899,βοηθητικό!$J$2:$N$354,3,FALSE))</f>
        <v>_</v>
      </c>
      <c r="CC899" s="47"/>
      <c r="CD899" s="42" t="s">
        <v>16</v>
      </c>
      <c r="CE899" s="43" t="str">
        <f>IF(VLOOKUP(CD899,βοηθητικό!$J$2:$N$354,3,FALSE)="","",VLOOKUP(CD899,βοηθητικό!$J$2:$N$354,3,FALSE))</f>
        <v>_</v>
      </c>
      <c r="CF899" s="44"/>
      <c r="CG899" s="45" t="s">
        <v>16</v>
      </c>
      <c r="CH899" s="46" t="str">
        <f>IF(VLOOKUP(CG899,βοηθητικό!$J$2:$N$354,3,FALSE)="","",VLOOKUP(CG899,βοηθητικό!$J$2:$N$354,3,FALSE))</f>
        <v>_</v>
      </c>
      <c r="CI899" s="47"/>
      <c r="CJ899" s="42" t="s">
        <v>16</v>
      </c>
      <c r="CK899" s="43" t="str">
        <f>IF(VLOOKUP(CJ899,βοηθητικό!$J$2:$N$354,3,FALSE)="","",VLOOKUP(CJ899,βοηθητικό!$J$2:$N$354,3,FALSE))</f>
        <v>_</v>
      </c>
      <c r="CL899" s="44"/>
      <c r="CM899" s="45" t="s">
        <v>16</v>
      </c>
      <c r="CN899" s="46" t="str">
        <f>IF(VLOOKUP(CM899,βοηθητικό!$J$2:$N$354,3,FALSE)="","",VLOOKUP(CM899,βοηθητικό!$J$2:$N$354,3,FALSE))</f>
        <v>_</v>
      </c>
      <c r="CO899" s="47"/>
      <c r="CP899" s="42" t="s">
        <v>16</v>
      </c>
      <c r="CQ899" s="43" t="str">
        <f>IF(VLOOKUP(CP899,βοηθητικό!$J$2:$N$354,3,FALSE)="","",VLOOKUP(CP899,βοηθητικό!$J$2:$N$354,3,FALSE))</f>
        <v>_</v>
      </c>
      <c r="CR899" s="44"/>
      <c r="CS899" s="45" t="s">
        <v>16</v>
      </c>
      <c r="CT899" s="46" t="str">
        <f>IF(VLOOKUP(CS899,βοηθητικό!$J$2:$N$354,3,FALSE)="","",VLOOKUP(CS899,βοηθητικό!$J$2:$N$354,3,FALSE))</f>
        <v>_</v>
      </c>
      <c r="CU899" s="47"/>
    </row>
    <row r="900" spans="1:99" x14ac:dyDescent="0.25">
      <c r="A900" s="37">
        <f>--SUBTOTAL(3,$B$3:B899)</f>
        <v>198</v>
      </c>
      <c r="B900" s="2"/>
      <c r="C900" s="3"/>
      <c r="D900" s="55" t="s">
        <v>18</v>
      </c>
      <c r="E900" s="38" t="s">
        <v>16</v>
      </c>
      <c r="F900" s="38"/>
      <c r="G900" s="39" t="str">
        <f t="shared" ref="G900:G963" si="44">IF(OR(C900="_",E900="_"),"__",CONCATENATE(C900,E900))</f>
        <v>__</v>
      </c>
      <c r="H900" s="40" t="str">
        <f t="shared" ref="H900:H963" si="45">IF(G900="__","FALSE",COUNTIF(G:G,G900)&gt;1)</f>
        <v>FALSE</v>
      </c>
      <c r="I900" s="41">
        <f t="shared" ref="I900:I963" si="46">SUMPRODUCT((J900:CU900&lt;&gt;"_")*(MOD(COLUMN(J900:CU900)-COLUMN(J900),3)=0))</f>
        <v>0</v>
      </c>
      <c r="J900" s="4" t="s">
        <v>16</v>
      </c>
      <c r="K900" s="43" t="str">
        <f>IF(VLOOKUP(J900,βοηθητικό!$J$2:$N$354,3,FALSE)="","",VLOOKUP(J900,βοηθητικό!$J$2:$N$354,3,FALSE))</f>
        <v>_</v>
      </c>
      <c r="L900" s="44"/>
      <c r="M900" s="5" t="s">
        <v>16</v>
      </c>
      <c r="N900" s="46" t="str">
        <f>IF(VLOOKUP(M900,βοηθητικό!$J$2:$N$354,3,FALSE)="","",VLOOKUP(M900,βοηθητικό!$J$2:$N$354,3,FALSE))</f>
        <v>_</v>
      </c>
      <c r="O900" s="47"/>
      <c r="P900" s="4" t="s">
        <v>16</v>
      </c>
      <c r="Q900" s="43" t="str">
        <f>IF(VLOOKUP(P900,βοηθητικό!$J$2:$N$354,3,FALSE)="","",VLOOKUP(P900,βοηθητικό!$J$2:$N$354,3,FALSE))</f>
        <v>_</v>
      </c>
      <c r="R900" s="44"/>
      <c r="S900" s="5" t="s">
        <v>16</v>
      </c>
      <c r="T900" s="46" t="str">
        <f>IF(VLOOKUP(S900,βοηθητικό!$J$2:$N$354,3,FALSE)="","",VLOOKUP(S900,βοηθητικό!$J$2:$N$354,3,FALSE))</f>
        <v>_</v>
      </c>
      <c r="U900" s="47"/>
      <c r="V900" s="4" t="s">
        <v>16</v>
      </c>
      <c r="W900" s="43" t="str">
        <f>IF(VLOOKUP(V900,βοηθητικό!$J$2:$N$354,3,FALSE)="","",VLOOKUP(V900,βοηθητικό!$J$2:$N$354,3,FALSE))</f>
        <v>_</v>
      </c>
      <c r="X900" s="44"/>
      <c r="Y900" s="5" t="s">
        <v>16</v>
      </c>
      <c r="Z900" s="46" t="str">
        <f>IF(VLOOKUP(Y900,βοηθητικό!$J$2:$N$354,3,FALSE)="","",VLOOKUP(Y900,βοηθητικό!$J$2:$N$354,3,FALSE))</f>
        <v>_</v>
      </c>
      <c r="AA900" s="47"/>
      <c r="AB900" s="4" t="s">
        <v>16</v>
      </c>
      <c r="AC900" s="43" t="str">
        <f>IF(VLOOKUP(AB900,βοηθητικό!$J$2:$N$354,3,FALSE)="","",VLOOKUP(AB900,βοηθητικό!$J$2:$N$354,3,FALSE))</f>
        <v>_</v>
      </c>
      <c r="AD900" s="44"/>
      <c r="AE900" s="5" t="s">
        <v>16</v>
      </c>
      <c r="AF900" s="46" t="str">
        <f>IF(VLOOKUP(AE900,βοηθητικό!$J$2:$N$354,3,FALSE)="","",VLOOKUP(AE900,βοηθητικό!$J$2:$N$354,3,FALSE))</f>
        <v>_</v>
      </c>
      <c r="AG900" s="47"/>
      <c r="AH900" s="4" t="s">
        <v>16</v>
      </c>
      <c r="AI900" s="43" t="str">
        <f>IF(VLOOKUP(AH900,βοηθητικό!$J$2:$N$354,3,FALSE)="","",VLOOKUP(AH900,βοηθητικό!$J$2:$N$354,3,FALSE))</f>
        <v>_</v>
      </c>
      <c r="AJ900" s="44"/>
      <c r="AK900" s="5" t="s">
        <v>16</v>
      </c>
      <c r="AL900" s="46" t="str">
        <f>IF(VLOOKUP(AK900,βοηθητικό!$J$2:$N$354,3,FALSE)="","",VLOOKUP(AK900,βοηθητικό!$J$2:$N$354,3,FALSE))</f>
        <v>_</v>
      </c>
      <c r="AM900" s="47"/>
      <c r="AN900" s="4" t="s">
        <v>16</v>
      </c>
      <c r="AO900" s="43" t="str">
        <f>IF(VLOOKUP(AN900,βοηθητικό!$J$2:$N$354,3,FALSE)="","",VLOOKUP(AN900,βοηθητικό!$J$2:$N$354,3,FALSE))</f>
        <v>_</v>
      </c>
      <c r="AP900" s="44"/>
      <c r="AQ900" s="5" t="s">
        <v>16</v>
      </c>
      <c r="AR900" s="46" t="str">
        <f>IF(VLOOKUP(AQ900,βοηθητικό!$J$2:$N$354,3,FALSE)="","",VLOOKUP(AQ900,βοηθητικό!$J$2:$N$354,3,FALSE))</f>
        <v>_</v>
      </c>
      <c r="AS900" s="47"/>
      <c r="AT900" s="4" t="s">
        <v>16</v>
      </c>
      <c r="AU900" s="43" t="str">
        <f>IF(VLOOKUP(AT900,βοηθητικό!$J$2:$N$354,3,FALSE)="","",VLOOKUP(AT900,βοηθητικό!$J$2:$N$354,3,FALSE))</f>
        <v>_</v>
      </c>
      <c r="AV900" s="44"/>
      <c r="AW900" s="5" t="s">
        <v>16</v>
      </c>
      <c r="AX900" s="46" t="str">
        <f>IF(VLOOKUP(AW900,βοηθητικό!$J$2:$N$354,3,FALSE)="","",VLOOKUP(AW900,βοηθητικό!$J$2:$N$354,3,FALSE))</f>
        <v>_</v>
      </c>
      <c r="AY900" s="47"/>
      <c r="AZ900" s="4" t="s">
        <v>16</v>
      </c>
      <c r="BA900" s="43" t="str">
        <f>IF(VLOOKUP(AZ900,βοηθητικό!$J$2:$N$354,3,FALSE)="","",VLOOKUP(AZ900,βοηθητικό!$J$2:$N$354,3,FALSE))</f>
        <v>_</v>
      </c>
      <c r="BB900" s="44"/>
      <c r="BC900" s="45" t="s">
        <v>16</v>
      </c>
      <c r="BD900" s="46" t="str">
        <f>IF(VLOOKUP(BC900,βοηθητικό!$J$2:$N$354,3,FALSE)="","",VLOOKUP(BC900,βοηθητικό!$J$2:$N$354,3,FALSE))</f>
        <v>_</v>
      </c>
      <c r="BE900" s="47"/>
      <c r="BF900" s="42" t="s">
        <v>16</v>
      </c>
      <c r="BG900" s="43" t="str">
        <f>IF(VLOOKUP(BF900,βοηθητικό!$J$2:$N$354,3,FALSE)="","",VLOOKUP(BF900,βοηθητικό!$J$2:$N$354,3,FALSE))</f>
        <v>_</v>
      </c>
      <c r="BH900" s="44"/>
      <c r="BI900" s="45" t="s">
        <v>16</v>
      </c>
      <c r="BJ900" s="46" t="str">
        <f>IF(VLOOKUP(BI900,βοηθητικό!$J$2:$N$354,3,FALSE)="","",VLOOKUP(BI900,βοηθητικό!$J$2:$N$354,3,FALSE))</f>
        <v>_</v>
      </c>
      <c r="BK900" s="47"/>
      <c r="BL900" s="42" t="s">
        <v>16</v>
      </c>
      <c r="BM900" s="43" t="str">
        <f>IF(VLOOKUP(BL900,βοηθητικό!$J$2:$N$354,3,FALSE)="","",VLOOKUP(BL900,βοηθητικό!$J$2:$N$354,3,FALSE))</f>
        <v>_</v>
      </c>
      <c r="BN900" s="44"/>
      <c r="BO900" s="45" t="s">
        <v>16</v>
      </c>
      <c r="BP900" s="46" t="str">
        <f>IF(VLOOKUP(BO900,βοηθητικό!$J$2:$N$354,3,FALSE)="","",VLOOKUP(BO900,βοηθητικό!$J$2:$N$354,3,FALSE))</f>
        <v>_</v>
      </c>
      <c r="BQ900" s="47"/>
      <c r="BR900" s="42" t="s">
        <v>16</v>
      </c>
      <c r="BS900" s="43" t="str">
        <f>IF(VLOOKUP(BR900,βοηθητικό!$J$2:$N$354,3,FALSE)="","",VLOOKUP(BR900,βοηθητικό!$J$2:$N$354,3,FALSE))</f>
        <v>_</v>
      </c>
      <c r="BT900" s="44"/>
      <c r="BU900" s="45" t="s">
        <v>16</v>
      </c>
      <c r="BV900" s="46" t="str">
        <f>IF(VLOOKUP(BU900,βοηθητικό!$J$2:$N$354,3,FALSE)="","",VLOOKUP(BU900,βοηθητικό!$J$2:$N$354,3,FALSE))</f>
        <v>_</v>
      </c>
      <c r="BW900" s="47"/>
      <c r="BX900" s="42" t="s">
        <v>16</v>
      </c>
      <c r="BY900" s="43" t="str">
        <f>IF(VLOOKUP(BX900,βοηθητικό!$J$2:$N$354,3,FALSE)="","",VLOOKUP(BX900,βοηθητικό!$J$2:$N$354,3,FALSE))</f>
        <v>_</v>
      </c>
      <c r="BZ900" s="44"/>
      <c r="CA900" s="45" t="s">
        <v>16</v>
      </c>
      <c r="CB900" s="46" t="str">
        <f>IF(VLOOKUP(CA900,βοηθητικό!$J$2:$N$354,3,FALSE)="","",VLOOKUP(CA900,βοηθητικό!$J$2:$N$354,3,FALSE))</f>
        <v>_</v>
      </c>
      <c r="CC900" s="47"/>
      <c r="CD900" s="42" t="s">
        <v>16</v>
      </c>
      <c r="CE900" s="43" t="str">
        <f>IF(VLOOKUP(CD900,βοηθητικό!$J$2:$N$354,3,FALSE)="","",VLOOKUP(CD900,βοηθητικό!$J$2:$N$354,3,FALSE))</f>
        <v>_</v>
      </c>
      <c r="CF900" s="44"/>
      <c r="CG900" s="45" t="s">
        <v>16</v>
      </c>
      <c r="CH900" s="46" t="str">
        <f>IF(VLOOKUP(CG900,βοηθητικό!$J$2:$N$354,3,FALSE)="","",VLOOKUP(CG900,βοηθητικό!$J$2:$N$354,3,FALSE))</f>
        <v>_</v>
      </c>
      <c r="CI900" s="47"/>
      <c r="CJ900" s="42" t="s">
        <v>16</v>
      </c>
      <c r="CK900" s="43" t="str">
        <f>IF(VLOOKUP(CJ900,βοηθητικό!$J$2:$N$354,3,FALSE)="","",VLOOKUP(CJ900,βοηθητικό!$J$2:$N$354,3,FALSE))</f>
        <v>_</v>
      </c>
      <c r="CL900" s="44"/>
      <c r="CM900" s="45" t="s">
        <v>16</v>
      </c>
      <c r="CN900" s="46" t="str">
        <f>IF(VLOOKUP(CM900,βοηθητικό!$J$2:$N$354,3,FALSE)="","",VLOOKUP(CM900,βοηθητικό!$J$2:$N$354,3,FALSE))</f>
        <v>_</v>
      </c>
      <c r="CO900" s="47"/>
      <c r="CP900" s="42" t="s">
        <v>16</v>
      </c>
      <c r="CQ900" s="43" t="str">
        <f>IF(VLOOKUP(CP900,βοηθητικό!$J$2:$N$354,3,FALSE)="","",VLOOKUP(CP900,βοηθητικό!$J$2:$N$354,3,FALSE))</f>
        <v>_</v>
      </c>
      <c r="CR900" s="44"/>
      <c r="CS900" s="45" t="s">
        <v>16</v>
      </c>
      <c r="CT900" s="46" t="str">
        <f>IF(VLOOKUP(CS900,βοηθητικό!$J$2:$N$354,3,FALSE)="","",VLOOKUP(CS900,βοηθητικό!$J$2:$N$354,3,FALSE))</f>
        <v>_</v>
      </c>
      <c r="CU900" s="47"/>
    </row>
    <row r="901" spans="1:99" x14ac:dyDescent="0.25">
      <c r="A901" s="37">
        <f>--SUBTOTAL(3,$B$3:B900)</f>
        <v>198</v>
      </c>
      <c r="B901" s="2"/>
      <c r="C901" s="3"/>
      <c r="D901" s="55" t="s">
        <v>18</v>
      </c>
      <c r="E901" s="38" t="s">
        <v>16</v>
      </c>
      <c r="F901" s="38"/>
      <c r="G901" s="39" t="str">
        <f t="shared" si="44"/>
        <v>__</v>
      </c>
      <c r="H901" s="40" t="str">
        <f t="shared" si="45"/>
        <v>FALSE</v>
      </c>
      <c r="I901" s="41">
        <f t="shared" si="46"/>
        <v>0</v>
      </c>
      <c r="J901" s="4" t="s">
        <v>16</v>
      </c>
      <c r="K901" s="43" t="str">
        <f>IF(VLOOKUP(J901,βοηθητικό!$J$2:$N$354,3,FALSE)="","",VLOOKUP(J901,βοηθητικό!$J$2:$N$354,3,FALSE))</f>
        <v>_</v>
      </c>
      <c r="L901" s="44"/>
      <c r="M901" s="5" t="s">
        <v>16</v>
      </c>
      <c r="N901" s="46" t="str">
        <f>IF(VLOOKUP(M901,βοηθητικό!$J$2:$N$354,3,FALSE)="","",VLOOKUP(M901,βοηθητικό!$J$2:$N$354,3,FALSE))</f>
        <v>_</v>
      </c>
      <c r="O901" s="47"/>
      <c r="P901" s="4" t="s">
        <v>16</v>
      </c>
      <c r="Q901" s="43" t="str">
        <f>IF(VLOOKUP(P901,βοηθητικό!$J$2:$N$354,3,FALSE)="","",VLOOKUP(P901,βοηθητικό!$J$2:$N$354,3,FALSE))</f>
        <v>_</v>
      </c>
      <c r="R901" s="44"/>
      <c r="S901" s="5" t="s">
        <v>16</v>
      </c>
      <c r="T901" s="46" t="str">
        <f>IF(VLOOKUP(S901,βοηθητικό!$J$2:$N$354,3,FALSE)="","",VLOOKUP(S901,βοηθητικό!$J$2:$N$354,3,FALSE))</f>
        <v>_</v>
      </c>
      <c r="U901" s="47"/>
      <c r="V901" s="4" t="s">
        <v>16</v>
      </c>
      <c r="W901" s="43" t="str">
        <f>IF(VLOOKUP(V901,βοηθητικό!$J$2:$N$354,3,FALSE)="","",VLOOKUP(V901,βοηθητικό!$J$2:$N$354,3,FALSE))</f>
        <v>_</v>
      </c>
      <c r="X901" s="44"/>
      <c r="Y901" s="5" t="s">
        <v>16</v>
      </c>
      <c r="Z901" s="46" t="str">
        <f>IF(VLOOKUP(Y901,βοηθητικό!$J$2:$N$354,3,FALSE)="","",VLOOKUP(Y901,βοηθητικό!$J$2:$N$354,3,FALSE))</f>
        <v>_</v>
      </c>
      <c r="AA901" s="47"/>
      <c r="AB901" s="4" t="s">
        <v>16</v>
      </c>
      <c r="AC901" s="43" t="str">
        <f>IF(VLOOKUP(AB901,βοηθητικό!$J$2:$N$354,3,FALSE)="","",VLOOKUP(AB901,βοηθητικό!$J$2:$N$354,3,FALSE))</f>
        <v>_</v>
      </c>
      <c r="AD901" s="44"/>
      <c r="AE901" s="5" t="s">
        <v>16</v>
      </c>
      <c r="AF901" s="46" t="str">
        <f>IF(VLOOKUP(AE901,βοηθητικό!$J$2:$N$354,3,FALSE)="","",VLOOKUP(AE901,βοηθητικό!$J$2:$N$354,3,FALSE))</f>
        <v>_</v>
      </c>
      <c r="AG901" s="47"/>
      <c r="AH901" s="4" t="s">
        <v>16</v>
      </c>
      <c r="AI901" s="43" t="str">
        <f>IF(VLOOKUP(AH901,βοηθητικό!$J$2:$N$354,3,FALSE)="","",VLOOKUP(AH901,βοηθητικό!$J$2:$N$354,3,FALSE))</f>
        <v>_</v>
      </c>
      <c r="AJ901" s="44"/>
      <c r="AK901" s="5" t="s">
        <v>16</v>
      </c>
      <c r="AL901" s="46" t="str">
        <f>IF(VLOOKUP(AK901,βοηθητικό!$J$2:$N$354,3,FALSE)="","",VLOOKUP(AK901,βοηθητικό!$J$2:$N$354,3,FALSE))</f>
        <v>_</v>
      </c>
      <c r="AM901" s="47"/>
      <c r="AN901" s="4" t="s">
        <v>16</v>
      </c>
      <c r="AO901" s="43" t="str">
        <f>IF(VLOOKUP(AN901,βοηθητικό!$J$2:$N$354,3,FALSE)="","",VLOOKUP(AN901,βοηθητικό!$J$2:$N$354,3,FALSE))</f>
        <v>_</v>
      </c>
      <c r="AP901" s="44"/>
      <c r="AQ901" s="5" t="s">
        <v>16</v>
      </c>
      <c r="AR901" s="46" t="str">
        <f>IF(VLOOKUP(AQ901,βοηθητικό!$J$2:$N$354,3,FALSE)="","",VLOOKUP(AQ901,βοηθητικό!$J$2:$N$354,3,FALSE))</f>
        <v>_</v>
      </c>
      <c r="AS901" s="47"/>
      <c r="AT901" s="4" t="s">
        <v>16</v>
      </c>
      <c r="AU901" s="43" t="str">
        <f>IF(VLOOKUP(AT901,βοηθητικό!$J$2:$N$354,3,FALSE)="","",VLOOKUP(AT901,βοηθητικό!$J$2:$N$354,3,FALSE))</f>
        <v>_</v>
      </c>
      <c r="AV901" s="44"/>
      <c r="AW901" s="5" t="s">
        <v>16</v>
      </c>
      <c r="AX901" s="46" t="str">
        <f>IF(VLOOKUP(AW901,βοηθητικό!$J$2:$N$354,3,FALSE)="","",VLOOKUP(AW901,βοηθητικό!$J$2:$N$354,3,FALSE))</f>
        <v>_</v>
      </c>
      <c r="AY901" s="47"/>
      <c r="AZ901" s="4" t="s">
        <v>16</v>
      </c>
      <c r="BA901" s="43" t="str">
        <f>IF(VLOOKUP(AZ901,βοηθητικό!$J$2:$N$354,3,FALSE)="","",VLOOKUP(AZ901,βοηθητικό!$J$2:$N$354,3,FALSE))</f>
        <v>_</v>
      </c>
      <c r="BB901" s="44"/>
      <c r="BC901" s="45" t="s">
        <v>16</v>
      </c>
      <c r="BD901" s="46" t="str">
        <f>IF(VLOOKUP(BC901,βοηθητικό!$J$2:$N$354,3,FALSE)="","",VLOOKUP(BC901,βοηθητικό!$J$2:$N$354,3,FALSE))</f>
        <v>_</v>
      </c>
      <c r="BE901" s="47"/>
      <c r="BF901" s="42" t="s">
        <v>16</v>
      </c>
      <c r="BG901" s="43" t="str">
        <f>IF(VLOOKUP(BF901,βοηθητικό!$J$2:$N$354,3,FALSE)="","",VLOOKUP(BF901,βοηθητικό!$J$2:$N$354,3,FALSE))</f>
        <v>_</v>
      </c>
      <c r="BH901" s="44"/>
      <c r="BI901" s="45" t="s">
        <v>16</v>
      </c>
      <c r="BJ901" s="46" t="str">
        <f>IF(VLOOKUP(BI901,βοηθητικό!$J$2:$N$354,3,FALSE)="","",VLOOKUP(BI901,βοηθητικό!$J$2:$N$354,3,FALSE))</f>
        <v>_</v>
      </c>
      <c r="BK901" s="47"/>
      <c r="BL901" s="42" t="s">
        <v>16</v>
      </c>
      <c r="BM901" s="43" t="str">
        <f>IF(VLOOKUP(BL901,βοηθητικό!$J$2:$N$354,3,FALSE)="","",VLOOKUP(BL901,βοηθητικό!$J$2:$N$354,3,FALSE))</f>
        <v>_</v>
      </c>
      <c r="BN901" s="44"/>
      <c r="BO901" s="45" t="s">
        <v>16</v>
      </c>
      <c r="BP901" s="46" t="str">
        <f>IF(VLOOKUP(BO901,βοηθητικό!$J$2:$N$354,3,FALSE)="","",VLOOKUP(BO901,βοηθητικό!$J$2:$N$354,3,FALSE))</f>
        <v>_</v>
      </c>
      <c r="BQ901" s="47"/>
      <c r="BR901" s="42" t="s">
        <v>16</v>
      </c>
      <c r="BS901" s="43" t="str">
        <f>IF(VLOOKUP(BR901,βοηθητικό!$J$2:$N$354,3,FALSE)="","",VLOOKUP(BR901,βοηθητικό!$J$2:$N$354,3,FALSE))</f>
        <v>_</v>
      </c>
      <c r="BT901" s="44"/>
      <c r="BU901" s="45" t="s">
        <v>16</v>
      </c>
      <c r="BV901" s="46" t="str">
        <f>IF(VLOOKUP(BU901,βοηθητικό!$J$2:$N$354,3,FALSE)="","",VLOOKUP(BU901,βοηθητικό!$J$2:$N$354,3,FALSE))</f>
        <v>_</v>
      </c>
      <c r="BW901" s="47"/>
      <c r="BX901" s="42" t="s">
        <v>16</v>
      </c>
      <c r="BY901" s="43" t="str">
        <f>IF(VLOOKUP(BX901,βοηθητικό!$J$2:$N$354,3,FALSE)="","",VLOOKUP(BX901,βοηθητικό!$J$2:$N$354,3,FALSE))</f>
        <v>_</v>
      </c>
      <c r="BZ901" s="44"/>
      <c r="CA901" s="45" t="s">
        <v>16</v>
      </c>
      <c r="CB901" s="46" t="str">
        <f>IF(VLOOKUP(CA901,βοηθητικό!$J$2:$N$354,3,FALSE)="","",VLOOKUP(CA901,βοηθητικό!$J$2:$N$354,3,FALSE))</f>
        <v>_</v>
      </c>
      <c r="CC901" s="47"/>
      <c r="CD901" s="42" t="s">
        <v>16</v>
      </c>
      <c r="CE901" s="43" t="str">
        <f>IF(VLOOKUP(CD901,βοηθητικό!$J$2:$N$354,3,FALSE)="","",VLOOKUP(CD901,βοηθητικό!$J$2:$N$354,3,FALSE))</f>
        <v>_</v>
      </c>
      <c r="CF901" s="44"/>
      <c r="CG901" s="45" t="s">
        <v>16</v>
      </c>
      <c r="CH901" s="46" t="str">
        <f>IF(VLOOKUP(CG901,βοηθητικό!$J$2:$N$354,3,FALSE)="","",VLOOKUP(CG901,βοηθητικό!$J$2:$N$354,3,FALSE))</f>
        <v>_</v>
      </c>
      <c r="CI901" s="47"/>
      <c r="CJ901" s="42" t="s">
        <v>16</v>
      </c>
      <c r="CK901" s="43" t="str">
        <f>IF(VLOOKUP(CJ901,βοηθητικό!$J$2:$N$354,3,FALSE)="","",VLOOKUP(CJ901,βοηθητικό!$J$2:$N$354,3,FALSE))</f>
        <v>_</v>
      </c>
      <c r="CL901" s="44"/>
      <c r="CM901" s="45" t="s">
        <v>16</v>
      </c>
      <c r="CN901" s="46" t="str">
        <f>IF(VLOOKUP(CM901,βοηθητικό!$J$2:$N$354,3,FALSE)="","",VLOOKUP(CM901,βοηθητικό!$J$2:$N$354,3,FALSE))</f>
        <v>_</v>
      </c>
      <c r="CO901" s="47"/>
      <c r="CP901" s="42" t="s">
        <v>16</v>
      </c>
      <c r="CQ901" s="43" t="str">
        <f>IF(VLOOKUP(CP901,βοηθητικό!$J$2:$N$354,3,FALSE)="","",VLOOKUP(CP901,βοηθητικό!$J$2:$N$354,3,FALSE))</f>
        <v>_</v>
      </c>
      <c r="CR901" s="44"/>
      <c r="CS901" s="45" t="s">
        <v>16</v>
      </c>
      <c r="CT901" s="46" t="str">
        <f>IF(VLOOKUP(CS901,βοηθητικό!$J$2:$N$354,3,FALSE)="","",VLOOKUP(CS901,βοηθητικό!$J$2:$N$354,3,FALSE))</f>
        <v>_</v>
      </c>
      <c r="CU901" s="47"/>
    </row>
    <row r="902" spans="1:99" x14ac:dyDescent="0.25">
      <c r="A902" s="37">
        <f>--SUBTOTAL(3,$B$3:B901)</f>
        <v>198</v>
      </c>
      <c r="B902" s="2"/>
      <c r="C902" s="3"/>
      <c r="D902" s="55" t="s">
        <v>18</v>
      </c>
      <c r="E902" s="38" t="s">
        <v>16</v>
      </c>
      <c r="F902" s="38"/>
      <c r="G902" s="39" t="str">
        <f t="shared" si="44"/>
        <v>__</v>
      </c>
      <c r="H902" s="40" t="str">
        <f t="shared" si="45"/>
        <v>FALSE</v>
      </c>
      <c r="I902" s="41">
        <f t="shared" si="46"/>
        <v>0</v>
      </c>
      <c r="J902" s="4" t="s">
        <v>16</v>
      </c>
      <c r="K902" s="43" t="str">
        <f>IF(VLOOKUP(J902,βοηθητικό!$J$2:$N$354,3,FALSE)="","",VLOOKUP(J902,βοηθητικό!$J$2:$N$354,3,FALSE))</f>
        <v>_</v>
      </c>
      <c r="L902" s="44"/>
      <c r="M902" s="5" t="s">
        <v>16</v>
      </c>
      <c r="N902" s="46" t="str">
        <f>IF(VLOOKUP(M902,βοηθητικό!$J$2:$N$354,3,FALSE)="","",VLOOKUP(M902,βοηθητικό!$J$2:$N$354,3,FALSE))</f>
        <v>_</v>
      </c>
      <c r="O902" s="47"/>
      <c r="P902" s="4" t="s">
        <v>16</v>
      </c>
      <c r="Q902" s="43" t="str">
        <f>IF(VLOOKUP(P902,βοηθητικό!$J$2:$N$354,3,FALSE)="","",VLOOKUP(P902,βοηθητικό!$J$2:$N$354,3,FALSE))</f>
        <v>_</v>
      </c>
      <c r="R902" s="44"/>
      <c r="S902" s="5" t="s">
        <v>16</v>
      </c>
      <c r="T902" s="46" t="str">
        <f>IF(VLOOKUP(S902,βοηθητικό!$J$2:$N$354,3,FALSE)="","",VLOOKUP(S902,βοηθητικό!$J$2:$N$354,3,FALSE))</f>
        <v>_</v>
      </c>
      <c r="U902" s="47"/>
      <c r="V902" s="4" t="s">
        <v>16</v>
      </c>
      <c r="W902" s="43" t="str">
        <f>IF(VLOOKUP(V902,βοηθητικό!$J$2:$N$354,3,FALSE)="","",VLOOKUP(V902,βοηθητικό!$J$2:$N$354,3,FALSE))</f>
        <v>_</v>
      </c>
      <c r="X902" s="44"/>
      <c r="Y902" s="5" t="s">
        <v>16</v>
      </c>
      <c r="Z902" s="46" t="str">
        <f>IF(VLOOKUP(Y902,βοηθητικό!$J$2:$N$354,3,FALSE)="","",VLOOKUP(Y902,βοηθητικό!$J$2:$N$354,3,FALSE))</f>
        <v>_</v>
      </c>
      <c r="AA902" s="47"/>
      <c r="AB902" s="4" t="s">
        <v>16</v>
      </c>
      <c r="AC902" s="43" t="str">
        <f>IF(VLOOKUP(AB902,βοηθητικό!$J$2:$N$354,3,FALSE)="","",VLOOKUP(AB902,βοηθητικό!$J$2:$N$354,3,FALSE))</f>
        <v>_</v>
      </c>
      <c r="AD902" s="44"/>
      <c r="AE902" s="5" t="s">
        <v>16</v>
      </c>
      <c r="AF902" s="46" t="str">
        <f>IF(VLOOKUP(AE902,βοηθητικό!$J$2:$N$354,3,FALSE)="","",VLOOKUP(AE902,βοηθητικό!$J$2:$N$354,3,FALSE))</f>
        <v>_</v>
      </c>
      <c r="AG902" s="47"/>
      <c r="AH902" s="4" t="s">
        <v>16</v>
      </c>
      <c r="AI902" s="43" t="str">
        <f>IF(VLOOKUP(AH902,βοηθητικό!$J$2:$N$354,3,FALSE)="","",VLOOKUP(AH902,βοηθητικό!$J$2:$N$354,3,FALSE))</f>
        <v>_</v>
      </c>
      <c r="AJ902" s="44"/>
      <c r="AK902" s="5" t="s">
        <v>16</v>
      </c>
      <c r="AL902" s="46" t="str">
        <f>IF(VLOOKUP(AK902,βοηθητικό!$J$2:$N$354,3,FALSE)="","",VLOOKUP(AK902,βοηθητικό!$J$2:$N$354,3,FALSE))</f>
        <v>_</v>
      </c>
      <c r="AM902" s="47"/>
      <c r="AN902" s="4" t="s">
        <v>16</v>
      </c>
      <c r="AO902" s="43" t="str">
        <f>IF(VLOOKUP(AN902,βοηθητικό!$J$2:$N$354,3,FALSE)="","",VLOOKUP(AN902,βοηθητικό!$J$2:$N$354,3,FALSE))</f>
        <v>_</v>
      </c>
      <c r="AP902" s="44"/>
      <c r="AQ902" s="5" t="s">
        <v>16</v>
      </c>
      <c r="AR902" s="46" t="str">
        <f>IF(VLOOKUP(AQ902,βοηθητικό!$J$2:$N$354,3,FALSE)="","",VLOOKUP(AQ902,βοηθητικό!$J$2:$N$354,3,FALSE))</f>
        <v>_</v>
      </c>
      <c r="AS902" s="47"/>
      <c r="AT902" s="4" t="s">
        <v>16</v>
      </c>
      <c r="AU902" s="43" t="str">
        <f>IF(VLOOKUP(AT902,βοηθητικό!$J$2:$N$354,3,FALSE)="","",VLOOKUP(AT902,βοηθητικό!$J$2:$N$354,3,FALSE))</f>
        <v>_</v>
      </c>
      <c r="AV902" s="44"/>
      <c r="AW902" s="5" t="s">
        <v>16</v>
      </c>
      <c r="AX902" s="46" t="str">
        <f>IF(VLOOKUP(AW902,βοηθητικό!$J$2:$N$354,3,FALSE)="","",VLOOKUP(AW902,βοηθητικό!$J$2:$N$354,3,FALSE))</f>
        <v>_</v>
      </c>
      <c r="AY902" s="47"/>
      <c r="AZ902" s="4" t="s">
        <v>16</v>
      </c>
      <c r="BA902" s="43" t="str">
        <f>IF(VLOOKUP(AZ902,βοηθητικό!$J$2:$N$354,3,FALSE)="","",VLOOKUP(AZ902,βοηθητικό!$J$2:$N$354,3,FALSE))</f>
        <v>_</v>
      </c>
      <c r="BB902" s="44"/>
      <c r="BC902" s="45" t="s">
        <v>16</v>
      </c>
      <c r="BD902" s="46" t="str">
        <f>IF(VLOOKUP(BC902,βοηθητικό!$J$2:$N$354,3,FALSE)="","",VLOOKUP(BC902,βοηθητικό!$J$2:$N$354,3,FALSE))</f>
        <v>_</v>
      </c>
      <c r="BE902" s="47"/>
      <c r="BF902" s="42" t="s">
        <v>16</v>
      </c>
      <c r="BG902" s="43" t="str">
        <f>IF(VLOOKUP(BF902,βοηθητικό!$J$2:$N$354,3,FALSE)="","",VLOOKUP(BF902,βοηθητικό!$J$2:$N$354,3,FALSE))</f>
        <v>_</v>
      </c>
      <c r="BH902" s="44"/>
      <c r="BI902" s="45" t="s">
        <v>16</v>
      </c>
      <c r="BJ902" s="46" t="str">
        <f>IF(VLOOKUP(BI902,βοηθητικό!$J$2:$N$354,3,FALSE)="","",VLOOKUP(BI902,βοηθητικό!$J$2:$N$354,3,FALSE))</f>
        <v>_</v>
      </c>
      <c r="BK902" s="47"/>
      <c r="BL902" s="42" t="s">
        <v>16</v>
      </c>
      <c r="BM902" s="43" t="str">
        <f>IF(VLOOKUP(BL902,βοηθητικό!$J$2:$N$354,3,FALSE)="","",VLOOKUP(BL902,βοηθητικό!$J$2:$N$354,3,FALSE))</f>
        <v>_</v>
      </c>
      <c r="BN902" s="44"/>
      <c r="BO902" s="45" t="s">
        <v>16</v>
      </c>
      <c r="BP902" s="46" t="str">
        <f>IF(VLOOKUP(BO902,βοηθητικό!$J$2:$N$354,3,FALSE)="","",VLOOKUP(BO902,βοηθητικό!$J$2:$N$354,3,FALSE))</f>
        <v>_</v>
      </c>
      <c r="BQ902" s="47"/>
      <c r="BR902" s="42" t="s">
        <v>16</v>
      </c>
      <c r="BS902" s="43" t="str">
        <f>IF(VLOOKUP(BR902,βοηθητικό!$J$2:$N$354,3,FALSE)="","",VLOOKUP(BR902,βοηθητικό!$J$2:$N$354,3,FALSE))</f>
        <v>_</v>
      </c>
      <c r="BT902" s="44"/>
      <c r="BU902" s="45" t="s">
        <v>16</v>
      </c>
      <c r="BV902" s="46" t="str">
        <f>IF(VLOOKUP(BU902,βοηθητικό!$J$2:$N$354,3,FALSE)="","",VLOOKUP(BU902,βοηθητικό!$J$2:$N$354,3,FALSE))</f>
        <v>_</v>
      </c>
      <c r="BW902" s="47"/>
      <c r="BX902" s="42" t="s">
        <v>16</v>
      </c>
      <c r="BY902" s="43" t="str">
        <f>IF(VLOOKUP(BX902,βοηθητικό!$J$2:$N$354,3,FALSE)="","",VLOOKUP(BX902,βοηθητικό!$J$2:$N$354,3,FALSE))</f>
        <v>_</v>
      </c>
      <c r="BZ902" s="44"/>
      <c r="CA902" s="45" t="s">
        <v>16</v>
      </c>
      <c r="CB902" s="46" t="str">
        <f>IF(VLOOKUP(CA902,βοηθητικό!$J$2:$N$354,3,FALSE)="","",VLOOKUP(CA902,βοηθητικό!$J$2:$N$354,3,FALSE))</f>
        <v>_</v>
      </c>
      <c r="CC902" s="47"/>
      <c r="CD902" s="42" t="s">
        <v>16</v>
      </c>
      <c r="CE902" s="43" t="str">
        <f>IF(VLOOKUP(CD902,βοηθητικό!$J$2:$N$354,3,FALSE)="","",VLOOKUP(CD902,βοηθητικό!$J$2:$N$354,3,FALSE))</f>
        <v>_</v>
      </c>
      <c r="CF902" s="44"/>
      <c r="CG902" s="45" t="s">
        <v>16</v>
      </c>
      <c r="CH902" s="46" t="str">
        <f>IF(VLOOKUP(CG902,βοηθητικό!$J$2:$N$354,3,FALSE)="","",VLOOKUP(CG902,βοηθητικό!$J$2:$N$354,3,FALSE))</f>
        <v>_</v>
      </c>
      <c r="CI902" s="47"/>
      <c r="CJ902" s="42" t="s">
        <v>16</v>
      </c>
      <c r="CK902" s="43" t="str">
        <f>IF(VLOOKUP(CJ902,βοηθητικό!$J$2:$N$354,3,FALSE)="","",VLOOKUP(CJ902,βοηθητικό!$J$2:$N$354,3,FALSE))</f>
        <v>_</v>
      </c>
      <c r="CL902" s="44"/>
      <c r="CM902" s="45" t="s">
        <v>16</v>
      </c>
      <c r="CN902" s="46" t="str">
        <f>IF(VLOOKUP(CM902,βοηθητικό!$J$2:$N$354,3,FALSE)="","",VLOOKUP(CM902,βοηθητικό!$J$2:$N$354,3,FALSE))</f>
        <v>_</v>
      </c>
      <c r="CO902" s="47"/>
      <c r="CP902" s="42" t="s">
        <v>16</v>
      </c>
      <c r="CQ902" s="43" t="str">
        <f>IF(VLOOKUP(CP902,βοηθητικό!$J$2:$N$354,3,FALSE)="","",VLOOKUP(CP902,βοηθητικό!$J$2:$N$354,3,FALSE))</f>
        <v>_</v>
      </c>
      <c r="CR902" s="44"/>
      <c r="CS902" s="45" t="s">
        <v>16</v>
      </c>
      <c r="CT902" s="46" t="str">
        <f>IF(VLOOKUP(CS902,βοηθητικό!$J$2:$N$354,3,FALSE)="","",VLOOKUP(CS902,βοηθητικό!$J$2:$N$354,3,FALSE))</f>
        <v>_</v>
      </c>
      <c r="CU902" s="47"/>
    </row>
    <row r="903" spans="1:99" x14ac:dyDescent="0.25">
      <c r="A903" s="37">
        <f>--SUBTOTAL(3,$B$3:B902)</f>
        <v>198</v>
      </c>
      <c r="B903" s="2"/>
      <c r="C903" s="3"/>
      <c r="D903" s="55" t="s">
        <v>18</v>
      </c>
      <c r="E903" s="38" t="s">
        <v>16</v>
      </c>
      <c r="F903" s="38"/>
      <c r="G903" s="39" t="str">
        <f t="shared" si="44"/>
        <v>__</v>
      </c>
      <c r="H903" s="40" t="str">
        <f t="shared" si="45"/>
        <v>FALSE</v>
      </c>
      <c r="I903" s="41">
        <f t="shared" si="46"/>
        <v>0</v>
      </c>
      <c r="J903" s="4" t="s">
        <v>16</v>
      </c>
      <c r="K903" s="43" t="str">
        <f>IF(VLOOKUP(J903,βοηθητικό!$J$2:$N$354,3,FALSE)="","",VLOOKUP(J903,βοηθητικό!$J$2:$N$354,3,FALSE))</f>
        <v>_</v>
      </c>
      <c r="L903" s="44"/>
      <c r="M903" s="5" t="s">
        <v>16</v>
      </c>
      <c r="N903" s="46" t="str">
        <f>IF(VLOOKUP(M903,βοηθητικό!$J$2:$N$354,3,FALSE)="","",VLOOKUP(M903,βοηθητικό!$J$2:$N$354,3,FALSE))</f>
        <v>_</v>
      </c>
      <c r="O903" s="47"/>
      <c r="P903" s="4" t="s">
        <v>16</v>
      </c>
      <c r="Q903" s="43" t="str">
        <f>IF(VLOOKUP(P903,βοηθητικό!$J$2:$N$354,3,FALSE)="","",VLOOKUP(P903,βοηθητικό!$J$2:$N$354,3,FALSE))</f>
        <v>_</v>
      </c>
      <c r="R903" s="44"/>
      <c r="S903" s="5" t="s">
        <v>16</v>
      </c>
      <c r="T903" s="46" t="str">
        <f>IF(VLOOKUP(S903,βοηθητικό!$J$2:$N$354,3,FALSE)="","",VLOOKUP(S903,βοηθητικό!$J$2:$N$354,3,FALSE))</f>
        <v>_</v>
      </c>
      <c r="U903" s="47"/>
      <c r="V903" s="4" t="s">
        <v>16</v>
      </c>
      <c r="W903" s="43" t="str">
        <f>IF(VLOOKUP(V903,βοηθητικό!$J$2:$N$354,3,FALSE)="","",VLOOKUP(V903,βοηθητικό!$J$2:$N$354,3,FALSE))</f>
        <v>_</v>
      </c>
      <c r="X903" s="44"/>
      <c r="Y903" s="5" t="s">
        <v>16</v>
      </c>
      <c r="Z903" s="46" t="str">
        <f>IF(VLOOKUP(Y903,βοηθητικό!$J$2:$N$354,3,FALSE)="","",VLOOKUP(Y903,βοηθητικό!$J$2:$N$354,3,FALSE))</f>
        <v>_</v>
      </c>
      <c r="AA903" s="47"/>
      <c r="AB903" s="4" t="s">
        <v>16</v>
      </c>
      <c r="AC903" s="43" t="str">
        <f>IF(VLOOKUP(AB903,βοηθητικό!$J$2:$N$354,3,FALSE)="","",VLOOKUP(AB903,βοηθητικό!$J$2:$N$354,3,FALSE))</f>
        <v>_</v>
      </c>
      <c r="AD903" s="44"/>
      <c r="AE903" s="5" t="s">
        <v>16</v>
      </c>
      <c r="AF903" s="46" t="str">
        <f>IF(VLOOKUP(AE903,βοηθητικό!$J$2:$N$354,3,FALSE)="","",VLOOKUP(AE903,βοηθητικό!$J$2:$N$354,3,FALSE))</f>
        <v>_</v>
      </c>
      <c r="AG903" s="47"/>
      <c r="AH903" s="4" t="s">
        <v>16</v>
      </c>
      <c r="AI903" s="43" t="str">
        <f>IF(VLOOKUP(AH903,βοηθητικό!$J$2:$N$354,3,FALSE)="","",VLOOKUP(AH903,βοηθητικό!$J$2:$N$354,3,FALSE))</f>
        <v>_</v>
      </c>
      <c r="AJ903" s="44"/>
      <c r="AK903" s="5" t="s">
        <v>16</v>
      </c>
      <c r="AL903" s="46" t="str">
        <f>IF(VLOOKUP(AK903,βοηθητικό!$J$2:$N$354,3,FALSE)="","",VLOOKUP(AK903,βοηθητικό!$J$2:$N$354,3,FALSE))</f>
        <v>_</v>
      </c>
      <c r="AM903" s="47"/>
      <c r="AN903" s="4" t="s">
        <v>16</v>
      </c>
      <c r="AO903" s="43" t="str">
        <f>IF(VLOOKUP(AN903,βοηθητικό!$J$2:$N$354,3,FALSE)="","",VLOOKUP(AN903,βοηθητικό!$J$2:$N$354,3,FALSE))</f>
        <v>_</v>
      </c>
      <c r="AP903" s="44"/>
      <c r="AQ903" s="5" t="s">
        <v>16</v>
      </c>
      <c r="AR903" s="46" t="str">
        <f>IF(VLOOKUP(AQ903,βοηθητικό!$J$2:$N$354,3,FALSE)="","",VLOOKUP(AQ903,βοηθητικό!$J$2:$N$354,3,FALSE))</f>
        <v>_</v>
      </c>
      <c r="AS903" s="47"/>
      <c r="AT903" s="4" t="s">
        <v>16</v>
      </c>
      <c r="AU903" s="43" t="str">
        <f>IF(VLOOKUP(AT903,βοηθητικό!$J$2:$N$354,3,FALSE)="","",VLOOKUP(AT903,βοηθητικό!$J$2:$N$354,3,FALSE))</f>
        <v>_</v>
      </c>
      <c r="AV903" s="44"/>
      <c r="AW903" s="5" t="s">
        <v>16</v>
      </c>
      <c r="AX903" s="46" t="str">
        <f>IF(VLOOKUP(AW903,βοηθητικό!$J$2:$N$354,3,FALSE)="","",VLOOKUP(AW903,βοηθητικό!$J$2:$N$354,3,FALSE))</f>
        <v>_</v>
      </c>
      <c r="AY903" s="47"/>
      <c r="AZ903" s="4" t="s">
        <v>16</v>
      </c>
      <c r="BA903" s="43" t="str">
        <f>IF(VLOOKUP(AZ903,βοηθητικό!$J$2:$N$354,3,FALSE)="","",VLOOKUP(AZ903,βοηθητικό!$J$2:$N$354,3,FALSE))</f>
        <v>_</v>
      </c>
      <c r="BB903" s="44"/>
      <c r="BC903" s="45" t="s">
        <v>16</v>
      </c>
      <c r="BD903" s="46" t="str">
        <f>IF(VLOOKUP(BC903,βοηθητικό!$J$2:$N$354,3,FALSE)="","",VLOOKUP(BC903,βοηθητικό!$J$2:$N$354,3,FALSE))</f>
        <v>_</v>
      </c>
      <c r="BE903" s="47"/>
      <c r="BF903" s="42" t="s">
        <v>16</v>
      </c>
      <c r="BG903" s="43" t="str">
        <f>IF(VLOOKUP(BF903,βοηθητικό!$J$2:$N$354,3,FALSE)="","",VLOOKUP(BF903,βοηθητικό!$J$2:$N$354,3,FALSE))</f>
        <v>_</v>
      </c>
      <c r="BH903" s="44"/>
      <c r="BI903" s="45" t="s">
        <v>16</v>
      </c>
      <c r="BJ903" s="46" t="str">
        <f>IF(VLOOKUP(BI903,βοηθητικό!$J$2:$N$354,3,FALSE)="","",VLOOKUP(BI903,βοηθητικό!$J$2:$N$354,3,FALSE))</f>
        <v>_</v>
      </c>
      <c r="BK903" s="47"/>
      <c r="BL903" s="42" t="s">
        <v>16</v>
      </c>
      <c r="BM903" s="43" t="str">
        <f>IF(VLOOKUP(BL903,βοηθητικό!$J$2:$N$354,3,FALSE)="","",VLOOKUP(BL903,βοηθητικό!$J$2:$N$354,3,FALSE))</f>
        <v>_</v>
      </c>
      <c r="BN903" s="44"/>
      <c r="BO903" s="45" t="s">
        <v>16</v>
      </c>
      <c r="BP903" s="46" t="str">
        <f>IF(VLOOKUP(BO903,βοηθητικό!$J$2:$N$354,3,FALSE)="","",VLOOKUP(BO903,βοηθητικό!$J$2:$N$354,3,FALSE))</f>
        <v>_</v>
      </c>
      <c r="BQ903" s="47"/>
      <c r="BR903" s="42" t="s">
        <v>16</v>
      </c>
      <c r="BS903" s="43" t="str">
        <f>IF(VLOOKUP(BR903,βοηθητικό!$J$2:$N$354,3,FALSE)="","",VLOOKUP(BR903,βοηθητικό!$J$2:$N$354,3,FALSE))</f>
        <v>_</v>
      </c>
      <c r="BT903" s="44"/>
      <c r="BU903" s="45" t="s">
        <v>16</v>
      </c>
      <c r="BV903" s="46" t="str">
        <f>IF(VLOOKUP(BU903,βοηθητικό!$J$2:$N$354,3,FALSE)="","",VLOOKUP(BU903,βοηθητικό!$J$2:$N$354,3,FALSE))</f>
        <v>_</v>
      </c>
      <c r="BW903" s="47"/>
      <c r="BX903" s="42" t="s">
        <v>16</v>
      </c>
      <c r="BY903" s="43" t="str">
        <f>IF(VLOOKUP(BX903,βοηθητικό!$J$2:$N$354,3,FALSE)="","",VLOOKUP(BX903,βοηθητικό!$J$2:$N$354,3,FALSE))</f>
        <v>_</v>
      </c>
      <c r="BZ903" s="44"/>
      <c r="CA903" s="45" t="s">
        <v>16</v>
      </c>
      <c r="CB903" s="46" t="str">
        <f>IF(VLOOKUP(CA903,βοηθητικό!$J$2:$N$354,3,FALSE)="","",VLOOKUP(CA903,βοηθητικό!$J$2:$N$354,3,FALSE))</f>
        <v>_</v>
      </c>
      <c r="CC903" s="47"/>
      <c r="CD903" s="42" t="s">
        <v>16</v>
      </c>
      <c r="CE903" s="43" t="str">
        <f>IF(VLOOKUP(CD903,βοηθητικό!$J$2:$N$354,3,FALSE)="","",VLOOKUP(CD903,βοηθητικό!$J$2:$N$354,3,FALSE))</f>
        <v>_</v>
      </c>
      <c r="CF903" s="44"/>
      <c r="CG903" s="45" t="s">
        <v>16</v>
      </c>
      <c r="CH903" s="46" t="str">
        <f>IF(VLOOKUP(CG903,βοηθητικό!$J$2:$N$354,3,FALSE)="","",VLOOKUP(CG903,βοηθητικό!$J$2:$N$354,3,FALSE))</f>
        <v>_</v>
      </c>
      <c r="CI903" s="47"/>
      <c r="CJ903" s="42" t="s">
        <v>16</v>
      </c>
      <c r="CK903" s="43" t="str">
        <f>IF(VLOOKUP(CJ903,βοηθητικό!$J$2:$N$354,3,FALSE)="","",VLOOKUP(CJ903,βοηθητικό!$J$2:$N$354,3,FALSE))</f>
        <v>_</v>
      </c>
      <c r="CL903" s="44"/>
      <c r="CM903" s="45" t="s">
        <v>16</v>
      </c>
      <c r="CN903" s="46" t="str">
        <f>IF(VLOOKUP(CM903,βοηθητικό!$J$2:$N$354,3,FALSE)="","",VLOOKUP(CM903,βοηθητικό!$J$2:$N$354,3,FALSE))</f>
        <v>_</v>
      </c>
      <c r="CO903" s="47"/>
      <c r="CP903" s="42" t="s">
        <v>16</v>
      </c>
      <c r="CQ903" s="43" t="str">
        <f>IF(VLOOKUP(CP903,βοηθητικό!$J$2:$N$354,3,FALSE)="","",VLOOKUP(CP903,βοηθητικό!$J$2:$N$354,3,FALSE))</f>
        <v>_</v>
      </c>
      <c r="CR903" s="44"/>
      <c r="CS903" s="45" t="s">
        <v>16</v>
      </c>
      <c r="CT903" s="46" t="str">
        <f>IF(VLOOKUP(CS903,βοηθητικό!$J$2:$N$354,3,FALSE)="","",VLOOKUP(CS903,βοηθητικό!$J$2:$N$354,3,FALSE))</f>
        <v>_</v>
      </c>
      <c r="CU903" s="47"/>
    </row>
    <row r="904" spans="1:99" x14ac:dyDescent="0.25">
      <c r="A904" s="37">
        <f>--SUBTOTAL(3,$B$3:B903)</f>
        <v>198</v>
      </c>
      <c r="B904" s="2"/>
      <c r="C904" s="3"/>
      <c r="D904" s="55" t="s">
        <v>18</v>
      </c>
      <c r="E904" s="38" t="s">
        <v>16</v>
      </c>
      <c r="F904" s="38"/>
      <c r="G904" s="39" t="str">
        <f t="shared" si="44"/>
        <v>__</v>
      </c>
      <c r="H904" s="40" t="str">
        <f t="shared" si="45"/>
        <v>FALSE</v>
      </c>
      <c r="I904" s="41">
        <f t="shared" si="46"/>
        <v>0</v>
      </c>
      <c r="J904" s="4" t="s">
        <v>16</v>
      </c>
      <c r="K904" s="43" t="str">
        <f>IF(VLOOKUP(J904,βοηθητικό!$J$2:$N$354,3,FALSE)="","",VLOOKUP(J904,βοηθητικό!$J$2:$N$354,3,FALSE))</f>
        <v>_</v>
      </c>
      <c r="L904" s="44"/>
      <c r="M904" s="5" t="s">
        <v>16</v>
      </c>
      <c r="N904" s="46" t="str">
        <f>IF(VLOOKUP(M904,βοηθητικό!$J$2:$N$354,3,FALSE)="","",VLOOKUP(M904,βοηθητικό!$J$2:$N$354,3,FALSE))</f>
        <v>_</v>
      </c>
      <c r="O904" s="47"/>
      <c r="P904" s="4" t="s">
        <v>16</v>
      </c>
      <c r="Q904" s="43" t="str">
        <f>IF(VLOOKUP(P904,βοηθητικό!$J$2:$N$354,3,FALSE)="","",VLOOKUP(P904,βοηθητικό!$J$2:$N$354,3,FALSE))</f>
        <v>_</v>
      </c>
      <c r="R904" s="44"/>
      <c r="S904" s="5" t="s">
        <v>16</v>
      </c>
      <c r="T904" s="46" t="str">
        <f>IF(VLOOKUP(S904,βοηθητικό!$J$2:$N$354,3,FALSE)="","",VLOOKUP(S904,βοηθητικό!$J$2:$N$354,3,FALSE))</f>
        <v>_</v>
      </c>
      <c r="U904" s="47"/>
      <c r="V904" s="4" t="s">
        <v>16</v>
      </c>
      <c r="W904" s="43" t="str">
        <f>IF(VLOOKUP(V904,βοηθητικό!$J$2:$N$354,3,FALSE)="","",VLOOKUP(V904,βοηθητικό!$J$2:$N$354,3,FALSE))</f>
        <v>_</v>
      </c>
      <c r="X904" s="44"/>
      <c r="Y904" s="5" t="s">
        <v>16</v>
      </c>
      <c r="Z904" s="46" t="str">
        <f>IF(VLOOKUP(Y904,βοηθητικό!$J$2:$N$354,3,FALSE)="","",VLOOKUP(Y904,βοηθητικό!$J$2:$N$354,3,FALSE))</f>
        <v>_</v>
      </c>
      <c r="AA904" s="47"/>
      <c r="AB904" s="4" t="s">
        <v>16</v>
      </c>
      <c r="AC904" s="43" t="str">
        <f>IF(VLOOKUP(AB904,βοηθητικό!$J$2:$N$354,3,FALSE)="","",VLOOKUP(AB904,βοηθητικό!$J$2:$N$354,3,FALSE))</f>
        <v>_</v>
      </c>
      <c r="AD904" s="44"/>
      <c r="AE904" s="5" t="s">
        <v>16</v>
      </c>
      <c r="AF904" s="46" t="str">
        <f>IF(VLOOKUP(AE904,βοηθητικό!$J$2:$N$354,3,FALSE)="","",VLOOKUP(AE904,βοηθητικό!$J$2:$N$354,3,FALSE))</f>
        <v>_</v>
      </c>
      <c r="AG904" s="47"/>
      <c r="AH904" s="4" t="s">
        <v>16</v>
      </c>
      <c r="AI904" s="43" t="str">
        <f>IF(VLOOKUP(AH904,βοηθητικό!$J$2:$N$354,3,FALSE)="","",VLOOKUP(AH904,βοηθητικό!$J$2:$N$354,3,FALSE))</f>
        <v>_</v>
      </c>
      <c r="AJ904" s="44"/>
      <c r="AK904" s="5" t="s">
        <v>16</v>
      </c>
      <c r="AL904" s="46" t="str">
        <f>IF(VLOOKUP(AK904,βοηθητικό!$J$2:$N$354,3,FALSE)="","",VLOOKUP(AK904,βοηθητικό!$J$2:$N$354,3,FALSE))</f>
        <v>_</v>
      </c>
      <c r="AM904" s="47"/>
      <c r="AN904" s="4" t="s">
        <v>16</v>
      </c>
      <c r="AO904" s="43" t="str">
        <f>IF(VLOOKUP(AN904,βοηθητικό!$J$2:$N$354,3,FALSE)="","",VLOOKUP(AN904,βοηθητικό!$J$2:$N$354,3,FALSE))</f>
        <v>_</v>
      </c>
      <c r="AP904" s="44"/>
      <c r="AQ904" s="5" t="s">
        <v>16</v>
      </c>
      <c r="AR904" s="46" t="str">
        <f>IF(VLOOKUP(AQ904,βοηθητικό!$J$2:$N$354,3,FALSE)="","",VLOOKUP(AQ904,βοηθητικό!$J$2:$N$354,3,FALSE))</f>
        <v>_</v>
      </c>
      <c r="AS904" s="47"/>
      <c r="AT904" s="4" t="s">
        <v>16</v>
      </c>
      <c r="AU904" s="43" t="str">
        <f>IF(VLOOKUP(AT904,βοηθητικό!$J$2:$N$354,3,FALSE)="","",VLOOKUP(AT904,βοηθητικό!$J$2:$N$354,3,FALSE))</f>
        <v>_</v>
      </c>
      <c r="AV904" s="44"/>
      <c r="AW904" s="5" t="s">
        <v>16</v>
      </c>
      <c r="AX904" s="46" t="str">
        <f>IF(VLOOKUP(AW904,βοηθητικό!$J$2:$N$354,3,FALSE)="","",VLOOKUP(AW904,βοηθητικό!$J$2:$N$354,3,FALSE))</f>
        <v>_</v>
      </c>
      <c r="AY904" s="47"/>
      <c r="AZ904" s="4" t="s">
        <v>16</v>
      </c>
      <c r="BA904" s="43" t="str">
        <f>IF(VLOOKUP(AZ904,βοηθητικό!$J$2:$N$354,3,FALSE)="","",VLOOKUP(AZ904,βοηθητικό!$J$2:$N$354,3,FALSE))</f>
        <v>_</v>
      </c>
      <c r="BB904" s="44"/>
      <c r="BC904" s="45" t="s">
        <v>16</v>
      </c>
      <c r="BD904" s="46" t="str">
        <f>IF(VLOOKUP(BC904,βοηθητικό!$J$2:$N$354,3,FALSE)="","",VLOOKUP(BC904,βοηθητικό!$J$2:$N$354,3,FALSE))</f>
        <v>_</v>
      </c>
      <c r="BE904" s="47"/>
      <c r="BF904" s="42" t="s">
        <v>16</v>
      </c>
      <c r="BG904" s="43" t="str">
        <f>IF(VLOOKUP(BF904,βοηθητικό!$J$2:$N$354,3,FALSE)="","",VLOOKUP(BF904,βοηθητικό!$J$2:$N$354,3,FALSE))</f>
        <v>_</v>
      </c>
      <c r="BH904" s="44"/>
      <c r="BI904" s="45" t="s">
        <v>16</v>
      </c>
      <c r="BJ904" s="46" t="str">
        <f>IF(VLOOKUP(BI904,βοηθητικό!$J$2:$N$354,3,FALSE)="","",VLOOKUP(BI904,βοηθητικό!$J$2:$N$354,3,FALSE))</f>
        <v>_</v>
      </c>
      <c r="BK904" s="47"/>
      <c r="BL904" s="42" t="s">
        <v>16</v>
      </c>
      <c r="BM904" s="43" t="str">
        <f>IF(VLOOKUP(BL904,βοηθητικό!$J$2:$N$354,3,FALSE)="","",VLOOKUP(BL904,βοηθητικό!$J$2:$N$354,3,FALSE))</f>
        <v>_</v>
      </c>
      <c r="BN904" s="44"/>
      <c r="BO904" s="45" t="s">
        <v>16</v>
      </c>
      <c r="BP904" s="46" t="str">
        <f>IF(VLOOKUP(BO904,βοηθητικό!$J$2:$N$354,3,FALSE)="","",VLOOKUP(BO904,βοηθητικό!$J$2:$N$354,3,FALSE))</f>
        <v>_</v>
      </c>
      <c r="BQ904" s="47"/>
      <c r="BR904" s="42" t="s">
        <v>16</v>
      </c>
      <c r="BS904" s="43" t="str">
        <f>IF(VLOOKUP(BR904,βοηθητικό!$J$2:$N$354,3,FALSE)="","",VLOOKUP(BR904,βοηθητικό!$J$2:$N$354,3,FALSE))</f>
        <v>_</v>
      </c>
      <c r="BT904" s="44"/>
      <c r="BU904" s="45" t="s">
        <v>16</v>
      </c>
      <c r="BV904" s="46" t="str">
        <f>IF(VLOOKUP(BU904,βοηθητικό!$J$2:$N$354,3,FALSE)="","",VLOOKUP(BU904,βοηθητικό!$J$2:$N$354,3,FALSE))</f>
        <v>_</v>
      </c>
      <c r="BW904" s="47"/>
      <c r="BX904" s="42" t="s">
        <v>16</v>
      </c>
      <c r="BY904" s="43" t="str">
        <f>IF(VLOOKUP(BX904,βοηθητικό!$J$2:$N$354,3,FALSE)="","",VLOOKUP(BX904,βοηθητικό!$J$2:$N$354,3,FALSE))</f>
        <v>_</v>
      </c>
      <c r="BZ904" s="44"/>
      <c r="CA904" s="45" t="s">
        <v>16</v>
      </c>
      <c r="CB904" s="46" t="str">
        <f>IF(VLOOKUP(CA904,βοηθητικό!$J$2:$N$354,3,FALSE)="","",VLOOKUP(CA904,βοηθητικό!$J$2:$N$354,3,FALSE))</f>
        <v>_</v>
      </c>
      <c r="CC904" s="47"/>
      <c r="CD904" s="42" t="s">
        <v>16</v>
      </c>
      <c r="CE904" s="43" t="str">
        <f>IF(VLOOKUP(CD904,βοηθητικό!$J$2:$N$354,3,FALSE)="","",VLOOKUP(CD904,βοηθητικό!$J$2:$N$354,3,FALSE))</f>
        <v>_</v>
      </c>
      <c r="CF904" s="44"/>
      <c r="CG904" s="45" t="s">
        <v>16</v>
      </c>
      <c r="CH904" s="46" t="str">
        <f>IF(VLOOKUP(CG904,βοηθητικό!$J$2:$N$354,3,FALSE)="","",VLOOKUP(CG904,βοηθητικό!$J$2:$N$354,3,FALSE))</f>
        <v>_</v>
      </c>
      <c r="CI904" s="47"/>
      <c r="CJ904" s="42" t="s">
        <v>16</v>
      </c>
      <c r="CK904" s="43" t="str">
        <f>IF(VLOOKUP(CJ904,βοηθητικό!$J$2:$N$354,3,FALSE)="","",VLOOKUP(CJ904,βοηθητικό!$J$2:$N$354,3,FALSE))</f>
        <v>_</v>
      </c>
      <c r="CL904" s="44"/>
      <c r="CM904" s="45" t="s">
        <v>16</v>
      </c>
      <c r="CN904" s="46" t="str">
        <f>IF(VLOOKUP(CM904,βοηθητικό!$J$2:$N$354,3,FALSE)="","",VLOOKUP(CM904,βοηθητικό!$J$2:$N$354,3,FALSE))</f>
        <v>_</v>
      </c>
      <c r="CO904" s="47"/>
      <c r="CP904" s="42" t="s">
        <v>16</v>
      </c>
      <c r="CQ904" s="43" t="str">
        <f>IF(VLOOKUP(CP904,βοηθητικό!$J$2:$N$354,3,FALSE)="","",VLOOKUP(CP904,βοηθητικό!$J$2:$N$354,3,FALSE))</f>
        <v>_</v>
      </c>
      <c r="CR904" s="44"/>
      <c r="CS904" s="45" t="s">
        <v>16</v>
      </c>
      <c r="CT904" s="46" t="str">
        <f>IF(VLOOKUP(CS904,βοηθητικό!$J$2:$N$354,3,FALSE)="","",VLOOKUP(CS904,βοηθητικό!$J$2:$N$354,3,FALSE))</f>
        <v>_</v>
      </c>
      <c r="CU904" s="47"/>
    </row>
    <row r="905" spans="1:99" x14ac:dyDescent="0.25">
      <c r="A905" s="37">
        <f>--SUBTOTAL(3,$B$3:B904)</f>
        <v>198</v>
      </c>
      <c r="B905" s="2"/>
      <c r="C905" s="3"/>
      <c r="D905" s="55" t="s">
        <v>18</v>
      </c>
      <c r="E905" s="38" t="s">
        <v>16</v>
      </c>
      <c r="F905" s="38"/>
      <c r="G905" s="39" t="str">
        <f t="shared" si="44"/>
        <v>__</v>
      </c>
      <c r="H905" s="40" t="str">
        <f t="shared" si="45"/>
        <v>FALSE</v>
      </c>
      <c r="I905" s="41">
        <f t="shared" si="46"/>
        <v>0</v>
      </c>
      <c r="J905" s="4" t="s">
        <v>16</v>
      </c>
      <c r="K905" s="43" t="str">
        <f>IF(VLOOKUP(J905,βοηθητικό!$J$2:$N$354,3,FALSE)="","",VLOOKUP(J905,βοηθητικό!$J$2:$N$354,3,FALSE))</f>
        <v>_</v>
      </c>
      <c r="L905" s="44"/>
      <c r="M905" s="5" t="s">
        <v>16</v>
      </c>
      <c r="N905" s="46" t="str">
        <f>IF(VLOOKUP(M905,βοηθητικό!$J$2:$N$354,3,FALSE)="","",VLOOKUP(M905,βοηθητικό!$J$2:$N$354,3,FALSE))</f>
        <v>_</v>
      </c>
      <c r="O905" s="47"/>
      <c r="P905" s="4" t="s">
        <v>16</v>
      </c>
      <c r="Q905" s="43" t="str">
        <f>IF(VLOOKUP(P905,βοηθητικό!$J$2:$N$354,3,FALSE)="","",VLOOKUP(P905,βοηθητικό!$J$2:$N$354,3,FALSE))</f>
        <v>_</v>
      </c>
      <c r="R905" s="44"/>
      <c r="S905" s="5" t="s">
        <v>16</v>
      </c>
      <c r="T905" s="46" t="str">
        <f>IF(VLOOKUP(S905,βοηθητικό!$J$2:$N$354,3,FALSE)="","",VLOOKUP(S905,βοηθητικό!$J$2:$N$354,3,FALSE))</f>
        <v>_</v>
      </c>
      <c r="U905" s="47"/>
      <c r="V905" s="4" t="s">
        <v>16</v>
      </c>
      <c r="W905" s="43" t="str">
        <f>IF(VLOOKUP(V905,βοηθητικό!$J$2:$N$354,3,FALSE)="","",VLOOKUP(V905,βοηθητικό!$J$2:$N$354,3,FALSE))</f>
        <v>_</v>
      </c>
      <c r="X905" s="44"/>
      <c r="Y905" s="5" t="s">
        <v>16</v>
      </c>
      <c r="Z905" s="46" t="str">
        <f>IF(VLOOKUP(Y905,βοηθητικό!$J$2:$N$354,3,FALSE)="","",VLOOKUP(Y905,βοηθητικό!$J$2:$N$354,3,FALSE))</f>
        <v>_</v>
      </c>
      <c r="AA905" s="47"/>
      <c r="AB905" s="4" t="s">
        <v>16</v>
      </c>
      <c r="AC905" s="43" t="str">
        <f>IF(VLOOKUP(AB905,βοηθητικό!$J$2:$N$354,3,FALSE)="","",VLOOKUP(AB905,βοηθητικό!$J$2:$N$354,3,FALSE))</f>
        <v>_</v>
      </c>
      <c r="AD905" s="44"/>
      <c r="AE905" s="5" t="s">
        <v>16</v>
      </c>
      <c r="AF905" s="46" t="str">
        <f>IF(VLOOKUP(AE905,βοηθητικό!$J$2:$N$354,3,FALSE)="","",VLOOKUP(AE905,βοηθητικό!$J$2:$N$354,3,FALSE))</f>
        <v>_</v>
      </c>
      <c r="AG905" s="47"/>
      <c r="AH905" s="4" t="s">
        <v>16</v>
      </c>
      <c r="AI905" s="43" t="str">
        <f>IF(VLOOKUP(AH905,βοηθητικό!$J$2:$N$354,3,FALSE)="","",VLOOKUP(AH905,βοηθητικό!$J$2:$N$354,3,FALSE))</f>
        <v>_</v>
      </c>
      <c r="AJ905" s="44"/>
      <c r="AK905" s="5" t="s">
        <v>16</v>
      </c>
      <c r="AL905" s="46" t="str">
        <f>IF(VLOOKUP(AK905,βοηθητικό!$J$2:$N$354,3,FALSE)="","",VLOOKUP(AK905,βοηθητικό!$J$2:$N$354,3,FALSE))</f>
        <v>_</v>
      </c>
      <c r="AM905" s="47"/>
      <c r="AN905" s="4" t="s">
        <v>16</v>
      </c>
      <c r="AO905" s="43" t="str">
        <f>IF(VLOOKUP(AN905,βοηθητικό!$J$2:$N$354,3,FALSE)="","",VLOOKUP(AN905,βοηθητικό!$J$2:$N$354,3,FALSE))</f>
        <v>_</v>
      </c>
      <c r="AP905" s="44"/>
      <c r="AQ905" s="5" t="s">
        <v>16</v>
      </c>
      <c r="AR905" s="46" t="str">
        <f>IF(VLOOKUP(AQ905,βοηθητικό!$J$2:$N$354,3,FALSE)="","",VLOOKUP(AQ905,βοηθητικό!$J$2:$N$354,3,FALSE))</f>
        <v>_</v>
      </c>
      <c r="AS905" s="47"/>
      <c r="AT905" s="4" t="s">
        <v>16</v>
      </c>
      <c r="AU905" s="43" t="str">
        <f>IF(VLOOKUP(AT905,βοηθητικό!$J$2:$N$354,3,FALSE)="","",VLOOKUP(AT905,βοηθητικό!$J$2:$N$354,3,FALSE))</f>
        <v>_</v>
      </c>
      <c r="AV905" s="44"/>
      <c r="AW905" s="5" t="s">
        <v>16</v>
      </c>
      <c r="AX905" s="46" t="str">
        <f>IF(VLOOKUP(AW905,βοηθητικό!$J$2:$N$354,3,FALSE)="","",VLOOKUP(AW905,βοηθητικό!$J$2:$N$354,3,FALSE))</f>
        <v>_</v>
      </c>
      <c r="AY905" s="47"/>
      <c r="AZ905" s="4" t="s">
        <v>16</v>
      </c>
      <c r="BA905" s="43" t="str">
        <f>IF(VLOOKUP(AZ905,βοηθητικό!$J$2:$N$354,3,FALSE)="","",VLOOKUP(AZ905,βοηθητικό!$J$2:$N$354,3,FALSE))</f>
        <v>_</v>
      </c>
      <c r="BB905" s="44"/>
      <c r="BC905" s="45" t="s">
        <v>16</v>
      </c>
      <c r="BD905" s="46" t="str">
        <f>IF(VLOOKUP(BC905,βοηθητικό!$J$2:$N$354,3,FALSE)="","",VLOOKUP(BC905,βοηθητικό!$J$2:$N$354,3,FALSE))</f>
        <v>_</v>
      </c>
      <c r="BE905" s="47"/>
      <c r="BF905" s="42" t="s">
        <v>16</v>
      </c>
      <c r="BG905" s="43" t="str">
        <f>IF(VLOOKUP(BF905,βοηθητικό!$J$2:$N$354,3,FALSE)="","",VLOOKUP(BF905,βοηθητικό!$J$2:$N$354,3,FALSE))</f>
        <v>_</v>
      </c>
      <c r="BH905" s="44"/>
      <c r="BI905" s="45" t="s">
        <v>16</v>
      </c>
      <c r="BJ905" s="46" t="str">
        <f>IF(VLOOKUP(BI905,βοηθητικό!$J$2:$N$354,3,FALSE)="","",VLOOKUP(BI905,βοηθητικό!$J$2:$N$354,3,FALSE))</f>
        <v>_</v>
      </c>
      <c r="BK905" s="47"/>
      <c r="BL905" s="42" t="s">
        <v>16</v>
      </c>
      <c r="BM905" s="43" t="str">
        <f>IF(VLOOKUP(BL905,βοηθητικό!$J$2:$N$354,3,FALSE)="","",VLOOKUP(BL905,βοηθητικό!$J$2:$N$354,3,FALSE))</f>
        <v>_</v>
      </c>
      <c r="BN905" s="44"/>
      <c r="BO905" s="45" t="s">
        <v>16</v>
      </c>
      <c r="BP905" s="46" t="str">
        <f>IF(VLOOKUP(BO905,βοηθητικό!$J$2:$N$354,3,FALSE)="","",VLOOKUP(BO905,βοηθητικό!$J$2:$N$354,3,FALSE))</f>
        <v>_</v>
      </c>
      <c r="BQ905" s="47"/>
      <c r="BR905" s="42" t="s">
        <v>16</v>
      </c>
      <c r="BS905" s="43" t="str">
        <f>IF(VLOOKUP(BR905,βοηθητικό!$J$2:$N$354,3,FALSE)="","",VLOOKUP(BR905,βοηθητικό!$J$2:$N$354,3,FALSE))</f>
        <v>_</v>
      </c>
      <c r="BT905" s="44"/>
      <c r="BU905" s="45" t="s">
        <v>16</v>
      </c>
      <c r="BV905" s="46" t="str">
        <f>IF(VLOOKUP(BU905,βοηθητικό!$J$2:$N$354,3,FALSE)="","",VLOOKUP(BU905,βοηθητικό!$J$2:$N$354,3,FALSE))</f>
        <v>_</v>
      </c>
      <c r="BW905" s="47"/>
      <c r="BX905" s="42" t="s">
        <v>16</v>
      </c>
      <c r="BY905" s="43" t="str">
        <f>IF(VLOOKUP(BX905,βοηθητικό!$J$2:$N$354,3,FALSE)="","",VLOOKUP(BX905,βοηθητικό!$J$2:$N$354,3,FALSE))</f>
        <v>_</v>
      </c>
      <c r="BZ905" s="44"/>
      <c r="CA905" s="45" t="s">
        <v>16</v>
      </c>
      <c r="CB905" s="46" t="str">
        <f>IF(VLOOKUP(CA905,βοηθητικό!$J$2:$N$354,3,FALSE)="","",VLOOKUP(CA905,βοηθητικό!$J$2:$N$354,3,FALSE))</f>
        <v>_</v>
      </c>
      <c r="CC905" s="47"/>
      <c r="CD905" s="42" t="s">
        <v>16</v>
      </c>
      <c r="CE905" s="43" t="str">
        <f>IF(VLOOKUP(CD905,βοηθητικό!$J$2:$N$354,3,FALSE)="","",VLOOKUP(CD905,βοηθητικό!$J$2:$N$354,3,FALSE))</f>
        <v>_</v>
      </c>
      <c r="CF905" s="44"/>
      <c r="CG905" s="45" t="s">
        <v>16</v>
      </c>
      <c r="CH905" s="46" t="str">
        <f>IF(VLOOKUP(CG905,βοηθητικό!$J$2:$N$354,3,FALSE)="","",VLOOKUP(CG905,βοηθητικό!$J$2:$N$354,3,FALSE))</f>
        <v>_</v>
      </c>
      <c r="CI905" s="47"/>
      <c r="CJ905" s="42" t="s">
        <v>16</v>
      </c>
      <c r="CK905" s="43" t="str">
        <f>IF(VLOOKUP(CJ905,βοηθητικό!$J$2:$N$354,3,FALSE)="","",VLOOKUP(CJ905,βοηθητικό!$J$2:$N$354,3,FALSE))</f>
        <v>_</v>
      </c>
      <c r="CL905" s="44"/>
      <c r="CM905" s="45" t="s">
        <v>16</v>
      </c>
      <c r="CN905" s="46" t="str">
        <f>IF(VLOOKUP(CM905,βοηθητικό!$J$2:$N$354,3,FALSE)="","",VLOOKUP(CM905,βοηθητικό!$J$2:$N$354,3,FALSE))</f>
        <v>_</v>
      </c>
      <c r="CO905" s="47"/>
      <c r="CP905" s="42" t="s">
        <v>16</v>
      </c>
      <c r="CQ905" s="43" t="str">
        <f>IF(VLOOKUP(CP905,βοηθητικό!$J$2:$N$354,3,FALSE)="","",VLOOKUP(CP905,βοηθητικό!$J$2:$N$354,3,FALSE))</f>
        <v>_</v>
      </c>
      <c r="CR905" s="44"/>
      <c r="CS905" s="45" t="s">
        <v>16</v>
      </c>
      <c r="CT905" s="46" t="str">
        <f>IF(VLOOKUP(CS905,βοηθητικό!$J$2:$N$354,3,FALSE)="","",VLOOKUP(CS905,βοηθητικό!$J$2:$N$354,3,FALSE))</f>
        <v>_</v>
      </c>
      <c r="CU905" s="47"/>
    </row>
    <row r="906" spans="1:99" x14ac:dyDescent="0.25">
      <c r="A906" s="37">
        <f>--SUBTOTAL(3,$B$3:B905)</f>
        <v>198</v>
      </c>
      <c r="B906" s="2"/>
      <c r="C906" s="3"/>
      <c r="D906" s="55" t="s">
        <v>18</v>
      </c>
      <c r="E906" s="38" t="s">
        <v>16</v>
      </c>
      <c r="F906" s="38"/>
      <c r="G906" s="39" t="str">
        <f t="shared" si="44"/>
        <v>__</v>
      </c>
      <c r="H906" s="40" t="str">
        <f t="shared" si="45"/>
        <v>FALSE</v>
      </c>
      <c r="I906" s="41">
        <f t="shared" si="46"/>
        <v>0</v>
      </c>
      <c r="J906" s="4" t="s">
        <v>16</v>
      </c>
      <c r="K906" s="43" t="str">
        <f>IF(VLOOKUP(J906,βοηθητικό!$J$2:$N$354,3,FALSE)="","",VLOOKUP(J906,βοηθητικό!$J$2:$N$354,3,FALSE))</f>
        <v>_</v>
      </c>
      <c r="L906" s="44"/>
      <c r="M906" s="5" t="s">
        <v>16</v>
      </c>
      <c r="N906" s="46" t="str">
        <f>IF(VLOOKUP(M906,βοηθητικό!$J$2:$N$354,3,FALSE)="","",VLOOKUP(M906,βοηθητικό!$J$2:$N$354,3,FALSE))</f>
        <v>_</v>
      </c>
      <c r="O906" s="47"/>
      <c r="P906" s="4" t="s">
        <v>16</v>
      </c>
      <c r="Q906" s="43" t="str">
        <f>IF(VLOOKUP(P906,βοηθητικό!$J$2:$N$354,3,FALSE)="","",VLOOKUP(P906,βοηθητικό!$J$2:$N$354,3,FALSE))</f>
        <v>_</v>
      </c>
      <c r="R906" s="44"/>
      <c r="S906" s="5" t="s">
        <v>16</v>
      </c>
      <c r="T906" s="46" t="str">
        <f>IF(VLOOKUP(S906,βοηθητικό!$J$2:$N$354,3,FALSE)="","",VLOOKUP(S906,βοηθητικό!$J$2:$N$354,3,FALSE))</f>
        <v>_</v>
      </c>
      <c r="U906" s="47"/>
      <c r="V906" s="4" t="s">
        <v>16</v>
      </c>
      <c r="W906" s="43" t="str">
        <f>IF(VLOOKUP(V906,βοηθητικό!$J$2:$N$354,3,FALSE)="","",VLOOKUP(V906,βοηθητικό!$J$2:$N$354,3,FALSE))</f>
        <v>_</v>
      </c>
      <c r="X906" s="44"/>
      <c r="Y906" s="5" t="s">
        <v>16</v>
      </c>
      <c r="Z906" s="46" t="str">
        <f>IF(VLOOKUP(Y906,βοηθητικό!$J$2:$N$354,3,FALSE)="","",VLOOKUP(Y906,βοηθητικό!$J$2:$N$354,3,FALSE))</f>
        <v>_</v>
      </c>
      <c r="AA906" s="47"/>
      <c r="AB906" s="4" t="s">
        <v>16</v>
      </c>
      <c r="AC906" s="43" t="str">
        <f>IF(VLOOKUP(AB906,βοηθητικό!$J$2:$N$354,3,FALSE)="","",VLOOKUP(AB906,βοηθητικό!$J$2:$N$354,3,FALSE))</f>
        <v>_</v>
      </c>
      <c r="AD906" s="44"/>
      <c r="AE906" s="5" t="s">
        <v>16</v>
      </c>
      <c r="AF906" s="46" t="str">
        <f>IF(VLOOKUP(AE906,βοηθητικό!$J$2:$N$354,3,FALSE)="","",VLOOKUP(AE906,βοηθητικό!$J$2:$N$354,3,FALSE))</f>
        <v>_</v>
      </c>
      <c r="AG906" s="47"/>
      <c r="AH906" s="4" t="s">
        <v>16</v>
      </c>
      <c r="AI906" s="43" t="str">
        <f>IF(VLOOKUP(AH906,βοηθητικό!$J$2:$N$354,3,FALSE)="","",VLOOKUP(AH906,βοηθητικό!$J$2:$N$354,3,FALSE))</f>
        <v>_</v>
      </c>
      <c r="AJ906" s="44"/>
      <c r="AK906" s="5" t="s">
        <v>16</v>
      </c>
      <c r="AL906" s="46" t="str">
        <f>IF(VLOOKUP(AK906,βοηθητικό!$J$2:$N$354,3,FALSE)="","",VLOOKUP(AK906,βοηθητικό!$J$2:$N$354,3,FALSE))</f>
        <v>_</v>
      </c>
      <c r="AM906" s="47"/>
      <c r="AN906" s="4" t="s">
        <v>16</v>
      </c>
      <c r="AO906" s="43" t="str">
        <f>IF(VLOOKUP(AN906,βοηθητικό!$J$2:$N$354,3,FALSE)="","",VLOOKUP(AN906,βοηθητικό!$J$2:$N$354,3,FALSE))</f>
        <v>_</v>
      </c>
      <c r="AP906" s="44"/>
      <c r="AQ906" s="5" t="s">
        <v>16</v>
      </c>
      <c r="AR906" s="46" t="str">
        <f>IF(VLOOKUP(AQ906,βοηθητικό!$J$2:$N$354,3,FALSE)="","",VLOOKUP(AQ906,βοηθητικό!$J$2:$N$354,3,FALSE))</f>
        <v>_</v>
      </c>
      <c r="AS906" s="47"/>
      <c r="AT906" s="4" t="s">
        <v>16</v>
      </c>
      <c r="AU906" s="43" t="str">
        <f>IF(VLOOKUP(AT906,βοηθητικό!$J$2:$N$354,3,FALSE)="","",VLOOKUP(AT906,βοηθητικό!$J$2:$N$354,3,FALSE))</f>
        <v>_</v>
      </c>
      <c r="AV906" s="44"/>
      <c r="AW906" s="5" t="s">
        <v>16</v>
      </c>
      <c r="AX906" s="46" t="str">
        <f>IF(VLOOKUP(AW906,βοηθητικό!$J$2:$N$354,3,FALSE)="","",VLOOKUP(AW906,βοηθητικό!$J$2:$N$354,3,FALSE))</f>
        <v>_</v>
      </c>
      <c r="AY906" s="47"/>
      <c r="AZ906" s="4" t="s">
        <v>16</v>
      </c>
      <c r="BA906" s="43" t="str">
        <f>IF(VLOOKUP(AZ906,βοηθητικό!$J$2:$N$354,3,FALSE)="","",VLOOKUP(AZ906,βοηθητικό!$J$2:$N$354,3,FALSE))</f>
        <v>_</v>
      </c>
      <c r="BB906" s="44"/>
      <c r="BC906" s="45" t="s">
        <v>16</v>
      </c>
      <c r="BD906" s="46" t="str">
        <f>IF(VLOOKUP(BC906,βοηθητικό!$J$2:$N$354,3,FALSE)="","",VLOOKUP(BC906,βοηθητικό!$J$2:$N$354,3,FALSE))</f>
        <v>_</v>
      </c>
      <c r="BE906" s="47"/>
      <c r="BF906" s="42" t="s">
        <v>16</v>
      </c>
      <c r="BG906" s="43" t="str">
        <f>IF(VLOOKUP(BF906,βοηθητικό!$J$2:$N$354,3,FALSE)="","",VLOOKUP(BF906,βοηθητικό!$J$2:$N$354,3,FALSE))</f>
        <v>_</v>
      </c>
      <c r="BH906" s="44"/>
      <c r="BI906" s="45" t="s">
        <v>16</v>
      </c>
      <c r="BJ906" s="46" t="str">
        <f>IF(VLOOKUP(BI906,βοηθητικό!$J$2:$N$354,3,FALSE)="","",VLOOKUP(BI906,βοηθητικό!$J$2:$N$354,3,FALSE))</f>
        <v>_</v>
      </c>
      <c r="BK906" s="47"/>
      <c r="BL906" s="42" t="s">
        <v>16</v>
      </c>
      <c r="BM906" s="43" t="str">
        <f>IF(VLOOKUP(BL906,βοηθητικό!$J$2:$N$354,3,FALSE)="","",VLOOKUP(BL906,βοηθητικό!$J$2:$N$354,3,FALSE))</f>
        <v>_</v>
      </c>
      <c r="BN906" s="44"/>
      <c r="BO906" s="45" t="s">
        <v>16</v>
      </c>
      <c r="BP906" s="46" t="str">
        <f>IF(VLOOKUP(BO906,βοηθητικό!$J$2:$N$354,3,FALSE)="","",VLOOKUP(BO906,βοηθητικό!$J$2:$N$354,3,FALSE))</f>
        <v>_</v>
      </c>
      <c r="BQ906" s="47"/>
      <c r="BR906" s="42" t="s">
        <v>16</v>
      </c>
      <c r="BS906" s="43" t="str">
        <f>IF(VLOOKUP(BR906,βοηθητικό!$J$2:$N$354,3,FALSE)="","",VLOOKUP(BR906,βοηθητικό!$J$2:$N$354,3,FALSE))</f>
        <v>_</v>
      </c>
      <c r="BT906" s="44"/>
      <c r="BU906" s="45" t="s">
        <v>16</v>
      </c>
      <c r="BV906" s="46" t="str">
        <f>IF(VLOOKUP(BU906,βοηθητικό!$J$2:$N$354,3,FALSE)="","",VLOOKUP(BU906,βοηθητικό!$J$2:$N$354,3,FALSE))</f>
        <v>_</v>
      </c>
      <c r="BW906" s="47"/>
      <c r="BX906" s="42" t="s">
        <v>16</v>
      </c>
      <c r="BY906" s="43" t="str">
        <f>IF(VLOOKUP(BX906,βοηθητικό!$J$2:$N$354,3,FALSE)="","",VLOOKUP(BX906,βοηθητικό!$J$2:$N$354,3,FALSE))</f>
        <v>_</v>
      </c>
      <c r="BZ906" s="44"/>
      <c r="CA906" s="45" t="s">
        <v>16</v>
      </c>
      <c r="CB906" s="46" t="str">
        <f>IF(VLOOKUP(CA906,βοηθητικό!$J$2:$N$354,3,FALSE)="","",VLOOKUP(CA906,βοηθητικό!$J$2:$N$354,3,FALSE))</f>
        <v>_</v>
      </c>
      <c r="CC906" s="47"/>
      <c r="CD906" s="42" t="s">
        <v>16</v>
      </c>
      <c r="CE906" s="43" t="str">
        <f>IF(VLOOKUP(CD906,βοηθητικό!$J$2:$N$354,3,FALSE)="","",VLOOKUP(CD906,βοηθητικό!$J$2:$N$354,3,FALSE))</f>
        <v>_</v>
      </c>
      <c r="CF906" s="44"/>
      <c r="CG906" s="45" t="s">
        <v>16</v>
      </c>
      <c r="CH906" s="46" t="str">
        <f>IF(VLOOKUP(CG906,βοηθητικό!$J$2:$N$354,3,FALSE)="","",VLOOKUP(CG906,βοηθητικό!$J$2:$N$354,3,FALSE))</f>
        <v>_</v>
      </c>
      <c r="CI906" s="47"/>
      <c r="CJ906" s="42" t="s">
        <v>16</v>
      </c>
      <c r="CK906" s="43" t="str">
        <f>IF(VLOOKUP(CJ906,βοηθητικό!$J$2:$N$354,3,FALSE)="","",VLOOKUP(CJ906,βοηθητικό!$J$2:$N$354,3,FALSE))</f>
        <v>_</v>
      </c>
      <c r="CL906" s="44"/>
      <c r="CM906" s="45" t="s">
        <v>16</v>
      </c>
      <c r="CN906" s="46" t="str">
        <f>IF(VLOOKUP(CM906,βοηθητικό!$J$2:$N$354,3,FALSE)="","",VLOOKUP(CM906,βοηθητικό!$J$2:$N$354,3,FALSE))</f>
        <v>_</v>
      </c>
      <c r="CO906" s="47"/>
      <c r="CP906" s="42" t="s">
        <v>16</v>
      </c>
      <c r="CQ906" s="43" t="str">
        <f>IF(VLOOKUP(CP906,βοηθητικό!$J$2:$N$354,3,FALSE)="","",VLOOKUP(CP906,βοηθητικό!$J$2:$N$354,3,FALSE))</f>
        <v>_</v>
      </c>
      <c r="CR906" s="44"/>
      <c r="CS906" s="45" t="s">
        <v>16</v>
      </c>
      <c r="CT906" s="46" t="str">
        <f>IF(VLOOKUP(CS906,βοηθητικό!$J$2:$N$354,3,FALSE)="","",VLOOKUP(CS906,βοηθητικό!$J$2:$N$354,3,FALSE))</f>
        <v>_</v>
      </c>
      <c r="CU906" s="47"/>
    </row>
    <row r="907" spans="1:99" x14ac:dyDescent="0.25">
      <c r="A907" s="37">
        <f>--SUBTOTAL(3,$B$3:B906)</f>
        <v>198</v>
      </c>
      <c r="B907" s="2"/>
      <c r="C907" s="3"/>
      <c r="D907" s="55" t="s">
        <v>18</v>
      </c>
      <c r="E907" s="38" t="s">
        <v>16</v>
      </c>
      <c r="F907" s="38"/>
      <c r="G907" s="39" t="str">
        <f t="shared" si="44"/>
        <v>__</v>
      </c>
      <c r="H907" s="40" t="str">
        <f t="shared" si="45"/>
        <v>FALSE</v>
      </c>
      <c r="I907" s="41">
        <f t="shared" si="46"/>
        <v>0</v>
      </c>
      <c r="J907" s="4" t="s">
        <v>16</v>
      </c>
      <c r="K907" s="43" t="str">
        <f>IF(VLOOKUP(J907,βοηθητικό!$J$2:$N$354,3,FALSE)="","",VLOOKUP(J907,βοηθητικό!$J$2:$N$354,3,FALSE))</f>
        <v>_</v>
      </c>
      <c r="L907" s="44"/>
      <c r="M907" s="5" t="s">
        <v>16</v>
      </c>
      <c r="N907" s="46" t="str">
        <f>IF(VLOOKUP(M907,βοηθητικό!$J$2:$N$354,3,FALSE)="","",VLOOKUP(M907,βοηθητικό!$J$2:$N$354,3,FALSE))</f>
        <v>_</v>
      </c>
      <c r="O907" s="47"/>
      <c r="P907" s="4" t="s">
        <v>16</v>
      </c>
      <c r="Q907" s="43" t="str">
        <f>IF(VLOOKUP(P907,βοηθητικό!$J$2:$N$354,3,FALSE)="","",VLOOKUP(P907,βοηθητικό!$J$2:$N$354,3,FALSE))</f>
        <v>_</v>
      </c>
      <c r="R907" s="44"/>
      <c r="S907" s="5" t="s">
        <v>16</v>
      </c>
      <c r="T907" s="46" t="str">
        <f>IF(VLOOKUP(S907,βοηθητικό!$J$2:$N$354,3,FALSE)="","",VLOOKUP(S907,βοηθητικό!$J$2:$N$354,3,FALSE))</f>
        <v>_</v>
      </c>
      <c r="U907" s="47"/>
      <c r="V907" s="4" t="s">
        <v>16</v>
      </c>
      <c r="W907" s="43" t="str">
        <f>IF(VLOOKUP(V907,βοηθητικό!$J$2:$N$354,3,FALSE)="","",VLOOKUP(V907,βοηθητικό!$J$2:$N$354,3,FALSE))</f>
        <v>_</v>
      </c>
      <c r="X907" s="44"/>
      <c r="Y907" s="5" t="s">
        <v>16</v>
      </c>
      <c r="Z907" s="46" t="str">
        <f>IF(VLOOKUP(Y907,βοηθητικό!$J$2:$N$354,3,FALSE)="","",VLOOKUP(Y907,βοηθητικό!$J$2:$N$354,3,FALSE))</f>
        <v>_</v>
      </c>
      <c r="AA907" s="47"/>
      <c r="AB907" s="4" t="s">
        <v>16</v>
      </c>
      <c r="AC907" s="43" t="str">
        <f>IF(VLOOKUP(AB907,βοηθητικό!$J$2:$N$354,3,FALSE)="","",VLOOKUP(AB907,βοηθητικό!$J$2:$N$354,3,FALSE))</f>
        <v>_</v>
      </c>
      <c r="AD907" s="44"/>
      <c r="AE907" s="5" t="s">
        <v>16</v>
      </c>
      <c r="AF907" s="46" t="str">
        <f>IF(VLOOKUP(AE907,βοηθητικό!$J$2:$N$354,3,FALSE)="","",VLOOKUP(AE907,βοηθητικό!$J$2:$N$354,3,FALSE))</f>
        <v>_</v>
      </c>
      <c r="AG907" s="47"/>
      <c r="AH907" s="4" t="s">
        <v>16</v>
      </c>
      <c r="AI907" s="43" t="str">
        <f>IF(VLOOKUP(AH907,βοηθητικό!$J$2:$N$354,3,FALSE)="","",VLOOKUP(AH907,βοηθητικό!$J$2:$N$354,3,FALSE))</f>
        <v>_</v>
      </c>
      <c r="AJ907" s="44"/>
      <c r="AK907" s="5" t="s">
        <v>16</v>
      </c>
      <c r="AL907" s="46" t="str">
        <f>IF(VLOOKUP(AK907,βοηθητικό!$J$2:$N$354,3,FALSE)="","",VLOOKUP(AK907,βοηθητικό!$J$2:$N$354,3,FALSE))</f>
        <v>_</v>
      </c>
      <c r="AM907" s="47"/>
      <c r="AN907" s="4" t="s">
        <v>16</v>
      </c>
      <c r="AO907" s="43" t="str">
        <f>IF(VLOOKUP(AN907,βοηθητικό!$J$2:$N$354,3,FALSE)="","",VLOOKUP(AN907,βοηθητικό!$J$2:$N$354,3,FALSE))</f>
        <v>_</v>
      </c>
      <c r="AP907" s="44"/>
      <c r="AQ907" s="5" t="s">
        <v>16</v>
      </c>
      <c r="AR907" s="46" t="str">
        <f>IF(VLOOKUP(AQ907,βοηθητικό!$J$2:$N$354,3,FALSE)="","",VLOOKUP(AQ907,βοηθητικό!$J$2:$N$354,3,FALSE))</f>
        <v>_</v>
      </c>
      <c r="AS907" s="47"/>
      <c r="AT907" s="4" t="s">
        <v>16</v>
      </c>
      <c r="AU907" s="43" t="str">
        <f>IF(VLOOKUP(AT907,βοηθητικό!$J$2:$N$354,3,FALSE)="","",VLOOKUP(AT907,βοηθητικό!$J$2:$N$354,3,FALSE))</f>
        <v>_</v>
      </c>
      <c r="AV907" s="44"/>
      <c r="AW907" s="5" t="s">
        <v>16</v>
      </c>
      <c r="AX907" s="46" t="str">
        <f>IF(VLOOKUP(AW907,βοηθητικό!$J$2:$N$354,3,FALSE)="","",VLOOKUP(AW907,βοηθητικό!$J$2:$N$354,3,FALSE))</f>
        <v>_</v>
      </c>
      <c r="AY907" s="47"/>
      <c r="AZ907" s="4" t="s">
        <v>16</v>
      </c>
      <c r="BA907" s="43" t="str">
        <f>IF(VLOOKUP(AZ907,βοηθητικό!$J$2:$N$354,3,FALSE)="","",VLOOKUP(AZ907,βοηθητικό!$J$2:$N$354,3,FALSE))</f>
        <v>_</v>
      </c>
      <c r="BB907" s="44"/>
      <c r="BC907" s="45" t="s">
        <v>16</v>
      </c>
      <c r="BD907" s="46" t="str">
        <f>IF(VLOOKUP(BC907,βοηθητικό!$J$2:$N$354,3,FALSE)="","",VLOOKUP(BC907,βοηθητικό!$J$2:$N$354,3,FALSE))</f>
        <v>_</v>
      </c>
      <c r="BE907" s="47"/>
      <c r="BF907" s="42" t="s">
        <v>16</v>
      </c>
      <c r="BG907" s="43" t="str">
        <f>IF(VLOOKUP(BF907,βοηθητικό!$J$2:$N$354,3,FALSE)="","",VLOOKUP(BF907,βοηθητικό!$J$2:$N$354,3,FALSE))</f>
        <v>_</v>
      </c>
      <c r="BH907" s="44"/>
      <c r="BI907" s="45" t="s">
        <v>16</v>
      </c>
      <c r="BJ907" s="46" t="str">
        <f>IF(VLOOKUP(BI907,βοηθητικό!$J$2:$N$354,3,FALSE)="","",VLOOKUP(BI907,βοηθητικό!$J$2:$N$354,3,FALSE))</f>
        <v>_</v>
      </c>
      <c r="BK907" s="47"/>
      <c r="BL907" s="42" t="s">
        <v>16</v>
      </c>
      <c r="BM907" s="43" t="str">
        <f>IF(VLOOKUP(BL907,βοηθητικό!$J$2:$N$354,3,FALSE)="","",VLOOKUP(BL907,βοηθητικό!$J$2:$N$354,3,FALSE))</f>
        <v>_</v>
      </c>
      <c r="BN907" s="44"/>
      <c r="BO907" s="45" t="s">
        <v>16</v>
      </c>
      <c r="BP907" s="46" t="str">
        <f>IF(VLOOKUP(BO907,βοηθητικό!$J$2:$N$354,3,FALSE)="","",VLOOKUP(BO907,βοηθητικό!$J$2:$N$354,3,FALSE))</f>
        <v>_</v>
      </c>
      <c r="BQ907" s="47"/>
      <c r="BR907" s="42" t="s">
        <v>16</v>
      </c>
      <c r="BS907" s="43" t="str">
        <f>IF(VLOOKUP(BR907,βοηθητικό!$J$2:$N$354,3,FALSE)="","",VLOOKUP(BR907,βοηθητικό!$J$2:$N$354,3,FALSE))</f>
        <v>_</v>
      </c>
      <c r="BT907" s="44"/>
      <c r="BU907" s="45" t="s">
        <v>16</v>
      </c>
      <c r="BV907" s="46" t="str">
        <f>IF(VLOOKUP(BU907,βοηθητικό!$J$2:$N$354,3,FALSE)="","",VLOOKUP(BU907,βοηθητικό!$J$2:$N$354,3,FALSE))</f>
        <v>_</v>
      </c>
      <c r="BW907" s="47"/>
      <c r="BX907" s="42" t="s">
        <v>16</v>
      </c>
      <c r="BY907" s="43" t="str">
        <f>IF(VLOOKUP(BX907,βοηθητικό!$J$2:$N$354,3,FALSE)="","",VLOOKUP(BX907,βοηθητικό!$J$2:$N$354,3,FALSE))</f>
        <v>_</v>
      </c>
      <c r="BZ907" s="44"/>
      <c r="CA907" s="45" t="s">
        <v>16</v>
      </c>
      <c r="CB907" s="46" t="str">
        <f>IF(VLOOKUP(CA907,βοηθητικό!$J$2:$N$354,3,FALSE)="","",VLOOKUP(CA907,βοηθητικό!$J$2:$N$354,3,FALSE))</f>
        <v>_</v>
      </c>
      <c r="CC907" s="47"/>
      <c r="CD907" s="42" t="s">
        <v>16</v>
      </c>
      <c r="CE907" s="43" t="str">
        <f>IF(VLOOKUP(CD907,βοηθητικό!$J$2:$N$354,3,FALSE)="","",VLOOKUP(CD907,βοηθητικό!$J$2:$N$354,3,FALSE))</f>
        <v>_</v>
      </c>
      <c r="CF907" s="44"/>
      <c r="CG907" s="45" t="s">
        <v>16</v>
      </c>
      <c r="CH907" s="46" t="str">
        <f>IF(VLOOKUP(CG907,βοηθητικό!$J$2:$N$354,3,FALSE)="","",VLOOKUP(CG907,βοηθητικό!$J$2:$N$354,3,FALSE))</f>
        <v>_</v>
      </c>
      <c r="CI907" s="47"/>
      <c r="CJ907" s="42" t="s">
        <v>16</v>
      </c>
      <c r="CK907" s="43" t="str">
        <f>IF(VLOOKUP(CJ907,βοηθητικό!$J$2:$N$354,3,FALSE)="","",VLOOKUP(CJ907,βοηθητικό!$J$2:$N$354,3,FALSE))</f>
        <v>_</v>
      </c>
      <c r="CL907" s="44"/>
      <c r="CM907" s="45" t="s">
        <v>16</v>
      </c>
      <c r="CN907" s="46" t="str">
        <f>IF(VLOOKUP(CM907,βοηθητικό!$J$2:$N$354,3,FALSE)="","",VLOOKUP(CM907,βοηθητικό!$J$2:$N$354,3,FALSE))</f>
        <v>_</v>
      </c>
      <c r="CO907" s="47"/>
      <c r="CP907" s="42" t="s">
        <v>16</v>
      </c>
      <c r="CQ907" s="43" t="str">
        <f>IF(VLOOKUP(CP907,βοηθητικό!$J$2:$N$354,3,FALSE)="","",VLOOKUP(CP907,βοηθητικό!$J$2:$N$354,3,FALSE))</f>
        <v>_</v>
      </c>
      <c r="CR907" s="44"/>
      <c r="CS907" s="45" t="s">
        <v>16</v>
      </c>
      <c r="CT907" s="46" t="str">
        <f>IF(VLOOKUP(CS907,βοηθητικό!$J$2:$N$354,3,FALSE)="","",VLOOKUP(CS907,βοηθητικό!$J$2:$N$354,3,FALSE))</f>
        <v>_</v>
      </c>
      <c r="CU907" s="47"/>
    </row>
    <row r="908" spans="1:99" x14ac:dyDescent="0.25">
      <c r="A908" s="37">
        <f>--SUBTOTAL(3,$B$3:B907)</f>
        <v>198</v>
      </c>
      <c r="B908" s="2"/>
      <c r="C908" s="3"/>
      <c r="D908" s="55" t="s">
        <v>18</v>
      </c>
      <c r="E908" s="38" t="s">
        <v>16</v>
      </c>
      <c r="F908" s="38"/>
      <c r="G908" s="39" t="str">
        <f t="shared" si="44"/>
        <v>__</v>
      </c>
      <c r="H908" s="40" t="str">
        <f t="shared" si="45"/>
        <v>FALSE</v>
      </c>
      <c r="I908" s="41">
        <f t="shared" si="46"/>
        <v>0</v>
      </c>
      <c r="J908" s="4" t="s">
        <v>16</v>
      </c>
      <c r="K908" s="43" t="str">
        <f>IF(VLOOKUP(J908,βοηθητικό!$J$2:$N$354,3,FALSE)="","",VLOOKUP(J908,βοηθητικό!$J$2:$N$354,3,FALSE))</f>
        <v>_</v>
      </c>
      <c r="L908" s="44"/>
      <c r="M908" s="5" t="s">
        <v>16</v>
      </c>
      <c r="N908" s="46" t="str">
        <f>IF(VLOOKUP(M908,βοηθητικό!$J$2:$N$354,3,FALSE)="","",VLOOKUP(M908,βοηθητικό!$J$2:$N$354,3,FALSE))</f>
        <v>_</v>
      </c>
      <c r="O908" s="47"/>
      <c r="P908" s="4" t="s">
        <v>16</v>
      </c>
      <c r="Q908" s="43" t="str">
        <f>IF(VLOOKUP(P908,βοηθητικό!$J$2:$N$354,3,FALSE)="","",VLOOKUP(P908,βοηθητικό!$J$2:$N$354,3,FALSE))</f>
        <v>_</v>
      </c>
      <c r="R908" s="44"/>
      <c r="S908" s="5" t="s">
        <v>16</v>
      </c>
      <c r="T908" s="46" t="str">
        <f>IF(VLOOKUP(S908,βοηθητικό!$J$2:$N$354,3,FALSE)="","",VLOOKUP(S908,βοηθητικό!$J$2:$N$354,3,FALSE))</f>
        <v>_</v>
      </c>
      <c r="U908" s="47"/>
      <c r="V908" s="4" t="s">
        <v>16</v>
      </c>
      <c r="W908" s="43" t="str">
        <f>IF(VLOOKUP(V908,βοηθητικό!$J$2:$N$354,3,FALSE)="","",VLOOKUP(V908,βοηθητικό!$J$2:$N$354,3,FALSE))</f>
        <v>_</v>
      </c>
      <c r="X908" s="44"/>
      <c r="Y908" s="5" t="s">
        <v>16</v>
      </c>
      <c r="Z908" s="46" t="str">
        <f>IF(VLOOKUP(Y908,βοηθητικό!$J$2:$N$354,3,FALSE)="","",VLOOKUP(Y908,βοηθητικό!$J$2:$N$354,3,FALSE))</f>
        <v>_</v>
      </c>
      <c r="AA908" s="47"/>
      <c r="AB908" s="4" t="s">
        <v>16</v>
      </c>
      <c r="AC908" s="43" t="str">
        <f>IF(VLOOKUP(AB908,βοηθητικό!$J$2:$N$354,3,FALSE)="","",VLOOKUP(AB908,βοηθητικό!$J$2:$N$354,3,FALSE))</f>
        <v>_</v>
      </c>
      <c r="AD908" s="44"/>
      <c r="AE908" s="5" t="s">
        <v>16</v>
      </c>
      <c r="AF908" s="46" t="str">
        <f>IF(VLOOKUP(AE908,βοηθητικό!$J$2:$N$354,3,FALSE)="","",VLOOKUP(AE908,βοηθητικό!$J$2:$N$354,3,FALSE))</f>
        <v>_</v>
      </c>
      <c r="AG908" s="47"/>
      <c r="AH908" s="4" t="s">
        <v>16</v>
      </c>
      <c r="AI908" s="43" t="str">
        <f>IF(VLOOKUP(AH908,βοηθητικό!$J$2:$N$354,3,FALSE)="","",VLOOKUP(AH908,βοηθητικό!$J$2:$N$354,3,FALSE))</f>
        <v>_</v>
      </c>
      <c r="AJ908" s="44"/>
      <c r="AK908" s="5" t="s">
        <v>16</v>
      </c>
      <c r="AL908" s="46" t="str">
        <f>IF(VLOOKUP(AK908,βοηθητικό!$J$2:$N$354,3,FALSE)="","",VLOOKUP(AK908,βοηθητικό!$J$2:$N$354,3,FALSE))</f>
        <v>_</v>
      </c>
      <c r="AM908" s="47"/>
      <c r="AN908" s="4" t="s">
        <v>16</v>
      </c>
      <c r="AO908" s="43" t="str">
        <f>IF(VLOOKUP(AN908,βοηθητικό!$J$2:$N$354,3,FALSE)="","",VLOOKUP(AN908,βοηθητικό!$J$2:$N$354,3,FALSE))</f>
        <v>_</v>
      </c>
      <c r="AP908" s="44"/>
      <c r="AQ908" s="5" t="s">
        <v>16</v>
      </c>
      <c r="AR908" s="46" t="str">
        <f>IF(VLOOKUP(AQ908,βοηθητικό!$J$2:$N$354,3,FALSE)="","",VLOOKUP(AQ908,βοηθητικό!$J$2:$N$354,3,FALSE))</f>
        <v>_</v>
      </c>
      <c r="AS908" s="47"/>
      <c r="AT908" s="4" t="s">
        <v>16</v>
      </c>
      <c r="AU908" s="43" t="str">
        <f>IF(VLOOKUP(AT908,βοηθητικό!$J$2:$N$354,3,FALSE)="","",VLOOKUP(AT908,βοηθητικό!$J$2:$N$354,3,FALSE))</f>
        <v>_</v>
      </c>
      <c r="AV908" s="44"/>
      <c r="AW908" s="5" t="s">
        <v>16</v>
      </c>
      <c r="AX908" s="46" t="str">
        <f>IF(VLOOKUP(AW908,βοηθητικό!$J$2:$N$354,3,FALSE)="","",VLOOKUP(AW908,βοηθητικό!$J$2:$N$354,3,FALSE))</f>
        <v>_</v>
      </c>
      <c r="AY908" s="47"/>
      <c r="AZ908" s="4" t="s">
        <v>16</v>
      </c>
      <c r="BA908" s="43" t="str">
        <f>IF(VLOOKUP(AZ908,βοηθητικό!$J$2:$N$354,3,FALSE)="","",VLOOKUP(AZ908,βοηθητικό!$J$2:$N$354,3,FALSE))</f>
        <v>_</v>
      </c>
      <c r="BB908" s="44"/>
      <c r="BC908" s="45" t="s">
        <v>16</v>
      </c>
      <c r="BD908" s="46" t="str">
        <f>IF(VLOOKUP(BC908,βοηθητικό!$J$2:$N$354,3,FALSE)="","",VLOOKUP(BC908,βοηθητικό!$J$2:$N$354,3,FALSE))</f>
        <v>_</v>
      </c>
      <c r="BE908" s="47"/>
      <c r="BF908" s="42" t="s">
        <v>16</v>
      </c>
      <c r="BG908" s="43" t="str">
        <f>IF(VLOOKUP(BF908,βοηθητικό!$J$2:$N$354,3,FALSE)="","",VLOOKUP(BF908,βοηθητικό!$J$2:$N$354,3,FALSE))</f>
        <v>_</v>
      </c>
      <c r="BH908" s="44"/>
      <c r="BI908" s="45" t="s">
        <v>16</v>
      </c>
      <c r="BJ908" s="46" t="str">
        <f>IF(VLOOKUP(BI908,βοηθητικό!$J$2:$N$354,3,FALSE)="","",VLOOKUP(BI908,βοηθητικό!$J$2:$N$354,3,FALSE))</f>
        <v>_</v>
      </c>
      <c r="BK908" s="47"/>
      <c r="BL908" s="42" t="s">
        <v>16</v>
      </c>
      <c r="BM908" s="43" t="str">
        <f>IF(VLOOKUP(BL908,βοηθητικό!$J$2:$N$354,3,FALSE)="","",VLOOKUP(BL908,βοηθητικό!$J$2:$N$354,3,FALSE))</f>
        <v>_</v>
      </c>
      <c r="BN908" s="44"/>
      <c r="BO908" s="45" t="s">
        <v>16</v>
      </c>
      <c r="BP908" s="46" t="str">
        <f>IF(VLOOKUP(BO908,βοηθητικό!$J$2:$N$354,3,FALSE)="","",VLOOKUP(BO908,βοηθητικό!$J$2:$N$354,3,FALSE))</f>
        <v>_</v>
      </c>
      <c r="BQ908" s="47"/>
      <c r="BR908" s="42" t="s">
        <v>16</v>
      </c>
      <c r="BS908" s="43" t="str">
        <f>IF(VLOOKUP(BR908,βοηθητικό!$J$2:$N$354,3,FALSE)="","",VLOOKUP(BR908,βοηθητικό!$J$2:$N$354,3,FALSE))</f>
        <v>_</v>
      </c>
      <c r="BT908" s="44"/>
      <c r="BU908" s="45" t="s">
        <v>16</v>
      </c>
      <c r="BV908" s="46" t="str">
        <f>IF(VLOOKUP(BU908,βοηθητικό!$J$2:$N$354,3,FALSE)="","",VLOOKUP(BU908,βοηθητικό!$J$2:$N$354,3,FALSE))</f>
        <v>_</v>
      </c>
      <c r="BW908" s="47"/>
      <c r="BX908" s="42" t="s">
        <v>16</v>
      </c>
      <c r="BY908" s="43" t="str">
        <f>IF(VLOOKUP(BX908,βοηθητικό!$J$2:$N$354,3,FALSE)="","",VLOOKUP(BX908,βοηθητικό!$J$2:$N$354,3,FALSE))</f>
        <v>_</v>
      </c>
      <c r="BZ908" s="44"/>
      <c r="CA908" s="45" t="s">
        <v>16</v>
      </c>
      <c r="CB908" s="46" t="str">
        <f>IF(VLOOKUP(CA908,βοηθητικό!$J$2:$N$354,3,FALSE)="","",VLOOKUP(CA908,βοηθητικό!$J$2:$N$354,3,FALSE))</f>
        <v>_</v>
      </c>
      <c r="CC908" s="47"/>
      <c r="CD908" s="42" t="s">
        <v>16</v>
      </c>
      <c r="CE908" s="43" t="str">
        <f>IF(VLOOKUP(CD908,βοηθητικό!$J$2:$N$354,3,FALSE)="","",VLOOKUP(CD908,βοηθητικό!$J$2:$N$354,3,FALSE))</f>
        <v>_</v>
      </c>
      <c r="CF908" s="44"/>
      <c r="CG908" s="45" t="s">
        <v>16</v>
      </c>
      <c r="CH908" s="46" t="str">
        <f>IF(VLOOKUP(CG908,βοηθητικό!$J$2:$N$354,3,FALSE)="","",VLOOKUP(CG908,βοηθητικό!$J$2:$N$354,3,FALSE))</f>
        <v>_</v>
      </c>
      <c r="CI908" s="47"/>
      <c r="CJ908" s="42" t="s">
        <v>16</v>
      </c>
      <c r="CK908" s="43" t="str">
        <f>IF(VLOOKUP(CJ908,βοηθητικό!$J$2:$N$354,3,FALSE)="","",VLOOKUP(CJ908,βοηθητικό!$J$2:$N$354,3,FALSE))</f>
        <v>_</v>
      </c>
      <c r="CL908" s="44"/>
      <c r="CM908" s="45" t="s">
        <v>16</v>
      </c>
      <c r="CN908" s="46" t="str">
        <f>IF(VLOOKUP(CM908,βοηθητικό!$J$2:$N$354,3,FALSE)="","",VLOOKUP(CM908,βοηθητικό!$J$2:$N$354,3,FALSE))</f>
        <v>_</v>
      </c>
      <c r="CO908" s="47"/>
      <c r="CP908" s="42" t="s">
        <v>16</v>
      </c>
      <c r="CQ908" s="43" t="str">
        <f>IF(VLOOKUP(CP908,βοηθητικό!$J$2:$N$354,3,FALSE)="","",VLOOKUP(CP908,βοηθητικό!$J$2:$N$354,3,FALSE))</f>
        <v>_</v>
      </c>
      <c r="CR908" s="44"/>
      <c r="CS908" s="45" t="s">
        <v>16</v>
      </c>
      <c r="CT908" s="46" t="str">
        <f>IF(VLOOKUP(CS908,βοηθητικό!$J$2:$N$354,3,FALSE)="","",VLOOKUP(CS908,βοηθητικό!$J$2:$N$354,3,FALSE))</f>
        <v>_</v>
      </c>
      <c r="CU908" s="47"/>
    </row>
    <row r="909" spans="1:99" x14ac:dyDescent="0.25">
      <c r="A909" s="37">
        <f>--SUBTOTAL(3,$B$3:B908)</f>
        <v>198</v>
      </c>
      <c r="B909" s="2"/>
      <c r="C909" s="3"/>
      <c r="D909" s="55" t="s">
        <v>18</v>
      </c>
      <c r="E909" s="38" t="s">
        <v>16</v>
      </c>
      <c r="F909" s="38"/>
      <c r="G909" s="39" t="str">
        <f t="shared" si="44"/>
        <v>__</v>
      </c>
      <c r="H909" s="40" t="str">
        <f t="shared" si="45"/>
        <v>FALSE</v>
      </c>
      <c r="I909" s="41">
        <f t="shared" si="46"/>
        <v>0</v>
      </c>
      <c r="J909" s="4" t="s">
        <v>16</v>
      </c>
      <c r="K909" s="43" t="str">
        <f>IF(VLOOKUP(J909,βοηθητικό!$J$2:$N$354,3,FALSE)="","",VLOOKUP(J909,βοηθητικό!$J$2:$N$354,3,FALSE))</f>
        <v>_</v>
      </c>
      <c r="L909" s="44"/>
      <c r="M909" s="5" t="s">
        <v>16</v>
      </c>
      <c r="N909" s="46" t="str">
        <f>IF(VLOOKUP(M909,βοηθητικό!$J$2:$N$354,3,FALSE)="","",VLOOKUP(M909,βοηθητικό!$J$2:$N$354,3,FALSE))</f>
        <v>_</v>
      </c>
      <c r="O909" s="47"/>
      <c r="P909" s="4" t="s">
        <v>16</v>
      </c>
      <c r="Q909" s="43" t="str">
        <f>IF(VLOOKUP(P909,βοηθητικό!$J$2:$N$354,3,FALSE)="","",VLOOKUP(P909,βοηθητικό!$J$2:$N$354,3,FALSE))</f>
        <v>_</v>
      </c>
      <c r="R909" s="44"/>
      <c r="S909" s="5" t="s">
        <v>16</v>
      </c>
      <c r="T909" s="46" t="str">
        <f>IF(VLOOKUP(S909,βοηθητικό!$J$2:$N$354,3,FALSE)="","",VLOOKUP(S909,βοηθητικό!$J$2:$N$354,3,FALSE))</f>
        <v>_</v>
      </c>
      <c r="U909" s="47"/>
      <c r="V909" s="4" t="s">
        <v>16</v>
      </c>
      <c r="W909" s="43" t="str">
        <f>IF(VLOOKUP(V909,βοηθητικό!$J$2:$N$354,3,FALSE)="","",VLOOKUP(V909,βοηθητικό!$J$2:$N$354,3,FALSE))</f>
        <v>_</v>
      </c>
      <c r="X909" s="44"/>
      <c r="Y909" s="5" t="s">
        <v>16</v>
      </c>
      <c r="Z909" s="46" t="str">
        <f>IF(VLOOKUP(Y909,βοηθητικό!$J$2:$N$354,3,FALSE)="","",VLOOKUP(Y909,βοηθητικό!$J$2:$N$354,3,FALSE))</f>
        <v>_</v>
      </c>
      <c r="AA909" s="47"/>
      <c r="AB909" s="4" t="s">
        <v>16</v>
      </c>
      <c r="AC909" s="43" t="str">
        <f>IF(VLOOKUP(AB909,βοηθητικό!$J$2:$N$354,3,FALSE)="","",VLOOKUP(AB909,βοηθητικό!$J$2:$N$354,3,FALSE))</f>
        <v>_</v>
      </c>
      <c r="AD909" s="44"/>
      <c r="AE909" s="5" t="s">
        <v>16</v>
      </c>
      <c r="AF909" s="46" t="str">
        <f>IF(VLOOKUP(AE909,βοηθητικό!$J$2:$N$354,3,FALSE)="","",VLOOKUP(AE909,βοηθητικό!$J$2:$N$354,3,FALSE))</f>
        <v>_</v>
      </c>
      <c r="AG909" s="47"/>
      <c r="AH909" s="4" t="s">
        <v>16</v>
      </c>
      <c r="AI909" s="43" t="str">
        <f>IF(VLOOKUP(AH909,βοηθητικό!$J$2:$N$354,3,FALSE)="","",VLOOKUP(AH909,βοηθητικό!$J$2:$N$354,3,FALSE))</f>
        <v>_</v>
      </c>
      <c r="AJ909" s="44"/>
      <c r="AK909" s="5" t="s">
        <v>16</v>
      </c>
      <c r="AL909" s="46" t="str">
        <f>IF(VLOOKUP(AK909,βοηθητικό!$J$2:$N$354,3,FALSE)="","",VLOOKUP(AK909,βοηθητικό!$J$2:$N$354,3,FALSE))</f>
        <v>_</v>
      </c>
      <c r="AM909" s="47"/>
      <c r="AN909" s="4" t="s">
        <v>16</v>
      </c>
      <c r="AO909" s="43" t="str">
        <f>IF(VLOOKUP(AN909,βοηθητικό!$J$2:$N$354,3,FALSE)="","",VLOOKUP(AN909,βοηθητικό!$J$2:$N$354,3,FALSE))</f>
        <v>_</v>
      </c>
      <c r="AP909" s="44"/>
      <c r="AQ909" s="5" t="s">
        <v>16</v>
      </c>
      <c r="AR909" s="46" t="str">
        <f>IF(VLOOKUP(AQ909,βοηθητικό!$J$2:$N$354,3,FALSE)="","",VLOOKUP(AQ909,βοηθητικό!$J$2:$N$354,3,FALSE))</f>
        <v>_</v>
      </c>
      <c r="AS909" s="47"/>
      <c r="AT909" s="4" t="s">
        <v>16</v>
      </c>
      <c r="AU909" s="43" t="str">
        <f>IF(VLOOKUP(AT909,βοηθητικό!$J$2:$N$354,3,FALSE)="","",VLOOKUP(AT909,βοηθητικό!$J$2:$N$354,3,FALSE))</f>
        <v>_</v>
      </c>
      <c r="AV909" s="44"/>
      <c r="AW909" s="5" t="s">
        <v>16</v>
      </c>
      <c r="AX909" s="46" t="str">
        <f>IF(VLOOKUP(AW909,βοηθητικό!$J$2:$N$354,3,FALSE)="","",VLOOKUP(AW909,βοηθητικό!$J$2:$N$354,3,FALSE))</f>
        <v>_</v>
      </c>
      <c r="AY909" s="47"/>
      <c r="AZ909" s="4" t="s">
        <v>16</v>
      </c>
      <c r="BA909" s="43" t="str">
        <f>IF(VLOOKUP(AZ909,βοηθητικό!$J$2:$N$354,3,FALSE)="","",VLOOKUP(AZ909,βοηθητικό!$J$2:$N$354,3,FALSE))</f>
        <v>_</v>
      </c>
      <c r="BB909" s="44"/>
      <c r="BC909" s="45" t="s">
        <v>16</v>
      </c>
      <c r="BD909" s="46" t="str">
        <f>IF(VLOOKUP(BC909,βοηθητικό!$J$2:$N$354,3,FALSE)="","",VLOOKUP(BC909,βοηθητικό!$J$2:$N$354,3,FALSE))</f>
        <v>_</v>
      </c>
      <c r="BE909" s="47"/>
      <c r="BF909" s="42" t="s">
        <v>16</v>
      </c>
      <c r="BG909" s="43" t="str">
        <f>IF(VLOOKUP(BF909,βοηθητικό!$J$2:$N$354,3,FALSE)="","",VLOOKUP(BF909,βοηθητικό!$J$2:$N$354,3,FALSE))</f>
        <v>_</v>
      </c>
      <c r="BH909" s="44"/>
      <c r="BI909" s="45" t="s">
        <v>16</v>
      </c>
      <c r="BJ909" s="46" t="str">
        <f>IF(VLOOKUP(BI909,βοηθητικό!$J$2:$N$354,3,FALSE)="","",VLOOKUP(BI909,βοηθητικό!$J$2:$N$354,3,FALSE))</f>
        <v>_</v>
      </c>
      <c r="BK909" s="47"/>
      <c r="BL909" s="42" t="s">
        <v>16</v>
      </c>
      <c r="BM909" s="43" t="str">
        <f>IF(VLOOKUP(BL909,βοηθητικό!$J$2:$N$354,3,FALSE)="","",VLOOKUP(BL909,βοηθητικό!$J$2:$N$354,3,FALSE))</f>
        <v>_</v>
      </c>
      <c r="BN909" s="44"/>
      <c r="BO909" s="45" t="s">
        <v>16</v>
      </c>
      <c r="BP909" s="46" t="str">
        <f>IF(VLOOKUP(BO909,βοηθητικό!$J$2:$N$354,3,FALSE)="","",VLOOKUP(BO909,βοηθητικό!$J$2:$N$354,3,FALSE))</f>
        <v>_</v>
      </c>
      <c r="BQ909" s="47"/>
      <c r="BR909" s="42" t="s">
        <v>16</v>
      </c>
      <c r="BS909" s="43" t="str">
        <f>IF(VLOOKUP(BR909,βοηθητικό!$J$2:$N$354,3,FALSE)="","",VLOOKUP(BR909,βοηθητικό!$J$2:$N$354,3,FALSE))</f>
        <v>_</v>
      </c>
      <c r="BT909" s="44"/>
      <c r="BU909" s="45" t="s">
        <v>16</v>
      </c>
      <c r="BV909" s="46" t="str">
        <f>IF(VLOOKUP(BU909,βοηθητικό!$J$2:$N$354,3,FALSE)="","",VLOOKUP(BU909,βοηθητικό!$J$2:$N$354,3,FALSE))</f>
        <v>_</v>
      </c>
      <c r="BW909" s="47"/>
      <c r="BX909" s="42" t="s">
        <v>16</v>
      </c>
      <c r="BY909" s="43" t="str">
        <f>IF(VLOOKUP(BX909,βοηθητικό!$J$2:$N$354,3,FALSE)="","",VLOOKUP(BX909,βοηθητικό!$J$2:$N$354,3,FALSE))</f>
        <v>_</v>
      </c>
      <c r="BZ909" s="44"/>
      <c r="CA909" s="45" t="s">
        <v>16</v>
      </c>
      <c r="CB909" s="46" t="str">
        <f>IF(VLOOKUP(CA909,βοηθητικό!$J$2:$N$354,3,FALSE)="","",VLOOKUP(CA909,βοηθητικό!$J$2:$N$354,3,FALSE))</f>
        <v>_</v>
      </c>
      <c r="CC909" s="47"/>
      <c r="CD909" s="42" t="s">
        <v>16</v>
      </c>
      <c r="CE909" s="43" t="str">
        <f>IF(VLOOKUP(CD909,βοηθητικό!$J$2:$N$354,3,FALSE)="","",VLOOKUP(CD909,βοηθητικό!$J$2:$N$354,3,FALSE))</f>
        <v>_</v>
      </c>
      <c r="CF909" s="44"/>
      <c r="CG909" s="45" t="s">
        <v>16</v>
      </c>
      <c r="CH909" s="46" t="str">
        <f>IF(VLOOKUP(CG909,βοηθητικό!$J$2:$N$354,3,FALSE)="","",VLOOKUP(CG909,βοηθητικό!$J$2:$N$354,3,FALSE))</f>
        <v>_</v>
      </c>
      <c r="CI909" s="47"/>
      <c r="CJ909" s="42" t="s">
        <v>16</v>
      </c>
      <c r="CK909" s="43" t="str">
        <f>IF(VLOOKUP(CJ909,βοηθητικό!$J$2:$N$354,3,FALSE)="","",VLOOKUP(CJ909,βοηθητικό!$J$2:$N$354,3,FALSE))</f>
        <v>_</v>
      </c>
      <c r="CL909" s="44"/>
      <c r="CM909" s="45" t="s">
        <v>16</v>
      </c>
      <c r="CN909" s="46" t="str">
        <f>IF(VLOOKUP(CM909,βοηθητικό!$J$2:$N$354,3,FALSE)="","",VLOOKUP(CM909,βοηθητικό!$J$2:$N$354,3,FALSE))</f>
        <v>_</v>
      </c>
      <c r="CO909" s="47"/>
      <c r="CP909" s="42" t="s">
        <v>16</v>
      </c>
      <c r="CQ909" s="43" t="str">
        <f>IF(VLOOKUP(CP909,βοηθητικό!$J$2:$N$354,3,FALSE)="","",VLOOKUP(CP909,βοηθητικό!$J$2:$N$354,3,FALSE))</f>
        <v>_</v>
      </c>
      <c r="CR909" s="44"/>
      <c r="CS909" s="45" t="s">
        <v>16</v>
      </c>
      <c r="CT909" s="46" t="str">
        <f>IF(VLOOKUP(CS909,βοηθητικό!$J$2:$N$354,3,FALSE)="","",VLOOKUP(CS909,βοηθητικό!$J$2:$N$354,3,FALSE))</f>
        <v>_</v>
      </c>
      <c r="CU909" s="47"/>
    </row>
    <row r="910" spans="1:99" x14ac:dyDescent="0.25">
      <c r="A910" s="37">
        <f>--SUBTOTAL(3,$B$3:B909)</f>
        <v>198</v>
      </c>
      <c r="B910" s="2"/>
      <c r="C910" s="3"/>
      <c r="D910" s="55" t="s">
        <v>18</v>
      </c>
      <c r="E910" s="38" t="s">
        <v>16</v>
      </c>
      <c r="F910" s="38"/>
      <c r="G910" s="39" t="str">
        <f t="shared" si="44"/>
        <v>__</v>
      </c>
      <c r="H910" s="40" t="str">
        <f t="shared" si="45"/>
        <v>FALSE</v>
      </c>
      <c r="I910" s="41">
        <f t="shared" si="46"/>
        <v>0</v>
      </c>
      <c r="J910" s="4" t="s">
        <v>16</v>
      </c>
      <c r="K910" s="43" t="str">
        <f>IF(VLOOKUP(J910,βοηθητικό!$J$2:$N$354,3,FALSE)="","",VLOOKUP(J910,βοηθητικό!$J$2:$N$354,3,FALSE))</f>
        <v>_</v>
      </c>
      <c r="L910" s="44"/>
      <c r="M910" s="5" t="s">
        <v>16</v>
      </c>
      <c r="N910" s="46" t="str">
        <f>IF(VLOOKUP(M910,βοηθητικό!$J$2:$N$354,3,FALSE)="","",VLOOKUP(M910,βοηθητικό!$J$2:$N$354,3,FALSE))</f>
        <v>_</v>
      </c>
      <c r="O910" s="47"/>
      <c r="P910" s="4" t="s">
        <v>16</v>
      </c>
      <c r="Q910" s="43" t="str">
        <f>IF(VLOOKUP(P910,βοηθητικό!$J$2:$N$354,3,FALSE)="","",VLOOKUP(P910,βοηθητικό!$J$2:$N$354,3,FALSE))</f>
        <v>_</v>
      </c>
      <c r="R910" s="44"/>
      <c r="S910" s="5" t="s">
        <v>16</v>
      </c>
      <c r="T910" s="46" t="str">
        <f>IF(VLOOKUP(S910,βοηθητικό!$J$2:$N$354,3,FALSE)="","",VLOOKUP(S910,βοηθητικό!$J$2:$N$354,3,FALSE))</f>
        <v>_</v>
      </c>
      <c r="U910" s="47"/>
      <c r="V910" s="4" t="s">
        <v>16</v>
      </c>
      <c r="W910" s="43" t="str">
        <f>IF(VLOOKUP(V910,βοηθητικό!$J$2:$N$354,3,FALSE)="","",VLOOKUP(V910,βοηθητικό!$J$2:$N$354,3,FALSE))</f>
        <v>_</v>
      </c>
      <c r="X910" s="44"/>
      <c r="Y910" s="5" t="s">
        <v>16</v>
      </c>
      <c r="Z910" s="46" t="str">
        <f>IF(VLOOKUP(Y910,βοηθητικό!$J$2:$N$354,3,FALSE)="","",VLOOKUP(Y910,βοηθητικό!$J$2:$N$354,3,FALSE))</f>
        <v>_</v>
      </c>
      <c r="AA910" s="47"/>
      <c r="AB910" s="4" t="s">
        <v>16</v>
      </c>
      <c r="AC910" s="43" t="str">
        <f>IF(VLOOKUP(AB910,βοηθητικό!$J$2:$N$354,3,FALSE)="","",VLOOKUP(AB910,βοηθητικό!$J$2:$N$354,3,FALSE))</f>
        <v>_</v>
      </c>
      <c r="AD910" s="44"/>
      <c r="AE910" s="5" t="s">
        <v>16</v>
      </c>
      <c r="AF910" s="46" t="str">
        <f>IF(VLOOKUP(AE910,βοηθητικό!$J$2:$N$354,3,FALSE)="","",VLOOKUP(AE910,βοηθητικό!$J$2:$N$354,3,FALSE))</f>
        <v>_</v>
      </c>
      <c r="AG910" s="47"/>
      <c r="AH910" s="4" t="s">
        <v>16</v>
      </c>
      <c r="AI910" s="43" t="str">
        <f>IF(VLOOKUP(AH910,βοηθητικό!$J$2:$N$354,3,FALSE)="","",VLOOKUP(AH910,βοηθητικό!$J$2:$N$354,3,FALSE))</f>
        <v>_</v>
      </c>
      <c r="AJ910" s="44"/>
      <c r="AK910" s="5" t="s">
        <v>16</v>
      </c>
      <c r="AL910" s="46" t="str">
        <f>IF(VLOOKUP(AK910,βοηθητικό!$J$2:$N$354,3,FALSE)="","",VLOOKUP(AK910,βοηθητικό!$J$2:$N$354,3,FALSE))</f>
        <v>_</v>
      </c>
      <c r="AM910" s="47"/>
      <c r="AN910" s="4" t="s">
        <v>16</v>
      </c>
      <c r="AO910" s="43" t="str">
        <f>IF(VLOOKUP(AN910,βοηθητικό!$J$2:$N$354,3,FALSE)="","",VLOOKUP(AN910,βοηθητικό!$J$2:$N$354,3,FALSE))</f>
        <v>_</v>
      </c>
      <c r="AP910" s="44"/>
      <c r="AQ910" s="5" t="s">
        <v>16</v>
      </c>
      <c r="AR910" s="46" t="str">
        <f>IF(VLOOKUP(AQ910,βοηθητικό!$J$2:$N$354,3,FALSE)="","",VLOOKUP(AQ910,βοηθητικό!$J$2:$N$354,3,FALSE))</f>
        <v>_</v>
      </c>
      <c r="AS910" s="47"/>
      <c r="AT910" s="4" t="s">
        <v>16</v>
      </c>
      <c r="AU910" s="43" t="str">
        <f>IF(VLOOKUP(AT910,βοηθητικό!$J$2:$N$354,3,FALSE)="","",VLOOKUP(AT910,βοηθητικό!$J$2:$N$354,3,FALSE))</f>
        <v>_</v>
      </c>
      <c r="AV910" s="44"/>
      <c r="AW910" s="5" t="s">
        <v>16</v>
      </c>
      <c r="AX910" s="46" t="str">
        <f>IF(VLOOKUP(AW910,βοηθητικό!$J$2:$N$354,3,FALSE)="","",VLOOKUP(AW910,βοηθητικό!$J$2:$N$354,3,FALSE))</f>
        <v>_</v>
      </c>
      <c r="AY910" s="47"/>
      <c r="AZ910" s="4" t="s">
        <v>16</v>
      </c>
      <c r="BA910" s="43" t="str">
        <f>IF(VLOOKUP(AZ910,βοηθητικό!$J$2:$N$354,3,FALSE)="","",VLOOKUP(AZ910,βοηθητικό!$J$2:$N$354,3,FALSE))</f>
        <v>_</v>
      </c>
      <c r="BB910" s="44"/>
      <c r="BC910" s="45" t="s">
        <v>16</v>
      </c>
      <c r="BD910" s="46" t="str">
        <f>IF(VLOOKUP(BC910,βοηθητικό!$J$2:$N$354,3,FALSE)="","",VLOOKUP(BC910,βοηθητικό!$J$2:$N$354,3,FALSE))</f>
        <v>_</v>
      </c>
      <c r="BE910" s="47"/>
      <c r="BF910" s="42" t="s">
        <v>16</v>
      </c>
      <c r="BG910" s="43" t="str">
        <f>IF(VLOOKUP(BF910,βοηθητικό!$J$2:$N$354,3,FALSE)="","",VLOOKUP(BF910,βοηθητικό!$J$2:$N$354,3,FALSE))</f>
        <v>_</v>
      </c>
      <c r="BH910" s="44"/>
      <c r="BI910" s="45" t="s">
        <v>16</v>
      </c>
      <c r="BJ910" s="46" t="str">
        <f>IF(VLOOKUP(BI910,βοηθητικό!$J$2:$N$354,3,FALSE)="","",VLOOKUP(BI910,βοηθητικό!$J$2:$N$354,3,FALSE))</f>
        <v>_</v>
      </c>
      <c r="BK910" s="47"/>
      <c r="BL910" s="42" t="s">
        <v>16</v>
      </c>
      <c r="BM910" s="43" t="str">
        <f>IF(VLOOKUP(BL910,βοηθητικό!$J$2:$N$354,3,FALSE)="","",VLOOKUP(BL910,βοηθητικό!$J$2:$N$354,3,FALSE))</f>
        <v>_</v>
      </c>
      <c r="BN910" s="44"/>
      <c r="BO910" s="45" t="s">
        <v>16</v>
      </c>
      <c r="BP910" s="46" t="str">
        <f>IF(VLOOKUP(BO910,βοηθητικό!$J$2:$N$354,3,FALSE)="","",VLOOKUP(BO910,βοηθητικό!$J$2:$N$354,3,FALSE))</f>
        <v>_</v>
      </c>
      <c r="BQ910" s="47"/>
      <c r="BR910" s="42" t="s">
        <v>16</v>
      </c>
      <c r="BS910" s="43" t="str">
        <f>IF(VLOOKUP(BR910,βοηθητικό!$J$2:$N$354,3,FALSE)="","",VLOOKUP(BR910,βοηθητικό!$J$2:$N$354,3,FALSE))</f>
        <v>_</v>
      </c>
      <c r="BT910" s="44"/>
      <c r="BU910" s="45" t="s">
        <v>16</v>
      </c>
      <c r="BV910" s="46" t="str">
        <f>IF(VLOOKUP(BU910,βοηθητικό!$J$2:$N$354,3,FALSE)="","",VLOOKUP(BU910,βοηθητικό!$J$2:$N$354,3,FALSE))</f>
        <v>_</v>
      </c>
      <c r="BW910" s="47"/>
      <c r="BX910" s="42" t="s">
        <v>16</v>
      </c>
      <c r="BY910" s="43" t="str">
        <f>IF(VLOOKUP(BX910,βοηθητικό!$J$2:$N$354,3,FALSE)="","",VLOOKUP(BX910,βοηθητικό!$J$2:$N$354,3,FALSE))</f>
        <v>_</v>
      </c>
      <c r="BZ910" s="44"/>
      <c r="CA910" s="45" t="s">
        <v>16</v>
      </c>
      <c r="CB910" s="46" t="str">
        <f>IF(VLOOKUP(CA910,βοηθητικό!$J$2:$N$354,3,FALSE)="","",VLOOKUP(CA910,βοηθητικό!$J$2:$N$354,3,FALSE))</f>
        <v>_</v>
      </c>
      <c r="CC910" s="47"/>
      <c r="CD910" s="42" t="s">
        <v>16</v>
      </c>
      <c r="CE910" s="43" t="str">
        <f>IF(VLOOKUP(CD910,βοηθητικό!$J$2:$N$354,3,FALSE)="","",VLOOKUP(CD910,βοηθητικό!$J$2:$N$354,3,FALSE))</f>
        <v>_</v>
      </c>
      <c r="CF910" s="44"/>
      <c r="CG910" s="45" t="s">
        <v>16</v>
      </c>
      <c r="CH910" s="46" t="str">
        <f>IF(VLOOKUP(CG910,βοηθητικό!$J$2:$N$354,3,FALSE)="","",VLOOKUP(CG910,βοηθητικό!$J$2:$N$354,3,FALSE))</f>
        <v>_</v>
      </c>
      <c r="CI910" s="47"/>
      <c r="CJ910" s="42" t="s">
        <v>16</v>
      </c>
      <c r="CK910" s="43" t="str">
        <f>IF(VLOOKUP(CJ910,βοηθητικό!$J$2:$N$354,3,FALSE)="","",VLOOKUP(CJ910,βοηθητικό!$J$2:$N$354,3,FALSE))</f>
        <v>_</v>
      </c>
      <c r="CL910" s="44"/>
      <c r="CM910" s="45" t="s">
        <v>16</v>
      </c>
      <c r="CN910" s="46" t="str">
        <f>IF(VLOOKUP(CM910,βοηθητικό!$J$2:$N$354,3,FALSE)="","",VLOOKUP(CM910,βοηθητικό!$J$2:$N$354,3,FALSE))</f>
        <v>_</v>
      </c>
      <c r="CO910" s="47"/>
      <c r="CP910" s="42" t="s">
        <v>16</v>
      </c>
      <c r="CQ910" s="43" t="str">
        <f>IF(VLOOKUP(CP910,βοηθητικό!$J$2:$N$354,3,FALSE)="","",VLOOKUP(CP910,βοηθητικό!$J$2:$N$354,3,FALSE))</f>
        <v>_</v>
      </c>
      <c r="CR910" s="44"/>
      <c r="CS910" s="45" t="s">
        <v>16</v>
      </c>
      <c r="CT910" s="46" t="str">
        <f>IF(VLOOKUP(CS910,βοηθητικό!$J$2:$N$354,3,FALSE)="","",VLOOKUP(CS910,βοηθητικό!$J$2:$N$354,3,FALSE))</f>
        <v>_</v>
      </c>
      <c r="CU910" s="47"/>
    </row>
    <row r="911" spans="1:99" x14ac:dyDescent="0.25">
      <c r="A911" s="37">
        <f>--SUBTOTAL(3,$B$3:B910)</f>
        <v>198</v>
      </c>
      <c r="B911" s="2"/>
      <c r="C911" s="3"/>
      <c r="D911" s="55" t="s">
        <v>18</v>
      </c>
      <c r="E911" s="38" t="s">
        <v>16</v>
      </c>
      <c r="F911" s="38"/>
      <c r="G911" s="39" t="str">
        <f t="shared" si="44"/>
        <v>__</v>
      </c>
      <c r="H911" s="40" t="str">
        <f t="shared" si="45"/>
        <v>FALSE</v>
      </c>
      <c r="I911" s="41">
        <f t="shared" si="46"/>
        <v>0</v>
      </c>
      <c r="J911" s="4" t="s">
        <v>16</v>
      </c>
      <c r="K911" s="43" t="str">
        <f>IF(VLOOKUP(J911,βοηθητικό!$J$2:$N$354,3,FALSE)="","",VLOOKUP(J911,βοηθητικό!$J$2:$N$354,3,FALSE))</f>
        <v>_</v>
      </c>
      <c r="L911" s="44"/>
      <c r="M911" s="5" t="s">
        <v>16</v>
      </c>
      <c r="N911" s="46" t="str">
        <f>IF(VLOOKUP(M911,βοηθητικό!$J$2:$N$354,3,FALSE)="","",VLOOKUP(M911,βοηθητικό!$J$2:$N$354,3,FALSE))</f>
        <v>_</v>
      </c>
      <c r="O911" s="47"/>
      <c r="P911" s="4" t="s">
        <v>16</v>
      </c>
      <c r="Q911" s="43" t="str">
        <f>IF(VLOOKUP(P911,βοηθητικό!$J$2:$N$354,3,FALSE)="","",VLOOKUP(P911,βοηθητικό!$J$2:$N$354,3,FALSE))</f>
        <v>_</v>
      </c>
      <c r="R911" s="44"/>
      <c r="S911" s="5" t="s">
        <v>16</v>
      </c>
      <c r="T911" s="46" t="str">
        <f>IF(VLOOKUP(S911,βοηθητικό!$J$2:$N$354,3,FALSE)="","",VLOOKUP(S911,βοηθητικό!$J$2:$N$354,3,FALSE))</f>
        <v>_</v>
      </c>
      <c r="U911" s="47"/>
      <c r="V911" s="4" t="s">
        <v>16</v>
      </c>
      <c r="W911" s="43" t="str">
        <f>IF(VLOOKUP(V911,βοηθητικό!$J$2:$N$354,3,FALSE)="","",VLOOKUP(V911,βοηθητικό!$J$2:$N$354,3,FALSE))</f>
        <v>_</v>
      </c>
      <c r="X911" s="44"/>
      <c r="Y911" s="5" t="s">
        <v>16</v>
      </c>
      <c r="Z911" s="46" t="str">
        <f>IF(VLOOKUP(Y911,βοηθητικό!$J$2:$N$354,3,FALSE)="","",VLOOKUP(Y911,βοηθητικό!$J$2:$N$354,3,FALSE))</f>
        <v>_</v>
      </c>
      <c r="AA911" s="47"/>
      <c r="AB911" s="4" t="s">
        <v>16</v>
      </c>
      <c r="AC911" s="43" t="str">
        <f>IF(VLOOKUP(AB911,βοηθητικό!$J$2:$N$354,3,FALSE)="","",VLOOKUP(AB911,βοηθητικό!$J$2:$N$354,3,FALSE))</f>
        <v>_</v>
      </c>
      <c r="AD911" s="44"/>
      <c r="AE911" s="5" t="s">
        <v>16</v>
      </c>
      <c r="AF911" s="46" t="str">
        <f>IF(VLOOKUP(AE911,βοηθητικό!$J$2:$N$354,3,FALSE)="","",VLOOKUP(AE911,βοηθητικό!$J$2:$N$354,3,FALSE))</f>
        <v>_</v>
      </c>
      <c r="AG911" s="47"/>
      <c r="AH911" s="4" t="s">
        <v>16</v>
      </c>
      <c r="AI911" s="43" t="str">
        <f>IF(VLOOKUP(AH911,βοηθητικό!$J$2:$N$354,3,FALSE)="","",VLOOKUP(AH911,βοηθητικό!$J$2:$N$354,3,FALSE))</f>
        <v>_</v>
      </c>
      <c r="AJ911" s="44"/>
      <c r="AK911" s="5" t="s">
        <v>16</v>
      </c>
      <c r="AL911" s="46" t="str">
        <f>IF(VLOOKUP(AK911,βοηθητικό!$J$2:$N$354,3,FALSE)="","",VLOOKUP(AK911,βοηθητικό!$J$2:$N$354,3,FALSE))</f>
        <v>_</v>
      </c>
      <c r="AM911" s="47"/>
      <c r="AN911" s="4" t="s">
        <v>16</v>
      </c>
      <c r="AO911" s="43" t="str">
        <f>IF(VLOOKUP(AN911,βοηθητικό!$J$2:$N$354,3,FALSE)="","",VLOOKUP(AN911,βοηθητικό!$J$2:$N$354,3,FALSE))</f>
        <v>_</v>
      </c>
      <c r="AP911" s="44"/>
      <c r="AQ911" s="5" t="s">
        <v>16</v>
      </c>
      <c r="AR911" s="46" t="str">
        <f>IF(VLOOKUP(AQ911,βοηθητικό!$J$2:$N$354,3,FALSE)="","",VLOOKUP(AQ911,βοηθητικό!$J$2:$N$354,3,FALSE))</f>
        <v>_</v>
      </c>
      <c r="AS911" s="47"/>
      <c r="AT911" s="4" t="s">
        <v>16</v>
      </c>
      <c r="AU911" s="43" t="str">
        <f>IF(VLOOKUP(AT911,βοηθητικό!$J$2:$N$354,3,FALSE)="","",VLOOKUP(AT911,βοηθητικό!$J$2:$N$354,3,FALSE))</f>
        <v>_</v>
      </c>
      <c r="AV911" s="44"/>
      <c r="AW911" s="5" t="s">
        <v>16</v>
      </c>
      <c r="AX911" s="46" t="str">
        <f>IF(VLOOKUP(AW911,βοηθητικό!$J$2:$N$354,3,FALSE)="","",VLOOKUP(AW911,βοηθητικό!$J$2:$N$354,3,FALSE))</f>
        <v>_</v>
      </c>
      <c r="AY911" s="47"/>
      <c r="AZ911" s="4" t="s">
        <v>16</v>
      </c>
      <c r="BA911" s="43" t="str">
        <f>IF(VLOOKUP(AZ911,βοηθητικό!$J$2:$N$354,3,FALSE)="","",VLOOKUP(AZ911,βοηθητικό!$J$2:$N$354,3,FALSE))</f>
        <v>_</v>
      </c>
      <c r="BB911" s="44"/>
      <c r="BC911" s="45" t="s">
        <v>16</v>
      </c>
      <c r="BD911" s="46" t="str">
        <f>IF(VLOOKUP(BC911,βοηθητικό!$J$2:$N$354,3,FALSE)="","",VLOOKUP(BC911,βοηθητικό!$J$2:$N$354,3,FALSE))</f>
        <v>_</v>
      </c>
      <c r="BE911" s="47"/>
      <c r="BF911" s="42" t="s">
        <v>16</v>
      </c>
      <c r="BG911" s="43" t="str">
        <f>IF(VLOOKUP(BF911,βοηθητικό!$J$2:$N$354,3,FALSE)="","",VLOOKUP(BF911,βοηθητικό!$J$2:$N$354,3,FALSE))</f>
        <v>_</v>
      </c>
      <c r="BH911" s="44"/>
      <c r="BI911" s="45" t="s">
        <v>16</v>
      </c>
      <c r="BJ911" s="46" t="str">
        <f>IF(VLOOKUP(BI911,βοηθητικό!$J$2:$N$354,3,FALSE)="","",VLOOKUP(BI911,βοηθητικό!$J$2:$N$354,3,FALSE))</f>
        <v>_</v>
      </c>
      <c r="BK911" s="47"/>
      <c r="BL911" s="42" t="s">
        <v>16</v>
      </c>
      <c r="BM911" s="43" t="str">
        <f>IF(VLOOKUP(BL911,βοηθητικό!$J$2:$N$354,3,FALSE)="","",VLOOKUP(BL911,βοηθητικό!$J$2:$N$354,3,FALSE))</f>
        <v>_</v>
      </c>
      <c r="BN911" s="44"/>
      <c r="BO911" s="45" t="s">
        <v>16</v>
      </c>
      <c r="BP911" s="46" t="str">
        <f>IF(VLOOKUP(BO911,βοηθητικό!$J$2:$N$354,3,FALSE)="","",VLOOKUP(BO911,βοηθητικό!$J$2:$N$354,3,FALSE))</f>
        <v>_</v>
      </c>
      <c r="BQ911" s="47"/>
      <c r="BR911" s="42" t="s">
        <v>16</v>
      </c>
      <c r="BS911" s="43" t="str">
        <f>IF(VLOOKUP(BR911,βοηθητικό!$J$2:$N$354,3,FALSE)="","",VLOOKUP(BR911,βοηθητικό!$J$2:$N$354,3,FALSE))</f>
        <v>_</v>
      </c>
      <c r="BT911" s="44"/>
      <c r="BU911" s="45" t="s">
        <v>16</v>
      </c>
      <c r="BV911" s="46" t="str">
        <f>IF(VLOOKUP(BU911,βοηθητικό!$J$2:$N$354,3,FALSE)="","",VLOOKUP(BU911,βοηθητικό!$J$2:$N$354,3,FALSE))</f>
        <v>_</v>
      </c>
      <c r="BW911" s="47"/>
      <c r="BX911" s="42" t="s">
        <v>16</v>
      </c>
      <c r="BY911" s="43" t="str">
        <f>IF(VLOOKUP(BX911,βοηθητικό!$J$2:$N$354,3,FALSE)="","",VLOOKUP(BX911,βοηθητικό!$J$2:$N$354,3,FALSE))</f>
        <v>_</v>
      </c>
      <c r="BZ911" s="44"/>
      <c r="CA911" s="45" t="s">
        <v>16</v>
      </c>
      <c r="CB911" s="46" t="str">
        <f>IF(VLOOKUP(CA911,βοηθητικό!$J$2:$N$354,3,FALSE)="","",VLOOKUP(CA911,βοηθητικό!$J$2:$N$354,3,FALSE))</f>
        <v>_</v>
      </c>
      <c r="CC911" s="47"/>
      <c r="CD911" s="42" t="s">
        <v>16</v>
      </c>
      <c r="CE911" s="43" t="str">
        <f>IF(VLOOKUP(CD911,βοηθητικό!$J$2:$N$354,3,FALSE)="","",VLOOKUP(CD911,βοηθητικό!$J$2:$N$354,3,FALSE))</f>
        <v>_</v>
      </c>
      <c r="CF911" s="44"/>
      <c r="CG911" s="45" t="s">
        <v>16</v>
      </c>
      <c r="CH911" s="46" t="str">
        <f>IF(VLOOKUP(CG911,βοηθητικό!$J$2:$N$354,3,FALSE)="","",VLOOKUP(CG911,βοηθητικό!$J$2:$N$354,3,FALSE))</f>
        <v>_</v>
      </c>
      <c r="CI911" s="47"/>
      <c r="CJ911" s="42" t="s">
        <v>16</v>
      </c>
      <c r="CK911" s="43" t="str">
        <f>IF(VLOOKUP(CJ911,βοηθητικό!$J$2:$N$354,3,FALSE)="","",VLOOKUP(CJ911,βοηθητικό!$J$2:$N$354,3,FALSE))</f>
        <v>_</v>
      </c>
      <c r="CL911" s="44"/>
      <c r="CM911" s="45" t="s">
        <v>16</v>
      </c>
      <c r="CN911" s="46" t="str">
        <f>IF(VLOOKUP(CM911,βοηθητικό!$J$2:$N$354,3,FALSE)="","",VLOOKUP(CM911,βοηθητικό!$J$2:$N$354,3,FALSE))</f>
        <v>_</v>
      </c>
      <c r="CO911" s="47"/>
      <c r="CP911" s="42" t="s">
        <v>16</v>
      </c>
      <c r="CQ911" s="43" t="str">
        <f>IF(VLOOKUP(CP911,βοηθητικό!$J$2:$N$354,3,FALSE)="","",VLOOKUP(CP911,βοηθητικό!$J$2:$N$354,3,FALSE))</f>
        <v>_</v>
      </c>
      <c r="CR911" s="44"/>
      <c r="CS911" s="45" t="s">
        <v>16</v>
      </c>
      <c r="CT911" s="46" t="str">
        <f>IF(VLOOKUP(CS911,βοηθητικό!$J$2:$N$354,3,FALSE)="","",VLOOKUP(CS911,βοηθητικό!$J$2:$N$354,3,FALSE))</f>
        <v>_</v>
      </c>
      <c r="CU911" s="47"/>
    </row>
    <row r="912" spans="1:99" x14ac:dyDescent="0.25">
      <c r="A912" s="37">
        <f>--SUBTOTAL(3,$B$3:B911)</f>
        <v>198</v>
      </c>
      <c r="B912" s="2"/>
      <c r="C912" s="3"/>
      <c r="D912" s="55" t="s">
        <v>18</v>
      </c>
      <c r="E912" s="38" t="s">
        <v>16</v>
      </c>
      <c r="F912" s="38"/>
      <c r="G912" s="39" t="str">
        <f t="shared" si="44"/>
        <v>__</v>
      </c>
      <c r="H912" s="40" t="str">
        <f t="shared" si="45"/>
        <v>FALSE</v>
      </c>
      <c r="I912" s="41">
        <f t="shared" si="46"/>
        <v>0</v>
      </c>
      <c r="J912" s="4" t="s">
        <v>16</v>
      </c>
      <c r="K912" s="43" t="str">
        <f>IF(VLOOKUP(J912,βοηθητικό!$J$2:$N$354,3,FALSE)="","",VLOOKUP(J912,βοηθητικό!$J$2:$N$354,3,FALSE))</f>
        <v>_</v>
      </c>
      <c r="L912" s="44"/>
      <c r="M912" s="5" t="s">
        <v>16</v>
      </c>
      <c r="N912" s="46" t="str">
        <f>IF(VLOOKUP(M912,βοηθητικό!$J$2:$N$354,3,FALSE)="","",VLOOKUP(M912,βοηθητικό!$J$2:$N$354,3,FALSE))</f>
        <v>_</v>
      </c>
      <c r="O912" s="47"/>
      <c r="P912" s="4" t="s">
        <v>16</v>
      </c>
      <c r="Q912" s="43" t="str">
        <f>IF(VLOOKUP(P912,βοηθητικό!$J$2:$N$354,3,FALSE)="","",VLOOKUP(P912,βοηθητικό!$J$2:$N$354,3,FALSE))</f>
        <v>_</v>
      </c>
      <c r="R912" s="44"/>
      <c r="S912" s="5" t="s">
        <v>16</v>
      </c>
      <c r="T912" s="46" t="str">
        <f>IF(VLOOKUP(S912,βοηθητικό!$J$2:$N$354,3,FALSE)="","",VLOOKUP(S912,βοηθητικό!$J$2:$N$354,3,FALSE))</f>
        <v>_</v>
      </c>
      <c r="U912" s="47"/>
      <c r="V912" s="4" t="s">
        <v>16</v>
      </c>
      <c r="W912" s="43" t="str">
        <f>IF(VLOOKUP(V912,βοηθητικό!$J$2:$N$354,3,FALSE)="","",VLOOKUP(V912,βοηθητικό!$J$2:$N$354,3,FALSE))</f>
        <v>_</v>
      </c>
      <c r="X912" s="44"/>
      <c r="Y912" s="5" t="s">
        <v>16</v>
      </c>
      <c r="Z912" s="46" t="str">
        <f>IF(VLOOKUP(Y912,βοηθητικό!$J$2:$N$354,3,FALSE)="","",VLOOKUP(Y912,βοηθητικό!$J$2:$N$354,3,FALSE))</f>
        <v>_</v>
      </c>
      <c r="AA912" s="47"/>
      <c r="AB912" s="4" t="s">
        <v>16</v>
      </c>
      <c r="AC912" s="43" t="str">
        <f>IF(VLOOKUP(AB912,βοηθητικό!$J$2:$N$354,3,FALSE)="","",VLOOKUP(AB912,βοηθητικό!$J$2:$N$354,3,FALSE))</f>
        <v>_</v>
      </c>
      <c r="AD912" s="44"/>
      <c r="AE912" s="5" t="s">
        <v>16</v>
      </c>
      <c r="AF912" s="46" t="str">
        <f>IF(VLOOKUP(AE912,βοηθητικό!$J$2:$N$354,3,FALSE)="","",VLOOKUP(AE912,βοηθητικό!$J$2:$N$354,3,FALSE))</f>
        <v>_</v>
      </c>
      <c r="AG912" s="47"/>
      <c r="AH912" s="4" t="s">
        <v>16</v>
      </c>
      <c r="AI912" s="43" t="str">
        <f>IF(VLOOKUP(AH912,βοηθητικό!$J$2:$N$354,3,FALSE)="","",VLOOKUP(AH912,βοηθητικό!$J$2:$N$354,3,FALSE))</f>
        <v>_</v>
      </c>
      <c r="AJ912" s="44"/>
      <c r="AK912" s="5" t="s">
        <v>16</v>
      </c>
      <c r="AL912" s="46" t="str">
        <f>IF(VLOOKUP(AK912,βοηθητικό!$J$2:$N$354,3,FALSE)="","",VLOOKUP(AK912,βοηθητικό!$J$2:$N$354,3,FALSE))</f>
        <v>_</v>
      </c>
      <c r="AM912" s="47"/>
      <c r="AN912" s="4" t="s">
        <v>16</v>
      </c>
      <c r="AO912" s="43" t="str">
        <f>IF(VLOOKUP(AN912,βοηθητικό!$J$2:$N$354,3,FALSE)="","",VLOOKUP(AN912,βοηθητικό!$J$2:$N$354,3,FALSE))</f>
        <v>_</v>
      </c>
      <c r="AP912" s="44"/>
      <c r="AQ912" s="5" t="s">
        <v>16</v>
      </c>
      <c r="AR912" s="46" t="str">
        <f>IF(VLOOKUP(AQ912,βοηθητικό!$J$2:$N$354,3,FALSE)="","",VLOOKUP(AQ912,βοηθητικό!$J$2:$N$354,3,FALSE))</f>
        <v>_</v>
      </c>
      <c r="AS912" s="47"/>
      <c r="AT912" s="4" t="s">
        <v>16</v>
      </c>
      <c r="AU912" s="43" t="str">
        <f>IF(VLOOKUP(AT912,βοηθητικό!$J$2:$N$354,3,FALSE)="","",VLOOKUP(AT912,βοηθητικό!$J$2:$N$354,3,FALSE))</f>
        <v>_</v>
      </c>
      <c r="AV912" s="44"/>
      <c r="AW912" s="5" t="s">
        <v>16</v>
      </c>
      <c r="AX912" s="46" t="str">
        <f>IF(VLOOKUP(AW912,βοηθητικό!$J$2:$N$354,3,FALSE)="","",VLOOKUP(AW912,βοηθητικό!$J$2:$N$354,3,FALSE))</f>
        <v>_</v>
      </c>
      <c r="AY912" s="47"/>
      <c r="AZ912" s="4" t="s">
        <v>16</v>
      </c>
      <c r="BA912" s="43" t="str">
        <f>IF(VLOOKUP(AZ912,βοηθητικό!$J$2:$N$354,3,FALSE)="","",VLOOKUP(AZ912,βοηθητικό!$J$2:$N$354,3,FALSE))</f>
        <v>_</v>
      </c>
      <c r="BB912" s="44"/>
      <c r="BC912" s="45" t="s">
        <v>16</v>
      </c>
      <c r="BD912" s="46" t="str">
        <f>IF(VLOOKUP(BC912,βοηθητικό!$J$2:$N$354,3,FALSE)="","",VLOOKUP(BC912,βοηθητικό!$J$2:$N$354,3,FALSE))</f>
        <v>_</v>
      </c>
      <c r="BE912" s="47"/>
      <c r="BF912" s="42" t="s">
        <v>16</v>
      </c>
      <c r="BG912" s="43" t="str">
        <f>IF(VLOOKUP(BF912,βοηθητικό!$J$2:$N$354,3,FALSE)="","",VLOOKUP(BF912,βοηθητικό!$J$2:$N$354,3,FALSE))</f>
        <v>_</v>
      </c>
      <c r="BH912" s="44"/>
      <c r="BI912" s="45" t="s">
        <v>16</v>
      </c>
      <c r="BJ912" s="46" t="str">
        <f>IF(VLOOKUP(BI912,βοηθητικό!$J$2:$N$354,3,FALSE)="","",VLOOKUP(BI912,βοηθητικό!$J$2:$N$354,3,FALSE))</f>
        <v>_</v>
      </c>
      <c r="BK912" s="47"/>
      <c r="BL912" s="42" t="s">
        <v>16</v>
      </c>
      <c r="BM912" s="43" t="str">
        <f>IF(VLOOKUP(BL912,βοηθητικό!$J$2:$N$354,3,FALSE)="","",VLOOKUP(BL912,βοηθητικό!$J$2:$N$354,3,FALSE))</f>
        <v>_</v>
      </c>
      <c r="BN912" s="44"/>
      <c r="BO912" s="45" t="s">
        <v>16</v>
      </c>
      <c r="BP912" s="46" t="str">
        <f>IF(VLOOKUP(BO912,βοηθητικό!$J$2:$N$354,3,FALSE)="","",VLOOKUP(BO912,βοηθητικό!$J$2:$N$354,3,FALSE))</f>
        <v>_</v>
      </c>
      <c r="BQ912" s="47"/>
      <c r="BR912" s="42" t="s">
        <v>16</v>
      </c>
      <c r="BS912" s="43" t="str">
        <f>IF(VLOOKUP(BR912,βοηθητικό!$J$2:$N$354,3,FALSE)="","",VLOOKUP(BR912,βοηθητικό!$J$2:$N$354,3,FALSE))</f>
        <v>_</v>
      </c>
      <c r="BT912" s="44"/>
      <c r="BU912" s="45" t="s">
        <v>16</v>
      </c>
      <c r="BV912" s="46" t="str">
        <f>IF(VLOOKUP(BU912,βοηθητικό!$J$2:$N$354,3,FALSE)="","",VLOOKUP(BU912,βοηθητικό!$J$2:$N$354,3,FALSE))</f>
        <v>_</v>
      </c>
      <c r="BW912" s="47"/>
      <c r="BX912" s="42" t="s">
        <v>16</v>
      </c>
      <c r="BY912" s="43" t="str">
        <f>IF(VLOOKUP(BX912,βοηθητικό!$J$2:$N$354,3,FALSE)="","",VLOOKUP(BX912,βοηθητικό!$J$2:$N$354,3,FALSE))</f>
        <v>_</v>
      </c>
      <c r="BZ912" s="44"/>
      <c r="CA912" s="45" t="s">
        <v>16</v>
      </c>
      <c r="CB912" s="46" t="str">
        <f>IF(VLOOKUP(CA912,βοηθητικό!$J$2:$N$354,3,FALSE)="","",VLOOKUP(CA912,βοηθητικό!$J$2:$N$354,3,FALSE))</f>
        <v>_</v>
      </c>
      <c r="CC912" s="47"/>
      <c r="CD912" s="42" t="s">
        <v>16</v>
      </c>
      <c r="CE912" s="43" t="str">
        <f>IF(VLOOKUP(CD912,βοηθητικό!$J$2:$N$354,3,FALSE)="","",VLOOKUP(CD912,βοηθητικό!$J$2:$N$354,3,FALSE))</f>
        <v>_</v>
      </c>
      <c r="CF912" s="44"/>
      <c r="CG912" s="45" t="s">
        <v>16</v>
      </c>
      <c r="CH912" s="46" t="str">
        <f>IF(VLOOKUP(CG912,βοηθητικό!$J$2:$N$354,3,FALSE)="","",VLOOKUP(CG912,βοηθητικό!$J$2:$N$354,3,FALSE))</f>
        <v>_</v>
      </c>
      <c r="CI912" s="47"/>
      <c r="CJ912" s="42" t="s">
        <v>16</v>
      </c>
      <c r="CK912" s="43" t="str">
        <f>IF(VLOOKUP(CJ912,βοηθητικό!$J$2:$N$354,3,FALSE)="","",VLOOKUP(CJ912,βοηθητικό!$J$2:$N$354,3,FALSE))</f>
        <v>_</v>
      </c>
      <c r="CL912" s="44"/>
      <c r="CM912" s="45" t="s">
        <v>16</v>
      </c>
      <c r="CN912" s="46" t="str">
        <f>IF(VLOOKUP(CM912,βοηθητικό!$J$2:$N$354,3,FALSE)="","",VLOOKUP(CM912,βοηθητικό!$J$2:$N$354,3,FALSE))</f>
        <v>_</v>
      </c>
      <c r="CO912" s="47"/>
      <c r="CP912" s="42" t="s">
        <v>16</v>
      </c>
      <c r="CQ912" s="43" t="str">
        <f>IF(VLOOKUP(CP912,βοηθητικό!$J$2:$N$354,3,FALSE)="","",VLOOKUP(CP912,βοηθητικό!$J$2:$N$354,3,FALSE))</f>
        <v>_</v>
      </c>
      <c r="CR912" s="44"/>
      <c r="CS912" s="45" t="s">
        <v>16</v>
      </c>
      <c r="CT912" s="46" t="str">
        <f>IF(VLOOKUP(CS912,βοηθητικό!$J$2:$N$354,3,FALSE)="","",VLOOKUP(CS912,βοηθητικό!$J$2:$N$354,3,FALSE))</f>
        <v>_</v>
      </c>
      <c r="CU912" s="47"/>
    </row>
    <row r="913" spans="1:99" x14ac:dyDescent="0.25">
      <c r="A913" s="37">
        <f>--SUBTOTAL(3,$B$3:B912)</f>
        <v>198</v>
      </c>
      <c r="B913" s="2"/>
      <c r="C913" s="3"/>
      <c r="D913" s="55" t="s">
        <v>18</v>
      </c>
      <c r="E913" s="38" t="s">
        <v>16</v>
      </c>
      <c r="F913" s="38"/>
      <c r="G913" s="39" t="str">
        <f t="shared" si="44"/>
        <v>__</v>
      </c>
      <c r="H913" s="40" t="str">
        <f t="shared" si="45"/>
        <v>FALSE</v>
      </c>
      <c r="I913" s="41">
        <f t="shared" si="46"/>
        <v>0</v>
      </c>
      <c r="J913" s="4" t="s">
        <v>16</v>
      </c>
      <c r="K913" s="43" t="str">
        <f>IF(VLOOKUP(J913,βοηθητικό!$J$2:$N$354,3,FALSE)="","",VLOOKUP(J913,βοηθητικό!$J$2:$N$354,3,FALSE))</f>
        <v>_</v>
      </c>
      <c r="L913" s="44"/>
      <c r="M913" s="5" t="s">
        <v>16</v>
      </c>
      <c r="N913" s="46" t="str">
        <f>IF(VLOOKUP(M913,βοηθητικό!$J$2:$N$354,3,FALSE)="","",VLOOKUP(M913,βοηθητικό!$J$2:$N$354,3,FALSE))</f>
        <v>_</v>
      </c>
      <c r="O913" s="47"/>
      <c r="P913" s="4" t="s">
        <v>16</v>
      </c>
      <c r="Q913" s="43" t="str">
        <f>IF(VLOOKUP(P913,βοηθητικό!$J$2:$N$354,3,FALSE)="","",VLOOKUP(P913,βοηθητικό!$J$2:$N$354,3,FALSE))</f>
        <v>_</v>
      </c>
      <c r="R913" s="44"/>
      <c r="S913" s="5" t="s">
        <v>16</v>
      </c>
      <c r="T913" s="46" t="str">
        <f>IF(VLOOKUP(S913,βοηθητικό!$J$2:$N$354,3,FALSE)="","",VLOOKUP(S913,βοηθητικό!$J$2:$N$354,3,FALSE))</f>
        <v>_</v>
      </c>
      <c r="U913" s="47"/>
      <c r="V913" s="4" t="s">
        <v>16</v>
      </c>
      <c r="W913" s="43" t="str">
        <f>IF(VLOOKUP(V913,βοηθητικό!$J$2:$N$354,3,FALSE)="","",VLOOKUP(V913,βοηθητικό!$J$2:$N$354,3,FALSE))</f>
        <v>_</v>
      </c>
      <c r="X913" s="44"/>
      <c r="Y913" s="5" t="s">
        <v>16</v>
      </c>
      <c r="Z913" s="46" t="str">
        <f>IF(VLOOKUP(Y913,βοηθητικό!$J$2:$N$354,3,FALSE)="","",VLOOKUP(Y913,βοηθητικό!$J$2:$N$354,3,FALSE))</f>
        <v>_</v>
      </c>
      <c r="AA913" s="47"/>
      <c r="AB913" s="4" t="s">
        <v>16</v>
      </c>
      <c r="AC913" s="43" t="str">
        <f>IF(VLOOKUP(AB913,βοηθητικό!$J$2:$N$354,3,FALSE)="","",VLOOKUP(AB913,βοηθητικό!$J$2:$N$354,3,FALSE))</f>
        <v>_</v>
      </c>
      <c r="AD913" s="44"/>
      <c r="AE913" s="5" t="s">
        <v>16</v>
      </c>
      <c r="AF913" s="46" t="str">
        <f>IF(VLOOKUP(AE913,βοηθητικό!$J$2:$N$354,3,FALSE)="","",VLOOKUP(AE913,βοηθητικό!$J$2:$N$354,3,FALSE))</f>
        <v>_</v>
      </c>
      <c r="AG913" s="47"/>
      <c r="AH913" s="4" t="s">
        <v>16</v>
      </c>
      <c r="AI913" s="43" t="str">
        <f>IF(VLOOKUP(AH913,βοηθητικό!$J$2:$N$354,3,FALSE)="","",VLOOKUP(AH913,βοηθητικό!$J$2:$N$354,3,FALSE))</f>
        <v>_</v>
      </c>
      <c r="AJ913" s="44"/>
      <c r="AK913" s="5" t="s">
        <v>16</v>
      </c>
      <c r="AL913" s="46" t="str">
        <f>IF(VLOOKUP(AK913,βοηθητικό!$J$2:$N$354,3,FALSE)="","",VLOOKUP(AK913,βοηθητικό!$J$2:$N$354,3,FALSE))</f>
        <v>_</v>
      </c>
      <c r="AM913" s="47"/>
      <c r="AN913" s="4" t="s">
        <v>16</v>
      </c>
      <c r="AO913" s="43" t="str">
        <f>IF(VLOOKUP(AN913,βοηθητικό!$J$2:$N$354,3,FALSE)="","",VLOOKUP(AN913,βοηθητικό!$J$2:$N$354,3,FALSE))</f>
        <v>_</v>
      </c>
      <c r="AP913" s="44"/>
      <c r="AQ913" s="5" t="s">
        <v>16</v>
      </c>
      <c r="AR913" s="46" t="str">
        <f>IF(VLOOKUP(AQ913,βοηθητικό!$J$2:$N$354,3,FALSE)="","",VLOOKUP(AQ913,βοηθητικό!$J$2:$N$354,3,FALSE))</f>
        <v>_</v>
      </c>
      <c r="AS913" s="47"/>
      <c r="AT913" s="4" t="s">
        <v>16</v>
      </c>
      <c r="AU913" s="43" t="str">
        <f>IF(VLOOKUP(AT913,βοηθητικό!$J$2:$N$354,3,FALSE)="","",VLOOKUP(AT913,βοηθητικό!$J$2:$N$354,3,FALSE))</f>
        <v>_</v>
      </c>
      <c r="AV913" s="44"/>
      <c r="AW913" s="5" t="s">
        <v>16</v>
      </c>
      <c r="AX913" s="46" t="str">
        <f>IF(VLOOKUP(AW913,βοηθητικό!$J$2:$N$354,3,FALSE)="","",VLOOKUP(AW913,βοηθητικό!$J$2:$N$354,3,FALSE))</f>
        <v>_</v>
      </c>
      <c r="AY913" s="47"/>
      <c r="AZ913" s="4" t="s">
        <v>16</v>
      </c>
      <c r="BA913" s="43" t="str">
        <f>IF(VLOOKUP(AZ913,βοηθητικό!$J$2:$N$354,3,FALSE)="","",VLOOKUP(AZ913,βοηθητικό!$J$2:$N$354,3,FALSE))</f>
        <v>_</v>
      </c>
      <c r="BB913" s="44"/>
      <c r="BC913" s="45" t="s">
        <v>16</v>
      </c>
      <c r="BD913" s="46" t="str">
        <f>IF(VLOOKUP(BC913,βοηθητικό!$J$2:$N$354,3,FALSE)="","",VLOOKUP(BC913,βοηθητικό!$J$2:$N$354,3,FALSE))</f>
        <v>_</v>
      </c>
      <c r="BE913" s="47"/>
      <c r="BF913" s="42" t="s">
        <v>16</v>
      </c>
      <c r="BG913" s="43" t="str">
        <f>IF(VLOOKUP(BF913,βοηθητικό!$J$2:$N$354,3,FALSE)="","",VLOOKUP(BF913,βοηθητικό!$J$2:$N$354,3,FALSE))</f>
        <v>_</v>
      </c>
      <c r="BH913" s="44"/>
      <c r="BI913" s="45" t="s">
        <v>16</v>
      </c>
      <c r="BJ913" s="46" t="str">
        <f>IF(VLOOKUP(BI913,βοηθητικό!$J$2:$N$354,3,FALSE)="","",VLOOKUP(BI913,βοηθητικό!$J$2:$N$354,3,FALSE))</f>
        <v>_</v>
      </c>
      <c r="BK913" s="47"/>
      <c r="BL913" s="42" t="s">
        <v>16</v>
      </c>
      <c r="BM913" s="43" t="str">
        <f>IF(VLOOKUP(BL913,βοηθητικό!$J$2:$N$354,3,FALSE)="","",VLOOKUP(BL913,βοηθητικό!$J$2:$N$354,3,FALSE))</f>
        <v>_</v>
      </c>
      <c r="BN913" s="44"/>
      <c r="BO913" s="45" t="s">
        <v>16</v>
      </c>
      <c r="BP913" s="46" t="str">
        <f>IF(VLOOKUP(BO913,βοηθητικό!$J$2:$N$354,3,FALSE)="","",VLOOKUP(BO913,βοηθητικό!$J$2:$N$354,3,FALSE))</f>
        <v>_</v>
      </c>
      <c r="BQ913" s="47"/>
      <c r="BR913" s="42" t="s">
        <v>16</v>
      </c>
      <c r="BS913" s="43" t="str">
        <f>IF(VLOOKUP(BR913,βοηθητικό!$J$2:$N$354,3,FALSE)="","",VLOOKUP(BR913,βοηθητικό!$J$2:$N$354,3,FALSE))</f>
        <v>_</v>
      </c>
      <c r="BT913" s="44"/>
      <c r="BU913" s="45" t="s">
        <v>16</v>
      </c>
      <c r="BV913" s="46" t="str">
        <f>IF(VLOOKUP(BU913,βοηθητικό!$J$2:$N$354,3,FALSE)="","",VLOOKUP(BU913,βοηθητικό!$J$2:$N$354,3,FALSE))</f>
        <v>_</v>
      </c>
      <c r="BW913" s="47"/>
      <c r="BX913" s="42" t="s">
        <v>16</v>
      </c>
      <c r="BY913" s="43" t="str">
        <f>IF(VLOOKUP(BX913,βοηθητικό!$J$2:$N$354,3,FALSE)="","",VLOOKUP(BX913,βοηθητικό!$J$2:$N$354,3,FALSE))</f>
        <v>_</v>
      </c>
      <c r="BZ913" s="44"/>
      <c r="CA913" s="45" t="s">
        <v>16</v>
      </c>
      <c r="CB913" s="46" t="str">
        <f>IF(VLOOKUP(CA913,βοηθητικό!$J$2:$N$354,3,FALSE)="","",VLOOKUP(CA913,βοηθητικό!$J$2:$N$354,3,FALSE))</f>
        <v>_</v>
      </c>
      <c r="CC913" s="47"/>
      <c r="CD913" s="42" t="s">
        <v>16</v>
      </c>
      <c r="CE913" s="43" t="str">
        <f>IF(VLOOKUP(CD913,βοηθητικό!$J$2:$N$354,3,FALSE)="","",VLOOKUP(CD913,βοηθητικό!$J$2:$N$354,3,FALSE))</f>
        <v>_</v>
      </c>
      <c r="CF913" s="44"/>
      <c r="CG913" s="45" t="s">
        <v>16</v>
      </c>
      <c r="CH913" s="46" t="str">
        <f>IF(VLOOKUP(CG913,βοηθητικό!$J$2:$N$354,3,FALSE)="","",VLOOKUP(CG913,βοηθητικό!$J$2:$N$354,3,FALSE))</f>
        <v>_</v>
      </c>
      <c r="CI913" s="47"/>
      <c r="CJ913" s="42" t="s">
        <v>16</v>
      </c>
      <c r="CK913" s="43" t="str">
        <f>IF(VLOOKUP(CJ913,βοηθητικό!$J$2:$N$354,3,FALSE)="","",VLOOKUP(CJ913,βοηθητικό!$J$2:$N$354,3,FALSE))</f>
        <v>_</v>
      </c>
      <c r="CL913" s="44"/>
      <c r="CM913" s="45" t="s">
        <v>16</v>
      </c>
      <c r="CN913" s="46" t="str">
        <f>IF(VLOOKUP(CM913,βοηθητικό!$J$2:$N$354,3,FALSE)="","",VLOOKUP(CM913,βοηθητικό!$J$2:$N$354,3,FALSE))</f>
        <v>_</v>
      </c>
      <c r="CO913" s="47"/>
      <c r="CP913" s="42" t="s">
        <v>16</v>
      </c>
      <c r="CQ913" s="43" t="str">
        <f>IF(VLOOKUP(CP913,βοηθητικό!$J$2:$N$354,3,FALSE)="","",VLOOKUP(CP913,βοηθητικό!$J$2:$N$354,3,FALSE))</f>
        <v>_</v>
      </c>
      <c r="CR913" s="44"/>
      <c r="CS913" s="45" t="s">
        <v>16</v>
      </c>
      <c r="CT913" s="46" t="str">
        <f>IF(VLOOKUP(CS913,βοηθητικό!$J$2:$N$354,3,FALSE)="","",VLOOKUP(CS913,βοηθητικό!$J$2:$N$354,3,FALSE))</f>
        <v>_</v>
      </c>
      <c r="CU913" s="47"/>
    </row>
    <row r="914" spans="1:99" x14ac:dyDescent="0.25">
      <c r="A914" s="37">
        <f>--SUBTOTAL(3,$B$3:B913)</f>
        <v>198</v>
      </c>
      <c r="B914" s="2"/>
      <c r="C914" s="3"/>
      <c r="D914" s="55" t="s">
        <v>18</v>
      </c>
      <c r="E914" s="38" t="s">
        <v>16</v>
      </c>
      <c r="F914" s="38"/>
      <c r="G914" s="39" t="str">
        <f t="shared" si="44"/>
        <v>__</v>
      </c>
      <c r="H914" s="40" t="str">
        <f t="shared" si="45"/>
        <v>FALSE</v>
      </c>
      <c r="I914" s="41">
        <f t="shared" si="46"/>
        <v>0</v>
      </c>
      <c r="J914" s="4" t="s">
        <v>16</v>
      </c>
      <c r="K914" s="43" t="str">
        <f>IF(VLOOKUP(J914,βοηθητικό!$J$2:$N$354,3,FALSE)="","",VLOOKUP(J914,βοηθητικό!$J$2:$N$354,3,FALSE))</f>
        <v>_</v>
      </c>
      <c r="L914" s="44"/>
      <c r="M914" s="5" t="s">
        <v>16</v>
      </c>
      <c r="N914" s="46" t="str">
        <f>IF(VLOOKUP(M914,βοηθητικό!$J$2:$N$354,3,FALSE)="","",VLOOKUP(M914,βοηθητικό!$J$2:$N$354,3,FALSE))</f>
        <v>_</v>
      </c>
      <c r="O914" s="47"/>
      <c r="P914" s="4" t="s">
        <v>16</v>
      </c>
      <c r="Q914" s="43" t="str">
        <f>IF(VLOOKUP(P914,βοηθητικό!$J$2:$N$354,3,FALSE)="","",VLOOKUP(P914,βοηθητικό!$J$2:$N$354,3,FALSE))</f>
        <v>_</v>
      </c>
      <c r="R914" s="44"/>
      <c r="S914" s="5" t="s">
        <v>16</v>
      </c>
      <c r="T914" s="46" t="str">
        <f>IF(VLOOKUP(S914,βοηθητικό!$J$2:$N$354,3,FALSE)="","",VLOOKUP(S914,βοηθητικό!$J$2:$N$354,3,FALSE))</f>
        <v>_</v>
      </c>
      <c r="U914" s="47"/>
      <c r="V914" s="4" t="s">
        <v>16</v>
      </c>
      <c r="W914" s="43" t="str">
        <f>IF(VLOOKUP(V914,βοηθητικό!$J$2:$N$354,3,FALSE)="","",VLOOKUP(V914,βοηθητικό!$J$2:$N$354,3,FALSE))</f>
        <v>_</v>
      </c>
      <c r="X914" s="44"/>
      <c r="Y914" s="5" t="s">
        <v>16</v>
      </c>
      <c r="Z914" s="46" t="str">
        <f>IF(VLOOKUP(Y914,βοηθητικό!$J$2:$N$354,3,FALSE)="","",VLOOKUP(Y914,βοηθητικό!$J$2:$N$354,3,FALSE))</f>
        <v>_</v>
      </c>
      <c r="AA914" s="47"/>
      <c r="AB914" s="4" t="s">
        <v>16</v>
      </c>
      <c r="AC914" s="43" t="str">
        <f>IF(VLOOKUP(AB914,βοηθητικό!$J$2:$N$354,3,FALSE)="","",VLOOKUP(AB914,βοηθητικό!$J$2:$N$354,3,FALSE))</f>
        <v>_</v>
      </c>
      <c r="AD914" s="44"/>
      <c r="AE914" s="5" t="s">
        <v>16</v>
      </c>
      <c r="AF914" s="46" t="str">
        <f>IF(VLOOKUP(AE914,βοηθητικό!$J$2:$N$354,3,FALSE)="","",VLOOKUP(AE914,βοηθητικό!$J$2:$N$354,3,FALSE))</f>
        <v>_</v>
      </c>
      <c r="AG914" s="47"/>
      <c r="AH914" s="4" t="s">
        <v>16</v>
      </c>
      <c r="AI914" s="43" t="str">
        <f>IF(VLOOKUP(AH914,βοηθητικό!$J$2:$N$354,3,FALSE)="","",VLOOKUP(AH914,βοηθητικό!$J$2:$N$354,3,FALSE))</f>
        <v>_</v>
      </c>
      <c r="AJ914" s="44"/>
      <c r="AK914" s="5" t="s">
        <v>16</v>
      </c>
      <c r="AL914" s="46" t="str">
        <f>IF(VLOOKUP(AK914,βοηθητικό!$J$2:$N$354,3,FALSE)="","",VLOOKUP(AK914,βοηθητικό!$J$2:$N$354,3,FALSE))</f>
        <v>_</v>
      </c>
      <c r="AM914" s="47"/>
      <c r="AN914" s="4" t="s">
        <v>16</v>
      </c>
      <c r="AO914" s="43" t="str">
        <f>IF(VLOOKUP(AN914,βοηθητικό!$J$2:$N$354,3,FALSE)="","",VLOOKUP(AN914,βοηθητικό!$J$2:$N$354,3,FALSE))</f>
        <v>_</v>
      </c>
      <c r="AP914" s="44"/>
      <c r="AQ914" s="5" t="s">
        <v>16</v>
      </c>
      <c r="AR914" s="46" t="str">
        <f>IF(VLOOKUP(AQ914,βοηθητικό!$J$2:$N$354,3,FALSE)="","",VLOOKUP(AQ914,βοηθητικό!$J$2:$N$354,3,FALSE))</f>
        <v>_</v>
      </c>
      <c r="AS914" s="47"/>
      <c r="AT914" s="4" t="s">
        <v>16</v>
      </c>
      <c r="AU914" s="43" t="str">
        <f>IF(VLOOKUP(AT914,βοηθητικό!$J$2:$N$354,3,FALSE)="","",VLOOKUP(AT914,βοηθητικό!$J$2:$N$354,3,FALSE))</f>
        <v>_</v>
      </c>
      <c r="AV914" s="44"/>
      <c r="AW914" s="5" t="s">
        <v>16</v>
      </c>
      <c r="AX914" s="46" t="str">
        <f>IF(VLOOKUP(AW914,βοηθητικό!$J$2:$N$354,3,FALSE)="","",VLOOKUP(AW914,βοηθητικό!$J$2:$N$354,3,FALSE))</f>
        <v>_</v>
      </c>
      <c r="AY914" s="47"/>
      <c r="AZ914" s="4" t="s">
        <v>16</v>
      </c>
      <c r="BA914" s="43" t="str">
        <f>IF(VLOOKUP(AZ914,βοηθητικό!$J$2:$N$354,3,FALSE)="","",VLOOKUP(AZ914,βοηθητικό!$J$2:$N$354,3,FALSE))</f>
        <v>_</v>
      </c>
      <c r="BB914" s="44"/>
      <c r="BC914" s="45" t="s">
        <v>16</v>
      </c>
      <c r="BD914" s="46" t="str">
        <f>IF(VLOOKUP(BC914,βοηθητικό!$J$2:$N$354,3,FALSE)="","",VLOOKUP(BC914,βοηθητικό!$J$2:$N$354,3,FALSE))</f>
        <v>_</v>
      </c>
      <c r="BE914" s="47"/>
      <c r="BF914" s="42" t="s">
        <v>16</v>
      </c>
      <c r="BG914" s="43" t="str">
        <f>IF(VLOOKUP(BF914,βοηθητικό!$J$2:$N$354,3,FALSE)="","",VLOOKUP(BF914,βοηθητικό!$J$2:$N$354,3,FALSE))</f>
        <v>_</v>
      </c>
      <c r="BH914" s="44"/>
      <c r="BI914" s="45" t="s">
        <v>16</v>
      </c>
      <c r="BJ914" s="46" t="str">
        <f>IF(VLOOKUP(BI914,βοηθητικό!$J$2:$N$354,3,FALSE)="","",VLOOKUP(BI914,βοηθητικό!$J$2:$N$354,3,FALSE))</f>
        <v>_</v>
      </c>
      <c r="BK914" s="47"/>
      <c r="BL914" s="42" t="s">
        <v>16</v>
      </c>
      <c r="BM914" s="43" t="str">
        <f>IF(VLOOKUP(BL914,βοηθητικό!$J$2:$N$354,3,FALSE)="","",VLOOKUP(BL914,βοηθητικό!$J$2:$N$354,3,FALSE))</f>
        <v>_</v>
      </c>
      <c r="BN914" s="44"/>
      <c r="BO914" s="45" t="s">
        <v>16</v>
      </c>
      <c r="BP914" s="46" t="str">
        <f>IF(VLOOKUP(BO914,βοηθητικό!$J$2:$N$354,3,FALSE)="","",VLOOKUP(BO914,βοηθητικό!$J$2:$N$354,3,FALSE))</f>
        <v>_</v>
      </c>
      <c r="BQ914" s="47"/>
      <c r="BR914" s="42" t="s">
        <v>16</v>
      </c>
      <c r="BS914" s="43" t="str">
        <f>IF(VLOOKUP(BR914,βοηθητικό!$J$2:$N$354,3,FALSE)="","",VLOOKUP(BR914,βοηθητικό!$J$2:$N$354,3,FALSE))</f>
        <v>_</v>
      </c>
      <c r="BT914" s="44"/>
      <c r="BU914" s="45" t="s">
        <v>16</v>
      </c>
      <c r="BV914" s="46" t="str">
        <f>IF(VLOOKUP(BU914,βοηθητικό!$J$2:$N$354,3,FALSE)="","",VLOOKUP(BU914,βοηθητικό!$J$2:$N$354,3,FALSE))</f>
        <v>_</v>
      </c>
      <c r="BW914" s="47"/>
      <c r="BX914" s="42" t="s">
        <v>16</v>
      </c>
      <c r="BY914" s="43" t="str">
        <f>IF(VLOOKUP(BX914,βοηθητικό!$J$2:$N$354,3,FALSE)="","",VLOOKUP(BX914,βοηθητικό!$J$2:$N$354,3,FALSE))</f>
        <v>_</v>
      </c>
      <c r="BZ914" s="44"/>
      <c r="CA914" s="45" t="s">
        <v>16</v>
      </c>
      <c r="CB914" s="46" t="str">
        <f>IF(VLOOKUP(CA914,βοηθητικό!$J$2:$N$354,3,FALSE)="","",VLOOKUP(CA914,βοηθητικό!$J$2:$N$354,3,FALSE))</f>
        <v>_</v>
      </c>
      <c r="CC914" s="47"/>
      <c r="CD914" s="42" t="s">
        <v>16</v>
      </c>
      <c r="CE914" s="43" t="str">
        <f>IF(VLOOKUP(CD914,βοηθητικό!$J$2:$N$354,3,FALSE)="","",VLOOKUP(CD914,βοηθητικό!$J$2:$N$354,3,FALSE))</f>
        <v>_</v>
      </c>
      <c r="CF914" s="44"/>
      <c r="CG914" s="45" t="s">
        <v>16</v>
      </c>
      <c r="CH914" s="46" t="str">
        <f>IF(VLOOKUP(CG914,βοηθητικό!$J$2:$N$354,3,FALSE)="","",VLOOKUP(CG914,βοηθητικό!$J$2:$N$354,3,FALSE))</f>
        <v>_</v>
      </c>
      <c r="CI914" s="47"/>
      <c r="CJ914" s="42" t="s">
        <v>16</v>
      </c>
      <c r="CK914" s="43" t="str">
        <f>IF(VLOOKUP(CJ914,βοηθητικό!$J$2:$N$354,3,FALSE)="","",VLOOKUP(CJ914,βοηθητικό!$J$2:$N$354,3,FALSE))</f>
        <v>_</v>
      </c>
      <c r="CL914" s="44"/>
      <c r="CM914" s="45" t="s">
        <v>16</v>
      </c>
      <c r="CN914" s="46" t="str">
        <f>IF(VLOOKUP(CM914,βοηθητικό!$J$2:$N$354,3,FALSE)="","",VLOOKUP(CM914,βοηθητικό!$J$2:$N$354,3,FALSE))</f>
        <v>_</v>
      </c>
      <c r="CO914" s="47"/>
      <c r="CP914" s="42" t="s">
        <v>16</v>
      </c>
      <c r="CQ914" s="43" t="str">
        <f>IF(VLOOKUP(CP914,βοηθητικό!$J$2:$N$354,3,FALSE)="","",VLOOKUP(CP914,βοηθητικό!$J$2:$N$354,3,FALSE))</f>
        <v>_</v>
      </c>
      <c r="CR914" s="44"/>
      <c r="CS914" s="45" t="s">
        <v>16</v>
      </c>
      <c r="CT914" s="46" t="str">
        <f>IF(VLOOKUP(CS914,βοηθητικό!$J$2:$N$354,3,FALSE)="","",VLOOKUP(CS914,βοηθητικό!$J$2:$N$354,3,FALSE))</f>
        <v>_</v>
      </c>
      <c r="CU914" s="47"/>
    </row>
    <row r="915" spans="1:99" x14ac:dyDescent="0.25">
      <c r="A915" s="37">
        <f>--SUBTOTAL(3,$B$3:B914)</f>
        <v>198</v>
      </c>
      <c r="B915" s="2"/>
      <c r="C915" s="3"/>
      <c r="D915" s="55" t="s">
        <v>18</v>
      </c>
      <c r="E915" s="38" t="s">
        <v>16</v>
      </c>
      <c r="F915" s="38"/>
      <c r="G915" s="39" t="str">
        <f t="shared" si="44"/>
        <v>__</v>
      </c>
      <c r="H915" s="40" t="str">
        <f t="shared" si="45"/>
        <v>FALSE</v>
      </c>
      <c r="I915" s="41">
        <f t="shared" si="46"/>
        <v>0</v>
      </c>
      <c r="J915" s="4" t="s">
        <v>16</v>
      </c>
      <c r="K915" s="43" t="str">
        <f>IF(VLOOKUP(J915,βοηθητικό!$J$2:$N$354,3,FALSE)="","",VLOOKUP(J915,βοηθητικό!$J$2:$N$354,3,FALSE))</f>
        <v>_</v>
      </c>
      <c r="L915" s="44"/>
      <c r="M915" s="5" t="s">
        <v>16</v>
      </c>
      <c r="N915" s="46" t="str">
        <f>IF(VLOOKUP(M915,βοηθητικό!$J$2:$N$354,3,FALSE)="","",VLOOKUP(M915,βοηθητικό!$J$2:$N$354,3,FALSE))</f>
        <v>_</v>
      </c>
      <c r="O915" s="47"/>
      <c r="P915" s="4" t="s">
        <v>16</v>
      </c>
      <c r="Q915" s="43" t="str">
        <f>IF(VLOOKUP(P915,βοηθητικό!$J$2:$N$354,3,FALSE)="","",VLOOKUP(P915,βοηθητικό!$J$2:$N$354,3,FALSE))</f>
        <v>_</v>
      </c>
      <c r="R915" s="44"/>
      <c r="S915" s="5" t="s">
        <v>16</v>
      </c>
      <c r="T915" s="46" t="str">
        <f>IF(VLOOKUP(S915,βοηθητικό!$J$2:$N$354,3,FALSE)="","",VLOOKUP(S915,βοηθητικό!$J$2:$N$354,3,FALSE))</f>
        <v>_</v>
      </c>
      <c r="U915" s="47"/>
      <c r="V915" s="4" t="s">
        <v>16</v>
      </c>
      <c r="W915" s="43" t="str">
        <f>IF(VLOOKUP(V915,βοηθητικό!$J$2:$N$354,3,FALSE)="","",VLOOKUP(V915,βοηθητικό!$J$2:$N$354,3,FALSE))</f>
        <v>_</v>
      </c>
      <c r="X915" s="44"/>
      <c r="Y915" s="5" t="s">
        <v>16</v>
      </c>
      <c r="Z915" s="46" t="str">
        <f>IF(VLOOKUP(Y915,βοηθητικό!$J$2:$N$354,3,FALSE)="","",VLOOKUP(Y915,βοηθητικό!$J$2:$N$354,3,FALSE))</f>
        <v>_</v>
      </c>
      <c r="AA915" s="47"/>
      <c r="AB915" s="4" t="s">
        <v>16</v>
      </c>
      <c r="AC915" s="43" t="str">
        <f>IF(VLOOKUP(AB915,βοηθητικό!$J$2:$N$354,3,FALSE)="","",VLOOKUP(AB915,βοηθητικό!$J$2:$N$354,3,FALSE))</f>
        <v>_</v>
      </c>
      <c r="AD915" s="44"/>
      <c r="AE915" s="5" t="s">
        <v>16</v>
      </c>
      <c r="AF915" s="46" t="str">
        <f>IF(VLOOKUP(AE915,βοηθητικό!$J$2:$N$354,3,FALSE)="","",VLOOKUP(AE915,βοηθητικό!$J$2:$N$354,3,FALSE))</f>
        <v>_</v>
      </c>
      <c r="AG915" s="47"/>
      <c r="AH915" s="4" t="s">
        <v>16</v>
      </c>
      <c r="AI915" s="43" t="str">
        <f>IF(VLOOKUP(AH915,βοηθητικό!$J$2:$N$354,3,FALSE)="","",VLOOKUP(AH915,βοηθητικό!$J$2:$N$354,3,FALSE))</f>
        <v>_</v>
      </c>
      <c r="AJ915" s="44"/>
      <c r="AK915" s="5" t="s">
        <v>16</v>
      </c>
      <c r="AL915" s="46" t="str">
        <f>IF(VLOOKUP(AK915,βοηθητικό!$J$2:$N$354,3,FALSE)="","",VLOOKUP(AK915,βοηθητικό!$J$2:$N$354,3,FALSE))</f>
        <v>_</v>
      </c>
      <c r="AM915" s="47"/>
      <c r="AN915" s="4" t="s">
        <v>16</v>
      </c>
      <c r="AO915" s="43" t="str">
        <f>IF(VLOOKUP(AN915,βοηθητικό!$J$2:$N$354,3,FALSE)="","",VLOOKUP(AN915,βοηθητικό!$J$2:$N$354,3,FALSE))</f>
        <v>_</v>
      </c>
      <c r="AP915" s="44"/>
      <c r="AQ915" s="5" t="s">
        <v>16</v>
      </c>
      <c r="AR915" s="46" t="str">
        <f>IF(VLOOKUP(AQ915,βοηθητικό!$J$2:$N$354,3,FALSE)="","",VLOOKUP(AQ915,βοηθητικό!$J$2:$N$354,3,FALSE))</f>
        <v>_</v>
      </c>
      <c r="AS915" s="47"/>
      <c r="AT915" s="4" t="s">
        <v>16</v>
      </c>
      <c r="AU915" s="43" t="str">
        <f>IF(VLOOKUP(AT915,βοηθητικό!$J$2:$N$354,3,FALSE)="","",VLOOKUP(AT915,βοηθητικό!$J$2:$N$354,3,FALSE))</f>
        <v>_</v>
      </c>
      <c r="AV915" s="44"/>
      <c r="AW915" s="5" t="s">
        <v>16</v>
      </c>
      <c r="AX915" s="46" t="str">
        <f>IF(VLOOKUP(AW915,βοηθητικό!$J$2:$N$354,3,FALSE)="","",VLOOKUP(AW915,βοηθητικό!$J$2:$N$354,3,FALSE))</f>
        <v>_</v>
      </c>
      <c r="AY915" s="47"/>
      <c r="AZ915" s="4" t="s">
        <v>16</v>
      </c>
      <c r="BA915" s="43" t="str">
        <f>IF(VLOOKUP(AZ915,βοηθητικό!$J$2:$N$354,3,FALSE)="","",VLOOKUP(AZ915,βοηθητικό!$J$2:$N$354,3,FALSE))</f>
        <v>_</v>
      </c>
      <c r="BB915" s="44"/>
      <c r="BC915" s="45" t="s">
        <v>16</v>
      </c>
      <c r="BD915" s="46" t="str">
        <f>IF(VLOOKUP(BC915,βοηθητικό!$J$2:$N$354,3,FALSE)="","",VLOOKUP(BC915,βοηθητικό!$J$2:$N$354,3,FALSE))</f>
        <v>_</v>
      </c>
      <c r="BE915" s="47"/>
      <c r="BF915" s="42" t="s">
        <v>16</v>
      </c>
      <c r="BG915" s="43" t="str">
        <f>IF(VLOOKUP(BF915,βοηθητικό!$J$2:$N$354,3,FALSE)="","",VLOOKUP(BF915,βοηθητικό!$J$2:$N$354,3,FALSE))</f>
        <v>_</v>
      </c>
      <c r="BH915" s="44"/>
      <c r="BI915" s="45" t="s">
        <v>16</v>
      </c>
      <c r="BJ915" s="46" t="str">
        <f>IF(VLOOKUP(BI915,βοηθητικό!$J$2:$N$354,3,FALSE)="","",VLOOKUP(BI915,βοηθητικό!$J$2:$N$354,3,FALSE))</f>
        <v>_</v>
      </c>
      <c r="BK915" s="47"/>
      <c r="BL915" s="42" t="s">
        <v>16</v>
      </c>
      <c r="BM915" s="43" t="str">
        <f>IF(VLOOKUP(BL915,βοηθητικό!$J$2:$N$354,3,FALSE)="","",VLOOKUP(BL915,βοηθητικό!$J$2:$N$354,3,FALSE))</f>
        <v>_</v>
      </c>
      <c r="BN915" s="44"/>
      <c r="BO915" s="45" t="s">
        <v>16</v>
      </c>
      <c r="BP915" s="46" t="str">
        <f>IF(VLOOKUP(BO915,βοηθητικό!$J$2:$N$354,3,FALSE)="","",VLOOKUP(BO915,βοηθητικό!$J$2:$N$354,3,FALSE))</f>
        <v>_</v>
      </c>
      <c r="BQ915" s="47"/>
      <c r="BR915" s="42" t="s">
        <v>16</v>
      </c>
      <c r="BS915" s="43" t="str">
        <f>IF(VLOOKUP(BR915,βοηθητικό!$J$2:$N$354,3,FALSE)="","",VLOOKUP(BR915,βοηθητικό!$J$2:$N$354,3,FALSE))</f>
        <v>_</v>
      </c>
      <c r="BT915" s="44"/>
      <c r="BU915" s="45" t="s">
        <v>16</v>
      </c>
      <c r="BV915" s="46" t="str">
        <f>IF(VLOOKUP(BU915,βοηθητικό!$J$2:$N$354,3,FALSE)="","",VLOOKUP(BU915,βοηθητικό!$J$2:$N$354,3,FALSE))</f>
        <v>_</v>
      </c>
      <c r="BW915" s="47"/>
      <c r="BX915" s="42" t="s">
        <v>16</v>
      </c>
      <c r="BY915" s="43" t="str">
        <f>IF(VLOOKUP(BX915,βοηθητικό!$J$2:$N$354,3,FALSE)="","",VLOOKUP(BX915,βοηθητικό!$J$2:$N$354,3,FALSE))</f>
        <v>_</v>
      </c>
      <c r="BZ915" s="44"/>
      <c r="CA915" s="45" t="s">
        <v>16</v>
      </c>
      <c r="CB915" s="46" t="str">
        <f>IF(VLOOKUP(CA915,βοηθητικό!$J$2:$N$354,3,FALSE)="","",VLOOKUP(CA915,βοηθητικό!$J$2:$N$354,3,FALSE))</f>
        <v>_</v>
      </c>
      <c r="CC915" s="47"/>
      <c r="CD915" s="42" t="s">
        <v>16</v>
      </c>
      <c r="CE915" s="43" t="str">
        <f>IF(VLOOKUP(CD915,βοηθητικό!$J$2:$N$354,3,FALSE)="","",VLOOKUP(CD915,βοηθητικό!$J$2:$N$354,3,FALSE))</f>
        <v>_</v>
      </c>
      <c r="CF915" s="44"/>
      <c r="CG915" s="45" t="s">
        <v>16</v>
      </c>
      <c r="CH915" s="46" t="str">
        <f>IF(VLOOKUP(CG915,βοηθητικό!$J$2:$N$354,3,FALSE)="","",VLOOKUP(CG915,βοηθητικό!$J$2:$N$354,3,FALSE))</f>
        <v>_</v>
      </c>
      <c r="CI915" s="47"/>
      <c r="CJ915" s="42" t="s">
        <v>16</v>
      </c>
      <c r="CK915" s="43" t="str">
        <f>IF(VLOOKUP(CJ915,βοηθητικό!$J$2:$N$354,3,FALSE)="","",VLOOKUP(CJ915,βοηθητικό!$J$2:$N$354,3,FALSE))</f>
        <v>_</v>
      </c>
      <c r="CL915" s="44"/>
      <c r="CM915" s="45" t="s">
        <v>16</v>
      </c>
      <c r="CN915" s="46" t="str">
        <f>IF(VLOOKUP(CM915,βοηθητικό!$J$2:$N$354,3,FALSE)="","",VLOOKUP(CM915,βοηθητικό!$J$2:$N$354,3,FALSE))</f>
        <v>_</v>
      </c>
      <c r="CO915" s="47"/>
      <c r="CP915" s="42" t="s">
        <v>16</v>
      </c>
      <c r="CQ915" s="43" t="str">
        <f>IF(VLOOKUP(CP915,βοηθητικό!$J$2:$N$354,3,FALSE)="","",VLOOKUP(CP915,βοηθητικό!$J$2:$N$354,3,FALSE))</f>
        <v>_</v>
      </c>
      <c r="CR915" s="44"/>
      <c r="CS915" s="45" t="s">
        <v>16</v>
      </c>
      <c r="CT915" s="46" t="str">
        <f>IF(VLOOKUP(CS915,βοηθητικό!$J$2:$N$354,3,FALSE)="","",VLOOKUP(CS915,βοηθητικό!$J$2:$N$354,3,FALSE))</f>
        <v>_</v>
      </c>
      <c r="CU915" s="47"/>
    </row>
    <row r="916" spans="1:99" x14ac:dyDescent="0.25">
      <c r="A916" s="37">
        <f>--SUBTOTAL(3,$B$3:B915)</f>
        <v>198</v>
      </c>
      <c r="B916" s="2"/>
      <c r="C916" s="3"/>
      <c r="D916" s="55" t="s">
        <v>18</v>
      </c>
      <c r="E916" s="38" t="s">
        <v>16</v>
      </c>
      <c r="F916" s="38"/>
      <c r="G916" s="39" t="str">
        <f t="shared" si="44"/>
        <v>__</v>
      </c>
      <c r="H916" s="40" t="str">
        <f t="shared" si="45"/>
        <v>FALSE</v>
      </c>
      <c r="I916" s="41">
        <f t="shared" si="46"/>
        <v>0</v>
      </c>
      <c r="J916" s="4" t="s">
        <v>16</v>
      </c>
      <c r="K916" s="43" t="str">
        <f>IF(VLOOKUP(J916,βοηθητικό!$J$2:$N$354,3,FALSE)="","",VLOOKUP(J916,βοηθητικό!$J$2:$N$354,3,FALSE))</f>
        <v>_</v>
      </c>
      <c r="L916" s="44"/>
      <c r="M916" s="5" t="s">
        <v>16</v>
      </c>
      <c r="N916" s="46" t="str">
        <f>IF(VLOOKUP(M916,βοηθητικό!$J$2:$N$354,3,FALSE)="","",VLOOKUP(M916,βοηθητικό!$J$2:$N$354,3,FALSE))</f>
        <v>_</v>
      </c>
      <c r="O916" s="47"/>
      <c r="P916" s="4" t="s">
        <v>16</v>
      </c>
      <c r="Q916" s="43" t="str">
        <f>IF(VLOOKUP(P916,βοηθητικό!$J$2:$N$354,3,FALSE)="","",VLOOKUP(P916,βοηθητικό!$J$2:$N$354,3,FALSE))</f>
        <v>_</v>
      </c>
      <c r="R916" s="44"/>
      <c r="S916" s="5" t="s">
        <v>16</v>
      </c>
      <c r="T916" s="46" t="str">
        <f>IF(VLOOKUP(S916,βοηθητικό!$J$2:$N$354,3,FALSE)="","",VLOOKUP(S916,βοηθητικό!$J$2:$N$354,3,FALSE))</f>
        <v>_</v>
      </c>
      <c r="U916" s="47"/>
      <c r="V916" s="4" t="s">
        <v>16</v>
      </c>
      <c r="W916" s="43" t="str">
        <f>IF(VLOOKUP(V916,βοηθητικό!$J$2:$N$354,3,FALSE)="","",VLOOKUP(V916,βοηθητικό!$J$2:$N$354,3,FALSE))</f>
        <v>_</v>
      </c>
      <c r="X916" s="44"/>
      <c r="Y916" s="5" t="s">
        <v>16</v>
      </c>
      <c r="Z916" s="46" t="str">
        <f>IF(VLOOKUP(Y916,βοηθητικό!$J$2:$N$354,3,FALSE)="","",VLOOKUP(Y916,βοηθητικό!$J$2:$N$354,3,FALSE))</f>
        <v>_</v>
      </c>
      <c r="AA916" s="47"/>
      <c r="AB916" s="4" t="s">
        <v>16</v>
      </c>
      <c r="AC916" s="43" t="str">
        <f>IF(VLOOKUP(AB916,βοηθητικό!$J$2:$N$354,3,FALSE)="","",VLOOKUP(AB916,βοηθητικό!$J$2:$N$354,3,FALSE))</f>
        <v>_</v>
      </c>
      <c r="AD916" s="44"/>
      <c r="AE916" s="5" t="s">
        <v>16</v>
      </c>
      <c r="AF916" s="46" t="str">
        <f>IF(VLOOKUP(AE916,βοηθητικό!$J$2:$N$354,3,FALSE)="","",VLOOKUP(AE916,βοηθητικό!$J$2:$N$354,3,FALSE))</f>
        <v>_</v>
      </c>
      <c r="AG916" s="47"/>
      <c r="AH916" s="4" t="s">
        <v>16</v>
      </c>
      <c r="AI916" s="43" t="str">
        <f>IF(VLOOKUP(AH916,βοηθητικό!$J$2:$N$354,3,FALSE)="","",VLOOKUP(AH916,βοηθητικό!$J$2:$N$354,3,FALSE))</f>
        <v>_</v>
      </c>
      <c r="AJ916" s="44"/>
      <c r="AK916" s="5" t="s">
        <v>16</v>
      </c>
      <c r="AL916" s="46" t="str">
        <f>IF(VLOOKUP(AK916,βοηθητικό!$J$2:$N$354,3,FALSE)="","",VLOOKUP(AK916,βοηθητικό!$J$2:$N$354,3,FALSE))</f>
        <v>_</v>
      </c>
      <c r="AM916" s="47"/>
      <c r="AN916" s="4" t="s">
        <v>16</v>
      </c>
      <c r="AO916" s="43" t="str">
        <f>IF(VLOOKUP(AN916,βοηθητικό!$J$2:$N$354,3,FALSE)="","",VLOOKUP(AN916,βοηθητικό!$J$2:$N$354,3,FALSE))</f>
        <v>_</v>
      </c>
      <c r="AP916" s="44"/>
      <c r="AQ916" s="5" t="s">
        <v>16</v>
      </c>
      <c r="AR916" s="46" t="str">
        <f>IF(VLOOKUP(AQ916,βοηθητικό!$J$2:$N$354,3,FALSE)="","",VLOOKUP(AQ916,βοηθητικό!$J$2:$N$354,3,FALSE))</f>
        <v>_</v>
      </c>
      <c r="AS916" s="47"/>
      <c r="AT916" s="4" t="s">
        <v>16</v>
      </c>
      <c r="AU916" s="43" t="str">
        <f>IF(VLOOKUP(AT916,βοηθητικό!$J$2:$N$354,3,FALSE)="","",VLOOKUP(AT916,βοηθητικό!$J$2:$N$354,3,FALSE))</f>
        <v>_</v>
      </c>
      <c r="AV916" s="44"/>
      <c r="AW916" s="5" t="s">
        <v>16</v>
      </c>
      <c r="AX916" s="46" t="str">
        <f>IF(VLOOKUP(AW916,βοηθητικό!$J$2:$N$354,3,FALSE)="","",VLOOKUP(AW916,βοηθητικό!$J$2:$N$354,3,FALSE))</f>
        <v>_</v>
      </c>
      <c r="AY916" s="47"/>
      <c r="AZ916" s="4" t="s">
        <v>16</v>
      </c>
      <c r="BA916" s="43" t="str">
        <f>IF(VLOOKUP(AZ916,βοηθητικό!$J$2:$N$354,3,FALSE)="","",VLOOKUP(AZ916,βοηθητικό!$J$2:$N$354,3,FALSE))</f>
        <v>_</v>
      </c>
      <c r="BB916" s="44"/>
      <c r="BC916" s="45" t="s">
        <v>16</v>
      </c>
      <c r="BD916" s="46" t="str">
        <f>IF(VLOOKUP(BC916,βοηθητικό!$J$2:$N$354,3,FALSE)="","",VLOOKUP(BC916,βοηθητικό!$J$2:$N$354,3,FALSE))</f>
        <v>_</v>
      </c>
      <c r="BE916" s="47"/>
      <c r="BF916" s="42" t="s">
        <v>16</v>
      </c>
      <c r="BG916" s="43" t="str">
        <f>IF(VLOOKUP(BF916,βοηθητικό!$J$2:$N$354,3,FALSE)="","",VLOOKUP(BF916,βοηθητικό!$J$2:$N$354,3,FALSE))</f>
        <v>_</v>
      </c>
      <c r="BH916" s="44"/>
      <c r="BI916" s="45" t="s">
        <v>16</v>
      </c>
      <c r="BJ916" s="46" t="str">
        <f>IF(VLOOKUP(BI916,βοηθητικό!$J$2:$N$354,3,FALSE)="","",VLOOKUP(BI916,βοηθητικό!$J$2:$N$354,3,FALSE))</f>
        <v>_</v>
      </c>
      <c r="BK916" s="47"/>
      <c r="BL916" s="42" t="s">
        <v>16</v>
      </c>
      <c r="BM916" s="43" t="str">
        <f>IF(VLOOKUP(BL916,βοηθητικό!$J$2:$N$354,3,FALSE)="","",VLOOKUP(BL916,βοηθητικό!$J$2:$N$354,3,FALSE))</f>
        <v>_</v>
      </c>
      <c r="BN916" s="44"/>
      <c r="BO916" s="45" t="s">
        <v>16</v>
      </c>
      <c r="BP916" s="46" t="str">
        <f>IF(VLOOKUP(BO916,βοηθητικό!$J$2:$N$354,3,FALSE)="","",VLOOKUP(BO916,βοηθητικό!$J$2:$N$354,3,FALSE))</f>
        <v>_</v>
      </c>
      <c r="BQ916" s="47"/>
      <c r="BR916" s="42" t="s">
        <v>16</v>
      </c>
      <c r="BS916" s="43" t="str">
        <f>IF(VLOOKUP(BR916,βοηθητικό!$J$2:$N$354,3,FALSE)="","",VLOOKUP(BR916,βοηθητικό!$J$2:$N$354,3,FALSE))</f>
        <v>_</v>
      </c>
      <c r="BT916" s="44"/>
      <c r="BU916" s="45" t="s">
        <v>16</v>
      </c>
      <c r="BV916" s="46" t="str">
        <f>IF(VLOOKUP(BU916,βοηθητικό!$J$2:$N$354,3,FALSE)="","",VLOOKUP(BU916,βοηθητικό!$J$2:$N$354,3,FALSE))</f>
        <v>_</v>
      </c>
      <c r="BW916" s="47"/>
      <c r="BX916" s="42" t="s">
        <v>16</v>
      </c>
      <c r="BY916" s="43" t="str">
        <f>IF(VLOOKUP(BX916,βοηθητικό!$J$2:$N$354,3,FALSE)="","",VLOOKUP(BX916,βοηθητικό!$J$2:$N$354,3,FALSE))</f>
        <v>_</v>
      </c>
      <c r="BZ916" s="44"/>
      <c r="CA916" s="45" t="s">
        <v>16</v>
      </c>
      <c r="CB916" s="46" t="str">
        <f>IF(VLOOKUP(CA916,βοηθητικό!$J$2:$N$354,3,FALSE)="","",VLOOKUP(CA916,βοηθητικό!$J$2:$N$354,3,FALSE))</f>
        <v>_</v>
      </c>
      <c r="CC916" s="47"/>
      <c r="CD916" s="42" t="s">
        <v>16</v>
      </c>
      <c r="CE916" s="43" t="str">
        <f>IF(VLOOKUP(CD916,βοηθητικό!$J$2:$N$354,3,FALSE)="","",VLOOKUP(CD916,βοηθητικό!$J$2:$N$354,3,FALSE))</f>
        <v>_</v>
      </c>
      <c r="CF916" s="44"/>
      <c r="CG916" s="45" t="s">
        <v>16</v>
      </c>
      <c r="CH916" s="46" t="str">
        <f>IF(VLOOKUP(CG916,βοηθητικό!$J$2:$N$354,3,FALSE)="","",VLOOKUP(CG916,βοηθητικό!$J$2:$N$354,3,FALSE))</f>
        <v>_</v>
      </c>
      <c r="CI916" s="47"/>
      <c r="CJ916" s="42" t="s">
        <v>16</v>
      </c>
      <c r="CK916" s="43" t="str">
        <f>IF(VLOOKUP(CJ916,βοηθητικό!$J$2:$N$354,3,FALSE)="","",VLOOKUP(CJ916,βοηθητικό!$J$2:$N$354,3,FALSE))</f>
        <v>_</v>
      </c>
      <c r="CL916" s="44"/>
      <c r="CM916" s="45" t="s">
        <v>16</v>
      </c>
      <c r="CN916" s="46" t="str">
        <f>IF(VLOOKUP(CM916,βοηθητικό!$J$2:$N$354,3,FALSE)="","",VLOOKUP(CM916,βοηθητικό!$J$2:$N$354,3,FALSE))</f>
        <v>_</v>
      </c>
      <c r="CO916" s="47"/>
      <c r="CP916" s="42" t="s">
        <v>16</v>
      </c>
      <c r="CQ916" s="43" t="str">
        <f>IF(VLOOKUP(CP916,βοηθητικό!$J$2:$N$354,3,FALSE)="","",VLOOKUP(CP916,βοηθητικό!$J$2:$N$354,3,FALSE))</f>
        <v>_</v>
      </c>
      <c r="CR916" s="44"/>
      <c r="CS916" s="45" t="s">
        <v>16</v>
      </c>
      <c r="CT916" s="46" t="str">
        <f>IF(VLOOKUP(CS916,βοηθητικό!$J$2:$N$354,3,FALSE)="","",VLOOKUP(CS916,βοηθητικό!$J$2:$N$354,3,FALSE))</f>
        <v>_</v>
      </c>
      <c r="CU916" s="47"/>
    </row>
    <row r="917" spans="1:99" x14ac:dyDescent="0.25">
      <c r="A917" s="37">
        <f>--SUBTOTAL(3,$B$3:B916)</f>
        <v>198</v>
      </c>
      <c r="B917" s="2"/>
      <c r="C917" s="3"/>
      <c r="D917" s="55" t="s">
        <v>18</v>
      </c>
      <c r="E917" s="38" t="s">
        <v>16</v>
      </c>
      <c r="F917" s="38"/>
      <c r="G917" s="39" t="str">
        <f t="shared" si="44"/>
        <v>__</v>
      </c>
      <c r="H917" s="40" t="str">
        <f t="shared" si="45"/>
        <v>FALSE</v>
      </c>
      <c r="I917" s="41">
        <f t="shared" si="46"/>
        <v>0</v>
      </c>
      <c r="J917" s="4" t="s">
        <v>16</v>
      </c>
      <c r="K917" s="43" t="str">
        <f>IF(VLOOKUP(J917,βοηθητικό!$J$2:$N$354,3,FALSE)="","",VLOOKUP(J917,βοηθητικό!$J$2:$N$354,3,FALSE))</f>
        <v>_</v>
      </c>
      <c r="L917" s="44"/>
      <c r="M917" s="5" t="s">
        <v>16</v>
      </c>
      <c r="N917" s="46" t="str">
        <f>IF(VLOOKUP(M917,βοηθητικό!$J$2:$N$354,3,FALSE)="","",VLOOKUP(M917,βοηθητικό!$J$2:$N$354,3,FALSE))</f>
        <v>_</v>
      </c>
      <c r="O917" s="47"/>
      <c r="P917" s="4" t="s">
        <v>16</v>
      </c>
      <c r="Q917" s="43" t="str">
        <f>IF(VLOOKUP(P917,βοηθητικό!$J$2:$N$354,3,FALSE)="","",VLOOKUP(P917,βοηθητικό!$J$2:$N$354,3,FALSE))</f>
        <v>_</v>
      </c>
      <c r="R917" s="44"/>
      <c r="S917" s="5" t="s">
        <v>16</v>
      </c>
      <c r="T917" s="46" t="str">
        <f>IF(VLOOKUP(S917,βοηθητικό!$J$2:$N$354,3,FALSE)="","",VLOOKUP(S917,βοηθητικό!$J$2:$N$354,3,FALSE))</f>
        <v>_</v>
      </c>
      <c r="U917" s="47"/>
      <c r="V917" s="4" t="s">
        <v>16</v>
      </c>
      <c r="W917" s="43" t="str">
        <f>IF(VLOOKUP(V917,βοηθητικό!$J$2:$N$354,3,FALSE)="","",VLOOKUP(V917,βοηθητικό!$J$2:$N$354,3,FALSE))</f>
        <v>_</v>
      </c>
      <c r="X917" s="44"/>
      <c r="Y917" s="5" t="s">
        <v>16</v>
      </c>
      <c r="Z917" s="46" t="str">
        <f>IF(VLOOKUP(Y917,βοηθητικό!$J$2:$N$354,3,FALSE)="","",VLOOKUP(Y917,βοηθητικό!$J$2:$N$354,3,FALSE))</f>
        <v>_</v>
      </c>
      <c r="AA917" s="47"/>
      <c r="AB917" s="4" t="s">
        <v>16</v>
      </c>
      <c r="AC917" s="43" t="str">
        <f>IF(VLOOKUP(AB917,βοηθητικό!$J$2:$N$354,3,FALSE)="","",VLOOKUP(AB917,βοηθητικό!$J$2:$N$354,3,FALSE))</f>
        <v>_</v>
      </c>
      <c r="AD917" s="44"/>
      <c r="AE917" s="5" t="s">
        <v>16</v>
      </c>
      <c r="AF917" s="46" t="str">
        <f>IF(VLOOKUP(AE917,βοηθητικό!$J$2:$N$354,3,FALSE)="","",VLOOKUP(AE917,βοηθητικό!$J$2:$N$354,3,FALSE))</f>
        <v>_</v>
      </c>
      <c r="AG917" s="47"/>
      <c r="AH917" s="4" t="s">
        <v>16</v>
      </c>
      <c r="AI917" s="43" t="str">
        <f>IF(VLOOKUP(AH917,βοηθητικό!$J$2:$N$354,3,FALSE)="","",VLOOKUP(AH917,βοηθητικό!$J$2:$N$354,3,FALSE))</f>
        <v>_</v>
      </c>
      <c r="AJ917" s="44"/>
      <c r="AK917" s="5" t="s">
        <v>16</v>
      </c>
      <c r="AL917" s="46" t="str">
        <f>IF(VLOOKUP(AK917,βοηθητικό!$J$2:$N$354,3,FALSE)="","",VLOOKUP(AK917,βοηθητικό!$J$2:$N$354,3,FALSE))</f>
        <v>_</v>
      </c>
      <c r="AM917" s="47"/>
      <c r="AN917" s="4" t="s">
        <v>16</v>
      </c>
      <c r="AO917" s="43" t="str">
        <f>IF(VLOOKUP(AN917,βοηθητικό!$J$2:$N$354,3,FALSE)="","",VLOOKUP(AN917,βοηθητικό!$J$2:$N$354,3,FALSE))</f>
        <v>_</v>
      </c>
      <c r="AP917" s="44"/>
      <c r="AQ917" s="5" t="s">
        <v>16</v>
      </c>
      <c r="AR917" s="46" t="str">
        <f>IF(VLOOKUP(AQ917,βοηθητικό!$J$2:$N$354,3,FALSE)="","",VLOOKUP(AQ917,βοηθητικό!$J$2:$N$354,3,FALSE))</f>
        <v>_</v>
      </c>
      <c r="AS917" s="47"/>
      <c r="AT917" s="4" t="s">
        <v>16</v>
      </c>
      <c r="AU917" s="43" t="str">
        <f>IF(VLOOKUP(AT917,βοηθητικό!$J$2:$N$354,3,FALSE)="","",VLOOKUP(AT917,βοηθητικό!$J$2:$N$354,3,FALSE))</f>
        <v>_</v>
      </c>
      <c r="AV917" s="44"/>
      <c r="AW917" s="5" t="s">
        <v>16</v>
      </c>
      <c r="AX917" s="46" t="str">
        <f>IF(VLOOKUP(AW917,βοηθητικό!$J$2:$N$354,3,FALSE)="","",VLOOKUP(AW917,βοηθητικό!$J$2:$N$354,3,FALSE))</f>
        <v>_</v>
      </c>
      <c r="AY917" s="47"/>
      <c r="AZ917" s="4" t="s">
        <v>16</v>
      </c>
      <c r="BA917" s="43" t="str">
        <f>IF(VLOOKUP(AZ917,βοηθητικό!$J$2:$N$354,3,FALSE)="","",VLOOKUP(AZ917,βοηθητικό!$J$2:$N$354,3,FALSE))</f>
        <v>_</v>
      </c>
      <c r="BB917" s="44"/>
      <c r="BC917" s="45" t="s">
        <v>16</v>
      </c>
      <c r="BD917" s="46" t="str">
        <f>IF(VLOOKUP(BC917,βοηθητικό!$J$2:$N$354,3,FALSE)="","",VLOOKUP(BC917,βοηθητικό!$J$2:$N$354,3,FALSE))</f>
        <v>_</v>
      </c>
      <c r="BE917" s="47"/>
      <c r="BF917" s="42" t="s">
        <v>16</v>
      </c>
      <c r="BG917" s="43" t="str">
        <f>IF(VLOOKUP(BF917,βοηθητικό!$J$2:$N$354,3,FALSE)="","",VLOOKUP(BF917,βοηθητικό!$J$2:$N$354,3,FALSE))</f>
        <v>_</v>
      </c>
      <c r="BH917" s="44"/>
      <c r="BI917" s="45" t="s">
        <v>16</v>
      </c>
      <c r="BJ917" s="46" t="str">
        <f>IF(VLOOKUP(BI917,βοηθητικό!$J$2:$N$354,3,FALSE)="","",VLOOKUP(BI917,βοηθητικό!$J$2:$N$354,3,FALSE))</f>
        <v>_</v>
      </c>
      <c r="BK917" s="47"/>
      <c r="BL917" s="42" t="s">
        <v>16</v>
      </c>
      <c r="BM917" s="43" t="str">
        <f>IF(VLOOKUP(BL917,βοηθητικό!$J$2:$N$354,3,FALSE)="","",VLOOKUP(BL917,βοηθητικό!$J$2:$N$354,3,FALSE))</f>
        <v>_</v>
      </c>
      <c r="BN917" s="44"/>
      <c r="BO917" s="45" t="s">
        <v>16</v>
      </c>
      <c r="BP917" s="46" t="str">
        <f>IF(VLOOKUP(BO917,βοηθητικό!$J$2:$N$354,3,FALSE)="","",VLOOKUP(BO917,βοηθητικό!$J$2:$N$354,3,FALSE))</f>
        <v>_</v>
      </c>
      <c r="BQ917" s="47"/>
      <c r="BR917" s="42" t="s">
        <v>16</v>
      </c>
      <c r="BS917" s="43" t="str">
        <f>IF(VLOOKUP(BR917,βοηθητικό!$J$2:$N$354,3,FALSE)="","",VLOOKUP(BR917,βοηθητικό!$J$2:$N$354,3,FALSE))</f>
        <v>_</v>
      </c>
      <c r="BT917" s="44"/>
      <c r="BU917" s="45" t="s">
        <v>16</v>
      </c>
      <c r="BV917" s="46" t="str">
        <f>IF(VLOOKUP(BU917,βοηθητικό!$J$2:$N$354,3,FALSE)="","",VLOOKUP(BU917,βοηθητικό!$J$2:$N$354,3,FALSE))</f>
        <v>_</v>
      </c>
      <c r="BW917" s="47"/>
      <c r="BX917" s="42" t="s">
        <v>16</v>
      </c>
      <c r="BY917" s="43" t="str">
        <f>IF(VLOOKUP(BX917,βοηθητικό!$J$2:$N$354,3,FALSE)="","",VLOOKUP(BX917,βοηθητικό!$J$2:$N$354,3,FALSE))</f>
        <v>_</v>
      </c>
      <c r="BZ917" s="44"/>
      <c r="CA917" s="45" t="s">
        <v>16</v>
      </c>
      <c r="CB917" s="46" t="str">
        <f>IF(VLOOKUP(CA917,βοηθητικό!$J$2:$N$354,3,FALSE)="","",VLOOKUP(CA917,βοηθητικό!$J$2:$N$354,3,FALSE))</f>
        <v>_</v>
      </c>
      <c r="CC917" s="47"/>
      <c r="CD917" s="42" t="s">
        <v>16</v>
      </c>
      <c r="CE917" s="43" t="str">
        <f>IF(VLOOKUP(CD917,βοηθητικό!$J$2:$N$354,3,FALSE)="","",VLOOKUP(CD917,βοηθητικό!$J$2:$N$354,3,FALSE))</f>
        <v>_</v>
      </c>
      <c r="CF917" s="44"/>
      <c r="CG917" s="45" t="s">
        <v>16</v>
      </c>
      <c r="CH917" s="46" t="str">
        <f>IF(VLOOKUP(CG917,βοηθητικό!$J$2:$N$354,3,FALSE)="","",VLOOKUP(CG917,βοηθητικό!$J$2:$N$354,3,FALSE))</f>
        <v>_</v>
      </c>
      <c r="CI917" s="47"/>
      <c r="CJ917" s="42" t="s">
        <v>16</v>
      </c>
      <c r="CK917" s="43" t="str">
        <f>IF(VLOOKUP(CJ917,βοηθητικό!$J$2:$N$354,3,FALSE)="","",VLOOKUP(CJ917,βοηθητικό!$J$2:$N$354,3,FALSE))</f>
        <v>_</v>
      </c>
      <c r="CL917" s="44"/>
      <c r="CM917" s="45" t="s">
        <v>16</v>
      </c>
      <c r="CN917" s="46" t="str">
        <f>IF(VLOOKUP(CM917,βοηθητικό!$J$2:$N$354,3,FALSE)="","",VLOOKUP(CM917,βοηθητικό!$J$2:$N$354,3,FALSE))</f>
        <v>_</v>
      </c>
      <c r="CO917" s="47"/>
      <c r="CP917" s="42" t="s">
        <v>16</v>
      </c>
      <c r="CQ917" s="43" t="str">
        <f>IF(VLOOKUP(CP917,βοηθητικό!$J$2:$N$354,3,FALSE)="","",VLOOKUP(CP917,βοηθητικό!$J$2:$N$354,3,FALSE))</f>
        <v>_</v>
      </c>
      <c r="CR917" s="44"/>
      <c r="CS917" s="45" t="s">
        <v>16</v>
      </c>
      <c r="CT917" s="46" t="str">
        <f>IF(VLOOKUP(CS917,βοηθητικό!$J$2:$N$354,3,FALSE)="","",VLOOKUP(CS917,βοηθητικό!$J$2:$N$354,3,FALSE))</f>
        <v>_</v>
      </c>
      <c r="CU917" s="47"/>
    </row>
    <row r="918" spans="1:99" x14ac:dyDescent="0.25">
      <c r="A918" s="37">
        <f>--SUBTOTAL(3,$B$3:B917)</f>
        <v>198</v>
      </c>
      <c r="B918" s="2"/>
      <c r="C918" s="3"/>
      <c r="D918" s="55" t="s">
        <v>18</v>
      </c>
      <c r="E918" s="38" t="s">
        <v>16</v>
      </c>
      <c r="F918" s="38"/>
      <c r="G918" s="39" t="str">
        <f t="shared" si="44"/>
        <v>__</v>
      </c>
      <c r="H918" s="40" t="str">
        <f t="shared" si="45"/>
        <v>FALSE</v>
      </c>
      <c r="I918" s="41">
        <f t="shared" si="46"/>
        <v>0</v>
      </c>
      <c r="J918" s="4" t="s">
        <v>16</v>
      </c>
      <c r="K918" s="43" t="str">
        <f>IF(VLOOKUP(J918,βοηθητικό!$J$2:$N$354,3,FALSE)="","",VLOOKUP(J918,βοηθητικό!$J$2:$N$354,3,FALSE))</f>
        <v>_</v>
      </c>
      <c r="L918" s="44"/>
      <c r="M918" s="5" t="s">
        <v>16</v>
      </c>
      <c r="N918" s="46" t="str">
        <f>IF(VLOOKUP(M918,βοηθητικό!$J$2:$N$354,3,FALSE)="","",VLOOKUP(M918,βοηθητικό!$J$2:$N$354,3,FALSE))</f>
        <v>_</v>
      </c>
      <c r="O918" s="47"/>
      <c r="P918" s="4" t="s">
        <v>16</v>
      </c>
      <c r="Q918" s="43" t="str">
        <f>IF(VLOOKUP(P918,βοηθητικό!$J$2:$N$354,3,FALSE)="","",VLOOKUP(P918,βοηθητικό!$J$2:$N$354,3,FALSE))</f>
        <v>_</v>
      </c>
      <c r="R918" s="44"/>
      <c r="S918" s="5" t="s">
        <v>16</v>
      </c>
      <c r="T918" s="46" t="str">
        <f>IF(VLOOKUP(S918,βοηθητικό!$J$2:$N$354,3,FALSE)="","",VLOOKUP(S918,βοηθητικό!$J$2:$N$354,3,FALSE))</f>
        <v>_</v>
      </c>
      <c r="U918" s="47"/>
      <c r="V918" s="4" t="s">
        <v>16</v>
      </c>
      <c r="W918" s="43" t="str">
        <f>IF(VLOOKUP(V918,βοηθητικό!$J$2:$N$354,3,FALSE)="","",VLOOKUP(V918,βοηθητικό!$J$2:$N$354,3,FALSE))</f>
        <v>_</v>
      </c>
      <c r="X918" s="44"/>
      <c r="Y918" s="5" t="s">
        <v>16</v>
      </c>
      <c r="Z918" s="46" t="str">
        <f>IF(VLOOKUP(Y918,βοηθητικό!$J$2:$N$354,3,FALSE)="","",VLOOKUP(Y918,βοηθητικό!$J$2:$N$354,3,FALSE))</f>
        <v>_</v>
      </c>
      <c r="AA918" s="47"/>
      <c r="AB918" s="4" t="s">
        <v>16</v>
      </c>
      <c r="AC918" s="43" t="str">
        <f>IF(VLOOKUP(AB918,βοηθητικό!$J$2:$N$354,3,FALSE)="","",VLOOKUP(AB918,βοηθητικό!$J$2:$N$354,3,FALSE))</f>
        <v>_</v>
      </c>
      <c r="AD918" s="44"/>
      <c r="AE918" s="5" t="s">
        <v>16</v>
      </c>
      <c r="AF918" s="46" t="str">
        <f>IF(VLOOKUP(AE918,βοηθητικό!$J$2:$N$354,3,FALSE)="","",VLOOKUP(AE918,βοηθητικό!$J$2:$N$354,3,FALSE))</f>
        <v>_</v>
      </c>
      <c r="AG918" s="47"/>
      <c r="AH918" s="4" t="s">
        <v>16</v>
      </c>
      <c r="AI918" s="43" t="str">
        <f>IF(VLOOKUP(AH918,βοηθητικό!$J$2:$N$354,3,FALSE)="","",VLOOKUP(AH918,βοηθητικό!$J$2:$N$354,3,FALSE))</f>
        <v>_</v>
      </c>
      <c r="AJ918" s="44"/>
      <c r="AK918" s="5" t="s">
        <v>16</v>
      </c>
      <c r="AL918" s="46" t="str">
        <f>IF(VLOOKUP(AK918,βοηθητικό!$J$2:$N$354,3,FALSE)="","",VLOOKUP(AK918,βοηθητικό!$J$2:$N$354,3,FALSE))</f>
        <v>_</v>
      </c>
      <c r="AM918" s="47"/>
      <c r="AN918" s="4" t="s">
        <v>16</v>
      </c>
      <c r="AO918" s="43" t="str">
        <f>IF(VLOOKUP(AN918,βοηθητικό!$J$2:$N$354,3,FALSE)="","",VLOOKUP(AN918,βοηθητικό!$J$2:$N$354,3,FALSE))</f>
        <v>_</v>
      </c>
      <c r="AP918" s="44"/>
      <c r="AQ918" s="5" t="s">
        <v>16</v>
      </c>
      <c r="AR918" s="46" t="str">
        <f>IF(VLOOKUP(AQ918,βοηθητικό!$J$2:$N$354,3,FALSE)="","",VLOOKUP(AQ918,βοηθητικό!$J$2:$N$354,3,FALSE))</f>
        <v>_</v>
      </c>
      <c r="AS918" s="47"/>
      <c r="AT918" s="4" t="s">
        <v>16</v>
      </c>
      <c r="AU918" s="43" t="str">
        <f>IF(VLOOKUP(AT918,βοηθητικό!$J$2:$N$354,3,FALSE)="","",VLOOKUP(AT918,βοηθητικό!$J$2:$N$354,3,FALSE))</f>
        <v>_</v>
      </c>
      <c r="AV918" s="44"/>
      <c r="AW918" s="5" t="s">
        <v>16</v>
      </c>
      <c r="AX918" s="46" t="str">
        <f>IF(VLOOKUP(AW918,βοηθητικό!$J$2:$N$354,3,FALSE)="","",VLOOKUP(AW918,βοηθητικό!$J$2:$N$354,3,FALSE))</f>
        <v>_</v>
      </c>
      <c r="AY918" s="47"/>
      <c r="AZ918" s="4" t="s">
        <v>16</v>
      </c>
      <c r="BA918" s="43" t="str">
        <f>IF(VLOOKUP(AZ918,βοηθητικό!$J$2:$N$354,3,FALSE)="","",VLOOKUP(AZ918,βοηθητικό!$J$2:$N$354,3,FALSE))</f>
        <v>_</v>
      </c>
      <c r="BB918" s="44"/>
      <c r="BC918" s="45" t="s">
        <v>16</v>
      </c>
      <c r="BD918" s="46" t="str">
        <f>IF(VLOOKUP(BC918,βοηθητικό!$J$2:$N$354,3,FALSE)="","",VLOOKUP(BC918,βοηθητικό!$J$2:$N$354,3,FALSE))</f>
        <v>_</v>
      </c>
      <c r="BE918" s="47"/>
      <c r="BF918" s="42" t="s">
        <v>16</v>
      </c>
      <c r="BG918" s="43" t="str">
        <f>IF(VLOOKUP(BF918,βοηθητικό!$J$2:$N$354,3,FALSE)="","",VLOOKUP(BF918,βοηθητικό!$J$2:$N$354,3,FALSE))</f>
        <v>_</v>
      </c>
      <c r="BH918" s="44"/>
      <c r="BI918" s="45" t="s">
        <v>16</v>
      </c>
      <c r="BJ918" s="46" t="str">
        <f>IF(VLOOKUP(BI918,βοηθητικό!$J$2:$N$354,3,FALSE)="","",VLOOKUP(BI918,βοηθητικό!$J$2:$N$354,3,FALSE))</f>
        <v>_</v>
      </c>
      <c r="BK918" s="47"/>
      <c r="BL918" s="42" t="s">
        <v>16</v>
      </c>
      <c r="BM918" s="43" t="str">
        <f>IF(VLOOKUP(BL918,βοηθητικό!$J$2:$N$354,3,FALSE)="","",VLOOKUP(BL918,βοηθητικό!$J$2:$N$354,3,FALSE))</f>
        <v>_</v>
      </c>
      <c r="BN918" s="44"/>
      <c r="BO918" s="45" t="s">
        <v>16</v>
      </c>
      <c r="BP918" s="46" t="str">
        <f>IF(VLOOKUP(BO918,βοηθητικό!$J$2:$N$354,3,FALSE)="","",VLOOKUP(BO918,βοηθητικό!$J$2:$N$354,3,FALSE))</f>
        <v>_</v>
      </c>
      <c r="BQ918" s="47"/>
      <c r="BR918" s="42" t="s">
        <v>16</v>
      </c>
      <c r="BS918" s="43" t="str">
        <f>IF(VLOOKUP(BR918,βοηθητικό!$J$2:$N$354,3,FALSE)="","",VLOOKUP(BR918,βοηθητικό!$J$2:$N$354,3,FALSE))</f>
        <v>_</v>
      </c>
      <c r="BT918" s="44"/>
      <c r="BU918" s="45" t="s">
        <v>16</v>
      </c>
      <c r="BV918" s="46" t="str">
        <f>IF(VLOOKUP(BU918,βοηθητικό!$J$2:$N$354,3,FALSE)="","",VLOOKUP(BU918,βοηθητικό!$J$2:$N$354,3,FALSE))</f>
        <v>_</v>
      </c>
      <c r="BW918" s="47"/>
      <c r="BX918" s="42" t="s">
        <v>16</v>
      </c>
      <c r="BY918" s="43" t="str">
        <f>IF(VLOOKUP(BX918,βοηθητικό!$J$2:$N$354,3,FALSE)="","",VLOOKUP(BX918,βοηθητικό!$J$2:$N$354,3,FALSE))</f>
        <v>_</v>
      </c>
      <c r="BZ918" s="44"/>
      <c r="CA918" s="45" t="s">
        <v>16</v>
      </c>
      <c r="CB918" s="46" t="str">
        <f>IF(VLOOKUP(CA918,βοηθητικό!$J$2:$N$354,3,FALSE)="","",VLOOKUP(CA918,βοηθητικό!$J$2:$N$354,3,FALSE))</f>
        <v>_</v>
      </c>
      <c r="CC918" s="47"/>
      <c r="CD918" s="42" t="s">
        <v>16</v>
      </c>
      <c r="CE918" s="43" t="str">
        <f>IF(VLOOKUP(CD918,βοηθητικό!$J$2:$N$354,3,FALSE)="","",VLOOKUP(CD918,βοηθητικό!$J$2:$N$354,3,FALSE))</f>
        <v>_</v>
      </c>
      <c r="CF918" s="44"/>
      <c r="CG918" s="45" t="s">
        <v>16</v>
      </c>
      <c r="CH918" s="46" t="str">
        <f>IF(VLOOKUP(CG918,βοηθητικό!$J$2:$N$354,3,FALSE)="","",VLOOKUP(CG918,βοηθητικό!$J$2:$N$354,3,FALSE))</f>
        <v>_</v>
      </c>
      <c r="CI918" s="47"/>
      <c r="CJ918" s="42" t="s">
        <v>16</v>
      </c>
      <c r="CK918" s="43" t="str">
        <f>IF(VLOOKUP(CJ918,βοηθητικό!$J$2:$N$354,3,FALSE)="","",VLOOKUP(CJ918,βοηθητικό!$J$2:$N$354,3,FALSE))</f>
        <v>_</v>
      </c>
      <c r="CL918" s="44"/>
      <c r="CM918" s="45" t="s">
        <v>16</v>
      </c>
      <c r="CN918" s="46" t="str">
        <f>IF(VLOOKUP(CM918,βοηθητικό!$J$2:$N$354,3,FALSE)="","",VLOOKUP(CM918,βοηθητικό!$J$2:$N$354,3,FALSE))</f>
        <v>_</v>
      </c>
      <c r="CO918" s="47"/>
      <c r="CP918" s="42" t="s">
        <v>16</v>
      </c>
      <c r="CQ918" s="43" t="str">
        <f>IF(VLOOKUP(CP918,βοηθητικό!$J$2:$N$354,3,FALSE)="","",VLOOKUP(CP918,βοηθητικό!$J$2:$N$354,3,FALSE))</f>
        <v>_</v>
      </c>
      <c r="CR918" s="44"/>
      <c r="CS918" s="45" t="s">
        <v>16</v>
      </c>
      <c r="CT918" s="46" t="str">
        <f>IF(VLOOKUP(CS918,βοηθητικό!$J$2:$N$354,3,FALSE)="","",VLOOKUP(CS918,βοηθητικό!$J$2:$N$354,3,FALSE))</f>
        <v>_</v>
      </c>
      <c r="CU918" s="47"/>
    </row>
    <row r="919" spans="1:99" x14ac:dyDescent="0.25">
      <c r="A919" s="37">
        <f>--SUBTOTAL(3,$B$3:B918)</f>
        <v>198</v>
      </c>
      <c r="B919" s="2"/>
      <c r="C919" s="3"/>
      <c r="D919" s="55" t="s">
        <v>18</v>
      </c>
      <c r="E919" s="38" t="s">
        <v>16</v>
      </c>
      <c r="F919" s="38"/>
      <c r="G919" s="39" t="str">
        <f t="shared" si="44"/>
        <v>__</v>
      </c>
      <c r="H919" s="40" t="str">
        <f t="shared" si="45"/>
        <v>FALSE</v>
      </c>
      <c r="I919" s="41">
        <f t="shared" si="46"/>
        <v>0</v>
      </c>
      <c r="J919" s="4" t="s">
        <v>16</v>
      </c>
      <c r="K919" s="43" t="str">
        <f>IF(VLOOKUP(J919,βοηθητικό!$J$2:$N$354,3,FALSE)="","",VLOOKUP(J919,βοηθητικό!$J$2:$N$354,3,FALSE))</f>
        <v>_</v>
      </c>
      <c r="L919" s="44"/>
      <c r="M919" s="5" t="s">
        <v>16</v>
      </c>
      <c r="N919" s="46" t="str">
        <f>IF(VLOOKUP(M919,βοηθητικό!$J$2:$N$354,3,FALSE)="","",VLOOKUP(M919,βοηθητικό!$J$2:$N$354,3,FALSE))</f>
        <v>_</v>
      </c>
      <c r="O919" s="47"/>
      <c r="P919" s="4" t="s">
        <v>16</v>
      </c>
      <c r="Q919" s="43" t="str">
        <f>IF(VLOOKUP(P919,βοηθητικό!$J$2:$N$354,3,FALSE)="","",VLOOKUP(P919,βοηθητικό!$J$2:$N$354,3,FALSE))</f>
        <v>_</v>
      </c>
      <c r="R919" s="44"/>
      <c r="S919" s="5" t="s">
        <v>16</v>
      </c>
      <c r="T919" s="46" t="str">
        <f>IF(VLOOKUP(S919,βοηθητικό!$J$2:$N$354,3,FALSE)="","",VLOOKUP(S919,βοηθητικό!$J$2:$N$354,3,FALSE))</f>
        <v>_</v>
      </c>
      <c r="U919" s="47"/>
      <c r="V919" s="4" t="s">
        <v>16</v>
      </c>
      <c r="W919" s="43" t="str">
        <f>IF(VLOOKUP(V919,βοηθητικό!$J$2:$N$354,3,FALSE)="","",VLOOKUP(V919,βοηθητικό!$J$2:$N$354,3,FALSE))</f>
        <v>_</v>
      </c>
      <c r="X919" s="44"/>
      <c r="Y919" s="5" t="s">
        <v>16</v>
      </c>
      <c r="Z919" s="46" t="str">
        <f>IF(VLOOKUP(Y919,βοηθητικό!$J$2:$N$354,3,FALSE)="","",VLOOKUP(Y919,βοηθητικό!$J$2:$N$354,3,FALSE))</f>
        <v>_</v>
      </c>
      <c r="AA919" s="47"/>
      <c r="AB919" s="4" t="s">
        <v>16</v>
      </c>
      <c r="AC919" s="43" t="str">
        <f>IF(VLOOKUP(AB919,βοηθητικό!$J$2:$N$354,3,FALSE)="","",VLOOKUP(AB919,βοηθητικό!$J$2:$N$354,3,FALSE))</f>
        <v>_</v>
      </c>
      <c r="AD919" s="44"/>
      <c r="AE919" s="5" t="s">
        <v>16</v>
      </c>
      <c r="AF919" s="46" t="str">
        <f>IF(VLOOKUP(AE919,βοηθητικό!$J$2:$N$354,3,FALSE)="","",VLOOKUP(AE919,βοηθητικό!$J$2:$N$354,3,FALSE))</f>
        <v>_</v>
      </c>
      <c r="AG919" s="47"/>
      <c r="AH919" s="4" t="s">
        <v>16</v>
      </c>
      <c r="AI919" s="43" t="str">
        <f>IF(VLOOKUP(AH919,βοηθητικό!$J$2:$N$354,3,FALSE)="","",VLOOKUP(AH919,βοηθητικό!$J$2:$N$354,3,FALSE))</f>
        <v>_</v>
      </c>
      <c r="AJ919" s="44"/>
      <c r="AK919" s="5" t="s">
        <v>16</v>
      </c>
      <c r="AL919" s="46" t="str">
        <f>IF(VLOOKUP(AK919,βοηθητικό!$J$2:$N$354,3,FALSE)="","",VLOOKUP(AK919,βοηθητικό!$J$2:$N$354,3,FALSE))</f>
        <v>_</v>
      </c>
      <c r="AM919" s="47"/>
      <c r="AN919" s="4" t="s">
        <v>16</v>
      </c>
      <c r="AO919" s="43" t="str">
        <f>IF(VLOOKUP(AN919,βοηθητικό!$J$2:$N$354,3,FALSE)="","",VLOOKUP(AN919,βοηθητικό!$J$2:$N$354,3,FALSE))</f>
        <v>_</v>
      </c>
      <c r="AP919" s="44"/>
      <c r="AQ919" s="5" t="s">
        <v>16</v>
      </c>
      <c r="AR919" s="46" t="str">
        <f>IF(VLOOKUP(AQ919,βοηθητικό!$J$2:$N$354,3,FALSE)="","",VLOOKUP(AQ919,βοηθητικό!$J$2:$N$354,3,FALSE))</f>
        <v>_</v>
      </c>
      <c r="AS919" s="47"/>
      <c r="AT919" s="4" t="s">
        <v>16</v>
      </c>
      <c r="AU919" s="43" t="str">
        <f>IF(VLOOKUP(AT919,βοηθητικό!$J$2:$N$354,3,FALSE)="","",VLOOKUP(AT919,βοηθητικό!$J$2:$N$354,3,FALSE))</f>
        <v>_</v>
      </c>
      <c r="AV919" s="44"/>
      <c r="AW919" s="5" t="s">
        <v>16</v>
      </c>
      <c r="AX919" s="46" t="str">
        <f>IF(VLOOKUP(AW919,βοηθητικό!$J$2:$N$354,3,FALSE)="","",VLOOKUP(AW919,βοηθητικό!$J$2:$N$354,3,FALSE))</f>
        <v>_</v>
      </c>
      <c r="AY919" s="47"/>
      <c r="AZ919" s="4" t="s">
        <v>16</v>
      </c>
      <c r="BA919" s="43" t="str">
        <f>IF(VLOOKUP(AZ919,βοηθητικό!$J$2:$N$354,3,FALSE)="","",VLOOKUP(AZ919,βοηθητικό!$J$2:$N$354,3,FALSE))</f>
        <v>_</v>
      </c>
      <c r="BB919" s="44"/>
      <c r="BC919" s="45" t="s">
        <v>16</v>
      </c>
      <c r="BD919" s="46" t="str">
        <f>IF(VLOOKUP(BC919,βοηθητικό!$J$2:$N$354,3,FALSE)="","",VLOOKUP(BC919,βοηθητικό!$J$2:$N$354,3,FALSE))</f>
        <v>_</v>
      </c>
      <c r="BE919" s="47"/>
      <c r="BF919" s="42" t="s">
        <v>16</v>
      </c>
      <c r="BG919" s="43" t="str">
        <f>IF(VLOOKUP(BF919,βοηθητικό!$J$2:$N$354,3,FALSE)="","",VLOOKUP(BF919,βοηθητικό!$J$2:$N$354,3,FALSE))</f>
        <v>_</v>
      </c>
      <c r="BH919" s="44"/>
      <c r="BI919" s="45" t="s">
        <v>16</v>
      </c>
      <c r="BJ919" s="46" t="str">
        <f>IF(VLOOKUP(BI919,βοηθητικό!$J$2:$N$354,3,FALSE)="","",VLOOKUP(BI919,βοηθητικό!$J$2:$N$354,3,FALSE))</f>
        <v>_</v>
      </c>
      <c r="BK919" s="47"/>
      <c r="BL919" s="42" t="s">
        <v>16</v>
      </c>
      <c r="BM919" s="43" t="str">
        <f>IF(VLOOKUP(BL919,βοηθητικό!$J$2:$N$354,3,FALSE)="","",VLOOKUP(BL919,βοηθητικό!$J$2:$N$354,3,FALSE))</f>
        <v>_</v>
      </c>
      <c r="BN919" s="44"/>
      <c r="BO919" s="45" t="s">
        <v>16</v>
      </c>
      <c r="BP919" s="46" t="str">
        <f>IF(VLOOKUP(BO919,βοηθητικό!$J$2:$N$354,3,FALSE)="","",VLOOKUP(BO919,βοηθητικό!$J$2:$N$354,3,FALSE))</f>
        <v>_</v>
      </c>
      <c r="BQ919" s="47"/>
      <c r="BR919" s="42" t="s">
        <v>16</v>
      </c>
      <c r="BS919" s="43" t="str">
        <f>IF(VLOOKUP(BR919,βοηθητικό!$J$2:$N$354,3,FALSE)="","",VLOOKUP(BR919,βοηθητικό!$J$2:$N$354,3,FALSE))</f>
        <v>_</v>
      </c>
      <c r="BT919" s="44"/>
      <c r="BU919" s="45" t="s">
        <v>16</v>
      </c>
      <c r="BV919" s="46" t="str">
        <f>IF(VLOOKUP(BU919,βοηθητικό!$J$2:$N$354,3,FALSE)="","",VLOOKUP(BU919,βοηθητικό!$J$2:$N$354,3,FALSE))</f>
        <v>_</v>
      </c>
      <c r="BW919" s="47"/>
      <c r="BX919" s="42" t="s">
        <v>16</v>
      </c>
      <c r="BY919" s="43" t="str">
        <f>IF(VLOOKUP(BX919,βοηθητικό!$J$2:$N$354,3,FALSE)="","",VLOOKUP(BX919,βοηθητικό!$J$2:$N$354,3,FALSE))</f>
        <v>_</v>
      </c>
      <c r="BZ919" s="44"/>
      <c r="CA919" s="45" t="s">
        <v>16</v>
      </c>
      <c r="CB919" s="46" t="str">
        <f>IF(VLOOKUP(CA919,βοηθητικό!$J$2:$N$354,3,FALSE)="","",VLOOKUP(CA919,βοηθητικό!$J$2:$N$354,3,FALSE))</f>
        <v>_</v>
      </c>
      <c r="CC919" s="47"/>
      <c r="CD919" s="42" t="s">
        <v>16</v>
      </c>
      <c r="CE919" s="43" t="str">
        <f>IF(VLOOKUP(CD919,βοηθητικό!$J$2:$N$354,3,FALSE)="","",VLOOKUP(CD919,βοηθητικό!$J$2:$N$354,3,FALSE))</f>
        <v>_</v>
      </c>
      <c r="CF919" s="44"/>
      <c r="CG919" s="45" t="s">
        <v>16</v>
      </c>
      <c r="CH919" s="46" t="str">
        <f>IF(VLOOKUP(CG919,βοηθητικό!$J$2:$N$354,3,FALSE)="","",VLOOKUP(CG919,βοηθητικό!$J$2:$N$354,3,FALSE))</f>
        <v>_</v>
      </c>
      <c r="CI919" s="47"/>
      <c r="CJ919" s="42" t="s">
        <v>16</v>
      </c>
      <c r="CK919" s="43" t="str">
        <f>IF(VLOOKUP(CJ919,βοηθητικό!$J$2:$N$354,3,FALSE)="","",VLOOKUP(CJ919,βοηθητικό!$J$2:$N$354,3,FALSE))</f>
        <v>_</v>
      </c>
      <c r="CL919" s="44"/>
      <c r="CM919" s="45" t="s">
        <v>16</v>
      </c>
      <c r="CN919" s="46" t="str">
        <f>IF(VLOOKUP(CM919,βοηθητικό!$J$2:$N$354,3,FALSE)="","",VLOOKUP(CM919,βοηθητικό!$J$2:$N$354,3,FALSE))</f>
        <v>_</v>
      </c>
      <c r="CO919" s="47"/>
      <c r="CP919" s="42" t="s">
        <v>16</v>
      </c>
      <c r="CQ919" s="43" t="str">
        <f>IF(VLOOKUP(CP919,βοηθητικό!$J$2:$N$354,3,FALSE)="","",VLOOKUP(CP919,βοηθητικό!$J$2:$N$354,3,FALSE))</f>
        <v>_</v>
      </c>
      <c r="CR919" s="44"/>
      <c r="CS919" s="45" t="s">
        <v>16</v>
      </c>
      <c r="CT919" s="46" t="str">
        <f>IF(VLOOKUP(CS919,βοηθητικό!$J$2:$N$354,3,FALSE)="","",VLOOKUP(CS919,βοηθητικό!$J$2:$N$354,3,FALSE))</f>
        <v>_</v>
      </c>
      <c r="CU919" s="47"/>
    </row>
    <row r="920" spans="1:99" x14ac:dyDescent="0.25">
      <c r="A920" s="37">
        <f>--SUBTOTAL(3,$B$3:B919)</f>
        <v>198</v>
      </c>
      <c r="B920" s="2"/>
      <c r="C920" s="3"/>
      <c r="D920" s="55" t="s">
        <v>18</v>
      </c>
      <c r="E920" s="38" t="s">
        <v>16</v>
      </c>
      <c r="F920" s="38"/>
      <c r="G920" s="39" t="str">
        <f t="shared" si="44"/>
        <v>__</v>
      </c>
      <c r="H920" s="40" t="str">
        <f t="shared" si="45"/>
        <v>FALSE</v>
      </c>
      <c r="I920" s="41">
        <f t="shared" si="46"/>
        <v>0</v>
      </c>
      <c r="J920" s="4" t="s">
        <v>16</v>
      </c>
      <c r="K920" s="43" t="str">
        <f>IF(VLOOKUP(J920,βοηθητικό!$J$2:$N$354,3,FALSE)="","",VLOOKUP(J920,βοηθητικό!$J$2:$N$354,3,FALSE))</f>
        <v>_</v>
      </c>
      <c r="L920" s="44"/>
      <c r="M920" s="5" t="s">
        <v>16</v>
      </c>
      <c r="N920" s="46" t="str">
        <f>IF(VLOOKUP(M920,βοηθητικό!$J$2:$N$354,3,FALSE)="","",VLOOKUP(M920,βοηθητικό!$J$2:$N$354,3,FALSE))</f>
        <v>_</v>
      </c>
      <c r="O920" s="47"/>
      <c r="P920" s="4" t="s">
        <v>16</v>
      </c>
      <c r="Q920" s="43" t="str">
        <f>IF(VLOOKUP(P920,βοηθητικό!$J$2:$N$354,3,FALSE)="","",VLOOKUP(P920,βοηθητικό!$J$2:$N$354,3,FALSE))</f>
        <v>_</v>
      </c>
      <c r="R920" s="44"/>
      <c r="S920" s="5" t="s">
        <v>16</v>
      </c>
      <c r="T920" s="46" t="str">
        <f>IF(VLOOKUP(S920,βοηθητικό!$J$2:$N$354,3,FALSE)="","",VLOOKUP(S920,βοηθητικό!$J$2:$N$354,3,FALSE))</f>
        <v>_</v>
      </c>
      <c r="U920" s="47"/>
      <c r="V920" s="4" t="s">
        <v>16</v>
      </c>
      <c r="W920" s="43" t="str">
        <f>IF(VLOOKUP(V920,βοηθητικό!$J$2:$N$354,3,FALSE)="","",VLOOKUP(V920,βοηθητικό!$J$2:$N$354,3,FALSE))</f>
        <v>_</v>
      </c>
      <c r="X920" s="44"/>
      <c r="Y920" s="5" t="s">
        <v>16</v>
      </c>
      <c r="Z920" s="46" t="str">
        <f>IF(VLOOKUP(Y920,βοηθητικό!$J$2:$N$354,3,FALSE)="","",VLOOKUP(Y920,βοηθητικό!$J$2:$N$354,3,FALSE))</f>
        <v>_</v>
      </c>
      <c r="AA920" s="47"/>
      <c r="AB920" s="4" t="s">
        <v>16</v>
      </c>
      <c r="AC920" s="43" t="str">
        <f>IF(VLOOKUP(AB920,βοηθητικό!$J$2:$N$354,3,FALSE)="","",VLOOKUP(AB920,βοηθητικό!$J$2:$N$354,3,FALSE))</f>
        <v>_</v>
      </c>
      <c r="AD920" s="44"/>
      <c r="AE920" s="5" t="s">
        <v>16</v>
      </c>
      <c r="AF920" s="46" t="str">
        <f>IF(VLOOKUP(AE920,βοηθητικό!$J$2:$N$354,3,FALSE)="","",VLOOKUP(AE920,βοηθητικό!$J$2:$N$354,3,FALSE))</f>
        <v>_</v>
      </c>
      <c r="AG920" s="47"/>
      <c r="AH920" s="4" t="s">
        <v>16</v>
      </c>
      <c r="AI920" s="43" t="str">
        <f>IF(VLOOKUP(AH920,βοηθητικό!$J$2:$N$354,3,FALSE)="","",VLOOKUP(AH920,βοηθητικό!$J$2:$N$354,3,FALSE))</f>
        <v>_</v>
      </c>
      <c r="AJ920" s="44"/>
      <c r="AK920" s="5" t="s">
        <v>16</v>
      </c>
      <c r="AL920" s="46" t="str">
        <f>IF(VLOOKUP(AK920,βοηθητικό!$J$2:$N$354,3,FALSE)="","",VLOOKUP(AK920,βοηθητικό!$J$2:$N$354,3,FALSE))</f>
        <v>_</v>
      </c>
      <c r="AM920" s="47"/>
      <c r="AN920" s="4" t="s">
        <v>16</v>
      </c>
      <c r="AO920" s="43" t="str">
        <f>IF(VLOOKUP(AN920,βοηθητικό!$J$2:$N$354,3,FALSE)="","",VLOOKUP(AN920,βοηθητικό!$J$2:$N$354,3,FALSE))</f>
        <v>_</v>
      </c>
      <c r="AP920" s="44"/>
      <c r="AQ920" s="5" t="s">
        <v>16</v>
      </c>
      <c r="AR920" s="46" t="str">
        <f>IF(VLOOKUP(AQ920,βοηθητικό!$J$2:$N$354,3,FALSE)="","",VLOOKUP(AQ920,βοηθητικό!$J$2:$N$354,3,FALSE))</f>
        <v>_</v>
      </c>
      <c r="AS920" s="47"/>
      <c r="AT920" s="4" t="s">
        <v>16</v>
      </c>
      <c r="AU920" s="43" t="str">
        <f>IF(VLOOKUP(AT920,βοηθητικό!$J$2:$N$354,3,FALSE)="","",VLOOKUP(AT920,βοηθητικό!$J$2:$N$354,3,FALSE))</f>
        <v>_</v>
      </c>
      <c r="AV920" s="44"/>
      <c r="AW920" s="5" t="s">
        <v>16</v>
      </c>
      <c r="AX920" s="46" t="str">
        <f>IF(VLOOKUP(AW920,βοηθητικό!$J$2:$N$354,3,FALSE)="","",VLOOKUP(AW920,βοηθητικό!$J$2:$N$354,3,FALSE))</f>
        <v>_</v>
      </c>
      <c r="AY920" s="47"/>
      <c r="AZ920" s="4" t="s">
        <v>16</v>
      </c>
      <c r="BA920" s="43" t="str">
        <f>IF(VLOOKUP(AZ920,βοηθητικό!$J$2:$N$354,3,FALSE)="","",VLOOKUP(AZ920,βοηθητικό!$J$2:$N$354,3,FALSE))</f>
        <v>_</v>
      </c>
      <c r="BB920" s="44"/>
      <c r="BC920" s="45" t="s">
        <v>16</v>
      </c>
      <c r="BD920" s="46" t="str">
        <f>IF(VLOOKUP(BC920,βοηθητικό!$J$2:$N$354,3,FALSE)="","",VLOOKUP(BC920,βοηθητικό!$J$2:$N$354,3,FALSE))</f>
        <v>_</v>
      </c>
      <c r="BE920" s="47"/>
      <c r="BF920" s="42" t="s">
        <v>16</v>
      </c>
      <c r="BG920" s="43" t="str">
        <f>IF(VLOOKUP(BF920,βοηθητικό!$J$2:$N$354,3,FALSE)="","",VLOOKUP(BF920,βοηθητικό!$J$2:$N$354,3,FALSE))</f>
        <v>_</v>
      </c>
      <c r="BH920" s="44"/>
      <c r="BI920" s="45" t="s">
        <v>16</v>
      </c>
      <c r="BJ920" s="46" t="str">
        <f>IF(VLOOKUP(BI920,βοηθητικό!$J$2:$N$354,3,FALSE)="","",VLOOKUP(BI920,βοηθητικό!$J$2:$N$354,3,FALSE))</f>
        <v>_</v>
      </c>
      <c r="BK920" s="47"/>
      <c r="BL920" s="42" t="s">
        <v>16</v>
      </c>
      <c r="BM920" s="43" t="str">
        <f>IF(VLOOKUP(BL920,βοηθητικό!$J$2:$N$354,3,FALSE)="","",VLOOKUP(BL920,βοηθητικό!$J$2:$N$354,3,FALSE))</f>
        <v>_</v>
      </c>
      <c r="BN920" s="44"/>
      <c r="BO920" s="45" t="s">
        <v>16</v>
      </c>
      <c r="BP920" s="46" t="str">
        <f>IF(VLOOKUP(BO920,βοηθητικό!$J$2:$N$354,3,FALSE)="","",VLOOKUP(BO920,βοηθητικό!$J$2:$N$354,3,FALSE))</f>
        <v>_</v>
      </c>
      <c r="BQ920" s="47"/>
      <c r="BR920" s="42" t="s">
        <v>16</v>
      </c>
      <c r="BS920" s="43" t="str">
        <f>IF(VLOOKUP(BR920,βοηθητικό!$J$2:$N$354,3,FALSE)="","",VLOOKUP(BR920,βοηθητικό!$J$2:$N$354,3,FALSE))</f>
        <v>_</v>
      </c>
      <c r="BT920" s="44"/>
      <c r="BU920" s="45" t="s">
        <v>16</v>
      </c>
      <c r="BV920" s="46" t="str">
        <f>IF(VLOOKUP(BU920,βοηθητικό!$J$2:$N$354,3,FALSE)="","",VLOOKUP(BU920,βοηθητικό!$J$2:$N$354,3,FALSE))</f>
        <v>_</v>
      </c>
      <c r="BW920" s="47"/>
      <c r="BX920" s="42" t="s">
        <v>16</v>
      </c>
      <c r="BY920" s="43" t="str">
        <f>IF(VLOOKUP(BX920,βοηθητικό!$J$2:$N$354,3,FALSE)="","",VLOOKUP(BX920,βοηθητικό!$J$2:$N$354,3,FALSE))</f>
        <v>_</v>
      </c>
      <c r="BZ920" s="44"/>
      <c r="CA920" s="45" t="s">
        <v>16</v>
      </c>
      <c r="CB920" s="46" t="str">
        <f>IF(VLOOKUP(CA920,βοηθητικό!$J$2:$N$354,3,FALSE)="","",VLOOKUP(CA920,βοηθητικό!$J$2:$N$354,3,FALSE))</f>
        <v>_</v>
      </c>
      <c r="CC920" s="47"/>
      <c r="CD920" s="42" t="s">
        <v>16</v>
      </c>
      <c r="CE920" s="43" t="str">
        <f>IF(VLOOKUP(CD920,βοηθητικό!$J$2:$N$354,3,FALSE)="","",VLOOKUP(CD920,βοηθητικό!$J$2:$N$354,3,FALSE))</f>
        <v>_</v>
      </c>
      <c r="CF920" s="44"/>
      <c r="CG920" s="45" t="s">
        <v>16</v>
      </c>
      <c r="CH920" s="46" t="str">
        <f>IF(VLOOKUP(CG920,βοηθητικό!$J$2:$N$354,3,FALSE)="","",VLOOKUP(CG920,βοηθητικό!$J$2:$N$354,3,FALSE))</f>
        <v>_</v>
      </c>
      <c r="CI920" s="47"/>
      <c r="CJ920" s="42" t="s">
        <v>16</v>
      </c>
      <c r="CK920" s="43" t="str">
        <f>IF(VLOOKUP(CJ920,βοηθητικό!$J$2:$N$354,3,FALSE)="","",VLOOKUP(CJ920,βοηθητικό!$J$2:$N$354,3,FALSE))</f>
        <v>_</v>
      </c>
      <c r="CL920" s="44"/>
      <c r="CM920" s="45" t="s">
        <v>16</v>
      </c>
      <c r="CN920" s="46" t="str">
        <f>IF(VLOOKUP(CM920,βοηθητικό!$J$2:$N$354,3,FALSE)="","",VLOOKUP(CM920,βοηθητικό!$J$2:$N$354,3,FALSE))</f>
        <v>_</v>
      </c>
      <c r="CO920" s="47"/>
      <c r="CP920" s="42" t="s">
        <v>16</v>
      </c>
      <c r="CQ920" s="43" t="str">
        <f>IF(VLOOKUP(CP920,βοηθητικό!$J$2:$N$354,3,FALSE)="","",VLOOKUP(CP920,βοηθητικό!$J$2:$N$354,3,FALSE))</f>
        <v>_</v>
      </c>
      <c r="CR920" s="44"/>
      <c r="CS920" s="45" t="s">
        <v>16</v>
      </c>
      <c r="CT920" s="46" t="str">
        <f>IF(VLOOKUP(CS920,βοηθητικό!$J$2:$N$354,3,FALSE)="","",VLOOKUP(CS920,βοηθητικό!$J$2:$N$354,3,FALSE))</f>
        <v>_</v>
      </c>
      <c r="CU920" s="47"/>
    </row>
    <row r="921" spans="1:99" x14ac:dyDescent="0.25">
      <c r="A921" s="37">
        <f>--SUBTOTAL(3,$B$3:B920)</f>
        <v>198</v>
      </c>
      <c r="B921" s="2"/>
      <c r="C921" s="3"/>
      <c r="D921" s="55" t="s">
        <v>18</v>
      </c>
      <c r="E921" s="38" t="s">
        <v>16</v>
      </c>
      <c r="F921" s="38"/>
      <c r="G921" s="39" t="str">
        <f t="shared" si="44"/>
        <v>__</v>
      </c>
      <c r="H921" s="40" t="str">
        <f t="shared" si="45"/>
        <v>FALSE</v>
      </c>
      <c r="I921" s="41">
        <f t="shared" si="46"/>
        <v>0</v>
      </c>
      <c r="J921" s="4" t="s">
        <v>16</v>
      </c>
      <c r="K921" s="43" t="str">
        <f>IF(VLOOKUP(J921,βοηθητικό!$J$2:$N$354,3,FALSE)="","",VLOOKUP(J921,βοηθητικό!$J$2:$N$354,3,FALSE))</f>
        <v>_</v>
      </c>
      <c r="L921" s="44"/>
      <c r="M921" s="5" t="s">
        <v>16</v>
      </c>
      <c r="N921" s="46" t="str">
        <f>IF(VLOOKUP(M921,βοηθητικό!$J$2:$N$354,3,FALSE)="","",VLOOKUP(M921,βοηθητικό!$J$2:$N$354,3,FALSE))</f>
        <v>_</v>
      </c>
      <c r="O921" s="47"/>
      <c r="P921" s="4" t="s">
        <v>16</v>
      </c>
      <c r="Q921" s="43" t="str">
        <f>IF(VLOOKUP(P921,βοηθητικό!$J$2:$N$354,3,FALSE)="","",VLOOKUP(P921,βοηθητικό!$J$2:$N$354,3,FALSE))</f>
        <v>_</v>
      </c>
      <c r="R921" s="44"/>
      <c r="S921" s="5" t="s">
        <v>16</v>
      </c>
      <c r="T921" s="46" t="str">
        <f>IF(VLOOKUP(S921,βοηθητικό!$J$2:$N$354,3,FALSE)="","",VLOOKUP(S921,βοηθητικό!$J$2:$N$354,3,FALSE))</f>
        <v>_</v>
      </c>
      <c r="U921" s="47"/>
      <c r="V921" s="4" t="s">
        <v>16</v>
      </c>
      <c r="W921" s="43" t="str">
        <f>IF(VLOOKUP(V921,βοηθητικό!$J$2:$N$354,3,FALSE)="","",VLOOKUP(V921,βοηθητικό!$J$2:$N$354,3,FALSE))</f>
        <v>_</v>
      </c>
      <c r="X921" s="44"/>
      <c r="Y921" s="5" t="s">
        <v>16</v>
      </c>
      <c r="Z921" s="46" t="str">
        <f>IF(VLOOKUP(Y921,βοηθητικό!$J$2:$N$354,3,FALSE)="","",VLOOKUP(Y921,βοηθητικό!$J$2:$N$354,3,FALSE))</f>
        <v>_</v>
      </c>
      <c r="AA921" s="47"/>
      <c r="AB921" s="4" t="s">
        <v>16</v>
      </c>
      <c r="AC921" s="43" t="str">
        <f>IF(VLOOKUP(AB921,βοηθητικό!$J$2:$N$354,3,FALSE)="","",VLOOKUP(AB921,βοηθητικό!$J$2:$N$354,3,FALSE))</f>
        <v>_</v>
      </c>
      <c r="AD921" s="44"/>
      <c r="AE921" s="5" t="s">
        <v>16</v>
      </c>
      <c r="AF921" s="46" t="str">
        <f>IF(VLOOKUP(AE921,βοηθητικό!$J$2:$N$354,3,FALSE)="","",VLOOKUP(AE921,βοηθητικό!$J$2:$N$354,3,FALSE))</f>
        <v>_</v>
      </c>
      <c r="AG921" s="47"/>
      <c r="AH921" s="4" t="s">
        <v>16</v>
      </c>
      <c r="AI921" s="43" t="str">
        <f>IF(VLOOKUP(AH921,βοηθητικό!$J$2:$N$354,3,FALSE)="","",VLOOKUP(AH921,βοηθητικό!$J$2:$N$354,3,FALSE))</f>
        <v>_</v>
      </c>
      <c r="AJ921" s="44"/>
      <c r="AK921" s="5" t="s">
        <v>16</v>
      </c>
      <c r="AL921" s="46" t="str">
        <f>IF(VLOOKUP(AK921,βοηθητικό!$J$2:$N$354,3,FALSE)="","",VLOOKUP(AK921,βοηθητικό!$J$2:$N$354,3,FALSE))</f>
        <v>_</v>
      </c>
      <c r="AM921" s="47"/>
      <c r="AN921" s="4" t="s">
        <v>16</v>
      </c>
      <c r="AO921" s="43" t="str">
        <f>IF(VLOOKUP(AN921,βοηθητικό!$J$2:$N$354,3,FALSE)="","",VLOOKUP(AN921,βοηθητικό!$J$2:$N$354,3,FALSE))</f>
        <v>_</v>
      </c>
      <c r="AP921" s="44"/>
      <c r="AQ921" s="5" t="s">
        <v>16</v>
      </c>
      <c r="AR921" s="46" t="str">
        <f>IF(VLOOKUP(AQ921,βοηθητικό!$J$2:$N$354,3,FALSE)="","",VLOOKUP(AQ921,βοηθητικό!$J$2:$N$354,3,FALSE))</f>
        <v>_</v>
      </c>
      <c r="AS921" s="47"/>
      <c r="AT921" s="4" t="s">
        <v>16</v>
      </c>
      <c r="AU921" s="43" t="str">
        <f>IF(VLOOKUP(AT921,βοηθητικό!$J$2:$N$354,3,FALSE)="","",VLOOKUP(AT921,βοηθητικό!$J$2:$N$354,3,FALSE))</f>
        <v>_</v>
      </c>
      <c r="AV921" s="44"/>
      <c r="AW921" s="5" t="s">
        <v>16</v>
      </c>
      <c r="AX921" s="46" t="str">
        <f>IF(VLOOKUP(AW921,βοηθητικό!$J$2:$N$354,3,FALSE)="","",VLOOKUP(AW921,βοηθητικό!$J$2:$N$354,3,FALSE))</f>
        <v>_</v>
      </c>
      <c r="AY921" s="47"/>
      <c r="AZ921" s="4" t="s">
        <v>16</v>
      </c>
      <c r="BA921" s="43" t="str">
        <f>IF(VLOOKUP(AZ921,βοηθητικό!$J$2:$N$354,3,FALSE)="","",VLOOKUP(AZ921,βοηθητικό!$J$2:$N$354,3,FALSE))</f>
        <v>_</v>
      </c>
      <c r="BB921" s="44"/>
      <c r="BC921" s="45" t="s">
        <v>16</v>
      </c>
      <c r="BD921" s="46" t="str">
        <f>IF(VLOOKUP(BC921,βοηθητικό!$J$2:$N$354,3,FALSE)="","",VLOOKUP(BC921,βοηθητικό!$J$2:$N$354,3,FALSE))</f>
        <v>_</v>
      </c>
      <c r="BE921" s="47"/>
      <c r="BF921" s="42" t="s">
        <v>16</v>
      </c>
      <c r="BG921" s="43" t="str">
        <f>IF(VLOOKUP(BF921,βοηθητικό!$J$2:$N$354,3,FALSE)="","",VLOOKUP(BF921,βοηθητικό!$J$2:$N$354,3,FALSE))</f>
        <v>_</v>
      </c>
      <c r="BH921" s="44"/>
      <c r="BI921" s="45" t="s">
        <v>16</v>
      </c>
      <c r="BJ921" s="46" t="str">
        <f>IF(VLOOKUP(BI921,βοηθητικό!$J$2:$N$354,3,FALSE)="","",VLOOKUP(BI921,βοηθητικό!$J$2:$N$354,3,FALSE))</f>
        <v>_</v>
      </c>
      <c r="BK921" s="47"/>
      <c r="BL921" s="42" t="s">
        <v>16</v>
      </c>
      <c r="BM921" s="43" t="str">
        <f>IF(VLOOKUP(BL921,βοηθητικό!$J$2:$N$354,3,FALSE)="","",VLOOKUP(BL921,βοηθητικό!$J$2:$N$354,3,FALSE))</f>
        <v>_</v>
      </c>
      <c r="BN921" s="44"/>
      <c r="BO921" s="45" t="s">
        <v>16</v>
      </c>
      <c r="BP921" s="46" t="str">
        <f>IF(VLOOKUP(BO921,βοηθητικό!$J$2:$N$354,3,FALSE)="","",VLOOKUP(BO921,βοηθητικό!$J$2:$N$354,3,FALSE))</f>
        <v>_</v>
      </c>
      <c r="BQ921" s="47"/>
      <c r="BR921" s="42" t="s">
        <v>16</v>
      </c>
      <c r="BS921" s="43" t="str">
        <f>IF(VLOOKUP(BR921,βοηθητικό!$J$2:$N$354,3,FALSE)="","",VLOOKUP(BR921,βοηθητικό!$J$2:$N$354,3,FALSE))</f>
        <v>_</v>
      </c>
      <c r="BT921" s="44"/>
      <c r="BU921" s="45" t="s">
        <v>16</v>
      </c>
      <c r="BV921" s="46" t="str">
        <f>IF(VLOOKUP(BU921,βοηθητικό!$J$2:$N$354,3,FALSE)="","",VLOOKUP(BU921,βοηθητικό!$J$2:$N$354,3,FALSE))</f>
        <v>_</v>
      </c>
      <c r="BW921" s="47"/>
      <c r="BX921" s="42" t="s">
        <v>16</v>
      </c>
      <c r="BY921" s="43" t="str">
        <f>IF(VLOOKUP(BX921,βοηθητικό!$J$2:$N$354,3,FALSE)="","",VLOOKUP(BX921,βοηθητικό!$J$2:$N$354,3,FALSE))</f>
        <v>_</v>
      </c>
      <c r="BZ921" s="44"/>
      <c r="CA921" s="45" t="s">
        <v>16</v>
      </c>
      <c r="CB921" s="46" t="str">
        <f>IF(VLOOKUP(CA921,βοηθητικό!$J$2:$N$354,3,FALSE)="","",VLOOKUP(CA921,βοηθητικό!$J$2:$N$354,3,FALSE))</f>
        <v>_</v>
      </c>
      <c r="CC921" s="47"/>
      <c r="CD921" s="42" t="s">
        <v>16</v>
      </c>
      <c r="CE921" s="43" t="str">
        <f>IF(VLOOKUP(CD921,βοηθητικό!$J$2:$N$354,3,FALSE)="","",VLOOKUP(CD921,βοηθητικό!$J$2:$N$354,3,FALSE))</f>
        <v>_</v>
      </c>
      <c r="CF921" s="44"/>
      <c r="CG921" s="45" t="s">
        <v>16</v>
      </c>
      <c r="CH921" s="46" t="str">
        <f>IF(VLOOKUP(CG921,βοηθητικό!$J$2:$N$354,3,FALSE)="","",VLOOKUP(CG921,βοηθητικό!$J$2:$N$354,3,FALSE))</f>
        <v>_</v>
      </c>
      <c r="CI921" s="47"/>
      <c r="CJ921" s="42" t="s">
        <v>16</v>
      </c>
      <c r="CK921" s="43" t="str">
        <f>IF(VLOOKUP(CJ921,βοηθητικό!$J$2:$N$354,3,FALSE)="","",VLOOKUP(CJ921,βοηθητικό!$J$2:$N$354,3,FALSE))</f>
        <v>_</v>
      </c>
      <c r="CL921" s="44"/>
      <c r="CM921" s="45" t="s">
        <v>16</v>
      </c>
      <c r="CN921" s="46" t="str">
        <f>IF(VLOOKUP(CM921,βοηθητικό!$J$2:$N$354,3,FALSE)="","",VLOOKUP(CM921,βοηθητικό!$J$2:$N$354,3,FALSE))</f>
        <v>_</v>
      </c>
      <c r="CO921" s="47"/>
      <c r="CP921" s="42" t="s">
        <v>16</v>
      </c>
      <c r="CQ921" s="43" t="str">
        <f>IF(VLOOKUP(CP921,βοηθητικό!$J$2:$N$354,3,FALSE)="","",VLOOKUP(CP921,βοηθητικό!$J$2:$N$354,3,FALSE))</f>
        <v>_</v>
      </c>
      <c r="CR921" s="44"/>
      <c r="CS921" s="45" t="s">
        <v>16</v>
      </c>
      <c r="CT921" s="46" t="str">
        <f>IF(VLOOKUP(CS921,βοηθητικό!$J$2:$N$354,3,FALSE)="","",VLOOKUP(CS921,βοηθητικό!$J$2:$N$354,3,FALSE))</f>
        <v>_</v>
      </c>
      <c r="CU921" s="47"/>
    </row>
    <row r="922" spans="1:99" x14ac:dyDescent="0.25">
      <c r="A922" s="37">
        <f>--SUBTOTAL(3,$B$3:B921)</f>
        <v>198</v>
      </c>
      <c r="B922" s="2"/>
      <c r="C922" s="3"/>
      <c r="D922" s="55" t="s">
        <v>18</v>
      </c>
      <c r="E922" s="38" t="s">
        <v>16</v>
      </c>
      <c r="F922" s="38"/>
      <c r="G922" s="39" t="str">
        <f t="shared" si="44"/>
        <v>__</v>
      </c>
      <c r="H922" s="40" t="str">
        <f t="shared" si="45"/>
        <v>FALSE</v>
      </c>
      <c r="I922" s="41">
        <f t="shared" si="46"/>
        <v>0</v>
      </c>
      <c r="J922" s="4" t="s">
        <v>16</v>
      </c>
      <c r="K922" s="43" t="str">
        <f>IF(VLOOKUP(J922,βοηθητικό!$J$2:$N$354,3,FALSE)="","",VLOOKUP(J922,βοηθητικό!$J$2:$N$354,3,FALSE))</f>
        <v>_</v>
      </c>
      <c r="L922" s="44"/>
      <c r="M922" s="5" t="s">
        <v>16</v>
      </c>
      <c r="N922" s="46" t="str">
        <f>IF(VLOOKUP(M922,βοηθητικό!$J$2:$N$354,3,FALSE)="","",VLOOKUP(M922,βοηθητικό!$J$2:$N$354,3,FALSE))</f>
        <v>_</v>
      </c>
      <c r="O922" s="47"/>
      <c r="P922" s="4" t="s">
        <v>16</v>
      </c>
      <c r="Q922" s="43" t="str">
        <f>IF(VLOOKUP(P922,βοηθητικό!$J$2:$N$354,3,FALSE)="","",VLOOKUP(P922,βοηθητικό!$J$2:$N$354,3,FALSE))</f>
        <v>_</v>
      </c>
      <c r="R922" s="44"/>
      <c r="S922" s="5" t="s">
        <v>16</v>
      </c>
      <c r="T922" s="46" t="str">
        <f>IF(VLOOKUP(S922,βοηθητικό!$J$2:$N$354,3,FALSE)="","",VLOOKUP(S922,βοηθητικό!$J$2:$N$354,3,FALSE))</f>
        <v>_</v>
      </c>
      <c r="U922" s="47"/>
      <c r="V922" s="4" t="s">
        <v>16</v>
      </c>
      <c r="W922" s="43" t="str">
        <f>IF(VLOOKUP(V922,βοηθητικό!$J$2:$N$354,3,FALSE)="","",VLOOKUP(V922,βοηθητικό!$J$2:$N$354,3,FALSE))</f>
        <v>_</v>
      </c>
      <c r="X922" s="44"/>
      <c r="Y922" s="5" t="s">
        <v>16</v>
      </c>
      <c r="Z922" s="46" t="str">
        <f>IF(VLOOKUP(Y922,βοηθητικό!$J$2:$N$354,3,FALSE)="","",VLOOKUP(Y922,βοηθητικό!$J$2:$N$354,3,FALSE))</f>
        <v>_</v>
      </c>
      <c r="AA922" s="47"/>
      <c r="AB922" s="4" t="s">
        <v>16</v>
      </c>
      <c r="AC922" s="43" t="str">
        <f>IF(VLOOKUP(AB922,βοηθητικό!$J$2:$N$354,3,FALSE)="","",VLOOKUP(AB922,βοηθητικό!$J$2:$N$354,3,FALSE))</f>
        <v>_</v>
      </c>
      <c r="AD922" s="44"/>
      <c r="AE922" s="5" t="s">
        <v>16</v>
      </c>
      <c r="AF922" s="46" t="str">
        <f>IF(VLOOKUP(AE922,βοηθητικό!$J$2:$N$354,3,FALSE)="","",VLOOKUP(AE922,βοηθητικό!$J$2:$N$354,3,FALSE))</f>
        <v>_</v>
      </c>
      <c r="AG922" s="47"/>
      <c r="AH922" s="4" t="s">
        <v>16</v>
      </c>
      <c r="AI922" s="43" t="str">
        <f>IF(VLOOKUP(AH922,βοηθητικό!$J$2:$N$354,3,FALSE)="","",VLOOKUP(AH922,βοηθητικό!$J$2:$N$354,3,FALSE))</f>
        <v>_</v>
      </c>
      <c r="AJ922" s="44"/>
      <c r="AK922" s="5" t="s">
        <v>16</v>
      </c>
      <c r="AL922" s="46" t="str">
        <f>IF(VLOOKUP(AK922,βοηθητικό!$J$2:$N$354,3,FALSE)="","",VLOOKUP(AK922,βοηθητικό!$J$2:$N$354,3,FALSE))</f>
        <v>_</v>
      </c>
      <c r="AM922" s="47"/>
      <c r="AN922" s="4" t="s">
        <v>16</v>
      </c>
      <c r="AO922" s="43" t="str">
        <f>IF(VLOOKUP(AN922,βοηθητικό!$J$2:$N$354,3,FALSE)="","",VLOOKUP(AN922,βοηθητικό!$J$2:$N$354,3,FALSE))</f>
        <v>_</v>
      </c>
      <c r="AP922" s="44"/>
      <c r="AQ922" s="5" t="s">
        <v>16</v>
      </c>
      <c r="AR922" s="46" t="str">
        <f>IF(VLOOKUP(AQ922,βοηθητικό!$J$2:$N$354,3,FALSE)="","",VLOOKUP(AQ922,βοηθητικό!$J$2:$N$354,3,FALSE))</f>
        <v>_</v>
      </c>
      <c r="AS922" s="47"/>
      <c r="AT922" s="4" t="s">
        <v>16</v>
      </c>
      <c r="AU922" s="43" t="str">
        <f>IF(VLOOKUP(AT922,βοηθητικό!$J$2:$N$354,3,FALSE)="","",VLOOKUP(AT922,βοηθητικό!$J$2:$N$354,3,FALSE))</f>
        <v>_</v>
      </c>
      <c r="AV922" s="44"/>
      <c r="AW922" s="5" t="s">
        <v>16</v>
      </c>
      <c r="AX922" s="46" t="str">
        <f>IF(VLOOKUP(AW922,βοηθητικό!$J$2:$N$354,3,FALSE)="","",VLOOKUP(AW922,βοηθητικό!$J$2:$N$354,3,FALSE))</f>
        <v>_</v>
      </c>
      <c r="AY922" s="47"/>
      <c r="AZ922" s="4" t="s">
        <v>16</v>
      </c>
      <c r="BA922" s="43" t="str">
        <f>IF(VLOOKUP(AZ922,βοηθητικό!$J$2:$N$354,3,FALSE)="","",VLOOKUP(AZ922,βοηθητικό!$J$2:$N$354,3,FALSE))</f>
        <v>_</v>
      </c>
      <c r="BB922" s="44"/>
      <c r="BC922" s="45" t="s">
        <v>16</v>
      </c>
      <c r="BD922" s="46" t="str">
        <f>IF(VLOOKUP(BC922,βοηθητικό!$J$2:$N$354,3,FALSE)="","",VLOOKUP(BC922,βοηθητικό!$J$2:$N$354,3,FALSE))</f>
        <v>_</v>
      </c>
      <c r="BE922" s="47"/>
      <c r="BF922" s="42" t="s">
        <v>16</v>
      </c>
      <c r="BG922" s="43" t="str">
        <f>IF(VLOOKUP(BF922,βοηθητικό!$J$2:$N$354,3,FALSE)="","",VLOOKUP(BF922,βοηθητικό!$J$2:$N$354,3,FALSE))</f>
        <v>_</v>
      </c>
      <c r="BH922" s="44"/>
      <c r="BI922" s="45" t="s">
        <v>16</v>
      </c>
      <c r="BJ922" s="46" t="str">
        <f>IF(VLOOKUP(BI922,βοηθητικό!$J$2:$N$354,3,FALSE)="","",VLOOKUP(BI922,βοηθητικό!$J$2:$N$354,3,FALSE))</f>
        <v>_</v>
      </c>
      <c r="BK922" s="47"/>
      <c r="BL922" s="42" t="s">
        <v>16</v>
      </c>
      <c r="BM922" s="43" t="str">
        <f>IF(VLOOKUP(BL922,βοηθητικό!$J$2:$N$354,3,FALSE)="","",VLOOKUP(BL922,βοηθητικό!$J$2:$N$354,3,FALSE))</f>
        <v>_</v>
      </c>
      <c r="BN922" s="44"/>
      <c r="BO922" s="45" t="s">
        <v>16</v>
      </c>
      <c r="BP922" s="46" t="str">
        <f>IF(VLOOKUP(BO922,βοηθητικό!$J$2:$N$354,3,FALSE)="","",VLOOKUP(BO922,βοηθητικό!$J$2:$N$354,3,FALSE))</f>
        <v>_</v>
      </c>
      <c r="BQ922" s="47"/>
      <c r="BR922" s="42" t="s">
        <v>16</v>
      </c>
      <c r="BS922" s="43" t="str">
        <f>IF(VLOOKUP(BR922,βοηθητικό!$J$2:$N$354,3,FALSE)="","",VLOOKUP(BR922,βοηθητικό!$J$2:$N$354,3,FALSE))</f>
        <v>_</v>
      </c>
      <c r="BT922" s="44"/>
      <c r="BU922" s="45" t="s">
        <v>16</v>
      </c>
      <c r="BV922" s="46" t="str">
        <f>IF(VLOOKUP(BU922,βοηθητικό!$J$2:$N$354,3,FALSE)="","",VLOOKUP(BU922,βοηθητικό!$J$2:$N$354,3,FALSE))</f>
        <v>_</v>
      </c>
      <c r="BW922" s="47"/>
      <c r="BX922" s="42" t="s">
        <v>16</v>
      </c>
      <c r="BY922" s="43" t="str">
        <f>IF(VLOOKUP(BX922,βοηθητικό!$J$2:$N$354,3,FALSE)="","",VLOOKUP(BX922,βοηθητικό!$J$2:$N$354,3,FALSE))</f>
        <v>_</v>
      </c>
      <c r="BZ922" s="44"/>
      <c r="CA922" s="45" t="s">
        <v>16</v>
      </c>
      <c r="CB922" s="46" t="str">
        <f>IF(VLOOKUP(CA922,βοηθητικό!$J$2:$N$354,3,FALSE)="","",VLOOKUP(CA922,βοηθητικό!$J$2:$N$354,3,FALSE))</f>
        <v>_</v>
      </c>
      <c r="CC922" s="47"/>
      <c r="CD922" s="42" t="s">
        <v>16</v>
      </c>
      <c r="CE922" s="43" t="str">
        <f>IF(VLOOKUP(CD922,βοηθητικό!$J$2:$N$354,3,FALSE)="","",VLOOKUP(CD922,βοηθητικό!$J$2:$N$354,3,FALSE))</f>
        <v>_</v>
      </c>
      <c r="CF922" s="44"/>
      <c r="CG922" s="45" t="s">
        <v>16</v>
      </c>
      <c r="CH922" s="46" t="str">
        <f>IF(VLOOKUP(CG922,βοηθητικό!$J$2:$N$354,3,FALSE)="","",VLOOKUP(CG922,βοηθητικό!$J$2:$N$354,3,FALSE))</f>
        <v>_</v>
      </c>
      <c r="CI922" s="47"/>
      <c r="CJ922" s="42" t="s">
        <v>16</v>
      </c>
      <c r="CK922" s="43" t="str">
        <f>IF(VLOOKUP(CJ922,βοηθητικό!$J$2:$N$354,3,FALSE)="","",VLOOKUP(CJ922,βοηθητικό!$J$2:$N$354,3,FALSE))</f>
        <v>_</v>
      </c>
      <c r="CL922" s="44"/>
      <c r="CM922" s="45" t="s">
        <v>16</v>
      </c>
      <c r="CN922" s="46" t="str">
        <f>IF(VLOOKUP(CM922,βοηθητικό!$J$2:$N$354,3,FALSE)="","",VLOOKUP(CM922,βοηθητικό!$J$2:$N$354,3,FALSE))</f>
        <v>_</v>
      </c>
      <c r="CO922" s="47"/>
      <c r="CP922" s="42" t="s">
        <v>16</v>
      </c>
      <c r="CQ922" s="43" t="str">
        <f>IF(VLOOKUP(CP922,βοηθητικό!$J$2:$N$354,3,FALSE)="","",VLOOKUP(CP922,βοηθητικό!$J$2:$N$354,3,FALSE))</f>
        <v>_</v>
      </c>
      <c r="CR922" s="44"/>
      <c r="CS922" s="45" t="s">
        <v>16</v>
      </c>
      <c r="CT922" s="46" t="str">
        <f>IF(VLOOKUP(CS922,βοηθητικό!$J$2:$N$354,3,FALSE)="","",VLOOKUP(CS922,βοηθητικό!$J$2:$N$354,3,FALSE))</f>
        <v>_</v>
      </c>
      <c r="CU922" s="47"/>
    </row>
    <row r="923" spans="1:99" x14ac:dyDescent="0.25">
      <c r="A923" s="37">
        <f>--SUBTOTAL(3,$B$3:B922)</f>
        <v>198</v>
      </c>
      <c r="B923" s="2"/>
      <c r="C923" s="3"/>
      <c r="D923" s="55" t="s">
        <v>18</v>
      </c>
      <c r="E923" s="38" t="s">
        <v>16</v>
      </c>
      <c r="F923" s="38"/>
      <c r="G923" s="39" t="str">
        <f t="shared" si="44"/>
        <v>__</v>
      </c>
      <c r="H923" s="40" t="str">
        <f t="shared" si="45"/>
        <v>FALSE</v>
      </c>
      <c r="I923" s="41">
        <f t="shared" si="46"/>
        <v>0</v>
      </c>
      <c r="J923" s="4" t="s">
        <v>16</v>
      </c>
      <c r="K923" s="43" t="str">
        <f>IF(VLOOKUP(J923,βοηθητικό!$J$2:$N$354,3,FALSE)="","",VLOOKUP(J923,βοηθητικό!$J$2:$N$354,3,FALSE))</f>
        <v>_</v>
      </c>
      <c r="L923" s="44"/>
      <c r="M923" s="5" t="s">
        <v>16</v>
      </c>
      <c r="N923" s="46" t="str">
        <f>IF(VLOOKUP(M923,βοηθητικό!$J$2:$N$354,3,FALSE)="","",VLOOKUP(M923,βοηθητικό!$J$2:$N$354,3,FALSE))</f>
        <v>_</v>
      </c>
      <c r="O923" s="47"/>
      <c r="P923" s="4" t="s">
        <v>16</v>
      </c>
      <c r="Q923" s="43" t="str">
        <f>IF(VLOOKUP(P923,βοηθητικό!$J$2:$N$354,3,FALSE)="","",VLOOKUP(P923,βοηθητικό!$J$2:$N$354,3,FALSE))</f>
        <v>_</v>
      </c>
      <c r="R923" s="44"/>
      <c r="S923" s="5" t="s">
        <v>16</v>
      </c>
      <c r="T923" s="46" t="str">
        <f>IF(VLOOKUP(S923,βοηθητικό!$J$2:$N$354,3,FALSE)="","",VLOOKUP(S923,βοηθητικό!$J$2:$N$354,3,FALSE))</f>
        <v>_</v>
      </c>
      <c r="U923" s="47"/>
      <c r="V923" s="4" t="s">
        <v>16</v>
      </c>
      <c r="W923" s="43" t="str">
        <f>IF(VLOOKUP(V923,βοηθητικό!$J$2:$N$354,3,FALSE)="","",VLOOKUP(V923,βοηθητικό!$J$2:$N$354,3,FALSE))</f>
        <v>_</v>
      </c>
      <c r="X923" s="44"/>
      <c r="Y923" s="5" t="s">
        <v>16</v>
      </c>
      <c r="Z923" s="46" t="str">
        <f>IF(VLOOKUP(Y923,βοηθητικό!$J$2:$N$354,3,FALSE)="","",VLOOKUP(Y923,βοηθητικό!$J$2:$N$354,3,FALSE))</f>
        <v>_</v>
      </c>
      <c r="AA923" s="47"/>
      <c r="AB923" s="4" t="s">
        <v>16</v>
      </c>
      <c r="AC923" s="43" t="str">
        <f>IF(VLOOKUP(AB923,βοηθητικό!$J$2:$N$354,3,FALSE)="","",VLOOKUP(AB923,βοηθητικό!$J$2:$N$354,3,FALSE))</f>
        <v>_</v>
      </c>
      <c r="AD923" s="44"/>
      <c r="AE923" s="5" t="s">
        <v>16</v>
      </c>
      <c r="AF923" s="46" t="str">
        <f>IF(VLOOKUP(AE923,βοηθητικό!$J$2:$N$354,3,FALSE)="","",VLOOKUP(AE923,βοηθητικό!$J$2:$N$354,3,FALSE))</f>
        <v>_</v>
      </c>
      <c r="AG923" s="47"/>
      <c r="AH923" s="4" t="s">
        <v>16</v>
      </c>
      <c r="AI923" s="43" t="str">
        <f>IF(VLOOKUP(AH923,βοηθητικό!$J$2:$N$354,3,FALSE)="","",VLOOKUP(AH923,βοηθητικό!$J$2:$N$354,3,FALSE))</f>
        <v>_</v>
      </c>
      <c r="AJ923" s="44"/>
      <c r="AK923" s="5" t="s">
        <v>16</v>
      </c>
      <c r="AL923" s="46" t="str">
        <f>IF(VLOOKUP(AK923,βοηθητικό!$J$2:$N$354,3,FALSE)="","",VLOOKUP(AK923,βοηθητικό!$J$2:$N$354,3,FALSE))</f>
        <v>_</v>
      </c>
      <c r="AM923" s="47"/>
      <c r="AN923" s="4" t="s">
        <v>16</v>
      </c>
      <c r="AO923" s="43" t="str">
        <f>IF(VLOOKUP(AN923,βοηθητικό!$J$2:$N$354,3,FALSE)="","",VLOOKUP(AN923,βοηθητικό!$J$2:$N$354,3,FALSE))</f>
        <v>_</v>
      </c>
      <c r="AP923" s="44"/>
      <c r="AQ923" s="5" t="s">
        <v>16</v>
      </c>
      <c r="AR923" s="46" t="str">
        <f>IF(VLOOKUP(AQ923,βοηθητικό!$J$2:$N$354,3,FALSE)="","",VLOOKUP(AQ923,βοηθητικό!$J$2:$N$354,3,FALSE))</f>
        <v>_</v>
      </c>
      <c r="AS923" s="47"/>
      <c r="AT923" s="4" t="s">
        <v>16</v>
      </c>
      <c r="AU923" s="43" t="str">
        <f>IF(VLOOKUP(AT923,βοηθητικό!$J$2:$N$354,3,FALSE)="","",VLOOKUP(AT923,βοηθητικό!$J$2:$N$354,3,FALSE))</f>
        <v>_</v>
      </c>
      <c r="AV923" s="44"/>
      <c r="AW923" s="5" t="s">
        <v>16</v>
      </c>
      <c r="AX923" s="46" t="str">
        <f>IF(VLOOKUP(AW923,βοηθητικό!$J$2:$N$354,3,FALSE)="","",VLOOKUP(AW923,βοηθητικό!$J$2:$N$354,3,FALSE))</f>
        <v>_</v>
      </c>
      <c r="AY923" s="47"/>
      <c r="AZ923" s="4" t="s">
        <v>16</v>
      </c>
      <c r="BA923" s="43" t="str">
        <f>IF(VLOOKUP(AZ923,βοηθητικό!$J$2:$N$354,3,FALSE)="","",VLOOKUP(AZ923,βοηθητικό!$J$2:$N$354,3,FALSE))</f>
        <v>_</v>
      </c>
      <c r="BB923" s="44"/>
      <c r="BC923" s="45" t="s">
        <v>16</v>
      </c>
      <c r="BD923" s="46" t="str">
        <f>IF(VLOOKUP(BC923,βοηθητικό!$J$2:$N$354,3,FALSE)="","",VLOOKUP(BC923,βοηθητικό!$J$2:$N$354,3,FALSE))</f>
        <v>_</v>
      </c>
      <c r="BE923" s="47"/>
      <c r="BF923" s="42" t="s">
        <v>16</v>
      </c>
      <c r="BG923" s="43" t="str">
        <f>IF(VLOOKUP(BF923,βοηθητικό!$J$2:$N$354,3,FALSE)="","",VLOOKUP(BF923,βοηθητικό!$J$2:$N$354,3,FALSE))</f>
        <v>_</v>
      </c>
      <c r="BH923" s="44"/>
      <c r="BI923" s="45" t="s">
        <v>16</v>
      </c>
      <c r="BJ923" s="46" t="str">
        <f>IF(VLOOKUP(BI923,βοηθητικό!$J$2:$N$354,3,FALSE)="","",VLOOKUP(BI923,βοηθητικό!$J$2:$N$354,3,FALSE))</f>
        <v>_</v>
      </c>
      <c r="BK923" s="47"/>
      <c r="BL923" s="42" t="s">
        <v>16</v>
      </c>
      <c r="BM923" s="43" t="str">
        <f>IF(VLOOKUP(BL923,βοηθητικό!$J$2:$N$354,3,FALSE)="","",VLOOKUP(BL923,βοηθητικό!$J$2:$N$354,3,FALSE))</f>
        <v>_</v>
      </c>
      <c r="BN923" s="44"/>
      <c r="BO923" s="45" t="s">
        <v>16</v>
      </c>
      <c r="BP923" s="46" t="str">
        <f>IF(VLOOKUP(BO923,βοηθητικό!$J$2:$N$354,3,FALSE)="","",VLOOKUP(BO923,βοηθητικό!$J$2:$N$354,3,FALSE))</f>
        <v>_</v>
      </c>
      <c r="BQ923" s="47"/>
      <c r="BR923" s="42" t="s">
        <v>16</v>
      </c>
      <c r="BS923" s="43" t="str">
        <f>IF(VLOOKUP(BR923,βοηθητικό!$J$2:$N$354,3,FALSE)="","",VLOOKUP(BR923,βοηθητικό!$J$2:$N$354,3,FALSE))</f>
        <v>_</v>
      </c>
      <c r="BT923" s="44"/>
      <c r="BU923" s="45" t="s">
        <v>16</v>
      </c>
      <c r="BV923" s="46" t="str">
        <f>IF(VLOOKUP(BU923,βοηθητικό!$J$2:$N$354,3,FALSE)="","",VLOOKUP(BU923,βοηθητικό!$J$2:$N$354,3,FALSE))</f>
        <v>_</v>
      </c>
      <c r="BW923" s="47"/>
      <c r="BX923" s="42" t="s">
        <v>16</v>
      </c>
      <c r="BY923" s="43" t="str">
        <f>IF(VLOOKUP(BX923,βοηθητικό!$J$2:$N$354,3,FALSE)="","",VLOOKUP(BX923,βοηθητικό!$J$2:$N$354,3,FALSE))</f>
        <v>_</v>
      </c>
      <c r="BZ923" s="44"/>
      <c r="CA923" s="45" t="s">
        <v>16</v>
      </c>
      <c r="CB923" s="46" t="str">
        <f>IF(VLOOKUP(CA923,βοηθητικό!$J$2:$N$354,3,FALSE)="","",VLOOKUP(CA923,βοηθητικό!$J$2:$N$354,3,FALSE))</f>
        <v>_</v>
      </c>
      <c r="CC923" s="47"/>
      <c r="CD923" s="42" t="s">
        <v>16</v>
      </c>
      <c r="CE923" s="43" t="str">
        <f>IF(VLOOKUP(CD923,βοηθητικό!$J$2:$N$354,3,FALSE)="","",VLOOKUP(CD923,βοηθητικό!$J$2:$N$354,3,FALSE))</f>
        <v>_</v>
      </c>
      <c r="CF923" s="44"/>
      <c r="CG923" s="45" t="s">
        <v>16</v>
      </c>
      <c r="CH923" s="46" t="str">
        <f>IF(VLOOKUP(CG923,βοηθητικό!$J$2:$N$354,3,FALSE)="","",VLOOKUP(CG923,βοηθητικό!$J$2:$N$354,3,FALSE))</f>
        <v>_</v>
      </c>
      <c r="CI923" s="47"/>
      <c r="CJ923" s="42" t="s">
        <v>16</v>
      </c>
      <c r="CK923" s="43" t="str">
        <f>IF(VLOOKUP(CJ923,βοηθητικό!$J$2:$N$354,3,FALSE)="","",VLOOKUP(CJ923,βοηθητικό!$J$2:$N$354,3,FALSE))</f>
        <v>_</v>
      </c>
      <c r="CL923" s="44"/>
      <c r="CM923" s="45" t="s">
        <v>16</v>
      </c>
      <c r="CN923" s="46" t="str">
        <f>IF(VLOOKUP(CM923,βοηθητικό!$J$2:$N$354,3,FALSE)="","",VLOOKUP(CM923,βοηθητικό!$J$2:$N$354,3,FALSE))</f>
        <v>_</v>
      </c>
      <c r="CO923" s="47"/>
      <c r="CP923" s="42" t="s">
        <v>16</v>
      </c>
      <c r="CQ923" s="43" t="str">
        <f>IF(VLOOKUP(CP923,βοηθητικό!$J$2:$N$354,3,FALSE)="","",VLOOKUP(CP923,βοηθητικό!$J$2:$N$354,3,FALSE))</f>
        <v>_</v>
      </c>
      <c r="CR923" s="44"/>
      <c r="CS923" s="45" t="s">
        <v>16</v>
      </c>
      <c r="CT923" s="46" t="str">
        <f>IF(VLOOKUP(CS923,βοηθητικό!$J$2:$N$354,3,FALSE)="","",VLOOKUP(CS923,βοηθητικό!$J$2:$N$354,3,FALSE))</f>
        <v>_</v>
      </c>
      <c r="CU923" s="47"/>
    </row>
    <row r="924" spans="1:99" x14ac:dyDescent="0.25">
      <c r="A924" s="37">
        <f>--SUBTOTAL(3,$B$3:B923)</f>
        <v>198</v>
      </c>
      <c r="B924" s="2"/>
      <c r="C924" s="3"/>
      <c r="D924" s="55" t="s">
        <v>18</v>
      </c>
      <c r="E924" s="38" t="s">
        <v>16</v>
      </c>
      <c r="F924" s="38"/>
      <c r="G924" s="39" t="str">
        <f t="shared" si="44"/>
        <v>__</v>
      </c>
      <c r="H924" s="40" t="str">
        <f t="shared" si="45"/>
        <v>FALSE</v>
      </c>
      <c r="I924" s="41">
        <f t="shared" si="46"/>
        <v>0</v>
      </c>
      <c r="J924" s="4" t="s">
        <v>16</v>
      </c>
      <c r="K924" s="43" t="str">
        <f>IF(VLOOKUP(J924,βοηθητικό!$J$2:$N$354,3,FALSE)="","",VLOOKUP(J924,βοηθητικό!$J$2:$N$354,3,FALSE))</f>
        <v>_</v>
      </c>
      <c r="L924" s="44"/>
      <c r="M924" s="5" t="s">
        <v>16</v>
      </c>
      <c r="N924" s="46" t="str">
        <f>IF(VLOOKUP(M924,βοηθητικό!$J$2:$N$354,3,FALSE)="","",VLOOKUP(M924,βοηθητικό!$J$2:$N$354,3,FALSE))</f>
        <v>_</v>
      </c>
      <c r="O924" s="47"/>
      <c r="P924" s="4" t="s">
        <v>16</v>
      </c>
      <c r="Q924" s="43" t="str">
        <f>IF(VLOOKUP(P924,βοηθητικό!$J$2:$N$354,3,FALSE)="","",VLOOKUP(P924,βοηθητικό!$J$2:$N$354,3,FALSE))</f>
        <v>_</v>
      </c>
      <c r="R924" s="44"/>
      <c r="S924" s="5" t="s">
        <v>16</v>
      </c>
      <c r="T924" s="46" t="str">
        <f>IF(VLOOKUP(S924,βοηθητικό!$J$2:$N$354,3,FALSE)="","",VLOOKUP(S924,βοηθητικό!$J$2:$N$354,3,FALSE))</f>
        <v>_</v>
      </c>
      <c r="U924" s="47"/>
      <c r="V924" s="4" t="s">
        <v>16</v>
      </c>
      <c r="W924" s="43" t="str">
        <f>IF(VLOOKUP(V924,βοηθητικό!$J$2:$N$354,3,FALSE)="","",VLOOKUP(V924,βοηθητικό!$J$2:$N$354,3,FALSE))</f>
        <v>_</v>
      </c>
      <c r="X924" s="44"/>
      <c r="Y924" s="5" t="s">
        <v>16</v>
      </c>
      <c r="Z924" s="46" t="str">
        <f>IF(VLOOKUP(Y924,βοηθητικό!$J$2:$N$354,3,FALSE)="","",VLOOKUP(Y924,βοηθητικό!$J$2:$N$354,3,FALSE))</f>
        <v>_</v>
      </c>
      <c r="AA924" s="47"/>
      <c r="AB924" s="4" t="s">
        <v>16</v>
      </c>
      <c r="AC924" s="43" t="str">
        <f>IF(VLOOKUP(AB924,βοηθητικό!$J$2:$N$354,3,FALSE)="","",VLOOKUP(AB924,βοηθητικό!$J$2:$N$354,3,FALSE))</f>
        <v>_</v>
      </c>
      <c r="AD924" s="44"/>
      <c r="AE924" s="5" t="s">
        <v>16</v>
      </c>
      <c r="AF924" s="46" t="str">
        <f>IF(VLOOKUP(AE924,βοηθητικό!$J$2:$N$354,3,FALSE)="","",VLOOKUP(AE924,βοηθητικό!$J$2:$N$354,3,FALSE))</f>
        <v>_</v>
      </c>
      <c r="AG924" s="47"/>
      <c r="AH924" s="4" t="s">
        <v>16</v>
      </c>
      <c r="AI924" s="43" t="str">
        <f>IF(VLOOKUP(AH924,βοηθητικό!$J$2:$N$354,3,FALSE)="","",VLOOKUP(AH924,βοηθητικό!$J$2:$N$354,3,FALSE))</f>
        <v>_</v>
      </c>
      <c r="AJ924" s="44"/>
      <c r="AK924" s="5" t="s">
        <v>16</v>
      </c>
      <c r="AL924" s="46" t="str">
        <f>IF(VLOOKUP(AK924,βοηθητικό!$J$2:$N$354,3,FALSE)="","",VLOOKUP(AK924,βοηθητικό!$J$2:$N$354,3,FALSE))</f>
        <v>_</v>
      </c>
      <c r="AM924" s="47"/>
      <c r="AN924" s="4" t="s">
        <v>16</v>
      </c>
      <c r="AO924" s="43" t="str">
        <f>IF(VLOOKUP(AN924,βοηθητικό!$J$2:$N$354,3,FALSE)="","",VLOOKUP(AN924,βοηθητικό!$J$2:$N$354,3,FALSE))</f>
        <v>_</v>
      </c>
      <c r="AP924" s="44"/>
      <c r="AQ924" s="5" t="s">
        <v>16</v>
      </c>
      <c r="AR924" s="46" t="str">
        <f>IF(VLOOKUP(AQ924,βοηθητικό!$J$2:$N$354,3,FALSE)="","",VLOOKUP(AQ924,βοηθητικό!$J$2:$N$354,3,FALSE))</f>
        <v>_</v>
      </c>
      <c r="AS924" s="47"/>
      <c r="AT924" s="4" t="s">
        <v>16</v>
      </c>
      <c r="AU924" s="43" t="str">
        <f>IF(VLOOKUP(AT924,βοηθητικό!$J$2:$N$354,3,FALSE)="","",VLOOKUP(AT924,βοηθητικό!$J$2:$N$354,3,FALSE))</f>
        <v>_</v>
      </c>
      <c r="AV924" s="44"/>
      <c r="AW924" s="5" t="s">
        <v>16</v>
      </c>
      <c r="AX924" s="46" t="str">
        <f>IF(VLOOKUP(AW924,βοηθητικό!$J$2:$N$354,3,FALSE)="","",VLOOKUP(AW924,βοηθητικό!$J$2:$N$354,3,FALSE))</f>
        <v>_</v>
      </c>
      <c r="AY924" s="47"/>
      <c r="AZ924" s="4" t="s">
        <v>16</v>
      </c>
      <c r="BA924" s="43" t="str">
        <f>IF(VLOOKUP(AZ924,βοηθητικό!$J$2:$N$354,3,FALSE)="","",VLOOKUP(AZ924,βοηθητικό!$J$2:$N$354,3,FALSE))</f>
        <v>_</v>
      </c>
      <c r="BB924" s="44"/>
      <c r="BC924" s="45" t="s">
        <v>16</v>
      </c>
      <c r="BD924" s="46" t="str">
        <f>IF(VLOOKUP(BC924,βοηθητικό!$J$2:$N$354,3,FALSE)="","",VLOOKUP(BC924,βοηθητικό!$J$2:$N$354,3,FALSE))</f>
        <v>_</v>
      </c>
      <c r="BE924" s="47"/>
      <c r="BF924" s="42" t="s">
        <v>16</v>
      </c>
      <c r="BG924" s="43" t="str">
        <f>IF(VLOOKUP(BF924,βοηθητικό!$J$2:$N$354,3,FALSE)="","",VLOOKUP(BF924,βοηθητικό!$J$2:$N$354,3,FALSE))</f>
        <v>_</v>
      </c>
      <c r="BH924" s="44"/>
      <c r="BI924" s="45" t="s">
        <v>16</v>
      </c>
      <c r="BJ924" s="46" t="str">
        <f>IF(VLOOKUP(BI924,βοηθητικό!$J$2:$N$354,3,FALSE)="","",VLOOKUP(BI924,βοηθητικό!$J$2:$N$354,3,FALSE))</f>
        <v>_</v>
      </c>
      <c r="BK924" s="47"/>
      <c r="BL924" s="42" t="s">
        <v>16</v>
      </c>
      <c r="BM924" s="43" t="str">
        <f>IF(VLOOKUP(BL924,βοηθητικό!$J$2:$N$354,3,FALSE)="","",VLOOKUP(BL924,βοηθητικό!$J$2:$N$354,3,FALSE))</f>
        <v>_</v>
      </c>
      <c r="BN924" s="44"/>
      <c r="BO924" s="45" t="s">
        <v>16</v>
      </c>
      <c r="BP924" s="46" t="str">
        <f>IF(VLOOKUP(BO924,βοηθητικό!$J$2:$N$354,3,FALSE)="","",VLOOKUP(BO924,βοηθητικό!$J$2:$N$354,3,FALSE))</f>
        <v>_</v>
      </c>
      <c r="BQ924" s="47"/>
      <c r="BR924" s="42" t="s">
        <v>16</v>
      </c>
      <c r="BS924" s="43" t="str">
        <f>IF(VLOOKUP(BR924,βοηθητικό!$J$2:$N$354,3,FALSE)="","",VLOOKUP(BR924,βοηθητικό!$J$2:$N$354,3,FALSE))</f>
        <v>_</v>
      </c>
      <c r="BT924" s="44"/>
      <c r="BU924" s="45" t="s">
        <v>16</v>
      </c>
      <c r="BV924" s="46" t="str">
        <f>IF(VLOOKUP(BU924,βοηθητικό!$J$2:$N$354,3,FALSE)="","",VLOOKUP(BU924,βοηθητικό!$J$2:$N$354,3,FALSE))</f>
        <v>_</v>
      </c>
      <c r="BW924" s="47"/>
      <c r="BX924" s="42" t="s">
        <v>16</v>
      </c>
      <c r="BY924" s="43" t="str">
        <f>IF(VLOOKUP(BX924,βοηθητικό!$J$2:$N$354,3,FALSE)="","",VLOOKUP(BX924,βοηθητικό!$J$2:$N$354,3,FALSE))</f>
        <v>_</v>
      </c>
      <c r="BZ924" s="44"/>
      <c r="CA924" s="45" t="s">
        <v>16</v>
      </c>
      <c r="CB924" s="46" t="str">
        <f>IF(VLOOKUP(CA924,βοηθητικό!$J$2:$N$354,3,FALSE)="","",VLOOKUP(CA924,βοηθητικό!$J$2:$N$354,3,FALSE))</f>
        <v>_</v>
      </c>
      <c r="CC924" s="47"/>
      <c r="CD924" s="42" t="s">
        <v>16</v>
      </c>
      <c r="CE924" s="43" t="str">
        <f>IF(VLOOKUP(CD924,βοηθητικό!$J$2:$N$354,3,FALSE)="","",VLOOKUP(CD924,βοηθητικό!$J$2:$N$354,3,FALSE))</f>
        <v>_</v>
      </c>
      <c r="CF924" s="44"/>
      <c r="CG924" s="45" t="s">
        <v>16</v>
      </c>
      <c r="CH924" s="46" t="str">
        <f>IF(VLOOKUP(CG924,βοηθητικό!$J$2:$N$354,3,FALSE)="","",VLOOKUP(CG924,βοηθητικό!$J$2:$N$354,3,FALSE))</f>
        <v>_</v>
      </c>
      <c r="CI924" s="47"/>
      <c r="CJ924" s="42" t="s">
        <v>16</v>
      </c>
      <c r="CK924" s="43" t="str">
        <f>IF(VLOOKUP(CJ924,βοηθητικό!$J$2:$N$354,3,FALSE)="","",VLOOKUP(CJ924,βοηθητικό!$J$2:$N$354,3,FALSE))</f>
        <v>_</v>
      </c>
      <c r="CL924" s="44"/>
      <c r="CM924" s="45" t="s">
        <v>16</v>
      </c>
      <c r="CN924" s="46" t="str">
        <f>IF(VLOOKUP(CM924,βοηθητικό!$J$2:$N$354,3,FALSE)="","",VLOOKUP(CM924,βοηθητικό!$J$2:$N$354,3,FALSE))</f>
        <v>_</v>
      </c>
      <c r="CO924" s="47"/>
      <c r="CP924" s="42" t="s">
        <v>16</v>
      </c>
      <c r="CQ924" s="43" t="str">
        <f>IF(VLOOKUP(CP924,βοηθητικό!$J$2:$N$354,3,FALSE)="","",VLOOKUP(CP924,βοηθητικό!$J$2:$N$354,3,FALSE))</f>
        <v>_</v>
      </c>
      <c r="CR924" s="44"/>
      <c r="CS924" s="45" t="s">
        <v>16</v>
      </c>
      <c r="CT924" s="46" t="str">
        <f>IF(VLOOKUP(CS924,βοηθητικό!$J$2:$N$354,3,FALSE)="","",VLOOKUP(CS924,βοηθητικό!$J$2:$N$354,3,FALSE))</f>
        <v>_</v>
      </c>
      <c r="CU924" s="47"/>
    </row>
    <row r="925" spans="1:99" x14ac:dyDescent="0.25">
      <c r="A925" s="37">
        <f>--SUBTOTAL(3,$B$3:B924)</f>
        <v>198</v>
      </c>
      <c r="B925" s="2"/>
      <c r="C925" s="3"/>
      <c r="D925" s="55" t="s">
        <v>18</v>
      </c>
      <c r="E925" s="38" t="s">
        <v>16</v>
      </c>
      <c r="F925" s="38"/>
      <c r="G925" s="39" t="str">
        <f t="shared" si="44"/>
        <v>__</v>
      </c>
      <c r="H925" s="40" t="str">
        <f t="shared" si="45"/>
        <v>FALSE</v>
      </c>
      <c r="I925" s="41">
        <f t="shared" si="46"/>
        <v>0</v>
      </c>
      <c r="J925" s="4" t="s">
        <v>16</v>
      </c>
      <c r="K925" s="43" t="str">
        <f>IF(VLOOKUP(J925,βοηθητικό!$J$2:$N$354,3,FALSE)="","",VLOOKUP(J925,βοηθητικό!$J$2:$N$354,3,FALSE))</f>
        <v>_</v>
      </c>
      <c r="L925" s="44"/>
      <c r="M925" s="5" t="s">
        <v>16</v>
      </c>
      <c r="N925" s="46" t="str">
        <f>IF(VLOOKUP(M925,βοηθητικό!$J$2:$N$354,3,FALSE)="","",VLOOKUP(M925,βοηθητικό!$J$2:$N$354,3,FALSE))</f>
        <v>_</v>
      </c>
      <c r="O925" s="47"/>
      <c r="P925" s="4" t="s">
        <v>16</v>
      </c>
      <c r="Q925" s="43" t="str">
        <f>IF(VLOOKUP(P925,βοηθητικό!$J$2:$N$354,3,FALSE)="","",VLOOKUP(P925,βοηθητικό!$J$2:$N$354,3,FALSE))</f>
        <v>_</v>
      </c>
      <c r="R925" s="44"/>
      <c r="S925" s="5" t="s">
        <v>16</v>
      </c>
      <c r="T925" s="46" t="str">
        <f>IF(VLOOKUP(S925,βοηθητικό!$J$2:$N$354,3,FALSE)="","",VLOOKUP(S925,βοηθητικό!$J$2:$N$354,3,FALSE))</f>
        <v>_</v>
      </c>
      <c r="U925" s="47"/>
      <c r="V925" s="4" t="s">
        <v>16</v>
      </c>
      <c r="W925" s="43" t="str">
        <f>IF(VLOOKUP(V925,βοηθητικό!$J$2:$N$354,3,FALSE)="","",VLOOKUP(V925,βοηθητικό!$J$2:$N$354,3,FALSE))</f>
        <v>_</v>
      </c>
      <c r="X925" s="44"/>
      <c r="Y925" s="5" t="s">
        <v>16</v>
      </c>
      <c r="Z925" s="46" t="str">
        <f>IF(VLOOKUP(Y925,βοηθητικό!$J$2:$N$354,3,FALSE)="","",VLOOKUP(Y925,βοηθητικό!$J$2:$N$354,3,FALSE))</f>
        <v>_</v>
      </c>
      <c r="AA925" s="47"/>
      <c r="AB925" s="4" t="s">
        <v>16</v>
      </c>
      <c r="AC925" s="43" t="str">
        <f>IF(VLOOKUP(AB925,βοηθητικό!$J$2:$N$354,3,FALSE)="","",VLOOKUP(AB925,βοηθητικό!$J$2:$N$354,3,FALSE))</f>
        <v>_</v>
      </c>
      <c r="AD925" s="44"/>
      <c r="AE925" s="5" t="s">
        <v>16</v>
      </c>
      <c r="AF925" s="46" t="str">
        <f>IF(VLOOKUP(AE925,βοηθητικό!$J$2:$N$354,3,FALSE)="","",VLOOKUP(AE925,βοηθητικό!$J$2:$N$354,3,FALSE))</f>
        <v>_</v>
      </c>
      <c r="AG925" s="47"/>
      <c r="AH925" s="4" t="s">
        <v>16</v>
      </c>
      <c r="AI925" s="43" t="str">
        <f>IF(VLOOKUP(AH925,βοηθητικό!$J$2:$N$354,3,FALSE)="","",VLOOKUP(AH925,βοηθητικό!$J$2:$N$354,3,FALSE))</f>
        <v>_</v>
      </c>
      <c r="AJ925" s="44"/>
      <c r="AK925" s="5" t="s">
        <v>16</v>
      </c>
      <c r="AL925" s="46" t="str">
        <f>IF(VLOOKUP(AK925,βοηθητικό!$J$2:$N$354,3,FALSE)="","",VLOOKUP(AK925,βοηθητικό!$J$2:$N$354,3,FALSE))</f>
        <v>_</v>
      </c>
      <c r="AM925" s="47"/>
      <c r="AN925" s="4" t="s">
        <v>16</v>
      </c>
      <c r="AO925" s="43" t="str">
        <f>IF(VLOOKUP(AN925,βοηθητικό!$J$2:$N$354,3,FALSE)="","",VLOOKUP(AN925,βοηθητικό!$J$2:$N$354,3,FALSE))</f>
        <v>_</v>
      </c>
      <c r="AP925" s="44"/>
      <c r="AQ925" s="5" t="s">
        <v>16</v>
      </c>
      <c r="AR925" s="46" t="str">
        <f>IF(VLOOKUP(AQ925,βοηθητικό!$J$2:$N$354,3,FALSE)="","",VLOOKUP(AQ925,βοηθητικό!$J$2:$N$354,3,FALSE))</f>
        <v>_</v>
      </c>
      <c r="AS925" s="47"/>
      <c r="AT925" s="4" t="s">
        <v>16</v>
      </c>
      <c r="AU925" s="43" t="str">
        <f>IF(VLOOKUP(AT925,βοηθητικό!$J$2:$N$354,3,FALSE)="","",VLOOKUP(AT925,βοηθητικό!$J$2:$N$354,3,FALSE))</f>
        <v>_</v>
      </c>
      <c r="AV925" s="44"/>
      <c r="AW925" s="5" t="s">
        <v>16</v>
      </c>
      <c r="AX925" s="46" t="str">
        <f>IF(VLOOKUP(AW925,βοηθητικό!$J$2:$N$354,3,FALSE)="","",VLOOKUP(AW925,βοηθητικό!$J$2:$N$354,3,FALSE))</f>
        <v>_</v>
      </c>
      <c r="AY925" s="47"/>
      <c r="AZ925" s="4" t="s">
        <v>16</v>
      </c>
      <c r="BA925" s="43" t="str">
        <f>IF(VLOOKUP(AZ925,βοηθητικό!$J$2:$N$354,3,FALSE)="","",VLOOKUP(AZ925,βοηθητικό!$J$2:$N$354,3,FALSE))</f>
        <v>_</v>
      </c>
      <c r="BB925" s="44"/>
      <c r="BC925" s="45" t="s">
        <v>16</v>
      </c>
      <c r="BD925" s="46" t="str">
        <f>IF(VLOOKUP(BC925,βοηθητικό!$J$2:$N$354,3,FALSE)="","",VLOOKUP(BC925,βοηθητικό!$J$2:$N$354,3,FALSE))</f>
        <v>_</v>
      </c>
      <c r="BE925" s="47"/>
      <c r="BF925" s="42" t="s">
        <v>16</v>
      </c>
      <c r="BG925" s="43" t="str">
        <f>IF(VLOOKUP(BF925,βοηθητικό!$J$2:$N$354,3,FALSE)="","",VLOOKUP(BF925,βοηθητικό!$J$2:$N$354,3,FALSE))</f>
        <v>_</v>
      </c>
      <c r="BH925" s="44"/>
      <c r="BI925" s="45" t="s">
        <v>16</v>
      </c>
      <c r="BJ925" s="46" t="str">
        <f>IF(VLOOKUP(BI925,βοηθητικό!$J$2:$N$354,3,FALSE)="","",VLOOKUP(BI925,βοηθητικό!$J$2:$N$354,3,FALSE))</f>
        <v>_</v>
      </c>
      <c r="BK925" s="47"/>
      <c r="BL925" s="42" t="s">
        <v>16</v>
      </c>
      <c r="BM925" s="43" t="str">
        <f>IF(VLOOKUP(BL925,βοηθητικό!$J$2:$N$354,3,FALSE)="","",VLOOKUP(BL925,βοηθητικό!$J$2:$N$354,3,FALSE))</f>
        <v>_</v>
      </c>
      <c r="BN925" s="44"/>
      <c r="BO925" s="45" t="s">
        <v>16</v>
      </c>
      <c r="BP925" s="46" t="str">
        <f>IF(VLOOKUP(BO925,βοηθητικό!$J$2:$N$354,3,FALSE)="","",VLOOKUP(BO925,βοηθητικό!$J$2:$N$354,3,FALSE))</f>
        <v>_</v>
      </c>
      <c r="BQ925" s="47"/>
      <c r="BR925" s="42" t="s">
        <v>16</v>
      </c>
      <c r="BS925" s="43" t="str">
        <f>IF(VLOOKUP(BR925,βοηθητικό!$J$2:$N$354,3,FALSE)="","",VLOOKUP(BR925,βοηθητικό!$J$2:$N$354,3,FALSE))</f>
        <v>_</v>
      </c>
      <c r="BT925" s="44"/>
      <c r="BU925" s="45" t="s">
        <v>16</v>
      </c>
      <c r="BV925" s="46" t="str">
        <f>IF(VLOOKUP(BU925,βοηθητικό!$J$2:$N$354,3,FALSE)="","",VLOOKUP(BU925,βοηθητικό!$J$2:$N$354,3,FALSE))</f>
        <v>_</v>
      </c>
      <c r="BW925" s="47"/>
      <c r="BX925" s="42" t="s">
        <v>16</v>
      </c>
      <c r="BY925" s="43" t="str">
        <f>IF(VLOOKUP(BX925,βοηθητικό!$J$2:$N$354,3,FALSE)="","",VLOOKUP(BX925,βοηθητικό!$J$2:$N$354,3,FALSE))</f>
        <v>_</v>
      </c>
      <c r="BZ925" s="44"/>
      <c r="CA925" s="45" t="s">
        <v>16</v>
      </c>
      <c r="CB925" s="46" t="str">
        <f>IF(VLOOKUP(CA925,βοηθητικό!$J$2:$N$354,3,FALSE)="","",VLOOKUP(CA925,βοηθητικό!$J$2:$N$354,3,FALSE))</f>
        <v>_</v>
      </c>
      <c r="CC925" s="47"/>
      <c r="CD925" s="42" t="s">
        <v>16</v>
      </c>
      <c r="CE925" s="43" t="str">
        <f>IF(VLOOKUP(CD925,βοηθητικό!$J$2:$N$354,3,FALSE)="","",VLOOKUP(CD925,βοηθητικό!$J$2:$N$354,3,FALSE))</f>
        <v>_</v>
      </c>
      <c r="CF925" s="44"/>
      <c r="CG925" s="45" t="s">
        <v>16</v>
      </c>
      <c r="CH925" s="46" t="str">
        <f>IF(VLOOKUP(CG925,βοηθητικό!$J$2:$N$354,3,FALSE)="","",VLOOKUP(CG925,βοηθητικό!$J$2:$N$354,3,FALSE))</f>
        <v>_</v>
      </c>
      <c r="CI925" s="47"/>
      <c r="CJ925" s="42" t="s">
        <v>16</v>
      </c>
      <c r="CK925" s="43" t="str">
        <f>IF(VLOOKUP(CJ925,βοηθητικό!$J$2:$N$354,3,FALSE)="","",VLOOKUP(CJ925,βοηθητικό!$J$2:$N$354,3,FALSE))</f>
        <v>_</v>
      </c>
      <c r="CL925" s="44"/>
      <c r="CM925" s="45" t="s">
        <v>16</v>
      </c>
      <c r="CN925" s="46" t="str">
        <f>IF(VLOOKUP(CM925,βοηθητικό!$J$2:$N$354,3,FALSE)="","",VLOOKUP(CM925,βοηθητικό!$J$2:$N$354,3,FALSE))</f>
        <v>_</v>
      </c>
      <c r="CO925" s="47"/>
      <c r="CP925" s="42" t="s">
        <v>16</v>
      </c>
      <c r="CQ925" s="43" t="str">
        <f>IF(VLOOKUP(CP925,βοηθητικό!$J$2:$N$354,3,FALSE)="","",VLOOKUP(CP925,βοηθητικό!$J$2:$N$354,3,FALSE))</f>
        <v>_</v>
      </c>
      <c r="CR925" s="44"/>
      <c r="CS925" s="45" t="s">
        <v>16</v>
      </c>
      <c r="CT925" s="46" t="str">
        <f>IF(VLOOKUP(CS925,βοηθητικό!$J$2:$N$354,3,FALSE)="","",VLOOKUP(CS925,βοηθητικό!$J$2:$N$354,3,FALSE))</f>
        <v>_</v>
      </c>
      <c r="CU925" s="47"/>
    </row>
    <row r="926" spans="1:99" x14ac:dyDescent="0.25">
      <c r="A926" s="37">
        <f>--SUBTOTAL(3,$B$3:B925)</f>
        <v>198</v>
      </c>
      <c r="B926" s="2"/>
      <c r="C926" s="3"/>
      <c r="D926" s="55" t="s">
        <v>18</v>
      </c>
      <c r="E926" s="38" t="s">
        <v>16</v>
      </c>
      <c r="F926" s="38"/>
      <c r="G926" s="39" t="str">
        <f t="shared" si="44"/>
        <v>__</v>
      </c>
      <c r="H926" s="40" t="str">
        <f t="shared" si="45"/>
        <v>FALSE</v>
      </c>
      <c r="I926" s="41">
        <f t="shared" si="46"/>
        <v>0</v>
      </c>
      <c r="J926" s="4" t="s">
        <v>16</v>
      </c>
      <c r="K926" s="43" t="str">
        <f>IF(VLOOKUP(J926,βοηθητικό!$J$2:$N$354,3,FALSE)="","",VLOOKUP(J926,βοηθητικό!$J$2:$N$354,3,FALSE))</f>
        <v>_</v>
      </c>
      <c r="L926" s="44"/>
      <c r="M926" s="5" t="s">
        <v>16</v>
      </c>
      <c r="N926" s="46" t="str">
        <f>IF(VLOOKUP(M926,βοηθητικό!$J$2:$N$354,3,FALSE)="","",VLOOKUP(M926,βοηθητικό!$J$2:$N$354,3,FALSE))</f>
        <v>_</v>
      </c>
      <c r="O926" s="47"/>
      <c r="P926" s="4" t="s">
        <v>16</v>
      </c>
      <c r="Q926" s="43" t="str">
        <f>IF(VLOOKUP(P926,βοηθητικό!$J$2:$N$354,3,FALSE)="","",VLOOKUP(P926,βοηθητικό!$J$2:$N$354,3,FALSE))</f>
        <v>_</v>
      </c>
      <c r="R926" s="44"/>
      <c r="S926" s="5" t="s">
        <v>16</v>
      </c>
      <c r="T926" s="46" t="str">
        <f>IF(VLOOKUP(S926,βοηθητικό!$J$2:$N$354,3,FALSE)="","",VLOOKUP(S926,βοηθητικό!$J$2:$N$354,3,FALSE))</f>
        <v>_</v>
      </c>
      <c r="U926" s="47"/>
      <c r="V926" s="4" t="s">
        <v>16</v>
      </c>
      <c r="W926" s="43" t="str">
        <f>IF(VLOOKUP(V926,βοηθητικό!$J$2:$N$354,3,FALSE)="","",VLOOKUP(V926,βοηθητικό!$J$2:$N$354,3,FALSE))</f>
        <v>_</v>
      </c>
      <c r="X926" s="44"/>
      <c r="Y926" s="5" t="s">
        <v>16</v>
      </c>
      <c r="Z926" s="46" t="str">
        <f>IF(VLOOKUP(Y926,βοηθητικό!$J$2:$N$354,3,FALSE)="","",VLOOKUP(Y926,βοηθητικό!$J$2:$N$354,3,FALSE))</f>
        <v>_</v>
      </c>
      <c r="AA926" s="47"/>
      <c r="AB926" s="4" t="s">
        <v>16</v>
      </c>
      <c r="AC926" s="43" t="str">
        <f>IF(VLOOKUP(AB926,βοηθητικό!$J$2:$N$354,3,FALSE)="","",VLOOKUP(AB926,βοηθητικό!$J$2:$N$354,3,FALSE))</f>
        <v>_</v>
      </c>
      <c r="AD926" s="44"/>
      <c r="AE926" s="5" t="s">
        <v>16</v>
      </c>
      <c r="AF926" s="46" t="str">
        <f>IF(VLOOKUP(AE926,βοηθητικό!$J$2:$N$354,3,FALSE)="","",VLOOKUP(AE926,βοηθητικό!$J$2:$N$354,3,FALSE))</f>
        <v>_</v>
      </c>
      <c r="AG926" s="47"/>
      <c r="AH926" s="4" t="s">
        <v>16</v>
      </c>
      <c r="AI926" s="43" t="str">
        <f>IF(VLOOKUP(AH926,βοηθητικό!$J$2:$N$354,3,FALSE)="","",VLOOKUP(AH926,βοηθητικό!$J$2:$N$354,3,FALSE))</f>
        <v>_</v>
      </c>
      <c r="AJ926" s="44"/>
      <c r="AK926" s="5" t="s">
        <v>16</v>
      </c>
      <c r="AL926" s="46" t="str">
        <f>IF(VLOOKUP(AK926,βοηθητικό!$J$2:$N$354,3,FALSE)="","",VLOOKUP(AK926,βοηθητικό!$J$2:$N$354,3,FALSE))</f>
        <v>_</v>
      </c>
      <c r="AM926" s="47"/>
      <c r="AN926" s="4" t="s">
        <v>16</v>
      </c>
      <c r="AO926" s="43" t="str">
        <f>IF(VLOOKUP(AN926,βοηθητικό!$J$2:$N$354,3,FALSE)="","",VLOOKUP(AN926,βοηθητικό!$J$2:$N$354,3,FALSE))</f>
        <v>_</v>
      </c>
      <c r="AP926" s="44"/>
      <c r="AQ926" s="5" t="s">
        <v>16</v>
      </c>
      <c r="AR926" s="46" t="str">
        <f>IF(VLOOKUP(AQ926,βοηθητικό!$J$2:$N$354,3,FALSE)="","",VLOOKUP(AQ926,βοηθητικό!$J$2:$N$354,3,FALSE))</f>
        <v>_</v>
      </c>
      <c r="AS926" s="47"/>
      <c r="AT926" s="4" t="s">
        <v>16</v>
      </c>
      <c r="AU926" s="43" t="str">
        <f>IF(VLOOKUP(AT926,βοηθητικό!$J$2:$N$354,3,FALSE)="","",VLOOKUP(AT926,βοηθητικό!$J$2:$N$354,3,FALSE))</f>
        <v>_</v>
      </c>
      <c r="AV926" s="44"/>
      <c r="AW926" s="5" t="s">
        <v>16</v>
      </c>
      <c r="AX926" s="46" t="str">
        <f>IF(VLOOKUP(AW926,βοηθητικό!$J$2:$N$354,3,FALSE)="","",VLOOKUP(AW926,βοηθητικό!$J$2:$N$354,3,FALSE))</f>
        <v>_</v>
      </c>
      <c r="AY926" s="47"/>
      <c r="AZ926" s="4" t="s">
        <v>16</v>
      </c>
      <c r="BA926" s="43" t="str">
        <f>IF(VLOOKUP(AZ926,βοηθητικό!$J$2:$N$354,3,FALSE)="","",VLOOKUP(AZ926,βοηθητικό!$J$2:$N$354,3,FALSE))</f>
        <v>_</v>
      </c>
      <c r="BB926" s="44"/>
      <c r="BC926" s="45" t="s">
        <v>16</v>
      </c>
      <c r="BD926" s="46" t="str">
        <f>IF(VLOOKUP(BC926,βοηθητικό!$J$2:$N$354,3,FALSE)="","",VLOOKUP(BC926,βοηθητικό!$J$2:$N$354,3,FALSE))</f>
        <v>_</v>
      </c>
      <c r="BE926" s="47"/>
      <c r="BF926" s="42" t="s">
        <v>16</v>
      </c>
      <c r="BG926" s="43" t="str">
        <f>IF(VLOOKUP(BF926,βοηθητικό!$J$2:$N$354,3,FALSE)="","",VLOOKUP(BF926,βοηθητικό!$J$2:$N$354,3,FALSE))</f>
        <v>_</v>
      </c>
      <c r="BH926" s="44"/>
      <c r="BI926" s="45" t="s">
        <v>16</v>
      </c>
      <c r="BJ926" s="46" t="str">
        <f>IF(VLOOKUP(BI926,βοηθητικό!$J$2:$N$354,3,FALSE)="","",VLOOKUP(BI926,βοηθητικό!$J$2:$N$354,3,FALSE))</f>
        <v>_</v>
      </c>
      <c r="BK926" s="47"/>
      <c r="BL926" s="42" t="s">
        <v>16</v>
      </c>
      <c r="BM926" s="43" t="str">
        <f>IF(VLOOKUP(BL926,βοηθητικό!$J$2:$N$354,3,FALSE)="","",VLOOKUP(BL926,βοηθητικό!$J$2:$N$354,3,FALSE))</f>
        <v>_</v>
      </c>
      <c r="BN926" s="44"/>
      <c r="BO926" s="45" t="s">
        <v>16</v>
      </c>
      <c r="BP926" s="46" t="str">
        <f>IF(VLOOKUP(BO926,βοηθητικό!$J$2:$N$354,3,FALSE)="","",VLOOKUP(BO926,βοηθητικό!$J$2:$N$354,3,FALSE))</f>
        <v>_</v>
      </c>
      <c r="BQ926" s="47"/>
      <c r="BR926" s="42" t="s">
        <v>16</v>
      </c>
      <c r="BS926" s="43" t="str">
        <f>IF(VLOOKUP(BR926,βοηθητικό!$J$2:$N$354,3,FALSE)="","",VLOOKUP(BR926,βοηθητικό!$J$2:$N$354,3,FALSE))</f>
        <v>_</v>
      </c>
      <c r="BT926" s="44"/>
      <c r="BU926" s="45" t="s">
        <v>16</v>
      </c>
      <c r="BV926" s="46" t="str">
        <f>IF(VLOOKUP(BU926,βοηθητικό!$J$2:$N$354,3,FALSE)="","",VLOOKUP(BU926,βοηθητικό!$J$2:$N$354,3,FALSE))</f>
        <v>_</v>
      </c>
      <c r="BW926" s="47"/>
      <c r="BX926" s="42" t="s">
        <v>16</v>
      </c>
      <c r="BY926" s="43" t="str">
        <f>IF(VLOOKUP(BX926,βοηθητικό!$J$2:$N$354,3,FALSE)="","",VLOOKUP(BX926,βοηθητικό!$J$2:$N$354,3,FALSE))</f>
        <v>_</v>
      </c>
      <c r="BZ926" s="44"/>
      <c r="CA926" s="45" t="s">
        <v>16</v>
      </c>
      <c r="CB926" s="46" t="str">
        <f>IF(VLOOKUP(CA926,βοηθητικό!$J$2:$N$354,3,FALSE)="","",VLOOKUP(CA926,βοηθητικό!$J$2:$N$354,3,FALSE))</f>
        <v>_</v>
      </c>
      <c r="CC926" s="47"/>
      <c r="CD926" s="42" t="s">
        <v>16</v>
      </c>
      <c r="CE926" s="43" t="str">
        <f>IF(VLOOKUP(CD926,βοηθητικό!$J$2:$N$354,3,FALSE)="","",VLOOKUP(CD926,βοηθητικό!$J$2:$N$354,3,FALSE))</f>
        <v>_</v>
      </c>
      <c r="CF926" s="44"/>
      <c r="CG926" s="45" t="s">
        <v>16</v>
      </c>
      <c r="CH926" s="46" t="str">
        <f>IF(VLOOKUP(CG926,βοηθητικό!$J$2:$N$354,3,FALSE)="","",VLOOKUP(CG926,βοηθητικό!$J$2:$N$354,3,FALSE))</f>
        <v>_</v>
      </c>
      <c r="CI926" s="47"/>
      <c r="CJ926" s="42" t="s">
        <v>16</v>
      </c>
      <c r="CK926" s="43" t="str">
        <f>IF(VLOOKUP(CJ926,βοηθητικό!$J$2:$N$354,3,FALSE)="","",VLOOKUP(CJ926,βοηθητικό!$J$2:$N$354,3,FALSE))</f>
        <v>_</v>
      </c>
      <c r="CL926" s="44"/>
      <c r="CM926" s="45" t="s">
        <v>16</v>
      </c>
      <c r="CN926" s="46" t="str">
        <f>IF(VLOOKUP(CM926,βοηθητικό!$J$2:$N$354,3,FALSE)="","",VLOOKUP(CM926,βοηθητικό!$J$2:$N$354,3,FALSE))</f>
        <v>_</v>
      </c>
      <c r="CO926" s="47"/>
      <c r="CP926" s="42" t="s">
        <v>16</v>
      </c>
      <c r="CQ926" s="43" t="str">
        <f>IF(VLOOKUP(CP926,βοηθητικό!$J$2:$N$354,3,FALSE)="","",VLOOKUP(CP926,βοηθητικό!$J$2:$N$354,3,FALSE))</f>
        <v>_</v>
      </c>
      <c r="CR926" s="44"/>
      <c r="CS926" s="45" t="s">
        <v>16</v>
      </c>
      <c r="CT926" s="46" t="str">
        <f>IF(VLOOKUP(CS926,βοηθητικό!$J$2:$N$354,3,FALSE)="","",VLOOKUP(CS926,βοηθητικό!$J$2:$N$354,3,FALSE))</f>
        <v>_</v>
      </c>
      <c r="CU926" s="47"/>
    </row>
    <row r="927" spans="1:99" x14ac:dyDescent="0.25">
      <c r="A927" s="37">
        <f>--SUBTOTAL(3,$B$3:B926)</f>
        <v>198</v>
      </c>
      <c r="B927" s="2"/>
      <c r="C927" s="3"/>
      <c r="D927" s="55" t="s">
        <v>18</v>
      </c>
      <c r="E927" s="38" t="s">
        <v>16</v>
      </c>
      <c r="F927" s="38"/>
      <c r="G927" s="39" t="str">
        <f t="shared" si="44"/>
        <v>__</v>
      </c>
      <c r="H927" s="40" t="str">
        <f t="shared" si="45"/>
        <v>FALSE</v>
      </c>
      <c r="I927" s="41">
        <f t="shared" si="46"/>
        <v>0</v>
      </c>
      <c r="J927" s="4" t="s">
        <v>16</v>
      </c>
      <c r="K927" s="43" t="str">
        <f>IF(VLOOKUP(J927,βοηθητικό!$J$2:$N$354,3,FALSE)="","",VLOOKUP(J927,βοηθητικό!$J$2:$N$354,3,FALSE))</f>
        <v>_</v>
      </c>
      <c r="L927" s="44"/>
      <c r="M927" s="5" t="s">
        <v>16</v>
      </c>
      <c r="N927" s="46" t="str">
        <f>IF(VLOOKUP(M927,βοηθητικό!$J$2:$N$354,3,FALSE)="","",VLOOKUP(M927,βοηθητικό!$J$2:$N$354,3,FALSE))</f>
        <v>_</v>
      </c>
      <c r="O927" s="47"/>
      <c r="P927" s="4" t="s">
        <v>16</v>
      </c>
      <c r="Q927" s="43" t="str">
        <f>IF(VLOOKUP(P927,βοηθητικό!$J$2:$N$354,3,FALSE)="","",VLOOKUP(P927,βοηθητικό!$J$2:$N$354,3,FALSE))</f>
        <v>_</v>
      </c>
      <c r="R927" s="44"/>
      <c r="S927" s="5" t="s">
        <v>16</v>
      </c>
      <c r="T927" s="46" t="str">
        <f>IF(VLOOKUP(S927,βοηθητικό!$J$2:$N$354,3,FALSE)="","",VLOOKUP(S927,βοηθητικό!$J$2:$N$354,3,FALSE))</f>
        <v>_</v>
      </c>
      <c r="U927" s="47"/>
      <c r="V927" s="4" t="s">
        <v>16</v>
      </c>
      <c r="W927" s="43" t="str">
        <f>IF(VLOOKUP(V927,βοηθητικό!$J$2:$N$354,3,FALSE)="","",VLOOKUP(V927,βοηθητικό!$J$2:$N$354,3,FALSE))</f>
        <v>_</v>
      </c>
      <c r="X927" s="44"/>
      <c r="Y927" s="5" t="s">
        <v>16</v>
      </c>
      <c r="Z927" s="46" t="str">
        <f>IF(VLOOKUP(Y927,βοηθητικό!$J$2:$N$354,3,FALSE)="","",VLOOKUP(Y927,βοηθητικό!$J$2:$N$354,3,FALSE))</f>
        <v>_</v>
      </c>
      <c r="AA927" s="47"/>
      <c r="AB927" s="4" t="s">
        <v>16</v>
      </c>
      <c r="AC927" s="43" t="str">
        <f>IF(VLOOKUP(AB927,βοηθητικό!$J$2:$N$354,3,FALSE)="","",VLOOKUP(AB927,βοηθητικό!$J$2:$N$354,3,FALSE))</f>
        <v>_</v>
      </c>
      <c r="AD927" s="44"/>
      <c r="AE927" s="5" t="s">
        <v>16</v>
      </c>
      <c r="AF927" s="46" t="str">
        <f>IF(VLOOKUP(AE927,βοηθητικό!$J$2:$N$354,3,FALSE)="","",VLOOKUP(AE927,βοηθητικό!$J$2:$N$354,3,FALSE))</f>
        <v>_</v>
      </c>
      <c r="AG927" s="47"/>
      <c r="AH927" s="4" t="s">
        <v>16</v>
      </c>
      <c r="AI927" s="43" t="str">
        <f>IF(VLOOKUP(AH927,βοηθητικό!$J$2:$N$354,3,FALSE)="","",VLOOKUP(AH927,βοηθητικό!$J$2:$N$354,3,FALSE))</f>
        <v>_</v>
      </c>
      <c r="AJ927" s="44"/>
      <c r="AK927" s="5" t="s">
        <v>16</v>
      </c>
      <c r="AL927" s="46" t="str">
        <f>IF(VLOOKUP(AK927,βοηθητικό!$J$2:$N$354,3,FALSE)="","",VLOOKUP(AK927,βοηθητικό!$J$2:$N$354,3,FALSE))</f>
        <v>_</v>
      </c>
      <c r="AM927" s="47"/>
      <c r="AN927" s="4" t="s">
        <v>16</v>
      </c>
      <c r="AO927" s="43" t="str">
        <f>IF(VLOOKUP(AN927,βοηθητικό!$J$2:$N$354,3,FALSE)="","",VLOOKUP(AN927,βοηθητικό!$J$2:$N$354,3,FALSE))</f>
        <v>_</v>
      </c>
      <c r="AP927" s="44"/>
      <c r="AQ927" s="5" t="s">
        <v>16</v>
      </c>
      <c r="AR927" s="46" t="str">
        <f>IF(VLOOKUP(AQ927,βοηθητικό!$J$2:$N$354,3,FALSE)="","",VLOOKUP(AQ927,βοηθητικό!$J$2:$N$354,3,FALSE))</f>
        <v>_</v>
      </c>
      <c r="AS927" s="47"/>
      <c r="AT927" s="4" t="s">
        <v>16</v>
      </c>
      <c r="AU927" s="43" t="str">
        <f>IF(VLOOKUP(AT927,βοηθητικό!$J$2:$N$354,3,FALSE)="","",VLOOKUP(AT927,βοηθητικό!$J$2:$N$354,3,FALSE))</f>
        <v>_</v>
      </c>
      <c r="AV927" s="44"/>
      <c r="AW927" s="5" t="s">
        <v>16</v>
      </c>
      <c r="AX927" s="46" t="str">
        <f>IF(VLOOKUP(AW927,βοηθητικό!$J$2:$N$354,3,FALSE)="","",VLOOKUP(AW927,βοηθητικό!$J$2:$N$354,3,FALSE))</f>
        <v>_</v>
      </c>
      <c r="AY927" s="47"/>
      <c r="AZ927" s="4" t="s">
        <v>16</v>
      </c>
      <c r="BA927" s="43" t="str">
        <f>IF(VLOOKUP(AZ927,βοηθητικό!$J$2:$N$354,3,FALSE)="","",VLOOKUP(AZ927,βοηθητικό!$J$2:$N$354,3,FALSE))</f>
        <v>_</v>
      </c>
      <c r="BB927" s="44"/>
      <c r="BC927" s="45" t="s">
        <v>16</v>
      </c>
      <c r="BD927" s="46" t="str">
        <f>IF(VLOOKUP(BC927,βοηθητικό!$J$2:$N$354,3,FALSE)="","",VLOOKUP(BC927,βοηθητικό!$J$2:$N$354,3,FALSE))</f>
        <v>_</v>
      </c>
      <c r="BE927" s="47"/>
      <c r="BF927" s="42" t="s">
        <v>16</v>
      </c>
      <c r="BG927" s="43" t="str">
        <f>IF(VLOOKUP(BF927,βοηθητικό!$J$2:$N$354,3,FALSE)="","",VLOOKUP(BF927,βοηθητικό!$J$2:$N$354,3,FALSE))</f>
        <v>_</v>
      </c>
      <c r="BH927" s="44"/>
      <c r="BI927" s="45" t="s">
        <v>16</v>
      </c>
      <c r="BJ927" s="46" t="str">
        <f>IF(VLOOKUP(BI927,βοηθητικό!$J$2:$N$354,3,FALSE)="","",VLOOKUP(BI927,βοηθητικό!$J$2:$N$354,3,FALSE))</f>
        <v>_</v>
      </c>
      <c r="BK927" s="47"/>
      <c r="BL927" s="42" t="s">
        <v>16</v>
      </c>
      <c r="BM927" s="43" t="str">
        <f>IF(VLOOKUP(BL927,βοηθητικό!$J$2:$N$354,3,FALSE)="","",VLOOKUP(BL927,βοηθητικό!$J$2:$N$354,3,FALSE))</f>
        <v>_</v>
      </c>
      <c r="BN927" s="44"/>
      <c r="BO927" s="45" t="s">
        <v>16</v>
      </c>
      <c r="BP927" s="46" t="str">
        <f>IF(VLOOKUP(BO927,βοηθητικό!$J$2:$N$354,3,FALSE)="","",VLOOKUP(BO927,βοηθητικό!$J$2:$N$354,3,FALSE))</f>
        <v>_</v>
      </c>
      <c r="BQ927" s="47"/>
      <c r="BR927" s="42" t="s">
        <v>16</v>
      </c>
      <c r="BS927" s="43" t="str">
        <f>IF(VLOOKUP(BR927,βοηθητικό!$J$2:$N$354,3,FALSE)="","",VLOOKUP(BR927,βοηθητικό!$J$2:$N$354,3,FALSE))</f>
        <v>_</v>
      </c>
      <c r="BT927" s="44"/>
      <c r="BU927" s="45" t="s">
        <v>16</v>
      </c>
      <c r="BV927" s="46" t="str">
        <f>IF(VLOOKUP(BU927,βοηθητικό!$J$2:$N$354,3,FALSE)="","",VLOOKUP(BU927,βοηθητικό!$J$2:$N$354,3,FALSE))</f>
        <v>_</v>
      </c>
      <c r="BW927" s="47"/>
      <c r="BX927" s="42" t="s">
        <v>16</v>
      </c>
      <c r="BY927" s="43" t="str">
        <f>IF(VLOOKUP(BX927,βοηθητικό!$J$2:$N$354,3,FALSE)="","",VLOOKUP(BX927,βοηθητικό!$J$2:$N$354,3,FALSE))</f>
        <v>_</v>
      </c>
      <c r="BZ927" s="44"/>
      <c r="CA927" s="45" t="s">
        <v>16</v>
      </c>
      <c r="CB927" s="46" t="str">
        <f>IF(VLOOKUP(CA927,βοηθητικό!$J$2:$N$354,3,FALSE)="","",VLOOKUP(CA927,βοηθητικό!$J$2:$N$354,3,FALSE))</f>
        <v>_</v>
      </c>
      <c r="CC927" s="47"/>
      <c r="CD927" s="42" t="s">
        <v>16</v>
      </c>
      <c r="CE927" s="43" t="str">
        <f>IF(VLOOKUP(CD927,βοηθητικό!$J$2:$N$354,3,FALSE)="","",VLOOKUP(CD927,βοηθητικό!$J$2:$N$354,3,FALSE))</f>
        <v>_</v>
      </c>
      <c r="CF927" s="44"/>
      <c r="CG927" s="45" t="s">
        <v>16</v>
      </c>
      <c r="CH927" s="46" t="str">
        <f>IF(VLOOKUP(CG927,βοηθητικό!$J$2:$N$354,3,FALSE)="","",VLOOKUP(CG927,βοηθητικό!$J$2:$N$354,3,FALSE))</f>
        <v>_</v>
      </c>
      <c r="CI927" s="47"/>
      <c r="CJ927" s="42" t="s">
        <v>16</v>
      </c>
      <c r="CK927" s="43" t="str">
        <f>IF(VLOOKUP(CJ927,βοηθητικό!$J$2:$N$354,3,FALSE)="","",VLOOKUP(CJ927,βοηθητικό!$J$2:$N$354,3,FALSE))</f>
        <v>_</v>
      </c>
      <c r="CL927" s="44"/>
      <c r="CM927" s="45" t="s">
        <v>16</v>
      </c>
      <c r="CN927" s="46" t="str">
        <f>IF(VLOOKUP(CM927,βοηθητικό!$J$2:$N$354,3,FALSE)="","",VLOOKUP(CM927,βοηθητικό!$J$2:$N$354,3,FALSE))</f>
        <v>_</v>
      </c>
      <c r="CO927" s="47"/>
      <c r="CP927" s="42" t="s">
        <v>16</v>
      </c>
      <c r="CQ927" s="43" t="str">
        <f>IF(VLOOKUP(CP927,βοηθητικό!$J$2:$N$354,3,FALSE)="","",VLOOKUP(CP927,βοηθητικό!$J$2:$N$354,3,FALSE))</f>
        <v>_</v>
      </c>
      <c r="CR927" s="44"/>
      <c r="CS927" s="45" t="s">
        <v>16</v>
      </c>
      <c r="CT927" s="46" t="str">
        <f>IF(VLOOKUP(CS927,βοηθητικό!$J$2:$N$354,3,FALSE)="","",VLOOKUP(CS927,βοηθητικό!$J$2:$N$354,3,FALSE))</f>
        <v>_</v>
      </c>
      <c r="CU927" s="47"/>
    </row>
    <row r="928" spans="1:99" x14ac:dyDescent="0.25">
      <c r="A928" s="37">
        <f>--SUBTOTAL(3,$B$3:B927)</f>
        <v>198</v>
      </c>
      <c r="B928" s="2"/>
      <c r="C928" s="3"/>
      <c r="D928" s="55" t="s">
        <v>18</v>
      </c>
      <c r="E928" s="38" t="s">
        <v>16</v>
      </c>
      <c r="F928" s="38"/>
      <c r="G928" s="39" t="str">
        <f t="shared" si="44"/>
        <v>__</v>
      </c>
      <c r="H928" s="40" t="str">
        <f t="shared" si="45"/>
        <v>FALSE</v>
      </c>
      <c r="I928" s="41">
        <f t="shared" si="46"/>
        <v>0</v>
      </c>
      <c r="J928" s="4" t="s">
        <v>16</v>
      </c>
      <c r="K928" s="43" t="str">
        <f>IF(VLOOKUP(J928,βοηθητικό!$J$2:$N$354,3,FALSE)="","",VLOOKUP(J928,βοηθητικό!$J$2:$N$354,3,FALSE))</f>
        <v>_</v>
      </c>
      <c r="L928" s="44"/>
      <c r="M928" s="5" t="s">
        <v>16</v>
      </c>
      <c r="N928" s="46" t="str">
        <f>IF(VLOOKUP(M928,βοηθητικό!$J$2:$N$354,3,FALSE)="","",VLOOKUP(M928,βοηθητικό!$J$2:$N$354,3,FALSE))</f>
        <v>_</v>
      </c>
      <c r="O928" s="47"/>
      <c r="P928" s="4" t="s">
        <v>16</v>
      </c>
      <c r="Q928" s="43" t="str">
        <f>IF(VLOOKUP(P928,βοηθητικό!$J$2:$N$354,3,FALSE)="","",VLOOKUP(P928,βοηθητικό!$J$2:$N$354,3,FALSE))</f>
        <v>_</v>
      </c>
      <c r="R928" s="44"/>
      <c r="S928" s="5" t="s">
        <v>16</v>
      </c>
      <c r="T928" s="46" t="str">
        <f>IF(VLOOKUP(S928,βοηθητικό!$J$2:$N$354,3,FALSE)="","",VLOOKUP(S928,βοηθητικό!$J$2:$N$354,3,FALSE))</f>
        <v>_</v>
      </c>
      <c r="U928" s="47"/>
      <c r="V928" s="4" t="s">
        <v>16</v>
      </c>
      <c r="W928" s="43" t="str">
        <f>IF(VLOOKUP(V928,βοηθητικό!$J$2:$N$354,3,FALSE)="","",VLOOKUP(V928,βοηθητικό!$J$2:$N$354,3,FALSE))</f>
        <v>_</v>
      </c>
      <c r="X928" s="44"/>
      <c r="Y928" s="5" t="s">
        <v>16</v>
      </c>
      <c r="Z928" s="46" t="str">
        <f>IF(VLOOKUP(Y928,βοηθητικό!$J$2:$N$354,3,FALSE)="","",VLOOKUP(Y928,βοηθητικό!$J$2:$N$354,3,FALSE))</f>
        <v>_</v>
      </c>
      <c r="AA928" s="47"/>
      <c r="AB928" s="4" t="s">
        <v>16</v>
      </c>
      <c r="AC928" s="43" t="str">
        <f>IF(VLOOKUP(AB928,βοηθητικό!$J$2:$N$354,3,FALSE)="","",VLOOKUP(AB928,βοηθητικό!$J$2:$N$354,3,FALSE))</f>
        <v>_</v>
      </c>
      <c r="AD928" s="44"/>
      <c r="AE928" s="5" t="s">
        <v>16</v>
      </c>
      <c r="AF928" s="46" t="str">
        <f>IF(VLOOKUP(AE928,βοηθητικό!$J$2:$N$354,3,FALSE)="","",VLOOKUP(AE928,βοηθητικό!$J$2:$N$354,3,FALSE))</f>
        <v>_</v>
      </c>
      <c r="AG928" s="47"/>
      <c r="AH928" s="4" t="s">
        <v>16</v>
      </c>
      <c r="AI928" s="43" t="str">
        <f>IF(VLOOKUP(AH928,βοηθητικό!$J$2:$N$354,3,FALSE)="","",VLOOKUP(AH928,βοηθητικό!$J$2:$N$354,3,FALSE))</f>
        <v>_</v>
      </c>
      <c r="AJ928" s="44"/>
      <c r="AK928" s="5" t="s">
        <v>16</v>
      </c>
      <c r="AL928" s="46" t="str">
        <f>IF(VLOOKUP(AK928,βοηθητικό!$J$2:$N$354,3,FALSE)="","",VLOOKUP(AK928,βοηθητικό!$J$2:$N$354,3,FALSE))</f>
        <v>_</v>
      </c>
      <c r="AM928" s="47"/>
      <c r="AN928" s="4" t="s">
        <v>16</v>
      </c>
      <c r="AO928" s="43" t="str">
        <f>IF(VLOOKUP(AN928,βοηθητικό!$J$2:$N$354,3,FALSE)="","",VLOOKUP(AN928,βοηθητικό!$J$2:$N$354,3,FALSE))</f>
        <v>_</v>
      </c>
      <c r="AP928" s="44"/>
      <c r="AQ928" s="5" t="s">
        <v>16</v>
      </c>
      <c r="AR928" s="46" t="str">
        <f>IF(VLOOKUP(AQ928,βοηθητικό!$J$2:$N$354,3,FALSE)="","",VLOOKUP(AQ928,βοηθητικό!$J$2:$N$354,3,FALSE))</f>
        <v>_</v>
      </c>
      <c r="AS928" s="47"/>
      <c r="AT928" s="4" t="s">
        <v>16</v>
      </c>
      <c r="AU928" s="43" t="str">
        <f>IF(VLOOKUP(AT928,βοηθητικό!$J$2:$N$354,3,FALSE)="","",VLOOKUP(AT928,βοηθητικό!$J$2:$N$354,3,FALSE))</f>
        <v>_</v>
      </c>
      <c r="AV928" s="44"/>
      <c r="AW928" s="5" t="s">
        <v>16</v>
      </c>
      <c r="AX928" s="46" t="str">
        <f>IF(VLOOKUP(AW928,βοηθητικό!$J$2:$N$354,3,FALSE)="","",VLOOKUP(AW928,βοηθητικό!$J$2:$N$354,3,FALSE))</f>
        <v>_</v>
      </c>
      <c r="AY928" s="47"/>
      <c r="AZ928" s="4" t="s">
        <v>16</v>
      </c>
      <c r="BA928" s="43" t="str">
        <f>IF(VLOOKUP(AZ928,βοηθητικό!$J$2:$N$354,3,FALSE)="","",VLOOKUP(AZ928,βοηθητικό!$J$2:$N$354,3,FALSE))</f>
        <v>_</v>
      </c>
      <c r="BB928" s="44"/>
      <c r="BC928" s="45" t="s">
        <v>16</v>
      </c>
      <c r="BD928" s="46" t="str">
        <f>IF(VLOOKUP(BC928,βοηθητικό!$J$2:$N$354,3,FALSE)="","",VLOOKUP(BC928,βοηθητικό!$J$2:$N$354,3,FALSE))</f>
        <v>_</v>
      </c>
      <c r="BE928" s="47"/>
      <c r="BF928" s="42" t="s">
        <v>16</v>
      </c>
      <c r="BG928" s="43" t="str">
        <f>IF(VLOOKUP(BF928,βοηθητικό!$J$2:$N$354,3,FALSE)="","",VLOOKUP(BF928,βοηθητικό!$J$2:$N$354,3,FALSE))</f>
        <v>_</v>
      </c>
      <c r="BH928" s="44"/>
      <c r="BI928" s="45" t="s">
        <v>16</v>
      </c>
      <c r="BJ928" s="46" t="str">
        <f>IF(VLOOKUP(BI928,βοηθητικό!$J$2:$N$354,3,FALSE)="","",VLOOKUP(BI928,βοηθητικό!$J$2:$N$354,3,FALSE))</f>
        <v>_</v>
      </c>
      <c r="BK928" s="47"/>
      <c r="BL928" s="42" t="s">
        <v>16</v>
      </c>
      <c r="BM928" s="43" t="str">
        <f>IF(VLOOKUP(BL928,βοηθητικό!$J$2:$N$354,3,FALSE)="","",VLOOKUP(BL928,βοηθητικό!$J$2:$N$354,3,FALSE))</f>
        <v>_</v>
      </c>
      <c r="BN928" s="44"/>
      <c r="BO928" s="45" t="s">
        <v>16</v>
      </c>
      <c r="BP928" s="46" t="str">
        <f>IF(VLOOKUP(BO928,βοηθητικό!$J$2:$N$354,3,FALSE)="","",VLOOKUP(BO928,βοηθητικό!$J$2:$N$354,3,FALSE))</f>
        <v>_</v>
      </c>
      <c r="BQ928" s="47"/>
      <c r="BR928" s="42" t="s">
        <v>16</v>
      </c>
      <c r="BS928" s="43" t="str">
        <f>IF(VLOOKUP(BR928,βοηθητικό!$J$2:$N$354,3,FALSE)="","",VLOOKUP(BR928,βοηθητικό!$J$2:$N$354,3,FALSE))</f>
        <v>_</v>
      </c>
      <c r="BT928" s="44"/>
      <c r="BU928" s="45" t="s">
        <v>16</v>
      </c>
      <c r="BV928" s="46" t="str">
        <f>IF(VLOOKUP(BU928,βοηθητικό!$J$2:$N$354,3,FALSE)="","",VLOOKUP(BU928,βοηθητικό!$J$2:$N$354,3,FALSE))</f>
        <v>_</v>
      </c>
      <c r="BW928" s="47"/>
      <c r="BX928" s="42" t="s">
        <v>16</v>
      </c>
      <c r="BY928" s="43" t="str">
        <f>IF(VLOOKUP(BX928,βοηθητικό!$J$2:$N$354,3,FALSE)="","",VLOOKUP(BX928,βοηθητικό!$J$2:$N$354,3,FALSE))</f>
        <v>_</v>
      </c>
      <c r="BZ928" s="44"/>
      <c r="CA928" s="45" t="s">
        <v>16</v>
      </c>
      <c r="CB928" s="46" t="str">
        <f>IF(VLOOKUP(CA928,βοηθητικό!$J$2:$N$354,3,FALSE)="","",VLOOKUP(CA928,βοηθητικό!$J$2:$N$354,3,FALSE))</f>
        <v>_</v>
      </c>
      <c r="CC928" s="47"/>
      <c r="CD928" s="42" t="s">
        <v>16</v>
      </c>
      <c r="CE928" s="43" t="str">
        <f>IF(VLOOKUP(CD928,βοηθητικό!$J$2:$N$354,3,FALSE)="","",VLOOKUP(CD928,βοηθητικό!$J$2:$N$354,3,FALSE))</f>
        <v>_</v>
      </c>
      <c r="CF928" s="44"/>
      <c r="CG928" s="45" t="s">
        <v>16</v>
      </c>
      <c r="CH928" s="46" t="str">
        <f>IF(VLOOKUP(CG928,βοηθητικό!$J$2:$N$354,3,FALSE)="","",VLOOKUP(CG928,βοηθητικό!$J$2:$N$354,3,FALSE))</f>
        <v>_</v>
      </c>
      <c r="CI928" s="47"/>
      <c r="CJ928" s="42" t="s">
        <v>16</v>
      </c>
      <c r="CK928" s="43" t="str">
        <f>IF(VLOOKUP(CJ928,βοηθητικό!$J$2:$N$354,3,FALSE)="","",VLOOKUP(CJ928,βοηθητικό!$J$2:$N$354,3,FALSE))</f>
        <v>_</v>
      </c>
      <c r="CL928" s="44"/>
      <c r="CM928" s="45" t="s">
        <v>16</v>
      </c>
      <c r="CN928" s="46" t="str">
        <f>IF(VLOOKUP(CM928,βοηθητικό!$J$2:$N$354,3,FALSE)="","",VLOOKUP(CM928,βοηθητικό!$J$2:$N$354,3,FALSE))</f>
        <v>_</v>
      </c>
      <c r="CO928" s="47"/>
      <c r="CP928" s="42" t="s">
        <v>16</v>
      </c>
      <c r="CQ928" s="43" t="str">
        <f>IF(VLOOKUP(CP928,βοηθητικό!$J$2:$N$354,3,FALSE)="","",VLOOKUP(CP928,βοηθητικό!$J$2:$N$354,3,FALSE))</f>
        <v>_</v>
      </c>
      <c r="CR928" s="44"/>
      <c r="CS928" s="45" t="s">
        <v>16</v>
      </c>
      <c r="CT928" s="46" t="str">
        <f>IF(VLOOKUP(CS928,βοηθητικό!$J$2:$N$354,3,FALSE)="","",VLOOKUP(CS928,βοηθητικό!$J$2:$N$354,3,FALSE))</f>
        <v>_</v>
      </c>
      <c r="CU928" s="47"/>
    </row>
    <row r="929" spans="1:99" x14ac:dyDescent="0.25">
      <c r="A929" s="37">
        <f>--SUBTOTAL(3,$B$3:B928)</f>
        <v>198</v>
      </c>
      <c r="B929" s="2"/>
      <c r="C929" s="3"/>
      <c r="D929" s="55" t="s">
        <v>18</v>
      </c>
      <c r="E929" s="38" t="s">
        <v>16</v>
      </c>
      <c r="F929" s="38"/>
      <c r="G929" s="39" t="str">
        <f t="shared" si="44"/>
        <v>__</v>
      </c>
      <c r="H929" s="40" t="str">
        <f t="shared" si="45"/>
        <v>FALSE</v>
      </c>
      <c r="I929" s="41">
        <f t="shared" si="46"/>
        <v>0</v>
      </c>
      <c r="J929" s="4" t="s">
        <v>16</v>
      </c>
      <c r="K929" s="43" t="str">
        <f>IF(VLOOKUP(J929,βοηθητικό!$J$2:$N$354,3,FALSE)="","",VLOOKUP(J929,βοηθητικό!$J$2:$N$354,3,FALSE))</f>
        <v>_</v>
      </c>
      <c r="L929" s="44"/>
      <c r="M929" s="5" t="s">
        <v>16</v>
      </c>
      <c r="N929" s="46" t="str">
        <f>IF(VLOOKUP(M929,βοηθητικό!$J$2:$N$354,3,FALSE)="","",VLOOKUP(M929,βοηθητικό!$J$2:$N$354,3,FALSE))</f>
        <v>_</v>
      </c>
      <c r="O929" s="47"/>
      <c r="P929" s="4" t="s">
        <v>16</v>
      </c>
      <c r="Q929" s="43" t="str">
        <f>IF(VLOOKUP(P929,βοηθητικό!$J$2:$N$354,3,FALSE)="","",VLOOKUP(P929,βοηθητικό!$J$2:$N$354,3,FALSE))</f>
        <v>_</v>
      </c>
      <c r="R929" s="44"/>
      <c r="S929" s="5" t="s">
        <v>16</v>
      </c>
      <c r="T929" s="46" t="str">
        <f>IF(VLOOKUP(S929,βοηθητικό!$J$2:$N$354,3,FALSE)="","",VLOOKUP(S929,βοηθητικό!$J$2:$N$354,3,FALSE))</f>
        <v>_</v>
      </c>
      <c r="U929" s="47"/>
      <c r="V929" s="4" t="s">
        <v>16</v>
      </c>
      <c r="W929" s="43" t="str">
        <f>IF(VLOOKUP(V929,βοηθητικό!$J$2:$N$354,3,FALSE)="","",VLOOKUP(V929,βοηθητικό!$J$2:$N$354,3,FALSE))</f>
        <v>_</v>
      </c>
      <c r="X929" s="44"/>
      <c r="Y929" s="5" t="s">
        <v>16</v>
      </c>
      <c r="Z929" s="46" t="str">
        <f>IF(VLOOKUP(Y929,βοηθητικό!$J$2:$N$354,3,FALSE)="","",VLOOKUP(Y929,βοηθητικό!$J$2:$N$354,3,FALSE))</f>
        <v>_</v>
      </c>
      <c r="AA929" s="47"/>
      <c r="AB929" s="4" t="s">
        <v>16</v>
      </c>
      <c r="AC929" s="43" t="str">
        <f>IF(VLOOKUP(AB929,βοηθητικό!$J$2:$N$354,3,FALSE)="","",VLOOKUP(AB929,βοηθητικό!$J$2:$N$354,3,FALSE))</f>
        <v>_</v>
      </c>
      <c r="AD929" s="44"/>
      <c r="AE929" s="5" t="s">
        <v>16</v>
      </c>
      <c r="AF929" s="46" t="str">
        <f>IF(VLOOKUP(AE929,βοηθητικό!$J$2:$N$354,3,FALSE)="","",VLOOKUP(AE929,βοηθητικό!$J$2:$N$354,3,FALSE))</f>
        <v>_</v>
      </c>
      <c r="AG929" s="47"/>
      <c r="AH929" s="4" t="s">
        <v>16</v>
      </c>
      <c r="AI929" s="43" t="str">
        <f>IF(VLOOKUP(AH929,βοηθητικό!$J$2:$N$354,3,FALSE)="","",VLOOKUP(AH929,βοηθητικό!$J$2:$N$354,3,FALSE))</f>
        <v>_</v>
      </c>
      <c r="AJ929" s="44"/>
      <c r="AK929" s="5" t="s">
        <v>16</v>
      </c>
      <c r="AL929" s="46" t="str">
        <f>IF(VLOOKUP(AK929,βοηθητικό!$J$2:$N$354,3,FALSE)="","",VLOOKUP(AK929,βοηθητικό!$J$2:$N$354,3,FALSE))</f>
        <v>_</v>
      </c>
      <c r="AM929" s="47"/>
      <c r="AN929" s="4" t="s">
        <v>16</v>
      </c>
      <c r="AO929" s="43" t="str">
        <f>IF(VLOOKUP(AN929,βοηθητικό!$J$2:$N$354,3,FALSE)="","",VLOOKUP(AN929,βοηθητικό!$J$2:$N$354,3,FALSE))</f>
        <v>_</v>
      </c>
      <c r="AP929" s="44"/>
      <c r="AQ929" s="5" t="s">
        <v>16</v>
      </c>
      <c r="AR929" s="46" t="str">
        <f>IF(VLOOKUP(AQ929,βοηθητικό!$J$2:$N$354,3,FALSE)="","",VLOOKUP(AQ929,βοηθητικό!$J$2:$N$354,3,FALSE))</f>
        <v>_</v>
      </c>
      <c r="AS929" s="47"/>
      <c r="AT929" s="4" t="s">
        <v>16</v>
      </c>
      <c r="AU929" s="43" t="str">
        <f>IF(VLOOKUP(AT929,βοηθητικό!$J$2:$N$354,3,FALSE)="","",VLOOKUP(AT929,βοηθητικό!$J$2:$N$354,3,FALSE))</f>
        <v>_</v>
      </c>
      <c r="AV929" s="44"/>
      <c r="AW929" s="5" t="s">
        <v>16</v>
      </c>
      <c r="AX929" s="46" t="str">
        <f>IF(VLOOKUP(AW929,βοηθητικό!$J$2:$N$354,3,FALSE)="","",VLOOKUP(AW929,βοηθητικό!$J$2:$N$354,3,FALSE))</f>
        <v>_</v>
      </c>
      <c r="AY929" s="47"/>
      <c r="AZ929" s="4" t="s">
        <v>16</v>
      </c>
      <c r="BA929" s="43" t="str">
        <f>IF(VLOOKUP(AZ929,βοηθητικό!$J$2:$N$354,3,FALSE)="","",VLOOKUP(AZ929,βοηθητικό!$J$2:$N$354,3,FALSE))</f>
        <v>_</v>
      </c>
      <c r="BB929" s="44"/>
      <c r="BC929" s="45" t="s">
        <v>16</v>
      </c>
      <c r="BD929" s="46" t="str">
        <f>IF(VLOOKUP(BC929,βοηθητικό!$J$2:$N$354,3,FALSE)="","",VLOOKUP(BC929,βοηθητικό!$J$2:$N$354,3,FALSE))</f>
        <v>_</v>
      </c>
      <c r="BE929" s="47"/>
      <c r="BF929" s="42" t="s">
        <v>16</v>
      </c>
      <c r="BG929" s="43" t="str">
        <f>IF(VLOOKUP(BF929,βοηθητικό!$J$2:$N$354,3,FALSE)="","",VLOOKUP(BF929,βοηθητικό!$J$2:$N$354,3,FALSE))</f>
        <v>_</v>
      </c>
      <c r="BH929" s="44"/>
      <c r="BI929" s="45" t="s">
        <v>16</v>
      </c>
      <c r="BJ929" s="46" t="str">
        <f>IF(VLOOKUP(BI929,βοηθητικό!$J$2:$N$354,3,FALSE)="","",VLOOKUP(BI929,βοηθητικό!$J$2:$N$354,3,FALSE))</f>
        <v>_</v>
      </c>
      <c r="BK929" s="47"/>
      <c r="BL929" s="42" t="s">
        <v>16</v>
      </c>
      <c r="BM929" s="43" t="str">
        <f>IF(VLOOKUP(BL929,βοηθητικό!$J$2:$N$354,3,FALSE)="","",VLOOKUP(BL929,βοηθητικό!$J$2:$N$354,3,FALSE))</f>
        <v>_</v>
      </c>
      <c r="BN929" s="44"/>
      <c r="BO929" s="45" t="s">
        <v>16</v>
      </c>
      <c r="BP929" s="46" t="str">
        <f>IF(VLOOKUP(BO929,βοηθητικό!$J$2:$N$354,3,FALSE)="","",VLOOKUP(BO929,βοηθητικό!$J$2:$N$354,3,FALSE))</f>
        <v>_</v>
      </c>
      <c r="BQ929" s="47"/>
      <c r="BR929" s="42" t="s">
        <v>16</v>
      </c>
      <c r="BS929" s="43" t="str">
        <f>IF(VLOOKUP(BR929,βοηθητικό!$J$2:$N$354,3,FALSE)="","",VLOOKUP(BR929,βοηθητικό!$J$2:$N$354,3,FALSE))</f>
        <v>_</v>
      </c>
      <c r="BT929" s="44"/>
      <c r="BU929" s="45" t="s">
        <v>16</v>
      </c>
      <c r="BV929" s="46" t="str">
        <f>IF(VLOOKUP(BU929,βοηθητικό!$J$2:$N$354,3,FALSE)="","",VLOOKUP(BU929,βοηθητικό!$J$2:$N$354,3,FALSE))</f>
        <v>_</v>
      </c>
      <c r="BW929" s="47"/>
      <c r="BX929" s="42" t="s">
        <v>16</v>
      </c>
      <c r="BY929" s="43" t="str">
        <f>IF(VLOOKUP(BX929,βοηθητικό!$J$2:$N$354,3,FALSE)="","",VLOOKUP(BX929,βοηθητικό!$J$2:$N$354,3,FALSE))</f>
        <v>_</v>
      </c>
      <c r="BZ929" s="44"/>
      <c r="CA929" s="45" t="s">
        <v>16</v>
      </c>
      <c r="CB929" s="46" t="str">
        <f>IF(VLOOKUP(CA929,βοηθητικό!$J$2:$N$354,3,FALSE)="","",VLOOKUP(CA929,βοηθητικό!$J$2:$N$354,3,FALSE))</f>
        <v>_</v>
      </c>
      <c r="CC929" s="47"/>
      <c r="CD929" s="42" t="s">
        <v>16</v>
      </c>
      <c r="CE929" s="43" t="str">
        <f>IF(VLOOKUP(CD929,βοηθητικό!$J$2:$N$354,3,FALSE)="","",VLOOKUP(CD929,βοηθητικό!$J$2:$N$354,3,FALSE))</f>
        <v>_</v>
      </c>
      <c r="CF929" s="44"/>
      <c r="CG929" s="45" t="s">
        <v>16</v>
      </c>
      <c r="CH929" s="46" t="str">
        <f>IF(VLOOKUP(CG929,βοηθητικό!$J$2:$N$354,3,FALSE)="","",VLOOKUP(CG929,βοηθητικό!$J$2:$N$354,3,FALSE))</f>
        <v>_</v>
      </c>
      <c r="CI929" s="47"/>
      <c r="CJ929" s="42" t="s">
        <v>16</v>
      </c>
      <c r="CK929" s="43" t="str">
        <f>IF(VLOOKUP(CJ929,βοηθητικό!$J$2:$N$354,3,FALSE)="","",VLOOKUP(CJ929,βοηθητικό!$J$2:$N$354,3,FALSE))</f>
        <v>_</v>
      </c>
      <c r="CL929" s="44"/>
      <c r="CM929" s="45" t="s">
        <v>16</v>
      </c>
      <c r="CN929" s="46" t="str">
        <f>IF(VLOOKUP(CM929,βοηθητικό!$J$2:$N$354,3,FALSE)="","",VLOOKUP(CM929,βοηθητικό!$J$2:$N$354,3,FALSE))</f>
        <v>_</v>
      </c>
      <c r="CO929" s="47"/>
      <c r="CP929" s="42" t="s">
        <v>16</v>
      </c>
      <c r="CQ929" s="43" t="str">
        <f>IF(VLOOKUP(CP929,βοηθητικό!$J$2:$N$354,3,FALSE)="","",VLOOKUP(CP929,βοηθητικό!$J$2:$N$354,3,FALSE))</f>
        <v>_</v>
      </c>
      <c r="CR929" s="44"/>
      <c r="CS929" s="45" t="s">
        <v>16</v>
      </c>
      <c r="CT929" s="46" t="str">
        <f>IF(VLOOKUP(CS929,βοηθητικό!$J$2:$N$354,3,FALSE)="","",VLOOKUP(CS929,βοηθητικό!$J$2:$N$354,3,FALSE))</f>
        <v>_</v>
      </c>
      <c r="CU929" s="47"/>
    </row>
    <row r="930" spans="1:99" x14ac:dyDescent="0.25">
      <c r="A930" s="37">
        <f>--SUBTOTAL(3,$B$3:B929)</f>
        <v>198</v>
      </c>
      <c r="B930" s="2"/>
      <c r="C930" s="3"/>
      <c r="D930" s="55" t="s">
        <v>18</v>
      </c>
      <c r="E930" s="38" t="s">
        <v>16</v>
      </c>
      <c r="F930" s="38"/>
      <c r="G930" s="39" t="str">
        <f t="shared" si="44"/>
        <v>__</v>
      </c>
      <c r="H930" s="40" t="str">
        <f t="shared" si="45"/>
        <v>FALSE</v>
      </c>
      <c r="I930" s="41">
        <f t="shared" si="46"/>
        <v>0</v>
      </c>
      <c r="J930" s="4" t="s">
        <v>16</v>
      </c>
      <c r="K930" s="43" t="str">
        <f>IF(VLOOKUP(J930,βοηθητικό!$J$2:$N$354,3,FALSE)="","",VLOOKUP(J930,βοηθητικό!$J$2:$N$354,3,FALSE))</f>
        <v>_</v>
      </c>
      <c r="L930" s="44"/>
      <c r="M930" s="5" t="s">
        <v>16</v>
      </c>
      <c r="N930" s="46" t="str">
        <f>IF(VLOOKUP(M930,βοηθητικό!$J$2:$N$354,3,FALSE)="","",VLOOKUP(M930,βοηθητικό!$J$2:$N$354,3,FALSE))</f>
        <v>_</v>
      </c>
      <c r="O930" s="47"/>
      <c r="P930" s="4" t="s">
        <v>16</v>
      </c>
      <c r="Q930" s="43" t="str">
        <f>IF(VLOOKUP(P930,βοηθητικό!$J$2:$N$354,3,FALSE)="","",VLOOKUP(P930,βοηθητικό!$J$2:$N$354,3,FALSE))</f>
        <v>_</v>
      </c>
      <c r="R930" s="44"/>
      <c r="S930" s="5" t="s">
        <v>16</v>
      </c>
      <c r="T930" s="46" t="str">
        <f>IF(VLOOKUP(S930,βοηθητικό!$J$2:$N$354,3,FALSE)="","",VLOOKUP(S930,βοηθητικό!$J$2:$N$354,3,FALSE))</f>
        <v>_</v>
      </c>
      <c r="U930" s="47"/>
      <c r="V930" s="4" t="s">
        <v>16</v>
      </c>
      <c r="W930" s="43" t="str">
        <f>IF(VLOOKUP(V930,βοηθητικό!$J$2:$N$354,3,FALSE)="","",VLOOKUP(V930,βοηθητικό!$J$2:$N$354,3,FALSE))</f>
        <v>_</v>
      </c>
      <c r="X930" s="44"/>
      <c r="Y930" s="5" t="s">
        <v>16</v>
      </c>
      <c r="Z930" s="46" t="str">
        <f>IF(VLOOKUP(Y930,βοηθητικό!$J$2:$N$354,3,FALSE)="","",VLOOKUP(Y930,βοηθητικό!$J$2:$N$354,3,FALSE))</f>
        <v>_</v>
      </c>
      <c r="AA930" s="47"/>
      <c r="AB930" s="4" t="s">
        <v>16</v>
      </c>
      <c r="AC930" s="43" t="str">
        <f>IF(VLOOKUP(AB930,βοηθητικό!$J$2:$N$354,3,FALSE)="","",VLOOKUP(AB930,βοηθητικό!$J$2:$N$354,3,FALSE))</f>
        <v>_</v>
      </c>
      <c r="AD930" s="44"/>
      <c r="AE930" s="5" t="s">
        <v>16</v>
      </c>
      <c r="AF930" s="46" t="str">
        <f>IF(VLOOKUP(AE930,βοηθητικό!$J$2:$N$354,3,FALSE)="","",VLOOKUP(AE930,βοηθητικό!$J$2:$N$354,3,FALSE))</f>
        <v>_</v>
      </c>
      <c r="AG930" s="47"/>
      <c r="AH930" s="4" t="s">
        <v>16</v>
      </c>
      <c r="AI930" s="43" t="str">
        <f>IF(VLOOKUP(AH930,βοηθητικό!$J$2:$N$354,3,FALSE)="","",VLOOKUP(AH930,βοηθητικό!$J$2:$N$354,3,FALSE))</f>
        <v>_</v>
      </c>
      <c r="AJ930" s="44"/>
      <c r="AK930" s="5" t="s">
        <v>16</v>
      </c>
      <c r="AL930" s="46" t="str">
        <f>IF(VLOOKUP(AK930,βοηθητικό!$J$2:$N$354,3,FALSE)="","",VLOOKUP(AK930,βοηθητικό!$J$2:$N$354,3,FALSE))</f>
        <v>_</v>
      </c>
      <c r="AM930" s="47"/>
      <c r="AN930" s="4" t="s">
        <v>16</v>
      </c>
      <c r="AO930" s="43" t="str">
        <f>IF(VLOOKUP(AN930,βοηθητικό!$J$2:$N$354,3,FALSE)="","",VLOOKUP(AN930,βοηθητικό!$J$2:$N$354,3,FALSE))</f>
        <v>_</v>
      </c>
      <c r="AP930" s="44"/>
      <c r="AQ930" s="5" t="s">
        <v>16</v>
      </c>
      <c r="AR930" s="46" t="str">
        <f>IF(VLOOKUP(AQ930,βοηθητικό!$J$2:$N$354,3,FALSE)="","",VLOOKUP(AQ930,βοηθητικό!$J$2:$N$354,3,FALSE))</f>
        <v>_</v>
      </c>
      <c r="AS930" s="47"/>
      <c r="AT930" s="4" t="s">
        <v>16</v>
      </c>
      <c r="AU930" s="43" t="str">
        <f>IF(VLOOKUP(AT930,βοηθητικό!$J$2:$N$354,3,FALSE)="","",VLOOKUP(AT930,βοηθητικό!$J$2:$N$354,3,FALSE))</f>
        <v>_</v>
      </c>
      <c r="AV930" s="44"/>
      <c r="AW930" s="5" t="s">
        <v>16</v>
      </c>
      <c r="AX930" s="46" t="str">
        <f>IF(VLOOKUP(AW930,βοηθητικό!$J$2:$N$354,3,FALSE)="","",VLOOKUP(AW930,βοηθητικό!$J$2:$N$354,3,FALSE))</f>
        <v>_</v>
      </c>
      <c r="AY930" s="47"/>
      <c r="AZ930" s="4" t="s">
        <v>16</v>
      </c>
      <c r="BA930" s="43" t="str">
        <f>IF(VLOOKUP(AZ930,βοηθητικό!$J$2:$N$354,3,FALSE)="","",VLOOKUP(AZ930,βοηθητικό!$J$2:$N$354,3,FALSE))</f>
        <v>_</v>
      </c>
      <c r="BB930" s="44"/>
      <c r="BC930" s="45" t="s">
        <v>16</v>
      </c>
      <c r="BD930" s="46" t="str">
        <f>IF(VLOOKUP(BC930,βοηθητικό!$J$2:$N$354,3,FALSE)="","",VLOOKUP(BC930,βοηθητικό!$J$2:$N$354,3,FALSE))</f>
        <v>_</v>
      </c>
      <c r="BE930" s="47"/>
      <c r="BF930" s="42" t="s">
        <v>16</v>
      </c>
      <c r="BG930" s="43" t="str">
        <f>IF(VLOOKUP(BF930,βοηθητικό!$J$2:$N$354,3,FALSE)="","",VLOOKUP(BF930,βοηθητικό!$J$2:$N$354,3,FALSE))</f>
        <v>_</v>
      </c>
      <c r="BH930" s="44"/>
      <c r="BI930" s="45" t="s">
        <v>16</v>
      </c>
      <c r="BJ930" s="46" t="str">
        <f>IF(VLOOKUP(BI930,βοηθητικό!$J$2:$N$354,3,FALSE)="","",VLOOKUP(BI930,βοηθητικό!$J$2:$N$354,3,FALSE))</f>
        <v>_</v>
      </c>
      <c r="BK930" s="47"/>
      <c r="BL930" s="42" t="s">
        <v>16</v>
      </c>
      <c r="BM930" s="43" t="str">
        <f>IF(VLOOKUP(BL930,βοηθητικό!$J$2:$N$354,3,FALSE)="","",VLOOKUP(BL930,βοηθητικό!$J$2:$N$354,3,FALSE))</f>
        <v>_</v>
      </c>
      <c r="BN930" s="44"/>
      <c r="BO930" s="45" t="s">
        <v>16</v>
      </c>
      <c r="BP930" s="46" t="str">
        <f>IF(VLOOKUP(BO930,βοηθητικό!$J$2:$N$354,3,FALSE)="","",VLOOKUP(BO930,βοηθητικό!$J$2:$N$354,3,FALSE))</f>
        <v>_</v>
      </c>
      <c r="BQ930" s="47"/>
      <c r="BR930" s="42" t="s">
        <v>16</v>
      </c>
      <c r="BS930" s="43" t="str">
        <f>IF(VLOOKUP(BR930,βοηθητικό!$J$2:$N$354,3,FALSE)="","",VLOOKUP(BR930,βοηθητικό!$J$2:$N$354,3,FALSE))</f>
        <v>_</v>
      </c>
      <c r="BT930" s="44"/>
      <c r="BU930" s="45" t="s">
        <v>16</v>
      </c>
      <c r="BV930" s="46" t="str">
        <f>IF(VLOOKUP(BU930,βοηθητικό!$J$2:$N$354,3,FALSE)="","",VLOOKUP(BU930,βοηθητικό!$J$2:$N$354,3,FALSE))</f>
        <v>_</v>
      </c>
      <c r="BW930" s="47"/>
      <c r="BX930" s="42" t="s">
        <v>16</v>
      </c>
      <c r="BY930" s="43" t="str">
        <f>IF(VLOOKUP(BX930,βοηθητικό!$J$2:$N$354,3,FALSE)="","",VLOOKUP(BX930,βοηθητικό!$J$2:$N$354,3,FALSE))</f>
        <v>_</v>
      </c>
      <c r="BZ930" s="44"/>
      <c r="CA930" s="45" t="s">
        <v>16</v>
      </c>
      <c r="CB930" s="46" t="str">
        <f>IF(VLOOKUP(CA930,βοηθητικό!$J$2:$N$354,3,FALSE)="","",VLOOKUP(CA930,βοηθητικό!$J$2:$N$354,3,FALSE))</f>
        <v>_</v>
      </c>
      <c r="CC930" s="47"/>
      <c r="CD930" s="42" t="s">
        <v>16</v>
      </c>
      <c r="CE930" s="43" t="str">
        <f>IF(VLOOKUP(CD930,βοηθητικό!$J$2:$N$354,3,FALSE)="","",VLOOKUP(CD930,βοηθητικό!$J$2:$N$354,3,FALSE))</f>
        <v>_</v>
      </c>
      <c r="CF930" s="44"/>
      <c r="CG930" s="45" t="s">
        <v>16</v>
      </c>
      <c r="CH930" s="46" t="str">
        <f>IF(VLOOKUP(CG930,βοηθητικό!$J$2:$N$354,3,FALSE)="","",VLOOKUP(CG930,βοηθητικό!$J$2:$N$354,3,FALSE))</f>
        <v>_</v>
      </c>
      <c r="CI930" s="47"/>
      <c r="CJ930" s="42" t="s">
        <v>16</v>
      </c>
      <c r="CK930" s="43" t="str">
        <f>IF(VLOOKUP(CJ930,βοηθητικό!$J$2:$N$354,3,FALSE)="","",VLOOKUP(CJ930,βοηθητικό!$J$2:$N$354,3,FALSE))</f>
        <v>_</v>
      </c>
      <c r="CL930" s="44"/>
      <c r="CM930" s="45" t="s">
        <v>16</v>
      </c>
      <c r="CN930" s="46" t="str">
        <f>IF(VLOOKUP(CM930,βοηθητικό!$J$2:$N$354,3,FALSE)="","",VLOOKUP(CM930,βοηθητικό!$J$2:$N$354,3,FALSE))</f>
        <v>_</v>
      </c>
      <c r="CO930" s="47"/>
      <c r="CP930" s="42" t="s">
        <v>16</v>
      </c>
      <c r="CQ930" s="43" t="str">
        <f>IF(VLOOKUP(CP930,βοηθητικό!$J$2:$N$354,3,FALSE)="","",VLOOKUP(CP930,βοηθητικό!$J$2:$N$354,3,FALSE))</f>
        <v>_</v>
      </c>
      <c r="CR930" s="44"/>
      <c r="CS930" s="45" t="s">
        <v>16</v>
      </c>
      <c r="CT930" s="46" t="str">
        <f>IF(VLOOKUP(CS930,βοηθητικό!$J$2:$N$354,3,FALSE)="","",VLOOKUP(CS930,βοηθητικό!$J$2:$N$354,3,FALSE))</f>
        <v>_</v>
      </c>
      <c r="CU930" s="47"/>
    </row>
    <row r="931" spans="1:99" x14ac:dyDescent="0.25">
      <c r="A931" s="37">
        <f>--SUBTOTAL(3,$B$3:B930)</f>
        <v>198</v>
      </c>
      <c r="B931" s="2"/>
      <c r="C931" s="3"/>
      <c r="D931" s="55" t="s">
        <v>18</v>
      </c>
      <c r="E931" s="38" t="s">
        <v>16</v>
      </c>
      <c r="F931" s="38"/>
      <c r="G931" s="39" t="str">
        <f t="shared" si="44"/>
        <v>__</v>
      </c>
      <c r="H931" s="40" t="str">
        <f t="shared" si="45"/>
        <v>FALSE</v>
      </c>
      <c r="I931" s="41">
        <f t="shared" si="46"/>
        <v>0</v>
      </c>
      <c r="J931" s="4" t="s">
        <v>16</v>
      </c>
      <c r="K931" s="43" t="str">
        <f>IF(VLOOKUP(J931,βοηθητικό!$J$2:$N$354,3,FALSE)="","",VLOOKUP(J931,βοηθητικό!$J$2:$N$354,3,FALSE))</f>
        <v>_</v>
      </c>
      <c r="L931" s="44"/>
      <c r="M931" s="5" t="s">
        <v>16</v>
      </c>
      <c r="N931" s="46" t="str">
        <f>IF(VLOOKUP(M931,βοηθητικό!$J$2:$N$354,3,FALSE)="","",VLOOKUP(M931,βοηθητικό!$J$2:$N$354,3,FALSE))</f>
        <v>_</v>
      </c>
      <c r="O931" s="47"/>
      <c r="P931" s="4" t="s">
        <v>16</v>
      </c>
      <c r="Q931" s="43" t="str">
        <f>IF(VLOOKUP(P931,βοηθητικό!$J$2:$N$354,3,FALSE)="","",VLOOKUP(P931,βοηθητικό!$J$2:$N$354,3,FALSE))</f>
        <v>_</v>
      </c>
      <c r="R931" s="44"/>
      <c r="S931" s="5" t="s">
        <v>16</v>
      </c>
      <c r="T931" s="46" t="str">
        <f>IF(VLOOKUP(S931,βοηθητικό!$J$2:$N$354,3,FALSE)="","",VLOOKUP(S931,βοηθητικό!$J$2:$N$354,3,FALSE))</f>
        <v>_</v>
      </c>
      <c r="U931" s="47"/>
      <c r="V931" s="4" t="s">
        <v>16</v>
      </c>
      <c r="W931" s="43" t="str">
        <f>IF(VLOOKUP(V931,βοηθητικό!$J$2:$N$354,3,FALSE)="","",VLOOKUP(V931,βοηθητικό!$J$2:$N$354,3,FALSE))</f>
        <v>_</v>
      </c>
      <c r="X931" s="44"/>
      <c r="Y931" s="5" t="s">
        <v>16</v>
      </c>
      <c r="Z931" s="46" t="str">
        <f>IF(VLOOKUP(Y931,βοηθητικό!$J$2:$N$354,3,FALSE)="","",VLOOKUP(Y931,βοηθητικό!$J$2:$N$354,3,FALSE))</f>
        <v>_</v>
      </c>
      <c r="AA931" s="47"/>
      <c r="AB931" s="4" t="s">
        <v>16</v>
      </c>
      <c r="AC931" s="43" t="str">
        <f>IF(VLOOKUP(AB931,βοηθητικό!$J$2:$N$354,3,FALSE)="","",VLOOKUP(AB931,βοηθητικό!$J$2:$N$354,3,FALSE))</f>
        <v>_</v>
      </c>
      <c r="AD931" s="44"/>
      <c r="AE931" s="5" t="s">
        <v>16</v>
      </c>
      <c r="AF931" s="46" t="str">
        <f>IF(VLOOKUP(AE931,βοηθητικό!$J$2:$N$354,3,FALSE)="","",VLOOKUP(AE931,βοηθητικό!$J$2:$N$354,3,FALSE))</f>
        <v>_</v>
      </c>
      <c r="AG931" s="47"/>
      <c r="AH931" s="4" t="s">
        <v>16</v>
      </c>
      <c r="AI931" s="43" t="str">
        <f>IF(VLOOKUP(AH931,βοηθητικό!$J$2:$N$354,3,FALSE)="","",VLOOKUP(AH931,βοηθητικό!$J$2:$N$354,3,FALSE))</f>
        <v>_</v>
      </c>
      <c r="AJ931" s="44"/>
      <c r="AK931" s="5" t="s">
        <v>16</v>
      </c>
      <c r="AL931" s="46" t="str">
        <f>IF(VLOOKUP(AK931,βοηθητικό!$J$2:$N$354,3,FALSE)="","",VLOOKUP(AK931,βοηθητικό!$J$2:$N$354,3,FALSE))</f>
        <v>_</v>
      </c>
      <c r="AM931" s="47"/>
      <c r="AN931" s="4" t="s">
        <v>16</v>
      </c>
      <c r="AO931" s="43" t="str">
        <f>IF(VLOOKUP(AN931,βοηθητικό!$J$2:$N$354,3,FALSE)="","",VLOOKUP(AN931,βοηθητικό!$J$2:$N$354,3,FALSE))</f>
        <v>_</v>
      </c>
      <c r="AP931" s="44"/>
      <c r="AQ931" s="5" t="s">
        <v>16</v>
      </c>
      <c r="AR931" s="46" t="str">
        <f>IF(VLOOKUP(AQ931,βοηθητικό!$J$2:$N$354,3,FALSE)="","",VLOOKUP(AQ931,βοηθητικό!$J$2:$N$354,3,FALSE))</f>
        <v>_</v>
      </c>
      <c r="AS931" s="47"/>
      <c r="AT931" s="4" t="s">
        <v>16</v>
      </c>
      <c r="AU931" s="43" t="str">
        <f>IF(VLOOKUP(AT931,βοηθητικό!$J$2:$N$354,3,FALSE)="","",VLOOKUP(AT931,βοηθητικό!$J$2:$N$354,3,FALSE))</f>
        <v>_</v>
      </c>
      <c r="AV931" s="44"/>
      <c r="AW931" s="5" t="s">
        <v>16</v>
      </c>
      <c r="AX931" s="46" t="str">
        <f>IF(VLOOKUP(AW931,βοηθητικό!$J$2:$N$354,3,FALSE)="","",VLOOKUP(AW931,βοηθητικό!$J$2:$N$354,3,FALSE))</f>
        <v>_</v>
      </c>
      <c r="AY931" s="47"/>
      <c r="AZ931" s="4" t="s">
        <v>16</v>
      </c>
      <c r="BA931" s="43" t="str">
        <f>IF(VLOOKUP(AZ931,βοηθητικό!$J$2:$N$354,3,FALSE)="","",VLOOKUP(AZ931,βοηθητικό!$J$2:$N$354,3,FALSE))</f>
        <v>_</v>
      </c>
      <c r="BB931" s="44"/>
      <c r="BC931" s="45" t="s">
        <v>16</v>
      </c>
      <c r="BD931" s="46" t="str">
        <f>IF(VLOOKUP(BC931,βοηθητικό!$J$2:$N$354,3,FALSE)="","",VLOOKUP(BC931,βοηθητικό!$J$2:$N$354,3,FALSE))</f>
        <v>_</v>
      </c>
      <c r="BE931" s="47"/>
      <c r="BF931" s="42" t="s">
        <v>16</v>
      </c>
      <c r="BG931" s="43" t="str">
        <f>IF(VLOOKUP(BF931,βοηθητικό!$J$2:$N$354,3,FALSE)="","",VLOOKUP(BF931,βοηθητικό!$J$2:$N$354,3,FALSE))</f>
        <v>_</v>
      </c>
      <c r="BH931" s="44"/>
      <c r="BI931" s="45" t="s">
        <v>16</v>
      </c>
      <c r="BJ931" s="46" t="str">
        <f>IF(VLOOKUP(BI931,βοηθητικό!$J$2:$N$354,3,FALSE)="","",VLOOKUP(BI931,βοηθητικό!$J$2:$N$354,3,FALSE))</f>
        <v>_</v>
      </c>
      <c r="BK931" s="47"/>
      <c r="BL931" s="42" t="s">
        <v>16</v>
      </c>
      <c r="BM931" s="43" t="str">
        <f>IF(VLOOKUP(BL931,βοηθητικό!$J$2:$N$354,3,FALSE)="","",VLOOKUP(BL931,βοηθητικό!$J$2:$N$354,3,FALSE))</f>
        <v>_</v>
      </c>
      <c r="BN931" s="44"/>
      <c r="BO931" s="45" t="s">
        <v>16</v>
      </c>
      <c r="BP931" s="46" t="str">
        <f>IF(VLOOKUP(BO931,βοηθητικό!$J$2:$N$354,3,FALSE)="","",VLOOKUP(BO931,βοηθητικό!$J$2:$N$354,3,FALSE))</f>
        <v>_</v>
      </c>
      <c r="BQ931" s="47"/>
      <c r="BR931" s="42" t="s">
        <v>16</v>
      </c>
      <c r="BS931" s="43" t="str">
        <f>IF(VLOOKUP(BR931,βοηθητικό!$J$2:$N$354,3,FALSE)="","",VLOOKUP(BR931,βοηθητικό!$J$2:$N$354,3,FALSE))</f>
        <v>_</v>
      </c>
      <c r="BT931" s="44"/>
      <c r="BU931" s="45" t="s">
        <v>16</v>
      </c>
      <c r="BV931" s="46" t="str">
        <f>IF(VLOOKUP(BU931,βοηθητικό!$J$2:$N$354,3,FALSE)="","",VLOOKUP(BU931,βοηθητικό!$J$2:$N$354,3,FALSE))</f>
        <v>_</v>
      </c>
      <c r="BW931" s="47"/>
      <c r="BX931" s="42" t="s">
        <v>16</v>
      </c>
      <c r="BY931" s="43" t="str">
        <f>IF(VLOOKUP(BX931,βοηθητικό!$J$2:$N$354,3,FALSE)="","",VLOOKUP(BX931,βοηθητικό!$J$2:$N$354,3,FALSE))</f>
        <v>_</v>
      </c>
      <c r="BZ931" s="44"/>
      <c r="CA931" s="45" t="s">
        <v>16</v>
      </c>
      <c r="CB931" s="46" t="str">
        <f>IF(VLOOKUP(CA931,βοηθητικό!$J$2:$N$354,3,FALSE)="","",VLOOKUP(CA931,βοηθητικό!$J$2:$N$354,3,FALSE))</f>
        <v>_</v>
      </c>
      <c r="CC931" s="47"/>
      <c r="CD931" s="42" t="s">
        <v>16</v>
      </c>
      <c r="CE931" s="43" t="str">
        <f>IF(VLOOKUP(CD931,βοηθητικό!$J$2:$N$354,3,FALSE)="","",VLOOKUP(CD931,βοηθητικό!$J$2:$N$354,3,FALSE))</f>
        <v>_</v>
      </c>
      <c r="CF931" s="44"/>
      <c r="CG931" s="45" t="s">
        <v>16</v>
      </c>
      <c r="CH931" s="46" t="str">
        <f>IF(VLOOKUP(CG931,βοηθητικό!$J$2:$N$354,3,FALSE)="","",VLOOKUP(CG931,βοηθητικό!$J$2:$N$354,3,FALSE))</f>
        <v>_</v>
      </c>
      <c r="CI931" s="47"/>
      <c r="CJ931" s="42" t="s">
        <v>16</v>
      </c>
      <c r="CK931" s="43" t="str">
        <f>IF(VLOOKUP(CJ931,βοηθητικό!$J$2:$N$354,3,FALSE)="","",VLOOKUP(CJ931,βοηθητικό!$J$2:$N$354,3,FALSE))</f>
        <v>_</v>
      </c>
      <c r="CL931" s="44"/>
      <c r="CM931" s="45" t="s">
        <v>16</v>
      </c>
      <c r="CN931" s="46" t="str">
        <f>IF(VLOOKUP(CM931,βοηθητικό!$J$2:$N$354,3,FALSE)="","",VLOOKUP(CM931,βοηθητικό!$J$2:$N$354,3,FALSE))</f>
        <v>_</v>
      </c>
      <c r="CO931" s="47"/>
      <c r="CP931" s="42" t="s">
        <v>16</v>
      </c>
      <c r="CQ931" s="43" t="str">
        <f>IF(VLOOKUP(CP931,βοηθητικό!$J$2:$N$354,3,FALSE)="","",VLOOKUP(CP931,βοηθητικό!$J$2:$N$354,3,FALSE))</f>
        <v>_</v>
      </c>
      <c r="CR931" s="44"/>
      <c r="CS931" s="45" t="s">
        <v>16</v>
      </c>
      <c r="CT931" s="46" t="str">
        <f>IF(VLOOKUP(CS931,βοηθητικό!$J$2:$N$354,3,FALSE)="","",VLOOKUP(CS931,βοηθητικό!$J$2:$N$354,3,FALSE))</f>
        <v>_</v>
      </c>
      <c r="CU931" s="47"/>
    </row>
    <row r="932" spans="1:99" x14ac:dyDescent="0.25">
      <c r="A932" s="37">
        <f>--SUBTOTAL(3,$B$3:B931)</f>
        <v>198</v>
      </c>
      <c r="B932" s="2"/>
      <c r="C932" s="3"/>
      <c r="D932" s="55" t="s">
        <v>18</v>
      </c>
      <c r="E932" s="38" t="s">
        <v>16</v>
      </c>
      <c r="F932" s="38"/>
      <c r="G932" s="39" t="str">
        <f t="shared" si="44"/>
        <v>__</v>
      </c>
      <c r="H932" s="40" t="str">
        <f t="shared" si="45"/>
        <v>FALSE</v>
      </c>
      <c r="I932" s="41">
        <f t="shared" si="46"/>
        <v>0</v>
      </c>
      <c r="J932" s="4" t="s">
        <v>16</v>
      </c>
      <c r="K932" s="43" t="str">
        <f>IF(VLOOKUP(J932,βοηθητικό!$J$2:$N$354,3,FALSE)="","",VLOOKUP(J932,βοηθητικό!$J$2:$N$354,3,FALSE))</f>
        <v>_</v>
      </c>
      <c r="L932" s="44"/>
      <c r="M932" s="5" t="s">
        <v>16</v>
      </c>
      <c r="N932" s="46" t="str">
        <f>IF(VLOOKUP(M932,βοηθητικό!$J$2:$N$354,3,FALSE)="","",VLOOKUP(M932,βοηθητικό!$J$2:$N$354,3,FALSE))</f>
        <v>_</v>
      </c>
      <c r="O932" s="47"/>
      <c r="P932" s="4" t="s">
        <v>16</v>
      </c>
      <c r="Q932" s="43" t="str">
        <f>IF(VLOOKUP(P932,βοηθητικό!$J$2:$N$354,3,FALSE)="","",VLOOKUP(P932,βοηθητικό!$J$2:$N$354,3,FALSE))</f>
        <v>_</v>
      </c>
      <c r="R932" s="44"/>
      <c r="S932" s="5" t="s">
        <v>16</v>
      </c>
      <c r="T932" s="46" t="str">
        <f>IF(VLOOKUP(S932,βοηθητικό!$J$2:$N$354,3,FALSE)="","",VLOOKUP(S932,βοηθητικό!$J$2:$N$354,3,FALSE))</f>
        <v>_</v>
      </c>
      <c r="U932" s="47"/>
      <c r="V932" s="4" t="s">
        <v>16</v>
      </c>
      <c r="W932" s="43" t="str">
        <f>IF(VLOOKUP(V932,βοηθητικό!$J$2:$N$354,3,FALSE)="","",VLOOKUP(V932,βοηθητικό!$J$2:$N$354,3,FALSE))</f>
        <v>_</v>
      </c>
      <c r="X932" s="44"/>
      <c r="Y932" s="5" t="s">
        <v>16</v>
      </c>
      <c r="Z932" s="46" t="str">
        <f>IF(VLOOKUP(Y932,βοηθητικό!$J$2:$N$354,3,FALSE)="","",VLOOKUP(Y932,βοηθητικό!$J$2:$N$354,3,FALSE))</f>
        <v>_</v>
      </c>
      <c r="AA932" s="47"/>
      <c r="AB932" s="4" t="s">
        <v>16</v>
      </c>
      <c r="AC932" s="43" t="str">
        <f>IF(VLOOKUP(AB932,βοηθητικό!$J$2:$N$354,3,FALSE)="","",VLOOKUP(AB932,βοηθητικό!$J$2:$N$354,3,FALSE))</f>
        <v>_</v>
      </c>
      <c r="AD932" s="44"/>
      <c r="AE932" s="5" t="s">
        <v>16</v>
      </c>
      <c r="AF932" s="46" t="str">
        <f>IF(VLOOKUP(AE932,βοηθητικό!$J$2:$N$354,3,FALSE)="","",VLOOKUP(AE932,βοηθητικό!$J$2:$N$354,3,FALSE))</f>
        <v>_</v>
      </c>
      <c r="AG932" s="47"/>
      <c r="AH932" s="4" t="s">
        <v>16</v>
      </c>
      <c r="AI932" s="43" t="str">
        <f>IF(VLOOKUP(AH932,βοηθητικό!$J$2:$N$354,3,FALSE)="","",VLOOKUP(AH932,βοηθητικό!$J$2:$N$354,3,FALSE))</f>
        <v>_</v>
      </c>
      <c r="AJ932" s="44"/>
      <c r="AK932" s="5" t="s">
        <v>16</v>
      </c>
      <c r="AL932" s="46" t="str">
        <f>IF(VLOOKUP(AK932,βοηθητικό!$J$2:$N$354,3,FALSE)="","",VLOOKUP(AK932,βοηθητικό!$J$2:$N$354,3,FALSE))</f>
        <v>_</v>
      </c>
      <c r="AM932" s="47"/>
      <c r="AN932" s="4" t="s">
        <v>16</v>
      </c>
      <c r="AO932" s="43" t="str">
        <f>IF(VLOOKUP(AN932,βοηθητικό!$J$2:$N$354,3,FALSE)="","",VLOOKUP(AN932,βοηθητικό!$J$2:$N$354,3,FALSE))</f>
        <v>_</v>
      </c>
      <c r="AP932" s="44"/>
      <c r="AQ932" s="5" t="s">
        <v>16</v>
      </c>
      <c r="AR932" s="46" t="str">
        <f>IF(VLOOKUP(AQ932,βοηθητικό!$J$2:$N$354,3,FALSE)="","",VLOOKUP(AQ932,βοηθητικό!$J$2:$N$354,3,FALSE))</f>
        <v>_</v>
      </c>
      <c r="AS932" s="47"/>
      <c r="AT932" s="4" t="s">
        <v>16</v>
      </c>
      <c r="AU932" s="43" t="str">
        <f>IF(VLOOKUP(AT932,βοηθητικό!$J$2:$N$354,3,FALSE)="","",VLOOKUP(AT932,βοηθητικό!$J$2:$N$354,3,FALSE))</f>
        <v>_</v>
      </c>
      <c r="AV932" s="44"/>
      <c r="AW932" s="5" t="s">
        <v>16</v>
      </c>
      <c r="AX932" s="46" t="str">
        <f>IF(VLOOKUP(AW932,βοηθητικό!$J$2:$N$354,3,FALSE)="","",VLOOKUP(AW932,βοηθητικό!$J$2:$N$354,3,FALSE))</f>
        <v>_</v>
      </c>
      <c r="AY932" s="47"/>
      <c r="AZ932" s="4" t="s">
        <v>16</v>
      </c>
      <c r="BA932" s="43" t="str">
        <f>IF(VLOOKUP(AZ932,βοηθητικό!$J$2:$N$354,3,FALSE)="","",VLOOKUP(AZ932,βοηθητικό!$J$2:$N$354,3,FALSE))</f>
        <v>_</v>
      </c>
      <c r="BB932" s="44"/>
      <c r="BC932" s="45" t="s">
        <v>16</v>
      </c>
      <c r="BD932" s="46" t="str">
        <f>IF(VLOOKUP(BC932,βοηθητικό!$J$2:$N$354,3,FALSE)="","",VLOOKUP(BC932,βοηθητικό!$J$2:$N$354,3,FALSE))</f>
        <v>_</v>
      </c>
      <c r="BE932" s="47"/>
      <c r="BF932" s="42" t="s">
        <v>16</v>
      </c>
      <c r="BG932" s="43" t="str">
        <f>IF(VLOOKUP(BF932,βοηθητικό!$J$2:$N$354,3,FALSE)="","",VLOOKUP(BF932,βοηθητικό!$J$2:$N$354,3,FALSE))</f>
        <v>_</v>
      </c>
      <c r="BH932" s="44"/>
      <c r="BI932" s="45" t="s">
        <v>16</v>
      </c>
      <c r="BJ932" s="46" t="str">
        <f>IF(VLOOKUP(BI932,βοηθητικό!$J$2:$N$354,3,FALSE)="","",VLOOKUP(BI932,βοηθητικό!$J$2:$N$354,3,FALSE))</f>
        <v>_</v>
      </c>
      <c r="BK932" s="47"/>
      <c r="BL932" s="42" t="s">
        <v>16</v>
      </c>
      <c r="BM932" s="43" t="str">
        <f>IF(VLOOKUP(BL932,βοηθητικό!$J$2:$N$354,3,FALSE)="","",VLOOKUP(BL932,βοηθητικό!$J$2:$N$354,3,FALSE))</f>
        <v>_</v>
      </c>
      <c r="BN932" s="44"/>
      <c r="BO932" s="45" t="s">
        <v>16</v>
      </c>
      <c r="BP932" s="46" t="str">
        <f>IF(VLOOKUP(BO932,βοηθητικό!$J$2:$N$354,3,FALSE)="","",VLOOKUP(BO932,βοηθητικό!$J$2:$N$354,3,FALSE))</f>
        <v>_</v>
      </c>
      <c r="BQ932" s="47"/>
      <c r="BR932" s="42" t="s">
        <v>16</v>
      </c>
      <c r="BS932" s="43" t="str">
        <f>IF(VLOOKUP(BR932,βοηθητικό!$J$2:$N$354,3,FALSE)="","",VLOOKUP(BR932,βοηθητικό!$J$2:$N$354,3,FALSE))</f>
        <v>_</v>
      </c>
      <c r="BT932" s="44"/>
      <c r="BU932" s="45" t="s">
        <v>16</v>
      </c>
      <c r="BV932" s="46" t="str">
        <f>IF(VLOOKUP(BU932,βοηθητικό!$J$2:$N$354,3,FALSE)="","",VLOOKUP(BU932,βοηθητικό!$J$2:$N$354,3,FALSE))</f>
        <v>_</v>
      </c>
      <c r="BW932" s="47"/>
      <c r="BX932" s="42" t="s">
        <v>16</v>
      </c>
      <c r="BY932" s="43" t="str">
        <f>IF(VLOOKUP(BX932,βοηθητικό!$J$2:$N$354,3,FALSE)="","",VLOOKUP(BX932,βοηθητικό!$J$2:$N$354,3,FALSE))</f>
        <v>_</v>
      </c>
      <c r="BZ932" s="44"/>
      <c r="CA932" s="45" t="s">
        <v>16</v>
      </c>
      <c r="CB932" s="46" t="str">
        <f>IF(VLOOKUP(CA932,βοηθητικό!$J$2:$N$354,3,FALSE)="","",VLOOKUP(CA932,βοηθητικό!$J$2:$N$354,3,FALSE))</f>
        <v>_</v>
      </c>
      <c r="CC932" s="47"/>
      <c r="CD932" s="42" t="s">
        <v>16</v>
      </c>
      <c r="CE932" s="43" t="str">
        <f>IF(VLOOKUP(CD932,βοηθητικό!$J$2:$N$354,3,FALSE)="","",VLOOKUP(CD932,βοηθητικό!$J$2:$N$354,3,FALSE))</f>
        <v>_</v>
      </c>
      <c r="CF932" s="44"/>
      <c r="CG932" s="45" t="s">
        <v>16</v>
      </c>
      <c r="CH932" s="46" t="str">
        <f>IF(VLOOKUP(CG932,βοηθητικό!$J$2:$N$354,3,FALSE)="","",VLOOKUP(CG932,βοηθητικό!$J$2:$N$354,3,FALSE))</f>
        <v>_</v>
      </c>
      <c r="CI932" s="47"/>
      <c r="CJ932" s="42" t="s">
        <v>16</v>
      </c>
      <c r="CK932" s="43" t="str">
        <f>IF(VLOOKUP(CJ932,βοηθητικό!$J$2:$N$354,3,FALSE)="","",VLOOKUP(CJ932,βοηθητικό!$J$2:$N$354,3,FALSE))</f>
        <v>_</v>
      </c>
      <c r="CL932" s="44"/>
      <c r="CM932" s="45" t="s">
        <v>16</v>
      </c>
      <c r="CN932" s="46" t="str">
        <f>IF(VLOOKUP(CM932,βοηθητικό!$J$2:$N$354,3,FALSE)="","",VLOOKUP(CM932,βοηθητικό!$J$2:$N$354,3,FALSE))</f>
        <v>_</v>
      </c>
      <c r="CO932" s="47"/>
      <c r="CP932" s="42" t="s">
        <v>16</v>
      </c>
      <c r="CQ932" s="43" t="str">
        <f>IF(VLOOKUP(CP932,βοηθητικό!$J$2:$N$354,3,FALSE)="","",VLOOKUP(CP932,βοηθητικό!$J$2:$N$354,3,FALSE))</f>
        <v>_</v>
      </c>
      <c r="CR932" s="44"/>
      <c r="CS932" s="45" t="s">
        <v>16</v>
      </c>
      <c r="CT932" s="46" t="str">
        <f>IF(VLOOKUP(CS932,βοηθητικό!$J$2:$N$354,3,FALSE)="","",VLOOKUP(CS932,βοηθητικό!$J$2:$N$354,3,FALSE))</f>
        <v>_</v>
      </c>
      <c r="CU932" s="47"/>
    </row>
    <row r="933" spans="1:99" x14ac:dyDescent="0.25">
      <c r="A933" s="37">
        <f>--SUBTOTAL(3,$B$3:B932)</f>
        <v>198</v>
      </c>
      <c r="B933" s="2"/>
      <c r="C933" s="3"/>
      <c r="D933" s="55" t="s">
        <v>18</v>
      </c>
      <c r="E933" s="38" t="s">
        <v>16</v>
      </c>
      <c r="F933" s="38"/>
      <c r="G933" s="39" t="str">
        <f t="shared" si="44"/>
        <v>__</v>
      </c>
      <c r="H933" s="40" t="str">
        <f t="shared" si="45"/>
        <v>FALSE</v>
      </c>
      <c r="I933" s="41">
        <f t="shared" si="46"/>
        <v>0</v>
      </c>
      <c r="J933" s="4" t="s">
        <v>16</v>
      </c>
      <c r="K933" s="43" t="str">
        <f>IF(VLOOKUP(J933,βοηθητικό!$J$2:$N$354,3,FALSE)="","",VLOOKUP(J933,βοηθητικό!$J$2:$N$354,3,FALSE))</f>
        <v>_</v>
      </c>
      <c r="L933" s="44"/>
      <c r="M933" s="5" t="s">
        <v>16</v>
      </c>
      <c r="N933" s="46" t="str">
        <f>IF(VLOOKUP(M933,βοηθητικό!$J$2:$N$354,3,FALSE)="","",VLOOKUP(M933,βοηθητικό!$J$2:$N$354,3,FALSE))</f>
        <v>_</v>
      </c>
      <c r="O933" s="47"/>
      <c r="P933" s="4" t="s">
        <v>16</v>
      </c>
      <c r="Q933" s="43" t="str">
        <f>IF(VLOOKUP(P933,βοηθητικό!$J$2:$N$354,3,FALSE)="","",VLOOKUP(P933,βοηθητικό!$J$2:$N$354,3,FALSE))</f>
        <v>_</v>
      </c>
      <c r="R933" s="44"/>
      <c r="S933" s="5" t="s">
        <v>16</v>
      </c>
      <c r="T933" s="46" t="str">
        <f>IF(VLOOKUP(S933,βοηθητικό!$J$2:$N$354,3,FALSE)="","",VLOOKUP(S933,βοηθητικό!$J$2:$N$354,3,FALSE))</f>
        <v>_</v>
      </c>
      <c r="U933" s="47"/>
      <c r="V933" s="4" t="s">
        <v>16</v>
      </c>
      <c r="W933" s="43" t="str">
        <f>IF(VLOOKUP(V933,βοηθητικό!$J$2:$N$354,3,FALSE)="","",VLOOKUP(V933,βοηθητικό!$J$2:$N$354,3,FALSE))</f>
        <v>_</v>
      </c>
      <c r="X933" s="44"/>
      <c r="Y933" s="5" t="s">
        <v>16</v>
      </c>
      <c r="Z933" s="46" t="str">
        <f>IF(VLOOKUP(Y933,βοηθητικό!$J$2:$N$354,3,FALSE)="","",VLOOKUP(Y933,βοηθητικό!$J$2:$N$354,3,FALSE))</f>
        <v>_</v>
      </c>
      <c r="AA933" s="47"/>
      <c r="AB933" s="4" t="s">
        <v>16</v>
      </c>
      <c r="AC933" s="43" t="str">
        <f>IF(VLOOKUP(AB933,βοηθητικό!$J$2:$N$354,3,FALSE)="","",VLOOKUP(AB933,βοηθητικό!$J$2:$N$354,3,FALSE))</f>
        <v>_</v>
      </c>
      <c r="AD933" s="44"/>
      <c r="AE933" s="5" t="s">
        <v>16</v>
      </c>
      <c r="AF933" s="46" t="str">
        <f>IF(VLOOKUP(AE933,βοηθητικό!$J$2:$N$354,3,FALSE)="","",VLOOKUP(AE933,βοηθητικό!$J$2:$N$354,3,FALSE))</f>
        <v>_</v>
      </c>
      <c r="AG933" s="47"/>
      <c r="AH933" s="4" t="s">
        <v>16</v>
      </c>
      <c r="AI933" s="43" t="str">
        <f>IF(VLOOKUP(AH933,βοηθητικό!$J$2:$N$354,3,FALSE)="","",VLOOKUP(AH933,βοηθητικό!$J$2:$N$354,3,FALSE))</f>
        <v>_</v>
      </c>
      <c r="AJ933" s="44"/>
      <c r="AK933" s="5" t="s">
        <v>16</v>
      </c>
      <c r="AL933" s="46" t="str">
        <f>IF(VLOOKUP(AK933,βοηθητικό!$J$2:$N$354,3,FALSE)="","",VLOOKUP(AK933,βοηθητικό!$J$2:$N$354,3,FALSE))</f>
        <v>_</v>
      </c>
      <c r="AM933" s="47"/>
      <c r="AN933" s="4" t="s">
        <v>16</v>
      </c>
      <c r="AO933" s="43" t="str">
        <f>IF(VLOOKUP(AN933,βοηθητικό!$J$2:$N$354,3,FALSE)="","",VLOOKUP(AN933,βοηθητικό!$J$2:$N$354,3,FALSE))</f>
        <v>_</v>
      </c>
      <c r="AP933" s="44"/>
      <c r="AQ933" s="5" t="s">
        <v>16</v>
      </c>
      <c r="AR933" s="46" t="str">
        <f>IF(VLOOKUP(AQ933,βοηθητικό!$J$2:$N$354,3,FALSE)="","",VLOOKUP(AQ933,βοηθητικό!$J$2:$N$354,3,FALSE))</f>
        <v>_</v>
      </c>
      <c r="AS933" s="47"/>
      <c r="AT933" s="4" t="s">
        <v>16</v>
      </c>
      <c r="AU933" s="43" t="str">
        <f>IF(VLOOKUP(AT933,βοηθητικό!$J$2:$N$354,3,FALSE)="","",VLOOKUP(AT933,βοηθητικό!$J$2:$N$354,3,FALSE))</f>
        <v>_</v>
      </c>
      <c r="AV933" s="44"/>
      <c r="AW933" s="5" t="s">
        <v>16</v>
      </c>
      <c r="AX933" s="46" t="str">
        <f>IF(VLOOKUP(AW933,βοηθητικό!$J$2:$N$354,3,FALSE)="","",VLOOKUP(AW933,βοηθητικό!$J$2:$N$354,3,FALSE))</f>
        <v>_</v>
      </c>
      <c r="AY933" s="47"/>
      <c r="AZ933" s="4" t="s">
        <v>16</v>
      </c>
      <c r="BA933" s="43" t="str">
        <f>IF(VLOOKUP(AZ933,βοηθητικό!$J$2:$N$354,3,FALSE)="","",VLOOKUP(AZ933,βοηθητικό!$J$2:$N$354,3,FALSE))</f>
        <v>_</v>
      </c>
      <c r="BB933" s="44"/>
      <c r="BC933" s="45" t="s">
        <v>16</v>
      </c>
      <c r="BD933" s="46" t="str">
        <f>IF(VLOOKUP(BC933,βοηθητικό!$J$2:$N$354,3,FALSE)="","",VLOOKUP(BC933,βοηθητικό!$J$2:$N$354,3,FALSE))</f>
        <v>_</v>
      </c>
      <c r="BE933" s="47"/>
      <c r="BF933" s="42" t="s">
        <v>16</v>
      </c>
      <c r="BG933" s="43" t="str">
        <f>IF(VLOOKUP(BF933,βοηθητικό!$J$2:$N$354,3,FALSE)="","",VLOOKUP(BF933,βοηθητικό!$J$2:$N$354,3,FALSE))</f>
        <v>_</v>
      </c>
      <c r="BH933" s="44"/>
      <c r="BI933" s="45" t="s">
        <v>16</v>
      </c>
      <c r="BJ933" s="46" t="str">
        <f>IF(VLOOKUP(BI933,βοηθητικό!$J$2:$N$354,3,FALSE)="","",VLOOKUP(BI933,βοηθητικό!$J$2:$N$354,3,FALSE))</f>
        <v>_</v>
      </c>
      <c r="BK933" s="47"/>
      <c r="BL933" s="42" t="s">
        <v>16</v>
      </c>
      <c r="BM933" s="43" t="str">
        <f>IF(VLOOKUP(BL933,βοηθητικό!$J$2:$N$354,3,FALSE)="","",VLOOKUP(BL933,βοηθητικό!$J$2:$N$354,3,FALSE))</f>
        <v>_</v>
      </c>
      <c r="BN933" s="44"/>
      <c r="BO933" s="45" t="s">
        <v>16</v>
      </c>
      <c r="BP933" s="46" t="str">
        <f>IF(VLOOKUP(BO933,βοηθητικό!$J$2:$N$354,3,FALSE)="","",VLOOKUP(BO933,βοηθητικό!$J$2:$N$354,3,FALSE))</f>
        <v>_</v>
      </c>
      <c r="BQ933" s="47"/>
      <c r="BR933" s="42" t="s">
        <v>16</v>
      </c>
      <c r="BS933" s="43" t="str">
        <f>IF(VLOOKUP(BR933,βοηθητικό!$J$2:$N$354,3,FALSE)="","",VLOOKUP(BR933,βοηθητικό!$J$2:$N$354,3,FALSE))</f>
        <v>_</v>
      </c>
      <c r="BT933" s="44"/>
      <c r="BU933" s="45" t="s">
        <v>16</v>
      </c>
      <c r="BV933" s="46" t="str">
        <f>IF(VLOOKUP(BU933,βοηθητικό!$J$2:$N$354,3,FALSE)="","",VLOOKUP(BU933,βοηθητικό!$J$2:$N$354,3,FALSE))</f>
        <v>_</v>
      </c>
      <c r="BW933" s="47"/>
      <c r="BX933" s="42" t="s">
        <v>16</v>
      </c>
      <c r="BY933" s="43" t="str">
        <f>IF(VLOOKUP(BX933,βοηθητικό!$J$2:$N$354,3,FALSE)="","",VLOOKUP(BX933,βοηθητικό!$J$2:$N$354,3,FALSE))</f>
        <v>_</v>
      </c>
      <c r="BZ933" s="44"/>
      <c r="CA933" s="45" t="s">
        <v>16</v>
      </c>
      <c r="CB933" s="46" t="str">
        <f>IF(VLOOKUP(CA933,βοηθητικό!$J$2:$N$354,3,FALSE)="","",VLOOKUP(CA933,βοηθητικό!$J$2:$N$354,3,FALSE))</f>
        <v>_</v>
      </c>
      <c r="CC933" s="47"/>
      <c r="CD933" s="42" t="s">
        <v>16</v>
      </c>
      <c r="CE933" s="43" t="str">
        <f>IF(VLOOKUP(CD933,βοηθητικό!$J$2:$N$354,3,FALSE)="","",VLOOKUP(CD933,βοηθητικό!$J$2:$N$354,3,FALSE))</f>
        <v>_</v>
      </c>
      <c r="CF933" s="44"/>
      <c r="CG933" s="45" t="s">
        <v>16</v>
      </c>
      <c r="CH933" s="46" t="str">
        <f>IF(VLOOKUP(CG933,βοηθητικό!$J$2:$N$354,3,FALSE)="","",VLOOKUP(CG933,βοηθητικό!$J$2:$N$354,3,FALSE))</f>
        <v>_</v>
      </c>
      <c r="CI933" s="47"/>
      <c r="CJ933" s="42" t="s">
        <v>16</v>
      </c>
      <c r="CK933" s="43" t="str">
        <f>IF(VLOOKUP(CJ933,βοηθητικό!$J$2:$N$354,3,FALSE)="","",VLOOKUP(CJ933,βοηθητικό!$J$2:$N$354,3,FALSE))</f>
        <v>_</v>
      </c>
      <c r="CL933" s="44"/>
      <c r="CM933" s="45" t="s">
        <v>16</v>
      </c>
      <c r="CN933" s="46" t="str">
        <f>IF(VLOOKUP(CM933,βοηθητικό!$J$2:$N$354,3,FALSE)="","",VLOOKUP(CM933,βοηθητικό!$J$2:$N$354,3,FALSE))</f>
        <v>_</v>
      </c>
      <c r="CO933" s="47"/>
      <c r="CP933" s="42" t="s">
        <v>16</v>
      </c>
      <c r="CQ933" s="43" t="str">
        <f>IF(VLOOKUP(CP933,βοηθητικό!$J$2:$N$354,3,FALSE)="","",VLOOKUP(CP933,βοηθητικό!$J$2:$N$354,3,FALSE))</f>
        <v>_</v>
      </c>
      <c r="CR933" s="44"/>
      <c r="CS933" s="45" t="s">
        <v>16</v>
      </c>
      <c r="CT933" s="46" t="str">
        <f>IF(VLOOKUP(CS933,βοηθητικό!$J$2:$N$354,3,FALSE)="","",VLOOKUP(CS933,βοηθητικό!$J$2:$N$354,3,FALSE))</f>
        <v>_</v>
      </c>
      <c r="CU933" s="47"/>
    </row>
    <row r="934" spans="1:99" x14ac:dyDescent="0.25">
      <c r="A934" s="37">
        <f>--SUBTOTAL(3,$B$3:B933)</f>
        <v>198</v>
      </c>
      <c r="B934" s="2"/>
      <c r="C934" s="3"/>
      <c r="D934" s="55" t="s">
        <v>18</v>
      </c>
      <c r="E934" s="38" t="s">
        <v>16</v>
      </c>
      <c r="F934" s="38"/>
      <c r="G934" s="39" t="str">
        <f t="shared" si="44"/>
        <v>__</v>
      </c>
      <c r="H934" s="40" t="str">
        <f t="shared" si="45"/>
        <v>FALSE</v>
      </c>
      <c r="I934" s="41">
        <f t="shared" si="46"/>
        <v>0</v>
      </c>
      <c r="J934" s="4" t="s">
        <v>16</v>
      </c>
      <c r="K934" s="43" t="str">
        <f>IF(VLOOKUP(J934,βοηθητικό!$J$2:$N$354,3,FALSE)="","",VLOOKUP(J934,βοηθητικό!$J$2:$N$354,3,FALSE))</f>
        <v>_</v>
      </c>
      <c r="L934" s="44"/>
      <c r="M934" s="5" t="s">
        <v>16</v>
      </c>
      <c r="N934" s="46" t="str">
        <f>IF(VLOOKUP(M934,βοηθητικό!$J$2:$N$354,3,FALSE)="","",VLOOKUP(M934,βοηθητικό!$J$2:$N$354,3,FALSE))</f>
        <v>_</v>
      </c>
      <c r="O934" s="47"/>
      <c r="P934" s="4" t="s">
        <v>16</v>
      </c>
      <c r="Q934" s="43" t="str">
        <f>IF(VLOOKUP(P934,βοηθητικό!$J$2:$N$354,3,FALSE)="","",VLOOKUP(P934,βοηθητικό!$J$2:$N$354,3,FALSE))</f>
        <v>_</v>
      </c>
      <c r="R934" s="44"/>
      <c r="S934" s="5" t="s">
        <v>16</v>
      </c>
      <c r="T934" s="46" t="str">
        <f>IF(VLOOKUP(S934,βοηθητικό!$J$2:$N$354,3,FALSE)="","",VLOOKUP(S934,βοηθητικό!$J$2:$N$354,3,FALSE))</f>
        <v>_</v>
      </c>
      <c r="U934" s="47"/>
      <c r="V934" s="4" t="s">
        <v>16</v>
      </c>
      <c r="W934" s="43" t="str">
        <f>IF(VLOOKUP(V934,βοηθητικό!$J$2:$N$354,3,FALSE)="","",VLOOKUP(V934,βοηθητικό!$J$2:$N$354,3,FALSE))</f>
        <v>_</v>
      </c>
      <c r="X934" s="44"/>
      <c r="Y934" s="5" t="s">
        <v>16</v>
      </c>
      <c r="Z934" s="46" t="str">
        <f>IF(VLOOKUP(Y934,βοηθητικό!$J$2:$N$354,3,FALSE)="","",VLOOKUP(Y934,βοηθητικό!$J$2:$N$354,3,FALSE))</f>
        <v>_</v>
      </c>
      <c r="AA934" s="47"/>
      <c r="AB934" s="4" t="s">
        <v>16</v>
      </c>
      <c r="AC934" s="43" t="str">
        <f>IF(VLOOKUP(AB934,βοηθητικό!$J$2:$N$354,3,FALSE)="","",VLOOKUP(AB934,βοηθητικό!$J$2:$N$354,3,FALSE))</f>
        <v>_</v>
      </c>
      <c r="AD934" s="44"/>
      <c r="AE934" s="5" t="s">
        <v>16</v>
      </c>
      <c r="AF934" s="46" t="str">
        <f>IF(VLOOKUP(AE934,βοηθητικό!$J$2:$N$354,3,FALSE)="","",VLOOKUP(AE934,βοηθητικό!$J$2:$N$354,3,FALSE))</f>
        <v>_</v>
      </c>
      <c r="AG934" s="47"/>
      <c r="AH934" s="4" t="s">
        <v>16</v>
      </c>
      <c r="AI934" s="43" t="str">
        <f>IF(VLOOKUP(AH934,βοηθητικό!$J$2:$N$354,3,FALSE)="","",VLOOKUP(AH934,βοηθητικό!$J$2:$N$354,3,FALSE))</f>
        <v>_</v>
      </c>
      <c r="AJ934" s="44"/>
      <c r="AK934" s="5" t="s">
        <v>16</v>
      </c>
      <c r="AL934" s="46" t="str">
        <f>IF(VLOOKUP(AK934,βοηθητικό!$J$2:$N$354,3,FALSE)="","",VLOOKUP(AK934,βοηθητικό!$J$2:$N$354,3,FALSE))</f>
        <v>_</v>
      </c>
      <c r="AM934" s="47"/>
      <c r="AN934" s="4" t="s">
        <v>16</v>
      </c>
      <c r="AO934" s="43" t="str">
        <f>IF(VLOOKUP(AN934,βοηθητικό!$J$2:$N$354,3,FALSE)="","",VLOOKUP(AN934,βοηθητικό!$J$2:$N$354,3,FALSE))</f>
        <v>_</v>
      </c>
      <c r="AP934" s="44"/>
      <c r="AQ934" s="5" t="s">
        <v>16</v>
      </c>
      <c r="AR934" s="46" t="str">
        <f>IF(VLOOKUP(AQ934,βοηθητικό!$J$2:$N$354,3,FALSE)="","",VLOOKUP(AQ934,βοηθητικό!$J$2:$N$354,3,FALSE))</f>
        <v>_</v>
      </c>
      <c r="AS934" s="47"/>
      <c r="AT934" s="4" t="s">
        <v>16</v>
      </c>
      <c r="AU934" s="43" t="str">
        <f>IF(VLOOKUP(AT934,βοηθητικό!$J$2:$N$354,3,FALSE)="","",VLOOKUP(AT934,βοηθητικό!$J$2:$N$354,3,FALSE))</f>
        <v>_</v>
      </c>
      <c r="AV934" s="44"/>
      <c r="AW934" s="5" t="s">
        <v>16</v>
      </c>
      <c r="AX934" s="46" t="str">
        <f>IF(VLOOKUP(AW934,βοηθητικό!$J$2:$N$354,3,FALSE)="","",VLOOKUP(AW934,βοηθητικό!$J$2:$N$354,3,FALSE))</f>
        <v>_</v>
      </c>
      <c r="AY934" s="47"/>
      <c r="AZ934" s="4" t="s">
        <v>16</v>
      </c>
      <c r="BA934" s="43" t="str">
        <f>IF(VLOOKUP(AZ934,βοηθητικό!$J$2:$N$354,3,FALSE)="","",VLOOKUP(AZ934,βοηθητικό!$J$2:$N$354,3,FALSE))</f>
        <v>_</v>
      </c>
      <c r="BB934" s="44"/>
      <c r="BC934" s="45" t="s">
        <v>16</v>
      </c>
      <c r="BD934" s="46" t="str">
        <f>IF(VLOOKUP(BC934,βοηθητικό!$J$2:$N$354,3,FALSE)="","",VLOOKUP(BC934,βοηθητικό!$J$2:$N$354,3,FALSE))</f>
        <v>_</v>
      </c>
      <c r="BE934" s="47"/>
      <c r="BF934" s="42" t="s">
        <v>16</v>
      </c>
      <c r="BG934" s="43" t="str">
        <f>IF(VLOOKUP(BF934,βοηθητικό!$J$2:$N$354,3,FALSE)="","",VLOOKUP(BF934,βοηθητικό!$J$2:$N$354,3,FALSE))</f>
        <v>_</v>
      </c>
      <c r="BH934" s="44"/>
      <c r="BI934" s="45" t="s">
        <v>16</v>
      </c>
      <c r="BJ934" s="46" t="str">
        <f>IF(VLOOKUP(BI934,βοηθητικό!$J$2:$N$354,3,FALSE)="","",VLOOKUP(BI934,βοηθητικό!$J$2:$N$354,3,FALSE))</f>
        <v>_</v>
      </c>
      <c r="BK934" s="47"/>
      <c r="BL934" s="42" t="s">
        <v>16</v>
      </c>
      <c r="BM934" s="43" t="str">
        <f>IF(VLOOKUP(BL934,βοηθητικό!$J$2:$N$354,3,FALSE)="","",VLOOKUP(BL934,βοηθητικό!$J$2:$N$354,3,FALSE))</f>
        <v>_</v>
      </c>
      <c r="BN934" s="44"/>
      <c r="BO934" s="45" t="s">
        <v>16</v>
      </c>
      <c r="BP934" s="46" t="str">
        <f>IF(VLOOKUP(BO934,βοηθητικό!$J$2:$N$354,3,FALSE)="","",VLOOKUP(BO934,βοηθητικό!$J$2:$N$354,3,FALSE))</f>
        <v>_</v>
      </c>
      <c r="BQ934" s="47"/>
      <c r="BR934" s="42" t="s">
        <v>16</v>
      </c>
      <c r="BS934" s="43" t="str">
        <f>IF(VLOOKUP(BR934,βοηθητικό!$J$2:$N$354,3,FALSE)="","",VLOOKUP(BR934,βοηθητικό!$J$2:$N$354,3,FALSE))</f>
        <v>_</v>
      </c>
      <c r="BT934" s="44"/>
      <c r="BU934" s="45" t="s">
        <v>16</v>
      </c>
      <c r="BV934" s="46" t="str">
        <f>IF(VLOOKUP(BU934,βοηθητικό!$J$2:$N$354,3,FALSE)="","",VLOOKUP(BU934,βοηθητικό!$J$2:$N$354,3,FALSE))</f>
        <v>_</v>
      </c>
      <c r="BW934" s="47"/>
      <c r="BX934" s="42" t="s">
        <v>16</v>
      </c>
      <c r="BY934" s="43" t="str">
        <f>IF(VLOOKUP(BX934,βοηθητικό!$J$2:$N$354,3,FALSE)="","",VLOOKUP(BX934,βοηθητικό!$J$2:$N$354,3,FALSE))</f>
        <v>_</v>
      </c>
      <c r="BZ934" s="44"/>
      <c r="CA934" s="45" t="s">
        <v>16</v>
      </c>
      <c r="CB934" s="46" t="str">
        <f>IF(VLOOKUP(CA934,βοηθητικό!$J$2:$N$354,3,FALSE)="","",VLOOKUP(CA934,βοηθητικό!$J$2:$N$354,3,FALSE))</f>
        <v>_</v>
      </c>
      <c r="CC934" s="47"/>
      <c r="CD934" s="42" t="s">
        <v>16</v>
      </c>
      <c r="CE934" s="43" t="str">
        <f>IF(VLOOKUP(CD934,βοηθητικό!$J$2:$N$354,3,FALSE)="","",VLOOKUP(CD934,βοηθητικό!$J$2:$N$354,3,FALSE))</f>
        <v>_</v>
      </c>
      <c r="CF934" s="44"/>
      <c r="CG934" s="45" t="s">
        <v>16</v>
      </c>
      <c r="CH934" s="46" t="str">
        <f>IF(VLOOKUP(CG934,βοηθητικό!$J$2:$N$354,3,FALSE)="","",VLOOKUP(CG934,βοηθητικό!$J$2:$N$354,3,FALSE))</f>
        <v>_</v>
      </c>
      <c r="CI934" s="47"/>
      <c r="CJ934" s="42" t="s">
        <v>16</v>
      </c>
      <c r="CK934" s="43" t="str">
        <f>IF(VLOOKUP(CJ934,βοηθητικό!$J$2:$N$354,3,FALSE)="","",VLOOKUP(CJ934,βοηθητικό!$J$2:$N$354,3,FALSE))</f>
        <v>_</v>
      </c>
      <c r="CL934" s="44"/>
      <c r="CM934" s="45" t="s">
        <v>16</v>
      </c>
      <c r="CN934" s="46" t="str">
        <f>IF(VLOOKUP(CM934,βοηθητικό!$J$2:$N$354,3,FALSE)="","",VLOOKUP(CM934,βοηθητικό!$J$2:$N$354,3,FALSE))</f>
        <v>_</v>
      </c>
      <c r="CO934" s="47"/>
      <c r="CP934" s="42" t="s">
        <v>16</v>
      </c>
      <c r="CQ934" s="43" t="str">
        <f>IF(VLOOKUP(CP934,βοηθητικό!$J$2:$N$354,3,FALSE)="","",VLOOKUP(CP934,βοηθητικό!$J$2:$N$354,3,FALSE))</f>
        <v>_</v>
      </c>
      <c r="CR934" s="44"/>
      <c r="CS934" s="45" t="s">
        <v>16</v>
      </c>
      <c r="CT934" s="46" t="str">
        <f>IF(VLOOKUP(CS934,βοηθητικό!$J$2:$N$354,3,FALSE)="","",VLOOKUP(CS934,βοηθητικό!$J$2:$N$354,3,FALSE))</f>
        <v>_</v>
      </c>
      <c r="CU934" s="47"/>
    </row>
    <row r="935" spans="1:99" x14ac:dyDescent="0.25">
      <c r="A935" s="37">
        <f>--SUBTOTAL(3,$B$3:B934)</f>
        <v>198</v>
      </c>
      <c r="B935" s="2"/>
      <c r="C935" s="3"/>
      <c r="D935" s="55" t="s">
        <v>18</v>
      </c>
      <c r="E935" s="38" t="s">
        <v>16</v>
      </c>
      <c r="F935" s="38"/>
      <c r="G935" s="39" t="str">
        <f t="shared" si="44"/>
        <v>__</v>
      </c>
      <c r="H935" s="40" t="str">
        <f t="shared" si="45"/>
        <v>FALSE</v>
      </c>
      <c r="I935" s="41">
        <f t="shared" si="46"/>
        <v>0</v>
      </c>
      <c r="J935" s="4" t="s">
        <v>16</v>
      </c>
      <c r="K935" s="43" t="str">
        <f>IF(VLOOKUP(J935,βοηθητικό!$J$2:$N$354,3,FALSE)="","",VLOOKUP(J935,βοηθητικό!$J$2:$N$354,3,FALSE))</f>
        <v>_</v>
      </c>
      <c r="L935" s="44"/>
      <c r="M935" s="5" t="s">
        <v>16</v>
      </c>
      <c r="N935" s="46" t="str">
        <f>IF(VLOOKUP(M935,βοηθητικό!$J$2:$N$354,3,FALSE)="","",VLOOKUP(M935,βοηθητικό!$J$2:$N$354,3,FALSE))</f>
        <v>_</v>
      </c>
      <c r="O935" s="47"/>
      <c r="P935" s="4" t="s">
        <v>16</v>
      </c>
      <c r="Q935" s="43" t="str">
        <f>IF(VLOOKUP(P935,βοηθητικό!$J$2:$N$354,3,FALSE)="","",VLOOKUP(P935,βοηθητικό!$J$2:$N$354,3,FALSE))</f>
        <v>_</v>
      </c>
      <c r="R935" s="44"/>
      <c r="S935" s="5" t="s">
        <v>16</v>
      </c>
      <c r="T935" s="46" t="str">
        <f>IF(VLOOKUP(S935,βοηθητικό!$J$2:$N$354,3,FALSE)="","",VLOOKUP(S935,βοηθητικό!$J$2:$N$354,3,FALSE))</f>
        <v>_</v>
      </c>
      <c r="U935" s="47"/>
      <c r="V935" s="4" t="s">
        <v>16</v>
      </c>
      <c r="W935" s="43" t="str">
        <f>IF(VLOOKUP(V935,βοηθητικό!$J$2:$N$354,3,FALSE)="","",VLOOKUP(V935,βοηθητικό!$J$2:$N$354,3,FALSE))</f>
        <v>_</v>
      </c>
      <c r="X935" s="44"/>
      <c r="Y935" s="5" t="s">
        <v>16</v>
      </c>
      <c r="Z935" s="46" t="str">
        <f>IF(VLOOKUP(Y935,βοηθητικό!$J$2:$N$354,3,FALSE)="","",VLOOKUP(Y935,βοηθητικό!$J$2:$N$354,3,FALSE))</f>
        <v>_</v>
      </c>
      <c r="AA935" s="47"/>
      <c r="AB935" s="4" t="s">
        <v>16</v>
      </c>
      <c r="AC935" s="43" t="str">
        <f>IF(VLOOKUP(AB935,βοηθητικό!$J$2:$N$354,3,FALSE)="","",VLOOKUP(AB935,βοηθητικό!$J$2:$N$354,3,FALSE))</f>
        <v>_</v>
      </c>
      <c r="AD935" s="44"/>
      <c r="AE935" s="5" t="s">
        <v>16</v>
      </c>
      <c r="AF935" s="46" t="str">
        <f>IF(VLOOKUP(AE935,βοηθητικό!$J$2:$N$354,3,FALSE)="","",VLOOKUP(AE935,βοηθητικό!$J$2:$N$354,3,FALSE))</f>
        <v>_</v>
      </c>
      <c r="AG935" s="47"/>
      <c r="AH935" s="4" t="s">
        <v>16</v>
      </c>
      <c r="AI935" s="43" t="str">
        <f>IF(VLOOKUP(AH935,βοηθητικό!$J$2:$N$354,3,FALSE)="","",VLOOKUP(AH935,βοηθητικό!$J$2:$N$354,3,FALSE))</f>
        <v>_</v>
      </c>
      <c r="AJ935" s="44"/>
      <c r="AK935" s="5" t="s">
        <v>16</v>
      </c>
      <c r="AL935" s="46" t="str">
        <f>IF(VLOOKUP(AK935,βοηθητικό!$J$2:$N$354,3,FALSE)="","",VLOOKUP(AK935,βοηθητικό!$J$2:$N$354,3,FALSE))</f>
        <v>_</v>
      </c>
      <c r="AM935" s="47"/>
      <c r="AN935" s="4" t="s">
        <v>16</v>
      </c>
      <c r="AO935" s="43" t="str">
        <f>IF(VLOOKUP(AN935,βοηθητικό!$J$2:$N$354,3,FALSE)="","",VLOOKUP(AN935,βοηθητικό!$J$2:$N$354,3,FALSE))</f>
        <v>_</v>
      </c>
      <c r="AP935" s="44"/>
      <c r="AQ935" s="5" t="s">
        <v>16</v>
      </c>
      <c r="AR935" s="46" t="str">
        <f>IF(VLOOKUP(AQ935,βοηθητικό!$J$2:$N$354,3,FALSE)="","",VLOOKUP(AQ935,βοηθητικό!$J$2:$N$354,3,FALSE))</f>
        <v>_</v>
      </c>
      <c r="AS935" s="47"/>
      <c r="AT935" s="4" t="s">
        <v>16</v>
      </c>
      <c r="AU935" s="43" t="str">
        <f>IF(VLOOKUP(AT935,βοηθητικό!$J$2:$N$354,3,FALSE)="","",VLOOKUP(AT935,βοηθητικό!$J$2:$N$354,3,FALSE))</f>
        <v>_</v>
      </c>
      <c r="AV935" s="44"/>
      <c r="AW935" s="5" t="s">
        <v>16</v>
      </c>
      <c r="AX935" s="46" t="str">
        <f>IF(VLOOKUP(AW935,βοηθητικό!$J$2:$N$354,3,FALSE)="","",VLOOKUP(AW935,βοηθητικό!$J$2:$N$354,3,FALSE))</f>
        <v>_</v>
      </c>
      <c r="AY935" s="47"/>
      <c r="AZ935" s="4" t="s">
        <v>16</v>
      </c>
      <c r="BA935" s="43" t="str">
        <f>IF(VLOOKUP(AZ935,βοηθητικό!$J$2:$N$354,3,FALSE)="","",VLOOKUP(AZ935,βοηθητικό!$J$2:$N$354,3,FALSE))</f>
        <v>_</v>
      </c>
      <c r="BB935" s="44"/>
      <c r="BC935" s="45" t="s">
        <v>16</v>
      </c>
      <c r="BD935" s="46" t="str">
        <f>IF(VLOOKUP(BC935,βοηθητικό!$J$2:$N$354,3,FALSE)="","",VLOOKUP(BC935,βοηθητικό!$J$2:$N$354,3,FALSE))</f>
        <v>_</v>
      </c>
      <c r="BE935" s="47"/>
      <c r="BF935" s="42" t="s">
        <v>16</v>
      </c>
      <c r="BG935" s="43" t="str">
        <f>IF(VLOOKUP(BF935,βοηθητικό!$J$2:$N$354,3,FALSE)="","",VLOOKUP(BF935,βοηθητικό!$J$2:$N$354,3,FALSE))</f>
        <v>_</v>
      </c>
      <c r="BH935" s="44"/>
      <c r="BI935" s="45" t="s">
        <v>16</v>
      </c>
      <c r="BJ935" s="46" t="str">
        <f>IF(VLOOKUP(BI935,βοηθητικό!$J$2:$N$354,3,FALSE)="","",VLOOKUP(BI935,βοηθητικό!$J$2:$N$354,3,FALSE))</f>
        <v>_</v>
      </c>
      <c r="BK935" s="47"/>
      <c r="BL935" s="42" t="s">
        <v>16</v>
      </c>
      <c r="BM935" s="43" t="str">
        <f>IF(VLOOKUP(BL935,βοηθητικό!$J$2:$N$354,3,FALSE)="","",VLOOKUP(BL935,βοηθητικό!$J$2:$N$354,3,FALSE))</f>
        <v>_</v>
      </c>
      <c r="BN935" s="44"/>
      <c r="BO935" s="45" t="s">
        <v>16</v>
      </c>
      <c r="BP935" s="46" t="str">
        <f>IF(VLOOKUP(BO935,βοηθητικό!$J$2:$N$354,3,FALSE)="","",VLOOKUP(BO935,βοηθητικό!$J$2:$N$354,3,FALSE))</f>
        <v>_</v>
      </c>
      <c r="BQ935" s="47"/>
      <c r="BR935" s="42" t="s">
        <v>16</v>
      </c>
      <c r="BS935" s="43" t="str">
        <f>IF(VLOOKUP(BR935,βοηθητικό!$J$2:$N$354,3,FALSE)="","",VLOOKUP(BR935,βοηθητικό!$J$2:$N$354,3,FALSE))</f>
        <v>_</v>
      </c>
      <c r="BT935" s="44"/>
      <c r="BU935" s="45" t="s">
        <v>16</v>
      </c>
      <c r="BV935" s="46" t="str">
        <f>IF(VLOOKUP(BU935,βοηθητικό!$J$2:$N$354,3,FALSE)="","",VLOOKUP(BU935,βοηθητικό!$J$2:$N$354,3,FALSE))</f>
        <v>_</v>
      </c>
      <c r="BW935" s="47"/>
      <c r="BX935" s="42" t="s">
        <v>16</v>
      </c>
      <c r="BY935" s="43" t="str">
        <f>IF(VLOOKUP(BX935,βοηθητικό!$J$2:$N$354,3,FALSE)="","",VLOOKUP(BX935,βοηθητικό!$J$2:$N$354,3,FALSE))</f>
        <v>_</v>
      </c>
      <c r="BZ935" s="44"/>
      <c r="CA935" s="45" t="s">
        <v>16</v>
      </c>
      <c r="CB935" s="46" t="str">
        <f>IF(VLOOKUP(CA935,βοηθητικό!$J$2:$N$354,3,FALSE)="","",VLOOKUP(CA935,βοηθητικό!$J$2:$N$354,3,FALSE))</f>
        <v>_</v>
      </c>
      <c r="CC935" s="47"/>
      <c r="CD935" s="42" t="s">
        <v>16</v>
      </c>
      <c r="CE935" s="43" t="str">
        <f>IF(VLOOKUP(CD935,βοηθητικό!$J$2:$N$354,3,FALSE)="","",VLOOKUP(CD935,βοηθητικό!$J$2:$N$354,3,FALSE))</f>
        <v>_</v>
      </c>
      <c r="CF935" s="44"/>
      <c r="CG935" s="45" t="s">
        <v>16</v>
      </c>
      <c r="CH935" s="46" t="str">
        <f>IF(VLOOKUP(CG935,βοηθητικό!$J$2:$N$354,3,FALSE)="","",VLOOKUP(CG935,βοηθητικό!$J$2:$N$354,3,FALSE))</f>
        <v>_</v>
      </c>
      <c r="CI935" s="47"/>
      <c r="CJ935" s="42" t="s">
        <v>16</v>
      </c>
      <c r="CK935" s="43" t="str">
        <f>IF(VLOOKUP(CJ935,βοηθητικό!$J$2:$N$354,3,FALSE)="","",VLOOKUP(CJ935,βοηθητικό!$J$2:$N$354,3,FALSE))</f>
        <v>_</v>
      </c>
      <c r="CL935" s="44"/>
      <c r="CM935" s="45" t="s">
        <v>16</v>
      </c>
      <c r="CN935" s="46" t="str">
        <f>IF(VLOOKUP(CM935,βοηθητικό!$J$2:$N$354,3,FALSE)="","",VLOOKUP(CM935,βοηθητικό!$J$2:$N$354,3,FALSE))</f>
        <v>_</v>
      </c>
      <c r="CO935" s="47"/>
      <c r="CP935" s="42" t="s">
        <v>16</v>
      </c>
      <c r="CQ935" s="43" t="str">
        <f>IF(VLOOKUP(CP935,βοηθητικό!$J$2:$N$354,3,FALSE)="","",VLOOKUP(CP935,βοηθητικό!$J$2:$N$354,3,FALSE))</f>
        <v>_</v>
      </c>
      <c r="CR935" s="44"/>
      <c r="CS935" s="45" t="s">
        <v>16</v>
      </c>
      <c r="CT935" s="46" t="str">
        <f>IF(VLOOKUP(CS935,βοηθητικό!$J$2:$N$354,3,FALSE)="","",VLOOKUP(CS935,βοηθητικό!$J$2:$N$354,3,FALSE))</f>
        <v>_</v>
      </c>
      <c r="CU935" s="47"/>
    </row>
    <row r="936" spans="1:99" x14ac:dyDescent="0.25">
      <c r="A936" s="37">
        <f>--SUBTOTAL(3,$B$3:B935)</f>
        <v>198</v>
      </c>
      <c r="B936" s="2"/>
      <c r="C936" s="3"/>
      <c r="D936" s="55" t="s">
        <v>18</v>
      </c>
      <c r="E936" s="38" t="s">
        <v>16</v>
      </c>
      <c r="F936" s="38"/>
      <c r="G936" s="39" t="str">
        <f t="shared" si="44"/>
        <v>__</v>
      </c>
      <c r="H936" s="40" t="str">
        <f t="shared" si="45"/>
        <v>FALSE</v>
      </c>
      <c r="I936" s="41">
        <f t="shared" si="46"/>
        <v>0</v>
      </c>
      <c r="J936" s="4" t="s">
        <v>16</v>
      </c>
      <c r="K936" s="43" t="str">
        <f>IF(VLOOKUP(J936,βοηθητικό!$J$2:$N$354,3,FALSE)="","",VLOOKUP(J936,βοηθητικό!$J$2:$N$354,3,FALSE))</f>
        <v>_</v>
      </c>
      <c r="L936" s="44"/>
      <c r="M936" s="5" t="s">
        <v>16</v>
      </c>
      <c r="N936" s="46" t="str">
        <f>IF(VLOOKUP(M936,βοηθητικό!$J$2:$N$354,3,FALSE)="","",VLOOKUP(M936,βοηθητικό!$J$2:$N$354,3,FALSE))</f>
        <v>_</v>
      </c>
      <c r="O936" s="47"/>
      <c r="P936" s="4" t="s">
        <v>16</v>
      </c>
      <c r="Q936" s="43" t="str">
        <f>IF(VLOOKUP(P936,βοηθητικό!$J$2:$N$354,3,FALSE)="","",VLOOKUP(P936,βοηθητικό!$J$2:$N$354,3,FALSE))</f>
        <v>_</v>
      </c>
      <c r="R936" s="44"/>
      <c r="S936" s="5" t="s">
        <v>16</v>
      </c>
      <c r="T936" s="46" t="str">
        <f>IF(VLOOKUP(S936,βοηθητικό!$J$2:$N$354,3,FALSE)="","",VLOOKUP(S936,βοηθητικό!$J$2:$N$354,3,FALSE))</f>
        <v>_</v>
      </c>
      <c r="U936" s="47"/>
      <c r="V936" s="4" t="s">
        <v>16</v>
      </c>
      <c r="W936" s="43" t="str">
        <f>IF(VLOOKUP(V936,βοηθητικό!$J$2:$N$354,3,FALSE)="","",VLOOKUP(V936,βοηθητικό!$J$2:$N$354,3,FALSE))</f>
        <v>_</v>
      </c>
      <c r="X936" s="44"/>
      <c r="Y936" s="5" t="s">
        <v>16</v>
      </c>
      <c r="Z936" s="46" t="str">
        <f>IF(VLOOKUP(Y936,βοηθητικό!$J$2:$N$354,3,FALSE)="","",VLOOKUP(Y936,βοηθητικό!$J$2:$N$354,3,FALSE))</f>
        <v>_</v>
      </c>
      <c r="AA936" s="47"/>
      <c r="AB936" s="4" t="s">
        <v>16</v>
      </c>
      <c r="AC936" s="43" t="str">
        <f>IF(VLOOKUP(AB936,βοηθητικό!$J$2:$N$354,3,FALSE)="","",VLOOKUP(AB936,βοηθητικό!$J$2:$N$354,3,FALSE))</f>
        <v>_</v>
      </c>
      <c r="AD936" s="44"/>
      <c r="AE936" s="5" t="s">
        <v>16</v>
      </c>
      <c r="AF936" s="46" t="str">
        <f>IF(VLOOKUP(AE936,βοηθητικό!$J$2:$N$354,3,FALSE)="","",VLOOKUP(AE936,βοηθητικό!$J$2:$N$354,3,FALSE))</f>
        <v>_</v>
      </c>
      <c r="AG936" s="47"/>
      <c r="AH936" s="4" t="s">
        <v>16</v>
      </c>
      <c r="AI936" s="43" t="str">
        <f>IF(VLOOKUP(AH936,βοηθητικό!$J$2:$N$354,3,FALSE)="","",VLOOKUP(AH936,βοηθητικό!$J$2:$N$354,3,FALSE))</f>
        <v>_</v>
      </c>
      <c r="AJ936" s="44"/>
      <c r="AK936" s="5" t="s">
        <v>16</v>
      </c>
      <c r="AL936" s="46" t="str">
        <f>IF(VLOOKUP(AK936,βοηθητικό!$J$2:$N$354,3,FALSE)="","",VLOOKUP(AK936,βοηθητικό!$J$2:$N$354,3,FALSE))</f>
        <v>_</v>
      </c>
      <c r="AM936" s="47"/>
      <c r="AN936" s="4" t="s">
        <v>16</v>
      </c>
      <c r="AO936" s="43" t="str">
        <f>IF(VLOOKUP(AN936,βοηθητικό!$J$2:$N$354,3,FALSE)="","",VLOOKUP(AN936,βοηθητικό!$J$2:$N$354,3,FALSE))</f>
        <v>_</v>
      </c>
      <c r="AP936" s="44"/>
      <c r="AQ936" s="5" t="s">
        <v>16</v>
      </c>
      <c r="AR936" s="46" t="str">
        <f>IF(VLOOKUP(AQ936,βοηθητικό!$J$2:$N$354,3,FALSE)="","",VLOOKUP(AQ936,βοηθητικό!$J$2:$N$354,3,FALSE))</f>
        <v>_</v>
      </c>
      <c r="AS936" s="47"/>
      <c r="AT936" s="4" t="s">
        <v>16</v>
      </c>
      <c r="AU936" s="43" t="str">
        <f>IF(VLOOKUP(AT936,βοηθητικό!$J$2:$N$354,3,FALSE)="","",VLOOKUP(AT936,βοηθητικό!$J$2:$N$354,3,FALSE))</f>
        <v>_</v>
      </c>
      <c r="AV936" s="44"/>
      <c r="AW936" s="5" t="s">
        <v>16</v>
      </c>
      <c r="AX936" s="46" t="str">
        <f>IF(VLOOKUP(AW936,βοηθητικό!$J$2:$N$354,3,FALSE)="","",VLOOKUP(AW936,βοηθητικό!$J$2:$N$354,3,FALSE))</f>
        <v>_</v>
      </c>
      <c r="AY936" s="47"/>
      <c r="AZ936" s="4" t="s">
        <v>16</v>
      </c>
      <c r="BA936" s="43" t="str">
        <f>IF(VLOOKUP(AZ936,βοηθητικό!$J$2:$N$354,3,FALSE)="","",VLOOKUP(AZ936,βοηθητικό!$J$2:$N$354,3,FALSE))</f>
        <v>_</v>
      </c>
      <c r="BB936" s="44"/>
      <c r="BC936" s="45" t="s">
        <v>16</v>
      </c>
      <c r="BD936" s="46" t="str">
        <f>IF(VLOOKUP(BC936,βοηθητικό!$J$2:$N$354,3,FALSE)="","",VLOOKUP(BC936,βοηθητικό!$J$2:$N$354,3,FALSE))</f>
        <v>_</v>
      </c>
      <c r="BE936" s="47"/>
      <c r="BF936" s="42" t="s">
        <v>16</v>
      </c>
      <c r="BG936" s="43" t="str">
        <f>IF(VLOOKUP(BF936,βοηθητικό!$J$2:$N$354,3,FALSE)="","",VLOOKUP(BF936,βοηθητικό!$J$2:$N$354,3,FALSE))</f>
        <v>_</v>
      </c>
      <c r="BH936" s="44"/>
      <c r="BI936" s="45" t="s">
        <v>16</v>
      </c>
      <c r="BJ936" s="46" t="str">
        <f>IF(VLOOKUP(BI936,βοηθητικό!$J$2:$N$354,3,FALSE)="","",VLOOKUP(BI936,βοηθητικό!$J$2:$N$354,3,FALSE))</f>
        <v>_</v>
      </c>
      <c r="BK936" s="47"/>
      <c r="BL936" s="42" t="s">
        <v>16</v>
      </c>
      <c r="BM936" s="43" t="str">
        <f>IF(VLOOKUP(BL936,βοηθητικό!$J$2:$N$354,3,FALSE)="","",VLOOKUP(BL936,βοηθητικό!$J$2:$N$354,3,FALSE))</f>
        <v>_</v>
      </c>
      <c r="BN936" s="44"/>
      <c r="BO936" s="45" t="s">
        <v>16</v>
      </c>
      <c r="BP936" s="46" t="str">
        <f>IF(VLOOKUP(BO936,βοηθητικό!$J$2:$N$354,3,FALSE)="","",VLOOKUP(BO936,βοηθητικό!$J$2:$N$354,3,FALSE))</f>
        <v>_</v>
      </c>
      <c r="BQ936" s="47"/>
      <c r="BR936" s="42" t="s">
        <v>16</v>
      </c>
      <c r="BS936" s="43" t="str">
        <f>IF(VLOOKUP(BR936,βοηθητικό!$J$2:$N$354,3,FALSE)="","",VLOOKUP(BR936,βοηθητικό!$J$2:$N$354,3,FALSE))</f>
        <v>_</v>
      </c>
      <c r="BT936" s="44"/>
      <c r="BU936" s="45" t="s">
        <v>16</v>
      </c>
      <c r="BV936" s="46" t="str">
        <f>IF(VLOOKUP(BU936,βοηθητικό!$J$2:$N$354,3,FALSE)="","",VLOOKUP(BU936,βοηθητικό!$J$2:$N$354,3,FALSE))</f>
        <v>_</v>
      </c>
      <c r="BW936" s="47"/>
      <c r="BX936" s="42" t="s">
        <v>16</v>
      </c>
      <c r="BY936" s="43" t="str">
        <f>IF(VLOOKUP(BX936,βοηθητικό!$J$2:$N$354,3,FALSE)="","",VLOOKUP(BX936,βοηθητικό!$J$2:$N$354,3,FALSE))</f>
        <v>_</v>
      </c>
      <c r="BZ936" s="44"/>
      <c r="CA936" s="45" t="s">
        <v>16</v>
      </c>
      <c r="CB936" s="46" t="str">
        <f>IF(VLOOKUP(CA936,βοηθητικό!$J$2:$N$354,3,FALSE)="","",VLOOKUP(CA936,βοηθητικό!$J$2:$N$354,3,FALSE))</f>
        <v>_</v>
      </c>
      <c r="CC936" s="47"/>
      <c r="CD936" s="42" t="s">
        <v>16</v>
      </c>
      <c r="CE936" s="43" t="str">
        <f>IF(VLOOKUP(CD936,βοηθητικό!$J$2:$N$354,3,FALSE)="","",VLOOKUP(CD936,βοηθητικό!$J$2:$N$354,3,FALSE))</f>
        <v>_</v>
      </c>
      <c r="CF936" s="44"/>
      <c r="CG936" s="45" t="s">
        <v>16</v>
      </c>
      <c r="CH936" s="46" t="str">
        <f>IF(VLOOKUP(CG936,βοηθητικό!$J$2:$N$354,3,FALSE)="","",VLOOKUP(CG936,βοηθητικό!$J$2:$N$354,3,FALSE))</f>
        <v>_</v>
      </c>
      <c r="CI936" s="47"/>
      <c r="CJ936" s="42" t="s">
        <v>16</v>
      </c>
      <c r="CK936" s="43" t="str">
        <f>IF(VLOOKUP(CJ936,βοηθητικό!$J$2:$N$354,3,FALSE)="","",VLOOKUP(CJ936,βοηθητικό!$J$2:$N$354,3,FALSE))</f>
        <v>_</v>
      </c>
      <c r="CL936" s="44"/>
      <c r="CM936" s="45" t="s">
        <v>16</v>
      </c>
      <c r="CN936" s="46" t="str">
        <f>IF(VLOOKUP(CM936,βοηθητικό!$J$2:$N$354,3,FALSE)="","",VLOOKUP(CM936,βοηθητικό!$J$2:$N$354,3,FALSE))</f>
        <v>_</v>
      </c>
      <c r="CO936" s="47"/>
      <c r="CP936" s="42" t="s">
        <v>16</v>
      </c>
      <c r="CQ936" s="43" t="str">
        <f>IF(VLOOKUP(CP936,βοηθητικό!$J$2:$N$354,3,FALSE)="","",VLOOKUP(CP936,βοηθητικό!$J$2:$N$354,3,FALSE))</f>
        <v>_</v>
      </c>
      <c r="CR936" s="44"/>
      <c r="CS936" s="45" t="s">
        <v>16</v>
      </c>
      <c r="CT936" s="46" t="str">
        <f>IF(VLOOKUP(CS936,βοηθητικό!$J$2:$N$354,3,FALSE)="","",VLOOKUP(CS936,βοηθητικό!$J$2:$N$354,3,FALSE))</f>
        <v>_</v>
      </c>
      <c r="CU936" s="47"/>
    </row>
    <row r="937" spans="1:99" x14ac:dyDescent="0.25">
      <c r="A937" s="37">
        <f>--SUBTOTAL(3,$B$3:B936)</f>
        <v>198</v>
      </c>
      <c r="B937" s="2"/>
      <c r="C937" s="3"/>
      <c r="D937" s="55" t="s">
        <v>18</v>
      </c>
      <c r="E937" s="38" t="s">
        <v>16</v>
      </c>
      <c r="F937" s="38"/>
      <c r="G937" s="39" t="str">
        <f t="shared" si="44"/>
        <v>__</v>
      </c>
      <c r="H937" s="40" t="str">
        <f t="shared" si="45"/>
        <v>FALSE</v>
      </c>
      <c r="I937" s="41">
        <f t="shared" si="46"/>
        <v>0</v>
      </c>
      <c r="J937" s="4" t="s">
        <v>16</v>
      </c>
      <c r="K937" s="43" t="str">
        <f>IF(VLOOKUP(J937,βοηθητικό!$J$2:$N$354,3,FALSE)="","",VLOOKUP(J937,βοηθητικό!$J$2:$N$354,3,FALSE))</f>
        <v>_</v>
      </c>
      <c r="L937" s="44"/>
      <c r="M937" s="5" t="s">
        <v>16</v>
      </c>
      <c r="N937" s="46" t="str">
        <f>IF(VLOOKUP(M937,βοηθητικό!$J$2:$N$354,3,FALSE)="","",VLOOKUP(M937,βοηθητικό!$J$2:$N$354,3,FALSE))</f>
        <v>_</v>
      </c>
      <c r="O937" s="47"/>
      <c r="P937" s="4" t="s">
        <v>16</v>
      </c>
      <c r="Q937" s="43" t="str">
        <f>IF(VLOOKUP(P937,βοηθητικό!$J$2:$N$354,3,FALSE)="","",VLOOKUP(P937,βοηθητικό!$J$2:$N$354,3,FALSE))</f>
        <v>_</v>
      </c>
      <c r="R937" s="44"/>
      <c r="S937" s="5" t="s">
        <v>16</v>
      </c>
      <c r="T937" s="46" t="str">
        <f>IF(VLOOKUP(S937,βοηθητικό!$J$2:$N$354,3,FALSE)="","",VLOOKUP(S937,βοηθητικό!$J$2:$N$354,3,FALSE))</f>
        <v>_</v>
      </c>
      <c r="U937" s="47"/>
      <c r="V937" s="4" t="s">
        <v>16</v>
      </c>
      <c r="W937" s="43" t="str">
        <f>IF(VLOOKUP(V937,βοηθητικό!$J$2:$N$354,3,FALSE)="","",VLOOKUP(V937,βοηθητικό!$J$2:$N$354,3,FALSE))</f>
        <v>_</v>
      </c>
      <c r="X937" s="44"/>
      <c r="Y937" s="5" t="s">
        <v>16</v>
      </c>
      <c r="Z937" s="46" t="str">
        <f>IF(VLOOKUP(Y937,βοηθητικό!$J$2:$N$354,3,FALSE)="","",VLOOKUP(Y937,βοηθητικό!$J$2:$N$354,3,FALSE))</f>
        <v>_</v>
      </c>
      <c r="AA937" s="47"/>
      <c r="AB937" s="4" t="s">
        <v>16</v>
      </c>
      <c r="AC937" s="43" t="str">
        <f>IF(VLOOKUP(AB937,βοηθητικό!$J$2:$N$354,3,FALSE)="","",VLOOKUP(AB937,βοηθητικό!$J$2:$N$354,3,FALSE))</f>
        <v>_</v>
      </c>
      <c r="AD937" s="44"/>
      <c r="AE937" s="5" t="s">
        <v>16</v>
      </c>
      <c r="AF937" s="46" t="str">
        <f>IF(VLOOKUP(AE937,βοηθητικό!$J$2:$N$354,3,FALSE)="","",VLOOKUP(AE937,βοηθητικό!$J$2:$N$354,3,FALSE))</f>
        <v>_</v>
      </c>
      <c r="AG937" s="47"/>
      <c r="AH937" s="4" t="s">
        <v>16</v>
      </c>
      <c r="AI937" s="43" t="str">
        <f>IF(VLOOKUP(AH937,βοηθητικό!$J$2:$N$354,3,FALSE)="","",VLOOKUP(AH937,βοηθητικό!$J$2:$N$354,3,FALSE))</f>
        <v>_</v>
      </c>
      <c r="AJ937" s="44"/>
      <c r="AK937" s="5" t="s">
        <v>16</v>
      </c>
      <c r="AL937" s="46" t="str">
        <f>IF(VLOOKUP(AK937,βοηθητικό!$J$2:$N$354,3,FALSE)="","",VLOOKUP(AK937,βοηθητικό!$J$2:$N$354,3,FALSE))</f>
        <v>_</v>
      </c>
      <c r="AM937" s="47"/>
      <c r="AN937" s="4" t="s">
        <v>16</v>
      </c>
      <c r="AO937" s="43" t="str">
        <f>IF(VLOOKUP(AN937,βοηθητικό!$J$2:$N$354,3,FALSE)="","",VLOOKUP(AN937,βοηθητικό!$J$2:$N$354,3,FALSE))</f>
        <v>_</v>
      </c>
      <c r="AP937" s="44"/>
      <c r="AQ937" s="5" t="s">
        <v>16</v>
      </c>
      <c r="AR937" s="46" t="str">
        <f>IF(VLOOKUP(AQ937,βοηθητικό!$J$2:$N$354,3,FALSE)="","",VLOOKUP(AQ937,βοηθητικό!$J$2:$N$354,3,FALSE))</f>
        <v>_</v>
      </c>
      <c r="AS937" s="47"/>
      <c r="AT937" s="4" t="s">
        <v>16</v>
      </c>
      <c r="AU937" s="43" t="str">
        <f>IF(VLOOKUP(AT937,βοηθητικό!$J$2:$N$354,3,FALSE)="","",VLOOKUP(AT937,βοηθητικό!$J$2:$N$354,3,FALSE))</f>
        <v>_</v>
      </c>
      <c r="AV937" s="44"/>
      <c r="AW937" s="5" t="s">
        <v>16</v>
      </c>
      <c r="AX937" s="46" t="str">
        <f>IF(VLOOKUP(AW937,βοηθητικό!$J$2:$N$354,3,FALSE)="","",VLOOKUP(AW937,βοηθητικό!$J$2:$N$354,3,FALSE))</f>
        <v>_</v>
      </c>
      <c r="AY937" s="47"/>
      <c r="AZ937" s="4" t="s">
        <v>16</v>
      </c>
      <c r="BA937" s="43" t="str">
        <f>IF(VLOOKUP(AZ937,βοηθητικό!$J$2:$N$354,3,FALSE)="","",VLOOKUP(AZ937,βοηθητικό!$J$2:$N$354,3,FALSE))</f>
        <v>_</v>
      </c>
      <c r="BB937" s="44"/>
      <c r="BC937" s="45" t="s">
        <v>16</v>
      </c>
      <c r="BD937" s="46" t="str">
        <f>IF(VLOOKUP(BC937,βοηθητικό!$J$2:$N$354,3,FALSE)="","",VLOOKUP(BC937,βοηθητικό!$J$2:$N$354,3,FALSE))</f>
        <v>_</v>
      </c>
      <c r="BE937" s="47"/>
      <c r="BF937" s="42" t="s">
        <v>16</v>
      </c>
      <c r="BG937" s="43" t="str">
        <f>IF(VLOOKUP(BF937,βοηθητικό!$J$2:$N$354,3,FALSE)="","",VLOOKUP(BF937,βοηθητικό!$J$2:$N$354,3,FALSE))</f>
        <v>_</v>
      </c>
      <c r="BH937" s="44"/>
      <c r="BI937" s="45" t="s">
        <v>16</v>
      </c>
      <c r="BJ937" s="46" t="str">
        <f>IF(VLOOKUP(BI937,βοηθητικό!$J$2:$N$354,3,FALSE)="","",VLOOKUP(BI937,βοηθητικό!$J$2:$N$354,3,FALSE))</f>
        <v>_</v>
      </c>
      <c r="BK937" s="47"/>
      <c r="BL937" s="42" t="s">
        <v>16</v>
      </c>
      <c r="BM937" s="43" t="str">
        <f>IF(VLOOKUP(BL937,βοηθητικό!$J$2:$N$354,3,FALSE)="","",VLOOKUP(BL937,βοηθητικό!$J$2:$N$354,3,FALSE))</f>
        <v>_</v>
      </c>
      <c r="BN937" s="44"/>
      <c r="BO937" s="45" t="s">
        <v>16</v>
      </c>
      <c r="BP937" s="46" t="str">
        <f>IF(VLOOKUP(BO937,βοηθητικό!$J$2:$N$354,3,FALSE)="","",VLOOKUP(BO937,βοηθητικό!$J$2:$N$354,3,FALSE))</f>
        <v>_</v>
      </c>
      <c r="BQ937" s="47"/>
      <c r="BR937" s="42" t="s">
        <v>16</v>
      </c>
      <c r="BS937" s="43" t="str">
        <f>IF(VLOOKUP(BR937,βοηθητικό!$J$2:$N$354,3,FALSE)="","",VLOOKUP(BR937,βοηθητικό!$J$2:$N$354,3,FALSE))</f>
        <v>_</v>
      </c>
      <c r="BT937" s="44"/>
      <c r="BU937" s="45" t="s">
        <v>16</v>
      </c>
      <c r="BV937" s="46" t="str">
        <f>IF(VLOOKUP(BU937,βοηθητικό!$J$2:$N$354,3,FALSE)="","",VLOOKUP(BU937,βοηθητικό!$J$2:$N$354,3,FALSE))</f>
        <v>_</v>
      </c>
      <c r="BW937" s="47"/>
      <c r="BX937" s="42" t="s">
        <v>16</v>
      </c>
      <c r="BY937" s="43" t="str">
        <f>IF(VLOOKUP(BX937,βοηθητικό!$J$2:$N$354,3,FALSE)="","",VLOOKUP(BX937,βοηθητικό!$J$2:$N$354,3,FALSE))</f>
        <v>_</v>
      </c>
      <c r="BZ937" s="44"/>
      <c r="CA937" s="45" t="s">
        <v>16</v>
      </c>
      <c r="CB937" s="46" t="str">
        <f>IF(VLOOKUP(CA937,βοηθητικό!$J$2:$N$354,3,FALSE)="","",VLOOKUP(CA937,βοηθητικό!$J$2:$N$354,3,FALSE))</f>
        <v>_</v>
      </c>
      <c r="CC937" s="47"/>
      <c r="CD937" s="42" t="s">
        <v>16</v>
      </c>
      <c r="CE937" s="43" t="str">
        <f>IF(VLOOKUP(CD937,βοηθητικό!$J$2:$N$354,3,FALSE)="","",VLOOKUP(CD937,βοηθητικό!$J$2:$N$354,3,FALSE))</f>
        <v>_</v>
      </c>
      <c r="CF937" s="44"/>
      <c r="CG937" s="45" t="s">
        <v>16</v>
      </c>
      <c r="CH937" s="46" t="str">
        <f>IF(VLOOKUP(CG937,βοηθητικό!$J$2:$N$354,3,FALSE)="","",VLOOKUP(CG937,βοηθητικό!$J$2:$N$354,3,FALSE))</f>
        <v>_</v>
      </c>
      <c r="CI937" s="47"/>
      <c r="CJ937" s="42" t="s">
        <v>16</v>
      </c>
      <c r="CK937" s="43" t="str">
        <f>IF(VLOOKUP(CJ937,βοηθητικό!$J$2:$N$354,3,FALSE)="","",VLOOKUP(CJ937,βοηθητικό!$J$2:$N$354,3,FALSE))</f>
        <v>_</v>
      </c>
      <c r="CL937" s="44"/>
      <c r="CM937" s="45" t="s">
        <v>16</v>
      </c>
      <c r="CN937" s="46" t="str">
        <f>IF(VLOOKUP(CM937,βοηθητικό!$J$2:$N$354,3,FALSE)="","",VLOOKUP(CM937,βοηθητικό!$J$2:$N$354,3,FALSE))</f>
        <v>_</v>
      </c>
      <c r="CO937" s="47"/>
      <c r="CP937" s="42" t="s">
        <v>16</v>
      </c>
      <c r="CQ937" s="43" t="str">
        <f>IF(VLOOKUP(CP937,βοηθητικό!$J$2:$N$354,3,FALSE)="","",VLOOKUP(CP937,βοηθητικό!$J$2:$N$354,3,FALSE))</f>
        <v>_</v>
      </c>
      <c r="CR937" s="44"/>
      <c r="CS937" s="45" t="s">
        <v>16</v>
      </c>
      <c r="CT937" s="46" t="str">
        <f>IF(VLOOKUP(CS937,βοηθητικό!$J$2:$N$354,3,FALSE)="","",VLOOKUP(CS937,βοηθητικό!$J$2:$N$354,3,FALSE))</f>
        <v>_</v>
      </c>
      <c r="CU937" s="47"/>
    </row>
    <row r="938" spans="1:99" x14ac:dyDescent="0.25">
      <c r="A938" s="37">
        <f>--SUBTOTAL(3,$B$3:B937)</f>
        <v>198</v>
      </c>
      <c r="B938" s="2"/>
      <c r="C938" s="3"/>
      <c r="D938" s="55" t="s">
        <v>18</v>
      </c>
      <c r="E938" s="38" t="s">
        <v>16</v>
      </c>
      <c r="F938" s="38"/>
      <c r="G938" s="39" t="str">
        <f t="shared" si="44"/>
        <v>__</v>
      </c>
      <c r="H938" s="40" t="str">
        <f t="shared" si="45"/>
        <v>FALSE</v>
      </c>
      <c r="I938" s="41">
        <f t="shared" si="46"/>
        <v>0</v>
      </c>
      <c r="J938" s="4" t="s">
        <v>16</v>
      </c>
      <c r="K938" s="43" t="str">
        <f>IF(VLOOKUP(J938,βοηθητικό!$J$2:$N$354,3,FALSE)="","",VLOOKUP(J938,βοηθητικό!$J$2:$N$354,3,FALSE))</f>
        <v>_</v>
      </c>
      <c r="L938" s="44"/>
      <c r="M938" s="5" t="s">
        <v>16</v>
      </c>
      <c r="N938" s="46" t="str">
        <f>IF(VLOOKUP(M938,βοηθητικό!$J$2:$N$354,3,FALSE)="","",VLOOKUP(M938,βοηθητικό!$J$2:$N$354,3,FALSE))</f>
        <v>_</v>
      </c>
      <c r="O938" s="47"/>
      <c r="P938" s="4" t="s">
        <v>16</v>
      </c>
      <c r="Q938" s="43" t="str">
        <f>IF(VLOOKUP(P938,βοηθητικό!$J$2:$N$354,3,FALSE)="","",VLOOKUP(P938,βοηθητικό!$J$2:$N$354,3,FALSE))</f>
        <v>_</v>
      </c>
      <c r="R938" s="44"/>
      <c r="S938" s="5" t="s">
        <v>16</v>
      </c>
      <c r="T938" s="46" t="str">
        <f>IF(VLOOKUP(S938,βοηθητικό!$J$2:$N$354,3,FALSE)="","",VLOOKUP(S938,βοηθητικό!$J$2:$N$354,3,FALSE))</f>
        <v>_</v>
      </c>
      <c r="U938" s="47"/>
      <c r="V938" s="4" t="s">
        <v>16</v>
      </c>
      <c r="W938" s="43" t="str">
        <f>IF(VLOOKUP(V938,βοηθητικό!$J$2:$N$354,3,FALSE)="","",VLOOKUP(V938,βοηθητικό!$J$2:$N$354,3,FALSE))</f>
        <v>_</v>
      </c>
      <c r="X938" s="44"/>
      <c r="Y938" s="5" t="s">
        <v>16</v>
      </c>
      <c r="Z938" s="46" t="str">
        <f>IF(VLOOKUP(Y938,βοηθητικό!$J$2:$N$354,3,FALSE)="","",VLOOKUP(Y938,βοηθητικό!$J$2:$N$354,3,FALSE))</f>
        <v>_</v>
      </c>
      <c r="AA938" s="47"/>
      <c r="AB938" s="4" t="s">
        <v>16</v>
      </c>
      <c r="AC938" s="43" t="str">
        <f>IF(VLOOKUP(AB938,βοηθητικό!$J$2:$N$354,3,FALSE)="","",VLOOKUP(AB938,βοηθητικό!$J$2:$N$354,3,FALSE))</f>
        <v>_</v>
      </c>
      <c r="AD938" s="44"/>
      <c r="AE938" s="5" t="s">
        <v>16</v>
      </c>
      <c r="AF938" s="46" t="str">
        <f>IF(VLOOKUP(AE938,βοηθητικό!$J$2:$N$354,3,FALSE)="","",VLOOKUP(AE938,βοηθητικό!$J$2:$N$354,3,FALSE))</f>
        <v>_</v>
      </c>
      <c r="AG938" s="47"/>
      <c r="AH938" s="4" t="s">
        <v>16</v>
      </c>
      <c r="AI938" s="43" t="str">
        <f>IF(VLOOKUP(AH938,βοηθητικό!$J$2:$N$354,3,FALSE)="","",VLOOKUP(AH938,βοηθητικό!$J$2:$N$354,3,FALSE))</f>
        <v>_</v>
      </c>
      <c r="AJ938" s="44"/>
      <c r="AK938" s="5" t="s">
        <v>16</v>
      </c>
      <c r="AL938" s="46" t="str">
        <f>IF(VLOOKUP(AK938,βοηθητικό!$J$2:$N$354,3,FALSE)="","",VLOOKUP(AK938,βοηθητικό!$J$2:$N$354,3,FALSE))</f>
        <v>_</v>
      </c>
      <c r="AM938" s="47"/>
      <c r="AN938" s="4" t="s">
        <v>16</v>
      </c>
      <c r="AO938" s="43" t="str">
        <f>IF(VLOOKUP(AN938,βοηθητικό!$J$2:$N$354,3,FALSE)="","",VLOOKUP(AN938,βοηθητικό!$J$2:$N$354,3,FALSE))</f>
        <v>_</v>
      </c>
      <c r="AP938" s="44"/>
      <c r="AQ938" s="5" t="s">
        <v>16</v>
      </c>
      <c r="AR938" s="46" t="str">
        <f>IF(VLOOKUP(AQ938,βοηθητικό!$J$2:$N$354,3,FALSE)="","",VLOOKUP(AQ938,βοηθητικό!$J$2:$N$354,3,FALSE))</f>
        <v>_</v>
      </c>
      <c r="AS938" s="47"/>
      <c r="AT938" s="4" t="s">
        <v>16</v>
      </c>
      <c r="AU938" s="43" t="str">
        <f>IF(VLOOKUP(AT938,βοηθητικό!$J$2:$N$354,3,FALSE)="","",VLOOKUP(AT938,βοηθητικό!$J$2:$N$354,3,FALSE))</f>
        <v>_</v>
      </c>
      <c r="AV938" s="44"/>
      <c r="AW938" s="5" t="s">
        <v>16</v>
      </c>
      <c r="AX938" s="46" t="str">
        <f>IF(VLOOKUP(AW938,βοηθητικό!$J$2:$N$354,3,FALSE)="","",VLOOKUP(AW938,βοηθητικό!$J$2:$N$354,3,FALSE))</f>
        <v>_</v>
      </c>
      <c r="AY938" s="47"/>
      <c r="AZ938" s="4" t="s">
        <v>16</v>
      </c>
      <c r="BA938" s="43" t="str">
        <f>IF(VLOOKUP(AZ938,βοηθητικό!$J$2:$N$354,3,FALSE)="","",VLOOKUP(AZ938,βοηθητικό!$J$2:$N$354,3,FALSE))</f>
        <v>_</v>
      </c>
      <c r="BB938" s="44"/>
      <c r="BC938" s="45" t="s">
        <v>16</v>
      </c>
      <c r="BD938" s="46" t="str">
        <f>IF(VLOOKUP(BC938,βοηθητικό!$J$2:$N$354,3,FALSE)="","",VLOOKUP(BC938,βοηθητικό!$J$2:$N$354,3,FALSE))</f>
        <v>_</v>
      </c>
      <c r="BE938" s="47"/>
      <c r="BF938" s="42" t="s">
        <v>16</v>
      </c>
      <c r="BG938" s="43" t="str">
        <f>IF(VLOOKUP(BF938,βοηθητικό!$J$2:$N$354,3,FALSE)="","",VLOOKUP(BF938,βοηθητικό!$J$2:$N$354,3,FALSE))</f>
        <v>_</v>
      </c>
      <c r="BH938" s="44"/>
      <c r="BI938" s="45" t="s">
        <v>16</v>
      </c>
      <c r="BJ938" s="46" t="str">
        <f>IF(VLOOKUP(BI938,βοηθητικό!$J$2:$N$354,3,FALSE)="","",VLOOKUP(BI938,βοηθητικό!$J$2:$N$354,3,FALSE))</f>
        <v>_</v>
      </c>
      <c r="BK938" s="47"/>
      <c r="BL938" s="42" t="s">
        <v>16</v>
      </c>
      <c r="BM938" s="43" t="str">
        <f>IF(VLOOKUP(BL938,βοηθητικό!$J$2:$N$354,3,FALSE)="","",VLOOKUP(BL938,βοηθητικό!$J$2:$N$354,3,FALSE))</f>
        <v>_</v>
      </c>
      <c r="BN938" s="44"/>
      <c r="BO938" s="45" t="s">
        <v>16</v>
      </c>
      <c r="BP938" s="46" t="str">
        <f>IF(VLOOKUP(BO938,βοηθητικό!$J$2:$N$354,3,FALSE)="","",VLOOKUP(BO938,βοηθητικό!$J$2:$N$354,3,FALSE))</f>
        <v>_</v>
      </c>
      <c r="BQ938" s="47"/>
      <c r="BR938" s="42" t="s">
        <v>16</v>
      </c>
      <c r="BS938" s="43" t="str">
        <f>IF(VLOOKUP(BR938,βοηθητικό!$J$2:$N$354,3,FALSE)="","",VLOOKUP(BR938,βοηθητικό!$J$2:$N$354,3,FALSE))</f>
        <v>_</v>
      </c>
      <c r="BT938" s="44"/>
      <c r="BU938" s="45" t="s">
        <v>16</v>
      </c>
      <c r="BV938" s="46" t="str">
        <f>IF(VLOOKUP(BU938,βοηθητικό!$J$2:$N$354,3,FALSE)="","",VLOOKUP(BU938,βοηθητικό!$J$2:$N$354,3,FALSE))</f>
        <v>_</v>
      </c>
      <c r="BW938" s="47"/>
      <c r="BX938" s="42" t="s">
        <v>16</v>
      </c>
      <c r="BY938" s="43" t="str">
        <f>IF(VLOOKUP(BX938,βοηθητικό!$J$2:$N$354,3,FALSE)="","",VLOOKUP(BX938,βοηθητικό!$J$2:$N$354,3,FALSE))</f>
        <v>_</v>
      </c>
      <c r="BZ938" s="44"/>
      <c r="CA938" s="45" t="s">
        <v>16</v>
      </c>
      <c r="CB938" s="46" t="str">
        <f>IF(VLOOKUP(CA938,βοηθητικό!$J$2:$N$354,3,FALSE)="","",VLOOKUP(CA938,βοηθητικό!$J$2:$N$354,3,FALSE))</f>
        <v>_</v>
      </c>
      <c r="CC938" s="47"/>
      <c r="CD938" s="42" t="s">
        <v>16</v>
      </c>
      <c r="CE938" s="43" t="str">
        <f>IF(VLOOKUP(CD938,βοηθητικό!$J$2:$N$354,3,FALSE)="","",VLOOKUP(CD938,βοηθητικό!$J$2:$N$354,3,FALSE))</f>
        <v>_</v>
      </c>
      <c r="CF938" s="44"/>
      <c r="CG938" s="45" t="s">
        <v>16</v>
      </c>
      <c r="CH938" s="46" t="str">
        <f>IF(VLOOKUP(CG938,βοηθητικό!$J$2:$N$354,3,FALSE)="","",VLOOKUP(CG938,βοηθητικό!$J$2:$N$354,3,FALSE))</f>
        <v>_</v>
      </c>
      <c r="CI938" s="47"/>
      <c r="CJ938" s="42" t="s">
        <v>16</v>
      </c>
      <c r="CK938" s="43" t="str">
        <f>IF(VLOOKUP(CJ938,βοηθητικό!$J$2:$N$354,3,FALSE)="","",VLOOKUP(CJ938,βοηθητικό!$J$2:$N$354,3,FALSE))</f>
        <v>_</v>
      </c>
      <c r="CL938" s="44"/>
      <c r="CM938" s="45" t="s">
        <v>16</v>
      </c>
      <c r="CN938" s="46" t="str">
        <f>IF(VLOOKUP(CM938,βοηθητικό!$J$2:$N$354,3,FALSE)="","",VLOOKUP(CM938,βοηθητικό!$J$2:$N$354,3,FALSE))</f>
        <v>_</v>
      </c>
      <c r="CO938" s="47"/>
      <c r="CP938" s="42" t="s">
        <v>16</v>
      </c>
      <c r="CQ938" s="43" t="str">
        <f>IF(VLOOKUP(CP938,βοηθητικό!$J$2:$N$354,3,FALSE)="","",VLOOKUP(CP938,βοηθητικό!$J$2:$N$354,3,FALSE))</f>
        <v>_</v>
      </c>
      <c r="CR938" s="44"/>
      <c r="CS938" s="45" t="s">
        <v>16</v>
      </c>
      <c r="CT938" s="46" t="str">
        <f>IF(VLOOKUP(CS938,βοηθητικό!$J$2:$N$354,3,FALSE)="","",VLOOKUP(CS938,βοηθητικό!$J$2:$N$354,3,FALSE))</f>
        <v>_</v>
      </c>
      <c r="CU938" s="47"/>
    </row>
    <row r="939" spans="1:99" x14ac:dyDescent="0.25">
      <c r="A939" s="37">
        <f>--SUBTOTAL(3,$B$3:B938)</f>
        <v>198</v>
      </c>
      <c r="B939" s="2"/>
      <c r="C939" s="3"/>
      <c r="D939" s="55" t="s">
        <v>18</v>
      </c>
      <c r="E939" s="38" t="s">
        <v>16</v>
      </c>
      <c r="F939" s="38"/>
      <c r="G939" s="39" t="str">
        <f t="shared" si="44"/>
        <v>__</v>
      </c>
      <c r="H939" s="40" t="str">
        <f t="shared" si="45"/>
        <v>FALSE</v>
      </c>
      <c r="I939" s="41">
        <f t="shared" si="46"/>
        <v>0</v>
      </c>
      <c r="J939" s="4" t="s">
        <v>16</v>
      </c>
      <c r="K939" s="43" t="str">
        <f>IF(VLOOKUP(J939,βοηθητικό!$J$2:$N$354,3,FALSE)="","",VLOOKUP(J939,βοηθητικό!$J$2:$N$354,3,FALSE))</f>
        <v>_</v>
      </c>
      <c r="L939" s="44"/>
      <c r="M939" s="5" t="s">
        <v>16</v>
      </c>
      <c r="N939" s="46" t="str">
        <f>IF(VLOOKUP(M939,βοηθητικό!$J$2:$N$354,3,FALSE)="","",VLOOKUP(M939,βοηθητικό!$J$2:$N$354,3,FALSE))</f>
        <v>_</v>
      </c>
      <c r="O939" s="47"/>
      <c r="P939" s="4" t="s">
        <v>16</v>
      </c>
      <c r="Q939" s="43" t="str">
        <f>IF(VLOOKUP(P939,βοηθητικό!$J$2:$N$354,3,FALSE)="","",VLOOKUP(P939,βοηθητικό!$J$2:$N$354,3,FALSE))</f>
        <v>_</v>
      </c>
      <c r="R939" s="44"/>
      <c r="S939" s="5" t="s">
        <v>16</v>
      </c>
      <c r="T939" s="46" t="str">
        <f>IF(VLOOKUP(S939,βοηθητικό!$J$2:$N$354,3,FALSE)="","",VLOOKUP(S939,βοηθητικό!$J$2:$N$354,3,FALSE))</f>
        <v>_</v>
      </c>
      <c r="U939" s="47"/>
      <c r="V939" s="4" t="s">
        <v>16</v>
      </c>
      <c r="W939" s="43" t="str">
        <f>IF(VLOOKUP(V939,βοηθητικό!$J$2:$N$354,3,FALSE)="","",VLOOKUP(V939,βοηθητικό!$J$2:$N$354,3,FALSE))</f>
        <v>_</v>
      </c>
      <c r="X939" s="44"/>
      <c r="Y939" s="5" t="s">
        <v>16</v>
      </c>
      <c r="Z939" s="46" t="str">
        <f>IF(VLOOKUP(Y939,βοηθητικό!$J$2:$N$354,3,FALSE)="","",VLOOKUP(Y939,βοηθητικό!$J$2:$N$354,3,FALSE))</f>
        <v>_</v>
      </c>
      <c r="AA939" s="47"/>
      <c r="AB939" s="4" t="s">
        <v>16</v>
      </c>
      <c r="AC939" s="43" t="str">
        <f>IF(VLOOKUP(AB939,βοηθητικό!$J$2:$N$354,3,FALSE)="","",VLOOKUP(AB939,βοηθητικό!$J$2:$N$354,3,FALSE))</f>
        <v>_</v>
      </c>
      <c r="AD939" s="44"/>
      <c r="AE939" s="5" t="s">
        <v>16</v>
      </c>
      <c r="AF939" s="46" t="str">
        <f>IF(VLOOKUP(AE939,βοηθητικό!$J$2:$N$354,3,FALSE)="","",VLOOKUP(AE939,βοηθητικό!$J$2:$N$354,3,FALSE))</f>
        <v>_</v>
      </c>
      <c r="AG939" s="47"/>
      <c r="AH939" s="4" t="s">
        <v>16</v>
      </c>
      <c r="AI939" s="43" t="str">
        <f>IF(VLOOKUP(AH939,βοηθητικό!$J$2:$N$354,3,FALSE)="","",VLOOKUP(AH939,βοηθητικό!$J$2:$N$354,3,FALSE))</f>
        <v>_</v>
      </c>
      <c r="AJ939" s="44"/>
      <c r="AK939" s="5" t="s">
        <v>16</v>
      </c>
      <c r="AL939" s="46" t="str">
        <f>IF(VLOOKUP(AK939,βοηθητικό!$J$2:$N$354,3,FALSE)="","",VLOOKUP(AK939,βοηθητικό!$J$2:$N$354,3,FALSE))</f>
        <v>_</v>
      </c>
      <c r="AM939" s="47"/>
      <c r="AN939" s="4" t="s">
        <v>16</v>
      </c>
      <c r="AO939" s="43" t="str">
        <f>IF(VLOOKUP(AN939,βοηθητικό!$J$2:$N$354,3,FALSE)="","",VLOOKUP(AN939,βοηθητικό!$J$2:$N$354,3,FALSE))</f>
        <v>_</v>
      </c>
      <c r="AP939" s="44"/>
      <c r="AQ939" s="5" t="s">
        <v>16</v>
      </c>
      <c r="AR939" s="46" t="str">
        <f>IF(VLOOKUP(AQ939,βοηθητικό!$J$2:$N$354,3,FALSE)="","",VLOOKUP(AQ939,βοηθητικό!$J$2:$N$354,3,FALSE))</f>
        <v>_</v>
      </c>
      <c r="AS939" s="47"/>
      <c r="AT939" s="4" t="s">
        <v>16</v>
      </c>
      <c r="AU939" s="43" t="str">
        <f>IF(VLOOKUP(AT939,βοηθητικό!$J$2:$N$354,3,FALSE)="","",VLOOKUP(AT939,βοηθητικό!$J$2:$N$354,3,FALSE))</f>
        <v>_</v>
      </c>
      <c r="AV939" s="44"/>
      <c r="AW939" s="5" t="s">
        <v>16</v>
      </c>
      <c r="AX939" s="46" t="str">
        <f>IF(VLOOKUP(AW939,βοηθητικό!$J$2:$N$354,3,FALSE)="","",VLOOKUP(AW939,βοηθητικό!$J$2:$N$354,3,FALSE))</f>
        <v>_</v>
      </c>
      <c r="AY939" s="47"/>
      <c r="AZ939" s="4" t="s">
        <v>16</v>
      </c>
      <c r="BA939" s="43" t="str">
        <f>IF(VLOOKUP(AZ939,βοηθητικό!$J$2:$N$354,3,FALSE)="","",VLOOKUP(AZ939,βοηθητικό!$J$2:$N$354,3,FALSE))</f>
        <v>_</v>
      </c>
      <c r="BB939" s="44"/>
      <c r="BC939" s="45" t="s">
        <v>16</v>
      </c>
      <c r="BD939" s="46" t="str">
        <f>IF(VLOOKUP(BC939,βοηθητικό!$J$2:$N$354,3,FALSE)="","",VLOOKUP(BC939,βοηθητικό!$J$2:$N$354,3,FALSE))</f>
        <v>_</v>
      </c>
      <c r="BE939" s="47"/>
      <c r="BF939" s="42" t="s">
        <v>16</v>
      </c>
      <c r="BG939" s="43" t="str">
        <f>IF(VLOOKUP(BF939,βοηθητικό!$J$2:$N$354,3,FALSE)="","",VLOOKUP(BF939,βοηθητικό!$J$2:$N$354,3,FALSE))</f>
        <v>_</v>
      </c>
      <c r="BH939" s="44"/>
      <c r="BI939" s="45" t="s">
        <v>16</v>
      </c>
      <c r="BJ939" s="46" t="str">
        <f>IF(VLOOKUP(BI939,βοηθητικό!$J$2:$N$354,3,FALSE)="","",VLOOKUP(BI939,βοηθητικό!$J$2:$N$354,3,FALSE))</f>
        <v>_</v>
      </c>
      <c r="BK939" s="47"/>
      <c r="BL939" s="42" t="s">
        <v>16</v>
      </c>
      <c r="BM939" s="43" t="str">
        <f>IF(VLOOKUP(BL939,βοηθητικό!$J$2:$N$354,3,FALSE)="","",VLOOKUP(BL939,βοηθητικό!$J$2:$N$354,3,FALSE))</f>
        <v>_</v>
      </c>
      <c r="BN939" s="44"/>
      <c r="BO939" s="45" t="s">
        <v>16</v>
      </c>
      <c r="BP939" s="46" t="str">
        <f>IF(VLOOKUP(BO939,βοηθητικό!$J$2:$N$354,3,FALSE)="","",VLOOKUP(BO939,βοηθητικό!$J$2:$N$354,3,FALSE))</f>
        <v>_</v>
      </c>
      <c r="BQ939" s="47"/>
      <c r="BR939" s="42" t="s">
        <v>16</v>
      </c>
      <c r="BS939" s="43" t="str">
        <f>IF(VLOOKUP(BR939,βοηθητικό!$J$2:$N$354,3,FALSE)="","",VLOOKUP(BR939,βοηθητικό!$J$2:$N$354,3,FALSE))</f>
        <v>_</v>
      </c>
      <c r="BT939" s="44"/>
      <c r="BU939" s="45" t="s">
        <v>16</v>
      </c>
      <c r="BV939" s="46" t="str">
        <f>IF(VLOOKUP(BU939,βοηθητικό!$J$2:$N$354,3,FALSE)="","",VLOOKUP(BU939,βοηθητικό!$J$2:$N$354,3,FALSE))</f>
        <v>_</v>
      </c>
      <c r="BW939" s="47"/>
      <c r="BX939" s="42" t="s">
        <v>16</v>
      </c>
      <c r="BY939" s="43" t="str">
        <f>IF(VLOOKUP(BX939,βοηθητικό!$J$2:$N$354,3,FALSE)="","",VLOOKUP(BX939,βοηθητικό!$J$2:$N$354,3,FALSE))</f>
        <v>_</v>
      </c>
      <c r="BZ939" s="44"/>
      <c r="CA939" s="45" t="s">
        <v>16</v>
      </c>
      <c r="CB939" s="46" t="str">
        <f>IF(VLOOKUP(CA939,βοηθητικό!$J$2:$N$354,3,FALSE)="","",VLOOKUP(CA939,βοηθητικό!$J$2:$N$354,3,FALSE))</f>
        <v>_</v>
      </c>
      <c r="CC939" s="47"/>
      <c r="CD939" s="42" t="s">
        <v>16</v>
      </c>
      <c r="CE939" s="43" t="str">
        <f>IF(VLOOKUP(CD939,βοηθητικό!$J$2:$N$354,3,FALSE)="","",VLOOKUP(CD939,βοηθητικό!$J$2:$N$354,3,FALSE))</f>
        <v>_</v>
      </c>
      <c r="CF939" s="44"/>
      <c r="CG939" s="45" t="s">
        <v>16</v>
      </c>
      <c r="CH939" s="46" t="str">
        <f>IF(VLOOKUP(CG939,βοηθητικό!$J$2:$N$354,3,FALSE)="","",VLOOKUP(CG939,βοηθητικό!$J$2:$N$354,3,FALSE))</f>
        <v>_</v>
      </c>
      <c r="CI939" s="47"/>
      <c r="CJ939" s="42" t="s">
        <v>16</v>
      </c>
      <c r="CK939" s="43" t="str">
        <f>IF(VLOOKUP(CJ939,βοηθητικό!$J$2:$N$354,3,FALSE)="","",VLOOKUP(CJ939,βοηθητικό!$J$2:$N$354,3,FALSE))</f>
        <v>_</v>
      </c>
      <c r="CL939" s="44"/>
      <c r="CM939" s="45" t="s">
        <v>16</v>
      </c>
      <c r="CN939" s="46" t="str">
        <f>IF(VLOOKUP(CM939,βοηθητικό!$J$2:$N$354,3,FALSE)="","",VLOOKUP(CM939,βοηθητικό!$J$2:$N$354,3,FALSE))</f>
        <v>_</v>
      </c>
      <c r="CO939" s="47"/>
      <c r="CP939" s="42" t="s">
        <v>16</v>
      </c>
      <c r="CQ939" s="43" t="str">
        <f>IF(VLOOKUP(CP939,βοηθητικό!$J$2:$N$354,3,FALSE)="","",VLOOKUP(CP939,βοηθητικό!$J$2:$N$354,3,FALSE))</f>
        <v>_</v>
      </c>
      <c r="CR939" s="44"/>
      <c r="CS939" s="45" t="s">
        <v>16</v>
      </c>
      <c r="CT939" s="46" t="str">
        <f>IF(VLOOKUP(CS939,βοηθητικό!$J$2:$N$354,3,FALSE)="","",VLOOKUP(CS939,βοηθητικό!$J$2:$N$354,3,FALSE))</f>
        <v>_</v>
      </c>
      <c r="CU939" s="47"/>
    </row>
    <row r="940" spans="1:99" x14ac:dyDescent="0.25">
      <c r="A940" s="37">
        <f>--SUBTOTAL(3,$B$3:B939)</f>
        <v>198</v>
      </c>
      <c r="B940" s="2"/>
      <c r="C940" s="3"/>
      <c r="D940" s="55" t="s">
        <v>18</v>
      </c>
      <c r="E940" s="38" t="s">
        <v>16</v>
      </c>
      <c r="F940" s="38"/>
      <c r="G940" s="39" t="str">
        <f t="shared" si="44"/>
        <v>__</v>
      </c>
      <c r="H940" s="40" t="str">
        <f t="shared" si="45"/>
        <v>FALSE</v>
      </c>
      <c r="I940" s="41">
        <f t="shared" si="46"/>
        <v>0</v>
      </c>
      <c r="J940" s="4" t="s">
        <v>16</v>
      </c>
      <c r="K940" s="43" t="str">
        <f>IF(VLOOKUP(J940,βοηθητικό!$J$2:$N$354,3,FALSE)="","",VLOOKUP(J940,βοηθητικό!$J$2:$N$354,3,FALSE))</f>
        <v>_</v>
      </c>
      <c r="L940" s="44"/>
      <c r="M940" s="5" t="s">
        <v>16</v>
      </c>
      <c r="N940" s="46" t="str">
        <f>IF(VLOOKUP(M940,βοηθητικό!$J$2:$N$354,3,FALSE)="","",VLOOKUP(M940,βοηθητικό!$J$2:$N$354,3,FALSE))</f>
        <v>_</v>
      </c>
      <c r="O940" s="47"/>
      <c r="P940" s="4" t="s">
        <v>16</v>
      </c>
      <c r="Q940" s="43" t="str">
        <f>IF(VLOOKUP(P940,βοηθητικό!$J$2:$N$354,3,FALSE)="","",VLOOKUP(P940,βοηθητικό!$J$2:$N$354,3,FALSE))</f>
        <v>_</v>
      </c>
      <c r="R940" s="44"/>
      <c r="S940" s="5" t="s">
        <v>16</v>
      </c>
      <c r="T940" s="46" t="str">
        <f>IF(VLOOKUP(S940,βοηθητικό!$J$2:$N$354,3,FALSE)="","",VLOOKUP(S940,βοηθητικό!$J$2:$N$354,3,FALSE))</f>
        <v>_</v>
      </c>
      <c r="U940" s="47"/>
      <c r="V940" s="4" t="s">
        <v>16</v>
      </c>
      <c r="W940" s="43" t="str">
        <f>IF(VLOOKUP(V940,βοηθητικό!$J$2:$N$354,3,FALSE)="","",VLOOKUP(V940,βοηθητικό!$J$2:$N$354,3,FALSE))</f>
        <v>_</v>
      </c>
      <c r="X940" s="44"/>
      <c r="Y940" s="5" t="s">
        <v>16</v>
      </c>
      <c r="Z940" s="46" t="str">
        <f>IF(VLOOKUP(Y940,βοηθητικό!$J$2:$N$354,3,FALSE)="","",VLOOKUP(Y940,βοηθητικό!$J$2:$N$354,3,FALSE))</f>
        <v>_</v>
      </c>
      <c r="AA940" s="47"/>
      <c r="AB940" s="4" t="s">
        <v>16</v>
      </c>
      <c r="AC940" s="43" t="str">
        <f>IF(VLOOKUP(AB940,βοηθητικό!$J$2:$N$354,3,FALSE)="","",VLOOKUP(AB940,βοηθητικό!$J$2:$N$354,3,FALSE))</f>
        <v>_</v>
      </c>
      <c r="AD940" s="44"/>
      <c r="AE940" s="5" t="s">
        <v>16</v>
      </c>
      <c r="AF940" s="46" t="str">
        <f>IF(VLOOKUP(AE940,βοηθητικό!$J$2:$N$354,3,FALSE)="","",VLOOKUP(AE940,βοηθητικό!$J$2:$N$354,3,FALSE))</f>
        <v>_</v>
      </c>
      <c r="AG940" s="47"/>
      <c r="AH940" s="4" t="s">
        <v>16</v>
      </c>
      <c r="AI940" s="43" t="str">
        <f>IF(VLOOKUP(AH940,βοηθητικό!$J$2:$N$354,3,FALSE)="","",VLOOKUP(AH940,βοηθητικό!$J$2:$N$354,3,FALSE))</f>
        <v>_</v>
      </c>
      <c r="AJ940" s="44"/>
      <c r="AK940" s="5" t="s">
        <v>16</v>
      </c>
      <c r="AL940" s="46" t="str">
        <f>IF(VLOOKUP(AK940,βοηθητικό!$J$2:$N$354,3,FALSE)="","",VLOOKUP(AK940,βοηθητικό!$J$2:$N$354,3,FALSE))</f>
        <v>_</v>
      </c>
      <c r="AM940" s="47"/>
      <c r="AN940" s="4" t="s">
        <v>16</v>
      </c>
      <c r="AO940" s="43" t="str">
        <f>IF(VLOOKUP(AN940,βοηθητικό!$J$2:$N$354,3,FALSE)="","",VLOOKUP(AN940,βοηθητικό!$J$2:$N$354,3,FALSE))</f>
        <v>_</v>
      </c>
      <c r="AP940" s="44"/>
      <c r="AQ940" s="5" t="s">
        <v>16</v>
      </c>
      <c r="AR940" s="46" t="str">
        <f>IF(VLOOKUP(AQ940,βοηθητικό!$J$2:$N$354,3,FALSE)="","",VLOOKUP(AQ940,βοηθητικό!$J$2:$N$354,3,FALSE))</f>
        <v>_</v>
      </c>
      <c r="AS940" s="47"/>
      <c r="AT940" s="4" t="s">
        <v>16</v>
      </c>
      <c r="AU940" s="43" t="str">
        <f>IF(VLOOKUP(AT940,βοηθητικό!$J$2:$N$354,3,FALSE)="","",VLOOKUP(AT940,βοηθητικό!$J$2:$N$354,3,FALSE))</f>
        <v>_</v>
      </c>
      <c r="AV940" s="44"/>
      <c r="AW940" s="5" t="s">
        <v>16</v>
      </c>
      <c r="AX940" s="46" t="str">
        <f>IF(VLOOKUP(AW940,βοηθητικό!$J$2:$N$354,3,FALSE)="","",VLOOKUP(AW940,βοηθητικό!$J$2:$N$354,3,FALSE))</f>
        <v>_</v>
      </c>
      <c r="AY940" s="47"/>
      <c r="AZ940" s="4" t="s">
        <v>16</v>
      </c>
      <c r="BA940" s="43" t="str">
        <f>IF(VLOOKUP(AZ940,βοηθητικό!$J$2:$N$354,3,FALSE)="","",VLOOKUP(AZ940,βοηθητικό!$J$2:$N$354,3,FALSE))</f>
        <v>_</v>
      </c>
      <c r="BB940" s="44"/>
      <c r="BC940" s="45" t="s">
        <v>16</v>
      </c>
      <c r="BD940" s="46" t="str">
        <f>IF(VLOOKUP(BC940,βοηθητικό!$J$2:$N$354,3,FALSE)="","",VLOOKUP(BC940,βοηθητικό!$J$2:$N$354,3,FALSE))</f>
        <v>_</v>
      </c>
      <c r="BE940" s="47"/>
      <c r="BF940" s="42" t="s">
        <v>16</v>
      </c>
      <c r="BG940" s="43" t="str">
        <f>IF(VLOOKUP(BF940,βοηθητικό!$J$2:$N$354,3,FALSE)="","",VLOOKUP(BF940,βοηθητικό!$J$2:$N$354,3,FALSE))</f>
        <v>_</v>
      </c>
      <c r="BH940" s="44"/>
      <c r="BI940" s="45" t="s">
        <v>16</v>
      </c>
      <c r="BJ940" s="46" t="str">
        <f>IF(VLOOKUP(BI940,βοηθητικό!$J$2:$N$354,3,FALSE)="","",VLOOKUP(BI940,βοηθητικό!$J$2:$N$354,3,FALSE))</f>
        <v>_</v>
      </c>
      <c r="BK940" s="47"/>
      <c r="BL940" s="42" t="s">
        <v>16</v>
      </c>
      <c r="BM940" s="43" t="str">
        <f>IF(VLOOKUP(BL940,βοηθητικό!$J$2:$N$354,3,FALSE)="","",VLOOKUP(BL940,βοηθητικό!$J$2:$N$354,3,FALSE))</f>
        <v>_</v>
      </c>
      <c r="BN940" s="44"/>
      <c r="BO940" s="45" t="s">
        <v>16</v>
      </c>
      <c r="BP940" s="46" t="str">
        <f>IF(VLOOKUP(BO940,βοηθητικό!$J$2:$N$354,3,FALSE)="","",VLOOKUP(BO940,βοηθητικό!$J$2:$N$354,3,FALSE))</f>
        <v>_</v>
      </c>
      <c r="BQ940" s="47"/>
      <c r="BR940" s="42" t="s">
        <v>16</v>
      </c>
      <c r="BS940" s="43" t="str">
        <f>IF(VLOOKUP(BR940,βοηθητικό!$J$2:$N$354,3,FALSE)="","",VLOOKUP(BR940,βοηθητικό!$J$2:$N$354,3,FALSE))</f>
        <v>_</v>
      </c>
      <c r="BT940" s="44"/>
      <c r="BU940" s="45" t="s">
        <v>16</v>
      </c>
      <c r="BV940" s="46" t="str">
        <f>IF(VLOOKUP(BU940,βοηθητικό!$J$2:$N$354,3,FALSE)="","",VLOOKUP(BU940,βοηθητικό!$J$2:$N$354,3,FALSE))</f>
        <v>_</v>
      </c>
      <c r="BW940" s="47"/>
      <c r="BX940" s="42" t="s">
        <v>16</v>
      </c>
      <c r="BY940" s="43" t="str">
        <f>IF(VLOOKUP(BX940,βοηθητικό!$J$2:$N$354,3,FALSE)="","",VLOOKUP(BX940,βοηθητικό!$J$2:$N$354,3,FALSE))</f>
        <v>_</v>
      </c>
      <c r="BZ940" s="44"/>
      <c r="CA940" s="45" t="s">
        <v>16</v>
      </c>
      <c r="CB940" s="46" t="str">
        <f>IF(VLOOKUP(CA940,βοηθητικό!$J$2:$N$354,3,FALSE)="","",VLOOKUP(CA940,βοηθητικό!$J$2:$N$354,3,FALSE))</f>
        <v>_</v>
      </c>
      <c r="CC940" s="47"/>
      <c r="CD940" s="42" t="s">
        <v>16</v>
      </c>
      <c r="CE940" s="43" t="str">
        <f>IF(VLOOKUP(CD940,βοηθητικό!$J$2:$N$354,3,FALSE)="","",VLOOKUP(CD940,βοηθητικό!$J$2:$N$354,3,FALSE))</f>
        <v>_</v>
      </c>
      <c r="CF940" s="44"/>
      <c r="CG940" s="45" t="s">
        <v>16</v>
      </c>
      <c r="CH940" s="46" t="str">
        <f>IF(VLOOKUP(CG940,βοηθητικό!$J$2:$N$354,3,FALSE)="","",VLOOKUP(CG940,βοηθητικό!$J$2:$N$354,3,FALSE))</f>
        <v>_</v>
      </c>
      <c r="CI940" s="47"/>
      <c r="CJ940" s="42" t="s">
        <v>16</v>
      </c>
      <c r="CK940" s="43" t="str">
        <f>IF(VLOOKUP(CJ940,βοηθητικό!$J$2:$N$354,3,FALSE)="","",VLOOKUP(CJ940,βοηθητικό!$J$2:$N$354,3,FALSE))</f>
        <v>_</v>
      </c>
      <c r="CL940" s="44"/>
      <c r="CM940" s="45" t="s">
        <v>16</v>
      </c>
      <c r="CN940" s="46" t="str">
        <f>IF(VLOOKUP(CM940,βοηθητικό!$J$2:$N$354,3,FALSE)="","",VLOOKUP(CM940,βοηθητικό!$J$2:$N$354,3,FALSE))</f>
        <v>_</v>
      </c>
      <c r="CO940" s="47"/>
      <c r="CP940" s="42" t="s">
        <v>16</v>
      </c>
      <c r="CQ940" s="43" t="str">
        <f>IF(VLOOKUP(CP940,βοηθητικό!$J$2:$N$354,3,FALSE)="","",VLOOKUP(CP940,βοηθητικό!$J$2:$N$354,3,FALSE))</f>
        <v>_</v>
      </c>
      <c r="CR940" s="44"/>
      <c r="CS940" s="45" t="s">
        <v>16</v>
      </c>
      <c r="CT940" s="46" t="str">
        <f>IF(VLOOKUP(CS940,βοηθητικό!$J$2:$N$354,3,FALSE)="","",VLOOKUP(CS940,βοηθητικό!$J$2:$N$354,3,FALSE))</f>
        <v>_</v>
      </c>
      <c r="CU940" s="47"/>
    </row>
    <row r="941" spans="1:99" x14ac:dyDescent="0.25">
      <c r="A941" s="37">
        <f>--SUBTOTAL(3,$B$3:B940)</f>
        <v>198</v>
      </c>
      <c r="B941" s="2"/>
      <c r="C941" s="3"/>
      <c r="D941" s="55" t="s">
        <v>18</v>
      </c>
      <c r="E941" s="38" t="s">
        <v>16</v>
      </c>
      <c r="F941" s="38"/>
      <c r="G941" s="39" t="str">
        <f t="shared" si="44"/>
        <v>__</v>
      </c>
      <c r="H941" s="40" t="str">
        <f t="shared" si="45"/>
        <v>FALSE</v>
      </c>
      <c r="I941" s="41">
        <f t="shared" si="46"/>
        <v>0</v>
      </c>
      <c r="J941" s="4" t="s">
        <v>16</v>
      </c>
      <c r="K941" s="43" t="str">
        <f>IF(VLOOKUP(J941,βοηθητικό!$J$2:$N$354,3,FALSE)="","",VLOOKUP(J941,βοηθητικό!$J$2:$N$354,3,FALSE))</f>
        <v>_</v>
      </c>
      <c r="L941" s="44"/>
      <c r="M941" s="5" t="s">
        <v>16</v>
      </c>
      <c r="N941" s="46" t="str">
        <f>IF(VLOOKUP(M941,βοηθητικό!$J$2:$N$354,3,FALSE)="","",VLOOKUP(M941,βοηθητικό!$J$2:$N$354,3,FALSE))</f>
        <v>_</v>
      </c>
      <c r="O941" s="47"/>
      <c r="P941" s="4" t="s">
        <v>16</v>
      </c>
      <c r="Q941" s="43" t="str">
        <f>IF(VLOOKUP(P941,βοηθητικό!$J$2:$N$354,3,FALSE)="","",VLOOKUP(P941,βοηθητικό!$J$2:$N$354,3,FALSE))</f>
        <v>_</v>
      </c>
      <c r="R941" s="44"/>
      <c r="S941" s="5" t="s">
        <v>16</v>
      </c>
      <c r="T941" s="46" t="str">
        <f>IF(VLOOKUP(S941,βοηθητικό!$J$2:$N$354,3,FALSE)="","",VLOOKUP(S941,βοηθητικό!$J$2:$N$354,3,FALSE))</f>
        <v>_</v>
      </c>
      <c r="U941" s="47"/>
      <c r="V941" s="4" t="s">
        <v>16</v>
      </c>
      <c r="W941" s="43" t="str">
        <f>IF(VLOOKUP(V941,βοηθητικό!$J$2:$N$354,3,FALSE)="","",VLOOKUP(V941,βοηθητικό!$J$2:$N$354,3,FALSE))</f>
        <v>_</v>
      </c>
      <c r="X941" s="44"/>
      <c r="Y941" s="5" t="s">
        <v>16</v>
      </c>
      <c r="Z941" s="46" t="str">
        <f>IF(VLOOKUP(Y941,βοηθητικό!$J$2:$N$354,3,FALSE)="","",VLOOKUP(Y941,βοηθητικό!$J$2:$N$354,3,FALSE))</f>
        <v>_</v>
      </c>
      <c r="AA941" s="47"/>
      <c r="AB941" s="4" t="s">
        <v>16</v>
      </c>
      <c r="AC941" s="43" t="str">
        <f>IF(VLOOKUP(AB941,βοηθητικό!$J$2:$N$354,3,FALSE)="","",VLOOKUP(AB941,βοηθητικό!$J$2:$N$354,3,FALSE))</f>
        <v>_</v>
      </c>
      <c r="AD941" s="44"/>
      <c r="AE941" s="5" t="s">
        <v>16</v>
      </c>
      <c r="AF941" s="46" t="str">
        <f>IF(VLOOKUP(AE941,βοηθητικό!$J$2:$N$354,3,FALSE)="","",VLOOKUP(AE941,βοηθητικό!$J$2:$N$354,3,FALSE))</f>
        <v>_</v>
      </c>
      <c r="AG941" s="47"/>
      <c r="AH941" s="4" t="s">
        <v>16</v>
      </c>
      <c r="AI941" s="43" t="str">
        <f>IF(VLOOKUP(AH941,βοηθητικό!$J$2:$N$354,3,FALSE)="","",VLOOKUP(AH941,βοηθητικό!$J$2:$N$354,3,FALSE))</f>
        <v>_</v>
      </c>
      <c r="AJ941" s="44"/>
      <c r="AK941" s="5" t="s">
        <v>16</v>
      </c>
      <c r="AL941" s="46" t="str">
        <f>IF(VLOOKUP(AK941,βοηθητικό!$J$2:$N$354,3,FALSE)="","",VLOOKUP(AK941,βοηθητικό!$J$2:$N$354,3,FALSE))</f>
        <v>_</v>
      </c>
      <c r="AM941" s="47"/>
      <c r="AN941" s="4" t="s">
        <v>16</v>
      </c>
      <c r="AO941" s="43" t="str">
        <f>IF(VLOOKUP(AN941,βοηθητικό!$J$2:$N$354,3,FALSE)="","",VLOOKUP(AN941,βοηθητικό!$J$2:$N$354,3,FALSE))</f>
        <v>_</v>
      </c>
      <c r="AP941" s="44"/>
      <c r="AQ941" s="5" t="s">
        <v>16</v>
      </c>
      <c r="AR941" s="46" t="str">
        <f>IF(VLOOKUP(AQ941,βοηθητικό!$J$2:$N$354,3,FALSE)="","",VLOOKUP(AQ941,βοηθητικό!$J$2:$N$354,3,FALSE))</f>
        <v>_</v>
      </c>
      <c r="AS941" s="47"/>
      <c r="AT941" s="4" t="s">
        <v>16</v>
      </c>
      <c r="AU941" s="43" t="str">
        <f>IF(VLOOKUP(AT941,βοηθητικό!$J$2:$N$354,3,FALSE)="","",VLOOKUP(AT941,βοηθητικό!$J$2:$N$354,3,FALSE))</f>
        <v>_</v>
      </c>
      <c r="AV941" s="44"/>
      <c r="AW941" s="5" t="s">
        <v>16</v>
      </c>
      <c r="AX941" s="46" t="str">
        <f>IF(VLOOKUP(AW941,βοηθητικό!$J$2:$N$354,3,FALSE)="","",VLOOKUP(AW941,βοηθητικό!$J$2:$N$354,3,FALSE))</f>
        <v>_</v>
      </c>
      <c r="AY941" s="47"/>
      <c r="AZ941" s="4" t="s">
        <v>16</v>
      </c>
      <c r="BA941" s="43" t="str">
        <f>IF(VLOOKUP(AZ941,βοηθητικό!$J$2:$N$354,3,FALSE)="","",VLOOKUP(AZ941,βοηθητικό!$J$2:$N$354,3,FALSE))</f>
        <v>_</v>
      </c>
      <c r="BB941" s="44"/>
      <c r="BC941" s="45" t="s">
        <v>16</v>
      </c>
      <c r="BD941" s="46" t="str">
        <f>IF(VLOOKUP(BC941,βοηθητικό!$J$2:$N$354,3,FALSE)="","",VLOOKUP(BC941,βοηθητικό!$J$2:$N$354,3,FALSE))</f>
        <v>_</v>
      </c>
      <c r="BE941" s="47"/>
      <c r="BF941" s="42" t="s">
        <v>16</v>
      </c>
      <c r="BG941" s="43" t="str">
        <f>IF(VLOOKUP(BF941,βοηθητικό!$J$2:$N$354,3,FALSE)="","",VLOOKUP(BF941,βοηθητικό!$J$2:$N$354,3,FALSE))</f>
        <v>_</v>
      </c>
      <c r="BH941" s="44"/>
      <c r="BI941" s="45" t="s">
        <v>16</v>
      </c>
      <c r="BJ941" s="46" t="str">
        <f>IF(VLOOKUP(BI941,βοηθητικό!$J$2:$N$354,3,FALSE)="","",VLOOKUP(BI941,βοηθητικό!$J$2:$N$354,3,FALSE))</f>
        <v>_</v>
      </c>
      <c r="BK941" s="47"/>
      <c r="BL941" s="42" t="s">
        <v>16</v>
      </c>
      <c r="BM941" s="43" t="str">
        <f>IF(VLOOKUP(BL941,βοηθητικό!$J$2:$N$354,3,FALSE)="","",VLOOKUP(BL941,βοηθητικό!$J$2:$N$354,3,FALSE))</f>
        <v>_</v>
      </c>
      <c r="BN941" s="44"/>
      <c r="BO941" s="45" t="s">
        <v>16</v>
      </c>
      <c r="BP941" s="46" t="str">
        <f>IF(VLOOKUP(BO941,βοηθητικό!$J$2:$N$354,3,FALSE)="","",VLOOKUP(BO941,βοηθητικό!$J$2:$N$354,3,FALSE))</f>
        <v>_</v>
      </c>
      <c r="BQ941" s="47"/>
      <c r="BR941" s="42" t="s">
        <v>16</v>
      </c>
      <c r="BS941" s="43" t="str">
        <f>IF(VLOOKUP(BR941,βοηθητικό!$J$2:$N$354,3,FALSE)="","",VLOOKUP(BR941,βοηθητικό!$J$2:$N$354,3,FALSE))</f>
        <v>_</v>
      </c>
      <c r="BT941" s="44"/>
      <c r="BU941" s="45" t="s">
        <v>16</v>
      </c>
      <c r="BV941" s="46" t="str">
        <f>IF(VLOOKUP(BU941,βοηθητικό!$J$2:$N$354,3,FALSE)="","",VLOOKUP(BU941,βοηθητικό!$J$2:$N$354,3,FALSE))</f>
        <v>_</v>
      </c>
      <c r="BW941" s="47"/>
      <c r="BX941" s="42" t="s">
        <v>16</v>
      </c>
      <c r="BY941" s="43" t="str">
        <f>IF(VLOOKUP(BX941,βοηθητικό!$J$2:$N$354,3,FALSE)="","",VLOOKUP(BX941,βοηθητικό!$J$2:$N$354,3,FALSE))</f>
        <v>_</v>
      </c>
      <c r="BZ941" s="44"/>
      <c r="CA941" s="45" t="s">
        <v>16</v>
      </c>
      <c r="CB941" s="46" t="str">
        <f>IF(VLOOKUP(CA941,βοηθητικό!$J$2:$N$354,3,FALSE)="","",VLOOKUP(CA941,βοηθητικό!$J$2:$N$354,3,FALSE))</f>
        <v>_</v>
      </c>
      <c r="CC941" s="47"/>
      <c r="CD941" s="42" t="s">
        <v>16</v>
      </c>
      <c r="CE941" s="43" t="str">
        <f>IF(VLOOKUP(CD941,βοηθητικό!$J$2:$N$354,3,FALSE)="","",VLOOKUP(CD941,βοηθητικό!$J$2:$N$354,3,FALSE))</f>
        <v>_</v>
      </c>
      <c r="CF941" s="44"/>
      <c r="CG941" s="45" t="s">
        <v>16</v>
      </c>
      <c r="CH941" s="46" t="str">
        <f>IF(VLOOKUP(CG941,βοηθητικό!$J$2:$N$354,3,FALSE)="","",VLOOKUP(CG941,βοηθητικό!$J$2:$N$354,3,FALSE))</f>
        <v>_</v>
      </c>
      <c r="CI941" s="47"/>
      <c r="CJ941" s="42" t="s">
        <v>16</v>
      </c>
      <c r="CK941" s="43" t="str">
        <f>IF(VLOOKUP(CJ941,βοηθητικό!$J$2:$N$354,3,FALSE)="","",VLOOKUP(CJ941,βοηθητικό!$J$2:$N$354,3,FALSE))</f>
        <v>_</v>
      </c>
      <c r="CL941" s="44"/>
      <c r="CM941" s="45" t="s">
        <v>16</v>
      </c>
      <c r="CN941" s="46" t="str">
        <f>IF(VLOOKUP(CM941,βοηθητικό!$J$2:$N$354,3,FALSE)="","",VLOOKUP(CM941,βοηθητικό!$J$2:$N$354,3,FALSE))</f>
        <v>_</v>
      </c>
      <c r="CO941" s="47"/>
      <c r="CP941" s="42" t="s">
        <v>16</v>
      </c>
      <c r="CQ941" s="43" t="str">
        <f>IF(VLOOKUP(CP941,βοηθητικό!$J$2:$N$354,3,FALSE)="","",VLOOKUP(CP941,βοηθητικό!$J$2:$N$354,3,FALSE))</f>
        <v>_</v>
      </c>
      <c r="CR941" s="44"/>
      <c r="CS941" s="45" t="s">
        <v>16</v>
      </c>
      <c r="CT941" s="46" t="str">
        <f>IF(VLOOKUP(CS941,βοηθητικό!$J$2:$N$354,3,FALSE)="","",VLOOKUP(CS941,βοηθητικό!$J$2:$N$354,3,FALSE))</f>
        <v>_</v>
      </c>
      <c r="CU941" s="47"/>
    </row>
    <row r="942" spans="1:99" x14ac:dyDescent="0.25">
      <c r="A942" s="37">
        <f>--SUBTOTAL(3,$B$3:B941)</f>
        <v>198</v>
      </c>
      <c r="B942" s="2"/>
      <c r="C942" s="3"/>
      <c r="D942" s="55" t="s">
        <v>18</v>
      </c>
      <c r="E942" s="38" t="s">
        <v>16</v>
      </c>
      <c r="F942" s="38"/>
      <c r="G942" s="39" t="str">
        <f t="shared" si="44"/>
        <v>__</v>
      </c>
      <c r="H942" s="40" t="str">
        <f t="shared" si="45"/>
        <v>FALSE</v>
      </c>
      <c r="I942" s="41">
        <f t="shared" si="46"/>
        <v>0</v>
      </c>
      <c r="J942" s="4" t="s">
        <v>16</v>
      </c>
      <c r="K942" s="43" t="str">
        <f>IF(VLOOKUP(J942,βοηθητικό!$J$2:$N$354,3,FALSE)="","",VLOOKUP(J942,βοηθητικό!$J$2:$N$354,3,FALSE))</f>
        <v>_</v>
      </c>
      <c r="L942" s="44"/>
      <c r="M942" s="5" t="s">
        <v>16</v>
      </c>
      <c r="N942" s="46" t="str">
        <f>IF(VLOOKUP(M942,βοηθητικό!$J$2:$N$354,3,FALSE)="","",VLOOKUP(M942,βοηθητικό!$J$2:$N$354,3,FALSE))</f>
        <v>_</v>
      </c>
      <c r="O942" s="47"/>
      <c r="P942" s="4" t="s">
        <v>16</v>
      </c>
      <c r="Q942" s="43" t="str">
        <f>IF(VLOOKUP(P942,βοηθητικό!$J$2:$N$354,3,FALSE)="","",VLOOKUP(P942,βοηθητικό!$J$2:$N$354,3,FALSE))</f>
        <v>_</v>
      </c>
      <c r="R942" s="44"/>
      <c r="S942" s="5" t="s">
        <v>16</v>
      </c>
      <c r="T942" s="46" t="str">
        <f>IF(VLOOKUP(S942,βοηθητικό!$J$2:$N$354,3,FALSE)="","",VLOOKUP(S942,βοηθητικό!$J$2:$N$354,3,FALSE))</f>
        <v>_</v>
      </c>
      <c r="U942" s="47"/>
      <c r="V942" s="4" t="s">
        <v>16</v>
      </c>
      <c r="W942" s="43" t="str">
        <f>IF(VLOOKUP(V942,βοηθητικό!$J$2:$N$354,3,FALSE)="","",VLOOKUP(V942,βοηθητικό!$J$2:$N$354,3,FALSE))</f>
        <v>_</v>
      </c>
      <c r="X942" s="44"/>
      <c r="Y942" s="5" t="s">
        <v>16</v>
      </c>
      <c r="Z942" s="46" t="str">
        <f>IF(VLOOKUP(Y942,βοηθητικό!$J$2:$N$354,3,FALSE)="","",VLOOKUP(Y942,βοηθητικό!$J$2:$N$354,3,FALSE))</f>
        <v>_</v>
      </c>
      <c r="AA942" s="47"/>
      <c r="AB942" s="4" t="s">
        <v>16</v>
      </c>
      <c r="AC942" s="43" t="str">
        <f>IF(VLOOKUP(AB942,βοηθητικό!$J$2:$N$354,3,FALSE)="","",VLOOKUP(AB942,βοηθητικό!$J$2:$N$354,3,FALSE))</f>
        <v>_</v>
      </c>
      <c r="AD942" s="44"/>
      <c r="AE942" s="5" t="s">
        <v>16</v>
      </c>
      <c r="AF942" s="46" t="str">
        <f>IF(VLOOKUP(AE942,βοηθητικό!$J$2:$N$354,3,FALSE)="","",VLOOKUP(AE942,βοηθητικό!$J$2:$N$354,3,FALSE))</f>
        <v>_</v>
      </c>
      <c r="AG942" s="47"/>
      <c r="AH942" s="4" t="s">
        <v>16</v>
      </c>
      <c r="AI942" s="43" t="str">
        <f>IF(VLOOKUP(AH942,βοηθητικό!$J$2:$N$354,3,FALSE)="","",VLOOKUP(AH942,βοηθητικό!$J$2:$N$354,3,FALSE))</f>
        <v>_</v>
      </c>
      <c r="AJ942" s="44"/>
      <c r="AK942" s="5" t="s">
        <v>16</v>
      </c>
      <c r="AL942" s="46" t="str">
        <f>IF(VLOOKUP(AK942,βοηθητικό!$J$2:$N$354,3,FALSE)="","",VLOOKUP(AK942,βοηθητικό!$J$2:$N$354,3,FALSE))</f>
        <v>_</v>
      </c>
      <c r="AM942" s="47"/>
      <c r="AN942" s="4" t="s">
        <v>16</v>
      </c>
      <c r="AO942" s="43" t="str">
        <f>IF(VLOOKUP(AN942,βοηθητικό!$J$2:$N$354,3,FALSE)="","",VLOOKUP(AN942,βοηθητικό!$J$2:$N$354,3,FALSE))</f>
        <v>_</v>
      </c>
      <c r="AP942" s="44"/>
      <c r="AQ942" s="5" t="s">
        <v>16</v>
      </c>
      <c r="AR942" s="46" t="str">
        <f>IF(VLOOKUP(AQ942,βοηθητικό!$J$2:$N$354,3,FALSE)="","",VLOOKUP(AQ942,βοηθητικό!$J$2:$N$354,3,FALSE))</f>
        <v>_</v>
      </c>
      <c r="AS942" s="47"/>
      <c r="AT942" s="4" t="s">
        <v>16</v>
      </c>
      <c r="AU942" s="43" t="str">
        <f>IF(VLOOKUP(AT942,βοηθητικό!$J$2:$N$354,3,FALSE)="","",VLOOKUP(AT942,βοηθητικό!$J$2:$N$354,3,FALSE))</f>
        <v>_</v>
      </c>
      <c r="AV942" s="44"/>
      <c r="AW942" s="5" t="s">
        <v>16</v>
      </c>
      <c r="AX942" s="46" t="str">
        <f>IF(VLOOKUP(AW942,βοηθητικό!$J$2:$N$354,3,FALSE)="","",VLOOKUP(AW942,βοηθητικό!$J$2:$N$354,3,FALSE))</f>
        <v>_</v>
      </c>
      <c r="AY942" s="47"/>
      <c r="AZ942" s="4" t="s">
        <v>16</v>
      </c>
      <c r="BA942" s="43" t="str">
        <f>IF(VLOOKUP(AZ942,βοηθητικό!$J$2:$N$354,3,FALSE)="","",VLOOKUP(AZ942,βοηθητικό!$J$2:$N$354,3,FALSE))</f>
        <v>_</v>
      </c>
      <c r="BB942" s="44"/>
      <c r="BC942" s="45" t="s">
        <v>16</v>
      </c>
      <c r="BD942" s="46" t="str">
        <f>IF(VLOOKUP(BC942,βοηθητικό!$J$2:$N$354,3,FALSE)="","",VLOOKUP(BC942,βοηθητικό!$J$2:$N$354,3,FALSE))</f>
        <v>_</v>
      </c>
      <c r="BE942" s="47"/>
      <c r="BF942" s="42" t="s">
        <v>16</v>
      </c>
      <c r="BG942" s="43" t="str">
        <f>IF(VLOOKUP(BF942,βοηθητικό!$J$2:$N$354,3,FALSE)="","",VLOOKUP(BF942,βοηθητικό!$J$2:$N$354,3,FALSE))</f>
        <v>_</v>
      </c>
      <c r="BH942" s="44"/>
      <c r="BI942" s="45" t="s">
        <v>16</v>
      </c>
      <c r="BJ942" s="46" t="str">
        <f>IF(VLOOKUP(BI942,βοηθητικό!$J$2:$N$354,3,FALSE)="","",VLOOKUP(BI942,βοηθητικό!$J$2:$N$354,3,FALSE))</f>
        <v>_</v>
      </c>
      <c r="BK942" s="47"/>
      <c r="BL942" s="42" t="s">
        <v>16</v>
      </c>
      <c r="BM942" s="43" t="str">
        <f>IF(VLOOKUP(BL942,βοηθητικό!$J$2:$N$354,3,FALSE)="","",VLOOKUP(BL942,βοηθητικό!$J$2:$N$354,3,FALSE))</f>
        <v>_</v>
      </c>
      <c r="BN942" s="44"/>
      <c r="BO942" s="45" t="s">
        <v>16</v>
      </c>
      <c r="BP942" s="46" t="str">
        <f>IF(VLOOKUP(BO942,βοηθητικό!$J$2:$N$354,3,FALSE)="","",VLOOKUP(BO942,βοηθητικό!$J$2:$N$354,3,FALSE))</f>
        <v>_</v>
      </c>
      <c r="BQ942" s="47"/>
      <c r="BR942" s="42" t="s">
        <v>16</v>
      </c>
      <c r="BS942" s="43" t="str">
        <f>IF(VLOOKUP(BR942,βοηθητικό!$J$2:$N$354,3,FALSE)="","",VLOOKUP(BR942,βοηθητικό!$J$2:$N$354,3,FALSE))</f>
        <v>_</v>
      </c>
      <c r="BT942" s="44"/>
      <c r="BU942" s="45" t="s">
        <v>16</v>
      </c>
      <c r="BV942" s="46" t="str">
        <f>IF(VLOOKUP(BU942,βοηθητικό!$J$2:$N$354,3,FALSE)="","",VLOOKUP(BU942,βοηθητικό!$J$2:$N$354,3,FALSE))</f>
        <v>_</v>
      </c>
      <c r="BW942" s="47"/>
      <c r="BX942" s="42" t="s">
        <v>16</v>
      </c>
      <c r="BY942" s="43" t="str">
        <f>IF(VLOOKUP(BX942,βοηθητικό!$J$2:$N$354,3,FALSE)="","",VLOOKUP(BX942,βοηθητικό!$J$2:$N$354,3,FALSE))</f>
        <v>_</v>
      </c>
      <c r="BZ942" s="44"/>
      <c r="CA942" s="45" t="s">
        <v>16</v>
      </c>
      <c r="CB942" s="46" t="str">
        <f>IF(VLOOKUP(CA942,βοηθητικό!$J$2:$N$354,3,FALSE)="","",VLOOKUP(CA942,βοηθητικό!$J$2:$N$354,3,FALSE))</f>
        <v>_</v>
      </c>
      <c r="CC942" s="47"/>
      <c r="CD942" s="42" t="s">
        <v>16</v>
      </c>
      <c r="CE942" s="43" t="str">
        <f>IF(VLOOKUP(CD942,βοηθητικό!$J$2:$N$354,3,FALSE)="","",VLOOKUP(CD942,βοηθητικό!$J$2:$N$354,3,FALSE))</f>
        <v>_</v>
      </c>
      <c r="CF942" s="44"/>
      <c r="CG942" s="45" t="s">
        <v>16</v>
      </c>
      <c r="CH942" s="46" t="str">
        <f>IF(VLOOKUP(CG942,βοηθητικό!$J$2:$N$354,3,FALSE)="","",VLOOKUP(CG942,βοηθητικό!$J$2:$N$354,3,FALSE))</f>
        <v>_</v>
      </c>
      <c r="CI942" s="47"/>
      <c r="CJ942" s="42" t="s">
        <v>16</v>
      </c>
      <c r="CK942" s="43" t="str">
        <f>IF(VLOOKUP(CJ942,βοηθητικό!$J$2:$N$354,3,FALSE)="","",VLOOKUP(CJ942,βοηθητικό!$J$2:$N$354,3,FALSE))</f>
        <v>_</v>
      </c>
      <c r="CL942" s="44"/>
      <c r="CM942" s="45" t="s">
        <v>16</v>
      </c>
      <c r="CN942" s="46" t="str">
        <f>IF(VLOOKUP(CM942,βοηθητικό!$J$2:$N$354,3,FALSE)="","",VLOOKUP(CM942,βοηθητικό!$J$2:$N$354,3,FALSE))</f>
        <v>_</v>
      </c>
      <c r="CO942" s="47"/>
      <c r="CP942" s="42" t="s">
        <v>16</v>
      </c>
      <c r="CQ942" s="43" t="str">
        <f>IF(VLOOKUP(CP942,βοηθητικό!$J$2:$N$354,3,FALSE)="","",VLOOKUP(CP942,βοηθητικό!$J$2:$N$354,3,FALSE))</f>
        <v>_</v>
      </c>
      <c r="CR942" s="44"/>
      <c r="CS942" s="45" t="s">
        <v>16</v>
      </c>
      <c r="CT942" s="46" t="str">
        <f>IF(VLOOKUP(CS942,βοηθητικό!$J$2:$N$354,3,FALSE)="","",VLOOKUP(CS942,βοηθητικό!$J$2:$N$354,3,FALSE))</f>
        <v>_</v>
      </c>
      <c r="CU942" s="47"/>
    </row>
    <row r="943" spans="1:99" x14ac:dyDescent="0.25">
      <c r="A943" s="37">
        <f>--SUBTOTAL(3,$B$3:B942)</f>
        <v>198</v>
      </c>
      <c r="B943" s="2"/>
      <c r="C943" s="3"/>
      <c r="D943" s="55" t="s">
        <v>18</v>
      </c>
      <c r="E943" s="38" t="s">
        <v>16</v>
      </c>
      <c r="F943" s="38"/>
      <c r="G943" s="39" t="str">
        <f t="shared" si="44"/>
        <v>__</v>
      </c>
      <c r="H943" s="40" t="str">
        <f t="shared" si="45"/>
        <v>FALSE</v>
      </c>
      <c r="I943" s="41">
        <f t="shared" si="46"/>
        <v>0</v>
      </c>
      <c r="J943" s="4" t="s">
        <v>16</v>
      </c>
      <c r="K943" s="43" t="str">
        <f>IF(VLOOKUP(J943,βοηθητικό!$J$2:$N$354,3,FALSE)="","",VLOOKUP(J943,βοηθητικό!$J$2:$N$354,3,FALSE))</f>
        <v>_</v>
      </c>
      <c r="L943" s="44"/>
      <c r="M943" s="5" t="s">
        <v>16</v>
      </c>
      <c r="N943" s="46" t="str">
        <f>IF(VLOOKUP(M943,βοηθητικό!$J$2:$N$354,3,FALSE)="","",VLOOKUP(M943,βοηθητικό!$J$2:$N$354,3,FALSE))</f>
        <v>_</v>
      </c>
      <c r="O943" s="47"/>
      <c r="P943" s="4" t="s">
        <v>16</v>
      </c>
      <c r="Q943" s="43" t="str">
        <f>IF(VLOOKUP(P943,βοηθητικό!$J$2:$N$354,3,FALSE)="","",VLOOKUP(P943,βοηθητικό!$J$2:$N$354,3,FALSE))</f>
        <v>_</v>
      </c>
      <c r="R943" s="44"/>
      <c r="S943" s="5" t="s">
        <v>16</v>
      </c>
      <c r="T943" s="46" t="str">
        <f>IF(VLOOKUP(S943,βοηθητικό!$J$2:$N$354,3,FALSE)="","",VLOOKUP(S943,βοηθητικό!$J$2:$N$354,3,FALSE))</f>
        <v>_</v>
      </c>
      <c r="U943" s="47"/>
      <c r="V943" s="4" t="s">
        <v>16</v>
      </c>
      <c r="W943" s="43" t="str">
        <f>IF(VLOOKUP(V943,βοηθητικό!$J$2:$N$354,3,FALSE)="","",VLOOKUP(V943,βοηθητικό!$J$2:$N$354,3,FALSE))</f>
        <v>_</v>
      </c>
      <c r="X943" s="44"/>
      <c r="Y943" s="5" t="s">
        <v>16</v>
      </c>
      <c r="Z943" s="46" t="str">
        <f>IF(VLOOKUP(Y943,βοηθητικό!$J$2:$N$354,3,FALSE)="","",VLOOKUP(Y943,βοηθητικό!$J$2:$N$354,3,FALSE))</f>
        <v>_</v>
      </c>
      <c r="AA943" s="47"/>
      <c r="AB943" s="4" t="s">
        <v>16</v>
      </c>
      <c r="AC943" s="43" t="str">
        <f>IF(VLOOKUP(AB943,βοηθητικό!$J$2:$N$354,3,FALSE)="","",VLOOKUP(AB943,βοηθητικό!$J$2:$N$354,3,FALSE))</f>
        <v>_</v>
      </c>
      <c r="AD943" s="44"/>
      <c r="AE943" s="5" t="s">
        <v>16</v>
      </c>
      <c r="AF943" s="46" t="str">
        <f>IF(VLOOKUP(AE943,βοηθητικό!$J$2:$N$354,3,FALSE)="","",VLOOKUP(AE943,βοηθητικό!$J$2:$N$354,3,FALSE))</f>
        <v>_</v>
      </c>
      <c r="AG943" s="47"/>
      <c r="AH943" s="4" t="s">
        <v>16</v>
      </c>
      <c r="AI943" s="43" t="str">
        <f>IF(VLOOKUP(AH943,βοηθητικό!$J$2:$N$354,3,FALSE)="","",VLOOKUP(AH943,βοηθητικό!$J$2:$N$354,3,FALSE))</f>
        <v>_</v>
      </c>
      <c r="AJ943" s="44"/>
      <c r="AK943" s="5" t="s">
        <v>16</v>
      </c>
      <c r="AL943" s="46" t="str">
        <f>IF(VLOOKUP(AK943,βοηθητικό!$J$2:$N$354,3,FALSE)="","",VLOOKUP(AK943,βοηθητικό!$J$2:$N$354,3,FALSE))</f>
        <v>_</v>
      </c>
      <c r="AM943" s="47"/>
      <c r="AN943" s="4" t="s">
        <v>16</v>
      </c>
      <c r="AO943" s="43" t="str">
        <f>IF(VLOOKUP(AN943,βοηθητικό!$J$2:$N$354,3,FALSE)="","",VLOOKUP(AN943,βοηθητικό!$J$2:$N$354,3,FALSE))</f>
        <v>_</v>
      </c>
      <c r="AP943" s="44"/>
      <c r="AQ943" s="5" t="s">
        <v>16</v>
      </c>
      <c r="AR943" s="46" t="str">
        <f>IF(VLOOKUP(AQ943,βοηθητικό!$J$2:$N$354,3,FALSE)="","",VLOOKUP(AQ943,βοηθητικό!$J$2:$N$354,3,FALSE))</f>
        <v>_</v>
      </c>
      <c r="AS943" s="47"/>
      <c r="AT943" s="4" t="s">
        <v>16</v>
      </c>
      <c r="AU943" s="43" t="str">
        <f>IF(VLOOKUP(AT943,βοηθητικό!$J$2:$N$354,3,FALSE)="","",VLOOKUP(AT943,βοηθητικό!$J$2:$N$354,3,FALSE))</f>
        <v>_</v>
      </c>
      <c r="AV943" s="44"/>
      <c r="AW943" s="5" t="s">
        <v>16</v>
      </c>
      <c r="AX943" s="46" t="str">
        <f>IF(VLOOKUP(AW943,βοηθητικό!$J$2:$N$354,3,FALSE)="","",VLOOKUP(AW943,βοηθητικό!$J$2:$N$354,3,FALSE))</f>
        <v>_</v>
      </c>
      <c r="AY943" s="47"/>
      <c r="AZ943" s="4" t="s">
        <v>16</v>
      </c>
      <c r="BA943" s="43" t="str">
        <f>IF(VLOOKUP(AZ943,βοηθητικό!$J$2:$N$354,3,FALSE)="","",VLOOKUP(AZ943,βοηθητικό!$J$2:$N$354,3,FALSE))</f>
        <v>_</v>
      </c>
      <c r="BB943" s="44"/>
      <c r="BC943" s="45" t="s">
        <v>16</v>
      </c>
      <c r="BD943" s="46" t="str">
        <f>IF(VLOOKUP(BC943,βοηθητικό!$J$2:$N$354,3,FALSE)="","",VLOOKUP(BC943,βοηθητικό!$J$2:$N$354,3,FALSE))</f>
        <v>_</v>
      </c>
      <c r="BE943" s="47"/>
      <c r="BF943" s="42" t="s">
        <v>16</v>
      </c>
      <c r="BG943" s="43" t="str">
        <f>IF(VLOOKUP(BF943,βοηθητικό!$J$2:$N$354,3,FALSE)="","",VLOOKUP(BF943,βοηθητικό!$J$2:$N$354,3,FALSE))</f>
        <v>_</v>
      </c>
      <c r="BH943" s="44"/>
      <c r="BI943" s="45" t="s">
        <v>16</v>
      </c>
      <c r="BJ943" s="46" t="str">
        <f>IF(VLOOKUP(BI943,βοηθητικό!$J$2:$N$354,3,FALSE)="","",VLOOKUP(BI943,βοηθητικό!$J$2:$N$354,3,FALSE))</f>
        <v>_</v>
      </c>
      <c r="BK943" s="47"/>
      <c r="BL943" s="42" t="s">
        <v>16</v>
      </c>
      <c r="BM943" s="43" t="str">
        <f>IF(VLOOKUP(BL943,βοηθητικό!$J$2:$N$354,3,FALSE)="","",VLOOKUP(BL943,βοηθητικό!$J$2:$N$354,3,FALSE))</f>
        <v>_</v>
      </c>
      <c r="BN943" s="44"/>
      <c r="BO943" s="45" t="s">
        <v>16</v>
      </c>
      <c r="BP943" s="46" t="str">
        <f>IF(VLOOKUP(BO943,βοηθητικό!$J$2:$N$354,3,FALSE)="","",VLOOKUP(BO943,βοηθητικό!$J$2:$N$354,3,FALSE))</f>
        <v>_</v>
      </c>
      <c r="BQ943" s="47"/>
      <c r="BR943" s="42" t="s">
        <v>16</v>
      </c>
      <c r="BS943" s="43" t="str">
        <f>IF(VLOOKUP(BR943,βοηθητικό!$J$2:$N$354,3,FALSE)="","",VLOOKUP(BR943,βοηθητικό!$J$2:$N$354,3,FALSE))</f>
        <v>_</v>
      </c>
      <c r="BT943" s="44"/>
      <c r="BU943" s="45" t="s">
        <v>16</v>
      </c>
      <c r="BV943" s="46" t="str">
        <f>IF(VLOOKUP(BU943,βοηθητικό!$J$2:$N$354,3,FALSE)="","",VLOOKUP(BU943,βοηθητικό!$J$2:$N$354,3,FALSE))</f>
        <v>_</v>
      </c>
      <c r="BW943" s="47"/>
      <c r="BX943" s="42" t="s">
        <v>16</v>
      </c>
      <c r="BY943" s="43" t="str">
        <f>IF(VLOOKUP(BX943,βοηθητικό!$J$2:$N$354,3,FALSE)="","",VLOOKUP(BX943,βοηθητικό!$J$2:$N$354,3,FALSE))</f>
        <v>_</v>
      </c>
      <c r="BZ943" s="44"/>
      <c r="CA943" s="45" t="s">
        <v>16</v>
      </c>
      <c r="CB943" s="46" t="str">
        <f>IF(VLOOKUP(CA943,βοηθητικό!$J$2:$N$354,3,FALSE)="","",VLOOKUP(CA943,βοηθητικό!$J$2:$N$354,3,FALSE))</f>
        <v>_</v>
      </c>
      <c r="CC943" s="47"/>
      <c r="CD943" s="42" t="s">
        <v>16</v>
      </c>
      <c r="CE943" s="43" t="str">
        <f>IF(VLOOKUP(CD943,βοηθητικό!$J$2:$N$354,3,FALSE)="","",VLOOKUP(CD943,βοηθητικό!$J$2:$N$354,3,FALSE))</f>
        <v>_</v>
      </c>
      <c r="CF943" s="44"/>
      <c r="CG943" s="45" t="s">
        <v>16</v>
      </c>
      <c r="CH943" s="46" t="str">
        <f>IF(VLOOKUP(CG943,βοηθητικό!$J$2:$N$354,3,FALSE)="","",VLOOKUP(CG943,βοηθητικό!$J$2:$N$354,3,FALSE))</f>
        <v>_</v>
      </c>
      <c r="CI943" s="47"/>
      <c r="CJ943" s="42" t="s">
        <v>16</v>
      </c>
      <c r="CK943" s="43" t="str">
        <f>IF(VLOOKUP(CJ943,βοηθητικό!$J$2:$N$354,3,FALSE)="","",VLOOKUP(CJ943,βοηθητικό!$J$2:$N$354,3,FALSE))</f>
        <v>_</v>
      </c>
      <c r="CL943" s="44"/>
      <c r="CM943" s="45" t="s">
        <v>16</v>
      </c>
      <c r="CN943" s="46" t="str">
        <f>IF(VLOOKUP(CM943,βοηθητικό!$J$2:$N$354,3,FALSE)="","",VLOOKUP(CM943,βοηθητικό!$J$2:$N$354,3,FALSE))</f>
        <v>_</v>
      </c>
      <c r="CO943" s="47"/>
      <c r="CP943" s="42" t="s">
        <v>16</v>
      </c>
      <c r="CQ943" s="43" t="str">
        <f>IF(VLOOKUP(CP943,βοηθητικό!$J$2:$N$354,3,FALSE)="","",VLOOKUP(CP943,βοηθητικό!$J$2:$N$354,3,FALSE))</f>
        <v>_</v>
      </c>
      <c r="CR943" s="44"/>
      <c r="CS943" s="45" t="s">
        <v>16</v>
      </c>
      <c r="CT943" s="46" t="str">
        <f>IF(VLOOKUP(CS943,βοηθητικό!$J$2:$N$354,3,FALSE)="","",VLOOKUP(CS943,βοηθητικό!$J$2:$N$354,3,FALSE))</f>
        <v>_</v>
      </c>
      <c r="CU943" s="47"/>
    </row>
    <row r="944" spans="1:99" x14ac:dyDescent="0.25">
      <c r="A944" s="37">
        <f>--SUBTOTAL(3,$B$3:B943)</f>
        <v>198</v>
      </c>
      <c r="B944" s="2"/>
      <c r="C944" s="3"/>
      <c r="D944" s="55" t="s">
        <v>18</v>
      </c>
      <c r="E944" s="38" t="s">
        <v>16</v>
      </c>
      <c r="F944" s="38"/>
      <c r="G944" s="39" t="str">
        <f t="shared" si="44"/>
        <v>__</v>
      </c>
      <c r="H944" s="40" t="str">
        <f t="shared" si="45"/>
        <v>FALSE</v>
      </c>
      <c r="I944" s="41">
        <f t="shared" si="46"/>
        <v>0</v>
      </c>
      <c r="J944" s="4" t="s">
        <v>16</v>
      </c>
      <c r="K944" s="43" t="str">
        <f>IF(VLOOKUP(J944,βοηθητικό!$J$2:$N$354,3,FALSE)="","",VLOOKUP(J944,βοηθητικό!$J$2:$N$354,3,FALSE))</f>
        <v>_</v>
      </c>
      <c r="L944" s="44"/>
      <c r="M944" s="5" t="s">
        <v>16</v>
      </c>
      <c r="N944" s="46" t="str">
        <f>IF(VLOOKUP(M944,βοηθητικό!$J$2:$N$354,3,FALSE)="","",VLOOKUP(M944,βοηθητικό!$J$2:$N$354,3,FALSE))</f>
        <v>_</v>
      </c>
      <c r="O944" s="47"/>
      <c r="P944" s="4" t="s">
        <v>16</v>
      </c>
      <c r="Q944" s="43" t="str">
        <f>IF(VLOOKUP(P944,βοηθητικό!$J$2:$N$354,3,FALSE)="","",VLOOKUP(P944,βοηθητικό!$J$2:$N$354,3,FALSE))</f>
        <v>_</v>
      </c>
      <c r="R944" s="44"/>
      <c r="S944" s="5" t="s">
        <v>16</v>
      </c>
      <c r="T944" s="46" t="str">
        <f>IF(VLOOKUP(S944,βοηθητικό!$J$2:$N$354,3,FALSE)="","",VLOOKUP(S944,βοηθητικό!$J$2:$N$354,3,FALSE))</f>
        <v>_</v>
      </c>
      <c r="U944" s="47"/>
      <c r="V944" s="4" t="s">
        <v>16</v>
      </c>
      <c r="W944" s="43" t="str">
        <f>IF(VLOOKUP(V944,βοηθητικό!$J$2:$N$354,3,FALSE)="","",VLOOKUP(V944,βοηθητικό!$J$2:$N$354,3,FALSE))</f>
        <v>_</v>
      </c>
      <c r="X944" s="44"/>
      <c r="Y944" s="5" t="s">
        <v>16</v>
      </c>
      <c r="Z944" s="46" t="str">
        <f>IF(VLOOKUP(Y944,βοηθητικό!$J$2:$N$354,3,FALSE)="","",VLOOKUP(Y944,βοηθητικό!$J$2:$N$354,3,FALSE))</f>
        <v>_</v>
      </c>
      <c r="AA944" s="47"/>
      <c r="AB944" s="4" t="s">
        <v>16</v>
      </c>
      <c r="AC944" s="43" t="str">
        <f>IF(VLOOKUP(AB944,βοηθητικό!$J$2:$N$354,3,FALSE)="","",VLOOKUP(AB944,βοηθητικό!$J$2:$N$354,3,FALSE))</f>
        <v>_</v>
      </c>
      <c r="AD944" s="44"/>
      <c r="AE944" s="5" t="s">
        <v>16</v>
      </c>
      <c r="AF944" s="46" t="str">
        <f>IF(VLOOKUP(AE944,βοηθητικό!$J$2:$N$354,3,FALSE)="","",VLOOKUP(AE944,βοηθητικό!$J$2:$N$354,3,FALSE))</f>
        <v>_</v>
      </c>
      <c r="AG944" s="47"/>
      <c r="AH944" s="4" t="s">
        <v>16</v>
      </c>
      <c r="AI944" s="43" t="str">
        <f>IF(VLOOKUP(AH944,βοηθητικό!$J$2:$N$354,3,FALSE)="","",VLOOKUP(AH944,βοηθητικό!$J$2:$N$354,3,FALSE))</f>
        <v>_</v>
      </c>
      <c r="AJ944" s="44"/>
      <c r="AK944" s="5" t="s">
        <v>16</v>
      </c>
      <c r="AL944" s="46" t="str">
        <f>IF(VLOOKUP(AK944,βοηθητικό!$J$2:$N$354,3,FALSE)="","",VLOOKUP(AK944,βοηθητικό!$J$2:$N$354,3,FALSE))</f>
        <v>_</v>
      </c>
      <c r="AM944" s="47"/>
      <c r="AN944" s="4" t="s">
        <v>16</v>
      </c>
      <c r="AO944" s="43" t="str">
        <f>IF(VLOOKUP(AN944,βοηθητικό!$J$2:$N$354,3,FALSE)="","",VLOOKUP(AN944,βοηθητικό!$J$2:$N$354,3,FALSE))</f>
        <v>_</v>
      </c>
      <c r="AP944" s="44"/>
      <c r="AQ944" s="5" t="s">
        <v>16</v>
      </c>
      <c r="AR944" s="46" t="str">
        <f>IF(VLOOKUP(AQ944,βοηθητικό!$J$2:$N$354,3,FALSE)="","",VLOOKUP(AQ944,βοηθητικό!$J$2:$N$354,3,FALSE))</f>
        <v>_</v>
      </c>
      <c r="AS944" s="47"/>
      <c r="AT944" s="4" t="s">
        <v>16</v>
      </c>
      <c r="AU944" s="43" t="str">
        <f>IF(VLOOKUP(AT944,βοηθητικό!$J$2:$N$354,3,FALSE)="","",VLOOKUP(AT944,βοηθητικό!$J$2:$N$354,3,FALSE))</f>
        <v>_</v>
      </c>
      <c r="AV944" s="44"/>
      <c r="AW944" s="5" t="s">
        <v>16</v>
      </c>
      <c r="AX944" s="46" t="str">
        <f>IF(VLOOKUP(AW944,βοηθητικό!$J$2:$N$354,3,FALSE)="","",VLOOKUP(AW944,βοηθητικό!$J$2:$N$354,3,FALSE))</f>
        <v>_</v>
      </c>
      <c r="AY944" s="47"/>
      <c r="AZ944" s="4" t="s">
        <v>16</v>
      </c>
      <c r="BA944" s="43" t="str">
        <f>IF(VLOOKUP(AZ944,βοηθητικό!$J$2:$N$354,3,FALSE)="","",VLOOKUP(AZ944,βοηθητικό!$J$2:$N$354,3,FALSE))</f>
        <v>_</v>
      </c>
      <c r="BB944" s="44"/>
      <c r="BC944" s="45" t="s">
        <v>16</v>
      </c>
      <c r="BD944" s="46" t="str">
        <f>IF(VLOOKUP(BC944,βοηθητικό!$J$2:$N$354,3,FALSE)="","",VLOOKUP(BC944,βοηθητικό!$J$2:$N$354,3,FALSE))</f>
        <v>_</v>
      </c>
      <c r="BE944" s="47"/>
      <c r="BF944" s="42" t="s">
        <v>16</v>
      </c>
      <c r="BG944" s="43" t="str">
        <f>IF(VLOOKUP(BF944,βοηθητικό!$J$2:$N$354,3,FALSE)="","",VLOOKUP(BF944,βοηθητικό!$J$2:$N$354,3,FALSE))</f>
        <v>_</v>
      </c>
      <c r="BH944" s="44"/>
      <c r="BI944" s="45" t="s">
        <v>16</v>
      </c>
      <c r="BJ944" s="46" t="str">
        <f>IF(VLOOKUP(BI944,βοηθητικό!$J$2:$N$354,3,FALSE)="","",VLOOKUP(BI944,βοηθητικό!$J$2:$N$354,3,FALSE))</f>
        <v>_</v>
      </c>
      <c r="BK944" s="47"/>
      <c r="BL944" s="42" t="s">
        <v>16</v>
      </c>
      <c r="BM944" s="43" t="str">
        <f>IF(VLOOKUP(BL944,βοηθητικό!$J$2:$N$354,3,FALSE)="","",VLOOKUP(BL944,βοηθητικό!$J$2:$N$354,3,FALSE))</f>
        <v>_</v>
      </c>
      <c r="BN944" s="44"/>
      <c r="BO944" s="45" t="s">
        <v>16</v>
      </c>
      <c r="BP944" s="46" t="str">
        <f>IF(VLOOKUP(BO944,βοηθητικό!$J$2:$N$354,3,FALSE)="","",VLOOKUP(BO944,βοηθητικό!$J$2:$N$354,3,FALSE))</f>
        <v>_</v>
      </c>
      <c r="BQ944" s="47"/>
      <c r="BR944" s="42" t="s">
        <v>16</v>
      </c>
      <c r="BS944" s="43" t="str">
        <f>IF(VLOOKUP(BR944,βοηθητικό!$J$2:$N$354,3,FALSE)="","",VLOOKUP(BR944,βοηθητικό!$J$2:$N$354,3,FALSE))</f>
        <v>_</v>
      </c>
      <c r="BT944" s="44"/>
      <c r="BU944" s="45" t="s">
        <v>16</v>
      </c>
      <c r="BV944" s="46" t="str">
        <f>IF(VLOOKUP(BU944,βοηθητικό!$J$2:$N$354,3,FALSE)="","",VLOOKUP(BU944,βοηθητικό!$J$2:$N$354,3,FALSE))</f>
        <v>_</v>
      </c>
      <c r="BW944" s="47"/>
      <c r="BX944" s="42" t="s">
        <v>16</v>
      </c>
      <c r="BY944" s="43" t="str">
        <f>IF(VLOOKUP(BX944,βοηθητικό!$J$2:$N$354,3,FALSE)="","",VLOOKUP(BX944,βοηθητικό!$J$2:$N$354,3,FALSE))</f>
        <v>_</v>
      </c>
      <c r="BZ944" s="44"/>
      <c r="CA944" s="45" t="s">
        <v>16</v>
      </c>
      <c r="CB944" s="46" t="str">
        <f>IF(VLOOKUP(CA944,βοηθητικό!$J$2:$N$354,3,FALSE)="","",VLOOKUP(CA944,βοηθητικό!$J$2:$N$354,3,FALSE))</f>
        <v>_</v>
      </c>
      <c r="CC944" s="47"/>
      <c r="CD944" s="42" t="s">
        <v>16</v>
      </c>
      <c r="CE944" s="43" t="str">
        <f>IF(VLOOKUP(CD944,βοηθητικό!$J$2:$N$354,3,FALSE)="","",VLOOKUP(CD944,βοηθητικό!$J$2:$N$354,3,FALSE))</f>
        <v>_</v>
      </c>
      <c r="CF944" s="44"/>
      <c r="CG944" s="45" t="s">
        <v>16</v>
      </c>
      <c r="CH944" s="46" t="str">
        <f>IF(VLOOKUP(CG944,βοηθητικό!$J$2:$N$354,3,FALSE)="","",VLOOKUP(CG944,βοηθητικό!$J$2:$N$354,3,FALSE))</f>
        <v>_</v>
      </c>
      <c r="CI944" s="47"/>
      <c r="CJ944" s="42" t="s">
        <v>16</v>
      </c>
      <c r="CK944" s="43" t="str">
        <f>IF(VLOOKUP(CJ944,βοηθητικό!$J$2:$N$354,3,FALSE)="","",VLOOKUP(CJ944,βοηθητικό!$J$2:$N$354,3,FALSE))</f>
        <v>_</v>
      </c>
      <c r="CL944" s="44"/>
      <c r="CM944" s="45" t="s">
        <v>16</v>
      </c>
      <c r="CN944" s="46" t="str">
        <f>IF(VLOOKUP(CM944,βοηθητικό!$J$2:$N$354,3,FALSE)="","",VLOOKUP(CM944,βοηθητικό!$J$2:$N$354,3,FALSE))</f>
        <v>_</v>
      </c>
      <c r="CO944" s="47"/>
      <c r="CP944" s="42" t="s">
        <v>16</v>
      </c>
      <c r="CQ944" s="43" t="str">
        <f>IF(VLOOKUP(CP944,βοηθητικό!$J$2:$N$354,3,FALSE)="","",VLOOKUP(CP944,βοηθητικό!$J$2:$N$354,3,FALSE))</f>
        <v>_</v>
      </c>
      <c r="CR944" s="44"/>
      <c r="CS944" s="45" t="s">
        <v>16</v>
      </c>
      <c r="CT944" s="46" t="str">
        <f>IF(VLOOKUP(CS944,βοηθητικό!$J$2:$N$354,3,FALSE)="","",VLOOKUP(CS944,βοηθητικό!$J$2:$N$354,3,FALSE))</f>
        <v>_</v>
      </c>
      <c r="CU944" s="47"/>
    </row>
    <row r="945" spans="1:99" x14ac:dyDescent="0.25">
      <c r="A945" s="37">
        <f>--SUBTOTAL(3,$B$3:B944)</f>
        <v>198</v>
      </c>
      <c r="B945" s="2"/>
      <c r="C945" s="3"/>
      <c r="D945" s="55" t="s">
        <v>18</v>
      </c>
      <c r="E945" s="38" t="s">
        <v>16</v>
      </c>
      <c r="F945" s="38"/>
      <c r="G945" s="39" t="str">
        <f t="shared" si="44"/>
        <v>__</v>
      </c>
      <c r="H945" s="40" t="str">
        <f t="shared" si="45"/>
        <v>FALSE</v>
      </c>
      <c r="I945" s="41">
        <f t="shared" si="46"/>
        <v>0</v>
      </c>
      <c r="J945" s="4" t="s">
        <v>16</v>
      </c>
      <c r="K945" s="43" t="str">
        <f>IF(VLOOKUP(J945,βοηθητικό!$J$2:$N$354,3,FALSE)="","",VLOOKUP(J945,βοηθητικό!$J$2:$N$354,3,FALSE))</f>
        <v>_</v>
      </c>
      <c r="L945" s="44"/>
      <c r="M945" s="5" t="s">
        <v>16</v>
      </c>
      <c r="N945" s="46" t="str">
        <f>IF(VLOOKUP(M945,βοηθητικό!$J$2:$N$354,3,FALSE)="","",VLOOKUP(M945,βοηθητικό!$J$2:$N$354,3,FALSE))</f>
        <v>_</v>
      </c>
      <c r="O945" s="47"/>
      <c r="P945" s="4" t="s">
        <v>16</v>
      </c>
      <c r="Q945" s="43" t="str">
        <f>IF(VLOOKUP(P945,βοηθητικό!$J$2:$N$354,3,FALSE)="","",VLOOKUP(P945,βοηθητικό!$J$2:$N$354,3,FALSE))</f>
        <v>_</v>
      </c>
      <c r="R945" s="44"/>
      <c r="S945" s="5" t="s">
        <v>16</v>
      </c>
      <c r="T945" s="46" t="str">
        <f>IF(VLOOKUP(S945,βοηθητικό!$J$2:$N$354,3,FALSE)="","",VLOOKUP(S945,βοηθητικό!$J$2:$N$354,3,FALSE))</f>
        <v>_</v>
      </c>
      <c r="U945" s="47"/>
      <c r="V945" s="4" t="s">
        <v>16</v>
      </c>
      <c r="W945" s="43" t="str">
        <f>IF(VLOOKUP(V945,βοηθητικό!$J$2:$N$354,3,FALSE)="","",VLOOKUP(V945,βοηθητικό!$J$2:$N$354,3,FALSE))</f>
        <v>_</v>
      </c>
      <c r="X945" s="44"/>
      <c r="Y945" s="5" t="s">
        <v>16</v>
      </c>
      <c r="Z945" s="46" t="str">
        <f>IF(VLOOKUP(Y945,βοηθητικό!$J$2:$N$354,3,FALSE)="","",VLOOKUP(Y945,βοηθητικό!$J$2:$N$354,3,FALSE))</f>
        <v>_</v>
      </c>
      <c r="AA945" s="47"/>
      <c r="AB945" s="4" t="s">
        <v>16</v>
      </c>
      <c r="AC945" s="43" t="str">
        <f>IF(VLOOKUP(AB945,βοηθητικό!$J$2:$N$354,3,FALSE)="","",VLOOKUP(AB945,βοηθητικό!$J$2:$N$354,3,FALSE))</f>
        <v>_</v>
      </c>
      <c r="AD945" s="44"/>
      <c r="AE945" s="5" t="s">
        <v>16</v>
      </c>
      <c r="AF945" s="46" t="str">
        <f>IF(VLOOKUP(AE945,βοηθητικό!$J$2:$N$354,3,FALSE)="","",VLOOKUP(AE945,βοηθητικό!$J$2:$N$354,3,FALSE))</f>
        <v>_</v>
      </c>
      <c r="AG945" s="47"/>
      <c r="AH945" s="4" t="s">
        <v>16</v>
      </c>
      <c r="AI945" s="43" t="str">
        <f>IF(VLOOKUP(AH945,βοηθητικό!$J$2:$N$354,3,FALSE)="","",VLOOKUP(AH945,βοηθητικό!$J$2:$N$354,3,FALSE))</f>
        <v>_</v>
      </c>
      <c r="AJ945" s="44"/>
      <c r="AK945" s="5" t="s">
        <v>16</v>
      </c>
      <c r="AL945" s="46" t="str">
        <f>IF(VLOOKUP(AK945,βοηθητικό!$J$2:$N$354,3,FALSE)="","",VLOOKUP(AK945,βοηθητικό!$J$2:$N$354,3,FALSE))</f>
        <v>_</v>
      </c>
      <c r="AM945" s="47"/>
      <c r="AN945" s="4" t="s">
        <v>16</v>
      </c>
      <c r="AO945" s="43" t="str">
        <f>IF(VLOOKUP(AN945,βοηθητικό!$J$2:$N$354,3,FALSE)="","",VLOOKUP(AN945,βοηθητικό!$J$2:$N$354,3,FALSE))</f>
        <v>_</v>
      </c>
      <c r="AP945" s="44"/>
      <c r="AQ945" s="5" t="s">
        <v>16</v>
      </c>
      <c r="AR945" s="46" t="str">
        <f>IF(VLOOKUP(AQ945,βοηθητικό!$J$2:$N$354,3,FALSE)="","",VLOOKUP(AQ945,βοηθητικό!$J$2:$N$354,3,FALSE))</f>
        <v>_</v>
      </c>
      <c r="AS945" s="47"/>
      <c r="AT945" s="4" t="s">
        <v>16</v>
      </c>
      <c r="AU945" s="43" t="str">
        <f>IF(VLOOKUP(AT945,βοηθητικό!$J$2:$N$354,3,FALSE)="","",VLOOKUP(AT945,βοηθητικό!$J$2:$N$354,3,FALSE))</f>
        <v>_</v>
      </c>
      <c r="AV945" s="44"/>
      <c r="AW945" s="5" t="s">
        <v>16</v>
      </c>
      <c r="AX945" s="46" t="str">
        <f>IF(VLOOKUP(AW945,βοηθητικό!$J$2:$N$354,3,FALSE)="","",VLOOKUP(AW945,βοηθητικό!$J$2:$N$354,3,FALSE))</f>
        <v>_</v>
      </c>
      <c r="AY945" s="47"/>
      <c r="AZ945" s="4" t="s">
        <v>16</v>
      </c>
      <c r="BA945" s="43" t="str">
        <f>IF(VLOOKUP(AZ945,βοηθητικό!$J$2:$N$354,3,FALSE)="","",VLOOKUP(AZ945,βοηθητικό!$J$2:$N$354,3,FALSE))</f>
        <v>_</v>
      </c>
      <c r="BB945" s="44"/>
      <c r="BC945" s="45" t="s">
        <v>16</v>
      </c>
      <c r="BD945" s="46" t="str">
        <f>IF(VLOOKUP(BC945,βοηθητικό!$J$2:$N$354,3,FALSE)="","",VLOOKUP(BC945,βοηθητικό!$J$2:$N$354,3,FALSE))</f>
        <v>_</v>
      </c>
      <c r="BE945" s="47"/>
      <c r="BF945" s="42" t="s">
        <v>16</v>
      </c>
      <c r="BG945" s="43" t="str">
        <f>IF(VLOOKUP(BF945,βοηθητικό!$J$2:$N$354,3,FALSE)="","",VLOOKUP(BF945,βοηθητικό!$J$2:$N$354,3,FALSE))</f>
        <v>_</v>
      </c>
      <c r="BH945" s="44"/>
      <c r="BI945" s="45" t="s">
        <v>16</v>
      </c>
      <c r="BJ945" s="46" t="str">
        <f>IF(VLOOKUP(BI945,βοηθητικό!$J$2:$N$354,3,FALSE)="","",VLOOKUP(BI945,βοηθητικό!$J$2:$N$354,3,FALSE))</f>
        <v>_</v>
      </c>
      <c r="BK945" s="47"/>
      <c r="BL945" s="42" t="s">
        <v>16</v>
      </c>
      <c r="BM945" s="43" t="str">
        <f>IF(VLOOKUP(BL945,βοηθητικό!$J$2:$N$354,3,FALSE)="","",VLOOKUP(BL945,βοηθητικό!$J$2:$N$354,3,FALSE))</f>
        <v>_</v>
      </c>
      <c r="BN945" s="44"/>
      <c r="BO945" s="45" t="s">
        <v>16</v>
      </c>
      <c r="BP945" s="46" t="str">
        <f>IF(VLOOKUP(BO945,βοηθητικό!$J$2:$N$354,3,FALSE)="","",VLOOKUP(BO945,βοηθητικό!$J$2:$N$354,3,FALSE))</f>
        <v>_</v>
      </c>
      <c r="BQ945" s="47"/>
      <c r="BR945" s="42" t="s">
        <v>16</v>
      </c>
      <c r="BS945" s="43" t="str">
        <f>IF(VLOOKUP(BR945,βοηθητικό!$J$2:$N$354,3,FALSE)="","",VLOOKUP(BR945,βοηθητικό!$J$2:$N$354,3,FALSE))</f>
        <v>_</v>
      </c>
      <c r="BT945" s="44"/>
      <c r="BU945" s="45" t="s">
        <v>16</v>
      </c>
      <c r="BV945" s="46" t="str">
        <f>IF(VLOOKUP(BU945,βοηθητικό!$J$2:$N$354,3,FALSE)="","",VLOOKUP(BU945,βοηθητικό!$J$2:$N$354,3,FALSE))</f>
        <v>_</v>
      </c>
      <c r="BW945" s="47"/>
      <c r="BX945" s="42" t="s">
        <v>16</v>
      </c>
      <c r="BY945" s="43" t="str">
        <f>IF(VLOOKUP(BX945,βοηθητικό!$J$2:$N$354,3,FALSE)="","",VLOOKUP(BX945,βοηθητικό!$J$2:$N$354,3,FALSE))</f>
        <v>_</v>
      </c>
      <c r="BZ945" s="44"/>
      <c r="CA945" s="45" t="s">
        <v>16</v>
      </c>
      <c r="CB945" s="46" t="str">
        <f>IF(VLOOKUP(CA945,βοηθητικό!$J$2:$N$354,3,FALSE)="","",VLOOKUP(CA945,βοηθητικό!$J$2:$N$354,3,FALSE))</f>
        <v>_</v>
      </c>
      <c r="CC945" s="47"/>
      <c r="CD945" s="42" t="s">
        <v>16</v>
      </c>
      <c r="CE945" s="43" t="str">
        <f>IF(VLOOKUP(CD945,βοηθητικό!$J$2:$N$354,3,FALSE)="","",VLOOKUP(CD945,βοηθητικό!$J$2:$N$354,3,FALSE))</f>
        <v>_</v>
      </c>
      <c r="CF945" s="44"/>
      <c r="CG945" s="45" t="s">
        <v>16</v>
      </c>
      <c r="CH945" s="46" t="str">
        <f>IF(VLOOKUP(CG945,βοηθητικό!$J$2:$N$354,3,FALSE)="","",VLOOKUP(CG945,βοηθητικό!$J$2:$N$354,3,FALSE))</f>
        <v>_</v>
      </c>
      <c r="CI945" s="47"/>
      <c r="CJ945" s="42" t="s">
        <v>16</v>
      </c>
      <c r="CK945" s="43" t="str">
        <f>IF(VLOOKUP(CJ945,βοηθητικό!$J$2:$N$354,3,FALSE)="","",VLOOKUP(CJ945,βοηθητικό!$J$2:$N$354,3,FALSE))</f>
        <v>_</v>
      </c>
      <c r="CL945" s="44"/>
      <c r="CM945" s="45" t="s">
        <v>16</v>
      </c>
      <c r="CN945" s="46" t="str">
        <f>IF(VLOOKUP(CM945,βοηθητικό!$J$2:$N$354,3,FALSE)="","",VLOOKUP(CM945,βοηθητικό!$J$2:$N$354,3,FALSE))</f>
        <v>_</v>
      </c>
      <c r="CO945" s="47"/>
      <c r="CP945" s="42" t="s">
        <v>16</v>
      </c>
      <c r="CQ945" s="43" t="str">
        <f>IF(VLOOKUP(CP945,βοηθητικό!$J$2:$N$354,3,FALSE)="","",VLOOKUP(CP945,βοηθητικό!$J$2:$N$354,3,FALSE))</f>
        <v>_</v>
      </c>
      <c r="CR945" s="44"/>
      <c r="CS945" s="45" t="s">
        <v>16</v>
      </c>
      <c r="CT945" s="46" t="str">
        <f>IF(VLOOKUP(CS945,βοηθητικό!$J$2:$N$354,3,FALSE)="","",VLOOKUP(CS945,βοηθητικό!$J$2:$N$354,3,FALSE))</f>
        <v>_</v>
      </c>
      <c r="CU945" s="47"/>
    </row>
    <row r="946" spans="1:99" x14ac:dyDescent="0.25">
      <c r="A946" s="37">
        <f>--SUBTOTAL(3,$B$3:B945)</f>
        <v>198</v>
      </c>
      <c r="B946" s="2"/>
      <c r="C946" s="3"/>
      <c r="D946" s="55" t="s">
        <v>18</v>
      </c>
      <c r="E946" s="38" t="s">
        <v>16</v>
      </c>
      <c r="F946" s="38"/>
      <c r="G946" s="39" t="str">
        <f t="shared" si="44"/>
        <v>__</v>
      </c>
      <c r="H946" s="40" t="str">
        <f t="shared" si="45"/>
        <v>FALSE</v>
      </c>
      <c r="I946" s="41">
        <f t="shared" si="46"/>
        <v>0</v>
      </c>
      <c r="J946" s="4" t="s">
        <v>16</v>
      </c>
      <c r="K946" s="43" t="str">
        <f>IF(VLOOKUP(J946,βοηθητικό!$J$2:$N$354,3,FALSE)="","",VLOOKUP(J946,βοηθητικό!$J$2:$N$354,3,FALSE))</f>
        <v>_</v>
      </c>
      <c r="L946" s="44"/>
      <c r="M946" s="5" t="s">
        <v>16</v>
      </c>
      <c r="N946" s="46" t="str">
        <f>IF(VLOOKUP(M946,βοηθητικό!$J$2:$N$354,3,FALSE)="","",VLOOKUP(M946,βοηθητικό!$J$2:$N$354,3,FALSE))</f>
        <v>_</v>
      </c>
      <c r="O946" s="47"/>
      <c r="P946" s="4" t="s">
        <v>16</v>
      </c>
      <c r="Q946" s="43" t="str">
        <f>IF(VLOOKUP(P946,βοηθητικό!$J$2:$N$354,3,FALSE)="","",VLOOKUP(P946,βοηθητικό!$J$2:$N$354,3,FALSE))</f>
        <v>_</v>
      </c>
      <c r="R946" s="44"/>
      <c r="S946" s="5" t="s">
        <v>16</v>
      </c>
      <c r="T946" s="46" t="str">
        <f>IF(VLOOKUP(S946,βοηθητικό!$J$2:$N$354,3,FALSE)="","",VLOOKUP(S946,βοηθητικό!$J$2:$N$354,3,FALSE))</f>
        <v>_</v>
      </c>
      <c r="U946" s="47"/>
      <c r="V946" s="4" t="s">
        <v>16</v>
      </c>
      <c r="W946" s="43" t="str">
        <f>IF(VLOOKUP(V946,βοηθητικό!$J$2:$N$354,3,FALSE)="","",VLOOKUP(V946,βοηθητικό!$J$2:$N$354,3,FALSE))</f>
        <v>_</v>
      </c>
      <c r="X946" s="44"/>
      <c r="Y946" s="5" t="s">
        <v>16</v>
      </c>
      <c r="Z946" s="46" t="str">
        <f>IF(VLOOKUP(Y946,βοηθητικό!$J$2:$N$354,3,FALSE)="","",VLOOKUP(Y946,βοηθητικό!$J$2:$N$354,3,FALSE))</f>
        <v>_</v>
      </c>
      <c r="AA946" s="47"/>
      <c r="AB946" s="4" t="s">
        <v>16</v>
      </c>
      <c r="AC946" s="43" t="str">
        <f>IF(VLOOKUP(AB946,βοηθητικό!$J$2:$N$354,3,FALSE)="","",VLOOKUP(AB946,βοηθητικό!$J$2:$N$354,3,FALSE))</f>
        <v>_</v>
      </c>
      <c r="AD946" s="44"/>
      <c r="AE946" s="5" t="s">
        <v>16</v>
      </c>
      <c r="AF946" s="46" t="str">
        <f>IF(VLOOKUP(AE946,βοηθητικό!$J$2:$N$354,3,FALSE)="","",VLOOKUP(AE946,βοηθητικό!$J$2:$N$354,3,FALSE))</f>
        <v>_</v>
      </c>
      <c r="AG946" s="47"/>
      <c r="AH946" s="4" t="s">
        <v>16</v>
      </c>
      <c r="AI946" s="43" t="str">
        <f>IF(VLOOKUP(AH946,βοηθητικό!$J$2:$N$354,3,FALSE)="","",VLOOKUP(AH946,βοηθητικό!$J$2:$N$354,3,FALSE))</f>
        <v>_</v>
      </c>
      <c r="AJ946" s="44"/>
      <c r="AK946" s="5" t="s">
        <v>16</v>
      </c>
      <c r="AL946" s="46" t="str">
        <f>IF(VLOOKUP(AK946,βοηθητικό!$J$2:$N$354,3,FALSE)="","",VLOOKUP(AK946,βοηθητικό!$J$2:$N$354,3,FALSE))</f>
        <v>_</v>
      </c>
      <c r="AM946" s="47"/>
      <c r="AN946" s="4" t="s">
        <v>16</v>
      </c>
      <c r="AO946" s="43" t="str">
        <f>IF(VLOOKUP(AN946,βοηθητικό!$J$2:$N$354,3,FALSE)="","",VLOOKUP(AN946,βοηθητικό!$J$2:$N$354,3,FALSE))</f>
        <v>_</v>
      </c>
      <c r="AP946" s="44"/>
      <c r="AQ946" s="5" t="s">
        <v>16</v>
      </c>
      <c r="AR946" s="46" t="str">
        <f>IF(VLOOKUP(AQ946,βοηθητικό!$J$2:$N$354,3,FALSE)="","",VLOOKUP(AQ946,βοηθητικό!$J$2:$N$354,3,FALSE))</f>
        <v>_</v>
      </c>
      <c r="AS946" s="47"/>
      <c r="AT946" s="4" t="s">
        <v>16</v>
      </c>
      <c r="AU946" s="43" t="str">
        <f>IF(VLOOKUP(AT946,βοηθητικό!$J$2:$N$354,3,FALSE)="","",VLOOKUP(AT946,βοηθητικό!$J$2:$N$354,3,FALSE))</f>
        <v>_</v>
      </c>
      <c r="AV946" s="44"/>
      <c r="AW946" s="5" t="s">
        <v>16</v>
      </c>
      <c r="AX946" s="46" t="str">
        <f>IF(VLOOKUP(AW946,βοηθητικό!$J$2:$N$354,3,FALSE)="","",VLOOKUP(AW946,βοηθητικό!$J$2:$N$354,3,FALSE))</f>
        <v>_</v>
      </c>
      <c r="AY946" s="47"/>
      <c r="AZ946" s="4" t="s">
        <v>16</v>
      </c>
      <c r="BA946" s="43" t="str">
        <f>IF(VLOOKUP(AZ946,βοηθητικό!$J$2:$N$354,3,FALSE)="","",VLOOKUP(AZ946,βοηθητικό!$J$2:$N$354,3,FALSE))</f>
        <v>_</v>
      </c>
      <c r="BB946" s="44"/>
      <c r="BC946" s="45" t="s">
        <v>16</v>
      </c>
      <c r="BD946" s="46" t="str">
        <f>IF(VLOOKUP(BC946,βοηθητικό!$J$2:$N$354,3,FALSE)="","",VLOOKUP(BC946,βοηθητικό!$J$2:$N$354,3,FALSE))</f>
        <v>_</v>
      </c>
      <c r="BE946" s="47"/>
      <c r="BF946" s="42" t="s">
        <v>16</v>
      </c>
      <c r="BG946" s="43" t="str">
        <f>IF(VLOOKUP(BF946,βοηθητικό!$J$2:$N$354,3,FALSE)="","",VLOOKUP(BF946,βοηθητικό!$J$2:$N$354,3,FALSE))</f>
        <v>_</v>
      </c>
      <c r="BH946" s="44"/>
      <c r="BI946" s="45" t="s">
        <v>16</v>
      </c>
      <c r="BJ946" s="46" t="str">
        <f>IF(VLOOKUP(BI946,βοηθητικό!$J$2:$N$354,3,FALSE)="","",VLOOKUP(BI946,βοηθητικό!$J$2:$N$354,3,FALSE))</f>
        <v>_</v>
      </c>
      <c r="BK946" s="47"/>
      <c r="BL946" s="42" t="s">
        <v>16</v>
      </c>
      <c r="BM946" s="43" t="str">
        <f>IF(VLOOKUP(BL946,βοηθητικό!$J$2:$N$354,3,FALSE)="","",VLOOKUP(BL946,βοηθητικό!$J$2:$N$354,3,FALSE))</f>
        <v>_</v>
      </c>
      <c r="BN946" s="44"/>
      <c r="BO946" s="45" t="s">
        <v>16</v>
      </c>
      <c r="BP946" s="46" t="str">
        <f>IF(VLOOKUP(BO946,βοηθητικό!$J$2:$N$354,3,FALSE)="","",VLOOKUP(BO946,βοηθητικό!$J$2:$N$354,3,FALSE))</f>
        <v>_</v>
      </c>
      <c r="BQ946" s="47"/>
      <c r="BR946" s="42" t="s">
        <v>16</v>
      </c>
      <c r="BS946" s="43" t="str">
        <f>IF(VLOOKUP(BR946,βοηθητικό!$J$2:$N$354,3,FALSE)="","",VLOOKUP(BR946,βοηθητικό!$J$2:$N$354,3,FALSE))</f>
        <v>_</v>
      </c>
      <c r="BT946" s="44"/>
      <c r="BU946" s="45" t="s">
        <v>16</v>
      </c>
      <c r="BV946" s="46" t="str">
        <f>IF(VLOOKUP(BU946,βοηθητικό!$J$2:$N$354,3,FALSE)="","",VLOOKUP(BU946,βοηθητικό!$J$2:$N$354,3,FALSE))</f>
        <v>_</v>
      </c>
      <c r="BW946" s="47"/>
      <c r="BX946" s="42" t="s">
        <v>16</v>
      </c>
      <c r="BY946" s="43" t="str">
        <f>IF(VLOOKUP(BX946,βοηθητικό!$J$2:$N$354,3,FALSE)="","",VLOOKUP(BX946,βοηθητικό!$J$2:$N$354,3,FALSE))</f>
        <v>_</v>
      </c>
      <c r="BZ946" s="44"/>
      <c r="CA946" s="45" t="s">
        <v>16</v>
      </c>
      <c r="CB946" s="46" t="str">
        <f>IF(VLOOKUP(CA946,βοηθητικό!$J$2:$N$354,3,FALSE)="","",VLOOKUP(CA946,βοηθητικό!$J$2:$N$354,3,FALSE))</f>
        <v>_</v>
      </c>
      <c r="CC946" s="47"/>
      <c r="CD946" s="42" t="s">
        <v>16</v>
      </c>
      <c r="CE946" s="43" t="str">
        <f>IF(VLOOKUP(CD946,βοηθητικό!$J$2:$N$354,3,FALSE)="","",VLOOKUP(CD946,βοηθητικό!$J$2:$N$354,3,FALSE))</f>
        <v>_</v>
      </c>
      <c r="CF946" s="44"/>
      <c r="CG946" s="45" t="s">
        <v>16</v>
      </c>
      <c r="CH946" s="46" t="str">
        <f>IF(VLOOKUP(CG946,βοηθητικό!$J$2:$N$354,3,FALSE)="","",VLOOKUP(CG946,βοηθητικό!$J$2:$N$354,3,FALSE))</f>
        <v>_</v>
      </c>
      <c r="CI946" s="47"/>
      <c r="CJ946" s="42" t="s">
        <v>16</v>
      </c>
      <c r="CK946" s="43" t="str">
        <f>IF(VLOOKUP(CJ946,βοηθητικό!$J$2:$N$354,3,FALSE)="","",VLOOKUP(CJ946,βοηθητικό!$J$2:$N$354,3,FALSE))</f>
        <v>_</v>
      </c>
      <c r="CL946" s="44"/>
      <c r="CM946" s="45" t="s">
        <v>16</v>
      </c>
      <c r="CN946" s="46" t="str">
        <f>IF(VLOOKUP(CM946,βοηθητικό!$J$2:$N$354,3,FALSE)="","",VLOOKUP(CM946,βοηθητικό!$J$2:$N$354,3,FALSE))</f>
        <v>_</v>
      </c>
      <c r="CO946" s="47"/>
      <c r="CP946" s="42" t="s">
        <v>16</v>
      </c>
      <c r="CQ946" s="43" t="str">
        <f>IF(VLOOKUP(CP946,βοηθητικό!$J$2:$N$354,3,FALSE)="","",VLOOKUP(CP946,βοηθητικό!$J$2:$N$354,3,FALSE))</f>
        <v>_</v>
      </c>
      <c r="CR946" s="44"/>
      <c r="CS946" s="45" t="s">
        <v>16</v>
      </c>
      <c r="CT946" s="46" t="str">
        <f>IF(VLOOKUP(CS946,βοηθητικό!$J$2:$N$354,3,FALSE)="","",VLOOKUP(CS946,βοηθητικό!$J$2:$N$354,3,FALSE))</f>
        <v>_</v>
      </c>
      <c r="CU946" s="47"/>
    </row>
    <row r="947" spans="1:99" x14ac:dyDescent="0.25">
      <c r="A947" s="37">
        <f>--SUBTOTAL(3,$B$3:B946)</f>
        <v>198</v>
      </c>
      <c r="B947" s="2"/>
      <c r="C947" s="3"/>
      <c r="D947" s="55" t="s">
        <v>18</v>
      </c>
      <c r="E947" s="38" t="s">
        <v>16</v>
      </c>
      <c r="F947" s="38"/>
      <c r="G947" s="39" t="str">
        <f t="shared" si="44"/>
        <v>__</v>
      </c>
      <c r="H947" s="40" t="str">
        <f t="shared" si="45"/>
        <v>FALSE</v>
      </c>
      <c r="I947" s="41">
        <f t="shared" si="46"/>
        <v>0</v>
      </c>
      <c r="J947" s="4" t="s">
        <v>16</v>
      </c>
      <c r="K947" s="43" t="str">
        <f>IF(VLOOKUP(J947,βοηθητικό!$J$2:$N$354,3,FALSE)="","",VLOOKUP(J947,βοηθητικό!$J$2:$N$354,3,FALSE))</f>
        <v>_</v>
      </c>
      <c r="L947" s="44"/>
      <c r="M947" s="5" t="s">
        <v>16</v>
      </c>
      <c r="N947" s="46" t="str">
        <f>IF(VLOOKUP(M947,βοηθητικό!$J$2:$N$354,3,FALSE)="","",VLOOKUP(M947,βοηθητικό!$J$2:$N$354,3,FALSE))</f>
        <v>_</v>
      </c>
      <c r="O947" s="47"/>
      <c r="P947" s="4" t="s">
        <v>16</v>
      </c>
      <c r="Q947" s="43" t="str">
        <f>IF(VLOOKUP(P947,βοηθητικό!$J$2:$N$354,3,FALSE)="","",VLOOKUP(P947,βοηθητικό!$J$2:$N$354,3,FALSE))</f>
        <v>_</v>
      </c>
      <c r="R947" s="44"/>
      <c r="S947" s="5" t="s">
        <v>16</v>
      </c>
      <c r="T947" s="46" t="str">
        <f>IF(VLOOKUP(S947,βοηθητικό!$J$2:$N$354,3,FALSE)="","",VLOOKUP(S947,βοηθητικό!$J$2:$N$354,3,FALSE))</f>
        <v>_</v>
      </c>
      <c r="U947" s="47"/>
      <c r="V947" s="4" t="s">
        <v>16</v>
      </c>
      <c r="W947" s="43" t="str">
        <f>IF(VLOOKUP(V947,βοηθητικό!$J$2:$N$354,3,FALSE)="","",VLOOKUP(V947,βοηθητικό!$J$2:$N$354,3,FALSE))</f>
        <v>_</v>
      </c>
      <c r="X947" s="44"/>
      <c r="Y947" s="5" t="s">
        <v>16</v>
      </c>
      <c r="Z947" s="46" t="str">
        <f>IF(VLOOKUP(Y947,βοηθητικό!$J$2:$N$354,3,FALSE)="","",VLOOKUP(Y947,βοηθητικό!$J$2:$N$354,3,FALSE))</f>
        <v>_</v>
      </c>
      <c r="AA947" s="47"/>
      <c r="AB947" s="4" t="s">
        <v>16</v>
      </c>
      <c r="AC947" s="43" t="str">
        <f>IF(VLOOKUP(AB947,βοηθητικό!$J$2:$N$354,3,FALSE)="","",VLOOKUP(AB947,βοηθητικό!$J$2:$N$354,3,FALSE))</f>
        <v>_</v>
      </c>
      <c r="AD947" s="44"/>
      <c r="AE947" s="5" t="s">
        <v>16</v>
      </c>
      <c r="AF947" s="46" t="str">
        <f>IF(VLOOKUP(AE947,βοηθητικό!$J$2:$N$354,3,FALSE)="","",VLOOKUP(AE947,βοηθητικό!$J$2:$N$354,3,FALSE))</f>
        <v>_</v>
      </c>
      <c r="AG947" s="47"/>
      <c r="AH947" s="4" t="s">
        <v>16</v>
      </c>
      <c r="AI947" s="43" t="str">
        <f>IF(VLOOKUP(AH947,βοηθητικό!$J$2:$N$354,3,FALSE)="","",VLOOKUP(AH947,βοηθητικό!$J$2:$N$354,3,FALSE))</f>
        <v>_</v>
      </c>
      <c r="AJ947" s="44"/>
      <c r="AK947" s="5" t="s">
        <v>16</v>
      </c>
      <c r="AL947" s="46" t="str">
        <f>IF(VLOOKUP(AK947,βοηθητικό!$J$2:$N$354,3,FALSE)="","",VLOOKUP(AK947,βοηθητικό!$J$2:$N$354,3,FALSE))</f>
        <v>_</v>
      </c>
      <c r="AM947" s="47"/>
      <c r="AN947" s="4" t="s">
        <v>16</v>
      </c>
      <c r="AO947" s="43" t="str">
        <f>IF(VLOOKUP(AN947,βοηθητικό!$J$2:$N$354,3,FALSE)="","",VLOOKUP(AN947,βοηθητικό!$J$2:$N$354,3,FALSE))</f>
        <v>_</v>
      </c>
      <c r="AP947" s="44"/>
      <c r="AQ947" s="5" t="s">
        <v>16</v>
      </c>
      <c r="AR947" s="46" t="str">
        <f>IF(VLOOKUP(AQ947,βοηθητικό!$J$2:$N$354,3,FALSE)="","",VLOOKUP(AQ947,βοηθητικό!$J$2:$N$354,3,FALSE))</f>
        <v>_</v>
      </c>
      <c r="AS947" s="47"/>
      <c r="AT947" s="4" t="s">
        <v>16</v>
      </c>
      <c r="AU947" s="43" t="str">
        <f>IF(VLOOKUP(AT947,βοηθητικό!$J$2:$N$354,3,FALSE)="","",VLOOKUP(AT947,βοηθητικό!$J$2:$N$354,3,FALSE))</f>
        <v>_</v>
      </c>
      <c r="AV947" s="44"/>
      <c r="AW947" s="5" t="s">
        <v>16</v>
      </c>
      <c r="AX947" s="46" t="str">
        <f>IF(VLOOKUP(AW947,βοηθητικό!$J$2:$N$354,3,FALSE)="","",VLOOKUP(AW947,βοηθητικό!$J$2:$N$354,3,FALSE))</f>
        <v>_</v>
      </c>
      <c r="AY947" s="47"/>
      <c r="AZ947" s="4" t="s">
        <v>16</v>
      </c>
      <c r="BA947" s="43" t="str">
        <f>IF(VLOOKUP(AZ947,βοηθητικό!$J$2:$N$354,3,FALSE)="","",VLOOKUP(AZ947,βοηθητικό!$J$2:$N$354,3,FALSE))</f>
        <v>_</v>
      </c>
      <c r="BB947" s="44"/>
      <c r="BC947" s="45" t="s">
        <v>16</v>
      </c>
      <c r="BD947" s="46" t="str">
        <f>IF(VLOOKUP(BC947,βοηθητικό!$J$2:$N$354,3,FALSE)="","",VLOOKUP(BC947,βοηθητικό!$J$2:$N$354,3,FALSE))</f>
        <v>_</v>
      </c>
      <c r="BE947" s="47"/>
      <c r="BF947" s="42" t="s">
        <v>16</v>
      </c>
      <c r="BG947" s="43" t="str">
        <f>IF(VLOOKUP(BF947,βοηθητικό!$J$2:$N$354,3,FALSE)="","",VLOOKUP(BF947,βοηθητικό!$J$2:$N$354,3,FALSE))</f>
        <v>_</v>
      </c>
      <c r="BH947" s="44"/>
      <c r="BI947" s="45" t="s">
        <v>16</v>
      </c>
      <c r="BJ947" s="46" t="str">
        <f>IF(VLOOKUP(BI947,βοηθητικό!$J$2:$N$354,3,FALSE)="","",VLOOKUP(BI947,βοηθητικό!$J$2:$N$354,3,FALSE))</f>
        <v>_</v>
      </c>
      <c r="BK947" s="47"/>
      <c r="BL947" s="42" t="s">
        <v>16</v>
      </c>
      <c r="BM947" s="43" t="str">
        <f>IF(VLOOKUP(BL947,βοηθητικό!$J$2:$N$354,3,FALSE)="","",VLOOKUP(BL947,βοηθητικό!$J$2:$N$354,3,FALSE))</f>
        <v>_</v>
      </c>
      <c r="BN947" s="44"/>
      <c r="BO947" s="45" t="s">
        <v>16</v>
      </c>
      <c r="BP947" s="46" t="str">
        <f>IF(VLOOKUP(BO947,βοηθητικό!$J$2:$N$354,3,FALSE)="","",VLOOKUP(BO947,βοηθητικό!$J$2:$N$354,3,FALSE))</f>
        <v>_</v>
      </c>
      <c r="BQ947" s="47"/>
      <c r="BR947" s="42" t="s">
        <v>16</v>
      </c>
      <c r="BS947" s="43" t="str">
        <f>IF(VLOOKUP(BR947,βοηθητικό!$J$2:$N$354,3,FALSE)="","",VLOOKUP(BR947,βοηθητικό!$J$2:$N$354,3,FALSE))</f>
        <v>_</v>
      </c>
      <c r="BT947" s="44"/>
      <c r="BU947" s="45" t="s">
        <v>16</v>
      </c>
      <c r="BV947" s="46" t="str">
        <f>IF(VLOOKUP(BU947,βοηθητικό!$J$2:$N$354,3,FALSE)="","",VLOOKUP(BU947,βοηθητικό!$J$2:$N$354,3,FALSE))</f>
        <v>_</v>
      </c>
      <c r="BW947" s="47"/>
      <c r="BX947" s="42" t="s">
        <v>16</v>
      </c>
      <c r="BY947" s="43" t="str">
        <f>IF(VLOOKUP(BX947,βοηθητικό!$J$2:$N$354,3,FALSE)="","",VLOOKUP(BX947,βοηθητικό!$J$2:$N$354,3,FALSE))</f>
        <v>_</v>
      </c>
      <c r="BZ947" s="44"/>
      <c r="CA947" s="45" t="s">
        <v>16</v>
      </c>
      <c r="CB947" s="46" t="str">
        <f>IF(VLOOKUP(CA947,βοηθητικό!$J$2:$N$354,3,FALSE)="","",VLOOKUP(CA947,βοηθητικό!$J$2:$N$354,3,FALSE))</f>
        <v>_</v>
      </c>
      <c r="CC947" s="47"/>
      <c r="CD947" s="42" t="s">
        <v>16</v>
      </c>
      <c r="CE947" s="43" t="str">
        <f>IF(VLOOKUP(CD947,βοηθητικό!$J$2:$N$354,3,FALSE)="","",VLOOKUP(CD947,βοηθητικό!$J$2:$N$354,3,FALSE))</f>
        <v>_</v>
      </c>
      <c r="CF947" s="44"/>
      <c r="CG947" s="45" t="s">
        <v>16</v>
      </c>
      <c r="CH947" s="46" t="str">
        <f>IF(VLOOKUP(CG947,βοηθητικό!$J$2:$N$354,3,FALSE)="","",VLOOKUP(CG947,βοηθητικό!$J$2:$N$354,3,FALSE))</f>
        <v>_</v>
      </c>
      <c r="CI947" s="47"/>
      <c r="CJ947" s="42" t="s">
        <v>16</v>
      </c>
      <c r="CK947" s="43" t="str">
        <f>IF(VLOOKUP(CJ947,βοηθητικό!$J$2:$N$354,3,FALSE)="","",VLOOKUP(CJ947,βοηθητικό!$J$2:$N$354,3,FALSE))</f>
        <v>_</v>
      </c>
      <c r="CL947" s="44"/>
      <c r="CM947" s="45" t="s">
        <v>16</v>
      </c>
      <c r="CN947" s="46" t="str">
        <f>IF(VLOOKUP(CM947,βοηθητικό!$J$2:$N$354,3,FALSE)="","",VLOOKUP(CM947,βοηθητικό!$J$2:$N$354,3,FALSE))</f>
        <v>_</v>
      </c>
      <c r="CO947" s="47"/>
      <c r="CP947" s="42" t="s">
        <v>16</v>
      </c>
      <c r="CQ947" s="43" t="str">
        <f>IF(VLOOKUP(CP947,βοηθητικό!$J$2:$N$354,3,FALSE)="","",VLOOKUP(CP947,βοηθητικό!$J$2:$N$354,3,FALSE))</f>
        <v>_</v>
      </c>
      <c r="CR947" s="44"/>
      <c r="CS947" s="45" t="s">
        <v>16</v>
      </c>
      <c r="CT947" s="46" t="str">
        <f>IF(VLOOKUP(CS947,βοηθητικό!$J$2:$N$354,3,FALSE)="","",VLOOKUP(CS947,βοηθητικό!$J$2:$N$354,3,FALSE))</f>
        <v>_</v>
      </c>
      <c r="CU947" s="47"/>
    </row>
    <row r="948" spans="1:99" x14ac:dyDescent="0.25">
      <c r="A948" s="37">
        <f>--SUBTOTAL(3,$B$3:B947)</f>
        <v>198</v>
      </c>
      <c r="B948" s="2"/>
      <c r="C948" s="3"/>
      <c r="D948" s="55" t="s">
        <v>18</v>
      </c>
      <c r="E948" s="38" t="s">
        <v>16</v>
      </c>
      <c r="F948" s="38"/>
      <c r="G948" s="39" t="str">
        <f t="shared" si="44"/>
        <v>__</v>
      </c>
      <c r="H948" s="40" t="str">
        <f t="shared" si="45"/>
        <v>FALSE</v>
      </c>
      <c r="I948" s="41">
        <f t="shared" si="46"/>
        <v>0</v>
      </c>
      <c r="J948" s="4" t="s">
        <v>16</v>
      </c>
      <c r="K948" s="43" t="str">
        <f>IF(VLOOKUP(J948,βοηθητικό!$J$2:$N$354,3,FALSE)="","",VLOOKUP(J948,βοηθητικό!$J$2:$N$354,3,FALSE))</f>
        <v>_</v>
      </c>
      <c r="L948" s="44"/>
      <c r="M948" s="5" t="s">
        <v>16</v>
      </c>
      <c r="N948" s="46" t="str">
        <f>IF(VLOOKUP(M948,βοηθητικό!$J$2:$N$354,3,FALSE)="","",VLOOKUP(M948,βοηθητικό!$J$2:$N$354,3,FALSE))</f>
        <v>_</v>
      </c>
      <c r="O948" s="47"/>
      <c r="P948" s="4" t="s">
        <v>16</v>
      </c>
      <c r="Q948" s="43" t="str">
        <f>IF(VLOOKUP(P948,βοηθητικό!$J$2:$N$354,3,FALSE)="","",VLOOKUP(P948,βοηθητικό!$J$2:$N$354,3,FALSE))</f>
        <v>_</v>
      </c>
      <c r="R948" s="44"/>
      <c r="S948" s="5" t="s">
        <v>16</v>
      </c>
      <c r="T948" s="46" t="str">
        <f>IF(VLOOKUP(S948,βοηθητικό!$J$2:$N$354,3,FALSE)="","",VLOOKUP(S948,βοηθητικό!$J$2:$N$354,3,FALSE))</f>
        <v>_</v>
      </c>
      <c r="U948" s="47"/>
      <c r="V948" s="4" t="s">
        <v>16</v>
      </c>
      <c r="W948" s="43" t="str">
        <f>IF(VLOOKUP(V948,βοηθητικό!$J$2:$N$354,3,FALSE)="","",VLOOKUP(V948,βοηθητικό!$J$2:$N$354,3,FALSE))</f>
        <v>_</v>
      </c>
      <c r="X948" s="44"/>
      <c r="Y948" s="5" t="s">
        <v>16</v>
      </c>
      <c r="Z948" s="46" t="str">
        <f>IF(VLOOKUP(Y948,βοηθητικό!$J$2:$N$354,3,FALSE)="","",VLOOKUP(Y948,βοηθητικό!$J$2:$N$354,3,FALSE))</f>
        <v>_</v>
      </c>
      <c r="AA948" s="47"/>
      <c r="AB948" s="4" t="s">
        <v>16</v>
      </c>
      <c r="AC948" s="43" t="str">
        <f>IF(VLOOKUP(AB948,βοηθητικό!$J$2:$N$354,3,FALSE)="","",VLOOKUP(AB948,βοηθητικό!$J$2:$N$354,3,FALSE))</f>
        <v>_</v>
      </c>
      <c r="AD948" s="44"/>
      <c r="AE948" s="5" t="s">
        <v>16</v>
      </c>
      <c r="AF948" s="46" t="str">
        <f>IF(VLOOKUP(AE948,βοηθητικό!$J$2:$N$354,3,FALSE)="","",VLOOKUP(AE948,βοηθητικό!$J$2:$N$354,3,FALSE))</f>
        <v>_</v>
      </c>
      <c r="AG948" s="47"/>
      <c r="AH948" s="4" t="s">
        <v>16</v>
      </c>
      <c r="AI948" s="43" t="str">
        <f>IF(VLOOKUP(AH948,βοηθητικό!$J$2:$N$354,3,FALSE)="","",VLOOKUP(AH948,βοηθητικό!$J$2:$N$354,3,FALSE))</f>
        <v>_</v>
      </c>
      <c r="AJ948" s="44"/>
      <c r="AK948" s="5" t="s">
        <v>16</v>
      </c>
      <c r="AL948" s="46" t="str">
        <f>IF(VLOOKUP(AK948,βοηθητικό!$J$2:$N$354,3,FALSE)="","",VLOOKUP(AK948,βοηθητικό!$J$2:$N$354,3,FALSE))</f>
        <v>_</v>
      </c>
      <c r="AM948" s="47"/>
      <c r="AN948" s="4" t="s">
        <v>16</v>
      </c>
      <c r="AO948" s="43" t="str">
        <f>IF(VLOOKUP(AN948,βοηθητικό!$J$2:$N$354,3,FALSE)="","",VLOOKUP(AN948,βοηθητικό!$J$2:$N$354,3,FALSE))</f>
        <v>_</v>
      </c>
      <c r="AP948" s="44"/>
      <c r="AQ948" s="5" t="s">
        <v>16</v>
      </c>
      <c r="AR948" s="46" t="str">
        <f>IF(VLOOKUP(AQ948,βοηθητικό!$J$2:$N$354,3,FALSE)="","",VLOOKUP(AQ948,βοηθητικό!$J$2:$N$354,3,FALSE))</f>
        <v>_</v>
      </c>
      <c r="AS948" s="47"/>
      <c r="AT948" s="4" t="s">
        <v>16</v>
      </c>
      <c r="AU948" s="43" t="str">
        <f>IF(VLOOKUP(AT948,βοηθητικό!$J$2:$N$354,3,FALSE)="","",VLOOKUP(AT948,βοηθητικό!$J$2:$N$354,3,FALSE))</f>
        <v>_</v>
      </c>
      <c r="AV948" s="44"/>
      <c r="AW948" s="5" t="s">
        <v>16</v>
      </c>
      <c r="AX948" s="46" t="str">
        <f>IF(VLOOKUP(AW948,βοηθητικό!$J$2:$N$354,3,FALSE)="","",VLOOKUP(AW948,βοηθητικό!$J$2:$N$354,3,FALSE))</f>
        <v>_</v>
      </c>
      <c r="AY948" s="47"/>
      <c r="AZ948" s="4" t="s">
        <v>16</v>
      </c>
      <c r="BA948" s="43" t="str">
        <f>IF(VLOOKUP(AZ948,βοηθητικό!$J$2:$N$354,3,FALSE)="","",VLOOKUP(AZ948,βοηθητικό!$J$2:$N$354,3,FALSE))</f>
        <v>_</v>
      </c>
      <c r="BB948" s="44"/>
      <c r="BC948" s="45" t="s">
        <v>16</v>
      </c>
      <c r="BD948" s="46" t="str">
        <f>IF(VLOOKUP(BC948,βοηθητικό!$J$2:$N$354,3,FALSE)="","",VLOOKUP(BC948,βοηθητικό!$J$2:$N$354,3,FALSE))</f>
        <v>_</v>
      </c>
      <c r="BE948" s="47"/>
      <c r="BF948" s="42" t="s">
        <v>16</v>
      </c>
      <c r="BG948" s="43" t="str">
        <f>IF(VLOOKUP(BF948,βοηθητικό!$J$2:$N$354,3,FALSE)="","",VLOOKUP(BF948,βοηθητικό!$J$2:$N$354,3,FALSE))</f>
        <v>_</v>
      </c>
      <c r="BH948" s="44"/>
      <c r="BI948" s="45" t="s">
        <v>16</v>
      </c>
      <c r="BJ948" s="46" t="str">
        <f>IF(VLOOKUP(BI948,βοηθητικό!$J$2:$N$354,3,FALSE)="","",VLOOKUP(BI948,βοηθητικό!$J$2:$N$354,3,FALSE))</f>
        <v>_</v>
      </c>
      <c r="BK948" s="47"/>
      <c r="BL948" s="42" t="s">
        <v>16</v>
      </c>
      <c r="BM948" s="43" t="str">
        <f>IF(VLOOKUP(BL948,βοηθητικό!$J$2:$N$354,3,FALSE)="","",VLOOKUP(BL948,βοηθητικό!$J$2:$N$354,3,FALSE))</f>
        <v>_</v>
      </c>
      <c r="BN948" s="44"/>
      <c r="BO948" s="45" t="s">
        <v>16</v>
      </c>
      <c r="BP948" s="46" t="str">
        <f>IF(VLOOKUP(BO948,βοηθητικό!$J$2:$N$354,3,FALSE)="","",VLOOKUP(BO948,βοηθητικό!$J$2:$N$354,3,FALSE))</f>
        <v>_</v>
      </c>
      <c r="BQ948" s="47"/>
      <c r="BR948" s="42" t="s">
        <v>16</v>
      </c>
      <c r="BS948" s="43" t="str">
        <f>IF(VLOOKUP(BR948,βοηθητικό!$J$2:$N$354,3,FALSE)="","",VLOOKUP(BR948,βοηθητικό!$J$2:$N$354,3,FALSE))</f>
        <v>_</v>
      </c>
      <c r="BT948" s="44"/>
      <c r="BU948" s="45" t="s">
        <v>16</v>
      </c>
      <c r="BV948" s="46" t="str">
        <f>IF(VLOOKUP(BU948,βοηθητικό!$J$2:$N$354,3,FALSE)="","",VLOOKUP(BU948,βοηθητικό!$J$2:$N$354,3,FALSE))</f>
        <v>_</v>
      </c>
      <c r="BW948" s="47"/>
      <c r="BX948" s="42" t="s">
        <v>16</v>
      </c>
      <c r="BY948" s="43" t="str">
        <f>IF(VLOOKUP(BX948,βοηθητικό!$J$2:$N$354,3,FALSE)="","",VLOOKUP(BX948,βοηθητικό!$J$2:$N$354,3,FALSE))</f>
        <v>_</v>
      </c>
      <c r="BZ948" s="44"/>
      <c r="CA948" s="45" t="s">
        <v>16</v>
      </c>
      <c r="CB948" s="46" t="str">
        <f>IF(VLOOKUP(CA948,βοηθητικό!$J$2:$N$354,3,FALSE)="","",VLOOKUP(CA948,βοηθητικό!$J$2:$N$354,3,FALSE))</f>
        <v>_</v>
      </c>
      <c r="CC948" s="47"/>
      <c r="CD948" s="42" t="s">
        <v>16</v>
      </c>
      <c r="CE948" s="43" t="str">
        <f>IF(VLOOKUP(CD948,βοηθητικό!$J$2:$N$354,3,FALSE)="","",VLOOKUP(CD948,βοηθητικό!$J$2:$N$354,3,FALSE))</f>
        <v>_</v>
      </c>
      <c r="CF948" s="44"/>
      <c r="CG948" s="45" t="s">
        <v>16</v>
      </c>
      <c r="CH948" s="46" t="str">
        <f>IF(VLOOKUP(CG948,βοηθητικό!$J$2:$N$354,3,FALSE)="","",VLOOKUP(CG948,βοηθητικό!$J$2:$N$354,3,FALSE))</f>
        <v>_</v>
      </c>
      <c r="CI948" s="47"/>
      <c r="CJ948" s="42" t="s">
        <v>16</v>
      </c>
      <c r="CK948" s="43" t="str">
        <f>IF(VLOOKUP(CJ948,βοηθητικό!$J$2:$N$354,3,FALSE)="","",VLOOKUP(CJ948,βοηθητικό!$J$2:$N$354,3,FALSE))</f>
        <v>_</v>
      </c>
      <c r="CL948" s="44"/>
      <c r="CM948" s="45" t="s">
        <v>16</v>
      </c>
      <c r="CN948" s="46" t="str">
        <f>IF(VLOOKUP(CM948,βοηθητικό!$J$2:$N$354,3,FALSE)="","",VLOOKUP(CM948,βοηθητικό!$J$2:$N$354,3,FALSE))</f>
        <v>_</v>
      </c>
      <c r="CO948" s="47"/>
      <c r="CP948" s="42" t="s">
        <v>16</v>
      </c>
      <c r="CQ948" s="43" t="str">
        <f>IF(VLOOKUP(CP948,βοηθητικό!$J$2:$N$354,3,FALSE)="","",VLOOKUP(CP948,βοηθητικό!$J$2:$N$354,3,FALSE))</f>
        <v>_</v>
      </c>
      <c r="CR948" s="44"/>
      <c r="CS948" s="45" t="s">
        <v>16</v>
      </c>
      <c r="CT948" s="46" t="str">
        <f>IF(VLOOKUP(CS948,βοηθητικό!$J$2:$N$354,3,FALSE)="","",VLOOKUP(CS948,βοηθητικό!$J$2:$N$354,3,FALSE))</f>
        <v>_</v>
      </c>
      <c r="CU948" s="47"/>
    </row>
    <row r="949" spans="1:99" x14ac:dyDescent="0.25">
      <c r="A949" s="37">
        <f>--SUBTOTAL(3,$B$3:B948)</f>
        <v>198</v>
      </c>
      <c r="B949" s="2"/>
      <c r="C949" s="3"/>
      <c r="D949" s="55" t="s">
        <v>18</v>
      </c>
      <c r="E949" s="38" t="s">
        <v>16</v>
      </c>
      <c r="F949" s="38"/>
      <c r="G949" s="39" t="str">
        <f t="shared" si="44"/>
        <v>__</v>
      </c>
      <c r="H949" s="40" t="str">
        <f t="shared" si="45"/>
        <v>FALSE</v>
      </c>
      <c r="I949" s="41">
        <f t="shared" si="46"/>
        <v>0</v>
      </c>
      <c r="J949" s="4" t="s">
        <v>16</v>
      </c>
      <c r="K949" s="43" t="str">
        <f>IF(VLOOKUP(J949,βοηθητικό!$J$2:$N$354,3,FALSE)="","",VLOOKUP(J949,βοηθητικό!$J$2:$N$354,3,FALSE))</f>
        <v>_</v>
      </c>
      <c r="L949" s="44"/>
      <c r="M949" s="5" t="s">
        <v>16</v>
      </c>
      <c r="N949" s="46" t="str">
        <f>IF(VLOOKUP(M949,βοηθητικό!$J$2:$N$354,3,FALSE)="","",VLOOKUP(M949,βοηθητικό!$J$2:$N$354,3,FALSE))</f>
        <v>_</v>
      </c>
      <c r="O949" s="47"/>
      <c r="P949" s="4" t="s">
        <v>16</v>
      </c>
      <c r="Q949" s="43" t="str">
        <f>IF(VLOOKUP(P949,βοηθητικό!$J$2:$N$354,3,FALSE)="","",VLOOKUP(P949,βοηθητικό!$J$2:$N$354,3,FALSE))</f>
        <v>_</v>
      </c>
      <c r="R949" s="44"/>
      <c r="S949" s="5" t="s">
        <v>16</v>
      </c>
      <c r="T949" s="46" t="str">
        <f>IF(VLOOKUP(S949,βοηθητικό!$J$2:$N$354,3,FALSE)="","",VLOOKUP(S949,βοηθητικό!$J$2:$N$354,3,FALSE))</f>
        <v>_</v>
      </c>
      <c r="U949" s="47"/>
      <c r="V949" s="4" t="s">
        <v>16</v>
      </c>
      <c r="W949" s="43" t="str">
        <f>IF(VLOOKUP(V949,βοηθητικό!$J$2:$N$354,3,FALSE)="","",VLOOKUP(V949,βοηθητικό!$J$2:$N$354,3,FALSE))</f>
        <v>_</v>
      </c>
      <c r="X949" s="44"/>
      <c r="Y949" s="5" t="s">
        <v>16</v>
      </c>
      <c r="Z949" s="46" t="str">
        <f>IF(VLOOKUP(Y949,βοηθητικό!$J$2:$N$354,3,FALSE)="","",VLOOKUP(Y949,βοηθητικό!$J$2:$N$354,3,FALSE))</f>
        <v>_</v>
      </c>
      <c r="AA949" s="47"/>
      <c r="AB949" s="4" t="s">
        <v>16</v>
      </c>
      <c r="AC949" s="43" t="str">
        <f>IF(VLOOKUP(AB949,βοηθητικό!$J$2:$N$354,3,FALSE)="","",VLOOKUP(AB949,βοηθητικό!$J$2:$N$354,3,FALSE))</f>
        <v>_</v>
      </c>
      <c r="AD949" s="44"/>
      <c r="AE949" s="5" t="s">
        <v>16</v>
      </c>
      <c r="AF949" s="46" t="str">
        <f>IF(VLOOKUP(AE949,βοηθητικό!$J$2:$N$354,3,FALSE)="","",VLOOKUP(AE949,βοηθητικό!$J$2:$N$354,3,FALSE))</f>
        <v>_</v>
      </c>
      <c r="AG949" s="47"/>
      <c r="AH949" s="4" t="s">
        <v>16</v>
      </c>
      <c r="AI949" s="43" t="str">
        <f>IF(VLOOKUP(AH949,βοηθητικό!$J$2:$N$354,3,FALSE)="","",VLOOKUP(AH949,βοηθητικό!$J$2:$N$354,3,FALSE))</f>
        <v>_</v>
      </c>
      <c r="AJ949" s="44"/>
      <c r="AK949" s="5" t="s">
        <v>16</v>
      </c>
      <c r="AL949" s="46" t="str">
        <f>IF(VLOOKUP(AK949,βοηθητικό!$J$2:$N$354,3,FALSE)="","",VLOOKUP(AK949,βοηθητικό!$J$2:$N$354,3,FALSE))</f>
        <v>_</v>
      </c>
      <c r="AM949" s="47"/>
      <c r="AN949" s="4" t="s">
        <v>16</v>
      </c>
      <c r="AO949" s="43" t="str">
        <f>IF(VLOOKUP(AN949,βοηθητικό!$J$2:$N$354,3,FALSE)="","",VLOOKUP(AN949,βοηθητικό!$J$2:$N$354,3,FALSE))</f>
        <v>_</v>
      </c>
      <c r="AP949" s="44"/>
      <c r="AQ949" s="5" t="s">
        <v>16</v>
      </c>
      <c r="AR949" s="46" t="str">
        <f>IF(VLOOKUP(AQ949,βοηθητικό!$J$2:$N$354,3,FALSE)="","",VLOOKUP(AQ949,βοηθητικό!$J$2:$N$354,3,FALSE))</f>
        <v>_</v>
      </c>
      <c r="AS949" s="47"/>
      <c r="AT949" s="4" t="s">
        <v>16</v>
      </c>
      <c r="AU949" s="43" t="str">
        <f>IF(VLOOKUP(AT949,βοηθητικό!$J$2:$N$354,3,FALSE)="","",VLOOKUP(AT949,βοηθητικό!$J$2:$N$354,3,FALSE))</f>
        <v>_</v>
      </c>
      <c r="AV949" s="44"/>
      <c r="AW949" s="5" t="s">
        <v>16</v>
      </c>
      <c r="AX949" s="46" t="str">
        <f>IF(VLOOKUP(AW949,βοηθητικό!$J$2:$N$354,3,FALSE)="","",VLOOKUP(AW949,βοηθητικό!$J$2:$N$354,3,FALSE))</f>
        <v>_</v>
      </c>
      <c r="AY949" s="47"/>
      <c r="AZ949" s="4" t="s">
        <v>16</v>
      </c>
      <c r="BA949" s="43" t="str">
        <f>IF(VLOOKUP(AZ949,βοηθητικό!$J$2:$N$354,3,FALSE)="","",VLOOKUP(AZ949,βοηθητικό!$J$2:$N$354,3,FALSE))</f>
        <v>_</v>
      </c>
      <c r="BB949" s="44"/>
      <c r="BC949" s="45" t="s">
        <v>16</v>
      </c>
      <c r="BD949" s="46" t="str">
        <f>IF(VLOOKUP(BC949,βοηθητικό!$J$2:$N$354,3,FALSE)="","",VLOOKUP(BC949,βοηθητικό!$J$2:$N$354,3,FALSE))</f>
        <v>_</v>
      </c>
      <c r="BE949" s="47"/>
      <c r="BF949" s="42" t="s">
        <v>16</v>
      </c>
      <c r="BG949" s="43" t="str">
        <f>IF(VLOOKUP(BF949,βοηθητικό!$J$2:$N$354,3,FALSE)="","",VLOOKUP(BF949,βοηθητικό!$J$2:$N$354,3,FALSE))</f>
        <v>_</v>
      </c>
      <c r="BH949" s="44"/>
      <c r="BI949" s="45" t="s">
        <v>16</v>
      </c>
      <c r="BJ949" s="46" t="str">
        <f>IF(VLOOKUP(BI949,βοηθητικό!$J$2:$N$354,3,FALSE)="","",VLOOKUP(BI949,βοηθητικό!$J$2:$N$354,3,FALSE))</f>
        <v>_</v>
      </c>
      <c r="BK949" s="47"/>
      <c r="BL949" s="42" t="s">
        <v>16</v>
      </c>
      <c r="BM949" s="43" t="str">
        <f>IF(VLOOKUP(BL949,βοηθητικό!$J$2:$N$354,3,FALSE)="","",VLOOKUP(BL949,βοηθητικό!$J$2:$N$354,3,FALSE))</f>
        <v>_</v>
      </c>
      <c r="BN949" s="44"/>
      <c r="BO949" s="45" t="s">
        <v>16</v>
      </c>
      <c r="BP949" s="46" t="str">
        <f>IF(VLOOKUP(BO949,βοηθητικό!$J$2:$N$354,3,FALSE)="","",VLOOKUP(BO949,βοηθητικό!$J$2:$N$354,3,FALSE))</f>
        <v>_</v>
      </c>
      <c r="BQ949" s="47"/>
      <c r="BR949" s="42" t="s">
        <v>16</v>
      </c>
      <c r="BS949" s="43" t="str">
        <f>IF(VLOOKUP(BR949,βοηθητικό!$J$2:$N$354,3,FALSE)="","",VLOOKUP(BR949,βοηθητικό!$J$2:$N$354,3,FALSE))</f>
        <v>_</v>
      </c>
      <c r="BT949" s="44"/>
      <c r="BU949" s="45" t="s">
        <v>16</v>
      </c>
      <c r="BV949" s="46" t="str">
        <f>IF(VLOOKUP(BU949,βοηθητικό!$J$2:$N$354,3,FALSE)="","",VLOOKUP(BU949,βοηθητικό!$J$2:$N$354,3,FALSE))</f>
        <v>_</v>
      </c>
      <c r="BW949" s="47"/>
      <c r="BX949" s="42" t="s">
        <v>16</v>
      </c>
      <c r="BY949" s="43" t="str">
        <f>IF(VLOOKUP(BX949,βοηθητικό!$J$2:$N$354,3,FALSE)="","",VLOOKUP(BX949,βοηθητικό!$J$2:$N$354,3,FALSE))</f>
        <v>_</v>
      </c>
      <c r="BZ949" s="44"/>
      <c r="CA949" s="45" t="s">
        <v>16</v>
      </c>
      <c r="CB949" s="46" t="str">
        <f>IF(VLOOKUP(CA949,βοηθητικό!$J$2:$N$354,3,FALSE)="","",VLOOKUP(CA949,βοηθητικό!$J$2:$N$354,3,FALSE))</f>
        <v>_</v>
      </c>
      <c r="CC949" s="47"/>
      <c r="CD949" s="42" t="s">
        <v>16</v>
      </c>
      <c r="CE949" s="43" t="str">
        <f>IF(VLOOKUP(CD949,βοηθητικό!$J$2:$N$354,3,FALSE)="","",VLOOKUP(CD949,βοηθητικό!$J$2:$N$354,3,FALSE))</f>
        <v>_</v>
      </c>
      <c r="CF949" s="44"/>
      <c r="CG949" s="45" t="s">
        <v>16</v>
      </c>
      <c r="CH949" s="46" t="str">
        <f>IF(VLOOKUP(CG949,βοηθητικό!$J$2:$N$354,3,FALSE)="","",VLOOKUP(CG949,βοηθητικό!$J$2:$N$354,3,FALSE))</f>
        <v>_</v>
      </c>
      <c r="CI949" s="47"/>
      <c r="CJ949" s="42" t="s">
        <v>16</v>
      </c>
      <c r="CK949" s="43" t="str">
        <f>IF(VLOOKUP(CJ949,βοηθητικό!$J$2:$N$354,3,FALSE)="","",VLOOKUP(CJ949,βοηθητικό!$J$2:$N$354,3,FALSE))</f>
        <v>_</v>
      </c>
      <c r="CL949" s="44"/>
      <c r="CM949" s="45" t="s">
        <v>16</v>
      </c>
      <c r="CN949" s="46" t="str">
        <f>IF(VLOOKUP(CM949,βοηθητικό!$J$2:$N$354,3,FALSE)="","",VLOOKUP(CM949,βοηθητικό!$J$2:$N$354,3,FALSE))</f>
        <v>_</v>
      </c>
      <c r="CO949" s="47"/>
      <c r="CP949" s="42" t="s">
        <v>16</v>
      </c>
      <c r="CQ949" s="43" t="str">
        <f>IF(VLOOKUP(CP949,βοηθητικό!$J$2:$N$354,3,FALSE)="","",VLOOKUP(CP949,βοηθητικό!$J$2:$N$354,3,FALSE))</f>
        <v>_</v>
      </c>
      <c r="CR949" s="44"/>
      <c r="CS949" s="45" t="s">
        <v>16</v>
      </c>
      <c r="CT949" s="46" t="str">
        <f>IF(VLOOKUP(CS949,βοηθητικό!$J$2:$N$354,3,FALSE)="","",VLOOKUP(CS949,βοηθητικό!$J$2:$N$354,3,FALSE))</f>
        <v>_</v>
      </c>
      <c r="CU949" s="47"/>
    </row>
    <row r="950" spans="1:99" x14ac:dyDescent="0.25">
      <c r="A950" s="37">
        <f>--SUBTOTAL(3,$B$3:B949)</f>
        <v>198</v>
      </c>
      <c r="B950" s="2"/>
      <c r="C950" s="3"/>
      <c r="D950" s="55" t="s">
        <v>18</v>
      </c>
      <c r="E950" s="38" t="s">
        <v>16</v>
      </c>
      <c r="F950" s="38"/>
      <c r="G950" s="39" t="str">
        <f t="shared" si="44"/>
        <v>__</v>
      </c>
      <c r="H950" s="40" t="str">
        <f t="shared" si="45"/>
        <v>FALSE</v>
      </c>
      <c r="I950" s="41">
        <f t="shared" si="46"/>
        <v>0</v>
      </c>
      <c r="J950" s="4" t="s">
        <v>16</v>
      </c>
      <c r="K950" s="43" t="str">
        <f>IF(VLOOKUP(J950,βοηθητικό!$J$2:$N$354,3,FALSE)="","",VLOOKUP(J950,βοηθητικό!$J$2:$N$354,3,FALSE))</f>
        <v>_</v>
      </c>
      <c r="L950" s="44"/>
      <c r="M950" s="5" t="s">
        <v>16</v>
      </c>
      <c r="N950" s="46" t="str">
        <f>IF(VLOOKUP(M950,βοηθητικό!$J$2:$N$354,3,FALSE)="","",VLOOKUP(M950,βοηθητικό!$J$2:$N$354,3,FALSE))</f>
        <v>_</v>
      </c>
      <c r="O950" s="47"/>
      <c r="P950" s="4" t="s">
        <v>16</v>
      </c>
      <c r="Q950" s="43" t="str">
        <f>IF(VLOOKUP(P950,βοηθητικό!$J$2:$N$354,3,FALSE)="","",VLOOKUP(P950,βοηθητικό!$J$2:$N$354,3,FALSE))</f>
        <v>_</v>
      </c>
      <c r="R950" s="44"/>
      <c r="S950" s="5" t="s">
        <v>16</v>
      </c>
      <c r="T950" s="46" t="str">
        <f>IF(VLOOKUP(S950,βοηθητικό!$J$2:$N$354,3,FALSE)="","",VLOOKUP(S950,βοηθητικό!$J$2:$N$354,3,FALSE))</f>
        <v>_</v>
      </c>
      <c r="U950" s="47"/>
      <c r="V950" s="4" t="s">
        <v>16</v>
      </c>
      <c r="W950" s="43" t="str">
        <f>IF(VLOOKUP(V950,βοηθητικό!$J$2:$N$354,3,FALSE)="","",VLOOKUP(V950,βοηθητικό!$J$2:$N$354,3,FALSE))</f>
        <v>_</v>
      </c>
      <c r="X950" s="44"/>
      <c r="Y950" s="5" t="s">
        <v>16</v>
      </c>
      <c r="Z950" s="46" t="str">
        <f>IF(VLOOKUP(Y950,βοηθητικό!$J$2:$N$354,3,FALSE)="","",VLOOKUP(Y950,βοηθητικό!$J$2:$N$354,3,FALSE))</f>
        <v>_</v>
      </c>
      <c r="AA950" s="47"/>
      <c r="AB950" s="4" t="s">
        <v>16</v>
      </c>
      <c r="AC950" s="43" t="str">
        <f>IF(VLOOKUP(AB950,βοηθητικό!$J$2:$N$354,3,FALSE)="","",VLOOKUP(AB950,βοηθητικό!$J$2:$N$354,3,FALSE))</f>
        <v>_</v>
      </c>
      <c r="AD950" s="44"/>
      <c r="AE950" s="5" t="s">
        <v>16</v>
      </c>
      <c r="AF950" s="46" t="str">
        <f>IF(VLOOKUP(AE950,βοηθητικό!$J$2:$N$354,3,FALSE)="","",VLOOKUP(AE950,βοηθητικό!$J$2:$N$354,3,FALSE))</f>
        <v>_</v>
      </c>
      <c r="AG950" s="47"/>
      <c r="AH950" s="4" t="s">
        <v>16</v>
      </c>
      <c r="AI950" s="43" t="str">
        <f>IF(VLOOKUP(AH950,βοηθητικό!$J$2:$N$354,3,FALSE)="","",VLOOKUP(AH950,βοηθητικό!$J$2:$N$354,3,FALSE))</f>
        <v>_</v>
      </c>
      <c r="AJ950" s="44"/>
      <c r="AK950" s="5" t="s">
        <v>16</v>
      </c>
      <c r="AL950" s="46" t="str">
        <f>IF(VLOOKUP(AK950,βοηθητικό!$J$2:$N$354,3,FALSE)="","",VLOOKUP(AK950,βοηθητικό!$J$2:$N$354,3,FALSE))</f>
        <v>_</v>
      </c>
      <c r="AM950" s="47"/>
      <c r="AN950" s="4" t="s">
        <v>16</v>
      </c>
      <c r="AO950" s="43" t="str">
        <f>IF(VLOOKUP(AN950,βοηθητικό!$J$2:$N$354,3,FALSE)="","",VLOOKUP(AN950,βοηθητικό!$J$2:$N$354,3,FALSE))</f>
        <v>_</v>
      </c>
      <c r="AP950" s="44"/>
      <c r="AQ950" s="5" t="s">
        <v>16</v>
      </c>
      <c r="AR950" s="46" t="str">
        <f>IF(VLOOKUP(AQ950,βοηθητικό!$J$2:$N$354,3,FALSE)="","",VLOOKUP(AQ950,βοηθητικό!$J$2:$N$354,3,FALSE))</f>
        <v>_</v>
      </c>
      <c r="AS950" s="47"/>
      <c r="AT950" s="4" t="s">
        <v>16</v>
      </c>
      <c r="AU950" s="43" t="str">
        <f>IF(VLOOKUP(AT950,βοηθητικό!$J$2:$N$354,3,FALSE)="","",VLOOKUP(AT950,βοηθητικό!$J$2:$N$354,3,FALSE))</f>
        <v>_</v>
      </c>
      <c r="AV950" s="44"/>
      <c r="AW950" s="5" t="s">
        <v>16</v>
      </c>
      <c r="AX950" s="46" t="str">
        <f>IF(VLOOKUP(AW950,βοηθητικό!$J$2:$N$354,3,FALSE)="","",VLOOKUP(AW950,βοηθητικό!$J$2:$N$354,3,FALSE))</f>
        <v>_</v>
      </c>
      <c r="AY950" s="47"/>
      <c r="AZ950" s="4" t="s">
        <v>16</v>
      </c>
      <c r="BA950" s="43" t="str">
        <f>IF(VLOOKUP(AZ950,βοηθητικό!$J$2:$N$354,3,FALSE)="","",VLOOKUP(AZ950,βοηθητικό!$J$2:$N$354,3,FALSE))</f>
        <v>_</v>
      </c>
      <c r="BB950" s="44"/>
      <c r="BC950" s="45" t="s">
        <v>16</v>
      </c>
      <c r="BD950" s="46" t="str">
        <f>IF(VLOOKUP(BC950,βοηθητικό!$J$2:$N$354,3,FALSE)="","",VLOOKUP(BC950,βοηθητικό!$J$2:$N$354,3,FALSE))</f>
        <v>_</v>
      </c>
      <c r="BE950" s="47"/>
      <c r="BF950" s="42" t="s">
        <v>16</v>
      </c>
      <c r="BG950" s="43" t="str">
        <f>IF(VLOOKUP(BF950,βοηθητικό!$J$2:$N$354,3,FALSE)="","",VLOOKUP(BF950,βοηθητικό!$J$2:$N$354,3,FALSE))</f>
        <v>_</v>
      </c>
      <c r="BH950" s="44"/>
      <c r="BI950" s="45" t="s">
        <v>16</v>
      </c>
      <c r="BJ950" s="46" t="str">
        <f>IF(VLOOKUP(BI950,βοηθητικό!$J$2:$N$354,3,FALSE)="","",VLOOKUP(BI950,βοηθητικό!$J$2:$N$354,3,FALSE))</f>
        <v>_</v>
      </c>
      <c r="BK950" s="47"/>
      <c r="BL950" s="42" t="s">
        <v>16</v>
      </c>
      <c r="BM950" s="43" t="str">
        <f>IF(VLOOKUP(BL950,βοηθητικό!$J$2:$N$354,3,FALSE)="","",VLOOKUP(BL950,βοηθητικό!$J$2:$N$354,3,FALSE))</f>
        <v>_</v>
      </c>
      <c r="BN950" s="44"/>
      <c r="BO950" s="45" t="s">
        <v>16</v>
      </c>
      <c r="BP950" s="46" t="str">
        <f>IF(VLOOKUP(BO950,βοηθητικό!$J$2:$N$354,3,FALSE)="","",VLOOKUP(BO950,βοηθητικό!$J$2:$N$354,3,FALSE))</f>
        <v>_</v>
      </c>
      <c r="BQ950" s="47"/>
      <c r="BR950" s="42" t="s">
        <v>16</v>
      </c>
      <c r="BS950" s="43" t="str">
        <f>IF(VLOOKUP(BR950,βοηθητικό!$J$2:$N$354,3,FALSE)="","",VLOOKUP(BR950,βοηθητικό!$J$2:$N$354,3,FALSE))</f>
        <v>_</v>
      </c>
      <c r="BT950" s="44"/>
      <c r="BU950" s="45" t="s">
        <v>16</v>
      </c>
      <c r="BV950" s="46" t="str">
        <f>IF(VLOOKUP(BU950,βοηθητικό!$J$2:$N$354,3,FALSE)="","",VLOOKUP(BU950,βοηθητικό!$J$2:$N$354,3,FALSE))</f>
        <v>_</v>
      </c>
      <c r="BW950" s="47"/>
      <c r="BX950" s="42" t="s">
        <v>16</v>
      </c>
      <c r="BY950" s="43" t="str">
        <f>IF(VLOOKUP(BX950,βοηθητικό!$J$2:$N$354,3,FALSE)="","",VLOOKUP(BX950,βοηθητικό!$J$2:$N$354,3,FALSE))</f>
        <v>_</v>
      </c>
      <c r="BZ950" s="44"/>
      <c r="CA950" s="45" t="s">
        <v>16</v>
      </c>
      <c r="CB950" s="46" t="str">
        <f>IF(VLOOKUP(CA950,βοηθητικό!$J$2:$N$354,3,FALSE)="","",VLOOKUP(CA950,βοηθητικό!$J$2:$N$354,3,FALSE))</f>
        <v>_</v>
      </c>
      <c r="CC950" s="47"/>
      <c r="CD950" s="42" t="s">
        <v>16</v>
      </c>
      <c r="CE950" s="43" t="str">
        <f>IF(VLOOKUP(CD950,βοηθητικό!$J$2:$N$354,3,FALSE)="","",VLOOKUP(CD950,βοηθητικό!$J$2:$N$354,3,FALSE))</f>
        <v>_</v>
      </c>
      <c r="CF950" s="44"/>
      <c r="CG950" s="45" t="s">
        <v>16</v>
      </c>
      <c r="CH950" s="46" t="str">
        <f>IF(VLOOKUP(CG950,βοηθητικό!$J$2:$N$354,3,FALSE)="","",VLOOKUP(CG950,βοηθητικό!$J$2:$N$354,3,FALSE))</f>
        <v>_</v>
      </c>
      <c r="CI950" s="47"/>
      <c r="CJ950" s="42" t="s">
        <v>16</v>
      </c>
      <c r="CK950" s="43" t="str">
        <f>IF(VLOOKUP(CJ950,βοηθητικό!$J$2:$N$354,3,FALSE)="","",VLOOKUP(CJ950,βοηθητικό!$J$2:$N$354,3,FALSE))</f>
        <v>_</v>
      </c>
      <c r="CL950" s="44"/>
      <c r="CM950" s="45" t="s">
        <v>16</v>
      </c>
      <c r="CN950" s="46" t="str">
        <f>IF(VLOOKUP(CM950,βοηθητικό!$J$2:$N$354,3,FALSE)="","",VLOOKUP(CM950,βοηθητικό!$J$2:$N$354,3,FALSE))</f>
        <v>_</v>
      </c>
      <c r="CO950" s="47"/>
      <c r="CP950" s="42" t="s">
        <v>16</v>
      </c>
      <c r="CQ950" s="43" t="str">
        <f>IF(VLOOKUP(CP950,βοηθητικό!$J$2:$N$354,3,FALSE)="","",VLOOKUP(CP950,βοηθητικό!$J$2:$N$354,3,FALSE))</f>
        <v>_</v>
      </c>
      <c r="CR950" s="44"/>
      <c r="CS950" s="45" t="s">
        <v>16</v>
      </c>
      <c r="CT950" s="46" t="str">
        <f>IF(VLOOKUP(CS950,βοηθητικό!$J$2:$N$354,3,FALSE)="","",VLOOKUP(CS950,βοηθητικό!$J$2:$N$354,3,FALSE))</f>
        <v>_</v>
      </c>
      <c r="CU950" s="47"/>
    </row>
    <row r="951" spans="1:99" x14ac:dyDescent="0.25">
      <c r="A951" s="37">
        <f>--SUBTOTAL(3,$B$3:B950)</f>
        <v>198</v>
      </c>
      <c r="B951" s="2"/>
      <c r="C951" s="3"/>
      <c r="D951" s="55" t="s">
        <v>18</v>
      </c>
      <c r="E951" s="38" t="s">
        <v>16</v>
      </c>
      <c r="F951" s="38"/>
      <c r="G951" s="39" t="str">
        <f t="shared" si="44"/>
        <v>__</v>
      </c>
      <c r="H951" s="40" t="str">
        <f t="shared" si="45"/>
        <v>FALSE</v>
      </c>
      <c r="I951" s="41">
        <f t="shared" si="46"/>
        <v>0</v>
      </c>
      <c r="J951" s="4" t="s">
        <v>16</v>
      </c>
      <c r="K951" s="43" t="str">
        <f>IF(VLOOKUP(J951,βοηθητικό!$J$2:$N$354,3,FALSE)="","",VLOOKUP(J951,βοηθητικό!$J$2:$N$354,3,FALSE))</f>
        <v>_</v>
      </c>
      <c r="L951" s="44"/>
      <c r="M951" s="5" t="s">
        <v>16</v>
      </c>
      <c r="N951" s="46" t="str">
        <f>IF(VLOOKUP(M951,βοηθητικό!$J$2:$N$354,3,FALSE)="","",VLOOKUP(M951,βοηθητικό!$J$2:$N$354,3,FALSE))</f>
        <v>_</v>
      </c>
      <c r="O951" s="47"/>
      <c r="P951" s="4" t="s">
        <v>16</v>
      </c>
      <c r="Q951" s="43" t="str">
        <f>IF(VLOOKUP(P951,βοηθητικό!$J$2:$N$354,3,FALSE)="","",VLOOKUP(P951,βοηθητικό!$J$2:$N$354,3,FALSE))</f>
        <v>_</v>
      </c>
      <c r="R951" s="44"/>
      <c r="S951" s="5" t="s">
        <v>16</v>
      </c>
      <c r="T951" s="46" t="str">
        <f>IF(VLOOKUP(S951,βοηθητικό!$J$2:$N$354,3,FALSE)="","",VLOOKUP(S951,βοηθητικό!$J$2:$N$354,3,FALSE))</f>
        <v>_</v>
      </c>
      <c r="U951" s="47"/>
      <c r="V951" s="4" t="s">
        <v>16</v>
      </c>
      <c r="W951" s="43" t="str">
        <f>IF(VLOOKUP(V951,βοηθητικό!$J$2:$N$354,3,FALSE)="","",VLOOKUP(V951,βοηθητικό!$J$2:$N$354,3,FALSE))</f>
        <v>_</v>
      </c>
      <c r="X951" s="44"/>
      <c r="Y951" s="5" t="s">
        <v>16</v>
      </c>
      <c r="Z951" s="46" t="str">
        <f>IF(VLOOKUP(Y951,βοηθητικό!$J$2:$N$354,3,FALSE)="","",VLOOKUP(Y951,βοηθητικό!$J$2:$N$354,3,FALSE))</f>
        <v>_</v>
      </c>
      <c r="AA951" s="47"/>
      <c r="AB951" s="4" t="s">
        <v>16</v>
      </c>
      <c r="AC951" s="43" t="str">
        <f>IF(VLOOKUP(AB951,βοηθητικό!$J$2:$N$354,3,FALSE)="","",VLOOKUP(AB951,βοηθητικό!$J$2:$N$354,3,FALSE))</f>
        <v>_</v>
      </c>
      <c r="AD951" s="44"/>
      <c r="AE951" s="5" t="s">
        <v>16</v>
      </c>
      <c r="AF951" s="46" t="str">
        <f>IF(VLOOKUP(AE951,βοηθητικό!$J$2:$N$354,3,FALSE)="","",VLOOKUP(AE951,βοηθητικό!$J$2:$N$354,3,FALSE))</f>
        <v>_</v>
      </c>
      <c r="AG951" s="47"/>
      <c r="AH951" s="4" t="s">
        <v>16</v>
      </c>
      <c r="AI951" s="43" t="str">
        <f>IF(VLOOKUP(AH951,βοηθητικό!$J$2:$N$354,3,FALSE)="","",VLOOKUP(AH951,βοηθητικό!$J$2:$N$354,3,FALSE))</f>
        <v>_</v>
      </c>
      <c r="AJ951" s="44"/>
      <c r="AK951" s="5" t="s">
        <v>16</v>
      </c>
      <c r="AL951" s="46" t="str">
        <f>IF(VLOOKUP(AK951,βοηθητικό!$J$2:$N$354,3,FALSE)="","",VLOOKUP(AK951,βοηθητικό!$J$2:$N$354,3,FALSE))</f>
        <v>_</v>
      </c>
      <c r="AM951" s="47"/>
      <c r="AN951" s="4" t="s">
        <v>16</v>
      </c>
      <c r="AO951" s="43" t="str">
        <f>IF(VLOOKUP(AN951,βοηθητικό!$J$2:$N$354,3,FALSE)="","",VLOOKUP(AN951,βοηθητικό!$J$2:$N$354,3,FALSE))</f>
        <v>_</v>
      </c>
      <c r="AP951" s="44"/>
      <c r="AQ951" s="5" t="s">
        <v>16</v>
      </c>
      <c r="AR951" s="46" t="str">
        <f>IF(VLOOKUP(AQ951,βοηθητικό!$J$2:$N$354,3,FALSE)="","",VLOOKUP(AQ951,βοηθητικό!$J$2:$N$354,3,FALSE))</f>
        <v>_</v>
      </c>
      <c r="AS951" s="47"/>
      <c r="AT951" s="4" t="s">
        <v>16</v>
      </c>
      <c r="AU951" s="43" t="str">
        <f>IF(VLOOKUP(AT951,βοηθητικό!$J$2:$N$354,3,FALSE)="","",VLOOKUP(AT951,βοηθητικό!$J$2:$N$354,3,FALSE))</f>
        <v>_</v>
      </c>
      <c r="AV951" s="44"/>
      <c r="AW951" s="5" t="s">
        <v>16</v>
      </c>
      <c r="AX951" s="46" t="str">
        <f>IF(VLOOKUP(AW951,βοηθητικό!$J$2:$N$354,3,FALSE)="","",VLOOKUP(AW951,βοηθητικό!$J$2:$N$354,3,FALSE))</f>
        <v>_</v>
      </c>
      <c r="AY951" s="47"/>
      <c r="AZ951" s="4" t="s">
        <v>16</v>
      </c>
      <c r="BA951" s="43" t="str">
        <f>IF(VLOOKUP(AZ951,βοηθητικό!$J$2:$N$354,3,FALSE)="","",VLOOKUP(AZ951,βοηθητικό!$J$2:$N$354,3,FALSE))</f>
        <v>_</v>
      </c>
      <c r="BB951" s="44"/>
      <c r="BC951" s="45" t="s">
        <v>16</v>
      </c>
      <c r="BD951" s="46" t="str">
        <f>IF(VLOOKUP(BC951,βοηθητικό!$J$2:$N$354,3,FALSE)="","",VLOOKUP(BC951,βοηθητικό!$J$2:$N$354,3,FALSE))</f>
        <v>_</v>
      </c>
      <c r="BE951" s="47"/>
      <c r="BF951" s="42" t="s">
        <v>16</v>
      </c>
      <c r="BG951" s="43" t="str">
        <f>IF(VLOOKUP(BF951,βοηθητικό!$J$2:$N$354,3,FALSE)="","",VLOOKUP(BF951,βοηθητικό!$J$2:$N$354,3,FALSE))</f>
        <v>_</v>
      </c>
      <c r="BH951" s="44"/>
      <c r="BI951" s="45" t="s">
        <v>16</v>
      </c>
      <c r="BJ951" s="46" t="str">
        <f>IF(VLOOKUP(BI951,βοηθητικό!$J$2:$N$354,3,FALSE)="","",VLOOKUP(BI951,βοηθητικό!$J$2:$N$354,3,FALSE))</f>
        <v>_</v>
      </c>
      <c r="BK951" s="47"/>
      <c r="BL951" s="42" t="s">
        <v>16</v>
      </c>
      <c r="BM951" s="43" t="str">
        <f>IF(VLOOKUP(BL951,βοηθητικό!$J$2:$N$354,3,FALSE)="","",VLOOKUP(BL951,βοηθητικό!$J$2:$N$354,3,FALSE))</f>
        <v>_</v>
      </c>
      <c r="BN951" s="44"/>
      <c r="BO951" s="45" t="s">
        <v>16</v>
      </c>
      <c r="BP951" s="46" t="str">
        <f>IF(VLOOKUP(BO951,βοηθητικό!$J$2:$N$354,3,FALSE)="","",VLOOKUP(BO951,βοηθητικό!$J$2:$N$354,3,FALSE))</f>
        <v>_</v>
      </c>
      <c r="BQ951" s="47"/>
      <c r="BR951" s="42" t="s">
        <v>16</v>
      </c>
      <c r="BS951" s="43" t="str">
        <f>IF(VLOOKUP(BR951,βοηθητικό!$J$2:$N$354,3,FALSE)="","",VLOOKUP(BR951,βοηθητικό!$J$2:$N$354,3,FALSE))</f>
        <v>_</v>
      </c>
      <c r="BT951" s="44"/>
      <c r="BU951" s="45" t="s">
        <v>16</v>
      </c>
      <c r="BV951" s="46" t="str">
        <f>IF(VLOOKUP(BU951,βοηθητικό!$J$2:$N$354,3,FALSE)="","",VLOOKUP(BU951,βοηθητικό!$J$2:$N$354,3,FALSE))</f>
        <v>_</v>
      </c>
      <c r="BW951" s="47"/>
      <c r="BX951" s="42" t="s">
        <v>16</v>
      </c>
      <c r="BY951" s="43" t="str">
        <f>IF(VLOOKUP(BX951,βοηθητικό!$J$2:$N$354,3,FALSE)="","",VLOOKUP(BX951,βοηθητικό!$J$2:$N$354,3,FALSE))</f>
        <v>_</v>
      </c>
      <c r="BZ951" s="44"/>
      <c r="CA951" s="45" t="s">
        <v>16</v>
      </c>
      <c r="CB951" s="46" t="str">
        <f>IF(VLOOKUP(CA951,βοηθητικό!$J$2:$N$354,3,FALSE)="","",VLOOKUP(CA951,βοηθητικό!$J$2:$N$354,3,FALSE))</f>
        <v>_</v>
      </c>
      <c r="CC951" s="47"/>
      <c r="CD951" s="42" t="s">
        <v>16</v>
      </c>
      <c r="CE951" s="43" t="str">
        <f>IF(VLOOKUP(CD951,βοηθητικό!$J$2:$N$354,3,FALSE)="","",VLOOKUP(CD951,βοηθητικό!$J$2:$N$354,3,FALSE))</f>
        <v>_</v>
      </c>
      <c r="CF951" s="44"/>
      <c r="CG951" s="45" t="s">
        <v>16</v>
      </c>
      <c r="CH951" s="46" t="str">
        <f>IF(VLOOKUP(CG951,βοηθητικό!$J$2:$N$354,3,FALSE)="","",VLOOKUP(CG951,βοηθητικό!$J$2:$N$354,3,FALSE))</f>
        <v>_</v>
      </c>
      <c r="CI951" s="47"/>
      <c r="CJ951" s="42" t="s">
        <v>16</v>
      </c>
      <c r="CK951" s="43" t="str">
        <f>IF(VLOOKUP(CJ951,βοηθητικό!$J$2:$N$354,3,FALSE)="","",VLOOKUP(CJ951,βοηθητικό!$J$2:$N$354,3,FALSE))</f>
        <v>_</v>
      </c>
      <c r="CL951" s="44"/>
      <c r="CM951" s="45" t="s">
        <v>16</v>
      </c>
      <c r="CN951" s="46" t="str">
        <f>IF(VLOOKUP(CM951,βοηθητικό!$J$2:$N$354,3,FALSE)="","",VLOOKUP(CM951,βοηθητικό!$J$2:$N$354,3,FALSE))</f>
        <v>_</v>
      </c>
      <c r="CO951" s="47"/>
      <c r="CP951" s="42" t="s">
        <v>16</v>
      </c>
      <c r="CQ951" s="43" t="str">
        <f>IF(VLOOKUP(CP951,βοηθητικό!$J$2:$N$354,3,FALSE)="","",VLOOKUP(CP951,βοηθητικό!$J$2:$N$354,3,FALSE))</f>
        <v>_</v>
      </c>
      <c r="CR951" s="44"/>
      <c r="CS951" s="45" t="s">
        <v>16</v>
      </c>
      <c r="CT951" s="46" t="str">
        <f>IF(VLOOKUP(CS951,βοηθητικό!$J$2:$N$354,3,FALSE)="","",VLOOKUP(CS951,βοηθητικό!$J$2:$N$354,3,FALSE))</f>
        <v>_</v>
      </c>
      <c r="CU951" s="47"/>
    </row>
    <row r="952" spans="1:99" x14ac:dyDescent="0.25">
      <c r="A952" s="37">
        <f>--SUBTOTAL(3,$B$3:B951)</f>
        <v>198</v>
      </c>
      <c r="B952" s="2"/>
      <c r="C952" s="3"/>
      <c r="D952" s="55" t="s">
        <v>18</v>
      </c>
      <c r="E952" s="38" t="s">
        <v>16</v>
      </c>
      <c r="F952" s="38"/>
      <c r="G952" s="39" t="str">
        <f t="shared" si="44"/>
        <v>__</v>
      </c>
      <c r="H952" s="40" t="str">
        <f t="shared" si="45"/>
        <v>FALSE</v>
      </c>
      <c r="I952" s="41">
        <f t="shared" si="46"/>
        <v>0</v>
      </c>
      <c r="J952" s="4" t="s">
        <v>16</v>
      </c>
      <c r="K952" s="43" t="str">
        <f>IF(VLOOKUP(J952,βοηθητικό!$J$2:$N$354,3,FALSE)="","",VLOOKUP(J952,βοηθητικό!$J$2:$N$354,3,FALSE))</f>
        <v>_</v>
      </c>
      <c r="L952" s="44"/>
      <c r="M952" s="5" t="s">
        <v>16</v>
      </c>
      <c r="N952" s="46" t="str">
        <f>IF(VLOOKUP(M952,βοηθητικό!$J$2:$N$354,3,FALSE)="","",VLOOKUP(M952,βοηθητικό!$J$2:$N$354,3,FALSE))</f>
        <v>_</v>
      </c>
      <c r="O952" s="47"/>
      <c r="P952" s="4" t="s">
        <v>16</v>
      </c>
      <c r="Q952" s="43" t="str">
        <f>IF(VLOOKUP(P952,βοηθητικό!$J$2:$N$354,3,FALSE)="","",VLOOKUP(P952,βοηθητικό!$J$2:$N$354,3,FALSE))</f>
        <v>_</v>
      </c>
      <c r="R952" s="44"/>
      <c r="S952" s="5" t="s">
        <v>16</v>
      </c>
      <c r="T952" s="46" t="str">
        <f>IF(VLOOKUP(S952,βοηθητικό!$J$2:$N$354,3,FALSE)="","",VLOOKUP(S952,βοηθητικό!$J$2:$N$354,3,FALSE))</f>
        <v>_</v>
      </c>
      <c r="U952" s="47"/>
      <c r="V952" s="4" t="s">
        <v>16</v>
      </c>
      <c r="W952" s="43" t="str">
        <f>IF(VLOOKUP(V952,βοηθητικό!$J$2:$N$354,3,FALSE)="","",VLOOKUP(V952,βοηθητικό!$J$2:$N$354,3,FALSE))</f>
        <v>_</v>
      </c>
      <c r="X952" s="44"/>
      <c r="Y952" s="5" t="s">
        <v>16</v>
      </c>
      <c r="Z952" s="46" t="str">
        <f>IF(VLOOKUP(Y952,βοηθητικό!$J$2:$N$354,3,FALSE)="","",VLOOKUP(Y952,βοηθητικό!$J$2:$N$354,3,FALSE))</f>
        <v>_</v>
      </c>
      <c r="AA952" s="47"/>
      <c r="AB952" s="4" t="s">
        <v>16</v>
      </c>
      <c r="AC952" s="43" t="str">
        <f>IF(VLOOKUP(AB952,βοηθητικό!$J$2:$N$354,3,FALSE)="","",VLOOKUP(AB952,βοηθητικό!$J$2:$N$354,3,FALSE))</f>
        <v>_</v>
      </c>
      <c r="AD952" s="44"/>
      <c r="AE952" s="5" t="s">
        <v>16</v>
      </c>
      <c r="AF952" s="46" t="str">
        <f>IF(VLOOKUP(AE952,βοηθητικό!$J$2:$N$354,3,FALSE)="","",VLOOKUP(AE952,βοηθητικό!$J$2:$N$354,3,FALSE))</f>
        <v>_</v>
      </c>
      <c r="AG952" s="47"/>
      <c r="AH952" s="4" t="s">
        <v>16</v>
      </c>
      <c r="AI952" s="43" t="str">
        <f>IF(VLOOKUP(AH952,βοηθητικό!$J$2:$N$354,3,FALSE)="","",VLOOKUP(AH952,βοηθητικό!$J$2:$N$354,3,FALSE))</f>
        <v>_</v>
      </c>
      <c r="AJ952" s="44"/>
      <c r="AK952" s="5" t="s">
        <v>16</v>
      </c>
      <c r="AL952" s="46" t="str">
        <f>IF(VLOOKUP(AK952,βοηθητικό!$J$2:$N$354,3,FALSE)="","",VLOOKUP(AK952,βοηθητικό!$J$2:$N$354,3,FALSE))</f>
        <v>_</v>
      </c>
      <c r="AM952" s="47"/>
      <c r="AN952" s="4" t="s">
        <v>16</v>
      </c>
      <c r="AO952" s="43" t="str">
        <f>IF(VLOOKUP(AN952,βοηθητικό!$J$2:$N$354,3,FALSE)="","",VLOOKUP(AN952,βοηθητικό!$J$2:$N$354,3,FALSE))</f>
        <v>_</v>
      </c>
      <c r="AP952" s="44"/>
      <c r="AQ952" s="5" t="s">
        <v>16</v>
      </c>
      <c r="AR952" s="46" t="str">
        <f>IF(VLOOKUP(AQ952,βοηθητικό!$J$2:$N$354,3,FALSE)="","",VLOOKUP(AQ952,βοηθητικό!$J$2:$N$354,3,FALSE))</f>
        <v>_</v>
      </c>
      <c r="AS952" s="47"/>
      <c r="AT952" s="4" t="s">
        <v>16</v>
      </c>
      <c r="AU952" s="43" t="str">
        <f>IF(VLOOKUP(AT952,βοηθητικό!$J$2:$N$354,3,FALSE)="","",VLOOKUP(AT952,βοηθητικό!$J$2:$N$354,3,FALSE))</f>
        <v>_</v>
      </c>
      <c r="AV952" s="44"/>
      <c r="AW952" s="5" t="s">
        <v>16</v>
      </c>
      <c r="AX952" s="46" t="str">
        <f>IF(VLOOKUP(AW952,βοηθητικό!$J$2:$N$354,3,FALSE)="","",VLOOKUP(AW952,βοηθητικό!$J$2:$N$354,3,FALSE))</f>
        <v>_</v>
      </c>
      <c r="AY952" s="47"/>
      <c r="AZ952" s="4" t="s">
        <v>16</v>
      </c>
      <c r="BA952" s="43" t="str">
        <f>IF(VLOOKUP(AZ952,βοηθητικό!$J$2:$N$354,3,FALSE)="","",VLOOKUP(AZ952,βοηθητικό!$J$2:$N$354,3,FALSE))</f>
        <v>_</v>
      </c>
      <c r="BB952" s="44"/>
      <c r="BC952" s="45" t="s">
        <v>16</v>
      </c>
      <c r="BD952" s="46" t="str">
        <f>IF(VLOOKUP(BC952,βοηθητικό!$J$2:$N$354,3,FALSE)="","",VLOOKUP(BC952,βοηθητικό!$J$2:$N$354,3,FALSE))</f>
        <v>_</v>
      </c>
      <c r="BE952" s="47"/>
      <c r="BF952" s="42" t="s">
        <v>16</v>
      </c>
      <c r="BG952" s="43" t="str">
        <f>IF(VLOOKUP(BF952,βοηθητικό!$J$2:$N$354,3,FALSE)="","",VLOOKUP(BF952,βοηθητικό!$J$2:$N$354,3,FALSE))</f>
        <v>_</v>
      </c>
      <c r="BH952" s="44"/>
      <c r="BI952" s="45" t="s">
        <v>16</v>
      </c>
      <c r="BJ952" s="46" t="str">
        <f>IF(VLOOKUP(BI952,βοηθητικό!$J$2:$N$354,3,FALSE)="","",VLOOKUP(BI952,βοηθητικό!$J$2:$N$354,3,FALSE))</f>
        <v>_</v>
      </c>
      <c r="BK952" s="47"/>
      <c r="BL952" s="42" t="s">
        <v>16</v>
      </c>
      <c r="BM952" s="43" t="str">
        <f>IF(VLOOKUP(BL952,βοηθητικό!$J$2:$N$354,3,FALSE)="","",VLOOKUP(BL952,βοηθητικό!$J$2:$N$354,3,FALSE))</f>
        <v>_</v>
      </c>
      <c r="BN952" s="44"/>
      <c r="BO952" s="45" t="s">
        <v>16</v>
      </c>
      <c r="BP952" s="46" t="str">
        <f>IF(VLOOKUP(BO952,βοηθητικό!$J$2:$N$354,3,FALSE)="","",VLOOKUP(BO952,βοηθητικό!$J$2:$N$354,3,FALSE))</f>
        <v>_</v>
      </c>
      <c r="BQ952" s="47"/>
      <c r="BR952" s="42" t="s">
        <v>16</v>
      </c>
      <c r="BS952" s="43" t="str">
        <f>IF(VLOOKUP(BR952,βοηθητικό!$J$2:$N$354,3,FALSE)="","",VLOOKUP(BR952,βοηθητικό!$J$2:$N$354,3,FALSE))</f>
        <v>_</v>
      </c>
      <c r="BT952" s="44"/>
      <c r="BU952" s="45" t="s">
        <v>16</v>
      </c>
      <c r="BV952" s="46" t="str">
        <f>IF(VLOOKUP(BU952,βοηθητικό!$J$2:$N$354,3,FALSE)="","",VLOOKUP(BU952,βοηθητικό!$J$2:$N$354,3,FALSE))</f>
        <v>_</v>
      </c>
      <c r="BW952" s="47"/>
      <c r="BX952" s="42" t="s">
        <v>16</v>
      </c>
      <c r="BY952" s="43" t="str">
        <f>IF(VLOOKUP(BX952,βοηθητικό!$J$2:$N$354,3,FALSE)="","",VLOOKUP(BX952,βοηθητικό!$J$2:$N$354,3,FALSE))</f>
        <v>_</v>
      </c>
      <c r="BZ952" s="44"/>
      <c r="CA952" s="45" t="s">
        <v>16</v>
      </c>
      <c r="CB952" s="46" t="str">
        <f>IF(VLOOKUP(CA952,βοηθητικό!$J$2:$N$354,3,FALSE)="","",VLOOKUP(CA952,βοηθητικό!$J$2:$N$354,3,FALSE))</f>
        <v>_</v>
      </c>
      <c r="CC952" s="47"/>
      <c r="CD952" s="42" t="s">
        <v>16</v>
      </c>
      <c r="CE952" s="43" t="str">
        <f>IF(VLOOKUP(CD952,βοηθητικό!$J$2:$N$354,3,FALSE)="","",VLOOKUP(CD952,βοηθητικό!$J$2:$N$354,3,FALSE))</f>
        <v>_</v>
      </c>
      <c r="CF952" s="44"/>
      <c r="CG952" s="45" t="s">
        <v>16</v>
      </c>
      <c r="CH952" s="46" t="str">
        <f>IF(VLOOKUP(CG952,βοηθητικό!$J$2:$N$354,3,FALSE)="","",VLOOKUP(CG952,βοηθητικό!$J$2:$N$354,3,FALSE))</f>
        <v>_</v>
      </c>
      <c r="CI952" s="47"/>
      <c r="CJ952" s="42" t="s">
        <v>16</v>
      </c>
      <c r="CK952" s="43" t="str">
        <f>IF(VLOOKUP(CJ952,βοηθητικό!$J$2:$N$354,3,FALSE)="","",VLOOKUP(CJ952,βοηθητικό!$J$2:$N$354,3,FALSE))</f>
        <v>_</v>
      </c>
      <c r="CL952" s="44"/>
      <c r="CM952" s="45" t="s">
        <v>16</v>
      </c>
      <c r="CN952" s="46" t="str">
        <f>IF(VLOOKUP(CM952,βοηθητικό!$J$2:$N$354,3,FALSE)="","",VLOOKUP(CM952,βοηθητικό!$J$2:$N$354,3,FALSE))</f>
        <v>_</v>
      </c>
      <c r="CO952" s="47"/>
      <c r="CP952" s="42" t="s">
        <v>16</v>
      </c>
      <c r="CQ952" s="43" t="str">
        <f>IF(VLOOKUP(CP952,βοηθητικό!$J$2:$N$354,3,FALSE)="","",VLOOKUP(CP952,βοηθητικό!$J$2:$N$354,3,FALSE))</f>
        <v>_</v>
      </c>
      <c r="CR952" s="44"/>
      <c r="CS952" s="45" t="s">
        <v>16</v>
      </c>
      <c r="CT952" s="46" t="str">
        <f>IF(VLOOKUP(CS952,βοηθητικό!$J$2:$N$354,3,FALSE)="","",VLOOKUP(CS952,βοηθητικό!$J$2:$N$354,3,FALSE))</f>
        <v>_</v>
      </c>
      <c r="CU952" s="47"/>
    </row>
    <row r="953" spans="1:99" x14ac:dyDescent="0.25">
      <c r="A953" s="37">
        <f>--SUBTOTAL(3,$B$3:B952)</f>
        <v>198</v>
      </c>
      <c r="B953" s="2"/>
      <c r="C953" s="3"/>
      <c r="D953" s="55" t="s">
        <v>18</v>
      </c>
      <c r="E953" s="38" t="s">
        <v>16</v>
      </c>
      <c r="F953" s="38"/>
      <c r="G953" s="39" t="str">
        <f t="shared" si="44"/>
        <v>__</v>
      </c>
      <c r="H953" s="40" t="str">
        <f t="shared" si="45"/>
        <v>FALSE</v>
      </c>
      <c r="I953" s="41">
        <f t="shared" si="46"/>
        <v>0</v>
      </c>
      <c r="J953" s="4" t="s">
        <v>16</v>
      </c>
      <c r="K953" s="43" t="str">
        <f>IF(VLOOKUP(J953,βοηθητικό!$J$2:$N$354,3,FALSE)="","",VLOOKUP(J953,βοηθητικό!$J$2:$N$354,3,FALSE))</f>
        <v>_</v>
      </c>
      <c r="L953" s="44"/>
      <c r="M953" s="5" t="s">
        <v>16</v>
      </c>
      <c r="N953" s="46" t="str">
        <f>IF(VLOOKUP(M953,βοηθητικό!$J$2:$N$354,3,FALSE)="","",VLOOKUP(M953,βοηθητικό!$J$2:$N$354,3,FALSE))</f>
        <v>_</v>
      </c>
      <c r="O953" s="47"/>
      <c r="P953" s="4" t="s">
        <v>16</v>
      </c>
      <c r="Q953" s="43" t="str">
        <f>IF(VLOOKUP(P953,βοηθητικό!$J$2:$N$354,3,FALSE)="","",VLOOKUP(P953,βοηθητικό!$J$2:$N$354,3,FALSE))</f>
        <v>_</v>
      </c>
      <c r="R953" s="44"/>
      <c r="S953" s="5" t="s">
        <v>16</v>
      </c>
      <c r="T953" s="46" t="str">
        <f>IF(VLOOKUP(S953,βοηθητικό!$J$2:$N$354,3,FALSE)="","",VLOOKUP(S953,βοηθητικό!$J$2:$N$354,3,FALSE))</f>
        <v>_</v>
      </c>
      <c r="U953" s="47"/>
      <c r="V953" s="4" t="s">
        <v>16</v>
      </c>
      <c r="W953" s="43" t="str">
        <f>IF(VLOOKUP(V953,βοηθητικό!$J$2:$N$354,3,FALSE)="","",VLOOKUP(V953,βοηθητικό!$J$2:$N$354,3,FALSE))</f>
        <v>_</v>
      </c>
      <c r="X953" s="44"/>
      <c r="Y953" s="5" t="s">
        <v>16</v>
      </c>
      <c r="Z953" s="46" t="str">
        <f>IF(VLOOKUP(Y953,βοηθητικό!$J$2:$N$354,3,FALSE)="","",VLOOKUP(Y953,βοηθητικό!$J$2:$N$354,3,FALSE))</f>
        <v>_</v>
      </c>
      <c r="AA953" s="47"/>
      <c r="AB953" s="4" t="s">
        <v>16</v>
      </c>
      <c r="AC953" s="43" t="str">
        <f>IF(VLOOKUP(AB953,βοηθητικό!$J$2:$N$354,3,FALSE)="","",VLOOKUP(AB953,βοηθητικό!$J$2:$N$354,3,FALSE))</f>
        <v>_</v>
      </c>
      <c r="AD953" s="44"/>
      <c r="AE953" s="5" t="s">
        <v>16</v>
      </c>
      <c r="AF953" s="46" t="str">
        <f>IF(VLOOKUP(AE953,βοηθητικό!$J$2:$N$354,3,FALSE)="","",VLOOKUP(AE953,βοηθητικό!$J$2:$N$354,3,FALSE))</f>
        <v>_</v>
      </c>
      <c r="AG953" s="47"/>
      <c r="AH953" s="4" t="s">
        <v>16</v>
      </c>
      <c r="AI953" s="43" t="str">
        <f>IF(VLOOKUP(AH953,βοηθητικό!$J$2:$N$354,3,FALSE)="","",VLOOKUP(AH953,βοηθητικό!$J$2:$N$354,3,FALSE))</f>
        <v>_</v>
      </c>
      <c r="AJ953" s="44"/>
      <c r="AK953" s="5" t="s">
        <v>16</v>
      </c>
      <c r="AL953" s="46" t="str">
        <f>IF(VLOOKUP(AK953,βοηθητικό!$J$2:$N$354,3,FALSE)="","",VLOOKUP(AK953,βοηθητικό!$J$2:$N$354,3,FALSE))</f>
        <v>_</v>
      </c>
      <c r="AM953" s="47"/>
      <c r="AN953" s="4" t="s">
        <v>16</v>
      </c>
      <c r="AO953" s="43" t="str">
        <f>IF(VLOOKUP(AN953,βοηθητικό!$J$2:$N$354,3,FALSE)="","",VLOOKUP(AN953,βοηθητικό!$J$2:$N$354,3,FALSE))</f>
        <v>_</v>
      </c>
      <c r="AP953" s="44"/>
      <c r="AQ953" s="5" t="s">
        <v>16</v>
      </c>
      <c r="AR953" s="46" t="str">
        <f>IF(VLOOKUP(AQ953,βοηθητικό!$J$2:$N$354,3,FALSE)="","",VLOOKUP(AQ953,βοηθητικό!$J$2:$N$354,3,FALSE))</f>
        <v>_</v>
      </c>
      <c r="AS953" s="47"/>
      <c r="AT953" s="4" t="s">
        <v>16</v>
      </c>
      <c r="AU953" s="43" t="str">
        <f>IF(VLOOKUP(AT953,βοηθητικό!$J$2:$N$354,3,FALSE)="","",VLOOKUP(AT953,βοηθητικό!$J$2:$N$354,3,FALSE))</f>
        <v>_</v>
      </c>
      <c r="AV953" s="44"/>
      <c r="AW953" s="5" t="s">
        <v>16</v>
      </c>
      <c r="AX953" s="46" t="str">
        <f>IF(VLOOKUP(AW953,βοηθητικό!$J$2:$N$354,3,FALSE)="","",VLOOKUP(AW953,βοηθητικό!$J$2:$N$354,3,FALSE))</f>
        <v>_</v>
      </c>
      <c r="AY953" s="47"/>
      <c r="AZ953" s="4" t="s">
        <v>16</v>
      </c>
      <c r="BA953" s="43" t="str">
        <f>IF(VLOOKUP(AZ953,βοηθητικό!$J$2:$N$354,3,FALSE)="","",VLOOKUP(AZ953,βοηθητικό!$J$2:$N$354,3,FALSE))</f>
        <v>_</v>
      </c>
      <c r="BB953" s="44"/>
      <c r="BC953" s="45" t="s">
        <v>16</v>
      </c>
      <c r="BD953" s="46" t="str">
        <f>IF(VLOOKUP(BC953,βοηθητικό!$J$2:$N$354,3,FALSE)="","",VLOOKUP(BC953,βοηθητικό!$J$2:$N$354,3,FALSE))</f>
        <v>_</v>
      </c>
      <c r="BE953" s="47"/>
      <c r="BF953" s="42" t="s">
        <v>16</v>
      </c>
      <c r="BG953" s="43" t="str">
        <f>IF(VLOOKUP(BF953,βοηθητικό!$J$2:$N$354,3,FALSE)="","",VLOOKUP(BF953,βοηθητικό!$J$2:$N$354,3,FALSE))</f>
        <v>_</v>
      </c>
      <c r="BH953" s="44"/>
      <c r="BI953" s="45" t="s">
        <v>16</v>
      </c>
      <c r="BJ953" s="46" t="str">
        <f>IF(VLOOKUP(BI953,βοηθητικό!$J$2:$N$354,3,FALSE)="","",VLOOKUP(BI953,βοηθητικό!$J$2:$N$354,3,FALSE))</f>
        <v>_</v>
      </c>
      <c r="BK953" s="47"/>
      <c r="BL953" s="42" t="s">
        <v>16</v>
      </c>
      <c r="BM953" s="43" t="str">
        <f>IF(VLOOKUP(BL953,βοηθητικό!$J$2:$N$354,3,FALSE)="","",VLOOKUP(BL953,βοηθητικό!$J$2:$N$354,3,FALSE))</f>
        <v>_</v>
      </c>
      <c r="BN953" s="44"/>
      <c r="BO953" s="45" t="s">
        <v>16</v>
      </c>
      <c r="BP953" s="46" t="str">
        <f>IF(VLOOKUP(BO953,βοηθητικό!$J$2:$N$354,3,FALSE)="","",VLOOKUP(BO953,βοηθητικό!$J$2:$N$354,3,FALSE))</f>
        <v>_</v>
      </c>
      <c r="BQ953" s="47"/>
      <c r="BR953" s="42" t="s">
        <v>16</v>
      </c>
      <c r="BS953" s="43" t="str">
        <f>IF(VLOOKUP(BR953,βοηθητικό!$J$2:$N$354,3,FALSE)="","",VLOOKUP(BR953,βοηθητικό!$J$2:$N$354,3,FALSE))</f>
        <v>_</v>
      </c>
      <c r="BT953" s="44"/>
      <c r="BU953" s="45" t="s">
        <v>16</v>
      </c>
      <c r="BV953" s="46" t="str">
        <f>IF(VLOOKUP(BU953,βοηθητικό!$J$2:$N$354,3,FALSE)="","",VLOOKUP(BU953,βοηθητικό!$J$2:$N$354,3,FALSE))</f>
        <v>_</v>
      </c>
      <c r="BW953" s="47"/>
      <c r="BX953" s="42" t="s">
        <v>16</v>
      </c>
      <c r="BY953" s="43" t="str">
        <f>IF(VLOOKUP(BX953,βοηθητικό!$J$2:$N$354,3,FALSE)="","",VLOOKUP(BX953,βοηθητικό!$J$2:$N$354,3,FALSE))</f>
        <v>_</v>
      </c>
      <c r="BZ953" s="44"/>
      <c r="CA953" s="45" t="s">
        <v>16</v>
      </c>
      <c r="CB953" s="46" t="str">
        <f>IF(VLOOKUP(CA953,βοηθητικό!$J$2:$N$354,3,FALSE)="","",VLOOKUP(CA953,βοηθητικό!$J$2:$N$354,3,FALSE))</f>
        <v>_</v>
      </c>
      <c r="CC953" s="47"/>
      <c r="CD953" s="42" t="s">
        <v>16</v>
      </c>
      <c r="CE953" s="43" t="str">
        <f>IF(VLOOKUP(CD953,βοηθητικό!$J$2:$N$354,3,FALSE)="","",VLOOKUP(CD953,βοηθητικό!$J$2:$N$354,3,FALSE))</f>
        <v>_</v>
      </c>
      <c r="CF953" s="44"/>
      <c r="CG953" s="45" t="s">
        <v>16</v>
      </c>
      <c r="CH953" s="46" t="str">
        <f>IF(VLOOKUP(CG953,βοηθητικό!$J$2:$N$354,3,FALSE)="","",VLOOKUP(CG953,βοηθητικό!$J$2:$N$354,3,FALSE))</f>
        <v>_</v>
      </c>
      <c r="CI953" s="47"/>
      <c r="CJ953" s="42" t="s">
        <v>16</v>
      </c>
      <c r="CK953" s="43" t="str">
        <f>IF(VLOOKUP(CJ953,βοηθητικό!$J$2:$N$354,3,FALSE)="","",VLOOKUP(CJ953,βοηθητικό!$J$2:$N$354,3,FALSE))</f>
        <v>_</v>
      </c>
      <c r="CL953" s="44"/>
      <c r="CM953" s="45" t="s">
        <v>16</v>
      </c>
      <c r="CN953" s="46" t="str">
        <f>IF(VLOOKUP(CM953,βοηθητικό!$J$2:$N$354,3,FALSE)="","",VLOOKUP(CM953,βοηθητικό!$J$2:$N$354,3,FALSE))</f>
        <v>_</v>
      </c>
      <c r="CO953" s="47"/>
      <c r="CP953" s="42" t="s">
        <v>16</v>
      </c>
      <c r="CQ953" s="43" t="str">
        <f>IF(VLOOKUP(CP953,βοηθητικό!$J$2:$N$354,3,FALSE)="","",VLOOKUP(CP953,βοηθητικό!$J$2:$N$354,3,FALSE))</f>
        <v>_</v>
      </c>
      <c r="CR953" s="44"/>
      <c r="CS953" s="45" t="s">
        <v>16</v>
      </c>
      <c r="CT953" s="46" t="str">
        <f>IF(VLOOKUP(CS953,βοηθητικό!$J$2:$N$354,3,FALSE)="","",VLOOKUP(CS953,βοηθητικό!$J$2:$N$354,3,FALSE))</f>
        <v>_</v>
      </c>
      <c r="CU953" s="47"/>
    </row>
    <row r="954" spans="1:99" x14ac:dyDescent="0.25">
      <c r="A954" s="37">
        <f>--SUBTOTAL(3,$B$3:B953)</f>
        <v>198</v>
      </c>
      <c r="B954" s="2"/>
      <c r="C954" s="3"/>
      <c r="D954" s="55" t="s">
        <v>18</v>
      </c>
      <c r="E954" s="38" t="s">
        <v>16</v>
      </c>
      <c r="F954" s="38"/>
      <c r="G954" s="39" t="str">
        <f t="shared" si="44"/>
        <v>__</v>
      </c>
      <c r="H954" s="40" t="str">
        <f t="shared" si="45"/>
        <v>FALSE</v>
      </c>
      <c r="I954" s="41">
        <f t="shared" si="46"/>
        <v>0</v>
      </c>
      <c r="J954" s="4" t="s">
        <v>16</v>
      </c>
      <c r="K954" s="43" t="str">
        <f>IF(VLOOKUP(J954,βοηθητικό!$J$2:$N$354,3,FALSE)="","",VLOOKUP(J954,βοηθητικό!$J$2:$N$354,3,FALSE))</f>
        <v>_</v>
      </c>
      <c r="L954" s="44"/>
      <c r="M954" s="5" t="s">
        <v>16</v>
      </c>
      <c r="N954" s="46" t="str">
        <f>IF(VLOOKUP(M954,βοηθητικό!$J$2:$N$354,3,FALSE)="","",VLOOKUP(M954,βοηθητικό!$J$2:$N$354,3,FALSE))</f>
        <v>_</v>
      </c>
      <c r="O954" s="47"/>
      <c r="P954" s="4" t="s">
        <v>16</v>
      </c>
      <c r="Q954" s="43" t="str">
        <f>IF(VLOOKUP(P954,βοηθητικό!$J$2:$N$354,3,FALSE)="","",VLOOKUP(P954,βοηθητικό!$J$2:$N$354,3,FALSE))</f>
        <v>_</v>
      </c>
      <c r="R954" s="44"/>
      <c r="S954" s="5" t="s">
        <v>16</v>
      </c>
      <c r="T954" s="46" t="str">
        <f>IF(VLOOKUP(S954,βοηθητικό!$J$2:$N$354,3,FALSE)="","",VLOOKUP(S954,βοηθητικό!$J$2:$N$354,3,FALSE))</f>
        <v>_</v>
      </c>
      <c r="U954" s="47"/>
      <c r="V954" s="4" t="s">
        <v>16</v>
      </c>
      <c r="W954" s="43" t="str">
        <f>IF(VLOOKUP(V954,βοηθητικό!$J$2:$N$354,3,FALSE)="","",VLOOKUP(V954,βοηθητικό!$J$2:$N$354,3,FALSE))</f>
        <v>_</v>
      </c>
      <c r="X954" s="44"/>
      <c r="Y954" s="5" t="s">
        <v>16</v>
      </c>
      <c r="Z954" s="46" t="str">
        <f>IF(VLOOKUP(Y954,βοηθητικό!$J$2:$N$354,3,FALSE)="","",VLOOKUP(Y954,βοηθητικό!$J$2:$N$354,3,FALSE))</f>
        <v>_</v>
      </c>
      <c r="AA954" s="47"/>
      <c r="AB954" s="4" t="s">
        <v>16</v>
      </c>
      <c r="AC954" s="43" t="str">
        <f>IF(VLOOKUP(AB954,βοηθητικό!$J$2:$N$354,3,FALSE)="","",VLOOKUP(AB954,βοηθητικό!$J$2:$N$354,3,FALSE))</f>
        <v>_</v>
      </c>
      <c r="AD954" s="44"/>
      <c r="AE954" s="5" t="s">
        <v>16</v>
      </c>
      <c r="AF954" s="46" t="str">
        <f>IF(VLOOKUP(AE954,βοηθητικό!$J$2:$N$354,3,FALSE)="","",VLOOKUP(AE954,βοηθητικό!$J$2:$N$354,3,FALSE))</f>
        <v>_</v>
      </c>
      <c r="AG954" s="47"/>
      <c r="AH954" s="4" t="s">
        <v>16</v>
      </c>
      <c r="AI954" s="43" t="str">
        <f>IF(VLOOKUP(AH954,βοηθητικό!$J$2:$N$354,3,FALSE)="","",VLOOKUP(AH954,βοηθητικό!$J$2:$N$354,3,FALSE))</f>
        <v>_</v>
      </c>
      <c r="AJ954" s="44"/>
      <c r="AK954" s="5" t="s">
        <v>16</v>
      </c>
      <c r="AL954" s="46" t="str">
        <f>IF(VLOOKUP(AK954,βοηθητικό!$J$2:$N$354,3,FALSE)="","",VLOOKUP(AK954,βοηθητικό!$J$2:$N$354,3,FALSE))</f>
        <v>_</v>
      </c>
      <c r="AM954" s="47"/>
      <c r="AN954" s="4" t="s">
        <v>16</v>
      </c>
      <c r="AO954" s="43" t="str">
        <f>IF(VLOOKUP(AN954,βοηθητικό!$J$2:$N$354,3,FALSE)="","",VLOOKUP(AN954,βοηθητικό!$J$2:$N$354,3,FALSE))</f>
        <v>_</v>
      </c>
      <c r="AP954" s="44"/>
      <c r="AQ954" s="5" t="s">
        <v>16</v>
      </c>
      <c r="AR954" s="46" t="str">
        <f>IF(VLOOKUP(AQ954,βοηθητικό!$J$2:$N$354,3,FALSE)="","",VLOOKUP(AQ954,βοηθητικό!$J$2:$N$354,3,FALSE))</f>
        <v>_</v>
      </c>
      <c r="AS954" s="47"/>
      <c r="AT954" s="4" t="s">
        <v>16</v>
      </c>
      <c r="AU954" s="43" t="str">
        <f>IF(VLOOKUP(AT954,βοηθητικό!$J$2:$N$354,3,FALSE)="","",VLOOKUP(AT954,βοηθητικό!$J$2:$N$354,3,FALSE))</f>
        <v>_</v>
      </c>
      <c r="AV954" s="44"/>
      <c r="AW954" s="5" t="s">
        <v>16</v>
      </c>
      <c r="AX954" s="46" t="str">
        <f>IF(VLOOKUP(AW954,βοηθητικό!$J$2:$N$354,3,FALSE)="","",VLOOKUP(AW954,βοηθητικό!$J$2:$N$354,3,FALSE))</f>
        <v>_</v>
      </c>
      <c r="AY954" s="47"/>
      <c r="AZ954" s="4" t="s">
        <v>16</v>
      </c>
      <c r="BA954" s="43" t="str">
        <f>IF(VLOOKUP(AZ954,βοηθητικό!$J$2:$N$354,3,FALSE)="","",VLOOKUP(AZ954,βοηθητικό!$J$2:$N$354,3,FALSE))</f>
        <v>_</v>
      </c>
      <c r="BB954" s="44"/>
      <c r="BC954" s="45" t="s">
        <v>16</v>
      </c>
      <c r="BD954" s="46" t="str">
        <f>IF(VLOOKUP(BC954,βοηθητικό!$J$2:$N$354,3,FALSE)="","",VLOOKUP(BC954,βοηθητικό!$J$2:$N$354,3,FALSE))</f>
        <v>_</v>
      </c>
      <c r="BE954" s="47"/>
      <c r="BF954" s="42" t="s">
        <v>16</v>
      </c>
      <c r="BG954" s="43" t="str">
        <f>IF(VLOOKUP(BF954,βοηθητικό!$J$2:$N$354,3,FALSE)="","",VLOOKUP(BF954,βοηθητικό!$J$2:$N$354,3,FALSE))</f>
        <v>_</v>
      </c>
      <c r="BH954" s="44"/>
      <c r="BI954" s="45" t="s">
        <v>16</v>
      </c>
      <c r="BJ954" s="46" t="str">
        <f>IF(VLOOKUP(BI954,βοηθητικό!$J$2:$N$354,3,FALSE)="","",VLOOKUP(BI954,βοηθητικό!$J$2:$N$354,3,FALSE))</f>
        <v>_</v>
      </c>
      <c r="BK954" s="47"/>
      <c r="BL954" s="42" t="s">
        <v>16</v>
      </c>
      <c r="BM954" s="43" t="str">
        <f>IF(VLOOKUP(BL954,βοηθητικό!$J$2:$N$354,3,FALSE)="","",VLOOKUP(BL954,βοηθητικό!$J$2:$N$354,3,FALSE))</f>
        <v>_</v>
      </c>
      <c r="BN954" s="44"/>
      <c r="BO954" s="45" t="s">
        <v>16</v>
      </c>
      <c r="BP954" s="46" t="str">
        <f>IF(VLOOKUP(BO954,βοηθητικό!$J$2:$N$354,3,FALSE)="","",VLOOKUP(BO954,βοηθητικό!$J$2:$N$354,3,FALSE))</f>
        <v>_</v>
      </c>
      <c r="BQ954" s="47"/>
      <c r="BR954" s="42" t="s">
        <v>16</v>
      </c>
      <c r="BS954" s="43" t="str">
        <f>IF(VLOOKUP(BR954,βοηθητικό!$J$2:$N$354,3,FALSE)="","",VLOOKUP(BR954,βοηθητικό!$J$2:$N$354,3,FALSE))</f>
        <v>_</v>
      </c>
      <c r="BT954" s="44"/>
      <c r="BU954" s="45" t="s">
        <v>16</v>
      </c>
      <c r="BV954" s="46" t="str">
        <f>IF(VLOOKUP(BU954,βοηθητικό!$J$2:$N$354,3,FALSE)="","",VLOOKUP(BU954,βοηθητικό!$J$2:$N$354,3,FALSE))</f>
        <v>_</v>
      </c>
      <c r="BW954" s="47"/>
      <c r="BX954" s="42" t="s">
        <v>16</v>
      </c>
      <c r="BY954" s="43" t="str">
        <f>IF(VLOOKUP(BX954,βοηθητικό!$J$2:$N$354,3,FALSE)="","",VLOOKUP(BX954,βοηθητικό!$J$2:$N$354,3,FALSE))</f>
        <v>_</v>
      </c>
      <c r="BZ954" s="44"/>
      <c r="CA954" s="45" t="s">
        <v>16</v>
      </c>
      <c r="CB954" s="46" t="str">
        <f>IF(VLOOKUP(CA954,βοηθητικό!$J$2:$N$354,3,FALSE)="","",VLOOKUP(CA954,βοηθητικό!$J$2:$N$354,3,FALSE))</f>
        <v>_</v>
      </c>
      <c r="CC954" s="47"/>
      <c r="CD954" s="42" t="s">
        <v>16</v>
      </c>
      <c r="CE954" s="43" t="str">
        <f>IF(VLOOKUP(CD954,βοηθητικό!$J$2:$N$354,3,FALSE)="","",VLOOKUP(CD954,βοηθητικό!$J$2:$N$354,3,FALSE))</f>
        <v>_</v>
      </c>
      <c r="CF954" s="44"/>
      <c r="CG954" s="45" t="s">
        <v>16</v>
      </c>
      <c r="CH954" s="46" t="str">
        <f>IF(VLOOKUP(CG954,βοηθητικό!$J$2:$N$354,3,FALSE)="","",VLOOKUP(CG954,βοηθητικό!$J$2:$N$354,3,FALSE))</f>
        <v>_</v>
      </c>
      <c r="CI954" s="47"/>
      <c r="CJ954" s="42" t="s">
        <v>16</v>
      </c>
      <c r="CK954" s="43" t="str">
        <f>IF(VLOOKUP(CJ954,βοηθητικό!$J$2:$N$354,3,FALSE)="","",VLOOKUP(CJ954,βοηθητικό!$J$2:$N$354,3,FALSE))</f>
        <v>_</v>
      </c>
      <c r="CL954" s="44"/>
      <c r="CM954" s="45" t="s">
        <v>16</v>
      </c>
      <c r="CN954" s="46" t="str">
        <f>IF(VLOOKUP(CM954,βοηθητικό!$J$2:$N$354,3,FALSE)="","",VLOOKUP(CM954,βοηθητικό!$J$2:$N$354,3,FALSE))</f>
        <v>_</v>
      </c>
      <c r="CO954" s="47"/>
      <c r="CP954" s="42" t="s">
        <v>16</v>
      </c>
      <c r="CQ954" s="43" t="str">
        <f>IF(VLOOKUP(CP954,βοηθητικό!$J$2:$N$354,3,FALSE)="","",VLOOKUP(CP954,βοηθητικό!$J$2:$N$354,3,FALSE))</f>
        <v>_</v>
      </c>
      <c r="CR954" s="44"/>
      <c r="CS954" s="45" t="s">
        <v>16</v>
      </c>
      <c r="CT954" s="46" t="str">
        <f>IF(VLOOKUP(CS954,βοηθητικό!$J$2:$N$354,3,FALSE)="","",VLOOKUP(CS954,βοηθητικό!$J$2:$N$354,3,FALSE))</f>
        <v>_</v>
      </c>
      <c r="CU954" s="47"/>
    </row>
    <row r="955" spans="1:99" x14ac:dyDescent="0.25">
      <c r="A955" s="37">
        <f>--SUBTOTAL(3,$B$3:B954)</f>
        <v>198</v>
      </c>
      <c r="B955" s="2"/>
      <c r="C955" s="3"/>
      <c r="D955" s="55" t="s">
        <v>18</v>
      </c>
      <c r="E955" s="38" t="s">
        <v>16</v>
      </c>
      <c r="F955" s="38"/>
      <c r="G955" s="39" t="str">
        <f t="shared" si="44"/>
        <v>__</v>
      </c>
      <c r="H955" s="40" t="str">
        <f t="shared" si="45"/>
        <v>FALSE</v>
      </c>
      <c r="I955" s="41">
        <f t="shared" si="46"/>
        <v>0</v>
      </c>
      <c r="J955" s="4" t="s">
        <v>16</v>
      </c>
      <c r="K955" s="43" t="str">
        <f>IF(VLOOKUP(J955,βοηθητικό!$J$2:$N$354,3,FALSE)="","",VLOOKUP(J955,βοηθητικό!$J$2:$N$354,3,FALSE))</f>
        <v>_</v>
      </c>
      <c r="L955" s="44"/>
      <c r="M955" s="5" t="s">
        <v>16</v>
      </c>
      <c r="N955" s="46" t="str">
        <f>IF(VLOOKUP(M955,βοηθητικό!$J$2:$N$354,3,FALSE)="","",VLOOKUP(M955,βοηθητικό!$J$2:$N$354,3,FALSE))</f>
        <v>_</v>
      </c>
      <c r="O955" s="47"/>
      <c r="P955" s="4" t="s">
        <v>16</v>
      </c>
      <c r="Q955" s="43" t="str">
        <f>IF(VLOOKUP(P955,βοηθητικό!$J$2:$N$354,3,FALSE)="","",VLOOKUP(P955,βοηθητικό!$J$2:$N$354,3,FALSE))</f>
        <v>_</v>
      </c>
      <c r="R955" s="44"/>
      <c r="S955" s="5" t="s">
        <v>16</v>
      </c>
      <c r="T955" s="46" t="str">
        <f>IF(VLOOKUP(S955,βοηθητικό!$J$2:$N$354,3,FALSE)="","",VLOOKUP(S955,βοηθητικό!$J$2:$N$354,3,FALSE))</f>
        <v>_</v>
      </c>
      <c r="U955" s="47"/>
      <c r="V955" s="4" t="s">
        <v>16</v>
      </c>
      <c r="W955" s="43" t="str">
        <f>IF(VLOOKUP(V955,βοηθητικό!$J$2:$N$354,3,FALSE)="","",VLOOKUP(V955,βοηθητικό!$J$2:$N$354,3,FALSE))</f>
        <v>_</v>
      </c>
      <c r="X955" s="44"/>
      <c r="Y955" s="5" t="s">
        <v>16</v>
      </c>
      <c r="Z955" s="46" t="str">
        <f>IF(VLOOKUP(Y955,βοηθητικό!$J$2:$N$354,3,FALSE)="","",VLOOKUP(Y955,βοηθητικό!$J$2:$N$354,3,FALSE))</f>
        <v>_</v>
      </c>
      <c r="AA955" s="47"/>
      <c r="AB955" s="4" t="s">
        <v>16</v>
      </c>
      <c r="AC955" s="43" t="str">
        <f>IF(VLOOKUP(AB955,βοηθητικό!$J$2:$N$354,3,FALSE)="","",VLOOKUP(AB955,βοηθητικό!$J$2:$N$354,3,FALSE))</f>
        <v>_</v>
      </c>
      <c r="AD955" s="44"/>
      <c r="AE955" s="5" t="s">
        <v>16</v>
      </c>
      <c r="AF955" s="46" t="str">
        <f>IF(VLOOKUP(AE955,βοηθητικό!$J$2:$N$354,3,FALSE)="","",VLOOKUP(AE955,βοηθητικό!$J$2:$N$354,3,FALSE))</f>
        <v>_</v>
      </c>
      <c r="AG955" s="47"/>
      <c r="AH955" s="4" t="s">
        <v>16</v>
      </c>
      <c r="AI955" s="43" t="str">
        <f>IF(VLOOKUP(AH955,βοηθητικό!$J$2:$N$354,3,FALSE)="","",VLOOKUP(AH955,βοηθητικό!$J$2:$N$354,3,FALSE))</f>
        <v>_</v>
      </c>
      <c r="AJ955" s="44"/>
      <c r="AK955" s="5" t="s">
        <v>16</v>
      </c>
      <c r="AL955" s="46" t="str">
        <f>IF(VLOOKUP(AK955,βοηθητικό!$J$2:$N$354,3,FALSE)="","",VLOOKUP(AK955,βοηθητικό!$J$2:$N$354,3,FALSE))</f>
        <v>_</v>
      </c>
      <c r="AM955" s="47"/>
      <c r="AN955" s="4" t="s">
        <v>16</v>
      </c>
      <c r="AO955" s="43" t="str">
        <f>IF(VLOOKUP(AN955,βοηθητικό!$J$2:$N$354,3,FALSE)="","",VLOOKUP(AN955,βοηθητικό!$J$2:$N$354,3,FALSE))</f>
        <v>_</v>
      </c>
      <c r="AP955" s="44"/>
      <c r="AQ955" s="5" t="s">
        <v>16</v>
      </c>
      <c r="AR955" s="46" t="str">
        <f>IF(VLOOKUP(AQ955,βοηθητικό!$J$2:$N$354,3,FALSE)="","",VLOOKUP(AQ955,βοηθητικό!$J$2:$N$354,3,FALSE))</f>
        <v>_</v>
      </c>
      <c r="AS955" s="47"/>
      <c r="AT955" s="4" t="s">
        <v>16</v>
      </c>
      <c r="AU955" s="43" t="str">
        <f>IF(VLOOKUP(AT955,βοηθητικό!$J$2:$N$354,3,FALSE)="","",VLOOKUP(AT955,βοηθητικό!$J$2:$N$354,3,FALSE))</f>
        <v>_</v>
      </c>
      <c r="AV955" s="44"/>
      <c r="AW955" s="5" t="s">
        <v>16</v>
      </c>
      <c r="AX955" s="46" t="str">
        <f>IF(VLOOKUP(AW955,βοηθητικό!$J$2:$N$354,3,FALSE)="","",VLOOKUP(AW955,βοηθητικό!$J$2:$N$354,3,FALSE))</f>
        <v>_</v>
      </c>
      <c r="AY955" s="47"/>
      <c r="AZ955" s="4" t="s">
        <v>16</v>
      </c>
      <c r="BA955" s="43" t="str">
        <f>IF(VLOOKUP(AZ955,βοηθητικό!$J$2:$N$354,3,FALSE)="","",VLOOKUP(AZ955,βοηθητικό!$J$2:$N$354,3,FALSE))</f>
        <v>_</v>
      </c>
      <c r="BB955" s="44"/>
      <c r="BC955" s="45" t="s">
        <v>16</v>
      </c>
      <c r="BD955" s="46" t="str">
        <f>IF(VLOOKUP(BC955,βοηθητικό!$J$2:$N$354,3,FALSE)="","",VLOOKUP(BC955,βοηθητικό!$J$2:$N$354,3,FALSE))</f>
        <v>_</v>
      </c>
      <c r="BE955" s="47"/>
      <c r="BF955" s="42" t="s">
        <v>16</v>
      </c>
      <c r="BG955" s="43" t="str">
        <f>IF(VLOOKUP(BF955,βοηθητικό!$J$2:$N$354,3,FALSE)="","",VLOOKUP(BF955,βοηθητικό!$J$2:$N$354,3,FALSE))</f>
        <v>_</v>
      </c>
      <c r="BH955" s="44"/>
      <c r="BI955" s="45" t="s">
        <v>16</v>
      </c>
      <c r="BJ955" s="46" t="str">
        <f>IF(VLOOKUP(BI955,βοηθητικό!$J$2:$N$354,3,FALSE)="","",VLOOKUP(BI955,βοηθητικό!$J$2:$N$354,3,FALSE))</f>
        <v>_</v>
      </c>
      <c r="BK955" s="47"/>
      <c r="BL955" s="42" t="s">
        <v>16</v>
      </c>
      <c r="BM955" s="43" t="str">
        <f>IF(VLOOKUP(BL955,βοηθητικό!$J$2:$N$354,3,FALSE)="","",VLOOKUP(BL955,βοηθητικό!$J$2:$N$354,3,FALSE))</f>
        <v>_</v>
      </c>
      <c r="BN955" s="44"/>
      <c r="BO955" s="45" t="s">
        <v>16</v>
      </c>
      <c r="BP955" s="46" t="str">
        <f>IF(VLOOKUP(BO955,βοηθητικό!$J$2:$N$354,3,FALSE)="","",VLOOKUP(BO955,βοηθητικό!$J$2:$N$354,3,FALSE))</f>
        <v>_</v>
      </c>
      <c r="BQ955" s="47"/>
      <c r="BR955" s="42" t="s">
        <v>16</v>
      </c>
      <c r="BS955" s="43" t="str">
        <f>IF(VLOOKUP(BR955,βοηθητικό!$J$2:$N$354,3,FALSE)="","",VLOOKUP(BR955,βοηθητικό!$J$2:$N$354,3,FALSE))</f>
        <v>_</v>
      </c>
      <c r="BT955" s="44"/>
      <c r="BU955" s="45" t="s">
        <v>16</v>
      </c>
      <c r="BV955" s="46" t="str">
        <f>IF(VLOOKUP(BU955,βοηθητικό!$J$2:$N$354,3,FALSE)="","",VLOOKUP(BU955,βοηθητικό!$J$2:$N$354,3,FALSE))</f>
        <v>_</v>
      </c>
      <c r="BW955" s="47"/>
      <c r="BX955" s="42" t="s">
        <v>16</v>
      </c>
      <c r="BY955" s="43" t="str">
        <f>IF(VLOOKUP(BX955,βοηθητικό!$J$2:$N$354,3,FALSE)="","",VLOOKUP(BX955,βοηθητικό!$J$2:$N$354,3,FALSE))</f>
        <v>_</v>
      </c>
      <c r="BZ955" s="44"/>
      <c r="CA955" s="45" t="s">
        <v>16</v>
      </c>
      <c r="CB955" s="46" t="str">
        <f>IF(VLOOKUP(CA955,βοηθητικό!$J$2:$N$354,3,FALSE)="","",VLOOKUP(CA955,βοηθητικό!$J$2:$N$354,3,FALSE))</f>
        <v>_</v>
      </c>
      <c r="CC955" s="47"/>
      <c r="CD955" s="42" t="s">
        <v>16</v>
      </c>
      <c r="CE955" s="43" t="str">
        <f>IF(VLOOKUP(CD955,βοηθητικό!$J$2:$N$354,3,FALSE)="","",VLOOKUP(CD955,βοηθητικό!$J$2:$N$354,3,FALSE))</f>
        <v>_</v>
      </c>
      <c r="CF955" s="44"/>
      <c r="CG955" s="45" t="s">
        <v>16</v>
      </c>
      <c r="CH955" s="46" t="str">
        <f>IF(VLOOKUP(CG955,βοηθητικό!$J$2:$N$354,3,FALSE)="","",VLOOKUP(CG955,βοηθητικό!$J$2:$N$354,3,FALSE))</f>
        <v>_</v>
      </c>
      <c r="CI955" s="47"/>
      <c r="CJ955" s="42" t="s">
        <v>16</v>
      </c>
      <c r="CK955" s="43" t="str">
        <f>IF(VLOOKUP(CJ955,βοηθητικό!$J$2:$N$354,3,FALSE)="","",VLOOKUP(CJ955,βοηθητικό!$J$2:$N$354,3,FALSE))</f>
        <v>_</v>
      </c>
      <c r="CL955" s="44"/>
      <c r="CM955" s="45" t="s">
        <v>16</v>
      </c>
      <c r="CN955" s="46" t="str">
        <f>IF(VLOOKUP(CM955,βοηθητικό!$J$2:$N$354,3,FALSE)="","",VLOOKUP(CM955,βοηθητικό!$J$2:$N$354,3,FALSE))</f>
        <v>_</v>
      </c>
      <c r="CO955" s="47"/>
      <c r="CP955" s="42" t="s">
        <v>16</v>
      </c>
      <c r="CQ955" s="43" t="str">
        <f>IF(VLOOKUP(CP955,βοηθητικό!$J$2:$N$354,3,FALSE)="","",VLOOKUP(CP955,βοηθητικό!$J$2:$N$354,3,FALSE))</f>
        <v>_</v>
      </c>
      <c r="CR955" s="44"/>
      <c r="CS955" s="45" t="s">
        <v>16</v>
      </c>
      <c r="CT955" s="46" t="str">
        <f>IF(VLOOKUP(CS955,βοηθητικό!$J$2:$N$354,3,FALSE)="","",VLOOKUP(CS955,βοηθητικό!$J$2:$N$354,3,FALSE))</f>
        <v>_</v>
      </c>
      <c r="CU955" s="47"/>
    </row>
    <row r="956" spans="1:99" x14ac:dyDescent="0.25">
      <c r="A956" s="37">
        <f>--SUBTOTAL(3,$B$3:B955)</f>
        <v>198</v>
      </c>
      <c r="B956" s="2"/>
      <c r="C956" s="3"/>
      <c r="D956" s="55" t="s">
        <v>18</v>
      </c>
      <c r="E956" s="38" t="s">
        <v>16</v>
      </c>
      <c r="F956" s="38"/>
      <c r="G956" s="39" t="str">
        <f t="shared" si="44"/>
        <v>__</v>
      </c>
      <c r="H956" s="40" t="str">
        <f t="shared" si="45"/>
        <v>FALSE</v>
      </c>
      <c r="I956" s="41">
        <f t="shared" si="46"/>
        <v>0</v>
      </c>
      <c r="J956" s="4" t="s">
        <v>16</v>
      </c>
      <c r="K956" s="43" t="str">
        <f>IF(VLOOKUP(J956,βοηθητικό!$J$2:$N$354,3,FALSE)="","",VLOOKUP(J956,βοηθητικό!$J$2:$N$354,3,FALSE))</f>
        <v>_</v>
      </c>
      <c r="L956" s="44"/>
      <c r="M956" s="5" t="s">
        <v>16</v>
      </c>
      <c r="N956" s="46" t="str">
        <f>IF(VLOOKUP(M956,βοηθητικό!$J$2:$N$354,3,FALSE)="","",VLOOKUP(M956,βοηθητικό!$J$2:$N$354,3,FALSE))</f>
        <v>_</v>
      </c>
      <c r="O956" s="47"/>
      <c r="P956" s="4" t="s">
        <v>16</v>
      </c>
      <c r="Q956" s="43" t="str">
        <f>IF(VLOOKUP(P956,βοηθητικό!$J$2:$N$354,3,FALSE)="","",VLOOKUP(P956,βοηθητικό!$J$2:$N$354,3,FALSE))</f>
        <v>_</v>
      </c>
      <c r="R956" s="44"/>
      <c r="S956" s="5" t="s">
        <v>16</v>
      </c>
      <c r="T956" s="46" t="str">
        <f>IF(VLOOKUP(S956,βοηθητικό!$J$2:$N$354,3,FALSE)="","",VLOOKUP(S956,βοηθητικό!$J$2:$N$354,3,FALSE))</f>
        <v>_</v>
      </c>
      <c r="U956" s="47"/>
      <c r="V956" s="4" t="s">
        <v>16</v>
      </c>
      <c r="W956" s="43" t="str">
        <f>IF(VLOOKUP(V956,βοηθητικό!$J$2:$N$354,3,FALSE)="","",VLOOKUP(V956,βοηθητικό!$J$2:$N$354,3,FALSE))</f>
        <v>_</v>
      </c>
      <c r="X956" s="44"/>
      <c r="Y956" s="5" t="s">
        <v>16</v>
      </c>
      <c r="Z956" s="46" t="str">
        <f>IF(VLOOKUP(Y956,βοηθητικό!$J$2:$N$354,3,FALSE)="","",VLOOKUP(Y956,βοηθητικό!$J$2:$N$354,3,FALSE))</f>
        <v>_</v>
      </c>
      <c r="AA956" s="47"/>
      <c r="AB956" s="4" t="s">
        <v>16</v>
      </c>
      <c r="AC956" s="43" t="str">
        <f>IF(VLOOKUP(AB956,βοηθητικό!$J$2:$N$354,3,FALSE)="","",VLOOKUP(AB956,βοηθητικό!$J$2:$N$354,3,FALSE))</f>
        <v>_</v>
      </c>
      <c r="AD956" s="44"/>
      <c r="AE956" s="5" t="s">
        <v>16</v>
      </c>
      <c r="AF956" s="46" t="str">
        <f>IF(VLOOKUP(AE956,βοηθητικό!$J$2:$N$354,3,FALSE)="","",VLOOKUP(AE956,βοηθητικό!$J$2:$N$354,3,FALSE))</f>
        <v>_</v>
      </c>
      <c r="AG956" s="47"/>
      <c r="AH956" s="4" t="s">
        <v>16</v>
      </c>
      <c r="AI956" s="43" t="str">
        <f>IF(VLOOKUP(AH956,βοηθητικό!$J$2:$N$354,3,FALSE)="","",VLOOKUP(AH956,βοηθητικό!$J$2:$N$354,3,FALSE))</f>
        <v>_</v>
      </c>
      <c r="AJ956" s="44"/>
      <c r="AK956" s="5" t="s">
        <v>16</v>
      </c>
      <c r="AL956" s="46" t="str">
        <f>IF(VLOOKUP(AK956,βοηθητικό!$J$2:$N$354,3,FALSE)="","",VLOOKUP(AK956,βοηθητικό!$J$2:$N$354,3,FALSE))</f>
        <v>_</v>
      </c>
      <c r="AM956" s="47"/>
      <c r="AN956" s="4" t="s">
        <v>16</v>
      </c>
      <c r="AO956" s="43" t="str">
        <f>IF(VLOOKUP(AN956,βοηθητικό!$J$2:$N$354,3,FALSE)="","",VLOOKUP(AN956,βοηθητικό!$J$2:$N$354,3,FALSE))</f>
        <v>_</v>
      </c>
      <c r="AP956" s="44"/>
      <c r="AQ956" s="5" t="s">
        <v>16</v>
      </c>
      <c r="AR956" s="46" t="str">
        <f>IF(VLOOKUP(AQ956,βοηθητικό!$J$2:$N$354,3,FALSE)="","",VLOOKUP(AQ956,βοηθητικό!$J$2:$N$354,3,FALSE))</f>
        <v>_</v>
      </c>
      <c r="AS956" s="47"/>
      <c r="AT956" s="4" t="s">
        <v>16</v>
      </c>
      <c r="AU956" s="43" t="str">
        <f>IF(VLOOKUP(AT956,βοηθητικό!$J$2:$N$354,3,FALSE)="","",VLOOKUP(AT956,βοηθητικό!$J$2:$N$354,3,FALSE))</f>
        <v>_</v>
      </c>
      <c r="AV956" s="44"/>
      <c r="AW956" s="5" t="s">
        <v>16</v>
      </c>
      <c r="AX956" s="46" t="str">
        <f>IF(VLOOKUP(AW956,βοηθητικό!$J$2:$N$354,3,FALSE)="","",VLOOKUP(AW956,βοηθητικό!$J$2:$N$354,3,FALSE))</f>
        <v>_</v>
      </c>
      <c r="AY956" s="47"/>
      <c r="AZ956" s="4" t="s">
        <v>16</v>
      </c>
      <c r="BA956" s="43" t="str">
        <f>IF(VLOOKUP(AZ956,βοηθητικό!$J$2:$N$354,3,FALSE)="","",VLOOKUP(AZ956,βοηθητικό!$J$2:$N$354,3,FALSE))</f>
        <v>_</v>
      </c>
      <c r="BB956" s="44"/>
      <c r="BC956" s="45" t="s">
        <v>16</v>
      </c>
      <c r="BD956" s="46" t="str">
        <f>IF(VLOOKUP(BC956,βοηθητικό!$J$2:$N$354,3,FALSE)="","",VLOOKUP(BC956,βοηθητικό!$J$2:$N$354,3,FALSE))</f>
        <v>_</v>
      </c>
      <c r="BE956" s="47"/>
      <c r="BF956" s="42" t="s">
        <v>16</v>
      </c>
      <c r="BG956" s="43" t="str">
        <f>IF(VLOOKUP(BF956,βοηθητικό!$J$2:$N$354,3,FALSE)="","",VLOOKUP(BF956,βοηθητικό!$J$2:$N$354,3,FALSE))</f>
        <v>_</v>
      </c>
      <c r="BH956" s="44"/>
      <c r="BI956" s="45" t="s">
        <v>16</v>
      </c>
      <c r="BJ956" s="46" t="str">
        <f>IF(VLOOKUP(BI956,βοηθητικό!$J$2:$N$354,3,FALSE)="","",VLOOKUP(BI956,βοηθητικό!$J$2:$N$354,3,FALSE))</f>
        <v>_</v>
      </c>
      <c r="BK956" s="47"/>
      <c r="BL956" s="42" t="s">
        <v>16</v>
      </c>
      <c r="BM956" s="43" t="str">
        <f>IF(VLOOKUP(BL956,βοηθητικό!$J$2:$N$354,3,FALSE)="","",VLOOKUP(BL956,βοηθητικό!$J$2:$N$354,3,FALSE))</f>
        <v>_</v>
      </c>
      <c r="BN956" s="44"/>
      <c r="BO956" s="45" t="s">
        <v>16</v>
      </c>
      <c r="BP956" s="46" t="str">
        <f>IF(VLOOKUP(BO956,βοηθητικό!$J$2:$N$354,3,FALSE)="","",VLOOKUP(BO956,βοηθητικό!$J$2:$N$354,3,FALSE))</f>
        <v>_</v>
      </c>
      <c r="BQ956" s="47"/>
      <c r="BR956" s="42" t="s">
        <v>16</v>
      </c>
      <c r="BS956" s="43" t="str">
        <f>IF(VLOOKUP(BR956,βοηθητικό!$J$2:$N$354,3,FALSE)="","",VLOOKUP(BR956,βοηθητικό!$J$2:$N$354,3,FALSE))</f>
        <v>_</v>
      </c>
      <c r="BT956" s="44"/>
      <c r="BU956" s="45" t="s">
        <v>16</v>
      </c>
      <c r="BV956" s="46" t="str">
        <f>IF(VLOOKUP(BU956,βοηθητικό!$J$2:$N$354,3,FALSE)="","",VLOOKUP(BU956,βοηθητικό!$J$2:$N$354,3,FALSE))</f>
        <v>_</v>
      </c>
      <c r="BW956" s="47"/>
      <c r="BX956" s="42" t="s">
        <v>16</v>
      </c>
      <c r="BY956" s="43" t="str">
        <f>IF(VLOOKUP(BX956,βοηθητικό!$J$2:$N$354,3,FALSE)="","",VLOOKUP(BX956,βοηθητικό!$J$2:$N$354,3,FALSE))</f>
        <v>_</v>
      </c>
      <c r="BZ956" s="44"/>
      <c r="CA956" s="45" t="s">
        <v>16</v>
      </c>
      <c r="CB956" s="46" t="str">
        <f>IF(VLOOKUP(CA956,βοηθητικό!$J$2:$N$354,3,FALSE)="","",VLOOKUP(CA956,βοηθητικό!$J$2:$N$354,3,FALSE))</f>
        <v>_</v>
      </c>
      <c r="CC956" s="47"/>
      <c r="CD956" s="42" t="s">
        <v>16</v>
      </c>
      <c r="CE956" s="43" t="str">
        <f>IF(VLOOKUP(CD956,βοηθητικό!$J$2:$N$354,3,FALSE)="","",VLOOKUP(CD956,βοηθητικό!$J$2:$N$354,3,FALSE))</f>
        <v>_</v>
      </c>
      <c r="CF956" s="44"/>
      <c r="CG956" s="45" t="s">
        <v>16</v>
      </c>
      <c r="CH956" s="46" t="str">
        <f>IF(VLOOKUP(CG956,βοηθητικό!$J$2:$N$354,3,FALSE)="","",VLOOKUP(CG956,βοηθητικό!$J$2:$N$354,3,FALSE))</f>
        <v>_</v>
      </c>
      <c r="CI956" s="47"/>
      <c r="CJ956" s="42" t="s">
        <v>16</v>
      </c>
      <c r="CK956" s="43" t="str">
        <f>IF(VLOOKUP(CJ956,βοηθητικό!$J$2:$N$354,3,FALSE)="","",VLOOKUP(CJ956,βοηθητικό!$J$2:$N$354,3,FALSE))</f>
        <v>_</v>
      </c>
      <c r="CL956" s="44"/>
      <c r="CM956" s="45" t="s">
        <v>16</v>
      </c>
      <c r="CN956" s="46" t="str">
        <f>IF(VLOOKUP(CM956,βοηθητικό!$J$2:$N$354,3,FALSE)="","",VLOOKUP(CM956,βοηθητικό!$J$2:$N$354,3,FALSE))</f>
        <v>_</v>
      </c>
      <c r="CO956" s="47"/>
      <c r="CP956" s="42" t="s">
        <v>16</v>
      </c>
      <c r="CQ956" s="43" t="str">
        <f>IF(VLOOKUP(CP956,βοηθητικό!$J$2:$N$354,3,FALSE)="","",VLOOKUP(CP956,βοηθητικό!$J$2:$N$354,3,FALSE))</f>
        <v>_</v>
      </c>
      <c r="CR956" s="44"/>
      <c r="CS956" s="45" t="s">
        <v>16</v>
      </c>
      <c r="CT956" s="46" t="str">
        <f>IF(VLOOKUP(CS956,βοηθητικό!$J$2:$N$354,3,FALSE)="","",VLOOKUP(CS956,βοηθητικό!$J$2:$N$354,3,FALSE))</f>
        <v>_</v>
      </c>
      <c r="CU956" s="47"/>
    </row>
    <row r="957" spans="1:99" x14ac:dyDescent="0.25">
      <c r="A957" s="37">
        <f>--SUBTOTAL(3,$B$3:B956)</f>
        <v>198</v>
      </c>
      <c r="B957" s="2"/>
      <c r="C957" s="3"/>
      <c r="D957" s="55" t="s">
        <v>18</v>
      </c>
      <c r="E957" s="38" t="s">
        <v>16</v>
      </c>
      <c r="F957" s="38"/>
      <c r="G957" s="39" t="str">
        <f t="shared" si="44"/>
        <v>__</v>
      </c>
      <c r="H957" s="40" t="str">
        <f t="shared" si="45"/>
        <v>FALSE</v>
      </c>
      <c r="I957" s="41">
        <f t="shared" si="46"/>
        <v>0</v>
      </c>
      <c r="J957" s="4" t="s">
        <v>16</v>
      </c>
      <c r="K957" s="43" t="str">
        <f>IF(VLOOKUP(J957,βοηθητικό!$J$2:$N$354,3,FALSE)="","",VLOOKUP(J957,βοηθητικό!$J$2:$N$354,3,FALSE))</f>
        <v>_</v>
      </c>
      <c r="L957" s="44"/>
      <c r="M957" s="5" t="s">
        <v>16</v>
      </c>
      <c r="N957" s="46" t="str">
        <f>IF(VLOOKUP(M957,βοηθητικό!$J$2:$N$354,3,FALSE)="","",VLOOKUP(M957,βοηθητικό!$J$2:$N$354,3,FALSE))</f>
        <v>_</v>
      </c>
      <c r="O957" s="47"/>
      <c r="P957" s="4" t="s">
        <v>16</v>
      </c>
      <c r="Q957" s="43" t="str">
        <f>IF(VLOOKUP(P957,βοηθητικό!$J$2:$N$354,3,FALSE)="","",VLOOKUP(P957,βοηθητικό!$J$2:$N$354,3,FALSE))</f>
        <v>_</v>
      </c>
      <c r="R957" s="44"/>
      <c r="S957" s="5" t="s">
        <v>16</v>
      </c>
      <c r="T957" s="46" t="str">
        <f>IF(VLOOKUP(S957,βοηθητικό!$J$2:$N$354,3,FALSE)="","",VLOOKUP(S957,βοηθητικό!$J$2:$N$354,3,FALSE))</f>
        <v>_</v>
      </c>
      <c r="U957" s="47"/>
      <c r="V957" s="4" t="s">
        <v>16</v>
      </c>
      <c r="W957" s="43" t="str">
        <f>IF(VLOOKUP(V957,βοηθητικό!$J$2:$N$354,3,FALSE)="","",VLOOKUP(V957,βοηθητικό!$J$2:$N$354,3,FALSE))</f>
        <v>_</v>
      </c>
      <c r="X957" s="44"/>
      <c r="Y957" s="5" t="s">
        <v>16</v>
      </c>
      <c r="Z957" s="46" t="str">
        <f>IF(VLOOKUP(Y957,βοηθητικό!$J$2:$N$354,3,FALSE)="","",VLOOKUP(Y957,βοηθητικό!$J$2:$N$354,3,FALSE))</f>
        <v>_</v>
      </c>
      <c r="AA957" s="47"/>
      <c r="AB957" s="4" t="s">
        <v>16</v>
      </c>
      <c r="AC957" s="43" t="str">
        <f>IF(VLOOKUP(AB957,βοηθητικό!$J$2:$N$354,3,FALSE)="","",VLOOKUP(AB957,βοηθητικό!$J$2:$N$354,3,FALSE))</f>
        <v>_</v>
      </c>
      <c r="AD957" s="44"/>
      <c r="AE957" s="5" t="s">
        <v>16</v>
      </c>
      <c r="AF957" s="46" t="str">
        <f>IF(VLOOKUP(AE957,βοηθητικό!$J$2:$N$354,3,FALSE)="","",VLOOKUP(AE957,βοηθητικό!$J$2:$N$354,3,FALSE))</f>
        <v>_</v>
      </c>
      <c r="AG957" s="47"/>
      <c r="AH957" s="4" t="s">
        <v>16</v>
      </c>
      <c r="AI957" s="43" t="str">
        <f>IF(VLOOKUP(AH957,βοηθητικό!$J$2:$N$354,3,FALSE)="","",VLOOKUP(AH957,βοηθητικό!$J$2:$N$354,3,FALSE))</f>
        <v>_</v>
      </c>
      <c r="AJ957" s="44"/>
      <c r="AK957" s="5" t="s">
        <v>16</v>
      </c>
      <c r="AL957" s="46" t="str">
        <f>IF(VLOOKUP(AK957,βοηθητικό!$J$2:$N$354,3,FALSE)="","",VLOOKUP(AK957,βοηθητικό!$J$2:$N$354,3,FALSE))</f>
        <v>_</v>
      </c>
      <c r="AM957" s="47"/>
      <c r="AN957" s="4" t="s">
        <v>16</v>
      </c>
      <c r="AO957" s="43" t="str">
        <f>IF(VLOOKUP(AN957,βοηθητικό!$J$2:$N$354,3,FALSE)="","",VLOOKUP(AN957,βοηθητικό!$J$2:$N$354,3,FALSE))</f>
        <v>_</v>
      </c>
      <c r="AP957" s="44"/>
      <c r="AQ957" s="5" t="s">
        <v>16</v>
      </c>
      <c r="AR957" s="46" t="str">
        <f>IF(VLOOKUP(AQ957,βοηθητικό!$J$2:$N$354,3,FALSE)="","",VLOOKUP(AQ957,βοηθητικό!$J$2:$N$354,3,FALSE))</f>
        <v>_</v>
      </c>
      <c r="AS957" s="47"/>
      <c r="AT957" s="4" t="s">
        <v>16</v>
      </c>
      <c r="AU957" s="43" t="str">
        <f>IF(VLOOKUP(AT957,βοηθητικό!$J$2:$N$354,3,FALSE)="","",VLOOKUP(AT957,βοηθητικό!$J$2:$N$354,3,FALSE))</f>
        <v>_</v>
      </c>
      <c r="AV957" s="44"/>
      <c r="AW957" s="5" t="s">
        <v>16</v>
      </c>
      <c r="AX957" s="46" t="str">
        <f>IF(VLOOKUP(AW957,βοηθητικό!$J$2:$N$354,3,FALSE)="","",VLOOKUP(AW957,βοηθητικό!$J$2:$N$354,3,FALSE))</f>
        <v>_</v>
      </c>
      <c r="AY957" s="47"/>
      <c r="AZ957" s="4" t="s">
        <v>16</v>
      </c>
      <c r="BA957" s="43" t="str">
        <f>IF(VLOOKUP(AZ957,βοηθητικό!$J$2:$N$354,3,FALSE)="","",VLOOKUP(AZ957,βοηθητικό!$J$2:$N$354,3,FALSE))</f>
        <v>_</v>
      </c>
      <c r="BB957" s="44"/>
      <c r="BC957" s="45" t="s">
        <v>16</v>
      </c>
      <c r="BD957" s="46" t="str">
        <f>IF(VLOOKUP(BC957,βοηθητικό!$J$2:$N$354,3,FALSE)="","",VLOOKUP(BC957,βοηθητικό!$J$2:$N$354,3,FALSE))</f>
        <v>_</v>
      </c>
      <c r="BE957" s="47"/>
      <c r="BF957" s="42" t="s">
        <v>16</v>
      </c>
      <c r="BG957" s="43" t="str">
        <f>IF(VLOOKUP(BF957,βοηθητικό!$J$2:$N$354,3,FALSE)="","",VLOOKUP(BF957,βοηθητικό!$J$2:$N$354,3,FALSE))</f>
        <v>_</v>
      </c>
      <c r="BH957" s="44"/>
      <c r="BI957" s="45" t="s">
        <v>16</v>
      </c>
      <c r="BJ957" s="46" t="str">
        <f>IF(VLOOKUP(BI957,βοηθητικό!$J$2:$N$354,3,FALSE)="","",VLOOKUP(BI957,βοηθητικό!$J$2:$N$354,3,FALSE))</f>
        <v>_</v>
      </c>
      <c r="BK957" s="47"/>
      <c r="BL957" s="42" t="s">
        <v>16</v>
      </c>
      <c r="BM957" s="43" t="str">
        <f>IF(VLOOKUP(BL957,βοηθητικό!$J$2:$N$354,3,FALSE)="","",VLOOKUP(BL957,βοηθητικό!$J$2:$N$354,3,FALSE))</f>
        <v>_</v>
      </c>
      <c r="BN957" s="44"/>
      <c r="BO957" s="45" t="s">
        <v>16</v>
      </c>
      <c r="BP957" s="46" t="str">
        <f>IF(VLOOKUP(BO957,βοηθητικό!$J$2:$N$354,3,FALSE)="","",VLOOKUP(BO957,βοηθητικό!$J$2:$N$354,3,FALSE))</f>
        <v>_</v>
      </c>
      <c r="BQ957" s="47"/>
      <c r="BR957" s="42" t="s">
        <v>16</v>
      </c>
      <c r="BS957" s="43" t="str">
        <f>IF(VLOOKUP(BR957,βοηθητικό!$J$2:$N$354,3,FALSE)="","",VLOOKUP(BR957,βοηθητικό!$J$2:$N$354,3,FALSE))</f>
        <v>_</v>
      </c>
      <c r="BT957" s="44"/>
      <c r="BU957" s="45" t="s">
        <v>16</v>
      </c>
      <c r="BV957" s="46" t="str">
        <f>IF(VLOOKUP(BU957,βοηθητικό!$J$2:$N$354,3,FALSE)="","",VLOOKUP(BU957,βοηθητικό!$J$2:$N$354,3,FALSE))</f>
        <v>_</v>
      </c>
      <c r="BW957" s="47"/>
      <c r="BX957" s="42" t="s">
        <v>16</v>
      </c>
      <c r="BY957" s="43" t="str">
        <f>IF(VLOOKUP(BX957,βοηθητικό!$J$2:$N$354,3,FALSE)="","",VLOOKUP(BX957,βοηθητικό!$J$2:$N$354,3,FALSE))</f>
        <v>_</v>
      </c>
      <c r="BZ957" s="44"/>
      <c r="CA957" s="45" t="s">
        <v>16</v>
      </c>
      <c r="CB957" s="46" t="str">
        <f>IF(VLOOKUP(CA957,βοηθητικό!$J$2:$N$354,3,FALSE)="","",VLOOKUP(CA957,βοηθητικό!$J$2:$N$354,3,FALSE))</f>
        <v>_</v>
      </c>
      <c r="CC957" s="47"/>
      <c r="CD957" s="42" t="s">
        <v>16</v>
      </c>
      <c r="CE957" s="43" t="str">
        <f>IF(VLOOKUP(CD957,βοηθητικό!$J$2:$N$354,3,FALSE)="","",VLOOKUP(CD957,βοηθητικό!$J$2:$N$354,3,FALSE))</f>
        <v>_</v>
      </c>
      <c r="CF957" s="44"/>
      <c r="CG957" s="45" t="s">
        <v>16</v>
      </c>
      <c r="CH957" s="46" t="str">
        <f>IF(VLOOKUP(CG957,βοηθητικό!$J$2:$N$354,3,FALSE)="","",VLOOKUP(CG957,βοηθητικό!$J$2:$N$354,3,FALSE))</f>
        <v>_</v>
      </c>
      <c r="CI957" s="47"/>
      <c r="CJ957" s="42" t="s">
        <v>16</v>
      </c>
      <c r="CK957" s="43" t="str">
        <f>IF(VLOOKUP(CJ957,βοηθητικό!$J$2:$N$354,3,FALSE)="","",VLOOKUP(CJ957,βοηθητικό!$J$2:$N$354,3,FALSE))</f>
        <v>_</v>
      </c>
      <c r="CL957" s="44"/>
      <c r="CM957" s="45" t="s">
        <v>16</v>
      </c>
      <c r="CN957" s="46" t="str">
        <f>IF(VLOOKUP(CM957,βοηθητικό!$J$2:$N$354,3,FALSE)="","",VLOOKUP(CM957,βοηθητικό!$J$2:$N$354,3,FALSE))</f>
        <v>_</v>
      </c>
      <c r="CO957" s="47"/>
      <c r="CP957" s="42" t="s">
        <v>16</v>
      </c>
      <c r="CQ957" s="43" t="str">
        <f>IF(VLOOKUP(CP957,βοηθητικό!$J$2:$N$354,3,FALSE)="","",VLOOKUP(CP957,βοηθητικό!$J$2:$N$354,3,FALSE))</f>
        <v>_</v>
      </c>
      <c r="CR957" s="44"/>
      <c r="CS957" s="45" t="s">
        <v>16</v>
      </c>
      <c r="CT957" s="46" t="str">
        <f>IF(VLOOKUP(CS957,βοηθητικό!$J$2:$N$354,3,FALSE)="","",VLOOKUP(CS957,βοηθητικό!$J$2:$N$354,3,FALSE))</f>
        <v>_</v>
      </c>
      <c r="CU957" s="47"/>
    </row>
    <row r="958" spans="1:99" x14ac:dyDescent="0.25">
      <c r="A958" s="37">
        <f>--SUBTOTAL(3,$B$3:B957)</f>
        <v>198</v>
      </c>
      <c r="B958" s="2"/>
      <c r="C958" s="3"/>
      <c r="D958" s="55" t="s">
        <v>18</v>
      </c>
      <c r="E958" s="38" t="s">
        <v>16</v>
      </c>
      <c r="F958" s="38"/>
      <c r="G958" s="39" t="str">
        <f t="shared" si="44"/>
        <v>__</v>
      </c>
      <c r="H958" s="40" t="str">
        <f t="shared" si="45"/>
        <v>FALSE</v>
      </c>
      <c r="I958" s="41">
        <f t="shared" si="46"/>
        <v>0</v>
      </c>
      <c r="J958" s="4" t="s">
        <v>16</v>
      </c>
      <c r="K958" s="43" t="str">
        <f>IF(VLOOKUP(J958,βοηθητικό!$J$2:$N$354,3,FALSE)="","",VLOOKUP(J958,βοηθητικό!$J$2:$N$354,3,FALSE))</f>
        <v>_</v>
      </c>
      <c r="L958" s="44"/>
      <c r="M958" s="5" t="s">
        <v>16</v>
      </c>
      <c r="N958" s="46" t="str">
        <f>IF(VLOOKUP(M958,βοηθητικό!$J$2:$N$354,3,FALSE)="","",VLOOKUP(M958,βοηθητικό!$J$2:$N$354,3,FALSE))</f>
        <v>_</v>
      </c>
      <c r="O958" s="47"/>
      <c r="P958" s="4" t="s">
        <v>16</v>
      </c>
      <c r="Q958" s="43" t="str">
        <f>IF(VLOOKUP(P958,βοηθητικό!$J$2:$N$354,3,FALSE)="","",VLOOKUP(P958,βοηθητικό!$J$2:$N$354,3,FALSE))</f>
        <v>_</v>
      </c>
      <c r="R958" s="44"/>
      <c r="S958" s="5" t="s">
        <v>16</v>
      </c>
      <c r="T958" s="46" t="str">
        <f>IF(VLOOKUP(S958,βοηθητικό!$J$2:$N$354,3,FALSE)="","",VLOOKUP(S958,βοηθητικό!$J$2:$N$354,3,FALSE))</f>
        <v>_</v>
      </c>
      <c r="U958" s="47"/>
      <c r="V958" s="4" t="s">
        <v>16</v>
      </c>
      <c r="W958" s="43" t="str">
        <f>IF(VLOOKUP(V958,βοηθητικό!$J$2:$N$354,3,FALSE)="","",VLOOKUP(V958,βοηθητικό!$J$2:$N$354,3,FALSE))</f>
        <v>_</v>
      </c>
      <c r="X958" s="44"/>
      <c r="Y958" s="5" t="s">
        <v>16</v>
      </c>
      <c r="Z958" s="46" t="str">
        <f>IF(VLOOKUP(Y958,βοηθητικό!$J$2:$N$354,3,FALSE)="","",VLOOKUP(Y958,βοηθητικό!$J$2:$N$354,3,FALSE))</f>
        <v>_</v>
      </c>
      <c r="AA958" s="47"/>
      <c r="AB958" s="4" t="s">
        <v>16</v>
      </c>
      <c r="AC958" s="43" t="str">
        <f>IF(VLOOKUP(AB958,βοηθητικό!$J$2:$N$354,3,FALSE)="","",VLOOKUP(AB958,βοηθητικό!$J$2:$N$354,3,FALSE))</f>
        <v>_</v>
      </c>
      <c r="AD958" s="44"/>
      <c r="AE958" s="5" t="s">
        <v>16</v>
      </c>
      <c r="AF958" s="46" t="str">
        <f>IF(VLOOKUP(AE958,βοηθητικό!$J$2:$N$354,3,FALSE)="","",VLOOKUP(AE958,βοηθητικό!$J$2:$N$354,3,FALSE))</f>
        <v>_</v>
      </c>
      <c r="AG958" s="47"/>
      <c r="AH958" s="4" t="s">
        <v>16</v>
      </c>
      <c r="AI958" s="43" t="str">
        <f>IF(VLOOKUP(AH958,βοηθητικό!$J$2:$N$354,3,FALSE)="","",VLOOKUP(AH958,βοηθητικό!$J$2:$N$354,3,FALSE))</f>
        <v>_</v>
      </c>
      <c r="AJ958" s="44"/>
      <c r="AK958" s="5" t="s">
        <v>16</v>
      </c>
      <c r="AL958" s="46" t="str">
        <f>IF(VLOOKUP(AK958,βοηθητικό!$J$2:$N$354,3,FALSE)="","",VLOOKUP(AK958,βοηθητικό!$J$2:$N$354,3,FALSE))</f>
        <v>_</v>
      </c>
      <c r="AM958" s="47"/>
      <c r="AN958" s="4" t="s">
        <v>16</v>
      </c>
      <c r="AO958" s="43" t="str">
        <f>IF(VLOOKUP(AN958,βοηθητικό!$J$2:$N$354,3,FALSE)="","",VLOOKUP(AN958,βοηθητικό!$J$2:$N$354,3,FALSE))</f>
        <v>_</v>
      </c>
      <c r="AP958" s="44"/>
      <c r="AQ958" s="5" t="s">
        <v>16</v>
      </c>
      <c r="AR958" s="46" t="str">
        <f>IF(VLOOKUP(AQ958,βοηθητικό!$J$2:$N$354,3,FALSE)="","",VLOOKUP(AQ958,βοηθητικό!$J$2:$N$354,3,FALSE))</f>
        <v>_</v>
      </c>
      <c r="AS958" s="47"/>
      <c r="AT958" s="4" t="s">
        <v>16</v>
      </c>
      <c r="AU958" s="43" t="str">
        <f>IF(VLOOKUP(AT958,βοηθητικό!$J$2:$N$354,3,FALSE)="","",VLOOKUP(AT958,βοηθητικό!$J$2:$N$354,3,FALSE))</f>
        <v>_</v>
      </c>
      <c r="AV958" s="44"/>
      <c r="AW958" s="5" t="s">
        <v>16</v>
      </c>
      <c r="AX958" s="46" t="str">
        <f>IF(VLOOKUP(AW958,βοηθητικό!$J$2:$N$354,3,FALSE)="","",VLOOKUP(AW958,βοηθητικό!$J$2:$N$354,3,FALSE))</f>
        <v>_</v>
      </c>
      <c r="AY958" s="47"/>
      <c r="AZ958" s="4" t="s">
        <v>16</v>
      </c>
      <c r="BA958" s="43" t="str">
        <f>IF(VLOOKUP(AZ958,βοηθητικό!$J$2:$N$354,3,FALSE)="","",VLOOKUP(AZ958,βοηθητικό!$J$2:$N$354,3,FALSE))</f>
        <v>_</v>
      </c>
      <c r="BB958" s="44"/>
      <c r="BC958" s="45" t="s">
        <v>16</v>
      </c>
      <c r="BD958" s="46" t="str">
        <f>IF(VLOOKUP(BC958,βοηθητικό!$J$2:$N$354,3,FALSE)="","",VLOOKUP(BC958,βοηθητικό!$J$2:$N$354,3,FALSE))</f>
        <v>_</v>
      </c>
      <c r="BE958" s="47"/>
      <c r="BF958" s="42" t="s">
        <v>16</v>
      </c>
      <c r="BG958" s="43" t="str">
        <f>IF(VLOOKUP(BF958,βοηθητικό!$J$2:$N$354,3,FALSE)="","",VLOOKUP(BF958,βοηθητικό!$J$2:$N$354,3,FALSE))</f>
        <v>_</v>
      </c>
      <c r="BH958" s="44"/>
      <c r="BI958" s="45" t="s">
        <v>16</v>
      </c>
      <c r="BJ958" s="46" t="str">
        <f>IF(VLOOKUP(BI958,βοηθητικό!$J$2:$N$354,3,FALSE)="","",VLOOKUP(BI958,βοηθητικό!$J$2:$N$354,3,FALSE))</f>
        <v>_</v>
      </c>
      <c r="BK958" s="47"/>
      <c r="BL958" s="42" t="s">
        <v>16</v>
      </c>
      <c r="BM958" s="43" t="str">
        <f>IF(VLOOKUP(BL958,βοηθητικό!$J$2:$N$354,3,FALSE)="","",VLOOKUP(BL958,βοηθητικό!$J$2:$N$354,3,FALSE))</f>
        <v>_</v>
      </c>
      <c r="BN958" s="44"/>
      <c r="BO958" s="45" t="s">
        <v>16</v>
      </c>
      <c r="BP958" s="46" t="str">
        <f>IF(VLOOKUP(BO958,βοηθητικό!$J$2:$N$354,3,FALSE)="","",VLOOKUP(BO958,βοηθητικό!$J$2:$N$354,3,FALSE))</f>
        <v>_</v>
      </c>
      <c r="BQ958" s="47"/>
      <c r="BR958" s="42" t="s">
        <v>16</v>
      </c>
      <c r="BS958" s="43" t="str">
        <f>IF(VLOOKUP(BR958,βοηθητικό!$J$2:$N$354,3,FALSE)="","",VLOOKUP(BR958,βοηθητικό!$J$2:$N$354,3,FALSE))</f>
        <v>_</v>
      </c>
      <c r="BT958" s="44"/>
      <c r="BU958" s="45" t="s">
        <v>16</v>
      </c>
      <c r="BV958" s="46" t="str">
        <f>IF(VLOOKUP(BU958,βοηθητικό!$J$2:$N$354,3,FALSE)="","",VLOOKUP(BU958,βοηθητικό!$J$2:$N$354,3,FALSE))</f>
        <v>_</v>
      </c>
      <c r="BW958" s="47"/>
      <c r="BX958" s="42" t="s">
        <v>16</v>
      </c>
      <c r="BY958" s="43" t="str">
        <f>IF(VLOOKUP(BX958,βοηθητικό!$J$2:$N$354,3,FALSE)="","",VLOOKUP(BX958,βοηθητικό!$J$2:$N$354,3,FALSE))</f>
        <v>_</v>
      </c>
      <c r="BZ958" s="44"/>
      <c r="CA958" s="45" t="s">
        <v>16</v>
      </c>
      <c r="CB958" s="46" t="str">
        <f>IF(VLOOKUP(CA958,βοηθητικό!$J$2:$N$354,3,FALSE)="","",VLOOKUP(CA958,βοηθητικό!$J$2:$N$354,3,FALSE))</f>
        <v>_</v>
      </c>
      <c r="CC958" s="47"/>
      <c r="CD958" s="42" t="s">
        <v>16</v>
      </c>
      <c r="CE958" s="43" t="str">
        <f>IF(VLOOKUP(CD958,βοηθητικό!$J$2:$N$354,3,FALSE)="","",VLOOKUP(CD958,βοηθητικό!$J$2:$N$354,3,FALSE))</f>
        <v>_</v>
      </c>
      <c r="CF958" s="44"/>
      <c r="CG958" s="45" t="s">
        <v>16</v>
      </c>
      <c r="CH958" s="46" t="str">
        <f>IF(VLOOKUP(CG958,βοηθητικό!$J$2:$N$354,3,FALSE)="","",VLOOKUP(CG958,βοηθητικό!$J$2:$N$354,3,FALSE))</f>
        <v>_</v>
      </c>
      <c r="CI958" s="47"/>
      <c r="CJ958" s="42" t="s">
        <v>16</v>
      </c>
      <c r="CK958" s="43" t="str">
        <f>IF(VLOOKUP(CJ958,βοηθητικό!$J$2:$N$354,3,FALSE)="","",VLOOKUP(CJ958,βοηθητικό!$J$2:$N$354,3,FALSE))</f>
        <v>_</v>
      </c>
      <c r="CL958" s="44"/>
      <c r="CM958" s="45" t="s">
        <v>16</v>
      </c>
      <c r="CN958" s="46" t="str">
        <f>IF(VLOOKUP(CM958,βοηθητικό!$J$2:$N$354,3,FALSE)="","",VLOOKUP(CM958,βοηθητικό!$J$2:$N$354,3,FALSE))</f>
        <v>_</v>
      </c>
      <c r="CO958" s="47"/>
      <c r="CP958" s="42" t="s">
        <v>16</v>
      </c>
      <c r="CQ958" s="43" t="str">
        <f>IF(VLOOKUP(CP958,βοηθητικό!$J$2:$N$354,3,FALSE)="","",VLOOKUP(CP958,βοηθητικό!$J$2:$N$354,3,FALSE))</f>
        <v>_</v>
      </c>
      <c r="CR958" s="44"/>
      <c r="CS958" s="45" t="s">
        <v>16</v>
      </c>
      <c r="CT958" s="46" t="str">
        <f>IF(VLOOKUP(CS958,βοηθητικό!$J$2:$N$354,3,FALSE)="","",VLOOKUP(CS958,βοηθητικό!$J$2:$N$354,3,FALSE))</f>
        <v>_</v>
      </c>
      <c r="CU958" s="47"/>
    </row>
    <row r="959" spans="1:99" x14ac:dyDescent="0.25">
      <c r="A959" s="37">
        <f>--SUBTOTAL(3,$B$3:B958)</f>
        <v>198</v>
      </c>
      <c r="B959" s="2"/>
      <c r="C959" s="3"/>
      <c r="D959" s="55" t="s">
        <v>18</v>
      </c>
      <c r="E959" s="38" t="s">
        <v>16</v>
      </c>
      <c r="F959" s="38"/>
      <c r="G959" s="39" t="str">
        <f t="shared" si="44"/>
        <v>__</v>
      </c>
      <c r="H959" s="40" t="str">
        <f t="shared" si="45"/>
        <v>FALSE</v>
      </c>
      <c r="I959" s="41">
        <f t="shared" si="46"/>
        <v>0</v>
      </c>
      <c r="J959" s="4" t="s">
        <v>16</v>
      </c>
      <c r="K959" s="43" t="str">
        <f>IF(VLOOKUP(J959,βοηθητικό!$J$2:$N$354,3,FALSE)="","",VLOOKUP(J959,βοηθητικό!$J$2:$N$354,3,FALSE))</f>
        <v>_</v>
      </c>
      <c r="L959" s="44"/>
      <c r="M959" s="5" t="s">
        <v>16</v>
      </c>
      <c r="N959" s="46" t="str">
        <f>IF(VLOOKUP(M959,βοηθητικό!$J$2:$N$354,3,FALSE)="","",VLOOKUP(M959,βοηθητικό!$J$2:$N$354,3,FALSE))</f>
        <v>_</v>
      </c>
      <c r="O959" s="47"/>
      <c r="P959" s="4" t="s">
        <v>16</v>
      </c>
      <c r="Q959" s="43" t="str">
        <f>IF(VLOOKUP(P959,βοηθητικό!$J$2:$N$354,3,FALSE)="","",VLOOKUP(P959,βοηθητικό!$J$2:$N$354,3,FALSE))</f>
        <v>_</v>
      </c>
      <c r="R959" s="44"/>
      <c r="S959" s="5" t="s">
        <v>16</v>
      </c>
      <c r="T959" s="46" t="str">
        <f>IF(VLOOKUP(S959,βοηθητικό!$J$2:$N$354,3,FALSE)="","",VLOOKUP(S959,βοηθητικό!$J$2:$N$354,3,FALSE))</f>
        <v>_</v>
      </c>
      <c r="U959" s="47"/>
      <c r="V959" s="4" t="s">
        <v>16</v>
      </c>
      <c r="W959" s="43" t="str">
        <f>IF(VLOOKUP(V959,βοηθητικό!$J$2:$N$354,3,FALSE)="","",VLOOKUP(V959,βοηθητικό!$J$2:$N$354,3,FALSE))</f>
        <v>_</v>
      </c>
      <c r="X959" s="44"/>
      <c r="Y959" s="5" t="s">
        <v>16</v>
      </c>
      <c r="Z959" s="46" t="str">
        <f>IF(VLOOKUP(Y959,βοηθητικό!$J$2:$N$354,3,FALSE)="","",VLOOKUP(Y959,βοηθητικό!$J$2:$N$354,3,FALSE))</f>
        <v>_</v>
      </c>
      <c r="AA959" s="47"/>
      <c r="AB959" s="4" t="s">
        <v>16</v>
      </c>
      <c r="AC959" s="43" t="str">
        <f>IF(VLOOKUP(AB959,βοηθητικό!$J$2:$N$354,3,FALSE)="","",VLOOKUP(AB959,βοηθητικό!$J$2:$N$354,3,FALSE))</f>
        <v>_</v>
      </c>
      <c r="AD959" s="44"/>
      <c r="AE959" s="5" t="s">
        <v>16</v>
      </c>
      <c r="AF959" s="46" t="str">
        <f>IF(VLOOKUP(AE959,βοηθητικό!$J$2:$N$354,3,FALSE)="","",VLOOKUP(AE959,βοηθητικό!$J$2:$N$354,3,FALSE))</f>
        <v>_</v>
      </c>
      <c r="AG959" s="47"/>
      <c r="AH959" s="4" t="s">
        <v>16</v>
      </c>
      <c r="AI959" s="43" t="str">
        <f>IF(VLOOKUP(AH959,βοηθητικό!$J$2:$N$354,3,FALSE)="","",VLOOKUP(AH959,βοηθητικό!$J$2:$N$354,3,FALSE))</f>
        <v>_</v>
      </c>
      <c r="AJ959" s="44"/>
      <c r="AK959" s="5" t="s">
        <v>16</v>
      </c>
      <c r="AL959" s="46" t="str">
        <f>IF(VLOOKUP(AK959,βοηθητικό!$J$2:$N$354,3,FALSE)="","",VLOOKUP(AK959,βοηθητικό!$J$2:$N$354,3,FALSE))</f>
        <v>_</v>
      </c>
      <c r="AM959" s="47"/>
      <c r="AN959" s="4" t="s">
        <v>16</v>
      </c>
      <c r="AO959" s="43" t="str">
        <f>IF(VLOOKUP(AN959,βοηθητικό!$J$2:$N$354,3,FALSE)="","",VLOOKUP(AN959,βοηθητικό!$J$2:$N$354,3,FALSE))</f>
        <v>_</v>
      </c>
      <c r="AP959" s="44"/>
      <c r="AQ959" s="5" t="s">
        <v>16</v>
      </c>
      <c r="AR959" s="46" t="str">
        <f>IF(VLOOKUP(AQ959,βοηθητικό!$J$2:$N$354,3,FALSE)="","",VLOOKUP(AQ959,βοηθητικό!$J$2:$N$354,3,FALSE))</f>
        <v>_</v>
      </c>
      <c r="AS959" s="47"/>
      <c r="AT959" s="4" t="s">
        <v>16</v>
      </c>
      <c r="AU959" s="43" t="str">
        <f>IF(VLOOKUP(AT959,βοηθητικό!$J$2:$N$354,3,FALSE)="","",VLOOKUP(AT959,βοηθητικό!$J$2:$N$354,3,FALSE))</f>
        <v>_</v>
      </c>
      <c r="AV959" s="44"/>
      <c r="AW959" s="5" t="s">
        <v>16</v>
      </c>
      <c r="AX959" s="46" t="str">
        <f>IF(VLOOKUP(AW959,βοηθητικό!$J$2:$N$354,3,FALSE)="","",VLOOKUP(AW959,βοηθητικό!$J$2:$N$354,3,FALSE))</f>
        <v>_</v>
      </c>
      <c r="AY959" s="47"/>
      <c r="AZ959" s="4" t="s">
        <v>16</v>
      </c>
      <c r="BA959" s="43" t="str">
        <f>IF(VLOOKUP(AZ959,βοηθητικό!$J$2:$N$354,3,FALSE)="","",VLOOKUP(AZ959,βοηθητικό!$J$2:$N$354,3,FALSE))</f>
        <v>_</v>
      </c>
      <c r="BB959" s="44"/>
      <c r="BC959" s="45" t="s">
        <v>16</v>
      </c>
      <c r="BD959" s="46" t="str">
        <f>IF(VLOOKUP(BC959,βοηθητικό!$J$2:$N$354,3,FALSE)="","",VLOOKUP(BC959,βοηθητικό!$J$2:$N$354,3,FALSE))</f>
        <v>_</v>
      </c>
      <c r="BE959" s="47"/>
      <c r="BF959" s="42" t="s">
        <v>16</v>
      </c>
      <c r="BG959" s="43" t="str">
        <f>IF(VLOOKUP(BF959,βοηθητικό!$J$2:$N$354,3,FALSE)="","",VLOOKUP(BF959,βοηθητικό!$J$2:$N$354,3,FALSE))</f>
        <v>_</v>
      </c>
      <c r="BH959" s="44"/>
      <c r="BI959" s="45" t="s">
        <v>16</v>
      </c>
      <c r="BJ959" s="46" t="str">
        <f>IF(VLOOKUP(BI959,βοηθητικό!$J$2:$N$354,3,FALSE)="","",VLOOKUP(BI959,βοηθητικό!$J$2:$N$354,3,FALSE))</f>
        <v>_</v>
      </c>
      <c r="BK959" s="47"/>
      <c r="BL959" s="42" t="s">
        <v>16</v>
      </c>
      <c r="BM959" s="43" t="str">
        <f>IF(VLOOKUP(BL959,βοηθητικό!$J$2:$N$354,3,FALSE)="","",VLOOKUP(BL959,βοηθητικό!$J$2:$N$354,3,FALSE))</f>
        <v>_</v>
      </c>
      <c r="BN959" s="44"/>
      <c r="BO959" s="45" t="s">
        <v>16</v>
      </c>
      <c r="BP959" s="46" t="str">
        <f>IF(VLOOKUP(BO959,βοηθητικό!$J$2:$N$354,3,FALSE)="","",VLOOKUP(BO959,βοηθητικό!$J$2:$N$354,3,FALSE))</f>
        <v>_</v>
      </c>
      <c r="BQ959" s="47"/>
      <c r="BR959" s="42" t="s">
        <v>16</v>
      </c>
      <c r="BS959" s="43" t="str">
        <f>IF(VLOOKUP(BR959,βοηθητικό!$J$2:$N$354,3,FALSE)="","",VLOOKUP(BR959,βοηθητικό!$J$2:$N$354,3,FALSE))</f>
        <v>_</v>
      </c>
      <c r="BT959" s="44"/>
      <c r="BU959" s="45" t="s">
        <v>16</v>
      </c>
      <c r="BV959" s="46" t="str">
        <f>IF(VLOOKUP(BU959,βοηθητικό!$J$2:$N$354,3,FALSE)="","",VLOOKUP(BU959,βοηθητικό!$J$2:$N$354,3,FALSE))</f>
        <v>_</v>
      </c>
      <c r="BW959" s="47"/>
      <c r="BX959" s="42" t="s">
        <v>16</v>
      </c>
      <c r="BY959" s="43" t="str">
        <f>IF(VLOOKUP(BX959,βοηθητικό!$J$2:$N$354,3,FALSE)="","",VLOOKUP(BX959,βοηθητικό!$J$2:$N$354,3,FALSE))</f>
        <v>_</v>
      </c>
      <c r="BZ959" s="44"/>
      <c r="CA959" s="45" t="s">
        <v>16</v>
      </c>
      <c r="CB959" s="46" t="str">
        <f>IF(VLOOKUP(CA959,βοηθητικό!$J$2:$N$354,3,FALSE)="","",VLOOKUP(CA959,βοηθητικό!$J$2:$N$354,3,FALSE))</f>
        <v>_</v>
      </c>
      <c r="CC959" s="47"/>
      <c r="CD959" s="42" t="s">
        <v>16</v>
      </c>
      <c r="CE959" s="43" t="str">
        <f>IF(VLOOKUP(CD959,βοηθητικό!$J$2:$N$354,3,FALSE)="","",VLOOKUP(CD959,βοηθητικό!$J$2:$N$354,3,FALSE))</f>
        <v>_</v>
      </c>
      <c r="CF959" s="44"/>
      <c r="CG959" s="45" t="s">
        <v>16</v>
      </c>
      <c r="CH959" s="46" t="str">
        <f>IF(VLOOKUP(CG959,βοηθητικό!$J$2:$N$354,3,FALSE)="","",VLOOKUP(CG959,βοηθητικό!$J$2:$N$354,3,FALSE))</f>
        <v>_</v>
      </c>
      <c r="CI959" s="47"/>
      <c r="CJ959" s="42" t="s">
        <v>16</v>
      </c>
      <c r="CK959" s="43" t="str">
        <f>IF(VLOOKUP(CJ959,βοηθητικό!$J$2:$N$354,3,FALSE)="","",VLOOKUP(CJ959,βοηθητικό!$J$2:$N$354,3,FALSE))</f>
        <v>_</v>
      </c>
      <c r="CL959" s="44"/>
      <c r="CM959" s="45" t="s">
        <v>16</v>
      </c>
      <c r="CN959" s="46" t="str">
        <f>IF(VLOOKUP(CM959,βοηθητικό!$J$2:$N$354,3,FALSE)="","",VLOOKUP(CM959,βοηθητικό!$J$2:$N$354,3,FALSE))</f>
        <v>_</v>
      </c>
      <c r="CO959" s="47"/>
      <c r="CP959" s="42" t="s">
        <v>16</v>
      </c>
      <c r="CQ959" s="43" t="str">
        <f>IF(VLOOKUP(CP959,βοηθητικό!$J$2:$N$354,3,FALSE)="","",VLOOKUP(CP959,βοηθητικό!$J$2:$N$354,3,FALSE))</f>
        <v>_</v>
      </c>
      <c r="CR959" s="44"/>
      <c r="CS959" s="45" t="s">
        <v>16</v>
      </c>
      <c r="CT959" s="46" t="str">
        <f>IF(VLOOKUP(CS959,βοηθητικό!$J$2:$N$354,3,FALSE)="","",VLOOKUP(CS959,βοηθητικό!$J$2:$N$354,3,FALSE))</f>
        <v>_</v>
      </c>
      <c r="CU959" s="47"/>
    </row>
    <row r="960" spans="1:99" x14ac:dyDescent="0.25">
      <c r="A960" s="37">
        <f>--SUBTOTAL(3,$B$3:B959)</f>
        <v>198</v>
      </c>
      <c r="B960" s="2"/>
      <c r="C960" s="3"/>
      <c r="D960" s="55" t="s">
        <v>18</v>
      </c>
      <c r="E960" s="38" t="s">
        <v>16</v>
      </c>
      <c r="F960" s="38"/>
      <c r="G960" s="39" t="str">
        <f t="shared" si="44"/>
        <v>__</v>
      </c>
      <c r="H960" s="40" t="str">
        <f t="shared" si="45"/>
        <v>FALSE</v>
      </c>
      <c r="I960" s="41">
        <f t="shared" si="46"/>
        <v>0</v>
      </c>
      <c r="J960" s="4" t="s">
        <v>16</v>
      </c>
      <c r="K960" s="43" t="str">
        <f>IF(VLOOKUP(J960,βοηθητικό!$J$2:$N$354,3,FALSE)="","",VLOOKUP(J960,βοηθητικό!$J$2:$N$354,3,FALSE))</f>
        <v>_</v>
      </c>
      <c r="L960" s="44"/>
      <c r="M960" s="5" t="s">
        <v>16</v>
      </c>
      <c r="N960" s="46" t="str">
        <f>IF(VLOOKUP(M960,βοηθητικό!$J$2:$N$354,3,FALSE)="","",VLOOKUP(M960,βοηθητικό!$J$2:$N$354,3,FALSE))</f>
        <v>_</v>
      </c>
      <c r="O960" s="47"/>
      <c r="P960" s="4" t="s">
        <v>16</v>
      </c>
      <c r="Q960" s="43" t="str">
        <f>IF(VLOOKUP(P960,βοηθητικό!$J$2:$N$354,3,FALSE)="","",VLOOKUP(P960,βοηθητικό!$J$2:$N$354,3,FALSE))</f>
        <v>_</v>
      </c>
      <c r="R960" s="44"/>
      <c r="S960" s="5" t="s">
        <v>16</v>
      </c>
      <c r="T960" s="46" t="str">
        <f>IF(VLOOKUP(S960,βοηθητικό!$J$2:$N$354,3,FALSE)="","",VLOOKUP(S960,βοηθητικό!$J$2:$N$354,3,FALSE))</f>
        <v>_</v>
      </c>
      <c r="U960" s="47"/>
      <c r="V960" s="4" t="s">
        <v>16</v>
      </c>
      <c r="W960" s="43" t="str">
        <f>IF(VLOOKUP(V960,βοηθητικό!$J$2:$N$354,3,FALSE)="","",VLOOKUP(V960,βοηθητικό!$J$2:$N$354,3,FALSE))</f>
        <v>_</v>
      </c>
      <c r="X960" s="44"/>
      <c r="Y960" s="5" t="s">
        <v>16</v>
      </c>
      <c r="Z960" s="46" t="str">
        <f>IF(VLOOKUP(Y960,βοηθητικό!$J$2:$N$354,3,FALSE)="","",VLOOKUP(Y960,βοηθητικό!$J$2:$N$354,3,FALSE))</f>
        <v>_</v>
      </c>
      <c r="AA960" s="47"/>
      <c r="AB960" s="4" t="s">
        <v>16</v>
      </c>
      <c r="AC960" s="43" t="str">
        <f>IF(VLOOKUP(AB960,βοηθητικό!$J$2:$N$354,3,FALSE)="","",VLOOKUP(AB960,βοηθητικό!$J$2:$N$354,3,FALSE))</f>
        <v>_</v>
      </c>
      <c r="AD960" s="44"/>
      <c r="AE960" s="5" t="s">
        <v>16</v>
      </c>
      <c r="AF960" s="46" t="str">
        <f>IF(VLOOKUP(AE960,βοηθητικό!$J$2:$N$354,3,FALSE)="","",VLOOKUP(AE960,βοηθητικό!$J$2:$N$354,3,FALSE))</f>
        <v>_</v>
      </c>
      <c r="AG960" s="47"/>
      <c r="AH960" s="4" t="s">
        <v>16</v>
      </c>
      <c r="AI960" s="43" t="str">
        <f>IF(VLOOKUP(AH960,βοηθητικό!$J$2:$N$354,3,FALSE)="","",VLOOKUP(AH960,βοηθητικό!$J$2:$N$354,3,FALSE))</f>
        <v>_</v>
      </c>
      <c r="AJ960" s="44"/>
      <c r="AK960" s="5" t="s">
        <v>16</v>
      </c>
      <c r="AL960" s="46" t="str">
        <f>IF(VLOOKUP(AK960,βοηθητικό!$J$2:$N$354,3,FALSE)="","",VLOOKUP(AK960,βοηθητικό!$J$2:$N$354,3,FALSE))</f>
        <v>_</v>
      </c>
      <c r="AM960" s="47"/>
      <c r="AN960" s="4" t="s">
        <v>16</v>
      </c>
      <c r="AO960" s="43" t="str">
        <f>IF(VLOOKUP(AN960,βοηθητικό!$J$2:$N$354,3,FALSE)="","",VLOOKUP(AN960,βοηθητικό!$J$2:$N$354,3,FALSE))</f>
        <v>_</v>
      </c>
      <c r="AP960" s="44"/>
      <c r="AQ960" s="5" t="s">
        <v>16</v>
      </c>
      <c r="AR960" s="46" t="str">
        <f>IF(VLOOKUP(AQ960,βοηθητικό!$J$2:$N$354,3,FALSE)="","",VLOOKUP(AQ960,βοηθητικό!$J$2:$N$354,3,FALSE))</f>
        <v>_</v>
      </c>
      <c r="AS960" s="47"/>
      <c r="AT960" s="4" t="s">
        <v>16</v>
      </c>
      <c r="AU960" s="43" t="str">
        <f>IF(VLOOKUP(AT960,βοηθητικό!$J$2:$N$354,3,FALSE)="","",VLOOKUP(AT960,βοηθητικό!$J$2:$N$354,3,FALSE))</f>
        <v>_</v>
      </c>
      <c r="AV960" s="44"/>
      <c r="AW960" s="5" t="s">
        <v>16</v>
      </c>
      <c r="AX960" s="46" t="str">
        <f>IF(VLOOKUP(AW960,βοηθητικό!$J$2:$N$354,3,FALSE)="","",VLOOKUP(AW960,βοηθητικό!$J$2:$N$354,3,FALSE))</f>
        <v>_</v>
      </c>
      <c r="AY960" s="47"/>
      <c r="AZ960" s="4" t="s">
        <v>16</v>
      </c>
      <c r="BA960" s="43" t="str">
        <f>IF(VLOOKUP(AZ960,βοηθητικό!$J$2:$N$354,3,FALSE)="","",VLOOKUP(AZ960,βοηθητικό!$J$2:$N$354,3,FALSE))</f>
        <v>_</v>
      </c>
      <c r="BB960" s="44"/>
      <c r="BC960" s="45" t="s">
        <v>16</v>
      </c>
      <c r="BD960" s="46" t="str">
        <f>IF(VLOOKUP(BC960,βοηθητικό!$J$2:$N$354,3,FALSE)="","",VLOOKUP(BC960,βοηθητικό!$J$2:$N$354,3,FALSE))</f>
        <v>_</v>
      </c>
      <c r="BE960" s="47"/>
      <c r="BF960" s="42" t="s">
        <v>16</v>
      </c>
      <c r="BG960" s="43" t="str">
        <f>IF(VLOOKUP(BF960,βοηθητικό!$J$2:$N$354,3,FALSE)="","",VLOOKUP(BF960,βοηθητικό!$J$2:$N$354,3,FALSE))</f>
        <v>_</v>
      </c>
      <c r="BH960" s="44"/>
      <c r="BI960" s="45" t="s">
        <v>16</v>
      </c>
      <c r="BJ960" s="46" t="str">
        <f>IF(VLOOKUP(BI960,βοηθητικό!$J$2:$N$354,3,FALSE)="","",VLOOKUP(BI960,βοηθητικό!$J$2:$N$354,3,FALSE))</f>
        <v>_</v>
      </c>
      <c r="BK960" s="47"/>
      <c r="BL960" s="42" t="s">
        <v>16</v>
      </c>
      <c r="BM960" s="43" t="str">
        <f>IF(VLOOKUP(BL960,βοηθητικό!$J$2:$N$354,3,FALSE)="","",VLOOKUP(BL960,βοηθητικό!$J$2:$N$354,3,FALSE))</f>
        <v>_</v>
      </c>
      <c r="BN960" s="44"/>
      <c r="BO960" s="45" t="s">
        <v>16</v>
      </c>
      <c r="BP960" s="46" t="str">
        <f>IF(VLOOKUP(BO960,βοηθητικό!$J$2:$N$354,3,FALSE)="","",VLOOKUP(BO960,βοηθητικό!$J$2:$N$354,3,FALSE))</f>
        <v>_</v>
      </c>
      <c r="BQ960" s="47"/>
      <c r="BR960" s="42" t="s">
        <v>16</v>
      </c>
      <c r="BS960" s="43" t="str">
        <f>IF(VLOOKUP(BR960,βοηθητικό!$J$2:$N$354,3,FALSE)="","",VLOOKUP(BR960,βοηθητικό!$J$2:$N$354,3,FALSE))</f>
        <v>_</v>
      </c>
      <c r="BT960" s="44"/>
      <c r="BU960" s="45" t="s">
        <v>16</v>
      </c>
      <c r="BV960" s="46" t="str">
        <f>IF(VLOOKUP(BU960,βοηθητικό!$J$2:$N$354,3,FALSE)="","",VLOOKUP(BU960,βοηθητικό!$J$2:$N$354,3,FALSE))</f>
        <v>_</v>
      </c>
      <c r="BW960" s="47"/>
      <c r="BX960" s="42" t="s">
        <v>16</v>
      </c>
      <c r="BY960" s="43" t="str">
        <f>IF(VLOOKUP(BX960,βοηθητικό!$J$2:$N$354,3,FALSE)="","",VLOOKUP(BX960,βοηθητικό!$J$2:$N$354,3,FALSE))</f>
        <v>_</v>
      </c>
      <c r="BZ960" s="44"/>
      <c r="CA960" s="45" t="s">
        <v>16</v>
      </c>
      <c r="CB960" s="46" t="str">
        <f>IF(VLOOKUP(CA960,βοηθητικό!$J$2:$N$354,3,FALSE)="","",VLOOKUP(CA960,βοηθητικό!$J$2:$N$354,3,FALSE))</f>
        <v>_</v>
      </c>
      <c r="CC960" s="47"/>
      <c r="CD960" s="42" t="s">
        <v>16</v>
      </c>
      <c r="CE960" s="43" t="str">
        <f>IF(VLOOKUP(CD960,βοηθητικό!$J$2:$N$354,3,FALSE)="","",VLOOKUP(CD960,βοηθητικό!$J$2:$N$354,3,FALSE))</f>
        <v>_</v>
      </c>
      <c r="CF960" s="44"/>
      <c r="CG960" s="45" t="s">
        <v>16</v>
      </c>
      <c r="CH960" s="46" t="str">
        <f>IF(VLOOKUP(CG960,βοηθητικό!$J$2:$N$354,3,FALSE)="","",VLOOKUP(CG960,βοηθητικό!$J$2:$N$354,3,FALSE))</f>
        <v>_</v>
      </c>
      <c r="CI960" s="47"/>
      <c r="CJ960" s="42" t="s">
        <v>16</v>
      </c>
      <c r="CK960" s="43" t="str">
        <f>IF(VLOOKUP(CJ960,βοηθητικό!$J$2:$N$354,3,FALSE)="","",VLOOKUP(CJ960,βοηθητικό!$J$2:$N$354,3,FALSE))</f>
        <v>_</v>
      </c>
      <c r="CL960" s="44"/>
      <c r="CM960" s="45" t="s">
        <v>16</v>
      </c>
      <c r="CN960" s="46" t="str">
        <f>IF(VLOOKUP(CM960,βοηθητικό!$J$2:$N$354,3,FALSE)="","",VLOOKUP(CM960,βοηθητικό!$J$2:$N$354,3,FALSE))</f>
        <v>_</v>
      </c>
      <c r="CO960" s="47"/>
      <c r="CP960" s="42" t="s">
        <v>16</v>
      </c>
      <c r="CQ960" s="43" t="str">
        <f>IF(VLOOKUP(CP960,βοηθητικό!$J$2:$N$354,3,FALSE)="","",VLOOKUP(CP960,βοηθητικό!$J$2:$N$354,3,FALSE))</f>
        <v>_</v>
      </c>
      <c r="CR960" s="44"/>
      <c r="CS960" s="45" t="s">
        <v>16</v>
      </c>
      <c r="CT960" s="46" t="str">
        <f>IF(VLOOKUP(CS960,βοηθητικό!$J$2:$N$354,3,FALSE)="","",VLOOKUP(CS960,βοηθητικό!$J$2:$N$354,3,FALSE))</f>
        <v>_</v>
      </c>
      <c r="CU960" s="47"/>
    </row>
    <row r="961" spans="1:99" x14ac:dyDescent="0.25">
      <c r="A961" s="37">
        <f>--SUBTOTAL(3,$B$3:B960)</f>
        <v>198</v>
      </c>
      <c r="B961" s="2"/>
      <c r="C961" s="3"/>
      <c r="D961" s="55" t="s">
        <v>18</v>
      </c>
      <c r="E961" s="38" t="s">
        <v>16</v>
      </c>
      <c r="F961" s="38"/>
      <c r="G961" s="39" t="str">
        <f t="shared" si="44"/>
        <v>__</v>
      </c>
      <c r="H961" s="40" t="str">
        <f t="shared" si="45"/>
        <v>FALSE</v>
      </c>
      <c r="I961" s="41">
        <f t="shared" si="46"/>
        <v>0</v>
      </c>
      <c r="J961" s="4" t="s">
        <v>16</v>
      </c>
      <c r="K961" s="43" t="str">
        <f>IF(VLOOKUP(J961,βοηθητικό!$J$2:$N$354,3,FALSE)="","",VLOOKUP(J961,βοηθητικό!$J$2:$N$354,3,FALSE))</f>
        <v>_</v>
      </c>
      <c r="L961" s="44"/>
      <c r="M961" s="5" t="s">
        <v>16</v>
      </c>
      <c r="N961" s="46" t="str">
        <f>IF(VLOOKUP(M961,βοηθητικό!$J$2:$N$354,3,FALSE)="","",VLOOKUP(M961,βοηθητικό!$J$2:$N$354,3,FALSE))</f>
        <v>_</v>
      </c>
      <c r="O961" s="47"/>
      <c r="P961" s="4" t="s">
        <v>16</v>
      </c>
      <c r="Q961" s="43" t="str">
        <f>IF(VLOOKUP(P961,βοηθητικό!$J$2:$N$354,3,FALSE)="","",VLOOKUP(P961,βοηθητικό!$J$2:$N$354,3,FALSE))</f>
        <v>_</v>
      </c>
      <c r="R961" s="44"/>
      <c r="S961" s="5" t="s">
        <v>16</v>
      </c>
      <c r="T961" s="46" t="str">
        <f>IF(VLOOKUP(S961,βοηθητικό!$J$2:$N$354,3,FALSE)="","",VLOOKUP(S961,βοηθητικό!$J$2:$N$354,3,FALSE))</f>
        <v>_</v>
      </c>
      <c r="U961" s="47"/>
      <c r="V961" s="4" t="s">
        <v>16</v>
      </c>
      <c r="W961" s="43" t="str">
        <f>IF(VLOOKUP(V961,βοηθητικό!$J$2:$N$354,3,FALSE)="","",VLOOKUP(V961,βοηθητικό!$J$2:$N$354,3,FALSE))</f>
        <v>_</v>
      </c>
      <c r="X961" s="44"/>
      <c r="Y961" s="5" t="s">
        <v>16</v>
      </c>
      <c r="Z961" s="46" t="str">
        <f>IF(VLOOKUP(Y961,βοηθητικό!$J$2:$N$354,3,FALSE)="","",VLOOKUP(Y961,βοηθητικό!$J$2:$N$354,3,FALSE))</f>
        <v>_</v>
      </c>
      <c r="AA961" s="47"/>
      <c r="AB961" s="4" t="s">
        <v>16</v>
      </c>
      <c r="AC961" s="43" t="str">
        <f>IF(VLOOKUP(AB961,βοηθητικό!$J$2:$N$354,3,FALSE)="","",VLOOKUP(AB961,βοηθητικό!$J$2:$N$354,3,FALSE))</f>
        <v>_</v>
      </c>
      <c r="AD961" s="44"/>
      <c r="AE961" s="5" t="s">
        <v>16</v>
      </c>
      <c r="AF961" s="46" t="str">
        <f>IF(VLOOKUP(AE961,βοηθητικό!$J$2:$N$354,3,FALSE)="","",VLOOKUP(AE961,βοηθητικό!$J$2:$N$354,3,FALSE))</f>
        <v>_</v>
      </c>
      <c r="AG961" s="47"/>
      <c r="AH961" s="4" t="s">
        <v>16</v>
      </c>
      <c r="AI961" s="43" t="str">
        <f>IF(VLOOKUP(AH961,βοηθητικό!$J$2:$N$354,3,FALSE)="","",VLOOKUP(AH961,βοηθητικό!$J$2:$N$354,3,FALSE))</f>
        <v>_</v>
      </c>
      <c r="AJ961" s="44"/>
      <c r="AK961" s="5" t="s">
        <v>16</v>
      </c>
      <c r="AL961" s="46" t="str">
        <f>IF(VLOOKUP(AK961,βοηθητικό!$J$2:$N$354,3,FALSE)="","",VLOOKUP(AK961,βοηθητικό!$J$2:$N$354,3,FALSE))</f>
        <v>_</v>
      </c>
      <c r="AM961" s="47"/>
      <c r="AN961" s="4" t="s">
        <v>16</v>
      </c>
      <c r="AO961" s="43" t="str">
        <f>IF(VLOOKUP(AN961,βοηθητικό!$J$2:$N$354,3,FALSE)="","",VLOOKUP(AN961,βοηθητικό!$J$2:$N$354,3,FALSE))</f>
        <v>_</v>
      </c>
      <c r="AP961" s="44"/>
      <c r="AQ961" s="5" t="s">
        <v>16</v>
      </c>
      <c r="AR961" s="46" t="str">
        <f>IF(VLOOKUP(AQ961,βοηθητικό!$J$2:$N$354,3,FALSE)="","",VLOOKUP(AQ961,βοηθητικό!$J$2:$N$354,3,FALSE))</f>
        <v>_</v>
      </c>
      <c r="AS961" s="47"/>
      <c r="AT961" s="4" t="s">
        <v>16</v>
      </c>
      <c r="AU961" s="43" t="str">
        <f>IF(VLOOKUP(AT961,βοηθητικό!$J$2:$N$354,3,FALSE)="","",VLOOKUP(AT961,βοηθητικό!$J$2:$N$354,3,FALSE))</f>
        <v>_</v>
      </c>
      <c r="AV961" s="44"/>
      <c r="AW961" s="5" t="s">
        <v>16</v>
      </c>
      <c r="AX961" s="46" t="str">
        <f>IF(VLOOKUP(AW961,βοηθητικό!$J$2:$N$354,3,FALSE)="","",VLOOKUP(AW961,βοηθητικό!$J$2:$N$354,3,FALSE))</f>
        <v>_</v>
      </c>
      <c r="AY961" s="47"/>
      <c r="AZ961" s="4" t="s">
        <v>16</v>
      </c>
      <c r="BA961" s="43" t="str">
        <f>IF(VLOOKUP(AZ961,βοηθητικό!$J$2:$N$354,3,FALSE)="","",VLOOKUP(AZ961,βοηθητικό!$J$2:$N$354,3,FALSE))</f>
        <v>_</v>
      </c>
      <c r="BB961" s="44"/>
      <c r="BC961" s="45" t="s">
        <v>16</v>
      </c>
      <c r="BD961" s="46" t="str">
        <f>IF(VLOOKUP(BC961,βοηθητικό!$J$2:$N$354,3,FALSE)="","",VLOOKUP(BC961,βοηθητικό!$J$2:$N$354,3,FALSE))</f>
        <v>_</v>
      </c>
      <c r="BE961" s="47"/>
      <c r="BF961" s="42" t="s">
        <v>16</v>
      </c>
      <c r="BG961" s="43" t="str">
        <f>IF(VLOOKUP(BF961,βοηθητικό!$J$2:$N$354,3,FALSE)="","",VLOOKUP(BF961,βοηθητικό!$J$2:$N$354,3,FALSE))</f>
        <v>_</v>
      </c>
      <c r="BH961" s="44"/>
      <c r="BI961" s="45" t="s">
        <v>16</v>
      </c>
      <c r="BJ961" s="46" t="str">
        <f>IF(VLOOKUP(BI961,βοηθητικό!$J$2:$N$354,3,FALSE)="","",VLOOKUP(BI961,βοηθητικό!$J$2:$N$354,3,FALSE))</f>
        <v>_</v>
      </c>
      <c r="BK961" s="47"/>
      <c r="BL961" s="42" t="s">
        <v>16</v>
      </c>
      <c r="BM961" s="43" t="str">
        <f>IF(VLOOKUP(BL961,βοηθητικό!$J$2:$N$354,3,FALSE)="","",VLOOKUP(BL961,βοηθητικό!$J$2:$N$354,3,FALSE))</f>
        <v>_</v>
      </c>
      <c r="BN961" s="44"/>
      <c r="BO961" s="45" t="s">
        <v>16</v>
      </c>
      <c r="BP961" s="46" t="str">
        <f>IF(VLOOKUP(BO961,βοηθητικό!$J$2:$N$354,3,FALSE)="","",VLOOKUP(BO961,βοηθητικό!$J$2:$N$354,3,FALSE))</f>
        <v>_</v>
      </c>
      <c r="BQ961" s="47"/>
      <c r="BR961" s="42" t="s">
        <v>16</v>
      </c>
      <c r="BS961" s="43" t="str">
        <f>IF(VLOOKUP(BR961,βοηθητικό!$J$2:$N$354,3,FALSE)="","",VLOOKUP(BR961,βοηθητικό!$J$2:$N$354,3,FALSE))</f>
        <v>_</v>
      </c>
      <c r="BT961" s="44"/>
      <c r="BU961" s="45" t="s">
        <v>16</v>
      </c>
      <c r="BV961" s="46" t="str">
        <f>IF(VLOOKUP(BU961,βοηθητικό!$J$2:$N$354,3,FALSE)="","",VLOOKUP(BU961,βοηθητικό!$J$2:$N$354,3,FALSE))</f>
        <v>_</v>
      </c>
      <c r="BW961" s="47"/>
      <c r="BX961" s="42" t="s">
        <v>16</v>
      </c>
      <c r="BY961" s="43" t="str">
        <f>IF(VLOOKUP(BX961,βοηθητικό!$J$2:$N$354,3,FALSE)="","",VLOOKUP(BX961,βοηθητικό!$J$2:$N$354,3,FALSE))</f>
        <v>_</v>
      </c>
      <c r="BZ961" s="44"/>
      <c r="CA961" s="45" t="s">
        <v>16</v>
      </c>
      <c r="CB961" s="46" t="str">
        <f>IF(VLOOKUP(CA961,βοηθητικό!$J$2:$N$354,3,FALSE)="","",VLOOKUP(CA961,βοηθητικό!$J$2:$N$354,3,FALSE))</f>
        <v>_</v>
      </c>
      <c r="CC961" s="47"/>
      <c r="CD961" s="42" t="s">
        <v>16</v>
      </c>
      <c r="CE961" s="43" t="str">
        <f>IF(VLOOKUP(CD961,βοηθητικό!$J$2:$N$354,3,FALSE)="","",VLOOKUP(CD961,βοηθητικό!$J$2:$N$354,3,FALSE))</f>
        <v>_</v>
      </c>
      <c r="CF961" s="44"/>
      <c r="CG961" s="45" t="s">
        <v>16</v>
      </c>
      <c r="CH961" s="46" t="str">
        <f>IF(VLOOKUP(CG961,βοηθητικό!$J$2:$N$354,3,FALSE)="","",VLOOKUP(CG961,βοηθητικό!$J$2:$N$354,3,FALSE))</f>
        <v>_</v>
      </c>
      <c r="CI961" s="47"/>
      <c r="CJ961" s="42" t="s">
        <v>16</v>
      </c>
      <c r="CK961" s="43" t="str">
        <f>IF(VLOOKUP(CJ961,βοηθητικό!$J$2:$N$354,3,FALSE)="","",VLOOKUP(CJ961,βοηθητικό!$J$2:$N$354,3,FALSE))</f>
        <v>_</v>
      </c>
      <c r="CL961" s="44"/>
      <c r="CM961" s="45" t="s">
        <v>16</v>
      </c>
      <c r="CN961" s="46" t="str">
        <f>IF(VLOOKUP(CM961,βοηθητικό!$J$2:$N$354,3,FALSE)="","",VLOOKUP(CM961,βοηθητικό!$J$2:$N$354,3,FALSE))</f>
        <v>_</v>
      </c>
      <c r="CO961" s="47"/>
      <c r="CP961" s="42" t="s">
        <v>16</v>
      </c>
      <c r="CQ961" s="43" t="str">
        <f>IF(VLOOKUP(CP961,βοηθητικό!$J$2:$N$354,3,FALSE)="","",VLOOKUP(CP961,βοηθητικό!$J$2:$N$354,3,FALSE))</f>
        <v>_</v>
      </c>
      <c r="CR961" s="44"/>
      <c r="CS961" s="45" t="s">
        <v>16</v>
      </c>
      <c r="CT961" s="46" t="str">
        <f>IF(VLOOKUP(CS961,βοηθητικό!$J$2:$N$354,3,FALSE)="","",VLOOKUP(CS961,βοηθητικό!$J$2:$N$354,3,FALSE))</f>
        <v>_</v>
      </c>
      <c r="CU961" s="47"/>
    </row>
    <row r="962" spans="1:99" x14ac:dyDescent="0.25">
      <c r="A962" s="37">
        <f>--SUBTOTAL(3,$B$3:B961)</f>
        <v>198</v>
      </c>
      <c r="B962" s="2"/>
      <c r="C962" s="3"/>
      <c r="D962" s="55" t="s">
        <v>18</v>
      </c>
      <c r="E962" s="38" t="s">
        <v>16</v>
      </c>
      <c r="F962" s="38"/>
      <c r="G962" s="39" t="str">
        <f t="shared" si="44"/>
        <v>__</v>
      </c>
      <c r="H962" s="40" t="str">
        <f t="shared" si="45"/>
        <v>FALSE</v>
      </c>
      <c r="I962" s="41">
        <f t="shared" si="46"/>
        <v>0</v>
      </c>
      <c r="J962" s="4" t="s">
        <v>16</v>
      </c>
      <c r="K962" s="43" t="str">
        <f>IF(VLOOKUP(J962,βοηθητικό!$J$2:$N$354,3,FALSE)="","",VLOOKUP(J962,βοηθητικό!$J$2:$N$354,3,FALSE))</f>
        <v>_</v>
      </c>
      <c r="L962" s="44"/>
      <c r="M962" s="5" t="s">
        <v>16</v>
      </c>
      <c r="N962" s="46" t="str">
        <f>IF(VLOOKUP(M962,βοηθητικό!$J$2:$N$354,3,FALSE)="","",VLOOKUP(M962,βοηθητικό!$J$2:$N$354,3,FALSE))</f>
        <v>_</v>
      </c>
      <c r="O962" s="47"/>
      <c r="P962" s="4" t="s">
        <v>16</v>
      </c>
      <c r="Q962" s="43" t="str">
        <f>IF(VLOOKUP(P962,βοηθητικό!$J$2:$N$354,3,FALSE)="","",VLOOKUP(P962,βοηθητικό!$J$2:$N$354,3,FALSE))</f>
        <v>_</v>
      </c>
      <c r="R962" s="44"/>
      <c r="S962" s="5" t="s">
        <v>16</v>
      </c>
      <c r="T962" s="46" t="str">
        <f>IF(VLOOKUP(S962,βοηθητικό!$J$2:$N$354,3,FALSE)="","",VLOOKUP(S962,βοηθητικό!$J$2:$N$354,3,FALSE))</f>
        <v>_</v>
      </c>
      <c r="U962" s="47"/>
      <c r="V962" s="4" t="s">
        <v>16</v>
      </c>
      <c r="W962" s="43" t="str">
        <f>IF(VLOOKUP(V962,βοηθητικό!$J$2:$N$354,3,FALSE)="","",VLOOKUP(V962,βοηθητικό!$J$2:$N$354,3,FALSE))</f>
        <v>_</v>
      </c>
      <c r="X962" s="44"/>
      <c r="Y962" s="5" t="s">
        <v>16</v>
      </c>
      <c r="Z962" s="46" t="str">
        <f>IF(VLOOKUP(Y962,βοηθητικό!$J$2:$N$354,3,FALSE)="","",VLOOKUP(Y962,βοηθητικό!$J$2:$N$354,3,FALSE))</f>
        <v>_</v>
      </c>
      <c r="AA962" s="47"/>
      <c r="AB962" s="4" t="s">
        <v>16</v>
      </c>
      <c r="AC962" s="43" t="str">
        <f>IF(VLOOKUP(AB962,βοηθητικό!$J$2:$N$354,3,FALSE)="","",VLOOKUP(AB962,βοηθητικό!$J$2:$N$354,3,FALSE))</f>
        <v>_</v>
      </c>
      <c r="AD962" s="44"/>
      <c r="AE962" s="5" t="s">
        <v>16</v>
      </c>
      <c r="AF962" s="46" t="str">
        <f>IF(VLOOKUP(AE962,βοηθητικό!$J$2:$N$354,3,FALSE)="","",VLOOKUP(AE962,βοηθητικό!$J$2:$N$354,3,FALSE))</f>
        <v>_</v>
      </c>
      <c r="AG962" s="47"/>
      <c r="AH962" s="4" t="s">
        <v>16</v>
      </c>
      <c r="AI962" s="43" t="str">
        <f>IF(VLOOKUP(AH962,βοηθητικό!$J$2:$N$354,3,FALSE)="","",VLOOKUP(AH962,βοηθητικό!$J$2:$N$354,3,FALSE))</f>
        <v>_</v>
      </c>
      <c r="AJ962" s="44"/>
      <c r="AK962" s="5" t="s">
        <v>16</v>
      </c>
      <c r="AL962" s="46" t="str">
        <f>IF(VLOOKUP(AK962,βοηθητικό!$J$2:$N$354,3,FALSE)="","",VLOOKUP(AK962,βοηθητικό!$J$2:$N$354,3,FALSE))</f>
        <v>_</v>
      </c>
      <c r="AM962" s="47"/>
      <c r="AN962" s="4" t="s">
        <v>16</v>
      </c>
      <c r="AO962" s="43" t="str">
        <f>IF(VLOOKUP(AN962,βοηθητικό!$J$2:$N$354,3,FALSE)="","",VLOOKUP(AN962,βοηθητικό!$J$2:$N$354,3,FALSE))</f>
        <v>_</v>
      </c>
      <c r="AP962" s="44"/>
      <c r="AQ962" s="5" t="s">
        <v>16</v>
      </c>
      <c r="AR962" s="46" t="str">
        <f>IF(VLOOKUP(AQ962,βοηθητικό!$J$2:$N$354,3,FALSE)="","",VLOOKUP(AQ962,βοηθητικό!$J$2:$N$354,3,FALSE))</f>
        <v>_</v>
      </c>
      <c r="AS962" s="47"/>
      <c r="AT962" s="4" t="s">
        <v>16</v>
      </c>
      <c r="AU962" s="43" t="str">
        <f>IF(VLOOKUP(AT962,βοηθητικό!$J$2:$N$354,3,FALSE)="","",VLOOKUP(AT962,βοηθητικό!$J$2:$N$354,3,FALSE))</f>
        <v>_</v>
      </c>
      <c r="AV962" s="44"/>
      <c r="AW962" s="5" t="s">
        <v>16</v>
      </c>
      <c r="AX962" s="46" t="str">
        <f>IF(VLOOKUP(AW962,βοηθητικό!$J$2:$N$354,3,FALSE)="","",VLOOKUP(AW962,βοηθητικό!$J$2:$N$354,3,FALSE))</f>
        <v>_</v>
      </c>
      <c r="AY962" s="47"/>
      <c r="AZ962" s="4" t="s">
        <v>16</v>
      </c>
      <c r="BA962" s="43" t="str">
        <f>IF(VLOOKUP(AZ962,βοηθητικό!$J$2:$N$354,3,FALSE)="","",VLOOKUP(AZ962,βοηθητικό!$J$2:$N$354,3,FALSE))</f>
        <v>_</v>
      </c>
      <c r="BB962" s="44"/>
      <c r="BC962" s="45" t="s">
        <v>16</v>
      </c>
      <c r="BD962" s="46" t="str">
        <f>IF(VLOOKUP(BC962,βοηθητικό!$J$2:$N$354,3,FALSE)="","",VLOOKUP(BC962,βοηθητικό!$J$2:$N$354,3,FALSE))</f>
        <v>_</v>
      </c>
      <c r="BE962" s="47"/>
      <c r="BF962" s="42" t="s">
        <v>16</v>
      </c>
      <c r="BG962" s="43" t="str">
        <f>IF(VLOOKUP(BF962,βοηθητικό!$J$2:$N$354,3,FALSE)="","",VLOOKUP(BF962,βοηθητικό!$J$2:$N$354,3,FALSE))</f>
        <v>_</v>
      </c>
      <c r="BH962" s="44"/>
      <c r="BI962" s="45" t="s">
        <v>16</v>
      </c>
      <c r="BJ962" s="46" t="str">
        <f>IF(VLOOKUP(BI962,βοηθητικό!$J$2:$N$354,3,FALSE)="","",VLOOKUP(BI962,βοηθητικό!$J$2:$N$354,3,FALSE))</f>
        <v>_</v>
      </c>
      <c r="BK962" s="47"/>
      <c r="BL962" s="42" t="s">
        <v>16</v>
      </c>
      <c r="BM962" s="43" t="str">
        <f>IF(VLOOKUP(BL962,βοηθητικό!$J$2:$N$354,3,FALSE)="","",VLOOKUP(BL962,βοηθητικό!$J$2:$N$354,3,FALSE))</f>
        <v>_</v>
      </c>
      <c r="BN962" s="44"/>
      <c r="BO962" s="45" t="s">
        <v>16</v>
      </c>
      <c r="BP962" s="46" t="str">
        <f>IF(VLOOKUP(BO962,βοηθητικό!$J$2:$N$354,3,FALSE)="","",VLOOKUP(BO962,βοηθητικό!$J$2:$N$354,3,FALSE))</f>
        <v>_</v>
      </c>
      <c r="BQ962" s="47"/>
      <c r="BR962" s="42" t="s">
        <v>16</v>
      </c>
      <c r="BS962" s="43" t="str">
        <f>IF(VLOOKUP(BR962,βοηθητικό!$J$2:$N$354,3,FALSE)="","",VLOOKUP(BR962,βοηθητικό!$J$2:$N$354,3,FALSE))</f>
        <v>_</v>
      </c>
      <c r="BT962" s="44"/>
      <c r="BU962" s="45" t="s">
        <v>16</v>
      </c>
      <c r="BV962" s="46" t="str">
        <f>IF(VLOOKUP(BU962,βοηθητικό!$J$2:$N$354,3,FALSE)="","",VLOOKUP(BU962,βοηθητικό!$J$2:$N$354,3,FALSE))</f>
        <v>_</v>
      </c>
      <c r="BW962" s="47"/>
      <c r="BX962" s="42" t="s">
        <v>16</v>
      </c>
      <c r="BY962" s="43" t="str">
        <f>IF(VLOOKUP(BX962,βοηθητικό!$J$2:$N$354,3,FALSE)="","",VLOOKUP(BX962,βοηθητικό!$J$2:$N$354,3,FALSE))</f>
        <v>_</v>
      </c>
      <c r="BZ962" s="44"/>
      <c r="CA962" s="45" t="s">
        <v>16</v>
      </c>
      <c r="CB962" s="46" t="str">
        <f>IF(VLOOKUP(CA962,βοηθητικό!$J$2:$N$354,3,FALSE)="","",VLOOKUP(CA962,βοηθητικό!$J$2:$N$354,3,FALSE))</f>
        <v>_</v>
      </c>
      <c r="CC962" s="47"/>
      <c r="CD962" s="42" t="s">
        <v>16</v>
      </c>
      <c r="CE962" s="43" t="str">
        <f>IF(VLOOKUP(CD962,βοηθητικό!$J$2:$N$354,3,FALSE)="","",VLOOKUP(CD962,βοηθητικό!$J$2:$N$354,3,FALSE))</f>
        <v>_</v>
      </c>
      <c r="CF962" s="44"/>
      <c r="CG962" s="45" t="s">
        <v>16</v>
      </c>
      <c r="CH962" s="46" t="str">
        <f>IF(VLOOKUP(CG962,βοηθητικό!$J$2:$N$354,3,FALSE)="","",VLOOKUP(CG962,βοηθητικό!$J$2:$N$354,3,FALSE))</f>
        <v>_</v>
      </c>
      <c r="CI962" s="47"/>
      <c r="CJ962" s="42" t="s">
        <v>16</v>
      </c>
      <c r="CK962" s="43" t="str">
        <f>IF(VLOOKUP(CJ962,βοηθητικό!$J$2:$N$354,3,FALSE)="","",VLOOKUP(CJ962,βοηθητικό!$J$2:$N$354,3,FALSE))</f>
        <v>_</v>
      </c>
      <c r="CL962" s="44"/>
      <c r="CM962" s="45" t="s">
        <v>16</v>
      </c>
      <c r="CN962" s="46" t="str">
        <f>IF(VLOOKUP(CM962,βοηθητικό!$J$2:$N$354,3,FALSE)="","",VLOOKUP(CM962,βοηθητικό!$J$2:$N$354,3,FALSE))</f>
        <v>_</v>
      </c>
      <c r="CO962" s="47"/>
      <c r="CP962" s="42" t="s">
        <v>16</v>
      </c>
      <c r="CQ962" s="43" t="str">
        <f>IF(VLOOKUP(CP962,βοηθητικό!$J$2:$N$354,3,FALSE)="","",VLOOKUP(CP962,βοηθητικό!$J$2:$N$354,3,FALSE))</f>
        <v>_</v>
      </c>
      <c r="CR962" s="44"/>
      <c r="CS962" s="45" t="s">
        <v>16</v>
      </c>
      <c r="CT962" s="46" t="str">
        <f>IF(VLOOKUP(CS962,βοηθητικό!$J$2:$N$354,3,FALSE)="","",VLOOKUP(CS962,βοηθητικό!$J$2:$N$354,3,FALSE))</f>
        <v>_</v>
      </c>
      <c r="CU962" s="47"/>
    </row>
    <row r="963" spans="1:99" x14ac:dyDescent="0.25">
      <c r="A963" s="37">
        <f>--SUBTOTAL(3,$B$3:B962)</f>
        <v>198</v>
      </c>
      <c r="B963" s="2"/>
      <c r="C963" s="3"/>
      <c r="D963" s="55" t="s">
        <v>18</v>
      </c>
      <c r="E963" s="38" t="s">
        <v>16</v>
      </c>
      <c r="F963" s="38"/>
      <c r="G963" s="39" t="str">
        <f t="shared" si="44"/>
        <v>__</v>
      </c>
      <c r="H963" s="40" t="str">
        <f t="shared" si="45"/>
        <v>FALSE</v>
      </c>
      <c r="I963" s="41">
        <f t="shared" si="46"/>
        <v>0</v>
      </c>
      <c r="J963" s="4" t="s">
        <v>16</v>
      </c>
      <c r="K963" s="43" t="str">
        <f>IF(VLOOKUP(J963,βοηθητικό!$J$2:$N$354,3,FALSE)="","",VLOOKUP(J963,βοηθητικό!$J$2:$N$354,3,FALSE))</f>
        <v>_</v>
      </c>
      <c r="L963" s="44"/>
      <c r="M963" s="5" t="s">
        <v>16</v>
      </c>
      <c r="N963" s="46" t="str">
        <f>IF(VLOOKUP(M963,βοηθητικό!$J$2:$N$354,3,FALSE)="","",VLOOKUP(M963,βοηθητικό!$J$2:$N$354,3,FALSE))</f>
        <v>_</v>
      </c>
      <c r="O963" s="47"/>
      <c r="P963" s="4" t="s">
        <v>16</v>
      </c>
      <c r="Q963" s="43" t="str">
        <f>IF(VLOOKUP(P963,βοηθητικό!$J$2:$N$354,3,FALSE)="","",VLOOKUP(P963,βοηθητικό!$J$2:$N$354,3,FALSE))</f>
        <v>_</v>
      </c>
      <c r="R963" s="44"/>
      <c r="S963" s="5" t="s">
        <v>16</v>
      </c>
      <c r="T963" s="46" t="str">
        <f>IF(VLOOKUP(S963,βοηθητικό!$J$2:$N$354,3,FALSE)="","",VLOOKUP(S963,βοηθητικό!$J$2:$N$354,3,FALSE))</f>
        <v>_</v>
      </c>
      <c r="U963" s="47"/>
      <c r="V963" s="4" t="s">
        <v>16</v>
      </c>
      <c r="W963" s="43" t="str">
        <f>IF(VLOOKUP(V963,βοηθητικό!$J$2:$N$354,3,FALSE)="","",VLOOKUP(V963,βοηθητικό!$J$2:$N$354,3,FALSE))</f>
        <v>_</v>
      </c>
      <c r="X963" s="44"/>
      <c r="Y963" s="5" t="s">
        <v>16</v>
      </c>
      <c r="Z963" s="46" t="str">
        <f>IF(VLOOKUP(Y963,βοηθητικό!$J$2:$N$354,3,FALSE)="","",VLOOKUP(Y963,βοηθητικό!$J$2:$N$354,3,FALSE))</f>
        <v>_</v>
      </c>
      <c r="AA963" s="47"/>
      <c r="AB963" s="4" t="s">
        <v>16</v>
      </c>
      <c r="AC963" s="43" t="str">
        <f>IF(VLOOKUP(AB963,βοηθητικό!$J$2:$N$354,3,FALSE)="","",VLOOKUP(AB963,βοηθητικό!$J$2:$N$354,3,FALSE))</f>
        <v>_</v>
      </c>
      <c r="AD963" s="44"/>
      <c r="AE963" s="5" t="s">
        <v>16</v>
      </c>
      <c r="AF963" s="46" t="str">
        <f>IF(VLOOKUP(AE963,βοηθητικό!$J$2:$N$354,3,FALSE)="","",VLOOKUP(AE963,βοηθητικό!$J$2:$N$354,3,FALSE))</f>
        <v>_</v>
      </c>
      <c r="AG963" s="47"/>
      <c r="AH963" s="4" t="s">
        <v>16</v>
      </c>
      <c r="AI963" s="43" t="str">
        <f>IF(VLOOKUP(AH963,βοηθητικό!$J$2:$N$354,3,FALSE)="","",VLOOKUP(AH963,βοηθητικό!$J$2:$N$354,3,FALSE))</f>
        <v>_</v>
      </c>
      <c r="AJ963" s="44"/>
      <c r="AK963" s="5" t="s">
        <v>16</v>
      </c>
      <c r="AL963" s="46" t="str">
        <f>IF(VLOOKUP(AK963,βοηθητικό!$J$2:$N$354,3,FALSE)="","",VLOOKUP(AK963,βοηθητικό!$J$2:$N$354,3,FALSE))</f>
        <v>_</v>
      </c>
      <c r="AM963" s="47"/>
      <c r="AN963" s="4" t="s">
        <v>16</v>
      </c>
      <c r="AO963" s="43" t="str">
        <f>IF(VLOOKUP(AN963,βοηθητικό!$J$2:$N$354,3,FALSE)="","",VLOOKUP(AN963,βοηθητικό!$J$2:$N$354,3,FALSE))</f>
        <v>_</v>
      </c>
      <c r="AP963" s="44"/>
      <c r="AQ963" s="5" t="s">
        <v>16</v>
      </c>
      <c r="AR963" s="46" t="str">
        <f>IF(VLOOKUP(AQ963,βοηθητικό!$J$2:$N$354,3,FALSE)="","",VLOOKUP(AQ963,βοηθητικό!$J$2:$N$354,3,FALSE))</f>
        <v>_</v>
      </c>
      <c r="AS963" s="47"/>
      <c r="AT963" s="4" t="s">
        <v>16</v>
      </c>
      <c r="AU963" s="43" t="str">
        <f>IF(VLOOKUP(AT963,βοηθητικό!$J$2:$N$354,3,FALSE)="","",VLOOKUP(AT963,βοηθητικό!$J$2:$N$354,3,FALSE))</f>
        <v>_</v>
      </c>
      <c r="AV963" s="44"/>
      <c r="AW963" s="5" t="s">
        <v>16</v>
      </c>
      <c r="AX963" s="46" t="str">
        <f>IF(VLOOKUP(AW963,βοηθητικό!$J$2:$N$354,3,FALSE)="","",VLOOKUP(AW963,βοηθητικό!$J$2:$N$354,3,FALSE))</f>
        <v>_</v>
      </c>
      <c r="AY963" s="47"/>
      <c r="AZ963" s="4" t="s">
        <v>16</v>
      </c>
      <c r="BA963" s="43" t="str">
        <f>IF(VLOOKUP(AZ963,βοηθητικό!$J$2:$N$354,3,FALSE)="","",VLOOKUP(AZ963,βοηθητικό!$J$2:$N$354,3,FALSE))</f>
        <v>_</v>
      </c>
      <c r="BB963" s="44"/>
      <c r="BC963" s="45" t="s">
        <v>16</v>
      </c>
      <c r="BD963" s="46" t="str">
        <f>IF(VLOOKUP(BC963,βοηθητικό!$J$2:$N$354,3,FALSE)="","",VLOOKUP(BC963,βοηθητικό!$J$2:$N$354,3,FALSE))</f>
        <v>_</v>
      </c>
      <c r="BE963" s="47"/>
      <c r="BF963" s="42" t="s">
        <v>16</v>
      </c>
      <c r="BG963" s="43" t="str">
        <f>IF(VLOOKUP(BF963,βοηθητικό!$J$2:$N$354,3,FALSE)="","",VLOOKUP(BF963,βοηθητικό!$J$2:$N$354,3,FALSE))</f>
        <v>_</v>
      </c>
      <c r="BH963" s="44"/>
      <c r="BI963" s="45" t="s">
        <v>16</v>
      </c>
      <c r="BJ963" s="46" t="str">
        <f>IF(VLOOKUP(BI963,βοηθητικό!$J$2:$N$354,3,FALSE)="","",VLOOKUP(BI963,βοηθητικό!$J$2:$N$354,3,FALSE))</f>
        <v>_</v>
      </c>
      <c r="BK963" s="47"/>
      <c r="BL963" s="42" t="s">
        <v>16</v>
      </c>
      <c r="BM963" s="43" t="str">
        <f>IF(VLOOKUP(BL963,βοηθητικό!$J$2:$N$354,3,FALSE)="","",VLOOKUP(BL963,βοηθητικό!$J$2:$N$354,3,FALSE))</f>
        <v>_</v>
      </c>
      <c r="BN963" s="44"/>
      <c r="BO963" s="45" t="s">
        <v>16</v>
      </c>
      <c r="BP963" s="46" t="str">
        <f>IF(VLOOKUP(BO963,βοηθητικό!$J$2:$N$354,3,FALSE)="","",VLOOKUP(BO963,βοηθητικό!$J$2:$N$354,3,FALSE))</f>
        <v>_</v>
      </c>
      <c r="BQ963" s="47"/>
      <c r="BR963" s="42" t="s">
        <v>16</v>
      </c>
      <c r="BS963" s="43" t="str">
        <f>IF(VLOOKUP(BR963,βοηθητικό!$J$2:$N$354,3,FALSE)="","",VLOOKUP(BR963,βοηθητικό!$J$2:$N$354,3,FALSE))</f>
        <v>_</v>
      </c>
      <c r="BT963" s="44"/>
      <c r="BU963" s="45" t="s">
        <v>16</v>
      </c>
      <c r="BV963" s="46" t="str">
        <f>IF(VLOOKUP(BU963,βοηθητικό!$J$2:$N$354,3,FALSE)="","",VLOOKUP(BU963,βοηθητικό!$J$2:$N$354,3,FALSE))</f>
        <v>_</v>
      </c>
      <c r="BW963" s="47"/>
      <c r="BX963" s="42" t="s">
        <v>16</v>
      </c>
      <c r="BY963" s="43" t="str">
        <f>IF(VLOOKUP(BX963,βοηθητικό!$J$2:$N$354,3,FALSE)="","",VLOOKUP(BX963,βοηθητικό!$J$2:$N$354,3,FALSE))</f>
        <v>_</v>
      </c>
      <c r="BZ963" s="44"/>
      <c r="CA963" s="45" t="s">
        <v>16</v>
      </c>
      <c r="CB963" s="46" t="str">
        <f>IF(VLOOKUP(CA963,βοηθητικό!$J$2:$N$354,3,FALSE)="","",VLOOKUP(CA963,βοηθητικό!$J$2:$N$354,3,FALSE))</f>
        <v>_</v>
      </c>
      <c r="CC963" s="47"/>
      <c r="CD963" s="42" t="s">
        <v>16</v>
      </c>
      <c r="CE963" s="43" t="str">
        <f>IF(VLOOKUP(CD963,βοηθητικό!$J$2:$N$354,3,FALSE)="","",VLOOKUP(CD963,βοηθητικό!$J$2:$N$354,3,FALSE))</f>
        <v>_</v>
      </c>
      <c r="CF963" s="44"/>
      <c r="CG963" s="45" t="s">
        <v>16</v>
      </c>
      <c r="CH963" s="46" t="str">
        <f>IF(VLOOKUP(CG963,βοηθητικό!$J$2:$N$354,3,FALSE)="","",VLOOKUP(CG963,βοηθητικό!$J$2:$N$354,3,FALSE))</f>
        <v>_</v>
      </c>
      <c r="CI963" s="47"/>
      <c r="CJ963" s="42" t="s">
        <v>16</v>
      </c>
      <c r="CK963" s="43" t="str">
        <f>IF(VLOOKUP(CJ963,βοηθητικό!$J$2:$N$354,3,FALSE)="","",VLOOKUP(CJ963,βοηθητικό!$J$2:$N$354,3,FALSE))</f>
        <v>_</v>
      </c>
      <c r="CL963" s="44"/>
      <c r="CM963" s="45" t="s">
        <v>16</v>
      </c>
      <c r="CN963" s="46" t="str">
        <f>IF(VLOOKUP(CM963,βοηθητικό!$J$2:$N$354,3,FALSE)="","",VLOOKUP(CM963,βοηθητικό!$J$2:$N$354,3,FALSE))</f>
        <v>_</v>
      </c>
      <c r="CO963" s="47"/>
      <c r="CP963" s="42" t="s">
        <v>16</v>
      </c>
      <c r="CQ963" s="43" t="str">
        <f>IF(VLOOKUP(CP963,βοηθητικό!$J$2:$N$354,3,FALSE)="","",VLOOKUP(CP963,βοηθητικό!$J$2:$N$354,3,FALSE))</f>
        <v>_</v>
      </c>
      <c r="CR963" s="44"/>
      <c r="CS963" s="45" t="s">
        <v>16</v>
      </c>
      <c r="CT963" s="46" t="str">
        <f>IF(VLOOKUP(CS963,βοηθητικό!$J$2:$N$354,3,FALSE)="","",VLOOKUP(CS963,βοηθητικό!$J$2:$N$354,3,FALSE))</f>
        <v>_</v>
      </c>
      <c r="CU963" s="47"/>
    </row>
    <row r="964" spans="1:99" x14ac:dyDescent="0.25">
      <c r="A964" s="37">
        <f>--SUBTOTAL(3,$B$3:B963)</f>
        <v>198</v>
      </c>
      <c r="B964" s="2"/>
      <c r="C964" s="3"/>
      <c r="D964" s="55" t="s">
        <v>18</v>
      </c>
      <c r="E964" s="38" t="s">
        <v>16</v>
      </c>
      <c r="F964" s="38"/>
      <c r="G964" s="39" t="str">
        <f t="shared" ref="G964:G1004" si="47">IF(OR(C964="_",E964="_"),"__",CONCATENATE(C964,E964))</f>
        <v>__</v>
      </c>
      <c r="H964" s="40" t="str">
        <f t="shared" ref="H964:H1004" si="48">IF(G964="__","FALSE",COUNTIF(G:G,G964)&gt;1)</f>
        <v>FALSE</v>
      </c>
      <c r="I964" s="41">
        <f t="shared" ref="I964:I1004" si="49">SUMPRODUCT((J964:CU964&lt;&gt;"_")*(MOD(COLUMN(J964:CU964)-COLUMN(J964),3)=0))</f>
        <v>0</v>
      </c>
      <c r="J964" s="4" t="s">
        <v>16</v>
      </c>
      <c r="K964" s="43" t="str">
        <f>IF(VLOOKUP(J964,βοηθητικό!$J$2:$N$354,3,FALSE)="","",VLOOKUP(J964,βοηθητικό!$J$2:$N$354,3,FALSE))</f>
        <v>_</v>
      </c>
      <c r="L964" s="44"/>
      <c r="M964" s="5" t="s">
        <v>16</v>
      </c>
      <c r="N964" s="46" t="str">
        <f>IF(VLOOKUP(M964,βοηθητικό!$J$2:$N$354,3,FALSE)="","",VLOOKUP(M964,βοηθητικό!$J$2:$N$354,3,FALSE))</f>
        <v>_</v>
      </c>
      <c r="O964" s="47"/>
      <c r="P964" s="4" t="s">
        <v>16</v>
      </c>
      <c r="Q964" s="43" t="str">
        <f>IF(VLOOKUP(P964,βοηθητικό!$J$2:$N$354,3,FALSE)="","",VLOOKUP(P964,βοηθητικό!$J$2:$N$354,3,FALSE))</f>
        <v>_</v>
      </c>
      <c r="R964" s="44"/>
      <c r="S964" s="5" t="s">
        <v>16</v>
      </c>
      <c r="T964" s="46" t="str">
        <f>IF(VLOOKUP(S964,βοηθητικό!$J$2:$N$354,3,FALSE)="","",VLOOKUP(S964,βοηθητικό!$J$2:$N$354,3,FALSE))</f>
        <v>_</v>
      </c>
      <c r="U964" s="47"/>
      <c r="V964" s="4" t="s">
        <v>16</v>
      </c>
      <c r="W964" s="43" t="str">
        <f>IF(VLOOKUP(V964,βοηθητικό!$J$2:$N$354,3,FALSE)="","",VLOOKUP(V964,βοηθητικό!$J$2:$N$354,3,FALSE))</f>
        <v>_</v>
      </c>
      <c r="X964" s="44"/>
      <c r="Y964" s="5" t="s">
        <v>16</v>
      </c>
      <c r="Z964" s="46" t="str">
        <f>IF(VLOOKUP(Y964,βοηθητικό!$J$2:$N$354,3,FALSE)="","",VLOOKUP(Y964,βοηθητικό!$J$2:$N$354,3,FALSE))</f>
        <v>_</v>
      </c>
      <c r="AA964" s="47"/>
      <c r="AB964" s="4" t="s">
        <v>16</v>
      </c>
      <c r="AC964" s="43" t="str">
        <f>IF(VLOOKUP(AB964,βοηθητικό!$J$2:$N$354,3,FALSE)="","",VLOOKUP(AB964,βοηθητικό!$J$2:$N$354,3,FALSE))</f>
        <v>_</v>
      </c>
      <c r="AD964" s="44"/>
      <c r="AE964" s="5" t="s">
        <v>16</v>
      </c>
      <c r="AF964" s="46" t="str">
        <f>IF(VLOOKUP(AE964,βοηθητικό!$J$2:$N$354,3,FALSE)="","",VLOOKUP(AE964,βοηθητικό!$J$2:$N$354,3,FALSE))</f>
        <v>_</v>
      </c>
      <c r="AG964" s="47"/>
      <c r="AH964" s="4" t="s">
        <v>16</v>
      </c>
      <c r="AI964" s="43" t="str">
        <f>IF(VLOOKUP(AH964,βοηθητικό!$J$2:$N$354,3,FALSE)="","",VLOOKUP(AH964,βοηθητικό!$J$2:$N$354,3,FALSE))</f>
        <v>_</v>
      </c>
      <c r="AJ964" s="44"/>
      <c r="AK964" s="5" t="s">
        <v>16</v>
      </c>
      <c r="AL964" s="46" t="str">
        <f>IF(VLOOKUP(AK964,βοηθητικό!$J$2:$N$354,3,FALSE)="","",VLOOKUP(AK964,βοηθητικό!$J$2:$N$354,3,FALSE))</f>
        <v>_</v>
      </c>
      <c r="AM964" s="47"/>
      <c r="AN964" s="4" t="s">
        <v>16</v>
      </c>
      <c r="AO964" s="43" t="str">
        <f>IF(VLOOKUP(AN964,βοηθητικό!$J$2:$N$354,3,FALSE)="","",VLOOKUP(AN964,βοηθητικό!$J$2:$N$354,3,FALSE))</f>
        <v>_</v>
      </c>
      <c r="AP964" s="44"/>
      <c r="AQ964" s="5" t="s">
        <v>16</v>
      </c>
      <c r="AR964" s="46" t="str">
        <f>IF(VLOOKUP(AQ964,βοηθητικό!$J$2:$N$354,3,FALSE)="","",VLOOKUP(AQ964,βοηθητικό!$J$2:$N$354,3,FALSE))</f>
        <v>_</v>
      </c>
      <c r="AS964" s="47"/>
      <c r="AT964" s="4" t="s">
        <v>16</v>
      </c>
      <c r="AU964" s="43" t="str">
        <f>IF(VLOOKUP(AT964,βοηθητικό!$J$2:$N$354,3,FALSE)="","",VLOOKUP(AT964,βοηθητικό!$J$2:$N$354,3,FALSE))</f>
        <v>_</v>
      </c>
      <c r="AV964" s="44"/>
      <c r="AW964" s="5" t="s">
        <v>16</v>
      </c>
      <c r="AX964" s="46" t="str">
        <f>IF(VLOOKUP(AW964,βοηθητικό!$J$2:$N$354,3,FALSE)="","",VLOOKUP(AW964,βοηθητικό!$J$2:$N$354,3,FALSE))</f>
        <v>_</v>
      </c>
      <c r="AY964" s="47"/>
      <c r="AZ964" s="4" t="s">
        <v>16</v>
      </c>
      <c r="BA964" s="43" t="str">
        <f>IF(VLOOKUP(AZ964,βοηθητικό!$J$2:$N$354,3,FALSE)="","",VLOOKUP(AZ964,βοηθητικό!$J$2:$N$354,3,FALSE))</f>
        <v>_</v>
      </c>
      <c r="BB964" s="44"/>
      <c r="BC964" s="45" t="s">
        <v>16</v>
      </c>
      <c r="BD964" s="46" t="str">
        <f>IF(VLOOKUP(BC964,βοηθητικό!$J$2:$N$354,3,FALSE)="","",VLOOKUP(BC964,βοηθητικό!$J$2:$N$354,3,FALSE))</f>
        <v>_</v>
      </c>
      <c r="BE964" s="47"/>
      <c r="BF964" s="42" t="s">
        <v>16</v>
      </c>
      <c r="BG964" s="43" t="str">
        <f>IF(VLOOKUP(BF964,βοηθητικό!$J$2:$N$354,3,FALSE)="","",VLOOKUP(BF964,βοηθητικό!$J$2:$N$354,3,FALSE))</f>
        <v>_</v>
      </c>
      <c r="BH964" s="44"/>
      <c r="BI964" s="45" t="s">
        <v>16</v>
      </c>
      <c r="BJ964" s="46" t="str">
        <f>IF(VLOOKUP(BI964,βοηθητικό!$J$2:$N$354,3,FALSE)="","",VLOOKUP(BI964,βοηθητικό!$J$2:$N$354,3,FALSE))</f>
        <v>_</v>
      </c>
      <c r="BK964" s="47"/>
      <c r="BL964" s="42" t="s">
        <v>16</v>
      </c>
      <c r="BM964" s="43" t="str">
        <f>IF(VLOOKUP(BL964,βοηθητικό!$J$2:$N$354,3,FALSE)="","",VLOOKUP(BL964,βοηθητικό!$J$2:$N$354,3,FALSE))</f>
        <v>_</v>
      </c>
      <c r="BN964" s="44"/>
      <c r="BO964" s="45" t="s">
        <v>16</v>
      </c>
      <c r="BP964" s="46" t="str">
        <f>IF(VLOOKUP(BO964,βοηθητικό!$J$2:$N$354,3,FALSE)="","",VLOOKUP(BO964,βοηθητικό!$J$2:$N$354,3,FALSE))</f>
        <v>_</v>
      </c>
      <c r="BQ964" s="47"/>
      <c r="BR964" s="42" t="s">
        <v>16</v>
      </c>
      <c r="BS964" s="43" t="str">
        <f>IF(VLOOKUP(BR964,βοηθητικό!$J$2:$N$354,3,FALSE)="","",VLOOKUP(BR964,βοηθητικό!$J$2:$N$354,3,FALSE))</f>
        <v>_</v>
      </c>
      <c r="BT964" s="44"/>
      <c r="BU964" s="45" t="s">
        <v>16</v>
      </c>
      <c r="BV964" s="46" t="str">
        <f>IF(VLOOKUP(BU964,βοηθητικό!$J$2:$N$354,3,FALSE)="","",VLOOKUP(BU964,βοηθητικό!$J$2:$N$354,3,FALSE))</f>
        <v>_</v>
      </c>
      <c r="BW964" s="47"/>
      <c r="BX964" s="42" t="s">
        <v>16</v>
      </c>
      <c r="BY964" s="43" t="str">
        <f>IF(VLOOKUP(BX964,βοηθητικό!$J$2:$N$354,3,FALSE)="","",VLOOKUP(BX964,βοηθητικό!$J$2:$N$354,3,FALSE))</f>
        <v>_</v>
      </c>
      <c r="BZ964" s="44"/>
      <c r="CA964" s="45" t="s">
        <v>16</v>
      </c>
      <c r="CB964" s="46" t="str">
        <f>IF(VLOOKUP(CA964,βοηθητικό!$J$2:$N$354,3,FALSE)="","",VLOOKUP(CA964,βοηθητικό!$J$2:$N$354,3,FALSE))</f>
        <v>_</v>
      </c>
      <c r="CC964" s="47"/>
      <c r="CD964" s="42" t="s">
        <v>16</v>
      </c>
      <c r="CE964" s="43" t="str">
        <f>IF(VLOOKUP(CD964,βοηθητικό!$J$2:$N$354,3,FALSE)="","",VLOOKUP(CD964,βοηθητικό!$J$2:$N$354,3,FALSE))</f>
        <v>_</v>
      </c>
      <c r="CF964" s="44"/>
      <c r="CG964" s="45" t="s">
        <v>16</v>
      </c>
      <c r="CH964" s="46" t="str">
        <f>IF(VLOOKUP(CG964,βοηθητικό!$J$2:$N$354,3,FALSE)="","",VLOOKUP(CG964,βοηθητικό!$J$2:$N$354,3,FALSE))</f>
        <v>_</v>
      </c>
      <c r="CI964" s="47"/>
      <c r="CJ964" s="42" t="s">
        <v>16</v>
      </c>
      <c r="CK964" s="43" t="str">
        <f>IF(VLOOKUP(CJ964,βοηθητικό!$J$2:$N$354,3,FALSE)="","",VLOOKUP(CJ964,βοηθητικό!$J$2:$N$354,3,FALSE))</f>
        <v>_</v>
      </c>
      <c r="CL964" s="44"/>
      <c r="CM964" s="45" t="s">
        <v>16</v>
      </c>
      <c r="CN964" s="46" t="str">
        <f>IF(VLOOKUP(CM964,βοηθητικό!$J$2:$N$354,3,FALSE)="","",VLOOKUP(CM964,βοηθητικό!$J$2:$N$354,3,FALSE))</f>
        <v>_</v>
      </c>
      <c r="CO964" s="47"/>
      <c r="CP964" s="42" t="s">
        <v>16</v>
      </c>
      <c r="CQ964" s="43" t="str">
        <f>IF(VLOOKUP(CP964,βοηθητικό!$J$2:$N$354,3,FALSE)="","",VLOOKUP(CP964,βοηθητικό!$J$2:$N$354,3,FALSE))</f>
        <v>_</v>
      </c>
      <c r="CR964" s="44"/>
      <c r="CS964" s="45" t="s">
        <v>16</v>
      </c>
      <c r="CT964" s="46" t="str">
        <f>IF(VLOOKUP(CS964,βοηθητικό!$J$2:$N$354,3,FALSE)="","",VLOOKUP(CS964,βοηθητικό!$J$2:$N$354,3,FALSE))</f>
        <v>_</v>
      </c>
      <c r="CU964" s="47"/>
    </row>
    <row r="965" spans="1:99" x14ac:dyDescent="0.25">
      <c r="A965" s="37">
        <f>--SUBTOTAL(3,$B$3:B964)</f>
        <v>198</v>
      </c>
      <c r="B965" s="2"/>
      <c r="C965" s="3"/>
      <c r="D965" s="55" t="s">
        <v>18</v>
      </c>
      <c r="E965" s="38" t="s">
        <v>16</v>
      </c>
      <c r="F965" s="38"/>
      <c r="G965" s="39" t="str">
        <f t="shared" si="47"/>
        <v>__</v>
      </c>
      <c r="H965" s="40" t="str">
        <f t="shared" si="48"/>
        <v>FALSE</v>
      </c>
      <c r="I965" s="41">
        <f t="shared" si="49"/>
        <v>0</v>
      </c>
      <c r="J965" s="4" t="s">
        <v>16</v>
      </c>
      <c r="K965" s="43" t="str">
        <f>IF(VLOOKUP(J965,βοηθητικό!$J$2:$N$354,3,FALSE)="","",VLOOKUP(J965,βοηθητικό!$J$2:$N$354,3,FALSE))</f>
        <v>_</v>
      </c>
      <c r="L965" s="44"/>
      <c r="M965" s="5" t="s">
        <v>16</v>
      </c>
      <c r="N965" s="46" t="str">
        <f>IF(VLOOKUP(M965,βοηθητικό!$J$2:$N$354,3,FALSE)="","",VLOOKUP(M965,βοηθητικό!$J$2:$N$354,3,FALSE))</f>
        <v>_</v>
      </c>
      <c r="O965" s="47"/>
      <c r="P965" s="4" t="s">
        <v>16</v>
      </c>
      <c r="Q965" s="43" t="str">
        <f>IF(VLOOKUP(P965,βοηθητικό!$J$2:$N$354,3,FALSE)="","",VLOOKUP(P965,βοηθητικό!$J$2:$N$354,3,FALSE))</f>
        <v>_</v>
      </c>
      <c r="R965" s="44"/>
      <c r="S965" s="5" t="s">
        <v>16</v>
      </c>
      <c r="T965" s="46" t="str">
        <f>IF(VLOOKUP(S965,βοηθητικό!$J$2:$N$354,3,FALSE)="","",VLOOKUP(S965,βοηθητικό!$J$2:$N$354,3,FALSE))</f>
        <v>_</v>
      </c>
      <c r="U965" s="47"/>
      <c r="V965" s="4" t="s">
        <v>16</v>
      </c>
      <c r="W965" s="43" t="str">
        <f>IF(VLOOKUP(V965,βοηθητικό!$J$2:$N$354,3,FALSE)="","",VLOOKUP(V965,βοηθητικό!$J$2:$N$354,3,FALSE))</f>
        <v>_</v>
      </c>
      <c r="X965" s="44"/>
      <c r="Y965" s="5" t="s">
        <v>16</v>
      </c>
      <c r="Z965" s="46" t="str">
        <f>IF(VLOOKUP(Y965,βοηθητικό!$J$2:$N$354,3,FALSE)="","",VLOOKUP(Y965,βοηθητικό!$J$2:$N$354,3,FALSE))</f>
        <v>_</v>
      </c>
      <c r="AA965" s="47"/>
      <c r="AB965" s="4" t="s">
        <v>16</v>
      </c>
      <c r="AC965" s="43" t="str">
        <f>IF(VLOOKUP(AB965,βοηθητικό!$J$2:$N$354,3,FALSE)="","",VLOOKUP(AB965,βοηθητικό!$J$2:$N$354,3,FALSE))</f>
        <v>_</v>
      </c>
      <c r="AD965" s="44"/>
      <c r="AE965" s="5" t="s">
        <v>16</v>
      </c>
      <c r="AF965" s="46" t="str">
        <f>IF(VLOOKUP(AE965,βοηθητικό!$J$2:$N$354,3,FALSE)="","",VLOOKUP(AE965,βοηθητικό!$J$2:$N$354,3,FALSE))</f>
        <v>_</v>
      </c>
      <c r="AG965" s="47"/>
      <c r="AH965" s="4" t="s">
        <v>16</v>
      </c>
      <c r="AI965" s="43" t="str">
        <f>IF(VLOOKUP(AH965,βοηθητικό!$J$2:$N$354,3,FALSE)="","",VLOOKUP(AH965,βοηθητικό!$J$2:$N$354,3,FALSE))</f>
        <v>_</v>
      </c>
      <c r="AJ965" s="44"/>
      <c r="AK965" s="5" t="s">
        <v>16</v>
      </c>
      <c r="AL965" s="46" t="str">
        <f>IF(VLOOKUP(AK965,βοηθητικό!$J$2:$N$354,3,FALSE)="","",VLOOKUP(AK965,βοηθητικό!$J$2:$N$354,3,FALSE))</f>
        <v>_</v>
      </c>
      <c r="AM965" s="47"/>
      <c r="AN965" s="4" t="s">
        <v>16</v>
      </c>
      <c r="AO965" s="43" t="str">
        <f>IF(VLOOKUP(AN965,βοηθητικό!$J$2:$N$354,3,FALSE)="","",VLOOKUP(AN965,βοηθητικό!$J$2:$N$354,3,FALSE))</f>
        <v>_</v>
      </c>
      <c r="AP965" s="44"/>
      <c r="AQ965" s="5" t="s">
        <v>16</v>
      </c>
      <c r="AR965" s="46" t="str">
        <f>IF(VLOOKUP(AQ965,βοηθητικό!$J$2:$N$354,3,FALSE)="","",VLOOKUP(AQ965,βοηθητικό!$J$2:$N$354,3,FALSE))</f>
        <v>_</v>
      </c>
      <c r="AS965" s="47"/>
      <c r="AT965" s="4" t="s">
        <v>16</v>
      </c>
      <c r="AU965" s="43" t="str">
        <f>IF(VLOOKUP(AT965,βοηθητικό!$J$2:$N$354,3,FALSE)="","",VLOOKUP(AT965,βοηθητικό!$J$2:$N$354,3,FALSE))</f>
        <v>_</v>
      </c>
      <c r="AV965" s="44"/>
      <c r="AW965" s="5" t="s">
        <v>16</v>
      </c>
      <c r="AX965" s="46" t="str">
        <f>IF(VLOOKUP(AW965,βοηθητικό!$J$2:$N$354,3,FALSE)="","",VLOOKUP(AW965,βοηθητικό!$J$2:$N$354,3,FALSE))</f>
        <v>_</v>
      </c>
      <c r="AY965" s="47"/>
      <c r="AZ965" s="4" t="s">
        <v>16</v>
      </c>
      <c r="BA965" s="43" t="str">
        <f>IF(VLOOKUP(AZ965,βοηθητικό!$J$2:$N$354,3,FALSE)="","",VLOOKUP(AZ965,βοηθητικό!$J$2:$N$354,3,FALSE))</f>
        <v>_</v>
      </c>
      <c r="BB965" s="44"/>
      <c r="BC965" s="45" t="s">
        <v>16</v>
      </c>
      <c r="BD965" s="46" t="str">
        <f>IF(VLOOKUP(BC965,βοηθητικό!$J$2:$N$354,3,FALSE)="","",VLOOKUP(BC965,βοηθητικό!$J$2:$N$354,3,FALSE))</f>
        <v>_</v>
      </c>
      <c r="BE965" s="47"/>
      <c r="BF965" s="42" t="s">
        <v>16</v>
      </c>
      <c r="BG965" s="43" t="str">
        <f>IF(VLOOKUP(BF965,βοηθητικό!$J$2:$N$354,3,FALSE)="","",VLOOKUP(BF965,βοηθητικό!$J$2:$N$354,3,FALSE))</f>
        <v>_</v>
      </c>
      <c r="BH965" s="44"/>
      <c r="BI965" s="45" t="s">
        <v>16</v>
      </c>
      <c r="BJ965" s="46" t="str">
        <f>IF(VLOOKUP(BI965,βοηθητικό!$J$2:$N$354,3,FALSE)="","",VLOOKUP(BI965,βοηθητικό!$J$2:$N$354,3,FALSE))</f>
        <v>_</v>
      </c>
      <c r="BK965" s="47"/>
      <c r="BL965" s="42" t="s">
        <v>16</v>
      </c>
      <c r="BM965" s="43" t="str">
        <f>IF(VLOOKUP(BL965,βοηθητικό!$J$2:$N$354,3,FALSE)="","",VLOOKUP(BL965,βοηθητικό!$J$2:$N$354,3,FALSE))</f>
        <v>_</v>
      </c>
      <c r="BN965" s="44"/>
      <c r="BO965" s="45" t="s">
        <v>16</v>
      </c>
      <c r="BP965" s="46" t="str">
        <f>IF(VLOOKUP(BO965,βοηθητικό!$J$2:$N$354,3,FALSE)="","",VLOOKUP(BO965,βοηθητικό!$J$2:$N$354,3,FALSE))</f>
        <v>_</v>
      </c>
      <c r="BQ965" s="47"/>
      <c r="BR965" s="42" t="s">
        <v>16</v>
      </c>
      <c r="BS965" s="43" t="str">
        <f>IF(VLOOKUP(BR965,βοηθητικό!$J$2:$N$354,3,FALSE)="","",VLOOKUP(BR965,βοηθητικό!$J$2:$N$354,3,FALSE))</f>
        <v>_</v>
      </c>
      <c r="BT965" s="44"/>
      <c r="BU965" s="45" t="s">
        <v>16</v>
      </c>
      <c r="BV965" s="46" t="str">
        <f>IF(VLOOKUP(BU965,βοηθητικό!$J$2:$N$354,3,FALSE)="","",VLOOKUP(BU965,βοηθητικό!$J$2:$N$354,3,FALSE))</f>
        <v>_</v>
      </c>
      <c r="BW965" s="47"/>
      <c r="BX965" s="42" t="s">
        <v>16</v>
      </c>
      <c r="BY965" s="43" t="str">
        <f>IF(VLOOKUP(BX965,βοηθητικό!$J$2:$N$354,3,FALSE)="","",VLOOKUP(BX965,βοηθητικό!$J$2:$N$354,3,FALSE))</f>
        <v>_</v>
      </c>
      <c r="BZ965" s="44"/>
      <c r="CA965" s="45" t="s">
        <v>16</v>
      </c>
      <c r="CB965" s="46" t="str">
        <f>IF(VLOOKUP(CA965,βοηθητικό!$J$2:$N$354,3,FALSE)="","",VLOOKUP(CA965,βοηθητικό!$J$2:$N$354,3,FALSE))</f>
        <v>_</v>
      </c>
      <c r="CC965" s="47"/>
      <c r="CD965" s="42" t="s">
        <v>16</v>
      </c>
      <c r="CE965" s="43" t="str">
        <f>IF(VLOOKUP(CD965,βοηθητικό!$J$2:$N$354,3,FALSE)="","",VLOOKUP(CD965,βοηθητικό!$J$2:$N$354,3,FALSE))</f>
        <v>_</v>
      </c>
      <c r="CF965" s="44"/>
      <c r="CG965" s="45" t="s">
        <v>16</v>
      </c>
      <c r="CH965" s="46" t="str">
        <f>IF(VLOOKUP(CG965,βοηθητικό!$J$2:$N$354,3,FALSE)="","",VLOOKUP(CG965,βοηθητικό!$J$2:$N$354,3,FALSE))</f>
        <v>_</v>
      </c>
      <c r="CI965" s="47"/>
      <c r="CJ965" s="42" t="s">
        <v>16</v>
      </c>
      <c r="CK965" s="43" t="str">
        <f>IF(VLOOKUP(CJ965,βοηθητικό!$J$2:$N$354,3,FALSE)="","",VLOOKUP(CJ965,βοηθητικό!$J$2:$N$354,3,FALSE))</f>
        <v>_</v>
      </c>
      <c r="CL965" s="44"/>
      <c r="CM965" s="45" t="s">
        <v>16</v>
      </c>
      <c r="CN965" s="46" t="str">
        <f>IF(VLOOKUP(CM965,βοηθητικό!$J$2:$N$354,3,FALSE)="","",VLOOKUP(CM965,βοηθητικό!$J$2:$N$354,3,FALSE))</f>
        <v>_</v>
      </c>
      <c r="CO965" s="47"/>
      <c r="CP965" s="42" t="s">
        <v>16</v>
      </c>
      <c r="CQ965" s="43" t="str">
        <f>IF(VLOOKUP(CP965,βοηθητικό!$J$2:$N$354,3,FALSE)="","",VLOOKUP(CP965,βοηθητικό!$J$2:$N$354,3,FALSE))</f>
        <v>_</v>
      </c>
      <c r="CR965" s="44"/>
      <c r="CS965" s="45" t="s">
        <v>16</v>
      </c>
      <c r="CT965" s="46" t="str">
        <f>IF(VLOOKUP(CS965,βοηθητικό!$J$2:$N$354,3,FALSE)="","",VLOOKUP(CS965,βοηθητικό!$J$2:$N$354,3,FALSE))</f>
        <v>_</v>
      </c>
      <c r="CU965" s="47"/>
    </row>
    <row r="966" spans="1:99" x14ac:dyDescent="0.25">
      <c r="A966" s="37">
        <f>--SUBTOTAL(3,$B$3:B965)</f>
        <v>198</v>
      </c>
      <c r="B966" s="2"/>
      <c r="C966" s="3"/>
      <c r="D966" s="55" t="s">
        <v>18</v>
      </c>
      <c r="E966" s="38" t="s">
        <v>16</v>
      </c>
      <c r="F966" s="38"/>
      <c r="G966" s="39" t="str">
        <f t="shared" si="47"/>
        <v>__</v>
      </c>
      <c r="H966" s="40" t="str">
        <f t="shared" si="48"/>
        <v>FALSE</v>
      </c>
      <c r="I966" s="41">
        <f t="shared" si="49"/>
        <v>0</v>
      </c>
      <c r="J966" s="4" t="s">
        <v>16</v>
      </c>
      <c r="K966" s="43" t="str">
        <f>IF(VLOOKUP(J966,βοηθητικό!$J$2:$N$354,3,FALSE)="","",VLOOKUP(J966,βοηθητικό!$J$2:$N$354,3,FALSE))</f>
        <v>_</v>
      </c>
      <c r="L966" s="44"/>
      <c r="M966" s="5" t="s">
        <v>16</v>
      </c>
      <c r="N966" s="46" t="str">
        <f>IF(VLOOKUP(M966,βοηθητικό!$J$2:$N$354,3,FALSE)="","",VLOOKUP(M966,βοηθητικό!$J$2:$N$354,3,FALSE))</f>
        <v>_</v>
      </c>
      <c r="O966" s="47"/>
      <c r="P966" s="4" t="s">
        <v>16</v>
      </c>
      <c r="Q966" s="43" t="str">
        <f>IF(VLOOKUP(P966,βοηθητικό!$J$2:$N$354,3,FALSE)="","",VLOOKUP(P966,βοηθητικό!$J$2:$N$354,3,FALSE))</f>
        <v>_</v>
      </c>
      <c r="R966" s="44"/>
      <c r="S966" s="5" t="s">
        <v>16</v>
      </c>
      <c r="T966" s="46" t="str">
        <f>IF(VLOOKUP(S966,βοηθητικό!$J$2:$N$354,3,FALSE)="","",VLOOKUP(S966,βοηθητικό!$J$2:$N$354,3,FALSE))</f>
        <v>_</v>
      </c>
      <c r="U966" s="47"/>
      <c r="V966" s="4" t="s">
        <v>16</v>
      </c>
      <c r="W966" s="43" t="str">
        <f>IF(VLOOKUP(V966,βοηθητικό!$J$2:$N$354,3,FALSE)="","",VLOOKUP(V966,βοηθητικό!$J$2:$N$354,3,FALSE))</f>
        <v>_</v>
      </c>
      <c r="X966" s="44"/>
      <c r="Y966" s="5" t="s">
        <v>16</v>
      </c>
      <c r="Z966" s="46" t="str">
        <f>IF(VLOOKUP(Y966,βοηθητικό!$J$2:$N$354,3,FALSE)="","",VLOOKUP(Y966,βοηθητικό!$J$2:$N$354,3,FALSE))</f>
        <v>_</v>
      </c>
      <c r="AA966" s="47"/>
      <c r="AB966" s="4" t="s">
        <v>16</v>
      </c>
      <c r="AC966" s="43" t="str">
        <f>IF(VLOOKUP(AB966,βοηθητικό!$J$2:$N$354,3,FALSE)="","",VLOOKUP(AB966,βοηθητικό!$J$2:$N$354,3,FALSE))</f>
        <v>_</v>
      </c>
      <c r="AD966" s="44"/>
      <c r="AE966" s="5" t="s">
        <v>16</v>
      </c>
      <c r="AF966" s="46" t="str">
        <f>IF(VLOOKUP(AE966,βοηθητικό!$J$2:$N$354,3,FALSE)="","",VLOOKUP(AE966,βοηθητικό!$J$2:$N$354,3,FALSE))</f>
        <v>_</v>
      </c>
      <c r="AG966" s="47"/>
      <c r="AH966" s="4" t="s">
        <v>16</v>
      </c>
      <c r="AI966" s="43" t="str">
        <f>IF(VLOOKUP(AH966,βοηθητικό!$J$2:$N$354,3,FALSE)="","",VLOOKUP(AH966,βοηθητικό!$J$2:$N$354,3,FALSE))</f>
        <v>_</v>
      </c>
      <c r="AJ966" s="44"/>
      <c r="AK966" s="5" t="s">
        <v>16</v>
      </c>
      <c r="AL966" s="46" t="str">
        <f>IF(VLOOKUP(AK966,βοηθητικό!$J$2:$N$354,3,FALSE)="","",VLOOKUP(AK966,βοηθητικό!$J$2:$N$354,3,FALSE))</f>
        <v>_</v>
      </c>
      <c r="AM966" s="47"/>
      <c r="AN966" s="4" t="s">
        <v>16</v>
      </c>
      <c r="AO966" s="43" t="str">
        <f>IF(VLOOKUP(AN966,βοηθητικό!$J$2:$N$354,3,FALSE)="","",VLOOKUP(AN966,βοηθητικό!$J$2:$N$354,3,FALSE))</f>
        <v>_</v>
      </c>
      <c r="AP966" s="44"/>
      <c r="AQ966" s="5" t="s">
        <v>16</v>
      </c>
      <c r="AR966" s="46" t="str">
        <f>IF(VLOOKUP(AQ966,βοηθητικό!$J$2:$N$354,3,FALSE)="","",VLOOKUP(AQ966,βοηθητικό!$J$2:$N$354,3,FALSE))</f>
        <v>_</v>
      </c>
      <c r="AS966" s="47"/>
      <c r="AT966" s="4" t="s">
        <v>16</v>
      </c>
      <c r="AU966" s="43" t="str">
        <f>IF(VLOOKUP(AT966,βοηθητικό!$J$2:$N$354,3,FALSE)="","",VLOOKUP(AT966,βοηθητικό!$J$2:$N$354,3,FALSE))</f>
        <v>_</v>
      </c>
      <c r="AV966" s="44"/>
      <c r="AW966" s="5" t="s">
        <v>16</v>
      </c>
      <c r="AX966" s="46" t="str">
        <f>IF(VLOOKUP(AW966,βοηθητικό!$J$2:$N$354,3,FALSE)="","",VLOOKUP(AW966,βοηθητικό!$J$2:$N$354,3,FALSE))</f>
        <v>_</v>
      </c>
      <c r="AY966" s="47"/>
      <c r="AZ966" s="4" t="s">
        <v>16</v>
      </c>
      <c r="BA966" s="43" t="str">
        <f>IF(VLOOKUP(AZ966,βοηθητικό!$J$2:$N$354,3,FALSE)="","",VLOOKUP(AZ966,βοηθητικό!$J$2:$N$354,3,FALSE))</f>
        <v>_</v>
      </c>
      <c r="BB966" s="44"/>
      <c r="BC966" s="45" t="s">
        <v>16</v>
      </c>
      <c r="BD966" s="46" t="str">
        <f>IF(VLOOKUP(BC966,βοηθητικό!$J$2:$N$354,3,FALSE)="","",VLOOKUP(BC966,βοηθητικό!$J$2:$N$354,3,FALSE))</f>
        <v>_</v>
      </c>
      <c r="BE966" s="47"/>
      <c r="BF966" s="42" t="s">
        <v>16</v>
      </c>
      <c r="BG966" s="43" t="str">
        <f>IF(VLOOKUP(BF966,βοηθητικό!$J$2:$N$354,3,FALSE)="","",VLOOKUP(BF966,βοηθητικό!$J$2:$N$354,3,FALSE))</f>
        <v>_</v>
      </c>
      <c r="BH966" s="44"/>
      <c r="BI966" s="45" t="s">
        <v>16</v>
      </c>
      <c r="BJ966" s="46" t="str">
        <f>IF(VLOOKUP(BI966,βοηθητικό!$J$2:$N$354,3,FALSE)="","",VLOOKUP(BI966,βοηθητικό!$J$2:$N$354,3,FALSE))</f>
        <v>_</v>
      </c>
      <c r="BK966" s="47"/>
      <c r="BL966" s="42" t="s">
        <v>16</v>
      </c>
      <c r="BM966" s="43" t="str">
        <f>IF(VLOOKUP(BL966,βοηθητικό!$J$2:$N$354,3,FALSE)="","",VLOOKUP(BL966,βοηθητικό!$J$2:$N$354,3,FALSE))</f>
        <v>_</v>
      </c>
      <c r="BN966" s="44"/>
      <c r="BO966" s="45" t="s">
        <v>16</v>
      </c>
      <c r="BP966" s="46" t="str">
        <f>IF(VLOOKUP(BO966,βοηθητικό!$J$2:$N$354,3,FALSE)="","",VLOOKUP(BO966,βοηθητικό!$J$2:$N$354,3,FALSE))</f>
        <v>_</v>
      </c>
      <c r="BQ966" s="47"/>
      <c r="BR966" s="42" t="s">
        <v>16</v>
      </c>
      <c r="BS966" s="43" t="str">
        <f>IF(VLOOKUP(BR966,βοηθητικό!$J$2:$N$354,3,FALSE)="","",VLOOKUP(BR966,βοηθητικό!$J$2:$N$354,3,FALSE))</f>
        <v>_</v>
      </c>
      <c r="BT966" s="44"/>
      <c r="BU966" s="45" t="s">
        <v>16</v>
      </c>
      <c r="BV966" s="46" t="str">
        <f>IF(VLOOKUP(BU966,βοηθητικό!$J$2:$N$354,3,FALSE)="","",VLOOKUP(BU966,βοηθητικό!$J$2:$N$354,3,FALSE))</f>
        <v>_</v>
      </c>
      <c r="BW966" s="47"/>
      <c r="BX966" s="42" t="s">
        <v>16</v>
      </c>
      <c r="BY966" s="43" t="str">
        <f>IF(VLOOKUP(BX966,βοηθητικό!$J$2:$N$354,3,FALSE)="","",VLOOKUP(BX966,βοηθητικό!$J$2:$N$354,3,FALSE))</f>
        <v>_</v>
      </c>
      <c r="BZ966" s="44"/>
      <c r="CA966" s="45" t="s">
        <v>16</v>
      </c>
      <c r="CB966" s="46" t="str">
        <f>IF(VLOOKUP(CA966,βοηθητικό!$J$2:$N$354,3,FALSE)="","",VLOOKUP(CA966,βοηθητικό!$J$2:$N$354,3,FALSE))</f>
        <v>_</v>
      </c>
      <c r="CC966" s="47"/>
      <c r="CD966" s="42" t="s">
        <v>16</v>
      </c>
      <c r="CE966" s="43" t="str">
        <f>IF(VLOOKUP(CD966,βοηθητικό!$J$2:$N$354,3,FALSE)="","",VLOOKUP(CD966,βοηθητικό!$J$2:$N$354,3,FALSE))</f>
        <v>_</v>
      </c>
      <c r="CF966" s="44"/>
      <c r="CG966" s="45" t="s">
        <v>16</v>
      </c>
      <c r="CH966" s="46" t="str">
        <f>IF(VLOOKUP(CG966,βοηθητικό!$J$2:$N$354,3,FALSE)="","",VLOOKUP(CG966,βοηθητικό!$J$2:$N$354,3,FALSE))</f>
        <v>_</v>
      </c>
      <c r="CI966" s="47"/>
      <c r="CJ966" s="42" t="s">
        <v>16</v>
      </c>
      <c r="CK966" s="43" t="str">
        <f>IF(VLOOKUP(CJ966,βοηθητικό!$J$2:$N$354,3,FALSE)="","",VLOOKUP(CJ966,βοηθητικό!$J$2:$N$354,3,FALSE))</f>
        <v>_</v>
      </c>
      <c r="CL966" s="44"/>
      <c r="CM966" s="45" t="s">
        <v>16</v>
      </c>
      <c r="CN966" s="46" t="str">
        <f>IF(VLOOKUP(CM966,βοηθητικό!$J$2:$N$354,3,FALSE)="","",VLOOKUP(CM966,βοηθητικό!$J$2:$N$354,3,FALSE))</f>
        <v>_</v>
      </c>
      <c r="CO966" s="47"/>
      <c r="CP966" s="42" t="s">
        <v>16</v>
      </c>
      <c r="CQ966" s="43" t="str">
        <f>IF(VLOOKUP(CP966,βοηθητικό!$J$2:$N$354,3,FALSE)="","",VLOOKUP(CP966,βοηθητικό!$J$2:$N$354,3,FALSE))</f>
        <v>_</v>
      </c>
      <c r="CR966" s="44"/>
      <c r="CS966" s="45" t="s">
        <v>16</v>
      </c>
      <c r="CT966" s="46" t="str">
        <f>IF(VLOOKUP(CS966,βοηθητικό!$J$2:$N$354,3,FALSE)="","",VLOOKUP(CS966,βοηθητικό!$J$2:$N$354,3,FALSE))</f>
        <v>_</v>
      </c>
      <c r="CU966" s="47"/>
    </row>
    <row r="967" spans="1:99" x14ac:dyDescent="0.25">
      <c r="A967" s="37">
        <f>--SUBTOTAL(3,$B$3:B966)</f>
        <v>198</v>
      </c>
      <c r="B967" s="2"/>
      <c r="C967" s="3"/>
      <c r="D967" s="55" t="s">
        <v>18</v>
      </c>
      <c r="E967" s="38" t="s">
        <v>16</v>
      </c>
      <c r="F967" s="38"/>
      <c r="G967" s="39" t="str">
        <f t="shared" si="47"/>
        <v>__</v>
      </c>
      <c r="H967" s="40" t="str">
        <f t="shared" si="48"/>
        <v>FALSE</v>
      </c>
      <c r="I967" s="41">
        <f t="shared" si="49"/>
        <v>0</v>
      </c>
      <c r="J967" s="4" t="s">
        <v>16</v>
      </c>
      <c r="K967" s="43" t="str">
        <f>IF(VLOOKUP(J967,βοηθητικό!$J$2:$N$354,3,FALSE)="","",VLOOKUP(J967,βοηθητικό!$J$2:$N$354,3,FALSE))</f>
        <v>_</v>
      </c>
      <c r="L967" s="44"/>
      <c r="M967" s="5" t="s">
        <v>16</v>
      </c>
      <c r="N967" s="46" t="str">
        <f>IF(VLOOKUP(M967,βοηθητικό!$J$2:$N$354,3,FALSE)="","",VLOOKUP(M967,βοηθητικό!$J$2:$N$354,3,FALSE))</f>
        <v>_</v>
      </c>
      <c r="O967" s="47"/>
      <c r="P967" s="4" t="s">
        <v>16</v>
      </c>
      <c r="Q967" s="43" t="str">
        <f>IF(VLOOKUP(P967,βοηθητικό!$J$2:$N$354,3,FALSE)="","",VLOOKUP(P967,βοηθητικό!$J$2:$N$354,3,FALSE))</f>
        <v>_</v>
      </c>
      <c r="R967" s="44"/>
      <c r="S967" s="5" t="s">
        <v>16</v>
      </c>
      <c r="T967" s="46" t="str">
        <f>IF(VLOOKUP(S967,βοηθητικό!$J$2:$N$354,3,FALSE)="","",VLOOKUP(S967,βοηθητικό!$J$2:$N$354,3,FALSE))</f>
        <v>_</v>
      </c>
      <c r="U967" s="47"/>
      <c r="V967" s="4" t="s">
        <v>16</v>
      </c>
      <c r="W967" s="43" t="str">
        <f>IF(VLOOKUP(V967,βοηθητικό!$J$2:$N$354,3,FALSE)="","",VLOOKUP(V967,βοηθητικό!$J$2:$N$354,3,FALSE))</f>
        <v>_</v>
      </c>
      <c r="X967" s="44"/>
      <c r="Y967" s="5" t="s">
        <v>16</v>
      </c>
      <c r="Z967" s="46" t="str">
        <f>IF(VLOOKUP(Y967,βοηθητικό!$J$2:$N$354,3,FALSE)="","",VLOOKUP(Y967,βοηθητικό!$J$2:$N$354,3,FALSE))</f>
        <v>_</v>
      </c>
      <c r="AA967" s="47"/>
      <c r="AB967" s="4" t="s">
        <v>16</v>
      </c>
      <c r="AC967" s="43" t="str">
        <f>IF(VLOOKUP(AB967,βοηθητικό!$J$2:$N$354,3,FALSE)="","",VLOOKUP(AB967,βοηθητικό!$J$2:$N$354,3,FALSE))</f>
        <v>_</v>
      </c>
      <c r="AD967" s="44"/>
      <c r="AE967" s="5" t="s">
        <v>16</v>
      </c>
      <c r="AF967" s="46" t="str">
        <f>IF(VLOOKUP(AE967,βοηθητικό!$J$2:$N$354,3,FALSE)="","",VLOOKUP(AE967,βοηθητικό!$J$2:$N$354,3,FALSE))</f>
        <v>_</v>
      </c>
      <c r="AG967" s="47"/>
      <c r="AH967" s="4" t="s">
        <v>16</v>
      </c>
      <c r="AI967" s="43" t="str">
        <f>IF(VLOOKUP(AH967,βοηθητικό!$J$2:$N$354,3,FALSE)="","",VLOOKUP(AH967,βοηθητικό!$J$2:$N$354,3,FALSE))</f>
        <v>_</v>
      </c>
      <c r="AJ967" s="44"/>
      <c r="AK967" s="5" t="s">
        <v>16</v>
      </c>
      <c r="AL967" s="46" t="str">
        <f>IF(VLOOKUP(AK967,βοηθητικό!$J$2:$N$354,3,FALSE)="","",VLOOKUP(AK967,βοηθητικό!$J$2:$N$354,3,FALSE))</f>
        <v>_</v>
      </c>
      <c r="AM967" s="47"/>
      <c r="AN967" s="4" t="s">
        <v>16</v>
      </c>
      <c r="AO967" s="43" t="str">
        <f>IF(VLOOKUP(AN967,βοηθητικό!$J$2:$N$354,3,FALSE)="","",VLOOKUP(AN967,βοηθητικό!$J$2:$N$354,3,FALSE))</f>
        <v>_</v>
      </c>
      <c r="AP967" s="44"/>
      <c r="AQ967" s="5" t="s">
        <v>16</v>
      </c>
      <c r="AR967" s="46" t="str">
        <f>IF(VLOOKUP(AQ967,βοηθητικό!$J$2:$N$354,3,FALSE)="","",VLOOKUP(AQ967,βοηθητικό!$J$2:$N$354,3,FALSE))</f>
        <v>_</v>
      </c>
      <c r="AS967" s="47"/>
      <c r="AT967" s="4" t="s">
        <v>16</v>
      </c>
      <c r="AU967" s="43" t="str">
        <f>IF(VLOOKUP(AT967,βοηθητικό!$J$2:$N$354,3,FALSE)="","",VLOOKUP(AT967,βοηθητικό!$J$2:$N$354,3,FALSE))</f>
        <v>_</v>
      </c>
      <c r="AV967" s="44"/>
      <c r="AW967" s="5" t="s">
        <v>16</v>
      </c>
      <c r="AX967" s="46" t="str">
        <f>IF(VLOOKUP(AW967,βοηθητικό!$J$2:$N$354,3,FALSE)="","",VLOOKUP(AW967,βοηθητικό!$J$2:$N$354,3,FALSE))</f>
        <v>_</v>
      </c>
      <c r="AY967" s="47"/>
      <c r="AZ967" s="4" t="s">
        <v>16</v>
      </c>
      <c r="BA967" s="43" t="str">
        <f>IF(VLOOKUP(AZ967,βοηθητικό!$J$2:$N$354,3,FALSE)="","",VLOOKUP(AZ967,βοηθητικό!$J$2:$N$354,3,FALSE))</f>
        <v>_</v>
      </c>
      <c r="BB967" s="44"/>
      <c r="BC967" s="45" t="s">
        <v>16</v>
      </c>
      <c r="BD967" s="46" t="str">
        <f>IF(VLOOKUP(BC967,βοηθητικό!$J$2:$N$354,3,FALSE)="","",VLOOKUP(BC967,βοηθητικό!$J$2:$N$354,3,FALSE))</f>
        <v>_</v>
      </c>
      <c r="BE967" s="47"/>
      <c r="BF967" s="42" t="s">
        <v>16</v>
      </c>
      <c r="BG967" s="43" t="str">
        <f>IF(VLOOKUP(BF967,βοηθητικό!$J$2:$N$354,3,FALSE)="","",VLOOKUP(BF967,βοηθητικό!$J$2:$N$354,3,FALSE))</f>
        <v>_</v>
      </c>
      <c r="BH967" s="44"/>
      <c r="BI967" s="45" t="s">
        <v>16</v>
      </c>
      <c r="BJ967" s="46" t="str">
        <f>IF(VLOOKUP(BI967,βοηθητικό!$J$2:$N$354,3,FALSE)="","",VLOOKUP(BI967,βοηθητικό!$J$2:$N$354,3,FALSE))</f>
        <v>_</v>
      </c>
      <c r="BK967" s="47"/>
      <c r="BL967" s="42" t="s">
        <v>16</v>
      </c>
      <c r="BM967" s="43" t="str">
        <f>IF(VLOOKUP(BL967,βοηθητικό!$J$2:$N$354,3,FALSE)="","",VLOOKUP(BL967,βοηθητικό!$J$2:$N$354,3,FALSE))</f>
        <v>_</v>
      </c>
      <c r="BN967" s="44"/>
      <c r="BO967" s="45" t="s">
        <v>16</v>
      </c>
      <c r="BP967" s="46" t="str">
        <f>IF(VLOOKUP(BO967,βοηθητικό!$J$2:$N$354,3,FALSE)="","",VLOOKUP(BO967,βοηθητικό!$J$2:$N$354,3,FALSE))</f>
        <v>_</v>
      </c>
      <c r="BQ967" s="47"/>
      <c r="BR967" s="42" t="s">
        <v>16</v>
      </c>
      <c r="BS967" s="43" t="str">
        <f>IF(VLOOKUP(BR967,βοηθητικό!$J$2:$N$354,3,FALSE)="","",VLOOKUP(BR967,βοηθητικό!$J$2:$N$354,3,FALSE))</f>
        <v>_</v>
      </c>
      <c r="BT967" s="44"/>
      <c r="BU967" s="45" t="s">
        <v>16</v>
      </c>
      <c r="BV967" s="46" t="str">
        <f>IF(VLOOKUP(BU967,βοηθητικό!$J$2:$N$354,3,FALSE)="","",VLOOKUP(BU967,βοηθητικό!$J$2:$N$354,3,FALSE))</f>
        <v>_</v>
      </c>
      <c r="BW967" s="47"/>
      <c r="BX967" s="42" t="s">
        <v>16</v>
      </c>
      <c r="BY967" s="43" t="str">
        <f>IF(VLOOKUP(BX967,βοηθητικό!$J$2:$N$354,3,FALSE)="","",VLOOKUP(BX967,βοηθητικό!$J$2:$N$354,3,FALSE))</f>
        <v>_</v>
      </c>
      <c r="BZ967" s="44"/>
      <c r="CA967" s="45" t="s">
        <v>16</v>
      </c>
      <c r="CB967" s="46" t="str">
        <f>IF(VLOOKUP(CA967,βοηθητικό!$J$2:$N$354,3,FALSE)="","",VLOOKUP(CA967,βοηθητικό!$J$2:$N$354,3,FALSE))</f>
        <v>_</v>
      </c>
      <c r="CC967" s="47"/>
      <c r="CD967" s="42" t="s">
        <v>16</v>
      </c>
      <c r="CE967" s="43" t="str">
        <f>IF(VLOOKUP(CD967,βοηθητικό!$J$2:$N$354,3,FALSE)="","",VLOOKUP(CD967,βοηθητικό!$J$2:$N$354,3,FALSE))</f>
        <v>_</v>
      </c>
      <c r="CF967" s="44"/>
      <c r="CG967" s="45" t="s">
        <v>16</v>
      </c>
      <c r="CH967" s="46" t="str">
        <f>IF(VLOOKUP(CG967,βοηθητικό!$J$2:$N$354,3,FALSE)="","",VLOOKUP(CG967,βοηθητικό!$J$2:$N$354,3,FALSE))</f>
        <v>_</v>
      </c>
      <c r="CI967" s="47"/>
      <c r="CJ967" s="42" t="s">
        <v>16</v>
      </c>
      <c r="CK967" s="43" t="str">
        <f>IF(VLOOKUP(CJ967,βοηθητικό!$J$2:$N$354,3,FALSE)="","",VLOOKUP(CJ967,βοηθητικό!$J$2:$N$354,3,FALSE))</f>
        <v>_</v>
      </c>
      <c r="CL967" s="44"/>
      <c r="CM967" s="45" t="s">
        <v>16</v>
      </c>
      <c r="CN967" s="46" t="str">
        <f>IF(VLOOKUP(CM967,βοηθητικό!$J$2:$N$354,3,FALSE)="","",VLOOKUP(CM967,βοηθητικό!$J$2:$N$354,3,FALSE))</f>
        <v>_</v>
      </c>
      <c r="CO967" s="47"/>
      <c r="CP967" s="42" t="s">
        <v>16</v>
      </c>
      <c r="CQ967" s="43" t="str">
        <f>IF(VLOOKUP(CP967,βοηθητικό!$J$2:$N$354,3,FALSE)="","",VLOOKUP(CP967,βοηθητικό!$J$2:$N$354,3,FALSE))</f>
        <v>_</v>
      </c>
      <c r="CR967" s="44"/>
      <c r="CS967" s="45" t="s">
        <v>16</v>
      </c>
      <c r="CT967" s="46" t="str">
        <f>IF(VLOOKUP(CS967,βοηθητικό!$J$2:$N$354,3,FALSE)="","",VLOOKUP(CS967,βοηθητικό!$J$2:$N$354,3,FALSE))</f>
        <v>_</v>
      </c>
      <c r="CU967" s="47"/>
    </row>
    <row r="968" spans="1:99" x14ac:dyDescent="0.25">
      <c r="A968" s="37">
        <f>--SUBTOTAL(3,$B$3:B967)</f>
        <v>198</v>
      </c>
      <c r="B968" s="2"/>
      <c r="C968" s="3"/>
      <c r="D968" s="55" t="s">
        <v>18</v>
      </c>
      <c r="E968" s="38" t="s">
        <v>16</v>
      </c>
      <c r="F968" s="38"/>
      <c r="G968" s="39" t="str">
        <f t="shared" si="47"/>
        <v>__</v>
      </c>
      <c r="H968" s="40" t="str">
        <f t="shared" si="48"/>
        <v>FALSE</v>
      </c>
      <c r="I968" s="41">
        <f t="shared" si="49"/>
        <v>0</v>
      </c>
      <c r="J968" s="4" t="s">
        <v>16</v>
      </c>
      <c r="K968" s="43" t="str">
        <f>IF(VLOOKUP(J968,βοηθητικό!$J$2:$N$354,3,FALSE)="","",VLOOKUP(J968,βοηθητικό!$J$2:$N$354,3,FALSE))</f>
        <v>_</v>
      </c>
      <c r="L968" s="44"/>
      <c r="M968" s="5" t="s">
        <v>16</v>
      </c>
      <c r="N968" s="46" t="str">
        <f>IF(VLOOKUP(M968,βοηθητικό!$J$2:$N$354,3,FALSE)="","",VLOOKUP(M968,βοηθητικό!$J$2:$N$354,3,FALSE))</f>
        <v>_</v>
      </c>
      <c r="O968" s="47"/>
      <c r="P968" s="4" t="s">
        <v>16</v>
      </c>
      <c r="Q968" s="43" t="str">
        <f>IF(VLOOKUP(P968,βοηθητικό!$J$2:$N$354,3,FALSE)="","",VLOOKUP(P968,βοηθητικό!$J$2:$N$354,3,FALSE))</f>
        <v>_</v>
      </c>
      <c r="R968" s="44"/>
      <c r="S968" s="5" t="s">
        <v>16</v>
      </c>
      <c r="T968" s="46" t="str">
        <f>IF(VLOOKUP(S968,βοηθητικό!$J$2:$N$354,3,FALSE)="","",VLOOKUP(S968,βοηθητικό!$J$2:$N$354,3,FALSE))</f>
        <v>_</v>
      </c>
      <c r="U968" s="47"/>
      <c r="V968" s="4" t="s">
        <v>16</v>
      </c>
      <c r="W968" s="43" t="str">
        <f>IF(VLOOKUP(V968,βοηθητικό!$J$2:$N$354,3,FALSE)="","",VLOOKUP(V968,βοηθητικό!$J$2:$N$354,3,FALSE))</f>
        <v>_</v>
      </c>
      <c r="X968" s="44"/>
      <c r="Y968" s="5" t="s">
        <v>16</v>
      </c>
      <c r="Z968" s="46" t="str">
        <f>IF(VLOOKUP(Y968,βοηθητικό!$J$2:$N$354,3,FALSE)="","",VLOOKUP(Y968,βοηθητικό!$J$2:$N$354,3,FALSE))</f>
        <v>_</v>
      </c>
      <c r="AA968" s="47"/>
      <c r="AB968" s="4" t="s">
        <v>16</v>
      </c>
      <c r="AC968" s="43" t="str">
        <f>IF(VLOOKUP(AB968,βοηθητικό!$J$2:$N$354,3,FALSE)="","",VLOOKUP(AB968,βοηθητικό!$J$2:$N$354,3,FALSE))</f>
        <v>_</v>
      </c>
      <c r="AD968" s="44"/>
      <c r="AE968" s="5" t="s">
        <v>16</v>
      </c>
      <c r="AF968" s="46" t="str">
        <f>IF(VLOOKUP(AE968,βοηθητικό!$J$2:$N$354,3,FALSE)="","",VLOOKUP(AE968,βοηθητικό!$J$2:$N$354,3,FALSE))</f>
        <v>_</v>
      </c>
      <c r="AG968" s="47"/>
      <c r="AH968" s="4" t="s">
        <v>16</v>
      </c>
      <c r="AI968" s="43" t="str">
        <f>IF(VLOOKUP(AH968,βοηθητικό!$J$2:$N$354,3,FALSE)="","",VLOOKUP(AH968,βοηθητικό!$J$2:$N$354,3,FALSE))</f>
        <v>_</v>
      </c>
      <c r="AJ968" s="44"/>
      <c r="AK968" s="5" t="s">
        <v>16</v>
      </c>
      <c r="AL968" s="46" t="str">
        <f>IF(VLOOKUP(AK968,βοηθητικό!$J$2:$N$354,3,FALSE)="","",VLOOKUP(AK968,βοηθητικό!$J$2:$N$354,3,FALSE))</f>
        <v>_</v>
      </c>
      <c r="AM968" s="47"/>
      <c r="AN968" s="4" t="s">
        <v>16</v>
      </c>
      <c r="AO968" s="43" t="str">
        <f>IF(VLOOKUP(AN968,βοηθητικό!$J$2:$N$354,3,FALSE)="","",VLOOKUP(AN968,βοηθητικό!$J$2:$N$354,3,FALSE))</f>
        <v>_</v>
      </c>
      <c r="AP968" s="44"/>
      <c r="AQ968" s="5" t="s">
        <v>16</v>
      </c>
      <c r="AR968" s="46" t="str">
        <f>IF(VLOOKUP(AQ968,βοηθητικό!$J$2:$N$354,3,FALSE)="","",VLOOKUP(AQ968,βοηθητικό!$J$2:$N$354,3,FALSE))</f>
        <v>_</v>
      </c>
      <c r="AS968" s="47"/>
      <c r="AT968" s="4" t="s">
        <v>16</v>
      </c>
      <c r="AU968" s="43" t="str">
        <f>IF(VLOOKUP(AT968,βοηθητικό!$J$2:$N$354,3,FALSE)="","",VLOOKUP(AT968,βοηθητικό!$J$2:$N$354,3,FALSE))</f>
        <v>_</v>
      </c>
      <c r="AV968" s="44"/>
      <c r="AW968" s="5" t="s">
        <v>16</v>
      </c>
      <c r="AX968" s="46" t="str">
        <f>IF(VLOOKUP(AW968,βοηθητικό!$J$2:$N$354,3,FALSE)="","",VLOOKUP(AW968,βοηθητικό!$J$2:$N$354,3,FALSE))</f>
        <v>_</v>
      </c>
      <c r="AY968" s="47"/>
      <c r="AZ968" s="4" t="s">
        <v>16</v>
      </c>
      <c r="BA968" s="43" t="str">
        <f>IF(VLOOKUP(AZ968,βοηθητικό!$J$2:$N$354,3,FALSE)="","",VLOOKUP(AZ968,βοηθητικό!$J$2:$N$354,3,FALSE))</f>
        <v>_</v>
      </c>
      <c r="BB968" s="44"/>
      <c r="BC968" s="45" t="s">
        <v>16</v>
      </c>
      <c r="BD968" s="46" t="str">
        <f>IF(VLOOKUP(BC968,βοηθητικό!$J$2:$N$354,3,FALSE)="","",VLOOKUP(BC968,βοηθητικό!$J$2:$N$354,3,FALSE))</f>
        <v>_</v>
      </c>
      <c r="BE968" s="47"/>
      <c r="BF968" s="42" t="s">
        <v>16</v>
      </c>
      <c r="BG968" s="43" t="str">
        <f>IF(VLOOKUP(BF968,βοηθητικό!$J$2:$N$354,3,FALSE)="","",VLOOKUP(BF968,βοηθητικό!$J$2:$N$354,3,FALSE))</f>
        <v>_</v>
      </c>
      <c r="BH968" s="44"/>
      <c r="BI968" s="45" t="s">
        <v>16</v>
      </c>
      <c r="BJ968" s="46" t="str">
        <f>IF(VLOOKUP(BI968,βοηθητικό!$J$2:$N$354,3,FALSE)="","",VLOOKUP(BI968,βοηθητικό!$J$2:$N$354,3,FALSE))</f>
        <v>_</v>
      </c>
      <c r="BK968" s="47"/>
      <c r="BL968" s="42" t="s">
        <v>16</v>
      </c>
      <c r="BM968" s="43" t="str">
        <f>IF(VLOOKUP(BL968,βοηθητικό!$J$2:$N$354,3,FALSE)="","",VLOOKUP(BL968,βοηθητικό!$J$2:$N$354,3,FALSE))</f>
        <v>_</v>
      </c>
      <c r="BN968" s="44"/>
      <c r="BO968" s="45" t="s">
        <v>16</v>
      </c>
      <c r="BP968" s="46" t="str">
        <f>IF(VLOOKUP(BO968,βοηθητικό!$J$2:$N$354,3,FALSE)="","",VLOOKUP(BO968,βοηθητικό!$J$2:$N$354,3,FALSE))</f>
        <v>_</v>
      </c>
      <c r="BQ968" s="47"/>
      <c r="BR968" s="42" t="s">
        <v>16</v>
      </c>
      <c r="BS968" s="43" t="str">
        <f>IF(VLOOKUP(BR968,βοηθητικό!$J$2:$N$354,3,FALSE)="","",VLOOKUP(BR968,βοηθητικό!$J$2:$N$354,3,FALSE))</f>
        <v>_</v>
      </c>
      <c r="BT968" s="44"/>
      <c r="BU968" s="45" t="s">
        <v>16</v>
      </c>
      <c r="BV968" s="46" t="str">
        <f>IF(VLOOKUP(BU968,βοηθητικό!$J$2:$N$354,3,FALSE)="","",VLOOKUP(BU968,βοηθητικό!$J$2:$N$354,3,FALSE))</f>
        <v>_</v>
      </c>
      <c r="BW968" s="47"/>
      <c r="BX968" s="42" t="s">
        <v>16</v>
      </c>
      <c r="BY968" s="43" t="str">
        <f>IF(VLOOKUP(BX968,βοηθητικό!$J$2:$N$354,3,FALSE)="","",VLOOKUP(BX968,βοηθητικό!$J$2:$N$354,3,FALSE))</f>
        <v>_</v>
      </c>
      <c r="BZ968" s="44"/>
      <c r="CA968" s="45" t="s">
        <v>16</v>
      </c>
      <c r="CB968" s="46" t="str">
        <f>IF(VLOOKUP(CA968,βοηθητικό!$J$2:$N$354,3,FALSE)="","",VLOOKUP(CA968,βοηθητικό!$J$2:$N$354,3,FALSE))</f>
        <v>_</v>
      </c>
      <c r="CC968" s="47"/>
      <c r="CD968" s="42" t="s">
        <v>16</v>
      </c>
      <c r="CE968" s="43" t="str">
        <f>IF(VLOOKUP(CD968,βοηθητικό!$J$2:$N$354,3,FALSE)="","",VLOOKUP(CD968,βοηθητικό!$J$2:$N$354,3,FALSE))</f>
        <v>_</v>
      </c>
      <c r="CF968" s="44"/>
      <c r="CG968" s="45" t="s">
        <v>16</v>
      </c>
      <c r="CH968" s="46" t="str">
        <f>IF(VLOOKUP(CG968,βοηθητικό!$J$2:$N$354,3,FALSE)="","",VLOOKUP(CG968,βοηθητικό!$J$2:$N$354,3,FALSE))</f>
        <v>_</v>
      </c>
      <c r="CI968" s="47"/>
      <c r="CJ968" s="42" t="s">
        <v>16</v>
      </c>
      <c r="CK968" s="43" t="str">
        <f>IF(VLOOKUP(CJ968,βοηθητικό!$J$2:$N$354,3,FALSE)="","",VLOOKUP(CJ968,βοηθητικό!$J$2:$N$354,3,FALSE))</f>
        <v>_</v>
      </c>
      <c r="CL968" s="44"/>
      <c r="CM968" s="45" t="s">
        <v>16</v>
      </c>
      <c r="CN968" s="46" t="str">
        <f>IF(VLOOKUP(CM968,βοηθητικό!$J$2:$N$354,3,FALSE)="","",VLOOKUP(CM968,βοηθητικό!$J$2:$N$354,3,FALSE))</f>
        <v>_</v>
      </c>
      <c r="CO968" s="47"/>
      <c r="CP968" s="42" t="s">
        <v>16</v>
      </c>
      <c r="CQ968" s="43" t="str">
        <f>IF(VLOOKUP(CP968,βοηθητικό!$J$2:$N$354,3,FALSE)="","",VLOOKUP(CP968,βοηθητικό!$J$2:$N$354,3,FALSE))</f>
        <v>_</v>
      </c>
      <c r="CR968" s="44"/>
      <c r="CS968" s="45" t="s">
        <v>16</v>
      </c>
      <c r="CT968" s="46" t="str">
        <f>IF(VLOOKUP(CS968,βοηθητικό!$J$2:$N$354,3,FALSE)="","",VLOOKUP(CS968,βοηθητικό!$J$2:$N$354,3,FALSE))</f>
        <v>_</v>
      </c>
      <c r="CU968" s="47"/>
    </row>
    <row r="969" spans="1:99" x14ac:dyDescent="0.25">
      <c r="A969" s="37">
        <f>--SUBTOTAL(3,$B$3:B968)</f>
        <v>198</v>
      </c>
      <c r="B969" s="2"/>
      <c r="C969" s="3"/>
      <c r="D969" s="55" t="s">
        <v>18</v>
      </c>
      <c r="E969" s="38" t="s">
        <v>16</v>
      </c>
      <c r="F969" s="38"/>
      <c r="G969" s="39" t="str">
        <f t="shared" si="47"/>
        <v>__</v>
      </c>
      <c r="H969" s="40" t="str">
        <f t="shared" si="48"/>
        <v>FALSE</v>
      </c>
      <c r="I969" s="41">
        <f t="shared" si="49"/>
        <v>0</v>
      </c>
      <c r="J969" s="4" t="s">
        <v>16</v>
      </c>
      <c r="K969" s="43" t="str">
        <f>IF(VLOOKUP(J969,βοηθητικό!$J$2:$N$354,3,FALSE)="","",VLOOKUP(J969,βοηθητικό!$J$2:$N$354,3,FALSE))</f>
        <v>_</v>
      </c>
      <c r="L969" s="44"/>
      <c r="M969" s="5" t="s">
        <v>16</v>
      </c>
      <c r="N969" s="46" t="str">
        <f>IF(VLOOKUP(M969,βοηθητικό!$J$2:$N$354,3,FALSE)="","",VLOOKUP(M969,βοηθητικό!$J$2:$N$354,3,FALSE))</f>
        <v>_</v>
      </c>
      <c r="O969" s="47"/>
      <c r="P969" s="4" t="s">
        <v>16</v>
      </c>
      <c r="Q969" s="43" t="str">
        <f>IF(VLOOKUP(P969,βοηθητικό!$J$2:$N$354,3,FALSE)="","",VLOOKUP(P969,βοηθητικό!$J$2:$N$354,3,FALSE))</f>
        <v>_</v>
      </c>
      <c r="R969" s="44"/>
      <c r="S969" s="5" t="s">
        <v>16</v>
      </c>
      <c r="T969" s="46" t="str">
        <f>IF(VLOOKUP(S969,βοηθητικό!$J$2:$N$354,3,FALSE)="","",VLOOKUP(S969,βοηθητικό!$J$2:$N$354,3,FALSE))</f>
        <v>_</v>
      </c>
      <c r="U969" s="47"/>
      <c r="V969" s="4" t="s">
        <v>16</v>
      </c>
      <c r="W969" s="43" t="str">
        <f>IF(VLOOKUP(V969,βοηθητικό!$J$2:$N$354,3,FALSE)="","",VLOOKUP(V969,βοηθητικό!$J$2:$N$354,3,FALSE))</f>
        <v>_</v>
      </c>
      <c r="X969" s="44"/>
      <c r="Y969" s="5" t="s">
        <v>16</v>
      </c>
      <c r="Z969" s="46" t="str">
        <f>IF(VLOOKUP(Y969,βοηθητικό!$J$2:$N$354,3,FALSE)="","",VLOOKUP(Y969,βοηθητικό!$J$2:$N$354,3,FALSE))</f>
        <v>_</v>
      </c>
      <c r="AA969" s="47"/>
      <c r="AB969" s="4" t="s">
        <v>16</v>
      </c>
      <c r="AC969" s="43" t="str">
        <f>IF(VLOOKUP(AB969,βοηθητικό!$J$2:$N$354,3,FALSE)="","",VLOOKUP(AB969,βοηθητικό!$J$2:$N$354,3,FALSE))</f>
        <v>_</v>
      </c>
      <c r="AD969" s="44"/>
      <c r="AE969" s="5" t="s">
        <v>16</v>
      </c>
      <c r="AF969" s="46" t="str">
        <f>IF(VLOOKUP(AE969,βοηθητικό!$J$2:$N$354,3,FALSE)="","",VLOOKUP(AE969,βοηθητικό!$J$2:$N$354,3,FALSE))</f>
        <v>_</v>
      </c>
      <c r="AG969" s="47"/>
      <c r="AH969" s="4" t="s">
        <v>16</v>
      </c>
      <c r="AI969" s="43" t="str">
        <f>IF(VLOOKUP(AH969,βοηθητικό!$J$2:$N$354,3,FALSE)="","",VLOOKUP(AH969,βοηθητικό!$J$2:$N$354,3,FALSE))</f>
        <v>_</v>
      </c>
      <c r="AJ969" s="44"/>
      <c r="AK969" s="5" t="s">
        <v>16</v>
      </c>
      <c r="AL969" s="46" t="str">
        <f>IF(VLOOKUP(AK969,βοηθητικό!$J$2:$N$354,3,FALSE)="","",VLOOKUP(AK969,βοηθητικό!$J$2:$N$354,3,FALSE))</f>
        <v>_</v>
      </c>
      <c r="AM969" s="47"/>
      <c r="AN969" s="4" t="s">
        <v>16</v>
      </c>
      <c r="AO969" s="43" t="str">
        <f>IF(VLOOKUP(AN969,βοηθητικό!$J$2:$N$354,3,FALSE)="","",VLOOKUP(AN969,βοηθητικό!$J$2:$N$354,3,FALSE))</f>
        <v>_</v>
      </c>
      <c r="AP969" s="44"/>
      <c r="AQ969" s="5" t="s">
        <v>16</v>
      </c>
      <c r="AR969" s="46" t="str">
        <f>IF(VLOOKUP(AQ969,βοηθητικό!$J$2:$N$354,3,FALSE)="","",VLOOKUP(AQ969,βοηθητικό!$J$2:$N$354,3,FALSE))</f>
        <v>_</v>
      </c>
      <c r="AS969" s="47"/>
      <c r="AT969" s="4" t="s">
        <v>16</v>
      </c>
      <c r="AU969" s="43" t="str">
        <f>IF(VLOOKUP(AT969,βοηθητικό!$J$2:$N$354,3,FALSE)="","",VLOOKUP(AT969,βοηθητικό!$J$2:$N$354,3,FALSE))</f>
        <v>_</v>
      </c>
      <c r="AV969" s="44"/>
      <c r="AW969" s="5" t="s">
        <v>16</v>
      </c>
      <c r="AX969" s="46" t="str">
        <f>IF(VLOOKUP(AW969,βοηθητικό!$J$2:$N$354,3,FALSE)="","",VLOOKUP(AW969,βοηθητικό!$J$2:$N$354,3,FALSE))</f>
        <v>_</v>
      </c>
      <c r="AY969" s="47"/>
      <c r="AZ969" s="4" t="s">
        <v>16</v>
      </c>
      <c r="BA969" s="43" t="str">
        <f>IF(VLOOKUP(AZ969,βοηθητικό!$J$2:$N$354,3,FALSE)="","",VLOOKUP(AZ969,βοηθητικό!$J$2:$N$354,3,FALSE))</f>
        <v>_</v>
      </c>
      <c r="BB969" s="44"/>
      <c r="BC969" s="45" t="s">
        <v>16</v>
      </c>
      <c r="BD969" s="46" t="str">
        <f>IF(VLOOKUP(BC969,βοηθητικό!$J$2:$N$354,3,FALSE)="","",VLOOKUP(BC969,βοηθητικό!$J$2:$N$354,3,FALSE))</f>
        <v>_</v>
      </c>
      <c r="BE969" s="47"/>
      <c r="BF969" s="42" t="s">
        <v>16</v>
      </c>
      <c r="BG969" s="43" t="str">
        <f>IF(VLOOKUP(BF969,βοηθητικό!$J$2:$N$354,3,FALSE)="","",VLOOKUP(BF969,βοηθητικό!$J$2:$N$354,3,FALSE))</f>
        <v>_</v>
      </c>
      <c r="BH969" s="44"/>
      <c r="BI969" s="45" t="s">
        <v>16</v>
      </c>
      <c r="BJ969" s="46" t="str">
        <f>IF(VLOOKUP(BI969,βοηθητικό!$J$2:$N$354,3,FALSE)="","",VLOOKUP(BI969,βοηθητικό!$J$2:$N$354,3,FALSE))</f>
        <v>_</v>
      </c>
      <c r="BK969" s="47"/>
      <c r="BL969" s="42" t="s">
        <v>16</v>
      </c>
      <c r="BM969" s="43" t="str">
        <f>IF(VLOOKUP(BL969,βοηθητικό!$J$2:$N$354,3,FALSE)="","",VLOOKUP(BL969,βοηθητικό!$J$2:$N$354,3,FALSE))</f>
        <v>_</v>
      </c>
      <c r="BN969" s="44"/>
      <c r="BO969" s="45" t="s">
        <v>16</v>
      </c>
      <c r="BP969" s="46" t="str">
        <f>IF(VLOOKUP(BO969,βοηθητικό!$J$2:$N$354,3,FALSE)="","",VLOOKUP(BO969,βοηθητικό!$J$2:$N$354,3,FALSE))</f>
        <v>_</v>
      </c>
      <c r="BQ969" s="47"/>
      <c r="BR969" s="42" t="s">
        <v>16</v>
      </c>
      <c r="BS969" s="43" t="str">
        <f>IF(VLOOKUP(BR969,βοηθητικό!$J$2:$N$354,3,FALSE)="","",VLOOKUP(BR969,βοηθητικό!$J$2:$N$354,3,FALSE))</f>
        <v>_</v>
      </c>
      <c r="BT969" s="44"/>
      <c r="BU969" s="45" t="s">
        <v>16</v>
      </c>
      <c r="BV969" s="46" t="str">
        <f>IF(VLOOKUP(BU969,βοηθητικό!$J$2:$N$354,3,FALSE)="","",VLOOKUP(BU969,βοηθητικό!$J$2:$N$354,3,FALSE))</f>
        <v>_</v>
      </c>
      <c r="BW969" s="47"/>
      <c r="BX969" s="42" t="s">
        <v>16</v>
      </c>
      <c r="BY969" s="43" t="str">
        <f>IF(VLOOKUP(BX969,βοηθητικό!$J$2:$N$354,3,FALSE)="","",VLOOKUP(BX969,βοηθητικό!$J$2:$N$354,3,FALSE))</f>
        <v>_</v>
      </c>
      <c r="BZ969" s="44"/>
      <c r="CA969" s="45" t="s">
        <v>16</v>
      </c>
      <c r="CB969" s="46" t="str">
        <f>IF(VLOOKUP(CA969,βοηθητικό!$J$2:$N$354,3,FALSE)="","",VLOOKUP(CA969,βοηθητικό!$J$2:$N$354,3,FALSE))</f>
        <v>_</v>
      </c>
      <c r="CC969" s="47"/>
      <c r="CD969" s="42" t="s">
        <v>16</v>
      </c>
      <c r="CE969" s="43" t="str">
        <f>IF(VLOOKUP(CD969,βοηθητικό!$J$2:$N$354,3,FALSE)="","",VLOOKUP(CD969,βοηθητικό!$J$2:$N$354,3,FALSE))</f>
        <v>_</v>
      </c>
      <c r="CF969" s="44"/>
      <c r="CG969" s="45" t="s">
        <v>16</v>
      </c>
      <c r="CH969" s="46" t="str">
        <f>IF(VLOOKUP(CG969,βοηθητικό!$J$2:$N$354,3,FALSE)="","",VLOOKUP(CG969,βοηθητικό!$J$2:$N$354,3,FALSE))</f>
        <v>_</v>
      </c>
      <c r="CI969" s="47"/>
      <c r="CJ969" s="42" t="s">
        <v>16</v>
      </c>
      <c r="CK969" s="43" t="str">
        <f>IF(VLOOKUP(CJ969,βοηθητικό!$J$2:$N$354,3,FALSE)="","",VLOOKUP(CJ969,βοηθητικό!$J$2:$N$354,3,FALSE))</f>
        <v>_</v>
      </c>
      <c r="CL969" s="44"/>
      <c r="CM969" s="45" t="s">
        <v>16</v>
      </c>
      <c r="CN969" s="46" t="str">
        <f>IF(VLOOKUP(CM969,βοηθητικό!$J$2:$N$354,3,FALSE)="","",VLOOKUP(CM969,βοηθητικό!$J$2:$N$354,3,FALSE))</f>
        <v>_</v>
      </c>
      <c r="CO969" s="47"/>
      <c r="CP969" s="42" t="s">
        <v>16</v>
      </c>
      <c r="CQ969" s="43" t="str">
        <f>IF(VLOOKUP(CP969,βοηθητικό!$J$2:$N$354,3,FALSE)="","",VLOOKUP(CP969,βοηθητικό!$J$2:$N$354,3,FALSE))</f>
        <v>_</v>
      </c>
      <c r="CR969" s="44"/>
      <c r="CS969" s="45" t="s">
        <v>16</v>
      </c>
      <c r="CT969" s="46" t="str">
        <f>IF(VLOOKUP(CS969,βοηθητικό!$J$2:$N$354,3,FALSE)="","",VLOOKUP(CS969,βοηθητικό!$J$2:$N$354,3,FALSE))</f>
        <v>_</v>
      </c>
      <c r="CU969" s="47"/>
    </row>
    <row r="970" spans="1:99" x14ac:dyDescent="0.25">
      <c r="A970" s="37">
        <f>--SUBTOTAL(3,$B$3:B969)</f>
        <v>198</v>
      </c>
      <c r="B970" s="2"/>
      <c r="C970" s="3"/>
      <c r="D970" s="55" t="s">
        <v>18</v>
      </c>
      <c r="E970" s="38" t="s">
        <v>16</v>
      </c>
      <c r="F970" s="38"/>
      <c r="G970" s="39" t="str">
        <f t="shared" si="47"/>
        <v>__</v>
      </c>
      <c r="H970" s="40" t="str">
        <f t="shared" si="48"/>
        <v>FALSE</v>
      </c>
      <c r="I970" s="41">
        <f t="shared" si="49"/>
        <v>0</v>
      </c>
      <c r="J970" s="4" t="s">
        <v>16</v>
      </c>
      <c r="K970" s="43" t="str">
        <f>IF(VLOOKUP(J970,βοηθητικό!$J$2:$N$354,3,FALSE)="","",VLOOKUP(J970,βοηθητικό!$J$2:$N$354,3,FALSE))</f>
        <v>_</v>
      </c>
      <c r="L970" s="44"/>
      <c r="M970" s="5" t="s">
        <v>16</v>
      </c>
      <c r="N970" s="46" t="str">
        <f>IF(VLOOKUP(M970,βοηθητικό!$J$2:$N$354,3,FALSE)="","",VLOOKUP(M970,βοηθητικό!$J$2:$N$354,3,FALSE))</f>
        <v>_</v>
      </c>
      <c r="O970" s="47"/>
      <c r="P970" s="4" t="s">
        <v>16</v>
      </c>
      <c r="Q970" s="43" t="str">
        <f>IF(VLOOKUP(P970,βοηθητικό!$J$2:$N$354,3,FALSE)="","",VLOOKUP(P970,βοηθητικό!$J$2:$N$354,3,FALSE))</f>
        <v>_</v>
      </c>
      <c r="R970" s="44"/>
      <c r="S970" s="5" t="s">
        <v>16</v>
      </c>
      <c r="T970" s="46" t="str">
        <f>IF(VLOOKUP(S970,βοηθητικό!$J$2:$N$354,3,FALSE)="","",VLOOKUP(S970,βοηθητικό!$J$2:$N$354,3,FALSE))</f>
        <v>_</v>
      </c>
      <c r="U970" s="47"/>
      <c r="V970" s="4" t="s">
        <v>16</v>
      </c>
      <c r="W970" s="43" t="str">
        <f>IF(VLOOKUP(V970,βοηθητικό!$J$2:$N$354,3,FALSE)="","",VLOOKUP(V970,βοηθητικό!$J$2:$N$354,3,FALSE))</f>
        <v>_</v>
      </c>
      <c r="X970" s="44"/>
      <c r="Y970" s="5" t="s">
        <v>16</v>
      </c>
      <c r="Z970" s="46" t="str">
        <f>IF(VLOOKUP(Y970,βοηθητικό!$J$2:$N$354,3,FALSE)="","",VLOOKUP(Y970,βοηθητικό!$J$2:$N$354,3,FALSE))</f>
        <v>_</v>
      </c>
      <c r="AA970" s="47"/>
      <c r="AB970" s="4" t="s">
        <v>16</v>
      </c>
      <c r="AC970" s="43" t="str">
        <f>IF(VLOOKUP(AB970,βοηθητικό!$J$2:$N$354,3,FALSE)="","",VLOOKUP(AB970,βοηθητικό!$J$2:$N$354,3,FALSE))</f>
        <v>_</v>
      </c>
      <c r="AD970" s="44"/>
      <c r="AE970" s="5" t="s">
        <v>16</v>
      </c>
      <c r="AF970" s="46" t="str">
        <f>IF(VLOOKUP(AE970,βοηθητικό!$J$2:$N$354,3,FALSE)="","",VLOOKUP(AE970,βοηθητικό!$J$2:$N$354,3,FALSE))</f>
        <v>_</v>
      </c>
      <c r="AG970" s="47"/>
      <c r="AH970" s="4" t="s">
        <v>16</v>
      </c>
      <c r="AI970" s="43" t="str">
        <f>IF(VLOOKUP(AH970,βοηθητικό!$J$2:$N$354,3,FALSE)="","",VLOOKUP(AH970,βοηθητικό!$J$2:$N$354,3,FALSE))</f>
        <v>_</v>
      </c>
      <c r="AJ970" s="44"/>
      <c r="AK970" s="5" t="s">
        <v>16</v>
      </c>
      <c r="AL970" s="46" t="str">
        <f>IF(VLOOKUP(AK970,βοηθητικό!$J$2:$N$354,3,FALSE)="","",VLOOKUP(AK970,βοηθητικό!$J$2:$N$354,3,FALSE))</f>
        <v>_</v>
      </c>
      <c r="AM970" s="47"/>
      <c r="AN970" s="4" t="s">
        <v>16</v>
      </c>
      <c r="AO970" s="43" t="str">
        <f>IF(VLOOKUP(AN970,βοηθητικό!$J$2:$N$354,3,FALSE)="","",VLOOKUP(AN970,βοηθητικό!$J$2:$N$354,3,FALSE))</f>
        <v>_</v>
      </c>
      <c r="AP970" s="44"/>
      <c r="AQ970" s="5" t="s">
        <v>16</v>
      </c>
      <c r="AR970" s="46" t="str">
        <f>IF(VLOOKUP(AQ970,βοηθητικό!$J$2:$N$354,3,FALSE)="","",VLOOKUP(AQ970,βοηθητικό!$J$2:$N$354,3,FALSE))</f>
        <v>_</v>
      </c>
      <c r="AS970" s="47"/>
      <c r="AT970" s="4" t="s">
        <v>16</v>
      </c>
      <c r="AU970" s="43" t="str">
        <f>IF(VLOOKUP(AT970,βοηθητικό!$J$2:$N$354,3,FALSE)="","",VLOOKUP(AT970,βοηθητικό!$J$2:$N$354,3,FALSE))</f>
        <v>_</v>
      </c>
      <c r="AV970" s="44"/>
      <c r="AW970" s="5" t="s">
        <v>16</v>
      </c>
      <c r="AX970" s="46" t="str">
        <f>IF(VLOOKUP(AW970,βοηθητικό!$J$2:$N$354,3,FALSE)="","",VLOOKUP(AW970,βοηθητικό!$J$2:$N$354,3,FALSE))</f>
        <v>_</v>
      </c>
      <c r="AY970" s="47"/>
      <c r="AZ970" s="4" t="s">
        <v>16</v>
      </c>
      <c r="BA970" s="43" t="str">
        <f>IF(VLOOKUP(AZ970,βοηθητικό!$J$2:$N$354,3,FALSE)="","",VLOOKUP(AZ970,βοηθητικό!$J$2:$N$354,3,FALSE))</f>
        <v>_</v>
      </c>
      <c r="BB970" s="44"/>
      <c r="BC970" s="45" t="s">
        <v>16</v>
      </c>
      <c r="BD970" s="46" t="str">
        <f>IF(VLOOKUP(BC970,βοηθητικό!$J$2:$N$354,3,FALSE)="","",VLOOKUP(BC970,βοηθητικό!$J$2:$N$354,3,FALSE))</f>
        <v>_</v>
      </c>
      <c r="BE970" s="47"/>
      <c r="BF970" s="42" t="s">
        <v>16</v>
      </c>
      <c r="BG970" s="43" t="str">
        <f>IF(VLOOKUP(BF970,βοηθητικό!$J$2:$N$354,3,FALSE)="","",VLOOKUP(BF970,βοηθητικό!$J$2:$N$354,3,FALSE))</f>
        <v>_</v>
      </c>
      <c r="BH970" s="44"/>
      <c r="BI970" s="45" t="s">
        <v>16</v>
      </c>
      <c r="BJ970" s="46" t="str">
        <f>IF(VLOOKUP(BI970,βοηθητικό!$J$2:$N$354,3,FALSE)="","",VLOOKUP(BI970,βοηθητικό!$J$2:$N$354,3,FALSE))</f>
        <v>_</v>
      </c>
      <c r="BK970" s="47"/>
      <c r="BL970" s="42" t="s">
        <v>16</v>
      </c>
      <c r="BM970" s="43" t="str">
        <f>IF(VLOOKUP(BL970,βοηθητικό!$J$2:$N$354,3,FALSE)="","",VLOOKUP(BL970,βοηθητικό!$J$2:$N$354,3,FALSE))</f>
        <v>_</v>
      </c>
      <c r="BN970" s="44"/>
      <c r="BO970" s="45" t="s">
        <v>16</v>
      </c>
      <c r="BP970" s="46" t="str">
        <f>IF(VLOOKUP(BO970,βοηθητικό!$J$2:$N$354,3,FALSE)="","",VLOOKUP(BO970,βοηθητικό!$J$2:$N$354,3,FALSE))</f>
        <v>_</v>
      </c>
      <c r="BQ970" s="47"/>
      <c r="BR970" s="42" t="s">
        <v>16</v>
      </c>
      <c r="BS970" s="43" t="str">
        <f>IF(VLOOKUP(BR970,βοηθητικό!$J$2:$N$354,3,FALSE)="","",VLOOKUP(BR970,βοηθητικό!$J$2:$N$354,3,FALSE))</f>
        <v>_</v>
      </c>
      <c r="BT970" s="44"/>
      <c r="BU970" s="45" t="s">
        <v>16</v>
      </c>
      <c r="BV970" s="46" t="str">
        <f>IF(VLOOKUP(BU970,βοηθητικό!$J$2:$N$354,3,FALSE)="","",VLOOKUP(BU970,βοηθητικό!$J$2:$N$354,3,FALSE))</f>
        <v>_</v>
      </c>
      <c r="BW970" s="47"/>
      <c r="BX970" s="42" t="s">
        <v>16</v>
      </c>
      <c r="BY970" s="43" t="str">
        <f>IF(VLOOKUP(BX970,βοηθητικό!$J$2:$N$354,3,FALSE)="","",VLOOKUP(BX970,βοηθητικό!$J$2:$N$354,3,FALSE))</f>
        <v>_</v>
      </c>
      <c r="BZ970" s="44"/>
      <c r="CA970" s="45" t="s">
        <v>16</v>
      </c>
      <c r="CB970" s="46" t="str">
        <f>IF(VLOOKUP(CA970,βοηθητικό!$J$2:$N$354,3,FALSE)="","",VLOOKUP(CA970,βοηθητικό!$J$2:$N$354,3,FALSE))</f>
        <v>_</v>
      </c>
      <c r="CC970" s="47"/>
      <c r="CD970" s="42" t="s">
        <v>16</v>
      </c>
      <c r="CE970" s="43" t="str">
        <f>IF(VLOOKUP(CD970,βοηθητικό!$J$2:$N$354,3,FALSE)="","",VLOOKUP(CD970,βοηθητικό!$J$2:$N$354,3,FALSE))</f>
        <v>_</v>
      </c>
      <c r="CF970" s="44"/>
      <c r="CG970" s="45" t="s">
        <v>16</v>
      </c>
      <c r="CH970" s="46" t="str">
        <f>IF(VLOOKUP(CG970,βοηθητικό!$J$2:$N$354,3,FALSE)="","",VLOOKUP(CG970,βοηθητικό!$J$2:$N$354,3,FALSE))</f>
        <v>_</v>
      </c>
      <c r="CI970" s="47"/>
      <c r="CJ970" s="42" t="s">
        <v>16</v>
      </c>
      <c r="CK970" s="43" t="str">
        <f>IF(VLOOKUP(CJ970,βοηθητικό!$J$2:$N$354,3,FALSE)="","",VLOOKUP(CJ970,βοηθητικό!$J$2:$N$354,3,FALSE))</f>
        <v>_</v>
      </c>
      <c r="CL970" s="44"/>
      <c r="CM970" s="45" t="s">
        <v>16</v>
      </c>
      <c r="CN970" s="46" t="str">
        <f>IF(VLOOKUP(CM970,βοηθητικό!$J$2:$N$354,3,FALSE)="","",VLOOKUP(CM970,βοηθητικό!$J$2:$N$354,3,FALSE))</f>
        <v>_</v>
      </c>
      <c r="CO970" s="47"/>
      <c r="CP970" s="42" t="s">
        <v>16</v>
      </c>
      <c r="CQ970" s="43" t="str">
        <f>IF(VLOOKUP(CP970,βοηθητικό!$J$2:$N$354,3,FALSE)="","",VLOOKUP(CP970,βοηθητικό!$J$2:$N$354,3,FALSE))</f>
        <v>_</v>
      </c>
      <c r="CR970" s="44"/>
      <c r="CS970" s="45" t="s">
        <v>16</v>
      </c>
      <c r="CT970" s="46" t="str">
        <f>IF(VLOOKUP(CS970,βοηθητικό!$J$2:$N$354,3,FALSE)="","",VLOOKUP(CS970,βοηθητικό!$J$2:$N$354,3,FALSE))</f>
        <v>_</v>
      </c>
      <c r="CU970" s="47"/>
    </row>
    <row r="971" spans="1:99" x14ac:dyDescent="0.25">
      <c r="A971" s="37">
        <f>--SUBTOTAL(3,$B$3:B970)</f>
        <v>198</v>
      </c>
      <c r="B971" s="2"/>
      <c r="C971" s="3"/>
      <c r="D971" s="55" t="s">
        <v>18</v>
      </c>
      <c r="E971" s="38" t="s">
        <v>16</v>
      </c>
      <c r="F971" s="38"/>
      <c r="G971" s="39" t="str">
        <f t="shared" si="47"/>
        <v>__</v>
      </c>
      <c r="H971" s="40" t="str">
        <f t="shared" si="48"/>
        <v>FALSE</v>
      </c>
      <c r="I971" s="41">
        <f t="shared" si="49"/>
        <v>0</v>
      </c>
      <c r="J971" s="4" t="s">
        <v>16</v>
      </c>
      <c r="K971" s="43" t="str">
        <f>IF(VLOOKUP(J971,βοηθητικό!$J$2:$N$354,3,FALSE)="","",VLOOKUP(J971,βοηθητικό!$J$2:$N$354,3,FALSE))</f>
        <v>_</v>
      </c>
      <c r="L971" s="44"/>
      <c r="M971" s="5" t="s">
        <v>16</v>
      </c>
      <c r="N971" s="46" t="str">
        <f>IF(VLOOKUP(M971,βοηθητικό!$J$2:$N$354,3,FALSE)="","",VLOOKUP(M971,βοηθητικό!$J$2:$N$354,3,FALSE))</f>
        <v>_</v>
      </c>
      <c r="O971" s="47"/>
      <c r="P971" s="4" t="s">
        <v>16</v>
      </c>
      <c r="Q971" s="43" t="str">
        <f>IF(VLOOKUP(P971,βοηθητικό!$J$2:$N$354,3,FALSE)="","",VLOOKUP(P971,βοηθητικό!$J$2:$N$354,3,FALSE))</f>
        <v>_</v>
      </c>
      <c r="R971" s="44"/>
      <c r="S971" s="5" t="s">
        <v>16</v>
      </c>
      <c r="T971" s="46" t="str">
        <f>IF(VLOOKUP(S971,βοηθητικό!$J$2:$N$354,3,FALSE)="","",VLOOKUP(S971,βοηθητικό!$J$2:$N$354,3,FALSE))</f>
        <v>_</v>
      </c>
      <c r="U971" s="47"/>
      <c r="V971" s="4" t="s">
        <v>16</v>
      </c>
      <c r="W971" s="43" t="str">
        <f>IF(VLOOKUP(V971,βοηθητικό!$J$2:$N$354,3,FALSE)="","",VLOOKUP(V971,βοηθητικό!$J$2:$N$354,3,FALSE))</f>
        <v>_</v>
      </c>
      <c r="X971" s="44"/>
      <c r="Y971" s="5" t="s">
        <v>16</v>
      </c>
      <c r="Z971" s="46" t="str">
        <f>IF(VLOOKUP(Y971,βοηθητικό!$J$2:$N$354,3,FALSE)="","",VLOOKUP(Y971,βοηθητικό!$J$2:$N$354,3,FALSE))</f>
        <v>_</v>
      </c>
      <c r="AA971" s="47"/>
      <c r="AB971" s="4" t="s">
        <v>16</v>
      </c>
      <c r="AC971" s="43" t="str">
        <f>IF(VLOOKUP(AB971,βοηθητικό!$J$2:$N$354,3,FALSE)="","",VLOOKUP(AB971,βοηθητικό!$J$2:$N$354,3,FALSE))</f>
        <v>_</v>
      </c>
      <c r="AD971" s="44"/>
      <c r="AE971" s="5" t="s">
        <v>16</v>
      </c>
      <c r="AF971" s="46" t="str">
        <f>IF(VLOOKUP(AE971,βοηθητικό!$J$2:$N$354,3,FALSE)="","",VLOOKUP(AE971,βοηθητικό!$J$2:$N$354,3,FALSE))</f>
        <v>_</v>
      </c>
      <c r="AG971" s="47"/>
      <c r="AH971" s="4" t="s">
        <v>16</v>
      </c>
      <c r="AI971" s="43" t="str">
        <f>IF(VLOOKUP(AH971,βοηθητικό!$J$2:$N$354,3,FALSE)="","",VLOOKUP(AH971,βοηθητικό!$J$2:$N$354,3,FALSE))</f>
        <v>_</v>
      </c>
      <c r="AJ971" s="44"/>
      <c r="AK971" s="5" t="s">
        <v>16</v>
      </c>
      <c r="AL971" s="46" t="str">
        <f>IF(VLOOKUP(AK971,βοηθητικό!$J$2:$N$354,3,FALSE)="","",VLOOKUP(AK971,βοηθητικό!$J$2:$N$354,3,FALSE))</f>
        <v>_</v>
      </c>
      <c r="AM971" s="47"/>
      <c r="AN971" s="4" t="s">
        <v>16</v>
      </c>
      <c r="AO971" s="43" t="str">
        <f>IF(VLOOKUP(AN971,βοηθητικό!$J$2:$N$354,3,FALSE)="","",VLOOKUP(AN971,βοηθητικό!$J$2:$N$354,3,FALSE))</f>
        <v>_</v>
      </c>
      <c r="AP971" s="44"/>
      <c r="AQ971" s="5" t="s">
        <v>16</v>
      </c>
      <c r="AR971" s="46" t="str">
        <f>IF(VLOOKUP(AQ971,βοηθητικό!$J$2:$N$354,3,FALSE)="","",VLOOKUP(AQ971,βοηθητικό!$J$2:$N$354,3,FALSE))</f>
        <v>_</v>
      </c>
      <c r="AS971" s="47"/>
      <c r="AT971" s="4" t="s">
        <v>16</v>
      </c>
      <c r="AU971" s="43" t="str">
        <f>IF(VLOOKUP(AT971,βοηθητικό!$J$2:$N$354,3,FALSE)="","",VLOOKUP(AT971,βοηθητικό!$J$2:$N$354,3,FALSE))</f>
        <v>_</v>
      </c>
      <c r="AV971" s="44"/>
      <c r="AW971" s="5" t="s">
        <v>16</v>
      </c>
      <c r="AX971" s="46" t="str">
        <f>IF(VLOOKUP(AW971,βοηθητικό!$J$2:$N$354,3,FALSE)="","",VLOOKUP(AW971,βοηθητικό!$J$2:$N$354,3,FALSE))</f>
        <v>_</v>
      </c>
      <c r="AY971" s="47"/>
      <c r="AZ971" s="4" t="s">
        <v>16</v>
      </c>
      <c r="BA971" s="43" t="str">
        <f>IF(VLOOKUP(AZ971,βοηθητικό!$J$2:$N$354,3,FALSE)="","",VLOOKUP(AZ971,βοηθητικό!$J$2:$N$354,3,FALSE))</f>
        <v>_</v>
      </c>
      <c r="BB971" s="44"/>
      <c r="BC971" s="45" t="s">
        <v>16</v>
      </c>
      <c r="BD971" s="46" t="str">
        <f>IF(VLOOKUP(BC971,βοηθητικό!$J$2:$N$354,3,FALSE)="","",VLOOKUP(BC971,βοηθητικό!$J$2:$N$354,3,FALSE))</f>
        <v>_</v>
      </c>
      <c r="BE971" s="47"/>
      <c r="BF971" s="42" t="s">
        <v>16</v>
      </c>
      <c r="BG971" s="43" t="str">
        <f>IF(VLOOKUP(BF971,βοηθητικό!$J$2:$N$354,3,FALSE)="","",VLOOKUP(BF971,βοηθητικό!$J$2:$N$354,3,FALSE))</f>
        <v>_</v>
      </c>
      <c r="BH971" s="44"/>
      <c r="BI971" s="45" t="s">
        <v>16</v>
      </c>
      <c r="BJ971" s="46" t="str">
        <f>IF(VLOOKUP(BI971,βοηθητικό!$J$2:$N$354,3,FALSE)="","",VLOOKUP(BI971,βοηθητικό!$J$2:$N$354,3,FALSE))</f>
        <v>_</v>
      </c>
      <c r="BK971" s="47"/>
      <c r="BL971" s="42" t="s">
        <v>16</v>
      </c>
      <c r="BM971" s="43" t="str">
        <f>IF(VLOOKUP(BL971,βοηθητικό!$J$2:$N$354,3,FALSE)="","",VLOOKUP(BL971,βοηθητικό!$J$2:$N$354,3,FALSE))</f>
        <v>_</v>
      </c>
      <c r="BN971" s="44"/>
      <c r="BO971" s="45" t="s">
        <v>16</v>
      </c>
      <c r="BP971" s="46" t="str">
        <f>IF(VLOOKUP(BO971,βοηθητικό!$J$2:$N$354,3,FALSE)="","",VLOOKUP(BO971,βοηθητικό!$J$2:$N$354,3,FALSE))</f>
        <v>_</v>
      </c>
      <c r="BQ971" s="47"/>
      <c r="BR971" s="42" t="s">
        <v>16</v>
      </c>
      <c r="BS971" s="43" t="str">
        <f>IF(VLOOKUP(BR971,βοηθητικό!$J$2:$N$354,3,FALSE)="","",VLOOKUP(BR971,βοηθητικό!$J$2:$N$354,3,FALSE))</f>
        <v>_</v>
      </c>
      <c r="BT971" s="44"/>
      <c r="BU971" s="45" t="s">
        <v>16</v>
      </c>
      <c r="BV971" s="46" t="str">
        <f>IF(VLOOKUP(BU971,βοηθητικό!$J$2:$N$354,3,FALSE)="","",VLOOKUP(BU971,βοηθητικό!$J$2:$N$354,3,FALSE))</f>
        <v>_</v>
      </c>
      <c r="BW971" s="47"/>
      <c r="BX971" s="42" t="s">
        <v>16</v>
      </c>
      <c r="BY971" s="43" t="str">
        <f>IF(VLOOKUP(BX971,βοηθητικό!$J$2:$N$354,3,FALSE)="","",VLOOKUP(BX971,βοηθητικό!$J$2:$N$354,3,FALSE))</f>
        <v>_</v>
      </c>
      <c r="BZ971" s="44"/>
      <c r="CA971" s="45" t="s">
        <v>16</v>
      </c>
      <c r="CB971" s="46" t="str">
        <f>IF(VLOOKUP(CA971,βοηθητικό!$J$2:$N$354,3,FALSE)="","",VLOOKUP(CA971,βοηθητικό!$J$2:$N$354,3,FALSE))</f>
        <v>_</v>
      </c>
      <c r="CC971" s="47"/>
      <c r="CD971" s="42" t="s">
        <v>16</v>
      </c>
      <c r="CE971" s="43" t="str">
        <f>IF(VLOOKUP(CD971,βοηθητικό!$J$2:$N$354,3,FALSE)="","",VLOOKUP(CD971,βοηθητικό!$J$2:$N$354,3,FALSE))</f>
        <v>_</v>
      </c>
      <c r="CF971" s="44"/>
      <c r="CG971" s="45" t="s">
        <v>16</v>
      </c>
      <c r="CH971" s="46" t="str">
        <f>IF(VLOOKUP(CG971,βοηθητικό!$J$2:$N$354,3,FALSE)="","",VLOOKUP(CG971,βοηθητικό!$J$2:$N$354,3,FALSE))</f>
        <v>_</v>
      </c>
      <c r="CI971" s="47"/>
      <c r="CJ971" s="42" t="s">
        <v>16</v>
      </c>
      <c r="CK971" s="43" t="str">
        <f>IF(VLOOKUP(CJ971,βοηθητικό!$J$2:$N$354,3,FALSE)="","",VLOOKUP(CJ971,βοηθητικό!$J$2:$N$354,3,FALSE))</f>
        <v>_</v>
      </c>
      <c r="CL971" s="44"/>
      <c r="CM971" s="45" t="s">
        <v>16</v>
      </c>
      <c r="CN971" s="46" t="str">
        <f>IF(VLOOKUP(CM971,βοηθητικό!$J$2:$N$354,3,FALSE)="","",VLOOKUP(CM971,βοηθητικό!$J$2:$N$354,3,FALSE))</f>
        <v>_</v>
      </c>
      <c r="CO971" s="47"/>
      <c r="CP971" s="42" t="s">
        <v>16</v>
      </c>
      <c r="CQ971" s="43" t="str">
        <f>IF(VLOOKUP(CP971,βοηθητικό!$J$2:$N$354,3,FALSE)="","",VLOOKUP(CP971,βοηθητικό!$J$2:$N$354,3,FALSE))</f>
        <v>_</v>
      </c>
      <c r="CR971" s="44"/>
      <c r="CS971" s="45" t="s">
        <v>16</v>
      </c>
      <c r="CT971" s="46" t="str">
        <f>IF(VLOOKUP(CS971,βοηθητικό!$J$2:$N$354,3,FALSE)="","",VLOOKUP(CS971,βοηθητικό!$J$2:$N$354,3,FALSE))</f>
        <v>_</v>
      </c>
      <c r="CU971" s="47"/>
    </row>
    <row r="972" spans="1:99" x14ac:dyDescent="0.25">
      <c r="A972" s="37">
        <f>--SUBTOTAL(3,$B$3:B971)</f>
        <v>198</v>
      </c>
      <c r="B972" s="2"/>
      <c r="C972" s="3"/>
      <c r="D972" s="55" t="s">
        <v>18</v>
      </c>
      <c r="E972" s="38" t="s">
        <v>16</v>
      </c>
      <c r="F972" s="38"/>
      <c r="G972" s="39" t="str">
        <f t="shared" si="47"/>
        <v>__</v>
      </c>
      <c r="H972" s="40" t="str">
        <f t="shared" si="48"/>
        <v>FALSE</v>
      </c>
      <c r="I972" s="41">
        <f t="shared" si="49"/>
        <v>0</v>
      </c>
      <c r="J972" s="4" t="s">
        <v>16</v>
      </c>
      <c r="K972" s="43" t="str">
        <f>IF(VLOOKUP(J972,βοηθητικό!$J$2:$N$354,3,FALSE)="","",VLOOKUP(J972,βοηθητικό!$J$2:$N$354,3,FALSE))</f>
        <v>_</v>
      </c>
      <c r="L972" s="44"/>
      <c r="M972" s="5" t="s">
        <v>16</v>
      </c>
      <c r="N972" s="46" t="str">
        <f>IF(VLOOKUP(M972,βοηθητικό!$J$2:$N$354,3,FALSE)="","",VLOOKUP(M972,βοηθητικό!$J$2:$N$354,3,FALSE))</f>
        <v>_</v>
      </c>
      <c r="O972" s="47"/>
      <c r="P972" s="4" t="s">
        <v>16</v>
      </c>
      <c r="Q972" s="43" t="str">
        <f>IF(VLOOKUP(P972,βοηθητικό!$J$2:$N$354,3,FALSE)="","",VLOOKUP(P972,βοηθητικό!$J$2:$N$354,3,FALSE))</f>
        <v>_</v>
      </c>
      <c r="R972" s="44"/>
      <c r="S972" s="5" t="s">
        <v>16</v>
      </c>
      <c r="T972" s="46" t="str">
        <f>IF(VLOOKUP(S972,βοηθητικό!$J$2:$N$354,3,FALSE)="","",VLOOKUP(S972,βοηθητικό!$J$2:$N$354,3,FALSE))</f>
        <v>_</v>
      </c>
      <c r="U972" s="47"/>
      <c r="V972" s="4" t="s">
        <v>16</v>
      </c>
      <c r="W972" s="43" t="str">
        <f>IF(VLOOKUP(V972,βοηθητικό!$J$2:$N$354,3,FALSE)="","",VLOOKUP(V972,βοηθητικό!$J$2:$N$354,3,FALSE))</f>
        <v>_</v>
      </c>
      <c r="X972" s="44"/>
      <c r="Y972" s="5" t="s">
        <v>16</v>
      </c>
      <c r="Z972" s="46" t="str">
        <f>IF(VLOOKUP(Y972,βοηθητικό!$J$2:$N$354,3,FALSE)="","",VLOOKUP(Y972,βοηθητικό!$J$2:$N$354,3,FALSE))</f>
        <v>_</v>
      </c>
      <c r="AA972" s="47"/>
      <c r="AB972" s="4" t="s">
        <v>16</v>
      </c>
      <c r="AC972" s="43" t="str">
        <f>IF(VLOOKUP(AB972,βοηθητικό!$J$2:$N$354,3,FALSE)="","",VLOOKUP(AB972,βοηθητικό!$J$2:$N$354,3,FALSE))</f>
        <v>_</v>
      </c>
      <c r="AD972" s="44"/>
      <c r="AE972" s="5" t="s">
        <v>16</v>
      </c>
      <c r="AF972" s="46" t="str">
        <f>IF(VLOOKUP(AE972,βοηθητικό!$J$2:$N$354,3,FALSE)="","",VLOOKUP(AE972,βοηθητικό!$J$2:$N$354,3,FALSE))</f>
        <v>_</v>
      </c>
      <c r="AG972" s="47"/>
      <c r="AH972" s="4" t="s">
        <v>16</v>
      </c>
      <c r="AI972" s="43" t="str">
        <f>IF(VLOOKUP(AH972,βοηθητικό!$J$2:$N$354,3,FALSE)="","",VLOOKUP(AH972,βοηθητικό!$J$2:$N$354,3,FALSE))</f>
        <v>_</v>
      </c>
      <c r="AJ972" s="44"/>
      <c r="AK972" s="5" t="s">
        <v>16</v>
      </c>
      <c r="AL972" s="46" t="str">
        <f>IF(VLOOKUP(AK972,βοηθητικό!$J$2:$N$354,3,FALSE)="","",VLOOKUP(AK972,βοηθητικό!$J$2:$N$354,3,FALSE))</f>
        <v>_</v>
      </c>
      <c r="AM972" s="47"/>
      <c r="AN972" s="4" t="s">
        <v>16</v>
      </c>
      <c r="AO972" s="43" t="str">
        <f>IF(VLOOKUP(AN972,βοηθητικό!$J$2:$N$354,3,FALSE)="","",VLOOKUP(AN972,βοηθητικό!$J$2:$N$354,3,FALSE))</f>
        <v>_</v>
      </c>
      <c r="AP972" s="44"/>
      <c r="AQ972" s="5" t="s">
        <v>16</v>
      </c>
      <c r="AR972" s="46" t="str">
        <f>IF(VLOOKUP(AQ972,βοηθητικό!$J$2:$N$354,3,FALSE)="","",VLOOKUP(AQ972,βοηθητικό!$J$2:$N$354,3,FALSE))</f>
        <v>_</v>
      </c>
      <c r="AS972" s="47"/>
      <c r="AT972" s="4" t="s">
        <v>16</v>
      </c>
      <c r="AU972" s="43" t="str">
        <f>IF(VLOOKUP(AT972,βοηθητικό!$J$2:$N$354,3,FALSE)="","",VLOOKUP(AT972,βοηθητικό!$J$2:$N$354,3,FALSE))</f>
        <v>_</v>
      </c>
      <c r="AV972" s="44"/>
      <c r="AW972" s="5" t="s">
        <v>16</v>
      </c>
      <c r="AX972" s="46" t="str">
        <f>IF(VLOOKUP(AW972,βοηθητικό!$J$2:$N$354,3,FALSE)="","",VLOOKUP(AW972,βοηθητικό!$J$2:$N$354,3,FALSE))</f>
        <v>_</v>
      </c>
      <c r="AY972" s="47"/>
      <c r="AZ972" s="4" t="s">
        <v>16</v>
      </c>
      <c r="BA972" s="43" t="str">
        <f>IF(VLOOKUP(AZ972,βοηθητικό!$J$2:$N$354,3,FALSE)="","",VLOOKUP(AZ972,βοηθητικό!$J$2:$N$354,3,FALSE))</f>
        <v>_</v>
      </c>
      <c r="BB972" s="44"/>
      <c r="BC972" s="45" t="s">
        <v>16</v>
      </c>
      <c r="BD972" s="46" t="str">
        <f>IF(VLOOKUP(BC972,βοηθητικό!$J$2:$N$354,3,FALSE)="","",VLOOKUP(BC972,βοηθητικό!$J$2:$N$354,3,FALSE))</f>
        <v>_</v>
      </c>
      <c r="BE972" s="47"/>
      <c r="BF972" s="42" t="s">
        <v>16</v>
      </c>
      <c r="BG972" s="43" t="str">
        <f>IF(VLOOKUP(BF972,βοηθητικό!$J$2:$N$354,3,FALSE)="","",VLOOKUP(BF972,βοηθητικό!$J$2:$N$354,3,FALSE))</f>
        <v>_</v>
      </c>
      <c r="BH972" s="44"/>
      <c r="BI972" s="45" t="s">
        <v>16</v>
      </c>
      <c r="BJ972" s="46" t="str">
        <f>IF(VLOOKUP(BI972,βοηθητικό!$J$2:$N$354,3,FALSE)="","",VLOOKUP(BI972,βοηθητικό!$J$2:$N$354,3,FALSE))</f>
        <v>_</v>
      </c>
      <c r="BK972" s="47"/>
      <c r="BL972" s="42" t="s">
        <v>16</v>
      </c>
      <c r="BM972" s="43" t="str">
        <f>IF(VLOOKUP(BL972,βοηθητικό!$J$2:$N$354,3,FALSE)="","",VLOOKUP(BL972,βοηθητικό!$J$2:$N$354,3,FALSE))</f>
        <v>_</v>
      </c>
      <c r="BN972" s="44"/>
      <c r="BO972" s="45" t="s">
        <v>16</v>
      </c>
      <c r="BP972" s="46" t="str">
        <f>IF(VLOOKUP(BO972,βοηθητικό!$J$2:$N$354,3,FALSE)="","",VLOOKUP(BO972,βοηθητικό!$J$2:$N$354,3,FALSE))</f>
        <v>_</v>
      </c>
      <c r="BQ972" s="47"/>
      <c r="BR972" s="42" t="s">
        <v>16</v>
      </c>
      <c r="BS972" s="43" t="str">
        <f>IF(VLOOKUP(BR972,βοηθητικό!$J$2:$N$354,3,FALSE)="","",VLOOKUP(BR972,βοηθητικό!$J$2:$N$354,3,FALSE))</f>
        <v>_</v>
      </c>
      <c r="BT972" s="44"/>
      <c r="BU972" s="45" t="s">
        <v>16</v>
      </c>
      <c r="BV972" s="46" t="str">
        <f>IF(VLOOKUP(BU972,βοηθητικό!$J$2:$N$354,3,FALSE)="","",VLOOKUP(BU972,βοηθητικό!$J$2:$N$354,3,FALSE))</f>
        <v>_</v>
      </c>
      <c r="BW972" s="47"/>
      <c r="BX972" s="42" t="s">
        <v>16</v>
      </c>
      <c r="BY972" s="43" t="str">
        <f>IF(VLOOKUP(BX972,βοηθητικό!$J$2:$N$354,3,FALSE)="","",VLOOKUP(BX972,βοηθητικό!$J$2:$N$354,3,FALSE))</f>
        <v>_</v>
      </c>
      <c r="BZ972" s="44"/>
      <c r="CA972" s="45" t="s">
        <v>16</v>
      </c>
      <c r="CB972" s="46" t="str">
        <f>IF(VLOOKUP(CA972,βοηθητικό!$J$2:$N$354,3,FALSE)="","",VLOOKUP(CA972,βοηθητικό!$J$2:$N$354,3,FALSE))</f>
        <v>_</v>
      </c>
      <c r="CC972" s="47"/>
      <c r="CD972" s="42" t="s">
        <v>16</v>
      </c>
      <c r="CE972" s="43" t="str">
        <f>IF(VLOOKUP(CD972,βοηθητικό!$J$2:$N$354,3,FALSE)="","",VLOOKUP(CD972,βοηθητικό!$J$2:$N$354,3,FALSE))</f>
        <v>_</v>
      </c>
      <c r="CF972" s="44"/>
      <c r="CG972" s="45" t="s">
        <v>16</v>
      </c>
      <c r="CH972" s="46" t="str">
        <f>IF(VLOOKUP(CG972,βοηθητικό!$J$2:$N$354,3,FALSE)="","",VLOOKUP(CG972,βοηθητικό!$J$2:$N$354,3,FALSE))</f>
        <v>_</v>
      </c>
      <c r="CI972" s="47"/>
      <c r="CJ972" s="42" t="s">
        <v>16</v>
      </c>
      <c r="CK972" s="43" t="str">
        <f>IF(VLOOKUP(CJ972,βοηθητικό!$J$2:$N$354,3,FALSE)="","",VLOOKUP(CJ972,βοηθητικό!$J$2:$N$354,3,FALSE))</f>
        <v>_</v>
      </c>
      <c r="CL972" s="44"/>
      <c r="CM972" s="45" t="s">
        <v>16</v>
      </c>
      <c r="CN972" s="46" t="str">
        <f>IF(VLOOKUP(CM972,βοηθητικό!$J$2:$N$354,3,FALSE)="","",VLOOKUP(CM972,βοηθητικό!$J$2:$N$354,3,FALSE))</f>
        <v>_</v>
      </c>
      <c r="CO972" s="47"/>
      <c r="CP972" s="42" t="s">
        <v>16</v>
      </c>
      <c r="CQ972" s="43" t="str">
        <f>IF(VLOOKUP(CP972,βοηθητικό!$J$2:$N$354,3,FALSE)="","",VLOOKUP(CP972,βοηθητικό!$J$2:$N$354,3,FALSE))</f>
        <v>_</v>
      </c>
      <c r="CR972" s="44"/>
      <c r="CS972" s="45" t="s">
        <v>16</v>
      </c>
      <c r="CT972" s="46" t="str">
        <f>IF(VLOOKUP(CS972,βοηθητικό!$J$2:$N$354,3,FALSE)="","",VLOOKUP(CS972,βοηθητικό!$J$2:$N$354,3,FALSE))</f>
        <v>_</v>
      </c>
      <c r="CU972" s="47"/>
    </row>
    <row r="973" spans="1:99" x14ac:dyDescent="0.25">
      <c r="A973" s="37">
        <f>--SUBTOTAL(3,$B$3:B972)</f>
        <v>198</v>
      </c>
      <c r="B973" s="2"/>
      <c r="C973" s="3"/>
      <c r="D973" s="55" t="s">
        <v>18</v>
      </c>
      <c r="E973" s="38" t="s">
        <v>16</v>
      </c>
      <c r="F973" s="38"/>
      <c r="G973" s="39" t="str">
        <f t="shared" si="47"/>
        <v>__</v>
      </c>
      <c r="H973" s="40" t="str">
        <f t="shared" si="48"/>
        <v>FALSE</v>
      </c>
      <c r="I973" s="41">
        <f t="shared" si="49"/>
        <v>0</v>
      </c>
      <c r="J973" s="4" t="s">
        <v>16</v>
      </c>
      <c r="K973" s="43" t="str">
        <f>IF(VLOOKUP(J973,βοηθητικό!$J$2:$N$354,3,FALSE)="","",VLOOKUP(J973,βοηθητικό!$J$2:$N$354,3,FALSE))</f>
        <v>_</v>
      </c>
      <c r="L973" s="44"/>
      <c r="M973" s="5" t="s">
        <v>16</v>
      </c>
      <c r="N973" s="46" t="str">
        <f>IF(VLOOKUP(M973,βοηθητικό!$J$2:$N$354,3,FALSE)="","",VLOOKUP(M973,βοηθητικό!$J$2:$N$354,3,FALSE))</f>
        <v>_</v>
      </c>
      <c r="O973" s="47"/>
      <c r="P973" s="4" t="s">
        <v>16</v>
      </c>
      <c r="Q973" s="43" t="str">
        <f>IF(VLOOKUP(P973,βοηθητικό!$J$2:$N$354,3,FALSE)="","",VLOOKUP(P973,βοηθητικό!$J$2:$N$354,3,FALSE))</f>
        <v>_</v>
      </c>
      <c r="R973" s="44"/>
      <c r="S973" s="5" t="s">
        <v>16</v>
      </c>
      <c r="T973" s="46" t="str">
        <f>IF(VLOOKUP(S973,βοηθητικό!$J$2:$N$354,3,FALSE)="","",VLOOKUP(S973,βοηθητικό!$J$2:$N$354,3,FALSE))</f>
        <v>_</v>
      </c>
      <c r="U973" s="47"/>
      <c r="V973" s="4" t="s">
        <v>16</v>
      </c>
      <c r="W973" s="43" t="str">
        <f>IF(VLOOKUP(V973,βοηθητικό!$J$2:$N$354,3,FALSE)="","",VLOOKUP(V973,βοηθητικό!$J$2:$N$354,3,FALSE))</f>
        <v>_</v>
      </c>
      <c r="X973" s="44"/>
      <c r="Y973" s="5" t="s">
        <v>16</v>
      </c>
      <c r="Z973" s="46" t="str">
        <f>IF(VLOOKUP(Y973,βοηθητικό!$J$2:$N$354,3,FALSE)="","",VLOOKUP(Y973,βοηθητικό!$J$2:$N$354,3,FALSE))</f>
        <v>_</v>
      </c>
      <c r="AA973" s="47"/>
      <c r="AB973" s="4" t="s">
        <v>16</v>
      </c>
      <c r="AC973" s="43" t="str">
        <f>IF(VLOOKUP(AB973,βοηθητικό!$J$2:$N$354,3,FALSE)="","",VLOOKUP(AB973,βοηθητικό!$J$2:$N$354,3,FALSE))</f>
        <v>_</v>
      </c>
      <c r="AD973" s="44"/>
      <c r="AE973" s="5" t="s">
        <v>16</v>
      </c>
      <c r="AF973" s="46" t="str">
        <f>IF(VLOOKUP(AE973,βοηθητικό!$J$2:$N$354,3,FALSE)="","",VLOOKUP(AE973,βοηθητικό!$J$2:$N$354,3,FALSE))</f>
        <v>_</v>
      </c>
      <c r="AG973" s="47"/>
      <c r="AH973" s="4" t="s">
        <v>16</v>
      </c>
      <c r="AI973" s="43" t="str">
        <f>IF(VLOOKUP(AH973,βοηθητικό!$J$2:$N$354,3,FALSE)="","",VLOOKUP(AH973,βοηθητικό!$J$2:$N$354,3,FALSE))</f>
        <v>_</v>
      </c>
      <c r="AJ973" s="44"/>
      <c r="AK973" s="5" t="s">
        <v>16</v>
      </c>
      <c r="AL973" s="46" t="str">
        <f>IF(VLOOKUP(AK973,βοηθητικό!$J$2:$N$354,3,FALSE)="","",VLOOKUP(AK973,βοηθητικό!$J$2:$N$354,3,FALSE))</f>
        <v>_</v>
      </c>
      <c r="AM973" s="47"/>
      <c r="AN973" s="4" t="s">
        <v>16</v>
      </c>
      <c r="AO973" s="43" t="str">
        <f>IF(VLOOKUP(AN973,βοηθητικό!$J$2:$N$354,3,FALSE)="","",VLOOKUP(AN973,βοηθητικό!$J$2:$N$354,3,FALSE))</f>
        <v>_</v>
      </c>
      <c r="AP973" s="44"/>
      <c r="AQ973" s="5" t="s">
        <v>16</v>
      </c>
      <c r="AR973" s="46" t="str">
        <f>IF(VLOOKUP(AQ973,βοηθητικό!$J$2:$N$354,3,FALSE)="","",VLOOKUP(AQ973,βοηθητικό!$J$2:$N$354,3,FALSE))</f>
        <v>_</v>
      </c>
      <c r="AS973" s="47"/>
      <c r="AT973" s="4" t="s">
        <v>16</v>
      </c>
      <c r="AU973" s="43" t="str">
        <f>IF(VLOOKUP(AT973,βοηθητικό!$J$2:$N$354,3,FALSE)="","",VLOOKUP(AT973,βοηθητικό!$J$2:$N$354,3,FALSE))</f>
        <v>_</v>
      </c>
      <c r="AV973" s="44"/>
      <c r="AW973" s="5" t="s">
        <v>16</v>
      </c>
      <c r="AX973" s="46" t="str">
        <f>IF(VLOOKUP(AW973,βοηθητικό!$J$2:$N$354,3,FALSE)="","",VLOOKUP(AW973,βοηθητικό!$J$2:$N$354,3,FALSE))</f>
        <v>_</v>
      </c>
      <c r="AY973" s="47"/>
      <c r="AZ973" s="4" t="s">
        <v>16</v>
      </c>
      <c r="BA973" s="43" t="str">
        <f>IF(VLOOKUP(AZ973,βοηθητικό!$J$2:$N$354,3,FALSE)="","",VLOOKUP(AZ973,βοηθητικό!$J$2:$N$354,3,FALSE))</f>
        <v>_</v>
      </c>
      <c r="BB973" s="44"/>
      <c r="BC973" s="45" t="s">
        <v>16</v>
      </c>
      <c r="BD973" s="46" t="str">
        <f>IF(VLOOKUP(BC973,βοηθητικό!$J$2:$N$354,3,FALSE)="","",VLOOKUP(BC973,βοηθητικό!$J$2:$N$354,3,FALSE))</f>
        <v>_</v>
      </c>
      <c r="BE973" s="47"/>
      <c r="BF973" s="42" t="s">
        <v>16</v>
      </c>
      <c r="BG973" s="43" t="str">
        <f>IF(VLOOKUP(BF973,βοηθητικό!$J$2:$N$354,3,FALSE)="","",VLOOKUP(BF973,βοηθητικό!$J$2:$N$354,3,FALSE))</f>
        <v>_</v>
      </c>
      <c r="BH973" s="44"/>
      <c r="BI973" s="45" t="s">
        <v>16</v>
      </c>
      <c r="BJ973" s="46" t="str">
        <f>IF(VLOOKUP(BI973,βοηθητικό!$J$2:$N$354,3,FALSE)="","",VLOOKUP(BI973,βοηθητικό!$J$2:$N$354,3,FALSE))</f>
        <v>_</v>
      </c>
      <c r="BK973" s="47"/>
      <c r="BL973" s="42" t="s">
        <v>16</v>
      </c>
      <c r="BM973" s="43" t="str">
        <f>IF(VLOOKUP(BL973,βοηθητικό!$J$2:$N$354,3,FALSE)="","",VLOOKUP(BL973,βοηθητικό!$J$2:$N$354,3,FALSE))</f>
        <v>_</v>
      </c>
      <c r="BN973" s="44"/>
      <c r="BO973" s="45" t="s">
        <v>16</v>
      </c>
      <c r="BP973" s="46" t="str">
        <f>IF(VLOOKUP(BO973,βοηθητικό!$J$2:$N$354,3,FALSE)="","",VLOOKUP(BO973,βοηθητικό!$J$2:$N$354,3,FALSE))</f>
        <v>_</v>
      </c>
      <c r="BQ973" s="47"/>
      <c r="BR973" s="42" t="s">
        <v>16</v>
      </c>
      <c r="BS973" s="43" t="str">
        <f>IF(VLOOKUP(BR973,βοηθητικό!$J$2:$N$354,3,FALSE)="","",VLOOKUP(BR973,βοηθητικό!$J$2:$N$354,3,FALSE))</f>
        <v>_</v>
      </c>
      <c r="BT973" s="44"/>
      <c r="BU973" s="45" t="s">
        <v>16</v>
      </c>
      <c r="BV973" s="46" t="str">
        <f>IF(VLOOKUP(BU973,βοηθητικό!$J$2:$N$354,3,FALSE)="","",VLOOKUP(BU973,βοηθητικό!$J$2:$N$354,3,FALSE))</f>
        <v>_</v>
      </c>
      <c r="BW973" s="47"/>
      <c r="BX973" s="42" t="s">
        <v>16</v>
      </c>
      <c r="BY973" s="43" t="str">
        <f>IF(VLOOKUP(BX973,βοηθητικό!$J$2:$N$354,3,FALSE)="","",VLOOKUP(BX973,βοηθητικό!$J$2:$N$354,3,FALSE))</f>
        <v>_</v>
      </c>
      <c r="BZ973" s="44"/>
      <c r="CA973" s="45" t="s">
        <v>16</v>
      </c>
      <c r="CB973" s="46" t="str">
        <f>IF(VLOOKUP(CA973,βοηθητικό!$J$2:$N$354,3,FALSE)="","",VLOOKUP(CA973,βοηθητικό!$J$2:$N$354,3,FALSE))</f>
        <v>_</v>
      </c>
      <c r="CC973" s="47"/>
      <c r="CD973" s="42" t="s">
        <v>16</v>
      </c>
      <c r="CE973" s="43" t="str">
        <f>IF(VLOOKUP(CD973,βοηθητικό!$J$2:$N$354,3,FALSE)="","",VLOOKUP(CD973,βοηθητικό!$J$2:$N$354,3,FALSE))</f>
        <v>_</v>
      </c>
      <c r="CF973" s="44"/>
      <c r="CG973" s="45" t="s">
        <v>16</v>
      </c>
      <c r="CH973" s="46" t="str">
        <f>IF(VLOOKUP(CG973,βοηθητικό!$J$2:$N$354,3,FALSE)="","",VLOOKUP(CG973,βοηθητικό!$J$2:$N$354,3,FALSE))</f>
        <v>_</v>
      </c>
      <c r="CI973" s="47"/>
      <c r="CJ973" s="42" t="s">
        <v>16</v>
      </c>
      <c r="CK973" s="43" t="str">
        <f>IF(VLOOKUP(CJ973,βοηθητικό!$J$2:$N$354,3,FALSE)="","",VLOOKUP(CJ973,βοηθητικό!$J$2:$N$354,3,FALSE))</f>
        <v>_</v>
      </c>
      <c r="CL973" s="44"/>
      <c r="CM973" s="45" t="s">
        <v>16</v>
      </c>
      <c r="CN973" s="46" t="str">
        <f>IF(VLOOKUP(CM973,βοηθητικό!$J$2:$N$354,3,FALSE)="","",VLOOKUP(CM973,βοηθητικό!$J$2:$N$354,3,FALSE))</f>
        <v>_</v>
      </c>
      <c r="CO973" s="47"/>
      <c r="CP973" s="42" t="s">
        <v>16</v>
      </c>
      <c r="CQ973" s="43" t="str">
        <f>IF(VLOOKUP(CP973,βοηθητικό!$J$2:$N$354,3,FALSE)="","",VLOOKUP(CP973,βοηθητικό!$J$2:$N$354,3,FALSE))</f>
        <v>_</v>
      </c>
      <c r="CR973" s="44"/>
      <c r="CS973" s="45" t="s">
        <v>16</v>
      </c>
      <c r="CT973" s="46" t="str">
        <f>IF(VLOOKUP(CS973,βοηθητικό!$J$2:$N$354,3,FALSE)="","",VLOOKUP(CS973,βοηθητικό!$J$2:$N$354,3,FALSE))</f>
        <v>_</v>
      </c>
      <c r="CU973" s="47"/>
    </row>
    <row r="974" spans="1:99" x14ac:dyDescent="0.25">
      <c r="A974" s="37">
        <f>--SUBTOTAL(3,$B$3:B973)</f>
        <v>198</v>
      </c>
      <c r="B974" s="2"/>
      <c r="C974" s="3"/>
      <c r="D974" s="55" t="s">
        <v>18</v>
      </c>
      <c r="E974" s="38" t="s">
        <v>16</v>
      </c>
      <c r="F974" s="38"/>
      <c r="G974" s="39" t="str">
        <f t="shared" si="47"/>
        <v>__</v>
      </c>
      <c r="H974" s="40" t="str">
        <f t="shared" si="48"/>
        <v>FALSE</v>
      </c>
      <c r="I974" s="41">
        <f t="shared" si="49"/>
        <v>0</v>
      </c>
      <c r="J974" s="4" t="s">
        <v>16</v>
      </c>
      <c r="K974" s="43" t="str">
        <f>IF(VLOOKUP(J974,βοηθητικό!$J$2:$N$354,3,FALSE)="","",VLOOKUP(J974,βοηθητικό!$J$2:$N$354,3,FALSE))</f>
        <v>_</v>
      </c>
      <c r="L974" s="44"/>
      <c r="M974" s="5" t="s">
        <v>16</v>
      </c>
      <c r="N974" s="46" t="str">
        <f>IF(VLOOKUP(M974,βοηθητικό!$J$2:$N$354,3,FALSE)="","",VLOOKUP(M974,βοηθητικό!$J$2:$N$354,3,FALSE))</f>
        <v>_</v>
      </c>
      <c r="O974" s="47"/>
      <c r="P974" s="4" t="s">
        <v>16</v>
      </c>
      <c r="Q974" s="43" t="str">
        <f>IF(VLOOKUP(P974,βοηθητικό!$J$2:$N$354,3,FALSE)="","",VLOOKUP(P974,βοηθητικό!$J$2:$N$354,3,FALSE))</f>
        <v>_</v>
      </c>
      <c r="R974" s="44"/>
      <c r="S974" s="5" t="s">
        <v>16</v>
      </c>
      <c r="T974" s="46" t="str">
        <f>IF(VLOOKUP(S974,βοηθητικό!$J$2:$N$354,3,FALSE)="","",VLOOKUP(S974,βοηθητικό!$J$2:$N$354,3,FALSE))</f>
        <v>_</v>
      </c>
      <c r="U974" s="47"/>
      <c r="V974" s="4" t="s">
        <v>16</v>
      </c>
      <c r="W974" s="43" t="str">
        <f>IF(VLOOKUP(V974,βοηθητικό!$J$2:$N$354,3,FALSE)="","",VLOOKUP(V974,βοηθητικό!$J$2:$N$354,3,FALSE))</f>
        <v>_</v>
      </c>
      <c r="X974" s="44"/>
      <c r="Y974" s="5" t="s">
        <v>16</v>
      </c>
      <c r="Z974" s="46" t="str">
        <f>IF(VLOOKUP(Y974,βοηθητικό!$J$2:$N$354,3,FALSE)="","",VLOOKUP(Y974,βοηθητικό!$J$2:$N$354,3,FALSE))</f>
        <v>_</v>
      </c>
      <c r="AA974" s="47"/>
      <c r="AB974" s="4" t="s">
        <v>16</v>
      </c>
      <c r="AC974" s="43" t="str">
        <f>IF(VLOOKUP(AB974,βοηθητικό!$J$2:$N$354,3,FALSE)="","",VLOOKUP(AB974,βοηθητικό!$J$2:$N$354,3,FALSE))</f>
        <v>_</v>
      </c>
      <c r="AD974" s="44"/>
      <c r="AE974" s="5" t="s">
        <v>16</v>
      </c>
      <c r="AF974" s="46" t="str">
        <f>IF(VLOOKUP(AE974,βοηθητικό!$J$2:$N$354,3,FALSE)="","",VLOOKUP(AE974,βοηθητικό!$J$2:$N$354,3,FALSE))</f>
        <v>_</v>
      </c>
      <c r="AG974" s="47"/>
      <c r="AH974" s="4" t="s">
        <v>16</v>
      </c>
      <c r="AI974" s="43" t="str">
        <f>IF(VLOOKUP(AH974,βοηθητικό!$J$2:$N$354,3,FALSE)="","",VLOOKUP(AH974,βοηθητικό!$J$2:$N$354,3,FALSE))</f>
        <v>_</v>
      </c>
      <c r="AJ974" s="44"/>
      <c r="AK974" s="5" t="s">
        <v>16</v>
      </c>
      <c r="AL974" s="46" t="str">
        <f>IF(VLOOKUP(AK974,βοηθητικό!$J$2:$N$354,3,FALSE)="","",VLOOKUP(AK974,βοηθητικό!$J$2:$N$354,3,FALSE))</f>
        <v>_</v>
      </c>
      <c r="AM974" s="47"/>
      <c r="AN974" s="4" t="s">
        <v>16</v>
      </c>
      <c r="AO974" s="43" t="str">
        <f>IF(VLOOKUP(AN974,βοηθητικό!$J$2:$N$354,3,FALSE)="","",VLOOKUP(AN974,βοηθητικό!$J$2:$N$354,3,FALSE))</f>
        <v>_</v>
      </c>
      <c r="AP974" s="44"/>
      <c r="AQ974" s="5" t="s">
        <v>16</v>
      </c>
      <c r="AR974" s="46" t="str">
        <f>IF(VLOOKUP(AQ974,βοηθητικό!$J$2:$N$354,3,FALSE)="","",VLOOKUP(AQ974,βοηθητικό!$J$2:$N$354,3,FALSE))</f>
        <v>_</v>
      </c>
      <c r="AS974" s="47"/>
      <c r="AT974" s="4" t="s">
        <v>16</v>
      </c>
      <c r="AU974" s="43" t="str">
        <f>IF(VLOOKUP(AT974,βοηθητικό!$J$2:$N$354,3,FALSE)="","",VLOOKUP(AT974,βοηθητικό!$J$2:$N$354,3,FALSE))</f>
        <v>_</v>
      </c>
      <c r="AV974" s="44"/>
      <c r="AW974" s="5" t="s">
        <v>16</v>
      </c>
      <c r="AX974" s="46" t="str">
        <f>IF(VLOOKUP(AW974,βοηθητικό!$J$2:$N$354,3,FALSE)="","",VLOOKUP(AW974,βοηθητικό!$J$2:$N$354,3,FALSE))</f>
        <v>_</v>
      </c>
      <c r="AY974" s="47"/>
      <c r="AZ974" s="4" t="s">
        <v>16</v>
      </c>
      <c r="BA974" s="43" t="str">
        <f>IF(VLOOKUP(AZ974,βοηθητικό!$J$2:$N$354,3,FALSE)="","",VLOOKUP(AZ974,βοηθητικό!$J$2:$N$354,3,FALSE))</f>
        <v>_</v>
      </c>
      <c r="BB974" s="44"/>
      <c r="BC974" s="45" t="s">
        <v>16</v>
      </c>
      <c r="BD974" s="46" t="str">
        <f>IF(VLOOKUP(BC974,βοηθητικό!$J$2:$N$354,3,FALSE)="","",VLOOKUP(BC974,βοηθητικό!$J$2:$N$354,3,FALSE))</f>
        <v>_</v>
      </c>
      <c r="BE974" s="47"/>
      <c r="BF974" s="42" t="s">
        <v>16</v>
      </c>
      <c r="BG974" s="43" t="str">
        <f>IF(VLOOKUP(BF974,βοηθητικό!$J$2:$N$354,3,FALSE)="","",VLOOKUP(BF974,βοηθητικό!$J$2:$N$354,3,FALSE))</f>
        <v>_</v>
      </c>
      <c r="BH974" s="44"/>
      <c r="BI974" s="45" t="s">
        <v>16</v>
      </c>
      <c r="BJ974" s="46" t="str">
        <f>IF(VLOOKUP(BI974,βοηθητικό!$J$2:$N$354,3,FALSE)="","",VLOOKUP(BI974,βοηθητικό!$J$2:$N$354,3,FALSE))</f>
        <v>_</v>
      </c>
      <c r="BK974" s="47"/>
      <c r="BL974" s="42" t="s">
        <v>16</v>
      </c>
      <c r="BM974" s="43" t="str">
        <f>IF(VLOOKUP(BL974,βοηθητικό!$J$2:$N$354,3,FALSE)="","",VLOOKUP(BL974,βοηθητικό!$J$2:$N$354,3,FALSE))</f>
        <v>_</v>
      </c>
      <c r="BN974" s="44"/>
      <c r="BO974" s="45" t="s">
        <v>16</v>
      </c>
      <c r="BP974" s="46" t="str">
        <f>IF(VLOOKUP(BO974,βοηθητικό!$J$2:$N$354,3,FALSE)="","",VLOOKUP(BO974,βοηθητικό!$J$2:$N$354,3,FALSE))</f>
        <v>_</v>
      </c>
      <c r="BQ974" s="47"/>
      <c r="BR974" s="42" t="s">
        <v>16</v>
      </c>
      <c r="BS974" s="43" t="str">
        <f>IF(VLOOKUP(BR974,βοηθητικό!$J$2:$N$354,3,FALSE)="","",VLOOKUP(BR974,βοηθητικό!$J$2:$N$354,3,FALSE))</f>
        <v>_</v>
      </c>
      <c r="BT974" s="44"/>
      <c r="BU974" s="45" t="s">
        <v>16</v>
      </c>
      <c r="BV974" s="46" t="str">
        <f>IF(VLOOKUP(BU974,βοηθητικό!$J$2:$N$354,3,FALSE)="","",VLOOKUP(BU974,βοηθητικό!$J$2:$N$354,3,FALSE))</f>
        <v>_</v>
      </c>
      <c r="BW974" s="47"/>
      <c r="BX974" s="42" t="s">
        <v>16</v>
      </c>
      <c r="BY974" s="43" t="str">
        <f>IF(VLOOKUP(BX974,βοηθητικό!$J$2:$N$354,3,FALSE)="","",VLOOKUP(BX974,βοηθητικό!$J$2:$N$354,3,FALSE))</f>
        <v>_</v>
      </c>
      <c r="BZ974" s="44"/>
      <c r="CA974" s="45" t="s">
        <v>16</v>
      </c>
      <c r="CB974" s="46" t="str">
        <f>IF(VLOOKUP(CA974,βοηθητικό!$J$2:$N$354,3,FALSE)="","",VLOOKUP(CA974,βοηθητικό!$J$2:$N$354,3,FALSE))</f>
        <v>_</v>
      </c>
      <c r="CC974" s="47"/>
      <c r="CD974" s="42" t="s">
        <v>16</v>
      </c>
      <c r="CE974" s="43" t="str">
        <f>IF(VLOOKUP(CD974,βοηθητικό!$J$2:$N$354,3,FALSE)="","",VLOOKUP(CD974,βοηθητικό!$J$2:$N$354,3,FALSE))</f>
        <v>_</v>
      </c>
      <c r="CF974" s="44"/>
      <c r="CG974" s="45" t="s">
        <v>16</v>
      </c>
      <c r="CH974" s="46" t="str">
        <f>IF(VLOOKUP(CG974,βοηθητικό!$J$2:$N$354,3,FALSE)="","",VLOOKUP(CG974,βοηθητικό!$J$2:$N$354,3,FALSE))</f>
        <v>_</v>
      </c>
      <c r="CI974" s="47"/>
      <c r="CJ974" s="42" t="s">
        <v>16</v>
      </c>
      <c r="CK974" s="43" t="str">
        <f>IF(VLOOKUP(CJ974,βοηθητικό!$J$2:$N$354,3,FALSE)="","",VLOOKUP(CJ974,βοηθητικό!$J$2:$N$354,3,FALSE))</f>
        <v>_</v>
      </c>
      <c r="CL974" s="44"/>
      <c r="CM974" s="45" t="s">
        <v>16</v>
      </c>
      <c r="CN974" s="46" t="str">
        <f>IF(VLOOKUP(CM974,βοηθητικό!$J$2:$N$354,3,FALSE)="","",VLOOKUP(CM974,βοηθητικό!$J$2:$N$354,3,FALSE))</f>
        <v>_</v>
      </c>
      <c r="CO974" s="47"/>
      <c r="CP974" s="42" t="s">
        <v>16</v>
      </c>
      <c r="CQ974" s="43" t="str">
        <f>IF(VLOOKUP(CP974,βοηθητικό!$J$2:$N$354,3,FALSE)="","",VLOOKUP(CP974,βοηθητικό!$J$2:$N$354,3,FALSE))</f>
        <v>_</v>
      </c>
      <c r="CR974" s="44"/>
      <c r="CS974" s="45" t="s">
        <v>16</v>
      </c>
      <c r="CT974" s="46" t="str">
        <f>IF(VLOOKUP(CS974,βοηθητικό!$J$2:$N$354,3,FALSE)="","",VLOOKUP(CS974,βοηθητικό!$J$2:$N$354,3,FALSE))</f>
        <v>_</v>
      </c>
      <c r="CU974" s="47"/>
    </row>
    <row r="975" spans="1:99" x14ac:dyDescent="0.25">
      <c r="A975" s="37">
        <f>--SUBTOTAL(3,$B$3:B974)</f>
        <v>198</v>
      </c>
      <c r="B975" s="2"/>
      <c r="C975" s="3"/>
      <c r="D975" s="55" t="s">
        <v>18</v>
      </c>
      <c r="E975" s="38" t="s">
        <v>16</v>
      </c>
      <c r="F975" s="38"/>
      <c r="G975" s="39" t="str">
        <f t="shared" si="47"/>
        <v>__</v>
      </c>
      <c r="H975" s="40" t="str">
        <f t="shared" si="48"/>
        <v>FALSE</v>
      </c>
      <c r="I975" s="41">
        <f t="shared" si="49"/>
        <v>0</v>
      </c>
      <c r="J975" s="4" t="s">
        <v>16</v>
      </c>
      <c r="K975" s="43" t="str">
        <f>IF(VLOOKUP(J975,βοηθητικό!$J$2:$N$354,3,FALSE)="","",VLOOKUP(J975,βοηθητικό!$J$2:$N$354,3,FALSE))</f>
        <v>_</v>
      </c>
      <c r="L975" s="44"/>
      <c r="M975" s="5" t="s">
        <v>16</v>
      </c>
      <c r="N975" s="46" t="str">
        <f>IF(VLOOKUP(M975,βοηθητικό!$J$2:$N$354,3,FALSE)="","",VLOOKUP(M975,βοηθητικό!$J$2:$N$354,3,FALSE))</f>
        <v>_</v>
      </c>
      <c r="O975" s="47"/>
      <c r="P975" s="4" t="s">
        <v>16</v>
      </c>
      <c r="Q975" s="43" t="str">
        <f>IF(VLOOKUP(P975,βοηθητικό!$J$2:$N$354,3,FALSE)="","",VLOOKUP(P975,βοηθητικό!$J$2:$N$354,3,FALSE))</f>
        <v>_</v>
      </c>
      <c r="R975" s="44"/>
      <c r="S975" s="5" t="s">
        <v>16</v>
      </c>
      <c r="T975" s="46" t="str">
        <f>IF(VLOOKUP(S975,βοηθητικό!$J$2:$N$354,3,FALSE)="","",VLOOKUP(S975,βοηθητικό!$J$2:$N$354,3,FALSE))</f>
        <v>_</v>
      </c>
      <c r="U975" s="47"/>
      <c r="V975" s="4" t="s">
        <v>16</v>
      </c>
      <c r="W975" s="43" t="str">
        <f>IF(VLOOKUP(V975,βοηθητικό!$J$2:$N$354,3,FALSE)="","",VLOOKUP(V975,βοηθητικό!$J$2:$N$354,3,FALSE))</f>
        <v>_</v>
      </c>
      <c r="X975" s="44"/>
      <c r="Y975" s="5" t="s">
        <v>16</v>
      </c>
      <c r="Z975" s="46" t="str">
        <f>IF(VLOOKUP(Y975,βοηθητικό!$J$2:$N$354,3,FALSE)="","",VLOOKUP(Y975,βοηθητικό!$J$2:$N$354,3,FALSE))</f>
        <v>_</v>
      </c>
      <c r="AA975" s="47"/>
      <c r="AB975" s="4" t="s">
        <v>16</v>
      </c>
      <c r="AC975" s="43" t="str">
        <f>IF(VLOOKUP(AB975,βοηθητικό!$J$2:$N$354,3,FALSE)="","",VLOOKUP(AB975,βοηθητικό!$J$2:$N$354,3,FALSE))</f>
        <v>_</v>
      </c>
      <c r="AD975" s="44"/>
      <c r="AE975" s="5" t="s">
        <v>16</v>
      </c>
      <c r="AF975" s="46" t="str">
        <f>IF(VLOOKUP(AE975,βοηθητικό!$J$2:$N$354,3,FALSE)="","",VLOOKUP(AE975,βοηθητικό!$J$2:$N$354,3,FALSE))</f>
        <v>_</v>
      </c>
      <c r="AG975" s="47"/>
      <c r="AH975" s="4" t="s">
        <v>16</v>
      </c>
      <c r="AI975" s="43" t="str">
        <f>IF(VLOOKUP(AH975,βοηθητικό!$J$2:$N$354,3,FALSE)="","",VLOOKUP(AH975,βοηθητικό!$J$2:$N$354,3,FALSE))</f>
        <v>_</v>
      </c>
      <c r="AJ975" s="44"/>
      <c r="AK975" s="5" t="s">
        <v>16</v>
      </c>
      <c r="AL975" s="46" t="str">
        <f>IF(VLOOKUP(AK975,βοηθητικό!$J$2:$N$354,3,FALSE)="","",VLOOKUP(AK975,βοηθητικό!$J$2:$N$354,3,FALSE))</f>
        <v>_</v>
      </c>
      <c r="AM975" s="47"/>
      <c r="AN975" s="4" t="s">
        <v>16</v>
      </c>
      <c r="AO975" s="43" t="str">
        <f>IF(VLOOKUP(AN975,βοηθητικό!$J$2:$N$354,3,FALSE)="","",VLOOKUP(AN975,βοηθητικό!$J$2:$N$354,3,FALSE))</f>
        <v>_</v>
      </c>
      <c r="AP975" s="44"/>
      <c r="AQ975" s="5" t="s">
        <v>16</v>
      </c>
      <c r="AR975" s="46" t="str">
        <f>IF(VLOOKUP(AQ975,βοηθητικό!$J$2:$N$354,3,FALSE)="","",VLOOKUP(AQ975,βοηθητικό!$J$2:$N$354,3,FALSE))</f>
        <v>_</v>
      </c>
      <c r="AS975" s="47"/>
      <c r="AT975" s="4" t="s">
        <v>16</v>
      </c>
      <c r="AU975" s="43" t="str">
        <f>IF(VLOOKUP(AT975,βοηθητικό!$J$2:$N$354,3,FALSE)="","",VLOOKUP(AT975,βοηθητικό!$J$2:$N$354,3,FALSE))</f>
        <v>_</v>
      </c>
      <c r="AV975" s="44"/>
      <c r="AW975" s="5" t="s">
        <v>16</v>
      </c>
      <c r="AX975" s="46" t="str">
        <f>IF(VLOOKUP(AW975,βοηθητικό!$J$2:$N$354,3,FALSE)="","",VLOOKUP(AW975,βοηθητικό!$J$2:$N$354,3,FALSE))</f>
        <v>_</v>
      </c>
      <c r="AY975" s="47"/>
      <c r="AZ975" s="4" t="s">
        <v>16</v>
      </c>
      <c r="BA975" s="43" t="str">
        <f>IF(VLOOKUP(AZ975,βοηθητικό!$J$2:$N$354,3,FALSE)="","",VLOOKUP(AZ975,βοηθητικό!$J$2:$N$354,3,FALSE))</f>
        <v>_</v>
      </c>
      <c r="BB975" s="44"/>
      <c r="BC975" s="45" t="s">
        <v>16</v>
      </c>
      <c r="BD975" s="46" t="str">
        <f>IF(VLOOKUP(BC975,βοηθητικό!$J$2:$N$354,3,FALSE)="","",VLOOKUP(BC975,βοηθητικό!$J$2:$N$354,3,FALSE))</f>
        <v>_</v>
      </c>
      <c r="BE975" s="47"/>
      <c r="BF975" s="42" t="s">
        <v>16</v>
      </c>
      <c r="BG975" s="43" t="str">
        <f>IF(VLOOKUP(BF975,βοηθητικό!$J$2:$N$354,3,FALSE)="","",VLOOKUP(BF975,βοηθητικό!$J$2:$N$354,3,FALSE))</f>
        <v>_</v>
      </c>
      <c r="BH975" s="44"/>
      <c r="BI975" s="45" t="s">
        <v>16</v>
      </c>
      <c r="BJ975" s="46" t="str">
        <f>IF(VLOOKUP(BI975,βοηθητικό!$J$2:$N$354,3,FALSE)="","",VLOOKUP(BI975,βοηθητικό!$J$2:$N$354,3,FALSE))</f>
        <v>_</v>
      </c>
      <c r="BK975" s="47"/>
      <c r="BL975" s="42" t="s">
        <v>16</v>
      </c>
      <c r="BM975" s="43" t="str">
        <f>IF(VLOOKUP(BL975,βοηθητικό!$J$2:$N$354,3,FALSE)="","",VLOOKUP(BL975,βοηθητικό!$J$2:$N$354,3,FALSE))</f>
        <v>_</v>
      </c>
      <c r="BN975" s="44"/>
      <c r="BO975" s="45" t="s">
        <v>16</v>
      </c>
      <c r="BP975" s="46" t="str">
        <f>IF(VLOOKUP(BO975,βοηθητικό!$J$2:$N$354,3,FALSE)="","",VLOOKUP(BO975,βοηθητικό!$J$2:$N$354,3,FALSE))</f>
        <v>_</v>
      </c>
      <c r="BQ975" s="47"/>
      <c r="BR975" s="42" t="s">
        <v>16</v>
      </c>
      <c r="BS975" s="43" t="str">
        <f>IF(VLOOKUP(BR975,βοηθητικό!$J$2:$N$354,3,FALSE)="","",VLOOKUP(BR975,βοηθητικό!$J$2:$N$354,3,FALSE))</f>
        <v>_</v>
      </c>
      <c r="BT975" s="44"/>
      <c r="BU975" s="45" t="s">
        <v>16</v>
      </c>
      <c r="BV975" s="46" t="str">
        <f>IF(VLOOKUP(BU975,βοηθητικό!$J$2:$N$354,3,FALSE)="","",VLOOKUP(BU975,βοηθητικό!$J$2:$N$354,3,FALSE))</f>
        <v>_</v>
      </c>
      <c r="BW975" s="47"/>
      <c r="BX975" s="42" t="s">
        <v>16</v>
      </c>
      <c r="BY975" s="43" t="str">
        <f>IF(VLOOKUP(BX975,βοηθητικό!$J$2:$N$354,3,FALSE)="","",VLOOKUP(BX975,βοηθητικό!$J$2:$N$354,3,FALSE))</f>
        <v>_</v>
      </c>
      <c r="BZ975" s="44"/>
      <c r="CA975" s="45" t="s">
        <v>16</v>
      </c>
      <c r="CB975" s="46" t="str">
        <f>IF(VLOOKUP(CA975,βοηθητικό!$J$2:$N$354,3,FALSE)="","",VLOOKUP(CA975,βοηθητικό!$J$2:$N$354,3,FALSE))</f>
        <v>_</v>
      </c>
      <c r="CC975" s="47"/>
      <c r="CD975" s="42" t="s">
        <v>16</v>
      </c>
      <c r="CE975" s="43" t="str">
        <f>IF(VLOOKUP(CD975,βοηθητικό!$J$2:$N$354,3,FALSE)="","",VLOOKUP(CD975,βοηθητικό!$J$2:$N$354,3,FALSE))</f>
        <v>_</v>
      </c>
      <c r="CF975" s="44"/>
      <c r="CG975" s="45" t="s">
        <v>16</v>
      </c>
      <c r="CH975" s="46" t="str">
        <f>IF(VLOOKUP(CG975,βοηθητικό!$J$2:$N$354,3,FALSE)="","",VLOOKUP(CG975,βοηθητικό!$J$2:$N$354,3,FALSE))</f>
        <v>_</v>
      </c>
      <c r="CI975" s="47"/>
      <c r="CJ975" s="42" t="s">
        <v>16</v>
      </c>
      <c r="CK975" s="43" t="str">
        <f>IF(VLOOKUP(CJ975,βοηθητικό!$J$2:$N$354,3,FALSE)="","",VLOOKUP(CJ975,βοηθητικό!$J$2:$N$354,3,FALSE))</f>
        <v>_</v>
      </c>
      <c r="CL975" s="44"/>
      <c r="CM975" s="45" t="s">
        <v>16</v>
      </c>
      <c r="CN975" s="46" t="str">
        <f>IF(VLOOKUP(CM975,βοηθητικό!$J$2:$N$354,3,FALSE)="","",VLOOKUP(CM975,βοηθητικό!$J$2:$N$354,3,FALSE))</f>
        <v>_</v>
      </c>
      <c r="CO975" s="47"/>
      <c r="CP975" s="42" t="s">
        <v>16</v>
      </c>
      <c r="CQ975" s="43" t="str">
        <f>IF(VLOOKUP(CP975,βοηθητικό!$J$2:$N$354,3,FALSE)="","",VLOOKUP(CP975,βοηθητικό!$J$2:$N$354,3,FALSE))</f>
        <v>_</v>
      </c>
      <c r="CR975" s="44"/>
      <c r="CS975" s="45" t="s">
        <v>16</v>
      </c>
      <c r="CT975" s="46" t="str">
        <f>IF(VLOOKUP(CS975,βοηθητικό!$J$2:$N$354,3,FALSE)="","",VLOOKUP(CS975,βοηθητικό!$J$2:$N$354,3,FALSE))</f>
        <v>_</v>
      </c>
      <c r="CU975" s="47"/>
    </row>
    <row r="976" spans="1:99" x14ac:dyDescent="0.25">
      <c r="A976" s="37">
        <f>--SUBTOTAL(3,$B$3:B975)</f>
        <v>198</v>
      </c>
      <c r="B976" s="2"/>
      <c r="C976" s="3"/>
      <c r="D976" s="55" t="s">
        <v>18</v>
      </c>
      <c r="E976" s="38" t="s">
        <v>16</v>
      </c>
      <c r="F976" s="38"/>
      <c r="G976" s="39" t="str">
        <f t="shared" si="47"/>
        <v>__</v>
      </c>
      <c r="H976" s="40" t="str">
        <f t="shared" si="48"/>
        <v>FALSE</v>
      </c>
      <c r="I976" s="41">
        <f t="shared" si="49"/>
        <v>0</v>
      </c>
      <c r="J976" s="4" t="s">
        <v>16</v>
      </c>
      <c r="K976" s="43" t="str">
        <f>IF(VLOOKUP(J976,βοηθητικό!$J$2:$N$354,3,FALSE)="","",VLOOKUP(J976,βοηθητικό!$J$2:$N$354,3,FALSE))</f>
        <v>_</v>
      </c>
      <c r="L976" s="44"/>
      <c r="M976" s="5" t="s">
        <v>16</v>
      </c>
      <c r="N976" s="46" t="str">
        <f>IF(VLOOKUP(M976,βοηθητικό!$J$2:$N$354,3,FALSE)="","",VLOOKUP(M976,βοηθητικό!$J$2:$N$354,3,FALSE))</f>
        <v>_</v>
      </c>
      <c r="O976" s="47"/>
      <c r="P976" s="4" t="s">
        <v>16</v>
      </c>
      <c r="Q976" s="43" t="str">
        <f>IF(VLOOKUP(P976,βοηθητικό!$J$2:$N$354,3,FALSE)="","",VLOOKUP(P976,βοηθητικό!$J$2:$N$354,3,FALSE))</f>
        <v>_</v>
      </c>
      <c r="R976" s="44"/>
      <c r="S976" s="5" t="s">
        <v>16</v>
      </c>
      <c r="T976" s="46" t="str">
        <f>IF(VLOOKUP(S976,βοηθητικό!$J$2:$N$354,3,FALSE)="","",VLOOKUP(S976,βοηθητικό!$J$2:$N$354,3,FALSE))</f>
        <v>_</v>
      </c>
      <c r="U976" s="47"/>
      <c r="V976" s="4" t="s">
        <v>16</v>
      </c>
      <c r="W976" s="43" t="str">
        <f>IF(VLOOKUP(V976,βοηθητικό!$J$2:$N$354,3,FALSE)="","",VLOOKUP(V976,βοηθητικό!$J$2:$N$354,3,FALSE))</f>
        <v>_</v>
      </c>
      <c r="X976" s="44"/>
      <c r="Y976" s="5" t="s">
        <v>16</v>
      </c>
      <c r="Z976" s="46" t="str">
        <f>IF(VLOOKUP(Y976,βοηθητικό!$J$2:$N$354,3,FALSE)="","",VLOOKUP(Y976,βοηθητικό!$J$2:$N$354,3,FALSE))</f>
        <v>_</v>
      </c>
      <c r="AA976" s="47"/>
      <c r="AB976" s="4" t="s">
        <v>16</v>
      </c>
      <c r="AC976" s="43" t="str">
        <f>IF(VLOOKUP(AB976,βοηθητικό!$J$2:$N$354,3,FALSE)="","",VLOOKUP(AB976,βοηθητικό!$J$2:$N$354,3,FALSE))</f>
        <v>_</v>
      </c>
      <c r="AD976" s="44"/>
      <c r="AE976" s="5" t="s">
        <v>16</v>
      </c>
      <c r="AF976" s="46" t="str">
        <f>IF(VLOOKUP(AE976,βοηθητικό!$J$2:$N$354,3,FALSE)="","",VLOOKUP(AE976,βοηθητικό!$J$2:$N$354,3,FALSE))</f>
        <v>_</v>
      </c>
      <c r="AG976" s="47"/>
      <c r="AH976" s="4" t="s">
        <v>16</v>
      </c>
      <c r="AI976" s="43" t="str">
        <f>IF(VLOOKUP(AH976,βοηθητικό!$J$2:$N$354,3,FALSE)="","",VLOOKUP(AH976,βοηθητικό!$J$2:$N$354,3,FALSE))</f>
        <v>_</v>
      </c>
      <c r="AJ976" s="44"/>
      <c r="AK976" s="5" t="s">
        <v>16</v>
      </c>
      <c r="AL976" s="46" t="str">
        <f>IF(VLOOKUP(AK976,βοηθητικό!$J$2:$N$354,3,FALSE)="","",VLOOKUP(AK976,βοηθητικό!$J$2:$N$354,3,FALSE))</f>
        <v>_</v>
      </c>
      <c r="AM976" s="47"/>
      <c r="AN976" s="4" t="s">
        <v>16</v>
      </c>
      <c r="AO976" s="43" t="str">
        <f>IF(VLOOKUP(AN976,βοηθητικό!$J$2:$N$354,3,FALSE)="","",VLOOKUP(AN976,βοηθητικό!$J$2:$N$354,3,FALSE))</f>
        <v>_</v>
      </c>
      <c r="AP976" s="44"/>
      <c r="AQ976" s="5" t="s">
        <v>16</v>
      </c>
      <c r="AR976" s="46" t="str">
        <f>IF(VLOOKUP(AQ976,βοηθητικό!$J$2:$N$354,3,FALSE)="","",VLOOKUP(AQ976,βοηθητικό!$J$2:$N$354,3,FALSE))</f>
        <v>_</v>
      </c>
      <c r="AS976" s="47"/>
      <c r="AT976" s="4" t="s">
        <v>16</v>
      </c>
      <c r="AU976" s="43" t="str">
        <f>IF(VLOOKUP(AT976,βοηθητικό!$J$2:$N$354,3,FALSE)="","",VLOOKUP(AT976,βοηθητικό!$J$2:$N$354,3,FALSE))</f>
        <v>_</v>
      </c>
      <c r="AV976" s="44"/>
      <c r="AW976" s="5" t="s">
        <v>16</v>
      </c>
      <c r="AX976" s="46" t="str">
        <f>IF(VLOOKUP(AW976,βοηθητικό!$J$2:$N$354,3,FALSE)="","",VLOOKUP(AW976,βοηθητικό!$J$2:$N$354,3,FALSE))</f>
        <v>_</v>
      </c>
      <c r="AY976" s="47"/>
      <c r="AZ976" s="4" t="s">
        <v>16</v>
      </c>
      <c r="BA976" s="43" t="str">
        <f>IF(VLOOKUP(AZ976,βοηθητικό!$J$2:$N$354,3,FALSE)="","",VLOOKUP(AZ976,βοηθητικό!$J$2:$N$354,3,FALSE))</f>
        <v>_</v>
      </c>
      <c r="BB976" s="44"/>
      <c r="BC976" s="45" t="s">
        <v>16</v>
      </c>
      <c r="BD976" s="46" t="str">
        <f>IF(VLOOKUP(BC976,βοηθητικό!$J$2:$N$354,3,FALSE)="","",VLOOKUP(BC976,βοηθητικό!$J$2:$N$354,3,FALSE))</f>
        <v>_</v>
      </c>
      <c r="BE976" s="47"/>
      <c r="BF976" s="42" t="s">
        <v>16</v>
      </c>
      <c r="BG976" s="43" t="str">
        <f>IF(VLOOKUP(BF976,βοηθητικό!$J$2:$N$354,3,FALSE)="","",VLOOKUP(BF976,βοηθητικό!$J$2:$N$354,3,FALSE))</f>
        <v>_</v>
      </c>
      <c r="BH976" s="44"/>
      <c r="BI976" s="45" t="s">
        <v>16</v>
      </c>
      <c r="BJ976" s="46" t="str">
        <f>IF(VLOOKUP(BI976,βοηθητικό!$J$2:$N$354,3,FALSE)="","",VLOOKUP(BI976,βοηθητικό!$J$2:$N$354,3,FALSE))</f>
        <v>_</v>
      </c>
      <c r="BK976" s="47"/>
      <c r="BL976" s="42" t="s">
        <v>16</v>
      </c>
      <c r="BM976" s="43" t="str">
        <f>IF(VLOOKUP(BL976,βοηθητικό!$J$2:$N$354,3,FALSE)="","",VLOOKUP(BL976,βοηθητικό!$J$2:$N$354,3,FALSE))</f>
        <v>_</v>
      </c>
      <c r="BN976" s="44"/>
      <c r="BO976" s="45" t="s">
        <v>16</v>
      </c>
      <c r="BP976" s="46" t="str">
        <f>IF(VLOOKUP(BO976,βοηθητικό!$J$2:$N$354,3,FALSE)="","",VLOOKUP(BO976,βοηθητικό!$J$2:$N$354,3,FALSE))</f>
        <v>_</v>
      </c>
      <c r="BQ976" s="47"/>
      <c r="BR976" s="42" t="s">
        <v>16</v>
      </c>
      <c r="BS976" s="43" t="str">
        <f>IF(VLOOKUP(BR976,βοηθητικό!$J$2:$N$354,3,FALSE)="","",VLOOKUP(BR976,βοηθητικό!$J$2:$N$354,3,FALSE))</f>
        <v>_</v>
      </c>
      <c r="BT976" s="44"/>
      <c r="BU976" s="45" t="s">
        <v>16</v>
      </c>
      <c r="BV976" s="46" t="str">
        <f>IF(VLOOKUP(BU976,βοηθητικό!$J$2:$N$354,3,FALSE)="","",VLOOKUP(BU976,βοηθητικό!$J$2:$N$354,3,FALSE))</f>
        <v>_</v>
      </c>
      <c r="BW976" s="47"/>
      <c r="BX976" s="42" t="s">
        <v>16</v>
      </c>
      <c r="BY976" s="43" t="str">
        <f>IF(VLOOKUP(BX976,βοηθητικό!$J$2:$N$354,3,FALSE)="","",VLOOKUP(BX976,βοηθητικό!$J$2:$N$354,3,FALSE))</f>
        <v>_</v>
      </c>
      <c r="BZ976" s="44"/>
      <c r="CA976" s="45" t="s">
        <v>16</v>
      </c>
      <c r="CB976" s="46" t="str">
        <f>IF(VLOOKUP(CA976,βοηθητικό!$J$2:$N$354,3,FALSE)="","",VLOOKUP(CA976,βοηθητικό!$J$2:$N$354,3,FALSE))</f>
        <v>_</v>
      </c>
      <c r="CC976" s="47"/>
      <c r="CD976" s="42" t="s">
        <v>16</v>
      </c>
      <c r="CE976" s="43" t="str">
        <f>IF(VLOOKUP(CD976,βοηθητικό!$J$2:$N$354,3,FALSE)="","",VLOOKUP(CD976,βοηθητικό!$J$2:$N$354,3,FALSE))</f>
        <v>_</v>
      </c>
      <c r="CF976" s="44"/>
      <c r="CG976" s="45" t="s">
        <v>16</v>
      </c>
      <c r="CH976" s="46" t="str">
        <f>IF(VLOOKUP(CG976,βοηθητικό!$J$2:$N$354,3,FALSE)="","",VLOOKUP(CG976,βοηθητικό!$J$2:$N$354,3,FALSE))</f>
        <v>_</v>
      </c>
      <c r="CI976" s="47"/>
      <c r="CJ976" s="42" t="s">
        <v>16</v>
      </c>
      <c r="CK976" s="43" t="str">
        <f>IF(VLOOKUP(CJ976,βοηθητικό!$J$2:$N$354,3,FALSE)="","",VLOOKUP(CJ976,βοηθητικό!$J$2:$N$354,3,FALSE))</f>
        <v>_</v>
      </c>
      <c r="CL976" s="44"/>
      <c r="CM976" s="45" t="s">
        <v>16</v>
      </c>
      <c r="CN976" s="46" t="str">
        <f>IF(VLOOKUP(CM976,βοηθητικό!$J$2:$N$354,3,FALSE)="","",VLOOKUP(CM976,βοηθητικό!$J$2:$N$354,3,FALSE))</f>
        <v>_</v>
      </c>
      <c r="CO976" s="47"/>
      <c r="CP976" s="42" t="s">
        <v>16</v>
      </c>
      <c r="CQ976" s="43" t="str">
        <f>IF(VLOOKUP(CP976,βοηθητικό!$J$2:$N$354,3,FALSE)="","",VLOOKUP(CP976,βοηθητικό!$J$2:$N$354,3,FALSE))</f>
        <v>_</v>
      </c>
      <c r="CR976" s="44"/>
      <c r="CS976" s="45" t="s">
        <v>16</v>
      </c>
      <c r="CT976" s="46" t="str">
        <f>IF(VLOOKUP(CS976,βοηθητικό!$J$2:$N$354,3,FALSE)="","",VLOOKUP(CS976,βοηθητικό!$J$2:$N$354,3,FALSE))</f>
        <v>_</v>
      </c>
      <c r="CU976" s="47"/>
    </row>
    <row r="977" spans="1:99" x14ac:dyDescent="0.25">
      <c r="A977" s="37">
        <f>--SUBTOTAL(3,$B$3:B976)</f>
        <v>198</v>
      </c>
      <c r="B977" s="2"/>
      <c r="C977" s="3"/>
      <c r="D977" s="55" t="s">
        <v>18</v>
      </c>
      <c r="E977" s="38" t="s">
        <v>16</v>
      </c>
      <c r="F977" s="38"/>
      <c r="G977" s="39" t="str">
        <f t="shared" si="47"/>
        <v>__</v>
      </c>
      <c r="H977" s="40" t="str">
        <f t="shared" si="48"/>
        <v>FALSE</v>
      </c>
      <c r="I977" s="41">
        <f t="shared" si="49"/>
        <v>0</v>
      </c>
      <c r="J977" s="4" t="s">
        <v>16</v>
      </c>
      <c r="K977" s="43" t="str">
        <f>IF(VLOOKUP(J977,βοηθητικό!$J$2:$N$354,3,FALSE)="","",VLOOKUP(J977,βοηθητικό!$J$2:$N$354,3,FALSE))</f>
        <v>_</v>
      </c>
      <c r="L977" s="44"/>
      <c r="M977" s="5" t="s">
        <v>16</v>
      </c>
      <c r="N977" s="46" t="str">
        <f>IF(VLOOKUP(M977,βοηθητικό!$J$2:$N$354,3,FALSE)="","",VLOOKUP(M977,βοηθητικό!$J$2:$N$354,3,FALSE))</f>
        <v>_</v>
      </c>
      <c r="O977" s="47"/>
      <c r="P977" s="4" t="s">
        <v>16</v>
      </c>
      <c r="Q977" s="43" t="str">
        <f>IF(VLOOKUP(P977,βοηθητικό!$J$2:$N$354,3,FALSE)="","",VLOOKUP(P977,βοηθητικό!$J$2:$N$354,3,FALSE))</f>
        <v>_</v>
      </c>
      <c r="R977" s="44"/>
      <c r="S977" s="5" t="s">
        <v>16</v>
      </c>
      <c r="T977" s="46" t="str">
        <f>IF(VLOOKUP(S977,βοηθητικό!$J$2:$N$354,3,FALSE)="","",VLOOKUP(S977,βοηθητικό!$J$2:$N$354,3,FALSE))</f>
        <v>_</v>
      </c>
      <c r="U977" s="47"/>
      <c r="V977" s="4" t="s">
        <v>16</v>
      </c>
      <c r="W977" s="43" t="str">
        <f>IF(VLOOKUP(V977,βοηθητικό!$J$2:$N$354,3,FALSE)="","",VLOOKUP(V977,βοηθητικό!$J$2:$N$354,3,FALSE))</f>
        <v>_</v>
      </c>
      <c r="X977" s="44"/>
      <c r="Y977" s="5" t="s">
        <v>16</v>
      </c>
      <c r="Z977" s="46" t="str">
        <f>IF(VLOOKUP(Y977,βοηθητικό!$J$2:$N$354,3,FALSE)="","",VLOOKUP(Y977,βοηθητικό!$J$2:$N$354,3,FALSE))</f>
        <v>_</v>
      </c>
      <c r="AA977" s="47"/>
      <c r="AB977" s="4" t="s">
        <v>16</v>
      </c>
      <c r="AC977" s="43" t="str">
        <f>IF(VLOOKUP(AB977,βοηθητικό!$J$2:$N$354,3,FALSE)="","",VLOOKUP(AB977,βοηθητικό!$J$2:$N$354,3,FALSE))</f>
        <v>_</v>
      </c>
      <c r="AD977" s="44"/>
      <c r="AE977" s="5" t="s">
        <v>16</v>
      </c>
      <c r="AF977" s="46" t="str">
        <f>IF(VLOOKUP(AE977,βοηθητικό!$J$2:$N$354,3,FALSE)="","",VLOOKUP(AE977,βοηθητικό!$J$2:$N$354,3,FALSE))</f>
        <v>_</v>
      </c>
      <c r="AG977" s="47"/>
      <c r="AH977" s="4" t="s">
        <v>16</v>
      </c>
      <c r="AI977" s="43" t="str">
        <f>IF(VLOOKUP(AH977,βοηθητικό!$J$2:$N$354,3,FALSE)="","",VLOOKUP(AH977,βοηθητικό!$J$2:$N$354,3,FALSE))</f>
        <v>_</v>
      </c>
      <c r="AJ977" s="44"/>
      <c r="AK977" s="5" t="s">
        <v>16</v>
      </c>
      <c r="AL977" s="46" t="str">
        <f>IF(VLOOKUP(AK977,βοηθητικό!$J$2:$N$354,3,FALSE)="","",VLOOKUP(AK977,βοηθητικό!$J$2:$N$354,3,FALSE))</f>
        <v>_</v>
      </c>
      <c r="AM977" s="47"/>
      <c r="AN977" s="4" t="s">
        <v>16</v>
      </c>
      <c r="AO977" s="43" t="str">
        <f>IF(VLOOKUP(AN977,βοηθητικό!$J$2:$N$354,3,FALSE)="","",VLOOKUP(AN977,βοηθητικό!$J$2:$N$354,3,FALSE))</f>
        <v>_</v>
      </c>
      <c r="AP977" s="44"/>
      <c r="AQ977" s="5" t="s">
        <v>16</v>
      </c>
      <c r="AR977" s="46" t="str">
        <f>IF(VLOOKUP(AQ977,βοηθητικό!$J$2:$N$354,3,FALSE)="","",VLOOKUP(AQ977,βοηθητικό!$J$2:$N$354,3,FALSE))</f>
        <v>_</v>
      </c>
      <c r="AS977" s="47"/>
      <c r="AT977" s="4" t="s">
        <v>16</v>
      </c>
      <c r="AU977" s="43" t="str">
        <f>IF(VLOOKUP(AT977,βοηθητικό!$J$2:$N$354,3,FALSE)="","",VLOOKUP(AT977,βοηθητικό!$J$2:$N$354,3,FALSE))</f>
        <v>_</v>
      </c>
      <c r="AV977" s="44"/>
      <c r="AW977" s="5" t="s">
        <v>16</v>
      </c>
      <c r="AX977" s="46" t="str">
        <f>IF(VLOOKUP(AW977,βοηθητικό!$J$2:$N$354,3,FALSE)="","",VLOOKUP(AW977,βοηθητικό!$J$2:$N$354,3,FALSE))</f>
        <v>_</v>
      </c>
      <c r="AY977" s="47"/>
      <c r="AZ977" s="4" t="s">
        <v>16</v>
      </c>
      <c r="BA977" s="43" t="str">
        <f>IF(VLOOKUP(AZ977,βοηθητικό!$J$2:$N$354,3,FALSE)="","",VLOOKUP(AZ977,βοηθητικό!$J$2:$N$354,3,FALSE))</f>
        <v>_</v>
      </c>
      <c r="BB977" s="44"/>
      <c r="BC977" s="45" t="s">
        <v>16</v>
      </c>
      <c r="BD977" s="46" t="str">
        <f>IF(VLOOKUP(BC977,βοηθητικό!$J$2:$N$354,3,FALSE)="","",VLOOKUP(BC977,βοηθητικό!$J$2:$N$354,3,FALSE))</f>
        <v>_</v>
      </c>
      <c r="BE977" s="47"/>
      <c r="BF977" s="42" t="s">
        <v>16</v>
      </c>
      <c r="BG977" s="43" t="str">
        <f>IF(VLOOKUP(BF977,βοηθητικό!$J$2:$N$354,3,FALSE)="","",VLOOKUP(BF977,βοηθητικό!$J$2:$N$354,3,FALSE))</f>
        <v>_</v>
      </c>
      <c r="BH977" s="44"/>
      <c r="BI977" s="45" t="s">
        <v>16</v>
      </c>
      <c r="BJ977" s="46" t="str">
        <f>IF(VLOOKUP(BI977,βοηθητικό!$J$2:$N$354,3,FALSE)="","",VLOOKUP(BI977,βοηθητικό!$J$2:$N$354,3,FALSE))</f>
        <v>_</v>
      </c>
      <c r="BK977" s="47"/>
      <c r="BL977" s="42" t="s">
        <v>16</v>
      </c>
      <c r="BM977" s="43" t="str">
        <f>IF(VLOOKUP(BL977,βοηθητικό!$J$2:$N$354,3,FALSE)="","",VLOOKUP(BL977,βοηθητικό!$J$2:$N$354,3,FALSE))</f>
        <v>_</v>
      </c>
      <c r="BN977" s="44"/>
      <c r="BO977" s="45" t="s">
        <v>16</v>
      </c>
      <c r="BP977" s="46" t="str">
        <f>IF(VLOOKUP(BO977,βοηθητικό!$J$2:$N$354,3,FALSE)="","",VLOOKUP(BO977,βοηθητικό!$J$2:$N$354,3,FALSE))</f>
        <v>_</v>
      </c>
      <c r="BQ977" s="47"/>
      <c r="BR977" s="42" t="s">
        <v>16</v>
      </c>
      <c r="BS977" s="43" t="str">
        <f>IF(VLOOKUP(BR977,βοηθητικό!$J$2:$N$354,3,FALSE)="","",VLOOKUP(BR977,βοηθητικό!$J$2:$N$354,3,FALSE))</f>
        <v>_</v>
      </c>
      <c r="BT977" s="44"/>
      <c r="BU977" s="45" t="s">
        <v>16</v>
      </c>
      <c r="BV977" s="46" t="str">
        <f>IF(VLOOKUP(BU977,βοηθητικό!$J$2:$N$354,3,FALSE)="","",VLOOKUP(BU977,βοηθητικό!$J$2:$N$354,3,FALSE))</f>
        <v>_</v>
      </c>
      <c r="BW977" s="47"/>
      <c r="BX977" s="42" t="s">
        <v>16</v>
      </c>
      <c r="BY977" s="43" t="str">
        <f>IF(VLOOKUP(BX977,βοηθητικό!$J$2:$N$354,3,FALSE)="","",VLOOKUP(BX977,βοηθητικό!$J$2:$N$354,3,FALSE))</f>
        <v>_</v>
      </c>
      <c r="BZ977" s="44"/>
      <c r="CA977" s="45" t="s">
        <v>16</v>
      </c>
      <c r="CB977" s="46" t="str">
        <f>IF(VLOOKUP(CA977,βοηθητικό!$J$2:$N$354,3,FALSE)="","",VLOOKUP(CA977,βοηθητικό!$J$2:$N$354,3,FALSE))</f>
        <v>_</v>
      </c>
      <c r="CC977" s="47"/>
      <c r="CD977" s="42" t="s">
        <v>16</v>
      </c>
      <c r="CE977" s="43" t="str">
        <f>IF(VLOOKUP(CD977,βοηθητικό!$J$2:$N$354,3,FALSE)="","",VLOOKUP(CD977,βοηθητικό!$J$2:$N$354,3,FALSE))</f>
        <v>_</v>
      </c>
      <c r="CF977" s="44"/>
      <c r="CG977" s="45" t="s">
        <v>16</v>
      </c>
      <c r="CH977" s="46" t="str">
        <f>IF(VLOOKUP(CG977,βοηθητικό!$J$2:$N$354,3,FALSE)="","",VLOOKUP(CG977,βοηθητικό!$J$2:$N$354,3,FALSE))</f>
        <v>_</v>
      </c>
      <c r="CI977" s="47"/>
      <c r="CJ977" s="42" t="s">
        <v>16</v>
      </c>
      <c r="CK977" s="43" t="str">
        <f>IF(VLOOKUP(CJ977,βοηθητικό!$J$2:$N$354,3,FALSE)="","",VLOOKUP(CJ977,βοηθητικό!$J$2:$N$354,3,FALSE))</f>
        <v>_</v>
      </c>
      <c r="CL977" s="44"/>
      <c r="CM977" s="45" t="s">
        <v>16</v>
      </c>
      <c r="CN977" s="46" t="str">
        <f>IF(VLOOKUP(CM977,βοηθητικό!$J$2:$N$354,3,FALSE)="","",VLOOKUP(CM977,βοηθητικό!$J$2:$N$354,3,FALSE))</f>
        <v>_</v>
      </c>
      <c r="CO977" s="47"/>
      <c r="CP977" s="42" t="s">
        <v>16</v>
      </c>
      <c r="CQ977" s="43" t="str">
        <f>IF(VLOOKUP(CP977,βοηθητικό!$J$2:$N$354,3,FALSE)="","",VLOOKUP(CP977,βοηθητικό!$J$2:$N$354,3,FALSE))</f>
        <v>_</v>
      </c>
      <c r="CR977" s="44"/>
      <c r="CS977" s="45" t="s">
        <v>16</v>
      </c>
      <c r="CT977" s="46" t="str">
        <f>IF(VLOOKUP(CS977,βοηθητικό!$J$2:$N$354,3,FALSE)="","",VLOOKUP(CS977,βοηθητικό!$J$2:$N$354,3,FALSE))</f>
        <v>_</v>
      </c>
      <c r="CU977" s="47"/>
    </row>
    <row r="978" spans="1:99" x14ac:dyDescent="0.25">
      <c r="A978" s="37">
        <f>--SUBTOTAL(3,$B$3:B977)</f>
        <v>198</v>
      </c>
      <c r="B978" s="2"/>
      <c r="C978" s="3"/>
      <c r="D978" s="55" t="s">
        <v>18</v>
      </c>
      <c r="E978" s="38" t="s">
        <v>16</v>
      </c>
      <c r="F978" s="38"/>
      <c r="G978" s="39" t="str">
        <f t="shared" si="47"/>
        <v>__</v>
      </c>
      <c r="H978" s="40" t="str">
        <f t="shared" si="48"/>
        <v>FALSE</v>
      </c>
      <c r="I978" s="41">
        <f t="shared" si="49"/>
        <v>0</v>
      </c>
      <c r="J978" s="4" t="s">
        <v>16</v>
      </c>
      <c r="K978" s="43" t="str">
        <f>IF(VLOOKUP(J978,βοηθητικό!$J$2:$N$354,3,FALSE)="","",VLOOKUP(J978,βοηθητικό!$J$2:$N$354,3,FALSE))</f>
        <v>_</v>
      </c>
      <c r="L978" s="44"/>
      <c r="M978" s="5" t="s">
        <v>16</v>
      </c>
      <c r="N978" s="46" t="str">
        <f>IF(VLOOKUP(M978,βοηθητικό!$J$2:$N$354,3,FALSE)="","",VLOOKUP(M978,βοηθητικό!$J$2:$N$354,3,FALSE))</f>
        <v>_</v>
      </c>
      <c r="O978" s="47"/>
      <c r="P978" s="4" t="s">
        <v>16</v>
      </c>
      <c r="Q978" s="43" t="str">
        <f>IF(VLOOKUP(P978,βοηθητικό!$J$2:$N$354,3,FALSE)="","",VLOOKUP(P978,βοηθητικό!$J$2:$N$354,3,FALSE))</f>
        <v>_</v>
      </c>
      <c r="R978" s="44"/>
      <c r="S978" s="5" t="s">
        <v>16</v>
      </c>
      <c r="T978" s="46" t="str">
        <f>IF(VLOOKUP(S978,βοηθητικό!$J$2:$N$354,3,FALSE)="","",VLOOKUP(S978,βοηθητικό!$J$2:$N$354,3,FALSE))</f>
        <v>_</v>
      </c>
      <c r="U978" s="47"/>
      <c r="V978" s="4" t="s">
        <v>16</v>
      </c>
      <c r="W978" s="43" t="str">
        <f>IF(VLOOKUP(V978,βοηθητικό!$J$2:$N$354,3,FALSE)="","",VLOOKUP(V978,βοηθητικό!$J$2:$N$354,3,FALSE))</f>
        <v>_</v>
      </c>
      <c r="X978" s="44"/>
      <c r="Y978" s="5" t="s">
        <v>16</v>
      </c>
      <c r="Z978" s="46" t="str">
        <f>IF(VLOOKUP(Y978,βοηθητικό!$J$2:$N$354,3,FALSE)="","",VLOOKUP(Y978,βοηθητικό!$J$2:$N$354,3,FALSE))</f>
        <v>_</v>
      </c>
      <c r="AA978" s="47"/>
      <c r="AB978" s="4" t="s">
        <v>16</v>
      </c>
      <c r="AC978" s="43" t="str">
        <f>IF(VLOOKUP(AB978,βοηθητικό!$J$2:$N$354,3,FALSE)="","",VLOOKUP(AB978,βοηθητικό!$J$2:$N$354,3,FALSE))</f>
        <v>_</v>
      </c>
      <c r="AD978" s="44"/>
      <c r="AE978" s="5" t="s">
        <v>16</v>
      </c>
      <c r="AF978" s="46" t="str">
        <f>IF(VLOOKUP(AE978,βοηθητικό!$J$2:$N$354,3,FALSE)="","",VLOOKUP(AE978,βοηθητικό!$J$2:$N$354,3,FALSE))</f>
        <v>_</v>
      </c>
      <c r="AG978" s="47"/>
      <c r="AH978" s="4" t="s">
        <v>16</v>
      </c>
      <c r="AI978" s="43" t="str">
        <f>IF(VLOOKUP(AH978,βοηθητικό!$J$2:$N$354,3,FALSE)="","",VLOOKUP(AH978,βοηθητικό!$J$2:$N$354,3,FALSE))</f>
        <v>_</v>
      </c>
      <c r="AJ978" s="44"/>
      <c r="AK978" s="5" t="s">
        <v>16</v>
      </c>
      <c r="AL978" s="46" t="str">
        <f>IF(VLOOKUP(AK978,βοηθητικό!$J$2:$N$354,3,FALSE)="","",VLOOKUP(AK978,βοηθητικό!$J$2:$N$354,3,FALSE))</f>
        <v>_</v>
      </c>
      <c r="AM978" s="47"/>
      <c r="AN978" s="4" t="s">
        <v>16</v>
      </c>
      <c r="AO978" s="43" t="str">
        <f>IF(VLOOKUP(AN978,βοηθητικό!$J$2:$N$354,3,FALSE)="","",VLOOKUP(AN978,βοηθητικό!$J$2:$N$354,3,FALSE))</f>
        <v>_</v>
      </c>
      <c r="AP978" s="44"/>
      <c r="AQ978" s="5" t="s">
        <v>16</v>
      </c>
      <c r="AR978" s="46" t="str">
        <f>IF(VLOOKUP(AQ978,βοηθητικό!$J$2:$N$354,3,FALSE)="","",VLOOKUP(AQ978,βοηθητικό!$J$2:$N$354,3,FALSE))</f>
        <v>_</v>
      </c>
      <c r="AS978" s="47"/>
      <c r="AT978" s="4" t="s">
        <v>16</v>
      </c>
      <c r="AU978" s="43" t="str">
        <f>IF(VLOOKUP(AT978,βοηθητικό!$J$2:$N$354,3,FALSE)="","",VLOOKUP(AT978,βοηθητικό!$J$2:$N$354,3,FALSE))</f>
        <v>_</v>
      </c>
      <c r="AV978" s="44"/>
      <c r="AW978" s="5" t="s">
        <v>16</v>
      </c>
      <c r="AX978" s="46" t="str">
        <f>IF(VLOOKUP(AW978,βοηθητικό!$J$2:$N$354,3,FALSE)="","",VLOOKUP(AW978,βοηθητικό!$J$2:$N$354,3,FALSE))</f>
        <v>_</v>
      </c>
      <c r="AY978" s="47"/>
      <c r="AZ978" s="4" t="s">
        <v>16</v>
      </c>
      <c r="BA978" s="43" t="str">
        <f>IF(VLOOKUP(AZ978,βοηθητικό!$J$2:$N$354,3,FALSE)="","",VLOOKUP(AZ978,βοηθητικό!$J$2:$N$354,3,FALSE))</f>
        <v>_</v>
      </c>
      <c r="BB978" s="44"/>
      <c r="BC978" s="45" t="s">
        <v>16</v>
      </c>
      <c r="BD978" s="46" t="str">
        <f>IF(VLOOKUP(BC978,βοηθητικό!$J$2:$N$354,3,FALSE)="","",VLOOKUP(BC978,βοηθητικό!$J$2:$N$354,3,FALSE))</f>
        <v>_</v>
      </c>
      <c r="BE978" s="47"/>
      <c r="BF978" s="42" t="s">
        <v>16</v>
      </c>
      <c r="BG978" s="43" t="str">
        <f>IF(VLOOKUP(BF978,βοηθητικό!$J$2:$N$354,3,FALSE)="","",VLOOKUP(BF978,βοηθητικό!$J$2:$N$354,3,FALSE))</f>
        <v>_</v>
      </c>
      <c r="BH978" s="44"/>
      <c r="BI978" s="45" t="s">
        <v>16</v>
      </c>
      <c r="BJ978" s="46" t="str">
        <f>IF(VLOOKUP(BI978,βοηθητικό!$J$2:$N$354,3,FALSE)="","",VLOOKUP(BI978,βοηθητικό!$J$2:$N$354,3,FALSE))</f>
        <v>_</v>
      </c>
      <c r="BK978" s="47"/>
      <c r="BL978" s="42" t="s">
        <v>16</v>
      </c>
      <c r="BM978" s="43" t="str">
        <f>IF(VLOOKUP(BL978,βοηθητικό!$J$2:$N$354,3,FALSE)="","",VLOOKUP(BL978,βοηθητικό!$J$2:$N$354,3,FALSE))</f>
        <v>_</v>
      </c>
      <c r="BN978" s="44"/>
      <c r="BO978" s="45" t="s">
        <v>16</v>
      </c>
      <c r="BP978" s="46" t="str">
        <f>IF(VLOOKUP(BO978,βοηθητικό!$J$2:$N$354,3,FALSE)="","",VLOOKUP(BO978,βοηθητικό!$J$2:$N$354,3,FALSE))</f>
        <v>_</v>
      </c>
      <c r="BQ978" s="47"/>
      <c r="BR978" s="42" t="s">
        <v>16</v>
      </c>
      <c r="BS978" s="43" t="str">
        <f>IF(VLOOKUP(BR978,βοηθητικό!$J$2:$N$354,3,FALSE)="","",VLOOKUP(BR978,βοηθητικό!$J$2:$N$354,3,FALSE))</f>
        <v>_</v>
      </c>
      <c r="BT978" s="44"/>
      <c r="BU978" s="45" t="s">
        <v>16</v>
      </c>
      <c r="BV978" s="46" t="str">
        <f>IF(VLOOKUP(BU978,βοηθητικό!$J$2:$N$354,3,FALSE)="","",VLOOKUP(BU978,βοηθητικό!$J$2:$N$354,3,FALSE))</f>
        <v>_</v>
      </c>
      <c r="BW978" s="47"/>
      <c r="BX978" s="42" t="s">
        <v>16</v>
      </c>
      <c r="BY978" s="43" t="str">
        <f>IF(VLOOKUP(BX978,βοηθητικό!$J$2:$N$354,3,FALSE)="","",VLOOKUP(BX978,βοηθητικό!$J$2:$N$354,3,FALSE))</f>
        <v>_</v>
      </c>
      <c r="BZ978" s="44"/>
      <c r="CA978" s="45" t="s">
        <v>16</v>
      </c>
      <c r="CB978" s="46" t="str">
        <f>IF(VLOOKUP(CA978,βοηθητικό!$J$2:$N$354,3,FALSE)="","",VLOOKUP(CA978,βοηθητικό!$J$2:$N$354,3,FALSE))</f>
        <v>_</v>
      </c>
      <c r="CC978" s="47"/>
      <c r="CD978" s="42" t="s">
        <v>16</v>
      </c>
      <c r="CE978" s="43" t="str">
        <f>IF(VLOOKUP(CD978,βοηθητικό!$J$2:$N$354,3,FALSE)="","",VLOOKUP(CD978,βοηθητικό!$J$2:$N$354,3,FALSE))</f>
        <v>_</v>
      </c>
      <c r="CF978" s="44"/>
      <c r="CG978" s="45" t="s">
        <v>16</v>
      </c>
      <c r="CH978" s="46" t="str">
        <f>IF(VLOOKUP(CG978,βοηθητικό!$J$2:$N$354,3,FALSE)="","",VLOOKUP(CG978,βοηθητικό!$J$2:$N$354,3,FALSE))</f>
        <v>_</v>
      </c>
      <c r="CI978" s="47"/>
      <c r="CJ978" s="42" t="s">
        <v>16</v>
      </c>
      <c r="CK978" s="43" t="str">
        <f>IF(VLOOKUP(CJ978,βοηθητικό!$J$2:$N$354,3,FALSE)="","",VLOOKUP(CJ978,βοηθητικό!$J$2:$N$354,3,FALSE))</f>
        <v>_</v>
      </c>
      <c r="CL978" s="44"/>
      <c r="CM978" s="45" t="s">
        <v>16</v>
      </c>
      <c r="CN978" s="46" t="str">
        <f>IF(VLOOKUP(CM978,βοηθητικό!$J$2:$N$354,3,FALSE)="","",VLOOKUP(CM978,βοηθητικό!$J$2:$N$354,3,FALSE))</f>
        <v>_</v>
      </c>
      <c r="CO978" s="47"/>
      <c r="CP978" s="42" t="s">
        <v>16</v>
      </c>
      <c r="CQ978" s="43" t="str">
        <f>IF(VLOOKUP(CP978,βοηθητικό!$J$2:$N$354,3,FALSE)="","",VLOOKUP(CP978,βοηθητικό!$J$2:$N$354,3,FALSE))</f>
        <v>_</v>
      </c>
      <c r="CR978" s="44"/>
      <c r="CS978" s="45" t="s">
        <v>16</v>
      </c>
      <c r="CT978" s="46" t="str">
        <f>IF(VLOOKUP(CS978,βοηθητικό!$J$2:$N$354,3,FALSE)="","",VLOOKUP(CS978,βοηθητικό!$J$2:$N$354,3,FALSE))</f>
        <v>_</v>
      </c>
      <c r="CU978" s="47"/>
    </row>
    <row r="979" spans="1:99" x14ac:dyDescent="0.25">
      <c r="A979" s="37">
        <f>--SUBTOTAL(3,$B$3:B978)</f>
        <v>198</v>
      </c>
      <c r="B979" s="2"/>
      <c r="C979" s="3"/>
      <c r="D979" s="55" t="s">
        <v>18</v>
      </c>
      <c r="E979" s="38" t="s">
        <v>16</v>
      </c>
      <c r="F979" s="38"/>
      <c r="G979" s="39" t="str">
        <f t="shared" si="47"/>
        <v>__</v>
      </c>
      <c r="H979" s="40" t="str">
        <f t="shared" si="48"/>
        <v>FALSE</v>
      </c>
      <c r="I979" s="41">
        <f t="shared" si="49"/>
        <v>0</v>
      </c>
      <c r="J979" s="4" t="s">
        <v>16</v>
      </c>
      <c r="K979" s="43" t="str">
        <f>IF(VLOOKUP(J979,βοηθητικό!$J$2:$N$354,3,FALSE)="","",VLOOKUP(J979,βοηθητικό!$J$2:$N$354,3,FALSE))</f>
        <v>_</v>
      </c>
      <c r="L979" s="44"/>
      <c r="M979" s="5" t="s">
        <v>16</v>
      </c>
      <c r="N979" s="46" t="str">
        <f>IF(VLOOKUP(M979,βοηθητικό!$J$2:$N$354,3,FALSE)="","",VLOOKUP(M979,βοηθητικό!$J$2:$N$354,3,FALSE))</f>
        <v>_</v>
      </c>
      <c r="O979" s="47"/>
      <c r="P979" s="4" t="s">
        <v>16</v>
      </c>
      <c r="Q979" s="43" t="str">
        <f>IF(VLOOKUP(P979,βοηθητικό!$J$2:$N$354,3,FALSE)="","",VLOOKUP(P979,βοηθητικό!$J$2:$N$354,3,FALSE))</f>
        <v>_</v>
      </c>
      <c r="R979" s="44"/>
      <c r="S979" s="5" t="s">
        <v>16</v>
      </c>
      <c r="T979" s="46" t="str">
        <f>IF(VLOOKUP(S979,βοηθητικό!$J$2:$N$354,3,FALSE)="","",VLOOKUP(S979,βοηθητικό!$J$2:$N$354,3,FALSE))</f>
        <v>_</v>
      </c>
      <c r="U979" s="47"/>
      <c r="V979" s="4" t="s">
        <v>16</v>
      </c>
      <c r="W979" s="43" t="str">
        <f>IF(VLOOKUP(V979,βοηθητικό!$J$2:$N$354,3,FALSE)="","",VLOOKUP(V979,βοηθητικό!$J$2:$N$354,3,FALSE))</f>
        <v>_</v>
      </c>
      <c r="X979" s="44"/>
      <c r="Y979" s="5" t="s">
        <v>16</v>
      </c>
      <c r="Z979" s="46" t="str">
        <f>IF(VLOOKUP(Y979,βοηθητικό!$J$2:$N$354,3,FALSE)="","",VLOOKUP(Y979,βοηθητικό!$J$2:$N$354,3,FALSE))</f>
        <v>_</v>
      </c>
      <c r="AA979" s="47"/>
      <c r="AB979" s="4" t="s">
        <v>16</v>
      </c>
      <c r="AC979" s="43" t="str">
        <f>IF(VLOOKUP(AB979,βοηθητικό!$J$2:$N$354,3,FALSE)="","",VLOOKUP(AB979,βοηθητικό!$J$2:$N$354,3,FALSE))</f>
        <v>_</v>
      </c>
      <c r="AD979" s="44"/>
      <c r="AE979" s="5" t="s">
        <v>16</v>
      </c>
      <c r="AF979" s="46" t="str">
        <f>IF(VLOOKUP(AE979,βοηθητικό!$J$2:$N$354,3,FALSE)="","",VLOOKUP(AE979,βοηθητικό!$J$2:$N$354,3,FALSE))</f>
        <v>_</v>
      </c>
      <c r="AG979" s="47"/>
      <c r="AH979" s="4" t="s">
        <v>16</v>
      </c>
      <c r="AI979" s="43" t="str">
        <f>IF(VLOOKUP(AH979,βοηθητικό!$J$2:$N$354,3,FALSE)="","",VLOOKUP(AH979,βοηθητικό!$J$2:$N$354,3,FALSE))</f>
        <v>_</v>
      </c>
      <c r="AJ979" s="44"/>
      <c r="AK979" s="5" t="s">
        <v>16</v>
      </c>
      <c r="AL979" s="46" t="str">
        <f>IF(VLOOKUP(AK979,βοηθητικό!$J$2:$N$354,3,FALSE)="","",VLOOKUP(AK979,βοηθητικό!$J$2:$N$354,3,FALSE))</f>
        <v>_</v>
      </c>
      <c r="AM979" s="47"/>
      <c r="AN979" s="4" t="s">
        <v>16</v>
      </c>
      <c r="AO979" s="43" t="str">
        <f>IF(VLOOKUP(AN979,βοηθητικό!$J$2:$N$354,3,FALSE)="","",VLOOKUP(AN979,βοηθητικό!$J$2:$N$354,3,FALSE))</f>
        <v>_</v>
      </c>
      <c r="AP979" s="44"/>
      <c r="AQ979" s="5" t="s">
        <v>16</v>
      </c>
      <c r="AR979" s="46" t="str">
        <f>IF(VLOOKUP(AQ979,βοηθητικό!$J$2:$N$354,3,FALSE)="","",VLOOKUP(AQ979,βοηθητικό!$J$2:$N$354,3,FALSE))</f>
        <v>_</v>
      </c>
      <c r="AS979" s="47"/>
      <c r="AT979" s="4" t="s">
        <v>16</v>
      </c>
      <c r="AU979" s="43" t="str">
        <f>IF(VLOOKUP(AT979,βοηθητικό!$J$2:$N$354,3,FALSE)="","",VLOOKUP(AT979,βοηθητικό!$J$2:$N$354,3,FALSE))</f>
        <v>_</v>
      </c>
      <c r="AV979" s="44"/>
      <c r="AW979" s="5" t="s">
        <v>16</v>
      </c>
      <c r="AX979" s="46" t="str">
        <f>IF(VLOOKUP(AW979,βοηθητικό!$J$2:$N$354,3,FALSE)="","",VLOOKUP(AW979,βοηθητικό!$J$2:$N$354,3,FALSE))</f>
        <v>_</v>
      </c>
      <c r="AY979" s="47"/>
      <c r="AZ979" s="4" t="s">
        <v>16</v>
      </c>
      <c r="BA979" s="43" t="str">
        <f>IF(VLOOKUP(AZ979,βοηθητικό!$J$2:$N$354,3,FALSE)="","",VLOOKUP(AZ979,βοηθητικό!$J$2:$N$354,3,FALSE))</f>
        <v>_</v>
      </c>
      <c r="BB979" s="44"/>
      <c r="BC979" s="45" t="s">
        <v>16</v>
      </c>
      <c r="BD979" s="46" t="str">
        <f>IF(VLOOKUP(BC979,βοηθητικό!$J$2:$N$354,3,FALSE)="","",VLOOKUP(BC979,βοηθητικό!$J$2:$N$354,3,FALSE))</f>
        <v>_</v>
      </c>
      <c r="BE979" s="47"/>
      <c r="BF979" s="42" t="s">
        <v>16</v>
      </c>
      <c r="BG979" s="43" t="str">
        <f>IF(VLOOKUP(BF979,βοηθητικό!$J$2:$N$354,3,FALSE)="","",VLOOKUP(BF979,βοηθητικό!$J$2:$N$354,3,FALSE))</f>
        <v>_</v>
      </c>
      <c r="BH979" s="44"/>
      <c r="BI979" s="45" t="s">
        <v>16</v>
      </c>
      <c r="BJ979" s="46" t="str">
        <f>IF(VLOOKUP(BI979,βοηθητικό!$J$2:$N$354,3,FALSE)="","",VLOOKUP(BI979,βοηθητικό!$J$2:$N$354,3,FALSE))</f>
        <v>_</v>
      </c>
      <c r="BK979" s="47"/>
      <c r="BL979" s="42" t="s">
        <v>16</v>
      </c>
      <c r="BM979" s="43" t="str">
        <f>IF(VLOOKUP(BL979,βοηθητικό!$J$2:$N$354,3,FALSE)="","",VLOOKUP(BL979,βοηθητικό!$J$2:$N$354,3,FALSE))</f>
        <v>_</v>
      </c>
      <c r="BN979" s="44"/>
      <c r="BO979" s="45" t="s">
        <v>16</v>
      </c>
      <c r="BP979" s="46" t="str">
        <f>IF(VLOOKUP(BO979,βοηθητικό!$J$2:$N$354,3,FALSE)="","",VLOOKUP(BO979,βοηθητικό!$J$2:$N$354,3,FALSE))</f>
        <v>_</v>
      </c>
      <c r="BQ979" s="47"/>
      <c r="BR979" s="42" t="s">
        <v>16</v>
      </c>
      <c r="BS979" s="43" t="str">
        <f>IF(VLOOKUP(BR979,βοηθητικό!$J$2:$N$354,3,FALSE)="","",VLOOKUP(BR979,βοηθητικό!$J$2:$N$354,3,FALSE))</f>
        <v>_</v>
      </c>
      <c r="BT979" s="44"/>
      <c r="BU979" s="45" t="s">
        <v>16</v>
      </c>
      <c r="BV979" s="46" t="str">
        <f>IF(VLOOKUP(BU979,βοηθητικό!$J$2:$N$354,3,FALSE)="","",VLOOKUP(BU979,βοηθητικό!$J$2:$N$354,3,FALSE))</f>
        <v>_</v>
      </c>
      <c r="BW979" s="47"/>
      <c r="BX979" s="42" t="s">
        <v>16</v>
      </c>
      <c r="BY979" s="43" t="str">
        <f>IF(VLOOKUP(BX979,βοηθητικό!$J$2:$N$354,3,FALSE)="","",VLOOKUP(BX979,βοηθητικό!$J$2:$N$354,3,FALSE))</f>
        <v>_</v>
      </c>
      <c r="BZ979" s="44"/>
      <c r="CA979" s="45" t="s">
        <v>16</v>
      </c>
      <c r="CB979" s="46" t="str">
        <f>IF(VLOOKUP(CA979,βοηθητικό!$J$2:$N$354,3,FALSE)="","",VLOOKUP(CA979,βοηθητικό!$J$2:$N$354,3,FALSE))</f>
        <v>_</v>
      </c>
      <c r="CC979" s="47"/>
      <c r="CD979" s="42" t="s">
        <v>16</v>
      </c>
      <c r="CE979" s="43" t="str">
        <f>IF(VLOOKUP(CD979,βοηθητικό!$J$2:$N$354,3,FALSE)="","",VLOOKUP(CD979,βοηθητικό!$J$2:$N$354,3,FALSE))</f>
        <v>_</v>
      </c>
      <c r="CF979" s="44"/>
      <c r="CG979" s="45" t="s">
        <v>16</v>
      </c>
      <c r="CH979" s="46" t="str">
        <f>IF(VLOOKUP(CG979,βοηθητικό!$J$2:$N$354,3,FALSE)="","",VLOOKUP(CG979,βοηθητικό!$J$2:$N$354,3,FALSE))</f>
        <v>_</v>
      </c>
      <c r="CI979" s="47"/>
      <c r="CJ979" s="42" t="s">
        <v>16</v>
      </c>
      <c r="CK979" s="43" t="str">
        <f>IF(VLOOKUP(CJ979,βοηθητικό!$J$2:$N$354,3,FALSE)="","",VLOOKUP(CJ979,βοηθητικό!$J$2:$N$354,3,FALSE))</f>
        <v>_</v>
      </c>
      <c r="CL979" s="44"/>
      <c r="CM979" s="45" t="s">
        <v>16</v>
      </c>
      <c r="CN979" s="46" t="str">
        <f>IF(VLOOKUP(CM979,βοηθητικό!$J$2:$N$354,3,FALSE)="","",VLOOKUP(CM979,βοηθητικό!$J$2:$N$354,3,FALSE))</f>
        <v>_</v>
      </c>
      <c r="CO979" s="47"/>
      <c r="CP979" s="42" t="s">
        <v>16</v>
      </c>
      <c r="CQ979" s="43" t="str">
        <f>IF(VLOOKUP(CP979,βοηθητικό!$J$2:$N$354,3,FALSE)="","",VLOOKUP(CP979,βοηθητικό!$J$2:$N$354,3,FALSE))</f>
        <v>_</v>
      </c>
      <c r="CR979" s="44"/>
      <c r="CS979" s="45" t="s">
        <v>16</v>
      </c>
      <c r="CT979" s="46" t="str">
        <f>IF(VLOOKUP(CS979,βοηθητικό!$J$2:$N$354,3,FALSE)="","",VLOOKUP(CS979,βοηθητικό!$J$2:$N$354,3,FALSE))</f>
        <v>_</v>
      </c>
      <c r="CU979" s="47"/>
    </row>
    <row r="980" spans="1:99" x14ac:dyDescent="0.25">
      <c r="A980" s="37">
        <f>--SUBTOTAL(3,$B$3:B979)</f>
        <v>198</v>
      </c>
      <c r="B980" s="2"/>
      <c r="C980" s="3"/>
      <c r="D980" s="55" t="s">
        <v>18</v>
      </c>
      <c r="E980" s="38" t="s">
        <v>16</v>
      </c>
      <c r="F980" s="38"/>
      <c r="G980" s="39" t="str">
        <f t="shared" si="47"/>
        <v>__</v>
      </c>
      <c r="H980" s="40" t="str">
        <f t="shared" si="48"/>
        <v>FALSE</v>
      </c>
      <c r="I980" s="41">
        <f t="shared" si="49"/>
        <v>0</v>
      </c>
      <c r="J980" s="4" t="s">
        <v>16</v>
      </c>
      <c r="K980" s="43" t="str">
        <f>IF(VLOOKUP(J980,βοηθητικό!$J$2:$N$354,3,FALSE)="","",VLOOKUP(J980,βοηθητικό!$J$2:$N$354,3,FALSE))</f>
        <v>_</v>
      </c>
      <c r="L980" s="44"/>
      <c r="M980" s="5" t="s">
        <v>16</v>
      </c>
      <c r="N980" s="46" t="str">
        <f>IF(VLOOKUP(M980,βοηθητικό!$J$2:$N$354,3,FALSE)="","",VLOOKUP(M980,βοηθητικό!$J$2:$N$354,3,FALSE))</f>
        <v>_</v>
      </c>
      <c r="O980" s="47"/>
      <c r="P980" s="4" t="s">
        <v>16</v>
      </c>
      <c r="Q980" s="43" t="str">
        <f>IF(VLOOKUP(P980,βοηθητικό!$J$2:$N$354,3,FALSE)="","",VLOOKUP(P980,βοηθητικό!$J$2:$N$354,3,FALSE))</f>
        <v>_</v>
      </c>
      <c r="R980" s="44"/>
      <c r="S980" s="5" t="s">
        <v>16</v>
      </c>
      <c r="T980" s="46" t="str">
        <f>IF(VLOOKUP(S980,βοηθητικό!$J$2:$N$354,3,FALSE)="","",VLOOKUP(S980,βοηθητικό!$J$2:$N$354,3,FALSE))</f>
        <v>_</v>
      </c>
      <c r="U980" s="47"/>
      <c r="V980" s="4" t="s">
        <v>16</v>
      </c>
      <c r="W980" s="43" t="str">
        <f>IF(VLOOKUP(V980,βοηθητικό!$J$2:$N$354,3,FALSE)="","",VLOOKUP(V980,βοηθητικό!$J$2:$N$354,3,FALSE))</f>
        <v>_</v>
      </c>
      <c r="X980" s="44"/>
      <c r="Y980" s="5" t="s">
        <v>16</v>
      </c>
      <c r="Z980" s="46" t="str">
        <f>IF(VLOOKUP(Y980,βοηθητικό!$J$2:$N$354,3,FALSE)="","",VLOOKUP(Y980,βοηθητικό!$J$2:$N$354,3,FALSE))</f>
        <v>_</v>
      </c>
      <c r="AA980" s="47"/>
      <c r="AB980" s="4" t="s">
        <v>16</v>
      </c>
      <c r="AC980" s="43" t="str">
        <f>IF(VLOOKUP(AB980,βοηθητικό!$J$2:$N$354,3,FALSE)="","",VLOOKUP(AB980,βοηθητικό!$J$2:$N$354,3,FALSE))</f>
        <v>_</v>
      </c>
      <c r="AD980" s="44"/>
      <c r="AE980" s="5" t="s">
        <v>16</v>
      </c>
      <c r="AF980" s="46" t="str">
        <f>IF(VLOOKUP(AE980,βοηθητικό!$J$2:$N$354,3,FALSE)="","",VLOOKUP(AE980,βοηθητικό!$J$2:$N$354,3,FALSE))</f>
        <v>_</v>
      </c>
      <c r="AG980" s="47"/>
      <c r="AH980" s="4" t="s">
        <v>16</v>
      </c>
      <c r="AI980" s="43" t="str">
        <f>IF(VLOOKUP(AH980,βοηθητικό!$J$2:$N$354,3,FALSE)="","",VLOOKUP(AH980,βοηθητικό!$J$2:$N$354,3,FALSE))</f>
        <v>_</v>
      </c>
      <c r="AJ980" s="44"/>
      <c r="AK980" s="5" t="s">
        <v>16</v>
      </c>
      <c r="AL980" s="46" t="str">
        <f>IF(VLOOKUP(AK980,βοηθητικό!$J$2:$N$354,3,FALSE)="","",VLOOKUP(AK980,βοηθητικό!$J$2:$N$354,3,FALSE))</f>
        <v>_</v>
      </c>
      <c r="AM980" s="47"/>
      <c r="AN980" s="4" t="s">
        <v>16</v>
      </c>
      <c r="AO980" s="43" t="str">
        <f>IF(VLOOKUP(AN980,βοηθητικό!$J$2:$N$354,3,FALSE)="","",VLOOKUP(AN980,βοηθητικό!$J$2:$N$354,3,FALSE))</f>
        <v>_</v>
      </c>
      <c r="AP980" s="44"/>
      <c r="AQ980" s="5" t="s">
        <v>16</v>
      </c>
      <c r="AR980" s="46" t="str">
        <f>IF(VLOOKUP(AQ980,βοηθητικό!$J$2:$N$354,3,FALSE)="","",VLOOKUP(AQ980,βοηθητικό!$J$2:$N$354,3,FALSE))</f>
        <v>_</v>
      </c>
      <c r="AS980" s="47"/>
      <c r="AT980" s="4" t="s">
        <v>16</v>
      </c>
      <c r="AU980" s="43" t="str">
        <f>IF(VLOOKUP(AT980,βοηθητικό!$J$2:$N$354,3,FALSE)="","",VLOOKUP(AT980,βοηθητικό!$J$2:$N$354,3,FALSE))</f>
        <v>_</v>
      </c>
      <c r="AV980" s="44"/>
      <c r="AW980" s="5" t="s">
        <v>16</v>
      </c>
      <c r="AX980" s="46" t="str">
        <f>IF(VLOOKUP(AW980,βοηθητικό!$J$2:$N$354,3,FALSE)="","",VLOOKUP(AW980,βοηθητικό!$J$2:$N$354,3,FALSE))</f>
        <v>_</v>
      </c>
      <c r="AY980" s="47"/>
      <c r="AZ980" s="4" t="s">
        <v>16</v>
      </c>
      <c r="BA980" s="43" t="str">
        <f>IF(VLOOKUP(AZ980,βοηθητικό!$J$2:$N$354,3,FALSE)="","",VLOOKUP(AZ980,βοηθητικό!$J$2:$N$354,3,FALSE))</f>
        <v>_</v>
      </c>
      <c r="BB980" s="44"/>
      <c r="BC980" s="45" t="s">
        <v>16</v>
      </c>
      <c r="BD980" s="46" t="str">
        <f>IF(VLOOKUP(BC980,βοηθητικό!$J$2:$N$354,3,FALSE)="","",VLOOKUP(BC980,βοηθητικό!$J$2:$N$354,3,FALSE))</f>
        <v>_</v>
      </c>
      <c r="BE980" s="47"/>
      <c r="BF980" s="42" t="s">
        <v>16</v>
      </c>
      <c r="BG980" s="43" t="str">
        <f>IF(VLOOKUP(BF980,βοηθητικό!$J$2:$N$354,3,FALSE)="","",VLOOKUP(BF980,βοηθητικό!$J$2:$N$354,3,FALSE))</f>
        <v>_</v>
      </c>
      <c r="BH980" s="44"/>
      <c r="BI980" s="45" t="s">
        <v>16</v>
      </c>
      <c r="BJ980" s="46" t="str">
        <f>IF(VLOOKUP(BI980,βοηθητικό!$J$2:$N$354,3,FALSE)="","",VLOOKUP(BI980,βοηθητικό!$J$2:$N$354,3,FALSE))</f>
        <v>_</v>
      </c>
      <c r="BK980" s="47"/>
      <c r="BL980" s="42" t="s">
        <v>16</v>
      </c>
      <c r="BM980" s="43" t="str">
        <f>IF(VLOOKUP(BL980,βοηθητικό!$J$2:$N$354,3,FALSE)="","",VLOOKUP(BL980,βοηθητικό!$J$2:$N$354,3,FALSE))</f>
        <v>_</v>
      </c>
      <c r="BN980" s="44"/>
      <c r="BO980" s="45" t="s">
        <v>16</v>
      </c>
      <c r="BP980" s="46" t="str">
        <f>IF(VLOOKUP(BO980,βοηθητικό!$J$2:$N$354,3,FALSE)="","",VLOOKUP(BO980,βοηθητικό!$J$2:$N$354,3,FALSE))</f>
        <v>_</v>
      </c>
      <c r="BQ980" s="47"/>
      <c r="BR980" s="42" t="s">
        <v>16</v>
      </c>
      <c r="BS980" s="43" t="str">
        <f>IF(VLOOKUP(BR980,βοηθητικό!$J$2:$N$354,3,FALSE)="","",VLOOKUP(BR980,βοηθητικό!$J$2:$N$354,3,FALSE))</f>
        <v>_</v>
      </c>
      <c r="BT980" s="44"/>
      <c r="BU980" s="45" t="s">
        <v>16</v>
      </c>
      <c r="BV980" s="46" t="str">
        <f>IF(VLOOKUP(BU980,βοηθητικό!$J$2:$N$354,3,FALSE)="","",VLOOKUP(BU980,βοηθητικό!$J$2:$N$354,3,FALSE))</f>
        <v>_</v>
      </c>
      <c r="BW980" s="47"/>
      <c r="BX980" s="42" t="s">
        <v>16</v>
      </c>
      <c r="BY980" s="43" t="str">
        <f>IF(VLOOKUP(BX980,βοηθητικό!$J$2:$N$354,3,FALSE)="","",VLOOKUP(BX980,βοηθητικό!$J$2:$N$354,3,FALSE))</f>
        <v>_</v>
      </c>
      <c r="BZ980" s="44"/>
      <c r="CA980" s="45" t="s">
        <v>16</v>
      </c>
      <c r="CB980" s="46" t="str">
        <f>IF(VLOOKUP(CA980,βοηθητικό!$J$2:$N$354,3,FALSE)="","",VLOOKUP(CA980,βοηθητικό!$J$2:$N$354,3,FALSE))</f>
        <v>_</v>
      </c>
      <c r="CC980" s="47"/>
      <c r="CD980" s="42" t="s">
        <v>16</v>
      </c>
      <c r="CE980" s="43" t="str">
        <f>IF(VLOOKUP(CD980,βοηθητικό!$J$2:$N$354,3,FALSE)="","",VLOOKUP(CD980,βοηθητικό!$J$2:$N$354,3,FALSE))</f>
        <v>_</v>
      </c>
      <c r="CF980" s="44"/>
      <c r="CG980" s="45" t="s">
        <v>16</v>
      </c>
      <c r="CH980" s="46" t="str">
        <f>IF(VLOOKUP(CG980,βοηθητικό!$J$2:$N$354,3,FALSE)="","",VLOOKUP(CG980,βοηθητικό!$J$2:$N$354,3,FALSE))</f>
        <v>_</v>
      </c>
      <c r="CI980" s="47"/>
      <c r="CJ980" s="42" t="s">
        <v>16</v>
      </c>
      <c r="CK980" s="43" t="str">
        <f>IF(VLOOKUP(CJ980,βοηθητικό!$J$2:$N$354,3,FALSE)="","",VLOOKUP(CJ980,βοηθητικό!$J$2:$N$354,3,FALSE))</f>
        <v>_</v>
      </c>
      <c r="CL980" s="44"/>
      <c r="CM980" s="45" t="s">
        <v>16</v>
      </c>
      <c r="CN980" s="46" t="str">
        <f>IF(VLOOKUP(CM980,βοηθητικό!$J$2:$N$354,3,FALSE)="","",VLOOKUP(CM980,βοηθητικό!$J$2:$N$354,3,FALSE))</f>
        <v>_</v>
      </c>
      <c r="CO980" s="47"/>
      <c r="CP980" s="42" t="s">
        <v>16</v>
      </c>
      <c r="CQ980" s="43" t="str">
        <f>IF(VLOOKUP(CP980,βοηθητικό!$J$2:$N$354,3,FALSE)="","",VLOOKUP(CP980,βοηθητικό!$J$2:$N$354,3,FALSE))</f>
        <v>_</v>
      </c>
      <c r="CR980" s="44"/>
      <c r="CS980" s="45" t="s">
        <v>16</v>
      </c>
      <c r="CT980" s="46" t="str">
        <f>IF(VLOOKUP(CS980,βοηθητικό!$J$2:$N$354,3,FALSE)="","",VLOOKUP(CS980,βοηθητικό!$J$2:$N$354,3,FALSE))</f>
        <v>_</v>
      </c>
      <c r="CU980" s="47"/>
    </row>
    <row r="981" spans="1:99" x14ac:dyDescent="0.25">
      <c r="A981" s="37">
        <f>--SUBTOTAL(3,$B$3:B980)</f>
        <v>198</v>
      </c>
      <c r="B981" s="2"/>
      <c r="C981" s="3"/>
      <c r="D981" s="55" t="s">
        <v>18</v>
      </c>
      <c r="E981" s="38" t="s">
        <v>16</v>
      </c>
      <c r="F981" s="38"/>
      <c r="G981" s="39" t="str">
        <f t="shared" si="47"/>
        <v>__</v>
      </c>
      <c r="H981" s="40" t="str">
        <f t="shared" si="48"/>
        <v>FALSE</v>
      </c>
      <c r="I981" s="41">
        <f t="shared" si="49"/>
        <v>0</v>
      </c>
      <c r="J981" s="4" t="s">
        <v>16</v>
      </c>
      <c r="K981" s="43" t="str">
        <f>IF(VLOOKUP(J981,βοηθητικό!$J$2:$N$354,3,FALSE)="","",VLOOKUP(J981,βοηθητικό!$J$2:$N$354,3,FALSE))</f>
        <v>_</v>
      </c>
      <c r="L981" s="44"/>
      <c r="M981" s="5" t="s">
        <v>16</v>
      </c>
      <c r="N981" s="46" t="str">
        <f>IF(VLOOKUP(M981,βοηθητικό!$J$2:$N$354,3,FALSE)="","",VLOOKUP(M981,βοηθητικό!$J$2:$N$354,3,FALSE))</f>
        <v>_</v>
      </c>
      <c r="O981" s="47"/>
      <c r="P981" s="4" t="s">
        <v>16</v>
      </c>
      <c r="Q981" s="43" t="str">
        <f>IF(VLOOKUP(P981,βοηθητικό!$J$2:$N$354,3,FALSE)="","",VLOOKUP(P981,βοηθητικό!$J$2:$N$354,3,FALSE))</f>
        <v>_</v>
      </c>
      <c r="R981" s="44"/>
      <c r="S981" s="5" t="s">
        <v>16</v>
      </c>
      <c r="T981" s="46" t="str">
        <f>IF(VLOOKUP(S981,βοηθητικό!$J$2:$N$354,3,FALSE)="","",VLOOKUP(S981,βοηθητικό!$J$2:$N$354,3,FALSE))</f>
        <v>_</v>
      </c>
      <c r="U981" s="47"/>
      <c r="V981" s="4" t="s">
        <v>16</v>
      </c>
      <c r="W981" s="43" t="str">
        <f>IF(VLOOKUP(V981,βοηθητικό!$J$2:$N$354,3,FALSE)="","",VLOOKUP(V981,βοηθητικό!$J$2:$N$354,3,FALSE))</f>
        <v>_</v>
      </c>
      <c r="X981" s="44"/>
      <c r="Y981" s="5" t="s">
        <v>16</v>
      </c>
      <c r="Z981" s="46" t="str">
        <f>IF(VLOOKUP(Y981,βοηθητικό!$J$2:$N$354,3,FALSE)="","",VLOOKUP(Y981,βοηθητικό!$J$2:$N$354,3,FALSE))</f>
        <v>_</v>
      </c>
      <c r="AA981" s="47"/>
      <c r="AB981" s="4" t="s">
        <v>16</v>
      </c>
      <c r="AC981" s="43" t="str">
        <f>IF(VLOOKUP(AB981,βοηθητικό!$J$2:$N$354,3,FALSE)="","",VLOOKUP(AB981,βοηθητικό!$J$2:$N$354,3,FALSE))</f>
        <v>_</v>
      </c>
      <c r="AD981" s="44"/>
      <c r="AE981" s="5" t="s">
        <v>16</v>
      </c>
      <c r="AF981" s="46" t="str">
        <f>IF(VLOOKUP(AE981,βοηθητικό!$J$2:$N$354,3,FALSE)="","",VLOOKUP(AE981,βοηθητικό!$J$2:$N$354,3,FALSE))</f>
        <v>_</v>
      </c>
      <c r="AG981" s="47"/>
      <c r="AH981" s="4" t="s">
        <v>16</v>
      </c>
      <c r="AI981" s="43" t="str">
        <f>IF(VLOOKUP(AH981,βοηθητικό!$J$2:$N$354,3,FALSE)="","",VLOOKUP(AH981,βοηθητικό!$J$2:$N$354,3,FALSE))</f>
        <v>_</v>
      </c>
      <c r="AJ981" s="44"/>
      <c r="AK981" s="5" t="s">
        <v>16</v>
      </c>
      <c r="AL981" s="46" t="str">
        <f>IF(VLOOKUP(AK981,βοηθητικό!$J$2:$N$354,3,FALSE)="","",VLOOKUP(AK981,βοηθητικό!$J$2:$N$354,3,FALSE))</f>
        <v>_</v>
      </c>
      <c r="AM981" s="47"/>
      <c r="AN981" s="4" t="s">
        <v>16</v>
      </c>
      <c r="AO981" s="43" t="str">
        <f>IF(VLOOKUP(AN981,βοηθητικό!$J$2:$N$354,3,FALSE)="","",VLOOKUP(AN981,βοηθητικό!$J$2:$N$354,3,FALSE))</f>
        <v>_</v>
      </c>
      <c r="AP981" s="44"/>
      <c r="AQ981" s="5" t="s">
        <v>16</v>
      </c>
      <c r="AR981" s="46" t="str">
        <f>IF(VLOOKUP(AQ981,βοηθητικό!$J$2:$N$354,3,FALSE)="","",VLOOKUP(AQ981,βοηθητικό!$J$2:$N$354,3,FALSE))</f>
        <v>_</v>
      </c>
      <c r="AS981" s="47"/>
      <c r="AT981" s="4" t="s">
        <v>16</v>
      </c>
      <c r="AU981" s="43" t="str">
        <f>IF(VLOOKUP(AT981,βοηθητικό!$J$2:$N$354,3,FALSE)="","",VLOOKUP(AT981,βοηθητικό!$J$2:$N$354,3,FALSE))</f>
        <v>_</v>
      </c>
      <c r="AV981" s="44"/>
      <c r="AW981" s="5" t="s">
        <v>16</v>
      </c>
      <c r="AX981" s="46" t="str">
        <f>IF(VLOOKUP(AW981,βοηθητικό!$J$2:$N$354,3,FALSE)="","",VLOOKUP(AW981,βοηθητικό!$J$2:$N$354,3,FALSE))</f>
        <v>_</v>
      </c>
      <c r="AY981" s="47"/>
      <c r="AZ981" s="4" t="s">
        <v>16</v>
      </c>
      <c r="BA981" s="43" t="str">
        <f>IF(VLOOKUP(AZ981,βοηθητικό!$J$2:$N$354,3,FALSE)="","",VLOOKUP(AZ981,βοηθητικό!$J$2:$N$354,3,FALSE))</f>
        <v>_</v>
      </c>
      <c r="BB981" s="44"/>
      <c r="BC981" s="45" t="s">
        <v>16</v>
      </c>
      <c r="BD981" s="46" t="str">
        <f>IF(VLOOKUP(BC981,βοηθητικό!$J$2:$N$354,3,FALSE)="","",VLOOKUP(BC981,βοηθητικό!$J$2:$N$354,3,FALSE))</f>
        <v>_</v>
      </c>
      <c r="BE981" s="47"/>
      <c r="BF981" s="42" t="s">
        <v>16</v>
      </c>
      <c r="BG981" s="43" t="str">
        <f>IF(VLOOKUP(BF981,βοηθητικό!$J$2:$N$354,3,FALSE)="","",VLOOKUP(BF981,βοηθητικό!$J$2:$N$354,3,FALSE))</f>
        <v>_</v>
      </c>
      <c r="BH981" s="44"/>
      <c r="BI981" s="45" t="s">
        <v>16</v>
      </c>
      <c r="BJ981" s="46" t="str">
        <f>IF(VLOOKUP(BI981,βοηθητικό!$J$2:$N$354,3,FALSE)="","",VLOOKUP(BI981,βοηθητικό!$J$2:$N$354,3,FALSE))</f>
        <v>_</v>
      </c>
      <c r="BK981" s="47"/>
      <c r="BL981" s="42" t="s">
        <v>16</v>
      </c>
      <c r="BM981" s="43" t="str">
        <f>IF(VLOOKUP(BL981,βοηθητικό!$J$2:$N$354,3,FALSE)="","",VLOOKUP(BL981,βοηθητικό!$J$2:$N$354,3,FALSE))</f>
        <v>_</v>
      </c>
      <c r="BN981" s="44"/>
      <c r="BO981" s="45" t="s">
        <v>16</v>
      </c>
      <c r="BP981" s="46" t="str">
        <f>IF(VLOOKUP(BO981,βοηθητικό!$J$2:$N$354,3,FALSE)="","",VLOOKUP(BO981,βοηθητικό!$J$2:$N$354,3,FALSE))</f>
        <v>_</v>
      </c>
      <c r="BQ981" s="47"/>
      <c r="BR981" s="42" t="s">
        <v>16</v>
      </c>
      <c r="BS981" s="43" t="str">
        <f>IF(VLOOKUP(BR981,βοηθητικό!$J$2:$N$354,3,FALSE)="","",VLOOKUP(BR981,βοηθητικό!$J$2:$N$354,3,FALSE))</f>
        <v>_</v>
      </c>
      <c r="BT981" s="44"/>
      <c r="BU981" s="45" t="s">
        <v>16</v>
      </c>
      <c r="BV981" s="46" t="str">
        <f>IF(VLOOKUP(BU981,βοηθητικό!$J$2:$N$354,3,FALSE)="","",VLOOKUP(BU981,βοηθητικό!$J$2:$N$354,3,FALSE))</f>
        <v>_</v>
      </c>
      <c r="BW981" s="47"/>
      <c r="BX981" s="42" t="s">
        <v>16</v>
      </c>
      <c r="BY981" s="43" t="str">
        <f>IF(VLOOKUP(BX981,βοηθητικό!$J$2:$N$354,3,FALSE)="","",VLOOKUP(BX981,βοηθητικό!$J$2:$N$354,3,FALSE))</f>
        <v>_</v>
      </c>
      <c r="BZ981" s="44"/>
      <c r="CA981" s="45" t="s">
        <v>16</v>
      </c>
      <c r="CB981" s="46" t="str">
        <f>IF(VLOOKUP(CA981,βοηθητικό!$J$2:$N$354,3,FALSE)="","",VLOOKUP(CA981,βοηθητικό!$J$2:$N$354,3,FALSE))</f>
        <v>_</v>
      </c>
      <c r="CC981" s="47"/>
      <c r="CD981" s="42" t="s">
        <v>16</v>
      </c>
      <c r="CE981" s="43" t="str">
        <f>IF(VLOOKUP(CD981,βοηθητικό!$J$2:$N$354,3,FALSE)="","",VLOOKUP(CD981,βοηθητικό!$J$2:$N$354,3,FALSE))</f>
        <v>_</v>
      </c>
      <c r="CF981" s="44"/>
      <c r="CG981" s="45" t="s">
        <v>16</v>
      </c>
      <c r="CH981" s="46" t="str">
        <f>IF(VLOOKUP(CG981,βοηθητικό!$J$2:$N$354,3,FALSE)="","",VLOOKUP(CG981,βοηθητικό!$J$2:$N$354,3,FALSE))</f>
        <v>_</v>
      </c>
      <c r="CI981" s="47"/>
      <c r="CJ981" s="42" t="s">
        <v>16</v>
      </c>
      <c r="CK981" s="43" t="str">
        <f>IF(VLOOKUP(CJ981,βοηθητικό!$J$2:$N$354,3,FALSE)="","",VLOOKUP(CJ981,βοηθητικό!$J$2:$N$354,3,FALSE))</f>
        <v>_</v>
      </c>
      <c r="CL981" s="44"/>
      <c r="CM981" s="45" t="s">
        <v>16</v>
      </c>
      <c r="CN981" s="46" t="str">
        <f>IF(VLOOKUP(CM981,βοηθητικό!$J$2:$N$354,3,FALSE)="","",VLOOKUP(CM981,βοηθητικό!$J$2:$N$354,3,FALSE))</f>
        <v>_</v>
      </c>
      <c r="CO981" s="47"/>
      <c r="CP981" s="42" t="s">
        <v>16</v>
      </c>
      <c r="CQ981" s="43" t="str">
        <f>IF(VLOOKUP(CP981,βοηθητικό!$J$2:$N$354,3,FALSE)="","",VLOOKUP(CP981,βοηθητικό!$J$2:$N$354,3,FALSE))</f>
        <v>_</v>
      </c>
      <c r="CR981" s="44"/>
      <c r="CS981" s="45" t="s">
        <v>16</v>
      </c>
      <c r="CT981" s="46" t="str">
        <f>IF(VLOOKUP(CS981,βοηθητικό!$J$2:$N$354,3,FALSE)="","",VLOOKUP(CS981,βοηθητικό!$J$2:$N$354,3,FALSE))</f>
        <v>_</v>
      </c>
      <c r="CU981" s="47"/>
    </row>
    <row r="982" spans="1:99" x14ac:dyDescent="0.25">
      <c r="A982" s="37">
        <f>--SUBTOTAL(3,$B$3:B981)</f>
        <v>198</v>
      </c>
      <c r="B982" s="2"/>
      <c r="C982" s="3"/>
      <c r="D982" s="55" t="s">
        <v>18</v>
      </c>
      <c r="E982" s="38" t="s">
        <v>16</v>
      </c>
      <c r="F982" s="38"/>
      <c r="G982" s="39" t="str">
        <f t="shared" si="47"/>
        <v>__</v>
      </c>
      <c r="H982" s="40" t="str">
        <f t="shared" si="48"/>
        <v>FALSE</v>
      </c>
      <c r="I982" s="41">
        <f t="shared" si="49"/>
        <v>0</v>
      </c>
      <c r="J982" s="4" t="s">
        <v>16</v>
      </c>
      <c r="K982" s="43" t="str">
        <f>IF(VLOOKUP(J982,βοηθητικό!$J$2:$N$354,3,FALSE)="","",VLOOKUP(J982,βοηθητικό!$J$2:$N$354,3,FALSE))</f>
        <v>_</v>
      </c>
      <c r="L982" s="44"/>
      <c r="M982" s="5" t="s">
        <v>16</v>
      </c>
      <c r="N982" s="46" t="str">
        <f>IF(VLOOKUP(M982,βοηθητικό!$J$2:$N$354,3,FALSE)="","",VLOOKUP(M982,βοηθητικό!$J$2:$N$354,3,FALSE))</f>
        <v>_</v>
      </c>
      <c r="O982" s="47"/>
      <c r="P982" s="4" t="s">
        <v>16</v>
      </c>
      <c r="Q982" s="43" t="str">
        <f>IF(VLOOKUP(P982,βοηθητικό!$J$2:$N$354,3,FALSE)="","",VLOOKUP(P982,βοηθητικό!$J$2:$N$354,3,FALSE))</f>
        <v>_</v>
      </c>
      <c r="R982" s="44"/>
      <c r="S982" s="5" t="s">
        <v>16</v>
      </c>
      <c r="T982" s="46" t="str">
        <f>IF(VLOOKUP(S982,βοηθητικό!$J$2:$N$354,3,FALSE)="","",VLOOKUP(S982,βοηθητικό!$J$2:$N$354,3,FALSE))</f>
        <v>_</v>
      </c>
      <c r="U982" s="47"/>
      <c r="V982" s="4" t="s">
        <v>16</v>
      </c>
      <c r="W982" s="43" t="str">
        <f>IF(VLOOKUP(V982,βοηθητικό!$J$2:$N$354,3,FALSE)="","",VLOOKUP(V982,βοηθητικό!$J$2:$N$354,3,FALSE))</f>
        <v>_</v>
      </c>
      <c r="X982" s="44"/>
      <c r="Y982" s="5" t="s">
        <v>16</v>
      </c>
      <c r="Z982" s="46" t="str">
        <f>IF(VLOOKUP(Y982,βοηθητικό!$J$2:$N$354,3,FALSE)="","",VLOOKUP(Y982,βοηθητικό!$J$2:$N$354,3,FALSE))</f>
        <v>_</v>
      </c>
      <c r="AA982" s="47"/>
      <c r="AB982" s="4" t="s">
        <v>16</v>
      </c>
      <c r="AC982" s="43" t="str">
        <f>IF(VLOOKUP(AB982,βοηθητικό!$J$2:$N$354,3,FALSE)="","",VLOOKUP(AB982,βοηθητικό!$J$2:$N$354,3,FALSE))</f>
        <v>_</v>
      </c>
      <c r="AD982" s="44"/>
      <c r="AE982" s="5" t="s">
        <v>16</v>
      </c>
      <c r="AF982" s="46" t="str">
        <f>IF(VLOOKUP(AE982,βοηθητικό!$J$2:$N$354,3,FALSE)="","",VLOOKUP(AE982,βοηθητικό!$J$2:$N$354,3,FALSE))</f>
        <v>_</v>
      </c>
      <c r="AG982" s="47"/>
      <c r="AH982" s="4" t="s">
        <v>16</v>
      </c>
      <c r="AI982" s="43" t="str">
        <f>IF(VLOOKUP(AH982,βοηθητικό!$J$2:$N$354,3,FALSE)="","",VLOOKUP(AH982,βοηθητικό!$J$2:$N$354,3,FALSE))</f>
        <v>_</v>
      </c>
      <c r="AJ982" s="44"/>
      <c r="AK982" s="5" t="s">
        <v>16</v>
      </c>
      <c r="AL982" s="46" t="str">
        <f>IF(VLOOKUP(AK982,βοηθητικό!$J$2:$N$354,3,FALSE)="","",VLOOKUP(AK982,βοηθητικό!$J$2:$N$354,3,FALSE))</f>
        <v>_</v>
      </c>
      <c r="AM982" s="47"/>
      <c r="AN982" s="4" t="s">
        <v>16</v>
      </c>
      <c r="AO982" s="43" t="str">
        <f>IF(VLOOKUP(AN982,βοηθητικό!$J$2:$N$354,3,FALSE)="","",VLOOKUP(AN982,βοηθητικό!$J$2:$N$354,3,FALSE))</f>
        <v>_</v>
      </c>
      <c r="AP982" s="44"/>
      <c r="AQ982" s="5" t="s">
        <v>16</v>
      </c>
      <c r="AR982" s="46" t="str">
        <f>IF(VLOOKUP(AQ982,βοηθητικό!$J$2:$N$354,3,FALSE)="","",VLOOKUP(AQ982,βοηθητικό!$J$2:$N$354,3,FALSE))</f>
        <v>_</v>
      </c>
      <c r="AS982" s="47"/>
      <c r="AT982" s="4" t="s">
        <v>16</v>
      </c>
      <c r="AU982" s="43" t="str">
        <f>IF(VLOOKUP(AT982,βοηθητικό!$J$2:$N$354,3,FALSE)="","",VLOOKUP(AT982,βοηθητικό!$J$2:$N$354,3,FALSE))</f>
        <v>_</v>
      </c>
      <c r="AV982" s="44"/>
      <c r="AW982" s="5" t="s">
        <v>16</v>
      </c>
      <c r="AX982" s="46" t="str">
        <f>IF(VLOOKUP(AW982,βοηθητικό!$J$2:$N$354,3,FALSE)="","",VLOOKUP(AW982,βοηθητικό!$J$2:$N$354,3,FALSE))</f>
        <v>_</v>
      </c>
      <c r="AY982" s="47"/>
      <c r="AZ982" s="4" t="s">
        <v>16</v>
      </c>
      <c r="BA982" s="43" t="str">
        <f>IF(VLOOKUP(AZ982,βοηθητικό!$J$2:$N$354,3,FALSE)="","",VLOOKUP(AZ982,βοηθητικό!$J$2:$N$354,3,FALSE))</f>
        <v>_</v>
      </c>
      <c r="BB982" s="44"/>
      <c r="BC982" s="45" t="s">
        <v>16</v>
      </c>
      <c r="BD982" s="46" t="str">
        <f>IF(VLOOKUP(BC982,βοηθητικό!$J$2:$N$354,3,FALSE)="","",VLOOKUP(BC982,βοηθητικό!$J$2:$N$354,3,FALSE))</f>
        <v>_</v>
      </c>
      <c r="BE982" s="47"/>
      <c r="BF982" s="42" t="s">
        <v>16</v>
      </c>
      <c r="BG982" s="43" t="str">
        <f>IF(VLOOKUP(BF982,βοηθητικό!$J$2:$N$354,3,FALSE)="","",VLOOKUP(BF982,βοηθητικό!$J$2:$N$354,3,FALSE))</f>
        <v>_</v>
      </c>
      <c r="BH982" s="44"/>
      <c r="BI982" s="45" t="s">
        <v>16</v>
      </c>
      <c r="BJ982" s="46" t="str">
        <f>IF(VLOOKUP(BI982,βοηθητικό!$J$2:$N$354,3,FALSE)="","",VLOOKUP(BI982,βοηθητικό!$J$2:$N$354,3,FALSE))</f>
        <v>_</v>
      </c>
      <c r="BK982" s="47"/>
      <c r="BL982" s="42" t="s">
        <v>16</v>
      </c>
      <c r="BM982" s="43" t="str">
        <f>IF(VLOOKUP(BL982,βοηθητικό!$J$2:$N$354,3,FALSE)="","",VLOOKUP(BL982,βοηθητικό!$J$2:$N$354,3,FALSE))</f>
        <v>_</v>
      </c>
      <c r="BN982" s="44"/>
      <c r="BO982" s="45" t="s">
        <v>16</v>
      </c>
      <c r="BP982" s="46" t="str">
        <f>IF(VLOOKUP(BO982,βοηθητικό!$J$2:$N$354,3,FALSE)="","",VLOOKUP(BO982,βοηθητικό!$J$2:$N$354,3,FALSE))</f>
        <v>_</v>
      </c>
      <c r="BQ982" s="47"/>
      <c r="BR982" s="42" t="s">
        <v>16</v>
      </c>
      <c r="BS982" s="43" t="str">
        <f>IF(VLOOKUP(BR982,βοηθητικό!$J$2:$N$354,3,FALSE)="","",VLOOKUP(BR982,βοηθητικό!$J$2:$N$354,3,FALSE))</f>
        <v>_</v>
      </c>
      <c r="BT982" s="44"/>
      <c r="BU982" s="45" t="s">
        <v>16</v>
      </c>
      <c r="BV982" s="46" t="str">
        <f>IF(VLOOKUP(BU982,βοηθητικό!$J$2:$N$354,3,FALSE)="","",VLOOKUP(BU982,βοηθητικό!$J$2:$N$354,3,FALSE))</f>
        <v>_</v>
      </c>
      <c r="BW982" s="47"/>
      <c r="BX982" s="42" t="s">
        <v>16</v>
      </c>
      <c r="BY982" s="43" t="str">
        <f>IF(VLOOKUP(BX982,βοηθητικό!$J$2:$N$354,3,FALSE)="","",VLOOKUP(BX982,βοηθητικό!$J$2:$N$354,3,FALSE))</f>
        <v>_</v>
      </c>
      <c r="BZ982" s="44"/>
      <c r="CA982" s="45" t="s">
        <v>16</v>
      </c>
      <c r="CB982" s="46" t="str">
        <f>IF(VLOOKUP(CA982,βοηθητικό!$J$2:$N$354,3,FALSE)="","",VLOOKUP(CA982,βοηθητικό!$J$2:$N$354,3,FALSE))</f>
        <v>_</v>
      </c>
      <c r="CC982" s="47"/>
      <c r="CD982" s="42" t="s">
        <v>16</v>
      </c>
      <c r="CE982" s="43" t="str">
        <f>IF(VLOOKUP(CD982,βοηθητικό!$J$2:$N$354,3,FALSE)="","",VLOOKUP(CD982,βοηθητικό!$J$2:$N$354,3,FALSE))</f>
        <v>_</v>
      </c>
      <c r="CF982" s="44"/>
      <c r="CG982" s="45" t="s">
        <v>16</v>
      </c>
      <c r="CH982" s="46" t="str">
        <f>IF(VLOOKUP(CG982,βοηθητικό!$J$2:$N$354,3,FALSE)="","",VLOOKUP(CG982,βοηθητικό!$J$2:$N$354,3,FALSE))</f>
        <v>_</v>
      </c>
      <c r="CI982" s="47"/>
      <c r="CJ982" s="42" t="s">
        <v>16</v>
      </c>
      <c r="CK982" s="43" t="str">
        <f>IF(VLOOKUP(CJ982,βοηθητικό!$J$2:$N$354,3,FALSE)="","",VLOOKUP(CJ982,βοηθητικό!$J$2:$N$354,3,FALSE))</f>
        <v>_</v>
      </c>
      <c r="CL982" s="44"/>
      <c r="CM982" s="45" t="s">
        <v>16</v>
      </c>
      <c r="CN982" s="46" t="str">
        <f>IF(VLOOKUP(CM982,βοηθητικό!$J$2:$N$354,3,FALSE)="","",VLOOKUP(CM982,βοηθητικό!$J$2:$N$354,3,FALSE))</f>
        <v>_</v>
      </c>
      <c r="CO982" s="47"/>
      <c r="CP982" s="42" t="s">
        <v>16</v>
      </c>
      <c r="CQ982" s="43" t="str">
        <f>IF(VLOOKUP(CP982,βοηθητικό!$J$2:$N$354,3,FALSE)="","",VLOOKUP(CP982,βοηθητικό!$J$2:$N$354,3,FALSE))</f>
        <v>_</v>
      </c>
      <c r="CR982" s="44"/>
      <c r="CS982" s="45" t="s">
        <v>16</v>
      </c>
      <c r="CT982" s="46" t="str">
        <f>IF(VLOOKUP(CS982,βοηθητικό!$J$2:$N$354,3,FALSE)="","",VLOOKUP(CS982,βοηθητικό!$J$2:$N$354,3,FALSE))</f>
        <v>_</v>
      </c>
      <c r="CU982" s="47"/>
    </row>
    <row r="983" spans="1:99" x14ac:dyDescent="0.25">
      <c r="A983" s="37">
        <f>--SUBTOTAL(3,$B$3:B982)</f>
        <v>198</v>
      </c>
      <c r="B983" s="2"/>
      <c r="C983" s="3"/>
      <c r="D983" s="55" t="s">
        <v>18</v>
      </c>
      <c r="E983" s="38" t="s">
        <v>16</v>
      </c>
      <c r="F983" s="38"/>
      <c r="G983" s="39" t="str">
        <f t="shared" si="47"/>
        <v>__</v>
      </c>
      <c r="H983" s="40" t="str">
        <f t="shared" si="48"/>
        <v>FALSE</v>
      </c>
      <c r="I983" s="41">
        <f t="shared" si="49"/>
        <v>0</v>
      </c>
      <c r="J983" s="4" t="s">
        <v>16</v>
      </c>
      <c r="K983" s="43" t="str">
        <f>IF(VLOOKUP(J983,βοηθητικό!$J$2:$N$354,3,FALSE)="","",VLOOKUP(J983,βοηθητικό!$J$2:$N$354,3,FALSE))</f>
        <v>_</v>
      </c>
      <c r="L983" s="44"/>
      <c r="M983" s="5" t="s">
        <v>16</v>
      </c>
      <c r="N983" s="46" t="str">
        <f>IF(VLOOKUP(M983,βοηθητικό!$J$2:$N$354,3,FALSE)="","",VLOOKUP(M983,βοηθητικό!$J$2:$N$354,3,FALSE))</f>
        <v>_</v>
      </c>
      <c r="O983" s="47"/>
      <c r="P983" s="4" t="s">
        <v>16</v>
      </c>
      <c r="Q983" s="43" t="str">
        <f>IF(VLOOKUP(P983,βοηθητικό!$J$2:$N$354,3,FALSE)="","",VLOOKUP(P983,βοηθητικό!$J$2:$N$354,3,FALSE))</f>
        <v>_</v>
      </c>
      <c r="R983" s="44"/>
      <c r="S983" s="5" t="s">
        <v>16</v>
      </c>
      <c r="T983" s="46" t="str">
        <f>IF(VLOOKUP(S983,βοηθητικό!$J$2:$N$354,3,FALSE)="","",VLOOKUP(S983,βοηθητικό!$J$2:$N$354,3,FALSE))</f>
        <v>_</v>
      </c>
      <c r="U983" s="47"/>
      <c r="V983" s="4" t="s">
        <v>16</v>
      </c>
      <c r="W983" s="43" t="str">
        <f>IF(VLOOKUP(V983,βοηθητικό!$J$2:$N$354,3,FALSE)="","",VLOOKUP(V983,βοηθητικό!$J$2:$N$354,3,FALSE))</f>
        <v>_</v>
      </c>
      <c r="X983" s="44"/>
      <c r="Y983" s="5" t="s">
        <v>16</v>
      </c>
      <c r="Z983" s="46" t="str">
        <f>IF(VLOOKUP(Y983,βοηθητικό!$J$2:$N$354,3,FALSE)="","",VLOOKUP(Y983,βοηθητικό!$J$2:$N$354,3,FALSE))</f>
        <v>_</v>
      </c>
      <c r="AA983" s="47"/>
      <c r="AB983" s="4" t="s">
        <v>16</v>
      </c>
      <c r="AC983" s="43" t="str">
        <f>IF(VLOOKUP(AB983,βοηθητικό!$J$2:$N$354,3,FALSE)="","",VLOOKUP(AB983,βοηθητικό!$J$2:$N$354,3,FALSE))</f>
        <v>_</v>
      </c>
      <c r="AD983" s="44"/>
      <c r="AE983" s="5" t="s">
        <v>16</v>
      </c>
      <c r="AF983" s="46" t="str">
        <f>IF(VLOOKUP(AE983,βοηθητικό!$J$2:$N$354,3,FALSE)="","",VLOOKUP(AE983,βοηθητικό!$J$2:$N$354,3,FALSE))</f>
        <v>_</v>
      </c>
      <c r="AG983" s="47"/>
      <c r="AH983" s="4" t="s">
        <v>16</v>
      </c>
      <c r="AI983" s="43" t="str">
        <f>IF(VLOOKUP(AH983,βοηθητικό!$J$2:$N$354,3,FALSE)="","",VLOOKUP(AH983,βοηθητικό!$J$2:$N$354,3,FALSE))</f>
        <v>_</v>
      </c>
      <c r="AJ983" s="44"/>
      <c r="AK983" s="5" t="s">
        <v>16</v>
      </c>
      <c r="AL983" s="46" t="str">
        <f>IF(VLOOKUP(AK983,βοηθητικό!$J$2:$N$354,3,FALSE)="","",VLOOKUP(AK983,βοηθητικό!$J$2:$N$354,3,FALSE))</f>
        <v>_</v>
      </c>
      <c r="AM983" s="47"/>
      <c r="AN983" s="4" t="s">
        <v>16</v>
      </c>
      <c r="AO983" s="43" t="str">
        <f>IF(VLOOKUP(AN983,βοηθητικό!$J$2:$N$354,3,FALSE)="","",VLOOKUP(AN983,βοηθητικό!$J$2:$N$354,3,FALSE))</f>
        <v>_</v>
      </c>
      <c r="AP983" s="44"/>
      <c r="AQ983" s="5" t="s">
        <v>16</v>
      </c>
      <c r="AR983" s="46" t="str">
        <f>IF(VLOOKUP(AQ983,βοηθητικό!$J$2:$N$354,3,FALSE)="","",VLOOKUP(AQ983,βοηθητικό!$J$2:$N$354,3,FALSE))</f>
        <v>_</v>
      </c>
      <c r="AS983" s="47"/>
      <c r="AT983" s="4" t="s">
        <v>16</v>
      </c>
      <c r="AU983" s="43" t="str">
        <f>IF(VLOOKUP(AT983,βοηθητικό!$J$2:$N$354,3,FALSE)="","",VLOOKUP(AT983,βοηθητικό!$J$2:$N$354,3,FALSE))</f>
        <v>_</v>
      </c>
      <c r="AV983" s="44"/>
      <c r="AW983" s="5" t="s">
        <v>16</v>
      </c>
      <c r="AX983" s="46" t="str">
        <f>IF(VLOOKUP(AW983,βοηθητικό!$J$2:$N$354,3,FALSE)="","",VLOOKUP(AW983,βοηθητικό!$J$2:$N$354,3,FALSE))</f>
        <v>_</v>
      </c>
      <c r="AY983" s="47"/>
      <c r="AZ983" s="4" t="s">
        <v>16</v>
      </c>
      <c r="BA983" s="43" t="str">
        <f>IF(VLOOKUP(AZ983,βοηθητικό!$J$2:$N$354,3,FALSE)="","",VLOOKUP(AZ983,βοηθητικό!$J$2:$N$354,3,FALSE))</f>
        <v>_</v>
      </c>
      <c r="BB983" s="44"/>
      <c r="BC983" s="45" t="s">
        <v>16</v>
      </c>
      <c r="BD983" s="46" t="str">
        <f>IF(VLOOKUP(BC983,βοηθητικό!$J$2:$N$354,3,FALSE)="","",VLOOKUP(BC983,βοηθητικό!$J$2:$N$354,3,FALSE))</f>
        <v>_</v>
      </c>
      <c r="BE983" s="47"/>
      <c r="BF983" s="42" t="s">
        <v>16</v>
      </c>
      <c r="BG983" s="43" t="str">
        <f>IF(VLOOKUP(BF983,βοηθητικό!$J$2:$N$354,3,FALSE)="","",VLOOKUP(BF983,βοηθητικό!$J$2:$N$354,3,FALSE))</f>
        <v>_</v>
      </c>
      <c r="BH983" s="44"/>
      <c r="BI983" s="45" t="s">
        <v>16</v>
      </c>
      <c r="BJ983" s="46" t="str">
        <f>IF(VLOOKUP(BI983,βοηθητικό!$J$2:$N$354,3,FALSE)="","",VLOOKUP(BI983,βοηθητικό!$J$2:$N$354,3,FALSE))</f>
        <v>_</v>
      </c>
      <c r="BK983" s="47"/>
      <c r="BL983" s="42" t="s">
        <v>16</v>
      </c>
      <c r="BM983" s="43" t="str">
        <f>IF(VLOOKUP(BL983,βοηθητικό!$J$2:$N$354,3,FALSE)="","",VLOOKUP(BL983,βοηθητικό!$J$2:$N$354,3,FALSE))</f>
        <v>_</v>
      </c>
      <c r="BN983" s="44"/>
      <c r="BO983" s="45" t="s">
        <v>16</v>
      </c>
      <c r="BP983" s="46" t="str">
        <f>IF(VLOOKUP(BO983,βοηθητικό!$J$2:$N$354,3,FALSE)="","",VLOOKUP(BO983,βοηθητικό!$J$2:$N$354,3,FALSE))</f>
        <v>_</v>
      </c>
      <c r="BQ983" s="47"/>
      <c r="BR983" s="42" t="s">
        <v>16</v>
      </c>
      <c r="BS983" s="43" t="str">
        <f>IF(VLOOKUP(BR983,βοηθητικό!$J$2:$N$354,3,FALSE)="","",VLOOKUP(BR983,βοηθητικό!$J$2:$N$354,3,FALSE))</f>
        <v>_</v>
      </c>
      <c r="BT983" s="44"/>
      <c r="BU983" s="45" t="s">
        <v>16</v>
      </c>
      <c r="BV983" s="46" t="str">
        <f>IF(VLOOKUP(BU983,βοηθητικό!$J$2:$N$354,3,FALSE)="","",VLOOKUP(BU983,βοηθητικό!$J$2:$N$354,3,FALSE))</f>
        <v>_</v>
      </c>
      <c r="BW983" s="47"/>
      <c r="BX983" s="42" t="s">
        <v>16</v>
      </c>
      <c r="BY983" s="43" t="str">
        <f>IF(VLOOKUP(BX983,βοηθητικό!$J$2:$N$354,3,FALSE)="","",VLOOKUP(BX983,βοηθητικό!$J$2:$N$354,3,FALSE))</f>
        <v>_</v>
      </c>
      <c r="BZ983" s="44"/>
      <c r="CA983" s="45" t="s">
        <v>16</v>
      </c>
      <c r="CB983" s="46" t="str">
        <f>IF(VLOOKUP(CA983,βοηθητικό!$J$2:$N$354,3,FALSE)="","",VLOOKUP(CA983,βοηθητικό!$J$2:$N$354,3,FALSE))</f>
        <v>_</v>
      </c>
      <c r="CC983" s="47"/>
      <c r="CD983" s="42" t="s">
        <v>16</v>
      </c>
      <c r="CE983" s="43" t="str">
        <f>IF(VLOOKUP(CD983,βοηθητικό!$J$2:$N$354,3,FALSE)="","",VLOOKUP(CD983,βοηθητικό!$J$2:$N$354,3,FALSE))</f>
        <v>_</v>
      </c>
      <c r="CF983" s="44"/>
      <c r="CG983" s="45" t="s">
        <v>16</v>
      </c>
      <c r="CH983" s="46" t="str">
        <f>IF(VLOOKUP(CG983,βοηθητικό!$J$2:$N$354,3,FALSE)="","",VLOOKUP(CG983,βοηθητικό!$J$2:$N$354,3,FALSE))</f>
        <v>_</v>
      </c>
      <c r="CI983" s="47"/>
      <c r="CJ983" s="42" t="s">
        <v>16</v>
      </c>
      <c r="CK983" s="43" t="str">
        <f>IF(VLOOKUP(CJ983,βοηθητικό!$J$2:$N$354,3,FALSE)="","",VLOOKUP(CJ983,βοηθητικό!$J$2:$N$354,3,FALSE))</f>
        <v>_</v>
      </c>
      <c r="CL983" s="44"/>
      <c r="CM983" s="45" t="s">
        <v>16</v>
      </c>
      <c r="CN983" s="46" t="str">
        <f>IF(VLOOKUP(CM983,βοηθητικό!$J$2:$N$354,3,FALSE)="","",VLOOKUP(CM983,βοηθητικό!$J$2:$N$354,3,FALSE))</f>
        <v>_</v>
      </c>
      <c r="CO983" s="47"/>
      <c r="CP983" s="42" t="s">
        <v>16</v>
      </c>
      <c r="CQ983" s="43" t="str">
        <f>IF(VLOOKUP(CP983,βοηθητικό!$J$2:$N$354,3,FALSE)="","",VLOOKUP(CP983,βοηθητικό!$J$2:$N$354,3,FALSE))</f>
        <v>_</v>
      </c>
      <c r="CR983" s="44"/>
      <c r="CS983" s="45" t="s">
        <v>16</v>
      </c>
      <c r="CT983" s="46" t="str">
        <f>IF(VLOOKUP(CS983,βοηθητικό!$J$2:$N$354,3,FALSE)="","",VLOOKUP(CS983,βοηθητικό!$J$2:$N$354,3,FALSE))</f>
        <v>_</v>
      </c>
      <c r="CU983" s="47"/>
    </row>
    <row r="984" spans="1:99" x14ac:dyDescent="0.25">
      <c r="A984" s="37">
        <f>--SUBTOTAL(3,$B$3:B983)</f>
        <v>198</v>
      </c>
      <c r="B984" s="2"/>
      <c r="C984" s="3"/>
      <c r="D984" s="55" t="s">
        <v>18</v>
      </c>
      <c r="E984" s="38" t="s">
        <v>16</v>
      </c>
      <c r="F984" s="38"/>
      <c r="G984" s="39" t="str">
        <f t="shared" si="47"/>
        <v>__</v>
      </c>
      <c r="H984" s="40" t="str">
        <f t="shared" si="48"/>
        <v>FALSE</v>
      </c>
      <c r="I984" s="41">
        <f t="shared" si="49"/>
        <v>0</v>
      </c>
      <c r="J984" s="4" t="s">
        <v>16</v>
      </c>
      <c r="K984" s="43" t="str">
        <f>IF(VLOOKUP(J984,βοηθητικό!$J$2:$N$354,3,FALSE)="","",VLOOKUP(J984,βοηθητικό!$J$2:$N$354,3,FALSE))</f>
        <v>_</v>
      </c>
      <c r="L984" s="44"/>
      <c r="M984" s="5" t="s">
        <v>16</v>
      </c>
      <c r="N984" s="46" t="str">
        <f>IF(VLOOKUP(M984,βοηθητικό!$J$2:$N$354,3,FALSE)="","",VLOOKUP(M984,βοηθητικό!$J$2:$N$354,3,FALSE))</f>
        <v>_</v>
      </c>
      <c r="O984" s="47"/>
      <c r="P984" s="4" t="s">
        <v>16</v>
      </c>
      <c r="Q984" s="43" t="str">
        <f>IF(VLOOKUP(P984,βοηθητικό!$J$2:$N$354,3,FALSE)="","",VLOOKUP(P984,βοηθητικό!$J$2:$N$354,3,FALSE))</f>
        <v>_</v>
      </c>
      <c r="R984" s="44"/>
      <c r="S984" s="5" t="s">
        <v>16</v>
      </c>
      <c r="T984" s="46" t="str">
        <f>IF(VLOOKUP(S984,βοηθητικό!$J$2:$N$354,3,FALSE)="","",VLOOKUP(S984,βοηθητικό!$J$2:$N$354,3,FALSE))</f>
        <v>_</v>
      </c>
      <c r="U984" s="47"/>
      <c r="V984" s="4" t="s">
        <v>16</v>
      </c>
      <c r="W984" s="43" t="str">
        <f>IF(VLOOKUP(V984,βοηθητικό!$J$2:$N$354,3,FALSE)="","",VLOOKUP(V984,βοηθητικό!$J$2:$N$354,3,FALSE))</f>
        <v>_</v>
      </c>
      <c r="X984" s="44"/>
      <c r="Y984" s="5" t="s">
        <v>16</v>
      </c>
      <c r="Z984" s="46" t="str">
        <f>IF(VLOOKUP(Y984,βοηθητικό!$J$2:$N$354,3,FALSE)="","",VLOOKUP(Y984,βοηθητικό!$J$2:$N$354,3,FALSE))</f>
        <v>_</v>
      </c>
      <c r="AA984" s="47"/>
      <c r="AB984" s="4" t="s">
        <v>16</v>
      </c>
      <c r="AC984" s="43" t="str">
        <f>IF(VLOOKUP(AB984,βοηθητικό!$J$2:$N$354,3,FALSE)="","",VLOOKUP(AB984,βοηθητικό!$J$2:$N$354,3,FALSE))</f>
        <v>_</v>
      </c>
      <c r="AD984" s="44"/>
      <c r="AE984" s="5" t="s">
        <v>16</v>
      </c>
      <c r="AF984" s="46" t="str">
        <f>IF(VLOOKUP(AE984,βοηθητικό!$J$2:$N$354,3,FALSE)="","",VLOOKUP(AE984,βοηθητικό!$J$2:$N$354,3,FALSE))</f>
        <v>_</v>
      </c>
      <c r="AG984" s="47"/>
      <c r="AH984" s="4" t="s">
        <v>16</v>
      </c>
      <c r="AI984" s="43" t="str">
        <f>IF(VLOOKUP(AH984,βοηθητικό!$J$2:$N$354,3,FALSE)="","",VLOOKUP(AH984,βοηθητικό!$J$2:$N$354,3,FALSE))</f>
        <v>_</v>
      </c>
      <c r="AJ984" s="44"/>
      <c r="AK984" s="5" t="s">
        <v>16</v>
      </c>
      <c r="AL984" s="46" t="str">
        <f>IF(VLOOKUP(AK984,βοηθητικό!$J$2:$N$354,3,FALSE)="","",VLOOKUP(AK984,βοηθητικό!$J$2:$N$354,3,FALSE))</f>
        <v>_</v>
      </c>
      <c r="AM984" s="47"/>
      <c r="AN984" s="4" t="s">
        <v>16</v>
      </c>
      <c r="AO984" s="43" t="str">
        <f>IF(VLOOKUP(AN984,βοηθητικό!$J$2:$N$354,3,FALSE)="","",VLOOKUP(AN984,βοηθητικό!$J$2:$N$354,3,FALSE))</f>
        <v>_</v>
      </c>
      <c r="AP984" s="44"/>
      <c r="AQ984" s="5" t="s">
        <v>16</v>
      </c>
      <c r="AR984" s="46" t="str">
        <f>IF(VLOOKUP(AQ984,βοηθητικό!$J$2:$N$354,3,FALSE)="","",VLOOKUP(AQ984,βοηθητικό!$J$2:$N$354,3,FALSE))</f>
        <v>_</v>
      </c>
      <c r="AS984" s="47"/>
      <c r="AT984" s="4" t="s">
        <v>16</v>
      </c>
      <c r="AU984" s="43" t="str">
        <f>IF(VLOOKUP(AT984,βοηθητικό!$J$2:$N$354,3,FALSE)="","",VLOOKUP(AT984,βοηθητικό!$J$2:$N$354,3,FALSE))</f>
        <v>_</v>
      </c>
      <c r="AV984" s="44"/>
      <c r="AW984" s="5" t="s">
        <v>16</v>
      </c>
      <c r="AX984" s="46" t="str">
        <f>IF(VLOOKUP(AW984,βοηθητικό!$J$2:$N$354,3,FALSE)="","",VLOOKUP(AW984,βοηθητικό!$J$2:$N$354,3,FALSE))</f>
        <v>_</v>
      </c>
      <c r="AY984" s="47"/>
      <c r="AZ984" s="4" t="s">
        <v>16</v>
      </c>
      <c r="BA984" s="43" t="str">
        <f>IF(VLOOKUP(AZ984,βοηθητικό!$J$2:$N$354,3,FALSE)="","",VLOOKUP(AZ984,βοηθητικό!$J$2:$N$354,3,FALSE))</f>
        <v>_</v>
      </c>
      <c r="BB984" s="44"/>
      <c r="BC984" s="45" t="s">
        <v>16</v>
      </c>
      <c r="BD984" s="46" t="str">
        <f>IF(VLOOKUP(BC984,βοηθητικό!$J$2:$N$354,3,FALSE)="","",VLOOKUP(BC984,βοηθητικό!$J$2:$N$354,3,FALSE))</f>
        <v>_</v>
      </c>
      <c r="BE984" s="47"/>
      <c r="BF984" s="42" t="s">
        <v>16</v>
      </c>
      <c r="BG984" s="43" t="str">
        <f>IF(VLOOKUP(BF984,βοηθητικό!$J$2:$N$354,3,FALSE)="","",VLOOKUP(BF984,βοηθητικό!$J$2:$N$354,3,FALSE))</f>
        <v>_</v>
      </c>
      <c r="BH984" s="44"/>
      <c r="BI984" s="45" t="s">
        <v>16</v>
      </c>
      <c r="BJ984" s="46" t="str">
        <f>IF(VLOOKUP(BI984,βοηθητικό!$J$2:$N$354,3,FALSE)="","",VLOOKUP(BI984,βοηθητικό!$J$2:$N$354,3,FALSE))</f>
        <v>_</v>
      </c>
      <c r="BK984" s="47"/>
      <c r="BL984" s="42" t="s">
        <v>16</v>
      </c>
      <c r="BM984" s="43" t="str">
        <f>IF(VLOOKUP(BL984,βοηθητικό!$J$2:$N$354,3,FALSE)="","",VLOOKUP(BL984,βοηθητικό!$J$2:$N$354,3,FALSE))</f>
        <v>_</v>
      </c>
      <c r="BN984" s="44"/>
      <c r="BO984" s="45" t="s">
        <v>16</v>
      </c>
      <c r="BP984" s="46" t="str">
        <f>IF(VLOOKUP(BO984,βοηθητικό!$J$2:$N$354,3,FALSE)="","",VLOOKUP(BO984,βοηθητικό!$J$2:$N$354,3,FALSE))</f>
        <v>_</v>
      </c>
      <c r="BQ984" s="47"/>
      <c r="BR984" s="42" t="s">
        <v>16</v>
      </c>
      <c r="BS984" s="43" t="str">
        <f>IF(VLOOKUP(BR984,βοηθητικό!$J$2:$N$354,3,FALSE)="","",VLOOKUP(BR984,βοηθητικό!$J$2:$N$354,3,FALSE))</f>
        <v>_</v>
      </c>
      <c r="BT984" s="44"/>
      <c r="BU984" s="45" t="s">
        <v>16</v>
      </c>
      <c r="BV984" s="46" t="str">
        <f>IF(VLOOKUP(BU984,βοηθητικό!$J$2:$N$354,3,FALSE)="","",VLOOKUP(BU984,βοηθητικό!$J$2:$N$354,3,FALSE))</f>
        <v>_</v>
      </c>
      <c r="BW984" s="47"/>
      <c r="BX984" s="42" t="s">
        <v>16</v>
      </c>
      <c r="BY984" s="43" t="str">
        <f>IF(VLOOKUP(BX984,βοηθητικό!$J$2:$N$354,3,FALSE)="","",VLOOKUP(BX984,βοηθητικό!$J$2:$N$354,3,FALSE))</f>
        <v>_</v>
      </c>
      <c r="BZ984" s="44"/>
      <c r="CA984" s="45" t="s">
        <v>16</v>
      </c>
      <c r="CB984" s="46" t="str">
        <f>IF(VLOOKUP(CA984,βοηθητικό!$J$2:$N$354,3,FALSE)="","",VLOOKUP(CA984,βοηθητικό!$J$2:$N$354,3,FALSE))</f>
        <v>_</v>
      </c>
      <c r="CC984" s="47"/>
      <c r="CD984" s="42" t="s">
        <v>16</v>
      </c>
      <c r="CE984" s="43" t="str">
        <f>IF(VLOOKUP(CD984,βοηθητικό!$J$2:$N$354,3,FALSE)="","",VLOOKUP(CD984,βοηθητικό!$J$2:$N$354,3,FALSE))</f>
        <v>_</v>
      </c>
      <c r="CF984" s="44"/>
      <c r="CG984" s="45" t="s">
        <v>16</v>
      </c>
      <c r="CH984" s="46" t="str">
        <f>IF(VLOOKUP(CG984,βοηθητικό!$J$2:$N$354,3,FALSE)="","",VLOOKUP(CG984,βοηθητικό!$J$2:$N$354,3,FALSE))</f>
        <v>_</v>
      </c>
      <c r="CI984" s="47"/>
      <c r="CJ984" s="42" t="s">
        <v>16</v>
      </c>
      <c r="CK984" s="43" t="str">
        <f>IF(VLOOKUP(CJ984,βοηθητικό!$J$2:$N$354,3,FALSE)="","",VLOOKUP(CJ984,βοηθητικό!$J$2:$N$354,3,FALSE))</f>
        <v>_</v>
      </c>
      <c r="CL984" s="44"/>
      <c r="CM984" s="45" t="s">
        <v>16</v>
      </c>
      <c r="CN984" s="46" t="str">
        <f>IF(VLOOKUP(CM984,βοηθητικό!$J$2:$N$354,3,FALSE)="","",VLOOKUP(CM984,βοηθητικό!$J$2:$N$354,3,FALSE))</f>
        <v>_</v>
      </c>
      <c r="CO984" s="47"/>
      <c r="CP984" s="42" t="s">
        <v>16</v>
      </c>
      <c r="CQ984" s="43" t="str">
        <f>IF(VLOOKUP(CP984,βοηθητικό!$J$2:$N$354,3,FALSE)="","",VLOOKUP(CP984,βοηθητικό!$J$2:$N$354,3,FALSE))</f>
        <v>_</v>
      </c>
      <c r="CR984" s="44"/>
      <c r="CS984" s="45" t="s">
        <v>16</v>
      </c>
      <c r="CT984" s="46" t="str">
        <f>IF(VLOOKUP(CS984,βοηθητικό!$J$2:$N$354,3,FALSE)="","",VLOOKUP(CS984,βοηθητικό!$J$2:$N$354,3,FALSE))</f>
        <v>_</v>
      </c>
      <c r="CU984" s="47"/>
    </row>
    <row r="985" spans="1:99" x14ac:dyDescent="0.25">
      <c r="A985" s="37">
        <f>--SUBTOTAL(3,$B$3:B984)</f>
        <v>198</v>
      </c>
      <c r="B985" s="2"/>
      <c r="C985" s="3"/>
      <c r="D985" s="55" t="s">
        <v>18</v>
      </c>
      <c r="E985" s="38" t="s">
        <v>16</v>
      </c>
      <c r="F985" s="38"/>
      <c r="G985" s="39" t="str">
        <f t="shared" si="47"/>
        <v>__</v>
      </c>
      <c r="H985" s="40" t="str">
        <f t="shared" si="48"/>
        <v>FALSE</v>
      </c>
      <c r="I985" s="41">
        <f t="shared" si="49"/>
        <v>0</v>
      </c>
      <c r="J985" s="4" t="s">
        <v>16</v>
      </c>
      <c r="K985" s="43" t="str">
        <f>IF(VLOOKUP(J985,βοηθητικό!$J$2:$N$354,3,FALSE)="","",VLOOKUP(J985,βοηθητικό!$J$2:$N$354,3,FALSE))</f>
        <v>_</v>
      </c>
      <c r="L985" s="44"/>
      <c r="M985" s="5" t="s">
        <v>16</v>
      </c>
      <c r="N985" s="46" t="str">
        <f>IF(VLOOKUP(M985,βοηθητικό!$J$2:$N$354,3,FALSE)="","",VLOOKUP(M985,βοηθητικό!$J$2:$N$354,3,FALSE))</f>
        <v>_</v>
      </c>
      <c r="O985" s="47"/>
      <c r="P985" s="4" t="s">
        <v>16</v>
      </c>
      <c r="Q985" s="43" t="str">
        <f>IF(VLOOKUP(P985,βοηθητικό!$J$2:$N$354,3,FALSE)="","",VLOOKUP(P985,βοηθητικό!$J$2:$N$354,3,FALSE))</f>
        <v>_</v>
      </c>
      <c r="R985" s="44"/>
      <c r="S985" s="5" t="s">
        <v>16</v>
      </c>
      <c r="T985" s="46" t="str">
        <f>IF(VLOOKUP(S985,βοηθητικό!$J$2:$N$354,3,FALSE)="","",VLOOKUP(S985,βοηθητικό!$J$2:$N$354,3,FALSE))</f>
        <v>_</v>
      </c>
      <c r="U985" s="47"/>
      <c r="V985" s="4" t="s">
        <v>16</v>
      </c>
      <c r="W985" s="43" t="str">
        <f>IF(VLOOKUP(V985,βοηθητικό!$J$2:$N$354,3,FALSE)="","",VLOOKUP(V985,βοηθητικό!$J$2:$N$354,3,FALSE))</f>
        <v>_</v>
      </c>
      <c r="X985" s="44"/>
      <c r="Y985" s="5" t="s">
        <v>16</v>
      </c>
      <c r="Z985" s="46" t="str">
        <f>IF(VLOOKUP(Y985,βοηθητικό!$J$2:$N$354,3,FALSE)="","",VLOOKUP(Y985,βοηθητικό!$J$2:$N$354,3,FALSE))</f>
        <v>_</v>
      </c>
      <c r="AA985" s="47"/>
      <c r="AB985" s="4" t="s">
        <v>16</v>
      </c>
      <c r="AC985" s="43" t="str">
        <f>IF(VLOOKUP(AB985,βοηθητικό!$J$2:$N$354,3,FALSE)="","",VLOOKUP(AB985,βοηθητικό!$J$2:$N$354,3,FALSE))</f>
        <v>_</v>
      </c>
      <c r="AD985" s="44"/>
      <c r="AE985" s="5" t="s">
        <v>16</v>
      </c>
      <c r="AF985" s="46" t="str">
        <f>IF(VLOOKUP(AE985,βοηθητικό!$J$2:$N$354,3,FALSE)="","",VLOOKUP(AE985,βοηθητικό!$J$2:$N$354,3,FALSE))</f>
        <v>_</v>
      </c>
      <c r="AG985" s="47"/>
      <c r="AH985" s="4" t="s">
        <v>16</v>
      </c>
      <c r="AI985" s="43" t="str">
        <f>IF(VLOOKUP(AH985,βοηθητικό!$J$2:$N$354,3,FALSE)="","",VLOOKUP(AH985,βοηθητικό!$J$2:$N$354,3,FALSE))</f>
        <v>_</v>
      </c>
      <c r="AJ985" s="44"/>
      <c r="AK985" s="5" t="s">
        <v>16</v>
      </c>
      <c r="AL985" s="46" t="str">
        <f>IF(VLOOKUP(AK985,βοηθητικό!$J$2:$N$354,3,FALSE)="","",VLOOKUP(AK985,βοηθητικό!$J$2:$N$354,3,FALSE))</f>
        <v>_</v>
      </c>
      <c r="AM985" s="47"/>
      <c r="AN985" s="4" t="s">
        <v>16</v>
      </c>
      <c r="AO985" s="43" t="str">
        <f>IF(VLOOKUP(AN985,βοηθητικό!$J$2:$N$354,3,FALSE)="","",VLOOKUP(AN985,βοηθητικό!$J$2:$N$354,3,FALSE))</f>
        <v>_</v>
      </c>
      <c r="AP985" s="44"/>
      <c r="AQ985" s="5" t="s">
        <v>16</v>
      </c>
      <c r="AR985" s="46" t="str">
        <f>IF(VLOOKUP(AQ985,βοηθητικό!$J$2:$N$354,3,FALSE)="","",VLOOKUP(AQ985,βοηθητικό!$J$2:$N$354,3,FALSE))</f>
        <v>_</v>
      </c>
      <c r="AS985" s="47"/>
      <c r="AT985" s="4" t="s">
        <v>16</v>
      </c>
      <c r="AU985" s="43" t="str">
        <f>IF(VLOOKUP(AT985,βοηθητικό!$J$2:$N$354,3,FALSE)="","",VLOOKUP(AT985,βοηθητικό!$J$2:$N$354,3,FALSE))</f>
        <v>_</v>
      </c>
      <c r="AV985" s="44"/>
      <c r="AW985" s="5" t="s">
        <v>16</v>
      </c>
      <c r="AX985" s="46" t="str">
        <f>IF(VLOOKUP(AW985,βοηθητικό!$J$2:$N$354,3,FALSE)="","",VLOOKUP(AW985,βοηθητικό!$J$2:$N$354,3,FALSE))</f>
        <v>_</v>
      </c>
      <c r="AY985" s="47"/>
      <c r="AZ985" s="4" t="s">
        <v>16</v>
      </c>
      <c r="BA985" s="43" t="str">
        <f>IF(VLOOKUP(AZ985,βοηθητικό!$J$2:$N$354,3,FALSE)="","",VLOOKUP(AZ985,βοηθητικό!$J$2:$N$354,3,FALSE))</f>
        <v>_</v>
      </c>
      <c r="BB985" s="44"/>
      <c r="BC985" s="45" t="s">
        <v>16</v>
      </c>
      <c r="BD985" s="46" t="str">
        <f>IF(VLOOKUP(BC985,βοηθητικό!$J$2:$N$354,3,FALSE)="","",VLOOKUP(BC985,βοηθητικό!$J$2:$N$354,3,FALSE))</f>
        <v>_</v>
      </c>
      <c r="BE985" s="47"/>
      <c r="BF985" s="42" t="s">
        <v>16</v>
      </c>
      <c r="BG985" s="43" t="str">
        <f>IF(VLOOKUP(BF985,βοηθητικό!$J$2:$N$354,3,FALSE)="","",VLOOKUP(BF985,βοηθητικό!$J$2:$N$354,3,FALSE))</f>
        <v>_</v>
      </c>
      <c r="BH985" s="44"/>
      <c r="BI985" s="45" t="s">
        <v>16</v>
      </c>
      <c r="BJ985" s="46" t="str">
        <f>IF(VLOOKUP(BI985,βοηθητικό!$J$2:$N$354,3,FALSE)="","",VLOOKUP(BI985,βοηθητικό!$J$2:$N$354,3,FALSE))</f>
        <v>_</v>
      </c>
      <c r="BK985" s="47"/>
      <c r="BL985" s="42" t="s">
        <v>16</v>
      </c>
      <c r="BM985" s="43" t="str">
        <f>IF(VLOOKUP(BL985,βοηθητικό!$J$2:$N$354,3,FALSE)="","",VLOOKUP(BL985,βοηθητικό!$J$2:$N$354,3,FALSE))</f>
        <v>_</v>
      </c>
      <c r="BN985" s="44"/>
      <c r="BO985" s="45" t="s">
        <v>16</v>
      </c>
      <c r="BP985" s="46" t="str">
        <f>IF(VLOOKUP(BO985,βοηθητικό!$J$2:$N$354,3,FALSE)="","",VLOOKUP(BO985,βοηθητικό!$J$2:$N$354,3,FALSE))</f>
        <v>_</v>
      </c>
      <c r="BQ985" s="47"/>
      <c r="BR985" s="42" t="s">
        <v>16</v>
      </c>
      <c r="BS985" s="43" t="str">
        <f>IF(VLOOKUP(BR985,βοηθητικό!$J$2:$N$354,3,FALSE)="","",VLOOKUP(BR985,βοηθητικό!$J$2:$N$354,3,FALSE))</f>
        <v>_</v>
      </c>
      <c r="BT985" s="44"/>
      <c r="BU985" s="45" t="s">
        <v>16</v>
      </c>
      <c r="BV985" s="46" t="str">
        <f>IF(VLOOKUP(BU985,βοηθητικό!$J$2:$N$354,3,FALSE)="","",VLOOKUP(BU985,βοηθητικό!$J$2:$N$354,3,FALSE))</f>
        <v>_</v>
      </c>
      <c r="BW985" s="47"/>
      <c r="BX985" s="42" t="s">
        <v>16</v>
      </c>
      <c r="BY985" s="43" t="str">
        <f>IF(VLOOKUP(BX985,βοηθητικό!$J$2:$N$354,3,FALSE)="","",VLOOKUP(BX985,βοηθητικό!$J$2:$N$354,3,FALSE))</f>
        <v>_</v>
      </c>
      <c r="BZ985" s="44"/>
      <c r="CA985" s="45" t="s">
        <v>16</v>
      </c>
      <c r="CB985" s="46" t="str">
        <f>IF(VLOOKUP(CA985,βοηθητικό!$J$2:$N$354,3,FALSE)="","",VLOOKUP(CA985,βοηθητικό!$J$2:$N$354,3,FALSE))</f>
        <v>_</v>
      </c>
      <c r="CC985" s="47"/>
      <c r="CD985" s="42" t="s">
        <v>16</v>
      </c>
      <c r="CE985" s="43" t="str">
        <f>IF(VLOOKUP(CD985,βοηθητικό!$J$2:$N$354,3,FALSE)="","",VLOOKUP(CD985,βοηθητικό!$J$2:$N$354,3,FALSE))</f>
        <v>_</v>
      </c>
      <c r="CF985" s="44"/>
      <c r="CG985" s="45" t="s">
        <v>16</v>
      </c>
      <c r="CH985" s="46" t="str">
        <f>IF(VLOOKUP(CG985,βοηθητικό!$J$2:$N$354,3,FALSE)="","",VLOOKUP(CG985,βοηθητικό!$J$2:$N$354,3,FALSE))</f>
        <v>_</v>
      </c>
      <c r="CI985" s="47"/>
      <c r="CJ985" s="42" t="s">
        <v>16</v>
      </c>
      <c r="CK985" s="43" t="str">
        <f>IF(VLOOKUP(CJ985,βοηθητικό!$J$2:$N$354,3,FALSE)="","",VLOOKUP(CJ985,βοηθητικό!$J$2:$N$354,3,FALSE))</f>
        <v>_</v>
      </c>
      <c r="CL985" s="44"/>
      <c r="CM985" s="45" t="s">
        <v>16</v>
      </c>
      <c r="CN985" s="46" t="str">
        <f>IF(VLOOKUP(CM985,βοηθητικό!$J$2:$N$354,3,FALSE)="","",VLOOKUP(CM985,βοηθητικό!$J$2:$N$354,3,FALSE))</f>
        <v>_</v>
      </c>
      <c r="CO985" s="47"/>
      <c r="CP985" s="42" t="s">
        <v>16</v>
      </c>
      <c r="CQ985" s="43" t="str">
        <f>IF(VLOOKUP(CP985,βοηθητικό!$J$2:$N$354,3,FALSE)="","",VLOOKUP(CP985,βοηθητικό!$J$2:$N$354,3,FALSE))</f>
        <v>_</v>
      </c>
      <c r="CR985" s="44"/>
      <c r="CS985" s="45" t="s">
        <v>16</v>
      </c>
      <c r="CT985" s="46" t="str">
        <f>IF(VLOOKUP(CS985,βοηθητικό!$J$2:$N$354,3,FALSE)="","",VLOOKUP(CS985,βοηθητικό!$J$2:$N$354,3,FALSE))</f>
        <v>_</v>
      </c>
      <c r="CU985" s="47"/>
    </row>
    <row r="986" spans="1:99" x14ac:dyDescent="0.25">
      <c r="A986" s="37">
        <f>--SUBTOTAL(3,$B$3:B985)</f>
        <v>198</v>
      </c>
      <c r="B986" s="2"/>
      <c r="C986" s="3"/>
      <c r="D986" s="55" t="s">
        <v>18</v>
      </c>
      <c r="E986" s="38" t="s">
        <v>16</v>
      </c>
      <c r="F986" s="38"/>
      <c r="G986" s="39" t="str">
        <f t="shared" si="47"/>
        <v>__</v>
      </c>
      <c r="H986" s="40" t="str">
        <f t="shared" si="48"/>
        <v>FALSE</v>
      </c>
      <c r="I986" s="41">
        <f t="shared" si="49"/>
        <v>0</v>
      </c>
      <c r="J986" s="4" t="s">
        <v>16</v>
      </c>
      <c r="K986" s="43" t="str">
        <f>IF(VLOOKUP(J986,βοηθητικό!$J$2:$N$354,3,FALSE)="","",VLOOKUP(J986,βοηθητικό!$J$2:$N$354,3,FALSE))</f>
        <v>_</v>
      </c>
      <c r="L986" s="44"/>
      <c r="M986" s="5" t="s">
        <v>16</v>
      </c>
      <c r="N986" s="46" t="str">
        <f>IF(VLOOKUP(M986,βοηθητικό!$J$2:$N$354,3,FALSE)="","",VLOOKUP(M986,βοηθητικό!$J$2:$N$354,3,FALSE))</f>
        <v>_</v>
      </c>
      <c r="O986" s="47"/>
      <c r="P986" s="4" t="s">
        <v>16</v>
      </c>
      <c r="Q986" s="43" t="str">
        <f>IF(VLOOKUP(P986,βοηθητικό!$J$2:$N$354,3,FALSE)="","",VLOOKUP(P986,βοηθητικό!$J$2:$N$354,3,FALSE))</f>
        <v>_</v>
      </c>
      <c r="R986" s="44"/>
      <c r="S986" s="5" t="s">
        <v>16</v>
      </c>
      <c r="T986" s="46" t="str">
        <f>IF(VLOOKUP(S986,βοηθητικό!$J$2:$N$354,3,FALSE)="","",VLOOKUP(S986,βοηθητικό!$J$2:$N$354,3,FALSE))</f>
        <v>_</v>
      </c>
      <c r="U986" s="47"/>
      <c r="V986" s="4" t="s">
        <v>16</v>
      </c>
      <c r="W986" s="43" t="str">
        <f>IF(VLOOKUP(V986,βοηθητικό!$J$2:$N$354,3,FALSE)="","",VLOOKUP(V986,βοηθητικό!$J$2:$N$354,3,FALSE))</f>
        <v>_</v>
      </c>
      <c r="X986" s="44"/>
      <c r="Y986" s="5" t="s">
        <v>16</v>
      </c>
      <c r="Z986" s="46" t="str">
        <f>IF(VLOOKUP(Y986,βοηθητικό!$J$2:$N$354,3,FALSE)="","",VLOOKUP(Y986,βοηθητικό!$J$2:$N$354,3,FALSE))</f>
        <v>_</v>
      </c>
      <c r="AA986" s="47"/>
      <c r="AB986" s="4" t="s">
        <v>16</v>
      </c>
      <c r="AC986" s="43" t="str">
        <f>IF(VLOOKUP(AB986,βοηθητικό!$J$2:$N$354,3,FALSE)="","",VLOOKUP(AB986,βοηθητικό!$J$2:$N$354,3,FALSE))</f>
        <v>_</v>
      </c>
      <c r="AD986" s="44"/>
      <c r="AE986" s="5" t="s">
        <v>16</v>
      </c>
      <c r="AF986" s="46" t="str">
        <f>IF(VLOOKUP(AE986,βοηθητικό!$J$2:$N$354,3,FALSE)="","",VLOOKUP(AE986,βοηθητικό!$J$2:$N$354,3,FALSE))</f>
        <v>_</v>
      </c>
      <c r="AG986" s="47"/>
      <c r="AH986" s="4" t="s">
        <v>16</v>
      </c>
      <c r="AI986" s="43" t="str">
        <f>IF(VLOOKUP(AH986,βοηθητικό!$J$2:$N$354,3,FALSE)="","",VLOOKUP(AH986,βοηθητικό!$J$2:$N$354,3,FALSE))</f>
        <v>_</v>
      </c>
      <c r="AJ986" s="44"/>
      <c r="AK986" s="5" t="s">
        <v>16</v>
      </c>
      <c r="AL986" s="46" t="str">
        <f>IF(VLOOKUP(AK986,βοηθητικό!$J$2:$N$354,3,FALSE)="","",VLOOKUP(AK986,βοηθητικό!$J$2:$N$354,3,FALSE))</f>
        <v>_</v>
      </c>
      <c r="AM986" s="47"/>
      <c r="AN986" s="4" t="s">
        <v>16</v>
      </c>
      <c r="AO986" s="43" t="str">
        <f>IF(VLOOKUP(AN986,βοηθητικό!$J$2:$N$354,3,FALSE)="","",VLOOKUP(AN986,βοηθητικό!$J$2:$N$354,3,FALSE))</f>
        <v>_</v>
      </c>
      <c r="AP986" s="44"/>
      <c r="AQ986" s="5" t="s">
        <v>16</v>
      </c>
      <c r="AR986" s="46" t="str">
        <f>IF(VLOOKUP(AQ986,βοηθητικό!$J$2:$N$354,3,FALSE)="","",VLOOKUP(AQ986,βοηθητικό!$J$2:$N$354,3,FALSE))</f>
        <v>_</v>
      </c>
      <c r="AS986" s="47"/>
      <c r="AT986" s="4" t="s">
        <v>16</v>
      </c>
      <c r="AU986" s="43" t="str">
        <f>IF(VLOOKUP(AT986,βοηθητικό!$J$2:$N$354,3,FALSE)="","",VLOOKUP(AT986,βοηθητικό!$J$2:$N$354,3,FALSE))</f>
        <v>_</v>
      </c>
      <c r="AV986" s="44"/>
      <c r="AW986" s="5" t="s">
        <v>16</v>
      </c>
      <c r="AX986" s="46" t="str">
        <f>IF(VLOOKUP(AW986,βοηθητικό!$J$2:$N$354,3,FALSE)="","",VLOOKUP(AW986,βοηθητικό!$J$2:$N$354,3,FALSE))</f>
        <v>_</v>
      </c>
      <c r="AY986" s="47"/>
      <c r="AZ986" s="4" t="s">
        <v>16</v>
      </c>
      <c r="BA986" s="43" t="str">
        <f>IF(VLOOKUP(AZ986,βοηθητικό!$J$2:$N$354,3,FALSE)="","",VLOOKUP(AZ986,βοηθητικό!$J$2:$N$354,3,FALSE))</f>
        <v>_</v>
      </c>
      <c r="BB986" s="44"/>
      <c r="BC986" s="45" t="s">
        <v>16</v>
      </c>
      <c r="BD986" s="46" t="str">
        <f>IF(VLOOKUP(BC986,βοηθητικό!$J$2:$N$354,3,FALSE)="","",VLOOKUP(BC986,βοηθητικό!$J$2:$N$354,3,FALSE))</f>
        <v>_</v>
      </c>
      <c r="BE986" s="47"/>
      <c r="BF986" s="42" t="s">
        <v>16</v>
      </c>
      <c r="BG986" s="43" t="str">
        <f>IF(VLOOKUP(BF986,βοηθητικό!$J$2:$N$354,3,FALSE)="","",VLOOKUP(BF986,βοηθητικό!$J$2:$N$354,3,FALSE))</f>
        <v>_</v>
      </c>
      <c r="BH986" s="44"/>
      <c r="BI986" s="45" t="s">
        <v>16</v>
      </c>
      <c r="BJ986" s="46" t="str">
        <f>IF(VLOOKUP(BI986,βοηθητικό!$J$2:$N$354,3,FALSE)="","",VLOOKUP(BI986,βοηθητικό!$J$2:$N$354,3,FALSE))</f>
        <v>_</v>
      </c>
      <c r="BK986" s="47"/>
      <c r="BL986" s="42" t="s">
        <v>16</v>
      </c>
      <c r="BM986" s="43" t="str">
        <f>IF(VLOOKUP(BL986,βοηθητικό!$J$2:$N$354,3,FALSE)="","",VLOOKUP(BL986,βοηθητικό!$J$2:$N$354,3,FALSE))</f>
        <v>_</v>
      </c>
      <c r="BN986" s="44"/>
      <c r="BO986" s="45" t="s">
        <v>16</v>
      </c>
      <c r="BP986" s="46" t="str">
        <f>IF(VLOOKUP(BO986,βοηθητικό!$J$2:$N$354,3,FALSE)="","",VLOOKUP(BO986,βοηθητικό!$J$2:$N$354,3,FALSE))</f>
        <v>_</v>
      </c>
      <c r="BQ986" s="47"/>
      <c r="BR986" s="42" t="s">
        <v>16</v>
      </c>
      <c r="BS986" s="43" t="str">
        <f>IF(VLOOKUP(BR986,βοηθητικό!$J$2:$N$354,3,FALSE)="","",VLOOKUP(BR986,βοηθητικό!$J$2:$N$354,3,FALSE))</f>
        <v>_</v>
      </c>
      <c r="BT986" s="44"/>
      <c r="BU986" s="45" t="s">
        <v>16</v>
      </c>
      <c r="BV986" s="46" t="str">
        <f>IF(VLOOKUP(BU986,βοηθητικό!$J$2:$N$354,3,FALSE)="","",VLOOKUP(BU986,βοηθητικό!$J$2:$N$354,3,FALSE))</f>
        <v>_</v>
      </c>
      <c r="BW986" s="47"/>
      <c r="BX986" s="42" t="s">
        <v>16</v>
      </c>
      <c r="BY986" s="43" t="str">
        <f>IF(VLOOKUP(BX986,βοηθητικό!$J$2:$N$354,3,FALSE)="","",VLOOKUP(BX986,βοηθητικό!$J$2:$N$354,3,FALSE))</f>
        <v>_</v>
      </c>
      <c r="BZ986" s="44"/>
      <c r="CA986" s="45" t="s">
        <v>16</v>
      </c>
      <c r="CB986" s="46" t="str">
        <f>IF(VLOOKUP(CA986,βοηθητικό!$J$2:$N$354,3,FALSE)="","",VLOOKUP(CA986,βοηθητικό!$J$2:$N$354,3,FALSE))</f>
        <v>_</v>
      </c>
      <c r="CC986" s="47"/>
      <c r="CD986" s="42" t="s">
        <v>16</v>
      </c>
      <c r="CE986" s="43" t="str">
        <f>IF(VLOOKUP(CD986,βοηθητικό!$J$2:$N$354,3,FALSE)="","",VLOOKUP(CD986,βοηθητικό!$J$2:$N$354,3,FALSE))</f>
        <v>_</v>
      </c>
      <c r="CF986" s="44"/>
      <c r="CG986" s="45" t="s">
        <v>16</v>
      </c>
      <c r="CH986" s="46" t="str">
        <f>IF(VLOOKUP(CG986,βοηθητικό!$J$2:$N$354,3,FALSE)="","",VLOOKUP(CG986,βοηθητικό!$J$2:$N$354,3,FALSE))</f>
        <v>_</v>
      </c>
      <c r="CI986" s="47"/>
      <c r="CJ986" s="42" t="s">
        <v>16</v>
      </c>
      <c r="CK986" s="43" t="str">
        <f>IF(VLOOKUP(CJ986,βοηθητικό!$J$2:$N$354,3,FALSE)="","",VLOOKUP(CJ986,βοηθητικό!$J$2:$N$354,3,FALSE))</f>
        <v>_</v>
      </c>
      <c r="CL986" s="44"/>
      <c r="CM986" s="45" t="s">
        <v>16</v>
      </c>
      <c r="CN986" s="46" t="str">
        <f>IF(VLOOKUP(CM986,βοηθητικό!$J$2:$N$354,3,FALSE)="","",VLOOKUP(CM986,βοηθητικό!$J$2:$N$354,3,FALSE))</f>
        <v>_</v>
      </c>
      <c r="CO986" s="47"/>
      <c r="CP986" s="42" t="s">
        <v>16</v>
      </c>
      <c r="CQ986" s="43" t="str">
        <f>IF(VLOOKUP(CP986,βοηθητικό!$J$2:$N$354,3,FALSE)="","",VLOOKUP(CP986,βοηθητικό!$J$2:$N$354,3,FALSE))</f>
        <v>_</v>
      </c>
      <c r="CR986" s="44"/>
      <c r="CS986" s="45" t="s">
        <v>16</v>
      </c>
      <c r="CT986" s="46" t="str">
        <f>IF(VLOOKUP(CS986,βοηθητικό!$J$2:$N$354,3,FALSE)="","",VLOOKUP(CS986,βοηθητικό!$J$2:$N$354,3,FALSE))</f>
        <v>_</v>
      </c>
      <c r="CU986" s="47"/>
    </row>
    <row r="987" spans="1:99" x14ac:dyDescent="0.25">
      <c r="A987" s="37">
        <f>--SUBTOTAL(3,$B$3:B986)</f>
        <v>198</v>
      </c>
      <c r="B987" s="2"/>
      <c r="C987" s="3"/>
      <c r="D987" s="55" t="s">
        <v>18</v>
      </c>
      <c r="E987" s="38" t="s">
        <v>16</v>
      </c>
      <c r="F987" s="38"/>
      <c r="G987" s="39" t="str">
        <f t="shared" si="47"/>
        <v>__</v>
      </c>
      <c r="H987" s="40" t="str">
        <f t="shared" si="48"/>
        <v>FALSE</v>
      </c>
      <c r="I987" s="41">
        <f t="shared" si="49"/>
        <v>0</v>
      </c>
      <c r="J987" s="4" t="s">
        <v>16</v>
      </c>
      <c r="K987" s="43" t="str">
        <f>IF(VLOOKUP(J987,βοηθητικό!$J$2:$N$354,3,FALSE)="","",VLOOKUP(J987,βοηθητικό!$J$2:$N$354,3,FALSE))</f>
        <v>_</v>
      </c>
      <c r="L987" s="44"/>
      <c r="M987" s="5" t="s">
        <v>16</v>
      </c>
      <c r="N987" s="46" t="str">
        <f>IF(VLOOKUP(M987,βοηθητικό!$J$2:$N$354,3,FALSE)="","",VLOOKUP(M987,βοηθητικό!$J$2:$N$354,3,FALSE))</f>
        <v>_</v>
      </c>
      <c r="O987" s="47"/>
      <c r="P987" s="4" t="s">
        <v>16</v>
      </c>
      <c r="Q987" s="43" t="str">
        <f>IF(VLOOKUP(P987,βοηθητικό!$J$2:$N$354,3,FALSE)="","",VLOOKUP(P987,βοηθητικό!$J$2:$N$354,3,FALSE))</f>
        <v>_</v>
      </c>
      <c r="R987" s="44"/>
      <c r="S987" s="5" t="s">
        <v>16</v>
      </c>
      <c r="T987" s="46" t="str">
        <f>IF(VLOOKUP(S987,βοηθητικό!$J$2:$N$354,3,FALSE)="","",VLOOKUP(S987,βοηθητικό!$J$2:$N$354,3,FALSE))</f>
        <v>_</v>
      </c>
      <c r="U987" s="47"/>
      <c r="V987" s="4" t="s">
        <v>16</v>
      </c>
      <c r="W987" s="43" t="str">
        <f>IF(VLOOKUP(V987,βοηθητικό!$J$2:$N$354,3,FALSE)="","",VLOOKUP(V987,βοηθητικό!$J$2:$N$354,3,FALSE))</f>
        <v>_</v>
      </c>
      <c r="X987" s="44"/>
      <c r="Y987" s="5" t="s">
        <v>16</v>
      </c>
      <c r="Z987" s="46" t="str">
        <f>IF(VLOOKUP(Y987,βοηθητικό!$J$2:$N$354,3,FALSE)="","",VLOOKUP(Y987,βοηθητικό!$J$2:$N$354,3,FALSE))</f>
        <v>_</v>
      </c>
      <c r="AA987" s="47"/>
      <c r="AB987" s="4" t="s">
        <v>16</v>
      </c>
      <c r="AC987" s="43" t="str">
        <f>IF(VLOOKUP(AB987,βοηθητικό!$J$2:$N$354,3,FALSE)="","",VLOOKUP(AB987,βοηθητικό!$J$2:$N$354,3,FALSE))</f>
        <v>_</v>
      </c>
      <c r="AD987" s="44"/>
      <c r="AE987" s="5" t="s">
        <v>16</v>
      </c>
      <c r="AF987" s="46" t="str">
        <f>IF(VLOOKUP(AE987,βοηθητικό!$J$2:$N$354,3,FALSE)="","",VLOOKUP(AE987,βοηθητικό!$J$2:$N$354,3,FALSE))</f>
        <v>_</v>
      </c>
      <c r="AG987" s="47"/>
      <c r="AH987" s="4" t="s">
        <v>16</v>
      </c>
      <c r="AI987" s="43" t="str">
        <f>IF(VLOOKUP(AH987,βοηθητικό!$J$2:$N$354,3,FALSE)="","",VLOOKUP(AH987,βοηθητικό!$J$2:$N$354,3,FALSE))</f>
        <v>_</v>
      </c>
      <c r="AJ987" s="44"/>
      <c r="AK987" s="5" t="s">
        <v>16</v>
      </c>
      <c r="AL987" s="46" t="str">
        <f>IF(VLOOKUP(AK987,βοηθητικό!$J$2:$N$354,3,FALSE)="","",VLOOKUP(AK987,βοηθητικό!$J$2:$N$354,3,FALSE))</f>
        <v>_</v>
      </c>
      <c r="AM987" s="47"/>
      <c r="AN987" s="4" t="s">
        <v>16</v>
      </c>
      <c r="AO987" s="43" t="str">
        <f>IF(VLOOKUP(AN987,βοηθητικό!$J$2:$N$354,3,FALSE)="","",VLOOKUP(AN987,βοηθητικό!$J$2:$N$354,3,FALSE))</f>
        <v>_</v>
      </c>
      <c r="AP987" s="44"/>
      <c r="AQ987" s="5" t="s">
        <v>16</v>
      </c>
      <c r="AR987" s="46" t="str">
        <f>IF(VLOOKUP(AQ987,βοηθητικό!$J$2:$N$354,3,FALSE)="","",VLOOKUP(AQ987,βοηθητικό!$J$2:$N$354,3,FALSE))</f>
        <v>_</v>
      </c>
      <c r="AS987" s="47"/>
      <c r="AT987" s="4" t="s">
        <v>16</v>
      </c>
      <c r="AU987" s="43" t="str">
        <f>IF(VLOOKUP(AT987,βοηθητικό!$J$2:$N$354,3,FALSE)="","",VLOOKUP(AT987,βοηθητικό!$J$2:$N$354,3,FALSE))</f>
        <v>_</v>
      </c>
      <c r="AV987" s="44"/>
      <c r="AW987" s="5" t="s">
        <v>16</v>
      </c>
      <c r="AX987" s="46" t="str">
        <f>IF(VLOOKUP(AW987,βοηθητικό!$J$2:$N$354,3,FALSE)="","",VLOOKUP(AW987,βοηθητικό!$J$2:$N$354,3,FALSE))</f>
        <v>_</v>
      </c>
      <c r="AY987" s="47"/>
      <c r="AZ987" s="4" t="s">
        <v>16</v>
      </c>
      <c r="BA987" s="43" t="str">
        <f>IF(VLOOKUP(AZ987,βοηθητικό!$J$2:$N$354,3,FALSE)="","",VLOOKUP(AZ987,βοηθητικό!$J$2:$N$354,3,FALSE))</f>
        <v>_</v>
      </c>
      <c r="BB987" s="44"/>
      <c r="BC987" s="45" t="s">
        <v>16</v>
      </c>
      <c r="BD987" s="46" t="str">
        <f>IF(VLOOKUP(BC987,βοηθητικό!$J$2:$N$354,3,FALSE)="","",VLOOKUP(BC987,βοηθητικό!$J$2:$N$354,3,FALSE))</f>
        <v>_</v>
      </c>
      <c r="BE987" s="47"/>
      <c r="BF987" s="42" t="s">
        <v>16</v>
      </c>
      <c r="BG987" s="43" t="str">
        <f>IF(VLOOKUP(BF987,βοηθητικό!$J$2:$N$354,3,FALSE)="","",VLOOKUP(BF987,βοηθητικό!$J$2:$N$354,3,FALSE))</f>
        <v>_</v>
      </c>
      <c r="BH987" s="44"/>
      <c r="BI987" s="45" t="s">
        <v>16</v>
      </c>
      <c r="BJ987" s="46" t="str">
        <f>IF(VLOOKUP(BI987,βοηθητικό!$J$2:$N$354,3,FALSE)="","",VLOOKUP(BI987,βοηθητικό!$J$2:$N$354,3,FALSE))</f>
        <v>_</v>
      </c>
      <c r="BK987" s="47"/>
      <c r="BL987" s="42" t="s">
        <v>16</v>
      </c>
      <c r="BM987" s="43" t="str">
        <f>IF(VLOOKUP(BL987,βοηθητικό!$J$2:$N$354,3,FALSE)="","",VLOOKUP(BL987,βοηθητικό!$J$2:$N$354,3,FALSE))</f>
        <v>_</v>
      </c>
      <c r="BN987" s="44"/>
      <c r="BO987" s="45" t="s">
        <v>16</v>
      </c>
      <c r="BP987" s="46" t="str">
        <f>IF(VLOOKUP(BO987,βοηθητικό!$J$2:$N$354,3,FALSE)="","",VLOOKUP(BO987,βοηθητικό!$J$2:$N$354,3,FALSE))</f>
        <v>_</v>
      </c>
      <c r="BQ987" s="47"/>
      <c r="BR987" s="42" t="s">
        <v>16</v>
      </c>
      <c r="BS987" s="43" t="str">
        <f>IF(VLOOKUP(BR987,βοηθητικό!$J$2:$N$354,3,FALSE)="","",VLOOKUP(BR987,βοηθητικό!$J$2:$N$354,3,FALSE))</f>
        <v>_</v>
      </c>
      <c r="BT987" s="44"/>
      <c r="BU987" s="45" t="s">
        <v>16</v>
      </c>
      <c r="BV987" s="46" t="str">
        <f>IF(VLOOKUP(BU987,βοηθητικό!$J$2:$N$354,3,FALSE)="","",VLOOKUP(BU987,βοηθητικό!$J$2:$N$354,3,FALSE))</f>
        <v>_</v>
      </c>
      <c r="BW987" s="47"/>
      <c r="BX987" s="42" t="s">
        <v>16</v>
      </c>
      <c r="BY987" s="43" t="str">
        <f>IF(VLOOKUP(BX987,βοηθητικό!$J$2:$N$354,3,FALSE)="","",VLOOKUP(BX987,βοηθητικό!$J$2:$N$354,3,FALSE))</f>
        <v>_</v>
      </c>
      <c r="BZ987" s="44"/>
      <c r="CA987" s="45" t="s">
        <v>16</v>
      </c>
      <c r="CB987" s="46" t="str">
        <f>IF(VLOOKUP(CA987,βοηθητικό!$J$2:$N$354,3,FALSE)="","",VLOOKUP(CA987,βοηθητικό!$J$2:$N$354,3,FALSE))</f>
        <v>_</v>
      </c>
      <c r="CC987" s="47"/>
      <c r="CD987" s="42" t="s">
        <v>16</v>
      </c>
      <c r="CE987" s="43" t="str">
        <f>IF(VLOOKUP(CD987,βοηθητικό!$J$2:$N$354,3,FALSE)="","",VLOOKUP(CD987,βοηθητικό!$J$2:$N$354,3,FALSE))</f>
        <v>_</v>
      </c>
      <c r="CF987" s="44"/>
      <c r="CG987" s="45" t="s">
        <v>16</v>
      </c>
      <c r="CH987" s="46" t="str">
        <f>IF(VLOOKUP(CG987,βοηθητικό!$J$2:$N$354,3,FALSE)="","",VLOOKUP(CG987,βοηθητικό!$J$2:$N$354,3,FALSE))</f>
        <v>_</v>
      </c>
      <c r="CI987" s="47"/>
      <c r="CJ987" s="42" t="s">
        <v>16</v>
      </c>
      <c r="CK987" s="43" t="str">
        <f>IF(VLOOKUP(CJ987,βοηθητικό!$J$2:$N$354,3,FALSE)="","",VLOOKUP(CJ987,βοηθητικό!$J$2:$N$354,3,FALSE))</f>
        <v>_</v>
      </c>
      <c r="CL987" s="44"/>
      <c r="CM987" s="45" t="s">
        <v>16</v>
      </c>
      <c r="CN987" s="46" t="str">
        <f>IF(VLOOKUP(CM987,βοηθητικό!$J$2:$N$354,3,FALSE)="","",VLOOKUP(CM987,βοηθητικό!$J$2:$N$354,3,FALSE))</f>
        <v>_</v>
      </c>
      <c r="CO987" s="47"/>
      <c r="CP987" s="42" t="s">
        <v>16</v>
      </c>
      <c r="CQ987" s="43" t="str">
        <f>IF(VLOOKUP(CP987,βοηθητικό!$J$2:$N$354,3,FALSE)="","",VLOOKUP(CP987,βοηθητικό!$J$2:$N$354,3,FALSE))</f>
        <v>_</v>
      </c>
      <c r="CR987" s="44"/>
      <c r="CS987" s="45" t="s">
        <v>16</v>
      </c>
      <c r="CT987" s="46" t="str">
        <f>IF(VLOOKUP(CS987,βοηθητικό!$J$2:$N$354,3,FALSE)="","",VLOOKUP(CS987,βοηθητικό!$J$2:$N$354,3,FALSE))</f>
        <v>_</v>
      </c>
      <c r="CU987" s="47"/>
    </row>
    <row r="988" spans="1:99" x14ac:dyDescent="0.25">
      <c r="A988" s="37">
        <f>--SUBTOTAL(3,$B$3:B987)</f>
        <v>198</v>
      </c>
      <c r="B988" s="2"/>
      <c r="C988" s="3"/>
      <c r="D988" s="55" t="s">
        <v>18</v>
      </c>
      <c r="E988" s="38" t="s">
        <v>16</v>
      </c>
      <c r="F988" s="38"/>
      <c r="G988" s="39" t="str">
        <f t="shared" si="47"/>
        <v>__</v>
      </c>
      <c r="H988" s="40" t="str">
        <f t="shared" si="48"/>
        <v>FALSE</v>
      </c>
      <c r="I988" s="41">
        <f t="shared" si="49"/>
        <v>0</v>
      </c>
      <c r="J988" s="4" t="s">
        <v>16</v>
      </c>
      <c r="K988" s="43" t="str">
        <f>IF(VLOOKUP(J988,βοηθητικό!$J$2:$N$354,3,FALSE)="","",VLOOKUP(J988,βοηθητικό!$J$2:$N$354,3,FALSE))</f>
        <v>_</v>
      </c>
      <c r="L988" s="44"/>
      <c r="M988" s="5" t="s">
        <v>16</v>
      </c>
      <c r="N988" s="46" t="str">
        <f>IF(VLOOKUP(M988,βοηθητικό!$J$2:$N$354,3,FALSE)="","",VLOOKUP(M988,βοηθητικό!$J$2:$N$354,3,FALSE))</f>
        <v>_</v>
      </c>
      <c r="O988" s="47"/>
      <c r="P988" s="4" t="s">
        <v>16</v>
      </c>
      <c r="Q988" s="43" t="str">
        <f>IF(VLOOKUP(P988,βοηθητικό!$J$2:$N$354,3,FALSE)="","",VLOOKUP(P988,βοηθητικό!$J$2:$N$354,3,FALSE))</f>
        <v>_</v>
      </c>
      <c r="R988" s="44"/>
      <c r="S988" s="5" t="s">
        <v>16</v>
      </c>
      <c r="T988" s="46" t="str">
        <f>IF(VLOOKUP(S988,βοηθητικό!$J$2:$N$354,3,FALSE)="","",VLOOKUP(S988,βοηθητικό!$J$2:$N$354,3,FALSE))</f>
        <v>_</v>
      </c>
      <c r="U988" s="47"/>
      <c r="V988" s="4" t="s">
        <v>16</v>
      </c>
      <c r="W988" s="43" t="str">
        <f>IF(VLOOKUP(V988,βοηθητικό!$J$2:$N$354,3,FALSE)="","",VLOOKUP(V988,βοηθητικό!$J$2:$N$354,3,FALSE))</f>
        <v>_</v>
      </c>
      <c r="X988" s="44"/>
      <c r="Y988" s="5" t="s">
        <v>16</v>
      </c>
      <c r="Z988" s="46" t="str">
        <f>IF(VLOOKUP(Y988,βοηθητικό!$J$2:$N$354,3,FALSE)="","",VLOOKUP(Y988,βοηθητικό!$J$2:$N$354,3,FALSE))</f>
        <v>_</v>
      </c>
      <c r="AA988" s="47"/>
      <c r="AB988" s="4" t="s">
        <v>16</v>
      </c>
      <c r="AC988" s="43" t="str">
        <f>IF(VLOOKUP(AB988,βοηθητικό!$J$2:$N$354,3,FALSE)="","",VLOOKUP(AB988,βοηθητικό!$J$2:$N$354,3,FALSE))</f>
        <v>_</v>
      </c>
      <c r="AD988" s="44"/>
      <c r="AE988" s="5" t="s">
        <v>16</v>
      </c>
      <c r="AF988" s="46" t="str">
        <f>IF(VLOOKUP(AE988,βοηθητικό!$J$2:$N$354,3,FALSE)="","",VLOOKUP(AE988,βοηθητικό!$J$2:$N$354,3,FALSE))</f>
        <v>_</v>
      </c>
      <c r="AG988" s="47"/>
      <c r="AH988" s="4" t="s">
        <v>16</v>
      </c>
      <c r="AI988" s="43" t="str">
        <f>IF(VLOOKUP(AH988,βοηθητικό!$J$2:$N$354,3,FALSE)="","",VLOOKUP(AH988,βοηθητικό!$J$2:$N$354,3,FALSE))</f>
        <v>_</v>
      </c>
      <c r="AJ988" s="44"/>
      <c r="AK988" s="5" t="s">
        <v>16</v>
      </c>
      <c r="AL988" s="46" t="str">
        <f>IF(VLOOKUP(AK988,βοηθητικό!$J$2:$N$354,3,FALSE)="","",VLOOKUP(AK988,βοηθητικό!$J$2:$N$354,3,FALSE))</f>
        <v>_</v>
      </c>
      <c r="AM988" s="47"/>
      <c r="AN988" s="4" t="s">
        <v>16</v>
      </c>
      <c r="AO988" s="43" t="str">
        <f>IF(VLOOKUP(AN988,βοηθητικό!$J$2:$N$354,3,FALSE)="","",VLOOKUP(AN988,βοηθητικό!$J$2:$N$354,3,FALSE))</f>
        <v>_</v>
      </c>
      <c r="AP988" s="44"/>
      <c r="AQ988" s="5" t="s">
        <v>16</v>
      </c>
      <c r="AR988" s="46" t="str">
        <f>IF(VLOOKUP(AQ988,βοηθητικό!$J$2:$N$354,3,FALSE)="","",VLOOKUP(AQ988,βοηθητικό!$J$2:$N$354,3,FALSE))</f>
        <v>_</v>
      </c>
      <c r="AS988" s="47"/>
      <c r="AT988" s="4" t="s">
        <v>16</v>
      </c>
      <c r="AU988" s="43" t="str">
        <f>IF(VLOOKUP(AT988,βοηθητικό!$J$2:$N$354,3,FALSE)="","",VLOOKUP(AT988,βοηθητικό!$J$2:$N$354,3,FALSE))</f>
        <v>_</v>
      </c>
      <c r="AV988" s="44"/>
      <c r="AW988" s="5" t="s">
        <v>16</v>
      </c>
      <c r="AX988" s="46" t="str">
        <f>IF(VLOOKUP(AW988,βοηθητικό!$J$2:$N$354,3,FALSE)="","",VLOOKUP(AW988,βοηθητικό!$J$2:$N$354,3,FALSE))</f>
        <v>_</v>
      </c>
      <c r="AY988" s="47"/>
      <c r="AZ988" s="4" t="s">
        <v>16</v>
      </c>
      <c r="BA988" s="43" t="str">
        <f>IF(VLOOKUP(AZ988,βοηθητικό!$J$2:$N$354,3,FALSE)="","",VLOOKUP(AZ988,βοηθητικό!$J$2:$N$354,3,FALSE))</f>
        <v>_</v>
      </c>
      <c r="BB988" s="44"/>
      <c r="BC988" s="45" t="s">
        <v>16</v>
      </c>
      <c r="BD988" s="46" t="str">
        <f>IF(VLOOKUP(BC988,βοηθητικό!$J$2:$N$354,3,FALSE)="","",VLOOKUP(BC988,βοηθητικό!$J$2:$N$354,3,FALSE))</f>
        <v>_</v>
      </c>
      <c r="BE988" s="47"/>
      <c r="BF988" s="42" t="s">
        <v>16</v>
      </c>
      <c r="BG988" s="43" t="str">
        <f>IF(VLOOKUP(BF988,βοηθητικό!$J$2:$N$354,3,FALSE)="","",VLOOKUP(BF988,βοηθητικό!$J$2:$N$354,3,FALSE))</f>
        <v>_</v>
      </c>
      <c r="BH988" s="44"/>
      <c r="BI988" s="45" t="s">
        <v>16</v>
      </c>
      <c r="BJ988" s="46" t="str">
        <f>IF(VLOOKUP(BI988,βοηθητικό!$J$2:$N$354,3,FALSE)="","",VLOOKUP(BI988,βοηθητικό!$J$2:$N$354,3,FALSE))</f>
        <v>_</v>
      </c>
      <c r="BK988" s="47"/>
      <c r="BL988" s="42" t="s">
        <v>16</v>
      </c>
      <c r="BM988" s="43" t="str">
        <f>IF(VLOOKUP(BL988,βοηθητικό!$J$2:$N$354,3,FALSE)="","",VLOOKUP(BL988,βοηθητικό!$J$2:$N$354,3,FALSE))</f>
        <v>_</v>
      </c>
      <c r="BN988" s="44"/>
      <c r="BO988" s="45" t="s">
        <v>16</v>
      </c>
      <c r="BP988" s="46" t="str">
        <f>IF(VLOOKUP(BO988,βοηθητικό!$J$2:$N$354,3,FALSE)="","",VLOOKUP(BO988,βοηθητικό!$J$2:$N$354,3,FALSE))</f>
        <v>_</v>
      </c>
      <c r="BQ988" s="47"/>
      <c r="BR988" s="42" t="s">
        <v>16</v>
      </c>
      <c r="BS988" s="43" t="str">
        <f>IF(VLOOKUP(BR988,βοηθητικό!$J$2:$N$354,3,FALSE)="","",VLOOKUP(BR988,βοηθητικό!$J$2:$N$354,3,FALSE))</f>
        <v>_</v>
      </c>
      <c r="BT988" s="44"/>
      <c r="BU988" s="45" t="s">
        <v>16</v>
      </c>
      <c r="BV988" s="46" t="str">
        <f>IF(VLOOKUP(BU988,βοηθητικό!$J$2:$N$354,3,FALSE)="","",VLOOKUP(BU988,βοηθητικό!$J$2:$N$354,3,FALSE))</f>
        <v>_</v>
      </c>
      <c r="BW988" s="47"/>
      <c r="BX988" s="42" t="s">
        <v>16</v>
      </c>
      <c r="BY988" s="43" t="str">
        <f>IF(VLOOKUP(BX988,βοηθητικό!$J$2:$N$354,3,FALSE)="","",VLOOKUP(BX988,βοηθητικό!$J$2:$N$354,3,FALSE))</f>
        <v>_</v>
      </c>
      <c r="BZ988" s="44"/>
      <c r="CA988" s="45" t="s">
        <v>16</v>
      </c>
      <c r="CB988" s="46" t="str">
        <f>IF(VLOOKUP(CA988,βοηθητικό!$J$2:$N$354,3,FALSE)="","",VLOOKUP(CA988,βοηθητικό!$J$2:$N$354,3,FALSE))</f>
        <v>_</v>
      </c>
      <c r="CC988" s="47"/>
      <c r="CD988" s="42" t="s">
        <v>16</v>
      </c>
      <c r="CE988" s="43" t="str">
        <f>IF(VLOOKUP(CD988,βοηθητικό!$J$2:$N$354,3,FALSE)="","",VLOOKUP(CD988,βοηθητικό!$J$2:$N$354,3,FALSE))</f>
        <v>_</v>
      </c>
      <c r="CF988" s="44"/>
      <c r="CG988" s="45" t="s">
        <v>16</v>
      </c>
      <c r="CH988" s="46" t="str">
        <f>IF(VLOOKUP(CG988,βοηθητικό!$J$2:$N$354,3,FALSE)="","",VLOOKUP(CG988,βοηθητικό!$J$2:$N$354,3,FALSE))</f>
        <v>_</v>
      </c>
      <c r="CI988" s="47"/>
      <c r="CJ988" s="42" t="s">
        <v>16</v>
      </c>
      <c r="CK988" s="43" t="str">
        <f>IF(VLOOKUP(CJ988,βοηθητικό!$J$2:$N$354,3,FALSE)="","",VLOOKUP(CJ988,βοηθητικό!$J$2:$N$354,3,FALSE))</f>
        <v>_</v>
      </c>
      <c r="CL988" s="44"/>
      <c r="CM988" s="45" t="s">
        <v>16</v>
      </c>
      <c r="CN988" s="46" t="str">
        <f>IF(VLOOKUP(CM988,βοηθητικό!$J$2:$N$354,3,FALSE)="","",VLOOKUP(CM988,βοηθητικό!$J$2:$N$354,3,FALSE))</f>
        <v>_</v>
      </c>
      <c r="CO988" s="47"/>
      <c r="CP988" s="42" t="s">
        <v>16</v>
      </c>
      <c r="CQ988" s="43" t="str">
        <f>IF(VLOOKUP(CP988,βοηθητικό!$J$2:$N$354,3,FALSE)="","",VLOOKUP(CP988,βοηθητικό!$J$2:$N$354,3,FALSE))</f>
        <v>_</v>
      </c>
      <c r="CR988" s="44"/>
      <c r="CS988" s="45" t="s">
        <v>16</v>
      </c>
      <c r="CT988" s="46" t="str">
        <f>IF(VLOOKUP(CS988,βοηθητικό!$J$2:$N$354,3,FALSE)="","",VLOOKUP(CS988,βοηθητικό!$J$2:$N$354,3,FALSE))</f>
        <v>_</v>
      </c>
      <c r="CU988" s="47"/>
    </row>
    <row r="989" spans="1:99" x14ac:dyDescent="0.25">
      <c r="A989" s="37">
        <f>--SUBTOTAL(3,$B$3:B988)</f>
        <v>198</v>
      </c>
      <c r="B989" s="2"/>
      <c r="C989" s="3"/>
      <c r="D989" s="55" t="s">
        <v>18</v>
      </c>
      <c r="E989" s="38" t="s">
        <v>16</v>
      </c>
      <c r="F989" s="38"/>
      <c r="G989" s="39" t="str">
        <f t="shared" si="47"/>
        <v>__</v>
      </c>
      <c r="H989" s="40" t="str">
        <f t="shared" si="48"/>
        <v>FALSE</v>
      </c>
      <c r="I989" s="41">
        <f t="shared" si="49"/>
        <v>0</v>
      </c>
      <c r="J989" s="4" t="s">
        <v>16</v>
      </c>
      <c r="K989" s="43" t="str">
        <f>IF(VLOOKUP(J989,βοηθητικό!$J$2:$N$354,3,FALSE)="","",VLOOKUP(J989,βοηθητικό!$J$2:$N$354,3,FALSE))</f>
        <v>_</v>
      </c>
      <c r="L989" s="44"/>
      <c r="M989" s="5" t="s">
        <v>16</v>
      </c>
      <c r="N989" s="46" t="str">
        <f>IF(VLOOKUP(M989,βοηθητικό!$J$2:$N$354,3,FALSE)="","",VLOOKUP(M989,βοηθητικό!$J$2:$N$354,3,FALSE))</f>
        <v>_</v>
      </c>
      <c r="O989" s="47"/>
      <c r="P989" s="4" t="s">
        <v>16</v>
      </c>
      <c r="Q989" s="43" t="str">
        <f>IF(VLOOKUP(P989,βοηθητικό!$J$2:$N$354,3,FALSE)="","",VLOOKUP(P989,βοηθητικό!$J$2:$N$354,3,FALSE))</f>
        <v>_</v>
      </c>
      <c r="R989" s="44"/>
      <c r="S989" s="5" t="s">
        <v>16</v>
      </c>
      <c r="T989" s="46" t="str">
        <f>IF(VLOOKUP(S989,βοηθητικό!$J$2:$N$354,3,FALSE)="","",VLOOKUP(S989,βοηθητικό!$J$2:$N$354,3,FALSE))</f>
        <v>_</v>
      </c>
      <c r="U989" s="47"/>
      <c r="V989" s="4" t="s">
        <v>16</v>
      </c>
      <c r="W989" s="43" t="str">
        <f>IF(VLOOKUP(V989,βοηθητικό!$J$2:$N$354,3,FALSE)="","",VLOOKUP(V989,βοηθητικό!$J$2:$N$354,3,FALSE))</f>
        <v>_</v>
      </c>
      <c r="X989" s="44"/>
      <c r="Y989" s="5" t="s">
        <v>16</v>
      </c>
      <c r="Z989" s="46" t="str">
        <f>IF(VLOOKUP(Y989,βοηθητικό!$J$2:$N$354,3,FALSE)="","",VLOOKUP(Y989,βοηθητικό!$J$2:$N$354,3,FALSE))</f>
        <v>_</v>
      </c>
      <c r="AA989" s="47"/>
      <c r="AB989" s="4" t="s">
        <v>16</v>
      </c>
      <c r="AC989" s="43" t="str">
        <f>IF(VLOOKUP(AB989,βοηθητικό!$J$2:$N$354,3,FALSE)="","",VLOOKUP(AB989,βοηθητικό!$J$2:$N$354,3,FALSE))</f>
        <v>_</v>
      </c>
      <c r="AD989" s="44"/>
      <c r="AE989" s="5" t="s">
        <v>16</v>
      </c>
      <c r="AF989" s="46" t="str">
        <f>IF(VLOOKUP(AE989,βοηθητικό!$J$2:$N$354,3,FALSE)="","",VLOOKUP(AE989,βοηθητικό!$J$2:$N$354,3,FALSE))</f>
        <v>_</v>
      </c>
      <c r="AG989" s="47"/>
      <c r="AH989" s="4" t="s">
        <v>16</v>
      </c>
      <c r="AI989" s="43" t="str">
        <f>IF(VLOOKUP(AH989,βοηθητικό!$J$2:$N$354,3,FALSE)="","",VLOOKUP(AH989,βοηθητικό!$J$2:$N$354,3,FALSE))</f>
        <v>_</v>
      </c>
      <c r="AJ989" s="44"/>
      <c r="AK989" s="5" t="s">
        <v>16</v>
      </c>
      <c r="AL989" s="46" t="str">
        <f>IF(VLOOKUP(AK989,βοηθητικό!$J$2:$N$354,3,FALSE)="","",VLOOKUP(AK989,βοηθητικό!$J$2:$N$354,3,FALSE))</f>
        <v>_</v>
      </c>
      <c r="AM989" s="47"/>
      <c r="AN989" s="4" t="s">
        <v>16</v>
      </c>
      <c r="AO989" s="43" t="str">
        <f>IF(VLOOKUP(AN989,βοηθητικό!$J$2:$N$354,3,FALSE)="","",VLOOKUP(AN989,βοηθητικό!$J$2:$N$354,3,FALSE))</f>
        <v>_</v>
      </c>
      <c r="AP989" s="44"/>
      <c r="AQ989" s="5" t="s">
        <v>16</v>
      </c>
      <c r="AR989" s="46" t="str">
        <f>IF(VLOOKUP(AQ989,βοηθητικό!$J$2:$N$354,3,FALSE)="","",VLOOKUP(AQ989,βοηθητικό!$J$2:$N$354,3,FALSE))</f>
        <v>_</v>
      </c>
      <c r="AS989" s="47"/>
      <c r="AT989" s="4" t="s">
        <v>16</v>
      </c>
      <c r="AU989" s="43" t="str">
        <f>IF(VLOOKUP(AT989,βοηθητικό!$J$2:$N$354,3,FALSE)="","",VLOOKUP(AT989,βοηθητικό!$J$2:$N$354,3,FALSE))</f>
        <v>_</v>
      </c>
      <c r="AV989" s="44"/>
      <c r="AW989" s="5" t="s">
        <v>16</v>
      </c>
      <c r="AX989" s="46" t="str">
        <f>IF(VLOOKUP(AW989,βοηθητικό!$J$2:$N$354,3,FALSE)="","",VLOOKUP(AW989,βοηθητικό!$J$2:$N$354,3,FALSE))</f>
        <v>_</v>
      </c>
      <c r="AY989" s="47"/>
      <c r="AZ989" s="4" t="s">
        <v>16</v>
      </c>
      <c r="BA989" s="43" t="str">
        <f>IF(VLOOKUP(AZ989,βοηθητικό!$J$2:$N$354,3,FALSE)="","",VLOOKUP(AZ989,βοηθητικό!$J$2:$N$354,3,FALSE))</f>
        <v>_</v>
      </c>
      <c r="BB989" s="44"/>
      <c r="BC989" s="45" t="s">
        <v>16</v>
      </c>
      <c r="BD989" s="46" t="str">
        <f>IF(VLOOKUP(BC989,βοηθητικό!$J$2:$N$354,3,FALSE)="","",VLOOKUP(BC989,βοηθητικό!$J$2:$N$354,3,FALSE))</f>
        <v>_</v>
      </c>
      <c r="BE989" s="47"/>
      <c r="BF989" s="42" t="s">
        <v>16</v>
      </c>
      <c r="BG989" s="43" t="str">
        <f>IF(VLOOKUP(BF989,βοηθητικό!$J$2:$N$354,3,FALSE)="","",VLOOKUP(BF989,βοηθητικό!$J$2:$N$354,3,FALSE))</f>
        <v>_</v>
      </c>
      <c r="BH989" s="44"/>
      <c r="BI989" s="45" t="s">
        <v>16</v>
      </c>
      <c r="BJ989" s="46" t="str">
        <f>IF(VLOOKUP(BI989,βοηθητικό!$J$2:$N$354,3,FALSE)="","",VLOOKUP(BI989,βοηθητικό!$J$2:$N$354,3,FALSE))</f>
        <v>_</v>
      </c>
      <c r="BK989" s="47"/>
      <c r="BL989" s="42" t="s">
        <v>16</v>
      </c>
      <c r="BM989" s="43" t="str">
        <f>IF(VLOOKUP(BL989,βοηθητικό!$J$2:$N$354,3,FALSE)="","",VLOOKUP(BL989,βοηθητικό!$J$2:$N$354,3,FALSE))</f>
        <v>_</v>
      </c>
      <c r="BN989" s="44"/>
      <c r="BO989" s="45" t="s">
        <v>16</v>
      </c>
      <c r="BP989" s="46" t="str">
        <f>IF(VLOOKUP(BO989,βοηθητικό!$J$2:$N$354,3,FALSE)="","",VLOOKUP(BO989,βοηθητικό!$J$2:$N$354,3,FALSE))</f>
        <v>_</v>
      </c>
      <c r="BQ989" s="47"/>
      <c r="BR989" s="42" t="s">
        <v>16</v>
      </c>
      <c r="BS989" s="43" t="str">
        <f>IF(VLOOKUP(BR989,βοηθητικό!$J$2:$N$354,3,FALSE)="","",VLOOKUP(BR989,βοηθητικό!$J$2:$N$354,3,FALSE))</f>
        <v>_</v>
      </c>
      <c r="BT989" s="44"/>
      <c r="BU989" s="45" t="s">
        <v>16</v>
      </c>
      <c r="BV989" s="46" t="str">
        <f>IF(VLOOKUP(BU989,βοηθητικό!$J$2:$N$354,3,FALSE)="","",VLOOKUP(BU989,βοηθητικό!$J$2:$N$354,3,FALSE))</f>
        <v>_</v>
      </c>
      <c r="BW989" s="47"/>
      <c r="BX989" s="42" t="s">
        <v>16</v>
      </c>
      <c r="BY989" s="43" t="str">
        <f>IF(VLOOKUP(BX989,βοηθητικό!$J$2:$N$354,3,FALSE)="","",VLOOKUP(BX989,βοηθητικό!$J$2:$N$354,3,FALSE))</f>
        <v>_</v>
      </c>
      <c r="BZ989" s="44"/>
      <c r="CA989" s="45" t="s">
        <v>16</v>
      </c>
      <c r="CB989" s="46" t="str">
        <f>IF(VLOOKUP(CA989,βοηθητικό!$J$2:$N$354,3,FALSE)="","",VLOOKUP(CA989,βοηθητικό!$J$2:$N$354,3,FALSE))</f>
        <v>_</v>
      </c>
      <c r="CC989" s="47"/>
      <c r="CD989" s="42" t="s">
        <v>16</v>
      </c>
      <c r="CE989" s="43" t="str">
        <f>IF(VLOOKUP(CD989,βοηθητικό!$J$2:$N$354,3,FALSE)="","",VLOOKUP(CD989,βοηθητικό!$J$2:$N$354,3,FALSE))</f>
        <v>_</v>
      </c>
      <c r="CF989" s="44"/>
      <c r="CG989" s="45" t="s">
        <v>16</v>
      </c>
      <c r="CH989" s="46" t="str">
        <f>IF(VLOOKUP(CG989,βοηθητικό!$J$2:$N$354,3,FALSE)="","",VLOOKUP(CG989,βοηθητικό!$J$2:$N$354,3,FALSE))</f>
        <v>_</v>
      </c>
      <c r="CI989" s="47"/>
      <c r="CJ989" s="42" t="s">
        <v>16</v>
      </c>
      <c r="CK989" s="43" t="str">
        <f>IF(VLOOKUP(CJ989,βοηθητικό!$J$2:$N$354,3,FALSE)="","",VLOOKUP(CJ989,βοηθητικό!$J$2:$N$354,3,FALSE))</f>
        <v>_</v>
      </c>
      <c r="CL989" s="44"/>
      <c r="CM989" s="45" t="s">
        <v>16</v>
      </c>
      <c r="CN989" s="46" t="str">
        <f>IF(VLOOKUP(CM989,βοηθητικό!$J$2:$N$354,3,FALSE)="","",VLOOKUP(CM989,βοηθητικό!$J$2:$N$354,3,FALSE))</f>
        <v>_</v>
      </c>
      <c r="CO989" s="47"/>
      <c r="CP989" s="42" t="s">
        <v>16</v>
      </c>
      <c r="CQ989" s="43" t="str">
        <f>IF(VLOOKUP(CP989,βοηθητικό!$J$2:$N$354,3,FALSE)="","",VLOOKUP(CP989,βοηθητικό!$J$2:$N$354,3,FALSE))</f>
        <v>_</v>
      </c>
      <c r="CR989" s="44"/>
      <c r="CS989" s="45" t="s">
        <v>16</v>
      </c>
      <c r="CT989" s="46" t="str">
        <f>IF(VLOOKUP(CS989,βοηθητικό!$J$2:$N$354,3,FALSE)="","",VLOOKUP(CS989,βοηθητικό!$J$2:$N$354,3,FALSE))</f>
        <v>_</v>
      </c>
      <c r="CU989" s="47"/>
    </row>
    <row r="990" spans="1:99" x14ac:dyDescent="0.25">
      <c r="A990" s="37">
        <f>--SUBTOTAL(3,$B$3:B989)</f>
        <v>198</v>
      </c>
      <c r="B990" s="2"/>
      <c r="C990" s="3"/>
      <c r="D990" s="55" t="s">
        <v>18</v>
      </c>
      <c r="E990" s="38" t="s">
        <v>16</v>
      </c>
      <c r="F990" s="38"/>
      <c r="G990" s="39" t="str">
        <f t="shared" si="47"/>
        <v>__</v>
      </c>
      <c r="H990" s="40" t="str">
        <f t="shared" si="48"/>
        <v>FALSE</v>
      </c>
      <c r="I990" s="41">
        <f t="shared" si="49"/>
        <v>0</v>
      </c>
      <c r="J990" s="4" t="s">
        <v>16</v>
      </c>
      <c r="K990" s="43" t="str">
        <f>IF(VLOOKUP(J990,βοηθητικό!$J$2:$N$354,3,FALSE)="","",VLOOKUP(J990,βοηθητικό!$J$2:$N$354,3,FALSE))</f>
        <v>_</v>
      </c>
      <c r="L990" s="44"/>
      <c r="M990" s="5" t="s">
        <v>16</v>
      </c>
      <c r="N990" s="46" t="str">
        <f>IF(VLOOKUP(M990,βοηθητικό!$J$2:$N$354,3,FALSE)="","",VLOOKUP(M990,βοηθητικό!$J$2:$N$354,3,FALSE))</f>
        <v>_</v>
      </c>
      <c r="O990" s="47"/>
      <c r="P990" s="4" t="s">
        <v>16</v>
      </c>
      <c r="Q990" s="43" t="str">
        <f>IF(VLOOKUP(P990,βοηθητικό!$J$2:$N$354,3,FALSE)="","",VLOOKUP(P990,βοηθητικό!$J$2:$N$354,3,FALSE))</f>
        <v>_</v>
      </c>
      <c r="R990" s="44"/>
      <c r="S990" s="5" t="s">
        <v>16</v>
      </c>
      <c r="T990" s="46" t="str">
        <f>IF(VLOOKUP(S990,βοηθητικό!$J$2:$N$354,3,FALSE)="","",VLOOKUP(S990,βοηθητικό!$J$2:$N$354,3,FALSE))</f>
        <v>_</v>
      </c>
      <c r="U990" s="47"/>
      <c r="V990" s="4" t="s">
        <v>16</v>
      </c>
      <c r="W990" s="43" t="str">
        <f>IF(VLOOKUP(V990,βοηθητικό!$J$2:$N$354,3,FALSE)="","",VLOOKUP(V990,βοηθητικό!$J$2:$N$354,3,FALSE))</f>
        <v>_</v>
      </c>
      <c r="X990" s="44"/>
      <c r="Y990" s="5" t="s">
        <v>16</v>
      </c>
      <c r="Z990" s="46" t="str">
        <f>IF(VLOOKUP(Y990,βοηθητικό!$J$2:$N$354,3,FALSE)="","",VLOOKUP(Y990,βοηθητικό!$J$2:$N$354,3,FALSE))</f>
        <v>_</v>
      </c>
      <c r="AA990" s="47"/>
      <c r="AB990" s="4" t="s">
        <v>16</v>
      </c>
      <c r="AC990" s="43" t="str">
        <f>IF(VLOOKUP(AB990,βοηθητικό!$J$2:$N$354,3,FALSE)="","",VLOOKUP(AB990,βοηθητικό!$J$2:$N$354,3,FALSE))</f>
        <v>_</v>
      </c>
      <c r="AD990" s="44"/>
      <c r="AE990" s="5" t="s">
        <v>16</v>
      </c>
      <c r="AF990" s="46" t="str">
        <f>IF(VLOOKUP(AE990,βοηθητικό!$J$2:$N$354,3,FALSE)="","",VLOOKUP(AE990,βοηθητικό!$J$2:$N$354,3,FALSE))</f>
        <v>_</v>
      </c>
      <c r="AG990" s="47"/>
      <c r="AH990" s="4" t="s">
        <v>16</v>
      </c>
      <c r="AI990" s="43" t="str">
        <f>IF(VLOOKUP(AH990,βοηθητικό!$J$2:$N$354,3,FALSE)="","",VLOOKUP(AH990,βοηθητικό!$J$2:$N$354,3,FALSE))</f>
        <v>_</v>
      </c>
      <c r="AJ990" s="44"/>
      <c r="AK990" s="5" t="s">
        <v>16</v>
      </c>
      <c r="AL990" s="46" t="str">
        <f>IF(VLOOKUP(AK990,βοηθητικό!$J$2:$N$354,3,FALSE)="","",VLOOKUP(AK990,βοηθητικό!$J$2:$N$354,3,FALSE))</f>
        <v>_</v>
      </c>
      <c r="AM990" s="47"/>
      <c r="AN990" s="4" t="s">
        <v>16</v>
      </c>
      <c r="AO990" s="43" t="str">
        <f>IF(VLOOKUP(AN990,βοηθητικό!$J$2:$N$354,3,FALSE)="","",VLOOKUP(AN990,βοηθητικό!$J$2:$N$354,3,FALSE))</f>
        <v>_</v>
      </c>
      <c r="AP990" s="44"/>
      <c r="AQ990" s="5" t="s">
        <v>16</v>
      </c>
      <c r="AR990" s="46" t="str">
        <f>IF(VLOOKUP(AQ990,βοηθητικό!$J$2:$N$354,3,FALSE)="","",VLOOKUP(AQ990,βοηθητικό!$J$2:$N$354,3,FALSE))</f>
        <v>_</v>
      </c>
      <c r="AS990" s="47"/>
      <c r="AT990" s="4" t="s">
        <v>16</v>
      </c>
      <c r="AU990" s="43" t="str">
        <f>IF(VLOOKUP(AT990,βοηθητικό!$J$2:$N$354,3,FALSE)="","",VLOOKUP(AT990,βοηθητικό!$J$2:$N$354,3,FALSE))</f>
        <v>_</v>
      </c>
      <c r="AV990" s="44"/>
      <c r="AW990" s="5" t="s">
        <v>16</v>
      </c>
      <c r="AX990" s="46" t="str">
        <f>IF(VLOOKUP(AW990,βοηθητικό!$J$2:$N$354,3,FALSE)="","",VLOOKUP(AW990,βοηθητικό!$J$2:$N$354,3,FALSE))</f>
        <v>_</v>
      </c>
      <c r="AY990" s="47"/>
      <c r="AZ990" s="4" t="s">
        <v>16</v>
      </c>
      <c r="BA990" s="43" t="str">
        <f>IF(VLOOKUP(AZ990,βοηθητικό!$J$2:$N$354,3,FALSE)="","",VLOOKUP(AZ990,βοηθητικό!$J$2:$N$354,3,FALSE))</f>
        <v>_</v>
      </c>
      <c r="BB990" s="44"/>
      <c r="BC990" s="45" t="s">
        <v>16</v>
      </c>
      <c r="BD990" s="46" t="str">
        <f>IF(VLOOKUP(BC990,βοηθητικό!$J$2:$N$354,3,FALSE)="","",VLOOKUP(BC990,βοηθητικό!$J$2:$N$354,3,FALSE))</f>
        <v>_</v>
      </c>
      <c r="BE990" s="47"/>
      <c r="BF990" s="42" t="s">
        <v>16</v>
      </c>
      <c r="BG990" s="43" t="str">
        <f>IF(VLOOKUP(BF990,βοηθητικό!$J$2:$N$354,3,FALSE)="","",VLOOKUP(BF990,βοηθητικό!$J$2:$N$354,3,FALSE))</f>
        <v>_</v>
      </c>
      <c r="BH990" s="44"/>
      <c r="BI990" s="45" t="s">
        <v>16</v>
      </c>
      <c r="BJ990" s="46" t="str">
        <f>IF(VLOOKUP(BI990,βοηθητικό!$J$2:$N$354,3,FALSE)="","",VLOOKUP(BI990,βοηθητικό!$J$2:$N$354,3,FALSE))</f>
        <v>_</v>
      </c>
      <c r="BK990" s="47"/>
      <c r="BL990" s="42" t="s">
        <v>16</v>
      </c>
      <c r="BM990" s="43" t="str">
        <f>IF(VLOOKUP(BL990,βοηθητικό!$J$2:$N$354,3,FALSE)="","",VLOOKUP(BL990,βοηθητικό!$J$2:$N$354,3,FALSE))</f>
        <v>_</v>
      </c>
      <c r="BN990" s="44"/>
      <c r="BO990" s="45" t="s">
        <v>16</v>
      </c>
      <c r="BP990" s="46" t="str">
        <f>IF(VLOOKUP(BO990,βοηθητικό!$J$2:$N$354,3,FALSE)="","",VLOOKUP(BO990,βοηθητικό!$J$2:$N$354,3,FALSE))</f>
        <v>_</v>
      </c>
      <c r="BQ990" s="47"/>
      <c r="BR990" s="42" t="s">
        <v>16</v>
      </c>
      <c r="BS990" s="43" t="str">
        <f>IF(VLOOKUP(BR990,βοηθητικό!$J$2:$N$354,3,FALSE)="","",VLOOKUP(BR990,βοηθητικό!$J$2:$N$354,3,FALSE))</f>
        <v>_</v>
      </c>
      <c r="BT990" s="44"/>
      <c r="BU990" s="45" t="s">
        <v>16</v>
      </c>
      <c r="BV990" s="46" t="str">
        <f>IF(VLOOKUP(BU990,βοηθητικό!$J$2:$N$354,3,FALSE)="","",VLOOKUP(BU990,βοηθητικό!$J$2:$N$354,3,FALSE))</f>
        <v>_</v>
      </c>
      <c r="BW990" s="47"/>
      <c r="BX990" s="42" t="s">
        <v>16</v>
      </c>
      <c r="BY990" s="43" t="str">
        <f>IF(VLOOKUP(BX990,βοηθητικό!$J$2:$N$354,3,FALSE)="","",VLOOKUP(BX990,βοηθητικό!$J$2:$N$354,3,FALSE))</f>
        <v>_</v>
      </c>
      <c r="BZ990" s="44"/>
      <c r="CA990" s="45" t="s">
        <v>16</v>
      </c>
      <c r="CB990" s="46" t="str">
        <f>IF(VLOOKUP(CA990,βοηθητικό!$J$2:$N$354,3,FALSE)="","",VLOOKUP(CA990,βοηθητικό!$J$2:$N$354,3,FALSE))</f>
        <v>_</v>
      </c>
      <c r="CC990" s="47"/>
      <c r="CD990" s="42" t="s">
        <v>16</v>
      </c>
      <c r="CE990" s="43" t="str">
        <f>IF(VLOOKUP(CD990,βοηθητικό!$J$2:$N$354,3,FALSE)="","",VLOOKUP(CD990,βοηθητικό!$J$2:$N$354,3,FALSE))</f>
        <v>_</v>
      </c>
      <c r="CF990" s="44"/>
      <c r="CG990" s="45" t="s">
        <v>16</v>
      </c>
      <c r="CH990" s="46" t="str">
        <f>IF(VLOOKUP(CG990,βοηθητικό!$J$2:$N$354,3,FALSE)="","",VLOOKUP(CG990,βοηθητικό!$J$2:$N$354,3,FALSE))</f>
        <v>_</v>
      </c>
      <c r="CI990" s="47"/>
      <c r="CJ990" s="42" t="s">
        <v>16</v>
      </c>
      <c r="CK990" s="43" t="str">
        <f>IF(VLOOKUP(CJ990,βοηθητικό!$J$2:$N$354,3,FALSE)="","",VLOOKUP(CJ990,βοηθητικό!$J$2:$N$354,3,FALSE))</f>
        <v>_</v>
      </c>
      <c r="CL990" s="44"/>
      <c r="CM990" s="45" t="s">
        <v>16</v>
      </c>
      <c r="CN990" s="46" t="str">
        <f>IF(VLOOKUP(CM990,βοηθητικό!$J$2:$N$354,3,FALSE)="","",VLOOKUP(CM990,βοηθητικό!$J$2:$N$354,3,FALSE))</f>
        <v>_</v>
      </c>
      <c r="CO990" s="47"/>
      <c r="CP990" s="42" t="s">
        <v>16</v>
      </c>
      <c r="CQ990" s="43" t="str">
        <f>IF(VLOOKUP(CP990,βοηθητικό!$J$2:$N$354,3,FALSE)="","",VLOOKUP(CP990,βοηθητικό!$J$2:$N$354,3,FALSE))</f>
        <v>_</v>
      </c>
      <c r="CR990" s="44"/>
      <c r="CS990" s="45" t="s">
        <v>16</v>
      </c>
      <c r="CT990" s="46" t="str">
        <f>IF(VLOOKUP(CS990,βοηθητικό!$J$2:$N$354,3,FALSE)="","",VLOOKUP(CS990,βοηθητικό!$J$2:$N$354,3,FALSE))</f>
        <v>_</v>
      </c>
      <c r="CU990" s="47"/>
    </row>
    <row r="991" spans="1:99" x14ac:dyDescent="0.25">
      <c r="A991" s="37">
        <f>--SUBTOTAL(3,$B$3:B990)</f>
        <v>198</v>
      </c>
      <c r="B991" s="2"/>
      <c r="C991" s="3"/>
      <c r="D991" s="55" t="s">
        <v>18</v>
      </c>
      <c r="E991" s="38" t="s">
        <v>16</v>
      </c>
      <c r="F991" s="38"/>
      <c r="G991" s="39" t="str">
        <f t="shared" si="47"/>
        <v>__</v>
      </c>
      <c r="H991" s="40" t="str">
        <f t="shared" si="48"/>
        <v>FALSE</v>
      </c>
      <c r="I991" s="41">
        <f t="shared" si="49"/>
        <v>0</v>
      </c>
      <c r="J991" s="4" t="s">
        <v>16</v>
      </c>
      <c r="K991" s="43" t="str">
        <f>IF(VLOOKUP(J991,βοηθητικό!$J$2:$N$354,3,FALSE)="","",VLOOKUP(J991,βοηθητικό!$J$2:$N$354,3,FALSE))</f>
        <v>_</v>
      </c>
      <c r="L991" s="44"/>
      <c r="M991" s="5" t="s">
        <v>16</v>
      </c>
      <c r="N991" s="46" t="str">
        <f>IF(VLOOKUP(M991,βοηθητικό!$J$2:$N$354,3,FALSE)="","",VLOOKUP(M991,βοηθητικό!$J$2:$N$354,3,FALSE))</f>
        <v>_</v>
      </c>
      <c r="O991" s="47"/>
      <c r="P991" s="4" t="s">
        <v>16</v>
      </c>
      <c r="Q991" s="43" t="str">
        <f>IF(VLOOKUP(P991,βοηθητικό!$J$2:$N$354,3,FALSE)="","",VLOOKUP(P991,βοηθητικό!$J$2:$N$354,3,FALSE))</f>
        <v>_</v>
      </c>
      <c r="R991" s="44"/>
      <c r="S991" s="5" t="s">
        <v>16</v>
      </c>
      <c r="T991" s="46" t="str">
        <f>IF(VLOOKUP(S991,βοηθητικό!$J$2:$N$354,3,FALSE)="","",VLOOKUP(S991,βοηθητικό!$J$2:$N$354,3,FALSE))</f>
        <v>_</v>
      </c>
      <c r="U991" s="47"/>
      <c r="V991" s="4" t="s">
        <v>16</v>
      </c>
      <c r="W991" s="43" t="str">
        <f>IF(VLOOKUP(V991,βοηθητικό!$J$2:$N$354,3,FALSE)="","",VLOOKUP(V991,βοηθητικό!$J$2:$N$354,3,FALSE))</f>
        <v>_</v>
      </c>
      <c r="X991" s="44"/>
      <c r="Y991" s="5" t="s">
        <v>16</v>
      </c>
      <c r="Z991" s="46" t="str">
        <f>IF(VLOOKUP(Y991,βοηθητικό!$J$2:$N$354,3,FALSE)="","",VLOOKUP(Y991,βοηθητικό!$J$2:$N$354,3,FALSE))</f>
        <v>_</v>
      </c>
      <c r="AA991" s="47"/>
      <c r="AB991" s="4" t="s">
        <v>16</v>
      </c>
      <c r="AC991" s="43" t="str">
        <f>IF(VLOOKUP(AB991,βοηθητικό!$J$2:$N$354,3,FALSE)="","",VLOOKUP(AB991,βοηθητικό!$J$2:$N$354,3,FALSE))</f>
        <v>_</v>
      </c>
      <c r="AD991" s="44"/>
      <c r="AE991" s="5" t="s">
        <v>16</v>
      </c>
      <c r="AF991" s="46" t="str">
        <f>IF(VLOOKUP(AE991,βοηθητικό!$J$2:$N$354,3,FALSE)="","",VLOOKUP(AE991,βοηθητικό!$J$2:$N$354,3,FALSE))</f>
        <v>_</v>
      </c>
      <c r="AG991" s="47"/>
      <c r="AH991" s="4" t="s">
        <v>16</v>
      </c>
      <c r="AI991" s="43" t="str">
        <f>IF(VLOOKUP(AH991,βοηθητικό!$J$2:$N$354,3,FALSE)="","",VLOOKUP(AH991,βοηθητικό!$J$2:$N$354,3,FALSE))</f>
        <v>_</v>
      </c>
      <c r="AJ991" s="44"/>
      <c r="AK991" s="5" t="s">
        <v>16</v>
      </c>
      <c r="AL991" s="46" t="str">
        <f>IF(VLOOKUP(AK991,βοηθητικό!$J$2:$N$354,3,FALSE)="","",VLOOKUP(AK991,βοηθητικό!$J$2:$N$354,3,FALSE))</f>
        <v>_</v>
      </c>
      <c r="AM991" s="47"/>
      <c r="AN991" s="4" t="s">
        <v>16</v>
      </c>
      <c r="AO991" s="43" t="str">
        <f>IF(VLOOKUP(AN991,βοηθητικό!$J$2:$N$354,3,FALSE)="","",VLOOKUP(AN991,βοηθητικό!$J$2:$N$354,3,FALSE))</f>
        <v>_</v>
      </c>
      <c r="AP991" s="44"/>
      <c r="AQ991" s="5" t="s">
        <v>16</v>
      </c>
      <c r="AR991" s="46" t="str">
        <f>IF(VLOOKUP(AQ991,βοηθητικό!$J$2:$N$354,3,FALSE)="","",VLOOKUP(AQ991,βοηθητικό!$J$2:$N$354,3,FALSE))</f>
        <v>_</v>
      </c>
      <c r="AS991" s="47"/>
      <c r="AT991" s="4" t="s">
        <v>16</v>
      </c>
      <c r="AU991" s="43" t="str">
        <f>IF(VLOOKUP(AT991,βοηθητικό!$J$2:$N$354,3,FALSE)="","",VLOOKUP(AT991,βοηθητικό!$J$2:$N$354,3,FALSE))</f>
        <v>_</v>
      </c>
      <c r="AV991" s="44"/>
      <c r="AW991" s="5" t="s">
        <v>16</v>
      </c>
      <c r="AX991" s="46" t="str">
        <f>IF(VLOOKUP(AW991,βοηθητικό!$J$2:$N$354,3,FALSE)="","",VLOOKUP(AW991,βοηθητικό!$J$2:$N$354,3,FALSE))</f>
        <v>_</v>
      </c>
      <c r="AY991" s="47"/>
      <c r="AZ991" s="4" t="s">
        <v>16</v>
      </c>
      <c r="BA991" s="43" t="str">
        <f>IF(VLOOKUP(AZ991,βοηθητικό!$J$2:$N$354,3,FALSE)="","",VLOOKUP(AZ991,βοηθητικό!$J$2:$N$354,3,FALSE))</f>
        <v>_</v>
      </c>
      <c r="BB991" s="44"/>
      <c r="BC991" s="45" t="s">
        <v>16</v>
      </c>
      <c r="BD991" s="46" t="str">
        <f>IF(VLOOKUP(BC991,βοηθητικό!$J$2:$N$354,3,FALSE)="","",VLOOKUP(BC991,βοηθητικό!$J$2:$N$354,3,FALSE))</f>
        <v>_</v>
      </c>
      <c r="BE991" s="47"/>
      <c r="BF991" s="42" t="s">
        <v>16</v>
      </c>
      <c r="BG991" s="43" t="str">
        <f>IF(VLOOKUP(BF991,βοηθητικό!$J$2:$N$354,3,FALSE)="","",VLOOKUP(BF991,βοηθητικό!$J$2:$N$354,3,FALSE))</f>
        <v>_</v>
      </c>
      <c r="BH991" s="44"/>
      <c r="BI991" s="45" t="s">
        <v>16</v>
      </c>
      <c r="BJ991" s="46" t="str">
        <f>IF(VLOOKUP(BI991,βοηθητικό!$J$2:$N$354,3,FALSE)="","",VLOOKUP(BI991,βοηθητικό!$J$2:$N$354,3,FALSE))</f>
        <v>_</v>
      </c>
      <c r="BK991" s="47"/>
      <c r="BL991" s="42" t="s">
        <v>16</v>
      </c>
      <c r="BM991" s="43" t="str">
        <f>IF(VLOOKUP(BL991,βοηθητικό!$J$2:$N$354,3,FALSE)="","",VLOOKUP(BL991,βοηθητικό!$J$2:$N$354,3,FALSE))</f>
        <v>_</v>
      </c>
      <c r="BN991" s="44"/>
      <c r="BO991" s="45" t="s">
        <v>16</v>
      </c>
      <c r="BP991" s="46" t="str">
        <f>IF(VLOOKUP(BO991,βοηθητικό!$J$2:$N$354,3,FALSE)="","",VLOOKUP(BO991,βοηθητικό!$J$2:$N$354,3,FALSE))</f>
        <v>_</v>
      </c>
      <c r="BQ991" s="47"/>
      <c r="BR991" s="42" t="s">
        <v>16</v>
      </c>
      <c r="BS991" s="43" t="str">
        <f>IF(VLOOKUP(BR991,βοηθητικό!$J$2:$N$354,3,FALSE)="","",VLOOKUP(BR991,βοηθητικό!$J$2:$N$354,3,FALSE))</f>
        <v>_</v>
      </c>
      <c r="BT991" s="44"/>
      <c r="BU991" s="45" t="s">
        <v>16</v>
      </c>
      <c r="BV991" s="46" t="str">
        <f>IF(VLOOKUP(BU991,βοηθητικό!$J$2:$N$354,3,FALSE)="","",VLOOKUP(BU991,βοηθητικό!$J$2:$N$354,3,FALSE))</f>
        <v>_</v>
      </c>
      <c r="BW991" s="47"/>
      <c r="BX991" s="42" t="s">
        <v>16</v>
      </c>
      <c r="BY991" s="43" t="str">
        <f>IF(VLOOKUP(BX991,βοηθητικό!$J$2:$N$354,3,FALSE)="","",VLOOKUP(BX991,βοηθητικό!$J$2:$N$354,3,FALSE))</f>
        <v>_</v>
      </c>
      <c r="BZ991" s="44"/>
      <c r="CA991" s="45" t="s">
        <v>16</v>
      </c>
      <c r="CB991" s="46" t="str">
        <f>IF(VLOOKUP(CA991,βοηθητικό!$J$2:$N$354,3,FALSE)="","",VLOOKUP(CA991,βοηθητικό!$J$2:$N$354,3,FALSE))</f>
        <v>_</v>
      </c>
      <c r="CC991" s="47"/>
      <c r="CD991" s="42" t="s">
        <v>16</v>
      </c>
      <c r="CE991" s="43" t="str">
        <f>IF(VLOOKUP(CD991,βοηθητικό!$J$2:$N$354,3,FALSE)="","",VLOOKUP(CD991,βοηθητικό!$J$2:$N$354,3,FALSE))</f>
        <v>_</v>
      </c>
      <c r="CF991" s="44"/>
      <c r="CG991" s="45" t="s">
        <v>16</v>
      </c>
      <c r="CH991" s="46" t="str">
        <f>IF(VLOOKUP(CG991,βοηθητικό!$J$2:$N$354,3,FALSE)="","",VLOOKUP(CG991,βοηθητικό!$J$2:$N$354,3,FALSE))</f>
        <v>_</v>
      </c>
      <c r="CI991" s="47"/>
      <c r="CJ991" s="42" t="s">
        <v>16</v>
      </c>
      <c r="CK991" s="43" t="str">
        <f>IF(VLOOKUP(CJ991,βοηθητικό!$J$2:$N$354,3,FALSE)="","",VLOOKUP(CJ991,βοηθητικό!$J$2:$N$354,3,FALSE))</f>
        <v>_</v>
      </c>
      <c r="CL991" s="44"/>
      <c r="CM991" s="45" t="s">
        <v>16</v>
      </c>
      <c r="CN991" s="46" t="str">
        <f>IF(VLOOKUP(CM991,βοηθητικό!$J$2:$N$354,3,FALSE)="","",VLOOKUP(CM991,βοηθητικό!$J$2:$N$354,3,FALSE))</f>
        <v>_</v>
      </c>
      <c r="CO991" s="47"/>
      <c r="CP991" s="42" t="s">
        <v>16</v>
      </c>
      <c r="CQ991" s="43" t="str">
        <f>IF(VLOOKUP(CP991,βοηθητικό!$J$2:$N$354,3,FALSE)="","",VLOOKUP(CP991,βοηθητικό!$J$2:$N$354,3,FALSE))</f>
        <v>_</v>
      </c>
      <c r="CR991" s="44"/>
      <c r="CS991" s="45" t="s">
        <v>16</v>
      </c>
      <c r="CT991" s="46" t="str">
        <f>IF(VLOOKUP(CS991,βοηθητικό!$J$2:$N$354,3,FALSE)="","",VLOOKUP(CS991,βοηθητικό!$J$2:$N$354,3,FALSE))</f>
        <v>_</v>
      </c>
      <c r="CU991" s="47"/>
    </row>
    <row r="992" spans="1:99" x14ac:dyDescent="0.25">
      <c r="A992" s="37">
        <f>--SUBTOTAL(3,$B$3:B991)</f>
        <v>198</v>
      </c>
      <c r="B992" s="2"/>
      <c r="C992" s="3"/>
      <c r="D992" s="55" t="s">
        <v>18</v>
      </c>
      <c r="E992" s="38" t="s">
        <v>16</v>
      </c>
      <c r="F992" s="38"/>
      <c r="G992" s="39" t="str">
        <f t="shared" si="47"/>
        <v>__</v>
      </c>
      <c r="H992" s="40" t="str">
        <f t="shared" si="48"/>
        <v>FALSE</v>
      </c>
      <c r="I992" s="41">
        <f t="shared" si="49"/>
        <v>0</v>
      </c>
      <c r="J992" s="4" t="s">
        <v>16</v>
      </c>
      <c r="K992" s="43" t="str">
        <f>IF(VLOOKUP(J992,βοηθητικό!$J$2:$N$354,3,FALSE)="","",VLOOKUP(J992,βοηθητικό!$J$2:$N$354,3,FALSE))</f>
        <v>_</v>
      </c>
      <c r="L992" s="44"/>
      <c r="M992" s="5" t="s">
        <v>16</v>
      </c>
      <c r="N992" s="46" t="str">
        <f>IF(VLOOKUP(M992,βοηθητικό!$J$2:$N$354,3,FALSE)="","",VLOOKUP(M992,βοηθητικό!$J$2:$N$354,3,FALSE))</f>
        <v>_</v>
      </c>
      <c r="O992" s="47"/>
      <c r="P992" s="4" t="s">
        <v>16</v>
      </c>
      <c r="Q992" s="43" t="str">
        <f>IF(VLOOKUP(P992,βοηθητικό!$J$2:$N$354,3,FALSE)="","",VLOOKUP(P992,βοηθητικό!$J$2:$N$354,3,FALSE))</f>
        <v>_</v>
      </c>
      <c r="R992" s="44"/>
      <c r="S992" s="5" t="s">
        <v>16</v>
      </c>
      <c r="T992" s="46" t="str">
        <f>IF(VLOOKUP(S992,βοηθητικό!$J$2:$N$354,3,FALSE)="","",VLOOKUP(S992,βοηθητικό!$J$2:$N$354,3,FALSE))</f>
        <v>_</v>
      </c>
      <c r="U992" s="47"/>
      <c r="V992" s="4" t="s">
        <v>16</v>
      </c>
      <c r="W992" s="43" t="str">
        <f>IF(VLOOKUP(V992,βοηθητικό!$J$2:$N$354,3,FALSE)="","",VLOOKUP(V992,βοηθητικό!$J$2:$N$354,3,FALSE))</f>
        <v>_</v>
      </c>
      <c r="X992" s="44"/>
      <c r="Y992" s="5" t="s">
        <v>16</v>
      </c>
      <c r="Z992" s="46" t="str">
        <f>IF(VLOOKUP(Y992,βοηθητικό!$J$2:$N$354,3,FALSE)="","",VLOOKUP(Y992,βοηθητικό!$J$2:$N$354,3,FALSE))</f>
        <v>_</v>
      </c>
      <c r="AA992" s="47"/>
      <c r="AB992" s="4" t="s">
        <v>16</v>
      </c>
      <c r="AC992" s="43" t="str">
        <f>IF(VLOOKUP(AB992,βοηθητικό!$J$2:$N$354,3,FALSE)="","",VLOOKUP(AB992,βοηθητικό!$J$2:$N$354,3,FALSE))</f>
        <v>_</v>
      </c>
      <c r="AD992" s="44"/>
      <c r="AE992" s="5" t="s">
        <v>16</v>
      </c>
      <c r="AF992" s="46" t="str">
        <f>IF(VLOOKUP(AE992,βοηθητικό!$J$2:$N$354,3,FALSE)="","",VLOOKUP(AE992,βοηθητικό!$J$2:$N$354,3,FALSE))</f>
        <v>_</v>
      </c>
      <c r="AG992" s="47"/>
      <c r="AH992" s="4" t="s">
        <v>16</v>
      </c>
      <c r="AI992" s="43" t="str">
        <f>IF(VLOOKUP(AH992,βοηθητικό!$J$2:$N$354,3,FALSE)="","",VLOOKUP(AH992,βοηθητικό!$J$2:$N$354,3,FALSE))</f>
        <v>_</v>
      </c>
      <c r="AJ992" s="44"/>
      <c r="AK992" s="5" t="s">
        <v>16</v>
      </c>
      <c r="AL992" s="46" t="str">
        <f>IF(VLOOKUP(AK992,βοηθητικό!$J$2:$N$354,3,FALSE)="","",VLOOKUP(AK992,βοηθητικό!$J$2:$N$354,3,FALSE))</f>
        <v>_</v>
      </c>
      <c r="AM992" s="47"/>
      <c r="AN992" s="4" t="s">
        <v>16</v>
      </c>
      <c r="AO992" s="43" t="str">
        <f>IF(VLOOKUP(AN992,βοηθητικό!$J$2:$N$354,3,FALSE)="","",VLOOKUP(AN992,βοηθητικό!$J$2:$N$354,3,FALSE))</f>
        <v>_</v>
      </c>
      <c r="AP992" s="44"/>
      <c r="AQ992" s="5" t="s">
        <v>16</v>
      </c>
      <c r="AR992" s="46" t="str">
        <f>IF(VLOOKUP(AQ992,βοηθητικό!$J$2:$N$354,3,FALSE)="","",VLOOKUP(AQ992,βοηθητικό!$J$2:$N$354,3,FALSE))</f>
        <v>_</v>
      </c>
      <c r="AS992" s="47"/>
      <c r="AT992" s="4" t="s">
        <v>16</v>
      </c>
      <c r="AU992" s="43" t="str">
        <f>IF(VLOOKUP(AT992,βοηθητικό!$J$2:$N$354,3,FALSE)="","",VLOOKUP(AT992,βοηθητικό!$J$2:$N$354,3,FALSE))</f>
        <v>_</v>
      </c>
      <c r="AV992" s="44"/>
      <c r="AW992" s="5" t="s">
        <v>16</v>
      </c>
      <c r="AX992" s="46" t="str">
        <f>IF(VLOOKUP(AW992,βοηθητικό!$J$2:$N$354,3,FALSE)="","",VLOOKUP(AW992,βοηθητικό!$J$2:$N$354,3,FALSE))</f>
        <v>_</v>
      </c>
      <c r="AY992" s="47"/>
      <c r="AZ992" s="4" t="s">
        <v>16</v>
      </c>
      <c r="BA992" s="43" t="str">
        <f>IF(VLOOKUP(AZ992,βοηθητικό!$J$2:$N$354,3,FALSE)="","",VLOOKUP(AZ992,βοηθητικό!$J$2:$N$354,3,FALSE))</f>
        <v>_</v>
      </c>
      <c r="BB992" s="44"/>
      <c r="BC992" s="45" t="s">
        <v>16</v>
      </c>
      <c r="BD992" s="46" t="str">
        <f>IF(VLOOKUP(BC992,βοηθητικό!$J$2:$N$354,3,FALSE)="","",VLOOKUP(BC992,βοηθητικό!$J$2:$N$354,3,FALSE))</f>
        <v>_</v>
      </c>
      <c r="BE992" s="47"/>
      <c r="BF992" s="42" t="s">
        <v>16</v>
      </c>
      <c r="BG992" s="43" t="str">
        <f>IF(VLOOKUP(BF992,βοηθητικό!$J$2:$N$354,3,FALSE)="","",VLOOKUP(BF992,βοηθητικό!$J$2:$N$354,3,FALSE))</f>
        <v>_</v>
      </c>
      <c r="BH992" s="44"/>
      <c r="BI992" s="45" t="s">
        <v>16</v>
      </c>
      <c r="BJ992" s="46" t="str">
        <f>IF(VLOOKUP(BI992,βοηθητικό!$J$2:$N$354,3,FALSE)="","",VLOOKUP(BI992,βοηθητικό!$J$2:$N$354,3,FALSE))</f>
        <v>_</v>
      </c>
      <c r="BK992" s="47"/>
      <c r="BL992" s="42" t="s">
        <v>16</v>
      </c>
      <c r="BM992" s="43" t="str">
        <f>IF(VLOOKUP(BL992,βοηθητικό!$J$2:$N$354,3,FALSE)="","",VLOOKUP(BL992,βοηθητικό!$J$2:$N$354,3,FALSE))</f>
        <v>_</v>
      </c>
      <c r="BN992" s="44"/>
      <c r="BO992" s="45" t="s">
        <v>16</v>
      </c>
      <c r="BP992" s="46" t="str">
        <f>IF(VLOOKUP(BO992,βοηθητικό!$J$2:$N$354,3,FALSE)="","",VLOOKUP(BO992,βοηθητικό!$J$2:$N$354,3,FALSE))</f>
        <v>_</v>
      </c>
      <c r="BQ992" s="47"/>
      <c r="BR992" s="42" t="s">
        <v>16</v>
      </c>
      <c r="BS992" s="43" t="str">
        <f>IF(VLOOKUP(BR992,βοηθητικό!$J$2:$N$354,3,FALSE)="","",VLOOKUP(BR992,βοηθητικό!$J$2:$N$354,3,FALSE))</f>
        <v>_</v>
      </c>
      <c r="BT992" s="44"/>
      <c r="BU992" s="45" t="s">
        <v>16</v>
      </c>
      <c r="BV992" s="46" t="str">
        <f>IF(VLOOKUP(BU992,βοηθητικό!$J$2:$N$354,3,FALSE)="","",VLOOKUP(BU992,βοηθητικό!$J$2:$N$354,3,FALSE))</f>
        <v>_</v>
      </c>
      <c r="BW992" s="47"/>
      <c r="BX992" s="42" t="s">
        <v>16</v>
      </c>
      <c r="BY992" s="43" t="str">
        <f>IF(VLOOKUP(BX992,βοηθητικό!$J$2:$N$354,3,FALSE)="","",VLOOKUP(BX992,βοηθητικό!$J$2:$N$354,3,FALSE))</f>
        <v>_</v>
      </c>
      <c r="BZ992" s="44"/>
      <c r="CA992" s="45" t="s">
        <v>16</v>
      </c>
      <c r="CB992" s="46" t="str">
        <f>IF(VLOOKUP(CA992,βοηθητικό!$J$2:$N$354,3,FALSE)="","",VLOOKUP(CA992,βοηθητικό!$J$2:$N$354,3,FALSE))</f>
        <v>_</v>
      </c>
      <c r="CC992" s="47"/>
      <c r="CD992" s="42" t="s">
        <v>16</v>
      </c>
      <c r="CE992" s="43" t="str">
        <f>IF(VLOOKUP(CD992,βοηθητικό!$J$2:$N$354,3,FALSE)="","",VLOOKUP(CD992,βοηθητικό!$J$2:$N$354,3,FALSE))</f>
        <v>_</v>
      </c>
      <c r="CF992" s="44"/>
      <c r="CG992" s="45" t="s">
        <v>16</v>
      </c>
      <c r="CH992" s="46" t="str">
        <f>IF(VLOOKUP(CG992,βοηθητικό!$J$2:$N$354,3,FALSE)="","",VLOOKUP(CG992,βοηθητικό!$J$2:$N$354,3,FALSE))</f>
        <v>_</v>
      </c>
      <c r="CI992" s="47"/>
      <c r="CJ992" s="42" t="s">
        <v>16</v>
      </c>
      <c r="CK992" s="43" t="str">
        <f>IF(VLOOKUP(CJ992,βοηθητικό!$J$2:$N$354,3,FALSE)="","",VLOOKUP(CJ992,βοηθητικό!$J$2:$N$354,3,FALSE))</f>
        <v>_</v>
      </c>
      <c r="CL992" s="44"/>
      <c r="CM992" s="45" t="s">
        <v>16</v>
      </c>
      <c r="CN992" s="46" t="str">
        <f>IF(VLOOKUP(CM992,βοηθητικό!$J$2:$N$354,3,FALSE)="","",VLOOKUP(CM992,βοηθητικό!$J$2:$N$354,3,FALSE))</f>
        <v>_</v>
      </c>
      <c r="CO992" s="47"/>
      <c r="CP992" s="42" t="s">
        <v>16</v>
      </c>
      <c r="CQ992" s="43" t="str">
        <f>IF(VLOOKUP(CP992,βοηθητικό!$J$2:$N$354,3,FALSE)="","",VLOOKUP(CP992,βοηθητικό!$J$2:$N$354,3,FALSE))</f>
        <v>_</v>
      </c>
      <c r="CR992" s="44"/>
      <c r="CS992" s="45" t="s">
        <v>16</v>
      </c>
      <c r="CT992" s="46" t="str">
        <f>IF(VLOOKUP(CS992,βοηθητικό!$J$2:$N$354,3,FALSE)="","",VLOOKUP(CS992,βοηθητικό!$J$2:$N$354,3,FALSE))</f>
        <v>_</v>
      </c>
      <c r="CU992" s="47"/>
    </row>
    <row r="993" spans="1:99" x14ac:dyDescent="0.25">
      <c r="A993" s="37">
        <f>--SUBTOTAL(3,$B$3:B992)</f>
        <v>198</v>
      </c>
      <c r="B993" s="2"/>
      <c r="C993" s="3"/>
      <c r="D993" s="55" t="s">
        <v>18</v>
      </c>
      <c r="E993" s="38" t="s">
        <v>16</v>
      </c>
      <c r="F993" s="38"/>
      <c r="G993" s="39" t="str">
        <f t="shared" si="47"/>
        <v>__</v>
      </c>
      <c r="H993" s="40" t="str">
        <f t="shared" si="48"/>
        <v>FALSE</v>
      </c>
      <c r="I993" s="41">
        <f t="shared" si="49"/>
        <v>0</v>
      </c>
      <c r="J993" s="4" t="s">
        <v>16</v>
      </c>
      <c r="K993" s="43" t="str">
        <f>IF(VLOOKUP(J993,βοηθητικό!$J$2:$N$354,3,FALSE)="","",VLOOKUP(J993,βοηθητικό!$J$2:$N$354,3,FALSE))</f>
        <v>_</v>
      </c>
      <c r="L993" s="44"/>
      <c r="M993" s="5" t="s">
        <v>16</v>
      </c>
      <c r="N993" s="46" t="str">
        <f>IF(VLOOKUP(M993,βοηθητικό!$J$2:$N$354,3,FALSE)="","",VLOOKUP(M993,βοηθητικό!$J$2:$N$354,3,FALSE))</f>
        <v>_</v>
      </c>
      <c r="O993" s="47"/>
      <c r="P993" s="4" t="s">
        <v>16</v>
      </c>
      <c r="Q993" s="43" t="str">
        <f>IF(VLOOKUP(P993,βοηθητικό!$J$2:$N$354,3,FALSE)="","",VLOOKUP(P993,βοηθητικό!$J$2:$N$354,3,FALSE))</f>
        <v>_</v>
      </c>
      <c r="R993" s="44"/>
      <c r="S993" s="5" t="s">
        <v>16</v>
      </c>
      <c r="T993" s="46" t="str">
        <f>IF(VLOOKUP(S993,βοηθητικό!$J$2:$N$354,3,FALSE)="","",VLOOKUP(S993,βοηθητικό!$J$2:$N$354,3,FALSE))</f>
        <v>_</v>
      </c>
      <c r="U993" s="47"/>
      <c r="V993" s="4" t="s">
        <v>16</v>
      </c>
      <c r="W993" s="43" t="str">
        <f>IF(VLOOKUP(V993,βοηθητικό!$J$2:$N$354,3,FALSE)="","",VLOOKUP(V993,βοηθητικό!$J$2:$N$354,3,FALSE))</f>
        <v>_</v>
      </c>
      <c r="X993" s="44"/>
      <c r="Y993" s="5" t="s">
        <v>16</v>
      </c>
      <c r="Z993" s="46" t="str">
        <f>IF(VLOOKUP(Y993,βοηθητικό!$J$2:$N$354,3,FALSE)="","",VLOOKUP(Y993,βοηθητικό!$J$2:$N$354,3,FALSE))</f>
        <v>_</v>
      </c>
      <c r="AA993" s="47"/>
      <c r="AB993" s="4" t="s">
        <v>16</v>
      </c>
      <c r="AC993" s="43" t="str">
        <f>IF(VLOOKUP(AB993,βοηθητικό!$J$2:$N$354,3,FALSE)="","",VLOOKUP(AB993,βοηθητικό!$J$2:$N$354,3,FALSE))</f>
        <v>_</v>
      </c>
      <c r="AD993" s="44"/>
      <c r="AE993" s="5" t="s">
        <v>16</v>
      </c>
      <c r="AF993" s="46" t="str">
        <f>IF(VLOOKUP(AE993,βοηθητικό!$J$2:$N$354,3,FALSE)="","",VLOOKUP(AE993,βοηθητικό!$J$2:$N$354,3,FALSE))</f>
        <v>_</v>
      </c>
      <c r="AG993" s="47"/>
      <c r="AH993" s="4" t="s">
        <v>16</v>
      </c>
      <c r="AI993" s="43" t="str">
        <f>IF(VLOOKUP(AH993,βοηθητικό!$J$2:$N$354,3,FALSE)="","",VLOOKUP(AH993,βοηθητικό!$J$2:$N$354,3,FALSE))</f>
        <v>_</v>
      </c>
      <c r="AJ993" s="44"/>
      <c r="AK993" s="5" t="s">
        <v>16</v>
      </c>
      <c r="AL993" s="46" t="str">
        <f>IF(VLOOKUP(AK993,βοηθητικό!$J$2:$N$354,3,FALSE)="","",VLOOKUP(AK993,βοηθητικό!$J$2:$N$354,3,FALSE))</f>
        <v>_</v>
      </c>
      <c r="AM993" s="47"/>
      <c r="AN993" s="4" t="s">
        <v>16</v>
      </c>
      <c r="AO993" s="43" t="str">
        <f>IF(VLOOKUP(AN993,βοηθητικό!$J$2:$N$354,3,FALSE)="","",VLOOKUP(AN993,βοηθητικό!$J$2:$N$354,3,FALSE))</f>
        <v>_</v>
      </c>
      <c r="AP993" s="44"/>
      <c r="AQ993" s="5" t="s">
        <v>16</v>
      </c>
      <c r="AR993" s="46" t="str">
        <f>IF(VLOOKUP(AQ993,βοηθητικό!$J$2:$N$354,3,FALSE)="","",VLOOKUP(AQ993,βοηθητικό!$J$2:$N$354,3,FALSE))</f>
        <v>_</v>
      </c>
      <c r="AS993" s="47"/>
      <c r="AT993" s="4" t="s">
        <v>16</v>
      </c>
      <c r="AU993" s="43" t="str">
        <f>IF(VLOOKUP(AT993,βοηθητικό!$J$2:$N$354,3,FALSE)="","",VLOOKUP(AT993,βοηθητικό!$J$2:$N$354,3,FALSE))</f>
        <v>_</v>
      </c>
      <c r="AV993" s="44"/>
      <c r="AW993" s="5" t="s">
        <v>16</v>
      </c>
      <c r="AX993" s="46" t="str">
        <f>IF(VLOOKUP(AW993,βοηθητικό!$J$2:$N$354,3,FALSE)="","",VLOOKUP(AW993,βοηθητικό!$J$2:$N$354,3,FALSE))</f>
        <v>_</v>
      </c>
      <c r="AY993" s="47"/>
      <c r="AZ993" s="4" t="s">
        <v>16</v>
      </c>
      <c r="BA993" s="43" t="str">
        <f>IF(VLOOKUP(AZ993,βοηθητικό!$J$2:$N$354,3,FALSE)="","",VLOOKUP(AZ993,βοηθητικό!$J$2:$N$354,3,FALSE))</f>
        <v>_</v>
      </c>
      <c r="BB993" s="44"/>
      <c r="BC993" s="45" t="s">
        <v>16</v>
      </c>
      <c r="BD993" s="46" t="str">
        <f>IF(VLOOKUP(BC993,βοηθητικό!$J$2:$N$354,3,FALSE)="","",VLOOKUP(BC993,βοηθητικό!$J$2:$N$354,3,FALSE))</f>
        <v>_</v>
      </c>
      <c r="BE993" s="47"/>
      <c r="BF993" s="42" t="s">
        <v>16</v>
      </c>
      <c r="BG993" s="43" t="str">
        <f>IF(VLOOKUP(BF993,βοηθητικό!$J$2:$N$354,3,FALSE)="","",VLOOKUP(BF993,βοηθητικό!$J$2:$N$354,3,FALSE))</f>
        <v>_</v>
      </c>
      <c r="BH993" s="44"/>
      <c r="BI993" s="45" t="s">
        <v>16</v>
      </c>
      <c r="BJ993" s="46" t="str">
        <f>IF(VLOOKUP(BI993,βοηθητικό!$J$2:$N$354,3,FALSE)="","",VLOOKUP(BI993,βοηθητικό!$J$2:$N$354,3,FALSE))</f>
        <v>_</v>
      </c>
      <c r="BK993" s="47"/>
      <c r="BL993" s="42" t="s">
        <v>16</v>
      </c>
      <c r="BM993" s="43" t="str">
        <f>IF(VLOOKUP(BL993,βοηθητικό!$J$2:$N$354,3,FALSE)="","",VLOOKUP(BL993,βοηθητικό!$J$2:$N$354,3,FALSE))</f>
        <v>_</v>
      </c>
      <c r="BN993" s="44"/>
      <c r="BO993" s="45" t="s">
        <v>16</v>
      </c>
      <c r="BP993" s="46" t="str">
        <f>IF(VLOOKUP(BO993,βοηθητικό!$J$2:$N$354,3,FALSE)="","",VLOOKUP(BO993,βοηθητικό!$J$2:$N$354,3,FALSE))</f>
        <v>_</v>
      </c>
      <c r="BQ993" s="47"/>
      <c r="BR993" s="42" t="s">
        <v>16</v>
      </c>
      <c r="BS993" s="43" t="str">
        <f>IF(VLOOKUP(BR993,βοηθητικό!$J$2:$N$354,3,FALSE)="","",VLOOKUP(BR993,βοηθητικό!$J$2:$N$354,3,FALSE))</f>
        <v>_</v>
      </c>
      <c r="BT993" s="44"/>
      <c r="BU993" s="45" t="s">
        <v>16</v>
      </c>
      <c r="BV993" s="46" t="str">
        <f>IF(VLOOKUP(BU993,βοηθητικό!$J$2:$N$354,3,FALSE)="","",VLOOKUP(BU993,βοηθητικό!$J$2:$N$354,3,FALSE))</f>
        <v>_</v>
      </c>
      <c r="BW993" s="47"/>
      <c r="BX993" s="42" t="s">
        <v>16</v>
      </c>
      <c r="BY993" s="43" t="str">
        <f>IF(VLOOKUP(BX993,βοηθητικό!$J$2:$N$354,3,FALSE)="","",VLOOKUP(BX993,βοηθητικό!$J$2:$N$354,3,FALSE))</f>
        <v>_</v>
      </c>
      <c r="BZ993" s="44"/>
      <c r="CA993" s="45" t="s">
        <v>16</v>
      </c>
      <c r="CB993" s="46" t="str">
        <f>IF(VLOOKUP(CA993,βοηθητικό!$J$2:$N$354,3,FALSE)="","",VLOOKUP(CA993,βοηθητικό!$J$2:$N$354,3,FALSE))</f>
        <v>_</v>
      </c>
      <c r="CC993" s="47"/>
      <c r="CD993" s="42" t="s">
        <v>16</v>
      </c>
      <c r="CE993" s="43" t="str">
        <f>IF(VLOOKUP(CD993,βοηθητικό!$J$2:$N$354,3,FALSE)="","",VLOOKUP(CD993,βοηθητικό!$J$2:$N$354,3,FALSE))</f>
        <v>_</v>
      </c>
      <c r="CF993" s="44"/>
      <c r="CG993" s="45" t="s">
        <v>16</v>
      </c>
      <c r="CH993" s="46" t="str">
        <f>IF(VLOOKUP(CG993,βοηθητικό!$J$2:$N$354,3,FALSE)="","",VLOOKUP(CG993,βοηθητικό!$J$2:$N$354,3,FALSE))</f>
        <v>_</v>
      </c>
      <c r="CI993" s="47"/>
      <c r="CJ993" s="42" t="s">
        <v>16</v>
      </c>
      <c r="CK993" s="43" t="str">
        <f>IF(VLOOKUP(CJ993,βοηθητικό!$J$2:$N$354,3,FALSE)="","",VLOOKUP(CJ993,βοηθητικό!$J$2:$N$354,3,FALSE))</f>
        <v>_</v>
      </c>
      <c r="CL993" s="44"/>
      <c r="CM993" s="45" t="s">
        <v>16</v>
      </c>
      <c r="CN993" s="46" t="str">
        <f>IF(VLOOKUP(CM993,βοηθητικό!$J$2:$N$354,3,FALSE)="","",VLOOKUP(CM993,βοηθητικό!$J$2:$N$354,3,FALSE))</f>
        <v>_</v>
      </c>
      <c r="CO993" s="47"/>
      <c r="CP993" s="42" t="s">
        <v>16</v>
      </c>
      <c r="CQ993" s="43" t="str">
        <f>IF(VLOOKUP(CP993,βοηθητικό!$J$2:$N$354,3,FALSE)="","",VLOOKUP(CP993,βοηθητικό!$J$2:$N$354,3,FALSE))</f>
        <v>_</v>
      </c>
      <c r="CR993" s="44"/>
      <c r="CS993" s="45" t="s">
        <v>16</v>
      </c>
      <c r="CT993" s="46" t="str">
        <f>IF(VLOOKUP(CS993,βοηθητικό!$J$2:$N$354,3,FALSE)="","",VLOOKUP(CS993,βοηθητικό!$J$2:$N$354,3,FALSE))</f>
        <v>_</v>
      </c>
      <c r="CU993" s="47"/>
    </row>
    <row r="994" spans="1:99" x14ac:dyDescent="0.25">
      <c r="A994" s="37">
        <f>--SUBTOTAL(3,$B$3:B993)</f>
        <v>198</v>
      </c>
      <c r="B994" s="2"/>
      <c r="C994" s="3"/>
      <c r="D994" s="55" t="s">
        <v>18</v>
      </c>
      <c r="E994" s="38" t="s">
        <v>16</v>
      </c>
      <c r="F994" s="38"/>
      <c r="G994" s="39" t="str">
        <f t="shared" si="47"/>
        <v>__</v>
      </c>
      <c r="H994" s="40" t="str">
        <f t="shared" si="48"/>
        <v>FALSE</v>
      </c>
      <c r="I994" s="41">
        <f t="shared" si="49"/>
        <v>0</v>
      </c>
      <c r="J994" s="4" t="s">
        <v>16</v>
      </c>
      <c r="K994" s="43" t="str">
        <f>IF(VLOOKUP(J994,βοηθητικό!$J$2:$N$354,3,FALSE)="","",VLOOKUP(J994,βοηθητικό!$J$2:$N$354,3,FALSE))</f>
        <v>_</v>
      </c>
      <c r="L994" s="44"/>
      <c r="M994" s="5" t="s">
        <v>16</v>
      </c>
      <c r="N994" s="46" t="str">
        <f>IF(VLOOKUP(M994,βοηθητικό!$J$2:$N$354,3,FALSE)="","",VLOOKUP(M994,βοηθητικό!$J$2:$N$354,3,FALSE))</f>
        <v>_</v>
      </c>
      <c r="O994" s="47"/>
      <c r="P994" s="4" t="s">
        <v>16</v>
      </c>
      <c r="Q994" s="43" t="str">
        <f>IF(VLOOKUP(P994,βοηθητικό!$J$2:$N$354,3,FALSE)="","",VLOOKUP(P994,βοηθητικό!$J$2:$N$354,3,FALSE))</f>
        <v>_</v>
      </c>
      <c r="R994" s="44"/>
      <c r="S994" s="5" t="s">
        <v>16</v>
      </c>
      <c r="T994" s="46" t="str">
        <f>IF(VLOOKUP(S994,βοηθητικό!$J$2:$N$354,3,FALSE)="","",VLOOKUP(S994,βοηθητικό!$J$2:$N$354,3,FALSE))</f>
        <v>_</v>
      </c>
      <c r="U994" s="47"/>
      <c r="V994" s="4" t="s">
        <v>16</v>
      </c>
      <c r="W994" s="43" t="str">
        <f>IF(VLOOKUP(V994,βοηθητικό!$J$2:$N$354,3,FALSE)="","",VLOOKUP(V994,βοηθητικό!$J$2:$N$354,3,FALSE))</f>
        <v>_</v>
      </c>
      <c r="X994" s="44"/>
      <c r="Y994" s="5" t="s">
        <v>16</v>
      </c>
      <c r="Z994" s="46" t="str">
        <f>IF(VLOOKUP(Y994,βοηθητικό!$J$2:$N$354,3,FALSE)="","",VLOOKUP(Y994,βοηθητικό!$J$2:$N$354,3,FALSE))</f>
        <v>_</v>
      </c>
      <c r="AA994" s="47"/>
      <c r="AB994" s="4" t="s">
        <v>16</v>
      </c>
      <c r="AC994" s="43" t="str">
        <f>IF(VLOOKUP(AB994,βοηθητικό!$J$2:$N$354,3,FALSE)="","",VLOOKUP(AB994,βοηθητικό!$J$2:$N$354,3,FALSE))</f>
        <v>_</v>
      </c>
      <c r="AD994" s="44"/>
      <c r="AE994" s="5" t="s">
        <v>16</v>
      </c>
      <c r="AF994" s="46" t="str">
        <f>IF(VLOOKUP(AE994,βοηθητικό!$J$2:$N$354,3,FALSE)="","",VLOOKUP(AE994,βοηθητικό!$J$2:$N$354,3,FALSE))</f>
        <v>_</v>
      </c>
      <c r="AG994" s="47"/>
      <c r="AH994" s="4" t="s">
        <v>16</v>
      </c>
      <c r="AI994" s="43" t="str">
        <f>IF(VLOOKUP(AH994,βοηθητικό!$J$2:$N$354,3,FALSE)="","",VLOOKUP(AH994,βοηθητικό!$J$2:$N$354,3,FALSE))</f>
        <v>_</v>
      </c>
      <c r="AJ994" s="44"/>
      <c r="AK994" s="5" t="s">
        <v>16</v>
      </c>
      <c r="AL994" s="46" t="str">
        <f>IF(VLOOKUP(AK994,βοηθητικό!$J$2:$N$354,3,FALSE)="","",VLOOKUP(AK994,βοηθητικό!$J$2:$N$354,3,FALSE))</f>
        <v>_</v>
      </c>
      <c r="AM994" s="47"/>
      <c r="AN994" s="4" t="s">
        <v>16</v>
      </c>
      <c r="AO994" s="43" t="str">
        <f>IF(VLOOKUP(AN994,βοηθητικό!$J$2:$N$354,3,FALSE)="","",VLOOKUP(AN994,βοηθητικό!$J$2:$N$354,3,FALSE))</f>
        <v>_</v>
      </c>
      <c r="AP994" s="44"/>
      <c r="AQ994" s="5" t="s">
        <v>16</v>
      </c>
      <c r="AR994" s="46" t="str">
        <f>IF(VLOOKUP(AQ994,βοηθητικό!$J$2:$N$354,3,FALSE)="","",VLOOKUP(AQ994,βοηθητικό!$J$2:$N$354,3,FALSE))</f>
        <v>_</v>
      </c>
      <c r="AS994" s="47"/>
      <c r="AT994" s="4" t="s">
        <v>16</v>
      </c>
      <c r="AU994" s="43" t="str">
        <f>IF(VLOOKUP(AT994,βοηθητικό!$J$2:$N$354,3,FALSE)="","",VLOOKUP(AT994,βοηθητικό!$J$2:$N$354,3,FALSE))</f>
        <v>_</v>
      </c>
      <c r="AV994" s="44"/>
      <c r="AW994" s="5" t="s">
        <v>16</v>
      </c>
      <c r="AX994" s="46" t="str">
        <f>IF(VLOOKUP(AW994,βοηθητικό!$J$2:$N$354,3,FALSE)="","",VLOOKUP(AW994,βοηθητικό!$J$2:$N$354,3,FALSE))</f>
        <v>_</v>
      </c>
      <c r="AY994" s="47"/>
      <c r="AZ994" s="4" t="s">
        <v>16</v>
      </c>
      <c r="BA994" s="43" t="str">
        <f>IF(VLOOKUP(AZ994,βοηθητικό!$J$2:$N$354,3,FALSE)="","",VLOOKUP(AZ994,βοηθητικό!$J$2:$N$354,3,FALSE))</f>
        <v>_</v>
      </c>
      <c r="BB994" s="44"/>
      <c r="BC994" s="45" t="s">
        <v>16</v>
      </c>
      <c r="BD994" s="46" t="str">
        <f>IF(VLOOKUP(BC994,βοηθητικό!$J$2:$N$354,3,FALSE)="","",VLOOKUP(BC994,βοηθητικό!$J$2:$N$354,3,FALSE))</f>
        <v>_</v>
      </c>
      <c r="BE994" s="47"/>
      <c r="BF994" s="42" t="s">
        <v>16</v>
      </c>
      <c r="BG994" s="43" t="str">
        <f>IF(VLOOKUP(BF994,βοηθητικό!$J$2:$N$354,3,FALSE)="","",VLOOKUP(BF994,βοηθητικό!$J$2:$N$354,3,FALSE))</f>
        <v>_</v>
      </c>
      <c r="BH994" s="44"/>
      <c r="BI994" s="45" t="s">
        <v>16</v>
      </c>
      <c r="BJ994" s="46" t="str">
        <f>IF(VLOOKUP(BI994,βοηθητικό!$J$2:$N$354,3,FALSE)="","",VLOOKUP(BI994,βοηθητικό!$J$2:$N$354,3,FALSE))</f>
        <v>_</v>
      </c>
      <c r="BK994" s="47"/>
      <c r="BL994" s="42" t="s">
        <v>16</v>
      </c>
      <c r="BM994" s="43" t="str">
        <f>IF(VLOOKUP(BL994,βοηθητικό!$J$2:$N$354,3,FALSE)="","",VLOOKUP(BL994,βοηθητικό!$J$2:$N$354,3,FALSE))</f>
        <v>_</v>
      </c>
      <c r="BN994" s="44"/>
      <c r="BO994" s="45" t="s">
        <v>16</v>
      </c>
      <c r="BP994" s="46" t="str">
        <f>IF(VLOOKUP(BO994,βοηθητικό!$J$2:$N$354,3,FALSE)="","",VLOOKUP(BO994,βοηθητικό!$J$2:$N$354,3,FALSE))</f>
        <v>_</v>
      </c>
      <c r="BQ994" s="47"/>
      <c r="BR994" s="42" t="s">
        <v>16</v>
      </c>
      <c r="BS994" s="43" t="str">
        <f>IF(VLOOKUP(BR994,βοηθητικό!$J$2:$N$354,3,FALSE)="","",VLOOKUP(BR994,βοηθητικό!$J$2:$N$354,3,FALSE))</f>
        <v>_</v>
      </c>
      <c r="BT994" s="44"/>
      <c r="BU994" s="45" t="s">
        <v>16</v>
      </c>
      <c r="BV994" s="46" t="str">
        <f>IF(VLOOKUP(BU994,βοηθητικό!$J$2:$N$354,3,FALSE)="","",VLOOKUP(BU994,βοηθητικό!$J$2:$N$354,3,FALSE))</f>
        <v>_</v>
      </c>
      <c r="BW994" s="47"/>
      <c r="BX994" s="42" t="s">
        <v>16</v>
      </c>
      <c r="BY994" s="43" t="str">
        <f>IF(VLOOKUP(BX994,βοηθητικό!$J$2:$N$354,3,FALSE)="","",VLOOKUP(BX994,βοηθητικό!$J$2:$N$354,3,FALSE))</f>
        <v>_</v>
      </c>
      <c r="BZ994" s="44"/>
      <c r="CA994" s="45" t="s">
        <v>16</v>
      </c>
      <c r="CB994" s="46" t="str">
        <f>IF(VLOOKUP(CA994,βοηθητικό!$J$2:$N$354,3,FALSE)="","",VLOOKUP(CA994,βοηθητικό!$J$2:$N$354,3,FALSE))</f>
        <v>_</v>
      </c>
      <c r="CC994" s="47"/>
      <c r="CD994" s="42" t="s">
        <v>16</v>
      </c>
      <c r="CE994" s="43" t="str">
        <f>IF(VLOOKUP(CD994,βοηθητικό!$J$2:$N$354,3,FALSE)="","",VLOOKUP(CD994,βοηθητικό!$J$2:$N$354,3,FALSE))</f>
        <v>_</v>
      </c>
      <c r="CF994" s="44"/>
      <c r="CG994" s="45" t="s">
        <v>16</v>
      </c>
      <c r="CH994" s="46" t="str">
        <f>IF(VLOOKUP(CG994,βοηθητικό!$J$2:$N$354,3,FALSE)="","",VLOOKUP(CG994,βοηθητικό!$J$2:$N$354,3,FALSE))</f>
        <v>_</v>
      </c>
      <c r="CI994" s="47"/>
      <c r="CJ994" s="42" t="s">
        <v>16</v>
      </c>
      <c r="CK994" s="43" t="str">
        <f>IF(VLOOKUP(CJ994,βοηθητικό!$J$2:$N$354,3,FALSE)="","",VLOOKUP(CJ994,βοηθητικό!$J$2:$N$354,3,FALSE))</f>
        <v>_</v>
      </c>
      <c r="CL994" s="44"/>
      <c r="CM994" s="45" t="s">
        <v>16</v>
      </c>
      <c r="CN994" s="46" t="str">
        <f>IF(VLOOKUP(CM994,βοηθητικό!$J$2:$N$354,3,FALSE)="","",VLOOKUP(CM994,βοηθητικό!$J$2:$N$354,3,FALSE))</f>
        <v>_</v>
      </c>
      <c r="CO994" s="47"/>
      <c r="CP994" s="42" t="s">
        <v>16</v>
      </c>
      <c r="CQ994" s="43" t="str">
        <f>IF(VLOOKUP(CP994,βοηθητικό!$J$2:$N$354,3,FALSE)="","",VLOOKUP(CP994,βοηθητικό!$J$2:$N$354,3,FALSE))</f>
        <v>_</v>
      </c>
      <c r="CR994" s="44"/>
      <c r="CS994" s="45" t="s">
        <v>16</v>
      </c>
      <c r="CT994" s="46" t="str">
        <f>IF(VLOOKUP(CS994,βοηθητικό!$J$2:$N$354,3,FALSE)="","",VLOOKUP(CS994,βοηθητικό!$J$2:$N$354,3,FALSE))</f>
        <v>_</v>
      </c>
      <c r="CU994" s="47"/>
    </row>
    <row r="995" spans="1:99" x14ac:dyDescent="0.25">
      <c r="A995" s="37">
        <f>--SUBTOTAL(3,$B$3:B994)</f>
        <v>198</v>
      </c>
      <c r="B995" s="2"/>
      <c r="C995" s="3"/>
      <c r="D995" s="55" t="s">
        <v>18</v>
      </c>
      <c r="E995" s="38" t="s">
        <v>16</v>
      </c>
      <c r="F995" s="38"/>
      <c r="G995" s="39" t="str">
        <f t="shared" si="47"/>
        <v>__</v>
      </c>
      <c r="H995" s="40" t="str">
        <f t="shared" si="48"/>
        <v>FALSE</v>
      </c>
      <c r="I995" s="41">
        <f t="shared" si="49"/>
        <v>0</v>
      </c>
      <c r="J995" s="4" t="s">
        <v>16</v>
      </c>
      <c r="K995" s="43" t="str">
        <f>IF(VLOOKUP(J995,βοηθητικό!$J$2:$N$354,3,FALSE)="","",VLOOKUP(J995,βοηθητικό!$J$2:$N$354,3,FALSE))</f>
        <v>_</v>
      </c>
      <c r="L995" s="44"/>
      <c r="M995" s="5" t="s">
        <v>16</v>
      </c>
      <c r="N995" s="46" t="str">
        <f>IF(VLOOKUP(M995,βοηθητικό!$J$2:$N$354,3,FALSE)="","",VLOOKUP(M995,βοηθητικό!$J$2:$N$354,3,FALSE))</f>
        <v>_</v>
      </c>
      <c r="O995" s="47"/>
      <c r="P995" s="4" t="s">
        <v>16</v>
      </c>
      <c r="Q995" s="43" t="str">
        <f>IF(VLOOKUP(P995,βοηθητικό!$J$2:$N$354,3,FALSE)="","",VLOOKUP(P995,βοηθητικό!$J$2:$N$354,3,FALSE))</f>
        <v>_</v>
      </c>
      <c r="R995" s="44"/>
      <c r="S995" s="5" t="s">
        <v>16</v>
      </c>
      <c r="T995" s="46" t="str">
        <f>IF(VLOOKUP(S995,βοηθητικό!$J$2:$N$354,3,FALSE)="","",VLOOKUP(S995,βοηθητικό!$J$2:$N$354,3,FALSE))</f>
        <v>_</v>
      </c>
      <c r="U995" s="47"/>
      <c r="V995" s="4" t="s">
        <v>16</v>
      </c>
      <c r="W995" s="43" t="str">
        <f>IF(VLOOKUP(V995,βοηθητικό!$J$2:$N$354,3,FALSE)="","",VLOOKUP(V995,βοηθητικό!$J$2:$N$354,3,FALSE))</f>
        <v>_</v>
      </c>
      <c r="X995" s="44"/>
      <c r="Y995" s="5" t="s">
        <v>16</v>
      </c>
      <c r="Z995" s="46" t="str">
        <f>IF(VLOOKUP(Y995,βοηθητικό!$J$2:$N$354,3,FALSE)="","",VLOOKUP(Y995,βοηθητικό!$J$2:$N$354,3,FALSE))</f>
        <v>_</v>
      </c>
      <c r="AA995" s="47"/>
      <c r="AB995" s="4" t="s">
        <v>16</v>
      </c>
      <c r="AC995" s="43" t="str">
        <f>IF(VLOOKUP(AB995,βοηθητικό!$J$2:$N$354,3,FALSE)="","",VLOOKUP(AB995,βοηθητικό!$J$2:$N$354,3,FALSE))</f>
        <v>_</v>
      </c>
      <c r="AD995" s="44"/>
      <c r="AE995" s="5" t="s">
        <v>16</v>
      </c>
      <c r="AF995" s="46" t="str">
        <f>IF(VLOOKUP(AE995,βοηθητικό!$J$2:$N$354,3,FALSE)="","",VLOOKUP(AE995,βοηθητικό!$J$2:$N$354,3,FALSE))</f>
        <v>_</v>
      </c>
      <c r="AG995" s="47"/>
      <c r="AH995" s="4" t="s">
        <v>16</v>
      </c>
      <c r="AI995" s="43" t="str">
        <f>IF(VLOOKUP(AH995,βοηθητικό!$J$2:$N$354,3,FALSE)="","",VLOOKUP(AH995,βοηθητικό!$J$2:$N$354,3,FALSE))</f>
        <v>_</v>
      </c>
      <c r="AJ995" s="44"/>
      <c r="AK995" s="5" t="s">
        <v>16</v>
      </c>
      <c r="AL995" s="46" t="str">
        <f>IF(VLOOKUP(AK995,βοηθητικό!$J$2:$N$354,3,FALSE)="","",VLOOKUP(AK995,βοηθητικό!$J$2:$N$354,3,FALSE))</f>
        <v>_</v>
      </c>
      <c r="AM995" s="47"/>
      <c r="AN995" s="4" t="s">
        <v>16</v>
      </c>
      <c r="AO995" s="43" t="str">
        <f>IF(VLOOKUP(AN995,βοηθητικό!$J$2:$N$354,3,FALSE)="","",VLOOKUP(AN995,βοηθητικό!$J$2:$N$354,3,FALSE))</f>
        <v>_</v>
      </c>
      <c r="AP995" s="44"/>
      <c r="AQ995" s="5" t="s">
        <v>16</v>
      </c>
      <c r="AR995" s="46" t="str">
        <f>IF(VLOOKUP(AQ995,βοηθητικό!$J$2:$N$354,3,FALSE)="","",VLOOKUP(AQ995,βοηθητικό!$J$2:$N$354,3,FALSE))</f>
        <v>_</v>
      </c>
      <c r="AS995" s="47"/>
      <c r="AT995" s="4" t="s">
        <v>16</v>
      </c>
      <c r="AU995" s="43" t="str">
        <f>IF(VLOOKUP(AT995,βοηθητικό!$J$2:$N$354,3,FALSE)="","",VLOOKUP(AT995,βοηθητικό!$J$2:$N$354,3,FALSE))</f>
        <v>_</v>
      </c>
      <c r="AV995" s="44"/>
      <c r="AW995" s="5" t="s">
        <v>16</v>
      </c>
      <c r="AX995" s="46" t="str">
        <f>IF(VLOOKUP(AW995,βοηθητικό!$J$2:$N$354,3,FALSE)="","",VLOOKUP(AW995,βοηθητικό!$J$2:$N$354,3,FALSE))</f>
        <v>_</v>
      </c>
      <c r="AY995" s="47"/>
      <c r="AZ995" s="4" t="s">
        <v>16</v>
      </c>
      <c r="BA995" s="43" t="str">
        <f>IF(VLOOKUP(AZ995,βοηθητικό!$J$2:$N$354,3,FALSE)="","",VLOOKUP(AZ995,βοηθητικό!$J$2:$N$354,3,FALSE))</f>
        <v>_</v>
      </c>
      <c r="BB995" s="44"/>
      <c r="BC995" s="45" t="s">
        <v>16</v>
      </c>
      <c r="BD995" s="46" t="str">
        <f>IF(VLOOKUP(BC995,βοηθητικό!$J$2:$N$354,3,FALSE)="","",VLOOKUP(BC995,βοηθητικό!$J$2:$N$354,3,FALSE))</f>
        <v>_</v>
      </c>
      <c r="BE995" s="47"/>
      <c r="BF995" s="42" t="s">
        <v>16</v>
      </c>
      <c r="BG995" s="43" t="str">
        <f>IF(VLOOKUP(BF995,βοηθητικό!$J$2:$N$354,3,FALSE)="","",VLOOKUP(BF995,βοηθητικό!$J$2:$N$354,3,FALSE))</f>
        <v>_</v>
      </c>
      <c r="BH995" s="44"/>
      <c r="BI995" s="45" t="s">
        <v>16</v>
      </c>
      <c r="BJ995" s="46" t="str">
        <f>IF(VLOOKUP(BI995,βοηθητικό!$J$2:$N$354,3,FALSE)="","",VLOOKUP(BI995,βοηθητικό!$J$2:$N$354,3,FALSE))</f>
        <v>_</v>
      </c>
      <c r="BK995" s="47"/>
      <c r="BL995" s="42" t="s">
        <v>16</v>
      </c>
      <c r="BM995" s="43" t="str">
        <f>IF(VLOOKUP(BL995,βοηθητικό!$J$2:$N$354,3,FALSE)="","",VLOOKUP(BL995,βοηθητικό!$J$2:$N$354,3,FALSE))</f>
        <v>_</v>
      </c>
      <c r="BN995" s="44"/>
      <c r="BO995" s="45" t="s">
        <v>16</v>
      </c>
      <c r="BP995" s="46" t="str">
        <f>IF(VLOOKUP(BO995,βοηθητικό!$J$2:$N$354,3,FALSE)="","",VLOOKUP(BO995,βοηθητικό!$J$2:$N$354,3,FALSE))</f>
        <v>_</v>
      </c>
      <c r="BQ995" s="47"/>
      <c r="BR995" s="42" t="s">
        <v>16</v>
      </c>
      <c r="BS995" s="43" t="str">
        <f>IF(VLOOKUP(BR995,βοηθητικό!$J$2:$N$354,3,FALSE)="","",VLOOKUP(BR995,βοηθητικό!$J$2:$N$354,3,FALSE))</f>
        <v>_</v>
      </c>
      <c r="BT995" s="44"/>
      <c r="BU995" s="45" t="s">
        <v>16</v>
      </c>
      <c r="BV995" s="46" t="str">
        <f>IF(VLOOKUP(BU995,βοηθητικό!$J$2:$N$354,3,FALSE)="","",VLOOKUP(BU995,βοηθητικό!$J$2:$N$354,3,FALSE))</f>
        <v>_</v>
      </c>
      <c r="BW995" s="47"/>
      <c r="BX995" s="42" t="s">
        <v>16</v>
      </c>
      <c r="BY995" s="43" t="str">
        <f>IF(VLOOKUP(BX995,βοηθητικό!$J$2:$N$354,3,FALSE)="","",VLOOKUP(BX995,βοηθητικό!$J$2:$N$354,3,FALSE))</f>
        <v>_</v>
      </c>
      <c r="BZ995" s="44"/>
      <c r="CA995" s="45" t="s">
        <v>16</v>
      </c>
      <c r="CB995" s="46" t="str">
        <f>IF(VLOOKUP(CA995,βοηθητικό!$J$2:$N$354,3,FALSE)="","",VLOOKUP(CA995,βοηθητικό!$J$2:$N$354,3,FALSE))</f>
        <v>_</v>
      </c>
      <c r="CC995" s="47"/>
      <c r="CD995" s="42" t="s">
        <v>16</v>
      </c>
      <c r="CE995" s="43" t="str">
        <f>IF(VLOOKUP(CD995,βοηθητικό!$J$2:$N$354,3,FALSE)="","",VLOOKUP(CD995,βοηθητικό!$J$2:$N$354,3,FALSE))</f>
        <v>_</v>
      </c>
      <c r="CF995" s="44"/>
      <c r="CG995" s="45" t="s">
        <v>16</v>
      </c>
      <c r="CH995" s="46" t="str">
        <f>IF(VLOOKUP(CG995,βοηθητικό!$J$2:$N$354,3,FALSE)="","",VLOOKUP(CG995,βοηθητικό!$J$2:$N$354,3,FALSE))</f>
        <v>_</v>
      </c>
      <c r="CI995" s="47"/>
      <c r="CJ995" s="42" t="s">
        <v>16</v>
      </c>
      <c r="CK995" s="43" t="str">
        <f>IF(VLOOKUP(CJ995,βοηθητικό!$J$2:$N$354,3,FALSE)="","",VLOOKUP(CJ995,βοηθητικό!$J$2:$N$354,3,FALSE))</f>
        <v>_</v>
      </c>
      <c r="CL995" s="44"/>
      <c r="CM995" s="45" t="s">
        <v>16</v>
      </c>
      <c r="CN995" s="46" t="str">
        <f>IF(VLOOKUP(CM995,βοηθητικό!$J$2:$N$354,3,FALSE)="","",VLOOKUP(CM995,βοηθητικό!$J$2:$N$354,3,FALSE))</f>
        <v>_</v>
      </c>
      <c r="CO995" s="47"/>
      <c r="CP995" s="42" t="s">
        <v>16</v>
      </c>
      <c r="CQ995" s="43" t="str">
        <f>IF(VLOOKUP(CP995,βοηθητικό!$J$2:$N$354,3,FALSE)="","",VLOOKUP(CP995,βοηθητικό!$J$2:$N$354,3,FALSE))</f>
        <v>_</v>
      </c>
      <c r="CR995" s="44"/>
      <c r="CS995" s="45" t="s">
        <v>16</v>
      </c>
      <c r="CT995" s="46" t="str">
        <f>IF(VLOOKUP(CS995,βοηθητικό!$J$2:$N$354,3,FALSE)="","",VLOOKUP(CS995,βοηθητικό!$J$2:$N$354,3,FALSE))</f>
        <v>_</v>
      </c>
      <c r="CU995" s="47"/>
    </row>
    <row r="996" spans="1:99" x14ac:dyDescent="0.25">
      <c r="A996" s="37">
        <f>--SUBTOTAL(3,$B$3:B995)</f>
        <v>198</v>
      </c>
      <c r="B996" s="2"/>
      <c r="C996" s="3"/>
      <c r="D996" s="55" t="s">
        <v>18</v>
      </c>
      <c r="E996" s="38" t="s">
        <v>16</v>
      </c>
      <c r="F996" s="38"/>
      <c r="G996" s="39" t="str">
        <f t="shared" si="47"/>
        <v>__</v>
      </c>
      <c r="H996" s="40" t="str">
        <f t="shared" si="48"/>
        <v>FALSE</v>
      </c>
      <c r="I996" s="41">
        <f t="shared" si="49"/>
        <v>0</v>
      </c>
      <c r="J996" s="4" t="s">
        <v>16</v>
      </c>
      <c r="K996" s="43" t="str">
        <f>IF(VLOOKUP(J996,βοηθητικό!$J$2:$N$354,3,FALSE)="","",VLOOKUP(J996,βοηθητικό!$J$2:$N$354,3,FALSE))</f>
        <v>_</v>
      </c>
      <c r="L996" s="44"/>
      <c r="M996" s="5" t="s">
        <v>16</v>
      </c>
      <c r="N996" s="46" t="str">
        <f>IF(VLOOKUP(M996,βοηθητικό!$J$2:$N$354,3,FALSE)="","",VLOOKUP(M996,βοηθητικό!$J$2:$N$354,3,FALSE))</f>
        <v>_</v>
      </c>
      <c r="O996" s="47"/>
      <c r="P996" s="4" t="s">
        <v>16</v>
      </c>
      <c r="Q996" s="43" t="str">
        <f>IF(VLOOKUP(P996,βοηθητικό!$J$2:$N$354,3,FALSE)="","",VLOOKUP(P996,βοηθητικό!$J$2:$N$354,3,FALSE))</f>
        <v>_</v>
      </c>
      <c r="R996" s="44"/>
      <c r="S996" s="5" t="s">
        <v>16</v>
      </c>
      <c r="T996" s="46" t="str">
        <f>IF(VLOOKUP(S996,βοηθητικό!$J$2:$N$354,3,FALSE)="","",VLOOKUP(S996,βοηθητικό!$J$2:$N$354,3,FALSE))</f>
        <v>_</v>
      </c>
      <c r="U996" s="47"/>
      <c r="V996" s="4" t="s">
        <v>16</v>
      </c>
      <c r="W996" s="43" t="str">
        <f>IF(VLOOKUP(V996,βοηθητικό!$J$2:$N$354,3,FALSE)="","",VLOOKUP(V996,βοηθητικό!$J$2:$N$354,3,FALSE))</f>
        <v>_</v>
      </c>
      <c r="X996" s="44"/>
      <c r="Y996" s="5" t="s">
        <v>16</v>
      </c>
      <c r="Z996" s="46" t="str">
        <f>IF(VLOOKUP(Y996,βοηθητικό!$J$2:$N$354,3,FALSE)="","",VLOOKUP(Y996,βοηθητικό!$J$2:$N$354,3,FALSE))</f>
        <v>_</v>
      </c>
      <c r="AA996" s="47"/>
      <c r="AB996" s="4" t="s">
        <v>16</v>
      </c>
      <c r="AC996" s="43" t="str">
        <f>IF(VLOOKUP(AB996,βοηθητικό!$J$2:$N$354,3,FALSE)="","",VLOOKUP(AB996,βοηθητικό!$J$2:$N$354,3,FALSE))</f>
        <v>_</v>
      </c>
      <c r="AD996" s="44"/>
      <c r="AE996" s="5" t="s">
        <v>16</v>
      </c>
      <c r="AF996" s="46" t="str">
        <f>IF(VLOOKUP(AE996,βοηθητικό!$J$2:$N$354,3,FALSE)="","",VLOOKUP(AE996,βοηθητικό!$J$2:$N$354,3,FALSE))</f>
        <v>_</v>
      </c>
      <c r="AG996" s="47"/>
      <c r="AH996" s="4" t="s">
        <v>16</v>
      </c>
      <c r="AI996" s="43" t="str">
        <f>IF(VLOOKUP(AH996,βοηθητικό!$J$2:$N$354,3,FALSE)="","",VLOOKUP(AH996,βοηθητικό!$J$2:$N$354,3,FALSE))</f>
        <v>_</v>
      </c>
      <c r="AJ996" s="44"/>
      <c r="AK996" s="5" t="s">
        <v>16</v>
      </c>
      <c r="AL996" s="46" t="str">
        <f>IF(VLOOKUP(AK996,βοηθητικό!$J$2:$N$354,3,FALSE)="","",VLOOKUP(AK996,βοηθητικό!$J$2:$N$354,3,FALSE))</f>
        <v>_</v>
      </c>
      <c r="AM996" s="47"/>
      <c r="AN996" s="4" t="s">
        <v>16</v>
      </c>
      <c r="AO996" s="43" t="str">
        <f>IF(VLOOKUP(AN996,βοηθητικό!$J$2:$N$354,3,FALSE)="","",VLOOKUP(AN996,βοηθητικό!$J$2:$N$354,3,FALSE))</f>
        <v>_</v>
      </c>
      <c r="AP996" s="44"/>
      <c r="AQ996" s="5" t="s">
        <v>16</v>
      </c>
      <c r="AR996" s="46" t="str">
        <f>IF(VLOOKUP(AQ996,βοηθητικό!$J$2:$N$354,3,FALSE)="","",VLOOKUP(AQ996,βοηθητικό!$J$2:$N$354,3,FALSE))</f>
        <v>_</v>
      </c>
      <c r="AS996" s="47"/>
      <c r="AT996" s="4" t="s">
        <v>16</v>
      </c>
      <c r="AU996" s="43" t="str">
        <f>IF(VLOOKUP(AT996,βοηθητικό!$J$2:$N$354,3,FALSE)="","",VLOOKUP(AT996,βοηθητικό!$J$2:$N$354,3,FALSE))</f>
        <v>_</v>
      </c>
      <c r="AV996" s="44"/>
      <c r="AW996" s="5" t="s">
        <v>16</v>
      </c>
      <c r="AX996" s="46" t="str">
        <f>IF(VLOOKUP(AW996,βοηθητικό!$J$2:$N$354,3,FALSE)="","",VLOOKUP(AW996,βοηθητικό!$J$2:$N$354,3,FALSE))</f>
        <v>_</v>
      </c>
      <c r="AY996" s="47"/>
      <c r="AZ996" s="4" t="s">
        <v>16</v>
      </c>
      <c r="BA996" s="43" t="str">
        <f>IF(VLOOKUP(AZ996,βοηθητικό!$J$2:$N$354,3,FALSE)="","",VLOOKUP(AZ996,βοηθητικό!$J$2:$N$354,3,FALSE))</f>
        <v>_</v>
      </c>
      <c r="BB996" s="44"/>
      <c r="BC996" s="45" t="s">
        <v>16</v>
      </c>
      <c r="BD996" s="46" t="str">
        <f>IF(VLOOKUP(BC996,βοηθητικό!$J$2:$N$354,3,FALSE)="","",VLOOKUP(BC996,βοηθητικό!$J$2:$N$354,3,FALSE))</f>
        <v>_</v>
      </c>
      <c r="BE996" s="47"/>
      <c r="BF996" s="42" t="s">
        <v>16</v>
      </c>
      <c r="BG996" s="43" t="str">
        <f>IF(VLOOKUP(BF996,βοηθητικό!$J$2:$N$354,3,FALSE)="","",VLOOKUP(BF996,βοηθητικό!$J$2:$N$354,3,FALSE))</f>
        <v>_</v>
      </c>
      <c r="BH996" s="44"/>
      <c r="BI996" s="45" t="s">
        <v>16</v>
      </c>
      <c r="BJ996" s="46" t="str">
        <f>IF(VLOOKUP(BI996,βοηθητικό!$J$2:$N$354,3,FALSE)="","",VLOOKUP(BI996,βοηθητικό!$J$2:$N$354,3,FALSE))</f>
        <v>_</v>
      </c>
      <c r="BK996" s="47"/>
      <c r="BL996" s="42" t="s">
        <v>16</v>
      </c>
      <c r="BM996" s="43" t="str">
        <f>IF(VLOOKUP(BL996,βοηθητικό!$J$2:$N$354,3,FALSE)="","",VLOOKUP(BL996,βοηθητικό!$J$2:$N$354,3,FALSE))</f>
        <v>_</v>
      </c>
      <c r="BN996" s="44"/>
      <c r="BO996" s="45" t="s">
        <v>16</v>
      </c>
      <c r="BP996" s="46" t="str">
        <f>IF(VLOOKUP(BO996,βοηθητικό!$J$2:$N$354,3,FALSE)="","",VLOOKUP(BO996,βοηθητικό!$J$2:$N$354,3,FALSE))</f>
        <v>_</v>
      </c>
      <c r="BQ996" s="47"/>
      <c r="BR996" s="42" t="s">
        <v>16</v>
      </c>
      <c r="BS996" s="43" t="str">
        <f>IF(VLOOKUP(BR996,βοηθητικό!$J$2:$N$354,3,FALSE)="","",VLOOKUP(BR996,βοηθητικό!$J$2:$N$354,3,FALSE))</f>
        <v>_</v>
      </c>
      <c r="BT996" s="44"/>
      <c r="BU996" s="45" t="s">
        <v>16</v>
      </c>
      <c r="BV996" s="46" t="str">
        <f>IF(VLOOKUP(BU996,βοηθητικό!$J$2:$N$354,3,FALSE)="","",VLOOKUP(BU996,βοηθητικό!$J$2:$N$354,3,FALSE))</f>
        <v>_</v>
      </c>
      <c r="BW996" s="47"/>
      <c r="BX996" s="42" t="s">
        <v>16</v>
      </c>
      <c r="BY996" s="43" t="str">
        <f>IF(VLOOKUP(BX996,βοηθητικό!$J$2:$N$354,3,FALSE)="","",VLOOKUP(BX996,βοηθητικό!$J$2:$N$354,3,FALSE))</f>
        <v>_</v>
      </c>
      <c r="BZ996" s="44"/>
      <c r="CA996" s="45" t="s">
        <v>16</v>
      </c>
      <c r="CB996" s="46" t="str">
        <f>IF(VLOOKUP(CA996,βοηθητικό!$J$2:$N$354,3,FALSE)="","",VLOOKUP(CA996,βοηθητικό!$J$2:$N$354,3,FALSE))</f>
        <v>_</v>
      </c>
      <c r="CC996" s="47"/>
      <c r="CD996" s="42" t="s">
        <v>16</v>
      </c>
      <c r="CE996" s="43" t="str">
        <f>IF(VLOOKUP(CD996,βοηθητικό!$J$2:$N$354,3,FALSE)="","",VLOOKUP(CD996,βοηθητικό!$J$2:$N$354,3,FALSE))</f>
        <v>_</v>
      </c>
      <c r="CF996" s="44"/>
      <c r="CG996" s="45" t="s">
        <v>16</v>
      </c>
      <c r="CH996" s="46" t="str">
        <f>IF(VLOOKUP(CG996,βοηθητικό!$J$2:$N$354,3,FALSE)="","",VLOOKUP(CG996,βοηθητικό!$J$2:$N$354,3,FALSE))</f>
        <v>_</v>
      </c>
      <c r="CI996" s="47"/>
      <c r="CJ996" s="42" t="s">
        <v>16</v>
      </c>
      <c r="CK996" s="43" t="str">
        <f>IF(VLOOKUP(CJ996,βοηθητικό!$J$2:$N$354,3,FALSE)="","",VLOOKUP(CJ996,βοηθητικό!$J$2:$N$354,3,FALSE))</f>
        <v>_</v>
      </c>
      <c r="CL996" s="44"/>
      <c r="CM996" s="45" t="s">
        <v>16</v>
      </c>
      <c r="CN996" s="46" t="str">
        <f>IF(VLOOKUP(CM996,βοηθητικό!$J$2:$N$354,3,FALSE)="","",VLOOKUP(CM996,βοηθητικό!$J$2:$N$354,3,FALSE))</f>
        <v>_</v>
      </c>
      <c r="CO996" s="47"/>
      <c r="CP996" s="42" t="s">
        <v>16</v>
      </c>
      <c r="CQ996" s="43" t="str">
        <f>IF(VLOOKUP(CP996,βοηθητικό!$J$2:$N$354,3,FALSE)="","",VLOOKUP(CP996,βοηθητικό!$J$2:$N$354,3,FALSE))</f>
        <v>_</v>
      </c>
      <c r="CR996" s="44"/>
      <c r="CS996" s="45" t="s">
        <v>16</v>
      </c>
      <c r="CT996" s="46" t="str">
        <f>IF(VLOOKUP(CS996,βοηθητικό!$J$2:$N$354,3,FALSE)="","",VLOOKUP(CS996,βοηθητικό!$J$2:$N$354,3,FALSE))</f>
        <v>_</v>
      </c>
      <c r="CU996" s="47"/>
    </row>
    <row r="997" spans="1:99" x14ac:dyDescent="0.25">
      <c r="A997" s="37">
        <f>--SUBTOTAL(3,$B$3:B996)</f>
        <v>198</v>
      </c>
      <c r="B997" s="2"/>
      <c r="C997" s="3"/>
      <c r="D997" s="55" t="s">
        <v>18</v>
      </c>
      <c r="E997" s="38" t="s">
        <v>16</v>
      </c>
      <c r="F997" s="38"/>
      <c r="G997" s="39" t="str">
        <f t="shared" si="47"/>
        <v>__</v>
      </c>
      <c r="H997" s="40" t="str">
        <f t="shared" si="48"/>
        <v>FALSE</v>
      </c>
      <c r="I997" s="41">
        <f t="shared" si="49"/>
        <v>0</v>
      </c>
      <c r="J997" s="4" t="s">
        <v>16</v>
      </c>
      <c r="K997" s="43" t="str">
        <f>IF(VLOOKUP(J997,βοηθητικό!$J$2:$N$354,3,FALSE)="","",VLOOKUP(J997,βοηθητικό!$J$2:$N$354,3,FALSE))</f>
        <v>_</v>
      </c>
      <c r="L997" s="44"/>
      <c r="M997" s="5" t="s">
        <v>16</v>
      </c>
      <c r="N997" s="46" t="str">
        <f>IF(VLOOKUP(M997,βοηθητικό!$J$2:$N$354,3,FALSE)="","",VLOOKUP(M997,βοηθητικό!$J$2:$N$354,3,FALSE))</f>
        <v>_</v>
      </c>
      <c r="O997" s="47"/>
      <c r="P997" s="4" t="s">
        <v>16</v>
      </c>
      <c r="Q997" s="43" t="str">
        <f>IF(VLOOKUP(P997,βοηθητικό!$J$2:$N$354,3,FALSE)="","",VLOOKUP(P997,βοηθητικό!$J$2:$N$354,3,FALSE))</f>
        <v>_</v>
      </c>
      <c r="R997" s="44"/>
      <c r="S997" s="5" t="s">
        <v>16</v>
      </c>
      <c r="T997" s="46" t="str">
        <f>IF(VLOOKUP(S997,βοηθητικό!$J$2:$N$354,3,FALSE)="","",VLOOKUP(S997,βοηθητικό!$J$2:$N$354,3,FALSE))</f>
        <v>_</v>
      </c>
      <c r="U997" s="47"/>
      <c r="V997" s="4" t="s">
        <v>16</v>
      </c>
      <c r="W997" s="43" t="str">
        <f>IF(VLOOKUP(V997,βοηθητικό!$J$2:$N$354,3,FALSE)="","",VLOOKUP(V997,βοηθητικό!$J$2:$N$354,3,FALSE))</f>
        <v>_</v>
      </c>
      <c r="X997" s="44"/>
      <c r="Y997" s="5" t="s">
        <v>16</v>
      </c>
      <c r="Z997" s="46" t="str">
        <f>IF(VLOOKUP(Y997,βοηθητικό!$J$2:$N$354,3,FALSE)="","",VLOOKUP(Y997,βοηθητικό!$J$2:$N$354,3,FALSE))</f>
        <v>_</v>
      </c>
      <c r="AA997" s="47"/>
      <c r="AB997" s="4" t="s">
        <v>16</v>
      </c>
      <c r="AC997" s="43" t="str">
        <f>IF(VLOOKUP(AB997,βοηθητικό!$J$2:$N$354,3,FALSE)="","",VLOOKUP(AB997,βοηθητικό!$J$2:$N$354,3,FALSE))</f>
        <v>_</v>
      </c>
      <c r="AD997" s="44"/>
      <c r="AE997" s="5" t="s">
        <v>16</v>
      </c>
      <c r="AF997" s="46" t="str">
        <f>IF(VLOOKUP(AE997,βοηθητικό!$J$2:$N$354,3,FALSE)="","",VLOOKUP(AE997,βοηθητικό!$J$2:$N$354,3,FALSE))</f>
        <v>_</v>
      </c>
      <c r="AG997" s="47"/>
      <c r="AH997" s="4" t="s">
        <v>16</v>
      </c>
      <c r="AI997" s="43" t="str">
        <f>IF(VLOOKUP(AH997,βοηθητικό!$J$2:$N$354,3,FALSE)="","",VLOOKUP(AH997,βοηθητικό!$J$2:$N$354,3,FALSE))</f>
        <v>_</v>
      </c>
      <c r="AJ997" s="44"/>
      <c r="AK997" s="5" t="s">
        <v>16</v>
      </c>
      <c r="AL997" s="46" t="str">
        <f>IF(VLOOKUP(AK997,βοηθητικό!$J$2:$N$354,3,FALSE)="","",VLOOKUP(AK997,βοηθητικό!$J$2:$N$354,3,FALSE))</f>
        <v>_</v>
      </c>
      <c r="AM997" s="47"/>
      <c r="AN997" s="4" t="s">
        <v>16</v>
      </c>
      <c r="AO997" s="43" t="str">
        <f>IF(VLOOKUP(AN997,βοηθητικό!$J$2:$N$354,3,FALSE)="","",VLOOKUP(AN997,βοηθητικό!$J$2:$N$354,3,FALSE))</f>
        <v>_</v>
      </c>
      <c r="AP997" s="44"/>
      <c r="AQ997" s="5" t="s">
        <v>16</v>
      </c>
      <c r="AR997" s="46" t="str">
        <f>IF(VLOOKUP(AQ997,βοηθητικό!$J$2:$N$354,3,FALSE)="","",VLOOKUP(AQ997,βοηθητικό!$J$2:$N$354,3,FALSE))</f>
        <v>_</v>
      </c>
      <c r="AS997" s="47"/>
      <c r="AT997" s="4" t="s">
        <v>16</v>
      </c>
      <c r="AU997" s="43" t="str">
        <f>IF(VLOOKUP(AT997,βοηθητικό!$J$2:$N$354,3,FALSE)="","",VLOOKUP(AT997,βοηθητικό!$J$2:$N$354,3,FALSE))</f>
        <v>_</v>
      </c>
      <c r="AV997" s="44"/>
      <c r="AW997" s="5" t="s">
        <v>16</v>
      </c>
      <c r="AX997" s="46" t="str">
        <f>IF(VLOOKUP(AW997,βοηθητικό!$J$2:$N$354,3,FALSE)="","",VLOOKUP(AW997,βοηθητικό!$J$2:$N$354,3,FALSE))</f>
        <v>_</v>
      </c>
      <c r="AY997" s="47"/>
      <c r="AZ997" s="4" t="s">
        <v>16</v>
      </c>
      <c r="BA997" s="43" t="str">
        <f>IF(VLOOKUP(AZ997,βοηθητικό!$J$2:$N$354,3,FALSE)="","",VLOOKUP(AZ997,βοηθητικό!$J$2:$N$354,3,FALSE))</f>
        <v>_</v>
      </c>
      <c r="BB997" s="44"/>
      <c r="BC997" s="45" t="s">
        <v>16</v>
      </c>
      <c r="BD997" s="46" t="str">
        <f>IF(VLOOKUP(BC997,βοηθητικό!$J$2:$N$354,3,FALSE)="","",VLOOKUP(BC997,βοηθητικό!$J$2:$N$354,3,FALSE))</f>
        <v>_</v>
      </c>
      <c r="BE997" s="47"/>
      <c r="BF997" s="42" t="s">
        <v>16</v>
      </c>
      <c r="BG997" s="43" t="str">
        <f>IF(VLOOKUP(BF997,βοηθητικό!$J$2:$N$354,3,FALSE)="","",VLOOKUP(BF997,βοηθητικό!$J$2:$N$354,3,FALSE))</f>
        <v>_</v>
      </c>
      <c r="BH997" s="44"/>
      <c r="BI997" s="45" t="s">
        <v>16</v>
      </c>
      <c r="BJ997" s="46" t="str">
        <f>IF(VLOOKUP(BI997,βοηθητικό!$J$2:$N$354,3,FALSE)="","",VLOOKUP(BI997,βοηθητικό!$J$2:$N$354,3,FALSE))</f>
        <v>_</v>
      </c>
      <c r="BK997" s="47"/>
      <c r="BL997" s="42" t="s">
        <v>16</v>
      </c>
      <c r="BM997" s="43" t="str">
        <f>IF(VLOOKUP(BL997,βοηθητικό!$J$2:$N$354,3,FALSE)="","",VLOOKUP(BL997,βοηθητικό!$J$2:$N$354,3,FALSE))</f>
        <v>_</v>
      </c>
      <c r="BN997" s="44"/>
      <c r="BO997" s="45" t="s">
        <v>16</v>
      </c>
      <c r="BP997" s="46" t="str">
        <f>IF(VLOOKUP(BO997,βοηθητικό!$J$2:$N$354,3,FALSE)="","",VLOOKUP(BO997,βοηθητικό!$J$2:$N$354,3,FALSE))</f>
        <v>_</v>
      </c>
      <c r="BQ997" s="47"/>
      <c r="BR997" s="42" t="s">
        <v>16</v>
      </c>
      <c r="BS997" s="43" t="str">
        <f>IF(VLOOKUP(BR997,βοηθητικό!$J$2:$N$354,3,FALSE)="","",VLOOKUP(BR997,βοηθητικό!$J$2:$N$354,3,FALSE))</f>
        <v>_</v>
      </c>
      <c r="BT997" s="44"/>
      <c r="BU997" s="45" t="s">
        <v>16</v>
      </c>
      <c r="BV997" s="46" t="str">
        <f>IF(VLOOKUP(BU997,βοηθητικό!$J$2:$N$354,3,FALSE)="","",VLOOKUP(BU997,βοηθητικό!$J$2:$N$354,3,FALSE))</f>
        <v>_</v>
      </c>
      <c r="BW997" s="47"/>
      <c r="BX997" s="42" t="s">
        <v>16</v>
      </c>
      <c r="BY997" s="43" t="str">
        <f>IF(VLOOKUP(BX997,βοηθητικό!$J$2:$N$354,3,FALSE)="","",VLOOKUP(BX997,βοηθητικό!$J$2:$N$354,3,FALSE))</f>
        <v>_</v>
      </c>
      <c r="BZ997" s="44"/>
      <c r="CA997" s="45" t="s">
        <v>16</v>
      </c>
      <c r="CB997" s="46" t="str">
        <f>IF(VLOOKUP(CA997,βοηθητικό!$J$2:$N$354,3,FALSE)="","",VLOOKUP(CA997,βοηθητικό!$J$2:$N$354,3,FALSE))</f>
        <v>_</v>
      </c>
      <c r="CC997" s="47"/>
      <c r="CD997" s="42" t="s">
        <v>16</v>
      </c>
      <c r="CE997" s="43" t="str">
        <f>IF(VLOOKUP(CD997,βοηθητικό!$J$2:$N$354,3,FALSE)="","",VLOOKUP(CD997,βοηθητικό!$J$2:$N$354,3,FALSE))</f>
        <v>_</v>
      </c>
      <c r="CF997" s="44"/>
      <c r="CG997" s="45" t="s">
        <v>16</v>
      </c>
      <c r="CH997" s="46" t="str">
        <f>IF(VLOOKUP(CG997,βοηθητικό!$J$2:$N$354,3,FALSE)="","",VLOOKUP(CG997,βοηθητικό!$J$2:$N$354,3,FALSE))</f>
        <v>_</v>
      </c>
      <c r="CI997" s="47"/>
      <c r="CJ997" s="42" t="s">
        <v>16</v>
      </c>
      <c r="CK997" s="43" t="str">
        <f>IF(VLOOKUP(CJ997,βοηθητικό!$J$2:$N$354,3,FALSE)="","",VLOOKUP(CJ997,βοηθητικό!$J$2:$N$354,3,FALSE))</f>
        <v>_</v>
      </c>
      <c r="CL997" s="44"/>
      <c r="CM997" s="45" t="s">
        <v>16</v>
      </c>
      <c r="CN997" s="46" t="str">
        <f>IF(VLOOKUP(CM997,βοηθητικό!$J$2:$N$354,3,FALSE)="","",VLOOKUP(CM997,βοηθητικό!$J$2:$N$354,3,FALSE))</f>
        <v>_</v>
      </c>
      <c r="CO997" s="47"/>
      <c r="CP997" s="42" t="s">
        <v>16</v>
      </c>
      <c r="CQ997" s="43" t="str">
        <f>IF(VLOOKUP(CP997,βοηθητικό!$J$2:$N$354,3,FALSE)="","",VLOOKUP(CP997,βοηθητικό!$J$2:$N$354,3,FALSE))</f>
        <v>_</v>
      </c>
      <c r="CR997" s="44"/>
      <c r="CS997" s="45" t="s">
        <v>16</v>
      </c>
      <c r="CT997" s="46" t="str">
        <f>IF(VLOOKUP(CS997,βοηθητικό!$J$2:$N$354,3,FALSE)="","",VLOOKUP(CS997,βοηθητικό!$J$2:$N$354,3,FALSE))</f>
        <v>_</v>
      </c>
      <c r="CU997" s="47"/>
    </row>
    <row r="998" spans="1:99" x14ac:dyDescent="0.25">
      <c r="A998" s="37">
        <f>--SUBTOTAL(3,$B$3:B997)</f>
        <v>198</v>
      </c>
      <c r="B998" s="2"/>
      <c r="C998" s="3"/>
      <c r="D998" s="55" t="s">
        <v>18</v>
      </c>
      <c r="E998" s="38" t="s">
        <v>16</v>
      </c>
      <c r="F998" s="38"/>
      <c r="G998" s="39" t="str">
        <f t="shared" si="47"/>
        <v>__</v>
      </c>
      <c r="H998" s="40" t="str">
        <f t="shared" si="48"/>
        <v>FALSE</v>
      </c>
      <c r="I998" s="41">
        <f t="shared" si="49"/>
        <v>0</v>
      </c>
      <c r="J998" s="4" t="s">
        <v>16</v>
      </c>
      <c r="K998" s="43" t="str">
        <f>IF(VLOOKUP(J998,βοηθητικό!$J$2:$N$354,3,FALSE)="","",VLOOKUP(J998,βοηθητικό!$J$2:$N$354,3,FALSE))</f>
        <v>_</v>
      </c>
      <c r="L998" s="44"/>
      <c r="M998" s="5" t="s">
        <v>16</v>
      </c>
      <c r="N998" s="46" t="str">
        <f>IF(VLOOKUP(M998,βοηθητικό!$J$2:$N$354,3,FALSE)="","",VLOOKUP(M998,βοηθητικό!$J$2:$N$354,3,FALSE))</f>
        <v>_</v>
      </c>
      <c r="O998" s="47"/>
      <c r="P998" s="4" t="s">
        <v>16</v>
      </c>
      <c r="Q998" s="43" t="str">
        <f>IF(VLOOKUP(P998,βοηθητικό!$J$2:$N$354,3,FALSE)="","",VLOOKUP(P998,βοηθητικό!$J$2:$N$354,3,FALSE))</f>
        <v>_</v>
      </c>
      <c r="R998" s="44"/>
      <c r="S998" s="5" t="s">
        <v>16</v>
      </c>
      <c r="T998" s="46" t="str">
        <f>IF(VLOOKUP(S998,βοηθητικό!$J$2:$N$354,3,FALSE)="","",VLOOKUP(S998,βοηθητικό!$J$2:$N$354,3,FALSE))</f>
        <v>_</v>
      </c>
      <c r="U998" s="47"/>
      <c r="V998" s="4" t="s">
        <v>16</v>
      </c>
      <c r="W998" s="43" t="str">
        <f>IF(VLOOKUP(V998,βοηθητικό!$J$2:$N$354,3,FALSE)="","",VLOOKUP(V998,βοηθητικό!$J$2:$N$354,3,FALSE))</f>
        <v>_</v>
      </c>
      <c r="X998" s="44"/>
      <c r="Y998" s="5" t="s">
        <v>16</v>
      </c>
      <c r="Z998" s="46" t="str">
        <f>IF(VLOOKUP(Y998,βοηθητικό!$J$2:$N$354,3,FALSE)="","",VLOOKUP(Y998,βοηθητικό!$J$2:$N$354,3,FALSE))</f>
        <v>_</v>
      </c>
      <c r="AA998" s="47"/>
      <c r="AB998" s="4" t="s">
        <v>16</v>
      </c>
      <c r="AC998" s="43" t="str">
        <f>IF(VLOOKUP(AB998,βοηθητικό!$J$2:$N$354,3,FALSE)="","",VLOOKUP(AB998,βοηθητικό!$J$2:$N$354,3,FALSE))</f>
        <v>_</v>
      </c>
      <c r="AD998" s="44"/>
      <c r="AE998" s="5" t="s">
        <v>16</v>
      </c>
      <c r="AF998" s="46" t="str">
        <f>IF(VLOOKUP(AE998,βοηθητικό!$J$2:$N$354,3,FALSE)="","",VLOOKUP(AE998,βοηθητικό!$J$2:$N$354,3,FALSE))</f>
        <v>_</v>
      </c>
      <c r="AG998" s="47"/>
      <c r="AH998" s="4" t="s">
        <v>16</v>
      </c>
      <c r="AI998" s="43" t="str">
        <f>IF(VLOOKUP(AH998,βοηθητικό!$J$2:$N$354,3,FALSE)="","",VLOOKUP(AH998,βοηθητικό!$J$2:$N$354,3,FALSE))</f>
        <v>_</v>
      </c>
      <c r="AJ998" s="44"/>
      <c r="AK998" s="5" t="s">
        <v>16</v>
      </c>
      <c r="AL998" s="46" t="str">
        <f>IF(VLOOKUP(AK998,βοηθητικό!$J$2:$N$354,3,FALSE)="","",VLOOKUP(AK998,βοηθητικό!$J$2:$N$354,3,FALSE))</f>
        <v>_</v>
      </c>
      <c r="AM998" s="47"/>
      <c r="AN998" s="4" t="s">
        <v>16</v>
      </c>
      <c r="AO998" s="43" t="str">
        <f>IF(VLOOKUP(AN998,βοηθητικό!$J$2:$N$354,3,FALSE)="","",VLOOKUP(AN998,βοηθητικό!$J$2:$N$354,3,FALSE))</f>
        <v>_</v>
      </c>
      <c r="AP998" s="44"/>
      <c r="AQ998" s="5" t="s">
        <v>16</v>
      </c>
      <c r="AR998" s="46" t="str">
        <f>IF(VLOOKUP(AQ998,βοηθητικό!$J$2:$N$354,3,FALSE)="","",VLOOKUP(AQ998,βοηθητικό!$J$2:$N$354,3,FALSE))</f>
        <v>_</v>
      </c>
      <c r="AS998" s="47"/>
      <c r="AT998" s="4" t="s">
        <v>16</v>
      </c>
      <c r="AU998" s="43" t="str">
        <f>IF(VLOOKUP(AT998,βοηθητικό!$J$2:$N$354,3,FALSE)="","",VLOOKUP(AT998,βοηθητικό!$J$2:$N$354,3,FALSE))</f>
        <v>_</v>
      </c>
      <c r="AV998" s="44"/>
      <c r="AW998" s="5" t="s">
        <v>16</v>
      </c>
      <c r="AX998" s="46" t="str">
        <f>IF(VLOOKUP(AW998,βοηθητικό!$J$2:$N$354,3,FALSE)="","",VLOOKUP(AW998,βοηθητικό!$J$2:$N$354,3,FALSE))</f>
        <v>_</v>
      </c>
      <c r="AY998" s="47"/>
      <c r="AZ998" s="4" t="s">
        <v>16</v>
      </c>
      <c r="BA998" s="43" t="str">
        <f>IF(VLOOKUP(AZ998,βοηθητικό!$J$2:$N$354,3,FALSE)="","",VLOOKUP(AZ998,βοηθητικό!$J$2:$N$354,3,FALSE))</f>
        <v>_</v>
      </c>
      <c r="BB998" s="44"/>
      <c r="BC998" s="45" t="s">
        <v>16</v>
      </c>
      <c r="BD998" s="46" t="str">
        <f>IF(VLOOKUP(BC998,βοηθητικό!$J$2:$N$354,3,FALSE)="","",VLOOKUP(BC998,βοηθητικό!$J$2:$N$354,3,FALSE))</f>
        <v>_</v>
      </c>
      <c r="BE998" s="47"/>
      <c r="BF998" s="42" t="s">
        <v>16</v>
      </c>
      <c r="BG998" s="43" t="str">
        <f>IF(VLOOKUP(BF998,βοηθητικό!$J$2:$N$354,3,FALSE)="","",VLOOKUP(BF998,βοηθητικό!$J$2:$N$354,3,FALSE))</f>
        <v>_</v>
      </c>
      <c r="BH998" s="44"/>
      <c r="BI998" s="45" t="s">
        <v>16</v>
      </c>
      <c r="BJ998" s="46" t="str">
        <f>IF(VLOOKUP(BI998,βοηθητικό!$J$2:$N$354,3,FALSE)="","",VLOOKUP(BI998,βοηθητικό!$J$2:$N$354,3,FALSE))</f>
        <v>_</v>
      </c>
      <c r="BK998" s="47"/>
      <c r="BL998" s="42" t="s">
        <v>16</v>
      </c>
      <c r="BM998" s="43" t="str">
        <f>IF(VLOOKUP(BL998,βοηθητικό!$J$2:$N$354,3,FALSE)="","",VLOOKUP(BL998,βοηθητικό!$J$2:$N$354,3,FALSE))</f>
        <v>_</v>
      </c>
      <c r="BN998" s="44"/>
      <c r="BO998" s="45" t="s">
        <v>16</v>
      </c>
      <c r="BP998" s="46" t="str">
        <f>IF(VLOOKUP(BO998,βοηθητικό!$J$2:$N$354,3,FALSE)="","",VLOOKUP(BO998,βοηθητικό!$J$2:$N$354,3,FALSE))</f>
        <v>_</v>
      </c>
      <c r="BQ998" s="47"/>
      <c r="BR998" s="42" t="s">
        <v>16</v>
      </c>
      <c r="BS998" s="43" t="str">
        <f>IF(VLOOKUP(BR998,βοηθητικό!$J$2:$N$354,3,FALSE)="","",VLOOKUP(BR998,βοηθητικό!$J$2:$N$354,3,FALSE))</f>
        <v>_</v>
      </c>
      <c r="BT998" s="44"/>
      <c r="BU998" s="45" t="s">
        <v>16</v>
      </c>
      <c r="BV998" s="46" t="str">
        <f>IF(VLOOKUP(BU998,βοηθητικό!$J$2:$N$354,3,FALSE)="","",VLOOKUP(BU998,βοηθητικό!$J$2:$N$354,3,FALSE))</f>
        <v>_</v>
      </c>
      <c r="BW998" s="47"/>
      <c r="BX998" s="42" t="s">
        <v>16</v>
      </c>
      <c r="BY998" s="43" t="str">
        <f>IF(VLOOKUP(BX998,βοηθητικό!$J$2:$N$354,3,FALSE)="","",VLOOKUP(BX998,βοηθητικό!$J$2:$N$354,3,FALSE))</f>
        <v>_</v>
      </c>
      <c r="BZ998" s="44"/>
      <c r="CA998" s="45" t="s">
        <v>16</v>
      </c>
      <c r="CB998" s="46" t="str">
        <f>IF(VLOOKUP(CA998,βοηθητικό!$J$2:$N$354,3,FALSE)="","",VLOOKUP(CA998,βοηθητικό!$J$2:$N$354,3,FALSE))</f>
        <v>_</v>
      </c>
      <c r="CC998" s="47"/>
      <c r="CD998" s="42" t="s">
        <v>16</v>
      </c>
      <c r="CE998" s="43" t="str">
        <f>IF(VLOOKUP(CD998,βοηθητικό!$J$2:$N$354,3,FALSE)="","",VLOOKUP(CD998,βοηθητικό!$J$2:$N$354,3,FALSE))</f>
        <v>_</v>
      </c>
      <c r="CF998" s="44"/>
      <c r="CG998" s="45" t="s">
        <v>16</v>
      </c>
      <c r="CH998" s="46" t="str">
        <f>IF(VLOOKUP(CG998,βοηθητικό!$J$2:$N$354,3,FALSE)="","",VLOOKUP(CG998,βοηθητικό!$J$2:$N$354,3,FALSE))</f>
        <v>_</v>
      </c>
      <c r="CI998" s="47"/>
      <c r="CJ998" s="42" t="s">
        <v>16</v>
      </c>
      <c r="CK998" s="43" t="str">
        <f>IF(VLOOKUP(CJ998,βοηθητικό!$J$2:$N$354,3,FALSE)="","",VLOOKUP(CJ998,βοηθητικό!$J$2:$N$354,3,FALSE))</f>
        <v>_</v>
      </c>
      <c r="CL998" s="44"/>
      <c r="CM998" s="45" t="s">
        <v>16</v>
      </c>
      <c r="CN998" s="46" t="str">
        <f>IF(VLOOKUP(CM998,βοηθητικό!$J$2:$N$354,3,FALSE)="","",VLOOKUP(CM998,βοηθητικό!$J$2:$N$354,3,FALSE))</f>
        <v>_</v>
      </c>
      <c r="CO998" s="47"/>
      <c r="CP998" s="42" t="s">
        <v>16</v>
      </c>
      <c r="CQ998" s="43" t="str">
        <f>IF(VLOOKUP(CP998,βοηθητικό!$J$2:$N$354,3,FALSE)="","",VLOOKUP(CP998,βοηθητικό!$J$2:$N$354,3,FALSE))</f>
        <v>_</v>
      </c>
      <c r="CR998" s="44"/>
      <c r="CS998" s="45" t="s">
        <v>16</v>
      </c>
      <c r="CT998" s="46" t="str">
        <f>IF(VLOOKUP(CS998,βοηθητικό!$J$2:$N$354,3,FALSE)="","",VLOOKUP(CS998,βοηθητικό!$J$2:$N$354,3,FALSE))</f>
        <v>_</v>
      </c>
      <c r="CU998" s="47"/>
    </row>
    <row r="999" spans="1:99" x14ac:dyDescent="0.25">
      <c r="A999" s="37">
        <f>--SUBTOTAL(3,$B$3:B998)</f>
        <v>198</v>
      </c>
      <c r="B999" s="2"/>
      <c r="C999" s="3"/>
      <c r="D999" s="55" t="s">
        <v>18</v>
      </c>
      <c r="E999" s="38" t="s">
        <v>16</v>
      </c>
      <c r="F999" s="38"/>
      <c r="G999" s="39" t="str">
        <f t="shared" si="47"/>
        <v>__</v>
      </c>
      <c r="H999" s="40" t="str">
        <f t="shared" si="48"/>
        <v>FALSE</v>
      </c>
      <c r="I999" s="41">
        <f t="shared" si="49"/>
        <v>0</v>
      </c>
      <c r="J999" s="4" t="s">
        <v>16</v>
      </c>
      <c r="K999" s="43" t="str">
        <f>IF(VLOOKUP(J999,βοηθητικό!$J$2:$N$354,3,FALSE)="","",VLOOKUP(J999,βοηθητικό!$J$2:$N$354,3,FALSE))</f>
        <v>_</v>
      </c>
      <c r="L999" s="44"/>
      <c r="M999" s="5" t="s">
        <v>16</v>
      </c>
      <c r="N999" s="46" t="str">
        <f>IF(VLOOKUP(M999,βοηθητικό!$J$2:$N$354,3,FALSE)="","",VLOOKUP(M999,βοηθητικό!$J$2:$N$354,3,FALSE))</f>
        <v>_</v>
      </c>
      <c r="O999" s="47"/>
      <c r="P999" s="4" t="s">
        <v>16</v>
      </c>
      <c r="Q999" s="43" t="str">
        <f>IF(VLOOKUP(P999,βοηθητικό!$J$2:$N$354,3,FALSE)="","",VLOOKUP(P999,βοηθητικό!$J$2:$N$354,3,FALSE))</f>
        <v>_</v>
      </c>
      <c r="R999" s="44"/>
      <c r="S999" s="5" t="s">
        <v>16</v>
      </c>
      <c r="T999" s="46" t="str">
        <f>IF(VLOOKUP(S999,βοηθητικό!$J$2:$N$354,3,FALSE)="","",VLOOKUP(S999,βοηθητικό!$J$2:$N$354,3,FALSE))</f>
        <v>_</v>
      </c>
      <c r="U999" s="47"/>
      <c r="V999" s="4" t="s">
        <v>16</v>
      </c>
      <c r="W999" s="43" t="str">
        <f>IF(VLOOKUP(V999,βοηθητικό!$J$2:$N$354,3,FALSE)="","",VLOOKUP(V999,βοηθητικό!$J$2:$N$354,3,FALSE))</f>
        <v>_</v>
      </c>
      <c r="X999" s="44"/>
      <c r="Y999" s="5" t="s">
        <v>16</v>
      </c>
      <c r="Z999" s="46" t="str">
        <f>IF(VLOOKUP(Y999,βοηθητικό!$J$2:$N$354,3,FALSE)="","",VLOOKUP(Y999,βοηθητικό!$J$2:$N$354,3,FALSE))</f>
        <v>_</v>
      </c>
      <c r="AA999" s="47"/>
      <c r="AB999" s="4" t="s">
        <v>16</v>
      </c>
      <c r="AC999" s="43" t="str">
        <f>IF(VLOOKUP(AB999,βοηθητικό!$J$2:$N$354,3,FALSE)="","",VLOOKUP(AB999,βοηθητικό!$J$2:$N$354,3,FALSE))</f>
        <v>_</v>
      </c>
      <c r="AD999" s="44"/>
      <c r="AE999" s="5" t="s">
        <v>16</v>
      </c>
      <c r="AF999" s="46" t="str">
        <f>IF(VLOOKUP(AE999,βοηθητικό!$J$2:$N$354,3,FALSE)="","",VLOOKUP(AE999,βοηθητικό!$J$2:$N$354,3,FALSE))</f>
        <v>_</v>
      </c>
      <c r="AG999" s="47"/>
      <c r="AH999" s="4" t="s">
        <v>16</v>
      </c>
      <c r="AI999" s="43" t="str">
        <f>IF(VLOOKUP(AH999,βοηθητικό!$J$2:$N$354,3,FALSE)="","",VLOOKUP(AH999,βοηθητικό!$J$2:$N$354,3,FALSE))</f>
        <v>_</v>
      </c>
      <c r="AJ999" s="44"/>
      <c r="AK999" s="5" t="s">
        <v>16</v>
      </c>
      <c r="AL999" s="46" t="str">
        <f>IF(VLOOKUP(AK999,βοηθητικό!$J$2:$N$354,3,FALSE)="","",VLOOKUP(AK999,βοηθητικό!$J$2:$N$354,3,FALSE))</f>
        <v>_</v>
      </c>
      <c r="AM999" s="47"/>
      <c r="AN999" s="4" t="s">
        <v>16</v>
      </c>
      <c r="AO999" s="43" t="str">
        <f>IF(VLOOKUP(AN999,βοηθητικό!$J$2:$N$354,3,FALSE)="","",VLOOKUP(AN999,βοηθητικό!$J$2:$N$354,3,FALSE))</f>
        <v>_</v>
      </c>
      <c r="AP999" s="44"/>
      <c r="AQ999" s="5" t="s">
        <v>16</v>
      </c>
      <c r="AR999" s="46" t="str">
        <f>IF(VLOOKUP(AQ999,βοηθητικό!$J$2:$N$354,3,FALSE)="","",VLOOKUP(AQ999,βοηθητικό!$J$2:$N$354,3,FALSE))</f>
        <v>_</v>
      </c>
      <c r="AS999" s="47"/>
      <c r="AT999" s="4" t="s">
        <v>16</v>
      </c>
      <c r="AU999" s="43" t="str">
        <f>IF(VLOOKUP(AT999,βοηθητικό!$J$2:$N$354,3,FALSE)="","",VLOOKUP(AT999,βοηθητικό!$J$2:$N$354,3,FALSE))</f>
        <v>_</v>
      </c>
      <c r="AV999" s="44"/>
      <c r="AW999" s="5" t="s">
        <v>16</v>
      </c>
      <c r="AX999" s="46" t="str">
        <f>IF(VLOOKUP(AW999,βοηθητικό!$J$2:$N$354,3,FALSE)="","",VLOOKUP(AW999,βοηθητικό!$J$2:$N$354,3,FALSE))</f>
        <v>_</v>
      </c>
      <c r="AY999" s="47"/>
      <c r="AZ999" s="4" t="s">
        <v>16</v>
      </c>
      <c r="BA999" s="43" t="str">
        <f>IF(VLOOKUP(AZ999,βοηθητικό!$J$2:$N$354,3,FALSE)="","",VLOOKUP(AZ999,βοηθητικό!$J$2:$N$354,3,FALSE))</f>
        <v>_</v>
      </c>
      <c r="BB999" s="44"/>
      <c r="BC999" s="45" t="s">
        <v>16</v>
      </c>
      <c r="BD999" s="46" t="str">
        <f>IF(VLOOKUP(BC999,βοηθητικό!$J$2:$N$354,3,FALSE)="","",VLOOKUP(BC999,βοηθητικό!$J$2:$N$354,3,FALSE))</f>
        <v>_</v>
      </c>
      <c r="BE999" s="47"/>
      <c r="BF999" s="42" t="s">
        <v>16</v>
      </c>
      <c r="BG999" s="43" t="str">
        <f>IF(VLOOKUP(BF999,βοηθητικό!$J$2:$N$354,3,FALSE)="","",VLOOKUP(BF999,βοηθητικό!$J$2:$N$354,3,FALSE))</f>
        <v>_</v>
      </c>
      <c r="BH999" s="44"/>
      <c r="BI999" s="45" t="s">
        <v>16</v>
      </c>
      <c r="BJ999" s="46" t="str">
        <f>IF(VLOOKUP(BI999,βοηθητικό!$J$2:$N$354,3,FALSE)="","",VLOOKUP(BI999,βοηθητικό!$J$2:$N$354,3,FALSE))</f>
        <v>_</v>
      </c>
      <c r="BK999" s="47"/>
      <c r="BL999" s="42" t="s">
        <v>16</v>
      </c>
      <c r="BM999" s="43" t="str">
        <f>IF(VLOOKUP(BL999,βοηθητικό!$J$2:$N$354,3,FALSE)="","",VLOOKUP(BL999,βοηθητικό!$J$2:$N$354,3,FALSE))</f>
        <v>_</v>
      </c>
      <c r="BN999" s="44"/>
      <c r="BO999" s="45" t="s">
        <v>16</v>
      </c>
      <c r="BP999" s="46" t="str">
        <f>IF(VLOOKUP(BO999,βοηθητικό!$J$2:$N$354,3,FALSE)="","",VLOOKUP(BO999,βοηθητικό!$J$2:$N$354,3,FALSE))</f>
        <v>_</v>
      </c>
      <c r="BQ999" s="47"/>
      <c r="BR999" s="42" t="s">
        <v>16</v>
      </c>
      <c r="BS999" s="43" t="str">
        <f>IF(VLOOKUP(BR999,βοηθητικό!$J$2:$N$354,3,FALSE)="","",VLOOKUP(BR999,βοηθητικό!$J$2:$N$354,3,FALSE))</f>
        <v>_</v>
      </c>
      <c r="BT999" s="44"/>
      <c r="BU999" s="45" t="s">
        <v>16</v>
      </c>
      <c r="BV999" s="46" t="str">
        <f>IF(VLOOKUP(BU999,βοηθητικό!$J$2:$N$354,3,FALSE)="","",VLOOKUP(BU999,βοηθητικό!$J$2:$N$354,3,FALSE))</f>
        <v>_</v>
      </c>
      <c r="BW999" s="47"/>
      <c r="BX999" s="42" t="s">
        <v>16</v>
      </c>
      <c r="BY999" s="43" t="str">
        <f>IF(VLOOKUP(BX999,βοηθητικό!$J$2:$N$354,3,FALSE)="","",VLOOKUP(BX999,βοηθητικό!$J$2:$N$354,3,FALSE))</f>
        <v>_</v>
      </c>
      <c r="BZ999" s="44"/>
      <c r="CA999" s="45" t="s">
        <v>16</v>
      </c>
      <c r="CB999" s="46" t="str">
        <f>IF(VLOOKUP(CA999,βοηθητικό!$J$2:$N$354,3,FALSE)="","",VLOOKUP(CA999,βοηθητικό!$J$2:$N$354,3,FALSE))</f>
        <v>_</v>
      </c>
      <c r="CC999" s="47"/>
      <c r="CD999" s="42" t="s">
        <v>16</v>
      </c>
      <c r="CE999" s="43" t="str">
        <f>IF(VLOOKUP(CD999,βοηθητικό!$J$2:$N$354,3,FALSE)="","",VLOOKUP(CD999,βοηθητικό!$J$2:$N$354,3,FALSE))</f>
        <v>_</v>
      </c>
      <c r="CF999" s="44"/>
      <c r="CG999" s="45" t="s">
        <v>16</v>
      </c>
      <c r="CH999" s="46" t="str">
        <f>IF(VLOOKUP(CG999,βοηθητικό!$J$2:$N$354,3,FALSE)="","",VLOOKUP(CG999,βοηθητικό!$J$2:$N$354,3,FALSE))</f>
        <v>_</v>
      </c>
      <c r="CI999" s="47"/>
      <c r="CJ999" s="42" t="s">
        <v>16</v>
      </c>
      <c r="CK999" s="43" t="str">
        <f>IF(VLOOKUP(CJ999,βοηθητικό!$J$2:$N$354,3,FALSE)="","",VLOOKUP(CJ999,βοηθητικό!$J$2:$N$354,3,FALSE))</f>
        <v>_</v>
      </c>
      <c r="CL999" s="44"/>
      <c r="CM999" s="45" t="s">
        <v>16</v>
      </c>
      <c r="CN999" s="46" t="str">
        <f>IF(VLOOKUP(CM999,βοηθητικό!$J$2:$N$354,3,FALSE)="","",VLOOKUP(CM999,βοηθητικό!$J$2:$N$354,3,FALSE))</f>
        <v>_</v>
      </c>
      <c r="CO999" s="47"/>
      <c r="CP999" s="42" t="s">
        <v>16</v>
      </c>
      <c r="CQ999" s="43" t="str">
        <f>IF(VLOOKUP(CP999,βοηθητικό!$J$2:$N$354,3,FALSE)="","",VLOOKUP(CP999,βοηθητικό!$J$2:$N$354,3,FALSE))</f>
        <v>_</v>
      </c>
      <c r="CR999" s="44"/>
      <c r="CS999" s="45" t="s">
        <v>16</v>
      </c>
      <c r="CT999" s="46" t="str">
        <f>IF(VLOOKUP(CS999,βοηθητικό!$J$2:$N$354,3,FALSE)="","",VLOOKUP(CS999,βοηθητικό!$J$2:$N$354,3,FALSE))</f>
        <v>_</v>
      </c>
      <c r="CU999" s="47"/>
    </row>
    <row r="1000" spans="1:99" x14ac:dyDescent="0.25">
      <c r="A1000" s="37">
        <f>--SUBTOTAL(3,$B$3:B999)</f>
        <v>198</v>
      </c>
      <c r="B1000" s="2"/>
      <c r="C1000" s="3"/>
      <c r="D1000" s="55" t="s">
        <v>18</v>
      </c>
      <c r="E1000" s="38" t="s">
        <v>16</v>
      </c>
      <c r="F1000" s="38"/>
      <c r="G1000" s="39" t="str">
        <f t="shared" si="47"/>
        <v>__</v>
      </c>
      <c r="H1000" s="40" t="str">
        <f t="shared" si="48"/>
        <v>FALSE</v>
      </c>
      <c r="I1000" s="41">
        <f t="shared" si="49"/>
        <v>0</v>
      </c>
      <c r="J1000" s="4" t="s">
        <v>16</v>
      </c>
      <c r="K1000" s="43" t="str">
        <f>IF(VLOOKUP(J1000,βοηθητικό!$J$2:$N$354,3,FALSE)="","",VLOOKUP(J1000,βοηθητικό!$J$2:$N$354,3,FALSE))</f>
        <v>_</v>
      </c>
      <c r="L1000" s="44"/>
      <c r="M1000" s="5" t="s">
        <v>16</v>
      </c>
      <c r="N1000" s="46" t="str">
        <f>IF(VLOOKUP(M1000,βοηθητικό!$J$2:$N$354,3,FALSE)="","",VLOOKUP(M1000,βοηθητικό!$J$2:$N$354,3,FALSE))</f>
        <v>_</v>
      </c>
      <c r="O1000" s="47"/>
      <c r="P1000" s="4" t="s">
        <v>16</v>
      </c>
      <c r="Q1000" s="43" t="str">
        <f>IF(VLOOKUP(P1000,βοηθητικό!$J$2:$N$354,3,FALSE)="","",VLOOKUP(P1000,βοηθητικό!$J$2:$N$354,3,FALSE))</f>
        <v>_</v>
      </c>
      <c r="R1000" s="44"/>
      <c r="S1000" s="5" t="s">
        <v>16</v>
      </c>
      <c r="T1000" s="46" t="str">
        <f>IF(VLOOKUP(S1000,βοηθητικό!$J$2:$N$354,3,FALSE)="","",VLOOKUP(S1000,βοηθητικό!$J$2:$N$354,3,FALSE))</f>
        <v>_</v>
      </c>
      <c r="U1000" s="47"/>
      <c r="V1000" s="4" t="s">
        <v>16</v>
      </c>
      <c r="W1000" s="43" t="str">
        <f>IF(VLOOKUP(V1000,βοηθητικό!$J$2:$N$354,3,FALSE)="","",VLOOKUP(V1000,βοηθητικό!$J$2:$N$354,3,FALSE))</f>
        <v>_</v>
      </c>
      <c r="X1000" s="44"/>
      <c r="Y1000" s="5" t="s">
        <v>16</v>
      </c>
      <c r="Z1000" s="46" t="str">
        <f>IF(VLOOKUP(Y1000,βοηθητικό!$J$2:$N$354,3,FALSE)="","",VLOOKUP(Y1000,βοηθητικό!$J$2:$N$354,3,FALSE))</f>
        <v>_</v>
      </c>
      <c r="AA1000" s="47"/>
      <c r="AB1000" s="4" t="s">
        <v>16</v>
      </c>
      <c r="AC1000" s="43" t="str">
        <f>IF(VLOOKUP(AB1000,βοηθητικό!$J$2:$N$354,3,FALSE)="","",VLOOKUP(AB1000,βοηθητικό!$J$2:$N$354,3,FALSE))</f>
        <v>_</v>
      </c>
      <c r="AD1000" s="44"/>
      <c r="AE1000" s="5" t="s">
        <v>16</v>
      </c>
      <c r="AF1000" s="46" t="str">
        <f>IF(VLOOKUP(AE1000,βοηθητικό!$J$2:$N$354,3,FALSE)="","",VLOOKUP(AE1000,βοηθητικό!$J$2:$N$354,3,FALSE))</f>
        <v>_</v>
      </c>
      <c r="AG1000" s="47"/>
      <c r="AH1000" s="4" t="s">
        <v>16</v>
      </c>
      <c r="AI1000" s="43" t="str">
        <f>IF(VLOOKUP(AH1000,βοηθητικό!$J$2:$N$354,3,FALSE)="","",VLOOKUP(AH1000,βοηθητικό!$J$2:$N$354,3,FALSE))</f>
        <v>_</v>
      </c>
      <c r="AJ1000" s="44"/>
      <c r="AK1000" s="5" t="s">
        <v>16</v>
      </c>
      <c r="AL1000" s="46" t="str">
        <f>IF(VLOOKUP(AK1000,βοηθητικό!$J$2:$N$354,3,FALSE)="","",VLOOKUP(AK1000,βοηθητικό!$J$2:$N$354,3,FALSE))</f>
        <v>_</v>
      </c>
      <c r="AM1000" s="47"/>
      <c r="AN1000" s="4" t="s">
        <v>16</v>
      </c>
      <c r="AO1000" s="43" t="str">
        <f>IF(VLOOKUP(AN1000,βοηθητικό!$J$2:$N$354,3,FALSE)="","",VLOOKUP(AN1000,βοηθητικό!$J$2:$N$354,3,FALSE))</f>
        <v>_</v>
      </c>
      <c r="AP1000" s="44"/>
      <c r="AQ1000" s="5" t="s">
        <v>16</v>
      </c>
      <c r="AR1000" s="46" t="str">
        <f>IF(VLOOKUP(AQ1000,βοηθητικό!$J$2:$N$354,3,FALSE)="","",VLOOKUP(AQ1000,βοηθητικό!$J$2:$N$354,3,FALSE))</f>
        <v>_</v>
      </c>
      <c r="AS1000" s="47"/>
      <c r="AT1000" s="4" t="s">
        <v>16</v>
      </c>
      <c r="AU1000" s="43" t="str">
        <f>IF(VLOOKUP(AT1000,βοηθητικό!$J$2:$N$354,3,FALSE)="","",VLOOKUP(AT1000,βοηθητικό!$J$2:$N$354,3,FALSE))</f>
        <v>_</v>
      </c>
      <c r="AV1000" s="44"/>
      <c r="AW1000" s="5" t="s">
        <v>16</v>
      </c>
      <c r="AX1000" s="46" t="str">
        <f>IF(VLOOKUP(AW1000,βοηθητικό!$J$2:$N$354,3,FALSE)="","",VLOOKUP(AW1000,βοηθητικό!$J$2:$N$354,3,FALSE))</f>
        <v>_</v>
      </c>
      <c r="AY1000" s="47"/>
      <c r="AZ1000" s="4" t="s">
        <v>16</v>
      </c>
      <c r="BA1000" s="43" t="str">
        <f>IF(VLOOKUP(AZ1000,βοηθητικό!$J$2:$N$354,3,FALSE)="","",VLOOKUP(AZ1000,βοηθητικό!$J$2:$N$354,3,FALSE))</f>
        <v>_</v>
      </c>
      <c r="BB1000" s="44"/>
      <c r="BC1000" s="45" t="s">
        <v>16</v>
      </c>
      <c r="BD1000" s="46" t="str">
        <f>IF(VLOOKUP(BC1000,βοηθητικό!$J$2:$N$354,3,FALSE)="","",VLOOKUP(BC1000,βοηθητικό!$J$2:$N$354,3,FALSE))</f>
        <v>_</v>
      </c>
      <c r="BE1000" s="47"/>
      <c r="BF1000" s="42" t="s">
        <v>16</v>
      </c>
      <c r="BG1000" s="43" t="str">
        <f>IF(VLOOKUP(BF1000,βοηθητικό!$J$2:$N$354,3,FALSE)="","",VLOOKUP(BF1000,βοηθητικό!$J$2:$N$354,3,FALSE))</f>
        <v>_</v>
      </c>
      <c r="BH1000" s="44"/>
      <c r="BI1000" s="45" t="s">
        <v>16</v>
      </c>
      <c r="BJ1000" s="46" t="str">
        <f>IF(VLOOKUP(BI1000,βοηθητικό!$J$2:$N$354,3,FALSE)="","",VLOOKUP(BI1000,βοηθητικό!$J$2:$N$354,3,FALSE))</f>
        <v>_</v>
      </c>
      <c r="BK1000" s="47"/>
      <c r="BL1000" s="42" t="s">
        <v>16</v>
      </c>
      <c r="BM1000" s="43" t="str">
        <f>IF(VLOOKUP(BL1000,βοηθητικό!$J$2:$N$354,3,FALSE)="","",VLOOKUP(BL1000,βοηθητικό!$J$2:$N$354,3,FALSE))</f>
        <v>_</v>
      </c>
      <c r="BN1000" s="44"/>
      <c r="BO1000" s="45" t="s">
        <v>16</v>
      </c>
      <c r="BP1000" s="46" t="str">
        <f>IF(VLOOKUP(BO1000,βοηθητικό!$J$2:$N$354,3,FALSE)="","",VLOOKUP(BO1000,βοηθητικό!$J$2:$N$354,3,FALSE))</f>
        <v>_</v>
      </c>
      <c r="BQ1000" s="47"/>
      <c r="BR1000" s="42" t="s">
        <v>16</v>
      </c>
      <c r="BS1000" s="43" t="str">
        <f>IF(VLOOKUP(BR1000,βοηθητικό!$J$2:$N$354,3,FALSE)="","",VLOOKUP(BR1000,βοηθητικό!$J$2:$N$354,3,FALSE))</f>
        <v>_</v>
      </c>
      <c r="BT1000" s="44"/>
      <c r="BU1000" s="45" t="s">
        <v>16</v>
      </c>
      <c r="BV1000" s="46" t="str">
        <f>IF(VLOOKUP(BU1000,βοηθητικό!$J$2:$N$354,3,FALSE)="","",VLOOKUP(BU1000,βοηθητικό!$J$2:$N$354,3,FALSE))</f>
        <v>_</v>
      </c>
      <c r="BW1000" s="47"/>
      <c r="BX1000" s="42" t="s">
        <v>16</v>
      </c>
      <c r="BY1000" s="43" t="str">
        <f>IF(VLOOKUP(BX1000,βοηθητικό!$J$2:$N$354,3,FALSE)="","",VLOOKUP(BX1000,βοηθητικό!$J$2:$N$354,3,FALSE))</f>
        <v>_</v>
      </c>
      <c r="BZ1000" s="44"/>
      <c r="CA1000" s="45" t="s">
        <v>16</v>
      </c>
      <c r="CB1000" s="46" t="str">
        <f>IF(VLOOKUP(CA1000,βοηθητικό!$J$2:$N$354,3,FALSE)="","",VLOOKUP(CA1000,βοηθητικό!$J$2:$N$354,3,FALSE))</f>
        <v>_</v>
      </c>
      <c r="CC1000" s="47"/>
      <c r="CD1000" s="42" t="s">
        <v>16</v>
      </c>
      <c r="CE1000" s="43" t="str">
        <f>IF(VLOOKUP(CD1000,βοηθητικό!$J$2:$N$354,3,FALSE)="","",VLOOKUP(CD1000,βοηθητικό!$J$2:$N$354,3,FALSE))</f>
        <v>_</v>
      </c>
      <c r="CF1000" s="44"/>
      <c r="CG1000" s="45" t="s">
        <v>16</v>
      </c>
      <c r="CH1000" s="46" t="str">
        <f>IF(VLOOKUP(CG1000,βοηθητικό!$J$2:$N$354,3,FALSE)="","",VLOOKUP(CG1000,βοηθητικό!$J$2:$N$354,3,FALSE))</f>
        <v>_</v>
      </c>
      <c r="CI1000" s="47"/>
      <c r="CJ1000" s="42" t="s">
        <v>16</v>
      </c>
      <c r="CK1000" s="43" t="str">
        <f>IF(VLOOKUP(CJ1000,βοηθητικό!$J$2:$N$354,3,FALSE)="","",VLOOKUP(CJ1000,βοηθητικό!$J$2:$N$354,3,FALSE))</f>
        <v>_</v>
      </c>
      <c r="CL1000" s="44"/>
      <c r="CM1000" s="45" t="s">
        <v>16</v>
      </c>
      <c r="CN1000" s="46" t="str">
        <f>IF(VLOOKUP(CM1000,βοηθητικό!$J$2:$N$354,3,FALSE)="","",VLOOKUP(CM1000,βοηθητικό!$J$2:$N$354,3,FALSE))</f>
        <v>_</v>
      </c>
      <c r="CO1000" s="47"/>
      <c r="CP1000" s="42" t="s">
        <v>16</v>
      </c>
      <c r="CQ1000" s="43" t="str">
        <f>IF(VLOOKUP(CP1000,βοηθητικό!$J$2:$N$354,3,FALSE)="","",VLOOKUP(CP1000,βοηθητικό!$J$2:$N$354,3,FALSE))</f>
        <v>_</v>
      </c>
      <c r="CR1000" s="44"/>
      <c r="CS1000" s="45" t="s">
        <v>16</v>
      </c>
      <c r="CT1000" s="46" t="str">
        <f>IF(VLOOKUP(CS1000,βοηθητικό!$J$2:$N$354,3,FALSE)="","",VLOOKUP(CS1000,βοηθητικό!$J$2:$N$354,3,FALSE))</f>
        <v>_</v>
      </c>
      <c r="CU1000" s="47"/>
    </row>
    <row r="1001" spans="1:99" x14ac:dyDescent="0.25">
      <c r="A1001" s="37">
        <f>--SUBTOTAL(3,$B$3:B1000)</f>
        <v>198</v>
      </c>
      <c r="B1001" s="2"/>
      <c r="C1001" s="3"/>
      <c r="D1001" s="55" t="s">
        <v>18</v>
      </c>
      <c r="E1001" s="38" t="s">
        <v>16</v>
      </c>
      <c r="F1001" s="38"/>
      <c r="G1001" s="39" t="str">
        <f t="shared" si="47"/>
        <v>__</v>
      </c>
      <c r="H1001" s="40" t="str">
        <f t="shared" si="48"/>
        <v>FALSE</v>
      </c>
      <c r="I1001" s="41">
        <f t="shared" si="49"/>
        <v>0</v>
      </c>
      <c r="J1001" s="4" t="s">
        <v>16</v>
      </c>
      <c r="K1001" s="43" t="str">
        <f>IF(VLOOKUP(J1001,βοηθητικό!$J$2:$N$354,3,FALSE)="","",VLOOKUP(J1001,βοηθητικό!$J$2:$N$354,3,FALSE))</f>
        <v>_</v>
      </c>
      <c r="L1001" s="44"/>
      <c r="M1001" s="5" t="s">
        <v>16</v>
      </c>
      <c r="N1001" s="46" t="str">
        <f>IF(VLOOKUP(M1001,βοηθητικό!$J$2:$N$354,3,FALSE)="","",VLOOKUP(M1001,βοηθητικό!$J$2:$N$354,3,FALSE))</f>
        <v>_</v>
      </c>
      <c r="O1001" s="47"/>
      <c r="P1001" s="4" t="s">
        <v>16</v>
      </c>
      <c r="Q1001" s="43" t="str">
        <f>IF(VLOOKUP(P1001,βοηθητικό!$J$2:$N$354,3,FALSE)="","",VLOOKUP(P1001,βοηθητικό!$J$2:$N$354,3,FALSE))</f>
        <v>_</v>
      </c>
      <c r="R1001" s="44"/>
      <c r="S1001" s="5" t="s">
        <v>16</v>
      </c>
      <c r="T1001" s="46" t="str">
        <f>IF(VLOOKUP(S1001,βοηθητικό!$J$2:$N$354,3,FALSE)="","",VLOOKUP(S1001,βοηθητικό!$J$2:$N$354,3,FALSE))</f>
        <v>_</v>
      </c>
      <c r="U1001" s="47"/>
      <c r="V1001" s="4" t="s">
        <v>16</v>
      </c>
      <c r="W1001" s="43" t="str">
        <f>IF(VLOOKUP(V1001,βοηθητικό!$J$2:$N$354,3,FALSE)="","",VLOOKUP(V1001,βοηθητικό!$J$2:$N$354,3,FALSE))</f>
        <v>_</v>
      </c>
      <c r="X1001" s="44"/>
      <c r="Y1001" s="5" t="s">
        <v>16</v>
      </c>
      <c r="Z1001" s="46" t="str">
        <f>IF(VLOOKUP(Y1001,βοηθητικό!$J$2:$N$354,3,FALSE)="","",VLOOKUP(Y1001,βοηθητικό!$J$2:$N$354,3,FALSE))</f>
        <v>_</v>
      </c>
      <c r="AA1001" s="47"/>
      <c r="AB1001" s="4" t="s">
        <v>16</v>
      </c>
      <c r="AC1001" s="43" t="str">
        <f>IF(VLOOKUP(AB1001,βοηθητικό!$J$2:$N$354,3,FALSE)="","",VLOOKUP(AB1001,βοηθητικό!$J$2:$N$354,3,FALSE))</f>
        <v>_</v>
      </c>
      <c r="AD1001" s="44"/>
      <c r="AE1001" s="5" t="s">
        <v>16</v>
      </c>
      <c r="AF1001" s="46" t="str">
        <f>IF(VLOOKUP(AE1001,βοηθητικό!$J$2:$N$354,3,FALSE)="","",VLOOKUP(AE1001,βοηθητικό!$J$2:$N$354,3,FALSE))</f>
        <v>_</v>
      </c>
      <c r="AG1001" s="47"/>
      <c r="AH1001" s="4" t="s">
        <v>16</v>
      </c>
      <c r="AI1001" s="43" t="str">
        <f>IF(VLOOKUP(AH1001,βοηθητικό!$J$2:$N$354,3,FALSE)="","",VLOOKUP(AH1001,βοηθητικό!$J$2:$N$354,3,FALSE))</f>
        <v>_</v>
      </c>
      <c r="AJ1001" s="44"/>
      <c r="AK1001" s="5" t="s">
        <v>16</v>
      </c>
      <c r="AL1001" s="46" t="str">
        <f>IF(VLOOKUP(AK1001,βοηθητικό!$J$2:$N$354,3,FALSE)="","",VLOOKUP(AK1001,βοηθητικό!$J$2:$N$354,3,FALSE))</f>
        <v>_</v>
      </c>
      <c r="AM1001" s="47"/>
      <c r="AN1001" s="4" t="s">
        <v>16</v>
      </c>
      <c r="AO1001" s="43" t="str">
        <f>IF(VLOOKUP(AN1001,βοηθητικό!$J$2:$N$354,3,FALSE)="","",VLOOKUP(AN1001,βοηθητικό!$J$2:$N$354,3,FALSE))</f>
        <v>_</v>
      </c>
      <c r="AP1001" s="44"/>
      <c r="AQ1001" s="5" t="s">
        <v>16</v>
      </c>
      <c r="AR1001" s="46" t="str">
        <f>IF(VLOOKUP(AQ1001,βοηθητικό!$J$2:$N$354,3,FALSE)="","",VLOOKUP(AQ1001,βοηθητικό!$J$2:$N$354,3,FALSE))</f>
        <v>_</v>
      </c>
      <c r="AS1001" s="47"/>
      <c r="AT1001" s="4" t="s">
        <v>16</v>
      </c>
      <c r="AU1001" s="43" t="str">
        <f>IF(VLOOKUP(AT1001,βοηθητικό!$J$2:$N$354,3,FALSE)="","",VLOOKUP(AT1001,βοηθητικό!$J$2:$N$354,3,FALSE))</f>
        <v>_</v>
      </c>
      <c r="AV1001" s="44"/>
      <c r="AW1001" s="5" t="s">
        <v>16</v>
      </c>
      <c r="AX1001" s="46" t="str">
        <f>IF(VLOOKUP(AW1001,βοηθητικό!$J$2:$N$354,3,FALSE)="","",VLOOKUP(AW1001,βοηθητικό!$J$2:$N$354,3,FALSE))</f>
        <v>_</v>
      </c>
      <c r="AY1001" s="47"/>
      <c r="AZ1001" s="4" t="s">
        <v>16</v>
      </c>
      <c r="BA1001" s="43" t="str">
        <f>IF(VLOOKUP(AZ1001,βοηθητικό!$J$2:$N$354,3,FALSE)="","",VLOOKUP(AZ1001,βοηθητικό!$J$2:$N$354,3,FALSE))</f>
        <v>_</v>
      </c>
      <c r="BB1001" s="44"/>
      <c r="BC1001" s="45" t="s">
        <v>16</v>
      </c>
      <c r="BD1001" s="46" t="str">
        <f>IF(VLOOKUP(BC1001,βοηθητικό!$J$2:$N$354,3,FALSE)="","",VLOOKUP(BC1001,βοηθητικό!$J$2:$N$354,3,FALSE))</f>
        <v>_</v>
      </c>
      <c r="BE1001" s="47"/>
      <c r="BF1001" s="42" t="s">
        <v>16</v>
      </c>
      <c r="BG1001" s="43" t="str">
        <f>IF(VLOOKUP(BF1001,βοηθητικό!$J$2:$N$354,3,FALSE)="","",VLOOKUP(BF1001,βοηθητικό!$J$2:$N$354,3,FALSE))</f>
        <v>_</v>
      </c>
      <c r="BH1001" s="44"/>
      <c r="BI1001" s="45" t="s">
        <v>16</v>
      </c>
      <c r="BJ1001" s="46" t="str">
        <f>IF(VLOOKUP(BI1001,βοηθητικό!$J$2:$N$354,3,FALSE)="","",VLOOKUP(BI1001,βοηθητικό!$J$2:$N$354,3,FALSE))</f>
        <v>_</v>
      </c>
      <c r="BK1001" s="47"/>
      <c r="BL1001" s="42" t="s">
        <v>16</v>
      </c>
      <c r="BM1001" s="43" t="str">
        <f>IF(VLOOKUP(BL1001,βοηθητικό!$J$2:$N$354,3,FALSE)="","",VLOOKUP(BL1001,βοηθητικό!$J$2:$N$354,3,FALSE))</f>
        <v>_</v>
      </c>
      <c r="BN1001" s="44"/>
      <c r="BO1001" s="45" t="s">
        <v>16</v>
      </c>
      <c r="BP1001" s="46" t="str">
        <f>IF(VLOOKUP(BO1001,βοηθητικό!$J$2:$N$354,3,FALSE)="","",VLOOKUP(BO1001,βοηθητικό!$J$2:$N$354,3,FALSE))</f>
        <v>_</v>
      </c>
      <c r="BQ1001" s="47"/>
      <c r="BR1001" s="42" t="s">
        <v>16</v>
      </c>
      <c r="BS1001" s="43" t="str">
        <f>IF(VLOOKUP(BR1001,βοηθητικό!$J$2:$N$354,3,FALSE)="","",VLOOKUP(BR1001,βοηθητικό!$J$2:$N$354,3,FALSE))</f>
        <v>_</v>
      </c>
      <c r="BT1001" s="44"/>
      <c r="BU1001" s="45" t="s">
        <v>16</v>
      </c>
      <c r="BV1001" s="46" t="str">
        <f>IF(VLOOKUP(BU1001,βοηθητικό!$J$2:$N$354,3,FALSE)="","",VLOOKUP(BU1001,βοηθητικό!$J$2:$N$354,3,FALSE))</f>
        <v>_</v>
      </c>
      <c r="BW1001" s="47"/>
      <c r="BX1001" s="42" t="s">
        <v>16</v>
      </c>
      <c r="BY1001" s="43" t="str">
        <f>IF(VLOOKUP(BX1001,βοηθητικό!$J$2:$N$354,3,FALSE)="","",VLOOKUP(BX1001,βοηθητικό!$J$2:$N$354,3,FALSE))</f>
        <v>_</v>
      </c>
      <c r="BZ1001" s="44"/>
      <c r="CA1001" s="45" t="s">
        <v>16</v>
      </c>
      <c r="CB1001" s="46" t="str">
        <f>IF(VLOOKUP(CA1001,βοηθητικό!$J$2:$N$354,3,FALSE)="","",VLOOKUP(CA1001,βοηθητικό!$J$2:$N$354,3,FALSE))</f>
        <v>_</v>
      </c>
      <c r="CC1001" s="47"/>
      <c r="CD1001" s="42" t="s">
        <v>16</v>
      </c>
      <c r="CE1001" s="43" t="str">
        <f>IF(VLOOKUP(CD1001,βοηθητικό!$J$2:$N$354,3,FALSE)="","",VLOOKUP(CD1001,βοηθητικό!$J$2:$N$354,3,FALSE))</f>
        <v>_</v>
      </c>
      <c r="CF1001" s="44"/>
      <c r="CG1001" s="45" t="s">
        <v>16</v>
      </c>
      <c r="CH1001" s="46" t="str">
        <f>IF(VLOOKUP(CG1001,βοηθητικό!$J$2:$N$354,3,FALSE)="","",VLOOKUP(CG1001,βοηθητικό!$J$2:$N$354,3,FALSE))</f>
        <v>_</v>
      </c>
      <c r="CI1001" s="47"/>
      <c r="CJ1001" s="42" t="s">
        <v>16</v>
      </c>
      <c r="CK1001" s="43" t="str">
        <f>IF(VLOOKUP(CJ1001,βοηθητικό!$J$2:$N$354,3,FALSE)="","",VLOOKUP(CJ1001,βοηθητικό!$J$2:$N$354,3,FALSE))</f>
        <v>_</v>
      </c>
      <c r="CL1001" s="44"/>
      <c r="CM1001" s="45" t="s">
        <v>16</v>
      </c>
      <c r="CN1001" s="46" t="str">
        <f>IF(VLOOKUP(CM1001,βοηθητικό!$J$2:$N$354,3,FALSE)="","",VLOOKUP(CM1001,βοηθητικό!$J$2:$N$354,3,FALSE))</f>
        <v>_</v>
      </c>
      <c r="CO1001" s="47"/>
      <c r="CP1001" s="42" t="s">
        <v>16</v>
      </c>
      <c r="CQ1001" s="43" t="str">
        <f>IF(VLOOKUP(CP1001,βοηθητικό!$J$2:$N$354,3,FALSE)="","",VLOOKUP(CP1001,βοηθητικό!$J$2:$N$354,3,FALSE))</f>
        <v>_</v>
      </c>
      <c r="CR1001" s="44"/>
      <c r="CS1001" s="45" t="s">
        <v>16</v>
      </c>
      <c r="CT1001" s="46" t="str">
        <f>IF(VLOOKUP(CS1001,βοηθητικό!$J$2:$N$354,3,FALSE)="","",VLOOKUP(CS1001,βοηθητικό!$J$2:$N$354,3,FALSE))</f>
        <v>_</v>
      </c>
      <c r="CU1001" s="47"/>
    </row>
    <row r="1002" spans="1:99" x14ac:dyDescent="0.25">
      <c r="A1002" s="37">
        <f>--SUBTOTAL(3,$B$3:B1001)</f>
        <v>198</v>
      </c>
      <c r="B1002" s="2"/>
      <c r="C1002" s="3"/>
      <c r="D1002" s="55" t="s">
        <v>18</v>
      </c>
      <c r="E1002" s="38" t="s">
        <v>16</v>
      </c>
      <c r="F1002" s="38"/>
      <c r="G1002" s="39" t="str">
        <f t="shared" si="47"/>
        <v>__</v>
      </c>
      <c r="H1002" s="40" t="str">
        <f t="shared" si="48"/>
        <v>FALSE</v>
      </c>
      <c r="I1002" s="41">
        <f t="shared" si="49"/>
        <v>0</v>
      </c>
      <c r="J1002" s="4" t="s">
        <v>16</v>
      </c>
      <c r="K1002" s="43" t="str">
        <f>IF(VLOOKUP(J1002,βοηθητικό!$J$2:$N$354,3,FALSE)="","",VLOOKUP(J1002,βοηθητικό!$J$2:$N$354,3,FALSE))</f>
        <v>_</v>
      </c>
      <c r="L1002" s="44"/>
      <c r="M1002" s="5" t="s">
        <v>16</v>
      </c>
      <c r="N1002" s="46" t="str">
        <f>IF(VLOOKUP(M1002,βοηθητικό!$J$2:$N$354,3,FALSE)="","",VLOOKUP(M1002,βοηθητικό!$J$2:$N$354,3,FALSE))</f>
        <v>_</v>
      </c>
      <c r="O1002" s="47"/>
      <c r="P1002" s="4" t="s">
        <v>16</v>
      </c>
      <c r="Q1002" s="43" t="str">
        <f>IF(VLOOKUP(P1002,βοηθητικό!$J$2:$N$354,3,FALSE)="","",VLOOKUP(P1002,βοηθητικό!$J$2:$N$354,3,FALSE))</f>
        <v>_</v>
      </c>
      <c r="R1002" s="44"/>
      <c r="S1002" s="5" t="s">
        <v>16</v>
      </c>
      <c r="T1002" s="46" t="str">
        <f>IF(VLOOKUP(S1002,βοηθητικό!$J$2:$N$354,3,FALSE)="","",VLOOKUP(S1002,βοηθητικό!$J$2:$N$354,3,FALSE))</f>
        <v>_</v>
      </c>
      <c r="U1002" s="47"/>
      <c r="V1002" s="4" t="s">
        <v>16</v>
      </c>
      <c r="W1002" s="43" t="str">
        <f>IF(VLOOKUP(V1002,βοηθητικό!$J$2:$N$354,3,FALSE)="","",VLOOKUP(V1002,βοηθητικό!$J$2:$N$354,3,FALSE))</f>
        <v>_</v>
      </c>
      <c r="X1002" s="44"/>
      <c r="Y1002" s="5" t="s">
        <v>16</v>
      </c>
      <c r="Z1002" s="46" t="str">
        <f>IF(VLOOKUP(Y1002,βοηθητικό!$J$2:$N$354,3,FALSE)="","",VLOOKUP(Y1002,βοηθητικό!$J$2:$N$354,3,FALSE))</f>
        <v>_</v>
      </c>
      <c r="AA1002" s="47"/>
      <c r="AB1002" s="4" t="s">
        <v>16</v>
      </c>
      <c r="AC1002" s="43" t="str">
        <f>IF(VLOOKUP(AB1002,βοηθητικό!$J$2:$N$354,3,FALSE)="","",VLOOKUP(AB1002,βοηθητικό!$J$2:$N$354,3,FALSE))</f>
        <v>_</v>
      </c>
      <c r="AD1002" s="44"/>
      <c r="AE1002" s="5" t="s">
        <v>16</v>
      </c>
      <c r="AF1002" s="46" t="str">
        <f>IF(VLOOKUP(AE1002,βοηθητικό!$J$2:$N$354,3,FALSE)="","",VLOOKUP(AE1002,βοηθητικό!$J$2:$N$354,3,FALSE))</f>
        <v>_</v>
      </c>
      <c r="AG1002" s="47"/>
      <c r="AH1002" s="4" t="s">
        <v>16</v>
      </c>
      <c r="AI1002" s="43" t="str">
        <f>IF(VLOOKUP(AH1002,βοηθητικό!$J$2:$N$354,3,FALSE)="","",VLOOKUP(AH1002,βοηθητικό!$J$2:$N$354,3,FALSE))</f>
        <v>_</v>
      </c>
      <c r="AJ1002" s="44"/>
      <c r="AK1002" s="5" t="s">
        <v>16</v>
      </c>
      <c r="AL1002" s="46" t="str">
        <f>IF(VLOOKUP(AK1002,βοηθητικό!$J$2:$N$354,3,FALSE)="","",VLOOKUP(AK1002,βοηθητικό!$J$2:$N$354,3,FALSE))</f>
        <v>_</v>
      </c>
      <c r="AM1002" s="47"/>
      <c r="AN1002" s="4" t="s">
        <v>16</v>
      </c>
      <c r="AO1002" s="43" t="str">
        <f>IF(VLOOKUP(AN1002,βοηθητικό!$J$2:$N$354,3,FALSE)="","",VLOOKUP(AN1002,βοηθητικό!$J$2:$N$354,3,FALSE))</f>
        <v>_</v>
      </c>
      <c r="AP1002" s="44"/>
      <c r="AQ1002" s="5" t="s">
        <v>16</v>
      </c>
      <c r="AR1002" s="46" t="str">
        <f>IF(VLOOKUP(AQ1002,βοηθητικό!$J$2:$N$354,3,FALSE)="","",VLOOKUP(AQ1002,βοηθητικό!$J$2:$N$354,3,FALSE))</f>
        <v>_</v>
      </c>
      <c r="AS1002" s="47"/>
      <c r="AT1002" s="4" t="s">
        <v>16</v>
      </c>
      <c r="AU1002" s="43" t="str">
        <f>IF(VLOOKUP(AT1002,βοηθητικό!$J$2:$N$354,3,FALSE)="","",VLOOKUP(AT1002,βοηθητικό!$J$2:$N$354,3,FALSE))</f>
        <v>_</v>
      </c>
      <c r="AV1002" s="44"/>
      <c r="AW1002" s="5" t="s">
        <v>16</v>
      </c>
      <c r="AX1002" s="46" t="str">
        <f>IF(VLOOKUP(AW1002,βοηθητικό!$J$2:$N$354,3,FALSE)="","",VLOOKUP(AW1002,βοηθητικό!$J$2:$N$354,3,FALSE))</f>
        <v>_</v>
      </c>
      <c r="AY1002" s="47"/>
      <c r="AZ1002" s="4" t="s">
        <v>16</v>
      </c>
      <c r="BA1002" s="43" t="str">
        <f>IF(VLOOKUP(AZ1002,βοηθητικό!$J$2:$N$354,3,FALSE)="","",VLOOKUP(AZ1002,βοηθητικό!$J$2:$N$354,3,FALSE))</f>
        <v>_</v>
      </c>
      <c r="BB1002" s="44"/>
      <c r="BC1002" s="45" t="s">
        <v>16</v>
      </c>
      <c r="BD1002" s="46" t="str">
        <f>IF(VLOOKUP(BC1002,βοηθητικό!$J$2:$N$354,3,FALSE)="","",VLOOKUP(BC1002,βοηθητικό!$J$2:$N$354,3,FALSE))</f>
        <v>_</v>
      </c>
      <c r="BE1002" s="47"/>
      <c r="BF1002" s="42" t="s">
        <v>16</v>
      </c>
      <c r="BG1002" s="43" t="str">
        <f>IF(VLOOKUP(BF1002,βοηθητικό!$J$2:$N$354,3,FALSE)="","",VLOOKUP(BF1002,βοηθητικό!$J$2:$N$354,3,FALSE))</f>
        <v>_</v>
      </c>
      <c r="BH1002" s="44"/>
      <c r="BI1002" s="45" t="s">
        <v>16</v>
      </c>
      <c r="BJ1002" s="46" t="str">
        <f>IF(VLOOKUP(BI1002,βοηθητικό!$J$2:$N$354,3,FALSE)="","",VLOOKUP(BI1002,βοηθητικό!$J$2:$N$354,3,FALSE))</f>
        <v>_</v>
      </c>
      <c r="BK1002" s="47"/>
      <c r="BL1002" s="42" t="s">
        <v>16</v>
      </c>
      <c r="BM1002" s="43" t="str">
        <f>IF(VLOOKUP(BL1002,βοηθητικό!$J$2:$N$354,3,FALSE)="","",VLOOKUP(BL1002,βοηθητικό!$J$2:$N$354,3,FALSE))</f>
        <v>_</v>
      </c>
      <c r="BN1002" s="44"/>
      <c r="BO1002" s="45" t="s">
        <v>16</v>
      </c>
      <c r="BP1002" s="46" t="str">
        <f>IF(VLOOKUP(BO1002,βοηθητικό!$J$2:$N$354,3,FALSE)="","",VLOOKUP(BO1002,βοηθητικό!$J$2:$N$354,3,FALSE))</f>
        <v>_</v>
      </c>
      <c r="BQ1002" s="47"/>
      <c r="BR1002" s="42" t="s">
        <v>16</v>
      </c>
      <c r="BS1002" s="43" t="str">
        <f>IF(VLOOKUP(BR1002,βοηθητικό!$J$2:$N$354,3,FALSE)="","",VLOOKUP(BR1002,βοηθητικό!$J$2:$N$354,3,FALSE))</f>
        <v>_</v>
      </c>
      <c r="BT1002" s="44"/>
      <c r="BU1002" s="45" t="s">
        <v>16</v>
      </c>
      <c r="BV1002" s="46" t="str">
        <f>IF(VLOOKUP(BU1002,βοηθητικό!$J$2:$N$354,3,FALSE)="","",VLOOKUP(BU1002,βοηθητικό!$J$2:$N$354,3,FALSE))</f>
        <v>_</v>
      </c>
      <c r="BW1002" s="47"/>
      <c r="BX1002" s="42" t="s">
        <v>16</v>
      </c>
      <c r="BY1002" s="43" t="str">
        <f>IF(VLOOKUP(BX1002,βοηθητικό!$J$2:$N$354,3,FALSE)="","",VLOOKUP(BX1002,βοηθητικό!$J$2:$N$354,3,FALSE))</f>
        <v>_</v>
      </c>
      <c r="BZ1002" s="44"/>
      <c r="CA1002" s="45" t="s">
        <v>16</v>
      </c>
      <c r="CB1002" s="46" t="str">
        <f>IF(VLOOKUP(CA1002,βοηθητικό!$J$2:$N$354,3,FALSE)="","",VLOOKUP(CA1002,βοηθητικό!$J$2:$N$354,3,FALSE))</f>
        <v>_</v>
      </c>
      <c r="CC1002" s="47"/>
      <c r="CD1002" s="42" t="s">
        <v>16</v>
      </c>
      <c r="CE1002" s="43" t="str">
        <f>IF(VLOOKUP(CD1002,βοηθητικό!$J$2:$N$354,3,FALSE)="","",VLOOKUP(CD1002,βοηθητικό!$J$2:$N$354,3,FALSE))</f>
        <v>_</v>
      </c>
      <c r="CF1002" s="44"/>
      <c r="CG1002" s="45" t="s">
        <v>16</v>
      </c>
      <c r="CH1002" s="46" t="str">
        <f>IF(VLOOKUP(CG1002,βοηθητικό!$J$2:$N$354,3,FALSE)="","",VLOOKUP(CG1002,βοηθητικό!$J$2:$N$354,3,FALSE))</f>
        <v>_</v>
      </c>
      <c r="CI1002" s="47"/>
      <c r="CJ1002" s="42" t="s">
        <v>16</v>
      </c>
      <c r="CK1002" s="43" t="str">
        <f>IF(VLOOKUP(CJ1002,βοηθητικό!$J$2:$N$354,3,FALSE)="","",VLOOKUP(CJ1002,βοηθητικό!$J$2:$N$354,3,FALSE))</f>
        <v>_</v>
      </c>
      <c r="CL1002" s="44"/>
      <c r="CM1002" s="45" t="s">
        <v>16</v>
      </c>
      <c r="CN1002" s="46" t="str">
        <f>IF(VLOOKUP(CM1002,βοηθητικό!$J$2:$N$354,3,FALSE)="","",VLOOKUP(CM1002,βοηθητικό!$J$2:$N$354,3,FALSE))</f>
        <v>_</v>
      </c>
      <c r="CO1002" s="47"/>
      <c r="CP1002" s="42" t="s">
        <v>16</v>
      </c>
      <c r="CQ1002" s="43" t="str">
        <f>IF(VLOOKUP(CP1002,βοηθητικό!$J$2:$N$354,3,FALSE)="","",VLOOKUP(CP1002,βοηθητικό!$J$2:$N$354,3,FALSE))</f>
        <v>_</v>
      </c>
      <c r="CR1002" s="44"/>
      <c r="CS1002" s="45" t="s">
        <v>16</v>
      </c>
      <c r="CT1002" s="46" t="str">
        <f>IF(VLOOKUP(CS1002,βοηθητικό!$J$2:$N$354,3,FALSE)="","",VLOOKUP(CS1002,βοηθητικό!$J$2:$N$354,3,FALSE))</f>
        <v>_</v>
      </c>
      <c r="CU1002" s="47"/>
    </row>
    <row r="1003" spans="1:99" x14ac:dyDescent="0.25">
      <c r="A1003" s="37">
        <f>--SUBTOTAL(3,$B$3:B1002)</f>
        <v>198</v>
      </c>
      <c r="B1003" s="2"/>
      <c r="C1003" s="3"/>
      <c r="D1003" s="55" t="s">
        <v>18</v>
      </c>
      <c r="E1003" s="38" t="s">
        <v>16</v>
      </c>
      <c r="F1003" s="38"/>
      <c r="G1003" s="39" t="str">
        <f t="shared" si="47"/>
        <v>__</v>
      </c>
      <c r="H1003" s="40" t="str">
        <f t="shared" si="48"/>
        <v>FALSE</v>
      </c>
      <c r="I1003" s="41">
        <f t="shared" si="49"/>
        <v>0</v>
      </c>
      <c r="J1003" s="4" t="s">
        <v>16</v>
      </c>
      <c r="K1003" s="43" t="str">
        <f>IF(VLOOKUP(J1003,βοηθητικό!$J$2:$N$354,3,FALSE)="","",VLOOKUP(J1003,βοηθητικό!$J$2:$N$354,3,FALSE))</f>
        <v>_</v>
      </c>
      <c r="L1003" s="44"/>
      <c r="M1003" s="5" t="s">
        <v>16</v>
      </c>
      <c r="N1003" s="46" t="str">
        <f>IF(VLOOKUP(M1003,βοηθητικό!$J$2:$N$354,3,FALSE)="","",VLOOKUP(M1003,βοηθητικό!$J$2:$N$354,3,FALSE))</f>
        <v>_</v>
      </c>
      <c r="O1003" s="47"/>
      <c r="P1003" s="4" t="s">
        <v>16</v>
      </c>
      <c r="Q1003" s="43" t="str">
        <f>IF(VLOOKUP(P1003,βοηθητικό!$J$2:$N$354,3,FALSE)="","",VLOOKUP(P1003,βοηθητικό!$J$2:$N$354,3,FALSE))</f>
        <v>_</v>
      </c>
      <c r="R1003" s="44"/>
      <c r="S1003" s="5" t="s">
        <v>16</v>
      </c>
      <c r="T1003" s="46" t="str">
        <f>IF(VLOOKUP(S1003,βοηθητικό!$J$2:$N$354,3,FALSE)="","",VLOOKUP(S1003,βοηθητικό!$J$2:$N$354,3,FALSE))</f>
        <v>_</v>
      </c>
      <c r="U1003" s="47"/>
      <c r="V1003" s="4" t="s">
        <v>16</v>
      </c>
      <c r="W1003" s="43" t="str">
        <f>IF(VLOOKUP(V1003,βοηθητικό!$J$2:$N$354,3,FALSE)="","",VLOOKUP(V1003,βοηθητικό!$J$2:$N$354,3,FALSE))</f>
        <v>_</v>
      </c>
      <c r="X1003" s="44"/>
      <c r="Y1003" s="5" t="s">
        <v>16</v>
      </c>
      <c r="Z1003" s="46" t="str">
        <f>IF(VLOOKUP(Y1003,βοηθητικό!$J$2:$N$354,3,FALSE)="","",VLOOKUP(Y1003,βοηθητικό!$J$2:$N$354,3,FALSE))</f>
        <v>_</v>
      </c>
      <c r="AA1003" s="47"/>
      <c r="AB1003" s="4" t="s">
        <v>16</v>
      </c>
      <c r="AC1003" s="43" t="str">
        <f>IF(VLOOKUP(AB1003,βοηθητικό!$J$2:$N$354,3,FALSE)="","",VLOOKUP(AB1003,βοηθητικό!$J$2:$N$354,3,FALSE))</f>
        <v>_</v>
      </c>
      <c r="AD1003" s="44"/>
      <c r="AE1003" s="5" t="s">
        <v>16</v>
      </c>
      <c r="AF1003" s="46" t="str">
        <f>IF(VLOOKUP(AE1003,βοηθητικό!$J$2:$N$354,3,FALSE)="","",VLOOKUP(AE1003,βοηθητικό!$J$2:$N$354,3,FALSE))</f>
        <v>_</v>
      </c>
      <c r="AG1003" s="47"/>
      <c r="AH1003" s="4" t="s">
        <v>16</v>
      </c>
      <c r="AI1003" s="43" t="str">
        <f>IF(VLOOKUP(AH1003,βοηθητικό!$J$2:$N$354,3,FALSE)="","",VLOOKUP(AH1003,βοηθητικό!$J$2:$N$354,3,FALSE))</f>
        <v>_</v>
      </c>
      <c r="AJ1003" s="44"/>
      <c r="AK1003" s="5" t="s">
        <v>16</v>
      </c>
      <c r="AL1003" s="46" t="str">
        <f>IF(VLOOKUP(AK1003,βοηθητικό!$J$2:$N$354,3,FALSE)="","",VLOOKUP(AK1003,βοηθητικό!$J$2:$N$354,3,FALSE))</f>
        <v>_</v>
      </c>
      <c r="AM1003" s="47"/>
      <c r="AN1003" s="4" t="s">
        <v>16</v>
      </c>
      <c r="AO1003" s="43" t="str">
        <f>IF(VLOOKUP(AN1003,βοηθητικό!$J$2:$N$354,3,FALSE)="","",VLOOKUP(AN1003,βοηθητικό!$J$2:$N$354,3,FALSE))</f>
        <v>_</v>
      </c>
      <c r="AP1003" s="44"/>
      <c r="AQ1003" s="5" t="s">
        <v>16</v>
      </c>
      <c r="AR1003" s="46" t="str">
        <f>IF(VLOOKUP(AQ1003,βοηθητικό!$J$2:$N$354,3,FALSE)="","",VLOOKUP(AQ1003,βοηθητικό!$J$2:$N$354,3,FALSE))</f>
        <v>_</v>
      </c>
      <c r="AS1003" s="47"/>
      <c r="AT1003" s="4" t="s">
        <v>16</v>
      </c>
      <c r="AU1003" s="43" t="str">
        <f>IF(VLOOKUP(AT1003,βοηθητικό!$J$2:$N$354,3,FALSE)="","",VLOOKUP(AT1003,βοηθητικό!$J$2:$N$354,3,FALSE))</f>
        <v>_</v>
      </c>
      <c r="AV1003" s="44"/>
      <c r="AW1003" s="5" t="s">
        <v>16</v>
      </c>
      <c r="AX1003" s="46" t="str">
        <f>IF(VLOOKUP(AW1003,βοηθητικό!$J$2:$N$354,3,FALSE)="","",VLOOKUP(AW1003,βοηθητικό!$J$2:$N$354,3,FALSE))</f>
        <v>_</v>
      </c>
      <c r="AY1003" s="47"/>
      <c r="AZ1003" s="4" t="s">
        <v>16</v>
      </c>
      <c r="BA1003" s="43" t="str">
        <f>IF(VLOOKUP(AZ1003,βοηθητικό!$J$2:$N$354,3,FALSE)="","",VLOOKUP(AZ1003,βοηθητικό!$J$2:$N$354,3,FALSE))</f>
        <v>_</v>
      </c>
      <c r="BB1003" s="44"/>
      <c r="BC1003" s="45" t="s">
        <v>16</v>
      </c>
      <c r="BD1003" s="46" t="str">
        <f>IF(VLOOKUP(BC1003,βοηθητικό!$J$2:$N$354,3,FALSE)="","",VLOOKUP(BC1003,βοηθητικό!$J$2:$N$354,3,FALSE))</f>
        <v>_</v>
      </c>
      <c r="BE1003" s="47"/>
      <c r="BF1003" s="42" t="s">
        <v>16</v>
      </c>
      <c r="BG1003" s="43" t="str">
        <f>IF(VLOOKUP(BF1003,βοηθητικό!$J$2:$N$354,3,FALSE)="","",VLOOKUP(BF1003,βοηθητικό!$J$2:$N$354,3,FALSE))</f>
        <v>_</v>
      </c>
      <c r="BH1003" s="44"/>
      <c r="BI1003" s="45" t="s">
        <v>16</v>
      </c>
      <c r="BJ1003" s="46" t="str">
        <f>IF(VLOOKUP(BI1003,βοηθητικό!$J$2:$N$354,3,FALSE)="","",VLOOKUP(BI1003,βοηθητικό!$J$2:$N$354,3,FALSE))</f>
        <v>_</v>
      </c>
      <c r="BK1003" s="47"/>
      <c r="BL1003" s="42" t="s">
        <v>16</v>
      </c>
      <c r="BM1003" s="43" t="str">
        <f>IF(VLOOKUP(BL1003,βοηθητικό!$J$2:$N$354,3,FALSE)="","",VLOOKUP(BL1003,βοηθητικό!$J$2:$N$354,3,FALSE))</f>
        <v>_</v>
      </c>
      <c r="BN1003" s="44"/>
      <c r="BO1003" s="45" t="s">
        <v>16</v>
      </c>
      <c r="BP1003" s="46" t="str">
        <f>IF(VLOOKUP(BO1003,βοηθητικό!$J$2:$N$354,3,FALSE)="","",VLOOKUP(BO1003,βοηθητικό!$J$2:$N$354,3,FALSE))</f>
        <v>_</v>
      </c>
      <c r="BQ1003" s="47"/>
      <c r="BR1003" s="42" t="s">
        <v>16</v>
      </c>
      <c r="BS1003" s="43" t="str">
        <f>IF(VLOOKUP(BR1003,βοηθητικό!$J$2:$N$354,3,FALSE)="","",VLOOKUP(BR1003,βοηθητικό!$J$2:$N$354,3,FALSE))</f>
        <v>_</v>
      </c>
      <c r="BT1003" s="44"/>
      <c r="BU1003" s="45" t="s">
        <v>16</v>
      </c>
      <c r="BV1003" s="46" t="str">
        <f>IF(VLOOKUP(BU1003,βοηθητικό!$J$2:$N$354,3,FALSE)="","",VLOOKUP(BU1003,βοηθητικό!$J$2:$N$354,3,FALSE))</f>
        <v>_</v>
      </c>
      <c r="BW1003" s="47"/>
      <c r="BX1003" s="42" t="s">
        <v>16</v>
      </c>
      <c r="BY1003" s="43" t="str">
        <f>IF(VLOOKUP(BX1003,βοηθητικό!$J$2:$N$354,3,FALSE)="","",VLOOKUP(BX1003,βοηθητικό!$J$2:$N$354,3,FALSE))</f>
        <v>_</v>
      </c>
      <c r="BZ1003" s="44"/>
      <c r="CA1003" s="45" t="s">
        <v>16</v>
      </c>
      <c r="CB1003" s="46" t="str">
        <f>IF(VLOOKUP(CA1003,βοηθητικό!$J$2:$N$354,3,FALSE)="","",VLOOKUP(CA1003,βοηθητικό!$J$2:$N$354,3,FALSE))</f>
        <v>_</v>
      </c>
      <c r="CC1003" s="47"/>
      <c r="CD1003" s="42" t="s">
        <v>16</v>
      </c>
      <c r="CE1003" s="43" t="str">
        <f>IF(VLOOKUP(CD1003,βοηθητικό!$J$2:$N$354,3,FALSE)="","",VLOOKUP(CD1003,βοηθητικό!$J$2:$N$354,3,FALSE))</f>
        <v>_</v>
      </c>
      <c r="CF1003" s="44"/>
      <c r="CG1003" s="45" t="s">
        <v>16</v>
      </c>
      <c r="CH1003" s="46" t="str">
        <f>IF(VLOOKUP(CG1003,βοηθητικό!$J$2:$N$354,3,FALSE)="","",VLOOKUP(CG1003,βοηθητικό!$J$2:$N$354,3,FALSE))</f>
        <v>_</v>
      </c>
      <c r="CI1003" s="47"/>
      <c r="CJ1003" s="42" t="s">
        <v>16</v>
      </c>
      <c r="CK1003" s="43" t="str">
        <f>IF(VLOOKUP(CJ1003,βοηθητικό!$J$2:$N$354,3,FALSE)="","",VLOOKUP(CJ1003,βοηθητικό!$J$2:$N$354,3,FALSE))</f>
        <v>_</v>
      </c>
      <c r="CL1003" s="44"/>
      <c r="CM1003" s="45" t="s">
        <v>16</v>
      </c>
      <c r="CN1003" s="46" t="str">
        <f>IF(VLOOKUP(CM1003,βοηθητικό!$J$2:$N$354,3,FALSE)="","",VLOOKUP(CM1003,βοηθητικό!$J$2:$N$354,3,FALSE))</f>
        <v>_</v>
      </c>
      <c r="CO1003" s="47"/>
      <c r="CP1003" s="42" t="s">
        <v>16</v>
      </c>
      <c r="CQ1003" s="43" t="str">
        <f>IF(VLOOKUP(CP1003,βοηθητικό!$J$2:$N$354,3,FALSE)="","",VLOOKUP(CP1003,βοηθητικό!$J$2:$N$354,3,FALSE))</f>
        <v>_</v>
      </c>
      <c r="CR1003" s="44"/>
      <c r="CS1003" s="45" t="s">
        <v>16</v>
      </c>
      <c r="CT1003" s="46" t="str">
        <f>IF(VLOOKUP(CS1003,βοηθητικό!$J$2:$N$354,3,FALSE)="","",VLOOKUP(CS1003,βοηθητικό!$J$2:$N$354,3,FALSE))</f>
        <v>_</v>
      </c>
      <c r="CU1003" s="47"/>
    </row>
    <row r="1004" spans="1:99" x14ac:dyDescent="0.25">
      <c r="A1004" s="37">
        <f>--SUBTOTAL(3,$B$3:B1003)</f>
        <v>198</v>
      </c>
      <c r="B1004" s="2"/>
      <c r="C1004" s="3"/>
      <c r="D1004" s="55" t="s">
        <v>18</v>
      </c>
      <c r="E1004" s="38" t="s">
        <v>16</v>
      </c>
      <c r="F1004" s="38"/>
      <c r="G1004" s="39" t="str">
        <f t="shared" si="47"/>
        <v>__</v>
      </c>
      <c r="H1004" s="40" t="str">
        <f t="shared" si="48"/>
        <v>FALSE</v>
      </c>
      <c r="I1004" s="41">
        <f t="shared" si="49"/>
        <v>0</v>
      </c>
      <c r="J1004" s="4" t="s">
        <v>16</v>
      </c>
      <c r="K1004" s="43" t="str">
        <f>IF(VLOOKUP(J1004,βοηθητικό!$J$2:$N$354,3,FALSE)="","",VLOOKUP(J1004,βοηθητικό!$J$2:$N$354,3,FALSE))</f>
        <v>_</v>
      </c>
      <c r="L1004" s="44"/>
      <c r="M1004" s="5" t="s">
        <v>16</v>
      </c>
      <c r="N1004" s="46" t="str">
        <f>IF(VLOOKUP(M1004,βοηθητικό!$J$2:$N$354,3,FALSE)="","",VLOOKUP(M1004,βοηθητικό!$J$2:$N$354,3,FALSE))</f>
        <v>_</v>
      </c>
      <c r="O1004" s="47"/>
      <c r="P1004" s="4" t="s">
        <v>16</v>
      </c>
      <c r="Q1004" s="43" t="str">
        <f>IF(VLOOKUP(P1004,βοηθητικό!$J$2:$N$354,3,FALSE)="","",VLOOKUP(P1004,βοηθητικό!$J$2:$N$354,3,FALSE))</f>
        <v>_</v>
      </c>
      <c r="R1004" s="44"/>
      <c r="S1004" s="5" t="s">
        <v>16</v>
      </c>
      <c r="T1004" s="46" t="str">
        <f>IF(VLOOKUP(S1004,βοηθητικό!$J$2:$N$354,3,FALSE)="","",VLOOKUP(S1004,βοηθητικό!$J$2:$N$354,3,FALSE))</f>
        <v>_</v>
      </c>
      <c r="U1004" s="47"/>
      <c r="V1004" s="4" t="s">
        <v>16</v>
      </c>
      <c r="W1004" s="43" t="str">
        <f>IF(VLOOKUP(V1004,βοηθητικό!$J$2:$N$354,3,FALSE)="","",VLOOKUP(V1004,βοηθητικό!$J$2:$N$354,3,FALSE))</f>
        <v>_</v>
      </c>
      <c r="X1004" s="44"/>
      <c r="Y1004" s="5" t="s">
        <v>16</v>
      </c>
      <c r="Z1004" s="46" t="str">
        <f>IF(VLOOKUP(Y1004,βοηθητικό!$J$2:$N$354,3,FALSE)="","",VLOOKUP(Y1004,βοηθητικό!$J$2:$N$354,3,FALSE))</f>
        <v>_</v>
      </c>
      <c r="AA1004" s="47"/>
      <c r="AB1004" s="4" t="s">
        <v>16</v>
      </c>
      <c r="AC1004" s="43" t="str">
        <f>IF(VLOOKUP(AB1004,βοηθητικό!$J$2:$N$354,3,FALSE)="","",VLOOKUP(AB1004,βοηθητικό!$J$2:$N$354,3,FALSE))</f>
        <v>_</v>
      </c>
      <c r="AD1004" s="44"/>
      <c r="AE1004" s="5" t="s">
        <v>16</v>
      </c>
      <c r="AF1004" s="46" t="str">
        <f>IF(VLOOKUP(AE1004,βοηθητικό!$J$2:$N$354,3,FALSE)="","",VLOOKUP(AE1004,βοηθητικό!$J$2:$N$354,3,FALSE))</f>
        <v>_</v>
      </c>
      <c r="AG1004" s="47"/>
      <c r="AH1004" s="4" t="s">
        <v>16</v>
      </c>
      <c r="AI1004" s="43" t="str">
        <f>IF(VLOOKUP(AH1004,βοηθητικό!$J$2:$N$354,3,FALSE)="","",VLOOKUP(AH1004,βοηθητικό!$J$2:$N$354,3,FALSE))</f>
        <v>_</v>
      </c>
      <c r="AJ1004" s="44"/>
      <c r="AK1004" s="5" t="s">
        <v>16</v>
      </c>
      <c r="AL1004" s="46" t="str">
        <f>IF(VLOOKUP(AK1004,βοηθητικό!$J$2:$N$354,3,FALSE)="","",VLOOKUP(AK1004,βοηθητικό!$J$2:$N$354,3,FALSE))</f>
        <v>_</v>
      </c>
      <c r="AM1004" s="47"/>
      <c r="AN1004" s="4" t="s">
        <v>16</v>
      </c>
      <c r="AO1004" s="43" t="str">
        <f>IF(VLOOKUP(AN1004,βοηθητικό!$J$2:$N$354,3,FALSE)="","",VLOOKUP(AN1004,βοηθητικό!$J$2:$N$354,3,FALSE))</f>
        <v>_</v>
      </c>
      <c r="AP1004" s="44"/>
      <c r="AQ1004" s="5" t="s">
        <v>16</v>
      </c>
      <c r="AR1004" s="46" t="str">
        <f>IF(VLOOKUP(AQ1004,βοηθητικό!$J$2:$N$354,3,FALSE)="","",VLOOKUP(AQ1004,βοηθητικό!$J$2:$N$354,3,FALSE))</f>
        <v>_</v>
      </c>
      <c r="AS1004" s="47"/>
      <c r="AT1004" s="4" t="s">
        <v>16</v>
      </c>
      <c r="AU1004" s="43" t="str">
        <f>IF(VLOOKUP(AT1004,βοηθητικό!$J$2:$N$354,3,FALSE)="","",VLOOKUP(AT1004,βοηθητικό!$J$2:$N$354,3,FALSE))</f>
        <v>_</v>
      </c>
      <c r="AV1004" s="44"/>
      <c r="AW1004" s="5" t="s">
        <v>16</v>
      </c>
      <c r="AX1004" s="46" t="str">
        <f>IF(VLOOKUP(AW1004,βοηθητικό!$J$2:$N$354,3,FALSE)="","",VLOOKUP(AW1004,βοηθητικό!$J$2:$N$354,3,FALSE))</f>
        <v>_</v>
      </c>
      <c r="AY1004" s="47"/>
      <c r="AZ1004" s="4" t="s">
        <v>16</v>
      </c>
      <c r="BA1004" s="43" t="str">
        <f>IF(VLOOKUP(AZ1004,βοηθητικό!$J$2:$N$354,3,FALSE)="","",VLOOKUP(AZ1004,βοηθητικό!$J$2:$N$354,3,FALSE))</f>
        <v>_</v>
      </c>
      <c r="BB1004" s="44"/>
      <c r="BC1004" s="45" t="s">
        <v>16</v>
      </c>
      <c r="BD1004" s="46" t="str">
        <f>IF(VLOOKUP(BC1004,βοηθητικό!$J$2:$N$354,3,FALSE)="","",VLOOKUP(BC1004,βοηθητικό!$J$2:$N$354,3,FALSE))</f>
        <v>_</v>
      </c>
      <c r="BE1004" s="47"/>
      <c r="BF1004" s="42" t="s">
        <v>16</v>
      </c>
      <c r="BG1004" s="43" t="str">
        <f>IF(VLOOKUP(BF1004,βοηθητικό!$J$2:$N$354,3,FALSE)="","",VLOOKUP(BF1004,βοηθητικό!$J$2:$N$354,3,FALSE))</f>
        <v>_</v>
      </c>
      <c r="BH1004" s="44"/>
      <c r="BI1004" s="45" t="s">
        <v>16</v>
      </c>
      <c r="BJ1004" s="46" t="str">
        <f>IF(VLOOKUP(BI1004,βοηθητικό!$J$2:$N$354,3,FALSE)="","",VLOOKUP(BI1004,βοηθητικό!$J$2:$N$354,3,FALSE))</f>
        <v>_</v>
      </c>
      <c r="BK1004" s="47"/>
      <c r="BL1004" s="42" t="s">
        <v>16</v>
      </c>
      <c r="BM1004" s="43" t="str">
        <f>IF(VLOOKUP(BL1004,βοηθητικό!$J$2:$N$354,3,FALSE)="","",VLOOKUP(BL1004,βοηθητικό!$J$2:$N$354,3,FALSE))</f>
        <v>_</v>
      </c>
      <c r="BN1004" s="44"/>
      <c r="BO1004" s="45" t="s">
        <v>16</v>
      </c>
      <c r="BP1004" s="46" t="str">
        <f>IF(VLOOKUP(BO1004,βοηθητικό!$J$2:$N$354,3,FALSE)="","",VLOOKUP(BO1004,βοηθητικό!$J$2:$N$354,3,FALSE))</f>
        <v>_</v>
      </c>
      <c r="BQ1004" s="47"/>
      <c r="BR1004" s="42" t="s">
        <v>16</v>
      </c>
      <c r="BS1004" s="43" t="str">
        <f>IF(VLOOKUP(BR1004,βοηθητικό!$J$2:$N$354,3,FALSE)="","",VLOOKUP(BR1004,βοηθητικό!$J$2:$N$354,3,FALSE))</f>
        <v>_</v>
      </c>
      <c r="BT1004" s="44"/>
      <c r="BU1004" s="45" t="s">
        <v>16</v>
      </c>
      <c r="BV1004" s="46" t="str">
        <f>IF(VLOOKUP(BU1004,βοηθητικό!$J$2:$N$354,3,FALSE)="","",VLOOKUP(BU1004,βοηθητικό!$J$2:$N$354,3,FALSE))</f>
        <v>_</v>
      </c>
      <c r="BW1004" s="47"/>
      <c r="BX1004" s="42" t="s">
        <v>16</v>
      </c>
      <c r="BY1004" s="43" t="str">
        <f>IF(VLOOKUP(BX1004,βοηθητικό!$J$2:$N$354,3,FALSE)="","",VLOOKUP(BX1004,βοηθητικό!$J$2:$N$354,3,FALSE))</f>
        <v>_</v>
      </c>
      <c r="BZ1004" s="44"/>
      <c r="CA1004" s="45" t="s">
        <v>16</v>
      </c>
      <c r="CB1004" s="46" t="str">
        <f>IF(VLOOKUP(CA1004,βοηθητικό!$J$2:$N$354,3,FALSE)="","",VLOOKUP(CA1004,βοηθητικό!$J$2:$N$354,3,FALSE))</f>
        <v>_</v>
      </c>
      <c r="CC1004" s="47"/>
      <c r="CD1004" s="42" t="s">
        <v>16</v>
      </c>
      <c r="CE1004" s="43" t="str">
        <f>IF(VLOOKUP(CD1004,βοηθητικό!$J$2:$N$354,3,FALSE)="","",VLOOKUP(CD1004,βοηθητικό!$J$2:$N$354,3,FALSE))</f>
        <v>_</v>
      </c>
      <c r="CF1004" s="44"/>
      <c r="CG1004" s="45" t="s">
        <v>16</v>
      </c>
      <c r="CH1004" s="46" t="str">
        <f>IF(VLOOKUP(CG1004,βοηθητικό!$J$2:$N$354,3,FALSE)="","",VLOOKUP(CG1004,βοηθητικό!$J$2:$N$354,3,FALSE))</f>
        <v>_</v>
      </c>
      <c r="CI1004" s="47"/>
      <c r="CJ1004" s="42" t="s">
        <v>16</v>
      </c>
      <c r="CK1004" s="43" t="str">
        <f>IF(VLOOKUP(CJ1004,βοηθητικό!$J$2:$N$354,3,FALSE)="","",VLOOKUP(CJ1004,βοηθητικό!$J$2:$N$354,3,FALSE))</f>
        <v>_</v>
      </c>
      <c r="CL1004" s="44"/>
      <c r="CM1004" s="45" t="s">
        <v>16</v>
      </c>
      <c r="CN1004" s="46" t="str">
        <f>IF(VLOOKUP(CM1004,βοηθητικό!$J$2:$N$354,3,FALSE)="","",VLOOKUP(CM1004,βοηθητικό!$J$2:$N$354,3,FALSE))</f>
        <v>_</v>
      </c>
      <c r="CO1004" s="47"/>
      <c r="CP1004" s="42" t="s">
        <v>16</v>
      </c>
      <c r="CQ1004" s="43" t="str">
        <f>IF(VLOOKUP(CP1004,βοηθητικό!$J$2:$N$354,3,FALSE)="","",VLOOKUP(CP1004,βοηθητικό!$J$2:$N$354,3,FALSE))</f>
        <v>_</v>
      </c>
      <c r="CR1004" s="44"/>
      <c r="CS1004" s="45" t="s">
        <v>16</v>
      </c>
      <c r="CT1004" s="46" t="str">
        <f>IF(VLOOKUP(CS1004,βοηθητικό!$J$2:$N$354,3,FALSE)="","",VLOOKUP(CS1004,βοηθητικό!$J$2:$N$354,3,FALSE))</f>
        <v>_</v>
      </c>
      <c r="CU1004" s="47"/>
    </row>
  </sheetData>
  <sheetProtection formatCells="0" formatColumns="0" formatRows="0" deleteRows="0" sort="0" autoFilter="0" pivotTables="0"/>
  <autoFilter ref="B3:CU1004" xr:uid="{00000000-0009-0000-0000-000006000000}"/>
  <phoneticPr fontId="30" type="noConversion"/>
  <conditionalFormatting sqref="C4:C1004">
    <cfRule type="expression" dxfId="7" priority="2">
      <formula>$C4&lt;$B4</formula>
    </cfRule>
  </conditionalFormatting>
  <conditionalFormatting sqref="D1:D70">
    <cfRule type="cellIs" dxfId="6" priority="1" operator="equal">
      <formula>"επιλογή από λίστα"</formula>
    </cfRule>
  </conditionalFormatting>
  <conditionalFormatting sqref="D201:D1048576">
    <cfRule type="cellIs" dxfId="5" priority="4" operator="equal">
      <formula>"επιλογή από λίστα"</formula>
    </cfRule>
  </conditionalFormatting>
  <conditionalFormatting sqref="D4:H70">
    <cfRule type="expression" dxfId="4" priority="3">
      <formula>$G4="__"</formula>
    </cfRule>
  </conditionalFormatting>
  <conditionalFormatting sqref="D201:H1004 E71:H200">
    <cfRule type="expression" dxfId="3" priority="9">
      <formula>$G71="__"</formula>
    </cfRule>
  </conditionalFormatting>
  <conditionalFormatting sqref="E4:H1004">
    <cfRule type="expression" dxfId="2" priority="16">
      <formula>$H4=TRUE</formula>
    </cfRule>
  </conditionalFormatting>
  <conditionalFormatting sqref="J1:CU1">
    <cfRule type="cellIs" dxfId="1" priority="10" operator="notEqual">
      <formula>""</formula>
    </cfRule>
  </conditionalFormatting>
  <conditionalFormatting sqref="CP4:CU1004">
    <cfRule type="cellIs" dxfId="0" priority="5" operator="equal">
      <formula>"Λ"</formula>
    </cfRule>
  </conditionalFormatting>
  <dataValidations count="6">
    <dataValidation type="list" allowBlank="1" showInputMessage="1" showErrorMessage="1" sqref="D4:D1004" xr:uid="{00000000-0002-0000-0600-000000000000}">
      <formula1>SYMVAN</formula1>
    </dataValidation>
    <dataValidation type="list" allowBlank="1" showInputMessage="1" showErrorMessage="1" sqref="E4:F1004" xr:uid="{00000000-0002-0000-0600-000001000000}">
      <formula1>MHXANIKOS</formula1>
    </dataValidation>
    <dataValidation showErrorMessage="1" errorTitle="ΠΡΟΣΟΧΗ!" error="επιτρέπεται μόνο &quot;Λ&quot; ή κενό" sqref="CN4:CO1004 W3 AF3 AX4:AY1004 BJ4:BK1004 BP4:BQ1004 CK4:CL1004 Z3 AO4:AP1004 BG4:BH1004 BM4:BN1004 BV4:BW1004 BS4:BT1004 BA3 CB4:CC1004 CH4:CI1004 BY4:BZ1004 CE4:CF1004 CT4:CU1004 CQ4:CR1004 AI3 AO3 AU3 AU4:AV1004 AL4:AM1004 AC3:AC1004 AI4:AJ1004 U4:U1004 R4:R1004 Z4:AA1004 AF4:AG1004 AD4:AD1004 Q3:Q1004 T3:T1004 K1:L1048576 BA4:BB1004 W4:X1004 AR4:AS1004 N1:O1048576 BD4:BE1004" xr:uid="{00000000-0002-0000-0600-000002000000}"/>
    <dataValidation type="date" allowBlank="1" showInputMessage="1" showErrorMessage="1" errorTitle="ΠΡΟΣΟΧΗ!" error="ΕΙΣΑΓΕΤΑΙ ΗΜΕΡΟΜΗΝΙΑ ΣΕ ΜΟΡΦΗ 15/11/2022 (ΜΕ ΚΑΘΕΤΟΥΣ)" sqref="B4:C1004" xr:uid="{00000000-0002-0000-0600-000003000000}">
      <formula1>44927</formula1>
      <formula2>47484</formula2>
    </dataValidation>
    <dataValidation type="list" showErrorMessage="1" errorTitle="ΠΡΟΣΟΧΗ!" error="επιτρέπεται μόνο &quot;Λ&quot; ή κενό" sqref="BR4:BR1004 CS4:CS1004 CP4:CP1004 CM4:CM1004 CJ4:CJ1004 CG4:CG1004 CD4:CD1004 CA4:CA1004 BX4:BX1004 BU4:BU1004" xr:uid="{00000000-0002-0000-0600-000004000000}">
      <formula1>OFFSET($I$1,MATCH($D4,$H$2:$H$368,0),0,COUNTIF($H$2:$H$368,$D4),1)</formula1>
    </dataValidation>
    <dataValidation type="list" showErrorMessage="1" errorTitle="ΠΡΟΣΟΧΗ!" error="επιτρέπεται μόνο &quot;Λ&quot; ή κενό" sqref="M32:M36 P32:P36 S32:S36 V32:V36 Y32:Y36 AB32:AB36 AE32:AE36" xr:uid="{00000000-0002-0000-0600-000005000000}">
      <formula1>OFFSET($J$1,MATCH($D32,$I$2:$I$364,0),0,COUNTIF($I$2:$I$364,$D32),1)</formula1>
    </dataValidation>
  </dataValidations>
  <pageMargins left="0.7" right="0.7" top="0.75" bottom="0.75" header="0.3" footer="0.3"/>
  <pageSetup paperSize="9" orientation="portrait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ΠΡΟΣΟΧΗ!" error="επιτρέπεται μόνο &quot;Λ&quot; ή κενό" xr:uid="{00000000-0002-0000-0600-000006000000}">
          <x14:formula1>
            <xm:f>OFFSET(βοηθητικό!$J$1,MATCH($D4,βοηθητικό!$I$2:$I$354,0),0,COUNTIF(βοηθητικό!$I$2:$I$354,$D4),1)</xm:f>
          </x14:formula1>
          <xm:sqref>BO4:BO1004 AE4:AE31 AB4:AB31 Y4:Y31 V4:V31 S4:S31 P4:P31 M4:M31 J4:J31 BL4:BL1004 AZ4:AZ1004 BC4:BC1004 BF4:BF1004 BI4:BI1004 AT4:AT1004 AW4:AW1004 AK115:AK1004 AQ4:AQ1004 P127:P1004 AB127:AB1004 AH115:AH1004 S127:S1004 M37:M110 V127:V1004 J127:J1004 M127:M1004 Y127:Y1004 J37:J110 V37:V110 S37:S110 P37:P110 Y37:Y110 AN115:AN1004 AB37:AB110 AH4:AH110 AE37:AE110 AK4:AK110 AN4:AN110 Y119:Y122 M119:M122 J119:J122 V119:V122 S119:S122 AB115:AB122 P119:P122 AE115:AE122 AE127:AE1004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6</vt:i4>
      </vt:variant>
      <vt:variant>
        <vt:lpstr>Καθορισμένες περιοχές</vt:lpstr>
      </vt:variant>
      <vt:variant>
        <vt:i4>7</vt:i4>
      </vt:variant>
    </vt:vector>
  </HeadingPairs>
  <TitlesOfParts>
    <vt:vector size="13" baseType="lpstr">
      <vt:lpstr>βοηθητικό</vt:lpstr>
      <vt:lpstr>ΜΗΧΑΝΙΚΟΙ</vt:lpstr>
      <vt:lpstr>ΥΠΑΛΛΗΛΟΙ ΓΔΑΕΦΚ</vt:lpstr>
      <vt:lpstr>Sheet1</vt:lpstr>
      <vt:lpstr>ΑΠΟΧΩΡΗΣΑΝΤΕΣ</vt:lpstr>
      <vt:lpstr>ΕΠΙΦΥΛΑΚΗ</vt:lpstr>
      <vt:lpstr>EIDIK</vt:lpstr>
      <vt:lpstr>EPILOGH</vt:lpstr>
      <vt:lpstr>MHXANIKOS</vt:lpstr>
      <vt:lpstr>ORARIO</vt:lpstr>
      <vt:lpstr>'ΥΠΑΛΛΗΛΟΙ ΓΔΑΕΦΚ'!Print_Area</vt:lpstr>
      <vt:lpstr>SYMVAN</vt:lpstr>
      <vt:lpstr>YPALLHLOS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Κωνσταντίνος Κυριακού</cp:lastModifiedBy>
  <cp:revision/>
  <dcterms:created xsi:type="dcterms:W3CDTF">2012-09-17T10:58:36Z</dcterms:created>
  <dcterms:modified xsi:type="dcterms:W3CDTF">2025-11-21T09:33:45Z</dcterms:modified>
  <cp:category/>
  <cp:contentStatus/>
</cp:coreProperties>
</file>